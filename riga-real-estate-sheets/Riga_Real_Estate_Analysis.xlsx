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ga_re" sheetId="1" r:id="rId5"/>
    <sheet state="visible" name="Analysis" sheetId="2" r:id="rId6"/>
    <sheet state="visible" name="Clean_data" sheetId="3" r:id="rId7"/>
    <sheet state="visible" name="Pivot_district" sheetId="4" r:id="rId8"/>
    <sheet state="visible" name="Pivot_rooms" sheetId="5" r:id="rId9"/>
    <sheet state="visible" name="Pivot_rent" sheetId="6" r:id="rId10"/>
    <sheet state="visible" name="Dashboard" sheetId="7" r:id="rId11"/>
  </sheets>
  <definedNames>
    <definedName hidden="1" localSheetId="0" name="_xlnm._FilterDatabase">Riga_re!$A$1:$A$4692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<sst xmlns="http://schemas.openxmlformats.org/spreadsheetml/2006/main" count="26427" uniqueCount="2652">
  <si>
    <t>op_type</t>
  </si>
  <si>
    <t>district</t>
  </si>
  <si>
    <t>street</t>
  </si>
  <si>
    <t>rooms</t>
  </si>
  <si>
    <t>area</t>
  </si>
  <si>
    <t>floor</t>
  </si>
  <si>
    <t>total_floors</t>
  </si>
  <si>
    <t>house_seria</t>
  </si>
  <si>
    <t>house_type</t>
  </si>
  <si>
    <t>condition</t>
  </si>
  <si>
    <t>price</t>
  </si>
  <si>
    <t>lat</t>
  </si>
  <si>
    <t>lon</t>
  </si>
  <si>
    <t>For rent</t>
  </si>
  <si>
    <t>Purvciems</t>
  </si>
  <si>
    <t>Dzelzavas 93</t>
  </si>
  <si>
    <t>LT proj.</t>
  </si>
  <si>
    <t>Brick-Panel</t>
  </si>
  <si>
    <t>All amenities</t>
  </si>
  <si>
    <t>Ziepniekkalns</t>
  </si>
  <si>
    <t>Ozolciema 32</t>
  </si>
  <si>
    <t>Panel</t>
  </si>
  <si>
    <t>For sale</t>
  </si>
  <si>
    <t>centrs</t>
  </si>
  <si>
    <t>Ieroču 6</t>
  </si>
  <si>
    <t>P. kara</t>
  </si>
  <si>
    <t>Wood</t>
  </si>
  <si>
    <t>Partial amenities</t>
  </si>
  <si>
    <t>Ķengarags</t>
  </si>
  <si>
    <t>Maskavas 305</t>
  </si>
  <si>
    <t>Teika</t>
  </si>
  <si>
    <t>Zemgala gatve 80</t>
  </si>
  <si>
    <t>Jaun.</t>
  </si>
  <si>
    <t>Masonry</t>
  </si>
  <si>
    <t>Ģertrūdes 16</t>
  </si>
  <si>
    <t>Lokomotīves 20</t>
  </si>
  <si>
    <t>Specpr.</t>
  </si>
  <si>
    <t>Brick</t>
  </si>
  <si>
    <t>Imanta</t>
  </si>
  <si>
    <t>Kurzemes pr. 46</t>
  </si>
  <si>
    <t>NaN</t>
  </si>
  <si>
    <t>Avotu 7</t>
  </si>
  <si>
    <t>Jugla</t>
  </si>
  <si>
    <t>Juglas 53</t>
  </si>
  <si>
    <t>Hrušč.</t>
  </si>
  <si>
    <t>Mangaļi</t>
  </si>
  <si>
    <t>Mores 3</t>
  </si>
  <si>
    <t>Baltezera 1</t>
  </si>
  <si>
    <t>Mežciems</t>
  </si>
  <si>
    <t>Gaiļezera 4</t>
  </si>
  <si>
    <t>Maskavas priekšpilsēta</t>
  </si>
  <si>
    <t>Maskavas 291 k1</t>
  </si>
  <si>
    <t>Zolitūde</t>
  </si>
  <si>
    <t>Zolitūdes 46/2</t>
  </si>
  <si>
    <t>Celmu 5</t>
  </si>
  <si>
    <t>Krāsotāju 25</t>
  </si>
  <si>
    <t>Ozolciema 54</t>
  </si>
  <si>
    <t>M. ģim.</t>
  </si>
  <si>
    <t>Maskavas 268/5</t>
  </si>
  <si>
    <t>Eizenšteina 57</t>
  </si>
  <si>
    <t>Bolderāja</t>
  </si>
  <si>
    <t>Stagaru 4</t>
  </si>
  <si>
    <t>Dzelzavas 13</t>
  </si>
  <si>
    <t>Without amenities</t>
  </si>
  <si>
    <t>Čaka 33</t>
  </si>
  <si>
    <t>Bruņinieku 115</t>
  </si>
  <si>
    <t>Renov.</t>
  </si>
  <si>
    <t>Grīziņkalns</t>
  </si>
  <si>
    <t>Alauksta 4a</t>
  </si>
  <si>
    <t>Kartupeļu 47</t>
  </si>
  <si>
    <t>Gobas 16</t>
  </si>
  <si>
    <t>Dreiliņi</t>
  </si>
  <si>
    <t>Valtera 5</t>
  </si>
  <si>
    <t>Prūšu 22</t>
  </si>
  <si>
    <t>Pļavnieki</t>
  </si>
  <si>
    <t>Dzeņu 12</t>
  </si>
  <si>
    <t>Dzegužkalns</t>
  </si>
  <si>
    <t>Purva 25</t>
  </si>
  <si>
    <t>Slokas 130a</t>
  </si>
  <si>
    <t>Indrānu 13</t>
  </si>
  <si>
    <t>Festivāla 1</t>
  </si>
  <si>
    <t>Ieriķu 58</t>
  </si>
  <si>
    <t>Ķīpsala</t>
  </si>
  <si>
    <t>Balasta d. 72</t>
  </si>
  <si>
    <t>Barona 14</t>
  </si>
  <si>
    <t>Bruņinieku 64</t>
  </si>
  <si>
    <t>Tērbatas 46</t>
  </si>
  <si>
    <t>Brīvības gatve 313</t>
  </si>
  <si>
    <t>Murjāņu 38</t>
  </si>
  <si>
    <t>Buying</t>
  </si>
  <si>
    <t>Citi</t>
  </si>
  <si>
    <t>Republikas laukums 3</t>
  </si>
  <si>
    <t>Asara 15</t>
  </si>
  <si>
    <t>Pūces 19</t>
  </si>
  <si>
    <t>Krasta r-ns</t>
  </si>
  <si>
    <t>Lubānas 56</t>
  </si>
  <si>
    <t>Vecmīlgrāvis</t>
  </si>
  <si>
    <t>Ezera 6</t>
  </si>
  <si>
    <t>Asara 12</t>
  </si>
  <si>
    <t>Klīversala</t>
  </si>
  <si>
    <t>Klīveru 1</t>
  </si>
  <si>
    <t>Tērbatas 65</t>
  </si>
  <si>
    <t>Artilērijas 1</t>
  </si>
  <si>
    <t>Rīnūžu 11</t>
  </si>
  <si>
    <t>Āgenskalns</t>
  </si>
  <si>
    <t>Kalnciema 106a</t>
  </si>
  <si>
    <t>Zasulauks</t>
  </si>
  <si>
    <t>Jasmuižas 15</t>
  </si>
  <si>
    <t>Salnas 22</t>
  </si>
  <si>
    <t>Mežaparks</t>
  </si>
  <si>
    <t>Viestura pr. 47</t>
  </si>
  <si>
    <t>Bruņinieku 147</t>
  </si>
  <si>
    <t>Kuldīgas 10</t>
  </si>
  <si>
    <t>Kvēles 27</t>
  </si>
  <si>
    <t>Pērnavas 10</t>
  </si>
  <si>
    <t>Sesku 26</t>
  </si>
  <si>
    <t>Kurzemes pr. 102</t>
  </si>
  <si>
    <t>Čiekurkalns</t>
  </si>
  <si>
    <t>Čiekurkalna 2. l. 28</t>
  </si>
  <si>
    <t>Valdeķu 53</t>
  </si>
  <si>
    <t>Ozolciema 18</t>
  </si>
  <si>
    <t>Bērzupes 23</t>
  </si>
  <si>
    <t>Panel-Brick</t>
  </si>
  <si>
    <t>Lubānas 129</t>
  </si>
  <si>
    <t>Grīna bulv. 13</t>
  </si>
  <si>
    <t>Pētersalas 2</t>
  </si>
  <si>
    <t>Viestura pr. 95</t>
  </si>
  <si>
    <t>Ādmiņu 6</t>
  </si>
  <si>
    <t>Veldres 32</t>
  </si>
  <si>
    <t>Sarkandaugava</t>
  </si>
  <si>
    <t>Tilta 5</t>
  </si>
  <si>
    <t>Renting</t>
  </si>
  <si>
    <t>Daugavpils 76</t>
  </si>
  <si>
    <t>Kristapa 8</t>
  </si>
  <si>
    <t>Daugavgrīva</t>
  </si>
  <si>
    <t>Slimnīcas 6</t>
  </si>
  <si>
    <t>Barona 76</t>
  </si>
  <si>
    <t>Tallinas 65</t>
  </si>
  <si>
    <t>Prūšu 3</t>
  </si>
  <si>
    <t>Avotu 4</t>
  </si>
  <si>
    <t>Klijānu 2e</t>
  </si>
  <si>
    <t>Āgenskalna 22</t>
  </si>
  <si>
    <t>Silikātu 1/2</t>
  </si>
  <si>
    <t>Čaka 96</t>
  </si>
  <si>
    <t>Ausekļa 7</t>
  </si>
  <si>
    <t>Anniņmuižas bulvāris 38</t>
  </si>
  <si>
    <t>Mārupes 47</t>
  </si>
  <si>
    <t>M. Krūmu 6</t>
  </si>
  <si>
    <t>Kaivas 33/1</t>
  </si>
  <si>
    <t>Lāčplēša 147</t>
  </si>
  <si>
    <t>Marsa g. 12</t>
  </si>
  <si>
    <t>Iļģuciems</t>
  </si>
  <si>
    <t>Grīvas 11</t>
  </si>
  <si>
    <t>Sarkandaugavas 11</t>
  </si>
  <si>
    <t>Jūrmalas g. 99</t>
  </si>
  <si>
    <t>Ozolciema 32/3</t>
  </si>
  <si>
    <t>Grostonas 17</t>
  </si>
  <si>
    <t>Ģertrūdes 84</t>
  </si>
  <si>
    <t>Berģi</t>
  </si>
  <si>
    <t>Berģu 9</t>
  </si>
  <si>
    <t>Silikātu 1k2</t>
  </si>
  <si>
    <t>Staburaga 3</t>
  </si>
  <si>
    <t>Maskavas 237</t>
  </si>
  <si>
    <t>Maskavas 279</t>
  </si>
  <si>
    <t>Madonas 19</t>
  </si>
  <si>
    <t>Anniņmuižas bulvāris 43</t>
  </si>
  <si>
    <t>Dzirciema 33</t>
  </si>
  <si>
    <t>Zemes 9</t>
  </si>
  <si>
    <t>Brantkalna 12</t>
  </si>
  <si>
    <t>Nīcgales 36</t>
  </si>
  <si>
    <t>Ilūkstes 55</t>
  </si>
  <si>
    <t>Priv. m.</t>
  </si>
  <si>
    <t>Šķirotava</t>
  </si>
  <si>
    <t>Krustpils 75</t>
  </si>
  <si>
    <t>Dārzciems</t>
  </si>
  <si>
    <t>Ruses 3</t>
  </si>
  <si>
    <t>Elizabetes 10c</t>
  </si>
  <si>
    <t>Graudu 30</t>
  </si>
  <si>
    <t>Eksporta 8</t>
  </si>
  <si>
    <t>Emmas 19</t>
  </si>
  <si>
    <t>Terēzes 2</t>
  </si>
  <si>
    <t>Staļina</t>
  </si>
  <si>
    <t>Valdeķu 54</t>
  </si>
  <si>
    <t>Dravnieku 13</t>
  </si>
  <si>
    <t>Maskavas 260</t>
  </si>
  <si>
    <t>Zvīņu 6</t>
  </si>
  <si>
    <t>Valdemāra 89</t>
  </si>
  <si>
    <t>Limbažu 4/1</t>
  </si>
  <si>
    <t>Dumbrāja 18</t>
  </si>
  <si>
    <t>Vējavas 12</t>
  </si>
  <si>
    <t>Purvciema 26</t>
  </si>
  <si>
    <t>Vidrižu 4</t>
  </si>
  <si>
    <t>Vadakstes 1</t>
  </si>
  <si>
    <t>Jaunsaules 18</t>
  </si>
  <si>
    <t>Ilūkstes 39</t>
  </si>
  <si>
    <t>Brīvības 115</t>
  </si>
  <si>
    <t>Sapieru 3b</t>
  </si>
  <si>
    <t>Jasmuižas 13</t>
  </si>
  <si>
    <t>Jasmuižas 24</t>
  </si>
  <si>
    <t>Tērbatas 78</t>
  </si>
  <si>
    <t>Bērzlapu 2</t>
  </si>
  <si>
    <t>Čiekurkalna 5. šķ l. 1</t>
  </si>
  <si>
    <t>Gramzdas 80</t>
  </si>
  <si>
    <t>Baltā 17</t>
  </si>
  <si>
    <t>Brīvības iela 136</t>
  </si>
  <si>
    <t>Maskavas 381/7</t>
  </si>
  <si>
    <t>Hipokrāta 41</t>
  </si>
  <si>
    <t>Andromedas g. 12</t>
  </si>
  <si>
    <t>Mūkusalas 29</t>
  </si>
  <si>
    <t>Talsu 9</t>
  </si>
  <si>
    <t>Kalnciema 20</t>
  </si>
  <si>
    <t>Sadovņikova 39a</t>
  </si>
  <si>
    <t>Stopiņu 12</t>
  </si>
  <si>
    <t>Vesetas 30</t>
  </si>
  <si>
    <t>Sadovņikova 21</t>
  </si>
  <si>
    <t>Vārnu 8</t>
  </si>
  <si>
    <t>Klusā 21</t>
  </si>
  <si>
    <t>Lemešu 9</t>
  </si>
  <si>
    <t>Vecrīga</t>
  </si>
  <si>
    <t>Kungu 25</t>
  </si>
  <si>
    <t>Maskavas 313</t>
  </si>
  <si>
    <t>Čehu pr.</t>
  </si>
  <si>
    <t>Priedaines 13</t>
  </si>
  <si>
    <t>Teātra 2</t>
  </si>
  <si>
    <t>Valguma 35</t>
  </si>
  <si>
    <t>Lugažu 14</t>
  </si>
  <si>
    <t>Kurzemes pr. 2</t>
  </si>
  <si>
    <t>Lēpju 13</t>
  </si>
  <si>
    <t>Bieriņi</t>
  </si>
  <si>
    <t>Spirgus 4</t>
  </si>
  <si>
    <t>Klijānu 12</t>
  </si>
  <si>
    <t>Vesetas 26</t>
  </si>
  <si>
    <t>Bruņinieku 72</t>
  </si>
  <si>
    <t>Nīcgales 52</t>
  </si>
  <si>
    <t>Nīcgales 4</t>
  </si>
  <si>
    <t>Dzirnavu 6</t>
  </si>
  <si>
    <t>Raiņa bulv. 1</t>
  </si>
  <si>
    <t>Viestura pr. 16</t>
  </si>
  <si>
    <t>Dzirciema</t>
  </si>
  <si>
    <t>Barona 28</t>
  </si>
  <si>
    <t>Lāčplēša 70</t>
  </si>
  <si>
    <t>Brīvības gatve 365</t>
  </si>
  <si>
    <t>Birznieka-Upīša 18a</t>
  </si>
  <si>
    <t>Rūdolfa 1</t>
  </si>
  <si>
    <t>Tomsona 30</t>
  </si>
  <si>
    <t>Brīvības gatve 405/1</t>
  </si>
  <si>
    <t>Berģu 17</t>
  </si>
  <si>
    <t>Lielezeres 10</t>
  </si>
  <si>
    <t>Graudu 13</t>
  </si>
  <si>
    <t>Klijānu 6</t>
  </si>
  <si>
    <t>Lāčplēša 77</t>
  </si>
  <si>
    <t>Čiekurkalna 2. l. 1</t>
  </si>
  <si>
    <t>Pulkv. Brieža 21</t>
  </si>
  <si>
    <t>Ieriķu 33</t>
  </si>
  <si>
    <t>Maskavas 250/6</t>
  </si>
  <si>
    <t>Lokomotīves 88</t>
  </si>
  <si>
    <t>Dzelzavas 53</t>
  </si>
  <si>
    <t>Kaivas 50/1</t>
  </si>
  <si>
    <t>Valdemāra 37</t>
  </si>
  <si>
    <t>Stabu 94</t>
  </si>
  <si>
    <t>Dzeņu 8</t>
  </si>
  <si>
    <t>Ganību d. 31b</t>
  </si>
  <si>
    <t>Blaumaņa 12</t>
  </si>
  <si>
    <t>Anniņmuižas 2 b</t>
  </si>
  <si>
    <t>Ūnijas 32</t>
  </si>
  <si>
    <t>Viestura pr. 37</t>
  </si>
  <si>
    <t>Marijas 20</t>
  </si>
  <si>
    <t>Ozolciema 24</t>
  </si>
  <si>
    <t>Hipokrāta 13</t>
  </si>
  <si>
    <t>Lokomotīves 46</t>
  </si>
  <si>
    <t>Valdeķu 62</t>
  </si>
  <si>
    <t>Cēsu 41</t>
  </si>
  <si>
    <t>Dudajeva g. 5</t>
  </si>
  <si>
    <t>Brekši</t>
  </si>
  <si>
    <t>Biķernieku 218</t>
  </si>
  <si>
    <t>Silciema 5</t>
  </si>
  <si>
    <t>Pērnavas 43</t>
  </si>
  <si>
    <t>Matīsa 41</t>
  </si>
  <si>
    <t>Matīsa 46</t>
  </si>
  <si>
    <t>Motoru 3</t>
  </si>
  <si>
    <t>Barona 24/26</t>
  </si>
  <si>
    <t>Ozolciema 30</t>
  </si>
  <si>
    <t>Zvaigžņu 24</t>
  </si>
  <si>
    <t>Bērzpils 1</t>
  </si>
  <si>
    <t>Hipokrāta 17</t>
  </si>
  <si>
    <t>Cēsu 5</t>
  </si>
  <si>
    <t>Valdemāra 53</t>
  </si>
  <si>
    <t>Tukuma 3</t>
  </si>
  <si>
    <t>Apes 5</t>
  </si>
  <si>
    <t>Gregora 8</t>
  </si>
  <si>
    <t>Daugavgrīvas 74a</t>
  </si>
  <si>
    <t>Ilūkstes 467</t>
  </si>
  <si>
    <t>Maskavas</t>
  </si>
  <si>
    <t>Dzelzavas 79</t>
  </si>
  <si>
    <t>Salnas 34</t>
  </si>
  <si>
    <t>Līvciema 9</t>
  </si>
  <si>
    <t>Lāčplēša 123</t>
  </si>
  <si>
    <t>Burtnieku 35</t>
  </si>
  <si>
    <t>Tomsona 23</t>
  </si>
  <si>
    <t>Kurzemes pr. 68</t>
  </si>
  <si>
    <t>Tērbatas 26</t>
  </si>
  <si>
    <t>Lilijas 22</t>
  </si>
  <si>
    <t>Saulgožu 19</t>
  </si>
  <si>
    <t>Ganu 4</t>
  </si>
  <si>
    <t>Rītupes 28</t>
  </si>
  <si>
    <t>Sofijas 4</t>
  </si>
  <si>
    <t>Motoru 7</t>
  </si>
  <si>
    <t>Carnikavas 3c</t>
  </si>
  <si>
    <t>Gramzdas 19</t>
  </si>
  <si>
    <t>Birzes 42</t>
  </si>
  <si>
    <t>Hipokrāta 11</t>
  </si>
  <si>
    <t>Maskavas 50</t>
  </si>
  <si>
    <t>Barona 25</t>
  </si>
  <si>
    <t>Matīsa 85</t>
  </si>
  <si>
    <t>Krustpils 123a</t>
  </si>
  <si>
    <t>Purvciema 13</t>
  </si>
  <si>
    <t>Kurzemes pr. 148</t>
  </si>
  <si>
    <t>Dubultu 20</t>
  </si>
  <si>
    <t>Melīdas 1/15</t>
  </si>
  <si>
    <t>Stabu 102</t>
  </si>
  <si>
    <t>Juglas 3</t>
  </si>
  <si>
    <t>Valentīna 16</t>
  </si>
  <si>
    <t>Anniņmuižas iela 28</t>
  </si>
  <si>
    <t>Nīcgales 21</t>
  </si>
  <si>
    <t>Kleistu 8</t>
  </si>
  <si>
    <t>Stabu 18a</t>
  </si>
  <si>
    <t>Slokas 13a</t>
  </si>
  <si>
    <t>Talsu 42</t>
  </si>
  <si>
    <t>Saharova 27</t>
  </si>
  <si>
    <t>Artilērijas 35b</t>
  </si>
  <si>
    <t>Ozolciema 21/1</t>
  </si>
  <si>
    <t>Vīksnes 21</t>
  </si>
  <si>
    <t>Slāvu 13</t>
  </si>
  <si>
    <t>Grēcinieku 24</t>
  </si>
  <si>
    <t>Viestura pr. 22</t>
  </si>
  <si>
    <t>Upes 2a</t>
  </si>
  <si>
    <t>Brīvības 103</t>
  </si>
  <si>
    <t>Juglasciema b. 54</t>
  </si>
  <si>
    <t>Raņķa d. 34</t>
  </si>
  <si>
    <t>Ogļu 32</t>
  </si>
  <si>
    <t>Ogļu 30</t>
  </si>
  <si>
    <t>Stabu 16</t>
  </si>
  <si>
    <t>Blaumaņa 21</t>
  </si>
  <si>
    <t>Šarlotes 7</t>
  </si>
  <si>
    <t>Rūpniecības 22</t>
  </si>
  <si>
    <t>Vidzemes al. 1</t>
  </si>
  <si>
    <t>Krāsotāju 6</t>
  </si>
  <si>
    <t>Elizabetes 57a</t>
  </si>
  <si>
    <t>Juglas 23-18</t>
  </si>
  <si>
    <t>Sadovņikova 47</t>
  </si>
  <si>
    <t>Salacas 1</t>
  </si>
  <si>
    <t>Birznieka-Upīša 10</t>
  </si>
  <si>
    <t>Mūkusalas 25</t>
  </si>
  <si>
    <t>Peitavas 5</t>
  </si>
  <si>
    <t>Dammes 13</t>
  </si>
  <si>
    <t>Terēzes 8</t>
  </si>
  <si>
    <t>Bruņinieku 68a</t>
  </si>
  <si>
    <t>Anniņmuižas bulvāris 41</t>
  </si>
  <si>
    <t>Pūces 45</t>
  </si>
  <si>
    <t>Daugavpils 8</t>
  </si>
  <si>
    <t>Stūres 2</t>
  </si>
  <si>
    <t>Ausekļa 8</t>
  </si>
  <si>
    <t>Graudu 29</t>
  </si>
  <si>
    <t>Lielirbes 13</t>
  </si>
  <si>
    <t>11. novembra krastm. 11</t>
  </si>
  <si>
    <t>Kaivas 50</t>
  </si>
  <si>
    <t>Gobas 29</t>
  </si>
  <si>
    <t>Kalnciema 57</t>
  </si>
  <si>
    <t>Laipu 6</t>
  </si>
  <si>
    <t>Čaka 143</t>
  </si>
  <si>
    <t>Ozolciema 12/2</t>
  </si>
  <si>
    <t>Lugažu 4</t>
  </si>
  <si>
    <t>Prūšu 15</t>
  </si>
  <si>
    <t>Lilijas 9</t>
  </si>
  <si>
    <t>Brīvības 30</t>
  </si>
  <si>
    <t>Kalniņa 6</t>
  </si>
  <si>
    <t>Gobas 28</t>
  </si>
  <si>
    <t>Maskavas 238</t>
  </si>
  <si>
    <t>Ogres 5</t>
  </si>
  <si>
    <t>Kvēles 15/15</t>
  </si>
  <si>
    <t>Stirnu 53</t>
  </si>
  <si>
    <t>Stabu 15</t>
  </si>
  <si>
    <t>Matīsa 69a</t>
  </si>
  <si>
    <t>Lāčplēša 125</t>
  </si>
  <si>
    <t>Sniega 2</t>
  </si>
  <si>
    <t>Tērbatas 60</t>
  </si>
  <si>
    <t>Blaumaņa 9</t>
  </si>
  <si>
    <t>Ilūkstes 41</t>
  </si>
  <si>
    <t>Sniķeres 24</t>
  </si>
  <si>
    <t>Ģertrūdes 50</t>
  </si>
  <si>
    <t>Gravas 17</t>
  </si>
  <si>
    <t>Dolomīta 2</t>
  </si>
  <si>
    <t>Kundziņsala</t>
  </si>
  <si>
    <t>Kundziņsalas 8. šķ. l. 3</t>
  </si>
  <si>
    <t>Mežciema 23</t>
  </si>
  <si>
    <t>Alauksta 9</t>
  </si>
  <si>
    <t>Kuldīgas 45</t>
  </si>
  <si>
    <t>Parādes 22</t>
  </si>
  <si>
    <t>Ģertrūdes 81</t>
  </si>
  <si>
    <t>Brīvības iela 165</t>
  </si>
  <si>
    <t>Ķeguma 43</t>
  </si>
  <si>
    <t>Platā</t>
  </si>
  <si>
    <t>Ozolciema 48</t>
  </si>
  <si>
    <t>Stabu 46</t>
  </si>
  <si>
    <t>Artilērijas 3</t>
  </si>
  <si>
    <t>Blaumaņa 56</t>
  </si>
  <si>
    <t>Stērstu 22</t>
  </si>
  <si>
    <t>Miera 93</t>
  </si>
  <si>
    <t>Kalniņa 1</t>
  </si>
  <si>
    <t>Ganību d. 13</t>
  </si>
  <si>
    <t>Brīvības gatve 404</t>
  </si>
  <si>
    <t>Čaka 59</t>
  </si>
  <si>
    <t>Biķernieku 242</t>
  </si>
  <si>
    <t>Brīvības gatve 209</t>
  </si>
  <si>
    <t>Augšzemes 5</t>
  </si>
  <si>
    <t>Kuģu 26</t>
  </si>
  <si>
    <t>Zvaigžņu 31</t>
  </si>
  <si>
    <t>Blaumaņa 8</t>
  </si>
  <si>
    <t>Reņģes 70 k2</t>
  </si>
  <si>
    <t>Jēkabpils 9</t>
  </si>
  <si>
    <t>Ruses 26</t>
  </si>
  <si>
    <t>Dzegužu 1</t>
  </si>
  <si>
    <t>Šampēteris-Pleskodāle</t>
  </si>
  <si>
    <t>Komētas 18</t>
  </si>
  <si>
    <t>Čaka 52/2</t>
  </si>
  <si>
    <t>Jasmuižas 22</t>
  </si>
  <si>
    <t>Matīsa 35</t>
  </si>
  <si>
    <t>Salaspils 16b</t>
  </si>
  <si>
    <t>Mārstaļu 16</t>
  </si>
  <si>
    <t>Barona 60</t>
  </si>
  <si>
    <t>Aviācijas 23</t>
  </si>
  <si>
    <t>Zemgala gatve 52</t>
  </si>
  <si>
    <t>Vangažu 11</t>
  </si>
  <si>
    <t>Melnsila 14</t>
  </si>
  <si>
    <t>Ilūkstes 109</t>
  </si>
  <si>
    <t>Lāčplēša 18</t>
  </si>
  <si>
    <t>Pavasara g. 1</t>
  </si>
  <si>
    <t>Dammes 4</t>
  </si>
  <si>
    <t>Daugavgrīvas 55</t>
  </si>
  <si>
    <t>Pelnu 2</t>
  </si>
  <si>
    <t>Mežrozīšu 5</t>
  </si>
  <si>
    <t>Jaunciems</t>
  </si>
  <si>
    <t>Jaunciema g. 167</t>
  </si>
  <si>
    <t>Rostokas 4</t>
  </si>
  <si>
    <t>Viļņas 3</t>
  </si>
  <si>
    <t>Ceļinieku 12</t>
  </si>
  <si>
    <t>Meldru 6</t>
  </si>
  <si>
    <t>Torņakalns</t>
  </si>
  <si>
    <t>Konrāda 9</t>
  </si>
  <si>
    <t>Malēju 4a</t>
  </si>
  <si>
    <t>Mildas 4a</t>
  </si>
  <si>
    <t>Barona 21</t>
  </si>
  <si>
    <t>Saharova 7</t>
  </si>
  <si>
    <t>Emmas 28</t>
  </si>
  <si>
    <t>Jersikas 37</t>
  </si>
  <si>
    <t>Maskavas 68</t>
  </si>
  <si>
    <t>Hospitāļu 38</t>
  </si>
  <si>
    <t>Maskavas 256</t>
  </si>
  <si>
    <t>Vāgnera 12</t>
  </si>
  <si>
    <t>Ciemupes 1</t>
  </si>
  <si>
    <t>Stabu 111</t>
  </si>
  <si>
    <t>Hāpsalas 1/1</t>
  </si>
  <si>
    <t>Sila 2</t>
  </si>
  <si>
    <t>Bauskas 135</t>
  </si>
  <si>
    <t>Maskavas 108</t>
  </si>
  <si>
    <t>Duntes 24a</t>
  </si>
  <si>
    <t>Valmieras 32</t>
  </si>
  <si>
    <t>Dammes 36</t>
  </si>
  <si>
    <t>Change</t>
  </si>
  <si>
    <t>Līvciema 10</t>
  </si>
  <si>
    <t>Tomsona 42</t>
  </si>
  <si>
    <t>Altonavas 19</t>
  </si>
  <si>
    <t>Viestura pr. 43</t>
  </si>
  <si>
    <t>Valdemāra 23</t>
  </si>
  <si>
    <t>Lāčplēša 11</t>
  </si>
  <si>
    <t>Ezermalas 13</t>
  </si>
  <si>
    <t>Skolas 38</t>
  </si>
  <si>
    <t>Lienes 14</t>
  </si>
  <si>
    <t>Birznieka-Upīša 13</t>
  </si>
  <si>
    <t>Barona 17</t>
  </si>
  <si>
    <t>Dzelzavas 76</t>
  </si>
  <si>
    <t>Maskavas 419</t>
  </si>
  <si>
    <t>Pļavnieku 9</t>
  </si>
  <si>
    <t>Grestes 2</t>
  </si>
  <si>
    <t>Salaspils 12/3</t>
  </si>
  <si>
    <t>Īslīces 14</t>
  </si>
  <si>
    <t>Jelgavas 63</t>
  </si>
  <si>
    <t>Burtnieku 33</t>
  </si>
  <si>
    <t>Katrīnas d. 24/3</t>
  </si>
  <si>
    <t>Tilta 4</t>
  </si>
  <si>
    <t>Viļānu 6</t>
  </si>
  <si>
    <t>Marijas 16</t>
  </si>
  <si>
    <t>Rudens 9</t>
  </si>
  <si>
    <t>Komētas 26</t>
  </si>
  <si>
    <t>Komētas 32</t>
  </si>
  <si>
    <t>Tapešu 23</t>
  </si>
  <si>
    <t>Bieziņa 3</t>
  </si>
  <si>
    <t>Rēznas 5</t>
  </si>
  <si>
    <t>Reņģes 2a</t>
  </si>
  <si>
    <t>Nometņu 62</t>
  </si>
  <si>
    <t>Marsa g. 10</t>
  </si>
  <si>
    <t>Lāčplēša 98</t>
  </si>
  <si>
    <t>Maskavas 180</t>
  </si>
  <si>
    <t>Mangaļsala</t>
  </si>
  <si>
    <t>Bākas 19</t>
  </si>
  <si>
    <t>Vaidelotes 26</t>
  </si>
  <si>
    <t>Krāslavas 7</t>
  </si>
  <si>
    <t>Skārņu 25</t>
  </si>
  <si>
    <t>Alberta 7</t>
  </si>
  <si>
    <t>Uzvaras bulv. 2/4a</t>
  </si>
  <si>
    <t>Vīlipa 8</t>
  </si>
  <si>
    <t>Palmu 13</t>
  </si>
  <si>
    <t>Reņģes 5</t>
  </si>
  <si>
    <t>Buļļu 42a</t>
  </si>
  <si>
    <t>Stirnu 43</t>
  </si>
  <si>
    <t>Rūpniecības 20</t>
  </si>
  <si>
    <t>Stendes 5</t>
  </si>
  <si>
    <t>Madonas 25</t>
  </si>
  <si>
    <t>Dzelzavas 74k1</t>
  </si>
  <si>
    <t>Eizenšteina</t>
  </si>
  <si>
    <t>Stārķu 2</t>
  </si>
  <si>
    <t>Sesku 11</t>
  </si>
  <si>
    <t>Kurzemes pr. 112</t>
  </si>
  <si>
    <t>Baltā 22/1</t>
  </si>
  <si>
    <t>Aglonas 12</t>
  </si>
  <si>
    <t>Vīlandes 10</t>
  </si>
  <si>
    <t>Stabu 71</t>
  </si>
  <si>
    <t>Brīvības iela 139</t>
  </si>
  <si>
    <t>Vīlandes 5</t>
  </si>
  <si>
    <t>Jaunsaules 5</t>
  </si>
  <si>
    <t>Rūpniecības 5</t>
  </si>
  <si>
    <t>Mežciema 44</t>
  </si>
  <si>
    <t>Tērbatas 59/61</t>
  </si>
  <si>
    <t>Stirnu 36</t>
  </si>
  <si>
    <t>Kaivas 74b</t>
  </si>
  <si>
    <t>Kaivas 50-94b</t>
  </si>
  <si>
    <t>Zolitūdes 47</t>
  </si>
  <si>
    <t>Jeruzalemes 5</t>
  </si>
  <si>
    <t>Dubultu 4</t>
  </si>
  <si>
    <t>Čaka 117/1</t>
  </si>
  <si>
    <t>Birzes 46</t>
  </si>
  <si>
    <t>Skanstes 29a</t>
  </si>
  <si>
    <t>Maskavas 57</t>
  </si>
  <si>
    <t>Bajāru 7</t>
  </si>
  <si>
    <t>Gramzdas 82</t>
  </si>
  <si>
    <t>Valdeķu 50/1</t>
  </si>
  <si>
    <t>Gogoļa 7</t>
  </si>
  <si>
    <t>Pulkv. Brieža 7</t>
  </si>
  <si>
    <t>Sesku 7/1</t>
  </si>
  <si>
    <t>Flotes 8</t>
  </si>
  <si>
    <t>Rinkas 3</t>
  </si>
  <si>
    <t>Veldres 7</t>
  </si>
  <si>
    <t>Sadovņikova 25</t>
  </si>
  <si>
    <t>Salaspils 18/4</t>
  </si>
  <si>
    <t>Blaumaņa 36</t>
  </si>
  <si>
    <t>Kurzemes pr. 122</t>
  </si>
  <si>
    <t>Ulbrokas 12</t>
  </si>
  <si>
    <t>Antonijas 22</t>
  </si>
  <si>
    <t>Līvciema 9/1</t>
  </si>
  <si>
    <t>Lidoņu 3a</t>
  </si>
  <si>
    <t>Alauksta 21</t>
  </si>
  <si>
    <t>Bākūžu 13a</t>
  </si>
  <si>
    <t>Ūnijas 76a</t>
  </si>
  <si>
    <t>Brīvības gatve 229</t>
  </si>
  <si>
    <t>Pērnavas 7</t>
  </si>
  <si>
    <t>Ģertrūdes 69/71</t>
  </si>
  <si>
    <t>11. novembra krastm. 121</t>
  </si>
  <si>
    <t>Valdeķu 54/4</t>
  </si>
  <si>
    <t>Ilūkstes 101/1</t>
  </si>
  <si>
    <t>Nīcgales 46</t>
  </si>
  <si>
    <t>Pērnavas 39</t>
  </si>
  <si>
    <t>Ģertrūdes 99k2</t>
  </si>
  <si>
    <t>Asara 12/5</t>
  </si>
  <si>
    <t>Maskavas 268/2</t>
  </si>
  <si>
    <t>Ģertrūdes 22</t>
  </si>
  <si>
    <t>Čaka 156</t>
  </si>
  <si>
    <t>Krāsotāju 2</t>
  </si>
  <si>
    <t>Duntes 28</t>
  </si>
  <si>
    <t>Riekstu 11</t>
  </si>
  <si>
    <t>Maltas 21</t>
  </si>
  <si>
    <t>Brīvības iela 162k2</t>
  </si>
  <si>
    <t>Brīvības gatve 391</t>
  </si>
  <si>
    <t>Brīvības 162/2</t>
  </si>
  <si>
    <t>Pavasara g. 2</t>
  </si>
  <si>
    <t>Brīvības gatve 388</t>
  </si>
  <si>
    <t>Indrānu 3</t>
  </si>
  <si>
    <t>Eizenšteina 79</t>
  </si>
  <si>
    <t>Slokas 217</t>
  </si>
  <si>
    <t>Lāčplēša 119</t>
  </si>
  <si>
    <t>Palangas 1</t>
  </si>
  <si>
    <t>Keldiša 28</t>
  </si>
  <si>
    <t>Tērbatas 16/18</t>
  </si>
  <si>
    <t>Ģertrūdes 113</t>
  </si>
  <si>
    <t>Baložu 5</t>
  </si>
  <si>
    <t>Ķīpsalas 4</t>
  </si>
  <si>
    <t>Višķu 11</t>
  </si>
  <si>
    <t>Salaspils 12 k5</t>
  </si>
  <si>
    <t>Sarkandaugavas 31</t>
  </si>
  <si>
    <t>Maltas 15</t>
  </si>
  <si>
    <t>Ozolciema 38</t>
  </si>
  <si>
    <t>Stirnu 37</t>
  </si>
  <si>
    <t>Salnas 21</t>
  </si>
  <si>
    <t>Matīsa 109</t>
  </si>
  <si>
    <t>Ķiršu 4</t>
  </si>
  <si>
    <t>Sērenes 4</t>
  </si>
  <si>
    <t>Salnas 24</t>
  </si>
  <si>
    <t>Zaubes 9</t>
  </si>
  <si>
    <t>Vairoga 32</t>
  </si>
  <si>
    <t>Maskavas 268</t>
  </si>
  <si>
    <t>Staru 21</t>
  </si>
  <si>
    <t>Kāvu 4</t>
  </si>
  <si>
    <t>Ūnijas 64</t>
  </si>
  <si>
    <t>Kurzemes pr. 86</t>
  </si>
  <si>
    <t>Patversmes 30/2</t>
  </si>
  <si>
    <t>Brīvības 72</t>
  </si>
  <si>
    <t>Jasmuižas 10</t>
  </si>
  <si>
    <t>Strēlnieku 7</t>
  </si>
  <si>
    <t>Pulkv. Brieža 3</t>
  </si>
  <si>
    <t>Skolas 36</t>
  </si>
  <si>
    <t>Kuldīgas 32</t>
  </si>
  <si>
    <t>Kurzemes pr. 58</t>
  </si>
  <si>
    <t>Volguntes 27</t>
  </si>
  <si>
    <t>Dzirnavu 130</t>
  </si>
  <si>
    <t>Alberta 9</t>
  </si>
  <si>
    <t>Maskavas 224</t>
  </si>
  <si>
    <t>Brīvības 59</t>
  </si>
  <si>
    <t>Lielupes 1</t>
  </si>
  <si>
    <t>Lenču 2</t>
  </si>
  <si>
    <t>Valdemāra 75</t>
  </si>
  <si>
    <t>Strautu 27</t>
  </si>
  <si>
    <t>Barona 63</t>
  </si>
  <si>
    <t>Kandavas 8</t>
  </si>
  <si>
    <t>J. Vācieša 2</t>
  </si>
  <si>
    <t>Lāčplēša 14</t>
  </si>
  <si>
    <t>Jūrmalas g. 7</t>
  </si>
  <si>
    <t>Dzirciema 71</t>
  </si>
  <si>
    <t>Saharova 15</t>
  </si>
  <si>
    <t>Elizabetes 10</t>
  </si>
  <si>
    <t>Maskavas 261</t>
  </si>
  <si>
    <t>Ausekļa 11</t>
  </si>
  <si>
    <t>Madonas 2</t>
  </si>
  <si>
    <t>Palangas 7</t>
  </si>
  <si>
    <t>Maskavas 291</t>
  </si>
  <si>
    <t>Brīvības gatve 228</t>
  </si>
  <si>
    <t>Kalēju 74</t>
  </si>
  <si>
    <t>Ciemupes 2</t>
  </si>
  <si>
    <t>Kāvu 10</t>
  </si>
  <si>
    <t>Maskavas 146</t>
  </si>
  <si>
    <t>Ģertrūdes 99</t>
  </si>
  <si>
    <t>13. janvāra 33</t>
  </si>
  <si>
    <t>Miera 105</t>
  </si>
  <si>
    <t>Ilūkstes 103/3</t>
  </si>
  <si>
    <t>Elku 4</t>
  </si>
  <si>
    <t>Kleistu 11-1</t>
  </si>
  <si>
    <t>Valdemāra 106</t>
  </si>
  <si>
    <t>Ūnijas 36</t>
  </si>
  <si>
    <t>Dammes 25</t>
  </si>
  <si>
    <t>Baznīcas 35</t>
  </si>
  <si>
    <t>Rusova 9</t>
  </si>
  <si>
    <t>Matīsa 82</t>
  </si>
  <si>
    <t>Ezera 18</t>
  </si>
  <si>
    <t>Hāpsalas 1k3</t>
  </si>
  <si>
    <t>Volguntes 17a</t>
  </si>
  <si>
    <t>Ģertrūdes 107</t>
  </si>
  <si>
    <t>Vaidavas 2</t>
  </si>
  <si>
    <t>Lokomotīves 48</t>
  </si>
  <si>
    <t>Čiekurkalna 1. l. 65</t>
  </si>
  <si>
    <t>J. Vācieša 6</t>
  </si>
  <si>
    <t>Mārtiņa 8</t>
  </si>
  <si>
    <t>Patversmes 5</t>
  </si>
  <si>
    <t>Pavasara g. 5</t>
  </si>
  <si>
    <t>Brīvības iela 161</t>
  </si>
  <si>
    <t>Bruņinieku 115a</t>
  </si>
  <si>
    <t>Ilūkstes 56</t>
  </si>
  <si>
    <t>Klusā 20</t>
  </si>
  <si>
    <t>Īslīces 3</t>
  </si>
  <si>
    <t>Ludviķa 3</t>
  </si>
  <si>
    <t>Rostokas 38</t>
  </si>
  <si>
    <t>Dudajeva g. 13</t>
  </si>
  <si>
    <t>Viršu 3</t>
  </si>
  <si>
    <t>Hipokrāta 47</t>
  </si>
  <si>
    <t>Zeltiņu 11</t>
  </si>
  <si>
    <t>Jelgavas 63 k-3</t>
  </si>
  <si>
    <t>Kalna 11</t>
  </si>
  <si>
    <t>Juglas 10</t>
  </si>
  <si>
    <t>Brīvības bulvāris 241</t>
  </si>
  <si>
    <t>Kreslera 1</t>
  </si>
  <si>
    <t>Kurzemes pr. 94</t>
  </si>
  <si>
    <t>Katrīnas d. 16a</t>
  </si>
  <si>
    <t>Staiceles 15</t>
  </si>
  <si>
    <t>Stirnu 1</t>
  </si>
  <si>
    <t>Klusā 9</t>
  </si>
  <si>
    <t>Plēksnes 6</t>
  </si>
  <si>
    <t>Baznīcas 7</t>
  </si>
  <si>
    <t>Daugavgrīvas 56</t>
  </si>
  <si>
    <t>Ropažu 22</t>
  </si>
  <si>
    <t>Stabu 49a</t>
  </si>
  <si>
    <t>Valdeķu 54/5</t>
  </si>
  <si>
    <t>Kalnciema 42</t>
  </si>
  <si>
    <t>Iļģuciema 5</t>
  </si>
  <si>
    <t>Ulbrokas 22</t>
  </si>
  <si>
    <t>Skujenes 13</t>
  </si>
  <si>
    <t>Caunes 17</t>
  </si>
  <si>
    <t>Brīvības iela 170</t>
  </si>
  <si>
    <t>Brīvības 92/94</t>
  </si>
  <si>
    <t>Raunas 19</t>
  </si>
  <si>
    <t>Rumbulas 1</t>
  </si>
  <si>
    <t>Kreslera 1/5</t>
  </si>
  <si>
    <t>Tērbatas 41/43</t>
  </si>
  <si>
    <t>13. janvāra 21</t>
  </si>
  <si>
    <t>Deglava 7</t>
  </si>
  <si>
    <t>Ruses 16</t>
  </si>
  <si>
    <t>Ozolu 5</t>
  </si>
  <si>
    <t>Hāpsalas 5</t>
  </si>
  <si>
    <t>Daugavgrīvas 132</t>
  </si>
  <si>
    <t>Rododendru 14</t>
  </si>
  <si>
    <t>Baltāsbaznīcas 23</t>
  </si>
  <si>
    <t>Marsa g. 6</t>
  </si>
  <si>
    <t>Elizabetes 9</t>
  </si>
  <si>
    <t>Juglas 12</t>
  </si>
  <si>
    <t>Pērnavas 14</t>
  </si>
  <si>
    <t>Dzirnavu 18</t>
  </si>
  <si>
    <t>Ozolciema 8</t>
  </si>
  <si>
    <t>Raiņa bulv. 31</t>
  </si>
  <si>
    <t>Lemešu 7</t>
  </si>
  <si>
    <t>Mālu 7</t>
  </si>
  <si>
    <t>Ģertrūdes 129</t>
  </si>
  <si>
    <t>Pededzes 4</t>
  </si>
  <si>
    <t>Ozolciema 52</t>
  </si>
  <si>
    <t>Dombrovska 41</t>
  </si>
  <si>
    <t>Lāčplēša 16</t>
  </si>
  <si>
    <t>Skrīnes 2</t>
  </si>
  <si>
    <t>Lielirbes 11</t>
  </si>
  <si>
    <t>Maskavas 250/8</t>
  </si>
  <si>
    <t>Tērbatas 41</t>
  </si>
  <si>
    <t>Zvaigznāja g. 4</t>
  </si>
  <si>
    <t>Melīdas 11</t>
  </si>
  <si>
    <t>Stopiņu 18</t>
  </si>
  <si>
    <t>Valdeķu 18</t>
  </si>
  <si>
    <t>Ilūkstes 12</t>
  </si>
  <si>
    <t>Kalsnavas 2e</t>
  </si>
  <si>
    <t>Kalniņa 8</t>
  </si>
  <si>
    <t>Matīsa 81</t>
  </si>
  <si>
    <t>Tvaika 16</t>
  </si>
  <si>
    <t>Parādes 2</t>
  </si>
  <si>
    <t>Čiekurkalna 3. šķ l. 28e</t>
  </si>
  <si>
    <t>Ganību d. 15</t>
  </si>
  <si>
    <t>Valdemāra 95</t>
  </si>
  <si>
    <t>Zemes 3</t>
  </si>
  <si>
    <t>Progresa 31</t>
  </si>
  <si>
    <t>Vaiņodes 24a</t>
  </si>
  <si>
    <t>Vecāķi</t>
  </si>
  <si>
    <t>Hipokrāta 33</t>
  </si>
  <si>
    <t>Tomsona 4</t>
  </si>
  <si>
    <t>Kleistu 179</t>
  </si>
  <si>
    <t>Kuģu 22</t>
  </si>
  <si>
    <t>Krustpils 73/4</t>
  </si>
  <si>
    <t>Brīvības iela 76</t>
  </si>
  <si>
    <t>Viršu 11</t>
  </si>
  <si>
    <t>Viestura pr. 55</t>
  </si>
  <si>
    <t>Vangažu 15</t>
  </si>
  <si>
    <t>Deglava 106</t>
  </si>
  <si>
    <t>M. Nometņu 85</t>
  </si>
  <si>
    <t>Maskavas 95</t>
  </si>
  <si>
    <t>Ieroču 2</t>
  </si>
  <si>
    <t>Burtnieku 36a</t>
  </si>
  <si>
    <t>Tvaika 50</t>
  </si>
  <si>
    <t>Valdemāra 73</t>
  </si>
  <si>
    <t>Augļu 11</t>
  </si>
  <si>
    <t>Pērnavas 4</t>
  </si>
  <si>
    <t>Dudajeva g. 11</t>
  </si>
  <si>
    <t>Stirnu 14</t>
  </si>
  <si>
    <t>Stirnu 22</t>
  </si>
  <si>
    <t>Elijas 20</t>
  </si>
  <si>
    <t>Meldru 24</t>
  </si>
  <si>
    <t>Slokas 185</t>
  </si>
  <si>
    <t>Ikšķiles 16</t>
  </si>
  <si>
    <t>Dzirciema 1</t>
  </si>
  <si>
    <t>Raunas 35</t>
  </si>
  <si>
    <t>Maskavas 321</t>
  </si>
  <si>
    <t>Emmas 3a</t>
  </si>
  <si>
    <t>Rūpniecības 44</t>
  </si>
  <si>
    <t>Kastrānes 1 k-2</t>
  </si>
  <si>
    <t>Mikus 20</t>
  </si>
  <si>
    <t>Bukulti</t>
  </si>
  <si>
    <t>Ādažu 11</t>
  </si>
  <si>
    <t>Avotu 2</t>
  </si>
  <si>
    <t>M. Matīsa 3</t>
  </si>
  <si>
    <t>Dzelzavas 88</t>
  </si>
  <si>
    <t>Ieriķu 32</t>
  </si>
  <si>
    <t>Čaka 36</t>
  </si>
  <si>
    <t>Biķernieku 160</t>
  </si>
  <si>
    <t>Ogres 14</t>
  </si>
  <si>
    <t>Biķernieku 128 k-2</t>
  </si>
  <si>
    <t>Vārnu 11a</t>
  </si>
  <si>
    <t>Nītaures 3</t>
  </si>
  <si>
    <t>Čiekurkalna 3. šķ l. 2a</t>
  </si>
  <si>
    <t>Lemešu 15</t>
  </si>
  <si>
    <t>Čaka 68</t>
  </si>
  <si>
    <t>Sudrabu Edžus 13</t>
  </si>
  <si>
    <t>Brīvības iela 68</t>
  </si>
  <si>
    <t>Vaļņu 8</t>
  </si>
  <si>
    <t>Edžiņa g. 7</t>
  </si>
  <si>
    <t>Maskavas 254</t>
  </si>
  <si>
    <t>Kreimeņu 3</t>
  </si>
  <si>
    <t>Valkas 4</t>
  </si>
  <si>
    <t>Zeļļu 5</t>
  </si>
  <si>
    <t>M. Balasta d. 72</t>
  </si>
  <si>
    <t>M. Krūmu 1</t>
  </si>
  <si>
    <t>Prūšu 4</t>
  </si>
  <si>
    <t>Indrānu 8</t>
  </si>
  <si>
    <t>Līvciema 43</t>
  </si>
  <si>
    <t>Maltas 29</t>
  </si>
  <si>
    <t>Lienes 27</t>
  </si>
  <si>
    <t>Ozolciema 20/1</t>
  </si>
  <si>
    <t>Anniņmuižas 40</t>
  </si>
  <si>
    <t>Katrīnas 21</t>
  </si>
  <si>
    <t>Miera 101</t>
  </si>
  <si>
    <t>Ģertrūdes 93</t>
  </si>
  <si>
    <t>Lāčplēša 35</t>
  </si>
  <si>
    <t>Ilūkstes 107</t>
  </si>
  <si>
    <t>Mālpils 2</t>
  </si>
  <si>
    <t>Lomonosova 2</t>
  </si>
  <si>
    <t>Krustpils 62</t>
  </si>
  <si>
    <t>Valdemāra 20</t>
  </si>
  <si>
    <t>Vīlandes 2</t>
  </si>
  <si>
    <t>Rūpniecības 21</t>
  </si>
  <si>
    <t>Čiekurkalna 1. l. 28</t>
  </si>
  <si>
    <t>Valdemāra 77</t>
  </si>
  <si>
    <t>Klusā 18</t>
  </si>
  <si>
    <t>Elizabetes 2a</t>
  </si>
  <si>
    <t>Maskavas 315</t>
  </si>
  <si>
    <t>Ilūkstes 42</t>
  </si>
  <si>
    <t>M. Krūmu 10</t>
  </si>
  <si>
    <t>Vīlipa 12</t>
  </si>
  <si>
    <t>Rigondas g. 3</t>
  </si>
  <si>
    <t>Ūdeļu 29</t>
  </si>
  <si>
    <t>Hospitāļu 7</t>
  </si>
  <si>
    <t>Rostokas 56</t>
  </si>
  <si>
    <t>Platā 22</t>
  </si>
  <si>
    <t>Višķu 13</t>
  </si>
  <si>
    <t>Lorupes 4</t>
  </si>
  <si>
    <t>Miera 5</t>
  </si>
  <si>
    <t>Bruņinieku 8</t>
  </si>
  <si>
    <t>Barona 30</t>
  </si>
  <si>
    <t>Cēsu 43</t>
  </si>
  <si>
    <t>Eksporta 6</t>
  </si>
  <si>
    <t>Dammes 31</t>
  </si>
  <si>
    <t>Tilta 24</t>
  </si>
  <si>
    <t>Vīksnes 29a</t>
  </si>
  <si>
    <t>Čiekurkalna 2. l. 61</t>
  </si>
  <si>
    <t>Tomsona 9</t>
  </si>
  <si>
    <t>Kantora 85/1</t>
  </si>
  <si>
    <t>Saldus 2a</t>
  </si>
  <si>
    <t>Lielupes 68</t>
  </si>
  <si>
    <t>Kaivas 29</t>
  </si>
  <si>
    <t>Kleistu 18</t>
  </si>
  <si>
    <t>Jeruzalemes 10</t>
  </si>
  <si>
    <t>Slāvu 13 k-2</t>
  </si>
  <si>
    <t>Vangažu 26</t>
  </si>
  <si>
    <t>Hāpsalas 21</t>
  </si>
  <si>
    <t>Voleri</t>
  </si>
  <si>
    <t>Daugavgrīvas š. 1b</t>
  </si>
  <si>
    <t>Pļavnieku 3</t>
  </si>
  <si>
    <t>Anniņmuižas 20</t>
  </si>
  <si>
    <t>Dzirnavu 63</t>
  </si>
  <si>
    <t>Rūpniecības 21 k-1</t>
  </si>
  <si>
    <t>Zvaigžņu 13c</t>
  </si>
  <si>
    <t>Gobas 32</t>
  </si>
  <si>
    <t>Barona 36</t>
  </si>
  <si>
    <t>Garā 33</t>
  </si>
  <si>
    <t>Purvciema 50</t>
  </si>
  <si>
    <t>Pulkv. Brieža 35</t>
  </si>
  <si>
    <t>Raunas 37/2</t>
  </si>
  <si>
    <t>Kristapa 16</t>
  </si>
  <si>
    <t>Talejas 6</t>
  </si>
  <si>
    <t>Zeļļu 13</t>
  </si>
  <si>
    <t>Volguntes 33a</t>
  </si>
  <si>
    <t>Bruņinieku 60</t>
  </si>
  <si>
    <t>Strautu 23</t>
  </si>
  <si>
    <t>Ropažu 49</t>
  </si>
  <si>
    <t>Jūrmalas g. 59</t>
  </si>
  <si>
    <t>Valdeķu 50 k-2</t>
  </si>
  <si>
    <t>Āgenskalna</t>
  </si>
  <si>
    <t>Čiekurkalna 6. šķ l. 21</t>
  </si>
  <si>
    <t>Ziemeļu 17</t>
  </si>
  <si>
    <t>Ozolciema 22</t>
  </si>
  <si>
    <t>Ormaņu 25</t>
  </si>
  <si>
    <t>Vagonu 22</t>
  </si>
  <si>
    <t>Matīsa 100</t>
  </si>
  <si>
    <t>Elizabetes 21a</t>
  </si>
  <si>
    <t>Vesetas 12</t>
  </si>
  <si>
    <t>Ziemeļblāzmas 42</t>
  </si>
  <si>
    <t>Deglava 54</t>
  </si>
  <si>
    <t>Briāna 4</t>
  </si>
  <si>
    <t>Zeltiņu 45</t>
  </si>
  <si>
    <t>Barona 13</t>
  </si>
  <si>
    <t>Meistaru 6</t>
  </si>
  <si>
    <t>Kurzemes pr. 32</t>
  </si>
  <si>
    <t>Spilves 25</t>
  </si>
  <si>
    <t>Tomsona 32</t>
  </si>
  <si>
    <t>Dzelzavas 68</t>
  </si>
  <si>
    <t>Maskavas 250 k-3</t>
  </si>
  <si>
    <t>Lāčplēša 13</t>
  </si>
  <si>
    <t>Kurzemes pr. 18</t>
  </si>
  <si>
    <t>Šmerļa 3</t>
  </si>
  <si>
    <t>Brīvības iela 82</t>
  </si>
  <si>
    <t>Jēkaba 26/28</t>
  </si>
  <si>
    <t>Iecavas 1</t>
  </si>
  <si>
    <t>Valdeķu 65</t>
  </si>
  <si>
    <t>Kaivas 50/4</t>
  </si>
  <si>
    <t>Ilūkstes 4</t>
  </si>
  <si>
    <t>Putnu 31</t>
  </si>
  <si>
    <t>Biķernieku 21</t>
  </si>
  <si>
    <t>Zvaigznāja g. 3</t>
  </si>
  <si>
    <t>Deglava 61</t>
  </si>
  <si>
    <t>Maskavas 16</t>
  </si>
  <si>
    <t>Ilūkstes 8</t>
  </si>
  <si>
    <t>Miera 86</t>
  </si>
  <si>
    <t>Salnas 16</t>
  </si>
  <si>
    <t>Bruknas 12</t>
  </si>
  <si>
    <t>Zilupes 16</t>
  </si>
  <si>
    <t>Pastendes 13</t>
  </si>
  <si>
    <t>Tīnūžu 10</t>
  </si>
  <si>
    <t>Stūres 9</t>
  </si>
  <si>
    <t>Katrīnas d. 20a</t>
  </si>
  <si>
    <t>Valentīna 16 k-2</t>
  </si>
  <si>
    <t>Biķernieku 12</t>
  </si>
  <si>
    <t>Miera 97</t>
  </si>
  <si>
    <t>Vienības g. 186a</t>
  </si>
  <si>
    <t>Ķempes 9</t>
  </si>
  <si>
    <t>Ūdens 12</t>
  </si>
  <si>
    <t>Bruknas 14</t>
  </si>
  <si>
    <t>Embūtes 22</t>
  </si>
  <si>
    <t>Cēsu 8</t>
  </si>
  <si>
    <t>Jēkabpils 16</t>
  </si>
  <si>
    <t>Kalnciema 106</t>
  </si>
  <si>
    <t>Tallinas 54</t>
  </si>
  <si>
    <t>Zemes 13</t>
  </si>
  <si>
    <t>Tomsona 2</t>
  </si>
  <si>
    <t>Dzirnavu 132</t>
  </si>
  <si>
    <t>Anniņmuižas 13</t>
  </si>
  <si>
    <t>Rēznas 10b</t>
  </si>
  <si>
    <t>Prūšu 21/2</t>
  </si>
  <si>
    <t>Zemgaļu 99</t>
  </si>
  <si>
    <t>Hospitāļu 23</t>
  </si>
  <si>
    <t>Lāčplēša 62</t>
  </si>
  <si>
    <t>Hospitāļu 7a</t>
  </si>
  <si>
    <t>Sabiles 8</t>
  </si>
  <si>
    <t>Baldones 28</t>
  </si>
  <si>
    <t>Čaka 132</t>
  </si>
  <si>
    <t>Rūpniecības 9</t>
  </si>
  <si>
    <t>Dzirciema 7/1</t>
  </si>
  <si>
    <t>Čiekurkalna 3. šķ l. 25</t>
  </si>
  <si>
    <t>Stirnu 20</t>
  </si>
  <si>
    <t>Strēlnieku 13</t>
  </si>
  <si>
    <t>Maskavas 415</t>
  </si>
  <si>
    <t>Īslīces 1</t>
  </si>
  <si>
    <t>Dzelzavas 37</t>
  </si>
  <si>
    <t>Stirnu 33</t>
  </si>
  <si>
    <t>Ilūkstes 101</t>
  </si>
  <si>
    <t>Duntes 1</t>
  </si>
  <si>
    <t>Ieroču 10</t>
  </si>
  <si>
    <t>Anniņmuižas iela 38</t>
  </si>
  <si>
    <t>Visbijas pr. 45</t>
  </si>
  <si>
    <t>Viestura pr. 51</t>
  </si>
  <si>
    <t>Kurzemes pr. 6</t>
  </si>
  <si>
    <t>Lēpju 5</t>
  </si>
  <si>
    <t>Kaplavas 5</t>
  </si>
  <si>
    <t>M. Piena 8</t>
  </si>
  <si>
    <t>Alūksnes 2</t>
  </si>
  <si>
    <t>Kurzemes pr. 92</t>
  </si>
  <si>
    <t>Ozolciema 40a</t>
  </si>
  <si>
    <t>Pļavnieku 5</t>
  </si>
  <si>
    <t>Lilijas 18</t>
  </si>
  <si>
    <t>Maskavas 273</t>
  </si>
  <si>
    <t>Ventspils 7</t>
  </si>
  <si>
    <t>Lapu 29</t>
  </si>
  <si>
    <t>Komētas 34</t>
  </si>
  <si>
    <t>Brīvības iela 168</t>
  </si>
  <si>
    <t>Valdeķu 17</t>
  </si>
  <si>
    <t>Matīsa 137</t>
  </si>
  <si>
    <t>Klijānu 16</t>
  </si>
  <si>
    <t>Staiceles 1</t>
  </si>
  <si>
    <t>Ozolciema 28</t>
  </si>
  <si>
    <t>Rinkas 1/1</t>
  </si>
  <si>
    <t>Bāriņu 1a</t>
  </si>
  <si>
    <t>Lubānas 999</t>
  </si>
  <si>
    <t>Zvejnieku 24</t>
  </si>
  <si>
    <t>Stendes 7/3</t>
  </si>
  <si>
    <t>Kalnciema 105</t>
  </si>
  <si>
    <t>Ūnijas 67</t>
  </si>
  <si>
    <t>Antonijas 16a</t>
  </si>
  <si>
    <t>Stabu 92</t>
  </si>
  <si>
    <t>Varavīksnes g. 2</t>
  </si>
  <si>
    <t>Vienības g. 126</t>
  </si>
  <si>
    <t>Vesetas 32</t>
  </si>
  <si>
    <t>Ķeguma 60</t>
  </si>
  <si>
    <t>Bauskas 33</t>
  </si>
  <si>
    <t>Baltāsbaznīcas 33</t>
  </si>
  <si>
    <t>Rusova 24</t>
  </si>
  <si>
    <t>Juglas 3a</t>
  </si>
  <si>
    <t>Lapsu 12</t>
  </si>
  <si>
    <t>Gliemežu 5</t>
  </si>
  <si>
    <t>Vecmīlgrāvja 1. l. 37</t>
  </si>
  <si>
    <t>Imantas 16. l. 7</t>
  </si>
  <si>
    <t>Viestura pr. 59</t>
  </si>
  <si>
    <t>Dzērvju 3</t>
  </si>
  <si>
    <t>Kalngales 1</t>
  </si>
  <si>
    <t>Grodņas 1a</t>
  </si>
  <si>
    <t>Rudens 8</t>
  </si>
  <si>
    <t>Sadovņikova 17</t>
  </si>
  <si>
    <t>Ģertrūdes 91</t>
  </si>
  <si>
    <t>Klijānu 2a</t>
  </si>
  <si>
    <t>Emmas 14</t>
  </si>
  <si>
    <t>Deglava 57</t>
  </si>
  <si>
    <t>Ģertrūdes 31</t>
  </si>
  <si>
    <t>Hospitāļu 15</t>
  </si>
  <si>
    <t>Caunes 10</t>
  </si>
  <si>
    <t>Lāčplēša 127</t>
  </si>
  <si>
    <t>Biķernieku 102</t>
  </si>
  <si>
    <t>Ruses 7</t>
  </si>
  <si>
    <t>Matīsa 69</t>
  </si>
  <si>
    <t>Čiekurkalna 2. šķ l. 4k1</t>
  </si>
  <si>
    <t>Mēmeles 5a</t>
  </si>
  <si>
    <t>Astras 8</t>
  </si>
  <si>
    <t>Lokomotīves 60</t>
  </si>
  <si>
    <t>Kalēju 47</t>
  </si>
  <si>
    <t>Mēness 11</t>
  </si>
  <si>
    <t>Kaivas 50-36d</t>
  </si>
  <si>
    <t>Ozolciema 16/6</t>
  </si>
  <si>
    <t>Valmieras 28</t>
  </si>
  <si>
    <t>Baznīcas 27/29</t>
  </si>
  <si>
    <t>Strēlnieku 19</t>
  </si>
  <si>
    <t>Kurzemes pr. 24</t>
  </si>
  <si>
    <t>Kurzemes pr. 12</t>
  </si>
  <si>
    <t>Matīsa 80a</t>
  </si>
  <si>
    <t>Granīta 7</t>
  </si>
  <si>
    <t>Rembates 8</t>
  </si>
  <si>
    <t>Miera 80</t>
  </si>
  <si>
    <t>Pulkv. Brieža 9 k. 1</t>
  </si>
  <si>
    <t>Birznieka-Upīša 18</t>
  </si>
  <si>
    <t>Tomsona 25</t>
  </si>
  <si>
    <t>Čiekurkalna 2. šķ l. 6</t>
  </si>
  <si>
    <t>Ludzas 36</t>
  </si>
  <si>
    <t>Asara 20</t>
  </si>
  <si>
    <t>Liepājas 60</t>
  </si>
  <si>
    <t>Zentenes 18</t>
  </si>
  <si>
    <t>Ieriķu 25</t>
  </si>
  <si>
    <t>Velkoņu 2</t>
  </si>
  <si>
    <t>Zaļā 7</t>
  </si>
  <si>
    <t>Vīlandes 16</t>
  </si>
  <si>
    <t>Raņķa d. 7</t>
  </si>
  <si>
    <t>Teātra 4</t>
  </si>
  <si>
    <t>Gaigalas 23a</t>
  </si>
  <si>
    <t>Stabu 6</t>
  </si>
  <si>
    <t>Rusova 7</t>
  </si>
  <si>
    <t>Jasmuižas 1</t>
  </si>
  <si>
    <t>Baznīcas 18a</t>
  </si>
  <si>
    <t>Aglonas 16</t>
  </si>
  <si>
    <t>Tukuma 1</t>
  </si>
  <si>
    <t>Avotu 59</t>
  </si>
  <si>
    <t>Sarkandaugavas 26</t>
  </si>
  <si>
    <t>Čaka 86</t>
  </si>
  <si>
    <t>Ausekļa 2</t>
  </si>
  <si>
    <t>Lielā 25</t>
  </si>
  <si>
    <t>Struktoru 4</t>
  </si>
  <si>
    <t>Meldru 4</t>
  </si>
  <si>
    <t>Irlavas 2</t>
  </si>
  <si>
    <t>Riepnieku 2</t>
  </si>
  <si>
    <t>Visvalža 7</t>
  </si>
  <si>
    <t>Liepājas 34</t>
  </si>
  <si>
    <t>Silikātu 1 k-2</t>
  </si>
  <si>
    <t>Stirnu 13a</t>
  </si>
  <si>
    <t>Valdemāra 57</t>
  </si>
  <si>
    <t>Murjāņu 36</t>
  </si>
  <si>
    <t>Stabu 62</t>
  </si>
  <si>
    <t>Bātas 3a</t>
  </si>
  <si>
    <t>Maskavas 250/11</t>
  </si>
  <si>
    <t>Bikstu 6</t>
  </si>
  <si>
    <t>Avotu 76</t>
  </si>
  <si>
    <t>Murjāņu 52</t>
  </si>
  <si>
    <t>Lielupes 1/1</t>
  </si>
  <si>
    <t>Kadiķu 3</t>
  </si>
  <si>
    <t>Bruņinieku 78</t>
  </si>
  <si>
    <t>Grīna bulv. 9</t>
  </si>
  <si>
    <t>Ormaņu 27</t>
  </si>
  <si>
    <t>M. Nometņu 73</t>
  </si>
  <si>
    <t>Rūpniecības 11</t>
  </si>
  <si>
    <t>Parādes 28</t>
  </si>
  <si>
    <t>Tīnūžu 12</t>
  </si>
  <si>
    <t>Hamburgas 16</t>
  </si>
  <si>
    <t>Lubānas 115</t>
  </si>
  <si>
    <t>Deglava 9</t>
  </si>
  <si>
    <t>Zaubes 4</t>
  </si>
  <si>
    <t>Ludzas 17</t>
  </si>
  <si>
    <t>Brantkalna 13</t>
  </si>
  <si>
    <t>Dzirnavu 107</t>
  </si>
  <si>
    <t>Salamandras 3</t>
  </si>
  <si>
    <t>Ruses 24</t>
  </si>
  <si>
    <t>Kalnciema 135</t>
  </si>
  <si>
    <t>Hospitāļu 22</t>
  </si>
  <si>
    <t>M. Smilšu 11</t>
  </si>
  <si>
    <t>Akāciju 2e</t>
  </si>
  <si>
    <t>Akāciju 2d</t>
  </si>
  <si>
    <t>Traleru 19</t>
  </si>
  <si>
    <t>Ikšķiles 4</t>
  </si>
  <si>
    <t>Dzelzavas 71</t>
  </si>
  <si>
    <t>Dudajeva g. 4</t>
  </si>
  <si>
    <t>Ķengaraga 8</t>
  </si>
  <si>
    <t>Slokas 31</t>
  </si>
  <si>
    <t>Mārtiņa 8c</t>
  </si>
  <si>
    <t>Ernestīnes 8</t>
  </si>
  <si>
    <t>Dignājas 1a</t>
  </si>
  <si>
    <t>Skultes 5</t>
  </si>
  <si>
    <t>Čaka 117</t>
  </si>
  <si>
    <t>Brīvības iela 74</t>
  </si>
  <si>
    <t>Biķernieku 49</t>
  </si>
  <si>
    <t>Liedes 2</t>
  </si>
  <si>
    <t>Garā 18</t>
  </si>
  <si>
    <t>Ventspils 65a</t>
  </si>
  <si>
    <t>Vecpilsētas 11</t>
  </si>
  <si>
    <t>Dzirnavu 60</t>
  </si>
  <si>
    <t>Čaka 63</t>
  </si>
  <si>
    <t>Čiekurkalna 2. l. 49a</t>
  </si>
  <si>
    <t>Višķu 15</t>
  </si>
  <si>
    <t>Pūces 51</t>
  </si>
  <si>
    <t>Alekša 11</t>
  </si>
  <si>
    <t>11. novembra krastm. 35</t>
  </si>
  <si>
    <t>Tālavas g. 13</t>
  </si>
  <si>
    <t>Dzirnavu 102a</t>
  </si>
  <si>
    <t>Eksporta 18</t>
  </si>
  <si>
    <t>Auces 3</t>
  </si>
  <si>
    <t>Deglava 122</t>
  </si>
  <si>
    <t>J. Daliņa 8</t>
  </si>
  <si>
    <t>Ozolciema 14</t>
  </si>
  <si>
    <t>Sadovņikova 39</t>
  </si>
  <si>
    <t>Lejas 20</t>
  </si>
  <si>
    <t>Ezermalas 2a</t>
  </si>
  <si>
    <t>Salnas 13</t>
  </si>
  <si>
    <t>Lāčplēša 48</t>
  </si>
  <si>
    <t>Daugavgrīvas š. 49</t>
  </si>
  <si>
    <t>Dubultu 19</t>
  </si>
  <si>
    <t>Lāčplēša 52</t>
  </si>
  <si>
    <t>Tērbatas 93</t>
  </si>
  <si>
    <t>M. Kuldīgas 4</t>
  </si>
  <si>
    <t>Maskavas 258</t>
  </si>
  <si>
    <t>Rigondas g. 10</t>
  </si>
  <si>
    <t>Brīvības iela 129</t>
  </si>
  <si>
    <t>Dombrovska 45</t>
  </si>
  <si>
    <t>Rudens 12</t>
  </si>
  <si>
    <t>Silciema 15 k-3</t>
  </si>
  <si>
    <t>Žagatu 20a</t>
  </si>
  <si>
    <t>Ķeguma 52/2</t>
  </si>
  <si>
    <t>Krasta 25</t>
  </si>
  <si>
    <t>Maskavas 131</t>
  </si>
  <si>
    <t>Ilūkstes 103/2</t>
  </si>
  <si>
    <t>Brīvības iela 52</t>
  </si>
  <si>
    <t>Katrīnas d. 24</t>
  </si>
  <si>
    <t>Liedes 28</t>
  </si>
  <si>
    <t>Limbažu 9</t>
  </si>
  <si>
    <t>Zirņu 6</t>
  </si>
  <si>
    <t>Dudajeva g. 9</t>
  </si>
  <si>
    <t>Jaunciema 2. šķ. l. 2</t>
  </si>
  <si>
    <t>Zeļļu 15</t>
  </si>
  <si>
    <t>Kalngales 8</t>
  </si>
  <si>
    <t>Visbijas pr. 6/8</t>
  </si>
  <si>
    <t>Lejas 7b</t>
  </si>
  <si>
    <t>Kaivas 31</t>
  </si>
  <si>
    <t>Duntes 48</t>
  </si>
  <si>
    <t>Brīvības iela 150</t>
  </si>
  <si>
    <t>Plēksnes 1</t>
  </si>
  <si>
    <t>Rigondas g. 7</t>
  </si>
  <si>
    <t>Dammes 27</t>
  </si>
  <si>
    <t>Maskavas 109</t>
  </si>
  <si>
    <t>Lubānas 6</t>
  </si>
  <si>
    <t>Ūnijas 74a</t>
  </si>
  <si>
    <t>Vecdaugava</t>
  </si>
  <si>
    <t>Atlantijas 30</t>
  </si>
  <si>
    <t>Jūrmalas g. 91</t>
  </si>
  <si>
    <t>Lidoņu 5</t>
  </si>
  <si>
    <t>Bruņinieku 81</t>
  </si>
  <si>
    <t>Ilūkstes 1</t>
  </si>
  <si>
    <t>Gdaņskas 11</t>
  </si>
  <si>
    <t>Hospitāļu 1</t>
  </si>
  <si>
    <t>Parādes</t>
  </si>
  <si>
    <t>Kleistu 205</t>
  </si>
  <si>
    <t>Čaka 70</t>
  </si>
  <si>
    <t>Avotu 64</t>
  </si>
  <si>
    <t>Biķernieku 9</t>
  </si>
  <si>
    <t>Stirnu 37a</t>
  </si>
  <si>
    <t>Dammes 1</t>
  </si>
  <si>
    <t>Kvēles 24</t>
  </si>
  <si>
    <t>Jēzusbaznīcas 20</t>
  </si>
  <si>
    <t>Kristapa 26</t>
  </si>
  <si>
    <t>Sila 2/3</t>
  </si>
  <si>
    <t>Murjāņu 42</t>
  </si>
  <si>
    <t>Ropažu 14a</t>
  </si>
  <si>
    <t>Ausekļa 5</t>
  </si>
  <si>
    <t>Sarkandaugavas 26/2</t>
  </si>
  <si>
    <t>Brīvības iela 114</t>
  </si>
  <si>
    <t>Kurzemes pr. 90</t>
  </si>
  <si>
    <t>Ikšķiles 23</t>
  </si>
  <si>
    <t>Sliežu 29</t>
  </si>
  <si>
    <t>Matīsa 38</t>
  </si>
  <si>
    <t>Deglava 35</t>
  </si>
  <si>
    <t>Dzeņu 14</t>
  </si>
  <si>
    <t>Tirgoņu 17</t>
  </si>
  <si>
    <t>Grēcinieku 20</t>
  </si>
  <si>
    <t>Vēžu 14</t>
  </si>
  <si>
    <t>Stirnu 19a</t>
  </si>
  <si>
    <t>Motoru 5</t>
  </si>
  <si>
    <t>Aviācijas 10</t>
  </si>
  <si>
    <t>Ventspils 25</t>
  </si>
  <si>
    <t>Lejiņa 6</t>
  </si>
  <si>
    <t>Prūšu 9a</t>
  </si>
  <si>
    <t>Deglava</t>
  </si>
  <si>
    <t>Eizenšteina 73</t>
  </si>
  <si>
    <t>Ozolciema 56</t>
  </si>
  <si>
    <t>Stendera 10</t>
  </si>
  <si>
    <t>Ebreju 10</t>
  </si>
  <si>
    <t>Maskavas 202</t>
  </si>
  <si>
    <t>Tallinas 86</t>
  </si>
  <si>
    <t>Valdeķu 66/2</t>
  </si>
  <si>
    <t>Hospitāļu 40</t>
  </si>
  <si>
    <t>Blaumaņa 29</t>
  </si>
  <si>
    <t>Brīvības iela 285</t>
  </si>
  <si>
    <t>Ropažu 14</t>
  </si>
  <si>
    <t>Lāčplēša 113</t>
  </si>
  <si>
    <t>Dzelzavas 89</t>
  </si>
  <si>
    <t>Druvienas 36</t>
  </si>
  <si>
    <t>Grīna bulv. 15</t>
  </si>
  <si>
    <t>Lejiņa 14</t>
  </si>
  <si>
    <t>Valdemāra 147</t>
  </si>
  <si>
    <t>Matīsa 113</t>
  </si>
  <si>
    <t>Ieriķu 54</t>
  </si>
  <si>
    <t>Merķeļa 1</t>
  </si>
  <si>
    <t>Kojusalas 21</t>
  </si>
  <si>
    <t>Smilšu 10</t>
  </si>
  <si>
    <t>Burtnieku 36</t>
  </si>
  <si>
    <t>Ķempes 4</t>
  </si>
  <si>
    <t>Sarmas 7</t>
  </si>
  <si>
    <t>Gogoļa 8/10</t>
  </si>
  <si>
    <t>Nīcgales 51</t>
  </si>
  <si>
    <t>Sitas 48</t>
  </si>
  <si>
    <t>Ventspils 13</t>
  </si>
  <si>
    <t>Dubnas 8</t>
  </si>
  <si>
    <t>Sesku 10/1</t>
  </si>
  <si>
    <t>Slokas 1a</t>
  </si>
  <si>
    <t>Zvaigznāja g. 7</t>
  </si>
  <si>
    <t>Bieziņa 10</t>
  </si>
  <si>
    <t>Atgāzenes 12</t>
  </si>
  <si>
    <t>Tapešu 44</t>
  </si>
  <si>
    <t>Gāles 17</t>
  </si>
  <si>
    <t>Kurzemes pr. 88</t>
  </si>
  <si>
    <t>Braslas 53</t>
  </si>
  <si>
    <t>Slokas 13</t>
  </si>
  <si>
    <t>Brīvības gatve 300</t>
  </si>
  <si>
    <t>Visvalža 3a</t>
  </si>
  <si>
    <t>Bruņinieku 28</t>
  </si>
  <si>
    <t>Slokas 130d</t>
  </si>
  <si>
    <t>Skanstes 29</t>
  </si>
  <si>
    <t>Dzirnavu 51</t>
  </si>
  <si>
    <t>Dravnieku 12</t>
  </si>
  <si>
    <t>Trijādības 2a</t>
  </si>
  <si>
    <t>Emmas 12a</t>
  </si>
  <si>
    <t>Zaubes 6</t>
  </si>
  <si>
    <t>Dzirnavu 115a</t>
  </si>
  <si>
    <t>Salaspils 6</t>
  </si>
  <si>
    <t>Tērbatas 4</t>
  </si>
  <si>
    <t>Dzirciema 25</t>
  </si>
  <si>
    <t>Kartupeļu 16</t>
  </si>
  <si>
    <t>Nomales 7</t>
  </si>
  <si>
    <t>Tallinas 30</t>
  </si>
  <si>
    <t>Ausekļa 4</t>
  </si>
  <si>
    <t>Krustpils 46</t>
  </si>
  <si>
    <t>Ropažu 12</t>
  </si>
  <si>
    <t>Ziepniekkalna 70</t>
  </si>
  <si>
    <t>Antonijas 26</t>
  </si>
  <si>
    <t>Brīvības 156</t>
  </si>
  <si>
    <t>Endzelīna 32</t>
  </si>
  <si>
    <t>Dombrovska 11</t>
  </si>
  <si>
    <t>Skolas 30</t>
  </si>
  <si>
    <t>Silciema 25</t>
  </si>
  <si>
    <t>Ikšķiles 11</t>
  </si>
  <si>
    <t>Valdemāra 41</t>
  </si>
  <si>
    <t>Valdemāra 41a</t>
  </si>
  <si>
    <t>Pērnavas 15a</t>
  </si>
  <si>
    <t>Imantas 16. l.</t>
  </si>
  <si>
    <t>Skolas 14</t>
  </si>
  <si>
    <t>Maskavas 256/4</t>
  </si>
  <si>
    <t>Valdemāra 39</t>
  </si>
  <si>
    <t>Kaivas 50-141d</t>
  </si>
  <si>
    <t>Alberta 11</t>
  </si>
  <si>
    <t>Lāčplēša 96</t>
  </si>
  <si>
    <t>Biķernieku 31</t>
  </si>
  <si>
    <t>Brīvības 148</t>
  </si>
  <si>
    <t>Višķu 9</t>
  </si>
  <si>
    <t>Valdemāra 71</t>
  </si>
  <si>
    <t>Dzirnavu 83</t>
  </si>
  <si>
    <t>Sarkandaugavas 21</t>
  </si>
  <si>
    <t>Kukšu 4</t>
  </si>
  <si>
    <t>Ropažu 80</t>
  </si>
  <si>
    <t>Stabu 33</t>
  </si>
  <si>
    <t>Aplokciems</t>
  </si>
  <si>
    <t>Briežu 9</t>
  </si>
  <si>
    <t>Ulbrokas 12/3</t>
  </si>
  <si>
    <t>M. Kuldīgas 4/6</t>
  </si>
  <si>
    <t>Maskavas 55</t>
  </si>
  <si>
    <t>Hipokrāta 19</t>
  </si>
  <si>
    <t>Ulbrokas 1</t>
  </si>
  <si>
    <t>Saharova 5</t>
  </si>
  <si>
    <t>Ģertrūdes 23</t>
  </si>
  <si>
    <t>Ģertrūdes 73</t>
  </si>
  <si>
    <t>Akāciju 6</t>
  </si>
  <si>
    <t>Lielvārdes 123</t>
  </si>
  <si>
    <t>Ropažu 19</t>
  </si>
  <si>
    <t>Ķīšezera 11</t>
  </si>
  <si>
    <t>Skolas 4</t>
  </si>
  <si>
    <t>Melīdas</t>
  </si>
  <si>
    <t>Indrānu 5</t>
  </si>
  <si>
    <t>Avotu 5</t>
  </si>
  <si>
    <t>Rūpniecības 42</t>
  </si>
  <si>
    <t>Grestes 8</t>
  </si>
  <si>
    <t>Ģertrūdes 38</t>
  </si>
  <si>
    <t>Stabu 53</t>
  </si>
  <si>
    <t>Zolitūdes 46</t>
  </si>
  <si>
    <t>Slokas 130</t>
  </si>
  <si>
    <t>Kvēles 21</t>
  </si>
  <si>
    <t>Deglava 156</t>
  </si>
  <si>
    <t>Tallinas 79</t>
  </si>
  <si>
    <t>Silciema 15/4</t>
  </si>
  <si>
    <t>Dārzaugļu 1</t>
  </si>
  <si>
    <t>Kurbada 5</t>
  </si>
  <si>
    <t>Elizabetes 27</t>
  </si>
  <si>
    <t>Stirnu 35a</t>
  </si>
  <si>
    <t>Šampētera 10</t>
  </si>
  <si>
    <t>Stūres 7</t>
  </si>
  <si>
    <t>Ezermalas 4a</t>
  </si>
  <si>
    <t>Jasmuižas 9</t>
  </si>
  <si>
    <t>Valdemāra 123</t>
  </si>
  <si>
    <t>Maskavas 281</t>
  </si>
  <si>
    <t>Lubānas 43</t>
  </si>
  <si>
    <t>Vīlandes 7</t>
  </si>
  <si>
    <t>Čaka 89</t>
  </si>
  <si>
    <t>Mūrnieku 7a</t>
  </si>
  <si>
    <t>Malienas 70</t>
  </si>
  <si>
    <t>Daugavgrīvas 132/1</t>
  </si>
  <si>
    <t>Melīdas 1</t>
  </si>
  <si>
    <t>Tērbatas 33</t>
  </si>
  <si>
    <t>Zaubes 1</t>
  </si>
  <si>
    <t>Stabu 100</t>
  </si>
  <si>
    <t>Tērbatas 97</t>
  </si>
  <si>
    <t>Lokomotīves 80</t>
  </si>
  <si>
    <t>Kurzemes pr. 48</t>
  </si>
  <si>
    <t>Pulkv. Brieža 19/1</t>
  </si>
  <si>
    <t>Pūces 12</t>
  </si>
  <si>
    <t>Slokas 33</t>
  </si>
  <si>
    <t>Bārtas 1</t>
  </si>
  <si>
    <t>Zvaigžņu 14</t>
  </si>
  <si>
    <t>Kaivas 31/2</t>
  </si>
  <si>
    <t>Alauksta 7</t>
  </si>
  <si>
    <t>Lienes 9</t>
  </si>
  <si>
    <t>Ausekļa 14</t>
  </si>
  <si>
    <t>Bultu 8</t>
  </si>
  <si>
    <t>Valdeķu 55</t>
  </si>
  <si>
    <t>Liepājas 2</t>
  </si>
  <si>
    <t>Ilūkstes 27</t>
  </si>
  <si>
    <t>Čiekurkalna 4. šķ l. 15</t>
  </si>
  <si>
    <t>Avotu 10</t>
  </si>
  <si>
    <t>Hāpsalas 12</t>
  </si>
  <si>
    <t>Brīvības 203</t>
  </si>
  <si>
    <t>Kokneses pr. 1</t>
  </si>
  <si>
    <t>Ainavas 2a</t>
  </si>
  <si>
    <t>Ostas pr. 6</t>
  </si>
  <si>
    <t>Rūpniecības 1</t>
  </si>
  <si>
    <t>Maskavas 243</t>
  </si>
  <si>
    <t>Valguma 22</t>
  </si>
  <si>
    <t>Ganību d. 6a</t>
  </si>
  <si>
    <t>Ieriķu 18</t>
  </si>
  <si>
    <t>Komētas 15/1</t>
  </si>
  <si>
    <t>Cēsu 30</t>
  </si>
  <si>
    <t>Indrānu 17</t>
  </si>
  <si>
    <t>Kaivas 50, k-5</t>
  </si>
  <si>
    <t>Vienības g. 192</t>
  </si>
  <si>
    <t>Usmas 9</t>
  </si>
  <si>
    <t>Nīcgales 12</t>
  </si>
  <si>
    <t>Balasta d. 70</t>
  </si>
  <si>
    <t>Anniņmuižas bulvāris 82</t>
  </si>
  <si>
    <t>Ozolciema 24/1</t>
  </si>
  <si>
    <t>Salaspils 18</t>
  </si>
  <si>
    <t>Dzirnavu 66</t>
  </si>
  <si>
    <t>Vaļņu 35</t>
  </si>
  <si>
    <t>Dombrovska 44</t>
  </si>
  <si>
    <t>Ropažu 28</t>
  </si>
  <si>
    <t>Hospitāļu 5a</t>
  </si>
  <si>
    <t>Ezermalas 2</t>
  </si>
  <si>
    <t>Slokas 205</t>
  </si>
  <si>
    <t>Brīvības 64</t>
  </si>
  <si>
    <t>Jaunciema g.</t>
  </si>
  <si>
    <t>Stabu 46/48</t>
  </si>
  <si>
    <t>Miera 78</t>
  </si>
  <si>
    <t>Tīnūžu 4</t>
  </si>
  <si>
    <t>Melnsila 24</t>
  </si>
  <si>
    <t>Avotu 23</t>
  </si>
  <si>
    <t>Marijas 18</t>
  </si>
  <si>
    <t>Apuzes 51</t>
  </si>
  <si>
    <t>Žagatu 20</t>
  </si>
  <si>
    <t>Zemaišu 1/5</t>
  </si>
  <si>
    <t>Tilta 5 k-1</t>
  </si>
  <si>
    <t>Ganu 2</t>
  </si>
  <si>
    <t>Volguntes 50</t>
  </si>
  <si>
    <t>Ģertrūdes 86</t>
  </si>
  <si>
    <t>Slokas 111h</t>
  </si>
  <si>
    <t>Maltas 17</t>
  </si>
  <si>
    <t>Merķeļa 17/19</t>
  </si>
  <si>
    <t>Miera 10</t>
  </si>
  <si>
    <t>Barona 37</t>
  </si>
  <si>
    <t>Slāvu 15</t>
  </si>
  <si>
    <t>Valguma 17</t>
  </si>
  <si>
    <t>Avotu 9</t>
  </si>
  <si>
    <t>Matīsa 35a</t>
  </si>
  <si>
    <t>Ģertrūdes 30</t>
  </si>
  <si>
    <t>Vaidavas 15/1</t>
  </si>
  <si>
    <t>Ūnijas 38</t>
  </si>
  <si>
    <t>Margrietas 16</t>
  </si>
  <si>
    <t>Pērnavas 24</t>
  </si>
  <si>
    <t>Ausekļa 1</t>
  </si>
  <si>
    <t>Eksporta 12</t>
  </si>
  <si>
    <t>Dzirnavu 157</t>
  </si>
  <si>
    <t>Vangažu 35</t>
  </si>
  <si>
    <t>Dzirnavu 119</t>
  </si>
  <si>
    <t>Šķūņu 13</t>
  </si>
  <si>
    <t>Jēkabpils 2</t>
  </si>
  <si>
    <t>Slēpotāju 250</t>
  </si>
  <si>
    <t>Ezera 5</t>
  </si>
  <si>
    <t>Brantkalna 11</t>
  </si>
  <si>
    <t>Aglonas 29</t>
  </si>
  <si>
    <t>Kuldīgas 34</t>
  </si>
  <si>
    <t>Vīlipa 3</t>
  </si>
  <si>
    <t>Maskavas 291 k-4</t>
  </si>
  <si>
    <t>Priežu 14a</t>
  </si>
  <si>
    <t>Skolas 20</t>
  </si>
  <si>
    <t>Dzirciema 27</t>
  </si>
  <si>
    <t>Ziepju 5/1</t>
  </si>
  <si>
    <t>Baznīcas 13</t>
  </si>
  <si>
    <t>Grēcinieku 26</t>
  </si>
  <si>
    <t>Vējdzirnavu 28</t>
  </si>
  <si>
    <t>Krustpils 60</t>
  </si>
  <si>
    <t>Klaipēdas 12</t>
  </si>
  <si>
    <t>Asteres 1</t>
  </si>
  <si>
    <t>Kameņu 1a</t>
  </si>
  <si>
    <t>Zentenes 4</t>
  </si>
  <si>
    <t>Ludviķa 10</t>
  </si>
  <si>
    <t>Ropažu 93</t>
  </si>
  <si>
    <t>Eksporta 2a</t>
  </si>
  <si>
    <t>Eizenšteina 77</t>
  </si>
  <si>
    <t>Mūrnieku 2</t>
  </si>
  <si>
    <t>Lejiņa 2</t>
  </si>
  <si>
    <t>Bruņinieku 149</t>
  </si>
  <si>
    <t>Irlavas 1</t>
  </si>
  <si>
    <t>Lilastes 5</t>
  </si>
  <si>
    <t>Skolas 10</t>
  </si>
  <si>
    <t>Nomales 8</t>
  </si>
  <si>
    <t>Zalves 116</t>
  </si>
  <si>
    <t>Raiņa bulv. 3</t>
  </si>
  <si>
    <t>Ķempes 7</t>
  </si>
  <si>
    <t>Kaivas 50 k-4</t>
  </si>
  <si>
    <t>Anniņmuižas bulvāris 30</t>
  </si>
  <si>
    <t>Deglava 124</t>
  </si>
  <si>
    <t>Laboratorijas 1</t>
  </si>
  <si>
    <t>Kaļķu 2</t>
  </si>
  <si>
    <t>Vaidavas 3</t>
  </si>
  <si>
    <t>Ropažu 78</t>
  </si>
  <si>
    <t>Jūrmalas g. 92</t>
  </si>
  <si>
    <t>Stabu 61</t>
  </si>
  <si>
    <t>Raiņa bulv. 3a</t>
  </si>
  <si>
    <t>Avotu 20</t>
  </si>
  <si>
    <t>Eizenšteina 13</t>
  </si>
  <si>
    <t>Čaka 146</t>
  </si>
  <si>
    <t>Maskavas 222b</t>
  </si>
  <si>
    <t>Valdemāra 34</t>
  </si>
  <si>
    <t>Brīvības iela 19</t>
  </si>
  <si>
    <t>Stabu 99</t>
  </si>
  <si>
    <t>Vaidavas 9</t>
  </si>
  <si>
    <t>Ūnijas 71</t>
  </si>
  <si>
    <t>Elku 2</t>
  </si>
  <si>
    <t>Imantas 3c</t>
  </si>
  <si>
    <t>Lidoņu 19</t>
  </si>
  <si>
    <t>Zileņu 12</t>
  </si>
  <si>
    <t>Brīvības 147</t>
  </si>
  <si>
    <t>Hāpsalas 15</t>
  </si>
  <si>
    <t>Ūnijas 58a</t>
  </si>
  <si>
    <t>Riepnieku 4</t>
  </si>
  <si>
    <t>Stabu 29</t>
  </si>
  <si>
    <t>Zaļenieku 21</t>
  </si>
  <si>
    <t>Merķeļa 17</t>
  </si>
  <si>
    <t>Ģertrūdes 41</t>
  </si>
  <si>
    <t>Vaļņu 3</t>
  </si>
  <si>
    <t>Other</t>
  </si>
  <si>
    <t>Juglas 23</t>
  </si>
  <si>
    <t>Valdemāra 69</t>
  </si>
  <si>
    <t>Valdemāra 83</t>
  </si>
  <si>
    <t>Maskavas 112</t>
  </si>
  <si>
    <t>Vienības g. 87i</t>
  </si>
  <si>
    <t>Dzelzavas 33</t>
  </si>
  <si>
    <t>Reņģes 7-k2</t>
  </si>
  <si>
    <t>Baltā 19</t>
  </si>
  <si>
    <t>Ziemeļu 3</t>
  </si>
  <si>
    <t>Skolas 191</t>
  </si>
  <si>
    <t>Gobas 35</t>
  </si>
  <si>
    <t>Lienes 6a</t>
  </si>
  <si>
    <t>Slāvu 17</t>
  </si>
  <si>
    <t>Jūrmalas g. 113b</t>
  </si>
  <si>
    <t>Rencēnu 40</t>
  </si>
  <si>
    <t>Ilūkstes 18</t>
  </si>
  <si>
    <t>Dammes 19</t>
  </si>
  <si>
    <t>Nīcgales 47</t>
  </si>
  <si>
    <t>Rudens 5</t>
  </si>
  <si>
    <t>Stabu 11</t>
  </si>
  <si>
    <t>Tēraudlietuves 10</t>
  </si>
  <si>
    <t>Kalniņa 1a</t>
  </si>
  <si>
    <t>Sīmaņa 9a</t>
  </si>
  <si>
    <t>M. Krūmu 18</t>
  </si>
  <si>
    <t>Stabu 70</t>
  </si>
  <si>
    <t>Ezermalas 4</t>
  </si>
  <si>
    <t>Sermuliņu 14</t>
  </si>
  <si>
    <t>Juglas 47</t>
  </si>
  <si>
    <t>Nometņu 49</t>
  </si>
  <si>
    <t>Lāčplēša 62/66</t>
  </si>
  <si>
    <t>Mastu 6</t>
  </si>
  <si>
    <t>Jelgavas 62/64</t>
  </si>
  <si>
    <t>Eksporta 4</t>
  </si>
  <si>
    <t>Vecmīlgrāvja 1. l. 54</t>
  </si>
  <si>
    <t>Maskavas 254/7</t>
  </si>
  <si>
    <t>Daugavgrīvas š. 17</t>
  </si>
  <si>
    <t>Kalnciema 101</t>
  </si>
  <si>
    <t>Šampētera 74</t>
  </si>
  <si>
    <t>Tapešu 54</t>
  </si>
  <si>
    <t>Kurzemes pr. 74</t>
  </si>
  <si>
    <t>Vāgnera 2</t>
  </si>
  <si>
    <t>Kazarmu 2a</t>
  </si>
  <si>
    <t>Dzelzavas 38</t>
  </si>
  <si>
    <t>Gregora 6</t>
  </si>
  <si>
    <t>Lubānas 117-65</t>
  </si>
  <si>
    <t>Hospitāļu 28</t>
  </si>
  <si>
    <t>Anniņmuižas bulvāris 50</t>
  </si>
  <si>
    <t>Valdemāra 76</t>
  </si>
  <si>
    <t>Stiebru 6</t>
  </si>
  <si>
    <t>Āraišu 38</t>
  </si>
  <si>
    <t>Kaivas 29/2</t>
  </si>
  <si>
    <t>Ventspils 45/1</t>
  </si>
  <si>
    <t>Juglas 37</t>
  </si>
  <si>
    <t>Gaujas 37</t>
  </si>
  <si>
    <t>Upeņu 19</t>
  </si>
  <si>
    <t>Baznīcas 45</t>
  </si>
  <si>
    <t>Brīvības 121-141</t>
  </si>
  <si>
    <t>Eiženijas 17</t>
  </si>
  <si>
    <t>Blaumaņa 5</t>
  </si>
  <si>
    <t>Palasta 9</t>
  </si>
  <si>
    <t>Volguntes 40</t>
  </si>
  <si>
    <t>Katrīnas d. 17</t>
  </si>
  <si>
    <t>Antonijas 14</t>
  </si>
  <si>
    <t>Birznieka-Upīša 6</t>
  </si>
  <si>
    <t>Gardenes 9</t>
  </si>
  <si>
    <t>Lilijas 8</t>
  </si>
  <si>
    <t>Aptiekas 11</t>
  </si>
  <si>
    <t>Vecumnieku 78</t>
  </si>
  <si>
    <t>Aglonas 10/3</t>
  </si>
  <si>
    <t>Apuzes 40</t>
  </si>
  <si>
    <t>Tallinas 38</t>
  </si>
  <si>
    <t>Baznīcas 26a</t>
  </si>
  <si>
    <t>Brīvības 114</t>
  </si>
  <si>
    <t>Jaunrozes 9</t>
  </si>
  <si>
    <t>Valdemāra 11</t>
  </si>
  <si>
    <t>Ūnijas 73</t>
  </si>
  <si>
    <t>Hipokrāta 9</t>
  </si>
  <si>
    <t>Kristapa 20</t>
  </si>
  <si>
    <t>Jūrmalas g. 82/2</t>
  </si>
  <si>
    <t>Ieriķu 39</t>
  </si>
  <si>
    <t>Kuldīgas 13a</t>
  </si>
  <si>
    <t>Kurzemes pr. 98</t>
  </si>
  <si>
    <t>Ilūkstes 48</t>
  </si>
  <si>
    <t>Tīnūžu 6</t>
  </si>
  <si>
    <t>Salnas 1</t>
  </si>
  <si>
    <t>Keldiša 9</t>
  </si>
  <si>
    <t>M. Piena 6</t>
  </si>
  <si>
    <t>Viestura pr. 83</t>
  </si>
  <si>
    <t>Gāles 7</t>
  </si>
  <si>
    <t>Kartupeļu 54</t>
  </si>
  <si>
    <t>Puškina 1</t>
  </si>
  <si>
    <t>Stabu 65</t>
  </si>
  <si>
    <t>Lokomotīves 54</t>
  </si>
  <si>
    <t>Pulkv. Brieža 13</t>
  </si>
  <si>
    <t>Brīvības iela</t>
  </si>
  <si>
    <t>Dzelzavas 15</t>
  </si>
  <si>
    <t>Irlavas 20</t>
  </si>
  <si>
    <t>Lāčplēša 7</t>
  </si>
  <si>
    <t>Tvaikoņu 2</t>
  </si>
  <si>
    <t>Līvciema 5</t>
  </si>
  <si>
    <t>Saulgožu 4</t>
  </si>
  <si>
    <t>Avotu 43</t>
  </si>
  <si>
    <t>Kalnciema 88</t>
  </si>
  <si>
    <t>Bruņinieku 111</t>
  </si>
  <si>
    <t>Kalnciema 114</t>
  </si>
  <si>
    <t>Viestura pr. 53</t>
  </si>
  <si>
    <t>Robežu 24</t>
  </si>
  <si>
    <t>Buļļu 52</t>
  </si>
  <si>
    <t>Stirnu 47</t>
  </si>
  <si>
    <t>Lejiņa 3</t>
  </si>
  <si>
    <t>Valdemāra 121</t>
  </si>
  <si>
    <t>Šķirotavas 2a</t>
  </si>
  <si>
    <t>Kvēles 23</t>
  </si>
  <si>
    <t>Bieziņa 4</t>
  </si>
  <si>
    <t>Dzeņu 10</t>
  </si>
  <si>
    <t>Dudajeva g. 10</t>
  </si>
  <si>
    <t>Alūksnes 3</t>
  </si>
  <si>
    <t>Lēdurgas 10</t>
  </si>
  <si>
    <t>Lidoņu 16</t>
  </si>
  <si>
    <t>Ozolciema 16</t>
  </si>
  <si>
    <t>Druvienas 32</t>
  </si>
  <si>
    <t>Salaspils 12</t>
  </si>
  <si>
    <t>Vienības g. 42</t>
  </si>
  <si>
    <t>Kaivas 33/2</t>
  </si>
  <si>
    <t>Antonijas 6a</t>
  </si>
  <si>
    <t>Beberbeķi</t>
  </si>
  <si>
    <t>Maskavas 427</t>
  </si>
  <si>
    <t>Biķernieku 12b</t>
  </si>
  <si>
    <t>Tomsona 33a</t>
  </si>
  <si>
    <t>Zolitūdes 75</t>
  </si>
  <si>
    <t>Purvciema 53</t>
  </si>
  <si>
    <t>Smiļģa 27</t>
  </si>
  <si>
    <t>Miķeļa 1</t>
  </si>
  <si>
    <t>Irlavas 26a</t>
  </si>
  <si>
    <t>Pudiķa 13</t>
  </si>
  <si>
    <t>Pārslas 6</t>
  </si>
  <si>
    <t>Tallinas 77</t>
  </si>
  <si>
    <t>Kalēju 14</t>
  </si>
  <si>
    <t>Murjāņu 56</t>
  </si>
  <si>
    <t>Hāpsalas 6</t>
  </si>
  <si>
    <t>Ganu 6</t>
  </si>
  <si>
    <t>Anniņmuižas bulvāris 52</t>
  </si>
  <si>
    <t>Grostonas 25</t>
  </si>
  <si>
    <t>Līvānu 1</t>
  </si>
  <si>
    <t>Slokas 132</t>
  </si>
  <si>
    <t>Maskavas 252</t>
  </si>
  <si>
    <t>Krustabaznīcas 5</t>
  </si>
  <si>
    <t>Meldru 12</t>
  </si>
  <si>
    <t>Emmas 11</t>
  </si>
  <si>
    <t>Glūdas 2</t>
  </si>
  <si>
    <t>Maskavas 258/2</t>
  </si>
  <si>
    <t>Artilērijas 59</t>
  </si>
  <si>
    <t>Garozes 17</t>
  </si>
  <si>
    <t>Kaņiera 14</t>
  </si>
  <si>
    <t>Dzelzavas 23</t>
  </si>
  <si>
    <t>Prūšu 20</t>
  </si>
  <si>
    <t>Pērnavas 19</t>
  </si>
  <si>
    <t>Stirnu 4</t>
  </si>
  <si>
    <t>Pērnavas 1</t>
  </si>
  <si>
    <t>Brīvības 100</t>
  </si>
  <si>
    <t>Zālīša 1</t>
  </si>
  <si>
    <t>M. Nometņu 76</t>
  </si>
  <si>
    <t>Šauļu 2b</t>
  </si>
  <si>
    <t>Matīsa 46a</t>
  </si>
  <si>
    <t>Balasta d. 36</t>
  </si>
  <si>
    <t>Ķeguma 45</t>
  </si>
  <si>
    <t>Dzelzavas 81</t>
  </si>
  <si>
    <t>Imantas 1. l. 49</t>
  </si>
  <si>
    <t>Birznieka-Upīša 20</t>
  </si>
  <si>
    <t>Kaļķu 6</t>
  </si>
  <si>
    <t>Tilta 3</t>
  </si>
  <si>
    <t>Kāvu 5a</t>
  </si>
  <si>
    <t>Eksporta 2</t>
  </si>
  <si>
    <t>Cieceres 5</t>
  </si>
  <si>
    <t>Blaumaņa 34</t>
  </si>
  <si>
    <t>Ernestīnes 15</t>
  </si>
  <si>
    <t>Šķūņu 6</t>
  </si>
  <si>
    <t>Pūces 31</t>
  </si>
  <si>
    <t>Satiksmes 4</t>
  </si>
  <si>
    <t>Bruņinieku 93</t>
  </si>
  <si>
    <t>Kalnciema 39b</t>
  </si>
  <si>
    <t>Grīvas 17</t>
  </si>
  <si>
    <t>Nīcgales 38</t>
  </si>
  <si>
    <t>M. Krūmu 28</t>
  </si>
  <si>
    <t>Stendes 7</t>
  </si>
  <si>
    <t>Mežciema 26</t>
  </si>
  <si>
    <t>Baltā 9</t>
  </si>
  <si>
    <t>Kleistu 21</t>
  </si>
  <si>
    <t>Skolas 12a</t>
  </si>
  <si>
    <t>Kuģu 15</t>
  </si>
  <si>
    <t>Stirnu 49a</t>
  </si>
  <si>
    <t>Eizenšteina 71</t>
  </si>
  <si>
    <t>Silciema 13/3</t>
  </si>
  <si>
    <t>Strēlnieku 4b</t>
  </si>
  <si>
    <t>Visbijas pr. 17</t>
  </si>
  <si>
    <t>Vairoga 48</t>
  </si>
  <si>
    <t>Antonijas 15</t>
  </si>
  <si>
    <t>Ostas pr. 4</t>
  </si>
  <si>
    <t>Emmas 5</t>
  </si>
  <si>
    <t>Baltāsbaznīcas 34</t>
  </si>
  <si>
    <t>Barona 92a</t>
  </si>
  <si>
    <t>Blaumaņa 3</t>
  </si>
  <si>
    <t>Kuģu 28</t>
  </si>
  <si>
    <t>Brīvības gatve 293</t>
  </si>
  <si>
    <t>Pudiķa 24</t>
  </si>
  <si>
    <t>Bieziņa 12</t>
  </si>
  <si>
    <t>Kurzemes pr. 40</t>
  </si>
  <si>
    <t>Ikšķiles 2</t>
  </si>
  <si>
    <t>Jaunciema g. 182</t>
  </si>
  <si>
    <t>Miera 91</t>
  </si>
  <si>
    <t>Slokas 173</t>
  </si>
  <si>
    <t>Zaļenieku 40</t>
  </si>
  <si>
    <t>Eizenšteina 53</t>
  </si>
  <si>
    <t>Liesmas 4</t>
  </si>
  <si>
    <t>Ulbrokas 6</t>
  </si>
  <si>
    <t>Ausekļa 3</t>
  </si>
  <si>
    <t>Ilūkstes 26</t>
  </si>
  <si>
    <t>Stirnu 20a</t>
  </si>
  <si>
    <t>Ozolciema 12</t>
  </si>
  <si>
    <t>Grestes 4</t>
  </si>
  <si>
    <t>Rūpnīcas 15</t>
  </si>
  <si>
    <t>Salaspils 2</t>
  </si>
  <si>
    <t>Deglava 108</t>
  </si>
  <si>
    <t>Madonas 21</t>
  </si>
  <si>
    <t>Matīsa 41c</t>
  </si>
  <si>
    <t>Dzirnavu 92</t>
  </si>
  <si>
    <t>Izvaltas 6</t>
  </si>
  <si>
    <t>Sniega 3</t>
  </si>
  <si>
    <t>Biķernieku 16a</t>
  </si>
  <si>
    <t>Zaļā 10</t>
  </si>
  <si>
    <t>Viršu 1</t>
  </si>
  <si>
    <t>Elizabetes 10b</t>
  </si>
  <si>
    <t>Murjāņu 40</t>
  </si>
  <si>
    <t>Slokas 84</t>
  </si>
  <si>
    <t>Hamburgas 17</t>
  </si>
  <si>
    <t>Maskavas 104</t>
  </si>
  <si>
    <t>Salacas 26</t>
  </si>
  <si>
    <t>VEF</t>
  </si>
  <si>
    <t>Tērbatas 37</t>
  </si>
  <si>
    <t>Ormaņu 3</t>
  </si>
  <si>
    <t>Ģertrūdes 39</t>
  </si>
  <si>
    <t>Anniņmuižas bulvāris 90</t>
  </si>
  <si>
    <t>Lomonosova 3</t>
  </si>
  <si>
    <t>Valmieras 30</t>
  </si>
  <si>
    <t>Zemes 2</t>
  </si>
  <si>
    <t>Robežu 2</t>
  </si>
  <si>
    <t>Skujenes 11</t>
  </si>
  <si>
    <t>Stiebru 3</t>
  </si>
  <si>
    <t>Ozolciema 42k2</t>
  </si>
  <si>
    <t>Nīcgales 9</t>
  </si>
  <si>
    <t>Vēja 19</t>
  </si>
  <si>
    <t>Lilijas 15</t>
  </si>
  <si>
    <t>Salnas 11</t>
  </si>
  <si>
    <t>Lielupes 64</t>
  </si>
  <si>
    <t>Rasas 4</t>
  </si>
  <si>
    <t>Kuldīgas 39</t>
  </si>
  <si>
    <t>Aptiekas 8</t>
  </si>
  <si>
    <t>Ropažu 17</t>
  </si>
  <si>
    <t>Pērnavas 56</t>
  </si>
  <si>
    <t>Prūšu 21</t>
  </si>
  <si>
    <t>Dzelzavas 15/1</t>
  </si>
  <si>
    <t>Dudajeva g. 12</t>
  </si>
  <si>
    <t>Stopiņu 14</t>
  </si>
  <si>
    <t>Alīses 5</t>
  </si>
  <si>
    <t>Komētas 22</t>
  </si>
  <si>
    <t>Komētas 20</t>
  </si>
  <si>
    <t>Mārcienas 1</t>
  </si>
  <si>
    <t>Barona 5</t>
  </si>
  <si>
    <t>Gogoļa 23</t>
  </si>
  <si>
    <t>Maskavas 268/3</t>
  </si>
  <si>
    <t>Vecmīlgrāvja 1. l. 50</t>
  </si>
  <si>
    <t>Slokas 165</t>
  </si>
  <si>
    <t>Lidoņu 29</t>
  </si>
  <si>
    <t>Miera 87</t>
  </si>
  <si>
    <t>Dagmāras 4</t>
  </si>
  <si>
    <t>Daugavgrīvas 70</t>
  </si>
  <si>
    <t>Jasmuižas 12</t>
  </si>
  <si>
    <t>Brīvības 68</t>
  </si>
  <si>
    <t>Kurzemes pr. 42</t>
  </si>
  <si>
    <t>Brīvības 162</t>
  </si>
  <si>
    <t>Dzirciema 52</t>
  </si>
  <si>
    <t>Gardenes 4</t>
  </si>
  <si>
    <t>Baltāsbaznīcas 44</t>
  </si>
  <si>
    <t>Lemešu 3 k-1</t>
  </si>
  <si>
    <t>Veldres 11</t>
  </si>
  <si>
    <t>Maskavas 93</t>
  </si>
  <si>
    <t>Pirts 9</t>
  </si>
  <si>
    <t>Purvciema 46</t>
  </si>
  <si>
    <t>Merķeļa 7</t>
  </si>
  <si>
    <t>Ilūkstes 103</t>
  </si>
  <si>
    <t>Pērses 13</t>
  </si>
  <si>
    <t>Stokholmas 33</t>
  </si>
  <si>
    <t>Kurzemes pr. 76</t>
  </si>
  <si>
    <t>Ozolciema 34</t>
  </si>
  <si>
    <t>Komētas 8</t>
  </si>
  <si>
    <t>Viestura pr. 33</t>
  </si>
  <si>
    <t>Buļļu 33</t>
  </si>
  <si>
    <t>M. Juglas 3a</t>
  </si>
  <si>
    <t>Eksporta 14</t>
  </si>
  <si>
    <t>Allažu 1</t>
  </si>
  <si>
    <t>Katlakalns</t>
  </si>
  <si>
    <t>Bauskas 190a</t>
  </si>
  <si>
    <t>Kleisti</t>
  </si>
  <si>
    <t>Rātsupītes 3</t>
  </si>
  <si>
    <t>Bauskas 187</t>
  </si>
  <si>
    <t>Vecāķu pr. 191</t>
  </si>
  <si>
    <t>Gulbju 1a</t>
  </si>
  <si>
    <t>Jāņavārti</t>
  </si>
  <si>
    <t>Buļļi</t>
  </si>
  <si>
    <t>Vētras 8a</t>
  </si>
  <si>
    <t>Jaunmīlgrāvis</t>
  </si>
  <si>
    <t>Lēdurgas 2/4</t>
  </si>
  <si>
    <t>Traleru 3</t>
  </si>
  <si>
    <t>Stacija-Tirgus</t>
  </si>
  <si>
    <t>Albatrosu 22</t>
  </si>
  <si>
    <t>Ķengaraga 7</t>
  </si>
  <si>
    <t>Mūkusalas 9</t>
  </si>
  <si>
    <t>Miglas 11a</t>
  </si>
  <si>
    <t>Bauskas 55</t>
  </si>
  <si>
    <t>M. Nometņu 5</t>
  </si>
  <si>
    <t>Anniņmuižas 2</t>
  </si>
  <si>
    <t>Kazarmu 7</t>
  </si>
  <si>
    <t>Zeltiņu 3</t>
  </si>
  <si>
    <t>Kaivas 50-161d</t>
  </si>
  <si>
    <t>Kaivas 50k-1</t>
  </si>
  <si>
    <t>Slokas 28</t>
  </si>
  <si>
    <t>Smiļģa 32</t>
  </si>
  <si>
    <t>Lāčplēša 114</t>
  </si>
  <si>
    <t>Lāčplēša 87e</t>
  </si>
  <si>
    <t>Miera 90</t>
  </si>
  <si>
    <t>Maskavas 266/3</t>
  </si>
  <si>
    <t>Prūšu 73</t>
  </si>
  <si>
    <t>Lidoņu 12</t>
  </si>
  <si>
    <t>Hipokrāta 37</t>
  </si>
  <si>
    <t>Aviācijas 2e</t>
  </si>
  <si>
    <t>Dzirciema 37</t>
  </si>
  <si>
    <t>Brīvības gatve 432k1</t>
  </si>
  <si>
    <t>Stabu 49</t>
  </si>
  <si>
    <t>Ezermalas 27</t>
  </si>
  <si>
    <t>Tallinas 20</t>
  </si>
  <si>
    <t>Maskavas 198</t>
  </si>
  <si>
    <t>Stabu 57</t>
  </si>
  <si>
    <t>Upes 3</t>
  </si>
  <si>
    <t>Blaumaņa 27</t>
  </si>
  <si>
    <t>Mārcienas 8</t>
  </si>
  <si>
    <t>Ezermalas 19</t>
  </si>
  <si>
    <t>Buļļu 25</t>
  </si>
  <si>
    <t>Vaidavas 8</t>
  </si>
  <si>
    <t>Dzērvju 10</t>
  </si>
  <si>
    <t>Jūrmalas g. 95</t>
  </si>
  <si>
    <t>Kooperatīva 4a</t>
  </si>
  <si>
    <t>Ģertrūdes 98</t>
  </si>
  <si>
    <t>Katoļu 9</t>
  </si>
  <si>
    <t>Madonas 23</t>
  </si>
  <si>
    <t>Krāmu 4</t>
  </si>
  <si>
    <t>Brīvības gatve 234</t>
  </si>
  <si>
    <t>Kastrānes 1/2</t>
  </si>
  <si>
    <t>Mārstaļu 2k4</t>
  </si>
  <si>
    <t>Stabu 60</t>
  </si>
  <si>
    <t>Elizabetes 63</t>
  </si>
  <si>
    <t>Maskavas 252 k-6</t>
  </si>
  <si>
    <t>Viļānu 7</t>
  </si>
  <si>
    <t>Aptiekas 6</t>
  </si>
  <si>
    <t>Maskavas 252k5</t>
  </si>
  <si>
    <t>Zvejnieku 9</t>
  </si>
  <si>
    <t>Saulgožu 13</t>
  </si>
  <si>
    <t>Dignājas 3</t>
  </si>
  <si>
    <t>Deglava 164</t>
  </si>
  <si>
    <t>Barona 80</t>
  </si>
  <si>
    <t>Zilupes 23</t>
  </si>
  <si>
    <t>Šampētera 9</t>
  </si>
  <si>
    <t>Tomsona 21</t>
  </si>
  <si>
    <t>Brīvības bulvāris 19</t>
  </si>
  <si>
    <t>Maskavas 381</t>
  </si>
  <si>
    <t>Čiekurkalna 2. l. 23</t>
  </si>
  <si>
    <t>Kurzemes pr. 34</t>
  </si>
  <si>
    <t>Dzirciema 59</t>
  </si>
  <si>
    <t>Lāčplēša 54</t>
  </si>
  <si>
    <t>Parādes 1</t>
  </si>
  <si>
    <t>Pļavnieku 12</t>
  </si>
  <si>
    <t>Druvienas 34</t>
  </si>
  <si>
    <t>Brīvības gatve 236</t>
  </si>
  <si>
    <t>Lokomotīves 22</t>
  </si>
  <si>
    <t>Pļavnieku 8</t>
  </si>
  <si>
    <t>Mores 17</t>
  </si>
  <si>
    <t>Aglonas 2</t>
  </si>
  <si>
    <t>Bauskas 151</t>
  </si>
  <si>
    <t>Kalnciema 81</t>
  </si>
  <si>
    <t>Artilērijas 33</t>
  </si>
  <si>
    <t>Anniņmuižas bulvāris 38k1</t>
  </si>
  <si>
    <t>Kurmju 7</t>
  </si>
  <si>
    <t>Salnas 3</t>
  </si>
  <si>
    <t>J. Vācieša 2g</t>
  </si>
  <si>
    <t>Zaļenieku 22</t>
  </si>
  <si>
    <t>Grīvas 25</t>
  </si>
  <si>
    <t>Anniņmuižas bulvāris 38k4</t>
  </si>
  <si>
    <t>Mārupes 10</t>
  </si>
  <si>
    <t>Ezera 21</t>
  </si>
  <si>
    <t>Ezermalas 2k-1</t>
  </si>
  <si>
    <t>Aviācijas 1</t>
  </si>
  <si>
    <t>Ropažu 60</t>
  </si>
  <si>
    <t>Saharova 1</t>
  </si>
  <si>
    <t>Launkalnes 12</t>
  </si>
  <si>
    <t>Ganību d. 17</t>
  </si>
  <si>
    <t>Buļļu 42 a</t>
  </si>
  <si>
    <t>Brīvības iela 101</t>
  </si>
  <si>
    <t>Brīvības gatve 296</t>
  </si>
  <si>
    <t>Ropažu 91</t>
  </si>
  <si>
    <t>Juglas 29</t>
  </si>
  <si>
    <t>Gogoļa 13</t>
  </si>
  <si>
    <t>Brīvības iela 48</t>
  </si>
  <si>
    <t>Čaka 114</t>
  </si>
  <si>
    <t>Ozolciema 50</t>
  </si>
  <si>
    <t>Jasmuižas 11</t>
  </si>
  <si>
    <t>Nīcgales 53</t>
  </si>
  <si>
    <t>Pērnavas 57</t>
  </si>
  <si>
    <t>Vesetas 24</t>
  </si>
  <si>
    <t>Kojusalas 25</t>
  </si>
  <si>
    <t>Dzelzavas 11</t>
  </si>
  <si>
    <t>Teātra 12</t>
  </si>
  <si>
    <t>Brīvības iela 47</t>
  </si>
  <si>
    <t>Tērbatas 83</t>
  </si>
  <si>
    <t>Jēkaba 26</t>
  </si>
  <si>
    <t>Šķirotavas 3a</t>
  </si>
  <si>
    <t>Salnas 28</t>
  </si>
  <si>
    <t>Dammes 34</t>
  </si>
  <si>
    <t>Bruņinieku 89</t>
  </si>
  <si>
    <t>Marijas 19</t>
  </si>
  <si>
    <t>Tapešu</t>
  </si>
  <si>
    <t>Ulbrokas 10</t>
  </si>
  <si>
    <t>Maskavas 39</t>
  </si>
  <si>
    <t>Jasmuižas 18</t>
  </si>
  <si>
    <t>Tadaiķu 1</t>
  </si>
  <si>
    <t>Vesetas 25</t>
  </si>
  <si>
    <t>Bauskas 30</t>
  </si>
  <si>
    <t>Daugavgrīvas 91</t>
  </si>
  <si>
    <t>Lielā 69</t>
  </si>
  <si>
    <t>Biķernieku 244</t>
  </si>
  <si>
    <t>Kodola 5</t>
  </si>
  <si>
    <t>Zāģeru 6</t>
  </si>
  <si>
    <t>Limbažu 7</t>
  </si>
  <si>
    <t>Sila 16</t>
  </si>
  <si>
    <t>Progresa 4</t>
  </si>
  <si>
    <t>Čaka 41</t>
  </si>
  <si>
    <t>Juglas 2</t>
  </si>
  <si>
    <t>Biķernieku 79</t>
  </si>
  <si>
    <t>Vienības g. x</t>
  </si>
  <si>
    <t>Spilves 21</t>
  </si>
  <si>
    <t>Komētas 30</t>
  </si>
  <si>
    <t>Dzirnavu 115</t>
  </si>
  <si>
    <t>Pētersalas 9</t>
  </si>
  <si>
    <t>Tapešu 19</t>
  </si>
  <si>
    <t>Nomales 6</t>
  </si>
  <si>
    <t>Vaļņu 4</t>
  </si>
  <si>
    <t>Kapseļu 25a</t>
  </si>
  <si>
    <t>Salaspils 22</t>
  </si>
  <si>
    <t>Slokas 72</t>
  </si>
  <si>
    <t>Lubānas 10</t>
  </si>
  <si>
    <t>Skrudalienas 7</t>
  </si>
  <si>
    <t>Arsenāla 7</t>
  </si>
  <si>
    <t>Bīskapa gāte 3</t>
  </si>
  <si>
    <t>Krustpils 73</t>
  </si>
  <si>
    <t>Jaunciema 2. l. 5</t>
  </si>
  <si>
    <t>Klijānu 3</t>
  </si>
  <si>
    <t>Brīvības 131</t>
  </si>
  <si>
    <t>Dzirnavu 9</t>
  </si>
  <si>
    <t>Rūpniecības 16</t>
  </si>
  <si>
    <t>Eizenšteina 63</t>
  </si>
  <si>
    <t>Purvciema 22</t>
  </si>
  <si>
    <t>Viestura pr. 69</t>
  </si>
  <si>
    <t>Muitas 1</t>
  </si>
  <si>
    <t>Krāsotāju 24</t>
  </si>
  <si>
    <t>Stendes 7/4</t>
  </si>
  <si>
    <t>Zvaigžņu 14a</t>
  </si>
  <si>
    <t>Sakses 2</t>
  </si>
  <si>
    <t>Tallinas 90</t>
  </si>
  <si>
    <t>Lilijas 21</t>
  </si>
  <si>
    <t>Trijādības 2</t>
  </si>
  <si>
    <t>Daugavgrīvas 34</t>
  </si>
  <si>
    <t>Zolitūdes 34</t>
  </si>
  <si>
    <t>Kalnciema 57a</t>
  </si>
  <si>
    <t>Kalnciema 116c</t>
  </si>
  <si>
    <t>Ledus 2</t>
  </si>
  <si>
    <t>Maskavas 275</t>
  </si>
  <si>
    <t>Piebalgas 12</t>
  </si>
  <si>
    <t>Salnas 7</t>
  </si>
  <si>
    <t>Emmas 1</t>
  </si>
  <si>
    <t>Pēterbaznīcas</t>
  </si>
  <si>
    <t>Ūnijas 66</t>
  </si>
  <si>
    <t>Sliežu 33</t>
  </si>
  <si>
    <t>Gogoļa 11</t>
  </si>
  <si>
    <t>Silciema 15</t>
  </si>
  <si>
    <t>Deglava 104</t>
  </si>
  <si>
    <t>Viestura pr. 77</t>
  </si>
  <si>
    <t>Maskavas 291 k-3</t>
  </si>
  <si>
    <t>Valdeķu 52-4</t>
  </si>
  <si>
    <t>Brīvības gatve 233</t>
  </si>
  <si>
    <t>Ieroču 1</t>
  </si>
  <si>
    <t>Ropažu 98</t>
  </si>
  <si>
    <t>Dzelzavas 2</t>
  </si>
  <si>
    <t>Pēkšēna 11</t>
  </si>
  <si>
    <t>Maskavas 299</t>
  </si>
  <si>
    <t>Brīvības iela 1</t>
  </si>
  <si>
    <t>Tīnūžu 3</t>
  </si>
  <si>
    <t>Ropažu 122 k-5</t>
  </si>
  <si>
    <t>Salacas 5</t>
  </si>
  <si>
    <t>Pļaviņu 15</t>
  </si>
  <si>
    <t>Brantkalna 2</t>
  </si>
  <si>
    <t>Sējas 47</t>
  </si>
  <si>
    <t>Miesnieku 14</t>
  </si>
  <si>
    <t>Bruņinieku 104</t>
  </si>
  <si>
    <t>Caunes 11</t>
  </si>
  <si>
    <t>Kvēles 15</t>
  </si>
  <si>
    <t>Kaivas 50-45</t>
  </si>
  <si>
    <t>Valguma 20</t>
  </si>
  <si>
    <t>Brīvības 76</t>
  </si>
  <si>
    <t>Anniņmuižas bulvāris 38/4</t>
  </si>
  <si>
    <t>Svētes 1</t>
  </si>
  <si>
    <t>Stirnu 12</t>
  </si>
  <si>
    <t>Katrīnas d. 24/18</t>
  </si>
  <si>
    <t>Maskavas 15</t>
  </si>
  <si>
    <t>Anniņmuižas bulvāris 54</t>
  </si>
  <si>
    <t>Lauvu 22</t>
  </si>
  <si>
    <t>Ērģeļu 1</t>
  </si>
  <si>
    <t>Martas 9</t>
  </si>
  <si>
    <t>Lāčplēša 221</t>
  </si>
  <si>
    <t>Dzirciema 57</t>
  </si>
  <si>
    <t>Anniņmuižas 7</t>
  </si>
  <si>
    <t>Zaļenieku 18</t>
  </si>
  <si>
    <t>Liepājas 78c</t>
  </si>
  <si>
    <t>Hipokrāta 37/34</t>
  </si>
  <si>
    <t>Miera 87a</t>
  </si>
  <si>
    <t>Jēkaba 28</t>
  </si>
  <si>
    <t>Dzeņu 7-1</t>
  </si>
  <si>
    <t>Ģertrūdes 110</t>
  </si>
  <si>
    <t>M. Krūmu 9</t>
  </si>
  <si>
    <t>Bajāru 59</t>
  </si>
  <si>
    <t>Murjāņu 61</t>
  </si>
  <si>
    <t>Raņķa d. 9</t>
  </si>
  <si>
    <t>Kuršu 25a</t>
  </si>
  <si>
    <t>Daugavpils 8a</t>
  </si>
  <si>
    <t>Deglava 56</t>
  </si>
  <si>
    <t>Melngaiļa 2</t>
  </si>
  <si>
    <t>Platā 3</t>
  </si>
  <si>
    <t>Vārnu 4</t>
  </si>
  <si>
    <t>Bruņinieku 42a</t>
  </si>
  <si>
    <t>Miera 95</t>
  </si>
  <si>
    <t>Čaka 67/69</t>
  </si>
  <si>
    <t>Prūšu 17/3</t>
  </si>
  <si>
    <t>Valdeķu 67</t>
  </si>
  <si>
    <t>Pūces 47</t>
  </si>
  <si>
    <t>Merķeļa 6</t>
  </si>
  <si>
    <t>Melngaiļa 8</t>
  </si>
  <si>
    <t>Strēlnieku 15/2</t>
  </si>
  <si>
    <t>Valguma 24</t>
  </si>
  <si>
    <t>Pūces 49</t>
  </si>
  <si>
    <t>Skrīnes 4</t>
  </si>
  <si>
    <t>Slokas 195</t>
  </si>
  <si>
    <t>Apuzes 51a</t>
  </si>
  <si>
    <t>Brīvības gatve 386</t>
  </si>
  <si>
    <t>Pērnavas 23</t>
  </si>
  <si>
    <t>Pūces 43</t>
  </si>
  <si>
    <t>Aizkraukles 30</t>
  </si>
  <si>
    <t>Deglava 106 k-2</t>
  </si>
  <si>
    <t>Maskavas 237a</t>
  </si>
  <si>
    <t>Zemaišu 4</t>
  </si>
  <si>
    <t>Veru 3</t>
  </si>
  <si>
    <t>Tirzas 3</t>
  </si>
  <si>
    <t>Antonijas 18</t>
  </si>
  <si>
    <t>Kurzemes pr. 30</t>
  </si>
  <si>
    <t>Ventspils 65</t>
  </si>
  <si>
    <t>Ilūkstes 32</t>
  </si>
  <si>
    <t>Ezera 11</t>
  </si>
  <si>
    <t>Stirnu 50b</t>
  </si>
  <si>
    <t>Andromedas g. 4</t>
  </si>
  <si>
    <t>Smiļģa 20</t>
  </si>
  <si>
    <t>Turgeņeva 21a</t>
  </si>
  <si>
    <t>Brantkalna 4</t>
  </si>
  <si>
    <t>Vaidavas 3a</t>
  </si>
  <si>
    <t>Līvciema 31</t>
  </si>
  <si>
    <t>Avotu 73</t>
  </si>
  <si>
    <t>Stāmerienas 2/1</t>
  </si>
  <si>
    <t>Deglava 152</t>
  </si>
  <si>
    <t>Kalnciema 9</t>
  </si>
  <si>
    <t>Pulkv. Brieža 9</t>
  </si>
  <si>
    <t>Prūšu 22, k-3</t>
  </si>
  <si>
    <t>Stabu 96</t>
  </si>
  <si>
    <t>Sermuliņu 10</t>
  </si>
  <si>
    <t>Maskavas 79</t>
  </si>
  <si>
    <t>Komētas 15</t>
  </si>
  <si>
    <t>Maskavas 22</t>
  </si>
  <si>
    <t>Ropažu 30</t>
  </si>
  <si>
    <t>Čaka 31</t>
  </si>
  <si>
    <t>Pērnavas 21</t>
  </si>
  <si>
    <t>Alauksta 16</t>
  </si>
  <si>
    <t>Vienības g. 87</t>
  </si>
  <si>
    <t>Eizenšteina 65</t>
  </si>
  <si>
    <t>Lēpju 11</t>
  </si>
  <si>
    <t>Juglas krastm. 1</t>
  </si>
  <si>
    <t>Sapieru 13b</t>
  </si>
  <si>
    <t>Zentenes 30</t>
  </si>
  <si>
    <t>Dzirnavu 31</t>
  </si>
  <si>
    <t>Ropažu 58</t>
  </si>
  <si>
    <t>Dzelzavas 95</t>
  </si>
  <si>
    <t>Kalnciema 15</t>
  </si>
  <si>
    <t>Salacas 19</t>
  </si>
  <si>
    <t>Raunas 3</t>
  </si>
  <si>
    <t>Stirnu 55</t>
  </si>
  <si>
    <t>Pils lauk. 2b</t>
  </si>
  <si>
    <t>Patversmes 22</t>
  </si>
  <si>
    <t>Ernestīnes 18a</t>
  </si>
  <si>
    <t>Parādes 18</t>
  </si>
  <si>
    <t>M. Nometņu 17 a</t>
  </si>
  <si>
    <t>Olīvu 100</t>
  </si>
  <si>
    <t>Kurzemes pr. 138</t>
  </si>
  <si>
    <t>Braslas 19</t>
  </si>
  <si>
    <t>Silikātu 4</t>
  </si>
  <si>
    <t>Salnas 32</t>
  </si>
  <si>
    <t>Matīsa 42</t>
  </si>
  <si>
    <t>Lokomotīves 44</t>
  </si>
  <si>
    <t>Juglas 2e</t>
  </si>
  <si>
    <t>Raunas 15a</t>
  </si>
  <si>
    <t>Rostokas 50</t>
  </si>
  <si>
    <t>Krasta 66</t>
  </si>
  <si>
    <t>Dubultu 16</t>
  </si>
  <si>
    <t>Stabu 21</t>
  </si>
  <si>
    <t>Dzirnavu 62</t>
  </si>
  <si>
    <t>Akmeņu 16a</t>
  </si>
  <si>
    <t>Krāslavas 24</t>
  </si>
  <si>
    <t>Rūpniecības 16/2</t>
  </si>
  <si>
    <t>Akas 8</t>
  </si>
  <si>
    <t>St. Rusas 22a</t>
  </si>
  <si>
    <t>Zemaišu 1</t>
  </si>
  <si>
    <t>Murjāņu 34</t>
  </si>
  <si>
    <t>Tomsona 34</t>
  </si>
  <si>
    <t>Rušonu 24/1</t>
  </si>
  <si>
    <t>Katrīnas d. 20/1</t>
  </si>
  <si>
    <t>Ilūkstes 54/3</t>
  </si>
  <si>
    <t>Salaspils 7</t>
  </si>
  <si>
    <t>Stabu 41</t>
  </si>
  <si>
    <t>Maskavas 268 k-7</t>
  </si>
  <si>
    <t>Ezermalas 18b</t>
  </si>
  <si>
    <t>Slokas 215</t>
  </si>
  <si>
    <t>Maskavas 317</t>
  </si>
  <si>
    <t>Dzirciema 89</t>
  </si>
  <si>
    <t>Žagatu 24</t>
  </si>
  <si>
    <t>Jelgavas 50</t>
  </si>
  <si>
    <t>Zolitūdes 36</t>
  </si>
  <si>
    <t>Lāčplēša 83</t>
  </si>
  <si>
    <t>Slāvu 23a</t>
  </si>
  <si>
    <t>Zeltiņu 6</t>
  </si>
  <si>
    <t>Rītupes 12</t>
  </si>
  <si>
    <t>Kurzemes pr. 124</t>
  </si>
  <si>
    <t>Ilūkstes 6</t>
  </si>
  <si>
    <t>Kooperatīva 20</t>
  </si>
  <si>
    <t>Rušonu 30</t>
  </si>
  <si>
    <t>Dzeņu 7k1</t>
  </si>
  <si>
    <t>Sliežu 27</t>
  </si>
  <si>
    <t>Jersikas 25</t>
  </si>
  <si>
    <t>Pelnu 1</t>
  </si>
  <si>
    <t>Pupuku iela 9</t>
  </si>
  <si>
    <t>Aviācijas 2c</t>
  </si>
  <si>
    <t>Alīses 8</t>
  </si>
  <si>
    <t>Žagatu 22</t>
  </si>
  <si>
    <t>Glūdas 6</t>
  </si>
  <si>
    <t>Silikātu 3/2</t>
  </si>
  <si>
    <t>Purvciema 44</t>
  </si>
  <si>
    <t>Maskavas 254/1</t>
  </si>
  <si>
    <t>Kurzemes pr. 56</t>
  </si>
  <si>
    <t>Jāņa 3</t>
  </si>
  <si>
    <t>Stirnu 15a</t>
  </si>
  <si>
    <t>Lidoņu 14b</t>
  </si>
  <si>
    <t>Vangažu 32</t>
  </si>
  <si>
    <t>Keldiša 12</t>
  </si>
  <si>
    <t>Imantas 2</t>
  </si>
  <si>
    <t>Vaidelotes 11</t>
  </si>
  <si>
    <t>Kalnciema 22</t>
  </si>
  <si>
    <t>Gramzdas 21</t>
  </si>
  <si>
    <t>Ulbrokas 5</t>
  </si>
  <si>
    <t>Biķernieku 124</t>
  </si>
  <si>
    <t>Dzirnavu 50</t>
  </si>
  <si>
    <t>Plostu 12</t>
  </si>
  <si>
    <t>Lubānas 143</t>
  </si>
  <si>
    <t>Alauksta 5</t>
  </si>
  <si>
    <t>Baltāsbaznīcas 36</t>
  </si>
  <si>
    <t>Andromedas g. 7</t>
  </si>
  <si>
    <t>Apuzes 37c</t>
  </si>
  <si>
    <t>Parādes 20a</t>
  </si>
  <si>
    <t>Auru 5a</t>
  </si>
  <si>
    <t>Platā 30</t>
  </si>
  <si>
    <t>Višķu 19</t>
  </si>
  <si>
    <t>Maskavas 216</t>
  </si>
  <si>
    <t>M. Krasta 37</t>
  </si>
  <si>
    <t>Dzirciema 31</t>
  </si>
  <si>
    <t>Ilūkstes 107 k-2</t>
  </si>
  <si>
    <t>Ulbrokas 7</t>
  </si>
  <si>
    <t>Brīvības 161</t>
  </si>
  <si>
    <t>Dzeņu 1</t>
  </si>
  <si>
    <t>Hipokrāta 62</t>
  </si>
  <si>
    <t>Kalnciema 62</t>
  </si>
  <si>
    <t>Maskavas 268/7</t>
  </si>
  <si>
    <t>Stirnu 19</t>
  </si>
  <si>
    <t>Melīdas 56</t>
  </si>
  <si>
    <t>Bruņinieku 87</t>
  </si>
  <si>
    <t>Ludzas 55</t>
  </si>
  <si>
    <t>Jūrmalas g. 109</t>
  </si>
  <si>
    <t>Elizabetes 22</t>
  </si>
  <si>
    <t>Pīpeņu 10</t>
  </si>
  <si>
    <t>Ozolciema 46</t>
  </si>
  <si>
    <t>Slokas 86</t>
  </si>
  <si>
    <t>Bruņinieku 12</t>
  </si>
  <si>
    <t>Bauskas</t>
  </si>
  <si>
    <t>Ģertrūdes 108</t>
  </si>
  <si>
    <t>Barona 55</t>
  </si>
  <si>
    <t>Kuldīgas 45a</t>
  </si>
  <si>
    <t>Murjāņu 20</t>
  </si>
  <si>
    <t>Ieriķu 29</t>
  </si>
  <si>
    <t>Tallinas 52</t>
  </si>
  <si>
    <t>Brīvības iela 93</t>
  </si>
  <si>
    <t>Zeltiņu 22</t>
  </si>
  <si>
    <t>Elizabetes 37</t>
  </si>
  <si>
    <t>Melīdas 6c</t>
  </si>
  <si>
    <t>Dombrovska 75</t>
  </si>
  <si>
    <t>Katrīnas d. 22</t>
  </si>
  <si>
    <t>Morica 20b</t>
  </si>
  <si>
    <t>Marsa g. 1</t>
  </si>
  <si>
    <t>Ozolciema 12/4</t>
  </si>
  <si>
    <t>Maskavas 84</t>
  </si>
  <si>
    <t>Marijas 15</t>
  </si>
  <si>
    <t>Dāliju 8a</t>
  </si>
  <si>
    <t>Slokas 191</t>
  </si>
  <si>
    <t>Sapieru 1</t>
  </si>
  <si>
    <t>Matīsa 17</t>
  </si>
  <si>
    <t>Staiceles 19</t>
  </si>
  <si>
    <t>Brīvības gatve 281</t>
  </si>
  <si>
    <t>Daugavgrīvas 68a</t>
  </si>
  <si>
    <t>Ropažu 5</t>
  </si>
  <si>
    <t>Čiekurkalna 8. šķ l. 1b</t>
  </si>
  <si>
    <t>Preiļu 4</t>
  </si>
  <si>
    <t>Viestura pr. 67</t>
  </si>
  <si>
    <t>Irlavas 34</t>
  </si>
  <si>
    <t>Sadovņikova 56</t>
  </si>
  <si>
    <t>Kaivas 50-45d</t>
  </si>
  <si>
    <t>J. Vācieša 4</t>
  </si>
  <si>
    <t>Ganību d. 14</t>
  </si>
  <si>
    <t>Anniņmuižas bulvāris 28</t>
  </si>
  <si>
    <t>Laipu 5</t>
  </si>
  <si>
    <t>Kaivas 50-13d</t>
  </si>
  <si>
    <t>Lilijas 28</t>
  </si>
  <si>
    <t>Kaņiera 18</t>
  </si>
  <si>
    <t>Smilšu 14a</t>
  </si>
  <si>
    <t>Prūšu 4c</t>
  </si>
  <si>
    <t>Valdemāra 109</t>
  </si>
  <si>
    <t>Hāpsalas 1 k-1</t>
  </si>
  <si>
    <t>Pilsoņu 18</t>
  </si>
  <si>
    <t>Vidus 11</t>
  </si>
  <si>
    <t>Kaivas 50-4</t>
  </si>
  <si>
    <t>Valdemāra 143</t>
  </si>
  <si>
    <t>Jasmuižas 18 k 1</t>
  </si>
  <si>
    <t>Lāčplēša 44/46</t>
  </si>
  <si>
    <t>Ģertrūdes 62</t>
  </si>
  <si>
    <t>Bērzpils 3</t>
  </si>
  <si>
    <t>Stabu 95</t>
  </si>
  <si>
    <t>Dravnieku 6</t>
  </si>
  <si>
    <t>Lubānas 35</t>
  </si>
  <si>
    <t>Dzirnavu 60a</t>
  </si>
  <si>
    <t>Silciema 15/1</t>
  </si>
  <si>
    <t>Zemes 8</t>
  </si>
  <si>
    <t>Ezera 13</t>
  </si>
  <si>
    <t>Pumpura 3a</t>
  </si>
  <si>
    <t>Kaivas 50/2</t>
  </si>
  <si>
    <t>Avotu 11</t>
  </si>
  <si>
    <t>Ģertrūdes 9</t>
  </si>
  <si>
    <t>Matīsa 18</t>
  </si>
  <si>
    <t>Hospitāļu 33a</t>
  </si>
  <si>
    <t>Jasmuižas 8</t>
  </si>
  <si>
    <t>Hospitāļu 3</t>
  </si>
  <si>
    <t>St. Rusas 8</t>
  </si>
  <si>
    <t>Juglas 41</t>
  </si>
  <si>
    <t>Riekstu 7</t>
  </si>
  <si>
    <t>Vecmīlgrāvja 9</t>
  </si>
  <si>
    <t>Buļļu 35 a</t>
  </si>
  <si>
    <t>Maskavas 69</t>
  </si>
  <si>
    <t>Zolitūdes 75 k-3</t>
  </si>
  <si>
    <t>Melnsila 21</t>
  </si>
  <si>
    <t>Tīnūžu 14</t>
  </si>
  <si>
    <t>Ikšķiles 18</t>
  </si>
  <si>
    <t>Skolas 36a</t>
  </si>
  <si>
    <t>Valdeķu 60</t>
  </si>
  <si>
    <t>Maskavas 182</t>
  </si>
  <si>
    <t>Staiceles 11</t>
  </si>
  <si>
    <t>Kurzemes pr. 52</t>
  </si>
  <si>
    <t>Rūpniecības 34a</t>
  </si>
  <si>
    <t>Avotu 65a</t>
  </si>
  <si>
    <t>M. Lubānas 18</t>
  </si>
  <si>
    <t>Emmas 10</t>
  </si>
  <si>
    <t>Maskavas 258/6</t>
  </si>
  <si>
    <t>Gramzdas 17</t>
  </si>
  <si>
    <t>Buļļu 42 b</t>
  </si>
  <si>
    <t>Jūrkalnes 87</t>
  </si>
  <si>
    <t>Valdemāra 105</t>
  </si>
  <si>
    <t>Miera 57a</t>
  </si>
  <si>
    <t>Lienes 25</t>
  </si>
  <si>
    <t>Maltas 22</t>
  </si>
  <si>
    <t>Dubultu 23</t>
  </si>
  <si>
    <t>Sarkandaugavas 3</t>
  </si>
  <si>
    <t>Zeltiņu 20</t>
  </si>
  <si>
    <t>Biķernieku 226</t>
  </si>
  <si>
    <t>Parādes 3</t>
  </si>
  <si>
    <t>Ezera 19</t>
  </si>
  <si>
    <t>Kastrānes 2a</t>
  </si>
  <si>
    <t>Kaivas 15</t>
  </si>
  <si>
    <t>Augšzemes 7</t>
  </si>
  <si>
    <t>Maskavas 256/7</t>
  </si>
  <si>
    <t>Vecpilsētas 3</t>
  </si>
  <si>
    <t>Tapešu 25</t>
  </si>
  <si>
    <t>Elizabetes 1</t>
  </si>
  <si>
    <t>Kāvu 1</t>
  </si>
  <si>
    <t>Kalnciema 1a</t>
  </si>
  <si>
    <t>Rasas 2</t>
  </si>
  <si>
    <t>J. Vācieša 2c</t>
  </si>
  <si>
    <t>Zebiekstes 3</t>
  </si>
  <si>
    <t>Mūkusalas 56</t>
  </si>
  <si>
    <t>Čaka 52</t>
  </si>
  <si>
    <t>Tilta 11</t>
  </si>
  <si>
    <t>Bruņinieku 75</t>
  </si>
  <si>
    <t>Stirnu 5</t>
  </si>
  <si>
    <t>Lokomotīves 32</t>
  </si>
  <si>
    <t>Čiekurkalna 1. l. 54</t>
  </si>
  <si>
    <t>Barona 64</t>
  </si>
  <si>
    <t>Indrānu 15</t>
  </si>
  <si>
    <t>Čaka 46</t>
  </si>
  <si>
    <t>Kastrānes 16</t>
  </si>
  <si>
    <t>Dzelzavas 25</t>
  </si>
  <si>
    <t>Brīvības iela 90</t>
  </si>
  <si>
    <t>Zvīņu 3</t>
  </si>
  <si>
    <t>Maskavas 280</t>
  </si>
  <si>
    <t>Caunes 10 k1</t>
  </si>
  <si>
    <t>Vecmīlgrāvja 1. l. 45</t>
  </si>
  <si>
    <t>Ozolciema 24/k1</t>
  </si>
  <si>
    <t>Rūpniecības 34</t>
  </si>
  <si>
    <t>Smiļģa 9</t>
  </si>
  <si>
    <t>Ulbrokas 8</t>
  </si>
  <si>
    <t>Varavīksnes g. 6</t>
  </si>
  <si>
    <t>Brīvības iela 148</t>
  </si>
  <si>
    <t>Valdemāra 23, k2</t>
  </si>
  <si>
    <t>Viestura pr. 24</t>
  </si>
  <si>
    <t>Melnsila 18</t>
  </si>
  <si>
    <t>Rūjienas 6</t>
  </si>
  <si>
    <t>Viestura pr. 63</t>
  </si>
  <si>
    <t>St. Rusas 22</t>
  </si>
  <si>
    <t>Platā 10</t>
  </si>
  <si>
    <t>Pērnavas 6</t>
  </si>
  <si>
    <t>Viršu 7</t>
  </si>
  <si>
    <t>Birzes 40</t>
  </si>
  <si>
    <t>Malienas 72</t>
  </si>
  <si>
    <t>Bērzupes 24a</t>
  </si>
  <si>
    <t>Salnas 14</t>
  </si>
  <si>
    <t>Daugavgrīvas 68 a</t>
  </si>
  <si>
    <t>Imantas 1</t>
  </si>
  <si>
    <t>Dammes 26</t>
  </si>
  <si>
    <t>Zvaigžņu 18</t>
  </si>
  <si>
    <t>Tīraines 10</t>
  </si>
  <si>
    <t>Zolitūdes 38/3</t>
  </si>
  <si>
    <t>Vairoga 11</t>
  </si>
  <si>
    <t>Ropažu 74</t>
  </si>
  <si>
    <t>Skrudalienas 15</t>
  </si>
  <si>
    <t>Ganību d. 16</t>
  </si>
  <si>
    <t>Zvaigžņu 2b</t>
  </si>
  <si>
    <t>Sīmaņa 6</t>
  </si>
  <si>
    <t>Meistaru 8</t>
  </si>
  <si>
    <t>Ruses 14</t>
  </si>
  <si>
    <t>Bruknas 8</t>
  </si>
  <si>
    <t>Akas 9</t>
  </si>
  <si>
    <t>Juglas 51</t>
  </si>
  <si>
    <t>Skuju 2</t>
  </si>
  <si>
    <t>Anitas 3</t>
  </si>
  <si>
    <t>Juglas 35</t>
  </si>
  <si>
    <t>Dzirciema 31a</t>
  </si>
  <si>
    <t>Ropažu 105</t>
  </si>
  <si>
    <t>Buļļu 888</t>
  </si>
  <si>
    <t>Salacas 16</t>
  </si>
  <si>
    <t>Kalnciema 107</t>
  </si>
  <si>
    <t>Katoļu 35a</t>
  </si>
  <si>
    <t>Ozolciema 56/2</t>
  </si>
  <si>
    <t>Ģertrūdes 54</t>
  </si>
  <si>
    <t>Kalēju 6</t>
  </si>
  <si>
    <t>Sarkandaugavas 2</t>
  </si>
  <si>
    <t>Stabu 52</t>
  </si>
  <si>
    <t>Keldiša 24</t>
  </si>
  <si>
    <t>Raunas 58</t>
  </si>
  <si>
    <t>Candera 25</t>
  </si>
  <si>
    <t>Ziepniekkalna 64</t>
  </si>
  <si>
    <t>Viestura pr. 45</t>
  </si>
  <si>
    <t>Pētersalas 18</t>
  </si>
  <si>
    <t>Skolas 25</t>
  </si>
  <si>
    <t>Jaunības 11</t>
  </si>
  <si>
    <t>Rūpniecības 7</t>
  </si>
  <si>
    <t>Bultu 3</t>
  </si>
  <si>
    <t>Lokomotīves 82</t>
  </si>
  <si>
    <t>Īslīces 9</t>
  </si>
  <si>
    <t>Ieriķu 37</t>
  </si>
  <si>
    <t>Artilērijas 64a</t>
  </si>
  <si>
    <t>Ļaudonas 1</t>
  </si>
  <si>
    <t>Vidrižu 1.c</t>
  </si>
  <si>
    <t>Silciema 7</t>
  </si>
  <si>
    <t>Tadaiķu 8/2</t>
  </si>
  <si>
    <t>J. Daliņa 2</t>
  </si>
  <si>
    <t>Tallinas 35</t>
  </si>
  <si>
    <t>Jūrmalas g. 82</t>
  </si>
  <si>
    <t>Alūksnes 1</t>
  </si>
  <si>
    <t>Vesetas 10</t>
  </si>
  <si>
    <t>Tvaika 14</t>
  </si>
  <si>
    <t>Balvu 13</t>
  </si>
  <si>
    <t>Vidzemes al. 5</t>
  </si>
  <si>
    <t>Bruņinieku 44</t>
  </si>
  <si>
    <t>Astras 10a</t>
  </si>
  <si>
    <t>Zeltiņu 56</t>
  </si>
  <si>
    <t>Brīvības 106</t>
  </si>
  <si>
    <t>Kapseļu 4a</t>
  </si>
  <si>
    <t>Stopiņu 8</t>
  </si>
  <si>
    <t>Brīvības iela 152</t>
  </si>
  <si>
    <t>Daugavpils 49</t>
  </si>
  <si>
    <t>Spilves 37</t>
  </si>
  <si>
    <t>Rusova 28</t>
  </si>
  <si>
    <t>Ikšķiles 7a</t>
  </si>
  <si>
    <t>Ezermalas 2/2</t>
  </si>
  <si>
    <t>Meldru 10</t>
  </si>
  <si>
    <t>Kurzemes pr. 82</t>
  </si>
  <si>
    <t>Buļļu 4</t>
  </si>
  <si>
    <t>Merķeļa 3</t>
  </si>
  <si>
    <t>Anniņmuižas bulvāris 38/2</t>
  </si>
  <si>
    <t>Palmu 5</t>
  </si>
  <si>
    <t>Gaujas 19</t>
  </si>
  <si>
    <t>Juglas 1</t>
  </si>
  <si>
    <t>Ozolciema 32/2</t>
  </si>
  <si>
    <t>Pūces 53</t>
  </si>
  <si>
    <t>Prūšu 1</t>
  </si>
  <si>
    <t>Parādes 9a</t>
  </si>
  <si>
    <t>Graudu 76</t>
  </si>
  <si>
    <t>Juglas 21</t>
  </si>
  <si>
    <t>Auru 13</t>
  </si>
  <si>
    <t>Eizenšteina 49a</t>
  </si>
  <si>
    <t>Kastrānes 1</t>
  </si>
  <si>
    <t>Atlantijas 7</t>
  </si>
  <si>
    <t>Andromedas g. 8</t>
  </si>
  <si>
    <t>Alīses 6</t>
  </si>
  <si>
    <t>Upes 12</t>
  </si>
  <si>
    <t>Brīvības 132</t>
  </si>
  <si>
    <t>Mārupes 51</t>
  </si>
  <si>
    <t>Cēsu 17</t>
  </si>
  <si>
    <t>Zolitūdes 73</t>
  </si>
  <si>
    <t>Lēpju 9</t>
  </si>
  <si>
    <t>Biķernieku 220</t>
  </si>
  <si>
    <t>Kurzemes pr. 84</t>
  </si>
  <si>
    <t>Pļavas 5</t>
  </si>
  <si>
    <t>Čakstes g. 49</t>
  </si>
  <si>
    <t>Lielupes 60</t>
  </si>
  <si>
    <t>Pērnavas 10a</t>
  </si>
  <si>
    <t>Pērnavas 12</t>
  </si>
  <si>
    <t>Murjāņu 6</t>
  </si>
  <si>
    <t>Zolitūdes 25</t>
  </si>
  <si>
    <t>Kokneses pr. 4 k-1</t>
  </si>
  <si>
    <t>Barona 122</t>
  </si>
  <si>
    <t>Stabu 59</t>
  </si>
  <si>
    <t>Ganību d. 13k1</t>
  </si>
  <si>
    <t>Dzelzavas 31</t>
  </si>
  <si>
    <t>Hospitāļu 35</t>
  </si>
  <si>
    <t>Stabu 54</t>
  </si>
  <si>
    <t>Aizkraukles 32</t>
  </si>
  <si>
    <t>Dzirnavu 3a</t>
  </si>
  <si>
    <t>Dzelzavas 39</t>
  </si>
  <si>
    <t>Viestura pr. 35</t>
  </si>
  <si>
    <t>Dignājas 3a</t>
  </si>
  <si>
    <t>Hāpsalas 9</t>
  </si>
  <si>
    <t>Vangažu 7</t>
  </si>
  <si>
    <t>Silikātu 7a</t>
  </si>
  <si>
    <t>Dzelzavas 75</t>
  </si>
  <si>
    <t>Spilves 33</t>
  </si>
  <si>
    <t>Zemes 5</t>
  </si>
  <si>
    <t>Maskavas 377</t>
  </si>
  <si>
    <t>Dombrovska 7</t>
  </si>
  <si>
    <t>Dombrovska 9b</t>
  </si>
  <si>
    <t>Vadakstes 20</t>
  </si>
  <si>
    <t>Valdeķu 5</t>
  </si>
  <si>
    <t>Katrīnas d. 5</t>
  </si>
  <si>
    <t>Maskavas 175</t>
  </si>
  <si>
    <t>Mores 7</t>
  </si>
  <si>
    <t>St. Rusas 5</t>
  </si>
  <si>
    <t>Brīvības gatve 312</t>
  </si>
  <si>
    <t>Ropažu 56</t>
  </si>
  <si>
    <t>Bruņinieku 115c</t>
  </si>
  <si>
    <t>Valdemāra 57/59</t>
  </si>
  <si>
    <t>Brīvības gatve 293 a</t>
  </si>
  <si>
    <t>Lāčplēša 43</t>
  </si>
  <si>
    <t>Biķernieku 250</t>
  </si>
  <si>
    <t>Tapešu 2</t>
  </si>
  <si>
    <t>Zirņu 5</t>
  </si>
  <si>
    <t>Glūdas 11</t>
  </si>
  <si>
    <t>Birznieka-Upīša 23</t>
  </si>
  <si>
    <t>Ģertrūdes 127</t>
  </si>
  <si>
    <t>Līdaku 3a</t>
  </si>
  <si>
    <t>Limbažu 2</t>
  </si>
  <si>
    <t>Senču 5</t>
  </si>
  <si>
    <t>Valdeķu 66/1</t>
  </si>
  <si>
    <t>Rostokas 22</t>
  </si>
  <si>
    <t>Atlantijas 67</t>
  </si>
  <si>
    <t>Siguldas pr. 14</t>
  </si>
  <si>
    <t>Viršu 4</t>
  </si>
  <si>
    <t>Matīsa 14</t>
  </si>
  <si>
    <t>Dzirciema 21</t>
  </si>
  <si>
    <t>Brīvības 56</t>
  </si>
  <si>
    <t>Ūnijas 31</t>
  </si>
  <si>
    <t>Cēsu 2</t>
  </si>
  <si>
    <t>Birznieka-Upīša 29</t>
  </si>
  <si>
    <t>Zalves 47</t>
  </si>
  <si>
    <t>Slāvu 13/2</t>
  </si>
  <si>
    <t>Laboratorijas 23</t>
  </si>
  <si>
    <t>Emmas 7</t>
  </si>
  <si>
    <t>Valdeķu 50</t>
  </si>
  <si>
    <t>Gardenes 7</t>
  </si>
  <si>
    <t>Celmu 10</t>
  </si>
  <si>
    <t>Miera 27</t>
  </si>
  <si>
    <t>Ilūkstes 60</t>
  </si>
  <si>
    <t>Ieriķu 36</t>
  </si>
  <si>
    <t>Ilūkstes 54</t>
  </si>
  <si>
    <t>Čaka 130</t>
  </si>
  <si>
    <t>Bauskas 205</t>
  </si>
  <si>
    <t>Valdeķu 1</t>
  </si>
  <si>
    <t>Upeņu 17</t>
  </si>
  <si>
    <t>Maskavas 266</t>
  </si>
  <si>
    <t>Alunāna 6</t>
  </si>
  <si>
    <t>Ganību d. 40a</t>
  </si>
  <si>
    <t>Kristapa 10</t>
  </si>
  <si>
    <t>Kurbada 3b</t>
  </si>
  <si>
    <t>Maskavas 291/2</t>
  </si>
  <si>
    <t>Brīvības iela 162</t>
  </si>
  <si>
    <t>Vidzemes al. 3</t>
  </si>
  <si>
    <t>Briežu 7</t>
  </si>
  <si>
    <t>Tallinas 68</t>
  </si>
  <si>
    <t>Avotu 75</t>
  </si>
  <si>
    <t>Šauļu 1</t>
  </si>
  <si>
    <t>Čaka 54</t>
  </si>
  <si>
    <t>Kurzemes pr. 120</t>
  </si>
  <si>
    <t>Prūšu 3/1</t>
  </si>
  <si>
    <t>Maskavas 259</t>
  </si>
  <si>
    <t>Ozolciema 56 k-2</t>
  </si>
  <si>
    <t>Vaidelotes 19</t>
  </si>
  <si>
    <t>Dammes 17</t>
  </si>
  <si>
    <t>J. Vācieša 12</t>
  </si>
  <si>
    <t>Ūnijas 59</t>
  </si>
  <si>
    <t>Avotu 37</t>
  </si>
  <si>
    <t>Lapsu</t>
  </si>
  <si>
    <t>Kuldīgas 37a</t>
  </si>
  <si>
    <t>Spilves 35</t>
  </si>
  <si>
    <t>Priežu 14</t>
  </si>
  <si>
    <t>Eizenšteina 45</t>
  </si>
  <si>
    <t>J. Vācieša 10</t>
  </si>
  <si>
    <t>Šampētera 42</t>
  </si>
  <si>
    <t>Maskavas 218</t>
  </si>
  <si>
    <t>Vidus 4</t>
  </si>
  <si>
    <t>Jaunciema 5. šķ. l. 10b</t>
  </si>
  <si>
    <t>Tomsona 24</t>
  </si>
  <si>
    <t>Sapieru 3</t>
  </si>
  <si>
    <t>Valdemāra 147/3</t>
  </si>
  <si>
    <t>Barona 82a</t>
  </si>
  <si>
    <t>Maskavas 423</t>
  </si>
  <si>
    <t>Ozolu 7</t>
  </si>
  <si>
    <t>Ģertrūdes 95a</t>
  </si>
  <si>
    <t>Jūrmalas g. 101</t>
  </si>
  <si>
    <t>Brīvības gatve 334</t>
  </si>
  <si>
    <t>Palangas 12</t>
  </si>
  <si>
    <t>Valguma 31</t>
  </si>
  <si>
    <t>Ledus 4</t>
  </si>
  <si>
    <t>Krustpils 73 k-3</t>
  </si>
  <si>
    <t>Krustpils 73-k-3</t>
  </si>
  <si>
    <t>Maskavas 192</t>
  </si>
  <si>
    <t>Zaubes 5</t>
  </si>
  <si>
    <t>Čaka 67</t>
  </si>
  <si>
    <t>Grostonas 21</t>
  </si>
  <si>
    <t>Deglava 160</t>
  </si>
  <si>
    <t>Zaubes 9a</t>
  </si>
  <si>
    <t>Kristapa 8b</t>
  </si>
  <si>
    <t>Kurzemes pr. 118</t>
  </si>
  <si>
    <t>Lubānas 14</t>
  </si>
  <si>
    <t>Dammes 104</t>
  </si>
  <si>
    <t>Gardenes 5</t>
  </si>
  <si>
    <t>Jūrmalas g. 93</t>
  </si>
  <si>
    <t>Lāčplēša 131</t>
  </si>
  <si>
    <t>Ozolciema 46/1</t>
  </si>
  <si>
    <t>Astras 8 k-1</t>
  </si>
  <si>
    <t>Kastrānes 1-2</t>
  </si>
  <si>
    <t>Vēja 7</t>
  </si>
  <si>
    <t>Zaļā 4</t>
  </si>
  <si>
    <t>Sermuliņu 16</t>
  </si>
  <si>
    <t>Kreslera 1k5</t>
  </si>
  <si>
    <t>Stirnu 35</t>
  </si>
  <si>
    <t>Salnas 5</t>
  </si>
  <si>
    <t>Brīvības iela 169</t>
  </si>
  <si>
    <t>Ozolciema 42</t>
  </si>
  <si>
    <t>Tallinas 85</t>
  </si>
  <si>
    <t>Bruņinieku 73a</t>
  </si>
  <si>
    <t>Jersikas 16</t>
  </si>
  <si>
    <t>Lokomotīves 70a</t>
  </si>
  <si>
    <t>Ieriķu 9a</t>
  </si>
  <si>
    <t>Lokomotīves 78</t>
  </si>
  <si>
    <t>Edžiņa g. 5</t>
  </si>
  <si>
    <t>Raunas 45</t>
  </si>
  <si>
    <t>Ūbeles 5</t>
  </si>
  <si>
    <t>Basu 3a</t>
  </si>
  <si>
    <t>Tērbatas 82a</t>
  </si>
  <si>
    <t>Avotu 15</t>
  </si>
  <si>
    <t>Brīvības 133</t>
  </si>
  <si>
    <t>Zvīņu 1</t>
  </si>
  <si>
    <t>Darba 1</t>
  </si>
  <si>
    <t>Jaunsaules 3a</t>
  </si>
  <si>
    <t>Lidoņu 26</t>
  </si>
  <si>
    <t>Ģertrūdes 61</t>
  </si>
  <si>
    <t>Vaidelotes 24</t>
  </si>
  <si>
    <t>Kalngales 11</t>
  </si>
  <si>
    <t>Vaidavas 15</t>
  </si>
  <si>
    <t>Maskavas 429</t>
  </si>
  <si>
    <t>Vēžu 9</t>
  </si>
  <si>
    <t>Dravnieku 4</t>
  </si>
  <si>
    <t>Nīcgales 31</t>
  </si>
  <si>
    <t>Zentenes 49</t>
  </si>
  <si>
    <t>Gramzdas 19/1</t>
  </si>
  <si>
    <t>Indrānu 14</t>
  </si>
  <si>
    <t>Alunāna 9</t>
  </si>
  <si>
    <t>Katrīnas d. 26</t>
  </si>
  <si>
    <t>Stabu 84</t>
  </si>
  <si>
    <t>Elvīras 13a</t>
  </si>
  <si>
    <t>Birzes 32</t>
  </si>
  <si>
    <t>Čiekurkalna 7. šķ l. 3k2</t>
  </si>
  <si>
    <t>Metric</t>
  </si>
  <si>
    <t>Value</t>
  </si>
  <si>
    <t>Total rows</t>
  </si>
  <si>
    <t>Avg price (sale)</t>
  </si>
  <si>
    <t>Avg price (rent)</t>
  </si>
  <si>
    <t>Blanks</t>
  </si>
  <si>
    <t>Total excluded</t>
  </si>
  <si>
    <t>Avg price 2-room centrs</t>
  </si>
  <si>
    <t>AVERAGE of price</t>
  </si>
  <si>
    <t>Grand Total</t>
  </si>
  <si>
    <t>Riga Real Estate Market Analysis</t>
  </si>
  <si>
    <t>KPI Summary</t>
  </si>
  <si>
    <t>Total listings:</t>
  </si>
  <si>
    <t>For sale:</t>
  </si>
  <si>
    <t>For rent:</t>
  </si>
  <si>
    <t>Avg sale price:</t>
  </si>
  <si>
    <t>Avg rent price:</t>
  </si>
  <si>
    <t>2-room centrs (sale):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</si>
</sst>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sz val="18.0"/>
      <color rgb="FF000000"/>
      <name val="Arial"/>
      <scheme val="minor"/>
    </font>
    <font>
      <b/>
      <sz val="14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3" fillId="0" fontId="1" numFmtId="0" xfId="0" applyBorder="1" applyFont="1"/>
    <xf borderId="1" fillId="0" fontId="2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0" fontId="3" numFmtId="0" xfId="0" applyAlignment="1" applyBorder="1" applyFont="1">
      <alignment horizontal="left" readingOrder="0"/>
    </xf>
    <xf borderId="1" fillId="0" fontId="1" numFmtId="2" xfId="0" applyAlignment="1" applyBorder="1" applyFont="1" applyNumberFormat="1">
      <alignment horizontal="left"/>
    </xf>
    <xf borderId="1" fillId="0" fontId="0" numFmtId="0" xfId="0" applyAlignment="1" applyBorder="1" applyFont="1">
      <alignment horizontal="left"/>
    </xf>
    <xf borderId="1" fillId="0" fontId="3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left" readingOrder="0"/>
    </xf>
    <xf borderId="0" fillId="0" fontId="1" numFmtId="0" xfId="0" applyFont="1"/>
    <xf borderId="0" fillId="0" fontId="1" numFmtId="2" xfId="0" applyAlignment="1" applyFont="1" applyNumberFormat="1">
      <alignment horizontal="left"/>
    </xf>
    <xf borderId="0" fillId="0" fontId="1" numFmtId="2" xfId="0" applyFont="1" applyNumberFormat="1"/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2" fillId="3" fontId="6" numFmtId="0" xfId="0" applyAlignment="1" applyBorder="1" applyFill="1" applyFont="1">
      <alignment readingOrder="0"/>
    </xf>
    <xf borderId="4" fillId="0" fontId="7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 Price by District (Riga)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Pivot_district!$B$1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Pivot_district!$A$2:$A$1000</c:f>
            </c:strRef>
          </c:cat>
          <c:val>
            <c:numRef>
              <c:f>Pivot_district!$B$2:$B$1000</c:f>
              <c:numCache/>
            </c:numRef>
          </c:val>
        </c:ser>
        <c:axId val="158696791"/>
        <c:axId val="291514323"/>
      </c:barChart>
      <c:catAx>
        <c:axId val="1586967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514323"/>
      </c:catAx>
      <c:valAx>
        <c:axId val="2915143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967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 Price by Number of Rooms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Pivot_rooms!$B$1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Pivot_rooms!$A$2:$A$8</c:f>
            </c:strRef>
          </c:cat>
          <c:val>
            <c:numRef>
              <c:f>Pivot_rooms!$B$2:$B$8</c:f>
              <c:numCache/>
            </c:numRef>
          </c:val>
        </c:ser>
        <c:axId val="447747127"/>
        <c:axId val="601134006"/>
      </c:barChart>
      <c:catAx>
        <c:axId val="447747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rooms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1134006"/>
      </c:catAx>
      <c:valAx>
        <c:axId val="60113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7747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Rent by District (Riga)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Pivot_rent!$B$1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Pivot_rent!$A$2:$A$39</c:f>
            </c:strRef>
          </c:cat>
          <c:val>
            <c:numRef>
              <c:f>Pivot_rent!$B$2:$B$39</c:f>
              <c:numCache/>
            </c:numRef>
          </c:val>
        </c:ser>
        <c:axId val="866103608"/>
        <c:axId val="895527064"/>
      </c:barChart>
      <c:catAx>
        <c:axId val="8661036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527064"/>
      </c:catAx>
      <c:valAx>
        <c:axId val="8955270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1036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 Price by District (Riga)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Pivot_district!$B$1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cat>
            <c:strRef>
              <c:f>Pivot_district!$A$2:$A$1000</c:f>
            </c:strRef>
          </c:cat>
          <c:val>
            <c:numRef>
              <c:f>Pivot_district!$B$2:$B$1000</c:f>
              <c:numCache/>
            </c:numRef>
          </c:val>
        </c:ser>
        <c:axId val="2058570572"/>
        <c:axId val="1850066524"/>
      </c:barChart>
      <c:catAx>
        <c:axId val="20585705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066524"/>
      </c:catAx>
      <c:valAx>
        <c:axId val="1850066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5705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Sale Price by Number of Rooms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Pivot_rooms!$B$1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Pivot_rooms!$A$2:$A$8</c:f>
            </c:strRef>
          </c:cat>
          <c:val>
            <c:numRef>
              <c:f>Pivot_rooms!$B$2:$B$8</c:f>
              <c:numCache/>
            </c:numRef>
          </c:val>
        </c:ser>
        <c:axId val="168366508"/>
        <c:axId val="1389224572"/>
      </c:barChart>
      <c:catAx>
        <c:axId val="168366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rooms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224572"/>
      </c:catAx>
      <c:valAx>
        <c:axId val="1389224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66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Rent by District (Riga)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Pivot_rent!$B$1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Pivot_rent!$A$2:$A$39</c:f>
            </c:strRef>
          </c:cat>
          <c:val>
            <c:numRef>
              <c:f>Pivot_rent!$B$2:$B$39</c:f>
              <c:numCache/>
            </c:numRef>
          </c:val>
        </c:ser>
        <c:axId val="88650252"/>
        <c:axId val="674633072"/>
      </c:barChart>
      <c:catAx>
        <c:axId val="88650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633072"/>
      </c:catAx>
      <c:valAx>
        <c:axId val="674633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(EUR)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502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9525</xdr:rowOff>
    </xdr:from>
    <xdr:ext cx="7391400" cy="9715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0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7029450" cy="7915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190500</xdr:rowOff>
    </xdr:from>
    <xdr:ext cx="6724650" cy="7686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38100</xdr:rowOff>
    </xdr:from>
    <xdr:ext cx="6724650" cy="41814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952500</xdr:colOff>
      <xdr:row>1</xdr:row>
      <xdr:rowOff>200025</xdr:rowOff>
    </xdr:from>
    <xdr:ext cx="6686550" cy="7686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4206" sheet="Clean_data"/>
  </cacheSource>
  <cacheFields>
    <cacheField name="op_type" numFmtId="0">
      <sharedItems>
        <s v="For rent"/>
        <s v="For sale"/>
      </sharedItems>
    </cacheField>
    <cacheField name="district" numFmtId="0">
      <sharedItems containsBlank="1">
        <s v="Purvciems"/>
        <s v="Ziepniekkalns"/>
        <s v="centrs"/>
        <s v="Ķengarags"/>
        <s v="Teika"/>
        <s v="Imanta"/>
        <s v="Jugla"/>
        <s v="Mangaļi"/>
        <s v="Mežciems"/>
        <s v="Maskavas priekšpilsēta"/>
        <s v="Zolitūde"/>
        <s v="Bolderāja"/>
        <s v="Grīziņkalns"/>
        <s v="Dreiliņi"/>
        <s v="Pļavnieki"/>
        <s v="Dzegužkalns"/>
        <s v="Ķīpsala"/>
        <s v="Krasta r-ns"/>
        <s v="Klīversala"/>
        <s v="Vecmīlgrāvis"/>
        <s v="Āgenskalns"/>
        <s v="Zasulauks"/>
        <s v="Mežaparks"/>
        <s v="Čiekurkalns"/>
        <s v="Sarkandaugava"/>
        <s v="Daugavgrīva"/>
        <s v="Iļģuciems"/>
        <s v="Berģi"/>
        <s v="Šķirotava"/>
        <s v="Dārzciems"/>
        <s v="Vecrīga"/>
        <s v="Bieriņi"/>
        <s v="Brekši"/>
        <s v="Kundziņsala"/>
        <s v="Jaunciems"/>
        <s v="Torņakalns"/>
        <s v="Mangaļsala"/>
        <s v="Šampēteris-Pleskodāle"/>
        <s v="Bukulti"/>
        <s v="Voleri"/>
        <m/>
        <s v="Vecdaugava"/>
        <s v="Aplokciems"/>
        <s v="Katlakalns"/>
        <s v="Kleisti"/>
        <s v="Vecāķi"/>
        <s v="Buļļi"/>
        <s v="Jaunmīlgrāvis"/>
        <s v="VEF"/>
      </sharedItems>
    </cacheField>
    <cacheField name="street" numFmtId="0">
      <sharedItems>
        <s v="Dzelzavas 93"/>
        <s v="Ozolciema 32"/>
        <s v="Ieroču 6"/>
        <s v="Maskavas 305"/>
        <s v="Zemgala gatve 80"/>
        <s v="Ģertrūdes 16"/>
        <s v="Lokomotīves 20"/>
        <s v="Kurzemes pr. 46"/>
        <s v="Avotu 7"/>
        <s v="Juglas 53"/>
        <s v="Mores 3"/>
        <s v="Baltezera 1"/>
        <s v="Gaiļezera 4"/>
        <s v="Maskavas 291 k1"/>
        <s v="Zolitūdes 46/2"/>
        <s v="Celmu 5"/>
        <s v="Krāsotāju 25"/>
        <s v="Ozolciema 54"/>
        <s v="Maskavas 268/5"/>
        <s v="Eizenšteina 57"/>
        <s v="Stagaru 4"/>
        <s v="Dzelzavas 13"/>
        <s v="Čaka 33"/>
        <s v="Bruņinieku 115"/>
        <s v="Alauksta 4a"/>
        <s v="Kartupeļu 47"/>
        <s v="Gobas 16"/>
        <s v="Valtera 5"/>
        <s v="Prūšu 22"/>
        <s v="Dzeņu 12"/>
        <s v="Purva 25"/>
        <s v="Slokas 130a"/>
        <s v="Indrānu 13"/>
        <s v="Festivāla 1"/>
        <s v="Ieriķu 58"/>
        <s v="Balasta d. 72"/>
        <s v="Barona 14"/>
        <s v="Bruņinieku 64"/>
        <s v="Tērbatas 46"/>
        <s v="Brīvības gatve 313"/>
        <s v="Murjāņu 38"/>
        <s v="Republikas laukums 3"/>
        <s v="Asara 15"/>
        <s v="Pūces 19"/>
        <s v="Lubānas 56"/>
        <s v="Ezera 6"/>
        <s v="Asara 12"/>
        <s v="Klīveru 1"/>
        <s v="Tērbatas 65"/>
        <s v="Artilērijas 1"/>
        <s v="Rīnūžu 11"/>
        <s v="Kalnciema 106a"/>
        <s v="Jasmuižas 15"/>
        <s v="Salnas 22"/>
        <s v="Viestura pr. 47"/>
        <s v="Bruņinieku 147"/>
        <s v="Kuldīgas 10"/>
        <s v="Kvēles 27"/>
        <s v="Pērnavas 10"/>
        <s v="Sesku 26"/>
        <s v="Kurzemes pr. 102"/>
        <s v="Čiekurkalna 2. l. 28"/>
        <s v="Valdeķu 53"/>
        <s v="Ozolciema 18"/>
        <s v="Bērzupes 23"/>
        <s v="Lubānas 129"/>
        <s v="Grīna bulv. 13"/>
        <s v="Pētersalas 2"/>
        <s v="Viestura pr. 95"/>
        <s v="Ādmiņu 6"/>
        <s v="Veldres 32"/>
        <s v="Tilta 5"/>
        <s v="Daugavpils 76"/>
        <s v="Kristapa 8"/>
        <s v="Slimnīcas 6"/>
        <s v="Barona 76"/>
        <s v="Tallinas 65"/>
        <s v="Prūšu 3"/>
        <s v="Avotu 4"/>
        <s v="Klijānu 2e"/>
        <s v="Āgenskalna 22"/>
        <s v="Silikātu 1/2"/>
        <s v="Čaka 96"/>
        <s v="Ausekļa 7"/>
        <s v="Anniņmuižas bulvāris 38"/>
        <s v="Mārupes 47"/>
        <s v="M. Krūmu 6"/>
        <s v="Kaivas 33/1"/>
        <s v="Lāčplēša 147"/>
        <s v="Marsa g. 12"/>
        <s v="Grīvas 11"/>
        <s v="Sarkandaugavas 11"/>
        <s v="Jūrmalas g. 99"/>
        <s v="Ozolciema 32/3"/>
        <s v="Grostonas 17"/>
        <s v="Ģertrūdes 84"/>
        <s v="Berģu 9"/>
        <s v="Silikātu 1k2"/>
        <s v="Staburaga 3"/>
        <s v="Maskavas 237"/>
        <s v="Maskavas 279"/>
        <s v="Madonas 19"/>
        <s v="Anniņmuižas bulvāris 43"/>
        <s v="Dzirciema 33"/>
        <s v="Zemes 9"/>
        <s v="Brantkalna 12"/>
        <s v="Nīcgales 36"/>
        <s v="Ilūkstes 55"/>
        <s v="Krustpils 75"/>
        <s v="Ruses 3"/>
        <s v="Elizabetes 10c"/>
        <s v="Graudu 30"/>
        <s v="Eksporta 8"/>
        <s v="Emmas 19"/>
        <s v="Terēzes 2"/>
        <s v="Valdeķu 54"/>
        <s v="Dravnieku 13"/>
        <s v="Maskavas 260"/>
        <s v="Zvīņu 6"/>
        <s v="Valdemāra 89"/>
        <s v="Limbažu 4/1"/>
        <s v="Dumbrāja 18"/>
        <s v="Vējavas 12"/>
        <s v="Purvciema 26"/>
        <s v="Vidrižu 4"/>
        <s v="Vadakstes 1"/>
        <s v="Jaunsaules 18"/>
        <s v="Ilūkstes 39"/>
        <s v="Brīvības 115"/>
        <s v="Sapieru 3b"/>
        <s v="Jasmuižas 13"/>
        <s v="Jasmuižas 24"/>
        <s v="Tērbatas 78"/>
        <s v="Bērzlapu 2"/>
        <s v="Čiekurkalna 5. šķ l. 1"/>
        <s v="Gramzdas 80"/>
        <s v="Baltā 17"/>
        <s v="Brīvības iela 136"/>
        <s v="Maskavas 381/7"/>
        <s v="Hipokrāta 41"/>
        <s v="Andromedas g. 12"/>
        <s v="Mūkusalas 29"/>
        <s v="Talsu 9"/>
        <s v="Kalnciema 20"/>
        <s v="Sadovņikova 39a"/>
        <s v="Stopiņu 12"/>
        <s v="Vesetas 30"/>
        <s v="Sadovņikova 21"/>
        <s v="Vārnu 8"/>
        <s v="Klusā 21"/>
        <s v="Lemešu 9"/>
        <s v="Kungu 25"/>
        <s v="Maskavas 313"/>
        <s v="Priedaines 13"/>
        <s v="Teātra 2"/>
        <s v="Valguma 35"/>
        <s v="Lugažu 14"/>
        <s v="Kurzemes pr. 2"/>
        <s v="Lēpju 13"/>
        <s v="Spirgus 4"/>
        <s v="Klijānu 12"/>
        <s v="Vesetas 26"/>
        <s v="Bruņinieku 72"/>
        <s v="Nīcgales 52"/>
        <s v="Nīcgales 4"/>
        <s v="Dzirnavu 6"/>
        <s v="Viestura pr. 16"/>
        <s v="Barona 28"/>
        <s v="Lāčplēša 70"/>
        <s v="Brīvības gatve 365"/>
        <s v="Birznieka-Upīša 18a"/>
        <s v="Rūdolfa 1"/>
        <s v="Tomsona 30"/>
        <s v="Brīvības gatve 405/1"/>
        <s v="Berģu 17"/>
        <s v="Lielezeres 10"/>
        <s v="Graudu 13"/>
        <s v="Klijānu 6"/>
        <s v="Lāčplēša 77"/>
        <s v="Čiekurkalna 2. l. 1"/>
        <s v="Pulkv. Brieža 21"/>
        <s v="Ieriķu 33"/>
        <s v="Maskavas 250/6"/>
        <s v="Lokomotīves 88"/>
        <s v="Dzelzavas 53"/>
        <s v="Kaivas 50/1"/>
        <s v="Valdemāra 37"/>
        <s v="Stabu 94"/>
        <s v="Dzeņu 8"/>
        <s v="Ganību d. 31b"/>
        <s v="Blaumaņa 12"/>
        <s v="Anniņmuižas 2 b"/>
        <s v="Ūnijas 32"/>
        <s v="Viestura pr. 37"/>
        <s v="Marijas 20"/>
        <s v="Ozolciema 24"/>
        <s v="Hipokrāta 13"/>
        <s v="Lokomotīves 46"/>
        <s v="Valdeķu 62"/>
        <s v="Cēsu 41"/>
        <s v="Dudajeva g. 5"/>
        <s v="Biķernieku 218"/>
        <s v="Silciema 5"/>
        <s v="Pērnavas 43"/>
        <s v="Matīsa 41"/>
        <s v="Matīsa 46"/>
        <s v="Motoru 3"/>
        <s v="Barona 24/26"/>
        <s v="Ozolciema 30"/>
        <s v="Zvaigžņu 24"/>
        <s v="Bērzpils 1"/>
        <s v="Hipokrāta 17"/>
        <s v="Cēsu 5"/>
        <s v="Valdemāra 53"/>
        <s v="Tukuma 3"/>
        <s v="Apes 5"/>
        <s v="Gregora 8"/>
        <s v="Daugavgrīvas 74a"/>
        <s v="Ilūkstes 467"/>
        <s v="Dzelzavas 79"/>
        <s v="Salnas 34"/>
        <s v="Līvciema 9"/>
        <s v="Lāčplēša 123"/>
        <s v="Burtnieku 35"/>
        <s v="Tomsona 23"/>
        <s v="Kurzemes pr. 68"/>
        <s v="Tērbatas 26"/>
        <s v="Lilijas 22"/>
        <s v="Saulgožu 19"/>
        <s v="Ganu 4"/>
        <s v="Rītupes 28"/>
        <s v="Sofijas 4"/>
        <s v="Motoru 7"/>
        <s v="Carnikavas 3c"/>
        <s v="Gramzdas 19"/>
        <s v="Birzes 42"/>
        <s v="Hipokrāta 11"/>
        <s v="Maskavas 50"/>
        <s v="Barona 25"/>
        <s v="Matīsa 85"/>
        <s v="Krustpils 123a"/>
        <s v="Purvciema 13"/>
        <s v="Kurzemes pr. 148"/>
        <s v="Dubultu 20"/>
        <s v="Melīdas 1/15"/>
        <s v="Stabu 102"/>
        <s v="Juglas 3"/>
        <s v="Valentīna 16"/>
        <s v="Anniņmuižas iela 28"/>
        <s v="Nīcgales 21"/>
        <s v="Kleistu 8"/>
        <s v="Stabu 18a"/>
        <s v="Slokas 13a"/>
        <s v="Talsu 42"/>
        <s v="Saharova 27"/>
        <s v="Artilērijas 35b"/>
        <s v="Ozolciema 21/1"/>
        <s v="Vīksnes 21"/>
        <s v="Slāvu 13"/>
        <s v="Grēcinieku 24"/>
        <s v="Viestura pr. 22"/>
        <s v="Upes 2a"/>
        <s v="Brīvības 103"/>
        <s v="Juglasciema b. 54"/>
        <s v="Raņķa d. 34"/>
        <s v="Ogļu 32"/>
        <s v="Ogļu 30"/>
        <s v="Stabu 16"/>
        <s v="Blaumaņa 21"/>
        <s v="Šarlotes 7"/>
        <s v="Rūpniecības 22"/>
        <s v="Vidzemes al. 1"/>
        <s v="Krāsotāju 6"/>
        <s v="Elizabetes 57a"/>
        <s v="Juglas 23-18"/>
        <s v="Sadovņikova 47"/>
        <s v="Salacas 1"/>
        <s v="Birznieka-Upīša 10"/>
        <s v="Mūkusalas 25"/>
        <s v="Peitavas 5"/>
        <s v="Dammes 13"/>
        <s v="Terēzes 8"/>
        <s v="Bruņinieku 68a"/>
        <s v="Anniņmuižas bulvāris 41"/>
        <s v="Pūces 45"/>
        <s v="Daugavpils 8"/>
        <s v="Stūres 2"/>
        <s v="Ausekļa 8"/>
        <s v="Graudu 29"/>
        <s v="Lielirbes 13"/>
        <s v="11. novembra krastm. 11"/>
        <s v="Kaivas 50"/>
        <s v="Gobas 29"/>
        <s v="Kalnciema 57"/>
        <s v="Laipu 6"/>
        <s v="Čaka 143"/>
        <s v="Ozolciema 12/2"/>
        <s v="Lugažu 4"/>
        <s v="Prūšu 15"/>
        <s v="Lilijas 9"/>
        <s v="Brīvības 30"/>
        <s v="Kalniņa 6"/>
        <s v="Gobas 28"/>
        <s v="Maskavas 238"/>
        <s v="Ogres 5"/>
        <s v="Kvēles 15/15"/>
        <s v="Stirnu 53"/>
        <s v="Stabu 15"/>
        <s v="Matīsa 69a"/>
        <s v="Lāčplēša 125"/>
        <s v="Sniega 2"/>
        <s v="Tērbatas 60"/>
        <s v="Blaumaņa 9"/>
        <s v="Ilūkstes 41"/>
        <s v="Sniķeres 24"/>
        <s v="Ģertrūdes 50"/>
        <s v="Gravas 17"/>
        <s v="Dolomīta 2"/>
        <s v="Kundziņsalas 8. šķ. l. 3"/>
        <s v="Mežciema 23"/>
        <s v="Alauksta 9"/>
        <s v="Kuldīgas 45"/>
        <s v="Parādes 22"/>
        <s v="Ģertrūdes 81"/>
        <s v="Brīvības iela 165"/>
        <s v="Ķeguma 43"/>
        <s v="Ozolciema 48"/>
        <s v="Stabu 46"/>
        <s v="Artilērijas 3"/>
        <s v="Blaumaņa 56"/>
        <s v="Stērstu 22"/>
        <s v="Miera 93"/>
        <s v="Kalniņa 1"/>
        <s v="Ganību d. 13"/>
        <s v="Brīvības gatve 404"/>
        <s v="Čaka 59"/>
        <s v="Biķernieku 242"/>
        <s v="Brīvības gatve 209"/>
        <s v="Augšzemes 5"/>
        <s v="Kuģu 26"/>
        <s v="Zvaigžņu 31"/>
        <s v="Blaumaņa 8"/>
        <s v="Reņģes 70 k2"/>
        <s v="Jēkabpils 9"/>
        <s v="Ruses 26"/>
        <s v="Dzegužu 1"/>
        <s v="Komētas 18"/>
        <s v="Čaka 52/2"/>
        <s v="Jasmuižas 22"/>
        <s v="Matīsa 35"/>
        <s v="Salaspils 16b"/>
        <s v="Mārstaļu 16"/>
        <s v="Barona 60"/>
        <s v="Aviācijas 23"/>
        <s v="Zemgala gatve 52"/>
        <s v="Vangažu 11"/>
        <s v="Melnsila 14"/>
        <s v="Ilūkstes 109"/>
        <s v="Lāčplēša 18"/>
        <s v="Pavasara g. 1"/>
        <s v="Dammes 4"/>
        <s v="Daugavgrīvas 55"/>
        <s v="Pelnu 2"/>
        <s v="Mežrozīšu 5"/>
        <s v="Jaunciema g. 167"/>
        <s v="Rostokas 4"/>
        <s v="Viļņas 3"/>
        <s v="Ceļinieku 12"/>
        <s v="Meldru 6"/>
        <s v="Konrāda 9"/>
        <s v="Malēju 4a"/>
        <s v="Mildas 4a"/>
        <s v="Barona 21"/>
        <s v="Saharova 7"/>
        <s v="Emmas 28"/>
        <s v="Jersikas 37"/>
        <s v="Maskavas 68"/>
        <s v="Hospitāļu 38"/>
        <s v="Maskavas 256"/>
        <s v="Vāgnera 12"/>
        <s v="Ciemupes 1"/>
        <s v="Stabu 111"/>
        <s v="Hāpsalas 1/1"/>
        <s v="Sila 2"/>
        <s v="Bauskas 135"/>
        <s v="Maskavas 108"/>
        <s v="Duntes 24a"/>
        <s v="Valmieras 32"/>
        <s v="Dammes 36"/>
        <s v="Tomsona 42"/>
        <s v="Altonavas 19"/>
        <s v="Viestura pr. 43"/>
        <s v="Valdemāra 23"/>
        <s v="Lāčplēša 11"/>
        <s v="Ezermalas 13"/>
        <s v="Skolas 38"/>
        <s v="Lienes 14"/>
        <s v="Birznieka-Upīša 13"/>
        <s v="Barona 17"/>
        <s v="Dzelzavas 76"/>
        <s v="Maskavas 419"/>
        <s v="Pļavnieku 9"/>
        <s v="Grestes 2"/>
        <s v="Salaspils 12/3"/>
        <s v="Īslīces 14"/>
        <s v="Jelgavas 63"/>
        <s v="Burtnieku 33"/>
        <s v="Katrīnas d. 24/3"/>
        <s v="Tilta 4"/>
        <s v="Viļānu 6"/>
        <s v="Marijas 16"/>
        <s v="Rudens 9"/>
        <s v="Komētas 26"/>
        <s v="Komētas 32"/>
        <s v="Tapešu 23"/>
        <s v="Bieziņa 3"/>
        <s v="Rēznas 5"/>
        <s v="Reņģes 2a"/>
        <s v="Nometņu 62"/>
        <s v="Marsa g. 10"/>
        <s v="Lāčplēša 98"/>
        <s v="Maskavas 180"/>
        <s v="Bākas 19"/>
        <s v="Vaidelotes 26"/>
        <s v="Krāslavas 7"/>
        <s v="Skārņu 25"/>
        <s v="Alberta 7"/>
        <s v="Uzvaras bulv. 2/4a"/>
        <s v="Vīlipa 8"/>
        <s v="Palmu 13"/>
        <s v="Reņģes 5"/>
        <s v="Buļļu 42a"/>
        <s v="Stirnu 43"/>
        <s v="Rūpniecības 20"/>
        <s v="Stendes 5"/>
        <s v="Madonas 25"/>
        <s v="Dzelzavas 74k1"/>
        <s v="Stārķu 2"/>
        <s v="Sesku 11"/>
        <s v="Kurzemes pr. 112"/>
        <s v="Baltā 22/1"/>
        <s v="Aglonas 12"/>
        <s v="Vīlandes 10"/>
        <s v="Stabu 71"/>
        <s v="Brīvības iela 139"/>
        <s v="Vīlandes 5"/>
        <s v="Jaunsaules 5"/>
        <s v="Rūpniecības 5"/>
        <s v="Mežciema 44"/>
        <s v="Tērbatas 59/61"/>
        <s v="Stirnu 36"/>
        <s v="Kaivas 74b"/>
        <s v="Kaivas 50-94b"/>
        <s v="Zolitūdes 47"/>
        <s v="Jeruzalemes 5"/>
        <s v="Dubultu 4"/>
        <s v="Čaka 117/1"/>
        <s v="Birzes 46"/>
        <s v="Skanstes 29a"/>
        <s v="Maskavas 57"/>
        <s v="Bajāru 7"/>
        <s v="Gramzdas 82"/>
        <s v="Valdeķu 50/1"/>
        <s v="Gogoļa 7"/>
        <s v="Pulkv. Brieža 7"/>
        <s v="Sesku 7/1"/>
        <s v="Flotes 8"/>
        <s v="Rinkas 3"/>
        <s v="Veldres 7"/>
        <s v="Sadovņikova 25"/>
        <s v="Salaspils 18/4"/>
        <s v="Blaumaņa 36"/>
        <s v="Kurzemes pr. 122"/>
        <s v="Ulbrokas 12"/>
        <s v="Antonijas 22"/>
        <s v="Līvciema 9/1"/>
        <s v="Lidoņu 3a"/>
        <s v="Alauksta 21"/>
        <s v="Bākūžu 13a"/>
        <s v="Ūnijas 76a"/>
        <s v="Brīvības gatve 229"/>
        <s v="Pērnavas 7"/>
        <s v="Ģertrūdes 69/71"/>
        <s v="11. novembra krastm. 121"/>
        <s v="Valdeķu 54/4"/>
        <s v="Ilūkstes 101/1"/>
        <s v="Nīcgales 46"/>
        <s v="Pērnavas 39"/>
        <s v="Ģertrūdes 99k2"/>
        <s v="Asara 12/5"/>
        <s v="Maskavas 268/2"/>
        <s v="Ģertrūdes 22"/>
        <s v="Čaka 156"/>
        <s v="Krāsotāju 2"/>
        <s v="Duntes 28"/>
        <s v="Riekstu 11"/>
        <s v="Maltas 21"/>
        <s v="Brīvības iela 162k2"/>
        <s v="Brīvības gatve 391"/>
        <s v="Brīvības 162/2"/>
        <s v="Pavasara g. 2"/>
        <s v="Brīvības gatve 388"/>
        <s v="Indrānu 3"/>
        <s v="Eizenšteina 79"/>
        <s v="Slokas 217"/>
        <s v="Lāčplēša 119"/>
        <s v="Palangas 1"/>
        <s v="Keldiša 28"/>
        <s v="Tērbatas 16/18"/>
        <s v="Ģertrūdes 113"/>
        <s v="Baložu 5"/>
        <s v="Ķīpsalas 4"/>
        <s v="Višķu 11"/>
        <s v="Salaspils 12 k5"/>
        <s v="Sarkandaugavas 31"/>
        <s v="Maltas 15"/>
        <s v="Ozolciema 38"/>
        <s v="Stirnu 37"/>
        <s v="Salnas 21"/>
        <s v="Matīsa 109"/>
        <s v="Ķiršu 4"/>
        <s v="Sērenes 4"/>
        <s v="Salnas 24"/>
        <s v="Zaubes 9"/>
        <s v="Vairoga 32"/>
        <s v="Maskavas 268"/>
        <s v="Staru 21"/>
        <s v="Kāvu 4"/>
        <s v="Ūnijas 64"/>
        <s v="Kurzemes pr. 86"/>
        <s v="Patversmes 30/2"/>
        <s v="Brīvības 72"/>
        <s v="Jasmuižas 10"/>
        <s v="Strēlnieku 7"/>
        <s v="Pulkv. Brieža 3"/>
        <s v="Skolas 36"/>
        <s v="Kuldīgas 32"/>
        <s v="Kurzemes pr. 58"/>
        <s v="Volguntes 27"/>
        <s v="Dzirnavu 130"/>
        <s v="Alberta 9"/>
        <s v="Maskavas 224"/>
        <s v="Brīvības 59"/>
        <s v="Lielupes 1"/>
        <s v="Lenču 2"/>
        <s v="Valdemāra 75"/>
        <s v="Strautu 27"/>
        <s v="Barona 63"/>
        <s v="Kandavas 8"/>
        <s v="J. Vācieša 2"/>
        <s v="Lāčplēša 14"/>
        <s v="Jūrmalas g. 7"/>
        <s v="Dzirciema 71"/>
        <s v="Saharova 15"/>
        <s v="Elizabetes 10"/>
        <s v="Maskavas 261"/>
        <s v="Ausekļa 11"/>
        <s v="Madonas 2"/>
        <s v="Palangas 7"/>
        <s v="Maskavas 291"/>
        <s v="Brīvības gatve 228"/>
        <s v="Kalēju 74"/>
        <s v="Ciemupes 2"/>
        <s v="Kāvu 10"/>
        <s v="Maskavas 146"/>
        <s v="Ģertrūdes 99"/>
        <s v="13. janvāra 33"/>
        <s v="Miera 105"/>
        <s v="Ilūkstes 103/3"/>
        <s v="Elku 4"/>
        <s v="Kleistu 11-1"/>
        <s v="Valdemāra 106"/>
        <s v="Ūnijas 36"/>
        <s v="Dammes 25"/>
        <s v="Baznīcas 35"/>
        <s v="Rusova 9"/>
        <s v="Matīsa 82"/>
        <s v="Ezera 18"/>
        <s v="Hāpsalas 1k3"/>
        <s v="Volguntes 17a"/>
        <s v="Ģertrūdes 107"/>
        <s v="Vaidavas 2"/>
        <s v="Lokomotīves 48"/>
        <s v="Čiekurkalna 1. l. 65"/>
        <s v="J. Vācieša 6"/>
        <s v="Mārtiņa 8"/>
        <s v="Patversmes 5"/>
        <s v="Pavasara g. 5"/>
        <s v="Brīvības iela 161"/>
        <s v="Bruņinieku 115a"/>
        <s v="Ilūkstes 56"/>
        <s v="Klusā 20"/>
        <s v="Īslīces 3"/>
        <s v="Ludviķa 3"/>
        <s v="Rostokas 38"/>
        <s v="Dudajeva g. 13"/>
        <s v="Viršu 3"/>
        <s v="Hipokrāta 47"/>
        <s v="Zeltiņu 11"/>
        <s v="Jelgavas 63 k-3"/>
        <s v="Kalna 11"/>
        <s v="Juglas 10"/>
        <s v="Brīvības bulvāris 241"/>
        <s v="Kreslera 1"/>
        <s v="Kurzemes pr. 94"/>
        <s v="Katrīnas d. 16a"/>
        <s v="Staiceles 15"/>
        <s v="Stirnu 1"/>
        <s v="Klusā 9"/>
        <s v="Plēksnes 6"/>
        <s v="Baznīcas 7"/>
        <s v="Daugavgrīvas 56"/>
        <s v="Ropažu 22"/>
        <s v="Stabu 49a"/>
        <s v="Valdeķu 54/5"/>
        <s v="Kalnciema 42"/>
        <s v="Iļģuciema 5"/>
        <s v="Ulbrokas 22"/>
        <s v="Skujenes 13"/>
        <s v="Caunes 17"/>
        <s v="Brīvības iela 170"/>
        <s v="Brīvības 92/94"/>
        <s v="Raunas 19"/>
        <s v="Rumbulas 1"/>
        <s v="Kreslera 1/5"/>
        <s v="Tērbatas 41/43"/>
        <s v="13. janvāra 21"/>
        <s v="Deglava 7"/>
        <s v="Ruses 16"/>
        <s v="Hāpsalas 5"/>
        <s v="Daugavgrīvas 132"/>
        <s v="Rododendru 14"/>
        <s v="Baltāsbaznīcas 23"/>
        <s v="Marsa g. 6"/>
        <s v="Elizabetes 9"/>
        <s v="Juglas 12"/>
        <s v="Pērnavas 14"/>
        <s v="Dzirnavu 18"/>
        <s v="Ozolciema 8"/>
        <s v="Raiņa bulv. 31"/>
        <s v="Lemešu 7"/>
        <s v="Mālu 7"/>
        <s v="Ģertrūdes 129"/>
        <s v="Pededzes 4"/>
        <s v="Ozolciema 52"/>
        <s v="Dombrovska 41"/>
        <s v="Lāčplēša 16"/>
        <s v="Skrīnes 2"/>
        <s v="Lielirbes 11"/>
        <s v="Maskavas 250/8"/>
        <s v="Tērbatas 41"/>
        <s v="Zvaigznāja g. 4"/>
        <s v="Melīdas 11"/>
        <s v="Stopiņu 18"/>
        <s v="Valdeķu 18"/>
        <s v="Ilūkstes 12"/>
        <s v="Kalsnavas 2e"/>
        <s v="Kalniņa 8"/>
        <s v="Matīsa 81"/>
        <s v="Tvaika 16"/>
        <s v="Parādes 2"/>
        <s v="Čiekurkalna 3. šķ l. 28e"/>
        <s v="Ganību d. 15"/>
        <s v="Valdemāra 95"/>
        <s v="Zemes 3"/>
        <s v="Progresa 31"/>
        <s v="Vaiņodes 24a"/>
        <s v="Hipokrāta 33"/>
        <s v="Tomsona 4"/>
        <s v="Kleistu 179"/>
        <s v="Kuģu 22"/>
        <s v="Krustpils 73/4"/>
        <s v="Brīvības iela 76"/>
        <s v="Viršu 11"/>
        <s v="Viestura pr. 55"/>
        <s v="Vangažu 15"/>
        <s v="Deglava 106"/>
        <s v="M. Nometņu 85"/>
        <s v="Maskavas 95"/>
        <s v="Ieroču 2"/>
        <s v="Burtnieku 36a"/>
        <s v="Tvaika 50"/>
        <s v="Valdemāra 73"/>
        <s v="Augļu 11"/>
        <s v="Pērnavas 4"/>
        <s v="Dudajeva g. 11"/>
        <s v="Stirnu 14"/>
        <s v="Stirnu 22"/>
        <s v="Elijas 20"/>
        <s v="Meldru 24"/>
        <s v="Slokas 185"/>
        <s v="Ikšķiles 16"/>
        <s v="Dzirciema 1"/>
        <s v="Raunas 35"/>
        <s v="Maskavas 321"/>
        <s v="Emmas 3a"/>
        <s v="Rūpniecības 44"/>
        <s v="Kastrānes 1 k-2"/>
        <s v="Mikus 20"/>
        <s v="Ādažu 11"/>
        <s v="Avotu 2"/>
        <s v="M. Matīsa 3"/>
        <s v="Dzelzavas 88"/>
        <s v="Ieriķu 32"/>
        <s v="Čaka 36"/>
        <s v="Biķernieku 160"/>
        <s v="Ogres 14"/>
        <s v="Biķernieku 128 k-2"/>
        <s v="Vārnu 11a"/>
        <s v="Nītaures 3"/>
        <s v="Čiekurkalna 3. šķ l. 2a"/>
        <s v="Lemešu 15"/>
        <s v="Čaka 68"/>
        <s v="Sudrabu Edžus 13"/>
        <s v="Brīvības iela 68"/>
        <s v="Vaļņu 8"/>
        <s v="Edžiņa g. 7"/>
        <s v="Maskavas 254"/>
        <s v="Kreimeņu 3"/>
        <s v="Valkas 4"/>
        <s v="Zeļļu 5"/>
        <s v="M. Balasta d. 72"/>
        <s v="M. Krūmu 1"/>
        <s v="Prūšu 4"/>
        <s v="Indrānu 8"/>
        <s v="Līvciema 43"/>
        <s v="Maltas 29"/>
        <s v="Lienes 27"/>
        <s v="Ozolciema 20/1"/>
        <s v="Anniņmuižas 40"/>
        <s v="Katrīnas 21"/>
        <s v="Miera 101"/>
        <s v="Ģertrūdes 93"/>
        <s v="Lāčplēša 35"/>
        <s v="Ilūkstes 107"/>
        <s v="Mālpils 2"/>
        <s v="Lomonosova 2"/>
        <s v="Krustpils 62"/>
        <s v="Valdemāra 20"/>
        <s v="Vīlandes 2"/>
        <s v="Rūpniecības 21"/>
        <s v="Čiekurkalna 1. l. 28"/>
        <s v="Valdemāra 77"/>
        <s v="Klusā 18"/>
        <s v="Elizabetes 2a"/>
        <s v="Maskavas 315"/>
        <s v="Ilūkstes 42"/>
        <s v="M. Krūmu 10"/>
        <s v="Vīlipa 12"/>
        <s v="Rigondas g. 3"/>
        <s v="Ūdeļu 29"/>
        <s v="Hospitāļu 7"/>
        <s v="Rostokas 56"/>
        <s v="Platā 22"/>
        <s v="Višķu 13"/>
        <s v="Lorupes 4"/>
        <s v="Miera 5"/>
        <s v="Bruņinieku 8"/>
        <s v="Barona 30"/>
        <s v="Cēsu 43"/>
        <s v="Eksporta 6"/>
        <s v="Dammes 31"/>
        <s v="Tilta 24"/>
        <s v="Vīksnes 29a"/>
        <s v="Čiekurkalna 2. l. 61"/>
        <s v="Tomsona 9"/>
        <s v="Kantora 85/1"/>
        <s v="Saldus 2a"/>
        <s v="Lielupes 68"/>
        <s v="Kaivas 29"/>
        <s v="Kleistu 18"/>
        <s v="Jeruzalemes 10"/>
        <s v="Slāvu 13 k-2"/>
        <s v="Vangažu 26"/>
        <s v="Hāpsalas 21"/>
        <s v="Daugavgrīvas š. 1b"/>
        <s v="Pļavnieku 3"/>
        <s v="Anniņmuižas 20"/>
        <s v="Dzirnavu 63"/>
        <s v="Rūpniecības 21 k-1"/>
        <s v="Zvaigžņu 13c"/>
        <s v="Gobas 32"/>
        <s v="Barona 36"/>
        <s v="Garā 33"/>
        <s v="Purvciema 50"/>
        <s v="Pulkv. Brieža 35"/>
        <s v="Raunas 37/2"/>
        <s v="Kristapa 16"/>
        <s v="Talejas 6"/>
        <s v="Zeļļu 13"/>
        <s v="Volguntes 33a"/>
        <s v="Bruņinieku 60"/>
        <s v="Strautu 23"/>
        <s v="Ropažu 49"/>
        <s v="Jūrmalas g. 59"/>
        <s v="Valdeķu 50 k-2"/>
        <s v="Čiekurkalna 6. šķ l. 21"/>
        <s v="Ziemeļu 17"/>
        <s v="Ozolciema 22"/>
        <s v="Ormaņu 25"/>
        <s v="Vagonu 22"/>
        <s v="Matīsa 100"/>
        <s v="Elizabetes 21a"/>
        <s v="Vesetas 12"/>
        <s v="Ziemeļblāzmas 42"/>
        <s v="Deglava 54"/>
        <s v="Briāna 4"/>
        <s v="Zeltiņu 45"/>
        <s v="Barona 13"/>
        <s v="Meistaru 6"/>
        <s v="Kurzemes pr. 32"/>
        <s v="Spilves 25"/>
        <s v="Tomsona 32"/>
        <s v="Dzelzavas 68"/>
        <s v="Maskavas 250 k-3"/>
        <s v="Lāčplēša 13"/>
        <s v="Kurzemes pr. 18"/>
        <s v="Šmerļa 3"/>
        <s v="Brīvības iela 82"/>
        <s v="Jēkaba 26/28"/>
        <s v="Iecavas 1"/>
        <s v="Valdeķu 65"/>
        <s v="Kaivas 50/4"/>
        <s v="Ilūkstes 4"/>
        <s v="Putnu 31"/>
        <s v="Biķernieku 21"/>
        <s v="Zvaigznāja g. 3"/>
        <s v="Deglava 61"/>
        <s v="Maskavas 16"/>
        <s v="Ilūkstes 8"/>
        <s v="Miera 86"/>
        <s v="Salnas 16"/>
        <s v="Bruknas 12"/>
        <s v="Zilupes 16"/>
        <s v="Pastendes 13"/>
        <s v="Tīnūžu 10"/>
        <s v="Stūres 9"/>
        <s v="Katrīnas d. 20a"/>
        <s v="Valentīna 16 k-2"/>
        <s v="Biķernieku 12"/>
        <s v="Miera 97"/>
        <s v="Vienības g. 186a"/>
        <s v="Ķempes 9"/>
        <s v="Ūdens 12"/>
        <s v="Bruknas 14"/>
        <s v="Embūtes 22"/>
        <s v="Cēsu 8"/>
        <s v="Jēkabpils 16"/>
        <s v="Kalnciema 106"/>
        <s v="Tallinas 54"/>
        <s v="Zemes 13"/>
        <s v="Tomsona 2"/>
        <s v="Dzirnavu 132"/>
        <s v="Anniņmuižas 13"/>
        <s v="Rēznas 10b"/>
        <s v="Prūšu 21/2"/>
        <s v="Zemgaļu 99"/>
        <s v="Hospitāļu 23"/>
        <s v="Lāčplēša 62"/>
        <s v="Hospitāļu 7a"/>
        <s v="Sabiles 8"/>
        <s v="Baldones 28"/>
        <s v="Čaka 132"/>
        <s v="Rūpniecības 9"/>
        <s v="Dzirciema 7/1"/>
        <s v="Čiekurkalna 3. šķ l. 25"/>
        <s v="Stirnu 20"/>
        <s v="Strēlnieku 13"/>
        <s v="Maskavas 415"/>
        <s v="Īslīces 1"/>
        <s v="Dzelzavas 37"/>
        <s v="Stirnu 33"/>
        <s v="Ilūkstes 101"/>
        <s v="Duntes 1"/>
        <s v="Ieroču 10"/>
        <s v="Anniņmuižas iela 38"/>
        <s v="Visbijas pr. 45"/>
        <s v="Viestura pr. 51"/>
        <s v="Kurzemes pr. 6"/>
        <s v="Lēpju 5"/>
        <s v="Kaplavas 5"/>
        <s v="M. Piena 8"/>
        <s v="Alūksnes 2"/>
        <s v="Kurzemes pr. 92"/>
        <s v="Ozolciema 40a"/>
        <s v="Pļavnieku 5"/>
        <s v="Lilijas 18"/>
        <s v="Maskavas 273"/>
        <s v="Ventspils 7"/>
        <s v="Lapu 29"/>
        <s v="Komētas 34"/>
        <s v="Brīvības iela 168"/>
        <s v="Valdeķu 17"/>
        <s v="Matīsa 137"/>
        <s v="Klijānu 16"/>
        <s v="Staiceles 1"/>
        <s v="Ozolciema 28"/>
        <s v="Rinkas 1/1"/>
        <s v="Bāriņu 1a"/>
        <s v="Lubānas 999"/>
        <s v="Zvejnieku 24"/>
        <s v="Stendes 7/3"/>
        <s v="Kalnciema 105"/>
        <s v="Ūnijas 67"/>
        <s v="Antonijas 16a"/>
        <s v="Stabu 92"/>
        <s v="Varavīksnes g. 2"/>
        <s v="Vienības g. 126"/>
        <s v="Vesetas 32"/>
        <s v="Ķeguma 60"/>
        <s v="Bauskas 33"/>
        <s v="Baltāsbaznīcas 33"/>
        <s v="Rusova 24"/>
        <s v="Juglas 3a"/>
        <s v="Lapsu 12"/>
        <s v="Gliemežu 5"/>
        <s v="Vecmīlgrāvja 1. l. 37"/>
        <s v="Imantas 16. l. 7"/>
        <s v="Viestura pr. 59"/>
        <s v="Dzērvju 3"/>
        <s v="Kalngales 1"/>
        <s v="Grodņas 1a"/>
        <s v="Rudens 8"/>
        <s v="Sadovņikova 17"/>
        <s v="Ģertrūdes 91"/>
        <s v="Klijānu 2a"/>
        <s v="Emmas 14"/>
        <s v="Deglava 57"/>
        <s v="Ģertrūdes 31"/>
        <s v="Hospitāļu 15"/>
        <s v="Caunes 10"/>
        <s v="Lāčplēša 127"/>
        <s v="Biķernieku 102"/>
        <s v="Ruses 7"/>
        <s v="Matīsa 69"/>
        <s v="Čiekurkalna 2. šķ l. 4k1"/>
        <s v="Mēmeles 5a"/>
        <s v="Astras 8"/>
        <s v="Lokomotīves 60"/>
        <s v="Kalēju 47"/>
        <s v="Mēness 11"/>
        <s v="Kaivas 50-36d"/>
        <s v="Ozolciema 16/6"/>
        <s v="Valmieras 28"/>
        <s v="Baznīcas 27/29"/>
        <s v="Strēlnieku 19"/>
        <s v="Kurzemes pr. 24"/>
        <s v="Kurzemes pr. 12"/>
        <s v="Matīsa 80a"/>
        <s v="Granīta 7"/>
        <s v="Rembates 8"/>
        <s v="Miera 80"/>
        <s v="Pulkv. Brieža 9 k. 1"/>
        <s v="Birznieka-Upīša 18"/>
        <s v="Tomsona 25"/>
        <s v="Čiekurkalna 2. šķ l. 6"/>
        <s v="Ludzas 36"/>
        <s v="Asara 20"/>
        <s v="Liepājas 60"/>
        <s v="Zentenes 18"/>
        <s v="Ieriķu 25"/>
        <s v="Velkoņu 2"/>
        <s v="Zaļā 7"/>
        <s v="Vīlandes 16"/>
        <s v="Raņķa d. 7"/>
        <s v="Teātra 4"/>
        <s v="Gaigalas 23a"/>
        <s v="Stabu 6"/>
        <s v="Rusova 7"/>
        <s v="Jasmuižas 1"/>
        <s v="Baznīcas 18a"/>
        <s v="Aglonas 16"/>
        <s v="Tukuma 1"/>
        <s v="Avotu 59"/>
        <s v="Sarkandaugavas 26"/>
        <s v="Čaka 86"/>
        <s v="Ausekļa 2"/>
        <s v="Lielā 25"/>
        <s v="Struktoru 4"/>
        <s v="Meldru 4"/>
        <s v="Irlavas 2"/>
        <s v="Riepnieku 2"/>
        <s v="Visvalža 7"/>
        <s v="Liepājas 34"/>
        <s v="Silikātu 1 k-2"/>
        <s v="Stirnu 13a"/>
        <s v="Valdemāra 57"/>
        <s v="Murjāņu 36"/>
        <s v="Stabu 62"/>
        <s v="Bātas 3a"/>
        <s v="Maskavas 250/11"/>
        <s v="Bikstu 6"/>
        <s v="Avotu 76"/>
        <s v="Murjāņu 52"/>
        <s v="Lielupes 1/1"/>
        <s v="Kadiķu 3"/>
        <s v="Bruņinieku 78"/>
        <s v="Grīna bulv. 9"/>
        <s v="Ormaņu 27"/>
        <s v="M. Nometņu 73"/>
        <s v="Rūpniecības 11"/>
        <s v="Parādes 28"/>
        <s v="Tīnūžu 12"/>
        <s v="Hamburgas 16"/>
        <s v="Lubānas 115"/>
        <s v="Deglava 9"/>
        <s v="Zaubes 4"/>
        <s v="Ludzas 17"/>
        <s v="Brantkalna 13"/>
        <s v="Dzirnavu 107"/>
        <s v="Salamandras 3"/>
        <s v="Ruses 24"/>
        <s v="Kalnciema 135"/>
        <s v="Hospitāļu 22"/>
        <s v="M. Smilšu 11"/>
        <s v="Akāciju 2e"/>
        <s v="Akāciju 2d"/>
        <s v="Traleru 19"/>
        <s v="Ikšķiles 4"/>
        <s v="Dzelzavas 71"/>
        <s v="Dudajeva g. 4"/>
        <s v="Ķengaraga 8"/>
        <s v="Slokas 31"/>
        <s v="Mārtiņa 8c"/>
        <s v="Ernestīnes 8"/>
        <s v="Dignājas 1a"/>
        <s v="Skultes 5"/>
        <s v="Čaka 117"/>
        <s v="Brīvības iela 74"/>
        <s v="Biķernieku 49"/>
        <s v="Liedes 2"/>
        <s v="Garā 18"/>
        <s v="Ventspils 65a"/>
        <s v="Vecpilsētas 11"/>
        <s v="Dzirnavu 60"/>
        <s v="Čaka 63"/>
        <s v="Čiekurkalna 2. l. 49a"/>
        <s v="Višķu 15"/>
        <s v="Pūces 51"/>
        <s v="Alekša 11"/>
        <s v="11. novembra krastm. 35"/>
        <s v="Tālavas g. 13"/>
        <s v="Dzirnavu 102a"/>
        <s v="Eksporta 18"/>
        <s v="Auces 3"/>
        <s v="Deglava 122"/>
        <s v="J. Daliņa 8"/>
        <s v="Ozolciema 14"/>
        <s v="Sadovņikova 39"/>
        <s v="Lejas 20"/>
        <s v="Ezermalas 2a"/>
        <s v="Salnas 13"/>
        <s v="Lāčplēša 48"/>
        <s v="Daugavgrīvas š. 49"/>
        <s v="Dubultu 19"/>
        <s v="Lāčplēša 52"/>
        <s v="Tērbatas 93"/>
        <s v="M. Kuldīgas 4"/>
        <s v="Maskavas 258"/>
        <s v="Rigondas g. 10"/>
        <s v="Brīvības iela 129"/>
        <s v="Dombrovska 45"/>
        <s v="Rudens 12"/>
        <s v="Silciema 15 k-3"/>
        <s v="Žagatu 20a"/>
        <s v="Ķeguma 52/2"/>
        <s v="Krasta 25"/>
        <s v="Maskavas 131"/>
        <s v="Ilūkstes 103/2"/>
        <s v="Brīvības iela 52"/>
        <s v="Katrīnas d. 24"/>
        <s v="Liedes 28"/>
        <s v="Limbažu 9"/>
        <s v="Zirņu 6"/>
        <s v="Dudajeva g. 9"/>
        <s v="Jaunciema 2. šķ. l. 2"/>
        <s v="Zeļļu 15"/>
        <s v="Kalngales 8"/>
        <s v="Visbijas pr. 6/8"/>
        <s v="Lejas 7b"/>
        <s v="Kaivas 31"/>
        <s v="Duntes 48"/>
        <s v="Brīvības iela 150"/>
        <s v="Plēksnes 1"/>
        <s v="Rigondas g. 7"/>
        <s v="Dammes 27"/>
        <s v="Maskavas 109"/>
        <s v="Lubānas 6"/>
        <s v="Ūnijas 74a"/>
        <s v="Atlantijas 30"/>
        <s v="Jūrmalas g. 91"/>
        <s v="Lidoņu 5"/>
        <s v="Bruņinieku 81"/>
        <s v="Ilūkstes 1"/>
        <s v="Gdaņskas 11"/>
        <s v="Hospitāļu 1"/>
        <s v="Kleistu 205"/>
        <s v="Čaka 70"/>
        <s v="Avotu 64"/>
        <s v="Biķernieku 9"/>
        <s v="Stirnu 37a"/>
        <s v="Dammes 1"/>
        <s v="Kvēles 24"/>
        <s v="Jēzusbaznīcas 20"/>
        <s v="Kristapa 26"/>
        <s v="Sila 2/3"/>
        <s v="Murjāņu 42"/>
        <s v="Ropažu 14a"/>
        <s v="Ausekļa 5"/>
        <s v="Sarkandaugavas 26/2"/>
        <s v="Brīvības iela 114"/>
        <s v="Kurzemes pr. 90"/>
        <s v="Ikšķiles 23"/>
        <s v="Sliežu 29"/>
        <s v="Matīsa 38"/>
        <s v="Deglava 35"/>
        <s v="Dzeņu 14"/>
        <s v="Tirgoņu 17"/>
        <s v="Grēcinieku 20"/>
        <s v="Vēžu 14"/>
        <s v="Stirnu 19a"/>
        <s v="Motoru 5"/>
        <s v="Aviācijas 10"/>
        <s v="Ventspils 25"/>
        <s v="Lejiņa 6"/>
        <s v="Prūšu 9a"/>
        <s v="Eizenšteina 73"/>
        <s v="Ozolciema 56"/>
        <s v="Stendera 10"/>
        <s v="Ebreju 10"/>
        <s v="Maskavas 202"/>
        <s v="Tallinas 86"/>
        <s v="Valdeķu 66/2"/>
        <s v="Hospitāļu 40"/>
        <s v="Blaumaņa 29"/>
        <s v="Brīvības iela 285"/>
        <s v="Ropažu 14"/>
        <s v="Lāčplēša 113"/>
        <s v="Dzelzavas 89"/>
        <s v="Druvienas 36"/>
        <s v="Grīna bulv. 15"/>
        <s v="Lejiņa 14"/>
        <s v="Valdemāra 147"/>
        <s v="Matīsa 113"/>
        <s v="Ieriķu 54"/>
        <s v="Merķeļa 1"/>
        <s v="Kojusalas 21"/>
        <s v="Smilšu 10"/>
        <s v="Burtnieku 36"/>
        <s v="Ķempes 4"/>
        <s v="Sarmas 7"/>
        <s v="Gogoļa 8/10"/>
        <s v="Nīcgales 51"/>
        <s v="Sitas 48"/>
        <s v="Ventspils 13"/>
        <s v="Dubnas 8"/>
        <s v="Sesku 10/1"/>
        <s v="Slokas 1a"/>
        <s v="Zvaigznāja g. 7"/>
        <s v="Bieziņa 10"/>
        <s v="Atgāzenes 12"/>
        <s v="Tapešu 44"/>
        <s v="Gāles 17"/>
        <s v="Kurzemes pr. 88"/>
        <s v="Braslas 53"/>
        <s v="Slokas 13"/>
        <s v="Brīvības gatve 300"/>
        <s v="Visvalža 3a"/>
        <s v="Bruņinieku 28"/>
        <s v="Slokas 130d"/>
        <s v="Skanstes 29"/>
        <s v="Dzirnavu 51"/>
        <s v="Dravnieku 12"/>
        <s v="Trijādības 2a"/>
        <s v="Emmas 12a"/>
        <s v="Zaubes 6"/>
        <s v="Dzirnavu 115a"/>
        <s v="Salaspils 6"/>
        <s v="Tērbatas 4"/>
        <s v="Dzirciema 25"/>
        <s v="Kartupeļu 16"/>
        <s v="Nomales 7"/>
        <s v="Tallinas 30"/>
        <s v="Ausekļa 4"/>
        <s v="Krustpils 46"/>
        <s v="Ropažu 12"/>
        <s v="Ziepniekkalna 70"/>
        <s v="Antonijas 26"/>
        <s v="Brīvības 156"/>
        <s v="Endzelīna 32"/>
        <s v="Dombrovska 11"/>
        <s v="Skolas 30"/>
        <s v="Silciema 25"/>
        <s v="Ikšķiles 11"/>
        <s v="Valdemāra 41"/>
        <s v="Valdemāra 41a"/>
        <s v="Pērnavas 15a"/>
        <s v="Skolas 14"/>
        <s v="Maskavas 256/4"/>
        <s v="Valdemāra 39"/>
        <s v="Kaivas 50-141d"/>
        <s v="Alberta 11"/>
        <s v="Lāčplēša 96"/>
        <s v="Biķernieku 31"/>
        <s v="Brīvības 148"/>
        <s v="Višķu 9"/>
        <s v="Valdemāra 71"/>
        <s v="Dzirnavu 83"/>
        <s v="Sarkandaugavas 21"/>
        <s v="Kukšu 4"/>
        <s v="Ropažu 80"/>
        <s v="Stabu 33"/>
        <s v="Briežu 9"/>
        <s v="Ulbrokas 12/3"/>
        <s v="M. Kuldīgas 4/6"/>
        <s v="Maskavas 55"/>
        <s v="Hipokrāta 19"/>
        <s v="Ulbrokas 1"/>
        <s v="Saharova 5"/>
        <s v="Ģertrūdes 23"/>
        <s v="Ģertrūdes 73"/>
        <s v="Akāciju 6"/>
        <s v="Lielvārdes 123"/>
        <s v="Ropažu 19"/>
        <s v="Ķīšezera 11"/>
        <s v="Skolas 4"/>
        <s v="Indrānu 5"/>
        <s v="Avotu 5"/>
        <s v="Rūpniecības 42"/>
        <s v="Grestes 8"/>
        <s v="Ģertrūdes 38"/>
        <s v="Stabu 53"/>
        <s v="Zolitūdes 46"/>
        <s v="Slokas 130"/>
        <s v="Kvēles 21"/>
        <s v="Deglava 156"/>
        <s v="Tallinas 79"/>
        <s v="Silciema 15/4"/>
        <s v="Dārzaugļu 1"/>
        <s v="Kurbada 5"/>
        <s v="Elizabetes 27"/>
        <s v="Stirnu 35a"/>
        <s v="Šampētera 10"/>
        <s v="Stūres 7"/>
        <s v="Ezermalas 4a"/>
        <s v="Jasmuižas 9"/>
        <s v="Valdemāra 123"/>
        <s v="Maskavas 281"/>
        <s v="Lubānas 43"/>
        <s v="Vīlandes 7"/>
        <s v="Čaka 89"/>
        <s v="Mūrnieku 7a"/>
        <s v="Malienas 70"/>
        <s v="Daugavgrīvas 132/1"/>
        <s v="Melīdas 1"/>
        <s v="Tērbatas 33"/>
        <s v="Zaubes 1"/>
        <s v="Stabu 100"/>
        <s v="Tērbatas 97"/>
        <s v="Lokomotīves 80"/>
        <s v="Kurzemes pr. 48"/>
        <s v="Pulkv. Brieža 19/1"/>
        <s v="Pūces 12"/>
        <s v="Slokas 33"/>
        <s v="Bārtas 1"/>
        <s v="Zvaigžņu 14"/>
        <s v="Kaivas 31/2"/>
        <s v="Alauksta 7"/>
        <s v="Lienes 9"/>
        <s v="Ausekļa 14"/>
        <s v="Bultu 8"/>
        <s v="Valdeķu 55"/>
        <s v="Liepājas 2"/>
        <s v="Ilūkstes 27"/>
        <s v="Čiekurkalna 4. šķ l. 15"/>
        <s v="Avotu 10"/>
        <s v="Hāpsalas 12"/>
        <s v="Brīvības 203"/>
        <s v="Kokneses pr. 1"/>
        <s v="Ainavas 2a"/>
        <s v="Ostas pr. 6"/>
        <s v="Rūpniecības 1"/>
        <s v="Maskavas 243"/>
        <s v="Valguma 22"/>
        <s v="Ganību d. 6a"/>
        <s v="Ieriķu 18"/>
        <s v="Komētas 15/1"/>
        <s v="Cēsu 30"/>
        <s v="Indrānu 17"/>
        <s v="Kaivas 50, k-5"/>
        <s v="Vienības g. 192"/>
        <s v="Usmas 9"/>
        <s v="Nīcgales 12"/>
        <s v="Balasta d. 70"/>
        <s v="Anniņmuižas bulvāris 82"/>
        <s v="Ozolciema 24/1"/>
        <s v="Salaspils 18"/>
        <s v="Dzirnavu 66"/>
        <s v="Vaļņu 35"/>
        <s v="Dombrovska 44"/>
        <s v="Ropažu 28"/>
        <s v="Hospitāļu 5a"/>
        <s v="Ezermalas 2"/>
        <s v="Slokas 205"/>
        <s v="Brīvības 64"/>
        <s v="Stabu 46/48"/>
        <s v="Miera 78"/>
        <s v="Tīnūžu 4"/>
        <s v="Melnsila 24"/>
        <s v="Avotu 23"/>
        <s v="Marijas 18"/>
        <s v="Apuzes 51"/>
        <s v="Žagatu 20"/>
        <s v="Zemaišu 1/5"/>
        <s v="Tilta 5 k-1"/>
        <s v="Ganu 2"/>
        <s v="Volguntes 50"/>
        <s v="Ģertrūdes 86"/>
        <s v="Slokas 111h"/>
        <s v="Maltas 17"/>
        <s v="Merķeļa 17/19"/>
        <s v="Miera 10"/>
        <s v="Barona 37"/>
        <s v="Slāvu 15"/>
        <s v="Valguma 17"/>
        <s v="Avotu 9"/>
        <s v="Matīsa 35a"/>
        <s v="Ģertrūdes 30"/>
        <s v="Vaidavas 15/1"/>
        <s v="Ūnijas 38"/>
        <s v="Margrietas 16"/>
        <s v="Pērnavas 24"/>
        <s v="Ausekļa 1"/>
        <s v="Eksporta 12"/>
        <s v="Dzirnavu 157"/>
        <s v="Vangažu 35"/>
        <s v="Dzirnavu 119"/>
        <s v="Šķūņu 13"/>
        <s v="Jēkabpils 2"/>
        <s v="Slēpotāju 250"/>
        <s v="Ezera 5"/>
        <s v="Brantkalna 11"/>
        <s v="Aglonas 29"/>
        <s v="Kuldīgas 34"/>
        <s v="Vīlipa 3"/>
        <s v="Maskavas 291 k-4"/>
        <s v="Priežu 14a"/>
        <s v="Skolas 20"/>
        <s v="Dzirciema 27"/>
        <s v="Ziepju 5/1"/>
        <s v="Baznīcas 13"/>
        <s v="Grēcinieku 26"/>
        <s v="Vējdzirnavu 28"/>
        <s v="Krustpils 60"/>
        <s v="Klaipēdas 12"/>
        <s v="Asteres 1"/>
        <s v="Kameņu 1a"/>
        <s v="Zentenes 4"/>
        <s v="Ludviķa 10"/>
        <s v="Ropažu 93"/>
        <s v="Eksporta 2a"/>
        <s v="Eizenšteina 77"/>
        <s v="Mūrnieku 2"/>
        <s v="Lejiņa 2"/>
        <s v="Līvciema 10"/>
        <s v="Bruņinieku 149"/>
        <s v="Irlavas 1"/>
        <s v="Lilastes 5"/>
        <s v="Skolas 10"/>
        <s v="Nomales 8"/>
        <s v="Zalves 116"/>
        <s v="Raiņa bulv. 3"/>
        <s v="Ķempes 7"/>
        <s v="Kaivas 50 k-4"/>
        <s v="Anniņmuižas bulvāris 30"/>
        <s v="Deglava 124"/>
        <s v="Laboratorijas 1"/>
        <s v="Kaļķu 2"/>
        <s v="Vaidavas 3"/>
        <s v="Ropažu 78"/>
        <s v="Jūrmalas g. 92"/>
        <s v="Stabu 61"/>
        <s v="Raiņa bulv. 3a"/>
        <s v="Avotu 20"/>
        <s v="Eizenšteina 13"/>
        <s v="Čaka 146"/>
        <s v="Maskavas 222b"/>
        <s v="Valdemāra 34"/>
        <s v="Brīvības iela 19"/>
        <s v="Stabu 99"/>
        <s v="Vaidavas 9"/>
        <s v="Ūnijas 71"/>
        <s v="Elku 2"/>
        <s v="Imantas 3c"/>
        <s v="Lidoņu 19"/>
        <s v="Zileņu 12"/>
        <s v="Brīvības 147"/>
        <s v="Hāpsalas 15"/>
        <s v="Ūnijas 58a"/>
        <s v="Riepnieku 4"/>
        <s v="Stabu 29"/>
        <s v="Zaļenieku 21"/>
        <s v="Merķeļa 17"/>
        <s v="Ģertrūdes 41"/>
        <s v="Vaļņu 3"/>
        <s v="Juglas 23"/>
        <s v="Valdemāra 69"/>
        <s v="Valdemāra 83"/>
        <s v="Maskavas 112"/>
        <s v="Vienības g. 87i"/>
        <s v="Dzelzavas 33"/>
        <s v="Reņģes 7-k2"/>
        <s v="Baltā 19"/>
        <s v="Ziemeļu 3"/>
        <s v="Skolas 191"/>
        <s v="Gobas 35"/>
        <s v="Lienes 6a"/>
        <s v="Slāvu 17"/>
        <s v="Jūrmalas g. 113b"/>
        <s v="Rencēnu 40"/>
        <s v="Ilūkstes 18"/>
        <s v="Dammes 19"/>
        <s v="Nīcgales 47"/>
        <s v="Rudens 5"/>
        <s v="Stabu 11"/>
        <s v="Tēraudlietuves 10"/>
        <s v="Sīmaņa 9a"/>
        <s v="M. Krūmu 18"/>
        <s v="Stabu 70"/>
        <s v="Ezermalas 4"/>
        <s v="Sermuliņu 14"/>
        <s v="Juglas 47"/>
        <s v="Nometņu 49"/>
        <s v="Lāčplēša 62/66"/>
        <s v="Mastu 6"/>
        <s v="Jelgavas 62/64"/>
        <s v="Eksporta 4"/>
        <s v="Vecmīlgrāvja 1. l. 54"/>
        <s v="Maskavas 254/7"/>
        <s v="Daugavgrīvas š. 17"/>
        <s v="Kalnciema 101"/>
        <s v="Šampētera 74"/>
        <s v="Tapešu 54"/>
        <s v="Kurzemes pr. 74"/>
        <s v="Vāgnera 2"/>
        <s v="Kazarmu 2a"/>
        <s v="Dzelzavas 38"/>
        <s v="Gregora 6"/>
        <s v="Lubānas 117-65"/>
        <s v="Hospitāļu 28"/>
        <s v="Anniņmuižas bulvāris 50"/>
        <s v="Valdemāra 76"/>
        <s v="Stiebru 6"/>
        <s v="Āraišu 38"/>
        <s v="Kaivas 29/2"/>
        <s v="Ventspils 45/1"/>
        <s v="Juglas 37"/>
        <s v="Gaujas 37"/>
        <s v="Upeņu 19"/>
        <s v="Baznīcas 45"/>
        <s v="Brīvības 121-141"/>
        <s v="Eiženijas 17"/>
        <s v="Blaumaņa 5"/>
        <s v="Palasta 9"/>
        <s v="Volguntes 40"/>
        <s v="Katrīnas d. 17"/>
        <s v="Antonijas 14"/>
        <s v="Birznieka-Upīša 6"/>
        <s v="Gardenes 9"/>
        <s v="Lilijas 8"/>
        <s v="Aptiekas 11"/>
        <s v="Vecumnieku 78"/>
        <s v="Aglonas 10/3"/>
        <s v="Apuzes 40"/>
        <s v="Tallinas 38"/>
        <s v="Baznīcas 26a"/>
        <s v="Brīvības 114"/>
        <s v="Jaunrozes 9"/>
        <s v="Valdemāra 11"/>
        <s v="Ūnijas 73"/>
        <s v="Hipokrāta 9"/>
        <s v="Kristapa 20"/>
        <s v="Jūrmalas g. 82/2"/>
        <s v="Ieriķu 39"/>
        <s v="Kuldīgas 13a"/>
        <s v="Kurzemes pr. 98"/>
        <s v="Ilūkstes 48"/>
        <s v="Tīnūžu 6"/>
        <s v="Salnas 1"/>
        <s v="Keldiša 9"/>
        <s v="M. Piena 6"/>
        <s v="Viestura pr. 83"/>
        <s v="Gāles 7"/>
        <s v="Kartupeļu 54"/>
        <s v="Puškina 1"/>
        <s v="Stabu 65"/>
        <s v="Lokomotīves 54"/>
        <s v="Pulkv. Brieža 13"/>
        <s v="Dzelzavas 15"/>
        <s v="Irlavas 20"/>
        <s v="Lāčplēša 7"/>
        <s v="Tvaikoņu 2"/>
        <s v="Līvciema 5"/>
        <s v="Saulgožu 4"/>
        <s v="Avotu 43"/>
        <s v="Kalnciema 88"/>
        <s v="Bruņinieku 111"/>
        <s v="Kalnciema 114"/>
        <s v="Viestura pr. 53"/>
        <s v="Robežu 24"/>
        <s v="Buļļu 52"/>
        <s v="Stirnu 47"/>
        <s v="Lejiņa 3"/>
        <s v="Valdemāra 121"/>
        <s v="Šķirotavas 2a"/>
        <s v="Kvēles 23"/>
        <s v="Bieziņa 4"/>
        <s v="Dzeņu 10"/>
        <s v="Dudajeva g. 10"/>
        <s v="Alūksnes 3"/>
        <s v="Lēdurgas 10"/>
        <s v="Lidoņu 16"/>
        <s v="Ozolciema 16"/>
        <s v="Ozolu 5"/>
        <s v="Druvienas 32"/>
        <s v="Salaspils 12"/>
        <s v="Vienības g. 42"/>
        <s v="Kaivas 33/2"/>
        <s v="Antonijas 6a"/>
        <s v="Biķernieku 12b"/>
        <s v="Tomsona 33a"/>
        <s v="Zolitūdes 75"/>
        <s v="Purvciema 53"/>
        <s v="Smiļģa 27"/>
        <s v="Miķeļa 1"/>
        <s v="Irlavas 26a"/>
        <s v="Pudiķa 13"/>
        <s v="Pārslas 6"/>
        <s v="Tallinas 77"/>
        <s v="Kalēju 14"/>
        <s v="Murjāņu 56"/>
        <s v="Hāpsalas 6"/>
        <s v="Ganu 6"/>
        <s v="Anniņmuižas bulvāris 52"/>
        <s v="Grostonas 25"/>
        <s v="Līvānu 1"/>
        <s v="Slokas 132"/>
        <s v="Maskavas 252"/>
        <s v="Krustabaznīcas 5"/>
        <s v="Meldru 12"/>
        <s v="Emmas 11"/>
        <s v="Glūdas 2"/>
        <s v="Maskavas 258/2"/>
        <s v="Artilērijas 59"/>
        <s v="Garozes 17"/>
        <s v="Kaņiera 14"/>
        <s v="Dzelzavas 23"/>
        <s v="Prūšu 20"/>
        <s v="Pērnavas 19"/>
        <s v="Stirnu 4"/>
        <s v="Pērnavas 1"/>
        <s v="Brīvības 100"/>
        <s v="Zālīša 1"/>
        <s v="M. Nometņu 76"/>
        <s v="Šauļu 2b"/>
        <s v="Matīsa 46a"/>
        <s v="Balasta d. 36"/>
        <s v="Ķeguma 45"/>
        <s v="Dzelzavas 81"/>
        <s v="Imantas 1. l. 49"/>
        <s v="Birznieka-Upīša 20"/>
        <s v="Kaļķu 6"/>
        <s v="Tilta 3"/>
        <s v="Kāvu 5a"/>
        <s v="Eksporta 2"/>
        <s v="Cieceres 5"/>
        <s v="Blaumaņa 34"/>
        <s v="Ernestīnes 15"/>
        <s v="Šķūņu 6"/>
        <s v="Pūces 31"/>
        <s v="Satiksmes 4"/>
        <s v="Bruņinieku 93"/>
        <s v="Kalnciema 39b"/>
        <s v="Grīvas 17"/>
        <s v="Nīcgales 38"/>
        <s v="M. Krūmu 28"/>
        <s v="Stendes 7"/>
        <s v="Mežciema 26"/>
        <s v="Baltā 9"/>
        <s v="Kleistu 21"/>
        <s v="Skolas 12a"/>
        <s v="Kuģu 15"/>
        <s v="Stirnu 49a"/>
        <s v="Eizenšteina 71"/>
        <s v="Silciema 13/3"/>
        <s v="Strēlnieku 4b"/>
        <s v="Visbijas pr. 17"/>
        <s v="Vairoga 48"/>
        <s v="Antonijas 15"/>
        <s v="Ostas pr. 4"/>
        <s v="Emmas 5"/>
        <s v="Baltāsbaznīcas 34"/>
        <s v="Barona 92a"/>
        <s v="Blaumaņa 3"/>
        <s v="Kuģu 28"/>
        <s v="Brīvības gatve 293"/>
        <s v="Pudiķa 24"/>
        <s v="Bieziņa 12"/>
        <s v="Kurzemes pr. 40"/>
        <s v="Jaunciema g. 182"/>
        <s v="Miera 91"/>
        <s v="Slokas 173"/>
        <s v="Zaļenieku 40"/>
        <s v="Eizenšteina 53"/>
        <s v="Liesmas 4"/>
        <s v="Ulbrokas 6"/>
        <s v="Ausekļa 3"/>
        <s v="Ilūkstes 26"/>
        <s v="Stirnu 20a"/>
        <s v="Ozolciema 12"/>
        <s v="Grestes 4"/>
        <s v="Rūpnīcas 15"/>
        <s v="Salaspils 2"/>
        <s v="Deglava 108"/>
        <s v="Madonas 21"/>
        <s v="Matīsa 41c"/>
        <s v="Dzirnavu 92"/>
        <s v="Izvaltas 6"/>
        <s v="Sniega 3"/>
        <s v="Biķernieku 16a"/>
        <s v="Zaļā 10"/>
        <s v="Elizabetes 10b"/>
        <s v="Murjāņu 40"/>
        <s v="Slokas 84"/>
        <s v="Hamburgas 17"/>
        <s v="Maskavas 104"/>
        <s v="Salacas 26"/>
        <s v="Tērbatas 37"/>
        <s v="Ormaņu 3"/>
        <s v="Ģertrūdes 39"/>
        <s v="Anniņmuižas bulvāris 90"/>
        <s v="Lomonosova 3"/>
        <s v="Valmieras 30"/>
        <s v="Zemes 2"/>
        <s v="Robežu 2"/>
        <s v="Skujenes 11"/>
        <s v="Stiebru 3"/>
        <s v="Ozolciema 42k2"/>
        <s v="Nīcgales 9"/>
        <s v="Vēja 19"/>
        <s v="Lilijas 15"/>
        <s v="Salnas 11"/>
        <s v="Lielupes 64"/>
        <s v="Rasas 4"/>
        <s v="Kuldīgas 39"/>
        <s v="Aptiekas 8"/>
        <s v="Ropažu 17"/>
        <s v="Pērnavas 56"/>
        <s v="Prūšu 21"/>
        <s v="Dzelzavas 15/1"/>
        <s v="Dudajeva g. 12"/>
        <s v="Stopiņu 14"/>
        <s v="Alīses 5"/>
        <s v="Komētas 22"/>
        <s v="Komētas 20"/>
        <s v="Mārcienas 1"/>
        <s v="Barona 5"/>
        <s v="Maskavas 268/3"/>
        <s v="Vecmīlgrāvja 1. l. 50"/>
        <s v="Slokas 165"/>
        <s v="Lidoņu 29"/>
        <s v="Miera 87"/>
        <s v="Dagmāras 4"/>
        <s v="Daugavgrīvas 70"/>
        <s v="Jasmuižas 12"/>
        <s v="Brīvības 68"/>
        <s v="Kurzemes pr. 42"/>
        <s v="Brīvības 162"/>
        <s v="Dzirciema 52"/>
        <s v="Gardenes 4"/>
        <s v="Baltāsbaznīcas 44"/>
        <s v="Lemešu 3 k-1"/>
        <s v="Veldres 11"/>
        <s v="Maskavas 93"/>
        <s v="Pirts 9"/>
        <s v="Purvciema 46"/>
        <s v="Merķeļa 7"/>
        <s v="Ilūkstes 103"/>
        <s v="Pērses 13"/>
        <s v="Stokholmas 33"/>
        <s v="Kurzemes pr. 76"/>
        <s v="Ozolciema 34"/>
        <s v="Komētas 8"/>
        <s v="Viestura pr. 33"/>
        <s v="Buļļu 33"/>
        <s v="M. Juglas 3a"/>
        <s v="Eksporta 14"/>
        <s v="Allažu 1"/>
        <s v="Bauskas 190a"/>
        <s v="Rātsupītes 3"/>
        <s v="Bauskas 187"/>
        <s v="Vecāķu pr. 191"/>
        <s v="Gulbju 1a"/>
        <s v="Vētras 8a"/>
        <s v="Lēdurgas 2/4"/>
        <s v="Traleru 3"/>
        <s v="Albatrosu 22"/>
        <s v="Ķengaraga 7"/>
        <s v="Mūkusalas 9"/>
        <s v="Miglas 11a"/>
        <s v="Bauskas 55"/>
        <s v="M. Nometņu 5"/>
        <s v="Anniņmuižas 2"/>
        <s v="Kazarmu 7"/>
        <s v="Zeltiņu 3"/>
        <s v="Kaivas 50-161d"/>
        <s v="Kaivas 50k-1"/>
        <s v="Slokas 28"/>
        <s v="Smiļģa 32"/>
        <s v="Lāčplēša 114"/>
        <s v="Lāčplēša 87e"/>
        <s v="Miera 90"/>
        <s v="Maskavas 266/3"/>
        <s v="Prūšu 73"/>
        <s v="Lidoņu 12"/>
        <s v="Hipokrāta 37"/>
        <s v="Aviācijas 2e"/>
        <s v="Dzirciema 37"/>
        <s v="Brīvības gatve 432k1"/>
        <s v="Stabu 49"/>
        <s v="Ezermalas 27"/>
        <s v="Tallinas 20"/>
        <s v="Maskavas 198"/>
        <s v="Stabu 57"/>
        <s v="Upes 3"/>
        <s v="Blaumaņa 27"/>
        <s v="Mārcienas 8"/>
        <s v="Ezermalas 19"/>
        <s v="Buļļu 25"/>
        <s v="Vaidavas 8"/>
        <s v="Dzērvju 10"/>
        <s v="Jūrmalas g. 95"/>
        <s v="Kooperatīva 4a"/>
        <s v="Ģertrūdes 98"/>
        <s v="Katoļu 9"/>
        <s v="Madonas 23"/>
        <s v="Krāmu 4"/>
        <s v="Brīvības gatve 234"/>
        <s v="Kastrānes 1/2"/>
        <s v="Mārstaļu 2k4"/>
        <s v="Stabu 60"/>
        <s v="Elizabetes 63"/>
        <s v="Maskavas 252 k-6"/>
        <s v="Viļānu 7"/>
        <s v="Aptiekas 6"/>
        <s v="Maskavas 252k5"/>
        <s v="Zvejnieku 9"/>
        <s v="Saulgožu 13"/>
        <s v="Dignājas 3"/>
        <s v="Deglava 164"/>
        <s v="Barona 80"/>
        <s v="Zilupes 23"/>
        <s v="Šampētera 9"/>
        <s v="Tomsona 21"/>
        <s v="Brīvības bulvāris 19"/>
        <s v="Maskavas 381"/>
        <s v="Čiekurkalna 2. l. 23"/>
        <s v="Kurzemes pr. 34"/>
        <s v="Dzirciema 59"/>
        <s v="Lāčplēša 54"/>
        <s v="Parādes 1"/>
        <s v="Pļavnieku 12"/>
        <s v="Druvienas 34"/>
        <s v="Brīvības gatve 236"/>
        <s v="Lokomotīves 22"/>
        <s v="Pļavnieku 8"/>
        <s v="Mores 17"/>
        <s v="Aglonas 2"/>
        <s v="Bauskas 151"/>
        <s v="Kalnciema 81"/>
        <s v="Artilērijas 33"/>
        <s v="Anniņmuižas bulvāris 38k1"/>
        <s v="Kurmju 7"/>
        <s v="Salnas 3"/>
        <s v="J. Vācieša 2g"/>
        <s v="Zaļenieku 22"/>
        <s v="Grīvas 25"/>
        <s v="Anniņmuižas bulvāris 38k4"/>
        <s v="Mārupes 10"/>
        <s v="Ezera 21"/>
        <s v="Ezermalas 2k-1"/>
        <s v="Aviācijas 1"/>
        <s v="Ropažu 60"/>
        <s v="Saharova 1"/>
        <s v="Launkalnes 12"/>
        <s v="Ganību d. 17"/>
        <s v="Buļļu 42 a"/>
        <s v="Brīvības iela 101"/>
        <s v="Brīvības gatve 296"/>
        <s v="Ropažu 91"/>
        <s v="Juglas 29"/>
        <s v="Gogoļa 13"/>
        <s v="Brīvības iela 48"/>
        <s v="Čaka 114"/>
        <s v="Ozolciema 50"/>
        <s v="Jasmuižas 11"/>
        <s v="Nīcgales 53"/>
        <s v="Pērnavas 57"/>
        <s v="Vesetas 24"/>
        <s v="Kojusalas 25"/>
        <s v="Dzelzavas 11"/>
        <s v="Teātra 12"/>
        <s v="Brīvības iela 47"/>
        <s v="Tērbatas 83"/>
        <s v="Jēkaba 26"/>
        <s v="Šķirotavas 3a"/>
        <s v="Salnas 28"/>
        <s v="Dammes 34"/>
        <s v="Bruņinieku 89"/>
        <s v="Marijas 19"/>
        <s v="Ulbrokas 10"/>
        <s v="Maskavas 39"/>
        <s v="Jasmuižas 18"/>
        <s v="Tadaiķu 1"/>
        <s v="Vesetas 25"/>
        <s v="Bauskas 30"/>
        <s v="Daugavgrīvas 91"/>
        <s v="Lielā 69"/>
        <s v="Biķernieku 244"/>
        <s v="Kodola 5"/>
        <s v="Zāģeru 6"/>
        <s v="Limbažu 7"/>
        <s v="Sila 16"/>
        <s v="Progresa 4"/>
        <s v="Čaka 41"/>
        <s v="Juglas 2"/>
        <s v="Biķernieku 79"/>
        <s v="Vienības g. x"/>
        <s v="Spilves 21"/>
        <s v="Komētas 30"/>
        <s v="Dzirnavu 115"/>
        <s v="Pētersalas 9"/>
        <s v="Tapešu 19"/>
        <s v="Nomales 6"/>
        <s v="Vaļņu 4"/>
        <s v="Kapseļu 25a"/>
        <s v="Salaspils 22"/>
        <s v="Slokas 72"/>
        <s v="Lubānas 10"/>
        <s v="Skrudalienas 7"/>
        <s v="Arsenāla 7"/>
        <s v="Bīskapa gāte 3"/>
        <s v="Krustpils 73"/>
        <s v="Jaunciema 2. l. 5"/>
        <s v="Klijānu 3"/>
        <s v="Brīvības 131"/>
        <s v="Dzirnavu 9"/>
        <s v="Rūpniecības 16"/>
        <s v="Eizenšteina 63"/>
        <s v="Purvciema 22"/>
        <s v="Viestura pr. 69"/>
        <s v="Muitas 1"/>
        <s v="Krāsotāju 24"/>
        <s v="Stendes 7/4"/>
        <s v="Zvaigžņu 14a"/>
        <s v="Sakses 2"/>
        <s v="Tallinas 90"/>
        <s v="Lilijas 21"/>
        <s v="Trijādības 2"/>
        <s v="Daugavgrīvas 34"/>
        <s v="Zolitūdes 34"/>
        <s v="Kalnciema 57a"/>
        <s v="Kalnciema 116c"/>
        <s v="Ledus 2"/>
        <s v="Maskavas 275"/>
        <s v="Piebalgas 12"/>
        <s v="Salnas 7"/>
        <s v="Emmas 1"/>
        <s v="Ūnijas 66"/>
        <s v="Sliežu 33"/>
        <s v="Gogoļa 11"/>
        <s v="Silciema 15"/>
        <s v="Deglava 104"/>
        <s v="Viestura pr. 77"/>
        <s v="Maskavas 291 k-3"/>
        <s v="Valdeķu 52-4"/>
        <s v="Brīvības gatve 233"/>
        <s v="Ieroču 1"/>
        <s v="Ropažu 98"/>
        <s v="Dzelzavas 2"/>
        <s v="Pēkšēna 11"/>
        <s v="Maskavas 299"/>
        <s v="Brīvības iela 1"/>
        <s v="Tīnūžu 3"/>
        <s v="Ropažu 122 k-5"/>
        <s v="Salacas 5"/>
        <s v="Pļaviņu 15"/>
        <s v="Brantkalna 2"/>
        <s v="Sējas 47"/>
        <s v="Miesnieku 14"/>
        <s v="Bruņinieku 104"/>
        <s v="Caunes 11"/>
        <s v="Kvēles 15"/>
        <s v="Kaivas 50-45"/>
        <s v="Valguma 20"/>
        <s v="Brīvības 76"/>
        <s v="Anniņmuižas bulvāris 38/4"/>
        <s v="Svētes 1"/>
        <s v="Stirnu 12"/>
        <s v="Katrīnas d. 24/18"/>
        <s v="Maskavas 15"/>
        <s v="Anniņmuižas bulvāris 54"/>
        <s v="Lauvu 22"/>
        <s v="Ērģeļu 1"/>
        <s v="Martas 9"/>
        <s v="Lāčplēša 221"/>
        <s v="Dzirciema 57"/>
        <s v="Anniņmuižas 7"/>
        <s v="Zaļenieku 18"/>
        <s v="Liepājas 78c"/>
        <s v="Hipokrāta 37/34"/>
        <s v="Miera 87a"/>
        <s v="Jēkaba 28"/>
        <s v="Dzeņu 7-1"/>
        <s v="Ģertrūdes 110"/>
        <s v="M. Krūmu 9"/>
        <s v="Bajāru 59"/>
        <s v="Murjāņu 61"/>
        <s v="Raņķa d. 9"/>
        <s v="Kuršu 25a"/>
        <s v="Daugavpils 8a"/>
        <s v="Deglava 56"/>
        <s v="Melngaiļa 2"/>
        <s v="Platā 3"/>
        <s v="Vārnu 4"/>
        <s v="Bruņinieku 42a"/>
        <s v="Miera 95"/>
        <s v="Čaka 67/69"/>
        <s v="Prūšu 17/3"/>
        <s v="Valdeķu 67"/>
        <s v="Pūces 47"/>
        <s v="Merķeļa 6"/>
        <s v="Melngaiļa 8"/>
        <s v="Strēlnieku 15/2"/>
        <s v="Valguma 24"/>
        <s v="Pūces 49"/>
        <s v="Skrīnes 4"/>
        <s v="Slokas 195"/>
        <s v="Apuzes 51a"/>
        <s v="Brīvības gatve 386"/>
        <s v="Pērnavas 23"/>
        <s v="Pūces 43"/>
        <s v="Aizkraukles 30"/>
        <s v="Deglava 106 k-2"/>
        <s v="Maskavas 237a"/>
        <s v="Zemaišu 4"/>
        <s v="Veru 3"/>
        <s v="Tirzas 3"/>
        <s v="Antonijas 18"/>
        <s v="Kurzemes pr. 30"/>
        <s v="Ventspils 65"/>
        <s v="Ilūkstes 32"/>
        <s v="Ezera 11"/>
        <s v="Stirnu 50b"/>
        <s v="Andromedas g. 4"/>
        <s v="Smiļģa 20"/>
        <s v="Turgeņeva 21a"/>
        <s v="Brantkalna 4"/>
        <s v="Vaidavas 3a"/>
        <s v="Līvciema 31"/>
        <s v="Avotu 73"/>
        <s v="Stāmerienas 2/1"/>
        <s v="Deglava 152"/>
        <s v="Kalnciema 9"/>
        <s v="Pulkv. Brieža 9"/>
        <s v="Prūšu 22, k-3"/>
        <s v="Stabu 96"/>
        <s v="Sermuliņu 10"/>
        <s v="Maskavas 79"/>
        <s v="Komētas 15"/>
        <s v="Maskavas 22"/>
        <s v="Ropažu 30"/>
        <s v="Čaka 31"/>
        <s v="Pērnavas 21"/>
        <s v="Alauksta 16"/>
        <s v="Vienības g. 87"/>
        <s v="Eizenšteina 65"/>
        <s v="Lēpju 11"/>
        <s v="Juglas krastm. 1"/>
        <s v="Sapieru 13b"/>
        <s v="Zentenes 30"/>
        <s v="Dzirnavu 31"/>
        <s v="Ropažu 58"/>
        <s v="Dzelzavas 95"/>
        <s v="Kalnciema 15"/>
        <s v="Salacas 19"/>
        <s v="Raunas 3"/>
        <s v="Stirnu 55"/>
        <s v="Pils lauk. 2b"/>
        <s v="Patversmes 22"/>
        <s v="Ernestīnes 18a"/>
        <s v="Parādes 18"/>
        <s v="M. Nometņu 17 a"/>
        <s v="Olīvu 100"/>
        <s v="Kurzemes pr. 138"/>
        <s v="Braslas 19"/>
        <s v="Silikātu 4"/>
        <s v="Salnas 32"/>
        <s v="Matīsa 42"/>
        <s v="Lokomotīves 44"/>
        <s v="Juglas 2e"/>
        <s v="Raunas 15a"/>
        <s v="Rostokas 50"/>
        <s v="Krasta 66"/>
        <s v="Dubultu 16"/>
        <s v="Stabu 21"/>
        <s v="Dzirnavu 62"/>
        <s v="Akmeņu 16a"/>
        <s v="Krāslavas 24"/>
        <s v="Rūpniecības 16/2"/>
        <s v="Akas 8"/>
        <s v="St. Rusas 22a"/>
        <s v="Zemaišu 1"/>
        <s v="Murjāņu 34"/>
        <s v="Tomsona 34"/>
        <s v="Rušonu 24/1"/>
        <s v="Katrīnas d. 20/1"/>
        <s v="Ilūkstes 54/3"/>
        <s v="Salaspils 7"/>
        <s v="Stabu 41"/>
        <s v="Maskavas 268 k-7"/>
        <s v="Ezermalas 18b"/>
        <s v="Slokas 215"/>
        <s v="Maskavas 317"/>
        <s v="Dzirciema 89"/>
        <s v="Žagatu 24"/>
        <s v="Jelgavas 50"/>
        <s v="Zolitūdes 36"/>
        <s v="Lāčplēša 83"/>
        <s v="Slāvu 23a"/>
        <s v="Zeltiņu 6"/>
        <s v="Rītupes 12"/>
        <s v="Kurzemes pr. 124"/>
        <s v="Ilūkstes 6"/>
        <s v="Kooperatīva 20"/>
        <s v="Rušonu 30"/>
        <s v="Dzeņu 7k1"/>
        <s v="Sliežu 27"/>
        <s v="Jersikas 25"/>
        <s v="Pelnu 1"/>
        <s v="Pupuku iela 9"/>
        <s v="Aviācijas 2c"/>
        <s v="Alīses 8"/>
        <s v="Žagatu 22"/>
        <s v="Glūdas 6"/>
        <s v="Silikātu 3/2"/>
        <s v="Purvciema 44"/>
        <s v="Maskavas 254/1"/>
        <s v="Kurzemes pr. 56"/>
        <s v="Jāņa 3"/>
        <s v="Stirnu 15a"/>
        <s v="Lidoņu 14b"/>
        <s v="Vangažu 32"/>
        <s v="Keldiša 12"/>
        <s v="Imantas 2"/>
        <s v="Vaidelotes 11"/>
        <s v="Kalnciema 22"/>
        <s v="Gramzdas 21"/>
        <s v="Ulbrokas 5"/>
        <s v="Biķernieku 124"/>
        <s v="Dzirnavu 50"/>
        <s v="Plostu 12"/>
        <s v="Lubānas 143"/>
        <s v="Alauksta 5"/>
        <s v="Baltāsbaznīcas 36"/>
        <s v="Andromedas g. 7"/>
        <s v="Apuzes 37c"/>
        <s v="Parādes 20a"/>
        <s v="Auru 5a"/>
        <s v="Platā 30"/>
        <s v="Višķu 19"/>
        <s v="Maskavas 216"/>
        <s v="M. Krasta 37"/>
        <s v="Dzirciema 31"/>
        <s v="Ilūkstes 107 k-2"/>
        <s v="Ulbrokas 7"/>
        <s v="Brīvības 161"/>
        <s v="Dzeņu 1"/>
        <s v="Hipokrāta 62"/>
        <s v="Kalnciema 62"/>
        <s v="Maskavas 268/7"/>
        <s v="Stirnu 19"/>
        <s v="Melīdas 56"/>
        <s v="Bruņinieku 87"/>
        <s v="Ludzas 55"/>
        <s v="Jūrmalas g. 109"/>
        <s v="Elizabetes 22"/>
        <s v="Pīpeņu 10"/>
        <s v="Ozolciema 46"/>
        <s v="Slokas 86"/>
        <s v="Bruņinieku 12"/>
        <s v="Ģertrūdes 108"/>
        <s v="Barona 55"/>
        <s v="Kuldīgas 45a"/>
        <s v="Murjāņu 20"/>
        <s v="Ieriķu 29"/>
        <s v="Tallinas 52"/>
        <s v="Brīvības iela 93"/>
        <s v="Zeltiņu 22"/>
        <s v="Elizabetes 37"/>
        <s v="Melīdas 6c"/>
        <s v="Dombrovska 75"/>
        <s v="Katrīnas d. 22"/>
        <s v="Morica 20b"/>
        <s v="Marsa g. 1"/>
        <s v="Ozolciema 12/4"/>
        <s v="Maskavas 84"/>
        <s v="Marijas 15"/>
        <s v="Dāliju 8a"/>
        <s v="Slokas 191"/>
        <s v="Sapieru 1"/>
        <s v="Matīsa 17"/>
        <s v="Staiceles 19"/>
        <s v="Brīvības gatve 281"/>
        <s v="Daugavgrīvas 68a"/>
        <s v="Ropažu 5"/>
        <s v="Čiekurkalna 8. šķ l. 1b"/>
        <s v="Preiļu 4"/>
        <s v="Viestura pr. 67"/>
        <s v="Irlavas 34"/>
        <s v="Sadovņikova 56"/>
        <s v="Kaivas 50-45d"/>
        <s v="J. Vācieša 4"/>
        <s v="Ganību d. 14"/>
        <s v="Anniņmuižas bulvāris 28"/>
        <s v="Laipu 5"/>
        <s v="Kaivas 50-13d"/>
        <s v="Lilijas 28"/>
        <s v="Kaņiera 18"/>
        <s v="Smilšu 14a"/>
        <s v="Valdemāra 109"/>
        <s v="Hāpsalas 1 k-1"/>
        <s v="Pilsoņu 18"/>
        <s v="Vidus 11"/>
        <s v="Kaivas 50-4"/>
        <s v="Valdemāra 143"/>
        <s v="Jasmuižas 18 k 1"/>
        <s v="Lāčplēša 44/46"/>
        <s v="Ģertrūdes 62"/>
        <s v="Bērzpils 3"/>
        <s v="Stabu 95"/>
        <s v="Dravnieku 6"/>
        <s v="Lubānas 35"/>
        <s v="Dzirnavu 60a"/>
        <s v="Silciema 15/1"/>
        <s v="Zemes 8"/>
        <s v="Ezera 13"/>
        <s v="Pumpura 3a"/>
        <s v="Kaivas 50/2"/>
        <s v="Avotu 11"/>
        <s v="Ģertrūdes 9"/>
        <s v="Matīsa 18"/>
        <s v="Hospitāļu 33a"/>
        <s v="Jasmuižas 8"/>
        <s v="Hospitāļu 3"/>
        <s v="St. Rusas 8"/>
        <s v="Juglas 41"/>
        <s v="Riekstu 7"/>
        <s v="Vecmīlgrāvja 9"/>
        <s v="Buļļu 35 a"/>
        <s v="Maskavas 69"/>
        <s v="Zolitūdes 75 k-3"/>
        <s v="Melnsila 21"/>
        <s v="Tīnūžu 14"/>
        <s v="Ikšķiles 18"/>
        <s v="Skolas 36a"/>
        <s v="Valdeķu 60"/>
        <s v="Maskavas 182"/>
        <s v="Staiceles 11"/>
        <s v="Kurzemes pr. 52"/>
        <s v="Rūpniecības 34a"/>
        <s v="Avotu 65a"/>
        <s v="M. Lubānas 18"/>
        <s v="Emmas 10"/>
        <s v="Maskavas 258/6"/>
        <s v="Gramzdas 17"/>
        <s v="Buļļu 42 b"/>
        <s v="Jūrkalnes 87"/>
        <s v="Valdemāra 105"/>
        <s v="Miera 57a"/>
        <s v="Lienes 25"/>
        <s v="Maltas 22"/>
        <s v="Dubultu 23"/>
        <s v="Sarkandaugavas 3"/>
        <s v="Zeltiņu 20"/>
        <s v="Biķernieku 226"/>
        <s v="Parādes 3"/>
        <s v="Ezera 19"/>
        <s v="Kastrānes 2a"/>
        <s v="Kaivas 15"/>
        <s v="Augšzemes 7"/>
        <s v="Maskavas 256/7"/>
        <s v="Vecpilsētas 3"/>
        <s v="Tapešu 25"/>
        <s v="Elizabetes 1"/>
        <s v="Kāvu 1"/>
        <s v="Kalnciema 1a"/>
        <s v="Rasas 2"/>
        <s v="J. Vācieša 2c"/>
        <s v="Zebiekstes 3"/>
        <s v="Mūkusalas 56"/>
        <s v="Čaka 52"/>
        <s v="Tilta 11"/>
        <s v="Bruņinieku 75"/>
        <s v="Stirnu 5"/>
        <s v="Lokomotīves 32"/>
        <s v="Čiekurkalna 1. l. 54"/>
        <s v="Barona 64"/>
        <s v="Indrānu 15"/>
        <s v="Čaka 46"/>
        <s v="Kastrānes 16"/>
        <s v="Dzelzavas 25"/>
        <s v="Brīvības iela 90"/>
        <s v="Zvīņu 3"/>
        <s v="Maskavas 280"/>
        <s v="Caunes 10 k1"/>
        <s v="Vecmīlgrāvja 1. l. 45"/>
        <s v="Ozolciema 24/k1"/>
        <s v="Rūpniecības 34"/>
        <s v="Smiļģa 9"/>
        <s v="Ulbrokas 8"/>
        <s v="Varavīksnes g. 6"/>
        <s v="Brīvības iela 148"/>
        <s v="Valdemāra 23, k2"/>
        <s v="Viestura pr. 24"/>
        <s v="Melnsila 18"/>
        <s v="Rūjienas 6"/>
        <s v="Viestura pr. 63"/>
        <s v="St. Rusas 22"/>
        <s v="Platā 10"/>
        <s v="Pērnavas 6"/>
        <s v="Viršu 7"/>
        <s v="Birzes 40"/>
        <s v="Malienas 72"/>
        <s v="Bērzupes 24a"/>
        <s v="Salnas 14"/>
        <s v="Daugavgrīvas 68 a"/>
        <s v="Imantas 1"/>
        <s v="Dammes 26"/>
        <s v="Zvaigžņu 18"/>
        <s v="Tīraines 10"/>
        <s v="Zolitūdes 38/3"/>
        <s v="Vairoga 11"/>
        <s v="Ropažu 74"/>
        <s v="Skrudalienas 15"/>
        <s v="Ganību d. 16"/>
        <s v="Zvaigžņu 2b"/>
        <s v="Sīmaņa 6"/>
        <s v="Meistaru 8"/>
        <s v="Ruses 14"/>
        <s v="Bruknas 8"/>
        <s v="Akas 9"/>
        <s v="Juglas 51"/>
        <s v="Skuju 2"/>
        <s v="Anitas 3"/>
        <s v="Juglas 35"/>
        <s v="Dzirciema 31a"/>
        <s v="Ropažu 105"/>
        <s v="Buļļu 888"/>
        <s v="Salacas 16"/>
        <s v="Kalnciema 107"/>
        <s v="Katoļu 35a"/>
        <s v="Ozolciema 56/2"/>
        <s v="Ģertrūdes 54"/>
        <s v="Kalēju 6"/>
        <s v="Sarkandaugavas 2"/>
        <s v="Stabu 52"/>
        <s v="Keldiša 24"/>
        <s v="Raunas 58"/>
        <s v="Candera 25"/>
        <s v="Ziepniekkalna 64"/>
        <s v="Viestura pr. 45"/>
        <s v="Pētersalas 18"/>
        <s v="Skolas 25"/>
        <s v="Jaunības 11"/>
        <s v="Rūpniecības 7"/>
        <s v="Bultu 3"/>
        <s v="Lokomotīves 82"/>
        <s v="Īslīces 9"/>
        <s v="Ieriķu 37"/>
        <s v="Artilērijas 64a"/>
        <s v="Ļaudonas 1"/>
        <s v="Vidrižu 1.c"/>
        <s v="Silciema 7"/>
        <s v="Tadaiķu 8/2"/>
        <s v="J. Daliņa 2"/>
        <s v="Tallinas 35"/>
        <s v="Jūrmalas g. 82"/>
        <s v="Alūksnes 1"/>
        <s v="Vesetas 10"/>
        <s v="Tvaika 14"/>
        <s v="Balvu 13"/>
        <s v="Vidzemes al. 5"/>
        <s v="Bruņinieku 44"/>
        <s v="Astras 10a"/>
        <s v="Zeltiņu 56"/>
        <s v="Brīvības 106"/>
        <s v="Kapseļu 4a"/>
        <s v="Stopiņu 8"/>
        <s v="Brīvības iela 152"/>
        <s v="Daugavpils 49"/>
        <s v="Spilves 37"/>
        <s v="Rusova 28"/>
        <s v="Ikšķiles 7a"/>
        <s v="Ezermalas 2/2"/>
        <s v="Meldru 10"/>
        <s v="Kurzemes pr. 82"/>
        <s v="Buļļu 4"/>
        <s v="Merķeļa 3"/>
        <s v="Anniņmuižas bulvāris 38/2"/>
        <s v="Palmu 5"/>
        <s v="Gaujas 19"/>
        <s v="Juglas 1"/>
        <s v="Ozolciema 32/2"/>
        <s v="Pūces 53"/>
        <s v="Prūšu 1"/>
        <s v="Parādes 9a"/>
        <s v="Graudu 76"/>
        <s v="Juglas 21"/>
        <s v="Auru 13"/>
        <s v="Eizenšteina 49a"/>
        <s v="Kastrānes 1"/>
        <s v="Atlantijas 7"/>
        <s v="Andromedas g. 8"/>
        <s v="Alīses 6"/>
        <s v="Upes 12"/>
        <s v="Brīvības 132"/>
        <s v="Mārupes 51"/>
        <s v="Cēsu 17"/>
        <s v="Zolitūdes 73"/>
        <s v="Lēpju 9"/>
        <s v="Biķernieku 220"/>
        <s v="Kurzemes pr. 84"/>
        <s v="Pļavas 5"/>
        <s v="Čakstes g. 49"/>
        <s v="Lielupes 60"/>
        <s v="Pērnavas 10a"/>
        <s v="Pērnavas 12"/>
        <s v="Murjāņu 6"/>
        <s v="Zolitūdes 25"/>
        <s v="Kokneses pr. 4 k-1"/>
        <s v="Barona 122"/>
        <s v="Stabu 59"/>
        <s v="Ganību d. 13k1"/>
        <s v="Dzelzavas 31"/>
        <s v="Hospitāļu 35"/>
        <s v="Stabu 54"/>
        <s v="Aizkraukles 32"/>
        <s v="Dzirnavu 3a"/>
        <s v="Dzelzavas 39"/>
        <s v="Viestura pr. 35"/>
        <s v="Dignājas 3a"/>
        <s v="Hāpsalas 9"/>
        <s v="Vangažu 7"/>
        <s v="Silikātu 7a"/>
        <s v="Dzelzavas 75"/>
        <s v="Spilves 33"/>
        <s v="Zemes 5"/>
        <s v="Maskavas 377"/>
        <s v="Dombrovska 7"/>
        <s v="Dombrovska 9b"/>
        <s v="Vadakstes 20"/>
        <s v="Valdeķu 5"/>
        <s v="Katrīnas d. 5"/>
        <s v="Maskavas 175"/>
        <s v="Mores 7"/>
        <s v="St. Rusas 5"/>
        <s v="Brīvības gatve 312"/>
        <s v="Ropažu 56"/>
        <s v="Bruņinieku 115c"/>
        <s v="Valdemāra 57/59"/>
        <s v="Brīvības gatve 293 a"/>
        <s v="Lāčplēša 43"/>
        <s v="Biķernieku 250"/>
        <s v="Tapešu 2"/>
        <s v="Zirņu 5"/>
        <s v="Glūdas 11"/>
        <s v="Birznieka-Upīša 23"/>
        <s v="Ģertrūdes 127"/>
        <s v="Līdaku 3a"/>
        <s v="Limbažu 2"/>
        <s v="Senču 5"/>
        <s v="Valdeķu 66/1"/>
        <s v="Rostokas 22"/>
        <s v="Atlantijas 67"/>
        <s v="Siguldas pr. 14"/>
        <s v="Viršu 4"/>
        <s v="Matīsa 14"/>
        <s v="Dzirciema 21"/>
        <s v="Brīvības 56"/>
        <s v="Ūnijas 31"/>
        <s v="Cēsu 2"/>
        <s v="Birznieka-Upīša 29"/>
        <s v="Zalves 47"/>
        <s v="Slāvu 13/2"/>
        <s v="Laboratorijas 23"/>
        <s v="Emmas 7"/>
        <s v="Valdeķu 50"/>
        <s v="Gardenes 7"/>
        <s v="Celmu 10"/>
        <s v="Miera 27"/>
        <s v="Ilūkstes 60"/>
        <s v="Ieriķu 36"/>
        <s v="Ilūkstes 54"/>
        <s v="Čaka 130"/>
        <s v="Bauskas 205"/>
        <s v="Valdeķu 1"/>
        <s v="Upeņu 17"/>
        <s v="Maskavas 266"/>
        <s v="Alunāna 6"/>
        <s v="Ganību d. 40a"/>
        <s v="Kristapa 10"/>
        <s v="Kurbada 3b"/>
        <s v="Maskavas 291/2"/>
        <s v="Brīvības iela 162"/>
        <s v="Vidzemes al. 3"/>
        <s v="Briežu 7"/>
        <s v="Tallinas 68"/>
        <s v="Avotu 75"/>
        <s v="Šauļu 1"/>
        <s v="Čaka 54"/>
        <s v="Kurzemes pr. 120"/>
        <s v="Prūšu 3/1"/>
        <s v="Maskavas 259"/>
        <s v="Ozolciema 56 k-2"/>
        <s v="Vaidelotes 19"/>
        <s v="Dammes 17"/>
        <s v="J. Vācieša 12"/>
        <s v="Ūnijas 59"/>
        <s v="Avotu 37"/>
        <s v="Kuldīgas 37a"/>
        <s v="Spilves 35"/>
        <s v="Priežu 14"/>
        <s v="Eizenšteina 45"/>
        <s v="J. Vācieša 10"/>
        <s v="Šampētera 42"/>
        <s v="Maskavas 218"/>
        <s v="Vidus 4"/>
        <s v="Jaunciema 5. šķ. l. 10b"/>
        <s v="Tomsona 24"/>
        <s v="Sapieru 3"/>
        <s v="Valdemāra 147/3"/>
        <s v="Barona 82a"/>
        <s v="Maskavas 423"/>
        <s v="Ozolu 7"/>
        <s v="Ģertrūdes 95a"/>
        <s v="Jūrmalas g. 101"/>
        <s v="Brīvības gatve 334"/>
        <s v="Palangas 12"/>
        <s v="Valguma 31"/>
        <s v="Ledus 4"/>
        <s v="Krustpils 73 k-3"/>
        <s v="Krustpils 73-k-3"/>
        <s v="Maskavas 192"/>
        <s v="Zaubes 5"/>
        <s v="Čaka 67"/>
        <s v="Grostonas 21"/>
        <s v="Deglava 160"/>
        <s v="Zaubes 9a"/>
        <s v="Kristapa 8b"/>
        <s v="Kurzemes pr. 118"/>
        <s v="Lubānas 14"/>
        <s v="Dammes 104"/>
        <s v="Gardenes 5"/>
        <s v="Jūrmalas g. 93"/>
        <s v="Lāčplēša 131"/>
        <s v="Ozolciema 46/1"/>
        <s v="Astras 8 k-1"/>
        <s v="Kastrānes 1-2"/>
        <s v="Vēja 7"/>
        <s v="Zaļā 4"/>
        <s v="Sermuliņu 16"/>
        <s v="Kreslera 1k5"/>
        <s v="Stirnu 35"/>
        <s v="Salnas 5"/>
        <s v="Brīvības iela 169"/>
        <s v="Ozolciema 42"/>
        <s v="Tallinas 85"/>
        <s v="Bruņinieku 73a"/>
        <s v="Jersikas 16"/>
        <s v="Lokomotīves 70a"/>
        <s v="Ieriķu 9a"/>
        <s v="Lokomotīves 78"/>
        <s v="Edžiņa g. 5"/>
        <s v="Raunas 45"/>
        <s v="Ūbeles 5"/>
        <s v="Basu 3a"/>
        <s v="Tērbatas 82a"/>
        <s v="Avotu 15"/>
        <s v="Brīvības 133"/>
        <s v="Zvīņu 1"/>
        <s v="Darba 1"/>
        <s v="Jaunsaules 3a"/>
        <s v="Lidoņu 26"/>
        <s v="Ģertrūdes 61"/>
        <s v="Vaidelotes 24"/>
        <s v="Kalngales 11"/>
        <s v="Vaidavas 15"/>
        <s v="Maskavas 429"/>
        <s v="Vēžu 9"/>
        <s v="Dravnieku 4"/>
        <s v="Nīcgales 31"/>
        <s v="Zentenes 49"/>
        <s v="Gramzdas 19/1"/>
        <s v="Indrānu 14"/>
        <s v="Alunāna 9"/>
        <s v="Katrīnas d. 26"/>
        <s v="Stabu 84"/>
        <s v="Elvīras 13a"/>
        <s v="Birzes 32"/>
        <s v="Čiekurkalna 7. šķ l. 3k2"/>
      </sharedItems>
    </cacheField>
    <cacheField name="rooms">
      <sharedItems containsBlank="1" containsMixedTypes="1" containsNumber="1" containsInteger="1">
        <n v="1.0"/>
        <n v="2.0"/>
        <n v="3.0"/>
        <n v="4.0"/>
        <n v="5.0"/>
        <s v="Citi"/>
        <n v="6.0"/>
        <m/>
      </sharedItems>
    </cacheField>
    <cacheField name="area" numFmtId="0">
      <sharedItems containsSemiMixedTypes="0" containsString="0" containsNumber="1">
        <n v="27.0"/>
        <n v="50.0"/>
        <n v="33.0"/>
        <n v="76.0"/>
        <n v="40.0"/>
        <n v="37.0"/>
        <n v="49.0"/>
        <n v="48.0"/>
        <n v="45.0"/>
        <n v="46.0"/>
        <n v="58.0"/>
        <n v="60.0"/>
        <n v="36.0"/>
        <n v="44.0"/>
        <n v="62.0"/>
        <n v="26.0"/>
        <n v="56.0"/>
        <n v="34.0"/>
        <n v="78.0"/>
        <n v="42.0"/>
        <n v="35.0"/>
        <n v="29.0"/>
        <n v="55.0"/>
        <n v="43.0"/>
        <n v="86.0"/>
        <n v="85.0"/>
        <n v="79.0"/>
        <n v="38.0"/>
        <n v="91.0"/>
        <n v="96.0"/>
        <n v="53.0"/>
        <n v="68.0"/>
        <n v="32.0"/>
        <n v="83.0"/>
        <n v="17.5"/>
        <n v="24.0"/>
        <n v="75.0"/>
        <n v="31.0"/>
        <n v="41.0"/>
        <n v="47.0"/>
        <n v="144.0"/>
        <n v="25.0"/>
        <n v="18.0"/>
        <n v="67.0"/>
        <n v="30.0"/>
        <n v="41.77"/>
        <n v="77.0"/>
        <n v="20.0"/>
        <n v="63.0"/>
        <n v="88.0"/>
        <n v="61.0"/>
        <n v="82.0"/>
        <n v="150.0"/>
        <n v="64.0"/>
        <n v="28.0"/>
        <n v="104.0"/>
        <n v="45.6"/>
        <n v="39.0"/>
        <n v="95.0"/>
        <n v="21.0"/>
        <n v="22.0"/>
        <n v="57.0"/>
        <n v="29.6"/>
        <n v="51.0"/>
        <n v="138.0"/>
        <n v="98.0"/>
        <n v="54.0"/>
        <n v="93.0"/>
        <n v="70.0"/>
        <n v="65.0"/>
        <n v="223.0"/>
        <n v="52.0"/>
        <n v="23.0"/>
        <n v="74.0"/>
        <n v="113.0"/>
        <n v="97.0"/>
        <n v="63.2"/>
        <n v="13.0"/>
        <n v="114.0"/>
        <n v="66.0"/>
        <n v="14.0"/>
        <n v="17.0"/>
        <n v="19.0"/>
        <n v="84.0"/>
        <n v="145.0"/>
        <n v="59.0"/>
        <n v="99.0"/>
        <n v="12.0"/>
        <n v="73.0"/>
        <n v="125.0"/>
        <n v="142.0"/>
        <n v="300.0"/>
        <n v="109.0"/>
        <n v="80.0"/>
        <n v="250.0"/>
        <n v="72.4"/>
        <n v="167.0"/>
        <n v="71.0"/>
        <n v="176.0"/>
        <n v="170.0"/>
        <n v="15.0"/>
        <n v="34.8"/>
        <n v="40.3"/>
        <n v="140.0"/>
        <n v="94.0"/>
        <n v="105.0"/>
        <n v="287.0"/>
        <n v="90.0"/>
        <n v="89.0"/>
        <n v="117.0"/>
        <n v="107.0"/>
        <n v="137.0"/>
        <n v="118.0"/>
        <n v="101.0"/>
        <n v="139.0"/>
        <n v="217.0"/>
        <n v="100.0"/>
        <n v="102.0"/>
        <n v="106.0"/>
        <n v="72.0"/>
        <n v="190.0"/>
        <n v="210.0"/>
        <n v="130.0"/>
        <n v="169.9"/>
        <n v="247.0"/>
        <n v="164.0"/>
        <n v="330.0"/>
        <n v="132.0"/>
        <n v="168.0"/>
        <n v="184.0"/>
        <n v="73.8"/>
        <n v="122.0"/>
        <n v="135.0"/>
        <n v="200.0"/>
        <n v="225.0"/>
        <n v="120.0"/>
        <n v="58.3"/>
        <n v="71.7"/>
        <n v="81.0"/>
        <n v="96.1"/>
        <n v="75.5"/>
        <n v="110.0"/>
        <n v="16.0"/>
        <n v="112.0"/>
        <n v="74.2"/>
        <n v="38.5"/>
        <n v="46.5"/>
        <n v="108.0"/>
        <n v="171.0"/>
        <n v="35.6"/>
        <n v="38.2"/>
        <n v="36.6"/>
        <n v="111.4"/>
        <n v="41.9"/>
        <n v="10.0"/>
        <n v="87.0"/>
        <n v="154.0"/>
        <n v="92.0"/>
        <n v="71.6"/>
        <n v="146.0"/>
        <n v="64.2"/>
        <n v="207.0"/>
        <n v="52.1"/>
        <n v="148.0"/>
        <n v="36.2"/>
        <n v="116.0"/>
        <n v="69.0"/>
        <n v="155.0"/>
        <n v="131.0"/>
        <n v="161.0"/>
        <n v="181.0"/>
        <n v="65.5"/>
        <n v="79.4"/>
        <n v="128.0"/>
        <n v="52.4"/>
        <n v="42.3"/>
        <n v="127.0"/>
        <n v="111.3"/>
        <n v="142.4"/>
        <n v="160.0"/>
        <n v="149.0"/>
        <n v="81.8"/>
        <n v="214.0"/>
        <n v="124.0"/>
        <n v="141.0"/>
        <n v="172.0"/>
        <n v="103.0"/>
        <n v="88.4"/>
        <n v="216.0"/>
        <n v="126.0"/>
        <n v="119.0"/>
        <n v="293.0"/>
        <n v="123.0"/>
        <n v="115.0"/>
        <n v="208.0"/>
        <n v="153.0"/>
        <n v="27.1"/>
        <n v="133.0"/>
        <n v="53.5"/>
        <n v="37.6"/>
        <n v="83.3"/>
        <n v="8.0"/>
        <n v="110.5"/>
        <n v="152.0"/>
        <n v="69.2"/>
        <n v="68.74"/>
        <n v="189.0"/>
        <n v="180.0"/>
        <n v="88.1"/>
        <n v="110.9"/>
        <n v="228.0"/>
        <n v="60.47"/>
        <n v="101.9"/>
        <n v="66.5"/>
        <n v="226.0"/>
        <n v="121.0"/>
        <n v="230.0"/>
        <n v="178.0"/>
        <n v="56.6"/>
        <n v="50.2"/>
        <n v="165.0"/>
        <n v="202.0"/>
        <n v="68.2"/>
        <n v="98.9"/>
        <n v="136.0"/>
        <n v="134.0"/>
        <n v="89.7"/>
        <n v="115.4"/>
        <n v="76.2"/>
        <n v="169.0"/>
        <n v="199.0"/>
        <n v="207.4"/>
        <n v="188.0"/>
        <n v="81.3"/>
        <n v="44.6"/>
        <n v="5.0"/>
        <n v="143.0"/>
        <n v="195.0"/>
        <n v="75.9"/>
        <n v="27.5"/>
        <n v="52.3"/>
        <n v="74.4"/>
        <n v="220.0"/>
        <n v="175.0"/>
        <n v="51.1"/>
        <n v="290.0"/>
        <n v="129.0"/>
        <n v="45.2"/>
        <n v="236.0"/>
        <n v="427.0"/>
        <n v="33.7"/>
        <n v="19.77"/>
        <n v="141.01"/>
        <n v="160.1"/>
        <n v="166.0"/>
        <n v="294.0"/>
        <n v="159.0"/>
        <n v="158.0"/>
        <n v="88.2"/>
        <n v="67.2"/>
        <n v="77.6"/>
        <n v="37.4"/>
        <n v="79.8"/>
        <n v="107.5"/>
        <n v="19.21"/>
        <n v="31.88"/>
        <n v="31.52"/>
        <n v="23.82"/>
        <n v="45.4"/>
        <n v="89.3"/>
        <n v="89.6"/>
        <n v="67.1"/>
        <n v="59.8"/>
        <n v="104.5"/>
        <n v="57.64"/>
        <n v="77.7"/>
        <n v="60.2"/>
        <n v="51.9"/>
        <n v="179.0"/>
        <n v="91.8"/>
        <n v="89.5"/>
        <n v="173.0"/>
        <n v="97.1"/>
        <n v="187.0"/>
        <n v="48.96"/>
        <n v="78.3"/>
        <n v="224.0"/>
        <n v="40.83"/>
        <n v="64.5"/>
        <n v="130.4"/>
        <n v="31.6"/>
        <n v="49.2"/>
        <n v="26.4"/>
        <n v="76.9"/>
        <n v="130.6"/>
        <n v="68.1"/>
        <n v="192.0"/>
        <n v="111.2"/>
        <n v="52.2"/>
        <n v="58.8"/>
        <n v="41.15"/>
        <n v="62.3"/>
        <n v="47.26"/>
        <n v="59.7"/>
        <n v="30.36"/>
        <n v="49.6"/>
        <n v="56.1"/>
        <n v="70.6"/>
        <n v="56.2"/>
        <n v="102.7"/>
        <n v="80.8"/>
        <n v="76.6"/>
        <n v="43.4"/>
        <n v="48.4"/>
        <n v="15.8"/>
        <n v="34.5"/>
        <n v="48.3"/>
        <n v="53.1"/>
        <n v="204.0"/>
        <n v="27.27"/>
        <n v="26.12"/>
        <n v="151.0"/>
        <n v="260.0"/>
        <n v="235.0"/>
        <n v="245.0"/>
        <n v="64.26"/>
        <n v="39.3"/>
        <n v="26.2"/>
        <n v="73.4"/>
        <n v="51.6"/>
        <n v="76.37"/>
      </sharedItems>
    </cacheField>
    <cacheField name="floor" numFmtId="0">
      <sharedItems containsSemiMixedTypes="0" containsString="0" containsNumber="1" containsInteger="1">
        <n v="3.0"/>
        <n v="7.0"/>
        <n v="1.0"/>
        <n v="5.0"/>
        <n v="2.0"/>
        <n v="4.0"/>
        <n v="9.0"/>
        <n v="6.0"/>
        <n v="8.0"/>
        <n v="12.0"/>
        <n v="11.0"/>
        <n v="10.0"/>
        <n v="18.0"/>
        <n v="15.0"/>
        <n v="21.0"/>
        <n v="24.0"/>
        <n v="13.0"/>
        <n v="16.0"/>
        <n v="23.0"/>
        <n v="14.0"/>
        <n v="17.0"/>
        <n v="20.0"/>
      </sharedItems>
    </cacheField>
    <cacheField name="total_floors" numFmtId="0">
      <sharedItems containsSemiMixedTypes="0" containsString="0" containsNumber="1" containsInteger="1">
        <n v="5.0"/>
        <n v="9.0"/>
        <n v="2.0"/>
        <n v="12.0"/>
        <n v="6.0"/>
        <n v="4.0"/>
        <n v="3.0"/>
        <n v="8.0"/>
        <n v="7.0"/>
        <n v="10.0"/>
        <n v="11.0"/>
        <n v="17.0"/>
        <n v="24.0"/>
        <n v="1.0"/>
        <n v="16.0"/>
        <n v="23.0"/>
        <n v="30.0"/>
        <n v="18.0"/>
        <n v="15.0"/>
        <n v="25.0"/>
        <n v="14.0"/>
        <n v="29.0"/>
        <n v="13.0"/>
        <n v="22.0"/>
        <n v="27.0"/>
      </sharedItems>
    </cacheField>
    <cacheField name="house_seria">
      <sharedItems containsMixedTypes="1" containsNumber="1" containsInteger="1">
        <s v="LT proj."/>
        <n v="602.0"/>
        <s v="P. kara"/>
        <s v="Jaun."/>
        <s v="Specpr."/>
        <s v="Hrušč."/>
        <n v="119.0"/>
        <s v="M. ģim."/>
        <s v="Renov."/>
        <n v="103.0"/>
        <s v="Priv. m."/>
        <n v="467.0"/>
        <s v="Staļina"/>
        <n v="104.0"/>
        <s v="Čehu pr."/>
      </sharedItems>
    </cacheField>
    <cacheField name="house_type" numFmtId="0">
      <sharedItems>
        <s v="Brick-Panel"/>
        <s v="Panel"/>
        <s v="Wood"/>
        <s v="Masonry"/>
        <s v="Brick"/>
        <s v="Panel-Brick"/>
      </sharedItems>
    </cacheField>
    <cacheField name="condition" numFmtId="0">
      <sharedItems>
        <s v="All amenities"/>
        <s v="Partial amenities"/>
        <s v="Without amenities"/>
      </sharedItems>
    </cacheField>
    <cacheField name="price" numFmtId="0">
      <sharedItems containsSemiMixedTypes="0" containsString="0" containsNumber="1" containsInteger="1">
        <n v="250.0"/>
        <n v="300.0"/>
        <n v="13500.0"/>
        <n v="34000.0"/>
        <n v="490.0"/>
        <n v="440.0"/>
        <n v="31000.0"/>
        <n v="240.0"/>
        <n v="400.0"/>
        <n v="360.0"/>
        <n v="39999.0"/>
        <n v="50000.0"/>
        <n v="53000.0"/>
        <n v="48000.0"/>
        <n v="38500.0"/>
        <n v="46000.0"/>
        <n v="54900.0"/>
        <n v="56500.0"/>
        <n v="52500.0"/>
        <n v="260.0"/>
        <n v="39000.0"/>
        <n v="395.0"/>
        <n v="350.0"/>
        <n v="345.0"/>
        <n v="210.0"/>
        <n v="91000.0"/>
        <n v="45900.0"/>
        <n v="37000.0"/>
        <n v="580.0"/>
        <n v="120000.0"/>
        <n v="320.0"/>
        <n v="43000.0"/>
        <n v="25.0"/>
        <n v="1200.0"/>
        <n v="600.0"/>
        <n v="170000.0"/>
        <n v="85000.0"/>
        <n v="40000.0"/>
        <n v="39.0"/>
        <n v="235.0"/>
        <n v="280.0"/>
        <n v="430.0"/>
        <n v="290.0"/>
        <n v="220.0"/>
        <n v="450.0"/>
        <n v="245.0"/>
        <n v="150000.0"/>
        <n v="100000.0"/>
        <n v="270.0"/>
        <n v="105000.0"/>
        <n v="33000.0"/>
        <n v="27500.0"/>
        <n v="27890.0"/>
        <n v="9890.0"/>
        <n v="41000.0"/>
        <n v="255.0"/>
        <n v="44000.0"/>
        <n v="6790.0"/>
        <n v="72000.0"/>
        <n v="29.0"/>
        <n v="45500.0"/>
        <n v="74800.0"/>
        <n v="25000.0"/>
        <n v="230.0"/>
        <n v="295.0"/>
        <n v="31900.0"/>
        <n v="750.0"/>
        <n v="900.0"/>
        <n v="57500.0"/>
        <n v="330.0"/>
        <n v="700.0"/>
        <n v="88000.0"/>
        <n v="89000.0"/>
        <n v="130000.0"/>
        <n v="63000.0"/>
        <n v="47000.0"/>
        <n v="49000.0"/>
        <n v="890.0"/>
        <n v="60000.0"/>
        <n v="35400.0"/>
        <n v="65000.0"/>
        <n v="43500.0"/>
        <n v="50.0"/>
        <n v="340.0"/>
        <n v="98000.0"/>
        <n v="35000.0"/>
        <n v="59500.0"/>
        <n v="74900.0"/>
        <n v="1700.0"/>
        <n v="75000.0"/>
        <n v="59000.0"/>
        <n v="51500.0"/>
        <n v="110000.0"/>
        <n v="95000.0"/>
        <n v="71000.0"/>
        <n v="42000.0"/>
        <n v="990.0"/>
        <n v="69950.0"/>
        <n v="315.0"/>
        <n v="70000.0"/>
        <n v="22000.0"/>
        <n v="500.0"/>
        <n v="49800.0"/>
        <n v="850.0"/>
        <n v="275.0"/>
        <n v="78800.0"/>
        <n v="190.0"/>
        <n v="275000.0"/>
        <n v="200.0"/>
        <n v="78000.0"/>
        <n v="1100.0"/>
        <n v="390.0"/>
        <n v="27.0"/>
        <n v="550.0"/>
        <n v="465.0"/>
        <n v="155000.0"/>
        <n v="58000.0"/>
        <n v="75900.0"/>
        <n v="94000.0"/>
        <n v="93150.0"/>
        <n v="117000.0"/>
        <n v="87000.0"/>
        <n v="265.0"/>
        <n v="22500.0"/>
        <n v="1000.0"/>
        <n v="79800.0"/>
        <n v="950.0"/>
        <n v="55499.0"/>
        <n v="49200.0"/>
        <n v="92750.0"/>
        <n v="141375.0"/>
        <n v="159732.0"/>
        <n v="30500.0"/>
        <n v="164320.0"/>
        <n v="79500.0"/>
        <n v="12500.0"/>
        <n v="30000.0"/>
        <n v="45000.0"/>
        <n v="199.0"/>
        <n v="51300.0"/>
        <n v="30.0"/>
        <n v="480.0"/>
        <n v="44900.0"/>
        <n v="61000.0"/>
        <n v="120.0"/>
        <n v="11700.0"/>
        <n v="44300.0"/>
        <n v="38000.0"/>
        <n v="32500.0"/>
        <n v="32000.0"/>
        <n v="10000.0"/>
        <n v="670.0"/>
        <n v="73000.0"/>
        <n v="34900.0"/>
        <n v="145000.0"/>
        <n v="220000.0"/>
        <n v="58500.0"/>
        <n v="29800.0"/>
        <n v="195.0"/>
        <n v="34980.0"/>
        <n v="410.0"/>
        <n v="192.0"/>
        <n v="52000.0"/>
        <n v="53500.0"/>
        <n v="115.0"/>
        <n v="180.0"/>
        <n v="735.0"/>
        <n v="199000.0"/>
        <n v="147000.0"/>
        <n v="135000.0"/>
        <n v="90000.0"/>
        <n v="210000.0"/>
        <n v="1450.0"/>
        <n v="83800.0"/>
        <n v="320000.0"/>
        <n v="2500.0"/>
        <n v="141000.0"/>
        <n v="80000.0"/>
        <n v="19999.0"/>
        <n v="29999.0"/>
        <n v="55.0"/>
        <n v="159750.0"/>
        <n v="650.0"/>
        <n v="164000.0"/>
        <n v="41700.0"/>
        <n v="168000.0"/>
        <n v="270000.0"/>
        <n v="148000.0"/>
        <n v="150.0"/>
        <n v="70.0"/>
        <n v="107000.0"/>
        <n v="185300.0"/>
        <n v="99875.0"/>
        <n v="79000.0"/>
        <n v="69000.0"/>
        <n v="55000.0"/>
        <n v="82500.0"/>
        <n v="49500.0"/>
        <n v="49900.0"/>
        <n v="62000.0"/>
        <n v="520.0"/>
        <n v="115000.0"/>
        <n v="23000.0"/>
        <n v="129360.0"/>
        <n v="298544.0"/>
        <n v="43956.0"/>
        <n v="37500.0"/>
        <n v="87961.0"/>
        <n v="470.0"/>
        <n v="140.0"/>
        <n v="14500.0"/>
        <n v="41900.0"/>
        <n v="380.0"/>
        <n v="46200.0"/>
        <n v="40700.0"/>
        <n v="59990.0"/>
        <n v="56800.0"/>
        <n v="82000.0"/>
        <n v="425.0"/>
        <n v="8100.0"/>
        <n v="265000.0"/>
        <n v="36000.0"/>
        <n v="420.0"/>
        <n v="228000.0"/>
        <n v="149000.0"/>
        <n v="630.0"/>
        <n v="67000.0"/>
        <n v="29790.0"/>
        <n v="102000.0"/>
        <n v="67500.0"/>
        <n v="12980.0"/>
        <n v="7380.0"/>
        <n v="11590.0"/>
        <n v="14690.0"/>
        <n v="5360.0"/>
        <n v="26500.0"/>
        <n v="24890.0"/>
        <n v="6490.0"/>
        <n v="18900.0"/>
        <n v="125.0"/>
        <n v="259000.0"/>
        <n v="104370.0"/>
        <n v="54500.0"/>
        <n v="59900.0"/>
        <n v="175000.0"/>
        <n v="14980.0"/>
        <n v="15890.0"/>
        <n v="12890.0"/>
        <n v="9870.0"/>
        <n v="10890.0"/>
        <n v="250000.0"/>
        <n v="492560.0"/>
        <n v="129000.0"/>
        <n v="160.0"/>
        <n v="215.0"/>
        <n v="285.0"/>
        <n v="42500.0"/>
        <n v="100.0"/>
        <n v="175.0"/>
        <n v="12000.0"/>
        <n v="54000.0"/>
        <n v="109000.0"/>
        <n v="128000.0"/>
        <n v="104000.0"/>
        <n v="28000.0"/>
        <n v="185000.0"/>
        <n v="399990.0"/>
        <n v="269990.0"/>
        <n v="474990.0"/>
        <n v="209990.0"/>
        <n v="310800.0"/>
        <n v="39900.0"/>
        <n v="172000.0"/>
        <n v="68000.0"/>
        <n v="47800.0"/>
        <n v="109500.0"/>
        <n v="262000.0"/>
        <n v="258000.0"/>
        <n v="165.0"/>
        <n v="820.0"/>
        <n v="145350.0"/>
        <n v="169070.0"/>
        <n v="310.0"/>
        <n v="60.0"/>
        <n v="299000.0"/>
        <n v="64500.0"/>
        <n v="72300.0"/>
        <n v="58300.0"/>
        <n v="35.0"/>
        <n v="350000.0"/>
        <n v="370.0"/>
        <n v="71915.0"/>
        <n v="112000.0"/>
        <n v="28990.0"/>
        <n v="200000.0"/>
        <n v="129500.0"/>
        <n v="39500.0"/>
        <n v="77950.0"/>
        <n v="110600.0"/>
        <n v="17.0"/>
        <n v="43300.0"/>
        <n v="225000.0"/>
        <n v="92800.0"/>
        <n v="57800.0"/>
        <n v="1050.0"/>
        <n v="43900.0"/>
        <n v="68500.0"/>
        <n v="64480.0"/>
        <n v="590.0"/>
        <n v="38999.0"/>
        <n v="74500.0"/>
        <n v="53900.0"/>
        <n v="690.0"/>
        <n v="99029.0"/>
        <n v="124000.0"/>
        <n v="81400.0"/>
        <n v="60500.0"/>
        <n v="169000.0"/>
        <n v="385000.0"/>
        <n v="118000.0"/>
        <n v="7900.0"/>
        <n v="19900.0"/>
        <n v="89900.0"/>
        <n v="11800.0"/>
        <n v="130.0"/>
        <n v="43999.0"/>
        <n v="36900.0"/>
        <n v="32900.0"/>
        <n v="155.0"/>
        <n v="81900.0"/>
        <n v="170.0"/>
        <n v="86000.0"/>
        <n v="165000.0"/>
        <n v="27800.0"/>
        <n v="77900.0"/>
        <n v="42900.0"/>
        <n v="164500.0"/>
        <n v="54300.0"/>
        <n v="725.0"/>
        <n v="62500.0"/>
        <n v="26.0"/>
        <n v="24700.0"/>
        <n v="19.0"/>
        <n v="132000.0"/>
        <n v="35500.0"/>
        <n v="76000.0"/>
        <n v="27000.0"/>
        <n v="142000.0"/>
        <n v="800.0"/>
        <n v="102480.0"/>
        <n v="11000.0"/>
        <n v="66000.0"/>
        <n v="20700.0"/>
        <n v="119000.0"/>
        <n v="333000.0"/>
        <n v="97010.0"/>
        <n v="53800.0"/>
        <n v="27900.0"/>
        <n v="69900.0"/>
        <n v="51000.0"/>
        <n v="18000.0"/>
        <n v="73900.0"/>
        <n v="59700.0"/>
        <n v="58900.0"/>
        <n v="95800.0"/>
        <n v="135.0"/>
        <n v="198223.0"/>
        <n v="130300.0"/>
        <n v="15500.0"/>
        <n v="152475.0"/>
        <n v="43.0"/>
        <n v="17900.0"/>
        <n v="103000.0"/>
        <n v="92990.0"/>
        <n v="49990.0"/>
        <n v="48300.0"/>
        <n v="61990.0"/>
        <n v="51990.0"/>
        <n v="50990.0"/>
        <n v="124990.0"/>
        <n v="139990.0"/>
        <n v="32700.0"/>
        <n v="37900.0"/>
        <n v="55300.0"/>
        <n v="64000.0"/>
        <n v="46700.0"/>
        <n v="18800.0"/>
        <n v="48285.0"/>
        <n v="96000.0"/>
        <n v="69600.0"/>
        <n v="72495.0"/>
        <n v="199500.0"/>
        <n v="15999.0"/>
        <n v="760.0"/>
        <n v="1800.0"/>
        <n v="1600.0"/>
        <n v="76494.0"/>
        <n v="108000.0"/>
        <n v="44988.0"/>
        <n v="434000.0"/>
        <n v="2200.0"/>
        <n v="73500.0"/>
        <n v="97000.0"/>
        <n v="33550.0"/>
        <n v="21990.0"/>
        <n v="101525.0"/>
        <n v="153500.0"/>
        <n v="164900.0"/>
        <n v="218000.0"/>
        <n v="61500.0"/>
        <n v="26000.0"/>
        <n v="65500.0"/>
        <n v="198000.0"/>
        <n v="144000.0"/>
        <n v="92700.0"/>
        <n v="127500.0"/>
        <n v="230000.0"/>
        <n v="33500.0"/>
        <n v="34450.0"/>
        <n v="139000.0"/>
        <n v="51900.0"/>
        <n v="1350.0"/>
        <n v="57850.0"/>
        <n v="17500.0"/>
        <n v="628.0"/>
        <n v="300000.0"/>
        <n v="153000.0"/>
        <n v="84000.0"/>
        <n v="41500.0"/>
        <n v="680.0"/>
        <n v="89100.0"/>
        <n v="76800.0"/>
        <n v="34500.0"/>
        <n v="74000.0"/>
        <n v="710.0"/>
        <n v="49.0"/>
        <n v="400000.0"/>
        <n v="560.0"/>
        <n v="86460.0"/>
        <n v="178200.0"/>
        <n v="72600.0"/>
        <n v="460.0"/>
        <n v="56999.0"/>
        <n v="105850.0"/>
        <n v="1500.0"/>
        <n v="17000.0"/>
        <n v="58200.0"/>
        <n v="125000.0"/>
        <n v="260000.0"/>
        <n v="116000.0"/>
        <n v="525.0"/>
        <n v="72700.0"/>
        <n v="24750.0"/>
        <n v="27300.0"/>
        <n v="79580.0"/>
        <n v="19500.0"/>
        <n v="439000.0"/>
        <n v="105100.0"/>
        <n v="162000.0"/>
        <n v="28800.0"/>
        <n v="27990.0"/>
        <n v="40800.0"/>
        <n v="190000.0"/>
        <n v="54990.0"/>
        <n v="199950.0"/>
        <n v="247000.0"/>
        <n v="110.0"/>
        <n v="618995.0"/>
        <n v="450000.0"/>
        <n v="268000.0"/>
        <n v="279000.0"/>
        <n v="156000.0"/>
        <n v="240000.0"/>
        <n v="330000.0"/>
        <n v="152966.0"/>
        <n v="165308.0"/>
        <n v="225.0"/>
        <n v="7500.0"/>
        <n v="78950.0"/>
        <n v="36750.0"/>
        <n v="216000.0"/>
        <n v="44500.0"/>
        <n v="273000.0"/>
        <n v="14900.0"/>
        <n v="88600.0"/>
        <n v="5000.0"/>
        <n v="85500.0"/>
        <n v="99900.0"/>
        <n v="127000.0"/>
        <n v="38300.0"/>
        <n v="35800.0"/>
        <n v="45200.0"/>
        <n v="298500.0"/>
        <n v="1150.0"/>
        <n v="89500.0"/>
        <n v="158000.0"/>
        <n v="195000.0"/>
        <n v="75200.0"/>
        <n v="138000.0"/>
        <n v="160000.0"/>
        <n v="1300.0"/>
        <n v="272600.0"/>
        <n v="1400.0"/>
        <n v="53550.0"/>
        <n v="134000.0"/>
        <n v="180000.0"/>
        <n v="38700.0"/>
        <n v="660.0"/>
        <n v="24000.0"/>
        <n v="189805.0"/>
        <n v="299.0"/>
        <n v="42999.0"/>
        <n v="29600.0"/>
        <n v="18500.0"/>
        <n v="209000.0"/>
        <n v="375.0"/>
        <n v="104949.0"/>
        <n v="133722.0"/>
        <n v="87365.0"/>
        <n v="130203.0"/>
        <n v="130985.0"/>
        <n v="79502.0"/>
        <n v="101200.0"/>
        <n v="259737.0"/>
        <n v="101693.0"/>
        <n v="143000.0"/>
        <n v="140000.0"/>
        <n v="46900.0"/>
        <n v="71100.0"/>
        <n v="324.0"/>
        <n v="133280.0"/>
        <n v="98900.0"/>
        <n v="57000.0"/>
        <n v="6900.0"/>
        <n v="36500.0"/>
        <n v="58905.0"/>
        <n v="36400.0"/>
        <n v="79999.0"/>
        <n v="75708.0"/>
        <n v="114900.0"/>
        <n v="59.0"/>
        <n v="119800.0"/>
        <n v="335.0"/>
        <n v="46400.0"/>
        <n v="46800.0"/>
        <n v="20500.0"/>
        <n v="106100.0"/>
        <n v="137000.0"/>
        <n v="13000.0"/>
        <n v="114000.0"/>
        <n v="32.0"/>
        <n v="15.0"/>
        <n v="15000.0"/>
        <n v="197000.0"/>
        <n v="113500.0"/>
        <n v="85900.0"/>
        <n v="38406.0"/>
        <n v="44.0"/>
        <n v="47500.0"/>
        <n v="10400.0"/>
        <n v="81184.0"/>
        <n v="64900.0"/>
        <n v="149810.0"/>
        <n v="96390.0"/>
        <n v="205000.0"/>
        <n v="121000.0"/>
        <n v="40.0"/>
        <n v="55900.0"/>
        <n v="62800.0"/>
        <n v="21900.0"/>
        <n v="5.0"/>
        <n v="179800.0"/>
        <n v="83000.0"/>
        <n v="99000.0"/>
        <n v="107500.0"/>
        <n v="365000.0"/>
        <n v="151000.0"/>
        <n v="110500.0"/>
        <n v="71300.0"/>
        <n v="58800.0"/>
        <n v="31300.0"/>
        <n v="77000.0"/>
        <n v="340000.0"/>
        <n v="12800.0"/>
        <n v="179000.0"/>
        <n v="315000.0"/>
        <n v="6890.0"/>
        <n v="9490.0"/>
        <n v="192000.0"/>
        <n v="1370.0"/>
        <n v="229000.0"/>
        <n v="130500.0"/>
        <n v="345000.0"/>
        <n v="445000.0"/>
        <n v="110625.0"/>
        <n v="189950.0"/>
        <n v="21000.0"/>
        <n v="49850.0"/>
        <n v="63350.0"/>
        <n v="16800.0"/>
        <n v="33800.0"/>
        <n v="63800.0"/>
        <n v="24500.0"/>
        <n v="1475.0"/>
        <n v="295000.0"/>
        <n v="111980.0"/>
        <n v="68540.0"/>
        <n v="164800.0"/>
        <n v="73400.0"/>
        <n v="205700.0"/>
        <n v="79900.0"/>
        <n v="83100.0"/>
        <n v="40500.0"/>
        <n v="93000.0"/>
        <n v="59800.0"/>
        <n v="30800.0"/>
        <n v="139900.0"/>
        <n v="430000.0"/>
        <n v="47700.0"/>
        <n v="57600.0"/>
        <n v="130180.0"/>
        <n v="169900.0"/>
        <n v="43400.0"/>
        <n v="215000.0"/>
        <n v="65800.0"/>
        <n v="325000.0"/>
        <n v="780.0"/>
        <n v="166000.0"/>
        <n v="131000.0"/>
        <n v="54991.0"/>
        <n v="106000.0"/>
        <n v="64955.0"/>
        <n v="231000.0"/>
        <n v="237000.0"/>
        <n v="1780.0"/>
        <n v="63500.0"/>
        <n v="43700.0"/>
        <n v="60900.0"/>
        <n v="76372.0"/>
        <n v="39990.0"/>
        <n v="124900.0"/>
        <n v="99703.0"/>
        <n v="331000.0"/>
        <n v="39800.0"/>
        <n v="52900.0"/>
        <n v="101000.0"/>
        <n v="88500.0"/>
        <n v="20.0"/>
        <n v="146000.0"/>
        <n v="184000.0"/>
        <n v="44800.0"/>
        <n v="620.0"/>
        <n v="178500.0"/>
        <n v="290000.0"/>
        <n v="252000.0"/>
        <n v="274000.0"/>
        <n v="157000.0"/>
        <n v="14000.0"/>
        <n v="288888.0"/>
        <n v="85.0"/>
        <n v="267960.0"/>
        <n v="167000.0"/>
        <n v="59600.0"/>
        <n v="211000.0"/>
        <n v="109900.0"/>
        <n v="2600.0"/>
        <n v="220500.0"/>
        <n v="127700.0"/>
        <n v="399000.0"/>
        <n v="2000.0"/>
        <n v="29000.0"/>
        <n v="420000.0"/>
        <n v="498000.0"/>
        <n v="224500.0"/>
        <n v="95777.0"/>
        <n v="8700.0"/>
        <n v="122000.0"/>
        <n v="199400.0"/>
        <n v="81000.0"/>
        <n v="73990.0"/>
        <n v="87990.0"/>
        <n v="64990.0"/>
        <n v="43990.0"/>
        <n v="41442.0"/>
        <n v="58990.0"/>
        <n v="84990.0"/>
        <n v="49400.0"/>
        <n v="11900.0"/>
        <n v="19000.0"/>
        <n v="45.0"/>
        <n v="144200.0"/>
        <n v="31500.0"/>
        <n v="41800.0"/>
        <n v="5500.0"/>
        <n v="596000.0"/>
        <n v="29500.0"/>
        <n v="185.0"/>
        <n v="540.0"/>
        <n v="14700.0"/>
        <n v="152800.0"/>
        <n v="255000.0"/>
        <n v="162100.0"/>
        <n v="123000.0"/>
        <n v="159000.0"/>
        <n v="45300.0"/>
        <n v="89999.0"/>
        <n v="76999.0"/>
        <n v="325.0"/>
        <n v="133000.0"/>
        <n v="55500.0"/>
        <n v="126400.0"/>
        <n v="84300.0"/>
        <n v="36300.0"/>
        <n v="995.0"/>
        <n v="49980.0"/>
        <n v="23.0"/>
        <n v="17750.0"/>
        <n v="18700.0"/>
        <n v="92000.0"/>
        <n v="24900.0"/>
        <n v="13700.0"/>
        <n v="45700.0"/>
        <n v="44200.0"/>
        <n v="28880.0"/>
        <n v="113000.0"/>
        <n v="268800.0"/>
        <n v="16500.0"/>
        <n v="21500.0"/>
        <n v="35900.0"/>
        <n v="219.0"/>
        <n v="135600.0"/>
        <n v="34300.0"/>
        <n v="67990.0"/>
        <n v="44990.0"/>
        <n v="69990.0"/>
        <n v="10950.0"/>
        <n v="25900.0"/>
        <n v="310000.0"/>
        <n v="125999.0"/>
        <n v="149500.0"/>
        <n v="590000.0"/>
        <n v="136000.0"/>
        <n v="550000.0"/>
        <n v="52832.0"/>
        <n v="375000.0"/>
        <n v="8200.0"/>
        <n v="2900.0"/>
        <n v="3500.0"/>
        <n v="830.0"/>
        <n v="112183.0"/>
        <n v="103730.0"/>
        <n v="198960.0"/>
        <n v="495000.0"/>
        <n v="68800.0"/>
        <n v="6800.0"/>
        <n v="83500.0"/>
        <n v="91900.0"/>
        <n v="99500.0"/>
        <n v="68900.0"/>
        <n v="7490.0"/>
        <n v="17690.0"/>
        <n v="65200.0"/>
        <n v="395000.0"/>
        <n v="87500.0"/>
        <n v="255715.0"/>
        <n v="183677.0"/>
        <n v="187660.0"/>
        <n v="140070.0"/>
        <n v="30750.0"/>
        <n v="168800.0"/>
        <n v="99600.0"/>
        <n v="115794.0"/>
        <n v="575000.0"/>
        <n v="29950.0"/>
        <n v="48500.0"/>
        <n v="33400.0"/>
        <n v="55990.0"/>
        <n v="33700.0"/>
        <n v="123500.0"/>
        <n v="66500.0"/>
        <n v="7300.0"/>
        <n v="112200.0"/>
        <n v="99840.0"/>
        <n v="126000.0"/>
        <n v="68842.0"/>
        <n v="205920.0"/>
        <n v="193000.0"/>
        <n v="141910.0"/>
        <n v="145.0"/>
        <n v="42990.0"/>
        <n v="33150.0"/>
        <n v="25450.0"/>
        <n v="82830.0"/>
        <n v="53245.0"/>
        <n v="64975.0"/>
        <n v="148799.0"/>
        <n v="103500.0"/>
        <n v="15600.0"/>
        <n v="10110.0"/>
        <n v="101500.0"/>
        <n v="28900.0"/>
        <n v="10500.0"/>
        <n v="71500.0"/>
        <n v="99899.0"/>
        <n v="110250.0"/>
        <n v="166840.0"/>
        <n v="575.0"/>
        <n v="43770.0"/>
        <n v="129900.0"/>
        <n v="52100.0"/>
        <n v="46500.0"/>
        <n v="62999.0"/>
        <n v="27450.0"/>
        <n v="28400.0"/>
        <n v="163000.0"/>
        <n v="34999.0"/>
        <n v="176000.0"/>
        <n v="48900.0"/>
        <n v="12700.0"/>
        <n v="141400.0"/>
        <n v="164373.0"/>
        <n v="149226.0"/>
        <n v="170871.0"/>
        <n v="206000.0"/>
        <n v="7890.0"/>
        <n v="18890.0"/>
        <n v="42300.0"/>
        <n v="830000.0"/>
        <n v="56000.0"/>
        <n v="74087.0"/>
        <n v="27499.0"/>
        <n v="16000.0"/>
        <n v="63900.0"/>
        <n v="63990.0"/>
        <n v="46990.0"/>
        <n v="66990.0"/>
        <n v="74990.0"/>
        <n v="119990.0"/>
        <n v="76990.0"/>
        <n v="177000.0"/>
        <n v="196000.0"/>
        <n v="25700.0"/>
        <n v="42800.0"/>
        <n v="5370.0"/>
        <n v="24.0"/>
        <n v="89990.0"/>
        <n v="7390.0"/>
        <n v="8590.0"/>
        <n v="15400.0"/>
        <n v="7400.0"/>
        <n v="8250.0"/>
        <n v="6500.0"/>
        <n v="125130.0"/>
        <n v="57810.0"/>
        <n v="286700.0"/>
        <n v="134200.0"/>
        <n v="142340.0"/>
        <n v="139040.0"/>
        <n v="113620.0"/>
        <n v="11300.0"/>
        <n v="94164.0"/>
        <n v="44850.0"/>
        <n v="222220.0"/>
        <n v="159600.0"/>
        <n v="289000.0"/>
        <n v="102750.0"/>
        <n v="69500.0"/>
        <n v="172500.0"/>
        <n v="159950.0"/>
        <n v="129999.0"/>
        <n v="95500.0"/>
        <n v="78369.0"/>
        <n v="530.0"/>
        <n v="294000.0"/>
        <n v="208520.0"/>
        <n v="124560.0"/>
        <n v="139125.0"/>
        <n v="79920.0"/>
        <n v="175500.0"/>
        <n v="33099.0"/>
        <n v="157920.0"/>
        <n v="34800.0"/>
        <n v="151200.0"/>
        <n v="94500.0"/>
        <n v="64300.0"/>
        <n v="238000.0"/>
        <n v="91800.0"/>
        <n v="1490.0"/>
        <n v="136400.0"/>
        <n v="185200.0"/>
        <n v="52578.0"/>
        <n v="80900.0"/>
        <n v="149715.0"/>
        <n v="119660.0"/>
        <n v="480000.0"/>
        <n v="119999.0"/>
        <n v="201000.0"/>
        <n v="38900.0"/>
        <n v="163910.0"/>
        <n v="64170.0"/>
        <n v="460000.0"/>
        <n v="28890.0"/>
        <n v="95950.0"/>
        <n v="365.0"/>
        <n v="124163.0"/>
        <n v="128500.0"/>
        <n v="78900.0"/>
        <n v="37.0"/>
        <n v="93500.0"/>
        <n v="95600.0"/>
        <n v="119255.0"/>
        <n v="97680.0"/>
        <n v="169660.0"/>
        <n v="56700.0"/>
        <n v="237500.0"/>
        <n v="128336.0"/>
        <n v="49600.0"/>
        <n v="42365.0"/>
        <n v="45400.0"/>
        <n v="46300.0"/>
        <n v="115900.0"/>
        <n v="61100.0"/>
        <n v="1950.0"/>
        <n v="169250.0"/>
        <n v="152000.0"/>
        <n v="150735.0"/>
        <n v="297000.0"/>
        <n v="63700.0"/>
        <n v="108500.0"/>
        <n v="98500.0"/>
        <n v="119225.0"/>
        <n v="189500.0"/>
        <n v="232000.0"/>
        <n v="72800.0"/>
        <n v="309000.0"/>
        <n v="92950.0"/>
        <n v="278000.0"/>
        <n v="28500.0"/>
        <n v="188500.0"/>
        <n v="30200.0"/>
        <n v="8890.0"/>
        <n v="49700.0"/>
        <n v="70210.0"/>
        <n v="56400.0"/>
        <n v="640.0"/>
        <n v="381000.0"/>
        <n v="67900.0"/>
        <n v="136800.0"/>
        <n v="97133.0"/>
        <n v="15900.0"/>
        <n v="56300.0"/>
        <n v="219000.0"/>
        <n v="204400.0"/>
        <n v="256000.0"/>
        <n v="770.0"/>
        <n v="125600.0"/>
        <n v="124450.0"/>
        <n v="87600.0"/>
        <n v="85800.0"/>
        <n v="17700.0"/>
        <n v="105700.0"/>
        <n v="37400.0"/>
        <n v="106500.0"/>
        <n v="81500.0"/>
        <n v="59595.0"/>
        <n v="53700.0"/>
        <n v="86350.0"/>
        <n v="116560.0"/>
        <n v="135520.0"/>
        <n v="154000.0"/>
        <n v="12900.0"/>
        <n v="11790.0"/>
        <n v="99200.0"/>
        <n v="74750.0"/>
        <n v="161980.0"/>
        <n v="23500.0"/>
        <n v="14800.0"/>
        <n v="77500.0"/>
        <n v="55372.0"/>
        <n v="172800.0"/>
        <n v="53950.0"/>
        <n v="178000.0"/>
        <n v="225675.0"/>
        <n v="67600.0"/>
        <n v="26333.0"/>
        <n v="25500.0"/>
        <n v="82900.0"/>
        <n v="16790.0"/>
        <n v="80597.0"/>
        <n v="47488.0"/>
        <n v="140400.0"/>
        <n v="79990.0"/>
        <n v="870.0"/>
        <n v="51970.0"/>
        <n v="85454.0"/>
        <n v="90628.0"/>
        <n v="5300.0"/>
        <n v="177777.0"/>
        <n v="227700.0"/>
        <n v="94800.0"/>
        <n v="89700.0"/>
        <n v="69300.0"/>
        <n v="58700.0"/>
        <n v="107042.0"/>
        <n v="29102.0"/>
        <n v="37300.0"/>
        <n v="57300.0"/>
        <n v="50700.0"/>
        <n v="294.0"/>
        <n v="50800.0"/>
        <n v="34.0"/>
        <n v="529.0"/>
        <n v="41600.0"/>
        <n v="50290.0"/>
        <n v="85345.0"/>
        <n v="204000.0"/>
        <n v="105846.0"/>
        <n v="62990.0"/>
        <n v="50500.0"/>
        <n v="475.0"/>
        <n v="31250.0"/>
        <n v="80.0"/>
        <n v="370000.0"/>
        <n v="29900.0"/>
        <n v="860.0"/>
        <n v="8880.0"/>
        <n v="14970.0"/>
        <n v="128755.0"/>
        <n v="13890.0"/>
        <n v="1900.0"/>
        <n v="72990.0"/>
        <n v="62150.0"/>
        <n v="355000.0"/>
        <n v="52200.0"/>
        <n v="249000.0"/>
        <n v="33300.0"/>
        <n v="16900.0"/>
        <n v="96990.0"/>
        <n v="520000.0"/>
        <n v="88892.0"/>
        <n v="55850.0"/>
        <n v="56990.0"/>
        <n v="261.0"/>
        <n v="11500.0"/>
        <n v="75500.0"/>
        <n v="14390.0"/>
        <n v="8580.0"/>
        <n v="10980.0"/>
        <n v="54650.0"/>
        <n v="137500.0"/>
        <n v="410000.0"/>
        <n v="10445.0"/>
      </sharedItems>
    </cacheField>
    <cacheField name="lat">
      <sharedItems containsMixedTypes="1" containsNumber="1">
        <n v="56.9554841"/>
        <n v="56.89979805"/>
        <n v="56.9750922"/>
        <n v="56.8597884"/>
        <n v="56.9777452"/>
        <n v="56.9566594"/>
        <n v="56.91527335"/>
        <s v="NaN"/>
        <n v="56.9509444"/>
        <n v="56.9761694"/>
        <n v="57.0188111"/>
        <n v="56.9927002999999"/>
        <n v="56.967948"/>
        <n v="56.9228069"/>
        <n v="56.9461963"/>
        <n v="56.9736358"/>
        <n v="56.9562996"/>
        <n v="56.9014001"/>
        <n v="56.8945857"/>
        <n v="56.96342305"/>
        <n v="57.02965155"/>
        <n v="56.9636785"/>
        <n v="56.9521436"/>
        <n v="56.949971"/>
        <n v="56.9610304"/>
        <n v="56.91095995"/>
        <n v="57.03135185"/>
        <n v="56.9469271499999"/>
        <n v="56.9134761"/>
        <n v="56.9397226"/>
        <n v="56.95770335"/>
        <n v="56.96485355"/>
        <n v="56.9685959"/>
        <n v="56.90348845"/>
        <n v="56.9655674"/>
        <n v="56.9489344"/>
        <n v="56.9506147"/>
        <n v="56.9530706"/>
        <n v="56.9559527"/>
        <n v="56.98279245"/>
        <n v="56.97808055"/>
        <n v="56.9552522"/>
        <n v="56.95636735"/>
        <n v="56.95632235"/>
        <n v="56.93144315"/>
        <n v="57.0196416"/>
        <n v="56.9553833"/>
        <n v="56.94306285"/>
        <n v="56.9581924"/>
        <n v="56.9579533"/>
        <n v="57.0378821"/>
        <n v="56.93662655"/>
        <n v="56.93685365"/>
        <n v="56.94177625"/>
        <n v="56.9599542"/>
        <n v="56.9517628"/>
        <n v="56.9820393"/>
        <n v="56.9647239"/>
        <n v="56.9449076"/>
        <n v="56.90154795"/>
        <n v="56.89859735"/>
        <n v="56.9151751"/>
        <n v="56.93257265"/>
        <n v="56.9678993"/>
        <n v="56.949362"/>
        <n v="56.9764669"/>
        <n v="56.9950728"/>
        <n v="56.9464308999999"/>
        <n v="56.9428654999999"/>
        <n v="57.0408666999999"/>
        <n v="56.95643795"/>
        <n v="56.95878525"/>
        <n v="56.916944"/>
        <n v="56.9508163"/>
        <n v="56.974699"/>
        <n v="56.9456104"/>
        <n v="56.9571813"/>
        <n v="56.96104425"/>
        <n v="56.96112105"/>
        <n v="56.9271624"/>
        <n v="56.9584557999999"/>
        <n v="56.9541725"/>
        <n v="56.9468471"/>
        <n v="56.9518384"/>
        <n v="56.9654887"/>
        <n v="56.99898215"/>
        <n v="56.952975"/>
        <n v="56.8990307"/>
        <n v="56.96998705"/>
        <n v="56.9471865"/>
        <n v="56.99786715"/>
        <n v="57.0272671"/>
        <n v="56.91116745"/>
        <n v="56.9275041"/>
        <n v="56.91925545"/>
        <n v="56.9604346499999"/>
        <n v="56.9590306"/>
        <n v="56.9562173"/>
        <n v="56.9422955"/>
        <n v="56.9491644"/>
        <n v="56.9505884"/>
        <n v="56.9403842"/>
        <n v="56.9120576499999"/>
        <n v="56.9484028"/>
        <n v="56.95752295"/>
        <n v="56.9085595"/>
        <n v="56.956763"/>
        <n v="57.0300401"/>
        <n v="56.9624743"/>
        <n v="56.9094064"/>
        <n v="56.94404435"/>
        <n v="57.0374654"/>
        <n v="56.96383885"/>
        <n v="57.0004355"/>
        <n v="56.95698695"/>
        <n v="56.95697915"/>
        <n v="56.95343085"/>
        <n v="56.9788671"/>
        <n v="56.9135113"/>
        <n v="56.9547666499999"/>
        <n v="56.93801605"/>
        <n v="56.9629663"/>
        <n v="56.9630577"/>
        <n v="56.9367253"/>
        <n v="56.93702645"/>
        <n v="56.9611541"/>
        <n v="56.9052096"/>
        <n v="56.94145735"/>
        <n v="56.9699771"/>
        <n v="56.9636061"/>
        <n v="56.9445851"/>
        <n v="56.9596666"/>
        <n v="56.9604259"/>
        <n v="56.93693955"/>
        <n v="56.9383464"/>
        <n v="56.9384531"/>
        <n v="56.9420237"/>
        <n v="56.9485324"/>
        <n v="56.97172205"/>
        <n v="56.9421434"/>
        <n v="56.95811035"/>
        <n v="56.9758898"/>
        <n v="57.0333528"/>
        <n v="56.9453381999999"/>
        <n v="56.9425813"/>
        <n v="56.9481417"/>
        <n v="56.94349035"/>
        <n v="56.97501495"/>
        <n v="57.038959"/>
        <n v="56.9214827"/>
        <n v="56.9731957"/>
        <n v="56.9628209"/>
        <n v="56.9524426"/>
        <n v="56.95855255"/>
        <n v="56.9612002"/>
        <n v="56.952144"/>
        <n v="56.9505257"/>
        <n v="56.98777415"/>
        <n v="56.9491897"/>
        <n v="56.9620223999999"/>
        <n v="56.9665863"/>
        <n v="56.9730973"/>
        <n v="56.9997624"/>
        <n v="56.95924805"/>
        <n v="56.9088093"/>
        <n v="56.9726557"/>
        <n v="56.9496929999999"/>
        <n v="56.96662215"/>
        <n v="56.887204"/>
        <n v="56.9019341"/>
        <n v="56.9571336"/>
        <n v="56.958482"/>
        <n v="56.9499165"/>
        <n v="56.9396024"/>
        <n v="56.9548306"/>
        <n v="56.9575957"/>
        <n v="56.9668361"/>
        <n v="56.9507818"/>
        <n v="56.8993098499999"/>
        <n v="56.96683855"/>
        <n v="56.90929355"/>
        <n v="56.90102635"/>
        <n v="56.96656595"/>
        <n v="56.9570069"/>
        <n v="56.95765645"/>
        <n v="56.9882535"/>
        <n v="56.954919"/>
        <n v="56.9554529"/>
        <n v="56.9549083"/>
        <n v="56.96949175"/>
        <n v="56.95161295"/>
        <n v="56.89981695"/>
        <n v="56.9607411"/>
        <n v="56.97918625"/>
        <n v="56.96614945"/>
        <n v="56.9642651"/>
        <n v="56.9596205"/>
        <n v="56.6975599"/>
        <n v="56.9774920499999"/>
        <n v="56.9452815"/>
        <n v="56.9584548499999"/>
        <n v="56.9405867"/>
        <n v="56.95684165"/>
        <n v="56.94177975"/>
        <n v="56.90957185"/>
        <n v="56.9439656"/>
        <n v="56.96760975"/>
        <n v="56.96530735"/>
        <n v="56.9567829"/>
        <n v="56.9545197"/>
        <n v="56.9650403499999"/>
        <n v="56.9678207"/>
        <n v="56.9614591499999"/>
        <n v="56.9281595"/>
        <n v="56.99858605"/>
        <n v="56.97008835"/>
        <n v="57.0237089"/>
        <n v="56.94351315"/>
        <n v="57.03644015"/>
        <n v="56.9671489"/>
        <n v="56.9527504"/>
        <n v="56.9526541"/>
        <n v="56.9293636"/>
        <n v="56.95341415"/>
        <n v="56.95841805"/>
        <n v="57.0326345"/>
        <n v="56.94937815"/>
        <n v="56.98820105"/>
        <n v="56.94107515"/>
        <n v="56.9494099"/>
        <n v="56.95508155"/>
        <n v="56.9605689499999"/>
        <n v="56.9599606"/>
        <n v="56.944822"/>
        <n v="56.9376655"/>
        <n v="56.9413857"/>
        <n v="56.9607774"/>
        <n v="56.95789295"/>
        <n v="56.9307254"/>
        <n v="56.9466833"/>
        <n v="56.97594855"/>
        <n v="56.9614331"/>
        <n v="56.971791"/>
        <n v="56.9483074"/>
        <n v="56.9608406"/>
        <n v="56.9606804"/>
        <n v="56.9575648999999"/>
        <n v="56.95264935"/>
        <n v="56.9645861"/>
        <n v="56.96134855"/>
        <n v="56.99359675"/>
        <n v="56.9539111499999"/>
        <n v="56.9540264"/>
        <n v="56.9408555"/>
        <n v="56.93045135"/>
        <n v="56.9488745"/>
        <n v="56.9374039"/>
        <n v="56.9462191"/>
        <n v="56.9618014"/>
        <n v="56.9619582"/>
        <n v="56.952567"/>
        <n v="56.95959205"/>
        <n v="56.9527285"/>
        <n v="56.9398925"/>
        <n v="56.9692203"/>
        <n v="56.9606806"/>
        <n v="56.91000915"/>
        <n v="56.9334996"/>
        <n v="56.95546705"/>
        <n v="57.03086935"/>
        <n v="56.94119075"/>
        <n v="56.9490258"/>
        <n v="56.9643579"/>
        <n v="56.9747517499999"/>
        <n v="56.9132013"/>
        <n v="56.9643785"/>
        <n v="56.9520463"/>
        <n v="56.9496478"/>
        <n v="57.02771755"/>
        <n v="56.92735995"/>
        <n v="56.9816726"/>
        <n v="56.9636426"/>
        <n v="56.9587074"/>
        <n v="56.9581178"/>
        <n v="56.9439002"/>
        <n v="57.0337701"/>
        <n v="56.9561495"/>
        <n v="56.9539256"/>
        <n v="56.9385731499999"/>
        <n v="56.96885415"/>
        <n v="56.9524681"/>
        <n v="56.9051508999999"/>
        <n v="57.0264399"/>
        <n v="56.971605"/>
        <n v="56.9610476"/>
        <n v="56.94521285"/>
        <n v="57.03948115"/>
        <n v="56.9509613"/>
        <n v="56.96689285"/>
        <n v="56.96378645"/>
        <n v="56.9004870499999"/>
        <n v="56.9543322"/>
        <n v="56.96127015"/>
        <n v="56.9554547"/>
        <n v="56.9135917"/>
        <n v="56.9704076"/>
        <n v="56.949246"/>
        <n v="56.9928319"/>
        <n v="56.987477"/>
        <n v="56.9553389"/>
        <n v="56.9593644"/>
        <n v="56.9745276"/>
        <n v="56.94414285"/>
        <n v="56.94553165"/>
        <n v="56.961717"/>
        <n v="56.95523395"/>
        <n v="56.9657966"/>
        <n v="56.94284855"/>
        <n v="56.9454805"/>
        <n v="56.95863035"/>
        <n v="56.91406475"/>
        <n v="56.9626863"/>
        <n v="56.93715885"/>
        <n v="56.95629175"/>
        <n v="56.9194196499999"/>
        <n v="56.9451747"/>
        <n v="56.9550189"/>
        <n v="56.9039208"/>
        <n v="56.9713309"/>
        <n v="56.9871471999999"/>
        <n v="56.94402935"/>
        <n v="56.9543563"/>
        <n v="56.95538345"/>
        <n v="56.9346184"/>
        <n v="56.96173835"/>
        <n v="56.9581357"/>
        <n v="56.9074647"/>
        <n v="57.031881"/>
        <n v="57.0400852"/>
        <n v="54.1436099999999"/>
        <n v="56.96260805"/>
        <n v="56.99682205"/>
        <n v="57.02846205"/>
        <n v="56.92624755"/>
        <n v="56.90687475"/>
        <n v="57.02687935"/>
        <n v="56.9525712"/>
        <n v="56.93515745"/>
        <n v="57.03179875"/>
        <n v="56.9386536"/>
        <n v="56.9750706"/>
        <n v="56.94881585"/>
        <n v="56.9879952999999"/>
        <n v="56.9496783999999"/>
        <n v="57.0002634"/>
        <n v="56.9077347"/>
        <n v="56.9141787"/>
        <n v="56.976516"/>
        <n v="56.95275325"/>
        <n v="56.9656328"/>
        <n v="56.96867625"/>
        <n v="56.9258216"/>
        <n v="56.9570587"/>
        <n v="56.950124"/>
        <n v="56.99733515"/>
        <n v="48.2969502"/>
        <n v="56.95251535"/>
        <n v="56.9493295"/>
        <n v="56.9522968"/>
        <n v="56.9550112"/>
        <n v="56.8988685"/>
        <n v="56.94203495"/>
        <n v="56.93666555"/>
        <n v="56.9001589"/>
        <n v="56.9273343"/>
        <n v="56.9685701"/>
        <n v="56.99330265"/>
        <n v="56.9397657"/>
        <n v="56.9505796"/>
        <n v="56.9385506499999"/>
        <n v="56.914968"/>
        <n v="56.9483586"/>
        <n v="56.94454425"/>
        <n v="56.9360312"/>
        <n v="56.96535115"/>
        <n v="56.9366902"/>
        <n v="56.94440235"/>
        <n v="57.0528275"/>
        <n v="56.9664898"/>
        <n v="56.9431965"/>
        <n v="56.9473175"/>
        <n v="56.95892215"/>
        <n v="56.9478021"/>
        <n v="56.9807317"/>
        <n v="56.9661155999999"/>
        <n v="56.9682471"/>
        <n v="56.9621302"/>
        <n v="56.9612223"/>
        <n v="56.9399149"/>
        <n v="56.960424"/>
        <n v="56.9652534"/>
        <n v="56.9669209"/>
        <n v="56.9454164"/>
        <n v="56.9653645"/>
        <n v="56.91125405"/>
        <n v="56.9603826"/>
        <n v="56.9527003"/>
        <n v="56.9650488"/>
        <n v="56.9599631"/>
        <n v="56.9552306"/>
        <n v="56.9596778"/>
        <n v="56.97328935"/>
        <n v="56.9578128"/>
        <n v="56.9609027"/>
        <n v="56.948018"/>
        <n v="56.9579333"/>
        <n v="56.9552879"/>
        <n v="57.03601395"/>
        <n v="56.9722229"/>
        <n v="56.9397075499999"/>
        <n v="56.97216595"/>
        <n v="56.9408962"/>
        <n v="56.9150015"/>
        <n v="56.9444276"/>
        <n v="56.944418"/>
        <n v="57.0426738"/>
        <n v="57.03222745"/>
        <n v="56.9759193"/>
        <n v="56.9267343"/>
        <n v="56.95172905"/>
        <n v="56.94122905"/>
        <n v="56.9601368"/>
        <n v="56.9019124"/>
        <n v="56.97140105"/>
        <n v="56.9598967"/>
        <n v="56.9876991"/>
        <n v="56.9606510499999"/>
        <n v="56.9761938"/>
        <n v="56.96431685"/>
        <n v="56.9582325"/>
        <n v="56.945342"/>
        <n v="56.9555074999999"/>
        <n v="56.956506"/>
        <n v="56.94476985"/>
        <n v="56.9560762"/>
        <n v="56.96369115"/>
        <n v="56.953572"/>
        <n v="56.9880909"/>
        <n v="56.96791915"/>
        <n v="56.909529"/>
        <n v="56.9670038"/>
        <n v="56.9882018499999"/>
        <n v="56.9695565"/>
        <n v="56.9868158"/>
        <n v="56.9679518"/>
        <n v="56.9613221"/>
        <n v="56.962357"/>
        <n v="56.944767"/>
        <n v="56.9694761"/>
        <n v="56.9382367"/>
        <n v="56.9539113"/>
        <n v="56.9488564"/>
        <n v="56.94372935"/>
        <n v="56.951881"/>
        <n v="56.89938885"/>
        <n v="57.0024532"/>
        <n v="56.9106275"/>
        <n v="56.9012723"/>
        <n v="56.961607"/>
        <n v="56.942327"/>
        <n v="56.9553112499999"/>
        <n v="56.90479835"/>
        <n v="56.94167865"/>
        <n v="56.9634565"/>
        <n v="56.9690716"/>
        <n v="57.0336091"/>
        <n v="57.0331188"/>
        <n v="56.9624113499999"/>
        <n v="56.990941"/>
        <n v="56.957785"/>
        <n v="56.9362783"/>
        <n v="56.9596279"/>
        <n v="56.9474705"/>
        <n v="56.93731855"/>
        <n v="56.9443854"/>
        <n v="56.9590141"/>
        <n v="56.95798105"/>
        <n v="57.0386355"/>
        <n v="56.9616145"/>
        <n v="56.9625239"/>
        <n v="56.9405505"/>
        <n v="56.95713205"/>
        <n v="56.9488968"/>
        <n v="56.9557312"/>
        <n v="56.9521874"/>
        <n v="56.96512045"/>
        <n v="56.93679455"/>
        <n v="56.9578232"/>
        <n v="56.9617633"/>
        <n v="56.9594410499999"/>
        <n v="56.970867"/>
        <n v="56.9168339"/>
        <n v="56.9725209"/>
        <n v="56.945456"/>
        <n v="56.9872927"/>
        <n v="57.0338716499999"/>
        <n v="56.94999685"/>
        <n v="56.94451965"/>
        <n v="56.9665763"/>
        <n v="56.9346287"/>
        <n v="56.96741145"/>
        <n v="56.9675737"/>
        <n v="56.9717941"/>
        <n v="56.96655575"/>
        <n v="56.96414355"/>
        <n v="56.9584801"/>
        <n v="56.98909155"/>
        <n v="56.95092055"/>
        <n v="57.02365495"/>
        <n v="56.938759"/>
        <n v="56.94970365"/>
        <n v="56.9651176499999"/>
        <n v="56.90837855"/>
        <n v="56.947906"/>
        <n v="56.9940614"/>
        <n v="56.9667357999999"/>
        <n v="56.9501202"/>
        <n v="56.9509491"/>
        <n v="56.97650505"/>
        <n v="56.9004074"/>
        <n v="56.92553455"/>
        <n v="56.9521256999999"/>
        <n v="56.9613825499999"/>
        <n v="56.9482182"/>
        <n v="56.9280239"/>
        <n v="56.9422440999999"/>
        <n v="56.9865865"/>
        <n v="56.9526754"/>
        <n v="56.96337905"/>
        <n v="56.9716816"/>
        <n v="56.95828335"/>
        <n v="56.9509836999999"/>
        <n v="56.9745784499999"/>
        <n v="57.0402147"/>
        <n v="56.95594065"/>
        <n v="56.9556152"/>
        <n v="56.9776761"/>
        <n v="56.95468425"/>
        <n v="56.9000607"/>
        <n v="56.94206255"/>
        <n v="56.9624472999999"/>
        <n v="56.9440729"/>
        <n v="56.96306045"/>
        <n v="56.98156"/>
        <n v="56.965966"/>
        <n v="56.9604576"/>
        <n v="56.96893685"/>
        <n v="56.94363395"/>
        <n v="56.9644458"/>
        <n v="56.9557759"/>
        <n v="56.9443781"/>
        <n v="56.95377445"/>
        <n v="56.94627775"/>
        <n v="57.000974"/>
        <n v="56.96895055"/>
        <n v="56.9482215"/>
        <n v="57.0359712"/>
        <n v="56.9592539"/>
        <n v="56.9847727"/>
        <n v="56.9639569"/>
        <n v="56.9599049"/>
        <n v="56.8989409"/>
        <n v="57.0327107"/>
        <n v="56.9125204"/>
        <n v="56.9477411"/>
        <n v="56.9879162"/>
        <n v="56.9010095999999"/>
        <n v="57.0336529"/>
        <n v="56.95556745"/>
        <n v="56.9421021"/>
        <n v="56.9340645"/>
        <n v="56.94454165"/>
        <n v="56.9527936"/>
        <n v="57.0318969"/>
        <n v="56.94880765"/>
        <n v="56.93717765"/>
        <n v="56.95456995"/>
        <n v="56.949924"/>
        <n v="56.9531103"/>
        <n v="57.000045"/>
        <n v="57.04328605"/>
        <n v="56.9642554"/>
        <n v="56.942271"/>
        <n v="56.95768705"/>
        <n v="56.9146722"/>
        <n v="56.960931"/>
        <n v="56.96362585"/>
        <n v="56.9425516999999"/>
        <n v="56.9583571"/>
        <n v="56.9517249"/>
        <n v="56.9984366"/>
        <n v="56.9872837"/>
        <n v="56.94796725"/>
        <n v="56.93779065"/>
        <n v="56.9753736"/>
        <n v="56.9670442"/>
        <n v="57.0069729"/>
        <n v="56.9622133"/>
        <n v="56.93821515"/>
        <n v="56.9663436999999"/>
        <n v="56.95362445"/>
        <n v="56.9561795"/>
        <n v="56.9411476"/>
        <n v="57.03262235"/>
        <n v="56.9631071999999"/>
        <n v="56.9025774499999"/>
        <n v="56.9494653"/>
        <n v="56.9684301"/>
        <n v="57.02896645"/>
        <n v="56.9663651"/>
        <n v="56.9693455"/>
        <n v="56.93985415"/>
        <n v="57.0212347"/>
        <n v="56.9509144999999"/>
        <n v="56.9437711"/>
        <n v="56.9539408"/>
        <n v="56.96450485"/>
        <n v="56.952698"/>
        <n v="56.9569585"/>
        <n v="56.9246777"/>
        <n v="56.9588801999999"/>
        <n v="56.9636145"/>
        <n v="57.0322403"/>
        <n v="56.9555119"/>
        <n v="56.99749235"/>
        <n v="56.9572634"/>
        <n v="56.9505804"/>
        <n v="57.0316748"/>
        <n v="56.91162465"/>
        <n v="57.03464345"/>
        <n v="56.9622671"/>
        <n v="56.93527355"/>
        <n v="56.9572544"/>
        <n v="56.9146747"/>
        <n v="56.9684979"/>
        <n v="56.90509875"/>
        <n v="56.9045511"/>
        <n v="56.95185735"/>
        <n v="56.9607245499999"/>
        <n v="56.97128295"/>
        <n v="56.95032385"/>
        <n v="56.9535179"/>
        <n v="56.95369015"/>
        <n v="56.9668224"/>
        <n v="56.9383325999999"/>
        <n v="56.8955665"/>
        <n v="56.95770095"/>
        <n v="56.95920965"/>
        <n v="56.9660465"/>
        <n v="56.9626669"/>
        <n v="56.9762119"/>
        <n v="56.9581254"/>
        <n v="56.9486850499999"/>
        <n v="56.95924615"/>
        <n v="56.94825305"/>
        <n v="56.9648157"/>
        <n v="56.9768119"/>
        <n v="56.9702595"/>
        <n v="57.0280131"/>
        <n v="56.8999122"/>
        <n v="56.97533275"/>
        <n v="56.959662"/>
        <n v="56.9523528"/>
        <n v="56.9663395"/>
        <n v="56.96469885"/>
        <n v="56.9949274"/>
        <n v="56.9590376"/>
        <n v="56.96428355"/>
        <n v="56.9197056"/>
        <n v="56.96206215"/>
        <n v="57.03099005"/>
        <n v="56.9503372"/>
        <n v="56.9639239"/>
        <n v="56.9578148"/>
        <n v="56.98611335"/>
        <n v="57.00301175"/>
        <n v="56.9427642"/>
        <n v="56.94280435"/>
        <n v="56.9548743"/>
        <n v="56.960182"/>
        <n v="57.0285047"/>
        <n v="56.9531436"/>
        <n v="56.96963375"/>
        <n v="56.9545273"/>
        <n v="56.9676199"/>
        <n v="56.9438277999999"/>
        <n v="56.9896239"/>
        <n v="56.93524705"/>
        <n v="56.93649025"/>
        <n v="56.953316"/>
        <n v="56.94016"/>
        <n v="56.980215"/>
        <n v="57.0018786"/>
        <n v="56.8994354999999"/>
        <n v="56.9393754"/>
        <n v="56.94863315"/>
        <n v="56.948925"/>
        <n v="56.9586159"/>
        <n v="56.9651396"/>
        <n v="57.0381193"/>
        <n v="56.953682"/>
        <n v="56.9629058"/>
        <n v="56.9465912"/>
        <n v="56.9521532"/>
        <n v="56.9504522"/>
        <n v="56.9724222"/>
        <n v="56.9669526499999"/>
        <n v="56.95650225"/>
        <n v="56.91595235"/>
        <n v="56.9567777"/>
        <n v="56.97964"/>
        <n v="56.9591645"/>
        <n v="56.9555587"/>
        <n v="56.8993612"/>
        <n v="56.93391825"/>
        <n v="56.912242"/>
        <n v="56.9712661"/>
        <n v="56.9509836"/>
        <n v="56.93542815"/>
        <n v="56.94222435"/>
        <n v="56.90217635"/>
        <n v="56.92559925"/>
        <n v="56.91345935"/>
        <n v="56.9342176"/>
        <n v="56.9713644"/>
        <n v="56.9709132"/>
        <n v="56.9012048"/>
        <n v="56.9950137"/>
        <n v="56.95518535"/>
        <n v="56.9019142"/>
        <n v="56.9641714499999"/>
        <n v="56.96408475"/>
        <n v="56.9444497"/>
        <n v="56.9361374"/>
        <n v="56.9590412"/>
        <n v="56.9421256"/>
        <n v="56.96346405"/>
        <n v="56.9406658"/>
        <n v="56.94568225"/>
        <n v="56.93595085"/>
        <n v="56.9150027"/>
        <n v="56.9779257"/>
        <n v="56.97150655"/>
        <n v="56.9510949"/>
        <n v="56.9698143"/>
        <n v="56.9394528"/>
        <n v="56.9451143"/>
        <n v="56.9615696"/>
        <n v="56.9605878"/>
        <n v="56.9514449"/>
        <n v="56.9650621"/>
        <n v="56.9589644"/>
        <n v="56.90158855"/>
        <n v="56.95922675"/>
        <n v="56.9600729"/>
        <n v="56.9521699"/>
        <n v="56.97634575"/>
        <n v="56.9750877"/>
        <n v="57.04141455"/>
        <n v="56.90846935"/>
        <n v="56.9701058"/>
        <n v="56.96925335"/>
        <n v="56.90189495"/>
        <n v="56.94249375"/>
        <n v="56.9649868"/>
        <n v="56.9492021"/>
        <n v="56.9389794"/>
        <n v="56.96580055"/>
        <n v="56.9145946"/>
        <n v="56.94852645"/>
        <n v="56.9742195"/>
        <n v="56.9586743"/>
        <n v="56.8993493499999"/>
        <n v="57.031977"/>
        <n v="56.9372465"/>
        <n v="56.9310392"/>
        <n v="56.9595848999999"/>
        <n v="56.9406706"/>
        <n v="56.936687"/>
        <n v="56.9651554999999"/>
        <n v="56.9596901"/>
        <n v="56.9499105999999"/>
        <n v="56.950443"/>
        <n v="56.918403"/>
        <n v="56.97368625"/>
        <n v="56.964717"/>
        <n v="56.92102495"/>
        <n v="57.03627125"/>
        <n v="56.98754535"/>
        <n v="56.9495716"/>
        <n v="57.0373867"/>
        <n v="56.93086485"/>
        <n v="57.03824475"/>
        <n v="56.9638561"/>
        <n v="56.93766455"/>
        <n v="56.9424281"/>
        <n v="56.95035715"/>
        <n v="57.0300308"/>
        <n v="56.9515082"/>
        <n v="56.955527"/>
        <n v="56.9706361"/>
        <n v="56.98133745"/>
        <n v="56.95996775"/>
        <n v="56.9478153999999"/>
        <n v="56.9538485"/>
        <n v="56.925638"/>
        <n v="56.952452"/>
        <n v="56.90699225"/>
        <n v="56.9464382"/>
        <n v="56.9665945499999"/>
        <n v="56.95198235"/>
        <n v="56.9574801"/>
        <n v="56.96130605"/>
        <n v="56.9509044"/>
        <n v="56.91298395"/>
        <n v="56.9407458"/>
        <n v="56.9491053"/>
        <n v="56.9659839"/>
        <n v="56.94060665"/>
        <n v="56.95619535"/>
        <n v="56.9292821"/>
        <n v="56.9618626"/>
        <n v="56.96621605"/>
        <n v="57.03301815"/>
        <n v="56.9589017"/>
        <n v="56.9613741"/>
        <n v="56.949229"/>
        <n v="56.9482564"/>
        <n v="57.0280588499999"/>
        <n v="56.9591749"/>
        <n v="56.9888255"/>
        <n v="56.9375255"/>
        <n v="56.9572968"/>
        <n v="56.9101647"/>
        <n v="56.93300455"/>
        <n v="56.952758"/>
        <n v="57.0021488"/>
        <n v="56.9569156"/>
        <n v="56.9597157"/>
        <n v="57.03653015"/>
        <n v="56.9736867"/>
        <n v="57.0278589"/>
        <n v="56.9368446"/>
        <n v="56.9447289"/>
        <n v="56.9479492499999"/>
        <n v="56.9313946"/>
        <n v="56.95534335"/>
        <n v="56.960378"/>
        <n v="56.97863375"/>
        <n v="56.9527501"/>
        <n v="56.90785995"/>
        <n v="56.94444085"/>
        <n v="56.90884755"/>
        <n v="56.9534503"/>
        <n v="56.9778104"/>
        <n v="57.0381797"/>
        <n v="56.99844075"/>
        <n v="56.95086155"/>
        <n v="57.034118"/>
        <n v="56.93758345"/>
        <n v="56.9608302"/>
        <n v="57.0382431"/>
        <n v="56.93399695"/>
        <n v="56.9979992"/>
        <n v="56.9332692"/>
        <n v="56.9536673"/>
        <n v="56.96266715"/>
        <n v="56.94079415"/>
        <n v="56.94971275"/>
        <n v="56.9508474"/>
        <n v="56.9933665"/>
        <n v="56.94617195"/>
        <n v="56.93501385"/>
        <n v="56.97311445"/>
        <n v="56.95014635"/>
        <n v="56.9518586"/>
        <n v="56.9514132"/>
        <n v="57.0621312"/>
        <n v="56.90080385"/>
        <n v="56.95622285"/>
        <n v="56.91588075"/>
        <n v="56.94814375"/>
        <n v="56.9483988"/>
        <n v="56.9425629"/>
        <n v="56.9126889"/>
        <n v="56.9849578"/>
        <n v="56.9590876"/>
        <n v="56.9579455"/>
        <n v="56.9697798499999"/>
        <n v="56.9444663"/>
        <n v="56.96857855"/>
        <n v="56.9355136"/>
        <n v="56.9461669"/>
        <n v="56.9544354"/>
        <n v="56.9556401"/>
        <n v="56.90015325"/>
        <n v="56.95350215"/>
        <n v="56.99365285"/>
        <n v="56.9559247"/>
        <n v="56.94921145"/>
        <n v="56.94292565"/>
        <n v="56.94708265"/>
        <n v="56.8989486"/>
        <n v="56.9412328"/>
        <n v="56.9747442"/>
        <n v="56.9925421"/>
        <n v="56.9426821"/>
        <n v="56.9524263"/>
        <n v="57.0164335"/>
        <n v="56.95623425"/>
        <n v="56.9520707"/>
        <n v="56.96105855"/>
        <n v="56.94158095"/>
        <n v="56.9640549"/>
        <n v="57.03471075"/>
        <n v="56.9368143"/>
        <n v="56.96295835"/>
        <n v="56.9627267"/>
        <n v="56.93950425"/>
        <n v="56.9556466"/>
        <n v="56.94283395"/>
        <n v="57.0003061"/>
        <n v="56.9353345"/>
        <n v="57.03939135"/>
        <n v="56.9502294499999"/>
        <n v="56.99189845"/>
        <n v="56.9647023"/>
        <n v="57.03920265"/>
        <n v="56.96468165"/>
        <n v="56.9350799"/>
        <n v="56.9607141"/>
        <n v="57.044461"/>
        <n v="56.9719042"/>
        <n v="56.9519155"/>
        <n v="56.9493595"/>
        <n v="56.9995945"/>
        <n v="56.968844"/>
        <n v="56.9557185"/>
        <n v="56.9525397"/>
        <n v="56.95868265"/>
        <n v="56.96230215"/>
        <n v="56.9608459"/>
        <n v="56.9762896"/>
        <n v="56.9430243"/>
        <n v="56.9456091499999"/>
        <n v="56.9776497"/>
        <n v="56.97584815"/>
        <n v="56.9607232"/>
        <n v="56.9987253"/>
        <n v="56.9619771"/>
        <n v="56.9042432"/>
        <n v="57.00751995"/>
        <n v="56.9553484"/>
        <n v="56.9518738999999"/>
        <n v="56.93927555"/>
        <n v="56.9484815"/>
        <n v="56.9467886"/>
        <n v="56.9703444"/>
        <n v="56.95698215"/>
        <n v="56.9695545"/>
        <n v="56.90102465"/>
        <n v="56.9459191"/>
        <n v="56.9150615"/>
        <n v="56.9604413499999"/>
        <n v="56.90069575"/>
        <n v="56.99618955"/>
        <n v="56.9379361"/>
        <n v="56.95652115"/>
        <n v="56.9758863499999"/>
        <n v="56.9517964"/>
        <n v="56.9767303"/>
        <n v="56.94558835"/>
        <n v="56.9561572"/>
        <n v="56.970495"/>
        <n v="56.9477648999999"/>
        <n v="56.9724032999999"/>
        <n v="56.9653522"/>
        <n v="56.9482351"/>
        <n v="56.93425325"/>
        <n v="56.9503023"/>
        <n v="56.9670136"/>
        <n v="56.9943642"/>
        <n v="57.03912275"/>
        <n v="56.9449314"/>
        <n v="56.9457705"/>
        <n v="56.9330961"/>
        <n v="56.90431635"/>
        <n v="56.9421524"/>
        <n v="56.9451934"/>
        <n v="56.91549245"/>
        <n v="56.955916"/>
        <n v="57.0327263"/>
        <n v="56.9574717999999"/>
        <n v="56.94462275"/>
        <n v="56.9779316"/>
        <n v="56.9491043"/>
        <n v="56.95567115"/>
        <n v="56.96474785"/>
        <n v="56.9726415"/>
        <n v="56.9568138"/>
        <n v="56.94315815"/>
        <n v="56.94381835"/>
        <n v="57.0290793"/>
        <n v="56.962799"/>
        <n v="56.94937"/>
        <n v="56.953059"/>
        <n v="56.95418"/>
        <n v="56.9138392"/>
        <n v="56.9368604999999"/>
        <n v="56.9621313"/>
        <n v="56.9600412"/>
        <n v="56.9198151"/>
        <n v="56.97725905"/>
        <n v="56.8974581"/>
        <n v="56.9605146"/>
        <n v="56.9651947"/>
        <n v="56.94393325"/>
        <n v="57.0297012"/>
        <n v="56.9835916"/>
        <n v="56.90357165"/>
        <n v="56.9586919"/>
        <n v="56.9721861"/>
        <n v="56.9631811"/>
        <n v="56.94470995"/>
        <n v="56.9585313"/>
        <n v="56.95900535"/>
        <n v="56.94468895"/>
        <n v="56.95894965"/>
        <n v="56.964231"/>
        <n v="56.8992639"/>
        <n v="56.9620225"/>
        <n v="56.9532932"/>
        <n v="56.9348283"/>
        <n v="56.982608"/>
        <n v="56.95622405"/>
        <n v="57.0229234499999"/>
        <n v="56.9451394"/>
        <n v="56.9666127"/>
        <n v="56.94027275"/>
        <n v="56.934949"/>
        <n v="56.9563024"/>
        <n v="56.9514227"/>
        <n v="56.9512026"/>
        <n v="56.95732255"/>
        <n v="56.97708405"/>
        <n v="56.9879311"/>
        <n v="56.9681431"/>
        <n v="56.95092625"/>
        <n v="56.96613265"/>
        <n v="56.93585905"/>
        <n v="56.9538641"/>
        <n v="56.953749"/>
        <n v="56.94224055"/>
        <n v="56.96380995"/>
        <n v="56.98168535"/>
        <n v="56.9442073999999"/>
        <n v="56.9570178"/>
        <n v="56.9826782"/>
        <n v="56.96528365"/>
        <n v="56.9472563"/>
        <n v="56.9583458"/>
        <n v="56.9609581999999"/>
        <n v="56.9422772"/>
        <n v="56.9710015999999"/>
        <n v="56.99347295"/>
        <n v="56.9370601"/>
        <n v="56.9672898"/>
        <n v="56.9335552"/>
        <n v="56.9602579"/>
        <n v="56.95712685"/>
        <n v="56.9532496"/>
        <n v="56.97543855"/>
        <n v="57.02967645"/>
        <n v="56.9554229"/>
        <n v="56.9627744"/>
        <n v="56.9484721"/>
        <n v="56.9026121499999"/>
        <n v="56.95578965"/>
        <n v="56.94905655"/>
        <n v="56.9424288999999"/>
        <n v="56.9590494"/>
        <n v="56.9613179"/>
        <n v="56.9537372"/>
        <n v="56.9615789"/>
        <n v="56.90987065"/>
        <n v="56.9017919"/>
        <n v="56.93337015"/>
        <n v="56.93584375"/>
        <n v="56.9503981"/>
        <n v="57.00003365"/>
        <n v="56.9739163"/>
        <n v="56.9638199"/>
        <n v="56.9591583"/>
        <n v="56.9255124"/>
        <n v="56.9427564"/>
        <n v="56.9647624"/>
        <n v="56.9657075"/>
        <n v="56.968951"/>
        <n v="56.95181495"/>
        <n v="56.95368175"/>
        <n v="56.95717545"/>
        <n v="56.9551187"/>
        <n v="56.9532739"/>
        <n v="56.9472036"/>
        <n v="57.03407185"/>
        <n v="56.9788967"/>
        <n v="56.9764382"/>
        <n v="56.9929332"/>
        <n v="56.9628977499999"/>
        <n v="56.9567304"/>
        <n v="56.9747123"/>
        <n v="56.93411625"/>
        <n v="56.94578335"/>
        <n v="56.9507636"/>
        <n v="56.9505809"/>
        <n v="56.9371904"/>
        <n v="56.9636591"/>
        <n v="56.930137"/>
        <n v="56.9612489999999"/>
        <n v="56.9365633"/>
        <n v="56.9613667499999"/>
        <n v="56.9107942"/>
        <n v="56.9515994"/>
        <n v="56.9546563"/>
        <n v="56.92934845"/>
        <n v="56.9422907"/>
        <n v="56.9507526"/>
        <n v="56.9552195"/>
        <n v="56.9622136"/>
        <n v="56.96644725"/>
        <n v="56.9420932999999"/>
        <n v="57.7727134"/>
        <n v="56.9594596"/>
        <n v="56.9415761"/>
        <n v="56.9879701"/>
        <n v="56.9485905"/>
        <n v="56.9492894"/>
        <n v="56.94245245"/>
        <n v="56.9838232"/>
        <n v="57.01927645"/>
        <n v="56.94998475"/>
        <n v="56.9129619499999"/>
        <n v="56.9511923"/>
        <n v="56.94731475"/>
        <n v="56.9931197"/>
        <n v="56.95488155"/>
        <n v="56.914299"/>
        <n v="56.9563689"/>
        <n v="56.9466569"/>
        <n v="56.996491"/>
        <n v="56.8958531499999"/>
        <n v="56.994436"/>
        <n v="56.9386002499999"/>
        <n v="56.95927905"/>
        <n v="56.9247925"/>
        <n v="56.9825039"/>
        <n v="56.95661335"/>
        <n v="56.96052845"/>
        <n v="56.95211405"/>
        <n v="56.9463129"/>
        <n v="56.9108369"/>
        <n v="56.93698015"/>
        <n v="56.98077435"/>
        <n v="56.9371723"/>
        <n v="56.9318064499999"/>
        <n v="56.9949314499999"/>
        <n v="56.96054545"/>
        <n v="56.94608785"/>
        <n v="56.9587931"/>
        <n v="56.9481574"/>
        <n v="56.9633505"/>
        <n v="56.9824574"/>
        <n v="56.9520352499999"/>
        <n v="56.9533109"/>
        <n v="56.9504872"/>
        <n v="56.9738405"/>
        <n v="56.962802"/>
        <n v="56.9239084"/>
        <n v="56.9588195"/>
        <n v="56.9502154"/>
        <n v="56.96180755"/>
        <n v="56.9646442"/>
        <n v="56.9675144"/>
        <n v="56.9544068"/>
        <n v="56.97071185"/>
        <n v="56.9543951"/>
        <n v="56.96548375"/>
        <n v="57.0021136"/>
        <n v="56.96372375"/>
        <n v="56.94400335"/>
        <n v="56.9564335"/>
        <n v="56.906906"/>
        <n v="56.95393085"/>
        <n v="56.9506012"/>
        <n v="56.98386715"/>
        <n v="56.9620417"/>
        <n v="56.9634352"/>
        <n v="56.9601830999999"/>
        <n v="56.97070215"/>
        <n v="57.0025614"/>
        <n v="57.0322103"/>
        <n v="56.9539286"/>
        <n v="56.9297701"/>
        <n v="56.9540025999999"/>
        <n v="56.9223072"/>
        <n v="56.938833"/>
        <n v="56.96275695"/>
        <n v="56.9461335"/>
        <n v="56.93860365"/>
        <n v="56.95926715"/>
        <n v="56.98125695"/>
        <n v="56.99391265"/>
        <n v="56.9613122"/>
        <n v="56.952235"/>
        <n v="56.99320475"/>
        <n v="56.97121095"/>
        <n v="56.96646415"/>
        <n v="56.9386867"/>
        <n v="56.97019225"/>
        <n v="56.9382641"/>
        <n v="56.9371252"/>
        <n v="56.9394655"/>
        <n v="56.95884165"/>
        <n v="56.9492915"/>
        <n v="56.9731021"/>
        <n v="56.9583699"/>
        <n v="56.945795"/>
        <n v="56.97381225"/>
        <n v="56.95975045"/>
        <n v="56.96885245"/>
        <n v="57.0347818"/>
        <n v="56.9726831499999"/>
        <n v="56.9335665"/>
        <n v="56.9664868499999"/>
        <n v="56.98605995"/>
        <n v="56.9604932"/>
        <n v="56.9599931"/>
        <n v="56.9675034"/>
        <n v="56.9561314"/>
        <n v="56.9550369"/>
        <n v="56.9478576"/>
        <n v="56.9375737999999"/>
        <n v="56.9589948"/>
        <n v="56.9485469499999"/>
        <n v="56.9273556"/>
        <n v="56.9650304"/>
        <n v="56.99784"/>
        <n v="56.9563166"/>
        <n v="56.9137899"/>
        <n v="56.93844915"/>
        <n v="56.9614076999999"/>
        <n v="56.9585108"/>
        <n v="56.94596715"/>
        <n v="56.9557623"/>
        <n v="56.96436315"/>
        <n v="56.96758455"/>
        <n v="56.94411415"/>
        <n v="56.9666739"/>
        <n v="56.9525197499999"/>
        <n v="56.9494311499999"/>
        <n v="56.9343506999999"/>
        <n v="56.9437576"/>
        <n v="56.940619"/>
        <n v="56.96973635"/>
        <n v="57.03017055"/>
        <n v="56.9111955"/>
        <n v="56.9404160499999"/>
        <n v="56.9529261"/>
        <n v="56.9075339"/>
        <n v="56.963066"/>
        <n v="56.9394231"/>
        <n v="56.957715"/>
        <n v="56.9650552"/>
        <n v="56.96270215"/>
        <n v="56.9520789"/>
        <n v="56.9453372"/>
        <n v="56.9502926"/>
        <n v="56.9359249"/>
        <n v="56.92093585"/>
        <n v="56.9699271"/>
        <n v="56.96285935"/>
        <n v="56.94716445"/>
        <n v="56.9668351"/>
        <n v="56.90657655"/>
        <n v="56.9826432"/>
        <n v="56.9446832999999"/>
        <n v="56.9399951"/>
        <n v="56.9695576"/>
        <n v="57.0200065"/>
        <n v="56.97098035"/>
        <n v="56.9008065999999"/>
        <n v="56.9866895"/>
        <n v="56.97034375"/>
        <n v="56.9325267"/>
        <n v="56.9573521"/>
        <n v="56.9710535"/>
        <n v="56.9666958"/>
        <n v="56.94174375"/>
        <n v="56.9543228"/>
        <n v="56.9348145"/>
        <n v="56.9559632499999"/>
        <n v="56.93967905"/>
        <n v="56.9766839"/>
        <n v="56.9358256999999"/>
        <n v="56.9573204"/>
        <n v="56.9483908"/>
        <n v="56.97782785"/>
        <n v="56.9992634"/>
        <n v="56.96172495"/>
        <n v="56.95911535"/>
        <n v="56.9721458"/>
        <n v="56.93111235"/>
        <n v="56.9635463"/>
        <n v="56.9136866"/>
        <n v="56.9831771"/>
        <n v="57.0301906"/>
        <n v="57.02968905"/>
        <n v="56.91126875"/>
        <n v="56.95559025"/>
        <n v="56.9179738"/>
        <n v="56.91430155"/>
        <n v="56.9601343"/>
        <n v="56.91425235"/>
        <n v="56.9629237"/>
        <n v="56.9513344"/>
        <n v="56.96664995"/>
        <n v="56.9607613"/>
        <n v="56.9718417499999"/>
        <n v="56.9372249"/>
        <n v="56.96666715"/>
        <n v="56.9547609"/>
        <n v="56.96328655"/>
        <n v="56.95714135"/>
        <n v="56.9492707"/>
        <n v="56.9485304"/>
        <n v="56.9950439499999"/>
        <n v="57.0342321499999"/>
        <n v="56.95619685"/>
        <n v="56.93178985"/>
        <n v="56.9518761"/>
        <n v="56.9414334"/>
        <n v="56.9487783"/>
        <n v="56.9546261"/>
        <n v="56.9269604"/>
        <n v="56.9510944999999"/>
        <n v="56.96548875"/>
        <n v="56.94805795"/>
        <n v="56.9617208"/>
        <n v="56.9727809"/>
        <n v="56.96824655"/>
        <n v="56.96459075"/>
        <n v="56.94308385"/>
        <n v="56.9624521"/>
        <n v="56.9609321"/>
        <n v="56.9605444"/>
        <n v="56.96821235"/>
        <n v="56.95954305"/>
        <n v="57.02873485"/>
        <n v="57.03641915"/>
        <n v="56.9667799"/>
        <n v="56.95530025"/>
        <n v="56.9434633"/>
        <n v="56.97638375"/>
        <n v="56.9455284"/>
        <n v="56.9730971"/>
        <n v="56.9605352"/>
        <n v="56.9050603999999"/>
        <n v="56.9640876"/>
        <n v="56.8970109"/>
        <n v="56.94071245"/>
        <n v="56.9600455"/>
        <n v="56.94293985"/>
        <n v="56.90028665"/>
        <n v="56.93637855"/>
        <n v="57.031049"/>
        <n v="56.9313316"/>
        <n v="56.94719075"/>
        <n v="56.9609919"/>
        <n v="56.9559593"/>
        <n v="56.9504863"/>
        <n v="56.91192745"/>
        <n v="57.03465345"/>
        <n v="56.9707462"/>
        <n v="56.9594676"/>
        <n v="56.957491"/>
        <n v="56.9782177999999"/>
        <n v="56.9606714"/>
        <n v="56.92693735"/>
        <n v="56.955472"/>
        <n v="56.9386726"/>
        <n v="56.9541762"/>
        <n v="56.9542324"/>
        <n v="56.93915935"/>
        <n v="56.9524291"/>
        <n v="56.94175645"/>
        <n v="56.91992425"/>
        <n v="56.96300795"/>
        <n v="57.03437255"/>
        <n v="56.9572401"/>
        <n v="56.92484785"/>
        <n v="56.96472115"/>
        <n v="56.9427474"/>
        <n v="57.0313424"/>
        <n v="56.90364565"/>
        <n v="56.9969355"/>
        <n v="56.97693595"/>
        <n v="56.9570213"/>
        <n v="56.9118027"/>
        <n v="56.9641969"/>
        <n v="56.9485064"/>
        <n v="56.9452001"/>
        <n v="56.95486825"/>
        <n v="56.9516291"/>
        <n v="56.94475115"/>
        <n v="56.9602878"/>
        <n v="56.96864425"/>
        <n v="56.9725816"/>
        <n v="56.96027135"/>
        <n v="56.95719445"/>
        <n v="56.93620525"/>
        <n v="56.9655513"/>
        <n v="56.9618904999999"/>
        <n v="56.9285604"/>
        <n v="57.0366979"/>
        <n v="56.97476385"/>
        <n v="56.9392397999999"/>
        <n v="56.9390032"/>
        <n v="56.95423785"/>
        <n v="56.9489016"/>
        <n v="56.95239265"/>
        <n v="56.9512979"/>
        <n v="59.3474706"/>
        <n v="56.90025155"/>
        <n v="56.91394475"/>
        <n v="56.96845095"/>
        <n v="56.997753"/>
        <n v="56.9832818"/>
        <n v="56.9114313"/>
        <n v="57.0128169"/>
        <n v="57.0197401"/>
        <n v="57.0520138"/>
        <n v="56.91540985"/>
        <n v="56.9386094"/>
        <n v="57.0368101"/>
        <n v="56.91740615"/>
        <n v="56.9437505"/>
        <n v="56.9472774"/>
        <n v="56.9735033"/>
        <n v="56.94830925"/>
        <n v="56.9401616"/>
        <n v="56.93870705"/>
        <n v="56.9411923"/>
        <n v="56.9488752"/>
        <n v="56.9068216"/>
        <n v="56.9714749"/>
        <n v="56.95979295"/>
        <n v="56.9032135"/>
        <n v="56.95658335"/>
        <n v="56.9548643"/>
        <n v="57.00109145"/>
        <n v="56.9636967999999"/>
        <n v="56.92851835"/>
        <n v="56.9766924"/>
        <n v="56.9519769"/>
        <n v="56.9536789"/>
        <n v="57.00012555"/>
        <n v="56.9664355"/>
        <n v="56.96199595"/>
        <n v="56.93090445"/>
        <n v="56.95369035"/>
        <n v="56.9480533"/>
        <n v="56.94181855"/>
        <n v="56.9612457"/>
        <n v="56.9483707"/>
        <n v="56.973443"/>
        <n v="56.9697688"/>
        <n v="56.9530173499999"/>
        <n v="56.9531617"/>
        <n v="56.9133542"/>
        <n v="56.9403767999999"/>
        <n v="56.9959975999999"/>
        <n v="56.9599982"/>
        <n v="56.96529995"/>
        <n v="56.912781"/>
        <n v="56.957651"/>
        <n v="56.926804"/>
        <n v="56.9418126"/>
        <n v="56.9650449"/>
        <n v="56.9521409"/>
        <n v="56.9623515"/>
        <n v="56.9513816"/>
        <n v="57.0420376"/>
        <n v="56.94116275"/>
        <n v="56.9698178999999"/>
        <n v="56.9738101"/>
        <n v="56.915126"/>
        <n v="56.94168555"/>
        <n v="57.0200178"/>
        <n v="56.91103805"/>
        <n v="56.9137631499999"/>
        <n v="56.9386534"/>
        <n v="56.9575761499999"/>
        <n v="56.9543914"/>
        <n v="56.953575"/>
        <n v="56.9436071"/>
        <n v="56.90813455"/>
        <n v="56.9640088"/>
        <n v="56.9326289"/>
        <n v="57.02158285"/>
        <n v="56.9940605"/>
        <n v="56.9063124"/>
        <n v="56.9805296"/>
        <n v="56.9331169"/>
        <n v="56.972242"/>
        <n v="56.965298"/>
        <n v="56.96137025"/>
        <n v="56.9777177"/>
        <n v="56.9827633999999"/>
        <n v="56.9820832"/>
        <n v="56.9436873"/>
        <n v="56.9552183499999"/>
        <n v="56.9008096"/>
        <n v="56.936719"/>
        <n v="56.9449973"/>
        <n v="56.9528832999999"/>
        <n v="56.93353555"/>
        <n v="56.96388685"/>
        <n v="56.948853"/>
        <n v="56.956564"/>
        <n v="56.9546515"/>
        <n v="56.9054036"/>
        <n v="56.94096295"/>
        <n v="56.9650257"/>
        <n v="56.95137875"/>
        <n v="56.9506608"/>
        <n v="56.94153595"/>
        <n v="56.93600265"/>
        <n v="56.91580105"/>
        <n v="56.9736022999999"/>
        <n v="57.1465149"/>
        <n v="56.95965205"/>
        <n v="57.03729585"/>
        <n v="57.003108"/>
        <n v="57.0002664"/>
        <n v="56.95322835"/>
        <n v="56.9528907"/>
        <n v="56.98865355"/>
        <n v="56.96861735"/>
        <n v="56.97354585"/>
        <n v="56.9678084"/>
        <n v="56.9469754"/>
        <n v="56.9365339999999"/>
        <n v="56.9507117"/>
        <n v="56.9406155"/>
        <n v="56.9593385"/>
        <n v="56.9336224"/>
        <n v="56.9817147"/>
        <n v="56.9508065499999"/>
        <n v="56.948717"/>
        <n v="56.91229505"/>
        <n v="56.96965905"/>
        <n v="56.9641143"/>
        <n v="56.9610245"/>
        <n v="56.9606867"/>
        <n v="56.9622593"/>
        <n v="56.95329855"/>
        <n v="56.9537092"/>
        <n v="56.95595215"/>
        <n v="56.959738"/>
        <n v="56.9983158999999"/>
        <n v="56.9561637"/>
        <n v="56.9645991"/>
        <n v="56.94429185"/>
        <n v="56.9491401"/>
        <n v="56.94143975"/>
        <n v="56.9350026"/>
        <n v="57.03751635"/>
        <n v="56.91983035"/>
        <n v="56.9778012"/>
        <n v="56.9426158"/>
        <n v="57.02737355"/>
        <n v="56.9626668"/>
        <n v="57.00848"/>
        <n v="56.9436067"/>
        <n v="56.9851479"/>
        <n v="56.9480278"/>
        <n v="56.97690435"/>
        <n v="56.97568045"/>
        <n v="56.9829103999999"/>
        <n v="56.96446795"/>
        <n v="56.97539405"/>
        <n v="56.96490685"/>
        <n v="56.93481935"/>
        <n v="56.9837612"/>
        <n v="56.92977845"/>
        <n v="56.93217605"/>
        <n v="56.95076315"/>
        <n v="56.9126948"/>
        <n v="56.9488883"/>
        <n v="56.9494342"/>
        <n v="56.9810586499999"/>
        <n v="56.9812953499999"/>
        <n v="56.942365"/>
        <n v="56.9597946"/>
        <n v="56.91537545"/>
        <n v="56.95355685"/>
        <n v="56.9576685"/>
        <n v="56.9462032"/>
        <n v="56.96156055"/>
        <n v="56.94666195"/>
        <n v="56.9093617"/>
        <n v="56.9236832"/>
        <n v="56.9580423"/>
        <n v="56.9401889"/>
        <n v="56.94718845"/>
        <n v="56.95864045"/>
        <n v="56.9713263999999"/>
        <n v="56.98048335"/>
        <n v="56.9803373999999"/>
        <n v="56.93994095"/>
        <n v="56.950576"/>
        <n v="56.9596689"/>
        <n v="46.770384"/>
        <n v="56.95777395"/>
        <n v="56.9541845"/>
        <n v="56.9559351"/>
        <n v="56.89894185"/>
        <n v="56.9533905499999"/>
        <n v="56.9490942"/>
        <n v="56.95911955"/>
        <n v="56.94312495"/>
        <n v="56.9540449"/>
        <n v="56.9623408"/>
        <n v="56.9865422999999"/>
        <n v="56.9622774"/>
        <n v="56.95305905"/>
        <n v="56.9768701"/>
        <n v="56.9479582"/>
        <n v="56.9271387999999"/>
        <n v="56.92963225"/>
        <n v="56.961845"/>
        <n v="56.98890605"/>
        <n v="56.9598383"/>
        <n v="56.9456426499999"/>
        <n v="57.0205705"/>
        <n v="56.9397842"/>
        <n v="56.9446613"/>
        <n v="56.95030235"/>
        <n v="56.9633219"/>
        <n v="56.9066938499999"/>
        <n v="56.9507767"/>
        <n v="56.9827053"/>
        <n v="56.9446815999999"/>
        <n v="56.9462443"/>
        <n v="56.9133625"/>
        <n v="56.94979075"/>
        <n v="56.9683499"/>
        <n v="56.9818802"/>
        <n v="56.9517282"/>
        <n v="56.9625058"/>
        <n v="56.9598704"/>
        <n v="56.962789"/>
        <n v="57.0394776"/>
        <n v="56.9619135"/>
        <n v="56.9592805"/>
        <n v="56.9802806999999"/>
        <n v="56.9555825"/>
        <n v="56.945976"/>
        <n v="56.92792645"/>
        <n v="56.9699683"/>
        <n v="56.96423965"/>
        <n v="56.9896783"/>
        <n v="56.9433213"/>
        <n v="57.0395394"/>
        <n v="56.9243824"/>
        <n v="56.96374145"/>
        <n v="57.0277908"/>
        <n v="56.94192195"/>
        <n v="56.9551881"/>
        <n v="56.9099260499999"/>
        <n v="56.9888182"/>
        <n v="56.9309878"/>
        <n v="56.957361"/>
        <n v="56.95734025"/>
        <n v="56.9542735"/>
        <n v="56.93929165"/>
        <n v="56.9442174"/>
        <n v="56.9651385"/>
        <n v="56.9563965"/>
        <n v="56.94358355"/>
        <n v="56.9310912"/>
        <n v="56.97925895"/>
        <n v="56.96762"/>
        <n v="56.9160082"/>
        <n v="56.9554409"/>
        <n v="56.9048218"/>
        <n v="56.99726155"/>
        <n v="56.96259715"/>
        <n v="56.9671678"/>
        <n v="56.9634571"/>
        <n v="56.92952585"/>
        <n v="56.9469888"/>
        <n v="56.9491789"/>
        <n v="56.93115325"/>
        <n v="56.9472543"/>
        <n v="56.92991675"/>
        <n v="56.9339826"/>
        <n v="56.9547815"/>
        <n v="56.91613955"/>
        <n v="57.0070931"/>
        <n v="56.9388472"/>
        <n v="56.9080231"/>
        <n v="56.90511365"/>
        <n v="56.9038744"/>
        <n v="56.94661035"/>
        <n v="56.9633342"/>
        <n v="56.9119415"/>
        <n v="56.9542113"/>
        <n v="56.9367838"/>
        <n v="56.9561863499999"/>
        <n v="56.97200975"/>
        <n v="56.98669595"/>
        <n v="56.9392107"/>
        <n v="56.9533366"/>
        <n v="56.96557365"/>
        <n v="56.94450585"/>
        <n v="56.9432218"/>
        <n v="56.94243255"/>
        <n v="56.9575184"/>
        <n v="56.9421782"/>
        <n v="56.9048408999999"/>
        <n v="56.9382249"/>
        <n v="56.9614459"/>
        <n v="57.0367567499999"/>
        <n v="57.0397183"/>
        <n v="56.95987425"/>
        <n v="56.90032605"/>
        <n v="56.9256893"/>
        <n v="56.9394081"/>
        <n v="56.9556302999999"/>
        <n v="56.95408345"/>
        <n v="56.9435433"/>
        <n v="56.9408074"/>
        <n v="56.94035005"/>
        <n v="56.95682185"/>
        <n v="56.9514796"/>
        <n v="56.9409349"/>
        <n v="56.9497325"/>
        <n v="56.9106429499999"/>
        <n v="56.90143645"/>
        <n v="56.9604511999999"/>
        <n v="56.9583184"/>
        <n v="56.9474336"/>
        <n v="56.9565335"/>
        <n v="56.9833122"/>
        <n v="56.96659085"/>
        <n v="56.9600138"/>
        <n v="56.960897"/>
        <n v="56.9466234"/>
        <n v="56.957595"/>
        <n v="57.0311238"/>
        <n v="57.03684145"/>
        <n v="56.95337965"/>
        <n v="56.95029005"/>
        <n v="56.9214421"/>
        <n v="56.96321085"/>
        <n v="56.9635222"/>
        <n v="56.95772985"/>
        <n v="56.95720875"/>
        <n v="56.9802504"/>
        <n v="56.9559909"/>
        <n v="56.9754427999999"/>
        <n v="56.9370581999999"/>
        <n v="56.9410497"/>
        <n v="56.96051595"/>
        <n v="56.9488525"/>
        <n v="56.9647715"/>
        <n v="56.9150159999999"/>
        <n v="56.9503591"/>
        <n v="56.9658337"/>
        <n v="56.99858105"/>
        <n v="56.9319092"/>
        <n v="56.9615303"/>
        <n v="56.97070465"/>
        <n v="56.95248815"/>
        <n v="56.9512368"/>
        <n v="56.9789092"/>
        <n v="56.95048825"/>
        <n v="56.94383305"/>
        <n v="56.93312415"/>
        <n v="56.9542026"/>
        <n v="56.9413998499999"/>
        <n v="57.02046865"/>
        <n v="56.9566456"/>
        <n v="56.9506867"/>
        <n v="56.958294"/>
        <n v="56.9574559499999"/>
        <n v="56.9729911999999"/>
        <n v="56.9365587"/>
        <n v="56.9694194"/>
        <n v="56.9429655"/>
        <n v="56.97962215"/>
        <n v="56.9683462"/>
        <n v="57.0294913"/>
        <n v="56.9413782"/>
        <n v="56.9446708"/>
        <n v="56.93409355"/>
        <n v="56.90349755"/>
        <n v="56.90156125"/>
        <n v="56.95757025"/>
        <n v="56.9659754"/>
        <n v="56.9533468"/>
        <n v="56.9348571"/>
        <n v="57.0289807"/>
        <n v="56.94462625"/>
        <n v="56.9449087499999"/>
        <n v="56.93640045"/>
        <n v="56.96543915"/>
        <n v="56.96762275"/>
        <n v="56.9520814"/>
        <n v="56.90997115"/>
        <n v="56.9573366"/>
        <n v="56.9963311"/>
        <n v="56.94682325"/>
        <n v="56.95822195"/>
        <n v="57.04145835"/>
        <n v="57.021333"/>
        <n v="56.97017405"/>
        <n v="56.9438879"/>
        <n v="56.946815"/>
        <n v="56.94972565"/>
        <n v="56.95950265"/>
        <n v="57.03317275"/>
        <n v="56.94591245"/>
        <n v="56.9032732999999"/>
        <n v="56.9467218"/>
        <n v="56.92972905"/>
        <n v="56.9542909"/>
        <n v="56.9961933"/>
        <n v="56.95304725"/>
        <n v="56.9513367499999"/>
        <n v="56.9129169"/>
        <n v="56.9554028"/>
        <n v="56.9688549"/>
        <n v="56.95362985"/>
        <n v="56.96806095"/>
        <n v="56.95966275"/>
        <n v="56.9597768"/>
        <n v="57.0364757"/>
        <n v="56.9802132"/>
        <n v="56.9611987"/>
        <n v="56.94060485"/>
        <n v="56.9744532"/>
        <n v="56.94540965"/>
        <n v="56.9525161"/>
        <n v="56.9433252"/>
        <n v="57.02680235"/>
        <n v="56.9659858"/>
        <n v="56.9521361"/>
        <n v="57.0372828"/>
        <n v="56.97560265"/>
        <n v="56.914774"/>
        <n v="56.94212835"/>
        <n v="56.9516012499999"/>
        <n v="56.9641893"/>
        <n v="56.96000855"/>
        <n v="56.894617"/>
        <n v="56.9693735"/>
        <n v="56.98189375"/>
        <n v="56.9804249"/>
        <n v="56.9584765"/>
        <n v="56.9927416"/>
        <n v="56.9503847"/>
        <n v="56.9472361499999"/>
        <n v="56.9023667"/>
        <n v="56.9568556"/>
        <n v="56.9764701"/>
        <n v="57.0292877499999"/>
        <n v="57.02813745"/>
        <n v="56.9671659"/>
        <n v="56.9553949"/>
        <n v="56.9835792"/>
        <n v="56.9282438"/>
        <n v="56.9442148499999"/>
        <n v="56.9522316"/>
        <n v="56.94868015"/>
        <n v="56.9951843"/>
        <n v="56.9537909"/>
        <n v="56.9380435"/>
        <n v="56.96759045"/>
        <n v="56.93643985"/>
        <n v="56.9684782"/>
        <n v="56.956956"/>
        <n v="56.9868556"/>
        <n v="56.9601806"/>
        <n v="56.9078304"/>
        <n v="56.902508"/>
        <n v="56.8994442"/>
        <n v="56.96664825"/>
        <n v="56.9550229"/>
        <n v="56.9342970999999"/>
        <n v="56.977035"/>
        <n v="56.98755415"/>
        <n v="56.9159682"/>
        <n v="56.9624912"/>
        <n v="56.9524058"/>
        <n v="56.9692798"/>
        <n v="56.9647813499999"/>
        <n v="56.9993082"/>
        <n v="56.93482975"/>
        <n v="56.99212705"/>
        <n v="56.9541885"/>
        <n v="56.9619428"/>
        <n v="56.9458712"/>
        <n v="56.9415104"/>
        <n v="56.9492446"/>
        <n v="56.9649596"/>
        <n v="56.9454255"/>
        <n v="56.9706776"/>
        <n v="56.9870626"/>
        <n v="57.0297257"/>
        <n v="56.9614466999999"/>
        <n v="56.9484561999999"/>
        <n v="56.9791223"/>
        <n v="56.9832776"/>
        <n v="56.98858945"/>
        <n v="56.95273165"/>
        <n v="56.9160513"/>
        <n v="57.03668605"/>
        <n v="56.9845152"/>
        <n v="56.9610331"/>
        <n v="56.96518945"/>
        <n v="57.03735625"/>
        <n v="56.9461441499999"/>
        <n v="56.97624495"/>
        <n v="56.96333825"/>
        <n v="56.9278295"/>
        <n v="56.96513"/>
        <n v="56.9428355"/>
        <n v="57.04009055"/>
        <n v="56.95867065"/>
        <n v="56.9521379"/>
        <n v="56.9064394"/>
        <n v="57.0315147"/>
        <n v="56.9645580499999"/>
        <n v="56.9642567"/>
        <n v="56.985773"/>
        <n v="56.9631708"/>
        <n v="56.9534705"/>
        <n v="56.9607718"/>
        <n v="56.9536074"/>
        <n v="56.97695975"/>
        <n v="56.96169835"/>
        <n v="56.9591346"/>
        <n v="56.9128148"/>
        <n v="57.0014823"/>
        <n v="56.98700925"/>
        <n v="56.95638065"/>
        <n v="56.97189285"/>
        <n v="56.9424947"/>
        <n v="56.9023533999999"/>
        <n v="57.0283804"/>
        <n v="57.02847565"/>
        <n v="56.91347885"/>
        <n v="56.9179763"/>
        <n v="57.01959205"/>
        <n v="56.94310575"/>
        <n v="56.97897505"/>
        <n v="56.98013995"/>
        <n v="56.9503971"/>
        <n v="56.9528911999999"/>
        <n v="56.96184315"/>
        <n v="56.9452853"/>
        <n v="56.913225"/>
        <n v="56.95009165"/>
        <n v="56.9475472"/>
        <n v="56.9259282"/>
        <n v="57.00023195"/>
        <n v="56.9676747"/>
        <n v="57.0448915"/>
        <n v="56.95225155"/>
        <n v="56.9577769"/>
        <n v="56.95349575"/>
        <n v="56.95603255"/>
        <n v="56.9688431"/>
        <n v="56.963677"/>
        <n v="56.9498859"/>
        <n v="56.9372129"/>
        <n v="56.95853595"/>
        <n v="57.0290757"/>
        <n v="56.9039544"/>
        <n v="56.92783115"/>
        <n v="56.97300075"/>
        <n v="56.96521775"/>
        <n v="56.9502634"/>
        <n v="56.9612506"/>
        <n v="56.9001741"/>
        <n v="56.96023005"/>
        <n v="56.9567552"/>
        <n v="56.9432032999999"/>
        <n v="56.9479382"/>
        <n v="56.8702755"/>
        <n v="56.9928725"/>
        <n v="57.0221222499999"/>
        <n v="56.9604566"/>
        <n v="56.9660625"/>
        <n v="56.9545069"/>
        <n v="56.9010582"/>
        <n v="56.9673626"/>
        <n v="56.96223585"/>
        <n v="56.9667933"/>
        <n v="56.9468335"/>
        <n v="56.9708679"/>
        <n v="56.96583145"/>
        <n v="56.9395194"/>
        <n v="56.9252257"/>
        <n v="56.96114435"/>
        <n v="56.9650989"/>
        <n v="56.96328465"/>
        <n v="56.948395"/>
        <n v="56.98609795"/>
        <n v="56.950365"/>
        <n v="56.9539529"/>
        <n v="56.9801687"/>
        <n v="56.97169955"/>
        <n v="56.94318895"/>
        <n v="57.0381297499999"/>
        <n v="56.9630335"/>
        <n v="56.9709196"/>
        <n v="56.9435988"/>
        <n v="56.963337"/>
        <n v="56.9432506499999"/>
        <n v="56.9328894"/>
        <n v="56.9657634"/>
        <n v="56.92808005"/>
        <n v="56.92786905"/>
        <n v="56.9585833999999"/>
        <n v="56.97128995"/>
        <n v="56.96045345"/>
        <n v="56.94302545"/>
        <n v="56.96734075"/>
        <n v="56.9002148"/>
        <n v="56.9562845"/>
        <n v="56.95316655"/>
        <n v="56.9387007"/>
        <n v="56.9030711"/>
        <n v="56.9657676"/>
        <n v="56.9030242"/>
        <n v="56.9658644"/>
        <n v="56.93828915"/>
        <n v="56.9086294"/>
        <n v="56.9608671999999"/>
        <n v="56.9506479"/>
        <n v="56.9642738"/>
        <n v="57.0359823"/>
        <n v="56.9434397"/>
        <n v="56.9555873"/>
        <n v="56.97028135"/>
        <n v="56.9522631"/>
        <n v="56.9660011"/>
        <n v="57.04000775"/>
        <n v="56.9612816"/>
        <n v="56.9712464"/>
        <n v="56.9433742"/>
        <n v="56.9525554"/>
        <n v="56.96041605"/>
        <n v="56.9445487"/>
        <n v="56.9688914"/>
        <n v="56.9571002999999"/>
        <n v="56.95067725"/>
        <n v="56.9463597"/>
        <n v="57.03732105"/>
      </sharedItems>
    </cacheField>
    <cacheField name="lon">
      <sharedItems containsMixedTypes="1" containsNumber="1">
        <n v="24.2021393392559"/>
        <n v="24.09835015"/>
        <n v="24.1398842"/>
        <n v="24.3083417"/>
        <n v="24.1660424135714"/>
        <n v="24.1237638"/>
        <n v="24.18936465"/>
        <s v="NaN"/>
        <n v="24.128357771229"/>
        <n v="24.2544503"/>
        <n v="24.13501185"/>
        <n v="24.2400597"/>
        <n v="24.2351586311777"/>
        <n v="24.1703845"/>
        <n v="24.0014164"/>
        <n v="24.2335309150293"/>
        <n v="24.1467585"/>
        <n v="24.0998855645099"/>
        <n v="24.2163422"/>
        <n v="24.2351297251986"/>
        <n v="24.0359751945236"/>
        <n v="24.1706167383245"/>
        <n v="24.1276865"/>
        <n v="24.1441423352317"/>
        <n v="24.1476406"/>
        <n v="24.1100004569314"/>
        <n v="24.0508646842677"/>
        <n v="24.2365113562527"/>
        <n v="24.18677075"/>
        <n v="24.2126243664139"/>
        <n v="24.0505207014209"/>
        <n v="24.01574948511"/>
        <n v="24.1452571692525"/>
        <n v="24.20369795"/>
        <n v="24.1830043136253"/>
        <n v="24.0882804"/>
        <n v="24.1212313"/>
        <n v="24.1376419"/>
        <n v="24.1267505"/>
        <n v="24.1963668754421"/>
        <n v="24.247249"/>
        <n v="24.0999991251943"/>
        <n v="24.1556898638912"/>
        <n v="24.1859785589656"/>
        <n v="24.1757569002296"/>
        <n v="24.1269940321731"/>
        <n v="24.1488881"/>
        <n v="24.0912771146169"/>
        <n v="24.1306619"/>
        <n v="24.1425116"/>
        <n v="24.0896779592055"/>
        <n v="24.0433356532986"/>
        <n v="24.213177111898"/>
        <n v="24.2254638"/>
        <n v="24.1248268"/>
        <n v="24.0673487092408"/>
        <n v="24.2460206930134"/>
        <n v="24.1477109"/>
        <n v="24.178029437892"/>
        <n v="24.0924674073424"/>
        <n v="24.0876707999998"/>
        <n v="24.0930573319028"/>
        <n v="24.2080293"/>
        <n v="24.1050379341528"/>
        <n v="24.1405231747945"/>
        <n v="24.2443207293107"/>
        <n v="24.1273961"/>
        <n v="24.1413962131361"/>
        <n v="24.0609632086428"/>
        <n v="24.0327413709408"/>
        <n v="24.1325729821556"/>
        <n v="24.1445891181308"/>
        <n v="24.1842300455895"/>
        <n v="24.1271389"/>
        <n v="24.1449329"/>
        <n v="24.0623652"/>
        <n v="24.1394667939636"/>
        <n v="24.0996557553473"/>
        <n v="24.01821679525"/>
        <n v="24.0769771776445"/>
        <n v="24.0028561019525"/>
        <n v="24.2443253"/>
        <n v="24.133767"/>
        <n v="24.1999196"/>
        <n v="24.04998795"/>
        <n v="24.1232876749981"/>
        <n v="24.0166971"/>
        <n v="24.0785989"/>
        <n v="24.1242108827278"/>
        <n v="24.1411337"/>
        <n v="24.2773415269943"/>
        <n v="24.0389108"/>
        <n v="24.11631975"/>
        <n v="24.1670673928227"/>
        <n v="24.1738294911868"/>
        <n v="24.1704860207815"/>
        <n v="24.013887042853"/>
        <n v="24.05205275"/>
        <n v="24.1998859564754"/>
        <n v="24.1939751999999"/>
        <n v="24.1734239"/>
        <n v="24.1946005733452"/>
        <n v="24.2063672999999"/>
        <n v="24.0020688644395"/>
        <n v="24.1106154842457"/>
        <n v="24.0978813892038"/>
        <n v="24.0954531"/>
        <n v="24.1110494445365"/>
        <n v="24.1492892043"/>
        <n v="24.0954157"/>
        <n v="24.21522315"/>
        <n v="24.0247952"/>
        <n v="24.1258646679154"/>
        <n v="24.1207347"/>
        <n v="24.0186127580713"/>
        <n v="24.1694646616754"/>
        <n v="24.1734659"/>
        <n v="24.1774824079002"/>
        <n v="24.094025"/>
        <n v="24.0479287499999"/>
        <n v="24.1944185410887"/>
        <n v="24.13562495"/>
        <n v="24.1531056"/>
        <n v="24.2129281"/>
        <n v="24.2153165101088"/>
        <n v="24.1376555"/>
        <n v="24.0845534508617"/>
        <n v="24.0030188392346"/>
        <n v="24.0655410145407"/>
        <n v="24.1388658"/>
        <n v="24.1127805007715"/>
        <n v="24.2364782978591"/>
        <n v="24.201209"/>
        <n v="24.1019323631236"/>
        <n v="24.071392"/>
        <n v="24.0507266"/>
        <n v="24.1354202416193"/>
        <n v="24.1730688"/>
        <n v="24.1301309"/>
        <n v="24.1326836"/>
        <n v="24.1487611651785"/>
        <n v="24.1453913835109"/>
        <n v="24.0553772495031"/>
        <n v="24.1094639533088"/>
        <n v="24.0156589752924"/>
        <n v="24.1115806"/>
        <n v="24.0904439555017"/>
        <n v="24.1066446092479"/>
        <n v="24.0220548389577"/>
        <n v="24.0696882"/>
        <n v="24.1490465"/>
        <n v="24.1203782"/>
        <n v="24.1387559142138"/>
        <n v="24.1753163275791"/>
        <n v="24.1075394109907"/>
        <n v="24.1234383"/>
        <n v="24.1319905"/>
        <n v="24.21901805"/>
        <n v="24.1285"/>
        <n v="24.1521939477261"/>
        <n v="24.1282258"/>
        <n v="24.1660728"/>
        <n v="24.2761911"/>
        <n v="24.055202274196"/>
        <n v="24.0913836"/>
        <n v="24.1493117212851"/>
        <n v="24.1332233674463"/>
        <n v="24.1786685253711"/>
        <n v="24.2335864"/>
        <n v="24.2138427278084"/>
        <n v="24.1909674"/>
        <n v="24.116859"/>
        <n v="24.1412986122923"/>
        <n v="24.21101315"/>
        <n v="24.1221141"/>
        <n v="24.0238997"/>
        <n v="24.1732945"/>
        <n v="24.1261795"/>
        <n v="24.0889960683413"/>
        <n v="24.2370466931952"/>
        <n v="24.2002345827173"/>
        <n v="24.0939941127903"/>
        <n v="24.1436439"/>
        <n v="24.1987368"/>
        <n v="24.2911644248424"/>
        <n v="24.2378954328869"/>
        <n v="24.1536554"/>
        <n v="24.1371051"/>
        <n v="24.1376122"/>
        <n v="24.0680992583519"/>
        <n v="24.1224571478615"/>
        <n v="24.0965337335385"/>
        <n v="24.1497716"/>
        <n v="24.1706639381423"/>
        <n v="24.2373330786018"/>
        <n v="24.1370086"/>
        <n v="24.1190117"/>
        <n v="23.1472299"/>
        <n v="24.1744972362906"/>
        <n v="24.0512495673782"/>
        <n v="24.0693919093666"/>
        <n v="24.1951866"/>
        <n v="24.20051235"/>
        <n v="24.2291887859803"/>
        <n v="24.097641602805"/>
        <n v="24.1329895"/>
        <n v="24.1813539003571"/>
        <n v="24.1262578927701"/>
        <n v="24.0344957"/>
        <n v="24.1232518"/>
        <n v="24.0617817917367"/>
        <n v="24.0484273830414"/>
        <n v="24.1092928040999"/>
        <n v="24.1723166"/>
        <n v="24.1208792392751"/>
        <n v="24.0668175830755"/>
        <n v="24.1281801"/>
        <n v="24.0076244266968"/>
        <n v="24.0276650247552"/>
        <n v="24.2375509025527"/>
        <n v="24.124026"/>
        <n v="24.1433157"/>
        <n v="24.1835723"/>
        <n v="24.1672841"/>
        <n v="24.0059629092062"/>
        <n v="24.1122608"/>
        <n v="24.1424140182867"/>
        <n v="24.2432239392002"/>
        <n v="24.0537289468904"/>
        <n v="24.0102727"/>
        <n v="24.1768222238815"/>
        <n v="24.0228425"/>
        <n v="24.1209763"/>
        <n v="24.0748749853437"/>
        <n v="24.0718085"/>
        <n v="24.2040933"/>
        <n v="24.1360568"/>
        <n v="24.0010354704442"/>
        <n v="24.181101"/>
        <n v="24.1077134"/>
        <n v="24.1376721961127"/>
        <n v="24.1331108"/>
        <n v="24.3179227"/>
        <n v="24.0801468"/>
        <n v="24.0817647913357"/>
        <n v="24.0818363627676"/>
        <n v="24.1253999790613"/>
        <n v="24.1259069611911"/>
        <n v="24.1286325"/>
        <n v="24.1036355661932"/>
        <n v="24.2428441662371"/>
        <n v="24.1431538999999"/>
        <n v="24.1191334866356"/>
        <n v="24.1364923"/>
        <n v="24.1685884402146"/>
        <n v="24.1266027446091"/>
        <n v="24.101176263114"/>
        <n v="24.1099153"/>
        <n v="24.0106912730601"/>
        <n v="24.1500928445067"/>
        <n v="24.1378884"/>
        <n v="24.0147522499219"/>
        <n v="24.1907987106043"/>
        <n v="24.1414198548449"/>
        <n v="24.0694937318141"/>
        <n v="24.1003622"/>
        <n v="24.0991443013819"/>
        <n v="24.0424848"/>
        <n v="24.24181865"/>
        <n v="24.053887004109"/>
        <n v="24.0586801411692"/>
        <n v="24.1082352486735"/>
        <n v="24.1513733"/>
        <n v="24.1091794"/>
        <n v="24.18990145"/>
        <n v="24.0675921"/>
        <n v="24.11476"/>
        <n v="24.1208218"/>
        <n v="24.0558009797261"/>
        <n v="24.1646236652287"/>
        <n v="24.2465564"/>
        <n v="24.1936547658469"/>
        <n v="24.1237749"/>
        <n v="24.1311146"/>
        <n v="24.1325617"/>
        <n v="24.09840055"/>
        <n v="24.1264378"/>
        <n v="24.1237609"/>
        <n v="24.19441621579"/>
        <n v="24.04099955"/>
        <n v="24.1310843043399"/>
        <n v="24.2295887977555"/>
        <n v="24.0391971"/>
        <n v="24.2340818"/>
        <n v="24.1493694905674"/>
        <n v="24.0558636462604"/>
        <n v="24.0254633"/>
        <n v="24.1346071"/>
        <n v="24.1462163385714"/>
        <n v="24.1961874494858"/>
        <n v="24.1006074257664"/>
        <n v="24.1313043698515"/>
        <n v="24.1354219163123"/>
        <n v="24.1216183"/>
        <n v="24.1141275"/>
        <n v="24.1377874"/>
        <n v="24.1208219161591"/>
        <n v="24.1224521"/>
        <n v="24.2280819"/>
        <n v="24.1342842"/>
        <n v="24.2981696499999"/>
        <n v="24.1701148972973"/>
        <n v="24.0235054261404"/>
        <n v="24.092327378378"/>
        <n v="24.1506497631578"/>
        <n v="24.1215599922982"/>
        <n v="24.0629937"/>
        <n v="24.1337531531518"/>
        <n v="24.0097101"/>
        <n v="24.0622605031773"/>
        <n v="24.1267306207389"/>
        <n v="24.1480584"/>
        <n v="24.2146330429204"/>
        <n v="24.1353545508412"/>
        <n v="24.1838668481569"/>
        <n v="24.1075711"/>
        <n v="24.1293006"/>
        <n v="24.2003814814285"/>
        <n v="24.1683435028215"/>
        <n v="24.2286390546237"/>
        <n v="24.0666393160705"/>
        <n v="24.19854765"/>
        <n v="24.122809649188"/>
        <n v="24.1980807"/>
        <n v="24.01580175"/>
        <n v="24.0711634602382"/>
        <n v="24.2003979499999"/>
        <n v="24.0465146"/>
        <n v="24.1123471"/>
        <n v="12.05044145"/>
        <n v="24.0659372"/>
        <n v="24.1280636132716"/>
        <n v="24.1020912732192"/>
        <n v="24.0963098078538"/>
        <n v="24.2209157822299"/>
        <n v="24.1111013"/>
        <n v="24.1236797"/>
        <n v="24.200200711641"/>
        <n v="24.1166644346289"/>
        <n v="24.1474099932537"/>
        <n v="24.138670758867"/>
        <n v="24.1114738591085"/>
        <n v="24.2461035663916"/>
        <n v="24.142522262001"/>
        <n v="24.121861"/>
        <n v="24.2226369"/>
        <n v="24.1217522"/>
        <n v="24.1354853"/>
        <n v="24.1516129451998"/>
        <n v="24.0112176797367"/>
        <n v="24.13004095"/>
        <n v="24.0821144"/>
        <n v="24.1144353"/>
        <n v="24.1325244"/>
        <n v="24.1704467"/>
        <n v="-100.7081938"/>
        <n v="24.1479281197337"/>
        <n v="24.1264892056074"/>
        <n v="24.1231507"/>
        <n v="24.1985621"/>
        <n v="24.207307251669"/>
        <n v="24.2127513651119"/>
        <n v="24.20536485"/>
        <n v="24.0825136321712"/>
        <n v="24.0927797020755"/>
        <n v="24.1819824"/>
        <n v="24.1239600297848"/>
        <n v="24.1531645"/>
        <n v="24.1255938"/>
        <n v="24.201576660629"/>
        <n v="24.12289"/>
        <n v="24.0478995119403"/>
        <n v="24.0173908499999"/>
        <n v="24.1617323"/>
        <n v="24.0616848"/>
        <n v="24.0713339889391"/>
        <n v="24.1323630232783"/>
        <n v="24.0695082"/>
        <n v="24.0486124"/>
        <n v="24.1341844"/>
        <n v="24.1105898"/>
        <n v="24.1096105097308"/>
        <n v="24.058226716862"/>
        <n v="24.1792871648999"/>
        <n v="24.0633048760373"/>
        <n v="24.0497274"/>
        <n v="24.1879413147568"/>
        <n v="24.1042036001522"/>
        <n v="24.0365127"/>
        <n v="24.1732897"/>
        <n v="24.1656139"/>
        <n v="24.1689894"/>
        <n v="24.1772939679068"/>
        <n v="24.0697389"/>
        <n v="24.185960870958"/>
        <n v="24.1022820415013"/>
        <n v="24.136204"/>
        <n v="24.1412185789765"/>
        <n v="24.1017027"/>
        <n v="24.0495776507563"/>
        <n v="24.1027358"/>
        <n v="24.2379904057654"/>
        <n v="24.1300556"/>
        <n v="24.19103095"/>
        <n v="23.9994782564605"/>
        <n v="24.113967"/>
        <n v="24.0052372230516"/>
        <n v="24.0249072640026"/>
        <n v="24.1239787042266"/>
        <n v="24.1324545438518"/>
        <n v="24.18026665"/>
        <n v="24.0041068352535"/>
        <n v="24.0967059"/>
        <n v="24.1218628399213"/>
        <n v="24.1719745"/>
        <n v="24.0360848"/>
        <n v="24.1013700915502"/>
        <n v="24.2453697464297"/>
        <n v="24.1753303"/>
        <n v="24.1258148944244"/>
        <n v="24.2174231674689"/>
        <n v="24.1142701"/>
        <n v="24.1024598"/>
        <n v="24.0707010799226"/>
        <n v="24.1516983"/>
        <n v="24.2350567"/>
        <n v="24.1833327739692"/>
        <n v="24.1755336999999"/>
        <n v="24.1504795202315"/>
        <n v="24.1215352"/>
        <n v="24.1709469488025"/>
        <n v="24.1534989394562"/>
        <n v="24.1531491"/>
        <n v="24.1133461730018"/>
        <n v="24.1245704936982"/>
        <n v="24.1518237736013"/>
        <n v="24.1425821788061"/>
        <n v="24.1338907618534"/>
        <n v="24.0636401732876"/>
        <n v="24.1862380633367"/>
        <n v="24.1471279"/>
        <n v="24.2256484936398"/>
        <n v="24.1547355"/>
        <n v="24.2220345"/>
        <n v="24.1473581975706"/>
        <n v="24.2342410751615"/>
        <n v="24.0022200499999"/>
        <n v="24.1333294499999"/>
        <n v="24.0541638042451"/>
        <n v="24.210029700258"/>
        <n v="24.1220605"/>
        <n v="24.1384970339502"/>
        <n v="24.0751603975824"/>
        <n v="24.0837662708383"/>
        <n v="24.21369425"/>
        <n v="24.1228943565491"/>
        <n v="24.1836694706489"/>
        <n v="24.0976674049173"/>
        <n v="24.1871335021826"/>
        <n v="24.2300928779978"/>
        <n v="24.0577105016377"/>
        <n v="24.0840152657105"/>
        <n v="24.22621375"/>
        <n v="24.121914876333"/>
        <n v="24.1716498860135"/>
        <n v="24.099216029556"/>
        <n v="24.1004593277761"/>
        <n v="24.1796926217775"/>
        <n v="24.1329725"/>
        <n v="24.1241849"/>
        <n v="24.2110749"/>
        <n v="24.1079909"/>
        <n v="24.0604076"/>
        <n v="24.0414634146547"/>
        <n v="24.1264321"/>
        <n v="24.1091630445939"/>
        <n v="24.1233944812084"/>
        <n v="24.0464749"/>
        <n v="24.1100341"/>
        <n v="24.1239015"/>
        <n v="24.1882362649725"/>
        <n v="24.1327591319781"/>
        <n v="24.0505506480272"/>
        <n v="24.1222604"/>
        <n v="24.0276936"/>
        <n v="24.0549828893368"/>
        <n v="24.2018369722633"/>
        <n v="24.1106167"/>
        <n v="24.0998906442974"/>
        <n v="24.1666360443777"/>
        <n v="24.0538758814468"/>
        <n v="24.17698295"/>
        <n v="24.1654296"/>
        <n v="24.1115799"/>
        <n v="24.2472637777653"/>
        <n v="24.1016223840699"/>
        <n v="24.1364139006283"/>
        <n v="24.1097848172545"/>
        <n v="24.1337504"/>
        <n v="24.195207"/>
        <n v="24.1444746789804"/>
        <n v="24.0276706"/>
        <n v="24.134779"/>
        <n v="24.1741245533356"/>
        <n v="24.0080729754834"/>
        <n v="24.1222427"/>
        <n v="24.1703344302515"/>
        <n v="24.1461248193206"/>
        <n v="24.1330612"/>
        <n v="24.0439698"/>
        <n v="24.1381836611306"/>
        <n v="24.1760481976948"/>
        <n v="24.20066605"/>
        <n v="24.070950274442"/>
        <n v="24.1281800964357"/>
        <n v="24.1456351053152"/>
        <n v="24.1443988"/>
        <n v="24.1989595887157"/>
        <n v="24.1464958357009"/>
        <n v="24.0837422885217"/>
        <n v="24.0956731584611"/>
        <n v="24.1761138"/>
        <n v="24.2356197499999"/>
        <n v="24.1684585966139"/>
        <n v="24.0932253718371"/>
        <n v="24.143329801068"/>
        <n v="24.2472562883399"/>
        <n v="24.1155509"/>
        <n v="24.0651286264855"/>
        <n v="24.1021951"/>
        <n v="24.1729105268554"/>
        <n v="24.1833731423407"/>
        <n v="24.1442816140894"/>
        <n v="24.031457377538"/>
        <n v="24.117723500918"/>
        <n v="24.0691683057669"/>
        <n v="24.1322506039386"/>
        <n v="24.0925604"/>
        <n v="24.0642753752361"/>
        <n v="24.0527606999999"/>
        <n v="24.2177392125913"/>
        <n v="24.0479363756081"/>
        <n v="24.1908887"/>
        <n v="24.1445041"/>
        <n v="24.1316378"/>
        <n v="24.1736180973848"/>
        <n v="24.1717644188876"/>
        <n v="24.0640075"/>
        <n v="24.1253193"/>
        <n v="24.1105085"/>
        <n v="24.1541478038837"/>
        <n v="24.0038639173023"/>
        <n v="24.12127055"/>
        <n v="24.0712510907992"/>
        <n v="24.0498008499999"/>
        <n v="24.092222"/>
        <n v="24.100972"/>
        <n v="24.2491213725003"/>
        <n v="24.14978065"/>
        <n v="24.1100557075465"/>
        <n v="24.0833892577372"/>
        <n v="24.0550827"/>
        <n v="24.1026835316779"/>
        <n v="24.1417055671983"/>
        <n v="24.1350144"/>
        <n v="24.0999756383549"/>
        <n v="24.1036270773076"/>
        <n v="24.1224418671428"/>
        <n v="24.0243648"/>
        <n v="24.0436381"/>
        <n v="24.1126738322132"/>
        <n v="24.2063812"/>
        <n v="24.1109505"/>
        <n v="24.1707285664922"/>
        <n v="24.1958051764437"/>
        <n v="24.1682567862995"/>
        <n v="24.1206586"/>
        <n v="24.1420699"/>
        <n v="24.1184874917004"/>
        <n v="24.0335953499999"/>
        <n v="24.1265442589108"/>
        <n v="24.1972067778583"/>
        <n v="24.0324805"/>
        <n v="24.0918129"/>
        <n v="24.2364975524553"/>
        <n v="24.1243187075168"/>
        <n v="24.0948875747729"/>
        <n v="24.1252547"/>
        <n v="24.1804546101438"/>
        <n v="24.1328951"/>
        <n v="24.2298159546237"/>
        <n v="24.1898659253875"/>
        <n v="24.0555894763957"/>
        <n v="24.13914420351"/>
        <n v="24.1820249"/>
        <n v="24.1217233156297"/>
        <n v="24.1233217"/>
        <n v="24.0795537546748"/>
        <n v="24.1476783629466"/>
        <n v="24.18336245"/>
        <n v="24.1835724"/>
        <n v="24.1242481"/>
        <n v="24.0954070297358"/>
        <n v="24.0188057517847"/>
        <n v="24.2100652572056"/>
        <n v="24.0535387911323"/>
        <n v="24.1789939590232"/>
        <n v="24.10663595"/>
        <n v="24.1051126038627"/>
        <n v="24.17841515"/>
        <n v="24.024615574015"/>
        <n v="24.129702"/>
        <n v="24.1268450442253"/>
        <n v="24.1581326570728"/>
        <n v="24.2063672950924"/>
        <n v="24.1721578595744"/>
        <n v="24.1299733"/>
        <n v="24.2536804"/>
        <n v="24.1654225379032"/>
        <n v="24.1494258336194"/>
        <n v="24.1235099089866"/>
        <n v="24.05322685"/>
        <n v="24.1352351"/>
        <n v="24.1675664508232"/>
        <n v="24.1232688"/>
        <n v="24.1100756"/>
        <n v="24.1063938"/>
        <n v="24.1743748269825"/>
        <n v="24.0893187989955"/>
        <n v="24.102416"/>
        <n v="24.0732667791174"/>
        <n v="24.0022051476818"/>
        <n v="24.1815079346418"/>
        <n v="24.1467035"/>
        <n v="24.102703178381"/>
        <n v="24.1941032"/>
        <n v="24.1500680721728"/>
        <n v="24.0094253366925"/>
        <n v="24.1016402184023"/>
        <n v="24.1359676740232"/>
        <n v="24.127078"/>
        <n v="24.1977413"/>
        <n v="24.1269540267332"/>
        <n v="24.1558851119791"/>
        <n v="24.2254419760312"/>
        <n v="24.1164613891111"/>
        <n v="24.1021573943853"/>
        <n v="24.1019662"/>
        <n v="24.1240534"/>
        <n v="24.1462619497695"/>
        <n v="24.108049781514"/>
        <n v="24.19807115"/>
        <n v="24.0038878"/>
        <n v="24.0553285635443"/>
        <n v="24.0190534"/>
        <n v="24.2640040549247"/>
        <n v="24.1355050276166"/>
        <n v="24.0412216"/>
        <n v="24.2124101"/>
        <n v="24.2650674"/>
        <n v="24.1249341"/>
        <n v="24.1238417"/>
        <n v="24.1442451"/>
        <n v="24.0075821758969"/>
        <n v="24.1286523133185"/>
        <n v="24.0026967627373"/>
        <n v="24.124554147986"/>
        <n v="24.058748"/>
        <n v="24.0652242412257"/>
        <n v="24.0574072"/>
        <n v="24.2445141015604"/>
        <n v="24.0250927"/>
        <n v="24.1142082"/>
        <n v="24.2271377668153"/>
        <n v="24.120898893399"/>
        <n v="24.2090708"/>
        <n v="24.0172291938734"/>
        <n v="24.120069"/>
        <n v="24.1473114"/>
        <n v="24.0544534"/>
        <n v="24.1255034"/>
        <n v="24.0521403832597"/>
        <n v="24.1855791270517"/>
        <n v="24.1852575"/>
        <n v="24.062819336917"/>
        <n v="24.1745597"/>
        <n v="24.0750776309247"/>
        <n v="24.0367786839242"/>
        <n v="24.1370407"/>
        <n v="24.186816783778"/>
        <n v="24.1809352080702"/>
        <n v="24.119843"/>
        <n v="24.0875683127701"/>
        <n v="24.0705981"/>
        <n v="24.1500322"/>
        <n v="24.1500222"/>
        <n v="24.1066665512393"/>
        <n v="24.1250890722437"/>
        <n v="24.0976149363578"/>
        <n v="24.1521483"/>
        <n v="24.1284176030358"/>
        <n v="24.17507065"/>
        <n v="24.1228046"/>
        <n v="24.1089579"/>
        <n v="24.0568750500824"/>
        <n v="24.128620594539"/>
        <n v="24.1867783069729"/>
        <n v="24.174059774919"/>
        <n v="24.1207762"/>
        <n v="24.2112916"/>
        <n v="24.1274612"/>
        <n v="24.1051471"/>
        <n v="24.0506800260781"/>
        <n v="24.09128585"/>
        <n v="24.1961130586527"/>
        <n v="24.1087866"/>
        <n v="24.1724707"/>
        <n v="24.1816357245661"/>
        <n v="24.1960007080426"/>
        <n v="24.224370755513"/>
        <n v="24.0878581485374"/>
        <n v="24.1699725366643"/>
        <n v="24.0886548221875"/>
        <n v="24.2070676596876"/>
        <n v="24.0688642775663"/>
        <n v="24.1778261"/>
        <n v="24.0807190319399"/>
        <n v="24.1694642419121"/>
        <n v="24.0724323050318"/>
        <n v="24.0888405495968"/>
        <n v="24.0692936"/>
        <n v="24.1380633301973"/>
        <n v="24.141638"/>
        <n v="24.0430556735773"/>
        <n v="24.1434632"/>
        <n v="24.201118155484"/>
        <n v="24.1240559778693"/>
        <n v="24.1245029"/>
        <n v="24.0146821801241"/>
        <n v="24.1632293376647"/>
        <n v="24.1755593"/>
        <n v="24.1866059"/>
        <n v="24.136440612366"/>
        <n v="24.1313031"/>
        <n v="24.1358191"/>
        <n v="24.0668604"/>
        <n v="24.0582627"/>
        <n v="24.1466121"/>
        <n v="24.1029241"/>
        <n v="24.0540069"/>
        <n v="24.1952933"/>
        <n v="24.1081412"/>
        <n v="24.0846961606636"/>
        <n v="24.1820870162061"/>
        <n v="24.1860928710293"/>
        <n v="24.1956952983417"/>
        <n v="24.1348427681944"/>
        <n v="24.1405774754441"/>
        <n v="24.02751815"/>
        <n v="24.0786774128357"/>
        <n v="24.1047657"/>
        <n v="24.0988693972666"/>
        <n v="24.0964581699151"/>
        <n v="24.2107276360446"/>
        <n v="24.0634798"/>
        <n v="23.9587415"/>
        <n v="24.0718928"/>
        <n v="24.1442060150006"/>
        <n v="24.09608455"/>
        <n v="24.1519268353779"/>
        <n v="24.1483510382088"/>
        <n v="24.1667047999999"/>
        <n v="24.0964171406999"/>
        <n v="24.1014613"/>
        <n v="24.0780844624566"/>
        <n v="24.1885814"/>
        <n v="24.0798651223903"/>
        <n v="24.0386236"/>
        <n v="24.0418220761876"/>
        <n v="24.1783224911961"/>
        <n v="24.1134811"/>
        <n v="24.1407992387323"/>
        <n v="24.2008902"/>
        <n v="24.0883001"/>
        <n v="24.1311027209292"/>
        <n v="24.1962984488949"/>
        <n v="24.0964637235629"/>
        <n v="24.08894255"/>
        <n v="24.1708029401619"/>
        <n v="24.1762346"/>
        <n v="24.0884618"/>
        <n v="24.1650278688019"/>
        <n v="24.0993423582241"/>
        <n v="24.0648827857561"/>
        <n v="24.1982994594609"/>
        <n v="24.131972"/>
        <n v="24.1357606589646"/>
        <n v="24.1122349"/>
        <n v="24.17856285"/>
        <n v="24.1264427737396"/>
        <n v="24.1362455"/>
        <n v="24.1877621027621"/>
        <n v="24.2349046"/>
        <n v="24.0044636133064"/>
        <n v="24.1405336"/>
        <n v="24.0424579"/>
        <n v="24.188248"/>
        <n v="24.2036142632823"/>
        <n v="24.112882"/>
        <n v="24.139699235782"/>
        <n v="24.150774372186"/>
        <n v="24.1204934"/>
        <n v="24.1105821948041"/>
        <n v="24.1454745"/>
        <n v="24.2192812062854"/>
        <n v="24.2301077277873"/>
        <n v="24.1281567938374"/>
        <n v="24.1258447"/>
        <n v="24.1446356080458"/>
        <n v="24.1519378142022"/>
        <n v="24.0641891"/>
        <n v="24.0034910214559"/>
        <n v="24.1751562722907"/>
        <n v="24.0386262315628"/>
        <n v="24.1144608"/>
        <n v="24.1021747"/>
        <n v="24.0779393"/>
        <n v="24.1116425305179"/>
        <n v="24.0499994138029"/>
        <n v="24.1222544"/>
        <n v="24.1691659584023"/>
        <n v="24.2061416"/>
        <n v="24.1208067557146"/>
        <n v="24.1865532715356"/>
        <n v="24.0704338999999"/>
        <n v="24.1420564"/>
        <n v="24.1248028"/>
        <n v="24.1378861"/>
        <n v="24.1003502623684"/>
        <n v="24.0415917"/>
        <n v="24.1721500583477"/>
        <n v="24.1029177"/>
        <n v="24.0400032675605"/>
        <n v="24.124212"/>
        <n v="24.1304457682304"/>
        <n v="24.0706271241211"/>
        <n v="24.1791980638178"/>
        <n v="24.1197764"/>
        <n v="24.2474800529953"/>
        <n v="24.1355324"/>
        <n v="24.085734"/>
        <n v="24.1123628570057"/>
        <n v="24.0794370513523"/>
        <n v="24.1464076"/>
        <n v="24.2513399089967"/>
        <n v="24.0479802"/>
        <n v="24.1198275912859"/>
        <n v="24.1418736517474"/>
        <n v="24.1267927"/>
        <n v="24.0579901423817"/>
        <n v="24.1030076"/>
        <n v="24.0224679499999"/>
        <n v="24.2075576"/>
        <n v="24.1641228"/>
        <n v="24.1988005993907"/>
        <n v="24.1546480286427"/>
        <n v="24.1224049"/>
        <n v="24.1417467503373"/>
        <n v="24.1947290999999"/>
        <n v="24.1241128"/>
        <n v="24.2300646"/>
        <n v="24.0087872499999"/>
        <n v="24.0352872903897"/>
        <n v="24.1378080196509"/>
        <n v="24.1092607305158"/>
        <n v="24.0049456791553"/>
        <n v="24.0038761753746"/>
        <n v="24.0542515"/>
        <n v="24.2070322999999"/>
        <n v="24.1981136952542"/>
        <n v="24.1657776348698"/>
        <n v="24.0719355787987"/>
        <n v="24.0722286"/>
        <n v="24.0726856783242"/>
        <n v="24.1234641"/>
        <n v="24.1831339972375"/>
        <n v="24.1412317647326"/>
        <n v="24.1244575"/>
        <n v="24.1804757761009"/>
        <n v="24.0255760461784"/>
        <n v="24.0557936638219"/>
        <n v="24.0425072"/>
        <n v="24.1124689"/>
        <n v="24.1200833"/>
        <n v="24.1344926064006"/>
        <n v="24.2119257725263"/>
        <n v="24.192131770328"/>
        <n v="24.1246621685469"/>
        <n v="24.0014761"/>
        <n v="24.1241505142402"/>
        <n v="24.0818583876235"/>
        <n v="24.1976276399044"/>
        <n v="24.08438935"/>
        <n v="24.1350589"/>
        <n v="24.1414585"/>
        <n v="24.1931212530635"/>
        <n v="24.2260887126475"/>
        <n v="24.1287007"/>
        <n v="24.0628649"/>
        <n v="24.0043295756336"/>
        <n v="24.1293968"/>
        <n v="24.1369960899977"/>
        <n v="24.0539487289344"/>
        <n v="24.1387505525507"/>
        <n v="24.1003808679944"/>
        <n v="24.2002807431531"/>
        <n v="24.1873444133421"/>
        <n v="24.198875"/>
        <n v="24.1222563433257"/>
        <n v="24.1205066"/>
        <n v="24.0204013746829"/>
        <n v="24.1247948"/>
        <n v="24.0737985"/>
        <n v="24.1025204555179"/>
        <n v="24.247581468723"/>
        <n v="24.1276669239564"/>
        <n v="24.1416133360267"/>
        <n v="24.0321564328147"/>
        <n v="24.0091138749708"/>
        <n v="24.1632686016965"/>
        <n v="24.1819521216915"/>
        <n v="24.0924973827027"/>
        <n v="24.0695252879094"/>
        <n v="24.1404527160079"/>
        <n v="24.2007593769718"/>
        <n v="24.15429215"/>
        <n v="24.1353209"/>
        <n v="24.1356095"/>
        <n v="24.1420789"/>
        <n v="24.2414353929283"/>
        <n v="24.186965214982"/>
        <n v="24.0120992912805"/>
        <n v="24.2427554293107"/>
        <n v="24.1257985"/>
        <n v="24.0680144013854"/>
        <n v="24.2485277405401"/>
        <n v="24.1689365790638"/>
        <n v="24.0998068104308"/>
        <n v="24.1235645"/>
        <n v="24.1348346"/>
        <n v="24.2102561"/>
        <n v="24.12498495"/>
        <n v="24.1366774"/>
        <n v="24.1686216955627"/>
        <n v="24.213061240289"/>
        <n v="24.1061513"/>
        <n v="24.1080762"/>
        <n v="24.1001017"/>
        <n v="24.1805314081534"/>
        <n v="24.0669906439418"/>
        <n v="24.2045791783522"/>
        <n v="24.0176834935538"/>
        <n v="24.1865497499999"/>
        <n v="24.2324441242353"/>
        <n v="24.102280983175"/>
        <n v="24.1509424999999"/>
        <n v="24.154479"/>
        <n v="24.1476809000188"/>
        <n v="24.1391725207381"/>
        <n v="24.1263057"/>
        <n v="24.1676579996058"/>
        <n v="24.1338800374448"/>
        <n v="24.2028868717716"/>
        <n v="24.2327076100665"/>
        <n v="24.0206013715995"/>
        <n v="24.1342115201206"/>
        <n v="24.1647985"/>
        <n v="24.1198579"/>
        <n v="24.1548609852833"/>
        <n v="24.1092472"/>
        <n v="24.1825891911293"/>
        <n v="24.1661266885749"/>
        <n v="24.1003615894216"/>
        <n v="24.1204918"/>
        <n v="24.1722203"/>
        <n v="24.1931686640088"/>
        <n v="24.1976524370901"/>
        <n v="24.0805290391566"/>
        <n v="24.0233205"/>
        <n v="24.0851105570122"/>
        <n v="24.0464013183229"/>
        <n v="24.1182900317385"/>
        <n v="24.1669890886796"/>
        <n v="24.0750961479727"/>
        <n v="24.1829942509156"/>
        <n v="24.1287796"/>
        <n v="24.1314109608833"/>
        <n v="24.0163911959267"/>
        <n v="24.1250304839285"/>
        <n v="24.1172697"/>
        <n v="24.212789903353"/>
        <n v="24.0909860542956"/>
        <n v="24.1110987"/>
        <n v="24.122128313389"/>
        <n v="24.1253575"/>
        <n v="24.1200556"/>
        <n v="24.0522263950971"/>
        <n v="24.10133385"/>
        <n v="24.0568784734789"/>
        <n v="24.1383736"/>
        <n v="24.1003337"/>
        <n v="24.1942607"/>
        <n v="24.1667266999254"/>
        <n v="24.1389382"/>
        <n v="24.1149201"/>
        <n v="24.1427693772217"/>
        <n v="24.027633057183"/>
        <n v="24.1128846683999"/>
        <n v="24.2403602692592"/>
        <n v="24.206434780106"/>
        <n v="24.1173418465596"/>
        <n v="24.1343196"/>
        <n v="24.1518162072111"/>
        <n v="24.1131079129391"/>
        <n v="24.1170799"/>
        <n v="24.108792096133"/>
        <n v="24.1327201596803"/>
        <n v="24.2439652588717"/>
        <n v="24.140576370724"/>
        <n v="24.2143729105512"/>
        <n v="24.123035"/>
        <n v="24.1222418"/>
        <n v="24.0390725"/>
        <n v="24.1873524"/>
        <n v="24.1296935035436"/>
        <n v="24.1376648769917"/>
        <n v="24.217608"/>
        <n v="24.2384533999999"/>
        <n v="24.2148619681412"/>
        <n v="24.2012871647176"/>
        <n v="24.1250971502803"/>
        <n v="24.1336976"/>
        <n v="24.0005229"/>
        <n v="24.2043993291603"/>
        <n v="24.1720785628571"/>
        <n v="24.1642804473224"/>
        <n v="24.1468839653253"/>
        <n v="24.1279151350786"/>
        <n v="24.1050907501278"/>
        <n v="24.2081083776837"/>
        <n v="24.128666877855"/>
        <n v="24.1340229"/>
        <n v="24.0060845759065"/>
        <n v="24.0195138136445"/>
        <n v="24.2456904499999"/>
        <n v="24.2194311045304"/>
        <n v="24.1478467"/>
        <n v="24.2406588"/>
        <n v="24.1511345971373"/>
        <n v="24.1373345"/>
        <n v="24.1087314656012"/>
        <n v="24.1870629147243"/>
        <n v="24.0389986185022"/>
        <n v="24.070090599991"/>
        <n v="24.1926391880139"/>
        <n v="24.2103376"/>
        <n v="24.1301484"/>
        <n v="24.1758388"/>
        <n v="24.1013204"/>
        <n v="24.1375877857218"/>
        <n v="24.1470682"/>
        <n v="24.2503196302299"/>
        <n v="24.1054302151979"/>
        <n v="24.1240481"/>
        <n v="24.1230397822419"/>
        <n v="24.1446057"/>
        <n v="24.2121214389937"/>
        <n v="24.1841924"/>
        <n v="24.0710760449486"/>
        <n v="24.0495749003611"/>
        <n v="24.1461764"/>
        <n v="24.148803936888"/>
        <n v="24.1465944"/>
        <n v="24.1004729157828"/>
        <n v="24.1964712"/>
        <n v="24.0913811"/>
        <n v="24.0776036577705"/>
        <n v="24.1943100751876"/>
        <n v="24.1286417996376"/>
        <n v="24.1225982811228"/>
        <n v="24.1679419959261"/>
        <n v="24.1897360840843"/>
        <n v="24.1026741144114"/>
        <n v="24.1686179999999"/>
        <n v="24.0911507635373"/>
        <n v="24.1712880768912"/>
        <n v="24.1421054004298"/>
        <n v="24.1448842676771"/>
        <n v="24.2472396352302"/>
        <n v="24.049096060481"/>
        <n v="24.17599405"/>
        <n v="24.0079701"/>
        <n v="24.1212758"/>
        <n v="24.1135378"/>
        <n v="24.1072241361512"/>
        <n v="24.17313665"/>
        <n v="24.1391902"/>
        <n v="24.1945177"/>
        <n v="24.0101507976177"/>
        <n v="24.1229638680182"/>
        <n v="24.1439791167864"/>
        <n v="24.2046547708947"/>
        <n v="24.0643504483302"/>
        <n v="24.1315174"/>
        <n v="24.1258687558061"/>
        <n v="24.0257892"/>
        <n v="24.1879779982164"/>
        <n v="24.0699254"/>
        <n v="24.1088532817344"/>
        <n v="24.0351488499999"/>
        <n v="24.0399823728069"/>
        <n v="24.1853041586263"/>
        <n v="24.1159776"/>
        <n v="24.1272827"/>
        <n v="24.1769740456498"/>
        <n v="24.0941256210549"/>
        <n v="24.1287223738352"/>
        <n v="24.1262819"/>
        <n v="24.1761063"/>
        <n v="24.1746531057735"/>
        <n v="24.0569528423463"/>
        <n v="23.2390339976279"/>
        <n v="24.0997431"/>
        <n v="24.1264220706999"/>
        <n v="24.2345812982647"/>
        <n v="24.1252188"/>
        <n v="24.1070803"/>
        <n v="24.1331798290685"/>
        <n v="24.2372569"/>
        <n v="24.127157633502"/>
        <n v="24.19326935"/>
        <n v="24.1842254999999"/>
        <n v="24.0659141"/>
        <n v="24.0609152601247"/>
        <n v="24.1279467"/>
        <n v="24.0518049231091"/>
        <n v="24.1112378"/>
        <n v="24.1185508"/>
        <n v="24.1073804"/>
        <n v="24.2761204929247"/>
        <n v="24.2259189815794"/>
        <n v="24.1578037"/>
        <n v="24.1868624908138"/>
        <n v="24.0074453370573"/>
        <n v="24.0945391626359"/>
        <n v="24.1917693040602"/>
        <n v="24.0987304306377"/>
        <n v="24.2338127271218"/>
        <n v="24.1453649650548"/>
        <n v="24.0147023813573"/>
        <n v="24.098253430927"/>
        <n v="24.0403617021133"/>
        <n v="24.2503451750686"/>
        <n v="24.05661315"/>
        <n v="24.0198103642716"/>
        <n v="24.1681921067166"/>
        <n v="24.0193858549983"/>
        <n v="24.20000955"/>
        <n v="24.1491180145504"/>
        <n v="24.1076575"/>
        <n v="24.1768470921706"/>
        <n v="24.1870750334298"/>
        <n v="24.0038532251639"/>
        <n v="24.1349288"/>
        <n v="24.1309744"/>
        <n v="24.2262283784181"/>
        <n v="24.1495316"/>
        <n v="24.1674059998207"/>
        <n v="24.1185086"/>
        <n v="24.1414384724447"/>
        <n v="24.1775215243161"/>
        <n v="24.1801906433065"/>
        <n v="24.1448163489705"/>
        <n v="24.0257763999999"/>
        <n v="24.0613398591448"/>
        <n v="24.1766165"/>
        <n v="24.1424979596359"/>
        <n v="24.1212483"/>
        <n v="24.178713829735"/>
        <n v="24.125780302131"/>
        <n v="24.1285032"/>
        <n v="24.09811735"/>
        <n v="24.1292422791869"/>
        <n v="24.1093904"/>
        <n v="24.2485279368892"/>
        <n v="24.1224439"/>
        <n v="24.125212429824"/>
        <n v="24.1809677999999"/>
        <n v="24.0650180096223"/>
        <n v="24.2835188"/>
        <n v="24.0541375022314"/>
        <n v="24.1448758"/>
        <n v="24.1774387443472"/>
        <n v="23.9896591361657"/>
        <n v="24.2131166"/>
        <n v="24.196218600625"/>
        <n v="24.0111986479723"/>
        <n v="24.1731748942272"/>
        <n v="24.1990404998415"/>
        <n v="24.1227600784641"/>
        <n v="24.1517526006206"/>
        <n v="24.1296989883333"/>
        <n v="24.0039680744918"/>
        <n v="24.1366039"/>
        <n v="24.1917623735809"/>
        <n v="24.10518275"/>
        <n v="24.2896847195386"/>
        <n v="24.0725201026538"/>
        <n v="24.1007267492597"/>
        <n v="24.0971627"/>
        <n v="24.0428139850736"/>
        <n v="24.0300932204121"/>
        <n v="24.0482019476007"/>
        <n v="24.1099745"/>
        <n v="24.1419"/>
        <n v="24.1789809"/>
        <n v="24.0521562"/>
        <n v="24.1381184654766"/>
        <n v="24.0106930678479"/>
        <n v="24.13257603943"/>
        <n v="24.0961718499999"/>
        <n v="24.1712897468728"/>
        <n v="24.0460096"/>
        <n v="24.2842204999999"/>
        <n v="24.1634713011832"/>
        <n v="24.1925519803153"/>
        <n v="24.1244665"/>
        <n v="24.1486457"/>
        <n v="24.0541248"/>
        <n v="24.1223636"/>
        <n v="24.1042869"/>
        <n v="24.03746545"/>
        <n v="24.1130565349601"/>
        <n v="24.1244542458928"/>
        <n v="24.0736886747453"/>
        <n v="24.065958525639"/>
        <n v="24.1192554"/>
        <n v="24.0234127"/>
        <n v="24.180044"/>
        <n v="24.0230963213073"/>
        <n v="24.1394561330557"/>
        <n v="24.1228978201077"/>
        <n v="24.16620155"/>
        <n v="24.1108020285596"/>
        <n v="24.1791502065621"/>
        <n v="24.238078024789"/>
        <n v="24.064304448841"/>
        <n v="24.18015715"/>
        <n v="24.0658713441479"/>
        <n v="24.1991222"/>
        <n v="24.2060082499999"/>
        <n v="24.2179250524276"/>
        <n v="24.2018087794177"/>
        <n v="24.10404675"/>
        <n v="24.119021686038"/>
        <n v="24.1079654901994"/>
        <n v="24.1191520861869"/>
        <n v="24.1357275"/>
        <n v="24.2019891658871"/>
        <n v="24.1705965317838"/>
        <n v="24.0359489118193"/>
        <n v="24.1191109634786"/>
        <n v="24.0726999885418"/>
        <n v="24.0470370750532"/>
        <n v="24.1379656"/>
        <n v="24.0731765"/>
        <n v="24.143564917498"/>
        <n v="24.0420920504638"/>
        <n v="24.0826548997359"/>
        <n v="24.045403262188"/>
        <n v="24.1895130756778"/>
        <n v="24.0144371864952"/>
        <n v="24.1297547779811"/>
        <n v="24.2203518742668"/>
        <n v="24.245178092083"/>
        <n v="24.0203874444514"/>
        <n v="24.2115171849586"/>
        <n v="24.0993637"/>
        <n v="24.1270705644171"/>
        <n v="24.0600793116165"/>
        <n v="24.0862561999999"/>
        <n v="24.1363664300068"/>
        <n v="24.2314833849367"/>
        <n v="24.0934535"/>
        <n v="24.1102131"/>
        <n v="24.1782534"/>
        <n v="24.1276219164077"/>
        <n v="24.004208988406"/>
        <n v="24.17910595"/>
        <n v="24.0753412"/>
        <n v="24.1001553"/>
        <n v="24.0336388573915"/>
        <n v="24.18143795"/>
        <n v="24.0618001223939"/>
        <n v="24.1472618"/>
        <n v="24.110708262171"/>
        <n v="24.25241215"/>
        <n v="24.1226469896261"/>
        <n v="24.1097055902472"/>
        <n v="24.009544181028"/>
        <n v="24.1258006641927"/>
        <n v="24.1758196613114"/>
        <n v="24.009740303812"/>
        <n v="24.1731334542895"/>
        <n v="24.1946415"/>
        <n v="24.09970765"/>
        <n v="24.108664502028"/>
        <n v="24.1734859737149"/>
        <n v="24.1463102714599"/>
        <n v="24.1007131999999"/>
        <n v="24.1686274615939"/>
        <n v="24.1765388172837"/>
        <n v="24.1854833375051"/>
        <n v="24.1513342"/>
        <n v="24.184393"/>
        <n v="24.1481856013305"/>
        <n v="24.1326583764386"/>
        <n v="24.1764082415772"/>
        <n v="24.059222740492"/>
        <n v="24.0593143731738"/>
        <n v="24.1379234"/>
        <n v="24.1970464994909"/>
        <n v="24.2011722823789"/>
        <n v="24.1290193"/>
        <n v="24.1085148"/>
        <n v="24.1270103106298"/>
        <n v="24.10036775"/>
        <n v="24.098819615355"/>
        <n v="24.076087419374"/>
        <n v="24.1257094"/>
        <n v="24.0708978"/>
        <n v="24.1075908"/>
        <n v="24.1871945494647"/>
        <n v="24.092061462774"/>
        <n v="24.1420216727895"/>
        <n v="24.0492982249842"/>
        <n v="24.170844288344"/>
        <n v="24.0058212972619"/>
        <n v="24.23367245"/>
        <n v="24.066163499229"/>
        <n v="24.0241874"/>
        <n v="24.0955521471893"/>
        <n v="24.1914569809645"/>
        <n v="24.2326877252113"/>
        <n v="24.1100298"/>
        <n v="24.1749930606992"/>
        <n v="24.1128740830288"/>
        <n v="24.1082808"/>
        <n v="24.0937377546252"/>
        <n v="24.150157"/>
        <n v="24.1221349751324"/>
        <n v="24.0953686"/>
        <n v="24.1794493475102"/>
        <n v="24.0242265674852"/>
        <n v="24.1414532"/>
        <n v="24.0273179999999"/>
        <n v="24.1005756548797"/>
        <n v="24.2352214"/>
        <n v="24.0874323724137"/>
        <n v="24.2172181907848"/>
        <n v="24.0997626366536"/>
        <n v="24.1963394986068"/>
        <n v="24.085078232952"/>
        <n v="24.2066307499999"/>
        <n v="24.1149882"/>
        <n v="24.1697208225839"/>
        <n v="24.1867567338823"/>
        <n v="24.1711495"/>
        <n v="24.1377371"/>
        <n v="24.1240734"/>
        <n v="24.17994935"/>
        <n v="24.0980322090067"/>
        <n v="24.1809297"/>
        <n v="24.115743"/>
        <n v="24.1113595"/>
        <n v="24.2486851147419"/>
        <n v="24.0564539976868"/>
        <n v="24.1710772673441"/>
        <n v="24.1246883"/>
        <n v="24.0704405"/>
        <n v="24.1287424"/>
        <n v="24.007968"/>
        <n v="24.1561931429911"/>
        <n v="24.151222252628"/>
        <n v="24.1975758860959"/>
        <n v="24.0874379893337"/>
        <n v="24.0485982499999"/>
        <n v="24.0945721824565"/>
        <n v="24.1779622"/>
        <n v="24.0957941811209"/>
        <n v="24.065679850492"/>
        <n v="24.2246202"/>
        <n v="24.05559245"/>
        <n v="24.2016746005807"/>
        <n v="24.1233660473714"/>
        <n v="24.1717830114988"/>
        <n v="24.152592"/>
        <n v="24.1926528"/>
        <n v="24.1678087"/>
        <n v="24.1696077537097"/>
        <n v="24.0689877912799"/>
        <n v="24.1676608"/>
        <n v="24.1216147585912"/>
        <n v="24.1132172780624"/>
        <n v="24.0297672094224"/>
        <n v="24.0588636702623"/>
        <n v="24.1408089332819"/>
        <n v="24.0597034863947"/>
        <n v="24.0702211801407"/>
        <n v="24.2123498134162"/>
        <n v="24.143597678962"/>
        <n v="24.0546888371199"/>
        <n v="24.0735595237022"/>
        <n v="24.0897398"/>
        <n v="24.2461666750996"/>
        <n v="24.1400505298294"/>
        <n v="24.1374188453488"/>
        <n v="24.183842"/>
        <n v="24.1191083"/>
        <n v="24.19793891505"/>
        <n v="24.1255555"/>
        <n v="18.1129039"/>
        <n v="24.0985274782545"/>
        <n v="24.1253739379909"/>
        <n v="24.0520103188272"/>
        <n v="24.1197427"/>
        <n v="24.0298770515569"/>
        <n v="24.1399792"/>
        <n v="23.9752968"/>
        <n v="24.1288213"/>
        <n v="24.0678711"/>
        <n v="24.1694183999999"/>
        <n v="24.0996305837371"/>
        <n v="24.0454551"/>
        <n v="24.1039282"/>
        <n v="24.078654"/>
        <n v="24.0094508"/>
        <n v="24.1407662"/>
        <n v="24.1654682750602"/>
        <n v="24.0896935"/>
        <n v="24.0789177765693"/>
        <n v="24.1300900106299"/>
        <n v="24.1345071084256"/>
        <n v="24.2021046"/>
        <n v="24.0611875546552"/>
        <n v="24.23773255"/>
        <n v="24.2004029731428"/>
        <n v="24.05134355"/>
        <n v="24.1318858796428"/>
        <n v="24.1694669907625"/>
        <n v="24.1357898691473"/>
        <n v="24.1640911499999"/>
        <n v="24.14165"/>
        <n v="24.1261897680555"/>
        <n v="24.1668081"/>
        <n v="24.1694573977143"/>
        <n v="24.0528963087278"/>
        <n v="24.17552785"/>
        <n v="24.1684845907759"/>
        <n v="24.0309696516515"/>
        <n v="24.1384676767433"/>
        <n v="24.136004360151"/>
        <n v="24.1717202"/>
        <n v="24.1061468"/>
        <n v="24.1683895171948"/>
        <n v="24.1782343"/>
        <n v="24.1348632816502"/>
        <n v="24.119692"/>
        <n v="24.1721873525418"/>
        <n v="24.152561548619"/>
        <n v="24.1236683231425"/>
        <n v="24.0811385254711"/>
        <n v="24.0479072840418"/>
        <n v="24.1191914534271"/>
        <n v="24.2248030269986"/>
        <n v="24.1345779478904"/>
        <n v="24.1697312016684"/>
        <n v="24.038539163099"/>
        <n v="24.1258164562245"/>
        <n v="24.1137239"/>
        <n v="24.053733811965"/>
        <n v="24.1289619"/>
        <n v="24.0328874"/>
        <n v="24.2125698528788"/>
        <n v="24.23250115"/>
        <n v="24.1700665892821"/>
        <n v="24.1882386"/>
        <n v="24.2119894120109"/>
        <n v="24.1371463"/>
        <n v="24.1842762000681"/>
        <n v="24.1416595870278"/>
        <n v="24.05182415"/>
        <n v="24.1425400300487"/>
        <n v="24.0086771"/>
        <n v="24.1861001019558"/>
        <n v="24.2189393107488"/>
        <n v="24.0977731"/>
        <n v="24.0471928461308"/>
        <n v="24.0720247"/>
        <n v="24.1306671234784"/>
        <n v="24.1756989"/>
        <n v="24.19464765"/>
        <n v="24.1803331425683"/>
        <n v="24.2004933431801"/>
        <n v="24.1758673076121"/>
        <n v="24.0573721"/>
        <n v="24.1328759405172"/>
        <n v="24.182276456222"/>
        <n v="24.1912189088567"/>
        <n v="24.2512169555717"/>
        <n v="24.1240204945916"/>
        <n v="24.1201280275563"/>
        <n v="24.1002449658235"/>
        <n v="24.2115553169076"/>
        <n v="24.1732463"/>
        <n v="24.1541402979014"/>
        <n v="24.1560216471009"/>
        <n v="24.1697506352613"/>
        <n v="24.1124748"/>
        <n v="24.1211605"/>
        <n v="24.1234373"/>
        <n v="24.2216505"/>
        <n v="24.2262600527306"/>
        <n v="24.0105547470344"/>
        <n v="24.141451250289"/>
        <n v="24.125067"/>
        <n v="24.2167896872756"/>
        <n v="24.2142701017903"/>
        <n v="24.0922380228697"/>
        <n v="24.1300761999999"/>
        <n v="24.3408657"/>
        <n v="24.2988376817985"/>
        <n v="24.0439706360091"/>
        <n v="24.1212272"/>
        <n v="24.1233286079259"/>
        <n v="24.0330999513569"/>
        <n v="24.129681"/>
        <n v="24.244177981528"/>
        <n v="24.1888526917563"/>
        <n v="24.0591831044198"/>
        <n v="24.1032332"/>
        <n v="24.0486161999999"/>
        <n v="24.0571713764132"/>
        <n v="24.1098309"/>
        <n v="24.0635273"/>
        <n v="24.0605045430597"/>
        <n v="24.1626901"/>
        <n v="24.2509372751934"/>
        <n v="24.102981459375"/>
        <n v="24.1026014276418"/>
        <n v="24.2059117623488"/>
        <n v="24.1519980482086"/>
        <n v="24.1393325"/>
        <n v="24.1085131"/>
        <n v="24.1035085"/>
        <n v="24.2347236771608"/>
        <n v="24.1711981373759"/>
        <n v="24.1021092"/>
        <n v="24.146706704663"/>
        <n v="24.1478191"/>
        <n v="24.1614570264157"/>
        <n v="24.1488230999999"/>
        <n v="24.0620749977842"/>
        <n v="24.0920730385488"/>
        <n v="23.9998514"/>
        <n v="24.05811295"/>
        <n v="24.0379815500343"/>
        <n v="24.0956591311191"/>
        <n v="24.1728899892471"/>
        <n v="24.1792498014705"/>
        <n v="24.2218763"/>
        <n v="24.10533045"/>
        <n v="24.1807308"/>
        <n v="24.1253070957052"/>
        <n v="24.1233886"/>
        <n v="24.239462"/>
        <n v="24.1884904499999"/>
        <n v="24.1768326628887"/>
        <n v="24.1399743"/>
        <n v="24.1898681"/>
        <n v="24.166697337245"/>
        <n v="24.1796033885698"/>
        <n v="24.143051645708"/>
        <n v="24.2076626"/>
        <n v="24.1959440359576"/>
        <n v="24.16933105"/>
        <n v="24.16330335"/>
        <n v="24.1895691110482"/>
        <n v="24.0606033019609"/>
        <n v="24.1023279"/>
        <n v="24.1445478216108"/>
        <n v="24.1899005585312"/>
        <n v="24.2455558499999"/>
        <n v="24.0921715"/>
        <n v="24.0121597"/>
        <n v="24.0947705636546"/>
        <n v="24.1840903268546"/>
        <n v="24.008248"/>
        <n v="24.0786089595566"/>
        <n v="24.0529558016831"/>
        <n v="24.0130196500717"/>
        <n v="24.0964724202145"/>
        <n v="24.0550457207665"/>
        <n v="24.2381625"/>
        <n v="24.2111828"/>
        <n v="24.1407031907539"/>
        <n v="24.004669071001"/>
        <n v="24.1922190269637"/>
        <n v="24.2453219495258"/>
        <n v="24.1930558280892"/>
        <n v="24.1419740459493"/>
        <n v="24.1723616"/>
        <n v="24.1163722795669"/>
        <n v="11.6396833"/>
        <n v="24.1481044414316"/>
        <n v="24.1348134"/>
        <n v="24.1353956"/>
        <n v="24.0913864994306"/>
        <n v="24.191105315029"/>
        <n v="24.1194941"/>
        <n v="24.1175834"/>
        <n v="24.0902665694297"/>
        <n v="24.1913645631942"/>
        <n v="24.0167995274108"/>
        <n v="24.2199392"/>
        <n v="24.1515090216724"/>
        <n v="24.1895784205048"/>
        <n v="24.1904915982105"/>
        <n v="24.1909557999999"/>
        <n v="24.1674973819472"/>
        <n v="24.069660351551"/>
        <n v="24.1010000181305"/>
        <n v="24.2261097456964"/>
        <n v="24.1137052"/>
        <n v="24.19744365"/>
        <n v="24.1291659148654"/>
        <n v="24.0791923"/>
        <n v="24.1236455352572"/>
        <n v="24.1898001999999"/>
        <n v="24.1777938037585"/>
        <n v="24.1008035"/>
        <n v="24.1332307"/>
        <n v="24.2009953"/>
        <n v="24.2145409359572"/>
        <n v="24.0771849097587"/>
        <n v="24.1874936748822"/>
        <n v="24.1415616845318"/>
        <n v="24.1052617"/>
        <n v="24.1860321"/>
        <n v="24.127484"/>
        <n v="24.1514395764121"/>
        <n v="24.1507061737864"/>
        <n v="24.2339038299438"/>
        <n v="24.0232375042541"/>
        <n v="24.0013316683233"/>
        <n v="24.1128099"/>
        <n v="24.1796812530036"/>
        <n v="24.2032005"/>
        <n v="24.073467"/>
        <n v="24.17132315"/>
        <n v="24.1694931999999"/>
        <n v="24.1939779"/>
        <n v="24.1342425459972"/>
        <n v="24.0736221"/>
        <n v="24.0268141"/>
        <n v="24.0878904"/>
        <n v="24.16575778752"/>
        <n v="24.0429215309859"/>
        <n v="24.2280812053247"/>
        <n v="24.1370161"/>
        <n v="24.1985565266479"/>
        <n v="24.2464041853389"/>
        <n v="24.15327815617"/>
        <n v="24.0061017402107"/>
        <n v="24.1266455390229"/>
        <n v="24.1202367"/>
        <n v="24.0974332"/>
        <n v="24.1347447914631"/>
        <n v="24.1039375"/>
        <n v="24.1252722046352"/>
        <n v="24.0916786902004"/>
        <n v="24.0716055432673"/>
        <n v="24.2475975230015"/>
        <n v="24.1292726749723"/>
        <n v="24.1862147"/>
        <n v="24.1306476898054"/>
        <n v="24.18525795"/>
        <n v="24.1724670701311"/>
        <n v="24.0033091"/>
        <n v="24.0569596822562"/>
        <n v="24.1900096"/>
        <n v="24.0965296521524"/>
        <n v="24.0013103304718"/>
        <n v="24.1334933759442"/>
        <n v="24.1775645554618"/>
        <n v="24.1696263"/>
        <n v="24.1699068499999"/>
        <n v="24.197050844516"/>
        <n v="24.030075"/>
        <n v="24.1868169499999"/>
        <n v="24.12490865"/>
        <n v="24.1451816996405"/>
        <n v="24.1990921017509"/>
        <n v="24.1432388249002"/>
        <n v="24.1987997038064"/>
        <n v="24.0666173966587"/>
        <n v="24.1887981539815"/>
        <n v="24.1733953943026"/>
        <n v="24.1828296789282"/>
        <n v="24.2081637056631"/>
        <n v="24.1820070602452"/>
        <n v="24.0603999500448"/>
        <n v="24.230461083872"/>
        <n v="24.2006683"/>
        <n v="24.02841445"/>
        <n v="24.0531386988068"/>
        <n v="24.0718588118181"/>
        <n v="24.0062318671885"/>
        <n v="24.2154761019363"/>
        <n v="24.2777127"/>
        <n v="24.1272241"/>
        <n v="24.1964386901315"/>
        <n v="24.2268933"/>
        <n v="24.1485592928315"/>
        <n v="24.092690325"/>
        <n v="24.0260067999999"/>
        <n v="24.0074628076701"/>
        <n v="24.2142653999999"/>
        <n v="24.1673684379577"/>
        <n v="24.1257097764562"/>
        <n v="24.0521164571975"/>
        <n v="24.1950366307164"/>
        <n v="24.2160183"/>
        <n v="24.2087805127631"/>
        <n v="24.0571659040533"/>
        <n v="24.18164485"/>
        <n v="24.1411797"/>
        <n v="24.1479807552327"/>
        <n v="24.1219203"/>
        <n v="24.0995160584085"/>
        <n v="24.0987142026788"/>
        <n v="24.0559048556465"/>
        <n v="24.1272766"/>
        <n v="24.1403064597671"/>
        <n v="24.1316134"/>
        <n v="24.238484538349"/>
        <n v="24.1779225"/>
        <n v="24.1417467678664"/>
        <n v="24.1318215"/>
        <n v="24.1701148305845"/>
        <n v="24.1119264"/>
        <n v="24.1094024367124"/>
        <n v="24.0950168199287"/>
        <n v="24.0470011"/>
        <n v="24.1240679974303"/>
        <n v="24.0459093"/>
        <n v="24.0176598773946"/>
        <n v="24.1527078687804"/>
        <n v="24.132314626027"/>
        <n v="24.1735762758692"/>
        <n v="24.1887502"/>
        <n v="24.0695827"/>
        <n v="24.1697060953248"/>
        <n v="24.1880804001862"/>
        <n v="24.0299726741999"/>
        <n v="24.0206358484807"/>
        <n v="24.1083779"/>
        <n v="24.0601162229667"/>
        <n v="24.1672330053323"/>
        <n v="24.1084129"/>
        <n v="24.1288033758677"/>
        <n v="24.1219125762647"/>
        <n v="24.0700156"/>
        <n v="24.1029165958718"/>
        <n v="24.1320688374732"/>
        <n v="24.1277692109479"/>
        <n v="24.1334549"/>
        <n v="24.1716196999999"/>
        <n v="24.1408536542459"/>
        <n v="24.2108067490875"/>
        <n v="24.1663403474826"/>
        <n v="24.1195653969924"/>
        <n v="24.2011163184007"/>
        <n v="24.1297199371058"/>
        <n v="24.1107022"/>
        <n v="24.1291346988725"/>
        <n v="24.1213478"/>
        <n v="24.1319558264917"/>
        <n v="24.1372535573665"/>
        <n v="24.2097776441676"/>
        <n v="24.13457735"/>
        <n v="24.0959221"/>
        <n v="24.253031"/>
        <n v="24.0696407155396"/>
        <n v="24.1170731499999"/>
        <n v="24.0044925265813"/>
        <n v="24.0645472015035"/>
        <n v="24.2082884588571"/>
        <n v="24.2095586145833"/>
        <n v="24.0954246452708"/>
        <n v="24.1715554695491"/>
        <n v="24.1046278"/>
        <n v="24.1435411"/>
        <n v="24.1665681043578"/>
        <n v="24.1100786"/>
        <n v="24.1128920424425"/>
        <n v="24.0089753169377"/>
        <n v="24.0176289889575"/>
        <n v="24.1277784249159"/>
        <n v="24.1341670912384"/>
        <n v="24.1496526443011"/>
        <n v="24.1833384198457"/>
        <n v="24.0049942222037"/>
        <n v="24.1244258578147"/>
        <n v="24.169129114795"/>
        <n v="24.29356955"/>
        <n v="24.0329913200241"/>
        <n v="24.13098685"/>
        <n v="24.1780710627907"/>
        <n v="24.021638473844"/>
        <n v="24.1115359"/>
        <n v="24.0476214871882"/>
        <n v="24.09881036523"/>
        <n v="24.0993254"/>
        <n v="24.0801188745561"/>
        <n v="24.1994242499999"/>
        <n v="24.1937885459016"/>
        <n v="24.1066065419534"/>
        <n v="24.1329719"/>
        <n v="24.1291468"/>
        <n v="24.1381718108857"/>
        <n v="24.1826840259434"/>
        <n v="24.19312025"/>
        <n v="24.1300127"/>
        <n v="24.1451220676362"/>
        <n v="24.132406458301"/>
        <n v="24.1769448223239"/>
        <n v="24.178496624952"/>
        <n v="24.1297391"/>
        <n v="24.025385434665"/>
        <n v="24.187768"/>
        <n v="24.1032565"/>
        <n v="24.2179315"/>
        <n v="24.1354959"/>
        <n v="24.0664961866815"/>
        <n v="24.1526998"/>
        <n v="24.0914248862831"/>
        <n v="24.0425225372204"/>
        <n v="24.1480106"/>
        <n v="24.1780366999999"/>
        <n v="24.02824935"/>
        <n v="24.2517777999999"/>
        <n v="24.0943957"/>
        <n v="24.2230407477176"/>
        <n v="24.0250741925052"/>
        <n v="24.0114544598169"/>
        <n v="24.1483534206791"/>
        <n v="24.0770017"/>
        <n v="24.169398"/>
        <n v="24.1848710090485"/>
        <n v="24.2514125499999"/>
        <n v="24.1461519"/>
        <n v="24.1283215675177"/>
        <n v="24.1085452"/>
        <n v="24.0042412711196"/>
        <n v="24.0865390464585"/>
        <n v="24.1255856822327"/>
        <n v="24.2537896"/>
        <n v="24.1022710999999"/>
        <n v="24.110178501929"/>
        <n v="24.2825273532216"/>
        <n v="24.0522937"/>
        <n v="24.19849335"/>
        <n v="24.1701215"/>
        <n v="24.1354263973833"/>
        <n v="24.1316755"/>
        <n v="24.1098290650594"/>
        <n v="24.1265163"/>
        <n v="24.1333538"/>
        <n v="24.2087710740448"/>
        <n v="24.1875892347019"/>
        <n v="24.0450611251162"/>
        <n v="24.0982111"/>
        <n v="24.117125"/>
        <n v="24.2987252"/>
        <n v="24.1028778"/>
        <n v="24.1904570505792"/>
        <n v="24.2134383124239"/>
        <n v="24.0847407903024"/>
        <n v="24.1794408220701"/>
        <n v="24.1461987"/>
        <n v="24.1847458840766"/>
        <n v="24.1783728"/>
        <n v="24.2387092145689"/>
        <n v="24.093354"/>
        <n v="24.1383188684328"/>
        <n v="24.0065079237083"/>
        <n v="24.0993905"/>
        <n v="24.1241137023515"/>
        <n v="24.1181187759323"/>
        <n v="24.152807135057"/>
        <n v="24.2431023295065"/>
        <n v="24.135308"/>
        <n v="24.1992414"/>
        <n v="24.1762488999999"/>
        <n v="24.0675733246234"/>
        <n v="24.16848285"/>
        <n v="24.1420931"/>
        <n v="24.1405011157079"/>
        <n v="24.0513758618948"/>
        <n v="24.1723395250161"/>
        <n v="24.1004827538946"/>
        <n v="24.0656187918395"/>
        <n v="24.1195063504858"/>
        <n v="24.1810058416135"/>
        <n v="24.1546716920121"/>
        <n v="24.2427046148995"/>
        <n v="24.1929681901641"/>
        <n v="24.1803428"/>
        <n v="24.02102837895"/>
        <n v="24.2477398122175"/>
        <n v="24.0074651"/>
        <n v="24.2353411732595"/>
        <n v="24.0864470265655"/>
        <n v="24.0672928901655"/>
        <n v="24.1434750225153"/>
        <n v="24.1382969970199"/>
        <n v="24.07532166896"/>
        <n v="24.1388997"/>
        <n v="24.00281655"/>
        <n v="24.0246013254787"/>
        <n v="24.2911695189228"/>
        <n v="24.1467870593252"/>
        <n v="24.1383012"/>
        <n v="24.0568063522793"/>
        <n v="24.14910708652"/>
        <n v="24.14944395"/>
        <n v="24.2328931499999"/>
        <n v="24.1455676318323"/>
        <n v="24.1346227"/>
        <n v="24.1805675999999"/>
        <n v="24.1337405"/>
        <n v="24.190911"/>
        <n v="24.107230245615"/>
        <n v="24.183495091011"/>
        <n v="24.1202903459285"/>
        <n v="24.1210115"/>
        <n v="24.2274638067524"/>
        <n v="24.1992510440594"/>
        <n v="24.0554942419979"/>
        <n v="24.1983588564754"/>
        <n v="24.1990478"/>
        <n v="24.11527325"/>
        <n v="24.1135049"/>
        <n v="24.0957387418183"/>
        <n v="24.0944699483486"/>
        <n v="24.1357826"/>
        <n v="24.094006388454"/>
        <n v="24.1864047682201"/>
        <n v="24.1788896744202"/>
        <n v="24.144978"/>
        <n v="24.1287667632712"/>
        <n v="24.3024778"/>
        <n v="24.0498449511482"/>
        <n v="24.1739766127433"/>
        <n v="24.1304232666234"/>
        <n v="24.140900363777"/>
        <n v="24.0636441"/>
        <n v="24.1192429999999"/>
        <n v="24.1452267050793"/>
        <n v="24.0918912848871"/>
        <n v="24.17958265"/>
        <n v="24.1314333986467"/>
        <n v="24.0526413784944"/>
        <n v="24.1214081808402"/>
        <n v="24.1683552876713"/>
        <n v="24.1376529"/>
        <n v="24.1318519"/>
        <n v="24.0347303514682"/>
        <n v="24.1495077667939"/>
        <n v="24.1091463"/>
        <n v="24.0949609419271"/>
        <n v="24.073532"/>
        <n v="24.2354794499999"/>
        <n v="24.19957545"/>
        <n v="24.1743910491988"/>
        <n v="24.1981767"/>
        <n v="24.1471029212551"/>
        <n v="24.0926941"/>
        <n v="24.1917520688357"/>
        <n v="24.1116411783831"/>
        <n v="24.0618997500124"/>
        <n v="24.1380288"/>
        <n v="24.2741204"/>
        <n v="24.2427522437896"/>
        <n v="24.1377582358398"/>
        <n v="24.1412889"/>
        <n v="24.0604764905193"/>
        <n v="24.1333641"/>
        <n v="24.1014129325176"/>
        <n v="24.0500752304648"/>
        <n v="24.0112542999999"/>
        <n v="24.1763088"/>
        <n v="24.058019062427"/>
        <n v="24.050622445258"/>
        <n v="24.2353354999999"/>
        <n v="24.0305366989744"/>
        <n v="24.1665526"/>
        <n v="24.1009612965706"/>
        <n v="24.1266973644299"/>
        <n v="24.15279345"/>
        <n v="24.0806499"/>
        <n v="24.1368990967558"/>
        <n v="24.1363559"/>
        <n v="23.9715892"/>
        <n v="24.1911053"/>
        <n v="24.0543433020522"/>
        <n v="24.0911355510856"/>
        <n v="24.0958816810347"/>
        <n v="24.1225038935685"/>
        <n v="24.1249656274005"/>
        <n v="24.222178695717"/>
        <n v="24.1218191"/>
        <n v="24.0611992104632"/>
        <n v="24.1629760337437"/>
        <n v="24.0058526"/>
        <n v="24.0742045"/>
        <n v="24.0968170746478"/>
        <n v="24.1142613097222"/>
        <n v="24.1045102694359"/>
        <n v="24.1867067968535"/>
        <n v="24.2203601499999"/>
        <n v="24.1475530596217"/>
        <n v="24.10019355"/>
        <n v="24.1492506"/>
        <n v="24.1379833357157"/>
        <n v="24.1445625638564"/>
        <n v="24.2132849"/>
        <n v="24.1679925570712"/>
        <n v="24.21168915"/>
        <n v="24.1891568218377"/>
        <n v="24.1865812735428"/>
        <n v="24.092246"/>
        <n v="24.1380511173844"/>
        <n v="24.129611423879"/>
        <n v="24.1397223"/>
        <n v="24.0262401"/>
        <n v="24.0524036"/>
        <n v="24.0501792568777"/>
        <n v="24.0589878413955"/>
        <n v="24.1321563"/>
        <n v="24.0489425255213"/>
        <n v="24.1028046318935"/>
        <n v="24.1767730640632"/>
        <n v="24.0998780037698"/>
        <n v="24.2090462966114"/>
        <n v="24.1754695261277"/>
        <n v="23.9995863999999"/>
        <n v="24.0141224"/>
        <n v="24.1457647888519"/>
        <n v="24.1114650373356"/>
        <n v="24.1397562482868"/>
        <n v="24.0539764958227"/>
        <n v="24.029661805175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district" cacheId="0" dataCaption="" compact="0" compactData="0">
  <location ref="A3:B50" firstHeaderRow="0" firstDataRow="1" firstDataCol="0" rowPageCount="1" colPageCount="1"/>
  <pivotFields>
    <pivotField name="op_type" axis="axisPage" compact="0" outline="0" multipleItemSelectionAllowed="1" showAll="0">
      <items>
        <item h="1" x="0"/>
        <item x="1"/>
        <item t="default"/>
      </items>
    </pivotField>
    <pivotField name="district" axis="axisRow" compact="0" outline="0" multipleItemSelectionAllowed="1" showAll="0" sortType="ascending">
      <items>
        <item x="40"/>
        <item x="20"/>
        <item x="42"/>
        <item x="27"/>
        <item x="31"/>
        <item x="11"/>
        <item x="32"/>
        <item x="38"/>
        <item x="46"/>
        <item x="2"/>
        <item x="23"/>
        <item x="29"/>
        <item x="25"/>
        <item x="13"/>
        <item x="15"/>
        <item x="12"/>
        <item x="26"/>
        <item x="5"/>
        <item x="34"/>
        <item x="47"/>
        <item x="6"/>
        <item x="43"/>
        <item x="3"/>
        <item x="16"/>
        <item x="44"/>
        <item x="18"/>
        <item x="17"/>
        <item x="33"/>
        <item x="7"/>
        <item x="36"/>
        <item x="9"/>
        <item x="22"/>
        <item x="8"/>
        <item x="14"/>
        <item x="0"/>
        <item x="37"/>
        <item x="24"/>
        <item x="28"/>
        <item x="4"/>
        <item x="35"/>
        <item x="45"/>
        <item x="41"/>
        <item x="19"/>
        <item x="30"/>
        <item x="48"/>
        <item x="39"/>
        <item x="21"/>
        <item x="1"/>
        <item x="10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t="default"/>
      </items>
    </pivotField>
    <pivotField name="room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flo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ouse_se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use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dition" compact="0" outline="0" multipleItemSelectionAllowed="1" showAll="0">
      <items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t="default"/>
      </items>
    </pivotField>
  </pivotFields>
  <rowFields>
    <field x="1"/>
  </rowFields>
  <pageFields>
    <pageField fld="0"/>
  </pageFields>
  <dataFields>
    <dataField name="AVERAGE of price" fld="10" subtotal="average" baseField="0"/>
  </dataFields>
</pivotTableDefinition>
</file>

<file path=xl/pivotTables/pivotTable2.xml><?xml version="1.0" encoding="utf-8"?>
<pivotTableDefinition xmlns="http://schemas.openxmlformats.org/spreadsheetml/2006/main" name="Pivot_rooms" cacheId="0" dataCaption="" compact="0" compactData="0">
  <location ref="A3:B12" firstHeaderRow="0" firstDataRow="1" firstDataCol="0" rowPageCount="1" colPageCount="1"/>
  <pivotFields>
    <pivotField name="op_type" axis="axisPage" compact="0" outline="0" multipleItemSelectionAllowed="1" showAll="0">
      <items>
        <item h="1" x="0"/>
        <item x="1"/>
        <item t="default"/>
      </items>
    </pivotField>
    <pivotField name="distri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t="default"/>
      </items>
    </pivotField>
    <pivotField name="rooms" axis="axisRow" compact="0" outline="0" multipleItemSelectionAllowed="1" showAll="0" sortType="ascending">
      <items>
        <item x="7"/>
        <item x="0"/>
        <item x="1"/>
        <item x="2"/>
        <item x="3"/>
        <item x="4"/>
        <item x="6"/>
        <item x="5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flo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ouse_se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use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dition" compact="0" outline="0" multipleItemSelectionAllowed="1" showAll="0">
      <items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t="default"/>
      </items>
    </pivotField>
  </pivotFields>
  <rowFields>
    <field x="3"/>
  </rowFields>
  <pageFields>
    <pageField fld="0"/>
  </pageFields>
  <dataFields>
    <dataField name="AVERAGE of price" fld="10" subtotal="average" baseField="0"/>
  </dataFields>
</pivotTableDefinition>
</file>

<file path=xl/pivotTables/pivotTable3.xml><?xml version="1.0" encoding="utf-8"?>
<pivotTableDefinition xmlns="http://schemas.openxmlformats.org/spreadsheetml/2006/main" name="Pivot_rent" cacheId="0" dataCaption="" compact="0" compactData="0">
  <location ref="A3:B41" firstHeaderRow="0" firstDataRow="1" firstDataCol="0" rowPageCount="1" colPageCount="1"/>
  <pivotFields>
    <pivotField name="op_type" axis="axisPage" compact="0" outline="0" multipleItemSelectionAllowed="1" showAll="0">
      <items>
        <item x="0"/>
        <item h="1" x="1"/>
        <item t="default"/>
      </items>
    </pivotField>
    <pivotField name="district" axis="axisRow" compact="0" outline="0" multipleItemSelectionAllowed="1" showAll="0" sortType="ascending">
      <items>
        <item x="40"/>
        <item x="20"/>
        <item x="42"/>
        <item x="27"/>
        <item x="31"/>
        <item x="11"/>
        <item x="32"/>
        <item x="38"/>
        <item x="46"/>
        <item x="2"/>
        <item x="23"/>
        <item x="29"/>
        <item x="25"/>
        <item x="13"/>
        <item x="15"/>
        <item x="12"/>
        <item x="26"/>
        <item x="5"/>
        <item x="34"/>
        <item x="47"/>
        <item x="6"/>
        <item x="43"/>
        <item x="3"/>
        <item x="16"/>
        <item x="44"/>
        <item x="18"/>
        <item x="17"/>
        <item x="33"/>
        <item x="7"/>
        <item x="36"/>
        <item x="9"/>
        <item x="22"/>
        <item x="8"/>
        <item x="14"/>
        <item x="0"/>
        <item x="37"/>
        <item x="24"/>
        <item x="28"/>
        <item x="4"/>
        <item x="35"/>
        <item x="45"/>
        <item x="41"/>
        <item x="19"/>
        <item x="30"/>
        <item x="48"/>
        <item x="39"/>
        <item x="21"/>
        <item x="1"/>
        <item x="10"/>
        <item t="default"/>
      </items>
    </pivotField>
    <pivotField name="stre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t="default"/>
      </items>
    </pivotField>
    <pivotField name="room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fl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flo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house_se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house_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dition" compact="0" outline="0" multipleItemSelectionAllowed="1" showAll="0">
      <items>
        <item x="0"/>
        <item x="1"/>
        <item x="2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t="default"/>
      </items>
    </pivotField>
    <pivotField name="l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t="default"/>
      </items>
    </pivotField>
    <pivotField name="l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t="default"/>
      </items>
    </pivotField>
  </pivotFields>
  <rowFields>
    <field x="1"/>
  </rowFields>
  <pageFields>
    <pageField fld="0"/>
  </pageFields>
  <dataFields>
    <dataField name="AVERAGE of price" fld="10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1.0</v>
      </c>
      <c r="E2" s="1">
        <v>27.0</v>
      </c>
      <c r="F2" s="1">
        <v>3.0</v>
      </c>
      <c r="G2" s="1">
        <v>5.0</v>
      </c>
      <c r="H2" s="1" t="s">
        <v>16</v>
      </c>
      <c r="I2" s="1" t="s">
        <v>17</v>
      </c>
      <c r="J2" s="1" t="s">
        <v>18</v>
      </c>
      <c r="K2" s="1">
        <v>250.0</v>
      </c>
      <c r="L2" s="1">
        <v>56.9554841</v>
      </c>
      <c r="M2" s="1">
        <v>24.2021393392559</v>
      </c>
    </row>
    <row r="3">
      <c r="A3" s="1" t="s">
        <v>13</v>
      </c>
      <c r="B3" s="1" t="s">
        <v>19</v>
      </c>
      <c r="C3" s="1" t="s">
        <v>20</v>
      </c>
      <c r="D3" s="1">
        <v>2.0</v>
      </c>
      <c r="E3" s="1">
        <v>50.0</v>
      </c>
      <c r="F3" s="1">
        <v>7.0</v>
      </c>
      <c r="G3" s="1">
        <v>9.0</v>
      </c>
      <c r="H3" s="1">
        <v>602.0</v>
      </c>
      <c r="I3" s="1" t="s">
        <v>21</v>
      </c>
      <c r="J3" s="1" t="s">
        <v>18</v>
      </c>
      <c r="K3" s="1">
        <v>300.0</v>
      </c>
      <c r="L3" s="1">
        <v>56.89979805</v>
      </c>
      <c r="M3" s="1">
        <v>24.09835015</v>
      </c>
    </row>
    <row r="4">
      <c r="A4" s="1" t="s">
        <v>22</v>
      </c>
      <c r="B4" s="1" t="s">
        <v>23</v>
      </c>
      <c r="C4" s="1" t="s">
        <v>24</v>
      </c>
      <c r="D4" s="1">
        <v>2.0</v>
      </c>
      <c r="E4" s="1">
        <v>33.0</v>
      </c>
      <c r="F4" s="1">
        <v>1.0</v>
      </c>
      <c r="G4" s="1">
        <v>2.0</v>
      </c>
      <c r="H4" s="1" t="s">
        <v>25</v>
      </c>
      <c r="I4" s="1" t="s">
        <v>26</v>
      </c>
      <c r="J4" s="1" t="s">
        <v>27</v>
      </c>
      <c r="K4" s="1">
        <v>13500.0</v>
      </c>
      <c r="L4" s="1">
        <v>56.9750922</v>
      </c>
      <c r="M4" s="1">
        <v>24.1398842</v>
      </c>
    </row>
    <row r="5">
      <c r="A5" s="1" t="s">
        <v>22</v>
      </c>
      <c r="B5" s="1" t="s">
        <v>28</v>
      </c>
      <c r="C5" s="1" t="s">
        <v>29</v>
      </c>
      <c r="D5" s="1">
        <v>2.0</v>
      </c>
      <c r="E5" s="1">
        <v>50.0</v>
      </c>
      <c r="F5" s="1">
        <v>5.0</v>
      </c>
      <c r="G5" s="1">
        <v>5.0</v>
      </c>
      <c r="H5" s="1" t="s">
        <v>16</v>
      </c>
      <c r="I5" s="1" t="s">
        <v>21</v>
      </c>
      <c r="J5" s="1" t="s">
        <v>18</v>
      </c>
      <c r="K5" s="1">
        <v>34000.0</v>
      </c>
      <c r="L5" s="1">
        <v>56.8597884</v>
      </c>
      <c r="M5" s="1">
        <v>24.3083417</v>
      </c>
    </row>
    <row r="6">
      <c r="A6" s="1" t="s">
        <v>13</v>
      </c>
      <c r="B6" s="1" t="s">
        <v>30</v>
      </c>
      <c r="C6" s="1" t="s">
        <v>31</v>
      </c>
      <c r="D6" s="1">
        <v>3.0</v>
      </c>
      <c r="E6" s="1">
        <v>76.0</v>
      </c>
      <c r="F6" s="1">
        <v>3.0</v>
      </c>
      <c r="G6" s="1">
        <v>12.0</v>
      </c>
      <c r="H6" s="1" t="s">
        <v>32</v>
      </c>
      <c r="I6" s="1" t="s">
        <v>33</v>
      </c>
      <c r="J6" s="1" t="s">
        <v>18</v>
      </c>
      <c r="K6" s="1">
        <v>490.0</v>
      </c>
      <c r="L6" s="1">
        <v>56.9777452</v>
      </c>
      <c r="M6" s="1">
        <v>24.1660424135714</v>
      </c>
    </row>
    <row r="7">
      <c r="A7" s="1" t="s">
        <v>13</v>
      </c>
      <c r="B7" s="1" t="s">
        <v>23</v>
      </c>
      <c r="C7" s="1" t="s">
        <v>34</v>
      </c>
      <c r="D7" s="1">
        <v>2.0</v>
      </c>
      <c r="E7" s="1">
        <v>40.0</v>
      </c>
      <c r="F7" s="1">
        <v>3.0</v>
      </c>
      <c r="G7" s="1">
        <v>6.0</v>
      </c>
      <c r="H7" s="1" t="s">
        <v>25</v>
      </c>
      <c r="I7" s="1" t="s">
        <v>33</v>
      </c>
      <c r="J7" s="1" t="s">
        <v>18</v>
      </c>
      <c r="K7" s="1">
        <v>440.0</v>
      </c>
      <c r="L7" s="1">
        <v>56.9566594</v>
      </c>
      <c r="M7" s="1">
        <v>24.1237638</v>
      </c>
    </row>
    <row r="8">
      <c r="A8" s="1" t="s">
        <v>22</v>
      </c>
      <c r="B8" s="1" t="s">
        <v>28</v>
      </c>
      <c r="C8" s="1" t="s">
        <v>35</v>
      </c>
      <c r="D8" s="1">
        <v>2.0</v>
      </c>
      <c r="E8" s="1">
        <v>37.0</v>
      </c>
      <c r="F8" s="1">
        <v>5.0</v>
      </c>
      <c r="G8" s="1">
        <v>5.0</v>
      </c>
      <c r="H8" s="1" t="s">
        <v>36</v>
      </c>
      <c r="I8" s="1" t="s">
        <v>37</v>
      </c>
      <c r="J8" s="1" t="s">
        <v>18</v>
      </c>
      <c r="K8" s="1">
        <v>31000.0</v>
      </c>
      <c r="L8" s="1">
        <v>56.91527335</v>
      </c>
      <c r="M8" s="1">
        <v>24.18936465</v>
      </c>
    </row>
    <row r="9">
      <c r="A9" s="1" t="s">
        <v>13</v>
      </c>
      <c r="B9" s="1" t="s">
        <v>38</v>
      </c>
      <c r="C9" s="1" t="s">
        <v>39</v>
      </c>
      <c r="D9" s="1">
        <v>2.0</v>
      </c>
      <c r="E9" s="1">
        <v>49.0</v>
      </c>
      <c r="F9" s="1">
        <v>3.0</v>
      </c>
      <c r="G9" s="1">
        <v>5.0</v>
      </c>
      <c r="H9" s="1" t="s">
        <v>16</v>
      </c>
      <c r="I9" s="1" t="s">
        <v>21</v>
      </c>
      <c r="J9" s="1" t="s">
        <v>18</v>
      </c>
      <c r="K9" s="1">
        <v>240.0</v>
      </c>
      <c r="L9" s="1" t="s">
        <v>40</v>
      </c>
      <c r="M9" s="1" t="s">
        <v>40</v>
      </c>
    </row>
    <row r="10">
      <c r="A10" s="1" t="s">
        <v>13</v>
      </c>
      <c r="B10" s="1" t="s">
        <v>23</v>
      </c>
      <c r="C10" s="1" t="s">
        <v>41</v>
      </c>
      <c r="D10" s="1">
        <v>2.0</v>
      </c>
      <c r="E10" s="1">
        <v>48.0</v>
      </c>
      <c r="F10" s="1">
        <v>5.0</v>
      </c>
      <c r="G10" s="1">
        <v>5.0</v>
      </c>
      <c r="H10" s="1" t="s">
        <v>25</v>
      </c>
      <c r="I10" s="1" t="s">
        <v>37</v>
      </c>
      <c r="J10" s="1" t="s">
        <v>18</v>
      </c>
      <c r="K10" s="1">
        <v>400.0</v>
      </c>
      <c r="L10" s="1">
        <v>56.9509444</v>
      </c>
      <c r="M10" s="1">
        <v>24.128357771229</v>
      </c>
    </row>
    <row r="11">
      <c r="A11" s="1" t="s">
        <v>13</v>
      </c>
      <c r="B11" s="1" t="s">
        <v>42</v>
      </c>
      <c r="C11" s="1" t="s">
        <v>43</v>
      </c>
      <c r="D11" s="1">
        <v>2.0</v>
      </c>
      <c r="E11" s="1">
        <v>45.0</v>
      </c>
      <c r="F11" s="1">
        <v>2.0</v>
      </c>
      <c r="G11" s="1">
        <v>5.0</v>
      </c>
      <c r="H11" s="1" t="s">
        <v>44</v>
      </c>
      <c r="I11" s="1" t="s">
        <v>21</v>
      </c>
      <c r="J11" s="1" t="s">
        <v>18</v>
      </c>
      <c r="K11" s="1">
        <v>360.0</v>
      </c>
      <c r="L11" s="1">
        <v>56.9761694</v>
      </c>
      <c r="M11" s="1">
        <v>24.2544503</v>
      </c>
    </row>
    <row r="12">
      <c r="A12" s="1" t="s">
        <v>22</v>
      </c>
      <c r="B12" s="1" t="s">
        <v>45</v>
      </c>
      <c r="C12" s="1" t="s">
        <v>46</v>
      </c>
      <c r="D12" s="1">
        <v>2.0</v>
      </c>
      <c r="E12" s="1">
        <v>46.0</v>
      </c>
      <c r="F12" s="1">
        <v>4.0</v>
      </c>
      <c r="G12" s="1">
        <v>5.0</v>
      </c>
      <c r="H12" s="1" t="s">
        <v>44</v>
      </c>
      <c r="I12" s="1" t="s">
        <v>21</v>
      </c>
      <c r="J12" s="1" t="s">
        <v>18</v>
      </c>
      <c r="K12" s="1">
        <v>39999.0</v>
      </c>
      <c r="L12" s="1">
        <v>57.0188111</v>
      </c>
      <c r="M12" s="1">
        <v>24.13501185</v>
      </c>
    </row>
    <row r="13">
      <c r="A13" s="1" t="s">
        <v>22</v>
      </c>
      <c r="B13" s="1" t="s">
        <v>42</v>
      </c>
      <c r="C13" s="1" t="s">
        <v>47</v>
      </c>
      <c r="D13" s="1">
        <v>3.0</v>
      </c>
      <c r="E13" s="1">
        <v>58.0</v>
      </c>
      <c r="F13" s="1">
        <v>4.0</v>
      </c>
      <c r="G13" s="1">
        <v>5.0</v>
      </c>
      <c r="H13" s="1" t="s">
        <v>36</v>
      </c>
      <c r="I13" s="1" t="s">
        <v>37</v>
      </c>
      <c r="J13" s="1" t="s">
        <v>18</v>
      </c>
      <c r="K13" s="1">
        <v>50000.0</v>
      </c>
      <c r="L13" s="1">
        <v>56.9927002999999</v>
      </c>
      <c r="M13" s="1">
        <v>24.2400597</v>
      </c>
    </row>
    <row r="14">
      <c r="A14" s="1" t="s">
        <v>22</v>
      </c>
      <c r="B14" s="1" t="s">
        <v>48</v>
      </c>
      <c r="C14" s="1" t="s">
        <v>49</v>
      </c>
      <c r="D14" s="1">
        <v>2.0</v>
      </c>
      <c r="E14" s="1">
        <v>50.0</v>
      </c>
      <c r="F14" s="1">
        <v>1.0</v>
      </c>
      <c r="G14" s="1">
        <v>9.0</v>
      </c>
      <c r="H14" s="1">
        <v>602.0</v>
      </c>
      <c r="I14" s="1" t="s">
        <v>21</v>
      </c>
      <c r="J14" s="1" t="s">
        <v>18</v>
      </c>
      <c r="K14" s="1">
        <v>53000.0</v>
      </c>
      <c r="L14" s="1">
        <v>56.967948</v>
      </c>
      <c r="M14" s="1">
        <v>24.2351586311777</v>
      </c>
    </row>
    <row r="15">
      <c r="A15" s="1" t="s">
        <v>22</v>
      </c>
      <c r="B15" s="1" t="s">
        <v>50</v>
      </c>
      <c r="C15" s="1" t="s">
        <v>51</v>
      </c>
      <c r="D15" s="1">
        <v>3.0</v>
      </c>
      <c r="E15" s="1">
        <v>60.0</v>
      </c>
      <c r="F15" s="1">
        <v>2.0</v>
      </c>
      <c r="G15" s="1">
        <v>5.0</v>
      </c>
      <c r="H15" s="1" t="s">
        <v>16</v>
      </c>
      <c r="I15" s="1" t="s">
        <v>21</v>
      </c>
      <c r="J15" s="1" t="s">
        <v>18</v>
      </c>
      <c r="K15" s="1">
        <v>48000.0</v>
      </c>
      <c r="L15" s="1">
        <v>56.9228069</v>
      </c>
      <c r="M15" s="1">
        <v>24.1703845</v>
      </c>
    </row>
    <row r="16">
      <c r="A16" s="1" t="s">
        <v>22</v>
      </c>
      <c r="B16" s="1" t="s">
        <v>52</v>
      </c>
      <c r="C16" s="1" t="s">
        <v>53</v>
      </c>
      <c r="D16" s="1">
        <v>1.0</v>
      </c>
      <c r="E16" s="1">
        <v>46.0</v>
      </c>
      <c r="F16" s="1">
        <v>9.0</v>
      </c>
      <c r="G16" s="1">
        <v>9.0</v>
      </c>
      <c r="H16" s="1">
        <v>119.0</v>
      </c>
      <c r="I16" s="1" t="s">
        <v>21</v>
      </c>
      <c r="J16" s="1" t="s">
        <v>18</v>
      </c>
      <c r="K16" s="1">
        <v>38500.0</v>
      </c>
      <c r="L16" s="1">
        <v>56.9461963</v>
      </c>
      <c r="M16" s="1">
        <v>24.0014164</v>
      </c>
    </row>
    <row r="17">
      <c r="A17" s="1" t="s">
        <v>22</v>
      </c>
      <c r="B17" s="1" t="s">
        <v>48</v>
      </c>
      <c r="C17" s="1" t="s">
        <v>54</v>
      </c>
      <c r="D17" s="1">
        <v>2.0</v>
      </c>
      <c r="E17" s="1">
        <v>36.0</v>
      </c>
      <c r="F17" s="1">
        <v>1.0</v>
      </c>
      <c r="G17" s="1">
        <v>5.0</v>
      </c>
      <c r="H17" s="1" t="s">
        <v>16</v>
      </c>
      <c r="I17" s="1" t="s">
        <v>21</v>
      </c>
      <c r="J17" s="1" t="s">
        <v>18</v>
      </c>
      <c r="K17" s="1">
        <v>46000.0</v>
      </c>
      <c r="L17" s="1">
        <v>56.9736358</v>
      </c>
      <c r="M17" s="1">
        <v>24.2335309150293</v>
      </c>
    </row>
    <row r="18">
      <c r="A18" s="1" t="s">
        <v>22</v>
      </c>
      <c r="B18" s="1" t="s">
        <v>23</v>
      </c>
      <c r="C18" s="1" t="s">
        <v>55</v>
      </c>
      <c r="D18" s="1">
        <v>2.0</v>
      </c>
      <c r="E18" s="1">
        <v>36.0</v>
      </c>
      <c r="F18" s="1">
        <v>5.0</v>
      </c>
      <c r="G18" s="1">
        <v>5.0</v>
      </c>
      <c r="H18" s="1" t="s">
        <v>25</v>
      </c>
      <c r="I18" s="1" t="s">
        <v>33</v>
      </c>
      <c r="J18" s="1" t="s">
        <v>18</v>
      </c>
      <c r="K18" s="1">
        <v>54900.0</v>
      </c>
      <c r="L18" s="1">
        <v>56.9562996</v>
      </c>
      <c r="M18" s="1">
        <v>24.1467585</v>
      </c>
    </row>
    <row r="19">
      <c r="A19" s="1" t="s">
        <v>13</v>
      </c>
      <c r="B19" s="1" t="s">
        <v>19</v>
      </c>
      <c r="C19" s="1" t="s">
        <v>56</v>
      </c>
      <c r="D19" s="1">
        <v>1.0</v>
      </c>
      <c r="E19" s="1">
        <v>44.0</v>
      </c>
      <c r="F19" s="1">
        <v>4.0</v>
      </c>
      <c r="G19" s="1">
        <v>9.0</v>
      </c>
      <c r="H19" s="1" t="s">
        <v>57</v>
      </c>
      <c r="I19" s="1" t="s">
        <v>21</v>
      </c>
      <c r="J19" s="1" t="s">
        <v>18</v>
      </c>
      <c r="K19" s="1">
        <v>240.0</v>
      </c>
      <c r="L19" s="1">
        <v>56.9014001</v>
      </c>
      <c r="M19" s="1">
        <v>24.0998855645099</v>
      </c>
    </row>
    <row r="20">
      <c r="A20" s="1" t="s">
        <v>22</v>
      </c>
      <c r="B20" s="1" t="s">
        <v>28</v>
      </c>
      <c r="C20" s="1" t="s">
        <v>58</v>
      </c>
      <c r="D20" s="1">
        <v>3.0</v>
      </c>
      <c r="E20" s="1">
        <v>60.0</v>
      </c>
      <c r="F20" s="1">
        <v>3.0</v>
      </c>
      <c r="G20" s="1">
        <v>5.0</v>
      </c>
      <c r="H20" s="1" t="s">
        <v>44</v>
      </c>
      <c r="I20" s="1" t="s">
        <v>21</v>
      </c>
      <c r="J20" s="1" t="s">
        <v>18</v>
      </c>
      <c r="K20" s="1">
        <v>56500.0</v>
      </c>
      <c r="L20" s="1">
        <v>56.8945857</v>
      </c>
      <c r="M20" s="1">
        <v>24.2163422</v>
      </c>
    </row>
    <row r="21">
      <c r="A21" s="1" t="s">
        <v>22</v>
      </c>
      <c r="B21" s="1" t="s">
        <v>48</v>
      </c>
      <c r="C21" s="1" t="s">
        <v>59</v>
      </c>
      <c r="D21" s="1">
        <v>3.0</v>
      </c>
      <c r="E21" s="1">
        <v>62.0</v>
      </c>
      <c r="F21" s="1">
        <v>6.0</v>
      </c>
      <c r="G21" s="1">
        <v>9.0</v>
      </c>
      <c r="H21" s="1">
        <v>602.0</v>
      </c>
      <c r="I21" s="1" t="s">
        <v>21</v>
      </c>
      <c r="J21" s="1" t="s">
        <v>18</v>
      </c>
      <c r="K21" s="1">
        <v>52500.0</v>
      </c>
      <c r="L21" s="1">
        <v>56.96342305</v>
      </c>
      <c r="M21" s="1">
        <v>24.2351297251986</v>
      </c>
    </row>
    <row r="22">
      <c r="A22" s="1" t="s">
        <v>13</v>
      </c>
      <c r="B22" s="1" t="s">
        <v>60</v>
      </c>
      <c r="C22" s="1" t="s">
        <v>61</v>
      </c>
      <c r="D22" s="1">
        <v>2.0</v>
      </c>
      <c r="E22" s="1">
        <v>50.0</v>
      </c>
      <c r="F22" s="1">
        <v>2.0</v>
      </c>
      <c r="G22" s="1">
        <v>5.0</v>
      </c>
      <c r="H22" s="1" t="s">
        <v>36</v>
      </c>
      <c r="I22" s="1" t="s">
        <v>21</v>
      </c>
      <c r="J22" s="1" t="s">
        <v>18</v>
      </c>
      <c r="K22" s="1">
        <v>260.0</v>
      </c>
      <c r="L22" s="1">
        <v>57.02965155</v>
      </c>
      <c r="M22" s="1">
        <v>24.0359751945236</v>
      </c>
    </row>
    <row r="23">
      <c r="A23" s="1" t="s">
        <v>22</v>
      </c>
      <c r="B23" s="1" t="s">
        <v>14</v>
      </c>
      <c r="C23" s="1" t="s">
        <v>62</v>
      </c>
      <c r="D23" s="1">
        <v>2.0</v>
      </c>
      <c r="E23" s="1">
        <v>44.0</v>
      </c>
      <c r="F23" s="1">
        <v>4.0</v>
      </c>
      <c r="G23" s="1">
        <v>5.0</v>
      </c>
      <c r="H23" s="1" t="s">
        <v>44</v>
      </c>
      <c r="I23" s="1" t="s">
        <v>37</v>
      </c>
      <c r="J23" s="1" t="s">
        <v>63</v>
      </c>
      <c r="K23" s="1">
        <v>39000.0</v>
      </c>
      <c r="L23" s="1">
        <v>56.9636785</v>
      </c>
      <c r="M23" s="1">
        <v>24.1706167383245</v>
      </c>
    </row>
    <row r="24">
      <c r="A24" s="1" t="s">
        <v>13</v>
      </c>
      <c r="B24" s="1" t="s">
        <v>23</v>
      </c>
      <c r="C24" s="1" t="s">
        <v>64</v>
      </c>
      <c r="D24" s="1">
        <v>2.0</v>
      </c>
      <c r="E24" s="1">
        <v>40.0</v>
      </c>
      <c r="F24" s="1">
        <v>4.0</v>
      </c>
      <c r="G24" s="1">
        <v>6.0</v>
      </c>
      <c r="H24" s="1" t="s">
        <v>25</v>
      </c>
      <c r="I24" s="1" t="s">
        <v>33</v>
      </c>
      <c r="J24" s="1" t="s">
        <v>18</v>
      </c>
      <c r="K24" s="1">
        <v>395.0</v>
      </c>
      <c r="L24" s="1">
        <v>56.9521436</v>
      </c>
      <c r="M24" s="1">
        <v>24.1276865</v>
      </c>
    </row>
    <row r="25">
      <c r="A25" s="1" t="s">
        <v>13</v>
      </c>
      <c r="B25" s="1" t="s">
        <v>23</v>
      </c>
      <c r="C25" s="1" t="s">
        <v>65</v>
      </c>
      <c r="D25" s="1">
        <v>2.0</v>
      </c>
      <c r="E25" s="1">
        <v>45.0</v>
      </c>
      <c r="F25" s="1">
        <v>2.0</v>
      </c>
      <c r="G25" s="1">
        <v>4.0</v>
      </c>
      <c r="H25" s="1" t="s">
        <v>66</v>
      </c>
      <c r="I25" s="1" t="s">
        <v>33</v>
      </c>
      <c r="J25" s="1" t="s">
        <v>18</v>
      </c>
      <c r="K25" s="1">
        <v>350.0</v>
      </c>
      <c r="L25" s="1">
        <v>56.949971</v>
      </c>
      <c r="M25" s="1">
        <v>24.1441423352317</v>
      </c>
    </row>
    <row r="26">
      <c r="A26" s="1" t="s">
        <v>13</v>
      </c>
      <c r="B26" s="1" t="s">
        <v>67</v>
      </c>
      <c r="C26" s="1" t="s">
        <v>68</v>
      </c>
      <c r="D26" s="1">
        <v>1.0</v>
      </c>
      <c r="E26" s="1">
        <v>26.0</v>
      </c>
      <c r="F26" s="1">
        <v>2.0</v>
      </c>
      <c r="G26" s="1">
        <v>3.0</v>
      </c>
      <c r="H26" s="1" t="s">
        <v>66</v>
      </c>
      <c r="I26" s="1" t="s">
        <v>26</v>
      </c>
      <c r="J26" s="1" t="s">
        <v>18</v>
      </c>
      <c r="K26" s="1">
        <v>345.0</v>
      </c>
      <c r="L26" s="1">
        <v>56.9610304</v>
      </c>
      <c r="M26" s="1">
        <v>24.1476406</v>
      </c>
    </row>
    <row r="27">
      <c r="A27" s="1" t="s">
        <v>13</v>
      </c>
      <c r="B27" s="1" t="s">
        <v>19</v>
      </c>
      <c r="C27" s="1" t="s">
        <v>69</v>
      </c>
      <c r="D27" s="1">
        <v>2.0</v>
      </c>
      <c r="E27" s="1">
        <v>56.0</v>
      </c>
      <c r="F27" s="1">
        <v>8.0</v>
      </c>
      <c r="G27" s="1">
        <v>9.0</v>
      </c>
      <c r="H27" s="1" t="s">
        <v>36</v>
      </c>
      <c r="I27" s="1" t="s">
        <v>37</v>
      </c>
      <c r="J27" s="1" t="s">
        <v>18</v>
      </c>
      <c r="K27" s="1">
        <v>250.0</v>
      </c>
      <c r="L27" s="1">
        <v>56.91095995</v>
      </c>
      <c r="M27" s="1">
        <v>24.1100004569314</v>
      </c>
    </row>
    <row r="28">
      <c r="A28" s="1" t="s">
        <v>13</v>
      </c>
      <c r="B28" s="1" t="s">
        <v>60</v>
      </c>
      <c r="C28" s="1" t="s">
        <v>70</v>
      </c>
      <c r="D28" s="1">
        <v>1.0</v>
      </c>
      <c r="E28" s="1">
        <v>34.0</v>
      </c>
      <c r="F28" s="1">
        <v>3.0</v>
      </c>
      <c r="G28" s="1">
        <v>5.0</v>
      </c>
      <c r="H28" s="1">
        <v>103.0</v>
      </c>
      <c r="I28" s="1" t="s">
        <v>17</v>
      </c>
      <c r="J28" s="1" t="s">
        <v>18</v>
      </c>
      <c r="K28" s="1">
        <v>210.0</v>
      </c>
      <c r="L28" s="1">
        <v>57.03135185</v>
      </c>
      <c r="M28" s="1">
        <v>24.0508646842677</v>
      </c>
    </row>
    <row r="29">
      <c r="A29" s="1" t="s">
        <v>22</v>
      </c>
      <c r="B29" s="1" t="s">
        <v>71</v>
      </c>
      <c r="C29" s="1" t="s">
        <v>72</v>
      </c>
      <c r="D29" s="1">
        <v>4.0</v>
      </c>
      <c r="E29" s="1">
        <v>78.0</v>
      </c>
      <c r="F29" s="1">
        <v>1.0</v>
      </c>
      <c r="G29" s="1">
        <v>9.0</v>
      </c>
      <c r="H29" s="1">
        <v>602.0</v>
      </c>
      <c r="I29" s="1" t="s">
        <v>21</v>
      </c>
      <c r="J29" s="1" t="s">
        <v>18</v>
      </c>
      <c r="K29" s="1">
        <v>91000.0</v>
      </c>
      <c r="L29" s="1">
        <v>56.9469271499999</v>
      </c>
      <c r="M29" s="1">
        <v>24.2365113562527</v>
      </c>
    </row>
    <row r="30">
      <c r="A30" s="1" t="s">
        <v>22</v>
      </c>
      <c r="B30" s="1" t="s">
        <v>28</v>
      </c>
      <c r="C30" s="1" t="s">
        <v>73</v>
      </c>
      <c r="D30" s="1">
        <v>2.0</v>
      </c>
      <c r="E30" s="1">
        <v>42.0</v>
      </c>
      <c r="F30" s="1">
        <v>3.0</v>
      </c>
      <c r="G30" s="1">
        <v>5.0</v>
      </c>
      <c r="H30" s="1" t="s">
        <v>44</v>
      </c>
      <c r="I30" s="1" t="s">
        <v>37</v>
      </c>
      <c r="J30" s="1" t="s">
        <v>18</v>
      </c>
      <c r="K30" s="1">
        <v>45900.0</v>
      </c>
      <c r="L30" s="1">
        <v>56.9134761</v>
      </c>
      <c r="M30" s="1">
        <v>24.18677075</v>
      </c>
    </row>
    <row r="31">
      <c r="A31" s="1" t="s">
        <v>22</v>
      </c>
      <c r="B31" s="1" t="s">
        <v>74</v>
      </c>
      <c r="C31" s="1" t="s">
        <v>75</v>
      </c>
      <c r="D31" s="1">
        <v>1.0</v>
      </c>
      <c r="E31" s="1">
        <v>35.0</v>
      </c>
      <c r="F31" s="1">
        <v>1.0</v>
      </c>
      <c r="G31" s="1">
        <v>9.0</v>
      </c>
      <c r="H31" s="1">
        <v>602.0</v>
      </c>
      <c r="I31" s="1" t="s">
        <v>17</v>
      </c>
      <c r="J31" s="1" t="s">
        <v>18</v>
      </c>
      <c r="K31" s="1">
        <v>37000.0</v>
      </c>
      <c r="L31" s="1">
        <v>56.9397226</v>
      </c>
      <c r="M31" s="1">
        <v>24.2126243664139</v>
      </c>
    </row>
    <row r="32">
      <c r="A32" s="1" t="s">
        <v>13</v>
      </c>
      <c r="B32" s="1" t="s">
        <v>76</v>
      </c>
      <c r="C32" s="1" t="s">
        <v>77</v>
      </c>
      <c r="D32" s="1">
        <v>1.0</v>
      </c>
      <c r="E32" s="1">
        <v>29.0</v>
      </c>
      <c r="F32" s="1">
        <v>4.0</v>
      </c>
      <c r="G32" s="1">
        <v>5.0</v>
      </c>
      <c r="H32" s="1" t="s">
        <v>16</v>
      </c>
      <c r="I32" s="1" t="s">
        <v>21</v>
      </c>
      <c r="J32" s="1" t="s">
        <v>18</v>
      </c>
      <c r="K32" s="1">
        <v>240.0</v>
      </c>
      <c r="L32" s="1">
        <v>56.95770335</v>
      </c>
      <c r="M32" s="1">
        <v>24.0505207014209</v>
      </c>
    </row>
    <row r="33">
      <c r="A33" s="1" t="s">
        <v>13</v>
      </c>
      <c r="B33" s="1" t="s">
        <v>38</v>
      </c>
      <c r="C33" s="1" t="s">
        <v>78</v>
      </c>
      <c r="D33" s="1">
        <v>2.0</v>
      </c>
      <c r="E33" s="1">
        <v>60.0</v>
      </c>
      <c r="F33" s="1">
        <v>3.0</v>
      </c>
      <c r="G33" s="1">
        <v>8.0</v>
      </c>
      <c r="H33" s="1" t="s">
        <v>32</v>
      </c>
      <c r="I33" s="1" t="s">
        <v>33</v>
      </c>
      <c r="J33" s="1" t="s">
        <v>18</v>
      </c>
      <c r="K33" s="1">
        <v>580.0</v>
      </c>
      <c r="L33" s="1">
        <v>56.96485355</v>
      </c>
      <c r="M33" s="1">
        <v>24.01574948511</v>
      </c>
    </row>
    <row r="34">
      <c r="A34" s="1" t="s">
        <v>22</v>
      </c>
      <c r="B34" s="1" t="s">
        <v>38</v>
      </c>
      <c r="C34" s="1" t="s">
        <v>78</v>
      </c>
      <c r="D34" s="1">
        <v>2.0</v>
      </c>
      <c r="E34" s="1">
        <v>62.0</v>
      </c>
      <c r="F34" s="1">
        <v>3.0</v>
      </c>
      <c r="G34" s="1">
        <v>5.0</v>
      </c>
      <c r="H34" s="1" t="s">
        <v>32</v>
      </c>
      <c r="I34" s="1" t="s">
        <v>33</v>
      </c>
      <c r="J34" s="1" t="s">
        <v>18</v>
      </c>
      <c r="K34" s="1">
        <v>120000.0</v>
      </c>
      <c r="L34" s="1">
        <v>56.96485355</v>
      </c>
      <c r="M34" s="1">
        <v>24.01574948511</v>
      </c>
    </row>
    <row r="35">
      <c r="A35" s="1" t="s">
        <v>13</v>
      </c>
      <c r="B35" s="1" t="s">
        <v>23</v>
      </c>
      <c r="C35" s="1" t="s">
        <v>79</v>
      </c>
      <c r="D35" s="1">
        <v>1.0</v>
      </c>
      <c r="E35" s="1">
        <v>34.0</v>
      </c>
      <c r="F35" s="1">
        <v>5.0</v>
      </c>
      <c r="G35" s="1">
        <v>5.0</v>
      </c>
      <c r="H35" s="1" t="s">
        <v>16</v>
      </c>
      <c r="I35" s="1" t="s">
        <v>17</v>
      </c>
      <c r="J35" s="1" t="s">
        <v>18</v>
      </c>
      <c r="K35" s="1">
        <v>320.0</v>
      </c>
      <c r="L35" s="1">
        <v>56.9685959</v>
      </c>
      <c r="M35" s="1">
        <v>24.1452571692525</v>
      </c>
    </row>
    <row r="36">
      <c r="A36" s="1" t="s">
        <v>22</v>
      </c>
      <c r="B36" s="1" t="s">
        <v>28</v>
      </c>
      <c r="C36" s="1" t="s">
        <v>80</v>
      </c>
      <c r="D36" s="1">
        <v>3.0</v>
      </c>
      <c r="E36" s="1">
        <v>55.0</v>
      </c>
      <c r="F36" s="1">
        <v>3.0</v>
      </c>
      <c r="G36" s="1">
        <v>5.0</v>
      </c>
      <c r="H36" s="1" t="s">
        <v>36</v>
      </c>
      <c r="I36" s="1" t="s">
        <v>37</v>
      </c>
      <c r="J36" s="1" t="s">
        <v>18</v>
      </c>
      <c r="K36" s="1">
        <v>43000.0</v>
      </c>
      <c r="L36" s="1">
        <v>56.90348845</v>
      </c>
      <c r="M36" s="1">
        <v>24.20369795</v>
      </c>
    </row>
    <row r="37">
      <c r="A37" s="1" t="s">
        <v>13</v>
      </c>
      <c r="B37" s="1" t="s">
        <v>14</v>
      </c>
      <c r="C37" s="1" t="s">
        <v>81</v>
      </c>
      <c r="D37" s="1">
        <v>1.0</v>
      </c>
      <c r="E37" s="1">
        <v>43.0</v>
      </c>
      <c r="F37" s="1">
        <v>9.0</v>
      </c>
      <c r="G37" s="1">
        <v>9.0</v>
      </c>
      <c r="H37" s="1" t="s">
        <v>36</v>
      </c>
      <c r="I37" s="1" t="s">
        <v>37</v>
      </c>
      <c r="J37" s="1" t="s">
        <v>18</v>
      </c>
      <c r="K37" s="1">
        <v>25.0</v>
      </c>
      <c r="L37" s="1">
        <v>56.9655674</v>
      </c>
      <c r="M37" s="1">
        <v>24.1830043136253</v>
      </c>
    </row>
    <row r="38">
      <c r="A38" s="1" t="s">
        <v>13</v>
      </c>
      <c r="B38" s="1" t="s">
        <v>82</v>
      </c>
      <c r="C38" s="1" t="s">
        <v>83</v>
      </c>
      <c r="D38" s="1">
        <v>2.0</v>
      </c>
      <c r="E38" s="1">
        <v>86.0</v>
      </c>
      <c r="F38" s="1">
        <v>2.0</v>
      </c>
      <c r="G38" s="1">
        <v>4.0</v>
      </c>
      <c r="H38" s="1" t="s">
        <v>32</v>
      </c>
      <c r="I38" s="1" t="s">
        <v>33</v>
      </c>
      <c r="J38" s="1" t="s">
        <v>18</v>
      </c>
      <c r="K38" s="1">
        <v>1200.0</v>
      </c>
      <c r="L38" s="1">
        <v>56.9489344</v>
      </c>
      <c r="M38" s="1">
        <v>24.0882804</v>
      </c>
    </row>
    <row r="39">
      <c r="A39" s="1" t="s">
        <v>13</v>
      </c>
      <c r="B39" s="1" t="s">
        <v>23</v>
      </c>
      <c r="C39" s="1" t="s">
        <v>84</v>
      </c>
      <c r="D39" s="1">
        <v>1.0</v>
      </c>
      <c r="E39" s="1">
        <v>40.0</v>
      </c>
      <c r="F39" s="1">
        <v>4.0</v>
      </c>
      <c r="G39" s="1">
        <v>5.0</v>
      </c>
      <c r="H39" s="1" t="s">
        <v>66</v>
      </c>
      <c r="I39" s="1" t="s">
        <v>33</v>
      </c>
      <c r="J39" s="1" t="s">
        <v>18</v>
      </c>
      <c r="K39" s="1">
        <v>600.0</v>
      </c>
      <c r="L39" s="1">
        <v>56.9506147</v>
      </c>
      <c r="M39" s="1">
        <v>24.1212313</v>
      </c>
    </row>
    <row r="40">
      <c r="A40" s="1" t="s">
        <v>13</v>
      </c>
      <c r="B40" s="1" t="s">
        <v>23</v>
      </c>
      <c r="C40" s="1" t="s">
        <v>85</v>
      </c>
      <c r="D40" s="1">
        <v>2.0</v>
      </c>
      <c r="E40" s="1">
        <v>36.0</v>
      </c>
      <c r="F40" s="1">
        <v>3.0</v>
      </c>
      <c r="G40" s="1">
        <v>3.0</v>
      </c>
      <c r="H40" s="1" t="s">
        <v>25</v>
      </c>
      <c r="I40" s="1" t="s">
        <v>37</v>
      </c>
      <c r="J40" s="1" t="s">
        <v>18</v>
      </c>
      <c r="K40" s="1">
        <v>250.0</v>
      </c>
      <c r="L40" s="1">
        <v>56.9530706</v>
      </c>
      <c r="M40" s="1">
        <v>24.1376419</v>
      </c>
    </row>
    <row r="41">
      <c r="A41" s="1" t="s">
        <v>22</v>
      </c>
      <c r="B41" s="1" t="s">
        <v>23</v>
      </c>
      <c r="C41" s="1" t="s">
        <v>86</v>
      </c>
      <c r="D41" s="1">
        <v>3.0</v>
      </c>
      <c r="E41" s="1">
        <v>85.0</v>
      </c>
      <c r="F41" s="1">
        <v>3.0</v>
      </c>
      <c r="G41" s="1">
        <v>6.0</v>
      </c>
      <c r="H41" s="1" t="s">
        <v>25</v>
      </c>
      <c r="I41" s="1" t="s">
        <v>37</v>
      </c>
      <c r="J41" s="1" t="s">
        <v>18</v>
      </c>
      <c r="K41" s="1">
        <v>170000.0</v>
      </c>
      <c r="L41" s="1">
        <v>56.9559527</v>
      </c>
      <c r="M41" s="1">
        <v>24.1267505</v>
      </c>
    </row>
    <row r="42">
      <c r="A42" s="1" t="s">
        <v>22</v>
      </c>
      <c r="B42" s="1" t="s">
        <v>30</v>
      </c>
      <c r="C42" s="1" t="s">
        <v>87</v>
      </c>
      <c r="D42" s="1">
        <v>3.0</v>
      </c>
      <c r="E42" s="1">
        <v>79.0</v>
      </c>
      <c r="F42" s="1">
        <v>3.0</v>
      </c>
      <c r="G42" s="1">
        <v>5.0</v>
      </c>
      <c r="H42" s="1" t="s">
        <v>36</v>
      </c>
      <c r="I42" s="1" t="s">
        <v>17</v>
      </c>
      <c r="J42" s="1" t="s">
        <v>18</v>
      </c>
      <c r="K42" s="1">
        <v>85000.0</v>
      </c>
      <c r="L42" s="1">
        <v>56.98279245</v>
      </c>
      <c r="M42" s="1">
        <v>24.1963668754421</v>
      </c>
    </row>
    <row r="43">
      <c r="A43" s="1" t="s">
        <v>22</v>
      </c>
      <c r="B43" s="1" t="s">
        <v>42</v>
      </c>
      <c r="C43" s="1" t="s">
        <v>88</v>
      </c>
      <c r="D43" s="1">
        <v>2.0</v>
      </c>
      <c r="E43" s="1">
        <v>45.0</v>
      </c>
      <c r="F43" s="1">
        <v>2.0</v>
      </c>
      <c r="G43" s="1">
        <v>5.0</v>
      </c>
      <c r="H43" s="1" t="s">
        <v>44</v>
      </c>
      <c r="I43" s="1" t="s">
        <v>21</v>
      </c>
      <c r="J43" s="1" t="s">
        <v>18</v>
      </c>
      <c r="K43" s="1">
        <v>40000.0</v>
      </c>
      <c r="L43" s="1">
        <v>56.97808055</v>
      </c>
      <c r="M43" s="1">
        <v>24.247249</v>
      </c>
    </row>
    <row r="44">
      <c r="A44" s="1" t="s">
        <v>89</v>
      </c>
      <c r="B44" s="1" t="s">
        <v>74</v>
      </c>
      <c r="C44" s="2"/>
      <c r="D44" s="1" t="s">
        <v>90</v>
      </c>
      <c r="E44" s="2"/>
      <c r="F44" s="2"/>
      <c r="G44" s="2"/>
      <c r="H44" s="2"/>
      <c r="I44" s="2"/>
      <c r="J44" s="2"/>
      <c r="K44" s="2"/>
      <c r="L44" s="1">
        <v>46.3144754</v>
      </c>
      <c r="M44" s="1">
        <v>11.0480288</v>
      </c>
    </row>
    <row r="45">
      <c r="A45" s="1" t="s">
        <v>13</v>
      </c>
      <c r="B45" s="1" t="s">
        <v>23</v>
      </c>
      <c r="C45" s="1" t="s">
        <v>91</v>
      </c>
      <c r="D45" s="1">
        <v>1.0</v>
      </c>
      <c r="E45" s="1">
        <v>46.0</v>
      </c>
      <c r="F45" s="1">
        <v>4.0</v>
      </c>
      <c r="G45" s="1">
        <v>7.0</v>
      </c>
      <c r="H45" s="1" t="s">
        <v>32</v>
      </c>
      <c r="I45" s="1" t="s">
        <v>33</v>
      </c>
      <c r="J45" s="1" t="s">
        <v>18</v>
      </c>
      <c r="K45" s="1">
        <v>39.0</v>
      </c>
      <c r="L45" s="1">
        <v>56.9552522</v>
      </c>
      <c r="M45" s="1">
        <v>24.0999991251943</v>
      </c>
    </row>
    <row r="46">
      <c r="A46" s="1" t="s">
        <v>13</v>
      </c>
      <c r="B46" s="1" t="s">
        <v>14</v>
      </c>
      <c r="C46" s="1" t="s">
        <v>81</v>
      </c>
      <c r="D46" s="1">
        <v>1.0</v>
      </c>
      <c r="E46" s="1">
        <v>40.0</v>
      </c>
      <c r="F46" s="1">
        <v>2.0</v>
      </c>
      <c r="G46" s="1">
        <v>5.0</v>
      </c>
      <c r="H46" s="1" t="s">
        <v>36</v>
      </c>
      <c r="I46" s="1" t="s">
        <v>17</v>
      </c>
      <c r="J46" s="1" t="s">
        <v>18</v>
      </c>
      <c r="K46" s="1">
        <v>235.0</v>
      </c>
      <c r="L46" s="1">
        <v>56.9655674</v>
      </c>
      <c r="M46" s="1">
        <v>24.1830043136253</v>
      </c>
    </row>
    <row r="47">
      <c r="A47" s="1" t="s">
        <v>13</v>
      </c>
      <c r="B47" s="1" t="s">
        <v>23</v>
      </c>
      <c r="C47" s="1" t="s">
        <v>92</v>
      </c>
      <c r="D47" s="1">
        <v>1.0</v>
      </c>
      <c r="E47" s="1">
        <v>38.0</v>
      </c>
      <c r="F47" s="1">
        <v>5.0</v>
      </c>
      <c r="G47" s="1">
        <v>2.0</v>
      </c>
      <c r="H47" s="1" t="s">
        <v>36</v>
      </c>
      <c r="I47" s="1" t="s">
        <v>37</v>
      </c>
      <c r="J47" s="1" t="s">
        <v>18</v>
      </c>
      <c r="K47" s="1">
        <v>280.0</v>
      </c>
      <c r="L47" s="1">
        <v>56.95636735</v>
      </c>
      <c r="M47" s="1">
        <v>24.1556898638912</v>
      </c>
    </row>
    <row r="48">
      <c r="A48" s="1" t="s">
        <v>13</v>
      </c>
      <c r="B48" s="1" t="s">
        <v>14</v>
      </c>
      <c r="C48" s="1" t="s">
        <v>93</v>
      </c>
      <c r="D48" s="1">
        <v>2.0</v>
      </c>
      <c r="E48" s="1">
        <v>46.0</v>
      </c>
      <c r="F48" s="1">
        <v>2.0</v>
      </c>
      <c r="G48" s="1">
        <v>5.0</v>
      </c>
      <c r="H48" s="1" t="s">
        <v>32</v>
      </c>
      <c r="I48" s="1" t="s">
        <v>21</v>
      </c>
      <c r="J48" s="1" t="s">
        <v>18</v>
      </c>
      <c r="K48" s="1">
        <v>430.0</v>
      </c>
      <c r="L48" s="1">
        <v>56.95632235</v>
      </c>
      <c r="M48" s="1">
        <v>24.1859785589656</v>
      </c>
    </row>
    <row r="49">
      <c r="A49" s="1" t="s">
        <v>13</v>
      </c>
      <c r="B49" s="1" t="s">
        <v>94</v>
      </c>
      <c r="C49" s="1" t="s">
        <v>95</v>
      </c>
      <c r="D49" s="1">
        <v>1.0</v>
      </c>
      <c r="E49" s="1">
        <v>36.0</v>
      </c>
      <c r="F49" s="1">
        <v>6.0</v>
      </c>
      <c r="G49" s="1">
        <v>9.0</v>
      </c>
      <c r="H49" s="1">
        <v>602.0</v>
      </c>
      <c r="I49" s="1" t="s">
        <v>21</v>
      </c>
      <c r="J49" s="1" t="s">
        <v>18</v>
      </c>
      <c r="K49" s="1">
        <v>290.0</v>
      </c>
      <c r="L49" s="1">
        <v>56.93144315</v>
      </c>
      <c r="M49" s="1">
        <v>24.1757569002296</v>
      </c>
    </row>
    <row r="50">
      <c r="A50" s="1" t="s">
        <v>89</v>
      </c>
      <c r="B50" s="1" t="s">
        <v>28</v>
      </c>
      <c r="C50" s="2"/>
      <c r="D50" s="1">
        <v>2.0</v>
      </c>
      <c r="E50" s="2"/>
      <c r="F50" s="1">
        <v>12.0</v>
      </c>
      <c r="G50" s="1">
        <v>7.0</v>
      </c>
      <c r="H50" s="2"/>
      <c r="I50" s="2"/>
      <c r="J50" s="1" t="s">
        <v>18</v>
      </c>
      <c r="K50" s="2"/>
      <c r="L50" s="1">
        <v>46.3144754</v>
      </c>
      <c r="M50" s="1">
        <v>11.0480288</v>
      </c>
    </row>
    <row r="51">
      <c r="A51" s="1" t="s">
        <v>89</v>
      </c>
      <c r="B51" s="1" t="s">
        <v>96</v>
      </c>
      <c r="C51" s="2"/>
      <c r="D51" s="2"/>
      <c r="E51" s="1">
        <v>9.0</v>
      </c>
      <c r="F51" s="1">
        <v>99.0</v>
      </c>
      <c r="G51" s="1">
        <v>9.0</v>
      </c>
      <c r="H51" s="2"/>
      <c r="I51" s="2"/>
      <c r="J51" s="2"/>
      <c r="K51" s="2"/>
      <c r="L51" s="1">
        <v>46.3144754</v>
      </c>
      <c r="M51" s="1">
        <v>11.0480288</v>
      </c>
    </row>
    <row r="52">
      <c r="A52" s="1" t="s">
        <v>13</v>
      </c>
      <c r="B52" s="1" t="s">
        <v>45</v>
      </c>
      <c r="C52" s="1" t="s">
        <v>97</v>
      </c>
      <c r="D52" s="1">
        <v>2.0</v>
      </c>
      <c r="E52" s="1">
        <v>40.0</v>
      </c>
      <c r="F52" s="1">
        <v>1.0</v>
      </c>
      <c r="G52" s="1">
        <v>2.0</v>
      </c>
      <c r="H52" s="1" t="s">
        <v>66</v>
      </c>
      <c r="I52" s="1" t="s">
        <v>26</v>
      </c>
      <c r="J52" s="1" t="s">
        <v>18</v>
      </c>
      <c r="K52" s="1">
        <v>220.0</v>
      </c>
      <c r="L52" s="1">
        <v>57.0196416</v>
      </c>
      <c r="M52" s="1">
        <v>24.1269940321731</v>
      </c>
    </row>
    <row r="53">
      <c r="A53" s="1" t="s">
        <v>89</v>
      </c>
      <c r="B53" s="1" t="s">
        <v>74</v>
      </c>
      <c r="C53" s="2"/>
      <c r="D53" s="1" t="s">
        <v>90</v>
      </c>
      <c r="E53" s="2"/>
      <c r="F53" s="2"/>
      <c r="G53" s="2"/>
      <c r="H53" s="2"/>
      <c r="I53" s="2"/>
      <c r="J53" s="2"/>
      <c r="K53" s="2"/>
      <c r="L53" s="1">
        <v>46.3144754</v>
      </c>
      <c r="M53" s="1">
        <v>11.0480288</v>
      </c>
    </row>
    <row r="54">
      <c r="A54" s="1" t="s">
        <v>13</v>
      </c>
      <c r="B54" s="1" t="s">
        <v>42</v>
      </c>
      <c r="C54" s="1" t="s">
        <v>47</v>
      </c>
      <c r="D54" s="1">
        <v>2.0</v>
      </c>
      <c r="E54" s="1">
        <v>49.0</v>
      </c>
      <c r="F54" s="1">
        <v>2.0</v>
      </c>
      <c r="G54" s="1">
        <v>5.0</v>
      </c>
      <c r="H54" s="1" t="s">
        <v>16</v>
      </c>
      <c r="I54" s="1" t="s">
        <v>17</v>
      </c>
      <c r="J54" s="1" t="s">
        <v>18</v>
      </c>
      <c r="K54" s="1">
        <v>300.0</v>
      </c>
      <c r="L54" s="1">
        <v>56.9927002999999</v>
      </c>
      <c r="M54" s="1">
        <v>24.2400597</v>
      </c>
    </row>
    <row r="55">
      <c r="A55" s="1" t="s">
        <v>13</v>
      </c>
      <c r="B55" s="1" t="s">
        <v>23</v>
      </c>
      <c r="C55" s="1" t="s">
        <v>98</v>
      </c>
      <c r="D55" s="1">
        <v>3.0</v>
      </c>
      <c r="E55" s="1">
        <v>50.0</v>
      </c>
      <c r="F55" s="1">
        <v>4.0</v>
      </c>
      <c r="G55" s="1">
        <v>5.0</v>
      </c>
      <c r="H55" s="1" t="s">
        <v>66</v>
      </c>
      <c r="I55" s="1" t="s">
        <v>33</v>
      </c>
      <c r="J55" s="1" t="s">
        <v>18</v>
      </c>
      <c r="K55" s="1">
        <v>450.0</v>
      </c>
      <c r="L55" s="1">
        <v>56.9553833</v>
      </c>
      <c r="M55" s="1">
        <v>24.1488881</v>
      </c>
    </row>
    <row r="56">
      <c r="A56" s="1" t="s">
        <v>13</v>
      </c>
      <c r="B56" s="1" t="s">
        <v>99</v>
      </c>
      <c r="C56" s="1" t="s">
        <v>100</v>
      </c>
      <c r="D56" s="1">
        <v>1.0</v>
      </c>
      <c r="E56" s="1">
        <v>26.0</v>
      </c>
      <c r="F56" s="1">
        <v>4.0</v>
      </c>
      <c r="G56" s="1">
        <v>4.0</v>
      </c>
      <c r="H56" s="1" t="s">
        <v>25</v>
      </c>
      <c r="I56" s="1" t="s">
        <v>33</v>
      </c>
      <c r="J56" s="1" t="s">
        <v>18</v>
      </c>
      <c r="K56" s="1">
        <v>245.0</v>
      </c>
      <c r="L56" s="1">
        <v>56.94306285</v>
      </c>
      <c r="M56" s="1">
        <v>24.0912771146169</v>
      </c>
    </row>
    <row r="57">
      <c r="A57" s="1" t="s">
        <v>22</v>
      </c>
      <c r="B57" s="1" t="s">
        <v>23</v>
      </c>
      <c r="C57" s="1" t="s">
        <v>101</v>
      </c>
      <c r="D57" s="1">
        <v>3.0</v>
      </c>
      <c r="E57" s="1">
        <v>91.0</v>
      </c>
      <c r="F57" s="1">
        <v>4.0</v>
      </c>
      <c r="G57" s="1">
        <v>6.0</v>
      </c>
      <c r="H57" s="1" t="s">
        <v>25</v>
      </c>
      <c r="I57" s="1" t="s">
        <v>33</v>
      </c>
      <c r="J57" s="1" t="s">
        <v>18</v>
      </c>
      <c r="K57" s="1">
        <v>150000.0</v>
      </c>
      <c r="L57" s="1">
        <v>56.9581924</v>
      </c>
      <c r="M57" s="1">
        <v>24.1306619</v>
      </c>
    </row>
    <row r="58">
      <c r="A58" s="1" t="s">
        <v>22</v>
      </c>
      <c r="B58" s="1" t="s">
        <v>23</v>
      </c>
      <c r="C58" s="1" t="s">
        <v>102</v>
      </c>
      <c r="D58" s="1">
        <v>3.0</v>
      </c>
      <c r="E58" s="1">
        <v>96.0</v>
      </c>
      <c r="F58" s="1">
        <v>3.0</v>
      </c>
      <c r="G58" s="1">
        <v>6.0</v>
      </c>
      <c r="H58" s="1" t="s">
        <v>25</v>
      </c>
      <c r="I58" s="1" t="s">
        <v>33</v>
      </c>
      <c r="J58" s="1" t="s">
        <v>18</v>
      </c>
      <c r="K58" s="1">
        <v>100000.0</v>
      </c>
      <c r="L58" s="1">
        <v>56.9579533</v>
      </c>
      <c r="M58" s="1">
        <v>24.1425116</v>
      </c>
    </row>
    <row r="59">
      <c r="A59" s="1" t="s">
        <v>13</v>
      </c>
      <c r="B59" s="1" t="s">
        <v>96</v>
      </c>
      <c r="C59" s="1" t="s">
        <v>103</v>
      </c>
      <c r="D59" s="1">
        <v>2.0</v>
      </c>
      <c r="E59" s="1">
        <v>53.0</v>
      </c>
      <c r="F59" s="1">
        <v>5.0</v>
      </c>
      <c r="G59" s="1">
        <v>5.0</v>
      </c>
      <c r="H59" s="1">
        <v>103.0</v>
      </c>
      <c r="I59" s="1" t="s">
        <v>17</v>
      </c>
      <c r="J59" s="1" t="s">
        <v>18</v>
      </c>
      <c r="K59" s="1">
        <v>270.0</v>
      </c>
      <c r="L59" s="1">
        <v>57.0378821</v>
      </c>
      <c r="M59" s="1">
        <v>24.0896779592055</v>
      </c>
    </row>
    <row r="60">
      <c r="A60" s="1" t="s">
        <v>22</v>
      </c>
      <c r="B60" s="1" t="s">
        <v>104</v>
      </c>
      <c r="C60" s="1" t="s">
        <v>105</v>
      </c>
      <c r="D60" s="1">
        <v>2.0</v>
      </c>
      <c r="E60" s="1">
        <v>68.0</v>
      </c>
      <c r="F60" s="1">
        <v>2.0</v>
      </c>
      <c r="G60" s="1">
        <v>4.0</v>
      </c>
      <c r="H60" s="1" t="s">
        <v>32</v>
      </c>
      <c r="I60" s="1" t="s">
        <v>33</v>
      </c>
      <c r="J60" s="1" t="s">
        <v>18</v>
      </c>
      <c r="K60" s="1">
        <v>105000.0</v>
      </c>
      <c r="L60" s="1">
        <v>56.93662655</v>
      </c>
      <c r="M60" s="1">
        <v>24.0433356532986</v>
      </c>
    </row>
    <row r="61">
      <c r="A61" s="1" t="s">
        <v>22</v>
      </c>
      <c r="B61" s="1" t="s">
        <v>106</v>
      </c>
      <c r="C61" s="1" t="s">
        <v>105</v>
      </c>
      <c r="D61" s="1">
        <v>2.0</v>
      </c>
      <c r="E61" s="1">
        <v>68.0</v>
      </c>
      <c r="F61" s="1">
        <v>2.0</v>
      </c>
      <c r="G61" s="1">
        <v>4.0</v>
      </c>
      <c r="H61" s="1" t="s">
        <v>32</v>
      </c>
      <c r="I61" s="1" t="s">
        <v>33</v>
      </c>
      <c r="J61" s="1" t="s">
        <v>18</v>
      </c>
      <c r="K61" s="1">
        <v>105000.0</v>
      </c>
      <c r="L61" s="1">
        <v>56.93662655</v>
      </c>
      <c r="M61" s="1">
        <v>24.0433356532986</v>
      </c>
    </row>
    <row r="62">
      <c r="A62" s="1" t="s">
        <v>13</v>
      </c>
      <c r="B62" s="1" t="s">
        <v>74</v>
      </c>
      <c r="C62" s="1" t="s">
        <v>107</v>
      </c>
      <c r="D62" s="1">
        <v>1.0</v>
      </c>
      <c r="E62" s="1">
        <v>32.0</v>
      </c>
      <c r="F62" s="1">
        <v>2.0</v>
      </c>
      <c r="G62" s="1">
        <v>9.0</v>
      </c>
      <c r="H62" s="1">
        <v>602.0</v>
      </c>
      <c r="I62" s="1" t="s">
        <v>21</v>
      </c>
      <c r="J62" s="1" t="s">
        <v>18</v>
      </c>
      <c r="K62" s="1">
        <v>220.0</v>
      </c>
      <c r="L62" s="1">
        <v>56.93685365</v>
      </c>
      <c r="M62" s="1">
        <v>24.213177111898</v>
      </c>
    </row>
    <row r="63">
      <c r="A63" s="1" t="s">
        <v>22</v>
      </c>
      <c r="B63" s="1" t="s">
        <v>74</v>
      </c>
      <c r="C63" s="1" t="s">
        <v>108</v>
      </c>
      <c r="D63" s="1">
        <v>1.0</v>
      </c>
      <c r="E63" s="1">
        <v>40.0</v>
      </c>
      <c r="F63" s="1">
        <v>4.0</v>
      </c>
      <c r="G63" s="1">
        <v>5.0</v>
      </c>
      <c r="H63" s="1" t="s">
        <v>57</v>
      </c>
      <c r="I63" s="1" t="s">
        <v>21</v>
      </c>
      <c r="J63" s="1" t="s">
        <v>18</v>
      </c>
      <c r="K63" s="1">
        <v>33000.0</v>
      </c>
      <c r="L63" s="1">
        <v>56.94177625</v>
      </c>
      <c r="M63" s="1">
        <v>24.2254638</v>
      </c>
    </row>
    <row r="64">
      <c r="A64" s="1" t="s">
        <v>22</v>
      </c>
      <c r="B64" s="1" t="s">
        <v>109</v>
      </c>
      <c r="C64" s="1" t="s">
        <v>110</v>
      </c>
      <c r="D64" s="1">
        <v>1.0</v>
      </c>
      <c r="E64" s="1">
        <v>27.0</v>
      </c>
      <c r="F64" s="1">
        <v>7.0</v>
      </c>
      <c r="G64" s="1">
        <v>9.0</v>
      </c>
      <c r="H64" s="1" t="s">
        <v>36</v>
      </c>
      <c r="I64" s="1" t="s">
        <v>37</v>
      </c>
      <c r="J64" s="1" t="s">
        <v>18</v>
      </c>
      <c r="K64" s="1">
        <v>27500.0</v>
      </c>
      <c r="L64" s="1" t="s">
        <v>40</v>
      </c>
      <c r="M64" s="1" t="s">
        <v>40</v>
      </c>
    </row>
    <row r="65">
      <c r="A65" s="1" t="s">
        <v>22</v>
      </c>
      <c r="B65" s="1" t="s">
        <v>23</v>
      </c>
      <c r="C65" s="1" t="s">
        <v>111</v>
      </c>
      <c r="D65" s="1">
        <v>5.0</v>
      </c>
      <c r="E65" s="1">
        <v>83.0</v>
      </c>
      <c r="F65" s="1">
        <v>1.0</v>
      </c>
      <c r="G65" s="1">
        <v>2.0</v>
      </c>
      <c r="H65" s="1" t="s">
        <v>25</v>
      </c>
      <c r="I65" s="1" t="s">
        <v>26</v>
      </c>
      <c r="J65" s="1" t="s">
        <v>27</v>
      </c>
      <c r="K65" s="1">
        <v>27890.0</v>
      </c>
      <c r="L65" s="1">
        <v>56.9599542</v>
      </c>
      <c r="M65" s="1">
        <v>24.1248268</v>
      </c>
    </row>
    <row r="66">
      <c r="A66" s="1" t="s">
        <v>22</v>
      </c>
      <c r="B66" s="1" t="s">
        <v>104</v>
      </c>
      <c r="C66" s="1" t="s">
        <v>112</v>
      </c>
      <c r="D66" s="1">
        <v>1.0</v>
      </c>
      <c r="E66" s="1">
        <v>17.5</v>
      </c>
      <c r="F66" s="1">
        <v>1.0</v>
      </c>
      <c r="G66" s="1">
        <v>2.0</v>
      </c>
      <c r="H66" s="1" t="s">
        <v>25</v>
      </c>
      <c r="I66" s="1" t="s">
        <v>26</v>
      </c>
      <c r="J66" s="1" t="s">
        <v>27</v>
      </c>
      <c r="K66" s="1">
        <v>9890.0</v>
      </c>
      <c r="L66" s="1">
        <v>56.9517628</v>
      </c>
      <c r="M66" s="1">
        <v>24.0673487092408</v>
      </c>
    </row>
    <row r="67">
      <c r="A67" s="1" t="s">
        <v>22</v>
      </c>
      <c r="B67" s="1" t="s">
        <v>42</v>
      </c>
      <c r="C67" s="1" t="s">
        <v>113</v>
      </c>
      <c r="D67" s="1">
        <v>2.0</v>
      </c>
      <c r="E67" s="1">
        <v>45.0</v>
      </c>
      <c r="F67" s="1">
        <v>1.0</v>
      </c>
      <c r="G67" s="1">
        <v>5.0</v>
      </c>
      <c r="H67" s="1" t="s">
        <v>16</v>
      </c>
      <c r="I67" s="1" t="s">
        <v>21</v>
      </c>
      <c r="J67" s="1" t="s">
        <v>18</v>
      </c>
      <c r="K67" s="1">
        <v>41000.0</v>
      </c>
      <c r="L67" s="1">
        <v>56.9820393</v>
      </c>
      <c r="M67" s="1">
        <v>24.2460206930134</v>
      </c>
    </row>
    <row r="68">
      <c r="A68" s="1" t="s">
        <v>13</v>
      </c>
      <c r="B68" s="1" t="s">
        <v>23</v>
      </c>
      <c r="C68" s="1" t="s">
        <v>114</v>
      </c>
      <c r="D68" s="1">
        <v>1.0</v>
      </c>
      <c r="E68" s="1">
        <v>32.0</v>
      </c>
      <c r="F68" s="1">
        <v>5.0</v>
      </c>
      <c r="G68" s="1">
        <v>5.0</v>
      </c>
      <c r="H68" s="1" t="s">
        <v>44</v>
      </c>
      <c r="I68" s="1" t="s">
        <v>37</v>
      </c>
      <c r="J68" s="1" t="s">
        <v>18</v>
      </c>
      <c r="K68" s="1">
        <v>255.0</v>
      </c>
      <c r="L68" s="1">
        <v>56.9647239</v>
      </c>
      <c r="M68" s="1">
        <v>24.1477109</v>
      </c>
    </row>
    <row r="69">
      <c r="A69" s="1" t="s">
        <v>13</v>
      </c>
      <c r="B69" s="1" t="s">
        <v>14</v>
      </c>
      <c r="C69" s="1" t="s">
        <v>115</v>
      </c>
      <c r="D69" s="1">
        <v>1.0</v>
      </c>
      <c r="E69" s="1">
        <v>42.0</v>
      </c>
      <c r="F69" s="1">
        <v>3.0</v>
      </c>
      <c r="G69" s="1">
        <v>5.0</v>
      </c>
      <c r="H69" s="1" t="s">
        <v>57</v>
      </c>
      <c r="I69" s="1" t="s">
        <v>17</v>
      </c>
      <c r="J69" s="1" t="s">
        <v>18</v>
      </c>
      <c r="K69" s="1">
        <v>270.0</v>
      </c>
      <c r="L69" s="1">
        <v>56.9449076</v>
      </c>
      <c r="M69" s="1">
        <v>24.178029437892</v>
      </c>
    </row>
    <row r="70">
      <c r="A70" s="1" t="s">
        <v>22</v>
      </c>
      <c r="B70" s="1" t="s">
        <v>38</v>
      </c>
      <c r="C70" s="1" t="s">
        <v>116</v>
      </c>
      <c r="D70" s="1">
        <v>2.0</v>
      </c>
      <c r="E70" s="1">
        <v>48.0</v>
      </c>
      <c r="F70" s="1">
        <v>1.0</v>
      </c>
      <c r="G70" s="1">
        <v>5.0</v>
      </c>
      <c r="H70" s="1" t="s">
        <v>16</v>
      </c>
      <c r="I70" s="1" t="s">
        <v>21</v>
      </c>
      <c r="J70" s="1" t="s">
        <v>18</v>
      </c>
      <c r="K70" s="1">
        <v>44000.0</v>
      </c>
      <c r="L70" s="1" t="s">
        <v>40</v>
      </c>
      <c r="M70" s="1" t="s">
        <v>40</v>
      </c>
    </row>
    <row r="71">
      <c r="A71" s="1" t="s">
        <v>22</v>
      </c>
      <c r="B71" s="1" t="s">
        <v>117</v>
      </c>
      <c r="C71" s="1" t="s">
        <v>118</v>
      </c>
      <c r="D71" s="1">
        <v>1.0</v>
      </c>
      <c r="E71" s="1">
        <v>24.0</v>
      </c>
      <c r="F71" s="1">
        <v>2.0</v>
      </c>
      <c r="G71" s="1">
        <v>2.0</v>
      </c>
      <c r="H71" s="1" t="s">
        <v>25</v>
      </c>
      <c r="I71" s="1" t="s">
        <v>26</v>
      </c>
      <c r="J71" s="1" t="s">
        <v>27</v>
      </c>
      <c r="K71" s="1">
        <v>6790.0</v>
      </c>
      <c r="L71" s="1" t="s">
        <v>40</v>
      </c>
      <c r="M71" s="1" t="s">
        <v>40</v>
      </c>
    </row>
    <row r="72">
      <c r="A72" s="1" t="s">
        <v>22</v>
      </c>
      <c r="B72" s="1" t="s">
        <v>19</v>
      </c>
      <c r="C72" s="1" t="s">
        <v>119</v>
      </c>
      <c r="D72" s="1">
        <v>3.0</v>
      </c>
      <c r="E72" s="1">
        <v>75.0</v>
      </c>
      <c r="F72" s="1">
        <v>9.0</v>
      </c>
      <c r="G72" s="1">
        <v>10.0</v>
      </c>
      <c r="H72" s="1">
        <v>119.0</v>
      </c>
      <c r="I72" s="1" t="s">
        <v>21</v>
      </c>
      <c r="J72" s="1" t="s">
        <v>18</v>
      </c>
      <c r="K72" s="1">
        <v>72000.0</v>
      </c>
      <c r="L72" s="1">
        <v>56.90154795</v>
      </c>
      <c r="M72" s="1">
        <v>24.0924674073424</v>
      </c>
    </row>
    <row r="73">
      <c r="A73" s="1" t="s">
        <v>13</v>
      </c>
      <c r="B73" s="1" t="s">
        <v>19</v>
      </c>
      <c r="C73" s="1" t="s">
        <v>120</v>
      </c>
      <c r="D73" s="1">
        <v>1.0</v>
      </c>
      <c r="E73" s="1">
        <v>50.0</v>
      </c>
      <c r="F73" s="1">
        <v>3.0</v>
      </c>
      <c r="G73" s="1">
        <v>9.0</v>
      </c>
      <c r="H73" s="1">
        <v>119.0</v>
      </c>
      <c r="I73" s="1" t="s">
        <v>21</v>
      </c>
      <c r="J73" s="1" t="s">
        <v>18</v>
      </c>
      <c r="K73" s="1">
        <v>29.0</v>
      </c>
      <c r="L73" s="1">
        <v>56.89859735</v>
      </c>
      <c r="M73" s="1">
        <v>24.0876707999998</v>
      </c>
    </row>
    <row r="74">
      <c r="A74" s="1" t="s">
        <v>13</v>
      </c>
      <c r="B74" s="1" t="s">
        <v>19</v>
      </c>
      <c r="C74" s="1" t="s">
        <v>121</v>
      </c>
      <c r="D74" s="1">
        <v>1.0</v>
      </c>
      <c r="E74" s="1">
        <v>31.0</v>
      </c>
      <c r="F74" s="1">
        <v>2.0</v>
      </c>
      <c r="G74" s="1">
        <v>5.0</v>
      </c>
      <c r="H74" s="1" t="s">
        <v>16</v>
      </c>
      <c r="I74" s="1" t="s">
        <v>122</v>
      </c>
      <c r="J74" s="1" t="s">
        <v>18</v>
      </c>
      <c r="K74" s="1">
        <v>250.0</v>
      </c>
      <c r="L74" s="1">
        <v>56.9151751</v>
      </c>
      <c r="M74" s="1">
        <v>24.0930573319028</v>
      </c>
    </row>
    <row r="75">
      <c r="A75" s="1" t="s">
        <v>22</v>
      </c>
      <c r="B75" s="1" t="s">
        <v>74</v>
      </c>
      <c r="C75" s="1" t="s">
        <v>123</v>
      </c>
      <c r="D75" s="1">
        <v>1.0</v>
      </c>
      <c r="E75" s="1">
        <v>41.0</v>
      </c>
      <c r="F75" s="1">
        <v>1.0</v>
      </c>
      <c r="G75" s="1">
        <v>9.0</v>
      </c>
      <c r="H75" s="1" t="s">
        <v>57</v>
      </c>
      <c r="I75" s="1" t="s">
        <v>21</v>
      </c>
      <c r="J75" s="1" t="s">
        <v>18</v>
      </c>
      <c r="K75" s="1">
        <v>34000.0</v>
      </c>
      <c r="L75" s="1">
        <v>56.93257265</v>
      </c>
      <c r="M75" s="1">
        <v>24.2080293</v>
      </c>
    </row>
    <row r="76">
      <c r="A76" s="1" t="s">
        <v>22</v>
      </c>
      <c r="B76" s="1" t="s">
        <v>104</v>
      </c>
      <c r="C76" s="1" t="s">
        <v>124</v>
      </c>
      <c r="D76" s="1">
        <v>2.0</v>
      </c>
      <c r="E76" s="1">
        <v>47.0</v>
      </c>
      <c r="F76" s="1">
        <v>3.0</v>
      </c>
      <c r="G76" s="1">
        <v>5.0</v>
      </c>
      <c r="H76" s="1" t="s">
        <v>36</v>
      </c>
      <c r="I76" s="1" t="s">
        <v>37</v>
      </c>
      <c r="J76" s="1" t="s">
        <v>18</v>
      </c>
      <c r="K76" s="1">
        <v>45500.0</v>
      </c>
      <c r="L76" s="1" t="s">
        <v>40</v>
      </c>
      <c r="M76" s="1" t="s">
        <v>40</v>
      </c>
    </row>
    <row r="77">
      <c r="A77" s="1" t="s">
        <v>22</v>
      </c>
      <c r="B77" s="1" t="s">
        <v>23</v>
      </c>
      <c r="C77" s="1" t="s">
        <v>125</v>
      </c>
      <c r="D77" s="1">
        <v>5.0</v>
      </c>
      <c r="E77" s="1">
        <v>144.0</v>
      </c>
      <c r="F77" s="1">
        <v>1.0</v>
      </c>
      <c r="G77" s="1">
        <v>5.0</v>
      </c>
      <c r="H77" s="1" t="s">
        <v>36</v>
      </c>
      <c r="I77" s="1" t="s">
        <v>33</v>
      </c>
      <c r="J77" s="1" t="s">
        <v>18</v>
      </c>
      <c r="K77" s="1">
        <v>74800.0</v>
      </c>
      <c r="L77" s="1">
        <v>56.9678993</v>
      </c>
      <c r="M77" s="1">
        <v>24.1050379341528</v>
      </c>
    </row>
    <row r="78">
      <c r="A78" s="1" t="s">
        <v>13</v>
      </c>
      <c r="B78" s="1" t="s">
        <v>109</v>
      </c>
      <c r="C78" s="1" t="s">
        <v>126</v>
      </c>
      <c r="D78" s="1">
        <v>2.0</v>
      </c>
      <c r="E78" s="1">
        <v>42.0</v>
      </c>
      <c r="F78" s="1">
        <v>8.0</v>
      </c>
      <c r="G78" s="1">
        <v>11.0</v>
      </c>
      <c r="H78" s="1" t="s">
        <v>32</v>
      </c>
      <c r="I78" s="1" t="s">
        <v>37</v>
      </c>
      <c r="J78" s="1" t="s">
        <v>18</v>
      </c>
      <c r="K78" s="1">
        <v>450.0</v>
      </c>
      <c r="L78" s="1" t="s">
        <v>40</v>
      </c>
      <c r="M78" s="1" t="s">
        <v>40</v>
      </c>
    </row>
    <row r="79">
      <c r="A79" s="1" t="s">
        <v>22</v>
      </c>
      <c r="B79" s="1" t="s">
        <v>23</v>
      </c>
      <c r="C79" s="1" t="s">
        <v>127</v>
      </c>
      <c r="D79" s="1">
        <v>2.0</v>
      </c>
      <c r="E79" s="1">
        <v>36.0</v>
      </c>
      <c r="F79" s="1">
        <v>2.0</v>
      </c>
      <c r="G79" s="1">
        <v>2.0</v>
      </c>
      <c r="H79" s="1" t="s">
        <v>25</v>
      </c>
      <c r="I79" s="1" t="s">
        <v>33</v>
      </c>
      <c r="J79" s="1" t="s">
        <v>27</v>
      </c>
      <c r="K79" s="1">
        <v>25000.0</v>
      </c>
      <c r="L79" s="1">
        <v>56.949362</v>
      </c>
      <c r="M79" s="1">
        <v>24.1405231747945</v>
      </c>
    </row>
    <row r="80">
      <c r="A80" s="1" t="s">
        <v>13</v>
      </c>
      <c r="B80" s="1" t="s">
        <v>42</v>
      </c>
      <c r="C80" s="1" t="s">
        <v>128</v>
      </c>
      <c r="D80" s="1">
        <v>1.0</v>
      </c>
      <c r="E80" s="1">
        <v>33.0</v>
      </c>
      <c r="F80" s="1">
        <v>12.0</v>
      </c>
      <c r="G80" s="1">
        <v>12.0</v>
      </c>
      <c r="H80" s="1" t="s">
        <v>36</v>
      </c>
      <c r="I80" s="1" t="s">
        <v>17</v>
      </c>
      <c r="J80" s="1" t="s">
        <v>18</v>
      </c>
      <c r="K80" s="1">
        <v>230.0</v>
      </c>
      <c r="L80" s="1">
        <v>56.9764669</v>
      </c>
      <c r="M80" s="1">
        <v>24.2443207293107</v>
      </c>
    </row>
    <row r="81">
      <c r="A81" s="1" t="s">
        <v>13</v>
      </c>
      <c r="B81" s="1" t="s">
        <v>129</v>
      </c>
      <c r="C81" s="1" t="s">
        <v>130</v>
      </c>
      <c r="D81" s="1" t="s">
        <v>90</v>
      </c>
      <c r="E81" s="1">
        <v>76.0</v>
      </c>
      <c r="F81" s="1">
        <v>2.0</v>
      </c>
      <c r="G81" s="1">
        <v>4.0</v>
      </c>
      <c r="H81" s="1" t="s">
        <v>25</v>
      </c>
      <c r="I81" s="1" t="s">
        <v>33</v>
      </c>
      <c r="J81" s="1" t="s">
        <v>18</v>
      </c>
      <c r="K81" s="1">
        <v>295.0</v>
      </c>
      <c r="L81" s="1">
        <v>56.9950728</v>
      </c>
      <c r="M81" s="1">
        <v>24.1273961</v>
      </c>
    </row>
    <row r="82">
      <c r="A82" s="1" t="s">
        <v>131</v>
      </c>
      <c r="B82" s="1" t="s">
        <v>104</v>
      </c>
      <c r="C82" s="2"/>
      <c r="D82" s="1">
        <v>4.0</v>
      </c>
      <c r="E82" s="2"/>
      <c r="F82" s="2"/>
      <c r="G82" s="2"/>
      <c r="H82" s="2"/>
      <c r="I82" s="2"/>
      <c r="J82" s="1" t="s">
        <v>18</v>
      </c>
      <c r="K82" s="2"/>
      <c r="L82" s="1">
        <v>46.3144754</v>
      </c>
      <c r="M82" s="1">
        <v>11.0480288</v>
      </c>
    </row>
    <row r="83">
      <c r="A83" s="1" t="s">
        <v>131</v>
      </c>
      <c r="B83" s="1" t="s">
        <v>76</v>
      </c>
      <c r="C83" s="2"/>
      <c r="D83" s="1">
        <v>2.0</v>
      </c>
      <c r="E83" s="2"/>
      <c r="F83" s="2"/>
      <c r="G83" s="2"/>
      <c r="H83" s="2"/>
      <c r="I83" s="2"/>
      <c r="J83" s="1" t="s">
        <v>18</v>
      </c>
      <c r="K83" s="2"/>
      <c r="L83" s="1">
        <v>46.3144754</v>
      </c>
      <c r="M83" s="1">
        <v>11.0480288</v>
      </c>
    </row>
    <row r="84">
      <c r="A84" s="1" t="s">
        <v>13</v>
      </c>
      <c r="B84" s="1" t="s">
        <v>50</v>
      </c>
      <c r="C84" s="1" t="s">
        <v>132</v>
      </c>
      <c r="D84" s="1">
        <v>1.0</v>
      </c>
      <c r="E84" s="1">
        <v>25.0</v>
      </c>
      <c r="F84" s="1">
        <v>5.0</v>
      </c>
      <c r="G84" s="1">
        <v>6.0</v>
      </c>
      <c r="H84" s="1" t="s">
        <v>25</v>
      </c>
      <c r="I84" s="1" t="s">
        <v>37</v>
      </c>
      <c r="J84" s="1" t="s">
        <v>18</v>
      </c>
      <c r="K84" s="1">
        <v>250.0</v>
      </c>
      <c r="L84" s="1">
        <v>56.9464308999999</v>
      </c>
      <c r="M84" s="1">
        <v>24.1413962131361</v>
      </c>
    </row>
    <row r="85">
      <c r="A85" s="1" t="s">
        <v>13</v>
      </c>
      <c r="B85" s="1" t="s">
        <v>104</v>
      </c>
      <c r="C85" s="1" t="s">
        <v>133</v>
      </c>
      <c r="D85" s="1">
        <v>1.0</v>
      </c>
      <c r="E85" s="1">
        <v>18.0</v>
      </c>
      <c r="F85" s="1">
        <v>1.0</v>
      </c>
      <c r="G85" s="1">
        <v>4.0</v>
      </c>
      <c r="H85" s="1" t="s">
        <v>57</v>
      </c>
      <c r="I85" s="1" t="s">
        <v>37</v>
      </c>
      <c r="J85" s="1" t="s">
        <v>18</v>
      </c>
      <c r="K85" s="1">
        <v>220.0</v>
      </c>
      <c r="L85" s="1">
        <v>56.9428654999999</v>
      </c>
      <c r="M85" s="1">
        <v>24.0609632086428</v>
      </c>
    </row>
    <row r="86">
      <c r="A86" s="1" t="s">
        <v>22</v>
      </c>
      <c r="B86" s="1" t="s">
        <v>134</v>
      </c>
      <c r="C86" s="1" t="s">
        <v>135</v>
      </c>
      <c r="D86" s="1">
        <v>2.0</v>
      </c>
      <c r="E86" s="1">
        <v>53.0</v>
      </c>
      <c r="F86" s="1">
        <v>2.0</v>
      </c>
      <c r="G86" s="1">
        <v>5.0</v>
      </c>
      <c r="H86" s="1">
        <v>103.0</v>
      </c>
      <c r="I86" s="1" t="s">
        <v>17</v>
      </c>
      <c r="J86" s="1" t="s">
        <v>18</v>
      </c>
      <c r="K86" s="1">
        <v>31900.0</v>
      </c>
      <c r="L86" s="1">
        <v>57.0408666999999</v>
      </c>
      <c r="M86" s="1">
        <v>24.0327413709408</v>
      </c>
    </row>
    <row r="87">
      <c r="A87" s="1" t="s">
        <v>13</v>
      </c>
      <c r="B87" s="1" t="s">
        <v>23</v>
      </c>
      <c r="C87" s="1" t="s">
        <v>136</v>
      </c>
      <c r="D87" s="1">
        <v>3.0</v>
      </c>
      <c r="E87" s="1">
        <v>67.0</v>
      </c>
      <c r="F87" s="1">
        <v>2.0</v>
      </c>
      <c r="G87" s="1">
        <v>6.0</v>
      </c>
      <c r="H87" s="1" t="s">
        <v>66</v>
      </c>
      <c r="I87" s="1" t="s">
        <v>33</v>
      </c>
      <c r="J87" s="1" t="s">
        <v>18</v>
      </c>
      <c r="K87" s="1">
        <v>750.0</v>
      </c>
      <c r="L87" s="1">
        <v>56.95643795</v>
      </c>
      <c r="M87" s="1">
        <v>24.1325729821556</v>
      </c>
    </row>
    <row r="88">
      <c r="A88" s="1" t="s">
        <v>13</v>
      </c>
      <c r="B88" s="1" t="s">
        <v>23</v>
      </c>
      <c r="C88" s="1" t="s">
        <v>137</v>
      </c>
      <c r="D88" s="1">
        <v>3.0</v>
      </c>
      <c r="E88" s="1">
        <v>83.0</v>
      </c>
      <c r="F88" s="1">
        <v>5.0</v>
      </c>
      <c r="G88" s="1">
        <v>5.0</v>
      </c>
      <c r="H88" s="1" t="s">
        <v>66</v>
      </c>
      <c r="I88" s="1" t="s">
        <v>33</v>
      </c>
      <c r="J88" s="1" t="s">
        <v>18</v>
      </c>
      <c r="K88" s="1">
        <v>900.0</v>
      </c>
      <c r="L88" s="1">
        <v>56.95878525</v>
      </c>
      <c r="M88" s="1">
        <v>24.1445891181308</v>
      </c>
    </row>
    <row r="89">
      <c r="A89" s="1" t="s">
        <v>13</v>
      </c>
      <c r="B89" s="1" t="s">
        <v>28</v>
      </c>
      <c r="C89" s="1" t="s">
        <v>138</v>
      </c>
      <c r="D89" s="1">
        <v>1.0</v>
      </c>
      <c r="E89" s="1">
        <v>30.0</v>
      </c>
      <c r="F89" s="1">
        <v>5.0</v>
      </c>
      <c r="G89" s="1">
        <v>5.0</v>
      </c>
      <c r="H89" s="1" t="s">
        <v>16</v>
      </c>
      <c r="I89" s="1" t="s">
        <v>21</v>
      </c>
      <c r="J89" s="1" t="s">
        <v>18</v>
      </c>
      <c r="K89" s="1">
        <v>220.0</v>
      </c>
      <c r="L89" s="1">
        <v>56.916944</v>
      </c>
      <c r="M89" s="1">
        <v>24.1842300455895</v>
      </c>
    </row>
    <row r="90">
      <c r="A90" s="1" t="s">
        <v>22</v>
      </c>
      <c r="B90" s="1" t="s">
        <v>23</v>
      </c>
      <c r="C90" s="1" t="s">
        <v>139</v>
      </c>
      <c r="D90" s="1">
        <v>2.0</v>
      </c>
      <c r="E90" s="1">
        <v>41.0</v>
      </c>
      <c r="F90" s="1">
        <v>4.0</v>
      </c>
      <c r="G90" s="1">
        <v>5.0</v>
      </c>
      <c r="H90" s="1" t="s">
        <v>66</v>
      </c>
      <c r="I90" s="1" t="s">
        <v>33</v>
      </c>
      <c r="J90" s="1" t="s">
        <v>18</v>
      </c>
      <c r="K90" s="1">
        <v>57500.0</v>
      </c>
      <c r="L90" s="1">
        <v>56.9508163</v>
      </c>
      <c r="M90" s="1">
        <v>24.1271389</v>
      </c>
    </row>
    <row r="91">
      <c r="A91" s="1" t="s">
        <v>13</v>
      </c>
      <c r="B91" s="1" t="s">
        <v>23</v>
      </c>
      <c r="C91" s="1" t="s">
        <v>140</v>
      </c>
      <c r="D91" s="1">
        <v>1.0</v>
      </c>
      <c r="E91" s="1">
        <v>30.0</v>
      </c>
      <c r="F91" s="1">
        <v>2.0</v>
      </c>
      <c r="G91" s="1">
        <v>9.0</v>
      </c>
      <c r="H91" s="1" t="s">
        <v>66</v>
      </c>
      <c r="I91" s="1" t="s">
        <v>17</v>
      </c>
      <c r="J91" s="1" t="s">
        <v>18</v>
      </c>
      <c r="K91" s="1">
        <v>270.0</v>
      </c>
      <c r="L91" s="1">
        <v>56.974699</v>
      </c>
      <c r="M91" s="1">
        <v>24.1449329</v>
      </c>
    </row>
    <row r="92">
      <c r="A92" s="1" t="s">
        <v>13</v>
      </c>
      <c r="B92" s="1" t="s">
        <v>104</v>
      </c>
      <c r="C92" s="1" t="s">
        <v>141</v>
      </c>
      <c r="D92" s="1">
        <v>2.0</v>
      </c>
      <c r="E92" s="1">
        <v>41.0</v>
      </c>
      <c r="F92" s="1">
        <v>3.0</v>
      </c>
      <c r="G92" s="1">
        <v>5.0</v>
      </c>
      <c r="H92" s="1" t="s">
        <v>44</v>
      </c>
      <c r="I92" s="1" t="s">
        <v>37</v>
      </c>
      <c r="J92" s="1" t="s">
        <v>18</v>
      </c>
      <c r="K92" s="1">
        <v>330.0</v>
      </c>
      <c r="L92" s="1">
        <v>56.9456104</v>
      </c>
      <c r="M92" s="1">
        <v>24.0623652</v>
      </c>
    </row>
    <row r="93">
      <c r="A93" s="1" t="s">
        <v>22</v>
      </c>
      <c r="B93" s="1" t="s">
        <v>60</v>
      </c>
      <c r="C93" s="1" t="s">
        <v>142</v>
      </c>
      <c r="D93" s="1">
        <v>2.0</v>
      </c>
      <c r="E93" s="1">
        <v>41.77</v>
      </c>
      <c r="F93" s="1">
        <v>1.0</v>
      </c>
      <c r="G93" s="1">
        <v>3.0</v>
      </c>
      <c r="H93" s="1" t="s">
        <v>44</v>
      </c>
      <c r="I93" s="1" t="s">
        <v>37</v>
      </c>
      <c r="J93" s="1" t="s">
        <v>18</v>
      </c>
      <c r="K93" s="1">
        <v>39000.0</v>
      </c>
      <c r="L93" s="1" t="s">
        <v>40</v>
      </c>
      <c r="M93" s="1" t="s">
        <v>40</v>
      </c>
    </row>
    <row r="94">
      <c r="A94" s="1" t="s">
        <v>13</v>
      </c>
      <c r="B94" s="1" t="s">
        <v>23</v>
      </c>
      <c r="C94" s="1" t="s">
        <v>143</v>
      </c>
      <c r="D94" s="1">
        <v>2.0</v>
      </c>
      <c r="E94" s="1">
        <v>62.0</v>
      </c>
      <c r="F94" s="1">
        <v>3.0</v>
      </c>
      <c r="G94" s="1">
        <v>5.0</v>
      </c>
      <c r="H94" s="1" t="s">
        <v>32</v>
      </c>
      <c r="I94" s="1" t="s">
        <v>17</v>
      </c>
      <c r="J94" s="1" t="s">
        <v>18</v>
      </c>
      <c r="K94" s="1">
        <v>700.0</v>
      </c>
      <c r="L94" s="1">
        <v>56.9571813</v>
      </c>
      <c r="M94" s="1">
        <v>24.1394667939636</v>
      </c>
    </row>
    <row r="95">
      <c r="A95" s="1" t="s">
        <v>13</v>
      </c>
      <c r="B95" s="1" t="s">
        <v>23</v>
      </c>
      <c r="C95" s="1" t="s">
        <v>144</v>
      </c>
      <c r="D95" s="1">
        <v>2.0</v>
      </c>
      <c r="E95" s="1">
        <v>77.0</v>
      </c>
      <c r="F95" s="1">
        <v>3.0</v>
      </c>
      <c r="G95" s="1">
        <v>6.0</v>
      </c>
      <c r="H95" s="1" t="s">
        <v>66</v>
      </c>
      <c r="I95" s="1" t="s">
        <v>37</v>
      </c>
      <c r="J95" s="1" t="s">
        <v>18</v>
      </c>
      <c r="K95" s="1">
        <v>600.0</v>
      </c>
      <c r="L95" s="1">
        <v>56.96104425</v>
      </c>
      <c r="M95" s="1">
        <v>24.0996557553473</v>
      </c>
    </row>
    <row r="96">
      <c r="A96" s="1" t="s">
        <v>22</v>
      </c>
      <c r="B96" s="1" t="s">
        <v>38</v>
      </c>
      <c r="C96" s="1" t="s">
        <v>145</v>
      </c>
      <c r="D96" s="1">
        <v>2.0</v>
      </c>
      <c r="E96" s="1">
        <v>60.0</v>
      </c>
      <c r="F96" s="1">
        <v>2.0</v>
      </c>
      <c r="G96" s="1">
        <v>17.0</v>
      </c>
      <c r="H96" s="1" t="s">
        <v>32</v>
      </c>
      <c r="I96" s="1" t="s">
        <v>33</v>
      </c>
      <c r="J96" s="1" t="s">
        <v>18</v>
      </c>
      <c r="K96" s="1">
        <v>88000.0</v>
      </c>
      <c r="L96" s="1">
        <v>56.96112105</v>
      </c>
      <c r="M96" s="1">
        <v>24.01821679525</v>
      </c>
    </row>
    <row r="97">
      <c r="A97" s="1" t="s">
        <v>89</v>
      </c>
      <c r="B97" s="1" t="s">
        <v>96</v>
      </c>
      <c r="C97" s="2"/>
      <c r="D97" s="2"/>
      <c r="E97" s="2"/>
      <c r="F97" s="2"/>
      <c r="G97" s="2"/>
      <c r="H97" s="2"/>
      <c r="I97" s="2"/>
      <c r="J97" s="2"/>
      <c r="K97" s="2"/>
      <c r="L97" s="1">
        <v>46.3144754</v>
      </c>
      <c r="M97" s="1">
        <v>11.0480288</v>
      </c>
    </row>
    <row r="98">
      <c r="A98" s="1" t="s">
        <v>22</v>
      </c>
      <c r="B98" s="1" t="s">
        <v>104</v>
      </c>
      <c r="C98" s="1" t="s">
        <v>146</v>
      </c>
      <c r="D98" s="1">
        <v>3.0</v>
      </c>
      <c r="E98" s="1">
        <v>68.0</v>
      </c>
      <c r="F98" s="1">
        <v>3.0</v>
      </c>
      <c r="G98" s="1">
        <v>5.0</v>
      </c>
      <c r="H98" s="1" t="s">
        <v>36</v>
      </c>
      <c r="I98" s="1" t="s">
        <v>17</v>
      </c>
      <c r="J98" s="1" t="s">
        <v>18</v>
      </c>
      <c r="K98" s="1">
        <v>89000.0</v>
      </c>
      <c r="L98" s="1">
        <v>56.9271624</v>
      </c>
      <c r="M98" s="1">
        <v>24.0769771776445</v>
      </c>
    </row>
    <row r="99">
      <c r="A99" s="1" t="s">
        <v>13</v>
      </c>
      <c r="B99" s="1" t="s">
        <v>38</v>
      </c>
      <c r="C99" s="1" t="s">
        <v>147</v>
      </c>
      <c r="D99" s="1">
        <v>1.0</v>
      </c>
      <c r="E99" s="1">
        <v>29.0</v>
      </c>
      <c r="F99" s="1">
        <v>4.0</v>
      </c>
      <c r="G99" s="1">
        <v>5.0</v>
      </c>
      <c r="H99" s="1" t="s">
        <v>16</v>
      </c>
      <c r="I99" s="1" t="s">
        <v>21</v>
      </c>
      <c r="J99" s="1" t="s">
        <v>18</v>
      </c>
      <c r="K99" s="1">
        <v>230.0</v>
      </c>
      <c r="L99" s="1">
        <v>56.9584557999999</v>
      </c>
      <c r="M99" s="1">
        <v>24.0028561019525</v>
      </c>
    </row>
    <row r="100">
      <c r="A100" s="1" t="s">
        <v>22</v>
      </c>
      <c r="B100" s="1" t="s">
        <v>71</v>
      </c>
      <c r="C100" s="1" t="s">
        <v>148</v>
      </c>
      <c r="D100" s="1">
        <v>3.0</v>
      </c>
      <c r="E100" s="1">
        <v>86.0</v>
      </c>
      <c r="F100" s="1">
        <v>4.0</v>
      </c>
      <c r="G100" s="1">
        <v>4.0</v>
      </c>
      <c r="H100" s="1" t="s">
        <v>32</v>
      </c>
      <c r="I100" s="1" t="s">
        <v>122</v>
      </c>
      <c r="J100" s="1" t="s">
        <v>18</v>
      </c>
      <c r="K100" s="1">
        <v>130000.0</v>
      </c>
      <c r="L100" s="1">
        <v>56.9541725</v>
      </c>
      <c r="M100" s="1">
        <v>24.2443253</v>
      </c>
    </row>
    <row r="101">
      <c r="A101" s="1" t="s">
        <v>13</v>
      </c>
      <c r="B101" s="1" t="s">
        <v>23</v>
      </c>
      <c r="C101" s="1" t="s">
        <v>149</v>
      </c>
      <c r="D101" s="1">
        <v>1.0</v>
      </c>
      <c r="E101" s="1">
        <v>20.0</v>
      </c>
      <c r="F101" s="1">
        <v>2.0</v>
      </c>
      <c r="G101" s="1">
        <v>4.0</v>
      </c>
      <c r="H101" s="1" t="s">
        <v>32</v>
      </c>
      <c r="I101" s="1" t="s">
        <v>37</v>
      </c>
      <c r="J101" s="1" t="s">
        <v>18</v>
      </c>
      <c r="K101" s="1">
        <v>210.0</v>
      </c>
      <c r="L101" s="1">
        <v>56.9468471</v>
      </c>
      <c r="M101" s="1">
        <v>24.133767</v>
      </c>
    </row>
    <row r="102">
      <c r="A102" s="1" t="s">
        <v>13</v>
      </c>
      <c r="B102" s="1" t="s">
        <v>14</v>
      </c>
      <c r="C102" s="1" t="s">
        <v>150</v>
      </c>
      <c r="D102" s="1">
        <v>1.0</v>
      </c>
      <c r="E102" s="1">
        <v>26.0</v>
      </c>
      <c r="F102" s="1">
        <v>3.0</v>
      </c>
      <c r="G102" s="1">
        <v>5.0</v>
      </c>
      <c r="H102" s="1" t="s">
        <v>16</v>
      </c>
      <c r="I102" s="1" t="s">
        <v>21</v>
      </c>
      <c r="J102" s="1" t="s">
        <v>18</v>
      </c>
      <c r="K102" s="1">
        <v>240.0</v>
      </c>
      <c r="L102" s="1">
        <v>56.9518384</v>
      </c>
      <c r="M102" s="1">
        <v>24.1999196</v>
      </c>
    </row>
    <row r="103">
      <c r="A103" s="1" t="s">
        <v>22</v>
      </c>
      <c r="B103" s="1" t="s">
        <v>151</v>
      </c>
      <c r="C103" s="1" t="s">
        <v>152</v>
      </c>
      <c r="D103" s="1">
        <v>3.0</v>
      </c>
      <c r="E103" s="1">
        <v>55.0</v>
      </c>
      <c r="F103" s="1">
        <v>3.0</v>
      </c>
      <c r="G103" s="1">
        <v>5.0</v>
      </c>
      <c r="H103" s="1" t="s">
        <v>44</v>
      </c>
      <c r="I103" s="1" t="s">
        <v>37</v>
      </c>
      <c r="J103" s="1" t="s">
        <v>18</v>
      </c>
      <c r="K103" s="1">
        <v>63000.0</v>
      </c>
      <c r="L103" s="1">
        <v>56.9654887</v>
      </c>
      <c r="M103" s="1">
        <v>24.04998795</v>
      </c>
    </row>
    <row r="104">
      <c r="A104" s="1" t="s">
        <v>22</v>
      </c>
      <c r="B104" s="1" t="s">
        <v>129</v>
      </c>
      <c r="C104" s="1" t="s">
        <v>153</v>
      </c>
      <c r="D104" s="1">
        <v>2.0</v>
      </c>
      <c r="E104" s="1">
        <v>50.0</v>
      </c>
      <c r="F104" s="1">
        <v>6.0</v>
      </c>
      <c r="G104" s="1">
        <v>9.0</v>
      </c>
      <c r="H104" s="1">
        <v>602.0</v>
      </c>
      <c r="I104" s="1" t="s">
        <v>21</v>
      </c>
      <c r="J104" s="1" t="s">
        <v>18</v>
      </c>
      <c r="K104" s="1">
        <v>47000.0</v>
      </c>
      <c r="L104" s="1">
        <v>56.99898215</v>
      </c>
      <c r="M104" s="1">
        <v>24.1232876749981</v>
      </c>
    </row>
    <row r="105">
      <c r="A105" s="1" t="s">
        <v>22</v>
      </c>
      <c r="B105" s="1" t="s">
        <v>38</v>
      </c>
      <c r="C105" s="1" t="s">
        <v>154</v>
      </c>
      <c r="D105" s="1">
        <v>3.0</v>
      </c>
      <c r="E105" s="1">
        <v>63.0</v>
      </c>
      <c r="F105" s="1">
        <v>5.0</v>
      </c>
      <c r="G105" s="1">
        <v>9.0</v>
      </c>
      <c r="H105" s="1">
        <v>602.0</v>
      </c>
      <c r="I105" s="1" t="s">
        <v>21</v>
      </c>
      <c r="J105" s="1" t="s">
        <v>18</v>
      </c>
      <c r="K105" s="1">
        <v>50000.0</v>
      </c>
      <c r="L105" s="1">
        <v>56.952975</v>
      </c>
      <c r="M105" s="1">
        <v>24.0166971</v>
      </c>
    </row>
    <row r="106">
      <c r="A106" s="1" t="s">
        <v>22</v>
      </c>
      <c r="B106" s="1" t="s">
        <v>19</v>
      </c>
      <c r="C106" s="1" t="s">
        <v>155</v>
      </c>
      <c r="D106" s="1">
        <v>2.0</v>
      </c>
      <c r="E106" s="1">
        <v>50.0</v>
      </c>
      <c r="F106" s="1">
        <v>1.0</v>
      </c>
      <c r="G106" s="1">
        <v>9.0</v>
      </c>
      <c r="H106" s="1">
        <v>602.0</v>
      </c>
      <c r="I106" s="1" t="s">
        <v>21</v>
      </c>
      <c r="J106" s="1" t="s">
        <v>18</v>
      </c>
      <c r="K106" s="1">
        <v>49000.0</v>
      </c>
      <c r="L106" s="1">
        <v>56.8990307</v>
      </c>
      <c r="M106" s="1">
        <v>24.0785989</v>
      </c>
    </row>
    <row r="107">
      <c r="A107" s="1" t="s">
        <v>13</v>
      </c>
      <c r="B107" s="1" t="s">
        <v>23</v>
      </c>
      <c r="C107" s="1" t="s">
        <v>156</v>
      </c>
      <c r="D107" s="1">
        <v>3.0</v>
      </c>
      <c r="E107" s="1">
        <v>88.0</v>
      </c>
      <c r="F107" s="1">
        <v>7.0</v>
      </c>
      <c r="G107" s="1">
        <v>8.0</v>
      </c>
      <c r="H107" s="1" t="s">
        <v>32</v>
      </c>
      <c r="I107" s="1" t="s">
        <v>33</v>
      </c>
      <c r="J107" s="1" t="s">
        <v>18</v>
      </c>
      <c r="K107" s="1">
        <v>890.0</v>
      </c>
      <c r="L107" s="1">
        <v>56.96998705</v>
      </c>
      <c r="M107" s="1">
        <v>24.1242108827278</v>
      </c>
    </row>
    <row r="108">
      <c r="A108" s="1" t="s">
        <v>13</v>
      </c>
      <c r="B108" s="1" t="s">
        <v>23</v>
      </c>
      <c r="C108" s="1" t="s">
        <v>157</v>
      </c>
      <c r="D108" s="1">
        <v>2.0</v>
      </c>
      <c r="E108" s="1">
        <v>53.0</v>
      </c>
      <c r="F108" s="1">
        <v>3.0</v>
      </c>
      <c r="G108" s="1">
        <v>6.0</v>
      </c>
      <c r="H108" s="1" t="s">
        <v>25</v>
      </c>
      <c r="I108" s="1" t="s">
        <v>33</v>
      </c>
      <c r="J108" s="1" t="s">
        <v>18</v>
      </c>
      <c r="K108" s="1">
        <v>350.0</v>
      </c>
      <c r="L108" s="1">
        <v>56.9471865</v>
      </c>
      <c r="M108" s="1">
        <v>24.1411337</v>
      </c>
    </row>
    <row r="109">
      <c r="A109" s="1" t="s">
        <v>22</v>
      </c>
      <c r="B109" s="1" t="s">
        <v>158</v>
      </c>
      <c r="C109" s="1" t="s">
        <v>159</v>
      </c>
      <c r="D109" s="1">
        <v>3.0</v>
      </c>
      <c r="E109" s="1">
        <v>58.0</v>
      </c>
      <c r="F109" s="1">
        <v>1.0</v>
      </c>
      <c r="G109" s="1">
        <v>4.0</v>
      </c>
      <c r="H109" s="1" t="s">
        <v>44</v>
      </c>
      <c r="I109" s="1" t="s">
        <v>37</v>
      </c>
      <c r="J109" s="1" t="s">
        <v>27</v>
      </c>
      <c r="K109" s="1">
        <v>60000.0</v>
      </c>
      <c r="L109" s="1">
        <v>56.99786715</v>
      </c>
      <c r="M109" s="1">
        <v>24.2773415269943</v>
      </c>
    </row>
    <row r="110">
      <c r="A110" s="1" t="s">
        <v>22</v>
      </c>
      <c r="B110" s="1" t="s">
        <v>60</v>
      </c>
      <c r="C110" s="1" t="s">
        <v>160</v>
      </c>
      <c r="D110" s="1">
        <v>2.0</v>
      </c>
      <c r="E110" s="1">
        <v>44.0</v>
      </c>
      <c r="F110" s="1">
        <v>1.0</v>
      </c>
      <c r="G110" s="1">
        <v>3.0</v>
      </c>
      <c r="H110" s="1" t="s">
        <v>44</v>
      </c>
      <c r="I110" s="1" t="s">
        <v>37</v>
      </c>
      <c r="J110" s="1" t="s">
        <v>18</v>
      </c>
      <c r="K110" s="1">
        <v>35400.0</v>
      </c>
      <c r="L110" s="1">
        <v>57.0272671</v>
      </c>
      <c r="M110" s="1">
        <v>24.0389108</v>
      </c>
    </row>
    <row r="111">
      <c r="A111" s="1" t="s">
        <v>22</v>
      </c>
      <c r="B111" s="1" t="s">
        <v>19</v>
      </c>
      <c r="C111" s="1" t="s">
        <v>161</v>
      </c>
      <c r="D111" s="1">
        <v>2.0</v>
      </c>
      <c r="E111" s="1">
        <v>48.0</v>
      </c>
      <c r="F111" s="1">
        <v>3.0</v>
      </c>
      <c r="G111" s="1">
        <v>3.0</v>
      </c>
      <c r="H111" s="1" t="s">
        <v>44</v>
      </c>
      <c r="I111" s="1" t="s">
        <v>37</v>
      </c>
      <c r="J111" s="1" t="s">
        <v>18</v>
      </c>
      <c r="K111" s="1">
        <v>65000.0</v>
      </c>
      <c r="L111" s="1">
        <v>56.91116745</v>
      </c>
      <c r="M111" s="1">
        <v>24.11631975</v>
      </c>
    </row>
    <row r="112">
      <c r="A112" s="1" t="s">
        <v>13</v>
      </c>
      <c r="B112" s="1" t="s">
        <v>94</v>
      </c>
      <c r="C112" s="1" t="s">
        <v>162</v>
      </c>
      <c r="D112" s="1">
        <v>1.0</v>
      </c>
      <c r="E112" s="1">
        <v>30.0</v>
      </c>
      <c r="F112" s="1">
        <v>5.0</v>
      </c>
      <c r="G112" s="1">
        <v>5.0</v>
      </c>
      <c r="H112" s="1" t="s">
        <v>44</v>
      </c>
      <c r="I112" s="1" t="s">
        <v>37</v>
      </c>
      <c r="J112" s="1" t="s">
        <v>18</v>
      </c>
      <c r="K112" s="1">
        <v>260.0</v>
      </c>
      <c r="L112" s="1">
        <v>56.9275041</v>
      </c>
      <c r="M112" s="1">
        <v>24.1670673928227</v>
      </c>
    </row>
    <row r="113">
      <c r="A113" s="1" t="s">
        <v>22</v>
      </c>
      <c r="B113" s="1" t="s">
        <v>28</v>
      </c>
      <c r="C113" s="1" t="s">
        <v>163</v>
      </c>
      <c r="D113" s="1">
        <v>3.0</v>
      </c>
      <c r="E113" s="1">
        <v>55.0</v>
      </c>
      <c r="F113" s="1">
        <v>5.0</v>
      </c>
      <c r="G113" s="1">
        <v>5.0</v>
      </c>
      <c r="H113" s="1" t="s">
        <v>16</v>
      </c>
      <c r="I113" s="1" t="s">
        <v>37</v>
      </c>
      <c r="J113" s="1" t="s">
        <v>18</v>
      </c>
      <c r="K113" s="1">
        <v>43000.0</v>
      </c>
      <c r="L113" s="1">
        <v>56.91925545</v>
      </c>
      <c r="M113" s="1">
        <v>24.1738294911868</v>
      </c>
    </row>
    <row r="114">
      <c r="A114" s="1" t="s">
        <v>22</v>
      </c>
      <c r="B114" s="1" t="s">
        <v>14</v>
      </c>
      <c r="C114" s="1" t="s">
        <v>164</v>
      </c>
      <c r="D114" s="1">
        <v>1.0</v>
      </c>
      <c r="E114" s="1">
        <v>46.0</v>
      </c>
      <c r="F114" s="1">
        <v>6.0</v>
      </c>
      <c r="G114" s="1">
        <v>9.0</v>
      </c>
      <c r="H114" s="1">
        <v>119.0</v>
      </c>
      <c r="I114" s="1" t="s">
        <v>21</v>
      </c>
      <c r="J114" s="1" t="s">
        <v>18</v>
      </c>
      <c r="K114" s="1">
        <v>43500.0</v>
      </c>
      <c r="L114" s="1">
        <v>56.9604346499999</v>
      </c>
      <c r="M114" s="1">
        <v>24.1704860207815</v>
      </c>
    </row>
    <row r="115">
      <c r="A115" s="1" t="s">
        <v>13</v>
      </c>
      <c r="B115" s="1" t="s">
        <v>38</v>
      </c>
      <c r="C115" s="1" t="s">
        <v>165</v>
      </c>
      <c r="D115" s="1">
        <v>2.0</v>
      </c>
      <c r="E115" s="1">
        <v>45.0</v>
      </c>
      <c r="F115" s="1">
        <v>9.0</v>
      </c>
      <c r="G115" s="1">
        <v>24.0</v>
      </c>
      <c r="H115" s="1" t="s">
        <v>32</v>
      </c>
      <c r="I115" s="1" t="s">
        <v>17</v>
      </c>
      <c r="J115" s="1" t="s">
        <v>18</v>
      </c>
      <c r="K115" s="1">
        <v>50.0</v>
      </c>
      <c r="L115" s="1">
        <v>56.9590306</v>
      </c>
      <c r="M115" s="1">
        <v>24.013887042853</v>
      </c>
    </row>
    <row r="116">
      <c r="A116" s="1" t="s">
        <v>13</v>
      </c>
      <c r="B116" s="1" t="s">
        <v>76</v>
      </c>
      <c r="C116" s="1" t="s">
        <v>166</v>
      </c>
      <c r="D116" s="1">
        <v>3.0</v>
      </c>
      <c r="E116" s="1">
        <v>61.0</v>
      </c>
      <c r="F116" s="1">
        <v>4.0</v>
      </c>
      <c r="G116" s="1">
        <v>5.0</v>
      </c>
      <c r="H116" s="1" t="s">
        <v>16</v>
      </c>
      <c r="I116" s="1" t="s">
        <v>21</v>
      </c>
      <c r="J116" s="1" t="s">
        <v>18</v>
      </c>
      <c r="K116" s="1">
        <v>340.0</v>
      </c>
      <c r="L116" s="1">
        <v>56.9562173</v>
      </c>
      <c r="M116" s="1">
        <v>24.05205275</v>
      </c>
    </row>
    <row r="117">
      <c r="A117" s="1" t="s">
        <v>13</v>
      </c>
      <c r="B117" s="1" t="s">
        <v>74</v>
      </c>
      <c r="C117" s="1" t="s">
        <v>167</v>
      </c>
      <c r="D117" s="1">
        <v>1.0</v>
      </c>
      <c r="E117" s="1">
        <v>36.0</v>
      </c>
      <c r="F117" s="1">
        <v>1.0</v>
      </c>
      <c r="G117" s="1">
        <v>9.0</v>
      </c>
      <c r="H117" s="1" t="s">
        <v>57</v>
      </c>
      <c r="I117" s="1" t="s">
        <v>21</v>
      </c>
      <c r="J117" s="1" t="s">
        <v>18</v>
      </c>
      <c r="K117" s="1">
        <v>240.0</v>
      </c>
      <c r="L117" s="1">
        <v>56.9422955</v>
      </c>
      <c r="M117" s="1">
        <v>24.1998859564754</v>
      </c>
    </row>
    <row r="118">
      <c r="A118" s="1" t="s">
        <v>22</v>
      </c>
      <c r="B118" s="1" t="s">
        <v>14</v>
      </c>
      <c r="C118" s="1" t="s">
        <v>168</v>
      </c>
      <c r="D118" s="1">
        <v>3.0</v>
      </c>
      <c r="E118" s="1">
        <v>76.0</v>
      </c>
      <c r="F118" s="1">
        <v>8.0</v>
      </c>
      <c r="G118" s="1">
        <v>9.0</v>
      </c>
      <c r="H118" s="1">
        <v>119.0</v>
      </c>
      <c r="I118" s="1" t="s">
        <v>21</v>
      </c>
      <c r="J118" s="1" t="s">
        <v>18</v>
      </c>
      <c r="K118" s="1">
        <v>88000.0</v>
      </c>
      <c r="L118" s="1">
        <v>56.9491644</v>
      </c>
      <c r="M118" s="1">
        <v>24.1939751999999</v>
      </c>
    </row>
    <row r="119">
      <c r="A119" s="1" t="s">
        <v>22</v>
      </c>
      <c r="B119" s="1" t="s">
        <v>14</v>
      </c>
      <c r="C119" s="1" t="s">
        <v>169</v>
      </c>
      <c r="D119" s="1">
        <v>3.0</v>
      </c>
      <c r="E119" s="1">
        <v>82.0</v>
      </c>
      <c r="F119" s="1">
        <v>4.0</v>
      </c>
      <c r="G119" s="1">
        <v>5.0</v>
      </c>
      <c r="H119" s="1" t="s">
        <v>32</v>
      </c>
      <c r="I119" s="1" t="s">
        <v>33</v>
      </c>
      <c r="J119" s="1" t="s">
        <v>18</v>
      </c>
      <c r="K119" s="1">
        <v>98000.0</v>
      </c>
      <c r="L119" s="1">
        <v>56.9505884</v>
      </c>
      <c r="M119" s="1">
        <v>24.1734239</v>
      </c>
    </row>
    <row r="120">
      <c r="A120" s="1" t="s">
        <v>13</v>
      </c>
      <c r="B120" s="1" t="s">
        <v>74</v>
      </c>
      <c r="C120" s="1" t="s">
        <v>170</v>
      </c>
      <c r="D120" s="1">
        <v>1.0</v>
      </c>
      <c r="E120" s="1">
        <v>24.0</v>
      </c>
      <c r="F120" s="1">
        <v>2.0</v>
      </c>
      <c r="G120" s="1">
        <v>1.0</v>
      </c>
      <c r="H120" s="1" t="s">
        <v>171</v>
      </c>
      <c r="I120" s="1" t="s">
        <v>33</v>
      </c>
      <c r="J120" s="1" t="s">
        <v>18</v>
      </c>
      <c r="K120" s="1">
        <v>220.0</v>
      </c>
      <c r="L120" s="1">
        <v>56.9403842</v>
      </c>
      <c r="M120" s="1">
        <v>24.1946005733452</v>
      </c>
    </row>
    <row r="121">
      <c r="A121" s="1" t="s">
        <v>13</v>
      </c>
      <c r="B121" s="1" t="s">
        <v>19</v>
      </c>
      <c r="C121" s="1" t="s">
        <v>119</v>
      </c>
      <c r="D121" s="1">
        <v>2.0</v>
      </c>
      <c r="E121" s="1">
        <v>55.0</v>
      </c>
      <c r="F121" s="1">
        <v>1.0</v>
      </c>
      <c r="G121" s="1">
        <v>9.0</v>
      </c>
      <c r="H121" s="1">
        <v>119.0</v>
      </c>
      <c r="I121" s="1" t="s">
        <v>21</v>
      </c>
      <c r="J121" s="1" t="s">
        <v>18</v>
      </c>
      <c r="K121" s="1">
        <v>330.0</v>
      </c>
      <c r="L121" s="1">
        <v>56.90154795</v>
      </c>
      <c r="M121" s="1">
        <v>24.0924674073424</v>
      </c>
    </row>
    <row r="122">
      <c r="A122" s="1" t="s">
        <v>22</v>
      </c>
      <c r="B122" s="1" t="s">
        <v>172</v>
      </c>
      <c r="C122" s="1" t="s">
        <v>173</v>
      </c>
      <c r="D122" s="1">
        <v>2.0</v>
      </c>
      <c r="E122" s="1">
        <v>49.0</v>
      </c>
      <c r="F122" s="1">
        <v>3.0</v>
      </c>
      <c r="G122" s="1">
        <v>3.0</v>
      </c>
      <c r="H122" s="1" t="s">
        <v>36</v>
      </c>
      <c r="I122" s="1" t="s">
        <v>37</v>
      </c>
      <c r="J122" s="1" t="s">
        <v>18</v>
      </c>
      <c r="K122" s="1">
        <v>35000.0</v>
      </c>
      <c r="L122" s="1">
        <v>56.9120576499999</v>
      </c>
      <c r="M122" s="1">
        <v>24.2063672999999</v>
      </c>
    </row>
    <row r="123">
      <c r="A123" s="1" t="s">
        <v>22</v>
      </c>
      <c r="B123" s="1" t="s">
        <v>174</v>
      </c>
      <c r="C123" s="1" t="s">
        <v>95</v>
      </c>
      <c r="D123" s="1">
        <v>3.0</v>
      </c>
      <c r="E123" s="1">
        <v>61.0</v>
      </c>
      <c r="F123" s="1">
        <v>7.0</v>
      </c>
      <c r="G123" s="1">
        <v>9.0</v>
      </c>
      <c r="H123" s="1">
        <v>467.0</v>
      </c>
      <c r="I123" s="1" t="s">
        <v>21</v>
      </c>
      <c r="J123" s="1" t="s">
        <v>18</v>
      </c>
      <c r="K123" s="1">
        <v>59500.0</v>
      </c>
      <c r="L123" s="1">
        <v>56.93144315</v>
      </c>
      <c r="M123" s="1">
        <v>24.1757569002296</v>
      </c>
    </row>
    <row r="124">
      <c r="A124" s="1" t="s">
        <v>13</v>
      </c>
      <c r="B124" s="1" t="s">
        <v>52</v>
      </c>
      <c r="C124" s="1" t="s">
        <v>175</v>
      </c>
      <c r="D124" s="1">
        <v>2.0</v>
      </c>
      <c r="E124" s="1">
        <v>58.0</v>
      </c>
      <c r="F124" s="1">
        <v>2.0</v>
      </c>
      <c r="G124" s="1">
        <v>9.0</v>
      </c>
      <c r="H124" s="1">
        <v>119.0</v>
      </c>
      <c r="I124" s="1" t="s">
        <v>21</v>
      </c>
      <c r="J124" s="1" t="s">
        <v>18</v>
      </c>
      <c r="K124" s="1">
        <v>260.0</v>
      </c>
      <c r="L124" s="1">
        <v>56.9484028</v>
      </c>
      <c r="M124" s="1">
        <v>24.0020688644395</v>
      </c>
    </row>
    <row r="125">
      <c r="A125" s="1" t="s">
        <v>13</v>
      </c>
      <c r="B125" s="1" t="s">
        <v>23</v>
      </c>
      <c r="C125" s="1" t="s">
        <v>176</v>
      </c>
      <c r="D125" s="1">
        <v>1.0</v>
      </c>
      <c r="E125" s="1">
        <v>45.0</v>
      </c>
      <c r="F125" s="1">
        <v>1.0</v>
      </c>
      <c r="G125" s="1">
        <v>3.0</v>
      </c>
      <c r="H125" s="1" t="s">
        <v>32</v>
      </c>
      <c r="I125" s="1" t="s">
        <v>33</v>
      </c>
      <c r="J125" s="1" t="s">
        <v>18</v>
      </c>
      <c r="K125" s="1">
        <v>400.0</v>
      </c>
      <c r="L125" s="1">
        <v>56.95752295</v>
      </c>
      <c r="M125" s="1">
        <v>24.1106154842457</v>
      </c>
    </row>
    <row r="126">
      <c r="A126" s="1" t="s">
        <v>22</v>
      </c>
      <c r="B126" s="1" t="s">
        <v>129</v>
      </c>
      <c r="C126" s="1" t="s">
        <v>126</v>
      </c>
      <c r="D126" s="1">
        <v>2.0</v>
      </c>
      <c r="E126" s="1">
        <v>43.0</v>
      </c>
      <c r="F126" s="1">
        <v>5.0</v>
      </c>
      <c r="G126" s="1">
        <v>11.0</v>
      </c>
      <c r="H126" s="1" t="s">
        <v>32</v>
      </c>
      <c r="I126" s="1" t="s">
        <v>17</v>
      </c>
      <c r="J126" s="1" t="s">
        <v>18</v>
      </c>
      <c r="K126" s="1">
        <v>74900.0</v>
      </c>
      <c r="L126" s="1" t="s">
        <v>40</v>
      </c>
      <c r="M126" s="1" t="s">
        <v>40</v>
      </c>
    </row>
    <row r="127">
      <c r="A127" s="1" t="s">
        <v>13</v>
      </c>
      <c r="B127" s="1" t="s">
        <v>19</v>
      </c>
      <c r="C127" s="1" t="s">
        <v>177</v>
      </c>
      <c r="D127" s="1">
        <v>1.0</v>
      </c>
      <c r="E127" s="1">
        <v>36.0</v>
      </c>
      <c r="F127" s="1">
        <v>1.0</v>
      </c>
      <c r="G127" s="1">
        <v>2.0</v>
      </c>
      <c r="H127" s="1" t="s">
        <v>66</v>
      </c>
      <c r="I127" s="1" t="s">
        <v>33</v>
      </c>
      <c r="J127" s="1" t="s">
        <v>18</v>
      </c>
      <c r="K127" s="1">
        <v>250.0</v>
      </c>
      <c r="L127" s="1">
        <v>56.9085595</v>
      </c>
      <c r="M127" s="1">
        <v>24.0978813892038</v>
      </c>
    </row>
    <row r="128">
      <c r="A128" s="1" t="s">
        <v>13</v>
      </c>
      <c r="B128" s="1" t="s">
        <v>23</v>
      </c>
      <c r="C128" s="1" t="s">
        <v>178</v>
      </c>
      <c r="D128" s="1">
        <v>5.0</v>
      </c>
      <c r="E128" s="1">
        <v>150.0</v>
      </c>
      <c r="F128" s="1">
        <v>1.0</v>
      </c>
      <c r="G128" s="1">
        <v>2.0</v>
      </c>
      <c r="H128" s="1" t="s">
        <v>32</v>
      </c>
      <c r="I128" s="1" t="s">
        <v>33</v>
      </c>
      <c r="J128" s="1" t="s">
        <v>18</v>
      </c>
      <c r="K128" s="1">
        <v>1700.0</v>
      </c>
      <c r="L128" s="1">
        <v>56.956763</v>
      </c>
      <c r="M128" s="1">
        <v>24.0954531</v>
      </c>
    </row>
    <row r="129">
      <c r="A129" s="1" t="s">
        <v>13</v>
      </c>
      <c r="B129" s="1" t="s">
        <v>96</v>
      </c>
      <c r="C129" s="1" t="s">
        <v>179</v>
      </c>
      <c r="D129" s="1">
        <v>2.0</v>
      </c>
      <c r="E129" s="1">
        <v>48.0</v>
      </c>
      <c r="F129" s="1">
        <v>4.0</v>
      </c>
      <c r="G129" s="1">
        <v>5.0</v>
      </c>
      <c r="H129" s="1" t="s">
        <v>16</v>
      </c>
      <c r="I129" s="1" t="s">
        <v>21</v>
      </c>
      <c r="J129" s="1" t="s">
        <v>18</v>
      </c>
      <c r="K129" s="1">
        <v>220.0</v>
      </c>
      <c r="L129" s="1">
        <v>57.0300401</v>
      </c>
      <c r="M129" s="1">
        <v>24.1110494445365</v>
      </c>
    </row>
    <row r="130">
      <c r="A130" s="1" t="s">
        <v>13</v>
      </c>
      <c r="B130" s="1" t="s">
        <v>67</v>
      </c>
      <c r="C130" s="1" t="s">
        <v>180</v>
      </c>
      <c r="D130" s="1">
        <v>1.0</v>
      </c>
      <c r="E130" s="1">
        <v>30.0</v>
      </c>
      <c r="F130" s="1">
        <v>1.0</v>
      </c>
      <c r="G130" s="1">
        <v>3.0</v>
      </c>
      <c r="H130" s="1" t="s">
        <v>181</v>
      </c>
      <c r="I130" s="1" t="s">
        <v>33</v>
      </c>
      <c r="J130" s="1" t="s">
        <v>18</v>
      </c>
      <c r="K130" s="1">
        <v>270.0</v>
      </c>
      <c r="L130" s="1">
        <v>56.9624743</v>
      </c>
      <c r="M130" s="1">
        <v>24.1492892043</v>
      </c>
    </row>
    <row r="131">
      <c r="A131" s="1" t="s">
        <v>22</v>
      </c>
      <c r="B131" s="1" t="s">
        <v>19</v>
      </c>
      <c r="C131" s="1" t="s">
        <v>182</v>
      </c>
      <c r="D131" s="1">
        <v>3.0</v>
      </c>
      <c r="E131" s="1">
        <v>62.0</v>
      </c>
      <c r="F131" s="1">
        <v>8.0</v>
      </c>
      <c r="G131" s="1">
        <v>9.0</v>
      </c>
      <c r="H131" s="1">
        <v>602.0</v>
      </c>
      <c r="I131" s="1" t="s">
        <v>21</v>
      </c>
      <c r="J131" s="1" t="s">
        <v>18</v>
      </c>
      <c r="K131" s="1">
        <v>75000.0</v>
      </c>
      <c r="L131" s="1">
        <v>56.9094064</v>
      </c>
      <c r="M131" s="1">
        <v>24.0954157</v>
      </c>
    </row>
    <row r="132">
      <c r="A132" s="1" t="s">
        <v>22</v>
      </c>
      <c r="B132" s="1" t="s">
        <v>74</v>
      </c>
      <c r="C132" s="1" t="s">
        <v>183</v>
      </c>
      <c r="D132" s="1">
        <v>3.0</v>
      </c>
      <c r="E132" s="1">
        <v>64.0</v>
      </c>
      <c r="F132" s="1">
        <v>7.0</v>
      </c>
      <c r="G132" s="1">
        <v>9.0</v>
      </c>
      <c r="H132" s="1">
        <v>602.0</v>
      </c>
      <c r="I132" s="1" t="s">
        <v>21</v>
      </c>
      <c r="J132" s="1" t="s">
        <v>18</v>
      </c>
      <c r="K132" s="1">
        <v>59000.0</v>
      </c>
      <c r="L132" s="1">
        <v>56.94404435</v>
      </c>
      <c r="M132" s="1">
        <v>24.21522315</v>
      </c>
    </row>
    <row r="133">
      <c r="A133" s="1" t="s">
        <v>22</v>
      </c>
      <c r="B133" s="1" t="s">
        <v>28</v>
      </c>
      <c r="C133" s="1" t="s">
        <v>184</v>
      </c>
      <c r="D133" s="1">
        <v>2.0</v>
      </c>
      <c r="E133" s="1">
        <v>47.0</v>
      </c>
      <c r="F133" s="1">
        <v>4.0</v>
      </c>
      <c r="G133" s="1">
        <v>5.0</v>
      </c>
      <c r="H133" s="1" t="s">
        <v>16</v>
      </c>
      <c r="I133" s="1" t="s">
        <v>21</v>
      </c>
      <c r="J133" s="1" t="s">
        <v>18</v>
      </c>
      <c r="K133" s="1">
        <v>41000.0</v>
      </c>
      <c r="L133" s="1">
        <v>56.8597884</v>
      </c>
      <c r="M133" s="1">
        <v>24.3083417</v>
      </c>
    </row>
    <row r="134">
      <c r="A134" s="1" t="s">
        <v>13</v>
      </c>
      <c r="B134" s="1" t="s">
        <v>134</v>
      </c>
      <c r="C134" s="1" t="s">
        <v>185</v>
      </c>
      <c r="D134" s="1">
        <v>1.0</v>
      </c>
      <c r="E134" s="1">
        <v>28.0</v>
      </c>
      <c r="F134" s="1">
        <v>3.0</v>
      </c>
      <c r="G134" s="1">
        <v>5.0</v>
      </c>
      <c r="H134" s="1" t="s">
        <v>16</v>
      </c>
      <c r="I134" s="1" t="s">
        <v>37</v>
      </c>
      <c r="J134" s="1" t="s">
        <v>18</v>
      </c>
      <c r="K134" s="1">
        <v>220.0</v>
      </c>
      <c r="L134" s="1">
        <v>57.0374654</v>
      </c>
      <c r="M134" s="1">
        <v>24.0247952</v>
      </c>
    </row>
    <row r="135">
      <c r="A135" s="1" t="s">
        <v>22</v>
      </c>
      <c r="B135" s="1" t="s">
        <v>23</v>
      </c>
      <c r="C135" s="1" t="s">
        <v>186</v>
      </c>
      <c r="D135" s="1">
        <v>3.0</v>
      </c>
      <c r="E135" s="1">
        <v>104.0</v>
      </c>
      <c r="F135" s="1">
        <v>5.0</v>
      </c>
      <c r="G135" s="1">
        <v>5.0</v>
      </c>
      <c r="H135" s="1" t="s">
        <v>25</v>
      </c>
      <c r="I135" s="1" t="s">
        <v>33</v>
      </c>
      <c r="J135" s="1" t="s">
        <v>18</v>
      </c>
      <c r="K135" s="1">
        <v>130000.0</v>
      </c>
      <c r="L135" s="1">
        <v>56.96383885</v>
      </c>
      <c r="M135" s="1">
        <v>24.1258646679154</v>
      </c>
    </row>
    <row r="136">
      <c r="A136" s="1" t="s">
        <v>22</v>
      </c>
      <c r="B136" s="1" t="s">
        <v>129</v>
      </c>
      <c r="C136" s="1" t="s">
        <v>187</v>
      </c>
      <c r="D136" s="1">
        <v>2.0</v>
      </c>
      <c r="E136" s="1">
        <v>45.6</v>
      </c>
      <c r="F136" s="1">
        <v>5.0</v>
      </c>
      <c r="G136" s="1">
        <v>5.0</v>
      </c>
      <c r="H136" s="1" t="s">
        <v>44</v>
      </c>
      <c r="I136" s="1" t="s">
        <v>21</v>
      </c>
      <c r="J136" s="1" t="s">
        <v>18</v>
      </c>
      <c r="K136" s="1">
        <v>51500.0</v>
      </c>
      <c r="L136" s="1">
        <v>57.0004355</v>
      </c>
      <c r="M136" s="1">
        <v>24.1207347</v>
      </c>
    </row>
    <row r="137">
      <c r="A137" s="1" t="s">
        <v>22</v>
      </c>
      <c r="B137" s="1" t="s">
        <v>38</v>
      </c>
      <c r="C137" s="1" t="s">
        <v>188</v>
      </c>
      <c r="D137" s="1">
        <v>3.0</v>
      </c>
      <c r="E137" s="1">
        <v>68.0</v>
      </c>
      <c r="F137" s="1">
        <v>3.0</v>
      </c>
      <c r="G137" s="1">
        <v>4.0</v>
      </c>
      <c r="H137" s="1" t="s">
        <v>32</v>
      </c>
      <c r="I137" s="1" t="s">
        <v>21</v>
      </c>
      <c r="J137" s="1" t="s">
        <v>18</v>
      </c>
      <c r="K137" s="1">
        <v>110000.0</v>
      </c>
      <c r="L137" s="1">
        <v>56.95698695</v>
      </c>
      <c r="M137" s="1">
        <v>24.0186127580713</v>
      </c>
    </row>
    <row r="138">
      <c r="A138" s="1" t="s">
        <v>13</v>
      </c>
      <c r="B138" s="1" t="s">
        <v>14</v>
      </c>
      <c r="C138" s="1" t="s">
        <v>189</v>
      </c>
      <c r="D138" s="1">
        <v>1.0</v>
      </c>
      <c r="E138" s="1">
        <v>39.0</v>
      </c>
      <c r="F138" s="1">
        <v>4.0</v>
      </c>
      <c r="G138" s="1">
        <v>5.0</v>
      </c>
      <c r="H138" s="1" t="s">
        <v>57</v>
      </c>
      <c r="I138" s="1" t="s">
        <v>17</v>
      </c>
      <c r="J138" s="1" t="s">
        <v>18</v>
      </c>
      <c r="K138" s="1">
        <v>230.0</v>
      </c>
      <c r="L138" s="1">
        <v>56.95697915</v>
      </c>
      <c r="M138" s="1">
        <v>24.1694646616754</v>
      </c>
    </row>
    <row r="139">
      <c r="A139" s="1" t="s">
        <v>22</v>
      </c>
      <c r="B139" s="1" t="s">
        <v>23</v>
      </c>
      <c r="C139" s="1" t="s">
        <v>64</v>
      </c>
      <c r="D139" s="1">
        <v>2.0</v>
      </c>
      <c r="E139" s="1">
        <v>47.0</v>
      </c>
      <c r="F139" s="1">
        <v>6.0</v>
      </c>
      <c r="G139" s="1">
        <v>7.0</v>
      </c>
      <c r="H139" s="1" t="s">
        <v>66</v>
      </c>
      <c r="I139" s="1" t="s">
        <v>33</v>
      </c>
      <c r="J139" s="1" t="s">
        <v>18</v>
      </c>
      <c r="K139" s="1">
        <v>95000.0</v>
      </c>
      <c r="L139" s="1">
        <v>56.9521436</v>
      </c>
      <c r="M139" s="1">
        <v>24.1276865</v>
      </c>
    </row>
    <row r="140">
      <c r="A140" s="1" t="s">
        <v>89</v>
      </c>
      <c r="B140" s="1" t="s">
        <v>74</v>
      </c>
      <c r="C140" s="2"/>
      <c r="D140" s="2"/>
      <c r="E140" s="1">
        <v>123.0</v>
      </c>
      <c r="F140" s="1">
        <v>10.0</v>
      </c>
      <c r="G140" s="1">
        <v>1.0</v>
      </c>
      <c r="H140" s="2"/>
      <c r="I140" s="2"/>
      <c r="J140" s="2"/>
      <c r="K140" s="2"/>
      <c r="L140" s="1">
        <v>46.3144754</v>
      </c>
      <c r="M140" s="1">
        <v>11.0480288</v>
      </c>
    </row>
    <row r="141">
      <c r="A141" s="1" t="s">
        <v>89</v>
      </c>
      <c r="B141" s="1" t="s">
        <v>28</v>
      </c>
      <c r="C141" s="2"/>
      <c r="D141" s="1">
        <v>1.0</v>
      </c>
      <c r="E141" s="2"/>
      <c r="F141" s="1">
        <v>21.0</v>
      </c>
      <c r="G141" s="1">
        <v>12.0</v>
      </c>
      <c r="H141" s="2"/>
      <c r="I141" s="2"/>
      <c r="J141" s="1" t="s">
        <v>63</v>
      </c>
      <c r="K141" s="2"/>
      <c r="L141" s="1">
        <v>46.3144754</v>
      </c>
      <c r="M141" s="1">
        <v>11.0480288</v>
      </c>
    </row>
    <row r="142">
      <c r="A142" s="1" t="s">
        <v>89</v>
      </c>
      <c r="B142" s="1" t="s">
        <v>38</v>
      </c>
      <c r="C142" s="2"/>
      <c r="D142" s="1">
        <v>1.0</v>
      </c>
      <c r="E142" s="2"/>
      <c r="F142" s="1">
        <v>99.0</v>
      </c>
      <c r="G142" s="1">
        <v>9.0</v>
      </c>
      <c r="H142" s="2"/>
      <c r="I142" s="2"/>
      <c r="J142" s="2"/>
      <c r="K142" s="2"/>
      <c r="L142" s="1">
        <v>46.3144754</v>
      </c>
      <c r="M142" s="1">
        <v>11.0480288</v>
      </c>
    </row>
    <row r="143">
      <c r="A143" s="1" t="s">
        <v>89</v>
      </c>
      <c r="B143" s="1" t="s">
        <v>104</v>
      </c>
      <c r="C143" s="2"/>
      <c r="D143" s="2"/>
      <c r="E143" s="1">
        <v>8.0</v>
      </c>
      <c r="F143" s="1">
        <v>88.0</v>
      </c>
      <c r="G143" s="1">
        <v>8.0</v>
      </c>
      <c r="H143" s="2"/>
      <c r="I143" s="2"/>
      <c r="J143" s="2"/>
      <c r="K143" s="2"/>
      <c r="L143" s="1">
        <v>46.3144754</v>
      </c>
      <c r="M143" s="1">
        <v>11.0480288</v>
      </c>
    </row>
    <row r="144">
      <c r="A144" s="1" t="s">
        <v>89</v>
      </c>
      <c r="B144" s="1" t="s">
        <v>23</v>
      </c>
      <c r="C144" s="2"/>
      <c r="D144" s="2"/>
      <c r="E144" s="1">
        <v>9.0</v>
      </c>
      <c r="F144" s="1">
        <v>9.0</v>
      </c>
      <c r="G144" s="1">
        <v>9.0</v>
      </c>
      <c r="H144" s="2"/>
      <c r="I144" s="2"/>
      <c r="J144" s="2"/>
      <c r="K144" s="2"/>
      <c r="L144" s="1">
        <v>46.3144754</v>
      </c>
      <c r="M144" s="1">
        <v>11.0480288</v>
      </c>
    </row>
    <row r="145">
      <c r="A145" s="1" t="s">
        <v>22</v>
      </c>
      <c r="B145" s="1" t="s">
        <v>14</v>
      </c>
      <c r="C145" s="1" t="s">
        <v>190</v>
      </c>
      <c r="D145" s="1">
        <v>3.0</v>
      </c>
      <c r="E145" s="1">
        <v>79.0</v>
      </c>
      <c r="F145" s="1">
        <v>9.0</v>
      </c>
      <c r="G145" s="1">
        <v>9.0</v>
      </c>
      <c r="H145" s="1">
        <v>119.0</v>
      </c>
      <c r="I145" s="1" t="s">
        <v>21</v>
      </c>
      <c r="J145" s="1" t="s">
        <v>18</v>
      </c>
      <c r="K145" s="1">
        <v>71000.0</v>
      </c>
      <c r="L145" s="1">
        <v>56.95343085</v>
      </c>
      <c r="M145" s="1">
        <v>24.1734659</v>
      </c>
    </row>
    <row r="146">
      <c r="A146" s="1" t="s">
        <v>13</v>
      </c>
      <c r="B146" s="1" t="s">
        <v>19</v>
      </c>
      <c r="C146" s="1" t="s">
        <v>20</v>
      </c>
      <c r="D146" s="1">
        <v>2.0</v>
      </c>
      <c r="E146" s="1">
        <v>50.0</v>
      </c>
      <c r="F146" s="1">
        <v>8.0</v>
      </c>
      <c r="G146" s="1">
        <v>9.0</v>
      </c>
      <c r="H146" s="1">
        <v>602.0</v>
      </c>
      <c r="I146" s="1" t="s">
        <v>21</v>
      </c>
      <c r="J146" s="1" t="s">
        <v>18</v>
      </c>
      <c r="K146" s="1">
        <v>270.0</v>
      </c>
      <c r="L146" s="1">
        <v>56.89979805</v>
      </c>
      <c r="M146" s="1">
        <v>24.09835015</v>
      </c>
    </row>
    <row r="147">
      <c r="A147" s="1" t="s">
        <v>22</v>
      </c>
      <c r="B147" s="1" t="s">
        <v>30</v>
      </c>
      <c r="C147" s="1" t="s">
        <v>191</v>
      </c>
      <c r="D147" s="1">
        <v>4.0</v>
      </c>
      <c r="E147" s="1">
        <v>95.0</v>
      </c>
      <c r="F147" s="1">
        <v>1.0</v>
      </c>
      <c r="G147" s="1">
        <v>9.0</v>
      </c>
      <c r="H147" s="1" t="s">
        <v>36</v>
      </c>
      <c r="I147" s="1" t="s">
        <v>17</v>
      </c>
      <c r="J147" s="1" t="s">
        <v>18</v>
      </c>
      <c r="K147" s="1">
        <v>85000.0</v>
      </c>
      <c r="L147" s="1">
        <v>56.9788671</v>
      </c>
      <c r="M147" s="1">
        <v>24.1774824079002</v>
      </c>
    </row>
    <row r="148">
      <c r="A148" s="1" t="s">
        <v>13</v>
      </c>
      <c r="B148" s="1" t="s">
        <v>19</v>
      </c>
      <c r="C148" s="1" t="s">
        <v>192</v>
      </c>
      <c r="D148" s="1">
        <v>2.0</v>
      </c>
      <c r="E148" s="1">
        <v>47.0</v>
      </c>
      <c r="F148" s="1">
        <v>1.0</v>
      </c>
      <c r="G148" s="1">
        <v>1.0</v>
      </c>
      <c r="H148" s="1" t="s">
        <v>171</v>
      </c>
      <c r="I148" s="1" t="s">
        <v>33</v>
      </c>
      <c r="J148" s="1" t="s">
        <v>18</v>
      </c>
      <c r="K148" s="1">
        <v>450.0</v>
      </c>
      <c r="L148" s="1">
        <v>56.9135113</v>
      </c>
      <c r="M148" s="1">
        <v>24.094025</v>
      </c>
    </row>
    <row r="149">
      <c r="A149" s="1" t="s">
        <v>22</v>
      </c>
      <c r="B149" s="1" t="s">
        <v>76</v>
      </c>
      <c r="C149" s="1" t="s">
        <v>193</v>
      </c>
      <c r="D149" s="1">
        <v>2.0</v>
      </c>
      <c r="E149" s="1">
        <v>48.0</v>
      </c>
      <c r="F149" s="1">
        <v>2.0</v>
      </c>
      <c r="G149" s="1">
        <v>5.0</v>
      </c>
      <c r="H149" s="1" t="s">
        <v>16</v>
      </c>
      <c r="I149" s="1" t="s">
        <v>21</v>
      </c>
      <c r="J149" s="1" t="s">
        <v>18</v>
      </c>
      <c r="K149" s="1">
        <v>42000.0</v>
      </c>
      <c r="L149" s="1">
        <v>56.9547666499999</v>
      </c>
      <c r="M149" s="1">
        <v>24.0479287499999</v>
      </c>
    </row>
    <row r="150">
      <c r="A150" s="1" t="s">
        <v>89</v>
      </c>
      <c r="B150" s="1" t="s">
        <v>19</v>
      </c>
      <c r="C150" s="2"/>
      <c r="D150" s="1" t="s">
        <v>90</v>
      </c>
      <c r="E150" s="2"/>
      <c r="F150" s="2"/>
      <c r="G150" s="2"/>
      <c r="H150" s="2"/>
      <c r="I150" s="2"/>
      <c r="J150" s="2"/>
      <c r="K150" s="2"/>
      <c r="L150" s="1">
        <v>46.3144754</v>
      </c>
      <c r="M150" s="1">
        <v>11.0480288</v>
      </c>
    </row>
    <row r="151">
      <c r="A151" s="1" t="s">
        <v>13</v>
      </c>
      <c r="B151" s="1" t="s">
        <v>74</v>
      </c>
      <c r="C151" s="1" t="s">
        <v>194</v>
      </c>
      <c r="D151" s="1">
        <v>1.0</v>
      </c>
      <c r="E151" s="1">
        <v>40.0</v>
      </c>
      <c r="F151" s="1">
        <v>3.0</v>
      </c>
      <c r="G151" s="1">
        <v>5.0</v>
      </c>
      <c r="H151" s="1" t="s">
        <v>36</v>
      </c>
      <c r="I151" s="1" t="s">
        <v>17</v>
      </c>
      <c r="J151" s="1" t="s">
        <v>18</v>
      </c>
      <c r="K151" s="1">
        <v>300.0</v>
      </c>
      <c r="L151" s="1">
        <v>56.93801605</v>
      </c>
      <c r="M151" s="1">
        <v>24.1944185410887</v>
      </c>
    </row>
    <row r="152">
      <c r="A152" s="1" t="s">
        <v>89</v>
      </c>
      <c r="B152" s="1" t="s">
        <v>174</v>
      </c>
      <c r="C152" s="2"/>
      <c r="D152" s="1">
        <v>2.0</v>
      </c>
      <c r="E152" s="2"/>
      <c r="F152" s="2"/>
      <c r="G152" s="2"/>
      <c r="H152" s="2"/>
      <c r="I152" s="2"/>
      <c r="J152" s="2"/>
      <c r="K152" s="2"/>
      <c r="L152" s="1">
        <v>46.3144754</v>
      </c>
      <c r="M152" s="1">
        <v>11.0480288</v>
      </c>
    </row>
    <row r="153">
      <c r="A153" s="1" t="s">
        <v>13</v>
      </c>
      <c r="B153" s="1" t="s">
        <v>23</v>
      </c>
      <c r="C153" s="1" t="s">
        <v>156</v>
      </c>
      <c r="D153" s="1">
        <v>3.0</v>
      </c>
      <c r="E153" s="1">
        <v>88.0</v>
      </c>
      <c r="F153" s="1">
        <v>7.0</v>
      </c>
      <c r="G153" s="1">
        <v>7.0</v>
      </c>
      <c r="H153" s="1" t="s">
        <v>32</v>
      </c>
      <c r="I153" s="1" t="s">
        <v>17</v>
      </c>
      <c r="J153" s="1" t="s">
        <v>18</v>
      </c>
      <c r="K153" s="1">
        <v>990.0</v>
      </c>
      <c r="L153" s="1">
        <v>56.96998705</v>
      </c>
      <c r="M153" s="1">
        <v>24.1242108827278</v>
      </c>
    </row>
    <row r="154">
      <c r="A154" s="1" t="s">
        <v>13</v>
      </c>
      <c r="B154" s="1" t="s">
        <v>23</v>
      </c>
      <c r="C154" s="1" t="s">
        <v>195</v>
      </c>
      <c r="D154" s="1">
        <v>1.0</v>
      </c>
      <c r="E154" s="1">
        <v>28.0</v>
      </c>
      <c r="F154" s="1">
        <v>2.0</v>
      </c>
      <c r="G154" s="1">
        <v>3.0</v>
      </c>
      <c r="H154" s="1" t="s">
        <v>25</v>
      </c>
      <c r="I154" s="1" t="s">
        <v>33</v>
      </c>
      <c r="J154" s="1" t="s">
        <v>18</v>
      </c>
      <c r="K154" s="1">
        <v>220.0</v>
      </c>
      <c r="L154" s="1">
        <v>56.9629663</v>
      </c>
      <c r="M154" s="1">
        <v>24.13562495</v>
      </c>
    </row>
    <row r="155">
      <c r="A155" s="1" t="s">
        <v>13</v>
      </c>
      <c r="B155" s="1" t="s">
        <v>23</v>
      </c>
      <c r="C155" s="1" t="s">
        <v>196</v>
      </c>
      <c r="D155" s="1">
        <v>1.0</v>
      </c>
      <c r="E155" s="1">
        <v>21.0</v>
      </c>
      <c r="F155" s="1">
        <v>3.0</v>
      </c>
      <c r="G155" s="1">
        <v>5.0</v>
      </c>
      <c r="H155" s="1" t="s">
        <v>32</v>
      </c>
      <c r="I155" s="1" t="s">
        <v>21</v>
      </c>
      <c r="J155" s="1" t="s">
        <v>18</v>
      </c>
      <c r="K155" s="1">
        <v>340.0</v>
      </c>
      <c r="L155" s="1">
        <v>56.9630577</v>
      </c>
      <c r="M155" s="1">
        <v>24.1531056</v>
      </c>
    </row>
    <row r="156">
      <c r="A156" s="1" t="s">
        <v>22</v>
      </c>
      <c r="B156" s="1" t="s">
        <v>74</v>
      </c>
      <c r="C156" s="1" t="s">
        <v>197</v>
      </c>
      <c r="D156" s="1">
        <v>4.0</v>
      </c>
      <c r="E156" s="1">
        <v>75.0</v>
      </c>
      <c r="F156" s="1">
        <v>3.0</v>
      </c>
      <c r="G156" s="1">
        <v>8.0</v>
      </c>
      <c r="H156" s="1">
        <v>467.0</v>
      </c>
      <c r="I156" s="1" t="s">
        <v>21</v>
      </c>
      <c r="J156" s="1" t="s">
        <v>18</v>
      </c>
      <c r="K156" s="1">
        <v>69950.0</v>
      </c>
      <c r="L156" s="1">
        <v>56.9367253</v>
      </c>
      <c r="M156" s="1">
        <v>24.2129281</v>
      </c>
    </row>
    <row r="157">
      <c r="A157" s="1" t="s">
        <v>13</v>
      </c>
      <c r="B157" s="1" t="s">
        <v>74</v>
      </c>
      <c r="C157" s="1" t="s">
        <v>198</v>
      </c>
      <c r="D157" s="1">
        <v>1.0</v>
      </c>
      <c r="E157" s="1">
        <v>22.0</v>
      </c>
      <c r="F157" s="1">
        <v>1.0</v>
      </c>
      <c r="G157" s="1">
        <v>3.0</v>
      </c>
      <c r="H157" s="1" t="s">
        <v>32</v>
      </c>
      <c r="I157" s="1" t="s">
        <v>21</v>
      </c>
      <c r="J157" s="1" t="s">
        <v>18</v>
      </c>
      <c r="K157" s="1">
        <v>235.0</v>
      </c>
      <c r="L157" s="1">
        <v>56.93702645</v>
      </c>
      <c r="M157" s="1">
        <v>24.2153165101088</v>
      </c>
    </row>
    <row r="158">
      <c r="A158" s="1" t="s">
        <v>13</v>
      </c>
      <c r="B158" s="1" t="s">
        <v>23</v>
      </c>
      <c r="C158" s="1" t="s">
        <v>199</v>
      </c>
      <c r="D158" s="1">
        <v>1.0</v>
      </c>
      <c r="E158" s="1">
        <v>33.0</v>
      </c>
      <c r="F158" s="1">
        <v>2.0</v>
      </c>
      <c r="G158" s="1">
        <v>5.0</v>
      </c>
      <c r="H158" s="1" t="s">
        <v>25</v>
      </c>
      <c r="I158" s="1" t="s">
        <v>33</v>
      </c>
      <c r="J158" s="1" t="s">
        <v>18</v>
      </c>
      <c r="K158" s="1">
        <v>315.0</v>
      </c>
      <c r="L158" s="1">
        <v>56.9611541</v>
      </c>
      <c r="M158" s="1">
        <v>24.1376555</v>
      </c>
    </row>
    <row r="159">
      <c r="A159" s="1" t="s">
        <v>22</v>
      </c>
      <c r="B159" s="1" t="s">
        <v>19</v>
      </c>
      <c r="C159" s="1" t="s">
        <v>200</v>
      </c>
      <c r="D159" s="1">
        <v>2.0</v>
      </c>
      <c r="E159" s="1">
        <v>57.0</v>
      </c>
      <c r="F159" s="1">
        <v>3.0</v>
      </c>
      <c r="G159" s="1">
        <v>16.0</v>
      </c>
      <c r="H159" s="1">
        <v>104.0</v>
      </c>
      <c r="I159" s="1" t="s">
        <v>21</v>
      </c>
      <c r="J159" s="1" t="s">
        <v>18</v>
      </c>
      <c r="K159" s="1">
        <v>70000.0</v>
      </c>
      <c r="L159" s="1">
        <v>56.9052096</v>
      </c>
      <c r="M159" s="1">
        <v>24.0845534508617</v>
      </c>
    </row>
    <row r="160">
      <c r="A160" s="1" t="s">
        <v>22</v>
      </c>
      <c r="B160" s="1" t="s">
        <v>117</v>
      </c>
      <c r="C160" s="1" t="s">
        <v>201</v>
      </c>
      <c r="D160" s="1">
        <v>1.0</v>
      </c>
      <c r="E160" s="1">
        <v>29.6</v>
      </c>
      <c r="F160" s="1">
        <v>2.0</v>
      </c>
      <c r="G160" s="1">
        <v>2.0</v>
      </c>
      <c r="H160" s="1" t="s">
        <v>171</v>
      </c>
      <c r="I160" s="1" t="s">
        <v>26</v>
      </c>
      <c r="J160" s="1" t="s">
        <v>18</v>
      </c>
      <c r="K160" s="1">
        <v>22000.0</v>
      </c>
      <c r="L160" s="1" t="s">
        <v>40</v>
      </c>
      <c r="M160" s="1" t="s">
        <v>40</v>
      </c>
    </row>
    <row r="161">
      <c r="A161" s="1" t="s">
        <v>13</v>
      </c>
      <c r="B161" s="1" t="s">
        <v>52</v>
      </c>
      <c r="C161" s="1" t="s">
        <v>202</v>
      </c>
      <c r="D161" s="1">
        <v>2.0</v>
      </c>
      <c r="E161" s="1">
        <v>55.0</v>
      </c>
      <c r="F161" s="1">
        <v>1.0</v>
      </c>
      <c r="G161" s="1">
        <v>4.0</v>
      </c>
      <c r="H161" s="1" t="s">
        <v>32</v>
      </c>
      <c r="I161" s="1" t="s">
        <v>21</v>
      </c>
      <c r="J161" s="1" t="s">
        <v>18</v>
      </c>
      <c r="K161" s="1">
        <v>500.0</v>
      </c>
      <c r="L161" s="1">
        <v>56.94145735</v>
      </c>
      <c r="M161" s="1">
        <v>24.0030188392346</v>
      </c>
    </row>
    <row r="162">
      <c r="A162" s="1" t="s">
        <v>13</v>
      </c>
      <c r="B162" s="1" t="s">
        <v>151</v>
      </c>
      <c r="C162" s="1" t="s">
        <v>203</v>
      </c>
      <c r="D162" s="1">
        <v>3.0</v>
      </c>
      <c r="E162" s="1">
        <v>62.0</v>
      </c>
      <c r="F162" s="1">
        <v>1.0</v>
      </c>
      <c r="G162" s="1">
        <v>5.0</v>
      </c>
      <c r="H162" s="1" t="s">
        <v>16</v>
      </c>
      <c r="I162" s="1" t="s">
        <v>21</v>
      </c>
      <c r="J162" s="1" t="s">
        <v>18</v>
      </c>
      <c r="K162" s="1">
        <v>350.0</v>
      </c>
      <c r="L162" s="1">
        <v>56.9699771</v>
      </c>
      <c r="M162" s="1">
        <v>24.0655410145407</v>
      </c>
    </row>
    <row r="163">
      <c r="A163" s="1" t="s">
        <v>22</v>
      </c>
      <c r="B163" s="1" t="s">
        <v>48</v>
      </c>
      <c r="C163" s="1" t="s">
        <v>54</v>
      </c>
      <c r="D163" s="1">
        <v>2.0</v>
      </c>
      <c r="E163" s="1">
        <v>50.0</v>
      </c>
      <c r="F163" s="1">
        <v>3.0</v>
      </c>
      <c r="G163" s="1">
        <v>5.0</v>
      </c>
      <c r="H163" s="1" t="s">
        <v>16</v>
      </c>
      <c r="I163" s="1" t="s">
        <v>21</v>
      </c>
      <c r="J163" s="1" t="s">
        <v>18</v>
      </c>
      <c r="K163" s="1">
        <v>49800.0</v>
      </c>
      <c r="L163" s="1">
        <v>56.9736358</v>
      </c>
      <c r="M163" s="1">
        <v>24.2335309150293</v>
      </c>
    </row>
    <row r="164">
      <c r="A164" s="1" t="s">
        <v>22</v>
      </c>
      <c r="B164" s="1" t="s">
        <v>23</v>
      </c>
      <c r="C164" s="1" t="s">
        <v>204</v>
      </c>
      <c r="D164" s="1">
        <v>2.0</v>
      </c>
      <c r="E164" s="1">
        <v>43.0</v>
      </c>
      <c r="F164" s="1">
        <v>1.0</v>
      </c>
      <c r="G164" s="1">
        <v>5.0</v>
      </c>
      <c r="H164" s="1" t="s">
        <v>25</v>
      </c>
      <c r="I164" s="1" t="s">
        <v>33</v>
      </c>
      <c r="J164" s="1" t="s">
        <v>18</v>
      </c>
      <c r="K164" s="1">
        <v>48000.0</v>
      </c>
      <c r="L164" s="1">
        <v>56.9636061</v>
      </c>
      <c r="M164" s="1">
        <v>24.1388658</v>
      </c>
    </row>
    <row r="165">
      <c r="A165" s="1" t="s">
        <v>13</v>
      </c>
      <c r="B165" s="1" t="s">
        <v>28</v>
      </c>
      <c r="C165" s="1" t="s">
        <v>205</v>
      </c>
      <c r="D165" s="1">
        <v>2.0</v>
      </c>
      <c r="E165" s="1">
        <v>49.0</v>
      </c>
      <c r="F165" s="1">
        <v>3.0</v>
      </c>
      <c r="G165" s="1">
        <v>3.0</v>
      </c>
      <c r="H165" s="1" t="s">
        <v>181</v>
      </c>
      <c r="I165" s="1" t="s">
        <v>37</v>
      </c>
      <c r="J165" s="1" t="s">
        <v>18</v>
      </c>
      <c r="K165" s="1">
        <v>240.0</v>
      </c>
      <c r="L165" s="1">
        <v>56.9445851</v>
      </c>
      <c r="M165" s="1">
        <v>24.1127805007715</v>
      </c>
    </row>
    <row r="166">
      <c r="A166" s="1" t="s">
        <v>13</v>
      </c>
      <c r="B166" s="1" t="s">
        <v>48</v>
      </c>
      <c r="C166" s="1" t="s">
        <v>206</v>
      </c>
      <c r="D166" s="1">
        <v>1.0</v>
      </c>
      <c r="E166" s="1">
        <v>32.0</v>
      </c>
      <c r="F166" s="1">
        <v>8.0</v>
      </c>
      <c r="G166" s="1">
        <v>9.0</v>
      </c>
      <c r="H166" s="1">
        <v>602.0</v>
      </c>
      <c r="I166" s="1" t="s">
        <v>21</v>
      </c>
      <c r="J166" s="1" t="s">
        <v>18</v>
      </c>
      <c r="K166" s="1">
        <v>260.0</v>
      </c>
      <c r="L166" s="1">
        <v>56.9596666</v>
      </c>
      <c r="M166" s="1">
        <v>24.2364782978591</v>
      </c>
    </row>
    <row r="167">
      <c r="A167" s="1" t="s">
        <v>13</v>
      </c>
      <c r="B167" s="1" t="s">
        <v>14</v>
      </c>
      <c r="C167" s="1" t="s">
        <v>207</v>
      </c>
      <c r="D167" s="1">
        <v>2.0</v>
      </c>
      <c r="E167" s="1">
        <v>51.0</v>
      </c>
      <c r="F167" s="1">
        <v>3.0</v>
      </c>
      <c r="G167" s="1">
        <v>5.0</v>
      </c>
      <c r="H167" s="1" t="s">
        <v>16</v>
      </c>
      <c r="I167" s="1" t="s">
        <v>21</v>
      </c>
      <c r="J167" s="1" t="s">
        <v>18</v>
      </c>
      <c r="K167" s="1">
        <v>300.0</v>
      </c>
      <c r="L167" s="1">
        <v>56.9604259</v>
      </c>
      <c r="M167" s="1">
        <v>24.201209</v>
      </c>
    </row>
    <row r="168">
      <c r="A168" s="1" t="s">
        <v>13</v>
      </c>
      <c r="B168" s="1" t="s">
        <v>104</v>
      </c>
      <c r="C168" s="1" t="s">
        <v>208</v>
      </c>
      <c r="D168" s="1">
        <v>2.0</v>
      </c>
      <c r="E168" s="1">
        <v>79.0</v>
      </c>
      <c r="F168" s="1">
        <v>4.0</v>
      </c>
      <c r="G168" s="1">
        <v>4.0</v>
      </c>
      <c r="H168" s="1" t="s">
        <v>32</v>
      </c>
      <c r="I168" s="1" t="s">
        <v>33</v>
      </c>
      <c r="J168" s="1" t="s">
        <v>18</v>
      </c>
      <c r="K168" s="1">
        <v>850.0</v>
      </c>
      <c r="L168" s="1">
        <v>56.93693955</v>
      </c>
      <c r="M168" s="1">
        <v>24.1019323631236</v>
      </c>
    </row>
    <row r="169">
      <c r="A169" s="1" t="s">
        <v>13</v>
      </c>
      <c r="B169" s="1" t="s">
        <v>104</v>
      </c>
      <c r="C169" s="1" t="s">
        <v>209</v>
      </c>
      <c r="D169" s="1">
        <v>2.0</v>
      </c>
      <c r="E169" s="1">
        <v>44.0</v>
      </c>
      <c r="F169" s="1">
        <v>3.0</v>
      </c>
      <c r="G169" s="1">
        <v>6.0</v>
      </c>
      <c r="H169" s="1" t="s">
        <v>25</v>
      </c>
      <c r="I169" s="1" t="s">
        <v>33</v>
      </c>
      <c r="J169" s="1" t="s">
        <v>27</v>
      </c>
      <c r="K169" s="1">
        <v>280.0</v>
      </c>
      <c r="L169" s="1">
        <v>56.9383464</v>
      </c>
      <c r="M169" s="1">
        <v>24.071392</v>
      </c>
    </row>
    <row r="170">
      <c r="A170" s="1" t="s">
        <v>13</v>
      </c>
      <c r="B170" s="1" t="s">
        <v>104</v>
      </c>
      <c r="C170" s="1" t="s">
        <v>210</v>
      </c>
      <c r="D170" s="1">
        <v>1.0</v>
      </c>
      <c r="E170" s="1">
        <v>36.0</v>
      </c>
      <c r="F170" s="1">
        <v>2.0</v>
      </c>
      <c r="G170" s="1">
        <v>2.0</v>
      </c>
      <c r="H170" s="1" t="s">
        <v>25</v>
      </c>
      <c r="I170" s="1" t="s">
        <v>37</v>
      </c>
      <c r="J170" s="1" t="s">
        <v>18</v>
      </c>
      <c r="K170" s="1">
        <v>250.0</v>
      </c>
      <c r="L170" s="1">
        <v>56.9384531</v>
      </c>
      <c r="M170" s="1">
        <v>24.0507266</v>
      </c>
    </row>
    <row r="171">
      <c r="A171" s="1" t="s">
        <v>13</v>
      </c>
      <c r="B171" s="1" t="s">
        <v>23</v>
      </c>
      <c r="C171" s="1" t="s">
        <v>211</v>
      </c>
      <c r="D171" s="1">
        <v>1.0</v>
      </c>
      <c r="E171" s="1">
        <v>30.0</v>
      </c>
      <c r="F171" s="1">
        <v>3.0</v>
      </c>
      <c r="G171" s="1">
        <v>5.0</v>
      </c>
      <c r="H171" s="1" t="s">
        <v>25</v>
      </c>
      <c r="I171" s="1" t="s">
        <v>37</v>
      </c>
      <c r="J171" s="1" t="s">
        <v>18</v>
      </c>
      <c r="K171" s="1">
        <v>260.0</v>
      </c>
      <c r="L171" s="1">
        <v>56.9420237</v>
      </c>
      <c r="M171" s="1">
        <v>24.1354202416193</v>
      </c>
    </row>
    <row r="172">
      <c r="A172" s="1" t="s">
        <v>22</v>
      </c>
      <c r="B172" s="1" t="s">
        <v>174</v>
      </c>
      <c r="C172" s="1" t="s">
        <v>212</v>
      </c>
      <c r="D172" s="1">
        <v>1.0</v>
      </c>
      <c r="E172" s="1">
        <v>37.0</v>
      </c>
      <c r="F172" s="1">
        <v>1.0</v>
      </c>
      <c r="G172" s="1">
        <v>1.0</v>
      </c>
      <c r="H172" s="1" t="s">
        <v>171</v>
      </c>
      <c r="I172" s="1" t="s">
        <v>37</v>
      </c>
      <c r="J172" s="1" t="s">
        <v>18</v>
      </c>
      <c r="K172" s="1">
        <v>22000.0</v>
      </c>
      <c r="L172" s="1">
        <v>56.9485324</v>
      </c>
      <c r="M172" s="1">
        <v>24.1730688</v>
      </c>
    </row>
    <row r="173">
      <c r="A173" s="1" t="s">
        <v>13</v>
      </c>
      <c r="B173" s="1" t="s">
        <v>23</v>
      </c>
      <c r="C173" s="1" t="s">
        <v>213</v>
      </c>
      <c r="D173" s="1">
        <v>2.0</v>
      </c>
      <c r="E173" s="1">
        <v>42.0</v>
      </c>
      <c r="F173" s="1">
        <v>4.0</v>
      </c>
      <c r="G173" s="1">
        <v>6.0</v>
      </c>
      <c r="H173" s="1" t="s">
        <v>44</v>
      </c>
      <c r="I173" s="1" t="s">
        <v>37</v>
      </c>
      <c r="J173" s="1" t="s">
        <v>18</v>
      </c>
      <c r="K173" s="1">
        <v>275.0</v>
      </c>
      <c r="L173" s="1">
        <v>56.97172205</v>
      </c>
      <c r="M173" s="1">
        <v>24.1301309</v>
      </c>
    </row>
    <row r="174">
      <c r="A174" s="1" t="s">
        <v>13</v>
      </c>
      <c r="B174" s="1" t="s">
        <v>23</v>
      </c>
      <c r="C174" s="1" t="s">
        <v>214</v>
      </c>
      <c r="D174" s="1">
        <v>1.0</v>
      </c>
      <c r="E174" s="1">
        <v>40.0</v>
      </c>
      <c r="F174" s="1">
        <v>2.0</v>
      </c>
      <c r="G174" s="1">
        <v>4.0</v>
      </c>
      <c r="H174" s="1" t="s">
        <v>25</v>
      </c>
      <c r="I174" s="1" t="s">
        <v>37</v>
      </c>
      <c r="J174" s="1" t="s">
        <v>18</v>
      </c>
      <c r="K174" s="1">
        <v>240.0</v>
      </c>
      <c r="L174" s="1">
        <v>56.9421434</v>
      </c>
      <c r="M174" s="1">
        <v>24.1326836</v>
      </c>
    </row>
    <row r="175">
      <c r="A175" s="1" t="s">
        <v>22</v>
      </c>
      <c r="B175" s="1" t="s">
        <v>23</v>
      </c>
      <c r="C175" s="1" t="s">
        <v>215</v>
      </c>
      <c r="D175" s="1">
        <v>2.0</v>
      </c>
      <c r="E175" s="1">
        <v>56.0</v>
      </c>
      <c r="F175" s="1">
        <v>1.0</v>
      </c>
      <c r="G175" s="1">
        <v>6.0</v>
      </c>
      <c r="H175" s="1" t="s">
        <v>25</v>
      </c>
      <c r="I175" s="1" t="s">
        <v>37</v>
      </c>
      <c r="J175" s="1" t="s">
        <v>18</v>
      </c>
      <c r="K175" s="1">
        <v>78800.0</v>
      </c>
      <c r="L175" s="1">
        <v>56.95811035</v>
      </c>
      <c r="M175" s="1">
        <v>24.1487611651785</v>
      </c>
    </row>
    <row r="176">
      <c r="A176" s="1" t="s">
        <v>13</v>
      </c>
      <c r="B176" s="1" t="s">
        <v>23</v>
      </c>
      <c r="C176" s="1" t="s">
        <v>216</v>
      </c>
      <c r="D176" s="1">
        <v>1.0</v>
      </c>
      <c r="E176" s="1">
        <v>24.0</v>
      </c>
      <c r="F176" s="1">
        <v>2.0</v>
      </c>
      <c r="G176" s="1">
        <v>5.0</v>
      </c>
      <c r="H176" s="1" t="s">
        <v>66</v>
      </c>
      <c r="I176" s="1" t="s">
        <v>17</v>
      </c>
      <c r="J176" s="1" t="s">
        <v>18</v>
      </c>
      <c r="K176" s="1">
        <v>250.0</v>
      </c>
      <c r="L176" s="1">
        <v>56.9758898</v>
      </c>
      <c r="M176" s="1">
        <v>24.1453913835109</v>
      </c>
    </row>
    <row r="177">
      <c r="A177" s="1" t="s">
        <v>13</v>
      </c>
      <c r="B177" s="1" t="s">
        <v>60</v>
      </c>
      <c r="C177" s="1" t="s">
        <v>217</v>
      </c>
      <c r="D177" s="1">
        <v>1.0</v>
      </c>
      <c r="E177" s="1">
        <v>34.0</v>
      </c>
      <c r="F177" s="1">
        <v>1.0</v>
      </c>
      <c r="G177" s="1">
        <v>9.0</v>
      </c>
      <c r="H177" s="1">
        <v>602.0</v>
      </c>
      <c r="I177" s="1" t="s">
        <v>21</v>
      </c>
      <c r="J177" s="1" t="s">
        <v>18</v>
      </c>
      <c r="K177" s="1">
        <v>190.0</v>
      </c>
      <c r="L177" s="1">
        <v>57.0333528</v>
      </c>
      <c r="M177" s="1">
        <v>24.0553772495031</v>
      </c>
    </row>
    <row r="178">
      <c r="A178" s="1" t="s">
        <v>22</v>
      </c>
      <c r="B178" s="1" t="s">
        <v>218</v>
      </c>
      <c r="C178" s="1" t="s">
        <v>219</v>
      </c>
      <c r="D178" s="1">
        <v>3.0</v>
      </c>
      <c r="E178" s="1">
        <v>138.0</v>
      </c>
      <c r="F178" s="1">
        <v>3.0</v>
      </c>
      <c r="G178" s="1">
        <v>6.0</v>
      </c>
      <c r="H178" s="1" t="s">
        <v>32</v>
      </c>
      <c r="I178" s="1" t="s">
        <v>33</v>
      </c>
      <c r="J178" s="1" t="s">
        <v>18</v>
      </c>
      <c r="K178" s="1">
        <v>275000.0</v>
      </c>
      <c r="L178" s="1">
        <v>56.9453381999999</v>
      </c>
      <c r="M178" s="1">
        <v>24.1094639533088</v>
      </c>
    </row>
    <row r="179">
      <c r="A179" s="1" t="s">
        <v>13</v>
      </c>
      <c r="B179" s="1" t="s">
        <v>28</v>
      </c>
      <c r="C179" s="1" t="s">
        <v>220</v>
      </c>
      <c r="D179" s="1">
        <v>1.0</v>
      </c>
      <c r="E179" s="1">
        <v>38.0</v>
      </c>
      <c r="F179" s="1">
        <v>8.0</v>
      </c>
      <c r="G179" s="1">
        <v>12.0</v>
      </c>
      <c r="H179" s="1" t="s">
        <v>221</v>
      </c>
      <c r="I179" s="1" t="s">
        <v>37</v>
      </c>
      <c r="J179" s="1" t="s">
        <v>18</v>
      </c>
      <c r="K179" s="1">
        <v>200.0</v>
      </c>
      <c r="L179" s="1">
        <v>56.8597884</v>
      </c>
      <c r="M179" s="1">
        <v>24.3083417</v>
      </c>
    </row>
    <row r="180">
      <c r="A180" s="1" t="s">
        <v>22</v>
      </c>
      <c r="B180" s="1" t="s">
        <v>52</v>
      </c>
      <c r="C180" s="1" t="s">
        <v>222</v>
      </c>
      <c r="D180" s="1">
        <v>1.0</v>
      </c>
      <c r="E180" s="1">
        <v>56.0</v>
      </c>
      <c r="F180" s="1">
        <v>1.0</v>
      </c>
      <c r="G180" s="1">
        <v>4.0</v>
      </c>
      <c r="H180" s="1" t="s">
        <v>32</v>
      </c>
      <c r="I180" s="1" t="s">
        <v>17</v>
      </c>
      <c r="J180" s="1" t="s">
        <v>18</v>
      </c>
      <c r="K180" s="1">
        <v>78000.0</v>
      </c>
      <c r="L180" s="1">
        <v>56.9425813</v>
      </c>
      <c r="M180" s="1">
        <v>24.0156589752924</v>
      </c>
    </row>
    <row r="181">
      <c r="A181" s="1" t="s">
        <v>13</v>
      </c>
      <c r="B181" s="1" t="s">
        <v>23</v>
      </c>
      <c r="C181" s="1" t="s">
        <v>223</v>
      </c>
      <c r="D181" s="1">
        <v>3.0</v>
      </c>
      <c r="E181" s="1">
        <v>98.0</v>
      </c>
      <c r="F181" s="1">
        <v>4.0</v>
      </c>
      <c r="G181" s="1">
        <v>6.0</v>
      </c>
      <c r="H181" s="1" t="s">
        <v>32</v>
      </c>
      <c r="I181" s="1" t="s">
        <v>37</v>
      </c>
      <c r="J181" s="1" t="s">
        <v>18</v>
      </c>
      <c r="K181" s="1">
        <v>1100.0</v>
      </c>
      <c r="L181" s="1">
        <v>56.9481417</v>
      </c>
      <c r="M181" s="1">
        <v>24.1115806</v>
      </c>
    </row>
    <row r="182">
      <c r="A182" s="1" t="s">
        <v>13</v>
      </c>
      <c r="B182" s="1" t="s">
        <v>218</v>
      </c>
      <c r="C182" s="1" t="s">
        <v>223</v>
      </c>
      <c r="D182" s="1">
        <v>3.0</v>
      </c>
      <c r="E182" s="1">
        <v>98.0</v>
      </c>
      <c r="F182" s="1">
        <v>4.0</v>
      </c>
      <c r="G182" s="1">
        <v>6.0</v>
      </c>
      <c r="H182" s="1" t="s">
        <v>32</v>
      </c>
      <c r="I182" s="1" t="s">
        <v>37</v>
      </c>
      <c r="J182" s="1" t="s">
        <v>18</v>
      </c>
      <c r="K182" s="1">
        <v>1100.0</v>
      </c>
      <c r="L182" s="1">
        <v>56.9481417</v>
      </c>
      <c r="M182" s="1">
        <v>24.1115806</v>
      </c>
    </row>
    <row r="183">
      <c r="A183" s="1" t="s">
        <v>13</v>
      </c>
      <c r="B183" s="1" t="s">
        <v>104</v>
      </c>
      <c r="C183" s="1" t="s">
        <v>224</v>
      </c>
      <c r="D183" s="1">
        <v>2.0</v>
      </c>
      <c r="E183" s="1">
        <v>40.0</v>
      </c>
      <c r="F183" s="1">
        <v>1.0</v>
      </c>
      <c r="G183" s="1">
        <v>5.0</v>
      </c>
      <c r="H183" s="1" t="s">
        <v>181</v>
      </c>
      <c r="I183" s="1" t="s">
        <v>37</v>
      </c>
      <c r="J183" s="1" t="s">
        <v>18</v>
      </c>
      <c r="K183" s="1">
        <v>390.0</v>
      </c>
      <c r="L183" s="1">
        <v>56.94349035</v>
      </c>
      <c r="M183" s="1">
        <v>24.0904439555017</v>
      </c>
    </row>
    <row r="184">
      <c r="A184" s="1" t="s">
        <v>13</v>
      </c>
      <c r="B184" s="1" t="s">
        <v>23</v>
      </c>
      <c r="C184" s="1" t="s">
        <v>225</v>
      </c>
      <c r="D184" s="1">
        <v>1.0</v>
      </c>
      <c r="E184" s="1">
        <v>30.0</v>
      </c>
      <c r="F184" s="1">
        <v>1.0</v>
      </c>
      <c r="G184" s="1">
        <v>3.0</v>
      </c>
      <c r="H184" s="1" t="s">
        <v>181</v>
      </c>
      <c r="I184" s="1" t="s">
        <v>37</v>
      </c>
      <c r="J184" s="1" t="s">
        <v>18</v>
      </c>
      <c r="K184" s="1">
        <v>270.0</v>
      </c>
      <c r="L184" s="1">
        <v>56.97501495</v>
      </c>
      <c r="M184" s="1">
        <v>24.1066446092479</v>
      </c>
    </row>
    <row r="185">
      <c r="A185" s="1" t="s">
        <v>13</v>
      </c>
      <c r="B185" s="1" t="s">
        <v>38</v>
      </c>
      <c r="C185" s="1" t="s">
        <v>226</v>
      </c>
      <c r="D185" s="1">
        <v>1.0</v>
      </c>
      <c r="E185" s="1">
        <v>28.0</v>
      </c>
      <c r="F185" s="1">
        <v>1.0</v>
      </c>
      <c r="G185" s="1">
        <v>4.0</v>
      </c>
      <c r="H185" s="1">
        <v>602.0</v>
      </c>
      <c r="I185" s="1" t="s">
        <v>17</v>
      </c>
      <c r="J185" s="1" t="s">
        <v>18</v>
      </c>
      <c r="K185" s="1">
        <v>220.0</v>
      </c>
      <c r="L185" s="1" t="s">
        <v>40</v>
      </c>
      <c r="M185" s="1" t="s">
        <v>40</v>
      </c>
    </row>
    <row r="186">
      <c r="A186" s="1" t="s">
        <v>22</v>
      </c>
      <c r="B186" s="1" t="s">
        <v>134</v>
      </c>
      <c r="C186" s="1" t="s">
        <v>227</v>
      </c>
      <c r="D186" s="1">
        <v>2.0</v>
      </c>
      <c r="E186" s="1">
        <v>54.0</v>
      </c>
      <c r="F186" s="1">
        <v>3.0</v>
      </c>
      <c r="G186" s="1">
        <v>5.0</v>
      </c>
      <c r="H186" s="1">
        <v>103.0</v>
      </c>
      <c r="I186" s="1" t="s">
        <v>17</v>
      </c>
      <c r="J186" s="1" t="s">
        <v>18</v>
      </c>
      <c r="K186" s="1">
        <v>34000.0</v>
      </c>
      <c r="L186" s="1">
        <v>57.038959</v>
      </c>
      <c r="M186" s="1">
        <v>24.0220548389577</v>
      </c>
    </row>
    <row r="187">
      <c r="A187" s="1" t="s">
        <v>22</v>
      </c>
      <c r="B187" s="1" t="s">
        <v>228</v>
      </c>
      <c r="C187" s="1" t="s">
        <v>229</v>
      </c>
      <c r="D187" s="1">
        <v>2.0</v>
      </c>
      <c r="E187" s="1">
        <v>47.0</v>
      </c>
      <c r="F187" s="1">
        <v>2.0</v>
      </c>
      <c r="G187" s="1">
        <v>2.0</v>
      </c>
      <c r="H187" s="1" t="s">
        <v>66</v>
      </c>
      <c r="I187" s="1" t="s">
        <v>26</v>
      </c>
      <c r="J187" s="1" t="s">
        <v>18</v>
      </c>
      <c r="K187" s="1">
        <v>75000.0</v>
      </c>
      <c r="L187" s="1">
        <v>56.9214827</v>
      </c>
      <c r="M187" s="1">
        <v>24.0696882</v>
      </c>
    </row>
    <row r="188">
      <c r="A188" s="1" t="s">
        <v>13</v>
      </c>
      <c r="B188" s="1" t="s">
        <v>23</v>
      </c>
      <c r="C188" s="1" t="s">
        <v>230</v>
      </c>
      <c r="D188" s="1">
        <v>2.0</v>
      </c>
      <c r="E188" s="1">
        <v>32.0</v>
      </c>
      <c r="F188" s="1">
        <v>1.0</v>
      </c>
      <c r="G188" s="1">
        <v>3.0</v>
      </c>
      <c r="H188" s="1" t="s">
        <v>32</v>
      </c>
      <c r="I188" s="1" t="s">
        <v>37</v>
      </c>
      <c r="J188" s="1" t="s">
        <v>18</v>
      </c>
      <c r="K188" s="1">
        <v>27.0</v>
      </c>
      <c r="L188" s="1">
        <v>56.9731957</v>
      </c>
      <c r="M188" s="1">
        <v>24.1490465</v>
      </c>
    </row>
    <row r="189">
      <c r="A189" s="1" t="s">
        <v>13</v>
      </c>
      <c r="B189" s="1" t="s">
        <v>23</v>
      </c>
      <c r="C189" s="1" t="s">
        <v>231</v>
      </c>
      <c r="D189" s="1">
        <v>2.0</v>
      </c>
      <c r="E189" s="1">
        <v>43.0</v>
      </c>
      <c r="F189" s="1">
        <v>4.0</v>
      </c>
      <c r="G189" s="1">
        <v>9.0</v>
      </c>
      <c r="H189" s="1" t="s">
        <v>32</v>
      </c>
      <c r="I189" s="1" t="s">
        <v>122</v>
      </c>
      <c r="J189" s="1" t="s">
        <v>18</v>
      </c>
      <c r="K189" s="1">
        <v>50.0</v>
      </c>
      <c r="L189" s="1">
        <v>56.9628209</v>
      </c>
      <c r="M189" s="1">
        <v>24.1203782</v>
      </c>
    </row>
    <row r="190">
      <c r="A190" s="1" t="s">
        <v>13</v>
      </c>
      <c r="B190" s="1" t="s">
        <v>23</v>
      </c>
      <c r="C190" s="1" t="s">
        <v>232</v>
      </c>
      <c r="D190" s="1">
        <v>1.0</v>
      </c>
      <c r="E190" s="1">
        <v>49.0</v>
      </c>
      <c r="F190" s="1">
        <v>3.0</v>
      </c>
      <c r="G190" s="1">
        <v>3.0</v>
      </c>
      <c r="H190" s="1" t="s">
        <v>32</v>
      </c>
      <c r="I190" s="1" t="s">
        <v>33</v>
      </c>
      <c r="J190" s="1" t="s">
        <v>18</v>
      </c>
      <c r="K190" s="1">
        <v>550.0</v>
      </c>
      <c r="L190" s="1">
        <v>56.9524426</v>
      </c>
      <c r="M190" s="1">
        <v>24.1387559142138</v>
      </c>
    </row>
    <row r="191">
      <c r="A191" s="1" t="s">
        <v>13</v>
      </c>
      <c r="B191" s="1" t="s">
        <v>174</v>
      </c>
      <c r="C191" s="1" t="s">
        <v>233</v>
      </c>
      <c r="D191" s="1">
        <v>1.0</v>
      </c>
      <c r="E191" s="1">
        <v>35.0</v>
      </c>
      <c r="F191" s="1">
        <v>2.0</v>
      </c>
      <c r="G191" s="1">
        <v>5.0</v>
      </c>
      <c r="H191" s="1">
        <v>103.0</v>
      </c>
      <c r="I191" s="1" t="s">
        <v>37</v>
      </c>
      <c r="J191" s="1" t="s">
        <v>18</v>
      </c>
      <c r="K191" s="1">
        <v>250.0</v>
      </c>
      <c r="L191" s="1">
        <v>56.9505884</v>
      </c>
      <c r="M191" s="1">
        <v>24.1734239</v>
      </c>
    </row>
    <row r="192">
      <c r="A192" s="1" t="s">
        <v>13</v>
      </c>
      <c r="B192" s="1" t="s">
        <v>14</v>
      </c>
      <c r="C192" s="1" t="s">
        <v>233</v>
      </c>
      <c r="D192" s="1">
        <v>1.0</v>
      </c>
      <c r="E192" s="1">
        <v>35.0</v>
      </c>
      <c r="F192" s="1">
        <v>2.0</v>
      </c>
      <c r="G192" s="1">
        <v>5.0</v>
      </c>
      <c r="H192" s="1">
        <v>103.0</v>
      </c>
      <c r="I192" s="1" t="s">
        <v>37</v>
      </c>
      <c r="J192" s="1" t="s">
        <v>18</v>
      </c>
      <c r="K192" s="1">
        <v>250.0</v>
      </c>
      <c r="L192" s="1">
        <v>56.9505884</v>
      </c>
      <c r="M192" s="1">
        <v>24.1734239</v>
      </c>
    </row>
    <row r="193">
      <c r="A193" s="1" t="s">
        <v>22</v>
      </c>
      <c r="B193" s="1" t="s">
        <v>14</v>
      </c>
      <c r="C193" s="1" t="s">
        <v>234</v>
      </c>
      <c r="D193" s="1">
        <v>2.0</v>
      </c>
      <c r="E193" s="1">
        <v>50.0</v>
      </c>
      <c r="F193" s="1">
        <v>4.0</v>
      </c>
      <c r="G193" s="1">
        <v>9.0</v>
      </c>
      <c r="H193" s="1">
        <v>602.0</v>
      </c>
      <c r="I193" s="1" t="s">
        <v>21</v>
      </c>
      <c r="J193" s="1" t="s">
        <v>18</v>
      </c>
      <c r="K193" s="1">
        <v>59500.0</v>
      </c>
      <c r="L193" s="1">
        <v>56.95855255</v>
      </c>
      <c r="M193" s="1">
        <v>24.1753163275791</v>
      </c>
    </row>
    <row r="194">
      <c r="A194" s="1" t="s">
        <v>13</v>
      </c>
      <c r="B194" s="1" t="s">
        <v>23</v>
      </c>
      <c r="C194" s="1" t="s">
        <v>235</v>
      </c>
      <c r="D194" s="1">
        <v>3.0</v>
      </c>
      <c r="E194" s="1">
        <v>60.0</v>
      </c>
      <c r="F194" s="1">
        <v>3.0</v>
      </c>
      <c r="G194" s="1">
        <v>5.0</v>
      </c>
      <c r="H194" s="1" t="s">
        <v>66</v>
      </c>
      <c r="I194" s="1" t="s">
        <v>33</v>
      </c>
      <c r="J194" s="1" t="s">
        <v>18</v>
      </c>
      <c r="K194" s="1">
        <v>700.0</v>
      </c>
      <c r="L194" s="1">
        <v>56.9612002</v>
      </c>
      <c r="M194" s="1">
        <v>24.1075394109907</v>
      </c>
    </row>
    <row r="195">
      <c r="A195" s="1" t="s">
        <v>131</v>
      </c>
      <c r="B195" s="1" t="s">
        <v>23</v>
      </c>
      <c r="C195" s="1" t="s">
        <v>236</v>
      </c>
      <c r="D195" s="1">
        <v>2.0</v>
      </c>
      <c r="E195" s="1">
        <v>50.0</v>
      </c>
      <c r="F195" s="1">
        <v>1.0</v>
      </c>
      <c r="G195" s="1">
        <v>5.0</v>
      </c>
      <c r="H195" s="1" t="s">
        <v>25</v>
      </c>
      <c r="I195" s="1" t="s">
        <v>17</v>
      </c>
      <c r="J195" s="1" t="s">
        <v>18</v>
      </c>
      <c r="K195" s="1">
        <v>500.0</v>
      </c>
      <c r="L195" s="1" t="s">
        <v>40</v>
      </c>
      <c r="M195" s="1" t="s">
        <v>40</v>
      </c>
    </row>
    <row r="196">
      <c r="A196" s="1" t="s">
        <v>131</v>
      </c>
      <c r="B196" s="1" t="s">
        <v>218</v>
      </c>
      <c r="C196" s="2"/>
      <c r="D196" s="1">
        <v>2.0</v>
      </c>
      <c r="E196" s="1">
        <v>50.0</v>
      </c>
      <c r="F196" s="1">
        <v>1.0</v>
      </c>
      <c r="G196" s="1">
        <v>3.0</v>
      </c>
      <c r="H196" s="1" t="s">
        <v>25</v>
      </c>
      <c r="I196" s="1" t="s">
        <v>17</v>
      </c>
      <c r="J196" s="1" t="s">
        <v>18</v>
      </c>
      <c r="K196" s="2"/>
      <c r="L196" s="1">
        <v>46.3144754</v>
      </c>
      <c r="M196" s="1">
        <v>11.0480288</v>
      </c>
    </row>
    <row r="197">
      <c r="A197" s="1" t="s">
        <v>22</v>
      </c>
      <c r="B197" s="1" t="s">
        <v>109</v>
      </c>
      <c r="C197" s="1" t="s">
        <v>237</v>
      </c>
      <c r="D197" s="1">
        <v>3.0</v>
      </c>
      <c r="E197" s="1">
        <v>60.0</v>
      </c>
      <c r="F197" s="1">
        <v>3.0</v>
      </c>
      <c r="G197" s="1">
        <v>9.0</v>
      </c>
      <c r="H197" s="1">
        <v>467.0</v>
      </c>
      <c r="I197" s="1" t="s">
        <v>21</v>
      </c>
      <c r="J197" s="1" t="s">
        <v>18</v>
      </c>
      <c r="K197" s="1">
        <v>65000.0</v>
      </c>
      <c r="L197" s="1" t="s">
        <v>40</v>
      </c>
      <c r="M197" s="1" t="s">
        <v>40</v>
      </c>
    </row>
    <row r="198">
      <c r="A198" s="1" t="s">
        <v>89</v>
      </c>
      <c r="B198" s="1" t="s">
        <v>76</v>
      </c>
      <c r="C198" s="1" t="s">
        <v>238</v>
      </c>
      <c r="D198" s="1">
        <v>1.0</v>
      </c>
      <c r="E198" s="2"/>
      <c r="F198" s="2"/>
      <c r="G198" s="2"/>
      <c r="H198" s="1">
        <v>103.0</v>
      </c>
      <c r="I198" s="1" t="s">
        <v>37</v>
      </c>
      <c r="J198" s="2"/>
      <c r="K198" s="2"/>
      <c r="L198" s="1">
        <v>56.95557155</v>
      </c>
      <c r="M198" s="1">
        <v>24.053909376142</v>
      </c>
    </row>
    <row r="199">
      <c r="A199" s="1" t="s">
        <v>13</v>
      </c>
      <c r="B199" s="1" t="s">
        <v>23</v>
      </c>
      <c r="C199" s="1" t="s">
        <v>239</v>
      </c>
      <c r="D199" s="1">
        <v>3.0</v>
      </c>
      <c r="E199" s="1">
        <v>93.0</v>
      </c>
      <c r="F199" s="1">
        <v>5.0</v>
      </c>
      <c r="G199" s="1">
        <v>5.0</v>
      </c>
      <c r="H199" s="1" t="s">
        <v>25</v>
      </c>
      <c r="I199" s="1" t="s">
        <v>33</v>
      </c>
      <c r="J199" s="1" t="s">
        <v>18</v>
      </c>
      <c r="K199" s="1">
        <v>465.0</v>
      </c>
      <c r="L199" s="1">
        <v>56.952144</v>
      </c>
      <c r="M199" s="1">
        <v>24.1234383</v>
      </c>
    </row>
    <row r="200">
      <c r="A200" s="1" t="s">
        <v>13</v>
      </c>
      <c r="B200" s="1" t="s">
        <v>23</v>
      </c>
      <c r="C200" s="1" t="s">
        <v>240</v>
      </c>
      <c r="D200" s="1">
        <v>3.0</v>
      </c>
      <c r="E200" s="1">
        <v>85.0</v>
      </c>
      <c r="F200" s="1">
        <v>3.0</v>
      </c>
      <c r="G200" s="1">
        <v>5.0</v>
      </c>
      <c r="H200" s="1" t="s">
        <v>25</v>
      </c>
      <c r="I200" s="1" t="s">
        <v>37</v>
      </c>
      <c r="J200" s="1" t="s">
        <v>18</v>
      </c>
      <c r="K200" s="1">
        <v>600.0</v>
      </c>
      <c r="L200" s="1">
        <v>56.9505257</v>
      </c>
      <c r="M200" s="1">
        <v>24.1319905</v>
      </c>
    </row>
    <row r="201">
      <c r="A201" s="1" t="s">
        <v>13</v>
      </c>
      <c r="B201" s="1" t="s">
        <v>42</v>
      </c>
      <c r="C201" s="1" t="s">
        <v>241</v>
      </c>
      <c r="D201" s="1">
        <v>2.0</v>
      </c>
      <c r="E201" s="1">
        <v>40.0</v>
      </c>
      <c r="F201" s="1">
        <v>1.0</v>
      </c>
      <c r="G201" s="1">
        <v>5.0</v>
      </c>
      <c r="H201" s="1" t="s">
        <v>44</v>
      </c>
      <c r="I201" s="1" t="s">
        <v>37</v>
      </c>
      <c r="J201" s="1" t="s">
        <v>18</v>
      </c>
      <c r="K201" s="1">
        <v>280.0</v>
      </c>
      <c r="L201" s="1">
        <v>56.98777415</v>
      </c>
      <c r="M201" s="1">
        <v>24.21901805</v>
      </c>
    </row>
    <row r="202">
      <c r="A202" s="1" t="s">
        <v>22</v>
      </c>
      <c r="B202" s="1" t="s">
        <v>23</v>
      </c>
      <c r="C202" s="1" t="s">
        <v>242</v>
      </c>
      <c r="D202" s="1">
        <v>3.0</v>
      </c>
      <c r="E202" s="1">
        <v>70.0</v>
      </c>
      <c r="F202" s="1">
        <v>3.0</v>
      </c>
      <c r="G202" s="1">
        <v>7.0</v>
      </c>
      <c r="H202" s="1" t="s">
        <v>66</v>
      </c>
      <c r="I202" s="1" t="s">
        <v>33</v>
      </c>
      <c r="J202" s="1" t="s">
        <v>18</v>
      </c>
      <c r="K202" s="1">
        <v>155000.0</v>
      </c>
      <c r="L202" s="1">
        <v>56.9491897</v>
      </c>
      <c r="M202" s="1">
        <v>24.1285</v>
      </c>
    </row>
    <row r="203">
      <c r="A203" s="1" t="s">
        <v>22</v>
      </c>
      <c r="B203" s="1" t="s">
        <v>23</v>
      </c>
      <c r="C203" s="1" t="s">
        <v>243</v>
      </c>
      <c r="D203" s="1">
        <v>1.0</v>
      </c>
      <c r="E203" s="1">
        <v>30.0</v>
      </c>
      <c r="F203" s="1">
        <v>3.0</v>
      </c>
      <c r="G203" s="1">
        <v>6.0</v>
      </c>
      <c r="H203" s="1" t="s">
        <v>25</v>
      </c>
      <c r="I203" s="1" t="s">
        <v>37</v>
      </c>
      <c r="J203" s="1" t="s">
        <v>18</v>
      </c>
      <c r="K203" s="1">
        <v>58000.0</v>
      </c>
      <c r="L203" s="1">
        <v>56.9620223999999</v>
      </c>
      <c r="M203" s="1">
        <v>24.1521939477261</v>
      </c>
    </row>
    <row r="204">
      <c r="A204" s="1" t="s">
        <v>13</v>
      </c>
      <c r="B204" s="1" t="s">
        <v>23</v>
      </c>
      <c r="C204" s="1" t="s">
        <v>244</v>
      </c>
      <c r="D204" s="1">
        <v>2.0</v>
      </c>
      <c r="E204" s="1">
        <v>55.0</v>
      </c>
      <c r="F204" s="1">
        <v>5.0</v>
      </c>
      <c r="G204" s="1">
        <v>9.0</v>
      </c>
      <c r="H204" s="1" t="s">
        <v>32</v>
      </c>
      <c r="I204" s="1" t="s">
        <v>21</v>
      </c>
      <c r="J204" s="1" t="s">
        <v>18</v>
      </c>
      <c r="K204" s="1">
        <v>500.0</v>
      </c>
      <c r="L204" s="1">
        <v>56.9665863</v>
      </c>
      <c r="M204" s="1">
        <v>24.1282258</v>
      </c>
    </row>
    <row r="205">
      <c r="A205" s="1" t="s">
        <v>131</v>
      </c>
      <c r="B205" s="1" t="s">
        <v>19</v>
      </c>
      <c r="C205" s="2"/>
      <c r="D205" s="1">
        <v>3.0</v>
      </c>
      <c r="E205" s="2"/>
      <c r="F205" s="1">
        <v>1.0</v>
      </c>
      <c r="G205" s="1">
        <v>3.0</v>
      </c>
      <c r="H205" s="2"/>
      <c r="I205" s="2"/>
      <c r="J205" s="1" t="s">
        <v>18</v>
      </c>
      <c r="K205" s="2"/>
      <c r="L205" s="1">
        <v>46.3144754</v>
      </c>
      <c r="M205" s="1">
        <v>11.0480288</v>
      </c>
    </row>
    <row r="206">
      <c r="A206" s="1" t="s">
        <v>13</v>
      </c>
      <c r="B206" s="1" t="s">
        <v>42</v>
      </c>
      <c r="C206" s="1" t="s">
        <v>245</v>
      </c>
      <c r="D206" s="1">
        <v>2.0</v>
      </c>
      <c r="E206" s="1">
        <v>46.0</v>
      </c>
      <c r="F206" s="1">
        <v>2.0</v>
      </c>
      <c r="G206" s="1">
        <v>5.0</v>
      </c>
      <c r="H206" s="1" t="s">
        <v>44</v>
      </c>
      <c r="I206" s="1" t="s">
        <v>37</v>
      </c>
      <c r="J206" s="1" t="s">
        <v>18</v>
      </c>
      <c r="K206" s="1">
        <v>340.0</v>
      </c>
      <c r="L206" s="1">
        <v>56.9730973</v>
      </c>
      <c r="M206" s="1">
        <v>24.1660728</v>
      </c>
    </row>
    <row r="207">
      <c r="A207" s="1" t="s">
        <v>22</v>
      </c>
      <c r="B207" s="1" t="s">
        <v>158</v>
      </c>
      <c r="C207" s="1" t="s">
        <v>246</v>
      </c>
      <c r="D207" s="1">
        <v>2.0</v>
      </c>
      <c r="E207" s="1">
        <v>51.0</v>
      </c>
      <c r="F207" s="1">
        <v>1.0</v>
      </c>
      <c r="G207" s="1">
        <v>2.0</v>
      </c>
      <c r="H207" s="1" t="s">
        <v>32</v>
      </c>
      <c r="I207" s="1" t="s">
        <v>33</v>
      </c>
      <c r="J207" s="1" t="s">
        <v>18</v>
      </c>
      <c r="K207" s="1">
        <v>75900.0</v>
      </c>
      <c r="L207" s="1">
        <v>56.9997624</v>
      </c>
      <c r="M207" s="1">
        <v>24.2761911</v>
      </c>
    </row>
    <row r="208">
      <c r="A208" s="1" t="s">
        <v>22</v>
      </c>
      <c r="B208" s="1" t="s">
        <v>76</v>
      </c>
      <c r="C208" s="1" t="s">
        <v>247</v>
      </c>
      <c r="D208" s="1">
        <v>3.0</v>
      </c>
      <c r="E208" s="1">
        <v>65.0</v>
      </c>
      <c r="F208" s="1">
        <v>5.0</v>
      </c>
      <c r="G208" s="1">
        <v>5.0</v>
      </c>
      <c r="H208" s="1" t="s">
        <v>32</v>
      </c>
      <c r="I208" s="1" t="s">
        <v>33</v>
      </c>
      <c r="J208" s="1" t="s">
        <v>18</v>
      </c>
      <c r="K208" s="1">
        <v>94000.0</v>
      </c>
      <c r="L208" s="1">
        <v>56.95924805</v>
      </c>
      <c r="M208" s="1">
        <v>24.055202274196</v>
      </c>
    </row>
    <row r="209">
      <c r="A209" s="1" t="s">
        <v>22</v>
      </c>
      <c r="B209" s="1" t="s">
        <v>76</v>
      </c>
      <c r="C209" s="1" t="s">
        <v>247</v>
      </c>
      <c r="D209" s="1">
        <v>3.0</v>
      </c>
      <c r="E209" s="1">
        <v>62.0</v>
      </c>
      <c r="F209" s="1">
        <v>5.0</v>
      </c>
      <c r="G209" s="1">
        <v>5.0</v>
      </c>
      <c r="H209" s="1" t="s">
        <v>32</v>
      </c>
      <c r="I209" s="1" t="s">
        <v>33</v>
      </c>
      <c r="J209" s="1" t="s">
        <v>18</v>
      </c>
      <c r="K209" s="1">
        <v>93150.0</v>
      </c>
      <c r="L209" s="1">
        <v>56.95924805</v>
      </c>
      <c r="M209" s="1">
        <v>24.055202274196</v>
      </c>
    </row>
    <row r="210">
      <c r="A210" s="1" t="s">
        <v>22</v>
      </c>
      <c r="B210" s="1" t="s">
        <v>76</v>
      </c>
      <c r="C210" s="1" t="s">
        <v>247</v>
      </c>
      <c r="D210" s="1">
        <v>3.0</v>
      </c>
      <c r="E210" s="1">
        <v>85.0</v>
      </c>
      <c r="F210" s="1">
        <v>5.0</v>
      </c>
      <c r="G210" s="1">
        <v>5.0</v>
      </c>
      <c r="H210" s="1" t="s">
        <v>32</v>
      </c>
      <c r="I210" s="1" t="s">
        <v>33</v>
      </c>
      <c r="J210" s="1" t="s">
        <v>18</v>
      </c>
      <c r="K210" s="1">
        <v>117000.0</v>
      </c>
      <c r="L210" s="1">
        <v>56.95924805</v>
      </c>
      <c r="M210" s="1">
        <v>24.055202274196</v>
      </c>
    </row>
    <row r="211">
      <c r="A211" s="1" t="s">
        <v>22</v>
      </c>
      <c r="B211" s="1" t="s">
        <v>76</v>
      </c>
      <c r="C211" s="1" t="s">
        <v>247</v>
      </c>
      <c r="D211" s="1">
        <v>2.0</v>
      </c>
      <c r="E211" s="1">
        <v>58.0</v>
      </c>
      <c r="F211" s="1">
        <v>5.0</v>
      </c>
      <c r="G211" s="1">
        <v>5.0</v>
      </c>
      <c r="H211" s="1" t="s">
        <v>32</v>
      </c>
      <c r="I211" s="1" t="s">
        <v>33</v>
      </c>
      <c r="J211" s="1" t="s">
        <v>18</v>
      </c>
      <c r="K211" s="1">
        <v>87000.0</v>
      </c>
      <c r="L211" s="1">
        <v>56.95924805</v>
      </c>
      <c r="M211" s="1">
        <v>24.055202274196</v>
      </c>
    </row>
    <row r="212">
      <c r="A212" s="1" t="s">
        <v>13</v>
      </c>
      <c r="B212" s="1" t="s">
        <v>19</v>
      </c>
      <c r="C212" s="1" t="s">
        <v>120</v>
      </c>
      <c r="D212" s="1">
        <v>2.0</v>
      </c>
      <c r="E212" s="1">
        <v>58.0</v>
      </c>
      <c r="F212" s="1">
        <v>8.0</v>
      </c>
      <c r="G212" s="1">
        <v>9.0</v>
      </c>
      <c r="H212" s="1">
        <v>119.0</v>
      </c>
      <c r="I212" s="1" t="s">
        <v>21</v>
      </c>
      <c r="J212" s="1" t="s">
        <v>18</v>
      </c>
      <c r="K212" s="1">
        <v>265.0</v>
      </c>
      <c r="L212" s="1">
        <v>56.89859735</v>
      </c>
      <c r="M212" s="1">
        <v>24.0876707999998</v>
      </c>
    </row>
    <row r="213">
      <c r="A213" s="1" t="s">
        <v>22</v>
      </c>
      <c r="B213" s="1" t="s">
        <v>23</v>
      </c>
      <c r="C213" s="1" t="s">
        <v>225</v>
      </c>
      <c r="D213" s="1">
        <v>1.0</v>
      </c>
      <c r="E213" s="1">
        <v>24.0</v>
      </c>
      <c r="F213" s="1">
        <v>3.0</v>
      </c>
      <c r="G213" s="1">
        <v>3.0</v>
      </c>
      <c r="H213" s="1" t="s">
        <v>181</v>
      </c>
      <c r="I213" s="1" t="s">
        <v>37</v>
      </c>
      <c r="J213" s="1" t="s">
        <v>18</v>
      </c>
      <c r="K213" s="1">
        <v>22500.0</v>
      </c>
      <c r="L213" s="1">
        <v>56.97501495</v>
      </c>
      <c r="M213" s="1">
        <v>24.1066446092479</v>
      </c>
    </row>
    <row r="214">
      <c r="A214" s="1" t="s">
        <v>13</v>
      </c>
      <c r="B214" s="1" t="s">
        <v>19</v>
      </c>
      <c r="C214" s="1" t="s">
        <v>248</v>
      </c>
      <c r="D214" s="1">
        <v>4.0</v>
      </c>
      <c r="E214" s="1">
        <v>223.0</v>
      </c>
      <c r="F214" s="1">
        <v>2.0</v>
      </c>
      <c r="G214" s="1">
        <v>2.0</v>
      </c>
      <c r="H214" s="1" t="s">
        <v>171</v>
      </c>
      <c r="I214" s="1" t="s">
        <v>17</v>
      </c>
      <c r="J214" s="1" t="s">
        <v>18</v>
      </c>
      <c r="K214" s="1">
        <v>1000.0</v>
      </c>
      <c r="L214" s="1">
        <v>56.9088093</v>
      </c>
      <c r="M214" s="1">
        <v>24.0913836</v>
      </c>
    </row>
    <row r="215">
      <c r="A215" s="1" t="s">
        <v>22</v>
      </c>
      <c r="B215" s="1" t="s">
        <v>23</v>
      </c>
      <c r="C215" s="1" t="s">
        <v>249</v>
      </c>
      <c r="D215" s="1">
        <v>3.0</v>
      </c>
      <c r="E215" s="1">
        <v>52.0</v>
      </c>
      <c r="F215" s="1">
        <v>6.0</v>
      </c>
      <c r="G215" s="1">
        <v>9.0</v>
      </c>
      <c r="H215" s="1" t="s">
        <v>32</v>
      </c>
      <c r="I215" s="1" t="s">
        <v>122</v>
      </c>
      <c r="J215" s="1" t="s">
        <v>18</v>
      </c>
      <c r="K215" s="1">
        <v>79800.0</v>
      </c>
      <c r="L215" s="1">
        <v>56.9726557</v>
      </c>
      <c r="M215" s="1">
        <v>24.1493117212851</v>
      </c>
    </row>
    <row r="216">
      <c r="A216" s="1" t="s">
        <v>13</v>
      </c>
      <c r="B216" s="1" t="s">
        <v>23</v>
      </c>
      <c r="C216" s="1" t="s">
        <v>250</v>
      </c>
      <c r="D216" s="1">
        <v>1.0</v>
      </c>
      <c r="E216" s="1">
        <v>31.0</v>
      </c>
      <c r="F216" s="1">
        <v>2.0</v>
      </c>
      <c r="G216" s="1">
        <v>2.0</v>
      </c>
      <c r="H216" s="1" t="s">
        <v>25</v>
      </c>
      <c r="I216" s="1" t="s">
        <v>26</v>
      </c>
      <c r="J216" s="1" t="s">
        <v>18</v>
      </c>
      <c r="K216" s="1">
        <v>220.0</v>
      </c>
      <c r="L216" s="1">
        <v>56.9496929999999</v>
      </c>
      <c r="M216" s="1">
        <v>24.1332233674463</v>
      </c>
    </row>
    <row r="217">
      <c r="A217" s="1" t="s">
        <v>13</v>
      </c>
      <c r="B217" s="1" t="s">
        <v>117</v>
      </c>
      <c r="C217" s="1" t="s">
        <v>251</v>
      </c>
      <c r="D217" s="1">
        <v>1.0</v>
      </c>
      <c r="E217" s="1">
        <v>23.0</v>
      </c>
      <c r="F217" s="1">
        <v>1.0</v>
      </c>
      <c r="G217" s="1">
        <v>2.0</v>
      </c>
      <c r="H217" s="1" t="s">
        <v>25</v>
      </c>
      <c r="I217" s="1" t="s">
        <v>33</v>
      </c>
      <c r="J217" s="1" t="s">
        <v>18</v>
      </c>
      <c r="K217" s="1">
        <v>270.0</v>
      </c>
      <c r="L217" s="1" t="s">
        <v>40</v>
      </c>
      <c r="M217" s="1" t="s">
        <v>40</v>
      </c>
    </row>
    <row r="218">
      <c r="A218" s="1" t="s">
        <v>13</v>
      </c>
      <c r="B218" s="1" t="s">
        <v>23</v>
      </c>
      <c r="C218" s="1" t="s">
        <v>252</v>
      </c>
      <c r="D218" s="1">
        <v>2.0</v>
      </c>
      <c r="E218" s="1">
        <v>83.0</v>
      </c>
      <c r="F218" s="1">
        <v>3.0</v>
      </c>
      <c r="G218" s="1">
        <v>7.0</v>
      </c>
      <c r="H218" s="1" t="s">
        <v>32</v>
      </c>
      <c r="I218" s="1" t="s">
        <v>21</v>
      </c>
      <c r="J218" s="1" t="s">
        <v>18</v>
      </c>
      <c r="K218" s="1">
        <v>950.0</v>
      </c>
      <c r="L218" s="1" t="s">
        <v>40</v>
      </c>
      <c r="M218" s="1" t="s">
        <v>40</v>
      </c>
    </row>
    <row r="219">
      <c r="A219" s="1" t="s">
        <v>22</v>
      </c>
      <c r="B219" s="1" t="s">
        <v>14</v>
      </c>
      <c r="C219" s="1" t="s">
        <v>253</v>
      </c>
      <c r="D219" s="1">
        <v>3.0</v>
      </c>
      <c r="E219" s="1">
        <v>60.0</v>
      </c>
      <c r="F219" s="1">
        <v>5.0</v>
      </c>
      <c r="G219" s="1">
        <v>5.0</v>
      </c>
      <c r="H219" s="1" t="s">
        <v>16</v>
      </c>
      <c r="I219" s="1" t="s">
        <v>21</v>
      </c>
      <c r="J219" s="1" t="s">
        <v>18</v>
      </c>
      <c r="K219" s="1">
        <v>55499.0</v>
      </c>
      <c r="L219" s="1">
        <v>56.96662215</v>
      </c>
      <c r="M219" s="1">
        <v>24.1786685253711</v>
      </c>
    </row>
    <row r="220">
      <c r="A220" s="1" t="s">
        <v>22</v>
      </c>
      <c r="B220" s="1" t="s">
        <v>28</v>
      </c>
      <c r="C220" s="1" t="s">
        <v>254</v>
      </c>
      <c r="D220" s="1">
        <v>3.0</v>
      </c>
      <c r="E220" s="1">
        <v>60.0</v>
      </c>
      <c r="F220" s="1">
        <v>2.0</v>
      </c>
      <c r="G220" s="1">
        <v>5.0</v>
      </c>
      <c r="H220" s="1" t="s">
        <v>16</v>
      </c>
      <c r="I220" s="1" t="s">
        <v>21</v>
      </c>
      <c r="J220" s="1" t="s">
        <v>18</v>
      </c>
      <c r="K220" s="1">
        <v>40000.0</v>
      </c>
      <c r="L220" s="1">
        <v>56.887204</v>
      </c>
      <c r="M220" s="1">
        <v>24.2335864</v>
      </c>
    </row>
    <row r="221">
      <c r="A221" s="1" t="s">
        <v>22</v>
      </c>
      <c r="B221" s="1" t="s">
        <v>28</v>
      </c>
      <c r="C221" s="1" t="s">
        <v>255</v>
      </c>
      <c r="D221" s="1">
        <v>3.0</v>
      </c>
      <c r="E221" s="1">
        <v>61.0</v>
      </c>
      <c r="F221" s="1">
        <v>4.0</v>
      </c>
      <c r="G221" s="1">
        <v>5.0</v>
      </c>
      <c r="H221" s="1" t="s">
        <v>16</v>
      </c>
      <c r="I221" s="1" t="s">
        <v>21</v>
      </c>
      <c r="J221" s="1" t="s">
        <v>18</v>
      </c>
      <c r="K221" s="1">
        <v>49200.0</v>
      </c>
      <c r="L221" s="1">
        <v>56.9019341</v>
      </c>
      <c r="M221" s="1">
        <v>24.2138427278084</v>
      </c>
    </row>
    <row r="222">
      <c r="A222" s="1" t="s">
        <v>13</v>
      </c>
      <c r="B222" s="1" t="s">
        <v>14</v>
      </c>
      <c r="C222" s="1" t="s">
        <v>256</v>
      </c>
      <c r="D222" s="1">
        <v>1.0</v>
      </c>
      <c r="E222" s="1">
        <v>34.0</v>
      </c>
      <c r="F222" s="1">
        <v>5.0</v>
      </c>
      <c r="G222" s="1">
        <v>9.0</v>
      </c>
      <c r="H222" s="1">
        <v>467.0</v>
      </c>
      <c r="I222" s="1" t="s">
        <v>21</v>
      </c>
      <c r="J222" s="1" t="s">
        <v>18</v>
      </c>
      <c r="K222" s="1">
        <v>260.0</v>
      </c>
      <c r="L222" s="1">
        <v>56.9571336</v>
      </c>
      <c r="M222" s="1">
        <v>24.1909674</v>
      </c>
    </row>
    <row r="223">
      <c r="A223" s="1" t="s">
        <v>22</v>
      </c>
      <c r="B223" s="1" t="s">
        <v>48</v>
      </c>
      <c r="C223" s="1" t="s">
        <v>257</v>
      </c>
      <c r="D223" s="1">
        <v>3.0</v>
      </c>
      <c r="E223" s="1">
        <v>74.0</v>
      </c>
      <c r="F223" s="1">
        <v>1.0</v>
      </c>
      <c r="G223" s="1">
        <v>5.0</v>
      </c>
      <c r="H223" s="1" t="s">
        <v>32</v>
      </c>
      <c r="I223" s="1" t="s">
        <v>17</v>
      </c>
      <c r="J223" s="1" t="s">
        <v>18</v>
      </c>
      <c r="K223" s="1">
        <v>92750.0</v>
      </c>
      <c r="L223" s="1">
        <v>56.9541725</v>
      </c>
      <c r="M223" s="1">
        <v>24.2443253</v>
      </c>
    </row>
    <row r="224">
      <c r="A224" s="1" t="s">
        <v>22</v>
      </c>
      <c r="B224" s="1" t="s">
        <v>48</v>
      </c>
      <c r="C224" s="1" t="s">
        <v>257</v>
      </c>
      <c r="D224" s="1">
        <v>4.0</v>
      </c>
      <c r="E224" s="1">
        <v>113.0</v>
      </c>
      <c r="F224" s="1">
        <v>3.0</v>
      </c>
      <c r="G224" s="1">
        <v>5.0</v>
      </c>
      <c r="H224" s="1" t="s">
        <v>32</v>
      </c>
      <c r="I224" s="1" t="s">
        <v>17</v>
      </c>
      <c r="J224" s="1" t="s">
        <v>18</v>
      </c>
      <c r="K224" s="1">
        <v>141375.0</v>
      </c>
      <c r="L224" s="1">
        <v>56.9541725</v>
      </c>
      <c r="M224" s="1">
        <v>24.2443253</v>
      </c>
    </row>
    <row r="225">
      <c r="A225" s="1" t="s">
        <v>22</v>
      </c>
      <c r="B225" s="1" t="s">
        <v>23</v>
      </c>
      <c r="C225" s="1" t="s">
        <v>258</v>
      </c>
      <c r="D225" s="1">
        <v>3.0</v>
      </c>
      <c r="E225" s="1">
        <v>78.0</v>
      </c>
      <c r="F225" s="1">
        <v>4.0</v>
      </c>
      <c r="G225" s="1">
        <v>6.0</v>
      </c>
      <c r="H225" s="1" t="s">
        <v>66</v>
      </c>
      <c r="I225" s="1" t="s">
        <v>33</v>
      </c>
      <c r="J225" s="1" t="s">
        <v>18</v>
      </c>
      <c r="K225" s="1">
        <v>159732.0</v>
      </c>
      <c r="L225" s="1">
        <v>56.958482</v>
      </c>
      <c r="M225" s="1">
        <v>24.116859</v>
      </c>
    </row>
    <row r="226">
      <c r="A226" s="1" t="s">
        <v>13</v>
      </c>
      <c r="B226" s="1" t="s">
        <v>23</v>
      </c>
      <c r="C226" s="1" t="s">
        <v>259</v>
      </c>
      <c r="D226" s="1">
        <v>3.0</v>
      </c>
      <c r="E226" s="1">
        <v>97.0</v>
      </c>
      <c r="F226" s="1">
        <v>6.0</v>
      </c>
      <c r="G226" s="1">
        <v>6.0</v>
      </c>
      <c r="H226" s="1" t="s">
        <v>66</v>
      </c>
      <c r="I226" s="1" t="s">
        <v>33</v>
      </c>
      <c r="J226" s="1" t="s">
        <v>18</v>
      </c>
      <c r="K226" s="1">
        <v>700.0</v>
      </c>
      <c r="L226" s="1">
        <v>56.9499165</v>
      </c>
      <c r="M226" s="1">
        <v>24.1412986122923</v>
      </c>
    </row>
    <row r="227">
      <c r="A227" s="1" t="s">
        <v>22</v>
      </c>
      <c r="B227" s="1" t="s">
        <v>74</v>
      </c>
      <c r="C227" s="1" t="s">
        <v>260</v>
      </c>
      <c r="D227" s="1">
        <v>1.0</v>
      </c>
      <c r="E227" s="1">
        <v>41.0</v>
      </c>
      <c r="F227" s="1">
        <v>3.0</v>
      </c>
      <c r="G227" s="1">
        <v>5.0</v>
      </c>
      <c r="H227" s="1" t="s">
        <v>57</v>
      </c>
      <c r="I227" s="1" t="s">
        <v>21</v>
      </c>
      <c r="J227" s="1" t="s">
        <v>18</v>
      </c>
      <c r="K227" s="1">
        <v>30500.0</v>
      </c>
      <c r="L227" s="1">
        <v>56.9396024</v>
      </c>
      <c r="M227" s="1">
        <v>24.21101315</v>
      </c>
    </row>
    <row r="228">
      <c r="A228" s="1" t="s">
        <v>13</v>
      </c>
      <c r="B228" s="1" t="s">
        <v>129</v>
      </c>
      <c r="C228" s="1" t="s">
        <v>261</v>
      </c>
      <c r="D228" s="1">
        <v>2.0</v>
      </c>
      <c r="E228" s="1">
        <v>39.0</v>
      </c>
      <c r="F228" s="1">
        <v>2.0</v>
      </c>
      <c r="G228" s="1">
        <v>5.0</v>
      </c>
      <c r="H228" s="1" t="s">
        <v>36</v>
      </c>
      <c r="I228" s="1" t="s">
        <v>17</v>
      </c>
      <c r="J228" s="1" t="s">
        <v>18</v>
      </c>
      <c r="K228" s="1">
        <v>350.0</v>
      </c>
      <c r="L228" s="1" t="s">
        <v>40</v>
      </c>
      <c r="M228" s="1" t="s">
        <v>40</v>
      </c>
    </row>
    <row r="229">
      <c r="A229" s="1" t="s">
        <v>13</v>
      </c>
      <c r="B229" s="1" t="s">
        <v>129</v>
      </c>
      <c r="C229" s="1" t="s">
        <v>261</v>
      </c>
      <c r="D229" s="1">
        <v>1.0</v>
      </c>
      <c r="E229" s="1">
        <v>30.0</v>
      </c>
      <c r="F229" s="1">
        <v>4.0</v>
      </c>
      <c r="G229" s="1">
        <v>5.0</v>
      </c>
      <c r="H229" s="1" t="s">
        <v>66</v>
      </c>
      <c r="I229" s="1" t="s">
        <v>17</v>
      </c>
      <c r="J229" s="1" t="s">
        <v>18</v>
      </c>
      <c r="K229" s="1">
        <v>260.0</v>
      </c>
      <c r="L229" s="1" t="s">
        <v>40</v>
      </c>
      <c r="M229" s="1" t="s">
        <v>40</v>
      </c>
    </row>
    <row r="230">
      <c r="A230" s="1" t="s">
        <v>22</v>
      </c>
      <c r="B230" s="1" t="s">
        <v>23</v>
      </c>
      <c r="C230" s="1" t="s">
        <v>262</v>
      </c>
      <c r="D230" s="1">
        <v>3.0</v>
      </c>
      <c r="E230" s="1">
        <v>63.2</v>
      </c>
      <c r="F230" s="1">
        <v>2.0</v>
      </c>
      <c r="G230" s="1">
        <v>6.0</v>
      </c>
      <c r="H230" s="1" t="s">
        <v>66</v>
      </c>
      <c r="I230" s="1" t="s">
        <v>33</v>
      </c>
      <c r="J230" s="1" t="s">
        <v>18</v>
      </c>
      <c r="K230" s="1">
        <v>164320.0</v>
      </c>
      <c r="L230" s="1">
        <v>56.9548306</v>
      </c>
      <c r="M230" s="1">
        <v>24.1221141</v>
      </c>
    </row>
    <row r="231">
      <c r="A231" s="1" t="s">
        <v>22</v>
      </c>
      <c r="B231" s="1" t="s">
        <v>52</v>
      </c>
      <c r="C231" s="1" t="s">
        <v>263</v>
      </c>
      <c r="D231" s="1">
        <v>4.0</v>
      </c>
      <c r="E231" s="1">
        <v>91.0</v>
      </c>
      <c r="F231" s="1">
        <v>1.0</v>
      </c>
      <c r="G231" s="1">
        <v>9.0</v>
      </c>
      <c r="H231" s="1">
        <v>119.0</v>
      </c>
      <c r="I231" s="1" t="s">
        <v>21</v>
      </c>
      <c r="J231" s="1" t="s">
        <v>18</v>
      </c>
      <c r="K231" s="1">
        <v>79500.0</v>
      </c>
      <c r="L231" s="1">
        <v>56.9575957</v>
      </c>
      <c r="M231" s="1">
        <v>24.0238997</v>
      </c>
    </row>
    <row r="232">
      <c r="A232" s="1" t="s">
        <v>22</v>
      </c>
      <c r="B232" s="1" t="s">
        <v>14</v>
      </c>
      <c r="C232" s="1" t="s">
        <v>264</v>
      </c>
      <c r="D232" s="1">
        <v>1.0</v>
      </c>
      <c r="E232" s="1">
        <v>13.0</v>
      </c>
      <c r="F232" s="1">
        <v>1.0</v>
      </c>
      <c r="G232" s="1">
        <v>2.0</v>
      </c>
      <c r="H232" s="1" t="s">
        <v>25</v>
      </c>
      <c r="I232" s="1" t="s">
        <v>26</v>
      </c>
      <c r="J232" s="1" t="s">
        <v>18</v>
      </c>
      <c r="K232" s="1">
        <v>12500.0</v>
      </c>
      <c r="L232" s="1">
        <v>56.9668361</v>
      </c>
      <c r="M232" s="1">
        <v>24.1732945</v>
      </c>
    </row>
    <row r="233">
      <c r="A233" s="1" t="s">
        <v>13</v>
      </c>
      <c r="B233" s="1" t="s">
        <v>109</v>
      </c>
      <c r="C233" s="1" t="s">
        <v>265</v>
      </c>
      <c r="D233" s="1">
        <v>1.0</v>
      </c>
      <c r="E233" s="1">
        <v>35.0</v>
      </c>
      <c r="F233" s="1">
        <v>3.0</v>
      </c>
      <c r="G233" s="1">
        <v>17.0</v>
      </c>
      <c r="H233" s="1" t="s">
        <v>36</v>
      </c>
      <c r="I233" s="1" t="s">
        <v>17</v>
      </c>
      <c r="J233" s="1" t="s">
        <v>18</v>
      </c>
      <c r="K233" s="1">
        <v>250.0</v>
      </c>
      <c r="L233" s="1" t="s">
        <v>40</v>
      </c>
      <c r="M233" s="1" t="s">
        <v>40</v>
      </c>
    </row>
    <row r="234">
      <c r="A234" s="1" t="s">
        <v>13</v>
      </c>
      <c r="B234" s="1" t="s">
        <v>23</v>
      </c>
      <c r="C234" s="1" t="s">
        <v>266</v>
      </c>
      <c r="D234" s="1">
        <v>4.0</v>
      </c>
      <c r="E234" s="1">
        <v>114.0</v>
      </c>
      <c r="F234" s="1">
        <v>4.0</v>
      </c>
      <c r="G234" s="1">
        <v>5.0</v>
      </c>
      <c r="H234" s="1" t="s">
        <v>25</v>
      </c>
      <c r="I234" s="1" t="s">
        <v>33</v>
      </c>
      <c r="J234" s="1" t="s">
        <v>18</v>
      </c>
      <c r="K234" s="1">
        <v>250.0</v>
      </c>
      <c r="L234" s="1">
        <v>56.9507818</v>
      </c>
      <c r="M234" s="1">
        <v>24.1261795</v>
      </c>
    </row>
    <row r="235">
      <c r="A235" s="1" t="s">
        <v>13</v>
      </c>
      <c r="B235" s="1" t="s">
        <v>19</v>
      </c>
      <c r="C235" s="1" t="s">
        <v>267</v>
      </c>
      <c r="D235" s="1">
        <v>1.0</v>
      </c>
      <c r="E235" s="1">
        <v>43.0</v>
      </c>
      <c r="F235" s="1">
        <v>3.0</v>
      </c>
      <c r="G235" s="1">
        <v>10.0</v>
      </c>
      <c r="H235" s="1">
        <v>119.0</v>
      </c>
      <c r="I235" s="1" t="s">
        <v>17</v>
      </c>
      <c r="J235" s="1" t="s">
        <v>18</v>
      </c>
      <c r="K235" s="1">
        <v>270.0</v>
      </c>
      <c r="L235" s="1">
        <v>56.8993098499999</v>
      </c>
      <c r="M235" s="1">
        <v>24.0889960683413</v>
      </c>
    </row>
    <row r="236">
      <c r="A236" s="1" t="s">
        <v>13</v>
      </c>
      <c r="B236" s="1" t="s">
        <v>48</v>
      </c>
      <c r="C236" s="1" t="s">
        <v>268</v>
      </c>
      <c r="D236" s="1">
        <v>1.0</v>
      </c>
      <c r="E236" s="1">
        <v>45.0</v>
      </c>
      <c r="F236" s="1">
        <v>3.0</v>
      </c>
      <c r="G236" s="1">
        <v>16.0</v>
      </c>
      <c r="H236" s="1">
        <v>104.0</v>
      </c>
      <c r="I236" s="1" t="s">
        <v>17</v>
      </c>
      <c r="J236" s="1" t="s">
        <v>18</v>
      </c>
      <c r="K236" s="1">
        <v>300.0</v>
      </c>
      <c r="L236" s="1">
        <v>56.96683855</v>
      </c>
      <c r="M236" s="1">
        <v>24.2370466931952</v>
      </c>
    </row>
    <row r="237">
      <c r="A237" s="1" t="s">
        <v>13</v>
      </c>
      <c r="B237" s="1" t="s">
        <v>74</v>
      </c>
      <c r="C237" s="1" t="s">
        <v>260</v>
      </c>
      <c r="D237" s="1">
        <v>1.0</v>
      </c>
      <c r="E237" s="1">
        <v>40.0</v>
      </c>
      <c r="F237" s="1">
        <v>4.0</v>
      </c>
      <c r="G237" s="1">
        <v>5.0</v>
      </c>
      <c r="H237" s="1" t="s">
        <v>57</v>
      </c>
      <c r="I237" s="1" t="s">
        <v>21</v>
      </c>
      <c r="J237" s="1" t="s">
        <v>18</v>
      </c>
      <c r="K237" s="1">
        <v>260.0</v>
      </c>
      <c r="L237" s="1">
        <v>56.9396024</v>
      </c>
      <c r="M237" s="1">
        <v>24.21101315</v>
      </c>
    </row>
    <row r="238">
      <c r="A238" s="1" t="s">
        <v>22</v>
      </c>
      <c r="B238" s="1" t="s">
        <v>28</v>
      </c>
      <c r="C238" s="1" t="s">
        <v>269</v>
      </c>
      <c r="D238" s="1">
        <v>2.0</v>
      </c>
      <c r="E238" s="1">
        <v>39.0</v>
      </c>
      <c r="F238" s="1">
        <v>2.0</v>
      </c>
      <c r="G238" s="1">
        <v>5.0</v>
      </c>
      <c r="H238" s="1" t="s">
        <v>16</v>
      </c>
      <c r="I238" s="1" t="s">
        <v>17</v>
      </c>
      <c r="J238" s="1" t="s">
        <v>18</v>
      </c>
      <c r="K238" s="1">
        <v>30000.0</v>
      </c>
      <c r="L238" s="1">
        <v>56.90929355</v>
      </c>
      <c r="M238" s="1">
        <v>24.2002345827173</v>
      </c>
    </row>
    <row r="239">
      <c r="A239" s="1" t="s">
        <v>13</v>
      </c>
      <c r="B239" s="1" t="s">
        <v>19</v>
      </c>
      <c r="C239" s="1" t="s">
        <v>270</v>
      </c>
      <c r="D239" s="1">
        <v>1.0</v>
      </c>
      <c r="E239" s="1">
        <v>38.0</v>
      </c>
      <c r="F239" s="1">
        <v>3.0</v>
      </c>
      <c r="G239" s="1">
        <v>9.0</v>
      </c>
      <c r="H239" s="1" t="s">
        <v>36</v>
      </c>
      <c r="I239" s="1" t="s">
        <v>37</v>
      </c>
      <c r="J239" s="1" t="s">
        <v>18</v>
      </c>
      <c r="K239" s="1">
        <v>350.0</v>
      </c>
      <c r="L239" s="1">
        <v>56.90102635</v>
      </c>
      <c r="M239" s="1">
        <v>24.0939941127903</v>
      </c>
    </row>
    <row r="240">
      <c r="A240" s="1" t="s">
        <v>13</v>
      </c>
      <c r="B240" s="1" t="s">
        <v>23</v>
      </c>
      <c r="C240" s="1" t="s">
        <v>271</v>
      </c>
      <c r="D240" s="1">
        <v>2.0</v>
      </c>
      <c r="E240" s="1">
        <v>40.0</v>
      </c>
      <c r="F240" s="1">
        <v>2.0</v>
      </c>
      <c r="G240" s="1">
        <v>2.0</v>
      </c>
      <c r="H240" s="1" t="s">
        <v>25</v>
      </c>
      <c r="I240" s="1" t="s">
        <v>26</v>
      </c>
      <c r="J240" s="1" t="s">
        <v>18</v>
      </c>
      <c r="K240" s="1">
        <v>280.0</v>
      </c>
      <c r="L240" s="1">
        <v>56.96656595</v>
      </c>
      <c r="M240" s="1">
        <v>24.1436439</v>
      </c>
    </row>
    <row r="241">
      <c r="A241" s="1" t="s">
        <v>13</v>
      </c>
      <c r="B241" s="1" t="s">
        <v>14</v>
      </c>
      <c r="C241" s="1" t="s">
        <v>272</v>
      </c>
      <c r="D241" s="1">
        <v>1.0</v>
      </c>
      <c r="E241" s="1">
        <v>28.0</v>
      </c>
      <c r="F241" s="1">
        <v>3.0</v>
      </c>
      <c r="G241" s="1">
        <v>5.0</v>
      </c>
      <c r="H241" s="1" t="s">
        <v>16</v>
      </c>
      <c r="I241" s="1" t="s">
        <v>17</v>
      </c>
      <c r="J241" s="1" t="s">
        <v>18</v>
      </c>
      <c r="K241" s="1">
        <v>235.0</v>
      </c>
      <c r="L241" s="1">
        <v>56.9570069</v>
      </c>
      <c r="M241" s="1">
        <v>24.1987368</v>
      </c>
    </row>
    <row r="242">
      <c r="A242" s="1" t="s">
        <v>22</v>
      </c>
      <c r="B242" s="1" t="s">
        <v>273</v>
      </c>
      <c r="C242" s="1" t="s">
        <v>274</v>
      </c>
      <c r="D242" s="1">
        <v>3.0</v>
      </c>
      <c r="E242" s="1">
        <v>66.0</v>
      </c>
      <c r="F242" s="1">
        <v>2.0</v>
      </c>
      <c r="G242" s="1">
        <v>5.0</v>
      </c>
      <c r="H242" s="1">
        <v>103.0</v>
      </c>
      <c r="I242" s="1" t="s">
        <v>17</v>
      </c>
      <c r="J242" s="1" t="s">
        <v>18</v>
      </c>
      <c r="K242" s="1">
        <v>43000.0</v>
      </c>
      <c r="L242" s="1">
        <v>56.95765645</v>
      </c>
      <c r="M242" s="1">
        <v>24.2911644248424</v>
      </c>
    </row>
    <row r="243">
      <c r="A243" s="1" t="s">
        <v>22</v>
      </c>
      <c r="B243" s="1" t="s">
        <v>42</v>
      </c>
      <c r="C243" s="1" t="s">
        <v>275</v>
      </c>
      <c r="D243" s="1">
        <v>3.0</v>
      </c>
      <c r="E243" s="1">
        <v>58.0</v>
      </c>
      <c r="F243" s="1">
        <v>2.0</v>
      </c>
      <c r="G243" s="1">
        <v>5.0</v>
      </c>
      <c r="H243" s="1" t="s">
        <v>44</v>
      </c>
      <c r="I243" s="1" t="s">
        <v>21</v>
      </c>
      <c r="J243" s="1" t="s">
        <v>18</v>
      </c>
      <c r="K243" s="1">
        <v>45000.0</v>
      </c>
      <c r="L243" s="1">
        <v>56.9882535</v>
      </c>
      <c r="M243" s="1">
        <v>24.2378954328869</v>
      </c>
    </row>
    <row r="244">
      <c r="A244" s="1" t="s">
        <v>13</v>
      </c>
      <c r="B244" s="1" t="s">
        <v>23</v>
      </c>
      <c r="C244" s="1" t="s">
        <v>249</v>
      </c>
      <c r="D244" s="1">
        <v>1.0</v>
      </c>
      <c r="E244" s="1">
        <v>14.0</v>
      </c>
      <c r="F244" s="1">
        <v>5.0</v>
      </c>
      <c r="G244" s="1">
        <v>9.0</v>
      </c>
      <c r="H244" s="1" t="s">
        <v>32</v>
      </c>
      <c r="I244" s="1" t="s">
        <v>122</v>
      </c>
      <c r="J244" s="1" t="s">
        <v>18</v>
      </c>
      <c r="K244" s="1">
        <v>199.0</v>
      </c>
      <c r="L244" s="1">
        <v>56.9726557</v>
      </c>
      <c r="M244" s="1">
        <v>24.1493117212851</v>
      </c>
    </row>
    <row r="245">
      <c r="A245" s="1" t="s">
        <v>22</v>
      </c>
      <c r="B245" s="1" t="s">
        <v>23</v>
      </c>
      <c r="C245" s="1" t="s">
        <v>276</v>
      </c>
      <c r="D245" s="1">
        <v>3.0</v>
      </c>
      <c r="E245" s="1">
        <v>54.0</v>
      </c>
      <c r="F245" s="1">
        <v>3.0</v>
      </c>
      <c r="G245" s="1">
        <v>6.0</v>
      </c>
      <c r="H245" s="1" t="s">
        <v>25</v>
      </c>
      <c r="I245" s="1" t="s">
        <v>37</v>
      </c>
      <c r="J245" s="1" t="s">
        <v>27</v>
      </c>
      <c r="K245" s="1">
        <v>51300.0</v>
      </c>
      <c r="L245" s="1">
        <v>56.954919</v>
      </c>
      <c r="M245" s="1">
        <v>24.1536554</v>
      </c>
    </row>
    <row r="246">
      <c r="A246" s="1" t="s">
        <v>22</v>
      </c>
      <c r="B246" s="1" t="s">
        <v>48</v>
      </c>
      <c r="C246" s="1" t="s">
        <v>257</v>
      </c>
      <c r="D246" s="1">
        <v>2.0</v>
      </c>
      <c r="E246" s="1">
        <v>64.0</v>
      </c>
      <c r="F246" s="1">
        <v>2.0</v>
      </c>
      <c r="G246" s="1">
        <v>5.0</v>
      </c>
      <c r="H246" s="1" t="s">
        <v>32</v>
      </c>
      <c r="I246" s="1" t="s">
        <v>17</v>
      </c>
      <c r="J246" s="1" t="s">
        <v>18</v>
      </c>
      <c r="K246" s="1">
        <v>79500.0</v>
      </c>
      <c r="L246" s="1">
        <v>56.9541725</v>
      </c>
      <c r="M246" s="1">
        <v>24.2443253</v>
      </c>
    </row>
    <row r="247">
      <c r="A247" s="1" t="s">
        <v>13</v>
      </c>
      <c r="B247" s="1" t="s">
        <v>23</v>
      </c>
      <c r="C247" s="1" t="s">
        <v>277</v>
      </c>
      <c r="D247" s="1">
        <v>1.0</v>
      </c>
      <c r="E247" s="1">
        <v>22.0</v>
      </c>
      <c r="F247" s="1">
        <v>1.0</v>
      </c>
      <c r="G247" s="1">
        <v>2.0</v>
      </c>
      <c r="H247" s="1" t="s">
        <v>32</v>
      </c>
      <c r="I247" s="1" t="s">
        <v>26</v>
      </c>
      <c r="J247" s="1" t="s">
        <v>18</v>
      </c>
      <c r="K247" s="1">
        <v>30.0</v>
      </c>
      <c r="L247" s="1">
        <v>56.9554529</v>
      </c>
      <c r="M247" s="1">
        <v>24.1371051</v>
      </c>
    </row>
    <row r="248">
      <c r="A248" s="1" t="s">
        <v>13</v>
      </c>
      <c r="B248" s="1" t="s">
        <v>23</v>
      </c>
      <c r="C248" s="1" t="s">
        <v>278</v>
      </c>
      <c r="D248" s="1">
        <v>1.0</v>
      </c>
      <c r="E248" s="1">
        <v>17.0</v>
      </c>
      <c r="F248" s="1">
        <v>3.0</v>
      </c>
      <c r="G248" s="1">
        <v>5.0</v>
      </c>
      <c r="H248" s="1" t="s">
        <v>32</v>
      </c>
      <c r="I248" s="1" t="s">
        <v>33</v>
      </c>
      <c r="J248" s="1" t="s">
        <v>18</v>
      </c>
      <c r="K248" s="1">
        <v>25.0</v>
      </c>
      <c r="L248" s="1">
        <v>56.9549083</v>
      </c>
      <c r="M248" s="1">
        <v>24.1376122</v>
      </c>
    </row>
    <row r="249">
      <c r="A249" s="1" t="s">
        <v>13</v>
      </c>
      <c r="B249" s="1" t="s">
        <v>151</v>
      </c>
      <c r="C249" s="1" t="s">
        <v>279</v>
      </c>
      <c r="D249" s="1">
        <v>1.0</v>
      </c>
      <c r="E249" s="1">
        <v>25.0</v>
      </c>
      <c r="F249" s="1">
        <v>5.0</v>
      </c>
      <c r="G249" s="1">
        <v>5.0</v>
      </c>
      <c r="H249" s="1" t="s">
        <v>57</v>
      </c>
      <c r="I249" s="1" t="s">
        <v>37</v>
      </c>
      <c r="J249" s="1" t="s">
        <v>18</v>
      </c>
      <c r="K249" s="1">
        <v>230.0</v>
      </c>
      <c r="L249" s="1">
        <v>56.96949175</v>
      </c>
      <c r="M249" s="1">
        <v>24.0680992583519</v>
      </c>
    </row>
    <row r="250">
      <c r="A250" s="1" t="s">
        <v>13</v>
      </c>
      <c r="B250" s="1" t="s">
        <v>23</v>
      </c>
      <c r="C250" s="1" t="s">
        <v>280</v>
      </c>
      <c r="D250" s="1">
        <v>1.0</v>
      </c>
      <c r="E250" s="1">
        <v>22.0</v>
      </c>
      <c r="F250" s="1">
        <v>6.0</v>
      </c>
      <c r="G250" s="1">
        <v>6.0</v>
      </c>
      <c r="H250" s="1" t="s">
        <v>66</v>
      </c>
      <c r="I250" s="1" t="s">
        <v>33</v>
      </c>
      <c r="J250" s="1" t="s">
        <v>18</v>
      </c>
      <c r="K250" s="1">
        <v>480.0</v>
      </c>
      <c r="L250" s="1">
        <v>56.95161295</v>
      </c>
      <c r="M250" s="1">
        <v>24.1224571478615</v>
      </c>
    </row>
    <row r="251">
      <c r="A251" s="1" t="s">
        <v>13</v>
      </c>
      <c r="B251" s="1" t="s">
        <v>19</v>
      </c>
      <c r="C251" s="1" t="s">
        <v>281</v>
      </c>
      <c r="D251" s="1">
        <v>1.0</v>
      </c>
      <c r="E251" s="1">
        <v>40.0</v>
      </c>
      <c r="F251" s="1">
        <v>6.0</v>
      </c>
      <c r="G251" s="1">
        <v>9.0</v>
      </c>
      <c r="H251" s="1" t="s">
        <v>57</v>
      </c>
      <c r="I251" s="1" t="s">
        <v>21</v>
      </c>
      <c r="J251" s="1" t="s">
        <v>18</v>
      </c>
      <c r="K251" s="1">
        <v>280.0</v>
      </c>
      <c r="L251" s="1">
        <v>56.89981695</v>
      </c>
      <c r="M251" s="1">
        <v>24.0965337335385</v>
      </c>
    </row>
    <row r="252">
      <c r="A252" s="1" t="s">
        <v>22</v>
      </c>
      <c r="B252" s="1" t="s">
        <v>23</v>
      </c>
      <c r="C252" s="1" t="s">
        <v>282</v>
      </c>
      <c r="D252" s="1">
        <v>2.0</v>
      </c>
      <c r="E252" s="1">
        <v>29.0</v>
      </c>
      <c r="F252" s="1">
        <v>3.0</v>
      </c>
      <c r="G252" s="1">
        <v>7.0</v>
      </c>
      <c r="H252" s="1" t="s">
        <v>25</v>
      </c>
      <c r="I252" s="1" t="s">
        <v>33</v>
      </c>
      <c r="J252" s="1" t="s">
        <v>18</v>
      </c>
      <c r="K252" s="1">
        <v>44900.0</v>
      </c>
      <c r="L252" s="1">
        <v>56.9607411</v>
      </c>
      <c r="M252" s="1">
        <v>24.1497716</v>
      </c>
    </row>
    <row r="253">
      <c r="A253" s="1" t="s">
        <v>22</v>
      </c>
      <c r="B253" s="1" t="s">
        <v>23</v>
      </c>
      <c r="C253" s="1" t="s">
        <v>258</v>
      </c>
      <c r="D253" s="1">
        <v>3.0</v>
      </c>
      <c r="E253" s="1">
        <v>78.0</v>
      </c>
      <c r="F253" s="1">
        <v>4.0</v>
      </c>
      <c r="G253" s="1">
        <v>6.0</v>
      </c>
      <c r="H253" s="1" t="s">
        <v>66</v>
      </c>
      <c r="I253" s="1" t="s">
        <v>33</v>
      </c>
      <c r="J253" s="1" t="s">
        <v>18</v>
      </c>
      <c r="K253" s="1">
        <v>159732.0</v>
      </c>
      <c r="L253" s="1">
        <v>56.958482</v>
      </c>
      <c r="M253" s="1">
        <v>24.116859</v>
      </c>
    </row>
    <row r="254">
      <c r="A254" s="1" t="s">
        <v>22</v>
      </c>
      <c r="B254" s="1" t="s">
        <v>30</v>
      </c>
      <c r="C254" s="1" t="s">
        <v>283</v>
      </c>
      <c r="D254" s="1">
        <v>2.0</v>
      </c>
      <c r="E254" s="1">
        <v>45.0</v>
      </c>
      <c r="F254" s="1">
        <v>1.0</v>
      </c>
      <c r="G254" s="1">
        <v>5.0</v>
      </c>
      <c r="H254" s="1" t="s">
        <v>44</v>
      </c>
      <c r="I254" s="1" t="s">
        <v>37</v>
      </c>
      <c r="J254" s="1" t="s">
        <v>18</v>
      </c>
      <c r="K254" s="1">
        <v>37000.0</v>
      </c>
      <c r="L254" s="1">
        <v>56.97918625</v>
      </c>
      <c r="M254" s="1">
        <v>24.1706639381423</v>
      </c>
    </row>
    <row r="255">
      <c r="A255" s="1" t="s">
        <v>22</v>
      </c>
      <c r="B255" s="1" t="s">
        <v>48</v>
      </c>
      <c r="C255" s="1" t="s">
        <v>284</v>
      </c>
      <c r="D255" s="1">
        <v>3.0</v>
      </c>
      <c r="E255" s="1">
        <v>62.0</v>
      </c>
      <c r="F255" s="1">
        <v>6.0</v>
      </c>
      <c r="G255" s="1">
        <v>9.0</v>
      </c>
      <c r="H255" s="1">
        <v>602.0</v>
      </c>
      <c r="I255" s="1" t="s">
        <v>21</v>
      </c>
      <c r="J255" s="1" t="s">
        <v>18</v>
      </c>
      <c r="K255" s="1">
        <v>61000.0</v>
      </c>
      <c r="L255" s="1">
        <v>56.96614945</v>
      </c>
      <c r="M255" s="1">
        <v>24.2373330786018</v>
      </c>
    </row>
    <row r="256">
      <c r="A256" s="1" t="s">
        <v>13</v>
      </c>
      <c r="B256" s="1" t="s">
        <v>23</v>
      </c>
      <c r="C256" s="1" t="s">
        <v>285</v>
      </c>
      <c r="D256" s="1">
        <v>2.0</v>
      </c>
      <c r="E256" s="1">
        <v>48.0</v>
      </c>
      <c r="F256" s="1">
        <v>3.0</v>
      </c>
      <c r="G256" s="1">
        <v>6.0</v>
      </c>
      <c r="H256" s="1" t="s">
        <v>25</v>
      </c>
      <c r="I256" s="1" t="s">
        <v>33</v>
      </c>
      <c r="J256" s="1" t="s">
        <v>18</v>
      </c>
      <c r="K256" s="1">
        <v>450.0</v>
      </c>
      <c r="L256" s="1">
        <v>56.9642651</v>
      </c>
      <c r="M256" s="1">
        <v>24.1370086</v>
      </c>
    </row>
    <row r="257">
      <c r="A257" s="1" t="s">
        <v>13</v>
      </c>
      <c r="B257" s="1" t="s">
        <v>23</v>
      </c>
      <c r="C257" s="1" t="s">
        <v>286</v>
      </c>
      <c r="D257" s="1">
        <v>1.0</v>
      </c>
      <c r="E257" s="1">
        <v>19.0</v>
      </c>
      <c r="F257" s="1">
        <v>3.0</v>
      </c>
      <c r="G257" s="1">
        <v>5.0</v>
      </c>
      <c r="H257" s="1" t="s">
        <v>25</v>
      </c>
      <c r="I257" s="1" t="s">
        <v>33</v>
      </c>
      <c r="J257" s="1" t="s">
        <v>18</v>
      </c>
      <c r="K257" s="1">
        <v>120.0</v>
      </c>
      <c r="L257" s="1">
        <v>56.9596205</v>
      </c>
      <c r="M257" s="1">
        <v>24.1190117</v>
      </c>
    </row>
    <row r="258">
      <c r="A258" s="1" t="s">
        <v>22</v>
      </c>
      <c r="B258" s="1" t="s">
        <v>104</v>
      </c>
      <c r="C258" s="1" t="s">
        <v>112</v>
      </c>
      <c r="D258" s="1">
        <v>1.0</v>
      </c>
      <c r="E258" s="1">
        <v>21.0</v>
      </c>
      <c r="F258" s="1">
        <v>2.0</v>
      </c>
      <c r="G258" s="1">
        <v>2.0</v>
      </c>
      <c r="H258" s="1" t="s">
        <v>36</v>
      </c>
      <c r="I258" s="1" t="s">
        <v>26</v>
      </c>
      <c r="J258" s="1" t="s">
        <v>27</v>
      </c>
      <c r="K258" s="1">
        <v>11700.0</v>
      </c>
      <c r="L258" s="1">
        <v>56.9517628</v>
      </c>
      <c r="M258" s="1">
        <v>24.0673487092408</v>
      </c>
    </row>
    <row r="259">
      <c r="A259" s="1" t="s">
        <v>13</v>
      </c>
      <c r="B259" s="1" t="s">
        <v>104</v>
      </c>
      <c r="C259" s="1" t="s">
        <v>287</v>
      </c>
      <c r="D259" s="1">
        <v>1.0</v>
      </c>
      <c r="E259" s="1">
        <v>24.0</v>
      </c>
      <c r="F259" s="1">
        <v>2.0</v>
      </c>
      <c r="G259" s="1">
        <v>3.0</v>
      </c>
      <c r="H259" s="1" t="s">
        <v>25</v>
      </c>
      <c r="I259" s="1" t="s">
        <v>122</v>
      </c>
      <c r="J259" s="1" t="s">
        <v>18</v>
      </c>
      <c r="K259" s="1">
        <v>200.0</v>
      </c>
      <c r="L259" s="1">
        <v>56.6975599</v>
      </c>
      <c r="M259" s="1">
        <v>23.1472299</v>
      </c>
    </row>
    <row r="260">
      <c r="A260" s="1" t="s">
        <v>22</v>
      </c>
      <c r="B260" s="1" t="s">
        <v>30</v>
      </c>
      <c r="C260" s="1" t="s">
        <v>288</v>
      </c>
      <c r="D260" s="1">
        <v>2.0</v>
      </c>
      <c r="E260" s="1">
        <v>46.0</v>
      </c>
      <c r="F260" s="1">
        <v>1.0</v>
      </c>
      <c r="G260" s="1">
        <v>5.0</v>
      </c>
      <c r="H260" s="1" t="s">
        <v>36</v>
      </c>
      <c r="I260" s="1" t="s">
        <v>37</v>
      </c>
      <c r="J260" s="1" t="s">
        <v>18</v>
      </c>
      <c r="K260" s="1">
        <v>44300.0</v>
      </c>
      <c r="L260" s="1">
        <v>56.9774920499999</v>
      </c>
      <c r="M260" s="1">
        <v>24.1744972362906</v>
      </c>
    </row>
    <row r="261">
      <c r="A261" s="1" t="s">
        <v>22</v>
      </c>
      <c r="B261" s="1" t="s">
        <v>104</v>
      </c>
      <c r="C261" s="1" t="s">
        <v>289</v>
      </c>
      <c r="D261" s="1">
        <v>1.0</v>
      </c>
      <c r="E261" s="1">
        <v>33.0</v>
      </c>
      <c r="F261" s="1">
        <v>5.0</v>
      </c>
      <c r="G261" s="1">
        <v>9.0</v>
      </c>
      <c r="H261" s="1">
        <v>467.0</v>
      </c>
      <c r="I261" s="1" t="s">
        <v>21</v>
      </c>
      <c r="J261" s="1" t="s">
        <v>18</v>
      </c>
      <c r="K261" s="1">
        <v>38000.0</v>
      </c>
      <c r="L261" s="1">
        <v>56.9452815</v>
      </c>
      <c r="M261" s="1">
        <v>24.0512495673782</v>
      </c>
    </row>
    <row r="262">
      <c r="A262" s="1" t="s">
        <v>22</v>
      </c>
      <c r="B262" s="1" t="s">
        <v>76</v>
      </c>
      <c r="C262" s="1" t="s">
        <v>290</v>
      </c>
      <c r="D262" s="1">
        <v>1.0</v>
      </c>
      <c r="E262" s="1">
        <v>21.0</v>
      </c>
      <c r="F262" s="1">
        <v>7.0</v>
      </c>
      <c r="G262" s="1">
        <v>9.0</v>
      </c>
      <c r="H262" s="1" t="s">
        <v>36</v>
      </c>
      <c r="I262" s="1" t="s">
        <v>37</v>
      </c>
      <c r="J262" s="1" t="s">
        <v>18</v>
      </c>
      <c r="K262" s="1">
        <v>27500.0</v>
      </c>
      <c r="L262" s="1">
        <v>56.9584548499999</v>
      </c>
      <c r="M262" s="1">
        <v>24.0693919093666</v>
      </c>
    </row>
    <row r="263">
      <c r="A263" s="1" t="s">
        <v>22</v>
      </c>
      <c r="B263" s="1" t="s">
        <v>19</v>
      </c>
      <c r="C263" s="1" t="s">
        <v>20</v>
      </c>
      <c r="D263" s="1">
        <v>1.0</v>
      </c>
      <c r="E263" s="1">
        <v>32.0</v>
      </c>
      <c r="F263" s="1">
        <v>9.0</v>
      </c>
      <c r="G263" s="1">
        <v>9.0</v>
      </c>
      <c r="H263" s="1">
        <v>602.0</v>
      </c>
      <c r="I263" s="1" t="s">
        <v>21</v>
      </c>
      <c r="J263" s="1" t="s">
        <v>18</v>
      </c>
      <c r="K263" s="1">
        <v>32500.0</v>
      </c>
      <c r="L263" s="1">
        <v>56.89979805</v>
      </c>
      <c r="M263" s="1">
        <v>24.09835015</v>
      </c>
    </row>
    <row r="264">
      <c r="A264" s="1" t="s">
        <v>22</v>
      </c>
      <c r="B264" s="1" t="s">
        <v>14</v>
      </c>
      <c r="C264" s="1" t="s">
        <v>291</v>
      </c>
      <c r="D264" s="1">
        <v>1.0</v>
      </c>
      <c r="E264" s="1">
        <v>32.0</v>
      </c>
      <c r="F264" s="1">
        <v>4.0</v>
      </c>
      <c r="G264" s="1">
        <v>9.0</v>
      </c>
      <c r="H264" s="1">
        <v>467.0</v>
      </c>
      <c r="I264" s="1" t="s">
        <v>21</v>
      </c>
      <c r="J264" s="1" t="s">
        <v>18</v>
      </c>
      <c r="K264" s="1">
        <v>32000.0</v>
      </c>
      <c r="L264" s="1">
        <v>56.9405867</v>
      </c>
      <c r="M264" s="1">
        <v>24.1951866</v>
      </c>
    </row>
    <row r="265">
      <c r="A265" s="1" t="s">
        <v>131</v>
      </c>
      <c r="B265" s="1" t="s">
        <v>28</v>
      </c>
      <c r="C265" s="1" t="s">
        <v>292</v>
      </c>
      <c r="D265" s="1">
        <v>2.0</v>
      </c>
      <c r="E265" s="2"/>
      <c r="F265" s="1">
        <v>2.0</v>
      </c>
      <c r="G265" s="1">
        <v>5.0</v>
      </c>
      <c r="H265" s="1" t="s">
        <v>16</v>
      </c>
      <c r="I265" s="1" t="s">
        <v>17</v>
      </c>
      <c r="J265" s="1" t="s">
        <v>18</v>
      </c>
      <c r="K265" s="2"/>
      <c r="L265" s="1">
        <v>56.8597884</v>
      </c>
      <c r="M265" s="1">
        <v>24.3083417</v>
      </c>
    </row>
    <row r="266">
      <c r="A266" s="1" t="s">
        <v>22</v>
      </c>
      <c r="B266" s="1" t="s">
        <v>14</v>
      </c>
      <c r="C266" s="1" t="s">
        <v>293</v>
      </c>
      <c r="D266" s="1">
        <v>4.0</v>
      </c>
      <c r="E266" s="1">
        <v>75.0</v>
      </c>
      <c r="F266" s="1">
        <v>6.0</v>
      </c>
      <c r="G266" s="1">
        <v>9.0</v>
      </c>
      <c r="H266" s="1">
        <v>467.0</v>
      </c>
      <c r="I266" s="1" t="s">
        <v>21</v>
      </c>
      <c r="J266" s="1" t="s">
        <v>18</v>
      </c>
      <c r="K266" s="1">
        <v>65000.0</v>
      </c>
      <c r="L266" s="1">
        <v>56.95684165</v>
      </c>
      <c r="M266" s="1">
        <v>24.20051235</v>
      </c>
    </row>
    <row r="267">
      <c r="A267" s="1" t="s">
        <v>13</v>
      </c>
      <c r="B267" s="1" t="s">
        <v>74</v>
      </c>
      <c r="C267" s="1" t="s">
        <v>294</v>
      </c>
      <c r="D267" s="1">
        <v>2.0</v>
      </c>
      <c r="E267" s="1">
        <v>48.0</v>
      </c>
      <c r="F267" s="1">
        <v>2.0</v>
      </c>
      <c r="G267" s="1">
        <v>9.0</v>
      </c>
      <c r="H267" s="1">
        <v>602.0</v>
      </c>
      <c r="I267" s="1" t="s">
        <v>21</v>
      </c>
      <c r="J267" s="1" t="s">
        <v>18</v>
      </c>
      <c r="K267" s="1">
        <v>230.0</v>
      </c>
      <c r="L267" s="1">
        <v>56.94177975</v>
      </c>
      <c r="M267" s="1">
        <v>24.2291887859803</v>
      </c>
    </row>
    <row r="268">
      <c r="A268" s="1" t="s">
        <v>22</v>
      </c>
      <c r="B268" s="1" t="s">
        <v>19</v>
      </c>
      <c r="C268" s="1" t="s">
        <v>295</v>
      </c>
      <c r="D268" s="1">
        <v>3.0</v>
      </c>
      <c r="E268" s="1">
        <v>75.0</v>
      </c>
      <c r="F268" s="1">
        <v>3.0</v>
      </c>
      <c r="G268" s="1">
        <v>7.0</v>
      </c>
      <c r="H268" s="1" t="s">
        <v>36</v>
      </c>
      <c r="I268" s="1" t="s">
        <v>21</v>
      </c>
      <c r="J268" s="1" t="s">
        <v>18</v>
      </c>
      <c r="K268" s="1">
        <v>78000.0</v>
      </c>
      <c r="L268" s="1">
        <v>56.90957185</v>
      </c>
      <c r="M268" s="1">
        <v>24.097641602805</v>
      </c>
    </row>
    <row r="269">
      <c r="A269" s="1" t="s">
        <v>22</v>
      </c>
      <c r="B269" s="1" t="s">
        <v>104</v>
      </c>
      <c r="C269" s="1" t="s">
        <v>112</v>
      </c>
      <c r="D269" s="1">
        <v>1.0</v>
      </c>
      <c r="E269" s="1">
        <v>17.0</v>
      </c>
      <c r="F269" s="1">
        <v>2.0</v>
      </c>
      <c r="G269" s="1">
        <v>2.0</v>
      </c>
      <c r="H269" s="1" t="s">
        <v>36</v>
      </c>
      <c r="I269" s="1" t="s">
        <v>26</v>
      </c>
      <c r="J269" s="1" t="s">
        <v>27</v>
      </c>
      <c r="K269" s="1">
        <v>10000.0</v>
      </c>
      <c r="L269" s="1">
        <v>56.9517628</v>
      </c>
      <c r="M269" s="1">
        <v>24.0673487092408</v>
      </c>
    </row>
    <row r="270">
      <c r="A270" s="1" t="s">
        <v>13</v>
      </c>
      <c r="B270" s="1" t="s">
        <v>23</v>
      </c>
      <c r="C270" s="1" t="s">
        <v>296</v>
      </c>
      <c r="D270" s="1">
        <v>3.0</v>
      </c>
      <c r="E270" s="1">
        <v>57.0</v>
      </c>
      <c r="F270" s="1">
        <v>6.0</v>
      </c>
      <c r="G270" s="1">
        <v>6.0</v>
      </c>
      <c r="H270" s="1" t="s">
        <v>32</v>
      </c>
      <c r="I270" s="1" t="s">
        <v>33</v>
      </c>
      <c r="J270" s="1" t="s">
        <v>18</v>
      </c>
      <c r="K270" s="1">
        <v>670.0</v>
      </c>
      <c r="L270" s="1">
        <v>56.9439656</v>
      </c>
      <c r="M270" s="1">
        <v>24.1329895</v>
      </c>
    </row>
    <row r="271">
      <c r="A271" s="1" t="s">
        <v>13</v>
      </c>
      <c r="B271" s="1" t="s">
        <v>30</v>
      </c>
      <c r="C271" s="1" t="s">
        <v>297</v>
      </c>
      <c r="D271" s="1">
        <v>1.0</v>
      </c>
      <c r="E271" s="1">
        <v>18.0</v>
      </c>
      <c r="F271" s="1">
        <v>3.0</v>
      </c>
      <c r="G271" s="1">
        <v>5.0</v>
      </c>
      <c r="H271" s="1" t="s">
        <v>57</v>
      </c>
      <c r="I271" s="1" t="s">
        <v>37</v>
      </c>
      <c r="J271" s="1" t="s">
        <v>18</v>
      </c>
      <c r="K271" s="1">
        <v>200.0</v>
      </c>
      <c r="L271" s="1">
        <v>56.96760975</v>
      </c>
      <c r="M271" s="1">
        <v>24.1813539003571</v>
      </c>
    </row>
    <row r="272">
      <c r="A272" s="1" t="s">
        <v>89</v>
      </c>
      <c r="B272" s="1" t="s">
        <v>104</v>
      </c>
      <c r="C272" s="2"/>
      <c r="D272" s="1">
        <v>1.0</v>
      </c>
      <c r="E272" s="2"/>
      <c r="F272" s="2"/>
      <c r="G272" s="2"/>
      <c r="H272" s="2"/>
      <c r="I272" s="2"/>
      <c r="J272" s="2"/>
      <c r="K272" s="2"/>
      <c r="L272" s="1">
        <v>46.3144754</v>
      </c>
      <c r="M272" s="1">
        <v>11.0480288</v>
      </c>
    </row>
    <row r="273">
      <c r="A273" s="1" t="s">
        <v>22</v>
      </c>
      <c r="B273" s="1" t="s">
        <v>23</v>
      </c>
      <c r="C273" s="1" t="s">
        <v>298</v>
      </c>
      <c r="D273" s="1">
        <v>3.0</v>
      </c>
      <c r="E273" s="1">
        <v>58.0</v>
      </c>
      <c r="F273" s="1">
        <v>2.0</v>
      </c>
      <c r="G273" s="1">
        <v>5.0</v>
      </c>
      <c r="H273" s="1" t="s">
        <v>44</v>
      </c>
      <c r="I273" s="1" t="s">
        <v>37</v>
      </c>
      <c r="J273" s="1" t="s">
        <v>18</v>
      </c>
      <c r="K273" s="1">
        <v>73000.0</v>
      </c>
      <c r="L273" s="1">
        <v>56.96530735</v>
      </c>
      <c r="M273" s="1">
        <v>24.1262578927701</v>
      </c>
    </row>
    <row r="274">
      <c r="A274" s="1" t="s">
        <v>22</v>
      </c>
      <c r="B274" s="1" t="s">
        <v>38</v>
      </c>
      <c r="C274" s="1" t="s">
        <v>299</v>
      </c>
      <c r="D274" s="1">
        <v>2.0</v>
      </c>
      <c r="E274" s="1">
        <v>39.0</v>
      </c>
      <c r="F274" s="1">
        <v>3.0</v>
      </c>
      <c r="G274" s="1">
        <v>5.0</v>
      </c>
      <c r="H274" s="1" t="s">
        <v>16</v>
      </c>
      <c r="I274" s="1" t="s">
        <v>21</v>
      </c>
      <c r="J274" s="1" t="s">
        <v>18</v>
      </c>
      <c r="K274" s="1">
        <v>34900.0</v>
      </c>
      <c r="L274" s="1">
        <v>56.9567829</v>
      </c>
      <c r="M274" s="1">
        <v>24.0344957</v>
      </c>
    </row>
    <row r="275">
      <c r="A275" s="1" t="s">
        <v>13</v>
      </c>
      <c r="B275" s="1" t="s">
        <v>23</v>
      </c>
      <c r="C275" s="1" t="s">
        <v>300</v>
      </c>
      <c r="D275" s="1">
        <v>2.0</v>
      </c>
      <c r="E275" s="1">
        <v>52.0</v>
      </c>
      <c r="F275" s="1">
        <v>4.0</v>
      </c>
      <c r="G275" s="1">
        <v>4.0</v>
      </c>
      <c r="H275" s="1" t="s">
        <v>25</v>
      </c>
      <c r="I275" s="1" t="s">
        <v>37</v>
      </c>
      <c r="J275" s="1" t="s">
        <v>18</v>
      </c>
      <c r="K275" s="1">
        <v>400.0</v>
      </c>
      <c r="L275" s="1">
        <v>56.9545197</v>
      </c>
      <c r="M275" s="1">
        <v>24.1232518</v>
      </c>
    </row>
    <row r="276">
      <c r="A276" s="1" t="s">
        <v>22</v>
      </c>
      <c r="B276" s="1" t="s">
        <v>151</v>
      </c>
      <c r="C276" s="1" t="s">
        <v>301</v>
      </c>
      <c r="D276" s="1">
        <v>3.0</v>
      </c>
      <c r="E276" s="1">
        <v>84.0</v>
      </c>
      <c r="F276" s="1">
        <v>2.0</v>
      </c>
      <c r="G276" s="1">
        <v>4.0</v>
      </c>
      <c r="H276" s="1" t="s">
        <v>32</v>
      </c>
      <c r="I276" s="1" t="s">
        <v>17</v>
      </c>
      <c r="J276" s="1" t="s">
        <v>18</v>
      </c>
      <c r="K276" s="1">
        <v>145000.0</v>
      </c>
      <c r="L276" s="1">
        <v>56.9650403499999</v>
      </c>
      <c r="M276" s="1">
        <v>24.0617817917367</v>
      </c>
    </row>
    <row r="277">
      <c r="A277" s="1" t="s">
        <v>22</v>
      </c>
      <c r="B277" s="1" t="s">
        <v>38</v>
      </c>
      <c r="C277" s="1" t="s">
        <v>188</v>
      </c>
      <c r="D277" s="1">
        <v>3.0</v>
      </c>
      <c r="E277" s="1">
        <v>68.0</v>
      </c>
      <c r="F277" s="1">
        <v>3.0</v>
      </c>
      <c r="G277" s="1">
        <v>4.0</v>
      </c>
      <c r="H277" s="1" t="s">
        <v>32</v>
      </c>
      <c r="I277" s="1" t="s">
        <v>122</v>
      </c>
      <c r="J277" s="1" t="s">
        <v>18</v>
      </c>
      <c r="K277" s="1">
        <v>110000.0</v>
      </c>
      <c r="L277" s="1">
        <v>56.95698695</v>
      </c>
      <c r="M277" s="1">
        <v>24.0186127580713</v>
      </c>
    </row>
    <row r="278">
      <c r="A278" s="1" t="s">
        <v>22</v>
      </c>
      <c r="B278" s="1" t="s">
        <v>151</v>
      </c>
      <c r="C278" s="1" t="s">
        <v>302</v>
      </c>
      <c r="D278" s="1">
        <v>2.0</v>
      </c>
      <c r="E278" s="1">
        <v>43.0</v>
      </c>
      <c r="F278" s="1">
        <v>3.0</v>
      </c>
      <c r="G278" s="1">
        <v>5.0</v>
      </c>
      <c r="H278" s="1" t="s">
        <v>44</v>
      </c>
      <c r="I278" s="1" t="s">
        <v>33</v>
      </c>
      <c r="J278" s="1" t="s">
        <v>18</v>
      </c>
      <c r="K278" s="1">
        <v>35000.0</v>
      </c>
      <c r="L278" s="1">
        <v>56.9678207</v>
      </c>
      <c r="M278" s="1">
        <v>24.0484273830414</v>
      </c>
    </row>
    <row r="279">
      <c r="A279" s="1" t="s">
        <v>22</v>
      </c>
      <c r="B279" s="1" t="s">
        <v>23</v>
      </c>
      <c r="C279" s="1" t="s">
        <v>303</v>
      </c>
      <c r="D279" s="1">
        <v>5.0</v>
      </c>
      <c r="E279" s="1">
        <v>145.0</v>
      </c>
      <c r="F279" s="1">
        <v>4.0</v>
      </c>
      <c r="G279" s="1">
        <v>5.0</v>
      </c>
      <c r="H279" s="1" t="s">
        <v>25</v>
      </c>
      <c r="I279" s="1" t="s">
        <v>33</v>
      </c>
      <c r="J279" s="1" t="s">
        <v>18</v>
      </c>
      <c r="K279" s="1">
        <v>220000.0</v>
      </c>
      <c r="L279" s="1">
        <v>56.9614591499999</v>
      </c>
      <c r="M279" s="1">
        <v>24.1092928040999</v>
      </c>
    </row>
    <row r="280">
      <c r="A280" s="1" t="s">
        <v>22</v>
      </c>
      <c r="B280" s="1" t="s">
        <v>94</v>
      </c>
      <c r="C280" s="1" t="s">
        <v>304</v>
      </c>
      <c r="D280" s="1">
        <v>3.0</v>
      </c>
      <c r="E280" s="1">
        <v>59.0</v>
      </c>
      <c r="F280" s="1">
        <v>9.0</v>
      </c>
      <c r="G280" s="1">
        <v>9.0</v>
      </c>
      <c r="H280" s="1">
        <v>467.0</v>
      </c>
      <c r="I280" s="1" t="s">
        <v>21</v>
      </c>
      <c r="J280" s="1" t="s">
        <v>18</v>
      </c>
      <c r="K280" s="1">
        <v>58500.0</v>
      </c>
      <c r="L280" s="1">
        <v>56.9281595</v>
      </c>
      <c r="M280" s="1">
        <v>24.1723166</v>
      </c>
    </row>
    <row r="281">
      <c r="A281" s="1" t="s">
        <v>22</v>
      </c>
      <c r="B281" s="1" t="s">
        <v>129</v>
      </c>
      <c r="C281" s="1" t="s">
        <v>305</v>
      </c>
      <c r="D281" s="1">
        <v>1.0</v>
      </c>
      <c r="E281" s="1">
        <v>26.0</v>
      </c>
      <c r="F281" s="1">
        <v>2.0</v>
      </c>
      <c r="G281" s="1">
        <v>5.0</v>
      </c>
      <c r="H281" s="1" t="s">
        <v>44</v>
      </c>
      <c r="I281" s="1" t="s">
        <v>37</v>
      </c>
      <c r="J281" s="1" t="s">
        <v>18</v>
      </c>
      <c r="K281" s="1">
        <v>29800.0</v>
      </c>
      <c r="L281" s="1">
        <v>56.99858605</v>
      </c>
      <c r="M281" s="1">
        <v>24.1208792392751</v>
      </c>
    </row>
    <row r="282">
      <c r="A282" s="1" t="s">
        <v>22</v>
      </c>
      <c r="B282" s="1" t="s">
        <v>151</v>
      </c>
      <c r="C282" s="1" t="s">
        <v>306</v>
      </c>
      <c r="D282" s="1">
        <v>1.0</v>
      </c>
      <c r="E282" s="1">
        <v>27.0</v>
      </c>
      <c r="F282" s="1">
        <v>1.0</v>
      </c>
      <c r="G282" s="1">
        <v>5.0</v>
      </c>
      <c r="H282" s="1" t="s">
        <v>16</v>
      </c>
      <c r="I282" s="1" t="s">
        <v>21</v>
      </c>
      <c r="J282" s="1" t="s">
        <v>18</v>
      </c>
      <c r="K282" s="1">
        <v>32000.0</v>
      </c>
      <c r="L282" s="1">
        <v>56.97008835</v>
      </c>
      <c r="M282" s="1">
        <v>24.0668175830755</v>
      </c>
    </row>
    <row r="283">
      <c r="A283" s="1" t="s">
        <v>13</v>
      </c>
      <c r="B283" s="1" t="s">
        <v>45</v>
      </c>
      <c r="C283" s="1" t="s">
        <v>307</v>
      </c>
      <c r="D283" s="1">
        <v>1.0</v>
      </c>
      <c r="E283" s="1">
        <v>24.0</v>
      </c>
      <c r="F283" s="1">
        <v>1.0</v>
      </c>
      <c r="G283" s="1">
        <v>1.0</v>
      </c>
      <c r="H283" s="1" t="s">
        <v>36</v>
      </c>
      <c r="I283" s="1" t="s">
        <v>37</v>
      </c>
      <c r="J283" s="1" t="s">
        <v>18</v>
      </c>
      <c r="K283" s="1">
        <v>195.0</v>
      </c>
      <c r="L283" s="1">
        <v>57.0237089</v>
      </c>
      <c r="M283" s="1">
        <v>24.1281801</v>
      </c>
    </row>
    <row r="284">
      <c r="A284" s="1" t="s">
        <v>13</v>
      </c>
      <c r="B284" s="1" t="s">
        <v>52</v>
      </c>
      <c r="C284" s="1" t="s">
        <v>308</v>
      </c>
      <c r="D284" s="1">
        <v>2.0</v>
      </c>
      <c r="E284" s="1">
        <v>60.0</v>
      </c>
      <c r="F284" s="1">
        <v>9.0</v>
      </c>
      <c r="G284" s="1">
        <v>5.0</v>
      </c>
      <c r="H284" s="1">
        <v>119.0</v>
      </c>
      <c r="I284" s="1" t="s">
        <v>21</v>
      </c>
      <c r="J284" s="1" t="s">
        <v>18</v>
      </c>
      <c r="K284" s="1">
        <v>300.0</v>
      </c>
      <c r="L284" s="1">
        <v>56.94351315</v>
      </c>
      <c r="M284" s="1">
        <v>24.0076244266968</v>
      </c>
    </row>
    <row r="285">
      <c r="A285" s="1" t="s">
        <v>22</v>
      </c>
      <c r="B285" s="1" t="s">
        <v>134</v>
      </c>
      <c r="C285" s="1" t="s">
        <v>309</v>
      </c>
      <c r="D285" s="1">
        <v>2.0</v>
      </c>
      <c r="E285" s="1">
        <v>53.0</v>
      </c>
      <c r="F285" s="1">
        <v>5.0</v>
      </c>
      <c r="G285" s="1">
        <v>5.0</v>
      </c>
      <c r="H285" s="1">
        <v>103.0</v>
      </c>
      <c r="I285" s="1" t="s">
        <v>17</v>
      </c>
      <c r="J285" s="1" t="s">
        <v>18</v>
      </c>
      <c r="K285" s="1">
        <v>34980.0</v>
      </c>
      <c r="L285" s="1">
        <v>57.03644015</v>
      </c>
      <c r="M285" s="1">
        <v>24.0276650247552</v>
      </c>
    </row>
    <row r="286">
      <c r="A286" s="1" t="s">
        <v>22</v>
      </c>
      <c r="B286" s="1" t="s">
        <v>48</v>
      </c>
      <c r="C286" s="1" t="s">
        <v>310</v>
      </c>
      <c r="D286" s="1">
        <v>1.0</v>
      </c>
      <c r="E286" s="1">
        <v>46.0</v>
      </c>
      <c r="F286" s="1">
        <v>8.0</v>
      </c>
      <c r="G286" s="1">
        <v>16.0</v>
      </c>
      <c r="H286" s="1">
        <v>104.0</v>
      </c>
      <c r="I286" s="1" t="s">
        <v>21</v>
      </c>
      <c r="J286" s="1" t="s">
        <v>18</v>
      </c>
      <c r="K286" s="1">
        <v>45000.0</v>
      </c>
      <c r="L286" s="1">
        <v>56.9671489</v>
      </c>
      <c r="M286" s="1">
        <v>24.2375509025527</v>
      </c>
    </row>
    <row r="287">
      <c r="A287" s="1" t="s">
        <v>13</v>
      </c>
      <c r="B287" s="1" t="s">
        <v>23</v>
      </c>
      <c r="C287" s="1" t="s">
        <v>311</v>
      </c>
      <c r="D287" s="1">
        <v>3.0</v>
      </c>
      <c r="E287" s="1">
        <v>70.0</v>
      </c>
      <c r="F287" s="1">
        <v>2.0</v>
      </c>
      <c r="G287" s="1">
        <v>3.0</v>
      </c>
      <c r="H287" s="1" t="s">
        <v>25</v>
      </c>
      <c r="I287" s="1" t="s">
        <v>33</v>
      </c>
      <c r="J287" s="1" t="s">
        <v>18</v>
      </c>
      <c r="K287" s="1">
        <v>410.0</v>
      </c>
      <c r="L287" s="1">
        <v>56.8597884</v>
      </c>
      <c r="M287" s="1">
        <v>24.3083417</v>
      </c>
    </row>
    <row r="288">
      <c r="A288" s="1" t="s">
        <v>22</v>
      </c>
      <c r="B288" s="1" t="s">
        <v>23</v>
      </c>
      <c r="C288" s="1" t="s">
        <v>312</v>
      </c>
      <c r="D288" s="1">
        <v>4.0</v>
      </c>
      <c r="E288" s="1">
        <v>99.0</v>
      </c>
      <c r="F288" s="1">
        <v>6.0</v>
      </c>
      <c r="G288" s="1">
        <v>6.0</v>
      </c>
      <c r="H288" s="1" t="s">
        <v>25</v>
      </c>
      <c r="I288" s="1" t="s">
        <v>37</v>
      </c>
      <c r="J288" s="1" t="s">
        <v>27</v>
      </c>
      <c r="K288" s="1">
        <v>95000.0</v>
      </c>
      <c r="L288" s="1">
        <v>56.9527504</v>
      </c>
      <c r="M288" s="1">
        <v>24.124026</v>
      </c>
    </row>
    <row r="289">
      <c r="A289" s="1" t="s">
        <v>13</v>
      </c>
      <c r="B289" s="1" t="s">
        <v>23</v>
      </c>
      <c r="C289" s="1" t="s">
        <v>313</v>
      </c>
      <c r="D289" s="1">
        <v>2.0</v>
      </c>
      <c r="E289" s="1">
        <v>48.0</v>
      </c>
      <c r="F289" s="1">
        <v>1.0</v>
      </c>
      <c r="G289" s="1">
        <v>4.0</v>
      </c>
      <c r="H289" s="1" t="s">
        <v>25</v>
      </c>
      <c r="I289" s="1" t="s">
        <v>33</v>
      </c>
      <c r="J289" s="1" t="s">
        <v>18</v>
      </c>
      <c r="K289" s="1">
        <v>450.0</v>
      </c>
      <c r="L289" s="1">
        <v>56.9526541</v>
      </c>
      <c r="M289" s="1">
        <v>24.1433157</v>
      </c>
    </row>
    <row r="290">
      <c r="A290" s="1" t="s">
        <v>13</v>
      </c>
      <c r="B290" s="1" t="s">
        <v>28</v>
      </c>
      <c r="C290" s="1" t="s">
        <v>314</v>
      </c>
      <c r="D290" s="1">
        <v>1.0</v>
      </c>
      <c r="E290" s="1">
        <v>19.0</v>
      </c>
      <c r="F290" s="1">
        <v>1.0</v>
      </c>
      <c r="G290" s="1">
        <v>1.0</v>
      </c>
      <c r="H290" s="1" t="s">
        <v>66</v>
      </c>
      <c r="I290" s="1" t="s">
        <v>37</v>
      </c>
      <c r="J290" s="1" t="s">
        <v>18</v>
      </c>
      <c r="K290" s="1">
        <v>192.0</v>
      </c>
      <c r="L290" s="1">
        <v>56.9293636</v>
      </c>
      <c r="M290" s="1">
        <v>24.1835723</v>
      </c>
    </row>
    <row r="291">
      <c r="A291" s="1" t="s">
        <v>22</v>
      </c>
      <c r="B291" s="1" t="s">
        <v>14</v>
      </c>
      <c r="C291" s="1" t="s">
        <v>315</v>
      </c>
      <c r="D291" s="1">
        <v>1.0</v>
      </c>
      <c r="E291" s="1">
        <v>46.0</v>
      </c>
      <c r="F291" s="1">
        <v>8.0</v>
      </c>
      <c r="G291" s="1">
        <v>12.0</v>
      </c>
      <c r="H291" s="1">
        <v>104.0</v>
      </c>
      <c r="I291" s="1" t="s">
        <v>21</v>
      </c>
      <c r="J291" s="1" t="s">
        <v>18</v>
      </c>
      <c r="K291" s="1">
        <v>52000.0</v>
      </c>
      <c r="L291" s="1">
        <v>56.95341415</v>
      </c>
      <c r="M291" s="1">
        <v>24.1672841</v>
      </c>
    </row>
    <row r="292">
      <c r="A292" s="1" t="s">
        <v>13</v>
      </c>
      <c r="B292" s="1" t="s">
        <v>38</v>
      </c>
      <c r="C292" s="1" t="s">
        <v>316</v>
      </c>
      <c r="D292" s="1">
        <v>1.0</v>
      </c>
      <c r="E292" s="1">
        <v>33.0</v>
      </c>
      <c r="F292" s="1">
        <v>7.0</v>
      </c>
      <c r="G292" s="1">
        <v>9.0</v>
      </c>
      <c r="H292" s="1">
        <v>602.0</v>
      </c>
      <c r="I292" s="1" t="s">
        <v>21</v>
      </c>
      <c r="J292" s="1" t="s">
        <v>18</v>
      </c>
      <c r="K292" s="1">
        <v>240.0</v>
      </c>
      <c r="L292" s="1" t="s">
        <v>40</v>
      </c>
      <c r="M292" s="1" t="s">
        <v>40</v>
      </c>
    </row>
    <row r="293">
      <c r="A293" s="1" t="s">
        <v>13</v>
      </c>
      <c r="B293" s="1" t="s">
        <v>38</v>
      </c>
      <c r="C293" s="1" t="s">
        <v>317</v>
      </c>
      <c r="D293" s="1">
        <v>2.0</v>
      </c>
      <c r="E293" s="1">
        <v>39.0</v>
      </c>
      <c r="F293" s="1">
        <v>3.0</v>
      </c>
      <c r="G293" s="1">
        <v>5.0</v>
      </c>
      <c r="H293" s="1" t="s">
        <v>16</v>
      </c>
      <c r="I293" s="1" t="s">
        <v>21</v>
      </c>
      <c r="J293" s="1" t="s">
        <v>18</v>
      </c>
      <c r="K293" s="1">
        <v>230.0</v>
      </c>
      <c r="L293" s="1">
        <v>56.95841805</v>
      </c>
      <c r="M293" s="1">
        <v>24.0059629092062</v>
      </c>
    </row>
    <row r="294">
      <c r="A294" s="1" t="s">
        <v>22</v>
      </c>
      <c r="B294" s="1" t="s">
        <v>23</v>
      </c>
      <c r="C294" s="1" t="s">
        <v>139</v>
      </c>
      <c r="D294" s="1">
        <v>1.0</v>
      </c>
      <c r="E294" s="1">
        <v>23.0</v>
      </c>
      <c r="F294" s="1">
        <v>2.0</v>
      </c>
      <c r="G294" s="1">
        <v>5.0</v>
      </c>
      <c r="H294" s="1" t="s">
        <v>66</v>
      </c>
      <c r="I294" s="1" t="s">
        <v>33</v>
      </c>
      <c r="J294" s="1" t="s">
        <v>18</v>
      </c>
      <c r="K294" s="1">
        <v>38500.0</v>
      </c>
      <c r="L294" s="1">
        <v>56.9508163</v>
      </c>
      <c r="M294" s="1">
        <v>24.1271389</v>
      </c>
    </row>
    <row r="295">
      <c r="A295" s="1" t="s">
        <v>22</v>
      </c>
      <c r="B295" s="1" t="s">
        <v>96</v>
      </c>
      <c r="C295" s="1" t="s">
        <v>318</v>
      </c>
      <c r="D295" s="1">
        <v>2.0</v>
      </c>
      <c r="E295" s="1">
        <v>52.0</v>
      </c>
      <c r="F295" s="1">
        <v>5.0</v>
      </c>
      <c r="G295" s="1">
        <v>5.0</v>
      </c>
      <c r="H295" s="1" t="s">
        <v>16</v>
      </c>
      <c r="I295" s="1" t="s">
        <v>21</v>
      </c>
      <c r="J295" s="1" t="s">
        <v>18</v>
      </c>
      <c r="K295" s="1">
        <v>33000.0</v>
      </c>
      <c r="L295" s="1">
        <v>57.0326345</v>
      </c>
      <c r="M295" s="1">
        <v>24.1122608</v>
      </c>
    </row>
    <row r="296">
      <c r="A296" s="1" t="s">
        <v>22</v>
      </c>
      <c r="B296" s="1" t="s">
        <v>23</v>
      </c>
      <c r="C296" s="1" t="s">
        <v>139</v>
      </c>
      <c r="D296" s="1">
        <v>2.0</v>
      </c>
      <c r="E296" s="1">
        <v>41.0</v>
      </c>
      <c r="F296" s="1">
        <v>2.0</v>
      </c>
      <c r="G296" s="1">
        <v>5.0</v>
      </c>
      <c r="H296" s="1" t="s">
        <v>66</v>
      </c>
      <c r="I296" s="1" t="s">
        <v>37</v>
      </c>
      <c r="J296" s="1" t="s">
        <v>18</v>
      </c>
      <c r="K296" s="1">
        <v>53500.0</v>
      </c>
      <c r="L296" s="1">
        <v>56.9508163</v>
      </c>
      <c r="M296" s="1">
        <v>24.1271389</v>
      </c>
    </row>
    <row r="297">
      <c r="A297" s="1" t="s">
        <v>13</v>
      </c>
      <c r="B297" s="1" t="s">
        <v>23</v>
      </c>
      <c r="C297" s="1" t="s">
        <v>319</v>
      </c>
      <c r="D297" s="1">
        <v>1.0</v>
      </c>
      <c r="E297" s="1">
        <v>12.0</v>
      </c>
      <c r="F297" s="1">
        <v>5.0</v>
      </c>
      <c r="G297" s="1">
        <v>5.0</v>
      </c>
      <c r="H297" s="1" t="s">
        <v>25</v>
      </c>
      <c r="I297" s="1" t="s">
        <v>37</v>
      </c>
      <c r="J297" s="1" t="s">
        <v>18</v>
      </c>
      <c r="K297" s="1">
        <v>115.0</v>
      </c>
      <c r="L297" s="1">
        <v>56.94937815</v>
      </c>
      <c r="M297" s="1">
        <v>24.1424140182867</v>
      </c>
    </row>
    <row r="298">
      <c r="A298" s="1" t="s">
        <v>13</v>
      </c>
      <c r="B298" s="1" t="s">
        <v>42</v>
      </c>
      <c r="C298" s="1" t="s">
        <v>320</v>
      </c>
      <c r="D298" s="1">
        <v>1.0</v>
      </c>
      <c r="E298" s="1">
        <v>38.0</v>
      </c>
      <c r="F298" s="1">
        <v>8.0</v>
      </c>
      <c r="G298" s="1">
        <v>12.0</v>
      </c>
      <c r="H298" s="1" t="s">
        <v>36</v>
      </c>
      <c r="I298" s="1" t="s">
        <v>37</v>
      </c>
      <c r="J298" s="1" t="s">
        <v>18</v>
      </c>
      <c r="K298" s="1">
        <v>180.0</v>
      </c>
      <c r="L298" s="1">
        <v>56.98820105</v>
      </c>
      <c r="M298" s="1">
        <v>24.2432239392002</v>
      </c>
    </row>
    <row r="299">
      <c r="A299" s="1" t="s">
        <v>13</v>
      </c>
      <c r="B299" s="1" t="s">
        <v>104</v>
      </c>
      <c r="C299" s="1" t="s">
        <v>321</v>
      </c>
      <c r="D299" s="1">
        <v>3.0</v>
      </c>
      <c r="E299" s="1">
        <v>70.0</v>
      </c>
      <c r="F299" s="1">
        <v>1.0</v>
      </c>
      <c r="G299" s="1">
        <v>1.0</v>
      </c>
      <c r="H299" s="1" t="s">
        <v>32</v>
      </c>
      <c r="I299" s="1" t="s">
        <v>37</v>
      </c>
      <c r="J299" s="1" t="s">
        <v>18</v>
      </c>
      <c r="K299" s="1">
        <v>735.0</v>
      </c>
      <c r="L299" s="1">
        <v>56.94107515</v>
      </c>
      <c r="M299" s="1">
        <v>24.0537289468904</v>
      </c>
    </row>
    <row r="300">
      <c r="A300" s="1" t="s">
        <v>13</v>
      </c>
      <c r="B300" s="1" t="s">
        <v>38</v>
      </c>
      <c r="C300" s="1" t="s">
        <v>322</v>
      </c>
      <c r="D300" s="1">
        <v>2.0</v>
      </c>
      <c r="E300" s="1">
        <v>60.0</v>
      </c>
      <c r="F300" s="1">
        <v>11.0</v>
      </c>
      <c r="G300" s="1">
        <v>16.0</v>
      </c>
      <c r="H300" s="1" t="s">
        <v>36</v>
      </c>
      <c r="I300" s="1" t="s">
        <v>37</v>
      </c>
      <c r="J300" s="1" t="s">
        <v>18</v>
      </c>
      <c r="K300" s="1">
        <v>330.0</v>
      </c>
      <c r="L300" s="1">
        <v>56.9494099</v>
      </c>
      <c r="M300" s="1">
        <v>24.0102727</v>
      </c>
    </row>
    <row r="301">
      <c r="A301" s="1" t="s">
        <v>22</v>
      </c>
      <c r="B301" s="1" t="s">
        <v>14</v>
      </c>
      <c r="C301" s="1" t="s">
        <v>323</v>
      </c>
      <c r="D301" s="1">
        <v>3.0</v>
      </c>
      <c r="E301" s="1">
        <v>59.0</v>
      </c>
      <c r="F301" s="1">
        <v>1.0</v>
      </c>
      <c r="G301" s="1">
        <v>5.0</v>
      </c>
      <c r="H301" s="1" t="s">
        <v>16</v>
      </c>
      <c r="I301" s="1" t="s">
        <v>21</v>
      </c>
      <c r="J301" s="1" t="s">
        <v>18</v>
      </c>
      <c r="K301" s="1">
        <v>53500.0</v>
      </c>
      <c r="L301" s="1">
        <v>56.95508155</v>
      </c>
      <c r="M301" s="1">
        <v>24.1768222238815</v>
      </c>
    </row>
    <row r="302">
      <c r="A302" s="1" t="s">
        <v>22</v>
      </c>
      <c r="B302" s="1" t="s">
        <v>38</v>
      </c>
      <c r="C302" s="1" t="s">
        <v>324</v>
      </c>
      <c r="D302" s="1">
        <v>3.0</v>
      </c>
      <c r="E302" s="1">
        <v>67.0</v>
      </c>
      <c r="F302" s="1">
        <v>2.0</v>
      </c>
      <c r="G302" s="1">
        <v>5.0</v>
      </c>
      <c r="H302" s="1" t="s">
        <v>16</v>
      </c>
      <c r="I302" s="1" t="s">
        <v>21</v>
      </c>
      <c r="J302" s="1" t="s">
        <v>27</v>
      </c>
      <c r="K302" s="1">
        <v>58000.0</v>
      </c>
      <c r="L302" s="1">
        <v>56.9605689499999</v>
      </c>
      <c r="M302" s="1">
        <v>24.0228425</v>
      </c>
    </row>
    <row r="303">
      <c r="A303" s="1" t="s">
        <v>22</v>
      </c>
      <c r="B303" s="1" t="s">
        <v>23</v>
      </c>
      <c r="C303" s="1" t="s">
        <v>325</v>
      </c>
      <c r="D303" s="1">
        <v>4.0</v>
      </c>
      <c r="E303" s="1">
        <v>138.0</v>
      </c>
      <c r="F303" s="1">
        <v>3.0</v>
      </c>
      <c r="G303" s="1">
        <v>5.0</v>
      </c>
      <c r="H303" s="1" t="s">
        <v>25</v>
      </c>
      <c r="I303" s="1" t="s">
        <v>33</v>
      </c>
      <c r="J303" s="1" t="s">
        <v>18</v>
      </c>
      <c r="K303" s="1">
        <v>199000.0</v>
      </c>
      <c r="L303" s="1">
        <v>56.9599606</v>
      </c>
      <c r="M303" s="1">
        <v>24.1209763</v>
      </c>
    </row>
    <row r="304">
      <c r="A304" s="1" t="s">
        <v>22</v>
      </c>
      <c r="B304" s="1" t="s">
        <v>23</v>
      </c>
      <c r="C304" s="1" t="s">
        <v>84</v>
      </c>
      <c r="D304" s="1">
        <v>2.0</v>
      </c>
      <c r="E304" s="1">
        <v>47.0</v>
      </c>
      <c r="F304" s="1">
        <v>2.0</v>
      </c>
      <c r="G304" s="1">
        <v>5.0</v>
      </c>
      <c r="H304" s="1" t="s">
        <v>66</v>
      </c>
      <c r="I304" s="1" t="s">
        <v>33</v>
      </c>
      <c r="J304" s="1" t="s">
        <v>18</v>
      </c>
      <c r="K304" s="1">
        <v>147000.0</v>
      </c>
      <c r="L304" s="1">
        <v>56.9506147</v>
      </c>
      <c r="M304" s="1">
        <v>24.1212313</v>
      </c>
    </row>
    <row r="305">
      <c r="A305" s="1" t="s">
        <v>22</v>
      </c>
      <c r="B305" s="1" t="s">
        <v>104</v>
      </c>
      <c r="C305" s="1" t="s">
        <v>326</v>
      </c>
      <c r="D305" s="1">
        <v>4.0</v>
      </c>
      <c r="E305" s="1">
        <v>88.0</v>
      </c>
      <c r="F305" s="1">
        <v>2.0</v>
      </c>
      <c r="G305" s="1">
        <v>4.0</v>
      </c>
      <c r="H305" s="1" t="s">
        <v>25</v>
      </c>
      <c r="I305" s="1" t="s">
        <v>37</v>
      </c>
      <c r="J305" s="1" t="s">
        <v>18</v>
      </c>
      <c r="K305" s="1">
        <v>105000.0</v>
      </c>
      <c r="L305" s="1">
        <v>56.944822</v>
      </c>
      <c r="M305" s="1">
        <v>24.0748749853437</v>
      </c>
    </row>
    <row r="306">
      <c r="A306" s="1" t="s">
        <v>13</v>
      </c>
      <c r="B306" s="1" t="s">
        <v>104</v>
      </c>
      <c r="C306" s="1" t="s">
        <v>327</v>
      </c>
      <c r="D306" s="1">
        <v>1.0</v>
      </c>
      <c r="E306" s="1">
        <v>25.0</v>
      </c>
      <c r="F306" s="1">
        <v>3.0</v>
      </c>
      <c r="G306" s="1">
        <v>5.0</v>
      </c>
      <c r="H306" s="1" t="s">
        <v>25</v>
      </c>
      <c r="I306" s="1" t="s">
        <v>33</v>
      </c>
      <c r="J306" s="1" t="s">
        <v>27</v>
      </c>
      <c r="K306" s="1">
        <v>200.0</v>
      </c>
      <c r="L306" s="1">
        <v>56.9376655</v>
      </c>
      <c r="M306" s="1">
        <v>24.0718085</v>
      </c>
    </row>
    <row r="307">
      <c r="A307" s="1" t="s">
        <v>22</v>
      </c>
      <c r="B307" s="1" t="s">
        <v>74</v>
      </c>
      <c r="C307" s="1" t="s">
        <v>328</v>
      </c>
      <c r="D307" s="1">
        <v>3.0</v>
      </c>
      <c r="E307" s="1">
        <v>73.0</v>
      </c>
      <c r="F307" s="1">
        <v>4.0</v>
      </c>
      <c r="G307" s="1">
        <v>16.0</v>
      </c>
      <c r="H307" s="1" t="s">
        <v>36</v>
      </c>
      <c r="I307" s="1" t="s">
        <v>33</v>
      </c>
      <c r="J307" s="1" t="s">
        <v>18</v>
      </c>
      <c r="K307" s="1">
        <v>89000.0</v>
      </c>
      <c r="L307" s="1">
        <v>56.9413857</v>
      </c>
      <c r="M307" s="1">
        <v>24.2040933</v>
      </c>
    </row>
    <row r="308">
      <c r="A308" s="1" t="s">
        <v>22</v>
      </c>
      <c r="B308" s="1" t="s">
        <v>23</v>
      </c>
      <c r="C308" s="1" t="s">
        <v>329</v>
      </c>
      <c r="D308" s="1">
        <v>3.0</v>
      </c>
      <c r="E308" s="1">
        <v>73.0</v>
      </c>
      <c r="F308" s="1">
        <v>4.0</v>
      </c>
      <c r="G308" s="1">
        <v>4.0</v>
      </c>
      <c r="H308" s="1" t="s">
        <v>66</v>
      </c>
      <c r="I308" s="1" t="s">
        <v>33</v>
      </c>
      <c r="J308" s="1" t="s">
        <v>18</v>
      </c>
      <c r="K308" s="1">
        <v>135000.0</v>
      </c>
      <c r="L308" s="1">
        <v>56.9607774</v>
      </c>
      <c r="M308" s="1">
        <v>24.1360568</v>
      </c>
    </row>
    <row r="309">
      <c r="A309" s="1" t="s">
        <v>22</v>
      </c>
      <c r="B309" s="1" t="s">
        <v>23</v>
      </c>
      <c r="C309" s="1" t="s">
        <v>329</v>
      </c>
      <c r="D309" s="1">
        <v>2.0</v>
      </c>
      <c r="E309" s="1">
        <v>52.0</v>
      </c>
      <c r="F309" s="1">
        <v>3.0</v>
      </c>
      <c r="G309" s="1">
        <v>4.0</v>
      </c>
      <c r="H309" s="1" t="s">
        <v>66</v>
      </c>
      <c r="I309" s="1" t="s">
        <v>33</v>
      </c>
      <c r="J309" s="1" t="s">
        <v>18</v>
      </c>
      <c r="K309" s="1">
        <v>90000.0</v>
      </c>
      <c r="L309" s="1">
        <v>56.9607774</v>
      </c>
      <c r="M309" s="1">
        <v>24.1360568</v>
      </c>
    </row>
    <row r="310">
      <c r="A310" s="1" t="s">
        <v>13</v>
      </c>
      <c r="B310" s="1" t="s">
        <v>19</v>
      </c>
      <c r="C310" s="1" t="s">
        <v>330</v>
      </c>
      <c r="D310" s="1">
        <v>2.0</v>
      </c>
      <c r="E310" s="1">
        <v>55.0</v>
      </c>
      <c r="F310" s="1">
        <v>10.0</v>
      </c>
      <c r="G310" s="1">
        <v>10.0</v>
      </c>
      <c r="H310" s="1">
        <v>119.0</v>
      </c>
      <c r="I310" s="1" t="s">
        <v>122</v>
      </c>
      <c r="J310" s="1" t="s">
        <v>18</v>
      </c>
      <c r="K310" s="1">
        <v>330.0</v>
      </c>
      <c r="L310" s="1">
        <v>56.8990307</v>
      </c>
      <c r="M310" s="1">
        <v>24.0785989</v>
      </c>
    </row>
    <row r="311">
      <c r="A311" s="1" t="s">
        <v>22</v>
      </c>
      <c r="B311" s="1" t="s">
        <v>38</v>
      </c>
      <c r="C311" s="1" t="s">
        <v>331</v>
      </c>
      <c r="D311" s="1">
        <v>4.0</v>
      </c>
      <c r="E311" s="1">
        <v>125.0</v>
      </c>
      <c r="F311" s="1">
        <v>5.0</v>
      </c>
      <c r="G311" s="1">
        <v>7.0</v>
      </c>
      <c r="H311" s="1" t="s">
        <v>32</v>
      </c>
      <c r="I311" s="1" t="s">
        <v>17</v>
      </c>
      <c r="J311" s="1" t="s">
        <v>18</v>
      </c>
      <c r="K311" s="1">
        <v>210000.0</v>
      </c>
      <c r="L311" s="1">
        <v>56.95789295</v>
      </c>
      <c r="M311" s="1">
        <v>24.0010354704442</v>
      </c>
    </row>
    <row r="312">
      <c r="A312" s="1" t="s">
        <v>22</v>
      </c>
      <c r="B312" s="1" t="s">
        <v>74</v>
      </c>
      <c r="C312" s="1" t="s">
        <v>332</v>
      </c>
      <c r="D312" s="1">
        <v>3.0</v>
      </c>
      <c r="E312" s="1">
        <v>67.0</v>
      </c>
      <c r="F312" s="1">
        <v>7.0</v>
      </c>
      <c r="G312" s="1">
        <v>9.0</v>
      </c>
      <c r="H312" s="1">
        <v>602.0</v>
      </c>
      <c r="I312" s="1" t="s">
        <v>17</v>
      </c>
      <c r="J312" s="1" t="s">
        <v>18</v>
      </c>
      <c r="K312" s="1">
        <v>65000.0</v>
      </c>
      <c r="L312" s="1">
        <v>56.9307254</v>
      </c>
      <c r="M312" s="1">
        <v>24.181101</v>
      </c>
    </row>
    <row r="313">
      <c r="A313" s="1" t="s">
        <v>13</v>
      </c>
      <c r="B313" s="1" t="s">
        <v>23</v>
      </c>
      <c r="C313" s="1" t="s">
        <v>333</v>
      </c>
      <c r="D313" s="1">
        <v>3.0</v>
      </c>
      <c r="E313" s="1">
        <v>142.0</v>
      </c>
      <c r="F313" s="1">
        <v>4.0</v>
      </c>
      <c r="G313" s="1">
        <v>7.0</v>
      </c>
      <c r="H313" s="1" t="s">
        <v>25</v>
      </c>
      <c r="I313" s="1" t="s">
        <v>17</v>
      </c>
      <c r="J313" s="1" t="s">
        <v>18</v>
      </c>
      <c r="K313" s="1">
        <v>1450.0</v>
      </c>
      <c r="L313" s="1">
        <v>56.9466833</v>
      </c>
      <c r="M313" s="1">
        <v>24.1077134</v>
      </c>
    </row>
    <row r="314">
      <c r="A314" s="1" t="s">
        <v>13</v>
      </c>
      <c r="B314" s="1" t="s">
        <v>23</v>
      </c>
      <c r="C314" s="1" t="s">
        <v>64</v>
      </c>
      <c r="D314" s="1">
        <v>2.0</v>
      </c>
      <c r="E314" s="1">
        <v>40.0</v>
      </c>
      <c r="F314" s="1">
        <v>4.0</v>
      </c>
      <c r="G314" s="1">
        <v>6.0</v>
      </c>
      <c r="H314" s="1" t="s">
        <v>25</v>
      </c>
      <c r="I314" s="1" t="s">
        <v>37</v>
      </c>
      <c r="J314" s="1" t="s">
        <v>18</v>
      </c>
      <c r="K314" s="1">
        <v>395.0</v>
      </c>
      <c r="L314" s="1">
        <v>56.9521436</v>
      </c>
      <c r="M314" s="1">
        <v>24.1276865</v>
      </c>
    </row>
    <row r="315">
      <c r="A315" s="1" t="s">
        <v>13</v>
      </c>
      <c r="B315" s="1" t="s">
        <v>45</v>
      </c>
      <c r="C315" s="1" t="s">
        <v>334</v>
      </c>
      <c r="D315" s="1">
        <v>2.0</v>
      </c>
      <c r="E315" s="1">
        <v>48.0</v>
      </c>
      <c r="F315" s="1">
        <v>3.0</v>
      </c>
      <c r="G315" s="1">
        <v>4.0</v>
      </c>
      <c r="H315" s="1" t="s">
        <v>36</v>
      </c>
      <c r="I315" s="1" t="s">
        <v>37</v>
      </c>
      <c r="J315" s="1" t="s">
        <v>18</v>
      </c>
      <c r="K315" s="1">
        <v>330.0</v>
      </c>
      <c r="L315" s="1" t="s">
        <v>40</v>
      </c>
      <c r="M315" s="1" t="s">
        <v>40</v>
      </c>
    </row>
    <row r="316">
      <c r="A316" s="1" t="s">
        <v>13</v>
      </c>
      <c r="B316" s="1" t="s">
        <v>23</v>
      </c>
      <c r="C316" s="1" t="s">
        <v>335</v>
      </c>
      <c r="D316" s="1">
        <v>1.0</v>
      </c>
      <c r="E316" s="1">
        <v>34.0</v>
      </c>
      <c r="F316" s="1">
        <v>5.0</v>
      </c>
      <c r="G316" s="1">
        <v>5.0</v>
      </c>
      <c r="H316" s="1" t="s">
        <v>36</v>
      </c>
      <c r="I316" s="1" t="s">
        <v>122</v>
      </c>
      <c r="J316" s="1" t="s">
        <v>18</v>
      </c>
      <c r="K316" s="1">
        <v>300.0</v>
      </c>
      <c r="L316" s="1">
        <v>56.97594855</v>
      </c>
      <c r="M316" s="1">
        <v>24.1376721961127</v>
      </c>
    </row>
    <row r="317">
      <c r="A317" s="1" t="s">
        <v>13</v>
      </c>
      <c r="B317" s="1" t="s">
        <v>23</v>
      </c>
      <c r="C317" s="1" t="s">
        <v>336</v>
      </c>
      <c r="D317" s="1" t="s">
        <v>90</v>
      </c>
      <c r="E317" s="1">
        <v>300.0</v>
      </c>
      <c r="F317" s="1">
        <v>4.0</v>
      </c>
      <c r="G317" s="1">
        <v>5.0</v>
      </c>
      <c r="H317" s="1" t="s">
        <v>36</v>
      </c>
      <c r="I317" s="1" t="s">
        <v>33</v>
      </c>
      <c r="J317" s="1" t="s">
        <v>18</v>
      </c>
      <c r="K317" s="1">
        <v>350.0</v>
      </c>
      <c r="L317" s="1">
        <v>56.9614331</v>
      </c>
      <c r="M317" s="1">
        <v>24.1331108</v>
      </c>
    </row>
    <row r="318">
      <c r="A318" s="1" t="s">
        <v>22</v>
      </c>
      <c r="B318" s="1" t="s">
        <v>273</v>
      </c>
      <c r="C318" s="1" t="s">
        <v>337</v>
      </c>
      <c r="D318" s="1">
        <v>2.0</v>
      </c>
      <c r="E318" s="1">
        <v>56.0</v>
      </c>
      <c r="F318" s="1">
        <v>2.0</v>
      </c>
      <c r="G318" s="1">
        <v>2.0</v>
      </c>
      <c r="H318" s="1" t="s">
        <v>32</v>
      </c>
      <c r="I318" s="1" t="s">
        <v>33</v>
      </c>
      <c r="J318" s="1" t="s">
        <v>18</v>
      </c>
      <c r="K318" s="1">
        <v>83800.0</v>
      </c>
      <c r="L318" s="1">
        <v>56.971791</v>
      </c>
      <c r="M318" s="1">
        <v>24.3179227</v>
      </c>
    </row>
    <row r="319">
      <c r="A319" s="1" t="s">
        <v>89</v>
      </c>
      <c r="B319" s="1" t="s">
        <v>52</v>
      </c>
      <c r="C319" s="2"/>
      <c r="D319" s="1" t="s">
        <v>90</v>
      </c>
      <c r="E319" s="2"/>
      <c r="F319" s="2"/>
      <c r="G319" s="2"/>
      <c r="H319" s="2"/>
      <c r="I319" s="2"/>
      <c r="J319" s="2"/>
      <c r="K319" s="2"/>
      <c r="L319" s="1">
        <v>46.3144754</v>
      </c>
      <c r="M319" s="1">
        <v>11.0480288</v>
      </c>
    </row>
    <row r="320">
      <c r="A320" s="1" t="s">
        <v>13</v>
      </c>
      <c r="B320" s="1" t="s">
        <v>104</v>
      </c>
      <c r="C320" s="1" t="s">
        <v>338</v>
      </c>
      <c r="D320" s="1">
        <v>3.0</v>
      </c>
      <c r="E320" s="1">
        <v>109.0</v>
      </c>
      <c r="F320" s="1">
        <v>8.0</v>
      </c>
      <c r="G320" s="1">
        <v>23.0</v>
      </c>
      <c r="H320" s="1" t="s">
        <v>32</v>
      </c>
      <c r="I320" s="1" t="s">
        <v>21</v>
      </c>
      <c r="J320" s="1" t="s">
        <v>18</v>
      </c>
      <c r="K320" s="1">
        <v>1200.0</v>
      </c>
      <c r="L320" s="1">
        <v>56.9483074</v>
      </c>
      <c r="M320" s="1">
        <v>24.0801468</v>
      </c>
    </row>
    <row r="321">
      <c r="A321" s="1" t="s">
        <v>13</v>
      </c>
      <c r="B321" s="1" t="s">
        <v>82</v>
      </c>
      <c r="C321" s="1" t="s">
        <v>339</v>
      </c>
      <c r="D321" s="1">
        <v>3.0</v>
      </c>
      <c r="E321" s="1">
        <v>80.0</v>
      </c>
      <c r="F321" s="1">
        <v>1.0</v>
      </c>
      <c r="G321" s="1">
        <v>4.0</v>
      </c>
      <c r="H321" s="1" t="s">
        <v>66</v>
      </c>
      <c r="I321" s="1" t="s">
        <v>33</v>
      </c>
      <c r="J321" s="1" t="s">
        <v>18</v>
      </c>
      <c r="K321" s="1">
        <v>1200.0</v>
      </c>
      <c r="L321" s="1">
        <v>56.9608406</v>
      </c>
      <c r="M321" s="1">
        <v>24.0817647913357</v>
      </c>
    </row>
    <row r="322">
      <c r="A322" s="1" t="s">
        <v>22</v>
      </c>
      <c r="B322" s="1" t="s">
        <v>82</v>
      </c>
      <c r="C322" s="1" t="s">
        <v>340</v>
      </c>
      <c r="D322" s="1">
        <v>3.0</v>
      </c>
      <c r="E322" s="1">
        <v>104.0</v>
      </c>
      <c r="F322" s="1">
        <v>2.0</v>
      </c>
      <c r="G322" s="1">
        <v>2.0</v>
      </c>
      <c r="H322" s="1" t="s">
        <v>32</v>
      </c>
      <c r="I322" s="1" t="s">
        <v>33</v>
      </c>
      <c r="J322" s="1" t="s">
        <v>18</v>
      </c>
      <c r="K322" s="1">
        <v>320000.0</v>
      </c>
      <c r="L322" s="1">
        <v>56.9606804</v>
      </c>
      <c r="M322" s="1">
        <v>24.0818363627676</v>
      </c>
    </row>
    <row r="323">
      <c r="A323" s="1" t="s">
        <v>13</v>
      </c>
      <c r="B323" s="1" t="s">
        <v>23</v>
      </c>
      <c r="C323" s="1" t="s">
        <v>341</v>
      </c>
      <c r="D323" s="1">
        <v>5.0</v>
      </c>
      <c r="E323" s="1">
        <v>250.0</v>
      </c>
      <c r="F323" s="1">
        <v>4.0</v>
      </c>
      <c r="G323" s="1">
        <v>6.0</v>
      </c>
      <c r="H323" s="1" t="s">
        <v>66</v>
      </c>
      <c r="I323" s="1" t="s">
        <v>33</v>
      </c>
      <c r="J323" s="1" t="s">
        <v>18</v>
      </c>
      <c r="K323" s="1">
        <v>2500.0</v>
      </c>
      <c r="L323" s="1">
        <v>56.9575648999999</v>
      </c>
      <c r="M323" s="1">
        <v>24.1253999790613</v>
      </c>
    </row>
    <row r="324">
      <c r="A324" s="1" t="s">
        <v>22</v>
      </c>
      <c r="B324" s="1" t="s">
        <v>23</v>
      </c>
      <c r="C324" s="1" t="s">
        <v>342</v>
      </c>
      <c r="D324" s="1">
        <v>2.0</v>
      </c>
      <c r="E324" s="1">
        <v>80.0</v>
      </c>
      <c r="F324" s="1">
        <v>1.0</v>
      </c>
      <c r="G324" s="1">
        <v>7.0</v>
      </c>
      <c r="H324" s="1" t="s">
        <v>25</v>
      </c>
      <c r="I324" s="1" t="s">
        <v>33</v>
      </c>
      <c r="J324" s="1" t="s">
        <v>18</v>
      </c>
      <c r="K324" s="1">
        <v>141000.0</v>
      </c>
      <c r="L324" s="1">
        <v>56.95264935</v>
      </c>
      <c r="M324" s="1">
        <v>24.1259069611911</v>
      </c>
    </row>
    <row r="325">
      <c r="A325" s="1" t="s">
        <v>22</v>
      </c>
      <c r="B325" s="1" t="s">
        <v>23</v>
      </c>
      <c r="C325" s="1" t="s">
        <v>343</v>
      </c>
      <c r="D325" s="1">
        <v>2.0</v>
      </c>
      <c r="E325" s="1">
        <v>33.0</v>
      </c>
      <c r="F325" s="1">
        <v>3.0</v>
      </c>
      <c r="G325" s="1">
        <v>7.0</v>
      </c>
      <c r="H325" s="1" t="s">
        <v>32</v>
      </c>
      <c r="I325" s="1" t="s">
        <v>17</v>
      </c>
      <c r="J325" s="1" t="s">
        <v>18</v>
      </c>
      <c r="K325" s="1">
        <v>80000.0</v>
      </c>
      <c r="L325" s="1">
        <v>56.9645861</v>
      </c>
      <c r="M325" s="1">
        <v>24.1286325</v>
      </c>
    </row>
    <row r="326">
      <c r="A326" s="1" t="s">
        <v>22</v>
      </c>
      <c r="B326" s="1" t="s">
        <v>23</v>
      </c>
      <c r="C326" s="1" t="s">
        <v>282</v>
      </c>
      <c r="D326" s="1">
        <v>3.0</v>
      </c>
      <c r="E326" s="1">
        <v>72.4</v>
      </c>
      <c r="F326" s="1">
        <v>2.0</v>
      </c>
      <c r="G326" s="1">
        <v>6.0</v>
      </c>
      <c r="H326" s="1" t="s">
        <v>36</v>
      </c>
      <c r="I326" s="1" t="s">
        <v>37</v>
      </c>
      <c r="J326" s="1" t="s">
        <v>18</v>
      </c>
      <c r="K326" s="1">
        <v>85000.0</v>
      </c>
      <c r="L326" s="1">
        <v>56.9607411</v>
      </c>
      <c r="M326" s="1">
        <v>24.1497716</v>
      </c>
    </row>
    <row r="327">
      <c r="A327" s="1" t="s">
        <v>13</v>
      </c>
      <c r="B327" s="1" t="s">
        <v>23</v>
      </c>
      <c r="C327" s="1" t="s">
        <v>344</v>
      </c>
      <c r="D327" s="1">
        <v>3.0</v>
      </c>
      <c r="E327" s="1">
        <v>98.0</v>
      </c>
      <c r="F327" s="1">
        <v>6.0</v>
      </c>
      <c r="G327" s="1">
        <v>7.0</v>
      </c>
      <c r="H327" s="1" t="s">
        <v>36</v>
      </c>
      <c r="I327" s="1" t="s">
        <v>37</v>
      </c>
      <c r="J327" s="1" t="s">
        <v>18</v>
      </c>
      <c r="K327" s="1">
        <v>750.0</v>
      </c>
      <c r="L327" s="1">
        <v>56.96134855</v>
      </c>
      <c r="M327" s="1">
        <v>24.1036355661932</v>
      </c>
    </row>
    <row r="328">
      <c r="A328" s="1" t="s">
        <v>13</v>
      </c>
      <c r="B328" s="1" t="s">
        <v>42</v>
      </c>
      <c r="C328" s="1" t="s">
        <v>345</v>
      </c>
      <c r="D328" s="1">
        <v>2.0</v>
      </c>
      <c r="E328" s="1">
        <v>48.0</v>
      </c>
      <c r="F328" s="1">
        <v>8.0</v>
      </c>
      <c r="G328" s="1">
        <v>12.0</v>
      </c>
      <c r="H328" s="1" t="s">
        <v>221</v>
      </c>
      <c r="I328" s="1" t="s">
        <v>17</v>
      </c>
      <c r="J328" s="1" t="s">
        <v>18</v>
      </c>
      <c r="K328" s="1">
        <v>320.0</v>
      </c>
      <c r="L328" s="1">
        <v>56.99359675</v>
      </c>
      <c r="M328" s="1">
        <v>24.2428441662371</v>
      </c>
    </row>
    <row r="329">
      <c r="A329" s="1" t="s">
        <v>13</v>
      </c>
      <c r="B329" s="1" t="s">
        <v>23</v>
      </c>
      <c r="C329" s="1" t="s">
        <v>346</v>
      </c>
      <c r="D329" s="1">
        <v>3.0</v>
      </c>
      <c r="E329" s="1">
        <v>95.0</v>
      </c>
      <c r="F329" s="1">
        <v>4.0</v>
      </c>
      <c r="G329" s="1">
        <v>5.0</v>
      </c>
      <c r="H329" s="1" t="s">
        <v>32</v>
      </c>
      <c r="I329" s="1" t="s">
        <v>33</v>
      </c>
      <c r="J329" s="1" t="s">
        <v>18</v>
      </c>
      <c r="K329" s="1">
        <v>550.0</v>
      </c>
      <c r="L329" s="1">
        <v>56.9539111499999</v>
      </c>
      <c r="M329" s="1">
        <v>24.1431538999999</v>
      </c>
    </row>
    <row r="330">
      <c r="A330" s="1" t="s">
        <v>22</v>
      </c>
      <c r="B330" s="1" t="s">
        <v>23</v>
      </c>
      <c r="C330" s="1" t="s">
        <v>347</v>
      </c>
      <c r="D330" s="1">
        <v>3.0</v>
      </c>
      <c r="E330" s="1">
        <v>167.0</v>
      </c>
      <c r="F330" s="1">
        <v>1.0</v>
      </c>
      <c r="G330" s="1">
        <v>7.0</v>
      </c>
      <c r="H330" s="1" t="s">
        <v>66</v>
      </c>
      <c r="I330" s="1" t="s">
        <v>17</v>
      </c>
      <c r="J330" s="1" t="s">
        <v>63</v>
      </c>
      <c r="K330" s="1">
        <v>19999.0</v>
      </c>
      <c r="L330" s="1">
        <v>56.9540264</v>
      </c>
      <c r="M330" s="1">
        <v>24.1191334866356</v>
      </c>
    </row>
    <row r="331">
      <c r="A331" s="1" t="s">
        <v>22</v>
      </c>
      <c r="B331" s="1" t="s">
        <v>42</v>
      </c>
      <c r="C331" s="1" t="s">
        <v>348</v>
      </c>
      <c r="D331" s="1">
        <v>2.0</v>
      </c>
      <c r="E331" s="1">
        <v>45.0</v>
      </c>
      <c r="F331" s="1">
        <v>5.0</v>
      </c>
      <c r="G331" s="1">
        <v>5.0</v>
      </c>
      <c r="H331" s="1" t="s">
        <v>44</v>
      </c>
      <c r="I331" s="1" t="s">
        <v>21</v>
      </c>
      <c r="J331" s="1" t="s">
        <v>18</v>
      </c>
      <c r="K331" s="1">
        <v>29999.0</v>
      </c>
      <c r="L331" s="1">
        <v>56.9761694</v>
      </c>
      <c r="M331" s="1">
        <v>24.2544503</v>
      </c>
    </row>
    <row r="332">
      <c r="A332" s="1" t="s">
        <v>13</v>
      </c>
      <c r="B332" s="1" t="s">
        <v>23</v>
      </c>
      <c r="C332" s="1" t="s">
        <v>349</v>
      </c>
      <c r="D332" s="1">
        <v>1.0</v>
      </c>
      <c r="E332" s="1">
        <v>19.0</v>
      </c>
      <c r="F332" s="1">
        <v>3.0</v>
      </c>
      <c r="G332" s="1">
        <v>5.0</v>
      </c>
      <c r="H332" s="1" t="s">
        <v>25</v>
      </c>
      <c r="I332" s="1" t="s">
        <v>37</v>
      </c>
      <c r="J332" s="1" t="s">
        <v>27</v>
      </c>
      <c r="K332" s="1">
        <v>180.0</v>
      </c>
      <c r="L332" s="1">
        <v>56.9408555</v>
      </c>
      <c r="M332" s="1">
        <v>24.1364923</v>
      </c>
    </row>
    <row r="333">
      <c r="A333" s="1" t="s">
        <v>13</v>
      </c>
      <c r="B333" s="1" t="s">
        <v>94</v>
      </c>
      <c r="C333" s="1" t="s">
        <v>350</v>
      </c>
      <c r="D333" s="1">
        <v>1.0</v>
      </c>
      <c r="E333" s="1">
        <v>36.0</v>
      </c>
      <c r="F333" s="1">
        <v>3.0</v>
      </c>
      <c r="G333" s="1">
        <v>4.0</v>
      </c>
      <c r="H333" s="1" t="s">
        <v>66</v>
      </c>
      <c r="I333" s="1" t="s">
        <v>17</v>
      </c>
      <c r="J333" s="1" t="s">
        <v>18</v>
      </c>
      <c r="K333" s="1">
        <v>55.0</v>
      </c>
      <c r="L333" s="1">
        <v>56.93045135</v>
      </c>
      <c r="M333" s="1">
        <v>24.1685884402146</v>
      </c>
    </row>
    <row r="334">
      <c r="A334" s="1" t="s">
        <v>13</v>
      </c>
      <c r="B334" s="1" t="s">
        <v>94</v>
      </c>
      <c r="C334" s="1" t="s">
        <v>350</v>
      </c>
      <c r="D334" s="1">
        <v>1.0</v>
      </c>
      <c r="E334" s="1">
        <v>23.0</v>
      </c>
      <c r="F334" s="1">
        <v>1.0</v>
      </c>
      <c r="G334" s="1">
        <v>4.0</v>
      </c>
      <c r="H334" s="1" t="s">
        <v>66</v>
      </c>
      <c r="I334" s="1" t="s">
        <v>37</v>
      </c>
      <c r="J334" s="1" t="s">
        <v>18</v>
      </c>
      <c r="K334" s="1">
        <v>220.0</v>
      </c>
      <c r="L334" s="1">
        <v>56.93045135</v>
      </c>
      <c r="M334" s="1">
        <v>24.1685884402146</v>
      </c>
    </row>
    <row r="335">
      <c r="A335" s="1" t="s">
        <v>22</v>
      </c>
      <c r="B335" s="1" t="s">
        <v>23</v>
      </c>
      <c r="C335" s="1" t="s">
        <v>351</v>
      </c>
      <c r="D335" s="1">
        <v>3.0</v>
      </c>
      <c r="E335" s="1">
        <v>71.0</v>
      </c>
      <c r="F335" s="1">
        <v>2.0</v>
      </c>
      <c r="G335" s="1">
        <v>5.0</v>
      </c>
      <c r="H335" s="1" t="s">
        <v>66</v>
      </c>
      <c r="I335" s="1" t="s">
        <v>33</v>
      </c>
      <c r="J335" s="1" t="s">
        <v>18</v>
      </c>
      <c r="K335" s="1">
        <v>159750.0</v>
      </c>
      <c r="L335" s="1">
        <v>56.9488745</v>
      </c>
      <c r="M335" s="1">
        <v>24.1266027446091</v>
      </c>
    </row>
    <row r="336">
      <c r="A336" s="1" t="s">
        <v>13</v>
      </c>
      <c r="B336" s="1" t="s">
        <v>104</v>
      </c>
      <c r="C336" s="1" t="s">
        <v>352</v>
      </c>
      <c r="D336" s="1">
        <v>2.0</v>
      </c>
      <c r="E336" s="1">
        <v>49.0</v>
      </c>
      <c r="F336" s="1">
        <v>3.0</v>
      </c>
      <c r="G336" s="1">
        <v>6.0</v>
      </c>
      <c r="H336" s="1" t="s">
        <v>32</v>
      </c>
      <c r="I336" s="1" t="s">
        <v>122</v>
      </c>
      <c r="J336" s="1" t="s">
        <v>18</v>
      </c>
      <c r="K336" s="1">
        <v>650.0</v>
      </c>
      <c r="L336" s="1">
        <v>56.9374039</v>
      </c>
      <c r="M336" s="1">
        <v>24.101176263114</v>
      </c>
    </row>
    <row r="337">
      <c r="A337" s="1" t="s">
        <v>22</v>
      </c>
      <c r="B337" s="1" t="s">
        <v>218</v>
      </c>
      <c r="C337" s="1" t="s">
        <v>353</v>
      </c>
      <c r="D337" s="1">
        <v>3.0</v>
      </c>
      <c r="E337" s="1">
        <v>91.0</v>
      </c>
      <c r="F337" s="1">
        <v>3.0</v>
      </c>
      <c r="G337" s="1">
        <v>5.0</v>
      </c>
      <c r="H337" s="1" t="s">
        <v>25</v>
      </c>
      <c r="I337" s="1" t="s">
        <v>33</v>
      </c>
      <c r="J337" s="1" t="s">
        <v>18</v>
      </c>
      <c r="K337" s="1">
        <v>164000.0</v>
      </c>
      <c r="L337" s="1">
        <v>56.9462191</v>
      </c>
      <c r="M337" s="1">
        <v>24.1099153</v>
      </c>
    </row>
    <row r="338">
      <c r="A338" s="1" t="s">
        <v>22</v>
      </c>
      <c r="B338" s="1" t="s">
        <v>38</v>
      </c>
      <c r="C338" s="1" t="s">
        <v>354</v>
      </c>
      <c r="D338" s="1">
        <v>2.0</v>
      </c>
      <c r="E338" s="1">
        <v>50.0</v>
      </c>
      <c r="F338" s="1">
        <v>1.0</v>
      </c>
      <c r="G338" s="1">
        <v>9.0</v>
      </c>
      <c r="H338" s="1">
        <v>602.0</v>
      </c>
      <c r="I338" s="1" t="s">
        <v>21</v>
      </c>
      <c r="J338" s="1" t="s">
        <v>18</v>
      </c>
      <c r="K338" s="1">
        <v>41700.0</v>
      </c>
      <c r="L338" s="1">
        <v>56.9618014</v>
      </c>
      <c r="M338" s="1">
        <v>24.0106912730601</v>
      </c>
    </row>
    <row r="339">
      <c r="A339" s="1" t="s">
        <v>89</v>
      </c>
      <c r="B339" s="1" t="s">
        <v>14</v>
      </c>
      <c r="C339" s="2"/>
      <c r="D339" s="1">
        <v>2.0</v>
      </c>
      <c r="E339" s="2"/>
      <c r="F339" s="2"/>
      <c r="G339" s="2"/>
      <c r="H339" s="2"/>
      <c r="I339" s="2"/>
      <c r="J339" s="1" t="s">
        <v>18</v>
      </c>
      <c r="K339" s="2"/>
      <c r="L339" s="1">
        <v>46.3144754</v>
      </c>
      <c r="M339" s="1">
        <v>11.0480288</v>
      </c>
    </row>
    <row r="340">
      <c r="A340" s="1" t="s">
        <v>89</v>
      </c>
      <c r="B340" s="1" t="s">
        <v>28</v>
      </c>
      <c r="C340" s="2"/>
      <c r="D340" s="1">
        <v>2.0</v>
      </c>
      <c r="E340" s="2"/>
      <c r="F340" s="2"/>
      <c r="G340" s="2"/>
      <c r="H340" s="2"/>
      <c r="I340" s="2"/>
      <c r="J340" s="2"/>
      <c r="K340" s="2"/>
      <c r="L340" s="1">
        <v>46.3144754</v>
      </c>
      <c r="M340" s="1">
        <v>11.0480288</v>
      </c>
    </row>
    <row r="341">
      <c r="A341" s="1" t="s">
        <v>89</v>
      </c>
      <c r="B341" s="1" t="s">
        <v>23</v>
      </c>
      <c r="C341" s="2"/>
      <c r="D341" s="1">
        <v>2.0</v>
      </c>
      <c r="E341" s="2"/>
      <c r="F341" s="2"/>
      <c r="G341" s="2"/>
      <c r="H341" s="2"/>
      <c r="I341" s="2"/>
      <c r="J341" s="1" t="s">
        <v>18</v>
      </c>
      <c r="K341" s="2"/>
      <c r="L341" s="1">
        <v>46.3144754</v>
      </c>
      <c r="M341" s="1">
        <v>11.0480288</v>
      </c>
    </row>
    <row r="342">
      <c r="A342" s="1" t="s">
        <v>89</v>
      </c>
      <c r="B342" s="1" t="s">
        <v>104</v>
      </c>
      <c r="C342" s="2"/>
      <c r="D342" s="1">
        <v>2.0</v>
      </c>
      <c r="E342" s="2"/>
      <c r="F342" s="2"/>
      <c r="G342" s="2"/>
      <c r="H342" s="2"/>
      <c r="I342" s="2"/>
      <c r="J342" s="2"/>
      <c r="K342" s="2"/>
      <c r="L342" s="1">
        <v>46.3144754</v>
      </c>
      <c r="M342" s="1">
        <v>11.0480288</v>
      </c>
    </row>
    <row r="343">
      <c r="A343" s="1" t="s">
        <v>89</v>
      </c>
      <c r="B343" s="1" t="s">
        <v>74</v>
      </c>
      <c r="C343" s="2"/>
      <c r="D343" s="1">
        <v>2.0</v>
      </c>
      <c r="E343" s="2"/>
      <c r="F343" s="2"/>
      <c r="G343" s="2"/>
      <c r="H343" s="2"/>
      <c r="I343" s="2"/>
      <c r="J343" s="1" t="s">
        <v>18</v>
      </c>
      <c r="K343" s="2"/>
      <c r="L343" s="1">
        <v>46.3144754</v>
      </c>
      <c r="M343" s="1">
        <v>11.0480288</v>
      </c>
    </row>
    <row r="344">
      <c r="A344" s="1" t="s">
        <v>22</v>
      </c>
      <c r="B344" s="1" t="s">
        <v>52</v>
      </c>
      <c r="C344" s="1" t="s">
        <v>202</v>
      </c>
      <c r="D344" s="1">
        <v>4.0</v>
      </c>
      <c r="E344" s="1">
        <v>176.0</v>
      </c>
      <c r="F344" s="1">
        <v>4.0</v>
      </c>
      <c r="G344" s="1">
        <v>4.0</v>
      </c>
      <c r="H344" s="1" t="s">
        <v>32</v>
      </c>
      <c r="I344" s="1" t="s">
        <v>17</v>
      </c>
      <c r="J344" s="1" t="s">
        <v>18</v>
      </c>
      <c r="K344" s="1">
        <v>168000.0</v>
      </c>
      <c r="L344" s="1">
        <v>56.94145735</v>
      </c>
      <c r="M344" s="1">
        <v>24.0030188392346</v>
      </c>
    </row>
    <row r="345">
      <c r="A345" s="1" t="s">
        <v>13</v>
      </c>
      <c r="B345" s="1" t="s">
        <v>23</v>
      </c>
      <c r="C345" s="1" t="s">
        <v>355</v>
      </c>
      <c r="D345" s="1">
        <v>1.0</v>
      </c>
      <c r="E345" s="1">
        <v>28.0</v>
      </c>
      <c r="F345" s="1">
        <v>2.0</v>
      </c>
      <c r="G345" s="1">
        <v>5.0</v>
      </c>
      <c r="H345" s="1" t="s">
        <v>66</v>
      </c>
      <c r="I345" s="1" t="s">
        <v>37</v>
      </c>
      <c r="J345" s="1" t="s">
        <v>18</v>
      </c>
      <c r="K345" s="1">
        <v>260.0</v>
      </c>
      <c r="L345" s="1">
        <v>56.9619582</v>
      </c>
      <c r="M345" s="1">
        <v>24.1500928445067</v>
      </c>
    </row>
    <row r="346">
      <c r="A346" s="1" t="s">
        <v>89</v>
      </c>
      <c r="B346" s="1" t="s">
        <v>28</v>
      </c>
      <c r="C346" s="2"/>
      <c r="D346" s="1">
        <v>2.0</v>
      </c>
      <c r="E346" s="2"/>
      <c r="F346" s="2"/>
      <c r="G346" s="2"/>
      <c r="H346" s="2"/>
      <c r="I346" s="2"/>
      <c r="J346" s="2"/>
      <c r="K346" s="2"/>
      <c r="L346" s="1">
        <v>46.3144754</v>
      </c>
      <c r="M346" s="1">
        <v>11.0480288</v>
      </c>
    </row>
    <row r="347">
      <c r="A347" s="1" t="s">
        <v>22</v>
      </c>
      <c r="B347" s="1" t="s">
        <v>23</v>
      </c>
      <c r="C347" s="1" t="s">
        <v>356</v>
      </c>
      <c r="D347" s="1">
        <v>2.0</v>
      </c>
      <c r="E347" s="1">
        <v>45.0</v>
      </c>
      <c r="F347" s="1">
        <v>2.0</v>
      </c>
      <c r="G347" s="1">
        <v>4.0</v>
      </c>
      <c r="H347" s="1" t="s">
        <v>25</v>
      </c>
      <c r="I347" s="1" t="s">
        <v>37</v>
      </c>
      <c r="J347" s="1" t="s">
        <v>18</v>
      </c>
      <c r="K347" s="1">
        <v>43500.0</v>
      </c>
      <c r="L347" s="1">
        <v>56.952567</v>
      </c>
      <c r="M347" s="1">
        <v>24.1378884</v>
      </c>
    </row>
    <row r="348">
      <c r="A348" s="1" t="s">
        <v>13</v>
      </c>
      <c r="B348" s="1" t="s">
        <v>38</v>
      </c>
      <c r="C348" s="1" t="s">
        <v>357</v>
      </c>
      <c r="D348" s="1">
        <v>3.0</v>
      </c>
      <c r="E348" s="1">
        <v>95.0</v>
      </c>
      <c r="F348" s="1">
        <v>18.0</v>
      </c>
      <c r="G348" s="1">
        <v>24.0</v>
      </c>
      <c r="H348" s="1" t="s">
        <v>32</v>
      </c>
      <c r="I348" s="1" t="s">
        <v>122</v>
      </c>
      <c r="J348" s="1" t="s">
        <v>18</v>
      </c>
      <c r="K348" s="1">
        <v>550.0</v>
      </c>
      <c r="L348" s="1">
        <v>56.95959205</v>
      </c>
      <c r="M348" s="1">
        <v>24.0147522499219</v>
      </c>
    </row>
    <row r="349">
      <c r="A349" s="1" t="s">
        <v>13</v>
      </c>
      <c r="B349" s="1" t="s">
        <v>38</v>
      </c>
      <c r="C349" s="1" t="s">
        <v>357</v>
      </c>
      <c r="D349" s="1">
        <v>3.0</v>
      </c>
      <c r="E349" s="1">
        <v>96.0</v>
      </c>
      <c r="F349" s="1">
        <v>6.0</v>
      </c>
      <c r="G349" s="1">
        <v>24.0</v>
      </c>
      <c r="H349" s="1" t="s">
        <v>32</v>
      </c>
      <c r="I349" s="1" t="s">
        <v>122</v>
      </c>
      <c r="J349" s="1" t="s">
        <v>18</v>
      </c>
      <c r="K349" s="1">
        <v>550.0</v>
      </c>
      <c r="L349" s="1">
        <v>56.95959205</v>
      </c>
      <c r="M349" s="1">
        <v>24.0147522499219</v>
      </c>
    </row>
    <row r="350">
      <c r="A350" s="1" t="s">
        <v>22</v>
      </c>
      <c r="B350" s="1" t="s">
        <v>104</v>
      </c>
      <c r="C350" s="1" t="s">
        <v>352</v>
      </c>
      <c r="D350" s="1">
        <v>4.0</v>
      </c>
      <c r="E350" s="1">
        <v>170.0</v>
      </c>
      <c r="F350" s="1">
        <v>5.0</v>
      </c>
      <c r="G350" s="1">
        <v>6.0</v>
      </c>
      <c r="H350" s="1" t="s">
        <v>32</v>
      </c>
      <c r="I350" s="1" t="s">
        <v>33</v>
      </c>
      <c r="J350" s="1" t="s">
        <v>18</v>
      </c>
      <c r="K350" s="1">
        <v>270000.0</v>
      </c>
      <c r="L350" s="1">
        <v>56.9374039</v>
      </c>
      <c r="M350" s="1">
        <v>24.101176263114</v>
      </c>
    </row>
    <row r="351">
      <c r="A351" s="1" t="s">
        <v>22</v>
      </c>
      <c r="B351" s="1" t="s">
        <v>14</v>
      </c>
      <c r="C351" s="1" t="s">
        <v>358</v>
      </c>
      <c r="D351" s="1">
        <v>3.0</v>
      </c>
      <c r="E351" s="1">
        <v>95.0</v>
      </c>
      <c r="F351" s="1">
        <v>6.0</v>
      </c>
      <c r="G351" s="1">
        <v>7.0</v>
      </c>
      <c r="H351" s="1" t="s">
        <v>32</v>
      </c>
      <c r="I351" s="1" t="s">
        <v>33</v>
      </c>
      <c r="J351" s="1" t="s">
        <v>18</v>
      </c>
      <c r="K351" s="1">
        <v>148000.0</v>
      </c>
      <c r="L351" s="1">
        <v>56.9527285</v>
      </c>
      <c r="M351" s="1">
        <v>24.1907987106043</v>
      </c>
    </row>
    <row r="352">
      <c r="A352" s="1" t="s">
        <v>13</v>
      </c>
      <c r="B352" s="1" t="s">
        <v>50</v>
      </c>
      <c r="C352" s="1" t="s">
        <v>359</v>
      </c>
      <c r="D352" s="1">
        <v>1.0</v>
      </c>
      <c r="E352" s="1">
        <v>15.0</v>
      </c>
      <c r="F352" s="1">
        <v>1.0</v>
      </c>
      <c r="G352" s="1">
        <v>2.0</v>
      </c>
      <c r="H352" s="1" t="s">
        <v>25</v>
      </c>
      <c r="I352" s="1" t="s">
        <v>26</v>
      </c>
      <c r="J352" s="1" t="s">
        <v>18</v>
      </c>
      <c r="K352" s="1">
        <v>150.0</v>
      </c>
      <c r="L352" s="1">
        <v>56.9398925</v>
      </c>
      <c r="M352" s="1">
        <v>24.1414198548449</v>
      </c>
    </row>
    <row r="353">
      <c r="A353" s="1" t="s">
        <v>13</v>
      </c>
      <c r="B353" s="1" t="s">
        <v>151</v>
      </c>
      <c r="C353" s="1" t="s">
        <v>360</v>
      </c>
      <c r="D353" s="1">
        <v>1.0</v>
      </c>
      <c r="E353" s="1">
        <v>18.0</v>
      </c>
      <c r="F353" s="1">
        <v>2.0</v>
      </c>
      <c r="G353" s="1">
        <v>5.0</v>
      </c>
      <c r="H353" s="1" t="s">
        <v>57</v>
      </c>
      <c r="I353" s="1" t="s">
        <v>21</v>
      </c>
      <c r="J353" s="1" t="s">
        <v>27</v>
      </c>
      <c r="K353" s="1">
        <v>70.0</v>
      </c>
      <c r="L353" s="1">
        <v>56.9692203</v>
      </c>
      <c r="M353" s="1">
        <v>24.0694937318141</v>
      </c>
    </row>
    <row r="354">
      <c r="A354" s="1" t="s">
        <v>22</v>
      </c>
      <c r="B354" s="1" t="s">
        <v>23</v>
      </c>
      <c r="C354" s="1" t="s">
        <v>361</v>
      </c>
      <c r="D354" s="1">
        <v>2.0</v>
      </c>
      <c r="E354" s="1">
        <v>53.0</v>
      </c>
      <c r="F354" s="1">
        <v>5.0</v>
      </c>
      <c r="G354" s="1">
        <v>6.0</v>
      </c>
      <c r="H354" s="1" t="s">
        <v>36</v>
      </c>
      <c r="I354" s="1" t="s">
        <v>17</v>
      </c>
      <c r="J354" s="1" t="s">
        <v>18</v>
      </c>
      <c r="K354" s="1">
        <v>107000.0</v>
      </c>
      <c r="L354" s="1">
        <v>56.9606806</v>
      </c>
      <c r="M354" s="1">
        <v>24.1003622</v>
      </c>
    </row>
    <row r="355">
      <c r="A355" s="1" t="s">
        <v>22</v>
      </c>
      <c r="B355" s="1" t="s">
        <v>19</v>
      </c>
      <c r="C355" s="1" t="s">
        <v>362</v>
      </c>
      <c r="D355" s="1">
        <v>4.0</v>
      </c>
      <c r="E355" s="1">
        <v>109.0</v>
      </c>
      <c r="F355" s="1">
        <v>3.0</v>
      </c>
      <c r="G355" s="1">
        <v>4.0</v>
      </c>
      <c r="H355" s="1" t="s">
        <v>32</v>
      </c>
      <c r="I355" s="1" t="s">
        <v>33</v>
      </c>
      <c r="J355" s="1" t="s">
        <v>18</v>
      </c>
      <c r="K355" s="1">
        <v>185300.0</v>
      </c>
      <c r="L355" s="1">
        <v>56.91000915</v>
      </c>
      <c r="M355" s="1">
        <v>24.0991443013819</v>
      </c>
    </row>
    <row r="356">
      <c r="A356" s="1" t="s">
        <v>22</v>
      </c>
      <c r="B356" s="1" t="s">
        <v>104</v>
      </c>
      <c r="C356" s="1" t="s">
        <v>363</v>
      </c>
      <c r="D356" s="1">
        <v>2.0</v>
      </c>
      <c r="E356" s="1">
        <v>67.0</v>
      </c>
      <c r="F356" s="1">
        <v>9.0</v>
      </c>
      <c r="G356" s="1">
        <v>30.0</v>
      </c>
      <c r="H356" s="1" t="s">
        <v>32</v>
      </c>
      <c r="I356" s="1" t="s">
        <v>33</v>
      </c>
      <c r="J356" s="1" t="s">
        <v>18</v>
      </c>
      <c r="K356" s="1">
        <v>99875.0</v>
      </c>
      <c r="L356" s="1">
        <v>56.9334996</v>
      </c>
      <c r="M356" s="1">
        <v>24.0424848</v>
      </c>
    </row>
    <row r="357">
      <c r="A357" s="1" t="s">
        <v>22</v>
      </c>
      <c r="B357" s="1" t="s">
        <v>23</v>
      </c>
      <c r="C357" s="1" t="s">
        <v>364</v>
      </c>
      <c r="D357" s="1">
        <v>4.0</v>
      </c>
      <c r="E357" s="1">
        <v>170.0</v>
      </c>
      <c r="F357" s="1">
        <v>5.0</v>
      </c>
      <c r="G357" s="1">
        <v>6.0</v>
      </c>
      <c r="H357" s="1" t="s">
        <v>32</v>
      </c>
      <c r="I357" s="1" t="s">
        <v>33</v>
      </c>
      <c r="J357" s="1" t="s">
        <v>18</v>
      </c>
      <c r="K357" s="1">
        <v>270000.0</v>
      </c>
      <c r="L357" s="1" t="s">
        <v>40</v>
      </c>
      <c r="M357" s="1" t="s">
        <v>40</v>
      </c>
    </row>
    <row r="358">
      <c r="A358" s="1" t="s">
        <v>22</v>
      </c>
      <c r="B358" s="1" t="s">
        <v>23</v>
      </c>
      <c r="C358" s="1" t="s">
        <v>139</v>
      </c>
      <c r="D358" s="1">
        <v>2.0</v>
      </c>
      <c r="E358" s="1">
        <v>34.8</v>
      </c>
      <c r="F358" s="1">
        <v>2.0</v>
      </c>
      <c r="G358" s="1">
        <v>5.0</v>
      </c>
      <c r="H358" s="1" t="s">
        <v>66</v>
      </c>
      <c r="I358" s="1" t="s">
        <v>33</v>
      </c>
      <c r="J358" s="1" t="s">
        <v>18</v>
      </c>
      <c r="K358" s="1">
        <v>59000.0</v>
      </c>
      <c r="L358" s="1">
        <v>56.9508163</v>
      </c>
      <c r="M358" s="1">
        <v>24.1271389</v>
      </c>
    </row>
    <row r="359">
      <c r="A359" s="1" t="s">
        <v>13</v>
      </c>
      <c r="B359" s="1" t="s">
        <v>48</v>
      </c>
      <c r="C359" s="1" t="s">
        <v>365</v>
      </c>
      <c r="D359" s="1">
        <v>1.0</v>
      </c>
      <c r="E359" s="1">
        <v>35.0</v>
      </c>
      <c r="F359" s="1">
        <v>5.0</v>
      </c>
      <c r="G359" s="1">
        <v>5.0</v>
      </c>
      <c r="H359" s="1" t="s">
        <v>32</v>
      </c>
      <c r="I359" s="1" t="s">
        <v>122</v>
      </c>
      <c r="J359" s="1" t="s">
        <v>18</v>
      </c>
      <c r="K359" s="1">
        <v>300.0</v>
      </c>
      <c r="L359" s="1">
        <v>56.95546705</v>
      </c>
      <c r="M359" s="1">
        <v>24.24181865</v>
      </c>
    </row>
    <row r="360">
      <c r="A360" s="1" t="s">
        <v>13</v>
      </c>
      <c r="B360" s="1" t="s">
        <v>60</v>
      </c>
      <c r="C360" s="1" t="s">
        <v>366</v>
      </c>
      <c r="D360" s="1">
        <v>2.0</v>
      </c>
      <c r="E360" s="1">
        <v>60.0</v>
      </c>
      <c r="F360" s="1">
        <v>4.0</v>
      </c>
      <c r="G360" s="1">
        <v>5.0</v>
      </c>
      <c r="H360" s="1" t="s">
        <v>36</v>
      </c>
      <c r="I360" s="1" t="s">
        <v>37</v>
      </c>
      <c r="J360" s="1" t="s">
        <v>18</v>
      </c>
      <c r="K360" s="1">
        <v>220.0</v>
      </c>
      <c r="L360" s="1">
        <v>57.03086935</v>
      </c>
      <c r="M360" s="1">
        <v>24.053887004109</v>
      </c>
    </row>
    <row r="361">
      <c r="A361" s="1" t="s">
        <v>22</v>
      </c>
      <c r="B361" s="1" t="s">
        <v>23</v>
      </c>
      <c r="C361" s="1" t="s">
        <v>84</v>
      </c>
      <c r="D361" s="1">
        <v>2.0</v>
      </c>
      <c r="E361" s="1">
        <v>40.3</v>
      </c>
      <c r="F361" s="1">
        <v>5.0</v>
      </c>
      <c r="G361" s="1">
        <v>5.0</v>
      </c>
      <c r="H361" s="1" t="s">
        <v>66</v>
      </c>
      <c r="I361" s="1" t="s">
        <v>33</v>
      </c>
      <c r="J361" s="1" t="s">
        <v>18</v>
      </c>
      <c r="K361" s="1">
        <v>79000.0</v>
      </c>
      <c r="L361" s="1">
        <v>56.9506147</v>
      </c>
      <c r="M361" s="1">
        <v>24.1212313</v>
      </c>
    </row>
    <row r="362">
      <c r="A362" s="1" t="s">
        <v>22</v>
      </c>
      <c r="B362" s="1" t="s">
        <v>23</v>
      </c>
      <c r="C362" s="1" t="s">
        <v>84</v>
      </c>
      <c r="D362" s="1">
        <v>2.0</v>
      </c>
      <c r="E362" s="1">
        <v>35.0</v>
      </c>
      <c r="F362" s="1">
        <v>4.0</v>
      </c>
      <c r="G362" s="1">
        <v>5.0</v>
      </c>
      <c r="H362" s="1" t="s">
        <v>66</v>
      </c>
      <c r="I362" s="1" t="s">
        <v>33</v>
      </c>
      <c r="J362" s="1" t="s">
        <v>18</v>
      </c>
      <c r="K362" s="1">
        <v>69000.0</v>
      </c>
      <c r="L362" s="1">
        <v>56.9506147</v>
      </c>
      <c r="M362" s="1">
        <v>24.1212313</v>
      </c>
    </row>
    <row r="363">
      <c r="A363" s="1" t="s">
        <v>22</v>
      </c>
      <c r="B363" s="1" t="s">
        <v>104</v>
      </c>
      <c r="C363" s="1" t="s">
        <v>367</v>
      </c>
      <c r="D363" s="1">
        <v>2.0</v>
      </c>
      <c r="E363" s="1">
        <v>52.0</v>
      </c>
      <c r="F363" s="1">
        <v>4.0</v>
      </c>
      <c r="G363" s="1">
        <v>4.0</v>
      </c>
      <c r="H363" s="1" t="s">
        <v>181</v>
      </c>
      <c r="I363" s="1" t="s">
        <v>33</v>
      </c>
      <c r="J363" s="1" t="s">
        <v>18</v>
      </c>
      <c r="K363" s="1">
        <v>55000.0</v>
      </c>
      <c r="L363" s="1">
        <v>56.94119075</v>
      </c>
      <c r="M363" s="1">
        <v>24.0586801411692</v>
      </c>
    </row>
    <row r="364">
      <c r="A364" s="1" t="s">
        <v>22</v>
      </c>
      <c r="B364" s="1" t="s">
        <v>218</v>
      </c>
      <c r="C364" s="1" t="s">
        <v>368</v>
      </c>
      <c r="D364" s="1">
        <v>1.0</v>
      </c>
      <c r="E364" s="1">
        <v>25.0</v>
      </c>
      <c r="F364" s="1">
        <v>3.0</v>
      </c>
      <c r="G364" s="1">
        <v>5.0</v>
      </c>
      <c r="H364" s="1" t="s">
        <v>25</v>
      </c>
      <c r="I364" s="1" t="s">
        <v>33</v>
      </c>
      <c r="J364" s="1" t="s">
        <v>18</v>
      </c>
      <c r="K364" s="1">
        <v>82500.0</v>
      </c>
      <c r="L364" s="1">
        <v>56.9490258</v>
      </c>
      <c r="M364" s="1">
        <v>24.1082352486735</v>
      </c>
    </row>
    <row r="365">
      <c r="A365" s="1" t="s">
        <v>13</v>
      </c>
      <c r="B365" s="1" t="s">
        <v>23</v>
      </c>
      <c r="C365" s="1" t="s">
        <v>369</v>
      </c>
      <c r="D365" s="1">
        <v>3.0</v>
      </c>
      <c r="E365" s="1">
        <v>75.0</v>
      </c>
      <c r="F365" s="1">
        <v>4.0</v>
      </c>
      <c r="G365" s="1">
        <v>5.0</v>
      </c>
      <c r="H365" s="1" t="s">
        <v>25</v>
      </c>
      <c r="I365" s="1" t="s">
        <v>33</v>
      </c>
      <c r="J365" s="1" t="s">
        <v>27</v>
      </c>
      <c r="K365" s="1">
        <v>480.0</v>
      </c>
      <c r="L365" s="1">
        <v>56.9643579</v>
      </c>
      <c r="M365" s="1">
        <v>24.1513733</v>
      </c>
    </row>
    <row r="366">
      <c r="A366" s="1" t="s">
        <v>13</v>
      </c>
      <c r="B366" s="1" t="s">
        <v>19</v>
      </c>
      <c r="C366" s="1" t="s">
        <v>370</v>
      </c>
      <c r="D366" s="1">
        <v>2.0</v>
      </c>
      <c r="E366" s="1">
        <v>59.0</v>
      </c>
      <c r="F366" s="1">
        <v>9.0</v>
      </c>
      <c r="G366" s="1">
        <v>9.0</v>
      </c>
      <c r="H366" s="1">
        <v>119.0</v>
      </c>
      <c r="I366" s="1" t="s">
        <v>21</v>
      </c>
      <c r="J366" s="1" t="s">
        <v>18</v>
      </c>
      <c r="K366" s="1">
        <v>320.0</v>
      </c>
      <c r="L366" s="1">
        <v>56.8990307</v>
      </c>
      <c r="M366" s="1">
        <v>24.0785989</v>
      </c>
    </row>
    <row r="367">
      <c r="A367" s="1" t="s">
        <v>22</v>
      </c>
      <c r="B367" s="1" t="s">
        <v>23</v>
      </c>
      <c r="C367" s="1" t="s">
        <v>371</v>
      </c>
      <c r="D367" s="1">
        <v>2.0</v>
      </c>
      <c r="E367" s="1">
        <v>45.0</v>
      </c>
      <c r="F367" s="1">
        <v>1.0</v>
      </c>
      <c r="G367" s="1">
        <v>5.0</v>
      </c>
      <c r="H367" s="1" t="s">
        <v>16</v>
      </c>
      <c r="I367" s="1" t="s">
        <v>21</v>
      </c>
      <c r="J367" s="1" t="s">
        <v>18</v>
      </c>
      <c r="K367" s="1">
        <v>49500.0</v>
      </c>
      <c r="L367" s="1">
        <v>56.9747517499999</v>
      </c>
      <c r="M367" s="1">
        <v>24.1091794</v>
      </c>
    </row>
    <row r="368">
      <c r="A368" s="1" t="s">
        <v>13</v>
      </c>
      <c r="B368" s="1" t="s">
        <v>28</v>
      </c>
      <c r="C368" s="1" t="s">
        <v>372</v>
      </c>
      <c r="D368" s="1">
        <v>2.0</v>
      </c>
      <c r="E368" s="1">
        <v>39.0</v>
      </c>
      <c r="F368" s="1">
        <v>3.0</v>
      </c>
      <c r="G368" s="1">
        <v>5.0</v>
      </c>
      <c r="H368" s="1" t="s">
        <v>16</v>
      </c>
      <c r="I368" s="1" t="s">
        <v>21</v>
      </c>
      <c r="J368" s="1" t="s">
        <v>18</v>
      </c>
      <c r="K368" s="1">
        <v>220.0</v>
      </c>
      <c r="L368" s="1">
        <v>56.9132013</v>
      </c>
      <c r="M368" s="1">
        <v>24.18990145</v>
      </c>
    </row>
    <row r="369">
      <c r="A369" s="1" t="s">
        <v>13</v>
      </c>
      <c r="B369" s="1" t="s">
        <v>151</v>
      </c>
      <c r="C369" s="1" t="s">
        <v>373</v>
      </c>
      <c r="D369" s="1">
        <v>3.0</v>
      </c>
      <c r="E369" s="1">
        <v>54.0</v>
      </c>
      <c r="F369" s="1">
        <v>4.0</v>
      </c>
      <c r="G369" s="1">
        <v>5.0</v>
      </c>
      <c r="H369" s="1" t="s">
        <v>44</v>
      </c>
      <c r="I369" s="1" t="s">
        <v>37</v>
      </c>
      <c r="J369" s="1" t="s">
        <v>18</v>
      </c>
      <c r="K369" s="1">
        <v>400.0</v>
      </c>
      <c r="L369" s="1">
        <v>56.9643785</v>
      </c>
      <c r="M369" s="1">
        <v>24.0675921</v>
      </c>
    </row>
    <row r="370">
      <c r="A370" s="1" t="s">
        <v>22</v>
      </c>
      <c r="B370" s="1" t="s">
        <v>23</v>
      </c>
      <c r="C370" s="1" t="s">
        <v>374</v>
      </c>
      <c r="D370" s="1">
        <v>3.0</v>
      </c>
      <c r="E370" s="1">
        <v>82.0</v>
      </c>
      <c r="F370" s="1">
        <v>4.0</v>
      </c>
      <c r="G370" s="1">
        <v>4.0</v>
      </c>
      <c r="H370" s="1" t="s">
        <v>25</v>
      </c>
      <c r="I370" s="1" t="s">
        <v>33</v>
      </c>
      <c r="J370" s="1" t="s">
        <v>18</v>
      </c>
      <c r="K370" s="1">
        <v>170000.0</v>
      </c>
      <c r="L370" s="1">
        <v>56.9520463</v>
      </c>
      <c r="M370" s="1">
        <v>24.11476</v>
      </c>
    </row>
    <row r="371">
      <c r="A371" s="1" t="s">
        <v>22</v>
      </c>
      <c r="B371" s="1" t="s">
        <v>218</v>
      </c>
      <c r="C371" s="1" t="s">
        <v>368</v>
      </c>
      <c r="D371" s="1">
        <v>2.0</v>
      </c>
      <c r="E371" s="1">
        <v>48.0</v>
      </c>
      <c r="F371" s="1">
        <v>2.0</v>
      </c>
      <c r="G371" s="1">
        <v>4.0</v>
      </c>
      <c r="H371" s="1" t="s">
        <v>66</v>
      </c>
      <c r="I371" s="1" t="s">
        <v>33</v>
      </c>
      <c r="J371" s="1" t="s">
        <v>18</v>
      </c>
      <c r="K371" s="1">
        <v>130000.0</v>
      </c>
      <c r="L371" s="1">
        <v>56.9490258</v>
      </c>
      <c r="M371" s="1">
        <v>24.1082352486735</v>
      </c>
    </row>
    <row r="372">
      <c r="A372" s="1" t="s">
        <v>13</v>
      </c>
      <c r="B372" s="1" t="s">
        <v>23</v>
      </c>
      <c r="C372" s="1" t="s">
        <v>375</v>
      </c>
      <c r="D372" s="1">
        <v>1.0</v>
      </c>
      <c r="E372" s="1">
        <v>56.0</v>
      </c>
      <c r="F372" s="1">
        <v>1.0</v>
      </c>
      <c r="G372" s="1">
        <v>5.0</v>
      </c>
      <c r="H372" s="1" t="s">
        <v>66</v>
      </c>
      <c r="I372" s="1" t="s">
        <v>33</v>
      </c>
      <c r="J372" s="1" t="s">
        <v>18</v>
      </c>
      <c r="K372" s="1">
        <v>50.0</v>
      </c>
      <c r="L372" s="1">
        <v>56.9496478</v>
      </c>
      <c r="M372" s="1">
        <v>24.1208218</v>
      </c>
    </row>
    <row r="373">
      <c r="A373" s="1" t="s">
        <v>22</v>
      </c>
      <c r="B373" s="1" t="s">
        <v>60</v>
      </c>
      <c r="C373" s="1" t="s">
        <v>376</v>
      </c>
      <c r="D373" s="1">
        <v>3.0</v>
      </c>
      <c r="E373" s="1">
        <v>67.0</v>
      </c>
      <c r="F373" s="1">
        <v>5.0</v>
      </c>
      <c r="G373" s="1">
        <v>5.0</v>
      </c>
      <c r="H373" s="1">
        <v>103.0</v>
      </c>
      <c r="I373" s="1" t="s">
        <v>17</v>
      </c>
      <c r="J373" s="1" t="s">
        <v>18</v>
      </c>
      <c r="K373" s="1">
        <v>49900.0</v>
      </c>
      <c r="L373" s="1">
        <v>57.02771755</v>
      </c>
      <c r="M373" s="1">
        <v>24.0558009797261</v>
      </c>
    </row>
    <row r="374">
      <c r="A374" s="1" t="s">
        <v>22</v>
      </c>
      <c r="B374" s="1" t="s">
        <v>28</v>
      </c>
      <c r="C374" s="1" t="s">
        <v>377</v>
      </c>
      <c r="D374" s="1">
        <v>4.0</v>
      </c>
      <c r="E374" s="1">
        <v>140.0</v>
      </c>
      <c r="F374" s="1">
        <v>2.0</v>
      </c>
      <c r="G374" s="1">
        <v>7.0</v>
      </c>
      <c r="H374" s="1" t="s">
        <v>32</v>
      </c>
      <c r="I374" s="1" t="s">
        <v>17</v>
      </c>
      <c r="J374" s="1" t="s">
        <v>18</v>
      </c>
      <c r="K374" s="1">
        <v>155000.0</v>
      </c>
      <c r="L374" s="1">
        <v>56.8597884</v>
      </c>
      <c r="M374" s="1">
        <v>24.3083417</v>
      </c>
    </row>
    <row r="375">
      <c r="A375" s="1" t="s">
        <v>22</v>
      </c>
      <c r="B375" s="1" t="s">
        <v>94</v>
      </c>
      <c r="C375" s="1" t="s">
        <v>378</v>
      </c>
      <c r="D375" s="1">
        <v>4.0</v>
      </c>
      <c r="E375" s="1">
        <v>140.0</v>
      </c>
      <c r="F375" s="1">
        <v>2.0</v>
      </c>
      <c r="G375" s="1">
        <v>7.0</v>
      </c>
      <c r="H375" s="1" t="s">
        <v>32</v>
      </c>
      <c r="I375" s="1" t="s">
        <v>17</v>
      </c>
      <c r="J375" s="1" t="s">
        <v>18</v>
      </c>
      <c r="K375" s="1">
        <v>155000.0</v>
      </c>
      <c r="L375" s="1">
        <v>56.92735995</v>
      </c>
      <c r="M375" s="1">
        <v>24.1646236652287</v>
      </c>
    </row>
    <row r="376">
      <c r="A376" s="1" t="s">
        <v>22</v>
      </c>
      <c r="B376" s="1" t="s">
        <v>42</v>
      </c>
      <c r="C376" s="1" t="s">
        <v>379</v>
      </c>
      <c r="D376" s="1">
        <v>3.0</v>
      </c>
      <c r="E376" s="1">
        <v>59.0</v>
      </c>
      <c r="F376" s="1">
        <v>3.0</v>
      </c>
      <c r="G376" s="1">
        <v>5.0</v>
      </c>
      <c r="H376" s="1" t="s">
        <v>16</v>
      </c>
      <c r="I376" s="1" t="s">
        <v>21</v>
      </c>
      <c r="J376" s="1" t="s">
        <v>18</v>
      </c>
      <c r="K376" s="1">
        <v>62000.0</v>
      </c>
      <c r="L376" s="1">
        <v>56.9816726</v>
      </c>
      <c r="M376" s="1">
        <v>24.2465564</v>
      </c>
    </row>
    <row r="377">
      <c r="A377" s="1" t="s">
        <v>13</v>
      </c>
      <c r="B377" s="1" t="s">
        <v>14</v>
      </c>
      <c r="C377" s="1" t="s">
        <v>380</v>
      </c>
      <c r="D377" s="1">
        <v>1.0</v>
      </c>
      <c r="E377" s="1">
        <v>30.0</v>
      </c>
      <c r="F377" s="1">
        <v>3.0</v>
      </c>
      <c r="G377" s="1">
        <v>5.0</v>
      </c>
      <c r="H377" s="1" t="s">
        <v>16</v>
      </c>
      <c r="I377" s="1" t="s">
        <v>21</v>
      </c>
      <c r="J377" s="1" t="s">
        <v>18</v>
      </c>
      <c r="K377" s="1">
        <v>300.0</v>
      </c>
      <c r="L377" s="1">
        <v>56.9636426</v>
      </c>
      <c r="M377" s="1">
        <v>24.1936547658469</v>
      </c>
    </row>
    <row r="378">
      <c r="A378" s="1" t="s">
        <v>13</v>
      </c>
      <c r="B378" s="1" t="s">
        <v>23</v>
      </c>
      <c r="C378" s="1" t="s">
        <v>381</v>
      </c>
      <c r="D378" s="1">
        <v>2.0</v>
      </c>
      <c r="E378" s="1">
        <v>55.0</v>
      </c>
      <c r="F378" s="1">
        <v>2.0</v>
      </c>
      <c r="G378" s="1">
        <v>5.0</v>
      </c>
      <c r="H378" s="1" t="s">
        <v>181</v>
      </c>
      <c r="I378" s="1" t="s">
        <v>37</v>
      </c>
      <c r="J378" s="1" t="s">
        <v>18</v>
      </c>
      <c r="K378" s="1">
        <v>520.0</v>
      </c>
      <c r="L378" s="1">
        <v>56.9587074</v>
      </c>
      <c r="M378" s="1">
        <v>24.1237749</v>
      </c>
    </row>
    <row r="379">
      <c r="A379" s="1" t="s">
        <v>13</v>
      </c>
      <c r="B379" s="1" t="s">
        <v>23</v>
      </c>
      <c r="C379" s="1" t="s">
        <v>382</v>
      </c>
      <c r="D379" s="1">
        <v>2.0</v>
      </c>
      <c r="E379" s="1">
        <v>62.0</v>
      </c>
      <c r="F379" s="1">
        <v>4.0</v>
      </c>
      <c r="G379" s="1">
        <v>7.0</v>
      </c>
      <c r="H379" s="1" t="s">
        <v>32</v>
      </c>
      <c r="I379" s="1" t="s">
        <v>37</v>
      </c>
      <c r="J379" s="1" t="s">
        <v>18</v>
      </c>
      <c r="K379" s="1">
        <v>650.0</v>
      </c>
      <c r="L379" s="1">
        <v>56.9581178</v>
      </c>
      <c r="M379" s="1">
        <v>24.1311146</v>
      </c>
    </row>
    <row r="380">
      <c r="A380" s="1" t="s">
        <v>22</v>
      </c>
      <c r="B380" s="1" t="s">
        <v>23</v>
      </c>
      <c r="C380" s="1" t="s">
        <v>383</v>
      </c>
      <c r="D380" s="1">
        <v>1.0</v>
      </c>
      <c r="E380" s="1">
        <v>32.0</v>
      </c>
      <c r="F380" s="1">
        <v>4.0</v>
      </c>
      <c r="G380" s="1">
        <v>5.0</v>
      </c>
      <c r="H380" s="1" t="s">
        <v>66</v>
      </c>
      <c r="I380" s="1" t="s">
        <v>37</v>
      </c>
      <c r="J380" s="1" t="s">
        <v>18</v>
      </c>
      <c r="K380" s="1">
        <v>34900.0</v>
      </c>
      <c r="L380" s="1">
        <v>56.9439002</v>
      </c>
      <c r="M380" s="1">
        <v>24.1325617</v>
      </c>
    </row>
    <row r="381">
      <c r="A381" s="1" t="s">
        <v>131</v>
      </c>
      <c r="B381" s="1" t="s">
        <v>48</v>
      </c>
      <c r="C381" s="2"/>
      <c r="D381" s="1">
        <v>2.0</v>
      </c>
      <c r="E381" s="2"/>
      <c r="F381" s="2"/>
      <c r="G381" s="2"/>
      <c r="H381" s="2"/>
      <c r="I381" s="2"/>
      <c r="J381" s="1" t="s">
        <v>18</v>
      </c>
      <c r="K381" s="2"/>
      <c r="L381" s="1">
        <v>46.3144754</v>
      </c>
      <c r="M381" s="1">
        <v>11.0480288</v>
      </c>
    </row>
    <row r="382">
      <c r="A382" s="1" t="s">
        <v>22</v>
      </c>
      <c r="B382" s="1" t="s">
        <v>96</v>
      </c>
      <c r="C382" s="1" t="s">
        <v>384</v>
      </c>
      <c r="D382" s="1">
        <v>3.0</v>
      </c>
      <c r="E382" s="1">
        <v>55.0</v>
      </c>
      <c r="F382" s="1">
        <v>5.0</v>
      </c>
      <c r="G382" s="1">
        <v>5.0</v>
      </c>
      <c r="H382" s="1" t="s">
        <v>16</v>
      </c>
      <c r="I382" s="1" t="s">
        <v>21</v>
      </c>
      <c r="J382" s="1" t="s">
        <v>18</v>
      </c>
      <c r="K382" s="1">
        <v>43000.0</v>
      </c>
      <c r="L382" s="1">
        <v>57.0337701</v>
      </c>
      <c r="M382" s="1">
        <v>24.09840055</v>
      </c>
    </row>
    <row r="383">
      <c r="A383" s="1" t="s">
        <v>22</v>
      </c>
      <c r="B383" s="1" t="s">
        <v>23</v>
      </c>
      <c r="C383" s="1" t="s">
        <v>385</v>
      </c>
      <c r="D383" s="1">
        <v>4.0</v>
      </c>
      <c r="E383" s="1">
        <v>94.0</v>
      </c>
      <c r="F383" s="1">
        <v>4.0</v>
      </c>
      <c r="G383" s="1">
        <v>5.0</v>
      </c>
      <c r="H383" s="1" t="s">
        <v>25</v>
      </c>
      <c r="I383" s="1" t="s">
        <v>33</v>
      </c>
      <c r="J383" s="1" t="s">
        <v>18</v>
      </c>
      <c r="K383" s="1">
        <v>115000.0</v>
      </c>
      <c r="L383" s="1">
        <v>56.9561495</v>
      </c>
      <c r="M383" s="1">
        <v>24.1264378</v>
      </c>
    </row>
    <row r="384">
      <c r="A384" s="1" t="s">
        <v>22</v>
      </c>
      <c r="B384" s="1" t="s">
        <v>50</v>
      </c>
      <c r="C384" s="1" t="s">
        <v>132</v>
      </c>
      <c r="D384" s="1">
        <v>1.0</v>
      </c>
      <c r="E384" s="1">
        <v>25.0</v>
      </c>
      <c r="F384" s="1">
        <v>6.0</v>
      </c>
      <c r="G384" s="1">
        <v>5.0</v>
      </c>
      <c r="H384" s="1" t="s">
        <v>25</v>
      </c>
      <c r="I384" s="1" t="s">
        <v>37</v>
      </c>
      <c r="J384" s="1" t="s">
        <v>18</v>
      </c>
      <c r="K384" s="1">
        <v>23000.0</v>
      </c>
      <c r="L384" s="1">
        <v>56.9464308999999</v>
      </c>
      <c r="M384" s="1">
        <v>24.1413962131361</v>
      </c>
    </row>
    <row r="385">
      <c r="A385" s="1" t="s">
        <v>22</v>
      </c>
      <c r="B385" s="1" t="s">
        <v>23</v>
      </c>
      <c r="C385" s="1" t="s">
        <v>386</v>
      </c>
      <c r="D385" s="1">
        <v>4.0</v>
      </c>
      <c r="E385" s="1">
        <v>105.0</v>
      </c>
      <c r="F385" s="1">
        <v>4.0</v>
      </c>
      <c r="G385" s="1">
        <v>6.0</v>
      </c>
      <c r="H385" s="1" t="s">
        <v>66</v>
      </c>
      <c r="I385" s="1" t="s">
        <v>33</v>
      </c>
      <c r="J385" s="1" t="s">
        <v>18</v>
      </c>
      <c r="K385" s="1">
        <v>129360.0</v>
      </c>
      <c r="L385" s="1">
        <v>56.9539256</v>
      </c>
      <c r="M385" s="1">
        <v>24.1237609</v>
      </c>
    </row>
    <row r="386">
      <c r="A386" s="1" t="s">
        <v>22</v>
      </c>
      <c r="B386" s="1" t="s">
        <v>23</v>
      </c>
      <c r="C386" s="1" t="s">
        <v>386</v>
      </c>
      <c r="D386" s="1" t="s">
        <v>90</v>
      </c>
      <c r="E386" s="1">
        <v>287.0</v>
      </c>
      <c r="F386" s="1">
        <v>5.0</v>
      </c>
      <c r="G386" s="1">
        <v>6.0</v>
      </c>
      <c r="H386" s="1" t="s">
        <v>66</v>
      </c>
      <c r="I386" s="1" t="s">
        <v>37</v>
      </c>
      <c r="J386" s="1" t="s">
        <v>18</v>
      </c>
      <c r="K386" s="1">
        <v>298544.0</v>
      </c>
      <c r="L386" s="1">
        <v>56.9539256</v>
      </c>
      <c r="M386" s="1">
        <v>24.1237609</v>
      </c>
    </row>
    <row r="387">
      <c r="A387" s="1" t="s">
        <v>22</v>
      </c>
      <c r="B387" s="1" t="s">
        <v>74</v>
      </c>
      <c r="C387" s="1" t="s">
        <v>387</v>
      </c>
      <c r="D387" s="1">
        <v>2.0</v>
      </c>
      <c r="E387" s="1">
        <v>60.0</v>
      </c>
      <c r="F387" s="1">
        <v>2.0</v>
      </c>
      <c r="G387" s="1">
        <v>2.0</v>
      </c>
      <c r="H387" s="1" t="s">
        <v>171</v>
      </c>
      <c r="I387" s="1" t="s">
        <v>33</v>
      </c>
      <c r="J387" s="1" t="s">
        <v>18</v>
      </c>
      <c r="K387" s="1">
        <v>45000.0</v>
      </c>
      <c r="L387" s="1">
        <v>56.9385731499999</v>
      </c>
      <c r="M387" s="1">
        <v>24.19441621579</v>
      </c>
    </row>
    <row r="388">
      <c r="A388" s="1" t="s">
        <v>22</v>
      </c>
      <c r="B388" s="1" t="s">
        <v>23</v>
      </c>
      <c r="C388" s="1" t="s">
        <v>386</v>
      </c>
      <c r="D388" s="1">
        <v>1.0</v>
      </c>
      <c r="E388" s="1">
        <v>33.0</v>
      </c>
      <c r="F388" s="1">
        <v>1.0</v>
      </c>
      <c r="G388" s="1">
        <v>6.0</v>
      </c>
      <c r="H388" s="1" t="s">
        <v>66</v>
      </c>
      <c r="I388" s="1" t="s">
        <v>33</v>
      </c>
      <c r="J388" s="1" t="s">
        <v>18</v>
      </c>
      <c r="K388" s="1">
        <v>43956.0</v>
      </c>
      <c r="L388" s="1">
        <v>56.9539256</v>
      </c>
      <c r="M388" s="1">
        <v>24.1237609</v>
      </c>
    </row>
    <row r="389">
      <c r="A389" s="1" t="s">
        <v>22</v>
      </c>
      <c r="B389" s="1" t="s">
        <v>23</v>
      </c>
      <c r="C389" s="1" t="s">
        <v>139</v>
      </c>
      <c r="D389" s="1">
        <v>1.0</v>
      </c>
      <c r="E389" s="1">
        <v>21.0</v>
      </c>
      <c r="F389" s="1">
        <v>2.0</v>
      </c>
      <c r="G389" s="1">
        <v>5.0</v>
      </c>
      <c r="H389" s="1" t="s">
        <v>66</v>
      </c>
      <c r="I389" s="1" t="s">
        <v>33</v>
      </c>
      <c r="J389" s="1" t="s">
        <v>18</v>
      </c>
      <c r="K389" s="1">
        <v>37500.0</v>
      </c>
      <c r="L389" s="1">
        <v>56.9508163</v>
      </c>
      <c r="M389" s="1">
        <v>24.1271389</v>
      </c>
    </row>
    <row r="390">
      <c r="A390" s="1" t="s">
        <v>22</v>
      </c>
      <c r="B390" s="1" t="s">
        <v>19</v>
      </c>
      <c r="C390" s="1" t="s">
        <v>120</v>
      </c>
      <c r="D390" s="1">
        <v>1.0</v>
      </c>
      <c r="E390" s="1">
        <v>46.0</v>
      </c>
      <c r="F390" s="1">
        <v>2.0</v>
      </c>
      <c r="G390" s="1">
        <v>9.0</v>
      </c>
      <c r="H390" s="1">
        <v>119.0</v>
      </c>
      <c r="I390" s="1" t="s">
        <v>21</v>
      </c>
      <c r="J390" s="1" t="s">
        <v>18</v>
      </c>
      <c r="K390" s="1">
        <v>45000.0</v>
      </c>
      <c r="L390" s="1">
        <v>56.89859735</v>
      </c>
      <c r="M390" s="1">
        <v>24.0876707999998</v>
      </c>
    </row>
    <row r="391">
      <c r="A391" s="1" t="s">
        <v>13</v>
      </c>
      <c r="B391" s="1" t="s">
        <v>151</v>
      </c>
      <c r="C391" s="1" t="s">
        <v>388</v>
      </c>
      <c r="D391" s="1">
        <v>1.0</v>
      </c>
      <c r="E391" s="1">
        <v>27.0</v>
      </c>
      <c r="F391" s="1">
        <v>1.0</v>
      </c>
      <c r="G391" s="1">
        <v>1.0</v>
      </c>
      <c r="H391" s="1" t="s">
        <v>171</v>
      </c>
      <c r="I391" s="1" t="s">
        <v>26</v>
      </c>
      <c r="J391" s="1" t="s">
        <v>18</v>
      </c>
      <c r="K391" s="1">
        <v>25.0</v>
      </c>
      <c r="L391" s="1">
        <v>56.96885415</v>
      </c>
      <c r="M391" s="1">
        <v>24.04099955</v>
      </c>
    </row>
    <row r="392">
      <c r="A392" s="1" t="s">
        <v>22</v>
      </c>
      <c r="B392" s="1" t="s">
        <v>23</v>
      </c>
      <c r="C392" s="1" t="s">
        <v>386</v>
      </c>
      <c r="D392" s="1">
        <v>4.0</v>
      </c>
      <c r="E392" s="1">
        <v>74.0</v>
      </c>
      <c r="F392" s="1">
        <v>1.0</v>
      </c>
      <c r="G392" s="1">
        <v>6.0</v>
      </c>
      <c r="H392" s="1" t="s">
        <v>66</v>
      </c>
      <c r="I392" s="1" t="s">
        <v>33</v>
      </c>
      <c r="J392" s="1" t="s">
        <v>18</v>
      </c>
      <c r="K392" s="1">
        <v>87961.0</v>
      </c>
      <c r="L392" s="1">
        <v>56.9539256</v>
      </c>
      <c r="M392" s="1">
        <v>24.1237609</v>
      </c>
    </row>
    <row r="393">
      <c r="A393" s="1" t="s">
        <v>13</v>
      </c>
      <c r="B393" s="1" t="s">
        <v>23</v>
      </c>
      <c r="C393" s="1" t="s">
        <v>389</v>
      </c>
      <c r="D393" s="1">
        <v>2.0</v>
      </c>
      <c r="E393" s="1">
        <v>45.0</v>
      </c>
      <c r="F393" s="1">
        <v>6.0</v>
      </c>
      <c r="G393" s="1">
        <v>6.0</v>
      </c>
      <c r="H393" s="1" t="s">
        <v>25</v>
      </c>
      <c r="I393" s="1" t="s">
        <v>33</v>
      </c>
      <c r="J393" s="1" t="s">
        <v>18</v>
      </c>
      <c r="K393" s="1">
        <v>470.0</v>
      </c>
      <c r="L393" s="1">
        <v>56.9524681</v>
      </c>
      <c r="M393" s="1">
        <v>24.1310843043399</v>
      </c>
    </row>
    <row r="394">
      <c r="A394" s="1" t="s">
        <v>22</v>
      </c>
      <c r="B394" s="1" t="s">
        <v>172</v>
      </c>
      <c r="C394" s="1" t="s">
        <v>390</v>
      </c>
      <c r="D394" s="1">
        <v>2.0</v>
      </c>
      <c r="E394" s="1">
        <v>44.0</v>
      </c>
      <c r="F394" s="1">
        <v>4.0</v>
      </c>
      <c r="G394" s="1">
        <v>5.0</v>
      </c>
      <c r="H394" s="1" t="s">
        <v>32</v>
      </c>
      <c r="I394" s="1" t="s">
        <v>122</v>
      </c>
      <c r="J394" s="1" t="s">
        <v>18</v>
      </c>
      <c r="K394" s="1">
        <v>53000.0</v>
      </c>
      <c r="L394" s="1">
        <v>56.9051508999999</v>
      </c>
      <c r="M394" s="1">
        <v>24.2295887977555</v>
      </c>
    </row>
    <row r="395">
      <c r="A395" s="1" t="s">
        <v>13</v>
      </c>
      <c r="B395" s="1" t="s">
        <v>60</v>
      </c>
      <c r="C395" s="1" t="s">
        <v>391</v>
      </c>
      <c r="D395" s="1">
        <v>1.0</v>
      </c>
      <c r="E395" s="1">
        <v>32.0</v>
      </c>
      <c r="F395" s="1">
        <v>5.0</v>
      </c>
      <c r="G395" s="1">
        <v>5.0</v>
      </c>
      <c r="H395" s="1" t="s">
        <v>44</v>
      </c>
      <c r="I395" s="1" t="s">
        <v>37</v>
      </c>
      <c r="J395" s="1" t="s">
        <v>18</v>
      </c>
      <c r="K395" s="1">
        <v>190.0</v>
      </c>
      <c r="L395" s="1">
        <v>57.0264399</v>
      </c>
      <c r="M395" s="1">
        <v>24.0391971</v>
      </c>
    </row>
    <row r="396">
      <c r="A396" s="1" t="s">
        <v>13</v>
      </c>
      <c r="B396" s="1" t="s">
        <v>60</v>
      </c>
      <c r="C396" s="1" t="s">
        <v>61</v>
      </c>
      <c r="D396" s="1">
        <v>1.0</v>
      </c>
      <c r="E396" s="1">
        <v>38.0</v>
      </c>
      <c r="F396" s="1">
        <v>4.0</v>
      </c>
      <c r="G396" s="1">
        <v>5.0</v>
      </c>
      <c r="H396" s="1" t="s">
        <v>57</v>
      </c>
      <c r="I396" s="1" t="s">
        <v>17</v>
      </c>
      <c r="J396" s="1" t="s">
        <v>27</v>
      </c>
      <c r="K396" s="1">
        <v>140.0</v>
      </c>
      <c r="L396" s="1">
        <v>57.02965155</v>
      </c>
      <c r="M396" s="1">
        <v>24.0359751945236</v>
      </c>
    </row>
    <row r="397">
      <c r="A397" s="1" t="s">
        <v>13</v>
      </c>
      <c r="B397" s="1" t="s">
        <v>392</v>
      </c>
      <c r="C397" s="1" t="s">
        <v>393</v>
      </c>
      <c r="D397" s="1">
        <v>1.0</v>
      </c>
      <c r="E397" s="1">
        <v>32.0</v>
      </c>
      <c r="F397" s="1">
        <v>1.0</v>
      </c>
      <c r="G397" s="1">
        <v>2.0</v>
      </c>
      <c r="H397" s="1" t="s">
        <v>25</v>
      </c>
      <c r="I397" s="1" t="s">
        <v>33</v>
      </c>
      <c r="J397" s="1" t="s">
        <v>18</v>
      </c>
      <c r="K397" s="1">
        <v>250.0</v>
      </c>
      <c r="L397" s="1" t="s">
        <v>40</v>
      </c>
      <c r="M397" s="1" t="s">
        <v>40</v>
      </c>
    </row>
    <row r="398">
      <c r="A398" s="1" t="s">
        <v>13</v>
      </c>
      <c r="B398" s="1" t="s">
        <v>48</v>
      </c>
      <c r="C398" s="1" t="s">
        <v>394</v>
      </c>
      <c r="D398" s="1">
        <v>1.0</v>
      </c>
      <c r="E398" s="1">
        <v>49.0</v>
      </c>
      <c r="F398" s="1">
        <v>2.0</v>
      </c>
      <c r="G398" s="1">
        <v>16.0</v>
      </c>
      <c r="H398" s="1">
        <v>104.0</v>
      </c>
      <c r="I398" s="1" t="s">
        <v>21</v>
      </c>
      <c r="J398" s="1" t="s">
        <v>18</v>
      </c>
      <c r="K398" s="1">
        <v>280.0</v>
      </c>
      <c r="L398" s="1">
        <v>56.971605</v>
      </c>
      <c r="M398" s="1">
        <v>24.2340818</v>
      </c>
    </row>
    <row r="399">
      <c r="A399" s="1" t="s">
        <v>13</v>
      </c>
      <c r="B399" s="1" t="s">
        <v>67</v>
      </c>
      <c r="C399" s="1" t="s">
        <v>395</v>
      </c>
      <c r="D399" s="1">
        <v>1.0</v>
      </c>
      <c r="E399" s="1">
        <v>45.0</v>
      </c>
      <c r="F399" s="1">
        <v>4.0</v>
      </c>
      <c r="G399" s="1">
        <v>6.0</v>
      </c>
      <c r="H399" s="1" t="s">
        <v>32</v>
      </c>
      <c r="I399" s="1" t="s">
        <v>17</v>
      </c>
      <c r="J399" s="1" t="s">
        <v>18</v>
      </c>
      <c r="K399" s="1">
        <v>400.0</v>
      </c>
      <c r="L399" s="1">
        <v>56.9610476</v>
      </c>
      <c r="M399" s="1">
        <v>24.1493694905674</v>
      </c>
    </row>
    <row r="400">
      <c r="A400" s="1" t="s">
        <v>22</v>
      </c>
      <c r="B400" s="1" t="s">
        <v>104</v>
      </c>
      <c r="C400" s="1" t="s">
        <v>396</v>
      </c>
      <c r="D400" s="1">
        <v>1.0</v>
      </c>
      <c r="E400" s="1">
        <v>20.0</v>
      </c>
      <c r="F400" s="1">
        <v>2.0</v>
      </c>
      <c r="G400" s="1">
        <v>3.0</v>
      </c>
      <c r="H400" s="1" t="s">
        <v>25</v>
      </c>
      <c r="I400" s="1" t="s">
        <v>26</v>
      </c>
      <c r="J400" s="1" t="s">
        <v>18</v>
      </c>
      <c r="K400" s="1">
        <v>14500.0</v>
      </c>
      <c r="L400" s="1">
        <v>56.94521285</v>
      </c>
      <c r="M400" s="1">
        <v>24.0558636462604</v>
      </c>
    </row>
    <row r="401">
      <c r="A401" s="1" t="s">
        <v>22</v>
      </c>
      <c r="B401" s="1" t="s">
        <v>134</v>
      </c>
      <c r="C401" s="1" t="s">
        <v>397</v>
      </c>
      <c r="D401" s="1">
        <v>2.0</v>
      </c>
      <c r="E401" s="1">
        <v>41.0</v>
      </c>
      <c r="F401" s="1">
        <v>3.0</v>
      </c>
      <c r="G401" s="1">
        <v>5.0</v>
      </c>
      <c r="H401" s="1" t="s">
        <v>44</v>
      </c>
      <c r="I401" s="1" t="s">
        <v>33</v>
      </c>
      <c r="J401" s="1" t="s">
        <v>18</v>
      </c>
      <c r="K401" s="1">
        <v>41900.0</v>
      </c>
      <c r="L401" s="1">
        <v>57.03948115</v>
      </c>
      <c r="M401" s="1">
        <v>24.0254633</v>
      </c>
    </row>
    <row r="402">
      <c r="A402" s="1" t="s">
        <v>13</v>
      </c>
      <c r="B402" s="1" t="s">
        <v>23</v>
      </c>
      <c r="C402" s="1" t="s">
        <v>398</v>
      </c>
      <c r="D402" s="1">
        <v>1.0</v>
      </c>
      <c r="E402" s="1">
        <v>45.0</v>
      </c>
      <c r="F402" s="1">
        <v>2.0</v>
      </c>
      <c r="G402" s="1">
        <v>3.0</v>
      </c>
      <c r="H402" s="1" t="s">
        <v>32</v>
      </c>
      <c r="I402" s="1" t="s">
        <v>37</v>
      </c>
      <c r="J402" s="1" t="s">
        <v>18</v>
      </c>
      <c r="K402" s="1">
        <v>380.0</v>
      </c>
      <c r="L402" s="1">
        <v>56.9509613</v>
      </c>
      <c r="M402" s="1">
        <v>24.1346071</v>
      </c>
    </row>
    <row r="403">
      <c r="A403" s="1" t="s">
        <v>13</v>
      </c>
      <c r="B403" s="1" t="s">
        <v>104</v>
      </c>
      <c r="C403" s="1" t="s">
        <v>363</v>
      </c>
      <c r="D403" s="1">
        <v>3.0</v>
      </c>
      <c r="E403" s="1">
        <v>90.0</v>
      </c>
      <c r="F403" s="1">
        <v>15.0</v>
      </c>
      <c r="G403" s="1">
        <v>30.0</v>
      </c>
      <c r="H403" s="1" t="s">
        <v>32</v>
      </c>
      <c r="I403" s="1" t="s">
        <v>33</v>
      </c>
      <c r="J403" s="1" t="s">
        <v>18</v>
      </c>
      <c r="K403" s="1">
        <v>650.0</v>
      </c>
      <c r="L403" s="1">
        <v>56.9334996</v>
      </c>
      <c r="M403" s="1">
        <v>24.0424848</v>
      </c>
    </row>
    <row r="404">
      <c r="A404" s="1" t="s">
        <v>22</v>
      </c>
      <c r="B404" s="1" t="s">
        <v>23</v>
      </c>
      <c r="C404" s="1" t="s">
        <v>399</v>
      </c>
      <c r="D404" s="1">
        <v>2.0</v>
      </c>
      <c r="E404" s="1">
        <v>61.0</v>
      </c>
      <c r="F404" s="1">
        <v>3.0</v>
      </c>
      <c r="G404" s="1">
        <v>5.0</v>
      </c>
      <c r="H404" s="1" t="s">
        <v>181</v>
      </c>
      <c r="I404" s="1" t="s">
        <v>33</v>
      </c>
      <c r="J404" s="1" t="s">
        <v>18</v>
      </c>
      <c r="K404" s="1">
        <v>80000.0</v>
      </c>
      <c r="L404" s="1">
        <v>56.96689285</v>
      </c>
      <c r="M404" s="1">
        <v>24.1462163385714</v>
      </c>
    </row>
    <row r="405">
      <c r="A405" s="1" t="s">
        <v>22</v>
      </c>
      <c r="B405" s="1" t="s">
        <v>30</v>
      </c>
      <c r="C405" s="1" t="s">
        <v>400</v>
      </c>
      <c r="D405" s="1">
        <v>1.0</v>
      </c>
      <c r="E405" s="1">
        <v>43.0</v>
      </c>
      <c r="F405" s="1">
        <v>3.0</v>
      </c>
      <c r="G405" s="1">
        <v>5.0</v>
      </c>
      <c r="H405" s="1" t="s">
        <v>57</v>
      </c>
      <c r="I405" s="1" t="s">
        <v>21</v>
      </c>
      <c r="J405" s="1" t="s">
        <v>18</v>
      </c>
      <c r="K405" s="1">
        <v>46200.0</v>
      </c>
      <c r="L405" s="1">
        <v>56.96378645</v>
      </c>
      <c r="M405" s="1">
        <v>24.1961874494858</v>
      </c>
    </row>
    <row r="406">
      <c r="A406" s="1" t="s">
        <v>89</v>
      </c>
      <c r="B406" s="1" t="s">
        <v>60</v>
      </c>
      <c r="C406" s="1" t="s">
        <v>401</v>
      </c>
      <c r="D406" s="1">
        <v>1.0</v>
      </c>
      <c r="E406" s="1">
        <v>42.0</v>
      </c>
      <c r="F406" s="1">
        <v>2.0</v>
      </c>
      <c r="G406" s="1">
        <v>5.0</v>
      </c>
      <c r="H406" s="1" t="s">
        <v>57</v>
      </c>
      <c r="I406" s="1" t="s">
        <v>21</v>
      </c>
      <c r="J406" s="1" t="s">
        <v>18</v>
      </c>
      <c r="K406" s="2"/>
      <c r="L406" s="1">
        <v>46.770384</v>
      </c>
      <c r="M406" s="1">
        <v>11.6396833</v>
      </c>
    </row>
    <row r="407">
      <c r="A407" s="1" t="s">
        <v>22</v>
      </c>
      <c r="B407" s="1" t="s">
        <v>19</v>
      </c>
      <c r="C407" s="1" t="s">
        <v>402</v>
      </c>
      <c r="D407" s="1">
        <v>1.0</v>
      </c>
      <c r="E407" s="1">
        <v>45.0</v>
      </c>
      <c r="F407" s="1">
        <v>3.0</v>
      </c>
      <c r="G407" s="1">
        <v>9.0</v>
      </c>
      <c r="H407" s="1" t="s">
        <v>57</v>
      </c>
      <c r="I407" s="1" t="s">
        <v>21</v>
      </c>
      <c r="J407" s="1" t="s">
        <v>18</v>
      </c>
      <c r="K407" s="1">
        <v>40700.0</v>
      </c>
      <c r="L407" s="1">
        <v>56.9004870499999</v>
      </c>
      <c r="M407" s="1">
        <v>24.1006074257664</v>
      </c>
    </row>
    <row r="408">
      <c r="A408" s="1" t="s">
        <v>22</v>
      </c>
      <c r="B408" s="1" t="s">
        <v>23</v>
      </c>
      <c r="C408" s="1" t="s">
        <v>403</v>
      </c>
      <c r="D408" s="1">
        <v>3.0</v>
      </c>
      <c r="E408" s="1">
        <v>74.0</v>
      </c>
      <c r="F408" s="1">
        <v>3.0</v>
      </c>
      <c r="G408" s="1">
        <v>6.0</v>
      </c>
      <c r="H408" s="1" t="s">
        <v>25</v>
      </c>
      <c r="I408" s="1" t="s">
        <v>33</v>
      </c>
      <c r="J408" s="1" t="s">
        <v>18</v>
      </c>
      <c r="K408" s="1">
        <v>135000.0</v>
      </c>
      <c r="L408" s="1">
        <v>56.9543322</v>
      </c>
      <c r="M408" s="1">
        <v>24.1313043698515</v>
      </c>
    </row>
    <row r="409">
      <c r="A409" s="1" t="s">
        <v>22</v>
      </c>
      <c r="B409" s="1" t="s">
        <v>23</v>
      </c>
      <c r="C409" s="1" t="s">
        <v>404</v>
      </c>
      <c r="D409" s="1">
        <v>2.0</v>
      </c>
      <c r="E409" s="1">
        <v>46.0</v>
      </c>
      <c r="F409" s="1">
        <v>3.0</v>
      </c>
      <c r="G409" s="1">
        <v>5.0</v>
      </c>
      <c r="H409" s="1" t="s">
        <v>25</v>
      </c>
      <c r="I409" s="1" t="s">
        <v>33</v>
      </c>
      <c r="J409" s="1" t="s">
        <v>18</v>
      </c>
      <c r="K409" s="1">
        <v>49000.0</v>
      </c>
      <c r="L409" s="1">
        <v>56.96127015</v>
      </c>
      <c r="M409" s="1">
        <v>24.1354219163123</v>
      </c>
    </row>
    <row r="410">
      <c r="A410" s="1" t="s">
        <v>13</v>
      </c>
      <c r="B410" s="1" t="s">
        <v>23</v>
      </c>
      <c r="C410" s="1" t="s">
        <v>405</v>
      </c>
      <c r="D410" s="1">
        <v>2.0</v>
      </c>
      <c r="E410" s="1">
        <v>64.0</v>
      </c>
      <c r="F410" s="1">
        <v>5.0</v>
      </c>
      <c r="G410" s="1">
        <v>6.0</v>
      </c>
      <c r="H410" s="1" t="s">
        <v>25</v>
      </c>
      <c r="I410" s="1" t="s">
        <v>33</v>
      </c>
      <c r="J410" s="1" t="s">
        <v>18</v>
      </c>
      <c r="K410" s="1">
        <v>450.0</v>
      </c>
      <c r="L410" s="1">
        <v>56.9554547</v>
      </c>
      <c r="M410" s="1">
        <v>24.1216183</v>
      </c>
    </row>
    <row r="411">
      <c r="A411" s="1" t="s">
        <v>13</v>
      </c>
      <c r="B411" s="1" t="s">
        <v>19</v>
      </c>
      <c r="C411" s="1" t="s">
        <v>406</v>
      </c>
      <c r="D411" s="1">
        <v>2.0</v>
      </c>
      <c r="E411" s="1">
        <v>40.0</v>
      </c>
      <c r="F411" s="1">
        <v>1.0</v>
      </c>
      <c r="G411" s="1">
        <v>2.0</v>
      </c>
      <c r="H411" s="1" t="s">
        <v>36</v>
      </c>
      <c r="I411" s="1" t="s">
        <v>33</v>
      </c>
      <c r="J411" s="1" t="s">
        <v>27</v>
      </c>
      <c r="K411" s="1">
        <v>220.0</v>
      </c>
      <c r="L411" s="1">
        <v>56.9135917</v>
      </c>
      <c r="M411" s="1">
        <v>24.1141275</v>
      </c>
    </row>
    <row r="412">
      <c r="A412" s="1" t="s">
        <v>13</v>
      </c>
      <c r="B412" s="1" t="s">
        <v>23</v>
      </c>
      <c r="C412" s="1" t="s">
        <v>407</v>
      </c>
      <c r="D412" s="1">
        <v>3.0</v>
      </c>
      <c r="E412" s="1">
        <v>89.0</v>
      </c>
      <c r="F412" s="1">
        <v>6.0</v>
      </c>
      <c r="G412" s="1">
        <v>6.0</v>
      </c>
      <c r="H412" s="1" t="s">
        <v>32</v>
      </c>
      <c r="I412" s="1" t="s">
        <v>21</v>
      </c>
      <c r="J412" s="1" t="s">
        <v>18</v>
      </c>
      <c r="K412" s="1">
        <v>750.0</v>
      </c>
      <c r="L412" s="1">
        <v>56.9704076</v>
      </c>
      <c r="M412" s="1">
        <v>24.1377874</v>
      </c>
    </row>
    <row r="413">
      <c r="A413" s="1" t="s">
        <v>22</v>
      </c>
      <c r="B413" s="1" t="s">
        <v>23</v>
      </c>
      <c r="C413" s="1" t="s">
        <v>408</v>
      </c>
      <c r="D413" s="1">
        <v>1.0</v>
      </c>
      <c r="E413" s="1">
        <v>27.0</v>
      </c>
      <c r="F413" s="1">
        <v>5.0</v>
      </c>
      <c r="G413" s="1">
        <v>5.0</v>
      </c>
      <c r="H413" s="1" t="s">
        <v>66</v>
      </c>
      <c r="I413" s="1" t="s">
        <v>33</v>
      </c>
      <c r="J413" s="1" t="s">
        <v>18</v>
      </c>
      <c r="K413" s="1">
        <v>59990.0</v>
      </c>
      <c r="L413" s="1">
        <v>56.949246</v>
      </c>
      <c r="M413" s="1">
        <v>24.1208219161591</v>
      </c>
    </row>
    <row r="414">
      <c r="A414" s="1" t="s">
        <v>22</v>
      </c>
      <c r="B414" s="1" t="s">
        <v>23</v>
      </c>
      <c r="C414" s="1" t="s">
        <v>409</v>
      </c>
      <c r="D414" s="1">
        <v>2.0</v>
      </c>
      <c r="E414" s="1">
        <v>46.0</v>
      </c>
      <c r="F414" s="1">
        <v>5.0</v>
      </c>
      <c r="G414" s="1">
        <v>5.0</v>
      </c>
      <c r="H414" s="1">
        <v>103.0</v>
      </c>
      <c r="I414" s="1" t="s">
        <v>17</v>
      </c>
      <c r="J414" s="1" t="s">
        <v>18</v>
      </c>
      <c r="K414" s="1">
        <v>56800.0</v>
      </c>
      <c r="L414" s="1">
        <v>56.9928319</v>
      </c>
      <c r="M414" s="1">
        <v>24.1224521</v>
      </c>
    </row>
    <row r="415">
      <c r="A415" s="1" t="s">
        <v>13</v>
      </c>
      <c r="B415" s="1" t="s">
        <v>30</v>
      </c>
      <c r="C415" s="1" t="s">
        <v>410</v>
      </c>
      <c r="D415" s="1">
        <v>1.0</v>
      </c>
      <c r="E415" s="1">
        <v>30.0</v>
      </c>
      <c r="F415" s="1">
        <v>2.0</v>
      </c>
      <c r="G415" s="1">
        <v>12.0</v>
      </c>
      <c r="H415" s="1" t="s">
        <v>221</v>
      </c>
      <c r="I415" s="1" t="s">
        <v>37</v>
      </c>
      <c r="J415" s="1" t="s">
        <v>18</v>
      </c>
      <c r="K415" s="1">
        <v>300.0</v>
      </c>
      <c r="L415" s="1">
        <v>56.987477</v>
      </c>
      <c r="M415" s="1">
        <v>24.2280819</v>
      </c>
    </row>
    <row r="416">
      <c r="A416" s="1" t="s">
        <v>13</v>
      </c>
      <c r="B416" s="1" t="s">
        <v>42</v>
      </c>
      <c r="C416" s="1" t="s">
        <v>410</v>
      </c>
      <c r="D416" s="1">
        <v>1.0</v>
      </c>
      <c r="E416" s="1">
        <v>30.0</v>
      </c>
      <c r="F416" s="1">
        <v>2.0</v>
      </c>
      <c r="G416" s="1">
        <v>12.0</v>
      </c>
      <c r="H416" s="1" t="s">
        <v>221</v>
      </c>
      <c r="I416" s="1" t="s">
        <v>37</v>
      </c>
      <c r="J416" s="1" t="s">
        <v>18</v>
      </c>
      <c r="K416" s="1">
        <v>300.0</v>
      </c>
      <c r="L416" s="1">
        <v>56.987477</v>
      </c>
      <c r="M416" s="1">
        <v>24.2280819</v>
      </c>
    </row>
    <row r="417">
      <c r="A417" s="1" t="s">
        <v>13</v>
      </c>
      <c r="B417" s="1" t="s">
        <v>23</v>
      </c>
      <c r="C417" s="1" t="s">
        <v>411</v>
      </c>
      <c r="D417" s="1">
        <v>3.0</v>
      </c>
      <c r="E417" s="1">
        <v>85.0</v>
      </c>
      <c r="F417" s="1">
        <v>5.0</v>
      </c>
      <c r="G417" s="1">
        <v>5.0</v>
      </c>
      <c r="H417" s="1" t="s">
        <v>25</v>
      </c>
      <c r="I417" s="1" t="s">
        <v>37</v>
      </c>
      <c r="J417" s="1" t="s">
        <v>18</v>
      </c>
      <c r="K417" s="1">
        <v>500.0</v>
      </c>
      <c r="L417" s="1">
        <v>56.9553389</v>
      </c>
      <c r="M417" s="1">
        <v>24.1342842</v>
      </c>
    </row>
    <row r="418">
      <c r="A418" s="1" t="s">
        <v>22</v>
      </c>
      <c r="B418" s="1" t="s">
        <v>48</v>
      </c>
      <c r="C418" s="1" t="s">
        <v>412</v>
      </c>
      <c r="D418" s="1">
        <v>2.0</v>
      </c>
      <c r="E418" s="1">
        <v>42.0</v>
      </c>
      <c r="F418" s="1">
        <v>2.0</v>
      </c>
      <c r="G418" s="1">
        <v>2.0</v>
      </c>
      <c r="H418" s="1" t="s">
        <v>25</v>
      </c>
      <c r="I418" s="1" t="s">
        <v>26</v>
      </c>
      <c r="J418" s="1" t="s">
        <v>18</v>
      </c>
      <c r="K418" s="1">
        <v>37500.0</v>
      </c>
      <c r="L418" s="1">
        <v>56.9593644</v>
      </c>
      <c r="M418" s="1">
        <v>24.2981696499999</v>
      </c>
    </row>
    <row r="419">
      <c r="A419" s="1" t="s">
        <v>22</v>
      </c>
      <c r="B419" s="1" t="s">
        <v>30</v>
      </c>
      <c r="C419" s="1" t="s">
        <v>413</v>
      </c>
      <c r="D419" s="1">
        <v>4.0</v>
      </c>
      <c r="E419" s="1">
        <v>117.0</v>
      </c>
      <c r="F419" s="1">
        <v>5.0</v>
      </c>
      <c r="G419" s="1">
        <v>5.0</v>
      </c>
      <c r="H419" s="1" t="s">
        <v>25</v>
      </c>
      <c r="I419" s="1" t="s">
        <v>37</v>
      </c>
      <c r="J419" s="1" t="s">
        <v>18</v>
      </c>
      <c r="K419" s="1">
        <v>82000.0</v>
      </c>
      <c r="L419" s="1">
        <v>56.9745276</v>
      </c>
      <c r="M419" s="1">
        <v>24.1701148972973</v>
      </c>
    </row>
    <row r="420">
      <c r="A420" s="1" t="s">
        <v>13</v>
      </c>
      <c r="B420" s="1" t="s">
        <v>52</v>
      </c>
      <c r="C420" s="1" t="s">
        <v>414</v>
      </c>
      <c r="D420" s="1">
        <v>2.0</v>
      </c>
      <c r="E420" s="1">
        <v>57.0</v>
      </c>
      <c r="F420" s="1">
        <v>3.0</v>
      </c>
      <c r="G420" s="1">
        <v>4.0</v>
      </c>
      <c r="H420" s="1" t="s">
        <v>32</v>
      </c>
      <c r="I420" s="1" t="s">
        <v>21</v>
      </c>
      <c r="J420" s="1" t="s">
        <v>18</v>
      </c>
      <c r="K420" s="1">
        <v>550.0</v>
      </c>
      <c r="L420" s="1">
        <v>56.94414285</v>
      </c>
      <c r="M420" s="1">
        <v>24.0235054261404</v>
      </c>
    </row>
    <row r="421">
      <c r="A421" s="1" t="s">
        <v>22</v>
      </c>
      <c r="B421" s="1" t="s">
        <v>99</v>
      </c>
      <c r="C421" s="1" t="s">
        <v>415</v>
      </c>
      <c r="D421" s="1">
        <v>3.0</v>
      </c>
      <c r="E421" s="1">
        <v>60.0</v>
      </c>
      <c r="F421" s="1">
        <v>3.0</v>
      </c>
      <c r="G421" s="1">
        <v>5.0</v>
      </c>
      <c r="H421" s="1" t="s">
        <v>32</v>
      </c>
      <c r="I421" s="1" t="s">
        <v>17</v>
      </c>
      <c r="J421" s="1" t="s">
        <v>18</v>
      </c>
      <c r="K421" s="1">
        <v>120000.0</v>
      </c>
      <c r="L421" s="1">
        <v>56.94553165</v>
      </c>
      <c r="M421" s="1">
        <v>24.092327378378</v>
      </c>
    </row>
    <row r="422">
      <c r="A422" s="1" t="s">
        <v>13</v>
      </c>
      <c r="B422" s="1" t="s">
        <v>23</v>
      </c>
      <c r="C422" s="1" t="s">
        <v>369</v>
      </c>
      <c r="D422" s="1">
        <v>2.0</v>
      </c>
      <c r="E422" s="1">
        <v>58.0</v>
      </c>
      <c r="F422" s="1">
        <v>4.0</v>
      </c>
      <c r="G422" s="1">
        <v>5.0</v>
      </c>
      <c r="H422" s="1" t="s">
        <v>25</v>
      </c>
      <c r="I422" s="1" t="s">
        <v>17</v>
      </c>
      <c r="J422" s="1" t="s">
        <v>18</v>
      </c>
      <c r="K422" s="1">
        <v>425.0</v>
      </c>
      <c r="L422" s="1">
        <v>56.9643579</v>
      </c>
      <c r="M422" s="1">
        <v>24.1513733</v>
      </c>
    </row>
    <row r="423">
      <c r="A423" s="1" t="s">
        <v>22</v>
      </c>
      <c r="B423" s="1" t="s">
        <v>23</v>
      </c>
      <c r="C423" s="1" t="s">
        <v>416</v>
      </c>
      <c r="D423" s="1">
        <v>1.0</v>
      </c>
      <c r="E423" s="1">
        <v>20.0</v>
      </c>
      <c r="F423" s="1">
        <v>1.0</v>
      </c>
      <c r="G423" s="1">
        <v>2.0</v>
      </c>
      <c r="H423" s="1" t="s">
        <v>25</v>
      </c>
      <c r="I423" s="1" t="s">
        <v>33</v>
      </c>
      <c r="J423" s="1" t="s">
        <v>27</v>
      </c>
      <c r="K423" s="1">
        <v>8100.0</v>
      </c>
      <c r="L423" s="1">
        <v>56.961717</v>
      </c>
      <c r="M423" s="1">
        <v>24.1506497631578</v>
      </c>
    </row>
    <row r="424">
      <c r="A424" s="1" t="s">
        <v>22</v>
      </c>
      <c r="B424" s="1" t="s">
        <v>23</v>
      </c>
      <c r="C424" s="1" t="s">
        <v>417</v>
      </c>
      <c r="D424" s="1">
        <v>3.0</v>
      </c>
      <c r="E424" s="1">
        <v>107.0</v>
      </c>
      <c r="F424" s="1">
        <v>5.0</v>
      </c>
      <c r="G424" s="1">
        <v>5.0</v>
      </c>
      <c r="H424" s="1" t="s">
        <v>25</v>
      </c>
      <c r="I424" s="1" t="s">
        <v>37</v>
      </c>
      <c r="J424" s="1" t="s">
        <v>18</v>
      </c>
      <c r="K424" s="1">
        <v>265000.0</v>
      </c>
      <c r="L424" s="1">
        <v>56.95523395</v>
      </c>
      <c r="M424" s="1">
        <v>24.1215599922982</v>
      </c>
    </row>
    <row r="425">
      <c r="A425" s="1" t="s">
        <v>22</v>
      </c>
      <c r="B425" s="1" t="s">
        <v>151</v>
      </c>
      <c r="C425" s="1" t="s">
        <v>418</v>
      </c>
      <c r="D425" s="1">
        <v>2.0</v>
      </c>
      <c r="E425" s="1">
        <v>45.0</v>
      </c>
      <c r="F425" s="1">
        <v>1.0</v>
      </c>
      <c r="G425" s="1">
        <v>3.0</v>
      </c>
      <c r="H425" s="1" t="s">
        <v>44</v>
      </c>
      <c r="I425" s="1" t="s">
        <v>37</v>
      </c>
      <c r="J425" s="1" t="s">
        <v>18</v>
      </c>
      <c r="K425" s="1">
        <v>36000.0</v>
      </c>
      <c r="L425" s="1">
        <v>56.9657966</v>
      </c>
      <c r="M425" s="1">
        <v>24.0629937</v>
      </c>
    </row>
    <row r="426">
      <c r="A426" s="1" t="s">
        <v>13</v>
      </c>
      <c r="B426" s="1" t="s">
        <v>50</v>
      </c>
      <c r="C426" s="1" t="s">
        <v>419</v>
      </c>
      <c r="D426" s="1">
        <v>1.0</v>
      </c>
      <c r="E426" s="1">
        <v>25.0</v>
      </c>
      <c r="F426" s="1">
        <v>3.0</v>
      </c>
      <c r="G426" s="1">
        <v>3.0</v>
      </c>
      <c r="H426" s="1" t="s">
        <v>66</v>
      </c>
      <c r="I426" s="1" t="s">
        <v>33</v>
      </c>
      <c r="J426" s="1" t="s">
        <v>18</v>
      </c>
      <c r="K426" s="1">
        <v>290.0</v>
      </c>
      <c r="L426" s="1">
        <v>56.94284855</v>
      </c>
      <c r="M426" s="1">
        <v>24.1337531531518</v>
      </c>
    </row>
    <row r="427">
      <c r="A427" s="1" t="s">
        <v>13</v>
      </c>
      <c r="B427" s="1" t="s">
        <v>48</v>
      </c>
      <c r="C427" s="1" t="s">
        <v>310</v>
      </c>
      <c r="D427" s="1">
        <v>1.0</v>
      </c>
      <c r="E427" s="1">
        <v>45.0</v>
      </c>
      <c r="F427" s="1">
        <v>12.0</v>
      </c>
      <c r="G427" s="1">
        <v>16.0</v>
      </c>
      <c r="H427" s="1">
        <v>104.0</v>
      </c>
      <c r="I427" s="1" t="s">
        <v>21</v>
      </c>
      <c r="J427" s="1" t="s">
        <v>18</v>
      </c>
      <c r="K427" s="1">
        <v>270.0</v>
      </c>
      <c r="L427" s="1">
        <v>56.9671489</v>
      </c>
      <c r="M427" s="1">
        <v>24.2375509025527</v>
      </c>
    </row>
    <row r="428">
      <c r="A428" s="1" t="s">
        <v>13</v>
      </c>
      <c r="B428" s="1" t="s">
        <v>52</v>
      </c>
      <c r="C428" s="1" t="s">
        <v>420</v>
      </c>
      <c r="D428" s="1">
        <v>3.0</v>
      </c>
      <c r="E428" s="1">
        <v>77.0</v>
      </c>
      <c r="F428" s="1">
        <v>2.0</v>
      </c>
      <c r="G428" s="1">
        <v>9.0</v>
      </c>
      <c r="H428" s="1">
        <v>119.0</v>
      </c>
      <c r="I428" s="1" t="s">
        <v>21</v>
      </c>
      <c r="J428" s="1" t="s">
        <v>18</v>
      </c>
      <c r="K428" s="1">
        <v>420.0</v>
      </c>
      <c r="L428" s="1">
        <v>56.9454805</v>
      </c>
      <c r="M428" s="1">
        <v>24.0097101</v>
      </c>
    </row>
    <row r="429">
      <c r="A429" s="1" t="s">
        <v>22</v>
      </c>
      <c r="B429" s="1" t="s">
        <v>76</v>
      </c>
      <c r="C429" s="1" t="s">
        <v>421</v>
      </c>
      <c r="D429" s="1">
        <v>2.0</v>
      </c>
      <c r="E429" s="1">
        <v>41.0</v>
      </c>
      <c r="F429" s="1">
        <v>3.0</v>
      </c>
      <c r="G429" s="1">
        <v>3.0</v>
      </c>
      <c r="H429" s="1" t="s">
        <v>44</v>
      </c>
      <c r="I429" s="1" t="s">
        <v>33</v>
      </c>
      <c r="J429" s="1" t="s">
        <v>18</v>
      </c>
      <c r="K429" s="1">
        <v>38000.0</v>
      </c>
      <c r="L429" s="1">
        <v>56.95863035</v>
      </c>
      <c r="M429" s="1">
        <v>24.0622605031773</v>
      </c>
    </row>
    <row r="430">
      <c r="A430" s="1" t="s">
        <v>89</v>
      </c>
      <c r="B430" s="1" t="s">
        <v>422</v>
      </c>
      <c r="C430" s="2"/>
      <c r="D430" s="2"/>
      <c r="E430" s="2"/>
      <c r="F430" s="2"/>
      <c r="G430" s="2"/>
      <c r="H430" s="2"/>
      <c r="I430" s="2"/>
      <c r="J430" s="2"/>
      <c r="K430" s="2"/>
      <c r="L430" s="1">
        <v>46.3144754</v>
      </c>
      <c r="M430" s="1">
        <v>11.0480288</v>
      </c>
    </row>
    <row r="431">
      <c r="A431" s="1" t="s">
        <v>22</v>
      </c>
      <c r="B431" s="1" t="s">
        <v>19</v>
      </c>
      <c r="C431" s="1" t="s">
        <v>423</v>
      </c>
      <c r="D431" s="1">
        <v>4.0</v>
      </c>
      <c r="E431" s="1">
        <v>140.0</v>
      </c>
      <c r="F431" s="1">
        <v>4.0</v>
      </c>
      <c r="G431" s="1">
        <v>4.0</v>
      </c>
      <c r="H431" s="1" t="s">
        <v>32</v>
      </c>
      <c r="I431" s="1" t="s">
        <v>21</v>
      </c>
      <c r="J431" s="1" t="s">
        <v>18</v>
      </c>
      <c r="K431" s="1">
        <v>228000.0</v>
      </c>
      <c r="L431" s="1">
        <v>56.91406475</v>
      </c>
      <c r="M431" s="1">
        <v>24.1267306207389</v>
      </c>
    </row>
    <row r="432">
      <c r="A432" s="1" t="s">
        <v>22</v>
      </c>
      <c r="B432" s="1" t="s">
        <v>23</v>
      </c>
      <c r="C432" s="1" t="s">
        <v>424</v>
      </c>
      <c r="D432" s="1">
        <v>4.0</v>
      </c>
      <c r="E432" s="1">
        <v>137.0</v>
      </c>
      <c r="F432" s="1">
        <v>3.0</v>
      </c>
      <c r="G432" s="1">
        <v>5.0</v>
      </c>
      <c r="H432" s="1" t="s">
        <v>25</v>
      </c>
      <c r="I432" s="1" t="s">
        <v>33</v>
      </c>
      <c r="J432" s="1" t="s">
        <v>18</v>
      </c>
      <c r="K432" s="1">
        <v>149000.0</v>
      </c>
      <c r="L432" s="1">
        <v>56.9626863</v>
      </c>
      <c r="M432" s="1">
        <v>24.1480584</v>
      </c>
    </row>
    <row r="433">
      <c r="A433" s="1" t="s">
        <v>22</v>
      </c>
      <c r="B433" s="1" t="s">
        <v>74</v>
      </c>
      <c r="C433" s="1" t="s">
        <v>425</v>
      </c>
      <c r="D433" s="1">
        <v>4.0</v>
      </c>
      <c r="E433" s="1">
        <v>118.0</v>
      </c>
      <c r="F433" s="1">
        <v>1.0</v>
      </c>
      <c r="G433" s="1">
        <v>3.0</v>
      </c>
      <c r="H433" s="1" t="s">
        <v>32</v>
      </c>
      <c r="I433" s="1" t="s">
        <v>17</v>
      </c>
      <c r="J433" s="1" t="s">
        <v>18</v>
      </c>
      <c r="K433" s="1">
        <v>199000.0</v>
      </c>
      <c r="L433" s="1">
        <v>56.93715885</v>
      </c>
      <c r="M433" s="1">
        <v>24.2146330429204</v>
      </c>
    </row>
    <row r="434">
      <c r="A434" s="1" t="s">
        <v>13</v>
      </c>
      <c r="B434" s="1" t="s">
        <v>23</v>
      </c>
      <c r="C434" s="1" t="s">
        <v>426</v>
      </c>
      <c r="D434" s="1">
        <v>3.0</v>
      </c>
      <c r="E434" s="1">
        <v>63.0</v>
      </c>
      <c r="F434" s="1">
        <v>3.0</v>
      </c>
      <c r="G434" s="1">
        <v>5.0</v>
      </c>
      <c r="H434" s="1" t="s">
        <v>66</v>
      </c>
      <c r="I434" s="1" t="s">
        <v>33</v>
      </c>
      <c r="J434" s="1" t="s">
        <v>18</v>
      </c>
      <c r="K434" s="1">
        <v>630.0</v>
      </c>
      <c r="L434" s="1">
        <v>56.95629175</v>
      </c>
      <c r="M434" s="1">
        <v>24.1353545508412</v>
      </c>
    </row>
    <row r="435">
      <c r="A435" s="1" t="s">
        <v>22</v>
      </c>
      <c r="B435" s="1" t="s">
        <v>28</v>
      </c>
      <c r="C435" s="1" t="s">
        <v>427</v>
      </c>
      <c r="D435" s="1">
        <v>3.0</v>
      </c>
      <c r="E435" s="1">
        <v>75.0</v>
      </c>
      <c r="F435" s="1">
        <v>6.0</v>
      </c>
      <c r="G435" s="1">
        <v>12.0</v>
      </c>
      <c r="H435" s="1" t="s">
        <v>221</v>
      </c>
      <c r="I435" s="1" t="s">
        <v>37</v>
      </c>
      <c r="J435" s="1" t="s">
        <v>18</v>
      </c>
      <c r="K435" s="1">
        <v>67000.0</v>
      </c>
      <c r="L435" s="1">
        <v>56.9194196499999</v>
      </c>
      <c r="M435" s="1">
        <v>24.1838668481569</v>
      </c>
    </row>
    <row r="436">
      <c r="A436" s="1" t="s">
        <v>22</v>
      </c>
      <c r="B436" s="1" t="s">
        <v>218</v>
      </c>
      <c r="C436" s="1" t="s">
        <v>428</v>
      </c>
      <c r="D436" s="1">
        <v>3.0</v>
      </c>
      <c r="E436" s="1">
        <v>101.0</v>
      </c>
      <c r="F436" s="1">
        <v>3.0</v>
      </c>
      <c r="G436" s="1">
        <v>6.0</v>
      </c>
      <c r="H436" s="1" t="s">
        <v>66</v>
      </c>
      <c r="I436" s="1" t="s">
        <v>33</v>
      </c>
      <c r="J436" s="1" t="s">
        <v>18</v>
      </c>
      <c r="K436" s="1">
        <v>220000.0</v>
      </c>
      <c r="L436" s="1">
        <v>56.9451747</v>
      </c>
      <c r="M436" s="1">
        <v>24.1075711</v>
      </c>
    </row>
    <row r="437">
      <c r="A437" s="1" t="s">
        <v>22</v>
      </c>
      <c r="B437" s="1" t="s">
        <v>23</v>
      </c>
      <c r="C437" s="1" t="s">
        <v>429</v>
      </c>
      <c r="D437" s="1">
        <v>1.0</v>
      </c>
      <c r="E437" s="1">
        <v>43.0</v>
      </c>
      <c r="F437" s="1">
        <v>3.0</v>
      </c>
      <c r="G437" s="1">
        <v>3.0</v>
      </c>
      <c r="H437" s="1" t="s">
        <v>25</v>
      </c>
      <c r="I437" s="1" t="s">
        <v>26</v>
      </c>
      <c r="J437" s="1" t="s">
        <v>18</v>
      </c>
      <c r="K437" s="1">
        <v>45000.0</v>
      </c>
      <c r="L437" s="1">
        <v>56.9550189</v>
      </c>
      <c r="M437" s="1">
        <v>24.1293006</v>
      </c>
    </row>
    <row r="438">
      <c r="A438" s="1" t="s">
        <v>13</v>
      </c>
      <c r="B438" s="1" t="s">
        <v>28</v>
      </c>
      <c r="C438" s="1" t="s">
        <v>430</v>
      </c>
      <c r="D438" s="1">
        <v>1.0</v>
      </c>
      <c r="E438" s="1">
        <v>35.0</v>
      </c>
      <c r="F438" s="1">
        <v>6.0</v>
      </c>
      <c r="G438" s="1">
        <v>12.0</v>
      </c>
      <c r="H438" s="1" t="s">
        <v>16</v>
      </c>
      <c r="I438" s="1" t="s">
        <v>37</v>
      </c>
      <c r="J438" s="1" t="s">
        <v>18</v>
      </c>
      <c r="K438" s="1">
        <v>190.0</v>
      </c>
      <c r="L438" s="1">
        <v>56.9039208</v>
      </c>
      <c r="M438" s="1">
        <v>24.2003814814285</v>
      </c>
    </row>
    <row r="439">
      <c r="A439" s="1" t="s">
        <v>13</v>
      </c>
      <c r="B439" s="1" t="s">
        <v>30</v>
      </c>
      <c r="C439" s="1" t="s">
        <v>431</v>
      </c>
      <c r="D439" s="1">
        <v>3.0</v>
      </c>
      <c r="E439" s="1">
        <v>55.0</v>
      </c>
      <c r="F439" s="1">
        <v>1.0</v>
      </c>
      <c r="G439" s="1">
        <v>1.0</v>
      </c>
      <c r="H439" s="1" t="s">
        <v>171</v>
      </c>
      <c r="I439" s="1" t="s">
        <v>33</v>
      </c>
      <c r="J439" s="1" t="s">
        <v>18</v>
      </c>
      <c r="K439" s="1">
        <v>500.0</v>
      </c>
      <c r="L439" s="1">
        <v>56.9713309</v>
      </c>
      <c r="M439" s="1">
        <v>24.1683435028215</v>
      </c>
    </row>
    <row r="440">
      <c r="A440" s="1" t="s">
        <v>13</v>
      </c>
      <c r="B440" s="1" t="s">
        <v>42</v>
      </c>
      <c r="C440" s="1" t="s">
        <v>432</v>
      </c>
      <c r="D440" s="1">
        <v>1.0</v>
      </c>
      <c r="E440" s="1">
        <v>32.0</v>
      </c>
      <c r="F440" s="1">
        <v>4.0</v>
      </c>
      <c r="G440" s="1">
        <v>12.0</v>
      </c>
      <c r="H440" s="1" t="s">
        <v>57</v>
      </c>
      <c r="I440" s="1" t="s">
        <v>37</v>
      </c>
      <c r="J440" s="1" t="s">
        <v>18</v>
      </c>
      <c r="K440" s="1">
        <v>250.0</v>
      </c>
      <c r="L440" s="1">
        <v>56.9871471999999</v>
      </c>
      <c r="M440" s="1">
        <v>24.2286390546237</v>
      </c>
    </row>
    <row r="441">
      <c r="A441" s="1" t="s">
        <v>22</v>
      </c>
      <c r="B441" s="1" t="s">
        <v>50</v>
      </c>
      <c r="C441" s="1" t="s">
        <v>359</v>
      </c>
      <c r="D441" s="1">
        <v>4.0</v>
      </c>
      <c r="E441" s="1">
        <v>95.0</v>
      </c>
      <c r="F441" s="1">
        <v>1.0</v>
      </c>
      <c r="G441" s="1">
        <v>2.0</v>
      </c>
      <c r="H441" s="1" t="s">
        <v>36</v>
      </c>
      <c r="I441" s="1" t="s">
        <v>26</v>
      </c>
      <c r="J441" s="1" t="s">
        <v>18</v>
      </c>
      <c r="K441" s="1">
        <v>29790.0</v>
      </c>
      <c r="L441" s="1">
        <v>56.9398925</v>
      </c>
      <c r="M441" s="1">
        <v>24.1414198548449</v>
      </c>
    </row>
    <row r="442">
      <c r="A442" s="1" t="s">
        <v>22</v>
      </c>
      <c r="B442" s="1" t="s">
        <v>104</v>
      </c>
      <c r="C442" s="1" t="s">
        <v>433</v>
      </c>
      <c r="D442" s="1">
        <v>3.0</v>
      </c>
      <c r="E442" s="1">
        <v>64.0</v>
      </c>
      <c r="F442" s="1">
        <v>2.0</v>
      </c>
      <c r="G442" s="1">
        <v>4.0</v>
      </c>
      <c r="H442" s="1" t="s">
        <v>66</v>
      </c>
      <c r="I442" s="1" t="s">
        <v>26</v>
      </c>
      <c r="J442" s="1" t="s">
        <v>18</v>
      </c>
      <c r="K442" s="1">
        <v>102000.0</v>
      </c>
      <c r="L442" s="1">
        <v>56.94402935</v>
      </c>
      <c r="M442" s="1">
        <v>24.0666393160705</v>
      </c>
    </row>
    <row r="443">
      <c r="A443" s="1" t="s">
        <v>89</v>
      </c>
      <c r="B443" s="1" t="s">
        <v>30</v>
      </c>
      <c r="C443" s="2"/>
      <c r="D443" s="1">
        <v>3.0</v>
      </c>
      <c r="E443" s="2"/>
      <c r="F443" s="2"/>
      <c r="G443" s="2"/>
      <c r="H443" s="2"/>
      <c r="I443" s="2"/>
      <c r="J443" s="2"/>
      <c r="K443" s="2"/>
      <c r="L443" s="1">
        <v>46.3144754</v>
      </c>
      <c r="M443" s="1">
        <v>11.0480288</v>
      </c>
    </row>
    <row r="444">
      <c r="A444" s="1" t="s">
        <v>22</v>
      </c>
      <c r="B444" s="1" t="s">
        <v>14</v>
      </c>
      <c r="C444" s="1" t="s">
        <v>434</v>
      </c>
      <c r="D444" s="1">
        <v>1.0</v>
      </c>
      <c r="E444" s="1">
        <v>37.0</v>
      </c>
      <c r="F444" s="1">
        <v>1.0</v>
      </c>
      <c r="G444" s="1">
        <v>9.0</v>
      </c>
      <c r="H444" s="1">
        <v>467.0</v>
      </c>
      <c r="I444" s="1" t="s">
        <v>21</v>
      </c>
      <c r="J444" s="1" t="s">
        <v>18</v>
      </c>
      <c r="K444" s="1">
        <v>32000.0</v>
      </c>
      <c r="L444" s="1">
        <v>56.9543563</v>
      </c>
      <c r="M444" s="1">
        <v>24.19854765</v>
      </c>
    </row>
    <row r="445">
      <c r="A445" s="1" t="s">
        <v>13</v>
      </c>
      <c r="B445" s="1" t="s">
        <v>23</v>
      </c>
      <c r="C445" s="1" t="s">
        <v>435</v>
      </c>
      <c r="D445" s="1">
        <v>1.0</v>
      </c>
      <c r="E445" s="1">
        <v>25.0</v>
      </c>
      <c r="F445" s="1">
        <v>5.0</v>
      </c>
      <c r="G445" s="1">
        <v>5.0</v>
      </c>
      <c r="H445" s="1" t="s">
        <v>25</v>
      </c>
      <c r="I445" s="1" t="s">
        <v>33</v>
      </c>
      <c r="J445" s="1" t="s">
        <v>18</v>
      </c>
      <c r="K445" s="1">
        <v>600.0</v>
      </c>
      <c r="L445" s="1">
        <v>56.95538345</v>
      </c>
      <c r="M445" s="1">
        <v>24.122809649188</v>
      </c>
    </row>
    <row r="446">
      <c r="A446" s="1" t="s">
        <v>22</v>
      </c>
      <c r="B446" s="1" t="s">
        <v>74</v>
      </c>
      <c r="C446" s="1" t="s">
        <v>436</v>
      </c>
      <c r="D446" s="1">
        <v>3.0</v>
      </c>
      <c r="E446" s="1">
        <v>63.0</v>
      </c>
      <c r="F446" s="1">
        <v>2.0</v>
      </c>
      <c r="G446" s="1">
        <v>9.0</v>
      </c>
      <c r="H446" s="1">
        <v>602.0</v>
      </c>
      <c r="I446" s="1" t="s">
        <v>21</v>
      </c>
      <c r="J446" s="1" t="s">
        <v>18</v>
      </c>
      <c r="K446" s="1">
        <v>67500.0</v>
      </c>
      <c r="L446" s="1">
        <v>56.9346184</v>
      </c>
      <c r="M446" s="1">
        <v>24.1980807</v>
      </c>
    </row>
    <row r="447">
      <c r="A447" s="1" t="s">
        <v>22</v>
      </c>
      <c r="B447" s="1" t="s">
        <v>38</v>
      </c>
      <c r="C447" s="1" t="s">
        <v>437</v>
      </c>
      <c r="D447" s="1">
        <v>2.0</v>
      </c>
      <c r="E447" s="1">
        <v>49.0</v>
      </c>
      <c r="F447" s="1">
        <v>2.0</v>
      </c>
      <c r="G447" s="1">
        <v>9.0</v>
      </c>
      <c r="H447" s="1">
        <v>602.0</v>
      </c>
      <c r="I447" s="1" t="s">
        <v>21</v>
      </c>
      <c r="J447" s="1" t="s">
        <v>18</v>
      </c>
      <c r="K447" s="1">
        <v>50000.0</v>
      </c>
      <c r="L447" s="1">
        <v>56.96173835</v>
      </c>
      <c r="M447" s="1">
        <v>24.01580175</v>
      </c>
    </row>
    <row r="448">
      <c r="A448" s="1" t="s">
        <v>22</v>
      </c>
      <c r="B448" s="1" t="s">
        <v>151</v>
      </c>
      <c r="C448" s="1" t="s">
        <v>438</v>
      </c>
      <c r="D448" s="1">
        <v>3.0</v>
      </c>
      <c r="E448" s="1">
        <v>48.0</v>
      </c>
      <c r="F448" s="1">
        <v>1.0</v>
      </c>
      <c r="G448" s="1">
        <v>2.0</v>
      </c>
      <c r="H448" s="1" t="s">
        <v>25</v>
      </c>
      <c r="I448" s="1" t="s">
        <v>26</v>
      </c>
      <c r="J448" s="1" t="s">
        <v>27</v>
      </c>
      <c r="K448" s="1">
        <v>32000.0</v>
      </c>
      <c r="L448" s="1">
        <v>56.9581357</v>
      </c>
      <c r="M448" s="1">
        <v>24.0711634602382</v>
      </c>
    </row>
    <row r="449">
      <c r="A449" s="1" t="s">
        <v>13</v>
      </c>
      <c r="B449" s="1" t="s">
        <v>28</v>
      </c>
      <c r="C449" s="1" t="s">
        <v>439</v>
      </c>
      <c r="D449" s="1">
        <v>2.0</v>
      </c>
      <c r="E449" s="1">
        <v>49.0</v>
      </c>
      <c r="F449" s="1">
        <v>5.0</v>
      </c>
      <c r="G449" s="1">
        <v>5.0</v>
      </c>
      <c r="H449" s="1" t="s">
        <v>16</v>
      </c>
      <c r="I449" s="1" t="s">
        <v>17</v>
      </c>
      <c r="J449" s="1" t="s">
        <v>18</v>
      </c>
      <c r="K449" s="1">
        <v>250.0</v>
      </c>
      <c r="L449" s="1">
        <v>56.9074647</v>
      </c>
      <c r="M449" s="1">
        <v>24.2003979499999</v>
      </c>
    </row>
    <row r="450">
      <c r="A450" s="1" t="s">
        <v>22</v>
      </c>
      <c r="B450" s="1" t="s">
        <v>60</v>
      </c>
      <c r="C450" s="1" t="s">
        <v>440</v>
      </c>
      <c r="D450" s="1">
        <v>2.0</v>
      </c>
      <c r="E450" s="1">
        <v>37.0</v>
      </c>
      <c r="F450" s="1">
        <v>1.0</v>
      </c>
      <c r="G450" s="1">
        <v>2.0</v>
      </c>
      <c r="H450" s="1" t="s">
        <v>36</v>
      </c>
      <c r="I450" s="1" t="s">
        <v>26</v>
      </c>
      <c r="J450" s="1" t="s">
        <v>27</v>
      </c>
      <c r="K450" s="1">
        <v>12980.0</v>
      </c>
      <c r="L450" s="1">
        <v>57.031881</v>
      </c>
      <c r="M450" s="1">
        <v>24.0465146</v>
      </c>
    </row>
    <row r="451">
      <c r="A451" s="1" t="s">
        <v>22</v>
      </c>
      <c r="B451" s="1" t="s">
        <v>441</v>
      </c>
      <c r="C451" s="1" t="s">
        <v>442</v>
      </c>
      <c r="D451" s="1">
        <v>1.0</v>
      </c>
      <c r="E451" s="1">
        <v>24.0</v>
      </c>
      <c r="F451" s="1">
        <v>1.0</v>
      </c>
      <c r="G451" s="1">
        <v>2.0</v>
      </c>
      <c r="H451" s="1" t="s">
        <v>25</v>
      </c>
      <c r="I451" s="1" t="s">
        <v>26</v>
      </c>
      <c r="J451" s="1" t="s">
        <v>27</v>
      </c>
      <c r="K451" s="1">
        <v>7380.0</v>
      </c>
      <c r="L451" s="1">
        <v>57.0400852</v>
      </c>
      <c r="M451" s="1">
        <v>24.1123471</v>
      </c>
    </row>
    <row r="452">
      <c r="A452" s="1" t="s">
        <v>13</v>
      </c>
      <c r="B452" s="1" t="s">
        <v>52</v>
      </c>
      <c r="C452" s="1" t="s">
        <v>443</v>
      </c>
      <c r="D452" s="1">
        <v>2.0</v>
      </c>
      <c r="E452" s="1">
        <v>58.0</v>
      </c>
      <c r="F452" s="1">
        <v>2.0</v>
      </c>
      <c r="G452" s="1">
        <v>9.0</v>
      </c>
      <c r="H452" s="1">
        <v>119.0</v>
      </c>
      <c r="I452" s="1" t="s">
        <v>21</v>
      </c>
      <c r="J452" s="1" t="s">
        <v>18</v>
      </c>
      <c r="K452" s="1">
        <v>280.0</v>
      </c>
      <c r="L452" s="1">
        <v>54.1436099999999</v>
      </c>
      <c r="M452" s="1">
        <v>12.05044145</v>
      </c>
    </row>
    <row r="453">
      <c r="A453" s="1" t="s">
        <v>22</v>
      </c>
      <c r="B453" s="1" t="s">
        <v>76</v>
      </c>
      <c r="C453" s="1" t="s">
        <v>112</v>
      </c>
      <c r="D453" s="1">
        <v>1.0</v>
      </c>
      <c r="E453" s="1">
        <v>18.0</v>
      </c>
      <c r="F453" s="1">
        <v>2.0</v>
      </c>
      <c r="G453" s="1">
        <v>2.0</v>
      </c>
      <c r="H453" s="1" t="s">
        <v>36</v>
      </c>
      <c r="I453" s="1" t="s">
        <v>26</v>
      </c>
      <c r="J453" s="1" t="s">
        <v>27</v>
      </c>
      <c r="K453" s="1">
        <v>11590.0</v>
      </c>
      <c r="L453" s="1">
        <v>56.9517628</v>
      </c>
      <c r="M453" s="1">
        <v>24.0673487092408</v>
      </c>
    </row>
    <row r="454">
      <c r="A454" s="1" t="s">
        <v>22</v>
      </c>
      <c r="B454" s="1" t="s">
        <v>151</v>
      </c>
      <c r="C454" s="1" t="s">
        <v>444</v>
      </c>
      <c r="D454" s="1">
        <v>1.0</v>
      </c>
      <c r="E454" s="1">
        <v>52.0</v>
      </c>
      <c r="F454" s="1">
        <v>2.0</v>
      </c>
      <c r="G454" s="1">
        <v>2.0</v>
      </c>
      <c r="H454" s="1" t="s">
        <v>25</v>
      </c>
      <c r="I454" s="1" t="s">
        <v>26</v>
      </c>
      <c r="J454" s="1" t="s">
        <v>27</v>
      </c>
      <c r="K454" s="1">
        <v>14690.0</v>
      </c>
      <c r="L454" s="1">
        <v>56.96260805</v>
      </c>
      <c r="M454" s="1">
        <v>24.0659372</v>
      </c>
    </row>
    <row r="455">
      <c r="A455" s="1" t="s">
        <v>22</v>
      </c>
      <c r="B455" s="1" t="s">
        <v>129</v>
      </c>
      <c r="C455" s="1" t="s">
        <v>445</v>
      </c>
      <c r="D455" s="1">
        <v>1.0</v>
      </c>
      <c r="E455" s="1">
        <v>15.0</v>
      </c>
      <c r="F455" s="1">
        <v>2.0</v>
      </c>
      <c r="G455" s="1">
        <v>3.0</v>
      </c>
      <c r="H455" s="1" t="s">
        <v>25</v>
      </c>
      <c r="I455" s="1" t="s">
        <v>33</v>
      </c>
      <c r="J455" s="1" t="s">
        <v>27</v>
      </c>
      <c r="K455" s="1">
        <v>5360.0</v>
      </c>
      <c r="L455" s="1">
        <v>56.99682205</v>
      </c>
      <c r="M455" s="1">
        <v>24.1280636132716</v>
      </c>
    </row>
    <row r="456">
      <c r="A456" s="1" t="s">
        <v>22</v>
      </c>
      <c r="B456" s="1" t="s">
        <v>96</v>
      </c>
      <c r="C456" s="1" t="s">
        <v>446</v>
      </c>
      <c r="D456" s="1">
        <v>2.0</v>
      </c>
      <c r="E456" s="1">
        <v>43.0</v>
      </c>
      <c r="F456" s="1">
        <v>2.0</v>
      </c>
      <c r="G456" s="1">
        <v>5.0</v>
      </c>
      <c r="H456" s="1" t="s">
        <v>44</v>
      </c>
      <c r="I456" s="1" t="s">
        <v>37</v>
      </c>
      <c r="J456" s="1" t="s">
        <v>18</v>
      </c>
      <c r="K456" s="1">
        <v>26500.0</v>
      </c>
      <c r="L456" s="1">
        <v>57.02846205</v>
      </c>
      <c r="M456" s="1">
        <v>24.1020912732192</v>
      </c>
    </row>
    <row r="457">
      <c r="A457" s="1" t="s">
        <v>22</v>
      </c>
      <c r="B457" s="1" t="s">
        <v>447</v>
      </c>
      <c r="C457" s="1" t="s">
        <v>448</v>
      </c>
      <c r="D457" s="1">
        <v>3.0</v>
      </c>
      <c r="E457" s="1">
        <v>41.0</v>
      </c>
      <c r="F457" s="1">
        <v>2.0</v>
      </c>
      <c r="G457" s="1">
        <v>2.0</v>
      </c>
      <c r="H457" s="1" t="s">
        <v>25</v>
      </c>
      <c r="I457" s="1" t="s">
        <v>26</v>
      </c>
      <c r="J457" s="1" t="s">
        <v>27</v>
      </c>
      <c r="K457" s="1">
        <v>24890.0</v>
      </c>
      <c r="L457" s="1">
        <v>56.92624755</v>
      </c>
      <c r="M457" s="1">
        <v>24.0963098078538</v>
      </c>
    </row>
    <row r="458">
      <c r="A458" s="1" t="s">
        <v>22</v>
      </c>
      <c r="B458" s="1" t="s">
        <v>172</v>
      </c>
      <c r="C458" s="1" t="s">
        <v>449</v>
      </c>
      <c r="D458" s="1">
        <v>1.0</v>
      </c>
      <c r="E458" s="1">
        <v>18.0</v>
      </c>
      <c r="F458" s="1">
        <v>3.0</v>
      </c>
      <c r="G458" s="1">
        <v>4.0</v>
      </c>
      <c r="H458" s="1" t="s">
        <v>36</v>
      </c>
      <c r="I458" s="1" t="s">
        <v>37</v>
      </c>
      <c r="J458" s="1" t="s">
        <v>18</v>
      </c>
      <c r="K458" s="1">
        <v>6490.0</v>
      </c>
      <c r="L458" s="1">
        <v>56.90687475</v>
      </c>
      <c r="M458" s="1">
        <v>24.2209157822299</v>
      </c>
    </row>
    <row r="459">
      <c r="A459" s="1" t="s">
        <v>22</v>
      </c>
      <c r="B459" s="1" t="s">
        <v>96</v>
      </c>
      <c r="C459" s="1" t="s">
        <v>450</v>
      </c>
      <c r="D459" s="1">
        <v>2.0</v>
      </c>
      <c r="E459" s="1">
        <v>46.0</v>
      </c>
      <c r="F459" s="1">
        <v>1.0</v>
      </c>
      <c r="G459" s="1">
        <v>2.0</v>
      </c>
      <c r="H459" s="1" t="s">
        <v>181</v>
      </c>
      <c r="I459" s="1" t="s">
        <v>33</v>
      </c>
      <c r="J459" s="1" t="s">
        <v>18</v>
      </c>
      <c r="K459" s="1">
        <v>18900.0</v>
      </c>
      <c r="L459" s="1">
        <v>57.02687935</v>
      </c>
      <c r="M459" s="1">
        <v>24.1111013</v>
      </c>
    </row>
    <row r="460">
      <c r="A460" s="1" t="s">
        <v>13</v>
      </c>
      <c r="B460" s="1" t="s">
        <v>23</v>
      </c>
      <c r="C460" s="1" t="s">
        <v>451</v>
      </c>
      <c r="D460" s="1">
        <v>2.0</v>
      </c>
      <c r="E460" s="1">
        <v>50.0</v>
      </c>
      <c r="F460" s="1">
        <v>4.0</v>
      </c>
      <c r="G460" s="1">
        <v>4.0</v>
      </c>
      <c r="H460" s="1" t="s">
        <v>25</v>
      </c>
      <c r="I460" s="1" t="s">
        <v>37</v>
      </c>
      <c r="J460" s="1" t="s">
        <v>18</v>
      </c>
      <c r="K460" s="1">
        <v>430.0</v>
      </c>
      <c r="L460" s="1">
        <v>56.9525712</v>
      </c>
      <c r="M460" s="1">
        <v>24.1236797</v>
      </c>
    </row>
    <row r="461">
      <c r="A461" s="1" t="s">
        <v>13</v>
      </c>
      <c r="B461" s="1" t="s">
        <v>74</v>
      </c>
      <c r="C461" s="1" t="s">
        <v>452</v>
      </c>
      <c r="D461" s="1">
        <v>1.0</v>
      </c>
      <c r="E461" s="1">
        <v>43.0</v>
      </c>
      <c r="F461" s="1">
        <v>6.0</v>
      </c>
      <c r="G461" s="1">
        <v>9.0</v>
      </c>
      <c r="H461" s="1" t="s">
        <v>57</v>
      </c>
      <c r="I461" s="1" t="s">
        <v>21</v>
      </c>
      <c r="J461" s="1" t="s">
        <v>18</v>
      </c>
      <c r="K461" s="1">
        <v>270.0</v>
      </c>
      <c r="L461" s="1">
        <v>56.93515745</v>
      </c>
      <c r="M461" s="1">
        <v>24.200200711641</v>
      </c>
    </row>
    <row r="462">
      <c r="A462" s="1" t="s">
        <v>22</v>
      </c>
      <c r="B462" s="1" t="s">
        <v>19</v>
      </c>
      <c r="C462" s="1" t="s">
        <v>119</v>
      </c>
      <c r="D462" s="1">
        <v>3.0</v>
      </c>
      <c r="E462" s="1">
        <v>75.0</v>
      </c>
      <c r="F462" s="1">
        <v>9.0</v>
      </c>
      <c r="G462" s="1">
        <v>10.0</v>
      </c>
      <c r="H462" s="1">
        <v>119.0</v>
      </c>
      <c r="I462" s="1" t="s">
        <v>21</v>
      </c>
      <c r="J462" s="1" t="s">
        <v>63</v>
      </c>
      <c r="K462" s="1">
        <v>70000.0</v>
      </c>
      <c r="L462" s="1">
        <v>56.90154795</v>
      </c>
      <c r="M462" s="1">
        <v>24.0924674073424</v>
      </c>
    </row>
    <row r="463">
      <c r="A463" s="1" t="s">
        <v>22</v>
      </c>
      <c r="B463" s="1" t="s">
        <v>96</v>
      </c>
      <c r="C463" s="1" t="s">
        <v>453</v>
      </c>
      <c r="D463" s="1">
        <v>2.0</v>
      </c>
      <c r="E463" s="1">
        <v>36.0</v>
      </c>
      <c r="F463" s="1">
        <v>3.0</v>
      </c>
      <c r="G463" s="1">
        <v>4.0</v>
      </c>
      <c r="H463" s="1" t="s">
        <v>32</v>
      </c>
      <c r="I463" s="1" t="s">
        <v>17</v>
      </c>
      <c r="J463" s="1" t="s">
        <v>18</v>
      </c>
      <c r="K463" s="1">
        <v>43500.0</v>
      </c>
      <c r="L463" s="1">
        <v>57.03179875</v>
      </c>
      <c r="M463" s="1">
        <v>24.1166644346289</v>
      </c>
    </row>
    <row r="464">
      <c r="A464" s="1" t="s">
        <v>22</v>
      </c>
      <c r="B464" s="1" t="s">
        <v>50</v>
      </c>
      <c r="C464" s="1" t="s">
        <v>454</v>
      </c>
      <c r="D464" s="1">
        <v>1.0</v>
      </c>
      <c r="E464" s="1">
        <v>39.0</v>
      </c>
      <c r="F464" s="1">
        <v>2.0</v>
      </c>
      <c r="G464" s="1">
        <v>4.0</v>
      </c>
      <c r="H464" s="1" t="s">
        <v>25</v>
      </c>
      <c r="I464" s="1" t="s">
        <v>33</v>
      </c>
      <c r="J464" s="1" t="s">
        <v>18</v>
      </c>
      <c r="K464" s="1">
        <v>41000.0</v>
      </c>
      <c r="L464" s="1">
        <v>56.9386536</v>
      </c>
      <c r="M464" s="1">
        <v>24.1474099932537</v>
      </c>
    </row>
    <row r="465">
      <c r="A465" s="1" t="s">
        <v>89</v>
      </c>
      <c r="B465" s="1" t="s">
        <v>129</v>
      </c>
      <c r="C465" s="2"/>
      <c r="D465" s="2"/>
      <c r="E465" s="2"/>
      <c r="F465" s="2"/>
      <c r="G465" s="2"/>
      <c r="H465" s="2"/>
      <c r="I465" s="2"/>
      <c r="J465" s="2"/>
      <c r="K465" s="2"/>
      <c r="L465" s="1">
        <v>46.3144754</v>
      </c>
      <c r="M465" s="1">
        <v>11.0480288</v>
      </c>
    </row>
    <row r="466">
      <c r="A466" s="1" t="s">
        <v>89</v>
      </c>
      <c r="B466" s="1" t="s">
        <v>45</v>
      </c>
      <c r="C466" s="2"/>
      <c r="D466" s="2"/>
      <c r="E466" s="2"/>
      <c r="F466" s="2"/>
      <c r="G466" s="2"/>
      <c r="H466" s="2"/>
      <c r="I466" s="2"/>
      <c r="J466" s="2"/>
      <c r="K466" s="2"/>
      <c r="L466" s="1">
        <v>46.3144754</v>
      </c>
      <c r="M466" s="1">
        <v>11.0480288</v>
      </c>
    </row>
    <row r="467">
      <c r="A467" s="1" t="s">
        <v>13</v>
      </c>
      <c r="B467" s="1" t="s">
        <v>50</v>
      </c>
      <c r="C467" s="1" t="s">
        <v>455</v>
      </c>
      <c r="D467" s="1">
        <v>1.0</v>
      </c>
      <c r="E467" s="1">
        <v>25.0</v>
      </c>
      <c r="F467" s="1">
        <v>4.0</v>
      </c>
      <c r="G467" s="1">
        <v>6.0</v>
      </c>
      <c r="H467" s="1" t="s">
        <v>25</v>
      </c>
      <c r="I467" s="1" t="s">
        <v>33</v>
      </c>
      <c r="J467" s="1" t="s">
        <v>27</v>
      </c>
      <c r="K467" s="1">
        <v>125.0</v>
      </c>
      <c r="L467" s="1">
        <v>56.8597884</v>
      </c>
      <c r="M467" s="1">
        <v>24.3083417</v>
      </c>
    </row>
    <row r="468">
      <c r="A468" s="1" t="s">
        <v>22</v>
      </c>
      <c r="B468" s="1" t="s">
        <v>23</v>
      </c>
      <c r="C468" s="1" t="s">
        <v>456</v>
      </c>
      <c r="D468" s="1">
        <v>4.0</v>
      </c>
      <c r="E468" s="1">
        <v>139.0</v>
      </c>
      <c r="F468" s="1">
        <v>6.0</v>
      </c>
      <c r="G468" s="1">
        <v>6.0</v>
      </c>
      <c r="H468" s="1" t="s">
        <v>66</v>
      </c>
      <c r="I468" s="1" t="s">
        <v>33</v>
      </c>
      <c r="J468" s="1" t="s">
        <v>18</v>
      </c>
      <c r="K468" s="1">
        <v>259000.0</v>
      </c>
      <c r="L468" s="1">
        <v>56.9750706</v>
      </c>
      <c r="M468" s="1">
        <v>24.138670758867</v>
      </c>
    </row>
    <row r="469">
      <c r="A469" s="1" t="s">
        <v>22</v>
      </c>
      <c r="B469" s="1" t="s">
        <v>23</v>
      </c>
      <c r="C469" s="1" t="s">
        <v>262</v>
      </c>
      <c r="D469" s="1">
        <v>2.0</v>
      </c>
      <c r="E469" s="1">
        <v>43.0</v>
      </c>
      <c r="F469" s="1">
        <v>1.0</v>
      </c>
      <c r="G469" s="1">
        <v>6.0</v>
      </c>
      <c r="H469" s="1" t="s">
        <v>66</v>
      </c>
      <c r="I469" s="1" t="s">
        <v>33</v>
      </c>
      <c r="J469" s="1" t="s">
        <v>18</v>
      </c>
      <c r="K469" s="1">
        <v>104370.0</v>
      </c>
      <c r="L469" s="1">
        <v>56.9548306</v>
      </c>
      <c r="M469" s="1">
        <v>24.1221141</v>
      </c>
    </row>
    <row r="470">
      <c r="A470" s="1" t="s">
        <v>22</v>
      </c>
      <c r="B470" s="1" t="s">
        <v>19</v>
      </c>
      <c r="C470" s="1" t="s">
        <v>182</v>
      </c>
      <c r="D470" s="1">
        <v>2.0</v>
      </c>
      <c r="E470" s="1">
        <v>50.0</v>
      </c>
      <c r="F470" s="1">
        <v>1.0</v>
      </c>
      <c r="G470" s="1">
        <v>9.0</v>
      </c>
      <c r="H470" s="1">
        <v>602.0</v>
      </c>
      <c r="I470" s="1" t="s">
        <v>21</v>
      </c>
      <c r="J470" s="1" t="s">
        <v>18</v>
      </c>
      <c r="K470" s="1">
        <v>45000.0</v>
      </c>
      <c r="L470" s="1">
        <v>56.9094064</v>
      </c>
      <c r="M470" s="1">
        <v>24.0954157</v>
      </c>
    </row>
    <row r="471">
      <c r="A471" s="1" t="s">
        <v>22</v>
      </c>
      <c r="B471" s="1" t="s">
        <v>28</v>
      </c>
      <c r="C471" s="1" t="s">
        <v>457</v>
      </c>
      <c r="D471" s="1">
        <v>3.0</v>
      </c>
      <c r="E471" s="1">
        <v>60.0</v>
      </c>
      <c r="F471" s="1">
        <v>5.0</v>
      </c>
      <c r="G471" s="1">
        <v>5.0</v>
      </c>
      <c r="H471" s="1" t="s">
        <v>16</v>
      </c>
      <c r="I471" s="1" t="s">
        <v>21</v>
      </c>
      <c r="J471" s="1" t="s">
        <v>18</v>
      </c>
      <c r="K471" s="1">
        <v>54500.0</v>
      </c>
      <c r="L471" s="1">
        <v>56.8597884</v>
      </c>
      <c r="M471" s="1">
        <v>24.3083417</v>
      </c>
    </row>
    <row r="472">
      <c r="A472" s="1" t="s">
        <v>131</v>
      </c>
      <c r="B472" s="1" t="s">
        <v>104</v>
      </c>
      <c r="C472" s="2"/>
      <c r="D472" s="1">
        <v>1.0</v>
      </c>
      <c r="E472" s="2"/>
      <c r="F472" s="2"/>
      <c r="G472" s="2"/>
      <c r="H472" s="2"/>
      <c r="I472" s="2"/>
      <c r="J472" s="2"/>
      <c r="K472" s="2"/>
      <c r="L472" s="1">
        <v>46.3144754</v>
      </c>
      <c r="M472" s="1">
        <v>11.0480288</v>
      </c>
    </row>
    <row r="473">
      <c r="A473" s="1" t="s">
        <v>22</v>
      </c>
      <c r="B473" s="1" t="s">
        <v>218</v>
      </c>
      <c r="C473" s="1" t="s">
        <v>458</v>
      </c>
      <c r="D473" s="1">
        <v>2.0</v>
      </c>
      <c r="E473" s="1">
        <v>34.0</v>
      </c>
      <c r="F473" s="1">
        <v>3.0</v>
      </c>
      <c r="G473" s="1">
        <v>4.0</v>
      </c>
      <c r="H473" s="1" t="s">
        <v>25</v>
      </c>
      <c r="I473" s="1" t="s">
        <v>33</v>
      </c>
      <c r="J473" s="1" t="s">
        <v>18</v>
      </c>
      <c r="K473" s="1">
        <v>59900.0</v>
      </c>
      <c r="L473" s="1">
        <v>56.94881585</v>
      </c>
      <c r="M473" s="1">
        <v>24.1114738591085</v>
      </c>
    </row>
    <row r="474">
      <c r="A474" s="1" t="s">
        <v>22</v>
      </c>
      <c r="B474" s="1" t="s">
        <v>42</v>
      </c>
      <c r="C474" s="1" t="s">
        <v>459</v>
      </c>
      <c r="D474" s="1">
        <v>5.0</v>
      </c>
      <c r="E474" s="1">
        <v>217.0</v>
      </c>
      <c r="F474" s="1">
        <v>9.0</v>
      </c>
      <c r="G474" s="1">
        <v>10.0</v>
      </c>
      <c r="H474" s="1" t="s">
        <v>32</v>
      </c>
      <c r="I474" s="1" t="s">
        <v>122</v>
      </c>
      <c r="J474" s="1" t="s">
        <v>18</v>
      </c>
      <c r="K474" s="1">
        <v>175000.0</v>
      </c>
      <c r="L474" s="1">
        <v>56.9879952999999</v>
      </c>
      <c r="M474" s="1">
        <v>24.2461035663916</v>
      </c>
    </row>
    <row r="475">
      <c r="A475" s="1" t="s">
        <v>13</v>
      </c>
      <c r="B475" s="1" t="s">
        <v>23</v>
      </c>
      <c r="C475" s="1" t="s">
        <v>460</v>
      </c>
      <c r="D475" s="1">
        <v>1.0</v>
      </c>
      <c r="E475" s="1">
        <v>30.0</v>
      </c>
      <c r="F475" s="1">
        <v>1.0</v>
      </c>
      <c r="G475" s="1">
        <v>5.0</v>
      </c>
      <c r="H475" s="1" t="s">
        <v>25</v>
      </c>
      <c r="I475" s="1" t="s">
        <v>37</v>
      </c>
      <c r="J475" s="1" t="s">
        <v>18</v>
      </c>
      <c r="K475" s="1">
        <v>300.0</v>
      </c>
      <c r="L475" s="1">
        <v>56.9496783999999</v>
      </c>
      <c r="M475" s="1">
        <v>24.142522262001</v>
      </c>
    </row>
    <row r="476">
      <c r="A476" s="1" t="s">
        <v>13</v>
      </c>
      <c r="B476" s="1" t="s">
        <v>129</v>
      </c>
      <c r="C476" s="1" t="s">
        <v>461</v>
      </c>
      <c r="D476" s="1">
        <v>2.0</v>
      </c>
      <c r="E476" s="1">
        <v>64.0</v>
      </c>
      <c r="F476" s="1">
        <v>2.0</v>
      </c>
      <c r="G476" s="1">
        <v>5.0</v>
      </c>
      <c r="H476" s="1" t="s">
        <v>32</v>
      </c>
      <c r="I476" s="1" t="s">
        <v>17</v>
      </c>
      <c r="J476" s="1" t="s">
        <v>18</v>
      </c>
      <c r="K476" s="1">
        <v>450.0</v>
      </c>
      <c r="L476" s="1">
        <v>57.0002634</v>
      </c>
      <c r="M476" s="1">
        <v>24.121861</v>
      </c>
    </row>
    <row r="477">
      <c r="A477" s="1" t="s">
        <v>22</v>
      </c>
      <c r="B477" s="1" t="s">
        <v>172</v>
      </c>
      <c r="C477" s="1" t="s">
        <v>462</v>
      </c>
      <c r="D477" s="1">
        <v>3.0</v>
      </c>
      <c r="E477" s="1">
        <v>52.0</v>
      </c>
      <c r="F477" s="1">
        <v>1.0</v>
      </c>
      <c r="G477" s="1">
        <v>2.0</v>
      </c>
      <c r="H477" s="1" t="s">
        <v>36</v>
      </c>
      <c r="I477" s="1" t="s">
        <v>26</v>
      </c>
      <c r="J477" s="1" t="s">
        <v>27</v>
      </c>
      <c r="K477" s="1">
        <v>14980.0</v>
      </c>
      <c r="L477" s="1">
        <v>56.9077347</v>
      </c>
      <c r="M477" s="1">
        <v>24.2226369</v>
      </c>
    </row>
    <row r="478">
      <c r="A478" s="1" t="s">
        <v>22</v>
      </c>
      <c r="B478" s="1" t="s">
        <v>19</v>
      </c>
      <c r="C478" s="1" t="s">
        <v>463</v>
      </c>
      <c r="D478" s="1">
        <v>1.0</v>
      </c>
      <c r="E478" s="1">
        <v>20.0</v>
      </c>
      <c r="F478" s="1">
        <v>2.0</v>
      </c>
      <c r="G478" s="1">
        <v>2.0</v>
      </c>
      <c r="H478" s="1" t="s">
        <v>25</v>
      </c>
      <c r="I478" s="1" t="s">
        <v>26</v>
      </c>
      <c r="J478" s="1" t="s">
        <v>27</v>
      </c>
      <c r="K478" s="1">
        <v>7380.0</v>
      </c>
      <c r="L478" s="1">
        <v>56.9141787</v>
      </c>
      <c r="M478" s="1">
        <v>24.1217522</v>
      </c>
    </row>
    <row r="479">
      <c r="A479" s="1" t="s">
        <v>22</v>
      </c>
      <c r="B479" s="1" t="s">
        <v>23</v>
      </c>
      <c r="C479" s="1" t="s">
        <v>464</v>
      </c>
      <c r="D479" s="1">
        <v>2.0</v>
      </c>
      <c r="E479" s="1">
        <v>100.0</v>
      </c>
      <c r="F479" s="1">
        <v>1.0</v>
      </c>
      <c r="G479" s="1">
        <v>2.0</v>
      </c>
      <c r="H479" s="1" t="s">
        <v>25</v>
      </c>
      <c r="I479" s="1" t="s">
        <v>37</v>
      </c>
      <c r="J479" s="1" t="s">
        <v>27</v>
      </c>
      <c r="K479" s="1">
        <v>15890.0</v>
      </c>
      <c r="L479" s="1">
        <v>56.8597884</v>
      </c>
      <c r="M479" s="1">
        <v>24.3083417</v>
      </c>
    </row>
    <row r="480">
      <c r="A480" s="1" t="s">
        <v>22</v>
      </c>
      <c r="B480" s="1" t="s">
        <v>172</v>
      </c>
      <c r="C480" s="1" t="s">
        <v>449</v>
      </c>
      <c r="D480" s="1">
        <v>2.0</v>
      </c>
      <c r="E480" s="1">
        <v>37.0</v>
      </c>
      <c r="F480" s="1">
        <v>4.0</v>
      </c>
      <c r="G480" s="1">
        <v>4.0</v>
      </c>
      <c r="H480" s="1" t="s">
        <v>57</v>
      </c>
      <c r="I480" s="1" t="s">
        <v>37</v>
      </c>
      <c r="J480" s="1" t="s">
        <v>18</v>
      </c>
      <c r="K480" s="1">
        <v>12890.0</v>
      </c>
      <c r="L480" s="1">
        <v>56.90687475</v>
      </c>
      <c r="M480" s="1">
        <v>24.2209157822299</v>
      </c>
    </row>
    <row r="481">
      <c r="A481" s="1" t="s">
        <v>22</v>
      </c>
      <c r="B481" s="1" t="s">
        <v>23</v>
      </c>
      <c r="C481" s="1" t="s">
        <v>465</v>
      </c>
      <c r="D481" s="1">
        <v>1.0</v>
      </c>
      <c r="E481" s="1">
        <v>24.0</v>
      </c>
      <c r="F481" s="1">
        <v>2.0</v>
      </c>
      <c r="G481" s="1">
        <v>2.0</v>
      </c>
      <c r="H481" s="1" t="s">
        <v>25</v>
      </c>
      <c r="I481" s="1" t="s">
        <v>37</v>
      </c>
      <c r="J481" s="1" t="s">
        <v>18</v>
      </c>
      <c r="K481" s="1">
        <v>9870.0</v>
      </c>
      <c r="L481" s="1">
        <v>56.976516</v>
      </c>
      <c r="M481" s="1">
        <v>24.1354853</v>
      </c>
    </row>
    <row r="482">
      <c r="A482" s="1" t="s">
        <v>22</v>
      </c>
      <c r="B482" s="1" t="s">
        <v>50</v>
      </c>
      <c r="C482" s="1" t="s">
        <v>359</v>
      </c>
      <c r="D482" s="1">
        <v>1.0</v>
      </c>
      <c r="E482" s="1">
        <v>24.0</v>
      </c>
      <c r="F482" s="1">
        <v>1.0</v>
      </c>
      <c r="G482" s="1">
        <v>3.0</v>
      </c>
      <c r="H482" s="1" t="s">
        <v>25</v>
      </c>
      <c r="I482" s="1" t="s">
        <v>26</v>
      </c>
      <c r="J482" s="1" t="s">
        <v>18</v>
      </c>
      <c r="K482" s="1">
        <v>10890.0</v>
      </c>
      <c r="L482" s="1">
        <v>56.9398925</v>
      </c>
      <c r="M482" s="1">
        <v>24.1414198548449</v>
      </c>
    </row>
    <row r="483">
      <c r="A483" s="1" t="s">
        <v>22</v>
      </c>
      <c r="B483" s="1" t="s">
        <v>23</v>
      </c>
      <c r="C483" s="1" t="s">
        <v>466</v>
      </c>
      <c r="D483" s="1">
        <v>1.0</v>
      </c>
      <c r="E483" s="1">
        <v>18.0</v>
      </c>
      <c r="F483" s="1">
        <v>1.0</v>
      </c>
      <c r="G483" s="1">
        <v>2.0</v>
      </c>
      <c r="H483" s="1" t="s">
        <v>181</v>
      </c>
      <c r="I483" s="1" t="s">
        <v>26</v>
      </c>
      <c r="J483" s="1" t="s">
        <v>27</v>
      </c>
      <c r="K483" s="1">
        <v>14500.0</v>
      </c>
      <c r="L483" s="1">
        <v>56.95275325</v>
      </c>
      <c r="M483" s="1">
        <v>24.1516129451998</v>
      </c>
    </row>
    <row r="484">
      <c r="A484" s="1" t="s">
        <v>22</v>
      </c>
      <c r="B484" s="1" t="s">
        <v>38</v>
      </c>
      <c r="C484" s="1" t="s">
        <v>467</v>
      </c>
      <c r="D484" s="1">
        <v>2.0</v>
      </c>
      <c r="E484" s="1">
        <v>50.0</v>
      </c>
      <c r="F484" s="1">
        <v>3.0</v>
      </c>
      <c r="G484" s="1">
        <v>9.0</v>
      </c>
      <c r="H484" s="1">
        <v>602.0</v>
      </c>
      <c r="I484" s="1" t="s">
        <v>21</v>
      </c>
      <c r="J484" s="1" t="s">
        <v>18</v>
      </c>
      <c r="K484" s="1">
        <v>53500.0</v>
      </c>
      <c r="L484" s="1">
        <v>56.9656328</v>
      </c>
      <c r="M484" s="1">
        <v>24.0112176797367</v>
      </c>
    </row>
    <row r="485">
      <c r="A485" s="1" t="s">
        <v>468</v>
      </c>
      <c r="B485" s="1" t="s">
        <v>19</v>
      </c>
      <c r="C485" s="1" t="s">
        <v>469</v>
      </c>
      <c r="D485" s="1">
        <v>3.0</v>
      </c>
      <c r="E485" s="1">
        <v>74.0</v>
      </c>
      <c r="F485" s="1">
        <v>5.0</v>
      </c>
      <c r="G485" s="1">
        <v>5.0</v>
      </c>
      <c r="H485" s="1" t="s">
        <v>36</v>
      </c>
      <c r="I485" s="1" t="s">
        <v>21</v>
      </c>
      <c r="J485" s="1" t="s">
        <v>18</v>
      </c>
      <c r="K485" s="2"/>
      <c r="L485" s="1">
        <v>56.9108369</v>
      </c>
      <c r="M485" s="1">
        <v>24.098253430927</v>
      </c>
    </row>
    <row r="486">
      <c r="A486" s="1" t="s">
        <v>13</v>
      </c>
      <c r="B486" s="1" t="s">
        <v>23</v>
      </c>
      <c r="C486" s="1" t="s">
        <v>470</v>
      </c>
      <c r="D486" s="1">
        <v>1.0</v>
      </c>
      <c r="E486" s="1">
        <v>30.0</v>
      </c>
      <c r="F486" s="1">
        <v>1.0</v>
      </c>
      <c r="G486" s="1">
        <v>5.0</v>
      </c>
      <c r="H486" s="1" t="s">
        <v>44</v>
      </c>
      <c r="I486" s="1" t="s">
        <v>37</v>
      </c>
      <c r="J486" s="1" t="s">
        <v>18</v>
      </c>
      <c r="K486" s="1">
        <v>260.0</v>
      </c>
      <c r="L486" s="1">
        <v>56.96867625</v>
      </c>
      <c r="M486" s="1">
        <v>24.13004095</v>
      </c>
    </row>
    <row r="487">
      <c r="A487" s="1" t="s">
        <v>22</v>
      </c>
      <c r="B487" s="1" t="s">
        <v>447</v>
      </c>
      <c r="C487" s="1" t="s">
        <v>471</v>
      </c>
      <c r="D487" s="1">
        <v>1.0</v>
      </c>
      <c r="E487" s="1">
        <v>17.0</v>
      </c>
      <c r="F487" s="1">
        <v>1.0</v>
      </c>
      <c r="G487" s="1">
        <v>2.0</v>
      </c>
      <c r="H487" s="1" t="s">
        <v>36</v>
      </c>
      <c r="I487" s="1" t="s">
        <v>21</v>
      </c>
      <c r="J487" s="1" t="s">
        <v>18</v>
      </c>
      <c r="K487" s="1">
        <v>13500.0</v>
      </c>
      <c r="L487" s="1">
        <v>56.9258216</v>
      </c>
      <c r="M487" s="1">
        <v>24.0821144</v>
      </c>
    </row>
    <row r="488">
      <c r="A488" s="1" t="s">
        <v>13</v>
      </c>
      <c r="B488" s="1" t="s">
        <v>129</v>
      </c>
      <c r="C488" s="1" t="s">
        <v>472</v>
      </c>
      <c r="D488" s="1">
        <v>1.0</v>
      </c>
      <c r="E488" s="1">
        <v>35.0</v>
      </c>
      <c r="F488" s="1">
        <v>2.0</v>
      </c>
      <c r="G488" s="1">
        <v>9.0</v>
      </c>
      <c r="H488" s="1" t="s">
        <v>36</v>
      </c>
      <c r="I488" s="1" t="s">
        <v>37</v>
      </c>
      <c r="J488" s="1" t="s">
        <v>18</v>
      </c>
      <c r="K488" s="1">
        <v>280.0</v>
      </c>
      <c r="L488" s="1" t="s">
        <v>40</v>
      </c>
      <c r="M488" s="1" t="s">
        <v>40</v>
      </c>
    </row>
    <row r="489">
      <c r="A489" s="1" t="s">
        <v>22</v>
      </c>
      <c r="B489" s="1" t="s">
        <v>23</v>
      </c>
      <c r="C489" s="1" t="s">
        <v>473</v>
      </c>
      <c r="D489" s="1">
        <v>4.0</v>
      </c>
      <c r="E489" s="1">
        <v>102.0</v>
      </c>
      <c r="F489" s="1">
        <v>1.0</v>
      </c>
      <c r="G489" s="1">
        <v>6.0</v>
      </c>
      <c r="H489" s="1" t="s">
        <v>66</v>
      </c>
      <c r="I489" s="1" t="s">
        <v>33</v>
      </c>
      <c r="J489" s="1" t="s">
        <v>18</v>
      </c>
      <c r="K489" s="1">
        <v>250000.0</v>
      </c>
      <c r="L489" s="1">
        <v>56.9570587</v>
      </c>
      <c r="M489" s="1">
        <v>24.1144353</v>
      </c>
    </row>
    <row r="490">
      <c r="A490" s="1" t="s">
        <v>22</v>
      </c>
      <c r="B490" s="1" t="s">
        <v>23</v>
      </c>
      <c r="C490" s="1" t="s">
        <v>474</v>
      </c>
      <c r="D490" s="1">
        <v>3.0</v>
      </c>
      <c r="E490" s="1">
        <v>106.0</v>
      </c>
      <c r="F490" s="1">
        <v>6.0</v>
      </c>
      <c r="G490" s="1">
        <v>7.0</v>
      </c>
      <c r="H490" s="1" t="s">
        <v>32</v>
      </c>
      <c r="I490" s="1" t="s">
        <v>122</v>
      </c>
      <c r="J490" s="1" t="s">
        <v>18</v>
      </c>
      <c r="K490" s="1">
        <v>492560.0</v>
      </c>
      <c r="L490" s="1">
        <v>56.950124</v>
      </c>
      <c r="M490" s="1">
        <v>24.1325244</v>
      </c>
    </row>
    <row r="491">
      <c r="A491" s="1" t="s">
        <v>22</v>
      </c>
      <c r="B491" s="1" t="s">
        <v>109</v>
      </c>
      <c r="C491" s="1" t="s">
        <v>475</v>
      </c>
      <c r="D491" s="1">
        <v>2.0</v>
      </c>
      <c r="E491" s="1">
        <v>72.0</v>
      </c>
      <c r="F491" s="1">
        <v>2.0</v>
      </c>
      <c r="G491" s="1">
        <v>5.0</v>
      </c>
      <c r="H491" s="1" t="s">
        <v>32</v>
      </c>
      <c r="I491" s="1" t="s">
        <v>17</v>
      </c>
      <c r="J491" s="1" t="s">
        <v>18</v>
      </c>
      <c r="K491" s="1">
        <v>129000.0</v>
      </c>
      <c r="L491" s="1">
        <v>56.99733515</v>
      </c>
      <c r="M491" s="1">
        <v>24.1704467</v>
      </c>
    </row>
    <row r="492">
      <c r="A492" s="1" t="s">
        <v>13</v>
      </c>
      <c r="B492" s="1" t="s">
        <v>23</v>
      </c>
      <c r="C492" s="1" t="s">
        <v>476</v>
      </c>
      <c r="D492" s="1">
        <v>4.0</v>
      </c>
      <c r="E492" s="1">
        <v>190.0</v>
      </c>
      <c r="F492" s="1">
        <v>7.0</v>
      </c>
      <c r="G492" s="1">
        <v>7.0</v>
      </c>
      <c r="H492" s="1" t="s">
        <v>66</v>
      </c>
      <c r="I492" s="1" t="s">
        <v>33</v>
      </c>
      <c r="J492" s="1" t="s">
        <v>18</v>
      </c>
      <c r="K492" s="1">
        <v>900.0</v>
      </c>
      <c r="L492" s="1">
        <v>48.2969502</v>
      </c>
      <c r="M492" s="1">
        <v>-100.7081938</v>
      </c>
    </row>
    <row r="493">
      <c r="A493" s="1" t="s">
        <v>13</v>
      </c>
      <c r="B493" s="1" t="s">
        <v>23</v>
      </c>
      <c r="C493" s="1" t="s">
        <v>477</v>
      </c>
      <c r="D493" s="1">
        <v>1.0</v>
      </c>
      <c r="E493" s="1">
        <v>30.0</v>
      </c>
      <c r="F493" s="1">
        <v>2.0</v>
      </c>
      <c r="G493" s="1">
        <v>3.0</v>
      </c>
      <c r="H493" s="1" t="s">
        <v>25</v>
      </c>
      <c r="I493" s="1" t="s">
        <v>37</v>
      </c>
      <c r="J493" s="1" t="s">
        <v>18</v>
      </c>
      <c r="K493" s="1">
        <v>160.0</v>
      </c>
      <c r="L493" s="1">
        <v>56.95251535</v>
      </c>
      <c r="M493" s="1">
        <v>24.1479281197337</v>
      </c>
    </row>
    <row r="494">
      <c r="A494" s="1" t="s">
        <v>22</v>
      </c>
      <c r="B494" s="1" t="s">
        <v>104</v>
      </c>
      <c r="C494" s="1" t="s">
        <v>208</v>
      </c>
      <c r="D494" s="1">
        <v>3.0</v>
      </c>
      <c r="E494" s="1">
        <v>210.0</v>
      </c>
      <c r="F494" s="1">
        <v>2.0</v>
      </c>
      <c r="G494" s="1">
        <v>4.0</v>
      </c>
      <c r="H494" s="1" t="s">
        <v>32</v>
      </c>
      <c r="I494" s="1" t="s">
        <v>33</v>
      </c>
      <c r="J494" s="1" t="s">
        <v>18</v>
      </c>
      <c r="K494" s="1">
        <v>250000.0</v>
      </c>
      <c r="L494" s="1">
        <v>56.93693955</v>
      </c>
      <c r="M494" s="1">
        <v>24.1019323631236</v>
      </c>
    </row>
    <row r="495">
      <c r="A495" s="1" t="s">
        <v>13</v>
      </c>
      <c r="B495" s="1" t="s">
        <v>23</v>
      </c>
      <c r="C495" s="1" t="s">
        <v>478</v>
      </c>
      <c r="D495" s="1">
        <v>2.0</v>
      </c>
      <c r="E495" s="1">
        <v>55.0</v>
      </c>
      <c r="F495" s="1">
        <v>2.0</v>
      </c>
      <c r="G495" s="1">
        <v>5.0</v>
      </c>
      <c r="H495" s="1" t="s">
        <v>32</v>
      </c>
      <c r="I495" s="1" t="s">
        <v>33</v>
      </c>
      <c r="J495" s="1" t="s">
        <v>18</v>
      </c>
      <c r="K495" s="1">
        <v>700.0</v>
      </c>
      <c r="L495" s="1">
        <v>56.9493295</v>
      </c>
      <c r="M495" s="1">
        <v>24.1264892056074</v>
      </c>
    </row>
    <row r="496">
      <c r="A496" s="1" t="s">
        <v>13</v>
      </c>
      <c r="B496" s="1" t="s">
        <v>23</v>
      </c>
      <c r="C496" s="1" t="s">
        <v>479</v>
      </c>
      <c r="D496" s="1">
        <v>1.0</v>
      </c>
      <c r="E496" s="1">
        <v>18.0</v>
      </c>
      <c r="F496" s="1">
        <v>5.0</v>
      </c>
      <c r="G496" s="1">
        <v>5.0</v>
      </c>
      <c r="H496" s="1" t="s">
        <v>25</v>
      </c>
      <c r="I496" s="1" t="s">
        <v>33</v>
      </c>
      <c r="J496" s="1" t="s">
        <v>18</v>
      </c>
      <c r="K496" s="1">
        <v>280.0</v>
      </c>
      <c r="L496" s="1">
        <v>56.9522968</v>
      </c>
      <c r="M496" s="1">
        <v>24.1231507</v>
      </c>
    </row>
    <row r="497">
      <c r="A497" s="1" t="s">
        <v>13</v>
      </c>
      <c r="B497" s="1" t="s">
        <v>14</v>
      </c>
      <c r="C497" s="1" t="s">
        <v>480</v>
      </c>
      <c r="D497" s="1">
        <v>2.0</v>
      </c>
      <c r="E497" s="1">
        <v>50.0</v>
      </c>
      <c r="F497" s="1">
        <v>3.0</v>
      </c>
      <c r="G497" s="1">
        <v>9.0</v>
      </c>
      <c r="H497" s="1">
        <v>602.0</v>
      </c>
      <c r="I497" s="1" t="s">
        <v>21</v>
      </c>
      <c r="J497" s="1" t="s">
        <v>18</v>
      </c>
      <c r="K497" s="1">
        <v>280.0</v>
      </c>
      <c r="L497" s="1">
        <v>56.9550112</v>
      </c>
      <c r="M497" s="1">
        <v>24.1985621</v>
      </c>
    </row>
    <row r="498">
      <c r="A498" s="1" t="s">
        <v>13</v>
      </c>
      <c r="B498" s="1" t="s">
        <v>14</v>
      </c>
      <c r="C498" s="1" t="s">
        <v>272</v>
      </c>
      <c r="D498" s="1">
        <v>1.0</v>
      </c>
      <c r="E498" s="1">
        <v>28.0</v>
      </c>
      <c r="F498" s="1">
        <v>4.0</v>
      </c>
      <c r="G498" s="1">
        <v>5.0</v>
      </c>
      <c r="H498" s="1" t="s">
        <v>16</v>
      </c>
      <c r="I498" s="1" t="s">
        <v>21</v>
      </c>
      <c r="J498" s="1" t="s">
        <v>18</v>
      </c>
      <c r="K498" s="1">
        <v>215.0</v>
      </c>
      <c r="L498" s="1">
        <v>56.9570069</v>
      </c>
      <c r="M498" s="1">
        <v>24.1987368</v>
      </c>
    </row>
    <row r="499">
      <c r="A499" s="1" t="s">
        <v>22</v>
      </c>
      <c r="B499" s="1" t="s">
        <v>28</v>
      </c>
      <c r="C499" s="1" t="s">
        <v>481</v>
      </c>
      <c r="D499" s="1">
        <v>2.0</v>
      </c>
      <c r="E499" s="1">
        <v>47.0</v>
      </c>
      <c r="F499" s="1">
        <v>2.0</v>
      </c>
      <c r="G499" s="1">
        <v>5.0</v>
      </c>
      <c r="H499" s="1" t="s">
        <v>16</v>
      </c>
      <c r="I499" s="1" t="s">
        <v>21</v>
      </c>
      <c r="J499" s="1" t="s">
        <v>18</v>
      </c>
      <c r="K499" s="1">
        <v>43000.0</v>
      </c>
      <c r="L499" s="1">
        <v>56.8988685</v>
      </c>
      <c r="M499" s="1">
        <v>24.207307251669</v>
      </c>
    </row>
    <row r="500">
      <c r="A500" s="1" t="s">
        <v>13</v>
      </c>
      <c r="B500" s="1" t="s">
        <v>74</v>
      </c>
      <c r="C500" s="1" t="s">
        <v>482</v>
      </c>
      <c r="D500" s="1">
        <v>1.0</v>
      </c>
      <c r="E500" s="1">
        <v>46.0</v>
      </c>
      <c r="F500" s="1">
        <v>7.0</v>
      </c>
      <c r="G500" s="1">
        <v>9.0</v>
      </c>
      <c r="H500" s="1" t="s">
        <v>32</v>
      </c>
      <c r="I500" s="1" t="s">
        <v>17</v>
      </c>
      <c r="J500" s="1" t="s">
        <v>18</v>
      </c>
      <c r="K500" s="1">
        <v>350.0</v>
      </c>
      <c r="L500" s="1">
        <v>56.94203495</v>
      </c>
      <c r="M500" s="1">
        <v>24.2127513651119</v>
      </c>
    </row>
    <row r="501">
      <c r="A501" s="1" t="s">
        <v>131</v>
      </c>
      <c r="B501" s="1" t="s">
        <v>28</v>
      </c>
      <c r="C501" s="2"/>
      <c r="D501" s="1">
        <v>1.0</v>
      </c>
      <c r="E501" s="2"/>
      <c r="F501" s="2"/>
      <c r="G501" s="2"/>
      <c r="H501" s="2"/>
      <c r="I501" s="2"/>
      <c r="J501" s="2"/>
      <c r="K501" s="2"/>
      <c r="L501" s="1">
        <v>46.3144754</v>
      </c>
      <c r="M501" s="1">
        <v>11.0480288</v>
      </c>
    </row>
    <row r="502">
      <c r="A502" s="1" t="s">
        <v>13</v>
      </c>
      <c r="B502" s="1" t="s">
        <v>74</v>
      </c>
      <c r="C502" s="1" t="s">
        <v>483</v>
      </c>
      <c r="D502" s="1">
        <v>1.0</v>
      </c>
      <c r="E502" s="1">
        <v>31.0</v>
      </c>
      <c r="F502" s="1">
        <v>6.0</v>
      </c>
      <c r="G502" s="1">
        <v>9.0</v>
      </c>
      <c r="H502" s="1">
        <v>602.0</v>
      </c>
      <c r="I502" s="1" t="s">
        <v>21</v>
      </c>
      <c r="J502" s="1" t="s">
        <v>18</v>
      </c>
      <c r="K502" s="1">
        <v>285.0</v>
      </c>
      <c r="L502" s="1">
        <v>56.93666555</v>
      </c>
      <c r="M502" s="1">
        <v>24.20536485</v>
      </c>
    </row>
    <row r="503">
      <c r="A503" s="1" t="s">
        <v>22</v>
      </c>
      <c r="B503" s="1" t="s">
        <v>28</v>
      </c>
      <c r="C503" s="1" t="s">
        <v>484</v>
      </c>
      <c r="D503" s="1">
        <v>2.0</v>
      </c>
      <c r="E503" s="1">
        <v>48.0</v>
      </c>
      <c r="F503" s="1">
        <v>3.0</v>
      </c>
      <c r="G503" s="1">
        <v>5.0</v>
      </c>
      <c r="H503" s="1" t="s">
        <v>16</v>
      </c>
      <c r="I503" s="1" t="s">
        <v>21</v>
      </c>
      <c r="J503" s="1" t="s">
        <v>18</v>
      </c>
      <c r="K503" s="1">
        <v>42500.0</v>
      </c>
      <c r="L503" s="1">
        <v>56.8597884</v>
      </c>
      <c r="M503" s="1">
        <v>24.3083417</v>
      </c>
    </row>
    <row r="504">
      <c r="A504" s="1" t="s">
        <v>13</v>
      </c>
      <c r="B504" s="1" t="s">
        <v>19</v>
      </c>
      <c r="C504" s="1" t="s">
        <v>485</v>
      </c>
      <c r="D504" s="1">
        <v>1.0</v>
      </c>
      <c r="E504" s="1">
        <v>29.0</v>
      </c>
      <c r="F504" s="1">
        <v>2.0</v>
      </c>
      <c r="G504" s="1">
        <v>12.0</v>
      </c>
      <c r="H504" s="1" t="s">
        <v>57</v>
      </c>
      <c r="I504" s="1" t="s">
        <v>37</v>
      </c>
      <c r="J504" s="1" t="s">
        <v>18</v>
      </c>
      <c r="K504" s="1">
        <v>220.0</v>
      </c>
      <c r="L504" s="1">
        <v>56.9001589</v>
      </c>
      <c r="M504" s="1">
        <v>24.0825136321712</v>
      </c>
    </row>
    <row r="505">
      <c r="A505" s="1" t="s">
        <v>13</v>
      </c>
      <c r="B505" s="1" t="s">
        <v>447</v>
      </c>
      <c r="C505" s="1" t="s">
        <v>486</v>
      </c>
      <c r="D505" s="1">
        <v>2.0</v>
      </c>
      <c r="E505" s="1">
        <v>57.0</v>
      </c>
      <c r="F505" s="1">
        <v>6.0</v>
      </c>
      <c r="G505" s="1">
        <v>6.0</v>
      </c>
      <c r="H505" s="1" t="s">
        <v>32</v>
      </c>
      <c r="I505" s="1" t="s">
        <v>17</v>
      </c>
      <c r="J505" s="1" t="s">
        <v>18</v>
      </c>
      <c r="K505" s="1">
        <v>400.0</v>
      </c>
      <c r="L505" s="1">
        <v>56.9273343</v>
      </c>
      <c r="M505" s="1">
        <v>24.0927797020755</v>
      </c>
    </row>
    <row r="506">
      <c r="A506" s="1" t="s">
        <v>13</v>
      </c>
      <c r="B506" s="1" t="s">
        <v>151</v>
      </c>
      <c r="C506" s="1" t="s">
        <v>360</v>
      </c>
      <c r="D506" s="1">
        <v>1.0</v>
      </c>
      <c r="E506" s="1">
        <v>18.0</v>
      </c>
      <c r="F506" s="1">
        <v>5.0</v>
      </c>
      <c r="G506" s="1">
        <v>5.0</v>
      </c>
      <c r="H506" s="1" t="s">
        <v>57</v>
      </c>
      <c r="I506" s="1" t="s">
        <v>37</v>
      </c>
      <c r="J506" s="1" t="s">
        <v>18</v>
      </c>
      <c r="K506" s="1">
        <v>100.0</v>
      </c>
      <c r="L506" s="1">
        <v>56.9692203</v>
      </c>
      <c r="M506" s="1">
        <v>24.0694937318141</v>
      </c>
    </row>
    <row r="507">
      <c r="A507" s="1" t="s">
        <v>13</v>
      </c>
      <c r="B507" s="1" t="s">
        <v>52</v>
      </c>
      <c r="C507" s="1" t="s">
        <v>202</v>
      </c>
      <c r="D507" s="1">
        <v>1.0</v>
      </c>
      <c r="E507" s="1">
        <v>55.0</v>
      </c>
      <c r="F507" s="1">
        <v>1.0</v>
      </c>
      <c r="G507" s="1">
        <v>4.0</v>
      </c>
      <c r="H507" s="1" t="s">
        <v>32</v>
      </c>
      <c r="I507" s="1" t="s">
        <v>21</v>
      </c>
      <c r="J507" s="1" t="s">
        <v>18</v>
      </c>
      <c r="K507" s="1">
        <v>175.0</v>
      </c>
      <c r="L507" s="1">
        <v>56.94145735</v>
      </c>
      <c r="M507" s="1">
        <v>24.0030188392346</v>
      </c>
    </row>
    <row r="508">
      <c r="A508" s="1" t="s">
        <v>22</v>
      </c>
      <c r="B508" s="1" t="s">
        <v>14</v>
      </c>
      <c r="C508" s="1" t="s">
        <v>487</v>
      </c>
      <c r="D508" s="1">
        <v>1.0</v>
      </c>
      <c r="E508" s="1">
        <v>18.0</v>
      </c>
      <c r="F508" s="1">
        <v>5.0</v>
      </c>
      <c r="G508" s="1">
        <v>5.0</v>
      </c>
      <c r="H508" s="1" t="s">
        <v>36</v>
      </c>
      <c r="I508" s="1" t="s">
        <v>122</v>
      </c>
      <c r="J508" s="1" t="s">
        <v>27</v>
      </c>
      <c r="K508" s="1">
        <v>12000.0</v>
      </c>
      <c r="L508" s="1">
        <v>56.9685701</v>
      </c>
      <c r="M508" s="1">
        <v>24.1819824</v>
      </c>
    </row>
    <row r="509">
      <c r="A509" s="1" t="s">
        <v>22</v>
      </c>
      <c r="B509" s="1" t="s">
        <v>23</v>
      </c>
      <c r="C509" s="1" t="s">
        <v>488</v>
      </c>
      <c r="D509" s="1">
        <v>2.0</v>
      </c>
      <c r="E509" s="1">
        <v>46.0</v>
      </c>
      <c r="F509" s="1">
        <v>1.0</v>
      </c>
      <c r="G509" s="1">
        <v>2.0</v>
      </c>
      <c r="H509" s="1" t="s">
        <v>181</v>
      </c>
      <c r="I509" s="1" t="s">
        <v>37</v>
      </c>
      <c r="J509" s="1" t="s">
        <v>18</v>
      </c>
      <c r="K509" s="1">
        <v>40000.0</v>
      </c>
      <c r="L509" s="1" t="s">
        <v>40</v>
      </c>
      <c r="M509" s="1" t="s">
        <v>40</v>
      </c>
    </row>
    <row r="510">
      <c r="A510" s="1" t="s">
        <v>13</v>
      </c>
      <c r="B510" s="1" t="s">
        <v>23</v>
      </c>
      <c r="C510" s="1" t="s">
        <v>65</v>
      </c>
      <c r="D510" s="1">
        <v>1.0</v>
      </c>
      <c r="E510" s="1">
        <v>22.0</v>
      </c>
      <c r="F510" s="1">
        <v>1.0</v>
      </c>
      <c r="G510" s="1">
        <v>4.0</v>
      </c>
      <c r="H510" s="1" t="s">
        <v>66</v>
      </c>
      <c r="I510" s="1" t="s">
        <v>33</v>
      </c>
      <c r="J510" s="1" t="s">
        <v>18</v>
      </c>
      <c r="K510" s="1">
        <v>250.0</v>
      </c>
      <c r="L510" s="1">
        <v>56.949971</v>
      </c>
      <c r="M510" s="1">
        <v>24.1441423352317</v>
      </c>
    </row>
    <row r="511">
      <c r="A511" s="1" t="s">
        <v>13</v>
      </c>
      <c r="B511" s="1" t="s">
        <v>129</v>
      </c>
      <c r="C511" s="1" t="s">
        <v>489</v>
      </c>
      <c r="D511" s="1">
        <v>1.0</v>
      </c>
      <c r="E511" s="1">
        <v>38.0</v>
      </c>
      <c r="F511" s="1">
        <v>4.0</v>
      </c>
      <c r="G511" s="1">
        <v>4.0</v>
      </c>
      <c r="H511" s="1" t="s">
        <v>25</v>
      </c>
      <c r="I511" s="1" t="s">
        <v>33</v>
      </c>
      <c r="J511" s="1" t="s">
        <v>18</v>
      </c>
      <c r="K511" s="1">
        <v>300.0</v>
      </c>
      <c r="L511" s="1">
        <v>56.99330265</v>
      </c>
      <c r="M511" s="1">
        <v>24.1239600297848</v>
      </c>
    </row>
    <row r="512">
      <c r="A512" s="1" t="s">
        <v>13</v>
      </c>
      <c r="B512" s="1" t="s">
        <v>50</v>
      </c>
      <c r="C512" s="1" t="s">
        <v>490</v>
      </c>
      <c r="D512" s="1">
        <v>1.0</v>
      </c>
      <c r="E512" s="1">
        <v>37.0</v>
      </c>
      <c r="F512" s="1">
        <v>5.0</v>
      </c>
      <c r="G512" s="1">
        <v>5.0</v>
      </c>
      <c r="H512" s="1" t="s">
        <v>16</v>
      </c>
      <c r="I512" s="1" t="s">
        <v>21</v>
      </c>
      <c r="J512" s="1" t="s">
        <v>18</v>
      </c>
      <c r="K512" s="1">
        <v>280.0</v>
      </c>
      <c r="L512" s="1">
        <v>56.9397657</v>
      </c>
      <c r="M512" s="1">
        <v>24.1531645</v>
      </c>
    </row>
    <row r="513">
      <c r="A513" s="1" t="s">
        <v>13</v>
      </c>
      <c r="B513" s="1" t="s">
        <v>23</v>
      </c>
      <c r="C513" s="1" t="s">
        <v>491</v>
      </c>
      <c r="D513" s="1">
        <v>4.0</v>
      </c>
      <c r="E513" s="1">
        <v>104.0</v>
      </c>
      <c r="F513" s="1">
        <v>4.0</v>
      </c>
      <c r="G513" s="1">
        <v>6.0</v>
      </c>
      <c r="H513" s="1" t="s">
        <v>66</v>
      </c>
      <c r="I513" s="1" t="s">
        <v>33</v>
      </c>
      <c r="J513" s="1" t="s">
        <v>18</v>
      </c>
      <c r="K513" s="1">
        <v>850.0</v>
      </c>
      <c r="L513" s="1">
        <v>56.9505796</v>
      </c>
      <c r="M513" s="1">
        <v>24.1255938</v>
      </c>
    </row>
    <row r="514">
      <c r="A514" s="1" t="s">
        <v>89</v>
      </c>
      <c r="B514" s="1" t="s">
        <v>74</v>
      </c>
      <c r="C514" s="2"/>
      <c r="D514" s="1" t="s">
        <v>90</v>
      </c>
      <c r="E514" s="2"/>
      <c r="F514" s="2"/>
      <c r="G514" s="2"/>
      <c r="H514" s="2"/>
      <c r="I514" s="2"/>
      <c r="J514" s="2"/>
      <c r="K514" s="2"/>
      <c r="L514" s="1">
        <v>46.3144754</v>
      </c>
      <c r="M514" s="1">
        <v>11.0480288</v>
      </c>
    </row>
    <row r="515">
      <c r="A515" s="1" t="s">
        <v>22</v>
      </c>
      <c r="B515" s="1" t="s">
        <v>74</v>
      </c>
      <c r="C515" s="1" t="s">
        <v>492</v>
      </c>
      <c r="D515" s="1">
        <v>2.0</v>
      </c>
      <c r="E515" s="1">
        <v>51.0</v>
      </c>
      <c r="F515" s="1">
        <v>2.0</v>
      </c>
      <c r="G515" s="1">
        <v>9.0</v>
      </c>
      <c r="H515" s="1">
        <v>602.0</v>
      </c>
      <c r="I515" s="1" t="s">
        <v>21</v>
      </c>
      <c r="J515" s="1" t="s">
        <v>18</v>
      </c>
      <c r="K515" s="1">
        <v>54000.0</v>
      </c>
      <c r="L515" s="1">
        <v>56.9385506499999</v>
      </c>
      <c r="M515" s="1">
        <v>24.201576660629</v>
      </c>
    </row>
    <row r="516">
      <c r="A516" s="1" t="s">
        <v>22</v>
      </c>
      <c r="B516" s="1" t="s">
        <v>19</v>
      </c>
      <c r="C516" s="1" t="s">
        <v>493</v>
      </c>
      <c r="D516" s="1">
        <v>3.0</v>
      </c>
      <c r="E516" s="1">
        <v>77.0</v>
      </c>
      <c r="F516" s="1">
        <v>1.0</v>
      </c>
      <c r="G516" s="1">
        <v>4.0</v>
      </c>
      <c r="H516" s="1" t="s">
        <v>32</v>
      </c>
      <c r="I516" s="1" t="s">
        <v>21</v>
      </c>
      <c r="J516" s="1" t="s">
        <v>18</v>
      </c>
      <c r="K516" s="1">
        <v>109000.0</v>
      </c>
      <c r="L516" s="1">
        <v>56.914968</v>
      </c>
      <c r="M516" s="1">
        <v>24.12289</v>
      </c>
    </row>
    <row r="517">
      <c r="A517" s="1" t="s">
        <v>22</v>
      </c>
      <c r="B517" s="1" t="s">
        <v>19</v>
      </c>
      <c r="C517" s="1" t="s">
        <v>494</v>
      </c>
      <c r="D517" s="1">
        <v>2.0</v>
      </c>
      <c r="E517" s="1">
        <v>65.0</v>
      </c>
      <c r="F517" s="1">
        <v>1.0</v>
      </c>
      <c r="G517" s="1">
        <v>4.0</v>
      </c>
      <c r="H517" s="1" t="s">
        <v>32</v>
      </c>
      <c r="I517" s="1" t="s">
        <v>21</v>
      </c>
      <c r="J517" s="1" t="s">
        <v>18</v>
      </c>
      <c r="K517" s="1">
        <v>89000.0</v>
      </c>
      <c r="L517" s="1">
        <v>56.914968</v>
      </c>
      <c r="M517" s="1">
        <v>24.12289</v>
      </c>
    </row>
    <row r="518">
      <c r="A518" s="1" t="s">
        <v>22</v>
      </c>
      <c r="B518" s="1" t="s">
        <v>106</v>
      </c>
      <c r="C518" s="1" t="s">
        <v>495</v>
      </c>
      <c r="D518" s="1">
        <v>2.0</v>
      </c>
      <c r="E518" s="1">
        <v>38.0</v>
      </c>
      <c r="F518" s="1">
        <v>2.0</v>
      </c>
      <c r="G518" s="1">
        <v>5.0</v>
      </c>
      <c r="H518" s="1" t="s">
        <v>36</v>
      </c>
      <c r="I518" s="1" t="s">
        <v>37</v>
      </c>
      <c r="J518" s="1" t="s">
        <v>18</v>
      </c>
      <c r="K518" s="1">
        <v>41000.0</v>
      </c>
      <c r="L518" s="1">
        <v>56.9483586</v>
      </c>
      <c r="M518" s="1">
        <v>24.0478995119403</v>
      </c>
    </row>
    <row r="519">
      <c r="A519" s="1" t="s">
        <v>22</v>
      </c>
      <c r="B519" s="1" t="s">
        <v>52</v>
      </c>
      <c r="C519" s="1" t="s">
        <v>496</v>
      </c>
      <c r="D519" s="1">
        <v>2.0</v>
      </c>
      <c r="E519" s="1">
        <v>58.0</v>
      </c>
      <c r="F519" s="1">
        <v>9.0</v>
      </c>
      <c r="G519" s="1">
        <v>10.0</v>
      </c>
      <c r="H519" s="1">
        <v>119.0</v>
      </c>
      <c r="I519" s="1" t="s">
        <v>21</v>
      </c>
      <c r="J519" s="1" t="s">
        <v>18</v>
      </c>
      <c r="K519" s="1">
        <v>50000.0</v>
      </c>
      <c r="L519" s="1">
        <v>56.94454425</v>
      </c>
      <c r="M519" s="1">
        <v>24.0173908499999</v>
      </c>
    </row>
    <row r="520">
      <c r="A520" s="1" t="s">
        <v>22</v>
      </c>
      <c r="B520" s="1" t="s">
        <v>38</v>
      </c>
      <c r="C520" s="1" t="s">
        <v>145</v>
      </c>
      <c r="D520" s="1">
        <v>3.0</v>
      </c>
      <c r="E520" s="1">
        <v>101.0</v>
      </c>
      <c r="F520" s="1">
        <v>4.0</v>
      </c>
      <c r="G520" s="1">
        <v>18.0</v>
      </c>
      <c r="H520" s="1" t="s">
        <v>32</v>
      </c>
      <c r="I520" s="1" t="s">
        <v>17</v>
      </c>
      <c r="J520" s="1" t="s">
        <v>18</v>
      </c>
      <c r="K520" s="1">
        <v>128000.0</v>
      </c>
      <c r="L520" s="1">
        <v>56.96112105</v>
      </c>
      <c r="M520" s="1">
        <v>24.01821679525</v>
      </c>
    </row>
    <row r="521">
      <c r="A521" s="1" t="s">
        <v>22</v>
      </c>
      <c r="B521" s="1" t="s">
        <v>50</v>
      </c>
      <c r="C521" s="1" t="s">
        <v>497</v>
      </c>
      <c r="D521" s="1">
        <v>4.0</v>
      </c>
      <c r="E521" s="1">
        <v>130.0</v>
      </c>
      <c r="F521" s="1">
        <v>1.0</v>
      </c>
      <c r="G521" s="1">
        <v>5.0</v>
      </c>
      <c r="H521" s="1" t="s">
        <v>181</v>
      </c>
      <c r="I521" s="1" t="s">
        <v>33</v>
      </c>
      <c r="J521" s="1" t="s">
        <v>18</v>
      </c>
      <c r="K521" s="1">
        <v>104000.0</v>
      </c>
      <c r="L521" s="1">
        <v>56.9360312</v>
      </c>
      <c r="M521" s="1">
        <v>24.1617323</v>
      </c>
    </row>
    <row r="522">
      <c r="A522" s="1" t="s">
        <v>22</v>
      </c>
      <c r="B522" s="1" t="s">
        <v>151</v>
      </c>
      <c r="C522" s="1" t="s">
        <v>498</v>
      </c>
      <c r="D522" s="1">
        <v>1.0</v>
      </c>
      <c r="E522" s="1">
        <v>27.0</v>
      </c>
      <c r="F522" s="1">
        <v>5.0</v>
      </c>
      <c r="G522" s="1">
        <v>5.0</v>
      </c>
      <c r="H522" s="1" t="s">
        <v>16</v>
      </c>
      <c r="I522" s="1" t="s">
        <v>21</v>
      </c>
      <c r="J522" s="1" t="s">
        <v>18</v>
      </c>
      <c r="K522" s="1">
        <v>28000.0</v>
      </c>
      <c r="L522" s="1">
        <v>56.96535115</v>
      </c>
      <c r="M522" s="1">
        <v>24.0616848</v>
      </c>
    </row>
    <row r="523">
      <c r="A523" s="1" t="s">
        <v>13</v>
      </c>
      <c r="B523" s="1" t="s">
        <v>104</v>
      </c>
      <c r="C523" s="1" t="s">
        <v>499</v>
      </c>
      <c r="D523" s="1">
        <v>1.0</v>
      </c>
      <c r="E523" s="1">
        <v>20.0</v>
      </c>
      <c r="F523" s="1">
        <v>1.0</v>
      </c>
      <c r="G523" s="1">
        <v>1.0</v>
      </c>
      <c r="H523" s="1" t="s">
        <v>171</v>
      </c>
      <c r="I523" s="1" t="s">
        <v>26</v>
      </c>
      <c r="J523" s="1" t="s">
        <v>18</v>
      </c>
      <c r="K523" s="1">
        <v>260.0</v>
      </c>
      <c r="L523" s="1">
        <v>56.9366902</v>
      </c>
      <c r="M523" s="1">
        <v>24.0713339889391</v>
      </c>
    </row>
    <row r="524">
      <c r="A524" s="1" t="s">
        <v>22</v>
      </c>
      <c r="B524" s="1" t="s">
        <v>14</v>
      </c>
      <c r="C524" s="1" t="s">
        <v>500</v>
      </c>
      <c r="D524" s="1">
        <v>3.0</v>
      </c>
      <c r="E524" s="1">
        <v>66.0</v>
      </c>
      <c r="F524" s="1">
        <v>1.0</v>
      </c>
      <c r="G524" s="1">
        <v>5.0</v>
      </c>
      <c r="H524" s="1" t="s">
        <v>16</v>
      </c>
      <c r="I524" s="1" t="s">
        <v>21</v>
      </c>
      <c r="J524" s="1" t="s">
        <v>18</v>
      </c>
      <c r="K524" s="1">
        <v>53000.0</v>
      </c>
      <c r="L524" s="1">
        <v>56.9518384</v>
      </c>
      <c r="M524" s="1">
        <v>24.1999196</v>
      </c>
    </row>
    <row r="525">
      <c r="A525" s="1" t="s">
        <v>13</v>
      </c>
      <c r="B525" s="1" t="s">
        <v>23</v>
      </c>
      <c r="C525" s="1" t="s">
        <v>501</v>
      </c>
      <c r="D525" s="1">
        <v>1.0</v>
      </c>
      <c r="E525" s="1">
        <v>20.0</v>
      </c>
      <c r="F525" s="1">
        <v>4.0</v>
      </c>
      <c r="G525" s="1">
        <v>6.0</v>
      </c>
      <c r="H525" s="1" t="s">
        <v>66</v>
      </c>
      <c r="I525" s="1" t="s">
        <v>17</v>
      </c>
      <c r="J525" s="1" t="s">
        <v>18</v>
      </c>
      <c r="K525" s="1">
        <v>120.0</v>
      </c>
      <c r="L525" s="1">
        <v>56.94440235</v>
      </c>
      <c r="M525" s="1">
        <v>24.1323630232783</v>
      </c>
    </row>
    <row r="526">
      <c r="A526" s="1" t="s">
        <v>13</v>
      </c>
      <c r="B526" s="1" t="s">
        <v>50</v>
      </c>
      <c r="C526" s="1" t="s">
        <v>502</v>
      </c>
      <c r="D526" s="1">
        <v>1.0</v>
      </c>
      <c r="E526" s="1">
        <v>40.0</v>
      </c>
      <c r="F526" s="1">
        <v>1.0</v>
      </c>
      <c r="G526" s="1">
        <v>5.0</v>
      </c>
      <c r="H526" s="1" t="s">
        <v>36</v>
      </c>
      <c r="I526" s="1" t="s">
        <v>37</v>
      </c>
      <c r="J526" s="1" t="s">
        <v>18</v>
      </c>
      <c r="K526" s="1">
        <v>240.0</v>
      </c>
      <c r="L526" s="1">
        <v>56.8597884</v>
      </c>
      <c r="M526" s="1">
        <v>24.3083417</v>
      </c>
    </row>
    <row r="527">
      <c r="A527" s="1" t="s">
        <v>22</v>
      </c>
      <c r="B527" s="1" t="s">
        <v>503</v>
      </c>
      <c r="C527" s="1" t="s">
        <v>504</v>
      </c>
      <c r="D527" s="1">
        <v>2.0</v>
      </c>
      <c r="E527" s="1">
        <v>54.0</v>
      </c>
      <c r="F527" s="1">
        <v>2.0</v>
      </c>
      <c r="G527" s="1">
        <v>4.0</v>
      </c>
      <c r="H527" s="1" t="s">
        <v>36</v>
      </c>
      <c r="I527" s="1" t="s">
        <v>17</v>
      </c>
      <c r="J527" s="1" t="s">
        <v>18</v>
      </c>
      <c r="K527" s="1">
        <v>38000.0</v>
      </c>
      <c r="L527" s="1">
        <v>57.0528275</v>
      </c>
      <c r="M527" s="1">
        <v>24.0695082</v>
      </c>
    </row>
    <row r="528">
      <c r="A528" s="1" t="s">
        <v>13</v>
      </c>
      <c r="B528" s="1" t="s">
        <v>67</v>
      </c>
      <c r="C528" s="1" t="s">
        <v>395</v>
      </c>
      <c r="D528" s="1">
        <v>3.0</v>
      </c>
      <c r="E528" s="1">
        <v>109.0</v>
      </c>
      <c r="F528" s="1">
        <v>6.0</v>
      </c>
      <c r="G528" s="1">
        <v>6.0</v>
      </c>
      <c r="H528" s="1" t="s">
        <v>32</v>
      </c>
      <c r="I528" s="1" t="s">
        <v>17</v>
      </c>
      <c r="J528" s="1" t="s">
        <v>18</v>
      </c>
      <c r="K528" s="1">
        <v>650.0</v>
      </c>
      <c r="L528" s="1">
        <v>56.9610476</v>
      </c>
      <c r="M528" s="1">
        <v>24.1493694905674</v>
      </c>
    </row>
    <row r="529">
      <c r="A529" s="1" t="s">
        <v>22</v>
      </c>
      <c r="B529" s="1" t="s">
        <v>23</v>
      </c>
      <c r="C529" s="1" t="s">
        <v>395</v>
      </c>
      <c r="D529" s="1">
        <v>4.0</v>
      </c>
      <c r="E529" s="1">
        <v>169.9</v>
      </c>
      <c r="F529" s="1">
        <v>6.0</v>
      </c>
      <c r="G529" s="1">
        <v>6.0</v>
      </c>
      <c r="H529" s="1" t="s">
        <v>32</v>
      </c>
      <c r="I529" s="1" t="s">
        <v>17</v>
      </c>
      <c r="J529" s="1" t="s">
        <v>18</v>
      </c>
      <c r="K529" s="1">
        <v>185000.0</v>
      </c>
      <c r="L529" s="1">
        <v>56.9610476</v>
      </c>
      <c r="M529" s="1">
        <v>24.1493694905674</v>
      </c>
    </row>
    <row r="530">
      <c r="A530" s="1" t="s">
        <v>22</v>
      </c>
      <c r="B530" s="1" t="s">
        <v>151</v>
      </c>
      <c r="C530" s="1" t="s">
        <v>505</v>
      </c>
      <c r="D530" s="1">
        <v>1.0</v>
      </c>
      <c r="E530" s="1">
        <v>30.0</v>
      </c>
      <c r="F530" s="1">
        <v>1.0</v>
      </c>
      <c r="G530" s="1">
        <v>5.0</v>
      </c>
      <c r="H530" s="1" t="s">
        <v>44</v>
      </c>
      <c r="I530" s="1" t="s">
        <v>37</v>
      </c>
      <c r="J530" s="1" t="s">
        <v>27</v>
      </c>
      <c r="K530" s="1">
        <v>25000.0</v>
      </c>
      <c r="L530" s="1">
        <v>56.9664898</v>
      </c>
      <c r="M530" s="1">
        <v>24.0486124</v>
      </c>
    </row>
    <row r="531">
      <c r="A531" s="1" t="s">
        <v>13</v>
      </c>
      <c r="B531" s="1" t="s">
        <v>14</v>
      </c>
      <c r="C531" s="1" t="s">
        <v>400</v>
      </c>
      <c r="D531" s="1">
        <v>1.0</v>
      </c>
      <c r="E531" s="1">
        <v>40.0</v>
      </c>
      <c r="F531" s="1">
        <v>5.0</v>
      </c>
      <c r="G531" s="1">
        <v>5.0</v>
      </c>
      <c r="H531" s="1" t="s">
        <v>57</v>
      </c>
      <c r="I531" s="1" t="s">
        <v>21</v>
      </c>
      <c r="J531" s="1" t="s">
        <v>18</v>
      </c>
      <c r="K531" s="1">
        <v>220.0</v>
      </c>
      <c r="L531" s="1">
        <v>56.96378645</v>
      </c>
      <c r="M531" s="1">
        <v>24.1961874494858</v>
      </c>
    </row>
    <row r="532">
      <c r="A532" s="1" t="s">
        <v>22</v>
      </c>
      <c r="B532" s="1" t="s">
        <v>50</v>
      </c>
      <c r="C532" s="1" t="s">
        <v>506</v>
      </c>
      <c r="D532" s="1">
        <v>3.0</v>
      </c>
      <c r="E532" s="1">
        <v>74.0</v>
      </c>
      <c r="F532" s="1">
        <v>4.0</v>
      </c>
      <c r="G532" s="1">
        <v>5.0</v>
      </c>
      <c r="H532" s="1" t="s">
        <v>25</v>
      </c>
      <c r="I532" s="1" t="s">
        <v>33</v>
      </c>
      <c r="J532" s="1" t="s">
        <v>18</v>
      </c>
      <c r="K532" s="1">
        <v>80000.0</v>
      </c>
      <c r="L532" s="1">
        <v>56.9431965</v>
      </c>
      <c r="M532" s="1">
        <v>24.1341844</v>
      </c>
    </row>
    <row r="533">
      <c r="A533" s="1" t="s">
        <v>22</v>
      </c>
      <c r="B533" s="1" t="s">
        <v>23</v>
      </c>
      <c r="C533" s="1" t="s">
        <v>507</v>
      </c>
      <c r="D533" s="1">
        <v>2.0</v>
      </c>
      <c r="E533" s="1">
        <v>45.0</v>
      </c>
      <c r="F533" s="1">
        <v>3.0</v>
      </c>
      <c r="G533" s="1">
        <v>5.0</v>
      </c>
      <c r="H533" s="1" t="s">
        <v>36</v>
      </c>
      <c r="I533" s="1" t="s">
        <v>37</v>
      </c>
      <c r="J533" s="1" t="s">
        <v>18</v>
      </c>
      <c r="K533" s="1">
        <v>87000.0</v>
      </c>
      <c r="L533" s="1">
        <v>56.9473175</v>
      </c>
      <c r="M533" s="1">
        <v>24.1105898</v>
      </c>
    </row>
    <row r="534">
      <c r="A534" s="1" t="s">
        <v>13</v>
      </c>
      <c r="B534" s="1" t="s">
        <v>23</v>
      </c>
      <c r="C534" s="1" t="s">
        <v>491</v>
      </c>
      <c r="D534" s="1">
        <v>2.0</v>
      </c>
      <c r="E534" s="1">
        <v>48.0</v>
      </c>
      <c r="F534" s="1">
        <v>3.0</v>
      </c>
      <c r="G534" s="1">
        <v>6.0</v>
      </c>
      <c r="H534" s="1" t="s">
        <v>25</v>
      </c>
      <c r="I534" s="1" t="s">
        <v>37</v>
      </c>
      <c r="J534" s="1" t="s">
        <v>18</v>
      </c>
      <c r="K534" s="1">
        <v>600.0</v>
      </c>
      <c r="L534" s="1">
        <v>56.9505796</v>
      </c>
      <c r="M534" s="1">
        <v>24.1255938</v>
      </c>
    </row>
    <row r="535">
      <c r="A535" s="1" t="s">
        <v>22</v>
      </c>
      <c r="B535" s="1" t="s">
        <v>218</v>
      </c>
      <c r="C535" s="1" t="s">
        <v>219</v>
      </c>
      <c r="D535" s="1">
        <v>5.0</v>
      </c>
      <c r="E535" s="1">
        <v>247.0</v>
      </c>
      <c r="F535" s="1">
        <v>4.0</v>
      </c>
      <c r="G535" s="1">
        <v>6.0</v>
      </c>
      <c r="H535" s="1" t="s">
        <v>36</v>
      </c>
      <c r="I535" s="1" t="s">
        <v>21</v>
      </c>
      <c r="J535" s="1" t="s">
        <v>18</v>
      </c>
      <c r="K535" s="1">
        <v>399990.0</v>
      </c>
      <c r="L535" s="1">
        <v>56.9453381999999</v>
      </c>
      <c r="M535" s="1">
        <v>24.1094639533088</v>
      </c>
    </row>
    <row r="536">
      <c r="A536" s="1" t="s">
        <v>22</v>
      </c>
      <c r="B536" s="1" t="s">
        <v>218</v>
      </c>
      <c r="C536" s="1" t="s">
        <v>219</v>
      </c>
      <c r="D536" s="1">
        <v>4.0</v>
      </c>
      <c r="E536" s="1">
        <v>164.0</v>
      </c>
      <c r="F536" s="1">
        <v>6.0</v>
      </c>
      <c r="G536" s="1">
        <v>6.0</v>
      </c>
      <c r="H536" s="1" t="s">
        <v>36</v>
      </c>
      <c r="I536" s="1" t="s">
        <v>21</v>
      </c>
      <c r="J536" s="1" t="s">
        <v>18</v>
      </c>
      <c r="K536" s="1">
        <v>269990.0</v>
      </c>
      <c r="L536" s="1">
        <v>56.9453381999999</v>
      </c>
      <c r="M536" s="1">
        <v>24.1094639533088</v>
      </c>
    </row>
    <row r="537">
      <c r="A537" s="1" t="s">
        <v>22</v>
      </c>
      <c r="B537" s="1" t="s">
        <v>218</v>
      </c>
      <c r="C537" s="1" t="s">
        <v>219</v>
      </c>
      <c r="D537" s="1" t="s">
        <v>90</v>
      </c>
      <c r="E537" s="1">
        <v>330.0</v>
      </c>
      <c r="F537" s="1">
        <v>5.0</v>
      </c>
      <c r="G537" s="1">
        <v>6.0</v>
      </c>
      <c r="H537" s="1" t="s">
        <v>36</v>
      </c>
      <c r="I537" s="1" t="s">
        <v>21</v>
      </c>
      <c r="J537" s="1" t="s">
        <v>18</v>
      </c>
      <c r="K537" s="1">
        <v>474990.0</v>
      </c>
      <c r="L537" s="1">
        <v>56.9453381999999</v>
      </c>
      <c r="M537" s="1">
        <v>24.1094639533088</v>
      </c>
    </row>
    <row r="538">
      <c r="A538" s="1" t="s">
        <v>22</v>
      </c>
      <c r="B538" s="1" t="s">
        <v>218</v>
      </c>
      <c r="C538" s="1" t="s">
        <v>219</v>
      </c>
      <c r="D538" s="1">
        <v>4.0</v>
      </c>
      <c r="E538" s="1">
        <v>132.0</v>
      </c>
      <c r="F538" s="1">
        <v>4.0</v>
      </c>
      <c r="G538" s="1">
        <v>6.0</v>
      </c>
      <c r="H538" s="1" t="s">
        <v>36</v>
      </c>
      <c r="I538" s="1" t="s">
        <v>21</v>
      </c>
      <c r="J538" s="1" t="s">
        <v>18</v>
      </c>
      <c r="K538" s="1">
        <v>209990.0</v>
      </c>
      <c r="L538" s="1">
        <v>56.9453381999999</v>
      </c>
      <c r="M538" s="1">
        <v>24.1094639533088</v>
      </c>
    </row>
    <row r="539">
      <c r="A539" s="1" t="s">
        <v>22</v>
      </c>
      <c r="B539" s="1" t="s">
        <v>23</v>
      </c>
      <c r="C539" s="1" t="s">
        <v>508</v>
      </c>
      <c r="D539" s="1">
        <v>6.0</v>
      </c>
      <c r="E539" s="1">
        <v>168.0</v>
      </c>
      <c r="F539" s="1">
        <v>2.0</v>
      </c>
      <c r="G539" s="1">
        <v>5.0</v>
      </c>
      <c r="H539" s="1" t="s">
        <v>25</v>
      </c>
      <c r="I539" s="1" t="s">
        <v>33</v>
      </c>
      <c r="J539" s="1" t="s">
        <v>18</v>
      </c>
      <c r="K539" s="1">
        <v>310800.0</v>
      </c>
      <c r="L539" s="1">
        <v>56.95892215</v>
      </c>
      <c r="M539" s="1">
        <v>24.1096105097308</v>
      </c>
    </row>
    <row r="540">
      <c r="A540" s="1" t="s">
        <v>22</v>
      </c>
      <c r="B540" s="1" t="s">
        <v>104</v>
      </c>
      <c r="C540" s="1" t="s">
        <v>509</v>
      </c>
      <c r="D540" s="1">
        <v>2.0</v>
      </c>
      <c r="E540" s="1">
        <v>52.0</v>
      </c>
      <c r="F540" s="1">
        <v>2.0</v>
      </c>
      <c r="G540" s="1">
        <v>2.0</v>
      </c>
      <c r="H540" s="1" t="s">
        <v>25</v>
      </c>
      <c r="I540" s="1" t="s">
        <v>37</v>
      </c>
      <c r="J540" s="1" t="s">
        <v>27</v>
      </c>
      <c r="K540" s="1">
        <v>39900.0</v>
      </c>
      <c r="L540" s="1" t="s">
        <v>40</v>
      </c>
      <c r="M540" s="1" t="s">
        <v>40</v>
      </c>
    </row>
    <row r="541">
      <c r="A541" s="1" t="s">
        <v>22</v>
      </c>
      <c r="B541" s="1" t="s">
        <v>52</v>
      </c>
      <c r="C541" s="1" t="s">
        <v>222</v>
      </c>
      <c r="D541" s="1">
        <v>4.0</v>
      </c>
      <c r="E541" s="1">
        <v>184.0</v>
      </c>
      <c r="F541" s="1">
        <v>5.0</v>
      </c>
      <c r="G541" s="1">
        <v>5.0</v>
      </c>
      <c r="H541" s="1" t="s">
        <v>32</v>
      </c>
      <c r="I541" s="1" t="s">
        <v>122</v>
      </c>
      <c r="J541" s="1" t="s">
        <v>18</v>
      </c>
      <c r="K541" s="1">
        <v>172000.0</v>
      </c>
      <c r="L541" s="1">
        <v>56.9425813</v>
      </c>
      <c r="M541" s="1">
        <v>24.0156589752924</v>
      </c>
    </row>
    <row r="542">
      <c r="A542" s="1" t="s">
        <v>22</v>
      </c>
      <c r="B542" s="1" t="s">
        <v>104</v>
      </c>
      <c r="C542" s="1" t="s">
        <v>510</v>
      </c>
      <c r="D542" s="1">
        <v>2.0</v>
      </c>
      <c r="E542" s="1">
        <v>50.0</v>
      </c>
      <c r="F542" s="1">
        <v>3.0</v>
      </c>
      <c r="G542" s="1">
        <v>9.0</v>
      </c>
      <c r="H542" s="1">
        <v>467.0</v>
      </c>
      <c r="I542" s="1" t="s">
        <v>21</v>
      </c>
      <c r="J542" s="1" t="s">
        <v>18</v>
      </c>
      <c r="K542" s="1">
        <v>55000.0</v>
      </c>
      <c r="L542" s="1">
        <v>56.9478021</v>
      </c>
      <c r="M542" s="1">
        <v>24.058226716862</v>
      </c>
    </row>
    <row r="543">
      <c r="A543" s="1" t="s">
        <v>22</v>
      </c>
      <c r="B543" s="1" t="s">
        <v>447</v>
      </c>
      <c r="C543" s="1" t="s">
        <v>486</v>
      </c>
      <c r="D543" s="1">
        <v>2.0</v>
      </c>
      <c r="E543" s="1">
        <v>47.0</v>
      </c>
      <c r="F543" s="1">
        <v>3.0</v>
      </c>
      <c r="G543" s="1">
        <v>6.0</v>
      </c>
      <c r="H543" s="1" t="s">
        <v>32</v>
      </c>
      <c r="I543" s="1" t="s">
        <v>122</v>
      </c>
      <c r="J543" s="1" t="s">
        <v>18</v>
      </c>
      <c r="K543" s="1">
        <v>68000.0</v>
      </c>
      <c r="L543" s="1">
        <v>56.9273343</v>
      </c>
      <c r="M543" s="1">
        <v>24.0927797020755</v>
      </c>
    </row>
    <row r="544">
      <c r="A544" s="1" t="s">
        <v>22</v>
      </c>
      <c r="B544" s="1" t="s">
        <v>30</v>
      </c>
      <c r="C544" s="1" t="s">
        <v>511</v>
      </c>
      <c r="D544" s="1">
        <v>2.0</v>
      </c>
      <c r="E544" s="1">
        <v>48.0</v>
      </c>
      <c r="F544" s="1">
        <v>1.0</v>
      </c>
      <c r="G544" s="1">
        <v>2.0</v>
      </c>
      <c r="H544" s="1" t="s">
        <v>25</v>
      </c>
      <c r="I544" s="1" t="s">
        <v>37</v>
      </c>
      <c r="J544" s="1" t="s">
        <v>18</v>
      </c>
      <c r="K544" s="1">
        <v>54000.0</v>
      </c>
      <c r="L544" s="1">
        <v>56.9807317</v>
      </c>
      <c r="M544" s="1">
        <v>24.1792871648999</v>
      </c>
    </row>
    <row r="545">
      <c r="A545" s="1" t="s">
        <v>22</v>
      </c>
      <c r="B545" s="1" t="s">
        <v>151</v>
      </c>
      <c r="C545" s="1" t="s">
        <v>512</v>
      </c>
      <c r="D545" s="1">
        <v>2.0</v>
      </c>
      <c r="E545" s="1">
        <v>50.0</v>
      </c>
      <c r="F545" s="1">
        <v>2.0</v>
      </c>
      <c r="G545" s="1">
        <v>3.0</v>
      </c>
      <c r="H545" s="1" t="s">
        <v>181</v>
      </c>
      <c r="I545" s="1" t="s">
        <v>37</v>
      </c>
      <c r="J545" s="1" t="s">
        <v>18</v>
      </c>
      <c r="K545" s="1">
        <v>42000.0</v>
      </c>
      <c r="L545" s="1">
        <v>56.9661155999999</v>
      </c>
      <c r="M545" s="1">
        <v>24.0633048760373</v>
      </c>
    </row>
    <row r="546">
      <c r="A546" s="1" t="s">
        <v>22</v>
      </c>
      <c r="B546" s="1" t="s">
        <v>151</v>
      </c>
      <c r="C546" s="1" t="s">
        <v>513</v>
      </c>
      <c r="D546" s="1">
        <v>1.0</v>
      </c>
      <c r="E546" s="1">
        <v>45.0</v>
      </c>
      <c r="F546" s="1">
        <v>5.0</v>
      </c>
      <c r="G546" s="1">
        <v>9.0</v>
      </c>
      <c r="H546" s="1">
        <v>119.0</v>
      </c>
      <c r="I546" s="1" t="s">
        <v>21</v>
      </c>
      <c r="J546" s="1" t="s">
        <v>18</v>
      </c>
      <c r="K546" s="1">
        <v>47800.0</v>
      </c>
      <c r="L546" s="1">
        <v>56.9682471</v>
      </c>
      <c r="M546" s="1">
        <v>24.0497274</v>
      </c>
    </row>
    <row r="547">
      <c r="A547" s="1" t="s">
        <v>22</v>
      </c>
      <c r="B547" s="1" t="s">
        <v>14</v>
      </c>
      <c r="C547" s="1" t="s">
        <v>514</v>
      </c>
      <c r="D547" s="1">
        <v>3.0</v>
      </c>
      <c r="E547" s="1">
        <v>59.0</v>
      </c>
      <c r="F547" s="1">
        <v>1.0</v>
      </c>
      <c r="G547" s="1">
        <v>5.0</v>
      </c>
      <c r="H547" s="1" t="s">
        <v>16</v>
      </c>
      <c r="I547" s="1" t="s">
        <v>21</v>
      </c>
      <c r="J547" s="1" t="s">
        <v>18</v>
      </c>
      <c r="K547" s="1">
        <v>45500.0</v>
      </c>
      <c r="L547" s="1">
        <v>56.9621302</v>
      </c>
      <c r="M547" s="1">
        <v>24.1879413147568</v>
      </c>
    </row>
    <row r="548">
      <c r="A548" s="1" t="s">
        <v>13</v>
      </c>
      <c r="B548" s="1" t="s">
        <v>23</v>
      </c>
      <c r="C548" s="1" t="s">
        <v>515</v>
      </c>
      <c r="D548" s="1">
        <v>3.0</v>
      </c>
      <c r="E548" s="1">
        <v>89.0</v>
      </c>
      <c r="F548" s="1">
        <v>2.0</v>
      </c>
      <c r="G548" s="1">
        <v>4.0</v>
      </c>
      <c r="H548" s="1" t="s">
        <v>66</v>
      </c>
      <c r="I548" s="1" t="s">
        <v>37</v>
      </c>
      <c r="J548" s="1" t="s">
        <v>18</v>
      </c>
      <c r="K548" s="1">
        <v>950.0</v>
      </c>
      <c r="L548" s="1">
        <v>56.9612223</v>
      </c>
      <c r="M548" s="1">
        <v>24.1042036001522</v>
      </c>
    </row>
    <row r="549">
      <c r="A549" s="1" t="s">
        <v>22</v>
      </c>
      <c r="B549" s="1" t="s">
        <v>422</v>
      </c>
      <c r="C549" s="1" t="s">
        <v>516</v>
      </c>
      <c r="D549" s="1">
        <v>2.0</v>
      </c>
      <c r="E549" s="1">
        <v>72.0</v>
      </c>
      <c r="F549" s="1">
        <v>1.0</v>
      </c>
      <c r="G549" s="1">
        <v>5.0</v>
      </c>
      <c r="H549" s="1" t="s">
        <v>32</v>
      </c>
      <c r="I549" s="1" t="s">
        <v>21</v>
      </c>
      <c r="J549" s="1" t="s">
        <v>18</v>
      </c>
      <c r="K549" s="1">
        <v>145000.0</v>
      </c>
      <c r="L549" s="1">
        <v>56.9399149</v>
      </c>
      <c r="M549" s="1">
        <v>24.0365127</v>
      </c>
    </row>
    <row r="550">
      <c r="A550" s="1" t="s">
        <v>22</v>
      </c>
      <c r="B550" s="1" t="s">
        <v>14</v>
      </c>
      <c r="C550" s="1" t="s">
        <v>517</v>
      </c>
      <c r="D550" s="1">
        <v>4.0</v>
      </c>
      <c r="E550" s="1">
        <v>93.0</v>
      </c>
      <c r="F550" s="1">
        <v>6.0</v>
      </c>
      <c r="G550" s="1">
        <v>9.0</v>
      </c>
      <c r="H550" s="1">
        <v>119.0</v>
      </c>
      <c r="I550" s="1" t="s">
        <v>21</v>
      </c>
      <c r="J550" s="1" t="s">
        <v>18</v>
      </c>
      <c r="K550" s="1">
        <v>95000.0</v>
      </c>
      <c r="L550" s="1">
        <v>56.960424</v>
      </c>
      <c r="M550" s="1">
        <v>24.1732897</v>
      </c>
    </row>
    <row r="551">
      <c r="A551" s="1" t="s">
        <v>22</v>
      </c>
      <c r="B551" s="1" t="s">
        <v>14</v>
      </c>
      <c r="C551" s="1" t="s">
        <v>518</v>
      </c>
      <c r="D551" s="1">
        <v>3.0</v>
      </c>
      <c r="E551" s="1">
        <v>73.8</v>
      </c>
      <c r="F551" s="1">
        <v>7.0</v>
      </c>
      <c r="G551" s="1">
        <v>11.0</v>
      </c>
      <c r="H551" s="1" t="s">
        <v>32</v>
      </c>
      <c r="I551" s="1" t="s">
        <v>33</v>
      </c>
      <c r="J551" s="1" t="s">
        <v>18</v>
      </c>
      <c r="K551" s="1">
        <v>109500.0</v>
      </c>
      <c r="L551" s="1">
        <v>56.9652534</v>
      </c>
      <c r="M551" s="1">
        <v>24.1656139</v>
      </c>
    </row>
    <row r="552">
      <c r="A552" s="1" t="s">
        <v>89</v>
      </c>
      <c r="B552" s="1" t="s">
        <v>30</v>
      </c>
      <c r="C552" s="2"/>
      <c r="D552" s="2"/>
      <c r="E552" s="1">
        <v>123.0</v>
      </c>
      <c r="F552" s="1">
        <v>21.0</v>
      </c>
      <c r="G552" s="1">
        <v>12.0</v>
      </c>
      <c r="H552" s="2"/>
      <c r="I552" s="2"/>
      <c r="J552" s="2"/>
      <c r="K552" s="2"/>
      <c r="L552" s="1">
        <v>46.3144754</v>
      </c>
      <c r="M552" s="1">
        <v>11.0480288</v>
      </c>
    </row>
    <row r="553">
      <c r="A553" s="1" t="s">
        <v>89</v>
      </c>
      <c r="B553" s="1" t="s">
        <v>48</v>
      </c>
      <c r="C553" s="1" t="s">
        <v>519</v>
      </c>
      <c r="D553" s="2"/>
      <c r="E553" s="1">
        <v>7.0</v>
      </c>
      <c r="F553" s="1">
        <v>7.0</v>
      </c>
      <c r="G553" s="1">
        <v>7.0</v>
      </c>
      <c r="H553" s="2"/>
      <c r="I553" s="2"/>
      <c r="J553" s="2"/>
      <c r="K553" s="2"/>
      <c r="L553" s="1">
        <v>56.9738846</v>
      </c>
      <c r="M553" s="1">
        <v>24.2254059</v>
      </c>
    </row>
    <row r="554">
      <c r="A554" s="1" t="s">
        <v>89</v>
      </c>
      <c r="B554" s="1" t="s">
        <v>151</v>
      </c>
      <c r="C554" s="2"/>
      <c r="D554" s="1">
        <v>1.0</v>
      </c>
      <c r="E554" s="1">
        <v>99.0</v>
      </c>
      <c r="F554" s="1">
        <v>99.0</v>
      </c>
      <c r="G554" s="1">
        <v>9.0</v>
      </c>
      <c r="H554" s="2"/>
      <c r="I554" s="2"/>
      <c r="J554" s="2"/>
      <c r="K554" s="2"/>
      <c r="L554" s="1">
        <v>46.3144754</v>
      </c>
      <c r="M554" s="1">
        <v>11.0480288</v>
      </c>
    </row>
    <row r="555">
      <c r="A555" s="1" t="s">
        <v>22</v>
      </c>
      <c r="B555" s="1" t="s">
        <v>82</v>
      </c>
      <c r="C555" s="1" t="s">
        <v>83</v>
      </c>
      <c r="D555" s="1">
        <v>3.0</v>
      </c>
      <c r="E555" s="1">
        <v>122.0</v>
      </c>
      <c r="F555" s="1">
        <v>1.0</v>
      </c>
      <c r="G555" s="1">
        <v>3.0</v>
      </c>
      <c r="H555" s="1" t="s">
        <v>32</v>
      </c>
      <c r="I555" s="1" t="s">
        <v>33</v>
      </c>
      <c r="J555" s="1" t="s">
        <v>18</v>
      </c>
      <c r="K555" s="1">
        <v>262000.0</v>
      </c>
      <c r="L555" s="1">
        <v>56.9489344</v>
      </c>
      <c r="M555" s="1">
        <v>24.0882804</v>
      </c>
    </row>
    <row r="556">
      <c r="A556" s="1" t="s">
        <v>13</v>
      </c>
      <c r="B556" s="1" t="s">
        <v>30</v>
      </c>
      <c r="C556" s="1" t="s">
        <v>520</v>
      </c>
      <c r="D556" s="1">
        <v>2.0</v>
      </c>
      <c r="E556" s="1">
        <v>45.0</v>
      </c>
      <c r="F556" s="1">
        <v>1.0</v>
      </c>
      <c r="G556" s="1">
        <v>5.0</v>
      </c>
      <c r="H556" s="1" t="s">
        <v>32</v>
      </c>
      <c r="I556" s="1" t="s">
        <v>21</v>
      </c>
      <c r="J556" s="1" t="s">
        <v>18</v>
      </c>
      <c r="K556" s="1">
        <v>500.0</v>
      </c>
      <c r="L556" s="1">
        <v>56.9669209</v>
      </c>
      <c r="M556" s="1">
        <v>24.1689894</v>
      </c>
    </row>
    <row r="557">
      <c r="A557" s="1" t="s">
        <v>22</v>
      </c>
      <c r="B557" s="1" t="s">
        <v>174</v>
      </c>
      <c r="C557" s="1" t="s">
        <v>521</v>
      </c>
      <c r="D557" s="1">
        <v>1.0</v>
      </c>
      <c r="E557" s="1">
        <v>42.0</v>
      </c>
      <c r="F557" s="1">
        <v>5.0</v>
      </c>
      <c r="G557" s="1">
        <v>5.0</v>
      </c>
      <c r="H557" s="1" t="s">
        <v>57</v>
      </c>
      <c r="I557" s="1" t="s">
        <v>21</v>
      </c>
      <c r="J557" s="1" t="s">
        <v>18</v>
      </c>
      <c r="K557" s="1">
        <v>31000.0</v>
      </c>
      <c r="L557" s="1">
        <v>56.9454164</v>
      </c>
      <c r="M557" s="1">
        <v>24.1772939679068</v>
      </c>
    </row>
    <row r="558">
      <c r="A558" s="1" t="s">
        <v>13</v>
      </c>
      <c r="B558" s="1" t="s">
        <v>38</v>
      </c>
      <c r="C558" s="1" t="s">
        <v>522</v>
      </c>
      <c r="D558" s="1">
        <v>1.0</v>
      </c>
      <c r="E558" s="1">
        <v>27.0</v>
      </c>
      <c r="F558" s="1">
        <v>4.0</v>
      </c>
      <c r="G558" s="1">
        <v>5.0</v>
      </c>
      <c r="H558" s="1" t="s">
        <v>16</v>
      </c>
      <c r="I558" s="1" t="s">
        <v>21</v>
      </c>
      <c r="J558" s="1" t="s">
        <v>18</v>
      </c>
      <c r="K558" s="1">
        <v>230.0</v>
      </c>
      <c r="L558" s="1" t="s">
        <v>40</v>
      </c>
      <c r="M558" s="1" t="s">
        <v>40</v>
      </c>
    </row>
    <row r="559">
      <c r="A559" s="1" t="s">
        <v>22</v>
      </c>
      <c r="B559" s="1" t="s">
        <v>151</v>
      </c>
      <c r="C559" s="1" t="s">
        <v>523</v>
      </c>
      <c r="D559" s="1">
        <v>3.0</v>
      </c>
      <c r="E559" s="1">
        <v>65.0</v>
      </c>
      <c r="F559" s="1">
        <v>3.0</v>
      </c>
      <c r="G559" s="1">
        <v>5.0</v>
      </c>
      <c r="H559" s="1">
        <v>103.0</v>
      </c>
      <c r="I559" s="1" t="s">
        <v>17</v>
      </c>
      <c r="J559" s="1" t="s">
        <v>18</v>
      </c>
      <c r="K559" s="1">
        <v>70000.0</v>
      </c>
      <c r="L559" s="1">
        <v>56.9653645</v>
      </c>
      <c r="M559" s="1">
        <v>24.0697389</v>
      </c>
    </row>
    <row r="560">
      <c r="A560" s="1" t="s">
        <v>22</v>
      </c>
      <c r="B560" s="1" t="s">
        <v>96</v>
      </c>
      <c r="C560" s="1" t="s">
        <v>446</v>
      </c>
      <c r="D560" s="1">
        <v>2.0</v>
      </c>
      <c r="E560" s="1">
        <v>43.0</v>
      </c>
      <c r="F560" s="1">
        <v>5.0</v>
      </c>
      <c r="G560" s="1">
        <v>4.0</v>
      </c>
      <c r="H560" s="1" t="s">
        <v>44</v>
      </c>
      <c r="I560" s="1" t="s">
        <v>37</v>
      </c>
      <c r="J560" s="1" t="s">
        <v>18</v>
      </c>
      <c r="K560" s="1">
        <v>30000.0</v>
      </c>
      <c r="L560" s="1">
        <v>57.02846205</v>
      </c>
      <c r="M560" s="1">
        <v>24.1020912732192</v>
      </c>
    </row>
    <row r="561">
      <c r="A561" s="1" t="s">
        <v>22</v>
      </c>
      <c r="B561" s="1" t="s">
        <v>28</v>
      </c>
      <c r="C561" s="1" t="s">
        <v>524</v>
      </c>
      <c r="D561" s="1">
        <v>3.0</v>
      </c>
      <c r="E561" s="1">
        <v>60.0</v>
      </c>
      <c r="F561" s="1">
        <v>1.0</v>
      </c>
      <c r="G561" s="1">
        <v>5.0</v>
      </c>
      <c r="H561" s="1" t="s">
        <v>44</v>
      </c>
      <c r="I561" s="1" t="s">
        <v>21</v>
      </c>
      <c r="J561" s="1" t="s">
        <v>18</v>
      </c>
      <c r="K561" s="1">
        <v>54000.0</v>
      </c>
      <c r="L561" s="1">
        <v>56.91125405</v>
      </c>
      <c r="M561" s="1">
        <v>24.185960870958</v>
      </c>
    </row>
    <row r="562">
      <c r="A562" s="1" t="s">
        <v>13</v>
      </c>
      <c r="B562" s="1" t="s">
        <v>23</v>
      </c>
      <c r="C562" s="1" t="s">
        <v>525</v>
      </c>
      <c r="D562" s="1">
        <v>3.0</v>
      </c>
      <c r="E562" s="1">
        <v>135.0</v>
      </c>
      <c r="F562" s="1">
        <v>5.0</v>
      </c>
      <c r="G562" s="1">
        <v>5.0</v>
      </c>
      <c r="H562" s="1" t="s">
        <v>66</v>
      </c>
      <c r="I562" s="1" t="s">
        <v>37</v>
      </c>
      <c r="J562" s="1" t="s">
        <v>18</v>
      </c>
      <c r="K562" s="1">
        <v>1000.0</v>
      </c>
      <c r="L562" s="1">
        <v>56.9603826</v>
      </c>
      <c r="M562" s="1">
        <v>24.1022820415013</v>
      </c>
    </row>
    <row r="563">
      <c r="A563" s="1" t="s">
        <v>13</v>
      </c>
      <c r="B563" s="1" t="s">
        <v>23</v>
      </c>
      <c r="C563" s="1" t="s">
        <v>526</v>
      </c>
      <c r="D563" s="1">
        <v>2.0</v>
      </c>
      <c r="E563" s="1">
        <v>47.0</v>
      </c>
      <c r="F563" s="1">
        <v>3.0</v>
      </c>
      <c r="G563" s="1">
        <v>5.0</v>
      </c>
      <c r="H563" s="1" t="s">
        <v>25</v>
      </c>
      <c r="I563" s="1" t="s">
        <v>33</v>
      </c>
      <c r="J563" s="1" t="s">
        <v>18</v>
      </c>
      <c r="K563" s="1">
        <v>450.0</v>
      </c>
      <c r="L563" s="1">
        <v>56.9527003</v>
      </c>
      <c r="M563" s="1">
        <v>24.136204</v>
      </c>
    </row>
    <row r="564">
      <c r="A564" s="1" t="s">
        <v>13</v>
      </c>
      <c r="B564" s="1" t="s">
        <v>14</v>
      </c>
      <c r="C564" s="1" t="s">
        <v>297</v>
      </c>
      <c r="D564" s="1">
        <v>1.0</v>
      </c>
      <c r="E564" s="1">
        <v>18.0</v>
      </c>
      <c r="F564" s="1">
        <v>2.0</v>
      </c>
      <c r="G564" s="1">
        <v>4.0</v>
      </c>
      <c r="H564" s="1" t="s">
        <v>36</v>
      </c>
      <c r="I564" s="1" t="s">
        <v>37</v>
      </c>
      <c r="J564" s="1" t="s">
        <v>18</v>
      </c>
      <c r="K564" s="1">
        <v>200.0</v>
      </c>
      <c r="L564" s="1">
        <v>56.96760975</v>
      </c>
      <c r="M564" s="1">
        <v>24.1813539003571</v>
      </c>
    </row>
    <row r="565">
      <c r="A565" s="1" t="s">
        <v>13</v>
      </c>
      <c r="B565" s="1" t="s">
        <v>23</v>
      </c>
      <c r="C565" s="1" t="s">
        <v>527</v>
      </c>
      <c r="D565" s="1">
        <v>3.0</v>
      </c>
      <c r="E565" s="1">
        <v>200.0</v>
      </c>
      <c r="F565" s="1">
        <v>2.0</v>
      </c>
      <c r="G565" s="1">
        <v>5.0</v>
      </c>
      <c r="H565" s="1" t="s">
        <v>66</v>
      </c>
      <c r="I565" s="1" t="s">
        <v>37</v>
      </c>
      <c r="J565" s="1" t="s">
        <v>18</v>
      </c>
      <c r="K565" s="1">
        <v>2500.0</v>
      </c>
      <c r="L565" s="1">
        <v>56.9650488</v>
      </c>
      <c r="M565" s="1">
        <v>24.1412185789765</v>
      </c>
    </row>
    <row r="566">
      <c r="A566" s="1" t="s">
        <v>22</v>
      </c>
      <c r="B566" s="1" t="s">
        <v>23</v>
      </c>
      <c r="C566" s="1" t="s">
        <v>528</v>
      </c>
      <c r="D566" s="1">
        <v>5.0</v>
      </c>
      <c r="E566" s="1">
        <v>225.0</v>
      </c>
      <c r="F566" s="1">
        <v>5.0</v>
      </c>
      <c r="G566" s="1">
        <v>6.0</v>
      </c>
      <c r="H566" s="1" t="s">
        <v>25</v>
      </c>
      <c r="I566" s="1" t="s">
        <v>33</v>
      </c>
      <c r="J566" s="1" t="s">
        <v>18</v>
      </c>
      <c r="K566" s="1">
        <v>258000.0</v>
      </c>
      <c r="L566" s="1">
        <v>56.9599631</v>
      </c>
      <c r="M566" s="1">
        <v>24.1017027</v>
      </c>
    </row>
    <row r="567">
      <c r="A567" s="1" t="s">
        <v>13</v>
      </c>
      <c r="B567" s="1" t="s">
        <v>23</v>
      </c>
      <c r="C567" s="1" t="s">
        <v>491</v>
      </c>
      <c r="D567" s="1">
        <v>2.0</v>
      </c>
      <c r="E567" s="1">
        <v>32.0</v>
      </c>
      <c r="F567" s="1">
        <v>4.0</v>
      </c>
      <c r="G567" s="1">
        <v>6.0</v>
      </c>
      <c r="H567" s="1" t="s">
        <v>66</v>
      </c>
      <c r="I567" s="1" t="s">
        <v>37</v>
      </c>
      <c r="J567" s="1" t="s">
        <v>18</v>
      </c>
      <c r="K567" s="1">
        <v>410.0</v>
      </c>
      <c r="L567" s="1">
        <v>56.9505796</v>
      </c>
      <c r="M567" s="1">
        <v>24.1255938</v>
      </c>
    </row>
    <row r="568">
      <c r="A568" s="1" t="s">
        <v>13</v>
      </c>
      <c r="B568" s="1" t="s">
        <v>76</v>
      </c>
      <c r="C568" s="1" t="s">
        <v>529</v>
      </c>
      <c r="D568" s="1">
        <v>1.0</v>
      </c>
      <c r="E568" s="1">
        <v>18.0</v>
      </c>
      <c r="F568" s="1">
        <v>2.0</v>
      </c>
      <c r="G568" s="1">
        <v>5.0</v>
      </c>
      <c r="H568" s="1" t="s">
        <v>16</v>
      </c>
      <c r="I568" s="1" t="s">
        <v>21</v>
      </c>
      <c r="J568" s="1" t="s">
        <v>18</v>
      </c>
      <c r="K568" s="1">
        <v>165.0</v>
      </c>
      <c r="L568" s="1">
        <v>56.9552306</v>
      </c>
      <c r="M568" s="1">
        <v>24.0495776507563</v>
      </c>
    </row>
    <row r="569">
      <c r="A569" s="1" t="s">
        <v>13</v>
      </c>
      <c r="B569" s="1" t="s">
        <v>23</v>
      </c>
      <c r="C569" s="1" t="s">
        <v>530</v>
      </c>
      <c r="D569" s="1">
        <v>2.0</v>
      </c>
      <c r="E569" s="1">
        <v>120.0</v>
      </c>
      <c r="F569" s="1">
        <v>5.0</v>
      </c>
      <c r="G569" s="1">
        <v>5.0</v>
      </c>
      <c r="H569" s="1" t="s">
        <v>66</v>
      </c>
      <c r="I569" s="1" t="s">
        <v>33</v>
      </c>
      <c r="J569" s="1" t="s">
        <v>18</v>
      </c>
      <c r="K569" s="1">
        <v>820.0</v>
      </c>
      <c r="L569" s="1">
        <v>56.9596778</v>
      </c>
      <c r="M569" s="1">
        <v>24.1027358</v>
      </c>
    </row>
    <row r="570">
      <c r="A570" s="1" t="s">
        <v>13</v>
      </c>
      <c r="B570" s="1" t="s">
        <v>48</v>
      </c>
      <c r="C570" s="1" t="s">
        <v>531</v>
      </c>
      <c r="D570" s="1">
        <v>2.0</v>
      </c>
      <c r="E570" s="1">
        <v>49.0</v>
      </c>
      <c r="F570" s="1">
        <v>5.0</v>
      </c>
      <c r="G570" s="1">
        <v>5.0</v>
      </c>
      <c r="H570" s="1" t="s">
        <v>16</v>
      </c>
      <c r="I570" s="1" t="s">
        <v>21</v>
      </c>
      <c r="J570" s="1" t="s">
        <v>18</v>
      </c>
      <c r="K570" s="1">
        <v>380.0</v>
      </c>
      <c r="L570" s="1">
        <v>56.97328935</v>
      </c>
      <c r="M570" s="1">
        <v>24.2379904057654</v>
      </c>
    </row>
    <row r="571">
      <c r="A571" s="1" t="s">
        <v>22</v>
      </c>
      <c r="B571" s="1" t="s">
        <v>23</v>
      </c>
      <c r="C571" s="1" t="s">
        <v>532</v>
      </c>
      <c r="D571" s="1">
        <v>4.0</v>
      </c>
      <c r="E571" s="1">
        <v>97.0</v>
      </c>
      <c r="F571" s="1">
        <v>6.0</v>
      </c>
      <c r="G571" s="1">
        <v>6.0</v>
      </c>
      <c r="H571" s="1" t="s">
        <v>66</v>
      </c>
      <c r="I571" s="1" t="s">
        <v>33</v>
      </c>
      <c r="J571" s="1" t="s">
        <v>18</v>
      </c>
      <c r="K571" s="1">
        <v>145350.0</v>
      </c>
      <c r="L571" s="1">
        <v>56.9578128</v>
      </c>
      <c r="M571" s="1">
        <v>24.1300556</v>
      </c>
    </row>
    <row r="572">
      <c r="A572" s="1" t="s">
        <v>22</v>
      </c>
      <c r="B572" s="1" t="s">
        <v>60</v>
      </c>
      <c r="C572" s="1" t="s">
        <v>366</v>
      </c>
      <c r="D572" s="1">
        <v>2.0</v>
      </c>
      <c r="E572" s="1">
        <v>60.0</v>
      </c>
      <c r="F572" s="1">
        <v>4.0</v>
      </c>
      <c r="G572" s="1">
        <v>5.0</v>
      </c>
      <c r="H572" s="1" t="s">
        <v>36</v>
      </c>
      <c r="I572" s="1" t="s">
        <v>37</v>
      </c>
      <c r="J572" s="1" t="s">
        <v>18</v>
      </c>
      <c r="K572" s="1">
        <v>40000.0</v>
      </c>
      <c r="L572" s="1">
        <v>57.03086935</v>
      </c>
      <c r="M572" s="1">
        <v>24.053887004109</v>
      </c>
    </row>
    <row r="573">
      <c r="A573" s="1" t="s">
        <v>22</v>
      </c>
      <c r="B573" s="1" t="s">
        <v>14</v>
      </c>
      <c r="C573" s="1" t="s">
        <v>533</v>
      </c>
      <c r="D573" s="1">
        <v>2.0</v>
      </c>
      <c r="E573" s="1">
        <v>45.0</v>
      </c>
      <c r="F573" s="1">
        <v>5.0</v>
      </c>
      <c r="G573" s="1">
        <v>5.0</v>
      </c>
      <c r="H573" s="1" t="s">
        <v>16</v>
      </c>
      <c r="I573" s="1" t="s">
        <v>21</v>
      </c>
      <c r="J573" s="1" t="s">
        <v>18</v>
      </c>
      <c r="K573" s="1">
        <v>43500.0</v>
      </c>
      <c r="L573" s="1">
        <v>56.9609027</v>
      </c>
      <c r="M573" s="1">
        <v>24.19103095</v>
      </c>
    </row>
    <row r="574">
      <c r="A574" s="1" t="s">
        <v>22</v>
      </c>
      <c r="B574" s="1" t="s">
        <v>23</v>
      </c>
      <c r="C574" s="1" t="s">
        <v>262</v>
      </c>
      <c r="D574" s="1">
        <v>2.0</v>
      </c>
      <c r="E574" s="1">
        <v>58.3</v>
      </c>
      <c r="F574" s="1">
        <v>6.0</v>
      </c>
      <c r="G574" s="1">
        <v>6.0</v>
      </c>
      <c r="H574" s="1" t="s">
        <v>66</v>
      </c>
      <c r="I574" s="1" t="s">
        <v>33</v>
      </c>
      <c r="J574" s="1" t="s">
        <v>18</v>
      </c>
      <c r="K574" s="1">
        <v>169070.0</v>
      </c>
      <c r="L574" s="1">
        <v>56.9548306</v>
      </c>
      <c r="M574" s="1">
        <v>24.1221141</v>
      </c>
    </row>
    <row r="575">
      <c r="A575" s="1" t="s">
        <v>13</v>
      </c>
      <c r="B575" s="1" t="s">
        <v>23</v>
      </c>
      <c r="C575" s="1" t="s">
        <v>249</v>
      </c>
      <c r="D575" s="1">
        <v>3.0</v>
      </c>
      <c r="E575" s="1">
        <v>79.0</v>
      </c>
      <c r="F575" s="1">
        <v>7.0</v>
      </c>
      <c r="G575" s="1">
        <v>9.0</v>
      </c>
      <c r="H575" s="1" t="s">
        <v>32</v>
      </c>
      <c r="I575" s="1" t="s">
        <v>33</v>
      </c>
      <c r="J575" s="1" t="s">
        <v>18</v>
      </c>
      <c r="K575" s="1">
        <v>850.0</v>
      </c>
      <c r="L575" s="1">
        <v>56.9726557</v>
      </c>
      <c r="M575" s="1">
        <v>24.1493117212851</v>
      </c>
    </row>
    <row r="576">
      <c r="A576" s="1" t="s">
        <v>13</v>
      </c>
      <c r="B576" s="1" t="s">
        <v>48</v>
      </c>
      <c r="C576" s="1" t="s">
        <v>534</v>
      </c>
      <c r="D576" s="1">
        <v>3.0</v>
      </c>
      <c r="E576" s="1">
        <v>70.0</v>
      </c>
      <c r="F576" s="1">
        <v>1.0</v>
      </c>
      <c r="G576" s="1">
        <v>5.0</v>
      </c>
      <c r="H576" s="1" t="s">
        <v>32</v>
      </c>
      <c r="I576" s="1" t="s">
        <v>33</v>
      </c>
      <c r="J576" s="1" t="s">
        <v>18</v>
      </c>
      <c r="K576" s="1">
        <v>470.0</v>
      </c>
      <c r="L576" s="1">
        <v>56.9541725</v>
      </c>
      <c r="M576" s="1">
        <v>24.2443253</v>
      </c>
    </row>
    <row r="577">
      <c r="A577" s="1" t="s">
        <v>13</v>
      </c>
      <c r="B577" s="1" t="s">
        <v>48</v>
      </c>
      <c r="C577" s="1" t="s">
        <v>535</v>
      </c>
      <c r="D577" s="1">
        <v>1.0</v>
      </c>
      <c r="E577" s="1">
        <v>39.0</v>
      </c>
      <c r="F577" s="1">
        <v>1.0</v>
      </c>
      <c r="G577" s="1">
        <v>5.0</v>
      </c>
      <c r="H577" s="1" t="s">
        <v>32</v>
      </c>
      <c r="I577" s="1" t="s">
        <v>33</v>
      </c>
      <c r="J577" s="1" t="s">
        <v>18</v>
      </c>
      <c r="K577" s="1">
        <v>310.0</v>
      </c>
      <c r="L577" s="1" t="s">
        <v>40</v>
      </c>
      <c r="M577" s="1" t="s">
        <v>40</v>
      </c>
    </row>
    <row r="578">
      <c r="A578" s="1" t="s">
        <v>13</v>
      </c>
      <c r="B578" s="1" t="s">
        <v>52</v>
      </c>
      <c r="C578" s="1" t="s">
        <v>536</v>
      </c>
      <c r="D578" s="1">
        <v>1.0</v>
      </c>
      <c r="E578" s="1">
        <v>45.0</v>
      </c>
      <c r="F578" s="1">
        <v>9.0</v>
      </c>
      <c r="G578" s="1">
        <v>8.0</v>
      </c>
      <c r="H578" s="1">
        <v>119.0</v>
      </c>
      <c r="I578" s="1" t="s">
        <v>21</v>
      </c>
      <c r="J578" s="1" t="s">
        <v>18</v>
      </c>
      <c r="K578" s="1">
        <v>260.0</v>
      </c>
      <c r="L578" s="1">
        <v>56.948018</v>
      </c>
      <c r="M578" s="1">
        <v>23.9994782564605</v>
      </c>
    </row>
    <row r="579">
      <c r="A579" s="1" t="s">
        <v>13</v>
      </c>
      <c r="B579" s="1" t="s">
        <v>23</v>
      </c>
      <c r="C579" s="1" t="s">
        <v>537</v>
      </c>
      <c r="D579" s="1">
        <v>2.0</v>
      </c>
      <c r="E579" s="1">
        <v>67.0</v>
      </c>
      <c r="F579" s="1">
        <v>2.0</v>
      </c>
      <c r="G579" s="1">
        <v>6.0</v>
      </c>
      <c r="H579" s="1" t="s">
        <v>32</v>
      </c>
      <c r="I579" s="1" t="s">
        <v>122</v>
      </c>
      <c r="J579" s="1" t="s">
        <v>18</v>
      </c>
      <c r="K579" s="1">
        <v>60.0</v>
      </c>
      <c r="L579" s="1">
        <v>56.9579333</v>
      </c>
      <c r="M579" s="1">
        <v>24.113967</v>
      </c>
    </row>
    <row r="580">
      <c r="A580" s="1" t="s">
        <v>22</v>
      </c>
      <c r="B580" s="1" t="s">
        <v>38</v>
      </c>
      <c r="C580" s="1" t="s">
        <v>538</v>
      </c>
      <c r="D580" s="1">
        <v>3.0</v>
      </c>
      <c r="E580" s="1">
        <v>55.0</v>
      </c>
      <c r="F580" s="1">
        <v>5.0</v>
      </c>
      <c r="G580" s="1">
        <v>5.0</v>
      </c>
      <c r="H580" s="1" t="s">
        <v>16</v>
      </c>
      <c r="I580" s="1" t="s">
        <v>21</v>
      </c>
      <c r="J580" s="1" t="s">
        <v>18</v>
      </c>
      <c r="K580" s="1">
        <v>53500.0</v>
      </c>
      <c r="L580" s="1">
        <v>56.9552879</v>
      </c>
      <c r="M580" s="1">
        <v>24.0052372230516</v>
      </c>
    </row>
    <row r="581">
      <c r="A581" s="1" t="s">
        <v>13</v>
      </c>
      <c r="B581" s="1" t="s">
        <v>23</v>
      </c>
      <c r="C581" s="1" t="s">
        <v>539</v>
      </c>
      <c r="D581" s="1">
        <v>3.0</v>
      </c>
      <c r="E581" s="1">
        <v>75.0</v>
      </c>
      <c r="F581" s="1">
        <v>6.0</v>
      </c>
      <c r="G581" s="1">
        <v>6.0</v>
      </c>
      <c r="H581" s="1" t="s">
        <v>66</v>
      </c>
      <c r="I581" s="1" t="s">
        <v>33</v>
      </c>
      <c r="J581" s="1" t="s">
        <v>18</v>
      </c>
      <c r="K581" s="1">
        <v>700.0</v>
      </c>
      <c r="L581" s="1">
        <v>56.9626863</v>
      </c>
      <c r="M581" s="1">
        <v>24.1480584</v>
      </c>
    </row>
    <row r="582">
      <c r="A582" s="1" t="s">
        <v>89</v>
      </c>
      <c r="B582" s="1" t="s">
        <v>14</v>
      </c>
      <c r="C582" s="2"/>
      <c r="D582" s="1" t="s">
        <v>90</v>
      </c>
      <c r="E582" s="2"/>
      <c r="F582" s="2"/>
      <c r="G582" s="2"/>
      <c r="H582" s="2"/>
      <c r="I582" s="2"/>
      <c r="J582" s="2"/>
      <c r="K582" s="2"/>
      <c r="L582" s="1">
        <v>46.3144754</v>
      </c>
      <c r="M582" s="1">
        <v>11.0480288</v>
      </c>
    </row>
    <row r="583">
      <c r="A583" s="1" t="s">
        <v>89</v>
      </c>
      <c r="B583" s="1" t="s">
        <v>104</v>
      </c>
      <c r="C583" s="2"/>
      <c r="D583" s="1" t="s">
        <v>90</v>
      </c>
      <c r="E583" s="2"/>
      <c r="F583" s="2"/>
      <c r="G583" s="2"/>
      <c r="H583" s="2"/>
      <c r="I583" s="2"/>
      <c r="J583" s="2"/>
      <c r="K583" s="2"/>
      <c r="L583" s="1">
        <v>46.3144754</v>
      </c>
      <c r="M583" s="1">
        <v>11.0480288</v>
      </c>
    </row>
    <row r="584">
      <c r="A584" s="1" t="s">
        <v>22</v>
      </c>
      <c r="B584" s="1" t="s">
        <v>134</v>
      </c>
      <c r="C584" s="1" t="s">
        <v>540</v>
      </c>
      <c r="D584" s="1">
        <v>3.0</v>
      </c>
      <c r="E584" s="1">
        <v>71.7</v>
      </c>
      <c r="F584" s="1">
        <v>2.0</v>
      </c>
      <c r="G584" s="1">
        <v>5.0</v>
      </c>
      <c r="H584" s="1">
        <v>103.0</v>
      </c>
      <c r="I584" s="1" t="s">
        <v>37</v>
      </c>
      <c r="J584" s="1" t="s">
        <v>18</v>
      </c>
      <c r="K584" s="1">
        <v>48000.0</v>
      </c>
      <c r="L584" s="1">
        <v>57.03601395</v>
      </c>
      <c r="M584" s="1">
        <v>24.0249072640026</v>
      </c>
    </row>
    <row r="585">
      <c r="A585" s="1" t="s">
        <v>89</v>
      </c>
      <c r="B585" s="1" t="s">
        <v>30</v>
      </c>
      <c r="C585" s="2"/>
      <c r="D585" s="2"/>
      <c r="E585" s="2"/>
      <c r="F585" s="2"/>
      <c r="G585" s="2"/>
      <c r="H585" s="2"/>
      <c r="I585" s="2"/>
      <c r="J585" s="2"/>
      <c r="K585" s="2"/>
      <c r="L585" s="1">
        <v>46.3144754</v>
      </c>
      <c r="M585" s="1">
        <v>11.0480288</v>
      </c>
    </row>
    <row r="586">
      <c r="A586" s="1" t="s">
        <v>89</v>
      </c>
      <c r="B586" s="1" t="s">
        <v>48</v>
      </c>
      <c r="C586" s="2"/>
      <c r="D586" s="2"/>
      <c r="E586" s="2"/>
      <c r="F586" s="2"/>
      <c r="G586" s="2"/>
      <c r="H586" s="2"/>
      <c r="I586" s="2"/>
      <c r="J586" s="2"/>
      <c r="K586" s="2"/>
      <c r="L586" s="1">
        <v>46.3144754</v>
      </c>
      <c r="M586" s="1">
        <v>11.0480288</v>
      </c>
    </row>
    <row r="587">
      <c r="A587" s="1" t="s">
        <v>13</v>
      </c>
      <c r="B587" s="1" t="s">
        <v>218</v>
      </c>
      <c r="C587" s="1" t="s">
        <v>353</v>
      </c>
      <c r="D587" s="1">
        <v>3.0</v>
      </c>
      <c r="E587" s="1">
        <v>78.0</v>
      </c>
      <c r="F587" s="1">
        <v>5.0</v>
      </c>
      <c r="G587" s="1">
        <v>5.0</v>
      </c>
      <c r="H587" s="1" t="s">
        <v>66</v>
      </c>
      <c r="I587" s="1" t="s">
        <v>37</v>
      </c>
      <c r="J587" s="1" t="s">
        <v>18</v>
      </c>
      <c r="K587" s="1">
        <v>700.0</v>
      </c>
      <c r="L587" s="1">
        <v>56.9462191</v>
      </c>
      <c r="M587" s="1">
        <v>24.1099153</v>
      </c>
    </row>
    <row r="588">
      <c r="A588" s="1" t="s">
        <v>22</v>
      </c>
      <c r="B588" s="1" t="s">
        <v>23</v>
      </c>
      <c r="C588" s="1" t="s">
        <v>541</v>
      </c>
      <c r="D588" s="1">
        <v>5.0</v>
      </c>
      <c r="E588" s="1">
        <v>167.0</v>
      </c>
      <c r="F588" s="1">
        <v>21.0</v>
      </c>
      <c r="G588" s="1">
        <v>24.0</v>
      </c>
      <c r="H588" s="1" t="s">
        <v>32</v>
      </c>
      <c r="I588" s="1" t="s">
        <v>122</v>
      </c>
      <c r="J588" s="1" t="s">
        <v>18</v>
      </c>
      <c r="K588" s="1">
        <v>299000.0</v>
      </c>
      <c r="L588" s="1">
        <v>56.9722229</v>
      </c>
      <c r="M588" s="1">
        <v>24.1239787042266</v>
      </c>
    </row>
    <row r="589">
      <c r="A589" s="1" t="s">
        <v>22</v>
      </c>
      <c r="B589" s="1" t="s">
        <v>23</v>
      </c>
      <c r="C589" s="1" t="s">
        <v>542</v>
      </c>
      <c r="D589" s="1">
        <v>2.0</v>
      </c>
      <c r="E589" s="1">
        <v>68.0</v>
      </c>
      <c r="F589" s="1">
        <v>3.0</v>
      </c>
      <c r="G589" s="1">
        <v>3.0</v>
      </c>
      <c r="H589" s="1" t="s">
        <v>25</v>
      </c>
      <c r="I589" s="1" t="s">
        <v>33</v>
      </c>
      <c r="J589" s="1" t="s">
        <v>18</v>
      </c>
      <c r="K589" s="1">
        <v>64500.0</v>
      </c>
      <c r="L589" s="1">
        <v>56.9397075499999</v>
      </c>
      <c r="M589" s="1">
        <v>24.1324545438518</v>
      </c>
    </row>
    <row r="590">
      <c r="A590" s="1" t="s">
        <v>13</v>
      </c>
      <c r="B590" s="1" t="s">
        <v>30</v>
      </c>
      <c r="C590" s="1" t="s">
        <v>543</v>
      </c>
      <c r="D590" s="1">
        <v>3.0</v>
      </c>
      <c r="E590" s="1">
        <v>58.0</v>
      </c>
      <c r="F590" s="1">
        <v>2.0</v>
      </c>
      <c r="G590" s="1">
        <v>2.0</v>
      </c>
      <c r="H590" s="1" t="s">
        <v>32</v>
      </c>
      <c r="I590" s="1" t="s">
        <v>37</v>
      </c>
      <c r="J590" s="1" t="s">
        <v>18</v>
      </c>
      <c r="K590" s="1">
        <v>630.0</v>
      </c>
      <c r="L590" s="1">
        <v>56.97216595</v>
      </c>
      <c r="M590" s="1">
        <v>24.18026665</v>
      </c>
    </row>
    <row r="591">
      <c r="A591" s="1" t="s">
        <v>13</v>
      </c>
      <c r="B591" s="1" t="s">
        <v>52</v>
      </c>
      <c r="C591" s="1" t="s">
        <v>544</v>
      </c>
      <c r="D591" s="1">
        <v>1.0</v>
      </c>
      <c r="E591" s="1">
        <v>55.0</v>
      </c>
      <c r="F591" s="1">
        <v>1.0</v>
      </c>
      <c r="G591" s="1">
        <v>4.0</v>
      </c>
      <c r="H591" s="1" t="s">
        <v>32</v>
      </c>
      <c r="I591" s="1" t="s">
        <v>17</v>
      </c>
      <c r="J591" s="1" t="s">
        <v>18</v>
      </c>
      <c r="K591" s="1">
        <v>350.0</v>
      </c>
      <c r="L591" s="1">
        <v>56.9408962</v>
      </c>
      <c r="M591" s="1">
        <v>24.0041068352535</v>
      </c>
    </row>
    <row r="592">
      <c r="A592" s="1" t="s">
        <v>22</v>
      </c>
      <c r="B592" s="1" t="s">
        <v>19</v>
      </c>
      <c r="C592" s="1" t="s">
        <v>545</v>
      </c>
      <c r="D592" s="1">
        <v>3.0</v>
      </c>
      <c r="E592" s="1">
        <v>64.0</v>
      </c>
      <c r="F592" s="1">
        <v>8.0</v>
      </c>
      <c r="G592" s="1">
        <v>9.0</v>
      </c>
      <c r="H592" s="1">
        <v>602.0</v>
      </c>
      <c r="I592" s="1" t="s">
        <v>21</v>
      </c>
      <c r="J592" s="1" t="s">
        <v>18</v>
      </c>
      <c r="K592" s="1">
        <v>72300.0</v>
      </c>
      <c r="L592" s="1">
        <v>56.9150015</v>
      </c>
      <c r="M592" s="1">
        <v>24.0967059</v>
      </c>
    </row>
    <row r="593">
      <c r="A593" s="1" t="s">
        <v>13</v>
      </c>
      <c r="B593" s="1" t="s">
        <v>23</v>
      </c>
      <c r="C593" s="1" t="s">
        <v>546</v>
      </c>
      <c r="D593" s="1">
        <v>2.0</v>
      </c>
      <c r="E593" s="1">
        <v>60.0</v>
      </c>
      <c r="F593" s="1">
        <v>4.0</v>
      </c>
      <c r="G593" s="1">
        <v>4.0</v>
      </c>
      <c r="H593" s="1" t="s">
        <v>25</v>
      </c>
      <c r="I593" s="1" t="s">
        <v>33</v>
      </c>
      <c r="J593" s="1" t="s">
        <v>18</v>
      </c>
      <c r="K593" s="1">
        <v>390.0</v>
      </c>
      <c r="L593" s="1">
        <v>56.9444276</v>
      </c>
      <c r="M593" s="1">
        <v>24.1218628399213</v>
      </c>
    </row>
    <row r="594">
      <c r="A594" s="1" t="s">
        <v>89</v>
      </c>
      <c r="B594" s="1" t="s">
        <v>52</v>
      </c>
      <c r="C594" s="2"/>
      <c r="D594" s="2"/>
      <c r="E594" s="2"/>
      <c r="F594" s="2"/>
      <c r="G594" s="2"/>
      <c r="H594" s="2"/>
      <c r="I594" s="2"/>
      <c r="J594" s="2"/>
      <c r="K594" s="2"/>
      <c r="L594" s="1">
        <v>46.3144754</v>
      </c>
      <c r="M594" s="1">
        <v>11.0480288</v>
      </c>
    </row>
    <row r="595">
      <c r="A595" s="1" t="s">
        <v>89</v>
      </c>
      <c r="B595" s="1" t="s">
        <v>30</v>
      </c>
      <c r="C595" s="2"/>
      <c r="D595" s="2"/>
      <c r="E595" s="2"/>
      <c r="F595" s="2"/>
      <c r="G595" s="2"/>
      <c r="H595" s="2"/>
      <c r="I595" s="2"/>
      <c r="J595" s="2"/>
      <c r="K595" s="2"/>
      <c r="L595" s="1">
        <v>46.3144754</v>
      </c>
      <c r="M595" s="1">
        <v>11.0480288</v>
      </c>
    </row>
    <row r="596">
      <c r="A596" s="1" t="s">
        <v>89</v>
      </c>
      <c r="B596" s="1" t="s">
        <v>14</v>
      </c>
      <c r="C596" s="2"/>
      <c r="D596" s="2"/>
      <c r="E596" s="2"/>
      <c r="F596" s="2"/>
      <c r="G596" s="2"/>
      <c r="H596" s="2"/>
      <c r="I596" s="2"/>
      <c r="J596" s="2"/>
      <c r="K596" s="2"/>
      <c r="L596" s="1">
        <v>46.3144754</v>
      </c>
      <c r="M596" s="1">
        <v>11.0480288</v>
      </c>
    </row>
    <row r="597">
      <c r="A597" s="1" t="s">
        <v>89</v>
      </c>
      <c r="B597" s="1" t="s">
        <v>48</v>
      </c>
      <c r="C597" s="2"/>
      <c r="D597" s="2"/>
      <c r="E597" s="2"/>
      <c r="F597" s="2"/>
      <c r="G597" s="2"/>
      <c r="H597" s="2"/>
      <c r="I597" s="2"/>
      <c r="J597" s="2"/>
      <c r="K597" s="2"/>
      <c r="L597" s="1">
        <v>46.3144754</v>
      </c>
      <c r="M597" s="1">
        <v>11.0480288</v>
      </c>
    </row>
    <row r="598">
      <c r="A598" s="1" t="s">
        <v>89</v>
      </c>
      <c r="B598" s="1" t="s">
        <v>151</v>
      </c>
      <c r="C598" s="2"/>
      <c r="D598" s="2"/>
      <c r="E598" s="2"/>
      <c r="F598" s="2"/>
      <c r="G598" s="2"/>
      <c r="H598" s="2"/>
      <c r="I598" s="2"/>
      <c r="J598" s="2"/>
      <c r="K598" s="2"/>
      <c r="L598" s="1">
        <v>46.3144754</v>
      </c>
      <c r="M598" s="1">
        <v>11.0480288</v>
      </c>
    </row>
    <row r="599">
      <c r="A599" s="1" t="s">
        <v>89</v>
      </c>
      <c r="B599" s="1" t="s">
        <v>104</v>
      </c>
      <c r="C599" s="2"/>
      <c r="D599" s="2"/>
      <c r="E599" s="2"/>
      <c r="F599" s="2"/>
      <c r="G599" s="2"/>
      <c r="H599" s="2"/>
      <c r="I599" s="2"/>
      <c r="J599" s="2"/>
      <c r="K599" s="2"/>
      <c r="L599" s="1">
        <v>46.3144754</v>
      </c>
      <c r="M599" s="1">
        <v>11.0480288</v>
      </c>
    </row>
    <row r="600">
      <c r="A600" s="1" t="s">
        <v>13</v>
      </c>
      <c r="B600" s="1" t="s">
        <v>23</v>
      </c>
      <c r="C600" s="1" t="s">
        <v>547</v>
      </c>
      <c r="D600" s="1">
        <v>3.0</v>
      </c>
      <c r="E600" s="1">
        <v>100.0</v>
      </c>
      <c r="F600" s="1">
        <v>2.0</v>
      </c>
      <c r="G600" s="1">
        <v>6.0</v>
      </c>
      <c r="H600" s="1" t="s">
        <v>66</v>
      </c>
      <c r="I600" s="1" t="s">
        <v>17</v>
      </c>
      <c r="J600" s="1" t="s">
        <v>18</v>
      </c>
      <c r="K600" s="1">
        <v>1000.0</v>
      </c>
      <c r="L600" s="1" t="s">
        <v>40</v>
      </c>
      <c r="M600" s="1" t="s">
        <v>40</v>
      </c>
    </row>
    <row r="601">
      <c r="A601" s="1" t="s">
        <v>22</v>
      </c>
      <c r="B601" s="1" t="s">
        <v>174</v>
      </c>
      <c r="C601" s="1" t="s">
        <v>548</v>
      </c>
      <c r="D601" s="1">
        <v>1.0</v>
      </c>
      <c r="E601" s="1">
        <v>42.0</v>
      </c>
      <c r="F601" s="1">
        <v>2.0</v>
      </c>
      <c r="G601" s="1">
        <v>5.0</v>
      </c>
      <c r="H601" s="1" t="s">
        <v>57</v>
      </c>
      <c r="I601" s="1" t="s">
        <v>21</v>
      </c>
      <c r="J601" s="1" t="s">
        <v>18</v>
      </c>
      <c r="K601" s="1">
        <v>33000.0</v>
      </c>
      <c r="L601" s="1">
        <v>56.944418</v>
      </c>
      <c r="M601" s="1">
        <v>24.1719745</v>
      </c>
    </row>
    <row r="602">
      <c r="A602" s="1" t="s">
        <v>13</v>
      </c>
      <c r="B602" s="1" t="s">
        <v>134</v>
      </c>
      <c r="C602" s="1" t="s">
        <v>549</v>
      </c>
      <c r="D602" s="1">
        <v>1.0</v>
      </c>
      <c r="E602" s="1">
        <v>25.0</v>
      </c>
      <c r="F602" s="1">
        <v>2.0</v>
      </c>
      <c r="G602" s="1">
        <v>2.0</v>
      </c>
      <c r="H602" s="1" t="s">
        <v>66</v>
      </c>
      <c r="I602" s="1" t="s">
        <v>37</v>
      </c>
      <c r="J602" s="1" t="s">
        <v>18</v>
      </c>
      <c r="K602" s="1">
        <v>180.0</v>
      </c>
      <c r="L602" s="1">
        <v>57.0426738</v>
      </c>
      <c r="M602" s="1">
        <v>24.0360848</v>
      </c>
    </row>
    <row r="603">
      <c r="A603" s="1" t="s">
        <v>22</v>
      </c>
      <c r="B603" s="1" t="s">
        <v>96</v>
      </c>
      <c r="C603" s="1" t="s">
        <v>550</v>
      </c>
      <c r="D603" s="1">
        <v>3.0</v>
      </c>
      <c r="E603" s="1">
        <v>67.0</v>
      </c>
      <c r="F603" s="1">
        <v>1.0</v>
      </c>
      <c r="G603" s="1">
        <v>5.0</v>
      </c>
      <c r="H603" s="1" t="s">
        <v>16</v>
      </c>
      <c r="I603" s="1" t="s">
        <v>21</v>
      </c>
      <c r="J603" s="1" t="s">
        <v>18</v>
      </c>
      <c r="K603" s="1">
        <v>58300.0</v>
      </c>
      <c r="L603" s="1">
        <v>57.03222745</v>
      </c>
      <c r="M603" s="1">
        <v>24.1013700915502</v>
      </c>
    </row>
    <row r="604">
      <c r="A604" s="1" t="s">
        <v>13</v>
      </c>
      <c r="B604" s="1" t="s">
        <v>42</v>
      </c>
      <c r="C604" s="1" t="s">
        <v>551</v>
      </c>
      <c r="D604" s="1">
        <v>2.0</v>
      </c>
      <c r="E604" s="1">
        <v>45.0</v>
      </c>
      <c r="F604" s="1">
        <v>3.0</v>
      </c>
      <c r="G604" s="1">
        <v>5.0</v>
      </c>
      <c r="H604" s="1" t="s">
        <v>44</v>
      </c>
      <c r="I604" s="1" t="s">
        <v>21</v>
      </c>
      <c r="J604" s="1" t="s">
        <v>18</v>
      </c>
      <c r="K604" s="1">
        <v>300.0</v>
      </c>
      <c r="L604" s="1">
        <v>56.9759193</v>
      </c>
      <c r="M604" s="1">
        <v>24.2453697464297</v>
      </c>
    </row>
    <row r="605">
      <c r="A605" s="1" t="s">
        <v>13</v>
      </c>
      <c r="B605" s="1" t="s">
        <v>23</v>
      </c>
      <c r="C605" s="1" t="s">
        <v>552</v>
      </c>
      <c r="D605" s="1">
        <v>2.0</v>
      </c>
      <c r="E605" s="1">
        <v>67.0</v>
      </c>
      <c r="F605" s="1">
        <v>3.0</v>
      </c>
      <c r="G605" s="1">
        <v>5.0</v>
      </c>
      <c r="H605" s="1" t="s">
        <v>32</v>
      </c>
      <c r="I605" s="1" t="s">
        <v>122</v>
      </c>
      <c r="J605" s="1" t="s">
        <v>18</v>
      </c>
      <c r="K605" s="1">
        <v>35.0</v>
      </c>
      <c r="L605" s="1">
        <v>56.9408555</v>
      </c>
      <c r="M605" s="1">
        <v>24.1364923</v>
      </c>
    </row>
    <row r="606">
      <c r="A606" s="1" t="s">
        <v>22</v>
      </c>
      <c r="B606" s="1" t="s">
        <v>28</v>
      </c>
      <c r="C606" s="1" t="s">
        <v>553</v>
      </c>
      <c r="D606" s="1">
        <v>2.0</v>
      </c>
      <c r="E606" s="1">
        <v>45.0</v>
      </c>
      <c r="F606" s="1">
        <v>4.0</v>
      </c>
      <c r="G606" s="1">
        <v>5.0</v>
      </c>
      <c r="H606" s="1" t="s">
        <v>16</v>
      </c>
      <c r="I606" s="1" t="s">
        <v>21</v>
      </c>
      <c r="J606" s="1" t="s">
        <v>18</v>
      </c>
      <c r="K606" s="1">
        <v>49000.0</v>
      </c>
      <c r="L606" s="1">
        <v>56.9267343</v>
      </c>
      <c r="M606" s="1">
        <v>24.1753303</v>
      </c>
    </row>
    <row r="607">
      <c r="A607" s="1" t="s">
        <v>22</v>
      </c>
      <c r="B607" s="1" t="s">
        <v>23</v>
      </c>
      <c r="C607" s="1" t="s">
        <v>554</v>
      </c>
      <c r="D607" s="1" t="s">
        <v>90</v>
      </c>
      <c r="E607" s="1">
        <v>190.0</v>
      </c>
      <c r="F607" s="1">
        <v>4.0</v>
      </c>
      <c r="G607" s="1">
        <v>5.0</v>
      </c>
      <c r="H607" s="1" t="s">
        <v>25</v>
      </c>
      <c r="I607" s="1" t="s">
        <v>37</v>
      </c>
      <c r="J607" s="1" t="s">
        <v>18</v>
      </c>
      <c r="K607" s="1">
        <v>350000.0</v>
      </c>
      <c r="L607" s="1">
        <v>56.95172905</v>
      </c>
      <c r="M607" s="1">
        <v>24.1258148944244</v>
      </c>
    </row>
    <row r="608">
      <c r="A608" s="1" t="s">
        <v>13</v>
      </c>
      <c r="B608" s="1" t="s">
        <v>23</v>
      </c>
      <c r="C608" s="1" t="s">
        <v>244</v>
      </c>
      <c r="D608" s="1">
        <v>2.0</v>
      </c>
      <c r="E608" s="1">
        <v>81.0</v>
      </c>
      <c r="F608" s="1">
        <v>2.0</v>
      </c>
      <c r="G608" s="1">
        <v>9.0</v>
      </c>
      <c r="H608" s="1" t="s">
        <v>32</v>
      </c>
      <c r="I608" s="1" t="s">
        <v>17</v>
      </c>
      <c r="J608" s="1" t="s">
        <v>18</v>
      </c>
      <c r="K608" s="1">
        <v>650.0</v>
      </c>
      <c r="L608" s="1">
        <v>56.9665863</v>
      </c>
      <c r="M608" s="1">
        <v>24.1282258</v>
      </c>
    </row>
    <row r="609">
      <c r="A609" s="1" t="s">
        <v>13</v>
      </c>
      <c r="B609" s="1" t="s">
        <v>38</v>
      </c>
      <c r="C609" s="1" t="s">
        <v>555</v>
      </c>
      <c r="D609" s="1">
        <v>1.0</v>
      </c>
      <c r="E609" s="1">
        <v>37.0</v>
      </c>
      <c r="F609" s="1">
        <v>9.0</v>
      </c>
      <c r="G609" s="1">
        <v>9.0</v>
      </c>
      <c r="H609" s="1">
        <v>602.0</v>
      </c>
      <c r="I609" s="1" t="s">
        <v>21</v>
      </c>
      <c r="J609" s="1" t="s">
        <v>18</v>
      </c>
      <c r="K609" s="1">
        <v>250.0</v>
      </c>
      <c r="L609" s="1" t="s">
        <v>40</v>
      </c>
      <c r="M609" s="1" t="s">
        <v>40</v>
      </c>
    </row>
    <row r="610">
      <c r="A610" s="1" t="s">
        <v>13</v>
      </c>
      <c r="B610" s="1" t="s">
        <v>23</v>
      </c>
      <c r="C610" s="1" t="s">
        <v>280</v>
      </c>
      <c r="D610" s="1">
        <v>1.0</v>
      </c>
      <c r="E610" s="1">
        <v>20.0</v>
      </c>
      <c r="F610" s="1">
        <v>2.0</v>
      </c>
      <c r="G610" s="1">
        <v>6.0</v>
      </c>
      <c r="H610" s="1" t="s">
        <v>32</v>
      </c>
      <c r="I610" s="1" t="s">
        <v>17</v>
      </c>
      <c r="J610" s="1" t="s">
        <v>18</v>
      </c>
      <c r="K610" s="1">
        <v>370.0</v>
      </c>
      <c r="L610" s="1">
        <v>56.95161295</v>
      </c>
      <c r="M610" s="1">
        <v>24.1224571478615</v>
      </c>
    </row>
    <row r="611">
      <c r="A611" s="1" t="s">
        <v>13</v>
      </c>
      <c r="B611" s="1" t="s">
        <v>74</v>
      </c>
      <c r="C611" s="1" t="s">
        <v>556</v>
      </c>
      <c r="D611" s="1">
        <v>2.0</v>
      </c>
      <c r="E611" s="1">
        <v>61.0</v>
      </c>
      <c r="F611" s="1">
        <v>6.0</v>
      </c>
      <c r="G611" s="1">
        <v>8.0</v>
      </c>
      <c r="H611" s="1" t="s">
        <v>32</v>
      </c>
      <c r="I611" s="1" t="s">
        <v>37</v>
      </c>
      <c r="J611" s="1" t="s">
        <v>18</v>
      </c>
      <c r="K611" s="1">
        <v>390.0</v>
      </c>
      <c r="L611" s="1">
        <v>56.94122905</v>
      </c>
      <c r="M611" s="1">
        <v>24.2174231674689</v>
      </c>
    </row>
    <row r="612">
      <c r="A612" s="1" t="s">
        <v>13</v>
      </c>
      <c r="B612" s="1" t="s">
        <v>23</v>
      </c>
      <c r="C612" s="1" t="s">
        <v>451</v>
      </c>
      <c r="D612" s="1">
        <v>1.0</v>
      </c>
      <c r="E612" s="1">
        <v>40.0</v>
      </c>
      <c r="F612" s="1">
        <v>4.0</v>
      </c>
      <c r="G612" s="1">
        <v>5.0</v>
      </c>
      <c r="H612" s="1" t="s">
        <v>25</v>
      </c>
      <c r="I612" s="1" t="s">
        <v>33</v>
      </c>
      <c r="J612" s="1" t="s">
        <v>18</v>
      </c>
      <c r="K612" s="1">
        <v>25.0</v>
      </c>
      <c r="L612" s="1">
        <v>56.9525712</v>
      </c>
      <c r="M612" s="1">
        <v>24.1236797</v>
      </c>
    </row>
    <row r="613">
      <c r="A613" s="1" t="s">
        <v>13</v>
      </c>
      <c r="B613" s="1" t="s">
        <v>23</v>
      </c>
      <c r="C613" s="1" t="s">
        <v>557</v>
      </c>
      <c r="D613" s="1">
        <v>2.0</v>
      </c>
      <c r="E613" s="1">
        <v>88.0</v>
      </c>
      <c r="F613" s="1">
        <v>5.0</v>
      </c>
      <c r="G613" s="1">
        <v>6.0</v>
      </c>
      <c r="H613" s="1" t="s">
        <v>66</v>
      </c>
      <c r="I613" s="1" t="s">
        <v>33</v>
      </c>
      <c r="J613" s="1" t="s">
        <v>18</v>
      </c>
      <c r="K613" s="1">
        <v>550.0</v>
      </c>
      <c r="L613" s="1">
        <v>56.9601368</v>
      </c>
      <c r="M613" s="1">
        <v>24.1142701</v>
      </c>
    </row>
    <row r="614">
      <c r="A614" s="1" t="s">
        <v>22</v>
      </c>
      <c r="B614" s="1" t="s">
        <v>19</v>
      </c>
      <c r="C614" s="1" t="s">
        <v>558</v>
      </c>
      <c r="D614" s="1">
        <v>3.0</v>
      </c>
      <c r="E614" s="1">
        <v>76.0</v>
      </c>
      <c r="F614" s="1">
        <v>5.0</v>
      </c>
      <c r="G614" s="1">
        <v>7.0</v>
      </c>
      <c r="H614" s="1" t="s">
        <v>36</v>
      </c>
      <c r="I614" s="1" t="s">
        <v>21</v>
      </c>
      <c r="J614" s="1" t="s">
        <v>18</v>
      </c>
      <c r="K614" s="1">
        <v>71915.0</v>
      </c>
      <c r="L614" s="1">
        <v>56.9019124</v>
      </c>
      <c r="M614" s="1">
        <v>24.1024598</v>
      </c>
    </row>
    <row r="615">
      <c r="A615" s="1" t="s">
        <v>13</v>
      </c>
      <c r="B615" s="1" t="s">
        <v>151</v>
      </c>
      <c r="C615" s="1" t="s">
        <v>559</v>
      </c>
      <c r="D615" s="1">
        <v>2.0</v>
      </c>
      <c r="E615" s="1">
        <v>50.0</v>
      </c>
      <c r="F615" s="1">
        <v>3.0</v>
      </c>
      <c r="G615" s="1">
        <v>5.0</v>
      </c>
      <c r="H615" s="1" t="s">
        <v>16</v>
      </c>
      <c r="I615" s="1" t="s">
        <v>21</v>
      </c>
      <c r="J615" s="1" t="s">
        <v>18</v>
      </c>
      <c r="K615" s="1">
        <v>300.0</v>
      </c>
      <c r="L615" s="1">
        <v>56.97140105</v>
      </c>
      <c r="M615" s="1">
        <v>24.0707010799226</v>
      </c>
    </row>
    <row r="616">
      <c r="A616" s="1" t="s">
        <v>13</v>
      </c>
      <c r="B616" s="1" t="s">
        <v>67</v>
      </c>
      <c r="C616" s="1" t="s">
        <v>560</v>
      </c>
      <c r="D616" s="1">
        <v>1.0</v>
      </c>
      <c r="E616" s="1">
        <v>30.0</v>
      </c>
      <c r="F616" s="1">
        <v>2.0</v>
      </c>
      <c r="G616" s="1">
        <v>5.0</v>
      </c>
      <c r="H616" s="1" t="s">
        <v>25</v>
      </c>
      <c r="I616" s="1" t="s">
        <v>37</v>
      </c>
      <c r="J616" s="1" t="s">
        <v>18</v>
      </c>
      <c r="K616" s="1">
        <v>220.0</v>
      </c>
      <c r="L616" s="1">
        <v>56.9598967</v>
      </c>
      <c r="M616" s="1">
        <v>24.1516983</v>
      </c>
    </row>
    <row r="617">
      <c r="A617" s="1" t="s">
        <v>22</v>
      </c>
      <c r="B617" s="1" t="s">
        <v>23</v>
      </c>
      <c r="C617" s="1" t="s">
        <v>343</v>
      </c>
      <c r="D617" s="1">
        <v>2.0</v>
      </c>
      <c r="E617" s="1">
        <v>33.0</v>
      </c>
      <c r="F617" s="1">
        <v>3.0</v>
      </c>
      <c r="G617" s="1">
        <v>6.0</v>
      </c>
      <c r="H617" s="1" t="s">
        <v>32</v>
      </c>
      <c r="I617" s="1" t="s">
        <v>33</v>
      </c>
      <c r="J617" s="1" t="s">
        <v>27</v>
      </c>
      <c r="K617" s="1">
        <v>80000.0</v>
      </c>
      <c r="L617" s="1">
        <v>56.9645861</v>
      </c>
      <c r="M617" s="1">
        <v>24.1286325</v>
      </c>
    </row>
    <row r="618">
      <c r="A618" s="1" t="s">
        <v>89</v>
      </c>
      <c r="B618" s="1" t="s">
        <v>14</v>
      </c>
      <c r="C618" s="2"/>
      <c r="D618" s="2"/>
      <c r="E618" s="2"/>
      <c r="F618" s="2"/>
      <c r="G618" s="2"/>
      <c r="H618" s="2"/>
      <c r="I618" s="2"/>
      <c r="J618" s="2"/>
      <c r="K618" s="2"/>
      <c r="L618" s="1">
        <v>46.3144754</v>
      </c>
      <c r="M618" s="1">
        <v>11.0480288</v>
      </c>
    </row>
    <row r="619">
      <c r="A619" s="1" t="s">
        <v>22</v>
      </c>
      <c r="B619" s="1" t="s">
        <v>42</v>
      </c>
      <c r="C619" s="1" t="s">
        <v>561</v>
      </c>
      <c r="D619" s="1">
        <v>4.0</v>
      </c>
      <c r="E619" s="1">
        <v>96.1</v>
      </c>
      <c r="F619" s="1">
        <v>1.0</v>
      </c>
      <c r="G619" s="1">
        <v>3.0</v>
      </c>
      <c r="H619" s="1" t="s">
        <v>66</v>
      </c>
      <c r="I619" s="1" t="s">
        <v>33</v>
      </c>
      <c r="J619" s="1" t="s">
        <v>18</v>
      </c>
      <c r="K619" s="1">
        <v>150000.0</v>
      </c>
      <c r="L619" s="1">
        <v>56.9876991</v>
      </c>
      <c r="M619" s="1">
        <v>24.2350567</v>
      </c>
    </row>
    <row r="620">
      <c r="A620" s="1" t="s">
        <v>22</v>
      </c>
      <c r="B620" s="1" t="s">
        <v>14</v>
      </c>
      <c r="C620" s="1" t="s">
        <v>562</v>
      </c>
      <c r="D620" s="1">
        <v>3.0</v>
      </c>
      <c r="E620" s="1">
        <v>62.0</v>
      </c>
      <c r="F620" s="1">
        <v>5.0</v>
      </c>
      <c r="G620" s="1">
        <v>5.0</v>
      </c>
      <c r="H620" s="1" t="s">
        <v>16</v>
      </c>
      <c r="I620" s="1" t="s">
        <v>21</v>
      </c>
      <c r="J620" s="1" t="s">
        <v>27</v>
      </c>
      <c r="K620" s="1">
        <v>68000.0</v>
      </c>
      <c r="L620" s="1">
        <v>56.9606510499999</v>
      </c>
      <c r="M620" s="1">
        <v>24.1833327739692</v>
      </c>
    </row>
    <row r="621">
      <c r="A621" s="1" t="s">
        <v>22</v>
      </c>
      <c r="B621" s="1" t="s">
        <v>30</v>
      </c>
      <c r="C621" s="1" t="s">
        <v>563</v>
      </c>
      <c r="D621" s="1">
        <v>2.0</v>
      </c>
      <c r="E621" s="1">
        <v>42.0</v>
      </c>
      <c r="F621" s="1">
        <v>5.0</v>
      </c>
      <c r="G621" s="1">
        <v>5.0</v>
      </c>
      <c r="H621" s="1" t="s">
        <v>44</v>
      </c>
      <c r="I621" s="1" t="s">
        <v>37</v>
      </c>
      <c r="J621" s="1" t="s">
        <v>18</v>
      </c>
      <c r="K621" s="1">
        <v>50000.0</v>
      </c>
      <c r="L621" s="1">
        <v>56.9761938</v>
      </c>
      <c r="M621" s="1">
        <v>24.1755336999999</v>
      </c>
    </row>
    <row r="622">
      <c r="A622" s="1" t="s">
        <v>13</v>
      </c>
      <c r="B622" s="1" t="s">
        <v>23</v>
      </c>
      <c r="C622" s="1" t="s">
        <v>564</v>
      </c>
      <c r="D622" s="1">
        <v>3.0</v>
      </c>
      <c r="E622" s="1">
        <v>75.5</v>
      </c>
      <c r="F622" s="1">
        <v>6.0</v>
      </c>
      <c r="G622" s="1">
        <v>6.0</v>
      </c>
      <c r="H622" s="1" t="s">
        <v>66</v>
      </c>
      <c r="I622" s="1" t="s">
        <v>33</v>
      </c>
      <c r="J622" s="1" t="s">
        <v>18</v>
      </c>
      <c r="K622" s="1">
        <v>550.0</v>
      </c>
      <c r="L622" s="1">
        <v>56.96431685</v>
      </c>
      <c r="M622" s="1">
        <v>24.1504795202315</v>
      </c>
    </row>
    <row r="623">
      <c r="A623" s="1" t="s">
        <v>89</v>
      </c>
      <c r="B623" s="1" t="s">
        <v>14</v>
      </c>
      <c r="C623" s="2"/>
      <c r="D623" s="2"/>
      <c r="E623" s="2"/>
      <c r="F623" s="1">
        <v>77.0</v>
      </c>
      <c r="G623" s="1">
        <v>7.0</v>
      </c>
      <c r="H623" s="2"/>
      <c r="I623" s="2"/>
      <c r="J623" s="2"/>
      <c r="K623" s="2"/>
      <c r="L623" s="1">
        <v>46.3144754</v>
      </c>
      <c r="M623" s="1">
        <v>11.0480288</v>
      </c>
    </row>
    <row r="624">
      <c r="A624" s="1" t="s">
        <v>22</v>
      </c>
      <c r="B624" s="1" t="s">
        <v>23</v>
      </c>
      <c r="C624" s="1" t="s">
        <v>565</v>
      </c>
      <c r="D624" s="1">
        <v>3.0</v>
      </c>
      <c r="E624" s="1">
        <v>83.0</v>
      </c>
      <c r="F624" s="1">
        <v>3.0</v>
      </c>
      <c r="G624" s="1">
        <v>6.0</v>
      </c>
      <c r="H624" s="1" t="s">
        <v>25</v>
      </c>
      <c r="I624" s="1" t="s">
        <v>33</v>
      </c>
      <c r="J624" s="1" t="s">
        <v>18</v>
      </c>
      <c r="K624" s="1">
        <v>112000.0</v>
      </c>
      <c r="L624" s="1">
        <v>56.9582325</v>
      </c>
      <c r="M624" s="1">
        <v>24.1215352</v>
      </c>
    </row>
    <row r="625">
      <c r="A625" s="1" t="s">
        <v>22</v>
      </c>
      <c r="B625" s="1" t="s">
        <v>23</v>
      </c>
      <c r="C625" s="1" t="s">
        <v>566</v>
      </c>
      <c r="D625" s="1">
        <v>2.0</v>
      </c>
      <c r="E625" s="1">
        <v>51.0</v>
      </c>
      <c r="F625" s="1">
        <v>3.0</v>
      </c>
      <c r="G625" s="1">
        <v>6.0</v>
      </c>
      <c r="H625" s="1" t="s">
        <v>32</v>
      </c>
      <c r="I625" s="1" t="s">
        <v>33</v>
      </c>
      <c r="J625" s="1" t="s">
        <v>18</v>
      </c>
      <c r="K625" s="1">
        <v>110000.0</v>
      </c>
      <c r="L625" s="1" t="s">
        <v>40</v>
      </c>
      <c r="M625" s="1" t="s">
        <v>40</v>
      </c>
    </row>
    <row r="626">
      <c r="A626" s="1" t="s">
        <v>22</v>
      </c>
      <c r="B626" s="1" t="s">
        <v>19</v>
      </c>
      <c r="C626" s="1" t="s">
        <v>567</v>
      </c>
      <c r="D626" s="1">
        <v>1.0</v>
      </c>
      <c r="E626" s="1">
        <v>32.0</v>
      </c>
      <c r="F626" s="1">
        <v>7.0</v>
      </c>
      <c r="G626" s="1">
        <v>9.0</v>
      </c>
      <c r="H626" s="1">
        <v>602.0</v>
      </c>
      <c r="I626" s="1" t="s">
        <v>21</v>
      </c>
      <c r="J626" s="1" t="s">
        <v>18</v>
      </c>
      <c r="K626" s="1">
        <v>33000.0</v>
      </c>
      <c r="L626" s="1">
        <v>56.9150015</v>
      </c>
      <c r="M626" s="1">
        <v>24.0967059</v>
      </c>
    </row>
    <row r="627">
      <c r="A627" s="1" t="s">
        <v>22</v>
      </c>
      <c r="B627" s="1" t="s">
        <v>14</v>
      </c>
      <c r="C627" s="1" t="s">
        <v>568</v>
      </c>
      <c r="D627" s="1">
        <v>1.0</v>
      </c>
      <c r="E627" s="1">
        <v>37.0</v>
      </c>
      <c r="F627" s="1">
        <v>5.0</v>
      </c>
      <c r="G627" s="1">
        <v>5.0</v>
      </c>
      <c r="H627" s="1">
        <v>103.0</v>
      </c>
      <c r="I627" s="1" t="s">
        <v>17</v>
      </c>
      <c r="J627" s="1" t="s">
        <v>18</v>
      </c>
      <c r="K627" s="1">
        <v>28990.0</v>
      </c>
      <c r="L627" s="1">
        <v>56.9405867</v>
      </c>
      <c r="M627" s="1">
        <v>24.1951866</v>
      </c>
    </row>
    <row r="628">
      <c r="A628" s="1" t="s">
        <v>22</v>
      </c>
      <c r="B628" s="1" t="s">
        <v>174</v>
      </c>
      <c r="C628" s="1" t="s">
        <v>569</v>
      </c>
      <c r="D628" s="1">
        <v>2.0</v>
      </c>
      <c r="E628" s="1">
        <v>51.0</v>
      </c>
      <c r="F628" s="1">
        <v>9.0</v>
      </c>
      <c r="G628" s="1">
        <v>2.0</v>
      </c>
      <c r="H628" s="1">
        <v>602.0</v>
      </c>
      <c r="I628" s="1" t="s">
        <v>21</v>
      </c>
      <c r="J628" s="1" t="s">
        <v>18</v>
      </c>
      <c r="K628" s="1">
        <v>49000.0</v>
      </c>
      <c r="L628" s="1">
        <v>56.945342</v>
      </c>
      <c r="M628" s="1">
        <v>24.1709469488025</v>
      </c>
    </row>
    <row r="629">
      <c r="A629" s="1" t="s">
        <v>13</v>
      </c>
      <c r="B629" s="1" t="s">
        <v>23</v>
      </c>
      <c r="C629" s="1" t="s">
        <v>570</v>
      </c>
      <c r="D629" s="1">
        <v>1.0</v>
      </c>
      <c r="E629" s="1">
        <v>25.0</v>
      </c>
      <c r="F629" s="1">
        <v>5.0</v>
      </c>
      <c r="G629" s="1">
        <v>6.0</v>
      </c>
      <c r="H629" s="1" t="s">
        <v>25</v>
      </c>
      <c r="I629" s="1" t="s">
        <v>37</v>
      </c>
      <c r="J629" s="1" t="s">
        <v>18</v>
      </c>
      <c r="K629" s="1">
        <v>200.0</v>
      </c>
      <c r="L629" s="1">
        <v>56.9555074999999</v>
      </c>
      <c r="M629" s="1">
        <v>24.1534989394562</v>
      </c>
    </row>
    <row r="630">
      <c r="A630" s="1" t="s">
        <v>89</v>
      </c>
      <c r="B630" s="1" t="s">
        <v>23</v>
      </c>
      <c r="C630" s="2"/>
      <c r="D630" s="1">
        <v>3.0</v>
      </c>
      <c r="E630" s="2"/>
      <c r="F630" s="2"/>
      <c r="G630" s="2"/>
      <c r="H630" s="2"/>
      <c r="I630" s="2"/>
      <c r="J630" s="2"/>
      <c r="K630" s="2"/>
      <c r="L630" s="1">
        <v>46.3144754</v>
      </c>
      <c r="M630" s="1">
        <v>11.0480288</v>
      </c>
    </row>
    <row r="631">
      <c r="A631" s="1" t="s">
        <v>13</v>
      </c>
      <c r="B631" s="1" t="s">
        <v>23</v>
      </c>
      <c r="C631" s="1" t="s">
        <v>571</v>
      </c>
      <c r="D631" s="1">
        <v>2.0</v>
      </c>
      <c r="E631" s="1">
        <v>30.0</v>
      </c>
      <c r="F631" s="1">
        <v>3.0</v>
      </c>
      <c r="G631" s="1">
        <v>5.0</v>
      </c>
      <c r="H631" s="1" t="s">
        <v>25</v>
      </c>
      <c r="I631" s="1" t="s">
        <v>33</v>
      </c>
      <c r="J631" s="1" t="s">
        <v>27</v>
      </c>
      <c r="K631" s="1">
        <v>350.0</v>
      </c>
      <c r="L631" s="1">
        <v>56.9582325</v>
      </c>
      <c r="M631" s="1">
        <v>24.1215352</v>
      </c>
    </row>
    <row r="632">
      <c r="A632" s="1" t="s">
        <v>22</v>
      </c>
      <c r="B632" s="1" t="s">
        <v>23</v>
      </c>
      <c r="C632" s="1" t="s">
        <v>572</v>
      </c>
      <c r="D632" s="1">
        <v>4.0</v>
      </c>
      <c r="E632" s="1">
        <v>107.0</v>
      </c>
      <c r="F632" s="1">
        <v>1.0</v>
      </c>
      <c r="G632" s="1">
        <v>5.0</v>
      </c>
      <c r="H632" s="1" t="s">
        <v>66</v>
      </c>
      <c r="I632" s="1" t="s">
        <v>26</v>
      </c>
      <c r="J632" s="1" t="s">
        <v>18</v>
      </c>
      <c r="K632" s="1">
        <v>200000.0</v>
      </c>
      <c r="L632" s="1">
        <v>56.956506</v>
      </c>
      <c r="M632" s="1">
        <v>24.1531491</v>
      </c>
    </row>
    <row r="633">
      <c r="A633" s="1" t="s">
        <v>22</v>
      </c>
      <c r="B633" s="1" t="s">
        <v>28</v>
      </c>
      <c r="C633" s="1" t="s">
        <v>573</v>
      </c>
      <c r="D633" s="1">
        <v>2.0</v>
      </c>
      <c r="E633" s="1">
        <v>47.0</v>
      </c>
      <c r="F633" s="1">
        <v>5.0</v>
      </c>
      <c r="G633" s="1">
        <v>5.0</v>
      </c>
      <c r="H633" s="1" t="s">
        <v>16</v>
      </c>
      <c r="I633" s="1" t="s">
        <v>21</v>
      </c>
      <c r="J633" s="1" t="s">
        <v>18</v>
      </c>
      <c r="K633" s="1">
        <v>49500.0</v>
      </c>
      <c r="L633" s="1">
        <v>56.94476985</v>
      </c>
      <c r="M633" s="1">
        <v>24.1133461730018</v>
      </c>
    </row>
    <row r="634">
      <c r="A634" s="1" t="s">
        <v>13</v>
      </c>
      <c r="B634" s="1" t="s">
        <v>23</v>
      </c>
      <c r="C634" s="1" t="s">
        <v>574</v>
      </c>
      <c r="D634" s="1">
        <v>2.0</v>
      </c>
      <c r="E634" s="1">
        <v>60.0</v>
      </c>
      <c r="F634" s="1">
        <v>5.0</v>
      </c>
      <c r="G634" s="1">
        <v>5.0</v>
      </c>
      <c r="H634" s="1" t="s">
        <v>66</v>
      </c>
      <c r="I634" s="1" t="s">
        <v>37</v>
      </c>
      <c r="J634" s="1" t="s">
        <v>18</v>
      </c>
      <c r="K634" s="1">
        <v>550.0</v>
      </c>
      <c r="L634" s="1">
        <v>56.9560762</v>
      </c>
      <c r="M634" s="1">
        <v>24.1245704936982</v>
      </c>
    </row>
    <row r="635">
      <c r="A635" s="1" t="s">
        <v>13</v>
      </c>
      <c r="B635" s="1" t="s">
        <v>23</v>
      </c>
      <c r="C635" s="1" t="s">
        <v>575</v>
      </c>
      <c r="D635" s="1">
        <v>1.0</v>
      </c>
      <c r="E635" s="1">
        <v>33.0</v>
      </c>
      <c r="F635" s="1">
        <v>5.0</v>
      </c>
      <c r="G635" s="1">
        <v>6.0</v>
      </c>
      <c r="H635" s="1" t="s">
        <v>25</v>
      </c>
      <c r="I635" s="1" t="s">
        <v>33</v>
      </c>
      <c r="J635" s="1" t="s">
        <v>18</v>
      </c>
      <c r="K635" s="1">
        <v>180.0</v>
      </c>
      <c r="L635" s="1">
        <v>56.96369115</v>
      </c>
      <c r="M635" s="1">
        <v>24.1518237736013</v>
      </c>
    </row>
    <row r="636">
      <c r="A636" s="1" t="s">
        <v>89</v>
      </c>
      <c r="B636" s="1" t="s">
        <v>218</v>
      </c>
      <c r="C636" s="2"/>
      <c r="D636" s="1" t="s">
        <v>90</v>
      </c>
      <c r="E636" s="2"/>
      <c r="F636" s="2"/>
      <c r="G636" s="2"/>
      <c r="H636" s="2"/>
      <c r="I636" s="2"/>
      <c r="J636" s="2"/>
      <c r="K636" s="2"/>
      <c r="L636" s="1">
        <v>46.3144754</v>
      </c>
      <c r="M636" s="1">
        <v>11.0480288</v>
      </c>
    </row>
    <row r="637">
      <c r="A637" s="1" t="s">
        <v>22</v>
      </c>
      <c r="B637" s="1" t="s">
        <v>23</v>
      </c>
      <c r="C637" s="1" t="s">
        <v>258</v>
      </c>
      <c r="D637" s="1">
        <v>3.0</v>
      </c>
      <c r="E637" s="1">
        <v>78.0</v>
      </c>
      <c r="F637" s="1">
        <v>4.0</v>
      </c>
      <c r="G637" s="1">
        <v>6.0</v>
      </c>
      <c r="H637" s="1" t="s">
        <v>66</v>
      </c>
      <c r="I637" s="1" t="s">
        <v>33</v>
      </c>
      <c r="J637" s="1" t="s">
        <v>18</v>
      </c>
      <c r="K637" s="1">
        <v>159732.0</v>
      </c>
      <c r="L637" s="1">
        <v>56.958482</v>
      </c>
      <c r="M637" s="1">
        <v>24.116859</v>
      </c>
    </row>
    <row r="638">
      <c r="A638" s="1" t="s">
        <v>13</v>
      </c>
      <c r="B638" s="1" t="s">
        <v>23</v>
      </c>
      <c r="C638" s="1" t="s">
        <v>576</v>
      </c>
      <c r="D638" s="1">
        <v>4.0</v>
      </c>
      <c r="E638" s="1">
        <v>75.0</v>
      </c>
      <c r="F638" s="1">
        <v>1.0</v>
      </c>
      <c r="G638" s="1">
        <v>2.0</v>
      </c>
      <c r="H638" s="1" t="s">
        <v>25</v>
      </c>
      <c r="I638" s="1" t="s">
        <v>26</v>
      </c>
      <c r="J638" s="1" t="s">
        <v>18</v>
      </c>
      <c r="K638" s="1">
        <v>450.0</v>
      </c>
      <c r="L638" s="1">
        <v>56.953572</v>
      </c>
      <c r="M638" s="1">
        <v>24.1425821788061</v>
      </c>
    </row>
    <row r="639">
      <c r="A639" s="1" t="s">
        <v>22</v>
      </c>
      <c r="B639" s="1" t="s">
        <v>23</v>
      </c>
      <c r="C639" s="1" t="s">
        <v>577</v>
      </c>
      <c r="D639" s="1">
        <v>2.0</v>
      </c>
      <c r="E639" s="1">
        <v>52.0</v>
      </c>
      <c r="F639" s="1">
        <v>9.0</v>
      </c>
      <c r="G639" s="1">
        <v>16.0</v>
      </c>
      <c r="H639" s="1" t="s">
        <v>32</v>
      </c>
      <c r="I639" s="1" t="s">
        <v>33</v>
      </c>
      <c r="J639" s="1" t="s">
        <v>18</v>
      </c>
      <c r="K639" s="1">
        <v>80000.0</v>
      </c>
      <c r="L639" s="1">
        <v>56.9880909</v>
      </c>
      <c r="M639" s="1">
        <v>24.1338907618534</v>
      </c>
    </row>
    <row r="640">
      <c r="A640" s="1" t="s">
        <v>22</v>
      </c>
      <c r="B640" s="1" t="s">
        <v>151</v>
      </c>
      <c r="C640" s="1" t="s">
        <v>578</v>
      </c>
      <c r="D640" s="1">
        <v>4.0</v>
      </c>
      <c r="E640" s="1">
        <v>96.0</v>
      </c>
      <c r="F640" s="1">
        <v>4.0</v>
      </c>
      <c r="G640" s="1">
        <v>5.0</v>
      </c>
      <c r="H640" s="1" t="s">
        <v>32</v>
      </c>
      <c r="I640" s="1" t="s">
        <v>33</v>
      </c>
      <c r="J640" s="1" t="s">
        <v>18</v>
      </c>
      <c r="K640" s="1">
        <v>129500.0</v>
      </c>
      <c r="L640" s="1">
        <v>56.96791915</v>
      </c>
      <c r="M640" s="1">
        <v>24.0636401732876</v>
      </c>
    </row>
    <row r="641">
      <c r="A641" s="1" t="s">
        <v>22</v>
      </c>
      <c r="B641" s="1" t="s">
        <v>28</v>
      </c>
      <c r="C641" s="1" t="s">
        <v>579</v>
      </c>
      <c r="D641" s="1">
        <v>2.0</v>
      </c>
      <c r="E641" s="1">
        <v>49.0</v>
      </c>
      <c r="F641" s="1">
        <v>1.0</v>
      </c>
      <c r="G641" s="1">
        <v>5.0</v>
      </c>
      <c r="H641" s="1" t="s">
        <v>16</v>
      </c>
      <c r="I641" s="1" t="s">
        <v>21</v>
      </c>
      <c r="J641" s="1" t="s">
        <v>18</v>
      </c>
      <c r="K641" s="1">
        <v>39500.0</v>
      </c>
      <c r="L641" s="1">
        <v>56.909529</v>
      </c>
      <c r="M641" s="1">
        <v>24.1862380633367</v>
      </c>
    </row>
    <row r="642">
      <c r="A642" s="1" t="s">
        <v>22</v>
      </c>
      <c r="B642" s="1" t="s">
        <v>23</v>
      </c>
      <c r="C642" s="1" t="s">
        <v>580</v>
      </c>
      <c r="D642" s="1">
        <v>3.0</v>
      </c>
      <c r="E642" s="1">
        <v>68.0</v>
      </c>
      <c r="F642" s="1">
        <v>3.0</v>
      </c>
      <c r="G642" s="1">
        <v>7.0</v>
      </c>
      <c r="H642" s="1" t="s">
        <v>32</v>
      </c>
      <c r="I642" s="1" t="s">
        <v>21</v>
      </c>
      <c r="J642" s="1" t="s">
        <v>18</v>
      </c>
      <c r="K642" s="1">
        <v>77950.0</v>
      </c>
      <c r="L642" s="1">
        <v>56.9670038</v>
      </c>
      <c r="M642" s="1">
        <v>24.1471279</v>
      </c>
    </row>
    <row r="643">
      <c r="A643" s="1" t="s">
        <v>13</v>
      </c>
      <c r="B643" s="1" t="s">
        <v>42</v>
      </c>
      <c r="C643" s="1" t="s">
        <v>581</v>
      </c>
      <c r="D643" s="1">
        <v>2.0</v>
      </c>
      <c r="E643" s="1">
        <v>44.0</v>
      </c>
      <c r="F643" s="1">
        <v>4.0</v>
      </c>
      <c r="G643" s="1">
        <v>5.0</v>
      </c>
      <c r="H643" s="1" t="s">
        <v>44</v>
      </c>
      <c r="I643" s="1" t="s">
        <v>37</v>
      </c>
      <c r="J643" s="1" t="s">
        <v>18</v>
      </c>
      <c r="K643" s="1">
        <v>300.0</v>
      </c>
      <c r="L643" s="1">
        <v>56.9882018499999</v>
      </c>
      <c r="M643" s="1">
        <v>24.2256484936398</v>
      </c>
    </row>
    <row r="644">
      <c r="A644" s="1" t="s">
        <v>13</v>
      </c>
      <c r="B644" s="1" t="s">
        <v>23</v>
      </c>
      <c r="C644" s="1" t="s">
        <v>582</v>
      </c>
      <c r="D644" s="1">
        <v>2.0</v>
      </c>
      <c r="E644" s="1">
        <v>43.0</v>
      </c>
      <c r="F644" s="1">
        <v>8.0</v>
      </c>
      <c r="G644" s="1">
        <v>8.0</v>
      </c>
      <c r="H644" s="1" t="s">
        <v>36</v>
      </c>
      <c r="I644" s="1" t="s">
        <v>37</v>
      </c>
      <c r="J644" s="1" t="s">
        <v>18</v>
      </c>
      <c r="K644" s="1">
        <v>350.0</v>
      </c>
      <c r="L644" s="1">
        <v>56.9695565</v>
      </c>
      <c r="M644" s="1">
        <v>24.1547355</v>
      </c>
    </row>
    <row r="645">
      <c r="A645" s="1" t="s">
        <v>13</v>
      </c>
      <c r="B645" s="1" t="s">
        <v>74</v>
      </c>
      <c r="C645" s="1" t="s">
        <v>583</v>
      </c>
      <c r="D645" s="1">
        <v>1.0</v>
      </c>
      <c r="E645" s="1">
        <v>35.0</v>
      </c>
      <c r="F645" s="1">
        <v>6.0</v>
      </c>
      <c r="G645" s="1">
        <v>9.0</v>
      </c>
      <c r="H645" s="1">
        <v>602.0</v>
      </c>
      <c r="I645" s="1" t="s">
        <v>21</v>
      </c>
      <c r="J645" s="1" t="s">
        <v>18</v>
      </c>
      <c r="K645" s="1">
        <v>250.0</v>
      </c>
      <c r="L645" s="1">
        <v>56.9346184</v>
      </c>
      <c r="M645" s="1">
        <v>24.1980807</v>
      </c>
    </row>
    <row r="646">
      <c r="A646" s="1" t="s">
        <v>22</v>
      </c>
      <c r="B646" s="1" t="s">
        <v>48</v>
      </c>
      <c r="C646" s="1" t="s">
        <v>274</v>
      </c>
      <c r="D646" s="1">
        <v>2.0</v>
      </c>
      <c r="E646" s="1">
        <v>53.0</v>
      </c>
      <c r="F646" s="1">
        <v>4.0</v>
      </c>
      <c r="G646" s="1">
        <v>5.0</v>
      </c>
      <c r="H646" s="1">
        <v>103.0</v>
      </c>
      <c r="I646" s="1" t="s">
        <v>37</v>
      </c>
      <c r="J646" s="1" t="s">
        <v>18</v>
      </c>
      <c r="K646" s="1">
        <v>53500.0</v>
      </c>
      <c r="L646" s="1">
        <v>56.95765645</v>
      </c>
      <c r="M646" s="1">
        <v>24.2911644248424</v>
      </c>
    </row>
    <row r="647">
      <c r="A647" s="1" t="s">
        <v>13</v>
      </c>
      <c r="B647" s="1" t="s">
        <v>42</v>
      </c>
      <c r="C647" s="1" t="s">
        <v>584</v>
      </c>
      <c r="D647" s="1">
        <v>1.0</v>
      </c>
      <c r="E647" s="1">
        <v>34.0</v>
      </c>
      <c r="F647" s="1">
        <v>4.0</v>
      </c>
      <c r="G647" s="1">
        <v>12.0</v>
      </c>
      <c r="H647" s="1" t="s">
        <v>57</v>
      </c>
      <c r="I647" s="1" t="s">
        <v>17</v>
      </c>
      <c r="J647" s="1" t="s">
        <v>18</v>
      </c>
      <c r="K647" s="1">
        <v>200.0</v>
      </c>
      <c r="L647" s="1">
        <v>56.9868158</v>
      </c>
      <c r="M647" s="1">
        <v>24.2220345</v>
      </c>
    </row>
    <row r="648">
      <c r="A648" s="1" t="s">
        <v>22</v>
      </c>
      <c r="B648" s="1" t="s">
        <v>23</v>
      </c>
      <c r="C648" s="1" t="s">
        <v>585</v>
      </c>
      <c r="D648" s="1">
        <v>3.0</v>
      </c>
      <c r="E648" s="1">
        <v>76.0</v>
      </c>
      <c r="F648" s="1">
        <v>1.0</v>
      </c>
      <c r="G648" s="1">
        <v>4.0</v>
      </c>
      <c r="H648" s="1" t="s">
        <v>25</v>
      </c>
      <c r="I648" s="1" t="s">
        <v>33</v>
      </c>
      <c r="J648" s="1" t="s">
        <v>18</v>
      </c>
      <c r="K648" s="1">
        <v>102000.0</v>
      </c>
      <c r="L648" s="1">
        <v>56.9679518</v>
      </c>
      <c r="M648" s="1">
        <v>24.1473581975706</v>
      </c>
    </row>
    <row r="649">
      <c r="A649" s="1" t="s">
        <v>13</v>
      </c>
      <c r="B649" s="1" t="s">
        <v>218</v>
      </c>
      <c r="C649" s="1" t="s">
        <v>353</v>
      </c>
      <c r="D649" s="1">
        <v>3.0</v>
      </c>
      <c r="E649" s="1">
        <v>110.0</v>
      </c>
      <c r="F649" s="1">
        <v>3.0</v>
      </c>
      <c r="G649" s="1">
        <v>5.0</v>
      </c>
      <c r="H649" s="1" t="s">
        <v>66</v>
      </c>
      <c r="I649" s="1" t="s">
        <v>33</v>
      </c>
      <c r="J649" s="1" t="s">
        <v>18</v>
      </c>
      <c r="K649" s="1">
        <v>600.0</v>
      </c>
      <c r="L649" s="1">
        <v>56.9462191</v>
      </c>
      <c r="M649" s="1">
        <v>24.1099153</v>
      </c>
    </row>
    <row r="650">
      <c r="A650" s="1" t="s">
        <v>22</v>
      </c>
      <c r="B650" s="1" t="s">
        <v>48</v>
      </c>
      <c r="C650" s="1" t="s">
        <v>586</v>
      </c>
      <c r="D650" s="1">
        <v>3.0</v>
      </c>
      <c r="E650" s="1">
        <v>63.0</v>
      </c>
      <c r="F650" s="1">
        <v>4.0</v>
      </c>
      <c r="G650" s="1">
        <v>9.0</v>
      </c>
      <c r="H650" s="1">
        <v>602.0</v>
      </c>
      <c r="I650" s="1" t="s">
        <v>21</v>
      </c>
      <c r="J650" s="1" t="s">
        <v>18</v>
      </c>
      <c r="K650" s="1">
        <v>65000.0</v>
      </c>
      <c r="L650" s="1">
        <v>56.9613221</v>
      </c>
      <c r="M650" s="1">
        <v>24.2342410751615</v>
      </c>
    </row>
    <row r="651">
      <c r="A651" s="1" t="s">
        <v>22</v>
      </c>
      <c r="B651" s="1" t="s">
        <v>23</v>
      </c>
      <c r="C651" s="1" t="s">
        <v>125</v>
      </c>
      <c r="D651" s="1">
        <v>3.0</v>
      </c>
      <c r="E651" s="1">
        <v>79.0</v>
      </c>
      <c r="F651" s="1">
        <v>2.0</v>
      </c>
      <c r="G651" s="1">
        <v>5.0</v>
      </c>
      <c r="H651" s="1" t="s">
        <v>25</v>
      </c>
      <c r="I651" s="1" t="s">
        <v>37</v>
      </c>
      <c r="J651" s="1" t="s">
        <v>18</v>
      </c>
      <c r="K651" s="1">
        <v>110600.0</v>
      </c>
      <c r="L651" s="1">
        <v>56.9678993</v>
      </c>
      <c r="M651" s="1">
        <v>24.1050379341528</v>
      </c>
    </row>
    <row r="652">
      <c r="A652" s="1" t="s">
        <v>22</v>
      </c>
      <c r="B652" s="1" t="s">
        <v>38</v>
      </c>
      <c r="C652" s="1" t="s">
        <v>587</v>
      </c>
      <c r="D652" s="1">
        <v>3.0</v>
      </c>
      <c r="E652" s="1">
        <v>54.0</v>
      </c>
      <c r="F652" s="1">
        <v>5.0</v>
      </c>
      <c r="G652" s="1">
        <v>5.0</v>
      </c>
      <c r="H652" s="1" t="s">
        <v>16</v>
      </c>
      <c r="I652" s="1" t="s">
        <v>21</v>
      </c>
      <c r="J652" s="1" t="s">
        <v>18</v>
      </c>
      <c r="K652" s="1">
        <v>39000.0</v>
      </c>
      <c r="L652" s="1">
        <v>56.962357</v>
      </c>
      <c r="M652" s="1">
        <v>24.0022200499999</v>
      </c>
    </row>
    <row r="653">
      <c r="A653" s="1" t="s">
        <v>13</v>
      </c>
      <c r="B653" s="1" t="s">
        <v>218</v>
      </c>
      <c r="C653" s="1" t="s">
        <v>458</v>
      </c>
      <c r="D653" s="1">
        <v>2.0</v>
      </c>
      <c r="E653" s="1">
        <v>35.0</v>
      </c>
      <c r="F653" s="1">
        <v>3.0</v>
      </c>
      <c r="G653" s="1">
        <v>4.0</v>
      </c>
      <c r="H653" s="1" t="s">
        <v>66</v>
      </c>
      <c r="I653" s="1" t="s">
        <v>33</v>
      </c>
      <c r="J653" s="1" t="s">
        <v>18</v>
      </c>
      <c r="K653" s="1">
        <v>400.0</v>
      </c>
      <c r="L653" s="1">
        <v>56.94881585</v>
      </c>
      <c r="M653" s="1">
        <v>24.1114738591085</v>
      </c>
    </row>
    <row r="654">
      <c r="A654" s="1" t="s">
        <v>89</v>
      </c>
      <c r="B654" s="2"/>
      <c r="C654" s="2"/>
      <c r="D654" s="1" t="s">
        <v>90</v>
      </c>
      <c r="E654" s="2"/>
      <c r="F654" s="2"/>
      <c r="G654" s="2"/>
      <c r="H654" s="2"/>
      <c r="I654" s="2"/>
      <c r="J654" s="2"/>
      <c r="K654" s="2"/>
      <c r="L654" s="1">
        <v>46.3144754</v>
      </c>
      <c r="M654" s="1">
        <v>11.0480288</v>
      </c>
    </row>
    <row r="655">
      <c r="A655" s="1" t="s">
        <v>13</v>
      </c>
      <c r="B655" s="1" t="s">
        <v>23</v>
      </c>
      <c r="C655" s="1" t="s">
        <v>547</v>
      </c>
      <c r="D655" s="1">
        <v>2.0</v>
      </c>
      <c r="E655" s="1">
        <v>81.0</v>
      </c>
      <c r="F655" s="1">
        <v>5.0</v>
      </c>
      <c r="G655" s="1">
        <v>5.0</v>
      </c>
      <c r="H655" s="1" t="s">
        <v>66</v>
      </c>
      <c r="I655" s="1" t="s">
        <v>33</v>
      </c>
      <c r="J655" s="1" t="s">
        <v>18</v>
      </c>
      <c r="K655" s="1">
        <v>650.0</v>
      </c>
      <c r="L655" s="1" t="s">
        <v>40</v>
      </c>
      <c r="M655" s="1" t="s">
        <v>40</v>
      </c>
    </row>
    <row r="656">
      <c r="A656" s="1" t="s">
        <v>13</v>
      </c>
      <c r="B656" s="1" t="s">
        <v>23</v>
      </c>
      <c r="C656" s="1" t="s">
        <v>588</v>
      </c>
      <c r="D656" s="1">
        <v>1.0</v>
      </c>
      <c r="E656" s="1">
        <v>16.0</v>
      </c>
      <c r="F656" s="1">
        <v>1.0</v>
      </c>
      <c r="G656" s="1">
        <v>5.0</v>
      </c>
      <c r="H656" s="1" t="s">
        <v>36</v>
      </c>
      <c r="I656" s="1" t="s">
        <v>37</v>
      </c>
      <c r="J656" s="1" t="s">
        <v>18</v>
      </c>
      <c r="K656" s="1">
        <v>17.0</v>
      </c>
      <c r="L656" s="1">
        <v>56.944767</v>
      </c>
      <c r="M656" s="1">
        <v>24.1333294499999</v>
      </c>
    </row>
    <row r="657">
      <c r="A657" s="1" t="s">
        <v>22</v>
      </c>
      <c r="B657" s="1" t="s">
        <v>151</v>
      </c>
      <c r="C657" s="1" t="s">
        <v>589</v>
      </c>
      <c r="D657" s="1">
        <v>2.0</v>
      </c>
      <c r="E657" s="1">
        <v>51.0</v>
      </c>
      <c r="F657" s="1">
        <v>5.0</v>
      </c>
      <c r="G657" s="1">
        <v>5.0</v>
      </c>
      <c r="H657" s="1" t="s">
        <v>16</v>
      </c>
      <c r="I657" s="1" t="s">
        <v>17</v>
      </c>
      <c r="J657" s="1" t="s">
        <v>18</v>
      </c>
      <c r="K657" s="1">
        <v>42000.0</v>
      </c>
      <c r="L657" s="1">
        <v>56.9694761</v>
      </c>
      <c r="M657" s="1">
        <v>24.0541638042451</v>
      </c>
    </row>
    <row r="658">
      <c r="A658" s="1" t="s">
        <v>22</v>
      </c>
      <c r="B658" s="1" t="s">
        <v>74</v>
      </c>
      <c r="C658" s="1" t="s">
        <v>590</v>
      </c>
      <c r="D658" s="1">
        <v>2.0</v>
      </c>
      <c r="E658" s="1">
        <v>51.0</v>
      </c>
      <c r="F658" s="1">
        <v>8.0</v>
      </c>
      <c r="G658" s="1">
        <v>9.0</v>
      </c>
      <c r="H658" s="1">
        <v>602.0</v>
      </c>
      <c r="I658" s="1" t="s">
        <v>21</v>
      </c>
      <c r="J658" s="1" t="s">
        <v>18</v>
      </c>
      <c r="K658" s="1">
        <v>43300.0</v>
      </c>
      <c r="L658" s="1">
        <v>56.9382367</v>
      </c>
      <c r="M658" s="1">
        <v>24.210029700258</v>
      </c>
    </row>
    <row r="659">
      <c r="A659" s="1" t="s">
        <v>22</v>
      </c>
      <c r="B659" s="1" t="s">
        <v>23</v>
      </c>
      <c r="C659" s="1" t="s">
        <v>591</v>
      </c>
      <c r="D659" s="1">
        <v>4.0</v>
      </c>
      <c r="E659" s="1">
        <v>122.0</v>
      </c>
      <c r="F659" s="1">
        <v>5.0</v>
      </c>
      <c r="G659" s="1">
        <v>5.0</v>
      </c>
      <c r="H659" s="1" t="s">
        <v>25</v>
      </c>
      <c r="I659" s="1" t="s">
        <v>37</v>
      </c>
      <c r="J659" s="1" t="s">
        <v>18</v>
      </c>
      <c r="K659" s="1">
        <v>225000.0</v>
      </c>
      <c r="L659" s="1">
        <v>56.9539113</v>
      </c>
      <c r="M659" s="1">
        <v>24.1220605</v>
      </c>
    </row>
    <row r="660">
      <c r="A660" s="1" t="s">
        <v>22</v>
      </c>
      <c r="B660" s="1" t="s">
        <v>23</v>
      </c>
      <c r="C660" s="1" t="s">
        <v>592</v>
      </c>
      <c r="D660" s="1">
        <v>3.0</v>
      </c>
      <c r="E660" s="1">
        <v>71.0</v>
      </c>
      <c r="F660" s="1">
        <v>6.0</v>
      </c>
      <c r="G660" s="1">
        <v>6.0</v>
      </c>
      <c r="H660" s="1" t="s">
        <v>25</v>
      </c>
      <c r="I660" s="1" t="s">
        <v>33</v>
      </c>
      <c r="J660" s="1" t="s">
        <v>18</v>
      </c>
      <c r="K660" s="1">
        <v>92800.0</v>
      </c>
      <c r="L660" s="1">
        <v>56.9488564</v>
      </c>
      <c r="M660" s="1">
        <v>24.1384970339502</v>
      </c>
    </row>
    <row r="661">
      <c r="A661" s="1" t="s">
        <v>22</v>
      </c>
      <c r="B661" s="1" t="s">
        <v>23</v>
      </c>
      <c r="C661" s="1" t="s">
        <v>592</v>
      </c>
      <c r="D661" s="1">
        <v>2.0</v>
      </c>
      <c r="E661" s="1">
        <v>42.0</v>
      </c>
      <c r="F661" s="1">
        <v>6.0</v>
      </c>
      <c r="G661" s="1">
        <v>6.0</v>
      </c>
      <c r="H661" s="1" t="s">
        <v>25</v>
      </c>
      <c r="I661" s="1" t="s">
        <v>33</v>
      </c>
      <c r="J661" s="1" t="s">
        <v>18</v>
      </c>
      <c r="K661" s="1">
        <v>57800.0</v>
      </c>
      <c r="L661" s="1">
        <v>56.9488564</v>
      </c>
      <c r="M661" s="1">
        <v>24.1384970339502</v>
      </c>
    </row>
    <row r="662">
      <c r="A662" s="1" t="s">
        <v>13</v>
      </c>
      <c r="B662" s="1" t="s">
        <v>104</v>
      </c>
      <c r="C662" s="1" t="s">
        <v>593</v>
      </c>
      <c r="D662" s="1">
        <v>4.0</v>
      </c>
      <c r="E662" s="1">
        <v>112.0</v>
      </c>
      <c r="F662" s="1">
        <v>3.0</v>
      </c>
      <c r="G662" s="1">
        <v>3.0</v>
      </c>
      <c r="H662" s="1" t="s">
        <v>171</v>
      </c>
      <c r="I662" s="1" t="s">
        <v>37</v>
      </c>
      <c r="J662" s="1" t="s">
        <v>18</v>
      </c>
      <c r="K662" s="1">
        <v>1200.0</v>
      </c>
      <c r="L662" s="1">
        <v>56.94372935</v>
      </c>
      <c r="M662" s="1">
        <v>24.0751603975824</v>
      </c>
    </row>
    <row r="663">
      <c r="A663" s="1" t="s">
        <v>13</v>
      </c>
      <c r="B663" s="1" t="s">
        <v>82</v>
      </c>
      <c r="C663" s="1" t="s">
        <v>594</v>
      </c>
      <c r="D663" s="1">
        <v>2.0</v>
      </c>
      <c r="E663" s="1">
        <v>52.0</v>
      </c>
      <c r="F663" s="1">
        <v>3.0</v>
      </c>
      <c r="G663" s="1">
        <v>4.0</v>
      </c>
      <c r="H663" s="1" t="s">
        <v>32</v>
      </c>
      <c r="I663" s="1" t="s">
        <v>33</v>
      </c>
      <c r="J663" s="1" t="s">
        <v>18</v>
      </c>
      <c r="K663" s="1">
        <v>650.0</v>
      </c>
      <c r="L663" s="1">
        <v>56.951881</v>
      </c>
      <c r="M663" s="1">
        <v>24.0837662708383</v>
      </c>
    </row>
    <row r="664">
      <c r="A664" s="1" t="s">
        <v>89</v>
      </c>
      <c r="B664" s="1" t="s">
        <v>14</v>
      </c>
      <c r="C664" s="2"/>
      <c r="D664" s="1" t="s">
        <v>90</v>
      </c>
      <c r="E664" s="2"/>
      <c r="F664" s="2"/>
      <c r="G664" s="2"/>
      <c r="H664" s="2"/>
      <c r="I664" s="2"/>
      <c r="J664" s="2"/>
      <c r="K664" s="2"/>
      <c r="L664" s="1">
        <v>46.3144754</v>
      </c>
      <c r="M664" s="1">
        <v>11.0480288</v>
      </c>
    </row>
    <row r="665">
      <c r="A665" s="1" t="s">
        <v>22</v>
      </c>
      <c r="B665" s="1" t="s">
        <v>28</v>
      </c>
      <c r="C665" s="1" t="s">
        <v>595</v>
      </c>
      <c r="D665" s="1">
        <v>1.0</v>
      </c>
      <c r="E665" s="1">
        <v>33.0</v>
      </c>
      <c r="F665" s="1">
        <v>4.0</v>
      </c>
      <c r="G665" s="1">
        <v>5.0</v>
      </c>
      <c r="H665" s="1" t="s">
        <v>16</v>
      </c>
      <c r="I665" s="1" t="s">
        <v>21</v>
      </c>
      <c r="J665" s="1" t="s">
        <v>18</v>
      </c>
      <c r="K665" s="1">
        <v>34000.0</v>
      </c>
      <c r="L665" s="1">
        <v>56.89938885</v>
      </c>
      <c r="M665" s="1">
        <v>24.21369425</v>
      </c>
    </row>
    <row r="666">
      <c r="A666" s="1" t="s">
        <v>22</v>
      </c>
      <c r="B666" s="1" t="s">
        <v>28</v>
      </c>
      <c r="C666" s="1" t="s">
        <v>596</v>
      </c>
      <c r="D666" s="1">
        <v>1.0</v>
      </c>
      <c r="E666" s="1">
        <v>33.0</v>
      </c>
      <c r="F666" s="1">
        <v>3.0</v>
      </c>
      <c r="G666" s="1">
        <v>5.0</v>
      </c>
      <c r="H666" s="1" t="s">
        <v>16</v>
      </c>
      <c r="I666" s="1" t="s">
        <v>21</v>
      </c>
      <c r="J666" s="1" t="s">
        <v>18</v>
      </c>
      <c r="K666" s="1">
        <v>34000.0</v>
      </c>
      <c r="L666" s="1">
        <v>56.9267343</v>
      </c>
      <c r="M666" s="1">
        <v>24.1753303</v>
      </c>
    </row>
    <row r="667">
      <c r="A667" s="1" t="s">
        <v>22</v>
      </c>
      <c r="B667" s="1" t="s">
        <v>129</v>
      </c>
      <c r="C667" s="1" t="s">
        <v>597</v>
      </c>
      <c r="D667" s="1">
        <v>3.0</v>
      </c>
      <c r="E667" s="1">
        <v>74.2</v>
      </c>
      <c r="F667" s="1">
        <v>9.0</v>
      </c>
      <c r="G667" s="1">
        <v>9.0</v>
      </c>
      <c r="H667" s="1" t="s">
        <v>36</v>
      </c>
      <c r="I667" s="1" t="s">
        <v>17</v>
      </c>
      <c r="J667" s="1" t="s">
        <v>18</v>
      </c>
      <c r="K667" s="1">
        <v>79000.0</v>
      </c>
      <c r="L667" s="1">
        <v>57.0024532</v>
      </c>
      <c r="M667" s="1">
        <v>24.1228943565491</v>
      </c>
    </row>
    <row r="668">
      <c r="A668" s="1" t="s">
        <v>22</v>
      </c>
      <c r="B668" s="1" t="s">
        <v>28</v>
      </c>
      <c r="C668" s="1" t="s">
        <v>598</v>
      </c>
      <c r="D668" s="1">
        <v>3.0</v>
      </c>
      <c r="E668" s="1">
        <v>61.0</v>
      </c>
      <c r="F668" s="1">
        <v>4.0</v>
      </c>
      <c r="G668" s="1">
        <v>5.0</v>
      </c>
      <c r="H668" s="1" t="s">
        <v>16</v>
      </c>
      <c r="I668" s="1" t="s">
        <v>21</v>
      </c>
      <c r="J668" s="1" t="s">
        <v>18</v>
      </c>
      <c r="K668" s="1">
        <v>58000.0</v>
      </c>
      <c r="L668" s="1">
        <v>56.9106275</v>
      </c>
      <c r="M668" s="1">
        <v>24.1836694706489</v>
      </c>
    </row>
    <row r="669">
      <c r="A669" s="1" t="s">
        <v>13</v>
      </c>
      <c r="B669" s="1" t="s">
        <v>19</v>
      </c>
      <c r="C669" s="1" t="s">
        <v>599</v>
      </c>
      <c r="D669" s="1">
        <v>1.0</v>
      </c>
      <c r="E669" s="1">
        <v>44.0</v>
      </c>
      <c r="F669" s="1">
        <v>2.0</v>
      </c>
      <c r="G669" s="1">
        <v>9.0</v>
      </c>
      <c r="H669" s="1">
        <v>119.0</v>
      </c>
      <c r="I669" s="1" t="s">
        <v>21</v>
      </c>
      <c r="J669" s="1" t="s">
        <v>18</v>
      </c>
      <c r="K669" s="1">
        <v>350.0</v>
      </c>
      <c r="L669" s="1">
        <v>56.9012723</v>
      </c>
      <c r="M669" s="1">
        <v>24.0976674049173</v>
      </c>
    </row>
    <row r="670">
      <c r="A670" s="1" t="s">
        <v>22</v>
      </c>
      <c r="B670" s="1" t="s">
        <v>38</v>
      </c>
      <c r="C670" s="1" t="s">
        <v>324</v>
      </c>
      <c r="D670" s="1">
        <v>3.0</v>
      </c>
      <c r="E670" s="1">
        <v>54.0</v>
      </c>
      <c r="F670" s="1">
        <v>4.0</v>
      </c>
      <c r="G670" s="1">
        <v>5.0</v>
      </c>
      <c r="H670" s="1" t="s">
        <v>16</v>
      </c>
      <c r="I670" s="1" t="s">
        <v>21</v>
      </c>
      <c r="J670" s="1" t="s">
        <v>18</v>
      </c>
      <c r="K670" s="1">
        <v>68000.0</v>
      </c>
      <c r="L670" s="1">
        <v>56.9605689499999</v>
      </c>
      <c r="M670" s="1">
        <v>24.0228425</v>
      </c>
    </row>
    <row r="671">
      <c r="A671" s="1" t="s">
        <v>22</v>
      </c>
      <c r="B671" s="1" t="s">
        <v>14</v>
      </c>
      <c r="C671" s="1" t="s">
        <v>600</v>
      </c>
      <c r="D671" s="1">
        <v>1.0</v>
      </c>
      <c r="E671" s="1">
        <v>36.0</v>
      </c>
      <c r="F671" s="1">
        <v>5.0</v>
      </c>
      <c r="G671" s="1">
        <v>9.0</v>
      </c>
      <c r="H671" s="1">
        <v>602.0</v>
      </c>
      <c r="I671" s="1" t="s">
        <v>21</v>
      </c>
      <c r="J671" s="1" t="s">
        <v>18</v>
      </c>
      <c r="K671" s="1">
        <v>35000.0</v>
      </c>
      <c r="L671" s="1">
        <v>56.961607</v>
      </c>
      <c r="M671" s="1">
        <v>24.1871335021826</v>
      </c>
    </row>
    <row r="672">
      <c r="A672" s="1" t="s">
        <v>13</v>
      </c>
      <c r="B672" s="1" t="s">
        <v>23</v>
      </c>
      <c r="C672" s="1" t="s">
        <v>501</v>
      </c>
      <c r="D672" s="1">
        <v>1.0</v>
      </c>
      <c r="E672" s="1">
        <v>20.0</v>
      </c>
      <c r="F672" s="1">
        <v>3.0</v>
      </c>
      <c r="G672" s="1">
        <v>5.0</v>
      </c>
      <c r="H672" s="1" t="s">
        <v>66</v>
      </c>
      <c r="I672" s="1" t="s">
        <v>17</v>
      </c>
      <c r="J672" s="1" t="s">
        <v>18</v>
      </c>
      <c r="K672" s="1">
        <v>235.0</v>
      </c>
      <c r="L672" s="1">
        <v>56.94440235</v>
      </c>
      <c r="M672" s="1">
        <v>24.1323630232783</v>
      </c>
    </row>
    <row r="673">
      <c r="A673" s="1" t="s">
        <v>13</v>
      </c>
      <c r="B673" s="1" t="s">
        <v>74</v>
      </c>
      <c r="C673" s="1" t="s">
        <v>601</v>
      </c>
      <c r="D673" s="1">
        <v>2.0</v>
      </c>
      <c r="E673" s="1">
        <v>43.0</v>
      </c>
      <c r="F673" s="1">
        <v>1.0</v>
      </c>
      <c r="G673" s="1">
        <v>9.0</v>
      </c>
      <c r="H673" s="1" t="s">
        <v>32</v>
      </c>
      <c r="I673" s="1" t="s">
        <v>17</v>
      </c>
      <c r="J673" s="1" t="s">
        <v>18</v>
      </c>
      <c r="K673" s="1">
        <v>360.0</v>
      </c>
      <c r="L673" s="1">
        <v>56.942327</v>
      </c>
      <c r="M673" s="1">
        <v>24.2300928779978</v>
      </c>
    </row>
    <row r="674">
      <c r="A674" s="1" t="s">
        <v>13</v>
      </c>
      <c r="B674" s="1" t="s">
        <v>23</v>
      </c>
      <c r="C674" s="1" t="s">
        <v>602</v>
      </c>
      <c r="D674" s="1">
        <v>3.0</v>
      </c>
      <c r="E674" s="1">
        <v>88.0</v>
      </c>
      <c r="F674" s="1">
        <v>5.0</v>
      </c>
      <c r="G674" s="1">
        <v>5.0</v>
      </c>
      <c r="H674" s="1" t="s">
        <v>66</v>
      </c>
      <c r="I674" s="1" t="s">
        <v>37</v>
      </c>
      <c r="J674" s="1" t="s">
        <v>18</v>
      </c>
      <c r="K674" s="1">
        <v>400.0</v>
      </c>
      <c r="L674" s="1">
        <v>56.9581178</v>
      </c>
      <c r="M674" s="1">
        <v>24.1311146</v>
      </c>
    </row>
    <row r="675">
      <c r="A675" s="1" t="s">
        <v>13</v>
      </c>
      <c r="B675" s="1" t="s">
        <v>76</v>
      </c>
      <c r="C675" s="1" t="s">
        <v>603</v>
      </c>
      <c r="D675" s="1">
        <v>2.0</v>
      </c>
      <c r="E675" s="1">
        <v>25.0</v>
      </c>
      <c r="F675" s="1">
        <v>1.0</v>
      </c>
      <c r="G675" s="1">
        <v>2.0</v>
      </c>
      <c r="H675" s="1" t="s">
        <v>25</v>
      </c>
      <c r="I675" s="1" t="s">
        <v>33</v>
      </c>
      <c r="J675" s="1" t="s">
        <v>18</v>
      </c>
      <c r="K675" s="1">
        <v>250.0</v>
      </c>
      <c r="L675" s="1">
        <v>56.9553112499999</v>
      </c>
      <c r="M675" s="1">
        <v>24.0577105016377</v>
      </c>
    </row>
    <row r="676">
      <c r="A676" s="1" t="s">
        <v>13</v>
      </c>
      <c r="B676" s="1" t="s">
        <v>19</v>
      </c>
      <c r="C676" s="1" t="s">
        <v>604</v>
      </c>
      <c r="D676" s="1">
        <v>3.0</v>
      </c>
      <c r="E676" s="1">
        <v>75.0</v>
      </c>
      <c r="F676" s="1">
        <v>2.0</v>
      </c>
      <c r="G676" s="1">
        <v>16.0</v>
      </c>
      <c r="H676" s="1">
        <v>104.0</v>
      </c>
      <c r="I676" s="1" t="s">
        <v>21</v>
      </c>
      <c r="J676" s="1" t="s">
        <v>18</v>
      </c>
      <c r="K676" s="1">
        <v>350.0</v>
      </c>
      <c r="L676" s="1">
        <v>56.90479835</v>
      </c>
      <c r="M676" s="1">
        <v>24.0840152657105</v>
      </c>
    </row>
    <row r="677">
      <c r="A677" s="1" t="s">
        <v>22</v>
      </c>
      <c r="B677" s="1" t="s">
        <v>74</v>
      </c>
      <c r="C677" s="1" t="s">
        <v>605</v>
      </c>
      <c r="D677" s="1">
        <v>1.0</v>
      </c>
      <c r="E677" s="1">
        <v>39.0</v>
      </c>
      <c r="F677" s="1">
        <v>2.0</v>
      </c>
      <c r="G677" s="1">
        <v>5.0</v>
      </c>
      <c r="H677" s="1" t="s">
        <v>57</v>
      </c>
      <c r="I677" s="1" t="s">
        <v>21</v>
      </c>
      <c r="J677" s="1" t="s">
        <v>18</v>
      </c>
      <c r="K677" s="1">
        <v>31900.0</v>
      </c>
      <c r="L677" s="1">
        <v>56.94167865</v>
      </c>
      <c r="M677" s="1">
        <v>24.22621375</v>
      </c>
    </row>
    <row r="678">
      <c r="A678" s="1" t="s">
        <v>13</v>
      </c>
      <c r="B678" s="1" t="s">
        <v>23</v>
      </c>
      <c r="C678" s="1" t="s">
        <v>606</v>
      </c>
      <c r="D678" s="1">
        <v>3.0</v>
      </c>
      <c r="E678" s="1">
        <v>95.0</v>
      </c>
      <c r="F678" s="1">
        <v>3.0</v>
      </c>
      <c r="G678" s="1">
        <v>6.0</v>
      </c>
      <c r="H678" s="1" t="s">
        <v>32</v>
      </c>
      <c r="I678" s="1" t="s">
        <v>33</v>
      </c>
      <c r="J678" s="1" t="s">
        <v>18</v>
      </c>
      <c r="K678" s="1">
        <v>1050.0</v>
      </c>
      <c r="L678" s="1">
        <v>56.9634565</v>
      </c>
      <c r="M678" s="1">
        <v>24.121914876333</v>
      </c>
    </row>
    <row r="679">
      <c r="A679" s="1" t="s">
        <v>131</v>
      </c>
      <c r="B679" s="1" t="s">
        <v>38</v>
      </c>
      <c r="C679" s="2"/>
      <c r="D679" s="1">
        <v>2.0</v>
      </c>
      <c r="E679" s="2"/>
      <c r="F679" s="2"/>
      <c r="G679" s="2"/>
      <c r="H679" s="1" t="s">
        <v>32</v>
      </c>
      <c r="I679" s="2"/>
      <c r="J679" s="1" t="s">
        <v>18</v>
      </c>
      <c r="K679" s="1">
        <v>500.0</v>
      </c>
      <c r="L679" s="1">
        <v>46.3144754</v>
      </c>
      <c r="M679" s="1">
        <v>11.0480288</v>
      </c>
    </row>
    <row r="680">
      <c r="A680" s="1" t="s">
        <v>131</v>
      </c>
      <c r="B680" s="1" t="s">
        <v>42</v>
      </c>
      <c r="C680" s="2"/>
      <c r="D680" s="1">
        <v>2.0</v>
      </c>
      <c r="E680" s="2"/>
      <c r="F680" s="2"/>
      <c r="G680" s="2"/>
      <c r="H680" s="2"/>
      <c r="I680" s="2"/>
      <c r="J680" s="2"/>
      <c r="K680" s="2"/>
      <c r="L680" s="1">
        <v>46.3144754</v>
      </c>
      <c r="M680" s="1">
        <v>11.0480288</v>
      </c>
    </row>
    <row r="681">
      <c r="A681" s="1" t="s">
        <v>13</v>
      </c>
      <c r="B681" s="1" t="s">
        <v>14</v>
      </c>
      <c r="C681" s="1" t="s">
        <v>607</v>
      </c>
      <c r="D681" s="1">
        <v>3.0</v>
      </c>
      <c r="E681" s="1">
        <v>52.0</v>
      </c>
      <c r="F681" s="1">
        <v>3.0</v>
      </c>
      <c r="G681" s="1">
        <v>3.0</v>
      </c>
      <c r="H681" s="1" t="s">
        <v>32</v>
      </c>
      <c r="I681" s="1" t="s">
        <v>33</v>
      </c>
      <c r="J681" s="1" t="s">
        <v>18</v>
      </c>
      <c r="K681" s="1">
        <v>520.0</v>
      </c>
      <c r="L681" s="1">
        <v>56.9690716</v>
      </c>
      <c r="M681" s="1">
        <v>24.1716498860135</v>
      </c>
    </row>
    <row r="682">
      <c r="A682" s="1" t="s">
        <v>22</v>
      </c>
      <c r="B682" s="1" t="s">
        <v>28</v>
      </c>
      <c r="C682" s="1" t="s">
        <v>608</v>
      </c>
      <c r="D682" s="1">
        <v>2.0</v>
      </c>
      <c r="E682" s="1">
        <v>48.0</v>
      </c>
      <c r="F682" s="1">
        <v>3.0</v>
      </c>
      <c r="G682" s="1">
        <v>5.0</v>
      </c>
      <c r="H682" s="1" t="s">
        <v>16</v>
      </c>
      <c r="I682" s="1" t="s">
        <v>21</v>
      </c>
      <c r="J682" s="1" t="s">
        <v>18</v>
      </c>
      <c r="K682" s="1">
        <v>43500.0</v>
      </c>
      <c r="L682" s="1">
        <v>56.8597884</v>
      </c>
      <c r="M682" s="1">
        <v>24.3083417</v>
      </c>
    </row>
    <row r="683">
      <c r="A683" s="1" t="s">
        <v>22</v>
      </c>
      <c r="B683" s="1" t="s">
        <v>96</v>
      </c>
      <c r="C683" s="1" t="s">
        <v>609</v>
      </c>
      <c r="D683" s="1">
        <v>3.0</v>
      </c>
      <c r="E683" s="1">
        <v>68.0</v>
      </c>
      <c r="F683" s="1">
        <v>4.0</v>
      </c>
      <c r="G683" s="1">
        <v>5.0</v>
      </c>
      <c r="H683" s="1" t="s">
        <v>16</v>
      </c>
      <c r="I683" s="1" t="s">
        <v>21</v>
      </c>
      <c r="J683" s="1" t="s">
        <v>18</v>
      </c>
      <c r="K683" s="1">
        <v>43900.0</v>
      </c>
      <c r="L683" s="1">
        <v>57.0336091</v>
      </c>
      <c r="M683" s="1">
        <v>24.099216029556</v>
      </c>
    </row>
    <row r="684">
      <c r="A684" s="1" t="s">
        <v>22</v>
      </c>
      <c r="B684" s="1" t="s">
        <v>74</v>
      </c>
      <c r="C684" s="1" t="s">
        <v>167</v>
      </c>
      <c r="D684" s="1">
        <v>1.0</v>
      </c>
      <c r="E684" s="1">
        <v>38.5</v>
      </c>
      <c r="F684" s="1">
        <v>2.0</v>
      </c>
      <c r="G684" s="1">
        <v>9.0</v>
      </c>
      <c r="H684" s="1" t="s">
        <v>57</v>
      </c>
      <c r="I684" s="1" t="s">
        <v>21</v>
      </c>
      <c r="J684" s="1" t="s">
        <v>18</v>
      </c>
      <c r="K684" s="1">
        <v>31000.0</v>
      </c>
      <c r="L684" s="1">
        <v>56.9422955</v>
      </c>
      <c r="M684" s="1">
        <v>24.1998859564754</v>
      </c>
    </row>
    <row r="685">
      <c r="A685" s="1" t="s">
        <v>13</v>
      </c>
      <c r="B685" s="1" t="s">
        <v>96</v>
      </c>
      <c r="C685" s="1" t="s">
        <v>610</v>
      </c>
      <c r="D685" s="1">
        <v>1.0</v>
      </c>
      <c r="E685" s="1">
        <v>30.0</v>
      </c>
      <c r="F685" s="1">
        <v>5.0</v>
      </c>
      <c r="G685" s="1">
        <v>5.0</v>
      </c>
      <c r="H685" s="1" t="s">
        <v>16</v>
      </c>
      <c r="I685" s="1" t="s">
        <v>21</v>
      </c>
      <c r="J685" s="1" t="s">
        <v>18</v>
      </c>
      <c r="K685" s="1">
        <v>200.0</v>
      </c>
      <c r="L685" s="1">
        <v>57.0331188</v>
      </c>
      <c r="M685" s="1">
        <v>24.1004593277761</v>
      </c>
    </row>
    <row r="686">
      <c r="A686" s="1" t="s">
        <v>22</v>
      </c>
      <c r="B686" s="1" t="s">
        <v>14</v>
      </c>
      <c r="C686" s="1" t="s">
        <v>611</v>
      </c>
      <c r="D686" s="1">
        <v>3.0</v>
      </c>
      <c r="E686" s="1">
        <v>61.0</v>
      </c>
      <c r="F686" s="1">
        <v>4.0</v>
      </c>
      <c r="G686" s="1">
        <v>5.0</v>
      </c>
      <c r="H686" s="1" t="s">
        <v>16</v>
      </c>
      <c r="I686" s="1" t="s">
        <v>21</v>
      </c>
      <c r="J686" s="1" t="s">
        <v>18</v>
      </c>
      <c r="K686" s="1">
        <v>67500.0</v>
      </c>
      <c r="L686" s="1">
        <v>56.9624113499999</v>
      </c>
      <c r="M686" s="1">
        <v>24.1796926217775</v>
      </c>
    </row>
    <row r="687">
      <c r="A687" s="1" t="s">
        <v>22</v>
      </c>
      <c r="B687" s="1" t="s">
        <v>38</v>
      </c>
      <c r="C687" s="1" t="s">
        <v>612</v>
      </c>
      <c r="D687" s="1">
        <v>3.0</v>
      </c>
      <c r="E687" s="1">
        <v>68.0</v>
      </c>
      <c r="F687" s="1">
        <v>1.0</v>
      </c>
      <c r="G687" s="1">
        <v>9.0</v>
      </c>
      <c r="H687" s="1">
        <v>602.0</v>
      </c>
      <c r="I687" s="1" t="s">
        <v>21</v>
      </c>
      <c r="J687" s="1" t="s">
        <v>18</v>
      </c>
      <c r="K687" s="1">
        <v>62000.0</v>
      </c>
      <c r="L687" s="1" t="s">
        <v>40</v>
      </c>
      <c r="M687" s="1" t="s">
        <v>40</v>
      </c>
    </row>
    <row r="688">
      <c r="A688" s="1" t="s">
        <v>89</v>
      </c>
      <c r="B688" s="1" t="s">
        <v>14</v>
      </c>
      <c r="C688" s="1" t="s">
        <v>480</v>
      </c>
      <c r="D688" s="1">
        <v>2.0</v>
      </c>
      <c r="E688" s="1">
        <v>50.0</v>
      </c>
      <c r="F688" s="1">
        <v>5.0</v>
      </c>
      <c r="G688" s="1">
        <v>9.0</v>
      </c>
      <c r="H688" s="1">
        <v>602.0</v>
      </c>
      <c r="I688" s="1" t="s">
        <v>21</v>
      </c>
      <c r="J688" s="1" t="s">
        <v>18</v>
      </c>
      <c r="K688" s="2"/>
      <c r="L688" s="1">
        <v>56.9550112</v>
      </c>
      <c r="M688" s="1">
        <v>24.1985621</v>
      </c>
    </row>
    <row r="689">
      <c r="A689" s="1" t="s">
        <v>22</v>
      </c>
      <c r="B689" s="1" t="s">
        <v>129</v>
      </c>
      <c r="C689" s="1" t="s">
        <v>613</v>
      </c>
      <c r="D689" s="1">
        <v>2.0</v>
      </c>
      <c r="E689" s="1">
        <v>72.0</v>
      </c>
      <c r="F689" s="1">
        <v>3.0</v>
      </c>
      <c r="G689" s="1">
        <v>4.0</v>
      </c>
      <c r="H689" s="1" t="s">
        <v>181</v>
      </c>
      <c r="I689" s="1" t="s">
        <v>37</v>
      </c>
      <c r="J689" s="1" t="s">
        <v>18</v>
      </c>
      <c r="K689" s="1">
        <v>68500.0</v>
      </c>
      <c r="L689" s="1">
        <v>56.990941</v>
      </c>
      <c r="M689" s="1">
        <v>24.1329725</v>
      </c>
    </row>
    <row r="690">
      <c r="A690" s="1" t="s">
        <v>13</v>
      </c>
      <c r="B690" s="1" t="s">
        <v>23</v>
      </c>
      <c r="C690" s="1" t="s">
        <v>614</v>
      </c>
      <c r="D690" s="1">
        <v>2.0</v>
      </c>
      <c r="E690" s="1">
        <v>85.0</v>
      </c>
      <c r="F690" s="1">
        <v>3.0</v>
      </c>
      <c r="G690" s="1">
        <v>6.0</v>
      </c>
      <c r="H690" s="1" t="s">
        <v>25</v>
      </c>
      <c r="I690" s="1" t="s">
        <v>33</v>
      </c>
      <c r="J690" s="1" t="s">
        <v>18</v>
      </c>
      <c r="K690" s="1">
        <v>500.0</v>
      </c>
      <c r="L690" s="1">
        <v>56.957785</v>
      </c>
      <c r="M690" s="1">
        <v>24.1241849</v>
      </c>
    </row>
    <row r="691">
      <c r="A691" s="1" t="s">
        <v>22</v>
      </c>
      <c r="B691" s="1" t="s">
        <v>74</v>
      </c>
      <c r="C691" s="1" t="s">
        <v>615</v>
      </c>
      <c r="D691" s="1">
        <v>2.0</v>
      </c>
      <c r="E691" s="1">
        <v>50.0</v>
      </c>
      <c r="F691" s="1">
        <v>4.0</v>
      </c>
      <c r="G691" s="1">
        <v>9.0</v>
      </c>
      <c r="H691" s="1">
        <v>602.0</v>
      </c>
      <c r="I691" s="1" t="s">
        <v>21</v>
      </c>
      <c r="J691" s="1" t="s">
        <v>18</v>
      </c>
      <c r="K691" s="1">
        <v>60000.0</v>
      </c>
      <c r="L691" s="1">
        <v>56.9362783</v>
      </c>
      <c r="M691" s="1">
        <v>24.2110749</v>
      </c>
    </row>
    <row r="692">
      <c r="A692" s="1" t="s">
        <v>13</v>
      </c>
      <c r="B692" s="1" t="s">
        <v>23</v>
      </c>
      <c r="C692" s="1" t="s">
        <v>616</v>
      </c>
      <c r="D692" s="1">
        <v>2.0</v>
      </c>
      <c r="E692" s="1">
        <v>57.0</v>
      </c>
      <c r="F692" s="1">
        <v>5.0</v>
      </c>
      <c r="G692" s="1">
        <v>7.0</v>
      </c>
      <c r="H692" s="1" t="s">
        <v>32</v>
      </c>
      <c r="I692" s="1" t="s">
        <v>122</v>
      </c>
      <c r="J692" s="1" t="s">
        <v>18</v>
      </c>
      <c r="K692" s="1">
        <v>750.0</v>
      </c>
      <c r="L692" s="1">
        <v>56.9596279</v>
      </c>
      <c r="M692" s="1">
        <v>24.1079909</v>
      </c>
    </row>
    <row r="693">
      <c r="A693" s="1" t="s">
        <v>22</v>
      </c>
      <c r="B693" s="1" t="s">
        <v>60</v>
      </c>
      <c r="C693" s="1" t="s">
        <v>61</v>
      </c>
      <c r="D693" s="1">
        <v>2.0</v>
      </c>
      <c r="E693" s="1">
        <v>51.0</v>
      </c>
      <c r="F693" s="1">
        <v>3.0</v>
      </c>
      <c r="G693" s="1">
        <v>5.0</v>
      </c>
      <c r="H693" s="1">
        <v>103.0</v>
      </c>
      <c r="I693" s="1" t="s">
        <v>21</v>
      </c>
      <c r="J693" s="1" t="s">
        <v>18</v>
      </c>
      <c r="K693" s="1">
        <v>34000.0</v>
      </c>
      <c r="L693" s="1">
        <v>57.02965155</v>
      </c>
      <c r="M693" s="1">
        <v>24.0359751945236</v>
      </c>
    </row>
    <row r="694">
      <c r="A694" s="1" t="s">
        <v>13</v>
      </c>
      <c r="B694" s="1" t="s">
        <v>23</v>
      </c>
      <c r="C694" s="1" t="s">
        <v>617</v>
      </c>
      <c r="D694" s="1">
        <v>2.0</v>
      </c>
      <c r="E694" s="1">
        <v>49.0</v>
      </c>
      <c r="F694" s="1">
        <v>3.0</v>
      </c>
      <c r="G694" s="1">
        <v>5.0</v>
      </c>
      <c r="H694" s="1" t="s">
        <v>25</v>
      </c>
      <c r="I694" s="1" t="s">
        <v>33</v>
      </c>
      <c r="J694" s="1" t="s">
        <v>18</v>
      </c>
      <c r="K694" s="1">
        <v>400.0</v>
      </c>
      <c r="L694" s="1" t="s">
        <v>40</v>
      </c>
      <c r="M694" s="1" t="s">
        <v>40</v>
      </c>
    </row>
    <row r="695">
      <c r="A695" s="1" t="s">
        <v>13</v>
      </c>
      <c r="B695" s="1" t="s">
        <v>23</v>
      </c>
      <c r="C695" s="1" t="s">
        <v>618</v>
      </c>
      <c r="D695" s="1">
        <v>2.0</v>
      </c>
      <c r="E695" s="1">
        <v>52.0</v>
      </c>
      <c r="F695" s="1">
        <v>3.0</v>
      </c>
      <c r="G695" s="1">
        <v>4.0</v>
      </c>
      <c r="H695" s="1" t="s">
        <v>25</v>
      </c>
      <c r="I695" s="1" t="s">
        <v>37</v>
      </c>
      <c r="J695" s="1" t="s">
        <v>18</v>
      </c>
      <c r="K695" s="1">
        <v>700.0</v>
      </c>
      <c r="L695" s="1">
        <v>48.2969502</v>
      </c>
      <c r="M695" s="1">
        <v>-100.7081938</v>
      </c>
    </row>
    <row r="696">
      <c r="A696" s="1" t="s">
        <v>22</v>
      </c>
      <c r="B696" s="1" t="s">
        <v>104</v>
      </c>
      <c r="C696" s="1" t="s">
        <v>619</v>
      </c>
      <c r="D696" s="1">
        <v>2.0</v>
      </c>
      <c r="E696" s="1">
        <v>50.0</v>
      </c>
      <c r="F696" s="1">
        <v>2.0</v>
      </c>
      <c r="G696" s="1">
        <v>4.0</v>
      </c>
      <c r="H696" s="1" t="s">
        <v>66</v>
      </c>
      <c r="I696" s="1" t="s">
        <v>33</v>
      </c>
      <c r="J696" s="1" t="s">
        <v>18</v>
      </c>
      <c r="K696" s="1">
        <v>64480.0</v>
      </c>
      <c r="L696" s="1">
        <v>56.9474705</v>
      </c>
      <c r="M696" s="1">
        <v>24.0604076</v>
      </c>
    </row>
    <row r="697">
      <c r="A697" s="1" t="s">
        <v>13</v>
      </c>
      <c r="B697" s="1" t="s">
        <v>151</v>
      </c>
      <c r="C697" s="1" t="s">
        <v>620</v>
      </c>
      <c r="D697" s="1">
        <v>2.0</v>
      </c>
      <c r="E697" s="1">
        <v>50.0</v>
      </c>
      <c r="F697" s="1">
        <v>4.0</v>
      </c>
      <c r="G697" s="1">
        <v>5.0</v>
      </c>
      <c r="H697" s="1" t="s">
        <v>16</v>
      </c>
      <c r="I697" s="1" t="s">
        <v>21</v>
      </c>
      <c r="J697" s="1" t="s">
        <v>18</v>
      </c>
      <c r="K697" s="1">
        <v>350.0</v>
      </c>
      <c r="L697" s="1">
        <v>56.9567829</v>
      </c>
      <c r="M697" s="1">
        <v>24.0344957</v>
      </c>
    </row>
    <row r="698">
      <c r="A698" s="1" t="s">
        <v>22</v>
      </c>
      <c r="B698" s="1" t="s">
        <v>422</v>
      </c>
      <c r="C698" s="1" t="s">
        <v>621</v>
      </c>
      <c r="D698" s="1">
        <v>1.0</v>
      </c>
      <c r="E698" s="1">
        <v>31.0</v>
      </c>
      <c r="F698" s="1">
        <v>5.0</v>
      </c>
      <c r="G698" s="1">
        <v>5.0</v>
      </c>
      <c r="H698" s="1" t="s">
        <v>44</v>
      </c>
      <c r="I698" s="1" t="s">
        <v>37</v>
      </c>
      <c r="J698" s="1" t="s">
        <v>18</v>
      </c>
      <c r="K698" s="1">
        <v>33000.0</v>
      </c>
      <c r="L698" s="1">
        <v>56.93731855</v>
      </c>
      <c r="M698" s="1">
        <v>24.0414634146547</v>
      </c>
    </row>
    <row r="699">
      <c r="A699" s="1" t="s">
        <v>13</v>
      </c>
      <c r="B699" s="1" t="s">
        <v>23</v>
      </c>
      <c r="C699" s="1" t="s">
        <v>622</v>
      </c>
      <c r="D699" s="1">
        <v>2.0</v>
      </c>
      <c r="E699" s="1">
        <v>53.0</v>
      </c>
      <c r="F699" s="1">
        <v>1.0</v>
      </c>
      <c r="G699" s="1">
        <v>2.0</v>
      </c>
      <c r="H699" s="1" t="s">
        <v>25</v>
      </c>
      <c r="I699" s="1" t="s">
        <v>26</v>
      </c>
      <c r="J699" s="1" t="s">
        <v>27</v>
      </c>
      <c r="K699" s="1">
        <v>250.0</v>
      </c>
      <c r="L699" s="1">
        <v>56.9443854</v>
      </c>
      <c r="M699" s="1">
        <v>24.1264321</v>
      </c>
    </row>
    <row r="700">
      <c r="A700" s="1" t="s">
        <v>13</v>
      </c>
      <c r="B700" s="1" t="s">
        <v>23</v>
      </c>
      <c r="C700" s="1" t="s">
        <v>623</v>
      </c>
      <c r="D700" s="1">
        <v>2.0</v>
      </c>
      <c r="E700" s="1">
        <v>56.0</v>
      </c>
      <c r="F700" s="1">
        <v>1.0</v>
      </c>
      <c r="G700" s="1">
        <v>6.0</v>
      </c>
      <c r="H700" s="1" t="s">
        <v>66</v>
      </c>
      <c r="I700" s="1" t="s">
        <v>33</v>
      </c>
      <c r="J700" s="1" t="s">
        <v>18</v>
      </c>
      <c r="K700" s="1">
        <v>590.0</v>
      </c>
      <c r="L700" s="1">
        <v>56.9590141</v>
      </c>
      <c r="M700" s="1">
        <v>24.1091630445939</v>
      </c>
    </row>
    <row r="701">
      <c r="A701" s="1" t="s">
        <v>22</v>
      </c>
      <c r="B701" s="1" t="s">
        <v>94</v>
      </c>
      <c r="C701" s="1" t="s">
        <v>624</v>
      </c>
      <c r="D701" s="1">
        <v>2.0</v>
      </c>
      <c r="E701" s="1">
        <v>50.0</v>
      </c>
      <c r="F701" s="1">
        <v>9.0</v>
      </c>
      <c r="G701" s="1">
        <v>9.0</v>
      </c>
      <c r="H701" s="1">
        <v>467.0</v>
      </c>
      <c r="I701" s="1" t="s">
        <v>122</v>
      </c>
      <c r="J701" s="1" t="s">
        <v>18</v>
      </c>
      <c r="K701" s="1">
        <v>58000.0</v>
      </c>
      <c r="L701" s="1">
        <v>56.8597884</v>
      </c>
      <c r="M701" s="1">
        <v>24.3083417</v>
      </c>
    </row>
    <row r="702">
      <c r="A702" s="1" t="s">
        <v>13</v>
      </c>
      <c r="B702" s="1" t="s">
        <v>23</v>
      </c>
      <c r="C702" s="1" t="s">
        <v>625</v>
      </c>
      <c r="D702" s="1">
        <v>1.0</v>
      </c>
      <c r="E702" s="1">
        <v>40.0</v>
      </c>
      <c r="F702" s="1">
        <v>6.0</v>
      </c>
      <c r="G702" s="1">
        <v>6.0</v>
      </c>
      <c r="H702" s="1" t="s">
        <v>25</v>
      </c>
      <c r="I702" s="1" t="s">
        <v>33</v>
      </c>
      <c r="J702" s="1" t="s">
        <v>18</v>
      </c>
      <c r="K702" s="1">
        <v>520.0</v>
      </c>
      <c r="L702" s="1">
        <v>56.95798105</v>
      </c>
      <c r="M702" s="1">
        <v>24.1233944812084</v>
      </c>
    </row>
    <row r="703">
      <c r="A703" s="1" t="s">
        <v>22</v>
      </c>
      <c r="B703" s="1" t="s">
        <v>60</v>
      </c>
      <c r="C703" s="1" t="s">
        <v>626</v>
      </c>
      <c r="D703" s="1">
        <v>2.0</v>
      </c>
      <c r="E703" s="1">
        <v>59.0</v>
      </c>
      <c r="F703" s="1">
        <v>2.0</v>
      </c>
      <c r="G703" s="1">
        <v>2.0</v>
      </c>
      <c r="H703" s="1" t="s">
        <v>181</v>
      </c>
      <c r="I703" s="1" t="s">
        <v>37</v>
      </c>
      <c r="J703" s="1" t="s">
        <v>18</v>
      </c>
      <c r="K703" s="1">
        <v>38999.0</v>
      </c>
      <c r="L703" s="1">
        <v>57.0386355</v>
      </c>
      <c r="M703" s="1">
        <v>24.0464749</v>
      </c>
    </row>
    <row r="704">
      <c r="A704" s="1" t="s">
        <v>13</v>
      </c>
      <c r="B704" s="1" t="s">
        <v>23</v>
      </c>
      <c r="C704" s="1" t="s">
        <v>627</v>
      </c>
      <c r="D704" s="1">
        <v>2.0</v>
      </c>
      <c r="E704" s="1">
        <v>45.0</v>
      </c>
      <c r="F704" s="1">
        <v>1.0</v>
      </c>
      <c r="G704" s="1">
        <v>6.0</v>
      </c>
      <c r="H704" s="1" t="s">
        <v>25</v>
      </c>
      <c r="I704" s="1" t="s">
        <v>33</v>
      </c>
      <c r="J704" s="1" t="s">
        <v>18</v>
      </c>
      <c r="K704" s="1">
        <v>500.0</v>
      </c>
      <c r="L704" s="1">
        <v>56.9616145</v>
      </c>
      <c r="M704" s="1">
        <v>24.1100341</v>
      </c>
    </row>
    <row r="705">
      <c r="A705" s="1" t="s">
        <v>13</v>
      </c>
      <c r="B705" s="1" t="s">
        <v>23</v>
      </c>
      <c r="C705" s="1" t="s">
        <v>628</v>
      </c>
      <c r="D705" s="1">
        <v>2.0</v>
      </c>
      <c r="E705" s="1">
        <v>82.0</v>
      </c>
      <c r="F705" s="1">
        <v>6.0</v>
      </c>
      <c r="G705" s="1">
        <v>6.0</v>
      </c>
      <c r="H705" s="1" t="s">
        <v>25</v>
      </c>
      <c r="I705" s="1" t="s">
        <v>33</v>
      </c>
      <c r="J705" s="1" t="s">
        <v>18</v>
      </c>
      <c r="K705" s="1">
        <v>670.0</v>
      </c>
      <c r="L705" s="1">
        <v>56.9625239</v>
      </c>
      <c r="M705" s="1">
        <v>24.1239015</v>
      </c>
    </row>
    <row r="706">
      <c r="A706" s="1" t="s">
        <v>22</v>
      </c>
      <c r="B706" s="1" t="s">
        <v>174</v>
      </c>
      <c r="C706" s="1" t="s">
        <v>629</v>
      </c>
      <c r="D706" s="1">
        <v>1.0</v>
      </c>
      <c r="E706" s="1">
        <v>39.0</v>
      </c>
      <c r="F706" s="1">
        <v>3.0</v>
      </c>
      <c r="G706" s="1">
        <v>5.0</v>
      </c>
      <c r="H706" s="1" t="s">
        <v>57</v>
      </c>
      <c r="I706" s="1" t="s">
        <v>21</v>
      </c>
      <c r="J706" s="1" t="s">
        <v>18</v>
      </c>
      <c r="K706" s="1">
        <v>30500.0</v>
      </c>
      <c r="L706" s="1">
        <v>56.9405505</v>
      </c>
      <c r="M706" s="1">
        <v>24.1882362649725</v>
      </c>
    </row>
    <row r="707">
      <c r="A707" s="1" t="s">
        <v>13</v>
      </c>
      <c r="B707" s="1" t="s">
        <v>23</v>
      </c>
      <c r="C707" s="1" t="s">
        <v>630</v>
      </c>
      <c r="D707" s="1">
        <v>2.0</v>
      </c>
      <c r="E707" s="1">
        <v>60.0</v>
      </c>
      <c r="F707" s="1">
        <v>2.0</v>
      </c>
      <c r="G707" s="1">
        <v>5.0</v>
      </c>
      <c r="H707" s="1" t="s">
        <v>66</v>
      </c>
      <c r="I707" s="1" t="s">
        <v>33</v>
      </c>
      <c r="J707" s="1" t="s">
        <v>18</v>
      </c>
      <c r="K707" s="1">
        <v>400.0</v>
      </c>
      <c r="L707" s="1">
        <v>56.95713205</v>
      </c>
      <c r="M707" s="1">
        <v>24.1327591319781</v>
      </c>
    </row>
    <row r="708">
      <c r="A708" s="1" t="s">
        <v>13</v>
      </c>
      <c r="B708" s="1" t="s">
        <v>104</v>
      </c>
      <c r="C708" s="1" t="s">
        <v>631</v>
      </c>
      <c r="D708" s="1">
        <v>1.0</v>
      </c>
      <c r="E708" s="1">
        <v>34.0</v>
      </c>
      <c r="F708" s="1">
        <v>4.0</v>
      </c>
      <c r="G708" s="1">
        <v>5.0</v>
      </c>
      <c r="H708" s="1">
        <v>103.0</v>
      </c>
      <c r="I708" s="1" t="s">
        <v>17</v>
      </c>
      <c r="J708" s="1" t="s">
        <v>18</v>
      </c>
      <c r="K708" s="1">
        <v>260.0</v>
      </c>
      <c r="L708" s="1">
        <v>56.9488968</v>
      </c>
      <c r="M708" s="1">
        <v>24.0505506480272</v>
      </c>
    </row>
    <row r="709">
      <c r="A709" s="1" t="s">
        <v>22</v>
      </c>
      <c r="B709" s="1" t="s">
        <v>74</v>
      </c>
      <c r="C709" s="1" t="s">
        <v>436</v>
      </c>
      <c r="D709" s="1">
        <v>4.0</v>
      </c>
      <c r="E709" s="1">
        <v>79.0</v>
      </c>
      <c r="F709" s="1">
        <v>4.0</v>
      </c>
      <c r="G709" s="1">
        <v>9.0</v>
      </c>
      <c r="H709" s="1">
        <v>602.0</v>
      </c>
      <c r="I709" s="1" t="s">
        <v>21</v>
      </c>
      <c r="J709" s="1" t="s">
        <v>18</v>
      </c>
      <c r="K709" s="1">
        <v>74500.0</v>
      </c>
      <c r="L709" s="1">
        <v>56.9346184</v>
      </c>
      <c r="M709" s="1">
        <v>24.1980807</v>
      </c>
    </row>
    <row r="710">
      <c r="A710" s="1" t="s">
        <v>13</v>
      </c>
      <c r="B710" s="1" t="s">
        <v>74</v>
      </c>
      <c r="C710" s="1" t="s">
        <v>632</v>
      </c>
      <c r="D710" s="1">
        <v>1.0</v>
      </c>
      <c r="E710" s="1">
        <v>67.0</v>
      </c>
      <c r="F710" s="1">
        <v>1.0</v>
      </c>
      <c r="G710" s="1">
        <v>16.0</v>
      </c>
      <c r="H710" s="1" t="s">
        <v>36</v>
      </c>
      <c r="I710" s="1" t="s">
        <v>17</v>
      </c>
      <c r="J710" s="1" t="s">
        <v>18</v>
      </c>
      <c r="K710" s="1">
        <v>180.0</v>
      </c>
      <c r="L710" s="1" t="s">
        <v>40</v>
      </c>
      <c r="M710" s="1" t="s">
        <v>40</v>
      </c>
    </row>
    <row r="711">
      <c r="A711" s="1" t="s">
        <v>13</v>
      </c>
      <c r="B711" s="1" t="s">
        <v>23</v>
      </c>
      <c r="C711" s="1" t="s">
        <v>633</v>
      </c>
      <c r="D711" s="1">
        <v>4.0</v>
      </c>
      <c r="E711" s="1">
        <v>96.0</v>
      </c>
      <c r="F711" s="1">
        <v>5.0</v>
      </c>
      <c r="G711" s="1">
        <v>6.0</v>
      </c>
      <c r="H711" s="1" t="s">
        <v>25</v>
      </c>
      <c r="I711" s="1" t="s">
        <v>33</v>
      </c>
      <c r="J711" s="1" t="s">
        <v>18</v>
      </c>
      <c r="K711" s="1">
        <v>650.0</v>
      </c>
      <c r="L711" s="1">
        <v>56.9557312</v>
      </c>
      <c r="M711" s="1">
        <v>24.1222604</v>
      </c>
    </row>
    <row r="712">
      <c r="A712" s="1" t="s">
        <v>13</v>
      </c>
      <c r="B712" s="1" t="s">
        <v>104</v>
      </c>
      <c r="C712" s="1" t="s">
        <v>634</v>
      </c>
      <c r="D712" s="1">
        <v>3.0</v>
      </c>
      <c r="E712" s="1">
        <v>55.0</v>
      </c>
      <c r="F712" s="1">
        <v>5.0</v>
      </c>
      <c r="G712" s="1">
        <v>5.0</v>
      </c>
      <c r="H712" s="1" t="s">
        <v>16</v>
      </c>
      <c r="I712" s="1" t="s">
        <v>21</v>
      </c>
      <c r="J712" s="1" t="s">
        <v>18</v>
      </c>
      <c r="K712" s="1">
        <v>380.0</v>
      </c>
      <c r="L712" s="1">
        <v>56.9521874</v>
      </c>
      <c r="M712" s="1">
        <v>24.0276936</v>
      </c>
    </row>
    <row r="713">
      <c r="A713" s="1" t="s">
        <v>22</v>
      </c>
      <c r="B713" s="1" t="s">
        <v>76</v>
      </c>
      <c r="C713" s="1" t="s">
        <v>635</v>
      </c>
      <c r="D713" s="1">
        <v>2.0</v>
      </c>
      <c r="E713" s="1">
        <v>49.0</v>
      </c>
      <c r="F713" s="1">
        <v>2.0</v>
      </c>
      <c r="G713" s="1">
        <v>9.0</v>
      </c>
      <c r="H713" s="1">
        <v>602.0</v>
      </c>
      <c r="I713" s="1" t="s">
        <v>21</v>
      </c>
      <c r="J713" s="1" t="s">
        <v>18</v>
      </c>
      <c r="K713" s="1">
        <v>50000.0</v>
      </c>
      <c r="L713" s="1">
        <v>56.96512045</v>
      </c>
      <c r="M713" s="1">
        <v>24.0549828893368</v>
      </c>
    </row>
    <row r="714">
      <c r="A714" s="1" t="s">
        <v>13</v>
      </c>
      <c r="B714" s="1" t="s">
        <v>74</v>
      </c>
      <c r="C714" s="1" t="s">
        <v>636</v>
      </c>
      <c r="D714" s="1">
        <v>1.0</v>
      </c>
      <c r="E714" s="1">
        <v>49.0</v>
      </c>
      <c r="F714" s="1">
        <v>10.0</v>
      </c>
      <c r="G714" s="1">
        <v>12.0</v>
      </c>
      <c r="H714" s="1">
        <v>104.0</v>
      </c>
      <c r="I714" s="1" t="s">
        <v>21</v>
      </c>
      <c r="J714" s="1" t="s">
        <v>18</v>
      </c>
      <c r="K714" s="1">
        <v>300.0</v>
      </c>
      <c r="L714" s="1">
        <v>56.93679455</v>
      </c>
      <c r="M714" s="1">
        <v>24.2018369722633</v>
      </c>
    </row>
    <row r="715">
      <c r="A715" s="1" t="s">
        <v>13</v>
      </c>
      <c r="B715" s="1" t="s">
        <v>23</v>
      </c>
      <c r="C715" s="1" t="s">
        <v>637</v>
      </c>
      <c r="D715" s="1">
        <v>2.0</v>
      </c>
      <c r="E715" s="1">
        <v>52.0</v>
      </c>
      <c r="F715" s="1">
        <v>2.0</v>
      </c>
      <c r="G715" s="1">
        <v>5.0</v>
      </c>
      <c r="H715" s="1" t="s">
        <v>25</v>
      </c>
      <c r="I715" s="1" t="s">
        <v>33</v>
      </c>
      <c r="J715" s="1" t="s">
        <v>18</v>
      </c>
      <c r="K715" s="1">
        <v>420.0</v>
      </c>
      <c r="L715" s="1">
        <v>56.9578232</v>
      </c>
      <c r="M715" s="1">
        <v>24.1106167</v>
      </c>
    </row>
    <row r="716">
      <c r="A716" s="1" t="s">
        <v>13</v>
      </c>
      <c r="B716" s="1" t="s">
        <v>28</v>
      </c>
      <c r="C716" s="1" t="s">
        <v>638</v>
      </c>
      <c r="D716" s="1">
        <v>1.0</v>
      </c>
      <c r="E716" s="1">
        <v>19.0</v>
      </c>
      <c r="F716" s="1">
        <v>5.0</v>
      </c>
      <c r="G716" s="1">
        <v>5.0</v>
      </c>
      <c r="H716" s="1" t="s">
        <v>66</v>
      </c>
      <c r="I716" s="1" t="s">
        <v>37</v>
      </c>
      <c r="J716" s="1" t="s">
        <v>18</v>
      </c>
      <c r="K716" s="1">
        <v>260.0</v>
      </c>
      <c r="L716" s="1">
        <v>56.8597884</v>
      </c>
      <c r="M716" s="1">
        <v>24.3083417</v>
      </c>
    </row>
    <row r="717">
      <c r="A717" s="1" t="s">
        <v>13</v>
      </c>
      <c r="B717" s="1" t="s">
        <v>104</v>
      </c>
      <c r="C717" s="1" t="s">
        <v>208</v>
      </c>
      <c r="D717" s="1">
        <v>2.0</v>
      </c>
      <c r="E717" s="1">
        <v>61.0</v>
      </c>
      <c r="F717" s="1">
        <v>4.0</v>
      </c>
      <c r="G717" s="1">
        <v>4.0</v>
      </c>
      <c r="H717" s="1" t="s">
        <v>32</v>
      </c>
      <c r="I717" s="1" t="s">
        <v>33</v>
      </c>
      <c r="J717" s="1" t="s">
        <v>18</v>
      </c>
      <c r="K717" s="1">
        <v>750.0</v>
      </c>
      <c r="L717" s="1">
        <v>56.93693955</v>
      </c>
      <c r="M717" s="1">
        <v>24.1019323631236</v>
      </c>
    </row>
    <row r="718">
      <c r="A718" s="1" t="s">
        <v>13</v>
      </c>
      <c r="B718" s="1" t="s">
        <v>23</v>
      </c>
      <c r="C718" s="1" t="s">
        <v>639</v>
      </c>
      <c r="D718" s="1">
        <v>4.0</v>
      </c>
      <c r="E718" s="1">
        <v>145.0</v>
      </c>
      <c r="F718" s="1">
        <v>5.0</v>
      </c>
      <c r="G718" s="1">
        <v>6.0</v>
      </c>
      <c r="H718" s="1" t="s">
        <v>25</v>
      </c>
      <c r="I718" s="1" t="s">
        <v>33</v>
      </c>
      <c r="J718" s="1" t="s">
        <v>18</v>
      </c>
      <c r="K718" s="1">
        <v>1200.0</v>
      </c>
      <c r="L718" s="1">
        <v>56.9617633</v>
      </c>
      <c r="M718" s="1">
        <v>24.0998906442974</v>
      </c>
    </row>
    <row r="719">
      <c r="A719" s="1" t="s">
        <v>22</v>
      </c>
      <c r="B719" s="1" t="s">
        <v>14</v>
      </c>
      <c r="C719" s="1" t="s">
        <v>640</v>
      </c>
      <c r="D719" s="1">
        <v>2.0</v>
      </c>
      <c r="E719" s="1">
        <v>48.0</v>
      </c>
      <c r="F719" s="1">
        <v>4.0</v>
      </c>
      <c r="G719" s="1">
        <v>5.0</v>
      </c>
      <c r="H719" s="1" t="s">
        <v>32</v>
      </c>
      <c r="I719" s="1" t="s">
        <v>21</v>
      </c>
      <c r="J719" s="1" t="s">
        <v>18</v>
      </c>
      <c r="K719" s="1">
        <v>87000.0</v>
      </c>
      <c r="L719" s="1">
        <v>56.9594410499999</v>
      </c>
      <c r="M719" s="1">
        <v>24.1666360443777</v>
      </c>
    </row>
    <row r="720">
      <c r="A720" s="1" t="s">
        <v>22</v>
      </c>
      <c r="B720" s="1" t="s">
        <v>151</v>
      </c>
      <c r="C720" s="1" t="s">
        <v>641</v>
      </c>
      <c r="D720" s="1">
        <v>2.0</v>
      </c>
      <c r="E720" s="1">
        <v>49.0</v>
      </c>
      <c r="F720" s="1">
        <v>2.0</v>
      </c>
      <c r="G720" s="1">
        <v>5.0</v>
      </c>
      <c r="H720" s="1" t="s">
        <v>16</v>
      </c>
      <c r="I720" s="1" t="s">
        <v>21</v>
      </c>
      <c r="J720" s="1" t="s">
        <v>18</v>
      </c>
      <c r="K720" s="1">
        <v>45000.0</v>
      </c>
      <c r="L720" s="1">
        <v>56.970867</v>
      </c>
      <c r="M720" s="1">
        <v>24.0538758814468</v>
      </c>
    </row>
    <row r="721">
      <c r="A721" s="1" t="s">
        <v>22</v>
      </c>
      <c r="B721" s="1" t="s">
        <v>28</v>
      </c>
      <c r="C721" s="1" t="s">
        <v>642</v>
      </c>
      <c r="D721" s="1">
        <v>3.0</v>
      </c>
      <c r="E721" s="1">
        <v>62.0</v>
      </c>
      <c r="F721" s="1">
        <v>3.0</v>
      </c>
      <c r="G721" s="1">
        <v>5.0</v>
      </c>
      <c r="H721" s="1" t="s">
        <v>16</v>
      </c>
      <c r="I721" s="1" t="s">
        <v>21</v>
      </c>
      <c r="J721" s="1" t="s">
        <v>18</v>
      </c>
      <c r="K721" s="1">
        <v>53900.0</v>
      </c>
      <c r="L721" s="1">
        <v>56.9168339</v>
      </c>
      <c r="M721" s="1">
        <v>24.17698295</v>
      </c>
    </row>
    <row r="722">
      <c r="A722" s="1" t="s">
        <v>22</v>
      </c>
      <c r="B722" s="1" t="s">
        <v>30</v>
      </c>
      <c r="C722" s="1" t="s">
        <v>643</v>
      </c>
      <c r="D722" s="1">
        <v>2.0</v>
      </c>
      <c r="E722" s="1">
        <v>56.0</v>
      </c>
      <c r="F722" s="1">
        <v>3.0</v>
      </c>
      <c r="G722" s="1">
        <v>4.0</v>
      </c>
      <c r="H722" s="1" t="s">
        <v>181</v>
      </c>
      <c r="I722" s="1" t="s">
        <v>33</v>
      </c>
      <c r="J722" s="1" t="s">
        <v>18</v>
      </c>
      <c r="K722" s="1">
        <v>75000.0</v>
      </c>
      <c r="L722" s="1">
        <v>56.9725209</v>
      </c>
      <c r="M722" s="1">
        <v>24.1654296</v>
      </c>
    </row>
    <row r="723">
      <c r="A723" s="1" t="s">
        <v>13</v>
      </c>
      <c r="B723" s="1" t="s">
        <v>218</v>
      </c>
      <c r="C723" s="1" t="s">
        <v>644</v>
      </c>
      <c r="D723" s="1">
        <v>2.0</v>
      </c>
      <c r="E723" s="1">
        <v>72.0</v>
      </c>
      <c r="F723" s="1">
        <v>4.0</v>
      </c>
      <c r="G723" s="1">
        <v>7.0</v>
      </c>
      <c r="H723" s="1" t="s">
        <v>32</v>
      </c>
      <c r="I723" s="1" t="s">
        <v>21</v>
      </c>
      <c r="J723" s="1" t="s">
        <v>18</v>
      </c>
      <c r="K723" s="1">
        <v>650.0</v>
      </c>
      <c r="L723" s="1">
        <v>56.945456</v>
      </c>
      <c r="M723" s="1">
        <v>24.1115799</v>
      </c>
    </row>
    <row r="724">
      <c r="A724" s="1" t="s">
        <v>13</v>
      </c>
      <c r="B724" s="1" t="s">
        <v>42</v>
      </c>
      <c r="C724" s="1" t="s">
        <v>645</v>
      </c>
      <c r="D724" s="1">
        <v>3.0</v>
      </c>
      <c r="E724" s="1">
        <v>130.0</v>
      </c>
      <c r="F724" s="1">
        <v>9.0</v>
      </c>
      <c r="G724" s="1">
        <v>9.0</v>
      </c>
      <c r="H724" s="1" t="s">
        <v>32</v>
      </c>
      <c r="I724" s="1" t="s">
        <v>17</v>
      </c>
      <c r="J724" s="1" t="s">
        <v>18</v>
      </c>
      <c r="K724" s="1">
        <v>690.0</v>
      </c>
      <c r="L724" s="1">
        <v>56.9872927</v>
      </c>
      <c r="M724" s="1">
        <v>24.2472637777653</v>
      </c>
    </row>
    <row r="725">
      <c r="A725" s="1" t="s">
        <v>22</v>
      </c>
      <c r="B725" s="1" t="s">
        <v>96</v>
      </c>
      <c r="C725" s="1" t="s">
        <v>646</v>
      </c>
      <c r="D725" s="1">
        <v>2.0</v>
      </c>
      <c r="E725" s="1">
        <v>50.0</v>
      </c>
      <c r="F725" s="1">
        <v>1.0</v>
      </c>
      <c r="G725" s="1">
        <v>5.0</v>
      </c>
      <c r="H725" s="1" t="s">
        <v>16</v>
      </c>
      <c r="I725" s="1" t="s">
        <v>21</v>
      </c>
      <c r="J725" s="1" t="s">
        <v>18</v>
      </c>
      <c r="K725" s="1">
        <v>38500.0</v>
      </c>
      <c r="L725" s="1">
        <v>57.0338716499999</v>
      </c>
      <c r="M725" s="1">
        <v>24.1016223840699</v>
      </c>
    </row>
    <row r="726">
      <c r="A726" s="1" t="s">
        <v>13</v>
      </c>
      <c r="B726" s="1" t="s">
        <v>50</v>
      </c>
      <c r="C726" s="1" t="s">
        <v>647</v>
      </c>
      <c r="D726" s="1">
        <v>1.0</v>
      </c>
      <c r="E726" s="1">
        <v>20.0</v>
      </c>
      <c r="F726" s="1">
        <v>1.0</v>
      </c>
      <c r="G726" s="1">
        <v>5.0</v>
      </c>
      <c r="H726" s="1" t="s">
        <v>66</v>
      </c>
      <c r="I726" s="1" t="s">
        <v>37</v>
      </c>
      <c r="J726" s="1" t="s">
        <v>18</v>
      </c>
      <c r="K726" s="1">
        <v>260.0</v>
      </c>
      <c r="L726" s="1">
        <v>56.8597884</v>
      </c>
      <c r="M726" s="1">
        <v>24.3083417</v>
      </c>
    </row>
    <row r="727">
      <c r="A727" s="1" t="s">
        <v>22</v>
      </c>
      <c r="B727" s="1" t="s">
        <v>23</v>
      </c>
      <c r="C727" s="1" t="s">
        <v>648</v>
      </c>
      <c r="D727" s="1">
        <v>2.0</v>
      </c>
      <c r="E727" s="1">
        <v>46.0</v>
      </c>
      <c r="F727" s="1">
        <v>2.0</v>
      </c>
      <c r="G727" s="1">
        <v>6.0</v>
      </c>
      <c r="H727" s="1" t="s">
        <v>66</v>
      </c>
      <c r="I727" s="1" t="s">
        <v>33</v>
      </c>
      <c r="J727" s="1" t="s">
        <v>18</v>
      </c>
      <c r="K727" s="1">
        <v>99029.0</v>
      </c>
      <c r="L727" s="1">
        <v>56.94999685</v>
      </c>
      <c r="M727" s="1">
        <v>24.1364139006283</v>
      </c>
    </row>
    <row r="728">
      <c r="A728" s="1" t="s">
        <v>22</v>
      </c>
      <c r="B728" s="1" t="s">
        <v>218</v>
      </c>
      <c r="C728" s="1" t="s">
        <v>649</v>
      </c>
      <c r="D728" s="1">
        <v>3.0</v>
      </c>
      <c r="E728" s="1">
        <v>82.0</v>
      </c>
      <c r="F728" s="1">
        <v>2.0</v>
      </c>
      <c r="G728" s="1">
        <v>4.0</v>
      </c>
      <c r="H728" s="1" t="s">
        <v>25</v>
      </c>
      <c r="I728" s="1" t="s">
        <v>37</v>
      </c>
      <c r="J728" s="1" t="s">
        <v>18</v>
      </c>
      <c r="K728" s="1">
        <v>124000.0</v>
      </c>
      <c r="L728" s="1">
        <v>56.94451965</v>
      </c>
      <c r="M728" s="1">
        <v>24.1097848172545</v>
      </c>
    </row>
    <row r="729">
      <c r="A729" s="1" t="s">
        <v>22</v>
      </c>
      <c r="B729" s="1" t="s">
        <v>23</v>
      </c>
      <c r="C729" s="1" t="s">
        <v>650</v>
      </c>
      <c r="D729" s="1">
        <v>2.0</v>
      </c>
      <c r="E729" s="1">
        <v>46.5</v>
      </c>
      <c r="F729" s="1">
        <v>6.0</v>
      </c>
      <c r="G729" s="1">
        <v>6.0</v>
      </c>
      <c r="H729" s="1" t="s">
        <v>66</v>
      </c>
      <c r="I729" s="1" t="s">
        <v>33</v>
      </c>
      <c r="J729" s="1" t="s">
        <v>18</v>
      </c>
      <c r="K729" s="1">
        <v>81400.0</v>
      </c>
      <c r="L729" s="1">
        <v>56.9665763</v>
      </c>
      <c r="M729" s="1">
        <v>24.1337504</v>
      </c>
    </row>
    <row r="730">
      <c r="A730" s="1" t="s">
        <v>22</v>
      </c>
      <c r="B730" s="1" t="s">
        <v>14</v>
      </c>
      <c r="C730" s="1" t="s">
        <v>651</v>
      </c>
      <c r="D730" s="1">
        <v>2.0</v>
      </c>
      <c r="E730" s="1">
        <v>49.0</v>
      </c>
      <c r="F730" s="1">
        <v>7.0</v>
      </c>
      <c r="G730" s="1">
        <v>9.0</v>
      </c>
      <c r="H730" s="1">
        <v>467.0</v>
      </c>
      <c r="I730" s="1" t="s">
        <v>21</v>
      </c>
      <c r="J730" s="1" t="s">
        <v>18</v>
      </c>
      <c r="K730" s="1">
        <v>60500.0</v>
      </c>
      <c r="L730" s="1">
        <v>56.9346287</v>
      </c>
      <c r="M730" s="1">
        <v>24.195207</v>
      </c>
    </row>
    <row r="731">
      <c r="A731" s="1" t="s">
        <v>13</v>
      </c>
      <c r="B731" s="1" t="s">
        <v>23</v>
      </c>
      <c r="C731" s="1" t="s">
        <v>403</v>
      </c>
      <c r="D731" s="1">
        <v>1.0</v>
      </c>
      <c r="E731" s="1">
        <v>14.0</v>
      </c>
      <c r="F731" s="1">
        <v>5.0</v>
      </c>
      <c r="G731" s="1">
        <v>6.0</v>
      </c>
      <c r="H731" s="1" t="s">
        <v>25</v>
      </c>
      <c r="I731" s="1" t="s">
        <v>33</v>
      </c>
      <c r="J731" s="1" t="s">
        <v>18</v>
      </c>
      <c r="K731" s="1">
        <v>150.0</v>
      </c>
      <c r="L731" s="1">
        <v>56.9543322</v>
      </c>
      <c r="M731" s="1">
        <v>24.1313043698515</v>
      </c>
    </row>
    <row r="732">
      <c r="A732" s="1" t="s">
        <v>22</v>
      </c>
      <c r="B732" s="1" t="s">
        <v>23</v>
      </c>
      <c r="C732" s="1" t="s">
        <v>652</v>
      </c>
      <c r="D732" s="1">
        <v>3.0</v>
      </c>
      <c r="E732" s="1">
        <v>108.0</v>
      </c>
      <c r="F732" s="1">
        <v>6.0</v>
      </c>
      <c r="G732" s="1">
        <v>6.0</v>
      </c>
      <c r="H732" s="1" t="s">
        <v>66</v>
      </c>
      <c r="I732" s="1" t="s">
        <v>37</v>
      </c>
      <c r="J732" s="1" t="s">
        <v>18</v>
      </c>
      <c r="K732" s="1">
        <v>169000.0</v>
      </c>
      <c r="L732" s="1">
        <v>56.96741145</v>
      </c>
      <c r="M732" s="1">
        <v>24.1444746789804</v>
      </c>
    </row>
    <row r="733">
      <c r="A733" s="1" t="s">
        <v>22</v>
      </c>
      <c r="B733" s="1" t="s">
        <v>38</v>
      </c>
      <c r="C733" s="1" t="s">
        <v>653</v>
      </c>
      <c r="D733" s="1">
        <v>3.0</v>
      </c>
      <c r="E733" s="1">
        <v>74.0</v>
      </c>
      <c r="F733" s="1">
        <v>6.0</v>
      </c>
      <c r="G733" s="1">
        <v>12.0</v>
      </c>
      <c r="H733" s="1" t="s">
        <v>32</v>
      </c>
      <c r="I733" s="1" t="s">
        <v>21</v>
      </c>
      <c r="J733" s="1" t="s">
        <v>18</v>
      </c>
      <c r="K733" s="1">
        <v>115000.0</v>
      </c>
      <c r="L733" s="1">
        <v>56.9675737</v>
      </c>
      <c r="M733" s="1">
        <v>24.0276706</v>
      </c>
    </row>
    <row r="734">
      <c r="A734" s="1" t="s">
        <v>22</v>
      </c>
      <c r="B734" s="1" t="s">
        <v>23</v>
      </c>
      <c r="C734" s="1" t="s">
        <v>654</v>
      </c>
      <c r="D734" s="1">
        <v>3.0</v>
      </c>
      <c r="E734" s="1">
        <v>76.0</v>
      </c>
      <c r="F734" s="1">
        <v>1.0</v>
      </c>
      <c r="G734" s="1">
        <v>5.0</v>
      </c>
      <c r="H734" s="1" t="s">
        <v>181</v>
      </c>
      <c r="I734" s="1" t="s">
        <v>33</v>
      </c>
      <c r="J734" s="1" t="s">
        <v>18</v>
      </c>
      <c r="K734" s="1">
        <v>129000.0</v>
      </c>
      <c r="L734" s="1">
        <v>56.9717941</v>
      </c>
      <c r="M734" s="1">
        <v>24.134779</v>
      </c>
    </row>
    <row r="735">
      <c r="A735" s="1" t="s">
        <v>13</v>
      </c>
      <c r="B735" s="1" t="s">
        <v>30</v>
      </c>
      <c r="C735" s="1" t="s">
        <v>655</v>
      </c>
      <c r="D735" s="1">
        <v>1.0</v>
      </c>
      <c r="E735" s="1">
        <v>20.0</v>
      </c>
      <c r="F735" s="1">
        <v>1.0</v>
      </c>
      <c r="G735" s="1">
        <v>5.0</v>
      </c>
      <c r="H735" s="1">
        <v>103.0</v>
      </c>
      <c r="I735" s="1" t="s">
        <v>17</v>
      </c>
      <c r="J735" s="1" t="s">
        <v>18</v>
      </c>
      <c r="K735" s="1">
        <v>160.0</v>
      </c>
      <c r="L735" s="1">
        <v>56.96655575</v>
      </c>
      <c r="M735" s="1">
        <v>24.1741245533356</v>
      </c>
    </row>
    <row r="736">
      <c r="A736" s="1" t="s">
        <v>131</v>
      </c>
      <c r="B736" s="1" t="s">
        <v>23</v>
      </c>
      <c r="C736" s="2"/>
      <c r="D736" s="1">
        <v>2.0</v>
      </c>
      <c r="E736" s="2"/>
      <c r="F736" s="2"/>
      <c r="G736" s="2"/>
      <c r="H736" s="1" t="s">
        <v>32</v>
      </c>
      <c r="I736" s="2"/>
      <c r="J736" s="2"/>
      <c r="K736" s="2"/>
      <c r="L736" s="1">
        <v>46.3144754</v>
      </c>
      <c r="M736" s="1">
        <v>11.0480288</v>
      </c>
    </row>
    <row r="737">
      <c r="A737" s="1" t="s">
        <v>22</v>
      </c>
      <c r="B737" s="1" t="s">
        <v>38</v>
      </c>
      <c r="C737" s="1" t="s">
        <v>656</v>
      </c>
      <c r="D737" s="1">
        <v>2.0</v>
      </c>
      <c r="E737" s="1">
        <v>50.0</v>
      </c>
      <c r="F737" s="1">
        <v>8.0</v>
      </c>
      <c r="G737" s="1">
        <v>9.0</v>
      </c>
      <c r="H737" s="1">
        <v>602.0</v>
      </c>
      <c r="I737" s="1" t="s">
        <v>21</v>
      </c>
      <c r="J737" s="1" t="s">
        <v>18</v>
      </c>
      <c r="K737" s="1">
        <v>54000.0</v>
      </c>
      <c r="L737" s="1">
        <v>56.96414355</v>
      </c>
      <c r="M737" s="1">
        <v>24.0080729754834</v>
      </c>
    </row>
    <row r="738">
      <c r="A738" s="1" t="s">
        <v>22</v>
      </c>
      <c r="B738" s="1" t="s">
        <v>23</v>
      </c>
      <c r="C738" s="1" t="s">
        <v>657</v>
      </c>
      <c r="D738" s="1">
        <v>4.0</v>
      </c>
      <c r="E738" s="1">
        <v>171.0</v>
      </c>
      <c r="F738" s="1">
        <v>4.0</v>
      </c>
      <c r="G738" s="1">
        <v>6.0</v>
      </c>
      <c r="H738" s="1" t="s">
        <v>25</v>
      </c>
      <c r="I738" s="1" t="s">
        <v>33</v>
      </c>
      <c r="J738" s="1" t="s">
        <v>18</v>
      </c>
      <c r="K738" s="1">
        <v>385000.0</v>
      </c>
      <c r="L738" s="1">
        <v>56.9584801</v>
      </c>
      <c r="M738" s="1">
        <v>24.1222427</v>
      </c>
    </row>
    <row r="739">
      <c r="A739" s="1" t="s">
        <v>22</v>
      </c>
      <c r="B739" s="1" t="s">
        <v>117</v>
      </c>
      <c r="C739" s="1" t="s">
        <v>658</v>
      </c>
      <c r="D739" s="1">
        <v>3.0</v>
      </c>
      <c r="E739" s="1">
        <v>68.0</v>
      </c>
      <c r="F739" s="1">
        <v>2.0</v>
      </c>
      <c r="G739" s="1">
        <v>7.0</v>
      </c>
      <c r="H739" s="1" t="s">
        <v>32</v>
      </c>
      <c r="I739" s="1" t="s">
        <v>21</v>
      </c>
      <c r="J739" s="1" t="s">
        <v>18</v>
      </c>
      <c r="K739" s="1">
        <v>118000.0</v>
      </c>
      <c r="L739" s="1">
        <v>56.98909155</v>
      </c>
      <c r="M739" s="1">
        <v>24.1703344302515</v>
      </c>
    </row>
    <row r="740">
      <c r="A740" s="1" t="s">
        <v>89</v>
      </c>
      <c r="B740" s="1" t="s">
        <v>129</v>
      </c>
      <c r="C740" s="2"/>
      <c r="D740" s="2"/>
      <c r="E740" s="2"/>
      <c r="F740" s="2"/>
      <c r="G740" s="2"/>
      <c r="H740" s="2"/>
      <c r="I740" s="2"/>
      <c r="J740" s="2"/>
      <c r="K740" s="2"/>
      <c r="L740" s="1">
        <v>46.3144754</v>
      </c>
      <c r="M740" s="1">
        <v>11.0480288</v>
      </c>
    </row>
    <row r="741">
      <c r="A741" s="1" t="s">
        <v>89</v>
      </c>
      <c r="B741" s="1" t="s">
        <v>174</v>
      </c>
      <c r="C741" s="2"/>
      <c r="D741" s="1">
        <v>2.0</v>
      </c>
      <c r="E741" s="2"/>
      <c r="F741" s="2"/>
      <c r="G741" s="2"/>
      <c r="H741" s="2"/>
      <c r="I741" s="2"/>
      <c r="J741" s="2"/>
      <c r="K741" s="2"/>
      <c r="L741" s="1">
        <v>46.3144754</v>
      </c>
      <c r="M741" s="1">
        <v>11.0480288</v>
      </c>
    </row>
    <row r="742">
      <c r="A742" s="1" t="s">
        <v>22</v>
      </c>
      <c r="B742" s="1" t="s">
        <v>23</v>
      </c>
      <c r="C742" s="1" t="s">
        <v>659</v>
      </c>
      <c r="D742" s="1">
        <v>1.0</v>
      </c>
      <c r="E742" s="1">
        <v>22.0</v>
      </c>
      <c r="F742" s="1">
        <v>2.0</v>
      </c>
      <c r="G742" s="1">
        <v>2.0</v>
      </c>
      <c r="H742" s="1" t="s">
        <v>25</v>
      </c>
      <c r="I742" s="1" t="s">
        <v>26</v>
      </c>
      <c r="J742" s="1" t="s">
        <v>18</v>
      </c>
      <c r="K742" s="1">
        <v>7900.0</v>
      </c>
      <c r="L742" s="1">
        <v>56.95092055</v>
      </c>
      <c r="M742" s="1">
        <v>24.1461248193206</v>
      </c>
    </row>
    <row r="743">
      <c r="A743" s="1" t="s">
        <v>13</v>
      </c>
      <c r="B743" s="1" t="s">
        <v>104</v>
      </c>
      <c r="C743" s="1" t="s">
        <v>352</v>
      </c>
      <c r="D743" s="1">
        <v>1.0</v>
      </c>
      <c r="E743" s="1">
        <v>35.6</v>
      </c>
      <c r="F743" s="1">
        <v>4.0</v>
      </c>
      <c r="G743" s="1">
        <v>6.0</v>
      </c>
      <c r="H743" s="1" t="s">
        <v>32</v>
      </c>
      <c r="I743" s="1" t="s">
        <v>33</v>
      </c>
      <c r="J743" s="1" t="s">
        <v>18</v>
      </c>
      <c r="K743" s="1">
        <v>550.0</v>
      </c>
      <c r="L743" s="1">
        <v>56.9374039</v>
      </c>
      <c r="M743" s="1">
        <v>24.101176263114</v>
      </c>
    </row>
    <row r="744">
      <c r="A744" s="1" t="s">
        <v>22</v>
      </c>
      <c r="B744" s="1" t="s">
        <v>30</v>
      </c>
      <c r="C744" s="1" t="s">
        <v>487</v>
      </c>
      <c r="D744" s="1">
        <v>1.0</v>
      </c>
      <c r="E744" s="1">
        <v>19.0</v>
      </c>
      <c r="F744" s="1">
        <v>3.0</v>
      </c>
      <c r="G744" s="1">
        <v>5.0</v>
      </c>
      <c r="H744" s="1" t="s">
        <v>57</v>
      </c>
      <c r="I744" s="1" t="s">
        <v>37</v>
      </c>
      <c r="J744" s="1" t="s">
        <v>18</v>
      </c>
      <c r="K744" s="1">
        <v>19900.0</v>
      </c>
      <c r="L744" s="1">
        <v>56.9685701</v>
      </c>
      <c r="M744" s="1">
        <v>24.1819824</v>
      </c>
    </row>
    <row r="745">
      <c r="A745" s="1" t="s">
        <v>13</v>
      </c>
      <c r="B745" s="1" t="s">
        <v>45</v>
      </c>
      <c r="C745" s="1" t="s">
        <v>660</v>
      </c>
      <c r="D745" s="1">
        <v>1.0</v>
      </c>
      <c r="E745" s="1">
        <v>35.0</v>
      </c>
      <c r="F745" s="1">
        <v>2.0</v>
      </c>
      <c r="G745" s="1">
        <v>3.0</v>
      </c>
      <c r="H745" s="1" t="s">
        <v>36</v>
      </c>
      <c r="I745" s="1" t="s">
        <v>37</v>
      </c>
      <c r="J745" s="1" t="s">
        <v>18</v>
      </c>
      <c r="K745" s="1">
        <v>230.0</v>
      </c>
      <c r="L745" s="1">
        <v>57.02365495</v>
      </c>
      <c r="M745" s="1">
        <v>24.1330612</v>
      </c>
    </row>
    <row r="746">
      <c r="A746" s="1" t="s">
        <v>22</v>
      </c>
      <c r="B746" s="1" t="s">
        <v>129</v>
      </c>
      <c r="C746" s="1" t="s">
        <v>661</v>
      </c>
      <c r="D746" s="1">
        <v>3.0</v>
      </c>
      <c r="E746" s="1">
        <v>76.0</v>
      </c>
      <c r="F746" s="1">
        <v>5.0</v>
      </c>
      <c r="G746" s="1">
        <v>5.0</v>
      </c>
      <c r="H746" s="1" t="s">
        <v>36</v>
      </c>
      <c r="I746" s="1" t="s">
        <v>37</v>
      </c>
      <c r="J746" s="1" t="s">
        <v>18</v>
      </c>
      <c r="K746" s="1">
        <v>62000.0</v>
      </c>
      <c r="L746" s="1">
        <v>57.0002634</v>
      </c>
      <c r="M746" s="1">
        <v>24.121861</v>
      </c>
    </row>
    <row r="747">
      <c r="A747" s="1" t="s">
        <v>22</v>
      </c>
      <c r="B747" s="1" t="s">
        <v>422</v>
      </c>
      <c r="C747" s="1" t="s">
        <v>662</v>
      </c>
      <c r="D747" s="1">
        <v>1.0</v>
      </c>
      <c r="E747" s="1">
        <v>25.0</v>
      </c>
      <c r="F747" s="1">
        <v>2.0</v>
      </c>
      <c r="G747" s="1">
        <v>2.0</v>
      </c>
      <c r="H747" s="1" t="s">
        <v>25</v>
      </c>
      <c r="I747" s="1" t="s">
        <v>26</v>
      </c>
      <c r="J747" s="1" t="s">
        <v>18</v>
      </c>
      <c r="K747" s="1">
        <v>12000.0</v>
      </c>
      <c r="L747" s="1">
        <v>56.938759</v>
      </c>
      <c r="M747" s="1">
        <v>24.0439698</v>
      </c>
    </row>
    <row r="748">
      <c r="A748" s="1" t="s">
        <v>22</v>
      </c>
      <c r="B748" s="1" t="s">
        <v>38</v>
      </c>
      <c r="C748" s="1" t="s">
        <v>145</v>
      </c>
      <c r="D748" s="1">
        <v>2.0</v>
      </c>
      <c r="E748" s="1">
        <v>67.0</v>
      </c>
      <c r="F748" s="1">
        <v>5.0</v>
      </c>
      <c r="G748" s="1">
        <v>18.0</v>
      </c>
      <c r="H748" s="1" t="s">
        <v>32</v>
      </c>
      <c r="I748" s="1" t="s">
        <v>21</v>
      </c>
      <c r="J748" s="1" t="s">
        <v>18</v>
      </c>
      <c r="K748" s="1">
        <v>89900.0</v>
      </c>
      <c r="L748" s="1">
        <v>56.96112105</v>
      </c>
      <c r="M748" s="1">
        <v>24.01821679525</v>
      </c>
    </row>
    <row r="749">
      <c r="A749" s="1" t="s">
        <v>22</v>
      </c>
      <c r="B749" s="1" t="s">
        <v>151</v>
      </c>
      <c r="C749" s="1" t="s">
        <v>360</v>
      </c>
      <c r="D749" s="1">
        <v>1.0</v>
      </c>
      <c r="E749" s="1">
        <v>18.0</v>
      </c>
      <c r="F749" s="1">
        <v>5.0</v>
      </c>
      <c r="G749" s="1">
        <v>5.0</v>
      </c>
      <c r="H749" s="1" t="s">
        <v>57</v>
      </c>
      <c r="I749" s="1" t="s">
        <v>37</v>
      </c>
      <c r="J749" s="1" t="s">
        <v>18</v>
      </c>
      <c r="K749" s="1">
        <v>11800.0</v>
      </c>
      <c r="L749" s="1">
        <v>56.9692203</v>
      </c>
      <c r="M749" s="1">
        <v>24.0694937318141</v>
      </c>
    </row>
    <row r="750">
      <c r="A750" s="1" t="s">
        <v>13</v>
      </c>
      <c r="B750" s="1" t="s">
        <v>23</v>
      </c>
      <c r="C750" s="1" t="s">
        <v>663</v>
      </c>
      <c r="D750" s="1">
        <v>1.0</v>
      </c>
      <c r="E750" s="1">
        <v>15.0</v>
      </c>
      <c r="F750" s="1">
        <v>4.0</v>
      </c>
      <c r="G750" s="1">
        <v>5.0</v>
      </c>
      <c r="H750" s="1" t="s">
        <v>25</v>
      </c>
      <c r="I750" s="1" t="s">
        <v>33</v>
      </c>
      <c r="J750" s="1" t="s">
        <v>18</v>
      </c>
      <c r="K750" s="1">
        <v>130.0</v>
      </c>
      <c r="L750" s="1">
        <v>56.94970365</v>
      </c>
      <c r="M750" s="1">
        <v>24.1381836611306</v>
      </c>
    </row>
    <row r="751">
      <c r="A751" s="1" t="s">
        <v>22</v>
      </c>
      <c r="B751" s="1" t="s">
        <v>14</v>
      </c>
      <c r="C751" s="1" t="s">
        <v>664</v>
      </c>
      <c r="D751" s="1">
        <v>2.0</v>
      </c>
      <c r="E751" s="1">
        <v>43.0</v>
      </c>
      <c r="F751" s="1">
        <v>1.0</v>
      </c>
      <c r="G751" s="1">
        <v>5.0</v>
      </c>
      <c r="H751" s="1" t="s">
        <v>44</v>
      </c>
      <c r="I751" s="1" t="s">
        <v>33</v>
      </c>
      <c r="J751" s="1" t="s">
        <v>18</v>
      </c>
      <c r="K751" s="1">
        <v>43999.0</v>
      </c>
      <c r="L751" s="1">
        <v>56.9651176499999</v>
      </c>
      <c r="M751" s="1">
        <v>24.1760481976948</v>
      </c>
    </row>
    <row r="752">
      <c r="A752" s="1" t="s">
        <v>22</v>
      </c>
      <c r="B752" s="1" t="s">
        <v>28</v>
      </c>
      <c r="C752" s="1" t="s">
        <v>665</v>
      </c>
      <c r="D752" s="1">
        <v>2.0</v>
      </c>
      <c r="E752" s="1">
        <v>38.2</v>
      </c>
      <c r="F752" s="1">
        <v>2.0</v>
      </c>
      <c r="G752" s="1">
        <v>5.0</v>
      </c>
      <c r="H752" s="1" t="s">
        <v>16</v>
      </c>
      <c r="I752" s="1" t="s">
        <v>21</v>
      </c>
      <c r="J752" s="1" t="s">
        <v>18</v>
      </c>
      <c r="K752" s="1">
        <v>36900.0</v>
      </c>
      <c r="L752" s="1">
        <v>56.90837855</v>
      </c>
      <c r="M752" s="1">
        <v>24.20066605</v>
      </c>
    </row>
    <row r="753">
      <c r="A753" s="1" t="s">
        <v>13</v>
      </c>
      <c r="B753" s="1" t="s">
        <v>117</v>
      </c>
      <c r="C753" s="1" t="s">
        <v>666</v>
      </c>
      <c r="D753" s="1">
        <v>3.0</v>
      </c>
      <c r="E753" s="1">
        <v>40.0</v>
      </c>
      <c r="F753" s="1">
        <v>2.0</v>
      </c>
      <c r="G753" s="1">
        <v>2.0</v>
      </c>
      <c r="H753" s="1" t="s">
        <v>25</v>
      </c>
      <c r="I753" s="1" t="s">
        <v>26</v>
      </c>
      <c r="J753" s="1" t="s">
        <v>27</v>
      </c>
      <c r="K753" s="1">
        <v>120.0</v>
      </c>
      <c r="L753" s="1" t="s">
        <v>40</v>
      </c>
      <c r="M753" s="1" t="s">
        <v>40</v>
      </c>
    </row>
    <row r="754">
      <c r="A754" s="1" t="s">
        <v>22</v>
      </c>
      <c r="B754" s="1" t="s">
        <v>74</v>
      </c>
      <c r="C754" s="1" t="s">
        <v>667</v>
      </c>
      <c r="D754" s="1">
        <v>4.0</v>
      </c>
      <c r="E754" s="1">
        <v>78.0</v>
      </c>
      <c r="F754" s="1">
        <v>9.0</v>
      </c>
      <c r="G754" s="1">
        <v>9.0</v>
      </c>
      <c r="H754" s="1">
        <v>467.0</v>
      </c>
      <c r="I754" s="1" t="s">
        <v>21</v>
      </c>
      <c r="J754" s="1" t="s">
        <v>18</v>
      </c>
      <c r="K754" s="1">
        <v>73000.0</v>
      </c>
      <c r="L754" s="1" t="s">
        <v>40</v>
      </c>
      <c r="M754" s="1" t="s">
        <v>40</v>
      </c>
    </row>
    <row r="755">
      <c r="A755" s="1" t="s">
        <v>22</v>
      </c>
      <c r="B755" s="1" t="s">
        <v>104</v>
      </c>
      <c r="C755" s="1" t="s">
        <v>668</v>
      </c>
      <c r="D755" s="1">
        <v>3.0</v>
      </c>
      <c r="E755" s="1">
        <v>77.0</v>
      </c>
      <c r="F755" s="1">
        <v>4.0</v>
      </c>
      <c r="G755" s="1">
        <v>7.0</v>
      </c>
      <c r="H755" s="1" t="s">
        <v>66</v>
      </c>
      <c r="I755" s="1" t="s">
        <v>33</v>
      </c>
      <c r="J755" s="1" t="s">
        <v>18</v>
      </c>
      <c r="K755" s="1">
        <v>115000.0</v>
      </c>
      <c r="L755" s="1">
        <v>56.947906</v>
      </c>
      <c r="M755" s="1">
        <v>24.070950274442</v>
      </c>
    </row>
    <row r="756">
      <c r="A756" s="1" t="s">
        <v>22</v>
      </c>
      <c r="B756" s="1" t="s">
        <v>129</v>
      </c>
      <c r="C756" s="1" t="s">
        <v>669</v>
      </c>
      <c r="D756" s="1">
        <v>1.0</v>
      </c>
      <c r="E756" s="1">
        <v>33.0</v>
      </c>
      <c r="F756" s="1">
        <v>1.0</v>
      </c>
      <c r="G756" s="1">
        <v>3.0</v>
      </c>
      <c r="H756" s="1" t="s">
        <v>25</v>
      </c>
      <c r="I756" s="1" t="s">
        <v>33</v>
      </c>
      <c r="J756" s="1" t="s">
        <v>18</v>
      </c>
      <c r="K756" s="1">
        <v>32900.0</v>
      </c>
      <c r="L756" s="1">
        <v>56.9940614</v>
      </c>
      <c r="M756" s="1">
        <v>24.1281800964357</v>
      </c>
    </row>
    <row r="757">
      <c r="A757" s="1" t="s">
        <v>22</v>
      </c>
      <c r="B757" s="1" t="s">
        <v>74</v>
      </c>
      <c r="C757" s="1" t="s">
        <v>670</v>
      </c>
      <c r="D757" s="1">
        <v>2.0</v>
      </c>
      <c r="E757" s="1">
        <v>50.0</v>
      </c>
      <c r="F757" s="1">
        <v>2.0</v>
      </c>
      <c r="G757" s="1">
        <v>9.0</v>
      </c>
      <c r="H757" s="1">
        <v>602.0</v>
      </c>
      <c r="I757" s="1" t="s">
        <v>21</v>
      </c>
      <c r="J757" s="1" t="s">
        <v>18</v>
      </c>
      <c r="K757" s="1">
        <v>54000.0</v>
      </c>
      <c r="L757" s="1">
        <v>56.9346184</v>
      </c>
      <c r="M757" s="1">
        <v>24.1980807</v>
      </c>
    </row>
    <row r="758">
      <c r="A758" s="1" t="s">
        <v>22</v>
      </c>
      <c r="B758" s="1" t="s">
        <v>23</v>
      </c>
      <c r="C758" s="1" t="s">
        <v>671</v>
      </c>
      <c r="D758" s="1">
        <v>2.0</v>
      </c>
      <c r="E758" s="1">
        <v>40.0</v>
      </c>
      <c r="F758" s="1">
        <v>4.0</v>
      </c>
      <c r="G758" s="1">
        <v>5.0</v>
      </c>
      <c r="H758" s="1" t="s">
        <v>66</v>
      </c>
      <c r="I758" s="1" t="s">
        <v>33</v>
      </c>
      <c r="J758" s="1" t="s">
        <v>18</v>
      </c>
      <c r="K758" s="1">
        <v>98000.0</v>
      </c>
      <c r="L758" s="1">
        <v>56.9667357999999</v>
      </c>
      <c r="M758" s="1">
        <v>24.1456351053152</v>
      </c>
    </row>
    <row r="759">
      <c r="A759" s="1" t="s">
        <v>13</v>
      </c>
      <c r="B759" s="1" t="s">
        <v>23</v>
      </c>
      <c r="C759" s="1" t="s">
        <v>672</v>
      </c>
      <c r="D759" s="1">
        <v>1.0</v>
      </c>
      <c r="E759" s="1">
        <v>20.0</v>
      </c>
      <c r="F759" s="1">
        <v>4.0</v>
      </c>
      <c r="G759" s="1">
        <v>5.0</v>
      </c>
      <c r="H759" s="1" t="s">
        <v>25</v>
      </c>
      <c r="I759" s="1" t="s">
        <v>33</v>
      </c>
      <c r="J759" s="1" t="s">
        <v>27</v>
      </c>
      <c r="K759" s="1">
        <v>155.0</v>
      </c>
      <c r="L759" s="1">
        <v>56.9501202</v>
      </c>
      <c r="M759" s="1">
        <v>24.1443988</v>
      </c>
    </row>
    <row r="760">
      <c r="A760" s="1" t="s">
        <v>22</v>
      </c>
      <c r="B760" s="1" t="s">
        <v>14</v>
      </c>
      <c r="C760" s="1" t="s">
        <v>673</v>
      </c>
      <c r="D760" s="1">
        <v>3.0</v>
      </c>
      <c r="E760" s="1">
        <v>66.0</v>
      </c>
      <c r="F760" s="1">
        <v>2.0</v>
      </c>
      <c r="G760" s="1">
        <v>5.0</v>
      </c>
      <c r="H760" s="1" t="s">
        <v>16</v>
      </c>
      <c r="I760" s="1" t="s">
        <v>21</v>
      </c>
      <c r="J760" s="1" t="s">
        <v>18</v>
      </c>
      <c r="K760" s="1">
        <v>81900.0</v>
      </c>
      <c r="L760" s="1">
        <v>56.9509491</v>
      </c>
      <c r="M760" s="1">
        <v>24.1989595887157</v>
      </c>
    </row>
    <row r="761">
      <c r="A761" s="1" t="s">
        <v>13</v>
      </c>
      <c r="B761" s="1" t="s">
        <v>23</v>
      </c>
      <c r="C761" s="1" t="s">
        <v>674</v>
      </c>
      <c r="D761" s="1">
        <v>1.0</v>
      </c>
      <c r="E761" s="1">
        <v>28.0</v>
      </c>
      <c r="F761" s="1">
        <v>3.0</v>
      </c>
      <c r="G761" s="1">
        <v>9.0</v>
      </c>
      <c r="H761" s="1" t="s">
        <v>32</v>
      </c>
      <c r="I761" s="1" t="s">
        <v>33</v>
      </c>
      <c r="J761" s="1" t="s">
        <v>18</v>
      </c>
      <c r="K761" s="1">
        <v>30.0</v>
      </c>
      <c r="L761" s="1">
        <v>56.97650505</v>
      </c>
      <c r="M761" s="1">
        <v>24.1464958357009</v>
      </c>
    </row>
    <row r="762">
      <c r="A762" s="1" t="s">
        <v>22</v>
      </c>
      <c r="B762" s="1" t="s">
        <v>52</v>
      </c>
      <c r="C762" s="1" t="s">
        <v>420</v>
      </c>
      <c r="D762" s="1">
        <v>2.0</v>
      </c>
      <c r="E762" s="1">
        <v>61.0</v>
      </c>
      <c r="F762" s="1">
        <v>1.0</v>
      </c>
      <c r="G762" s="1">
        <v>9.0</v>
      </c>
      <c r="H762" s="1">
        <v>119.0</v>
      </c>
      <c r="I762" s="1" t="s">
        <v>21</v>
      </c>
      <c r="J762" s="1" t="s">
        <v>18</v>
      </c>
      <c r="K762" s="1">
        <v>70000.0</v>
      </c>
      <c r="L762" s="1">
        <v>56.9454805</v>
      </c>
      <c r="M762" s="1">
        <v>24.0097101</v>
      </c>
    </row>
    <row r="763">
      <c r="A763" s="1" t="s">
        <v>22</v>
      </c>
      <c r="B763" s="1" t="s">
        <v>19</v>
      </c>
      <c r="C763" s="1" t="s">
        <v>675</v>
      </c>
      <c r="D763" s="1">
        <v>3.0</v>
      </c>
      <c r="E763" s="1">
        <v>75.0</v>
      </c>
      <c r="F763" s="1">
        <v>7.0</v>
      </c>
      <c r="G763" s="1">
        <v>9.0</v>
      </c>
      <c r="H763" s="1">
        <v>119.0</v>
      </c>
      <c r="I763" s="1" t="s">
        <v>21</v>
      </c>
      <c r="J763" s="1" t="s">
        <v>18</v>
      </c>
      <c r="K763" s="1">
        <v>75000.0</v>
      </c>
      <c r="L763" s="1">
        <v>56.9004074</v>
      </c>
      <c r="M763" s="1">
        <v>24.0837422885217</v>
      </c>
    </row>
    <row r="764">
      <c r="A764" s="1" t="s">
        <v>13</v>
      </c>
      <c r="B764" s="1" t="s">
        <v>447</v>
      </c>
      <c r="C764" s="1" t="s">
        <v>676</v>
      </c>
      <c r="D764" s="1">
        <v>1.0</v>
      </c>
      <c r="E764" s="1">
        <v>37.0</v>
      </c>
      <c r="F764" s="1">
        <v>1.0</v>
      </c>
      <c r="G764" s="1">
        <v>1.0</v>
      </c>
      <c r="H764" s="1" t="s">
        <v>181</v>
      </c>
      <c r="I764" s="1" t="s">
        <v>26</v>
      </c>
      <c r="J764" s="1" t="s">
        <v>27</v>
      </c>
      <c r="K764" s="1">
        <v>170.0</v>
      </c>
      <c r="L764" s="1">
        <v>56.92553455</v>
      </c>
      <c r="M764" s="1">
        <v>24.0956731584611</v>
      </c>
    </row>
    <row r="765">
      <c r="A765" s="1" t="s">
        <v>22</v>
      </c>
      <c r="B765" s="1" t="s">
        <v>52</v>
      </c>
      <c r="C765" s="1" t="s">
        <v>677</v>
      </c>
      <c r="D765" s="1">
        <v>3.0</v>
      </c>
      <c r="E765" s="1">
        <v>78.0</v>
      </c>
      <c r="F765" s="1">
        <v>2.0</v>
      </c>
      <c r="G765" s="1">
        <v>7.0</v>
      </c>
      <c r="H765" s="1">
        <v>119.0</v>
      </c>
      <c r="I765" s="1" t="s">
        <v>21</v>
      </c>
      <c r="J765" s="1" t="s">
        <v>18</v>
      </c>
      <c r="K765" s="1">
        <v>86000.0</v>
      </c>
      <c r="L765" s="1">
        <v>54.1436099999999</v>
      </c>
      <c r="M765" s="1">
        <v>12.05044145</v>
      </c>
    </row>
    <row r="766">
      <c r="A766" s="1" t="s">
        <v>22</v>
      </c>
      <c r="B766" s="1" t="s">
        <v>38</v>
      </c>
      <c r="C766" s="1" t="s">
        <v>299</v>
      </c>
      <c r="D766" s="1">
        <v>3.0</v>
      </c>
      <c r="E766" s="1">
        <v>62.0</v>
      </c>
      <c r="F766" s="1">
        <v>4.0</v>
      </c>
      <c r="G766" s="1">
        <v>5.0</v>
      </c>
      <c r="H766" s="1" t="s">
        <v>16</v>
      </c>
      <c r="I766" s="1" t="s">
        <v>21</v>
      </c>
      <c r="J766" s="1" t="s">
        <v>18</v>
      </c>
      <c r="K766" s="1">
        <v>47000.0</v>
      </c>
      <c r="L766" s="1">
        <v>56.9567829</v>
      </c>
      <c r="M766" s="1">
        <v>24.0344957</v>
      </c>
    </row>
    <row r="767">
      <c r="A767" s="1" t="s">
        <v>22</v>
      </c>
      <c r="B767" s="1" t="s">
        <v>23</v>
      </c>
      <c r="C767" s="1" t="s">
        <v>491</v>
      </c>
      <c r="D767" s="1">
        <v>4.0</v>
      </c>
      <c r="E767" s="1">
        <v>100.0</v>
      </c>
      <c r="F767" s="1">
        <v>6.0</v>
      </c>
      <c r="G767" s="1">
        <v>7.0</v>
      </c>
      <c r="H767" s="1" t="s">
        <v>25</v>
      </c>
      <c r="I767" s="1" t="s">
        <v>33</v>
      </c>
      <c r="J767" s="1" t="s">
        <v>18</v>
      </c>
      <c r="K767" s="1">
        <v>165000.0</v>
      </c>
      <c r="L767" s="1">
        <v>56.9505796</v>
      </c>
      <c r="M767" s="1">
        <v>24.1255938</v>
      </c>
    </row>
    <row r="768">
      <c r="A768" s="1" t="s">
        <v>22</v>
      </c>
      <c r="B768" s="1" t="s">
        <v>14</v>
      </c>
      <c r="C768" s="1" t="s">
        <v>678</v>
      </c>
      <c r="D768" s="1">
        <v>1.0</v>
      </c>
      <c r="E768" s="1">
        <v>28.0</v>
      </c>
      <c r="F768" s="1">
        <v>5.0</v>
      </c>
      <c r="G768" s="1">
        <v>5.0</v>
      </c>
      <c r="H768" s="1" t="s">
        <v>16</v>
      </c>
      <c r="I768" s="1" t="s">
        <v>21</v>
      </c>
      <c r="J768" s="1" t="s">
        <v>18</v>
      </c>
      <c r="K768" s="1">
        <v>27800.0</v>
      </c>
      <c r="L768" s="1">
        <v>56.9570069</v>
      </c>
      <c r="M768" s="1">
        <v>24.1987368</v>
      </c>
    </row>
    <row r="769">
      <c r="A769" s="1" t="s">
        <v>22</v>
      </c>
      <c r="B769" s="1" t="s">
        <v>14</v>
      </c>
      <c r="C769" s="1" t="s">
        <v>679</v>
      </c>
      <c r="D769" s="1">
        <v>3.0</v>
      </c>
      <c r="E769" s="1">
        <v>79.0</v>
      </c>
      <c r="F769" s="1">
        <v>9.0</v>
      </c>
      <c r="G769" s="1">
        <v>9.0</v>
      </c>
      <c r="H769" s="1">
        <v>119.0</v>
      </c>
      <c r="I769" s="1" t="s">
        <v>21</v>
      </c>
      <c r="J769" s="1" t="s">
        <v>18</v>
      </c>
      <c r="K769" s="1">
        <v>80000.0</v>
      </c>
      <c r="L769" s="1">
        <v>56.9521256999999</v>
      </c>
      <c r="M769" s="1">
        <v>24.1761138</v>
      </c>
    </row>
    <row r="770">
      <c r="A770" s="1" t="s">
        <v>22</v>
      </c>
      <c r="B770" s="1" t="s">
        <v>48</v>
      </c>
      <c r="C770" s="1" t="s">
        <v>680</v>
      </c>
      <c r="D770" s="1">
        <v>3.0</v>
      </c>
      <c r="E770" s="1">
        <v>64.0</v>
      </c>
      <c r="F770" s="1">
        <v>5.0</v>
      </c>
      <c r="G770" s="1">
        <v>9.0</v>
      </c>
      <c r="H770" s="1">
        <v>602.0</v>
      </c>
      <c r="I770" s="1" t="s">
        <v>21</v>
      </c>
      <c r="J770" s="1" t="s">
        <v>18</v>
      </c>
      <c r="K770" s="1">
        <v>67000.0</v>
      </c>
      <c r="L770" s="1">
        <v>56.9613825499999</v>
      </c>
      <c r="M770" s="1">
        <v>24.2356197499999</v>
      </c>
    </row>
    <row r="771">
      <c r="A771" s="1" t="s">
        <v>22</v>
      </c>
      <c r="B771" s="1" t="s">
        <v>48</v>
      </c>
      <c r="C771" s="1" t="s">
        <v>365</v>
      </c>
      <c r="D771" s="1">
        <v>2.0</v>
      </c>
      <c r="E771" s="1">
        <v>55.0</v>
      </c>
      <c r="F771" s="1">
        <v>3.0</v>
      </c>
      <c r="G771" s="1">
        <v>5.0</v>
      </c>
      <c r="H771" s="1" t="s">
        <v>36</v>
      </c>
      <c r="I771" s="1" t="s">
        <v>21</v>
      </c>
      <c r="J771" s="1" t="s">
        <v>18</v>
      </c>
      <c r="K771" s="1">
        <v>77900.0</v>
      </c>
      <c r="L771" s="1">
        <v>56.95546705</v>
      </c>
      <c r="M771" s="1">
        <v>24.24181865</v>
      </c>
    </row>
    <row r="772">
      <c r="A772" s="1" t="s">
        <v>22</v>
      </c>
      <c r="B772" s="1" t="s">
        <v>28</v>
      </c>
      <c r="C772" s="1" t="s">
        <v>255</v>
      </c>
      <c r="D772" s="1">
        <v>2.0</v>
      </c>
      <c r="E772" s="1">
        <v>50.0</v>
      </c>
      <c r="F772" s="1">
        <v>5.0</v>
      </c>
      <c r="G772" s="1">
        <v>5.0</v>
      </c>
      <c r="H772" s="1" t="s">
        <v>16</v>
      </c>
      <c r="I772" s="1" t="s">
        <v>21</v>
      </c>
      <c r="J772" s="1" t="s">
        <v>18</v>
      </c>
      <c r="K772" s="1">
        <v>52000.0</v>
      </c>
      <c r="L772" s="1">
        <v>56.9019341</v>
      </c>
      <c r="M772" s="1">
        <v>24.2138427278084</v>
      </c>
    </row>
    <row r="773">
      <c r="A773" s="1" t="s">
        <v>22</v>
      </c>
      <c r="B773" s="1" t="s">
        <v>174</v>
      </c>
      <c r="C773" s="1" t="s">
        <v>681</v>
      </c>
      <c r="D773" s="1">
        <v>1.0</v>
      </c>
      <c r="E773" s="1">
        <v>35.0</v>
      </c>
      <c r="F773" s="1">
        <v>4.0</v>
      </c>
      <c r="G773" s="1">
        <v>5.0</v>
      </c>
      <c r="H773" s="1">
        <v>103.0</v>
      </c>
      <c r="I773" s="1" t="s">
        <v>37</v>
      </c>
      <c r="J773" s="1" t="s">
        <v>18</v>
      </c>
      <c r="K773" s="1">
        <v>42900.0</v>
      </c>
      <c r="L773" s="1">
        <v>56.9482182</v>
      </c>
      <c r="M773" s="1">
        <v>24.1684585966139</v>
      </c>
    </row>
    <row r="774">
      <c r="A774" s="1" t="s">
        <v>22</v>
      </c>
      <c r="B774" s="1" t="s">
        <v>447</v>
      </c>
      <c r="C774" s="1" t="s">
        <v>682</v>
      </c>
      <c r="D774" s="1">
        <v>2.0</v>
      </c>
      <c r="E774" s="1">
        <v>36.6</v>
      </c>
      <c r="F774" s="1">
        <v>1.0</v>
      </c>
      <c r="G774" s="1">
        <v>6.0</v>
      </c>
      <c r="H774" s="1" t="s">
        <v>32</v>
      </c>
      <c r="I774" s="1" t="s">
        <v>122</v>
      </c>
      <c r="J774" s="1" t="s">
        <v>18</v>
      </c>
      <c r="K774" s="1">
        <v>60000.0</v>
      </c>
      <c r="L774" s="1">
        <v>56.9280239</v>
      </c>
      <c r="M774" s="1">
        <v>24.0932253718371</v>
      </c>
    </row>
    <row r="775">
      <c r="A775" s="1" t="s">
        <v>13</v>
      </c>
      <c r="B775" s="1" t="s">
        <v>50</v>
      </c>
      <c r="C775" s="1" t="s">
        <v>683</v>
      </c>
      <c r="D775" s="1">
        <v>2.0</v>
      </c>
      <c r="E775" s="1">
        <v>32.0</v>
      </c>
      <c r="F775" s="1">
        <v>3.0</v>
      </c>
      <c r="G775" s="1">
        <v>3.0</v>
      </c>
      <c r="H775" s="1" t="s">
        <v>25</v>
      </c>
      <c r="I775" s="1" t="s">
        <v>33</v>
      </c>
      <c r="J775" s="1" t="s">
        <v>18</v>
      </c>
      <c r="K775" s="1">
        <v>250.0</v>
      </c>
      <c r="L775" s="1">
        <v>56.9422440999999</v>
      </c>
      <c r="M775" s="1">
        <v>24.143329801068</v>
      </c>
    </row>
    <row r="776">
      <c r="A776" s="1" t="s">
        <v>13</v>
      </c>
      <c r="B776" s="1" t="s">
        <v>23</v>
      </c>
      <c r="C776" s="1" t="s">
        <v>491</v>
      </c>
      <c r="D776" s="1">
        <v>2.0</v>
      </c>
      <c r="E776" s="1">
        <v>50.0</v>
      </c>
      <c r="F776" s="1">
        <v>3.0</v>
      </c>
      <c r="G776" s="1">
        <v>6.0</v>
      </c>
      <c r="H776" s="1" t="s">
        <v>25</v>
      </c>
      <c r="I776" s="1" t="s">
        <v>37</v>
      </c>
      <c r="J776" s="1" t="s">
        <v>18</v>
      </c>
      <c r="K776" s="1">
        <v>600.0</v>
      </c>
      <c r="L776" s="1">
        <v>56.9505796</v>
      </c>
      <c r="M776" s="1">
        <v>24.1255938</v>
      </c>
    </row>
    <row r="777">
      <c r="A777" s="1" t="s">
        <v>22</v>
      </c>
      <c r="B777" s="1" t="s">
        <v>42</v>
      </c>
      <c r="C777" s="1" t="s">
        <v>684</v>
      </c>
      <c r="D777" s="1">
        <v>3.0</v>
      </c>
      <c r="E777" s="1">
        <v>111.4</v>
      </c>
      <c r="F777" s="1">
        <v>2.0</v>
      </c>
      <c r="G777" s="1">
        <v>9.0</v>
      </c>
      <c r="H777" s="1" t="s">
        <v>32</v>
      </c>
      <c r="I777" s="1" t="s">
        <v>122</v>
      </c>
      <c r="J777" s="1" t="s">
        <v>18</v>
      </c>
      <c r="K777" s="1">
        <v>164500.0</v>
      </c>
      <c r="L777" s="1">
        <v>56.9865865</v>
      </c>
      <c r="M777" s="1">
        <v>24.2472562883399</v>
      </c>
    </row>
    <row r="778">
      <c r="A778" s="1" t="s">
        <v>22</v>
      </c>
      <c r="B778" s="1" t="s">
        <v>23</v>
      </c>
      <c r="C778" s="1" t="s">
        <v>685</v>
      </c>
      <c r="D778" s="1">
        <v>3.0</v>
      </c>
      <c r="E778" s="1">
        <v>68.0</v>
      </c>
      <c r="F778" s="1">
        <v>3.0</v>
      </c>
      <c r="G778" s="1">
        <v>5.0</v>
      </c>
      <c r="H778" s="1" t="s">
        <v>36</v>
      </c>
      <c r="I778" s="1" t="s">
        <v>17</v>
      </c>
      <c r="J778" s="1" t="s">
        <v>18</v>
      </c>
      <c r="K778" s="1">
        <v>60000.0</v>
      </c>
      <c r="L778" s="1">
        <v>56.9526754</v>
      </c>
      <c r="M778" s="1">
        <v>24.1155509</v>
      </c>
    </row>
    <row r="779">
      <c r="A779" s="1" t="s">
        <v>13</v>
      </c>
      <c r="B779" s="1" t="s">
        <v>151</v>
      </c>
      <c r="C779" s="1" t="s">
        <v>686</v>
      </c>
      <c r="D779" s="1">
        <v>1.0</v>
      </c>
      <c r="E779" s="1">
        <v>32.0</v>
      </c>
      <c r="F779" s="1">
        <v>1.0</v>
      </c>
      <c r="G779" s="1">
        <v>2.0</v>
      </c>
      <c r="H779" s="1" t="s">
        <v>57</v>
      </c>
      <c r="I779" s="1" t="s">
        <v>37</v>
      </c>
      <c r="J779" s="1" t="s">
        <v>18</v>
      </c>
      <c r="K779" s="1">
        <v>200.0</v>
      </c>
      <c r="L779" s="1">
        <v>56.96337905</v>
      </c>
      <c r="M779" s="1">
        <v>24.0651286264855</v>
      </c>
    </row>
    <row r="780">
      <c r="A780" s="1" t="s">
        <v>22</v>
      </c>
      <c r="B780" s="1" t="s">
        <v>28</v>
      </c>
      <c r="C780" s="1" t="s">
        <v>665</v>
      </c>
      <c r="D780" s="1">
        <v>2.0</v>
      </c>
      <c r="E780" s="1">
        <v>38.0</v>
      </c>
      <c r="F780" s="1">
        <v>2.0</v>
      </c>
      <c r="G780" s="1">
        <v>5.0</v>
      </c>
      <c r="H780" s="1" t="s">
        <v>16</v>
      </c>
      <c r="I780" s="1" t="s">
        <v>21</v>
      </c>
      <c r="J780" s="1" t="s">
        <v>18</v>
      </c>
      <c r="K780" s="1">
        <v>36900.0</v>
      </c>
      <c r="L780" s="1">
        <v>56.90837855</v>
      </c>
      <c r="M780" s="1">
        <v>24.20066605</v>
      </c>
    </row>
    <row r="781">
      <c r="A781" s="1" t="s">
        <v>22</v>
      </c>
      <c r="B781" s="1" t="s">
        <v>38</v>
      </c>
      <c r="C781" s="1" t="s">
        <v>687</v>
      </c>
      <c r="D781" s="1">
        <v>2.0</v>
      </c>
      <c r="E781" s="1">
        <v>53.0</v>
      </c>
      <c r="F781" s="1">
        <v>6.0</v>
      </c>
      <c r="G781" s="1">
        <v>9.0</v>
      </c>
      <c r="H781" s="1">
        <v>602.0</v>
      </c>
      <c r="I781" s="1" t="s">
        <v>21</v>
      </c>
      <c r="J781" s="1" t="s">
        <v>18</v>
      </c>
      <c r="K781" s="1">
        <v>54300.0</v>
      </c>
      <c r="L781" s="1" t="s">
        <v>40</v>
      </c>
      <c r="M781" s="1" t="s">
        <v>40</v>
      </c>
    </row>
    <row r="782">
      <c r="A782" s="1" t="s">
        <v>13</v>
      </c>
      <c r="B782" s="1" t="s">
        <v>23</v>
      </c>
      <c r="C782" s="1" t="s">
        <v>136</v>
      </c>
      <c r="D782" s="1">
        <v>3.0</v>
      </c>
      <c r="E782" s="1">
        <v>71.0</v>
      </c>
      <c r="F782" s="1">
        <v>6.0</v>
      </c>
      <c r="G782" s="1">
        <v>6.0</v>
      </c>
      <c r="H782" s="1" t="s">
        <v>66</v>
      </c>
      <c r="I782" s="1" t="s">
        <v>33</v>
      </c>
      <c r="J782" s="1" t="s">
        <v>18</v>
      </c>
      <c r="K782" s="1">
        <v>725.0</v>
      </c>
      <c r="L782" s="1">
        <v>56.95643795</v>
      </c>
      <c r="M782" s="1">
        <v>24.1325729821556</v>
      </c>
    </row>
    <row r="783">
      <c r="A783" s="1" t="s">
        <v>22</v>
      </c>
      <c r="B783" s="1" t="s">
        <v>23</v>
      </c>
      <c r="C783" s="1" t="s">
        <v>688</v>
      </c>
      <c r="D783" s="1">
        <v>2.0</v>
      </c>
      <c r="E783" s="1">
        <v>41.9</v>
      </c>
      <c r="F783" s="1">
        <v>3.0</v>
      </c>
      <c r="G783" s="1">
        <v>5.0</v>
      </c>
      <c r="H783" s="1" t="s">
        <v>44</v>
      </c>
      <c r="I783" s="1" t="s">
        <v>37</v>
      </c>
      <c r="J783" s="1" t="s">
        <v>18</v>
      </c>
      <c r="K783" s="1">
        <v>62500.0</v>
      </c>
      <c r="L783" s="1">
        <v>56.9716816</v>
      </c>
      <c r="M783" s="1">
        <v>24.1021951</v>
      </c>
    </row>
    <row r="784">
      <c r="A784" s="1" t="s">
        <v>89</v>
      </c>
      <c r="B784" s="1" t="s">
        <v>109</v>
      </c>
      <c r="C784" s="2"/>
      <c r="D784" s="2"/>
      <c r="E784" s="2"/>
      <c r="F784" s="2"/>
      <c r="G784" s="2"/>
      <c r="H784" s="2"/>
      <c r="I784" s="2"/>
      <c r="J784" s="2"/>
      <c r="K784" s="2"/>
      <c r="L784" s="1">
        <v>46.3144754</v>
      </c>
      <c r="M784" s="1">
        <v>11.0480288</v>
      </c>
    </row>
    <row r="785">
      <c r="A785" s="1" t="s">
        <v>22</v>
      </c>
      <c r="B785" s="1" t="s">
        <v>14</v>
      </c>
      <c r="C785" s="1" t="s">
        <v>689</v>
      </c>
      <c r="D785" s="1">
        <v>2.0</v>
      </c>
      <c r="E785" s="1">
        <v>50.0</v>
      </c>
      <c r="F785" s="1">
        <v>6.0</v>
      </c>
      <c r="G785" s="1">
        <v>9.0</v>
      </c>
      <c r="H785" s="1">
        <v>602.0</v>
      </c>
      <c r="I785" s="1" t="s">
        <v>21</v>
      </c>
      <c r="J785" s="1" t="s">
        <v>18</v>
      </c>
      <c r="K785" s="1">
        <v>54000.0</v>
      </c>
      <c r="L785" s="1">
        <v>56.95828335</v>
      </c>
      <c r="M785" s="1">
        <v>24.1729105268554</v>
      </c>
    </row>
    <row r="786">
      <c r="A786" s="1" t="s">
        <v>22</v>
      </c>
      <c r="B786" s="1" t="s">
        <v>14</v>
      </c>
      <c r="C786" s="1" t="s">
        <v>690</v>
      </c>
      <c r="D786" s="1">
        <v>2.0</v>
      </c>
      <c r="E786" s="1">
        <v>52.0</v>
      </c>
      <c r="F786" s="1">
        <v>4.0</v>
      </c>
      <c r="G786" s="1">
        <v>9.0</v>
      </c>
      <c r="H786" s="1" t="s">
        <v>32</v>
      </c>
      <c r="I786" s="1" t="s">
        <v>33</v>
      </c>
      <c r="J786" s="1" t="s">
        <v>18</v>
      </c>
      <c r="K786" s="1">
        <v>85000.0</v>
      </c>
      <c r="L786" s="1">
        <v>56.9509836999999</v>
      </c>
      <c r="M786" s="1">
        <v>24.1833731423407</v>
      </c>
    </row>
    <row r="787">
      <c r="A787" s="1" t="s">
        <v>13</v>
      </c>
      <c r="B787" s="1" t="s">
        <v>23</v>
      </c>
      <c r="C787" s="1" t="s">
        <v>691</v>
      </c>
      <c r="D787" s="1">
        <v>2.0</v>
      </c>
      <c r="E787" s="1">
        <v>50.0</v>
      </c>
      <c r="F787" s="1">
        <v>1.0</v>
      </c>
      <c r="G787" s="1">
        <v>5.0</v>
      </c>
      <c r="H787" s="1" t="s">
        <v>36</v>
      </c>
      <c r="I787" s="1" t="s">
        <v>37</v>
      </c>
      <c r="J787" s="1" t="s">
        <v>18</v>
      </c>
      <c r="K787" s="1">
        <v>26.0</v>
      </c>
      <c r="L787" s="1">
        <v>56.9745784499999</v>
      </c>
      <c r="M787" s="1">
        <v>24.1442816140894</v>
      </c>
    </row>
    <row r="788">
      <c r="A788" s="1" t="s">
        <v>22</v>
      </c>
      <c r="B788" s="1" t="s">
        <v>134</v>
      </c>
      <c r="C788" s="1" t="s">
        <v>692</v>
      </c>
      <c r="D788" s="1">
        <v>1.0</v>
      </c>
      <c r="E788" s="1">
        <v>32.0</v>
      </c>
      <c r="F788" s="1">
        <v>5.0</v>
      </c>
      <c r="G788" s="1">
        <v>5.0</v>
      </c>
      <c r="H788" s="1" t="s">
        <v>57</v>
      </c>
      <c r="I788" s="1" t="s">
        <v>17</v>
      </c>
      <c r="J788" s="1" t="s">
        <v>18</v>
      </c>
      <c r="K788" s="1">
        <v>24700.0</v>
      </c>
      <c r="L788" s="1">
        <v>57.0402147</v>
      </c>
      <c r="M788" s="1">
        <v>24.031457377538</v>
      </c>
    </row>
    <row r="789">
      <c r="A789" s="1" t="s">
        <v>13</v>
      </c>
      <c r="B789" s="1" t="s">
        <v>23</v>
      </c>
      <c r="C789" s="1" t="s">
        <v>693</v>
      </c>
      <c r="D789" s="1">
        <v>1.0</v>
      </c>
      <c r="E789" s="1">
        <v>10.0</v>
      </c>
      <c r="F789" s="1">
        <v>6.0</v>
      </c>
      <c r="G789" s="1">
        <v>6.0</v>
      </c>
      <c r="H789" s="1" t="s">
        <v>25</v>
      </c>
      <c r="I789" s="1" t="s">
        <v>33</v>
      </c>
      <c r="J789" s="1" t="s">
        <v>18</v>
      </c>
      <c r="K789" s="1">
        <v>190.0</v>
      </c>
      <c r="L789" s="1">
        <v>56.95594065</v>
      </c>
      <c r="M789" s="1">
        <v>24.117723500918</v>
      </c>
    </row>
    <row r="790">
      <c r="A790" s="1" t="s">
        <v>13</v>
      </c>
      <c r="B790" s="1" t="s">
        <v>76</v>
      </c>
      <c r="C790" s="1" t="s">
        <v>694</v>
      </c>
      <c r="D790" s="1">
        <v>3.0</v>
      </c>
      <c r="E790" s="1">
        <v>57.0</v>
      </c>
      <c r="F790" s="1">
        <v>1.0</v>
      </c>
      <c r="G790" s="1">
        <v>9.0</v>
      </c>
      <c r="H790" s="1">
        <v>467.0</v>
      </c>
      <c r="I790" s="1" t="s">
        <v>21</v>
      </c>
      <c r="J790" s="1" t="s">
        <v>18</v>
      </c>
      <c r="K790" s="1">
        <v>350.0</v>
      </c>
      <c r="L790" s="1">
        <v>56.9556152</v>
      </c>
      <c r="M790" s="1">
        <v>24.0691683057669</v>
      </c>
    </row>
    <row r="791">
      <c r="A791" s="1" t="s">
        <v>13</v>
      </c>
      <c r="B791" s="1" t="s">
        <v>151</v>
      </c>
      <c r="C791" s="1" t="s">
        <v>694</v>
      </c>
      <c r="D791" s="1">
        <v>3.0</v>
      </c>
      <c r="E791" s="1">
        <v>57.0</v>
      </c>
      <c r="F791" s="1">
        <v>1.0</v>
      </c>
      <c r="G791" s="1">
        <v>9.0</v>
      </c>
      <c r="H791" s="1">
        <v>467.0</v>
      </c>
      <c r="I791" s="1" t="s">
        <v>21</v>
      </c>
      <c r="J791" s="1" t="s">
        <v>18</v>
      </c>
      <c r="K791" s="1">
        <v>350.0</v>
      </c>
      <c r="L791" s="1">
        <v>56.9556152</v>
      </c>
      <c r="M791" s="1">
        <v>24.0691683057669</v>
      </c>
    </row>
    <row r="792">
      <c r="A792" s="1" t="s">
        <v>13</v>
      </c>
      <c r="B792" s="1" t="s">
        <v>30</v>
      </c>
      <c r="C792" s="1" t="s">
        <v>695</v>
      </c>
      <c r="D792" s="1">
        <v>2.0</v>
      </c>
      <c r="E792" s="1">
        <v>42.0</v>
      </c>
      <c r="F792" s="1">
        <v>4.0</v>
      </c>
      <c r="G792" s="1">
        <v>5.0</v>
      </c>
      <c r="H792" s="1" t="s">
        <v>44</v>
      </c>
      <c r="I792" s="1" t="s">
        <v>37</v>
      </c>
      <c r="J792" s="1" t="s">
        <v>18</v>
      </c>
      <c r="K792" s="1">
        <v>320.0</v>
      </c>
      <c r="L792" s="1">
        <v>56.9776761</v>
      </c>
      <c r="M792" s="1">
        <v>24.1719745</v>
      </c>
    </row>
    <row r="793">
      <c r="A793" s="1" t="s">
        <v>13</v>
      </c>
      <c r="B793" s="1" t="s">
        <v>23</v>
      </c>
      <c r="C793" s="1" t="s">
        <v>696</v>
      </c>
      <c r="D793" s="1">
        <v>2.0</v>
      </c>
      <c r="E793" s="1">
        <v>46.0</v>
      </c>
      <c r="F793" s="1">
        <v>3.0</v>
      </c>
      <c r="G793" s="1">
        <v>5.0</v>
      </c>
      <c r="H793" s="1" t="s">
        <v>25</v>
      </c>
      <c r="I793" s="1" t="s">
        <v>33</v>
      </c>
      <c r="J793" s="1" t="s">
        <v>18</v>
      </c>
      <c r="K793" s="1">
        <v>19.0</v>
      </c>
      <c r="L793" s="1">
        <v>56.95468425</v>
      </c>
      <c r="M793" s="1">
        <v>24.1322506039386</v>
      </c>
    </row>
    <row r="794">
      <c r="A794" s="1" t="s">
        <v>13</v>
      </c>
      <c r="B794" s="1" t="s">
        <v>19</v>
      </c>
      <c r="C794" s="1" t="s">
        <v>697</v>
      </c>
      <c r="D794" s="1">
        <v>1.0</v>
      </c>
      <c r="E794" s="1">
        <v>32.0</v>
      </c>
      <c r="F794" s="1">
        <v>5.0</v>
      </c>
      <c r="G794" s="1">
        <v>9.0</v>
      </c>
      <c r="H794" s="1">
        <v>602.0</v>
      </c>
      <c r="I794" s="1" t="s">
        <v>21</v>
      </c>
      <c r="J794" s="1" t="s">
        <v>18</v>
      </c>
      <c r="K794" s="1">
        <v>230.0</v>
      </c>
      <c r="L794" s="1">
        <v>56.9000607</v>
      </c>
      <c r="M794" s="1">
        <v>24.0925604</v>
      </c>
    </row>
    <row r="795">
      <c r="A795" s="1" t="s">
        <v>22</v>
      </c>
      <c r="B795" s="1" t="s">
        <v>104</v>
      </c>
      <c r="C795" s="1" t="s">
        <v>698</v>
      </c>
      <c r="D795" s="1">
        <v>5.0</v>
      </c>
      <c r="E795" s="1">
        <v>91.0</v>
      </c>
      <c r="F795" s="1">
        <v>2.0</v>
      </c>
      <c r="G795" s="1">
        <v>4.0</v>
      </c>
      <c r="H795" s="1" t="s">
        <v>25</v>
      </c>
      <c r="I795" s="1" t="s">
        <v>37</v>
      </c>
      <c r="J795" s="1" t="s">
        <v>18</v>
      </c>
      <c r="K795" s="1">
        <v>132000.0</v>
      </c>
      <c r="L795" s="1">
        <v>56.94206255</v>
      </c>
      <c r="M795" s="1">
        <v>24.0642753752361</v>
      </c>
    </row>
    <row r="796">
      <c r="A796" s="1" t="s">
        <v>13</v>
      </c>
      <c r="B796" s="1" t="s">
        <v>151</v>
      </c>
      <c r="C796" s="1" t="s">
        <v>699</v>
      </c>
      <c r="D796" s="1">
        <v>3.0</v>
      </c>
      <c r="E796" s="1">
        <v>52.0</v>
      </c>
      <c r="F796" s="1">
        <v>1.0</v>
      </c>
      <c r="G796" s="1">
        <v>2.0</v>
      </c>
      <c r="H796" s="1" t="s">
        <v>25</v>
      </c>
      <c r="I796" s="1" t="s">
        <v>26</v>
      </c>
      <c r="J796" s="1" t="s">
        <v>27</v>
      </c>
      <c r="K796" s="1">
        <v>240.0</v>
      </c>
      <c r="L796" s="1">
        <v>56.9624472999999</v>
      </c>
      <c r="M796" s="1">
        <v>24.0527606999999</v>
      </c>
    </row>
    <row r="797">
      <c r="A797" s="1" t="s">
        <v>22</v>
      </c>
      <c r="B797" s="1" t="s">
        <v>74</v>
      </c>
      <c r="C797" s="1" t="s">
        <v>700</v>
      </c>
      <c r="D797" s="1">
        <v>1.0</v>
      </c>
      <c r="E797" s="1">
        <v>32.0</v>
      </c>
      <c r="F797" s="1">
        <v>4.0</v>
      </c>
      <c r="G797" s="1">
        <v>9.0</v>
      </c>
      <c r="H797" s="1">
        <v>602.0</v>
      </c>
      <c r="I797" s="1" t="s">
        <v>21</v>
      </c>
      <c r="J797" s="1" t="s">
        <v>18</v>
      </c>
      <c r="K797" s="1">
        <v>35500.0</v>
      </c>
      <c r="L797" s="1">
        <v>56.9440729</v>
      </c>
      <c r="M797" s="1">
        <v>24.2177392125913</v>
      </c>
    </row>
    <row r="798">
      <c r="A798" s="1" t="s">
        <v>13</v>
      </c>
      <c r="B798" s="1" t="s">
        <v>151</v>
      </c>
      <c r="C798" s="1" t="s">
        <v>701</v>
      </c>
      <c r="D798" s="1">
        <v>2.0</v>
      </c>
      <c r="E798" s="1">
        <v>46.0</v>
      </c>
      <c r="F798" s="1">
        <v>5.0</v>
      </c>
      <c r="G798" s="1">
        <v>5.0</v>
      </c>
      <c r="H798" s="1" t="s">
        <v>44</v>
      </c>
      <c r="I798" s="1" t="s">
        <v>21</v>
      </c>
      <c r="J798" s="1" t="s">
        <v>18</v>
      </c>
      <c r="K798" s="1">
        <v>300.0</v>
      </c>
      <c r="L798" s="1">
        <v>56.96306045</v>
      </c>
      <c r="M798" s="1">
        <v>24.0479363756081</v>
      </c>
    </row>
    <row r="799">
      <c r="A799" s="1" t="s">
        <v>22</v>
      </c>
      <c r="B799" s="1" t="s">
        <v>30</v>
      </c>
      <c r="C799" s="1" t="s">
        <v>702</v>
      </c>
      <c r="D799" s="1">
        <v>2.0</v>
      </c>
      <c r="E799" s="1">
        <v>47.0</v>
      </c>
      <c r="F799" s="1">
        <v>3.0</v>
      </c>
      <c r="G799" s="1">
        <v>5.0</v>
      </c>
      <c r="H799" s="1" t="s">
        <v>44</v>
      </c>
      <c r="I799" s="1" t="s">
        <v>37</v>
      </c>
      <c r="J799" s="1" t="s">
        <v>18</v>
      </c>
      <c r="K799" s="1">
        <v>59500.0</v>
      </c>
      <c r="L799" s="1">
        <v>56.98156</v>
      </c>
      <c r="M799" s="1">
        <v>24.1908887</v>
      </c>
    </row>
    <row r="800">
      <c r="A800" s="1" t="s">
        <v>13</v>
      </c>
      <c r="B800" s="1" t="s">
        <v>23</v>
      </c>
      <c r="C800" s="1" t="s">
        <v>703</v>
      </c>
      <c r="D800" s="1">
        <v>2.0</v>
      </c>
      <c r="E800" s="1">
        <v>51.0</v>
      </c>
      <c r="F800" s="1">
        <v>2.0</v>
      </c>
      <c r="G800" s="1">
        <v>6.0</v>
      </c>
      <c r="H800" s="1" t="s">
        <v>25</v>
      </c>
      <c r="I800" s="1" t="s">
        <v>33</v>
      </c>
      <c r="J800" s="1" t="s">
        <v>18</v>
      </c>
      <c r="K800" s="1">
        <v>340.0</v>
      </c>
      <c r="L800" s="1">
        <v>56.965966</v>
      </c>
      <c r="M800" s="1">
        <v>24.1445041</v>
      </c>
    </row>
    <row r="801">
      <c r="A801" s="1" t="s">
        <v>13</v>
      </c>
      <c r="B801" s="1" t="s">
        <v>23</v>
      </c>
      <c r="C801" s="1" t="s">
        <v>704</v>
      </c>
      <c r="D801" s="1">
        <v>2.0</v>
      </c>
      <c r="E801" s="1">
        <v>60.0</v>
      </c>
      <c r="F801" s="1">
        <v>2.0</v>
      </c>
      <c r="G801" s="1">
        <v>5.0</v>
      </c>
      <c r="H801" s="1" t="s">
        <v>44</v>
      </c>
      <c r="I801" s="1" t="s">
        <v>37</v>
      </c>
      <c r="J801" s="1" t="s">
        <v>18</v>
      </c>
      <c r="K801" s="1">
        <v>690.0</v>
      </c>
      <c r="L801" s="1">
        <v>56.9604576</v>
      </c>
      <c r="M801" s="1">
        <v>24.1316378</v>
      </c>
    </row>
    <row r="802">
      <c r="A802" s="1" t="s">
        <v>22</v>
      </c>
      <c r="B802" s="1" t="s">
        <v>30</v>
      </c>
      <c r="C802" s="1" t="s">
        <v>705</v>
      </c>
      <c r="D802" s="1">
        <v>3.0</v>
      </c>
      <c r="E802" s="1">
        <v>72.0</v>
      </c>
      <c r="F802" s="1">
        <v>3.0</v>
      </c>
      <c r="G802" s="1">
        <v>5.0</v>
      </c>
      <c r="H802" s="1">
        <v>103.0</v>
      </c>
      <c r="I802" s="1" t="s">
        <v>17</v>
      </c>
      <c r="J802" s="1" t="s">
        <v>18</v>
      </c>
      <c r="K802" s="1">
        <v>76000.0</v>
      </c>
      <c r="L802" s="1">
        <v>56.96893685</v>
      </c>
      <c r="M802" s="1">
        <v>24.1736180973848</v>
      </c>
    </row>
    <row r="803">
      <c r="A803" s="1" t="s">
        <v>22</v>
      </c>
      <c r="B803" s="1" t="s">
        <v>174</v>
      </c>
      <c r="C803" s="1" t="s">
        <v>706</v>
      </c>
      <c r="D803" s="1">
        <v>1.0</v>
      </c>
      <c r="E803" s="1">
        <v>42.0</v>
      </c>
      <c r="F803" s="1">
        <v>5.0</v>
      </c>
      <c r="G803" s="1">
        <v>5.0</v>
      </c>
      <c r="H803" s="1" t="s">
        <v>57</v>
      </c>
      <c r="I803" s="1" t="s">
        <v>37</v>
      </c>
      <c r="J803" s="1" t="s">
        <v>18</v>
      </c>
      <c r="K803" s="1">
        <v>27000.0</v>
      </c>
      <c r="L803" s="1">
        <v>56.94363395</v>
      </c>
      <c r="M803" s="1">
        <v>24.1717644188876</v>
      </c>
    </row>
    <row r="804">
      <c r="A804" s="1" t="s">
        <v>13</v>
      </c>
      <c r="B804" s="1" t="s">
        <v>76</v>
      </c>
      <c r="C804" s="1" t="s">
        <v>707</v>
      </c>
      <c r="D804" s="1">
        <v>2.0</v>
      </c>
      <c r="E804" s="1">
        <v>46.0</v>
      </c>
      <c r="F804" s="1">
        <v>2.0</v>
      </c>
      <c r="G804" s="1">
        <v>2.0</v>
      </c>
      <c r="H804" s="1" t="s">
        <v>44</v>
      </c>
      <c r="I804" s="1" t="s">
        <v>37</v>
      </c>
      <c r="J804" s="1" t="s">
        <v>18</v>
      </c>
      <c r="K804" s="1">
        <v>250.0</v>
      </c>
      <c r="L804" s="1">
        <v>56.9644458</v>
      </c>
      <c r="M804" s="1">
        <v>24.0640075</v>
      </c>
    </row>
    <row r="805">
      <c r="A805" s="1" t="s">
        <v>22</v>
      </c>
      <c r="B805" s="1" t="s">
        <v>23</v>
      </c>
      <c r="C805" s="1" t="s">
        <v>708</v>
      </c>
      <c r="D805" s="1">
        <v>3.0</v>
      </c>
      <c r="E805" s="1">
        <v>87.0</v>
      </c>
      <c r="F805" s="1">
        <v>4.0</v>
      </c>
      <c r="G805" s="1">
        <v>5.0</v>
      </c>
      <c r="H805" s="1" t="s">
        <v>25</v>
      </c>
      <c r="I805" s="1" t="s">
        <v>37</v>
      </c>
      <c r="J805" s="1" t="s">
        <v>18</v>
      </c>
      <c r="K805" s="1">
        <v>142000.0</v>
      </c>
      <c r="L805" s="1">
        <v>56.9557759</v>
      </c>
      <c r="M805" s="1">
        <v>24.1253193</v>
      </c>
    </row>
    <row r="806">
      <c r="A806" s="1" t="s">
        <v>13</v>
      </c>
      <c r="B806" s="1" t="s">
        <v>23</v>
      </c>
      <c r="C806" s="1" t="s">
        <v>709</v>
      </c>
      <c r="D806" s="1">
        <v>1.0</v>
      </c>
      <c r="E806" s="1">
        <v>58.0</v>
      </c>
      <c r="F806" s="1">
        <v>6.0</v>
      </c>
      <c r="G806" s="1">
        <v>7.0</v>
      </c>
      <c r="H806" s="1" t="s">
        <v>32</v>
      </c>
      <c r="I806" s="1" t="s">
        <v>21</v>
      </c>
      <c r="J806" s="1" t="s">
        <v>18</v>
      </c>
      <c r="K806" s="1">
        <v>800.0</v>
      </c>
      <c r="L806" s="1">
        <v>56.9443781</v>
      </c>
      <c r="M806" s="1">
        <v>24.1105085</v>
      </c>
    </row>
    <row r="807">
      <c r="A807" s="1" t="s">
        <v>22</v>
      </c>
      <c r="B807" s="1" t="s">
        <v>23</v>
      </c>
      <c r="C807" s="1" t="s">
        <v>262</v>
      </c>
      <c r="D807" s="1">
        <v>1.0</v>
      </c>
      <c r="E807" s="1">
        <v>36.6</v>
      </c>
      <c r="F807" s="1">
        <v>6.0</v>
      </c>
      <c r="G807" s="1">
        <v>7.0</v>
      </c>
      <c r="H807" s="1" t="s">
        <v>66</v>
      </c>
      <c r="I807" s="1" t="s">
        <v>33</v>
      </c>
      <c r="J807" s="1" t="s">
        <v>18</v>
      </c>
      <c r="K807" s="1">
        <v>102480.0</v>
      </c>
      <c r="L807" s="1">
        <v>56.9548306</v>
      </c>
      <c r="M807" s="1">
        <v>24.1221141</v>
      </c>
    </row>
    <row r="808">
      <c r="A808" s="1" t="s">
        <v>13</v>
      </c>
      <c r="B808" s="1" t="s">
        <v>14</v>
      </c>
      <c r="C808" s="1" t="s">
        <v>710</v>
      </c>
      <c r="D808" s="1">
        <v>1.0</v>
      </c>
      <c r="E808" s="1">
        <v>46.0</v>
      </c>
      <c r="F808" s="1">
        <v>5.0</v>
      </c>
      <c r="G808" s="1">
        <v>6.0</v>
      </c>
      <c r="H808" s="1" t="s">
        <v>32</v>
      </c>
      <c r="I808" s="1" t="s">
        <v>17</v>
      </c>
      <c r="J808" s="1" t="s">
        <v>18</v>
      </c>
      <c r="K808" s="1">
        <v>27.0</v>
      </c>
      <c r="L808" s="1">
        <v>56.95377445</v>
      </c>
      <c r="M808" s="1">
        <v>24.1541478038837</v>
      </c>
    </row>
    <row r="809">
      <c r="A809" s="1" t="s">
        <v>22</v>
      </c>
      <c r="B809" s="1" t="s">
        <v>52</v>
      </c>
      <c r="C809" s="1" t="s">
        <v>711</v>
      </c>
      <c r="D809" s="1">
        <v>4.0</v>
      </c>
      <c r="E809" s="1">
        <v>95.0</v>
      </c>
      <c r="F809" s="1">
        <v>6.0</v>
      </c>
      <c r="G809" s="1">
        <v>9.0</v>
      </c>
      <c r="H809" s="1">
        <v>119.0</v>
      </c>
      <c r="I809" s="1" t="s">
        <v>21</v>
      </c>
      <c r="J809" s="1" t="s">
        <v>18</v>
      </c>
      <c r="K809" s="1">
        <v>91000.0</v>
      </c>
      <c r="L809" s="1">
        <v>56.94627775</v>
      </c>
      <c r="M809" s="1">
        <v>24.0038639173023</v>
      </c>
    </row>
    <row r="810">
      <c r="A810" s="1" t="s">
        <v>468</v>
      </c>
      <c r="B810" s="1" t="s">
        <v>129</v>
      </c>
      <c r="C810" s="1" t="s">
        <v>712</v>
      </c>
      <c r="D810" s="1">
        <v>1.0</v>
      </c>
      <c r="E810" s="1">
        <v>38.0</v>
      </c>
      <c r="F810" s="1">
        <v>1.0</v>
      </c>
      <c r="G810" s="1">
        <v>5.0</v>
      </c>
      <c r="H810" s="1" t="s">
        <v>57</v>
      </c>
      <c r="I810" s="1" t="s">
        <v>37</v>
      </c>
      <c r="J810" s="1" t="s">
        <v>18</v>
      </c>
      <c r="K810" s="2"/>
      <c r="L810" s="1">
        <v>56.9866895</v>
      </c>
      <c r="M810" s="1">
        <v>24.1363664300068</v>
      </c>
    </row>
    <row r="811">
      <c r="A811" s="1" t="s">
        <v>22</v>
      </c>
      <c r="B811" s="1" t="s">
        <v>129</v>
      </c>
      <c r="C811" s="1" t="s">
        <v>713</v>
      </c>
      <c r="D811" s="1">
        <v>1.0</v>
      </c>
      <c r="E811" s="1">
        <v>18.0</v>
      </c>
      <c r="F811" s="1">
        <v>3.0</v>
      </c>
      <c r="G811" s="1">
        <v>5.0</v>
      </c>
      <c r="H811" s="1" t="s">
        <v>36</v>
      </c>
      <c r="I811" s="1" t="s">
        <v>17</v>
      </c>
      <c r="J811" s="1" t="s">
        <v>27</v>
      </c>
      <c r="K811" s="1">
        <v>11000.0</v>
      </c>
      <c r="L811" s="1">
        <v>57.000974</v>
      </c>
      <c r="M811" s="1">
        <v>24.12127055</v>
      </c>
    </row>
    <row r="812">
      <c r="A812" s="1" t="s">
        <v>22</v>
      </c>
      <c r="B812" s="1" t="s">
        <v>151</v>
      </c>
      <c r="C812" s="1" t="s">
        <v>714</v>
      </c>
      <c r="D812" s="1">
        <v>2.0</v>
      </c>
      <c r="E812" s="1">
        <v>51.0</v>
      </c>
      <c r="F812" s="1">
        <v>3.0</v>
      </c>
      <c r="G812" s="1">
        <v>5.0</v>
      </c>
      <c r="H812" s="1" t="s">
        <v>181</v>
      </c>
      <c r="I812" s="1" t="s">
        <v>37</v>
      </c>
      <c r="J812" s="1" t="s">
        <v>18</v>
      </c>
      <c r="K812" s="1">
        <v>66000.0</v>
      </c>
      <c r="L812" s="1">
        <v>56.96895055</v>
      </c>
      <c r="M812" s="1">
        <v>24.0712510907992</v>
      </c>
    </row>
    <row r="813">
      <c r="A813" s="1" t="s">
        <v>22</v>
      </c>
      <c r="B813" s="1" t="s">
        <v>104</v>
      </c>
      <c r="C813" s="1" t="s">
        <v>715</v>
      </c>
      <c r="D813" s="1">
        <v>3.0</v>
      </c>
      <c r="E813" s="1">
        <v>54.0</v>
      </c>
      <c r="F813" s="1">
        <v>3.0</v>
      </c>
      <c r="G813" s="1">
        <v>5.0</v>
      </c>
      <c r="H813" s="1" t="s">
        <v>36</v>
      </c>
      <c r="I813" s="1" t="s">
        <v>37</v>
      </c>
      <c r="J813" s="1" t="s">
        <v>18</v>
      </c>
      <c r="K813" s="1">
        <v>59000.0</v>
      </c>
      <c r="L813" s="1">
        <v>56.9482215</v>
      </c>
      <c r="M813" s="1">
        <v>24.0498008499999</v>
      </c>
    </row>
    <row r="814">
      <c r="A814" s="1" t="s">
        <v>22</v>
      </c>
      <c r="B814" s="1" t="s">
        <v>96</v>
      </c>
      <c r="C814" s="1" t="s">
        <v>716</v>
      </c>
      <c r="D814" s="1">
        <v>1.0</v>
      </c>
      <c r="E814" s="1">
        <v>24.0</v>
      </c>
      <c r="F814" s="1">
        <v>4.0</v>
      </c>
      <c r="G814" s="1">
        <v>4.0</v>
      </c>
      <c r="H814" s="1" t="s">
        <v>44</v>
      </c>
      <c r="I814" s="1" t="s">
        <v>37</v>
      </c>
      <c r="J814" s="1" t="s">
        <v>18</v>
      </c>
      <c r="K814" s="1">
        <v>20700.0</v>
      </c>
      <c r="L814" s="1">
        <v>57.0359712</v>
      </c>
      <c r="M814" s="1">
        <v>24.092222</v>
      </c>
    </row>
    <row r="815">
      <c r="A815" s="1" t="s">
        <v>13</v>
      </c>
      <c r="B815" s="1" t="s">
        <v>14</v>
      </c>
      <c r="C815" s="1" t="s">
        <v>717</v>
      </c>
      <c r="D815" s="1">
        <v>2.0</v>
      </c>
      <c r="E815" s="1">
        <v>50.0</v>
      </c>
      <c r="F815" s="1">
        <v>1.0</v>
      </c>
      <c r="G815" s="1">
        <v>5.0</v>
      </c>
      <c r="H815" s="1" t="s">
        <v>16</v>
      </c>
      <c r="I815" s="1" t="s">
        <v>21</v>
      </c>
      <c r="J815" s="1" t="s">
        <v>18</v>
      </c>
      <c r="K815" s="1">
        <v>350.0</v>
      </c>
      <c r="L815" s="1">
        <v>56.9518384</v>
      </c>
      <c r="M815" s="1">
        <v>24.1999196</v>
      </c>
    </row>
    <row r="816">
      <c r="A816" s="1" t="s">
        <v>13</v>
      </c>
      <c r="B816" s="1" t="s">
        <v>23</v>
      </c>
      <c r="C816" s="1" t="s">
        <v>718</v>
      </c>
      <c r="D816" s="1">
        <v>2.0</v>
      </c>
      <c r="E816" s="1">
        <v>57.0</v>
      </c>
      <c r="F816" s="1">
        <v>2.0</v>
      </c>
      <c r="G816" s="1">
        <v>5.0</v>
      </c>
      <c r="H816" s="1" t="s">
        <v>25</v>
      </c>
      <c r="I816" s="1" t="s">
        <v>33</v>
      </c>
      <c r="J816" s="1" t="s">
        <v>18</v>
      </c>
      <c r="K816" s="1">
        <v>500.0</v>
      </c>
      <c r="L816" s="1">
        <v>56.9592539</v>
      </c>
      <c r="M816" s="1">
        <v>24.100972</v>
      </c>
    </row>
    <row r="817">
      <c r="A817" s="1" t="s">
        <v>13</v>
      </c>
      <c r="B817" s="1" t="s">
        <v>42</v>
      </c>
      <c r="C817" s="1" t="s">
        <v>719</v>
      </c>
      <c r="D817" s="1">
        <v>2.0</v>
      </c>
      <c r="E817" s="1">
        <v>60.0</v>
      </c>
      <c r="F817" s="1">
        <v>12.0</v>
      </c>
      <c r="G817" s="1">
        <v>12.0</v>
      </c>
      <c r="H817" s="1">
        <v>104.0</v>
      </c>
      <c r="I817" s="1" t="s">
        <v>17</v>
      </c>
      <c r="J817" s="1" t="s">
        <v>18</v>
      </c>
      <c r="K817" s="1">
        <v>330.0</v>
      </c>
      <c r="L817" s="1">
        <v>56.9847727</v>
      </c>
      <c r="M817" s="1">
        <v>24.2491213725003</v>
      </c>
    </row>
    <row r="818">
      <c r="A818" s="1" t="s">
        <v>13</v>
      </c>
      <c r="B818" s="1" t="s">
        <v>23</v>
      </c>
      <c r="C818" s="1" t="s">
        <v>720</v>
      </c>
      <c r="D818" s="1">
        <v>2.0</v>
      </c>
      <c r="E818" s="1">
        <v>42.0</v>
      </c>
      <c r="F818" s="1">
        <v>4.0</v>
      </c>
      <c r="G818" s="1">
        <v>5.0</v>
      </c>
      <c r="H818" s="1" t="s">
        <v>44</v>
      </c>
      <c r="I818" s="1" t="s">
        <v>37</v>
      </c>
      <c r="J818" s="1" t="s">
        <v>18</v>
      </c>
      <c r="K818" s="1">
        <v>340.0</v>
      </c>
      <c r="L818" s="1">
        <v>56.9639569</v>
      </c>
      <c r="M818" s="1">
        <v>24.14978065</v>
      </c>
    </row>
    <row r="819">
      <c r="A819" s="1" t="s">
        <v>22</v>
      </c>
      <c r="B819" s="1" t="s">
        <v>23</v>
      </c>
      <c r="C819" s="1" t="s">
        <v>721</v>
      </c>
      <c r="D819" s="1">
        <v>3.0</v>
      </c>
      <c r="E819" s="1">
        <v>60.0</v>
      </c>
      <c r="F819" s="1">
        <v>2.0</v>
      </c>
      <c r="G819" s="1">
        <v>4.0</v>
      </c>
      <c r="H819" s="1" t="s">
        <v>25</v>
      </c>
      <c r="I819" s="1" t="s">
        <v>33</v>
      </c>
      <c r="J819" s="1" t="s">
        <v>18</v>
      </c>
      <c r="K819" s="1">
        <v>119000.0</v>
      </c>
      <c r="L819" s="1">
        <v>56.9599049</v>
      </c>
      <c r="M819" s="1">
        <v>24.1100557075465</v>
      </c>
    </row>
    <row r="820">
      <c r="A820" s="1" t="s">
        <v>13</v>
      </c>
      <c r="B820" s="1" t="s">
        <v>19</v>
      </c>
      <c r="C820" s="1" t="s">
        <v>722</v>
      </c>
      <c r="D820" s="1">
        <v>1.0</v>
      </c>
      <c r="E820" s="1">
        <v>32.0</v>
      </c>
      <c r="F820" s="1">
        <v>1.0</v>
      </c>
      <c r="G820" s="1">
        <v>9.0</v>
      </c>
      <c r="H820" s="1" t="s">
        <v>36</v>
      </c>
      <c r="I820" s="1" t="s">
        <v>37</v>
      </c>
      <c r="J820" s="1" t="s">
        <v>18</v>
      </c>
      <c r="K820" s="1">
        <v>220.0</v>
      </c>
      <c r="L820" s="1">
        <v>56.8989409</v>
      </c>
      <c r="M820" s="1">
        <v>24.0833892577372</v>
      </c>
    </row>
    <row r="821">
      <c r="A821" s="1" t="s">
        <v>22</v>
      </c>
      <c r="B821" s="1" t="s">
        <v>23</v>
      </c>
      <c r="C821" s="1" t="s">
        <v>723</v>
      </c>
      <c r="D821" s="1">
        <v>5.0</v>
      </c>
      <c r="E821" s="1">
        <v>154.0</v>
      </c>
      <c r="F821" s="1">
        <v>2.0</v>
      </c>
      <c r="G821" s="1">
        <v>5.0</v>
      </c>
      <c r="H821" s="1" t="s">
        <v>25</v>
      </c>
      <c r="I821" s="1" t="s">
        <v>37</v>
      </c>
      <c r="J821" s="1" t="s">
        <v>18</v>
      </c>
      <c r="K821" s="1">
        <v>333000.0</v>
      </c>
      <c r="L821" s="1" t="s">
        <v>40</v>
      </c>
      <c r="M821" s="1" t="s">
        <v>40</v>
      </c>
    </row>
    <row r="822">
      <c r="A822" s="1" t="s">
        <v>13</v>
      </c>
      <c r="B822" s="1" t="s">
        <v>60</v>
      </c>
      <c r="C822" s="1" t="s">
        <v>724</v>
      </c>
      <c r="D822" s="1">
        <v>2.0</v>
      </c>
      <c r="E822" s="1">
        <v>50.0</v>
      </c>
      <c r="F822" s="1">
        <v>6.0</v>
      </c>
      <c r="G822" s="1">
        <v>9.0</v>
      </c>
      <c r="H822" s="1">
        <v>602.0</v>
      </c>
      <c r="I822" s="1" t="s">
        <v>21</v>
      </c>
      <c r="J822" s="1" t="s">
        <v>18</v>
      </c>
      <c r="K822" s="1">
        <v>220.0</v>
      </c>
      <c r="L822" s="1">
        <v>57.0327107</v>
      </c>
      <c r="M822" s="1">
        <v>24.0550827</v>
      </c>
    </row>
    <row r="823">
      <c r="A823" s="1" t="s">
        <v>89</v>
      </c>
      <c r="B823" s="1" t="s">
        <v>74</v>
      </c>
      <c r="C823" s="2"/>
      <c r="D823" s="2"/>
      <c r="E823" s="2"/>
      <c r="F823" s="2"/>
      <c r="G823" s="2"/>
      <c r="H823" s="2"/>
      <c r="I823" s="2"/>
      <c r="J823" s="2"/>
      <c r="K823" s="2"/>
      <c r="L823" s="1">
        <v>46.3144754</v>
      </c>
      <c r="M823" s="1">
        <v>11.0480288</v>
      </c>
    </row>
    <row r="824">
      <c r="A824" s="1" t="s">
        <v>89</v>
      </c>
      <c r="B824" s="1" t="s">
        <v>151</v>
      </c>
      <c r="C824" s="2"/>
      <c r="D824" s="2"/>
      <c r="E824" s="2"/>
      <c r="F824" s="2"/>
      <c r="G824" s="2"/>
      <c r="H824" s="2"/>
      <c r="I824" s="2"/>
      <c r="J824" s="2"/>
      <c r="K824" s="2"/>
      <c r="L824" s="1">
        <v>46.3144754</v>
      </c>
      <c r="M824" s="1">
        <v>11.0480288</v>
      </c>
    </row>
    <row r="825">
      <c r="A825" s="1" t="s">
        <v>89</v>
      </c>
      <c r="B825" s="1" t="s">
        <v>104</v>
      </c>
      <c r="C825" s="2"/>
      <c r="D825" s="2"/>
      <c r="E825" s="2"/>
      <c r="F825" s="2"/>
      <c r="G825" s="2"/>
      <c r="H825" s="2"/>
      <c r="I825" s="2"/>
      <c r="J825" s="2"/>
      <c r="K825" s="2"/>
      <c r="L825" s="1">
        <v>46.3144754</v>
      </c>
      <c r="M825" s="1">
        <v>11.0480288</v>
      </c>
    </row>
    <row r="826">
      <c r="A826" s="1" t="s">
        <v>89</v>
      </c>
      <c r="B826" s="1" t="s">
        <v>28</v>
      </c>
      <c r="C826" s="2"/>
      <c r="D826" s="2"/>
      <c r="E826" s="2"/>
      <c r="F826" s="2"/>
      <c r="G826" s="2"/>
      <c r="H826" s="2"/>
      <c r="I826" s="2"/>
      <c r="J826" s="2"/>
      <c r="K826" s="2"/>
      <c r="L826" s="1">
        <v>46.3144754</v>
      </c>
      <c r="M826" s="1">
        <v>11.0480288</v>
      </c>
    </row>
    <row r="827">
      <c r="A827" s="1" t="s">
        <v>22</v>
      </c>
      <c r="B827" s="1" t="s">
        <v>19</v>
      </c>
      <c r="C827" s="1" t="s">
        <v>725</v>
      </c>
      <c r="D827" s="1">
        <v>2.0</v>
      </c>
      <c r="E827" s="1">
        <v>54.0</v>
      </c>
      <c r="F827" s="1">
        <v>4.0</v>
      </c>
      <c r="G827" s="1">
        <v>6.0</v>
      </c>
      <c r="H827" s="1" t="s">
        <v>36</v>
      </c>
      <c r="I827" s="1" t="s">
        <v>37</v>
      </c>
      <c r="J827" s="1" t="s">
        <v>18</v>
      </c>
      <c r="K827" s="1">
        <v>65000.0</v>
      </c>
      <c r="L827" s="1">
        <v>56.9125204</v>
      </c>
      <c r="M827" s="1">
        <v>24.1026835316779</v>
      </c>
    </row>
    <row r="828">
      <c r="A828" s="1" t="s">
        <v>13</v>
      </c>
      <c r="B828" s="1" t="s">
        <v>23</v>
      </c>
      <c r="C828" s="1" t="s">
        <v>726</v>
      </c>
      <c r="D828" s="1">
        <v>2.0</v>
      </c>
      <c r="E828" s="1">
        <v>37.0</v>
      </c>
      <c r="F828" s="1">
        <v>4.0</v>
      </c>
      <c r="G828" s="1">
        <v>5.0</v>
      </c>
      <c r="H828" s="1" t="s">
        <v>66</v>
      </c>
      <c r="I828" s="1" t="s">
        <v>37</v>
      </c>
      <c r="J828" s="1" t="s">
        <v>18</v>
      </c>
      <c r="K828" s="1">
        <v>35.0</v>
      </c>
      <c r="L828" s="1">
        <v>56.9477411</v>
      </c>
      <c r="M828" s="1">
        <v>24.1417055671983</v>
      </c>
    </row>
    <row r="829">
      <c r="A829" s="1" t="s">
        <v>13</v>
      </c>
      <c r="B829" s="1" t="s">
        <v>38</v>
      </c>
      <c r="C829" s="1" t="s">
        <v>145</v>
      </c>
      <c r="D829" s="1">
        <v>1.0</v>
      </c>
      <c r="E829" s="1">
        <v>52.0</v>
      </c>
      <c r="F829" s="1">
        <v>6.0</v>
      </c>
      <c r="G829" s="1">
        <v>15.0</v>
      </c>
      <c r="H829" s="1" t="s">
        <v>32</v>
      </c>
      <c r="I829" s="1" t="s">
        <v>17</v>
      </c>
      <c r="J829" s="1" t="s">
        <v>18</v>
      </c>
      <c r="K829" s="1">
        <v>390.0</v>
      </c>
      <c r="L829" s="1">
        <v>56.96112105</v>
      </c>
      <c r="M829" s="1">
        <v>24.01821679525</v>
      </c>
    </row>
    <row r="830">
      <c r="A830" s="1" t="s">
        <v>13</v>
      </c>
      <c r="B830" s="1" t="s">
        <v>129</v>
      </c>
      <c r="C830" s="1" t="s">
        <v>727</v>
      </c>
      <c r="D830" s="1">
        <v>2.0</v>
      </c>
      <c r="E830" s="1">
        <v>42.0</v>
      </c>
      <c r="F830" s="1">
        <v>3.0</v>
      </c>
      <c r="G830" s="1">
        <v>5.0</v>
      </c>
      <c r="H830" s="1" t="s">
        <v>44</v>
      </c>
      <c r="I830" s="1" t="s">
        <v>37</v>
      </c>
      <c r="J830" s="1" t="s">
        <v>18</v>
      </c>
      <c r="K830" s="1">
        <v>240.0</v>
      </c>
      <c r="L830" s="1">
        <v>56.9879162</v>
      </c>
      <c r="M830" s="1">
        <v>24.1350144</v>
      </c>
    </row>
    <row r="831">
      <c r="A831" s="1" t="s">
        <v>22</v>
      </c>
      <c r="B831" s="1" t="s">
        <v>19</v>
      </c>
      <c r="C831" s="1" t="s">
        <v>728</v>
      </c>
      <c r="D831" s="1">
        <v>1.0</v>
      </c>
      <c r="E831" s="1">
        <v>40.0</v>
      </c>
      <c r="F831" s="1">
        <v>1.0</v>
      </c>
      <c r="G831" s="1">
        <v>9.0</v>
      </c>
      <c r="H831" s="1" t="s">
        <v>57</v>
      </c>
      <c r="I831" s="1" t="s">
        <v>21</v>
      </c>
      <c r="J831" s="1" t="s">
        <v>18</v>
      </c>
      <c r="K831" s="1">
        <v>37000.0</v>
      </c>
      <c r="L831" s="1">
        <v>56.9010095999999</v>
      </c>
      <c r="M831" s="1">
        <v>24.0999756383549</v>
      </c>
    </row>
    <row r="832">
      <c r="A832" s="1" t="s">
        <v>22</v>
      </c>
      <c r="B832" s="1" t="s">
        <v>96</v>
      </c>
      <c r="C832" s="1" t="s">
        <v>729</v>
      </c>
      <c r="D832" s="1">
        <v>3.0</v>
      </c>
      <c r="E832" s="1">
        <v>63.0</v>
      </c>
      <c r="F832" s="1">
        <v>5.0</v>
      </c>
      <c r="G832" s="1">
        <v>9.0</v>
      </c>
      <c r="H832" s="1">
        <v>602.0</v>
      </c>
      <c r="I832" s="1" t="s">
        <v>21</v>
      </c>
      <c r="J832" s="1" t="s">
        <v>18</v>
      </c>
      <c r="K832" s="1">
        <v>60000.0</v>
      </c>
      <c r="L832" s="1">
        <v>57.0336529</v>
      </c>
      <c r="M832" s="1">
        <v>24.1036270773076</v>
      </c>
    </row>
    <row r="833">
      <c r="A833" s="1" t="s">
        <v>13</v>
      </c>
      <c r="B833" s="1" t="s">
        <v>23</v>
      </c>
      <c r="C833" s="1" t="s">
        <v>730</v>
      </c>
      <c r="D833" s="1">
        <v>1.0</v>
      </c>
      <c r="E833" s="1">
        <v>20.0</v>
      </c>
      <c r="F833" s="1">
        <v>5.0</v>
      </c>
      <c r="G833" s="1">
        <v>6.0</v>
      </c>
      <c r="H833" s="1" t="s">
        <v>25</v>
      </c>
      <c r="I833" s="1" t="s">
        <v>33</v>
      </c>
      <c r="J833" s="1" t="s">
        <v>18</v>
      </c>
      <c r="K833" s="1">
        <v>140.0</v>
      </c>
      <c r="L833" s="1">
        <v>56.95556745</v>
      </c>
      <c r="M833" s="1">
        <v>24.1224418671428</v>
      </c>
    </row>
    <row r="834">
      <c r="A834" s="1" t="s">
        <v>22</v>
      </c>
      <c r="B834" s="1" t="s">
        <v>52</v>
      </c>
      <c r="C834" s="1" t="s">
        <v>731</v>
      </c>
      <c r="D834" s="1">
        <v>2.0</v>
      </c>
      <c r="E834" s="1">
        <v>60.0</v>
      </c>
      <c r="F834" s="1">
        <v>2.0</v>
      </c>
      <c r="G834" s="1">
        <v>3.0</v>
      </c>
      <c r="H834" s="1" t="s">
        <v>32</v>
      </c>
      <c r="I834" s="1" t="s">
        <v>122</v>
      </c>
      <c r="J834" s="1" t="s">
        <v>18</v>
      </c>
      <c r="K834" s="1">
        <v>97010.0</v>
      </c>
      <c r="L834" s="1">
        <v>56.9421021</v>
      </c>
      <c r="M834" s="1">
        <v>24.0243648</v>
      </c>
    </row>
    <row r="835">
      <c r="A835" s="1" t="s">
        <v>13</v>
      </c>
      <c r="B835" s="1" t="s">
        <v>422</v>
      </c>
      <c r="C835" s="1" t="s">
        <v>732</v>
      </c>
      <c r="D835" s="1">
        <v>3.0</v>
      </c>
      <c r="E835" s="1">
        <v>92.0</v>
      </c>
      <c r="F835" s="1">
        <v>12.0</v>
      </c>
      <c r="G835" s="1">
        <v>25.0</v>
      </c>
      <c r="H835" s="1" t="s">
        <v>32</v>
      </c>
      <c r="I835" s="1" t="s">
        <v>17</v>
      </c>
      <c r="J835" s="1" t="s">
        <v>18</v>
      </c>
      <c r="K835" s="1">
        <v>650.0</v>
      </c>
      <c r="L835" s="1">
        <v>56.9340645</v>
      </c>
      <c r="M835" s="1">
        <v>24.0436381</v>
      </c>
    </row>
    <row r="836">
      <c r="A836" s="1" t="s">
        <v>22</v>
      </c>
      <c r="B836" s="1" t="s">
        <v>52</v>
      </c>
      <c r="C836" s="1" t="s">
        <v>420</v>
      </c>
      <c r="D836" s="1">
        <v>2.0</v>
      </c>
      <c r="E836" s="1">
        <v>58.0</v>
      </c>
      <c r="F836" s="1">
        <v>8.0</v>
      </c>
      <c r="G836" s="1">
        <v>9.0</v>
      </c>
      <c r="H836" s="1">
        <v>119.0</v>
      </c>
      <c r="I836" s="1" t="s">
        <v>21</v>
      </c>
      <c r="J836" s="1" t="s">
        <v>18</v>
      </c>
      <c r="K836" s="1">
        <v>53800.0</v>
      </c>
      <c r="L836" s="1">
        <v>56.9454805</v>
      </c>
      <c r="M836" s="1">
        <v>24.0097101</v>
      </c>
    </row>
    <row r="837">
      <c r="A837" s="1" t="s">
        <v>89</v>
      </c>
      <c r="B837" s="1" t="s">
        <v>23</v>
      </c>
      <c r="C837" s="2"/>
      <c r="D837" s="1">
        <v>2.0</v>
      </c>
      <c r="E837" s="2"/>
      <c r="F837" s="2"/>
      <c r="G837" s="2"/>
      <c r="H837" s="2"/>
      <c r="I837" s="2"/>
      <c r="J837" s="2"/>
      <c r="K837" s="2"/>
      <c r="L837" s="1">
        <v>46.3144754</v>
      </c>
      <c r="M837" s="1">
        <v>11.0480288</v>
      </c>
    </row>
    <row r="838">
      <c r="A838" s="1" t="s">
        <v>22</v>
      </c>
      <c r="B838" s="1" t="s">
        <v>28</v>
      </c>
      <c r="C838" s="1" t="s">
        <v>733</v>
      </c>
      <c r="D838" s="1">
        <v>1.0</v>
      </c>
      <c r="E838" s="1">
        <v>30.0</v>
      </c>
      <c r="F838" s="1">
        <v>4.0</v>
      </c>
      <c r="G838" s="1">
        <v>5.0</v>
      </c>
      <c r="H838" s="1" t="s">
        <v>16</v>
      </c>
      <c r="I838" s="1" t="s">
        <v>21</v>
      </c>
      <c r="J838" s="1" t="s">
        <v>18</v>
      </c>
      <c r="K838" s="1">
        <v>27900.0</v>
      </c>
      <c r="L838" s="1">
        <v>56.94454165</v>
      </c>
      <c r="M838" s="1">
        <v>24.1126738322132</v>
      </c>
    </row>
    <row r="839">
      <c r="A839" s="1" t="s">
        <v>22</v>
      </c>
      <c r="B839" s="1" t="s">
        <v>14</v>
      </c>
      <c r="C839" s="1" t="s">
        <v>234</v>
      </c>
      <c r="D839" s="1">
        <v>4.0</v>
      </c>
      <c r="E839" s="1">
        <v>75.0</v>
      </c>
      <c r="F839" s="1">
        <v>6.0</v>
      </c>
      <c r="G839" s="1">
        <v>9.0</v>
      </c>
      <c r="H839" s="1">
        <v>467.0</v>
      </c>
      <c r="I839" s="1" t="s">
        <v>21</v>
      </c>
      <c r="J839" s="1" t="s">
        <v>18</v>
      </c>
      <c r="K839" s="1">
        <v>69900.0</v>
      </c>
      <c r="L839" s="1">
        <v>56.95855255</v>
      </c>
      <c r="M839" s="1">
        <v>24.1753163275791</v>
      </c>
    </row>
    <row r="840">
      <c r="A840" s="1" t="s">
        <v>13</v>
      </c>
      <c r="B840" s="1" t="s">
        <v>23</v>
      </c>
      <c r="C840" s="1" t="s">
        <v>196</v>
      </c>
      <c r="D840" s="1">
        <v>1.0</v>
      </c>
      <c r="E840" s="1">
        <v>26.0</v>
      </c>
      <c r="F840" s="1">
        <v>4.0</v>
      </c>
      <c r="G840" s="1">
        <v>5.0</v>
      </c>
      <c r="H840" s="1" t="s">
        <v>66</v>
      </c>
      <c r="I840" s="1" t="s">
        <v>37</v>
      </c>
      <c r="J840" s="1" t="s">
        <v>18</v>
      </c>
      <c r="K840" s="1">
        <v>330.0</v>
      </c>
      <c r="L840" s="1">
        <v>56.9630577</v>
      </c>
      <c r="M840" s="1">
        <v>24.1531056</v>
      </c>
    </row>
    <row r="841">
      <c r="A841" s="1" t="s">
        <v>13</v>
      </c>
      <c r="B841" s="1" t="s">
        <v>23</v>
      </c>
      <c r="C841" s="1" t="s">
        <v>734</v>
      </c>
      <c r="D841" s="1">
        <v>1.0</v>
      </c>
      <c r="E841" s="1">
        <v>20.0</v>
      </c>
      <c r="F841" s="1">
        <v>1.0</v>
      </c>
      <c r="G841" s="1">
        <v>5.0</v>
      </c>
      <c r="H841" s="1" t="s">
        <v>25</v>
      </c>
      <c r="I841" s="1" t="s">
        <v>33</v>
      </c>
      <c r="J841" s="1" t="s">
        <v>18</v>
      </c>
      <c r="K841" s="1">
        <v>295.0</v>
      </c>
      <c r="L841" s="1">
        <v>56.9557759</v>
      </c>
      <c r="M841" s="1">
        <v>24.1253193</v>
      </c>
    </row>
    <row r="842">
      <c r="A842" s="1" t="s">
        <v>22</v>
      </c>
      <c r="B842" s="1" t="s">
        <v>30</v>
      </c>
      <c r="C842" s="1" t="s">
        <v>705</v>
      </c>
      <c r="D842" s="1">
        <v>3.0</v>
      </c>
      <c r="E842" s="1">
        <v>72.0</v>
      </c>
      <c r="F842" s="1">
        <v>3.0</v>
      </c>
      <c r="G842" s="1">
        <v>5.0</v>
      </c>
      <c r="H842" s="1">
        <v>103.0</v>
      </c>
      <c r="I842" s="1" t="s">
        <v>17</v>
      </c>
      <c r="J842" s="1" t="s">
        <v>18</v>
      </c>
      <c r="K842" s="1">
        <v>76000.0</v>
      </c>
      <c r="L842" s="1">
        <v>56.96893685</v>
      </c>
      <c r="M842" s="1">
        <v>24.1736180973848</v>
      </c>
    </row>
    <row r="843">
      <c r="A843" s="1" t="s">
        <v>13</v>
      </c>
      <c r="B843" s="1" t="s">
        <v>52</v>
      </c>
      <c r="C843" s="1" t="s">
        <v>202</v>
      </c>
      <c r="D843" s="1">
        <v>2.0</v>
      </c>
      <c r="E843" s="1">
        <v>72.0</v>
      </c>
      <c r="F843" s="1">
        <v>2.0</v>
      </c>
      <c r="G843" s="1">
        <v>4.0</v>
      </c>
      <c r="H843" s="1" t="s">
        <v>32</v>
      </c>
      <c r="I843" s="1" t="s">
        <v>122</v>
      </c>
      <c r="J843" s="1" t="s">
        <v>18</v>
      </c>
      <c r="K843" s="1">
        <v>500.0</v>
      </c>
      <c r="L843" s="1">
        <v>56.94145735</v>
      </c>
      <c r="M843" s="1">
        <v>24.0030188392346</v>
      </c>
    </row>
    <row r="844">
      <c r="A844" s="1" t="s">
        <v>22</v>
      </c>
      <c r="B844" s="1" t="s">
        <v>14</v>
      </c>
      <c r="C844" s="1" t="s">
        <v>735</v>
      </c>
      <c r="D844" s="1">
        <v>3.0</v>
      </c>
      <c r="E844" s="1">
        <v>55.0</v>
      </c>
      <c r="F844" s="1">
        <v>5.0</v>
      </c>
      <c r="G844" s="1">
        <v>5.0</v>
      </c>
      <c r="H844" s="1" t="s">
        <v>16</v>
      </c>
      <c r="I844" s="1" t="s">
        <v>21</v>
      </c>
      <c r="J844" s="1" t="s">
        <v>18</v>
      </c>
      <c r="K844" s="1">
        <v>51000.0</v>
      </c>
      <c r="L844" s="1">
        <v>56.9527936</v>
      </c>
      <c r="M844" s="1">
        <v>24.2063812</v>
      </c>
    </row>
    <row r="845">
      <c r="A845" s="1" t="s">
        <v>22</v>
      </c>
      <c r="B845" s="1" t="s">
        <v>96</v>
      </c>
      <c r="C845" s="1" t="s">
        <v>736</v>
      </c>
      <c r="D845" s="1">
        <v>3.0</v>
      </c>
      <c r="E845" s="1">
        <v>60.0</v>
      </c>
      <c r="F845" s="1">
        <v>6.0</v>
      </c>
      <c r="G845" s="1">
        <v>9.0</v>
      </c>
      <c r="H845" s="1">
        <v>467.0</v>
      </c>
      <c r="I845" s="1" t="s">
        <v>21</v>
      </c>
      <c r="J845" s="1" t="s">
        <v>18</v>
      </c>
      <c r="K845" s="1">
        <v>60500.0</v>
      </c>
      <c r="L845" s="1">
        <v>57.0318969</v>
      </c>
      <c r="M845" s="1">
        <v>24.1109505</v>
      </c>
    </row>
    <row r="846">
      <c r="A846" s="1" t="s">
        <v>22</v>
      </c>
      <c r="B846" s="1" t="s">
        <v>174</v>
      </c>
      <c r="C846" s="1" t="s">
        <v>737</v>
      </c>
      <c r="D846" s="1">
        <v>2.0</v>
      </c>
      <c r="E846" s="1">
        <v>57.0</v>
      </c>
      <c r="F846" s="1">
        <v>2.0</v>
      </c>
      <c r="G846" s="1">
        <v>2.0</v>
      </c>
      <c r="H846" s="1" t="s">
        <v>25</v>
      </c>
      <c r="I846" s="1" t="s">
        <v>26</v>
      </c>
      <c r="J846" s="1" t="s">
        <v>27</v>
      </c>
      <c r="K846" s="1">
        <v>18000.0</v>
      </c>
      <c r="L846" s="1">
        <v>56.94880765</v>
      </c>
      <c r="M846" s="1">
        <v>24.1707285664922</v>
      </c>
    </row>
    <row r="847">
      <c r="A847" s="1" t="s">
        <v>22</v>
      </c>
      <c r="B847" s="1" t="s">
        <v>19</v>
      </c>
      <c r="C847" s="1" t="s">
        <v>738</v>
      </c>
      <c r="D847" s="1">
        <v>1.0</v>
      </c>
      <c r="E847" s="1">
        <v>42.0</v>
      </c>
      <c r="F847" s="1">
        <v>3.0</v>
      </c>
      <c r="G847" s="1">
        <v>5.0</v>
      </c>
      <c r="H847" s="1" t="s">
        <v>57</v>
      </c>
      <c r="I847" s="1" t="s">
        <v>21</v>
      </c>
      <c r="J847" s="1" t="s">
        <v>18</v>
      </c>
      <c r="K847" s="1">
        <v>33000.0</v>
      </c>
      <c r="L847" s="1">
        <v>56.9094064</v>
      </c>
      <c r="M847" s="1">
        <v>24.0954157</v>
      </c>
    </row>
    <row r="848">
      <c r="A848" s="1" t="s">
        <v>22</v>
      </c>
      <c r="B848" s="1" t="s">
        <v>23</v>
      </c>
      <c r="C848" s="1" t="s">
        <v>280</v>
      </c>
      <c r="D848" s="1">
        <v>2.0</v>
      </c>
      <c r="E848" s="1">
        <v>51.0</v>
      </c>
      <c r="F848" s="1">
        <v>3.0</v>
      </c>
      <c r="G848" s="1">
        <v>6.0</v>
      </c>
      <c r="H848" s="1" t="s">
        <v>66</v>
      </c>
      <c r="I848" s="1" t="s">
        <v>33</v>
      </c>
      <c r="J848" s="1" t="s">
        <v>18</v>
      </c>
      <c r="K848" s="1">
        <v>155000.0</v>
      </c>
      <c r="L848" s="1">
        <v>56.95161295</v>
      </c>
      <c r="M848" s="1">
        <v>24.1224571478615</v>
      </c>
    </row>
    <row r="849">
      <c r="A849" s="1" t="s">
        <v>22</v>
      </c>
      <c r="B849" s="1" t="s">
        <v>74</v>
      </c>
      <c r="C849" s="1" t="s">
        <v>739</v>
      </c>
      <c r="D849" s="1">
        <v>5.0</v>
      </c>
      <c r="E849" s="1">
        <v>90.0</v>
      </c>
      <c r="F849" s="1">
        <v>1.0</v>
      </c>
      <c r="G849" s="1">
        <v>9.0</v>
      </c>
      <c r="H849" s="1">
        <v>602.0</v>
      </c>
      <c r="I849" s="1" t="s">
        <v>21</v>
      </c>
      <c r="J849" s="1" t="s">
        <v>18</v>
      </c>
      <c r="K849" s="1">
        <v>73900.0</v>
      </c>
      <c r="L849" s="1">
        <v>56.93717765</v>
      </c>
      <c r="M849" s="1">
        <v>24.1958051764437</v>
      </c>
    </row>
    <row r="850">
      <c r="A850" s="1" t="s">
        <v>22</v>
      </c>
      <c r="B850" s="1" t="s">
        <v>14</v>
      </c>
      <c r="C850" s="1" t="s">
        <v>740</v>
      </c>
      <c r="D850" s="1">
        <v>2.0</v>
      </c>
      <c r="E850" s="1">
        <v>59.0</v>
      </c>
      <c r="F850" s="1">
        <v>5.0</v>
      </c>
      <c r="G850" s="1">
        <v>9.0</v>
      </c>
      <c r="H850" s="1">
        <v>119.0</v>
      </c>
      <c r="I850" s="1" t="s">
        <v>21</v>
      </c>
      <c r="J850" s="1" t="s">
        <v>18</v>
      </c>
      <c r="K850" s="1">
        <v>59700.0</v>
      </c>
      <c r="L850" s="1">
        <v>56.95456995</v>
      </c>
      <c r="M850" s="1">
        <v>24.1682567862995</v>
      </c>
    </row>
    <row r="851">
      <c r="A851" s="1" t="s">
        <v>22</v>
      </c>
      <c r="B851" s="1" t="s">
        <v>23</v>
      </c>
      <c r="C851" s="1" t="s">
        <v>741</v>
      </c>
      <c r="D851" s="1">
        <v>4.0</v>
      </c>
      <c r="E851" s="1">
        <v>113.0</v>
      </c>
      <c r="F851" s="1">
        <v>3.0</v>
      </c>
      <c r="G851" s="1">
        <v>5.0</v>
      </c>
      <c r="H851" s="1" t="s">
        <v>25</v>
      </c>
      <c r="I851" s="1" t="s">
        <v>33</v>
      </c>
      <c r="J851" s="1" t="s">
        <v>18</v>
      </c>
      <c r="K851" s="1">
        <v>200000.0</v>
      </c>
      <c r="L851" s="1">
        <v>56.949924</v>
      </c>
      <c r="M851" s="1">
        <v>24.1206586</v>
      </c>
    </row>
    <row r="852">
      <c r="A852" s="1" t="s">
        <v>13</v>
      </c>
      <c r="B852" s="1" t="s">
        <v>23</v>
      </c>
      <c r="C852" s="1" t="s">
        <v>742</v>
      </c>
      <c r="D852" s="1">
        <v>1.0</v>
      </c>
      <c r="E852" s="1">
        <v>25.0</v>
      </c>
      <c r="F852" s="1">
        <v>2.0</v>
      </c>
      <c r="G852" s="1">
        <v>2.0</v>
      </c>
      <c r="H852" s="1" t="s">
        <v>25</v>
      </c>
      <c r="I852" s="1" t="s">
        <v>33</v>
      </c>
      <c r="J852" s="1" t="s">
        <v>18</v>
      </c>
      <c r="K852" s="1">
        <v>280.0</v>
      </c>
      <c r="L852" s="1">
        <v>56.9531103</v>
      </c>
      <c r="M852" s="1">
        <v>24.1420699</v>
      </c>
    </row>
    <row r="853">
      <c r="A853" s="1" t="s">
        <v>13</v>
      </c>
      <c r="B853" s="1" t="s">
        <v>129</v>
      </c>
      <c r="C853" s="1" t="s">
        <v>743</v>
      </c>
      <c r="D853" s="1">
        <v>2.0</v>
      </c>
      <c r="E853" s="1">
        <v>35.0</v>
      </c>
      <c r="F853" s="1">
        <v>3.0</v>
      </c>
      <c r="G853" s="1">
        <v>5.0</v>
      </c>
      <c r="H853" s="1" t="s">
        <v>44</v>
      </c>
      <c r="I853" s="1" t="s">
        <v>37</v>
      </c>
      <c r="J853" s="1" t="s">
        <v>18</v>
      </c>
      <c r="K853" s="1">
        <v>220.0</v>
      </c>
      <c r="L853" s="1">
        <v>57.000045</v>
      </c>
      <c r="M853" s="1">
        <v>24.1184874917004</v>
      </c>
    </row>
    <row r="854">
      <c r="A854" s="1" t="s">
        <v>22</v>
      </c>
      <c r="B854" s="1" t="s">
        <v>134</v>
      </c>
      <c r="C854" s="1" t="s">
        <v>744</v>
      </c>
      <c r="D854" s="1">
        <v>3.0</v>
      </c>
      <c r="E854" s="1">
        <v>67.0</v>
      </c>
      <c r="F854" s="1">
        <v>1.0</v>
      </c>
      <c r="G854" s="1">
        <v>5.0</v>
      </c>
      <c r="H854" s="1">
        <v>103.0</v>
      </c>
      <c r="I854" s="1" t="s">
        <v>122</v>
      </c>
      <c r="J854" s="1" t="s">
        <v>18</v>
      </c>
      <c r="K854" s="1">
        <v>50000.0</v>
      </c>
      <c r="L854" s="1">
        <v>57.04328605</v>
      </c>
      <c r="M854" s="1">
        <v>24.0335953499999</v>
      </c>
    </row>
    <row r="855">
      <c r="A855" s="1" t="s">
        <v>22</v>
      </c>
      <c r="B855" s="1" t="s">
        <v>117</v>
      </c>
      <c r="C855" s="1" t="s">
        <v>745</v>
      </c>
      <c r="D855" s="1">
        <v>2.0</v>
      </c>
      <c r="E855" s="1">
        <v>50.0</v>
      </c>
      <c r="F855" s="1">
        <v>2.0</v>
      </c>
      <c r="G855" s="1">
        <v>3.0</v>
      </c>
      <c r="H855" s="1" t="s">
        <v>44</v>
      </c>
      <c r="I855" s="1" t="s">
        <v>33</v>
      </c>
      <c r="J855" s="1" t="s">
        <v>18</v>
      </c>
      <c r="K855" s="1">
        <v>45900.0</v>
      </c>
      <c r="L855" s="1" t="s">
        <v>40</v>
      </c>
      <c r="M855" s="1" t="s">
        <v>40</v>
      </c>
    </row>
    <row r="856">
      <c r="A856" s="1" t="s">
        <v>22</v>
      </c>
      <c r="B856" s="1" t="s">
        <v>23</v>
      </c>
      <c r="C856" s="1" t="s">
        <v>746</v>
      </c>
      <c r="D856" s="1">
        <v>2.0</v>
      </c>
      <c r="E856" s="1">
        <v>41.0</v>
      </c>
      <c r="F856" s="1">
        <v>1.0</v>
      </c>
      <c r="G856" s="1">
        <v>3.0</v>
      </c>
      <c r="H856" s="1" t="s">
        <v>25</v>
      </c>
      <c r="I856" s="1" t="s">
        <v>33</v>
      </c>
      <c r="J856" s="1" t="s">
        <v>18</v>
      </c>
      <c r="K856" s="1">
        <v>58900.0</v>
      </c>
      <c r="L856" s="1">
        <v>56.9928319</v>
      </c>
      <c r="M856" s="1">
        <v>24.1224521</v>
      </c>
    </row>
    <row r="857">
      <c r="A857" s="1" t="s">
        <v>22</v>
      </c>
      <c r="B857" s="1" t="s">
        <v>23</v>
      </c>
      <c r="C857" s="1" t="s">
        <v>747</v>
      </c>
      <c r="D857" s="1">
        <v>3.0</v>
      </c>
      <c r="E857" s="1">
        <v>79.0</v>
      </c>
      <c r="F857" s="1">
        <v>5.0</v>
      </c>
      <c r="G857" s="1">
        <v>5.0</v>
      </c>
      <c r="H857" s="1" t="s">
        <v>181</v>
      </c>
      <c r="I857" s="1" t="s">
        <v>33</v>
      </c>
      <c r="J857" s="1" t="s">
        <v>18</v>
      </c>
      <c r="K857" s="1">
        <v>95800.0</v>
      </c>
      <c r="L857" s="1">
        <v>56.9642554</v>
      </c>
      <c r="M857" s="1">
        <v>24.1265442589108</v>
      </c>
    </row>
    <row r="858">
      <c r="A858" s="1" t="s">
        <v>13</v>
      </c>
      <c r="B858" s="1" t="s">
        <v>74</v>
      </c>
      <c r="C858" s="1" t="s">
        <v>748</v>
      </c>
      <c r="D858" s="1">
        <v>1.0</v>
      </c>
      <c r="E858" s="1">
        <v>14.0</v>
      </c>
      <c r="F858" s="1">
        <v>2.0</v>
      </c>
      <c r="G858" s="1">
        <v>9.0</v>
      </c>
      <c r="H858" s="1">
        <v>602.0</v>
      </c>
      <c r="I858" s="1" t="s">
        <v>21</v>
      </c>
      <c r="J858" s="1" t="s">
        <v>18</v>
      </c>
      <c r="K858" s="1">
        <v>135.0</v>
      </c>
      <c r="L858" s="1">
        <v>56.942271</v>
      </c>
      <c r="M858" s="1">
        <v>24.1972067778583</v>
      </c>
    </row>
    <row r="859">
      <c r="A859" s="1" t="s">
        <v>13</v>
      </c>
      <c r="B859" s="1" t="s">
        <v>38</v>
      </c>
      <c r="C859" s="1" t="s">
        <v>749</v>
      </c>
      <c r="D859" s="1">
        <v>1.0</v>
      </c>
      <c r="E859" s="1">
        <v>22.0</v>
      </c>
      <c r="F859" s="1">
        <v>2.0</v>
      </c>
      <c r="G859" s="1">
        <v>2.0</v>
      </c>
      <c r="H859" s="1" t="s">
        <v>171</v>
      </c>
      <c r="I859" s="1" t="s">
        <v>37</v>
      </c>
      <c r="J859" s="1" t="s">
        <v>18</v>
      </c>
      <c r="K859" s="1">
        <v>250.0</v>
      </c>
      <c r="L859" s="1">
        <v>56.95768705</v>
      </c>
      <c r="M859" s="1">
        <v>24.0324805</v>
      </c>
    </row>
    <row r="860">
      <c r="A860" s="1" t="s">
        <v>131</v>
      </c>
      <c r="B860" s="1" t="s">
        <v>23</v>
      </c>
      <c r="C860" s="2"/>
      <c r="D860" s="1">
        <v>3.0</v>
      </c>
      <c r="E860" s="1">
        <v>70.0</v>
      </c>
      <c r="F860" s="1">
        <v>2.0</v>
      </c>
      <c r="G860" s="2"/>
      <c r="H860" s="2"/>
      <c r="I860" s="2"/>
      <c r="J860" s="2"/>
      <c r="K860" s="1">
        <v>900.0</v>
      </c>
      <c r="L860" s="1">
        <v>46.3144754</v>
      </c>
      <c r="M860" s="1">
        <v>11.0480288</v>
      </c>
    </row>
    <row r="861">
      <c r="A861" s="1" t="s">
        <v>13</v>
      </c>
      <c r="B861" s="1" t="s">
        <v>447</v>
      </c>
      <c r="C861" s="1" t="s">
        <v>750</v>
      </c>
      <c r="D861" s="1">
        <v>2.0</v>
      </c>
      <c r="E861" s="1">
        <v>36.0</v>
      </c>
      <c r="F861" s="1">
        <v>4.0</v>
      </c>
      <c r="G861" s="1">
        <v>5.0</v>
      </c>
      <c r="H861" s="1" t="s">
        <v>16</v>
      </c>
      <c r="I861" s="1" t="s">
        <v>21</v>
      </c>
      <c r="J861" s="1" t="s">
        <v>27</v>
      </c>
      <c r="K861" s="1">
        <v>295.0</v>
      </c>
      <c r="L861" s="1">
        <v>56.9146722</v>
      </c>
      <c r="M861" s="1">
        <v>24.0918129</v>
      </c>
    </row>
    <row r="862">
      <c r="A862" s="1" t="s">
        <v>89</v>
      </c>
      <c r="B862" s="1" t="s">
        <v>48</v>
      </c>
      <c r="C862" s="2"/>
      <c r="D862" s="2"/>
      <c r="E862" s="2"/>
      <c r="F862" s="1">
        <v>99.0</v>
      </c>
      <c r="G862" s="1">
        <v>9.0</v>
      </c>
      <c r="H862" s="2"/>
      <c r="I862" s="2"/>
      <c r="J862" s="2"/>
      <c r="K862" s="2"/>
      <c r="L862" s="1">
        <v>46.3144754</v>
      </c>
      <c r="M862" s="1">
        <v>11.0480288</v>
      </c>
    </row>
    <row r="863">
      <c r="A863" s="1" t="s">
        <v>89</v>
      </c>
      <c r="B863" s="1" t="s">
        <v>19</v>
      </c>
      <c r="C863" s="2"/>
      <c r="D863" s="2"/>
      <c r="E863" s="1">
        <v>1.0</v>
      </c>
      <c r="F863" s="1">
        <v>2.0</v>
      </c>
      <c r="G863" s="1">
        <v>3.0</v>
      </c>
      <c r="H863" s="2"/>
      <c r="I863" s="2"/>
      <c r="J863" s="2"/>
      <c r="K863" s="2"/>
      <c r="L863" s="1">
        <v>46.3144754</v>
      </c>
      <c r="M863" s="1">
        <v>11.0480288</v>
      </c>
    </row>
    <row r="864">
      <c r="A864" s="1" t="s">
        <v>89</v>
      </c>
      <c r="B864" s="1" t="s">
        <v>751</v>
      </c>
      <c r="C864" s="2"/>
      <c r="D864" s="2"/>
      <c r="E864" s="1">
        <v>4.0</v>
      </c>
      <c r="F864" s="1">
        <v>44.0</v>
      </c>
      <c r="G864" s="1">
        <v>4.0</v>
      </c>
      <c r="H864" s="2"/>
      <c r="I864" s="2"/>
      <c r="J864" s="2"/>
      <c r="K864" s="2"/>
      <c r="L864" s="1">
        <v>46.3144754</v>
      </c>
      <c r="M864" s="1">
        <v>11.0480288</v>
      </c>
    </row>
    <row r="865">
      <c r="A865" s="1" t="s">
        <v>89</v>
      </c>
      <c r="B865" s="1" t="s">
        <v>30</v>
      </c>
      <c r="C865" s="2"/>
      <c r="D865" s="2"/>
      <c r="E865" s="2"/>
      <c r="F865" s="1">
        <v>77.0</v>
      </c>
      <c r="G865" s="1">
        <v>7.0</v>
      </c>
      <c r="H865" s="2"/>
      <c r="I865" s="2"/>
      <c r="J865" s="2"/>
      <c r="K865" s="2"/>
      <c r="L865" s="1">
        <v>46.3144754</v>
      </c>
      <c r="M865" s="1">
        <v>11.0480288</v>
      </c>
    </row>
    <row r="866">
      <c r="A866" s="1" t="s">
        <v>89</v>
      </c>
      <c r="B866" s="1" t="s">
        <v>52</v>
      </c>
      <c r="C866" s="2"/>
      <c r="D866" s="1">
        <v>6.0</v>
      </c>
      <c r="E866" s="1">
        <v>11.0</v>
      </c>
      <c r="F866" s="1">
        <v>11.0</v>
      </c>
      <c r="G866" s="1">
        <v>1.0</v>
      </c>
      <c r="H866" s="2"/>
      <c r="I866" s="2"/>
      <c r="J866" s="2"/>
      <c r="K866" s="2"/>
      <c r="L866" s="1">
        <v>46.3144754</v>
      </c>
      <c r="M866" s="1">
        <v>11.0480288</v>
      </c>
    </row>
    <row r="867">
      <c r="A867" s="1" t="s">
        <v>22</v>
      </c>
      <c r="B867" s="1" t="s">
        <v>48</v>
      </c>
      <c r="C867" s="1" t="s">
        <v>752</v>
      </c>
      <c r="D867" s="1">
        <v>4.0</v>
      </c>
      <c r="E867" s="1">
        <v>77.0</v>
      </c>
      <c r="F867" s="1">
        <v>5.0</v>
      </c>
      <c r="G867" s="1">
        <v>9.0</v>
      </c>
      <c r="H867" s="1">
        <v>602.0</v>
      </c>
      <c r="I867" s="1" t="s">
        <v>21</v>
      </c>
      <c r="J867" s="1" t="s">
        <v>18</v>
      </c>
      <c r="K867" s="1">
        <v>75000.0</v>
      </c>
      <c r="L867" s="1">
        <v>56.960931</v>
      </c>
      <c r="M867" s="1">
        <v>24.2364975524553</v>
      </c>
    </row>
    <row r="868">
      <c r="A868" s="1" t="s">
        <v>22</v>
      </c>
      <c r="B868" s="1" t="s">
        <v>23</v>
      </c>
      <c r="C868" s="1" t="s">
        <v>753</v>
      </c>
      <c r="D868" s="1">
        <v>2.0</v>
      </c>
      <c r="E868" s="1">
        <v>37.0</v>
      </c>
      <c r="F868" s="1">
        <v>1.0</v>
      </c>
      <c r="G868" s="1">
        <v>6.0</v>
      </c>
      <c r="H868" s="1" t="s">
        <v>66</v>
      </c>
      <c r="I868" s="1" t="s">
        <v>33</v>
      </c>
      <c r="J868" s="1" t="s">
        <v>18</v>
      </c>
      <c r="K868" s="1">
        <v>45000.0</v>
      </c>
      <c r="L868" s="1">
        <v>56.96362585</v>
      </c>
      <c r="M868" s="1">
        <v>24.1243187075168</v>
      </c>
    </row>
    <row r="869">
      <c r="A869" s="1" t="s">
        <v>13</v>
      </c>
      <c r="B869" s="1" t="s">
        <v>23</v>
      </c>
      <c r="C869" s="1" t="s">
        <v>650</v>
      </c>
      <c r="D869" s="1">
        <v>2.0</v>
      </c>
      <c r="E869" s="1">
        <v>46.0</v>
      </c>
      <c r="F869" s="1">
        <v>2.0</v>
      </c>
      <c r="G869" s="1">
        <v>6.0</v>
      </c>
      <c r="H869" s="1" t="s">
        <v>66</v>
      </c>
      <c r="I869" s="1" t="s">
        <v>33</v>
      </c>
      <c r="J869" s="1" t="s">
        <v>18</v>
      </c>
      <c r="K869" s="1">
        <v>450.0</v>
      </c>
      <c r="L869" s="1">
        <v>56.9665763</v>
      </c>
      <c r="M869" s="1">
        <v>24.1337504</v>
      </c>
    </row>
    <row r="870">
      <c r="A870" s="1" t="s">
        <v>22</v>
      </c>
      <c r="B870" s="1" t="s">
        <v>23</v>
      </c>
      <c r="C870" s="1" t="s">
        <v>262</v>
      </c>
      <c r="D870" s="1">
        <v>3.0</v>
      </c>
      <c r="E870" s="1">
        <v>77.0</v>
      </c>
      <c r="F870" s="1">
        <v>4.0</v>
      </c>
      <c r="G870" s="1">
        <v>6.0</v>
      </c>
      <c r="H870" s="1" t="s">
        <v>66</v>
      </c>
      <c r="I870" s="1" t="s">
        <v>33</v>
      </c>
      <c r="J870" s="1" t="s">
        <v>18</v>
      </c>
      <c r="K870" s="1">
        <v>198223.0</v>
      </c>
      <c r="L870" s="1">
        <v>56.9548306</v>
      </c>
      <c r="M870" s="1">
        <v>24.1221141</v>
      </c>
    </row>
    <row r="871">
      <c r="A871" s="1" t="s">
        <v>22</v>
      </c>
      <c r="B871" s="1" t="s">
        <v>23</v>
      </c>
      <c r="C871" s="1" t="s">
        <v>650</v>
      </c>
      <c r="D871" s="1">
        <v>3.0</v>
      </c>
      <c r="E871" s="1">
        <v>71.6</v>
      </c>
      <c r="F871" s="1">
        <v>6.0</v>
      </c>
      <c r="G871" s="1">
        <v>6.0</v>
      </c>
      <c r="H871" s="1" t="s">
        <v>66</v>
      </c>
      <c r="I871" s="1" t="s">
        <v>33</v>
      </c>
      <c r="J871" s="1" t="s">
        <v>18</v>
      </c>
      <c r="K871" s="1">
        <v>130300.0</v>
      </c>
      <c r="L871" s="1">
        <v>56.9665763</v>
      </c>
      <c r="M871" s="1">
        <v>24.1337504</v>
      </c>
    </row>
    <row r="872">
      <c r="A872" s="1" t="s">
        <v>13</v>
      </c>
      <c r="B872" s="1" t="s">
        <v>38</v>
      </c>
      <c r="C872" s="1" t="s">
        <v>754</v>
      </c>
      <c r="D872" s="1">
        <v>1.0</v>
      </c>
      <c r="E872" s="1">
        <v>27.0</v>
      </c>
      <c r="F872" s="1">
        <v>1.0</v>
      </c>
      <c r="G872" s="1">
        <v>5.0</v>
      </c>
      <c r="H872" s="1" t="s">
        <v>16</v>
      </c>
      <c r="I872" s="1" t="s">
        <v>21</v>
      </c>
      <c r="J872" s="1" t="s">
        <v>18</v>
      </c>
      <c r="K872" s="1">
        <v>220.0</v>
      </c>
      <c r="L872" s="1">
        <v>56.9675737</v>
      </c>
      <c r="M872" s="1">
        <v>24.0276706</v>
      </c>
    </row>
    <row r="873">
      <c r="A873" s="1" t="s">
        <v>13</v>
      </c>
      <c r="B873" s="1" t="s">
        <v>104</v>
      </c>
      <c r="C873" s="1" t="s">
        <v>755</v>
      </c>
      <c r="D873" s="1">
        <v>2.0</v>
      </c>
      <c r="E873" s="1">
        <v>45.0</v>
      </c>
      <c r="F873" s="1">
        <v>5.0</v>
      </c>
      <c r="G873" s="1">
        <v>6.0</v>
      </c>
      <c r="H873" s="1" t="s">
        <v>44</v>
      </c>
      <c r="I873" s="1" t="s">
        <v>37</v>
      </c>
      <c r="J873" s="1" t="s">
        <v>18</v>
      </c>
      <c r="K873" s="1">
        <v>450.0</v>
      </c>
      <c r="L873" s="1">
        <v>56.9425516999999</v>
      </c>
      <c r="M873" s="1">
        <v>24.0948875747729</v>
      </c>
    </row>
    <row r="874">
      <c r="A874" s="1" t="s">
        <v>22</v>
      </c>
      <c r="B874" s="1" t="s">
        <v>28</v>
      </c>
      <c r="C874" s="1" t="s">
        <v>756</v>
      </c>
      <c r="D874" s="1">
        <v>1.0</v>
      </c>
      <c r="E874" s="1">
        <v>17.0</v>
      </c>
      <c r="F874" s="1">
        <v>3.0</v>
      </c>
      <c r="G874" s="1">
        <v>3.0</v>
      </c>
      <c r="H874" s="1" t="s">
        <v>57</v>
      </c>
      <c r="I874" s="1" t="s">
        <v>37</v>
      </c>
      <c r="J874" s="1" t="s">
        <v>18</v>
      </c>
      <c r="K874" s="1">
        <v>15500.0</v>
      </c>
      <c r="L874" s="1">
        <v>56.9293636</v>
      </c>
      <c r="M874" s="1">
        <v>24.1835723</v>
      </c>
    </row>
    <row r="875">
      <c r="A875" s="1" t="s">
        <v>22</v>
      </c>
      <c r="B875" s="1" t="s">
        <v>23</v>
      </c>
      <c r="C875" s="1" t="s">
        <v>757</v>
      </c>
      <c r="D875" s="1">
        <v>4.0</v>
      </c>
      <c r="E875" s="1">
        <v>146.0</v>
      </c>
      <c r="F875" s="1">
        <v>6.0</v>
      </c>
      <c r="G875" s="1">
        <v>6.0</v>
      </c>
      <c r="H875" s="1" t="s">
        <v>25</v>
      </c>
      <c r="I875" s="1" t="s">
        <v>33</v>
      </c>
      <c r="J875" s="1" t="s">
        <v>18</v>
      </c>
      <c r="K875" s="1">
        <v>270000.0</v>
      </c>
      <c r="L875" s="1">
        <v>56.9583571</v>
      </c>
      <c r="M875" s="1">
        <v>24.1252547</v>
      </c>
    </row>
    <row r="876">
      <c r="A876" s="1" t="s">
        <v>22</v>
      </c>
      <c r="B876" s="1" t="s">
        <v>38</v>
      </c>
      <c r="C876" s="1" t="s">
        <v>145</v>
      </c>
      <c r="D876" s="1">
        <v>2.0</v>
      </c>
      <c r="E876" s="1">
        <v>64.0</v>
      </c>
      <c r="F876" s="1">
        <v>10.0</v>
      </c>
      <c r="G876" s="1">
        <v>18.0</v>
      </c>
      <c r="H876" s="1" t="s">
        <v>32</v>
      </c>
      <c r="I876" s="1" t="s">
        <v>21</v>
      </c>
      <c r="J876" s="1" t="s">
        <v>18</v>
      </c>
      <c r="K876" s="1">
        <v>95000.0</v>
      </c>
      <c r="L876" s="1">
        <v>56.96112105</v>
      </c>
      <c r="M876" s="1">
        <v>24.01821679525</v>
      </c>
    </row>
    <row r="877">
      <c r="A877" s="1" t="s">
        <v>22</v>
      </c>
      <c r="B877" s="1" t="s">
        <v>14</v>
      </c>
      <c r="C877" s="1" t="s">
        <v>758</v>
      </c>
      <c r="D877" s="1">
        <v>2.0</v>
      </c>
      <c r="E877" s="1">
        <v>46.0</v>
      </c>
      <c r="F877" s="1">
        <v>6.0</v>
      </c>
      <c r="G877" s="1">
        <v>9.0</v>
      </c>
      <c r="H877" s="1">
        <v>119.0</v>
      </c>
      <c r="I877" s="1" t="s">
        <v>21</v>
      </c>
      <c r="J877" s="1" t="s">
        <v>18</v>
      </c>
      <c r="K877" s="1">
        <v>53000.0</v>
      </c>
      <c r="L877" s="1">
        <v>56.9517249</v>
      </c>
      <c r="M877" s="1">
        <v>24.1804546101438</v>
      </c>
    </row>
    <row r="878">
      <c r="A878" s="1" t="s">
        <v>22</v>
      </c>
      <c r="B878" s="1" t="s">
        <v>218</v>
      </c>
      <c r="C878" s="1" t="s">
        <v>649</v>
      </c>
      <c r="D878" s="1">
        <v>1.0</v>
      </c>
      <c r="E878" s="1">
        <v>45.0</v>
      </c>
      <c r="F878" s="1">
        <v>3.0</v>
      </c>
      <c r="G878" s="1">
        <v>4.0</v>
      </c>
      <c r="H878" s="1" t="s">
        <v>66</v>
      </c>
      <c r="I878" s="1" t="s">
        <v>33</v>
      </c>
      <c r="J878" s="1" t="s">
        <v>18</v>
      </c>
      <c r="K878" s="1">
        <v>105000.0</v>
      </c>
      <c r="L878" s="1">
        <v>56.94451965</v>
      </c>
      <c r="M878" s="1">
        <v>24.1097848172545</v>
      </c>
    </row>
    <row r="879">
      <c r="A879" s="1" t="s">
        <v>22</v>
      </c>
      <c r="B879" s="1" t="s">
        <v>218</v>
      </c>
      <c r="C879" s="1" t="s">
        <v>649</v>
      </c>
      <c r="D879" s="1">
        <v>1.0</v>
      </c>
      <c r="E879" s="1">
        <v>40.0</v>
      </c>
      <c r="F879" s="1">
        <v>3.0</v>
      </c>
      <c r="G879" s="1">
        <v>4.0</v>
      </c>
      <c r="H879" s="1" t="s">
        <v>66</v>
      </c>
      <c r="I879" s="1" t="s">
        <v>33</v>
      </c>
      <c r="J879" s="1" t="s">
        <v>18</v>
      </c>
      <c r="K879" s="1">
        <v>110000.0</v>
      </c>
      <c r="L879" s="1">
        <v>56.94451965</v>
      </c>
      <c r="M879" s="1">
        <v>24.1097848172545</v>
      </c>
    </row>
    <row r="880">
      <c r="A880" s="1" t="s">
        <v>22</v>
      </c>
      <c r="B880" s="1" t="s">
        <v>23</v>
      </c>
      <c r="C880" s="1" t="s">
        <v>262</v>
      </c>
      <c r="D880" s="1">
        <v>3.0</v>
      </c>
      <c r="E880" s="1">
        <v>64.2</v>
      </c>
      <c r="F880" s="1">
        <v>4.0</v>
      </c>
      <c r="G880" s="1">
        <v>6.0</v>
      </c>
      <c r="H880" s="1" t="s">
        <v>66</v>
      </c>
      <c r="I880" s="1" t="s">
        <v>33</v>
      </c>
      <c r="J880" s="1" t="s">
        <v>18</v>
      </c>
      <c r="K880" s="1">
        <v>152475.0</v>
      </c>
      <c r="L880" s="1">
        <v>56.9548306</v>
      </c>
      <c r="M880" s="1">
        <v>24.1221141</v>
      </c>
    </row>
    <row r="881">
      <c r="A881" s="1" t="s">
        <v>22</v>
      </c>
      <c r="B881" s="1" t="s">
        <v>129</v>
      </c>
      <c r="C881" s="1" t="s">
        <v>759</v>
      </c>
      <c r="D881" s="1">
        <v>3.0</v>
      </c>
      <c r="E881" s="1">
        <v>63.0</v>
      </c>
      <c r="F881" s="1">
        <v>2.0</v>
      </c>
      <c r="G881" s="1">
        <v>9.0</v>
      </c>
      <c r="H881" s="1" t="s">
        <v>36</v>
      </c>
      <c r="I881" s="1" t="s">
        <v>37</v>
      </c>
      <c r="J881" s="1" t="s">
        <v>18</v>
      </c>
      <c r="K881" s="1">
        <v>48000.0</v>
      </c>
      <c r="L881" s="1">
        <v>56.9984366</v>
      </c>
      <c r="M881" s="1">
        <v>24.1328951</v>
      </c>
    </row>
    <row r="882">
      <c r="A882" s="1" t="s">
        <v>13</v>
      </c>
      <c r="B882" s="1" t="s">
        <v>23</v>
      </c>
      <c r="C882" s="1" t="s">
        <v>91</v>
      </c>
      <c r="D882" s="1">
        <v>2.0</v>
      </c>
      <c r="E882" s="1">
        <v>56.0</v>
      </c>
      <c r="F882" s="1">
        <v>2.0</v>
      </c>
      <c r="G882" s="1">
        <v>7.0</v>
      </c>
      <c r="H882" s="1" t="s">
        <v>32</v>
      </c>
      <c r="I882" s="1" t="s">
        <v>33</v>
      </c>
      <c r="J882" s="1" t="s">
        <v>18</v>
      </c>
      <c r="K882" s="1">
        <v>43.0</v>
      </c>
      <c r="L882" s="1">
        <v>56.9552522</v>
      </c>
      <c r="M882" s="1">
        <v>24.0999991251943</v>
      </c>
    </row>
    <row r="883">
      <c r="A883" s="1" t="s">
        <v>22</v>
      </c>
      <c r="B883" s="1" t="s">
        <v>42</v>
      </c>
      <c r="C883" s="1" t="s">
        <v>760</v>
      </c>
      <c r="D883" s="1">
        <v>1.0</v>
      </c>
      <c r="E883" s="1">
        <v>37.0</v>
      </c>
      <c r="F883" s="1">
        <v>8.0</v>
      </c>
      <c r="G883" s="1">
        <v>12.0</v>
      </c>
      <c r="H883" s="1" t="s">
        <v>36</v>
      </c>
      <c r="I883" s="1" t="s">
        <v>17</v>
      </c>
      <c r="J883" s="1" t="s">
        <v>18</v>
      </c>
      <c r="K883" s="1">
        <v>49000.0</v>
      </c>
      <c r="L883" s="1">
        <v>56.9872837</v>
      </c>
      <c r="M883" s="1">
        <v>24.2298159546237</v>
      </c>
    </row>
    <row r="884">
      <c r="A884" s="1" t="s">
        <v>89</v>
      </c>
      <c r="B884" s="1" t="s">
        <v>104</v>
      </c>
      <c r="C884" s="2"/>
      <c r="D884" s="1">
        <v>1.0</v>
      </c>
      <c r="E884" s="1">
        <v>99.0</v>
      </c>
      <c r="F884" s="1">
        <v>99.0</v>
      </c>
      <c r="G884" s="1">
        <v>9.0</v>
      </c>
      <c r="H884" s="2"/>
      <c r="I884" s="2"/>
      <c r="J884" s="2"/>
      <c r="K884" s="2"/>
      <c r="L884" s="1">
        <v>46.3144754</v>
      </c>
      <c r="M884" s="1">
        <v>11.0480288</v>
      </c>
    </row>
    <row r="885">
      <c r="A885" s="1" t="s">
        <v>22</v>
      </c>
      <c r="B885" s="1" t="s">
        <v>74</v>
      </c>
      <c r="C885" s="1" t="s">
        <v>761</v>
      </c>
      <c r="D885" s="1">
        <v>2.0</v>
      </c>
      <c r="E885" s="1">
        <v>62.0</v>
      </c>
      <c r="F885" s="1">
        <v>2.0</v>
      </c>
      <c r="G885" s="1">
        <v>9.0</v>
      </c>
      <c r="H885" s="1">
        <v>119.0</v>
      </c>
      <c r="I885" s="1" t="s">
        <v>21</v>
      </c>
      <c r="J885" s="1" t="s">
        <v>18</v>
      </c>
      <c r="K885" s="1">
        <v>54900.0</v>
      </c>
      <c r="L885" s="1">
        <v>56.94796725</v>
      </c>
      <c r="M885" s="1">
        <v>24.1898659253875</v>
      </c>
    </row>
    <row r="886">
      <c r="A886" s="1" t="s">
        <v>22</v>
      </c>
      <c r="B886" s="1" t="s">
        <v>104</v>
      </c>
      <c r="C886" s="1" t="s">
        <v>762</v>
      </c>
      <c r="D886" s="1" t="s">
        <v>90</v>
      </c>
      <c r="E886" s="1">
        <v>207.0</v>
      </c>
      <c r="F886" s="1">
        <v>2.0</v>
      </c>
      <c r="G886" s="1">
        <v>2.0</v>
      </c>
      <c r="H886" s="1" t="s">
        <v>25</v>
      </c>
      <c r="I886" s="1" t="s">
        <v>26</v>
      </c>
      <c r="J886" s="1" t="s">
        <v>18</v>
      </c>
      <c r="K886" s="1">
        <v>79000.0</v>
      </c>
      <c r="L886" s="1">
        <v>56.93779065</v>
      </c>
      <c r="M886" s="1">
        <v>24.0555894763957</v>
      </c>
    </row>
    <row r="887">
      <c r="A887" s="1" t="s">
        <v>22</v>
      </c>
      <c r="B887" s="1" t="s">
        <v>50</v>
      </c>
      <c r="C887" s="1" t="s">
        <v>763</v>
      </c>
      <c r="D887" s="1">
        <v>1.0</v>
      </c>
      <c r="E887" s="1">
        <v>31.0</v>
      </c>
      <c r="F887" s="1">
        <v>4.0</v>
      </c>
      <c r="G887" s="1">
        <v>5.0</v>
      </c>
      <c r="H887" s="1" t="s">
        <v>25</v>
      </c>
      <c r="I887" s="1" t="s">
        <v>21</v>
      </c>
      <c r="J887" s="1" t="s">
        <v>27</v>
      </c>
      <c r="K887" s="1">
        <v>17900.0</v>
      </c>
      <c r="L887" s="1">
        <v>56.8597884</v>
      </c>
      <c r="M887" s="1">
        <v>24.3083417</v>
      </c>
    </row>
    <row r="888">
      <c r="A888" s="1" t="s">
        <v>22</v>
      </c>
      <c r="B888" s="1" t="s">
        <v>23</v>
      </c>
      <c r="C888" s="1" t="s">
        <v>764</v>
      </c>
      <c r="D888" s="1">
        <v>1.0</v>
      </c>
      <c r="E888" s="1">
        <v>29.0</v>
      </c>
      <c r="F888" s="1">
        <v>4.0</v>
      </c>
      <c r="G888" s="1">
        <v>4.0</v>
      </c>
      <c r="H888" s="1" t="s">
        <v>44</v>
      </c>
      <c r="I888" s="1" t="s">
        <v>37</v>
      </c>
      <c r="J888" s="1" t="s">
        <v>18</v>
      </c>
      <c r="K888" s="1">
        <v>35000.0</v>
      </c>
      <c r="L888" s="1">
        <v>56.9753736</v>
      </c>
      <c r="M888" s="1">
        <v>24.13914420351</v>
      </c>
    </row>
    <row r="889">
      <c r="A889" s="1" t="s">
        <v>22</v>
      </c>
      <c r="B889" s="1" t="s">
        <v>14</v>
      </c>
      <c r="C889" s="1" t="s">
        <v>765</v>
      </c>
      <c r="D889" s="1">
        <v>3.0</v>
      </c>
      <c r="E889" s="1">
        <v>78.0</v>
      </c>
      <c r="F889" s="1">
        <v>2.0</v>
      </c>
      <c r="G889" s="1">
        <v>5.0</v>
      </c>
      <c r="H889" s="1" t="s">
        <v>32</v>
      </c>
      <c r="I889" s="1" t="s">
        <v>21</v>
      </c>
      <c r="J889" s="1" t="s">
        <v>18</v>
      </c>
      <c r="K889" s="1">
        <v>103000.0</v>
      </c>
      <c r="L889" s="1">
        <v>56.9670442</v>
      </c>
      <c r="M889" s="1">
        <v>24.1820249</v>
      </c>
    </row>
    <row r="890">
      <c r="A890" s="1" t="s">
        <v>22</v>
      </c>
      <c r="B890" s="1" t="s">
        <v>129</v>
      </c>
      <c r="C890" s="1" t="s">
        <v>766</v>
      </c>
      <c r="D890" s="1">
        <v>1.0</v>
      </c>
      <c r="E890" s="1">
        <v>26.0</v>
      </c>
      <c r="F890" s="1">
        <v>5.0</v>
      </c>
      <c r="G890" s="1">
        <v>5.0</v>
      </c>
      <c r="H890" s="1" t="s">
        <v>44</v>
      </c>
      <c r="I890" s="1" t="s">
        <v>37</v>
      </c>
      <c r="J890" s="1" t="s">
        <v>18</v>
      </c>
      <c r="K890" s="1">
        <v>26500.0</v>
      </c>
      <c r="L890" s="1">
        <v>57.0069729</v>
      </c>
      <c r="M890" s="1">
        <v>24.1217233156297</v>
      </c>
    </row>
    <row r="891">
      <c r="A891" s="1" t="s">
        <v>22</v>
      </c>
      <c r="B891" s="1" t="s">
        <v>23</v>
      </c>
      <c r="C891" s="1" t="s">
        <v>767</v>
      </c>
      <c r="D891" s="1">
        <v>3.0</v>
      </c>
      <c r="E891" s="1">
        <v>80.0</v>
      </c>
      <c r="F891" s="1">
        <v>3.0</v>
      </c>
      <c r="G891" s="1">
        <v>6.0</v>
      </c>
      <c r="H891" s="1" t="s">
        <v>25</v>
      </c>
      <c r="I891" s="1" t="s">
        <v>33</v>
      </c>
      <c r="J891" s="1" t="s">
        <v>18</v>
      </c>
      <c r="K891" s="1">
        <v>175000.0</v>
      </c>
      <c r="L891" s="1">
        <v>56.9622133</v>
      </c>
      <c r="M891" s="1">
        <v>24.1233217</v>
      </c>
    </row>
    <row r="892">
      <c r="A892" s="1" t="s">
        <v>22</v>
      </c>
      <c r="B892" s="1" t="s">
        <v>104</v>
      </c>
      <c r="C892" s="1" t="s">
        <v>768</v>
      </c>
      <c r="D892" s="1">
        <v>3.0</v>
      </c>
      <c r="E892" s="1">
        <v>67.0</v>
      </c>
      <c r="F892" s="1">
        <v>1.0</v>
      </c>
      <c r="G892" s="1">
        <v>5.0</v>
      </c>
      <c r="H892" s="1">
        <v>103.0</v>
      </c>
      <c r="I892" s="1" t="s">
        <v>17</v>
      </c>
      <c r="J892" s="1" t="s">
        <v>18</v>
      </c>
      <c r="K892" s="1">
        <v>79000.0</v>
      </c>
      <c r="L892" s="1">
        <v>56.93821515</v>
      </c>
      <c r="M892" s="1">
        <v>24.0795537546748</v>
      </c>
    </row>
    <row r="893">
      <c r="A893" s="1" t="s">
        <v>13</v>
      </c>
      <c r="B893" s="1" t="s">
        <v>23</v>
      </c>
      <c r="C893" s="1" t="s">
        <v>769</v>
      </c>
      <c r="D893" s="1">
        <v>3.0</v>
      </c>
      <c r="E893" s="1">
        <v>60.0</v>
      </c>
      <c r="F893" s="1">
        <v>1.0</v>
      </c>
      <c r="G893" s="1">
        <v>3.0</v>
      </c>
      <c r="H893" s="1" t="s">
        <v>25</v>
      </c>
      <c r="I893" s="1" t="s">
        <v>33</v>
      </c>
      <c r="J893" s="1" t="s">
        <v>18</v>
      </c>
      <c r="K893" s="1">
        <v>400.0</v>
      </c>
      <c r="L893" s="1">
        <v>56.9663436999999</v>
      </c>
      <c r="M893" s="1">
        <v>24.1476783629466</v>
      </c>
    </row>
    <row r="894">
      <c r="A894" s="1" t="s">
        <v>13</v>
      </c>
      <c r="B894" s="1" t="s">
        <v>104</v>
      </c>
      <c r="C894" s="1" t="s">
        <v>208</v>
      </c>
      <c r="D894" s="1">
        <v>2.0</v>
      </c>
      <c r="E894" s="1">
        <v>52.1</v>
      </c>
      <c r="F894" s="1">
        <v>2.0</v>
      </c>
      <c r="G894" s="1">
        <v>4.0</v>
      </c>
      <c r="H894" s="1" t="s">
        <v>32</v>
      </c>
      <c r="I894" s="1" t="s">
        <v>33</v>
      </c>
      <c r="J894" s="1" t="s">
        <v>18</v>
      </c>
      <c r="K894" s="1">
        <v>650.0</v>
      </c>
      <c r="L894" s="1">
        <v>56.93693955</v>
      </c>
      <c r="M894" s="1">
        <v>24.1019323631236</v>
      </c>
    </row>
    <row r="895">
      <c r="A895" s="1" t="s">
        <v>13</v>
      </c>
      <c r="B895" s="1" t="s">
        <v>422</v>
      </c>
      <c r="C895" s="1" t="s">
        <v>363</v>
      </c>
      <c r="D895" s="1">
        <v>3.0</v>
      </c>
      <c r="E895" s="1">
        <v>90.0</v>
      </c>
      <c r="F895" s="1">
        <v>5.0</v>
      </c>
      <c r="G895" s="1">
        <v>30.0</v>
      </c>
      <c r="H895" s="1" t="s">
        <v>32</v>
      </c>
      <c r="I895" s="1" t="s">
        <v>33</v>
      </c>
      <c r="J895" s="1" t="s">
        <v>18</v>
      </c>
      <c r="K895" s="1">
        <v>650.0</v>
      </c>
      <c r="L895" s="1">
        <v>56.9334996</v>
      </c>
      <c r="M895" s="1">
        <v>24.0424848</v>
      </c>
    </row>
    <row r="896">
      <c r="A896" s="1" t="s">
        <v>13</v>
      </c>
      <c r="B896" s="1" t="s">
        <v>104</v>
      </c>
      <c r="C896" s="1" t="s">
        <v>363</v>
      </c>
      <c r="D896" s="1">
        <v>3.0</v>
      </c>
      <c r="E896" s="1">
        <v>90.0</v>
      </c>
      <c r="F896" s="1">
        <v>5.0</v>
      </c>
      <c r="G896" s="1">
        <v>30.0</v>
      </c>
      <c r="H896" s="1" t="s">
        <v>32</v>
      </c>
      <c r="I896" s="1" t="s">
        <v>33</v>
      </c>
      <c r="J896" s="1" t="s">
        <v>18</v>
      </c>
      <c r="K896" s="1">
        <v>650.0</v>
      </c>
      <c r="L896" s="1">
        <v>56.9334996</v>
      </c>
      <c r="M896" s="1">
        <v>24.0424848</v>
      </c>
    </row>
    <row r="897">
      <c r="A897" s="1" t="s">
        <v>22</v>
      </c>
      <c r="B897" s="1" t="s">
        <v>218</v>
      </c>
      <c r="C897" s="1" t="s">
        <v>219</v>
      </c>
      <c r="D897" s="1">
        <v>2.0</v>
      </c>
      <c r="E897" s="1">
        <v>41.0</v>
      </c>
      <c r="F897" s="1">
        <v>2.0</v>
      </c>
      <c r="G897" s="1">
        <v>6.0</v>
      </c>
      <c r="H897" s="1" t="s">
        <v>36</v>
      </c>
      <c r="I897" s="1" t="s">
        <v>21</v>
      </c>
      <c r="J897" s="1" t="s">
        <v>18</v>
      </c>
      <c r="K897" s="1">
        <v>92990.0</v>
      </c>
      <c r="L897" s="1">
        <v>56.9453381999999</v>
      </c>
      <c r="M897" s="1">
        <v>24.1094639533088</v>
      </c>
    </row>
    <row r="898">
      <c r="A898" s="1" t="s">
        <v>22</v>
      </c>
      <c r="B898" s="1" t="s">
        <v>218</v>
      </c>
      <c r="C898" s="1" t="s">
        <v>219</v>
      </c>
      <c r="D898" s="1">
        <v>1.0</v>
      </c>
      <c r="E898" s="1">
        <v>23.0</v>
      </c>
      <c r="F898" s="1">
        <v>2.0</v>
      </c>
      <c r="G898" s="1">
        <v>6.0</v>
      </c>
      <c r="H898" s="1" t="s">
        <v>36</v>
      </c>
      <c r="I898" s="1" t="s">
        <v>21</v>
      </c>
      <c r="J898" s="1" t="s">
        <v>18</v>
      </c>
      <c r="K898" s="1">
        <v>49990.0</v>
      </c>
      <c r="L898" s="1">
        <v>56.9453381999999</v>
      </c>
      <c r="M898" s="1">
        <v>24.1094639533088</v>
      </c>
    </row>
    <row r="899">
      <c r="A899" s="1" t="s">
        <v>22</v>
      </c>
      <c r="B899" s="1" t="s">
        <v>14</v>
      </c>
      <c r="C899" s="1" t="s">
        <v>770</v>
      </c>
      <c r="D899" s="1">
        <v>3.0</v>
      </c>
      <c r="E899" s="1">
        <v>64.0</v>
      </c>
      <c r="F899" s="1">
        <v>5.0</v>
      </c>
      <c r="G899" s="1">
        <v>5.0</v>
      </c>
      <c r="H899" s="1" t="s">
        <v>16</v>
      </c>
      <c r="I899" s="1" t="s">
        <v>21</v>
      </c>
      <c r="J899" s="1" t="s">
        <v>18</v>
      </c>
      <c r="K899" s="1">
        <v>48300.0</v>
      </c>
      <c r="L899" s="1">
        <v>56.9570069</v>
      </c>
      <c r="M899" s="1">
        <v>24.1987368</v>
      </c>
    </row>
    <row r="900">
      <c r="A900" s="1" t="s">
        <v>22</v>
      </c>
      <c r="B900" s="1" t="s">
        <v>218</v>
      </c>
      <c r="C900" s="1" t="s">
        <v>219</v>
      </c>
      <c r="D900" s="1">
        <v>1.0</v>
      </c>
      <c r="E900" s="1">
        <v>28.0</v>
      </c>
      <c r="F900" s="1">
        <v>6.0</v>
      </c>
      <c r="G900" s="1">
        <v>6.0</v>
      </c>
      <c r="H900" s="1" t="s">
        <v>36</v>
      </c>
      <c r="I900" s="1" t="s">
        <v>21</v>
      </c>
      <c r="J900" s="1" t="s">
        <v>18</v>
      </c>
      <c r="K900" s="1">
        <v>61990.0</v>
      </c>
      <c r="L900" s="1">
        <v>56.9453381999999</v>
      </c>
      <c r="M900" s="1">
        <v>24.1094639533088</v>
      </c>
    </row>
    <row r="901">
      <c r="A901" s="1" t="s">
        <v>22</v>
      </c>
      <c r="B901" s="1" t="s">
        <v>218</v>
      </c>
      <c r="C901" s="1" t="s">
        <v>219</v>
      </c>
      <c r="D901" s="1">
        <v>1.0</v>
      </c>
      <c r="E901" s="1">
        <v>24.0</v>
      </c>
      <c r="F901" s="1">
        <v>2.0</v>
      </c>
      <c r="G901" s="1">
        <v>6.0</v>
      </c>
      <c r="H901" s="1" t="s">
        <v>36</v>
      </c>
      <c r="I901" s="1" t="s">
        <v>21</v>
      </c>
      <c r="J901" s="1" t="s">
        <v>18</v>
      </c>
      <c r="K901" s="1">
        <v>51990.0</v>
      </c>
      <c r="L901" s="1">
        <v>56.9453381999999</v>
      </c>
      <c r="M901" s="1">
        <v>24.1094639533088</v>
      </c>
    </row>
    <row r="902">
      <c r="A902" s="1" t="s">
        <v>22</v>
      </c>
      <c r="B902" s="1" t="s">
        <v>218</v>
      </c>
      <c r="C902" s="1" t="s">
        <v>219</v>
      </c>
      <c r="D902" s="1">
        <v>1.0</v>
      </c>
      <c r="E902" s="1">
        <v>23.0</v>
      </c>
      <c r="F902" s="1">
        <v>2.0</v>
      </c>
      <c r="G902" s="1">
        <v>6.0</v>
      </c>
      <c r="H902" s="1" t="s">
        <v>36</v>
      </c>
      <c r="I902" s="1" t="s">
        <v>21</v>
      </c>
      <c r="J902" s="1" t="s">
        <v>18</v>
      </c>
      <c r="K902" s="1">
        <v>50990.0</v>
      </c>
      <c r="L902" s="1">
        <v>56.9453381999999</v>
      </c>
      <c r="M902" s="1">
        <v>24.1094639533088</v>
      </c>
    </row>
    <row r="903">
      <c r="A903" s="1" t="s">
        <v>22</v>
      </c>
      <c r="B903" s="1" t="s">
        <v>218</v>
      </c>
      <c r="C903" s="1" t="s">
        <v>219</v>
      </c>
      <c r="D903" s="1">
        <v>3.0</v>
      </c>
      <c r="E903" s="1">
        <v>55.0</v>
      </c>
      <c r="F903" s="1">
        <v>3.0</v>
      </c>
      <c r="G903" s="1">
        <v>6.0</v>
      </c>
      <c r="H903" s="1" t="s">
        <v>36</v>
      </c>
      <c r="I903" s="1" t="s">
        <v>21</v>
      </c>
      <c r="J903" s="1" t="s">
        <v>18</v>
      </c>
      <c r="K903" s="1">
        <v>124990.0</v>
      </c>
      <c r="L903" s="1">
        <v>56.9453381999999</v>
      </c>
      <c r="M903" s="1">
        <v>24.1094639533088</v>
      </c>
    </row>
    <row r="904">
      <c r="A904" s="1" t="s">
        <v>22</v>
      </c>
      <c r="B904" s="1" t="s">
        <v>218</v>
      </c>
      <c r="C904" s="1" t="s">
        <v>219</v>
      </c>
      <c r="D904" s="1">
        <v>3.0</v>
      </c>
      <c r="E904" s="1">
        <v>91.0</v>
      </c>
      <c r="F904" s="1">
        <v>6.0</v>
      </c>
      <c r="G904" s="1">
        <v>6.0</v>
      </c>
      <c r="H904" s="1" t="s">
        <v>36</v>
      </c>
      <c r="I904" s="1" t="s">
        <v>21</v>
      </c>
      <c r="J904" s="1" t="s">
        <v>18</v>
      </c>
      <c r="K904" s="1">
        <v>139990.0</v>
      </c>
      <c r="L904" s="1">
        <v>56.9453381999999</v>
      </c>
      <c r="M904" s="1">
        <v>24.1094639533088</v>
      </c>
    </row>
    <row r="905">
      <c r="A905" s="1" t="s">
        <v>22</v>
      </c>
      <c r="B905" s="1" t="s">
        <v>14</v>
      </c>
      <c r="C905" s="1" t="s">
        <v>771</v>
      </c>
      <c r="D905" s="1">
        <v>1.0</v>
      </c>
      <c r="E905" s="1">
        <v>39.0</v>
      </c>
      <c r="F905" s="1">
        <v>1.0</v>
      </c>
      <c r="G905" s="1">
        <v>5.0</v>
      </c>
      <c r="H905" s="1" t="s">
        <v>57</v>
      </c>
      <c r="I905" s="1" t="s">
        <v>21</v>
      </c>
      <c r="J905" s="1" t="s">
        <v>18</v>
      </c>
      <c r="K905" s="1">
        <v>30500.0</v>
      </c>
      <c r="L905" s="1">
        <v>56.95362445</v>
      </c>
      <c r="M905" s="1">
        <v>24.18336245</v>
      </c>
    </row>
    <row r="906">
      <c r="A906" s="1" t="s">
        <v>22</v>
      </c>
      <c r="B906" s="1" t="s">
        <v>14</v>
      </c>
      <c r="C906" s="1" t="s">
        <v>772</v>
      </c>
      <c r="D906" s="1">
        <v>1.0</v>
      </c>
      <c r="E906" s="1">
        <v>37.0</v>
      </c>
      <c r="F906" s="1">
        <v>4.0</v>
      </c>
      <c r="G906" s="1">
        <v>5.0</v>
      </c>
      <c r="H906" s="1" t="s">
        <v>36</v>
      </c>
      <c r="I906" s="1" t="s">
        <v>37</v>
      </c>
      <c r="J906" s="1" t="s">
        <v>18</v>
      </c>
      <c r="K906" s="1">
        <v>32700.0</v>
      </c>
      <c r="L906" s="1">
        <v>56.9561795</v>
      </c>
      <c r="M906" s="1">
        <v>24.1835724</v>
      </c>
    </row>
    <row r="907">
      <c r="A907" s="1" t="s">
        <v>13</v>
      </c>
      <c r="B907" s="1" t="s">
        <v>23</v>
      </c>
      <c r="C907" s="1" t="s">
        <v>773</v>
      </c>
      <c r="D907" s="1">
        <v>1.0</v>
      </c>
      <c r="E907" s="1">
        <v>40.0</v>
      </c>
      <c r="F907" s="1">
        <v>1.0</v>
      </c>
      <c r="G907" s="1">
        <v>5.0</v>
      </c>
      <c r="H907" s="1" t="s">
        <v>25</v>
      </c>
      <c r="I907" s="1" t="s">
        <v>37</v>
      </c>
      <c r="J907" s="1" t="s">
        <v>18</v>
      </c>
      <c r="K907" s="1">
        <v>25.0</v>
      </c>
      <c r="L907" s="1">
        <v>56.9411476</v>
      </c>
      <c r="M907" s="1">
        <v>24.1242481</v>
      </c>
    </row>
    <row r="908">
      <c r="A908" s="1" t="s">
        <v>22</v>
      </c>
      <c r="B908" s="1" t="s">
        <v>96</v>
      </c>
      <c r="C908" s="1" t="s">
        <v>774</v>
      </c>
      <c r="D908" s="1">
        <v>2.0</v>
      </c>
      <c r="E908" s="1">
        <v>50.0</v>
      </c>
      <c r="F908" s="1">
        <v>3.0</v>
      </c>
      <c r="G908" s="1">
        <v>5.0</v>
      </c>
      <c r="H908" s="1" t="s">
        <v>16</v>
      </c>
      <c r="I908" s="1" t="s">
        <v>21</v>
      </c>
      <c r="J908" s="1" t="s">
        <v>18</v>
      </c>
      <c r="K908" s="1">
        <v>37900.0</v>
      </c>
      <c r="L908" s="1">
        <v>57.03262235</v>
      </c>
      <c r="M908" s="1">
        <v>24.0954070297358</v>
      </c>
    </row>
    <row r="909">
      <c r="A909" s="1" t="s">
        <v>22</v>
      </c>
      <c r="B909" s="1" t="s">
        <v>38</v>
      </c>
      <c r="C909" s="1" t="s">
        <v>775</v>
      </c>
      <c r="D909" s="1">
        <v>3.0</v>
      </c>
      <c r="E909" s="1">
        <v>66.0</v>
      </c>
      <c r="F909" s="1">
        <v>5.0</v>
      </c>
      <c r="G909" s="1">
        <v>5.0</v>
      </c>
      <c r="H909" s="1" t="s">
        <v>16</v>
      </c>
      <c r="I909" s="1" t="s">
        <v>21</v>
      </c>
      <c r="J909" s="1" t="s">
        <v>18</v>
      </c>
      <c r="K909" s="1">
        <v>55300.0</v>
      </c>
      <c r="L909" s="1">
        <v>56.9631071999999</v>
      </c>
      <c r="M909" s="1">
        <v>24.0188057517847</v>
      </c>
    </row>
    <row r="910">
      <c r="A910" s="1" t="s">
        <v>13</v>
      </c>
      <c r="B910" s="1" t="s">
        <v>28</v>
      </c>
      <c r="C910" s="1" t="s">
        <v>776</v>
      </c>
      <c r="D910" s="1">
        <v>1.0</v>
      </c>
      <c r="E910" s="1">
        <v>16.0</v>
      </c>
      <c r="F910" s="1">
        <v>4.0</v>
      </c>
      <c r="G910" s="1">
        <v>5.0</v>
      </c>
      <c r="H910" s="1" t="s">
        <v>16</v>
      </c>
      <c r="I910" s="1" t="s">
        <v>21</v>
      </c>
      <c r="J910" s="1" t="s">
        <v>18</v>
      </c>
      <c r="K910" s="1">
        <v>160.0</v>
      </c>
      <c r="L910" s="1">
        <v>56.9025774499999</v>
      </c>
      <c r="M910" s="1">
        <v>24.2100652572056</v>
      </c>
    </row>
    <row r="911">
      <c r="A911" s="1" t="s">
        <v>22</v>
      </c>
      <c r="B911" s="1" t="s">
        <v>76</v>
      </c>
      <c r="C911" s="1" t="s">
        <v>777</v>
      </c>
      <c r="D911" s="1">
        <v>2.0</v>
      </c>
      <c r="E911" s="1">
        <v>53.0</v>
      </c>
      <c r="F911" s="1">
        <v>1.0</v>
      </c>
      <c r="G911" s="1">
        <v>5.0</v>
      </c>
      <c r="H911" s="1">
        <v>103.0</v>
      </c>
      <c r="I911" s="1" t="s">
        <v>17</v>
      </c>
      <c r="J911" s="1" t="s">
        <v>18</v>
      </c>
      <c r="K911" s="1">
        <v>64000.0</v>
      </c>
      <c r="L911" s="1">
        <v>56.9494653</v>
      </c>
      <c r="M911" s="1">
        <v>24.0535387911323</v>
      </c>
    </row>
    <row r="912">
      <c r="A912" s="1" t="s">
        <v>22</v>
      </c>
      <c r="B912" s="1" t="s">
        <v>14</v>
      </c>
      <c r="C912" s="1" t="s">
        <v>778</v>
      </c>
      <c r="D912" s="1">
        <v>2.0</v>
      </c>
      <c r="E912" s="1">
        <v>44.0</v>
      </c>
      <c r="F912" s="1">
        <v>2.0</v>
      </c>
      <c r="G912" s="1">
        <v>5.0</v>
      </c>
      <c r="H912" s="1" t="s">
        <v>44</v>
      </c>
      <c r="I912" s="1" t="s">
        <v>37</v>
      </c>
      <c r="J912" s="1" t="s">
        <v>18</v>
      </c>
      <c r="K912" s="1">
        <v>50000.0</v>
      </c>
      <c r="L912" s="1">
        <v>56.9684301</v>
      </c>
      <c r="M912" s="1">
        <v>24.1789939590232</v>
      </c>
    </row>
    <row r="913">
      <c r="A913" s="1" t="s">
        <v>22</v>
      </c>
      <c r="B913" s="1" t="s">
        <v>28</v>
      </c>
      <c r="C913" s="1" t="s">
        <v>779</v>
      </c>
      <c r="D913" s="1">
        <v>2.0</v>
      </c>
      <c r="E913" s="1">
        <v>49.0</v>
      </c>
      <c r="F913" s="1">
        <v>1.0</v>
      </c>
      <c r="G913" s="1">
        <v>5.0</v>
      </c>
      <c r="H913" s="1" t="s">
        <v>16</v>
      </c>
      <c r="I913" s="1" t="s">
        <v>21</v>
      </c>
      <c r="J913" s="1" t="s">
        <v>18</v>
      </c>
      <c r="K913" s="1">
        <v>46700.0</v>
      </c>
      <c r="L913" s="1">
        <v>56.8597884</v>
      </c>
      <c r="M913" s="1">
        <v>24.3083417</v>
      </c>
    </row>
    <row r="914">
      <c r="A914" s="1" t="s">
        <v>13</v>
      </c>
      <c r="B914" s="1" t="s">
        <v>42</v>
      </c>
      <c r="C914" s="1" t="s">
        <v>345</v>
      </c>
      <c r="D914" s="1">
        <v>1.0</v>
      </c>
      <c r="E914" s="1">
        <v>35.0</v>
      </c>
      <c r="F914" s="1">
        <v>3.0</v>
      </c>
      <c r="G914" s="1">
        <v>9.0</v>
      </c>
      <c r="H914" s="1" t="s">
        <v>221</v>
      </c>
      <c r="I914" s="1" t="s">
        <v>17</v>
      </c>
      <c r="J914" s="1" t="s">
        <v>18</v>
      </c>
      <c r="K914" s="1">
        <v>265.0</v>
      </c>
      <c r="L914" s="1">
        <v>56.99359675</v>
      </c>
      <c r="M914" s="1">
        <v>24.2428441662371</v>
      </c>
    </row>
    <row r="915">
      <c r="A915" s="1" t="s">
        <v>22</v>
      </c>
      <c r="B915" s="1" t="s">
        <v>96</v>
      </c>
      <c r="C915" s="1" t="s">
        <v>780</v>
      </c>
      <c r="D915" s="1">
        <v>2.0</v>
      </c>
      <c r="E915" s="1">
        <v>49.0</v>
      </c>
      <c r="F915" s="1">
        <v>2.0</v>
      </c>
      <c r="G915" s="1">
        <v>5.0</v>
      </c>
      <c r="H915" s="1" t="s">
        <v>36</v>
      </c>
      <c r="I915" s="1" t="s">
        <v>37</v>
      </c>
      <c r="J915" s="1" t="s">
        <v>18</v>
      </c>
      <c r="K915" s="1">
        <v>32000.0</v>
      </c>
      <c r="L915" s="1">
        <v>57.02896645</v>
      </c>
      <c r="M915" s="1">
        <v>24.10663595</v>
      </c>
    </row>
    <row r="916">
      <c r="A916" s="1" t="s">
        <v>22</v>
      </c>
      <c r="B916" s="1" t="s">
        <v>23</v>
      </c>
      <c r="C916" s="1" t="s">
        <v>781</v>
      </c>
      <c r="D916" s="1">
        <v>3.0</v>
      </c>
      <c r="E916" s="1">
        <v>81.0</v>
      </c>
      <c r="F916" s="1">
        <v>7.0</v>
      </c>
      <c r="G916" s="1">
        <v>8.0</v>
      </c>
      <c r="H916" s="1" t="s">
        <v>32</v>
      </c>
      <c r="I916" s="1" t="s">
        <v>17</v>
      </c>
      <c r="J916" s="1" t="s">
        <v>18</v>
      </c>
      <c r="K916" s="1">
        <v>185000.0</v>
      </c>
      <c r="L916" s="1">
        <v>56.9663651</v>
      </c>
      <c r="M916" s="1">
        <v>24.1051126038627</v>
      </c>
    </row>
    <row r="917">
      <c r="A917" s="1" t="s">
        <v>13</v>
      </c>
      <c r="B917" s="1" t="s">
        <v>14</v>
      </c>
      <c r="C917" s="1" t="s">
        <v>782</v>
      </c>
      <c r="D917" s="1">
        <v>1.0</v>
      </c>
      <c r="E917" s="1">
        <v>16.0</v>
      </c>
      <c r="F917" s="1">
        <v>1.0</v>
      </c>
      <c r="G917" s="1">
        <v>5.0</v>
      </c>
      <c r="H917" s="1" t="s">
        <v>66</v>
      </c>
      <c r="I917" s="1" t="s">
        <v>17</v>
      </c>
      <c r="J917" s="1" t="s">
        <v>18</v>
      </c>
      <c r="K917" s="1">
        <v>230.0</v>
      </c>
      <c r="L917" s="1">
        <v>56.9693455</v>
      </c>
      <c r="M917" s="1">
        <v>24.17841515</v>
      </c>
    </row>
    <row r="918">
      <c r="A918" s="1" t="s">
        <v>22</v>
      </c>
      <c r="B918" s="1" t="s">
        <v>422</v>
      </c>
      <c r="C918" s="1" t="s">
        <v>783</v>
      </c>
      <c r="D918" s="1">
        <v>3.0</v>
      </c>
      <c r="E918" s="1">
        <v>53.0</v>
      </c>
      <c r="F918" s="1">
        <v>1.0</v>
      </c>
      <c r="G918" s="1">
        <v>2.0</v>
      </c>
      <c r="H918" s="1" t="s">
        <v>171</v>
      </c>
      <c r="I918" s="1" t="s">
        <v>37</v>
      </c>
      <c r="J918" s="1" t="s">
        <v>27</v>
      </c>
      <c r="K918" s="1">
        <v>59000.0</v>
      </c>
      <c r="L918" s="1">
        <v>56.93985415</v>
      </c>
      <c r="M918" s="1">
        <v>24.024615574015</v>
      </c>
    </row>
    <row r="919">
      <c r="A919" s="1" t="s">
        <v>13</v>
      </c>
      <c r="B919" s="1" t="s">
        <v>96</v>
      </c>
      <c r="C919" s="1" t="s">
        <v>453</v>
      </c>
      <c r="D919" s="1">
        <v>2.0</v>
      </c>
      <c r="E919" s="1">
        <v>37.0</v>
      </c>
      <c r="F919" s="1">
        <v>4.0</v>
      </c>
      <c r="G919" s="1">
        <v>4.0</v>
      </c>
      <c r="H919" s="1" t="s">
        <v>181</v>
      </c>
      <c r="I919" s="1" t="s">
        <v>37</v>
      </c>
      <c r="J919" s="1" t="s">
        <v>18</v>
      </c>
      <c r="K919" s="1">
        <v>310.0</v>
      </c>
      <c r="L919" s="1">
        <v>57.03179875</v>
      </c>
      <c r="M919" s="1">
        <v>24.1166644346289</v>
      </c>
    </row>
    <row r="920">
      <c r="A920" s="1" t="s">
        <v>22</v>
      </c>
      <c r="B920" s="1" t="s">
        <v>784</v>
      </c>
      <c r="C920" s="1" t="s">
        <v>785</v>
      </c>
      <c r="D920" s="1">
        <v>3.0</v>
      </c>
      <c r="E920" s="1">
        <v>148.0</v>
      </c>
      <c r="F920" s="1">
        <v>3.0</v>
      </c>
      <c r="G920" s="1">
        <v>3.0</v>
      </c>
      <c r="H920" s="1" t="s">
        <v>32</v>
      </c>
      <c r="I920" s="1" t="s">
        <v>122</v>
      </c>
      <c r="J920" s="1" t="s">
        <v>18</v>
      </c>
      <c r="K920" s="1">
        <v>210000.0</v>
      </c>
      <c r="L920" s="1">
        <v>57.0212347</v>
      </c>
      <c r="M920" s="1">
        <v>24.129702</v>
      </c>
    </row>
    <row r="921">
      <c r="A921" s="1" t="s">
        <v>22</v>
      </c>
      <c r="B921" s="1" t="s">
        <v>23</v>
      </c>
      <c r="C921" s="1" t="s">
        <v>114</v>
      </c>
      <c r="D921" s="1">
        <v>3.0</v>
      </c>
      <c r="E921" s="1">
        <v>80.0</v>
      </c>
      <c r="F921" s="1">
        <v>5.0</v>
      </c>
      <c r="G921" s="1">
        <v>5.0</v>
      </c>
      <c r="H921" s="1" t="s">
        <v>181</v>
      </c>
      <c r="I921" s="1" t="s">
        <v>17</v>
      </c>
      <c r="J921" s="1" t="s">
        <v>18</v>
      </c>
      <c r="K921" s="1">
        <v>128000.0</v>
      </c>
      <c r="L921" s="1">
        <v>56.9647239</v>
      </c>
      <c r="M921" s="1">
        <v>24.1477109</v>
      </c>
    </row>
    <row r="922">
      <c r="A922" s="1" t="s">
        <v>22</v>
      </c>
      <c r="B922" s="1" t="s">
        <v>23</v>
      </c>
      <c r="C922" s="1" t="s">
        <v>786</v>
      </c>
      <c r="D922" s="1">
        <v>6.0</v>
      </c>
      <c r="E922" s="1">
        <v>138.0</v>
      </c>
      <c r="F922" s="1">
        <v>6.0</v>
      </c>
      <c r="G922" s="1">
        <v>7.0</v>
      </c>
      <c r="H922" s="1" t="s">
        <v>25</v>
      </c>
      <c r="I922" s="1" t="s">
        <v>37</v>
      </c>
      <c r="J922" s="1" t="s">
        <v>18</v>
      </c>
      <c r="K922" s="1">
        <v>115000.0</v>
      </c>
      <c r="L922" s="1">
        <v>56.9509144999999</v>
      </c>
      <c r="M922" s="1">
        <v>24.1268450442253</v>
      </c>
    </row>
    <row r="923">
      <c r="A923" s="1" t="s">
        <v>22</v>
      </c>
      <c r="B923" s="1" t="s">
        <v>23</v>
      </c>
      <c r="C923" s="1" t="s">
        <v>787</v>
      </c>
      <c r="D923" s="1">
        <v>1.0</v>
      </c>
      <c r="E923" s="1">
        <v>22.0</v>
      </c>
      <c r="F923" s="1">
        <v>1.0</v>
      </c>
      <c r="G923" s="1">
        <v>5.0</v>
      </c>
      <c r="H923" s="1" t="s">
        <v>25</v>
      </c>
      <c r="I923" s="1" t="s">
        <v>37</v>
      </c>
      <c r="J923" s="1" t="s">
        <v>18</v>
      </c>
      <c r="K923" s="1">
        <v>18800.0</v>
      </c>
      <c r="L923" s="1">
        <v>56.9437711</v>
      </c>
      <c r="M923" s="1">
        <v>24.1581326570728</v>
      </c>
    </row>
    <row r="924">
      <c r="A924" s="1" t="s">
        <v>22</v>
      </c>
      <c r="B924" s="1" t="s">
        <v>14</v>
      </c>
      <c r="C924" s="1" t="s">
        <v>788</v>
      </c>
      <c r="D924" s="1">
        <v>2.0</v>
      </c>
      <c r="E924" s="1">
        <v>51.0</v>
      </c>
      <c r="F924" s="1">
        <v>3.0</v>
      </c>
      <c r="G924" s="1">
        <v>5.0</v>
      </c>
      <c r="H924" s="1" t="s">
        <v>16</v>
      </c>
      <c r="I924" s="1" t="s">
        <v>21</v>
      </c>
      <c r="J924" s="1" t="s">
        <v>18</v>
      </c>
      <c r="K924" s="1">
        <v>49000.0</v>
      </c>
      <c r="L924" s="1">
        <v>56.9539408</v>
      </c>
      <c r="M924" s="1">
        <v>24.2063672950924</v>
      </c>
    </row>
    <row r="925">
      <c r="A925" s="1" t="s">
        <v>22</v>
      </c>
      <c r="B925" s="1" t="s">
        <v>14</v>
      </c>
      <c r="C925" s="1" t="s">
        <v>789</v>
      </c>
      <c r="D925" s="1">
        <v>3.0</v>
      </c>
      <c r="E925" s="1">
        <v>59.0</v>
      </c>
      <c r="F925" s="1">
        <v>4.0</v>
      </c>
      <c r="G925" s="1">
        <v>5.0</v>
      </c>
      <c r="H925" s="1" t="s">
        <v>36</v>
      </c>
      <c r="I925" s="1" t="s">
        <v>37</v>
      </c>
      <c r="J925" s="1" t="s">
        <v>18</v>
      </c>
      <c r="K925" s="1">
        <v>64000.0</v>
      </c>
      <c r="L925" s="1">
        <v>56.96450485</v>
      </c>
      <c r="M925" s="1">
        <v>24.1721578595744</v>
      </c>
    </row>
    <row r="926">
      <c r="A926" s="1" t="s">
        <v>22</v>
      </c>
      <c r="B926" s="1" t="s">
        <v>23</v>
      </c>
      <c r="C926" s="1" t="s">
        <v>790</v>
      </c>
      <c r="D926" s="1">
        <v>1.0</v>
      </c>
      <c r="E926" s="1">
        <v>33.0</v>
      </c>
      <c r="F926" s="1">
        <v>5.0</v>
      </c>
      <c r="G926" s="1">
        <v>5.0</v>
      </c>
      <c r="H926" s="1" t="s">
        <v>25</v>
      </c>
      <c r="I926" s="1" t="s">
        <v>33</v>
      </c>
      <c r="J926" s="1" t="s">
        <v>18</v>
      </c>
      <c r="K926" s="1">
        <v>48285.0</v>
      </c>
      <c r="L926" s="1">
        <v>56.952698</v>
      </c>
      <c r="M926" s="1">
        <v>24.1299733</v>
      </c>
    </row>
    <row r="927">
      <c r="A927" s="1" t="s">
        <v>22</v>
      </c>
      <c r="B927" s="1" t="s">
        <v>48</v>
      </c>
      <c r="C927" s="1" t="s">
        <v>791</v>
      </c>
      <c r="D927" s="1">
        <v>2.0</v>
      </c>
      <c r="E927" s="1">
        <v>58.0</v>
      </c>
      <c r="F927" s="1">
        <v>3.0</v>
      </c>
      <c r="G927" s="1">
        <v>5.0</v>
      </c>
      <c r="H927" s="1" t="s">
        <v>32</v>
      </c>
      <c r="I927" s="1" t="s">
        <v>21</v>
      </c>
      <c r="J927" s="1" t="s">
        <v>18</v>
      </c>
      <c r="K927" s="1">
        <v>96000.0</v>
      </c>
      <c r="L927" s="1">
        <v>56.9569585</v>
      </c>
      <c r="M927" s="1">
        <v>24.2536804</v>
      </c>
    </row>
    <row r="928">
      <c r="A928" s="1" t="s">
        <v>13</v>
      </c>
      <c r="B928" s="1" t="s">
        <v>23</v>
      </c>
      <c r="C928" s="1" t="s">
        <v>647</v>
      </c>
      <c r="D928" s="1">
        <v>2.0</v>
      </c>
      <c r="E928" s="1">
        <v>28.0</v>
      </c>
      <c r="F928" s="1">
        <v>4.0</v>
      </c>
      <c r="G928" s="1">
        <v>5.0</v>
      </c>
      <c r="H928" s="1" t="s">
        <v>66</v>
      </c>
      <c r="I928" s="1" t="s">
        <v>33</v>
      </c>
      <c r="J928" s="1" t="s">
        <v>18</v>
      </c>
      <c r="K928" s="1">
        <v>280.0</v>
      </c>
      <c r="L928" s="1">
        <v>56.8597884</v>
      </c>
      <c r="M928" s="1">
        <v>24.3083417</v>
      </c>
    </row>
    <row r="929">
      <c r="A929" s="1" t="s">
        <v>22</v>
      </c>
      <c r="B929" s="1" t="s">
        <v>23</v>
      </c>
      <c r="C929" s="1" t="s">
        <v>790</v>
      </c>
      <c r="D929" s="1">
        <v>1.0</v>
      </c>
      <c r="E929" s="1">
        <v>48.0</v>
      </c>
      <c r="F929" s="1">
        <v>5.0</v>
      </c>
      <c r="G929" s="1">
        <v>5.0</v>
      </c>
      <c r="H929" s="1" t="s">
        <v>25</v>
      </c>
      <c r="I929" s="1" t="s">
        <v>33</v>
      </c>
      <c r="J929" s="1" t="s">
        <v>18</v>
      </c>
      <c r="K929" s="1">
        <v>69600.0</v>
      </c>
      <c r="L929" s="1">
        <v>56.952698</v>
      </c>
      <c r="M929" s="1">
        <v>24.1299733</v>
      </c>
    </row>
    <row r="930">
      <c r="A930" s="1" t="s">
        <v>22</v>
      </c>
      <c r="B930" s="1" t="s">
        <v>23</v>
      </c>
      <c r="C930" s="1" t="s">
        <v>790</v>
      </c>
      <c r="D930" s="1">
        <v>2.0</v>
      </c>
      <c r="E930" s="1">
        <v>54.0</v>
      </c>
      <c r="F930" s="1">
        <v>1.0</v>
      </c>
      <c r="G930" s="1">
        <v>5.0</v>
      </c>
      <c r="H930" s="1" t="s">
        <v>25</v>
      </c>
      <c r="I930" s="1" t="s">
        <v>33</v>
      </c>
      <c r="J930" s="1" t="s">
        <v>18</v>
      </c>
      <c r="K930" s="1">
        <v>72495.0</v>
      </c>
      <c r="L930" s="1">
        <v>56.952698</v>
      </c>
      <c r="M930" s="1">
        <v>24.1299733</v>
      </c>
    </row>
    <row r="931">
      <c r="A931" s="1" t="s">
        <v>13</v>
      </c>
      <c r="B931" s="1" t="s">
        <v>94</v>
      </c>
      <c r="C931" s="1" t="s">
        <v>792</v>
      </c>
      <c r="D931" s="1">
        <v>2.0</v>
      </c>
      <c r="E931" s="1">
        <v>52.0</v>
      </c>
      <c r="F931" s="1">
        <v>5.0</v>
      </c>
      <c r="G931" s="1">
        <v>9.0</v>
      </c>
      <c r="H931" s="1">
        <v>467.0</v>
      </c>
      <c r="I931" s="1" t="s">
        <v>21</v>
      </c>
      <c r="J931" s="1" t="s">
        <v>18</v>
      </c>
      <c r="K931" s="1">
        <v>300.0</v>
      </c>
      <c r="L931" s="1">
        <v>56.9246777</v>
      </c>
      <c r="M931" s="1">
        <v>24.1654225379032</v>
      </c>
    </row>
    <row r="932">
      <c r="A932" s="1" t="s">
        <v>22</v>
      </c>
      <c r="B932" s="1" t="s">
        <v>48</v>
      </c>
      <c r="C932" s="1" t="s">
        <v>793</v>
      </c>
      <c r="D932" s="1">
        <v>4.0</v>
      </c>
      <c r="E932" s="1">
        <v>139.0</v>
      </c>
      <c r="F932" s="1">
        <v>4.0</v>
      </c>
      <c r="G932" s="1">
        <v>4.0</v>
      </c>
      <c r="H932" s="1" t="s">
        <v>32</v>
      </c>
      <c r="I932" s="1" t="s">
        <v>21</v>
      </c>
      <c r="J932" s="1" t="s">
        <v>18</v>
      </c>
      <c r="K932" s="1">
        <v>199500.0</v>
      </c>
      <c r="L932" s="1" t="s">
        <v>40</v>
      </c>
      <c r="M932" s="1" t="s">
        <v>40</v>
      </c>
    </row>
    <row r="933">
      <c r="A933" s="1" t="s">
        <v>22</v>
      </c>
      <c r="B933" s="1" t="s">
        <v>67</v>
      </c>
      <c r="C933" s="1" t="s">
        <v>794</v>
      </c>
      <c r="D933" s="1">
        <v>2.0</v>
      </c>
      <c r="E933" s="1">
        <v>40.0</v>
      </c>
      <c r="F933" s="1">
        <v>1.0</v>
      </c>
      <c r="G933" s="1">
        <v>4.0</v>
      </c>
      <c r="H933" s="1" t="s">
        <v>25</v>
      </c>
      <c r="I933" s="1" t="s">
        <v>33</v>
      </c>
      <c r="J933" s="1" t="s">
        <v>18</v>
      </c>
      <c r="K933" s="1">
        <v>37000.0</v>
      </c>
      <c r="L933" s="1">
        <v>56.9588801999999</v>
      </c>
      <c r="M933" s="1">
        <v>24.1494258336194</v>
      </c>
    </row>
    <row r="934">
      <c r="A934" s="1" t="s">
        <v>22</v>
      </c>
      <c r="B934" s="1" t="s">
        <v>23</v>
      </c>
      <c r="C934" s="1" t="s">
        <v>795</v>
      </c>
      <c r="D934" s="1">
        <v>3.0</v>
      </c>
      <c r="E934" s="1">
        <v>101.0</v>
      </c>
      <c r="F934" s="1">
        <v>3.0</v>
      </c>
      <c r="G934" s="1">
        <v>7.0</v>
      </c>
      <c r="H934" s="1" t="s">
        <v>32</v>
      </c>
      <c r="I934" s="1" t="s">
        <v>33</v>
      </c>
      <c r="J934" s="1" t="s">
        <v>18</v>
      </c>
      <c r="K934" s="1">
        <v>170000.0</v>
      </c>
      <c r="L934" s="1">
        <v>56.9636145</v>
      </c>
      <c r="M934" s="1">
        <v>24.1235099089866</v>
      </c>
    </row>
    <row r="935">
      <c r="A935" s="1" t="s">
        <v>13</v>
      </c>
      <c r="B935" s="1" t="s">
        <v>74</v>
      </c>
      <c r="C935" s="1" t="s">
        <v>452</v>
      </c>
      <c r="D935" s="1">
        <v>1.0</v>
      </c>
      <c r="E935" s="1">
        <v>40.0</v>
      </c>
      <c r="F935" s="1">
        <v>6.0</v>
      </c>
      <c r="G935" s="1">
        <v>9.0</v>
      </c>
      <c r="H935" s="1" t="s">
        <v>57</v>
      </c>
      <c r="I935" s="1" t="s">
        <v>21</v>
      </c>
      <c r="J935" s="1" t="s">
        <v>18</v>
      </c>
      <c r="K935" s="1">
        <v>270.0</v>
      </c>
      <c r="L935" s="1">
        <v>56.93515745</v>
      </c>
      <c r="M935" s="1">
        <v>24.200200711641</v>
      </c>
    </row>
    <row r="936">
      <c r="A936" s="1" t="s">
        <v>22</v>
      </c>
      <c r="B936" s="1" t="s">
        <v>117</v>
      </c>
      <c r="C936" s="1" t="s">
        <v>796</v>
      </c>
      <c r="D936" s="1">
        <v>1.0</v>
      </c>
      <c r="E936" s="1">
        <v>24.0</v>
      </c>
      <c r="F936" s="1">
        <v>2.0</v>
      </c>
      <c r="G936" s="1">
        <v>2.0</v>
      </c>
      <c r="H936" s="1" t="s">
        <v>25</v>
      </c>
      <c r="I936" s="1" t="s">
        <v>26</v>
      </c>
      <c r="J936" s="1" t="s">
        <v>27</v>
      </c>
      <c r="K936" s="1">
        <v>15999.0</v>
      </c>
      <c r="L936" s="1" t="s">
        <v>40</v>
      </c>
      <c r="M936" s="1" t="s">
        <v>40</v>
      </c>
    </row>
    <row r="937">
      <c r="A937" s="1" t="s">
        <v>22</v>
      </c>
      <c r="B937" s="1" t="s">
        <v>60</v>
      </c>
      <c r="C937" s="1" t="s">
        <v>797</v>
      </c>
      <c r="D937" s="1">
        <v>2.0</v>
      </c>
      <c r="E937" s="1">
        <v>49.0</v>
      </c>
      <c r="F937" s="1">
        <v>4.0</v>
      </c>
      <c r="G937" s="1">
        <v>5.0</v>
      </c>
      <c r="H937" s="1" t="s">
        <v>16</v>
      </c>
      <c r="I937" s="1" t="s">
        <v>21</v>
      </c>
      <c r="J937" s="1" t="s">
        <v>18</v>
      </c>
      <c r="K937" s="1">
        <v>45000.0</v>
      </c>
      <c r="L937" s="1">
        <v>57.0322403</v>
      </c>
      <c r="M937" s="1">
        <v>24.05322685</v>
      </c>
    </row>
    <row r="938">
      <c r="A938" s="1" t="s">
        <v>22</v>
      </c>
      <c r="B938" s="1" t="s">
        <v>23</v>
      </c>
      <c r="C938" s="1" t="s">
        <v>798</v>
      </c>
      <c r="D938" s="1">
        <v>3.0</v>
      </c>
      <c r="E938" s="1">
        <v>58.0</v>
      </c>
      <c r="F938" s="1">
        <v>2.0</v>
      </c>
      <c r="G938" s="1">
        <v>6.0</v>
      </c>
      <c r="H938" s="1" t="s">
        <v>36</v>
      </c>
      <c r="I938" s="1" t="s">
        <v>37</v>
      </c>
      <c r="J938" s="1" t="s">
        <v>18</v>
      </c>
      <c r="K938" s="1">
        <v>82000.0</v>
      </c>
      <c r="L938" s="1">
        <v>56.9555119</v>
      </c>
      <c r="M938" s="1">
        <v>24.1352351</v>
      </c>
    </row>
    <row r="939">
      <c r="A939" s="1" t="s">
        <v>13</v>
      </c>
      <c r="B939" s="1" t="s">
        <v>109</v>
      </c>
      <c r="C939" s="1" t="s">
        <v>799</v>
      </c>
      <c r="D939" s="1">
        <v>4.0</v>
      </c>
      <c r="E939" s="1">
        <v>125.0</v>
      </c>
      <c r="F939" s="1">
        <v>2.0</v>
      </c>
      <c r="G939" s="1">
        <v>2.0</v>
      </c>
      <c r="H939" s="1" t="s">
        <v>25</v>
      </c>
      <c r="I939" s="1" t="s">
        <v>26</v>
      </c>
      <c r="J939" s="1" t="s">
        <v>18</v>
      </c>
      <c r="K939" s="1">
        <v>900.0</v>
      </c>
      <c r="L939" s="1">
        <v>56.99749235</v>
      </c>
      <c r="M939" s="1">
        <v>24.1675664508232</v>
      </c>
    </row>
    <row r="940">
      <c r="A940" s="1" t="s">
        <v>13</v>
      </c>
      <c r="B940" s="1" t="s">
        <v>23</v>
      </c>
      <c r="C940" s="1" t="s">
        <v>800</v>
      </c>
      <c r="D940" s="1">
        <v>1.0</v>
      </c>
      <c r="E940" s="1">
        <v>18.0</v>
      </c>
      <c r="F940" s="1">
        <v>4.0</v>
      </c>
      <c r="G940" s="1">
        <v>6.0</v>
      </c>
      <c r="H940" s="1" t="s">
        <v>66</v>
      </c>
      <c r="I940" s="1" t="s">
        <v>33</v>
      </c>
      <c r="J940" s="1" t="s">
        <v>18</v>
      </c>
      <c r="K940" s="1">
        <v>300.0</v>
      </c>
      <c r="L940" s="1">
        <v>56.9572634</v>
      </c>
      <c r="M940" s="1">
        <v>24.1232688</v>
      </c>
    </row>
    <row r="941">
      <c r="A941" s="1" t="s">
        <v>13</v>
      </c>
      <c r="B941" s="1" t="s">
        <v>218</v>
      </c>
      <c r="C941" s="1" t="s">
        <v>801</v>
      </c>
      <c r="D941" s="1">
        <v>3.0</v>
      </c>
      <c r="E941" s="1">
        <v>100.0</v>
      </c>
      <c r="F941" s="1">
        <v>3.0</v>
      </c>
      <c r="G941" s="1">
        <v>5.0</v>
      </c>
      <c r="H941" s="1" t="s">
        <v>25</v>
      </c>
      <c r="I941" s="1" t="s">
        <v>33</v>
      </c>
      <c r="J941" s="1" t="s">
        <v>18</v>
      </c>
      <c r="K941" s="1">
        <v>760.0</v>
      </c>
      <c r="L941" s="1">
        <v>56.9505804</v>
      </c>
      <c r="M941" s="1">
        <v>24.1100756</v>
      </c>
    </row>
    <row r="942">
      <c r="A942" s="1" t="s">
        <v>22</v>
      </c>
      <c r="B942" s="1" t="s">
        <v>14</v>
      </c>
      <c r="C942" s="1" t="s">
        <v>15</v>
      </c>
      <c r="D942" s="1">
        <v>3.0</v>
      </c>
      <c r="E942" s="1">
        <v>60.0</v>
      </c>
      <c r="F942" s="1">
        <v>3.0</v>
      </c>
      <c r="G942" s="1">
        <v>5.0</v>
      </c>
      <c r="H942" s="1" t="s">
        <v>16</v>
      </c>
      <c r="I942" s="1" t="s">
        <v>21</v>
      </c>
      <c r="J942" s="1" t="s">
        <v>18</v>
      </c>
      <c r="K942" s="1">
        <v>52000.0</v>
      </c>
      <c r="L942" s="1">
        <v>56.9554841</v>
      </c>
      <c r="M942" s="1">
        <v>24.2021393392559</v>
      </c>
    </row>
    <row r="943">
      <c r="A943" s="1" t="s">
        <v>22</v>
      </c>
      <c r="B943" s="1" t="s">
        <v>96</v>
      </c>
      <c r="C943" s="1" t="s">
        <v>802</v>
      </c>
      <c r="D943" s="1">
        <v>3.0</v>
      </c>
      <c r="E943" s="1">
        <v>56.0</v>
      </c>
      <c r="F943" s="1">
        <v>1.0</v>
      </c>
      <c r="G943" s="1">
        <v>5.0</v>
      </c>
      <c r="H943" s="1" t="s">
        <v>16</v>
      </c>
      <c r="I943" s="1" t="s">
        <v>21</v>
      </c>
      <c r="J943" s="1" t="s">
        <v>18</v>
      </c>
      <c r="K943" s="1">
        <v>35000.0</v>
      </c>
      <c r="L943" s="1">
        <v>57.0316748</v>
      </c>
      <c r="M943" s="1">
        <v>24.1063938</v>
      </c>
    </row>
    <row r="944">
      <c r="A944" s="1" t="s">
        <v>22</v>
      </c>
      <c r="B944" s="1" t="s">
        <v>28</v>
      </c>
      <c r="C944" s="1" t="s">
        <v>803</v>
      </c>
      <c r="D944" s="1">
        <v>3.0</v>
      </c>
      <c r="E944" s="1">
        <v>60.0</v>
      </c>
      <c r="F944" s="1">
        <v>2.0</v>
      </c>
      <c r="G944" s="1">
        <v>5.0</v>
      </c>
      <c r="H944" s="1" t="s">
        <v>16</v>
      </c>
      <c r="I944" s="1" t="s">
        <v>21</v>
      </c>
      <c r="J944" s="1" t="s">
        <v>18</v>
      </c>
      <c r="K944" s="1">
        <v>51000.0</v>
      </c>
      <c r="L944" s="1">
        <v>56.91162465</v>
      </c>
      <c r="M944" s="1">
        <v>24.1743748269825</v>
      </c>
    </row>
    <row r="945">
      <c r="A945" s="1" t="s">
        <v>22</v>
      </c>
      <c r="B945" s="1" t="s">
        <v>96</v>
      </c>
      <c r="C945" s="1" t="s">
        <v>804</v>
      </c>
      <c r="D945" s="1">
        <v>2.0</v>
      </c>
      <c r="E945" s="1">
        <v>56.0</v>
      </c>
      <c r="F945" s="1">
        <v>1.0</v>
      </c>
      <c r="G945" s="1">
        <v>5.0</v>
      </c>
      <c r="H945" s="1">
        <v>103.0</v>
      </c>
      <c r="I945" s="1" t="s">
        <v>17</v>
      </c>
      <c r="J945" s="1" t="s">
        <v>18</v>
      </c>
      <c r="K945" s="1">
        <v>43500.0</v>
      </c>
      <c r="L945" s="1">
        <v>57.03464345</v>
      </c>
      <c r="M945" s="1">
        <v>24.0893187989955</v>
      </c>
    </row>
    <row r="946">
      <c r="A946" s="1" t="s">
        <v>13</v>
      </c>
      <c r="B946" s="1" t="s">
        <v>23</v>
      </c>
      <c r="C946" s="1" t="s">
        <v>805</v>
      </c>
      <c r="D946" s="1">
        <v>2.0</v>
      </c>
      <c r="E946" s="1">
        <v>63.0</v>
      </c>
      <c r="F946" s="1">
        <v>2.0</v>
      </c>
      <c r="G946" s="1">
        <v>5.0</v>
      </c>
      <c r="H946" s="1" t="s">
        <v>32</v>
      </c>
      <c r="I946" s="1" t="s">
        <v>33</v>
      </c>
      <c r="J946" s="1" t="s">
        <v>18</v>
      </c>
      <c r="K946" s="1">
        <v>1100.0</v>
      </c>
      <c r="L946" s="1">
        <v>56.9622671</v>
      </c>
      <c r="M946" s="1">
        <v>24.102416</v>
      </c>
    </row>
    <row r="947">
      <c r="A947" s="1" t="s">
        <v>22</v>
      </c>
      <c r="B947" s="1" t="s">
        <v>158</v>
      </c>
      <c r="C947" s="1" t="s">
        <v>159</v>
      </c>
      <c r="D947" s="1">
        <v>2.0</v>
      </c>
      <c r="E947" s="1">
        <v>36.2</v>
      </c>
      <c r="F947" s="1">
        <v>3.0</v>
      </c>
      <c r="G947" s="1">
        <v>4.0</v>
      </c>
      <c r="H947" s="1" t="s">
        <v>44</v>
      </c>
      <c r="I947" s="1" t="s">
        <v>37</v>
      </c>
      <c r="J947" s="1" t="s">
        <v>18</v>
      </c>
      <c r="K947" s="1">
        <v>32900.0</v>
      </c>
      <c r="L947" s="1">
        <v>56.99786715</v>
      </c>
      <c r="M947" s="1">
        <v>24.2773415269943</v>
      </c>
    </row>
    <row r="948">
      <c r="A948" s="1" t="s">
        <v>22</v>
      </c>
      <c r="B948" s="1" t="s">
        <v>104</v>
      </c>
      <c r="C948" s="1" t="s">
        <v>806</v>
      </c>
      <c r="D948" s="1">
        <v>3.0</v>
      </c>
      <c r="E948" s="1">
        <v>79.0</v>
      </c>
      <c r="F948" s="1">
        <v>1.0</v>
      </c>
      <c r="G948" s="1">
        <v>4.0</v>
      </c>
      <c r="H948" s="1" t="s">
        <v>25</v>
      </c>
      <c r="I948" s="1" t="s">
        <v>37</v>
      </c>
      <c r="J948" s="1" t="s">
        <v>18</v>
      </c>
      <c r="K948" s="1">
        <v>74500.0</v>
      </c>
      <c r="L948" s="1">
        <v>56.93527355</v>
      </c>
      <c r="M948" s="1">
        <v>24.0732667791174</v>
      </c>
    </row>
    <row r="949">
      <c r="A949" s="1" t="s">
        <v>13</v>
      </c>
      <c r="B949" s="1" t="s">
        <v>82</v>
      </c>
      <c r="C949" s="1" t="s">
        <v>83</v>
      </c>
      <c r="D949" s="1">
        <v>3.0</v>
      </c>
      <c r="E949" s="1">
        <v>116.0</v>
      </c>
      <c r="F949" s="1">
        <v>2.0</v>
      </c>
      <c r="G949" s="1">
        <v>5.0</v>
      </c>
      <c r="H949" s="1" t="s">
        <v>66</v>
      </c>
      <c r="I949" s="1" t="s">
        <v>33</v>
      </c>
      <c r="J949" s="1" t="s">
        <v>18</v>
      </c>
      <c r="K949" s="1">
        <v>1800.0</v>
      </c>
      <c r="L949" s="1">
        <v>56.9489344</v>
      </c>
      <c r="M949" s="1">
        <v>24.0882804</v>
      </c>
    </row>
    <row r="950">
      <c r="A950" s="1" t="s">
        <v>13</v>
      </c>
      <c r="B950" s="1" t="s">
        <v>82</v>
      </c>
      <c r="C950" s="1" t="s">
        <v>807</v>
      </c>
      <c r="D950" s="1">
        <v>2.0</v>
      </c>
      <c r="E950" s="1">
        <v>122.0</v>
      </c>
      <c r="F950" s="1">
        <v>2.0</v>
      </c>
      <c r="G950" s="1">
        <v>3.0</v>
      </c>
      <c r="H950" s="1" t="s">
        <v>66</v>
      </c>
      <c r="I950" s="1" t="s">
        <v>33</v>
      </c>
      <c r="J950" s="1" t="s">
        <v>18</v>
      </c>
      <c r="K950" s="1">
        <v>1600.0</v>
      </c>
      <c r="L950" s="1" t="s">
        <v>40</v>
      </c>
      <c r="M950" s="1" t="s">
        <v>40</v>
      </c>
    </row>
    <row r="951">
      <c r="A951" s="1" t="s">
        <v>13</v>
      </c>
      <c r="B951" s="1" t="s">
        <v>38</v>
      </c>
      <c r="C951" s="1" t="s">
        <v>808</v>
      </c>
      <c r="D951" s="1">
        <v>3.0</v>
      </c>
      <c r="E951" s="1">
        <v>69.0</v>
      </c>
      <c r="F951" s="1">
        <v>5.0</v>
      </c>
      <c r="G951" s="1">
        <v>5.0</v>
      </c>
      <c r="H951" s="1" t="s">
        <v>16</v>
      </c>
      <c r="I951" s="1" t="s">
        <v>21</v>
      </c>
      <c r="J951" s="1" t="s">
        <v>18</v>
      </c>
      <c r="K951" s="1">
        <v>320.0</v>
      </c>
      <c r="L951" s="1">
        <v>56.9572544</v>
      </c>
      <c r="M951" s="1">
        <v>24.0022051476818</v>
      </c>
    </row>
    <row r="952">
      <c r="A952" s="1" t="s">
        <v>22</v>
      </c>
      <c r="B952" s="1" t="s">
        <v>28</v>
      </c>
      <c r="C952" s="1" t="s">
        <v>809</v>
      </c>
      <c r="D952" s="1">
        <v>3.0</v>
      </c>
      <c r="E952" s="1">
        <v>63.0</v>
      </c>
      <c r="F952" s="1">
        <v>5.0</v>
      </c>
      <c r="G952" s="1">
        <v>5.0</v>
      </c>
      <c r="H952" s="1" t="s">
        <v>32</v>
      </c>
      <c r="I952" s="1" t="s">
        <v>21</v>
      </c>
      <c r="J952" s="1" t="s">
        <v>18</v>
      </c>
      <c r="K952" s="1">
        <v>76494.0</v>
      </c>
      <c r="L952" s="1">
        <v>56.9146747</v>
      </c>
      <c r="M952" s="1">
        <v>24.1815079346418</v>
      </c>
    </row>
    <row r="953">
      <c r="A953" s="1" t="s">
        <v>22</v>
      </c>
      <c r="B953" s="1" t="s">
        <v>23</v>
      </c>
      <c r="C953" s="1" t="s">
        <v>810</v>
      </c>
      <c r="D953" s="1">
        <v>2.0</v>
      </c>
      <c r="E953" s="1">
        <v>56.0</v>
      </c>
      <c r="F953" s="1">
        <v>2.0</v>
      </c>
      <c r="G953" s="1">
        <v>6.0</v>
      </c>
      <c r="H953" s="1" t="s">
        <v>32</v>
      </c>
      <c r="I953" s="1" t="s">
        <v>17</v>
      </c>
      <c r="J953" s="1" t="s">
        <v>18</v>
      </c>
      <c r="K953" s="1">
        <v>108000.0</v>
      </c>
      <c r="L953" s="1">
        <v>56.9684979</v>
      </c>
      <c r="M953" s="1">
        <v>24.1467035</v>
      </c>
    </row>
    <row r="954">
      <c r="A954" s="1" t="s">
        <v>22</v>
      </c>
      <c r="B954" s="1" t="s">
        <v>19</v>
      </c>
      <c r="C954" s="1" t="s">
        <v>811</v>
      </c>
      <c r="D954" s="1">
        <v>2.0</v>
      </c>
      <c r="E954" s="1">
        <v>41.0</v>
      </c>
      <c r="F954" s="1">
        <v>2.0</v>
      </c>
      <c r="G954" s="1">
        <v>5.0</v>
      </c>
      <c r="H954" s="1" t="s">
        <v>44</v>
      </c>
      <c r="I954" s="1" t="s">
        <v>37</v>
      </c>
      <c r="J954" s="1" t="s">
        <v>18</v>
      </c>
      <c r="K954" s="1">
        <v>40000.0</v>
      </c>
      <c r="L954" s="1">
        <v>56.90509875</v>
      </c>
      <c r="M954" s="1">
        <v>24.102703178381</v>
      </c>
    </row>
    <row r="955">
      <c r="A955" s="1" t="s">
        <v>22</v>
      </c>
      <c r="B955" s="1" t="s">
        <v>96</v>
      </c>
      <c r="C955" s="1" t="s">
        <v>384</v>
      </c>
      <c r="D955" s="1">
        <v>1.0</v>
      </c>
      <c r="E955" s="1">
        <v>28.0</v>
      </c>
      <c r="F955" s="1">
        <v>5.0</v>
      </c>
      <c r="G955" s="1">
        <v>5.0</v>
      </c>
      <c r="H955" s="1" t="s">
        <v>16</v>
      </c>
      <c r="I955" s="1" t="s">
        <v>21</v>
      </c>
      <c r="J955" s="1" t="s">
        <v>18</v>
      </c>
      <c r="K955" s="1">
        <v>31900.0</v>
      </c>
      <c r="L955" s="1">
        <v>57.0337701</v>
      </c>
      <c r="M955" s="1">
        <v>24.09840055</v>
      </c>
    </row>
    <row r="956">
      <c r="A956" s="1" t="s">
        <v>22</v>
      </c>
      <c r="B956" s="1" t="s">
        <v>28</v>
      </c>
      <c r="C956" s="1" t="s">
        <v>598</v>
      </c>
      <c r="D956" s="1">
        <v>3.0</v>
      </c>
      <c r="E956" s="1">
        <v>59.0</v>
      </c>
      <c r="F956" s="1">
        <v>1.0</v>
      </c>
      <c r="G956" s="1">
        <v>5.0</v>
      </c>
      <c r="H956" s="1" t="s">
        <v>16</v>
      </c>
      <c r="I956" s="1" t="s">
        <v>21</v>
      </c>
      <c r="J956" s="1" t="s">
        <v>18</v>
      </c>
      <c r="K956" s="1">
        <v>44988.0</v>
      </c>
      <c r="L956" s="1">
        <v>56.9106275</v>
      </c>
      <c r="M956" s="1">
        <v>24.1836694706489</v>
      </c>
    </row>
    <row r="957">
      <c r="A957" s="1" t="s">
        <v>22</v>
      </c>
      <c r="B957" s="1" t="s">
        <v>28</v>
      </c>
      <c r="C957" s="1" t="s">
        <v>812</v>
      </c>
      <c r="D957" s="1">
        <v>3.0</v>
      </c>
      <c r="E957" s="1">
        <v>59.0</v>
      </c>
      <c r="F957" s="1">
        <v>1.0</v>
      </c>
      <c r="G957" s="1">
        <v>5.0</v>
      </c>
      <c r="H957" s="1" t="s">
        <v>16</v>
      </c>
      <c r="I957" s="1" t="s">
        <v>21</v>
      </c>
      <c r="J957" s="1" t="s">
        <v>18</v>
      </c>
      <c r="K957" s="1">
        <v>45500.0</v>
      </c>
      <c r="L957" s="1">
        <v>56.9045511</v>
      </c>
      <c r="M957" s="1">
        <v>24.1941032</v>
      </c>
    </row>
    <row r="958">
      <c r="A958" s="1" t="s">
        <v>22</v>
      </c>
      <c r="B958" s="1" t="s">
        <v>23</v>
      </c>
      <c r="C958" s="1" t="s">
        <v>813</v>
      </c>
      <c r="D958" s="1">
        <v>1.0</v>
      </c>
      <c r="E958" s="1">
        <v>24.0</v>
      </c>
      <c r="F958" s="1">
        <v>1.0</v>
      </c>
      <c r="G958" s="1">
        <v>2.0</v>
      </c>
      <c r="H958" s="1" t="s">
        <v>25</v>
      </c>
      <c r="I958" s="1" t="s">
        <v>33</v>
      </c>
      <c r="J958" s="1" t="s">
        <v>18</v>
      </c>
      <c r="K958" s="1">
        <v>25000.0</v>
      </c>
      <c r="L958" s="1">
        <v>56.95185735</v>
      </c>
      <c r="M958" s="1">
        <v>24.1500680721728</v>
      </c>
    </row>
    <row r="959">
      <c r="A959" s="1" t="s">
        <v>13</v>
      </c>
      <c r="B959" s="1" t="s">
        <v>19</v>
      </c>
      <c r="C959" s="1" t="s">
        <v>814</v>
      </c>
      <c r="D959" s="1">
        <v>1.0</v>
      </c>
      <c r="E959" s="1">
        <v>20.0</v>
      </c>
      <c r="F959" s="1">
        <v>2.0</v>
      </c>
      <c r="G959" s="1">
        <v>10.0</v>
      </c>
      <c r="H959" s="1">
        <v>119.0</v>
      </c>
      <c r="I959" s="1" t="s">
        <v>122</v>
      </c>
      <c r="J959" s="1" t="s">
        <v>18</v>
      </c>
      <c r="K959" s="1">
        <v>165.0</v>
      </c>
      <c r="L959" s="1">
        <v>56.8990307</v>
      </c>
      <c r="M959" s="1">
        <v>24.0785989</v>
      </c>
    </row>
    <row r="960">
      <c r="A960" s="1" t="s">
        <v>13</v>
      </c>
      <c r="B960" s="1" t="s">
        <v>52</v>
      </c>
      <c r="C960" s="1" t="s">
        <v>815</v>
      </c>
      <c r="D960" s="1">
        <v>2.0</v>
      </c>
      <c r="E960" s="1">
        <v>55.0</v>
      </c>
      <c r="F960" s="1">
        <v>4.0</v>
      </c>
      <c r="G960" s="1">
        <v>5.0</v>
      </c>
      <c r="H960" s="1" t="s">
        <v>16</v>
      </c>
      <c r="I960" s="1" t="s">
        <v>21</v>
      </c>
      <c r="J960" s="1" t="s">
        <v>18</v>
      </c>
      <c r="K960" s="1">
        <v>300.0</v>
      </c>
      <c r="L960" s="1">
        <v>56.9607245499999</v>
      </c>
      <c r="M960" s="1">
        <v>24.0094253366925</v>
      </c>
    </row>
    <row r="961">
      <c r="A961" s="1" t="s">
        <v>22</v>
      </c>
      <c r="B961" s="1" t="s">
        <v>23</v>
      </c>
      <c r="C961" s="1" t="s">
        <v>816</v>
      </c>
      <c r="D961" s="1">
        <v>2.0</v>
      </c>
      <c r="E961" s="1">
        <v>50.0</v>
      </c>
      <c r="F961" s="1">
        <v>1.0</v>
      </c>
      <c r="G961" s="1">
        <v>3.0</v>
      </c>
      <c r="H961" s="1" t="s">
        <v>25</v>
      </c>
      <c r="I961" s="1" t="s">
        <v>37</v>
      </c>
      <c r="J961" s="1" t="s">
        <v>18</v>
      </c>
      <c r="K961" s="1">
        <v>34000.0</v>
      </c>
      <c r="L961" s="1">
        <v>56.97128295</v>
      </c>
      <c r="M961" s="1">
        <v>24.1016402184023</v>
      </c>
    </row>
    <row r="962">
      <c r="A962" s="1" t="s">
        <v>89</v>
      </c>
      <c r="B962" s="1" t="s">
        <v>74</v>
      </c>
      <c r="C962" s="2"/>
      <c r="D962" s="1">
        <v>6.0</v>
      </c>
      <c r="E962" s="2"/>
      <c r="F962" s="2"/>
      <c r="G962" s="2"/>
      <c r="H962" s="2"/>
      <c r="I962" s="2"/>
      <c r="J962" s="2"/>
      <c r="K962" s="2"/>
      <c r="L962" s="1">
        <v>46.3144754</v>
      </c>
      <c r="M962" s="1">
        <v>11.0480288</v>
      </c>
    </row>
    <row r="963">
      <c r="A963" s="1" t="s">
        <v>89</v>
      </c>
      <c r="B963" s="1" t="s">
        <v>38</v>
      </c>
      <c r="C963" s="2"/>
      <c r="D963" s="1">
        <v>6.0</v>
      </c>
      <c r="E963" s="2"/>
      <c r="F963" s="2"/>
      <c r="G963" s="2"/>
      <c r="H963" s="2"/>
      <c r="I963" s="2"/>
      <c r="J963" s="2"/>
      <c r="K963" s="2"/>
      <c r="L963" s="1">
        <v>46.3144754</v>
      </c>
      <c r="M963" s="1">
        <v>11.0480288</v>
      </c>
    </row>
    <row r="964">
      <c r="A964" s="1" t="s">
        <v>89</v>
      </c>
      <c r="B964" s="1" t="s">
        <v>48</v>
      </c>
      <c r="C964" s="2"/>
      <c r="D964" s="1">
        <v>6.0</v>
      </c>
      <c r="E964" s="2"/>
      <c r="F964" s="2"/>
      <c r="G964" s="2"/>
      <c r="H964" s="2"/>
      <c r="I964" s="2"/>
      <c r="J964" s="2"/>
      <c r="K964" s="2"/>
      <c r="L964" s="1">
        <v>46.3144754</v>
      </c>
      <c r="M964" s="1">
        <v>11.0480288</v>
      </c>
    </row>
    <row r="965">
      <c r="A965" s="1" t="s">
        <v>13</v>
      </c>
      <c r="B965" s="1" t="s">
        <v>23</v>
      </c>
      <c r="C965" s="1" t="s">
        <v>817</v>
      </c>
      <c r="D965" s="1">
        <v>2.0</v>
      </c>
      <c r="E965" s="1">
        <v>45.0</v>
      </c>
      <c r="F965" s="1">
        <v>4.0</v>
      </c>
      <c r="G965" s="1">
        <v>5.0</v>
      </c>
      <c r="H965" s="1" t="s">
        <v>25</v>
      </c>
      <c r="I965" s="1" t="s">
        <v>33</v>
      </c>
      <c r="J965" s="1" t="s">
        <v>18</v>
      </c>
      <c r="K965" s="1">
        <v>400.0</v>
      </c>
      <c r="L965" s="1">
        <v>56.9665763</v>
      </c>
      <c r="M965" s="1">
        <v>24.1337504</v>
      </c>
    </row>
    <row r="966">
      <c r="A966" s="1" t="s">
        <v>13</v>
      </c>
      <c r="B966" s="1" t="s">
        <v>23</v>
      </c>
      <c r="C966" s="1" t="s">
        <v>818</v>
      </c>
      <c r="D966" s="1">
        <v>1.0</v>
      </c>
      <c r="E966" s="1">
        <v>26.0</v>
      </c>
      <c r="F966" s="1">
        <v>1.0</v>
      </c>
      <c r="G966" s="1">
        <v>5.0</v>
      </c>
      <c r="H966" s="1" t="s">
        <v>25</v>
      </c>
      <c r="I966" s="1" t="s">
        <v>17</v>
      </c>
      <c r="J966" s="1" t="s">
        <v>18</v>
      </c>
      <c r="K966" s="1">
        <v>260.0</v>
      </c>
      <c r="L966" s="1">
        <v>56.95032385</v>
      </c>
      <c r="M966" s="1">
        <v>24.1359676740232</v>
      </c>
    </row>
    <row r="967">
      <c r="A967" s="1" t="s">
        <v>22</v>
      </c>
      <c r="B967" s="1" t="s">
        <v>23</v>
      </c>
      <c r="C967" s="1" t="s">
        <v>84</v>
      </c>
      <c r="D967" s="1">
        <v>4.0</v>
      </c>
      <c r="E967" s="1">
        <v>155.0</v>
      </c>
      <c r="F967" s="1">
        <v>2.0</v>
      </c>
      <c r="G967" s="1">
        <v>5.0</v>
      </c>
      <c r="H967" s="1" t="s">
        <v>66</v>
      </c>
      <c r="I967" s="1" t="s">
        <v>33</v>
      </c>
      <c r="J967" s="1" t="s">
        <v>18</v>
      </c>
      <c r="K967" s="1">
        <v>434000.0</v>
      </c>
      <c r="L967" s="1">
        <v>56.9506147</v>
      </c>
      <c r="M967" s="1">
        <v>24.1212313</v>
      </c>
    </row>
    <row r="968">
      <c r="A968" s="1" t="s">
        <v>13</v>
      </c>
      <c r="B968" s="1" t="s">
        <v>23</v>
      </c>
      <c r="C968" s="1" t="s">
        <v>819</v>
      </c>
      <c r="D968" s="1">
        <v>1.0</v>
      </c>
      <c r="E968" s="1">
        <v>24.0</v>
      </c>
      <c r="F968" s="1">
        <v>3.0</v>
      </c>
      <c r="G968" s="1">
        <v>6.0</v>
      </c>
      <c r="H968" s="1" t="s">
        <v>25</v>
      </c>
      <c r="I968" s="1" t="s">
        <v>33</v>
      </c>
      <c r="J968" s="1" t="s">
        <v>18</v>
      </c>
      <c r="K968" s="1">
        <v>125.0</v>
      </c>
      <c r="L968" s="1">
        <v>56.9535179</v>
      </c>
      <c r="M968" s="1">
        <v>24.127078</v>
      </c>
    </row>
    <row r="969">
      <c r="A969" s="1" t="s">
        <v>22</v>
      </c>
      <c r="B969" s="1" t="s">
        <v>14</v>
      </c>
      <c r="C969" s="1" t="s">
        <v>820</v>
      </c>
      <c r="D969" s="1">
        <v>2.0</v>
      </c>
      <c r="E969" s="1">
        <v>49.0</v>
      </c>
      <c r="F969" s="1">
        <v>5.0</v>
      </c>
      <c r="G969" s="1">
        <v>9.0</v>
      </c>
      <c r="H969" s="1">
        <v>467.0</v>
      </c>
      <c r="I969" s="1" t="s">
        <v>21</v>
      </c>
      <c r="J969" s="1" t="s">
        <v>18</v>
      </c>
      <c r="K969" s="1">
        <v>45000.0</v>
      </c>
      <c r="L969" s="1">
        <v>56.95369015</v>
      </c>
      <c r="M969" s="1">
        <v>24.1977413</v>
      </c>
    </row>
    <row r="970">
      <c r="A970" s="1" t="s">
        <v>13</v>
      </c>
      <c r="B970" s="1" t="s">
        <v>23</v>
      </c>
      <c r="C970" s="1" t="s">
        <v>821</v>
      </c>
      <c r="D970" s="1">
        <v>2.0</v>
      </c>
      <c r="E970" s="1">
        <v>42.0</v>
      </c>
      <c r="F970" s="1">
        <v>4.0</v>
      </c>
      <c r="G970" s="1">
        <v>5.0</v>
      </c>
      <c r="H970" s="1" t="s">
        <v>44</v>
      </c>
      <c r="I970" s="1" t="s">
        <v>37</v>
      </c>
      <c r="J970" s="1" t="s">
        <v>18</v>
      </c>
      <c r="K970" s="1">
        <v>330.0</v>
      </c>
      <c r="L970" s="1">
        <v>56.9668224</v>
      </c>
      <c r="M970" s="1">
        <v>24.1269540267332</v>
      </c>
    </row>
    <row r="971">
      <c r="A971" s="1" t="s">
        <v>13</v>
      </c>
      <c r="B971" s="1" t="s">
        <v>50</v>
      </c>
      <c r="C971" s="1" t="s">
        <v>822</v>
      </c>
      <c r="D971" s="1">
        <v>1.0</v>
      </c>
      <c r="E971" s="1">
        <v>32.0</v>
      </c>
      <c r="F971" s="1">
        <v>2.0</v>
      </c>
      <c r="G971" s="1">
        <v>4.0</v>
      </c>
      <c r="H971" s="1" t="s">
        <v>181</v>
      </c>
      <c r="I971" s="1" t="s">
        <v>33</v>
      </c>
      <c r="J971" s="1" t="s">
        <v>18</v>
      </c>
      <c r="K971" s="1">
        <v>25.0</v>
      </c>
      <c r="L971" s="1">
        <v>56.9383325999999</v>
      </c>
      <c r="M971" s="1">
        <v>24.1558851119791</v>
      </c>
    </row>
    <row r="972">
      <c r="A972" s="1" t="s">
        <v>22</v>
      </c>
      <c r="B972" s="1" t="s">
        <v>28</v>
      </c>
      <c r="C972" s="1" t="s">
        <v>823</v>
      </c>
      <c r="D972" s="1">
        <v>2.0</v>
      </c>
      <c r="E972" s="1">
        <v>47.0</v>
      </c>
      <c r="F972" s="1">
        <v>1.0</v>
      </c>
      <c r="G972" s="1">
        <v>3.0</v>
      </c>
      <c r="H972" s="1" t="s">
        <v>181</v>
      </c>
      <c r="I972" s="1" t="s">
        <v>37</v>
      </c>
      <c r="J972" s="1" t="s">
        <v>18</v>
      </c>
      <c r="K972" s="1">
        <v>47800.0</v>
      </c>
      <c r="L972" s="1">
        <v>56.8955665</v>
      </c>
      <c r="M972" s="1">
        <v>24.2254419760312</v>
      </c>
    </row>
    <row r="973">
      <c r="A973" s="1" t="s">
        <v>22</v>
      </c>
      <c r="B973" s="1" t="s">
        <v>14</v>
      </c>
      <c r="C973" s="1" t="s">
        <v>761</v>
      </c>
      <c r="D973" s="1">
        <v>2.0</v>
      </c>
      <c r="E973" s="1">
        <v>62.0</v>
      </c>
      <c r="F973" s="1">
        <v>2.0</v>
      </c>
      <c r="G973" s="1">
        <v>9.0</v>
      </c>
      <c r="H973" s="1">
        <v>119.0</v>
      </c>
      <c r="I973" s="1" t="s">
        <v>21</v>
      </c>
      <c r="J973" s="1" t="s">
        <v>18</v>
      </c>
      <c r="K973" s="1">
        <v>54900.0</v>
      </c>
      <c r="L973" s="1">
        <v>56.94796725</v>
      </c>
      <c r="M973" s="1">
        <v>24.1898659253875</v>
      </c>
    </row>
    <row r="974">
      <c r="A974" s="1" t="s">
        <v>13</v>
      </c>
      <c r="B974" s="1" t="s">
        <v>23</v>
      </c>
      <c r="C974" s="1" t="s">
        <v>824</v>
      </c>
      <c r="D974" s="1">
        <v>3.0</v>
      </c>
      <c r="E974" s="1">
        <v>131.0</v>
      </c>
      <c r="F974" s="1">
        <v>5.0</v>
      </c>
      <c r="G974" s="1">
        <v>5.0</v>
      </c>
      <c r="H974" s="1" t="s">
        <v>25</v>
      </c>
      <c r="I974" s="1" t="s">
        <v>33</v>
      </c>
      <c r="J974" s="1" t="s">
        <v>18</v>
      </c>
      <c r="K974" s="1">
        <v>1200.0</v>
      </c>
      <c r="L974" s="1">
        <v>56.95770095</v>
      </c>
      <c r="M974" s="1">
        <v>24.1164613891111</v>
      </c>
    </row>
    <row r="975">
      <c r="A975" s="1" t="s">
        <v>13</v>
      </c>
      <c r="B975" s="1" t="s">
        <v>23</v>
      </c>
      <c r="C975" s="1" t="s">
        <v>825</v>
      </c>
      <c r="D975" s="1">
        <v>2.0</v>
      </c>
      <c r="E975" s="1">
        <v>61.0</v>
      </c>
      <c r="F975" s="1">
        <v>5.0</v>
      </c>
      <c r="G975" s="1">
        <v>5.0</v>
      </c>
      <c r="H975" s="1" t="s">
        <v>66</v>
      </c>
      <c r="I975" s="1" t="s">
        <v>33</v>
      </c>
      <c r="J975" s="1" t="s">
        <v>18</v>
      </c>
      <c r="K975" s="1">
        <v>700.0</v>
      </c>
      <c r="L975" s="1">
        <v>56.95920965</v>
      </c>
      <c r="M975" s="1">
        <v>24.1021573943853</v>
      </c>
    </row>
    <row r="976">
      <c r="A976" s="1" t="s">
        <v>13</v>
      </c>
      <c r="B976" s="1" t="s">
        <v>23</v>
      </c>
      <c r="C976" s="1" t="s">
        <v>826</v>
      </c>
      <c r="D976" s="1">
        <v>5.0</v>
      </c>
      <c r="E976" s="1">
        <v>161.0</v>
      </c>
      <c r="F976" s="1">
        <v>5.0</v>
      </c>
      <c r="G976" s="1">
        <v>5.0</v>
      </c>
      <c r="H976" s="1" t="s">
        <v>32</v>
      </c>
      <c r="I976" s="1" t="s">
        <v>33</v>
      </c>
      <c r="J976" s="1" t="s">
        <v>18</v>
      </c>
      <c r="K976" s="1">
        <v>2200.0</v>
      </c>
      <c r="L976" s="1">
        <v>56.9660465</v>
      </c>
      <c r="M976" s="1">
        <v>24.1019662</v>
      </c>
    </row>
    <row r="977">
      <c r="A977" s="1" t="s">
        <v>13</v>
      </c>
      <c r="B977" s="1" t="s">
        <v>117</v>
      </c>
      <c r="C977" s="1" t="s">
        <v>827</v>
      </c>
      <c r="D977" s="1">
        <v>2.0</v>
      </c>
      <c r="E977" s="1">
        <v>57.0</v>
      </c>
      <c r="F977" s="1">
        <v>3.0</v>
      </c>
      <c r="G977" s="1">
        <v>3.0</v>
      </c>
      <c r="H977" s="1" t="s">
        <v>25</v>
      </c>
      <c r="I977" s="1" t="s">
        <v>37</v>
      </c>
      <c r="J977" s="1" t="s">
        <v>27</v>
      </c>
      <c r="K977" s="1">
        <v>300.0</v>
      </c>
      <c r="L977" s="1" t="s">
        <v>40</v>
      </c>
      <c r="M977" s="1" t="s">
        <v>40</v>
      </c>
    </row>
    <row r="978">
      <c r="A978" s="1" t="s">
        <v>22</v>
      </c>
      <c r="B978" s="1" t="s">
        <v>23</v>
      </c>
      <c r="C978" s="1" t="s">
        <v>828</v>
      </c>
      <c r="D978" s="1">
        <v>2.0</v>
      </c>
      <c r="E978" s="1">
        <v>55.0</v>
      </c>
      <c r="F978" s="1">
        <v>3.0</v>
      </c>
      <c r="G978" s="1">
        <v>5.0</v>
      </c>
      <c r="H978" s="1" t="s">
        <v>25</v>
      </c>
      <c r="I978" s="1" t="s">
        <v>33</v>
      </c>
      <c r="J978" s="1" t="s">
        <v>18</v>
      </c>
      <c r="K978" s="1">
        <v>118000.0</v>
      </c>
      <c r="L978" s="1">
        <v>56.9626669</v>
      </c>
      <c r="M978" s="1">
        <v>24.1240534</v>
      </c>
    </row>
    <row r="979">
      <c r="A979" s="1" t="s">
        <v>13</v>
      </c>
      <c r="B979" s="1" t="s">
        <v>23</v>
      </c>
      <c r="C979" s="1" t="s">
        <v>829</v>
      </c>
      <c r="D979" s="1">
        <v>1.0</v>
      </c>
      <c r="E979" s="1">
        <v>16.0</v>
      </c>
      <c r="F979" s="1">
        <v>4.0</v>
      </c>
      <c r="G979" s="1">
        <v>9.0</v>
      </c>
      <c r="H979" s="1" t="s">
        <v>66</v>
      </c>
      <c r="I979" s="1" t="s">
        <v>17</v>
      </c>
      <c r="J979" s="1" t="s">
        <v>18</v>
      </c>
      <c r="K979" s="1">
        <v>230.0</v>
      </c>
      <c r="L979" s="1">
        <v>56.9762119</v>
      </c>
      <c r="M979" s="1">
        <v>24.1462619497695</v>
      </c>
    </row>
    <row r="980">
      <c r="A980" s="1" t="s">
        <v>22</v>
      </c>
      <c r="B980" s="1" t="s">
        <v>23</v>
      </c>
      <c r="C980" s="1" t="s">
        <v>470</v>
      </c>
      <c r="D980" s="1">
        <v>3.0</v>
      </c>
      <c r="E980" s="1">
        <v>54.0</v>
      </c>
      <c r="F980" s="1">
        <v>5.0</v>
      </c>
      <c r="G980" s="1">
        <v>5.0</v>
      </c>
      <c r="H980" s="1" t="s">
        <v>44</v>
      </c>
      <c r="I980" s="1" t="s">
        <v>37</v>
      </c>
      <c r="J980" s="1" t="s">
        <v>18</v>
      </c>
      <c r="K980" s="1">
        <v>70000.0</v>
      </c>
      <c r="L980" s="1">
        <v>56.96867625</v>
      </c>
      <c r="M980" s="1">
        <v>24.13004095</v>
      </c>
    </row>
    <row r="981">
      <c r="A981" s="1" t="s">
        <v>13</v>
      </c>
      <c r="B981" s="1" t="s">
        <v>23</v>
      </c>
      <c r="C981" s="1" t="s">
        <v>830</v>
      </c>
      <c r="D981" s="1">
        <v>4.0</v>
      </c>
      <c r="E981" s="1">
        <v>95.0</v>
      </c>
      <c r="F981" s="1">
        <v>3.0</v>
      </c>
      <c r="G981" s="1">
        <v>5.0</v>
      </c>
      <c r="H981" s="1" t="s">
        <v>25</v>
      </c>
      <c r="I981" s="1" t="s">
        <v>37</v>
      </c>
      <c r="J981" s="1" t="s">
        <v>18</v>
      </c>
      <c r="K981" s="1">
        <v>600.0</v>
      </c>
      <c r="L981" s="1">
        <v>56.9581254</v>
      </c>
      <c r="M981" s="1">
        <v>24.108049781514</v>
      </c>
    </row>
    <row r="982">
      <c r="A982" s="1" t="s">
        <v>13</v>
      </c>
      <c r="B982" s="1" t="s">
        <v>28</v>
      </c>
      <c r="C982" s="1" t="s">
        <v>831</v>
      </c>
      <c r="D982" s="1">
        <v>1.0</v>
      </c>
      <c r="E982" s="1">
        <v>35.0</v>
      </c>
      <c r="F982" s="1">
        <v>1.0</v>
      </c>
      <c r="G982" s="1">
        <v>12.0</v>
      </c>
      <c r="H982" s="1" t="s">
        <v>221</v>
      </c>
      <c r="I982" s="1" t="s">
        <v>37</v>
      </c>
      <c r="J982" s="1" t="s">
        <v>18</v>
      </c>
      <c r="K982" s="1">
        <v>250.0</v>
      </c>
      <c r="L982" s="1">
        <v>56.8597884</v>
      </c>
      <c r="M982" s="1">
        <v>24.3083417</v>
      </c>
    </row>
    <row r="983">
      <c r="A983" s="1" t="s">
        <v>22</v>
      </c>
      <c r="B983" s="1" t="s">
        <v>14</v>
      </c>
      <c r="C983" s="1" t="s">
        <v>832</v>
      </c>
      <c r="D983" s="1">
        <v>3.0</v>
      </c>
      <c r="E983" s="1">
        <v>83.0</v>
      </c>
      <c r="F983" s="1">
        <v>8.0</v>
      </c>
      <c r="G983" s="1">
        <v>9.0</v>
      </c>
      <c r="H983" s="1">
        <v>119.0</v>
      </c>
      <c r="I983" s="1" t="s">
        <v>21</v>
      </c>
      <c r="J983" s="1" t="s">
        <v>18</v>
      </c>
      <c r="K983" s="1">
        <v>73500.0</v>
      </c>
      <c r="L983" s="1">
        <v>56.9486850499999</v>
      </c>
      <c r="M983" s="1">
        <v>24.19807115</v>
      </c>
    </row>
    <row r="984">
      <c r="A984" s="1" t="s">
        <v>22</v>
      </c>
      <c r="B984" s="1" t="s">
        <v>38</v>
      </c>
      <c r="C984" s="1" t="s">
        <v>833</v>
      </c>
      <c r="D984" s="1">
        <v>2.0</v>
      </c>
      <c r="E984" s="1">
        <v>50.0</v>
      </c>
      <c r="F984" s="1">
        <v>3.0</v>
      </c>
      <c r="G984" s="1">
        <v>9.0</v>
      </c>
      <c r="H984" s="1">
        <v>602.0</v>
      </c>
      <c r="I984" s="1" t="s">
        <v>21</v>
      </c>
      <c r="J984" s="1" t="s">
        <v>18</v>
      </c>
      <c r="K984" s="1">
        <v>53500.0</v>
      </c>
      <c r="L984" s="1">
        <v>56.95924615</v>
      </c>
      <c r="M984" s="1">
        <v>24.0038878</v>
      </c>
    </row>
    <row r="985">
      <c r="A985" s="1" t="s">
        <v>13</v>
      </c>
      <c r="B985" s="1" t="s">
        <v>104</v>
      </c>
      <c r="C985" s="1" t="s">
        <v>834</v>
      </c>
      <c r="D985" s="1">
        <v>1.0</v>
      </c>
      <c r="E985" s="1">
        <v>49.0</v>
      </c>
      <c r="F985" s="1">
        <v>3.0</v>
      </c>
      <c r="G985" s="1">
        <v>7.0</v>
      </c>
      <c r="H985" s="1" t="s">
        <v>32</v>
      </c>
      <c r="I985" s="1" t="s">
        <v>122</v>
      </c>
      <c r="J985" s="1" t="s">
        <v>18</v>
      </c>
      <c r="K985" s="1">
        <v>290.0</v>
      </c>
      <c r="L985" s="1">
        <v>56.94825305</v>
      </c>
      <c r="M985" s="1">
        <v>24.0553285635443</v>
      </c>
    </row>
    <row r="986">
      <c r="A986" s="1" t="s">
        <v>13</v>
      </c>
      <c r="B986" s="1" t="s">
        <v>38</v>
      </c>
      <c r="C986" s="1" t="s">
        <v>835</v>
      </c>
      <c r="D986" s="1">
        <v>2.0</v>
      </c>
      <c r="E986" s="1">
        <v>46.0</v>
      </c>
      <c r="F986" s="1">
        <v>6.0</v>
      </c>
      <c r="G986" s="1">
        <v>12.0</v>
      </c>
      <c r="H986" s="1" t="s">
        <v>221</v>
      </c>
      <c r="I986" s="1" t="s">
        <v>17</v>
      </c>
      <c r="J986" s="1" t="s">
        <v>18</v>
      </c>
      <c r="K986" s="1">
        <v>450.0</v>
      </c>
      <c r="L986" s="1">
        <v>56.9648157</v>
      </c>
      <c r="M986" s="1">
        <v>24.0190534</v>
      </c>
    </row>
    <row r="987">
      <c r="A987" s="1" t="s">
        <v>13</v>
      </c>
      <c r="B987" s="1" t="s">
        <v>42</v>
      </c>
      <c r="C987" s="1" t="s">
        <v>836</v>
      </c>
      <c r="D987" s="1">
        <v>2.0</v>
      </c>
      <c r="E987" s="1">
        <v>47.0</v>
      </c>
      <c r="F987" s="1">
        <v>5.0</v>
      </c>
      <c r="G987" s="1">
        <v>5.0</v>
      </c>
      <c r="H987" s="1">
        <v>103.0</v>
      </c>
      <c r="I987" s="1" t="s">
        <v>17</v>
      </c>
      <c r="J987" s="1" t="s">
        <v>18</v>
      </c>
      <c r="K987" s="1">
        <v>300.0</v>
      </c>
      <c r="L987" s="1">
        <v>56.9768119</v>
      </c>
      <c r="M987" s="1">
        <v>24.2640040549247</v>
      </c>
    </row>
    <row r="988">
      <c r="A988" s="1" t="s">
        <v>22</v>
      </c>
      <c r="B988" s="1" t="s">
        <v>23</v>
      </c>
      <c r="C988" s="1" t="s">
        <v>829</v>
      </c>
      <c r="D988" s="1">
        <v>3.0</v>
      </c>
      <c r="E988" s="1">
        <v>47.0</v>
      </c>
      <c r="F988" s="1">
        <v>9.0</v>
      </c>
      <c r="G988" s="1">
        <v>9.0</v>
      </c>
      <c r="H988" s="1" t="s">
        <v>66</v>
      </c>
      <c r="I988" s="1" t="s">
        <v>33</v>
      </c>
      <c r="J988" s="1" t="s">
        <v>18</v>
      </c>
      <c r="K988" s="1">
        <v>97000.0</v>
      </c>
      <c r="L988" s="1">
        <v>56.9762119</v>
      </c>
      <c r="M988" s="1">
        <v>24.1462619497695</v>
      </c>
    </row>
    <row r="989">
      <c r="A989" s="1" t="s">
        <v>22</v>
      </c>
      <c r="B989" s="1" t="s">
        <v>23</v>
      </c>
      <c r="C989" s="1" t="s">
        <v>837</v>
      </c>
      <c r="D989" s="1">
        <v>1.0</v>
      </c>
      <c r="E989" s="1">
        <v>35.0</v>
      </c>
      <c r="F989" s="1">
        <v>2.0</v>
      </c>
      <c r="G989" s="1">
        <v>5.0</v>
      </c>
      <c r="H989" s="1" t="s">
        <v>36</v>
      </c>
      <c r="I989" s="1" t="s">
        <v>17</v>
      </c>
      <c r="J989" s="1" t="s">
        <v>18</v>
      </c>
      <c r="K989" s="1">
        <v>44900.0</v>
      </c>
      <c r="L989" s="1">
        <v>56.9702595</v>
      </c>
      <c r="M989" s="1">
        <v>24.1355050276166</v>
      </c>
    </row>
    <row r="990">
      <c r="A990" s="1" t="s">
        <v>22</v>
      </c>
      <c r="B990" s="1" t="s">
        <v>76</v>
      </c>
      <c r="C990" s="1" t="s">
        <v>635</v>
      </c>
      <c r="D990" s="1">
        <v>2.0</v>
      </c>
      <c r="E990" s="1">
        <v>51.0</v>
      </c>
      <c r="F990" s="1">
        <v>7.0</v>
      </c>
      <c r="G990" s="1">
        <v>9.0</v>
      </c>
      <c r="H990" s="1">
        <v>602.0</v>
      </c>
      <c r="I990" s="1" t="s">
        <v>21</v>
      </c>
      <c r="J990" s="1" t="s">
        <v>18</v>
      </c>
      <c r="K990" s="1">
        <v>42900.0</v>
      </c>
      <c r="L990" s="1">
        <v>56.96512045</v>
      </c>
      <c r="M990" s="1">
        <v>24.0549828893368</v>
      </c>
    </row>
    <row r="991">
      <c r="A991" s="1" t="s">
        <v>22</v>
      </c>
      <c r="B991" s="1" t="s">
        <v>52</v>
      </c>
      <c r="C991" s="1" t="s">
        <v>838</v>
      </c>
      <c r="D991" s="1">
        <v>2.0</v>
      </c>
      <c r="E991" s="1">
        <v>51.0</v>
      </c>
      <c r="F991" s="1">
        <v>1.0</v>
      </c>
      <c r="G991" s="1">
        <v>9.0</v>
      </c>
      <c r="H991" s="1">
        <v>119.0</v>
      </c>
      <c r="I991" s="1" t="s">
        <v>21</v>
      </c>
      <c r="J991" s="1" t="s">
        <v>18</v>
      </c>
      <c r="K991" s="1">
        <v>51000.0</v>
      </c>
      <c r="L991" s="1">
        <v>54.1436099999999</v>
      </c>
      <c r="M991" s="1">
        <v>12.05044145</v>
      </c>
    </row>
    <row r="992">
      <c r="A992" s="1" t="s">
        <v>13</v>
      </c>
      <c r="B992" s="1" t="s">
        <v>60</v>
      </c>
      <c r="C992" s="1" t="s">
        <v>839</v>
      </c>
      <c r="D992" s="1">
        <v>1.0</v>
      </c>
      <c r="E992" s="1">
        <v>40.0</v>
      </c>
      <c r="F992" s="1">
        <v>7.0</v>
      </c>
      <c r="G992" s="1">
        <v>9.0</v>
      </c>
      <c r="H992" s="1" t="s">
        <v>36</v>
      </c>
      <c r="I992" s="1" t="s">
        <v>37</v>
      </c>
      <c r="J992" s="1" t="s">
        <v>18</v>
      </c>
      <c r="K992" s="1">
        <v>250.0</v>
      </c>
      <c r="L992" s="1">
        <v>57.0280131</v>
      </c>
      <c r="M992" s="1">
        <v>24.0412216</v>
      </c>
    </row>
    <row r="993">
      <c r="A993" s="1" t="s">
        <v>22</v>
      </c>
      <c r="B993" s="1" t="s">
        <v>28</v>
      </c>
      <c r="C993" s="1" t="s">
        <v>840</v>
      </c>
      <c r="D993" s="1">
        <v>1.0</v>
      </c>
      <c r="E993" s="1">
        <v>31.0</v>
      </c>
      <c r="F993" s="1">
        <v>2.0</v>
      </c>
      <c r="G993" s="1">
        <v>5.0</v>
      </c>
      <c r="H993" s="1" t="s">
        <v>16</v>
      </c>
      <c r="I993" s="1" t="s">
        <v>21</v>
      </c>
      <c r="J993" s="1" t="s">
        <v>18</v>
      </c>
      <c r="K993" s="1">
        <v>33550.0</v>
      </c>
      <c r="L993" s="1">
        <v>56.8999122</v>
      </c>
      <c r="M993" s="1">
        <v>24.2124101</v>
      </c>
    </row>
    <row r="994">
      <c r="A994" s="1" t="s">
        <v>22</v>
      </c>
      <c r="B994" s="1" t="s">
        <v>42</v>
      </c>
      <c r="C994" s="1" t="s">
        <v>841</v>
      </c>
      <c r="D994" s="1">
        <v>1.0</v>
      </c>
      <c r="E994" s="1">
        <v>28.0</v>
      </c>
      <c r="F994" s="1">
        <v>1.0</v>
      </c>
      <c r="G994" s="1">
        <v>2.0</v>
      </c>
      <c r="H994" s="1" t="s">
        <v>44</v>
      </c>
      <c r="I994" s="1" t="s">
        <v>37</v>
      </c>
      <c r="J994" s="1" t="s">
        <v>18</v>
      </c>
      <c r="K994" s="1">
        <v>21990.0</v>
      </c>
      <c r="L994" s="1">
        <v>56.97533275</v>
      </c>
      <c r="M994" s="1">
        <v>24.2650674</v>
      </c>
    </row>
    <row r="995">
      <c r="A995" s="1" t="s">
        <v>22</v>
      </c>
      <c r="B995" s="1" t="s">
        <v>23</v>
      </c>
      <c r="C995" s="1" t="s">
        <v>828</v>
      </c>
      <c r="D995" s="1">
        <v>3.0</v>
      </c>
      <c r="E995" s="1">
        <v>181.0</v>
      </c>
      <c r="F995" s="1">
        <v>5.0</v>
      </c>
      <c r="G995" s="1">
        <v>6.0</v>
      </c>
      <c r="H995" s="1" t="s">
        <v>25</v>
      </c>
      <c r="I995" s="1" t="s">
        <v>33</v>
      </c>
      <c r="J995" s="1" t="s">
        <v>18</v>
      </c>
      <c r="K995" s="1">
        <v>169000.0</v>
      </c>
      <c r="L995" s="1">
        <v>56.9626669</v>
      </c>
      <c r="M995" s="1">
        <v>24.1240534</v>
      </c>
    </row>
    <row r="996">
      <c r="A996" s="1" t="s">
        <v>22</v>
      </c>
      <c r="B996" s="1" t="s">
        <v>23</v>
      </c>
      <c r="C996" s="1" t="s">
        <v>842</v>
      </c>
      <c r="D996" s="1">
        <v>2.0</v>
      </c>
      <c r="E996" s="1">
        <v>65.5</v>
      </c>
      <c r="F996" s="1">
        <v>2.0</v>
      </c>
      <c r="G996" s="1">
        <v>6.0</v>
      </c>
      <c r="H996" s="1" t="s">
        <v>25</v>
      </c>
      <c r="I996" s="1" t="s">
        <v>33</v>
      </c>
      <c r="J996" s="1" t="s">
        <v>18</v>
      </c>
      <c r="K996" s="1">
        <v>101525.0</v>
      </c>
      <c r="L996" s="1">
        <v>56.9665763</v>
      </c>
      <c r="M996" s="1">
        <v>24.1337504</v>
      </c>
    </row>
    <row r="997">
      <c r="A997" s="1" t="s">
        <v>13</v>
      </c>
      <c r="B997" s="1" t="s">
        <v>23</v>
      </c>
      <c r="C997" s="1" t="s">
        <v>843</v>
      </c>
      <c r="D997" s="1">
        <v>3.0</v>
      </c>
      <c r="E997" s="1">
        <v>113.0</v>
      </c>
      <c r="F997" s="1">
        <v>5.0</v>
      </c>
      <c r="G997" s="1">
        <v>5.0</v>
      </c>
      <c r="H997" s="1" t="s">
        <v>25</v>
      </c>
      <c r="I997" s="1" t="s">
        <v>33</v>
      </c>
      <c r="J997" s="1" t="s">
        <v>18</v>
      </c>
      <c r="K997" s="1">
        <v>750.0</v>
      </c>
      <c r="L997" s="1">
        <v>56.959662</v>
      </c>
      <c r="M997" s="1">
        <v>24.1249341</v>
      </c>
    </row>
    <row r="998">
      <c r="A998" s="1" t="s">
        <v>22</v>
      </c>
      <c r="B998" s="1" t="s">
        <v>23</v>
      </c>
      <c r="C998" s="1" t="s">
        <v>844</v>
      </c>
      <c r="D998" s="1">
        <v>2.0</v>
      </c>
      <c r="E998" s="1">
        <v>55.0</v>
      </c>
      <c r="F998" s="1">
        <v>2.0</v>
      </c>
      <c r="G998" s="1">
        <v>7.0</v>
      </c>
      <c r="H998" s="1" t="s">
        <v>66</v>
      </c>
      <c r="I998" s="1" t="s">
        <v>33</v>
      </c>
      <c r="J998" s="1" t="s">
        <v>18</v>
      </c>
      <c r="K998" s="1">
        <v>153500.0</v>
      </c>
      <c r="L998" s="1">
        <v>56.9523528</v>
      </c>
      <c r="M998" s="1">
        <v>24.1238417</v>
      </c>
    </row>
    <row r="999">
      <c r="A999" s="1" t="s">
        <v>22</v>
      </c>
      <c r="B999" s="1" t="s">
        <v>23</v>
      </c>
      <c r="C999" s="1" t="s">
        <v>845</v>
      </c>
      <c r="D999" s="1">
        <v>2.0</v>
      </c>
      <c r="E999" s="1">
        <v>64.0</v>
      </c>
      <c r="F999" s="1">
        <v>1.0</v>
      </c>
      <c r="G999" s="1">
        <v>5.0</v>
      </c>
      <c r="H999" s="1" t="s">
        <v>25</v>
      </c>
      <c r="I999" s="1" t="s">
        <v>33</v>
      </c>
      <c r="J999" s="1" t="s">
        <v>18</v>
      </c>
      <c r="K999" s="1">
        <v>70000.0</v>
      </c>
      <c r="L999" s="1">
        <v>56.9663395</v>
      </c>
      <c r="M999" s="1">
        <v>24.1442451</v>
      </c>
    </row>
    <row r="1000">
      <c r="A1000" s="1" t="s">
        <v>13</v>
      </c>
      <c r="B1000" s="1" t="s">
        <v>23</v>
      </c>
      <c r="C1000" s="1" t="s">
        <v>630</v>
      </c>
      <c r="D1000" s="1">
        <v>2.0</v>
      </c>
      <c r="E1000" s="1">
        <v>59.0</v>
      </c>
      <c r="F1000" s="1">
        <v>2.0</v>
      </c>
      <c r="G1000" s="1">
        <v>6.0</v>
      </c>
      <c r="H1000" s="1" t="s">
        <v>25</v>
      </c>
      <c r="I1000" s="1" t="s">
        <v>33</v>
      </c>
      <c r="J1000" s="1" t="s">
        <v>18</v>
      </c>
      <c r="K1000" s="1">
        <v>400.0</v>
      </c>
      <c r="L1000" s="1">
        <v>56.95713205</v>
      </c>
      <c r="M1000" s="1">
        <v>24.1327591319781</v>
      </c>
    </row>
    <row r="1001">
      <c r="A1001" s="1" t="s">
        <v>22</v>
      </c>
      <c r="B1001" s="1" t="s">
        <v>23</v>
      </c>
      <c r="C1001" s="1" t="s">
        <v>846</v>
      </c>
      <c r="D1001" s="1">
        <v>5.0</v>
      </c>
      <c r="E1001" s="1">
        <v>132.0</v>
      </c>
      <c r="F1001" s="1">
        <v>3.0</v>
      </c>
      <c r="G1001" s="1">
        <v>5.0</v>
      </c>
      <c r="H1001" s="1" t="s">
        <v>66</v>
      </c>
      <c r="I1001" s="1" t="s">
        <v>33</v>
      </c>
      <c r="J1001" s="1" t="s">
        <v>18</v>
      </c>
      <c r="K1001" s="1">
        <v>164900.0</v>
      </c>
      <c r="L1001" s="1">
        <v>56.956763</v>
      </c>
      <c r="M1001" s="1">
        <v>24.0954531</v>
      </c>
    </row>
    <row r="1002">
      <c r="A1002" s="1" t="s">
        <v>22</v>
      </c>
      <c r="B1002" s="1" t="s">
        <v>23</v>
      </c>
      <c r="C1002" s="1" t="s">
        <v>478</v>
      </c>
      <c r="D1002" s="1">
        <v>3.0</v>
      </c>
      <c r="E1002" s="1">
        <v>79.4</v>
      </c>
      <c r="F1002" s="1">
        <v>2.0</v>
      </c>
      <c r="G1002" s="1">
        <v>7.0</v>
      </c>
      <c r="H1002" s="1" t="s">
        <v>32</v>
      </c>
      <c r="I1002" s="1" t="s">
        <v>122</v>
      </c>
      <c r="J1002" s="1" t="s">
        <v>18</v>
      </c>
      <c r="K1002" s="1">
        <v>218000.0</v>
      </c>
      <c r="L1002" s="1">
        <v>56.9493295</v>
      </c>
      <c r="M1002" s="1">
        <v>24.1264892056074</v>
      </c>
    </row>
    <row r="1003">
      <c r="A1003" s="1" t="s">
        <v>22</v>
      </c>
      <c r="B1003" s="1" t="s">
        <v>38</v>
      </c>
      <c r="C1003" s="1" t="s">
        <v>847</v>
      </c>
      <c r="D1003" s="1">
        <v>3.0</v>
      </c>
      <c r="E1003" s="1">
        <v>62.0</v>
      </c>
      <c r="F1003" s="1">
        <v>9.0</v>
      </c>
      <c r="G1003" s="1">
        <v>9.0</v>
      </c>
      <c r="H1003" s="1">
        <v>602.0</v>
      </c>
      <c r="I1003" s="1" t="s">
        <v>21</v>
      </c>
      <c r="J1003" s="1" t="s">
        <v>18</v>
      </c>
      <c r="K1003" s="1">
        <v>61500.0</v>
      </c>
      <c r="L1003" s="1">
        <v>56.96469885</v>
      </c>
      <c r="M1003" s="1">
        <v>24.0075821758969</v>
      </c>
    </row>
    <row r="1004">
      <c r="A1004" s="1" t="s">
        <v>22</v>
      </c>
      <c r="B1004" s="1" t="s">
        <v>129</v>
      </c>
      <c r="C1004" s="1" t="s">
        <v>848</v>
      </c>
      <c r="D1004" s="1">
        <v>1.0</v>
      </c>
      <c r="E1004" s="1">
        <v>33.0</v>
      </c>
      <c r="F1004" s="1">
        <v>1.0</v>
      </c>
      <c r="G1004" s="1">
        <v>5.0</v>
      </c>
      <c r="H1004" s="1" t="s">
        <v>25</v>
      </c>
      <c r="I1004" s="1" t="s">
        <v>33</v>
      </c>
      <c r="J1004" s="1" t="s">
        <v>18</v>
      </c>
      <c r="K1004" s="1">
        <v>26000.0</v>
      </c>
      <c r="L1004" s="1">
        <v>56.9949274</v>
      </c>
      <c r="M1004" s="1">
        <v>24.1286523133185</v>
      </c>
    </row>
    <row r="1005">
      <c r="A1005" s="1" t="s">
        <v>22</v>
      </c>
      <c r="B1005" s="1" t="s">
        <v>38</v>
      </c>
      <c r="C1005" s="1" t="s">
        <v>849</v>
      </c>
      <c r="D1005" s="1">
        <v>3.0</v>
      </c>
      <c r="E1005" s="1">
        <v>63.0</v>
      </c>
      <c r="F1005" s="1">
        <v>1.0</v>
      </c>
      <c r="G1005" s="1">
        <v>9.0</v>
      </c>
      <c r="H1005" s="1">
        <v>602.0</v>
      </c>
      <c r="I1005" s="1" t="s">
        <v>21</v>
      </c>
      <c r="J1005" s="1" t="s">
        <v>18</v>
      </c>
      <c r="K1005" s="1">
        <v>65500.0</v>
      </c>
      <c r="L1005" s="1">
        <v>56.9590376</v>
      </c>
      <c r="M1005" s="1">
        <v>24.0026967627373</v>
      </c>
    </row>
    <row r="1006">
      <c r="A1006" s="1" t="s">
        <v>13</v>
      </c>
      <c r="B1006" s="1" t="s">
        <v>117</v>
      </c>
      <c r="C1006" s="1" t="s">
        <v>850</v>
      </c>
      <c r="D1006" s="1">
        <v>1.0</v>
      </c>
      <c r="E1006" s="1">
        <v>21.0</v>
      </c>
      <c r="F1006" s="1">
        <v>2.0</v>
      </c>
      <c r="G1006" s="1">
        <v>4.0</v>
      </c>
      <c r="H1006" s="1" t="s">
        <v>25</v>
      </c>
      <c r="I1006" s="1" t="s">
        <v>37</v>
      </c>
      <c r="J1006" s="1" t="s">
        <v>18</v>
      </c>
      <c r="K1006" s="1">
        <v>190.0</v>
      </c>
      <c r="L1006" s="1" t="s">
        <v>40</v>
      </c>
      <c r="M1006" s="1" t="s">
        <v>40</v>
      </c>
    </row>
    <row r="1007">
      <c r="A1007" s="1" t="s">
        <v>22</v>
      </c>
      <c r="B1007" s="1" t="s">
        <v>23</v>
      </c>
      <c r="C1007" s="1" t="s">
        <v>851</v>
      </c>
      <c r="D1007" s="1">
        <v>3.0</v>
      </c>
      <c r="E1007" s="1">
        <v>128.0</v>
      </c>
      <c r="F1007" s="1">
        <v>5.0</v>
      </c>
      <c r="G1007" s="1">
        <v>6.0</v>
      </c>
      <c r="H1007" s="1" t="s">
        <v>32</v>
      </c>
      <c r="I1007" s="1" t="s">
        <v>122</v>
      </c>
      <c r="J1007" s="1" t="s">
        <v>18</v>
      </c>
      <c r="K1007" s="1">
        <v>198000.0</v>
      </c>
      <c r="L1007" s="1">
        <v>56.96428355</v>
      </c>
      <c r="M1007" s="1">
        <v>24.124554147986</v>
      </c>
    </row>
    <row r="1008">
      <c r="A1008" s="1" t="s">
        <v>22</v>
      </c>
      <c r="B1008" s="1" t="s">
        <v>109</v>
      </c>
      <c r="C1008" s="1" t="s">
        <v>475</v>
      </c>
      <c r="D1008" s="1">
        <v>3.0</v>
      </c>
      <c r="E1008" s="1">
        <v>95.0</v>
      </c>
      <c r="F1008" s="1">
        <v>3.0</v>
      </c>
      <c r="G1008" s="1">
        <v>5.0</v>
      </c>
      <c r="H1008" s="1" t="s">
        <v>36</v>
      </c>
      <c r="I1008" s="1" t="s">
        <v>17</v>
      </c>
      <c r="J1008" s="1" t="s">
        <v>18</v>
      </c>
      <c r="K1008" s="1">
        <v>144000.0</v>
      </c>
      <c r="L1008" s="1">
        <v>56.99733515</v>
      </c>
      <c r="M1008" s="1">
        <v>24.1704467</v>
      </c>
    </row>
    <row r="1009">
      <c r="A1009" s="1" t="s">
        <v>89</v>
      </c>
      <c r="B1009" s="1" t="s">
        <v>104</v>
      </c>
      <c r="C1009" s="2"/>
      <c r="D1009" s="1">
        <v>3.0</v>
      </c>
      <c r="E1009" s="2"/>
      <c r="F1009" s="2"/>
      <c r="G1009" s="2"/>
      <c r="H1009" s="2"/>
      <c r="I1009" s="2"/>
      <c r="J1009" s="2"/>
      <c r="K1009" s="2"/>
      <c r="L1009" s="1">
        <v>46.3144754</v>
      </c>
      <c r="M1009" s="1">
        <v>11.0480288</v>
      </c>
    </row>
    <row r="1010">
      <c r="A1010" s="1" t="s">
        <v>22</v>
      </c>
      <c r="B1010" s="1" t="s">
        <v>14</v>
      </c>
      <c r="C1010" s="1" t="s">
        <v>679</v>
      </c>
      <c r="D1010" s="1">
        <v>3.0</v>
      </c>
      <c r="E1010" s="1">
        <v>76.0</v>
      </c>
      <c r="F1010" s="1">
        <v>6.0</v>
      </c>
      <c r="G1010" s="1">
        <v>9.0</v>
      </c>
      <c r="H1010" s="1">
        <v>119.0</v>
      </c>
      <c r="I1010" s="1" t="s">
        <v>21</v>
      </c>
      <c r="J1010" s="1" t="s">
        <v>18</v>
      </c>
      <c r="K1010" s="1">
        <v>92700.0</v>
      </c>
      <c r="L1010" s="1">
        <v>56.9521256999999</v>
      </c>
      <c r="M1010" s="1">
        <v>24.1761138</v>
      </c>
    </row>
    <row r="1011">
      <c r="A1011" s="1" t="s">
        <v>22</v>
      </c>
      <c r="B1011" s="1" t="s">
        <v>228</v>
      </c>
      <c r="C1011" s="1" t="s">
        <v>852</v>
      </c>
      <c r="D1011" s="1">
        <v>3.0</v>
      </c>
      <c r="E1011" s="1">
        <v>77.0</v>
      </c>
      <c r="F1011" s="1">
        <v>2.0</v>
      </c>
      <c r="G1011" s="1">
        <v>3.0</v>
      </c>
      <c r="H1011" s="1" t="s">
        <v>32</v>
      </c>
      <c r="I1011" s="1" t="s">
        <v>37</v>
      </c>
      <c r="J1011" s="1" t="s">
        <v>18</v>
      </c>
      <c r="K1011" s="1">
        <v>127500.0</v>
      </c>
      <c r="L1011" s="1">
        <v>56.9197056</v>
      </c>
      <c r="M1011" s="1">
        <v>24.058748</v>
      </c>
    </row>
    <row r="1012">
      <c r="A1012" s="1" t="s">
        <v>22</v>
      </c>
      <c r="B1012" s="1" t="s">
        <v>82</v>
      </c>
      <c r="C1012" s="1" t="s">
        <v>83</v>
      </c>
      <c r="D1012" s="1">
        <v>2.0</v>
      </c>
      <c r="E1012" s="1">
        <v>89.0</v>
      </c>
      <c r="F1012" s="1">
        <v>4.0</v>
      </c>
      <c r="G1012" s="1">
        <v>4.0</v>
      </c>
      <c r="H1012" s="1" t="s">
        <v>32</v>
      </c>
      <c r="I1012" s="1" t="s">
        <v>37</v>
      </c>
      <c r="J1012" s="1" t="s">
        <v>18</v>
      </c>
      <c r="K1012" s="1">
        <v>230000.0</v>
      </c>
      <c r="L1012" s="1">
        <v>56.9489344</v>
      </c>
      <c r="M1012" s="1">
        <v>24.0882804</v>
      </c>
    </row>
    <row r="1013">
      <c r="A1013" s="1" t="s">
        <v>22</v>
      </c>
      <c r="B1013" s="1" t="s">
        <v>76</v>
      </c>
      <c r="C1013" s="1" t="s">
        <v>853</v>
      </c>
      <c r="D1013" s="1">
        <v>2.0</v>
      </c>
      <c r="E1013" s="1">
        <v>48.0</v>
      </c>
      <c r="F1013" s="1">
        <v>2.0</v>
      </c>
      <c r="G1013" s="1">
        <v>3.0</v>
      </c>
      <c r="H1013" s="1" t="s">
        <v>44</v>
      </c>
      <c r="I1013" s="1" t="s">
        <v>37</v>
      </c>
      <c r="J1013" s="1" t="s">
        <v>18</v>
      </c>
      <c r="K1013" s="1">
        <v>33500.0</v>
      </c>
      <c r="L1013" s="1">
        <v>56.96206215</v>
      </c>
      <c r="M1013" s="1">
        <v>24.0652242412257</v>
      </c>
    </row>
    <row r="1014">
      <c r="A1014" s="1" t="s">
        <v>13</v>
      </c>
      <c r="B1014" s="1" t="s">
        <v>60</v>
      </c>
      <c r="C1014" s="1" t="s">
        <v>854</v>
      </c>
      <c r="D1014" s="1">
        <v>2.0</v>
      </c>
      <c r="E1014" s="1">
        <v>48.0</v>
      </c>
      <c r="F1014" s="1">
        <v>5.0</v>
      </c>
      <c r="G1014" s="1">
        <v>5.0</v>
      </c>
      <c r="H1014" s="1" t="s">
        <v>16</v>
      </c>
      <c r="I1014" s="1" t="s">
        <v>21</v>
      </c>
      <c r="J1014" s="1" t="s">
        <v>18</v>
      </c>
      <c r="K1014" s="1">
        <v>220.0</v>
      </c>
      <c r="L1014" s="1">
        <v>57.03099005</v>
      </c>
      <c r="M1014" s="1">
        <v>24.0574072</v>
      </c>
    </row>
    <row r="1015">
      <c r="A1015" s="1" t="s">
        <v>22</v>
      </c>
      <c r="B1015" s="1" t="s">
        <v>19</v>
      </c>
      <c r="C1015" s="1" t="s">
        <v>402</v>
      </c>
      <c r="D1015" s="1">
        <v>1.0</v>
      </c>
      <c r="E1015" s="1">
        <v>44.0</v>
      </c>
      <c r="F1015" s="1">
        <v>7.0</v>
      </c>
      <c r="G1015" s="1">
        <v>9.0</v>
      </c>
      <c r="H1015" s="1" t="s">
        <v>57</v>
      </c>
      <c r="I1015" s="1" t="s">
        <v>21</v>
      </c>
      <c r="J1015" s="1" t="s">
        <v>18</v>
      </c>
      <c r="K1015" s="1">
        <v>34450.0</v>
      </c>
      <c r="L1015" s="1">
        <v>56.9004870499999</v>
      </c>
      <c r="M1015" s="1">
        <v>24.1006074257664</v>
      </c>
    </row>
    <row r="1016">
      <c r="A1016" s="1" t="s">
        <v>22</v>
      </c>
      <c r="B1016" s="1" t="s">
        <v>48</v>
      </c>
      <c r="C1016" s="1" t="s">
        <v>855</v>
      </c>
      <c r="D1016" s="1">
        <v>3.0</v>
      </c>
      <c r="E1016" s="1">
        <v>80.0</v>
      </c>
      <c r="F1016" s="1">
        <v>4.0</v>
      </c>
      <c r="G1016" s="1">
        <v>4.0</v>
      </c>
      <c r="H1016" s="1" t="s">
        <v>32</v>
      </c>
      <c r="I1016" s="1" t="s">
        <v>21</v>
      </c>
      <c r="J1016" s="1" t="s">
        <v>18</v>
      </c>
      <c r="K1016" s="1">
        <v>139000.0</v>
      </c>
      <c r="L1016" s="1">
        <v>56.9503372</v>
      </c>
      <c r="M1016" s="1">
        <v>24.2445141015604</v>
      </c>
    </row>
    <row r="1017">
      <c r="A1017" s="1" t="s">
        <v>22</v>
      </c>
      <c r="B1017" s="1" t="s">
        <v>38</v>
      </c>
      <c r="C1017" s="1" t="s">
        <v>856</v>
      </c>
      <c r="D1017" s="1">
        <v>3.0</v>
      </c>
      <c r="E1017" s="1">
        <v>60.0</v>
      </c>
      <c r="F1017" s="1">
        <v>5.0</v>
      </c>
      <c r="G1017" s="1">
        <v>5.0</v>
      </c>
      <c r="H1017" s="1" t="s">
        <v>16</v>
      </c>
      <c r="I1017" s="1" t="s">
        <v>21</v>
      </c>
      <c r="J1017" s="1" t="s">
        <v>18</v>
      </c>
      <c r="K1017" s="1">
        <v>51900.0</v>
      </c>
      <c r="L1017" s="1">
        <v>56.9639239</v>
      </c>
      <c r="M1017" s="1">
        <v>24.0250927</v>
      </c>
    </row>
    <row r="1018">
      <c r="A1018" s="1" t="s">
        <v>13</v>
      </c>
      <c r="B1018" s="1" t="s">
        <v>23</v>
      </c>
      <c r="C1018" s="1" t="s">
        <v>857</v>
      </c>
      <c r="D1018" s="1">
        <v>3.0</v>
      </c>
      <c r="E1018" s="1">
        <v>125.0</v>
      </c>
      <c r="F1018" s="1">
        <v>5.0</v>
      </c>
      <c r="G1018" s="1">
        <v>2.0</v>
      </c>
      <c r="H1018" s="1" t="s">
        <v>32</v>
      </c>
      <c r="I1018" s="1" t="s">
        <v>21</v>
      </c>
      <c r="J1018" s="1" t="s">
        <v>18</v>
      </c>
      <c r="K1018" s="1">
        <v>1350.0</v>
      </c>
      <c r="L1018" s="1">
        <v>56.9578148</v>
      </c>
      <c r="M1018" s="1">
        <v>24.1142082</v>
      </c>
    </row>
    <row r="1019">
      <c r="A1019" s="1" t="s">
        <v>22</v>
      </c>
      <c r="B1019" s="1" t="s">
        <v>74</v>
      </c>
      <c r="C1019" s="1" t="s">
        <v>858</v>
      </c>
      <c r="D1019" s="1">
        <v>2.0</v>
      </c>
      <c r="E1019" s="1">
        <v>51.0</v>
      </c>
      <c r="F1019" s="1">
        <v>2.0</v>
      </c>
      <c r="G1019" s="1">
        <v>9.0</v>
      </c>
      <c r="H1019" s="1">
        <v>602.0</v>
      </c>
      <c r="I1019" s="1" t="s">
        <v>21</v>
      </c>
      <c r="J1019" s="1" t="s">
        <v>18</v>
      </c>
      <c r="K1019" s="1">
        <v>57850.0</v>
      </c>
      <c r="L1019" s="1" t="s">
        <v>40</v>
      </c>
      <c r="M1019" s="1" t="s">
        <v>40</v>
      </c>
    </row>
    <row r="1020">
      <c r="A1020" s="1" t="s">
        <v>22</v>
      </c>
      <c r="B1020" s="1" t="s">
        <v>42</v>
      </c>
      <c r="C1020" s="1" t="s">
        <v>859</v>
      </c>
      <c r="D1020" s="1">
        <v>3.0</v>
      </c>
      <c r="E1020" s="1">
        <v>74.0</v>
      </c>
      <c r="F1020" s="1">
        <v>11.0</v>
      </c>
      <c r="G1020" s="1">
        <v>12.0</v>
      </c>
      <c r="H1020" s="1" t="s">
        <v>221</v>
      </c>
      <c r="I1020" s="1" t="s">
        <v>37</v>
      </c>
      <c r="J1020" s="1" t="s">
        <v>18</v>
      </c>
      <c r="K1020" s="1">
        <v>87000.0</v>
      </c>
      <c r="L1020" s="1">
        <v>56.98611335</v>
      </c>
      <c r="M1020" s="1">
        <v>24.2271377668153</v>
      </c>
    </row>
    <row r="1021">
      <c r="A1021" s="1" t="s">
        <v>22</v>
      </c>
      <c r="B1021" s="1" t="s">
        <v>129</v>
      </c>
      <c r="C1021" s="1" t="s">
        <v>860</v>
      </c>
      <c r="D1021" s="1">
        <v>1.0</v>
      </c>
      <c r="E1021" s="1">
        <v>24.0</v>
      </c>
      <c r="F1021" s="1">
        <v>2.0</v>
      </c>
      <c r="G1021" s="1">
        <v>2.0</v>
      </c>
      <c r="H1021" s="1" t="s">
        <v>25</v>
      </c>
      <c r="I1021" s="1" t="s">
        <v>37</v>
      </c>
      <c r="J1021" s="1" t="s">
        <v>27</v>
      </c>
      <c r="K1021" s="1">
        <v>7900.0</v>
      </c>
      <c r="L1021" s="1">
        <v>57.00301175</v>
      </c>
      <c r="M1021" s="1">
        <v>24.120898893399</v>
      </c>
    </row>
    <row r="1022">
      <c r="A1022" s="1" t="s">
        <v>22</v>
      </c>
      <c r="B1022" s="1" t="s">
        <v>861</v>
      </c>
      <c r="C1022" s="1" t="s">
        <v>862</v>
      </c>
      <c r="D1022" s="1">
        <v>1.0</v>
      </c>
      <c r="E1022" s="1">
        <v>28.0</v>
      </c>
      <c r="F1022" s="1">
        <v>1.0</v>
      </c>
      <c r="G1022" s="1">
        <v>3.0</v>
      </c>
      <c r="H1022" s="1" t="s">
        <v>36</v>
      </c>
      <c r="I1022" s="1" t="s">
        <v>33</v>
      </c>
      <c r="J1022" s="1" t="s">
        <v>27</v>
      </c>
      <c r="K1022" s="1">
        <v>17500.0</v>
      </c>
      <c r="L1022" s="1" t="s">
        <v>40</v>
      </c>
      <c r="M1022" s="1" t="s">
        <v>40</v>
      </c>
    </row>
    <row r="1023">
      <c r="A1023" s="1" t="s">
        <v>22</v>
      </c>
      <c r="B1023" s="1" t="s">
        <v>74</v>
      </c>
      <c r="C1023" s="1" t="s">
        <v>863</v>
      </c>
      <c r="D1023" s="1">
        <v>2.0</v>
      </c>
      <c r="E1023" s="1">
        <v>51.0</v>
      </c>
      <c r="F1023" s="1">
        <v>3.0</v>
      </c>
      <c r="G1023" s="1">
        <v>9.0</v>
      </c>
      <c r="H1023" s="1">
        <v>602.0</v>
      </c>
      <c r="I1023" s="1" t="s">
        <v>21</v>
      </c>
      <c r="J1023" s="1" t="s">
        <v>18</v>
      </c>
      <c r="K1023" s="1">
        <v>59500.0</v>
      </c>
      <c r="L1023" s="1">
        <v>56.9427642</v>
      </c>
      <c r="M1023" s="1">
        <v>24.2090708</v>
      </c>
    </row>
    <row r="1024">
      <c r="A1024" s="1" t="s">
        <v>13</v>
      </c>
      <c r="B1024" s="1" t="s">
        <v>52</v>
      </c>
      <c r="C1024" s="1" t="s">
        <v>864</v>
      </c>
      <c r="D1024" s="1">
        <v>4.0</v>
      </c>
      <c r="E1024" s="1">
        <v>104.0</v>
      </c>
      <c r="F1024" s="1">
        <v>4.0</v>
      </c>
      <c r="G1024" s="1">
        <v>6.0</v>
      </c>
      <c r="H1024" s="1" t="s">
        <v>32</v>
      </c>
      <c r="I1024" s="1" t="s">
        <v>21</v>
      </c>
      <c r="J1024" s="1" t="s">
        <v>18</v>
      </c>
      <c r="K1024" s="1">
        <v>628.0</v>
      </c>
      <c r="L1024" s="1">
        <v>56.94280435</v>
      </c>
      <c r="M1024" s="1">
        <v>24.0172291938734</v>
      </c>
    </row>
    <row r="1025">
      <c r="A1025" s="1" t="s">
        <v>13</v>
      </c>
      <c r="B1025" s="1" t="s">
        <v>23</v>
      </c>
      <c r="C1025" s="1" t="s">
        <v>865</v>
      </c>
      <c r="D1025" s="1">
        <v>2.0</v>
      </c>
      <c r="E1025" s="1">
        <v>52.4</v>
      </c>
      <c r="F1025" s="1">
        <v>4.0</v>
      </c>
      <c r="G1025" s="1">
        <v>6.0</v>
      </c>
      <c r="H1025" s="1" t="s">
        <v>25</v>
      </c>
      <c r="I1025" s="1" t="s">
        <v>33</v>
      </c>
      <c r="J1025" s="1" t="s">
        <v>18</v>
      </c>
      <c r="K1025" s="1">
        <v>900.0</v>
      </c>
      <c r="L1025" s="1">
        <v>56.9548743</v>
      </c>
      <c r="M1025" s="1">
        <v>24.120069</v>
      </c>
    </row>
    <row r="1026">
      <c r="A1026" s="1" t="s">
        <v>13</v>
      </c>
      <c r="B1026" s="1" t="s">
        <v>23</v>
      </c>
      <c r="C1026" s="1" t="s">
        <v>866</v>
      </c>
      <c r="D1026" s="1">
        <v>2.0</v>
      </c>
      <c r="E1026" s="1">
        <v>75.0</v>
      </c>
      <c r="F1026" s="1">
        <v>3.0</v>
      </c>
      <c r="G1026" s="1">
        <v>6.0</v>
      </c>
      <c r="H1026" s="1" t="s">
        <v>32</v>
      </c>
      <c r="I1026" s="1" t="s">
        <v>21</v>
      </c>
      <c r="J1026" s="1" t="s">
        <v>18</v>
      </c>
      <c r="K1026" s="1">
        <v>850.0</v>
      </c>
      <c r="L1026" s="1" t="s">
        <v>40</v>
      </c>
      <c r="M1026" s="1" t="s">
        <v>40</v>
      </c>
    </row>
    <row r="1027">
      <c r="A1027" s="1" t="s">
        <v>22</v>
      </c>
      <c r="B1027" s="1" t="s">
        <v>52</v>
      </c>
      <c r="C1027" s="1" t="s">
        <v>202</v>
      </c>
      <c r="D1027" s="1">
        <v>3.0</v>
      </c>
      <c r="E1027" s="1">
        <v>109.0</v>
      </c>
      <c r="F1027" s="1">
        <v>1.0</v>
      </c>
      <c r="G1027" s="1">
        <v>4.0</v>
      </c>
      <c r="H1027" s="1" t="s">
        <v>32</v>
      </c>
      <c r="I1027" s="1" t="s">
        <v>17</v>
      </c>
      <c r="J1027" s="1" t="s">
        <v>18</v>
      </c>
      <c r="K1027" s="1">
        <v>142000.0</v>
      </c>
      <c r="L1027" s="1">
        <v>56.94145735</v>
      </c>
      <c r="M1027" s="1">
        <v>24.0030188392346</v>
      </c>
    </row>
    <row r="1028">
      <c r="A1028" s="1" t="s">
        <v>22</v>
      </c>
      <c r="B1028" s="1" t="s">
        <v>67</v>
      </c>
      <c r="C1028" s="1" t="s">
        <v>867</v>
      </c>
      <c r="D1028" s="1">
        <v>1.0</v>
      </c>
      <c r="E1028" s="1">
        <v>27.0</v>
      </c>
      <c r="F1028" s="1">
        <v>2.0</v>
      </c>
      <c r="G1028" s="1">
        <v>5.0</v>
      </c>
      <c r="H1028" s="1" t="s">
        <v>25</v>
      </c>
      <c r="I1028" s="1" t="s">
        <v>37</v>
      </c>
      <c r="J1028" s="1" t="s">
        <v>18</v>
      </c>
      <c r="K1028" s="1">
        <v>22500.0</v>
      </c>
      <c r="L1028" s="1">
        <v>56.960182</v>
      </c>
      <c r="M1028" s="1">
        <v>24.1473114</v>
      </c>
    </row>
    <row r="1029">
      <c r="A1029" s="1" t="s">
        <v>22</v>
      </c>
      <c r="B1029" s="1" t="s">
        <v>218</v>
      </c>
      <c r="C1029" s="1" t="s">
        <v>649</v>
      </c>
      <c r="D1029" s="1">
        <v>3.0</v>
      </c>
      <c r="E1029" s="1">
        <v>125.0</v>
      </c>
      <c r="F1029" s="1">
        <v>3.0</v>
      </c>
      <c r="G1029" s="1">
        <v>4.0</v>
      </c>
      <c r="H1029" s="1" t="s">
        <v>66</v>
      </c>
      <c r="I1029" s="1" t="s">
        <v>33</v>
      </c>
      <c r="J1029" s="1" t="s">
        <v>18</v>
      </c>
      <c r="K1029" s="1">
        <v>300000.0</v>
      </c>
      <c r="L1029" s="1">
        <v>56.94451965</v>
      </c>
      <c r="M1029" s="1">
        <v>24.1097848172545</v>
      </c>
    </row>
    <row r="1030">
      <c r="A1030" s="1" t="s">
        <v>22</v>
      </c>
      <c r="B1030" s="1" t="s">
        <v>60</v>
      </c>
      <c r="C1030" s="1" t="s">
        <v>868</v>
      </c>
      <c r="D1030" s="1">
        <v>1.0</v>
      </c>
      <c r="E1030" s="1">
        <v>34.0</v>
      </c>
      <c r="F1030" s="1">
        <v>2.0</v>
      </c>
      <c r="G1030" s="1">
        <v>5.0</v>
      </c>
      <c r="H1030" s="1">
        <v>103.0</v>
      </c>
      <c r="I1030" s="1" t="s">
        <v>17</v>
      </c>
      <c r="J1030" s="1" t="s">
        <v>18</v>
      </c>
      <c r="K1030" s="1">
        <v>25000.0</v>
      </c>
      <c r="L1030" s="1">
        <v>57.0285047</v>
      </c>
      <c r="M1030" s="1">
        <v>24.0544534</v>
      </c>
    </row>
    <row r="1031">
      <c r="A1031" s="1" t="s">
        <v>22</v>
      </c>
      <c r="B1031" s="1" t="s">
        <v>23</v>
      </c>
      <c r="C1031" s="1" t="s">
        <v>869</v>
      </c>
      <c r="D1031" s="1">
        <v>3.0</v>
      </c>
      <c r="E1031" s="1">
        <v>82.0</v>
      </c>
      <c r="F1031" s="1">
        <v>6.0</v>
      </c>
      <c r="G1031" s="1">
        <v>7.0</v>
      </c>
      <c r="H1031" s="1" t="s">
        <v>66</v>
      </c>
      <c r="I1031" s="1" t="s">
        <v>33</v>
      </c>
      <c r="J1031" s="1" t="s">
        <v>18</v>
      </c>
      <c r="K1031" s="1">
        <v>153000.0</v>
      </c>
      <c r="L1031" s="1">
        <v>56.9531436</v>
      </c>
      <c r="M1031" s="1">
        <v>24.1255034</v>
      </c>
    </row>
    <row r="1032">
      <c r="A1032" s="1" t="s">
        <v>22</v>
      </c>
      <c r="B1032" s="1" t="s">
        <v>151</v>
      </c>
      <c r="C1032" s="1" t="s">
        <v>870</v>
      </c>
      <c r="D1032" s="1">
        <v>3.0</v>
      </c>
      <c r="E1032" s="1">
        <v>54.0</v>
      </c>
      <c r="F1032" s="1">
        <v>3.0</v>
      </c>
      <c r="G1032" s="1">
        <v>5.0</v>
      </c>
      <c r="H1032" s="1" t="s">
        <v>16</v>
      </c>
      <c r="I1032" s="1" t="s">
        <v>21</v>
      </c>
      <c r="J1032" s="1" t="s">
        <v>18</v>
      </c>
      <c r="K1032" s="1">
        <v>45000.0</v>
      </c>
      <c r="L1032" s="1">
        <v>56.96963375</v>
      </c>
      <c r="M1032" s="1">
        <v>24.0521403832597</v>
      </c>
    </row>
    <row r="1033">
      <c r="A1033" s="1" t="s">
        <v>13</v>
      </c>
      <c r="B1033" s="1" t="s">
        <v>14</v>
      </c>
      <c r="C1033" s="1" t="s">
        <v>871</v>
      </c>
      <c r="D1033" s="1">
        <v>1.0</v>
      </c>
      <c r="E1033" s="1">
        <v>48.0</v>
      </c>
      <c r="F1033" s="1">
        <v>2.0</v>
      </c>
      <c r="G1033" s="1">
        <v>5.0</v>
      </c>
      <c r="H1033" s="1" t="s">
        <v>57</v>
      </c>
      <c r="I1033" s="1" t="s">
        <v>21</v>
      </c>
      <c r="J1033" s="1" t="s">
        <v>18</v>
      </c>
      <c r="K1033" s="1">
        <v>25.0</v>
      </c>
      <c r="L1033" s="1">
        <v>56.9545273</v>
      </c>
      <c r="M1033" s="1">
        <v>24.1855791270517</v>
      </c>
    </row>
    <row r="1034">
      <c r="A1034" s="1" t="s">
        <v>22</v>
      </c>
      <c r="B1034" s="1" t="s">
        <v>23</v>
      </c>
      <c r="C1034" s="1" t="s">
        <v>872</v>
      </c>
      <c r="D1034" s="1">
        <v>1.0</v>
      </c>
      <c r="E1034" s="1">
        <v>37.0</v>
      </c>
      <c r="F1034" s="1">
        <v>6.0</v>
      </c>
      <c r="G1034" s="1">
        <v>7.0</v>
      </c>
      <c r="H1034" s="1" t="s">
        <v>32</v>
      </c>
      <c r="I1034" s="1" t="s">
        <v>33</v>
      </c>
      <c r="J1034" s="1" t="s">
        <v>18</v>
      </c>
      <c r="K1034" s="1">
        <v>84000.0</v>
      </c>
      <c r="L1034" s="1" t="s">
        <v>40</v>
      </c>
      <c r="M1034" s="1" t="s">
        <v>40</v>
      </c>
    </row>
    <row r="1035">
      <c r="A1035" s="1" t="s">
        <v>22</v>
      </c>
      <c r="B1035" s="1" t="s">
        <v>14</v>
      </c>
      <c r="C1035" s="1" t="s">
        <v>873</v>
      </c>
      <c r="D1035" s="1">
        <v>2.0</v>
      </c>
      <c r="E1035" s="1">
        <v>43.0</v>
      </c>
      <c r="F1035" s="1">
        <v>4.0</v>
      </c>
      <c r="G1035" s="1">
        <v>5.0</v>
      </c>
      <c r="H1035" s="1" t="s">
        <v>44</v>
      </c>
      <c r="I1035" s="1" t="s">
        <v>37</v>
      </c>
      <c r="J1035" s="1" t="s">
        <v>18</v>
      </c>
      <c r="K1035" s="1">
        <v>41500.0</v>
      </c>
      <c r="L1035" s="1">
        <v>56.9676199</v>
      </c>
      <c r="M1035" s="1">
        <v>24.1852575</v>
      </c>
    </row>
    <row r="1036">
      <c r="A1036" s="1" t="s">
        <v>13</v>
      </c>
      <c r="B1036" s="1" t="s">
        <v>447</v>
      </c>
      <c r="C1036" s="1" t="s">
        <v>486</v>
      </c>
      <c r="D1036" s="1">
        <v>2.0</v>
      </c>
      <c r="E1036" s="1">
        <v>38.0</v>
      </c>
      <c r="F1036" s="1">
        <v>4.0</v>
      </c>
      <c r="G1036" s="1">
        <v>6.0</v>
      </c>
      <c r="H1036" s="1" t="s">
        <v>32</v>
      </c>
      <c r="I1036" s="1" t="s">
        <v>17</v>
      </c>
      <c r="J1036" s="1" t="s">
        <v>18</v>
      </c>
      <c r="K1036" s="1">
        <v>330.0</v>
      </c>
      <c r="L1036" s="1">
        <v>56.9273343</v>
      </c>
      <c r="M1036" s="1">
        <v>24.0927797020755</v>
      </c>
    </row>
    <row r="1037">
      <c r="A1037" s="1" t="s">
        <v>22</v>
      </c>
      <c r="B1037" s="1" t="s">
        <v>104</v>
      </c>
      <c r="C1037" s="1" t="s">
        <v>874</v>
      </c>
      <c r="D1037" s="1">
        <v>2.0</v>
      </c>
      <c r="E1037" s="1">
        <v>42.0</v>
      </c>
      <c r="F1037" s="1">
        <v>2.0</v>
      </c>
      <c r="G1037" s="1">
        <v>5.0</v>
      </c>
      <c r="H1037" s="1" t="s">
        <v>44</v>
      </c>
      <c r="I1037" s="1" t="s">
        <v>37</v>
      </c>
      <c r="J1037" s="1" t="s">
        <v>18</v>
      </c>
      <c r="K1037" s="1">
        <v>51500.0</v>
      </c>
      <c r="L1037" s="1">
        <v>56.9438277999999</v>
      </c>
      <c r="M1037" s="1">
        <v>24.062819336917</v>
      </c>
    </row>
    <row r="1038">
      <c r="A1038" s="1" t="s">
        <v>13</v>
      </c>
      <c r="B1038" s="1" t="s">
        <v>23</v>
      </c>
      <c r="C1038" s="1" t="s">
        <v>532</v>
      </c>
      <c r="D1038" s="1">
        <v>2.0</v>
      </c>
      <c r="E1038" s="1">
        <v>48.0</v>
      </c>
      <c r="F1038" s="1">
        <v>2.0</v>
      </c>
      <c r="G1038" s="1">
        <v>6.0</v>
      </c>
      <c r="H1038" s="1" t="s">
        <v>66</v>
      </c>
      <c r="I1038" s="1" t="s">
        <v>37</v>
      </c>
      <c r="J1038" s="1" t="s">
        <v>18</v>
      </c>
      <c r="K1038" s="1">
        <v>680.0</v>
      </c>
      <c r="L1038" s="1">
        <v>56.9578128</v>
      </c>
      <c r="M1038" s="1">
        <v>24.1300556</v>
      </c>
    </row>
    <row r="1039">
      <c r="A1039" s="1" t="s">
        <v>13</v>
      </c>
      <c r="B1039" s="1" t="s">
        <v>23</v>
      </c>
      <c r="C1039" s="1" t="s">
        <v>781</v>
      </c>
      <c r="D1039" s="1">
        <v>3.0</v>
      </c>
      <c r="E1039" s="1">
        <v>83.0</v>
      </c>
      <c r="F1039" s="1">
        <v>4.0</v>
      </c>
      <c r="G1039" s="1">
        <v>7.0</v>
      </c>
      <c r="H1039" s="1" t="s">
        <v>32</v>
      </c>
      <c r="I1039" s="1" t="s">
        <v>21</v>
      </c>
      <c r="J1039" s="1" t="s">
        <v>18</v>
      </c>
      <c r="K1039" s="1">
        <v>1100.0</v>
      </c>
      <c r="L1039" s="1">
        <v>56.9663651</v>
      </c>
      <c r="M1039" s="1">
        <v>24.1051126038627</v>
      </c>
    </row>
    <row r="1040">
      <c r="A1040" s="1" t="s">
        <v>22</v>
      </c>
      <c r="B1040" s="1" t="s">
        <v>109</v>
      </c>
      <c r="C1040" s="1" t="s">
        <v>875</v>
      </c>
      <c r="D1040" s="1">
        <v>1.0</v>
      </c>
      <c r="E1040" s="1">
        <v>32.0</v>
      </c>
      <c r="F1040" s="1">
        <v>9.0</v>
      </c>
      <c r="G1040" s="1">
        <v>9.0</v>
      </c>
      <c r="H1040" s="1" t="s">
        <v>32</v>
      </c>
      <c r="I1040" s="1" t="s">
        <v>21</v>
      </c>
      <c r="J1040" s="1" t="s">
        <v>18</v>
      </c>
      <c r="K1040" s="1">
        <v>75000.0</v>
      </c>
      <c r="L1040" s="1">
        <v>56.9896239</v>
      </c>
      <c r="M1040" s="1">
        <v>24.1745597</v>
      </c>
    </row>
    <row r="1041">
      <c r="A1041" s="1" t="s">
        <v>22</v>
      </c>
      <c r="B1041" s="1" t="s">
        <v>23</v>
      </c>
      <c r="C1041" s="1" t="s">
        <v>781</v>
      </c>
      <c r="D1041" s="1">
        <v>3.0</v>
      </c>
      <c r="E1041" s="1">
        <v>83.0</v>
      </c>
      <c r="F1041" s="1">
        <v>4.0</v>
      </c>
      <c r="G1041" s="1">
        <v>7.0</v>
      </c>
      <c r="H1041" s="1" t="s">
        <v>32</v>
      </c>
      <c r="I1041" s="1" t="s">
        <v>21</v>
      </c>
      <c r="J1041" s="1" t="s">
        <v>18</v>
      </c>
      <c r="K1041" s="1">
        <v>225000.0</v>
      </c>
      <c r="L1041" s="1">
        <v>56.9663651</v>
      </c>
      <c r="M1041" s="1">
        <v>24.1051126038627</v>
      </c>
    </row>
    <row r="1042">
      <c r="A1042" s="1" t="s">
        <v>13</v>
      </c>
      <c r="B1042" s="1" t="s">
        <v>104</v>
      </c>
      <c r="C1042" s="1" t="s">
        <v>876</v>
      </c>
      <c r="D1042" s="1">
        <v>2.0</v>
      </c>
      <c r="E1042" s="1">
        <v>50.0</v>
      </c>
      <c r="F1042" s="1">
        <v>2.0</v>
      </c>
      <c r="G1042" s="1">
        <v>3.0</v>
      </c>
      <c r="H1042" s="1" t="s">
        <v>25</v>
      </c>
      <c r="I1042" s="1" t="s">
        <v>26</v>
      </c>
      <c r="J1042" s="1" t="s">
        <v>18</v>
      </c>
      <c r="K1042" s="1">
        <v>500.0</v>
      </c>
      <c r="L1042" s="1">
        <v>56.93524705</v>
      </c>
      <c r="M1042" s="1">
        <v>24.0750776309247</v>
      </c>
    </row>
    <row r="1043">
      <c r="A1043" s="1" t="s">
        <v>89</v>
      </c>
      <c r="B1043" s="1" t="s">
        <v>14</v>
      </c>
      <c r="C1043" s="2"/>
      <c r="D1043" s="1">
        <v>3.0</v>
      </c>
      <c r="E1043" s="2"/>
      <c r="F1043" s="2"/>
      <c r="G1043" s="2"/>
      <c r="H1043" s="1" t="s">
        <v>32</v>
      </c>
      <c r="I1043" s="2"/>
      <c r="J1043" s="1" t="s">
        <v>18</v>
      </c>
      <c r="K1043" s="2"/>
      <c r="L1043" s="1">
        <v>46.3144754</v>
      </c>
      <c r="M1043" s="1">
        <v>11.0480288</v>
      </c>
    </row>
    <row r="1044">
      <c r="A1044" s="1" t="s">
        <v>89</v>
      </c>
      <c r="B1044" s="1" t="s">
        <v>45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1">
        <v>46.3144754</v>
      </c>
      <c r="M1044" s="1">
        <v>11.0480288</v>
      </c>
    </row>
    <row r="1045">
      <c r="A1045" s="1" t="s">
        <v>89</v>
      </c>
      <c r="B1045" s="1" t="s">
        <v>28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1">
        <v>46.3144754</v>
      </c>
      <c r="M1045" s="1">
        <v>11.0480288</v>
      </c>
    </row>
    <row r="1046">
      <c r="A1046" s="1" t="s">
        <v>89</v>
      </c>
      <c r="B1046" s="1" t="s">
        <v>38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1">
        <v>46.3144754</v>
      </c>
      <c r="M1046" s="1">
        <v>11.0480288</v>
      </c>
    </row>
    <row r="1047">
      <c r="A1047" s="1" t="s">
        <v>13</v>
      </c>
      <c r="B1047" s="1" t="s">
        <v>422</v>
      </c>
      <c r="C1047" s="1" t="s">
        <v>877</v>
      </c>
      <c r="D1047" s="1">
        <v>1.0</v>
      </c>
      <c r="E1047" s="1">
        <v>32.0</v>
      </c>
      <c r="F1047" s="1">
        <v>2.0</v>
      </c>
      <c r="G1047" s="1">
        <v>3.0</v>
      </c>
      <c r="H1047" s="1" t="s">
        <v>25</v>
      </c>
      <c r="I1047" s="1" t="s">
        <v>33</v>
      </c>
      <c r="J1047" s="1" t="s">
        <v>18</v>
      </c>
      <c r="K1047" s="1">
        <v>300.0</v>
      </c>
      <c r="L1047" s="1">
        <v>56.93649025</v>
      </c>
      <c r="M1047" s="1">
        <v>24.0367786839242</v>
      </c>
    </row>
    <row r="1048">
      <c r="A1048" s="1" t="s">
        <v>13</v>
      </c>
      <c r="B1048" s="1" t="s">
        <v>23</v>
      </c>
      <c r="C1048" s="1" t="s">
        <v>878</v>
      </c>
      <c r="D1048" s="1">
        <v>2.0</v>
      </c>
      <c r="E1048" s="1">
        <v>50.0</v>
      </c>
      <c r="F1048" s="1">
        <v>5.0</v>
      </c>
      <c r="G1048" s="1">
        <v>6.0</v>
      </c>
      <c r="H1048" s="1" t="s">
        <v>25</v>
      </c>
      <c r="I1048" s="1" t="s">
        <v>37</v>
      </c>
      <c r="J1048" s="1" t="s">
        <v>18</v>
      </c>
      <c r="K1048" s="1">
        <v>480.0</v>
      </c>
      <c r="L1048" s="1">
        <v>56.953316</v>
      </c>
      <c r="M1048" s="1">
        <v>24.1370407</v>
      </c>
    </row>
    <row r="1049">
      <c r="A1049" s="1" t="s">
        <v>22</v>
      </c>
      <c r="B1049" s="1" t="s">
        <v>23</v>
      </c>
      <c r="C1049" s="1" t="s">
        <v>842</v>
      </c>
      <c r="D1049" s="1">
        <v>2.0</v>
      </c>
      <c r="E1049" s="1">
        <v>59.0</v>
      </c>
      <c r="F1049" s="1">
        <v>2.0</v>
      </c>
      <c r="G1049" s="1">
        <v>6.0</v>
      </c>
      <c r="H1049" s="1" t="s">
        <v>25</v>
      </c>
      <c r="I1049" s="1" t="s">
        <v>33</v>
      </c>
      <c r="J1049" s="1" t="s">
        <v>18</v>
      </c>
      <c r="K1049" s="1">
        <v>89100.0</v>
      </c>
      <c r="L1049" s="1">
        <v>56.9665763</v>
      </c>
      <c r="M1049" s="1">
        <v>24.1337504</v>
      </c>
    </row>
    <row r="1050">
      <c r="A1050" s="1" t="s">
        <v>22</v>
      </c>
      <c r="B1050" s="1" t="s">
        <v>174</v>
      </c>
      <c r="C1050" s="1" t="s">
        <v>879</v>
      </c>
      <c r="D1050" s="1">
        <v>1.0</v>
      </c>
      <c r="E1050" s="1">
        <v>42.3</v>
      </c>
      <c r="F1050" s="1">
        <v>3.0</v>
      </c>
      <c r="G1050" s="1">
        <v>5.0</v>
      </c>
      <c r="H1050" s="1" t="s">
        <v>57</v>
      </c>
      <c r="I1050" s="1" t="s">
        <v>37</v>
      </c>
      <c r="J1050" s="1" t="s">
        <v>18</v>
      </c>
      <c r="K1050" s="1">
        <v>33500.0</v>
      </c>
      <c r="L1050" s="1">
        <v>56.94016</v>
      </c>
      <c r="M1050" s="1">
        <v>24.186816783778</v>
      </c>
    </row>
    <row r="1051">
      <c r="A1051" s="1" t="s">
        <v>22</v>
      </c>
      <c r="B1051" s="1" t="s">
        <v>30</v>
      </c>
      <c r="C1051" s="1" t="s">
        <v>880</v>
      </c>
      <c r="D1051" s="1">
        <v>5.0</v>
      </c>
      <c r="E1051" s="1">
        <v>142.0</v>
      </c>
      <c r="F1051" s="1">
        <v>2.0</v>
      </c>
      <c r="G1051" s="1">
        <v>7.0</v>
      </c>
      <c r="H1051" s="1" t="s">
        <v>36</v>
      </c>
      <c r="I1051" s="1" t="s">
        <v>37</v>
      </c>
      <c r="J1051" s="1" t="s">
        <v>18</v>
      </c>
      <c r="K1051" s="1">
        <v>132000.0</v>
      </c>
      <c r="L1051" s="1">
        <v>56.980215</v>
      </c>
      <c r="M1051" s="1">
        <v>24.1809352080702</v>
      </c>
    </row>
    <row r="1052">
      <c r="A1052" s="1" t="s">
        <v>22</v>
      </c>
      <c r="B1052" s="1" t="s">
        <v>23</v>
      </c>
      <c r="C1052" s="1" t="s">
        <v>351</v>
      </c>
      <c r="D1052" s="1">
        <v>2.0</v>
      </c>
      <c r="E1052" s="1">
        <v>32.0</v>
      </c>
      <c r="F1052" s="1">
        <v>1.0</v>
      </c>
      <c r="G1052" s="1">
        <v>6.0</v>
      </c>
      <c r="H1052" s="1" t="s">
        <v>66</v>
      </c>
      <c r="I1052" s="1" t="s">
        <v>33</v>
      </c>
      <c r="J1052" s="1" t="s">
        <v>18</v>
      </c>
      <c r="K1052" s="1">
        <v>76800.0</v>
      </c>
      <c r="L1052" s="1">
        <v>56.9488745</v>
      </c>
      <c r="M1052" s="1">
        <v>24.1266027446091</v>
      </c>
    </row>
    <row r="1053">
      <c r="A1053" s="1" t="s">
        <v>22</v>
      </c>
      <c r="B1053" s="1" t="s">
        <v>38</v>
      </c>
      <c r="C1053" s="1" t="s">
        <v>881</v>
      </c>
      <c r="D1053" s="1">
        <v>1.0</v>
      </c>
      <c r="E1053" s="1">
        <v>46.0</v>
      </c>
      <c r="F1053" s="1">
        <v>8.0</v>
      </c>
      <c r="G1053" s="1">
        <v>12.0</v>
      </c>
      <c r="H1053" s="1">
        <v>104.0</v>
      </c>
      <c r="I1053" s="1" t="s">
        <v>21</v>
      </c>
      <c r="J1053" s="1" t="s">
        <v>18</v>
      </c>
      <c r="K1053" s="1">
        <v>46000.0</v>
      </c>
      <c r="L1053" s="1">
        <v>56.952975</v>
      </c>
      <c r="M1053" s="1">
        <v>24.0166971</v>
      </c>
    </row>
    <row r="1054">
      <c r="A1054" s="1" t="s">
        <v>22</v>
      </c>
      <c r="B1054" s="1" t="s">
        <v>19</v>
      </c>
      <c r="C1054" s="1" t="s">
        <v>882</v>
      </c>
      <c r="D1054" s="1">
        <v>1.0</v>
      </c>
      <c r="E1054" s="1">
        <v>32.0</v>
      </c>
      <c r="F1054" s="1">
        <v>2.0</v>
      </c>
      <c r="G1054" s="1">
        <v>9.0</v>
      </c>
      <c r="H1054" s="1">
        <v>602.0</v>
      </c>
      <c r="I1054" s="1" t="s">
        <v>17</v>
      </c>
      <c r="J1054" s="1" t="s">
        <v>18</v>
      </c>
      <c r="K1054" s="1">
        <v>34500.0</v>
      </c>
      <c r="L1054" s="1" t="s">
        <v>40</v>
      </c>
      <c r="M1054" s="1" t="s">
        <v>40</v>
      </c>
    </row>
    <row r="1055">
      <c r="A1055" s="1" t="s">
        <v>89</v>
      </c>
      <c r="B1055" s="1" t="s">
        <v>104</v>
      </c>
      <c r="C1055" s="1" t="s">
        <v>883</v>
      </c>
      <c r="D1055" s="1">
        <v>3.0</v>
      </c>
      <c r="E1055" s="1">
        <v>50.0</v>
      </c>
      <c r="F1055" s="2"/>
      <c r="G1055" s="2"/>
      <c r="H1055" s="1" t="s">
        <v>25</v>
      </c>
      <c r="I1055" s="2"/>
      <c r="J1055" s="2"/>
      <c r="K1055" s="2"/>
      <c r="L1055" s="1">
        <v>56.93673405</v>
      </c>
      <c r="M1055" s="1">
        <v>24.0857645305896</v>
      </c>
    </row>
    <row r="1056">
      <c r="A1056" s="1" t="s">
        <v>13</v>
      </c>
      <c r="B1056" s="1" t="s">
        <v>117</v>
      </c>
      <c r="C1056" s="1" t="s">
        <v>884</v>
      </c>
      <c r="D1056" s="1">
        <v>2.0</v>
      </c>
      <c r="E1056" s="1">
        <v>60.0</v>
      </c>
      <c r="F1056" s="1">
        <v>1.0</v>
      </c>
      <c r="G1056" s="1">
        <v>1.0</v>
      </c>
      <c r="H1056" s="1" t="s">
        <v>171</v>
      </c>
      <c r="I1056" s="1" t="s">
        <v>26</v>
      </c>
      <c r="J1056" s="1" t="s">
        <v>18</v>
      </c>
      <c r="K1056" s="1">
        <v>600.0</v>
      </c>
      <c r="L1056" s="1" t="s">
        <v>40</v>
      </c>
      <c r="M1056" s="1" t="s">
        <v>40</v>
      </c>
    </row>
    <row r="1057">
      <c r="A1057" s="1" t="s">
        <v>13</v>
      </c>
      <c r="B1057" s="1" t="s">
        <v>129</v>
      </c>
      <c r="C1057" s="1" t="s">
        <v>885</v>
      </c>
      <c r="D1057" s="1">
        <v>1.0</v>
      </c>
      <c r="E1057" s="1">
        <v>26.0</v>
      </c>
      <c r="F1057" s="1">
        <v>4.0</v>
      </c>
      <c r="G1057" s="1">
        <v>4.0</v>
      </c>
      <c r="H1057" s="1" t="s">
        <v>25</v>
      </c>
      <c r="I1057" s="1" t="s">
        <v>37</v>
      </c>
      <c r="J1057" s="1" t="s">
        <v>27</v>
      </c>
      <c r="K1057" s="1">
        <v>150.0</v>
      </c>
      <c r="L1057" s="1">
        <v>57.0018786</v>
      </c>
      <c r="M1057" s="1">
        <v>24.119843</v>
      </c>
    </row>
    <row r="1058">
      <c r="A1058" s="1" t="s">
        <v>22</v>
      </c>
      <c r="B1058" s="1" t="s">
        <v>19</v>
      </c>
      <c r="C1058" s="1" t="s">
        <v>886</v>
      </c>
      <c r="D1058" s="1">
        <v>3.0</v>
      </c>
      <c r="E1058" s="1">
        <v>79.0</v>
      </c>
      <c r="F1058" s="1">
        <v>8.0</v>
      </c>
      <c r="G1058" s="1">
        <v>10.0</v>
      </c>
      <c r="H1058" s="1">
        <v>119.0</v>
      </c>
      <c r="I1058" s="1" t="s">
        <v>21</v>
      </c>
      <c r="J1058" s="1" t="s">
        <v>18</v>
      </c>
      <c r="K1058" s="1">
        <v>74000.0</v>
      </c>
      <c r="L1058" s="1">
        <v>56.8994354999999</v>
      </c>
      <c r="M1058" s="1">
        <v>24.0875683127701</v>
      </c>
    </row>
    <row r="1059">
      <c r="A1059" s="1" t="s">
        <v>13</v>
      </c>
      <c r="B1059" s="1" t="s">
        <v>104</v>
      </c>
      <c r="C1059" s="1" t="s">
        <v>887</v>
      </c>
      <c r="D1059" s="1">
        <v>3.0</v>
      </c>
      <c r="E1059" s="1">
        <v>85.0</v>
      </c>
      <c r="F1059" s="1">
        <v>2.0</v>
      </c>
      <c r="G1059" s="1">
        <v>3.0</v>
      </c>
      <c r="H1059" s="1" t="s">
        <v>32</v>
      </c>
      <c r="I1059" s="1" t="s">
        <v>33</v>
      </c>
      <c r="J1059" s="1" t="s">
        <v>18</v>
      </c>
      <c r="K1059" s="1">
        <v>850.0</v>
      </c>
      <c r="L1059" s="1">
        <v>56.9393754</v>
      </c>
      <c r="M1059" s="1">
        <v>24.0705981</v>
      </c>
    </row>
    <row r="1060">
      <c r="A1060" s="1" t="s">
        <v>13</v>
      </c>
      <c r="B1060" s="1" t="s">
        <v>104</v>
      </c>
      <c r="C1060" s="1" t="s">
        <v>887</v>
      </c>
      <c r="D1060" s="1">
        <v>3.0</v>
      </c>
      <c r="E1060" s="1">
        <v>71.0</v>
      </c>
      <c r="F1060" s="1">
        <v>3.0</v>
      </c>
      <c r="G1060" s="1">
        <v>3.0</v>
      </c>
      <c r="H1060" s="1" t="s">
        <v>32</v>
      </c>
      <c r="I1060" s="1" t="s">
        <v>33</v>
      </c>
      <c r="J1060" s="1" t="s">
        <v>18</v>
      </c>
      <c r="K1060" s="1">
        <v>710.0</v>
      </c>
      <c r="L1060" s="1">
        <v>56.9393754</v>
      </c>
      <c r="M1060" s="1">
        <v>24.0705981</v>
      </c>
    </row>
    <row r="1061">
      <c r="A1061" s="1" t="s">
        <v>13</v>
      </c>
      <c r="B1061" s="1" t="s">
        <v>23</v>
      </c>
      <c r="C1061" s="1" t="s">
        <v>888</v>
      </c>
      <c r="D1061" s="1">
        <v>1.0</v>
      </c>
      <c r="E1061" s="1">
        <v>33.0</v>
      </c>
      <c r="F1061" s="1">
        <v>2.0</v>
      </c>
      <c r="G1061" s="1">
        <v>5.0</v>
      </c>
      <c r="H1061" s="1" t="s">
        <v>66</v>
      </c>
      <c r="I1061" s="1" t="s">
        <v>33</v>
      </c>
      <c r="J1061" s="1" t="s">
        <v>18</v>
      </c>
      <c r="K1061" s="1">
        <v>49.0</v>
      </c>
      <c r="L1061" s="1">
        <v>56.94863315</v>
      </c>
      <c r="M1061" s="1">
        <v>24.1500322</v>
      </c>
    </row>
    <row r="1062">
      <c r="A1062" s="1" t="s">
        <v>13</v>
      </c>
      <c r="B1062" s="1" t="s">
        <v>23</v>
      </c>
      <c r="C1062" s="1" t="s">
        <v>889</v>
      </c>
      <c r="D1062" s="1">
        <v>1.0</v>
      </c>
      <c r="E1062" s="1">
        <v>30.0</v>
      </c>
      <c r="F1062" s="1">
        <v>4.0</v>
      </c>
      <c r="G1062" s="1">
        <v>5.0</v>
      </c>
      <c r="H1062" s="1" t="s">
        <v>66</v>
      </c>
      <c r="I1062" s="1" t="s">
        <v>37</v>
      </c>
      <c r="J1062" s="1" t="s">
        <v>18</v>
      </c>
      <c r="K1062" s="1">
        <v>30.0</v>
      </c>
      <c r="L1062" s="1">
        <v>56.948925</v>
      </c>
      <c r="M1062" s="1">
        <v>24.1500222</v>
      </c>
    </row>
    <row r="1063">
      <c r="A1063" s="1" t="s">
        <v>22</v>
      </c>
      <c r="B1063" s="1" t="s">
        <v>23</v>
      </c>
      <c r="C1063" s="1" t="s">
        <v>890</v>
      </c>
      <c r="D1063" s="1">
        <v>4.0</v>
      </c>
      <c r="E1063" s="1">
        <v>127.0</v>
      </c>
      <c r="F1063" s="1">
        <v>2.0</v>
      </c>
      <c r="G1063" s="1">
        <v>5.0</v>
      </c>
      <c r="H1063" s="1" t="s">
        <v>66</v>
      </c>
      <c r="I1063" s="1" t="s">
        <v>33</v>
      </c>
      <c r="J1063" s="1" t="s">
        <v>18</v>
      </c>
      <c r="K1063" s="1">
        <v>400000.0</v>
      </c>
      <c r="L1063" s="1">
        <v>56.9586159</v>
      </c>
      <c r="M1063" s="1">
        <v>24.1066665512393</v>
      </c>
    </row>
    <row r="1064">
      <c r="A1064" s="1" t="s">
        <v>13</v>
      </c>
      <c r="B1064" s="1" t="s">
        <v>23</v>
      </c>
      <c r="C1064" s="1" t="s">
        <v>891</v>
      </c>
      <c r="D1064" s="1">
        <v>3.0</v>
      </c>
      <c r="E1064" s="1">
        <v>78.0</v>
      </c>
      <c r="F1064" s="1">
        <v>6.0</v>
      </c>
      <c r="G1064" s="1">
        <v>6.0</v>
      </c>
      <c r="H1064" s="1" t="s">
        <v>36</v>
      </c>
      <c r="I1064" s="1" t="s">
        <v>37</v>
      </c>
      <c r="J1064" s="1" t="s">
        <v>18</v>
      </c>
      <c r="K1064" s="1">
        <v>560.0</v>
      </c>
      <c r="L1064" s="1">
        <v>56.9651396</v>
      </c>
      <c r="M1064" s="1">
        <v>24.1250890722437</v>
      </c>
    </row>
    <row r="1065">
      <c r="A1065" s="1" t="s">
        <v>22</v>
      </c>
      <c r="B1065" s="1" t="s">
        <v>96</v>
      </c>
      <c r="C1065" s="1" t="s">
        <v>892</v>
      </c>
      <c r="D1065" s="1">
        <v>2.0</v>
      </c>
      <c r="E1065" s="1">
        <v>50.0</v>
      </c>
      <c r="F1065" s="1">
        <v>2.0</v>
      </c>
      <c r="G1065" s="1">
        <v>9.0</v>
      </c>
      <c r="H1065" s="1">
        <v>602.0</v>
      </c>
      <c r="I1065" s="1" t="s">
        <v>21</v>
      </c>
      <c r="J1065" s="1" t="s">
        <v>18</v>
      </c>
      <c r="K1065" s="1">
        <v>51000.0</v>
      </c>
      <c r="L1065" s="1">
        <v>57.0381193</v>
      </c>
      <c r="M1065" s="1">
        <v>24.0976149363578</v>
      </c>
    </row>
    <row r="1066">
      <c r="A1066" s="1" t="s">
        <v>13</v>
      </c>
      <c r="B1066" s="1" t="s">
        <v>14</v>
      </c>
      <c r="C1066" s="1" t="s">
        <v>893</v>
      </c>
      <c r="D1066" s="1">
        <v>1.0</v>
      </c>
      <c r="E1066" s="1">
        <v>30.0</v>
      </c>
      <c r="F1066" s="1">
        <v>2.0</v>
      </c>
      <c r="G1066" s="1">
        <v>2.0</v>
      </c>
      <c r="H1066" s="1" t="s">
        <v>171</v>
      </c>
      <c r="I1066" s="1" t="s">
        <v>26</v>
      </c>
      <c r="J1066" s="1" t="s">
        <v>18</v>
      </c>
      <c r="K1066" s="1">
        <v>180.0</v>
      </c>
      <c r="L1066" s="1">
        <v>56.953682</v>
      </c>
      <c r="M1066" s="1">
        <v>24.1521483</v>
      </c>
    </row>
    <row r="1067">
      <c r="A1067" s="1" t="s">
        <v>22</v>
      </c>
      <c r="B1067" s="1" t="s">
        <v>23</v>
      </c>
      <c r="C1067" s="1" t="s">
        <v>894</v>
      </c>
      <c r="D1067" s="1">
        <v>2.0</v>
      </c>
      <c r="E1067" s="1">
        <v>52.4</v>
      </c>
      <c r="F1067" s="1">
        <v>1.0</v>
      </c>
      <c r="G1067" s="1">
        <v>5.0</v>
      </c>
      <c r="H1067" s="1" t="s">
        <v>66</v>
      </c>
      <c r="I1067" s="1" t="s">
        <v>33</v>
      </c>
      <c r="J1067" s="1" t="s">
        <v>18</v>
      </c>
      <c r="K1067" s="1">
        <v>86460.0</v>
      </c>
      <c r="L1067" s="1">
        <v>56.9629058</v>
      </c>
      <c r="M1067" s="1">
        <v>24.1284176030358</v>
      </c>
    </row>
    <row r="1068">
      <c r="A1068" s="1" t="s">
        <v>13</v>
      </c>
      <c r="B1068" s="1" t="s">
        <v>23</v>
      </c>
      <c r="C1068" s="1" t="s">
        <v>781</v>
      </c>
      <c r="D1068" s="1">
        <v>3.0</v>
      </c>
      <c r="E1068" s="1">
        <v>111.3</v>
      </c>
      <c r="F1068" s="1">
        <v>2.0</v>
      </c>
      <c r="G1068" s="1">
        <v>5.0</v>
      </c>
      <c r="H1068" s="1" t="s">
        <v>32</v>
      </c>
      <c r="I1068" s="1" t="s">
        <v>17</v>
      </c>
      <c r="J1068" s="1" t="s">
        <v>18</v>
      </c>
      <c r="K1068" s="1">
        <v>1000.0</v>
      </c>
      <c r="L1068" s="1">
        <v>56.9663651</v>
      </c>
      <c r="M1068" s="1">
        <v>24.1051126038627</v>
      </c>
    </row>
    <row r="1069">
      <c r="A1069" s="1" t="s">
        <v>22</v>
      </c>
      <c r="B1069" s="1" t="s">
        <v>174</v>
      </c>
      <c r="C1069" s="1" t="s">
        <v>895</v>
      </c>
      <c r="D1069" s="1">
        <v>2.0</v>
      </c>
      <c r="E1069" s="1">
        <v>45.0</v>
      </c>
      <c r="F1069" s="1">
        <v>2.0</v>
      </c>
      <c r="G1069" s="1">
        <v>2.0</v>
      </c>
      <c r="H1069" s="1" t="s">
        <v>181</v>
      </c>
      <c r="I1069" s="1" t="s">
        <v>37</v>
      </c>
      <c r="J1069" s="1" t="s">
        <v>18</v>
      </c>
      <c r="K1069" s="1">
        <v>39500.0</v>
      </c>
      <c r="L1069" s="1">
        <v>56.9465912</v>
      </c>
      <c r="M1069" s="1">
        <v>24.17507065</v>
      </c>
    </row>
    <row r="1070">
      <c r="A1070" s="1" t="s">
        <v>22</v>
      </c>
      <c r="B1070" s="1" t="s">
        <v>23</v>
      </c>
      <c r="C1070" s="1" t="s">
        <v>262</v>
      </c>
      <c r="D1070" s="1">
        <v>3.0</v>
      </c>
      <c r="E1070" s="1">
        <v>66.0</v>
      </c>
      <c r="F1070" s="1">
        <v>3.0</v>
      </c>
      <c r="G1070" s="1">
        <v>6.0</v>
      </c>
      <c r="H1070" s="1" t="s">
        <v>66</v>
      </c>
      <c r="I1070" s="1" t="s">
        <v>33</v>
      </c>
      <c r="J1070" s="1" t="s">
        <v>18</v>
      </c>
      <c r="K1070" s="1">
        <v>178200.0</v>
      </c>
      <c r="L1070" s="1">
        <v>56.9548306</v>
      </c>
      <c r="M1070" s="1">
        <v>24.1221141</v>
      </c>
    </row>
    <row r="1071">
      <c r="A1071" s="1" t="s">
        <v>13</v>
      </c>
      <c r="B1071" s="1" t="s">
        <v>23</v>
      </c>
      <c r="C1071" s="1" t="s">
        <v>896</v>
      </c>
      <c r="D1071" s="1">
        <v>3.0</v>
      </c>
      <c r="E1071" s="1">
        <v>73.0</v>
      </c>
      <c r="F1071" s="1">
        <v>5.0</v>
      </c>
      <c r="G1071" s="1">
        <v>6.0</v>
      </c>
      <c r="H1071" s="1" t="s">
        <v>66</v>
      </c>
      <c r="I1071" s="1" t="s">
        <v>33</v>
      </c>
      <c r="J1071" s="1" t="s">
        <v>18</v>
      </c>
      <c r="K1071" s="1">
        <v>890.0</v>
      </c>
      <c r="L1071" s="1">
        <v>56.9521532</v>
      </c>
      <c r="M1071" s="1">
        <v>24.1228046</v>
      </c>
    </row>
    <row r="1072">
      <c r="A1072" s="1" t="s">
        <v>13</v>
      </c>
      <c r="B1072" s="1" t="s">
        <v>218</v>
      </c>
      <c r="C1072" s="1" t="s">
        <v>897</v>
      </c>
      <c r="D1072" s="1">
        <v>3.0</v>
      </c>
      <c r="E1072" s="1">
        <v>74.0</v>
      </c>
      <c r="F1072" s="1">
        <v>3.0</v>
      </c>
      <c r="G1072" s="1">
        <v>5.0</v>
      </c>
      <c r="H1072" s="1" t="s">
        <v>25</v>
      </c>
      <c r="I1072" s="1" t="s">
        <v>33</v>
      </c>
      <c r="J1072" s="1" t="s">
        <v>18</v>
      </c>
      <c r="K1072" s="1">
        <v>700.0</v>
      </c>
      <c r="L1072" s="1">
        <v>56.9504522</v>
      </c>
      <c r="M1072" s="1">
        <v>24.1089579</v>
      </c>
    </row>
    <row r="1073">
      <c r="A1073" s="1" t="s">
        <v>13</v>
      </c>
      <c r="B1073" s="1" t="s">
        <v>38</v>
      </c>
      <c r="C1073" s="1" t="s">
        <v>898</v>
      </c>
      <c r="D1073" s="1">
        <v>1.0</v>
      </c>
      <c r="E1073" s="1">
        <v>39.0</v>
      </c>
      <c r="F1073" s="1">
        <v>3.0</v>
      </c>
      <c r="G1073" s="1">
        <v>5.0</v>
      </c>
      <c r="H1073" s="1" t="s">
        <v>16</v>
      </c>
      <c r="I1073" s="1" t="s">
        <v>21</v>
      </c>
      <c r="J1073" s="1" t="s">
        <v>18</v>
      </c>
      <c r="K1073" s="1">
        <v>300.0</v>
      </c>
      <c r="L1073" s="1" t="s">
        <v>40</v>
      </c>
      <c r="M1073" s="1" t="s">
        <v>40</v>
      </c>
    </row>
    <row r="1074">
      <c r="A1074" s="1" t="s">
        <v>13</v>
      </c>
      <c r="B1074" s="1" t="s">
        <v>151</v>
      </c>
      <c r="C1074" s="1" t="s">
        <v>899</v>
      </c>
      <c r="D1074" s="1">
        <v>1.0</v>
      </c>
      <c r="E1074" s="1">
        <v>49.0</v>
      </c>
      <c r="F1074" s="1">
        <v>12.0</v>
      </c>
      <c r="G1074" s="1">
        <v>14.0</v>
      </c>
      <c r="H1074" s="1" t="s">
        <v>36</v>
      </c>
      <c r="I1074" s="1" t="s">
        <v>122</v>
      </c>
      <c r="J1074" s="1" t="s">
        <v>18</v>
      </c>
      <c r="K1074" s="1">
        <v>300.0</v>
      </c>
      <c r="L1074" s="1">
        <v>56.9724222</v>
      </c>
      <c r="M1074" s="1">
        <v>24.0568750500824</v>
      </c>
    </row>
    <row r="1075">
      <c r="A1075" s="1" t="s">
        <v>22</v>
      </c>
      <c r="B1075" s="1" t="s">
        <v>23</v>
      </c>
      <c r="C1075" s="1" t="s">
        <v>243</v>
      </c>
      <c r="D1075" s="1">
        <v>1.0</v>
      </c>
      <c r="E1075" s="1">
        <v>26.0</v>
      </c>
      <c r="F1075" s="1">
        <v>5.0</v>
      </c>
      <c r="G1075" s="1">
        <v>6.0</v>
      </c>
      <c r="H1075" s="1" t="s">
        <v>25</v>
      </c>
      <c r="I1075" s="1" t="s">
        <v>37</v>
      </c>
      <c r="J1075" s="1" t="s">
        <v>18</v>
      </c>
      <c r="K1075" s="1">
        <v>45000.0</v>
      </c>
      <c r="L1075" s="1">
        <v>56.9620223999999</v>
      </c>
      <c r="M1075" s="1">
        <v>24.1521939477261</v>
      </c>
    </row>
    <row r="1076">
      <c r="A1076" s="1" t="s">
        <v>13</v>
      </c>
      <c r="B1076" s="1" t="s">
        <v>23</v>
      </c>
      <c r="C1076" s="1" t="s">
        <v>900</v>
      </c>
      <c r="D1076" s="1">
        <v>1.0</v>
      </c>
      <c r="E1076" s="1">
        <v>25.0</v>
      </c>
      <c r="F1076" s="1">
        <v>3.0</v>
      </c>
      <c r="G1076" s="1">
        <v>5.0</v>
      </c>
      <c r="H1076" s="1" t="s">
        <v>44</v>
      </c>
      <c r="I1076" s="1" t="s">
        <v>37</v>
      </c>
      <c r="J1076" s="1" t="s">
        <v>18</v>
      </c>
      <c r="K1076" s="1">
        <v>290.0</v>
      </c>
      <c r="L1076" s="1">
        <v>56.9669526499999</v>
      </c>
      <c r="M1076" s="1">
        <v>24.128620594539</v>
      </c>
    </row>
    <row r="1077">
      <c r="A1077" s="1" t="s">
        <v>22</v>
      </c>
      <c r="B1077" s="1" t="s">
        <v>14</v>
      </c>
      <c r="C1077" s="1" t="s">
        <v>901</v>
      </c>
      <c r="D1077" s="1">
        <v>2.0</v>
      </c>
      <c r="E1077" s="1">
        <v>56.0</v>
      </c>
      <c r="F1077" s="1">
        <v>15.0</v>
      </c>
      <c r="G1077" s="1">
        <v>15.0</v>
      </c>
      <c r="H1077" s="1" t="s">
        <v>36</v>
      </c>
      <c r="I1077" s="1" t="s">
        <v>21</v>
      </c>
      <c r="J1077" s="1" t="s">
        <v>18</v>
      </c>
      <c r="K1077" s="1">
        <v>72600.0</v>
      </c>
      <c r="L1077" s="1">
        <v>56.95650225</v>
      </c>
      <c r="M1077" s="1">
        <v>24.1867783069729</v>
      </c>
    </row>
    <row r="1078">
      <c r="A1078" s="1" t="s">
        <v>22</v>
      </c>
      <c r="B1078" s="1" t="s">
        <v>28</v>
      </c>
      <c r="C1078" s="1" t="s">
        <v>902</v>
      </c>
      <c r="D1078" s="1">
        <v>1.0</v>
      </c>
      <c r="E1078" s="1">
        <v>30.0</v>
      </c>
      <c r="F1078" s="1">
        <v>2.0</v>
      </c>
      <c r="G1078" s="1">
        <v>5.0</v>
      </c>
      <c r="H1078" s="1" t="s">
        <v>44</v>
      </c>
      <c r="I1078" s="1" t="s">
        <v>37</v>
      </c>
      <c r="J1078" s="1" t="s">
        <v>18</v>
      </c>
      <c r="K1078" s="1">
        <v>30000.0</v>
      </c>
      <c r="L1078" s="1">
        <v>56.91595235</v>
      </c>
      <c r="M1078" s="1">
        <v>24.174059774919</v>
      </c>
    </row>
    <row r="1079">
      <c r="A1079" s="1" t="s">
        <v>13</v>
      </c>
      <c r="B1079" s="1" t="s">
        <v>23</v>
      </c>
      <c r="C1079" s="1" t="s">
        <v>903</v>
      </c>
      <c r="D1079" s="1">
        <v>1.0</v>
      </c>
      <c r="E1079" s="1">
        <v>19.0</v>
      </c>
      <c r="F1079" s="1">
        <v>4.0</v>
      </c>
      <c r="G1079" s="1">
        <v>6.0</v>
      </c>
      <c r="H1079" s="1" t="s">
        <v>66</v>
      </c>
      <c r="I1079" s="1" t="s">
        <v>17</v>
      </c>
      <c r="J1079" s="1" t="s">
        <v>18</v>
      </c>
      <c r="K1079" s="1">
        <v>460.0</v>
      </c>
      <c r="L1079" s="1">
        <v>56.9567777</v>
      </c>
      <c r="M1079" s="1">
        <v>24.1207762</v>
      </c>
    </row>
    <row r="1080">
      <c r="A1080" s="1" t="s">
        <v>22</v>
      </c>
      <c r="B1080" s="1" t="s">
        <v>38</v>
      </c>
      <c r="C1080" s="1" t="s">
        <v>904</v>
      </c>
      <c r="D1080" s="1">
        <v>2.0</v>
      </c>
      <c r="E1080" s="1">
        <v>46.0</v>
      </c>
      <c r="F1080" s="1">
        <v>4.0</v>
      </c>
      <c r="G1080" s="1">
        <v>5.0</v>
      </c>
      <c r="H1080" s="1" t="s">
        <v>36</v>
      </c>
      <c r="I1080" s="1" t="s">
        <v>122</v>
      </c>
      <c r="J1080" s="1" t="s">
        <v>18</v>
      </c>
      <c r="K1080" s="1">
        <v>56999.0</v>
      </c>
      <c r="L1080" s="1" t="s">
        <v>40</v>
      </c>
      <c r="M1080" s="1" t="s">
        <v>40</v>
      </c>
    </row>
    <row r="1081">
      <c r="A1081" s="1" t="s">
        <v>13</v>
      </c>
      <c r="B1081" s="1" t="s">
        <v>30</v>
      </c>
      <c r="C1081" s="1" t="s">
        <v>905</v>
      </c>
      <c r="D1081" s="1">
        <v>1.0</v>
      </c>
      <c r="E1081" s="1">
        <v>20.0</v>
      </c>
      <c r="F1081" s="1">
        <v>1.0</v>
      </c>
      <c r="G1081" s="1">
        <v>2.0</v>
      </c>
      <c r="H1081" s="1" t="s">
        <v>181</v>
      </c>
      <c r="I1081" s="1" t="s">
        <v>37</v>
      </c>
      <c r="J1081" s="1" t="s">
        <v>18</v>
      </c>
      <c r="K1081" s="1">
        <v>280.0</v>
      </c>
      <c r="L1081" s="1">
        <v>56.97964</v>
      </c>
      <c r="M1081" s="1">
        <v>24.2112916</v>
      </c>
    </row>
    <row r="1082">
      <c r="A1082" s="1" t="s">
        <v>22</v>
      </c>
      <c r="B1082" s="1" t="s">
        <v>23</v>
      </c>
      <c r="C1082" s="1" t="s">
        <v>906</v>
      </c>
      <c r="D1082" s="1">
        <v>4.0</v>
      </c>
      <c r="E1082" s="1">
        <v>139.0</v>
      </c>
      <c r="F1082" s="1">
        <v>6.0</v>
      </c>
      <c r="G1082" s="1">
        <v>7.0</v>
      </c>
      <c r="H1082" s="1" t="s">
        <v>66</v>
      </c>
      <c r="I1082" s="1" t="s">
        <v>33</v>
      </c>
      <c r="J1082" s="1" t="s">
        <v>18</v>
      </c>
      <c r="K1082" s="1">
        <v>144000.0</v>
      </c>
      <c r="L1082" s="1">
        <v>56.9591645</v>
      </c>
      <c r="M1082" s="1">
        <v>24.1274612</v>
      </c>
    </row>
    <row r="1083">
      <c r="A1083" s="1" t="s">
        <v>22</v>
      </c>
      <c r="B1083" s="1" t="s">
        <v>218</v>
      </c>
      <c r="C1083" s="1" t="s">
        <v>907</v>
      </c>
      <c r="D1083" s="1">
        <v>1.0</v>
      </c>
      <c r="E1083" s="1">
        <v>52.0</v>
      </c>
      <c r="F1083" s="1">
        <v>5.0</v>
      </c>
      <c r="G1083" s="1">
        <v>5.0</v>
      </c>
      <c r="H1083" s="1" t="s">
        <v>25</v>
      </c>
      <c r="I1083" s="1" t="s">
        <v>33</v>
      </c>
      <c r="J1083" s="1" t="s">
        <v>18</v>
      </c>
      <c r="K1083" s="1">
        <v>115000.0</v>
      </c>
      <c r="L1083" s="1">
        <v>56.952698</v>
      </c>
      <c r="M1083" s="1">
        <v>24.1051471</v>
      </c>
    </row>
    <row r="1084">
      <c r="A1084" s="1" t="s">
        <v>22</v>
      </c>
      <c r="B1084" s="1" t="s">
        <v>76</v>
      </c>
      <c r="C1084" s="1" t="s">
        <v>908</v>
      </c>
      <c r="D1084" s="1">
        <v>2.0</v>
      </c>
      <c r="E1084" s="1">
        <v>59.0</v>
      </c>
      <c r="F1084" s="1">
        <v>4.0</v>
      </c>
      <c r="G1084" s="1">
        <v>5.0</v>
      </c>
      <c r="H1084" s="1" t="s">
        <v>32</v>
      </c>
      <c r="I1084" s="1" t="s">
        <v>122</v>
      </c>
      <c r="J1084" s="1" t="s">
        <v>18</v>
      </c>
      <c r="K1084" s="1">
        <v>105850.0</v>
      </c>
      <c r="L1084" s="1">
        <v>56.9555587</v>
      </c>
      <c r="M1084" s="1">
        <v>24.0506800260781</v>
      </c>
    </row>
    <row r="1085">
      <c r="A1085" s="1" t="s">
        <v>13</v>
      </c>
      <c r="B1085" s="1" t="s">
        <v>23</v>
      </c>
      <c r="C1085" s="1" t="s">
        <v>199</v>
      </c>
      <c r="D1085" s="1">
        <v>3.0</v>
      </c>
      <c r="E1085" s="1">
        <v>70.0</v>
      </c>
      <c r="F1085" s="1">
        <v>5.0</v>
      </c>
      <c r="G1085" s="1">
        <v>5.0</v>
      </c>
      <c r="H1085" s="1" t="s">
        <v>25</v>
      </c>
      <c r="I1085" s="1" t="s">
        <v>33</v>
      </c>
      <c r="J1085" s="1" t="s">
        <v>18</v>
      </c>
      <c r="K1085" s="1">
        <v>470.0</v>
      </c>
      <c r="L1085" s="1">
        <v>56.9611541</v>
      </c>
      <c r="M1085" s="1">
        <v>24.1376555</v>
      </c>
    </row>
    <row r="1086">
      <c r="A1086" s="1" t="s">
        <v>22</v>
      </c>
      <c r="B1086" s="1" t="s">
        <v>19</v>
      </c>
      <c r="C1086" s="1" t="s">
        <v>909</v>
      </c>
      <c r="D1086" s="1">
        <v>6.0</v>
      </c>
      <c r="E1086" s="1">
        <v>142.4</v>
      </c>
      <c r="F1086" s="1">
        <v>2.0</v>
      </c>
      <c r="G1086" s="1">
        <v>10.0</v>
      </c>
      <c r="H1086" s="1">
        <v>119.0</v>
      </c>
      <c r="I1086" s="1" t="s">
        <v>21</v>
      </c>
      <c r="J1086" s="1" t="s">
        <v>18</v>
      </c>
      <c r="K1086" s="1">
        <v>115000.0</v>
      </c>
      <c r="L1086" s="1">
        <v>56.8993612</v>
      </c>
      <c r="M1086" s="1">
        <v>24.09128585</v>
      </c>
    </row>
    <row r="1087">
      <c r="A1087" s="1" t="s">
        <v>13</v>
      </c>
      <c r="B1087" s="1" t="s">
        <v>48</v>
      </c>
      <c r="C1087" s="1" t="s">
        <v>910</v>
      </c>
      <c r="D1087" s="1">
        <v>2.0</v>
      </c>
      <c r="E1087" s="1">
        <v>63.0</v>
      </c>
      <c r="F1087" s="1">
        <v>3.0</v>
      </c>
      <c r="G1087" s="1">
        <v>5.0</v>
      </c>
      <c r="H1087" s="1" t="s">
        <v>32</v>
      </c>
      <c r="I1087" s="1" t="s">
        <v>21</v>
      </c>
      <c r="J1087" s="1" t="s">
        <v>18</v>
      </c>
      <c r="K1087" s="1">
        <v>430.0</v>
      </c>
      <c r="L1087" s="1">
        <v>56.9541725</v>
      </c>
      <c r="M1087" s="1">
        <v>24.2443253</v>
      </c>
    </row>
    <row r="1088">
      <c r="A1088" s="1" t="s">
        <v>13</v>
      </c>
      <c r="B1088" s="1" t="s">
        <v>74</v>
      </c>
      <c r="C1088" s="1" t="s">
        <v>911</v>
      </c>
      <c r="D1088" s="1">
        <v>1.0</v>
      </c>
      <c r="E1088" s="1">
        <v>45.0</v>
      </c>
      <c r="F1088" s="1">
        <v>6.0</v>
      </c>
      <c r="G1088" s="1">
        <v>9.0</v>
      </c>
      <c r="H1088" s="1" t="s">
        <v>57</v>
      </c>
      <c r="I1088" s="1" t="s">
        <v>21</v>
      </c>
      <c r="J1088" s="1" t="s">
        <v>18</v>
      </c>
      <c r="K1088" s="1">
        <v>220.0</v>
      </c>
      <c r="L1088" s="1">
        <v>56.93391825</v>
      </c>
      <c r="M1088" s="1">
        <v>24.1961130586527</v>
      </c>
    </row>
    <row r="1089">
      <c r="A1089" s="1" t="s">
        <v>22</v>
      </c>
      <c r="B1089" s="1" t="s">
        <v>19</v>
      </c>
      <c r="C1089" s="1" t="s">
        <v>912</v>
      </c>
      <c r="D1089" s="1">
        <v>3.0</v>
      </c>
      <c r="E1089" s="1">
        <v>79.0</v>
      </c>
      <c r="F1089" s="1">
        <v>1.0</v>
      </c>
      <c r="G1089" s="1">
        <v>6.0</v>
      </c>
      <c r="H1089" s="1" t="s">
        <v>32</v>
      </c>
      <c r="I1089" s="1" t="s">
        <v>21</v>
      </c>
      <c r="J1089" s="1" t="s">
        <v>18</v>
      </c>
      <c r="K1089" s="1">
        <v>119000.0</v>
      </c>
      <c r="L1089" s="1">
        <v>56.912242</v>
      </c>
      <c r="M1089" s="1">
        <v>24.1087866</v>
      </c>
    </row>
    <row r="1090">
      <c r="A1090" s="1" t="s">
        <v>13</v>
      </c>
      <c r="B1090" s="1" t="s">
        <v>48</v>
      </c>
      <c r="C1090" s="1" t="s">
        <v>913</v>
      </c>
      <c r="D1090" s="1">
        <v>2.0</v>
      </c>
      <c r="E1090" s="1">
        <v>54.0</v>
      </c>
      <c r="F1090" s="1">
        <v>3.0</v>
      </c>
      <c r="G1090" s="1">
        <v>4.0</v>
      </c>
      <c r="H1090" s="1" t="s">
        <v>32</v>
      </c>
      <c r="I1090" s="1" t="s">
        <v>21</v>
      </c>
      <c r="J1090" s="1" t="s">
        <v>18</v>
      </c>
      <c r="K1090" s="1">
        <v>450.0</v>
      </c>
      <c r="L1090" s="1">
        <v>56.9712661</v>
      </c>
      <c r="M1090" s="1">
        <v>24.1724707</v>
      </c>
    </row>
    <row r="1091">
      <c r="A1091" s="1" t="s">
        <v>22</v>
      </c>
      <c r="B1091" s="1" t="s">
        <v>14</v>
      </c>
      <c r="C1091" s="1" t="s">
        <v>914</v>
      </c>
      <c r="D1091" s="1">
        <v>2.0</v>
      </c>
      <c r="E1091" s="1">
        <v>51.0</v>
      </c>
      <c r="F1091" s="1">
        <v>3.0</v>
      </c>
      <c r="G1091" s="1">
        <v>5.0</v>
      </c>
      <c r="H1091" s="1" t="s">
        <v>16</v>
      </c>
      <c r="I1091" s="1" t="s">
        <v>21</v>
      </c>
      <c r="J1091" s="1" t="s">
        <v>18</v>
      </c>
      <c r="K1091" s="1">
        <v>58000.0</v>
      </c>
      <c r="L1091" s="1">
        <v>56.9527936</v>
      </c>
      <c r="M1091" s="1">
        <v>24.2063812</v>
      </c>
    </row>
    <row r="1092">
      <c r="A1092" s="1" t="s">
        <v>22</v>
      </c>
      <c r="B1092" s="1" t="s">
        <v>14</v>
      </c>
      <c r="C1092" s="1" t="s">
        <v>915</v>
      </c>
      <c r="D1092" s="1">
        <v>4.0</v>
      </c>
      <c r="E1092" s="1">
        <v>91.0</v>
      </c>
      <c r="F1092" s="1">
        <v>3.0</v>
      </c>
      <c r="G1092" s="1">
        <v>9.0</v>
      </c>
      <c r="H1092" s="1">
        <v>119.0</v>
      </c>
      <c r="I1092" s="1" t="s">
        <v>21</v>
      </c>
      <c r="J1092" s="1" t="s">
        <v>18</v>
      </c>
      <c r="K1092" s="1">
        <v>91000.0</v>
      </c>
      <c r="L1092" s="1">
        <v>56.9509836</v>
      </c>
      <c r="M1092" s="1">
        <v>24.1816357245661</v>
      </c>
    </row>
    <row r="1093">
      <c r="A1093" s="1" t="s">
        <v>13</v>
      </c>
      <c r="B1093" s="1" t="s">
        <v>23</v>
      </c>
      <c r="C1093" s="1" t="s">
        <v>916</v>
      </c>
      <c r="D1093" s="1">
        <v>6.0</v>
      </c>
      <c r="E1093" s="1">
        <v>160.0</v>
      </c>
      <c r="F1093" s="1">
        <v>5.0</v>
      </c>
      <c r="G1093" s="1">
        <v>6.0</v>
      </c>
      <c r="H1093" s="1" t="s">
        <v>32</v>
      </c>
      <c r="I1093" s="1" t="s">
        <v>17</v>
      </c>
      <c r="J1093" s="1" t="s">
        <v>18</v>
      </c>
      <c r="K1093" s="1">
        <v>1500.0</v>
      </c>
      <c r="L1093" s="1">
        <v>56.8597884</v>
      </c>
      <c r="M1093" s="1">
        <v>24.3083417</v>
      </c>
    </row>
    <row r="1094">
      <c r="A1094" s="1" t="s">
        <v>13</v>
      </c>
      <c r="B1094" s="1" t="s">
        <v>23</v>
      </c>
      <c r="C1094" s="1" t="s">
        <v>618</v>
      </c>
      <c r="D1094" s="1">
        <v>2.0</v>
      </c>
      <c r="E1094" s="1">
        <v>75.0</v>
      </c>
      <c r="F1094" s="1">
        <v>4.0</v>
      </c>
      <c r="G1094" s="1">
        <v>4.0</v>
      </c>
      <c r="H1094" s="1" t="s">
        <v>66</v>
      </c>
      <c r="I1094" s="1" t="s">
        <v>17</v>
      </c>
      <c r="J1094" s="1" t="s">
        <v>18</v>
      </c>
      <c r="K1094" s="1">
        <v>420.0</v>
      </c>
      <c r="L1094" s="1">
        <v>48.2969502</v>
      </c>
      <c r="M1094" s="1">
        <v>-100.7081938</v>
      </c>
    </row>
    <row r="1095">
      <c r="A1095" s="1" t="s">
        <v>13</v>
      </c>
      <c r="B1095" s="1" t="s">
        <v>74</v>
      </c>
      <c r="C1095" s="1" t="s">
        <v>917</v>
      </c>
      <c r="D1095" s="1">
        <v>2.0</v>
      </c>
      <c r="E1095" s="1">
        <v>52.0</v>
      </c>
      <c r="F1095" s="1">
        <v>5.0</v>
      </c>
      <c r="G1095" s="1">
        <v>9.0</v>
      </c>
      <c r="H1095" s="1">
        <v>602.0</v>
      </c>
      <c r="I1095" s="1" t="s">
        <v>21</v>
      </c>
      <c r="J1095" s="1" t="s">
        <v>18</v>
      </c>
      <c r="K1095" s="1">
        <v>300.0</v>
      </c>
      <c r="L1095" s="1">
        <v>56.93542815</v>
      </c>
      <c r="M1095" s="1">
        <v>24.1960007080426</v>
      </c>
    </row>
    <row r="1096">
      <c r="A1096" s="1" t="s">
        <v>22</v>
      </c>
      <c r="B1096" s="1" t="s">
        <v>23</v>
      </c>
      <c r="C1096" s="1" t="s">
        <v>918</v>
      </c>
      <c r="D1096" s="1">
        <v>2.0</v>
      </c>
      <c r="E1096" s="1">
        <v>43.0</v>
      </c>
      <c r="F1096" s="1">
        <v>1.0</v>
      </c>
      <c r="G1096" s="1">
        <v>6.0</v>
      </c>
      <c r="H1096" s="1" t="s">
        <v>66</v>
      </c>
      <c r="I1096" s="1" t="s">
        <v>37</v>
      </c>
      <c r="J1096" s="1" t="s">
        <v>18</v>
      </c>
      <c r="K1096" s="1">
        <v>62000.0</v>
      </c>
      <c r="L1096" s="1">
        <v>56.9665763</v>
      </c>
      <c r="M1096" s="1">
        <v>24.1337504</v>
      </c>
    </row>
    <row r="1097">
      <c r="A1097" s="1" t="s">
        <v>22</v>
      </c>
      <c r="B1097" s="1" t="s">
        <v>74</v>
      </c>
      <c r="C1097" s="1" t="s">
        <v>919</v>
      </c>
      <c r="D1097" s="1">
        <v>2.0</v>
      </c>
      <c r="E1097" s="1">
        <v>50.0</v>
      </c>
      <c r="F1097" s="1">
        <v>3.0</v>
      </c>
      <c r="G1097" s="1">
        <v>9.0</v>
      </c>
      <c r="H1097" s="1">
        <v>602.0</v>
      </c>
      <c r="I1097" s="1" t="s">
        <v>21</v>
      </c>
      <c r="J1097" s="1" t="s">
        <v>18</v>
      </c>
      <c r="K1097" s="1">
        <v>51000.0</v>
      </c>
      <c r="L1097" s="1">
        <v>56.94222435</v>
      </c>
      <c r="M1097" s="1">
        <v>24.224370755513</v>
      </c>
    </row>
    <row r="1098">
      <c r="A1098" s="1" t="s">
        <v>13</v>
      </c>
      <c r="B1098" s="1" t="s">
        <v>19</v>
      </c>
      <c r="C1098" s="1" t="s">
        <v>920</v>
      </c>
      <c r="D1098" s="1">
        <v>2.0</v>
      </c>
      <c r="E1098" s="1">
        <v>51.0</v>
      </c>
      <c r="F1098" s="1">
        <v>1.0</v>
      </c>
      <c r="G1098" s="1">
        <v>10.0</v>
      </c>
      <c r="H1098" s="1">
        <v>119.0</v>
      </c>
      <c r="I1098" s="1" t="s">
        <v>21</v>
      </c>
      <c r="J1098" s="1" t="s">
        <v>18</v>
      </c>
      <c r="K1098" s="1">
        <v>330.0</v>
      </c>
      <c r="L1098" s="1">
        <v>56.90217635</v>
      </c>
      <c r="M1098" s="1">
        <v>24.0878581485374</v>
      </c>
    </row>
    <row r="1099">
      <c r="A1099" s="1" t="s">
        <v>13</v>
      </c>
      <c r="B1099" s="1" t="s">
        <v>94</v>
      </c>
      <c r="C1099" s="1" t="s">
        <v>921</v>
      </c>
      <c r="D1099" s="1">
        <v>2.0</v>
      </c>
      <c r="E1099" s="1">
        <v>49.0</v>
      </c>
      <c r="F1099" s="1">
        <v>9.0</v>
      </c>
      <c r="G1099" s="1">
        <v>9.0</v>
      </c>
      <c r="H1099" s="1">
        <v>467.0</v>
      </c>
      <c r="I1099" s="1" t="s">
        <v>21</v>
      </c>
      <c r="J1099" s="1" t="s">
        <v>18</v>
      </c>
      <c r="K1099" s="1">
        <v>250.0</v>
      </c>
      <c r="L1099" s="1">
        <v>56.92559925</v>
      </c>
      <c r="M1099" s="1">
        <v>24.1699725366643</v>
      </c>
    </row>
    <row r="1100">
      <c r="A1100" s="1" t="s">
        <v>22</v>
      </c>
      <c r="B1100" s="1" t="s">
        <v>447</v>
      </c>
      <c r="C1100" s="1" t="s">
        <v>922</v>
      </c>
      <c r="D1100" s="1">
        <v>1.0</v>
      </c>
      <c r="E1100" s="1">
        <v>27.0</v>
      </c>
      <c r="F1100" s="1">
        <v>1.0</v>
      </c>
      <c r="G1100" s="1">
        <v>2.0</v>
      </c>
      <c r="H1100" s="1" t="s">
        <v>36</v>
      </c>
      <c r="I1100" s="1" t="s">
        <v>26</v>
      </c>
      <c r="J1100" s="1" t="s">
        <v>27</v>
      </c>
      <c r="K1100" s="1">
        <v>17000.0</v>
      </c>
      <c r="L1100" s="1">
        <v>56.91345935</v>
      </c>
      <c r="M1100" s="1">
        <v>24.0886548221875</v>
      </c>
    </row>
    <row r="1101">
      <c r="A1101" s="1" t="s">
        <v>22</v>
      </c>
      <c r="B1101" s="1" t="s">
        <v>74</v>
      </c>
      <c r="C1101" s="1" t="s">
        <v>923</v>
      </c>
      <c r="D1101" s="1">
        <v>3.0</v>
      </c>
      <c r="E1101" s="1">
        <v>65.0</v>
      </c>
      <c r="F1101" s="1">
        <v>3.0</v>
      </c>
      <c r="G1101" s="1">
        <v>9.0</v>
      </c>
      <c r="H1101" s="1">
        <v>602.0</v>
      </c>
      <c r="I1101" s="1" t="s">
        <v>21</v>
      </c>
      <c r="J1101" s="1" t="s">
        <v>18</v>
      </c>
      <c r="K1101" s="1">
        <v>54000.0</v>
      </c>
      <c r="L1101" s="1">
        <v>56.9342176</v>
      </c>
      <c r="M1101" s="1">
        <v>24.2070676596876</v>
      </c>
    </row>
    <row r="1102">
      <c r="A1102" s="1" t="s">
        <v>131</v>
      </c>
      <c r="B1102" s="1" t="s">
        <v>23</v>
      </c>
      <c r="C1102" s="2"/>
      <c r="D1102" s="1">
        <v>2.0</v>
      </c>
      <c r="E1102" s="1">
        <v>70.0</v>
      </c>
      <c r="F1102" s="1">
        <v>2.0</v>
      </c>
      <c r="G1102" s="2"/>
      <c r="H1102" s="2"/>
      <c r="I1102" s="1" t="s">
        <v>33</v>
      </c>
      <c r="J1102" s="2"/>
      <c r="K1102" s="2"/>
      <c r="L1102" s="1">
        <v>46.3144754</v>
      </c>
      <c r="M1102" s="1">
        <v>11.0480288</v>
      </c>
    </row>
    <row r="1103">
      <c r="A1103" s="1" t="s">
        <v>89</v>
      </c>
      <c r="B1103" s="1" t="s">
        <v>23</v>
      </c>
      <c r="C1103" s="2"/>
      <c r="D1103" s="1" t="s">
        <v>90</v>
      </c>
      <c r="E1103" s="2"/>
      <c r="F1103" s="1">
        <v>11.0</v>
      </c>
      <c r="G1103" s="1">
        <v>1.0</v>
      </c>
      <c r="H1103" s="2"/>
      <c r="I1103" s="2"/>
      <c r="J1103" s="2"/>
      <c r="K1103" s="2"/>
      <c r="L1103" s="1">
        <v>46.3144754</v>
      </c>
      <c r="M1103" s="1">
        <v>11.0480288</v>
      </c>
    </row>
    <row r="1104">
      <c r="A1104" s="1" t="s">
        <v>22</v>
      </c>
      <c r="B1104" s="1" t="s">
        <v>151</v>
      </c>
      <c r="C1104" s="1" t="s">
        <v>924</v>
      </c>
      <c r="D1104" s="1">
        <v>3.0</v>
      </c>
      <c r="E1104" s="1">
        <v>70.0</v>
      </c>
      <c r="F1104" s="1">
        <v>4.0</v>
      </c>
      <c r="G1104" s="1">
        <v>5.0</v>
      </c>
      <c r="H1104" s="1" t="s">
        <v>16</v>
      </c>
      <c r="I1104" s="1" t="s">
        <v>21</v>
      </c>
      <c r="J1104" s="1" t="s">
        <v>18</v>
      </c>
      <c r="K1104" s="1">
        <v>58200.0</v>
      </c>
      <c r="L1104" s="1">
        <v>56.9713644</v>
      </c>
      <c r="M1104" s="1">
        <v>24.0688642775663</v>
      </c>
    </row>
    <row r="1105">
      <c r="A1105" s="1" t="s">
        <v>22</v>
      </c>
      <c r="B1105" s="1" t="s">
        <v>23</v>
      </c>
      <c r="C1105" s="1" t="s">
        <v>925</v>
      </c>
      <c r="D1105" s="1">
        <v>2.0</v>
      </c>
      <c r="E1105" s="1">
        <v>50.0</v>
      </c>
      <c r="F1105" s="1">
        <v>3.0</v>
      </c>
      <c r="G1105" s="1">
        <v>4.0</v>
      </c>
      <c r="H1105" s="1" t="s">
        <v>25</v>
      </c>
      <c r="I1105" s="1" t="s">
        <v>33</v>
      </c>
      <c r="J1105" s="1" t="s">
        <v>18</v>
      </c>
      <c r="K1105" s="1">
        <v>48000.0</v>
      </c>
      <c r="L1105" s="1" t="s">
        <v>40</v>
      </c>
      <c r="M1105" s="1" t="s">
        <v>40</v>
      </c>
    </row>
    <row r="1106">
      <c r="A1106" s="1" t="s">
        <v>22</v>
      </c>
      <c r="B1106" s="1" t="s">
        <v>106</v>
      </c>
      <c r="C1106" s="1" t="s">
        <v>926</v>
      </c>
      <c r="D1106" s="1">
        <v>3.0</v>
      </c>
      <c r="E1106" s="1">
        <v>79.0</v>
      </c>
      <c r="F1106" s="1">
        <v>1.0</v>
      </c>
      <c r="G1106" s="1">
        <v>4.0</v>
      </c>
      <c r="H1106" s="1" t="s">
        <v>25</v>
      </c>
      <c r="I1106" s="1" t="s">
        <v>33</v>
      </c>
      <c r="J1106" s="1" t="s">
        <v>18</v>
      </c>
      <c r="K1106" s="1">
        <v>147000.0</v>
      </c>
      <c r="L1106" s="1" t="s">
        <v>40</v>
      </c>
      <c r="M1106" s="1" t="s">
        <v>40</v>
      </c>
    </row>
    <row r="1107">
      <c r="A1107" s="1" t="s">
        <v>13</v>
      </c>
      <c r="B1107" s="1" t="s">
        <v>30</v>
      </c>
      <c r="C1107" s="1" t="s">
        <v>927</v>
      </c>
      <c r="D1107" s="1">
        <v>1.0</v>
      </c>
      <c r="E1107" s="1">
        <v>27.0</v>
      </c>
      <c r="F1107" s="1">
        <v>2.0</v>
      </c>
      <c r="G1107" s="1">
        <v>5.0</v>
      </c>
      <c r="H1107" s="1" t="s">
        <v>44</v>
      </c>
      <c r="I1107" s="1" t="s">
        <v>37</v>
      </c>
      <c r="J1107" s="1" t="s">
        <v>18</v>
      </c>
      <c r="K1107" s="1">
        <v>280.0</v>
      </c>
      <c r="L1107" s="1">
        <v>56.9709132</v>
      </c>
      <c r="M1107" s="1">
        <v>24.1778261</v>
      </c>
    </row>
    <row r="1108">
      <c r="A1108" s="1" t="s">
        <v>22</v>
      </c>
      <c r="B1108" s="1" t="s">
        <v>23</v>
      </c>
      <c r="C1108" s="1" t="s">
        <v>928</v>
      </c>
      <c r="D1108" s="1">
        <v>1.0</v>
      </c>
      <c r="E1108" s="1">
        <v>30.0</v>
      </c>
      <c r="F1108" s="1">
        <v>1.0</v>
      </c>
      <c r="G1108" s="1">
        <v>5.0</v>
      </c>
      <c r="H1108" s="1" t="s">
        <v>44</v>
      </c>
      <c r="I1108" s="1" t="s">
        <v>37</v>
      </c>
      <c r="J1108" s="1" t="s">
        <v>18</v>
      </c>
      <c r="K1108" s="1">
        <v>35500.0</v>
      </c>
      <c r="L1108" s="1">
        <v>56.9665763</v>
      </c>
      <c r="M1108" s="1">
        <v>24.1337504</v>
      </c>
    </row>
    <row r="1109">
      <c r="A1109" s="1" t="s">
        <v>22</v>
      </c>
      <c r="B1109" s="1" t="s">
        <v>19</v>
      </c>
      <c r="C1109" s="1" t="s">
        <v>929</v>
      </c>
      <c r="D1109" s="1">
        <v>2.0</v>
      </c>
      <c r="E1109" s="1">
        <v>86.0</v>
      </c>
      <c r="F1109" s="1">
        <v>5.0</v>
      </c>
      <c r="G1109" s="1">
        <v>5.0</v>
      </c>
      <c r="H1109" s="1" t="s">
        <v>32</v>
      </c>
      <c r="I1109" s="1" t="s">
        <v>21</v>
      </c>
      <c r="J1109" s="1" t="s">
        <v>18</v>
      </c>
      <c r="K1109" s="1">
        <v>125000.0</v>
      </c>
      <c r="L1109" s="1">
        <v>56.9012048</v>
      </c>
      <c r="M1109" s="1">
        <v>24.0807190319399</v>
      </c>
    </row>
    <row r="1110">
      <c r="A1110" s="1" t="s">
        <v>22</v>
      </c>
      <c r="B1110" s="1" t="s">
        <v>23</v>
      </c>
      <c r="C1110" s="1" t="s">
        <v>375</v>
      </c>
      <c r="D1110" s="1">
        <v>3.0</v>
      </c>
      <c r="E1110" s="1">
        <v>68.0</v>
      </c>
      <c r="F1110" s="1">
        <v>5.0</v>
      </c>
      <c r="G1110" s="1">
        <v>5.0</v>
      </c>
      <c r="H1110" s="1" t="s">
        <v>66</v>
      </c>
      <c r="I1110" s="1" t="s">
        <v>33</v>
      </c>
      <c r="J1110" s="1" t="s">
        <v>18</v>
      </c>
      <c r="K1110" s="1">
        <v>260000.0</v>
      </c>
      <c r="L1110" s="1">
        <v>56.9496478</v>
      </c>
      <c r="M1110" s="1">
        <v>24.1208218</v>
      </c>
    </row>
    <row r="1111">
      <c r="A1111" s="1" t="s">
        <v>22</v>
      </c>
      <c r="B1111" s="1" t="s">
        <v>109</v>
      </c>
      <c r="C1111" s="1" t="s">
        <v>930</v>
      </c>
      <c r="D1111" s="1">
        <v>3.0</v>
      </c>
      <c r="E1111" s="1">
        <v>72.0</v>
      </c>
      <c r="F1111" s="1">
        <v>5.0</v>
      </c>
      <c r="G1111" s="1">
        <v>12.0</v>
      </c>
      <c r="H1111" s="1" t="s">
        <v>36</v>
      </c>
      <c r="I1111" s="1" t="s">
        <v>37</v>
      </c>
      <c r="J1111" s="1" t="s">
        <v>18</v>
      </c>
      <c r="K1111" s="1">
        <v>116000.0</v>
      </c>
      <c r="L1111" s="1">
        <v>56.9950137</v>
      </c>
      <c r="M1111" s="1">
        <v>24.1694642419121</v>
      </c>
    </row>
    <row r="1112">
      <c r="A1112" s="1" t="s">
        <v>13</v>
      </c>
      <c r="B1112" s="1" t="s">
        <v>23</v>
      </c>
      <c r="C1112" s="1" t="s">
        <v>718</v>
      </c>
      <c r="D1112" s="1">
        <v>2.0</v>
      </c>
      <c r="E1112" s="1">
        <v>33.0</v>
      </c>
      <c r="F1112" s="1">
        <v>5.0</v>
      </c>
      <c r="G1112" s="1">
        <v>5.0</v>
      </c>
      <c r="H1112" s="1" t="s">
        <v>25</v>
      </c>
      <c r="I1112" s="1" t="s">
        <v>33</v>
      </c>
      <c r="J1112" s="1" t="s">
        <v>18</v>
      </c>
      <c r="K1112" s="1">
        <v>525.0</v>
      </c>
      <c r="L1112" s="1">
        <v>56.9592539</v>
      </c>
      <c r="M1112" s="1">
        <v>24.100972</v>
      </c>
    </row>
    <row r="1113">
      <c r="A1113" s="1" t="s">
        <v>13</v>
      </c>
      <c r="B1113" s="1" t="s">
        <v>76</v>
      </c>
      <c r="C1113" s="1" t="s">
        <v>931</v>
      </c>
      <c r="D1113" s="1">
        <v>2.0</v>
      </c>
      <c r="E1113" s="1">
        <v>118.0</v>
      </c>
      <c r="F1113" s="1">
        <v>5.0</v>
      </c>
      <c r="G1113" s="1">
        <v>5.0</v>
      </c>
      <c r="H1113" s="1" t="s">
        <v>36</v>
      </c>
      <c r="I1113" s="1" t="s">
        <v>17</v>
      </c>
      <c r="J1113" s="1" t="s">
        <v>18</v>
      </c>
      <c r="K1113" s="1">
        <v>820.0</v>
      </c>
      <c r="L1113" s="1">
        <v>56.95518535</v>
      </c>
      <c r="M1113" s="1">
        <v>24.0724323050318</v>
      </c>
    </row>
    <row r="1114">
      <c r="A1114" s="1" t="s">
        <v>22</v>
      </c>
      <c r="B1114" s="1" t="s">
        <v>19</v>
      </c>
      <c r="C1114" s="1" t="s">
        <v>932</v>
      </c>
      <c r="D1114" s="1">
        <v>3.0</v>
      </c>
      <c r="E1114" s="1">
        <v>77.0</v>
      </c>
      <c r="F1114" s="1">
        <v>1.0</v>
      </c>
      <c r="G1114" s="1">
        <v>10.0</v>
      </c>
      <c r="H1114" s="1">
        <v>119.0</v>
      </c>
      <c r="I1114" s="1" t="s">
        <v>21</v>
      </c>
      <c r="J1114" s="1" t="s">
        <v>18</v>
      </c>
      <c r="K1114" s="1">
        <v>72700.0</v>
      </c>
      <c r="L1114" s="1">
        <v>56.9019142</v>
      </c>
      <c r="M1114" s="1">
        <v>24.0888405495968</v>
      </c>
    </row>
    <row r="1115">
      <c r="A1115" s="1" t="s">
        <v>22</v>
      </c>
      <c r="B1115" s="1" t="s">
        <v>76</v>
      </c>
      <c r="C1115" s="1" t="s">
        <v>933</v>
      </c>
      <c r="D1115" s="1">
        <v>3.0</v>
      </c>
      <c r="E1115" s="1">
        <v>82.0</v>
      </c>
      <c r="F1115" s="1">
        <v>1.0</v>
      </c>
      <c r="G1115" s="1">
        <v>2.0</v>
      </c>
      <c r="H1115" s="1" t="s">
        <v>171</v>
      </c>
      <c r="I1115" s="1" t="s">
        <v>26</v>
      </c>
      <c r="J1115" s="1" t="s">
        <v>27</v>
      </c>
      <c r="K1115" s="1">
        <v>31000.0</v>
      </c>
      <c r="L1115" s="1">
        <v>56.9641714499999</v>
      </c>
      <c r="M1115" s="1">
        <v>24.0692936</v>
      </c>
    </row>
    <row r="1116">
      <c r="A1116" s="1" t="s">
        <v>22</v>
      </c>
      <c r="B1116" s="1" t="s">
        <v>23</v>
      </c>
      <c r="C1116" s="1" t="s">
        <v>934</v>
      </c>
      <c r="D1116" s="1">
        <v>3.0</v>
      </c>
      <c r="E1116" s="1">
        <v>87.0</v>
      </c>
      <c r="F1116" s="1">
        <v>4.0</v>
      </c>
      <c r="G1116" s="1">
        <v>6.0</v>
      </c>
      <c r="H1116" s="1" t="s">
        <v>25</v>
      </c>
      <c r="I1116" s="1" t="s">
        <v>33</v>
      </c>
      <c r="J1116" s="1" t="s">
        <v>18</v>
      </c>
      <c r="K1116" s="1">
        <v>135000.0</v>
      </c>
      <c r="L1116" s="1">
        <v>56.96408475</v>
      </c>
      <c r="M1116" s="1">
        <v>24.1380633301973</v>
      </c>
    </row>
    <row r="1117">
      <c r="A1117" s="1" t="s">
        <v>22</v>
      </c>
      <c r="B1117" s="1" t="s">
        <v>50</v>
      </c>
      <c r="C1117" s="1" t="s">
        <v>935</v>
      </c>
      <c r="D1117" s="1">
        <v>1.0</v>
      </c>
      <c r="E1117" s="1">
        <v>31.0</v>
      </c>
      <c r="F1117" s="1">
        <v>2.0</v>
      </c>
      <c r="G1117" s="1">
        <v>3.0</v>
      </c>
      <c r="H1117" s="1" t="s">
        <v>25</v>
      </c>
      <c r="I1117" s="1" t="s">
        <v>37</v>
      </c>
      <c r="J1117" s="1" t="s">
        <v>18</v>
      </c>
      <c r="K1117" s="1">
        <v>24750.0</v>
      </c>
      <c r="L1117" s="1">
        <v>56.9444497</v>
      </c>
      <c r="M1117" s="1">
        <v>24.141638</v>
      </c>
    </row>
    <row r="1118">
      <c r="A1118" s="1" t="s">
        <v>22</v>
      </c>
      <c r="B1118" s="1" t="s">
        <v>14</v>
      </c>
      <c r="C1118" s="1" t="s">
        <v>772</v>
      </c>
      <c r="D1118" s="1">
        <v>2.0</v>
      </c>
      <c r="E1118" s="1">
        <v>38.0</v>
      </c>
      <c r="F1118" s="1">
        <v>2.0</v>
      </c>
      <c r="G1118" s="1">
        <v>5.0</v>
      </c>
      <c r="H1118" s="1" t="s">
        <v>36</v>
      </c>
      <c r="I1118" s="1" t="s">
        <v>17</v>
      </c>
      <c r="J1118" s="1" t="s">
        <v>18</v>
      </c>
      <c r="K1118" s="1">
        <v>27300.0</v>
      </c>
      <c r="L1118" s="1">
        <v>56.9561795</v>
      </c>
      <c r="M1118" s="1">
        <v>24.1835724</v>
      </c>
    </row>
    <row r="1119">
      <c r="A1119" s="1" t="s">
        <v>22</v>
      </c>
      <c r="B1119" s="1" t="s">
        <v>23</v>
      </c>
      <c r="C1119" s="1" t="s">
        <v>262</v>
      </c>
      <c r="D1119" s="1">
        <v>1.0</v>
      </c>
      <c r="E1119" s="1">
        <v>35.0</v>
      </c>
      <c r="F1119" s="1">
        <v>2.0</v>
      </c>
      <c r="G1119" s="1">
        <v>7.0</v>
      </c>
      <c r="H1119" s="1" t="s">
        <v>66</v>
      </c>
      <c r="I1119" s="1" t="s">
        <v>33</v>
      </c>
      <c r="J1119" s="1" t="s">
        <v>18</v>
      </c>
      <c r="K1119" s="1">
        <v>79580.0</v>
      </c>
      <c r="L1119" s="1">
        <v>56.9548306</v>
      </c>
      <c r="M1119" s="1">
        <v>24.1221141</v>
      </c>
    </row>
    <row r="1120">
      <c r="A1120" s="1" t="s">
        <v>22</v>
      </c>
      <c r="B1120" s="1" t="s">
        <v>104</v>
      </c>
      <c r="C1120" s="1" t="s">
        <v>936</v>
      </c>
      <c r="D1120" s="1">
        <v>1.0</v>
      </c>
      <c r="E1120" s="1">
        <v>36.0</v>
      </c>
      <c r="F1120" s="1">
        <v>5.0</v>
      </c>
      <c r="G1120" s="1">
        <v>5.0</v>
      </c>
      <c r="H1120" s="1">
        <v>103.0</v>
      </c>
      <c r="I1120" s="1" t="s">
        <v>17</v>
      </c>
      <c r="J1120" s="1" t="s">
        <v>18</v>
      </c>
      <c r="K1120" s="1">
        <v>32000.0</v>
      </c>
      <c r="L1120" s="1">
        <v>56.9361374</v>
      </c>
      <c r="M1120" s="1">
        <v>24.0430556735773</v>
      </c>
    </row>
    <row r="1121">
      <c r="A1121" s="1" t="s">
        <v>13</v>
      </c>
      <c r="B1121" s="1" t="s">
        <v>23</v>
      </c>
      <c r="C1121" s="1" t="s">
        <v>937</v>
      </c>
      <c r="D1121" s="1">
        <v>2.0</v>
      </c>
      <c r="E1121" s="1">
        <v>40.0</v>
      </c>
      <c r="F1121" s="1">
        <v>5.0</v>
      </c>
      <c r="G1121" s="1">
        <v>6.0</v>
      </c>
      <c r="H1121" s="1" t="s">
        <v>25</v>
      </c>
      <c r="I1121" s="1" t="s">
        <v>37</v>
      </c>
      <c r="J1121" s="1" t="s">
        <v>18</v>
      </c>
      <c r="K1121" s="1">
        <v>170.0</v>
      </c>
      <c r="L1121" s="1">
        <v>56.9590412</v>
      </c>
      <c r="M1121" s="1">
        <v>24.1434632</v>
      </c>
    </row>
    <row r="1122">
      <c r="A1122" s="1" t="s">
        <v>22</v>
      </c>
      <c r="B1122" s="1" t="s">
        <v>74</v>
      </c>
      <c r="C1122" s="1" t="s">
        <v>938</v>
      </c>
      <c r="D1122" s="1">
        <v>1.0</v>
      </c>
      <c r="E1122" s="1">
        <v>44.0</v>
      </c>
      <c r="F1122" s="1">
        <v>9.0</v>
      </c>
      <c r="G1122" s="1">
        <v>9.0</v>
      </c>
      <c r="H1122" s="1" t="s">
        <v>57</v>
      </c>
      <c r="I1122" s="1" t="s">
        <v>21</v>
      </c>
      <c r="J1122" s="1" t="s">
        <v>18</v>
      </c>
      <c r="K1122" s="1">
        <v>31000.0</v>
      </c>
      <c r="L1122" s="1">
        <v>56.9421256</v>
      </c>
      <c r="M1122" s="1">
        <v>24.201118155484</v>
      </c>
    </row>
    <row r="1123">
      <c r="A1123" s="1" t="s">
        <v>22</v>
      </c>
      <c r="B1123" s="1" t="s">
        <v>23</v>
      </c>
      <c r="C1123" s="1" t="s">
        <v>939</v>
      </c>
      <c r="D1123" s="1">
        <v>3.0</v>
      </c>
      <c r="E1123" s="1">
        <v>94.0</v>
      </c>
      <c r="F1123" s="1">
        <v>4.0</v>
      </c>
      <c r="G1123" s="1">
        <v>5.0</v>
      </c>
      <c r="H1123" s="1" t="s">
        <v>25</v>
      </c>
      <c r="I1123" s="1" t="s">
        <v>33</v>
      </c>
      <c r="J1123" s="1" t="s">
        <v>18</v>
      </c>
      <c r="K1123" s="1">
        <v>210000.0</v>
      </c>
      <c r="L1123" s="1">
        <v>56.96346405</v>
      </c>
      <c r="M1123" s="1">
        <v>24.1240559778693</v>
      </c>
    </row>
    <row r="1124">
      <c r="A1124" s="1" t="s">
        <v>13</v>
      </c>
      <c r="B1124" s="1" t="s">
        <v>23</v>
      </c>
      <c r="C1124" s="1" t="s">
        <v>940</v>
      </c>
      <c r="D1124" s="1">
        <v>2.0</v>
      </c>
      <c r="E1124" s="1">
        <v>52.0</v>
      </c>
      <c r="F1124" s="1">
        <v>2.0</v>
      </c>
      <c r="G1124" s="1">
        <v>5.0</v>
      </c>
      <c r="H1124" s="1" t="s">
        <v>25</v>
      </c>
      <c r="I1124" s="1" t="s">
        <v>33</v>
      </c>
      <c r="J1124" s="1" t="s">
        <v>18</v>
      </c>
      <c r="K1124" s="1">
        <v>380.0</v>
      </c>
      <c r="L1124" s="1">
        <v>56.9406658</v>
      </c>
      <c r="M1124" s="1">
        <v>24.1245029</v>
      </c>
    </row>
    <row r="1125">
      <c r="A1125" s="1" t="s">
        <v>22</v>
      </c>
      <c r="B1125" s="1" t="s">
        <v>52</v>
      </c>
      <c r="C1125" s="1" t="s">
        <v>941</v>
      </c>
      <c r="D1125" s="1">
        <v>4.0</v>
      </c>
      <c r="E1125" s="1">
        <v>149.0</v>
      </c>
      <c r="F1125" s="1">
        <v>12.0</v>
      </c>
      <c r="G1125" s="1">
        <v>12.0</v>
      </c>
      <c r="H1125" s="1" t="s">
        <v>36</v>
      </c>
      <c r="I1125" s="1" t="s">
        <v>17</v>
      </c>
      <c r="J1125" s="1" t="s">
        <v>18</v>
      </c>
      <c r="K1125" s="1">
        <v>260000.0</v>
      </c>
      <c r="L1125" s="1">
        <v>56.94568225</v>
      </c>
      <c r="M1125" s="1">
        <v>24.0146821801241</v>
      </c>
    </row>
    <row r="1126">
      <c r="A1126" s="1" t="s">
        <v>22</v>
      </c>
      <c r="B1126" s="1" t="s">
        <v>50</v>
      </c>
      <c r="C1126" s="1" t="s">
        <v>942</v>
      </c>
      <c r="D1126" s="1">
        <v>2.0</v>
      </c>
      <c r="E1126" s="1">
        <v>37.0</v>
      </c>
      <c r="F1126" s="1">
        <v>5.0</v>
      </c>
      <c r="G1126" s="1">
        <v>5.0</v>
      </c>
      <c r="H1126" s="1" t="s">
        <v>44</v>
      </c>
      <c r="I1126" s="1" t="s">
        <v>37</v>
      </c>
      <c r="J1126" s="1" t="s">
        <v>18</v>
      </c>
      <c r="K1126" s="1">
        <v>41000.0</v>
      </c>
      <c r="L1126" s="1">
        <v>56.93595085</v>
      </c>
      <c r="M1126" s="1">
        <v>24.1632293376647</v>
      </c>
    </row>
    <row r="1127">
      <c r="A1127" s="1" t="s">
        <v>22</v>
      </c>
      <c r="B1127" s="1" t="s">
        <v>38</v>
      </c>
      <c r="C1127" s="1" t="s">
        <v>145</v>
      </c>
      <c r="D1127" s="1">
        <v>3.0</v>
      </c>
      <c r="E1127" s="1">
        <v>81.8</v>
      </c>
      <c r="F1127" s="1">
        <v>5.0</v>
      </c>
      <c r="G1127" s="1">
        <v>18.0</v>
      </c>
      <c r="H1127" s="1" t="s">
        <v>32</v>
      </c>
      <c r="I1127" s="1" t="s">
        <v>17</v>
      </c>
      <c r="J1127" s="1" t="s">
        <v>18</v>
      </c>
      <c r="K1127" s="1">
        <v>117000.0</v>
      </c>
      <c r="L1127" s="1">
        <v>56.96112105</v>
      </c>
      <c r="M1127" s="1">
        <v>24.01821679525</v>
      </c>
    </row>
    <row r="1128">
      <c r="A1128" s="1" t="s">
        <v>22</v>
      </c>
      <c r="B1128" s="1" t="s">
        <v>28</v>
      </c>
      <c r="C1128" s="1" t="s">
        <v>943</v>
      </c>
      <c r="D1128" s="1">
        <v>1.0</v>
      </c>
      <c r="E1128" s="1">
        <v>13.0</v>
      </c>
      <c r="F1128" s="1">
        <v>3.0</v>
      </c>
      <c r="G1128" s="1">
        <v>4.0</v>
      </c>
      <c r="H1128" s="1" t="s">
        <v>36</v>
      </c>
      <c r="I1128" s="1" t="s">
        <v>37</v>
      </c>
      <c r="J1128" s="1" t="s">
        <v>18</v>
      </c>
      <c r="K1128" s="1">
        <v>19500.0</v>
      </c>
      <c r="L1128" s="1">
        <v>56.9150027</v>
      </c>
      <c r="M1128" s="1">
        <v>24.1755593</v>
      </c>
    </row>
    <row r="1129">
      <c r="A1129" s="1" t="s">
        <v>13</v>
      </c>
      <c r="B1129" s="1" t="s">
        <v>30</v>
      </c>
      <c r="C1129" s="1" t="s">
        <v>944</v>
      </c>
      <c r="D1129" s="1">
        <v>1.0</v>
      </c>
      <c r="E1129" s="1">
        <v>40.0</v>
      </c>
      <c r="F1129" s="1">
        <v>1.0</v>
      </c>
      <c r="G1129" s="1">
        <v>1.0</v>
      </c>
      <c r="H1129" s="1" t="s">
        <v>36</v>
      </c>
      <c r="I1129" s="1" t="s">
        <v>37</v>
      </c>
      <c r="J1129" s="1" t="s">
        <v>18</v>
      </c>
      <c r="K1129" s="1">
        <v>285.0</v>
      </c>
      <c r="L1129" s="1">
        <v>56.9779257</v>
      </c>
      <c r="M1129" s="1">
        <v>24.1866059</v>
      </c>
    </row>
    <row r="1130">
      <c r="A1130" s="1" t="s">
        <v>22</v>
      </c>
      <c r="B1130" s="1" t="s">
        <v>23</v>
      </c>
      <c r="C1130" s="1" t="s">
        <v>945</v>
      </c>
      <c r="D1130" s="1">
        <v>5.0</v>
      </c>
      <c r="E1130" s="1">
        <v>214.0</v>
      </c>
      <c r="F1130" s="1">
        <v>5.0</v>
      </c>
      <c r="G1130" s="1">
        <v>8.0</v>
      </c>
      <c r="H1130" s="1" t="s">
        <v>32</v>
      </c>
      <c r="I1130" s="1" t="s">
        <v>33</v>
      </c>
      <c r="J1130" s="1" t="s">
        <v>18</v>
      </c>
      <c r="K1130" s="1">
        <v>439000.0</v>
      </c>
      <c r="L1130" s="1">
        <v>56.97150655</v>
      </c>
      <c r="M1130" s="1">
        <v>24.136440612366</v>
      </c>
    </row>
    <row r="1131">
      <c r="A1131" s="1" t="s">
        <v>13</v>
      </c>
      <c r="B1131" s="1" t="s">
        <v>23</v>
      </c>
      <c r="C1131" s="1" t="s">
        <v>946</v>
      </c>
      <c r="D1131" s="1">
        <v>2.0</v>
      </c>
      <c r="E1131" s="1">
        <v>56.0</v>
      </c>
      <c r="F1131" s="1">
        <v>2.0</v>
      </c>
      <c r="G1131" s="1">
        <v>6.0</v>
      </c>
      <c r="H1131" s="1" t="s">
        <v>25</v>
      </c>
      <c r="I1131" s="1" t="s">
        <v>37</v>
      </c>
      <c r="J1131" s="1" t="s">
        <v>18</v>
      </c>
      <c r="K1131" s="1">
        <v>450.0</v>
      </c>
      <c r="L1131" s="1">
        <v>56.9510949</v>
      </c>
      <c r="M1131" s="1">
        <v>24.1313031</v>
      </c>
    </row>
    <row r="1132">
      <c r="A1132" s="1" t="s">
        <v>13</v>
      </c>
      <c r="B1132" s="1" t="s">
        <v>23</v>
      </c>
      <c r="C1132" s="1" t="s">
        <v>947</v>
      </c>
      <c r="D1132" s="1">
        <v>1.0</v>
      </c>
      <c r="E1132" s="1">
        <v>37.0</v>
      </c>
      <c r="F1132" s="1">
        <v>2.0</v>
      </c>
      <c r="G1132" s="1">
        <v>3.0</v>
      </c>
      <c r="H1132" s="1" t="s">
        <v>66</v>
      </c>
      <c r="I1132" s="1" t="s">
        <v>26</v>
      </c>
      <c r="J1132" s="1" t="s">
        <v>18</v>
      </c>
      <c r="K1132" s="1">
        <v>380.0</v>
      </c>
      <c r="L1132" s="1">
        <v>56.9698143</v>
      </c>
      <c r="M1132" s="1">
        <v>24.1358191</v>
      </c>
    </row>
    <row r="1133">
      <c r="A1133" s="1" t="s">
        <v>22</v>
      </c>
      <c r="B1133" s="1" t="s">
        <v>104</v>
      </c>
      <c r="C1133" s="1" t="s">
        <v>948</v>
      </c>
      <c r="D1133" s="1">
        <v>2.0</v>
      </c>
      <c r="E1133" s="1">
        <v>71.0</v>
      </c>
      <c r="F1133" s="1">
        <v>1.0</v>
      </c>
      <c r="G1133" s="1">
        <v>3.0</v>
      </c>
      <c r="H1133" s="1" t="s">
        <v>32</v>
      </c>
      <c r="I1133" s="1" t="s">
        <v>33</v>
      </c>
      <c r="J1133" s="1" t="s">
        <v>18</v>
      </c>
      <c r="K1133" s="1">
        <v>105100.0</v>
      </c>
      <c r="L1133" s="1">
        <v>56.9394528</v>
      </c>
      <c r="M1133" s="1">
        <v>24.0668604</v>
      </c>
    </row>
    <row r="1134">
      <c r="A1134" s="1" t="s">
        <v>13</v>
      </c>
      <c r="B1134" s="1" t="s">
        <v>104</v>
      </c>
      <c r="C1134" s="1" t="s">
        <v>949</v>
      </c>
      <c r="D1134" s="1">
        <v>2.0</v>
      </c>
      <c r="E1134" s="1">
        <v>45.0</v>
      </c>
      <c r="F1134" s="1">
        <v>4.0</v>
      </c>
      <c r="G1134" s="1">
        <v>5.0</v>
      </c>
      <c r="H1134" s="1" t="s">
        <v>16</v>
      </c>
      <c r="I1134" s="1" t="s">
        <v>21</v>
      </c>
      <c r="J1134" s="1" t="s">
        <v>18</v>
      </c>
      <c r="K1134" s="1">
        <v>330.0</v>
      </c>
      <c r="L1134" s="1">
        <v>56.9451143</v>
      </c>
      <c r="M1134" s="1">
        <v>24.0582627</v>
      </c>
    </row>
    <row r="1135">
      <c r="A1135" s="1" t="s">
        <v>13</v>
      </c>
      <c r="B1135" s="1" t="s">
        <v>23</v>
      </c>
      <c r="C1135" s="1" t="s">
        <v>950</v>
      </c>
      <c r="D1135" s="1">
        <v>1.0</v>
      </c>
      <c r="E1135" s="1">
        <v>36.0</v>
      </c>
      <c r="F1135" s="1">
        <v>1.0</v>
      </c>
      <c r="G1135" s="1">
        <v>5.0</v>
      </c>
      <c r="H1135" s="1" t="s">
        <v>25</v>
      </c>
      <c r="I1135" s="1" t="s">
        <v>33</v>
      </c>
      <c r="J1135" s="1" t="s">
        <v>18</v>
      </c>
      <c r="K1135" s="1">
        <v>350.0</v>
      </c>
      <c r="L1135" s="1">
        <v>56.9615696</v>
      </c>
      <c r="M1135" s="1">
        <v>24.1466121</v>
      </c>
    </row>
    <row r="1136">
      <c r="A1136" s="1" t="s">
        <v>13</v>
      </c>
      <c r="B1136" s="1" t="s">
        <v>23</v>
      </c>
      <c r="C1136" s="1" t="s">
        <v>951</v>
      </c>
      <c r="D1136" s="1">
        <v>3.0</v>
      </c>
      <c r="E1136" s="1">
        <v>83.0</v>
      </c>
      <c r="F1136" s="1">
        <v>5.0</v>
      </c>
      <c r="G1136" s="1">
        <v>5.0</v>
      </c>
      <c r="H1136" s="1" t="s">
        <v>25</v>
      </c>
      <c r="I1136" s="1" t="s">
        <v>33</v>
      </c>
      <c r="J1136" s="1" t="s">
        <v>18</v>
      </c>
      <c r="K1136" s="1">
        <v>750.0</v>
      </c>
      <c r="L1136" s="1">
        <v>56.9605878</v>
      </c>
      <c r="M1136" s="1">
        <v>24.1029241</v>
      </c>
    </row>
    <row r="1137">
      <c r="A1137" s="1" t="s">
        <v>13</v>
      </c>
      <c r="B1137" s="1" t="s">
        <v>23</v>
      </c>
      <c r="C1137" s="1" t="s">
        <v>829</v>
      </c>
      <c r="D1137" s="1">
        <v>1.0</v>
      </c>
      <c r="E1137" s="1">
        <v>38.0</v>
      </c>
      <c r="F1137" s="1">
        <v>3.0</v>
      </c>
      <c r="G1137" s="1">
        <v>9.0</v>
      </c>
      <c r="H1137" s="1" t="s">
        <v>32</v>
      </c>
      <c r="I1137" s="1" t="s">
        <v>21</v>
      </c>
      <c r="J1137" s="1" t="s">
        <v>18</v>
      </c>
      <c r="K1137" s="1">
        <v>270.0</v>
      </c>
      <c r="L1137" s="1">
        <v>56.9762119</v>
      </c>
      <c r="M1137" s="1">
        <v>24.1462619497695</v>
      </c>
    </row>
    <row r="1138">
      <c r="A1138" s="1" t="s">
        <v>89</v>
      </c>
      <c r="B1138" s="1" t="s">
        <v>23</v>
      </c>
      <c r="C1138" s="2"/>
      <c r="D1138" s="1">
        <v>2.0</v>
      </c>
      <c r="E1138" s="2"/>
      <c r="F1138" s="2"/>
      <c r="G1138" s="2"/>
      <c r="H1138" s="1">
        <v>103.0</v>
      </c>
      <c r="I1138" s="2"/>
      <c r="J1138" s="2"/>
      <c r="K1138" s="2"/>
      <c r="L1138" s="1">
        <v>46.3144754</v>
      </c>
      <c r="M1138" s="1">
        <v>11.0480288</v>
      </c>
    </row>
    <row r="1139">
      <c r="A1139" s="1" t="s">
        <v>22</v>
      </c>
      <c r="B1139" s="1" t="s">
        <v>76</v>
      </c>
      <c r="C1139" s="1" t="s">
        <v>952</v>
      </c>
      <c r="D1139" s="1">
        <v>2.0</v>
      </c>
      <c r="E1139" s="1">
        <v>50.0</v>
      </c>
      <c r="F1139" s="1">
        <v>2.0</v>
      </c>
      <c r="G1139" s="1">
        <v>5.0</v>
      </c>
      <c r="H1139" s="1" t="s">
        <v>16</v>
      </c>
      <c r="I1139" s="1" t="s">
        <v>21</v>
      </c>
      <c r="J1139" s="1" t="s">
        <v>18</v>
      </c>
      <c r="K1139" s="1">
        <v>55000.0</v>
      </c>
      <c r="L1139" s="1">
        <v>56.9514449</v>
      </c>
      <c r="M1139" s="1">
        <v>24.0540069</v>
      </c>
    </row>
    <row r="1140">
      <c r="A1140" s="1" t="s">
        <v>13</v>
      </c>
      <c r="B1140" s="1" t="s">
        <v>117</v>
      </c>
      <c r="C1140" s="1" t="s">
        <v>953</v>
      </c>
      <c r="D1140" s="1">
        <v>3.0</v>
      </c>
      <c r="E1140" s="1">
        <v>70.0</v>
      </c>
      <c r="F1140" s="1">
        <v>2.0</v>
      </c>
      <c r="G1140" s="1">
        <v>9.0</v>
      </c>
      <c r="H1140" s="1" t="s">
        <v>36</v>
      </c>
      <c r="I1140" s="1" t="s">
        <v>17</v>
      </c>
      <c r="J1140" s="1" t="s">
        <v>18</v>
      </c>
      <c r="K1140" s="1">
        <v>500.0</v>
      </c>
      <c r="L1140" s="1" t="s">
        <v>40</v>
      </c>
      <c r="M1140" s="1" t="s">
        <v>40</v>
      </c>
    </row>
    <row r="1141">
      <c r="A1141" s="1" t="s">
        <v>22</v>
      </c>
      <c r="B1141" s="1" t="s">
        <v>14</v>
      </c>
      <c r="C1141" s="1" t="s">
        <v>93</v>
      </c>
      <c r="D1141" s="1">
        <v>2.0</v>
      </c>
      <c r="E1141" s="1">
        <v>45.0</v>
      </c>
      <c r="F1141" s="1">
        <v>3.0</v>
      </c>
      <c r="G1141" s="1">
        <v>5.0</v>
      </c>
      <c r="H1141" s="1" t="s">
        <v>32</v>
      </c>
      <c r="I1141" s="1" t="s">
        <v>33</v>
      </c>
      <c r="J1141" s="1" t="s">
        <v>18</v>
      </c>
      <c r="K1141" s="1">
        <v>85000.0</v>
      </c>
      <c r="L1141" s="1">
        <v>56.95632235</v>
      </c>
      <c r="M1141" s="1">
        <v>24.1859785589656</v>
      </c>
    </row>
    <row r="1142">
      <c r="A1142" s="1" t="s">
        <v>22</v>
      </c>
      <c r="B1142" s="1" t="s">
        <v>104</v>
      </c>
      <c r="C1142" s="1" t="s">
        <v>321</v>
      </c>
      <c r="D1142" s="1">
        <v>3.0</v>
      </c>
      <c r="E1142" s="1">
        <v>124.0</v>
      </c>
      <c r="F1142" s="1">
        <v>1.0</v>
      </c>
      <c r="G1142" s="1">
        <v>1.0</v>
      </c>
      <c r="H1142" s="1" t="s">
        <v>32</v>
      </c>
      <c r="I1142" s="1" t="s">
        <v>33</v>
      </c>
      <c r="J1142" s="1" t="s">
        <v>18</v>
      </c>
      <c r="K1142" s="1">
        <v>147000.0</v>
      </c>
      <c r="L1142" s="1">
        <v>56.94107515</v>
      </c>
      <c r="M1142" s="1">
        <v>24.0537289468904</v>
      </c>
    </row>
    <row r="1143">
      <c r="A1143" s="1" t="s">
        <v>22</v>
      </c>
      <c r="B1143" s="1" t="s">
        <v>14</v>
      </c>
      <c r="C1143" s="1" t="s">
        <v>954</v>
      </c>
      <c r="D1143" s="1">
        <v>3.0</v>
      </c>
      <c r="E1143" s="1">
        <v>79.0</v>
      </c>
      <c r="F1143" s="1">
        <v>1.0</v>
      </c>
      <c r="G1143" s="1">
        <v>4.0</v>
      </c>
      <c r="H1143" s="1" t="s">
        <v>32</v>
      </c>
      <c r="I1143" s="1" t="s">
        <v>33</v>
      </c>
      <c r="J1143" s="1" t="s">
        <v>18</v>
      </c>
      <c r="K1143" s="1">
        <v>142000.0</v>
      </c>
      <c r="L1143" s="1">
        <v>56.9650621</v>
      </c>
      <c r="M1143" s="1">
        <v>24.1952933</v>
      </c>
    </row>
    <row r="1144">
      <c r="A1144" s="1" t="s">
        <v>22</v>
      </c>
      <c r="B1144" s="1" t="s">
        <v>14</v>
      </c>
      <c r="C1144" s="1" t="s">
        <v>93</v>
      </c>
      <c r="D1144" s="1">
        <v>3.0</v>
      </c>
      <c r="E1144" s="1">
        <v>65.0</v>
      </c>
      <c r="F1144" s="1">
        <v>4.0</v>
      </c>
      <c r="G1144" s="1">
        <v>5.0</v>
      </c>
      <c r="H1144" s="1" t="s">
        <v>32</v>
      </c>
      <c r="I1144" s="1" t="s">
        <v>33</v>
      </c>
      <c r="J1144" s="1" t="s">
        <v>18</v>
      </c>
      <c r="K1144" s="1">
        <v>116000.0</v>
      </c>
      <c r="L1144" s="1">
        <v>56.95632235</v>
      </c>
      <c r="M1144" s="1">
        <v>24.1859785589656</v>
      </c>
    </row>
    <row r="1145">
      <c r="A1145" s="1" t="s">
        <v>22</v>
      </c>
      <c r="B1145" s="1" t="s">
        <v>23</v>
      </c>
      <c r="C1145" s="1" t="s">
        <v>955</v>
      </c>
      <c r="D1145" s="1">
        <v>3.0</v>
      </c>
      <c r="E1145" s="1">
        <v>73.0</v>
      </c>
      <c r="F1145" s="1">
        <v>5.0</v>
      </c>
      <c r="G1145" s="1">
        <v>5.0</v>
      </c>
      <c r="H1145" s="1" t="s">
        <v>66</v>
      </c>
      <c r="I1145" s="1" t="s">
        <v>37</v>
      </c>
      <c r="J1145" s="1" t="s">
        <v>18</v>
      </c>
      <c r="K1145" s="1">
        <v>162000.0</v>
      </c>
      <c r="L1145" s="1">
        <v>56.9589644</v>
      </c>
      <c r="M1145" s="1">
        <v>24.1081412</v>
      </c>
    </row>
    <row r="1146">
      <c r="A1146" s="1" t="s">
        <v>22</v>
      </c>
      <c r="B1146" s="1" t="s">
        <v>67</v>
      </c>
      <c r="C1146" s="1" t="s">
        <v>570</v>
      </c>
      <c r="D1146" s="1">
        <v>2.0</v>
      </c>
      <c r="E1146" s="1">
        <v>34.0</v>
      </c>
      <c r="F1146" s="1">
        <v>2.0</v>
      </c>
      <c r="G1146" s="1">
        <v>5.0</v>
      </c>
      <c r="H1146" s="1" t="s">
        <v>25</v>
      </c>
      <c r="I1146" s="1" t="s">
        <v>33</v>
      </c>
      <c r="J1146" s="1" t="s">
        <v>27</v>
      </c>
      <c r="K1146" s="1">
        <v>30000.0</v>
      </c>
      <c r="L1146" s="1">
        <v>56.9555074999999</v>
      </c>
      <c r="M1146" s="1">
        <v>24.1534989394562</v>
      </c>
    </row>
    <row r="1147">
      <c r="A1147" s="1" t="s">
        <v>22</v>
      </c>
      <c r="B1147" s="1" t="s">
        <v>28</v>
      </c>
      <c r="C1147" s="1" t="s">
        <v>956</v>
      </c>
      <c r="D1147" s="1">
        <v>3.0</v>
      </c>
      <c r="E1147" s="1">
        <v>60.0</v>
      </c>
      <c r="F1147" s="1">
        <v>5.0</v>
      </c>
      <c r="G1147" s="1">
        <v>9.0</v>
      </c>
      <c r="H1147" s="1">
        <v>467.0</v>
      </c>
      <c r="I1147" s="1" t="s">
        <v>21</v>
      </c>
      <c r="J1147" s="1" t="s">
        <v>18</v>
      </c>
      <c r="K1147" s="1">
        <v>57800.0</v>
      </c>
      <c r="L1147" s="1">
        <v>56.8597884</v>
      </c>
      <c r="M1147" s="1">
        <v>24.3083417</v>
      </c>
    </row>
    <row r="1148">
      <c r="A1148" s="1" t="s">
        <v>13</v>
      </c>
      <c r="B1148" s="1" t="s">
        <v>19</v>
      </c>
      <c r="C1148" s="1" t="s">
        <v>957</v>
      </c>
      <c r="D1148" s="1">
        <v>4.0</v>
      </c>
      <c r="E1148" s="1">
        <v>89.0</v>
      </c>
      <c r="F1148" s="1">
        <v>10.0</v>
      </c>
      <c r="G1148" s="1">
        <v>12.0</v>
      </c>
      <c r="H1148" s="1">
        <v>119.0</v>
      </c>
      <c r="I1148" s="1" t="s">
        <v>122</v>
      </c>
      <c r="J1148" s="1" t="s">
        <v>18</v>
      </c>
      <c r="K1148" s="1">
        <v>360.0</v>
      </c>
      <c r="L1148" s="1">
        <v>56.90158855</v>
      </c>
      <c r="M1148" s="1">
        <v>24.0846961606636</v>
      </c>
    </row>
    <row r="1149">
      <c r="A1149" s="1" t="s">
        <v>22</v>
      </c>
      <c r="B1149" s="1" t="s">
        <v>14</v>
      </c>
      <c r="C1149" s="1" t="s">
        <v>958</v>
      </c>
      <c r="D1149" s="1">
        <v>2.0</v>
      </c>
      <c r="E1149" s="1">
        <v>49.0</v>
      </c>
      <c r="F1149" s="1">
        <v>4.0</v>
      </c>
      <c r="G1149" s="1">
        <v>9.0</v>
      </c>
      <c r="H1149" s="1">
        <v>602.0</v>
      </c>
      <c r="I1149" s="1" t="s">
        <v>21</v>
      </c>
      <c r="J1149" s="1" t="s">
        <v>18</v>
      </c>
      <c r="K1149" s="1">
        <v>55300.0</v>
      </c>
      <c r="L1149" s="1">
        <v>56.95922675</v>
      </c>
      <c r="M1149" s="1">
        <v>24.1820870162061</v>
      </c>
    </row>
    <row r="1150">
      <c r="A1150" s="1" t="s">
        <v>13</v>
      </c>
      <c r="B1150" s="1" t="s">
        <v>38</v>
      </c>
      <c r="C1150" s="1" t="s">
        <v>145</v>
      </c>
      <c r="D1150" s="1">
        <v>2.0</v>
      </c>
      <c r="E1150" s="1">
        <v>51.0</v>
      </c>
      <c r="F1150" s="1">
        <v>1.0</v>
      </c>
      <c r="G1150" s="1">
        <v>17.0</v>
      </c>
      <c r="H1150" s="1" t="s">
        <v>32</v>
      </c>
      <c r="I1150" s="1" t="s">
        <v>21</v>
      </c>
      <c r="J1150" s="1" t="s">
        <v>18</v>
      </c>
      <c r="K1150" s="1">
        <v>470.0</v>
      </c>
      <c r="L1150" s="1">
        <v>56.96112105</v>
      </c>
      <c r="M1150" s="1">
        <v>24.01821679525</v>
      </c>
    </row>
    <row r="1151">
      <c r="A1151" s="1" t="s">
        <v>22</v>
      </c>
      <c r="B1151" s="1" t="s">
        <v>14</v>
      </c>
      <c r="C1151" s="1" t="s">
        <v>959</v>
      </c>
      <c r="D1151" s="1">
        <v>2.0</v>
      </c>
      <c r="E1151" s="1">
        <v>48.0</v>
      </c>
      <c r="F1151" s="1">
        <v>3.0</v>
      </c>
      <c r="G1151" s="1">
        <v>9.0</v>
      </c>
      <c r="H1151" s="1">
        <v>602.0</v>
      </c>
      <c r="I1151" s="1" t="s">
        <v>21</v>
      </c>
      <c r="J1151" s="1" t="s">
        <v>18</v>
      </c>
      <c r="K1151" s="1">
        <v>55000.0</v>
      </c>
      <c r="L1151" s="1">
        <v>56.9600729</v>
      </c>
      <c r="M1151" s="1">
        <v>24.1860928710293</v>
      </c>
    </row>
    <row r="1152">
      <c r="A1152" s="1" t="s">
        <v>22</v>
      </c>
      <c r="B1152" s="1" t="s">
        <v>14</v>
      </c>
      <c r="C1152" s="1" t="s">
        <v>960</v>
      </c>
      <c r="D1152" s="1">
        <v>1.0</v>
      </c>
      <c r="E1152" s="1">
        <v>37.0</v>
      </c>
      <c r="F1152" s="1">
        <v>3.0</v>
      </c>
      <c r="G1152" s="1">
        <v>5.0</v>
      </c>
      <c r="H1152" s="1">
        <v>103.0</v>
      </c>
      <c r="I1152" s="1" t="s">
        <v>37</v>
      </c>
      <c r="J1152" s="1" t="s">
        <v>18</v>
      </c>
      <c r="K1152" s="1">
        <v>33000.0</v>
      </c>
      <c r="L1152" s="1">
        <v>56.9521699</v>
      </c>
      <c r="M1152" s="1">
        <v>24.1956952983417</v>
      </c>
    </row>
    <row r="1153">
      <c r="A1153" s="1" t="s">
        <v>22</v>
      </c>
      <c r="B1153" s="1" t="s">
        <v>74</v>
      </c>
      <c r="C1153" s="1" t="s">
        <v>167</v>
      </c>
      <c r="D1153" s="1">
        <v>1.0</v>
      </c>
      <c r="E1153" s="1">
        <v>41.0</v>
      </c>
      <c r="F1153" s="1">
        <v>3.0</v>
      </c>
      <c r="G1153" s="1">
        <v>9.0</v>
      </c>
      <c r="H1153" s="1" t="s">
        <v>57</v>
      </c>
      <c r="I1153" s="1" t="s">
        <v>21</v>
      </c>
      <c r="J1153" s="1" t="s">
        <v>18</v>
      </c>
      <c r="K1153" s="1">
        <v>28800.0</v>
      </c>
      <c r="L1153" s="1">
        <v>56.9422955</v>
      </c>
      <c r="M1153" s="1">
        <v>24.1998859564754</v>
      </c>
    </row>
    <row r="1154">
      <c r="A1154" s="1" t="s">
        <v>22</v>
      </c>
      <c r="B1154" s="1" t="s">
        <v>23</v>
      </c>
      <c r="C1154" s="1" t="s">
        <v>961</v>
      </c>
      <c r="D1154" s="1">
        <v>2.0</v>
      </c>
      <c r="E1154" s="1">
        <v>55.0</v>
      </c>
      <c r="F1154" s="1">
        <v>1.0</v>
      </c>
      <c r="G1154" s="1">
        <v>3.0</v>
      </c>
      <c r="H1154" s="1" t="s">
        <v>25</v>
      </c>
      <c r="I1154" s="1" t="s">
        <v>17</v>
      </c>
      <c r="J1154" s="1" t="s">
        <v>18</v>
      </c>
      <c r="K1154" s="1">
        <v>69000.0</v>
      </c>
      <c r="L1154" s="1">
        <v>56.97634575</v>
      </c>
      <c r="M1154" s="1">
        <v>24.1348427681944</v>
      </c>
    </row>
    <row r="1155">
      <c r="A1155" s="1" t="s">
        <v>131</v>
      </c>
      <c r="B1155" s="1" t="s">
        <v>14</v>
      </c>
      <c r="C1155" s="2"/>
      <c r="D1155" s="1">
        <v>3.0</v>
      </c>
      <c r="E1155" s="1">
        <v>65.0</v>
      </c>
      <c r="F1155" s="2"/>
      <c r="G1155" s="2"/>
      <c r="H1155" s="2"/>
      <c r="I1155" s="2"/>
      <c r="J1155" s="1" t="s">
        <v>18</v>
      </c>
      <c r="K1155" s="1">
        <v>350.0</v>
      </c>
      <c r="L1155" s="1">
        <v>46.3144754</v>
      </c>
      <c r="M1155" s="1">
        <v>11.0480288</v>
      </c>
    </row>
    <row r="1156">
      <c r="A1156" s="1" t="s">
        <v>22</v>
      </c>
      <c r="B1156" s="1" t="s">
        <v>23</v>
      </c>
      <c r="C1156" s="1" t="s">
        <v>962</v>
      </c>
      <c r="D1156" s="1">
        <v>1.0</v>
      </c>
      <c r="E1156" s="1">
        <v>26.0</v>
      </c>
      <c r="F1156" s="1">
        <v>1.0</v>
      </c>
      <c r="G1156" s="1">
        <v>5.0</v>
      </c>
      <c r="H1156" s="1" t="s">
        <v>25</v>
      </c>
      <c r="I1156" s="1" t="s">
        <v>37</v>
      </c>
      <c r="J1156" s="1" t="s">
        <v>18</v>
      </c>
      <c r="K1156" s="1">
        <v>25000.0</v>
      </c>
      <c r="L1156" s="1">
        <v>56.9750877</v>
      </c>
      <c r="M1156" s="1">
        <v>24.1405774754441</v>
      </c>
    </row>
    <row r="1157">
      <c r="A1157" s="1" t="s">
        <v>13</v>
      </c>
      <c r="B1157" s="1" t="s">
        <v>38</v>
      </c>
      <c r="C1157" s="1" t="s">
        <v>963</v>
      </c>
      <c r="D1157" s="1">
        <v>2.0</v>
      </c>
      <c r="E1157" s="1">
        <v>60.0</v>
      </c>
      <c r="F1157" s="1">
        <v>10.0</v>
      </c>
      <c r="G1157" s="1">
        <v>16.0</v>
      </c>
      <c r="H1157" s="1" t="s">
        <v>32</v>
      </c>
      <c r="I1157" s="1" t="s">
        <v>21</v>
      </c>
      <c r="J1157" s="1" t="s">
        <v>18</v>
      </c>
      <c r="K1157" s="1">
        <v>490.0</v>
      </c>
      <c r="L1157" s="1">
        <v>56.9494099</v>
      </c>
      <c r="M1157" s="1">
        <v>24.0102727</v>
      </c>
    </row>
    <row r="1158">
      <c r="A1158" s="1" t="s">
        <v>13</v>
      </c>
      <c r="B1158" s="1" t="s">
        <v>109</v>
      </c>
      <c r="C1158" s="1" t="s">
        <v>964</v>
      </c>
      <c r="D1158" s="1">
        <v>3.0</v>
      </c>
      <c r="E1158" s="1">
        <v>95.0</v>
      </c>
      <c r="F1158" s="1">
        <v>2.0</v>
      </c>
      <c r="G1158" s="1">
        <v>3.0</v>
      </c>
      <c r="H1158" s="1" t="s">
        <v>32</v>
      </c>
      <c r="I1158" s="1" t="s">
        <v>21</v>
      </c>
      <c r="J1158" s="1" t="s">
        <v>18</v>
      </c>
      <c r="K1158" s="1">
        <v>1100.0</v>
      </c>
      <c r="L1158" s="1" t="s">
        <v>40</v>
      </c>
      <c r="M1158" s="1" t="s">
        <v>40</v>
      </c>
    </row>
    <row r="1159">
      <c r="A1159" s="1" t="s">
        <v>13</v>
      </c>
      <c r="B1159" s="1" t="s">
        <v>23</v>
      </c>
      <c r="C1159" s="1" t="s">
        <v>537</v>
      </c>
      <c r="D1159" s="1">
        <v>2.0</v>
      </c>
      <c r="E1159" s="1">
        <v>60.0</v>
      </c>
      <c r="F1159" s="1">
        <v>3.0</v>
      </c>
      <c r="G1159" s="1">
        <v>4.0</v>
      </c>
      <c r="H1159" s="1" t="s">
        <v>32</v>
      </c>
      <c r="I1159" s="1" t="s">
        <v>122</v>
      </c>
      <c r="J1159" s="1" t="s">
        <v>18</v>
      </c>
      <c r="K1159" s="1">
        <v>60.0</v>
      </c>
      <c r="L1159" s="1">
        <v>56.9579333</v>
      </c>
      <c r="M1159" s="1">
        <v>24.113967</v>
      </c>
    </row>
    <row r="1160">
      <c r="A1160" s="1" t="s">
        <v>22</v>
      </c>
      <c r="B1160" s="1" t="s">
        <v>109</v>
      </c>
      <c r="C1160" s="1" t="s">
        <v>965</v>
      </c>
      <c r="D1160" s="1">
        <v>1.0</v>
      </c>
      <c r="E1160" s="1">
        <v>35.0</v>
      </c>
      <c r="F1160" s="1">
        <v>5.0</v>
      </c>
      <c r="G1160" s="1">
        <v>9.0</v>
      </c>
      <c r="H1160" s="1" t="s">
        <v>36</v>
      </c>
      <c r="I1160" s="1" t="s">
        <v>37</v>
      </c>
      <c r="J1160" s="1" t="s">
        <v>18</v>
      </c>
      <c r="K1160" s="1">
        <v>27990.0</v>
      </c>
      <c r="L1160" s="1" t="s">
        <v>40</v>
      </c>
      <c r="M1160" s="1" t="s">
        <v>40</v>
      </c>
    </row>
    <row r="1161">
      <c r="A1161" s="1" t="s">
        <v>22</v>
      </c>
      <c r="B1161" s="1" t="s">
        <v>38</v>
      </c>
      <c r="C1161" s="1" t="s">
        <v>966</v>
      </c>
      <c r="D1161" s="1">
        <v>3.0</v>
      </c>
      <c r="E1161" s="1">
        <v>60.0</v>
      </c>
      <c r="F1161" s="1">
        <v>4.0</v>
      </c>
      <c r="G1161" s="1">
        <v>5.0</v>
      </c>
      <c r="H1161" s="1" t="s">
        <v>16</v>
      </c>
      <c r="I1161" s="1" t="s">
        <v>21</v>
      </c>
      <c r="J1161" s="1" t="s">
        <v>18</v>
      </c>
      <c r="K1161" s="1">
        <v>51000.0</v>
      </c>
      <c r="L1161" s="1" t="s">
        <v>40</v>
      </c>
      <c r="M1161" s="1" t="s">
        <v>40</v>
      </c>
    </row>
    <row r="1162">
      <c r="A1162" s="1" t="s">
        <v>22</v>
      </c>
      <c r="B1162" s="1" t="s">
        <v>134</v>
      </c>
      <c r="C1162" s="1" t="s">
        <v>967</v>
      </c>
      <c r="D1162" s="1">
        <v>2.0</v>
      </c>
      <c r="E1162" s="1">
        <v>46.0</v>
      </c>
      <c r="F1162" s="1">
        <v>2.0</v>
      </c>
      <c r="G1162" s="1">
        <v>5.0</v>
      </c>
      <c r="H1162" s="1" t="s">
        <v>36</v>
      </c>
      <c r="I1162" s="1" t="s">
        <v>37</v>
      </c>
      <c r="J1162" s="1" t="s">
        <v>18</v>
      </c>
      <c r="K1162" s="1">
        <v>36000.0</v>
      </c>
      <c r="L1162" s="1">
        <v>57.04141455</v>
      </c>
      <c r="M1162" s="1">
        <v>24.02751815</v>
      </c>
    </row>
    <row r="1163">
      <c r="A1163" s="1" t="s">
        <v>22</v>
      </c>
      <c r="B1163" s="1" t="s">
        <v>19</v>
      </c>
      <c r="C1163" s="1" t="s">
        <v>968</v>
      </c>
      <c r="D1163" s="1">
        <v>3.0</v>
      </c>
      <c r="E1163" s="1">
        <v>99.0</v>
      </c>
      <c r="F1163" s="1">
        <v>4.0</v>
      </c>
      <c r="G1163" s="1">
        <v>6.0</v>
      </c>
      <c r="H1163" s="1" t="s">
        <v>32</v>
      </c>
      <c r="I1163" s="1" t="s">
        <v>21</v>
      </c>
      <c r="J1163" s="1" t="s">
        <v>18</v>
      </c>
      <c r="K1163" s="1">
        <v>128000.0</v>
      </c>
      <c r="L1163" s="1">
        <v>56.90846935</v>
      </c>
      <c r="M1163" s="1">
        <v>24.0786774128357</v>
      </c>
    </row>
    <row r="1164">
      <c r="A1164" s="1" t="s">
        <v>22</v>
      </c>
      <c r="B1164" s="1" t="s">
        <v>23</v>
      </c>
      <c r="C1164" s="1" t="s">
        <v>969</v>
      </c>
      <c r="D1164" s="1">
        <v>3.0</v>
      </c>
      <c r="E1164" s="1">
        <v>51.0</v>
      </c>
      <c r="F1164" s="1">
        <v>4.0</v>
      </c>
      <c r="G1164" s="1">
        <v>4.0</v>
      </c>
      <c r="H1164" s="1" t="s">
        <v>66</v>
      </c>
      <c r="I1164" s="1" t="s">
        <v>33</v>
      </c>
      <c r="J1164" s="1" t="s">
        <v>18</v>
      </c>
      <c r="K1164" s="1">
        <v>95000.0</v>
      </c>
      <c r="L1164" s="1">
        <v>56.9701058</v>
      </c>
      <c r="M1164" s="1">
        <v>24.1047657</v>
      </c>
    </row>
    <row r="1165">
      <c r="A1165" s="1" t="s">
        <v>22</v>
      </c>
      <c r="B1165" s="1" t="s">
        <v>23</v>
      </c>
      <c r="C1165" s="1" t="s">
        <v>970</v>
      </c>
      <c r="D1165" s="1">
        <v>2.0</v>
      </c>
      <c r="E1165" s="1">
        <v>48.0</v>
      </c>
      <c r="F1165" s="1">
        <v>3.0</v>
      </c>
      <c r="G1165" s="1">
        <v>5.0</v>
      </c>
      <c r="H1165" s="1" t="s">
        <v>36</v>
      </c>
      <c r="I1165" s="1" t="s">
        <v>33</v>
      </c>
      <c r="J1165" s="1" t="s">
        <v>18</v>
      </c>
      <c r="K1165" s="1">
        <v>68000.0</v>
      </c>
      <c r="L1165" s="1">
        <v>56.96925335</v>
      </c>
      <c r="M1165" s="1">
        <v>24.0988693972666</v>
      </c>
    </row>
    <row r="1166">
      <c r="A1166" s="1" t="s">
        <v>22</v>
      </c>
      <c r="B1166" s="1" t="s">
        <v>38</v>
      </c>
      <c r="C1166" s="1" t="s">
        <v>971</v>
      </c>
      <c r="D1166" s="1">
        <v>2.0</v>
      </c>
      <c r="E1166" s="1">
        <v>50.0</v>
      </c>
      <c r="F1166" s="1">
        <v>1.0</v>
      </c>
      <c r="G1166" s="1">
        <v>5.0</v>
      </c>
      <c r="H1166" s="1" t="s">
        <v>16</v>
      </c>
      <c r="I1166" s="1" t="s">
        <v>122</v>
      </c>
      <c r="J1166" s="1" t="s">
        <v>18</v>
      </c>
      <c r="K1166" s="1">
        <v>40800.0</v>
      </c>
      <c r="L1166" s="1" t="s">
        <v>40</v>
      </c>
      <c r="M1166" s="1" t="s">
        <v>40</v>
      </c>
    </row>
    <row r="1167">
      <c r="A1167" s="1" t="s">
        <v>22</v>
      </c>
      <c r="B1167" s="1" t="s">
        <v>19</v>
      </c>
      <c r="C1167" s="1" t="s">
        <v>972</v>
      </c>
      <c r="D1167" s="1">
        <v>2.0</v>
      </c>
      <c r="E1167" s="1">
        <v>49.0</v>
      </c>
      <c r="F1167" s="1">
        <v>6.0</v>
      </c>
      <c r="G1167" s="1">
        <v>11.0</v>
      </c>
      <c r="H1167" s="1" t="s">
        <v>36</v>
      </c>
      <c r="I1167" s="1" t="s">
        <v>17</v>
      </c>
      <c r="J1167" s="1" t="s">
        <v>18</v>
      </c>
      <c r="K1167" s="1">
        <v>63000.0</v>
      </c>
      <c r="L1167" s="1">
        <v>56.90189495</v>
      </c>
      <c r="M1167" s="1">
        <v>24.0964581699151</v>
      </c>
    </row>
    <row r="1168">
      <c r="A1168" s="1" t="s">
        <v>89</v>
      </c>
      <c r="B1168" s="1" t="s">
        <v>151</v>
      </c>
      <c r="C1168" s="2"/>
      <c r="D1168" s="1">
        <v>2.0</v>
      </c>
      <c r="E1168" s="2"/>
      <c r="F1168" s="2"/>
      <c r="G1168" s="2"/>
      <c r="H1168" s="2"/>
      <c r="I1168" s="2"/>
      <c r="J1168" s="2"/>
      <c r="K1168" s="2"/>
      <c r="L1168" s="1">
        <v>46.3144754</v>
      </c>
      <c r="M1168" s="1">
        <v>11.0480288</v>
      </c>
    </row>
    <row r="1169">
      <c r="A1169" s="1" t="s">
        <v>22</v>
      </c>
      <c r="B1169" s="1" t="s">
        <v>74</v>
      </c>
      <c r="C1169" s="1" t="s">
        <v>973</v>
      </c>
      <c r="D1169" s="1">
        <v>2.0</v>
      </c>
      <c r="E1169" s="1">
        <v>51.0</v>
      </c>
      <c r="F1169" s="1">
        <v>6.0</v>
      </c>
      <c r="G1169" s="1">
        <v>9.0</v>
      </c>
      <c r="H1169" s="1">
        <v>602.0</v>
      </c>
      <c r="I1169" s="1" t="s">
        <v>21</v>
      </c>
      <c r="J1169" s="1" t="s">
        <v>18</v>
      </c>
      <c r="K1169" s="1">
        <v>54000.0</v>
      </c>
      <c r="L1169" s="1">
        <v>56.94249375</v>
      </c>
      <c r="M1169" s="1">
        <v>24.2107276360446</v>
      </c>
    </row>
    <row r="1170">
      <c r="A1170" s="1" t="s">
        <v>13</v>
      </c>
      <c r="B1170" s="1" t="s">
        <v>151</v>
      </c>
      <c r="C1170" s="1" t="s">
        <v>974</v>
      </c>
      <c r="D1170" s="1">
        <v>2.0</v>
      </c>
      <c r="E1170" s="1">
        <v>56.0</v>
      </c>
      <c r="F1170" s="1">
        <v>2.0</v>
      </c>
      <c r="G1170" s="1">
        <v>3.0</v>
      </c>
      <c r="H1170" s="1" t="s">
        <v>66</v>
      </c>
      <c r="I1170" s="1" t="s">
        <v>33</v>
      </c>
      <c r="J1170" s="1" t="s">
        <v>18</v>
      </c>
      <c r="K1170" s="1">
        <v>330.0</v>
      </c>
      <c r="L1170" s="1">
        <v>56.9649868</v>
      </c>
      <c r="M1170" s="1">
        <v>24.0634798</v>
      </c>
    </row>
    <row r="1171">
      <c r="A1171" s="1" t="s">
        <v>22</v>
      </c>
      <c r="B1171" s="1" t="s">
        <v>109</v>
      </c>
      <c r="C1171" s="1" t="s">
        <v>964</v>
      </c>
      <c r="D1171" s="1">
        <v>3.0</v>
      </c>
      <c r="E1171" s="1">
        <v>82.0</v>
      </c>
      <c r="F1171" s="1">
        <v>2.0</v>
      </c>
      <c r="G1171" s="1">
        <v>3.0</v>
      </c>
      <c r="H1171" s="1" t="s">
        <v>32</v>
      </c>
      <c r="I1171" s="1" t="s">
        <v>33</v>
      </c>
      <c r="J1171" s="1" t="s">
        <v>18</v>
      </c>
      <c r="K1171" s="1">
        <v>190000.0</v>
      </c>
      <c r="L1171" s="1" t="s">
        <v>40</v>
      </c>
      <c r="M1171" s="1" t="s">
        <v>40</v>
      </c>
    </row>
    <row r="1172">
      <c r="A1172" s="1" t="s">
        <v>13</v>
      </c>
      <c r="B1172" s="1" t="s">
        <v>28</v>
      </c>
      <c r="C1172" s="1" t="s">
        <v>975</v>
      </c>
      <c r="D1172" s="1">
        <v>1.0</v>
      </c>
      <c r="E1172" s="1">
        <v>31.0</v>
      </c>
      <c r="F1172" s="1">
        <v>4.0</v>
      </c>
      <c r="G1172" s="1">
        <v>5.0</v>
      </c>
      <c r="H1172" s="1" t="s">
        <v>16</v>
      </c>
      <c r="I1172" s="1" t="s">
        <v>21</v>
      </c>
      <c r="J1172" s="1" t="s">
        <v>18</v>
      </c>
      <c r="K1172" s="1">
        <v>250.0</v>
      </c>
      <c r="L1172" s="1">
        <v>56.8597884</v>
      </c>
      <c r="M1172" s="1">
        <v>24.3083417</v>
      </c>
    </row>
    <row r="1173">
      <c r="A1173" s="1" t="s">
        <v>22</v>
      </c>
      <c r="B1173" s="1" t="s">
        <v>38</v>
      </c>
      <c r="C1173" s="1" t="s">
        <v>687</v>
      </c>
      <c r="D1173" s="1">
        <v>3.0</v>
      </c>
      <c r="E1173" s="1">
        <v>62.0</v>
      </c>
      <c r="F1173" s="1">
        <v>3.0</v>
      </c>
      <c r="G1173" s="1">
        <v>9.0</v>
      </c>
      <c r="H1173" s="1">
        <v>602.0</v>
      </c>
      <c r="I1173" s="1" t="s">
        <v>21</v>
      </c>
      <c r="J1173" s="1" t="s">
        <v>63</v>
      </c>
      <c r="K1173" s="1">
        <v>54990.0</v>
      </c>
      <c r="L1173" s="1" t="s">
        <v>40</v>
      </c>
      <c r="M1173" s="1" t="s">
        <v>40</v>
      </c>
    </row>
    <row r="1174">
      <c r="A1174" s="1" t="s">
        <v>13</v>
      </c>
      <c r="B1174" s="1" t="s">
        <v>104</v>
      </c>
      <c r="C1174" s="1" t="s">
        <v>976</v>
      </c>
      <c r="D1174" s="1">
        <v>1.0</v>
      </c>
      <c r="E1174" s="1">
        <v>27.0</v>
      </c>
      <c r="F1174" s="1">
        <v>2.0</v>
      </c>
      <c r="G1174" s="1">
        <v>5.0</v>
      </c>
      <c r="H1174" s="1" t="s">
        <v>25</v>
      </c>
      <c r="I1174" s="1" t="s">
        <v>37</v>
      </c>
      <c r="J1174" s="1" t="s">
        <v>18</v>
      </c>
      <c r="K1174" s="1">
        <v>240.0</v>
      </c>
      <c r="L1174" s="1">
        <v>56.9492021</v>
      </c>
      <c r="M1174" s="1">
        <v>23.9587415</v>
      </c>
    </row>
    <row r="1175">
      <c r="A1175" s="1" t="s">
        <v>13</v>
      </c>
      <c r="B1175" s="1" t="s">
        <v>104</v>
      </c>
      <c r="C1175" s="1" t="s">
        <v>977</v>
      </c>
      <c r="D1175" s="1">
        <v>3.0</v>
      </c>
      <c r="E1175" s="1">
        <v>70.0</v>
      </c>
      <c r="F1175" s="1">
        <v>3.0</v>
      </c>
      <c r="G1175" s="1">
        <v>3.0</v>
      </c>
      <c r="H1175" s="1" t="s">
        <v>25</v>
      </c>
      <c r="I1175" s="1" t="s">
        <v>33</v>
      </c>
      <c r="J1175" s="1" t="s">
        <v>18</v>
      </c>
      <c r="K1175" s="1">
        <v>350.0</v>
      </c>
      <c r="L1175" s="1">
        <v>56.9389794</v>
      </c>
      <c r="M1175" s="1">
        <v>24.0718928</v>
      </c>
    </row>
    <row r="1176">
      <c r="A1176" s="1" t="s">
        <v>22</v>
      </c>
      <c r="B1176" s="1" t="s">
        <v>19</v>
      </c>
      <c r="C1176" s="1" t="s">
        <v>978</v>
      </c>
      <c r="D1176" s="1">
        <v>4.0</v>
      </c>
      <c r="E1176" s="1">
        <v>141.0</v>
      </c>
      <c r="F1176" s="1">
        <v>4.0</v>
      </c>
      <c r="G1176" s="1">
        <v>4.0</v>
      </c>
      <c r="H1176" s="1" t="s">
        <v>32</v>
      </c>
      <c r="I1176" s="1" t="s">
        <v>21</v>
      </c>
      <c r="J1176" s="1" t="s">
        <v>18</v>
      </c>
      <c r="K1176" s="1">
        <v>199950.0</v>
      </c>
      <c r="L1176" s="1">
        <v>56.914968</v>
      </c>
      <c r="M1176" s="1">
        <v>24.12289</v>
      </c>
    </row>
    <row r="1177">
      <c r="A1177" s="1" t="s">
        <v>22</v>
      </c>
      <c r="B1177" s="1" t="s">
        <v>23</v>
      </c>
      <c r="C1177" s="1" t="s">
        <v>979</v>
      </c>
      <c r="D1177" s="1">
        <v>4.0</v>
      </c>
      <c r="E1177" s="1">
        <v>172.0</v>
      </c>
      <c r="F1177" s="1">
        <v>6.0</v>
      </c>
      <c r="G1177" s="1">
        <v>7.0</v>
      </c>
      <c r="H1177" s="1" t="s">
        <v>36</v>
      </c>
      <c r="I1177" s="1" t="s">
        <v>122</v>
      </c>
      <c r="J1177" s="1" t="s">
        <v>18</v>
      </c>
      <c r="K1177" s="1">
        <v>247000.0</v>
      </c>
      <c r="L1177" s="1">
        <v>56.96580055</v>
      </c>
      <c r="M1177" s="1">
        <v>24.1442060150006</v>
      </c>
    </row>
    <row r="1178">
      <c r="A1178" s="1" t="s">
        <v>22</v>
      </c>
      <c r="B1178" s="1" t="s">
        <v>19</v>
      </c>
      <c r="C1178" s="1" t="s">
        <v>980</v>
      </c>
      <c r="D1178" s="1">
        <v>2.0</v>
      </c>
      <c r="E1178" s="1">
        <v>49.0</v>
      </c>
      <c r="F1178" s="1">
        <v>3.0</v>
      </c>
      <c r="G1178" s="1">
        <v>5.0</v>
      </c>
      <c r="H1178" s="1" t="s">
        <v>36</v>
      </c>
      <c r="I1178" s="1" t="s">
        <v>37</v>
      </c>
      <c r="J1178" s="1" t="s">
        <v>18</v>
      </c>
      <c r="K1178" s="1">
        <v>47000.0</v>
      </c>
      <c r="L1178" s="1">
        <v>56.9145946</v>
      </c>
      <c r="M1178" s="1">
        <v>24.09608455</v>
      </c>
    </row>
    <row r="1179">
      <c r="A1179" s="1" t="s">
        <v>13</v>
      </c>
      <c r="B1179" s="1" t="s">
        <v>23</v>
      </c>
      <c r="C1179" s="1" t="s">
        <v>981</v>
      </c>
      <c r="D1179" s="1">
        <v>1.0</v>
      </c>
      <c r="E1179" s="1">
        <v>25.0</v>
      </c>
      <c r="F1179" s="1">
        <v>4.0</v>
      </c>
      <c r="G1179" s="1">
        <v>4.0</v>
      </c>
      <c r="H1179" s="1" t="s">
        <v>25</v>
      </c>
      <c r="I1179" s="1" t="s">
        <v>33</v>
      </c>
      <c r="J1179" s="1" t="s">
        <v>27</v>
      </c>
      <c r="K1179" s="1">
        <v>110.0</v>
      </c>
      <c r="L1179" s="1">
        <v>56.94852645</v>
      </c>
      <c r="M1179" s="1">
        <v>24.1519268353779</v>
      </c>
    </row>
    <row r="1180">
      <c r="A1180" s="1" t="s">
        <v>22</v>
      </c>
      <c r="B1180" s="1" t="s">
        <v>104</v>
      </c>
      <c r="C1180" s="1" t="s">
        <v>495</v>
      </c>
      <c r="D1180" s="1">
        <v>2.0</v>
      </c>
      <c r="E1180" s="1">
        <v>49.0</v>
      </c>
      <c r="F1180" s="1">
        <v>4.0</v>
      </c>
      <c r="G1180" s="1">
        <v>5.0</v>
      </c>
      <c r="H1180" s="1" t="s">
        <v>16</v>
      </c>
      <c r="I1180" s="1" t="s">
        <v>37</v>
      </c>
      <c r="J1180" s="1" t="s">
        <v>18</v>
      </c>
      <c r="K1180" s="1">
        <v>38000.0</v>
      </c>
      <c r="L1180" s="1">
        <v>56.9483586</v>
      </c>
      <c r="M1180" s="1">
        <v>24.0478995119403</v>
      </c>
    </row>
    <row r="1181">
      <c r="A1181" s="1" t="s">
        <v>22</v>
      </c>
      <c r="B1181" s="1" t="s">
        <v>23</v>
      </c>
      <c r="C1181" s="1" t="s">
        <v>982</v>
      </c>
      <c r="D1181" s="1">
        <v>3.0</v>
      </c>
      <c r="E1181" s="1">
        <v>79.0</v>
      </c>
      <c r="F1181" s="1">
        <v>7.0</v>
      </c>
      <c r="G1181" s="1">
        <v>9.0</v>
      </c>
      <c r="H1181" s="1" t="s">
        <v>32</v>
      </c>
      <c r="I1181" s="1" t="s">
        <v>33</v>
      </c>
      <c r="J1181" s="1" t="s">
        <v>18</v>
      </c>
      <c r="K1181" s="1">
        <v>150000.0</v>
      </c>
      <c r="L1181" s="1">
        <v>56.9742195</v>
      </c>
      <c r="M1181" s="1">
        <v>24.1483510382088</v>
      </c>
    </row>
    <row r="1182">
      <c r="A1182" s="1" t="s">
        <v>22</v>
      </c>
      <c r="B1182" s="1" t="s">
        <v>14</v>
      </c>
      <c r="C1182" s="1" t="s">
        <v>983</v>
      </c>
      <c r="D1182" s="1">
        <v>3.0</v>
      </c>
      <c r="E1182" s="1">
        <v>64.0</v>
      </c>
      <c r="F1182" s="1">
        <v>5.0</v>
      </c>
      <c r="G1182" s="1">
        <v>9.0</v>
      </c>
      <c r="H1182" s="1">
        <v>602.0</v>
      </c>
      <c r="I1182" s="1" t="s">
        <v>21</v>
      </c>
      <c r="J1182" s="1" t="s">
        <v>18</v>
      </c>
      <c r="K1182" s="1">
        <v>76000.0</v>
      </c>
      <c r="L1182" s="1">
        <v>56.9586743</v>
      </c>
      <c r="M1182" s="1">
        <v>24.1667047999999</v>
      </c>
    </row>
    <row r="1183">
      <c r="A1183" s="1" t="s">
        <v>22</v>
      </c>
      <c r="B1183" s="1" t="s">
        <v>19</v>
      </c>
      <c r="C1183" s="1" t="s">
        <v>984</v>
      </c>
      <c r="D1183" s="1">
        <v>1.0</v>
      </c>
      <c r="E1183" s="1">
        <v>35.0</v>
      </c>
      <c r="F1183" s="1">
        <v>7.0</v>
      </c>
      <c r="G1183" s="1">
        <v>9.0</v>
      </c>
      <c r="H1183" s="1">
        <v>602.0</v>
      </c>
      <c r="I1183" s="1" t="s">
        <v>21</v>
      </c>
      <c r="J1183" s="1" t="s">
        <v>18</v>
      </c>
      <c r="K1183" s="1">
        <v>38000.0</v>
      </c>
      <c r="L1183" s="1">
        <v>56.8993493499999</v>
      </c>
      <c r="M1183" s="1">
        <v>24.0964171406999</v>
      </c>
    </row>
    <row r="1184">
      <c r="A1184" s="1" t="s">
        <v>22</v>
      </c>
      <c r="B1184" s="1" t="s">
        <v>96</v>
      </c>
      <c r="C1184" s="1" t="s">
        <v>985</v>
      </c>
      <c r="D1184" s="1">
        <v>2.0</v>
      </c>
      <c r="E1184" s="1">
        <v>50.0</v>
      </c>
      <c r="F1184" s="1">
        <v>5.0</v>
      </c>
      <c r="G1184" s="1">
        <v>5.0</v>
      </c>
      <c r="H1184" s="1" t="s">
        <v>16</v>
      </c>
      <c r="I1184" s="1" t="s">
        <v>21</v>
      </c>
      <c r="J1184" s="1" t="s">
        <v>18</v>
      </c>
      <c r="K1184" s="1">
        <v>32000.0</v>
      </c>
      <c r="L1184" s="1">
        <v>57.031977</v>
      </c>
      <c r="M1184" s="1">
        <v>24.1014613</v>
      </c>
    </row>
    <row r="1185">
      <c r="A1185" s="1" t="s">
        <v>13</v>
      </c>
      <c r="B1185" s="1" t="s">
        <v>104</v>
      </c>
      <c r="C1185" s="1" t="s">
        <v>986</v>
      </c>
      <c r="D1185" s="1">
        <v>1.0</v>
      </c>
      <c r="E1185" s="1">
        <v>23.0</v>
      </c>
      <c r="F1185" s="1">
        <v>2.0</v>
      </c>
      <c r="G1185" s="1">
        <v>4.0</v>
      </c>
      <c r="H1185" s="1" t="s">
        <v>44</v>
      </c>
      <c r="I1185" s="1" t="s">
        <v>37</v>
      </c>
      <c r="J1185" s="1" t="s">
        <v>18</v>
      </c>
      <c r="K1185" s="1">
        <v>350.0</v>
      </c>
      <c r="L1185" s="1">
        <v>56.9372465</v>
      </c>
      <c r="M1185" s="1">
        <v>24.0780844624566</v>
      </c>
    </row>
    <row r="1186">
      <c r="A1186" s="1" t="s">
        <v>22</v>
      </c>
      <c r="B1186" s="1" t="s">
        <v>23</v>
      </c>
      <c r="C1186" s="1" t="s">
        <v>474</v>
      </c>
      <c r="D1186" s="1">
        <v>4.0</v>
      </c>
      <c r="E1186" s="1">
        <v>142.0</v>
      </c>
      <c r="F1186" s="1">
        <v>6.0</v>
      </c>
      <c r="G1186" s="1">
        <v>7.0</v>
      </c>
      <c r="H1186" s="1" t="s">
        <v>32</v>
      </c>
      <c r="I1186" s="1" t="s">
        <v>122</v>
      </c>
      <c r="J1186" s="1" t="s">
        <v>18</v>
      </c>
      <c r="K1186" s="1">
        <v>618995.0</v>
      </c>
      <c r="L1186" s="1">
        <v>56.950124</v>
      </c>
      <c r="M1186" s="1">
        <v>24.1325244</v>
      </c>
    </row>
    <row r="1187">
      <c r="A1187" s="1" t="s">
        <v>22</v>
      </c>
      <c r="B1187" s="1" t="s">
        <v>82</v>
      </c>
      <c r="C1187" s="1" t="s">
        <v>340</v>
      </c>
      <c r="D1187" s="1">
        <v>3.0</v>
      </c>
      <c r="E1187" s="1">
        <v>100.0</v>
      </c>
      <c r="F1187" s="1">
        <v>1.0</v>
      </c>
      <c r="G1187" s="1">
        <v>3.0</v>
      </c>
      <c r="H1187" s="1" t="s">
        <v>32</v>
      </c>
      <c r="I1187" s="1" t="s">
        <v>33</v>
      </c>
      <c r="J1187" s="1" t="s">
        <v>18</v>
      </c>
      <c r="K1187" s="1">
        <v>300000.0</v>
      </c>
      <c r="L1187" s="1">
        <v>56.9606804</v>
      </c>
      <c r="M1187" s="1">
        <v>24.0818363627676</v>
      </c>
    </row>
    <row r="1188">
      <c r="A1188" s="1" t="s">
        <v>22</v>
      </c>
      <c r="B1188" s="1" t="s">
        <v>82</v>
      </c>
      <c r="C1188" s="1" t="s">
        <v>339</v>
      </c>
      <c r="D1188" s="1">
        <v>3.0</v>
      </c>
      <c r="E1188" s="1">
        <v>130.0</v>
      </c>
      <c r="F1188" s="1">
        <v>4.0</v>
      </c>
      <c r="G1188" s="1">
        <v>4.0</v>
      </c>
      <c r="H1188" s="1" t="s">
        <v>66</v>
      </c>
      <c r="I1188" s="1" t="s">
        <v>33</v>
      </c>
      <c r="J1188" s="1" t="s">
        <v>18</v>
      </c>
      <c r="K1188" s="1">
        <v>450000.0</v>
      </c>
      <c r="L1188" s="1">
        <v>56.9608406</v>
      </c>
      <c r="M1188" s="1">
        <v>24.0817647913357</v>
      </c>
    </row>
    <row r="1189">
      <c r="A1189" s="1" t="s">
        <v>13</v>
      </c>
      <c r="B1189" s="1" t="s">
        <v>74</v>
      </c>
      <c r="C1189" s="1" t="s">
        <v>987</v>
      </c>
      <c r="D1189" s="1">
        <v>3.0</v>
      </c>
      <c r="E1189" s="1">
        <v>68.0</v>
      </c>
      <c r="F1189" s="1">
        <v>5.0</v>
      </c>
      <c r="G1189" s="1">
        <v>6.0</v>
      </c>
      <c r="H1189" s="1" t="s">
        <v>32</v>
      </c>
      <c r="I1189" s="1" t="s">
        <v>33</v>
      </c>
      <c r="J1189" s="1" t="s">
        <v>18</v>
      </c>
      <c r="K1189" s="1">
        <v>350.0</v>
      </c>
      <c r="L1189" s="1">
        <v>56.9310392</v>
      </c>
      <c r="M1189" s="1">
        <v>24.1885814</v>
      </c>
    </row>
    <row r="1190">
      <c r="A1190" s="1" t="s">
        <v>22</v>
      </c>
      <c r="B1190" s="1" t="s">
        <v>23</v>
      </c>
      <c r="C1190" s="1" t="s">
        <v>235</v>
      </c>
      <c r="D1190" s="1">
        <v>3.0</v>
      </c>
      <c r="E1190" s="1">
        <v>77.0</v>
      </c>
      <c r="F1190" s="1">
        <v>3.0</v>
      </c>
      <c r="G1190" s="1">
        <v>4.0</v>
      </c>
      <c r="H1190" s="1" t="s">
        <v>66</v>
      </c>
      <c r="I1190" s="1" t="s">
        <v>33</v>
      </c>
      <c r="J1190" s="1" t="s">
        <v>18</v>
      </c>
      <c r="K1190" s="1">
        <v>225000.0</v>
      </c>
      <c r="L1190" s="1">
        <v>56.9612002</v>
      </c>
      <c r="M1190" s="1">
        <v>24.1075394109907</v>
      </c>
    </row>
    <row r="1191">
      <c r="A1191" s="1" t="s">
        <v>89</v>
      </c>
      <c r="B1191" s="1" t="s">
        <v>38</v>
      </c>
      <c r="C1191" s="2"/>
      <c r="D1191" s="1">
        <v>1.0</v>
      </c>
      <c r="E1191" s="1">
        <v>99.0</v>
      </c>
      <c r="F1191" s="1">
        <v>99.0</v>
      </c>
      <c r="G1191" s="1">
        <v>9.0</v>
      </c>
      <c r="H1191" s="2"/>
      <c r="I1191" s="2"/>
      <c r="J1191" s="2"/>
      <c r="K1191" s="2"/>
      <c r="L1191" s="1">
        <v>46.3144754</v>
      </c>
      <c r="M1191" s="1">
        <v>11.0480288</v>
      </c>
    </row>
    <row r="1192">
      <c r="A1192" s="1" t="s">
        <v>22</v>
      </c>
      <c r="B1192" s="1" t="s">
        <v>23</v>
      </c>
      <c r="C1192" s="1" t="s">
        <v>235</v>
      </c>
      <c r="D1192" s="1">
        <v>3.0</v>
      </c>
      <c r="E1192" s="1">
        <v>103.0</v>
      </c>
      <c r="F1192" s="1">
        <v>1.0</v>
      </c>
      <c r="G1192" s="1">
        <v>4.0</v>
      </c>
      <c r="H1192" s="1" t="s">
        <v>66</v>
      </c>
      <c r="I1192" s="1" t="s">
        <v>33</v>
      </c>
      <c r="J1192" s="1" t="s">
        <v>18</v>
      </c>
      <c r="K1192" s="1">
        <v>268000.0</v>
      </c>
      <c r="L1192" s="1">
        <v>56.9612002</v>
      </c>
      <c r="M1192" s="1">
        <v>24.1075394109907</v>
      </c>
    </row>
    <row r="1193">
      <c r="A1193" s="1" t="s">
        <v>22</v>
      </c>
      <c r="B1193" s="1" t="s">
        <v>23</v>
      </c>
      <c r="C1193" s="1" t="s">
        <v>235</v>
      </c>
      <c r="D1193" s="1">
        <v>4.0</v>
      </c>
      <c r="E1193" s="1">
        <v>96.0</v>
      </c>
      <c r="F1193" s="1">
        <v>3.0</v>
      </c>
      <c r="G1193" s="1">
        <v>4.0</v>
      </c>
      <c r="H1193" s="1" t="s">
        <v>66</v>
      </c>
      <c r="I1193" s="1" t="s">
        <v>33</v>
      </c>
      <c r="J1193" s="1" t="s">
        <v>18</v>
      </c>
      <c r="K1193" s="1">
        <v>279000.0</v>
      </c>
      <c r="L1193" s="1">
        <v>56.9612002</v>
      </c>
      <c r="M1193" s="1">
        <v>24.1075394109907</v>
      </c>
    </row>
    <row r="1194">
      <c r="A1194" s="1" t="s">
        <v>22</v>
      </c>
      <c r="B1194" s="1" t="s">
        <v>23</v>
      </c>
      <c r="C1194" s="1" t="s">
        <v>235</v>
      </c>
      <c r="D1194" s="1">
        <v>2.0</v>
      </c>
      <c r="E1194" s="1">
        <v>56.0</v>
      </c>
      <c r="F1194" s="1">
        <v>1.0</v>
      </c>
      <c r="G1194" s="1">
        <v>4.0</v>
      </c>
      <c r="H1194" s="1" t="s">
        <v>66</v>
      </c>
      <c r="I1194" s="1" t="s">
        <v>33</v>
      </c>
      <c r="J1194" s="1" t="s">
        <v>18</v>
      </c>
      <c r="K1194" s="1">
        <v>156000.0</v>
      </c>
      <c r="L1194" s="1">
        <v>56.9612002</v>
      </c>
      <c r="M1194" s="1">
        <v>24.1075394109907</v>
      </c>
    </row>
    <row r="1195">
      <c r="A1195" s="1" t="s">
        <v>22</v>
      </c>
      <c r="B1195" s="1" t="s">
        <v>82</v>
      </c>
      <c r="C1195" s="1" t="s">
        <v>340</v>
      </c>
      <c r="D1195" s="1">
        <v>3.0</v>
      </c>
      <c r="E1195" s="1">
        <v>140.0</v>
      </c>
      <c r="F1195" s="1">
        <v>3.0</v>
      </c>
      <c r="G1195" s="1">
        <v>3.0</v>
      </c>
      <c r="H1195" s="1" t="s">
        <v>32</v>
      </c>
      <c r="I1195" s="1" t="s">
        <v>33</v>
      </c>
      <c r="J1195" s="1" t="s">
        <v>18</v>
      </c>
      <c r="K1195" s="1">
        <v>350000.0</v>
      </c>
      <c r="L1195" s="1">
        <v>56.9606804</v>
      </c>
      <c r="M1195" s="1">
        <v>24.0818363627676</v>
      </c>
    </row>
    <row r="1196">
      <c r="A1196" s="1" t="s">
        <v>22</v>
      </c>
      <c r="B1196" s="1" t="s">
        <v>23</v>
      </c>
      <c r="C1196" s="1" t="s">
        <v>235</v>
      </c>
      <c r="D1196" s="1">
        <v>4.0</v>
      </c>
      <c r="E1196" s="1">
        <v>97.0</v>
      </c>
      <c r="F1196" s="1">
        <v>2.0</v>
      </c>
      <c r="G1196" s="1">
        <v>4.0</v>
      </c>
      <c r="H1196" s="1" t="s">
        <v>66</v>
      </c>
      <c r="I1196" s="1" t="s">
        <v>33</v>
      </c>
      <c r="J1196" s="1" t="s">
        <v>18</v>
      </c>
      <c r="K1196" s="1">
        <v>250000.0</v>
      </c>
      <c r="L1196" s="1">
        <v>56.9612002</v>
      </c>
      <c r="M1196" s="1">
        <v>24.1075394109907</v>
      </c>
    </row>
    <row r="1197">
      <c r="A1197" s="1" t="s">
        <v>22</v>
      </c>
      <c r="B1197" s="1" t="s">
        <v>82</v>
      </c>
      <c r="C1197" s="1" t="s">
        <v>988</v>
      </c>
      <c r="D1197" s="1">
        <v>2.0</v>
      </c>
      <c r="E1197" s="1">
        <v>72.0</v>
      </c>
      <c r="F1197" s="1">
        <v>1.0</v>
      </c>
      <c r="G1197" s="1">
        <v>3.0</v>
      </c>
      <c r="H1197" s="1" t="s">
        <v>32</v>
      </c>
      <c r="I1197" s="1" t="s">
        <v>33</v>
      </c>
      <c r="J1197" s="1" t="s">
        <v>18</v>
      </c>
      <c r="K1197" s="1">
        <v>240000.0</v>
      </c>
      <c r="L1197" s="1">
        <v>56.9595848999999</v>
      </c>
      <c r="M1197" s="1">
        <v>24.0798651223903</v>
      </c>
    </row>
    <row r="1198">
      <c r="A1198" s="1" t="s">
        <v>22</v>
      </c>
      <c r="B1198" s="1" t="s">
        <v>82</v>
      </c>
      <c r="C1198" s="1" t="s">
        <v>988</v>
      </c>
      <c r="D1198" s="1">
        <v>2.0</v>
      </c>
      <c r="E1198" s="1">
        <v>70.0</v>
      </c>
      <c r="F1198" s="1">
        <v>1.0</v>
      </c>
      <c r="G1198" s="1">
        <v>3.0</v>
      </c>
      <c r="H1198" s="1" t="s">
        <v>32</v>
      </c>
      <c r="I1198" s="1" t="s">
        <v>33</v>
      </c>
      <c r="J1198" s="1" t="s">
        <v>18</v>
      </c>
      <c r="K1198" s="1">
        <v>225000.0</v>
      </c>
      <c r="L1198" s="1">
        <v>56.9595848999999</v>
      </c>
      <c r="M1198" s="1">
        <v>24.0798651223903</v>
      </c>
    </row>
    <row r="1199">
      <c r="A1199" s="1" t="s">
        <v>22</v>
      </c>
      <c r="B1199" s="2"/>
      <c r="C1199" s="1" t="s">
        <v>339</v>
      </c>
      <c r="D1199" s="1">
        <v>3.0</v>
      </c>
      <c r="E1199" s="1">
        <v>79.0</v>
      </c>
      <c r="F1199" s="1">
        <v>1.0</v>
      </c>
      <c r="G1199" s="1">
        <v>4.0</v>
      </c>
      <c r="H1199" s="1" t="s">
        <v>66</v>
      </c>
      <c r="I1199" s="1" t="s">
        <v>33</v>
      </c>
      <c r="J1199" s="1" t="s">
        <v>18</v>
      </c>
      <c r="K1199" s="1">
        <v>260000.0</v>
      </c>
      <c r="L1199" s="1">
        <v>56.9608406</v>
      </c>
      <c r="M1199" s="1">
        <v>24.0817647913357</v>
      </c>
    </row>
    <row r="1200">
      <c r="A1200" s="1" t="s">
        <v>22</v>
      </c>
      <c r="B1200" s="1" t="s">
        <v>82</v>
      </c>
      <c r="C1200" s="1" t="s">
        <v>340</v>
      </c>
      <c r="D1200" s="1">
        <v>3.0</v>
      </c>
      <c r="E1200" s="1">
        <v>99.0</v>
      </c>
      <c r="F1200" s="1">
        <v>2.0</v>
      </c>
      <c r="G1200" s="1">
        <v>3.0</v>
      </c>
      <c r="H1200" s="1" t="s">
        <v>32</v>
      </c>
      <c r="I1200" s="1" t="s">
        <v>33</v>
      </c>
      <c r="J1200" s="1" t="s">
        <v>18</v>
      </c>
      <c r="K1200" s="1">
        <v>330000.0</v>
      </c>
      <c r="L1200" s="1">
        <v>56.9606804</v>
      </c>
      <c r="M1200" s="1">
        <v>24.0818363627676</v>
      </c>
    </row>
    <row r="1201">
      <c r="A1201" s="1" t="s">
        <v>22</v>
      </c>
      <c r="B1201" s="1" t="s">
        <v>174</v>
      </c>
      <c r="C1201" s="1" t="s">
        <v>233</v>
      </c>
      <c r="D1201" s="1">
        <v>3.0</v>
      </c>
      <c r="E1201" s="1">
        <v>68.0</v>
      </c>
      <c r="F1201" s="1">
        <v>5.0</v>
      </c>
      <c r="G1201" s="1">
        <v>5.0</v>
      </c>
      <c r="H1201" s="1">
        <v>103.0</v>
      </c>
      <c r="I1201" s="1" t="s">
        <v>17</v>
      </c>
      <c r="J1201" s="1" t="s">
        <v>18</v>
      </c>
      <c r="K1201" s="1">
        <v>80000.0</v>
      </c>
      <c r="L1201" s="1">
        <v>56.9505884</v>
      </c>
      <c r="M1201" s="1">
        <v>24.1734239</v>
      </c>
    </row>
    <row r="1202">
      <c r="A1202" s="1" t="s">
        <v>13</v>
      </c>
      <c r="B1202" s="1" t="s">
        <v>422</v>
      </c>
      <c r="C1202" s="1" t="s">
        <v>989</v>
      </c>
      <c r="D1202" s="1">
        <v>1.0</v>
      </c>
      <c r="E1202" s="1">
        <v>13.0</v>
      </c>
      <c r="F1202" s="1">
        <v>1.0</v>
      </c>
      <c r="G1202" s="1">
        <v>3.0</v>
      </c>
      <c r="H1202" s="1" t="s">
        <v>44</v>
      </c>
      <c r="I1202" s="1" t="s">
        <v>37</v>
      </c>
      <c r="J1202" s="1" t="s">
        <v>18</v>
      </c>
      <c r="K1202" s="1">
        <v>200.0</v>
      </c>
      <c r="L1202" s="1">
        <v>56.9406706</v>
      </c>
      <c r="M1202" s="1">
        <v>24.0386236</v>
      </c>
    </row>
    <row r="1203">
      <c r="A1203" s="1" t="s">
        <v>13</v>
      </c>
      <c r="B1203" s="1" t="s">
        <v>104</v>
      </c>
      <c r="C1203" s="1" t="s">
        <v>990</v>
      </c>
      <c r="D1203" s="1">
        <v>1.0</v>
      </c>
      <c r="E1203" s="1">
        <v>13.0</v>
      </c>
      <c r="F1203" s="1">
        <v>1.0</v>
      </c>
      <c r="G1203" s="1">
        <v>3.0</v>
      </c>
      <c r="H1203" s="1" t="s">
        <v>44</v>
      </c>
      <c r="I1203" s="1" t="s">
        <v>37</v>
      </c>
      <c r="J1203" s="1" t="s">
        <v>18</v>
      </c>
      <c r="K1203" s="1">
        <v>200.0</v>
      </c>
      <c r="L1203" s="1">
        <v>56.936687</v>
      </c>
      <c r="M1203" s="1">
        <v>24.0418220761876</v>
      </c>
    </row>
    <row r="1204">
      <c r="A1204" s="1" t="s">
        <v>22</v>
      </c>
      <c r="B1204" s="1" t="s">
        <v>14</v>
      </c>
      <c r="C1204" s="1" t="s">
        <v>991</v>
      </c>
      <c r="D1204" s="1">
        <v>3.0</v>
      </c>
      <c r="E1204" s="1">
        <v>81.8</v>
      </c>
      <c r="F1204" s="1">
        <v>5.0</v>
      </c>
      <c r="G1204" s="1">
        <v>6.0</v>
      </c>
      <c r="H1204" s="1" t="s">
        <v>32</v>
      </c>
      <c r="I1204" s="1" t="s">
        <v>21</v>
      </c>
      <c r="J1204" s="1" t="s">
        <v>18</v>
      </c>
      <c r="K1204" s="1">
        <v>152966.0</v>
      </c>
      <c r="L1204" s="1">
        <v>56.9651554999999</v>
      </c>
      <c r="M1204" s="1">
        <v>24.1783224911961</v>
      </c>
    </row>
    <row r="1205">
      <c r="A1205" s="1" t="s">
        <v>13</v>
      </c>
      <c r="B1205" s="1" t="s">
        <v>23</v>
      </c>
      <c r="C1205" s="1" t="s">
        <v>539</v>
      </c>
      <c r="D1205" s="1">
        <v>2.0</v>
      </c>
      <c r="E1205" s="1">
        <v>45.0</v>
      </c>
      <c r="F1205" s="1">
        <v>2.0</v>
      </c>
      <c r="G1205" s="1">
        <v>6.0</v>
      </c>
      <c r="H1205" s="1" t="s">
        <v>66</v>
      </c>
      <c r="I1205" s="1" t="s">
        <v>33</v>
      </c>
      <c r="J1205" s="1" t="s">
        <v>18</v>
      </c>
      <c r="K1205" s="1">
        <v>430.0</v>
      </c>
      <c r="L1205" s="1">
        <v>56.9626863</v>
      </c>
      <c r="M1205" s="1">
        <v>24.1480584</v>
      </c>
    </row>
    <row r="1206">
      <c r="A1206" s="1" t="s">
        <v>13</v>
      </c>
      <c r="B1206" s="1" t="s">
        <v>14</v>
      </c>
      <c r="C1206" s="1" t="s">
        <v>991</v>
      </c>
      <c r="D1206" s="1">
        <v>3.0</v>
      </c>
      <c r="E1206" s="1">
        <v>82.0</v>
      </c>
      <c r="F1206" s="1">
        <v>2.0</v>
      </c>
      <c r="G1206" s="1">
        <v>6.0</v>
      </c>
      <c r="H1206" s="1" t="s">
        <v>32</v>
      </c>
      <c r="I1206" s="1" t="s">
        <v>21</v>
      </c>
      <c r="J1206" s="1" t="s">
        <v>18</v>
      </c>
      <c r="K1206" s="1">
        <v>820.0</v>
      </c>
      <c r="L1206" s="1">
        <v>56.9651554999999</v>
      </c>
      <c r="M1206" s="1">
        <v>24.1783224911961</v>
      </c>
    </row>
    <row r="1207">
      <c r="A1207" s="1" t="s">
        <v>22</v>
      </c>
      <c r="B1207" s="1" t="s">
        <v>14</v>
      </c>
      <c r="C1207" s="1" t="s">
        <v>991</v>
      </c>
      <c r="D1207" s="1">
        <v>3.0</v>
      </c>
      <c r="E1207" s="1">
        <v>88.4</v>
      </c>
      <c r="F1207" s="1">
        <v>6.0</v>
      </c>
      <c r="G1207" s="1">
        <v>6.0</v>
      </c>
      <c r="H1207" s="1" t="s">
        <v>32</v>
      </c>
      <c r="I1207" s="1" t="s">
        <v>21</v>
      </c>
      <c r="J1207" s="1" t="s">
        <v>18</v>
      </c>
      <c r="K1207" s="1">
        <v>165308.0</v>
      </c>
      <c r="L1207" s="1">
        <v>56.9651554999999</v>
      </c>
      <c r="M1207" s="1">
        <v>24.1783224911961</v>
      </c>
    </row>
    <row r="1208">
      <c r="A1208" s="1" t="s">
        <v>13</v>
      </c>
      <c r="B1208" s="1" t="s">
        <v>23</v>
      </c>
      <c r="C1208" s="1" t="s">
        <v>992</v>
      </c>
      <c r="D1208" s="1">
        <v>2.0</v>
      </c>
      <c r="E1208" s="1">
        <v>102.0</v>
      </c>
      <c r="F1208" s="1">
        <v>1.0</v>
      </c>
      <c r="G1208" s="1">
        <v>6.0</v>
      </c>
      <c r="H1208" s="1" t="s">
        <v>32</v>
      </c>
      <c r="I1208" s="1" t="s">
        <v>17</v>
      </c>
      <c r="J1208" s="1" t="s">
        <v>18</v>
      </c>
      <c r="K1208" s="1">
        <v>700.0</v>
      </c>
      <c r="L1208" s="1">
        <v>56.9596901</v>
      </c>
      <c r="M1208" s="1">
        <v>24.1134811</v>
      </c>
    </row>
    <row r="1209">
      <c r="A1209" s="1" t="s">
        <v>13</v>
      </c>
      <c r="B1209" s="1" t="s">
        <v>23</v>
      </c>
      <c r="C1209" s="1" t="s">
        <v>993</v>
      </c>
      <c r="D1209" s="1">
        <v>3.0</v>
      </c>
      <c r="E1209" s="1">
        <v>97.0</v>
      </c>
      <c r="F1209" s="1">
        <v>3.0</v>
      </c>
      <c r="G1209" s="1">
        <v>6.0</v>
      </c>
      <c r="H1209" s="1" t="s">
        <v>66</v>
      </c>
      <c r="I1209" s="1" t="s">
        <v>33</v>
      </c>
      <c r="J1209" s="1" t="s">
        <v>18</v>
      </c>
      <c r="K1209" s="1">
        <v>520.0</v>
      </c>
      <c r="L1209" s="1">
        <v>56.9499105999999</v>
      </c>
      <c r="M1209" s="1">
        <v>24.1407992387323</v>
      </c>
    </row>
    <row r="1210">
      <c r="A1210" s="1" t="s">
        <v>13</v>
      </c>
      <c r="B1210" s="1" t="s">
        <v>14</v>
      </c>
      <c r="C1210" s="1" t="s">
        <v>994</v>
      </c>
      <c r="D1210" s="1">
        <v>1.0</v>
      </c>
      <c r="E1210" s="1">
        <v>36.0</v>
      </c>
      <c r="F1210" s="1">
        <v>2.0</v>
      </c>
      <c r="G1210" s="1">
        <v>9.0</v>
      </c>
      <c r="H1210" s="1">
        <v>602.0</v>
      </c>
      <c r="I1210" s="1" t="s">
        <v>21</v>
      </c>
      <c r="J1210" s="1" t="s">
        <v>18</v>
      </c>
      <c r="K1210" s="1">
        <v>225.0</v>
      </c>
      <c r="L1210" s="1">
        <v>56.950443</v>
      </c>
      <c r="M1210" s="1">
        <v>24.2008902</v>
      </c>
    </row>
    <row r="1211">
      <c r="A1211" s="1" t="s">
        <v>22</v>
      </c>
      <c r="B1211" s="1" t="s">
        <v>19</v>
      </c>
      <c r="C1211" s="1" t="s">
        <v>995</v>
      </c>
      <c r="D1211" s="1">
        <v>1.0</v>
      </c>
      <c r="E1211" s="1">
        <v>21.0</v>
      </c>
      <c r="F1211" s="1">
        <v>2.0</v>
      </c>
      <c r="G1211" s="1">
        <v>2.0</v>
      </c>
      <c r="H1211" s="1" t="s">
        <v>25</v>
      </c>
      <c r="I1211" s="1" t="s">
        <v>26</v>
      </c>
      <c r="J1211" s="1" t="s">
        <v>27</v>
      </c>
      <c r="K1211" s="1">
        <v>7500.0</v>
      </c>
      <c r="L1211" s="1">
        <v>56.918403</v>
      </c>
      <c r="M1211" s="1">
        <v>24.0883001</v>
      </c>
    </row>
    <row r="1212">
      <c r="A1212" s="1" t="s">
        <v>22</v>
      </c>
      <c r="B1212" s="1" t="s">
        <v>23</v>
      </c>
      <c r="C1212" s="1" t="s">
        <v>996</v>
      </c>
      <c r="D1212" s="1">
        <v>2.0</v>
      </c>
      <c r="E1212" s="1">
        <v>55.0</v>
      </c>
      <c r="F1212" s="1">
        <v>7.0</v>
      </c>
      <c r="G1212" s="1">
        <v>12.0</v>
      </c>
      <c r="H1212" s="1" t="s">
        <v>36</v>
      </c>
      <c r="I1212" s="1" t="s">
        <v>37</v>
      </c>
      <c r="J1212" s="1" t="s">
        <v>18</v>
      </c>
      <c r="K1212" s="1">
        <v>78950.0</v>
      </c>
      <c r="L1212" s="1">
        <v>56.97368625</v>
      </c>
      <c r="M1212" s="1">
        <v>24.1311027209292</v>
      </c>
    </row>
    <row r="1213">
      <c r="A1213" s="1" t="s">
        <v>22</v>
      </c>
      <c r="B1213" s="1" t="s">
        <v>14</v>
      </c>
      <c r="C1213" s="1" t="s">
        <v>997</v>
      </c>
      <c r="D1213" s="1">
        <v>1.0</v>
      </c>
      <c r="E1213" s="1">
        <v>40.0</v>
      </c>
      <c r="F1213" s="1">
        <v>2.0</v>
      </c>
      <c r="G1213" s="1">
        <v>5.0</v>
      </c>
      <c r="H1213" s="1" t="s">
        <v>57</v>
      </c>
      <c r="I1213" s="1" t="s">
        <v>21</v>
      </c>
      <c r="J1213" s="1" t="s">
        <v>18</v>
      </c>
      <c r="K1213" s="1">
        <v>36750.0</v>
      </c>
      <c r="L1213" s="1">
        <v>56.964717</v>
      </c>
      <c r="M1213" s="1">
        <v>24.1962984488949</v>
      </c>
    </row>
    <row r="1214">
      <c r="A1214" s="1" t="s">
        <v>22</v>
      </c>
      <c r="B1214" s="1" t="s">
        <v>23</v>
      </c>
      <c r="C1214" s="1" t="s">
        <v>303</v>
      </c>
      <c r="D1214" s="1">
        <v>5.0</v>
      </c>
      <c r="E1214" s="1">
        <v>145.0</v>
      </c>
      <c r="F1214" s="1">
        <v>4.0</v>
      </c>
      <c r="G1214" s="1">
        <v>5.0</v>
      </c>
      <c r="H1214" s="1" t="s">
        <v>25</v>
      </c>
      <c r="I1214" s="1" t="s">
        <v>33</v>
      </c>
      <c r="J1214" s="1" t="s">
        <v>18</v>
      </c>
      <c r="K1214" s="1">
        <v>216000.0</v>
      </c>
      <c r="L1214" s="1">
        <v>56.9614591499999</v>
      </c>
      <c r="M1214" s="1">
        <v>24.1092928040999</v>
      </c>
    </row>
    <row r="1215">
      <c r="A1215" s="1" t="s">
        <v>22</v>
      </c>
      <c r="B1215" s="1" t="s">
        <v>50</v>
      </c>
      <c r="C1215" s="1" t="s">
        <v>763</v>
      </c>
      <c r="D1215" s="1">
        <v>3.0</v>
      </c>
      <c r="E1215" s="1">
        <v>61.0</v>
      </c>
      <c r="F1215" s="1">
        <v>4.0</v>
      </c>
      <c r="G1215" s="1">
        <v>4.0</v>
      </c>
      <c r="H1215" s="1" t="s">
        <v>25</v>
      </c>
      <c r="I1215" s="1" t="s">
        <v>33</v>
      </c>
      <c r="J1215" s="1" t="s">
        <v>18</v>
      </c>
      <c r="K1215" s="1">
        <v>39000.0</v>
      </c>
      <c r="L1215" s="1">
        <v>56.8597884</v>
      </c>
      <c r="M1215" s="1">
        <v>24.3083417</v>
      </c>
    </row>
    <row r="1216">
      <c r="A1216" s="1" t="s">
        <v>22</v>
      </c>
      <c r="B1216" s="1" t="s">
        <v>447</v>
      </c>
      <c r="C1216" s="1" t="s">
        <v>998</v>
      </c>
      <c r="D1216" s="1">
        <v>3.0</v>
      </c>
      <c r="E1216" s="1">
        <v>98.0</v>
      </c>
      <c r="F1216" s="1">
        <v>5.0</v>
      </c>
      <c r="G1216" s="1">
        <v>7.0</v>
      </c>
      <c r="H1216" s="1" t="s">
        <v>32</v>
      </c>
      <c r="I1216" s="1" t="s">
        <v>122</v>
      </c>
      <c r="J1216" s="1" t="s">
        <v>18</v>
      </c>
      <c r="K1216" s="1">
        <v>125000.0</v>
      </c>
      <c r="L1216" s="1">
        <v>56.92102495</v>
      </c>
      <c r="M1216" s="1">
        <v>24.0964637235629</v>
      </c>
    </row>
    <row r="1217">
      <c r="A1217" s="1" t="s">
        <v>22</v>
      </c>
      <c r="B1217" s="1" t="s">
        <v>96</v>
      </c>
      <c r="C1217" s="1" t="s">
        <v>999</v>
      </c>
      <c r="D1217" s="1">
        <v>2.0</v>
      </c>
      <c r="E1217" s="1">
        <v>48.0</v>
      </c>
      <c r="F1217" s="1">
        <v>1.0</v>
      </c>
      <c r="G1217" s="1">
        <v>3.0</v>
      </c>
      <c r="H1217" s="1" t="s">
        <v>44</v>
      </c>
      <c r="I1217" s="1" t="s">
        <v>37</v>
      </c>
      <c r="J1217" s="1" t="s">
        <v>18</v>
      </c>
      <c r="K1217" s="1">
        <v>44500.0</v>
      </c>
      <c r="L1217" s="1">
        <v>57.03627125</v>
      </c>
      <c r="M1217" s="1">
        <v>24.08894255</v>
      </c>
    </row>
    <row r="1218">
      <c r="A1218" s="1" t="s">
        <v>22</v>
      </c>
      <c r="B1218" s="1" t="s">
        <v>117</v>
      </c>
      <c r="C1218" s="1" t="s">
        <v>1000</v>
      </c>
      <c r="D1218" s="1">
        <v>1.0</v>
      </c>
      <c r="E1218" s="1">
        <v>43.0</v>
      </c>
      <c r="F1218" s="1">
        <v>3.0</v>
      </c>
      <c r="G1218" s="1">
        <v>5.0</v>
      </c>
      <c r="H1218" s="1" t="s">
        <v>57</v>
      </c>
      <c r="I1218" s="1" t="s">
        <v>21</v>
      </c>
      <c r="J1218" s="1" t="s">
        <v>18</v>
      </c>
      <c r="K1218" s="1">
        <v>32500.0</v>
      </c>
      <c r="L1218" s="1">
        <v>56.98754535</v>
      </c>
      <c r="M1218" s="1">
        <v>24.1708029401619</v>
      </c>
    </row>
    <row r="1219">
      <c r="A1219" s="1" t="s">
        <v>22</v>
      </c>
      <c r="B1219" s="1" t="s">
        <v>42</v>
      </c>
      <c r="C1219" s="1" t="s">
        <v>1001</v>
      </c>
      <c r="D1219" s="1">
        <v>4.0</v>
      </c>
      <c r="E1219" s="1">
        <v>216.0</v>
      </c>
      <c r="F1219" s="1">
        <v>1.0</v>
      </c>
      <c r="G1219" s="1">
        <v>4.0</v>
      </c>
      <c r="H1219" s="1" t="s">
        <v>32</v>
      </c>
      <c r="I1219" s="1" t="s">
        <v>37</v>
      </c>
      <c r="J1219" s="1" t="s">
        <v>18</v>
      </c>
      <c r="K1219" s="1">
        <v>125000.0</v>
      </c>
      <c r="L1219" s="1">
        <v>56.9761694</v>
      </c>
      <c r="M1219" s="1">
        <v>24.2544503</v>
      </c>
    </row>
    <row r="1220">
      <c r="A1220" s="1" t="s">
        <v>13</v>
      </c>
      <c r="B1220" s="1" t="s">
        <v>174</v>
      </c>
      <c r="C1220" s="1" t="s">
        <v>1002</v>
      </c>
      <c r="D1220" s="1">
        <v>3.0</v>
      </c>
      <c r="E1220" s="1">
        <v>61.0</v>
      </c>
      <c r="F1220" s="1">
        <v>4.0</v>
      </c>
      <c r="G1220" s="1">
        <v>4.0</v>
      </c>
      <c r="H1220" s="1" t="s">
        <v>32</v>
      </c>
      <c r="I1220" s="1" t="s">
        <v>21</v>
      </c>
      <c r="J1220" s="1" t="s">
        <v>18</v>
      </c>
      <c r="K1220" s="1">
        <v>550.0</v>
      </c>
      <c r="L1220" s="1">
        <v>56.9495716</v>
      </c>
      <c r="M1220" s="1">
        <v>24.1762346</v>
      </c>
    </row>
    <row r="1221">
      <c r="A1221" s="1" t="s">
        <v>13</v>
      </c>
      <c r="B1221" s="1" t="s">
        <v>23</v>
      </c>
      <c r="C1221" s="1" t="s">
        <v>278</v>
      </c>
      <c r="D1221" s="1">
        <v>1.0</v>
      </c>
      <c r="E1221" s="1">
        <v>17.0</v>
      </c>
      <c r="F1221" s="1">
        <v>3.0</v>
      </c>
      <c r="G1221" s="1">
        <v>5.0</v>
      </c>
      <c r="H1221" s="1" t="s">
        <v>32</v>
      </c>
      <c r="I1221" s="1" t="s">
        <v>33</v>
      </c>
      <c r="J1221" s="1" t="s">
        <v>18</v>
      </c>
      <c r="K1221" s="1">
        <v>25.0</v>
      </c>
      <c r="L1221" s="1">
        <v>56.9549083</v>
      </c>
      <c r="M1221" s="1">
        <v>24.1376122</v>
      </c>
    </row>
    <row r="1222">
      <c r="A1222" s="1" t="s">
        <v>22</v>
      </c>
      <c r="B1222" s="1" t="s">
        <v>96</v>
      </c>
      <c r="C1222" s="1" t="s">
        <v>1003</v>
      </c>
      <c r="D1222" s="1">
        <v>1.0</v>
      </c>
      <c r="E1222" s="1">
        <v>38.0</v>
      </c>
      <c r="F1222" s="1">
        <v>2.0</v>
      </c>
      <c r="G1222" s="1">
        <v>5.0</v>
      </c>
      <c r="H1222" s="1" t="s">
        <v>36</v>
      </c>
      <c r="I1222" s="1" t="s">
        <v>17</v>
      </c>
      <c r="J1222" s="1" t="s">
        <v>18</v>
      </c>
      <c r="K1222" s="1">
        <v>27500.0</v>
      </c>
      <c r="L1222" s="1">
        <v>57.0373867</v>
      </c>
      <c r="M1222" s="1">
        <v>24.0884618</v>
      </c>
    </row>
    <row r="1223">
      <c r="A1223" s="1" t="s">
        <v>22</v>
      </c>
      <c r="B1223" s="1" t="s">
        <v>96</v>
      </c>
      <c r="C1223" s="1" t="s">
        <v>1004</v>
      </c>
      <c r="D1223" s="1">
        <v>3.0</v>
      </c>
      <c r="E1223" s="1">
        <v>58.0</v>
      </c>
      <c r="F1223" s="1">
        <v>5.0</v>
      </c>
      <c r="G1223" s="1">
        <v>5.0</v>
      </c>
      <c r="H1223" s="1" t="s">
        <v>16</v>
      </c>
      <c r="I1223" s="1" t="s">
        <v>21</v>
      </c>
      <c r="J1223" s="1" t="s">
        <v>18</v>
      </c>
      <c r="K1223" s="1">
        <v>34500.0</v>
      </c>
      <c r="L1223" s="1" t="s">
        <v>40</v>
      </c>
      <c r="M1223" s="1" t="s">
        <v>40</v>
      </c>
    </row>
    <row r="1224">
      <c r="A1224" s="1" t="s">
        <v>22</v>
      </c>
      <c r="B1224" s="1" t="s">
        <v>52</v>
      </c>
      <c r="C1224" s="1" t="s">
        <v>1005</v>
      </c>
      <c r="D1224" s="1">
        <v>3.0</v>
      </c>
      <c r="E1224" s="1">
        <v>83.0</v>
      </c>
      <c r="F1224" s="1">
        <v>7.0</v>
      </c>
      <c r="G1224" s="1">
        <v>9.0</v>
      </c>
      <c r="H1224" s="1">
        <v>119.0</v>
      </c>
      <c r="I1224" s="1" t="s">
        <v>122</v>
      </c>
      <c r="J1224" s="1" t="s">
        <v>18</v>
      </c>
      <c r="K1224" s="1">
        <v>64000.0</v>
      </c>
      <c r="L1224" s="1" t="s">
        <v>40</v>
      </c>
      <c r="M1224" s="1" t="s">
        <v>40</v>
      </c>
    </row>
    <row r="1225">
      <c r="A1225" s="1" t="s">
        <v>22</v>
      </c>
      <c r="B1225" s="1" t="s">
        <v>23</v>
      </c>
      <c r="C1225" s="1" t="s">
        <v>91</v>
      </c>
      <c r="D1225" s="1">
        <v>3.0</v>
      </c>
      <c r="E1225" s="1">
        <v>126.0</v>
      </c>
      <c r="F1225" s="1">
        <v>6.0</v>
      </c>
      <c r="G1225" s="1">
        <v>6.0</v>
      </c>
      <c r="H1225" s="1" t="s">
        <v>32</v>
      </c>
      <c r="I1225" s="1" t="s">
        <v>33</v>
      </c>
      <c r="J1225" s="1" t="s">
        <v>18</v>
      </c>
      <c r="K1225" s="1">
        <v>273000.0</v>
      </c>
      <c r="L1225" s="1">
        <v>56.9552522</v>
      </c>
      <c r="M1225" s="1">
        <v>24.0999991251943</v>
      </c>
    </row>
    <row r="1226">
      <c r="A1226" s="1" t="s">
        <v>22</v>
      </c>
      <c r="B1226" s="1" t="s">
        <v>129</v>
      </c>
      <c r="C1226" s="1" t="s">
        <v>1006</v>
      </c>
      <c r="D1226" s="1">
        <v>1.0</v>
      </c>
      <c r="E1226" s="1">
        <v>28.0</v>
      </c>
      <c r="F1226" s="1">
        <v>7.0</v>
      </c>
      <c r="G1226" s="1">
        <v>9.0</v>
      </c>
      <c r="H1226" s="1" t="s">
        <v>36</v>
      </c>
      <c r="I1226" s="1" t="s">
        <v>17</v>
      </c>
      <c r="J1226" s="1" t="s">
        <v>18</v>
      </c>
      <c r="K1226" s="1">
        <v>27900.0</v>
      </c>
      <c r="L1226" s="1">
        <v>56.9984366</v>
      </c>
      <c r="M1226" s="1">
        <v>24.1328951</v>
      </c>
    </row>
    <row r="1227">
      <c r="A1227" s="1" t="s">
        <v>22</v>
      </c>
      <c r="B1227" s="1" t="s">
        <v>94</v>
      </c>
      <c r="C1227" s="1" t="s">
        <v>1007</v>
      </c>
      <c r="D1227" s="1">
        <v>4.0</v>
      </c>
      <c r="E1227" s="1">
        <v>80.0</v>
      </c>
      <c r="F1227" s="1">
        <v>9.0</v>
      </c>
      <c r="G1227" s="1">
        <v>9.0</v>
      </c>
      <c r="H1227" s="1">
        <v>467.0</v>
      </c>
      <c r="I1227" s="1" t="s">
        <v>21</v>
      </c>
      <c r="J1227" s="1" t="s">
        <v>18</v>
      </c>
      <c r="K1227" s="1">
        <v>79000.0</v>
      </c>
      <c r="L1227" s="1">
        <v>56.93086485</v>
      </c>
      <c r="M1227" s="1">
        <v>24.1650278688019</v>
      </c>
    </row>
    <row r="1228">
      <c r="A1228" s="1" t="s">
        <v>22</v>
      </c>
      <c r="B1228" s="1" t="s">
        <v>96</v>
      </c>
      <c r="C1228" s="1" t="s">
        <v>1008</v>
      </c>
      <c r="D1228" s="1">
        <v>2.0</v>
      </c>
      <c r="E1228" s="1">
        <v>51.0</v>
      </c>
      <c r="F1228" s="1">
        <v>6.0</v>
      </c>
      <c r="G1228" s="1">
        <v>9.0</v>
      </c>
      <c r="H1228" s="1">
        <v>602.0</v>
      </c>
      <c r="I1228" s="1" t="s">
        <v>21</v>
      </c>
      <c r="J1228" s="1" t="s">
        <v>18</v>
      </c>
      <c r="K1228" s="1">
        <v>53000.0</v>
      </c>
      <c r="L1228" s="1">
        <v>57.03824475</v>
      </c>
      <c r="M1228" s="1">
        <v>24.0993423582241</v>
      </c>
    </row>
    <row r="1229">
      <c r="A1229" s="1" t="s">
        <v>89</v>
      </c>
      <c r="B1229" s="1" t="s">
        <v>28</v>
      </c>
      <c r="C1229" s="2"/>
      <c r="D1229" s="1" t="s">
        <v>90</v>
      </c>
      <c r="E1229" s="2"/>
      <c r="F1229" s="2"/>
      <c r="G1229" s="2"/>
      <c r="H1229" s="2"/>
      <c r="I1229" s="2"/>
      <c r="J1229" s="2"/>
      <c r="K1229" s="2"/>
      <c r="L1229" s="1">
        <v>46.3144754</v>
      </c>
      <c r="M1229" s="1">
        <v>11.0480288</v>
      </c>
    </row>
    <row r="1230">
      <c r="A1230" s="1" t="s">
        <v>22</v>
      </c>
      <c r="B1230" s="1" t="s">
        <v>19</v>
      </c>
      <c r="C1230" s="1" t="s">
        <v>120</v>
      </c>
      <c r="D1230" s="1">
        <v>2.0</v>
      </c>
      <c r="E1230" s="1">
        <v>58.0</v>
      </c>
      <c r="F1230" s="1">
        <v>4.0</v>
      </c>
      <c r="G1230" s="1">
        <v>9.0</v>
      </c>
      <c r="H1230" s="1">
        <v>119.0</v>
      </c>
      <c r="I1230" s="1" t="s">
        <v>21</v>
      </c>
      <c r="J1230" s="1" t="s">
        <v>18</v>
      </c>
      <c r="K1230" s="1">
        <v>63000.0</v>
      </c>
      <c r="L1230" s="1">
        <v>56.89859735</v>
      </c>
      <c r="M1230" s="1">
        <v>24.0876707999998</v>
      </c>
    </row>
    <row r="1231">
      <c r="A1231" s="1" t="s">
        <v>22</v>
      </c>
      <c r="B1231" s="1" t="s">
        <v>151</v>
      </c>
      <c r="C1231" s="1" t="s">
        <v>1009</v>
      </c>
      <c r="D1231" s="1">
        <v>1.0</v>
      </c>
      <c r="E1231" s="1">
        <v>26.0</v>
      </c>
      <c r="F1231" s="1">
        <v>1.0</v>
      </c>
      <c r="G1231" s="1">
        <v>2.0</v>
      </c>
      <c r="H1231" s="1" t="s">
        <v>25</v>
      </c>
      <c r="I1231" s="1" t="s">
        <v>26</v>
      </c>
      <c r="J1231" s="1" t="s">
        <v>18</v>
      </c>
      <c r="K1231" s="1">
        <v>14900.0</v>
      </c>
      <c r="L1231" s="1">
        <v>56.9638561</v>
      </c>
      <c r="M1231" s="1">
        <v>24.0648827857561</v>
      </c>
    </row>
    <row r="1232">
      <c r="A1232" s="1" t="s">
        <v>22</v>
      </c>
      <c r="B1232" s="1" t="s">
        <v>74</v>
      </c>
      <c r="C1232" s="1" t="s">
        <v>1010</v>
      </c>
      <c r="D1232" s="1">
        <v>4.0</v>
      </c>
      <c r="E1232" s="1">
        <v>78.0</v>
      </c>
      <c r="F1232" s="1">
        <v>7.0</v>
      </c>
      <c r="G1232" s="1">
        <v>9.0</v>
      </c>
      <c r="H1232" s="1">
        <v>602.0</v>
      </c>
      <c r="I1232" s="1" t="s">
        <v>21</v>
      </c>
      <c r="J1232" s="1" t="s">
        <v>18</v>
      </c>
      <c r="K1232" s="1">
        <v>88600.0</v>
      </c>
      <c r="L1232" s="1">
        <v>56.93766455</v>
      </c>
      <c r="M1232" s="1">
        <v>24.1982994594609</v>
      </c>
    </row>
    <row r="1233">
      <c r="A1233" s="1" t="s">
        <v>22</v>
      </c>
      <c r="B1233" s="1" t="s">
        <v>23</v>
      </c>
      <c r="C1233" s="1" t="s">
        <v>1011</v>
      </c>
      <c r="D1233" s="1">
        <v>2.0</v>
      </c>
      <c r="E1233" s="1">
        <v>50.0</v>
      </c>
      <c r="F1233" s="1">
        <v>4.0</v>
      </c>
      <c r="G1233" s="1">
        <v>5.0</v>
      </c>
      <c r="H1233" s="1" t="s">
        <v>25</v>
      </c>
      <c r="I1233" s="1" t="s">
        <v>33</v>
      </c>
      <c r="J1233" s="1" t="s">
        <v>18</v>
      </c>
      <c r="K1233" s="1">
        <v>67000.0</v>
      </c>
      <c r="L1233" s="1">
        <v>56.9424281</v>
      </c>
      <c r="M1233" s="1">
        <v>24.131972</v>
      </c>
    </row>
    <row r="1234">
      <c r="A1234" s="1" t="s">
        <v>13</v>
      </c>
      <c r="B1234" s="1" t="s">
        <v>23</v>
      </c>
      <c r="C1234" s="1" t="s">
        <v>1012</v>
      </c>
      <c r="D1234" s="1">
        <v>1.0</v>
      </c>
      <c r="E1234" s="1">
        <v>22.0</v>
      </c>
      <c r="F1234" s="1">
        <v>6.0</v>
      </c>
      <c r="G1234" s="1">
        <v>5.0</v>
      </c>
      <c r="H1234" s="1" t="s">
        <v>25</v>
      </c>
      <c r="I1234" s="1" t="s">
        <v>37</v>
      </c>
      <c r="J1234" s="1" t="s">
        <v>18</v>
      </c>
      <c r="K1234" s="1">
        <v>30.0</v>
      </c>
      <c r="L1234" s="1">
        <v>56.95035715</v>
      </c>
      <c r="M1234" s="1">
        <v>24.1357606589646</v>
      </c>
    </row>
    <row r="1235">
      <c r="A1235" s="1" t="s">
        <v>22</v>
      </c>
      <c r="B1235" s="1" t="s">
        <v>14</v>
      </c>
      <c r="C1235" s="1" t="s">
        <v>189</v>
      </c>
      <c r="D1235" s="1">
        <v>1.0</v>
      </c>
      <c r="E1235" s="1">
        <v>39.0</v>
      </c>
      <c r="F1235" s="1">
        <v>1.0</v>
      </c>
      <c r="G1235" s="1">
        <v>5.0</v>
      </c>
      <c r="H1235" s="1" t="s">
        <v>57</v>
      </c>
      <c r="I1235" s="1" t="s">
        <v>21</v>
      </c>
      <c r="J1235" s="1" t="s">
        <v>18</v>
      </c>
      <c r="K1235" s="1">
        <v>37500.0</v>
      </c>
      <c r="L1235" s="1">
        <v>56.95697915</v>
      </c>
      <c r="M1235" s="1">
        <v>24.1694646616754</v>
      </c>
    </row>
    <row r="1236">
      <c r="A1236" s="1" t="s">
        <v>13</v>
      </c>
      <c r="B1236" s="1" t="s">
        <v>23</v>
      </c>
      <c r="C1236" s="1" t="s">
        <v>1013</v>
      </c>
      <c r="D1236" s="1">
        <v>1.0</v>
      </c>
      <c r="E1236" s="1">
        <v>30.0</v>
      </c>
      <c r="F1236" s="1">
        <v>4.0</v>
      </c>
      <c r="G1236" s="1">
        <v>9.0</v>
      </c>
      <c r="H1236" s="1" t="s">
        <v>66</v>
      </c>
      <c r="I1236" s="1" t="s">
        <v>33</v>
      </c>
      <c r="J1236" s="1" t="s">
        <v>18</v>
      </c>
      <c r="K1236" s="1">
        <v>240.0</v>
      </c>
      <c r="L1236" s="1">
        <v>56.974699</v>
      </c>
      <c r="M1236" s="1">
        <v>24.1449329</v>
      </c>
    </row>
    <row r="1237">
      <c r="A1237" s="1" t="s">
        <v>13</v>
      </c>
      <c r="B1237" s="1" t="s">
        <v>23</v>
      </c>
      <c r="C1237" s="1" t="s">
        <v>617</v>
      </c>
      <c r="D1237" s="1">
        <v>6.0</v>
      </c>
      <c r="E1237" s="1">
        <v>120.0</v>
      </c>
      <c r="F1237" s="1">
        <v>5.0</v>
      </c>
      <c r="G1237" s="1">
        <v>5.0</v>
      </c>
      <c r="H1237" s="1" t="s">
        <v>25</v>
      </c>
      <c r="I1237" s="1" t="s">
        <v>33</v>
      </c>
      <c r="J1237" s="1" t="s">
        <v>18</v>
      </c>
      <c r="K1237" s="1">
        <v>330.0</v>
      </c>
      <c r="L1237" s="1" t="s">
        <v>40</v>
      </c>
      <c r="M1237" s="1" t="s">
        <v>40</v>
      </c>
    </row>
    <row r="1238">
      <c r="A1238" s="1" t="s">
        <v>22</v>
      </c>
      <c r="B1238" s="1" t="s">
        <v>96</v>
      </c>
      <c r="C1238" s="1" t="s">
        <v>1014</v>
      </c>
      <c r="D1238" s="1">
        <v>1.0</v>
      </c>
      <c r="E1238" s="1">
        <v>14.0</v>
      </c>
      <c r="F1238" s="1">
        <v>3.0</v>
      </c>
      <c r="G1238" s="1">
        <v>3.0</v>
      </c>
      <c r="H1238" s="1" t="s">
        <v>25</v>
      </c>
      <c r="I1238" s="1" t="s">
        <v>33</v>
      </c>
      <c r="J1238" s="1" t="s">
        <v>18</v>
      </c>
      <c r="K1238" s="1">
        <v>5000.0</v>
      </c>
      <c r="L1238" s="1">
        <v>57.0300308</v>
      </c>
      <c r="M1238" s="1">
        <v>24.1122349</v>
      </c>
    </row>
    <row r="1239">
      <c r="A1239" s="1" t="s">
        <v>22</v>
      </c>
      <c r="B1239" s="1" t="s">
        <v>14</v>
      </c>
      <c r="C1239" s="1" t="s">
        <v>1015</v>
      </c>
      <c r="D1239" s="1">
        <v>4.0</v>
      </c>
      <c r="E1239" s="1">
        <v>98.0</v>
      </c>
      <c r="F1239" s="1">
        <v>5.0</v>
      </c>
      <c r="G1239" s="1">
        <v>6.0</v>
      </c>
      <c r="H1239" s="1">
        <v>119.0</v>
      </c>
      <c r="I1239" s="1" t="s">
        <v>21</v>
      </c>
      <c r="J1239" s="1" t="s">
        <v>18</v>
      </c>
      <c r="K1239" s="1">
        <v>85500.0</v>
      </c>
      <c r="L1239" s="1">
        <v>56.9515082</v>
      </c>
      <c r="M1239" s="1">
        <v>24.17856285</v>
      </c>
    </row>
    <row r="1240">
      <c r="A1240" s="1" t="s">
        <v>89</v>
      </c>
      <c r="B1240" s="1" t="s">
        <v>38</v>
      </c>
      <c r="C1240" s="2"/>
      <c r="D1240" s="1" t="s">
        <v>90</v>
      </c>
      <c r="E1240" s="2"/>
      <c r="F1240" s="2"/>
      <c r="G1240" s="2"/>
      <c r="H1240" s="2"/>
      <c r="I1240" s="2"/>
      <c r="J1240" s="2"/>
      <c r="K1240" s="2"/>
      <c r="L1240" s="1">
        <v>46.3144754</v>
      </c>
      <c r="M1240" s="1">
        <v>11.0480288</v>
      </c>
    </row>
    <row r="1241">
      <c r="A1241" s="1" t="s">
        <v>13</v>
      </c>
      <c r="B1241" s="1" t="s">
        <v>23</v>
      </c>
      <c r="C1241" s="1" t="s">
        <v>1016</v>
      </c>
      <c r="D1241" s="1">
        <v>2.0</v>
      </c>
      <c r="E1241" s="1">
        <v>50.0</v>
      </c>
      <c r="F1241" s="1">
        <v>2.0</v>
      </c>
      <c r="G1241" s="1">
        <v>5.0</v>
      </c>
      <c r="H1241" s="1">
        <v>104.0</v>
      </c>
      <c r="I1241" s="1" t="s">
        <v>37</v>
      </c>
      <c r="J1241" s="1" t="s">
        <v>18</v>
      </c>
      <c r="K1241" s="1">
        <v>490.0</v>
      </c>
      <c r="L1241" s="1">
        <v>56.955527</v>
      </c>
      <c r="M1241" s="1">
        <v>24.1264427737396</v>
      </c>
    </row>
    <row r="1242">
      <c r="A1242" s="1" t="s">
        <v>22</v>
      </c>
      <c r="B1242" s="1" t="s">
        <v>23</v>
      </c>
      <c r="C1242" s="1" t="s">
        <v>1017</v>
      </c>
      <c r="D1242" s="1">
        <v>2.0</v>
      </c>
      <c r="E1242" s="1">
        <v>46.0</v>
      </c>
      <c r="F1242" s="1">
        <v>2.0</v>
      </c>
      <c r="G1242" s="1">
        <v>5.0</v>
      </c>
      <c r="H1242" s="1" t="s">
        <v>25</v>
      </c>
      <c r="I1242" s="1" t="s">
        <v>33</v>
      </c>
      <c r="J1242" s="1" t="s">
        <v>18</v>
      </c>
      <c r="K1242" s="1">
        <v>55000.0</v>
      </c>
      <c r="L1242" s="1">
        <v>56.9706361</v>
      </c>
      <c r="M1242" s="1">
        <v>24.1362455</v>
      </c>
    </row>
    <row r="1243">
      <c r="A1243" s="1" t="s">
        <v>22</v>
      </c>
      <c r="B1243" s="1" t="s">
        <v>30</v>
      </c>
      <c r="C1243" s="1" t="s">
        <v>1018</v>
      </c>
      <c r="D1243" s="1">
        <v>3.0</v>
      </c>
      <c r="E1243" s="1">
        <v>86.0</v>
      </c>
      <c r="F1243" s="1">
        <v>6.0</v>
      </c>
      <c r="G1243" s="1">
        <v>7.0</v>
      </c>
      <c r="H1243" s="1" t="s">
        <v>36</v>
      </c>
      <c r="I1243" s="1" t="s">
        <v>37</v>
      </c>
      <c r="J1243" s="1" t="s">
        <v>18</v>
      </c>
      <c r="K1243" s="1">
        <v>99900.0</v>
      </c>
      <c r="L1243" s="1">
        <v>56.98133745</v>
      </c>
      <c r="M1243" s="1">
        <v>24.1877621027621</v>
      </c>
    </row>
    <row r="1244">
      <c r="A1244" s="1" t="s">
        <v>13</v>
      </c>
      <c r="B1244" s="1" t="s">
        <v>23</v>
      </c>
      <c r="C1244" s="1" t="s">
        <v>1019</v>
      </c>
      <c r="D1244" s="1">
        <v>2.0</v>
      </c>
      <c r="E1244" s="1">
        <v>95.0</v>
      </c>
      <c r="F1244" s="1">
        <v>3.0</v>
      </c>
      <c r="G1244" s="1">
        <v>3.0</v>
      </c>
      <c r="H1244" s="1" t="s">
        <v>66</v>
      </c>
      <c r="I1244" s="1" t="s">
        <v>37</v>
      </c>
      <c r="J1244" s="1" t="s">
        <v>18</v>
      </c>
      <c r="K1244" s="1">
        <v>750.0</v>
      </c>
      <c r="L1244" s="1">
        <v>56.9468471</v>
      </c>
      <c r="M1244" s="1">
        <v>24.133767</v>
      </c>
    </row>
    <row r="1245">
      <c r="A1245" s="1" t="s">
        <v>13</v>
      </c>
      <c r="B1245" s="1" t="s">
        <v>23</v>
      </c>
      <c r="C1245" s="1" t="s">
        <v>470</v>
      </c>
      <c r="D1245" s="1">
        <v>3.0</v>
      </c>
      <c r="E1245" s="1">
        <v>54.0</v>
      </c>
      <c r="F1245" s="1">
        <v>5.0</v>
      </c>
      <c r="G1245" s="1">
        <v>5.0</v>
      </c>
      <c r="H1245" s="1" t="s">
        <v>44</v>
      </c>
      <c r="I1245" s="1" t="s">
        <v>37</v>
      </c>
      <c r="J1245" s="1" t="s">
        <v>18</v>
      </c>
      <c r="K1245" s="1">
        <v>400.0</v>
      </c>
      <c r="L1245" s="1">
        <v>56.96867625</v>
      </c>
      <c r="M1245" s="1">
        <v>24.13004095</v>
      </c>
    </row>
    <row r="1246">
      <c r="A1246" s="1" t="s">
        <v>22</v>
      </c>
      <c r="B1246" s="1" t="s">
        <v>48</v>
      </c>
      <c r="C1246" s="1" t="s">
        <v>1020</v>
      </c>
      <c r="D1246" s="1">
        <v>3.0</v>
      </c>
      <c r="E1246" s="1">
        <v>74.0</v>
      </c>
      <c r="F1246" s="1">
        <v>3.0</v>
      </c>
      <c r="G1246" s="1">
        <v>16.0</v>
      </c>
      <c r="H1246" s="1">
        <v>104.0</v>
      </c>
      <c r="I1246" s="1" t="s">
        <v>21</v>
      </c>
      <c r="J1246" s="1" t="s">
        <v>18</v>
      </c>
      <c r="K1246" s="1">
        <v>63000.0</v>
      </c>
      <c r="L1246" s="1">
        <v>56.95996775</v>
      </c>
      <c r="M1246" s="1">
        <v>24.2349046</v>
      </c>
    </row>
    <row r="1247">
      <c r="A1247" s="1" t="s">
        <v>22</v>
      </c>
      <c r="B1247" s="1" t="s">
        <v>52</v>
      </c>
      <c r="C1247" s="1" t="s">
        <v>1021</v>
      </c>
      <c r="D1247" s="1">
        <v>1.0</v>
      </c>
      <c r="E1247" s="1">
        <v>46.0</v>
      </c>
      <c r="F1247" s="1">
        <v>9.0</v>
      </c>
      <c r="G1247" s="1">
        <v>9.0</v>
      </c>
      <c r="H1247" s="1">
        <v>119.0</v>
      </c>
      <c r="I1247" s="1" t="s">
        <v>21</v>
      </c>
      <c r="J1247" s="1" t="s">
        <v>18</v>
      </c>
      <c r="K1247" s="1">
        <v>47000.0</v>
      </c>
      <c r="L1247" s="1">
        <v>56.9478153999999</v>
      </c>
      <c r="M1247" s="1">
        <v>24.0044636133064</v>
      </c>
    </row>
    <row r="1248">
      <c r="A1248" s="1" t="s">
        <v>13</v>
      </c>
      <c r="B1248" s="1" t="s">
        <v>23</v>
      </c>
      <c r="C1248" s="1" t="s">
        <v>1022</v>
      </c>
      <c r="D1248" s="1">
        <v>2.0</v>
      </c>
      <c r="E1248" s="1">
        <v>66.0</v>
      </c>
      <c r="F1248" s="1">
        <v>4.0</v>
      </c>
      <c r="G1248" s="1">
        <v>7.0</v>
      </c>
      <c r="H1248" s="1" t="s">
        <v>32</v>
      </c>
      <c r="I1248" s="1" t="s">
        <v>37</v>
      </c>
      <c r="J1248" s="1" t="s">
        <v>18</v>
      </c>
      <c r="K1248" s="1">
        <v>700.0</v>
      </c>
      <c r="L1248" s="1">
        <v>56.9538485</v>
      </c>
      <c r="M1248" s="1">
        <v>24.1405336</v>
      </c>
    </row>
    <row r="1249">
      <c r="A1249" s="1" t="s">
        <v>13</v>
      </c>
      <c r="B1249" s="1" t="s">
        <v>117</v>
      </c>
      <c r="C1249" s="1" t="s">
        <v>1023</v>
      </c>
      <c r="D1249" s="1">
        <v>3.0</v>
      </c>
      <c r="E1249" s="1">
        <v>75.0</v>
      </c>
      <c r="F1249" s="1">
        <v>5.0</v>
      </c>
      <c r="G1249" s="1">
        <v>5.0</v>
      </c>
      <c r="H1249" s="1" t="s">
        <v>32</v>
      </c>
      <c r="I1249" s="1" t="s">
        <v>21</v>
      </c>
      <c r="J1249" s="1" t="s">
        <v>18</v>
      </c>
      <c r="K1249" s="1">
        <v>550.0</v>
      </c>
      <c r="L1249" s="1" t="s">
        <v>40</v>
      </c>
      <c r="M1249" s="1" t="s">
        <v>40</v>
      </c>
    </row>
    <row r="1250">
      <c r="A1250" s="1" t="s">
        <v>22</v>
      </c>
      <c r="B1250" s="1" t="s">
        <v>151</v>
      </c>
      <c r="C1250" s="1" t="s">
        <v>578</v>
      </c>
      <c r="D1250" s="1">
        <v>4.0</v>
      </c>
      <c r="E1250" s="1">
        <v>95.0</v>
      </c>
      <c r="F1250" s="1">
        <v>4.0</v>
      </c>
      <c r="G1250" s="1">
        <v>5.0</v>
      </c>
      <c r="H1250" s="1" t="s">
        <v>32</v>
      </c>
      <c r="I1250" s="1" t="s">
        <v>17</v>
      </c>
      <c r="J1250" s="1" t="s">
        <v>18</v>
      </c>
      <c r="K1250" s="1">
        <v>127000.0</v>
      </c>
      <c r="L1250" s="1">
        <v>56.96791915</v>
      </c>
      <c r="M1250" s="1">
        <v>24.0636401732876</v>
      </c>
    </row>
    <row r="1251">
      <c r="A1251" s="1" t="s">
        <v>13</v>
      </c>
      <c r="B1251" s="1" t="s">
        <v>228</v>
      </c>
      <c r="C1251" s="1" t="s">
        <v>1024</v>
      </c>
      <c r="D1251" s="1">
        <v>2.0</v>
      </c>
      <c r="E1251" s="1">
        <v>70.0</v>
      </c>
      <c r="F1251" s="1">
        <v>2.0</v>
      </c>
      <c r="G1251" s="1">
        <v>2.0</v>
      </c>
      <c r="H1251" s="1" t="s">
        <v>171</v>
      </c>
      <c r="I1251" s="1" t="s">
        <v>21</v>
      </c>
      <c r="J1251" s="1" t="s">
        <v>18</v>
      </c>
      <c r="K1251" s="1">
        <v>450.0</v>
      </c>
      <c r="L1251" s="1">
        <v>56.925638</v>
      </c>
      <c r="M1251" s="1">
        <v>24.0424579</v>
      </c>
    </row>
    <row r="1252">
      <c r="A1252" s="1" t="s">
        <v>22</v>
      </c>
      <c r="B1252" s="1" t="s">
        <v>14</v>
      </c>
      <c r="C1252" s="1" t="s">
        <v>1025</v>
      </c>
      <c r="D1252" s="1">
        <v>2.0</v>
      </c>
      <c r="E1252" s="1">
        <v>63.0</v>
      </c>
      <c r="F1252" s="1">
        <v>4.0</v>
      </c>
      <c r="G1252" s="1">
        <v>24.0</v>
      </c>
      <c r="H1252" s="1" t="s">
        <v>32</v>
      </c>
      <c r="I1252" s="1" t="s">
        <v>122</v>
      </c>
      <c r="J1252" s="1" t="s">
        <v>18</v>
      </c>
      <c r="K1252" s="1">
        <v>150000.0</v>
      </c>
      <c r="L1252" s="1">
        <v>56.952452</v>
      </c>
      <c r="M1252" s="1">
        <v>24.188248</v>
      </c>
    </row>
    <row r="1253">
      <c r="A1253" s="1" t="s">
        <v>22</v>
      </c>
      <c r="B1253" s="1" t="s">
        <v>30</v>
      </c>
      <c r="C1253" s="1" t="s">
        <v>191</v>
      </c>
      <c r="D1253" s="1">
        <v>2.0</v>
      </c>
      <c r="E1253" s="1">
        <v>53.0</v>
      </c>
      <c r="F1253" s="1">
        <v>2.0</v>
      </c>
      <c r="G1253" s="1">
        <v>9.0</v>
      </c>
      <c r="H1253" s="1" t="s">
        <v>36</v>
      </c>
      <c r="I1253" s="1" t="s">
        <v>37</v>
      </c>
      <c r="J1253" s="1" t="s">
        <v>18</v>
      </c>
      <c r="K1253" s="1">
        <v>52000.0</v>
      </c>
      <c r="L1253" s="1">
        <v>56.9788671</v>
      </c>
      <c r="M1253" s="1">
        <v>24.1774824079002</v>
      </c>
    </row>
    <row r="1254">
      <c r="A1254" s="1" t="s">
        <v>22</v>
      </c>
      <c r="B1254" s="1" t="s">
        <v>28</v>
      </c>
      <c r="C1254" s="1" t="s">
        <v>1026</v>
      </c>
      <c r="D1254" s="1">
        <v>2.0</v>
      </c>
      <c r="E1254" s="1">
        <v>50.0</v>
      </c>
      <c r="F1254" s="1">
        <v>1.0</v>
      </c>
      <c r="G1254" s="1">
        <v>5.0</v>
      </c>
      <c r="H1254" s="1" t="s">
        <v>16</v>
      </c>
      <c r="I1254" s="1" t="s">
        <v>21</v>
      </c>
      <c r="J1254" s="1" t="s">
        <v>18</v>
      </c>
      <c r="K1254" s="1">
        <v>38300.0</v>
      </c>
      <c r="L1254" s="1">
        <v>56.90699225</v>
      </c>
      <c r="M1254" s="1">
        <v>24.2036142632823</v>
      </c>
    </row>
    <row r="1255">
      <c r="A1255" s="1" t="s">
        <v>13</v>
      </c>
      <c r="B1255" s="1" t="s">
        <v>23</v>
      </c>
      <c r="C1255" s="1" t="s">
        <v>1027</v>
      </c>
      <c r="D1255" s="1">
        <v>3.0</v>
      </c>
      <c r="E1255" s="1">
        <v>42.0</v>
      </c>
      <c r="F1255" s="1">
        <v>3.0</v>
      </c>
      <c r="G1255" s="1">
        <v>5.0</v>
      </c>
      <c r="H1255" s="1" t="s">
        <v>36</v>
      </c>
      <c r="I1255" s="1" t="s">
        <v>21</v>
      </c>
      <c r="J1255" s="1" t="s">
        <v>18</v>
      </c>
      <c r="K1255" s="1">
        <v>39.0</v>
      </c>
      <c r="L1255" s="1">
        <v>56.9464382</v>
      </c>
      <c r="M1255" s="1">
        <v>24.112882</v>
      </c>
    </row>
    <row r="1256">
      <c r="A1256" s="1" t="s">
        <v>22</v>
      </c>
      <c r="B1256" s="1" t="s">
        <v>23</v>
      </c>
      <c r="C1256" s="1" t="s">
        <v>1028</v>
      </c>
      <c r="D1256" s="1">
        <v>2.0</v>
      </c>
      <c r="E1256" s="1">
        <v>37.0</v>
      </c>
      <c r="F1256" s="1">
        <v>2.0</v>
      </c>
      <c r="G1256" s="1">
        <v>3.0</v>
      </c>
      <c r="H1256" s="1" t="s">
        <v>25</v>
      </c>
      <c r="I1256" s="1" t="s">
        <v>37</v>
      </c>
      <c r="J1256" s="1" t="s">
        <v>27</v>
      </c>
      <c r="K1256" s="1">
        <v>35800.0</v>
      </c>
      <c r="L1256" s="1">
        <v>56.9665945499999</v>
      </c>
      <c r="M1256" s="1">
        <v>24.139699235782</v>
      </c>
    </row>
    <row r="1257">
      <c r="A1257" s="1" t="s">
        <v>13</v>
      </c>
      <c r="B1257" s="1" t="s">
        <v>218</v>
      </c>
      <c r="C1257" s="1" t="s">
        <v>709</v>
      </c>
      <c r="D1257" s="1">
        <v>2.0</v>
      </c>
      <c r="E1257" s="1">
        <v>55.0</v>
      </c>
      <c r="F1257" s="1">
        <v>2.0</v>
      </c>
      <c r="G1257" s="1">
        <v>5.0</v>
      </c>
      <c r="H1257" s="1" t="s">
        <v>32</v>
      </c>
      <c r="I1257" s="1" t="s">
        <v>17</v>
      </c>
      <c r="J1257" s="1" t="s">
        <v>18</v>
      </c>
      <c r="K1257" s="1">
        <v>35.0</v>
      </c>
      <c r="L1257" s="1">
        <v>56.9443781</v>
      </c>
      <c r="M1257" s="1">
        <v>24.1105085</v>
      </c>
    </row>
    <row r="1258">
      <c r="A1258" s="1" t="s">
        <v>22</v>
      </c>
      <c r="B1258" s="1" t="s">
        <v>48</v>
      </c>
      <c r="C1258" s="1" t="s">
        <v>1029</v>
      </c>
      <c r="D1258" s="1">
        <v>1.0</v>
      </c>
      <c r="E1258" s="1">
        <v>34.0</v>
      </c>
      <c r="F1258" s="1">
        <v>1.0</v>
      </c>
      <c r="G1258" s="1">
        <v>5.0</v>
      </c>
      <c r="H1258" s="1" t="s">
        <v>32</v>
      </c>
      <c r="I1258" s="1" t="s">
        <v>33</v>
      </c>
      <c r="J1258" s="1" t="s">
        <v>18</v>
      </c>
      <c r="K1258" s="1">
        <v>45200.0</v>
      </c>
      <c r="L1258" s="1" t="s">
        <v>40</v>
      </c>
      <c r="M1258" s="1" t="s">
        <v>40</v>
      </c>
    </row>
    <row r="1259">
      <c r="A1259" s="1" t="s">
        <v>13</v>
      </c>
      <c r="B1259" s="1" t="s">
        <v>23</v>
      </c>
      <c r="C1259" s="1" t="s">
        <v>280</v>
      </c>
      <c r="D1259" s="1">
        <v>1.0</v>
      </c>
      <c r="E1259" s="1">
        <v>22.0</v>
      </c>
      <c r="F1259" s="1">
        <v>2.0</v>
      </c>
      <c r="G1259" s="1">
        <v>6.0</v>
      </c>
      <c r="H1259" s="1" t="s">
        <v>66</v>
      </c>
      <c r="I1259" s="1" t="s">
        <v>37</v>
      </c>
      <c r="J1259" s="1" t="s">
        <v>18</v>
      </c>
      <c r="K1259" s="1">
        <v>25.0</v>
      </c>
      <c r="L1259" s="1">
        <v>56.95161295</v>
      </c>
      <c r="M1259" s="1">
        <v>24.1224571478615</v>
      </c>
    </row>
    <row r="1260">
      <c r="A1260" s="1" t="s">
        <v>22</v>
      </c>
      <c r="B1260" s="1" t="s">
        <v>23</v>
      </c>
      <c r="C1260" s="1" t="s">
        <v>280</v>
      </c>
      <c r="D1260" s="1">
        <v>6.0</v>
      </c>
      <c r="E1260" s="1">
        <v>119.0</v>
      </c>
      <c r="F1260" s="1">
        <v>6.0</v>
      </c>
      <c r="G1260" s="1">
        <v>6.0</v>
      </c>
      <c r="H1260" s="1" t="s">
        <v>25</v>
      </c>
      <c r="I1260" s="1" t="s">
        <v>33</v>
      </c>
      <c r="J1260" s="1" t="s">
        <v>18</v>
      </c>
      <c r="K1260" s="1">
        <v>298500.0</v>
      </c>
      <c r="L1260" s="1">
        <v>56.95161295</v>
      </c>
      <c r="M1260" s="1">
        <v>24.1224571478615</v>
      </c>
    </row>
    <row r="1261">
      <c r="A1261" s="1" t="s">
        <v>22</v>
      </c>
      <c r="B1261" s="1" t="s">
        <v>19</v>
      </c>
      <c r="C1261" s="1" t="s">
        <v>1030</v>
      </c>
      <c r="D1261" s="1">
        <v>4.0</v>
      </c>
      <c r="E1261" s="1">
        <v>90.0</v>
      </c>
      <c r="F1261" s="1">
        <v>6.0</v>
      </c>
      <c r="G1261" s="1">
        <v>10.0</v>
      </c>
      <c r="H1261" s="1">
        <v>119.0</v>
      </c>
      <c r="I1261" s="1" t="s">
        <v>21</v>
      </c>
      <c r="J1261" s="1" t="s">
        <v>18</v>
      </c>
      <c r="K1261" s="1">
        <v>89000.0</v>
      </c>
      <c r="L1261" s="1">
        <v>56.8990307</v>
      </c>
      <c r="M1261" s="1">
        <v>24.0785989</v>
      </c>
    </row>
    <row r="1262">
      <c r="A1262" s="1" t="s">
        <v>22</v>
      </c>
      <c r="B1262" s="1" t="s">
        <v>23</v>
      </c>
      <c r="C1262" s="1" t="s">
        <v>982</v>
      </c>
      <c r="D1262" s="1">
        <v>6.0</v>
      </c>
      <c r="E1262" s="1">
        <v>293.0</v>
      </c>
      <c r="F1262" s="1">
        <v>9.0</v>
      </c>
      <c r="G1262" s="1">
        <v>9.0</v>
      </c>
      <c r="H1262" s="1" t="s">
        <v>32</v>
      </c>
      <c r="I1262" s="1" t="s">
        <v>33</v>
      </c>
      <c r="J1262" s="1" t="s">
        <v>18</v>
      </c>
      <c r="K1262" s="1">
        <v>300000.0</v>
      </c>
      <c r="L1262" s="1">
        <v>56.9742195</v>
      </c>
      <c r="M1262" s="1">
        <v>24.1483510382088</v>
      </c>
    </row>
    <row r="1263">
      <c r="A1263" s="1" t="s">
        <v>22</v>
      </c>
      <c r="B1263" s="1" t="s">
        <v>23</v>
      </c>
      <c r="C1263" s="1" t="s">
        <v>1031</v>
      </c>
      <c r="D1263" s="1">
        <v>4.0</v>
      </c>
      <c r="E1263" s="1">
        <v>91.0</v>
      </c>
      <c r="F1263" s="1">
        <v>2.0</v>
      </c>
      <c r="G1263" s="1">
        <v>5.0</v>
      </c>
      <c r="H1263" s="1" t="s">
        <v>66</v>
      </c>
      <c r="I1263" s="1" t="s">
        <v>33</v>
      </c>
      <c r="J1263" s="1" t="s">
        <v>18</v>
      </c>
      <c r="K1263" s="1">
        <v>125000.0</v>
      </c>
      <c r="L1263" s="1">
        <v>56.95198235</v>
      </c>
      <c r="M1263" s="1">
        <v>24.150774372186</v>
      </c>
    </row>
    <row r="1264">
      <c r="A1264" s="1" t="s">
        <v>13</v>
      </c>
      <c r="B1264" s="1" t="s">
        <v>23</v>
      </c>
      <c r="C1264" s="1" t="s">
        <v>1032</v>
      </c>
      <c r="D1264" s="1">
        <v>3.0</v>
      </c>
      <c r="E1264" s="1">
        <v>85.0</v>
      </c>
      <c r="F1264" s="1">
        <v>4.0</v>
      </c>
      <c r="G1264" s="1">
        <v>5.0</v>
      </c>
      <c r="H1264" s="1" t="s">
        <v>25</v>
      </c>
      <c r="I1264" s="1" t="s">
        <v>33</v>
      </c>
      <c r="J1264" s="1" t="s">
        <v>18</v>
      </c>
      <c r="K1264" s="1">
        <v>850.0</v>
      </c>
      <c r="L1264" s="1">
        <v>56.9574801</v>
      </c>
      <c r="M1264" s="1">
        <v>24.1204934</v>
      </c>
    </row>
    <row r="1265">
      <c r="A1265" s="1" t="s">
        <v>22</v>
      </c>
      <c r="B1265" s="1" t="s">
        <v>23</v>
      </c>
      <c r="C1265" s="1" t="s">
        <v>1033</v>
      </c>
      <c r="D1265" s="1">
        <v>3.0</v>
      </c>
      <c r="E1265" s="1">
        <v>79.0</v>
      </c>
      <c r="F1265" s="1">
        <v>1.0</v>
      </c>
      <c r="G1265" s="1">
        <v>3.0</v>
      </c>
      <c r="H1265" s="1" t="s">
        <v>25</v>
      </c>
      <c r="I1265" s="1" t="s">
        <v>37</v>
      </c>
      <c r="J1265" s="1" t="s">
        <v>18</v>
      </c>
      <c r="K1265" s="1">
        <v>135000.0</v>
      </c>
      <c r="L1265" s="1">
        <v>56.96130605</v>
      </c>
      <c r="M1265" s="1">
        <v>24.1105821948041</v>
      </c>
    </row>
    <row r="1266">
      <c r="A1266" s="1" t="s">
        <v>13</v>
      </c>
      <c r="B1266" s="1" t="s">
        <v>38</v>
      </c>
      <c r="C1266" s="1" t="s">
        <v>1034</v>
      </c>
      <c r="D1266" s="1">
        <v>3.0</v>
      </c>
      <c r="E1266" s="1">
        <v>70.0</v>
      </c>
      <c r="F1266" s="1">
        <v>3.0</v>
      </c>
      <c r="G1266" s="1">
        <v>5.0</v>
      </c>
      <c r="H1266" s="1">
        <v>103.0</v>
      </c>
      <c r="I1266" s="1" t="s">
        <v>17</v>
      </c>
      <c r="J1266" s="1" t="s">
        <v>18</v>
      </c>
      <c r="K1266" s="1">
        <v>420.0</v>
      </c>
      <c r="L1266" s="1" t="s">
        <v>40</v>
      </c>
      <c r="M1266" s="1" t="s">
        <v>40</v>
      </c>
    </row>
    <row r="1267">
      <c r="A1267" s="1" t="s">
        <v>13</v>
      </c>
      <c r="B1267" s="1" t="s">
        <v>38</v>
      </c>
      <c r="C1267" s="1" t="s">
        <v>1035</v>
      </c>
      <c r="D1267" s="1">
        <v>2.0</v>
      </c>
      <c r="E1267" s="1">
        <v>48.0</v>
      </c>
      <c r="F1267" s="1">
        <v>4.0</v>
      </c>
      <c r="G1267" s="1">
        <v>5.0</v>
      </c>
      <c r="H1267" s="1" t="s">
        <v>16</v>
      </c>
      <c r="I1267" s="1" t="s">
        <v>21</v>
      </c>
      <c r="J1267" s="1" t="s">
        <v>18</v>
      </c>
      <c r="K1267" s="1">
        <v>350.0</v>
      </c>
      <c r="L1267" s="1" t="s">
        <v>40</v>
      </c>
      <c r="M1267" s="1" t="s">
        <v>40</v>
      </c>
    </row>
    <row r="1268">
      <c r="A1268" s="1" t="s">
        <v>13</v>
      </c>
      <c r="B1268" s="1" t="s">
        <v>23</v>
      </c>
      <c r="C1268" s="1" t="s">
        <v>616</v>
      </c>
      <c r="D1268" s="1">
        <v>3.0</v>
      </c>
      <c r="E1268" s="1">
        <v>85.0</v>
      </c>
      <c r="F1268" s="1">
        <v>2.0</v>
      </c>
      <c r="G1268" s="1">
        <v>7.0</v>
      </c>
      <c r="H1268" s="1" t="s">
        <v>32</v>
      </c>
      <c r="I1268" s="1" t="s">
        <v>21</v>
      </c>
      <c r="J1268" s="1" t="s">
        <v>18</v>
      </c>
      <c r="K1268" s="1">
        <v>1150.0</v>
      </c>
      <c r="L1268" s="1">
        <v>56.9596279</v>
      </c>
      <c r="M1268" s="1">
        <v>24.1079909</v>
      </c>
    </row>
    <row r="1269">
      <c r="A1269" s="1" t="s">
        <v>13</v>
      </c>
      <c r="B1269" s="1" t="s">
        <v>23</v>
      </c>
      <c r="C1269" s="1" t="s">
        <v>1036</v>
      </c>
      <c r="D1269" s="1">
        <v>1.0</v>
      </c>
      <c r="E1269" s="1">
        <v>25.0</v>
      </c>
      <c r="F1269" s="1">
        <v>1.0</v>
      </c>
      <c r="G1269" s="1">
        <v>6.0</v>
      </c>
      <c r="H1269" s="1" t="s">
        <v>25</v>
      </c>
      <c r="I1269" s="1" t="s">
        <v>33</v>
      </c>
      <c r="J1269" s="1" t="s">
        <v>18</v>
      </c>
      <c r="K1269" s="1">
        <v>200.0</v>
      </c>
      <c r="L1269" s="1">
        <v>56.9509044</v>
      </c>
      <c r="M1269" s="1">
        <v>24.1454745</v>
      </c>
    </row>
    <row r="1270">
      <c r="A1270" s="1" t="s">
        <v>13</v>
      </c>
      <c r="B1270" s="1" t="s">
        <v>172</v>
      </c>
      <c r="C1270" s="1" t="s">
        <v>1037</v>
      </c>
      <c r="D1270" s="1">
        <v>1.0</v>
      </c>
      <c r="E1270" s="1">
        <v>20.0</v>
      </c>
      <c r="F1270" s="1">
        <v>2.0</v>
      </c>
      <c r="G1270" s="1">
        <v>3.0</v>
      </c>
      <c r="H1270" s="1" t="s">
        <v>16</v>
      </c>
      <c r="I1270" s="1" t="s">
        <v>21</v>
      </c>
      <c r="J1270" s="1" t="s">
        <v>27</v>
      </c>
      <c r="K1270" s="1">
        <v>140.0</v>
      </c>
      <c r="L1270" s="1">
        <v>56.91298395</v>
      </c>
      <c r="M1270" s="1">
        <v>24.2192812062854</v>
      </c>
    </row>
    <row r="1271">
      <c r="A1271" s="1" t="s">
        <v>22</v>
      </c>
      <c r="B1271" s="1" t="s">
        <v>74</v>
      </c>
      <c r="C1271" s="1" t="s">
        <v>1038</v>
      </c>
      <c r="D1271" s="1">
        <v>2.0</v>
      </c>
      <c r="E1271" s="1">
        <v>53.0</v>
      </c>
      <c r="F1271" s="1">
        <v>4.0</v>
      </c>
      <c r="G1271" s="1">
        <v>10.0</v>
      </c>
      <c r="H1271" s="1" t="s">
        <v>32</v>
      </c>
      <c r="I1271" s="1" t="s">
        <v>17</v>
      </c>
      <c r="J1271" s="1" t="s">
        <v>18</v>
      </c>
      <c r="K1271" s="1">
        <v>78000.0</v>
      </c>
      <c r="L1271" s="1">
        <v>56.9407458</v>
      </c>
      <c r="M1271" s="1">
        <v>24.2301077277873</v>
      </c>
    </row>
    <row r="1272">
      <c r="A1272" s="1" t="s">
        <v>13</v>
      </c>
      <c r="B1272" s="1" t="s">
        <v>23</v>
      </c>
      <c r="C1272" s="1" t="s">
        <v>638</v>
      </c>
      <c r="D1272" s="1">
        <v>1.0</v>
      </c>
      <c r="E1272" s="1">
        <v>19.0</v>
      </c>
      <c r="F1272" s="1">
        <v>2.0</v>
      </c>
      <c r="G1272" s="1">
        <v>5.0</v>
      </c>
      <c r="H1272" s="1" t="s">
        <v>66</v>
      </c>
      <c r="I1272" s="1" t="s">
        <v>37</v>
      </c>
      <c r="J1272" s="1" t="s">
        <v>18</v>
      </c>
      <c r="K1272" s="1">
        <v>260.0</v>
      </c>
      <c r="L1272" s="1">
        <v>56.8597884</v>
      </c>
      <c r="M1272" s="1">
        <v>24.3083417</v>
      </c>
    </row>
    <row r="1273">
      <c r="A1273" s="1" t="s">
        <v>22</v>
      </c>
      <c r="B1273" s="1" t="s">
        <v>14</v>
      </c>
      <c r="C1273" s="1" t="s">
        <v>81</v>
      </c>
      <c r="D1273" s="1">
        <v>1.0</v>
      </c>
      <c r="E1273" s="1">
        <v>39.0</v>
      </c>
      <c r="F1273" s="1">
        <v>2.0</v>
      </c>
      <c r="G1273" s="1">
        <v>9.0</v>
      </c>
      <c r="H1273" s="1" t="s">
        <v>36</v>
      </c>
      <c r="I1273" s="1" t="s">
        <v>17</v>
      </c>
      <c r="J1273" s="1" t="s">
        <v>18</v>
      </c>
      <c r="K1273" s="1">
        <v>37500.0</v>
      </c>
      <c r="L1273" s="1">
        <v>56.9655674</v>
      </c>
      <c r="M1273" s="1">
        <v>24.1830043136253</v>
      </c>
    </row>
    <row r="1274">
      <c r="A1274" s="1" t="s">
        <v>22</v>
      </c>
      <c r="B1274" s="1" t="s">
        <v>23</v>
      </c>
      <c r="C1274" s="1" t="s">
        <v>1039</v>
      </c>
      <c r="D1274" s="1">
        <v>2.0</v>
      </c>
      <c r="E1274" s="1">
        <v>50.0</v>
      </c>
      <c r="F1274" s="1">
        <v>2.0</v>
      </c>
      <c r="G1274" s="1">
        <v>6.0</v>
      </c>
      <c r="H1274" s="1" t="s">
        <v>36</v>
      </c>
      <c r="I1274" s="1" t="s">
        <v>37</v>
      </c>
      <c r="J1274" s="1" t="s">
        <v>18</v>
      </c>
      <c r="K1274" s="1">
        <v>85000.0</v>
      </c>
      <c r="L1274" s="1">
        <v>56.9665763</v>
      </c>
      <c r="M1274" s="1">
        <v>24.1337504</v>
      </c>
    </row>
    <row r="1275">
      <c r="A1275" s="1" t="s">
        <v>22</v>
      </c>
      <c r="B1275" s="1" t="s">
        <v>38</v>
      </c>
      <c r="C1275" s="1" t="s">
        <v>145</v>
      </c>
      <c r="D1275" s="1">
        <v>2.0</v>
      </c>
      <c r="E1275" s="1">
        <v>64.0</v>
      </c>
      <c r="F1275" s="1">
        <v>6.0</v>
      </c>
      <c r="G1275" s="1">
        <v>18.0</v>
      </c>
      <c r="H1275" s="1" t="s">
        <v>32</v>
      </c>
      <c r="I1275" s="1" t="s">
        <v>17</v>
      </c>
      <c r="J1275" s="1" t="s">
        <v>18</v>
      </c>
      <c r="K1275" s="1">
        <v>89500.0</v>
      </c>
      <c r="L1275" s="1">
        <v>56.96112105</v>
      </c>
      <c r="M1275" s="1">
        <v>24.01821679525</v>
      </c>
    </row>
    <row r="1276">
      <c r="A1276" s="1" t="s">
        <v>22</v>
      </c>
      <c r="B1276" s="1" t="s">
        <v>23</v>
      </c>
      <c r="C1276" s="1" t="s">
        <v>1040</v>
      </c>
      <c r="D1276" s="1">
        <v>3.0</v>
      </c>
      <c r="E1276" s="1">
        <v>80.0</v>
      </c>
      <c r="F1276" s="1">
        <v>2.0</v>
      </c>
      <c r="G1276" s="1">
        <v>7.0</v>
      </c>
      <c r="H1276" s="1" t="s">
        <v>32</v>
      </c>
      <c r="I1276" s="1" t="s">
        <v>33</v>
      </c>
      <c r="J1276" s="1" t="s">
        <v>18</v>
      </c>
      <c r="K1276" s="1">
        <v>158000.0</v>
      </c>
      <c r="L1276" s="1" t="s">
        <v>40</v>
      </c>
      <c r="M1276" s="1" t="s">
        <v>40</v>
      </c>
    </row>
    <row r="1277">
      <c r="A1277" s="1" t="s">
        <v>22</v>
      </c>
      <c r="B1277" s="1" t="s">
        <v>23</v>
      </c>
      <c r="C1277" s="1" t="s">
        <v>1041</v>
      </c>
      <c r="D1277" s="1">
        <v>3.0</v>
      </c>
      <c r="E1277" s="1">
        <v>113.0</v>
      </c>
      <c r="F1277" s="1">
        <v>1.0</v>
      </c>
      <c r="G1277" s="1">
        <v>6.0</v>
      </c>
      <c r="H1277" s="1" t="s">
        <v>66</v>
      </c>
      <c r="I1277" s="1" t="s">
        <v>33</v>
      </c>
      <c r="J1277" s="1" t="s">
        <v>18</v>
      </c>
      <c r="K1277" s="1">
        <v>195000.0</v>
      </c>
      <c r="L1277" s="1">
        <v>56.9491053</v>
      </c>
      <c r="M1277" s="1">
        <v>24.1281567938374</v>
      </c>
    </row>
    <row r="1278">
      <c r="A1278" s="1" t="s">
        <v>13</v>
      </c>
      <c r="B1278" s="1" t="s">
        <v>23</v>
      </c>
      <c r="C1278" s="1" t="s">
        <v>1042</v>
      </c>
      <c r="D1278" s="1">
        <v>2.0</v>
      </c>
      <c r="E1278" s="1">
        <v>41.0</v>
      </c>
      <c r="F1278" s="1">
        <v>3.0</v>
      </c>
      <c r="G1278" s="1">
        <v>5.0</v>
      </c>
      <c r="H1278" s="1" t="s">
        <v>44</v>
      </c>
      <c r="I1278" s="1" t="s">
        <v>37</v>
      </c>
      <c r="J1278" s="1" t="s">
        <v>18</v>
      </c>
      <c r="K1278" s="1">
        <v>400.0</v>
      </c>
      <c r="L1278" s="1">
        <v>56.9659839</v>
      </c>
      <c r="M1278" s="1">
        <v>24.1258447</v>
      </c>
    </row>
    <row r="1279">
      <c r="A1279" s="1" t="s">
        <v>22</v>
      </c>
      <c r="B1279" s="1" t="s">
        <v>23</v>
      </c>
      <c r="C1279" s="1" t="s">
        <v>872</v>
      </c>
      <c r="D1279" s="1">
        <v>1.0</v>
      </c>
      <c r="E1279" s="1">
        <v>37.0</v>
      </c>
      <c r="F1279" s="1">
        <v>4.0</v>
      </c>
      <c r="G1279" s="1">
        <v>7.0</v>
      </c>
      <c r="H1279" s="1" t="s">
        <v>32</v>
      </c>
      <c r="I1279" s="1" t="s">
        <v>33</v>
      </c>
      <c r="J1279" s="1" t="s">
        <v>18</v>
      </c>
      <c r="K1279" s="1">
        <v>84000.0</v>
      </c>
      <c r="L1279" s="1" t="s">
        <v>40</v>
      </c>
      <c r="M1279" s="1" t="s">
        <v>40</v>
      </c>
    </row>
    <row r="1280">
      <c r="A1280" s="1" t="s">
        <v>22</v>
      </c>
      <c r="B1280" s="1" t="s">
        <v>117</v>
      </c>
      <c r="C1280" s="1" t="s">
        <v>1043</v>
      </c>
      <c r="D1280" s="1">
        <v>1.0</v>
      </c>
      <c r="E1280" s="1">
        <v>41.0</v>
      </c>
      <c r="F1280" s="1">
        <v>2.0</v>
      </c>
      <c r="G1280" s="1">
        <v>3.0</v>
      </c>
      <c r="H1280" s="1" t="s">
        <v>32</v>
      </c>
      <c r="I1280" s="1" t="s">
        <v>17</v>
      </c>
      <c r="J1280" s="1" t="s">
        <v>18</v>
      </c>
      <c r="K1280" s="1">
        <v>58500.0</v>
      </c>
      <c r="L1280" s="1" t="s">
        <v>40</v>
      </c>
      <c r="M1280" s="1" t="s">
        <v>40</v>
      </c>
    </row>
    <row r="1281">
      <c r="A1281" s="1" t="s">
        <v>22</v>
      </c>
      <c r="B1281" s="1" t="s">
        <v>30</v>
      </c>
      <c r="C1281" s="1" t="s">
        <v>765</v>
      </c>
      <c r="D1281" s="1">
        <v>3.0</v>
      </c>
      <c r="E1281" s="1">
        <v>80.0</v>
      </c>
      <c r="F1281" s="1">
        <v>4.0</v>
      </c>
      <c r="G1281" s="1">
        <v>5.0</v>
      </c>
      <c r="H1281" s="1" t="s">
        <v>32</v>
      </c>
      <c r="I1281" s="1" t="s">
        <v>122</v>
      </c>
      <c r="J1281" s="1" t="s">
        <v>18</v>
      </c>
      <c r="K1281" s="1">
        <v>119000.0</v>
      </c>
      <c r="L1281" s="1">
        <v>56.9670442</v>
      </c>
      <c r="M1281" s="1">
        <v>24.1820249</v>
      </c>
    </row>
    <row r="1282">
      <c r="A1282" s="1" t="s">
        <v>22</v>
      </c>
      <c r="B1282" s="1" t="s">
        <v>50</v>
      </c>
      <c r="C1282" s="1" t="s">
        <v>1044</v>
      </c>
      <c r="D1282" s="1">
        <v>2.0</v>
      </c>
      <c r="E1282" s="1">
        <v>42.0</v>
      </c>
      <c r="F1282" s="1">
        <v>4.0</v>
      </c>
      <c r="G1282" s="1">
        <v>6.0</v>
      </c>
      <c r="H1282" s="1" t="s">
        <v>25</v>
      </c>
      <c r="I1282" s="1" t="s">
        <v>33</v>
      </c>
      <c r="J1282" s="1" t="s">
        <v>27</v>
      </c>
      <c r="K1282" s="1">
        <v>27900.0</v>
      </c>
      <c r="L1282" s="1">
        <v>56.94060665</v>
      </c>
      <c r="M1282" s="1">
        <v>24.1446356080458</v>
      </c>
    </row>
    <row r="1283">
      <c r="A1283" s="1" t="s">
        <v>13</v>
      </c>
      <c r="B1283" s="1" t="s">
        <v>23</v>
      </c>
      <c r="C1283" s="1" t="s">
        <v>1045</v>
      </c>
      <c r="D1283" s="1">
        <v>1.0</v>
      </c>
      <c r="E1283" s="1">
        <v>30.0</v>
      </c>
      <c r="F1283" s="1">
        <v>6.0</v>
      </c>
      <c r="G1283" s="1">
        <v>6.0</v>
      </c>
      <c r="H1283" s="1" t="s">
        <v>25</v>
      </c>
      <c r="I1283" s="1" t="s">
        <v>33</v>
      </c>
      <c r="J1283" s="1" t="s">
        <v>18</v>
      </c>
      <c r="K1283" s="1">
        <v>230.0</v>
      </c>
      <c r="L1283" s="1">
        <v>56.95619535</v>
      </c>
      <c r="M1283" s="1">
        <v>24.1519378142022</v>
      </c>
    </row>
    <row r="1284">
      <c r="A1284" s="1" t="s">
        <v>22</v>
      </c>
      <c r="B1284" s="1" t="s">
        <v>104</v>
      </c>
      <c r="C1284" s="1" t="s">
        <v>1046</v>
      </c>
      <c r="D1284" s="1">
        <v>2.0</v>
      </c>
      <c r="E1284" s="1">
        <v>47.0</v>
      </c>
      <c r="F1284" s="1">
        <v>2.0</v>
      </c>
      <c r="G1284" s="1">
        <v>2.0</v>
      </c>
      <c r="H1284" s="1" t="s">
        <v>66</v>
      </c>
      <c r="I1284" s="1" t="s">
        <v>26</v>
      </c>
      <c r="J1284" s="1" t="s">
        <v>18</v>
      </c>
      <c r="K1284" s="1">
        <v>75200.0</v>
      </c>
      <c r="L1284" s="1">
        <v>56.9292821</v>
      </c>
      <c r="M1284" s="1">
        <v>24.0641891</v>
      </c>
    </row>
    <row r="1285">
      <c r="A1285" s="1" t="s">
        <v>13</v>
      </c>
      <c r="B1285" s="1" t="s">
        <v>23</v>
      </c>
      <c r="C1285" s="1" t="s">
        <v>552</v>
      </c>
      <c r="D1285" s="1">
        <v>2.0</v>
      </c>
      <c r="E1285" s="1">
        <v>59.0</v>
      </c>
      <c r="F1285" s="1">
        <v>6.0</v>
      </c>
      <c r="G1285" s="1">
        <v>6.0</v>
      </c>
      <c r="H1285" s="1" t="s">
        <v>32</v>
      </c>
      <c r="I1285" s="1" t="s">
        <v>122</v>
      </c>
      <c r="J1285" s="1" t="s">
        <v>18</v>
      </c>
      <c r="K1285" s="1">
        <v>500.0</v>
      </c>
      <c r="L1285" s="1">
        <v>56.9408555</v>
      </c>
      <c r="M1285" s="1">
        <v>24.1364923</v>
      </c>
    </row>
    <row r="1286">
      <c r="A1286" s="1" t="s">
        <v>22</v>
      </c>
      <c r="B1286" s="1" t="s">
        <v>38</v>
      </c>
      <c r="C1286" s="1" t="s">
        <v>1047</v>
      </c>
      <c r="D1286" s="1">
        <v>3.0</v>
      </c>
      <c r="E1286" s="1">
        <v>62.0</v>
      </c>
      <c r="F1286" s="1">
        <v>3.0</v>
      </c>
      <c r="G1286" s="1">
        <v>9.0</v>
      </c>
      <c r="H1286" s="1">
        <v>602.0</v>
      </c>
      <c r="I1286" s="1" t="s">
        <v>21</v>
      </c>
      <c r="J1286" s="1" t="s">
        <v>18</v>
      </c>
      <c r="K1286" s="1">
        <v>51000.0</v>
      </c>
      <c r="L1286" s="1">
        <v>56.9618626</v>
      </c>
      <c r="M1286" s="1">
        <v>24.0034910214559</v>
      </c>
    </row>
    <row r="1287">
      <c r="A1287" s="1" t="s">
        <v>22</v>
      </c>
      <c r="B1287" s="1" t="s">
        <v>14</v>
      </c>
      <c r="C1287" s="1" t="s">
        <v>1048</v>
      </c>
      <c r="D1287" s="1">
        <v>2.0</v>
      </c>
      <c r="E1287" s="1">
        <v>57.0</v>
      </c>
      <c r="F1287" s="1">
        <v>4.0</v>
      </c>
      <c r="G1287" s="1">
        <v>5.0</v>
      </c>
      <c r="H1287" s="1">
        <v>103.0</v>
      </c>
      <c r="I1287" s="1" t="s">
        <v>17</v>
      </c>
      <c r="J1287" s="1" t="s">
        <v>18</v>
      </c>
      <c r="K1287" s="1">
        <v>65000.0</v>
      </c>
      <c r="L1287" s="1">
        <v>56.96621605</v>
      </c>
      <c r="M1287" s="1">
        <v>24.1751562722907</v>
      </c>
    </row>
    <row r="1288">
      <c r="A1288" s="1" t="s">
        <v>22</v>
      </c>
      <c r="B1288" s="1" t="s">
        <v>60</v>
      </c>
      <c r="C1288" s="1" t="s">
        <v>1049</v>
      </c>
      <c r="D1288" s="1">
        <v>2.0</v>
      </c>
      <c r="E1288" s="1">
        <v>54.0</v>
      </c>
      <c r="F1288" s="1">
        <v>2.0</v>
      </c>
      <c r="G1288" s="1">
        <v>5.0</v>
      </c>
      <c r="H1288" s="1">
        <v>103.0</v>
      </c>
      <c r="I1288" s="1" t="s">
        <v>37</v>
      </c>
      <c r="J1288" s="1" t="s">
        <v>18</v>
      </c>
      <c r="K1288" s="1">
        <v>45500.0</v>
      </c>
      <c r="L1288" s="1">
        <v>57.03301815</v>
      </c>
      <c r="M1288" s="1">
        <v>24.0386262315628</v>
      </c>
    </row>
    <row r="1289">
      <c r="A1289" s="1" t="s">
        <v>13</v>
      </c>
      <c r="B1289" s="1" t="s">
        <v>23</v>
      </c>
      <c r="C1289" s="1" t="s">
        <v>1050</v>
      </c>
      <c r="D1289" s="1">
        <v>2.0</v>
      </c>
      <c r="E1289" s="1">
        <v>36.0</v>
      </c>
      <c r="F1289" s="1">
        <v>3.0</v>
      </c>
      <c r="G1289" s="1">
        <v>3.0</v>
      </c>
      <c r="H1289" s="1" t="s">
        <v>25</v>
      </c>
      <c r="I1289" s="1" t="s">
        <v>33</v>
      </c>
      <c r="J1289" s="1" t="s">
        <v>18</v>
      </c>
      <c r="K1289" s="1">
        <v>500.0</v>
      </c>
      <c r="L1289" s="1">
        <v>56.9589017</v>
      </c>
      <c r="M1289" s="1">
        <v>24.1144608</v>
      </c>
    </row>
    <row r="1290">
      <c r="A1290" s="1" t="s">
        <v>22</v>
      </c>
      <c r="B1290" s="1" t="s">
        <v>23</v>
      </c>
      <c r="C1290" s="1" t="s">
        <v>1051</v>
      </c>
      <c r="D1290" s="1">
        <v>3.0</v>
      </c>
      <c r="E1290" s="1">
        <v>90.0</v>
      </c>
      <c r="F1290" s="1">
        <v>2.0</v>
      </c>
      <c r="G1290" s="1">
        <v>6.0</v>
      </c>
      <c r="H1290" s="1" t="s">
        <v>66</v>
      </c>
      <c r="I1290" s="1" t="s">
        <v>33</v>
      </c>
      <c r="J1290" s="1" t="s">
        <v>18</v>
      </c>
      <c r="K1290" s="1">
        <v>258000.0</v>
      </c>
      <c r="L1290" s="1">
        <v>56.9613741</v>
      </c>
      <c r="M1290" s="1">
        <v>24.1021747</v>
      </c>
    </row>
    <row r="1291">
      <c r="A1291" s="1" t="s">
        <v>13</v>
      </c>
      <c r="B1291" s="1" t="s">
        <v>99</v>
      </c>
      <c r="C1291" s="1" t="s">
        <v>1052</v>
      </c>
      <c r="D1291" s="1">
        <v>2.0</v>
      </c>
      <c r="E1291" s="1">
        <v>42.0</v>
      </c>
      <c r="F1291" s="1">
        <v>1.0</v>
      </c>
      <c r="G1291" s="1">
        <v>5.0</v>
      </c>
      <c r="H1291" s="1" t="s">
        <v>44</v>
      </c>
      <c r="I1291" s="1" t="s">
        <v>37</v>
      </c>
      <c r="J1291" s="1" t="s">
        <v>18</v>
      </c>
      <c r="K1291" s="1">
        <v>300.0</v>
      </c>
      <c r="L1291" s="1">
        <v>56.949229</v>
      </c>
      <c r="M1291" s="1">
        <v>24.0779393</v>
      </c>
    </row>
    <row r="1292">
      <c r="A1292" s="1" t="s">
        <v>13</v>
      </c>
      <c r="B1292" s="1" t="s">
        <v>23</v>
      </c>
      <c r="C1292" s="1" t="s">
        <v>1053</v>
      </c>
      <c r="D1292" s="1">
        <v>2.0</v>
      </c>
      <c r="E1292" s="1">
        <v>64.0</v>
      </c>
      <c r="F1292" s="1">
        <v>4.0</v>
      </c>
      <c r="G1292" s="1">
        <v>5.0</v>
      </c>
      <c r="H1292" s="1" t="s">
        <v>32</v>
      </c>
      <c r="I1292" s="1" t="s">
        <v>17</v>
      </c>
      <c r="J1292" s="1" t="s">
        <v>18</v>
      </c>
      <c r="K1292" s="1">
        <v>850.0</v>
      </c>
      <c r="L1292" s="1">
        <v>56.9482564</v>
      </c>
      <c r="M1292" s="1">
        <v>24.1116425305179</v>
      </c>
    </row>
    <row r="1293">
      <c r="A1293" s="1" t="s">
        <v>22</v>
      </c>
      <c r="B1293" s="1" t="s">
        <v>23</v>
      </c>
      <c r="C1293" s="1" t="s">
        <v>312</v>
      </c>
      <c r="D1293" s="1">
        <v>4.0</v>
      </c>
      <c r="E1293" s="1">
        <v>99.0</v>
      </c>
      <c r="F1293" s="1">
        <v>6.0</v>
      </c>
      <c r="G1293" s="1">
        <v>6.0</v>
      </c>
      <c r="H1293" s="1" t="s">
        <v>25</v>
      </c>
      <c r="I1293" s="1" t="s">
        <v>33</v>
      </c>
      <c r="J1293" s="1" t="s">
        <v>18</v>
      </c>
      <c r="K1293" s="1">
        <v>95000.0</v>
      </c>
      <c r="L1293" s="1">
        <v>56.9527504</v>
      </c>
      <c r="M1293" s="1">
        <v>24.124026</v>
      </c>
    </row>
    <row r="1294">
      <c r="A1294" s="1" t="s">
        <v>13</v>
      </c>
      <c r="B1294" s="1" t="s">
        <v>23</v>
      </c>
      <c r="C1294" s="1" t="s">
        <v>313</v>
      </c>
      <c r="D1294" s="1">
        <v>2.0</v>
      </c>
      <c r="E1294" s="1">
        <v>46.0</v>
      </c>
      <c r="F1294" s="1">
        <v>4.0</v>
      </c>
      <c r="G1294" s="1">
        <v>5.0</v>
      </c>
      <c r="H1294" s="1" t="s">
        <v>25</v>
      </c>
      <c r="I1294" s="1" t="s">
        <v>33</v>
      </c>
      <c r="J1294" s="1" t="s">
        <v>18</v>
      </c>
      <c r="K1294" s="1">
        <v>490.0</v>
      </c>
      <c r="L1294" s="1">
        <v>56.9526541</v>
      </c>
      <c r="M1294" s="1">
        <v>24.1433157</v>
      </c>
    </row>
    <row r="1295">
      <c r="A1295" s="1" t="s">
        <v>13</v>
      </c>
      <c r="B1295" s="1" t="s">
        <v>60</v>
      </c>
      <c r="C1295" s="1" t="s">
        <v>1054</v>
      </c>
      <c r="D1295" s="1">
        <v>3.0</v>
      </c>
      <c r="E1295" s="1">
        <v>65.0</v>
      </c>
      <c r="F1295" s="1">
        <v>2.0</v>
      </c>
      <c r="G1295" s="1">
        <v>5.0</v>
      </c>
      <c r="H1295" s="1" t="s">
        <v>16</v>
      </c>
      <c r="I1295" s="1" t="s">
        <v>17</v>
      </c>
      <c r="J1295" s="1" t="s">
        <v>18</v>
      </c>
      <c r="K1295" s="1">
        <v>330.0</v>
      </c>
      <c r="L1295" s="1">
        <v>57.0280588499999</v>
      </c>
      <c r="M1295" s="1">
        <v>24.0499994138029</v>
      </c>
    </row>
    <row r="1296">
      <c r="A1296" s="1" t="s">
        <v>13</v>
      </c>
      <c r="B1296" s="1" t="s">
        <v>50</v>
      </c>
      <c r="C1296" s="1" t="s">
        <v>647</v>
      </c>
      <c r="D1296" s="1">
        <v>1.0</v>
      </c>
      <c r="E1296" s="1">
        <v>27.0</v>
      </c>
      <c r="F1296" s="1">
        <v>4.0</v>
      </c>
      <c r="G1296" s="1">
        <v>4.0</v>
      </c>
      <c r="H1296" s="1" t="s">
        <v>66</v>
      </c>
      <c r="I1296" s="1" t="s">
        <v>17</v>
      </c>
      <c r="J1296" s="1" t="s">
        <v>18</v>
      </c>
      <c r="K1296" s="1">
        <v>280.0</v>
      </c>
      <c r="L1296" s="1">
        <v>56.8597884</v>
      </c>
      <c r="M1296" s="1">
        <v>24.3083417</v>
      </c>
    </row>
    <row r="1297">
      <c r="A1297" s="1" t="s">
        <v>13</v>
      </c>
      <c r="B1297" s="1" t="s">
        <v>23</v>
      </c>
      <c r="C1297" s="1" t="s">
        <v>950</v>
      </c>
      <c r="D1297" s="1">
        <v>1.0</v>
      </c>
      <c r="E1297" s="1">
        <v>36.0</v>
      </c>
      <c r="F1297" s="1">
        <v>1.0</v>
      </c>
      <c r="G1297" s="1">
        <v>9.0</v>
      </c>
      <c r="H1297" s="1" t="s">
        <v>25</v>
      </c>
      <c r="I1297" s="1" t="s">
        <v>33</v>
      </c>
      <c r="J1297" s="1" t="s">
        <v>18</v>
      </c>
      <c r="K1297" s="1">
        <v>350.0</v>
      </c>
      <c r="L1297" s="1">
        <v>56.9615696</v>
      </c>
      <c r="M1297" s="1">
        <v>24.1466121</v>
      </c>
    </row>
    <row r="1298">
      <c r="A1298" s="1" t="s">
        <v>13</v>
      </c>
      <c r="B1298" s="1" t="s">
        <v>50</v>
      </c>
      <c r="C1298" s="1" t="s">
        <v>647</v>
      </c>
      <c r="D1298" s="1">
        <v>1.0</v>
      </c>
      <c r="E1298" s="1">
        <v>22.0</v>
      </c>
      <c r="F1298" s="1">
        <v>2.0</v>
      </c>
      <c r="G1298" s="1">
        <v>4.0</v>
      </c>
      <c r="H1298" s="1" t="s">
        <v>66</v>
      </c>
      <c r="I1298" s="1" t="s">
        <v>17</v>
      </c>
      <c r="J1298" s="1" t="s">
        <v>18</v>
      </c>
      <c r="K1298" s="1">
        <v>250.0</v>
      </c>
      <c r="L1298" s="1">
        <v>56.8597884</v>
      </c>
      <c r="M1298" s="1">
        <v>24.3083417</v>
      </c>
    </row>
    <row r="1299">
      <c r="A1299" s="1" t="s">
        <v>22</v>
      </c>
      <c r="B1299" s="1" t="s">
        <v>23</v>
      </c>
      <c r="C1299" s="1" t="s">
        <v>1055</v>
      </c>
      <c r="D1299" s="1">
        <v>3.0</v>
      </c>
      <c r="E1299" s="1">
        <v>70.0</v>
      </c>
      <c r="F1299" s="1">
        <v>5.0</v>
      </c>
      <c r="G1299" s="1">
        <v>6.0</v>
      </c>
      <c r="H1299" s="1" t="s">
        <v>25</v>
      </c>
      <c r="I1299" s="1" t="s">
        <v>37</v>
      </c>
      <c r="J1299" s="1" t="s">
        <v>18</v>
      </c>
      <c r="K1299" s="1">
        <v>138000.0</v>
      </c>
      <c r="L1299" s="1">
        <v>56.9591749</v>
      </c>
      <c r="M1299" s="1">
        <v>24.1222544</v>
      </c>
    </row>
    <row r="1300">
      <c r="A1300" s="1" t="s">
        <v>22</v>
      </c>
      <c r="B1300" s="1" t="s">
        <v>117</v>
      </c>
      <c r="C1300" s="1" t="s">
        <v>1056</v>
      </c>
      <c r="D1300" s="1">
        <v>2.0</v>
      </c>
      <c r="E1300" s="1">
        <v>37.0</v>
      </c>
      <c r="F1300" s="1">
        <v>2.0</v>
      </c>
      <c r="G1300" s="1">
        <v>5.0</v>
      </c>
      <c r="H1300" s="1" t="s">
        <v>32</v>
      </c>
      <c r="I1300" s="1" t="s">
        <v>33</v>
      </c>
      <c r="J1300" s="1" t="s">
        <v>18</v>
      </c>
      <c r="K1300" s="1">
        <v>71000.0</v>
      </c>
      <c r="L1300" s="1">
        <v>56.9888255</v>
      </c>
      <c r="M1300" s="1">
        <v>24.1691659584023</v>
      </c>
    </row>
    <row r="1301">
      <c r="A1301" s="1" t="s">
        <v>22</v>
      </c>
      <c r="B1301" s="1" t="s">
        <v>117</v>
      </c>
      <c r="C1301" s="1" t="s">
        <v>1056</v>
      </c>
      <c r="D1301" s="1">
        <v>2.0</v>
      </c>
      <c r="E1301" s="1">
        <v>38.0</v>
      </c>
      <c r="F1301" s="1">
        <v>1.0</v>
      </c>
      <c r="G1301" s="1">
        <v>5.0</v>
      </c>
      <c r="H1301" s="1" t="s">
        <v>32</v>
      </c>
      <c r="I1301" s="1" t="s">
        <v>33</v>
      </c>
      <c r="J1301" s="1" t="s">
        <v>18</v>
      </c>
      <c r="K1301" s="1">
        <v>76000.0</v>
      </c>
      <c r="L1301" s="1">
        <v>56.9888255</v>
      </c>
      <c r="M1301" s="1">
        <v>24.1691659584023</v>
      </c>
    </row>
    <row r="1302">
      <c r="A1302" s="1" t="s">
        <v>22</v>
      </c>
      <c r="B1302" s="1" t="s">
        <v>74</v>
      </c>
      <c r="C1302" s="1" t="s">
        <v>1057</v>
      </c>
      <c r="D1302" s="1">
        <v>3.0</v>
      </c>
      <c r="E1302" s="1">
        <v>102.0</v>
      </c>
      <c r="F1302" s="1">
        <v>6.0</v>
      </c>
      <c r="G1302" s="1">
        <v>12.0</v>
      </c>
      <c r="H1302" s="1" t="s">
        <v>36</v>
      </c>
      <c r="I1302" s="1" t="s">
        <v>37</v>
      </c>
      <c r="J1302" s="1" t="s">
        <v>18</v>
      </c>
      <c r="K1302" s="1">
        <v>160000.0</v>
      </c>
      <c r="L1302" s="1">
        <v>56.9375255</v>
      </c>
      <c r="M1302" s="1">
        <v>24.2061416</v>
      </c>
    </row>
    <row r="1303">
      <c r="A1303" s="1" t="s">
        <v>13</v>
      </c>
      <c r="B1303" s="1" t="s">
        <v>23</v>
      </c>
      <c r="C1303" s="1" t="s">
        <v>857</v>
      </c>
      <c r="D1303" s="1">
        <v>3.0</v>
      </c>
      <c r="E1303" s="1">
        <v>130.0</v>
      </c>
      <c r="F1303" s="1">
        <v>6.0</v>
      </c>
      <c r="G1303" s="1">
        <v>7.0</v>
      </c>
      <c r="H1303" s="1" t="s">
        <v>32</v>
      </c>
      <c r="I1303" s="1" t="s">
        <v>33</v>
      </c>
      <c r="J1303" s="1" t="s">
        <v>18</v>
      </c>
      <c r="K1303" s="1">
        <v>1300.0</v>
      </c>
      <c r="L1303" s="1">
        <v>56.9578148</v>
      </c>
      <c r="M1303" s="1">
        <v>24.1142082</v>
      </c>
    </row>
    <row r="1304">
      <c r="A1304" s="1" t="s">
        <v>13</v>
      </c>
      <c r="B1304" s="1" t="s">
        <v>23</v>
      </c>
      <c r="C1304" s="1" t="s">
        <v>1058</v>
      </c>
      <c r="D1304" s="1">
        <v>3.0</v>
      </c>
      <c r="E1304" s="1">
        <v>85.0</v>
      </c>
      <c r="F1304" s="1">
        <v>5.0</v>
      </c>
      <c r="G1304" s="1">
        <v>6.0</v>
      </c>
      <c r="H1304" s="1" t="s">
        <v>32</v>
      </c>
      <c r="I1304" s="1" t="s">
        <v>17</v>
      </c>
      <c r="J1304" s="1" t="s">
        <v>18</v>
      </c>
      <c r="K1304" s="1">
        <v>100.0</v>
      </c>
      <c r="L1304" s="1">
        <v>56.9572968</v>
      </c>
      <c r="M1304" s="1">
        <v>24.1208067557146</v>
      </c>
    </row>
    <row r="1305">
      <c r="A1305" s="1" t="s">
        <v>13</v>
      </c>
      <c r="B1305" s="1" t="s">
        <v>23</v>
      </c>
      <c r="C1305" s="1" t="s">
        <v>91</v>
      </c>
      <c r="D1305" s="1">
        <v>3.0</v>
      </c>
      <c r="E1305" s="1">
        <v>106.0</v>
      </c>
      <c r="F1305" s="1">
        <v>3.0</v>
      </c>
      <c r="G1305" s="1">
        <v>8.0</v>
      </c>
      <c r="H1305" s="1" t="s">
        <v>32</v>
      </c>
      <c r="I1305" s="1" t="s">
        <v>33</v>
      </c>
      <c r="J1305" s="1" t="s">
        <v>18</v>
      </c>
      <c r="K1305" s="1">
        <v>1200.0</v>
      </c>
      <c r="L1305" s="1">
        <v>56.9552522</v>
      </c>
      <c r="M1305" s="1">
        <v>24.0999991251943</v>
      </c>
    </row>
    <row r="1306">
      <c r="A1306" s="1" t="s">
        <v>22</v>
      </c>
      <c r="B1306" s="1" t="s">
        <v>218</v>
      </c>
      <c r="C1306" s="1" t="s">
        <v>907</v>
      </c>
      <c r="D1306" s="1">
        <v>4.0</v>
      </c>
      <c r="E1306" s="1">
        <v>123.0</v>
      </c>
      <c r="F1306" s="1">
        <v>3.0</v>
      </c>
      <c r="G1306" s="1">
        <v>5.0</v>
      </c>
      <c r="H1306" s="1" t="s">
        <v>25</v>
      </c>
      <c r="I1306" s="1" t="s">
        <v>33</v>
      </c>
      <c r="J1306" s="1" t="s">
        <v>18</v>
      </c>
      <c r="K1306" s="1">
        <v>272600.0</v>
      </c>
      <c r="L1306" s="1">
        <v>56.952698</v>
      </c>
      <c r="M1306" s="1">
        <v>24.1051471</v>
      </c>
    </row>
    <row r="1307">
      <c r="A1307" s="1" t="s">
        <v>13</v>
      </c>
      <c r="B1307" s="1" t="s">
        <v>23</v>
      </c>
      <c r="C1307" s="1" t="s">
        <v>993</v>
      </c>
      <c r="D1307" s="1">
        <v>3.0</v>
      </c>
      <c r="E1307" s="1">
        <v>103.0</v>
      </c>
      <c r="F1307" s="1">
        <v>3.0</v>
      </c>
      <c r="G1307" s="1">
        <v>6.0</v>
      </c>
      <c r="H1307" s="1" t="s">
        <v>66</v>
      </c>
      <c r="I1307" s="1" t="s">
        <v>33</v>
      </c>
      <c r="J1307" s="1" t="s">
        <v>18</v>
      </c>
      <c r="K1307" s="1">
        <v>690.0</v>
      </c>
      <c r="L1307" s="1">
        <v>56.9499105999999</v>
      </c>
      <c r="M1307" s="1">
        <v>24.1407992387323</v>
      </c>
    </row>
    <row r="1308">
      <c r="A1308" s="1" t="s">
        <v>13</v>
      </c>
      <c r="B1308" s="1" t="s">
        <v>422</v>
      </c>
      <c r="C1308" s="1" t="s">
        <v>732</v>
      </c>
      <c r="D1308" s="1">
        <v>3.0</v>
      </c>
      <c r="E1308" s="1">
        <v>131.0</v>
      </c>
      <c r="F1308" s="1">
        <v>24.0</v>
      </c>
      <c r="G1308" s="1">
        <v>25.0</v>
      </c>
      <c r="H1308" s="1" t="s">
        <v>32</v>
      </c>
      <c r="I1308" s="1" t="s">
        <v>33</v>
      </c>
      <c r="J1308" s="1" t="s">
        <v>18</v>
      </c>
      <c r="K1308" s="1">
        <v>1400.0</v>
      </c>
      <c r="L1308" s="1">
        <v>56.9340645</v>
      </c>
      <c r="M1308" s="1">
        <v>24.0436381</v>
      </c>
    </row>
    <row r="1309">
      <c r="A1309" s="1" t="s">
        <v>13</v>
      </c>
      <c r="B1309" s="1" t="s">
        <v>23</v>
      </c>
      <c r="C1309" s="1" t="s">
        <v>878</v>
      </c>
      <c r="D1309" s="1">
        <v>2.0</v>
      </c>
      <c r="E1309" s="1">
        <v>50.0</v>
      </c>
      <c r="F1309" s="1">
        <v>5.0</v>
      </c>
      <c r="G1309" s="1">
        <v>6.0</v>
      </c>
      <c r="H1309" s="1" t="s">
        <v>25</v>
      </c>
      <c r="I1309" s="1" t="s">
        <v>37</v>
      </c>
      <c r="J1309" s="1" t="s">
        <v>18</v>
      </c>
      <c r="K1309" s="1">
        <v>480.0</v>
      </c>
      <c r="L1309" s="1">
        <v>56.953316</v>
      </c>
      <c r="M1309" s="1">
        <v>24.1370407</v>
      </c>
    </row>
    <row r="1310">
      <c r="A1310" s="1" t="s">
        <v>22</v>
      </c>
      <c r="B1310" s="1" t="s">
        <v>28</v>
      </c>
      <c r="C1310" s="1" t="s">
        <v>1059</v>
      </c>
      <c r="D1310" s="1">
        <v>3.0</v>
      </c>
      <c r="E1310" s="1">
        <v>61.0</v>
      </c>
      <c r="F1310" s="1">
        <v>5.0</v>
      </c>
      <c r="G1310" s="1">
        <v>5.0</v>
      </c>
      <c r="H1310" s="1" t="s">
        <v>16</v>
      </c>
      <c r="I1310" s="1" t="s">
        <v>21</v>
      </c>
      <c r="J1310" s="1" t="s">
        <v>18</v>
      </c>
      <c r="K1310" s="1">
        <v>59500.0</v>
      </c>
      <c r="L1310" s="1">
        <v>56.9101647</v>
      </c>
      <c r="M1310" s="1">
        <v>24.1865532715356</v>
      </c>
    </row>
    <row r="1311">
      <c r="A1311" s="1" t="s">
        <v>13</v>
      </c>
      <c r="B1311" s="1" t="s">
        <v>104</v>
      </c>
      <c r="C1311" s="1" t="s">
        <v>1060</v>
      </c>
      <c r="D1311" s="1">
        <v>2.0</v>
      </c>
      <c r="E1311" s="1">
        <v>71.0</v>
      </c>
      <c r="F1311" s="1">
        <v>1.0</v>
      </c>
      <c r="G1311" s="1">
        <v>2.0</v>
      </c>
      <c r="H1311" s="1" t="s">
        <v>25</v>
      </c>
      <c r="I1311" s="1" t="s">
        <v>26</v>
      </c>
      <c r="J1311" s="1" t="s">
        <v>18</v>
      </c>
      <c r="K1311" s="1">
        <v>500.0</v>
      </c>
      <c r="L1311" s="1">
        <v>56.93300455</v>
      </c>
      <c r="M1311" s="1">
        <v>24.0704338999999</v>
      </c>
    </row>
    <row r="1312">
      <c r="A1312" s="1" t="s">
        <v>13</v>
      </c>
      <c r="B1312" s="1" t="s">
        <v>23</v>
      </c>
      <c r="C1312" s="1" t="s">
        <v>1061</v>
      </c>
      <c r="D1312" s="1">
        <v>3.0</v>
      </c>
      <c r="E1312" s="1">
        <v>115.0</v>
      </c>
      <c r="F1312" s="1">
        <v>4.0</v>
      </c>
      <c r="G1312" s="1">
        <v>4.0</v>
      </c>
      <c r="H1312" s="1" t="s">
        <v>25</v>
      </c>
      <c r="I1312" s="1" t="s">
        <v>37</v>
      </c>
      <c r="J1312" s="1" t="s">
        <v>18</v>
      </c>
      <c r="K1312" s="1">
        <v>600.0</v>
      </c>
      <c r="L1312" s="1">
        <v>56.952758</v>
      </c>
      <c r="M1312" s="1">
        <v>24.1420564</v>
      </c>
    </row>
    <row r="1313">
      <c r="A1313" s="1" t="s">
        <v>22</v>
      </c>
      <c r="B1313" s="1" t="s">
        <v>28</v>
      </c>
      <c r="C1313" s="1" t="s">
        <v>809</v>
      </c>
      <c r="D1313" s="1">
        <v>2.0</v>
      </c>
      <c r="E1313" s="1">
        <v>43.0</v>
      </c>
      <c r="F1313" s="1">
        <v>2.0</v>
      </c>
      <c r="G1313" s="1">
        <v>5.0</v>
      </c>
      <c r="H1313" s="1" t="s">
        <v>32</v>
      </c>
      <c r="I1313" s="1" t="s">
        <v>21</v>
      </c>
      <c r="J1313" s="1" t="s">
        <v>18</v>
      </c>
      <c r="K1313" s="1">
        <v>53550.0</v>
      </c>
      <c r="L1313" s="1">
        <v>56.9146747</v>
      </c>
      <c r="M1313" s="1">
        <v>24.1815079346418</v>
      </c>
    </row>
    <row r="1314">
      <c r="A1314" s="1" t="s">
        <v>13</v>
      </c>
      <c r="B1314" s="1" t="s">
        <v>104</v>
      </c>
      <c r="C1314" s="1" t="s">
        <v>834</v>
      </c>
      <c r="D1314" s="1">
        <v>2.0</v>
      </c>
      <c r="E1314" s="1">
        <v>68.0</v>
      </c>
      <c r="F1314" s="1">
        <v>5.0</v>
      </c>
      <c r="G1314" s="1">
        <v>9.0</v>
      </c>
      <c r="H1314" s="1" t="s">
        <v>32</v>
      </c>
      <c r="I1314" s="1" t="s">
        <v>122</v>
      </c>
      <c r="J1314" s="1" t="s">
        <v>18</v>
      </c>
      <c r="K1314" s="1">
        <v>550.0</v>
      </c>
      <c r="L1314" s="1">
        <v>56.94825305</v>
      </c>
      <c r="M1314" s="1">
        <v>24.0553285635443</v>
      </c>
    </row>
    <row r="1315">
      <c r="A1315" s="1" t="s">
        <v>22</v>
      </c>
      <c r="B1315" s="1" t="s">
        <v>129</v>
      </c>
      <c r="C1315" s="1" t="s">
        <v>1062</v>
      </c>
      <c r="D1315" s="1">
        <v>1.0</v>
      </c>
      <c r="E1315" s="1">
        <v>29.0</v>
      </c>
      <c r="F1315" s="1">
        <v>3.0</v>
      </c>
      <c r="G1315" s="1">
        <v>5.0</v>
      </c>
      <c r="H1315" s="1" t="s">
        <v>44</v>
      </c>
      <c r="I1315" s="1" t="s">
        <v>37</v>
      </c>
      <c r="J1315" s="1" t="s">
        <v>18</v>
      </c>
      <c r="K1315" s="1">
        <v>23000.0</v>
      </c>
      <c r="L1315" s="1">
        <v>57.0021488</v>
      </c>
      <c r="M1315" s="1">
        <v>24.1248028</v>
      </c>
    </row>
    <row r="1316">
      <c r="A1316" s="1" t="s">
        <v>22</v>
      </c>
      <c r="B1316" s="1" t="s">
        <v>48</v>
      </c>
      <c r="C1316" s="1" t="s">
        <v>791</v>
      </c>
      <c r="D1316" s="1">
        <v>3.0</v>
      </c>
      <c r="E1316" s="1">
        <v>77.0</v>
      </c>
      <c r="F1316" s="1">
        <v>3.0</v>
      </c>
      <c r="G1316" s="1">
        <v>5.0</v>
      </c>
      <c r="H1316" s="1" t="s">
        <v>32</v>
      </c>
      <c r="I1316" s="1" t="s">
        <v>122</v>
      </c>
      <c r="J1316" s="1" t="s">
        <v>18</v>
      </c>
      <c r="K1316" s="1">
        <v>134000.0</v>
      </c>
      <c r="L1316" s="1">
        <v>56.9569585</v>
      </c>
      <c r="M1316" s="1">
        <v>24.2536804</v>
      </c>
    </row>
    <row r="1317">
      <c r="A1317" s="1" t="s">
        <v>22</v>
      </c>
      <c r="B1317" s="1" t="s">
        <v>38</v>
      </c>
      <c r="C1317" s="1" t="s">
        <v>299</v>
      </c>
      <c r="D1317" s="1">
        <v>2.0</v>
      </c>
      <c r="E1317" s="1">
        <v>39.0</v>
      </c>
      <c r="F1317" s="1">
        <v>3.0</v>
      </c>
      <c r="G1317" s="1">
        <v>5.0</v>
      </c>
      <c r="H1317" s="1" t="s">
        <v>16</v>
      </c>
      <c r="I1317" s="1" t="s">
        <v>21</v>
      </c>
      <c r="J1317" s="1" t="s">
        <v>18</v>
      </c>
      <c r="K1317" s="1">
        <v>34900.0</v>
      </c>
      <c r="L1317" s="1">
        <v>56.9567829</v>
      </c>
      <c r="M1317" s="1">
        <v>24.0344957</v>
      </c>
    </row>
    <row r="1318">
      <c r="A1318" s="1" t="s">
        <v>13</v>
      </c>
      <c r="B1318" s="1" t="s">
        <v>23</v>
      </c>
      <c r="C1318" s="1" t="s">
        <v>136</v>
      </c>
      <c r="D1318" s="1">
        <v>3.0</v>
      </c>
      <c r="E1318" s="1">
        <v>58.0</v>
      </c>
      <c r="F1318" s="1">
        <v>5.0</v>
      </c>
      <c r="G1318" s="1">
        <v>6.0</v>
      </c>
      <c r="H1318" s="1" t="s">
        <v>66</v>
      </c>
      <c r="I1318" s="1" t="s">
        <v>33</v>
      </c>
      <c r="J1318" s="1" t="s">
        <v>18</v>
      </c>
      <c r="K1318" s="1">
        <v>680.0</v>
      </c>
      <c r="L1318" s="1">
        <v>56.95643795</v>
      </c>
      <c r="M1318" s="1">
        <v>24.1325729821556</v>
      </c>
    </row>
    <row r="1319">
      <c r="A1319" s="1" t="s">
        <v>13</v>
      </c>
      <c r="B1319" s="1" t="s">
        <v>23</v>
      </c>
      <c r="C1319" s="1" t="s">
        <v>1063</v>
      </c>
      <c r="D1319" s="1">
        <v>3.0</v>
      </c>
      <c r="E1319" s="1">
        <v>61.0</v>
      </c>
      <c r="F1319" s="1">
        <v>2.0</v>
      </c>
      <c r="G1319" s="1">
        <v>3.0</v>
      </c>
      <c r="H1319" s="1" t="s">
        <v>25</v>
      </c>
      <c r="I1319" s="1" t="s">
        <v>33</v>
      </c>
      <c r="J1319" s="1" t="s">
        <v>18</v>
      </c>
      <c r="K1319" s="1">
        <v>340.0</v>
      </c>
      <c r="L1319" s="1">
        <v>56.9569156</v>
      </c>
      <c r="M1319" s="1">
        <v>24.1378861</v>
      </c>
    </row>
    <row r="1320">
      <c r="A1320" s="1" t="s">
        <v>13</v>
      </c>
      <c r="B1320" s="1" t="s">
        <v>151</v>
      </c>
      <c r="C1320" s="1" t="s">
        <v>360</v>
      </c>
      <c r="D1320" s="1">
        <v>1.0</v>
      </c>
      <c r="E1320" s="1">
        <v>18.0</v>
      </c>
      <c r="F1320" s="1">
        <v>3.0</v>
      </c>
      <c r="G1320" s="1">
        <v>5.0</v>
      </c>
      <c r="H1320" s="1" t="s">
        <v>57</v>
      </c>
      <c r="I1320" s="1" t="s">
        <v>37</v>
      </c>
      <c r="J1320" s="1" t="s">
        <v>18</v>
      </c>
      <c r="K1320" s="1">
        <v>130.0</v>
      </c>
      <c r="L1320" s="1">
        <v>56.9692203</v>
      </c>
      <c r="M1320" s="1">
        <v>24.0694937318141</v>
      </c>
    </row>
    <row r="1321">
      <c r="A1321" s="1" t="s">
        <v>22</v>
      </c>
      <c r="B1321" s="1" t="s">
        <v>23</v>
      </c>
      <c r="C1321" s="1" t="s">
        <v>1064</v>
      </c>
      <c r="D1321" s="1">
        <v>3.0</v>
      </c>
      <c r="E1321" s="1">
        <v>67.0</v>
      </c>
      <c r="F1321" s="1">
        <v>5.0</v>
      </c>
      <c r="G1321" s="1">
        <v>5.0</v>
      </c>
      <c r="H1321" s="1" t="s">
        <v>25</v>
      </c>
      <c r="I1321" s="1" t="s">
        <v>33</v>
      </c>
      <c r="J1321" s="1" t="s">
        <v>18</v>
      </c>
      <c r="K1321" s="1">
        <v>180000.0</v>
      </c>
      <c r="L1321" s="1">
        <v>56.9597157</v>
      </c>
      <c r="M1321" s="1">
        <v>24.1003502623684</v>
      </c>
    </row>
    <row r="1322">
      <c r="A1322" s="1" t="s">
        <v>13</v>
      </c>
      <c r="B1322" s="1" t="s">
        <v>60</v>
      </c>
      <c r="C1322" s="1" t="s">
        <v>1065</v>
      </c>
      <c r="D1322" s="1">
        <v>3.0</v>
      </c>
      <c r="E1322" s="1">
        <v>64.0</v>
      </c>
      <c r="F1322" s="1">
        <v>2.0</v>
      </c>
      <c r="G1322" s="1">
        <v>2.0</v>
      </c>
      <c r="H1322" s="1" t="s">
        <v>171</v>
      </c>
      <c r="I1322" s="1" t="s">
        <v>26</v>
      </c>
      <c r="J1322" s="1" t="s">
        <v>18</v>
      </c>
      <c r="K1322" s="1">
        <v>290.0</v>
      </c>
      <c r="L1322" s="1">
        <v>57.03653015</v>
      </c>
      <c r="M1322" s="1">
        <v>24.0415917</v>
      </c>
    </row>
    <row r="1323">
      <c r="A1323" s="1" t="s">
        <v>13</v>
      </c>
      <c r="B1323" s="1" t="s">
        <v>30</v>
      </c>
      <c r="C1323" s="1" t="s">
        <v>1066</v>
      </c>
      <c r="D1323" s="1">
        <v>1.0</v>
      </c>
      <c r="E1323" s="1">
        <v>32.0</v>
      </c>
      <c r="F1323" s="1">
        <v>5.0</v>
      </c>
      <c r="G1323" s="1">
        <v>5.0</v>
      </c>
      <c r="H1323" s="1" t="s">
        <v>36</v>
      </c>
      <c r="I1323" s="1" t="s">
        <v>17</v>
      </c>
      <c r="J1323" s="1" t="s">
        <v>18</v>
      </c>
      <c r="K1323" s="1">
        <v>225.0</v>
      </c>
      <c r="L1323" s="1">
        <v>56.9736867</v>
      </c>
      <c r="M1323" s="1">
        <v>24.1721500583477</v>
      </c>
    </row>
    <row r="1324">
      <c r="A1324" s="1" t="s">
        <v>13</v>
      </c>
      <c r="B1324" s="1" t="s">
        <v>23</v>
      </c>
      <c r="C1324" s="1" t="s">
        <v>554</v>
      </c>
      <c r="D1324" s="1">
        <v>5.0</v>
      </c>
      <c r="E1324" s="1">
        <v>140.0</v>
      </c>
      <c r="F1324" s="1">
        <v>5.0</v>
      </c>
      <c r="G1324" s="1">
        <v>5.0</v>
      </c>
      <c r="H1324" s="1" t="s">
        <v>25</v>
      </c>
      <c r="I1324" s="1" t="s">
        <v>33</v>
      </c>
      <c r="J1324" s="1" t="s">
        <v>18</v>
      </c>
      <c r="K1324" s="1">
        <v>290.0</v>
      </c>
      <c r="L1324" s="1">
        <v>56.95172905</v>
      </c>
      <c r="M1324" s="1">
        <v>24.1258148944244</v>
      </c>
    </row>
    <row r="1325">
      <c r="A1325" s="1" t="s">
        <v>13</v>
      </c>
      <c r="B1325" s="1" t="s">
        <v>23</v>
      </c>
      <c r="C1325" s="1" t="s">
        <v>674</v>
      </c>
      <c r="D1325" s="1">
        <v>1.0</v>
      </c>
      <c r="E1325" s="1">
        <v>30.0</v>
      </c>
      <c r="F1325" s="1">
        <v>3.0</v>
      </c>
      <c r="G1325" s="1">
        <v>9.0</v>
      </c>
      <c r="H1325" s="1" t="s">
        <v>32</v>
      </c>
      <c r="I1325" s="1" t="s">
        <v>21</v>
      </c>
      <c r="J1325" s="1" t="s">
        <v>18</v>
      </c>
      <c r="K1325" s="1">
        <v>30.0</v>
      </c>
      <c r="L1325" s="1">
        <v>56.97650505</v>
      </c>
      <c r="M1325" s="1">
        <v>24.1464958357009</v>
      </c>
    </row>
    <row r="1326">
      <c r="A1326" s="1" t="s">
        <v>22</v>
      </c>
      <c r="B1326" s="1" t="s">
        <v>96</v>
      </c>
      <c r="C1326" s="1" t="s">
        <v>1067</v>
      </c>
      <c r="D1326" s="1">
        <v>2.0</v>
      </c>
      <c r="E1326" s="1">
        <v>45.0</v>
      </c>
      <c r="F1326" s="1">
        <v>3.0</v>
      </c>
      <c r="G1326" s="1">
        <v>5.0</v>
      </c>
      <c r="H1326" s="1" t="s">
        <v>44</v>
      </c>
      <c r="I1326" s="1" t="s">
        <v>37</v>
      </c>
      <c r="J1326" s="1" t="s">
        <v>18</v>
      </c>
      <c r="K1326" s="1">
        <v>35000.0</v>
      </c>
      <c r="L1326" s="1">
        <v>57.0278589</v>
      </c>
      <c r="M1326" s="1">
        <v>24.1029177</v>
      </c>
    </row>
    <row r="1327">
      <c r="A1327" s="1" t="s">
        <v>22</v>
      </c>
      <c r="B1327" s="1" t="s">
        <v>52</v>
      </c>
      <c r="C1327" s="1" t="s">
        <v>1068</v>
      </c>
      <c r="D1327" s="1">
        <v>1.0</v>
      </c>
      <c r="E1327" s="1">
        <v>39.0</v>
      </c>
      <c r="F1327" s="1">
        <v>2.0</v>
      </c>
      <c r="G1327" s="1">
        <v>3.0</v>
      </c>
      <c r="H1327" s="1" t="s">
        <v>36</v>
      </c>
      <c r="I1327" s="1" t="s">
        <v>33</v>
      </c>
      <c r="J1327" s="1" t="s">
        <v>18</v>
      </c>
      <c r="K1327" s="1">
        <v>38700.0</v>
      </c>
      <c r="L1327" s="1">
        <v>56.9368446</v>
      </c>
      <c r="M1327" s="1">
        <v>24.0400032675605</v>
      </c>
    </row>
    <row r="1328">
      <c r="A1328" s="1" t="s">
        <v>13</v>
      </c>
      <c r="B1328" s="1" t="s">
        <v>23</v>
      </c>
      <c r="C1328" s="1" t="s">
        <v>1069</v>
      </c>
      <c r="D1328" s="1">
        <v>4.0</v>
      </c>
      <c r="E1328" s="1">
        <v>104.0</v>
      </c>
      <c r="F1328" s="1">
        <v>2.0</v>
      </c>
      <c r="G1328" s="1">
        <v>5.0</v>
      </c>
      <c r="H1328" s="1" t="s">
        <v>181</v>
      </c>
      <c r="I1328" s="1" t="s">
        <v>37</v>
      </c>
      <c r="J1328" s="1" t="s">
        <v>18</v>
      </c>
      <c r="K1328" s="1">
        <v>680.0</v>
      </c>
      <c r="L1328" s="1">
        <v>56.9447289</v>
      </c>
      <c r="M1328" s="1">
        <v>24.124212</v>
      </c>
    </row>
    <row r="1329">
      <c r="A1329" s="1" t="s">
        <v>13</v>
      </c>
      <c r="B1329" s="1" t="s">
        <v>23</v>
      </c>
      <c r="C1329" s="1" t="s">
        <v>1070</v>
      </c>
      <c r="D1329" s="1">
        <v>3.0</v>
      </c>
      <c r="E1329" s="1">
        <v>83.0</v>
      </c>
      <c r="F1329" s="1">
        <v>1.0</v>
      </c>
      <c r="G1329" s="1">
        <v>5.0</v>
      </c>
      <c r="H1329" s="1" t="s">
        <v>181</v>
      </c>
      <c r="I1329" s="1" t="s">
        <v>33</v>
      </c>
      <c r="J1329" s="1" t="s">
        <v>18</v>
      </c>
      <c r="K1329" s="1">
        <v>660.0</v>
      </c>
      <c r="L1329" s="1">
        <v>56.9479492499999</v>
      </c>
      <c r="M1329" s="1">
        <v>24.1304457682304</v>
      </c>
    </row>
    <row r="1330">
      <c r="A1330" s="1" t="s">
        <v>22</v>
      </c>
      <c r="B1330" s="1" t="s">
        <v>19</v>
      </c>
      <c r="C1330" s="1" t="s">
        <v>270</v>
      </c>
      <c r="D1330" s="1">
        <v>3.0</v>
      </c>
      <c r="E1330" s="1">
        <v>62.0</v>
      </c>
      <c r="F1330" s="1">
        <v>4.0</v>
      </c>
      <c r="G1330" s="1">
        <v>9.0</v>
      </c>
      <c r="H1330" s="1">
        <v>602.0</v>
      </c>
      <c r="I1330" s="1" t="s">
        <v>21</v>
      </c>
      <c r="J1330" s="1" t="s">
        <v>18</v>
      </c>
      <c r="K1330" s="1">
        <v>60000.0</v>
      </c>
      <c r="L1330" s="1">
        <v>56.90102635</v>
      </c>
      <c r="M1330" s="1">
        <v>24.0939941127903</v>
      </c>
    </row>
    <row r="1331">
      <c r="A1331" s="1" t="s">
        <v>13</v>
      </c>
      <c r="B1331" s="1" t="s">
        <v>104</v>
      </c>
      <c r="C1331" s="1" t="s">
        <v>1071</v>
      </c>
      <c r="D1331" s="1">
        <v>4.0</v>
      </c>
      <c r="E1331" s="1">
        <v>94.0</v>
      </c>
      <c r="F1331" s="1">
        <v>3.0</v>
      </c>
      <c r="G1331" s="1">
        <v>4.0</v>
      </c>
      <c r="H1331" s="1" t="s">
        <v>32</v>
      </c>
      <c r="I1331" s="1" t="s">
        <v>21</v>
      </c>
      <c r="J1331" s="1" t="s">
        <v>18</v>
      </c>
      <c r="K1331" s="1">
        <v>800.0</v>
      </c>
      <c r="L1331" s="1">
        <v>56.9313946</v>
      </c>
      <c r="M1331" s="1">
        <v>24.0706271241211</v>
      </c>
    </row>
    <row r="1332">
      <c r="A1332" s="1" t="s">
        <v>22</v>
      </c>
      <c r="B1332" s="1" t="s">
        <v>60</v>
      </c>
      <c r="C1332" s="1" t="s">
        <v>1072</v>
      </c>
      <c r="D1332" s="1">
        <v>2.0</v>
      </c>
      <c r="E1332" s="1">
        <v>34.0</v>
      </c>
      <c r="F1332" s="1">
        <v>4.0</v>
      </c>
      <c r="G1332" s="1">
        <v>4.0</v>
      </c>
      <c r="H1332" s="1" t="s">
        <v>44</v>
      </c>
      <c r="I1332" s="1" t="s">
        <v>17</v>
      </c>
      <c r="J1332" s="1" t="s">
        <v>18</v>
      </c>
      <c r="K1332" s="1">
        <v>24000.0</v>
      </c>
      <c r="L1332" s="1" t="s">
        <v>40</v>
      </c>
      <c r="M1332" s="1" t="s">
        <v>40</v>
      </c>
    </row>
    <row r="1333">
      <c r="A1333" s="1" t="s">
        <v>13</v>
      </c>
      <c r="B1333" s="1" t="s">
        <v>14</v>
      </c>
      <c r="C1333" s="1" t="s">
        <v>1073</v>
      </c>
      <c r="D1333" s="1">
        <v>2.0</v>
      </c>
      <c r="E1333" s="1">
        <v>46.0</v>
      </c>
      <c r="F1333" s="1">
        <v>1.0</v>
      </c>
      <c r="G1333" s="1">
        <v>6.0</v>
      </c>
      <c r="H1333" s="1" t="s">
        <v>32</v>
      </c>
      <c r="I1333" s="1" t="s">
        <v>21</v>
      </c>
      <c r="J1333" s="1" t="s">
        <v>18</v>
      </c>
      <c r="K1333" s="1">
        <v>35.0</v>
      </c>
      <c r="L1333" s="1">
        <v>56.95534335</v>
      </c>
      <c r="M1333" s="1">
        <v>24.1791980638178</v>
      </c>
    </row>
    <row r="1334">
      <c r="A1334" s="1" t="s">
        <v>22</v>
      </c>
      <c r="B1334" s="1" t="s">
        <v>23</v>
      </c>
      <c r="C1334" s="1" t="s">
        <v>1074</v>
      </c>
      <c r="D1334" s="1">
        <v>4.0</v>
      </c>
      <c r="E1334" s="1">
        <v>94.0</v>
      </c>
      <c r="F1334" s="1">
        <v>3.0</v>
      </c>
      <c r="G1334" s="1">
        <v>7.0</v>
      </c>
      <c r="H1334" s="1" t="s">
        <v>25</v>
      </c>
      <c r="I1334" s="1" t="s">
        <v>33</v>
      </c>
      <c r="J1334" s="1" t="s">
        <v>18</v>
      </c>
      <c r="K1334" s="1">
        <v>210000.0</v>
      </c>
      <c r="L1334" s="1">
        <v>56.960378</v>
      </c>
      <c r="M1334" s="1">
        <v>24.1197764</v>
      </c>
    </row>
    <row r="1335">
      <c r="A1335" s="1" t="s">
        <v>22</v>
      </c>
      <c r="B1335" s="1" t="s">
        <v>42</v>
      </c>
      <c r="C1335" s="1" t="s">
        <v>1075</v>
      </c>
      <c r="D1335" s="1">
        <v>2.0</v>
      </c>
      <c r="E1335" s="1">
        <v>47.0</v>
      </c>
      <c r="F1335" s="1">
        <v>2.0</v>
      </c>
      <c r="G1335" s="1">
        <v>5.0</v>
      </c>
      <c r="H1335" s="1" t="s">
        <v>44</v>
      </c>
      <c r="I1335" s="1" t="s">
        <v>37</v>
      </c>
      <c r="J1335" s="1" t="s">
        <v>18</v>
      </c>
      <c r="K1335" s="1">
        <v>37500.0</v>
      </c>
      <c r="L1335" s="1">
        <v>56.97863375</v>
      </c>
      <c r="M1335" s="1">
        <v>24.2474800529953</v>
      </c>
    </row>
    <row r="1336">
      <c r="A1336" s="1" t="s">
        <v>13</v>
      </c>
      <c r="B1336" s="1" t="s">
        <v>23</v>
      </c>
      <c r="C1336" s="1" t="s">
        <v>1076</v>
      </c>
      <c r="D1336" s="1">
        <v>5.0</v>
      </c>
      <c r="E1336" s="1">
        <v>98.0</v>
      </c>
      <c r="F1336" s="1">
        <v>2.0</v>
      </c>
      <c r="G1336" s="1">
        <v>5.0</v>
      </c>
      <c r="H1336" s="1" t="s">
        <v>25</v>
      </c>
      <c r="I1336" s="1" t="s">
        <v>33</v>
      </c>
      <c r="J1336" s="1" t="s">
        <v>18</v>
      </c>
      <c r="K1336" s="1">
        <v>690.0</v>
      </c>
      <c r="L1336" s="1">
        <v>56.9527501</v>
      </c>
      <c r="M1336" s="1">
        <v>24.1355324</v>
      </c>
    </row>
    <row r="1337">
      <c r="A1337" s="1" t="s">
        <v>22</v>
      </c>
      <c r="B1337" s="1" t="s">
        <v>19</v>
      </c>
      <c r="C1337" s="1" t="s">
        <v>1077</v>
      </c>
      <c r="D1337" s="1">
        <v>3.0</v>
      </c>
      <c r="E1337" s="1">
        <v>145.0</v>
      </c>
      <c r="F1337" s="1">
        <v>3.0</v>
      </c>
      <c r="G1337" s="1">
        <v>4.0</v>
      </c>
      <c r="H1337" s="1" t="s">
        <v>32</v>
      </c>
      <c r="I1337" s="1" t="s">
        <v>21</v>
      </c>
      <c r="J1337" s="1" t="s">
        <v>18</v>
      </c>
      <c r="K1337" s="1">
        <v>189805.0</v>
      </c>
      <c r="L1337" s="1">
        <v>56.90785995</v>
      </c>
      <c r="M1337" s="1">
        <v>24.085734</v>
      </c>
    </row>
    <row r="1338">
      <c r="A1338" s="1" t="s">
        <v>13</v>
      </c>
      <c r="B1338" s="1" t="s">
        <v>28</v>
      </c>
      <c r="C1338" s="1" t="s">
        <v>1078</v>
      </c>
      <c r="D1338" s="1">
        <v>2.0</v>
      </c>
      <c r="E1338" s="1">
        <v>46.0</v>
      </c>
      <c r="F1338" s="1">
        <v>2.0</v>
      </c>
      <c r="G1338" s="1">
        <v>5.0</v>
      </c>
      <c r="H1338" s="1" t="s">
        <v>16</v>
      </c>
      <c r="I1338" s="1" t="s">
        <v>21</v>
      </c>
      <c r="J1338" s="1" t="s">
        <v>18</v>
      </c>
      <c r="K1338" s="1">
        <v>250.0</v>
      </c>
      <c r="L1338" s="1">
        <v>56.94444085</v>
      </c>
      <c r="M1338" s="1">
        <v>24.1123628570057</v>
      </c>
    </row>
    <row r="1339">
      <c r="A1339" s="1" t="s">
        <v>13</v>
      </c>
      <c r="B1339" s="1" t="s">
        <v>19</v>
      </c>
      <c r="C1339" s="1" t="s">
        <v>1079</v>
      </c>
      <c r="D1339" s="1">
        <v>2.0</v>
      </c>
      <c r="E1339" s="1">
        <v>46.0</v>
      </c>
      <c r="F1339" s="1">
        <v>3.0</v>
      </c>
      <c r="G1339" s="1">
        <v>6.0</v>
      </c>
      <c r="H1339" s="1" t="s">
        <v>32</v>
      </c>
      <c r="I1339" s="1" t="s">
        <v>17</v>
      </c>
      <c r="J1339" s="1" t="s">
        <v>18</v>
      </c>
      <c r="K1339" s="1">
        <v>450.0</v>
      </c>
      <c r="L1339" s="1">
        <v>56.90884755</v>
      </c>
      <c r="M1339" s="1">
        <v>24.0794370513523</v>
      </c>
    </row>
    <row r="1340">
      <c r="A1340" s="1" t="s">
        <v>13</v>
      </c>
      <c r="B1340" s="1" t="s">
        <v>74</v>
      </c>
      <c r="C1340" s="1" t="s">
        <v>748</v>
      </c>
      <c r="D1340" s="1">
        <v>2.0</v>
      </c>
      <c r="E1340" s="1">
        <v>50.0</v>
      </c>
      <c r="F1340" s="1">
        <v>3.0</v>
      </c>
      <c r="G1340" s="1">
        <v>9.0</v>
      </c>
      <c r="H1340" s="1">
        <v>602.0</v>
      </c>
      <c r="I1340" s="1" t="s">
        <v>21</v>
      </c>
      <c r="J1340" s="1" t="s">
        <v>18</v>
      </c>
      <c r="K1340" s="1">
        <v>299.0</v>
      </c>
      <c r="L1340" s="1">
        <v>56.942271</v>
      </c>
      <c r="M1340" s="1">
        <v>24.1972067778583</v>
      </c>
    </row>
    <row r="1341">
      <c r="A1341" s="1" t="s">
        <v>13</v>
      </c>
      <c r="B1341" s="1" t="s">
        <v>23</v>
      </c>
      <c r="C1341" s="1" t="s">
        <v>1080</v>
      </c>
      <c r="D1341" s="1">
        <v>1.0</v>
      </c>
      <c r="E1341" s="1">
        <v>25.0</v>
      </c>
      <c r="F1341" s="1">
        <v>2.0</v>
      </c>
      <c r="G1341" s="1">
        <v>2.0</v>
      </c>
      <c r="H1341" s="1" t="s">
        <v>25</v>
      </c>
      <c r="I1341" s="1" t="s">
        <v>26</v>
      </c>
      <c r="J1341" s="1" t="s">
        <v>18</v>
      </c>
      <c r="K1341" s="1">
        <v>230.0</v>
      </c>
      <c r="L1341" s="1">
        <v>56.9534503</v>
      </c>
      <c r="M1341" s="1">
        <v>24.1464076</v>
      </c>
    </row>
    <row r="1342">
      <c r="A1342" s="1" t="s">
        <v>13</v>
      </c>
      <c r="B1342" s="1" t="s">
        <v>23</v>
      </c>
      <c r="C1342" s="1" t="s">
        <v>810</v>
      </c>
      <c r="D1342" s="1">
        <v>2.0</v>
      </c>
      <c r="E1342" s="1">
        <v>56.0</v>
      </c>
      <c r="F1342" s="1">
        <v>2.0</v>
      </c>
      <c r="G1342" s="1">
        <v>7.0</v>
      </c>
      <c r="H1342" s="1" t="s">
        <v>32</v>
      </c>
      <c r="I1342" s="1" t="s">
        <v>17</v>
      </c>
      <c r="J1342" s="1" t="s">
        <v>18</v>
      </c>
      <c r="K1342" s="1">
        <v>670.0</v>
      </c>
      <c r="L1342" s="1">
        <v>56.9684979</v>
      </c>
      <c r="M1342" s="1">
        <v>24.1467035</v>
      </c>
    </row>
    <row r="1343">
      <c r="A1343" s="1" t="s">
        <v>89</v>
      </c>
      <c r="B1343" s="1" t="s">
        <v>30</v>
      </c>
      <c r="C1343" s="2"/>
      <c r="D1343" s="1">
        <v>3.0</v>
      </c>
      <c r="E1343" s="2"/>
      <c r="F1343" s="2"/>
      <c r="G1343" s="2"/>
      <c r="H1343" s="2"/>
      <c r="I1343" s="2"/>
      <c r="J1343" s="2"/>
      <c r="K1343" s="2"/>
      <c r="L1343" s="1">
        <v>46.3144754</v>
      </c>
      <c r="M1343" s="1">
        <v>11.0480288</v>
      </c>
    </row>
    <row r="1344">
      <c r="A1344" s="1" t="s">
        <v>22</v>
      </c>
      <c r="B1344" s="1" t="s">
        <v>14</v>
      </c>
      <c r="C1344" s="1" t="s">
        <v>380</v>
      </c>
      <c r="D1344" s="1">
        <v>3.0</v>
      </c>
      <c r="E1344" s="1">
        <v>60.0</v>
      </c>
      <c r="F1344" s="1">
        <v>5.0</v>
      </c>
      <c r="G1344" s="1">
        <v>5.0</v>
      </c>
      <c r="H1344" s="1" t="s">
        <v>16</v>
      </c>
      <c r="I1344" s="1" t="s">
        <v>21</v>
      </c>
      <c r="J1344" s="1" t="s">
        <v>18</v>
      </c>
      <c r="K1344" s="1">
        <v>42999.0</v>
      </c>
      <c r="L1344" s="1">
        <v>56.9636426</v>
      </c>
      <c r="M1344" s="1">
        <v>24.1936547658469</v>
      </c>
    </row>
    <row r="1345">
      <c r="A1345" s="1" t="s">
        <v>22</v>
      </c>
      <c r="B1345" s="1" t="s">
        <v>42</v>
      </c>
      <c r="C1345" s="1" t="s">
        <v>1081</v>
      </c>
      <c r="D1345" s="1">
        <v>2.0</v>
      </c>
      <c r="E1345" s="1">
        <v>47.0</v>
      </c>
      <c r="F1345" s="1">
        <v>5.0</v>
      </c>
      <c r="G1345" s="1">
        <v>5.0</v>
      </c>
      <c r="H1345" s="1" t="s">
        <v>16</v>
      </c>
      <c r="I1345" s="1" t="s">
        <v>21</v>
      </c>
      <c r="J1345" s="1" t="s">
        <v>18</v>
      </c>
      <c r="K1345" s="1">
        <v>33500.0</v>
      </c>
      <c r="L1345" s="1">
        <v>56.9778104</v>
      </c>
      <c r="M1345" s="1">
        <v>24.2513399089967</v>
      </c>
    </row>
    <row r="1346">
      <c r="A1346" s="1" t="s">
        <v>22</v>
      </c>
      <c r="B1346" s="1" t="s">
        <v>60</v>
      </c>
      <c r="C1346" s="1" t="s">
        <v>1082</v>
      </c>
      <c r="D1346" s="1">
        <v>3.0</v>
      </c>
      <c r="E1346" s="1">
        <v>74.0</v>
      </c>
      <c r="F1346" s="1">
        <v>1.0</v>
      </c>
      <c r="G1346" s="1">
        <v>2.0</v>
      </c>
      <c r="H1346" s="1" t="s">
        <v>181</v>
      </c>
      <c r="I1346" s="1" t="s">
        <v>37</v>
      </c>
      <c r="J1346" s="1" t="s">
        <v>18</v>
      </c>
      <c r="K1346" s="1">
        <v>45000.0</v>
      </c>
      <c r="L1346" s="1">
        <v>57.0381797</v>
      </c>
      <c r="M1346" s="1">
        <v>24.0479802</v>
      </c>
    </row>
    <row r="1347">
      <c r="A1347" s="1" t="s">
        <v>22</v>
      </c>
      <c r="B1347" s="1" t="s">
        <v>129</v>
      </c>
      <c r="C1347" s="1" t="s">
        <v>1083</v>
      </c>
      <c r="D1347" s="1">
        <v>1.0</v>
      </c>
      <c r="E1347" s="1">
        <v>33.0</v>
      </c>
      <c r="F1347" s="1">
        <v>2.0</v>
      </c>
      <c r="G1347" s="1">
        <v>2.0</v>
      </c>
      <c r="H1347" s="1" t="s">
        <v>66</v>
      </c>
      <c r="I1347" s="1" t="s">
        <v>37</v>
      </c>
      <c r="J1347" s="1" t="s">
        <v>18</v>
      </c>
      <c r="K1347" s="1">
        <v>29600.0</v>
      </c>
      <c r="L1347" s="1">
        <v>56.99844075</v>
      </c>
      <c r="M1347" s="1">
        <v>24.1198275912859</v>
      </c>
    </row>
    <row r="1348">
      <c r="A1348" s="1" t="s">
        <v>22</v>
      </c>
      <c r="B1348" s="1" t="s">
        <v>23</v>
      </c>
      <c r="C1348" s="1" t="s">
        <v>1084</v>
      </c>
      <c r="D1348" s="1">
        <v>2.0</v>
      </c>
      <c r="E1348" s="1">
        <v>50.0</v>
      </c>
      <c r="F1348" s="1">
        <v>4.0</v>
      </c>
      <c r="G1348" s="1">
        <v>4.0</v>
      </c>
      <c r="H1348" s="1" t="s">
        <v>25</v>
      </c>
      <c r="I1348" s="1" t="s">
        <v>33</v>
      </c>
      <c r="J1348" s="1" t="s">
        <v>18</v>
      </c>
      <c r="K1348" s="1">
        <v>35000.0</v>
      </c>
      <c r="L1348" s="1">
        <v>56.95086155</v>
      </c>
      <c r="M1348" s="1">
        <v>24.1418736517474</v>
      </c>
    </row>
    <row r="1349">
      <c r="A1349" s="1" t="s">
        <v>22</v>
      </c>
      <c r="B1349" s="1" t="s">
        <v>104</v>
      </c>
      <c r="C1349" s="1" t="s">
        <v>1085</v>
      </c>
      <c r="D1349" s="1">
        <v>3.0</v>
      </c>
      <c r="E1349" s="1">
        <v>58.0</v>
      </c>
      <c r="F1349" s="1">
        <v>4.0</v>
      </c>
      <c r="G1349" s="1">
        <v>5.0</v>
      </c>
      <c r="H1349" s="1" t="s">
        <v>36</v>
      </c>
      <c r="I1349" s="1" t="s">
        <v>37</v>
      </c>
      <c r="J1349" s="1" t="s">
        <v>18</v>
      </c>
      <c r="K1349" s="1">
        <v>64000.0</v>
      </c>
      <c r="L1349" s="1" t="s">
        <v>40</v>
      </c>
      <c r="M1349" s="1" t="s">
        <v>40</v>
      </c>
    </row>
    <row r="1350">
      <c r="A1350" s="1" t="s">
        <v>13</v>
      </c>
      <c r="B1350" s="1" t="s">
        <v>441</v>
      </c>
      <c r="C1350" s="1" t="s">
        <v>442</v>
      </c>
      <c r="D1350" s="1">
        <v>1.0</v>
      </c>
      <c r="E1350" s="1">
        <v>15.0</v>
      </c>
      <c r="F1350" s="1">
        <v>3.0</v>
      </c>
      <c r="G1350" s="1">
        <v>3.0</v>
      </c>
      <c r="H1350" s="1" t="s">
        <v>36</v>
      </c>
      <c r="I1350" s="1" t="s">
        <v>26</v>
      </c>
      <c r="J1350" s="1" t="s">
        <v>27</v>
      </c>
      <c r="K1350" s="1">
        <v>50.0</v>
      </c>
      <c r="L1350" s="1">
        <v>57.034118</v>
      </c>
      <c r="M1350" s="1">
        <v>24.1267927</v>
      </c>
    </row>
    <row r="1351">
      <c r="A1351" s="1" t="s">
        <v>22</v>
      </c>
      <c r="B1351" s="1" t="s">
        <v>104</v>
      </c>
      <c r="C1351" s="1" t="s">
        <v>1086</v>
      </c>
      <c r="D1351" s="1">
        <v>2.0</v>
      </c>
      <c r="E1351" s="1">
        <v>40.0</v>
      </c>
      <c r="F1351" s="1">
        <v>1.0</v>
      </c>
      <c r="G1351" s="1">
        <v>2.0</v>
      </c>
      <c r="H1351" s="1" t="s">
        <v>25</v>
      </c>
      <c r="I1351" s="1" t="s">
        <v>26</v>
      </c>
      <c r="J1351" s="1" t="s">
        <v>27</v>
      </c>
      <c r="K1351" s="1">
        <v>33000.0</v>
      </c>
      <c r="L1351" s="1">
        <v>56.9393754</v>
      </c>
      <c r="M1351" s="1">
        <v>24.0705981</v>
      </c>
    </row>
    <row r="1352">
      <c r="A1352" s="1" t="s">
        <v>22</v>
      </c>
      <c r="B1352" s="1" t="s">
        <v>172</v>
      </c>
      <c r="C1352" s="1" t="s">
        <v>390</v>
      </c>
      <c r="D1352" s="1">
        <v>3.0</v>
      </c>
      <c r="E1352" s="1">
        <v>91.0</v>
      </c>
      <c r="F1352" s="1">
        <v>1.0</v>
      </c>
      <c r="G1352" s="1">
        <v>5.0</v>
      </c>
      <c r="H1352" s="1" t="s">
        <v>32</v>
      </c>
      <c r="I1352" s="1" t="s">
        <v>21</v>
      </c>
      <c r="J1352" s="1" t="s">
        <v>18</v>
      </c>
      <c r="K1352" s="1">
        <v>96000.0</v>
      </c>
      <c r="L1352" s="1">
        <v>56.9051508999999</v>
      </c>
      <c r="M1352" s="1">
        <v>24.2295887977555</v>
      </c>
    </row>
    <row r="1353">
      <c r="A1353" s="1" t="s">
        <v>22</v>
      </c>
      <c r="B1353" s="1" t="s">
        <v>23</v>
      </c>
      <c r="C1353" s="1" t="s">
        <v>787</v>
      </c>
      <c r="D1353" s="1">
        <v>1.0</v>
      </c>
      <c r="E1353" s="1">
        <v>21.0</v>
      </c>
      <c r="F1353" s="1">
        <v>1.0</v>
      </c>
      <c r="G1353" s="1">
        <v>5.0</v>
      </c>
      <c r="H1353" s="1" t="s">
        <v>181</v>
      </c>
      <c r="I1353" s="1" t="s">
        <v>37</v>
      </c>
      <c r="J1353" s="1" t="s">
        <v>18</v>
      </c>
      <c r="K1353" s="1">
        <v>18500.0</v>
      </c>
      <c r="L1353" s="1">
        <v>56.9437711</v>
      </c>
      <c r="M1353" s="1">
        <v>24.1581326570728</v>
      </c>
    </row>
    <row r="1354">
      <c r="A1354" s="1" t="s">
        <v>13</v>
      </c>
      <c r="B1354" s="1" t="s">
        <v>104</v>
      </c>
      <c r="C1354" s="1" t="s">
        <v>1087</v>
      </c>
      <c r="D1354" s="1">
        <v>2.0</v>
      </c>
      <c r="E1354" s="1">
        <v>62.0</v>
      </c>
      <c r="F1354" s="1">
        <v>2.0</v>
      </c>
      <c r="G1354" s="1">
        <v>4.0</v>
      </c>
      <c r="H1354" s="1" t="s">
        <v>25</v>
      </c>
      <c r="I1354" s="1" t="s">
        <v>33</v>
      </c>
      <c r="J1354" s="1" t="s">
        <v>18</v>
      </c>
      <c r="K1354" s="1">
        <v>450.0</v>
      </c>
      <c r="L1354" s="1">
        <v>56.93758345</v>
      </c>
      <c r="M1354" s="1">
        <v>24.0579901423817</v>
      </c>
    </row>
    <row r="1355">
      <c r="A1355" s="1" t="s">
        <v>13</v>
      </c>
      <c r="B1355" s="1" t="s">
        <v>23</v>
      </c>
      <c r="C1355" s="1" t="s">
        <v>1088</v>
      </c>
      <c r="D1355" s="1">
        <v>3.0</v>
      </c>
      <c r="E1355" s="1">
        <v>97.0</v>
      </c>
      <c r="F1355" s="1">
        <v>4.0</v>
      </c>
      <c r="G1355" s="1">
        <v>5.0</v>
      </c>
      <c r="H1355" s="1" t="s">
        <v>66</v>
      </c>
      <c r="I1355" s="1" t="s">
        <v>33</v>
      </c>
      <c r="J1355" s="1" t="s">
        <v>18</v>
      </c>
      <c r="K1355" s="1">
        <v>1600.0</v>
      </c>
      <c r="L1355" s="1">
        <v>56.9608302</v>
      </c>
      <c r="M1355" s="1">
        <v>24.1030076</v>
      </c>
    </row>
    <row r="1356">
      <c r="A1356" s="1" t="s">
        <v>13</v>
      </c>
      <c r="B1356" s="1" t="s">
        <v>134</v>
      </c>
      <c r="C1356" s="1" t="s">
        <v>1089</v>
      </c>
      <c r="D1356" s="1">
        <v>1.0</v>
      </c>
      <c r="E1356" s="1">
        <v>35.0</v>
      </c>
      <c r="F1356" s="1">
        <v>1.0</v>
      </c>
      <c r="G1356" s="1">
        <v>5.0</v>
      </c>
      <c r="H1356" s="1" t="s">
        <v>44</v>
      </c>
      <c r="I1356" s="1" t="s">
        <v>33</v>
      </c>
      <c r="J1356" s="1" t="s">
        <v>18</v>
      </c>
      <c r="K1356" s="1">
        <v>210.0</v>
      </c>
      <c r="L1356" s="1">
        <v>57.0382431</v>
      </c>
      <c r="M1356" s="1">
        <v>24.0224679499999</v>
      </c>
    </row>
    <row r="1357">
      <c r="A1357" s="1" t="s">
        <v>22</v>
      </c>
      <c r="B1357" s="1" t="s">
        <v>74</v>
      </c>
      <c r="C1357" s="1" t="s">
        <v>1090</v>
      </c>
      <c r="D1357" s="1">
        <v>4.0</v>
      </c>
      <c r="E1357" s="1">
        <v>73.0</v>
      </c>
      <c r="F1357" s="1">
        <v>3.0</v>
      </c>
      <c r="G1357" s="1">
        <v>9.0</v>
      </c>
      <c r="H1357" s="1">
        <v>467.0</v>
      </c>
      <c r="I1357" s="1" t="s">
        <v>21</v>
      </c>
      <c r="J1357" s="1" t="s">
        <v>18</v>
      </c>
      <c r="K1357" s="1">
        <v>65000.0</v>
      </c>
      <c r="L1357" s="1">
        <v>56.93399695</v>
      </c>
      <c r="M1357" s="1">
        <v>24.2075576</v>
      </c>
    </row>
    <row r="1358">
      <c r="A1358" s="1" t="s">
        <v>22</v>
      </c>
      <c r="B1358" s="1" t="s">
        <v>109</v>
      </c>
      <c r="C1358" s="1" t="s">
        <v>1091</v>
      </c>
      <c r="D1358" s="1">
        <v>6.0</v>
      </c>
      <c r="E1358" s="1">
        <v>208.0</v>
      </c>
      <c r="F1358" s="1">
        <v>2.0</v>
      </c>
      <c r="G1358" s="1">
        <v>3.0</v>
      </c>
      <c r="H1358" s="1" t="s">
        <v>171</v>
      </c>
      <c r="I1358" s="1" t="s">
        <v>33</v>
      </c>
      <c r="J1358" s="1" t="s">
        <v>18</v>
      </c>
      <c r="K1358" s="1">
        <v>209000.0</v>
      </c>
      <c r="L1358" s="1">
        <v>56.9979992</v>
      </c>
      <c r="M1358" s="1">
        <v>24.1641228</v>
      </c>
    </row>
    <row r="1359">
      <c r="A1359" s="1" t="s">
        <v>13</v>
      </c>
      <c r="B1359" s="1" t="s">
        <v>74</v>
      </c>
      <c r="C1359" s="1" t="s">
        <v>1092</v>
      </c>
      <c r="D1359" s="1">
        <v>1.0</v>
      </c>
      <c r="E1359" s="1">
        <v>44.0</v>
      </c>
      <c r="F1359" s="1">
        <v>5.0</v>
      </c>
      <c r="G1359" s="1">
        <v>9.0</v>
      </c>
      <c r="H1359" s="1" t="s">
        <v>57</v>
      </c>
      <c r="I1359" s="1" t="s">
        <v>21</v>
      </c>
      <c r="J1359" s="1" t="s">
        <v>18</v>
      </c>
      <c r="K1359" s="1">
        <v>320.0</v>
      </c>
      <c r="L1359" s="1">
        <v>56.9332692</v>
      </c>
      <c r="M1359" s="1">
        <v>24.1988005993907</v>
      </c>
    </row>
    <row r="1360">
      <c r="A1360" s="1" t="s">
        <v>89</v>
      </c>
      <c r="B1360" s="1" t="s">
        <v>28</v>
      </c>
      <c r="C1360" s="2"/>
      <c r="D1360" s="2"/>
      <c r="E1360" s="2"/>
      <c r="F1360" s="1">
        <v>77.0</v>
      </c>
      <c r="G1360" s="1">
        <v>7.0</v>
      </c>
      <c r="H1360" s="2"/>
      <c r="I1360" s="2"/>
      <c r="J1360" s="2"/>
      <c r="K1360" s="2"/>
      <c r="L1360" s="1">
        <v>46.3144754</v>
      </c>
      <c r="M1360" s="1">
        <v>11.0480288</v>
      </c>
    </row>
    <row r="1361">
      <c r="A1361" s="1" t="s">
        <v>89</v>
      </c>
      <c r="B1361" s="1" t="s">
        <v>38</v>
      </c>
      <c r="C1361" s="2"/>
      <c r="D1361" s="2"/>
      <c r="E1361" s="2"/>
      <c r="F1361" s="1">
        <v>77.0</v>
      </c>
      <c r="G1361" s="1">
        <v>7.0</v>
      </c>
      <c r="H1361" s="2"/>
      <c r="I1361" s="2"/>
      <c r="J1361" s="2"/>
      <c r="K1361" s="2"/>
      <c r="L1361" s="1">
        <v>46.3144754</v>
      </c>
      <c r="M1361" s="1">
        <v>11.0480288</v>
      </c>
    </row>
    <row r="1362">
      <c r="A1362" s="1" t="s">
        <v>89</v>
      </c>
      <c r="B1362" s="1" t="s">
        <v>42</v>
      </c>
      <c r="C1362" s="2"/>
      <c r="D1362" s="2"/>
      <c r="E1362" s="1">
        <v>7.0</v>
      </c>
      <c r="F1362" s="1">
        <v>7.0</v>
      </c>
      <c r="G1362" s="1">
        <v>77.0</v>
      </c>
      <c r="H1362" s="2"/>
      <c r="I1362" s="2"/>
      <c r="J1362" s="2"/>
      <c r="K1362" s="2"/>
      <c r="L1362" s="1">
        <v>46.3144754</v>
      </c>
      <c r="M1362" s="1">
        <v>11.0480288</v>
      </c>
    </row>
    <row r="1363">
      <c r="A1363" s="1" t="s">
        <v>89</v>
      </c>
      <c r="B1363" s="1" t="s">
        <v>96</v>
      </c>
      <c r="C1363" s="2"/>
      <c r="D1363" s="2"/>
      <c r="E1363" s="2"/>
      <c r="F1363" s="1">
        <v>77.0</v>
      </c>
      <c r="G1363" s="1">
        <v>7.0</v>
      </c>
      <c r="H1363" s="2"/>
      <c r="I1363" s="2"/>
      <c r="J1363" s="2"/>
      <c r="K1363" s="2"/>
      <c r="L1363" s="1">
        <v>46.3144754</v>
      </c>
      <c r="M1363" s="1">
        <v>11.0480288</v>
      </c>
    </row>
    <row r="1364">
      <c r="A1364" s="1" t="s">
        <v>89</v>
      </c>
      <c r="B1364" s="1" t="s">
        <v>129</v>
      </c>
      <c r="C1364" s="2"/>
      <c r="D1364" s="2"/>
      <c r="E1364" s="1">
        <v>8.0</v>
      </c>
      <c r="F1364" s="1">
        <v>88.0</v>
      </c>
      <c r="G1364" s="1">
        <v>8.0</v>
      </c>
      <c r="H1364" s="2"/>
      <c r="I1364" s="2"/>
      <c r="J1364" s="2"/>
      <c r="K1364" s="2"/>
      <c r="L1364" s="1">
        <v>46.3144754</v>
      </c>
      <c r="M1364" s="1">
        <v>11.0480288</v>
      </c>
    </row>
    <row r="1365">
      <c r="A1365" s="1" t="s">
        <v>89</v>
      </c>
      <c r="B1365" s="1" t="s">
        <v>74</v>
      </c>
      <c r="C1365" s="2"/>
      <c r="D1365" s="2"/>
      <c r="E1365" s="2"/>
      <c r="F1365" s="1">
        <v>77.0</v>
      </c>
      <c r="G1365" s="1">
        <v>7.0</v>
      </c>
      <c r="H1365" s="2"/>
      <c r="I1365" s="2"/>
      <c r="J1365" s="2"/>
      <c r="K1365" s="2"/>
      <c r="L1365" s="1">
        <v>46.3144754</v>
      </c>
      <c r="M1365" s="1">
        <v>11.0480288</v>
      </c>
    </row>
    <row r="1366">
      <c r="A1366" s="1" t="s">
        <v>13</v>
      </c>
      <c r="B1366" s="1" t="s">
        <v>23</v>
      </c>
      <c r="C1366" s="1" t="s">
        <v>1093</v>
      </c>
      <c r="D1366" s="1">
        <v>2.0</v>
      </c>
      <c r="E1366" s="1">
        <v>80.0</v>
      </c>
      <c r="F1366" s="1">
        <v>6.0</v>
      </c>
      <c r="G1366" s="1">
        <v>6.0</v>
      </c>
      <c r="H1366" s="1" t="s">
        <v>66</v>
      </c>
      <c r="I1366" s="1" t="s">
        <v>33</v>
      </c>
      <c r="J1366" s="1" t="s">
        <v>18</v>
      </c>
      <c r="K1366" s="1">
        <v>480.0</v>
      </c>
      <c r="L1366" s="1">
        <v>56.9536673</v>
      </c>
      <c r="M1366" s="1">
        <v>24.1546480286427</v>
      </c>
    </row>
    <row r="1367">
      <c r="A1367" s="1" t="s">
        <v>89</v>
      </c>
      <c r="B1367" s="1" t="s">
        <v>96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1">
        <v>46.3144754</v>
      </c>
      <c r="M1367" s="1">
        <v>11.0480288</v>
      </c>
    </row>
    <row r="1368">
      <c r="A1368" s="1" t="s">
        <v>89</v>
      </c>
      <c r="B1368" s="1" t="s">
        <v>129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1">
        <v>46.3144754</v>
      </c>
      <c r="M1368" s="1">
        <v>11.0480288</v>
      </c>
    </row>
    <row r="1369">
      <c r="A1369" s="1" t="s">
        <v>89</v>
      </c>
      <c r="B1369" s="1" t="s">
        <v>134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1">
        <v>46.3144754</v>
      </c>
      <c r="M1369" s="1">
        <v>11.0480288</v>
      </c>
    </row>
    <row r="1370">
      <c r="A1370" s="1" t="s">
        <v>13</v>
      </c>
      <c r="B1370" s="1" t="s">
        <v>23</v>
      </c>
      <c r="C1370" s="1" t="s">
        <v>1094</v>
      </c>
      <c r="D1370" s="1">
        <v>3.0</v>
      </c>
      <c r="E1370" s="1">
        <v>110.0</v>
      </c>
      <c r="F1370" s="1">
        <v>6.0</v>
      </c>
      <c r="G1370" s="1">
        <v>6.0</v>
      </c>
      <c r="H1370" s="1" t="s">
        <v>25</v>
      </c>
      <c r="I1370" s="1" t="s">
        <v>33</v>
      </c>
      <c r="J1370" s="1" t="s">
        <v>18</v>
      </c>
      <c r="K1370" s="1">
        <v>800.0</v>
      </c>
      <c r="L1370" s="1">
        <v>56.96266715</v>
      </c>
      <c r="M1370" s="1">
        <v>24.1224049</v>
      </c>
    </row>
    <row r="1371">
      <c r="A1371" s="1" t="s">
        <v>89</v>
      </c>
      <c r="B1371" s="1" t="s">
        <v>23</v>
      </c>
      <c r="C1371" s="2"/>
      <c r="D1371" s="1" t="s">
        <v>90</v>
      </c>
      <c r="E1371" s="2"/>
      <c r="F1371" s="2"/>
      <c r="G1371" s="2"/>
      <c r="H1371" s="2"/>
      <c r="I1371" s="2"/>
      <c r="J1371" s="2"/>
      <c r="K1371" s="2"/>
      <c r="L1371" s="1">
        <v>46.3144754</v>
      </c>
      <c r="M1371" s="1">
        <v>11.0480288</v>
      </c>
    </row>
    <row r="1372">
      <c r="A1372" s="1" t="s">
        <v>13</v>
      </c>
      <c r="B1372" s="1" t="s">
        <v>50</v>
      </c>
      <c r="C1372" s="1" t="s">
        <v>1095</v>
      </c>
      <c r="D1372" s="1">
        <v>2.0</v>
      </c>
      <c r="E1372" s="1">
        <v>37.0</v>
      </c>
      <c r="F1372" s="1">
        <v>5.0</v>
      </c>
      <c r="G1372" s="1">
        <v>5.0</v>
      </c>
      <c r="H1372" s="1" t="s">
        <v>25</v>
      </c>
      <c r="I1372" s="1" t="s">
        <v>37</v>
      </c>
      <c r="J1372" s="1" t="s">
        <v>18</v>
      </c>
      <c r="K1372" s="1">
        <v>375.0</v>
      </c>
      <c r="L1372" s="1">
        <v>56.94079415</v>
      </c>
      <c r="M1372" s="1">
        <v>24.1417467503373</v>
      </c>
    </row>
    <row r="1373">
      <c r="A1373" s="1" t="s">
        <v>22</v>
      </c>
      <c r="B1373" s="1" t="s">
        <v>151</v>
      </c>
      <c r="C1373" s="1" t="s">
        <v>505</v>
      </c>
      <c r="D1373" s="1">
        <v>1.0</v>
      </c>
      <c r="E1373" s="1">
        <v>28.0</v>
      </c>
      <c r="F1373" s="1">
        <v>3.0</v>
      </c>
      <c r="G1373" s="1">
        <v>5.0</v>
      </c>
      <c r="H1373" s="1" t="s">
        <v>44</v>
      </c>
      <c r="I1373" s="1" t="s">
        <v>37</v>
      </c>
      <c r="J1373" s="1" t="s">
        <v>18</v>
      </c>
      <c r="K1373" s="1">
        <v>24000.0</v>
      </c>
      <c r="L1373" s="1">
        <v>56.9664898</v>
      </c>
      <c r="M1373" s="1">
        <v>24.0486124</v>
      </c>
    </row>
    <row r="1374">
      <c r="A1374" s="1" t="s">
        <v>22</v>
      </c>
      <c r="B1374" s="1" t="s">
        <v>14</v>
      </c>
      <c r="C1374" s="1" t="s">
        <v>1096</v>
      </c>
      <c r="D1374" s="1">
        <v>3.0</v>
      </c>
      <c r="E1374" s="1">
        <v>79.0</v>
      </c>
      <c r="F1374" s="1">
        <v>2.0</v>
      </c>
      <c r="G1374" s="1">
        <v>9.0</v>
      </c>
      <c r="H1374" s="1">
        <v>119.0</v>
      </c>
      <c r="I1374" s="1" t="s">
        <v>21</v>
      </c>
      <c r="J1374" s="1" t="s">
        <v>18</v>
      </c>
      <c r="K1374" s="1">
        <v>76000.0</v>
      </c>
      <c r="L1374" s="1">
        <v>56.94971275</v>
      </c>
      <c r="M1374" s="1">
        <v>24.1947290999999</v>
      </c>
    </row>
    <row r="1375">
      <c r="A1375" s="1" t="s">
        <v>22</v>
      </c>
      <c r="B1375" s="1" t="s">
        <v>23</v>
      </c>
      <c r="C1375" s="1" t="s">
        <v>1097</v>
      </c>
      <c r="D1375" s="1">
        <v>2.0</v>
      </c>
      <c r="E1375" s="1">
        <v>30.0</v>
      </c>
      <c r="F1375" s="1">
        <v>1.0</v>
      </c>
      <c r="G1375" s="1">
        <v>4.0</v>
      </c>
      <c r="H1375" s="1" t="s">
        <v>25</v>
      </c>
      <c r="I1375" s="1" t="s">
        <v>37</v>
      </c>
      <c r="J1375" s="1" t="s">
        <v>18</v>
      </c>
      <c r="K1375" s="1">
        <v>65000.0</v>
      </c>
      <c r="L1375" s="1">
        <v>56.9508474</v>
      </c>
      <c r="M1375" s="1">
        <v>24.1241128</v>
      </c>
    </row>
    <row r="1376">
      <c r="A1376" s="1" t="s">
        <v>22</v>
      </c>
      <c r="B1376" s="1" t="s">
        <v>42</v>
      </c>
      <c r="C1376" s="1" t="s">
        <v>1098</v>
      </c>
      <c r="D1376" s="1">
        <v>1.0</v>
      </c>
      <c r="E1376" s="1">
        <v>44.0</v>
      </c>
      <c r="F1376" s="1">
        <v>2.0</v>
      </c>
      <c r="G1376" s="1">
        <v>7.0</v>
      </c>
      <c r="H1376" s="1" t="s">
        <v>36</v>
      </c>
      <c r="I1376" s="1" t="s">
        <v>37</v>
      </c>
      <c r="J1376" s="1" t="s">
        <v>18</v>
      </c>
      <c r="K1376" s="1">
        <v>40000.0</v>
      </c>
      <c r="L1376" s="1">
        <v>56.9933665</v>
      </c>
      <c r="M1376" s="1">
        <v>24.2300646</v>
      </c>
    </row>
    <row r="1377">
      <c r="A1377" s="1" t="s">
        <v>22</v>
      </c>
      <c r="B1377" s="1" t="s">
        <v>23</v>
      </c>
      <c r="C1377" s="1" t="s">
        <v>798</v>
      </c>
      <c r="D1377" s="1">
        <v>3.0</v>
      </c>
      <c r="E1377" s="1">
        <v>59.0</v>
      </c>
      <c r="F1377" s="1">
        <v>2.0</v>
      </c>
      <c r="G1377" s="1">
        <v>6.0</v>
      </c>
      <c r="H1377" s="1" t="s">
        <v>25</v>
      </c>
      <c r="I1377" s="1" t="s">
        <v>37</v>
      </c>
      <c r="J1377" s="1" t="s">
        <v>18</v>
      </c>
      <c r="K1377" s="1">
        <v>80000.0</v>
      </c>
      <c r="L1377" s="1">
        <v>56.9555119</v>
      </c>
      <c r="M1377" s="1">
        <v>24.1352351</v>
      </c>
    </row>
    <row r="1378">
      <c r="A1378" s="1" t="s">
        <v>13</v>
      </c>
      <c r="B1378" s="1" t="s">
        <v>52</v>
      </c>
      <c r="C1378" s="1" t="s">
        <v>1099</v>
      </c>
      <c r="D1378" s="1">
        <v>3.0</v>
      </c>
      <c r="E1378" s="1">
        <v>75.0</v>
      </c>
      <c r="F1378" s="1">
        <v>4.0</v>
      </c>
      <c r="G1378" s="1">
        <v>9.0</v>
      </c>
      <c r="H1378" s="1">
        <v>119.0</v>
      </c>
      <c r="I1378" s="1" t="s">
        <v>21</v>
      </c>
      <c r="J1378" s="1" t="s">
        <v>18</v>
      </c>
      <c r="K1378" s="1">
        <v>490.0</v>
      </c>
      <c r="L1378" s="1">
        <v>56.94617195</v>
      </c>
      <c r="M1378" s="1">
        <v>24.0087872499999</v>
      </c>
    </row>
    <row r="1379">
      <c r="A1379" s="1" t="s">
        <v>22</v>
      </c>
      <c r="B1379" s="1" t="s">
        <v>104</v>
      </c>
      <c r="C1379" s="1" t="s">
        <v>619</v>
      </c>
      <c r="D1379" s="1">
        <v>4.0</v>
      </c>
      <c r="E1379" s="1">
        <v>112.0</v>
      </c>
      <c r="F1379" s="1">
        <v>3.0</v>
      </c>
      <c r="G1379" s="1">
        <v>6.0</v>
      </c>
      <c r="H1379" s="1" t="s">
        <v>66</v>
      </c>
      <c r="I1379" s="1" t="s">
        <v>33</v>
      </c>
      <c r="J1379" s="1" t="s">
        <v>18</v>
      </c>
      <c r="K1379" s="1">
        <v>145000.0</v>
      </c>
      <c r="L1379" s="1">
        <v>56.9474705</v>
      </c>
      <c r="M1379" s="1">
        <v>24.0604076</v>
      </c>
    </row>
    <row r="1380">
      <c r="A1380" s="1" t="s">
        <v>13</v>
      </c>
      <c r="B1380" s="1" t="s">
        <v>422</v>
      </c>
      <c r="C1380" s="1" t="s">
        <v>1100</v>
      </c>
      <c r="D1380" s="1">
        <v>2.0</v>
      </c>
      <c r="E1380" s="1">
        <v>30.0</v>
      </c>
      <c r="F1380" s="1">
        <v>2.0</v>
      </c>
      <c r="G1380" s="1">
        <v>3.0</v>
      </c>
      <c r="H1380" s="1" t="s">
        <v>66</v>
      </c>
      <c r="I1380" s="1" t="s">
        <v>26</v>
      </c>
      <c r="J1380" s="1" t="s">
        <v>18</v>
      </c>
      <c r="K1380" s="1">
        <v>350.0</v>
      </c>
      <c r="L1380" s="1">
        <v>56.93501385</v>
      </c>
      <c r="M1380" s="1">
        <v>24.0352872903897</v>
      </c>
    </row>
    <row r="1381">
      <c r="A1381" s="1" t="s">
        <v>22</v>
      </c>
      <c r="B1381" s="1" t="s">
        <v>23</v>
      </c>
      <c r="C1381" s="1" t="s">
        <v>1101</v>
      </c>
      <c r="D1381" s="1">
        <v>5.0</v>
      </c>
      <c r="E1381" s="1">
        <v>138.0</v>
      </c>
      <c r="F1381" s="1">
        <v>4.0</v>
      </c>
      <c r="G1381" s="1">
        <v>4.0</v>
      </c>
      <c r="H1381" s="1" t="s">
        <v>25</v>
      </c>
      <c r="I1381" s="1" t="s">
        <v>33</v>
      </c>
      <c r="J1381" s="1" t="s">
        <v>18</v>
      </c>
      <c r="K1381" s="1">
        <v>168000.0</v>
      </c>
      <c r="L1381" s="1">
        <v>56.97311445</v>
      </c>
      <c r="M1381" s="1">
        <v>24.1378080196509</v>
      </c>
    </row>
    <row r="1382">
      <c r="A1382" s="1" t="s">
        <v>13</v>
      </c>
      <c r="B1382" s="1" t="s">
        <v>38</v>
      </c>
      <c r="C1382" s="1" t="s">
        <v>145</v>
      </c>
      <c r="D1382" s="1">
        <v>2.0</v>
      </c>
      <c r="E1382" s="1">
        <v>80.0</v>
      </c>
      <c r="F1382" s="1">
        <v>8.0</v>
      </c>
      <c r="G1382" s="1">
        <v>18.0</v>
      </c>
      <c r="H1382" s="1" t="s">
        <v>32</v>
      </c>
      <c r="I1382" s="1" t="s">
        <v>17</v>
      </c>
      <c r="J1382" s="1" t="s">
        <v>18</v>
      </c>
      <c r="K1382" s="1">
        <v>520.0</v>
      </c>
      <c r="L1382" s="1">
        <v>56.96112105</v>
      </c>
      <c r="M1382" s="1">
        <v>24.01821679525</v>
      </c>
    </row>
    <row r="1383">
      <c r="A1383" s="1" t="s">
        <v>89</v>
      </c>
      <c r="B1383" s="1" t="s">
        <v>151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1">
        <v>46.3144754</v>
      </c>
      <c r="M1383" s="1">
        <v>11.0480288</v>
      </c>
    </row>
    <row r="1384">
      <c r="A1384" s="1" t="s">
        <v>89</v>
      </c>
      <c r="B1384" s="1" t="s">
        <v>28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1">
        <v>46.3144754</v>
      </c>
      <c r="M1384" s="1">
        <v>11.0480288</v>
      </c>
    </row>
    <row r="1385">
      <c r="A1385" s="1" t="s">
        <v>89</v>
      </c>
      <c r="B1385" s="1" t="s">
        <v>42</v>
      </c>
      <c r="C1385" s="2"/>
      <c r="D1385" s="1" t="s">
        <v>90</v>
      </c>
      <c r="E1385" s="2"/>
      <c r="F1385" s="2"/>
      <c r="G1385" s="2"/>
      <c r="H1385" s="2"/>
      <c r="I1385" s="2"/>
      <c r="J1385" s="2"/>
      <c r="K1385" s="2"/>
      <c r="L1385" s="1">
        <v>46.3144754</v>
      </c>
      <c r="M1385" s="1">
        <v>11.0480288</v>
      </c>
    </row>
    <row r="1386">
      <c r="A1386" s="1" t="s">
        <v>89</v>
      </c>
      <c r="B1386" s="1" t="s">
        <v>38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1">
        <v>46.3144754</v>
      </c>
      <c r="M1386" s="1">
        <v>11.0480288</v>
      </c>
    </row>
    <row r="1387">
      <c r="A1387" s="1" t="s">
        <v>89</v>
      </c>
      <c r="B1387" s="1" t="s">
        <v>14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1">
        <v>46.3144754</v>
      </c>
      <c r="M1387" s="1">
        <v>11.0480288</v>
      </c>
    </row>
    <row r="1388">
      <c r="A1388" s="1" t="s">
        <v>22</v>
      </c>
      <c r="B1388" s="1" t="s">
        <v>218</v>
      </c>
      <c r="C1388" s="1" t="s">
        <v>1102</v>
      </c>
      <c r="D1388" s="1">
        <v>1.0</v>
      </c>
      <c r="E1388" s="1">
        <v>18.0</v>
      </c>
      <c r="F1388" s="1">
        <v>2.0</v>
      </c>
      <c r="G1388" s="1">
        <v>4.0</v>
      </c>
      <c r="H1388" s="1" t="s">
        <v>25</v>
      </c>
      <c r="I1388" s="1" t="s">
        <v>33</v>
      </c>
      <c r="J1388" s="1" t="s">
        <v>18</v>
      </c>
      <c r="K1388" s="1">
        <v>44500.0</v>
      </c>
      <c r="L1388" s="1">
        <v>56.95014635</v>
      </c>
      <c r="M1388" s="1">
        <v>24.1092607305158</v>
      </c>
    </row>
    <row r="1389">
      <c r="A1389" s="1" t="s">
        <v>22</v>
      </c>
      <c r="B1389" s="1" t="s">
        <v>38</v>
      </c>
      <c r="C1389" s="1" t="s">
        <v>1103</v>
      </c>
      <c r="D1389" s="1">
        <v>3.0</v>
      </c>
      <c r="E1389" s="1">
        <v>60.0</v>
      </c>
      <c r="F1389" s="1">
        <v>7.0</v>
      </c>
      <c r="G1389" s="1">
        <v>9.0</v>
      </c>
      <c r="H1389" s="1" t="s">
        <v>32</v>
      </c>
      <c r="I1389" s="1" t="s">
        <v>21</v>
      </c>
      <c r="J1389" s="1" t="s">
        <v>18</v>
      </c>
      <c r="K1389" s="1">
        <v>104949.0</v>
      </c>
      <c r="L1389" s="1">
        <v>56.9518586</v>
      </c>
      <c r="M1389" s="1">
        <v>24.0049456791553</v>
      </c>
    </row>
    <row r="1390">
      <c r="A1390" s="1" t="s">
        <v>22</v>
      </c>
      <c r="B1390" s="1" t="s">
        <v>38</v>
      </c>
      <c r="C1390" s="1" t="s">
        <v>1104</v>
      </c>
      <c r="D1390" s="1">
        <v>4.0</v>
      </c>
      <c r="E1390" s="1">
        <v>78.0</v>
      </c>
      <c r="F1390" s="1">
        <v>8.0</v>
      </c>
      <c r="G1390" s="1">
        <v>9.0</v>
      </c>
      <c r="H1390" s="1" t="s">
        <v>32</v>
      </c>
      <c r="I1390" s="1" t="s">
        <v>21</v>
      </c>
      <c r="J1390" s="1" t="s">
        <v>18</v>
      </c>
      <c r="K1390" s="1">
        <v>133722.0</v>
      </c>
      <c r="L1390" s="1">
        <v>56.9514132</v>
      </c>
      <c r="M1390" s="1">
        <v>24.0038761753746</v>
      </c>
    </row>
    <row r="1391">
      <c r="A1391" s="1" t="s">
        <v>22</v>
      </c>
      <c r="B1391" s="1" t="s">
        <v>38</v>
      </c>
      <c r="C1391" s="1" t="s">
        <v>1104</v>
      </c>
      <c r="D1391" s="1">
        <v>2.0</v>
      </c>
      <c r="E1391" s="1">
        <v>51.0</v>
      </c>
      <c r="F1391" s="1">
        <v>6.0</v>
      </c>
      <c r="G1391" s="1">
        <v>9.0</v>
      </c>
      <c r="H1391" s="1" t="s">
        <v>32</v>
      </c>
      <c r="I1391" s="1" t="s">
        <v>21</v>
      </c>
      <c r="J1391" s="1" t="s">
        <v>18</v>
      </c>
      <c r="K1391" s="1">
        <v>87365.0</v>
      </c>
      <c r="L1391" s="1">
        <v>56.9514132</v>
      </c>
      <c r="M1391" s="1">
        <v>24.0038761753746</v>
      </c>
    </row>
    <row r="1392">
      <c r="A1392" s="1" t="s">
        <v>22</v>
      </c>
      <c r="B1392" s="1" t="s">
        <v>38</v>
      </c>
      <c r="C1392" s="1" t="s">
        <v>1103</v>
      </c>
      <c r="D1392" s="1">
        <v>4.0</v>
      </c>
      <c r="E1392" s="1">
        <v>78.0</v>
      </c>
      <c r="F1392" s="1">
        <v>5.0</v>
      </c>
      <c r="G1392" s="1">
        <v>9.0</v>
      </c>
      <c r="H1392" s="1" t="s">
        <v>32</v>
      </c>
      <c r="I1392" s="1" t="s">
        <v>21</v>
      </c>
      <c r="J1392" s="1" t="s">
        <v>18</v>
      </c>
      <c r="K1392" s="1">
        <v>130203.0</v>
      </c>
      <c r="L1392" s="1">
        <v>56.9518586</v>
      </c>
      <c r="M1392" s="1">
        <v>24.0049456791553</v>
      </c>
    </row>
    <row r="1393">
      <c r="A1393" s="1" t="s">
        <v>22</v>
      </c>
      <c r="B1393" s="1" t="s">
        <v>38</v>
      </c>
      <c r="C1393" s="1" t="s">
        <v>1104</v>
      </c>
      <c r="D1393" s="1">
        <v>4.0</v>
      </c>
      <c r="E1393" s="1">
        <v>78.0</v>
      </c>
      <c r="F1393" s="1">
        <v>6.0</v>
      </c>
      <c r="G1393" s="1">
        <v>9.0</v>
      </c>
      <c r="H1393" s="1" t="s">
        <v>32</v>
      </c>
      <c r="I1393" s="1" t="s">
        <v>21</v>
      </c>
      <c r="J1393" s="1" t="s">
        <v>18</v>
      </c>
      <c r="K1393" s="1">
        <v>130985.0</v>
      </c>
      <c r="L1393" s="1">
        <v>56.9514132</v>
      </c>
      <c r="M1393" s="1">
        <v>24.0038761753746</v>
      </c>
    </row>
    <row r="1394">
      <c r="A1394" s="1" t="s">
        <v>22</v>
      </c>
      <c r="B1394" s="1" t="s">
        <v>38</v>
      </c>
      <c r="C1394" s="1" t="s">
        <v>1104</v>
      </c>
      <c r="D1394" s="1">
        <v>2.0</v>
      </c>
      <c r="E1394" s="1">
        <v>45.0</v>
      </c>
      <c r="F1394" s="1">
        <v>7.0</v>
      </c>
      <c r="G1394" s="1">
        <v>9.0</v>
      </c>
      <c r="H1394" s="1" t="s">
        <v>32</v>
      </c>
      <c r="I1394" s="1" t="s">
        <v>21</v>
      </c>
      <c r="J1394" s="1" t="s">
        <v>18</v>
      </c>
      <c r="K1394" s="1">
        <v>79502.0</v>
      </c>
      <c r="L1394" s="1">
        <v>56.9514132</v>
      </c>
      <c r="M1394" s="1">
        <v>24.0038761753746</v>
      </c>
    </row>
    <row r="1395">
      <c r="A1395" s="1" t="s">
        <v>22</v>
      </c>
      <c r="B1395" s="1" t="s">
        <v>503</v>
      </c>
      <c r="C1395" s="1" t="s">
        <v>1105</v>
      </c>
      <c r="D1395" s="1">
        <v>1.0</v>
      </c>
      <c r="E1395" s="1">
        <v>36.0</v>
      </c>
      <c r="F1395" s="1">
        <v>5.0</v>
      </c>
      <c r="G1395" s="1">
        <v>5.0</v>
      </c>
      <c r="H1395" s="1">
        <v>103.0</v>
      </c>
      <c r="I1395" s="1" t="s">
        <v>17</v>
      </c>
      <c r="J1395" s="1" t="s">
        <v>18</v>
      </c>
      <c r="K1395" s="1">
        <v>31000.0</v>
      </c>
      <c r="L1395" s="1">
        <v>57.0621312</v>
      </c>
      <c r="M1395" s="1">
        <v>24.0542515</v>
      </c>
    </row>
    <row r="1396">
      <c r="A1396" s="1" t="s">
        <v>22</v>
      </c>
      <c r="B1396" s="1" t="s">
        <v>28</v>
      </c>
      <c r="C1396" s="1" t="s">
        <v>1106</v>
      </c>
      <c r="D1396" s="1">
        <v>2.0</v>
      </c>
      <c r="E1396" s="1">
        <v>45.0</v>
      </c>
      <c r="F1396" s="1">
        <v>4.0</v>
      </c>
      <c r="G1396" s="1">
        <v>5.0</v>
      </c>
      <c r="H1396" s="1" t="s">
        <v>16</v>
      </c>
      <c r="I1396" s="1" t="s">
        <v>21</v>
      </c>
      <c r="J1396" s="1" t="s">
        <v>18</v>
      </c>
      <c r="K1396" s="1">
        <v>45000.0</v>
      </c>
      <c r="L1396" s="1">
        <v>56.90080385</v>
      </c>
      <c r="M1396" s="1">
        <v>24.2070322999999</v>
      </c>
    </row>
    <row r="1397">
      <c r="A1397" s="1" t="s">
        <v>22</v>
      </c>
      <c r="B1397" s="1" t="s">
        <v>14</v>
      </c>
      <c r="C1397" s="1" t="s">
        <v>1107</v>
      </c>
      <c r="D1397" s="1">
        <v>2.0</v>
      </c>
      <c r="E1397" s="1">
        <v>50.0</v>
      </c>
      <c r="F1397" s="1">
        <v>7.0</v>
      </c>
      <c r="G1397" s="1">
        <v>9.0</v>
      </c>
      <c r="H1397" s="1">
        <v>467.0</v>
      </c>
      <c r="I1397" s="1" t="s">
        <v>21</v>
      </c>
      <c r="J1397" s="1" t="s">
        <v>18</v>
      </c>
      <c r="K1397" s="1">
        <v>43000.0</v>
      </c>
      <c r="L1397" s="1">
        <v>56.95622285</v>
      </c>
      <c r="M1397" s="1">
        <v>24.1981136952542</v>
      </c>
    </row>
    <row r="1398">
      <c r="A1398" s="1" t="s">
        <v>22</v>
      </c>
      <c r="B1398" s="1" t="s">
        <v>14</v>
      </c>
      <c r="C1398" s="1" t="s">
        <v>1108</v>
      </c>
      <c r="D1398" s="1">
        <v>2.0</v>
      </c>
      <c r="E1398" s="1">
        <v>50.0</v>
      </c>
      <c r="F1398" s="1">
        <v>5.0</v>
      </c>
      <c r="G1398" s="1">
        <v>5.0</v>
      </c>
      <c r="H1398" s="1" t="s">
        <v>16</v>
      </c>
      <c r="I1398" s="1" t="s">
        <v>21</v>
      </c>
      <c r="J1398" s="1" t="s">
        <v>18</v>
      </c>
      <c r="K1398" s="1">
        <v>45000.0</v>
      </c>
      <c r="L1398" s="1">
        <v>56.9570069</v>
      </c>
      <c r="M1398" s="1">
        <v>24.1987368</v>
      </c>
    </row>
    <row r="1399">
      <c r="A1399" s="1" t="s">
        <v>22</v>
      </c>
      <c r="B1399" s="1" t="s">
        <v>74</v>
      </c>
      <c r="C1399" s="1" t="s">
        <v>1057</v>
      </c>
      <c r="D1399" s="1">
        <v>4.0</v>
      </c>
      <c r="E1399" s="1">
        <v>113.0</v>
      </c>
      <c r="F1399" s="1">
        <v>12.0</v>
      </c>
      <c r="G1399" s="1">
        <v>12.0</v>
      </c>
      <c r="H1399" s="1" t="s">
        <v>36</v>
      </c>
      <c r="I1399" s="1" t="s">
        <v>37</v>
      </c>
      <c r="J1399" s="1" t="s">
        <v>18</v>
      </c>
      <c r="K1399" s="1">
        <v>109000.0</v>
      </c>
      <c r="L1399" s="1">
        <v>56.9375255</v>
      </c>
      <c r="M1399" s="1">
        <v>24.2061416</v>
      </c>
    </row>
    <row r="1400">
      <c r="A1400" s="1" t="s">
        <v>22</v>
      </c>
      <c r="B1400" s="1" t="s">
        <v>28</v>
      </c>
      <c r="C1400" s="1" t="s">
        <v>1109</v>
      </c>
      <c r="D1400" s="1">
        <v>3.0</v>
      </c>
      <c r="E1400" s="1">
        <v>62.0</v>
      </c>
      <c r="F1400" s="1">
        <v>3.0</v>
      </c>
      <c r="G1400" s="1">
        <v>5.0</v>
      </c>
      <c r="H1400" s="1" t="s">
        <v>32</v>
      </c>
      <c r="I1400" s="1" t="s">
        <v>122</v>
      </c>
      <c r="J1400" s="1" t="s">
        <v>18</v>
      </c>
      <c r="K1400" s="1">
        <v>101200.0</v>
      </c>
      <c r="L1400" s="1">
        <v>56.91588075</v>
      </c>
      <c r="M1400" s="1">
        <v>24.1657776348698</v>
      </c>
    </row>
    <row r="1401">
      <c r="A1401" s="1" t="s">
        <v>22</v>
      </c>
      <c r="B1401" s="1" t="s">
        <v>104</v>
      </c>
      <c r="C1401" s="1" t="s">
        <v>1110</v>
      </c>
      <c r="D1401" s="1">
        <v>4.0</v>
      </c>
      <c r="E1401" s="1">
        <v>137.0</v>
      </c>
      <c r="F1401" s="1">
        <v>1.0</v>
      </c>
      <c r="G1401" s="1">
        <v>4.0</v>
      </c>
      <c r="H1401" s="1" t="s">
        <v>66</v>
      </c>
      <c r="I1401" s="1" t="s">
        <v>33</v>
      </c>
      <c r="J1401" s="1" t="s">
        <v>27</v>
      </c>
      <c r="K1401" s="1">
        <v>259737.0</v>
      </c>
      <c r="L1401" s="1">
        <v>56.94814375</v>
      </c>
      <c r="M1401" s="1">
        <v>24.0719355787987</v>
      </c>
    </row>
    <row r="1402">
      <c r="A1402" s="1" t="s">
        <v>22</v>
      </c>
      <c r="B1402" s="1" t="s">
        <v>104</v>
      </c>
      <c r="C1402" s="1" t="s">
        <v>1111</v>
      </c>
      <c r="D1402" s="1">
        <v>4.0</v>
      </c>
      <c r="E1402" s="1">
        <v>137.0</v>
      </c>
      <c r="F1402" s="1">
        <v>1.0</v>
      </c>
      <c r="G1402" s="1">
        <v>4.0</v>
      </c>
      <c r="H1402" s="1" t="s">
        <v>66</v>
      </c>
      <c r="I1402" s="1" t="s">
        <v>33</v>
      </c>
      <c r="J1402" s="1" t="s">
        <v>18</v>
      </c>
      <c r="K1402" s="1">
        <v>259737.0</v>
      </c>
      <c r="L1402" s="1">
        <v>56.9483988</v>
      </c>
      <c r="M1402" s="1">
        <v>24.0722286</v>
      </c>
    </row>
    <row r="1403">
      <c r="A1403" s="1" t="s">
        <v>22</v>
      </c>
      <c r="B1403" s="1" t="s">
        <v>104</v>
      </c>
      <c r="C1403" s="1" t="s">
        <v>1112</v>
      </c>
      <c r="D1403" s="1">
        <v>3.0</v>
      </c>
      <c r="E1403" s="1">
        <v>91.0</v>
      </c>
      <c r="F1403" s="1">
        <v>2.0</v>
      </c>
      <c r="G1403" s="1">
        <v>3.0</v>
      </c>
      <c r="H1403" s="1" t="s">
        <v>32</v>
      </c>
      <c r="I1403" s="1" t="s">
        <v>33</v>
      </c>
      <c r="J1403" s="1" t="s">
        <v>18</v>
      </c>
      <c r="K1403" s="1">
        <v>145000.0</v>
      </c>
      <c r="L1403" s="1">
        <v>56.9425629</v>
      </c>
      <c r="M1403" s="1">
        <v>24.0726856783242</v>
      </c>
    </row>
    <row r="1404">
      <c r="A1404" s="1" t="s">
        <v>22</v>
      </c>
      <c r="B1404" s="1" t="s">
        <v>23</v>
      </c>
      <c r="C1404" s="1" t="s">
        <v>648</v>
      </c>
      <c r="D1404" s="1">
        <v>2.0</v>
      </c>
      <c r="E1404" s="1">
        <v>37.0</v>
      </c>
      <c r="F1404" s="1">
        <v>3.0</v>
      </c>
      <c r="G1404" s="1">
        <v>6.0</v>
      </c>
      <c r="H1404" s="1" t="s">
        <v>25</v>
      </c>
      <c r="I1404" s="1" t="s">
        <v>33</v>
      </c>
      <c r="J1404" s="1" t="s">
        <v>18</v>
      </c>
      <c r="K1404" s="1">
        <v>45000.0</v>
      </c>
      <c r="L1404" s="1">
        <v>56.94999685</v>
      </c>
      <c r="M1404" s="1">
        <v>24.1364139006283</v>
      </c>
    </row>
    <row r="1405">
      <c r="A1405" s="1" t="s">
        <v>22</v>
      </c>
      <c r="B1405" s="1" t="s">
        <v>19</v>
      </c>
      <c r="C1405" s="1" t="s">
        <v>1113</v>
      </c>
      <c r="D1405" s="1">
        <v>3.0</v>
      </c>
      <c r="E1405" s="1">
        <v>65.0</v>
      </c>
      <c r="F1405" s="1">
        <v>2.0</v>
      </c>
      <c r="G1405" s="1">
        <v>4.0</v>
      </c>
      <c r="H1405" s="1" t="s">
        <v>32</v>
      </c>
      <c r="I1405" s="1" t="s">
        <v>33</v>
      </c>
      <c r="J1405" s="1" t="s">
        <v>18</v>
      </c>
      <c r="K1405" s="1">
        <v>101693.0</v>
      </c>
      <c r="L1405" s="1">
        <v>56.9126889</v>
      </c>
      <c r="M1405" s="1">
        <v>24.1234641</v>
      </c>
    </row>
    <row r="1406">
      <c r="A1406" s="1" t="s">
        <v>22</v>
      </c>
      <c r="B1406" s="1" t="s">
        <v>117</v>
      </c>
      <c r="C1406" s="1" t="s">
        <v>1114</v>
      </c>
      <c r="D1406" s="1">
        <v>2.0</v>
      </c>
      <c r="E1406" s="1">
        <v>55.0</v>
      </c>
      <c r="F1406" s="1">
        <v>3.0</v>
      </c>
      <c r="G1406" s="1">
        <v>3.0</v>
      </c>
      <c r="H1406" s="1" t="s">
        <v>32</v>
      </c>
      <c r="I1406" s="1" t="s">
        <v>33</v>
      </c>
      <c r="J1406" s="1" t="s">
        <v>18</v>
      </c>
      <c r="K1406" s="1">
        <v>64000.0</v>
      </c>
      <c r="L1406" s="1">
        <v>56.9849578</v>
      </c>
      <c r="M1406" s="1">
        <v>24.1831339972375</v>
      </c>
    </row>
    <row r="1407">
      <c r="A1407" s="1" t="s">
        <v>89</v>
      </c>
      <c r="B1407" s="1" t="s">
        <v>134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1">
        <v>46.3144754</v>
      </c>
      <c r="M1407" s="1">
        <v>11.0480288</v>
      </c>
    </row>
    <row r="1408">
      <c r="A1408" s="1" t="s">
        <v>13</v>
      </c>
      <c r="B1408" s="1" t="s">
        <v>23</v>
      </c>
      <c r="C1408" s="1" t="s">
        <v>616</v>
      </c>
      <c r="D1408" s="1">
        <v>3.0</v>
      </c>
      <c r="E1408" s="1">
        <v>85.0</v>
      </c>
      <c r="F1408" s="1">
        <v>2.0</v>
      </c>
      <c r="G1408" s="1">
        <v>7.0</v>
      </c>
      <c r="H1408" s="1" t="s">
        <v>32</v>
      </c>
      <c r="I1408" s="1" t="s">
        <v>33</v>
      </c>
      <c r="J1408" s="1" t="s">
        <v>18</v>
      </c>
      <c r="K1408" s="1">
        <v>1150.0</v>
      </c>
      <c r="L1408" s="1">
        <v>56.9596279</v>
      </c>
      <c r="M1408" s="1">
        <v>24.1079909</v>
      </c>
    </row>
    <row r="1409">
      <c r="A1409" s="1" t="s">
        <v>13</v>
      </c>
      <c r="B1409" s="1" t="s">
        <v>23</v>
      </c>
      <c r="C1409" s="1" t="s">
        <v>1115</v>
      </c>
      <c r="D1409" s="1">
        <v>3.0</v>
      </c>
      <c r="E1409" s="1">
        <v>69.0</v>
      </c>
      <c r="F1409" s="1">
        <v>4.0</v>
      </c>
      <c r="G1409" s="1">
        <v>6.0</v>
      </c>
      <c r="H1409" s="1" t="s">
        <v>25</v>
      </c>
      <c r="I1409" s="1" t="s">
        <v>33</v>
      </c>
      <c r="J1409" s="1" t="s">
        <v>18</v>
      </c>
      <c r="K1409" s="1">
        <v>480.0</v>
      </c>
      <c r="L1409" s="1">
        <v>56.9590876</v>
      </c>
      <c r="M1409" s="1">
        <v>24.1412317647326</v>
      </c>
    </row>
    <row r="1410">
      <c r="A1410" s="1" t="s">
        <v>13</v>
      </c>
      <c r="B1410" s="1" t="s">
        <v>23</v>
      </c>
      <c r="C1410" s="1" t="s">
        <v>1116</v>
      </c>
      <c r="D1410" s="1">
        <v>3.0</v>
      </c>
      <c r="E1410" s="1">
        <v>100.0</v>
      </c>
      <c r="F1410" s="1">
        <v>6.0</v>
      </c>
      <c r="G1410" s="1">
        <v>6.0</v>
      </c>
      <c r="H1410" s="1" t="s">
        <v>25</v>
      </c>
      <c r="I1410" s="1" t="s">
        <v>33</v>
      </c>
      <c r="J1410" s="1" t="s">
        <v>18</v>
      </c>
      <c r="K1410" s="1">
        <v>800.0</v>
      </c>
      <c r="L1410" s="1">
        <v>56.9579455</v>
      </c>
      <c r="M1410" s="1">
        <v>24.1244575</v>
      </c>
    </row>
    <row r="1411">
      <c r="A1411" s="1" t="s">
        <v>22</v>
      </c>
      <c r="B1411" s="1" t="s">
        <v>14</v>
      </c>
      <c r="C1411" s="1" t="s">
        <v>1117</v>
      </c>
      <c r="D1411" s="1">
        <v>3.0</v>
      </c>
      <c r="E1411" s="1">
        <v>55.0</v>
      </c>
      <c r="F1411" s="1">
        <v>1.0</v>
      </c>
      <c r="G1411" s="1">
        <v>5.0</v>
      </c>
      <c r="H1411" s="1" t="s">
        <v>44</v>
      </c>
      <c r="I1411" s="1" t="s">
        <v>122</v>
      </c>
      <c r="J1411" s="1" t="s">
        <v>18</v>
      </c>
      <c r="K1411" s="1">
        <v>43900.0</v>
      </c>
      <c r="L1411" s="1">
        <v>56.9697798499999</v>
      </c>
      <c r="M1411" s="1">
        <v>24.1804757761009</v>
      </c>
    </row>
    <row r="1412">
      <c r="A1412" s="1" t="s">
        <v>13</v>
      </c>
      <c r="B1412" s="1" t="s">
        <v>52</v>
      </c>
      <c r="C1412" s="1" t="s">
        <v>1118</v>
      </c>
      <c r="D1412" s="1">
        <v>3.0</v>
      </c>
      <c r="E1412" s="1">
        <v>89.0</v>
      </c>
      <c r="F1412" s="1">
        <v>3.0</v>
      </c>
      <c r="G1412" s="1">
        <v>4.0</v>
      </c>
      <c r="H1412" s="1" t="s">
        <v>32</v>
      </c>
      <c r="I1412" s="1" t="s">
        <v>122</v>
      </c>
      <c r="J1412" s="1" t="s">
        <v>18</v>
      </c>
      <c r="K1412" s="1">
        <v>580.0</v>
      </c>
      <c r="L1412" s="1">
        <v>56.9444663</v>
      </c>
      <c r="M1412" s="1">
        <v>24.0255760461784</v>
      </c>
    </row>
    <row r="1413">
      <c r="A1413" s="1" t="s">
        <v>89</v>
      </c>
      <c r="B1413" s="1" t="s">
        <v>19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1">
        <v>46.3144754</v>
      </c>
      <c r="M1413" s="1">
        <v>11.0480288</v>
      </c>
    </row>
    <row r="1414">
      <c r="A1414" s="1" t="s">
        <v>89</v>
      </c>
      <c r="B1414" s="1" t="s">
        <v>96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1">
        <v>46.3144754</v>
      </c>
      <c r="M1414" s="1">
        <v>11.0480288</v>
      </c>
    </row>
    <row r="1415">
      <c r="A1415" s="1" t="s">
        <v>89</v>
      </c>
      <c r="B1415" s="1" t="s">
        <v>129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1">
        <v>46.3144754</v>
      </c>
      <c r="M1415" s="1">
        <v>11.0480288</v>
      </c>
    </row>
    <row r="1416">
      <c r="A1416" s="1" t="s">
        <v>89</v>
      </c>
      <c r="B1416" s="1" t="s">
        <v>14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1">
        <v>46.3144754</v>
      </c>
      <c r="M1416" s="1">
        <v>11.0480288</v>
      </c>
    </row>
    <row r="1417">
      <c r="A1417" s="1" t="s">
        <v>89</v>
      </c>
      <c r="B1417" s="1" t="s">
        <v>74</v>
      </c>
      <c r="C1417" s="2"/>
      <c r="D1417" s="2"/>
      <c r="E1417" s="2"/>
      <c r="F1417" s="2"/>
      <c r="G1417" s="2"/>
      <c r="H1417" s="2"/>
      <c r="I1417" s="2"/>
      <c r="J1417" s="1" t="s">
        <v>18</v>
      </c>
      <c r="K1417" s="2"/>
      <c r="L1417" s="1">
        <v>46.3144754</v>
      </c>
      <c r="M1417" s="1">
        <v>11.0480288</v>
      </c>
    </row>
    <row r="1418">
      <c r="A1418" s="1" t="s">
        <v>89</v>
      </c>
      <c r="B1418" s="1" t="s">
        <v>28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1">
        <v>46.3144754</v>
      </c>
      <c r="M1418" s="1">
        <v>11.0480288</v>
      </c>
    </row>
    <row r="1419">
      <c r="A1419" s="1" t="s">
        <v>89</v>
      </c>
      <c r="B1419" s="1" t="s">
        <v>42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1">
        <v>46.3144754</v>
      </c>
      <c r="M1419" s="1">
        <v>11.0480288</v>
      </c>
    </row>
    <row r="1420">
      <c r="A1420" s="1" t="s">
        <v>89</v>
      </c>
      <c r="B1420" s="1" t="s">
        <v>38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1">
        <v>46.3144754</v>
      </c>
      <c r="M1420" s="1">
        <v>11.0480288</v>
      </c>
    </row>
    <row r="1421">
      <c r="A1421" s="1" t="s">
        <v>13</v>
      </c>
      <c r="B1421" s="1" t="s">
        <v>151</v>
      </c>
      <c r="C1421" s="1" t="s">
        <v>1119</v>
      </c>
      <c r="D1421" s="1">
        <v>3.0</v>
      </c>
      <c r="E1421" s="1">
        <v>62.0</v>
      </c>
      <c r="F1421" s="1">
        <v>2.0</v>
      </c>
      <c r="G1421" s="1">
        <v>5.0</v>
      </c>
      <c r="H1421" s="1" t="s">
        <v>16</v>
      </c>
      <c r="I1421" s="1" t="s">
        <v>122</v>
      </c>
      <c r="J1421" s="1" t="s">
        <v>18</v>
      </c>
      <c r="K1421" s="1">
        <v>390.0</v>
      </c>
      <c r="L1421" s="1">
        <v>56.96857855</v>
      </c>
      <c r="M1421" s="1">
        <v>24.0557936638219</v>
      </c>
    </row>
    <row r="1422">
      <c r="A1422" s="1" t="s">
        <v>22</v>
      </c>
      <c r="B1422" s="1" t="s">
        <v>422</v>
      </c>
      <c r="C1422" s="1" t="s">
        <v>1120</v>
      </c>
      <c r="D1422" s="1">
        <v>1.0</v>
      </c>
      <c r="E1422" s="1">
        <v>37.0</v>
      </c>
      <c r="F1422" s="1">
        <v>1.0</v>
      </c>
      <c r="G1422" s="1">
        <v>3.0</v>
      </c>
      <c r="H1422" s="1" t="s">
        <v>66</v>
      </c>
      <c r="I1422" s="1" t="s">
        <v>37</v>
      </c>
      <c r="J1422" s="1" t="s">
        <v>18</v>
      </c>
      <c r="K1422" s="1">
        <v>35000.0</v>
      </c>
      <c r="L1422" s="1">
        <v>56.9355136</v>
      </c>
      <c r="M1422" s="1">
        <v>24.0425072</v>
      </c>
    </row>
    <row r="1423">
      <c r="A1423" s="1" t="s">
        <v>13</v>
      </c>
      <c r="B1423" s="1" t="s">
        <v>218</v>
      </c>
      <c r="C1423" s="1" t="s">
        <v>1121</v>
      </c>
      <c r="D1423" s="1">
        <v>1.0</v>
      </c>
      <c r="E1423" s="1">
        <v>35.0</v>
      </c>
      <c r="F1423" s="1">
        <v>3.0</v>
      </c>
      <c r="G1423" s="1">
        <v>3.0</v>
      </c>
      <c r="H1423" s="1" t="s">
        <v>66</v>
      </c>
      <c r="I1423" s="1" t="s">
        <v>33</v>
      </c>
      <c r="J1423" s="1" t="s">
        <v>18</v>
      </c>
      <c r="K1423" s="1">
        <v>250.0</v>
      </c>
      <c r="L1423" s="1">
        <v>56.9461669</v>
      </c>
      <c r="M1423" s="1">
        <v>24.1124689</v>
      </c>
    </row>
    <row r="1424">
      <c r="A1424" s="1" t="s">
        <v>22</v>
      </c>
      <c r="B1424" s="1" t="s">
        <v>23</v>
      </c>
      <c r="C1424" s="1" t="s">
        <v>1122</v>
      </c>
      <c r="D1424" s="1">
        <v>2.0</v>
      </c>
      <c r="E1424" s="1">
        <v>74.0</v>
      </c>
      <c r="F1424" s="1">
        <v>4.0</v>
      </c>
      <c r="G1424" s="1">
        <v>5.0</v>
      </c>
      <c r="H1424" s="1" t="s">
        <v>25</v>
      </c>
      <c r="I1424" s="1" t="s">
        <v>33</v>
      </c>
      <c r="J1424" s="1" t="s">
        <v>18</v>
      </c>
      <c r="K1424" s="1">
        <v>143000.0</v>
      </c>
      <c r="L1424" s="1">
        <v>56.9544354</v>
      </c>
      <c r="M1424" s="1">
        <v>24.1200833</v>
      </c>
    </row>
    <row r="1425">
      <c r="A1425" s="1" t="s">
        <v>22</v>
      </c>
      <c r="B1425" s="1" t="s">
        <v>48</v>
      </c>
      <c r="C1425" s="1" t="s">
        <v>855</v>
      </c>
      <c r="D1425" s="1">
        <v>3.0</v>
      </c>
      <c r="E1425" s="1">
        <v>80.0</v>
      </c>
      <c r="F1425" s="1">
        <v>2.0</v>
      </c>
      <c r="G1425" s="1">
        <v>5.0</v>
      </c>
      <c r="H1425" s="1" t="s">
        <v>32</v>
      </c>
      <c r="I1425" s="1" t="s">
        <v>122</v>
      </c>
      <c r="J1425" s="1" t="s">
        <v>18</v>
      </c>
      <c r="K1425" s="1">
        <v>140000.0</v>
      </c>
      <c r="L1425" s="1">
        <v>56.9503372</v>
      </c>
      <c r="M1425" s="1">
        <v>24.2445141015604</v>
      </c>
    </row>
    <row r="1426">
      <c r="A1426" s="1" t="s">
        <v>22</v>
      </c>
      <c r="B1426" s="1" t="s">
        <v>23</v>
      </c>
      <c r="C1426" s="1" t="s">
        <v>41</v>
      </c>
      <c r="D1426" s="1">
        <v>4.0</v>
      </c>
      <c r="E1426" s="1">
        <v>153.0</v>
      </c>
      <c r="F1426" s="1">
        <v>5.0</v>
      </c>
      <c r="G1426" s="1">
        <v>6.0</v>
      </c>
      <c r="H1426" s="1" t="s">
        <v>25</v>
      </c>
      <c r="I1426" s="1" t="s">
        <v>33</v>
      </c>
      <c r="J1426" s="1" t="s">
        <v>18</v>
      </c>
      <c r="K1426" s="1">
        <v>160000.0</v>
      </c>
      <c r="L1426" s="1">
        <v>56.9509444</v>
      </c>
      <c r="M1426" s="1">
        <v>24.128357771229</v>
      </c>
    </row>
    <row r="1427">
      <c r="A1427" s="1" t="s">
        <v>22</v>
      </c>
      <c r="B1427" s="1" t="s">
        <v>23</v>
      </c>
      <c r="C1427" s="1" t="s">
        <v>1123</v>
      </c>
      <c r="D1427" s="1">
        <v>4.0</v>
      </c>
      <c r="E1427" s="1">
        <v>90.0</v>
      </c>
      <c r="F1427" s="1">
        <v>2.0</v>
      </c>
      <c r="G1427" s="1">
        <v>5.0</v>
      </c>
      <c r="H1427" s="1" t="s">
        <v>25</v>
      </c>
      <c r="I1427" s="1" t="s">
        <v>33</v>
      </c>
      <c r="J1427" s="1" t="s">
        <v>18</v>
      </c>
      <c r="K1427" s="1">
        <v>116000.0</v>
      </c>
      <c r="L1427" s="1">
        <v>56.9556401</v>
      </c>
      <c r="M1427" s="1">
        <v>24.1344926064006</v>
      </c>
    </row>
    <row r="1428">
      <c r="A1428" s="1" t="s">
        <v>131</v>
      </c>
      <c r="B1428" s="2"/>
      <c r="C1428" s="2"/>
      <c r="D1428" s="1">
        <v>3.0</v>
      </c>
      <c r="E1428" s="2"/>
      <c r="F1428" s="2"/>
      <c r="G1428" s="2"/>
      <c r="H1428" s="2"/>
      <c r="I1428" s="2"/>
      <c r="J1428" s="2"/>
      <c r="K1428" s="2"/>
      <c r="L1428" s="1">
        <v>46.3144754</v>
      </c>
      <c r="M1428" s="1">
        <v>11.0480288</v>
      </c>
    </row>
    <row r="1429">
      <c r="A1429" s="1" t="s">
        <v>22</v>
      </c>
      <c r="B1429" s="1" t="s">
        <v>117</v>
      </c>
      <c r="C1429" s="1" t="s">
        <v>1124</v>
      </c>
      <c r="D1429" s="1">
        <v>1.0</v>
      </c>
      <c r="E1429" s="1">
        <v>30.0</v>
      </c>
      <c r="F1429" s="1">
        <v>5.0</v>
      </c>
      <c r="G1429" s="1">
        <v>5.0</v>
      </c>
      <c r="H1429" s="1" t="s">
        <v>32</v>
      </c>
      <c r="I1429" s="1" t="s">
        <v>33</v>
      </c>
      <c r="J1429" s="1" t="s">
        <v>18</v>
      </c>
      <c r="K1429" s="1">
        <v>43900.0</v>
      </c>
      <c r="L1429" s="1" t="s">
        <v>40</v>
      </c>
      <c r="M1429" s="1" t="s">
        <v>40</v>
      </c>
    </row>
    <row r="1430">
      <c r="A1430" s="1" t="s">
        <v>22</v>
      </c>
      <c r="B1430" s="1" t="s">
        <v>28</v>
      </c>
      <c r="C1430" s="1" t="s">
        <v>1125</v>
      </c>
      <c r="D1430" s="1">
        <v>2.0</v>
      </c>
      <c r="E1430" s="1">
        <v>48.0</v>
      </c>
      <c r="F1430" s="1">
        <v>1.0</v>
      </c>
      <c r="G1430" s="1">
        <v>5.0</v>
      </c>
      <c r="H1430" s="1" t="s">
        <v>16</v>
      </c>
      <c r="I1430" s="1" t="s">
        <v>21</v>
      </c>
      <c r="J1430" s="1" t="s">
        <v>18</v>
      </c>
      <c r="K1430" s="1">
        <v>40000.0</v>
      </c>
      <c r="L1430" s="1">
        <v>56.90015325</v>
      </c>
      <c r="M1430" s="1">
        <v>24.2119257725263</v>
      </c>
    </row>
    <row r="1431">
      <c r="A1431" s="1" t="s">
        <v>22</v>
      </c>
      <c r="B1431" s="1" t="s">
        <v>14</v>
      </c>
      <c r="C1431" s="1" t="s">
        <v>1126</v>
      </c>
      <c r="D1431" s="1">
        <v>3.0</v>
      </c>
      <c r="E1431" s="1">
        <v>63.0</v>
      </c>
      <c r="F1431" s="1">
        <v>5.0</v>
      </c>
      <c r="G1431" s="1">
        <v>9.0</v>
      </c>
      <c r="H1431" s="1">
        <v>602.0</v>
      </c>
      <c r="I1431" s="1" t="s">
        <v>21</v>
      </c>
      <c r="J1431" s="1" t="s">
        <v>18</v>
      </c>
      <c r="K1431" s="1">
        <v>68000.0</v>
      </c>
      <c r="L1431" s="1">
        <v>56.95350215</v>
      </c>
      <c r="M1431" s="1">
        <v>24.192131770328</v>
      </c>
    </row>
    <row r="1432">
      <c r="A1432" s="1" t="s">
        <v>22</v>
      </c>
      <c r="B1432" s="1" t="s">
        <v>129</v>
      </c>
      <c r="C1432" s="1" t="s">
        <v>1127</v>
      </c>
      <c r="D1432" s="1">
        <v>1.0</v>
      </c>
      <c r="E1432" s="1">
        <v>27.1</v>
      </c>
      <c r="F1432" s="1">
        <v>2.0</v>
      </c>
      <c r="G1432" s="1">
        <v>4.0</v>
      </c>
      <c r="H1432" s="1" t="s">
        <v>25</v>
      </c>
      <c r="I1432" s="1" t="s">
        <v>33</v>
      </c>
      <c r="J1432" s="1" t="s">
        <v>18</v>
      </c>
      <c r="K1432" s="1">
        <v>18000.0</v>
      </c>
      <c r="L1432" s="1">
        <v>56.99365285</v>
      </c>
      <c r="M1432" s="1">
        <v>24.1246621685469</v>
      </c>
    </row>
    <row r="1433">
      <c r="A1433" s="1" t="s">
        <v>13</v>
      </c>
      <c r="B1433" s="1" t="s">
        <v>23</v>
      </c>
      <c r="C1433" s="1" t="s">
        <v>1128</v>
      </c>
      <c r="D1433" s="1">
        <v>2.0</v>
      </c>
      <c r="E1433" s="1">
        <v>44.0</v>
      </c>
      <c r="F1433" s="1">
        <v>3.0</v>
      </c>
      <c r="G1433" s="1">
        <v>6.0</v>
      </c>
      <c r="H1433" s="1" t="s">
        <v>32</v>
      </c>
      <c r="I1433" s="1" t="s">
        <v>33</v>
      </c>
      <c r="J1433" s="1" t="s">
        <v>18</v>
      </c>
      <c r="K1433" s="1">
        <v>650.0</v>
      </c>
      <c r="L1433" s="1" t="s">
        <v>40</v>
      </c>
      <c r="M1433" s="1" t="s">
        <v>40</v>
      </c>
    </row>
    <row r="1434">
      <c r="A1434" s="1" t="s">
        <v>22</v>
      </c>
      <c r="B1434" s="1" t="s">
        <v>38</v>
      </c>
      <c r="C1434" s="1" t="s">
        <v>1129</v>
      </c>
      <c r="D1434" s="1">
        <v>2.0</v>
      </c>
      <c r="E1434" s="1">
        <v>49.0</v>
      </c>
      <c r="F1434" s="1">
        <v>1.0</v>
      </c>
      <c r="G1434" s="1">
        <v>5.0</v>
      </c>
      <c r="H1434" s="1" t="s">
        <v>16</v>
      </c>
      <c r="I1434" s="1" t="s">
        <v>21</v>
      </c>
      <c r="J1434" s="1" t="s">
        <v>18</v>
      </c>
      <c r="K1434" s="1">
        <v>46900.0</v>
      </c>
      <c r="L1434" s="1">
        <v>56.9559247</v>
      </c>
      <c r="M1434" s="1">
        <v>24.0014761</v>
      </c>
    </row>
    <row r="1435">
      <c r="A1435" s="1" t="s">
        <v>22</v>
      </c>
      <c r="B1435" s="1" t="s">
        <v>422</v>
      </c>
      <c r="C1435" s="1" t="s">
        <v>732</v>
      </c>
      <c r="D1435" s="1">
        <v>3.0</v>
      </c>
      <c r="E1435" s="1">
        <v>94.0</v>
      </c>
      <c r="F1435" s="1">
        <v>10.0</v>
      </c>
      <c r="G1435" s="1">
        <v>25.0</v>
      </c>
      <c r="H1435" s="1" t="s">
        <v>32</v>
      </c>
      <c r="I1435" s="1" t="s">
        <v>21</v>
      </c>
      <c r="J1435" s="1" t="s">
        <v>18</v>
      </c>
      <c r="K1435" s="1">
        <v>169000.0</v>
      </c>
      <c r="L1435" s="1">
        <v>56.9340645</v>
      </c>
      <c r="M1435" s="1">
        <v>24.0436381</v>
      </c>
    </row>
    <row r="1436">
      <c r="A1436" s="1" t="s">
        <v>22</v>
      </c>
      <c r="B1436" s="1" t="s">
        <v>14</v>
      </c>
      <c r="C1436" s="1" t="s">
        <v>62</v>
      </c>
      <c r="D1436" s="1">
        <v>2.0</v>
      </c>
      <c r="E1436" s="1">
        <v>44.0</v>
      </c>
      <c r="F1436" s="1">
        <v>4.0</v>
      </c>
      <c r="G1436" s="1">
        <v>5.0</v>
      </c>
      <c r="H1436" s="1" t="s">
        <v>44</v>
      </c>
      <c r="I1436" s="1" t="s">
        <v>37</v>
      </c>
      <c r="J1436" s="1" t="s">
        <v>18</v>
      </c>
      <c r="K1436" s="1">
        <v>39000.0</v>
      </c>
      <c r="L1436" s="1">
        <v>56.9636785</v>
      </c>
      <c r="M1436" s="1">
        <v>24.1706167383245</v>
      </c>
    </row>
    <row r="1437">
      <c r="A1437" s="1" t="s">
        <v>13</v>
      </c>
      <c r="B1437" s="1" t="s">
        <v>23</v>
      </c>
      <c r="C1437" s="1" t="s">
        <v>1130</v>
      </c>
      <c r="D1437" s="1">
        <v>6.0</v>
      </c>
      <c r="E1437" s="1">
        <v>85.0</v>
      </c>
      <c r="F1437" s="1">
        <v>2.0</v>
      </c>
      <c r="G1437" s="1">
        <v>2.0</v>
      </c>
      <c r="H1437" s="1" t="s">
        <v>25</v>
      </c>
      <c r="I1437" s="1" t="s">
        <v>37</v>
      </c>
      <c r="J1437" s="1" t="s">
        <v>18</v>
      </c>
      <c r="K1437" s="1">
        <v>290.0</v>
      </c>
      <c r="L1437" s="1">
        <v>56.94921145</v>
      </c>
      <c r="M1437" s="1">
        <v>24.1241505142402</v>
      </c>
    </row>
    <row r="1438">
      <c r="A1438" s="1" t="s">
        <v>22</v>
      </c>
      <c r="B1438" s="1" t="s">
        <v>23</v>
      </c>
      <c r="C1438" s="1" t="s">
        <v>1131</v>
      </c>
      <c r="D1438" s="1">
        <v>2.0</v>
      </c>
      <c r="E1438" s="1">
        <v>38.0</v>
      </c>
      <c r="F1438" s="1">
        <v>5.0</v>
      </c>
      <c r="G1438" s="1">
        <v>3.0</v>
      </c>
      <c r="H1438" s="1" t="s">
        <v>44</v>
      </c>
      <c r="I1438" s="1" t="s">
        <v>37</v>
      </c>
      <c r="J1438" s="1" t="s">
        <v>18</v>
      </c>
      <c r="K1438" s="1">
        <v>49000.0</v>
      </c>
      <c r="L1438" s="1">
        <v>56.956763</v>
      </c>
      <c r="M1438" s="1">
        <v>24.0954531</v>
      </c>
    </row>
    <row r="1439">
      <c r="A1439" s="1" t="s">
        <v>13</v>
      </c>
      <c r="B1439" s="1" t="s">
        <v>104</v>
      </c>
      <c r="C1439" s="1" t="s">
        <v>1132</v>
      </c>
      <c r="D1439" s="1">
        <v>2.0</v>
      </c>
      <c r="E1439" s="1">
        <v>48.0</v>
      </c>
      <c r="F1439" s="1">
        <v>1.0</v>
      </c>
      <c r="G1439" s="1">
        <v>3.0</v>
      </c>
      <c r="H1439" s="1" t="s">
        <v>25</v>
      </c>
      <c r="I1439" s="1" t="s">
        <v>33</v>
      </c>
      <c r="J1439" s="1" t="s">
        <v>18</v>
      </c>
      <c r="K1439" s="1">
        <v>270.0</v>
      </c>
      <c r="L1439" s="1">
        <v>56.94292565</v>
      </c>
      <c r="M1439" s="1">
        <v>24.0818583876235</v>
      </c>
    </row>
    <row r="1440">
      <c r="A1440" s="1" t="s">
        <v>22</v>
      </c>
      <c r="B1440" s="1" t="s">
        <v>74</v>
      </c>
      <c r="C1440" s="1" t="s">
        <v>1133</v>
      </c>
      <c r="D1440" s="1">
        <v>3.0</v>
      </c>
      <c r="E1440" s="1">
        <v>79.0</v>
      </c>
      <c r="F1440" s="1">
        <v>4.0</v>
      </c>
      <c r="G1440" s="1">
        <v>9.0</v>
      </c>
      <c r="H1440" s="1">
        <v>119.0</v>
      </c>
      <c r="I1440" s="1" t="s">
        <v>21</v>
      </c>
      <c r="J1440" s="1" t="s">
        <v>18</v>
      </c>
      <c r="K1440" s="1">
        <v>71100.0</v>
      </c>
      <c r="L1440" s="1">
        <v>56.94708265</v>
      </c>
      <c r="M1440" s="1">
        <v>24.1976276399044</v>
      </c>
    </row>
    <row r="1441">
      <c r="A1441" s="1" t="s">
        <v>89</v>
      </c>
      <c r="B1441" s="1" t="s">
        <v>38</v>
      </c>
      <c r="C1441" s="2"/>
      <c r="D1441" s="1">
        <v>4.0</v>
      </c>
      <c r="E1441" s="2"/>
      <c r="F1441" s="2"/>
      <c r="G1441" s="2"/>
      <c r="H1441" s="2"/>
      <c r="I1441" s="2"/>
      <c r="J1441" s="2"/>
      <c r="K1441" s="2"/>
      <c r="L1441" s="1">
        <v>46.3144754</v>
      </c>
      <c r="M1441" s="1">
        <v>11.0480288</v>
      </c>
    </row>
    <row r="1442">
      <c r="A1442" s="1" t="s">
        <v>22</v>
      </c>
      <c r="B1442" s="1" t="s">
        <v>23</v>
      </c>
      <c r="C1442" s="1" t="s">
        <v>1134</v>
      </c>
      <c r="D1442" s="1">
        <v>4.0</v>
      </c>
      <c r="E1442" s="1">
        <v>110.0</v>
      </c>
      <c r="F1442" s="1">
        <v>10.0</v>
      </c>
      <c r="G1442" s="1">
        <v>24.0</v>
      </c>
      <c r="H1442" s="1" t="s">
        <v>32</v>
      </c>
      <c r="I1442" s="1" t="s">
        <v>17</v>
      </c>
      <c r="J1442" s="1" t="s">
        <v>18</v>
      </c>
      <c r="K1442" s="1">
        <v>270000.0</v>
      </c>
      <c r="L1442" s="1" t="s">
        <v>40</v>
      </c>
      <c r="M1442" s="1" t="s">
        <v>40</v>
      </c>
    </row>
    <row r="1443">
      <c r="A1443" s="1" t="s">
        <v>13</v>
      </c>
      <c r="B1443" s="1" t="s">
        <v>19</v>
      </c>
      <c r="C1443" s="1" t="s">
        <v>1135</v>
      </c>
      <c r="D1443" s="1">
        <v>3.0</v>
      </c>
      <c r="E1443" s="1">
        <v>77.0</v>
      </c>
      <c r="F1443" s="1">
        <v>5.0</v>
      </c>
      <c r="G1443" s="1">
        <v>9.0</v>
      </c>
      <c r="H1443" s="1" t="s">
        <v>36</v>
      </c>
      <c r="I1443" s="1" t="s">
        <v>21</v>
      </c>
      <c r="J1443" s="1" t="s">
        <v>18</v>
      </c>
      <c r="K1443" s="1">
        <v>410.0</v>
      </c>
      <c r="L1443" s="1">
        <v>56.8989486</v>
      </c>
      <c r="M1443" s="1">
        <v>24.08438935</v>
      </c>
    </row>
    <row r="1444">
      <c r="A1444" s="1" t="s">
        <v>13</v>
      </c>
      <c r="B1444" s="1" t="s">
        <v>99</v>
      </c>
      <c r="C1444" s="1" t="s">
        <v>100</v>
      </c>
      <c r="D1444" s="1">
        <v>1.0</v>
      </c>
      <c r="E1444" s="1">
        <v>33.0</v>
      </c>
      <c r="F1444" s="1">
        <v>4.0</v>
      </c>
      <c r="G1444" s="1">
        <v>4.0</v>
      </c>
      <c r="H1444" s="1" t="s">
        <v>25</v>
      </c>
      <c r="I1444" s="1" t="s">
        <v>33</v>
      </c>
      <c r="J1444" s="1" t="s">
        <v>18</v>
      </c>
      <c r="K1444" s="1">
        <v>324.0</v>
      </c>
      <c r="L1444" s="1">
        <v>56.94306285</v>
      </c>
      <c r="M1444" s="1">
        <v>24.0912771146169</v>
      </c>
    </row>
    <row r="1445">
      <c r="A1445" s="1" t="s">
        <v>13</v>
      </c>
      <c r="B1445" s="1" t="s">
        <v>23</v>
      </c>
      <c r="C1445" s="1" t="s">
        <v>1136</v>
      </c>
      <c r="D1445" s="1">
        <v>2.0</v>
      </c>
      <c r="E1445" s="1">
        <v>32.0</v>
      </c>
      <c r="F1445" s="1">
        <v>3.0</v>
      </c>
      <c r="G1445" s="1">
        <v>7.0</v>
      </c>
      <c r="H1445" s="1" t="s">
        <v>66</v>
      </c>
      <c r="I1445" s="1" t="s">
        <v>33</v>
      </c>
      <c r="J1445" s="1" t="s">
        <v>18</v>
      </c>
      <c r="K1445" s="1">
        <v>330.0</v>
      </c>
      <c r="L1445" s="1">
        <v>56.9412328</v>
      </c>
      <c r="M1445" s="1">
        <v>24.1350589</v>
      </c>
    </row>
    <row r="1446">
      <c r="A1446" s="1" t="s">
        <v>13</v>
      </c>
      <c r="B1446" s="1" t="s">
        <v>23</v>
      </c>
      <c r="C1446" s="1" t="s">
        <v>1137</v>
      </c>
      <c r="D1446" s="1">
        <v>1.0</v>
      </c>
      <c r="E1446" s="1">
        <v>33.0</v>
      </c>
      <c r="F1446" s="1">
        <v>1.0</v>
      </c>
      <c r="G1446" s="1">
        <v>2.0</v>
      </c>
      <c r="H1446" s="1" t="s">
        <v>25</v>
      </c>
      <c r="I1446" s="1" t="s">
        <v>26</v>
      </c>
      <c r="J1446" s="1" t="s">
        <v>18</v>
      </c>
      <c r="K1446" s="1">
        <v>200.0</v>
      </c>
      <c r="L1446" s="1">
        <v>56.9747442</v>
      </c>
      <c r="M1446" s="1">
        <v>24.1414585</v>
      </c>
    </row>
    <row r="1447">
      <c r="A1447" s="1" t="s">
        <v>22</v>
      </c>
      <c r="B1447" s="1" t="s">
        <v>109</v>
      </c>
      <c r="C1447" s="1" t="s">
        <v>1138</v>
      </c>
      <c r="D1447" s="1">
        <v>3.0</v>
      </c>
      <c r="E1447" s="1">
        <v>78.0</v>
      </c>
      <c r="F1447" s="1">
        <v>1.0</v>
      </c>
      <c r="G1447" s="1">
        <v>12.0</v>
      </c>
      <c r="H1447" s="1" t="s">
        <v>36</v>
      </c>
      <c r="I1447" s="1" t="s">
        <v>37</v>
      </c>
      <c r="J1447" s="1" t="s">
        <v>18</v>
      </c>
      <c r="K1447" s="1">
        <v>80000.0</v>
      </c>
      <c r="L1447" s="1">
        <v>56.9925421</v>
      </c>
      <c r="M1447" s="1">
        <v>24.1931212530635</v>
      </c>
    </row>
    <row r="1448">
      <c r="A1448" s="1" t="s">
        <v>22</v>
      </c>
      <c r="B1448" s="1" t="s">
        <v>23</v>
      </c>
      <c r="C1448" s="1" t="s">
        <v>650</v>
      </c>
      <c r="D1448" s="1">
        <v>4.0</v>
      </c>
      <c r="E1448" s="1">
        <v>101.0</v>
      </c>
      <c r="F1448" s="1">
        <v>6.0</v>
      </c>
      <c r="G1448" s="1">
        <v>6.0</v>
      </c>
      <c r="H1448" s="1" t="s">
        <v>66</v>
      </c>
      <c r="I1448" s="1" t="s">
        <v>33</v>
      </c>
      <c r="J1448" s="1" t="s">
        <v>18</v>
      </c>
      <c r="K1448" s="1">
        <v>155000.0</v>
      </c>
      <c r="L1448" s="1">
        <v>56.9665763</v>
      </c>
      <c r="M1448" s="1">
        <v>24.1337504</v>
      </c>
    </row>
    <row r="1449">
      <c r="A1449" s="1" t="s">
        <v>22</v>
      </c>
      <c r="B1449" s="1" t="s">
        <v>23</v>
      </c>
      <c r="C1449" s="1" t="s">
        <v>842</v>
      </c>
      <c r="D1449" s="1">
        <v>3.0</v>
      </c>
      <c r="E1449" s="1">
        <v>95.0</v>
      </c>
      <c r="F1449" s="1">
        <v>5.0</v>
      </c>
      <c r="G1449" s="1">
        <v>6.0</v>
      </c>
      <c r="H1449" s="1" t="s">
        <v>66</v>
      </c>
      <c r="I1449" s="1" t="s">
        <v>33</v>
      </c>
      <c r="J1449" s="1" t="s">
        <v>18</v>
      </c>
      <c r="K1449" s="1">
        <v>133280.0</v>
      </c>
      <c r="L1449" s="1">
        <v>56.9665763</v>
      </c>
      <c r="M1449" s="1">
        <v>24.1337504</v>
      </c>
    </row>
    <row r="1450">
      <c r="A1450" s="1" t="s">
        <v>22</v>
      </c>
      <c r="B1450" s="1" t="s">
        <v>74</v>
      </c>
      <c r="C1450" s="1" t="s">
        <v>1139</v>
      </c>
      <c r="D1450" s="1">
        <v>1.0</v>
      </c>
      <c r="E1450" s="1">
        <v>33.0</v>
      </c>
      <c r="F1450" s="1">
        <v>4.0</v>
      </c>
      <c r="G1450" s="1">
        <v>9.0</v>
      </c>
      <c r="H1450" s="1">
        <v>602.0</v>
      </c>
      <c r="I1450" s="1" t="s">
        <v>21</v>
      </c>
      <c r="J1450" s="1" t="s">
        <v>18</v>
      </c>
      <c r="K1450" s="1">
        <v>39500.0</v>
      </c>
      <c r="L1450" s="1">
        <v>56.9426821</v>
      </c>
      <c r="M1450" s="1">
        <v>24.2260887126475</v>
      </c>
    </row>
    <row r="1451">
      <c r="A1451" s="1" t="s">
        <v>22</v>
      </c>
      <c r="B1451" s="1" t="s">
        <v>23</v>
      </c>
      <c r="C1451" s="1" t="s">
        <v>351</v>
      </c>
      <c r="D1451" s="1">
        <v>2.0</v>
      </c>
      <c r="E1451" s="1">
        <v>43.0</v>
      </c>
      <c r="F1451" s="1">
        <v>3.0</v>
      </c>
      <c r="G1451" s="1">
        <v>6.0</v>
      </c>
      <c r="H1451" s="1" t="s">
        <v>66</v>
      </c>
      <c r="I1451" s="1" t="s">
        <v>33</v>
      </c>
      <c r="J1451" s="1" t="s">
        <v>18</v>
      </c>
      <c r="K1451" s="1">
        <v>98900.0</v>
      </c>
      <c r="L1451" s="1">
        <v>56.9488745</v>
      </c>
      <c r="M1451" s="1">
        <v>24.1266027446091</v>
      </c>
    </row>
    <row r="1452">
      <c r="A1452" s="1" t="s">
        <v>22</v>
      </c>
      <c r="B1452" s="1" t="s">
        <v>23</v>
      </c>
      <c r="C1452" s="1" t="s">
        <v>1140</v>
      </c>
      <c r="D1452" s="1">
        <v>2.0</v>
      </c>
      <c r="E1452" s="1">
        <v>58.0</v>
      </c>
      <c r="F1452" s="1">
        <v>2.0</v>
      </c>
      <c r="G1452" s="1">
        <v>6.0</v>
      </c>
      <c r="H1452" s="1" t="s">
        <v>25</v>
      </c>
      <c r="I1452" s="1" t="s">
        <v>33</v>
      </c>
      <c r="J1452" s="1" t="s">
        <v>18</v>
      </c>
      <c r="K1452" s="1">
        <v>125000.0</v>
      </c>
      <c r="L1452" s="1">
        <v>56.9524263</v>
      </c>
      <c r="M1452" s="1">
        <v>24.1287007</v>
      </c>
    </row>
    <row r="1453">
      <c r="A1453" s="1" t="s">
        <v>22</v>
      </c>
      <c r="B1453" s="1" t="s">
        <v>861</v>
      </c>
      <c r="C1453" s="1" t="s">
        <v>1141</v>
      </c>
      <c r="D1453" s="1">
        <v>2.0</v>
      </c>
      <c r="E1453" s="1">
        <v>59.0</v>
      </c>
      <c r="F1453" s="1">
        <v>1.0</v>
      </c>
      <c r="G1453" s="1">
        <v>1.0</v>
      </c>
      <c r="H1453" s="1" t="s">
        <v>25</v>
      </c>
      <c r="I1453" s="1" t="s">
        <v>37</v>
      </c>
      <c r="J1453" s="1" t="s">
        <v>27</v>
      </c>
      <c r="K1453" s="1">
        <v>27000.0</v>
      </c>
      <c r="L1453" s="1">
        <v>57.0164335</v>
      </c>
      <c r="M1453" s="1">
        <v>24.0628649</v>
      </c>
    </row>
    <row r="1454">
      <c r="A1454" s="1" t="s">
        <v>22</v>
      </c>
      <c r="B1454" s="1" t="s">
        <v>38</v>
      </c>
      <c r="C1454" s="1" t="s">
        <v>1142</v>
      </c>
      <c r="D1454" s="1">
        <v>2.0</v>
      </c>
      <c r="E1454" s="1">
        <v>50.0</v>
      </c>
      <c r="F1454" s="1">
        <v>5.0</v>
      </c>
      <c r="G1454" s="1">
        <v>5.0</v>
      </c>
      <c r="H1454" s="1" t="s">
        <v>16</v>
      </c>
      <c r="I1454" s="1" t="s">
        <v>21</v>
      </c>
      <c r="J1454" s="1" t="s">
        <v>18</v>
      </c>
      <c r="K1454" s="1">
        <v>57000.0</v>
      </c>
      <c r="L1454" s="1">
        <v>56.95623425</v>
      </c>
      <c r="M1454" s="1">
        <v>24.0043295756336</v>
      </c>
    </row>
    <row r="1455">
      <c r="A1455" s="1" t="s">
        <v>13</v>
      </c>
      <c r="B1455" s="1" t="s">
        <v>23</v>
      </c>
      <c r="C1455" s="1" t="s">
        <v>1143</v>
      </c>
      <c r="D1455" s="1">
        <v>3.0</v>
      </c>
      <c r="E1455" s="1">
        <v>57.0</v>
      </c>
      <c r="F1455" s="1">
        <v>3.0</v>
      </c>
      <c r="G1455" s="1">
        <v>3.0</v>
      </c>
      <c r="H1455" s="1" t="s">
        <v>25</v>
      </c>
      <c r="I1455" s="1" t="s">
        <v>37</v>
      </c>
      <c r="J1455" s="1" t="s">
        <v>18</v>
      </c>
      <c r="K1455" s="1">
        <v>580.0</v>
      </c>
      <c r="L1455" s="1">
        <v>56.9520707</v>
      </c>
      <c r="M1455" s="1">
        <v>24.1293968</v>
      </c>
    </row>
    <row r="1456">
      <c r="A1456" s="1" t="s">
        <v>13</v>
      </c>
      <c r="B1456" s="1" t="s">
        <v>23</v>
      </c>
      <c r="C1456" s="1" t="s">
        <v>1144</v>
      </c>
      <c r="D1456" s="1">
        <v>3.0</v>
      </c>
      <c r="E1456" s="1">
        <v>95.0</v>
      </c>
      <c r="F1456" s="1">
        <v>3.0</v>
      </c>
      <c r="G1456" s="1">
        <v>5.0</v>
      </c>
      <c r="H1456" s="1" t="s">
        <v>25</v>
      </c>
      <c r="I1456" s="1" t="s">
        <v>33</v>
      </c>
      <c r="J1456" s="1" t="s">
        <v>18</v>
      </c>
      <c r="K1456" s="1">
        <v>800.0</v>
      </c>
      <c r="L1456" s="1">
        <v>56.96105855</v>
      </c>
      <c r="M1456" s="1">
        <v>24.1369960899977</v>
      </c>
    </row>
    <row r="1457">
      <c r="A1457" s="1" t="s">
        <v>22</v>
      </c>
      <c r="B1457" s="1" t="s">
        <v>106</v>
      </c>
      <c r="C1457" s="1" t="s">
        <v>1145</v>
      </c>
      <c r="D1457" s="1">
        <v>1.0</v>
      </c>
      <c r="E1457" s="1">
        <v>22.0</v>
      </c>
      <c r="F1457" s="1">
        <v>2.0</v>
      </c>
      <c r="G1457" s="1">
        <v>2.0</v>
      </c>
      <c r="H1457" s="1" t="s">
        <v>25</v>
      </c>
      <c r="I1457" s="1" t="s">
        <v>26</v>
      </c>
      <c r="J1457" s="1" t="s">
        <v>63</v>
      </c>
      <c r="K1457" s="1">
        <v>6900.0</v>
      </c>
      <c r="L1457" s="1">
        <v>56.94158095</v>
      </c>
      <c r="M1457" s="1">
        <v>24.0539487289344</v>
      </c>
    </row>
    <row r="1458">
      <c r="A1458" s="1" t="s">
        <v>22</v>
      </c>
      <c r="B1458" s="1" t="s">
        <v>151</v>
      </c>
      <c r="C1458" s="1" t="s">
        <v>635</v>
      </c>
      <c r="D1458" s="1">
        <v>2.0</v>
      </c>
      <c r="E1458" s="1">
        <v>54.0</v>
      </c>
      <c r="F1458" s="1">
        <v>6.0</v>
      </c>
      <c r="G1458" s="1">
        <v>9.0</v>
      </c>
      <c r="H1458" s="1">
        <v>602.0</v>
      </c>
      <c r="I1458" s="1" t="s">
        <v>21</v>
      </c>
      <c r="J1458" s="1" t="s">
        <v>18</v>
      </c>
      <c r="K1458" s="1">
        <v>51000.0</v>
      </c>
      <c r="L1458" s="1">
        <v>56.96512045</v>
      </c>
      <c r="M1458" s="1">
        <v>24.0549828893368</v>
      </c>
    </row>
    <row r="1459">
      <c r="A1459" s="1" t="s">
        <v>22</v>
      </c>
      <c r="B1459" s="1" t="s">
        <v>28</v>
      </c>
      <c r="C1459" s="1" t="s">
        <v>1146</v>
      </c>
      <c r="D1459" s="1">
        <v>2.0</v>
      </c>
      <c r="E1459" s="1">
        <v>48.0</v>
      </c>
      <c r="F1459" s="1">
        <v>2.0</v>
      </c>
      <c r="G1459" s="1">
        <v>5.0</v>
      </c>
      <c r="H1459" s="1" t="s">
        <v>16</v>
      </c>
      <c r="I1459" s="1" t="s">
        <v>21</v>
      </c>
      <c r="J1459" s="1" t="s">
        <v>18</v>
      </c>
      <c r="K1459" s="1">
        <v>36500.0</v>
      </c>
      <c r="L1459" s="1">
        <v>56.8597884</v>
      </c>
      <c r="M1459" s="1">
        <v>24.3083417</v>
      </c>
    </row>
    <row r="1460">
      <c r="A1460" s="1" t="s">
        <v>22</v>
      </c>
      <c r="B1460" s="1" t="s">
        <v>23</v>
      </c>
      <c r="C1460" s="1" t="s">
        <v>351</v>
      </c>
      <c r="D1460" s="1">
        <v>1.0</v>
      </c>
      <c r="E1460" s="1">
        <v>23.0</v>
      </c>
      <c r="F1460" s="1">
        <v>2.0</v>
      </c>
      <c r="G1460" s="1">
        <v>6.0</v>
      </c>
      <c r="H1460" s="1" t="s">
        <v>66</v>
      </c>
      <c r="I1460" s="1" t="s">
        <v>33</v>
      </c>
      <c r="J1460" s="1" t="s">
        <v>18</v>
      </c>
      <c r="K1460" s="1">
        <v>58905.0</v>
      </c>
      <c r="L1460" s="1">
        <v>56.9488745</v>
      </c>
      <c r="M1460" s="1">
        <v>24.1266027446091</v>
      </c>
    </row>
    <row r="1461">
      <c r="A1461" s="1" t="s">
        <v>13</v>
      </c>
      <c r="B1461" s="1" t="s">
        <v>38</v>
      </c>
      <c r="C1461" s="1" t="s">
        <v>1147</v>
      </c>
      <c r="D1461" s="1">
        <v>3.0</v>
      </c>
      <c r="E1461" s="1">
        <v>63.0</v>
      </c>
      <c r="F1461" s="1">
        <v>9.0</v>
      </c>
      <c r="G1461" s="1">
        <v>9.0</v>
      </c>
      <c r="H1461" s="1">
        <v>602.0</v>
      </c>
      <c r="I1461" s="1" t="s">
        <v>21</v>
      </c>
      <c r="J1461" s="1" t="s">
        <v>18</v>
      </c>
      <c r="K1461" s="1">
        <v>430.0</v>
      </c>
      <c r="L1461" s="1">
        <v>56.9648157</v>
      </c>
      <c r="M1461" s="1">
        <v>24.0190534</v>
      </c>
    </row>
    <row r="1462">
      <c r="A1462" s="1" t="s">
        <v>22</v>
      </c>
      <c r="B1462" s="1" t="s">
        <v>23</v>
      </c>
      <c r="C1462" s="1" t="s">
        <v>1148</v>
      </c>
      <c r="D1462" s="1">
        <v>2.0</v>
      </c>
      <c r="E1462" s="1">
        <v>54.0</v>
      </c>
      <c r="F1462" s="1">
        <v>4.0</v>
      </c>
      <c r="G1462" s="1">
        <v>5.0</v>
      </c>
      <c r="H1462" s="1" t="s">
        <v>25</v>
      </c>
      <c r="I1462" s="1" t="s">
        <v>33</v>
      </c>
      <c r="J1462" s="1" t="s">
        <v>18</v>
      </c>
      <c r="K1462" s="1">
        <v>75000.0</v>
      </c>
      <c r="L1462" s="1">
        <v>56.9640549</v>
      </c>
      <c r="M1462" s="1">
        <v>24.1387505525507</v>
      </c>
    </row>
    <row r="1463">
      <c r="A1463" s="1" t="s">
        <v>22</v>
      </c>
      <c r="B1463" s="1" t="s">
        <v>96</v>
      </c>
      <c r="C1463" s="1" t="s">
        <v>1149</v>
      </c>
      <c r="D1463" s="1">
        <v>3.0</v>
      </c>
      <c r="E1463" s="1">
        <v>65.0</v>
      </c>
      <c r="F1463" s="1">
        <v>5.0</v>
      </c>
      <c r="G1463" s="1">
        <v>9.0</v>
      </c>
      <c r="H1463" s="1">
        <v>602.0</v>
      </c>
      <c r="I1463" s="1" t="s">
        <v>21</v>
      </c>
      <c r="J1463" s="1" t="s">
        <v>18</v>
      </c>
      <c r="K1463" s="1">
        <v>72000.0</v>
      </c>
      <c r="L1463" s="1">
        <v>57.03471075</v>
      </c>
      <c r="M1463" s="1">
        <v>24.1003808679944</v>
      </c>
    </row>
    <row r="1464">
      <c r="A1464" s="1" t="s">
        <v>13</v>
      </c>
      <c r="B1464" s="1" t="s">
        <v>74</v>
      </c>
      <c r="C1464" s="1" t="s">
        <v>1150</v>
      </c>
      <c r="D1464" s="1">
        <v>1.0</v>
      </c>
      <c r="E1464" s="1">
        <v>32.0</v>
      </c>
      <c r="F1464" s="1">
        <v>8.0</v>
      </c>
      <c r="G1464" s="1">
        <v>9.0</v>
      </c>
      <c r="H1464" s="1">
        <v>602.0</v>
      </c>
      <c r="I1464" s="1" t="s">
        <v>21</v>
      </c>
      <c r="J1464" s="1" t="s">
        <v>18</v>
      </c>
      <c r="K1464" s="1">
        <v>220.0</v>
      </c>
      <c r="L1464" s="1">
        <v>56.9368143</v>
      </c>
      <c r="M1464" s="1">
        <v>24.2002807431531</v>
      </c>
    </row>
    <row r="1465">
      <c r="A1465" s="1" t="s">
        <v>22</v>
      </c>
      <c r="B1465" s="1" t="s">
        <v>42</v>
      </c>
      <c r="C1465" s="1" t="s">
        <v>1151</v>
      </c>
      <c r="D1465" s="1">
        <v>2.0</v>
      </c>
      <c r="E1465" s="1">
        <v>44.0</v>
      </c>
      <c r="F1465" s="1">
        <v>4.0</v>
      </c>
      <c r="G1465" s="1">
        <v>5.0</v>
      </c>
      <c r="H1465" s="1" t="s">
        <v>44</v>
      </c>
      <c r="I1465" s="1" t="s">
        <v>21</v>
      </c>
      <c r="J1465" s="1" t="s">
        <v>18</v>
      </c>
      <c r="K1465" s="1">
        <v>36400.0</v>
      </c>
      <c r="L1465" s="1" t="s">
        <v>40</v>
      </c>
      <c r="M1465" s="1" t="s">
        <v>40</v>
      </c>
    </row>
    <row r="1466">
      <c r="A1466" s="1" t="s">
        <v>22</v>
      </c>
      <c r="B1466" s="1" t="s">
        <v>14</v>
      </c>
      <c r="C1466" s="1" t="s">
        <v>1152</v>
      </c>
      <c r="D1466" s="1">
        <v>3.0</v>
      </c>
      <c r="E1466" s="1">
        <v>62.0</v>
      </c>
      <c r="F1466" s="1">
        <v>1.0</v>
      </c>
      <c r="G1466" s="1">
        <v>9.0</v>
      </c>
      <c r="H1466" s="1">
        <v>602.0</v>
      </c>
      <c r="I1466" s="1" t="s">
        <v>17</v>
      </c>
      <c r="J1466" s="1" t="s">
        <v>18</v>
      </c>
      <c r="K1466" s="1">
        <v>55000.0</v>
      </c>
      <c r="L1466" s="1">
        <v>56.96295835</v>
      </c>
      <c r="M1466" s="1">
        <v>24.1873444133421</v>
      </c>
    </row>
    <row r="1467">
      <c r="A1467" s="1" t="s">
        <v>22</v>
      </c>
      <c r="B1467" s="1" t="s">
        <v>30</v>
      </c>
      <c r="C1467" s="1" t="s">
        <v>1153</v>
      </c>
      <c r="D1467" s="1">
        <v>3.0</v>
      </c>
      <c r="E1467" s="1">
        <v>69.0</v>
      </c>
      <c r="F1467" s="1">
        <v>3.0</v>
      </c>
      <c r="G1467" s="1">
        <v>5.0</v>
      </c>
      <c r="H1467" s="1">
        <v>103.0</v>
      </c>
      <c r="I1467" s="1" t="s">
        <v>17</v>
      </c>
      <c r="J1467" s="1" t="s">
        <v>18</v>
      </c>
      <c r="K1467" s="1">
        <v>75000.0</v>
      </c>
      <c r="L1467" s="1">
        <v>56.9627267</v>
      </c>
      <c r="M1467" s="1">
        <v>24.198875</v>
      </c>
    </row>
    <row r="1468">
      <c r="A1468" s="1" t="s">
        <v>22</v>
      </c>
      <c r="B1468" s="1" t="s">
        <v>23</v>
      </c>
      <c r="C1468" s="1" t="s">
        <v>1154</v>
      </c>
      <c r="D1468" s="1">
        <v>2.0</v>
      </c>
      <c r="E1468" s="1">
        <v>53.0</v>
      </c>
      <c r="F1468" s="1">
        <v>4.0</v>
      </c>
      <c r="G1468" s="1">
        <v>4.0</v>
      </c>
      <c r="H1468" s="1" t="s">
        <v>25</v>
      </c>
      <c r="I1468" s="1" t="s">
        <v>33</v>
      </c>
      <c r="J1468" s="1" t="s">
        <v>18</v>
      </c>
      <c r="K1468" s="1">
        <v>35000.0</v>
      </c>
      <c r="L1468" s="1">
        <v>56.93950425</v>
      </c>
      <c r="M1468" s="1">
        <v>24.1222563433257</v>
      </c>
    </row>
    <row r="1469">
      <c r="A1469" s="1" t="s">
        <v>22</v>
      </c>
      <c r="B1469" s="1" t="s">
        <v>23</v>
      </c>
      <c r="C1469" s="1" t="s">
        <v>1155</v>
      </c>
      <c r="D1469" s="1">
        <v>2.0</v>
      </c>
      <c r="E1469" s="1">
        <v>70.0</v>
      </c>
      <c r="F1469" s="1">
        <v>2.0</v>
      </c>
      <c r="G1469" s="1">
        <v>4.0</v>
      </c>
      <c r="H1469" s="1" t="s">
        <v>66</v>
      </c>
      <c r="I1469" s="1" t="s">
        <v>33</v>
      </c>
      <c r="J1469" s="1" t="s">
        <v>18</v>
      </c>
      <c r="K1469" s="1">
        <v>79999.0</v>
      </c>
      <c r="L1469" s="1">
        <v>56.8597884</v>
      </c>
      <c r="M1469" s="1">
        <v>24.3083417</v>
      </c>
    </row>
    <row r="1470">
      <c r="A1470" s="1" t="s">
        <v>22</v>
      </c>
      <c r="B1470" s="1" t="s">
        <v>23</v>
      </c>
      <c r="C1470" s="1" t="s">
        <v>648</v>
      </c>
      <c r="D1470" s="1">
        <v>2.0</v>
      </c>
      <c r="E1470" s="1">
        <v>42.0</v>
      </c>
      <c r="F1470" s="1">
        <v>3.0</v>
      </c>
      <c r="G1470" s="1">
        <v>6.0</v>
      </c>
      <c r="H1470" s="1" t="s">
        <v>66</v>
      </c>
      <c r="I1470" s="1" t="s">
        <v>33</v>
      </c>
      <c r="J1470" s="1" t="s">
        <v>18</v>
      </c>
      <c r="K1470" s="1">
        <v>75708.0</v>
      </c>
      <c r="L1470" s="1">
        <v>56.94999685</v>
      </c>
      <c r="M1470" s="1">
        <v>24.1364139006283</v>
      </c>
    </row>
    <row r="1471">
      <c r="A1471" s="1" t="s">
        <v>22</v>
      </c>
      <c r="B1471" s="1" t="s">
        <v>23</v>
      </c>
      <c r="C1471" s="1" t="s">
        <v>1022</v>
      </c>
      <c r="D1471" s="1">
        <v>2.0</v>
      </c>
      <c r="E1471" s="1">
        <v>64.0</v>
      </c>
      <c r="F1471" s="1">
        <v>2.0</v>
      </c>
      <c r="G1471" s="1">
        <v>7.0</v>
      </c>
      <c r="H1471" s="1" t="s">
        <v>32</v>
      </c>
      <c r="I1471" s="1" t="s">
        <v>122</v>
      </c>
      <c r="J1471" s="1" t="s">
        <v>18</v>
      </c>
      <c r="K1471" s="1">
        <v>114900.0</v>
      </c>
      <c r="L1471" s="1">
        <v>56.9538485</v>
      </c>
      <c r="M1471" s="1">
        <v>24.1405336</v>
      </c>
    </row>
    <row r="1472">
      <c r="A1472" s="1" t="s">
        <v>22</v>
      </c>
      <c r="B1472" s="1" t="s">
        <v>14</v>
      </c>
      <c r="C1472" s="1" t="s">
        <v>1156</v>
      </c>
      <c r="D1472" s="1">
        <v>4.0</v>
      </c>
      <c r="E1472" s="1">
        <v>75.0</v>
      </c>
      <c r="F1472" s="1">
        <v>5.0</v>
      </c>
      <c r="G1472" s="1">
        <v>9.0</v>
      </c>
      <c r="H1472" s="1">
        <v>467.0</v>
      </c>
      <c r="I1472" s="1" t="s">
        <v>21</v>
      </c>
      <c r="J1472" s="1" t="s">
        <v>18</v>
      </c>
      <c r="K1472" s="1">
        <v>78000.0</v>
      </c>
      <c r="L1472" s="1">
        <v>56.9405867</v>
      </c>
      <c r="M1472" s="1">
        <v>24.1951866</v>
      </c>
    </row>
    <row r="1473">
      <c r="A1473" s="1" t="s">
        <v>13</v>
      </c>
      <c r="B1473" s="1" t="s">
        <v>23</v>
      </c>
      <c r="C1473" s="1" t="s">
        <v>1157</v>
      </c>
      <c r="D1473" s="1">
        <v>5.0</v>
      </c>
      <c r="E1473" s="1">
        <v>133.0</v>
      </c>
      <c r="F1473" s="1">
        <v>4.0</v>
      </c>
      <c r="G1473" s="1">
        <v>5.0</v>
      </c>
      <c r="H1473" s="1" t="s">
        <v>25</v>
      </c>
      <c r="I1473" s="1" t="s">
        <v>37</v>
      </c>
      <c r="J1473" s="1" t="s">
        <v>18</v>
      </c>
      <c r="K1473" s="1">
        <v>59.0</v>
      </c>
      <c r="L1473" s="1">
        <v>56.9556466</v>
      </c>
      <c r="M1473" s="1">
        <v>24.1205066</v>
      </c>
    </row>
    <row r="1474">
      <c r="A1474" s="1" t="s">
        <v>22</v>
      </c>
      <c r="B1474" s="1" t="s">
        <v>23</v>
      </c>
      <c r="C1474" s="1" t="s">
        <v>1158</v>
      </c>
      <c r="D1474" s="1">
        <v>3.0</v>
      </c>
      <c r="E1474" s="1">
        <v>84.0</v>
      </c>
      <c r="F1474" s="1">
        <v>3.0</v>
      </c>
      <c r="G1474" s="1">
        <v>3.0</v>
      </c>
      <c r="H1474" s="1" t="s">
        <v>25</v>
      </c>
      <c r="I1474" s="1" t="s">
        <v>33</v>
      </c>
      <c r="J1474" s="1" t="s">
        <v>18</v>
      </c>
      <c r="K1474" s="1">
        <v>119800.0</v>
      </c>
      <c r="L1474" s="1">
        <v>56.9716816</v>
      </c>
      <c r="M1474" s="1">
        <v>24.1021951</v>
      </c>
    </row>
    <row r="1475">
      <c r="A1475" s="1" t="s">
        <v>89</v>
      </c>
      <c r="B1475" s="1" t="s">
        <v>96</v>
      </c>
      <c r="C1475" s="2"/>
      <c r="D1475" s="1">
        <v>2.0</v>
      </c>
      <c r="E1475" s="2"/>
      <c r="F1475" s="2"/>
      <c r="G1475" s="2"/>
      <c r="H1475" s="2"/>
      <c r="I1475" s="2"/>
      <c r="J1475" s="2"/>
      <c r="K1475" s="2"/>
      <c r="L1475" s="1">
        <v>46.3144754</v>
      </c>
      <c r="M1475" s="1">
        <v>11.0480288</v>
      </c>
    </row>
    <row r="1476">
      <c r="A1476" s="1" t="s">
        <v>13</v>
      </c>
      <c r="B1476" s="1" t="s">
        <v>52</v>
      </c>
      <c r="C1476" s="1" t="s">
        <v>1159</v>
      </c>
      <c r="D1476" s="1">
        <v>2.0</v>
      </c>
      <c r="E1476" s="1">
        <v>57.0</v>
      </c>
      <c r="F1476" s="1">
        <v>3.0</v>
      </c>
      <c r="G1476" s="1">
        <v>4.0</v>
      </c>
      <c r="H1476" s="1" t="s">
        <v>32</v>
      </c>
      <c r="I1476" s="1" t="s">
        <v>33</v>
      </c>
      <c r="J1476" s="1" t="s">
        <v>18</v>
      </c>
      <c r="K1476" s="1">
        <v>480.0</v>
      </c>
      <c r="L1476" s="1">
        <v>56.94283395</v>
      </c>
      <c r="M1476" s="1">
        <v>24.0204013746829</v>
      </c>
    </row>
    <row r="1477">
      <c r="A1477" s="1" t="s">
        <v>89</v>
      </c>
      <c r="B1477" s="1" t="s">
        <v>28</v>
      </c>
      <c r="C1477" s="2"/>
      <c r="D1477" s="1">
        <v>2.0</v>
      </c>
      <c r="E1477" s="2"/>
      <c r="F1477" s="2"/>
      <c r="G1477" s="2"/>
      <c r="H1477" s="2"/>
      <c r="I1477" s="2"/>
      <c r="J1477" s="2"/>
      <c r="K1477" s="2"/>
      <c r="L1477" s="1">
        <v>46.3144754</v>
      </c>
      <c r="M1477" s="1">
        <v>11.0480288</v>
      </c>
    </row>
    <row r="1478">
      <c r="A1478" s="1" t="s">
        <v>89</v>
      </c>
      <c r="B1478" s="1" t="s">
        <v>38</v>
      </c>
      <c r="C1478" s="2"/>
      <c r="D1478" s="1">
        <v>2.0</v>
      </c>
      <c r="E1478" s="2"/>
      <c r="F1478" s="2"/>
      <c r="G1478" s="2"/>
      <c r="H1478" s="2"/>
      <c r="I1478" s="2"/>
      <c r="J1478" s="2"/>
      <c r="K1478" s="2"/>
      <c r="L1478" s="1">
        <v>46.3144754</v>
      </c>
      <c r="M1478" s="1">
        <v>11.0480288</v>
      </c>
    </row>
    <row r="1479">
      <c r="A1479" s="1" t="s">
        <v>13</v>
      </c>
      <c r="B1479" s="1" t="s">
        <v>129</v>
      </c>
      <c r="C1479" s="1" t="s">
        <v>1160</v>
      </c>
      <c r="D1479" s="1">
        <v>2.0</v>
      </c>
      <c r="E1479" s="1">
        <v>40.0</v>
      </c>
      <c r="F1479" s="1">
        <v>4.0</v>
      </c>
      <c r="G1479" s="1">
        <v>5.0</v>
      </c>
      <c r="H1479" s="1" t="s">
        <v>44</v>
      </c>
      <c r="I1479" s="1" t="s">
        <v>37</v>
      </c>
      <c r="J1479" s="1" t="s">
        <v>18</v>
      </c>
      <c r="K1479" s="1">
        <v>335.0</v>
      </c>
      <c r="L1479" s="1">
        <v>57.0003061</v>
      </c>
      <c r="M1479" s="1">
        <v>24.1247948</v>
      </c>
    </row>
    <row r="1480">
      <c r="A1480" s="1" t="s">
        <v>22</v>
      </c>
      <c r="B1480" s="1" t="s">
        <v>218</v>
      </c>
      <c r="C1480" s="1" t="s">
        <v>1102</v>
      </c>
      <c r="D1480" s="1">
        <v>1.0</v>
      </c>
      <c r="E1480" s="1">
        <v>24.0</v>
      </c>
      <c r="F1480" s="1">
        <v>4.0</v>
      </c>
      <c r="G1480" s="1">
        <v>4.0</v>
      </c>
      <c r="H1480" s="1" t="s">
        <v>25</v>
      </c>
      <c r="I1480" s="1" t="s">
        <v>37</v>
      </c>
      <c r="J1480" s="1" t="s">
        <v>18</v>
      </c>
      <c r="K1480" s="1">
        <v>58000.0</v>
      </c>
      <c r="L1480" s="1">
        <v>56.95014635</v>
      </c>
      <c r="M1480" s="1">
        <v>24.1092607305158</v>
      </c>
    </row>
    <row r="1481">
      <c r="A1481" s="1" t="s">
        <v>13</v>
      </c>
      <c r="B1481" s="1" t="s">
        <v>74</v>
      </c>
      <c r="C1481" s="1" t="s">
        <v>452</v>
      </c>
      <c r="D1481" s="1">
        <v>1.0</v>
      </c>
      <c r="E1481" s="1">
        <v>43.0</v>
      </c>
      <c r="F1481" s="1">
        <v>1.0</v>
      </c>
      <c r="G1481" s="1">
        <v>9.0</v>
      </c>
      <c r="H1481" s="1" t="s">
        <v>57</v>
      </c>
      <c r="I1481" s="1" t="s">
        <v>122</v>
      </c>
      <c r="J1481" s="1" t="s">
        <v>18</v>
      </c>
      <c r="K1481" s="1">
        <v>280.0</v>
      </c>
      <c r="L1481" s="1">
        <v>56.93515745</v>
      </c>
      <c r="M1481" s="1">
        <v>24.200200711641</v>
      </c>
    </row>
    <row r="1482">
      <c r="A1482" s="1" t="s">
        <v>22</v>
      </c>
      <c r="B1482" s="1" t="s">
        <v>23</v>
      </c>
      <c r="C1482" s="1" t="s">
        <v>1161</v>
      </c>
      <c r="D1482" s="1">
        <v>2.0</v>
      </c>
      <c r="E1482" s="1">
        <v>44.0</v>
      </c>
      <c r="F1482" s="1">
        <v>6.0</v>
      </c>
      <c r="G1482" s="1">
        <v>6.0</v>
      </c>
      <c r="H1482" s="1" t="s">
        <v>36</v>
      </c>
      <c r="I1482" s="1" t="s">
        <v>37</v>
      </c>
      <c r="J1482" s="1" t="s">
        <v>18</v>
      </c>
      <c r="K1482" s="1">
        <v>46400.0</v>
      </c>
      <c r="L1482" s="1">
        <v>56.8597884</v>
      </c>
      <c r="M1482" s="1">
        <v>24.3083417</v>
      </c>
    </row>
    <row r="1483">
      <c r="A1483" s="1" t="s">
        <v>22</v>
      </c>
      <c r="B1483" s="1" t="s">
        <v>14</v>
      </c>
      <c r="C1483" s="1" t="s">
        <v>1162</v>
      </c>
      <c r="D1483" s="1">
        <v>3.0</v>
      </c>
      <c r="E1483" s="1">
        <v>60.0</v>
      </c>
      <c r="F1483" s="1">
        <v>5.0</v>
      </c>
      <c r="G1483" s="1">
        <v>5.0</v>
      </c>
      <c r="H1483" s="1" t="s">
        <v>16</v>
      </c>
      <c r="I1483" s="1" t="s">
        <v>21</v>
      </c>
      <c r="J1483" s="1" t="s">
        <v>18</v>
      </c>
      <c r="K1483" s="1">
        <v>59500.0</v>
      </c>
      <c r="L1483" s="1">
        <v>56.9570069</v>
      </c>
      <c r="M1483" s="1">
        <v>24.1987368</v>
      </c>
    </row>
    <row r="1484">
      <c r="A1484" s="1" t="s">
        <v>89</v>
      </c>
      <c r="B1484" s="2"/>
      <c r="C1484" s="2"/>
      <c r="D1484" s="1">
        <v>2.0</v>
      </c>
      <c r="E1484" s="1">
        <v>50.0</v>
      </c>
      <c r="F1484" s="2"/>
      <c r="G1484" s="2"/>
      <c r="H1484" s="2"/>
      <c r="I1484" s="2"/>
      <c r="J1484" s="2"/>
      <c r="K1484" s="2"/>
      <c r="L1484" s="1">
        <v>46.3144754</v>
      </c>
      <c r="M1484" s="1">
        <v>11.0480288</v>
      </c>
    </row>
    <row r="1485">
      <c r="A1485" s="1" t="s">
        <v>22</v>
      </c>
      <c r="B1485" s="1" t="s">
        <v>23</v>
      </c>
      <c r="C1485" s="1" t="s">
        <v>746</v>
      </c>
      <c r="D1485" s="1">
        <v>1.0</v>
      </c>
      <c r="E1485" s="1">
        <v>30.0</v>
      </c>
      <c r="F1485" s="1">
        <v>3.0</v>
      </c>
      <c r="G1485" s="1">
        <v>6.0</v>
      </c>
      <c r="H1485" s="1" t="s">
        <v>25</v>
      </c>
      <c r="I1485" s="1" t="s">
        <v>37</v>
      </c>
      <c r="J1485" s="1" t="s">
        <v>18</v>
      </c>
      <c r="K1485" s="1">
        <v>46800.0</v>
      </c>
      <c r="L1485" s="1">
        <v>56.9928319</v>
      </c>
      <c r="M1485" s="1">
        <v>24.1224521</v>
      </c>
    </row>
    <row r="1486">
      <c r="A1486" s="1" t="s">
        <v>22</v>
      </c>
      <c r="B1486" s="1" t="s">
        <v>441</v>
      </c>
      <c r="C1486" s="1" t="s">
        <v>1163</v>
      </c>
      <c r="D1486" s="1">
        <v>1.0</v>
      </c>
      <c r="E1486" s="1">
        <v>27.0</v>
      </c>
      <c r="F1486" s="1">
        <v>5.0</v>
      </c>
      <c r="G1486" s="1">
        <v>5.0</v>
      </c>
      <c r="H1486" s="1" t="s">
        <v>36</v>
      </c>
      <c r="I1486" s="1" t="s">
        <v>37</v>
      </c>
      <c r="J1486" s="1" t="s">
        <v>18</v>
      </c>
      <c r="K1486" s="1">
        <v>20500.0</v>
      </c>
      <c r="L1486" s="1" t="s">
        <v>40</v>
      </c>
      <c r="M1486" s="1" t="s">
        <v>40</v>
      </c>
    </row>
    <row r="1487">
      <c r="A1487" s="1" t="s">
        <v>22</v>
      </c>
      <c r="B1487" s="1" t="s">
        <v>38</v>
      </c>
      <c r="C1487" s="1" t="s">
        <v>1035</v>
      </c>
      <c r="D1487" s="1">
        <v>2.0</v>
      </c>
      <c r="E1487" s="1">
        <v>50.0</v>
      </c>
      <c r="F1487" s="1">
        <v>1.0</v>
      </c>
      <c r="G1487" s="1">
        <v>5.0</v>
      </c>
      <c r="H1487" s="1" t="s">
        <v>16</v>
      </c>
      <c r="I1487" s="1" t="s">
        <v>21</v>
      </c>
      <c r="J1487" s="1" t="s">
        <v>18</v>
      </c>
      <c r="K1487" s="1">
        <v>43900.0</v>
      </c>
      <c r="L1487" s="1" t="s">
        <v>40</v>
      </c>
      <c r="M1487" s="1" t="s">
        <v>40</v>
      </c>
    </row>
    <row r="1488">
      <c r="A1488" s="1" t="s">
        <v>22</v>
      </c>
      <c r="B1488" s="1" t="s">
        <v>104</v>
      </c>
      <c r="C1488" s="1" t="s">
        <v>1164</v>
      </c>
      <c r="D1488" s="1">
        <v>1.0</v>
      </c>
      <c r="E1488" s="1">
        <v>21.0</v>
      </c>
      <c r="F1488" s="1">
        <v>1.0</v>
      </c>
      <c r="G1488" s="1">
        <v>2.0</v>
      </c>
      <c r="H1488" s="1" t="s">
        <v>25</v>
      </c>
      <c r="I1488" s="1" t="s">
        <v>26</v>
      </c>
      <c r="J1488" s="1" t="s">
        <v>27</v>
      </c>
      <c r="K1488" s="1">
        <v>14500.0</v>
      </c>
      <c r="L1488" s="1">
        <v>56.9353345</v>
      </c>
      <c r="M1488" s="1">
        <v>24.0737985</v>
      </c>
    </row>
    <row r="1489">
      <c r="A1489" s="1" t="s">
        <v>13</v>
      </c>
      <c r="B1489" s="1" t="s">
        <v>96</v>
      </c>
      <c r="C1489" s="1" t="s">
        <v>1165</v>
      </c>
      <c r="D1489" s="1">
        <v>1.0</v>
      </c>
      <c r="E1489" s="1">
        <v>36.0</v>
      </c>
      <c r="F1489" s="1">
        <v>9.0</v>
      </c>
      <c r="G1489" s="1">
        <v>9.0</v>
      </c>
      <c r="H1489" s="1">
        <v>602.0</v>
      </c>
      <c r="I1489" s="1" t="s">
        <v>21</v>
      </c>
      <c r="J1489" s="1" t="s">
        <v>18</v>
      </c>
      <c r="K1489" s="1">
        <v>220.0</v>
      </c>
      <c r="L1489" s="1">
        <v>57.03939135</v>
      </c>
      <c r="M1489" s="1">
        <v>24.1025204555179</v>
      </c>
    </row>
    <row r="1490">
      <c r="A1490" s="1" t="s">
        <v>22</v>
      </c>
      <c r="B1490" s="1" t="s">
        <v>109</v>
      </c>
      <c r="C1490" s="1" t="s">
        <v>1166</v>
      </c>
      <c r="D1490" s="1">
        <v>4.0</v>
      </c>
      <c r="E1490" s="1">
        <v>153.0</v>
      </c>
      <c r="F1490" s="1">
        <v>1.0</v>
      </c>
      <c r="G1490" s="1">
        <v>3.0</v>
      </c>
      <c r="H1490" s="1" t="s">
        <v>25</v>
      </c>
      <c r="I1490" s="1" t="s">
        <v>26</v>
      </c>
      <c r="J1490" s="1" t="s">
        <v>18</v>
      </c>
      <c r="K1490" s="1">
        <v>275000.0</v>
      </c>
      <c r="L1490" s="1" t="s">
        <v>40</v>
      </c>
      <c r="M1490" s="1" t="s">
        <v>40</v>
      </c>
    </row>
    <row r="1491">
      <c r="A1491" s="1" t="s">
        <v>13</v>
      </c>
      <c r="B1491" s="1" t="s">
        <v>23</v>
      </c>
      <c r="C1491" s="1" t="s">
        <v>817</v>
      </c>
      <c r="D1491" s="1">
        <v>2.0</v>
      </c>
      <c r="E1491" s="1">
        <v>52.0</v>
      </c>
      <c r="F1491" s="1">
        <v>2.0</v>
      </c>
      <c r="G1491" s="1">
        <v>5.0</v>
      </c>
      <c r="H1491" s="1" t="s">
        <v>25</v>
      </c>
      <c r="I1491" s="1" t="s">
        <v>33</v>
      </c>
      <c r="J1491" s="1" t="s">
        <v>18</v>
      </c>
      <c r="K1491" s="1">
        <v>420.0</v>
      </c>
      <c r="L1491" s="1">
        <v>56.9665763</v>
      </c>
      <c r="M1491" s="1">
        <v>24.1337504</v>
      </c>
    </row>
    <row r="1492">
      <c r="A1492" s="1" t="s">
        <v>22</v>
      </c>
      <c r="B1492" s="1" t="s">
        <v>23</v>
      </c>
      <c r="C1492" s="1" t="s">
        <v>342</v>
      </c>
      <c r="D1492" s="1">
        <v>2.0</v>
      </c>
      <c r="E1492" s="1">
        <v>80.0</v>
      </c>
      <c r="F1492" s="1">
        <v>1.0</v>
      </c>
      <c r="G1492" s="1">
        <v>5.0</v>
      </c>
      <c r="H1492" s="1" t="s">
        <v>25</v>
      </c>
      <c r="I1492" s="1" t="s">
        <v>33</v>
      </c>
      <c r="J1492" s="1" t="s">
        <v>18</v>
      </c>
      <c r="K1492" s="1">
        <v>106100.0</v>
      </c>
      <c r="L1492" s="1">
        <v>56.95264935</v>
      </c>
      <c r="M1492" s="1">
        <v>24.1259069611911</v>
      </c>
    </row>
    <row r="1493">
      <c r="A1493" s="1" t="s">
        <v>13</v>
      </c>
      <c r="B1493" s="1" t="s">
        <v>23</v>
      </c>
      <c r="C1493" s="1" t="s">
        <v>1167</v>
      </c>
      <c r="D1493" s="1">
        <v>1.0</v>
      </c>
      <c r="E1493" s="1">
        <v>20.0</v>
      </c>
      <c r="F1493" s="1">
        <v>2.0</v>
      </c>
      <c r="G1493" s="1">
        <v>3.0</v>
      </c>
      <c r="H1493" s="1" t="s">
        <v>25</v>
      </c>
      <c r="I1493" s="1" t="s">
        <v>33</v>
      </c>
      <c r="J1493" s="1" t="s">
        <v>18</v>
      </c>
      <c r="K1493" s="1">
        <v>25.0</v>
      </c>
      <c r="L1493" s="1">
        <v>56.9747442</v>
      </c>
      <c r="M1493" s="1">
        <v>24.1414585</v>
      </c>
    </row>
    <row r="1494">
      <c r="A1494" s="1" t="s">
        <v>22</v>
      </c>
      <c r="B1494" s="1" t="s">
        <v>23</v>
      </c>
      <c r="C1494" s="1" t="s">
        <v>478</v>
      </c>
      <c r="D1494" s="1">
        <v>2.0</v>
      </c>
      <c r="E1494" s="1">
        <v>53.5</v>
      </c>
      <c r="F1494" s="1">
        <v>6.0</v>
      </c>
      <c r="G1494" s="1">
        <v>7.0</v>
      </c>
      <c r="H1494" s="1" t="s">
        <v>32</v>
      </c>
      <c r="I1494" s="1" t="s">
        <v>21</v>
      </c>
      <c r="J1494" s="1" t="s">
        <v>18</v>
      </c>
      <c r="K1494" s="1">
        <v>137000.0</v>
      </c>
      <c r="L1494" s="1">
        <v>56.9493295</v>
      </c>
      <c r="M1494" s="1">
        <v>24.1264892056074</v>
      </c>
    </row>
    <row r="1495">
      <c r="A1495" s="1" t="s">
        <v>22</v>
      </c>
      <c r="B1495" s="1" t="s">
        <v>48</v>
      </c>
      <c r="C1495" s="1" t="s">
        <v>1168</v>
      </c>
      <c r="D1495" s="1">
        <v>3.0</v>
      </c>
      <c r="E1495" s="1">
        <v>71.0</v>
      </c>
      <c r="F1495" s="1">
        <v>1.0</v>
      </c>
      <c r="G1495" s="1">
        <v>4.0</v>
      </c>
      <c r="H1495" s="1" t="s">
        <v>32</v>
      </c>
      <c r="I1495" s="1" t="s">
        <v>37</v>
      </c>
      <c r="J1495" s="1" t="s">
        <v>18</v>
      </c>
      <c r="K1495" s="1">
        <v>143000.0</v>
      </c>
      <c r="L1495" s="1">
        <v>56.9502294499999</v>
      </c>
      <c r="M1495" s="1">
        <v>24.247581468723</v>
      </c>
    </row>
    <row r="1496">
      <c r="A1496" s="1" t="s">
        <v>13</v>
      </c>
      <c r="B1496" s="1" t="s">
        <v>23</v>
      </c>
      <c r="C1496" s="1" t="s">
        <v>1169</v>
      </c>
      <c r="D1496" s="1">
        <v>1.0</v>
      </c>
      <c r="E1496" s="1">
        <v>25.0</v>
      </c>
      <c r="F1496" s="1">
        <v>4.0</v>
      </c>
      <c r="G1496" s="1">
        <v>6.0</v>
      </c>
      <c r="H1496" s="1" t="s">
        <v>25</v>
      </c>
      <c r="I1496" s="1" t="s">
        <v>33</v>
      </c>
      <c r="J1496" s="1" t="s">
        <v>18</v>
      </c>
      <c r="K1496" s="1">
        <v>130.0</v>
      </c>
      <c r="L1496" s="1">
        <v>56.99189845</v>
      </c>
      <c r="M1496" s="1">
        <v>24.1276669239564</v>
      </c>
    </row>
    <row r="1497">
      <c r="A1497" s="1" t="s">
        <v>22</v>
      </c>
      <c r="B1497" s="1" t="s">
        <v>23</v>
      </c>
      <c r="C1497" s="1" t="s">
        <v>271</v>
      </c>
      <c r="D1497" s="1">
        <v>1.0</v>
      </c>
      <c r="E1497" s="1">
        <v>24.0</v>
      </c>
      <c r="F1497" s="1">
        <v>2.0</v>
      </c>
      <c r="G1497" s="1">
        <v>2.0</v>
      </c>
      <c r="H1497" s="1" t="s">
        <v>25</v>
      </c>
      <c r="I1497" s="1" t="s">
        <v>33</v>
      </c>
      <c r="J1497" s="1" t="s">
        <v>18</v>
      </c>
      <c r="K1497" s="1">
        <v>28000.0</v>
      </c>
      <c r="L1497" s="1">
        <v>56.96656595</v>
      </c>
      <c r="M1497" s="1">
        <v>24.1436439</v>
      </c>
    </row>
    <row r="1498">
      <c r="A1498" s="1" t="s">
        <v>22</v>
      </c>
      <c r="B1498" s="1" t="s">
        <v>23</v>
      </c>
      <c r="C1498" s="1" t="s">
        <v>1170</v>
      </c>
      <c r="D1498" s="1">
        <v>5.0</v>
      </c>
      <c r="E1498" s="1">
        <v>123.0</v>
      </c>
      <c r="F1498" s="1">
        <v>2.0</v>
      </c>
      <c r="G1498" s="1">
        <v>6.0</v>
      </c>
      <c r="H1498" s="1" t="s">
        <v>25</v>
      </c>
      <c r="I1498" s="1" t="s">
        <v>33</v>
      </c>
      <c r="J1498" s="1" t="s">
        <v>18</v>
      </c>
      <c r="K1498" s="1">
        <v>125000.0</v>
      </c>
      <c r="L1498" s="1">
        <v>56.9647023</v>
      </c>
      <c r="M1498" s="1">
        <v>24.1416133360267</v>
      </c>
    </row>
    <row r="1499">
      <c r="A1499" s="1" t="s">
        <v>89</v>
      </c>
      <c r="B1499" s="1" t="s">
        <v>14</v>
      </c>
      <c r="C1499" s="2"/>
      <c r="D1499" s="1" t="s">
        <v>90</v>
      </c>
      <c r="E1499" s="2"/>
      <c r="F1499" s="2"/>
      <c r="G1499" s="2"/>
      <c r="H1499" s="2"/>
      <c r="I1499" s="2"/>
      <c r="J1499" s="2"/>
      <c r="K1499" s="2"/>
      <c r="L1499" s="1">
        <v>46.3144754</v>
      </c>
      <c r="M1499" s="1">
        <v>11.0480288</v>
      </c>
    </row>
    <row r="1500">
      <c r="A1500" s="1" t="s">
        <v>22</v>
      </c>
      <c r="B1500" s="1" t="s">
        <v>134</v>
      </c>
      <c r="C1500" s="1" t="s">
        <v>1171</v>
      </c>
      <c r="D1500" s="1">
        <v>2.0</v>
      </c>
      <c r="E1500" s="1">
        <v>54.0</v>
      </c>
      <c r="F1500" s="1">
        <v>4.0</v>
      </c>
      <c r="G1500" s="1">
        <v>5.0</v>
      </c>
      <c r="H1500" s="1">
        <v>103.0</v>
      </c>
      <c r="I1500" s="1" t="s">
        <v>17</v>
      </c>
      <c r="J1500" s="1" t="s">
        <v>18</v>
      </c>
      <c r="K1500" s="1">
        <v>31000.0</v>
      </c>
      <c r="L1500" s="1">
        <v>57.03920265</v>
      </c>
      <c r="M1500" s="1">
        <v>24.0321564328147</v>
      </c>
    </row>
    <row r="1501">
      <c r="A1501" s="1" t="s">
        <v>22</v>
      </c>
      <c r="B1501" s="1" t="s">
        <v>38</v>
      </c>
      <c r="C1501" s="1" t="s">
        <v>1172</v>
      </c>
      <c r="D1501" s="1">
        <v>1.0</v>
      </c>
      <c r="E1501" s="1">
        <v>31.0</v>
      </c>
      <c r="F1501" s="1">
        <v>9.0</v>
      </c>
      <c r="G1501" s="1">
        <v>12.0</v>
      </c>
      <c r="H1501" s="1" t="s">
        <v>221</v>
      </c>
      <c r="I1501" s="1" t="s">
        <v>37</v>
      </c>
      <c r="J1501" s="1" t="s">
        <v>18</v>
      </c>
      <c r="K1501" s="1">
        <v>34000.0</v>
      </c>
      <c r="L1501" s="1">
        <v>56.9648157</v>
      </c>
      <c r="M1501" s="1">
        <v>24.0190534</v>
      </c>
    </row>
    <row r="1502">
      <c r="A1502" s="1" t="s">
        <v>22</v>
      </c>
      <c r="B1502" s="1" t="s">
        <v>38</v>
      </c>
      <c r="C1502" s="1" t="s">
        <v>1173</v>
      </c>
      <c r="D1502" s="1">
        <v>3.0</v>
      </c>
      <c r="E1502" s="1">
        <v>63.0</v>
      </c>
      <c r="F1502" s="1">
        <v>8.0</v>
      </c>
      <c r="G1502" s="1">
        <v>9.0</v>
      </c>
      <c r="H1502" s="1">
        <v>602.0</v>
      </c>
      <c r="I1502" s="1" t="s">
        <v>21</v>
      </c>
      <c r="J1502" s="1" t="s">
        <v>18</v>
      </c>
      <c r="K1502" s="1">
        <v>60000.0</v>
      </c>
      <c r="L1502" s="1">
        <v>56.96468165</v>
      </c>
      <c r="M1502" s="1">
        <v>24.0091138749708</v>
      </c>
    </row>
    <row r="1503">
      <c r="A1503" s="1" t="s">
        <v>13</v>
      </c>
      <c r="B1503" s="1" t="s">
        <v>38</v>
      </c>
      <c r="C1503" s="1" t="s">
        <v>847</v>
      </c>
      <c r="D1503" s="1">
        <v>1.0</v>
      </c>
      <c r="E1503" s="1">
        <v>37.0</v>
      </c>
      <c r="F1503" s="1">
        <v>3.0</v>
      </c>
      <c r="G1503" s="1">
        <v>9.0</v>
      </c>
      <c r="H1503" s="1">
        <v>602.0</v>
      </c>
      <c r="I1503" s="1" t="s">
        <v>21</v>
      </c>
      <c r="J1503" s="1" t="s">
        <v>18</v>
      </c>
      <c r="K1503" s="1">
        <v>250.0</v>
      </c>
      <c r="L1503" s="1">
        <v>56.96469885</v>
      </c>
      <c r="M1503" s="1">
        <v>24.0075821758969</v>
      </c>
    </row>
    <row r="1504">
      <c r="A1504" s="1" t="s">
        <v>13</v>
      </c>
      <c r="B1504" s="1" t="s">
        <v>50</v>
      </c>
      <c r="C1504" s="1" t="s">
        <v>1174</v>
      </c>
      <c r="D1504" s="1">
        <v>1.0</v>
      </c>
      <c r="E1504" s="1">
        <v>26.0</v>
      </c>
      <c r="F1504" s="1">
        <v>2.0</v>
      </c>
      <c r="G1504" s="1">
        <v>2.0</v>
      </c>
      <c r="H1504" s="1" t="s">
        <v>66</v>
      </c>
      <c r="I1504" s="1" t="s">
        <v>33</v>
      </c>
      <c r="J1504" s="1" t="s">
        <v>18</v>
      </c>
      <c r="K1504" s="1">
        <v>295.0</v>
      </c>
      <c r="L1504" s="1">
        <v>56.8597884</v>
      </c>
      <c r="M1504" s="1">
        <v>24.3083417</v>
      </c>
    </row>
    <row r="1505">
      <c r="A1505" s="1" t="s">
        <v>13</v>
      </c>
      <c r="B1505" s="1" t="s">
        <v>19</v>
      </c>
      <c r="C1505" s="1" t="s">
        <v>281</v>
      </c>
      <c r="D1505" s="1">
        <v>1.0</v>
      </c>
      <c r="E1505" s="1">
        <v>43.0</v>
      </c>
      <c r="F1505" s="1">
        <v>9.0</v>
      </c>
      <c r="G1505" s="1">
        <v>9.0</v>
      </c>
      <c r="H1505" s="1" t="s">
        <v>57</v>
      </c>
      <c r="I1505" s="1" t="s">
        <v>122</v>
      </c>
      <c r="J1505" s="1" t="s">
        <v>18</v>
      </c>
      <c r="K1505" s="1">
        <v>250.0</v>
      </c>
      <c r="L1505" s="1">
        <v>56.89981695</v>
      </c>
      <c r="M1505" s="1">
        <v>24.0965337335385</v>
      </c>
    </row>
    <row r="1506">
      <c r="A1506" s="1" t="s">
        <v>22</v>
      </c>
      <c r="B1506" s="1" t="s">
        <v>14</v>
      </c>
      <c r="C1506" s="1" t="s">
        <v>297</v>
      </c>
      <c r="D1506" s="1">
        <v>1.0</v>
      </c>
      <c r="E1506" s="1">
        <v>12.0</v>
      </c>
      <c r="F1506" s="1">
        <v>2.0</v>
      </c>
      <c r="G1506" s="1">
        <v>4.0</v>
      </c>
      <c r="H1506" s="1" t="s">
        <v>44</v>
      </c>
      <c r="I1506" s="1" t="s">
        <v>37</v>
      </c>
      <c r="J1506" s="1" t="s">
        <v>27</v>
      </c>
      <c r="K1506" s="1">
        <v>13000.0</v>
      </c>
      <c r="L1506" s="1">
        <v>56.96760975</v>
      </c>
      <c r="M1506" s="1">
        <v>24.1813539003571</v>
      </c>
    </row>
    <row r="1507">
      <c r="A1507" s="1" t="s">
        <v>22</v>
      </c>
      <c r="B1507" s="1" t="s">
        <v>48</v>
      </c>
      <c r="C1507" s="1" t="s">
        <v>1168</v>
      </c>
      <c r="D1507" s="1">
        <v>2.0</v>
      </c>
      <c r="E1507" s="1">
        <v>64.0</v>
      </c>
      <c r="F1507" s="1">
        <v>2.0</v>
      </c>
      <c r="G1507" s="1">
        <v>3.0</v>
      </c>
      <c r="H1507" s="1" t="s">
        <v>36</v>
      </c>
      <c r="I1507" s="1" t="s">
        <v>122</v>
      </c>
      <c r="J1507" s="1" t="s">
        <v>18</v>
      </c>
      <c r="K1507" s="1">
        <v>114000.0</v>
      </c>
      <c r="L1507" s="1">
        <v>56.9502294499999</v>
      </c>
      <c r="M1507" s="1">
        <v>24.247581468723</v>
      </c>
    </row>
    <row r="1508">
      <c r="A1508" s="1" t="s">
        <v>13</v>
      </c>
      <c r="B1508" s="1" t="s">
        <v>94</v>
      </c>
      <c r="C1508" s="1" t="s">
        <v>1175</v>
      </c>
      <c r="D1508" s="1">
        <v>2.0</v>
      </c>
      <c r="E1508" s="1">
        <v>51.0</v>
      </c>
      <c r="F1508" s="1">
        <v>3.0</v>
      </c>
      <c r="G1508" s="1">
        <v>9.0</v>
      </c>
      <c r="H1508" s="1">
        <v>467.0</v>
      </c>
      <c r="I1508" s="1" t="s">
        <v>21</v>
      </c>
      <c r="J1508" s="1" t="s">
        <v>18</v>
      </c>
      <c r="K1508" s="1">
        <v>350.0</v>
      </c>
      <c r="L1508" s="1">
        <v>56.9350799</v>
      </c>
      <c r="M1508" s="1">
        <v>24.1632686016965</v>
      </c>
    </row>
    <row r="1509">
      <c r="A1509" s="1" t="s">
        <v>22</v>
      </c>
      <c r="B1509" s="1" t="s">
        <v>14</v>
      </c>
      <c r="C1509" s="1" t="s">
        <v>1176</v>
      </c>
      <c r="D1509" s="1">
        <v>2.0</v>
      </c>
      <c r="E1509" s="1">
        <v>37.6</v>
      </c>
      <c r="F1509" s="1">
        <v>2.0</v>
      </c>
      <c r="G1509" s="1">
        <v>5.0</v>
      </c>
      <c r="H1509" s="1" t="s">
        <v>16</v>
      </c>
      <c r="I1509" s="1" t="s">
        <v>21</v>
      </c>
      <c r="J1509" s="1" t="s">
        <v>18</v>
      </c>
      <c r="K1509" s="1">
        <v>35000.0</v>
      </c>
      <c r="L1509" s="1">
        <v>56.9607141</v>
      </c>
      <c r="M1509" s="1">
        <v>24.1819521216915</v>
      </c>
    </row>
    <row r="1510">
      <c r="A1510" s="1" t="s">
        <v>22</v>
      </c>
      <c r="B1510" s="1" t="s">
        <v>38</v>
      </c>
      <c r="C1510" s="1" t="s">
        <v>1047</v>
      </c>
      <c r="D1510" s="1">
        <v>2.0</v>
      </c>
      <c r="E1510" s="1">
        <v>49.0</v>
      </c>
      <c r="F1510" s="1">
        <v>7.0</v>
      </c>
      <c r="G1510" s="1">
        <v>9.0</v>
      </c>
      <c r="H1510" s="1">
        <v>602.0</v>
      </c>
      <c r="I1510" s="1" t="s">
        <v>21</v>
      </c>
      <c r="J1510" s="1" t="s">
        <v>18</v>
      </c>
      <c r="K1510" s="1">
        <v>46000.0</v>
      </c>
      <c r="L1510" s="1">
        <v>56.9618626</v>
      </c>
      <c r="M1510" s="1">
        <v>24.0034910214559</v>
      </c>
    </row>
    <row r="1511">
      <c r="A1511" s="1" t="s">
        <v>13</v>
      </c>
      <c r="B1511" s="1" t="s">
        <v>1177</v>
      </c>
      <c r="C1511" s="1" t="s">
        <v>1178</v>
      </c>
      <c r="D1511" s="1">
        <v>1.0</v>
      </c>
      <c r="E1511" s="1">
        <v>30.0</v>
      </c>
      <c r="F1511" s="1">
        <v>3.0</v>
      </c>
      <c r="G1511" s="1">
        <v>4.0</v>
      </c>
      <c r="H1511" s="1" t="s">
        <v>44</v>
      </c>
      <c r="I1511" s="1" t="s">
        <v>33</v>
      </c>
      <c r="J1511" s="1" t="s">
        <v>18</v>
      </c>
      <c r="K1511" s="1">
        <v>180.0</v>
      </c>
      <c r="L1511" s="1">
        <v>57.044461</v>
      </c>
      <c r="M1511" s="1">
        <v>24.0924973827027</v>
      </c>
    </row>
    <row r="1512">
      <c r="A1512" s="1" t="s">
        <v>13</v>
      </c>
      <c r="B1512" s="1" t="s">
        <v>38</v>
      </c>
      <c r="C1512" s="1" t="s">
        <v>1179</v>
      </c>
      <c r="D1512" s="1">
        <v>2.0</v>
      </c>
      <c r="E1512" s="1">
        <v>50.0</v>
      </c>
      <c r="F1512" s="1">
        <v>4.0</v>
      </c>
      <c r="G1512" s="1">
        <v>5.0</v>
      </c>
      <c r="H1512" s="1" t="s">
        <v>16</v>
      </c>
      <c r="I1512" s="1" t="s">
        <v>21</v>
      </c>
      <c r="J1512" s="1" t="s">
        <v>18</v>
      </c>
      <c r="K1512" s="1">
        <v>290.0</v>
      </c>
      <c r="L1512" s="1">
        <v>56.952975</v>
      </c>
      <c r="M1512" s="1">
        <v>24.0166971</v>
      </c>
    </row>
    <row r="1513">
      <c r="A1513" s="1" t="s">
        <v>22</v>
      </c>
      <c r="B1513" s="1" t="s">
        <v>23</v>
      </c>
      <c r="C1513" s="1" t="s">
        <v>313</v>
      </c>
      <c r="D1513" s="1">
        <v>1.0</v>
      </c>
      <c r="E1513" s="1">
        <v>56.0</v>
      </c>
      <c r="F1513" s="1">
        <v>6.0</v>
      </c>
      <c r="G1513" s="1">
        <v>6.0</v>
      </c>
      <c r="H1513" s="1" t="s">
        <v>25</v>
      </c>
      <c r="I1513" s="1" t="s">
        <v>33</v>
      </c>
      <c r="J1513" s="1" t="s">
        <v>18</v>
      </c>
      <c r="K1513" s="1">
        <v>67000.0</v>
      </c>
      <c r="L1513" s="1">
        <v>56.9526541</v>
      </c>
      <c r="M1513" s="1">
        <v>24.1433157</v>
      </c>
    </row>
    <row r="1514">
      <c r="A1514" s="1" t="s">
        <v>22</v>
      </c>
      <c r="B1514" s="1" t="s">
        <v>151</v>
      </c>
      <c r="C1514" s="1" t="s">
        <v>1180</v>
      </c>
      <c r="D1514" s="1">
        <v>2.0</v>
      </c>
      <c r="E1514" s="1">
        <v>50.0</v>
      </c>
      <c r="F1514" s="1">
        <v>1.0</v>
      </c>
      <c r="G1514" s="1">
        <v>5.0</v>
      </c>
      <c r="H1514" s="1" t="s">
        <v>16</v>
      </c>
      <c r="I1514" s="1" t="s">
        <v>21</v>
      </c>
      <c r="J1514" s="1" t="s">
        <v>18</v>
      </c>
      <c r="K1514" s="1">
        <v>45000.0</v>
      </c>
      <c r="L1514" s="1">
        <v>56.9719042</v>
      </c>
      <c r="M1514" s="1">
        <v>24.0695252879094</v>
      </c>
    </row>
    <row r="1515">
      <c r="A1515" s="1" t="s">
        <v>13</v>
      </c>
      <c r="B1515" s="1" t="s">
        <v>23</v>
      </c>
      <c r="C1515" s="1" t="s">
        <v>1181</v>
      </c>
      <c r="D1515" s="1">
        <v>1.0</v>
      </c>
      <c r="E1515" s="1">
        <v>23.0</v>
      </c>
      <c r="F1515" s="1">
        <v>3.0</v>
      </c>
      <c r="G1515" s="1">
        <v>5.0</v>
      </c>
      <c r="H1515" s="1" t="s">
        <v>25</v>
      </c>
      <c r="I1515" s="1" t="s">
        <v>33</v>
      </c>
      <c r="J1515" s="1" t="s">
        <v>18</v>
      </c>
      <c r="K1515" s="1">
        <v>235.0</v>
      </c>
      <c r="L1515" s="1">
        <v>56.9519155</v>
      </c>
      <c r="M1515" s="1">
        <v>24.1404527160079</v>
      </c>
    </row>
    <row r="1516">
      <c r="A1516" s="1" t="s">
        <v>22</v>
      </c>
      <c r="B1516" s="1" t="s">
        <v>74</v>
      </c>
      <c r="C1516" s="1" t="s">
        <v>1182</v>
      </c>
      <c r="D1516" s="1">
        <v>5.0</v>
      </c>
      <c r="E1516" s="1">
        <v>98.0</v>
      </c>
      <c r="F1516" s="1">
        <v>2.0</v>
      </c>
      <c r="G1516" s="1">
        <v>5.0</v>
      </c>
      <c r="H1516" s="1">
        <v>103.0</v>
      </c>
      <c r="I1516" s="1" t="s">
        <v>37</v>
      </c>
      <c r="J1516" s="1" t="s">
        <v>18</v>
      </c>
      <c r="K1516" s="1">
        <v>103000.0</v>
      </c>
      <c r="L1516" s="1">
        <v>56.9493595</v>
      </c>
      <c r="M1516" s="1">
        <v>24.2007593769718</v>
      </c>
    </row>
    <row r="1517">
      <c r="A1517" s="1" t="s">
        <v>13</v>
      </c>
      <c r="B1517" s="1" t="s">
        <v>109</v>
      </c>
      <c r="C1517" s="1" t="s">
        <v>1183</v>
      </c>
      <c r="D1517" s="1">
        <v>3.0</v>
      </c>
      <c r="E1517" s="1">
        <v>75.0</v>
      </c>
      <c r="F1517" s="1">
        <v>1.0</v>
      </c>
      <c r="G1517" s="1">
        <v>3.0</v>
      </c>
      <c r="H1517" s="1" t="s">
        <v>36</v>
      </c>
      <c r="I1517" s="1" t="s">
        <v>33</v>
      </c>
      <c r="J1517" s="1" t="s">
        <v>18</v>
      </c>
      <c r="K1517" s="1">
        <v>670.0</v>
      </c>
      <c r="L1517" s="1">
        <v>56.9995945</v>
      </c>
      <c r="M1517" s="1">
        <v>24.15429215</v>
      </c>
    </row>
    <row r="1518">
      <c r="A1518" s="1" t="s">
        <v>22</v>
      </c>
      <c r="B1518" s="1" t="s">
        <v>23</v>
      </c>
      <c r="C1518" s="1" t="s">
        <v>1184</v>
      </c>
      <c r="D1518" s="1">
        <v>4.0</v>
      </c>
      <c r="E1518" s="1">
        <v>92.0</v>
      </c>
      <c r="F1518" s="1">
        <v>4.0</v>
      </c>
      <c r="G1518" s="1">
        <v>7.0</v>
      </c>
      <c r="H1518" s="1" t="s">
        <v>36</v>
      </c>
      <c r="I1518" s="1" t="s">
        <v>37</v>
      </c>
      <c r="J1518" s="1" t="s">
        <v>18</v>
      </c>
      <c r="K1518" s="1">
        <v>162000.0</v>
      </c>
      <c r="L1518" s="1">
        <v>56.968844</v>
      </c>
      <c r="M1518" s="1">
        <v>24.1353209</v>
      </c>
    </row>
    <row r="1519">
      <c r="A1519" s="1" t="s">
        <v>89</v>
      </c>
      <c r="B1519" s="1" t="s">
        <v>134</v>
      </c>
      <c r="C1519" s="1" t="s">
        <v>1185</v>
      </c>
      <c r="D1519" s="1">
        <v>2.0</v>
      </c>
      <c r="E1519" s="2"/>
      <c r="F1519" s="1">
        <v>21.0</v>
      </c>
      <c r="G1519" s="1">
        <v>12.0</v>
      </c>
      <c r="H1519" s="2"/>
      <c r="I1519" s="2"/>
      <c r="J1519" s="2"/>
      <c r="K1519" s="2"/>
      <c r="L1519" s="1">
        <v>57.0357025</v>
      </c>
      <c r="M1519" s="1">
        <v>24.0180628</v>
      </c>
    </row>
    <row r="1520">
      <c r="A1520" s="1" t="s">
        <v>89</v>
      </c>
      <c r="B1520" s="1" t="s">
        <v>174</v>
      </c>
      <c r="C1520" s="2"/>
      <c r="D1520" s="1">
        <v>2.0</v>
      </c>
      <c r="E1520" s="2"/>
      <c r="F1520" s="1">
        <v>77.0</v>
      </c>
      <c r="G1520" s="1">
        <v>7.0</v>
      </c>
      <c r="H1520" s="2"/>
      <c r="I1520" s="2"/>
      <c r="J1520" s="1" t="s">
        <v>18</v>
      </c>
      <c r="K1520" s="2"/>
      <c r="L1520" s="1">
        <v>46.3144754</v>
      </c>
      <c r="M1520" s="1">
        <v>11.0480288</v>
      </c>
    </row>
    <row r="1521">
      <c r="A1521" s="1" t="s">
        <v>22</v>
      </c>
      <c r="B1521" s="1" t="s">
        <v>38</v>
      </c>
      <c r="C1521" s="1" t="s">
        <v>165</v>
      </c>
      <c r="D1521" s="1">
        <v>2.0</v>
      </c>
      <c r="E1521" s="1">
        <v>94.0</v>
      </c>
      <c r="F1521" s="1">
        <v>13.0</v>
      </c>
      <c r="G1521" s="1">
        <v>24.0</v>
      </c>
      <c r="H1521" s="1" t="s">
        <v>36</v>
      </c>
      <c r="I1521" s="1" t="s">
        <v>33</v>
      </c>
      <c r="J1521" s="1" t="s">
        <v>18</v>
      </c>
      <c r="K1521" s="1">
        <v>147000.0</v>
      </c>
      <c r="L1521" s="1">
        <v>56.9590306</v>
      </c>
      <c r="M1521" s="1">
        <v>24.013887042853</v>
      </c>
    </row>
    <row r="1522">
      <c r="A1522" s="1" t="s">
        <v>13</v>
      </c>
      <c r="B1522" s="1" t="s">
        <v>38</v>
      </c>
      <c r="C1522" s="1" t="s">
        <v>1186</v>
      </c>
      <c r="D1522" s="1">
        <v>2.0</v>
      </c>
      <c r="E1522" s="1">
        <v>45.0</v>
      </c>
      <c r="F1522" s="1">
        <v>1.0</v>
      </c>
      <c r="G1522" s="1">
        <v>1.0</v>
      </c>
      <c r="H1522" s="1" t="s">
        <v>171</v>
      </c>
      <c r="I1522" s="1" t="s">
        <v>26</v>
      </c>
      <c r="J1522" s="1" t="s">
        <v>18</v>
      </c>
      <c r="K1522" s="1">
        <v>32.0</v>
      </c>
      <c r="L1522" s="1">
        <v>56.9675737</v>
      </c>
      <c r="M1522" s="1">
        <v>24.0276706</v>
      </c>
    </row>
    <row r="1523">
      <c r="A1523" s="1" t="s">
        <v>13</v>
      </c>
      <c r="B1523" s="1" t="s">
        <v>23</v>
      </c>
      <c r="C1523" s="1" t="s">
        <v>1187</v>
      </c>
      <c r="D1523" s="1">
        <v>3.0</v>
      </c>
      <c r="E1523" s="1">
        <v>120.0</v>
      </c>
      <c r="F1523" s="1">
        <v>2.0</v>
      </c>
      <c r="G1523" s="1">
        <v>5.0</v>
      </c>
      <c r="H1523" s="1" t="s">
        <v>25</v>
      </c>
      <c r="I1523" s="1" t="s">
        <v>37</v>
      </c>
      <c r="J1523" s="1" t="s">
        <v>18</v>
      </c>
      <c r="K1523" s="1">
        <v>15.0</v>
      </c>
      <c r="L1523" s="1">
        <v>56.9557185</v>
      </c>
      <c r="M1523" s="1">
        <v>24.1356095</v>
      </c>
    </row>
    <row r="1524">
      <c r="A1524" s="1" t="s">
        <v>13</v>
      </c>
      <c r="B1524" s="1" t="s">
        <v>23</v>
      </c>
      <c r="C1524" s="1" t="s">
        <v>1188</v>
      </c>
      <c r="D1524" s="1">
        <v>2.0</v>
      </c>
      <c r="E1524" s="1">
        <v>42.0</v>
      </c>
      <c r="F1524" s="1">
        <v>1.0</v>
      </c>
      <c r="G1524" s="1">
        <v>5.0</v>
      </c>
      <c r="H1524" s="1" t="s">
        <v>25</v>
      </c>
      <c r="I1524" s="1" t="s">
        <v>33</v>
      </c>
      <c r="J1524" s="1" t="s">
        <v>18</v>
      </c>
      <c r="K1524" s="1">
        <v>300.0</v>
      </c>
      <c r="L1524" s="1">
        <v>56.9525397</v>
      </c>
      <c r="M1524" s="1">
        <v>24.1420789</v>
      </c>
    </row>
    <row r="1525">
      <c r="A1525" s="1" t="s">
        <v>22</v>
      </c>
      <c r="B1525" s="1" t="s">
        <v>48</v>
      </c>
      <c r="C1525" s="1" t="s">
        <v>1189</v>
      </c>
      <c r="D1525" s="1">
        <v>3.0</v>
      </c>
      <c r="E1525" s="1">
        <v>83.3</v>
      </c>
      <c r="F1525" s="1">
        <v>3.0</v>
      </c>
      <c r="G1525" s="1">
        <v>4.0</v>
      </c>
      <c r="H1525" s="1" t="s">
        <v>32</v>
      </c>
      <c r="I1525" s="1" t="s">
        <v>21</v>
      </c>
      <c r="J1525" s="1" t="s">
        <v>18</v>
      </c>
      <c r="K1525" s="1">
        <v>135000.0</v>
      </c>
      <c r="L1525" s="1">
        <v>56.95868265</v>
      </c>
      <c r="M1525" s="1">
        <v>24.2414353929283</v>
      </c>
    </row>
    <row r="1526">
      <c r="A1526" s="1" t="s">
        <v>22</v>
      </c>
      <c r="B1526" s="1" t="s">
        <v>14</v>
      </c>
      <c r="C1526" s="1" t="s">
        <v>1190</v>
      </c>
      <c r="D1526" s="1">
        <v>4.0</v>
      </c>
      <c r="E1526" s="1">
        <v>74.0</v>
      </c>
      <c r="F1526" s="1">
        <v>4.0</v>
      </c>
      <c r="G1526" s="1">
        <v>9.0</v>
      </c>
      <c r="H1526" s="1">
        <v>602.0</v>
      </c>
      <c r="I1526" s="1" t="s">
        <v>21</v>
      </c>
      <c r="J1526" s="1" t="s">
        <v>27</v>
      </c>
      <c r="K1526" s="1">
        <v>80000.0</v>
      </c>
      <c r="L1526" s="1">
        <v>56.96230215</v>
      </c>
      <c r="M1526" s="1">
        <v>24.186965214982</v>
      </c>
    </row>
    <row r="1527">
      <c r="A1527" s="1" t="s">
        <v>22</v>
      </c>
      <c r="B1527" s="1" t="s">
        <v>38</v>
      </c>
      <c r="C1527" s="1" t="s">
        <v>1191</v>
      </c>
      <c r="D1527" s="1">
        <v>2.0</v>
      </c>
      <c r="E1527" s="1">
        <v>50.0</v>
      </c>
      <c r="F1527" s="1">
        <v>8.0</v>
      </c>
      <c r="G1527" s="1">
        <v>9.0</v>
      </c>
      <c r="H1527" s="1">
        <v>602.0</v>
      </c>
      <c r="I1527" s="1" t="s">
        <v>21</v>
      </c>
      <c r="J1527" s="1" t="s">
        <v>18</v>
      </c>
      <c r="K1527" s="1">
        <v>57500.0</v>
      </c>
      <c r="L1527" s="1">
        <v>56.9608459</v>
      </c>
      <c r="M1527" s="1">
        <v>24.0120992912805</v>
      </c>
    </row>
    <row r="1528">
      <c r="A1528" s="1" t="s">
        <v>13</v>
      </c>
      <c r="B1528" s="1" t="s">
        <v>42</v>
      </c>
      <c r="C1528" s="1" t="s">
        <v>1192</v>
      </c>
      <c r="D1528" s="1">
        <v>1.0</v>
      </c>
      <c r="E1528" s="1">
        <v>36.0</v>
      </c>
      <c r="F1528" s="1">
        <v>8.0</v>
      </c>
      <c r="G1528" s="1">
        <v>12.0</v>
      </c>
      <c r="H1528" s="1" t="s">
        <v>57</v>
      </c>
      <c r="I1528" s="1" t="s">
        <v>17</v>
      </c>
      <c r="J1528" s="1" t="s">
        <v>18</v>
      </c>
      <c r="K1528" s="1">
        <v>230.0</v>
      </c>
      <c r="L1528" s="1">
        <v>56.9762896</v>
      </c>
      <c r="M1528" s="1">
        <v>24.2427554293107</v>
      </c>
    </row>
    <row r="1529">
      <c r="A1529" s="1" t="s">
        <v>13</v>
      </c>
      <c r="B1529" s="1" t="s">
        <v>23</v>
      </c>
      <c r="C1529" s="1" t="s">
        <v>1193</v>
      </c>
      <c r="D1529" s="1">
        <v>1.0</v>
      </c>
      <c r="E1529" s="1">
        <v>8.0</v>
      </c>
      <c r="F1529" s="1">
        <v>4.0</v>
      </c>
      <c r="G1529" s="1">
        <v>4.0</v>
      </c>
      <c r="H1529" s="1" t="s">
        <v>25</v>
      </c>
      <c r="I1529" s="1" t="s">
        <v>17</v>
      </c>
      <c r="J1529" s="1" t="s">
        <v>18</v>
      </c>
      <c r="K1529" s="1">
        <v>100.0</v>
      </c>
      <c r="L1529" s="1">
        <v>56.9430243</v>
      </c>
      <c r="M1529" s="1">
        <v>24.1257985</v>
      </c>
    </row>
    <row r="1530">
      <c r="A1530" s="1" t="s">
        <v>22</v>
      </c>
      <c r="B1530" s="1" t="s">
        <v>104</v>
      </c>
      <c r="C1530" s="1" t="s">
        <v>1194</v>
      </c>
      <c r="D1530" s="1">
        <v>2.0</v>
      </c>
      <c r="E1530" s="1">
        <v>43.0</v>
      </c>
      <c r="F1530" s="1">
        <v>5.0</v>
      </c>
      <c r="G1530" s="1">
        <v>5.0</v>
      </c>
      <c r="H1530" s="1" t="s">
        <v>44</v>
      </c>
      <c r="I1530" s="1" t="s">
        <v>21</v>
      </c>
      <c r="J1530" s="1" t="s">
        <v>18</v>
      </c>
      <c r="K1530" s="1">
        <v>49000.0</v>
      </c>
      <c r="L1530" s="1">
        <v>56.9456091499999</v>
      </c>
      <c r="M1530" s="1">
        <v>24.0680144013854</v>
      </c>
    </row>
    <row r="1531">
      <c r="A1531" s="1" t="s">
        <v>22</v>
      </c>
      <c r="B1531" s="1" t="s">
        <v>172</v>
      </c>
      <c r="C1531" s="1" t="s">
        <v>1195</v>
      </c>
      <c r="D1531" s="1">
        <v>3.0</v>
      </c>
      <c r="E1531" s="1">
        <v>50.0</v>
      </c>
      <c r="F1531" s="1">
        <v>1.0</v>
      </c>
      <c r="G1531" s="1">
        <v>2.0</v>
      </c>
      <c r="H1531" s="1" t="s">
        <v>36</v>
      </c>
      <c r="I1531" s="1" t="s">
        <v>26</v>
      </c>
      <c r="J1531" s="1" t="s">
        <v>27</v>
      </c>
      <c r="K1531" s="1">
        <v>15000.0</v>
      </c>
      <c r="L1531" s="1">
        <v>56.9077347</v>
      </c>
      <c r="M1531" s="1">
        <v>24.2226369</v>
      </c>
    </row>
    <row r="1532">
      <c r="A1532" s="1" t="s">
        <v>22</v>
      </c>
      <c r="B1532" s="1" t="s">
        <v>23</v>
      </c>
      <c r="C1532" s="1" t="s">
        <v>478</v>
      </c>
      <c r="D1532" s="1">
        <v>3.0</v>
      </c>
      <c r="E1532" s="1">
        <v>79.0</v>
      </c>
      <c r="F1532" s="1">
        <v>3.0</v>
      </c>
      <c r="G1532" s="1">
        <v>7.0</v>
      </c>
      <c r="H1532" s="1" t="s">
        <v>32</v>
      </c>
      <c r="I1532" s="1" t="s">
        <v>17</v>
      </c>
      <c r="J1532" s="1" t="s">
        <v>18</v>
      </c>
      <c r="K1532" s="1">
        <v>197000.0</v>
      </c>
      <c r="L1532" s="1">
        <v>56.9493295</v>
      </c>
      <c r="M1532" s="1">
        <v>24.1264892056074</v>
      </c>
    </row>
    <row r="1533">
      <c r="A1533" s="1" t="s">
        <v>22</v>
      </c>
      <c r="B1533" s="1" t="s">
        <v>42</v>
      </c>
      <c r="C1533" s="1" t="s">
        <v>1196</v>
      </c>
      <c r="D1533" s="1">
        <v>2.0</v>
      </c>
      <c r="E1533" s="1">
        <v>45.0</v>
      </c>
      <c r="F1533" s="1">
        <v>1.0</v>
      </c>
      <c r="G1533" s="1">
        <v>5.0</v>
      </c>
      <c r="H1533" s="1" t="s">
        <v>44</v>
      </c>
      <c r="I1533" s="1" t="s">
        <v>21</v>
      </c>
      <c r="J1533" s="1" t="s">
        <v>18</v>
      </c>
      <c r="K1533" s="1">
        <v>42000.0</v>
      </c>
      <c r="L1533" s="1">
        <v>56.9776497</v>
      </c>
      <c r="M1533" s="1">
        <v>24.2485277405401</v>
      </c>
    </row>
    <row r="1534">
      <c r="A1534" s="1" t="s">
        <v>22</v>
      </c>
      <c r="B1534" s="1" t="s">
        <v>23</v>
      </c>
      <c r="C1534" s="1" t="s">
        <v>810</v>
      </c>
      <c r="D1534" s="1">
        <v>3.0</v>
      </c>
      <c r="E1534" s="1">
        <v>110.5</v>
      </c>
      <c r="F1534" s="1">
        <v>5.0</v>
      </c>
      <c r="G1534" s="1">
        <v>6.0</v>
      </c>
      <c r="H1534" s="1" t="s">
        <v>32</v>
      </c>
      <c r="I1534" s="1" t="s">
        <v>17</v>
      </c>
      <c r="J1534" s="1" t="s">
        <v>18</v>
      </c>
      <c r="K1534" s="1">
        <v>180000.0</v>
      </c>
      <c r="L1534" s="1">
        <v>56.9684979</v>
      </c>
      <c r="M1534" s="1">
        <v>24.1467035</v>
      </c>
    </row>
    <row r="1535">
      <c r="A1535" s="1" t="s">
        <v>22</v>
      </c>
      <c r="B1535" s="1" t="s">
        <v>23</v>
      </c>
      <c r="C1535" s="1" t="s">
        <v>671</v>
      </c>
      <c r="D1535" s="1">
        <v>3.0</v>
      </c>
      <c r="E1535" s="1">
        <v>73.0</v>
      </c>
      <c r="F1535" s="1">
        <v>3.0</v>
      </c>
      <c r="G1535" s="1">
        <v>5.0</v>
      </c>
      <c r="H1535" s="1" t="s">
        <v>66</v>
      </c>
      <c r="I1535" s="1" t="s">
        <v>33</v>
      </c>
      <c r="J1535" s="1" t="s">
        <v>18</v>
      </c>
      <c r="K1535" s="1">
        <v>155000.0</v>
      </c>
      <c r="L1535" s="1">
        <v>56.9667357999999</v>
      </c>
      <c r="M1535" s="1">
        <v>24.1456351053152</v>
      </c>
    </row>
    <row r="1536">
      <c r="A1536" s="1" t="s">
        <v>22</v>
      </c>
      <c r="B1536" s="1" t="s">
        <v>30</v>
      </c>
      <c r="C1536" s="1" t="s">
        <v>1197</v>
      </c>
      <c r="D1536" s="1">
        <v>4.0</v>
      </c>
      <c r="E1536" s="1">
        <v>93.0</v>
      </c>
      <c r="F1536" s="1">
        <v>3.0</v>
      </c>
      <c r="G1536" s="1">
        <v>10.0</v>
      </c>
      <c r="H1536" s="1" t="s">
        <v>32</v>
      </c>
      <c r="I1536" s="1" t="s">
        <v>33</v>
      </c>
      <c r="J1536" s="1" t="s">
        <v>18</v>
      </c>
      <c r="K1536" s="1">
        <v>144000.0</v>
      </c>
      <c r="L1536" s="1">
        <v>56.97584815</v>
      </c>
      <c r="M1536" s="1">
        <v>24.1689365790638</v>
      </c>
    </row>
    <row r="1537">
      <c r="A1537" s="1" t="s">
        <v>89</v>
      </c>
      <c r="B1537" s="1" t="s">
        <v>23</v>
      </c>
      <c r="C1537" s="2"/>
      <c r="D1537" s="2"/>
      <c r="E1537" s="2"/>
      <c r="F1537" s="1">
        <v>77.0</v>
      </c>
      <c r="G1537" s="1">
        <v>7.0</v>
      </c>
      <c r="H1537" s="2"/>
      <c r="I1537" s="2"/>
      <c r="J1537" s="2"/>
      <c r="K1537" s="2"/>
      <c r="L1537" s="1">
        <v>46.3144754</v>
      </c>
      <c r="M1537" s="1">
        <v>11.0480288</v>
      </c>
    </row>
    <row r="1538">
      <c r="A1538" s="1" t="s">
        <v>13</v>
      </c>
      <c r="B1538" s="1" t="s">
        <v>23</v>
      </c>
      <c r="C1538" s="1" t="s">
        <v>1198</v>
      </c>
      <c r="D1538" s="1">
        <v>4.0</v>
      </c>
      <c r="E1538" s="1">
        <v>152.0</v>
      </c>
      <c r="F1538" s="1">
        <v>2.0</v>
      </c>
      <c r="G1538" s="1">
        <v>6.0</v>
      </c>
      <c r="H1538" s="1" t="s">
        <v>66</v>
      </c>
      <c r="I1538" s="1" t="s">
        <v>33</v>
      </c>
      <c r="J1538" s="1" t="s">
        <v>18</v>
      </c>
      <c r="K1538" s="1">
        <v>1000.0</v>
      </c>
      <c r="L1538" s="1">
        <v>56.9607232</v>
      </c>
      <c r="M1538" s="1">
        <v>24.0998068104308</v>
      </c>
    </row>
    <row r="1539">
      <c r="A1539" s="1" t="s">
        <v>22</v>
      </c>
      <c r="B1539" s="1" t="s">
        <v>129</v>
      </c>
      <c r="C1539" s="1" t="s">
        <v>1199</v>
      </c>
      <c r="D1539" s="1">
        <v>2.0</v>
      </c>
      <c r="E1539" s="1">
        <v>43.0</v>
      </c>
      <c r="F1539" s="1">
        <v>2.0</v>
      </c>
      <c r="G1539" s="1">
        <v>5.0</v>
      </c>
      <c r="H1539" s="1" t="s">
        <v>44</v>
      </c>
      <c r="I1539" s="1" t="s">
        <v>17</v>
      </c>
      <c r="J1539" s="1" t="s">
        <v>18</v>
      </c>
      <c r="K1539" s="1">
        <v>42900.0</v>
      </c>
      <c r="L1539" s="1">
        <v>56.9987253</v>
      </c>
      <c r="M1539" s="1">
        <v>24.1235645</v>
      </c>
    </row>
    <row r="1540">
      <c r="A1540" s="1" t="s">
        <v>89</v>
      </c>
      <c r="B1540" s="1" t="s">
        <v>19</v>
      </c>
      <c r="C1540" s="2"/>
      <c r="D1540" s="2"/>
      <c r="E1540" s="1">
        <v>11.0</v>
      </c>
      <c r="F1540" s="1">
        <v>11.0</v>
      </c>
      <c r="G1540" s="2"/>
      <c r="H1540" s="2"/>
      <c r="I1540" s="2"/>
      <c r="J1540" s="2"/>
      <c r="K1540" s="2"/>
      <c r="L1540" s="1">
        <v>46.3144754</v>
      </c>
      <c r="M1540" s="1">
        <v>11.0480288</v>
      </c>
    </row>
    <row r="1541">
      <c r="A1541" s="1" t="s">
        <v>22</v>
      </c>
      <c r="B1541" s="1" t="s">
        <v>23</v>
      </c>
      <c r="C1541" s="1" t="s">
        <v>1200</v>
      </c>
      <c r="D1541" s="1">
        <v>2.0</v>
      </c>
      <c r="E1541" s="1">
        <v>62.0</v>
      </c>
      <c r="F1541" s="1">
        <v>4.0</v>
      </c>
      <c r="G1541" s="1">
        <v>6.0</v>
      </c>
      <c r="H1541" s="1" t="s">
        <v>66</v>
      </c>
      <c r="I1541" s="1" t="s">
        <v>37</v>
      </c>
      <c r="J1541" s="1" t="s">
        <v>18</v>
      </c>
      <c r="K1541" s="1">
        <v>113500.0</v>
      </c>
      <c r="L1541" s="1">
        <v>56.9619771</v>
      </c>
      <c r="M1541" s="1">
        <v>24.1348346</v>
      </c>
    </row>
    <row r="1542">
      <c r="A1542" s="1" t="s">
        <v>22</v>
      </c>
      <c r="B1542" s="1" t="s">
        <v>38</v>
      </c>
      <c r="C1542" s="1" t="s">
        <v>1201</v>
      </c>
      <c r="D1542" s="1">
        <v>3.0</v>
      </c>
      <c r="E1542" s="1">
        <v>55.0</v>
      </c>
      <c r="F1542" s="1">
        <v>5.0</v>
      </c>
      <c r="G1542" s="1">
        <v>5.0</v>
      </c>
      <c r="H1542" s="1" t="s">
        <v>16</v>
      </c>
      <c r="I1542" s="1" t="s">
        <v>21</v>
      </c>
      <c r="J1542" s="1" t="s">
        <v>18</v>
      </c>
      <c r="K1542" s="1">
        <v>72000.0</v>
      </c>
      <c r="L1542" s="1" t="s">
        <v>40</v>
      </c>
      <c r="M1542" s="1" t="s">
        <v>40</v>
      </c>
    </row>
    <row r="1543">
      <c r="A1543" s="1" t="s">
        <v>22</v>
      </c>
      <c r="B1543" s="1" t="s">
        <v>23</v>
      </c>
      <c r="C1543" s="1" t="s">
        <v>1051</v>
      </c>
      <c r="D1543" s="1">
        <v>2.0</v>
      </c>
      <c r="E1543" s="1">
        <v>50.0</v>
      </c>
      <c r="F1543" s="1">
        <v>2.0</v>
      </c>
      <c r="G1543" s="1">
        <v>6.0</v>
      </c>
      <c r="H1543" s="1" t="s">
        <v>66</v>
      </c>
      <c r="I1543" s="1" t="s">
        <v>37</v>
      </c>
      <c r="J1543" s="1" t="s">
        <v>18</v>
      </c>
      <c r="K1543" s="1">
        <v>145000.0</v>
      </c>
      <c r="L1543" s="1">
        <v>56.9613741</v>
      </c>
      <c r="M1543" s="1">
        <v>24.1021747</v>
      </c>
    </row>
    <row r="1544">
      <c r="A1544" s="1" t="s">
        <v>13</v>
      </c>
      <c r="B1544" s="1" t="s">
        <v>28</v>
      </c>
      <c r="C1544" s="1" t="s">
        <v>1202</v>
      </c>
      <c r="D1544" s="1">
        <v>1.0</v>
      </c>
      <c r="E1544" s="1">
        <v>35.0</v>
      </c>
      <c r="F1544" s="1">
        <v>1.0</v>
      </c>
      <c r="G1544" s="1">
        <v>9.0</v>
      </c>
      <c r="H1544" s="1" t="s">
        <v>221</v>
      </c>
      <c r="I1544" s="1" t="s">
        <v>37</v>
      </c>
      <c r="J1544" s="1" t="s">
        <v>18</v>
      </c>
      <c r="K1544" s="1">
        <v>250.0</v>
      </c>
      <c r="L1544" s="1">
        <v>56.9042432</v>
      </c>
      <c r="M1544" s="1">
        <v>24.2102561</v>
      </c>
    </row>
    <row r="1545">
      <c r="A1545" s="1" t="s">
        <v>22</v>
      </c>
      <c r="B1545" s="1" t="s">
        <v>129</v>
      </c>
      <c r="C1545" s="1" t="s">
        <v>1203</v>
      </c>
      <c r="D1545" s="1">
        <v>3.0</v>
      </c>
      <c r="E1545" s="1">
        <v>61.0</v>
      </c>
      <c r="F1545" s="1">
        <v>1.0</v>
      </c>
      <c r="G1545" s="1">
        <v>3.0</v>
      </c>
      <c r="H1545" s="1" t="s">
        <v>36</v>
      </c>
      <c r="I1545" s="1" t="s">
        <v>37</v>
      </c>
      <c r="J1545" s="1" t="s">
        <v>18</v>
      </c>
      <c r="K1545" s="1">
        <v>59000.0</v>
      </c>
      <c r="L1545" s="1">
        <v>57.00751995</v>
      </c>
      <c r="M1545" s="1">
        <v>24.12498495</v>
      </c>
    </row>
    <row r="1546">
      <c r="A1546" s="1" t="s">
        <v>13</v>
      </c>
      <c r="B1546" s="1" t="s">
        <v>23</v>
      </c>
      <c r="C1546" s="1" t="s">
        <v>1204</v>
      </c>
      <c r="D1546" s="1">
        <v>2.0</v>
      </c>
      <c r="E1546" s="1">
        <v>50.0</v>
      </c>
      <c r="F1546" s="1">
        <v>3.0</v>
      </c>
      <c r="G1546" s="1">
        <v>6.0</v>
      </c>
      <c r="H1546" s="1" t="s">
        <v>66</v>
      </c>
      <c r="I1546" s="1" t="s">
        <v>37</v>
      </c>
      <c r="J1546" s="1" t="s">
        <v>18</v>
      </c>
      <c r="K1546" s="1">
        <v>27.0</v>
      </c>
      <c r="L1546" s="1">
        <v>56.9553484</v>
      </c>
      <c r="M1546" s="1">
        <v>24.1366774</v>
      </c>
    </row>
    <row r="1547">
      <c r="A1547" s="1" t="s">
        <v>22</v>
      </c>
      <c r="B1547" s="1" t="s">
        <v>52</v>
      </c>
      <c r="C1547" s="1" t="s">
        <v>420</v>
      </c>
      <c r="D1547" s="1">
        <v>3.0</v>
      </c>
      <c r="E1547" s="1">
        <v>78.0</v>
      </c>
      <c r="F1547" s="1">
        <v>6.0</v>
      </c>
      <c r="G1547" s="1">
        <v>9.0</v>
      </c>
      <c r="H1547" s="1">
        <v>119.0</v>
      </c>
      <c r="I1547" s="1" t="s">
        <v>21</v>
      </c>
      <c r="J1547" s="1" t="s">
        <v>18</v>
      </c>
      <c r="K1547" s="1">
        <v>85900.0</v>
      </c>
      <c r="L1547" s="1">
        <v>56.9454805</v>
      </c>
      <c r="M1547" s="1">
        <v>24.0097101</v>
      </c>
    </row>
    <row r="1548">
      <c r="A1548" s="1" t="s">
        <v>22</v>
      </c>
      <c r="B1548" s="1" t="s">
        <v>14</v>
      </c>
      <c r="C1548" s="1" t="s">
        <v>1205</v>
      </c>
      <c r="D1548" s="1">
        <v>2.0</v>
      </c>
      <c r="E1548" s="1">
        <v>69.2</v>
      </c>
      <c r="F1548" s="1">
        <v>2.0</v>
      </c>
      <c r="G1548" s="1">
        <v>3.0</v>
      </c>
      <c r="H1548" s="1" t="s">
        <v>25</v>
      </c>
      <c r="I1548" s="1" t="s">
        <v>33</v>
      </c>
      <c r="J1548" s="1" t="s">
        <v>27</v>
      </c>
      <c r="K1548" s="1">
        <v>38406.0</v>
      </c>
      <c r="L1548" s="1">
        <v>56.9518738999999</v>
      </c>
      <c r="M1548" s="1">
        <v>24.1686216955627</v>
      </c>
    </row>
    <row r="1549">
      <c r="A1549" s="1" t="s">
        <v>13</v>
      </c>
      <c r="B1549" s="1" t="s">
        <v>74</v>
      </c>
      <c r="C1549" s="1" t="s">
        <v>1206</v>
      </c>
      <c r="D1549" s="1">
        <v>1.0</v>
      </c>
      <c r="E1549" s="1">
        <v>42.0</v>
      </c>
      <c r="F1549" s="1">
        <v>5.0</v>
      </c>
      <c r="G1549" s="1">
        <v>9.0</v>
      </c>
      <c r="H1549" s="1" t="s">
        <v>57</v>
      </c>
      <c r="I1549" s="1" t="s">
        <v>21</v>
      </c>
      <c r="J1549" s="1" t="s">
        <v>18</v>
      </c>
      <c r="K1549" s="1">
        <v>250.0</v>
      </c>
      <c r="L1549" s="1">
        <v>56.93927555</v>
      </c>
      <c r="M1549" s="1">
        <v>24.213061240289</v>
      </c>
    </row>
    <row r="1550">
      <c r="A1550" s="1" t="s">
        <v>13</v>
      </c>
      <c r="B1550" s="1" t="s">
        <v>23</v>
      </c>
      <c r="C1550" s="1" t="s">
        <v>1207</v>
      </c>
      <c r="D1550" s="1">
        <v>2.0</v>
      </c>
      <c r="E1550" s="1">
        <v>67.0</v>
      </c>
      <c r="F1550" s="1">
        <v>4.0</v>
      </c>
      <c r="G1550" s="1">
        <v>5.0</v>
      </c>
      <c r="H1550" s="1" t="s">
        <v>25</v>
      </c>
      <c r="I1550" s="1" t="s">
        <v>37</v>
      </c>
      <c r="J1550" s="1" t="s">
        <v>18</v>
      </c>
      <c r="K1550" s="1">
        <v>44.0</v>
      </c>
      <c r="L1550" s="1">
        <v>56.9484815</v>
      </c>
      <c r="M1550" s="1">
        <v>24.1061513</v>
      </c>
    </row>
    <row r="1551">
      <c r="A1551" s="1" t="s">
        <v>13</v>
      </c>
      <c r="B1551" s="1" t="s">
        <v>218</v>
      </c>
      <c r="C1551" s="1" t="s">
        <v>1208</v>
      </c>
      <c r="D1551" s="1">
        <v>2.0</v>
      </c>
      <c r="E1551" s="1">
        <v>80.0</v>
      </c>
      <c r="F1551" s="1">
        <v>4.0</v>
      </c>
      <c r="G1551" s="1">
        <v>5.0</v>
      </c>
      <c r="H1551" s="1" t="s">
        <v>66</v>
      </c>
      <c r="I1551" s="1" t="s">
        <v>33</v>
      </c>
      <c r="J1551" s="1" t="s">
        <v>18</v>
      </c>
      <c r="K1551" s="1">
        <v>44.0</v>
      </c>
      <c r="L1551" s="1">
        <v>56.9467886</v>
      </c>
      <c r="M1551" s="1">
        <v>24.1080762</v>
      </c>
    </row>
    <row r="1552">
      <c r="A1552" s="1" t="s">
        <v>22</v>
      </c>
      <c r="B1552" s="1" t="s">
        <v>23</v>
      </c>
      <c r="C1552" s="1" t="s">
        <v>1209</v>
      </c>
      <c r="D1552" s="1">
        <v>2.0</v>
      </c>
      <c r="E1552" s="1">
        <v>54.0</v>
      </c>
      <c r="F1552" s="1">
        <v>1.0</v>
      </c>
      <c r="G1552" s="1">
        <v>6.0</v>
      </c>
      <c r="H1552" s="1" t="s">
        <v>32</v>
      </c>
      <c r="I1552" s="1" t="s">
        <v>122</v>
      </c>
      <c r="J1552" s="1" t="s">
        <v>18</v>
      </c>
      <c r="K1552" s="1">
        <v>89000.0</v>
      </c>
      <c r="L1552" s="1">
        <v>56.9703444</v>
      </c>
      <c r="M1552" s="1">
        <v>24.1001017</v>
      </c>
    </row>
    <row r="1553">
      <c r="A1553" s="1" t="s">
        <v>131</v>
      </c>
      <c r="B1553" s="1" t="s">
        <v>38</v>
      </c>
      <c r="C1553" s="2"/>
      <c r="D1553" s="1">
        <v>1.0</v>
      </c>
      <c r="E1553" s="2"/>
      <c r="F1553" s="2"/>
      <c r="G1553" s="2"/>
      <c r="H1553" s="2"/>
      <c r="I1553" s="2"/>
      <c r="J1553" s="2"/>
      <c r="K1553" s="2"/>
      <c r="L1553" s="1">
        <v>46.3144754</v>
      </c>
      <c r="M1553" s="1">
        <v>11.0480288</v>
      </c>
    </row>
    <row r="1554">
      <c r="A1554" s="1" t="s">
        <v>22</v>
      </c>
      <c r="B1554" s="1" t="s">
        <v>23</v>
      </c>
      <c r="C1554" s="1" t="s">
        <v>114</v>
      </c>
      <c r="D1554" s="1">
        <v>2.0</v>
      </c>
      <c r="E1554" s="1">
        <v>60.0</v>
      </c>
      <c r="F1554" s="1">
        <v>1.0</v>
      </c>
      <c r="G1554" s="1">
        <v>5.0</v>
      </c>
      <c r="H1554" s="1" t="s">
        <v>181</v>
      </c>
      <c r="I1554" s="1" t="s">
        <v>33</v>
      </c>
      <c r="J1554" s="1" t="s">
        <v>18</v>
      </c>
      <c r="K1554" s="1">
        <v>95000.0</v>
      </c>
      <c r="L1554" s="1">
        <v>56.9647239</v>
      </c>
      <c r="M1554" s="1">
        <v>24.1477109</v>
      </c>
    </row>
    <row r="1555">
      <c r="A1555" s="1" t="s">
        <v>13</v>
      </c>
      <c r="B1555" s="1" t="s">
        <v>14</v>
      </c>
      <c r="C1555" s="1" t="s">
        <v>1210</v>
      </c>
      <c r="D1555" s="1">
        <v>1.0</v>
      </c>
      <c r="E1555" s="1">
        <v>37.0</v>
      </c>
      <c r="F1555" s="1">
        <v>2.0</v>
      </c>
      <c r="G1555" s="1">
        <v>5.0</v>
      </c>
      <c r="H1555" s="1" t="s">
        <v>16</v>
      </c>
      <c r="I1555" s="1" t="s">
        <v>21</v>
      </c>
      <c r="J1555" s="1" t="s">
        <v>18</v>
      </c>
      <c r="K1555" s="1">
        <v>300.0</v>
      </c>
      <c r="L1555" s="1">
        <v>56.95698215</v>
      </c>
      <c r="M1555" s="1">
        <v>24.1805314081534</v>
      </c>
    </row>
    <row r="1556">
      <c r="A1556" s="1" t="s">
        <v>22</v>
      </c>
      <c r="B1556" s="1" t="s">
        <v>151</v>
      </c>
      <c r="C1556" s="1" t="s">
        <v>1211</v>
      </c>
      <c r="D1556" s="1">
        <v>2.0</v>
      </c>
      <c r="E1556" s="1">
        <v>50.0</v>
      </c>
      <c r="F1556" s="1">
        <v>5.0</v>
      </c>
      <c r="G1556" s="1">
        <v>5.0</v>
      </c>
      <c r="H1556" s="1" t="s">
        <v>16</v>
      </c>
      <c r="I1556" s="1" t="s">
        <v>21</v>
      </c>
      <c r="J1556" s="1" t="s">
        <v>18</v>
      </c>
      <c r="K1556" s="1">
        <v>47500.0</v>
      </c>
      <c r="L1556" s="1">
        <v>56.9695545</v>
      </c>
      <c r="M1556" s="1">
        <v>24.0669906439418</v>
      </c>
    </row>
    <row r="1557">
      <c r="A1557" s="1" t="s">
        <v>13</v>
      </c>
      <c r="B1557" s="1" t="s">
        <v>28</v>
      </c>
      <c r="C1557" s="1" t="s">
        <v>1212</v>
      </c>
      <c r="D1557" s="1">
        <v>3.0</v>
      </c>
      <c r="E1557" s="1">
        <v>56.0</v>
      </c>
      <c r="F1557" s="1">
        <v>4.0</v>
      </c>
      <c r="G1557" s="1">
        <v>4.0</v>
      </c>
      <c r="H1557" s="1" t="s">
        <v>44</v>
      </c>
      <c r="I1557" s="1" t="s">
        <v>37</v>
      </c>
      <c r="J1557" s="1" t="s">
        <v>18</v>
      </c>
      <c r="K1557" s="1">
        <v>200.0</v>
      </c>
      <c r="L1557" s="1">
        <v>56.90102465</v>
      </c>
      <c r="M1557" s="1">
        <v>24.2045791783522</v>
      </c>
    </row>
    <row r="1558">
      <c r="A1558" s="1" t="s">
        <v>22</v>
      </c>
      <c r="B1558" s="1" t="s">
        <v>104</v>
      </c>
      <c r="C1558" s="1" t="s">
        <v>1213</v>
      </c>
      <c r="D1558" s="1">
        <v>1.0</v>
      </c>
      <c r="E1558" s="1">
        <v>27.0</v>
      </c>
      <c r="F1558" s="1">
        <v>2.0</v>
      </c>
      <c r="G1558" s="1">
        <v>2.0</v>
      </c>
      <c r="H1558" s="1" t="s">
        <v>25</v>
      </c>
      <c r="I1558" s="1" t="s">
        <v>26</v>
      </c>
      <c r="J1558" s="1" t="s">
        <v>27</v>
      </c>
      <c r="K1558" s="1">
        <v>10400.0</v>
      </c>
      <c r="L1558" s="1">
        <v>56.9492021</v>
      </c>
      <c r="M1558" s="1">
        <v>23.9587415</v>
      </c>
    </row>
    <row r="1559">
      <c r="A1559" s="1" t="s">
        <v>22</v>
      </c>
      <c r="B1559" s="1" t="s">
        <v>19</v>
      </c>
      <c r="C1559" s="1" t="s">
        <v>1113</v>
      </c>
      <c r="D1559" s="1">
        <v>2.0</v>
      </c>
      <c r="E1559" s="1">
        <v>49.0</v>
      </c>
      <c r="F1559" s="1">
        <v>3.0</v>
      </c>
      <c r="G1559" s="1">
        <v>4.0</v>
      </c>
      <c r="H1559" s="1" t="s">
        <v>32</v>
      </c>
      <c r="I1559" s="1" t="s">
        <v>33</v>
      </c>
      <c r="J1559" s="1" t="s">
        <v>18</v>
      </c>
      <c r="K1559" s="1">
        <v>81184.0</v>
      </c>
      <c r="L1559" s="1">
        <v>56.9126889</v>
      </c>
      <c r="M1559" s="1">
        <v>24.1234641</v>
      </c>
    </row>
    <row r="1560">
      <c r="A1560" s="1" t="s">
        <v>22</v>
      </c>
      <c r="B1560" s="1" t="s">
        <v>52</v>
      </c>
      <c r="C1560" s="1" t="s">
        <v>1214</v>
      </c>
      <c r="D1560" s="1">
        <v>2.0</v>
      </c>
      <c r="E1560" s="1">
        <v>54.0</v>
      </c>
      <c r="F1560" s="1">
        <v>1.0</v>
      </c>
      <c r="G1560" s="1">
        <v>9.0</v>
      </c>
      <c r="H1560" s="1">
        <v>119.0</v>
      </c>
      <c r="I1560" s="1" t="s">
        <v>21</v>
      </c>
      <c r="J1560" s="1" t="s">
        <v>18</v>
      </c>
      <c r="K1560" s="1">
        <v>57000.0</v>
      </c>
      <c r="L1560" s="1">
        <v>56.9459191</v>
      </c>
      <c r="M1560" s="1">
        <v>24.0176834935538</v>
      </c>
    </row>
    <row r="1561">
      <c r="A1561" s="1" t="s">
        <v>22</v>
      </c>
      <c r="B1561" s="1" t="s">
        <v>28</v>
      </c>
      <c r="C1561" s="1" t="s">
        <v>1215</v>
      </c>
      <c r="D1561" s="1">
        <v>3.0</v>
      </c>
      <c r="E1561" s="1">
        <v>56.0</v>
      </c>
      <c r="F1561" s="1">
        <v>2.0</v>
      </c>
      <c r="G1561" s="1">
        <v>5.0</v>
      </c>
      <c r="H1561" s="1" t="s">
        <v>36</v>
      </c>
      <c r="I1561" s="1" t="s">
        <v>37</v>
      </c>
      <c r="J1561" s="1" t="s">
        <v>18</v>
      </c>
      <c r="K1561" s="1">
        <v>52000.0</v>
      </c>
      <c r="L1561" s="1">
        <v>56.9150615</v>
      </c>
      <c r="M1561" s="1">
        <v>24.1865497499999</v>
      </c>
    </row>
    <row r="1562">
      <c r="A1562" s="1" t="s">
        <v>468</v>
      </c>
      <c r="B1562" s="1" t="s">
        <v>74</v>
      </c>
      <c r="C1562" s="1" t="s">
        <v>1216</v>
      </c>
      <c r="D1562" s="1">
        <v>1.0</v>
      </c>
      <c r="E1562" s="1">
        <v>38.0</v>
      </c>
      <c r="F1562" s="1">
        <v>2.0</v>
      </c>
      <c r="G1562" s="1">
        <v>5.0</v>
      </c>
      <c r="H1562" s="1">
        <v>103.0</v>
      </c>
      <c r="I1562" s="1" t="s">
        <v>37</v>
      </c>
      <c r="J1562" s="1" t="s">
        <v>18</v>
      </c>
      <c r="K1562" s="1">
        <v>45000.0</v>
      </c>
      <c r="L1562" s="1">
        <v>56.9524806</v>
      </c>
      <c r="M1562" s="1">
        <v>24.1610307592336</v>
      </c>
    </row>
    <row r="1563">
      <c r="A1563" s="1" t="s">
        <v>22</v>
      </c>
      <c r="B1563" s="1" t="s">
        <v>48</v>
      </c>
      <c r="C1563" s="1" t="s">
        <v>1217</v>
      </c>
      <c r="D1563" s="1">
        <v>4.0</v>
      </c>
      <c r="E1563" s="1">
        <v>76.0</v>
      </c>
      <c r="F1563" s="1">
        <v>6.0</v>
      </c>
      <c r="G1563" s="1">
        <v>9.0</v>
      </c>
      <c r="H1563" s="1">
        <v>602.0</v>
      </c>
      <c r="I1563" s="1" t="s">
        <v>21</v>
      </c>
      <c r="J1563" s="1" t="s">
        <v>18</v>
      </c>
      <c r="K1563" s="1">
        <v>80000.0</v>
      </c>
      <c r="L1563" s="1">
        <v>56.9604413499999</v>
      </c>
      <c r="M1563" s="1">
        <v>24.2324441242353</v>
      </c>
    </row>
    <row r="1564">
      <c r="A1564" s="1" t="s">
        <v>22</v>
      </c>
      <c r="B1564" s="1" t="s">
        <v>19</v>
      </c>
      <c r="C1564" s="1" t="s">
        <v>1218</v>
      </c>
      <c r="D1564" s="1">
        <v>2.0</v>
      </c>
      <c r="E1564" s="1">
        <v>52.0</v>
      </c>
      <c r="F1564" s="1">
        <v>5.0</v>
      </c>
      <c r="G1564" s="1">
        <v>9.0</v>
      </c>
      <c r="H1564" s="1">
        <v>602.0</v>
      </c>
      <c r="I1564" s="1" t="s">
        <v>21</v>
      </c>
      <c r="J1564" s="1" t="s">
        <v>18</v>
      </c>
      <c r="K1564" s="1">
        <v>64900.0</v>
      </c>
      <c r="L1564" s="1">
        <v>56.90069575</v>
      </c>
      <c r="M1564" s="1">
        <v>24.102280983175</v>
      </c>
    </row>
    <row r="1565">
      <c r="A1565" s="1" t="s">
        <v>13</v>
      </c>
      <c r="B1565" s="1" t="s">
        <v>109</v>
      </c>
      <c r="C1565" s="1" t="s">
        <v>1219</v>
      </c>
      <c r="D1565" s="1">
        <v>1.0</v>
      </c>
      <c r="E1565" s="1">
        <v>41.0</v>
      </c>
      <c r="F1565" s="1">
        <v>1.0</v>
      </c>
      <c r="G1565" s="1">
        <v>2.0</v>
      </c>
      <c r="H1565" s="1" t="s">
        <v>171</v>
      </c>
      <c r="I1565" s="1" t="s">
        <v>37</v>
      </c>
      <c r="J1565" s="1" t="s">
        <v>18</v>
      </c>
      <c r="K1565" s="1">
        <v>450.0</v>
      </c>
      <c r="L1565" s="1">
        <v>56.99618955</v>
      </c>
      <c r="M1565" s="1">
        <v>24.1509424999999</v>
      </c>
    </row>
    <row r="1566">
      <c r="A1566" s="1" t="s">
        <v>89</v>
      </c>
      <c r="B1566" s="1" t="s">
        <v>129</v>
      </c>
      <c r="C1566" s="2"/>
      <c r="D1566" s="1">
        <v>6.0</v>
      </c>
      <c r="E1566" s="2"/>
      <c r="F1566" s="2"/>
      <c r="G1566" s="2"/>
      <c r="H1566" s="2"/>
      <c r="I1566" s="2"/>
      <c r="J1566" s="2"/>
      <c r="K1566" s="2"/>
      <c r="L1566" s="1">
        <v>46.3144754</v>
      </c>
      <c r="M1566" s="1">
        <v>11.0480288</v>
      </c>
    </row>
    <row r="1567">
      <c r="A1567" s="1" t="s">
        <v>89</v>
      </c>
      <c r="B1567" s="1" t="s">
        <v>96</v>
      </c>
      <c r="C1567" s="2"/>
      <c r="D1567" s="1">
        <v>6.0</v>
      </c>
      <c r="E1567" s="2"/>
      <c r="F1567" s="2"/>
      <c r="G1567" s="2"/>
      <c r="H1567" s="2"/>
      <c r="I1567" s="2"/>
      <c r="J1567" s="2"/>
      <c r="K1567" s="2"/>
      <c r="L1567" s="1">
        <v>46.3144754</v>
      </c>
      <c r="M1567" s="1">
        <v>11.0480288</v>
      </c>
    </row>
    <row r="1568">
      <c r="A1568" s="1" t="s">
        <v>89</v>
      </c>
      <c r="B1568" s="1" t="s">
        <v>19</v>
      </c>
      <c r="C1568" s="2"/>
      <c r="D1568" s="2"/>
      <c r="E1568" s="1">
        <v>8.0</v>
      </c>
      <c r="F1568" s="1">
        <v>88.0</v>
      </c>
      <c r="G1568" s="1">
        <v>8.0</v>
      </c>
      <c r="H1568" s="2"/>
      <c r="I1568" s="2"/>
      <c r="J1568" s="2"/>
      <c r="K1568" s="2"/>
      <c r="L1568" s="1">
        <v>46.3144754</v>
      </c>
      <c r="M1568" s="1">
        <v>11.0480288</v>
      </c>
    </row>
    <row r="1569">
      <c r="A1569" s="1" t="s">
        <v>22</v>
      </c>
      <c r="B1569" s="1" t="s">
        <v>218</v>
      </c>
      <c r="C1569" s="1" t="s">
        <v>1207</v>
      </c>
      <c r="D1569" s="1">
        <v>2.0</v>
      </c>
      <c r="E1569" s="1">
        <v>59.0</v>
      </c>
      <c r="F1569" s="1">
        <v>2.0</v>
      </c>
      <c r="G1569" s="1">
        <v>5.0</v>
      </c>
      <c r="H1569" s="1" t="s">
        <v>66</v>
      </c>
      <c r="I1569" s="1" t="s">
        <v>33</v>
      </c>
      <c r="J1569" s="1" t="s">
        <v>18</v>
      </c>
      <c r="K1569" s="1">
        <v>170000.0</v>
      </c>
      <c r="L1569" s="1">
        <v>56.9484815</v>
      </c>
      <c r="M1569" s="1">
        <v>24.1061513</v>
      </c>
    </row>
    <row r="1570">
      <c r="A1570" s="1" t="s">
        <v>131</v>
      </c>
      <c r="B1570" s="1" t="s">
        <v>38</v>
      </c>
      <c r="C1570" s="2"/>
      <c r="D1570" s="1">
        <v>3.0</v>
      </c>
      <c r="E1570" s="2"/>
      <c r="F1570" s="2"/>
      <c r="G1570" s="2"/>
      <c r="H1570" s="2"/>
      <c r="I1570" s="2"/>
      <c r="J1570" s="1" t="s">
        <v>18</v>
      </c>
      <c r="K1570" s="2"/>
      <c r="L1570" s="1">
        <v>46.3144754</v>
      </c>
      <c r="M1570" s="1">
        <v>11.0480288</v>
      </c>
    </row>
    <row r="1571">
      <c r="A1571" s="1" t="s">
        <v>22</v>
      </c>
      <c r="B1571" s="1" t="s">
        <v>94</v>
      </c>
      <c r="C1571" s="1" t="s">
        <v>1007</v>
      </c>
      <c r="D1571" s="1">
        <v>4.0</v>
      </c>
      <c r="E1571" s="1">
        <v>78.0</v>
      </c>
      <c r="F1571" s="1">
        <v>7.0</v>
      </c>
      <c r="G1571" s="1">
        <v>9.0</v>
      </c>
      <c r="H1571" s="1">
        <v>467.0</v>
      </c>
      <c r="I1571" s="1" t="s">
        <v>21</v>
      </c>
      <c r="J1571" s="1" t="s">
        <v>18</v>
      </c>
      <c r="K1571" s="1">
        <v>75000.0</v>
      </c>
      <c r="L1571" s="1">
        <v>56.93086485</v>
      </c>
      <c r="M1571" s="1">
        <v>24.1650278688019</v>
      </c>
    </row>
    <row r="1572">
      <c r="A1572" s="1" t="s">
        <v>22</v>
      </c>
      <c r="B1572" s="1" t="s">
        <v>50</v>
      </c>
      <c r="C1572" s="1" t="s">
        <v>1220</v>
      </c>
      <c r="D1572" s="1">
        <v>3.0</v>
      </c>
      <c r="E1572" s="1">
        <v>84.0</v>
      </c>
      <c r="F1572" s="1">
        <v>4.0</v>
      </c>
      <c r="G1572" s="1">
        <v>5.0</v>
      </c>
      <c r="H1572" s="1" t="s">
        <v>36</v>
      </c>
      <c r="I1572" s="1" t="s">
        <v>37</v>
      </c>
      <c r="J1572" s="1" t="s">
        <v>18</v>
      </c>
      <c r="K1572" s="1">
        <v>75000.0</v>
      </c>
      <c r="L1572" s="1">
        <v>56.9379361</v>
      </c>
      <c r="M1572" s="1">
        <v>24.154479</v>
      </c>
    </row>
    <row r="1573">
      <c r="A1573" s="1" t="s">
        <v>22</v>
      </c>
      <c r="B1573" s="1" t="s">
        <v>96</v>
      </c>
      <c r="C1573" s="1" t="s">
        <v>384</v>
      </c>
      <c r="D1573" s="1">
        <v>3.0</v>
      </c>
      <c r="E1573" s="1">
        <v>68.74</v>
      </c>
      <c r="F1573" s="1">
        <v>5.0</v>
      </c>
      <c r="G1573" s="1">
        <v>5.0</v>
      </c>
      <c r="H1573" s="1" t="s">
        <v>16</v>
      </c>
      <c r="I1573" s="1" t="s">
        <v>21</v>
      </c>
      <c r="J1573" s="1" t="s">
        <v>18</v>
      </c>
      <c r="K1573" s="1">
        <v>47000.0</v>
      </c>
      <c r="L1573" s="1">
        <v>57.0337701</v>
      </c>
      <c r="M1573" s="1">
        <v>24.09840055</v>
      </c>
    </row>
    <row r="1574">
      <c r="A1574" s="1" t="s">
        <v>22</v>
      </c>
      <c r="B1574" s="1" t="s">
        <v>94</v>
      </c>
      <c r="C1574" s="1" t="s">
        <v>1221</v>
      </c>
      <c r="D1574" s="1">
        <v>2.0</v>
      </c>
      <c r="E1574" s="1">
        <v>44.0</v>
      </c>
      <c r="F1574" s="1">
        <v>5.0</v>
      </c>
      <c r="G1574" s="1">
        <v>5.0</v>
      </c>
      <c r="H1574" s="1" t="s">
        <v>44</v>
      </c>
      <c r="I1574" s="1" t="s">
        <v>37</v>
      </c>
      <c r="J1574" s="1" t="s">
        <v>18</v>
      </c>
      <c r="K1574" s="1">
        <v>39500.0</v>
      </c>
      <c r="L1574" s="1">
        <v>56.8597884</v>
      </c>
      <c r="M1574" s="1">
        <v>24.3083417</v>
      </c>
    </row>
    <row r="1575">
      <c r="A1575" s="1" t="s">
        <v>22</v>
      </c>
      <c r="B1575" s="1" t="s">
        <v>23</v>
      </c>
      <c r="C1575" s="1" t="s">
        <v>572</v>
      </c>
      <c r="D1575" s="1">
        <v>3.0</v>
      </c>
      <c r="E1575" s="1">
        <v>64.0</v>
      </c>
      <c r="F1575" s="1">
        <v>4.0</v>
      </c>
      <c r="G1575" s="1">
        <v>5.0</v>
      </c>
      <c r="H1575" s="1" t="s">
        <v>66</v>
      </c>
      <c r="I1575" s="1" t="s">
        <v>33</v>
      </c>
      <c r="J1575" s="1" t="s">
        <v>18</v>
      </c>
      <c r="K1575" s="1">
        <v>125000.0</v>
      </c>
      <c r="L1575" s="1">
        <v>56.956506</v>
      </c>
      <c r="M1575" s="1">
        <v>24.1531491</v>
      </c>
    </row>
    <row r="1576">
      <c r="A1576" s="1" t="s">
        <v>22</v>
      </c>
      <c r="B1576" s="1" t="s">
        <v>23</v>
      </c>
      <c r="C1576" s="1" t="s">
        <v>1222</v>
      </c>
      <c r="D1576" s="1">
        <v>3.0</v>
      </c>
      <c r="E1576" s="1">
        <v>60.0</v>
      </c>
      <c r="F1576" s="1">
        <v>2.0</v>
      </c>
      <c r="G1576" s="1">
        <v>5.0</v>
      </c>
      <c r="H1576" s="1" t="s">
        <v>66</v>
      </c>
      <c r="I1576" s="1" t="s">
        <v>33</v>
      </c>
      <c r="J1576" s="1" t="s">
        <v>18</v>
      </c>
      <c r="K1576" s="1">
        <v>125000.0</v>
      </c>
      <c r="L1576" s="1">
        <v>56.95652115</v>
      </c>
      <c r="M1576" s="1">
        <v>24.1476809000188</v>
      </c>
    </row>
    <row r="1577">
      <c r="A1577" s="1" t="s">
        <v>22</v>
      </c>
      <c r="B1577" s="1" t="s">
        <v>19</v>
      </c>
      <c r="C1577" s="1" t="s">
        <v>1223</v>
      </c>
      <c r="D1577" s="1">
        <v>1.0</v>
      </c>
      <c r="E1577" s="1">
        <v>32.0</v>
      </c>
      <c r="F1577" s="1">
        <v>9.0</v>
      </c>
      <c r="G1577" s="1">
        <v>9.0</v>
      </c>
      <c r="H1577" s="1" t="s">
        <v>36</v>
      </c>
      <c r="I1577" s="1" t="s">
        <v>21</v>
      </c>
      <c r="J1577" s="1" t="s">
        <v>18</v>
      </c>
      <c r="K1577" s="1">
        <v>45000.0</v>
      </c>
      <c r="L1577" s="1">
        <v>56.9094064</v>
      </c>
      <c r="M1577" s="1">
        <v>24.0954157</v>
      </c>
    </row>
    <row r="1578">
      <c r="A1578" s="1" t="s">
        <v>89</v>
      </c>
      <c r="B1578" s="1" t="s">
        <v>42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1">
        <v>46.3144754</v>
      </c>
      <c r="M1578" s="1">
        <v>11.0480288</v>
      </c>
    </row>
    <row r="1579">
      <c r="A1579" s="1" t="s">
        <v>22</v>
      </c>
      <c r="B1579" s="1" t="s">
        <v>23</v>
      </c>
      <c r="C1579" s="1" t="s">
        <v>790</v>
      </c>
      <c r="D1579" s="1">
        <v>4.0</v>
      </c>
      <c r="E1579" s="1">
        <v>84.0</v>
      </c>
      <c r="F1579" s="1">
        <v>2.0</v>
      </c>
      <c r="G1579" s="1">
        <v>5.0</v>
      </c>
      <c r="H1579" s="1" t="s">
        <v>66</v>
      </c>
      <c r="I1579" s="1" t="s">
        <v>33</v>
      </c>
      <c r="J1579" s="1" t="s">
        <v>18</v>
      </c>
      <c r="K1579" s="1">
        <v>149810.0</v>
      </c>
      <c r="L1579" s="1">
        <v>56.952698</v>
      </c>
      <c r="M1579" s="1">
        <v>24.1299733</v>
      </c>
    </row>
    <row r="1580">
      <c r="A1580" s="1" t="s">
        <v>22</v>
      </c>
      <c r="B1580" s="1" t="s">
        <v>23</v>
      </c>
      <c r="C1580" s="1" t="s">
        <v>790</v>
      </c>
      <c r="D1580" s="1">
        <v>2.0</v>
      </c>
      <c r="E1580" s="1">
        <v>48.0</v>
      </c>
      <c r="F1580" s="1">
        <v>2.0</v>
      </c>
      <c r="G1580" s="1">
        <v>5.0</v>
      </c>
      <c r="H1580" s="1" t="s">
        <v>66</v>
      </c>
      <c r="I1580" s="1" t="s">
        <v>33</v>
      </c>
      <c r="J1580" s="1" t="s">
        <v>18</v>
      </c>
      <c r="K1580" s="1">
        <v>96390.0</v>
      </c>
      <c r="L1580" s="1">
        <v>56.952698</v>
      </c>
      <c r="M1580" s="1">
        <v>24.1299733</v>
      </c>
    </row>
    <row r="1581">
      <c r="A1581" s="1" t="s">
        <v>22</v>
      </c>
      <c r="B1581" s="1" t="s">
        <v>23</v>
      </c>
      <c r="C1581" s="1" t="s">
        <v>1224</v>
      </c>
      <c r="D1581" s="1" t="s">
        <v>90</v>
      </c>
      <c r="E1581" s="1">
        <v>189.0</v>
      </c>
      <c r="F1581" s="1">
        <v>3.0</v>
      </c>
      <c r="G1581" s="1">
        <v>4.0</v>
      </c>
      <c r="H1581" s="1" t="s">
        <v>181</v>
      </c>
      <c r="I1581" s="1" t="s">
        <v>33</v>
      </c>
      <c r="J1581" s="1" t="s">
        <v>18</v>
      </c>
      <c r="K1581" s="1">
        <v>240000.0</v>
      </c>
      <c r="L1581" s="1">
        <v>56.9758863499999</v>
      </c>
      <c r="M1581" s="1">
        <v>24.1391725207381</v>
      </c>
    </row>
    <row r="1582">
      <c r="A1582" s="1" t="s">
        <v>89</v>
      </c>
      <c r="B1582" s="1" t="s">
        <v>38</v>
      </c>
      <c r="C1582" s="2"/>
      <c r="D1582" s="1">
        <v>3.0</v>
      </c>
      <c r="E1582" s="2"/>
      <c r="F1582" s="2"/>
      <c r="G1582" s="2"/>
      <c r="H1582" s="2"/>
      <c r="I1582" s="2"/>
      <c r="J1582" s="2"/>
      <c r="K1582" s="2"/>
      <c r="L1582" s="1">
        <v>46.3144754</v>
      </c>
      <c r="M1582" s="1">
        <v>11.0480288</v>
      </c>
    </row>
    <row r="1583">
      <c r="A1583" s="1" t="s">
        <v>89</v>
      </c>
      <c r="B1583" s="1" t="s">
        <v>14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1">
        <v>46.3144754</v>
      </c>
      <c r="M1583" s="1">
        <v>11.0480288</v>
      </c>
    </row>
    <row r="1584">
      <c r="A1584" s="1" t="s">
        <v>89</v>
      </c>
      <c r="B1584" s="1" t="s">
        <v>48</v>
      </c>
      <c r="C1584" s="2"/>
      <c r="D1584" s="1">
        <v>2.0</v>
      </c>
      <c r="E1584" s="2"/>
      <c r="F1584" s="2"/>
      <c r="G1584" s="2"/>
      <c r="H1584" s="2"/>
      <c r="I1584" s="2"/>
      <c r="J1584" s="2"/>
      <c r="K1584" s="2"/>
      <c r="L1584" s="1">
        <v>46.3144754</v>
      </c>
      <c r="M1584" s="1">
        <v>11.0480288</v>
      </c>
    </row>
    <row r="1585">
      <c r="A1585" s="1" t="s">
        <v>22</v>
      </c>
      <c r="B1585" s="1" t="s">
        <v>23</v>
      </c>
      <c r="C1585" s="1" t="s">
        <v>1225</v>
      </c>
      <c r="D1585" s="1">
        <v>2.0</v>
      </c>
      <c r="E1585" s="1">
        <v>59.0</v>
      </c>
      <c r="F1585" s="1">
        <v>2.0</v>
      </c>
      <c r="G1585" s="1">
        <v>5.0</v>
      </c>
      <c r="H1585" s="1" t="s">
        <v>25</v>
      </c>
      <c r="I1585" s="1" t="s">
        <v>33</v>
      </c>
      <c r="J1585" s="1" t="s">
        <v>18</v>
      </c>
      <c r="K1585" s="1">
        <v>100000.0</v>
      </c>
      <c r="L1585" s="1">
        <v>56.9517964</v>
      </c>
      <c r="M1585" s="1">
        <v>24.1263057</v>
      </c>
    </row>
    <row r="1586">
      <c r="A1586" s="1" t="s">
        <v>22</v>
      </c>
      <c r="B1586" s="1" t="s">
        <v>23</v>
      </c>
      <c r="C1586" s="1" t="s">
        <v>1226</v>
      </c>
      <c r="D1586" s="1">
        <v>5.0</v>
      </c>
      <c r="E1586" s="1">
        <v>180.0</v>
      </c>
      <c r="F1586" s="1">
        <v>2.0</v>
      </c>
      <c r="G1586" s="1">
        <v>3.0</v>
      </c>
      <c r="H1586" s="1" t="s">
        <v>32</v>
      </c>
      <c r="I1586" s="1" t="s">
        <v>17</v>
      </c>
      <c r="J1586" s="1" t="s">
        <v>18</v>
      </c>
      <c r="K1586" s="1">
        <v>205000.0</v>
      </c>
      <c r="L1586" s="1">
        <v>56.9670038</v>
      </c>
      <c r="M1586" s="1">
        <v>24.1471279</v>
      </c>
    </row>
    <row r="1587">
      <c r="A1587" s="1" t="s">
        <v>22</v>
      </c>
      <c r="B1587" s="1" t="s">
        <v>30</v>
      </c>
      <c r="C1587" s="1" t="s">
        <v>1227</v>
      </c>
      <c r="D1587" s="1">
        <v>3.0</v>
      </c>
      <c r="E1587" s="1">
        <v>74.0</v>
      </c>
      <c r="F1587" s="1">
        <v>2.0</v>
      </c>
      <c r="G1587" s="1">
        <v>10.0</v>
      </c>
      <c r="H1587" s="1" t="s">
        <v>32</v>
      </c>
      <c r="I1587" s="1" t="s">
        <v>33</v>
      </c>
      <c r="J1587" s="1" t="s">
        <v>18</v>
      </c>
      <c r="K1587" s="1">
        <v>121000.0</v>
      </c>
      <c r="L1587" s="1">
        <v>56.9767303</v>
      </c>
      <c r="M1587" s="1">
        <v>24.1676579996058</v>
      </c>
    </row>
    <row r="1588">
      <c r="A1588" s="1" t="s">
        <v>22</v>
      </c>
      <c r="B1588" s="1" t="s">
        <v>23</v>
      </c>
      <c r="C1588" s="1" t="s">
        <v>1228</v>
      </c>
      <c r="D1588" s="1">
        <v>2.0</v>
      </c>
      <c r="E1588" s="1">
        <v>39.0</v>
      </c>
      <c r="F1588" s="1">
        <v>2.0</v>
      </c>
      <c r="G1588" s="1">
        <v>3.0</v>
      </c>
      <c r="H1588" s="1" t="s">
        <v>25</v>
      </c>
      <c r="I1588" s="1" t="s">
        <v>37</v>
      </c>
      <c r="J1588" s="1" t="s">
        <v>18</v>
      </c>
      <c r="K1588" s="1">
        <v>58900.0</v>
      </c>
      <c r="L1588" s="1">
        <v>56.94558835</v>
      </c>
      <c r="M1588" s="1">
        <v>24.1338800374448</v>
      </c>
    </row>
    <row r="1589">
      <c r="A1589" s="1" t="s">
        <v>22</v>
      </c>
      <c r="B1589" s="1" t="s">
        <v>48</v>
      </c>
      <c r="C1589" s="1" t="s">
        <v>394</v>
      </c>
      <c r="D1589" s="1">
        <v>3.0</v>
      </c>
      <c r="E1589" s="1">
        <v>73.0</v>
      </c>
      <c r="F1589" s="1">
        <v>16.0</v>
      </c>
      <c r="G1589" s="1">
        <v>16.0</v>
      </c>
      <c r="H1589" s="1">
        <v>104.0</v>
      </c>
      <c r="I1589" s="1" t="s">
        <v>21</v>
      </c>
      <c r="J1589" s="1" t="s">
        <v>18</v>
      </c>
      <c r="K1589" s="1">
        <v>73000.0</v>
      </c>
      <c r="L1589" s="1">
        <v>56.971605</v>
      </c>
      <c r="M1589" s="1">
        <v>24.2340818</v>
      </c>
    </row>
    <row r="1590">
      <c r="A1590" s="1" t="s">
        <v>13</v>
      </c>
      <c r="B1590" s="1" t="s">
        <v>74</v>
      </c>
      <c r="C1590" s="1" t="s">
        <v>917</v>
      </c>
      <c r="D1590" s="1">
        <v>2.0</v>
      </c>
      <c r="E1590" s="1">
        <v>50.0</v>
      </c>
      <c r="F1590" s="1">
        <v>6.0</v>
      </c>
      <c r="G1590" s="1">
        <v>9.0</v>
      </c>
      <c r="H1590" s="1">
        <v>602.0</v>
      </c>
      <c r="I1590" s="1" t="s">
        <v>21</v>
      </c>
      <c r="J1590" s="1" t="s">
        <v>18</v>
      </c>
      <c r="K1590" s="1">
        <v>40.0</v>
      </c>
      <c r="L1590" s="1">
        <v>56.93542815</v>
      </c>
      <c r="M1590" s="1">
        <v>24.1960007080426</v>
      </c>
    </row>
    <row r="1591">
      <c r="A1591" s="1" t="s">
        <v>22</v>
      </c>
      <c r="B1591" s="1" t="s">
        <v>14</v>
      </c>
      <c r="C1591" s="1" t="s">
        <v>1229</v>
      </c>
      <c r="D1591" s="1">
        <v>2.0</v>
      </c>
      <c r="E1591" s="1">
        <v>39.0</v>
      </c>
      <c r="F1591" s="1">
        <v>2.0</v>
      </c>
      <c r="G1591" s="1">
        <v>5.0</v>
      </c>
      <c r="H1591" s="1" t="s">
        <v>16</v>
      </c>
      <c r="I1591" s="1" t="s">
        <v>21</v>
      </c>
      <c r="J1591" s="1" t="s">
        <v>18</v>
      </c>
      <c r="K1591" s="1">
        <v>37000.0</v>
      </c>
      <c r="L1591" s="1">
        <v>56.9561572</v>
      </c>
      <c r="M1591" s="1">
        <v>24.2028868717716</v>
      </c>
    </row>
    <row r="1592">
      <c r="A1592" s="1" t="s">
        <v>22</v>
      </c>
      <c r="B1592" s="1" t="s">
        <v>48</v>
      </c>
      <c r="C1592" s="1" t="s">
        <v>1230</v>
      </c>
      <c r="D1592" s="1">
        <v>3.0</v>
      </c>
      <c r="E1592" s="1">
        <v>62.0</v>
      </c>
      <c r="F1592" s="1">
        <v>1.0</v>
      </c>
      <c r="G1592" s="1">
        <v>9.0</v>
      </c>
      <c r="H1592" s="1">
        <v>602.0</v>
      </c>
      <c r="I1592" s="1" t="s">
        <v>21</v>
      </c>
      <c r="J1592" s="1" t="s">
        <v>18</v>
      </c>
      <c r="K1592" s="1">
        <v>72000.0</v>
      </c>
      <c r="L1592" s="1">
        <v>56.970495</v>
      </c>
      <c r="M1592" s="1">
        <v>24.2327076100665</v>
      </c>
    </row>
    <row r="1593">
      <c r="A1593" s="1" t="s">
        <v>22</v>
      </c>
      <c r="B1593" s="1" t="s">
        <v>38</v>
      </c>
      <c r="C1593" s="1" t="s">
        <v>966</v>
      </c>
      <c r="D1593" s="1">
        <v>3.0</v>
      </c>
      <c r="E1593" s="1">
        <v>54.0</v>
      </c>
      <c r="F1593" s="1">
        <v>1.0</v>
      </c>
      <c r="G1593" s="1">
        <v>5.0</v>
      </c>
      <c r="H1593" s="1" t="s">
        <v>16</v>
      </c>
      <c r="I1593" s="1" t="s">
        <v>21</v>
      </c>
      <c r="J1593" s="1" t="s">
        <v>18</v>
      </c>
      <c r="K1593" s="1">
        <v>55000.0</v>
      </c>
      <c r="L1593" s="1" t="s">
        <v>40</v>
      </c>
      <c r="M1593" s="1" t="s">
        <v>40</v>
      </c>
    </row>
    <row r="1594">
      <c r="A1594" s="1" t="s">
        <v>13</v>
      </c>
      <c r="B1594" s="1" t="s">
        <v>104</v>
      </c>
      <c r="C1594" s="1" t="s">
        <v>1231</v>
      </c>
      <c r="D1594" s="1">
        <v>2.0</v>
      </c>
      <c r="E1594" s="1">
        <v>46.0</v>
      </c>
      <c r="F1594" s="1">
        <v>1.0</v>
      </c>
      <c r="G1594" s="1">
        <v>5.0</v>
      </c>
      <c r="H1594" s="1" t="s">
        <v>36</v>
      </c>
      <c r="I1594" s="1" t="s">
        <v>37</v>
      </c>
      <c r="J1594" s="1" t="s">
        <v>18</v>
      </c>
      <c r="K1594" s="1">
        <v>350.0</v>
      </c>
      <c r="L1594" s="1" t="s">
        <v>40</v>
      </c>
      <c r="M1594" s="1" t="s">
        <v>40</v>
      </c>
    </row>
    <row r="1595">
      <c r="A1595" s="1" t="s">
        <v>22</v>
      </c>
      <c r="B1595" s="1" t="s">
        <v>52</v>
      </c>
      <c r="C1595" s="1" t="s">
        <v>1232</v>
      </c>
      <c r="D1595" s="1">
        <v>2.0</v>
      </c>
      <c r="E1595" s="1">
        <v>58.0</v>
      </c>
      <c r="F1595" s="1">
        <v>5.0</v>
      </c>
      <c r="G1595" s="1">
        <v>9.0</v>
      </c>
      <c r="H1595" s="1">
        <v>119.0</v>
      </c>
      <c r="I1595" s="1" t="s">
        <v>21</v>
      </c>
      <c r="J1595" s="1" t="s">
        <v>18</v>
      </c>
      <c r="K1595" s="1">
        <v>55900.0</v>
      </c>
      <c r="L1595" s="1">
        <v>56.9477648999999</v>
      </c>
      <c r="M1595" s="1">
        <v>24.0206013715995</v>
      </c>
    </row>
    <row r="1596">
      <c r="A1596" s="1" t="s">
        <v>22</v>
      </c>
      <c r="B1596" s="1" t="s">
        <v>23</v>
      </c>
      <c r="C1596" s="1" t="s">
        <v>1233</v>
      </c>
      <c r="D1596" s="1">
        <v>2.0</v>
      </c>
      <c r="E1596" s="1">
        <v>55.0</v>
      </c>
      <c r="F1596" s="1">
        <v>2.0</v>
      </c>
      <c r="G1596" s="1">
        <v>5.0</v>
      </c>
      <c r="H1596" s="1" t="s">
        <v>181</v>
      </c>
      <c r="I1596" s="1" t="s">
        <v>37</v>
      </c>
      <c r="J1596" s="1" t="s">
        <v>18</v>
      </c>
      <c r="K1596" s="1">
        <v>62800.0</v>
      </c>
      <c r="L1596" s="1">
        <v>56.9724032999999</v>
      </c>
      <c r="M1596" s="1">
        <v>24.1342115201206</v>
      </c>
    </row>
    <row r="1597">
      <c r="A1597" s="1" t="s">
        <v>131</v>
      </c>
      <c r="B1597" s="1" t="s">
        <v>23</v>
      </c>
      <c r="C1597" s="2"/>
      <c r="D1597" s="1">
        <v>1.0</v>
      </c>
      <c r="E1597" s="2"/>
      <c r="F1597" s="2"/>
      <c r="G1597" s="2"/>
      <c r="H1597" s="2"/>
      <c r="I1597" s="2"/>
      <c r="J1597" s="1" t="s">
        <v>18</v>
      </c>
      <c r="K1597" s="2"/>
      <c r="L1597" s="1">
        <v>46.3144754</v>
      </c>
      <c r="M1597" s="1">
        <v>11.0480288</v>
      </c>
    </row>
    <row r="1598">
      <c r="A1598" s="1" t="s">
        <v>22</v>
      </c>
      <c r="B1598" s="1" t="s">
        <v>23</v>
      </c>
      <c r="C1598" s="1" t="s">
        <v>1234</v>
      </c>
      <c r="D1598" s="1">
        <v>2.0</v>
      </c>
      <c r="E1598" s="1">
        <v>35.0</v>
      </c>
      <c r="F1598" s="1">
        <v>1.0</v>
      </c>
      <c r="G1598" s="1">
        <v>2.0</v>
      </c>
      <c r="H1598" s="1" t="s">
        <v>25</v>
      </c>
      <c r="I1598" s="1" t="s">
        <v>26</v>
      </c>
      <c r="J1598" s="1" t="s">
        <v>18</v>
      </c>
      <c r="K1598" s="1">
        <v>21900.0</v>
      </c>
      <c r="L1598" s="1">
        <v>56.9581178</v>
      </c>
      <c r="M1598" s="1">
        <v>24.1311146</v>
      </c>
    </row>
    <row r="1599">
      <c r="A1599" s="1" t="s">
        <v>22</v>
      </c>
      <c r="B1599" s="1" t="s">
        <v>151</v>
      </c>
      <c r="C1599" s="1" t="s">
        <v>635</v>
      </c>
      <c r="D1599" s="1">
        <v>2.0</v>
      </c>
      <c r="E1599" s="1">
        <v>51.0</v>
      </c>
      <c r="F1599" s="1">
        <v>6.0</v>
      </c>
      <c r="G1599" s="1">
        <v>9.0</v>
      </c>
      <c r="H1599" s="1">
        <v>602.0</v>
      </c>
      <c r="I1599" s="1" t="s">
        <v>21</v>
      </c>
      <c r="J1599" s="1" t="s">
        <v>18</v>
      </c>
      <c r="K1599" s="1">
        <v>42900.0</v>
      </c>
      <c r="L1599" s="1">
        <v>56.96512045</v>
      </c>
      <c r="M1599" s="1">
        <v>24.0549828893368</v>
      </c>
    </row>
    <row r="1600">
      <c r="A1600" s="1" t="s">
        <v>22</v>
      </c>
      <c r="B1600" s="1" t="s">
        <v>30</v>
      </c>
      <c r="C1600" s="1" t="s">
        <v>1235</v>
      </c>
      <c r="D1600" s="1">
        <v>2.0</v>
      </c>
      <c r="E1600" s="1">
        <v>60.0</v>
      </c>
      <c r="F1600" s="1">
        <v>1.0</v>
      </c>
      <c r="G1600" s="1">
        <v>2.0</v>
      </c>
      <c r="H1600" s="1" t="s">
        <v>181</v>
      </c>
      <c r="I1600" s="1" t="s">
        <v>33</v>
      </c>
      <c r="J1600" s="1" t="s">
        <v>18</v>
      </c>
      <c r="K1600" s="1">
        <v>39999.0</v>
      </c>
      <c r="L1600" s="1">
        <v>56.9653522</v>
      </c>
      <c r="M1600" s="1">
        <v>24.1647985</v>
      </c>
    </row>
    <row r="1601">
      <c r="A1601" s="1" t="s">
        <v>22</v>
      </c>
      <c r="B1601" s="1" t="s">
        <v>74</v>
      </c>
      <c r="C1601" s="1" t="s">
        <v>556</v>
      </c>
      <c r="D1601" s="1">
        <v>1.0</v>
      </c>
      <c r="E1601" s="1">
        <v>39.0</v>
      </c>
      <c r="F1601" s="1">
        <v>5.0</v>
      </c>
      <c r="G1601" s="1">
        <v>5.0</v>
      </c>
      <c r="H1601" s="1" t="s">
        <v>57</v>
      </c>
      <c r="I1601" s="1" t="s">
        <v>21</v>
      </c>
      <c r="J1601" s="1" t="s">
        <v>18</v>
      </c>
      <c r="K1601" s="1">
        <v>32900.0</v>
      </c>
      <c r="L1601" s="1">
        <v>56.94122905</v>
      </c>
      <c r="M1601" s="1">
        <v>24.2174231674689</v>
      </c>
    </row>
    <row r="1602">
      <c r="A1602" s="1" t="s">
        <v>13</v>
      </c>
      <c r="B1602" s="1" t="s">
        <v>23</v>
      </c>
      <c r="C1602" s="1" t="s">
        <v>1236</v>
      </c>
      <c r="D1602" s="1">
        <v>1.0</v>
      </c>
      <c r="E1602" s="1">
        <v>15.0</v>
      </c>
      <c r="F1602" s="1">
        <v>4.0</v>
      </c>
      <c r="G1602" s="1">
        <v>6.0</v>
      </c>
      <c r="H1602" s="1" t="s">
        <v>25</v>
      </c>
      <c r="I1602" s="1" t="s">
        <v>37</v>
      </c>
      <c r="J1602" s="1" t="s">
        <v>18</v>
      </c>
      <c r="K1602" s="1">
        <v>15.0</v>
      </c>
      <c r="L1602" s="1">
        <v>56.9482351</v>
      </c>
      <c r="M1602" s="1">
        <v>24.1198579</v>
      </c>
    </row>
    <row r="1603">
      <c r="A1603" s="1" t="s">
        <v>13</v>
      </c>
      <c r="B1603" s="1" t="s">
        <v>23</v>
      </c>
      <c r="C1603" s="1" t="s">
        <v>1236</v>
      </c>
      <c r="D1603" s="1">
        <v>1.0</v>
      </c>
      <c r="E1603" s="1">
        <v>24.0</v>
      </c>
      <c r="F1603" s="1">
        <v>4.0</v>
      </c>
      <c r="G1603" s="1">
        <v>6.0</v>
      </c>
      <c r="H1603" s="1" t="s">
        <v>25</v>
      </c>
      <c r="I1603" s="1" t="s">
        <v>37</v>
      </c>
      <c r="J1603" s="1" t="s">
        <v>18</v>
      </c>
      <c r="K1603" s="1">
        <v>5.0</v>
      </c>
      <c r="L1603" s="1">
        <v>56.9482351</v>
      </c>
      <c r="M1603" s="1">
        <v>24.1198579</v>
      </c>
    </row>
    <row r="1604">
      <c r="A1604" s="1" t="s">
        <v>22</v>
      </c>
      <c r="B1604" s="1" t="s">
        <v>94</v>
      </c>
      <c r="C1604" s="1" t="s">
        <v>1237</v>
      </c>
      <c r="D1604" s="1">
        <v>3.0</v>
      </c>
      <c r="E1604" s="1">
        <v>58.0</v>
      </c>
      <c r="F1604" s="1">
        <v>3.0</v>
      </c>
      <c r="G1604" s="1">
        <v>5.0</v>
      </c>
      <c r="H1604" s="1" t="s">
        <v>36</v>
      </c>
      <c r="I1604" s="1" t="s">
        <v>37</v>
      </c>
      <c r="J1604" s="1" t="s">
        <v>18</v>
      </c>
      <c r="K1604" s="1">
        <v>54000.0</v>
      </c>
      <c r="L1604" s="1">
        <v>56.93425325</v>
      </c>
      <c r="M1604" s="1">
        <v>24.1548609852833</v>
      </c>
    </row>
    <row r="1605">
      <c r="A1605" s="1" t="s">
        <v>13</v>
      </c>
      <c r="B1605" s="1" t="s">
        <v>218</v>
      </c>
      <c r="C1605" s="1" t="s">
        <v>1238</v>
      </c>
      <c r="D1605" s="1">
        <v>4.0</v>
      </c>
      <c r="E1605" s="1">
        <v>120.0</v>
      </c>
      <c r="F1605" s="1">
        <v>7.0</v>
      </c>
      <c r="G1605" s="1">
        <v>7.0</v>
      </c>
      <c r="H1605" s="1" t="s">
        <v>66</v>
      </c>
      <c r="I1605" s="1" t="s">
        <v>33</v>
      </c>
      <c r="J1605" s="1" t="s">
        <v>18</v>
      </c>
      <c r="K1605" s="1">
        <v>1600.0</v>
      </c>
      <c r="L1605" s="1">
        <v>56.9503023</v>
      </c>
      <c r="M1605" s="1">
        <v>24.1092472</v>
      </c>
    </row>
    <row r="1606">
      <c r="A1606" s="1" t="s">
        <v>22</v>
      </c>
      <c r="B1606" s="1" t="s">
        <v>14</v>
      </c>
      <c r="C1606" s="1" t="s">
        <v>1239</v>
      </c>
      <c r="D1606" s="1">
        <v>2.0</v>
      </c>
      <c r="E1606" s="1">
        <v>110.0</v>
      </c>
      <c r="F1606" s="1">
        <v>4.0</v>
      </c>
      <c r="G1606" s="1">
        <v>5.0</v>
      </c>
      <c r="H1606" s="1" t="s">
        <v>32</v>
      </c>
      <c r="I1606" s="1" t="s">
        <v>122</v>
      </c>
      <c r="J1606" s="1" t="s">
        <v>18</v>
      </c>
      <c r="K1606" s="1">
        <v>119000.0</v>
      </c>
      <c r="L1606" s="1">
        <v>56.9670136</v>
      </c>
      <c r="M1606" s="1">
        <v>24.1825891911293</v>
      </c>
    </row>
    <row r="1607">
      <c r="A1607" s="1" t="s">
        <v>89</v>
      </c>
      <c r="B1607" s="1" t="s">
        <v>14</v>
      </c>
      <c r="C1607" s="2"/>
      <c r="D1607" s="1">
        <v>1.0</v>
      </c>
      <c r="E1607" s="1">
        <v>99.0</v>
      </c>
      <c r="F1607" s="1">
        <v>99.0</v>
      </c>
      <c r="G1607" s="1">
        <v>9.0</v>
      </c>
      <c r="H1607" s="2"/>
      <c r="I1607" s="2"/>
      <c r="J1607" s="2"/>
      <c r="K1607" s="2"/>
      <c r="L1607" s="1">
        <v>46.3144754</v>
      </c>
      <c r="M1607" s="1">
        <v>11.0480288</v>
      </c>
    </row>
    <row r="1608">
      <c r="A1608" s="1" t="s">
        <v>89</v>
      </c>
      <c r="B1608" s="1" t="s">
        <v>422</v>
      </c>
      <c r="C1608" s="2"/>
      <c r="D1608" s="2"/>
      <c r="E1608" s="1">
        <v>1.0</v>
      </c>
      <c r="F1608" s="1">
        <v>1.0</v>
      </c>
      <c r="G1608" s="1">
        <v>1.0</v>
      </c>
      <c r="H1608" s="2"/>
      <c r="I1608" s="2"/>
      <c r="J1608" s="2"/>
      <c r="K1608" s="2"/>
      <c r="L1608" s="1">
        <v>46.3144754</v>
      </c>
      <c r="M1608" s="1">
        <v>11.0480288</v>
      </c>
    </row>
    <row r="1609">
      <c r="A1609" s="1" t="s">
        <v>89</v>
      </c>
      <c r="B1609" s="1" t="s">
        <v>74</v>
      </c>
      <c r="C1609" s="2"/>
      <c r="D1609" s="2"/>
      <c r="E1609" s="1">
        <v>10.0</v>
      </c>
      <c r="F1609" s="1">
        <v>9.0</v>
      </c>
      <c r="G1609" s="1">
        <v>1.0</v>
      </c>
      <c r="H1609" s="2"/>
      <c r="I1609" s="2"/>
      <c r="J1609" s="2"/>
      <c r="K1609" s="2"/>
      <c r="L1609" s="1">
        <v>46.3144754</v>
      </c>
      <c r="M1609" s="1">
        <v>11.0480288</v>
      </c>
    </row>
    <row r="1610">
      <c r="A1610" s="1" t="s">
        <v>89</v>
      </c>
      <c r="B1610" s="1" t="s">
        <v>28</v>
      </c>
      <c r="C1610" s="2"/>
      <c r="D1610" s="2"/>
      <c r="E1610" s="1">
        <v>11.0</v>
      </c>
      <c r="F1610" s="1">
        <v>1.0</v>
      </c>
      <c r="G1610" s="1">
        <v>1.0</v>
      </c>
      <c r="H1610" s="2"/>
      <c r="I1610" s="2"/>
      <c r="J1610" s="1" t="s">
        <v>18</v>
      </c>
      <c r="K1610" s="2"/>
      <c r="L1610" s="1">
        <v>46.3144754</v>
      </c>
      <c r="M1610" s="1">
        <v>11.0480288</v>
      </c>
    </row>
    <row r="1611">
      <c r="A1611" s="1" t="s">
        <v>89</v>
      </c>
      <c r="B1611" s="1" t="s">
        <v>42</v>
      </c>
      <c r="C1611" s="2"/>
      <c r="D1611" s="1">
        <v>1.0</v>
      </c>
      <c r="E1611" s="1">
        <v>99.0</v>
      </c>
      <c r="F1611" s="1">
        <v>99.0</v>
      </c>
      <c r="G1611" s="1">
        <v>9.0</v>
      </c>
      <c r="H1611" s="2"/>
      <c r="I1611" s="2"/>
      <c r="J1611" s="2"/>
      <c r="K1611" s="2"/>
      <c r="L1611" s="1">
        <v>46.3144754</v>
      </c>
      <c r="M1611" s="1">
        <v>11.0480288</v>
      </c>
    </row>
    <row r="1612">
      <c r="A1612" s="1" t="s">
        <v>89</v>
      </c>
      <c r="B1612" s="1" t="s">
        <v>45</v>
      </c>
      <c r="C1612" s="2"/>
      <c r="D1612" s="2"/>
      <c r="E1612" s="1">
        <v>4.0</v>
      </c>
      <c r="F1612" s="1">
        <v>44.0</v>
      </c>
      <c r="G1612" s="1">
        <v>4.0</v>
      </c>
      <c r="H1612" s="2"/>
      <c r="I1612" s="2"/>
      <c r="J1612" s="2"/>
      <c r="K1612" s="2"/>
      <c r="L1612" s="1">
        <v>46.3144754</v>
      </c>
      <c r="M1612" s="1">
        <v>11.0480288</v>
      </c>
    </row>
    <row r="1613">
      <c r="A1613" s="1" t="s">
        <v>89</v>
      </c>
      <c r="B1613" s="1" t="s">
        <v>52</v>
      </c>
      <c r="C1613" s="2"/>
      <c r="D1613" s="1">
        <v>2.0</v>
      </c>
      <c r="E1613" s="2"/>
      <c r="F1613" s="1">
        <v>9.0</v>
      </c>
      <c r="G1613" s="1">
        <v>1.0</v>
      </c>
      <c r="H1613" s="2"/>
      <c r="I1613" s="1" t="s">
        <v>21</v>
      </c>
      <c r="J1613" s="1" t="s">
        <v>18</v>
      </c>
      <c r="K1613" s="2"/>
      <c r="L1613" s="1">
        <v>46.3144754</v>
      </c>
      <c r="M1613" s="1">
        <v>11.0480288</v>
      </c>
    </row>
    <row r="1614">
      <c r="A1614" s="1" t="s">
        <v>89</v>
      </c>
      <c r="B1614" s="1" t="s">
        <v>38</v>
      </c>
      <c r="C1614" s="2"/>
      <c r="D1614" s="2"/>
      <c r="E1614" s="1">
        <v>1.0</v>
      </c>
      <c r="F1614" s="1">
        <v>2.0</v>
      </c>
      <c r="G1614" s="1">
        <v>3.0</v>
      </c>
      <c r="H1614" s="2"/>
      <c r="I1614" s="2"/>
      <c r="J1614" s="2"/>
      <c r="K1614" s="2"/>
      <c r="L1614" s="1">
        <v>46.3144754</v>
      </c>
      <c r="M1614" s="1">
        <v>11.0480288</v>
      </c>
    </row>
    <row r="1615">
      <c r="A1615" s="1" t="s">
        <v>89</v>
      </c>
      <c r="B1615" s="1" t="s">
        <v>106</v>
      </c>
      <c r="C1615" s="2"/>
      <c r="D1615" s="2"/>
      <c r="E1615" s="1">
        <v>7.0</v>
      </c>
      <c r="F1615" s="1">
        <v>77.0</v>
      </c>
      <c r="G1615" s="1">
        <v>7.0</v>
      </c>
      <c r="H1615" s="2"/>
      <c r="I1615" s="2"/>
      <c r="J1615" s="2"/>
      <c r="K1615" s="2"/>
      <c r="L1615" s="1">
        <v>46.3144754</v>
      </c>
      <c r="M1615" s="1">
        <v>11.0480288</v>
      </c>
    </row>
    <row r="1616">
      <c r="A1616" s="1" t="s">
        <v>22</v>
      </c>
      <c r="B1616" s="1" t="s">
        <v>109</v>
      </c>
      <c r="C1616" s="1" t="s">
        <v>1240</v>
      </c>
      <c r="D1616" s="1">
        <v>3.0</v>
      </c>
      <c r="E1616" s="1">
        <v>140.0</v>
      </c>
      <c r="F1616" s="1">
        <v>8.0</v>
      </c>
      <c r="G1616" s="1">
        <v>12.0</v>
      </c>
      <c r="H1616" s="1" t="s">
        <v>32</v>
      </c>
      <c r="I1616" s="1" t="s">
        <v>33</v>
      </c>
      <c r="J1616" s="1" t="s">
        <v>18</v>
      </c>
      <c r="K1616" s="1">
        <v>179800.0</v>
      </c>
      <c r="L1616" s="1">
        <v>56.9943642</v>
      </c>
      <c r="M1616" s="1">
        <v>24.1661266885749</v>
      </c>
    </row>
    <row r="1617">
      <c r="A1617" s="1" t="s">
        <v>22</v>
      </c>
      <c r="B1617" s="1" t="s">
        <v>14</v>
      </c>
      <c r="C1617" s="1" t="s">
        <v>1152</v>
      </c>
      <c r="D1617" s="1">
        <v>3.0</v>
      </c>
      <c r="E1617" s="1">
        <v>64.0</v>
      </c>
      <c r="F1617" s="1">
        <v>7.0</v>
      </c>
      <c r="G1617" s="1">
        <v>9.0</v>
      </c>
      <c r="H1617" s="1">
        <v>602.0</v>
      </c>
      <c r="I1617" s="1" t="s">
        <v>21</v>
      </c>
      <c r="J1617" s="1" t="s">
        <v>18</v>
      </c>
      <c r="K1617" s="1">
        <v>63000.0</v>
      </c>
      <c r="L1617" s="1">
        <v>56.96295835</v>
      </c>
      <c r="M1617" s="1">
        <v>24.1873444133421</v>
      </c>
    </row>
    <row r="1618">
      <c r="A1618" s="1" t="s">
        <v>13</v>
      </c>
      <c r="B1618" s="1" t="s">
        <v>74</v>
      </c>
      <c r="C1618" s="1" t="s">
        <v>294</v>
      </c>
      <c r="D1618" s="1">
        <v>1.0</v>
      </c>
      <c r="E1618" s="1">
        <v>34.0</v>
      </c>
      <c r="F1618" s="1">
        <v>9.0</v>
      </c>
      <c r="G1618" s="1">
        <v>9.0</v>
      </c>
      <c r="H1618" s="1">
        <v>602.0</v>
      </c>
      <c r="I1618" s="1" t="s">
        <v>122</v>
      </c>
      <c r="J1618" s="1" t="s">
        <v>18</v>
      </c>
      <c r="K1618" s="1">
        <v>250.0</v>
      </c>
      <c r="L1618" s="1">
        <v>56.94177975</v>
      </c>
      <c r="M1618" s="1">
        <v>24.2291887859803</v>
      </c>
    </row>
    <row r="1619">
      <c r="A1619" s="1" t="s">
        <v>22</v>
      </c>
      <c r="B1619" s="1" t="s">
        <v>96</v>
      </c>
      <c r="C1619" s="1" t="s">
        <v>1241</v>
      </c>
      <c r="D1619" s="1">
        <v>2.0</v>
      </c>
      <c r="E1619" s="1">
        <v>50.0</v>
      </c>
      <c r="F1619" s="1">
        <v>2.0</v>
      </c>
      <c r="G1619" s="1">
        <v>9.0</v>
      </c>
      <c r="H1619" s="1">
        <v>602.0</v>
      </c>
      <c r="I1619" s="1" t="s">
        <v>21</v>
      </c>
      <c r="J1619" s="1" t="s">
        <v>18</v>
      </c>
      <c r="K1619" s="1">
        <v>41000.0</v>
      </c>
      <c r="L1619" s="1">
        <v>57.03912275</v>
      </c>
      <c r="M1619" s="1">
        <v>24.1003615894216</v>
      </c>
    </row>
    <row r="1620">
      <c r="A1620" s="1" t="s">
        <v>22</v>
      </c>
      <c r="B1620" s="1" t="s">
        <v>23</v>
      </c>
      <c r="C1620" s="1" t="s">
        <v>1242</v>
      </c>
      <c r="D1620" s="1">
        <v>3.0</v>
      </c>
      <c r="E1620" s="1">
        <v>96.0</v>
      </c>
      <c r="F1620" s="1">
        <v>3.0</v>
      </c>
      <c r="G1620" s="1">
        <v>5.0</v>
      </c>
      <c r="H1620" s="1" t="s">
        <v>25</v>
      </c>
      <c r="I1620" s="1" t="s">
        <v>33</v>
      </c>
      <c r="J1620" s="1" t="s">
        <v>18</v>
      </c>
      <c r="K1620" s="1">
        <v>120000.0</v>
      </c>
      <c r="L1620" s="1">
        <v>56.9449314</v>
      </c>
      <c r="M1620" s="1">
        <v>24.1204918</v>
      </c>
    </row>
    <row r="1621">
      <c r="A1621" s="1" t="s">
        <v>22</v>
      </c>
      <c r="B1621" s="1" t="s">
        <v>174</v>
      </c>
      <c r="C1621" s="1" t="s">
        <v>1243</v>
      </c>
      <c r="D1621" s="1">
        <v>3.0</v>
      </c>
      <c r="E1621" s="1">
        <v>73.0</v>
      </c>
      <c r="F1621" s="1">
        <v>8.0</v>
      </c>
      <c r="G1621" s="1">
        <v>9.0</v>
      </c>
      <c r="H1621" s="1" t="s">
        <v>36</v>
      </c>
      <c r="I1621" s="1" t="s">
        <v>17</v>
      </c>
      <c r="J1621" s="1" t="s">
        <v>18</v>
      </c>
      <c r="K1621" s="1">
        <v>82000.0</v>
      </c>
      <c r="L1621" s="1">
        <v>56.9457705</v>
      </c>
      <c r="M1621" s="1">
        <v>24.1722203</v>
      </c>
    </row>
    <row r="1622">
      <c r="A1622" s="1" t="s">
        <v>22</v>
      </c>
      <c r="B1622" s="1" t="s">
        <v>174</v>
      </c>
      <c r="C1622" s="1" t="s">
        <v>1244</v>
      </c>
      <c r="D1622" s="1">
        <v>2.0</v>
      </c>
      <c r="E1622" s="1">
        <v>57.0</v>
      </c>
      <c r="F1622" s="1">
        <v>5.0</v>
      </c>
      <c r="G1622" s="1">
        <v>5.0</v>
      </c>
      <c r="H1622" s="1" t="s">
        <v>57</v>
      </c>
      <c r="I1622" s="1" t="s">
        <v>21</v>
      </c>
      <c r="J1622" s="1" t="s">
        <v>18</v>
      </c>
      <c r="K1622" s="1">
        <v>38000.0</v>
      </c>
      <c r="L1622" s="1">
        <v>56.9330961</v>
      </c>
      <c r="M1622" s="1">
        <v>24.1931686640088</v>
      </c>
    </row>
    <row r="1623">
      <c r="A1623" s="1" t="s">
        <v>22</v>
      </c>
      <c r="B1623" s="1" t="s">
        <v>30</v>
      </c>
      <c r="C1623" s="1" t="s">
        <v>191</v>
      </c>
      <c r="D1623" s="1">
        <v>3.0</v>
      </c>
      <c r="E1623" s="1">
        <v>80.0</v>
      </c>
      <c r="F1623" s="1">
        <v>1.0</v>
      </c>
      <c r="G1623" s="1">
        <v>9.0</v>
      </c>
      <c r="H1623" s="1" t="s">
        <v>36</v>
      </c>
      <c r="I1623" s="1" t="s">
        <v>122</v>
      </c>
      <c r="J1623" s="1" t="s">
        <v>18</v>
      </c>
      <c r="K1623" s="1">
        <v>87000.0</v>
      </c>
      <c r="L1623" s="1">
        <v>56.9788671</v>
      </c>
      <c r="M1623" s="1">
        <v>24.1774824079002</v>
      </c>
    </row>
    <row r="1624">
      <c r="A1624" s="1" t="s">
        <v>89</v>
      </c>
      <c r="B1624" s="1" t="s">
        <v>23</v>
      </c>
      <c r="C1624" s="2"/>
      <c r="D1624" s="1">
        <v>2.0</v>
      </c>
      <c r="E1624" s="2"/>
      <c r="F1624" s="2"/>
      <c r="G1624" s="2"/>
      <c r="H1624" s="2"/>
      <c r="I1624" s="2"/>
      <c r="J1624" s="2"/>
      <c r="K1624" s="2"/>
      <c r="L1624" s="1">
        <v>46.3144754</v>
      </c>
      <c r="M1624" s="1">
        <v>11.0480288</v>
      </c>
    </row>
    <row r="1625">
      <c r="A1625" s="1" t="s">
        <v>22</v>
      </c>
      <c r="B1625" s="1" t="s">
        <v>104</v>
      </c>
      <c r="C1625" s="1" t="s">
        <v>1245</v>
      </c>
      <c r="D1625" s="1">
        <v>2.0</v>
      </c>
      <c r="E1625" s="1">
        <v>51.0</v>
      </c>
      <c r="F1625" s="1">
        <v>1.0</v>
      </c>
      <c r="G1625" s="1">
        <v>5.0</v>
      </c>
      <c r="H1625" s="1" t="s">
        <v>25</v>
      </c>
      <c r="I1625" s="1" t="s">
        <v>33</v>
      </c>
      <c r="J1625" s="1" t="s">
        <v>18</v>
      </c>
      <c r="K1625" s="1">
        <v>42000.0</v>
      </c>
      <c r="L1625" s="1">
        <v>56.9492021</v>
      </c>
      <c r="M1625" s="1">
        <v>23.9587415</v>
      </c>
    </row>
    <row r="1626">
      <c r="A1626" s="1" t="s">
        <v>13</v>
      </c>
      <c r="B1626" s="1" t="s">
        <v>28</v>
      </c>
      <c r="C1626" s="1" t="s">
        <v>1246</v>
      </c>
      <c r="D1626" s="1">
        <v>1.0</v>
      </c>
      <c r="E1626" s="1">
        <v>38.0</v>
      </c>
      <c r="F1626" s="1">
        <v>4.0</v>
      </c>
      <c r="G1626" s="1">
        <v>12.0</v>
      </c>
      <c r="H1626" s="1" t="s">
        <v>221</v>
      </c>
      <c r="I1626" s="1" t="s">
        <v>17</v>
      </c>
      <c r="J1626" s="1" t="s">
        <v>18</v>
      </c>
      <c r="K1626" s="1">
        <v>200.0</v>
      </c>
      <c r="L1626" s="1">
        <v>56.90431635</v>
      </c>
      <c r="M1626" s="1">
        <v>24.1976524370901</v>
      </c>
    </row>
    <row r="1627">
      <c r="A1627" s="1" t="s">
        <v>22</v>
      </c>
      <c r="B1627" s="1" t="s">
        <v>19</v>
      </c>
      <c r="C1627" s="1" t="s">
        <v>120</v>
      </c>
      <c r="D1627" s="1">
        <v>3.0</v>
      </c>
      <c r="E1627" s="1">
        <v>74.0</v>
      </c>
      <c r="F1627" s="1">
        <v>3.0</v>
      </c>
      <c r="G1627" s="1">
        <v>9.0</v>
      </c>
      <c r="H1627" s="1">
        <v>119.0</v>
      </c>
      <c r="I1627" s="1" t="s">
        <v>21</v>
      </c>
      <c r="J1627" s="1" t="s">
        <v>18</v>
      </c>
      <c r="K1627" s="1">
        <v>76000.0</v>
      </c>
      <c r="L1627" s="1">
        <v>56.89859735</v>
      </c>
      <c r="M1627" s="1">
        <v>24.0876707999998</v>
      </c>
    </row>
    <row r="1628">
      <c r="A1628" s="1" t="s">
        <v>13</v>
      </c>
      <c r="B1628" s="1" t="s">
        <v>74</v>
      </c>
      <c r="C1628" s="1" t="s">
        <v>1247</v>
      </c>
      <c r="D1628" s="1">
        <v>1.0</v>
      </c>
      <c r="E1628" s="1">
        <v>43.0</v>
      </c>
      <c r="F1628" s="1">
        <v>5.0</v>
      </c>
      <c r="G1628" s="1">
        <v>5.0</v>
      </c>
      <c r="H1628" s="1" t="s">
        <v>36</v>
      </c>
      <c r="I1628" s="1" t="s">
        <v>21</v>
      </c>
      <c r="J1628" s="1" t="s">
        <v>18</v>
      </c>
      <c r="K1628" s="1">
        <v>220.0</v>
      </c>
      <c r="L1628" s="1">
        <v>56.944418</v>
      </c>
      <c r="M1628" s="1">
        <v>24.1719745</v>
      </c>
    </row>
    <row r="1629">
      <c r="A1629" s="1" t="s">
        <v>13</v>
      </c>
      <c r="B1629" s="1" t="s">
        <v>104</v>
      </c>
      <c r="C1629" s="1" t="s">
        <v>1248</v>
      </c>
      <c r="D1629" s="1">
        <v>1.0</v>
      </c>
      <c r="E1629" s="1">
        <v>28.0</v>
      </c>
      <c r="F1629" s="1">
        <v>2.0</v>
      </c>
      <c r="G1629" s="1">
        <v>3.0</v>
      </c>
      <c r="H1629" s="1" t="s">
        <v>25</v>
      </c>
      <c r="I1629" s="1" t="s">
        <v>26</v>
      </c>
      <c r="J1629" s="1" t="s">
        <v>18</v>
      </c>
      <c r="K1629" s="1">
        <v>215.0</v>
      </c>
      <c r="L1629" s="1">
        <v>56.9421524</v>
      </c>
      <c r="M1629" s="1">
        <v>24.0805290391566</v>
      </c>
    </row>
    <row r="1630">
      <c r="A1630" s="1" t="s">
        <v>13</v>
      </c>
      <c r="B1630" s="1" t="s">
        <v>14</v>
      </c>
      <c r="C1630" s="1" t="s">
        <v>1249</v>
      </c>
      <c r="D1630" s="1">
        <v>1.0</v>
      </c>
      <c r="E1630" s="1">
        <v>30.0</v>
      </c>
      <c r="F1630" s="1">
        <v>5.0</v>
      </c>
      <c r="G1630" s="1">
        <v>5.0</v>
      </c>
      <c r="H1630" s="1" t="s">
        <v>16</v>
      </c>
      <c r="I1630" s="1" t="s">
        <v>21</v>
      </c>
      <c r="J1630" s="1" t="s">
        <v>18</v>
      </c>
      <c r="K1630" s="1">
        <v>200.0</v>
      </c>
      <c r="L1630" s="1">
        <v>56.9527936</v>
      </c>
      <c r="M1630" s="1">
        <v>24.2063812</v>
      </c>
    </row>
    <row r="1631">
      <c r="A1631" s="1" t="s">
        <v>22</v>
      </c>
      <c r="B1631" s="1" t="s">
        <v>52</v>
      </c>
      <c r="C1631" s="1" t="s">
        <v>1250</v>
      </c>
      <c r="D1631" s="1">
        <v>3.0</v>
      </c>
      <c r="E1631" s="1">
        <v>79.0</v>
      </c>
      <c r="F1631" s="1">
        <v>7.0</v>
      </c>
      <c r="G1631" s="1">
        <v>9.0</v>
      </c>
      <c r="H1631" s="1">
        <v>119.0</v>
      </c>
      <c r="I1631" s="1" t="s">
        <v>21</v>
      </c>
      <c r="J1631" s="1" t="s">
        <v>18</v>
      </c>
      <c r="K1631" s="1">
        <v>67000.0</v>
      </c>
      <c r="L1631" s="1">
        <v>56.9451934</v>
      </c>
      <c r="M1631" s="1">
        <v>24.0233205</v>
      </c>
    </row>
    <row r="1632">
      <c r="A1632" s="1" t="s">
        <v>89</v>
      </c>
      <c r="B1632" s="1" t="s">
        <v>42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1">
        <v>46.3144754</v>
      </c>
      <c r="M1632" s="1">
        <v>11.0480288</v>
      </c>
    </row>
    <row r="1633">
      <c r="A1633" s="1" t="s">
        <v>22</v>
      </c>
      <c r="B1633" s="1" t="s">
        <v>447</v>
      </c>
      <c r="C1633" s="1" t="s">
        <v>1251</v>
      </c>
      <c r="D1633" s="1">
        <v>2.0</v>
      </c>
      <c r="E1633" s="1">
        <v>69.0</v>
      </c>
      <c r="F1633" s="1">
        <v>1.0</v>
      </c>
      <c r="G1633" s="1">
        <v>3.0</v>
      </c>
      <c r="H1633" s="1" t="s">
        <v>32</v>
      </c>
      <c r="I1633" s="1" t="s">
        <v>33</v>
      </c>
      <c r="J1633" s="1" t="s">
        <v>18</v>
      </c>
      <c r="K1633" s="1">
        <v>83000.0</v>
      </c>
      <c r="L1633" s="1">
        <v>56.91549245</v>
      </c>
      <c r="M1633" s="1">
        <v>24.0851105570122</v>
      </c>
    </row>
    <row r="1634">
      <c r="A1634" s="1" t="s">
        <v>22</v>
      </c>
      <c r="B1634" s="1" t="s">
        <v>76</v>
      </c>
      <c r="C1634" s="1" t="s">
        <v>1252</v>
      </c>
      <c r="D1634" s="1">
        <v>3.0</v>
      </c>
      <c r="E1634" s="1">
        <v>60.0</v>
      </c>
      <c r="F1634" s="1">
        <v>2.0</v>
      </c>
      <c r="G1634" s="1">
        <v>5.0</v>
      </c>
      <c r="H1634" s="1" t="s">
        <v>16</v>
      </c>
      <c r="I1634" s="1" t="s">
        <v>21</v>
      </c>
      <c r="J1634" s="1" t="s">
        <v>18</v>
      </c>
      <c r="K1634" s="1">
        <v>50000.0</v>
      </c>
      <c r="L1634" s="1">
        <v>56.955916</v>
      </c>
      <c r="M1634" s="1">
        <v>24.0464013183229</v>
      </c>
    </row>
    <row r="1635">
      <c r="A1635" s="1" t="s">
        <v>13</v>
      </c>
      <c r="B1635" s="1" t="s">
        <v>96</v>
      </c>
      <c r="C1635" s="1" t="s">
        <v>1253</v>
      </c>
      <c r="D1635" s="1">
        <v>1.0</v>
      </c>
      <c r="E1635" s="1">
        <v>20.0</v>
      </c>
      <c r="F1635" s="1">
        <v>2.0</v>
      </c>
      <c r="G1635" s="1">
        <v>5.0</v>
      </c>
      <c r="H1635" s="1" t="s">
        <v>36</v>
      </c>
      <c r="I1635" s="1" t="s">
        <v>17</v>
      </c>
      <c r="J1635" s="1" t="s">
        <v>18</v>
      </c>
      <c r="K1635" s="1">
        <v>170.0</v>
      </c>
      <c r="L1635" s="1">
        <v>57.0327263</v>
      </c>
      <c r="M1635" s="1">
        <v>24.1182900317385</v>
      </c>
    </row>
    <row r="1636">
      <c r="A1636" s="1" t="s">
        <v>22</v>
      </c>
      <c r="B1636" s="1" t="s">
        <v>38</v>
      </c>
      <c r="C1636" s="1" t="s">
        <v>1254</v>
      </c>
      <c r="D1636" s="1">
        <v>1.0</v>
      </c>
      <c r="E1636" s="1">
        <v>28.0</v>
      </c>
      <c r="F1636" s="1">
        <v>5.0</v>
      </c>
      <c r="G1636" s="1">
        <v>5.0</v>
      </c>
      <c r="H1636" s="1" t="s">
        <v>16</v>
      </c>
      <c r="I1636" s="1" t="s">
        <v>21</v>
      </c>
      <c r="J1636" s="1" t="s">
        <v>18</v>
      </c>
      <c r="K1636" s="1">
        <v>27300.0</v>
      </c>
      <c r="L1636" s="1" t="s">
        <v>40</v>
      </c>
      <c r="M1636" s="1" t="s">
        <v>40</v>
      </c>
    </row>
    <row r="1637">
      <c r="A1637" s="1" t="s">
        <v>22</v>
      </c>
      <c r="B1637" s="1" t="s">
        <v>151</v>
      </c>
      <c r="C1637" s="1" t="s">
        <v>512</v>
      </c>
      <c r="D1637" s="1">
        <v>2.0</v>
      </c>
      <c r="E1637" s="1">
        <v>50.0</v>
      </c>
      <c r="F1637" s="1">
        <v>2.0</v>
      </c>
      <c r="G1637" s="1">
        <v>3.0</v>
      </c>
      <c r="H1637" s="1" t="s">
        <v>181</v>
      </c>
      <c r="I1637" s="1" t="s">
        <v>17</v>
      </c>
      <c r="J1637" s="1" t="s">
        <v>18</v>
      </c>
      <c r="K1637" s="1">
        <v>42000.0</v>
      </c>
      <c r="L1637" s="1">
        <v>56.9661155999999</v>
      </c>
      <c r="M1637" s="1">
        <v>24.0633048760373</v>
      </c>
    </row>
    <row r="1638">
      <c r="A1638" s="1" t="s">
        <v>13</v>
      </c>
      <c r="B1638" s="1" t="s">
        <v>23</v>
      </c>
      <c r="C1638" s="1" t="s">
        <v>547</v>
      </c>
      <c r="D1638" s="1">
        <v>3.0</v>
      </c>
      <c r="E1638" s="1">
        <v>87.0</v>
      </c>
      <c r="F1638" s="1">
        <v>3.0</v>
      </c>
      <c r="G1638" s="1">
        <v>6.0</v>
      </c>
      <c r="H1638" s="1" t="s">
        <v>25</v>
      </c>
      <c r="I1638" s="1" t="s">
        <v>37</v>
      </c>
      <c r="J1638" s="1" t="s">
        <v>18</v>
      </c>
      <c r="K1638" s="1">
        <v>900.0</v>
      </c>
      <c r="L1638" s="1" t="s">
        <v>40</v>
      </c>
      <c r="M1638" s="1" t="s">
        <v>40</v>
      </c>
    </row>
    <row r="1639">
      <c r="A1639" s="1" t="s">
        <v>22</v>
      </c>
      <c r="B1639" s="1" t="s">
        <v>14</v>
      </c>
      <c r="C1639" s="1" t="s">
        <v>1255</v>
      </c>
      <c r="D1639" s="1">
        <v>3.0</v>
      </c>
      <c r="E1639" s="1">
        <v>83.0</v>
      </c>
      <c r="F1639" s="1">
        <v>1.0</v>
      </c>
      <c r="G1639" s="1">
        <v>6.0</v>
      </c>
      <c r="H1639" s="1" t="s">
        <v>32</v>
      </c>
      <c r="I1639" s="1" t="s">
        <v>37</v>
      </c>
      <c r="J1639" s="1" t="s">
        <v>18</v>
      </c>
      <c r="K1639" s="1">
        <v>99000.0</v>
      </c>
      <c r="L1639" s="1">
        <v>56.9574717999999</v>
      </c>
      <c r="M1639" s="1">
        <v>24.1669890886796</v>
      </c>
    </row>
    <row r="1640">
      <c r="A1640" s="1" t="s">
        <v>22</v>
      </c>
      <c r="B1640" s="1" t="s">
        <v>104</v>
      </c>
      <c r="C1640" s="1" t="s">
        <v>1256</v>
      </c>
      <c r="D1640" s="1">
        <v>4.0</v>
      </c>
      <c r="E1640" s="1">
        <v>88.1</v>
      </c>
      <c r="F1640" s="1">
        <v>2.0</v>
      </c>
      <c r="G1640" s="1">
        <v>4.0</v>
      </c>
      <c r="H1640" s="1" t="s">
        <v>181</v>
      </c>
      <c r="I1640" s="1" t="s">
        <v>33</v>
      </c>
      <c r="J1640" s="1" t="s">
        <v>18</v>
      </c>
      <c r="K1640" s="1">
        <v>107500.0</v>
      </c>
      <c r="L1640" s="1">
        <v>56.94462275</v>
      </c>
      <c r="M1640" s="1">
        <v>24.0750961479727</v>
      </c>
    </row>
    <row r="1641">
      <c r="A1641" s="1" t="s">
        <v>22</v>
      </c>
      <c r="B1641" s="1" t="s">
        <v>23</v>
      </c>
      <c r="C1641" s="1" t="s">
        <v>91</v>
      </c>
      <c r="D1641" s="1">
        <v>3.0</v>
      </c>
      <c r="E1641" s="1">
        <v>107.0</v>
      </c>
      <c r="F1641" s="1">
        <v>5.0</v>
      </c>
      <c r="G1641" s="1">
        <v>6.0</v>
      </c>
      <c r="H1641" s="1" t="s">
        <v>32</v>
      </c>
      <c r="I1641" s="1" t="s">
        <v>33</v>
      </c>
      <c r="J1641" s="1" t="s">
        <v>18</v>
      </c>
      <c r="K1641" s="1">
        <v>365000.0</v>
      </c>
      <c r="L1641" s="1">
        <v>56.9552522</v>
      </c>
      <c r="M1641" s="1">
        <v>24.0999991251943</v>
      </c>
    </row>
    <row r="1642">
      <c r="A1642" s="1" t="s">
        <v>22</v>
      </c>
      <c r="B1642" s="1" t="s">
        <v>23</v>
      </c>
      <c r="C1642" s="1" t="s">
        <v>34</v>
      </c>
      <c r="D1642" s="1">
        <v>3.0</v>
      </c>
      <c r="E1642" s="1">
        <v>64.0</v>
      </c>
      <c r="F1642" s="1">
        <v>4.0</v>
      </c>
      <c r="G1642" s="1">
        <v>6.0</v>
      </c>
      <c r="H1642" s="1" t="s">
        <v>25</v>
      </c>
      <c r="I1642" s="1" t="s">
        <v>33</v>
      </c>
      <c r="J1642" s="1" t="s">
        <v>18</v>
      </c>
      <c r="K1642" s="1">
        <v>164000.0</v>
      </c>
      <c r="L1642" s="1">
        <v>56.9566594</v>
      </c>
      <c r="M1642" s="1">
        <v>24.1237638</v>
      </c>
    </row>
    <row r="1643">
      <c r="A1643" s="1" t="s">
        <v>13</v>
      </c>
      <c r="B1643" s="1" t="s">
        <v>30</v>
      </c>
      <c r="C1643" s="1" t="s">
        <v>1257</v>
      </c>
      <c r="D1643" s="1">
        <v>2.0</v>
      </c>
      <c r="E1643" s="1">
        <v>50.0</v>
      </c>
      <c r="F1643" s="1">
        <v>3.0</v>
      </c>
      <c r="G1643" s="1">
        <v>3.0</v>
      </c>
      <c r="H1643" s="1" t="s">
        <v>66</v>
      </c>
      <c r="I1643" s="1" t="s">
        <v>37</v>
      </c>
      <c r="J1643" s="1" t="s">
        <v>18</v>
      </c>
      <c r="K1643" s="1">
        <v>520.0</v>
      </c>
      <c r="L1643" s="1">
        <v>56.9779316</v>
      </c>
      <c r="M1643" s="1">
        <v>24.1829942509156</v>
      </c>
    </row>
    <row r="1644">
      <c r="A1644" s="1" t="s">
        <v>22</v>
      </c>
      <c r="B1644" s="1" t="s">
        <v>23</v>
      </c>
      <c r="C1644" s="1" t="s">
        <v>34</v>
      </c>
      <c r="D1644" s="1">
        <v>3.0</v>
      </c>
      <c r="E1644" s="1">
        <v>60.0</v>
      </c>
      <c r="F1644" s="1">
        <v>4.0</v>
      </c>
      <c r="G1644" s="1">
        <v>5.0</v>
      </c>
      <c r="H1644" s="1" t="s">
        <v>25</v>
      </c>
      <c r="I1644" s="1" t="s">
        <v>33</v>
      </c>
      <c r="J1644" s="1" t="s">
        <v>18</v>
      </c>
      <c r="K1644" s="1">
        <v>151000.0</v>
      </c>
      <c r="L1644" s="1">
        <v>56.9566594</v>
      </c>
      <c r="M1644" s="1">
        <v>24.1237638</v>
      </c>
    </row>
    <row r="1645">
      <c r="A1645" s="1" t="s">
        <v>13</v>
      </c>
      <c r="B1645" s="1" t="s">
        <v>23</v>
      </c>
      <c r="C1645" s="1" t="s">
        <v>1258</v>
      </c>
      <c r="D1645" s="1">
        <v>2.0</v>
      </c>
      <c r="E1645" s="1">
        <v>53.0</v>
      </c>
      <c r="F1645" s="1">
        <v>2.0</v>
      </c>
      <c r="G1645" s="1">
        <v>5.0</v>
      </c>
      <c r="H1645" s="1" t="s">
        <v>25</v>
      </c>
      <c r="I1645" s="1" t="s">
        <v>33</v>
      </c>
      <c r="J1645" s="1" t="s">
        <v>18</v>
      </c>
      <c r="K1645" s="1">
        <v>380.0</v>
      </c>
      <c r="L1645" s="1">
        <v>56.9491043</v>
      </c>
      <c r="M1645" s="1">
        <v>24.1287796</v>
      </c>
    </row>
    <row r="1646">
      <c r="A1646" s="1" t="s">
        <v>22</v>
      </c>
      <c r="B1646" s="1" t="s">
        <v>23</v>
      </c>
      <c r="C1646" s="1" t="s">
        <v>1259</v>
      </c>
      <c r="D1646" s="1">
        <v>4.0</v>
      </c>
      <c r="E1646" s="1">
        <v>130.0</v>
      </c>
      <c r="F1646" s="1">
        <v>1.0</v>
      </c>
      <c r="G1646" s="1">
        <v>6.0</v>
      </c>
      <c r="H1646" s="1" t="s">
        <v>25</v>
      </c>
      <c r="I1646" s="1" t="s">
        <v>33</v>
      </c>
      <c r="J1646" s="1" t="s">
        <v>18</v>
      </c>
      <c r="K1646" s="1">
        <v>110500.0</v>
      </c>
      <c r="L1646" s="1">
        <v>56.95567115</v>
      </c>
      <c r="M1646" s="1">
        <v>24.1314109608833</v>
      </c>
    </row>
    <row r="1647">
      <c r="A1647" s="1" t="s">
        <v>22</v>
      </c>
      <c r="B1647" s="1" t="s">
        <v>38</v>
      </c>
      <c r="C1647" s="1" t="s">
        <v>1260</v>
      </c>
      <c r="D1647" s="1">
        <v>3.0</v>
      </c>
      <c r="E1647" s="1">
        <v>110.9</v>
      </c>
      <c r="F1647" s="1">
        <v>1.0</v>
      </c>
      <c r="G1647" s="1">
        <v>12.0</v>
      </c>
      <c r="H1647" s="1" t="s">
        <v>221</v>
      </c>
      <c r="I1647" s="1" t="s">
        <v>17</v>
      </c>
      <c r="J1647" s="1" t="s">
        <v>18</v>
      </c>
      <c r="K1647" s="1">
        <v>110000.0</v>
      </c>
      <c r="L1647" s="1">
        <v>56.96474785</v>
      </c>
      <c r="M1647" s="1">
        <v>24.0163911959267</v>
      </c>
    </row>
    <row r="1648">
      <c r="A1648" s="1" t="s">
        <v>13</v>
      </c>
      <c r="B1648" s="1" t="s">
        <v>23</v>
      </c>
      <c r="C1648" s="1" t="s">
        <v>1261</v>
      </c>
      <c r="D1648" s="1">
        <v>2.0</v>
      </c>
      <c r="E1648" s="1">
        <v>44.0</v>
      </c>
      <c r="F1648" s="1">
        <v>23.0</v>
      </c>
      <c r="G1648" s="1">
        <v>23.0</v>
      </c>
      <c r="H1648" s="1" t="s">
        <v>32</v>
      </c>
      <c r="I1648" s="1" t="s">
        <v>21</v>
      </c>
      <c r="J1648" s="1" t="s">
        <v>18</v>
      </c>
      <c r="K1648" s="1">
        <v>600.0</v>
      </c>
      <c r="L1648" s="1">
        <v>56.9726415</v>
      </c>
      <c r="M1648" s="1">
        <v>24.1250304839285</v>
      </c>
    </row>
    <row r="1649">
      <c r="A1649" s="1" t="s">
        <v>22</v>
      </c>
      <c r="B1649" s="1" t="s">
        <v>23</v>
      </c>
      <c r="C1649" s="1" t="s">
        <v>1262</v>
      </c>
      <c r="D1649" s="1">
        <v>2.0</v>
      </c>
      <c r="E1649" s="1">
        <v>50.0</v>
      </c>
      <c r="F1649" s="1">
        <v>3.0</v>
      </c>
      <c r="G1649" s="1">
        <v>5.0</v>
      </c>
      <c r="H1649" s="1" t="s">
        <v>25</v>
      </c>
      <c r="I1649" s="1" t="s">
        <v>33</v>
      </c>
      <c r="J1649" s="1" t="s">
        <v>18</v>
      </c>
      <c r="K1649" s="1">
        <v>71300.0</v>
      </c>
      <c r="L1649" s="1">
        <v>56.9568138</v>
      </c>
      <c r="M1649" s="1">
        <v>24.1172697</v>
      </c>
    </row>
    <row r="1650">
      <c r="A1650" s="1" t="s">
        <v>13</v>
      </c>
      <c r="B1650" s="1" t="s">
        <v>23</v>
      </c>
      <c r="C1650" s="1" t="s">
        <v>1045</v>
      </c>
      <c r="D1650" s="1">
        <v>1.0</v>
      </c>
      <c r="E1650" s="1">
        <v>25.0</v>
      </c>
      <c r="F1650" s="1">
        <v>2.0</v>
      </c>
      <c r="G1650" s="1">
        <v>6.0</v>
      </c>
      <c r="H1650" s="1" t="s">
        <v>25</v>
      </c>
      <c r="I1650" s="1" t="s">
        <v>33</v>
      </c>
      <c r="J1650" s="1" t="s">
        <v>18</v>
      </c>
      <c r="K1650" s="1">
        <v>250.0</v>
      </c>
      <c r="L1650" s="1">
        <v>56.95619535</v>
      </c>
      <c r="M1650" s="1">
        <v>24.1519378142022</v>
      </c>
    </row>
    <row r="1651">
      <c r="A1651" s="1" t="s">
        <v>13</v>
      </c>
      <c r="B1651" s="1" t="s">
        <v>74</v>
      </c>
      <c r="C1651" s="1" t="s">
        <v>1263</v>
      </c>
      <c r="D1651" s="1">
        <v>1.0</v>
      </c>
      <c r="E1651" s="1">
        <v>40.0</v>
      </c>
      <c r="F1651" s="1">
        <v>4.0</v>
      </c>
      <c r="G1651" s="1">
        <v>9.0</v>
      </c>
      <c r="H1651" s="1" t="s">
        <v>57</v>
      </c>
      <c r="I1651" s="1" t="s">
        <v>21</v>
      </c>
      <c r="J1651" s="1" t="s">
        <v>18</v>
      </c>
      <c r="K1651" s="1">
        <v>180.0</v>
      </c>
      <c r="L1651" s="1">
        <v>56.94315815</v>
      </c>
      <c r="M1651" s="1">
        <v>24.212789903353</v>
      </c>
    </row>
    <row r="1652">
      <c r="A1652" s="1" t="s">
        <v>22</v>
      </c>
      <c r="B1652" s="1" t="s">
        <v>99</v>
      </c>
      <c r="C1652" s="1" t="s">
        <v>1264</v>
      </c>
      <c r="D1652" s="1">
        <v>6.0</v>
      </c>
      <c r="E1652" s="1">
        <v>228.0</v>
      </c>
      <c r="F1652" s="1">
        <v>6.0</v>
      </c>
      <c r="G1652" s="1">
        <v>7.0</v>
      </c>
      <c r="H1652" s="1" t="s">
        <v>32</v>
      </c>
      <c r="I1652" s="1" t="s">
        <v>33</v>
      </c>
      <c r="J1652" s="1" t="s">
        <v>18</v>
      </c>
      <c r="K1652" s="1">
        <v>225000.0</v>
      </c>
      <c r="L1652" s="1">
        <v>56.94381835</v>
      </c>
      <c r="M1652" s="1">
        <v>24.0909860542956</v>
      </c>
    </row>
    <row r="1653">
      <c r="A1653" s="1" t="s">
        <v>22</v>
      </c>
      <c r="B1653" s="1" t="s">
        <v>96</v>
      </c>
      <c r="C1653" s="1" t="s">
        <v>1265</v>
      </c>
      <c r="D1653" s="1">
        <v>4.0</v>
      </c>
      <c r="E1653" s="1">
        <v>64.0</v>
      </c>
      <c r="F1653" s="1">
        <v>1.0</v>
      </c>
      <c r="G1653" s="1">
        <v>3.0</v>
      </c>
      <c r="H1653" s="1" t="s">
        <v>181</v>
      </c>
      <c r="I1653" s="1" t="s">
        <v>37</v>
      </c>
      <c r="J1653" s="1" t="s">
        <v>18</v>
      </c>
      <c r="K1653" s="1">
        <v>57000.0</v>
      </c>
      <c r="L1653" s="1">
        <v>57.0290793</v>
      </c>
      <c r="M1653" s="1">
        <v>24.1110987</v>
      </c>
    </row>
    <row r="1654">
      <c r="A1654" s="1" t="s">
        <v>13</v>
      </c>
      <c r="B1654" s="1" t="s">
        <v>23</v>
      </c>
      <c r="C1654" s="1" t="s">
        <v>1266</v>
      </c>
      <c r="D1654" s="1">
        <v>3.0</v>
      </c>
      <c r="E1654" s="1">
        <v>110.0</v>
      </c>
      <c r="F1654" s="1">
        <v>5.0</v>
      </c>
      <c r="G1654" s="1">
        <v>6.0</v>
      </c>
      <c r="H1654" s="1" t="s">
        <v>25</v>
      </c>
      <c r="I1654" s="1" t="s">
        <v>33</v>
      </c>
      <c r="J1654" s="1" t="s">
        <v>18</v>
      </c>
      <c r="K1654" s="1">
        <v>800.0</v>
      </c>
      <c r="L1654" s="1">
        <v>56.962799</v>
      </c>
      <c r="M1654" s="1">
        <v>24.122128313389</v>
      </c>
    </row>
    <row r="1655">
      <c r="A1655" s="1" t="s">
        <v>22</v>
      </c>
      <c r="B1655" s="1" t="s">
        <v>23</v>
      </c>
      <c r="C1655" s="1" t="s">
        <v>1267</v>
      </c>
      <c r="D1655" s="1">
        <v>4.0</v>
      </c>
      <c r="E1655" s="1">
        <v>116.0</v>
      </c>
      <c r="F1655" s="1">
        <v>3.0</v>
      </c>
      <c r="G1655" s="1">
        <v>5.0</v>
      </c>
      <c r="H1655" s="1" t="s">
        <v>25</v>
      </c>
      <c r="I1655" s="1" t="s">
        <v>33</v>
      </c>
      <c r="J1655" s="1" t="s">
        <v>18</v>
      </c>
      <c r="K1655" s="1">
        <v>130000.0</v>
      </c>
      <c r="L1655" s="1">
        <v>56.94937</v>
      </c>
      <c r="M1655" s="1">
        <v>24.1253575</v>
      </c>
    </row>
    <row r="1656">
      <c r="A1656" s="1" t="s">
        <v>13</v>
      </c>
      <c r="B1656" s="1" t="s">
        <v>28</v>
      </c>
      <c r="C1656" s="1" t="s">
        <v>1268</v>
      </c>
      <c r="D1656" s="1">
        <v>3.0</v>
      </c>
      <c r="E1656" s="1">
        <v>59.0</v>
      </c>
      <c r="F1656" s="1">
        <v>5.0</v>
      </c>
      <c r="G1656" s="1">
        <v>5.0</v>
      </c>
      <c r="H1656" s="1" t="s">
        <v>16</v>
      </c>
      <c r="I1656" s="1" t="s">
        <v>21</v>
      </c>
      <c r="J1656" s="1" t="s">
        <v>18</v>
      </c>
      <c r="K1656" s="1">
        <v>350.0</v>
      </c>
      <c r="L1656" s="1">
        <v>56.8597884</v>
      </c>
      <c r="M1656" s="1">
        <v>24.3083417</v>
      </c>
    </row>
    <row r="1657">
      <c r="A1657" s="1" t="s">
        <v>22</v>
      </c>
      <c r="B1657" s="1" t="s">
        <v>23</v>
      </c>
      <c r="C1657" s="1" t="s">
        <v>982</v>
      </c>
      <c r="D1657" s="1">
        <v>4.0</v>
      </c>
      <c r="E1657" s="1">
        <v>75.0</v>
      </c>
      <c r="F1657" s="1">
        <v>4.0</v>
      </c>
      <c r="G1657" s="1">
        <v>9.0</v>
      </c>
      <c r="H1657" s="1" t="s">
        <v>32</v>
      </c>
      <c r="I1657" s="1" t="s">
        <v>33</v>
      </c>
      <c r="J1657" s="1" t="s">
        <v>18</v>
      </c>
      <c r="K1657" s="1">
        <v>129000.0</v>
      </c>
      <c r="L1657" s="1">
        <v>56.9742195</v>
      </c>
      <c r="M1657" s="1">
        <v>24.1483510382088</v>
      </c>
    </row>
    <row r="1658">
      <c r="A1658" s="1" t="s">
        <v>22</v>
      </c>
      <c r="B1658" s="1" t="s">
        <v>23</v>
      </c>
      <c r="C1658" s="1" t="s">
        <v>996</v>
      </c>
      <c r="D1658" s="1">
        <v>2.0</v>
      </c>
      <c r="E1658" s="1">
        <v>55.0</v>
      </c>
      <c r="F1658" s="1">
        <v>3.0</v>
      </c>
      <c r="G1658" s="1">
        <v>12.0</v>
      </c>
      <c r="H1658" s="1" t="s">
        <v>36</v>
      </c>
      <c r="I1658" s="1" t="s">
        <v>37</v>
      </c>
      <c r="J1658" s="1" t="s">
        <v>18</v>
      </c>
      <c r="K1658" s="1">
        <v>75000.0</v>
      </c>
      <c r="L1658" s="1">
        <v>56.97368625</v>
      </c>
      <c r="M1658" s="1">
        <v>24.1311027209292</v>
      </c>
    </row>
    <row r="1659">
      <c r="A1659" s="1" t="s">
        <v>13</v>
      </c>
      <c r="B1659" s="1" t="s">
        <v>23</v>
      </c>
      <c r="C1659" s="1" t="s">
        <v>1269</v>
      </c>
      <c r="D1659" s="1">
        <v>3.0</v>
      </c>
      <c r="E1659" s="1">
        <v>110.0</v>
      </c>
      <c r="F1659" s="1">
        <v>6.0</v>
      </c>
      <c r="G1659" s="1">
        <v>7.0</v>
      </c>
      <c r="H1659" s="1" t="s">
        <v>66</v>
      </c>
      <c r="I1659" s="1" t="s">
        <v>33</v>
      </c>
      <c r="J1659" s="1" t="s">
        <v>18</v>
      </c>
      <c r="K1659" s="1">
        <v>1200.0</v>
      </c>
      <c r="L1659" s="1">
        <v>56.953059</v>
      </c>
      <c r="M1659" s="1">
        <v>24.1200556</v>
      </c>
    </row>
    <row r="1660">
      <c r="A1660" s="1" t="s">
        <v>22</v>
      </c>
      <c r="B1660" s="1" t="s">
        <v>74</v>
      </c>
      <c r="C1660" s="1" t="s">
        <v>923</v>
      </c>
      <c r="D1660" s="1">
        <v>3.0</v>
      </c>
      <c r="E1660" s="1">
        <v>63.0</v>
      </c>
      <c r="F1660" s="1">
        <v>9.0</v>
      </c>
      <c r="G1660" s="1">
        <v>9.0</v>
      </c>
      <c r="H1660" s="1">
        <v>602.0</v>
      </c>
      <c r="I1660" s="1" t="s">
        <v>21</v>
      </c>
      <c r="J1660" s="1" t="s">
        <v>18</v>
      </c>
      <c r="K1660" s="1">
        <v>58800.0</v>
      </c>
      <c r="L1660" s="1">
        <v>56.9342176</v>
      </c>
      <c r="M1660" s="1">
        <v>24.2070676596876</v>
      </c>
    </row>
    <row r="1661">
      <c r="A1661" s="1" t="s">
        <v>22</v>
      </c>
      <c r="B1661" s="1" t="s">
        <v>109</v>
      </c>
      <c r="C1661" s="1" t="s">
        <v>475</v>
      </c>
      <c r="D1661" s="1">
        <v>4.0</v>
      </c>
      <c r="E1661" s="1">
        <v>126.0</v>
      </c>
      <c r="F1661" s="1">
        <v>2.0</v>
      </c>
      <c r="G1661" s="1">
        <v>4.0</v>
      </c>
      <c r="H1661" s="1" t="s">
        <v>32</v>
      </c>
      <c r="I1661" s="1" t="s">
        <v>21</v>
      </c>
      <c r="J1661" s="1" t="s">
        <v>18</v>
      </c>
      <c r="K1661" s="1">
        <v>143000.0</v>
      </c>
      <c r="L1661" s="1">
        <v>56.99733515</v>
      </c>
      <c r="M1661" s="1">
        <v>24.1704467</v>
      </c>
    </row>
    <row r="1662">
      <c r="A1662" s="1" t="s">
        <v>22</v>
      </c>
      <c r="B1662" s="1" t="s">
        <v>60</v>
      </c>
      <c r="C1662" s="1" t="s">
        <v>854</v>
      </c>
      <c r="D1662" s="1">
        <v>2.0</v>
      </c>
      <c r="E1662" s="1">
        <v>48.0</v>
      </c>
      <c r="F1662" s="1">
        <v>2.0</v>
      </c>
      <c r="G1662" s="1">
        <v>5.0</v>
      </c>
      <c r="H1662" s="1" t="s">
        <v>16</v>
      </c>
      <c r="I1662" s="1" t="s">
        <v>122</v>
      </c>
      <c r="J1662" s="1" t="s">
        <v>18</v>
      </c>
      <c r="K1662" s="1">
        <v>31300.0</v>
      </c>
      <c r="L1662" s="1">
        <v>57.03099005</v>
      </c>
      <c r="M1662" s="1">
        <v>24.0574072</v>
      </c>
    </row>
    <row r="1663">
      <c r="A1663" s="1" t="s">
        <v>13</v>
      </c>
      <c r="B1663" s="1" t="s">
        <v>151</v>
      </c>
      <c r="C1663" s="1" t="s">
        <v>1270</v>
      </c>
      <c r="D1663" s="1">
        <v>1.0</v>
      </c>
      <c r="E1663" s="1">
        <v>25.0</v>
      </c>
      <c r="F1663" s="1">
        <v>2.0</v>
      </c>
      <c r="G1663" s="1">
        <v>2.0</v>
      </c>
      <c r="H1663" s="1" t="s">
        <v>171</v>
      </c>
      <c r="I1663" s="1" t="s">
        <v>33</v>
      </c>
      <c r="J1663" s="1" t="s">
        <v>18</v>
      </c>
      <c r="K1663" s="1">
        <v>175.0</v>
      </c>
      <c r="L1663" s="1">
        <v>56.95418</v>
      </c>
      <c r="M1663" s="1">
        <v>24.0522263950971</v>
      </c>
    </row>
    <row r="1664">
      <c r="A1664" s="1" t="s">
        <v>22</v>
      </c>
      <c r="B1664" s="1" t="s">
        <v>94</v>
      </c>
      <c r="C1664" s="1" t="s">
        <v>1237</v>
      </c>
      <c r="D1664" s="1">
        <v>2.0</v>
      </c>
      <c r="E1664" s="1">
        <v>38.0</v>
      </c>
      <c r="F1664" s="1">
        <v>4.0</v>
      </c>
      <c r="G1664" s="1">
        <v>5.0</v>
      </c>
      <c r="H1664" s="1" t="s">
        <v>36</v>
      </c>
      <c r="I1664" s="1" t="s">
        <v>37</v>
      </c>
      <c r="J1664" s="1" t="s">
        <v>18</v>
      </c>
      <c r="K1664" s="1">
        <v>39000.0</v>
      </c>
      <c r="L1664" s="1">
        <v>56.93425325</v>
      </c>
      <c r="M1664" s="1">
        <v>24.1548609852833</v>
      </c>
    </row>
    <row r="1665">
      <c r="A1665" s="1" t="s">
        <v>22</v>
      </c>
      <c r="B1665" s="1" t="s">
        <v>23</v>
      </c>
      <c r="C1665" s="1" t="s">
        <v>1222</v>
      </c>
      <c r="D1665" s="1">
        <v>3.0</v>
      </c>
      <c r="E1665" s="1">
        <v>60.47</v>
      </c>
      <c r="F1665" s="1">
        <v>2.0</v>
      </c>
      <c r="G1665" s="1">
        <v>5.0</v>
      </c>
      <c r="H1665" s="1" t="s">
        <v>66</v>
      </c>
      <c r="I1665" s="1" t="s">
        <v>33</v>
      </c>
      <c r="J1665" s="1" t="s">
        <v>18</v>
      </c>
      <c r="K1665" s="1">
        <v>125000.0</v>
      </c>
      <c r="L1665" s="1">
        <v>56.95652115</v>
      </c>
      <c r="M1665" s="1">
        <v>24.1476809000188</v>
      </c>
    </row>
    <row r="1666">
      <c r="A1666" s="1" t="s">
        <v>13</v>
      </c>
      <c r="B1666" s="1" t="s">
        <v>19</v>
      </c>
      <c r="C1666" s="1" t="s">
        <v>1271</v>
      </c>
      <c r="D1666" s="1">
        <v>2.0</v>
      </c>
      <c r="E1666" s="1">
        <v>60.0</v>
      </c>
      <c r="F1666" s="1">
        <v>1.0</v>
      </c>
      <c r="G1666" s="1">
        <v>1.0</v>
      </c>
      <c r="H1666" s="1" t="s">
        <v>171</v>
      </c>
      <c r="I1666" s="1" t="s">
        <v>37</v>
      </c>
      <c r="J1666" s="1" t="s">
        <v>18</v>
      </c>
      <c r="K1666" s="1">
        <v>360.0</v>
      </c>
      <c r="L1666" s="1">
        <v>56.9138392</v>
      </c>
      <c r="M1666" s="1">
        <v>24.10133385</v>
      </c>
    </row>
    <row r="1667">
      <c r="A1667" s="1" t="s">
        <v>22</v>
      </c>
      <c r="B1667" s="1" t="s">
        <v>104</v>
      </c>
      <c r="C1667" s="1" t="s">
        <v>1272</v>
      </c>
      <c r="D1667" s="1">
        <v>2.0</v>
      </c>
      <c r="E1667" s="1">
        <v>41.0</v>
      </c>
      <c r="F1667" s="1">
        <v>2.0</v>
      </c>
      <c r="G1667" s="1">
        <v>4.0</v>
      </c>
      <c r="H1667" s="1" t="s">
        <v>44</v>
      </c>
      <c r="I1667" s="1" t="s">
        <v>37</v>
      </c>
      <c r="J1667" s="1" t="s">
        <v>18</v>
      </c>
      <c r="K1667" s="1">
        <v>34900.0</v>
      </c>
      <c r="L1667" s="1">
        <v>56.9368604999999</v>
      </c>
      <c r="M1667" s="1">
        <v>24.0568784734789</v>
      </c>
    </row>
    <row r="1668">
      <c r="A1668" s="1" t="s">
        <v>22</v>
      </c>
      <c r="B1668" s="1" t="s">
        <v>30</v>
      </c>
      <c r="C1668" s="1" t="s">
        <v>607</v>
      </c>
      <c r="D1668" s="1">
        <v>3.0</v>
      </c>
      <c r="E1668" s="1">
        <v>86.0</v>
      </c>
      <c r="F1668" s="1">
        <v>3.0</v>
      </c>
      <c r="G1668" s="1">
        <v>3.0</v>
      </c>
      <c r="H1668" s="1" t="s">
        <v>66</v>
      </c>
      <c r="I1668" s="1" t="s">
        <v>17</v>
      </c>
      <c r="J1668" s="1" t="s">
        <v>18</v>
      </c>
      <c r="K1668" s="1">
        <v>129000.0</v>
      </c>
      <c r="L1668" s="1">
        <v>56.9690716</v>
      </c>
      <c r="M1668" s="1">
        <v>24.1716498860135</v>
      </c>
    </row>
    <row r="1669">
      <c r="A1669" s="1" t="s">
        <v>22</v>
      </c>
      <c r="B1669" s="1" t="s">
        <v>23</v>
      </c>
      <c r="C1669" s="1" t="s">
        <v>1273</v>
      </c>
      <c r="D1669" s="1">
        <v>1.0</v>
      </c>
      <c r="E1669" s="1">
        <v>42.0</v>
      </c>
      <c r="F1669" s="1">
        <v>4.0</v>
      </c>
      <c r="G1669" s="1">
        <v>4.0</v>
      </c>
      <c r="H1669" s="1" t="s">
        <v>25</v>
      </c>
      <c r="I1669" s="1" t="s">
        <v>33</v>
      </c>
      <c r="J1669" s="1" t="s">
        <v>18</v>
      </c>
      <c r="K1669" s="1">
        <v>77000.0</v>
      </c>
      <c r="L1669" s="1">
        <v>56.9621313</v>
      </c>
      <c r="M1669" s="1">
        <v>24.1383736</v>
      </c>
    </row>
    <row r="1670">
      <c r="A1670" s="1" t="s">
        <v>22</v>
      </c>
      <c r="B1670" s="1" t="s">
        <v>23</v>
      </c>
      <c r="C1670" s="1" t="s">
        <v>1274</v>
      </c>
      <c r="D1670" s="1">
        <v>3.0</v>
      </c>
      <c r="E1670" s="1">
        <v>90.0</v>
      </c>
      <c r="F1670" s="1">
        <v>3.0</v>
      </c>
      <c r="G1670" s="1">
        <v>6.0</v>
      </c>
      <c r="H1670" s="1" t="s">
        <v>32</v>
      </c>
      <c r="I1670" s="1" t="s">
        <v>33</v>
      </c>
      <c r="J1670" s="1" t="s">
        <v>18</v>
      </c>
      <c r="K1670" s="1">
        <v>340000.0</v>
      </c>
      <c r="L1670" s="1">
        <v>56.9600412</v>
      </c>
      <c r="M1670" s="1">
        <v>24.1003337</v>
      </c>
    </row>
    <row r="1671">
      <c r="A1671" s="1" t="s">
        <v>22</v>
      </c>
      <c r="B1671" s="1" t="s">
        <v>28</v>
      </c>
      <c r="C1671" s="1" t="s">
        <v>1275</v>
      </c>
      <c r="D1671" s="1">
        <v>2.0</v>
      </c>
      <c r="E1671" s="1">
        <v>37.0</v>
      </c>
      <c r="F1671" s="1">
        <v>4.0</v>
      </c>
      <c r="G1671" s="1">
        <v>4.0</v>
      </c>
      <c r="H1671" s="1" t="s">
        <v>57</v>
      </c>
      <c r="I1671" s="1" t="s">
        <v>37</v>
      </c>
      <c r="J1671" s="1" t="s">
        <v>18</v>
      </c>
      <c r="K1671" s="1">
        <v>12800.0</v>
      </c>
      <c r="L1671" s="1">
        <v>56.9198151</v>
      </c>
      <c r="M1671" s="1">
        <v>24.1942607</v>
      </c>
    </row>
    <row r="1672">
      <c r="A1672" s="1" t="s">
        <v>22</v>
      </c>
      <c r="B1672" s="1" t="s">
        <v>218</v>
      </c>
      <c r="C1672" s="1" t="s">
        <v>644</v>
      </c>
      <c r="D1672" s="1">
        <v>3.0</v>
      </c>
      <c r="E1672" s="1">
        <v>102.0</v>
      </c>
      <c r="F1672" s="1">
        <v>2.0</v>
      </c>
      <c r="G1672" s="1">
        <v>4.0</v>
      </c>
      <c r="H1672" s="1" t="s">
        <v>32</v>
      </c>
      <c r="I1672" s="1" t="s">
        <v>33</v>
      </c>
      <c r="J1672" s="1" t="s">
        <v>18</v>
      </c>
      <c r="K1672" s="1">
        <v>250000.0</v>
      </c>
      <c r="L1672" s="1">
        <v>56.945456</v>
      </c>
      <c r="M1672" s="1">
        <v>24.1115799</v>
      </c>
    </row>
    <row r="1673">
      <c r="A1673" s="1" t="s">
        <v>22</v>
      </c>
      <c r="B1673" s="1" t="s">
        <v>30</v>
      </c>
      <c r="C1673" s="1" t="s">
        <v>1276</v>
      </c>
      <c r="D1673" s="1">
        <v>3.0</v>
      </c>
      <c r="E1673" s="1">
        <v>96.0</v>
      </c>
      <c r="F1673" s="1">
        <v>10.0</v>
      </c>
      <c r="G1673" s="1">
        <v>12.0</v>
      </c>
      <c r="H1673" s="1" t="s">
        <v>32</v>
      </c>
      <c r="I1673" s="1" t="s">
        <v>21</v>
      </c>
      <c r="J1673" s="1" t="s">
        <v>18</v>
      </c>
      <c r="K1673" s="1">
        <v>179000.0</v>
      </c>
      <c r="L1673" s="1">
        <v>56.97725905</v>
      </c>
      <c r="M1673" s="1">
        <v>24.1667266999254</v>
      </c>
    </row>
    <row r="1674">
      <c r="A1674" s="1" t="s">
        <v>13</v>
      </c>
      <c r="B1674" s="1" t="s">
        <v>19</v>
      </c>
      <c r="C1674" s="1" t="s">
        <v>1277</v>
      </c>
      <c r="D1674" s="1">
        <v>2.0</v>
      </c>
      <c r="E1674" s="1">
        <v>61.0</v>
      </c>
      <c r="F1674" s="1">
        <v>1.0</v>
      </c>
      <c r="G1674" s="1">
        <v>4.0</v>
      </c>
      <c r="H1674" s="1" t="s">
        <v>32</v>
      </c>
      <c r="I1674" s="1" t="s">
        <v>33</v>
      </c>
      <c r="J1674" s="1" t="s">
        <v>18</v>
      </c>
      <c r="K1674" s="1">
        <v>370.0</v>
      </c>
      <c r="L1674" s="1">
        <v>56.8974581</v>
      </c>
      <c r="M1674" s="1">
        <v>24.1389382</v>
      </c>
    </row>
    <row r="1675">
      <c r="A1675" s="1" t="s">
        <v>22</v>
      </c>
      <c r="B1675" s="1" t="s">
        <v>23</v>
      </c>
      <c r="C1675" s="1" t="s">
        <v>1278</v>
      </c>
      <c r="D1675" s="1">
        <v>4.0</v>
      </c>
      <c r="E1675" s="1">
        <v>101.0</v>
      </c>
      <c r="F1675" s="1">
        <v>4.0</v>
      </c>
      <c r="G1675" s="1">
        <v>6.0</v>
      </c>
      <c r="H1675" s="1" t="s">
        <v>32</v>
      </c>
      <c r="I1675" s="1" t="s">
        <v>33</v>
      </c>
      <c r="J1675" s="1" t="s">
        <v>18</v>
      </c>
      <c r="K1675" s="1">
        <v>315000.0</v>
      </c>
      <c r="L1675" s="1">
        <v>56.9605146</v>
      </c>
      <c r="M1675" s="1">
        <v>24.1149201</v>
      </c>
    </row>
    <row r="1676">
      <c r="A1676" s="1" t="s">
        <v>13</v>
      </c>
      <c r="B1676" s="1" t="s">
        <v>23</v>
      </c>
      <c r="C1676" s="1" t="s">
        <v>1279</v>
      </c>
      <c r="D1676" s="1">
        <v>1.0</v>
      </c>
      <c r="E1676" s="1">
        <v>30.0</v>
      </c>
      <c r="F1676" s="1">
        <v>2.0</v>
      </c>
      <c r="G1676" s="1">
        <v>4.0</v>
      </c>
      <c r="H1676" s="1" t="s">
        <v>36</v>
      </c>
      <c r="I1676" s="1" t="s">
        <v>37</v>
      </c>
      <c r="J1676" s="1" t="s">
        <v>18</v>
      </c>
      <c r="K1676" s="1">
        <v>350.0</v>
      </c>
      <c r="L1676" s="1">
        <v>56.9651947</v>
      </c>
      <c r="M1676" s="1">
        <v>24.1427693772217</v>
      </c>
    </row>
    <row r="1677">
      <c r="A1677" s="1" t="s">
        <v>22</v>
      </c>
      <c r="B1677" s="1" t="s">
        <v>52</v>
      </c>
      <c r="C1677" s="1" t="s">
        <v>1280</v>
      </c>
      <c r="D1677" s="1">
        <v>2.0</v>
      </c>
      <c r="E1677" s="1">
        <v>58.0</v>
      </c>
      <c r="F1677" s="1">
        <v>5.0</v>
      </c>
      <c r="G1677" s="1">
        <v>5.0</v>
      </c>
      <c r="H1677" s="1" t="s">
        <v>32</v>
      </c>
      <c r="I1677" s="1" t="s">
        <v>21</v>
      </c>
      <c r="J1677" s="1" t="s">
        <v>18</v>
      </c>
      <c r="K1677" s="1">
        <v>103000.0</v>
      </c>
      <c r="L1677" s="1">
        <v>56.94393325</v>
      </c>
      <c r="M1677" s="1">
        <v>24.027633057183</v>
      </c>
    </row>
    <row r="1678">
      <c r="A1678" s="1" t="s">
        <v>22</v>
      </c>
      <c r="B1678" s="1" t="s">
        <v>104</v>
      </c>
      <c r="C1678" s="1" t="s">
        <v>433</v>
      </c>
      <c r="D1678" s="1">
        <v>1.0</v>
      </c>
      <c r="E1678" s="1">
        <v>28.0</v>
      </c>
      <c r="F1678" s="1">
        <v>1.0</v>
      </c>
      <c r="G1678" s="1">
        <v>3.0</v>
      </c>
      <c r="H1678" s="1" t="s">
        <v>66</v>
      </c>
      <c r="I1678" s="1" t="s">
        <v>26</v>
      </c>
      <c r="J1678" s="1" t="s">
        <v>18</v>
      </c>
      <c r="K1678" s="1">
        <v>46000.0</v>
      </c>
      <c r="L1678" s="1">
        <v>56.94402935</v>
      </c>
      <c r="M1678" s="1">
        <v>24.0666393160705</v>
      </c>
    </row>
    <row r="1679">
      <c r="A1679" s="1" t="s">
        <v>22</v>
      </c>
      <c r="B1679" s="1" t="s">
        <v>28</v>
      </c>
      <c r="C1679" s="1" t="s">
        <v>756</v>
      </c>
      <c r="D1679" s="1">
        <v>2.0</v>
      </c>
      <c r="E1679" s="1">
        <v>19.0</v>
      </c>
      <c r="F1679" s="1">
        <v>2.0</v>
      </c>
      <c r="G1679" s="1">
        <v>4.0</v>
      </c>
      <c r="H1679" s="1" t="s">
        <v>44</v>
      </c>
      <c r="I1679" s="1" t="s">
        <v>37</v>
      </c>
      <c r="J1679" s="1" t="s">
        <v>18</v>
      </c>
      <c r="K1679" s="1">
        <v>6890.0</v>
      </c>
      <c r="L1679" s="1">
        <v>56.9293636</v>
      </c>
      <c r="M1679" s="1">
        <v>24.1835723</v>
      </c>
    </row>
    <row r="1680">
      <c r="A1680" s="1" t="s">
        <v>22</v>
      </c>
      <c r="B1680" s="1" t="s">
        <v>96</v>
      </c>
      <c r="C1680" s="1" t="s">
        <v>1281</v>
      </c>
      <c r="D1680" s="1">
        <v>2.0</v>
      </c>
      <c r="E1680" s="1">
        <v>27.0</v>
      </c>
      <c r="F1680" s="1">
        <v>3.0</v>
      </c>
      <c r="G1680" s="1">
        <v>3.0</v>
      </c>
      <c r="H1680" s="1" t="s">
        <v>36</v>
      </c>
      <c r="I1680" s="1" t="s">
        <v>33</v>
      </c>
      <c r="J1680" s="1" t="s">
        <v>18</v>
      </c>
      <c r="K1680" s="1">
        <v>9490.0</v>
      </c>
      <c r="L1680" s="1">
        <v>57.0297012</v>
      </c>
      <c r="M1680" s="1">
        <v>24.1128846683999</v>
      </c>
    </row>
    <row r="1681">
      <c r="A1681" s="1" t="s">
        <v>22</v>
      </c>
      <c r="B1681" s="1" t="s">
        <v>23</v>
      </c>
      <c r="C1681" s="1" t="s">
        <v>1282</v>
      </c>
      <c r="D1681" s="1">
        <v>3.0</v>
      </c>
      <c r="E1681" s="1">
        <v>96.0</v>
      </c>
      <c r="F1681" s="1">
        <v>3.0</v>
      </c>
      <c r="G1681" s="1">
        <v>6.0</v>
      </c>
      <c r="H1681" s="1" t="s">
        <v>25</v>
      </c>
      <c r="I1681" s="1" t="s">
        <v>33</v>
      </c>
      <c r="J1681" s="1" t="s">
        <v>18</v>
      </c>
      <c r="K1681" s="1">
        <v>192000.0</v>
      </c>
      <c r="L1681" s="1">
        <v>48.2969502</v>
      </c>
      <c r="M1681" s="1">
        <v>-100.7081938</v>
      </c>
    </row>
    <row r="1682">
      <c r="A1682" s="1" t="s">
        <v>22</v>
      </c>
      <c r="B1682" s="1" t="s">
        <v>104</v>
      </c>
      <c r="C1682" s="1" t="s">
        <v>433</v>
      </c>
      <c r="D1682" s="1">
        <v>3.0</v>
      </c>
      <c r="E1682" s="1">
        <v>64.0</v>
      </c>
      <c r="F1682" s="1">
        <v>2.0</v>
      </c>
      <c r="G1682" s="1">
        <v>3.0</v>
      </c>
      <c r="H1682" s="1" t="s">
        <v>66</v>
      </c>
      <c r="I1682" s="1" t="s">
        <v>26</v>
      </c>
      <c r="J1682" s="1" t="s">
        <v>18</v>
      </c>
      <c r="K1682" s="1">
        <v>102000.0</v>
      </c>
      <c r="L1682" s="1">
        <v>56.94402935</v>
      </c>
      <c r="M1682" s="1">
        <v>24.0666393160705</v>
      </c>
    </row>
    <row r="1683">
      <c r="A1683" s="1" t="s">
        <v>22</v>
      </c>
      <c r="B1683" s="1" t="s">
        <v>42</v>
      </c>
      <c r="C1683" s="1" t="s">
        <v>1283</v>
      </c>
      <c r="D1683" s="1">
        <v>3.0</v>
      </c>
      <c r="E1683" s="1">
        <v>80.0</v>
      </c>
      <c r="F1683" s="1">
        <v>2.0</v>
      </c>
      <c r="G1683" s="1">
        <v>2.0</v>
      </c>
      <c r="H1683" s="1" t="s">
        <v>171</v>
      </c>
      <c r="I1683" s="1" t="s">
        <v>33</v>
      </c>
      <c r="J1683" s="1" t="s">
        <v>18</v>
      </c>
      <c r="K1683" s="1">
        <v>49000.0</v>
      </c>
      <c r="L1683" s="1">
        <v>56.9835916</v>
      </c>
      <c r="M1683" s="1">
        <v>24.2403602692592</v>
      </c>
    </row>
    <row r="1684">
      <c r="A1684" s="1" t="s">
        <v>22</v>
      </c>
      <c r="B1684" s="1" t="s">
        <v>23</v>
      </c>
      <c r="C1684" s="1" t="s">
        <v>946</v>
      </c>
      <c r="D1684" s="1">
        <v>3.0</v>
      </c>
      <c r="E1684" s="1">
        <v>101.9</v>
      </c>
      <c r="F1684" s="1">
        <v>2.0</v>
      </c>
      <c r="G1684" s="1">
        <v>6.0</v>
      </c>
      <c r="H1684" s="1" t="s">
        <v>25</v>
      </c>
      <c r="I1684" s="1" t="s">
        <v>37</v>
      </c>
      <c r="J1684" s="1" t="s">
        <v>18</v>
      </c>
      <c r="K1684" s="1">
        <v>125000.0</v>
      </c>
      <c r="L1684" s="1">
        <v>56.9510949</v>
      </c>
      <c r="M1684" s="1">
        <v>24.1313031</v>
      </c>
    </row>
    <row r="1685">
      <c r="A1685" s="1" t="s">
        <v>13</v>
      </c>
      <c r="B1685" s="1" t="s">
        <v>28</v>
      </c>
      <c r="C1685" s="1" t="s">
        <v>1284</v>
      </c>
      <c r="D1685" s="1">
        <v>1.0</v>
      </c>
      <c r="E1685" s="1">
        <v>18.0</v>
      </c>
      <c r="F1685" s="1">
        <v>5.0</v>
      </c>
      <c r="G1685" s="1">
        <v>5.0</v>
      </c>
      <c r="H1685" s="1" t="s">
        <v>16</v>
      </c>
      <c r="I1685" s="1" t="s">
        <v>21</v>
      </c>
      <c r="J1685" s="1" t="s">
        <v>18</v>
      </c>
      <c r="K1685" s="1">
        <v>150.0</v>
      </c>
      <c r="L1685" s="1">
        <v>56.90357165</v>
      </c>
      <c r="M1685" s="1">
        <v>24.206434780106</v>
      </c>
    </row>
    <row r="1686">
      <c r="A1686" s="1" t="s">
        <v>22</v>
      </c>
      <c r="B1686" s="1" t="s">
        <v>19</v>
      </c>
      <c r="C1686" s="1" t="s">
        <v>493</v>
      </c>
      <c r="D1686" s="1">
        <v>3.0</v>
      </c>
      <c r="E1686" s="1">
        <v>77.0</v>
      </c>
      <c r="F1686" s="1">
        <v>1.0</v>
      </c>
      <c r="G1686" s="1">
        <v>4.0</v>
      </c>
      <c r="H1686" s="1" t="s">
        <v>32</v>
      </c>
      <c r="I1686" s="1" t="s">
        <v>122</v>
      </c>
      <c r="J1686" s="1" t="s">
        <v>18</v>
      </c>
      <c r="K1686" s="1">
        <v>109000.0</v>
      </c>
      <c r="L1686" s="1">
        <v>56.914968</v>
      </c>
      <c r="M1686" s="1">
        <v>24.12289</v>
      </c>
    </row>
    <row r="1687">
      <c r="A1687" s="1" t="s">
        <v>22</v>
      </c>
      <c r="B1687" s="1" t="s">
        <v>67</v>
      </c>
      <c r="C1687" s="1" t="s">
        <v>98</v>
      </c>
      <c r="D1687" s="1">
        <v>2.0</v>
      </c>
      <c r="E1687" s="1">
        <v>37.0</v>
      </c>
      <c r="F1687" s="1">
        <v>4.0</v>
      </c>
      <c r="G1687" s="1">
        <v>5.0</v>
      </c>
      <c r="H1687" s="1" t="s">
        <v>66</v>
      </c>
      <c r="I1687" s="1" t="s">
        <v>37</v>
      </c>
      <c r="J1687" s="1" t="s">
        <v>18</v>
      </c>
      <c r="K1687" s="1">
        <v>74000.0</v>
      </c>
      <c r="L1687" s="1">
        <v>56.9553833</v>
      </c>
      <c r="M1687" s="1">
        <v>24.1488881</v>
      </c>
    </row>
    <row r="1688">
      <c r="A1688" s="1" t="s">
        <v>22</v>
      </c>
      <c r="B1688" s="1" t="s">
        <v>23</v>
      </c>
      <c r="C1688" s="1" t="s">
        <v>1285</v>
      </c>
      <c r="D1688" s="1">
        <v>3.0</v>
      </c>
      <c r="E1688" s="1">
        <v>66.0</v>
      </c>
      <c r="F1688" s="1">
        <v>5.0</v>
      </c>
      <c r="G1688" s="1">
        <v>7.0</v>
      </c>
      <c r="H1688" s="1" t="s">
        <v>32</v>
      </c>
      <c r="I1688" s="1" t="s">
        <v>122</v>
      </c>
      <c r="J1688" s="1" t="s">
        <v>18</v>
      </c>
      <c r="K1688" s="1">
        <v>165000.0</v>
      </c>
      <c r="L1688" s="1">
        <v>56.9586919</v>
      </c>
      <c r="M1688" s="1">
        <v>24.1173418465596</v>
      </c>
    </row>
    <row r="1689">
      <c r="A1689" s="1" t="s">
        <v>13</v>
      </c>
      <c r="B1689" s="1" t="s">
        <v>23</v>
      </c>
      <c r="C1689" s="1" t="s">
        <v>1285</v>
      </c>
      <c r="D1689" s="1">
        <v>3.0</v>
      </c>
      <c r="E1689" s="1">
        <v>115.0</v>
      </c>
      <c r="F1689" s="1">
        <v>2.0</v>
      </c>
      <c r="G1689" s="1">
        <v>7.0</v>
      </c>
      <c r="H1689" s="1" t="s">
        <v>32</v>
      </c>
      <c r="I1689" s="1" t="s">
        <v>17</v>
      </c>
      <c r="J1689" s="1" t="s">
        <v>18</v>
      </c>
      <c r="K1689" s="1">
        <v>1370.0</v>
      </c>
      <c r="L1689" s="1">
        <v>56.9586919</v>
      </c>
      <c r="M1689" s="1">
        <v>24.1173418465596</v>
      </c>
    </row>
    <row r="1690">
      <c r="A1690" s="1" t="s">
        <v>22</v>
      </c>
      <c r="B1690" s="1" t="s">
        <v>23</v>
      </c>
      <c r="C1690" s="1" t="s">
        <v>1286</v>
      </c>
      <c r="D1690" s="1">
        <v>2.0</v>
      </c>
      <c r="E1690" s="1">
        <v>64.0</v>
      </c>
      <c r="F1690" s="1">
        <v>5.0</v>
      </c>
      <c r="G1690" s="1">
        <v>7.0</v>
      </c>
      <c r="H1690" s="1" t="s">
        <v>32</v>
      </c>
      <c r="I1690" s="1" t="s">
        <v>122</v>
      </c>
      <c r="J1690" s="1" t="s">
        <v>18</v>
      </c>
      <c r="K1690" s="1">
        <v>229000.0</v>
      </c>
      <c r="L1690" s="1">
        <v>56.9721861</v>
      </c>
      <c r="M1690" s="1">
        <v>24.1343196</v>
      </c>
    </row>
    <row r="1691">
      <c r="A1691" s="1" t="s">
        <v>22</v>
      </c>
      <c r="B1691" s="1" t="s">
        <v>23</v>
      </c>
      <c r="C1691" s="1" t="s">
        <v>1285</v>
      </c>
      <c r="D1691" s="1">
        <v>3.0</v>
      </c>
      <c r="E1691" s="1">
        <v>65.0</v>
      </c>
      <c r="F1691" s="1">
        <v>4.0</v>
      </c>
      <c r="G1691" s="1">
        <v>7.0</v>
      </c>
      <c r="H1691" s="1" t="s">
        <v>32</v>
      </c>
      <c r="I1691" s="1" t="s">
        <v>17</v>
      </c>
      <c r="J1691" s="1" t="s">
        <v>18</v>
      </c>
      <c r="K1691" s="1">
        <v>185000.0</v>
      </c>
      <c r="L1691" s="1">
        <v>56.9586919</v>
      </c>
      <c r="M1691" s="1">
        <v>24.1173418465596</v>
      </c>
    </row>
    <row r="1692">
      <c r="A1692" s="1" t="s">
        <v>13</v>
      </c>
      <c r="B1692" s="1" t="s">
        <v>104</v>
      </c>
      <c r="C1692" s="1" t="s">
        <v>133</v>
      </c>
      <c r="D1692" s="1">
        <v>1.0</v>
      </c>
      <c r="E1692" s="1">
        <v>18.0</v>
      </c>
      <c r="F1692" s="1">
        <v>1.0</v>
      </c>
      <c r="G1692" s="1">
        <v>4.0</v>
      </c>
      <c r="H1692" s="1" t="s">
        <v>57</v>
      </c>
      <c r="I1692" s="1" t="s">
        <v>37</v>
      </c>
      <c r="J1692" s="1" t="s">
        <v>18</v>
      </c>
      <c r="K1692" s="1">
        <v>230.0</v>
      </c>
      <c r="L1692" s="1">
        <v>56.9428654999999</v>
      </c>
      <c r="M1692" s="1">
        <v>24.0609632086428</v>
      </c>
    </row>
    <row r="1693">
      <c r="A1693" s="1" t="s">
        <v>22</v>
      </c>
      <c r="B1693" s="1" t="s">
        <v>19</v>
      </c>
      <c r="C1693" s="1" t="s">
        <v>493</v>
      </c>
      <c r="D1693" s="1">
        <v>3.0</v>
      </c>
      <c r="E1693" s="1">
        <v>76.0</v>
      </c>
      <c r="F1693" s="1">
        <v>3.0</v>
      </c>
      <c r="G1693" s="1">
        <v>4.0</v>
      </c>
      <c r="H1693" s="1" t="s">
        <v>32</v>
      </c>
      <c r="I1693" s="1" t="s">
        <v>122</v>
      </c>
      <c r="J1693" s="1" t="s">
        <v>18</v>
      </c>
      <c r="K1693" s="1">
        <v>130500.0</v>
      </c>
      <c r="L1693" s="1">
        <v>56.914968</v>
      </c>
      <c r="M1693" s="1">
        <v>24.12289</v>
      </c>
    </row>
    <row r="1694">
      <c r="A1694" s="1" t="s">
        <v>22</v>
      </c>
      <c r="B1694" s="1" t="s">
        <v>19</v>
      </c>
      <c r="C1694" s="1" t="s">
        <v>493</v>
      </c>
      <c r="D1694" s="1">
        <v>2.0</v>
      </c>
      <c r="E1694" s="1">
        <v>66.0</v>
      </c>
      <c r="F1694" s="1">
        <v>1.0</v>
      </c>
      <c r="G1694" s="1">
        <v>4.0</v>
      </c>
      <c r="H1694" s="1" t="s">
        <v>32</v>
      </c>
      <c r="I1694" s="1" t="s">
        <v>122</v>
      </c>
      <c r="J1694" s="1" t="s">
        <v>18</v>
      </c>
      <c r="K1694" s="1">
        <v>89000.0</v>
      </c>
      <c r="L1694" s="1">
        <v>56.914968</v>
      </c>
      <c r="M1694" s="1">
        <v>24.12289</v>
      </c>
    </row>
    <row r="1695">
      <c r="A1695" s="1" t="s">
        <v>13</v>
      </c>
      <c r="B1695" s="1" t="s">
        <v>23</v>
      </c>
      <c r="C1695" s="1" t="s">
        <v>230</v>
      </c>
      <c r="D1695" s="1">
        <v>2.0</v>
      </c>
      <c r="E1695" s="1">
        <v>45.0</v>
      </c>
      <c r="F1695" s="1">
        <v>1.0</v>
      </c>
      <c r="G1695" s="1">
        <v>3.0</v>
      </c>
      <c r="H1695" s="1" t="s">
        <v>32</v>
      </c>
      <c r="I1695" s="1" t="s">
        <v>122</v>
      </c>
      <c r="J1695" s="1" t="s">
        <v>18</v>
      </c>
      <c r="K1695" s="1">
        <v>450.0</v>
      </c>
      <c r="L1695" s="1">
        <v>56.9731957</v>
      </c>
      <c r="M1695" s="1">
        <v>24.1490465</v>
      </c>
    </row>
    <row r="1696">
      <c r="A1696" s="1" t="s">
        <v>22</v>
      </c>
      <c r="B1696" s="1" t="s">
        <v>23</v>
      </c>
      <c r="C1696" s="1" t="s">
        <v>1286</v>
      </c>
      <c r="D1696" s="1">
        <v>5.0</v>
      </c>
      <c r="E1696" s="1">
        <v>135.0</v>
      </c>
      <c r="F1696" s="1">
        <v>2.0</v>
      </c>
      <c r="G1696" s="1">
        <v>7.0</v>
      </c>
      <c r="H1696" s="1" t="s">
        <v>32</v>
      </c>
      <c r="I1696" s="1" t="s">
        <v>17</v>
      </c>
      <c r="J1696" s="1" t="s">
        <v>18</v>
      </c>
      <c r="K1696" s="1">
        <v>345000.0</v>
      </c>
      <c r="L1696" s="1">
        <v>56.9721861</v>
      </c>
      <c r="M1696" s="1">
        <v>24.1343196</v>
      </c>
    </row>
    <row r="1697">
      <c r="A1697" s="1" t="s">
        <v>22</v>
      </c>
      <c r="B1697" s="1" t="s">
        <v>23</v>
      </c>
      <c r="C1697" s="1" t="s">
        <v>1285</v>
      </c>
      <c r="D1697" s="1">
        <v>5.0</v>
      </c>
      <c r="E1697" s="1">
        <v>153.0</v>
      </c>
      <c r="F1697" s="1">
        <v>4.0</v>
      </c>
      <c r="G1697" s="1">
        <v>7.0</v>
      </c>
      <c r="H1697" s="1" t="s">
        <v>32</v>
      </c>
      <c r="I1697" s="1" t="s">
        <v>17</v>
      </c>
      <c r="J1697" s="1" t="s">
        <v>18</v>
      </c>
      <c r="K1697" s="1">
        <v>445000.0</v>
      </c>
      <c r="L1697" s="1">
        <v>56.9586919</v>
      </c>
      <c r="M1697" s="1">
        <v>24.1173418465596</v>
      </c>
    </row>
    <row r="1698">
      <c r="A1698" s="1" t="s">
        <v>22</v>
      </c>
      <c r="B1698" s="1" t="s">
        <v>23</v>
      </c>
      <c r="C1698" s="1" t="s">
        <v>1285</v>
      </c>
      <c r="D1698" s="1">
        <v>4.0</v>
      </c>
      <c r="E1698" s="1">
        <v>105.0</v>
      </c>
      <c r="F1698" s="1">
        <v>5.0</v>
      </c>
      <c r="G1698" s="1">
        <v>7.0</v>
      </c>
      <c r="H1698" s="1" t="s">
        <v>32</v>
      </c>
      <c r="I1698" s="1" t="s">
        <v>122</v>
      </c>
      <c r="J1698" s="1" t="s">
        <v>18</v>
      </c>
      <c r="K1698" s="1">
        <v>350000.0</v>
      </c>
      <c r="L1698" s="1">
        <v>56.9586919</v>
      </c>
      <c r="M1698" s="1">
        <v>24.1173418465596</v>
      </c>
    </row>
    <row r="1699">
      <c r="A1699" s="1" t="s">
        <v>22</v>
      </c>
      <c r="B1699" s="1" t="s">
        <v>67</v>
      </c>
      <c r="C1699" s="1" t="s">
        <v>1287</v>
      </c>
      <c r="D1699" s="1">
        <v>2.0</v>
      </c>
      <c r="E1699" s="1">
        <v>41.0</v>
      </c>
      <c r="F1699" s="1">
        <v>2.0</v>
      </c>
      <c r="G1699" s="1">
        <v>5.0</v>
      </c>
      <c r="H1699" s="1" t="s">
        <v>66</v>
      </c>
      <c r="I1699" s="1" t="s">
        <v>33</v>
      </c>
      <c r="J1699" s="1" t="s">
        <v>18</v>
      </c>
      <c r="K1699" s="1">
        <v>120000.0</v>
      </c>
      <c r="L1699" s="1">
        <v>56.9631811</v>
      </c>
      <c r="M1699" s="1">
        <v>24.1518162072111</v>
      </c>
    </row>
    <row r="1700">
      <c r="A1700" s="1" t="s">
        <v>89</v>
      </c>
      <c r="B1700" s="1" t="s">
        <v>52</v>
      </c>
      <c r="C1700" s="1" t="s">
        <v>1288</v>
      </c>
      <c r="D1700" s="1">
        <v>3.0</v>
      </c>
      <c r="E1700" s="1">
        <v>78.0</v>
      </c>
      <c r="F1700" s="1">
        <v>7.0</v>
      </c>
      <c r="G1700" s="1">
        <v>10.0</v>
      </c>
      <c r="H1700" s="1">
        <v>119.0</v>
      </c>
      <c r="I1700" s="2"/>
      <c r="J1700" s="2"/>
      <c r="K1700" s="2"/>
      <c r="L1700" s="1">
        <v>56.9448579</v>
      </c>
      <c r="M1700" s="1">
        <v>24.0082047</v>
      </c>
    </row>
    <row r="1701">
      <c r="A1701" s="1" t="s">
        <v>22</v>
      </c>
      <c r="B1701" s="1" t="s">
        <v>23</v>
      </c>
      <c r="C1701" s="1" t="s">
        <v>1289</v>
      </c>
      <c r="D1701" s="1">
        <v>5.0</v>
      </c>
      <c r="E1701" s="1">
        <v>146.0</v>
      </c>
      <c r="F1701" s="1">
        <v>4.0</v>
      </c>
      <c r="G1701" s="1">
        <v>6.0</v>
      </c>
      <c r="H1701" s="1" t="s">
        <v>25</v>
      </c>
      <c r="I1701" s="1" t="s">
        <v>37</v>
      </c>
      <c r="J1701" s="1" t="s">
        <v>18</v>
      </c>
      <c r="K1701" s="1">
        <v>275000.0</v>
      </c>
      <c r="L1701" s="1">
        <v>48.2969502</v>
      </c>
      <c r="M1701" s="1">
        <v>-100.7081938</v>
      </c>
    </row>
    <row r="1702">
      <c r="A1702" s="1" t="s">
        <v>13</v>
      </c>
      <c r="B1702" s="1" t="s">
        <v>28</v>
      </c>
      <c r="C1702" s="1" t="s">
        <v>1290</v>
      </c>
      <c r="D1702" s="1">
        <v>2.0</v>
      </c>
      <c r="E1702" s="1">
        <v>43.0</v>
      </c>
      <c r="F1702" s="1">
        <v>5.0</v>
      </c>
      <c r="G1702" s="1">
        <v>1.0</v>
      </c>
      <c r="H1702" s="1" t="s">
        <v>44</v>
      </c>
      <c r="I1702" s="1" t="s">
        <v>21</v>
      </c>
      <c r="J1702" s="1" t="s">
        <v>18</v>
      </c>
      <c r="K1702" s="1">
        <v>330.0</v>
      </c>
      <c r="L1702" s="1">
        <v>56.94470995</v>
      </c>
      <c r="M1702" s="1">
        <v>24.1131079129391</v>
      </c>
    </row>
    <row r="1703">
      <c r="A1703" s="1" t="s">
        <v>22</v>
      </c>
      <c r="B1703" s="1" t="s">
        <v>23</v>
      </c>
      <c r="C1703" s="1" t="s">
        <v>243</v>
      </c>
      <c r="D1703" s="1">
        <v>1.0</v>
      </c>
      <c r="E1703" s="1">
        <v>30.0</v>
      </c>
      <c r="F1703" s="1">
        <v>4.0</v>
      </c>
      <c r="G1703" s="1">
        <v>6.0</v>
      </c>
      <c r="H1703" s="1" t="s">
        <v>25</v>
      </c>
      <c r="I1703" s="1" t="s">
        <v>37</v>
      </c>
      <c r="J1703" s="1" t="s">
        <v>18</v>
      </c>
      <c r="K1703" s="1">
        <v>45000.0</v>
      </c>
      <c r="L1703" s="1">
        <v>56.9620223999999</v>
      </c>
      <c r="M1703" s="1">
        <v>24.1521939477261</v>
      </c>
    </row>
    <row r="1704">
      <c r="A1704" s="1" t="s">
        <v>13</v>
      </c>
      <c r="B1704" s="1" t="s">
        <v>23</v>
      </c>
      <c r="C1704" s="1" t="s">
        <v>1291</v>
      </c>
      <c r="D1704" s="1">
        <v>2.0</v>
      </c>
      <c r="E1704" s="1">
        <v>45.0</v>
      </c>
      <c r="F1704" s="1">
        <v>1.0</v>
      </c>
      <c r="G1704" s="1">
        <v>6.0</v>
      </c>
      <c r="H1704" s="1" t="s">
        <v>66</v>
      </c>
      <c r="I1704" s="1" t="s">
        <v>37</v>
      </c>
      <c r="J1704" s="1" t="s">
        <v>18</v>
      </c>
      <c r="K1704" s="1">
        <v>40.0</v>
      </c>
      <c r="L1704" s="1">
        <v>56.9585313</v>
      </c>
      <c r="M1704" s="1">
        <v>24.1170799</v>
      </c>
    </row>
    <row r="1705">
      <c r="A1705" s="1" t="s">
        <v>13</v>
      </c>
      <c r="B1705" s="1" t="s">
        <v>23</v>
      </c>
      <c r="C1705" s="1" t="s">
        <v>1169</v>
      </c>
      <c r="D1705" s="1">
        <v>1.0</v>
      </c>
      <c r="E1705" s="1">
        <v>25.0</v>
      </c>
      <c r="F1705" s="1">
        <v>3.0</v>
      </c>
      <c r="G1705" s="1">
        <v>6.0</v>
      </c>
      <c r="H1705" s="1" t="s">
        <v>25</v>
      </c>
      <c r="I1705" s="1" t="s">
        <v>33</v>
      </c>
      <c r="J1705" s="1" t="s">
        <v>27</v>
      </c>
      <c r="K1705" s="1">
        <v>140.0</v>
      </c>
      <c r="L1705" s="1">
        <v>56.99189845</v>
      </c>
      <c r="M1705" s="1">
        <v>24.1276669239564</v>
      </c>
    </row>
    <row r="1706">
      <c r="A1706" s="1" t="s">
        <v>22</v>
      </c>
      <c r="B1706" s="1" t="s">
        <v>48</v>
      </c>
      <c r="C1706" s="1" t="s">
        <v>1292</v>
      </c>
      <c r="D1706" s="1">
        <v>3.0</v>
      </c>
      <c r="E1706" s="1">
        <v>89.0</v>
      </c>
      <c r="F1706" s="1">
        <v>2.0</v>
      </c>
      <c r="G1706" s="1">
        <v>5.0</v>
      </c>
      <c r="H1706" s="1" t="s">
        <v>32</v>
      </c>
      <c r="I1706" s="1" t="s">
        <v>33</v>
      </c>
      <c r="J1706" s="1" t="s">
        <v>18</v>
      </c>
      <c r="K1706" s="1">
        <v>110625.0</v>
      </c>
      <c r="L1706" s="1" t="s">
        <v>40</v>
      </c>
      <c r="M1706" s="1" t="s">
        <v>40</v>
      </c>
    </row>
    <row r="1707">
      <c r="A1707" s="1" t="s">
        <v>13</v>
      </c>
      <c r="B1707" s="1" t="s">
        <v>23</v>
      </c>
      <c r="C1707" s="1" t="s">
        <v>1293</v>
      </c>
      <c r="D1707" s="1">
        <v>2.0</v>
      </c>
      <c r="E1707" s="1">
        <v>44.0</v>
      </c>
      <c r="F1707" s="1">
        <v>3.0</v>
      </c>
      <c r="G1707" s="1">
        <v>6.0</v>
      </c>
      <c r="H1707" s="1" t="s">
        <v>25</v>
      </c>
      <c r="I1707" s="1" t="s">
        <v>33</v>
      </c>
      <c r="J1707" s="1" t="s">
        <v>18</v>
      </c>
      <c r="K1707" s="1">
        <v>225.0</v>
      </c>
      <c r="L1707" s="1">
        <v>56.95900535</v>
      </c>
      <c r="M1707" s="1">
        <v>24.108792096133</v>
      </c>
    </row>
    <row r="1708">
      <c r="A1708" s="1" t="s">
        <v>13</v>
      </c>
      <c r="B1708" s="1" t="s">
        <v>23</v>
      </c>
      <c r="C1708" s="1" t="s">
        <v>1293</v>
      </c>
      <c r="D1708" s="1">
        <v>3.0</v>
      </c>
      <c r="E1708" s="1">
        <v>66.5</v>
      </c>
      <c r="F1708" s="1">
        <v>6.0</v>
      </c>
      <c r="G1708" s="1">
        <v>6.0</v>
      </c>
      <c r="H1708" s="1" t="s">
        <v>25</v>
      </c>
      <c r="I1708" s="1" t="s">
        <v>37</v>
      </c>
      <c r="J1708" s="1" t="s">
        <v>18</v>
      </c>
      <c r="K1708" s="1">
        <v>190.0</v>
      </c>
      <c r="L1708" s="1">
        <v>56.95900535</v>
      </c>
      <c r="M1708" s="1">
        <v>24.108792096133</v>
      </c>
    </row>
    <row r="1709">
      <c r="A1709" s="1" t="s">
        <v>22</v>
      </c>
      <c r="B1709" s="1" t="s">
        <v>23</v>
      </c>
      <c r="C1709" s="1" t="s">
        <v>1294</v>
      </c>
      <c r="D1709" s="1">
        <v>4.0</v>
      </c>
      <c r="E1709" s="1">
        <v>104.0</v>
      </c>
      <c r="F1709" s="1">
        <v>2.0</v>
      </c>
      <c r="G1709" s="1">
        <v>5.0</v>
      </c>
      <c r="H1709" s="1" t="s">
        <v>25</v>
      </c>
      <c r="I1709" s="1" t="s">
        <v>37</v>
      </c>
      <c r="J1709" s="1" t="s">
        <v>18</v>
      </c>
      <c r="K1709" s="1">
        <v>115000.0</v>
      </c>
      <c r="L1709" s="1">
        <v>56.94468895</v>
      </c>
      <c r="M1709" s="1">
        <v>24.1327201596803</v>
      </c>
    </row>
    <row r="1710">
      <c r="A1710" s="1" t="s">
        <v>22</v>
      </c>
      <c r="B1710" s="1" t="s">
        <v>30</v>
      </c>
      <c r="C1710" s="1" t="s">
        <v>1295</v>
      </c>
      <c r="D1710" s="1">
        <v>3.0</v>
      </c>
      <c r="E1710" s="1">
        <v>64.0</v>
      </c>
      <c r="F1710" s="1">
        <v>4.0</v>
      </c>
      <c r="G1710" s="1">
        <v>5.0</v>
      </c>
      <c r="H1710" s="1" t="s">
        <v>36</v>
      </c>
      <c r="I1710" s="1" t="s">
        <v>37</v>
      </c>
      <c r="J1710" s="1" t="s">
        <v>18</v>
      </c>
      <c r="K1710" s="1">
        <v>61000.0</v>
      </c>
      <c r="L1710" s="1">
        <v>56.95894965</v>
      </c>
      <c r="M1710" s="1">
        <v>24.2439652588717</v>
      </c>
    </row>
    <row r="1711">
      <c r="A1711" s="1" t="s">
        <v>22</v>
      </c>
      <c r="B1711" s="1" t="s">
        <v>74</v>
      </c>
      <c r="C1711" s="1" t="s">
        <v>601</v>
      </c>
      <c r="D1711" s="1">
        <v>2.0</v>
      </c>
      <c r="E1711" s="1">
        <v>43.0</v>
      </c>
      <c r="F1711" s="1">
        <v>3.0</v>
      </c>
      <c r="G1711" s="1">
        <v>9.0</v>
      </c>
      <c r="H1711" s="1" t="s">
        <v>32</v>
      </c>
      <c r="I1711" s="1" t="s">
        <v>21</v>
      </c>
      <c r="J1711" s="1" t="s">
        <v>18</v>
      </c>
      <c r="K1711" s="1">
        <v>68000.0</v>
      </c>
      <c r="L1711" s="1">
        <v>56.942327</v>
      </c>
      <c r="M1711" s="1">
        <v>24.2300928779978</v>
      </c>
    </row>
    <row r="1712">
      <c r="A1712" s="1" t="s">
        <v>22</v>
      </c>
      <c r="B1712" s="1" t="s">
        <v>14</v>
      </c>
      <c r="C1712" s="1" t="s">
        <v>1295</v>
      </c>
      <c r="D1712" s="1">
        <v>3.0</v>
      </c>
      <c r="E1712" s="1">
        <v>64.0</v>
      </c>
      <c r="F1712" s="1">
        <v>4.0</v>
      </c>
      <c r="G1712" s="1">
        <v>5.0</v>
      </c>
      <c r="H1712" s="1" t="s">
        <v>36</v>
      </c>
      <c r="I1712" s="1" t="s">
        <v>37</v>
      </c>
      <c r="J1712" s="1" t="s">
        <v>18</v>
      </c>
      <c r="K1712" s="1">
        <v>61000.0</v>
      </c>
      <c r="L1712" s="1">
        <v>56.95894965</v>
      </c>
      <c r="M1712" s="1">
        <v>24.2439652588717</v>
      </c>
    </row>
    <row r="1713">
      <c r="A1713" s="1" t="s">
        <v>13</v>
      </c>
      <c r="B1713" s="1" t="s">
        <v>23</v>
      </c>
      <c r="C1713" s="1" t="s">
        <v>1296</v>
      </c>
      <c r="D1713" s="1">
        <v>1.0</v>
      </c>
      <c r="E1713" s="1">
        <v>22.0</v>
      </c>
      <c r="F1713" s="1">
        <v>3.0</v>
      </c>
      <c r="G1713" s="1">
        <v>6.0</v>
      </c>
      <c r="H1713" s="1" t="s">
        <v>25</v>
      </c>
      <c r="I1713" s="1" t="s">
        <v>33</v>
      </c>
      <c r="J1713" s="1" t="s">
        <v>18</v>
      </c>
      <c r="K1713" s="1">
        <v>350.0</v>
      </c>
      <c r="L1713" s="1">
        <v>56.964231</v>
      </c>
      <c r="M1713" s="1">
        <v>24.140576370724</v>
      </c>
    </row>
    <row r="1714">
      <c r="A1714" s="1" t="s">
        <v>13</v>
      </c>
      <c r="B1714" s="1" t="s">
        <v>23</v>
      </c>
      <c r="C1714" s="1" t="s">
        <v>282</v>
      </c>
      <c r="D1714" s="1">
        <v>1.0</v>
      </c>
      <c r="E1714" s="1">
        <v>20.0</v>
      </c>
      <c r="F1714" s="1">
        <v>2.0</v>
      </c>
      <c r="G1714" s="1">
        <v>6.0</v>
      </c>
      <c r="H1714" s="1" t="s">
        <v>66</v>
      </c>
      <c r="I1714" s="1" t="s">
        <v>33</v>
      </c>
      <c r="J1714" s="1" t="s">
        <v>18</v>
      </c>
      <c r="K1714" s="1">
        <v>25.0</v>
      </c>
      <c r="L1714" s="1">
        <v>56.9607411</v>
      </c>
      <c r="M1714" s="1">
        <v>24.1497716</v>
      </c>
    </row>
    <row r="1715">
      <c r="A1715" s="1" t="s">
        <v>22</v>
      </c>
      <c r="B1715" s="1" t="s">
        <v>23</v>
      </c>
      <c r="C1715" s="1" t="s">
        <v>476</v>
      </c>
      <c r="D1715" s="1">
        <v>3.0</v>
      </c>
      <c r="E1715" s="1">
        <v>155.0</v>
      </c>
      <c r="F1715" s="1">
        <v>3.0</v>
      </c>
      <c r="G1715" s="1">
        <v>6.0</v>
      </c>
      <c r="H1715" s="1" t="s">
        <v>25</v>
      </c>
      <c r="I1715" s="1" t="s">
        <v>33</v>
      </c>
      <c r="J1715" s="1" t="s">
        <v>18</v>
      </c>
      <c r="K1715" s="1">
        <v>260000.0</v>
      </c>
      <c r="L1715" s="1">
        <v>48.2969502</v>
      </c>
      <c r="M1715" s="1">
        <v>-100.7081938</v>
      </c>
    </row>
    <row r="1716">
      <c r="A1716" s="1" t="s">
        <v>22</v>
      </c>
      <c r="B1716" s="1" t="s">
        <v>28</v>
      </c>
      <c r="C1716" s="1" t="s">
        <v>1297</v>
      </c>
      <c r="D1716" s="1">
        <v>3.0</v>
      </c>
      <c r="E1716" s="1">
        <v>61.0</v>
      </c>
      <c r="F1716" s="1">
        <v>2.0</v>
      </c>
      <c r="G1716" s="1">
        <v>5.0</v>
      </c>
      <c r="H1716" s="1" t="s">
        <v>16</v>
      </c>
      <c r="I1716" s="1" t="s">
        <v>21</v>
      </c>
      <c r="J1716" s="1" t="s">
        <v>18</v>
      </c>
      <c r="K1716" s="1">
        <v>53000.0</v>
      </c>
      <c r="L1716" s="1">
        <v>56.8992639</v>
      </c>
      <c r="M1716" s="1">
        <v>24.2143729105512</v>
      </c>
    </row>
    <row r="1717">
      <c r="A1717" s="1" t="s">
        <v>22</v>
      </c>
      <c r="B1717" s="1" t="s">
        <v>23</v>
      </c>
      <c r="C1717" s="1" t="s">
        <v>1298</v>
      </c>
      <c r="D1717" s="1">
        <v>5.0</v>
      </c>
      <c r="E1717" s="1">
        <v>105.0</v>
      </c>
      <c r="F1717" s="1">
        <v>6.0</v>
      </c>
      <c r="G1717" s="1">
        <v>6.0</v>
      </c>
      <c r="H1717" s="1" t="s">
        <v>25</v>
      </c>
      <c r="I1717" s="1" t="s">
        <v>33</v>
      </c>
      <c r="J1717" s="1" t="s">
        <v>18</v>
      </c>
      <c r="K1717" s="1">
        <v>189950.0</v>
      </c>
      <c r="L1717" s="1">
        <v>56.9620225</v>
      </c>
      <c r="M1717" s="1">
        <v>24.123035</v>
      </c>
    </row>
    <row r="1718">
      <c r="A1718" s="1" t="s">
        <v>22</v>
      </c>
      <c r="B1718" s="1" t="s">
        <v>23</v>
      </c>
      <c r="C1718" s="1" t="s">
        <v>1299</v>
      </c>
      <c r="D1718" s="1">
        <v>3.0</v>
      </c>
      <c r="E1718" s="1">
        <v>84.0</v>
      </c>
      <c r="F1718" s="1">
        <v>6.0</v>
      </c>
      <c r="G1718" s="1">
        <v>7.0</v>
      </c>
      <c r="H1718" s="1" t="s">
        <v>32</v>
      </c>
      <c r="I1718" s="1" t="s">
        <v>122</v>
      </c>
      <c r="J1718" s="1" t="s">
        <v>18</v>
      </c>
      <c r="K1718" s="1">
        <v>250000.0</v>
      </c>
      <c r="L1718" s="1">
        <v>56.9532932</v>
      </c>
      <c r="M1718" s="1">
        <v>24.1222418</v>
      </c>
    </row>
    <row r="1719">
      <c r="A1719" s="1" t="s">
        <v>22</v>
      </c>
      <c r="B1719" s="1" t="s">
        <v>30</v>
      </c>
      <c r="C1719" s="1" t="s">
        <v>1227</v>
      </c>
      <c r="D1719" s="1">
        <v>4.0</v>
      </c>
      <c r="E1719" s="1">
        <v>93.0</v>
      </c>
      <c r="F1719" s="1">
        <v>2.0</v>
      </c>
      <c r="G1719" s="1">
        <v>10.0</v>
      </c>
      <c r="H1719" s="1" t="s">
        <v>32</v>
      </c>
      <c r="I1719" s="1" t="s">
        <v>33</v>
      </c>
      <c r="J1719" s="1" t="s">
        <v>18</v>
      </c>
      <c r="K1719" s="1">
        <v>140000.0</v>
      </c>
      <c r="L1719" s="1">
        <v>56.9767303</v>
      </c>
      <c r="M1719" s="1">
        <v>24.1676579996058</v>
      </c>
    </row>
    <row r="1720">
      <c r="A1720" s="1" t="s">
        <v>22</v>
      </c>
      <c r="B1720" s="1" t="s">
        <v>129</v>
      </c>
      <c r="C1720" s="1" t="s">
        <v>1300</v>
      </c>
      <c r="D1720" s="1">
        <v>1.0</v>
      </c>
      <c r="E1720" s="1">
        <v>28.0</v>
      </c>
      <c r="F1720" s="1">
        <v>2.0</v>
      </c>
      <c r="G1720" s="1">
        <v>2.0</v>
      </c>
      <c r="H1720" s="1" t="s">
        <v>66</v>
      </c>
      <c r="I1720" s="1" t="s">
        <v>26</v>
      </c>
      <c r="J1720" s="1" t="s">
        <v>27</v>
      </c>
      <c r="K1720" s="1">
        <v>21000.0</v>
      </c>
      <c r="L1720" s="1">
        <v>56.9987253</v>
      </c>
      <c r="M1720" s="1">
        <v>24.1235645</v>
      </c>
    </row>
    <row r="1721">
      <c r="A1721" s="1" t="s">
        <v>89</v>
      </c>
      <c r="B1721" s="1" t="s">
        <v>38</v>
      </c>
      <c r="C1721" s="2"/>
      <c r="D1721" s="1">
        <v>3.0</v>
      </c>
      <c r="E1721" s="2"/>
      <c r="F1721" s="2"/>
      <c r="G1721" s="2"/>
      <c r="H1721" s="2"/>
      <c r="I1721" s="2"/>
      <c r="J1721" s="2"/>
      <c r="K1721" s="2"/>
      <c r="L1721" s="1">
        <v>46.3144754</v>
      </c>
      <c r="M1721" s="1">
        <v>11.0480288</v>
      </c>
    </row>
    <row r="1722">
      <c r="A1722" s="1" t="s">
        <v>13</v>
      </c>
      <c r="B1722" s="1" t="s">
        <v>422</v>
      </c>
      <c r="C1722" s="1" t="s">
        <v>1301</v>
      </c>
      <c r="D1722" s="1">
        <v>3.0</v>
      </c>
      <c r="E1722" s="1">
        <v>70.0</v>
      </c>
      <c r="F1722" s="1">
        <v>1.0</v>
      </c>
      <c r="G1722" s="1">
        <v>2.0</v>
      </c>
      <c r="H1722" s="1" t="s">
        <v>171</v>
      </c>
      <c r="I1722" s="1" t="s">
        <v>37</v>
      </c>
      <c r="J1722" s="1" t="s">
        <v>18</v>
      </c>
      <c r="K1722" s="1">
        <v>370.0</v>
      </c>
      <c r="L1722" s="1">
        <v>56.9348283</v>
      </c>
      <c r="M1722" s="1">
        <v>24.0390725</v>
      </c>
    </row>
    <row r="1723">
      <c r="A1723" s="1" t="s">
        <v>22</v>
      </c>
      <c r="B1723" s="1" t="s">
        <v>96</v>
      </c>
      <c r="C1723" s="1" t="s">
        <v>999</v>
      </c>
      <c r="D1723" s="1">
        <v>3.0</v>
      </c>
      <c r="E1723" s="1">
        <v>58.0</v>
      </c>
      <c r="F1723" s="1">
        <v>1.0</v>
      </c>
      <c r="G1723" s="1">
        <v>2.0</v>
      </c>
      <c r="H1723" s="1" t="s">
        <v>181</v>
      </c>
      <c r="I1723" s="1" t="s">
        <v>37</v>
      </c>
      <c r="J1723" s="1" t="s">
        <v>18</v>
      </c>
      <c r="K1723" s="1">
        <v>49850.0</v>
      </c>
      <c r="L1723" s="1">
        <v>57.03627125</v>
      </c>
      <c r="M1723" s="1">
        <v>24.08894255</v>
      </c>
    </row>
    <row r="1724">
      <c r="A1724" s="1" t="s">
        <v>22</v>
      </c>
      <c r="B1724" s="1" t="s">
        <v>30</v>
      </c>
      <c r="C1724" s="1" t="s">
        <v>1302</v>
      </c>
      <c r="D1724" s="1">
        <v>4.0</v>
      </c>
      <c r="E1724" s="1">
        <v>103.0</v>
      </c>
      <c r="F1724" s="1">
        <v>1.0</v>
      </c>
      <c r="G1724" s="1">
        <v>12.0</v>
      </c>
      <c r="H1724" s="1" t="s">
        <v>32</v>
      </c>
      <c r="I1724" s="1" t="s">
        <v>21</v>
      </c>
      <c r="J1724" s="1" t="s">
        <v>18</v>
      </c>
      <c r="K1724" s="1">
        <v>160000.0</v>
      </c>
      <c r="L1724" s="1">
        <v>56.982608</v>
      </c>
      <c r="M1724" s="1">
        <v>24.1873524</v>
      </c>
    </row>
    <row r="1725">
      <c r="A1725" s="1" t="s">
        <v>13</v>
      </c>
      <c r="B1725" s="1" t="s">
        <v>23</v>
      </c>
      <c r="C1725" s="1" t="s">
        <v>1303</v>
      </c>
      <c r="D1725" s="1">
        <v>2.0</v>
      </c>
      <c r="E1725" s="1">
        <v>57.0</v>
      </c>
      <c r="F1725" s="1">
        <v>2.0</v>
      </c>
      <c r="G1725" s="1">
        <v>2.0</v>
      </c>
      <c r="H1725" s="1" t="s">
        <v>36</v>
      </c>
      <c r="I1725" s="1" t="s">
        <v>33</v>
      </c>
      <c r="J1725" s="1" t="s">
        <v>18</v>
      </c>
      <c r="K1725" s="1">
        <v>30.0</v>
      </c>
      <c r="L1725" s="1">
        <v>56.95622405</v>
      </c>
      <c r="M1725" s="1">
        <v>24.1296935035436</v>
      </c>
    </row>
    <row r="1726">
      <c r="A1726" s="1" t="s">
        <v>22</v>
      </c>
      <c r="B1726" s="1" t="s">
        <v>1304</v>
      </c>
      <c r="C1726" s="1" t="s">
        <v>1305</v>
      </c>
      <c r="D1726" s="1">
        <v>2.0</v>
      </c>
      <c r="E1726" s="1">
        <v>40.0</v>
      </c>
      <c r="F1726" s="1">
        <v>2.0</v>
      </c>
      <c r="G1726" s="1">
        <v>6.0</v>
      </c>
      <c r="H1726" s="1" t="s">
        <v>32</v>
      </c>
      <c r="I1726" s="1" t="s">
        <v>21</v>
      </c>
      <c r="J1726" s="1" t="s">
        <v>18</v>
      </c>
      <c r="K1726" s="1">
        <v>63350.0</v>
      </c>
      <c r="L1726" s="1">
        <v>57.0229234499999</v>
      </c>
      <c r="M1726" s="1">
        <v>24.1376648769917</v>
      </c>
    </row>
    <row r="1727">
      <c r="A1727" s="1" t="s">
        <v>13</v>
      </c>
      <c r="B1727" s="1" t="s">
        <v>50</v>
      </c>
      <c r="C1727" s="1" t="s">
        <v>1220</v>
      </c>
      <c r="D1727" s="1">
        <v>3.0</v>
      </c>
      <c r="E1727" s="1">
        <v>83.0</v>
      </c>
      <c r="F1727" s="1">
        <v>5.0</v>
      </c>
      <c r="G1727" s="1">
        <v>5.0</v>
      </c>
      <c r="H1727" s="1" t="s">
        <v>36</v>
      </c>
      <c r="I1727" s="1" t="s">
        <v>17</v>
      </c>
      <c r="J1727" s="1" t="s">
        <v>18</v>
      </c>
      <c r="K1727" s="1">
        <v>600.0</v>
      </c>
      <c r="L1727" s="1">
        <v>56.9379361</v>
      </c>
      <c r="M1727" s="1">
        <v>24.154479</v>
      </c>
    </row>
    <row r="1728">
      <c r="A1728" s="1" t="s">
        <v>22</v>
      </c>
      <c r="B1728" s="1" t="s">
        <v>74</v>
      </c>
      <c r="C1728" s="1" t="s">
        <v>1306</v>
      </c>
      <c r="D1728" s="1">
        <v>3.0</v>
      </c>
      <c r="E1728" s="1">
        <v>79.0</v>
      </c>
      <c r="F1728" s="1">
        <v>1.0</v>
      </c>
      <c r="G1728" s="1">
        <v>9.0</v>
      </c>
      <c r="H1728" s="1" t="s">
        <v>32</v>
      </c>
      <c r="I1728" s="1" t="s">
        <v>21</v>
      </c>
      <c r="J1728" s="1" t="s">
        <v>18</v>
      </c>
      <c r="K1728" s="1">
        <v>89900.0</v>
      </c>
      <c r="L1728" s="1">
        <v>56.9451394</v>
      </c>
      <c r="M1728" s="1">
        <v>24.217608</v>
      </c>
    </row>
    <row r="1729">
      <c r="A1729" s="1" t="s">
        <v>22</v>
      </c>
      <c r="B1729" s="1" t="s">
        <v>172</v>
      </c>
      <c r="C1729" s="1" t="s">
        <v>449</v>
      </c>
      <c r="D1729" s="1">
        <v>3.0</v>
      </c>
      <c r="E1729" s="1">
        <v>54.0</v>
      </c>
      <c r="F1729" s="1">
        <v>2.0</v>
      </c>
      <c r="G1729" s="1">
        <v>5.0</v>
      </c>
      <c r="H1729" s="1" t="s">
        <v>57</v>
      </c>
      <c r="I1729" s="1" t="s">
        <v>37</v>
      </c>
      <c r="J1729" s="1" t="s">
        <v>18</v>
      </c>
      <c r="K1729" s="1">
        <v>16800.0</v>
      </c>
      <c r="L1729" s="1">
        <v>56.90687475</v>
      </c>
      <c r="M1729" s="1">
        <v>24.2209157822299</v>
      </c>
    </row>
    <row r="1730">
      <c r="A1730" s="1" t="s">
        <v>22</v>
      </c>
      <c r="B1730" s="1" t="s">
        <v>104</v>
      </c>
      <c r="C1730" s="1" t="s">
        <v>1307</v>
      </c>
      <c r="D1730" s="1">
        <v>3.0</v>
      </c>
      <c r="E1730" s="1">
        <v>54.0</v>
      </c>
      <c r="F1730" s="1">
        <v>1.0</v>
      </c>
      <c r="G1730" s="1">
        <v>1.0</v>
      </c>
      <c r="H1730" s="1" t="s">
        <v>25</v>
      </c>
      <c r="I1730" s="1" t="s">
        <v>26</v>
      </c>
      <c r="J1730" s="1" t="s">
        <v>18</v>
      </c>
      <c r="K1730" s="1">
        <v>33800.0</v>
      </c>
      <c r="L1730" s="1" t="s">
        <v>40</v>
      </c>
      <c r="M1730" s="1" t="s">
        <v>40</v>
      </c>
    </row>
    <row r="1731">
      <c r="A1731" s="1" t="s">
        <v>22</v>
      </c>
      <c r="B1731" s="1" t="s">
        <v>23</v>
      </c>
      <c r="C1731" s="1" t="s">
        <v>1308</v>
      </c>
      <c r="D1731" s="1">
        <v>1.0</v>
      </c>
      <c r="E1731" s="1">
        <v>34.0</v>
      </c>
      <c r="F1731" s="1">
        <v>1.0</v>
      </c>
      <c r="G1731" s="1">
        <v>6.0</v>
      </c>
      <c r="H1731" s="1" t="s">
        <v>25</v>
      </c>
      <c r="I1731" s="1" t="s">
        <v>33</v>
      </c>
      <c r="J1731" s="1" t="s">
        <v>18</v>
      </c>
      <c r="K1731" s="1">
        <v>45000.0</v>
      </c>
      <c r="L1731" s="1">
        <v>56.8597884</v>
      </c>
      <c r="M1731" s="1">
        <v>24.3083417</v>
      </c>
    </row>
    <row r="1732">
      <c r="A1732" s="1" t="s">
        <v>22</v>
      </c>
      <c r="B1732" s="1" t="s">
        <v>50</v>
      </c>
      <c r="C1732" s="1" t="s">
        <v>1308</v>
      </c>
      <c r="D1732" s="1">
        <v>1.0</v>
      </c>
      <c r="E1732" s="1">
        <v>34.0</v>
      </c>
      <c r="F1732" s="1">
        <v>1.0</v>
      </c>
      <c r="G1732" s="1">
        <v>6.0</v>
      </c>
      <c r="H1732" s="1" t="s">
        <v>25</v>
      </c>
      <c r="I1732" s="1" t="s">
        <v>33</v>
      </c>
      <c r="J1732" s="1" t="s">
        <v>18</v>
      </c>
      <c r="K1732" s="1">
        <v>45000.0</v>
      </c>
      <c r="L1732" s="1">
        <v>56.8597884</v>
      </c>
      <c r="M1732" s="1">
        <v>24.3083417</v>
      </c>
    </row>
    <row r="1733">
      <c r="A1733" s="1" t="s">
        <v>22</v>
      </c>
      <c r="B1733" s="1" t="s">
        <v>48</v>
      </c>
      <c r="C1733" s="1" t="s">
        <v>1309</v>
      </c>
      <c r="D1733" s="1">
        <v>3.0</v>
      </c>
      <c r="E1733" s="1">
        <v>62.0</v>
      </c>
      <c r="F1733" s="1">
        <v>7.0</v>
      </c>
      <c r="G1733" s="1">
        <v>9.0</v>
      </c>
      <c r="H1733" s="1">
        <v>602.0</v>
      </c>
      <c r="I1733" s="1" t="s">
        <v>21</v>
      </c>
      <c r="J1733" s="1" t="s">
        <v>18</v>
      </c>
      <c r="K1733" s="1">
        <v>55900.0</v>
      </c>
      <c r="L1733" s="1">
        <v>56.9666127</v>
      </c>
      <c r="M1733" s="1">
        <v>24.2384533999999</v>
      </c>
    </row>
    <row r="1734">
      <c r="A1734" s="1" t="s">
        <v>22</v>
      </c>
      <c r="B1734" s="1" t="s">
        <v>74</v>
      </c>
      <c r="C1734" s="1" t="s">
        <v>1310</v>
      </c>
      <c r="D1734" s="1">
        <v>4.0</v>
      </c>
      <c r="E1734" s="1">
        <v>77.0</v>
      </c>
      <c r="F1734" s="1">
        <v>7.0</v>
      </c>
      <c r="G1734" s="1">
        <v>9.0</v>
      </c>
      <c r="H1734" s="1">
        <v>602.0</v>
      </c>
      <c r="I1734" s="1" t="s">
        <v>21</v>
      </c>
      <c r="J1734" s="1" t="s">
        <v>18</v>
      </c>
      <c r="K1734" s="1">
        <v>74800.0</v>
      </c>
      <c r="L1734" s="1">
        <v>56.94027275</v>
      </c>
      <c r="M1734" s="1">
        <v>24.2148619681412</v>
      </c>
    </row>
    <row r="1735">
      <c r="A1735" s="1" t="s">
        <v>22</v>
      </c>
      <c r="B1735" s="1" t="s">
        <v>74</v>
      </c>
      <c r="C1735" s="1" t="s">
        <v>1311</v>
      </c>
      <c r="D1735" s="1">
        <v>3.0</v>
      </c>
      <c r="E1735" s="1">
        <v>62.0</v>
      </c>
      <c r="F1735" s="1">
        <v>2.0</v>
      </c>
      <c r="G1735" s="1">
        <v>9.0</v>
      </c>
      <c r="H1735" s="1">
        <v>602.0</v>
      </c>
      <c r="I1735" s="1" t="s">
        <v>17</v>
      </c>
      <c r="J1735" s="1" t="s">
        <v>18</v>
      </c>
      <c r="K1735" s="1">
        <v>63800.0</v>
      </c>
      <c r="L1735" s="1">
        <v>56.934949</v>
      </c>
      <c r="M1735" s="1">
        <v>24.2012871647176</v>
      </c>
    </row>
    <row r="1736">
      <c r="A1736" s="1" t="s">
        <v>22</v>
      </c>
      <c r="B1736" s="1" t="s">
        <v>23</v>
      </c>
      <c r="C1736" s="1" t="s">
        <v>1312</v>
      </c>
      <c r="D1736" s="1">
        <v>5.0</v>
      </c>
      <c r="E1736" s="1">
        <v>137.0</v>
      </c>
      <c r="F1736" s="1">
        <v>3.0</v>
      </c>
      <c r="G1736" s="1">
        <v>6.0</v>
      </c>
      <c r="H1736" s="1" t="s">
        <v>66</v>
      </c>
      <c r="I1736" s="1" t="s">
        <v>33</v>
      </c>
      <c r="J1736" s="1" t="s">
        <v>18</v>
      </c>
      <c r="K1736" s="1">
        <v>330000.0</v>
      </c>
      <c r="L1736" s="1">
        <v>56.9563024</v>
      </c>
      <c r="M1736" s="1">
        <v>24.1250971502803</v>
      </c>
    </row>
    <row r="1737">
      <c r="A1737" s="1" t="s">
        <v>22</v>
      </c>
      <c r="B1737" s="1" t="s">
        <v>23</v>
      </c>
      <c r="C1737" s="1" t="s">
        <v>1313</v>
      </c>
      <c r="D1737" s="1">
        <v>3.0</v>
      </c>
      <c r="E1737" s="1">
        <v>72.0</v>
      </c>
      <c r="F1737" s="1">
        <v>3.0</v>
      </c>
      <c r="G1737" s="1">
        <v>3.0</v>
      </c>
      <c r="H1737" s="1" t="s">
        <v>25</v>
      </c>
      <c r="I1737" s="1" t="s">
        <v>33</v>
      </c>
      <c r="J1737" s="1" t="s">
        <v>18</v>
      </c>
      <c r="K1737" s="1">
        <v>128000.0</v>
      </c>
      <c r="L1737" s="1">
        <v>56.9514227</v>
      </c>
      <c r="M1737" s="1">
        <v>24.1336976</v>
      </c>
    </row>
    <row r="1738">
      <c r="A1738" s="1" t="s">
        <v>22</v>
      </c>
      <c r="B1738" s="1" t="s">
        <v>38</v>
      </c>
      <c r="C1738" s="1" t="s">
        <v>1314</v>
      </c>
      <c r="D1738" s="1">
        <v>2.0</v>
      </c>
      <c r="E1738" s="1">
        <v>46.0</v>
      </c>
      <c r="F1738" s="1">
        <v>6.0</v>
      </c>
      <c r="G1738" s="1">
        <v>9.0</v>
      </c>
      <c r="H1738" s="1" t="s">
        <v>32</v>
      </c>
      <c r="I1738" s="1" t="s">
        <v>17</v>
      </c>
      <c r="J1738" s="1" t="s">
        <v>18</v>
      </c>
      <c r="K1738" s="1">
        <v>78000.0</v>
      </c>
      <c r="L1738" s="1">
        <v>56.9512026</v>
      </c>
      <c r="M1738" s="1">
        <v>24.0005229</v>
      </c>
    </row>
    <row r="1739">
      <c r="A1739" s="1" t="s">
        <v>13</v>
      </c>
      <c r="B1739" s="1" t="s">
        <v>14</v>
      </c>
      <c r="C1739" s="1" t="s">
        <v>1315</v>
      </c>
      <c r="D1739" s="1">
        <v>2.0</v>
      </c>
      <c r="E1739" s="1">
        <v>52.0</v>
      </c>
      <c r="F1739" s="1">
        <v>1.0</v>
      </c>
      <c r="G1739" s="1">
        <v>5.0</v>
      </c>
      <c r="H1739" s="1" t="s">
        <v>16</v>
      </c>
      <c r="I1739" s="1" t="s">
        <v>21</v>
      </c>
      <c r="J1739" s="1" t="s">
        <v>18</v>
      </c>
      <c r="K1739" s="1">
        <v>360.0</v>
      </c>
      <c r="L1739" s="1">
        <v>56.95732255</v>
      </c>
      <c r="M1739" s="1">
        <v>24.2043993291603</v>
      </c>
    </row>
    <row r="1740">
      <c r="A1740" s="1" t="s">
        <v>22</v>
      </c>
      <c r="B1740" s="1" t="s">
        <v>30</v>
      </c>
      <c r="C1740" s="1" t="s">
        <v>1316</v>
      </c>
      <c r="D1740" s="1">
        <v>1.0</v>
      </c>
      <c r="E1740" s="1">
        <v>39.0</v>
      </c>
      <c r="F1740" s="1">
        <v>3.0</v>
      </c>
      <c r="G1740" s="1">
        <v>3.0</v>
      </c>
      <c r="H1740" s="1" t="s">
        <v>25</v>
      </c>
      <c r="I1740" s="1" t="s">
        <v>33</v>
      </c>
      <c r="J1740" s="1" t="s">
        <v>27</v>
      </c>
      <c r="K1740" s="1">
        <v>24500.0</v>
      </c>
      <c r="L1740" s="1">
        <v>56.97708405</v>
      </c>
      <c r="M1740" s="1">
        <v>24.1720785628571</v>
      </c>
    </row>
    <row r="1741">
      <c r="A1741" s="1" t="s">
        <v>22</v>
      </c>
      <c r="B1741" s="1" t="s">
        <v>117</v>
      </c>
      <c r="C1741" s="1" t="s">
        <v>1317</v>
      </c>
      <c r="D1741" s="1">
        <v>2.0</v>
      </c>
      <c r="E1741" s="1">
        <v>46.0</v>
      </c>
      <c r="F1741" s="1">
        <v>1.0</v>
      </c>
      <c r="G1741" s="1">
        <v>5.0</v>
      </c>
      <c r="H1741" s="1" t="s">
        <v>36</v>
      </c>
      <c r="I1741" s="1" t="s">
        <v>37</v>
      </c>
      <c r="J1741" s="1" t="s">
        <v>18</v>
      </c>
      <c r="K1741" s="1">
        <v>53000.0</v>
      </c>
      <c r="L1741" s="1">
        <v>56.9879311</v>
      </c>
      <c r="M1741" s="1">
        <v>24.1642804473224</v>
      </c>
    </row>
    <row r="1742">
      <c r="A1742" s="1" t="s">
        <v>13</v>
      </c>
      <c r="B1742" s="1" t="s">
        <v>23</v>
      </c>
      <c r="C1742" s="1" t="s">
        <v>1318</v>
      </c>
      <c r="D1742" s="1">
        <v>4.0</v>
      </c>
      <c r="E1742" s="1">
        <v>150.0</v>
      </c>
      <c r="F1742" s="1">
        <v>3.0</v>
      </c>
      <c r="G1742" s="1">
        <v>5.0</v>
      </c>
      <c r="H1742" s="1" t="s">
        <v>66</v>
      </c>
      <c r="I1742" s="1" t="s">
        <v>33</v>
      </c>
      <c r="J1742" s="1" t="s">
        <v>18</v>
      </c>
      <c r="K1742" s="1">
        <v>1475.0</v>
      </c>
      <c r="L1742" s="1">
        <v>48.2969502</v>
      </c>
      <c r="M1742" s="1">
        <v>-100.7081938</v>
      </c>
    </row>
    <row r="1743">
      <c r="A1743" s="1" t="s">
        <v>89</v>
      </c>
      <c r="B1743" s="1" t="s">
        <v>96</v>
      </c>
      <c r="C1743" s="1" t="s">
        <v>1319</v>
      </c>
      <c r="D1743" s="1">
        <v>1.0</v>
      </c>
      <c r="E1743" s="1">
        <v>42.0</v>
      </c>
      <c r="F1743" s="1">
        <v>2.0</v>
      </c>
      <c r="G1743" s="1">
        <v>5.0</v>
      </c>
      <c r="H1743" s="1" t="s">
        <v>57</v>
      </c>
      <c r="I1743" s="1" t="s">
        <v>21</v>
      </c>
      <c r="J1743" s="1" t="s">
        <v>18</v>
      </c>
      <c r="K1743" s="2"/>
      <c r="L1743" s="1">
        <v>57.0318691</v>
      </c>
      <c r="M1743" s="1">
        <v>24.1107033</v>
      </c>
    </row>
    <row r="1744">
      <c r="A1744" s="1" t="s">
        <v>22</v>
      </c>
      <c r="B1744" s="1" t="s">
        <v>23</v>
      </c>
      <c r="C1744" s="1" t="s">
        <v>1320</v>
      </c>
      <c r="D1744" s="1">
        <v>3.0</v>
      </c>
      <c r="E1744" s="1">
        <v>90.0</v>
      </c>
      <c r="F1744" s="1">
        <v>1.0</v>
      </c>
      <c r="G1744" s="1">
        <v>5.0</v>
      </c>
      <c r="H1744" s="1" t="s">
        <v>32</v>
      </c>
      <c r="I1744" s="1" t="s">
        <v>122</v>
      </c>
      <c r="J1744" s="1" t="s">
        <v>18</v>
      </c>
      <c r="K1744" s="1">
        <v>158000.0</v>
      </c>
      <c r="L1744" s="1">
        <v>56.9681431</v>
      </c>
      <c r="M1744" s="1">
        <v>24.1468839653253</v>
      </c>
    </row>
    <row r="1745">
      <c r="A1745" s="1" t="s">
        <v>22</v>
      </c>
      <c r="B1745" s="1" t="s">
        <v>23</v>
      </c>
      <c r="C1745" s="1" t="s">
        <v>810</v>
      </c>
      <c r="D1745" s="1">
        <v>5.0</v>
      </c>
      <c r="E1745" s="1">
        <v>226.0</v>
      </c>
      <c r="F1745" s="1">
        <v>6.0</v>
      </c>
      <c r="G1745" s="1">
        <v>7.0</v>
      </c>
      <c r="H1745" s="1" t="s">
        <v>32</v>
      </c>
      <c r="I1745" s="1" t="s">
        <v>122</v>
      </c>
      <c r="J1745" s="1" t="s">
        <v>18</v>
      </c>
      <c r="K1745" s="1">
        <v>295000.0</v>
      </c>
      <c r="L1745" s="1">
        <v>56.9684979</v>
      </c>
      <c r="M1745" s="1">
        <v>24.1467035</v>
      </c>
    </row>
    <row r="1746">
      <c r="A1746" s="1" t="s">
        <v>22</v>
      </c>
      <c r="B1746" s="1" t="s">
        <v>23</v>
      </c>
      <c r="C1746" s="1" t="s">
        <v>1321</v>
      </c>
      <c r="D1746" s="1">
        <v>2.0</v>
      </c>
      <c r="E1746" s="1">
        <v>50.0</v>
      </c>
      <c r="F1746" s="1">
        <v>3.0</v>
      </c>
      <c r="G1746" s="1">
        <v>6.0</v>
      </c>
      <c r="H1746" s="1" t="s">
        <v>66</v>
      </c>
      <c r="I1746" s="1" t="s">
        <v>33</v>
      </c>
      <c r="J1746" s="1" t="s">
        <v>18</v>
      </c>
      <c r="K1746" s="1">
        <v>111980.0</v>
      </c>
      <c r="L1746" s="1">
        <v>56.95092625</v>
      </c>
      <c r="M1746" s="1">
        <v>24.1279151350786</v>
      </c>
    </row>
    <row r="1747">
      <c r="A1747" s="1" t="s">
        <v>22</v>
      </c>
      <c r="B1747" s="1" t="s">
        <v>23</v>
      </c>
      <c r="C1747" s="1" t="s">
        <v>1321</v>
      </c>
      <c r="D1747" s="1">
        <v>1.0</v>
      </c>
      <c r="E1747" s="1">
        <v>31.0</v>
      </c>
      <c r="F1747" s="1">
        <v>2.0</v>
      </c>
      <c r="G1747" s="1">
        <v>6.0</v>
      </c>
      <c r="H1747" s="1" t="s">
        <v>66</v>
      </c>
      <c r="I1747" s="1" t="s">
        <v>33</v>
      </c>
      <c r="J1747" s="1" t="s">
        <v>18</v>
      </c>
      <c r="K1747" s="1">
        <v>68540.0</v>
      </c>
      <c r="L1747" s="1">
        <v>56.95092625</v>
      </c>
      <c r="M1747" s="1">
        <v>24.1279151350786</v>
      </c>
    </row>
    <row r="1748">
      <c r="A1748" s="1" t="s">
        <v>13</v>
      </c>
      <c r="B1748" s="1" t="s">
        <v>23</v>
      </c>
      <c r="C1748" s="1" t="s">
        <v>1322</v>
      </c>
      <c r="D1748" s="1">
        <v>1.0</v>
      </c>
      <c r="E1748" s="1">
        <v>24.0</v>
      </c>
      <c r="F1748" s="1">
        <v>2.0</v>
      </c>
      <c r="G1748" s="1">
        <v>3.0</v>
      </c>
      <c r="H1748" s="1" t="s">
        <v>66</v>
      </c>
      <c r="I1748" s="1" t="s">
        <v>37</v>
      </c>
      <c r="J1748" s="1" t="s">
        <v>18</v>
      </c>
      <c r="K1748" s="1">
        <v>330.0</v>
      </c>
      <c r="L1748" s="1">
        <v>56.96613265</v>
      </c>
      <c r="M1748" s="1">
        <v>24.1050907501278</v>
      </c>
    </row>
    <row r="1749">
      <c r="A1749" s="1" t="s">
        <v>13</v>
      </c>
      <c r="B1749" s="1" t="s">
        <v>23</v>
      </c>
      <c r="C1749" s="1" t="s">
        <v>1322</v>
      </c>
      <c r="D1749" s="1">
        <v>1.0</v>
      </c>
      <c r="E1749" s="1">
        <v>54.0</v>
      </c>
      <c r="F1749" s="1">
        <v>3.0</v>
      </c>
      <c r="G1749" s="1">
        <v>3.0</v>
      </c>
      <c r="H1749" s="1" t="s">
        <v>66</v>
      </c>
      <c r="I1749" s="1" t="s">
        <v>37</v>
      </c>
      <c r="J1749" s="1" t="s">
        <v>18</v>
      </c>
      <c r="K1749" s="1">
        <v>500.0</v>
      </c>
      <c r="L1749" s="1">
        <v>56.96613265</v>
      </c>
      <c r="M1749" s="1">
        <v>24.1050907501278</v>
      </c>
    </row>
    <row r="1750">
      <c r="A1750" s="1" t="s">
        <v>13</v>
      </c>
      <c r="B1750" s="1" t="s">
        <v>14</v>
      </c>
      <c r="C1750" s="1" t="s">
        <v>958</v>
      </c>
      <c r="D1750" s="1">
        <v>1.0</v>
      </c>
      <c r="E1750" s="1">
        <v>35.0</v>
      </c>
      <c r="F1750" s="1">
        <v>3.0</v>
      </c>
      <c r="G1750" s="1">
        <v>9.0</v>
      </c>
      <c r="H1750" s="1">
        <v>602.0</v>
      </c>
      <c r="I1750" s="1" t="s">
        <v>21</v>
      </c>
      <c r="J1750" s="1" t="s">
        <v>18</v>
      </c>
      <c r="K1750" s="1">
        <v>190.0</v>
      </c>
      <c r="L1750" s="1">
        <v>56.95922675</v>
      </c>
      <c r="M1750" s="1">
        <v>24.1820870162061</v>
      </c>
    </row>
    <row r="1751">
      <c r="A1751" s="1" t="s">
        <v>22</v>
      </c>
      <c r="B1751" s="1" t="s">
        <v>23</v>
      </c>
      <c r="C1751" s="1" t="s">
        <v>1321</v>
      </c>
      <c r="D1751" s="1">
        <v>3.0</v>
      </c>
      <c r="E1751" s="1">
        <v>83.0</v>
      </c>
      <c r="F1751" s="1">
        <v>2.0</v>
      </c>
      <c r="G1751" s="1">
        <v>6.0</v>
      </c>
      <c r="H1751" s="1" t="s">
        <v>66</v>
      </c>
      <c r="I1751" s="1" t="s">
        <v>33</v>
      </c>
      <c r="J1751" s="1" t="s">
        <v>18</v>
      </c>
      <c r="K1751" s="1">
        <v>164800.0</v>
      </c>
      <c r="L1751" s="1">
        <v>56.95092625</v>
      </c>
      <c r="M1751" s="1">
        <v>24.1279151350786</v>
      </c>
    </row>
    <row r="1752">
      <c r="A1752" s="1" t="s">
        <v>22</v>
      </c>
      <c r="B1752" s="1" t="s">
        <v>96</v>
      </c>
      <c r="C1752" s="1" t="s">
        <v>1003</v>
      </c>
      <c r="D1752" s="1">
        <v>1.0</v>
      </c>
      <c r="E1752" s="1">
        <v>37.0</v>
      </c>
      <c r="F1752" s="1">
        <v>1.0</v>
      </c>
      <c r="G1752" s="1">
        <v>5.0</v>
      </c>
      <c r="H1752" s="1" t="s">
        <v>36</v>
      </c>
      <c r="I1752" s="1" t="s">
        <v>17</v>
      </c>
      <c r="J1752" s="1" t="s">
        <v>18</v>
      </c>
      <c r="K1752" s="1">
        <v>28000.0</v>
      </c>
      <c r="L1752" s="1">
        <v>57.0373867</v>
      </c>
      <c r="M1752" s="1">
        <v>24.0884618</v>
      </c>
    </row>
    <row r="1753">
      <c r="A1753" s="1" t="s">
        <v>22</v>
      </c>
      <c r="B1753" s="1" t="s">
        <v>96</v>
      </c>
      <c r="C1753" s="1" t="s">
        <v>802</v>
      </c>
      <c r="D1753" s="1">
        <v>3.0</v>
      </c>
      <c r="E1753" s="1">
        <v>69.0</v>
      </c>
      <c r="F1753" s="1">
        <v>5.0</v>
      </c>
      <c r="G1753" s="1">
        <v>5.0</v>
      </c>
      <c r="H1753" s="1" t="s">
        <v>16</v>
      </c>
      <c r="I1753" s="1" t="s">
        <v>21</v>
      </c>
      <c r="J1753" s="1" t="s">
        <v>18</v>
      </c>
      <c r="K1753" s="1">
        <v>48000.0</v>
      </c>
      <c r="L1753" s="1">
        <v>57.0316748</v>
      </c>
      <c r="M1753" s="1">
        <v>24.1063938</v>
      </c>
    </row>
    <row r="1754">
      <c r="A1754" s="1" t="s">
        <v>22</v>
      </c>
      <c r="B1754" s="1" t="s">
        <v>74</v>
      </c>
      <c r="C1754" s="1" t="s">
        <v>1323</v>
      </c>
      <c r="D1754" s="1">
        <v>4.0</v>
      </c>
      <c r="E1754" s="1">
        <v>75.0</v>
      </c>
      <c r="F1754" s="1">
        <v>8.0</v>
      </c>
      <c r="G1754" s="1">
        <v>9.0</v>
      </c>
      <c r="H1754" s="1">
        <v>467.0</v>
      </c>
      <c r="I1754" s="1" t="s">
        <v>21</v>
      </c>
      <c r="J1754" s="1" t="s">
        <v>18</v>
      </c>
      <c r="K1754" s="1">
        <v>73400.0</v>
      </c>
      <c r="L1754" s="1">
        <v>56.93585905</v>
      </c>
      <c r="M1754" s="1">
        <v>24.2081083776837</v>
      </c>
    </row>
    <row r="1755">
      <c r="A1755" s="1" t="s">
        <v>22</v>
      </c>
      <c r="B1755" s="1" t="s">
        <v>23</v>
      </c>
      <c r="C1755" s="1" t="s">
        <v>1261</v>
      </c>
      <c r="D1755" s="1">
        <v>4.0</v>
      </c>
      <c r="E1755" s="1">
        <v>167.0</v>
      </c>
      <c r="F1755" s="1">
        <v>21.0</v>
      </c>
      <c r="G1755" s="1">
        <v>24.0</v>
      </c>
      <c r="H1755" s="1" t="s">
        <v>32</v>
      </c>
      <c r="I1755" s="1" t="s">
        <v>17</v>
      </c>
      <c r="J1755" s="1" t="s">
        <v>18</v>
      </c>
      <c r="K1755" s="1">
        <v>320000.0</v>
      </c>
      <c r="L1755" s="1">
        <v>56.9726415</v>
      </c>
      <c r="M1755" s="1">
        <v>24.1250304839285</v>
      </c>
    </row>
    <row r="1756">
      <c r="A1756" s="1" t="s">
        <v>22</v>
      </c>
      <c r="B1756" s="1" t="s">
        <v>23</v>
      </c>
      <c r="C1756" s="1" t="s">
        <v>1324</v>
      </c>
      <c r="D1756" s="1">
        <v>4.0</v>
      </c>
      <c r="E1756" s="1">
        <v>121.0</v>
      </c>
      <c r="F1756" s="1">
        <v>2.0</v>
      </c>
      <c r="G1756" s="1">
        <v>5.0</v>
      </c>
      <c r="H1756" s="1" t="s">
        <v>66</v>
      </c>
      <c r="I1756" s="1" t="s">
        <v>37</v>
      </c>
      <c r="J1756" s="1" t="s">
        <v>18</v>
      </c>
      <c r="K1756" s="1">
        <v>205700.0</v>
      </c>
      <c r="L1756" s="1">
        <v>56.9538641</v>
      </c>
      <c r="M1756" s="1">
        <v>24.128666877855</v>
      </c>
    </row>
    <row r="1757">
      <c r="A1757" s="1" t="s">
        <v>22</v>
      </c>
      <c r="B1757" s="1" t="s">
        <v>23</v>
      </c>
      <c r="C1757" s="1" t="s">
        <v>1198</v>
      </c>
      <c r="D1757" s="1">
        <v>6.0</v>
      </c>
      <c r="E1757" s="1">
        <v>230.0</v>
      </c>
      <c r="F1757" s="1">
        <v>5.0</v>
      </c>
      <c r="G1757" s="1">
        <v>6.0</v>
      </c>
      <c r="H1757" s="1" t="s">
        <v>66</v>
      </c>
      <c r="I1757" s="1" t="s">
        <v>33</v>
      </c>
      <c r="J1757" s="1" t="s">
        <v>18</v>
      </c>
      <c r="K1757" s="1">
        <v>330000.0</v>
      </c>
      <c r="L1757" s="1">
        <v>56.9607232</v>
      </c>
      <c r="M1757" s="1">
        <v>24.0998068104308</v>
      </c>
    </row>
    <row r="1758">
      <c r="A1758" s="1" t="s">
        <v>22</v>
      </c>
      <c r="B1758" s="1" t="s">
        <v>23</v>
      </c>
      <c r="C1758" s="1" t="s">
        <v>1325</v>
      </c>
      <c r="D1758" s="1">
        <v>3.0</v>
      </c>
      <c r="E1758" s="1">
        <v>52.0</v>
      </c>
      <c r="F1758" s="1">
        <v>2.0</v>
      </c>
      <c r="G1758" s="1">
        <v>2.0</v>
      </c>
      <c r="H1758" s="1" t="s">
        <v>25</v>
      </c>
      <c r="I1758" s="1" t="s">
        <v>37</v>
      </c>
      <c r="J1758" s="1" t="s">
        <v>18</v>
      </c>
      <c r="K1758" s="1">
        <v>79900.0</v>
      </c>
      <c r="L1758" s="1">
        <v>56.953749</v>
      </c>
      <c r="M1758" s="1">
        <v>24.1340229</v>
      </c>
    </row>
    <row r="1759">
      <c r="A1759" s="1" t="s">
        <v>13</v>
      </c>
      <c r="B1759" s="1" t="s">
        <v>52</v>
      </c>
      <c r="C1759" s="1" t="s">
        <v>1326</v>
      </c>
      <c r="D1759" s="1">
        <v>1.0</v>
      </c>
      <c r="E1759" s="1">
        <v>42.0</v>
      </c>
      <c r="F1759" s="1">
        <v>3.0</v>
      </c>
      <c r="G1759" s="1">
        <v>9.0</v>
      </c>
      <c r="H1759" s="1">
        <v>119.0</v>
      </c>
      <c r="I1759" s="1" t="s">
        <v>21</v>
      </c>
      <c r="J1759" s="1" t="s">
        <v>18</v>
      </c>
      <c r="K1759" s="1">
        <v>250.0</v>
      </c>
      <c r="L1759" s="1">
        <v>56.94224055</v>
      </c>
      <c r="M1759" s="1">
        <v>24.0060845759065</v>
      </c>
    </row>
    <row r="1760">
      <c r="A1760" s="1" t="s">
        <v>22</v>
      </c>
      <c r="B1760" s="1" t="s">
        <v>38</v>
      </c>
      <c r="C1760" s="1" t="s">
        <v>1327</v>
      </c>
      <c r="D1760" s="1">
        <v>4.0</v>
      </c>
      <c r="E1760" s="1">
        <v>110.0</v>
      </c>
      <c r="F1760" s="1">
        <v>1.0</v>
      </c>
      <c r="G1760" s="1">
        <v>12.0</v>
      </c>
      <c r="H1760" s="1" t="s">
        <v>221</v>
      </c>
      <c r="I1760" s="1" t="s">
        <v>37</v>
      </c>
      <c r="J1760" s="1" t="s">
        <v>18</v>
      </c>
      <c r="K1760" s="1">
        <v>110000.0</v>
      </c>
      <c r="L1760" s="1">
        <v>56.96380995</v>
      </c>
      <c r="M1760" s="1">
        <v>24.0195138136445</v>
      </c>
    </row>
    <row r="1761">
      <c r="A1761" s="1" t="s">
        <v>13</v>
      </c>
      <c r="B1761" s="1" t="s">
        <v>23</v>
      </c>
      <c r="C1761" s="1" t="s">
        <v>501</v>
      </c>
      <c r="D1761" s="1">
        <v>1.0</v>
      </c>
      <c r="E1761" s="1">
        <v>18.0</v>
      </c>
      <c r="F1761" s="1">
        <v>6.0</v>
      </c>
      <c r="G1761" s="1">
        <v>6.0</v>
      </c>
      <c r="H1761" s="1" t="s">
        <v>66</v>
      </c>
      <c r="I1761" s="1" t="s">
        <v>33</v>
      </c>
      <c r="J1761" s="1" t="s">
        <v>18</v>
      </c>
      <c r="K1761" s="1">
        <v>235.0</v>
      </c>
      <c r="L1761" s="1">
        <v>56.94440235</v>
      </c>
      <c r="M1761" s="1">
        <v>24.1323630232783</v>
      </c>
    </row>
    <row r="1762">
      <c r="A1762" s="1" t="s">
        <v>22</v>
      </c>
      <c r="B1762" s="1" t="s">
        <v>42</v>
      </c>
      <c r="C1762" s="1" t="s">
        <v>1328</v>
      </c>
      <c r="D1762" s="1">
        <v>3.0</v>
      </c>
      <c r="E1762" s="1">
        <v>57.0</v>
      </c>
      <c r="F1762" s="1">
        <v>1.0</v>
      </c>
      <c r="G1762" s="1">
        <v>5.0</v>
      </c>
      <c r="H1762" s="1" t="s">
        <v>44</v>
      </c>
      <c r="I1762" s="1" t="s">
        <v>17</v>
      </c>
      <c r="J1762" s="1" t="s">
        <v>18</v>
      </c>
      <c r="K1762" s="1">
        <v>49000.0</v>
      </c>
      <c r="L1762" s="1">
        <v>56.98168535</v>
      </c>
      <c r="M1762" s="1">
        <v>24.2456904499999</v>
      </c>
    </row>
    <row r="1763">
      <c r="A1763" s="1" t="s">
        <v>22</v>
      </c>
      <c r="B1763" s="1" t="s">
        <v>74</v>
      </c>
      <c r="C1763" s="1" t="s">
        <v>1329</v>
      </c>
      <c r="D1763" s="1">
        <v>3.0</v>
      </c>
      <c r="E1763" s="1">
        <v>63.0</v>
      </c>
      <c r="F1763" s="1">
        <v>1.0</v>
      </c>
      <c r="G1763" s="1">
        <v>9.0</v>
      </c>
      <c r="H1763" s="1">
        <v>602.0</v>
      </c>
      <c r="I1763" s="1" t="s">
        <v>21</v>
      </c>
      <c r="J1763" s="1" t="s">
        <v>18</v>
      </c>
      <c r="K1763" s="1">
        <v>53500.0</v>
      </c>
      <c r="L1763" s="1">
        <v>56.9442073999999</v>
      </c>
      <c r="M1763" s="1">
        <v>24.2194311045304</v>
      </c>
    </row>
    <row r="1764">
      <c r="A1764" s="1" t="s">
        <v>13</v>
      </c>
      <c r="B1764" s="1" t="s">
        <v>23</v>
      </c>
      <c r="C1764" s="1" t="s">
        <v>91</v>
      </c>
      <c r="D1764" s="1">
        <v>4.0</v>
      </c>
      <c r="E1764" s="1">
        <v>127.0</v>
      </c>
      <c r="F1764" s="1">
        <v>5.0</v>
      </c>
      <c r="G1764" s="1">
        <v>8.0</v>
      </c>
      <c r="H1764" s="1" t="s">
        <v>32</v>
      </c>
      <c r="I1764" s="1" t="s">
        <v>21</v>
      </c>
      <c r="J1764" s="1" t="s">
        <v>18</v>
      </c>
      <c r="K1764" s="1">
        <v>1200.0</v>
      </c>
      <c r="L1764" s="1">
        <v>56.9552522</v>
      </c>
      <c r="M1764" s="1">
        <v>24.0999991251943</v>
      </c>
    </row>
    <row r="1765">
      <c r="A1765" s="1" t="s">
        <v>13</v>
      </c>
      <c r="B1765" s="1" t="s">
        <v>23</v>
      </c>
      <c r="C1765" s="1" t="s">
        <v>547</v>
      </c>
      <c r="D1765" s="1">
        <v>3.0</v>
      </c>
      <c r="E1765" s="1">
        <v>100.0</v>
      </c>
      <c r="F1765" s="1">
        <v>5.0</v>
      </c>
      <c r="G1765" s="1">
        <v>6.0</v>
      </c>
      <c r="H1765" s="1" t="s">
        <v>25</v>
      </c>
      <c r="I1765" s="1" t="s">
        <v>33</v>
      </c>
      <c r="J1765" s="1" t="s">
        <v>18</v>
      </c>
      <c r="K1765" s="1">
        <v>950.0</v>
      </c>
      <c r="L1765" s="1" t="s">
        <v>40</v>
      </c>
      <c r="M1765" s="1" t="s">
        <v>40</v>
      </c>
    </row>
    <row r="1766">
      <c r="A1766" s="1" t="s">
        <v>22</v>
      </c>
      <c r="B1766" s="1" t="s">
        <v>23</v>
      </c>
      <c r="C1766" s="1" t="s">
        <v>1330</v>
      </c>
      <c r="D1766" s="1">
        <v>3.0</v>
      </c>
      <c r="E1766" s="1">
        <v>68.0</v>
      </c>
      <c r="F1766" s="1">
        <v>1.0</v>
      </c>
      <c r="G1766" s="1">
        <v>5.0</v>
      </c>
      <c r="H1766" s="1" t="s">
        <v>25</v>
      </c>
      <c r="I1766" s="1" t="s">
        <v>17</v>
      </c>
      <c r="J1766" s="1" t="s">
        <v>18</v>
      </c>
      <c r="K1766" s="1">
        <v>49000.0</v>
      </c>
      <c r="L1766" s="1">
        <v>56.9570178</v>
      </c>
      <c r="M1766" s="1">
        <v>24.1478467</v>
      </c>
    </row>
    <row r="1767">
      <c r="A1767" s="1" t="s">
        <v>22</v>
      </c>
      <c r="B1767" s="1" t="s">
        <v>42</v>
      </c>
      <c r="C1767" s="1" t="s">
        <v>1331</v>
      </c>
      <c r="D1767" s="1">
        <v>2.0</v>
      </c>
      <c r="E1767" s="1">
        <v>46.0</v>
      </c>
      <c r="F1767" s="1">
        <v>2.0</v>
      </c>
      <c r="G1767" s="1">
        <v>5.0</v>
      </c>
      <c r="H1767" s="1" t="s">
        <v>16</v>
      </c>
      <c r="I1767" s="1" t="s">
        <v>21</v>
      </c>
      <c r="J1767" s="1" t="s">
        <v>18</v>
      </c>
      <c r="K1767" s="1">
        <v>47000.0</v>
      </c>
      <c r="L1767" s="1">
        <v>56.9826782</v>
      </c>
      <c r="M1767" s="1">
        <v>24.2406588</v>
      </c>
    </row>
    <row r="1768">
      <c r="A1768" s="1" t="s">
        <v>13</v>
      </c>
      <c r="B1768" s="1" t="s">
        <v>50</v>
      </c>
      <c r="C1768" s="1" t="s">
        <v>822</v>
      </c>
      <c r="D1768" s="1">
        <v>1.0</v>
      </c>
      <c r="E1768" s="1">
        <v>40.0</v>
      </c>
      <c r="F1768" s="1">
        <v>4.0</v>
      </c>
      <c r="G1768" s="1">
        <v>4.0</v>
      </c>
      <c r="H1768" s="1" t="s">
        <v>181</v>
      </c>
      <c r="I1768" s="1" t="s">
        <v>33</v>
      </c>
      <c r="J1768" s="1" t="s">
        <v>18</v>
      </c>
      <c r="K1768" s="1">
        <v>350.0</v>
      </c>
      <c r="L1768" s="1">
        <v>56.9383325999999</v>
      </c>
      <c r="M1768" s="1">
        <v>24.1558851119791</v>
      </c>
    </row>
    <row r="1769">
      <c r="A1769" s="1" t="s">
        <v>22</v>
      </c>
      <c r="B1769" s="1" t="s">
        <v>1304</v>
      </c>
      <c r="C1769" s="1" t="s">
        <v>1305</v>
      </c>
      <c r="D1769" s="1">
        <v>3.0</v>
      </c>
      <c r="E1769" s="1">
        <v>55.0</v>
      </c>
      <c r="F1769" s="1">
        <v>2.0</v>
      </c>
      <c r="G1769" s="1">
        <v>6.0</v>
      </c>
      <c r="H1769" s="1" t="s">
        <v>32</v>
      </c>
      <c r="I1769" s="1" t="s">
        <v>21</v>
      </c>
      <c r="J1769" s="1" t="s">
        <v>18</v>
      </c>
      <c r="K1769" s="1">
        <v>83100.0</v>
      </c>
      <c r="L1769" s="1">
        <v>57.0229234499999</v>
      </c>
      <c r="M1769" s="1">
        <v>24.1376648769917</v>
      </c>
    </row>
    <row r="1770">
      <c r="A1770" s="1" t="s">
        <v>22</v>
      </c>
      <c r="B1770" s="1" t="s">
        <v>1304</v>
      </c>
      <c r="C1770" s="1" t="s">
        <v>1305</v>
      </c>
      <c r="D1770" s="1">
        <v>1.0</v>
      </c>
      <c r="E1770" s="1">
        <v>27.0</v>
      </c>
      <c r="F1770" s="1">
        <v>2.0</v>
      </c>
      <c r="G1770" s="1">
        <v>6.0</v>
      </c>
      <c r="H1770" s="1" t="s">
        <v>32</v>
      </c>
      <c r="I1770" s="1" t="s">
        <v>21</v>
      </c>
      <c r="J1770" s="1" t="s">
        <v>18</v>
      </c>
      <c r="K1770" s="1">
        <v>40500.0</v>
      </c>
      <c r="L1770" s="1">
        <v>57.0229234499999</v>
      </c>
      <c r="M1770" s="1">
        <v>24.1376648769917</v>
      </c>
    </row>
    <row r="1771">
      <c r="A1771" s="1" t="s">
        <v>22</v>
      </c>
      <c r="B1771" s="1" t="s">
        <v>23</v>
      </c>
      <c r="C1771" s="1" t="s">
        <v>1332</v>
      </c>
      <c r="D1771" s="2"/>
      <c r="E1771" s="1">
        <v>214.0</v>
      </c>
      <c r="F1771" s="1">
        <v>5.0</v>
      </c>
      <c r="G1771" s="1">
        <v>5.0</v>
      </c>
      <c r="H1771" s="1" t="s">
        <v>66</v>
      </c>
      <c r="I1771" s="1" t="s">
        <v>17</v>
      </c>
      <c r="J1771" s="1" t="s">
        <v>18</v>
      </c>
      <c r="K1771" s="1">
        <v>165000.0</v>
      </c>
      <c r="L1771" s="1">
        <v>56.96528365</v>
      </c>
      <c r="M1771" s="1">
        <v>24.1511345971373</v>
      </c>
    </row>
    <row r="1772">
      <c r="A1772" s="1" t="s">
        <v>22</v>
      </c>
      <c r="B1772" s="1" t="s">
        <v>23</v>
      </c>
      <c r="C1772" s="1" t="s">
        <v>1333</v>
      </c>
      <c r="D1772" s="1">
        <v>3.0</v>
      </c>
      <c r="E1772" s="1">
        <v>74.0</v>
      </c>
      <c r="F1772" s="1">
        <v>4.0</v>
      </c>
      <c r="G1772" s="1">
        <v>5.0</v>
      </c>
      <c r="H1772" s="1" t="s">
        <v>181</v>
      </c>
      <c r="I1772" s="1" t="s">
        <v>33</v>
      </c>
      <c r="J1772" s="1" t="s">
        <v>18</v>
      </c>
      <c r="K1772" s="1">
        <v>93000.0</v>
      </c>
      <c r="L1772" s="1">
        <v>56.9472563</v>
      </c>
      <c r="M1772" s="1">
        <v>24.1373345</v>
      </c>
    </row>
    <row r="1773">
      <c r="A1773" s="1" t="s">
        <v>13</v>
      </c>
      <c r="B1773" s="1" t="s">
        <v>23</v>
      </c>
      <c r="C1773" s="1" t="s">
        <v>1334</v>
      </c>
      <c r="D1773" s="1">
        <v>2.0</v>
      </c>
      <c r="E1773" s="1">
        <v>75.0</v>
      </c>
      <c r="F1773" s="1">
        <v>4.0</v>
      </c>
      <c r="G1773" s="1">
        <v>4.0</v>
      </c>
      <c r="H1773" s="1" t="s">
        <v>25</v>
      </c>
      <c r="I1773" s="1" t="s">
        <v>37</v>
      </c>
      <c r="J1773" s="1" t="s">
        <v>18</v>
      </c>
      <c r="K1773" s="1">
        <v>35.0</v>
      </c>
      <c r="L1773" s="1">
        <v>56.9583458</v>
      </c>
      <c r="M1773" s="1">
        <v>24.1087314656012</v>
      </c>
    </row>
    <row r="1774">
      <c r="A1774" s="1" t="s">
        <v>22</v>
      </c>
      <c r="B1774" s="1" t="s">
        <v>14</v>
      </c>
      <c r="C1774" s="1" t="s">
        <v>1335</v>
      </c>
      <c r="D1774" s="1">
        <v>4.0</v>
      </c>
      <c r="E1774" s="1">
        <v>73.0</v>
      </c>
      <c r="F1774" s="1">
        <v>1.0</v>
      </c>
      <c r="G1774" s="1">
        <v>9.0</v>
      </c>
      <c r="H1774" s="1">
        <v>602.0</v>
      </c>
      <c r="I1774" s="1" t="s">
        <v>21</v>
      </c>
      <c r="J1774" s="1" t="s">
        <v>18</v>
      </c>
      <c r="K1774" s="1">
        <v>65000.0</v>
      </c>
      <c r="L1774" s="1">
        <v>56.9609581999999</v>
      </c>
      <c r="M1774" s="1">
        <v>24.1870629147243</v>
      </c>
    </row>
    <row r="1775">
      <c r="A1775" s="1" t="s">
        <v>22</v>
      </c>
      <c r="B1775" s="1" t="s">
        <v>422</v>
      </c>
      <c r="C1775" s="1" t="s">
        <v>1336</v>
      </c>
      <c r="D1775" s="1">
        <v>1.0</v>
      </c>
      <c r="E1775" s="1">
        <v>33.0</v>
      </c>
      <c r="F1775" s="1">
        <v>1.0</v>
      </c>
      <c r="G1775" s="1">
        <v>2.0</v>
      </c>
      <c r="H1775" s="1" t="s">
        <v>25</v>
      </c>
      <c r="I1775" s="1" t="s">
        <v>33</v>
      </c>
      <c r="J1775" s="1" t="s">
        <v>18</v>
      </c>
      <c r="K1775" s="1">
        <v>30000.0</v>
      </c>
      <c r="L1775" s="1">
        <v>56.9422772</v>
      </c>
      <c r="M1775" s="1">
        <v>24.0389986185022</v>
      </c>
    </row>
    <row r="1776">
      <c r="A1776" s="1" t="s">
        <v>22</v>
      </c>
      <c r="B1776" s="1" t="s">
        <v>151</v>
      </c>
      <c r="C1776" s="1" t="s">
        <v>1337</v>
      </c>
      <c r="D1776" s="1">
        <v>3.0</v>
      </c>
      <c r="E1776" s="1">
        <v>60.0</v>
      </c>
      <c r="F1776" s="1">
        <v>1.0</v>
      </c>
      <c r="G1776" s="1">
        <v>5.0</v>
      </c>
      <c r="H1776" s="1" t="s">
        <v>16</v>
      </c>
      <c r="I1776" s="1" t="s">
        <v>21</v>
      </c>
      <c r="J1776" s="1" t="s">
        <v>18</v>
      </c>
      <c r="K1776" s="1">
        <v>59800.0</v>
      </c>
      <c r="L1776" s="1">
        <v>56.9710015999999</v>
      </c>
      <c r="M1776" s="1">
        <v>24.070090599991</v>
      </c>
    </row>
    <row r="1777">
      <c r="A1777" s="1" t="s">
        <v>13</v>
      </c>
      <c r="B1777" s="1" t="s">
        <v>109</v>
      </c>
      <c r="C1777" s="1" t="s">
        <v>1338</v>
      </c>
      <c r="D1777" s="1">
        <v>1.0</v>
      </c>
      <c r="E1777" s="1">
        <v>21.0</v>
      </c>
      <c r="F1777" s="1">
        <v>4.0</v>
      </c>
      <c r="G1777" s="1">
        <v>5.0</v>
      </c>
      <c r="H1777" s="1" t="s">
        <v>66</v>
      </c>
      <c r="I1777" s="1" t="s">
        <v>17</v>
      </c>
      <c r="J1777" s="1" t="s">
        <v>18</v>
      </c>
      <c r="K1777" s="1">
        <v>200.0</v>
      </c>
      <c r="L1777" s="1">
        <v>56.99347295</v>
      </c>
      <c r="M1777" s="1">
        <v>24.1926391880139</v>
      </c>
    </row>
    <row r="1778">
      <c r="A1778" s="1" t="s">
        <v>22</v>
      </c>
      <c r="B1778" s="1" t="s">
        <v>74</v>
      </c>
      <c r="C1778" s="1" t="s">
        <v>1339</v>
      </c>
      <c r="D1778" s="1">
        <v>1.0</v>
      </c>
      <c r="E1778" s="1">
        <v>33.0</v>
      </c>
      <c r="F1778" s="1">
        <v>3.0</v>
      </c>
      <c r="G1778" s="1">
        <v>9.0</v>
      </c>
      <c r="H1778" s="1">
        <v>467.0</v>
      </c>
      <c r="I1778" s="1" t="s">
        <v>21</v>
      </c>
      <c r="J1778" s="1" t="s">
        <v>18</v>
      </c>
      <c r="K1778" s="1">
        <v>30800.0</v>
      </c>
      <c r="L1778" s="1">
        <v>56.9370601</v>
      </c>
      <c r="M1778" s="1">
        <v>24.2103376</v>
      </c>
    </row>
    <row r="1779">
      <c r="A1779" s="1" t="s">
        <v>22</v>
      </c>
      <c r="B1779" s="1" t="s">
        <v>23</v>
      </c>
      <c r="C1779" s="1" t="s">
        <v>1340</v>
      </c>
      <c r="D1779" s="1">
        <v>3.0</v>
      </c>
      <c r="E1779" s="1">
        <v>102.0</v>
      </c>
      <c r="F1779" s="1">
        <v>6.0</v>
      </c>
      <c r="G1779" s="1">
        <v>6.0</v>
      </c>
      <c r="H1779" s="1" t="s">
        <v>25</v>
      </c>
      <c r="I1779" s="1" t="s">
        <v>37</v>
      </c>
      <c r="J1779" s="1" t="s">
        <v>18</v>
      </c>
      <c r="K1779" s="1">
        <v>139900.0</v>
      </c>
      <c r="L1779" s="1">
        <v>56.9672898</v>
      </c>
      <c r="M1779" s="1">
        <v>24.1301484</v>
      </c>
    </row>
    <row r="1780">
      <c r="A1780" s="1" t="s">
        <v>22</v>
      </c>
      <c r="B1780" s="1" t="s">
        <v>82</v>
      </c>
      <c r="C1780" s="1" t="s">
        <v>83</v>
      </c>
      <c r="D1780" s="1">
        <v>4.0</v>
      </c>
      <c r="E1780" s="1">
        <v>178.0</v>
      </c>
      <c r="F1780" s="1">
        <v>1.0</v>
      </c>
      <c r="G1780" s="1">
        <v>4.0</v>
      </c>
      <c r="H1780" s="1" t="s">
        <v>32</v>
      </c>
      <c r="I1780" s="1" t="s">
        <v>33</v>
      </c>
      <c r="J1780" s="1" t="s">
        <v>18</v>
      </c>
      <c r="K1780" s="1">
        <v>430000.0</v>
      </c>
      <c r="L1780" s="1">
        <v>56.9489344</v>
      </c>
      <c r="M1780" s="1">
        <v>24.0882804</v>
      </c>
    </row>
    <row r="1781">
      <c r="A1781" s="1" t="s">
        <v>22</v>
      </c>
      <c r="B1781" s="1" t="s">
        <v>28</v>
      </c>
      <c r="C1781" s="1" t="s">
        <v>1341</v>
      </c>
      <c r="D1781" s="1">
        <v>2.0</v>
      </c>
      <c r="E1781" s="1">
        <v>47.0</v>
      </c>
      <c r="F1781" s="1">
        <v>12.0</v>
      </c>
      <c r="G1781" s="1">
        <v>12.0</v>
      </c>
      <c r="H1781" s="1" t="s">
        <v>221</v>
      </c>
      <c r="I1781" s="1" t="s">
        <v>17</v>
      </c>
      <c r="J1781" s="1" t="s">
        <v>18</v>
      </c>
      <c r="K1781" s="1">
        <v>47700.0</v>
      </c>
      <c r="L1781" s="1">
        <v>56.8597884</v>
      </c>
      <c r="M1781" s="1">
        <v>24.3083417</v>
      </c>
    </row>
    <row r="1782">
      <c r="A1782" s="1" t="s">
        <v>22</v>
      </c>
      <c r="B1782" s="1" t="s">
        <v>174</v>
      </c>
      <c r="C1782" s="1" t="s">
        <v>1342</v>
      </c>
      <c r="D1782" s="1">
        <v>3.0</v>
      </c>
      <c r="E1782" s="1">
        <v>64.0</v>
      </c>
      <c r="F1782" s="1">
        <v>1.0</v>
      </c>
      <c r="G1782" s="1">
        <v>2.0</v>
      </c>
      <c r="H1782" s="1" t="s">
        <v>181</v>
      </c>
      <c r="I1782" s="1" t="s">
        <v>37</v>
      </c>
      <c r="J1782" s="1" t="s">
        <v>18</v>
      </c>
      <c r="K1782" s="1">
        <v>57600.0</v>
      </c>
      <c r="L1782" s="1">
        <v>56.9335552</v>
      </c>
      <c r="M1782" s="1">
        <v>24.1758388</v>
      </c>
    </row>
    <row r="1783">
      <c r="A1783" s="1" t="s">
        <v>13</v>
      </c>
      <c r="B1783" s="1" t="s">
        <v>23</v>
      </c>
      <c r="C1783" s="1" t="s">
        <v>1343</v>
      </c>
      <c r="D1783" s="1">
        <v>3.0</v>
      </c>
      <c r="E1783" s="1">
        <v>72.0</v>
      </c>
      <c r="F1783" s="1">
        <v>5.0</v>
      </c>
      <c r="G1783" s="1">
        <v>5.0</v>
      </c>
      <c r="H1783" s="1" t="s">
        <v>25</v>
      </c>
      <c r="I1783" s="1" t="s">
        <v>33</v>
      </c>
      <c r="J1783" s="1" t="s">
        <v>18</v>
      </c>
      <c r="K1783" s="1">
        <v>650.0</v>
      </c>
      <c r="L1783" s="1">
        <v>56.9602579</v>
      </c>
      <c r="M1783" s="1">
        <v>24.1013204</v>
      </c>
    </row>
    <row r="1784">
      <c r="A1784" s="1" t="s">
        <v>13</v>
      </c>
      <c r="B1784" s="1" t="s">
        <v>23</v>
      </c>
      <c r="C1784" s="1" t="s">
        <v>1344</v>
      </c>
      <c r="D1784" s="1">
        <v>1.0</v>
      </c>
      <c r="E1784" s="1">
        <v>13.0</v>
      </c>
      <c r="F1784" s="1">
        <v>2.0</v>
      </c>
      <c r="G1784" s="1">
        <v>2.0</v>
      </c>
      <c r="H1784" s="1" t="s">
        <v>66</v>
      </c>
      <c r="I1784" s="1" t="s">
        <v>33</v>
      </c>
      <c r="J1784" s="1" t="s">
        <v>18</v>
      </c>
      <c r="K1784" s="1">
        <v>295.0</v>
      </c>
      <c r="L1784" s="1">
        <v>56.95712685</v>
      </c>
      <c r="M1784" s="1">
        <v>24.1375877857218</v>
      </c>
    </row>
    <row r="1785">
      <c r="A1785" s="1" t="s">
        <v>13</v>
      </c>
      <c r="B1785" s="1" t="s">
        <v>50</v>
      </c>
      <c r="C1785" s="1" t="s">
        <v>647</v>
      </c>
      <c r="D1785" s="1">
        <v>2.0</v>
      </c>
      <c r="E1785" s="1">
        <v>34.0</v>
      </c>
      <c r="F1785" s="1">
        <v>3.0</v>
      </c>
      <c r="G1785" s="1">
        <v>4.0</v>
      </c>
      <c r="H1785" s="1" t="s">
        <v>66</v>
      </c>
      <c r="I1785" s="1" t="s">
        <v>17</v>
      </c>
      <c r="J1785" s="1" t="s">
        <v>18</v>
      </c>
      <c r="K1785" s="1">
        <v>310.0</v>
      </c>
      <c r="L1785" s="1">
        <v>56.8597884</v>
      </c>
      <c r="M1785" s="1">
        <v>24.3083417</v>
      </c>
    </row>
    <row r="1786">
      <c r="A1786" s="1" t="s">
        <v>13</v>
      </c>
      <c r="B1786" s="1" t="s">
        <v>23</v>
      </c>
      <c r="C1786" s="1" t="s">
        <v>1345</v>
      </c>
      <c r="D1786" s="1">
        <v>1.0</v>
      </c>
      <c r="E1786" s="1">
        <v>13.0</v>
      </c>
      <c r="F1786" s="1">
        <v>1.0</v>
      </c>
      <c r="G1786" s="1">
        <v>1.0</v>
      </c>
      <c r="H1786" s="1" t="s">
        <v>25</v>
      </c>
      <c r="I1786" s="1" t="s">
        <v>33</v>
      </c>
      <c r="J1786" s="1" t="s">
        <v>18</v>
      </c>
      <c r="K1786" s="1">
        <v>135.0</v>
      </c>
      <c r="L1786" s="1">
        <v>56.9532496</v>
      </c>
      <c r="M1786" s="1">
        <v>24.1470682</v>
      </c>
    </row>
    <row r="1787">
      <c r="A1787" s="1" t="s">
        <v>13</v>
      </c>
      <c r="B1787" s="1" t="s">
        <v>23</v>
      </c>
      <c r="C1787" s="1" t="s">
        <v>537</v>
      </c>
      <c r="D1787" s="1">
        <v>2.0</v>
      </c>
      <c r="E1787" s="1">
        <v>67.0</v>
      </c>
      <c r="F1787" s="1">
        <v>3.0</v>
      </c>
      <c r="G1787" s="1">
        <v>4.0</v>
      </c>
      <c r="H1787" s="1" t="s">
        <v>32</v>
      </c>
      <c r="I1787" s="1" t="s">
        <v>122</v>
      </c>
      <c r="J1787" s="1" t="s">
        <v>18</v>
      </c>
      <c r="K1787" s="1">
        <v>70.0</v>
      </c>
      <c r="L1787" s="1">
        <v>56.9579333</v>
      </c>
      <c r="M1787" s="1">
        <v>24.113967</v>
      </c>
    </row>
    <row r="1788">
      <c r="A1788" s="1" t="s">
        <v>22</v>
      </c>
      <c r="B1788" s="1" t="s">
        <v>42</v>
      </c>
      <c r="C1788" s="1" t="s">
        <v>1346</v>
      </c>
      <c r="D1788" s="1">
        <v>3.0</v>
      </c>
      <c r="E1788" s="1">
        <v>60.0</v>
      </c>
      <c r="F1788" s="1">
        <v>5.0</v>
      </c>
      <c r="G1788" s="1">
        <v>5.0</v>
      </c>
      <c r="H1788" s="1" t="s">
        <v>16</v>
      </c>
      <c r="I1788" s="1" t="s">
        <v>21</v>
      </c>
      <c r="J1788" s="1" t="s">
        <v>18</v>
      </c>
      <c r="K1788" s="1">
        <v>47000.0</v>
      </c>
      <c r="L1788" s="1">
        <v>56.97543855</v>
      </c>
      <c r="M1788" s="1">
        <v>24.2503196302299</v>
      </c>
    </row>
    <row r="1789">
      <c r="A1789" s="1" t="s">
        <v>13</v>
      </c>
      <c r="B1789" s="1" t="s">
        <v>151</v>
      </c>
      <c r="C1789" s="1" t="s">
        <v>1347</v>
      </c>
      <c r="D1789" s="1">
        <v>1.0</v>
      </c>
      <c r="E1789" s="1">
        <v>15.0</v>
      </c>
      <c r="F1789" s="1">
        <v>3.0</v>
      </c>
      <c r="G1789" s="1">
        <v>4.0</v>
      </c>
      <c r="H1789" s="1" t="s">
        <v>181</v>
      </c>
      <c r="I1789" s="1" t="s">
        <v>37</v>
      </c>
      <c r="J1789" s="1" t="s">
        <v>18</v>
      </c>
      <c r="K1789" s="1">
        <v>150.0</v>
      </c>
      <c r="L1789" s="1">
        <v>57.0164335</v>
      </c>
      <c r="M1789" s="1">
        <v>24.0628649</v>
      </c>
    </row>
    <row r="1790">
      <c r="A1790" s="1" t="s">
        <v>22</v>
      </c>
      <c r="B1790" s="1" t="s">
        <v>96</v>
      </c>
      <c r="C1790" s="1" t="s">
        <v>1348</v>
      </c>
      <c r="D1790" s="1">
        <v>1.0</v>
      </c>
      <c r="E1790" s="1">
        <v>43.0</v>
      </c>
      <c r="F1790" s="1">
        <v>2.0</v>
      </c>
      <c r="G1790" s="1">
        <v>5.0</v>
      </c>
      <c r="H1790" s="1" t="s">
        <v>57</v>
      </c>
      <c r="I1790" s="1" t="s">
        <v>17</v>
      </c>
      <c r="J1790" s="1" t="s">
        <v>18</v>
      </c>
      <c r="K1790" s="1">
        <v>28000.0</v>
      </c>
      <c r="L1790" s="1">
        <v>57.02967645</v>
      </c>
      <c r="M1790" s="1">
        <v>24.1054302151979</v>
      </c>
    </row>
    <row r="1791">
      <c r="A1791" s="1" t="s">
        <v>22</v>
      </c>
      <c r="B1791" s="1" t="s">
        <v>96</v>
      </c>
      <c r="C1791" s="1" t="s">
        <v>1348</v>
      </c>
      <c r="D1791" s="1">
        <v>1.0</v>
      </c>
      <c r="E1791" s="1">
        <v>43.0</v>
      </c>
      <c r="F1791" s="1">
        <v>5.0</v>
      </c>
      <c r="G1791" s="1">
        <v>5.0</v>
      </c>
      <c r="H1791" s="1" t="s">
        <v>57</v>
      </c>
      <c r="I1791" s="1" t="s">
        <v>122</v>
      </c>
      <c r="J1791" s="1" t="s">
        <v>18</v>
      </c>
      <c r="K1791" s="1">
        <v>26000.0</v>
      </c>
      <c r="L1791" s="1">
        <v>57.02967645</v>
      </c>
      <c r="M1791" s="1">
        <v>24.1054302151979</v>
      </c>
    </row>
    <row r="1792">
      <c r="A1792" s="1" t="s">
        <v>22</v>
      </c>
      <c r="B1792" s="1" t="s">
        <v>23</v>
      </c>
      <c r="C1792" s="1" t="s">
        <v>1349</v>
      </c>
      <c r="D1792" s="1">
        <v>3.0</v>
      </c>
      <c r="E1792" s="1">
        <v>56.6</v>
      </c>
      <c r="F1792" s="1">
        <v>2.0</v>
      </c>
      <c r="G1792" s="1">
        <v>6.0</v>
      </c>
      <c r="H1792" s="1" t="s">
        <v>25</v>
      </c>
      <c r="I1792" s="1" t="s">
        <v>33</v>
      </c>
      <c r="J1792" s="1" t="s">
        <v>18</v>
      </c>
      <c r="K1792" s="1">
        <v>130180.0</v>
      </c>
      <c r="L1792" s="1">
        <v>56.9554229</v>
      </c>
      <c r="M1792" s="1">
        <v>24.1240481</v>
      </c>
    </row>
    <row r="1793">
      <c r="A1793" s="1" t="s">
        <v>13</v>
      </c>
      <c r="B1793" s="1" t="s">
        <v>23</v>
      </c>
      <c r="C1793" s="1" t="s">
        <v>1350</v>
      </c>
      <c r="D1793" s="1">
        <v>3.0</v>
      </c>
      <c r="E1793" s="1">
        <v>90.0</v>
      </c>
      <c r="F1793" s="1">
        <v>1.0</v>
      </c>
      <c r="G1793" s="1">
        <v>5.0</v>
      </c>
      <c r="H1793" s="1" t="s">
        <v>25</v>
      </c>
      <c r="I1793" s="1" t="s">
        <v>33</v>
      </c>
      <c r="J1793" s="1" t="s">
        <v>18</v>
      </c>
      <c r="K1793" s="1">
        <v>500.0</v>
      </c>
      <c r="L1793" s="1">
        <v>56.9627744</v>
      </c>
      <c r="M1793" s="1">
        <v>24.1230397822419</v>
      </c>
    </row>
    <row r="1794">
      <c r="A1794" s="1" t="s">
        <v>22</v>
      </c>
      <c r="B1794" s="1" t="s">
        <v>23</v>
      </c>
      <c r="C1794" s="1" t="s">
        <v>1351</v>
      </c>
      <c r="D1794" s="1">
        <v>3.0</v>
      </c>
      <c r="E1794" s="1">
        <v>81.0</v>
      </c>
      <c r="F1794" s="1">
        <v>5.0</v>
      </c>
      <c r="G1794" s="1">
        <v>7.0</v>
      </c>
      <c r="H1794" s="1" t="s">
        <v>32</v>
      </c>
      <c r="I1794" s="1" t="s">
        <v>33</v>
      </c>
      <c r="J1794" s="1" t="s">
        <v>18</v>
      </c>
      <c r="K1794" s="1">
        <v>199000.0</v>
      </c>
      <c r="L1794" s="1">
        <v>56.9484721</v>
      </c>
      <c r="M1794" s="1">
        <v>24.1446057</v>
      </c>
    </row>
    <row r="1795">
      <c r="A1795" s="1" t="s">
        <v>22</v>
      </c>
      <c r="B1795" s="1" t="s">
        <v>23</v>
      </c>
      <c r="C1795" s="1" t="s">
        <v>1352</v>
      </c>
      <c r="D1795" s="1">
        <v>3.0</v>
      </c>
      <c r="E1795" s="1">
        <v>94.0</v>
      </c>
      <c r="F1795" s="1">
        <v>5.0</v>
      </c>
      <c r="G1795" s="1">
        <v>5.0</v>
      </c>
      <c r="H1795" s="1" t="s">
        <v>25</v>
      </c>
      <c r="I1795" s="1" t="s">
        <v>33</v>
      </c>
      <c r="J1795" s="1" t="s">
        <v>18</v>
      </c>
      <c r="K1795" s="1">
        <v>169900.0</v>
      </c>
      <c r="L1795" s="1">
        <v>56.9561495</v>
      </c>
      <c r="M1795" s="1">
        <v>24.1264378</v>
      </c>
    </row>
    <row r="1796">
      <c r="A1796" s="1" t="s">
        <v>22</v>
      </c>
      <c r="B1796" s="1" t="s">
        <v>28</v>
      </c>
      <c r="C1796" s="1" t="s">
        <v>1353</v>
      </c>
      <c r="D1796" s="1">
        <v>3.0</v>
      </c>
      <c r="E1796" s="1">
        <v>61.0</v>
      </c>
      <c r="F1796" s="1">
        <v>2.0</v>
      </c>
      <c r="G1796" s="1">
        <v>5.0</v>
      </c>
      <c r="H1796" s="1" t="s">
        <v>16</v>
      </c>
      <c r="I1796" s="1" t="s">
        <v>21</v>
      </c>
      <c r="J1796" s="1" t="s">
        <v>18</v>
      </c>
      <c r="K1796" s="1">
        <v>55000.0</v>
      </c>
      <c r="L1796" s="1">
        <v>56.9026121499999</v>
      </c>
      <c r="M1796" s="1">
        <v>24.2121214389937</v>
      </c>
    </row>
    <row r="1797">
      <c r="A1797" s="1" t="s">
        <v>13</v>
      </c>
      <c r="B1797" s="1" t="s">
        <v>104</v>
      </c>
      <c r="C1797" s="1" t="s">
        <v>1120</v>
      </c>
      <c r="D1797" s="1">
        <v>1.0</v>
      </c>
      <c r="E1797" s="1">
        <v>36.0</v>
      </c>
      <c r="F1797" s="1">
        <v>2.0</v>
      </c>
      <c r="G1797" s="1">
        <v>3.0</v>
      </c>
      <c r="H1797" s="1" t="s">
        <v>66</v>
      </c>
      <c r="I1797" s="1" t="s">
        <v>17</v>
      </c>
      <c r="J1797" s="1" t="s">
        <v>18</v>
      </c>
      <c r="K1797" s="1">
        <v>35.0</v>
      </c>
      <c r="L1797" s="1">
        <v>56.9355136</v>
      </c>
      <c r="M1797" s="1">
        <v>24.0425072</v>
      </c>
    </row>
    <row r="1798">
      <c r="A1798" s="1" t="s">
        <v>22</v>
      </c>
      <c r="B1798" s="1" t="s">
        <v>96</v>
      </c>
      <c r="C1798" s="1" t="s">
        <v>1178</v>
      </c>
      <c r="D1798" s="1">
        <v>1.0</v>
      </c>
      <c r="E1798" s="1">
        <v>30.0</v>
      </c>
      <c r="F1798" s="1">
        <v>4.0</v>
      </c>
      <c r="G1798" s="1">
        <v>4.0</v>
      </c>
      <c r="H1798" s="1" t="s">
        <v>36</v>
      </c>
      <c r="I1798" s="1" t="s">
        <v>21</v>
      </c>
      <c r="J1798" s="1" t="s">
        <v>18</v>
      </c>
      <c r="K1798" s="1">
        <v>26500.0</v>
      </c>
      <c r="L1798" s="1">
        <v>57.044461</v>
      </c>
      <c r="M1798" s="1">
        <v>24.0924973827027</v>
      </c>
    </row>
    <row r="1799">
      <c r="A1799" s="1" t="s">
        <v>22</v>
      </c>
      <c r="B1799" s="1" t="s">
        <v>38</v>
      </c>
      <c r="C1799" s="1" t="s">
        <v>1354</v>
      </c>
      <c r="D1799" s="1">
        <v>2.0</v>
      </c>
      <c r="E1799" s="1">
        <v>50.0</v>
      </c>
      <c r="F1799" s="1">
        <v>5.0</v>
      </c>
      <c r="G1799" s="1">
        <v>5.0</v>
      </c>
      <c r="H1799" s="1" t="s">
        <v>16</v>
      </c>
      <c r="I1799" s="1" t="s">
        <v>21</v>
      </c>
      <c r="J1799" s="1" t="s">
        <v>18</v>
      </c>
      <c r="K1799" s="1">
        <v>43400.0</v>
      </c>
      <c r="L1799" s="1" t="s">
        <v>40</v>
      </c>
      <c r="M1799" s="1" t="s">
        <v>40</v>
      </c>
    </row>
    <row r="1800">
      <c r="A1800" s="1" t="s">
        <v>22</v>
      </c>
      <c r="B1800" s="1" t="s">
        <v>23</v>
      </c>
      <c r="C1800" s="1" t="s">
        <v>1355</v>
      </c>
      <c r="D1800" s="1">
        <v>2.0</v>
      </c>
      <c r="E1800" s="1">
        <v>63.0</v>
      </c>
      <c r="F1800" s="1">
        <v>1.0</v>
      </c>
      <c r="G1800" s="1">
        <v>4.0</v>
      </c>
      <c r="H1800" s="1" t="s">
        <v>66</v>
      </c>
      <c r="I1800" s="1" t="s">
        <v>33</v>
      </c>
      <c r="J1800" s="1" t="s">
        <v>18</v>
      </c>
      <c r="K1800" s="1">
        <v>140000.0</v>
      </c>
      <c r="L1800" s="1" t="s">
        <v>40</v>
      </c>
      <c r="M1800" s="1" t="s">
        <v>40</v>
      </c>
    </row>
    <row r="1801">
      <c r="A1801" s="1" t="s">
        <v>22</v>
      </c>
      <c r="B1801" s="1" t="s">
        <v>14</v>
      </c>
      <c r="C1801" s="1" t="s">
        <v>1356</v>
      </c>
      <c r="D1801" s="1">
        <v>2.0</v>
      </c>
      <c r="E1801" s="1">
        <v>48.0</v>
      </c>
      <c r="F1801" s="1">
        <v>1.0</v>
      </c>
      <c r="G1801" s="1">
        <v>2.0</v>
      </c>
      <c r="H1801" s="1" t="s">
        <v>181</v>
      </c>
      <c r="I1801" s="1" t="s">
        <v>33</v>
      </c>
      <c r="J1801" s="1" t="s">
        <v>18</v>
      </c>
      <c r="K1801" s="1">
        <v>53000.0</v>
      </c>
      <c r="L1801" s="1">
        <v>56.95578965</v>
      </c>
      <c r="M1801" s="1">
        <v>24.1841924</v>
      </c>
    </row>
    <row r="1802">
      <c r="A1802" s="1" t="s">
        <v>22</v>
      </c>
      <c r="B1802" s="1" t="s">
        <v>104</v>
      </c>
      <c r="C1802" s="1" t="s">
        <v>352</v>
      </c>
      <c r="D1802" s="1">
        <v>3.0</v>
      </c>
      <c r="E1802" s="1">
        <v>108.0</v>
      </c>
      <c r="F1802" s="1">
        <v>5.0</v>
      </c>
      <c r="G1802" s="1">
        <v>6.0</v>
      </c>
      <c r="H1802" s="1" t="s">
        <v>32</v>
      </c>
      <c r="I1802" s="1" t="s">
        <v>33</v>
      </c>
      <c r="J1802" s="1" t="s">
        <v>18</v>
      </c>
      <c r="K1802" s="1">
        <v>215000.0</v>
      </c>
      <c r="L1802" s="1">
        <v>56.9374039</v>
      </c>
      <c r="M1802" s="1">
        <v>24.101176263114</v>
      </c>
    </row>
    <row r="1803">
      <c r="A1803" s="1" t="s">
        <v>13</v>
      </c>
      <c r="B1803" s="1" t="s">
        <v>104</v>
      </c>
      <c r="C1803" s="1" t="s">
        <v>1357</v>
      </c>
      <c r="D1803" s="1">
        <v>2.0</v>
      </c>
      <c r="E1803" s="1">
        <v>59.0</v>
      </c>
      <c r="F1803" s="1">
        <v>2.0</v>
      </c>
      <c r="G1803" s="1">
        <v>4.0</v>
      </c>
      <c r="H1803" s="1" t="s">
        <v>181</v>
      </c>
      <c r="I1803" s="1" t="s">
        <v>33</v>
      </c>
      <c r="J1803" s="1" t="s">
        <v>18</v>
      </c>
      <c r="K1803" s="1">
        <v>390.0</v>
      </c>
      <c r="L1803" s="1">
        <v>56.94905655</v>
      </c>
      <c r="M1803" s="1">
        <v>24.0710760449486</v>
      </c>
    </row>
    <row r="1804">
      <c r="A1804" s="1" t="s">
        <v>22</v>
      </c>
      <c r="B1804" s="1" t="s">
        <v>106</v>
      </c>
      <c r="C1804" s="1" t="s">
        <v>1358</v>
      </c>
      <c r="D1804" s="1">
        <v>1.0</v>
      </c>
      <c r="E1804" s="1">
        <v>17.0</v>
      </c>
      <c r="F1804" s="1">
        <v>2.0</v>
      </c>
      <c r="G1804" s="1">
        <v>2.0</v>
      </c>
      <c r="H1804" s="1" t="s">
        <v>25</v>
      </c>
      <c r="I1804" s="1" t="s">
        <v>37</v>
      </c>
      <c r="J1804" s="1" t="s">
        <v>27</v>
      </c>
      <c r="K1804" s="1">
        <v>11800.0</v>
      </c>
      <c r="L1804" s="1">
        <v>56.9424288999999</v>
      </c>
      <c r="M1804" s="1">
        <v>24.0495749003611</v>
      </c>
    </row>
    <row r="1805">
      <c r="A1805" s="1" t="s">
        <v>89</v>
      </c>
      <c r="B1805" s="1" t="s">
        <v>104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1">
        <v>46.3144754</v>
      </c>
      <c r="M1805" s="1">
        <v>11.0480288</v>
      </c>
    </row>
    <row r="1806">
      <c r="A1806" s="1" t="s">
        <v>13</v>
      </c>
      <c r="B1806" s="1" t="s">
        <v>23</v>
      </c>
      <c r="C1806" s="1" t="s">
        <v>1359</v>
      </c>
      <c r="D1806" s="1">
        <v>1.0</v>
      </c>
      <c r="E1806" s="1">
        <v>14.0</v>
      </c>
      <c r="F1806" s="1">
        <v>2.0</v>
      </c>
      <c r="G1806" s="1">
        <v>4.0</v>
      </c>
      <c r="H1806" s="1" t="s">
        <v>25</v>
      </c>
      <c r="I1806" s="1" t="s">
        <v>33</v>
      </c>
      <c r="J1806" s="1" t="s">
        <v>18</v>
      </c>
      <c r="K1806" s="1">
        <v>200.0</v>
      </c>
      <c r="L1806" s="1">
        <v>56.9590494</v>
      </c>
      <c r="M1806" s="1">
        <v>24.1461764</v>
      </c>
    </row>
    <row r="1807">
      <c r="A1807" s="1" t="s">
        <v>22</v>
      </c>
      <c r="B1807" s="1" t="s">
        <v>23</v>
      </c>
      <c r="C1807" s="1" t="s">
        <v>1055</v>
      </c>
      <c r="D1807" s="1">
        <v>3.0</v>
      </c>
      <c r="E1807" s="1">
        <v>70.0</v>
      </c>
      <c r="F1807" s="1">
        <v>5.0</v>
      </c>
      <c r="G1807" s="1">
        <v>6.0</v>
      </c>
      <c r="H1807" s="1" t="s">
        <v>25</v>
      </c>
      <c r="I1807" s="1" t="s">
        <v>37</v>
      </c>
      <c r="J1807" s="1" t="s">
        <v>18</v>
      </c>
      <c r="K1807" s="1">
        <v>138000.0</v>
      </c>
      <c r="L1807" s="1">
        <v>56.9591749</v>
      </c>
      <c r="M1807" s="1">
        <v>24.1222544</v>
      </c>
    </row>
    <row r="1808">
      <c r="A1808" s="1" t="s">
        <v>22</v>
      </c>
      <c r="B1808" s="1" t="s">
        <v>30</v>
      </c>
      <c r="C1808" s="1" t="s">
        <v>1227</v>
      </c>
      <c r="D1808" s="1">
        <v>3.0</v>
      </c>
      <c r="E1808" s="1">
        <v>75.0</v>
      </c>
      <c r="F1808" s="1">
        <v>3.0</v>
      </c>
      <c r="G1808" s="1">
        <v>10.0</v>
      </c>
      <c r="H1808" s="1" t="s">
        <v>32</v>
      </c>
      <c r="I1808" s="1" t="s">
        <v>33</v>
      </c>
      <c r="J1808" s="1" t="s">
        <v>18</v>
      </c>
      <c r="K1808" s="1">
        <v>125000.0</v>
      </c>
      <c r="L1808" s="1">
        <v>56.9767303</v>
      </c>
      <c r="M1808" s="1">
        <v>24.1676579996058</v>
      </c>
    </row>
    <row r="1809">
      <c r="A1809" s="1" t="s">
        <v>22</v>
      </c>
      <c r="B1809" s="1" t="s">
        <v>23</v>
      </c>
      <c r="C1809" s="1" t="s">
        <v>592</v>
      </c>
      <c r="D1809" s="1">
        <v>2.0</v>
      </c>
      <c r="E1809" s="1">
        <v>48.0</v>
      </c>
      <c r="F1809" s="1">
        <v>6.0</v>
      </c>
      <c r="G1809" s="1">
        <v>6.0</v>
      </c>
      <c r="H1809" s="1" t="s">
        <v>25</v>
      </c>
      <c r="I1809" s="1" t="s">
        <v>37</v>
      </c>
      <c r="J1809" s="1" t="s">
        <v>18</v>
      </c>
      <c r="K1809" s="1">
        <v>65800.0</v>
      </c>
      <c r="L1809" s="1">
        <v>56.9488564</v>
      </c>
      <c r="M1809" s="1">
        <v>24.1384970339502</v>
      </c>
    </row>
    <row r="1810">
      <c r="A1810" s="1" t="s">
        <v>13</v>
      </c>
      <c r="B1810" s="1" t="s">
        <v>48</v>
      </c>
      <c r="C1810" s="1" t="s">
        <v>1360</v>
      </c>
      <c r="D1810" s="1">
        <v>3.0</v>
      </c>
      <c r="E1810" s="1">
        <v>80.0</v>
      </c>
      <c r="F1810" s="1">
        <v>1.0</v>
      </c>
      <c r="G1810" s="1">
        <v>4.0</v>
      </c>
      <c r="H1810" s="1" t="s">
        <v>32</v>
      </c>
      <c r="I1810" s="1" t="s">
        <v>21</v>
      </c>
      <c r="J1810" s="1" t="s">
        <v>18</v>
      </c>
      <c r="K1810" s="1">
        <v>700.0</v>
      </c>
      <c r="L1810" s="1">
        <v>56.9541725</v>
      </c>
      <c r="M1810" s="1">
        <v>24.2443253</v>
      </c>
    </row>
    <row r="1811">
      <c r="A1811" s="1" t="s">
        <v>13</v>
      </c>
      <c r="B1811" s="1" t="s">
        <v>67</v>
      </c>
      <c r="C1811" s="1" t="s">
        <v>1361</v>
      </c>
      <c r="D1811" s="1">
        <v>1.0</v>
      </c>
      <c r="E1811" s="1">
        <v>34.0</v>
      </c>
      <c r="F1811" s="1">
        <v>1.0</v>
      </c>
      <c r="G1811" s="1">
        <v>4.0</v>
      </c>
      <c r="H1811" s="1" t="s">
        <v>25</v>
      </c>
      <c r="I1811" s="1" t="s">
        <v>33</v>
      </c>
      <c r="J1811" s="1" t="s">
        <v>18</v>
      </c>
      <c r="K1811" s="1">
        <v>240.0</v>
      </c>
      <c r="L1811" s="1">
        <v>56.9613179</v>
      </c>
      <c r="M1811" s="1">
        <v>24.148803936888</v>
      </c>
    </row>
    <row r="1812">
      <c r="A1812" s="1" t="s">
        <v>131</v>
      </c>
      <c r="B1812" s="1" t="s">
        <v>96</v>
      </c>
      <c r="C1812" s="2"/>
      <c r="D1812" s="2"/>
      <c r="E1812" s="2"/>
      <c r="F1812" s="2"/>
      <c r="G1812" s="2"/>
      <c r="H1812" s="2"/>
      <c r="I1812" s="2"/>
      <c r="J1812" s="2"/>
      <c r="K1812" s="2"/>
      <c r="L1812" s="1">
        <v>46.3144754</v>
      </c>
      <c r="M1812" s="1">
        <v>11.0480288</v>
      </c>
    </row>
    <row r="1813">
      <c r="A1813" s="1" t="s">
        <v>131</v>
      </c>
      <c r="B1813" s="1" t="s">
        <v>134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1">
        <v>46.3144754</v>
      </c>
      <c r="M1813" s="1">
        <v>11.0480288</v>
      </c>
    </row>
    <row r="1814">
      <c r="A1814" s="1" t="s">
        <v>131</v>
      </c>
      <c r="B1814" s="1" t="s">
        <v>60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1">
        <v>46.3144754</v>
      </c>
      <c r="M1814" s="1">
        <v>11.0480288</v>
      </c>
    </row>
    <row r="1815">
      <c r="A1815" s="1" t="s">
        <v>22</v>
      </c>
      <c r="B1815" s="1" t="s">
        <v>23</v>
      </c>
      <c r="C1815" s="1" t="s">
        <v>1362</v>
      </c>
      <c r="D1815" s="1">
        <v>1.0</v>
      </c>
      <c r="E1815" s="1">
        <v>35.0</v>
      </c>
      <c r="F1815" s="1">
        <v>5.0</v>
      </c>
      <c r="G1815" s="1">
        <v>6.0</v>
      </c>
      <c r="H1815" s="1" t="s">
        <v>25</v>
      </c>
      <c r="I1815" s="1" t="s">
        <v>33</v>
      </c>
      <c r="J1815" s="1" t="s">
        <v>18</v>
      </c>
      <c r="K1815" s="1">
        <v>50000.0</v>
      </c>
      <c r="L1815" s="1">
        <v>56.9537372</v>
      </c>
      <c r="M1815" s="1">
        <v>24.1465944</v>
      </c>
    </row>
    <row r="1816">
      <c r="A1816" s="1" t="s">
        <v>22</v>
      </c>
      <c r="B1816" s="1" t="s">
        <v>23</v>
      </c>
      <c r="C1816" s="1" t="s">
        <v>1363</v>
      </c>
      <c r="D1816" s="1">
        <v>3.0</v>
      </c>
      <c r="E1816" s="1">
        <v>88.0</v>
      </c>
      <c r="F1816" s="1">
        <v>3.0</v>
      </c>
      <c r="G1816" s="1">
        <v>6.0</v>
      </c>
      <c r="H1816" s="1" t="s">
        <v>66</v>
      </c>
      <c r="I1816" s="1" t="s">
        <v>33</v>
      </c>
      <c r="J1816" s="1" t="s">
        <v>18</v>
      </c>
      <c r="K1816" s="1">
        <v>325000.0</v>
      </c>
      <c r="L1816" s="1">
        <v>56.9615789</v>
      </c>
      <c r="M1816" s="1">
        <v>24.1004729157828</v>
      </c>
    </row>
    <row r="1817">
      <c r="A1817" s="1" t="s">
        <v>13</v>
      </c>
      <c r="B1817" s="1" t="s">
        <v>28</v>
      </c>
      <c r="C1817" s="1" t="s">
        <v>1364</v>
      </c>
      <c r="D1817" s="1">
        <v>2.0</v>
      </c>
      <c r="E1817" s="1">
        <v>38.0</v>
      </c>
      <c r="F1817" s="1">
        <v>4.0</v>
      </c>
      <c r="G1817" s="1">
        <v>5.0</v>
      </c>
      <c r="H1817" s="1" t="s">
        <v>16</v>
      </c>
      <c r="I1817" s="1" t="s">
        <v>21</v>
      </c>
      <c r="J1817" s="1" t="s">
        <v>18</v>
      </c>
      <c r="K1817" s="1">
        <v>250.0</v>
      </c>
      <c r="L1817" s="1">
        <v>56.90987065</v>
      </c>
      <c r="M1817" s="1">
        <v>24.1964712</v>
      </c>
    </row>
    <row r="1818">
      <c r="A1818" s="1" t="s">
        <v>22</v>
      </c>
      <c r="B1818" s="1" t="s">
        <v>19</v>
      </c>
      <c r="C1818" s="1" t="s">
        <v>1365</v>
      </c>
      <c r="D1818" s="1">
        <v>3.0</v>
      </c>
      <c r="E1818" s="1">
        <v>78.0</v>
      </c>
      <c r="F1818" s="1">
        <v>8.0</v>
      </c>
      <c r="G1818" s="1">
        <v>10.0</v>
      </c>
      <c r="H1818" s="1">
        <v>119.0</v>
      </c>
      <c r="I1818" s="1" t="s">
        <v>21</v>
      </c>
      <c r="J1818" s="1" t="s">
        <v>18</v>
      </c>
      <c r="K1818" s="1">
        <v>85000.0</v>
      </c>
      <c r="L1818" s="1">
        <v>56.9017919</v>
      </c>
      <c r="M1818" s="1">
        <v>24.0913811</v>
      </c>
    </row>
    <row r="1819">
      <c r="A1819" s="1" t="s">
        <v>13</v>
      </c>
      <c r="B1819" s="1" t="s">
        <v>104</v>
      </c>
      <c r="C1819" s="1" t="s">
        <v>1366</v>
      </c>
      <c r="D1819" s="1">
        <v>3.0</v>
      </c>
      <c r="E1819" s="1">
        <v>88.0</v>
      </c>
      <c r="F1819" s="1">
        <v>4.0</v>
      </c>
      <c r="G1819" s="1">
        <v>6.0</v>
      </c>
      <c r="H1819" s="1" t="s">
        <v>32</v>
      </c>
      <c r="I1819" s="1" t="s">
        <v>122</v>
      </c>
      <c r="J1819" s="1" t="s">
        <v>18</v>
      </c>
      <c r="K1819" s="1">
        <v>850.0</v>
      </c>
      <c r="L1819" s="1">
        <v>56.93337015</v>
      </c>
      <c r="M1819" s="1">
        <v>24.0776036577705</v>
      </c>
    </row>
    <row r="1820">
      <c r="A1820" s="1" t="s">
        <v>22</v>
      </c>
      <c r="B1820" s="1" t="s">
        <v>14</v>
      </c>
      <c r="C1820" s="1" t="s">
        <v>1367</v>
      </c>
      <c r="D1820" s="1">
        <v>4.0</v>
      </c>
      <c r="E1820" s="1">
        <v>127.0</v>
      </c>
      <c r="F1820" s="1">
        <v>1.0</v>
      </c>
      <c r="G1820" s="1">
        <v>3.0</v>
      </c>
      <c r="H1820" s="1" t="s">
        <v>32</v>
      </c>
      <c r="I1820" s="1" t="s">
        <v>37</v>
      </c>
      <c r="J1820" s="1" t="s">
        <v>18</v>
      </c>
      <c r="K1820" s="1">
        <v>185000.0</v>
      </c>
      <c r="L1820" s="1">
        <v>56.93584375</v>
      </c>
      <c r="M1820" s="1">
        <v>24.1943100751876</v>
      </c>
    </row>
    <row r="1821">
      <c r="A1821" s="1" t="s">
        <v>13</v>
      </c>
      <c r="B1821" s="1" t="s">
        <v>23</v>
      </c>
      <c r="C1821" s="1" t="s">
        <v>951</v>
      </c>
      <c r="D1821" s="1">
        <v>3.0</v>
      </c>
      <c r="E1821" s="1">
        <v>105.0</v>
      </c>
      <c r="F1821" s="1">
        <v>5.0</v>
      </c>
      <c r="G1821" s="1">
        <v>6.0</v>
      </c>
      <c r="H1821" s="1" t="s">
        <v>66</v>
      </c>
      <c r="I1821" s="1" t="s">
        <v>33</v>
      </c>
      <c r="J1821" s="1" t="s">
        <v>18</v>
      </c>
      <c r="K1821" s="1">
        <v>1400.0</v>
      </c>
      <c r="L1821" s="1">
        <v>56.9605878</v>
      </c>
      <c r="M1821" s="1">
        <v>24.1029241</v>
      </c>
    </row>
    <row r="1822">
      <c r="A1822" s="1" t="s">
        <v>22</v>
      </c>
      <c r="B1822" s="1" t="s">
        <v>117</v>
      </c>
      <c r="C1822" s="1" t="s">
        <v>1368</v>
      </c>
      <c r="D1822" s="1">
        <v>3.0</v>
      </c>
      <c r="E1822" s="1">
        <v>73.0</v>
      </c>
      <c r="F1822" s="1">
        <v>1.0</v>
      </c>
      <c r="G1822" s="1">
        <v>7.0</v>
      </c>
      <c r="H1822" s="1" t="s">
        <v>36</v>
      </c>
      <c r="I1822" s="1" t="s">
        <v>37</v>
      </c>
      <c r="J1822" s="1" t="s">
        <v>18</v>
      </c>
      <c r="K1822" s="1">
        <v>72000.0</v>
      </c>
      <c r="L1822" s="1" t="s">
        <v>40</v>
      </c>
      <c r="M1822" s="1" t="s">
        <v>40</v>
      </c>
    </row>
    <row r="1823">
      <c r="A1823" s="1" t="s">
        <v>13</v>
      </c>
      <c r="B1823" s="1" t="s">
        <v>23</v>
      </c>
      <c r="C1823" s="1" t="s">
        <v>136</v>
      </c>
      <c r="D1823" s="1">
        <v>3.0</v>
      </c>
      <c r="E1823" s="1">
        <v>70.0</v>
      </c>
      <c r="F1823" s="1">
        <v>6.0</v>
      </c>
      <c r="G1823" s="1">
        <v>6.0</v>
      </c>
      <c r="H1823" s="1" t="s">
        <v>66</v>
      </c>
      <c r="I1823" s="1" t="s">
        <v>33</v>
      </c>
      <c r="J1823" s="1" t="s">
        <v>18</v>
      </c>
      <c r="K1823" s="1">
        <v>780.0</v>
      </c>
      <c r="L1823" s="1">
        <v>56.95643795</v>
      </c>
      <c r="M1823" s="1">
        <v>24.1325729821556</v>
      </c>
    </row>
    <row r="1824">
      <c r="A1824" s="1" t="s">
        <v>22</v>
      </c>
      <c r="B1824" s="1" t="s">
        <v>23</v>
      </c>
      <c r="C1824" s="1" t="s">
        <v>1369</v>
      </c>
      <c r="D1824" s="1">
        <v>3.0</v>
      </c>
      <c r="E1824" s="1">
        <v>83.0</v>
      </c>
      <c r="F1824" s="1">
        <v>4.0</v>
      </c>
      <c r="G1824" s="1">
        <v>6.0</v>
      </c>
      <c r="H1824" s="1" t="s">
        <v>25</v>
      </c>
      <c r="I1824" s="1" t="s">
        <v>37</v>
      </c>
      <c r="J1824" s="1" t="s">
        <v>18</v>
      </c>
      <c r="K1824" s="1">
        <v>119000.0</v>
      </c>
      <c r="L1824" s="1">
        <v>56.9503981</v>
      </c>
      <c r="M1824" s="1">
        <v>24.1286417996376</v>
      </c>
    </row>
    <row r="1825">
      <c r="A1825" s="1" t="s">
        <v>89</v>
      </c>
      <c r="B1825" s="1" t="s">
        <v>23</v>
      </c>
      <c r="C1825" s="2"/>
      <c r="D1825" s="1">
        <v>1.0</v>
      </c>
      <c r="E1825" s="2"/>
      <c r="F1825" s="2"/>
      <c r="G1825" s="2"/>
      <c r="H1825" s="2"/>
      <c r="I1825" s="2"/>
      <c r="J1825" s="2"/>
      <c r="K1825" s="2"/>
      <c r="L1825" s="1">
        <v>46.3144754</v>
      </c>
      <c r="M1825" s="1">
        <v>11.0480288</v>
      </c>
    </row>
    <row r="1826">
      <c r="A1826" s="1" t="s">
        <v>22</v>
      </c>
      <c r="B1826" s="1" t="s">
        <v>23</v>
      </c>
      <c r="C1826" s="1" t="s">
        <v>478</v>
      </c>
      <c r="D1826" s="1">
        <v>3.0</v>
      </c>
      <c r="E1826" s="1">
        <v>80.0</v>
      </c>
      <c r="F1826" s="1">
        <v>5.0</v>
      </c>
      <c r="G1826" s="1">
        <v>7.0</v>
      </c>
      <c r="H1826" s="1" t="s">
        <v>32</v>
      </c>
      <c r="I1826" s="1" t="s">
        <v>33</v>
      </c>
      <c r="J1826" s="1" t="s">
        <v>18</v>
      </c>
      <c r="K1826" s="1">
        <v>166000.0</v>
      </c>
      <c r="L1826" s="1">
        <v>56.9493295</v>
      </c>
      <c r="M1826" s="1">
        <v>24.1264892056074</v>
      </c>
    </row>
    <row r="1827">
      <c r="A1827" s="1" t="s">
        <v>13</v>
      </c>
      <c r="B1827" s="1" t="s">
        <v>129</v>
      </c>
      <c r="C1827" s="1" t="s">
        <v>1370</v>
      </c>
      <c r="D1827" s="1">
        <v>1.0</v>
      </c>
      <c r="E1827" s="1">
        <v>27.0</v>
      </c>
      <c r="F1827" s="1">
        <v>1.0</v>
      </c>
      <c r="G1827" s="1">
        <v>3.0</v>
      </c>
      <c r="H1827" s="1" t="s">
        <v>66</v>
      </c>
      <c r="I1827" s="1" t="s">
        <v>26</v>
      </c>
      <c r="J1827" s="1" t="s">
        <v>18</v>
      </c>
      <c r="K1827" s="1">
        <v>180.0</v>
      </c>
      <c r="L1827" s="1">
        <v>57.00003365</v>
      </c>
      <c r="M1827" s="1">
        <v>24.1225982811228</v>
      </c>
    </row>
    <row r="1828">
      <c r="A1828" s="1" t="s">
        <v>22</v>
      </c>
      <c r="B1828" s="1" t="s">
        <v>23</v>
      </c>
      <c r="C1828" s="1" t="s">
        <v>1371</v>
      </c>
      <c r="D1828" s="1">
        <v>3.0</v>
      </c>
      <c r="E1828" s="1">
        <v>69.0</v>
      </c>
      <c r="F1828" s="1">
        <v>3.0</v>
      </c>
      <c r="G1828" s="1">
        <v>10.0</v>
      </c>
      <c r="H1828" s="1" t="s">
        <v>32</v>
      </c>
      <c r="I1828" s="1" t="s">
        <v>21</v>
      </c>
      <c r="J1828" s="1" t="s">
        <v>18</v>
      </c>
      <c r="K1828" s="1">
        <v>120000.0</v>
      </c>
      <c r="L1828" s="1">
        <v>56.9739163</v>
      </c>
      <c r="M1828" s="1">
        <v>24.1679419959261</v>
      </c>
    </row>
    <row r="1829">
      <c r="A1829" s="1" t="s">
        <v>22</v>
      </c>
      <c r="B1829" s="1" t="s">
        <v>23</v>
      </c>
      <c r="C1829" s="1" t="s">
        <v>547</v>
      </c>
      <c r="D1829" s="1">
        <v>3.0</v>
      </c>
      <c r="E1829" s="1">
        <v>83.0</v>
      </c>
      <c r="F1829" s="1">
        <v>2.0</v>
      </c>
      <c r="G1829" s="1">
        <v>6.0</v>
      </c>
      <c r="H1829" s="1" t="s">
        <v>66</v>
      </c>
      <c r="I1829" s="1" t="s">
        <v>33</v>
      </c>
      <c r="J1829" s="1" t="s">
        <v>18</v>
      </c>
      <c r="K1829" s="1">
        <v>225000.0</v>
      </c>
      <c r="L1829" s="1" t="s">
        <v>40</v>
      </c>
      <c r="M1829" s="1" t="s">
        <v>40</v>
      </c>
    </row>
    <row r="1830">
      <c r="A1830" s="1" t="s">
        <v>22</v>
      </c>
      <c r="B1830" s="1" t="s">
        <v>109</v>
      </c>
      <c r="C1830" s="1" t="s">
        <v>1372</v>
      </c>
      <c r="D1830" s="1">
        <v>2.0</v>
      </c>
      <c r="E1830" s="1">
        <v>61.0</v>
      </c>
      <c r="F1830" s="1">
        <v>1.0</v>
      </c>
      <c r="G1830" s="1">
        <v>3.0</v>
      </c>
      <c r="H1830" s="1" t="s">
        <v>32</v>
      </c>
      <c r="I1830" s="1" t="s">
        <v>122</v>
      </c>
      <c r="J1830" s="1" t="s">
        <v>18</v>
      </c>
      <c r="K1830" s="1">
        <v>169000.0</v>
      </c>
      <c r="L1830" s="1" t="s">
        <v>40</v>
      </c>
      <c r="M1830" s="1" t="s">
        <v>40</v>
      </c>
    </row>
    <row r="1831">
      <c r="A1831" s="1" t="s">
        <v>22</v>
      </c>
      <c r="B1831" s="1" t="s">
        <v>14</v>
      </c>
      <c r="C1831" s="1" t="s">
        <v>1373</v>
      </c>
      <c r="D1831" s="1">
        <v>3.0</v>
      </c>
      <c r="E1831" s="1">
        <v>82.0</v>
      </c>
      <c r="F1831" s="1">
        <v>4.0</v>
      </c>
      <c r="G1831" s="1">
        <v>6.0</v>
      </c>
      <c r="H1831" s="1" t="s">
        <v>32</v>
      </c>
      <c r="I1831" s="1" t="s">
        <v>37</v>
      </c>
      <c r="J1831" s="1" t="s">
        <v>18</v>
      </c>
      <c r="K1831" s="1">
        <v>131000.0</v>
      </c>
      <c r="L1831" s="1">
        <v>56.9638199</v>
      </c>
      <c r="M1831" s="1">
        <v>24.1897360840843</v>
      </c>
    </row>
    <row r="1832">
      <c r="A1832" s="1" t="s">
        <v>22</v>
      </c>
      <c r="B1832" s="1" t="s">
        <v>45</v>
      </c>
      <c r="C1832" s="1" t="s">
        <v>1374</v>
      </c>
      <c r="D1832" s="1">
        <v>2.0</v>
      </c>
      <c r="E1832" s="1">
        <v>45.0</v>
      </c>
      <c r="F1832" s="1">
        <v>2.0</v>
      </c>
      <c r="G1832" s="1">
        <v>5.0</v>
      </c>
      <c r="H1832" s="1" t="s">
        <v>16</v>
      </c>
      <c r="I1832" s="1" t="s">
        <v>21</v>
      </c>
      <c r="J1832" s="1" t="s">
        <v>18</v>
      </c>
      <c r="K1832" s="1">
        <v>38000.0</v>
      </c>
      <c r="L1832" s="1" t="s">
        <v>40</v>
      </c>
      <c r="M1832" s="1" t="s">
        <v>40</v>
      </c>
    </row>
    <row r="1833">
      <c r="A1833" s="1" t="s">
        <v>22</v>
      </c>
      <c r="B1833" s="1" t="s">
        <v>23</v>
      </c>
      <c r="C1833" s="1" t="s">
        <v>1375</v>
      </c>
      <c r="D1833" s="1">
        <v>2.0</v>
      </c>
      <c r="E1833" s="1">
        <v>72.0</v>
      </c>
      <c r="F1833" s="1">
        <v>5.0</v>
      </c>
      <c r="G1833" s="1">
        <v>6.0</v>
      </c>
      <c r="H1833" s="1" t="s">
        <v>66</v>
      </c>
      <c r="I1833" s="1" t="s">
        <v>33</v>
      </c>
      <c r="J1833" s="1" t="s">
        <v>18</v>
      </c>
      <c r="K1833" s="1">
        <v>200000.0</v>
      </c>
      <c r="L1833" s="1">
        <v>56.9591583</v>
      </c>
      <c r="M1833" s="1">
        <v>24.1026741144114</v>
      </c>
    </row>
    <row r="1834">
      <c r="A1834" s="1" t="s">
        <v>13</v>
      </c>
      <c r="B1834" s="1" t="s">
        <v>94</v>
      </c>
      <c r="C1834" s="1" t="s">
        <v>1376</v>
      </c>
      <c r="D1834" s="1">
        <v>3.0</v>
      </c>
      <c r="E1834" s="1">
        <v>59.0</v>
      </c>
      <c r="F1834" s="1">
        <v>3.0</v>
      </c>
      <c r="G1834" s="1">
        <v>9.0</v>
      </c>
      <c r="H1834" s="1" t="s">
        <v>36</v>
      </c>
      <c r="I1834" s="1" t="s">
        <v>21</v>
      </c>
      <c r="J1834" s="1" t="s">
        <v>18</v>
      </c>
      <c r="K1834" s="1">
        <v>370.0</v>
      </c>
      <c r="L1834" s="1">
        <v>56.9255124</v>
      </c>
      <c r="M1834" s="1">
        <v>24.1686179999999</v>
      </c>
    </row>
    <row r="1835">
      <c r="A1835" s="1" t="s">
        <v>468</v>
      </c>
      <c r="B1835" s="1" t="s">
        <v>129</v>
      </c>
      <c r="C1835" s="2"/>
      <c r="D1835" s="1">
        <v>1.0</v>
      </c>
      <c r="E1835" s="1">
        <v>21.5</v>
      </c>
      <c r="F1835" s="1">
        <v>2.0</v>
      </c>
      <c r="G1835" s="1">
        <v>2.0</v>
      </c>
      <c r="H1835" s="1" t="s">
        <v>25</v>
      </c>
      <c r="I1835" s="1" t="s">
        <v>26</v>
      </c>
      <c r="J1835" s="1" t="s">
        <v>18</v>
      </c>
      <c r="K1835" s="2"/>
      <c r="L1835" s="1">
        <v>46.3144754</v>
      </c>
      <c r="M1835" s="1">
        <v>11.0480288</v>
      </c>
    </row>
    <row r="1836">
      <c r="A1836" s="1" t="s">
        <v>13</v>
      </c>
      <c r="B1836" s="1" t="s">
        <v>99</v>
      </c>
      <c r="C1836" s="1" t="s">
        <v>1377</v>
      </c>
      <c r="D1836" s="1">
        <v>1.0</v>
      </c>
      <c r="E1836" s="1">
        <v>34.0</v>
      </c>
      <c r="F1836" s="1">
        <v>3.0</v>
      </c>
      <c r="G1836" s="1">
        <v>4.0</v>
      </c>
      <c r="H1836" s="1" t="s">
        <v>181</v>
      </c>
      <c r="I1836" s="1" t="s">
        <v>33</v>
      </c>
      <c r="J1836" s="1" t="s">
        <v>18</v>
      </c>
      <c r="K1836" s="1">
        <v>260.0</v>
      </c>
      <c r="L1836" s="1">
        <v>56.9427564</v>
      </c>
      <c r="M1836" s="1">
        <v>24.0911507635373</v>
      </c>
    </row>
    <row r="1837">
      <c r="A1837" s="1" t="s">
        <v>22</v>
      </c>
      <c r="B1837" s="1" t="s">
        <v>28</v>
      </c>
      <c r="C1837" s="1" t="s">
        <v>809</v>
      </c>
      <c r="D1837" s="1">
        <v>2.0</v>
      </c>
      <c r="E1837" s="1">
        <v>43.0</v>
      </c>
      <c r="F1837" s="1">
        <v>5.0</v>
      </c>
      <c r="G1837" s="1">
        <v>5.0</v>
      </c>
      <c r="H1837" s="1" t="s">
        <v>32</v>
      </c>
      <c r="I1837" s="1" t="s">
        <v>21</v>
      </c>
      <c r="J1837" s="1" t="s">
        <v>18</v>
      </c>
      <c r="K1837" s="1">
        <v>54991.0</v>
      </c>
      <c r="L1837" s="1">
        <v>56.9146747</v>
      </c>
      <c r="M1837" s="1">
        <v>24.1815079346418</v>
      </c>
    </row>
    <row r="1838">
      <c r="A1838" s="1" t="s">
        <v>22</v>
      </c>
      <c r="B1838" s="1" t="s">
        <v>129</v>
      </c>
      <c r="C1838" s="1" t="s">
        <v>1378</v>
      </c>
      <c r="D1838" s="1">
        <v>3.0</v>
      </c>
      <c r="E1838" s="1">
        <v>67.0</v>
      </c>
      <c r="F1838" s="1">
        <v>2.0</v>
      </c>
      <c r="G1838" s="1">
        <v>2.0</v>
      </c>
      <c r="H1838" s="1" t="s">
        <v>181</v>
      </c>
      <c r="I1838" s="1" t="s">
        <v>37</v>
      </c>
      <c r="J1838" s="1" t="s">
        <v>18</v>
      </c>
      <c r="K1838" s="1">
        <v>62000.0</v>
      </c>
      <c r="L1838" s="1">
        <v>56.9928319</v>
      </c>
      <c r="M1838" s="1">
        <v>24.1224521</v>
      </c>
    </row>
    <row r="1839">
      <c r="A1839" s="1" t="s">
        <v>22</v>
      </c>
      <c r="B1839" s="1" t="s">
        <v>14</v>
      </c>
      <c r="C1839" s="1" t="s">
        <v>1379</v>
      </c>
      <c r="D1839" s="1">
        <v>3.0</v>
      </c>
      <c r="E1839" s="1">
        <v>63.0</v>
      </c>
      <c r="F1839" s="1">
        <v>2.0</v>
      </c>
      <c r="G1839" s="1">
        <v>2.0</v>
      </c>
      <c r="H1839" s="1" t="s">
        <v>181</v>
      </c>
      <c r="I1839" s="1" t="s">
        <v>33</v>
      </c>
      <c r="J1839" s="1" t="s">
        <v>18</v>
      </c>
      <c r="K1839" s="1">
        <v>77000.0</v>
      </c>
      <c r="L1839" s="1">
        <v>56.9647624</v>
      </c>
      <c r="M1839" s="1">
        <v>24.1712880768912</v>
      </c>
    </row>
    <row r="1840">
      <c r="A1840" s="1" t="s">
        <v>22</v>
      </c>
      <c r="B1840" s="1" t="s">
        <v>19</v>
      </c>
      <c r="C1840" s="1" t="s">
        <v>1380</v>
      </c>
      <c r="D1840" s="1">
        <v>3.0</v>
      </c>
      <c r="E1840" s="1">
        <v>75.0</v>
      </c>
      <c r="F1840" s="1">
        <v>3.0</v>
      </c>
      <c r="G1840" s="1">
        <v>3.0</v>
      </c>
      <c r="H1840" s="1" t="s">
        <v>32</v>
      </c>
      <c r="I1840" s="1" t="s">
        <v>33</v>
      </c>
      <c r="J1840" s="1" t="s">
        <v>18</v>
      </c>
      <c r="K1840" s="1">
        <v>130000.0</v>
      </c>
      <c r="L1840" s="1">
        <v>56.914968</v>
      </c>
      <c r="M1840" s="1">
        <v>24.12289</v>
      </c>
    </row>
    <row r="1841">
      <c r="A1841" s="1" t="s">
        <v>22</v>
      </c>
      <c r="B1841" s="1" t="s">
        <v>104</v>
      </c>
      <c r="C1841" s="1" t="s">
        <v>619</v>
      </c>
      <c r="D1841" s="1">
        <v>2.0</v>
      </c>
      <c r="E1841" s="1">
        <v>53.0</v>
      </c>
      <c r="F1841" s="1">
        <v>3.0</v>
      </c>
      <c r="G1841" s="1">
        <v>4.0</v>
      </c>
      <c r="H1841" s="1" t="s">
        <v>66</v>
      </c>
      <c r="I1841" s="1" t="s">
        <v>33</v>
      </c>
      <c r="J1841" s="1" t="s">
        <v>18</v>
      </c>
      <c r="K1841" s="1">
        <v>70000.0</v>
      </c>
      <c r="L1841" s="1">
        <v>56.9474705</v>
      </c>
      <c r="M1841" s="1">
        <v>24.0604076</v>
      </c>
    </row>
    <row r="1842">
      <c r="A1842" s="1" t="s">
        <v>13</v>
      </c>
      <c r="B1842" s="1" t="s">
        <v>422</v>
      </c>
      <c r="C1842" s="1" t="s">
        <v>1120</v>
      </c>
      <c r="D1842" s="1">
        <v>1.0</v>
      </c>
      <c r="E1842" s="1">
        <v>36.0</v>
      </c>
      <c r="F1842" s="1">
        <v>2.0</v>
      </c>
      <c r="G1842" s="1">
        <v>3.0</v>
      </c>
      <c r="H1842" s="1" t="s">
        <v>66</v>
      </c>
      <c r="I1842" s="1" t="s">
        <v>17</v>
      </c>
      <c r="J1842" s="1" t="s">
        <v>18</v>
      </c>
      <c r="K1842" s="1">
        <v>35.0</v>
      </c>
      <c r="L1842" s="1">
        <v>56.9355136</v>
      </c>
      <c r="M1842" s="1">
        <v>24.0425072</v>
      </c>
    </row>
    <row r="1843">
      <c r="A1843" s="1" t="s">
        <v>22</v>
      </c>
      <c r="B1843" s="1" t="s">
        <v>23</v>
      </c>
      <c r="C1843" s="1" t="s">
        <v>1381</v>
      </c>
      <c r="D1843" s="1">
        <v>3.0</v>
      </c>
      <c r="E1843" s="1">
        <v>52.0</v>
      </c>
      <c r="F1843" s="1">
        <v>3.0</v>
      </c>
      <c r="G1843" s="1">
        <v>4.0</v>
      </c>
      <c r="H1843" s="1" t="s">
        <v>25</v>
      </c>
      <c r="I1843" s="1" t="s">
        <v>33</v>
      </c>
      <c r="J1843" s="1" t="s">
        <v>18</v>
      </c>
      <c r="K1843" s="1">
        <v>72000.0</v>
      </c>
      <c r="L1843" s="1">
        <v>56.9657075</v>
      </c>
      <c r="M1843" s="1">
        <v>24.1421054004298</v>
      </c>
    </row>
    <row r="1844">
      <c r="A1844" s="1" t="s">
        <v>22</v>
      </c>
      <c r="B1844" s="1" t="s">
        <v>23</v>
      </c>
      <c r="C1844" s="1" t="s">
        <v>1382</v>
      </c>
      <c r="D1844" s="1">
        <v>2.0</v>
      </c>
      <c r="E1844" s="1">
        <v>50.2</v>
      </c>
      <c r="F1844" s="1">
        <v>3.0</v>
      </c>
      <c r="G1844" s="1">
        <v>3.0</v>
      </c>
      <c r="H1844" s="1" t="s">
        <v>66</v>
      </c>
      <c r="I1844" s="1" t="s">
        <v>33</v>
      </c>
      <c r="J1844" s="1" t="s">
        <v>18</v>
      </c>
      <c r="K1844" s="1">
        <v>106000.0</v>
      </c>
      <c r="L1844" s="1">
        <v>56.968951</v>
      </c>
      <c r="M1844" s="1">
        <v>24.1448842676771</v>
      </c>
    </row>
    <row r="1845">
      <c r="A1845" s="1" t="s">
        <v>22</v>
      </c>
      <c r="B1845" s="1" t="s">
        <v>48</v>
      </c>
      <c r="C1845" s="1" t="s">
        <v>1383</v>
      </c>
      <c r="D1845" s="1">
        <v>2.0</v>
      </c>
      <c r="E1845" s="1">
        <v>50.0</v>
      </c>
      <c r="F1845" s="1">
        <v>1.0</v>
      </c>
      <c r="G1845" s="1">
        <v>5.0</v>
      </c>
      <c r="H1845" s="1" t="s">
        <v>32</v>
      </c>
      <c r="I1845" s="1" t="s">
        <v>33</v>
      </c>
      <c r="J1845" s="1" t="s">
        <v>18</v>
      </c>
      <c r="K1845" s="1">
        <v>64955.0</v>
      </c>
      <c r="L1845" s="1">
        <v>56.95181495</v>
      </c>
      <c r="M1845" s="1">
        <v>24.2472396352302</v>
      </c>
    </row>
    <row r="1846">
      <c r="A1846" s="1" t="s">
        <v>22</v>
      </c>
      <c r="B1846" s="1" t="s">
        <v>19</v>
      </c>
      <c r="C1846" s="1" t="s">
        <v>1384</v>
      </c>
      <c r="D1846" s="1">
        <v>3.0</v>
      </c>
      <c r="E1846" s="1">
        <v>88.0</v>
      </c>
      <c r="F1846" s="1">
        <v>3.0</v>
      </c>
      <c r="G1846" s="1">
        <v>6.0</v>
      </c>
      <c r="H1846" s="1" t="s">
        <v>32</v>
      </c>
      <c r="I1846" s="1" t="s">
        <v>21</v>
      </c>
      <c r="J1846" s="1" t="s">
        <v>18</v>
      </c>
      <c r="K1846" s="1">
        <v>147000.0</v>
      </c>
      <c r="L1846" s="1">
        <v>56.918403</v>
      </c>
      <c r="M1846" s="1">
        <v>24.0883001</v>
      </c>
    </row>
    <row r="1847">
      <c r="A1847" s="1" t="s">
        <v>22</v>
      </c>
      <c r="B1847" s="1" t="s">
        <v>76</v>
      </c>
      <c r="C1847" s="1" t="s">
        <v>1385</v>
      </c>
      <c r="D1847" s="1">
        <v>2.0</v>
      </c>
      <c r="E1847" s="1">
        <v>38.0</v>
      </c>
      <c r="F1847" s="1">
        <v>1.0</v>
      </c>
      <c r="G1847" s="1">
        <v>5.0</v>
      </c>
      <c r="H1847" s="1" t="s">
        <v>16</v>
      </c>
      <c r="I1847" s="1" t="s">
        <v>21</v>
      </c>
      <c r="J1847" s="1" t="s">
        <v>18</v>
      </c>
      <c r="K1847" s="1">
        <v>38000.0</v>
      </c>
      <c r="L1847" s="1">
        <v>56.95368175</v>
      </c>
      <c r="M1847" s="1">
        <v>24.049096060481</v>
      </c>
    </row>
    <row r="1848">
      <c r="A1848" s="1" t="s">
        <v>22</v>
      </c>
      <c r="B1848" s="1" t="s">
        <v>96</v>
      </c>
      <c r="C1848" s="1" t="s">
        <v>1265</v>
      </c>
      <c r="D1848" s="1">
        <v>2.0</v>
      </c>
      <c r="E1848" s="1">
        <v>82.0</v>
      </c>
      <c r="F1848" s="1">
        <v>1.0</v>
      </c>
      <c r="G1848" s="1">
        <v>3.0</v>
      </c>
      <c r="H1848" s="1" t="s">
        <v>181</v>
      </c>
      <c r="I1848" s="1" t="s">
        <v>33</v>
      </c>
      <c r="J1848" s="1" t="s">
        <v>18</v>
      </c>
      <c r="K1848" s="1">
        <v>32000.0</v>
      </c>
      <c r="L1848" s="1">
        <v>57.0290793</v>
      </c>
      <c r="M1848" s="1">
        <v>24.1110987</v>
      </c>
    </row>
    <row r="1849">
      <c r="A1849" s="1" t="s">
        <v>22</v>
      </c>
      <c r="B1849" s="1" t="s">
        <v>23</v>
      </c>
      <c r="C1849" s="1" t="s">
        <v>842</v>
      </c>
      <c r="D1849" s="1">
        <v>2.0</v>
      </c>
      <c r="E1849" s="1">
        <v>165.0</v>
      </c>
      <c r="F1849" s="1">
        <v>6.0</v>
      </c>
      <c r="G1849" s="1">
        <v>6.0</v>
      </c>
      <c r="H1849" s="1" t="s">
        <v>25</v>
      </c>
      <c r="I1849" s="1" t="s">
        <v>33</v>
      </c>
      <c r="J1849" s="1" t="s">
        <v>18</v>
      </c>
      <c r="K1849" s="1">
        <v>231000.0</v>
      </c>
      <c r="L1849" s="1">
        <v>56.9665763</v>
      </c>
      <c r="M1849" s="1">
        <v>24.1337504</v>
      </c>
    </row>
    <row r="1850">
      <c r="A1850" s="1" t="s">
        <v>22</v>
      </c>
      <c r="B1850" s="1" t="s">
        <v>104</v>
      </c>
      <c r="C1850" s="1" t="s">
        <v>619</v>
      </c>
      <c r="D1850" s="1">
        <v>4.0</v>
      </c>
      <c r="E1850" s="1">
        <v>112.0</v>
      </c>
      <c r="F1850" s="1">
        <v>4.0</v>
      </c>
      <c r="G1850" s="1">
        <v>4.0</v>
      </c>
      <c r="H1850" s="1" t="s">
        <v>66</v>
      </c>
      <c r="I1850" s="1" t="s">
        <v>33</v>
      </c>
      <c r="J1850" s="1" t="s">
        <v>18</v>
      </c>
      <c r="K1850" s="1">
        <v>143000.0</v>
      </c>
      <c r="L1850" s="1">
        <v>56.9474705</v>
      </c>
      <c r="M1850" s="1">
        <v>24.0604076</v>
      </c>
    </row>
    <row r="1851">
      <c r="A1851" s="1" t="s">
        <v>22</v>
      </c>
      <c r="B1851" s="1" t="s">
        <v>23</v>
      </c>
      <c r="C1851" s="1" t="s">
        <v>844</v>
      </c>
      <c r="D1851" s="1">
        <v>3.0</v>
      </c>
      <c r="E1851" s="1">
        <v>95.0</v>
      </c>
      <c r="F1851" s="1">
        <v>2.0</v>
      </c>
      <c r="G1851" s="1">
        <v>6.0</v>
      </c>
      <c r="H1851" s="1" t="s">
        <v>25</v>
      </c>
      <c r="I1851" s="1" t="s">
        <v>33</v>
      </c>
      <c r="J1851" s="1" t="s">
        <v>18</v>
      </c>
      <c r="K1851" s="1">
        <v>237000.0</v>
      </c>
      <c r="L1851" s="1">
        <v>56.9523528</v>
      </c>
      <c r="M1851" s="1">
        <v>24.1238417</v>
      </c>
    </row>
    <row r="1852">
      <c r="A1852" s="1" t="s">
        <v>13</v>
      </c>
      <c r="B1852" s="1" t="s">
        <v>14</v>
      </c>
      <c r="C1852" s="1" t="s">
        <v>1386</v>
      </c>
      <c r="D1852" s="1">
        <v>1.0</v>
      </c>
      <c r="E1852" s="1">
        <v>28.0</v>
      </c>
      <c r="F1852" s="1">
        <v>4.0</v>
      </c>
      <c r="G1852" s="1">
        <v>5.0</v>
      </c>
      <c r="H1852" s="1" t="s">
        <v>16</v>
      </c>
      <c r="I1852" s="1" t="s">
        <v>21</v>
      </c>
      <c r="J1852" s="1" t="s">
        <v>18</v>
      </c>
      <c r="K1852" s="1">
        <v>280.0</v>
      </c>
      <c r="L1852" s="1">
        <v>56.95717545</v>
      </c>
      <c r="M1852" s="1">
        <v>24.17599405</v>
      </c>
    </row>
    <row r="1853">
      <c r="A1853" s="1" t="s">
        <v>13</v>
      </c>
      <c r="B1853" s="1" t="s">
        <v>82</v>
      </c>
      <c r="C1853" s="1" t="s">
        <v>1387</v>
      </c>
      <c r="D1853" s="1">
        <v>4.0</v>
      </c>
      <c r="E1853" s="1">
        <v>161.0</v>
      </c>
      <c r="F1853" s="1">
        <v>3.0</v>
      </c>
      <c r="G1853" s="1">
        <v>3.0</v>
      </c>
      <c r="H1853" s="1" t="s">
        <v>66</v>
      </c>
      <c r="I1853" s="1" t="s">
        <v>33</v>
      </c>
      <c r="J1853" s="1" t="s">
        <v>18</v>
      </c>
      <c r="K1853" s="1">
        <v>1780.0</v>
      </c>
      <c r="L1853" s="1">
        <v>56.9489344</v>
      </c>
      <c r="M1853" s="1">
        <v>24.0882804</v>
      </c>
    </row>
    <row r="1854">
      <c r="A1854" s="1" t="s">
        <v>22</v>
      </c>
      <c r="B1854" s="1" t="s">
        <v>38</v>
      </c>
      <c r="C1854" s="1" t="s">
        <v>1388</v>
      </c>
      <c r="D1854" s="1">
        <v>3.0</v>
      </c>
      <c r="E1854" s="1">
        <v>60.0</v>
      </c>
      <c r="F1854" s="1">
        <v>9.0</v>
      </c>
      <c r="G1854" s="1">
        <v>9.0</v>
      </c>
      <c r="H1854" s="1">
        <v>467.0</v>
      </c>
      <c r="I1854" s="1" t="s">
        <v>21</v>
      </c>
      <c r="J1854" s="1" t="s">
        <v>18</v>
      </c>
      <c r="K1854" s="1">
        <v>63500.0</v>
      </c>
      <c r="L1854" s="1">
        <v>56.9551187</v>
      </c>
      <c r="M1854" s="1">
        <v>24.0079701</v>
      </c>
    </row>
    <row r="1855">
      <c r="A1855" s="1" t="s">
        <v>22</v>
      </c>
      <c r="B1855" s="1" t="s">
        <v>19</v>
      </c>
      <c r="C1855" s="1" t="s">
        <v>1389</v>
      </c>
      <c r="D1855" s="1">
        <v>1.0</v>
      </c>
      <c r="E1855" s="1">
        <v>43.0</v>
      </c>
      <c r="F1855" s="1">
        <v>10.0</v>
      </c>
      <c r="G1855" s="1">
        <v>10.0</v>
      </c>
      <c r="H1855" s="1">
        <v>119.0</v>
      </c>
      <c r="I1855" s="1" t="s">
        <v>21</v>
      </c>
      <c r="J1855" s="1" t="s">
        <v>18</v>
      </c>
      <c r="K1855" s="1">
        <v>43700.0</v>
      </c>
      <c r="L1855" s="1">
        <v>56.8990307</v>
      </c>
      <c r="M1855" s="1">
        <v>24.0785989</v>
      </c>
    </row>
    <row r="1856">
      <c r="A1856" s="1" t="s">
        <v>22</v>
      </c>
      <c r="B1856" s="1" t="s">
        <v>48</v>
      </c>
      <c r="C1856" s="1" t="s">
        <v>59</v>
      </c>
      <c r="D1856" s="1">
        <v>3.0</v>
      </c>
      <c r="E1856" s="1">
        <v>65.0</v>
      </c>
      <c r="F1856" s="1">
        <v>2.0</v>
      </c>
      <c r="G1856" s="1">
        <v>9.0</v>
      </c>
      <c r="H1856" s="1">
        <v>602.0</v>
      </c>
      <c r="I1856" s="1" t="s">
        <v>21</v>
      </c>
      <c r="J1856" s="1" t="s">
        <v>18</v>
      </c>
      <c r="K1856" s="1">
        <v>76000.0</v>
      </c>
      <c r="L1856" s="1">
        <v>56.96342305</v>
      </c>
      <c r="M1856" s="1">
        <v>24.2351297251986</v>
      </c>
    </row>
    <row r="1857">
      <c r="A1857" s="1" t="s">
        <v>13</v>
      </c>
      <c r="B1857" s="1" t="s">
        <v>14</v>
      </c>
      <c r="C1857" s="1" t="s">
        <v>1210</v>
      </c>
      <c r="D1857" s="1">
        <v>2.0</v>
      </c>
      <c r="E1857" s="1">
        <v>37.0</v>
      </c>
      <c r="F1857" s="1">
        <v>2.0</v>
      </c>
      <c r="G1857" s="1">
        <v>5.0</v>
      </c>
      <c r="H1857" s="1" t="s">
        <v>16</v>
      </c>
      <c r="I1857" s="1" t="s">
        <v>21</v>
      </c>
      <c r="J1857" s="1" t="s">
        <v>18</v>
      </c>
      <c r="K1857" s="1">
        <v>300.0</v>
      </c>
      <c r="L1857" s="1">
        <v>56.95698215</v>
      </c>
      <c r="M1857" s="1">
        <v>24.1805314081534</v>
      </c>
    </row>
    <row r="1858">
      <c r="A1858" s="1" t="s">
        <v>22</v>
      </c>
      <c r="B1858" s="1" t="s">
        <v>28</v>
      </c>
      <c r="C1858" s="1" t="s">
        <v>1390</v>
      </c>
      <c r="D1858" s="1">
        <v>2.0</v>
      </c>
      <c r="E1858" s="1">
        <v>44.0</v>
      </c>
      <c r="F1858" s="1">
        <v>1.0</v>
      </c>
      <c r="G1858" s="1">
        <v>5.0</v>
      </c>
      <c r="H1858" s="1" t="s">
        <v>16</v>
      </c>
      <c r="I1858" s="1" t="s">
        <v>21</v>
      </c>
      <c r="J1858" s="1" t="s">
        <v>18</v>
      </c>
      <c r="K1858" s="1">
        <v>35000.0</v>
      </c>
      <c r="L1858" s="1">
        <v>56.8597884</v>
      </c>
      <c r="M1858" s="1">
        <v>24.3083417</v>
      </c>
    </row>
    <row r="1859">
      <c r="A1859" s="1" t="s">
        <v>22</v>
      </c>
      <c r="B1859" s="1" t="s">
        <v>23</v>
      </c>
      <c r="C1859" s="1" t="s">
        <v>763</v>
      </c>
      <c r="D1859" s="1">
        <v>2.0</v>
      </c>
      <c r="E1859" s="1">
        <v>52.0</v>
      </c>
      <c r="F1859" s="1">
        <v>2.0</v>
      </c>
      <c r="G1859" s="1">
        <v>4.0</v>
      </c>
      <c r="H1859" s="1" t="s">
        <v>25</v>
      </c>
      <c r="I1859" s="1" t="s">
        <v>33</v>
      </c>
      <c r="J1859" s="1" t="s">
        <v>18</v>
      </c>
      <c r="K1859" s="1">
        <v>60900.0</v>
      </c>
      <c r="L1859" s="1">
        <v>56.8597884</v>
      </c>
      <c r="M1859" s="1">
        <v>24.3083417</v>
      </c>
    </row>
    <row r="1860">
      <c r="A1860" s="1" t="s">
        <v>13</v>
      </c>
      <c r="B1860" s="1" t="s">
        <v>23</v>
      </c>
      <c r="C1860" s="1" t="s">
        <v>1391</v>
      </c>
      <c r="D1860" s="1">
        <v>2.0</v>
      </c>
      <c r="E1860" s="1">
        <v>80.0</v>
      </c>
      <c r="F1860" s="1">
        <v>6.0</v>
      </c>
      <c r="G1860" s="1">
        <v>7.0</v>
      </c>
      <c r="H1860" s="1" t="s">
        <v>25</v>
      </c>
      <c r="I1860" s="1" t="s">
        <v>33</v>
      </c>
      <c r="J1860" s="1" t="s">
        <v>18</v>
      </c>
      <c r="K1860" s="1">
        <v>450.0</v>
      </c>
      <c r="L1860" s="1">
        <v>56.9532739</v>
      </c>
      <c r="M1860" s="1">
        <v>24.1212758</v>
      </c>
    </row>
    <row r="1861">
      <c r="A1861" s="1" t="s">
        <v>22</v>
      </c>
      <c r="B1861" s="1" t="s">
        <v>218</v>
      </c>
      <c r="C1861" s="1" t="s">
        <v>1392</v>
      </c>
      <c r="D1861" s="1">
        <v>3.0</v>
      </c>
      <c r="E1861" s="1">
        <v>65.0</v>
      </c>
      <c r="F1861" s="1">
        <v>3.0</v>
      </c>
      <c r="G1861" s="1">
        <v>4.0</v>
      </c>
      <c r="H1861" s="1" t="s">
        <v>36</v>
      </c>
      <c r="I1861" s="1" t="s">
        <v>33</v>
      </c>
      <c r="J1861" s="1" t="s">
        <v>18</v>
      </c>
      <c r="K1861" s="1">
        <v>160000.0</v>
      </c>
      <c r="L1861" s="1">
        <v>56.9472036</v>
      </c>
      <c r="M1861" s="1">
        <v>24.1135378</v>
      </c>
    </row>
    <row r="1862">
      <c r="A1862" s="1" t="s">
        <v>13</v>
      </c>
      <c r="B1862" s="1" t="s">
        <v>23</v>
      </c>
      <c r="C1862" s="1" t="s">
        <v>501</v>
      </c>
      <c r="D1862" s="1">
        <v>2.0</v>
      </c>
      <c r="E1862" s="1">
        <v>30.0</v>
      </c>
      <c r="F1862" s="1">
        <v>6.0</v>
      </c>
      <c r="G1862" s="1">
        <v>6.0</v>
      </c>
      <c r="H1862" s="1" t="s">
        <v>36</v>
      </c>
      <c r="I1862" s="1" t="s">
        <v>122</v>
      </c>
      <c r="J1862" s="1" t="s">
        <v>18</v>
      </c>
      <c r="K1862" s="1">
        <v>290.0</v>
      </c>
      <c r="L1862" s="1">
        <v>56.94440235</v>
      </c>
      <c r="M1862" s="1">
        <v>24.1323630232783</v>
      </c>
    </row>
    <row r="1863">
      <c r="A1863" s="1" t="s">
        <v>22</v>
      </c>
      <c r="B1863" s="1" t="s">
        <v>38</v>
      </c>
      <c r="C1863" s="1" t="s">
        <v>1354</v>
      </c>
      <c r="D1863" s="1">
        <v>3.0</v>
      </c>
      <c r="E1863" s="1">
        <v>57.0</v>
      </c>
      <c r="F1863" s="1">
        <v>1.0</v>
      </c>
      <c r="G1863" s="1">
        <v>5.0</v>
      </c>
      <c r="H1863" s="1" t="s">
        <v>16</v>
      </c>
      <c r="I1863" s="1" t="s">
        <v>21</v>
      </c>
      <c r="J1863" s="1" t="s">
        <v>18</v>
      </c>
      <c r="K1863" s="1">
        <v>59900.0</v>
      </c>
      <c r="L1863" s="1" t="s">
        <v>40</v>
      </c>
      <c r="M1863" s="1" t="s">
        <v>40</v>
      </c>
    </row>
    <row r="1864">
      <c r="A1864" s="1" t="s">
        <v>22</v>
      </c>
      <c r="B1864" s="1" t="s">
        <v>96</v>
      </c>
      <c r="C1864" s="1" t="s">
        <v>1393</v>
      </c>
      <c r="D1864" s="1">
        <v>3.0</v>
      </c>
      <c r="E1864" s="1">
        <v>66.0</v>
      </c>
      <c r="F1864" s="1">
        <v>1.0</v>
      </c>
      <c r="G1864" s="1">
        <v>5.0</v>
      </c>
      <c r="H1864" s="1">
        <v>103.0</v>
      </c>
      <c r="I1864" s="1" t="s">
        <v>17</v>
      </c>
      <c r="J1864" s="1" t="s">
        <v>18</v>
      </c>
      <c r="K1864" s="1">
        <v>57500.0</v>
      </c>
      <c r="L1864" s="1">
        <v>57.03407185</v>
      </c>
      <c r="M1864" s="1">
        <v>24.1072241361512</v>
      </c>
    </row>
    <row r="1865">
      <c r="A1865" s="1" t="s">
        <v>13</v>
      </c>
      <c r="B1865" s="1" t="s">
        <v>30</v>
      </c>
      <c r="C1865" s="1" t="s">
        <v>1394</v>
      </c>
      <c r="D1865" s="1">
        <v>2.0</v>
      </c>
      <c r="E1865" s="1">
        <v>43.0</v>
      </c>
      <c r="F1865" s="1">
        <v>5.0</v>
      </c>
      <c r="G1865" s="1">
        <v>5.0</v>
      </c>
      <c r="H1865" s="1" t="s">
        <v>44</v>
      </c>
      <c r="I1865" s="1" t="s">
        <v>17</v>
      </c>
      <c r="J1865" s="1" t="s">
        <v>18</v>
      </c>
      <c r="K1865" s="1">
        <v>390.0</v>
      </c>
      <c r="L1865" s="1">
        <v>56.9788967</v>
      </c>
      <c r="M1865" s="1">
        <v>24.17313665</v>
      </c>
    </row>
    <row r="1866">
      <c r="A1866" s="1" t="s">
        <v>13</v>
      </c>
      <c r="B1866" s="1" t="s">
        <v>23</v>
      </c>
      <c r="C1866" s="1" t="s">
        <v>1395</v>
      </c>
      <c r="D1866" s="1">
        <v>3.0</v>
      </c>
      <c r="E1866" s="1">
        <v>70.0</v>
      </c>
      <c r="F1866" s="1">
        <v>3.0</v>
      </c>
      <c r="G1866" s="1">
        <v>3.0</v>
      </c>
      <c r="H1866" s="1" t="s">
        <v>36</v>
      </c>
      <c r="I1866" s="1" t="s">
        <v>37</v>
      </c>
      <c r="J1866" s="1" t="s">
        <v>27</v>
      </c>
      <c r="K1866" s="1">
        <v>580.0</v>
      </c>
      <c r="L1866" s="1">
        <v>56.9764382</v>
      </c>
      <c r="M1866" s="1">
        <v>24.1391902</v>
      </c>
    </row>
    <row r="1867">
      <c r="A1867" s="1" t="s">
        <v>13</v>
      </c>
      <c r="B1867" s="1" t="s">
        <v>104</v>
      </c>
      <c r="C1867" s="1" t="s">
        <v>338</v>
      </c>
      <c r="D1867" s="1">
        <v>3.0</v>
      </c>
      <c r="E1867" s="1">
        <v>93.0</v>
      </c>
      <c r="F1867" s="1">
        <v>14.0</v>
      </c>
      <c r="G1867" s="1">
        <v>23.0</v>
      </c>
      <c r="H1867" s="1" t="s">
        <v>32</v>
      </c>
      <c r="I1867" s="1" t="s">
        <v>33</v>
      </c>
      <c r="J1867" s="1" t="s">
        <v>18</v>
      </c>
      <c r="K1867" s="1">
        <v>1450.0</v>
      </c>
      <c r="L1867" s="1">
        <v>56.9483074</v>
      </c>
      <c r="M1867" s="1">
        <v>24.0801468</v>
      </c>
    </row>
    <row r="1868">
      <c r="A1868" s="1" t="s">
        <v>13</v>
      </c>
      <c r="B1868" s="1" t="s">
        <v>104</v>
      </c>
      <c r="C1868" s="1" t="s">
        <v>338</v>
      </c>
      <c r="D1868" s="1">
        <v>3.0</v>
      </c>
      <c r="E1868" s="1">
        <v>115.0</v>
      </c>
      <c r="F1868" s="1">
        <v>15.0</v>
      </c>
      <c r="G1868" s="1">
        <v>23.0</v>
      </c>
      <c r="H1868" s="1" t="s">
        <v>32</v>
      </c>
      <c r="I1868" s="1" t="s">
        <v>33</v>
      </c>
      <c r="J1868" s="1" t="s">
        <v>18</v>
      </c>
      <c r="K1868" s="1">
        <v>1450.0</v>
      </c>
      <c r="L1868" s="1">
        <v>56.9483074</v>
      </c>
      <c r="M1868" s="1">
        <v>24.0801468</v>
      </c>
    </row>
    <row r="1869">
      <c r="A1869" s="1" t="s">
        <v>13</v>
      </c>
      <c r="B1869" s="1" t="s">
        <v>104</v>
      </c>
      <c r="C1869" s="1" t="s">
        <v>338</v>
      </c>
      <c r="D1869" s="1">
        <v>3.0</v>
      </c>
      <c r="E1869" s="1">
        <v>95.0</v>
      </c>
      <c r="F1869" s="1">
        <v>14.0</v>
      </c>
      <c r="G1869" s="1">
        <v>23.0</v>
      </c>
      <c r="H1869" s="1" t="s">
        <v>32</v>
      </c>
      <c r="I1869" s="1" t="s">
        <v>33</v>
      </c>
      <c r="J1869" s="1" t="s">
        <v>18</v>
      </c>
      <c r="K1869" s="1">
        <v>1450.0</v>
      </c>
      <c r="L1869" s="1">
        <v>56.9483074</v>
      </c>
      <c r="M1869" s="1">
        <v>24.0801468</v>
      </c>
    </row>
    <row r="1870">
      <c r="A1870" s="1" t="s">
        <v>22</v>
      </c>
      <c r="B1870" s="1" t="s">
        <v>109</v>
      </c>
      <c r="C1870" s="1" t="s">
        <v>1396</v>
      </c>
      <c r="D1870" s="1">
        <v>2.0</v>
      </c>
      <c r="E1870" s="1">
        <v>46.0</v>
      </c>
      <c r="F1870" s="1">
        <v>9.0</v>
      </c>
      <c r="G1870" s="1">
        <v>12.0</v>
      </c>
      <c r="H1870" s="1" t="s">
        <v>36</v>
      </c>
      <c r="I1870" s="1" t="s">
        <v>37</v>
      </c>
      <c r="J1870" s="1" t="s">
        <v>18</v>
      </c>
      <c r="K1870" s="1">
        <v>60000.0</v>
      </c>
      <c r="L1870" s="1">
        <v>56.9929332</v>
      </c>
      <c r="M1870" s="1">
        <v>24.1945177</v>
      </c>
    </row>
    <row r="1871">
      <c r="A1871" s="1" t="s">
        <v>22</v>
      </c>
      <c r="B1871" s="1" t="s">
        <v>74</v>
      </c>
      <c r="C1871" s="1" t="s">
        <v>748</v>
      </c>
      <c r="D1871" s="1">
        <v>2.0</v>
      </c>
      <c r="E1871" s="1">
        <v>50.0</v>
      </c>
      <c r="F1871" s="1">
        <v>8.0</v>
      </c>
      <c r="G1871" s="1">
        <v>9.0</v>
      </c>
      <c r="H1871" s="1">
        <v>602.0</v>
      </c>
      <c r="I1871" s="1" t="s">
        <v>21</v>
      </c>
      <c r="J1871" s="1" t="s">
        <v>18</v>
      </c>
      <c r="K1871" s="1">
        <v>59000.0</v>
      </c>
      <c r="L1871" s="1">
        <v>56.942271</v>
      </c>
      <c r="M1871" s="1">
        <v>24.1972067778583</v>
      </c>
    </row>
    <row r="1872">
      <c r="A1872" s="1" t="s">
        <v>22</v>
      </c>
      <c r="B1872" s="1" t="s">
        <v>28</v>
      </c>
      <c r="C1872" s="1" t="s">
        <v>809</v>
      </c>
      <c r="D1872" s="1">
        <v>3.0</v>
      </c>
      <c r="E1872" s="1">
        <v>63.0</v>
      </c>
      <c r="F1872" s="1">
        <v>1.0</v>
      </c>
      <c r="G1872" s="1">
        <v>5.0</v>
      </c>
      <c r="H1872" s="1" t="s">
        <v>32</v>
      </c>
      <c r="I1872" s="1" t="s">
        <v>21</v>
      </c>
      <c r="J1872" s="1" t="s">
        <v>18</v>
      </c>
      <c r="K1872" s="1">
        <v>76372.0</v>
      </c>
      <c r="L1872" s="1">
        <v>56.9146747</v>
      </c>
      <c r="M1872" s="1">
        <v>24.1815079346418</v>
      </c>
    </row>
    <row r="1873">
      <c r="A1873" s="1" t="s">
        <v>22</v>
      </c>
      <c r="B1873" s="1" t="s">
        <v>76</v>
      </c>
      <c r="C1873" s="1" t="s">
        <v>931</v>
      </c>
      <c r="D1873" s="1">
        <v>1.0</v>
      </c>
      <c r="E1873" s="1">
        <v>38.0</v>
      </c>
      <c r="F1873" s="1">
        <v>2.0</v>
      </c>
      <c r="G1873" s="1">
        <v>6.0</v>
      </c>
      <c r="H1873" s="1" t="s">
        <v>32</v>
      </c>
      <c r="I1873" s="1" t="s">
        <v>37</v>
      </c>
      <c r="J1873" s="1" t="s">
        <v>18</v>
      </c>
      <c r="K1873" s="1">
        <v>60000.0</v>
      </c>
      <c r="L1873" s="1">
        <v>56.95518535</v>
      </c>
      <c r="M1873" s="1">
        <v>24.0724323050318</v>
      </c>
    </row>
    <row r="1874">
      <c r="A1874" s="1" t="s">
        <v>89</v>
      </c>
      <c r="B1874" s="2"/>
      <c r="C1874" s="2"/>
      <c r="D1874" s="1" t="s">
        <v>90</v>
      </c>
      <c r="E1874" s="2"/>
      <c r="F1874" s="2"/>
      <c r="G1874" s="2"/>
      <c r="H1874" s="2"/>
      <c r="I1874" s="2"/>
      <c r="J1874" s="2"/>
      <c r="K1874" s="2"/>
      <c r="L1874" s="1">
        <v>46.3144754</v>
      </c>
      <c r="M1874" s="1">
        <v>11.0480288</v>
      </c>
    </row>
    <row r="1875">
      <c r="A1875" s="1" t="s">
        <v>22</v>
      </c>
      <c r="B1875" s="1" t="s">
        <v>38</v>
      </c>
      <c r="C1875" s="1" t="s">
        <v>1397</v>
      </c>
      <c r="D1875" s="1">
        <v>2.0</v>
      </c>
      <c r="E1875" s="1">
        <v>38.0</v>
      </c>
      <c r="F1875" s="1">
        <v>5.0</v>
      </c>
      <c r="G1875" s="1">
        <v>5.0</v>
      </c>
      <c r="H1875" s="1" t="s">
        <v>16</v>
      </c>
      <c r="I1875" s="1" t="s">
        <v>21</v>
      </c>
      <c r="J1875" s="1" t="s">
        <v>18</v>
      </c>
      <c r="K1875" s="1">
        <v>39990.0</v>
      </c>
      <c r="L1875" s="1">
        <v>56.9628977499999</v>
      </c>
      <c r="M1875" s="1">
        <v>24.0101507976177</v>
      </c>
    </row>
    <row r="1876">
      <c r="A1876" s="1" t="s">
        <v>13</v>
      </c>
      <c r="B1876" s="1" t="s">
        <v>23</v>
      </c>
      <c r="C1876" s="1" t="s">
        <v>91</v>
      </c>
      <c r="D1876" s="1">
        <v>2.0</v>
      </c>
      <c r="E1876" s="1">
        <v>55.0</v>
      </c>
      <c r="F1876" s="1">
        <v>3.0</v>
      </c>
      <c r="G1876" s="1">
        <v>8.0</v>
      </c>
      <c r="H1876" s="1" t="s">
        <v>32</v>
      </c>
      <c r="I1876" s="1" t="s">
        <v>33</v>
      </c>
      <c r="J1876" s="1" t="s">
        <v>18</v>
      </c>
      <c r="K1876" s="1">
        <v>600.0</v>
      </c>
      <c r="L1876" s="1">
        <v>56.9552522</v>
      </c>
      <c r="M1876" s="1">
        <v>24.0999991251943</v>
      </c>
    </row>
    <row r="1877">
      <c r="A1877" s="1" t="s">
        <v>13</v>
      </c>
      <c r="B1877" s="1" t="s">
        <v>23</v>
      </c>
      <c r="C1877" s="1" t="s">
        <v>1398</v>
      </c>
      <c r="D1877" s="1">
        <v>3.0</v>
      </c>
      <c r="E1877" s="1">
        <v>87.0</v>
      </c>
      <c r="F1877" s="1">
        <v>4.0</v>
      </c>
      <c r="G1877" s="1">
        <v>6.0</v>
      </c>
      <c r="H1877" s="1" t="s">
        <v>25</v>
      </c>
      <c r="I1877" s="1" t="s">
        <v>33</v>
      </c>
      <c r="J1877" s="1" t="s">
        <v>18</v>
      </c>
      <c r="K1877" s="1">
        <v>600.0</v>
      </c>
      <c r="L1877" s="1">
        <v>56.9567304</v>
      </c>
      <c r="M1877" s="1">
        <v>24.1229638680182</v>
      </c>
    </row>
    <row r="1878">
      <c r="A1878" s="1" t="s">
        <v>13</v>
      </c>
      <c r="B1878" s="1" t="s">
        <v>23</v>
      </c>
      <c r="C1878" s="1" t="s">
        <v>501</v>
      </c>
      <c r="D1878" s="1">
        <v>1.0</v>
      </c>
      <c r="E1878" s="1">
        <v>14.0</v>
      </c>
      <c r="F1878" s="1">
        <v>4.0</v>
      </c>
      <c r="G1878" s="1">
        <v>6.0</v>
      </c>
      <c r="H1878" s="1" t="s">
        <v>66</v>
      </c>
      <c r="I1878" s="1" t="s">
        <v>33</v>
      </c>
      <c r="J1878" s="1" t="s">
        <v>18</v>
      </c>
      <c r="K1878" s="1">
        <v>200.0</v>
      </c>
      <c r="L1878" s="1">
        <v>56.94440235</v>
      </c>
      <c r="M1878" s="1">
        <v>24.1323630232783</v>
      </c>
    </row>
    <row r="1879">
      <c r="A1879" s="1" t="s">
        <v>89</v>
      </c>
      <c r="B1879" s="1" t="s">
        <v>441</v>
      </c>
      <c r="C1879" s="1" t="s">
        <v>1399</v>
      </c>
      <c r="D1879" s="1">
        <v>2.0</v>
      </c>
      <c r="E1879" s="2"/>
      <c r="F1879" s="1">
        <v>2.0</v>
      </c>
      <c r="G1879" s="1">
        <v>5.0</v>
      </c>
      <c r="H1879" s="1" t="s">
        <v>16</v>
      </c>
      <c r="I1879" s="1" t="s">
        <v>17</v>
      </c>
      <c r="J1879" s="1" t="s">
        <v>18</v>
      </c>
      <c r="K1879" s="2"/>
      <c r="L1879" s="1">
        <v>57.04742785</v>
      </c>
      <c r="M1879" s="1">
        <v>24.1703285271744</v>
      </c>
    </row>
    <row r="1880">
      <c r="A1880" s="1" t="s">
        <v>22</v>
      </c>
      <c r="B1880" s="1" t="s">
        <v>23</v>
      </c>
      <c r="C1880" s="1" t="s">
        <v>1400</v>
      </c>
      <c r="D1880" s="1">
        <v>2.0</v>
      </c>
      <c r="E1880" s="1">
        <v>80.0</v>
      </c>
      <c r="F1880" s="1">
        <v>5.0</v>
      </c>
      <c r="G1880" s="1">
        <v>6.0</v>
      </c>
      <c r="H1880" s="1" t="s">
        <v>25</v>
      </c>
      <c r="I1880" s="1" t="s">
        <v>37</v>
      </c>
      <c r="J1880" s="1" t="s">
        <v>18</v>
      </c>
      <c r="K1880" s="1">
        <v>72000.0</v>
      </c>
      <c r="L1880" s="1">
        <v>56.9543322</v>
      </c>
      <c r="M1880" s="1">
        <v>24.1313043698515</v>
      </c>
    </row>
    <row r="1881">
      <c r="A1881" s="1" t="s">
        <v>22</v>
      </c>
      <c r="B1881" s="1" t="s">
        <v>23</v>
      </c>
      <c r="C1881" s="1" t="s">
        <v>1401</v>
      </c>
      <c r="D1881" s="1">
        <v>4.0</v>
      </c>
      <c r="E1881" s="1">
        <v>127.0</v>
      </c>
      <c r="F1881" s="1">
        <v>7.0</v>
      </c>
      <c r="G1881" s="1">
        <v>7.0</v>
      </c>
      <c r="H1881" s="1" t="s">
        <v>25</v>
      </c>
      <c r="I1881" s="1" t="s">
        <v>33</v>
      </c>
      <c r="J1881" s="1" t="s">
        <v>18</v>
      </c>
      <c r="K1881" s="1">
        <v>124900.0</v>
      </c>
      <c r="L1881" s="1">
        <v>56.9747123</v>
      </c>
      <c r="M1881" s="1">
        <v>24.1439791167864</v>
      </c>
    </row>
    <row r="1882">
      <c r="A1882" s="1" t="s">
        <v>13</v>
      </c>
      <c r="B1882" s="1" t="s">
        <v>23</v>
      </c>
      <c r="C1882" s="1" t="s">
        <v>136</v>
      </c>
      <c r="D1882" s="1">
        <v>3.0</v>
      </c>
      <c r="E1882" s="1">
        <v>58.0</v>
      </c>
      <c r="F1882" s="1">
        <v>5.0</v>
      </c>
      <c r="G1882" s="1">
        <v>6.0</v>
      </c>
      <c r="H1882" s="1" t="s">
        <v>66</v>
      </c>
      <c r="I1882" s="1" t="s">
        <v>33</v>
      </c>
      <c r="J1882" s="1" t="s">
        <v>18</v>
      </c>
      <c r="K1882" s="1">
        <v>630.0</v>
      </c>
      <c r="L1882" s="1">
        <v>56.95643795</v>
      </c>
      <c r="M1882" s="1">
        <v>24.1325729821556</v>
      </c>
    </row>
    <row r="1883">
      <c r="A1883" s="1" t="s">
        <v>22</v>
      </c>
      <c r="B1883" s="1" t="s">
        <v>74</v>
      </c>
      <c r="C1883" s="1" t="s">
        <v>556</v>
      </c>
      <c r="D1883" s="1">
        <v>2.0</v>
      </c>
      <c r="E1883" s="1">
        <v>65.0</v>
      </c>
      <c r="F1883" s="1">
        <v>9.0</v>
      </c>
      <c r="G1883" s="1">
        <v>9.0</v>
      </c>
      <c r="H1883" s="1" t="s">
        <v>32</v>
      </c>
      <c r="I1883" s="1" t="s">
        <v>122</v>
      </c>
      <c r="J1883" s="1" t="s">
        <v>18</v>
      </c>
      <c r="K1883" s="1">
        <v>110000.0</v>
      </c>
      <c r="L1883" s="1">
        <v>56.94122905</v>
      </c>
      <c r="M1883" s="1">
        <v>24.2174231674689</v>
      </c>
    </row>
    <row r="1884">
      <c r="A1884" s="1" t="s">
        <v>13</v>
      </c>
      <c r="B1884" s="1" t="s">
        <v>74</v>
      </c>
      <c r="C1884" s="1" t="s">
        <v>1402</v>
      </c>
      <c r="D1884" s="1">
        <v>2.0</v>
      </c>
      <c r="E1884" s="1">
        <v>50.0</v>
      </c>
      <c r="F1884" s="1">
        <v>6.0</v>
      </c>
      <c r="G1884" s="1">
        <v>9.0</v>
      </c>
      <c r="H1884" s="1">
        <v>602.0</v>
      </c>
      <c r="I1884" s="1" t="s">
        <v>21</v>
      </c>
      <c r="J1884" s="1" t="s">
        <v>18</v>
      </c>
      <c r="K1884" s="1">
        <v>40.0</v>
      </c>
      <c r="L1884" s="1">
        <v>56.93411625</v>
      </c>
      <c r="M1884" s="1">
        <v>24.2046547708947</v>
      </c>
    </row>
    <row r="1885">
      <c r="A1885" s="1" t="s">
        <v>22</v>
      </c>
      <c r="B1885" s="1" t="s">
        <v>67</v>
      </c>
      <c r="C1885" s="1" t="s">
        <v>98</v>
      </c>
      <c r="D1885" s="1">
        <v>4.0</v>
      </c>
      <c r="E1885" s="1">
        <v>107.0</v>
      </c>
      <c r="F1885" s="1">
        <v>1.0</v>
      </c>
      <c r="G1885" s="1">
        <v>2.0</v>
      </c>
      <c r="H1885" s="1" t="s">
        <v>66</v>
      </c>
      <c r="I1885" s="1" t="s">
        <v>26</v>
      </c>
      <c r="J1885" s="1" t="s">
        <v>18</v>
      </c>
      <c r="K1885" s="1">
        <v>200000.0</v>
      </c>
      <c r="L1885" s="1">
        <v>56.9553833</v>
      </c>
      <c r="M1885" s="1">
        <v>24.1488881</v>
      </c>
    </row>
    <row r="1886">
      <c r="A1886" s="1" t="s">
        <v>22</v>
      </c>
      <c r="B1886" s="1" t="s">
        <v>104</v>
      </c>
      <c r="C1886" s="1" t="s">
        <v>1403</v>
      </c>
      <c r="D1886" s="1">
        <v>3.0</v>
      </c>
      <c r="E1886" s="1">
        <v>60.0</v>
      </c>
      <c r="F1886" s="1">
        <v>5.0</v>
      </c>
      <c r="G1886" s="1">
        <v>5.0</v>
      </c>
      <c r="H1886" s="1" t="s">
        <v>44</v>
      </c>
      <c r="I1886" s="1" t="s">
        <v>21</v>
      </c>
      <c r="J1886" s="1" t="s">
        <v>18</v>
      </c>
      <c r="K1886" s="1">
        <v>75000.0</v>
      </c>
      <c r="L1886" s="1">
        <v>56.94578335</v>
      </c>
      <c r="M1886" s="1">
        <v>24.0643504483302</v>
      </c>
    </row>
    <row r="1887">
      <c r="A1887" s="1" t="s">
        <v>13</v>
      </c>
      <c r="B1887" s="1" t="s">
        <v>23</v>
      </c>
      <c r="C1887" s="1" t="s">
        <v>947</v>
      </c>
      <c r="D1887" s="1">
        <v>1.0</v>
      </c>
      <c r="E1887" s="1">
        <v>25.0</v>
      </c>
      <c r="F1887" s="1">
        <v>2.0</v>
      </c>
      <c r="G1887" s="1">
        <v>3.0</v>
      </c>
      <c r="H1887" s="1" t="s">
        <v>66</v>
      </c>
      <c r="I1887" s="1" t="s">
        <v>26</v>
      </c>
      <c r="J1887" s="1" t="s">
        <v>18</v>
      </c>
      <c r="K1887" s="1">
        <v>350.0</v>
      </c>
      <c r="L1887" s="1">
        <v>56.9698143</v>
      </c>
      <c r="M1887" s="1">
        <v>24.1358191</v>
      </c>
    </row>
    <row r="1888">
      <c r="A1888" s="1" t="s">
        <v>13</v>
      </c>
      <c r="B1888" s="1" t="s">
        <v>23</v>
      </c>
      <c r="C1888" s="1" t="s">
        <v>1404</v>
      </c>
      <c r="D1888" s="1">
        <v>3.0</v>
      </c>
      <c r="E1888" s="1">
        <v>72.0</v>
      </c>
      <c r="F1888" s="1">
        <v>3.0</v>
      </c>
      <c r="G1888" s="1">
        <v>4.0</v>
      </c>
      <c r="H1888" s="1" t="s">
        <v>66</v>
      </c>
      <c r="I1888" s="1" t="s">
        <v>33</v>
      </c>
      <c r="J1888" s="1" t="s">
        <v>18</v>
      </c>
      <c r="K1888" s="1">
        <v>700.0</v>
      </c>
      <c r="L1888" s="1">
        <v>56.9507636</v>
      </c>
      <c r="M1888" s="1">
        <v>24.1315174</v>
      </c>
    </row>
    <row r="1889">
      <c r="A1889" s="1" t="s">
        <v>22</v>
      </c>
      <c r="B1889" s="1" t="s">
        <v>23</v>
      </c>
      <c r="C1889" s="1" t="s">
        <v>1405</v>
      </c>
      <c r="D1889" s="1">
        <v>2.0</v>
      </c>
      <c r="E1889" s="1">
        <v>60.0</v>
      </c>
      <c r="F1889" s="1">
        <v>6.0</v>
      </c>
      <c r="G1889" s="1">
        <v>6.0</v>
      </c>
      <c r="H1889" s="1" t="s">
        <v>25</v>
      </c>
      <c r="I1889" s="1" t="s">
        <v>33</v>
      </c>
      <c r="J1889" s="1" t="s">
        <v>18</v>
      </c>
      <c r="K1889" s="1">
        <v>70000.0</v>
      </c>
      <c r="L1889" s="1">
        <v>56.9505809</v>
      </c>
      <c r="M1889" s="1">
        <v>24.1258687558061</v>
      </c>
    </row>
    <row r="1890">
      <c r="A1890" s="1" t="s">
        <v>22</v>
      </c>
      <c r="B1890" s="1" t="s">
        <v>52</v>
      </c>
      <c r="C1890" s="1" t="s">
        <v>1406</v>
      </c>
      <c r="D1890" s="1">
        <v>2.0</v>
      </c>
      <c r="E1890" s="1">
        <v>60.0</v>
      </c>
      <c r="F1890" s="1">
        <v>3.0</v>
      </c>
      <c r="G1890" s="1">
        <v>3.0</v>
      </c>
      <c r="H1890" s="1" t="s">
        <v>32</v>
      </c>
      <c r="I1890" s="1" t="s">
        <v>21</v>
      </c>
      <c r="J1890" s="1" t="s">
        <v>18</v>
      </c>
      <c r="K1890" s="1">
        <v>99703.0</v>
      </c>
      <c r="L1890" s="1">
        <v>56.9371904</v>
      </c>
      <c r="M1890" s="1">
        <v>24.0257892</v>
      </c>
    </row>
    <row r="1891">
      <c r="A1891" s="1" t="s">
        <v>22</v>
      </c>
      <c r="B1891" s="1" t="s">
        <v>14</v>
      </c>
      <c r="C1891" s="1" t="s">
        <v>1407</v>
      </c>
      <c r="D1891" s="1">
        <v>3.0</v>
      </c>
      <c r="E1891" s="1">
        <v>63.0</v>
      </c>
      <c r="F1891" s="1">
        <v>8.0</v>
      </c>
      <c r="G1891" s="1">
        <v>9.0</v>
      </c>
      <c r="H1891" s="1">
        <v>602.0</v>
      </c>
      <c r="I1891" s="1" t="s">
        <v>21</v>
      </c>
      <c r="J1891" s="1" t="s">
        <v>18</v>
      </c>
      <c r="K1891" s="1">
        <v>72000.0</v>
      </c>
      <c r="L1891" s="1">
        <v>56.9636591</v>
      </c>
      <c r="M1891" s="1">
        <v>24.1879779982164</v>
      </c>
    </row>
    <row r="1892">
      <c r="A1892" s="1" t="s">
        <v>22</v>
      </c>
      <c r="B1892" s="1" t="s">
        <v>30</v>
      </c>
      <c r="C1892" s="1" t="s">
        <v>765</v>
      </c>
      <c r="D1892" s="1">
        <v>3.0</v>
      </c>
      <c r="E1892" s="1">
        <v>65.0</v>
      </c>
      <c r="F1892" s="1">
        <v>4.0</v>
      </c>
      <c r="G1892" s="1">
        <v>5.0</v>
      </c>
      <c r="H1892" s="1" t="s">
        <v>32</v>
      </c>
      <c r="I1892" s="1" t="s">
        <v>17</v>
      </c>
      <c r="J1892" s="1" t="s">
        <v>18</v>
      </c>
      <c r="K1892" s="1">
        <v>84000.0</v>
      </c>
      <c r="L1892" s="1">
        <v>56.9670442</v>
      </c>
      <c r="M1892" s="1">
        <v>24.1820249</v>
      </c>
    </row>
    <row r="1893">
      <c r="A1893" s="1" t="s">
        <v>13</v>
      </c>
      <c r="B1893" s="1" t="s">
        <v>104</v>
      </c>
      <c r="C1893" s="1" t="s">
        <v>1408</v>
      </c>
      <c r="D1893" s="1">
        <v>2.0</v>
      </c>
      <c r="E1893" s="1">
        <v>44.0</v>
      </c>
      <c r="F1893" s="1">
        <v>4.0</v>
      </c>
      <c r="G1893" s="1">
        <v>4.0</v>
      </c>
      <c r="H1893" s="1" t="s">
        <v>44</v>
      </c>
      <c r="I1893" s="1" t="s">
        <v>37</v>
      </c>
      <c r="J1893" s="1" t="s">
        <v>18</v>
      </c>
      <c r="K1893" s="1">
        <v>320.0</v>
      </c>
      <c r="L1893" s="1">
        <v>56.930137</v>
      </c>
      <c r="M1893" s="1">
        <v>24.0699254</v>
      </c>
    </row>
    <row r="1894">
      <c r="A1894" s="1" t="s">
        <v>131</v>
      </c>
      <c r="B1894" s="1" t="s">
        <v>28</v>
      </c>
      <c r="C1894" s="2"/>
      <c r="D1894" s="1" t="s">
        <v>90</v>
      </c>
      <c r="E1894" s="2"/>
      <c r="F1894" s="2"/>
      <c r="G1894" s="2"/>
      <c r="H1894" s="2"/>
      <c r="I1894" s="2"/>
      <c r="J1894" s="2"/>
      <c r="K1894" s="2"/>
      <c r="L1894" s="1">
        <v>46.3144754</v>
      </c>
      <c r="M1894" s="1">
        <v>11.0480288</v>
      </c>
    </row>
    <row r="1895">
      <c r="A1895" s="1" t="s">
        <v>131</v>
      </c>
      <c r="B1895" s="1" t="s">
        <v>48</v>
      </c>
      <c r="C1895" s="2"/>
      <c r="D1895" s="1" t="s">
        <v>90</v>
      </c>
      <c r="E1895" s="2"/>
      <c r="F1895" s="2"/>
      <c r="G1895" s="2"/>
      <c r="H1895" s="2"/>
      <c r="I1895" s="2"/>
      <c r="J1895" s="2"/>
      <c r="K1895" s="2"/>
      <c r="L1895" s="1">
        <v>46.3144754</v>
      </c>
      <c r="M1895" s="1">
        <v>11.0480288</v>
      </c>
    </row>
    <row r="1896">
      <c r="A1896" s="1" t="s">
        <v>22</v>
      </c>
      <c r="B1896" s="1" t="s">
        <v>23</v>
      </c>
      <c r="C1896" s="1" t="s">
        <v>1321</v>
      </c>
      <c r="D1896" s="1">
        <v>1.0</v>
      </c>
      <c r="E1896" s="1">
        <v>30.0</v>
      </c>
      <c r="F1896" s="1">
        <v>2.0</v>
      </c>
      <c r="G1896" s="1">
        <v>5.0</v>
      </c>
      <c r="H1896" s="1" t="s">
        <v>66</v>
      </c>
      <c r="I1896" s="1" t="s">
        <v>33</v>
      </c>
      <c r="J1896" s="1" t="s">
        <v>18</v>
      </c>
      <c r="K1896" s="1">
        <v>68540.0</v>
      </c>
      <c r="L1896" s="1">
        <v>56.95092625</v>
      </c>
      <c r="M1896" s="1">
        <v>24.1279151350786</v>
      </c>
    </row>
    <row r="1897">
      <c r="A1897" s="1" t="s">
        <v>22</v>
      </c>
      <c r="B1897" s="1" t="s">
        <v>129</v>
      </c>
      <c r="C1897" s="1" t="s">
        <v>1409</v>
      </c>
      <c r="D1897" s="1">
        <v>2.0</v>
      </c>
      <c r="E1897" s="1">
        <v>54.0</v>
      </c>
      <c r="F1897" s="1">
        <v>3.0</v>
      </c>
      <c r="G1897" s="1">
        <v>5.0</v>
      </c>
      <c r="H1897" s="1">
        <v>103.0</v>
      </c>
      <c r="I1897" s="1" t="s">
        <v>17</v>
      </c>
      <c r="J1897" s="1" t="s">
        <v>18</v>
      </c>
      <c r="K1897" s="1">
        <v>45000.0</v>
      </c>
      <c r="L1897" s="1" t="s">
        <v>40</v>
      </c>
      <c r="M1897" s="1" t="s">
        <v>40</v>
      </c>
    </row>
    <row r="1898">
      <c r="A1898" s="1" t="s">
        <v>13</v>
      </c>
      <c r="B1898" s="1" t="s">
        <v>447</v>
      </c>
      <c r="C1898" s="1" t="s">
        <v>208</v>
      </c>
      <c r="D1898" s="1">
        <v>2.0</v>
      </c>
      <c r="E1898" s="1">
        <v>52.0</v>
      </c>
      <c r="F1898" s="1">
        <v>2.0</v>
      </c>
      <c r="G1898" s="1">
        <v>4.0</v>
      </c>
      <c r="H1898" s="1" t="s">
        <v>66</v>
      </c>
      <c r="I1898" s="1" t="s">
        <v>17</v>
      </c>
      <c r="J1898" s="1" t="s">
        <v>18</v>
      </c>
      <c r="K1898" s="1">
        <v>700.0</v>
      </c>
      <c r="L1898" s="1">
        <v>56.93693955</v>
      </c>
      <c r="M1898" s="1">
        <v>24.1019323631236</v>
      </c>
    </row>
    <row r="1899">
      <c r="A1899" s="1" t="s">
        <v>22</v>
      </c>
      <c r="B1899" s="1" t="s">
        <v>23</v>
      </c>
      <c r="C1899" s="1" t="s">
        <v>1410</v>
      </c>
      <c r="D1899" s="1">
        <v>6.0</v>
      </c>
      <c r="E1899" s="1">
        <v>225.0</v>
      </c>
      <c r="F1899" s="1">
        <v>4.0</v>
      </c>
      <c r="G1899" s="1">
        <v>5.0</v>
      </c>
      <c r="H1899" s="1" t="s">
        <v>32</v>
      </c>
      <c r="I1899" s="1" t="s">
        <v>33</v>
      </c>
      <c r="J1899" s="1" t="s">
        <v>18</v>
      </c>
      <c r="K1899" s="1">
        <v>331000.0</v>
      </c>
      <c r="L1899" s="1">
        <v>56.9612489999999</v>
      </c>
      <c r="M1899" s="1">
        <v>24.1088532817344</v>
      </c>
    </row>
    <row r="1900">
      <c r="A1900" s="1" t="s">
        <v>22</v>
      </c>
      <c r="B1900" s="1" t="s">
        <v>422</v>
      </c>
      <c r="C1900" s="1" t="s">
        <v>1411</v>
      </c>
      <c r="D1900" s="1">
        <v>2.0</v>
      </c>
      <c r="E1900" s="1">
        <v>45.0</v>
      </c>
      <c r="F1900" s="1">
        <v>2.0</v>
      </c>
      <c r="G1900" s="1">
        <v>2.0</v>
      </c>
      <c r="H1900" s="1" t="s">
        <v>25</v>
      </c>
      <c r="I1900" s="1" t="s">
        <v>26</v>
      </c>
      <c r="J1900" s="1" t="s">
        <v>27</v>
      </c>
      <c r="K1900" s="1">
        <v>27000.0</v>
      </c>
      <c r="L1900" s="1">
        <v>56.9365633</v>
      </c>
      <c r="M1900" s="1">
        <v>24.0351488499999</v>
      </c>
    </row>
    <row r="1901">
      <c r="A1901" s="1" t="s">
        <v>22</v>
      </c>
      <c r="B1901" s="1" t="s">
        <v>23</v>
      </c>
      <c r="C1901" s="1" t="s">
        <v>1412</v>
      </c>
      <c r="D1901" s="1">
        <v>1.0</v>
      </c>
      <c r="E1901" s="1">
        <v>32.0</v>
      </c>
      <c r="F1901" s="1">
        <v>6.0</v>
      </c>
      <c r="G1901" s="1">
        <v>6.0</v>
      </c>
      <c r="H1901" s="1" t="s">
        <v>25</v>
      </c>
      <c r="I1901" s="1" t="s">
        <v>33</v>
      </c>
      <c r="J1901" s="1" t="s">
        <v>18</v>
      </c>
      <c r="K1901" s="1">
        <v>39800.0</v>
      </c>
      <c r="L1901" s="1">
        <v>56.9471865</v>
      </c>
      <c r="M1901" s="1">
        <v>24.1411337</v>
      </c>
    </row>
    <row r="1902">
      <c r="A1902" s="1" t="s">
        <v>13</v>
      </c>
      <c r="B1902" s="1" t="s">
        <v>38</v>
      </c>
      <c r="C1902" s="1" t="s">
        <v>1413</v>
      </c>
      <c r="D1902" s="1">
        <v>2.0</v>
      </c>
      <c r="E1902" s="1">
        <v>63.0</v>
      </c>
      <c r="F1902" s="1">
        <v>2.0</v>
      </c>
      <c r="G1902" s="1">
        <v>4.0</v>
      </c>
      <c r="H1902" s="1" t="s">
        <v>32</v>
      </c>
      <c r="I1902" s="1" t="s">
        <v>21</v>
      </c>
      <c r="J1902" s="1" t="s">
        <v>18</v>
      </c>
      <c r="K1902" s="1">
        <v>525.0</v>
      </c>
      <c r="L1902" s="1">
        <v>56.9613667499999</v>
      </c>
      <c r="M1902" s="1">
        <v>24.0399823728069</v>
      </c>
    </row>
    <row r="1903">
      <c r="A1903" s="1" t="s">
        <v>22</v>
      </c>
      <c r="B1903" s="1" t="s">
        <v>28</v>
      </c>
      <c r="C1903" s="1" t="s">
        <v>1414</v>
      </c>
      <c r="D1903" s="1">
        <v>3.0</v>
      </c>
      <c r="E1903" s="1">
        <v>54.0</v>
      </c>
      <c r="F1903" s="1">
        <v>4.0</v>
      </c>
      <c r="G1903" s="1">
        <v>5.0</v>
      </c>
      <c r="H1903" s="1" t="s">
        <v>16</v>
      </c>
      <c r="I1903" s="1" t="s">
        <v>21</v>
      </c>
      <c r="J1903" s="1" t="s">
        <v>18</v>
      </c>
      <c r="K1903" s="1">
        <v>41500.0</v>
      </c>
      <c r="L1903" s="1">
        <v>56.9107942</v>
      </c>
      <c r="M1903" s="1">
        <v>24.1853041586263</v>
      </c>
    </row>
    <row r="1904">
      <c r="A1904" s="1" t="s">
        <v>22</v>
      </c>
      <c r="B1904" s="1" t="s">
        <v>60</v>
      </c>
      <c r="C1904" s="1" t="s">
        <v>217</v>
      </c>
      <c r="D1904" s="1">
        <v>3.0</v>
      </c>
      <c r="E1904" s="1">
        <v>62.0</v>
      </c>
      <c r="F1904" s="1">
        <v>8.0</v>
      </c>
      <c r="G1904" s="1">
        <v>9.0</v>
      </c>
      <c r="H1904" s="1">
        <v>602.0</v>
      </c>
      <c r="I1904" s="1" t="s">
        <v>21</v>
      </c>
      <c r="J1904" s="1" t="s">
        <v>18</v>
      </c>
      <c r="K1904" s="1">
        <v>52900.0</v>
      </c>
      <c r="L1904" s="1">
        <v>57.0333528</v>
      </c>
      <c r="M1904" s="1">
        <v>24.0553772495031</v>
      </c>
    </row>
    <row r="1905">
      <c r="A1905" s="1" t="s">
        <v>22</v>
      </c>
      <c r="B1905" s="1" t="s">
        <v>23</v>
      </c>
      <c r="C1905" s="1" t="s">
        <v>1415</v>
      </c>
      <c r="D1905" s="1">
        <v>1.0</v>
      </c>
      <c r="E1905" s="1">
        <v>40.0</v>
      </c>
      <c r="F1905" s="1">
        <v>4.0</v>
      </c>
      <c r="G1905" s="1">
        <v>5.0</v>
      </c>
      <c r="H1905" s="1" t="s">
        <v>66</v>
      </c>
      <c r="I1905" s="1" t="s">
        <v>33</v>
      </c>
      <c r="J1905" s="1" t="s">
        <v>18</v>
      </c>
      <c r="K1905" s="1">
        <v>99000.0</v>
      </c>
      <c r="L1905" s="1">
        <v>56.9515994</v>
      </c>
      <c r="M1905" s="1">
        <v>24.1159776</v>
      </c>
    </row>
    <row r="1906">
      <c r="A1906" s="1" t="s">
        <v>22</v>
      </c>
      <c r="B1906" s="1" t="s">
        <v>23</v>
      </c>
      <c r="C1906" s="1" t="s">
        <v>1416</v>
      </c>
      <c r="D1906" s="1">
        <v>2.0</v>
      </c>
      <c r="E1906" s="1">
        <v>45.0</v>
      </c>
      <c r="F1906" s="1">
        <v>4.0</v>
      </c>
      <c r="G1906" s="1">
        <v>5.0</v>
      </c>
      <c r="H1906" s="1" t="s">
        <v>25</v>
      </c>
      <c r="I1906" s="1" t="s">
        <v>33</v>
      </c>
      <c r="J1906" s="1" t="s">
        <v>18</v>
      </c>
      <c r="K1906" s="1">
        <v>101000.0</v>
      </c>
      <c r="L1906" s="1">
        <v>56.9665763</v>
      </c>
      <c r="M1906" s="1">
        <v>24.1337504</v>
      </c>
    </row>
    <row r="1907">
      <c r="A1907" s="1" t="s">
        <v>13</v>
      </c>
      <c r="B1907" s="1" t="s">
        <v>23</v>
      </c>
      <c r="C1907" s="1" t="s">
        <v>1417</v>
      </c>
      <c r="D1907" s="1">
        <v>3.0</v>
      </c>
      <c r="E1907" s="1">
        <v>80.0</v>
      </c>
      <c r="F1907" s="1">
        <v>7.0</v>
      </c>
      <c r="G1907" s="1">
        <v>7.0</v>
      </c>
      <c r="H1907" s="1" t="s">
        <v>66</v>
      </c>
      <c r="I1907" s="1" t="s">
        <v>33</v>
      </c>
      <c r="J1907" s="1" t="s">
        <v>18</v>
      </c>
      <c r="K1907" s="1">
        <v>850.0</v>
      </c>
      <c r="L1907" s="1">
        <v>56.9546563</v>
      </c>
      <c r="M1907" s="1">
        <v>24.1272827</v>
      </c>
    </row>
    <row r="1908">
      <c r="A1908" s="1" t="s">
        <v>22</v>
      </c>
      <c r="B1908" s="1" t="s">
        <v>74</v>
      </c>
      <c r="C1908" s="1" t="s">
        <v>1418</v>
      </c>
      <c r="D1908" s="1">
        <v>3.0</v>
      </c>
      <c r="E1908" s="1">
        <v>63.0</v>
      </c>
      <c r="F1908" s="1">
        <v>8.0</v>
      </c>
      <c r="G1908" s="1">
        <v>9.0</v>
      </c>
      <c r="H1908" s="1">
        <v>602.0</v>
      </c>
      <c r="I1908" s="1" t="s">
        <v>21</v>
      </c>
      <c r="J1908" s="1" t="s">
        <v>18</v>
      </c>
      <c r="K1908" s="1">
        <v>68000.0</v>
      </c>
      <c r="L1908" s="1">
        <v>56.92934845</v>
      </c>
      <c r="M1908" s="1">
        <v>24.1769740456498</v>
      </c>
    </row>
    <row r="1909">
      <c r="A1909" s="1" t="s">
        <v>22</v>
      </c>
      <c r="B1909" s="1" t="s">
        <v>45</v>
      </c>
      <c r="C1909" s="1" t="s">
        <v>237</v>
      </c>
      <c r="D1909" s="1">
        <v>2.0</v>
      </c>
      <c r="E1909" s="1">
        <v>49.0</v>
      </c>
      <c r="F1909" s="1">
        <v>2.0</v>
      </c>
      <c r="G1909" s="1">
        <v>9.0</v>
      </c>
      <c r="H1909" s="1">
        <v>467.0</v>
      </c>
      <c r="I1909" s="1" t="s">
        <v>21</v>
      </c>
      <c r="J1909" s="1" t="s">
        <v>18</v>
      </c>
      <c r="K1909" s="1">
        <v>43000.0</v>
      </c>
      <c r="L1909" s="1" t="s">
        <v>40</v>
      </c>
      <c r="M1909" s="1" t="s">
        <v>40</v>
      </c>
    </row>
    <row r="1910">
      <c r="A1910" s="1" t="s">
        <v>22</v>
      </c>
      <c r="B1910" s="1" t="s">
        <v>99</v>
      </c>
      <c r="C1910" s="1" t="s">
        <v>1419</v>
      </c>
      <c r="D1910" s="1">
        <v>3.0</v>
      </c>
      <c r="E1910" s="1">
        <v>82.0</v>
      </c>
      <c r="F1910" s="1">
        <v>1.0</v>
      </c>
      <c r="G1910" s="1">
        <v>5.0</v>
      </c>
      <c r="H1910" s="1" t="s">
        <v>25</v>
      </c>
      <c r="I1910" s="1" t="s">
        <v>33</v>
      </c>
      <c r="J1910" s="1" t="s">
        <v>18</v>
      </c>
      <c r="K1910" s="1">
        <v>91000.0</v>
      </c>
      <c r="L1910" s="1">
        <v>56.9422907</v>
      </c>
      <c r="M1910" s="1">
        <v>24.0941256210549</v>
      </c>
    </row>
    <row r="1911">
      <c r="A1911" s="1" t="s">
        <v>22</v>
      </c>
      <c r="B1911" s="1" t="s">
        <v>23</v>
      </c>
      <c r="C1911" s="1" t="s">
        <v>1382</v>
      </c>
      <c r="D1911" s="1">
        <v>2.0</v>
      </c>
      <c r="E1911" s="1">
        <v>50.0</v>
      </c>
      <c r="F1911" s="1">
        <v>2.0</v>
      </c>
      <c r="G1911" s="1">
        <v>4.0</v>
      </c>
      <c r="H1911" s="1" t="s">
        <v>66</v>
      </c>
      <c r="I1911" s="1" t="s">
        <v>33</v>
      </c>
      <c r="J1911" s="1" t="s">
        <v>18</v>
      </c>
      <c r="K1911" s="1">
        <v>100000.0</v>
      </c>
      <c r="L1911" s="1">
        <v>56.968951</v>
      </c>
      <c r="M1911" s="1">
        <v>24.1448842676771</v>
      </c>
    </row>
    <row r="1912">
      <c r="A1912" s="1" t="s">
        <v>13</v>
      </c>
      <c r="B1912" s="1" t="s">
        <v>23</v>
      </c>
      <c r="C1912" s="1" t="s">
        <v>1012</v>
      </c>
      <c r="D1912" s="1">
        <v>1.0</v>
      </c>
      <c r="E1912" s="1">
        <v>20.0</v>
      </c>
      <c r="F1912" s="1">
        <v>5.0</v>
      </c>
      <c r="G1912" s="1">
        <v>5.0</v>
      </c>
      <c r="H1912" s="1" t="s">
        <v>25</v>
      </c>
      <c r="I1912" s="1" t="s">
        <v>37</v>
      </c>
      <c r="J1912" s="1" t="s">
        <v>18</v>
      </c>
      <c r="K1912" s="1">
        <v>220.0</v>
      </c>
      <c r="L1912" s="1">
        <v>56.95035715</v>
      </c>
      <c r="M1912" s="1">
        <v>24.1357606589646</v>
      </c>
    </row>
    <row r="1913">
      <c r="A1913" s="1" t="s">
        <v>22</v>
      </c>
      <c r="B1913" s="1" t="s">
        <v>117</v>
      </c>
      <c r="C1913" s="1" t="s">
        <v>1056</v>
      </c>
      <c r="D1913" s="1">
        <v>2.0</v>
      </c>
      <c r="E1913" s="1">
        <v>51.0</v>
      </c>
      <c r="F1913" s="1">
        <v>2.0</v>
      </c>
      <c r="G1913" s="1">
        <v>6.0</v>
      </c>
      <c r="H1913" s="1" t="s">
        <v>32</v>
      </c>
      <c r="I1913" s="1" t="s">
        <v>33</v>
      </c>
      <c r="J1913" s="1" t="s">
        <v>18</v>
      </c>
      <c r="K1913" s="1">
        <v>88500.0</v>
      </c>
      <c r="L1913" s="1">
        <v>56.9888255</v>
      </c>
      <c r="M1913" s="1">
        <v>24.1691659584023</v>
      </c>
    </row>
    <row r="1914">
      <c r="A1914" s="1" t="s">
        <v>22</v>
      </c>
      <c r="B1914" s="1" t="s">
        <v>117</v>
      </c>
      <c r="C1914" s="1" t="s">
        <v>1056</v>
      </c>
      <c r="D1914" s="1">
        <v>2.0</v>
      </c>
      <c r="E1914" s="1">
        <v>35.0</v>
      </c>
      <c r="F1914" s="1">
        <v>3.0</v>
      </c>
      <c r="G1914" s="1">
        <v>7.0</v>
      </c>
      <c r="H1914" s="1" t="s">
        <v>32</v>
      </c>
      <c r="I1914" s="1" t="s">
        <v>17</v>
      </c>
      <c r="J1914" s="1" t="s">
        <v>18</v>
      </c>
      <c r="K1914" s="1">
        <v>64000.0</v>
      </c>
      <c r="L1914" s="1">
        <v>56.9888255</v>
      </c>
      <c r="M1914" s="1">
        <v>24.1691659584023</v>
      </c>
    </row>
    <row r="1915">
      <c r="A1915" s="1" t="s">
        <v>22</v>
      </c>
      <c r="B1915" s="1" t="s">
        <v>117</v>
      </c>
      <c r="C1915" s="1" t="s">
        <v>1056</v>
      </c>
      <c r="D1915" s="1">
        <v>3.0</v>
      </c>
      <c r="E1915" s="1">
        <v>65.0</v>
      </c>
      <c r="F1915" s="1">
        <v>3.0</v>
      </c>
      <c r="G1915" s="1">
        <v>9.0</v>
      </c>
      <c r="H1915" s="1" t="s">
        <v>32</v>
      </c>
      <c r="I1915" s="1" t="s">
        <v>33</v>
      </c>
      <c r="J1915" s="1" t="s">
        <v>18</v>
      </c>
      <c r="K1915" s="1">
        <v>118000.0</v>
      </c>
      <c r="L1915" s="1">
        <v>56.9888255</v>
      </c>
      <c r="M1915" s="1">
        <v>24.1691659584023</v>
      </c>
    </row>
    <row r="1916">
      <c r="A1916" s="1" t="s">
        <v>22</v>
      </c>
      <c r="B1916" s="1" t="s">
        <v>30</v>
      </c>
      <c r="C1916" s="1" t="s">
        <v>1227</v>
      </c>
      <c r="D1916" s="1">
        <v>3.0</v>
      </c>
      <c r="E1916" s="1">
        <v>74.0</v>
      </c>
      <c r="F1916" s="1">
        <v>2.0</v>
      </c>
      <c r="G1916" s="1">
        <v>10.0</v>
      </c>
      <c r="H1916" s="1" t="s">
        <v>32</v>
      </c>
      <c r="I1916" s="1" t="s">
        <v>33</v>
      </c>
      <c r="J1916" s="1" t="s">
        <v>18</v>
      </c>
      <c r="K1916" s="1">
        <v>121000.0</v>
      </c>
      <c r="L1916" s="1">
        <v>56.9767303</v>
      </c>
      <c r="M1916" s="1">
        <v>24.1676579996058</v>
      </c>
    </row>
    <row r="1917">
      <c r="A1917" s="1" t="s">
        <v>13</v>
      </c>
      <c r="B1917" s="1" t="s">
        <v>23</v>
      </c>
      <c r="C1917" s="1" t="s">
        <v>1420</v>
      </c>
      <c r="D1917" s="1">
        <v>2.0</v>
      </c>
      <c r="E1917" s="1">
        <v>27.0</v>
      </c>
      <c r="F1917" s="1">
        <v>3.0</v>
      </c>
      <c r="G1917" s="1">
        <v>3.0</v>
      </c>
      <c r="H1917" s="1" t="s">
        <v>25</v>
      </c>
      <c r="I1917" s="1" t="s">
        <v>33</v>
      </c>
      <c r="J1917" s="1" t="s">
        <v>18</v>
      </c>
      <c r="K1917" s="1">
        <v>300.0</v>
      </c>
      <c r="L1917" s="1">
        <v>56.9507526</v>
      </c>
      <c r="M1917" s="1">
        <v>24.1287223738352</v>
      </c>
    </row>
    <row r="1918">
      <c r="A1918" s="1" t="s">
        <v>13</v>
      </c>
      <c r="B1918" s="1" t="s">
        <v>23</v>
      </c>
      <c r="C1918" s="1" t="s">
        <v>91</v>
      </c>
      <c r="D1918" s="1">
        <v>3.0</v>
      </c>
      <c r="E1918" s="1">
        <v>202.0</v>
      </c>
      <c r="F1918" s="1">
        <v>6.0</v>
      </c>
      <c r="G1918" s="1">
        <v>6.0</v>
      </c>
      <c r="H1918" s="1" t="s">
        <v>32</v>
      </c>
      <c r="I1918" s="1" t="s">
        <v>21</v>
      </c>
      <c r="J1918" s="1" t="s">
        <v>18</v>
      </c>
      <c r="K1918" s="1">
        <v>2500.0</v>
      </c>
      <c r="L1918" s="1">
        <v>56.9552522</v>
      </c>
      <c r="M1918" s="1">
        <v>24.0999991251943</v>
      </c>
    </row>
    <row r="1919">
      <c r="A1919" s="1" t="s">
        <v>13</v>
      </c>
      <c r="B1919" s="1" t="s">
        <v>23</v>
      </c>
      <c r="C1919" s="1" t="s">
        <v>1421</v>
      </c>
      <c r="D1919" s="1">
        <v>2.0</v>
      </c>
      <c r="E1919" s="1">
        <v>78.0</v>
      </c>
      <c r="F1919" s="1">
        <v>4.0</v>
      </c>
      <c r="G1919" s="1">
        <v>4.0</v>
      </c>
      <c r="H1919" s="1" t="s">
        <v>66</v>
      </c>
      <c r="I1919" s="1" t="s">
        <v>33</v>
      </c>
      <c r="J1919" s="1" t="s">
        <v>18</v>
      </c>
      <c r="K1919" s="1">
        <v>850.0</v>
      </c>
      <c r="L1919" s="1">
        <v>56.9581178</v>
      </c>
      <c r="M1919" s="1">
        <v>24.1311146</v>
      </c>
    </row>
    <row r="1920">
      <c r="A1920" s="1" t="s">
        <v>22</v>
      </c>
      <c r="B1920" s="1" t="s">
        <v>23</v>
      </c>
      <c r="C1920" s="1" t="s">
        <v>1422</v>
      </c>
      <c r="D1920" s="1">
        <v>5.0</v>
      </c>
      <c r="E1920" s="1">
        <v>140.0</v>
      </c>
      <c r="F1920" s="1">
        <v>6.0</v>
      </c>
      <c r="G1920" s="1">
        <v>6.0</v>
      </c>
      <c r="H1920" s="1" t="s">
        <v>66</v>
      </c>
      <c r="I1920" s="1" t="s">
        <v>33</v>
      </c>
      <c r="J1920" s="1" t="s">
        <v>18</v>
      </c>
      <c r="K1920" s="1">
        <v>240000.0</v>
      </c>
      <c r="L1920" s="1">
        <v>56.9552195</v>
      </c>
      <c r="M1920" s="1">
        <v>24.1262819</v>
      </c>
    </row>
    <row r="1921">
      <c r="A1921" s="1" t="s">
        <v>22</v>
      </c>
      <c r="B1921" s="1" t="s">
        <v>106</v>
      </c>
      <c r="C1921" s="1" t="s">
        <v>1145</v>
      </c>
      <c r="D1921" s="1">
        <v>3.0</v>
      </c>
      <c r="E1921" s="1">
        <v>54.0</v>
      </c>
      <c r="F1921" s="1">
        <v>1.0</v>
      </c>
      <c r="G1921" s="1">
        <v>1.0</v>
      </c>
      <c r="H1921" s="1" t="s">
        <v>25</v>
      </c>
      <c r="I1921" s="1" t="s">
        <v>26</v>
      </c>
      <c r="J1921" s="1" t="s">
        <v>18</v>
      </c>
      <c r="K1921" s="1">
        <v>33800.0</v>
      </c>
      <c r="L1921" s="1">
        <v>56.94158095</v>
      </c>
      <c r="M1921" s="1">
        <v>24.0539487289344</v>
      </c>
    </row>
    <row r="1922">
      <c r="A1922" s="1" t="s">
        <v>22</v>
      </c>
      <c r="B1922" s="1" t="s">
        <v>14</v>
      </c>
      <c r="C1922" s="1" t="s">
        <v>1423</v>
      </c>
      <c r="D1922" s="1">
        <v>3.0</v>
      </c>
      <c r="E1922" s="1">
        <v>88.0</v>
      </c>
      <c r="F1922" s="1">
        <v>1.0</v>
      </c>
      <c r="G1922" s="1">
        <v>7.0</v>
      </c>
      <c r="H1922" s="1" t="s">
        <v>32</v>
      </c>
      <c r="I1922" s="1" t="s">
        <v>122</v>
      </c>
      <c r="J1922" s="1" t="s">
        <v>18</v>
      </c>
      <c r="K1922" s="1">
        <v>125000.0</v>
      </c>
      <c r="L1922" s="1">
        <v>56.9622136</v>
      </c>
      <c r="M1922" s="1">
        <v>24.1761063</v>
      </c>
    </row>
    <row r="1923">
      <c r="A1923" s="1" t="s">
        <v>131</v>
      </c>
      <c r="B1923" s="1" t="s">
        <v>14</v>
      </c>
      <c r="C1923" s="2"/>
      <c r="D1923" s="1">
        <v>1.0</v>
      </c>
      <c r="E1923" s="2"/>
      <c r="F1923" s="2"/>
      <c r="G1923" s="2"/>
      <c r="H1923" s="2"/>
      <c r="I1923" s="2"/>
      <c r="J1923" s="1" t="s">
        <v>18</v>
      </c>
      <c r="K1923" s="2"/>
      <c r="L1923" s="1">
        <v>46.3144754</v>
      </c>
      <c r="M1923" s="1">
        <v>11.0480288</v>
      </c>
    </row>
    <row r="1924">
      <c r="A1924" s="1" t="s">
        <v>13</v>
      </c>
      <c r="B1924" s="1" t="s">
        <v>422</v>
      </c>
      <c r="C1924" s="1" t="s">
        <v>363</v>
      </c>
      <c r="D1924" s="1">
        <v>2.0</v>
      </c>
      <c r="E1924" s="1">
        <v>68.2</v>
      </c>
      <c r="F1924" s="1">
        <v>8.0</v>
      </c>
      <c r="G1924" s="1">
        <v>29.0</v>
      </c>
      <c r="H1924" s="1" t="s">
        <v>32</v>
      </c>
      <c r="I1924" s="1" t="s">
        <v>122</v>
      </c>
      <c r="J1924" s="1" t="s">
        <v>18</v>
      </c>
      <c r="K1924" s="1">
        <v>550.0</v>
      </c>
      <c r="L1924" s="1">
        <v>56.9334996</v>
      </c>
      <c r="M1924" s="1">
        <v>24.0424848</v>
      </c>
    </row>
    <row r="1925">
      <c r="A1925" s="1" t="s">
        <v>22</v>
      </c>
      <c r="B1925" s="1" t="s">
        <v>14</v>
      </c>
      <c r="C1925" s="1" t="s">
        <v>1424</v>
      </c>
      <c r="D1925" s="1">
        <v>1.0</v>
      </c>
      <c r="E1925" s="1">
        <v>27.0</v>
      </c>
      <c r="F1925" s="1">
        <v>2.0</v>
      </c>
      <c r="G1925" s="1">
        <v>3.0</v>
      </c>
      <c r="H1925" s="1" t="s">
        <v>25</v>
      </c>
      <c r="I1925" s="1" t="s">
        <v>33</v>
      </c>
      <c r="J1925" s="1" t="s">
        <v>18</v>
      </c>
      <c r="K1925" s="1">
        <v>35000.0</v>
      </c>
      <c r="L1925" s="1">
        <v>56.96644725</v>
      </c>
      <c r="M1925" s="1">
        <v>24.1746531057735</v>
      </c>
    </row>
    <row r="1926">
      <c r="A1926" s="1" t="s">
        <v>13</v>
      </c>
      <c r="B1926" s="1" t="s">
        <v>23</v>
      </c>
      <c r="C1926" s="1" t="s">
        <v>1019</v>
      </c>
      <c r="D1926" s="1">
        <v>2.0</v>
      </c>
      <c r="E1926" s="1">
        <v>95.0</v>
      </c>
      <c r="F1926" s="1">
        <v>3.0</v>
      </c>
      <c r="G1926" s="1">
        <v>3.0</v>
      </c>
      <c r="H1926" s="1" t="s">
        <v>66</v>
      </c>
      <c r="I1926" s="1" t="s">
        <v>37</v>
      </c>
      <c r="J1926" s="1" t="s">
        <v>18</v>
      </c>
      <c r="K1926" s="1">
        <v>850.0</v>
      </c>
      <c r="L1926" s="1">
        <v>56.9468471</v>
      </c>
      <c r="M1926" s="1">
        <v>24.133767</v>
      </c>
    </row>
    <row r="1927">
      <c r="A1927" s="1" t="s">
        <v>22</v>
      </c>
      <c r="B1927" s="1" t="s">
        <v>104</v>
      </c>
      <c r="C1927" s="1" t="s">
        <v>1425</v>
      </c>
      <c r="D1927" s="1">
        <v>4.0</v>
      </c>
      <c r="E1927" s="1">
        <v>138.0</v>
      </c>
      <c r="F1927" s="1">
        <v>1.0</v>
      </c>
      <c r="G1927" s="1">
        <v>3.0</v>
      </c>
      <c r="H1927" s="1" t="s">
        <v>66</v>
      </c>
      <c r="I1927" s="1" t="s">
        <v>33</v>
      </c>
      <c r="J1927" s="1" t="s">
        <v>18</v>
      </c>
      <c r="K1927" s="1">
        <v>215000.0</v>
      </c>
      <c r="L1927" s="1">
        <v>56.9420932999999</v>
      </c>
      <c r="M1927" s="1">
        <v>24.0569528423463</v>
      </c>
    </row>
    <row r="1928">
      <c r="A1928" s="1" t="s">
        <v>13</v>
      </c>
      <c r="B1928" s="1" t="s">
        <v>28</v>
      </c>
      <c r="C1928" s="1" t="s">
        <v>642</v>
      </c>
      <c r="D1928" s="1">
        <v>1.0</v>
      </c>
      <c r="E1928" s="1">
        <v>32.0</v>
      </c>
      <c r="F1928" s="1">
        <v>3.0</v>
      </c>
      <c r="G1928" s="1">
        <v>5.0</v>
      </c>
      <c r="H1928" s="1" t="s">
        <v>16</v>
      </c>
      <c r="I1928" s="1" t="s">
        <v>21</v>
      </c>
      <c r="J1928" s="1" t="s">
        <v>18</v>
      </c>
      <c r="K1928" s="1">
        <v>35.0</v>
      </c>
      <c r="L1928" s="1">
        <v>56.9168339</v>
      </c>
      <c r="M1928" s="1">
        <v>24.17698295</v>
      </c>
    </row>
    <row r="1929">
      <c r="A1929" s="1" t="s">
        <v>13</v>
      </c>
      <c r="B1929" s="1" t="s">
        <v>23</v>
      </c>
      <c r="C1929" s="1" t="s">
        <v>723</v>
      </c>
      <c r="D1929" s="1">
        <v>1.0</v>
      </c>
      <c r="E1929" s="1">
        <v>30.0</v>
      </c>
      <c r="F1929" s="1">
        <v>6.0</v>
      </c>
      <c r="G1929" s="1">
        <v>6.0</v>
      </c>
      <c r="H1929" s="1" t="s">
        <v>25</v>
      </c>
      <c r="I1929" s="1" t="s">
        <v>33</v>
      </c>
      <c r="J1929" s="1" t="s">
        <v>18</v>
      </c>
      <c r="K1929" s="1">
        <v>30.0</v>
      </c>
      <c r="L1929" s="1" t="s">
        <v>40</v>
      </c>
      <c r="M1929" s="1" t="s">
        <v>40</v>
      </c>
    </row>
    <row r="1930">
      <c r="A1930" s="1" t="s">
        <v>13</v>
      </c>
      <c r="B1930" s="1" t="s">
        <v>23</v>
      </c>
      <c r="C1930" s="1" t="s">
        <v>1426</v>
      </c>
      <c r="D1930" s="1">
        <v>1.0</v>
      </c>
      <c r="E1930" s="1">
        <v>20.0</v>
      </c>
      <c r="F1930" s="1">
        <v>5.0</v>
      </c>
      <c r="G1930" s="1">
        <v>6.0</v>
      </c>
      <c r="H1930" s="1" t="s">
        <v>25</v>
      </c>
      <c r="I1930" s="1" t="s">
        <v>33</v>
      </c>
      <c r="J1930" s="1" t="s">
        <v>18</v>
      </c>
      <c r="K1930" s="1">
        <v>20.0</v>
      </c>
      <c r="L1930" s="1">
        <v>57.7727134</v>
      </c>
      <c r="M1930" s="1">
        <v>23.2390339976279</v>
      </c>
    </row>
    <row r="1931">
      <c r="A1931" s="1" t="s">
        <v>22</v>
      </c>
      <c r="B1931" s="1" t="s">
        <v>23</v>
      </c>
      <c r="C1931" s="1" t="s">
        <v>1427</v>
      </c>
      <c r="D1931" s="1">
        <v>3.0</v>
      </c>
      <c r="E1931" s="1">
        <v>74.0</v>
      </c>
      <c r="F1931" s="1">
        <v>3.0</v>
      </c>
      <c r="G1931" s="1">
        <v>5.0</v>
      </c>
      <c r="H1931" s="1" t="s">
        <v>25</v>
      </c>
      <c r="I1931" s="1" t="s">
        <v>33</v>
      </c>
      <c r="J1931" s="1" t="s">
        <v>18</v>
      </c>
      <c r="K1931" s="1">
        <v>165000.0</v>
      </c>
      <c r="L1931" s="1">
        <v>56.9594596</v>
      </c>
      <c r="M1931" s="1">
        <v>24.0997431</v>
      </c>
    </row>
    <row r="1932">
      <c r="A1932" s="1" t="s">
        <v>22</v>
      </c>
      <c r="B1932" s="1" t="s">
        <v>14</v>
      </c>
      <c r="C1932" s="1" t="s">
        <v>871</v>
      </c>
      <c r="D1932" s="1">
        <v>1.0</v>
      </c>
      <c r="E1932" s="1">
        <v>39.0</v>
      </c>
      <c r="F1932" s="1">
        <v>5.0</v>
      </c>
      <c r="G1932" s="1">
        <v>5.0</v>
      </c>
      <c r="H1932" s="1" t="s">
        <v>57</v>
      </c>
      <c r="I1932" s="1" t="s">
        <v>21</v>
      </c>
      <c r="J1932" s="1" t="s">
        <v>18</v>
      </c>
      <c r="K1932" s="1">
        <v>32000.0</v>
      </c>
      <c r="L1932" s="1">
        <v>56.9545273</v>
      </c>
      <c r="M1932" s="1">
        <v>24.1855791270517</v>
      </c>
    </row>
    <row r="1933">
      <c r="A1933" s="1" t="s">
        <v>22</v>
      </c>
      <c r="B1933" s="1" t="s">
        <v>23</v>
      </c>
      <c r="C1933" s="1" t="s">
        <v>872</v>
      </c>
      <c r="D1933" s="1">
        <v>4.0</v>
      </c>
      <c r="E1933" s="1">
        <v>128.0</v>
      </c>
      <c r="F1933" s="1">
        <v>2.0</v>
      </c>
      <c r="G1933" s="1">
        <v>7.0</v>
      </c>
      <c r="H1933" s="1" t="s">
        <v>32</v>
      </c>
      <c r="I1933" s="1" t="s">
        <v>33</v>
      </c>
      <c r="J1933" s="1" t="s">
        <v>18</v>
      </c>
      <c r="K1933" s="1">
        <v>228000.0</v>
      </c>
      <c r="L1933" s="1" t="s">
        <v>40</v>
      </c>
      <c r="M1933" s="1" t="s">
        <v>40</v>
      </c>
    </row>
    <row r="1934">
      <c r="A1934" s="1" t="s">
        <v>22</v>
      </c>
      <c r="B1934" s="1" t="s">
        <v>23</v>
      </c>
      <c r="C1934" s="1" t="s">
        <v>1371</v>
      </c>
      <c r="D1934" s="1">
        <v>3.0</v>
      </c>
      <c r="E1934" s="1">
        <v>69.0</v>
      </c>
      <c r="F1934" s="1">
        <v>3.0</v>
      </c>
      <c r="G1934" s="1">
        <v>10.0</v>
      </c>
      <c r="H1934" s="1" t="s">
        <v>32</v>
      </c>
      <c r="I1934" s="1" t="s">
        <v>33</v>
      </c>
      <c r="J1934" s="1" t="s">
        <v>18</v>
      </c>
      <c r="K1934" s="1">
        <v>120000.0</v>
      </c>
      <c r="L1934" s="1">
        <v>56.9739163</v>
      </c>
      <c r="M1934" s="1">
        <v>24.1679419959261</v>
      </c>
    </row>
    <row r="1935">
      <c r="A1935" s="1" t="s">
        <v>22</v>
      </c>
      <c r="B1935" s="1" t="s">
        <v>23</v>
      </c>
      <c r="C1935" s="1" t="s">
        <v>458</v>
      </c>
      <c r="D1935" s="1">
        <v>2.0</v>
      </c>
      <c r="E1935" s="1">
        <v>48.0</v>
      </c>
      <c r="F1935" s="1">
        <v>1.0</v>
      </c>
      <c r="G1935" s="1">
        <v>4.0</v>
      </c>
      <c r="H1935" s="1" t="s">
        <v>25</v>
      </c>
      <c r="I1935" s="1" t="s">
        <v>33</v>
      </c>
      <c r="J1935" s="1" t="s">
        <v>18</v>
      </c>
      <c r="K1935" s="1">
        <v>150000.0</v>
      </c>
      <c r="L1935" s="1">
        <v>56.94881585</v>
      </c>
      <c r="M1935" s="1">
        <v>24.1114738591085</v>
      </c>
    </row>
    <row r="1936">
      <c r="A1936" s="1" t="s">
        <v>22</v>
      </c>
      <c r="B1936" s="1" t="s">
        <v>23</v>
      </c>
      <c r="C1936" s="1" t="s">
        <v>1428</v>
      </c>
      <c r="D1936" s="1">
        <v>3.0</v>
      </c>
      <c r="E1936" s="1">
        <v>98.9</v>
      </c>
      <c r="F1936" s="1">
        <v>3.0</v>
      </c>
      <c r="G1936" s="1">
        <v>6.0</v>
      </c>
      <c r="H1936" s="1" t="s">
        <v>181</v>
      </c>
      <c r="I1936" s="1" t="s">
        <v>33</v>
      </c>
      <c r="J1936" s="1" t="s">
        <v>18</v>
      </c>
      <c r="K1936" s="1">
        <v>146000.0</v>
      </c>
      <c r="L1936" s="1">
        <v>56.956763</v>
      </c>
      <c r="M1936" s="1">
        <v>24.0954531</v>
      </c>
    </row>
    <row r="1937">
      <c r="A1937" s="1" t="s">
        <v>22</v>
      </c>
      <c r="B1937" s="1" t="s">
        <v>23</v>
      </c>
      <c r="C1937" s="1" t="s">
        <v>1427</v>
      </c>
      <c r="D1937" s="1">
        <v>3.0</v>
      </c>
      <c r="E1937" s="1">
        <v>78.0</v>
      </c>
      <c r="F1937" s="1">
        <v>3.0</v>
      </c>
      <c r="G1937" s="1">
        <v>5.0</v>
      </c>
      <c r="H1937" s="1" t="s">
        <v>66</v>
      </c>
      <c r="I1937" s="1" t="s">
        <v>37</v>
      </c>
      <c r="J1937" s="1" t="s">
        <v>18</v>
      </c>
      <c r="K1937" s="1">
        <v>184000.0</v>
      </c>
      <c r="L1937" s="1">
        <v>56.9594596</v>
      </c>
      <c r="M1937" s="1">
        <v>24.0997431</v>
      </c>
    </row>
    <row r="1938">
      <c r="A1938" s="1" t="s">
        <v>22</v>
      </c>
      <c r="B1938" s="1" t="s">
        <v>23</v>
      </c>
      <c r="C1938" s="1" t="s">
        <v>1429</v>
      </c>
      <c r="D1938" s="1">
        <v>3.0</v>
      </c>
      <c r="E1938" s="1">
        <v>62.0</v>
      </c>
      <c r="F1938" s="1">
        <v>2.0</v>
      </c>
      <c r="G1938" s="1">
        <v>3.0</v>
      </c>
      <c r="H1938" s="1" t="s">
        <v>66</v>
      </c>
      <c r="I1938" s="1" t="s">
        <v>33</v>
      </c>
      <c r="J1938" s="1" t="s">
        <v>18</v>
      </c>
      <c r="K1938" s="1">
        <v>91000.0</v>
      </c>
      <c r="L1938" s="1">
        <v>56.9415761</v>
      </c>
      <c r="M1938" s="1">
        <v>24.1264220706999</v>
      </c>
    </row>
    <row r="1939">
      <c r="A1939" s="1" t="s">
        <v>22</v>
      </c>
      <c r="B1939" s="1" t="s">
        <v>42</v>
      </c>
      <c r="C1939" s="1" t="s">
        <v>1430</v>
      </c>
      <c r="D1939" s="1">
        <v>2.0</v>
      </c>
      <c r="E1939" s="1">
        <v>48.0</v>
      </c>
      <c r="F1939" s="1">
        <v>6.0</v>
      </c>
      <c r="G1939" s="1">
        <v>9.0</v>
      </c>
      <c r="H1939" s="1" t="s">
        <v>221</v>
      </c>
      <c r="I1939" s="1" t="s">
        <v>17</v>
      </c>
      <c r="J1939" s="1" t="s">
        <v>18</v>
      </c>
      <c r="K1939" s="1">
        <v>44800.0</v>
      </c>
      <c r="L1939" s="1">
        <v>56.9879701</v>
      </c>
      <c r="M1939" s="1">
        <v>24.2345812982647</v>
      </c>
    </row>
    <row r="1940">
      <c r="A1940" s="1" t="s">
        <v>22</v>
      </c>
      <c r="B1940" s="1" t="s">
        <v>23</v>
      </c>
      <c r="C1940" s="1" t="s">
        <v>1431</v>
      </c>
      <c r="D1940" s="1">
        <v>3.0</v>
      </c>
      <c r="E1940" s="1">
        <v>92.0</v>
      </c>
      <c r="F1940" s="1">
        <v>2.0</v>
      </c>
      <c r="G1940" s="1">
        <v>5.0</v>
      </c>
      <c r="H1940" s="1" t="s">
        <v>25</v>
      </c>
      <c r="I1940" s="1" t="s">
        <v>37</v>
      </c>
      <c r="J1940" s="1" t="s">
        <v>18</v>
      </c>
      <c r="K1940" s="1">
        <v>115000.0</v>
      </c>
      <c r="L1940" s="1">
        <v>56.9485905</v>
      </c>
      <c r="M1940" s="1">
        <v>24.1252188</v>
      </c>
    </row>
    <row r="1941">
      <c r="A1941" s="1" t="s">
        <v>22</v>
      </c>
      <c r="B1941" s="1" t="s">
        <v>23</v>
      </c>
      <c r="C1941" s="1" t="s">
        <v>1429</v>
      </c>
      <c r="D1941" s="1">
        <v>3.0</v>
      </c>
      <c r="E1941" s="1">
        <v>80.0</v>
      </c>
      <c r="F1941" s="1">
        <v>3.0</v>
      </c>
      <c r="G1941" s="1">
        <v>3.0</v>
      </c>
      <c r="H1941" s="1" t="s">
        <v>66</v>
      </c>
      <c r="I1941" s="1" t="s">
        <v>33</v>
      </c>
      <c r="J1941" s="1" t="s">
        <v>18</v>
      </c>
      <c r="K1941" s="1">
        <v>115000.0</v>
      </c>
      <c r="L1941" s="1">
        <v>56.9415761</v>
      </c>
      <c r="M1941" s="1">
        <v>24.1264220706999</v>
      </c>
    </row>
    <row r="1942">
      <c r="A1942" s="1" t="s">
        <v>22</v>
      </c>
      <c r="B1942" s="1" t="s">
        <v>422</v>
      </c>
      <c r="C1942" s="1" t="s">
        <v>732</v>
      </c>
      <c r="D1942" s="1">
        <v>3.0</v>
      </c>
      <c r="E1942" s="1">
        <v>92.0</v>
      </c>
      <c r="F1942" s="1">
        <v>6.0</v>
      </c>
      <c r="G1942" s="1">
        <v>23.0</v>
      </c>
      <c r="H1942" s="1" t="s">
        <v>32</v>
      </c>
      <c r="I1942" s="1" t="s">
        <v>21</v>
      </c>
      <c r="J1942" s="1" t="s">
        <v>18</v>
      </c>
      <c r="K1942" s="1">
        <v>145000.0</v>
      </c>
      <c r="L1942" s="1">
        <v>56.9340645</v>
      </c>
      <c r="M1942" s="1">
        <v>24.0436381</v>
      </c>
    </row>
    <row r="1943">
      <c r="A1943" s="1" t="s">
        <v>22</v>
      </c>
      <c r="B1943" s="1" t="s">
        <v>218</v>
      </c>
      <c r="C1943" s="1" t="s">
        <v>458</v>
      </c>
      <c r="D1943" s="1">
        <v>4.0</v>
      </c>
      <c r="E1943" s="1">
        <v>136.0</v>
      </c>
      <c r="F1943" s="1">
        <v>2.0</v>
      </c>
      <c r="G1943" s="1">
        <v>4.0</v>
      </c>
      <c r="H1943" s="1" t="s">
        <v>25</v>
      </c>
      <c r="I1943" s="1" t="s">
        <v>33</v>
      </c>
      <c r="J1943" s="1" t="s">
        <v>18</v>
      </c>
      <c r="K1943" s="1">
        <v>229000.0</v>
      </c>
      <c r="L1943" s="1">
        <v>56.94881585</v>
      </c>
      <c r="M1943" s="1">
        <v>24.1114738591085</v>
      </c>
    </row>
    <row r="1944">
      <c r="A1944" s="1" t="s">
        <v>22</v>
      </c>
      <c r="B1944" s="1" t="s">
        <v>23</v>
      </c>
      <c r="C1944" s="1" t="s">
        <v>1432</v>
      </c>
      <c r="D1944" s="1">
        <v>4.0</v>
      </c>
      <c r="E1944" s="1">
        <v>134.0</v>
      </c>
      <c r="F1944" s="1">
        <v>6.0</v>
      </c>
      <c r="G1944" s="1">
        <v>7.0</v>
      </c>
      <c r="H1944" s="1" t="s">
        <v>66</v>
      </c>
      <c r="I1944" s="1" t="s">
        <v>33</v>
      </c>
      <c r="J1944" s="1" t="s">
        <v>18</v>
      </c>
      <c r="K1944" s="1">
        <v>260000.0</v>
      </c>
      <c r="L1944" s="1">
        <v>56.9492894</v>
      </c>
      <c r="M1944" s="1">
        <v>24.1070803</v>
      </c>
    </row>
    <row r="1945">
      <c r="A1945" s="1" t="s">
        <v>22</v>
      </c>
      <c r="B1945" s="1" t="s">
        <v>50</v>
      </c>
      <c r="C1945" s="1" t="s">
        <v>1433</v>
      </c>
      <c r="D1945" s="1">
        <v>2.0</v>
      </c>
      <c r="E1945" s="1">
        <v>67.0</v>
      </c>
      <c r="F1945" s="1">
        <v>1.0</v>
      </c>
      <c r="G1945" s="1">
        <v>2.0</v>
      </c>
      <c r="H1945" s="1" t="s">
        <v>36</v>
      </c>
      <c r="I1945" s="1" t="s">
        <v>37</v>
      </c>
      <c r="J1945" s="1" t="s">
        <v>18</v>
      </c>
      <c r="K1945" s="1">
        <v>69000.0</v>
      </c>
      <c r="L1945" s="1">
        <v>56.94245245</v>
      </c>
      <c r="M1945" s="1">
        <v>24.1331798290685</v>
      </c>
    </row>
    <row r="1946">
      <c r="A1946" s="1" t="s">
        <v>13</v>
      </c>
      <c r="B1946" s="1" t="s">
        <v>42</v>
      </c>
      <c r="C1946" s="1" t="s">
        <v>1434</v>
      </c>
      <c r="D1946" s="1">
        <v>1.0</v>
      </c>
      <c r="E1946" s="1">
        <v>30.0</v>
      </c>
      <c r="F1946" s="1">
        <v>1.0</v>
      </c>
      <c r="G1946" s="1">
        <v>1.0</v>
      </c>
      <c r="H1946" s="1" t="s">
        <v>171</v>
      </c>
      <c r="I1946" s="1" t="s">
        <v>37</v>
      </c>
      <c r="J1946" s="1" t="s">
        <v>18</v>
      </c>
      <c r="K1946" s="1">
        <v>250.0</v>
      </c>
      <c r="L1946" s="1">
        <v>56.9838232</v>
      </c>
      <c r="M1946" s="1">
        <v>24.2372569</v>
      </c>
    </row>
    <row r="1947">
      <c r="A1947" s="1" t="s">
        <v>22</v>
      </c>
      <c r="B1947" s="1" t="s">
        <v>28</v>
      </c>
      <c r="C1947" s="1" t="s">
        <v>1297</v>
      </c>
      <c r="D1947" s="1">
        <v>3.0</v>
      </c>
      <c r="E1947" s="1">
        <v>61.0</v>
      </c>
      <c r="F1947" s="1">
        <v>4.0</v>
      </c>
      <c r="G1947" s="1">
        <v>5.0</v>
      </c>
      <c r="H1947" s="1" t="s">
        <v>16</v>
      </c>
      <c r="I1947" s="1" t="s">
        <v>21</v>
      </c>
      <c r="J1947" s="1" t="s">
        <v>18</v>
      </c>
      <c r="K1947" s="1">
        <v>56500.0</v>
      </c>
      <c r="L1947" s="1">
        <v>56.8992639</v>
      </c>
      <c r="M1947" s="1">
        <v>24.2143729105512</v>
      </c>
    </row>
    <row r="1948">
      <c r="A1948" s="1" t="s">
        <v>22</v>
      </c>
      <c r="B1948" s="1" t="s">
        <v>45</v>
      </c>
      <c r="C1948" s="1" t="s">
        <v>1435</v>
      </c>
      <c r="D1948" s="1">
        <v>2.0</v>
      </c>
      <c r="E1948" s="1">
        <v>53.0</v>
      </c>
      <c r="F1948" s="1">
        <v>2.0</v>
      </c>
      <c r="G1948" s="1">
        <v>2.0</v>
      </c>
      <c r="H1948" s="1" t="s">
        <v>25</v>
      </c>
      <c r="I1948" s="1" t="s">
        <v>26</v>
      </c>
      <c r="J1948" s="1" t="s">
        <v>18</v>
      </c>
      <c r="K1948" s="1">
        <v>41500.0</v>
      </c>
      <c r="L1948" s="1">
        <v>57.01927645</v>
      </c>
      <c r="M1948" s="1">
        <v>24.127157633502</v>
      </c>
    </row>
    <row r="1949">
      <c r="A1949" s="1" t="s">
        <v>13</v>
      </c>
      <c r="B1949" s="1" t="s">
        <v>76</v>
      </c>
      <c r="C1949" s="1" t="s">
        <v>908</v>
      </c>
      <c r="D1949" s="1">
        <v>2.0</v>
      </c>
      <c r="E1949" s="1">
        <v>64.0</v>
      </c>
      <c r="F1949" s="1">
        <v>3.0</v>
      </c>
      <c r="G1949" s="1">
        <v>4.0</v>
      </c>
      <c r="H1949" s="1" t="s">
        <v>36</v>
      </c>
      <c r="I1949" s="1" t="s">
        <v>37</v>
      </c>
      <c r="J1949" s="1" t="s">
        <v>18</v>
      </c>
      <c r="K1949" s="1">
        <v>620.0</v>
      </c>
      <c r="L1949" s="1">
        <v>56.9555587</v>
      </c>
      <c r="M1949" s="1">
        <v>24.0506800260781</v>
      </c>
    </row>
    <row r="1950">
      <c r="A1950" s="1" t="s">
        <v>22</v>
      </c>
      <c r="B1950" s="1" t="s">
        <v>1304</v>
      </c>
      <c r="C1950" s="1" t="s">
        <v>1305</v>
      </c>
      <c r="D1950" s="1">
        <v>1.0</v>
      </c>
      <c r="E1950" s="1">
        <v>27.0</v>
      </c>
      <c r="F1950" s="1">
        <v>1.0</v>
      </c>
      <c r="G1950" s="1">
        <v>6.0</v>
      </c>
      <c r="H1950" s="1" t="s">
        <v>32</v>
      </c>
      <c r="I1950" s="1" t="s">
        <v>33</v>
      </c>
      <c r="J1950" s="1" t="s">
        <v>18</v>
      </c>
      <c r="K1950" s="1">
        <v>38500.0</v>
      </c>
      <c r="L1950" s="1">
        <v>57.0229234499999</v>
      </c>
      <c r="M1950" s="1">
        <v>24.1376648769917</v>
      </c>
    </row>
    <row r="1951">
      <c r="A1951" s="1" t="s">
        <v>22</v>
      </c>
      <c r="B1951" s="1" t="s">
        <v>1304</v>
      </c>
      <c r="C1951" s="1" t="s">
        <v>1305</v>
      </c>
      <c r="D1951" s="1">
        <v>2.0</v>
      </c>
      <c r="E1951" s="1">
        <v>46.0</v>
      </c>
      <c r="F1951" s="1">
        <v>1.0</v>
      </c>
      <c r="G1951" s="1">
        <v>6.0</v>
      </c>
      <c r="H1951" s="1" t="s">
        <v>32</v>
      </c>
      <c r="I1951" s="1" t="s">
        <v>33</v>
      </c>
      <c r="J1951" s="1" t="s">
        <v>18</v>
      </c>
      <c r="K1951" s="1">
        <v>67500.0</v>
      </c>
      <c r="L1951" s="1">
        <v>57.0229234499999</v>
      </c>
      <c r="M1951" s="1">
        <v>24.1376648769917</v>
      </c>
    </row>
    <row r="1952">
      <c r="A1952" s="1" t="s">
        <v>13</v>
      </c>
      <c r="B1952" s="1" t="s">
        <v>14</v>
      </c>
      <c r="C1952" s="1" t="s">
        <v>1436</v>
      </c>
      <c r="D1952" s="1">
        <v>2.0</v>
      </c>
      <c r="E1952" s="1">
        <v>60.0</v>
      </c>
      <c r="F1952" s="1">
        <v>9.0</v>
      </c>
      <c r="G1952" s="1">
        <v>9.0</v>
      </c>
      <c r="H1952" s="1">
        <v>119.0</v>
      </c>
      <c r="I1952" s="1" t="s">
        <v>17</v>
      </c>
      <c r="J1952" s="1" t="s">
        <v>18</v>
      </c>
      <c r="K1952" s="1">
        <v>280.0</v>
      </c>
      <c r="L1952" s="1">
        <v>56.94998475</v>
      </c>
      <c r="M1952" s="1">
        <v>24.19326935</v>
      </c>
    </row>
    <row r="1953">
      <c r="A1953" s="1" t="s">
        <v>22</v>
      </c>
      <c r="B1953" s="1" t="s">
        <v>28</v>
      </c>
      <c r="C1953" s="1" t="s">
        <v>1437</v>
      </c>
      <c r="D1953" s="1">
        <v>2.0</v>
      </c>
      <c r="E1953" s="1">
        <v>42.0</v>
      </c>
      <c r="F1953" s="1">
        <v>4.0</v>
      </c>
      <c r="G1953" s="1">
        <v>5.0</v>
      </c>
      <c r="H1953" s="1" t="s">
        <v>44</v>
      </c>
      <c r="I1953" s="1" t="s">
        <v>37</v>
      </c>
      <c r="J1953" s="1" t="s">
        <v>18</v>
      </c>
      <c r="K1953" s="1">
        <v>32000.0</v>
      </c>
      <c r="L1953" s="1">
        <v>56.9129619499999</v>
      </c>
      <c r="M1953" s="1">
        <v>24.1842254999999</v>
      </c>
    </row>
    <row r="1954">
      <c r="A1954" s="1" t="s">
        <v>22</v>
      </c>
      <c r="B1954" s="1" t="s">
        <v>104</v>
      </c>
      <c r="C1954" s="1" t="s">
        <v>619</v>
      </c>
      <c r="D1954" s="1">
        <v>2.0</v>
      </c>
      <c r="E1954" s="1">
        <v>52.0</v>
      </c>
      <c r="F1954" s="1">
        <v>4.0</v>
      </c>
      <c r="G1954" s="1">
        <v>4.0</v>
      </c>
      <c r="H1954" s="1" t="s">
        <v>66</v>
      </c>
      <c r="I1954" s="1" t="s">
        <v>33</v>
      </c>
      <c r="J1954" s="1" t="s">
        <v>18</v>
      </c>
      <c r="K1954" s="1">
        <v>71000.0</v>
      </c>
      <c r="L1954" s="1">
        <v>56.9474705</v>
      </c>
      <c r="M1954" s="1">
        <v>24.0604076</v>
      </c>
    </row>
    <row r="1955">
      <c r="A1955" s="1" t="s">
        <v>22</v>
      </c>
      <c r="B1955" s="1" t="s">
        <v>104</v>
      </c>
      <c r="C1955" s="1" t="s">
        <v>1438</v>
      </c>
      <c r="D1955" s="1">
        <v>4.0</v>
      </c>
      <c r="E1955" s="1">
        <v>111.4</v>
      </c>
      <c r="F1955" s="1">
        <v>4.0</v>
      </c>
      <c r="G1955" s="1">
        <v>4.0</v>
      </c>
      <c r="H1955" s="1" t="s">
        <v>66</v>
      </c>
      <c r="I1955" s="1" t="s">
        <v>33</v>
      </c>
      <c r="J1955" s="1" t="s">
        <v>18</v>
      </c>
      <c r="K1955" s="1">
        <v>143000.0</v>
      </c>
      <c r="L1955" s="1">
        <v>56.9511923</v>
      </c>
      <c r="M1955" s="1">
        <v>24.0659141</v>
      </c>
    </row>
    <row r="1956">
      <c r="A1956" s="1" t="s">
        <v>22</v>
      </c>
      <c r="B1956" s="1" t="s">
        <v>104</v>
      </c>
      <c r="C1956" s="1" t="s">
        <v>1439</v>
      </c>
      <c r="D1956" s="1">
        <v>2.0</v>
      </c>
      <c r="E1956" s="1">
        <v>57.0</v>
      </c>
      <c r="F1956" s="1">
        <v>1.0</v>
      </c>
      <c r="G1956" s="1">
        <v>1.0</v>
      </c>
      <c r="H1956" s="1" t="s">
        <v>66</v>
      </c>
      <c r="I1956" s="1" t="s">
        <v>26</v>
      </c>
      <c r="J1956" s="1" t="s">
        <v>18</v>
      </c>
      <c r="K1956" s="1">
        <v>65000.0</v>
      </c>
      <c r="L1956" s="1">
        <v>56.94731475</v>
      </c>
      <c r="M1956" s="1">
        <v>24.0609152601247</v>
      </c>
    </row>
    <row r="1957">
      <c r="A1957" s="1" t="s">
        <v>13</v>
      </c>
      <c r="B1957" s="1" t="s">
        <v>23</v>
      </c>
      <c r="C1957" s="1" t="s">
        <v>1359</v>
      </c>
      <c r="D1957" s="1">
        <v>1.0</v>
      </c>
      <c r="E1957" s="1">
        <v>28.0</v>
      </c>
      <c r="F1957" s="1">
        <v>2.0</v>
      </c>
      <c r="G1957" s="1">
        <v>4.0</v>
      </c>
      <c r="H1957" s="1" t="s">
        <v>66</v>
      </c>
      <c r="I1957" s="1" t="s">
        <v>33</v>
      </c>
      <c r="J1957" s="1" t="s">
        <v>18</v>
      </c>
      <c r="K1957" s="1">
        <v>250.0</v>
      </c>
      <c r="L1957" s="1">
        <v>56.9590494</v>
      </c>
      <c r="M1957" s="1">
        <v>24.1461764</v>
      </c>
    </row>
    <row r="1958">
      <c r="A1958" s="1" t="s">
        <v>22</v>
      </c>
      <c r="B1958" s="1" t="s">
        <v>28</v>
      </c>
      <c r="C1958" s="1" t="s">
        <v>1440</v>
      </c>
      <c r="D1958" s="1">
        <v>4.0</v>
      </c>
      <c r="E1958" s="1">
        <v>60.0</v>
      </c>
      <c r="F1958" s="1">
        <v>5.0</v>
      </c>
      <c r="G1958" s="1">
        <v>5.0</v>
      </c>
      <c r="H1958" s="1" t="s">
        <v>16</v>
      </c>
      <c r="I1958" s="1" t="s">
        <v>21</v>
      </c>
      <c r="J1958" s="1" t="s">
        <v>18</v>
      </c>
      <c r="K1958" s="1">
        <v>58500.0</v>
      </c>
      <c r="L1958" s="1">
        <v>56.94470995</v>
      </c>
      <c r="M1958" s="1">
        <v>24.1131079129391</v>
      </c>
    </row>
    <row r="1959">
      <c r="A1959" s="1" t="s">
        <v>22</v>
      </c>
      <c r="B1959" s="1" t="s">
        <v>129</v>
      </c>
      <c r="C1959" s="1" t="s">
        <v>1441</v>
      </c>
      <c r="D1959" s="1">
        <v>4.0</v>
      </c>
      <c r="E1959" s="1">
        <v>69.0</v>
      </c>
      <c r="F1959" s="1">
        <v>2.0</v>
      </c>
      <c r="G1959" s="1">
        <v>3.0</v>
      </c>
      <c r="H1959" s="1" t="s">
        <v>25</v>
      </c>
      <c r="I1959" s="1" t="s">
        <v>33</v>
      </c>
      <c r="J1959" s="1" t="s">
        <v>27</v>
      </c>
      <c r="K1959" s="1">
        <v>33500.0</v>
      </c>
      <c r="L1959" s="1">
        <v>56.9931197</v>
      </c>
      <c r="M1959" s="1">
        <v>24.1279467</v>
      </c>
    </row>
    <row r="1960">
      <c r="A1960" s="1" t="s">
        <v>22</v>
      </c>
      <c r="B1960" s="1" t="s">
        <v>30</v>
      </c>
      <c r="C1960" s="1" t="s">
        <v>1227</v>
      </c>
      <c r="D1960" s="1">
        <v>4.0</v>
      </c>
      <c r="E1960" s="1">
        <v>93.0</v>
      </c>
      <c r="F1960" s="1">
        <v>2.0</v>
      </c>
      <c r="G1960" s="1">
        <v>10.0</v>
      </c>
      <c r="H1960" s="1" t="s">
        <v>32</v>
      </c>
      <c r="I1960" s="1" t="s">
        <v>33</v>
      </c>
      <c r="J1960" s="1" t="s">
        <v>18</v>
      </c>
      <c r="K1960" s="1">
        <v>140000.0</v>
      </c>
      <c r="L1960" s="1">
        <v>56.9767303</v>
      </c>
      <c r="M1960" s="1">
        <v>24.1676579996058</v>
      </c>
    </row>
    <row r="1961">
      <c r="A1961" s="1" t="s">
        <v>13</v>
      </c>
      <c r="B1961" s="1" t="s">
        <v>38</v>
      </c>
      <c r="C1961" s="1" t="s">
        <v>1172</v>
      </c>
      <c r="D1961" s="1">
        <v>1.0</v>
      </c>
      <c r="E1961" s="1">
        <v>36.0</v>
      </c>
      <c r="F1961" s="1">
        <v>12.0</v>
      </c>
      <c r="G1961" s="1">
        <v>12.0</v>
      </c>
      <c r="H1961" s="1" t="s">
        <v>36</v>
      </c>
      <c r="I1961" s="1" t="s">
        <v>33</v>
      </c>
      <c r="J1961" s="1" t="s">
        <v>18</v>
      </c>
      <c r="K1961" s="1">
        <v>300.0</v>
      </c>
      <c r="L1961" s="1">
        <v>56.9648157</v>
      </c>
      <c r="M1961" s="1">
        <v>24.0190534</v>
      </c>
    </row>
    <row r="1962">
      <c r="A1962" s="1" t="s">
        <v>13</v>
      </c>
      <c r="B1962" s="1" t="s">
        <v>14</v>
      </c>
      <c r="C1962" s="1" t="s">
        <v>234</v>
      </c>
      <c r="D1962" s="1">
        <v>2.0</v>
      </c>
      <c r="E1962" s="1">
        <v>50.0</v>
      </c>
      <c r="F1962" s="1">
        <v>8.0</v>
      </c>
      <c r="G1962" s="1">
        <v>9.0</v>
      </c>
      <c r="H1962" s="1">
        <v>602.0</v>
      </c>
      <c r="I1962" s="1" t="s">
        <v>21</v>
      </c>
      <c r="J1962" s="1" t="s">
        <v>18</v>
      </c>
      <c r="K1962" s="1">
        <v>15.0</v>
      </c>
      <c r="L1962" s="1">
        <v>56.95855255</v>
      </c>
      <c r="M1962" s="1">
        <v>24.1753163275791</v>
      </c>
    </row>
    <row r="1963">
      <c r="A1963" s="1" t="s">
        <v>22</v>
      </c>
      <c r="B1963" s="1" t="s">
        <v>82</v>
      </c>
      <c r="C1963" s="1" t="s">
        <v>1387</v>
      </c>
      <c r="D1963" s="1">
        <v>4.0</v>
      </c>
      <c r="E1963" s="1">
        <v>120.0</v>
      </c>
      <c r="F1963" s="1">
        <v>1.0</v>
      </c>
      <c r="G1963" s="1">
        <v>1.0</v>
      </c>
      <c r="H1963" s="1" t="s">
        <v>36</v>
      </c>
      <c r="I1963" s="1" t="s">
        <v>33</v>
      </c>
      <c r="J1963" s="1" t="s">
        <v>18</v>
      </c>
      <c r="K1963" s="1">
        <v>350000.0</v>
      </c>
      <c r="L1963" s="1">
        <v>56.9489344</v>
      </c>
      <c r="M1963" s="1">
        <v>24.0882804</v>
      </c>
    </row>
    <row r="1964">
      <c r="A1964" s="1" t="s">
        <v>22</v>
      </c>
      <c r="B1964" s="1" t="s">
        <v>23</v>
      </c>
      <c r="C1964" s="1" t="s">
        <v>465</v>
      </c>
      <c r="D1964" s="1">
        <v>1.0</v>
      </c>
      <c r="E1964" s="1">
        <v>21.0</v>
      </c>
      <c r="F1964" s="1">
        <v>2.0</v>
      </c>
      <c r="G1964" s="1">
        <v>2.0</v>
      </c>
      <c r="H1964" s="1" t="s">
        <v>25</v>
      </c>
      <c r="I1964" s="1" t="s">
        <v>37</v>
      </c>
      <c r="J1964" s="1" t="s">
        <v>27</v>
      </c>
      <c r="K1964" s="1">
        <v>6900.0</v>
      </c>
      <c r="L1964" s="1">
        <v>56.976516</v>
      </c>
      <c r="M1964" s="1">
        <v>24.1354853</v>
      </c>
    </row>
    <row r="1965">
      <c r="A1965" s="1" t="s">
        <v>22</v>
      </c>
      <c r="B1965" s="1" t="s">
        <v>23</v>
      </c>
      <c r="C1965" s="1" t="s">
        <v>1261</v>
      </c>
      <c r="D1965" s="1">
        <v>3.0</v>
      </c>
      <c r="E1965" s="1">
        <v>87.0</v>
      </c>
      <c r="F1965" s="1">
        <v>16.0</v>
      </c>
      <c r="G1965" s="1">
        <v>24.0</v>
      </c>
      <c r="H1965" s="1" t="s">
        <v>32</v>
      </c>
      <c r="I1965" s="1" t="s">
        <v>21</v>
      </c>
      <c r="J1965" s="1" t="s">
        <v>18</v>
      </c>
      <c r="K1965" s="1">
        <v>178500.0</v>
      </c>
      <c r="L1965" s="1">
        <v>56.9726415</v>
      </c>
      <c r="M1965" s="1">
        <v>24.1250304839285</v>
      </c>
    </row>
    <row r="1966">
      <c r="A1966" s="1" t="s">
        <v>13</v>
      </c>
      <c r="B1966" s="1" t="s">
        <v>74</v>
      </c>
      <c r="C1966" s="1" t="s">
        <v>482</v>
      </c>
      <c r="D1966" s="1">
        <v>2.0</v>
      </c>
      <c r="E1966" s="1">
        <v>54.0</v>
      </c>
      <c r="F1966" s="1">
        <v>7.0</v>
      </c>
      <c r="G1966" s="1">
        <v>9.0</v>
      </c>
      <c r="H1966" s="1" t="s">
        <v>32</v>
      </c>
      <c r="I1966" s="1" t="s">
        <v>33</v>
      </c>
      <c r="J1966" s="1" t="s">
        <v>18</v>
      </c>
      <c r="K1966" s="1">
        <v>420.0</v>
      </c>
      <c r="L1966" s="1">
        <v>56.94203495</v>
      </c>
      <c r="M1966" s="1">
        <v>24.2127513651119</v>
      </c>
    </row>
    <row r="1967">
      <c r="A1967" s="1" t="s">
        <v>22</v>
      </c>
      <c r="B1967" s="1" t="s">
        <v>23</v>
      </c>
      <c r="C1967" s="1" t="s">
        <v>1442</v>
      </c>
      <c r="D1967" s="1">
        <v>3.0</v>
      </c>
      <c r="E1967" s="1">
        <v>112.0</v>
      </c>
      <c r="F1967" s="1">
        <v>2.0</v>
      </c>
      <c r="G1967" s="1">
        <v>6.0</v>
      </c>
      <c r="H1967" s="1" t="s">
        <v>32</v>
      </c>
      <c r="I1967" s="1" t="s">
        <v>33</v>
      </c>
      <c r="J1967" s="1" t="s">
        <v>18</v>
      </c>
      <c r="K1967" s="1">
        <v>320000.0</v>
      </c>
      <c r="L1967" s="1">
        <v>48.2969502</v>
      </c>
      <c r="M1967" s="1">
        <v>-100.7081938</v>
      </c>
    </row>
    <row r="1968">
      <c r="A1968" s="1" t="s">
        <v>22</v>
      </c>
      <c r="B1968" s="1" t="s">
        <v>76</v>
      </c>
      <c r="C1968" s="1" t="s">
        <v>1443</v>
      </c>
      <c r="D1968" s="1">
        <v>1.0</v>
      </c>
      <c r="E1968" s="1">
        <v>33.0</v>
      </c>
      <c r="F1968" s="1">
        <v>9.0</v>
      </c>
      <c r="G1968" s="1">
        <v>12.0</v>
      </c>
      <c r="H1968" s="1" t="s">
        <v>221</v>
      </c>
      <c r="I1968" s="1" t="s">
        <v>17</v>
      </c>
      <c r="J1968" s="1" t="s">
        <v>18</v>
      </c>
      <c r="K1968" s="1">
        <v>40000.0</v>
      </c>
      <c r="L1968" s="1">
        <v>56.95488155</v>
      </c>
      <c r="M1968" s="1">
        <v>24.0518049231091</v>
      </c>
    </row>
    <row r="1969">
      <c r="A1969" s="1" t="s">
        <v>131</v>
      </c>
      <c r="B1969" s="1" t="s">
        <v>38</v>
      </c>
      <c r="C1969" s="2"/>
      <c r="D1969" s="1">
        <v>3.0</v>
      </c>
      <c r="E1969" s="2"/>
      <c r="F1969" s="2"/>
      <c r="G1969" s="2"/>
      <c r="H1969" s="2"/>
      <c r="I1969" s="2"/>
      <c r="J1969" s="1" t="s">
        <v>18</v>
      </c>
      <c r="K1969" s="2"/>
      <c r="L1969" s="1">
        <v>46.3144754</v>
      </c>
      <c r="M1969" s="1">
        <v>11.0480288</v>
      </c>
    </row>
    <row r="1970">
      <c r="A1970" s="1" t="s">
        <v>22</v>
      </c>
      <c r="B1970" s="1" t="s">
        <v>23</v>
      </c>
      <c r="C1970" s="1" t="s">
        <v>1362</v>
      </c>
      <c r="D1970" s="1">
        <v>1.0</v>
      </c>
      <c r="E1970" s="1">
        <v>35.0</v>
      </c>
      <c r="F1970" s="1">
        <v>3.0</v>
      </c>
      <c r="G1970" s="1">
        <v>5.0</v>
      </c>
      <c r="H1970" s="1" t="s">
        <v>25</v>
      </c>
      <c r="I1970" s="1" t="s">
        <v>37</v>
      </c>
      <c r="J1970" s="1" t="s">
        <v>27</v>
      </c>
      <c r="K1970" s="1">
        <v>33000.0</v>
      </c>
      <c r="L1970" s="1">
        <v>56.9537372</v>
      </c>
      <c r="M1970" s="1">
        <v>24.1465944</v>
      </c>
    </row>
    <row r="1971">
      <c r="A1971" s="1" t="s">
        <v>22</v>
      </c>
      <c r="B1971" s="1" t="s">
        <v>19</v>
      </c>
      <c r="C1971" s="1" t="s">
        <v>1444</v>
      </c>
      <c r="D1971" s="1">
        <v>2.0</v>
      </c>
      <c r="E1971" s="1">
        <v>40.0</v>
      </c>
      <c r="F1971" s="1">
        <v>2.0</v>
      </c>
      <c r="G1971" s="1">
        <v>4.0</v>
      </c>
      <c r="H1971" s="1" t="s">
        <v>44</v>
      </c>
      <c r="I1971" s="1" t="s">
        <v>37</v>
      </c>
      <c r="J1971" s="1" t="s">
        <v>18</v>
      </c>
      <c r="K1971" s="1">
        <v>43000.0</v>
      </c>
      <c r="L1971" s="1">
        <v>56.914299</v>
      </c>
      <c r="M1971" s="1">
        <v>24.1112378</v>
      </c>
    </row>
    <row r="1972">
      <c r="A1972" s="1" t="s">
        <v>22</v>
      </c>
      <c r="B1972" s="1" t="s">
        <v>23</v>
      </c>
      <c r="C1972" s="1" t="s">
        <v>1445</v>
      </c>
      <c r="D1972" s="1">
        <v>3.0</v>
      </c>
      <c r="E1972" s="1">
        <v>126.0</v>
      </c>
      <c r="F1972" s="1">
        <v>5.0</v>
      </c>
      <c r="G1972" s="1">
        <v>6.0</v>
      </c>
      <c r="H1972" s="1" t="s">
        <v>25</v>
      </c>
      <c r="I1972" s="1" t="s">
        <v>33</v>
      </c>
      <c r="J1972" s="1" t="s">
        <v>18</v>
      </c>
      <c r="K1972" s="1">
        <v>290000.0</v>
      </c>
      <c r="L1972" s="1">
        <v>56.9563689</v>
      </c>
      <c r="M1972" s="1">
        <v>24.1185508</v>
      </c>
    </row>
    <row r="1973">
      <c r="A1973" s="1" t="s">
        <v>22</v>
      </c>
      <c r="B1973" s="1" t="s">
        <v>23</v>
      </c>
      <c r="C1973" s="1" t="s">
        <v>1259</v>
      </c>
      <c r="D1973" s="1">
        <v>3.0</v>
      </c>
      <c r="E1973" s="1">
        <v>110.0</v>
      </c>
      <c r="F1973" s="1">
        <v>6.0</v>
      </c>
      <c r="G1973" s="1">
        <v>6.0</v>
      </c>
      <c r="H1973" s="1" t="s">
        <v>25</v>
      </c>
      <c r="I1973" s="1" t="s">
        <v>33</v>
      </c>
      <c r="J1973" s="1" t="s">
        <v>18</v>
      </c>
      <c r="K1973" s="1">
        <v>240000.0</v>
      </c>
      <c r="L1973" s="1">
        <v>56.95567115</v>
      </c>
      <c r="M1973" s="1">
        <v>24.1314109608833</v>
      </c>
    </row>
    <row r="1974">
      <c r="A1974" s="1" t="s">
        <v>22</v>
      </c>
      <c r="B1974" s="1" t="s">
        <v>218</v>
      </c>
      <c r="C1974" s="1" t="s">
        <v>1446</v>
      </c>
      <c r="D1974" s="1">
        <v>2.0</v>
      </c>
      <c r="E1974" s="1">
        <v>89.7</v>
      </c>
      <c r="F1974" s="1">
        <v>2.0</v>
      </c>
      <c r="G1974" s="1">
        <v>4.0</v>
      </c>
      <c r="H1974" s="1" t="s">
        <v>66</v>
      </c>
      <c r="I1974" s="1" t="s">
        <v>33</v>
      </c>
      <c r="J1974" s="1" t="s">
        <v>18</v>
      </c>
      <c r="K1974" s="1">
        <v>252000.0</v>
      </c>
      <c r="L1974" s="1">
        <v>56.9466569</v>
      </c>
      <c r="M1974" s="1">
        <v>24.1073804</v>
      </c>
    </row>
    <row r="1975">
      <c r="A1975" s="1" t="s">
        <v>22</v>
      </c>
      <c r="B1975" s="1" t="s">
        <v>158</v>
      </c>
      <c r="C1975" s="1" t="s">
        <v>1447</v>
      </c>
      <c r="D1975" s="1">
        <v>1.0</v>
      </c>
      <c r="E1975" s="1">
        <v>25.0</v>
      </c>
      <c r="F1975" s="1">
        <v>1.0</v>
      </c>
      <c r="G1975" s="1">
        <v>2.0</v>
      </c>
      <c r="H1975" s="1" t="s">
        <v>25</v>
      </c>
      <c r="I1975" s="1" t="s">
        <v>26</v>
      </c>
      <c r="J1975" s="1" t="s">
        <v>18</v>
      </c>
      <c r="K1975" s="1">
        <v>26000.0</v>
      </c>
      <c r="L1975" s="1">
        <v>56.996491</v>
      </c>
      <c r="M1975" s="1">
        <v>24.2761204929247</v>
      </c>
    </row>
    <row r="1976">
      <c r="A1976" s="1" t="s">
        <v>22</v>
      </c>
      <c r="B1976" s="1" t="s">
        <v>28</v>
      </c>
      <c r="C1976" s="1" t="s">
        <v>1448</v>
      </c>
      <c r="D1976" s="1">
        <v>2.0</v>
      </c>
      <c r="E1976" s="1">
        <v>42.0</v>
      </c>
      <c r="F1976" s="1">
        <v>2.0</v>
      </c>
      <c r="G1976" s="1">
        <v>3.0</v>
      </c>
      <c r="H1976" s="1" t="s">
        <v>44</v>
      </c>
      <c r="I1976" s="1" t="s">
        <v>37</v>
      </c>
      <c r="J1976" s="1" t="s">
        <v>18</v>
      </c>
      <c r="K1976" s="1">
        <v>32000.0</v>
      </c>
      <c r="L1976" s="1">
        <v>56.8958531499999</v>
      </c>
      <c r="M1976" s="1">
        <v>24.2259189815794</v>
      </c>
    </row>
    <row r="1977">
      <c r="A1977" s="1" t="s">
        <v>22</v>
      </c>
      <c r="B1977" s="1" t="s">
        <v>109</v>
      </c>
      <c r="C1977" s="1" t="s">
        <v>1449</v>
      </c>
      <c r="D1977" s="1">
        <v>4.0</v>
      </c>
      <c r="E1977" s="1">
        <v>115.0</v>
      </c>
      <c r="F1977" s="1">
        <v>1.0</v>
      </c>
      <c r="G1977" s="1">
        <v>3.0</v>
      </c>
      <c r="H1977" s="1" t="s">
        <v>32</v>
      </c>
      <c r="I1977" s="1" t="s">
        <v>122</v>
      </c>
      <c r="J1977" s="1" t="s">
        <v>18</v>
      </c>
      <c r="K1977" s="1">
        <v>274000.0</v>
      </c>
      <c r="L1977" s="1">
        <v>56.994436</v>
      </c>
      <c r="M1977" s="1">
        <v>24.1578037</v>
      </c>
    </row>
    <row r="1978">
      <c r="A1978" s="1" t="s">
        <v>22</v>
      </c>
      <c r="B1978" s="1" t="s">
        <v>23</v>
      </c>
      <c r="C1978" s="1" t="s">
        <v>478</v>
      </c>
      <c r="D1978" s="1">
        <v>2.0</v>
      </c>
      <c r="E1978" s="1">
        <v>59.0</v>
      </c>
      <c r="F1978" s="1">
        <v>4.0</v>
      </c>
      <c r="G1978" s="1">
        <v>7.0</v>
      </c>
      <c r="H1978" s="1" t="s">
        <v>32</v>
      </c>
      <c r="I1978" s="1" t="s">
        <v>33</v>
      </c>
      <c r="J1978" s="1" t="s">
        <v>18</v>
      </c>
      <c r="K1978" s="1">
        <v>157000.0</v>
      </c>
      <c r="L1978" s="1">
        <v>56.9493295</v>
      </c>
      <c r="M1978" s="1">
        <v>24.1264892056074</v>
      </c>
    </row>
    <row r="1979">
      <c r="A1979" s="1" t="s">
        <v>22</v>
      </c>
      <c r="B1979" s="1" t="s">
        <v>19</v>
      </c>
      <c r="C1979" s="1" t="s">
        <v>1450</v>
      </c>
      <c r="D1979" s="1">
        <v>1.0</v>
      </c>
      <c r="E1979" s="1">
        <v>25.0</v>
      </c>
      <c r="F1979" s="1">
        <v>2.0</v>
      </c>
      <c r="G1979" s="1">
        <v>2.0</v>
      </c>
      <c r="H1979" s="1" t="s">
        <v>25</v>
      </c>
      <c r="I1979" s="1" t="s">
        <v>26</v>
      </c>
      <c r="J1979" s="1" t="s">
        <v>27</v>
      </c>
      <c r="K1979" s="1">
        <v>12000.0</v>
      </c>
      <c r="L1979" s="1" t="s">
        <v>40</v>
      </c>
      <c r="M1979" s="1" t="s">
        <v>40</v>
      </c>
    </row>
    <row r="1980">
      <c r="A1980" s="1" t="s">
        <v>22</v>
      </c>
      <c r="B1980" s="1" t="s">
        <v>174</v>
      </c>
      <c r="C1980" s="1" t="s">
        <v>1451</v>
      </c>
      <c r="D1980" s="1">
        <v>2.0</v>
      </c>
      <c r="E1980" s="1">
        <v>63.0</v>
      </c>
      <c r="F1980" s="1">
        <v>3.0</v>
      </c>
      <c r="G1980" s="1">
        <v>7.0</v>
      </c>
      <c r="H1980" s="1" t="s">
        <v>36</v>
      </c>
      <c r="I1980" s="1" t="s">
        <v>17</v>
      </c>
      <c r="J1980" s="1" t="s">
        <v>18</v>
      </c>
      <c r="K1980" s="1">
        <v>72000.0</v>
      </c>
      <c r="L1980" s="1">
        <v>56.9386002499999</v>
      </c>
      <c r="M1980" s="1">
        <v>24.1868624908138</v>
      </c>
    </row>
    <row r="1981">
      <c r="A1981" s="1" t="s">
        <v>89</v>
      </c>
      <c r="B1981" s="1" t="s">
        <v>38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1">
        <v>46.3144754</v>
      </c>
      <c r="M1981" s="1">
        <v>11.0480288</v>
      </c>
    </row>
    <row r="1982">
      <c r="A1982" s="1" t="s">
        <v>13</v>
      </c>
      <c r="B1982" s="1" t="s">
        <v>174</v>
      </c>
      <c r="C1982" s="1" t="s">
        <v>332</v>
      </c>
      <c r="D1982" s="1">
        <v>2.0</v>
      </c>
      <c r="E1982" s="1">
        <v>49.0</v>
      </c>
      <c r="F1982" s="1">
        <v>6.0</v>
      </c>
      <c r="G1982" s="1">
        <v>9.0</v>
      </c>
      <c r="H1982" s="1">
        <v>602.0</v>
      </c>
      <c r="I1982" s="1" t="s">
        <v>21</v>
      </c>
      <c r="J1982" s="1" t="s">
        <v>18</v>
      </c>
      <c r="K1982" s="1">
        <v>280.0</v>
      </c>
      <c r="L1982" s="1">
        <v>56.9307254</v>
      </c>
      <c r="M1982" s="1">
        <v>24.181101</v>
      </c>
    </row>
    <row r="1983">
      <c r="A1983" s="1" t="s">
        <v>13</v>
      </c>
      <c r="B1983" s="1" t="s">
        <v>129</v>
      </c>
      <c r="C1983" s="1" t="s">
        <v>110</v>
      </c>
      <c r="D1983" s="1">
        <v>1.0</v>
      </c>
      <c r="E1983" s="1">
        <v>33.0</v>
      </c>
      <c r="F1983" s="1">
        <v>4.0</v>
      </c>
      <c r="G1983" s="1">
        <v>9.0</v>
      </c>
      <c r="H1983" s="1" t="s">
        <v>36</v>
      </c>
      <c r="I1983" s="1" t="s">
        <v>37</v>
      </c>
      <c r="J1983" s="1" t="s">
        <v>18</v>
      </c>
      <c r="K1983" s="1">
        <v>250.0</v>
      </c>
      <c r="L1983" s="1" t="s">
        <v>40</v>
      </c>
      <c r="M1983" s="1" t="s">
        <v>40</v>
      </c>
    </row>
    <row r="1984">
      <c r="A1984" s="1" t="s">
        <v>22</v>
      </c>
      <c r="B1984" s="1" t="s">
        <v>38</v>
      </c>
      <c r="C1984" s="1" t="s">
        <v>1452</v>
      </c>
      <c r="D1984" s="1">
        <v>3.0</v>
      </c>
      <c r="E1984" s="1">
        <v>67.0</v>
      </c>
      <c r="F1984" s="1">
        <v>5.0</v>
      </c>
      <c r="G1984" s="1">
        <v>5.0</v>
      </c>
      <c r="H1984" s="1" t="s">
        <v>16</v>
      </c>
      <c r="I1984" s="1" t="s">
        <v>21</v>
      </c>
      <c r="J1984" s="1" t="s">
        <v>18</v>
      </c>
      <c r="K1984" s="1">
        <v>51500.0</v>
      </c>
      <c r="L1984" s="1">
        <v>56.95927905</v>
      </c>
      <c r="M1984" s="1">
        <v>24.0074453370573</v>
      </c>
    </row>
    <row r="1985">
      <c r="A1985" s="1" t="s">
        <v>22</v>
      </c>
      <c r="B1985" s="1" t="s">
        <v>447</v>
      </c>
      <c r="C1985" s="1" t="s">
        <v>1453</v>
      </c>
      <c r="D1985" s="1">
        <v>3.0</v>
      </c>
      <c r="E1985" s="1">
        <v>60.0</v>
      </c>
      <c r="F1985" s="1">
        <v>4.0</v>
      </c>
      <c r="G1985" s="1">
        <v>5.0</v>
      </c>
      <c r="H1985" s="1" t="s">
        <v>25</v>
      </c>
      <c r="I1985" s="1" t="s">
        <v>33</v>
      </c>
      <c r="J1985" s="1" t="s">
        <v>18</v>
      </c>
      <c r="K1985" s="1">
        <v>77000.0</v>
      </c>
      <c r="L1985" s="1">
        <v>56.9247925</v>
      </c>
      <c r="M1985" s="1">
        <v>24.0945391626359</v>
      </c>
    </row>
    <row r="1986">
      <c r="A1986" s="1" t="s">
        <v>22</v>
      </c>
      <c r="B1986" s="1" t="s">
        <v>30</v>
      </c>
      <c r="C1986" s="1" t="s">
        <v>1454</v>
      </c>
      <c r="D1986" s="1">
        <v>1.0</v>
      </c>
      <c r="E1986" s="1">
        <v>21.0</v>
      </c>
      <c r="F1986" s="1">
        <v>2.0</v>
      </c>
      <c r="G1986" s="1">
        <v>2.0</v>
      </c>
      <c r="H1986" s="1" t="s">
        <v>25</v>
      </c>
      <c r="I1986" s="1" t="s">
        <v>26</v>
      </c>
      <c r="J1986" s="1" t="s">
        <v>27</v>
      </c>
      <c r="K1986" s="1">
        <v>14000.0</v>
      </c>
      <c r="L1986" s="1">
        <v>56.9825039</v>
      </c>
      <c r="M1986" s="1">
        <v>24.1917693040602</v>
      </c>
    </row>
    <row r="1987">
      <c r="A1987" s="1" t="s">
        <v>13</v>
      </c>
      <c r="B1987" s="1" t="s">
        <v>23</v>
      </c>
      <c r="C1987" s="1" t="s">
        <v>1455</v>
      </c>
      <c r="D1987" s="1">
        <v>3.0</v>
      </c>
      <c r="E1987" s="1">
        <v>76.0</v>
      </c>
      <c r="F1987" s="1">
        <v>2.0</v>
      </c>
      <c r="G1987" s="1">
        <v>5.0</v>
      </c>
      <c r="H1987" s="1" t="s">
        <v>36</v>
      </c>
      <c r="I1987" s="1" t="s">
        <v>37</v>
      </c>
      <c r="J1987" s="1" t="s">
        <v>18</v>
      </c>
      <c r="K1987" s="1">
        <v>800.0</v>
      </c>
      <c r="L1987" s="1">
        <v>56.95661335</v>
      </c>
      <c r="M1987" s="1">
        <v>24.0987304306377</v>
      </c>
    </row>
    <row r="1988">
      <c r="A1988" s="1" t="s">
        <v>22</v>
      </c>
      <c r="B1988" s="1" t="s">
        <v>48</v>
      </c>
      <c r="C1988" s="1" t="s">
        <v>1456</v>
      </c>
      <c r="D1988" s="1">
        <v>4.0</v>
      </c>
      <c r="E1988" s="1">
        <v>78.0</v>
      </c>
      <c r="F1988" s="1">
        <v>5.0</v>
      </c>
      <c r="G1988" s="1">
        <v>9.0</v>
      </c>
      <c r="H1988" s="1">
        <v>602.0</v>
      </c>
      <c r="I1988" s="1" t="s">
        <v>21</v>
      </c>
      <c r="J1988" s="1" t="s">
        <v>18</v>
      </c>
      <c r="K1988" s="1">
        <v>68000.0</v>
      </c>
      <c r="L1988" s="1">
        <v>56.96052845</v>
      </c>
      <c r="M1988" s="1">
        <v>24.2338127271218</v>
      </c>
    </row>
    <row r="1989">
      <c r="A1989" s="1" t="s">
        <v>22</v>
      </c>
      <c r="B1989" s="1" t="s">
        <v>23</v>
      </c>
      <c r="C1989" s="1" t="s">
        <v>91</v>
      </c>
      <c r="D1989" s="1">
        <v>4.0</v>
      </c>
      <c r="E1989" s="1">
        <v>124.0</v>
      </c>
      <c r="F1989" s="1">
        <v>3.0</v>
      </c>
      <c r="G1989" s="1">
        <v>7.0</v>
      </c>
      <c r="H1989" s="1" t="s">
        <v>32</v>
      </c>
      <c r="I1989" s="1" t="s">
        <v>33</v>
      </c>
      <c r="J1989" s="1" t="s">
        <v>18</v>
      </c>
      <c r="K1989" s="1">
        <v>288888.0</v>
      </c>
      <c r="L1989" s="1">
        <v>56.9552522</v>
      </c>
      <c r="M1989" s="1">
        <v>24.0999991251943</v>
      </c>
    </row>
    <row r="1990">
      <c r="A1990" s="1" t="s">
        <v>22</v>
      </c>
      <c r="B1990" s="1" t="s">
        <v>23</v>
      </c>
      <c r="C1990" s="1" t="s">
        <v>1457</v>
      </c>
      <c r="D1990" s="1">
        <v>1.0</v>
      </c>
      <c r="E1990" s="1">
        <v>27.0</v>
      </c>
      <c r="F1990" s="1">
        <v>5.0</v>
      </c>
      <c r="G1990" s="1">
        <v>5.0</v>
      </c>
      <c r="H1990" s="1" t="s">
        <v>66</v>
      </c>
      <c r="I1990" s="1" t="s">
        <v>37</v>
      </c>
      <c r="J1990" s="1" t="s">
        <v>18</v>
      </c>
      <c r="K1990" s="1">
        <v>52000.0</v>
      </c>
      <c r="L1990" s="1">
        <v>56.95211405</v>
      </c>
      <c r="M1990" s="1">
        <v>24.1453649650548</v>
      </c>
    </row>
    <row r="1991">
      <c r="A1991" s="1" t="s">
        <v>13</v>
      </c>
      <c r="B1991" s="1" t="s">
        <v>23</v>
      </c>
      <c r="C1991" s="1" t="s">
        <v>64</v>
      </c>
      <c r="D1991" s="1">
        <v>3.0</v>
      </c>
      <c r="E1991" s="1">
        <v>100.0</v>
      </c>
      <c r="F1991" s="1">
        <v>7.0</v>
      </c>
      <c r="G1991" s="1">
        <v>7.0</v>
      </c>
      <c r="H1991" s="1" t="s">
        <v>25</v>
      </c>
      <c r="I1991" s="1" t="s">
        <v>33</v>
      </c>
      <c r="J1991" s="1" t="s">
        <v>18</v>
      </c>
      <c r="K1991" s="1">
        <v>85.0</v>
      </c>
      <c r="L1991" s="1">
        <v>56.9521436</v>
      </c>
      <c r="M1991" s="1">
        <v>24.1276865</v>
      </c>
    </row>
    <row r="1992">
      <c r="A1992" s="1" t="s">
        <v>22</v>
      </c>
      <c r="B1992" s="1" t="s">
        <v>82</v>
      </c>
      <c r="C1992" s="1" t="s">
        <v>1387</v>
      </c>
      <c r="D1992" s="1">
        <v>2.0</v>
      </c>
      <c r="E1992" s="1">
        <v>57.0</v>
      </c>
      <c r="F1992" s="1">
        <v>3.0</v>
      </c>
      <c r="G1992" s="1">
        <v>3.0</v>
      </c>
      <c r="H1992" s="1" t="s">
        <v>32</v>
      </c>
      <c r="I1992" s="1" t="s">
        <v>37</v>
      </c>
      <c r="J1992" s="1" t="s">
        <v>18</v>
      </c>
      <c r="K1992" s="1">
        <v>165000.0</v>
      </c>
      <c r="L1992" s="1">
        <v>56.9489344</v>
      </c>
      <c r="M1992" s="1">
        <v>24.0882804</v>
      </c>
    </row>
    <row r="1993">
      <c r="A1993" s="1" t="s">
        <v>13</v>
      </c>
      <c r="B1993" s="1" t="s">
        <v>52</v>
      </c>
      <c r="C1993" s="1" t="s">
        <v>1458</v>
      </c>
      <c r="D1993" s="1">
        <v>2.0</v>
      </c>
      <c r="E1993" s="1">
        <v>55.0</v>
      </c>
      <c r="F1993" s="1">
        <v>9.0</v>
      </c>
      <c r="G1993" s="1">
        <v>9.0</v>
      </c>
      <c r="H1993" s="1">
        <v>119.0</v>
      </c>
      <c r="I1993" s="1" t="s">
        <v>21</v>
      </c>
      <c r="J1993" s="1" t="s">
        <v>18</v>
      </c>
      <c r="K1993" s="1">
        <v>35.0</v>
      </c>
      <c r="L1993" s="1">
        <v>56.9463129</v>
      </c>
      <c r="M1993" s="1">
        <v>24.0147023813573</v>
      </c>
    </row>
    <row r="1994">
      <c r="A1994" s="1" t="s">
        <v>22</v>
      </c>
      <c r="B1994" s="1" t="s">
        <v>23</v>
      </c>
      <c r="C1994" s="1" t="s">
        <v>374</v>
      </c>
      <c r="D1994" s="1">
        <v>3.0</v>
      </c>
      <c r="E1994" s="1">
        <v>97.0</v>
      </c>
      <c r="F1994" s="1">
        <v>4.0</v>
      </c>
      <c r="G1994" s="1">
        <v>5.0</v>
      </c>
      <c r="H1994" s="1" t="s">
        <v>25</v>
      </c>
      <c r="I1994" s="1" t="s">
        <v>33</v>
      </c>
      <c r="J1994" s="1" t="s">
        <v>18</v>
      </c>
      <c r="K1994" s="1">
        <v>195000.0</v>
      </c>
      <c r="L1994" s="1">
        <v>56.9520463</v>
      </c>
      <c r="M1994" s="1">
        <v>24.11476</v>
      </c>
    </row>
    <row r="1995">
      <c r="A1995" s="1" t="s">
        <v>22</v>
      </c>
      <c r="B1995" s="1" t="s">
        <v>19</v>
      </c>
      <c r="C1995" s="1" t="s">
        <v>469</v>
      </c>
      <c r="D1995" s="1">
        <v>2.0</v>
      </c>
      <c r="E1995" s="1">
        <v>56.0</v>
      </c>
      <c r="F1995" s="1">
        <v>2.0</v>
      </c>
      <c r="G1995" s="1">
        <v>5.0</v>
      </c>
      <c r="H1995" s="1" t="s">
        <v>36</v>
      </c>
      <c r="I1995" s="1" t="s">
        <v>21</v>
      </c>
      <c r="J1995" s="1" t="s">
        <v>18</v>
      </c>
      <c r="K1995" s="1">
        <v>64500.0</v>
      </c>
      <c r="L1995" s="1">
        <v>56.9108369</v>
      </c>
      <c r="M1995" s="1">
        <v>24.098253430927</v>
      </c>
    </row>
    <row r="1996">
      <c r="A1996" s="1" t="s">
        <v>22</v>
      </c>
      <c r="B1996" s="1" t="s">
        <v>23</v>
      </c>
      <c r="C1996" s="1" t="s">
        <v>1459</v>
      </c>
      <c r="D1996" s="1">
        <v>2.0</v>
      </c>
      <c r="E1996" s="1">
        <v>36.0</v>
      </c>
      <c r="F1996" s="1">
        <v>2.0</v>
      </c>
      <c r="G1996" s="1">
        <v>2.0</v>
      </c>
      <c r="H1996" s="1" t="s">
        <v>36</v>
      </c>
      <c r="I1996" s="1" t="s">
        <v>26</v>
      </c>
      <c r="J1996" s="1" t="s">
        <v>27</v>
      </c>
      <c r="K1996" s="1">
        <v>15890.0</v>
      </c>
      <c r="L1996" s="1">
        <v>56.9599542</v>
      </c>
      <c r="M1996" s="1">
        <v>24.1248268</v>
      </c>
    </row>
    <row r="1997">
      <c r="A1997" s="1" t="s">
        <v>22</v>
      </c>
      <c r="B1997" s="1" t="s">
        <v>422</v>
      </c>
      <c r="C1997" s="1" t="s">
        <v>1460</v>
      </c>
      <c r="D1997" s="1">
        <v>1.0</v>
      </c>
      <c r="E1997" s="1">
        <v>25.0</v>
      </c>
      <c r="F1997" s="1">
        <v>1.0</v>
      </c>
      <c r="G1997" s="1">
        <v>1.0</v>
      </c>
      <c r="H1997" s="1" t="s">
        <v>36</v>
      </c>
      <c r="I1997" s="1" t="s">
        <v>26</v>
      </c>
      <c r="J1997" s="1" t="s">
        <v>27</v>
      </c>
      <c r="K1997" s="1">
        <v>11000.0</v>
      </c>
      <c r="L1997" s="1">
        <v>56.93698015</v>
      </c>
      <c r="M1997" s="1">
        <v>24.0403617021133</v>
      </c>
    </row>
    <row r="1998">
      <c r="A1998" s="1" t="s">
        <v>89</v>
      </c>
      <c r="B1998" s="1" t="s">
        <v>30</v>
      </c>
      <c r="C1998" s="2"/>
      <c r="D1998" s="1">
        <v>2.0</v>
      </c>
      <c r="E1998" s="2"/>
      <c r="F1998" s="2"/>
      <c r="G1998" s="2"/>
      <c r="H1998" s="2"/>
      <c r="I1998" s="2"/>
      <c r="J1998" s="2"/>
      <c r="K1998" s="2"/>
      <c r="L1998" s="1">
        <v>46.3144754</v>
      </c>
      <c r="M1998" s="1">
        <v>11.0480288</v>
      </c>
    </row>
    <row r="1999">
      <c r="A1999" s="1" t="s">
        <v>22</v>
      </c>
      <c r="B1999" s="1" t="s">
        <v>42</v>
      </c>
      <c r="C1999" s="1" t="s">
        <v>1461</v>
      </c>
      <c r="D1999" s="1">
        <v>2.0</v>
      </c>
      <c r="E1999" s="1">
        <v>45.0</v>
      </c>
      <c r="F1999" s="1">
        <v>3.0</v>
      </c>
      <c r="G1999" s="1">
        <v>5.0</v>
      </c>
      <c r="H1999" s="1" t="s">
        <v>16</v>
      </c>
      <c r="I1999" s="1" t="s">
        <v>21</v>
      </c>
      <c r="J1999" s="1" t="s">
        <v>18</v>
      </c>
      <c r="K1999" s="1">
        <v>40000.0</v>
      </c>
      <c r="L1999" s="1">
        <v>56.98077435</v>
      </c>
      <c r="M1999" s="1">
        <v>24.2503451750686</v>
      </c>
    </row>
    <row r="2000">
      <c r="A2000" s="1" t="s">
        <v>22</v>
      </c>
      <c r="B2000" s="1" t="s">
        <v>23</v>
      </c>
      <c r="C2000" s="1" t="s">
        <v>1462</v>
      </c>
      <c r="D2000" s="1">
        <v>5.0</v>
      </c>
      <c r="E2000" s="1">
        <v>210.0</v>
      </c>
      <c r="F2000" s="1">
        <v>1.0</v>
      </c>
      <c r="G2000" s="1">
        <v>5.0</v>
      </c>
      <c r="H2000" s="1" t="s">
        <v>66</v>
      </c>
      <c r="I2000" s="1" t="s">
        <v>33</v>
      </c>
      <c r="J2000" s="1" t="s">
        <v>18</v>
      </c>
      <c r="K2000" s="1">
        <v>288888.0</v>
      </c>
      <c r="L2000" s="1">
        <v>48.2969502</v>
      </c>
      <c r="M2000" s="1">
        <v>-100.7081938</v>
      </c>
    </row>
    <row r="2001">
      <c r="A2001" s="1" t="s">
        <v>13</v>
      </c>
      <c r="B2001" s="1" t="s">
        <v>23</v>
      </c>
      <c r="C2001" s="1" t="s">
        <v>491</v>
      </c>
      <c r="D2001" s="1">
        <v>3.0</v>
      </c>
      <c r="E2001" s="1">
        <v>79.0</v>
      </c>
      <c r="F2001" s="1">
        <v>6.0</v>
      </c>
      <c r="G2001" s="1">
        <v>7.0</v>
      </c>
      <c r="H2001" s="1" t="s">
        <v>66</v>
      </c>
      <c r="I2001" s="1" t="s">
        <v>33</v>
      </c>
      <c r="J2001" s="1" t="s">
        <v>18</v>
      </c>
      <c r="K2001" s="1">
        <v>700.0</v>
      </c>
      <c r="L2001" s="1">
        <v>56.9505796</v>
      </c>
      <c r="M2001" s="1">
        <v>24.1255938</v>
      </c>
    </row>
    <row r="2002">
      <c r="A2002" s="1" t="s">
        <v>22</v>
      </c>
      <c r="B2002" s="1" t="s">
        <v>23</v>
      </c>
      <c r="C2002" s="1" t="s">
        <v>674</v>
      </c>
      <c r="D2002" s="1">
        <v>1.0</v>
      </c>
      <c r="E2002" s="1">
        <v>38.0</v>
      </c>
      <c r="F2002" s="1">
        <v>3.0</v>
      </c>
      <c r="G2002" s="1">
        <v>9.0</v>
      </c>
      <c r="H2002" s="1" t="s">
        <v>66</v>
      </c>
      <c r="I2002" s="1" t="s">
        <v>17</v>
      </c>
      <c r="J2002" s="1" t="s">
        <v>18</v>
      </c>
      <c r="K2002" s="1">
        <v>45000.0</v>
      </c>
      <c r="L2002" s="1">
        <v>56.97650505</v>
      </c>
      <c r="M2002" s="1">
        <v>24.1464958357009</v>
      </c>
    </row>
    <row r="2003">
      <c r="A2003" s="1" t="s">
        <v>22</v>
      </c>
      <c r="B2003" s="1" t="s">
        <v>104</v>
      </c>
      <c r="C2003" s="1" t="s">
        <v>1463</v>
      </c>
      <c r="D2003" s="1">
        <v>2.0</v>
      </c>
      <c r="E2003" s="1">
        <v>41.0</v>
      </c>
      <c r="F2003" s="1">
        <v>4.0</v>
      </c>
      <c r="G2003" s="1">
        <v>4.0</v>
      </c>
      <c r="H2003" s="1" t="s">
        <v>44</v>
      </c>
      <c r="I2003" s="1" t="s">
        <v>37</v>
      </c>
      <c r="J2003" s="1" t="s">
        <v>18</v>
      </c>
      <c r="K2003" s="1">
        <v>45000.0</v>
      </c>
      <c r="L2003" s="1">
        <v>56.9371723</v>
      </c>
      <c r="M2003" s="1">
        <v>24.05661315</v>
      </c>
    </row>
    <row r="2004">
      <c r="A2004" s="1" t="s">
        <v>22</v>
      </c>
      <c r="B2004" s="1" t="s">
        <v>422</v>
      </c>
      <c r="C2004" s="1" t="s">
        <v>1464</v>
      </c>
      <c r="D2004" s="1">
        <v>2.0</v>
      </c>
      <c r="E2004" s="1">
        <v>42.0</v>
      </c>
      <c r="F2004" s="1">
        <v>1.0</v>
      </c>
      <c r="G2004" s="1">
        <v>2.0</v>
      </c>
      <c r="H2004" s="1" t="s">
        <v>171</v>
      </c>
      <c r="I2004" s="1" t="s">
        <v>26</v>
      </c>
      <c r="J2004" s="1" t="s">
        <v>18</v>
      </c>
      <c r="K2004" s="1">
        <v>52000.0</v>
      </c>
      <c r="L2004" s="1">
        <v>56.9318064499999</v>
      </c>
      <c r="M2004" s="1">
        <v>24.0198103642716</v>
      </c>
    </row>
    <row r="2005">
      <c r="A2005" s="1" t="s">
        <v>22</v>
      </c>
      <c r="B2005" s="1" t="s">
        <v>23</v>
      </c>
      <c r="C2005" s="1" t="s">
        <v>1465</v>
      </c>
      <c r="D2005" s="1">
        <v>4.0</v>
      </c>
      <c r="E2005" s="1">
        <v>128.0</v>
      </c>
      <c r="F2005" s="1">
        <v>2.0</v>
      </c>
      <c r="G2005" s="1">
        <v>6.0</v>
      </c>
      <c r="H2005" s="1" t="s">
        <v>66</v>
      </c>
      <c r="I2005" s="1" t="s">
        <v>37</v>
      </c>
      <c r="J2005" s="1" t="s">
        <v>18</v>
      </c>
      <c r="K2005" s="1">
        <v>267960.0</v>
      </c>
      <c r="L2005" s="1" t="s">
        <v>40</v>
      </c>
      <c r="M2005" s="1" t="s">
        <v>40</v>
      </c>
    </row>
    <row r="2006">
      <c r="A2006" s="1" t="s">
        <v>13</v>
      </c>
      <c r="B2006" s="1" t="s">
        <v>109</v>
      </c>
      <c r="C2006" s="1" t="s">
        <v>1466</v>
      </c>
      <c r="D2006" s="1">
        <v>3.0</v>
      </c>
      <c r="E2006" s="1">
        <v>70.0</v>
      </c>
      <c r="F2006" s="1">
        <v>11.0</v>
      </c>
      <c r="G2006" s="1">
        <v>12.0</v>
      </c>
      <c r="H2006" s="1" t="s">
        <v>36</v>
      </c>
      <c r="I2006" s="1" t="s">
        <v>17</v>
      </c>
      <c r="J2006" s="1" t="s">
        <v>18</v>
      </c>
      <c r="K2006" s="1">
        <v>400.0</v>
      </c>
      <c r="L2006" s="1">
        <v>56.9949314499999</v>
      </c>
      <c r="M2006" s="1">
        <v>24.1681921067166</v>
      </c>
    </row>
    <row r="2007">
      <c r="A2007" s="1" t="s">
        <v>22</v>
      </c>
      <c r="B2007" s="1" t="s">
        <v>48</v>
      </c>
      <c r="C2007" s="1" t="s">
        <v>1467</v>
      </c>
      <c r="D2007" s="1">
        <v>3.0</v>
      </c>
      <c r="E2007" s="1">
        <v>70.0</v>
      </c>
      <c r="F2007" s="1">
        <v>1.0</v>
      </c>
      <c r="G2007" s="1">
        <v>5.0</v>
      </c>
      <c r="H2007" s="1" t="s">
        <v>32</v>
      </c>
      <c r="I2007" s="1" t="s">
        <v>21</v>
      </c>
      <c r="J2007" s="1" t="s">
        <v>18</v>
      </c>
      <c r="K2007" s="1">
        <v>99900.0</v>
      </c>
      <c r="L2007" s="1" t="s">
        <v>40</v>
      </c>
      <c r="M2007" s="1" t="s">
        <v>40</v>
      </c>
    </row>
    <row r="2008">
      <c r="A2008" s="1" t="s">
        <v>22</v>
      </c>
      <c r="B2008" s="1" t="s">
        <v>23</v>
      </c>
      <c r="C2008" s="1" t="s">
        <v>64</v>
      </c>
      <c r="D2008" s="1">
        <v>1.0</v>
      </c>
      <c r="E2008" s="1">
        <v>37.0</v>
      </c>
      <c r="F2008" s="1">
        <v>6.0</v>
      </c>
      <c r="G2008" s="1">
        <v>7.0</v>
      </c>
      <c r="H2008" s="1" t="s">
        <v>66</v>
      </c>
      <c r="I2008" s="1" t="s">
        <v>33</v>
      </c>
      <c r="J2008" s="1" t="s">
        <v>18</v>
      </c>
      <c r="K2008" s="1">
        <v>72000.0</v>
      </c>
      <c r="L2008" s="1">
        <v>56.9521436</v>
      </c>
      <c r="M2008" s="1">
        <v>24.1276865</v>
      </c>
    </row>
    <row r="2009">
      <c r="A2009" s="1" t="s">
        <v>22</v>
      </c>
      <c r="B2009" s="1" t="s">
        <v>38</v>
      </c>
      <c r="C2009" s="1" t="s">
        <v>1468</v>
      </c>
      <c r="D2009" s="1">
        <v>4.0</v>
      </c>
      <c r="E2009" s="1">
        <v>124.0</v>
      </c>
      <c r="F2009" s="1">
        <v>11.0</v>
      </c>
      <c r="G2009" s="1">
        <v>13.0</v>
      </c>
      <c r="H2009" s="1" t="s">
        <v>36</v>
      </c>
      <c r="I2009" s="1" t="s">
        <v>37</v>
      </c>
      <c r="J2009" s="1" t="s">
        <v>18</v>
      </c>
      <c r="K2009" s="1">
        <v>167000.0</v>
      </c>
      <c r="L2009" s="1">
        <v>56.96054545</v>
      </c>
      <c r="M2009" s="1">
        <v>24.0193858549983</v>
      </c>
    </row>
    <row r="2010">
      <c r="A2010" s="1" t="s">
        <v>22</v>
      </c>
      <c r="B2010" s="1" t="s">
        <v>14</v>
      </c>
      <c r="C2010" s="1" t="s">
        <v>1469</v>
      </c>
      <c r="D2010" s="1">
        <v>2.0</v>
      </c>
      <c r="E2010" s="1">
        <v>54.0</v>
      </c>
      <c r="F2010" s="1">
        <v>4.0</v>
      </c>
      <c r="G2010" s="1">
        <v>9.0</v>
      </c>
      <c r="H2010" s="1">
        <v>119.0</v>
      </c>
      <c r="I2010" s="1" t="s">
        <v>21</v>
      </c>
      <c r="J2010" s="1" t="s">
        <v>18</v>
      </c>
      <c r="K2010" s="1">
        <v>59600.0</v>
      </c>
      <c r="L2010" s="1">
        <v>56.94608785</v>
      </c>
      <c r="M2010" s="1">
        <v>24.20000955</v>
      </c>
    </row>
    <row r="2011">
      <c r="A2011" s="1" t="s">
        <v>22</v>
      </c>
      <c r="B2011" s="1" t="s">
        <v>23</v>
      </c>
      <c r="C2011" s="1" t="s">
        <v>1446</v>
      </c>
      <c r="D2011" s="1">
        <v>6.0</v>
      </c>
      <c r="E2011" s="1">
        <v>131.0</v>
      </c>
      <c r="F2011" s="1">
        <v>4.0</v>
      </c>
      <c r="G2011" s="1">
        <v>4.0</v>
      </c>
      <c r="H2011" s="1" t="s">
        <v>25</v>
      </c>
      <c r="I2011" s="1" t="s">
        <v>33</v>
      </c>
      <c r="J2011" s="1" t="s">
        <v>18</v>
      </c>
      <c r="K2011" s="1">
        <v>90000.0</v>
      </c>
      <c r="L2011" s="1">
        <v>56.9466569</v>
      </c>
      <c r="M2011" s="1">
        <v>24.1073804</v>
      </c>
    </row>
    <row r="2012">
      <c r="A2012" s="1" t="s">
        <v>22</v>
      </c>
      <c r="B2012" s="1" t="s">
        <v>23</v>
      </c>
      <c r="C2012" s="1" t="s">
        <v>1470</v>
      </c>
      <c r="D2012" s="1" t="s">
        <v>90</v>
      </c>
      <c r="E2012" s="1">
        <v>115.4</v>
      </c>
      <c r="F2012" s="1">
        <v>2.0</v>
      </c>
      <c r="G2012" s="1">
        <v>2.0</v>
      </c>
      <c r="H2012" s="1" t="s">
        <v>25</v>
      </c>
      <c r="I2012" s="1" t="s">
        <v>26</v>
      </c>
      <c r="J2012" s="1" t="s">
        <v>27</v>
      </c>
      <c r="K2012" s="1">
        <v>50000.0</v>
      </c>
      <c r="L2012" s="1">
        <v>56.9587931</v>
      </c>
      <c r="M2012" s="1">
        <v>24.1491180145504</v>
      </c>
    </row>
    <row r="2013">
      <c r="A2013" s="1" t="s">
        <v>22</v>
      </c>
      <c r="B2013" s="1" t="s">
        <v>218</v>
      </c>
      <c r="C2013" s="1" t="s">
        <v>1471</v>
      </c>
      <c r="D2013" s="1">
        <v>3.0</v>
      </c>
      <c r="E2013" s="1">
        <v>79.0</v>
      </c>
      <c r="F2013" s="1">
        <v>3.0</v>
      </c>
      <c r="G2013" s="1">
        <v>5.0</v>
      </c>
      <c r="H2013" s="1" t="s">
        <v>25</v>
      </c>
      <c r="I2013" s="1" t="s">
        <v>33</v>
      </c>
      <c r="J2013" s="1" t="s">
        <v>18</v>
      </c>
      <c r="K2013" s="1">
        <v>168000.0</v>
      </c>
      <c r="L2013" s="1">
        <v>56.9481574</v>
      </c>
      <c r="M2013" s="1">
        <v>24.1076575</v>
      </c>
    </row>
    <row r="2014">
      <c r="A2014" s="1" t="s">
        <v>13</v>
      </c>
      <c r="B2014" s="1" t="s">
        <v>23</v>
      </c>
      <c r="C2014" s="1" t="s">
        <v>546</v>
      </c>
      <c r="D2014" s="1">
        <v>1.0</v>
      </c>
      <c r="E2014" s="1">
        <v>40.0</v>
      </c>
      <c r="F2014" s="1">
        <v>3.0</v>
      </c>
      <c r="G2014" s="1">
        <v>4.0</v>
      </c>
      <c r="H2014" s="1" t="s">
        <v>181</v>
      </c>
      <c r="I2014" s="1" t="s">
        <v>37</v>
      </c>
      <c r="J2014" s="1" t="s">
        <v>18</v>
      </c>
      <c r="K2014" s="1">
        <v>230.0</v>
      </c>
      <c r="L2014" s="1">
        <v>56.9444276</v>
      </c>
      <c r="M2014" s="1">
        <v>24.1218628399213</v>
      </c>
    </row>
    <row r="2015">
      <c r="A2015" s="1" t="s">
        <v>22</v>
      </c>
      <c r="B2015" s="1" t="s">
        <v>14</v>
      </c>
      <c r="C2015" s="1" t="s">
        <v>1472</v>
      </c>
      <c r="D2015" s="1">
        <v>3.0</v>
      </c>
      <c r="E2015" s="1">
        <v>60.0</v>
      </c>
      <c r="F2015" s="1">
        <v>5.0</v>
      </c>
      <c r="G2015" s="1">
        <v>5.0</v>
      </c>
      <c r="H2015" s="1" t="s">
        <v>16</v>
      </c>
      <c r="I2015" s="1" t="s">
        <v>21</v>
      </c>
      <c r="J2015" s="1" t="s">
        <v>18</v>
      </c>
      <c r="K2015" s="1">
        <v>57000.0</v>
      </c>
      <c r="L2015" s="1">
        <v>56.9633505</v>
      </c>
      <c r="M2015" s="1">
        <v>24.1768470921706</v>
      </c>
    </row>
    <row r="2016">
      <c r="A2016" s="1" t="s">
        <v>13</v>
      </c>
      <c r="B2016" s="1" t="s">
        <v>30</v>
      </c>
      <c r="C2016" s="1" t="s">
        <v>1473</v>
      </c>
      <c r="D2016" s="1">
        <v>2.0</v>
      </c>
      <c r="E2016" s="1">
        <v>50.0</v>
      </c>
      <c r="F2016" s="1">
        <v>4.0</v>
      </c>
      <c r="G2016" s="1">
        <v>5.0</v>
      </c>
      <c r="H2016" s="1" t="s">
        <v>16</v>
      </c>
      <c r="I2016" s="1" t="s">
        <v>21</v>
      </c>
      <c r="J2016" s="1" t="s">
        <v>18</v>
      </c>
      <c r="K2016" s="1">
        <v>300.0</v>
      </c>
      <c r="L2016" s="1">
        <v>56.9824574</v>
      </c>
      <c r="M2016" s="1">
        <v>24.1870750334298</v>
      </c>
    </row>
    <row r="2017">
      <c r="A2017" s="1" t="s">
        <v>22</v>
      </c>
      <c r="B2017" s="1" t="s">
        <v>23</v>
      </c>
      <c r="C2017" s="1" t="s">
        <v>478</v>
      </c>
      <c r="D2017" s="1">
        <v>3.0</v>
      </c>
      <c r="E2017" s="1">
        <v>76.2</v>
      </c>
      <c r="F2017" s="1">
        <v>3.0</v>
      </c>
      <c r="G2017" s="1">
        <v>7.0</v>
      </c>
      <c r="H2017" s="1" t="s">
        <v>32</v>
      </c>
      <c r="I2017" s="1" t="s">
        <v>122</v>
      </c>
      <c r="J2017" s="1" t="s">
        <v>18</v>
      </c>
      <c r="K2017" s="1">
        <v>211000.0</v>
      </c>
      <c r="L2017" s="1">
        <v>56.9493295</v>
      </c>
      <c r="M2017" s="1">
        <v>24.1264892056074</v>
      </c>
    </row>
    <row r="2018">
      <c r="A2018" s="1" t="s">
        <v>22</v>
      </c>
      <c r="B2018" s="1" t="s">
        <v>109</v>
      </c>
      <c r="C2018" s="1" t="s">
        <v>1449</v>
      </c>
      <c r="D2018" s="1">
        <v>2.0</v>
      </c>
      <c r="E2018" s="1">
        <v>47.0</v>
      </c>
      <c r="F2018" s="1">
        <v>3.0</v>
      </c>
      <c r="G2018" s="1">
        <v>3.0</v>
      </c>
      <c r="H2018" s="1" t="s">
        <v>32</v>
      </c>
      <c r="I2018" s="1" t="s">
        <v>122</v>
      </c>
      <c r="J2018" s="1" t="s">
        <v>18</v>
      </c>
      <c r="K2018" s="1">
        <v>120000.0</v>
      </c>
      <c r="L2018" s="1">
        <v>56.994436</v>
      </c>
      <c r="M2018" s="1">
        <v>24.1578037</v>
      </c>
    </row>
    <row r="2019">
      <c r="A2019" s="1" t="s">
        <v>89</v>
      </c>
      <c r="B2019" s="1" t="s">
        <v>42</v>
      </c>
      <c r="C2019" s="2"/>
      <c r="D2019" s="1" t="s">
        <v>90</v>
      </c>
      <c r="E2019" s="2"/>
      <c r="F2019" s="2"/>
      <c r="G2019" s="2"/>
      <c r="H2019" s="2"/>
      <c r="I2019" s="2"/>
      <c r="J2019" s="2"/>
      <c r="K2019" s="2"/>
      <c r="L2019" s="1">
        <v>46.3144754</v>
      </c>
      <c r="M2019" s="1">
        <v>11.0480288</v>
      </c>
    </row>
    <row r="2020">
      <c r="A2020" s="1" t="s">
        <v>13</v>
      </c>
      <c r="B2020" s="1" t="s">
        <v>38</v>
      </c>
      <c r="C2020" s="1" t="s">
        <v>1047</v>
      </c>
      <c r="D2020" s="1">
        <v>2.0</v>
      </c>
      <c r="E2020" s="1">
        <v>49.0</v>
      </c>
      <c r="F2020" s="1">
        <v>9.0</v>
      </c>
      <c r="G2020" s="1">
        <v>9.0</v>
      </c>
      <c r="H2020" s="1">
        <v>602.0</v>
      </c>
      <c r="I2020" s="1" t="s">
        <v>21</v>
      </c>
      <c r="J2020" s="1" t="s">
        <v>18</v>
      </c>
      <c r="K2020" s="1">
        <v>35.0</v>
      </c>
      <c r="L2020" s="1">
        <v>56.9618626</v>
      </c>
      <c r="M2020" s="1">
        <v>24.0034910214559</v>
      </c>
    </row>
    <row r="2021">
      <c r="A2021" s="1" t="s">
        <v>22</v>
      </c>
      <c r="B2021" s="1" t="s">
        <v>38</v>
      </c>
      <c r="C2021" s="1" t="s">
        <v>1474</v>
      </c>
      <c r="D2021" s="1">
        <v>2.0</v>
      </c>
      <c r="E2021" s="1">
        <v>50.0</v>
      </c>
      <c r="F2021" s="1">
        <v>3.0</v>
      </c>
      <c r="G2021" s="1">
        <v>9.0</v>
      </c>
      <c r="H2021" s="1" t="s">
        <v>32</v>
      </c>
      <c r="I2021" s="1" t="s">
        <v>21</v>
      </c>
      <c r="J2021" s="1" t="s">
        <v>18</v>
      </c>
      <c r="K2021" s="1">
        <v>109900.0</v>
      </c>
      <c r="L2021" s="1">
        <v>56.9520352499999</v>
      </c>
      <c r="M2021" s="1">
        <v>24.0038532251639</v>
      </c>
    </row>
    <row r="2022">
      <c r="A2022" s="1" t="s">
        <v>22</v>
      </c>
      <c r="B2022" s="1" t="s">
        <v>23</v>
      </c>
      <c r="C2022" s="1" t="s">
        <v>826</v>
      </c>
      <c r="D2022" s="1">
        <v>1.0</v>
      </c>
      <c r="E2022" s="1">
        <v>60.0</v>
      </c>
      <c r="F2022" s="1">
        <v>4.0</v>
      </c>
      <c r="G2022" s="1">
        <v>7.0</v>
      </c>
      <c r="H2022" s="1" t="s">
        <v>32</v>
      </c>
      <c r="I2022" s="1" t="s">
        <v>21</v>
      </c>
      <c r="J2022" s="1" t="s">
        <v>18</v>
      </c>
      <c r="K2022" s="1">
        <v>185000.0</v>
      </c>
      <c r="L2022" s="1">
        <v>56.9660465</v>
      </c>
      <c r="M2022" s="1">
        <v>24.1019662</v>
      </c>
    </row>
    <row r="2023">
      <c r="A2023" s="1" t="s">
        <v>13</v>
      </c>
      <c r="B2023" s="1" t="s">
        <v>218</v>
      </c>
      <c r="C2023" s="1" t="s">
        <v>219</v>
      </c>
      <c r="D2023" s="1">
        <v>4.0</v>
      </c>
      <c r="E2023" s="1">
        <v>169.0</v>
      </c>
      <c r="F2023" s="1">
        <v>4.0</v>
      </c>
      <c r="G2023" s="1">
        <v>5.0</v>
      </c>
      <c r="H2023" s="1" t="s">
        <v>32</v>
      </c>
      <c r="I2023" s="1" t="s">
        <v>33</v>
      </c>
      <c r="J2023" s="1" t="s">
        <v>18</v>
      </c>
      <c r="K2023" s="1">
        <v>2600.0</v>
      </c>
      <c r="L2023" s="1">
        <v>56.9453381999999</v>
      </c>
      <c r="M2023" s="1">
        <v>24.1094639533088</v>
      </c>
    </row>
    <row r="2024">
      <c r="A2024" s="1" t="s">
        <v>22</v>
      </c>
      <c r="B2024" s="1" t="s">
        <v>52</v>
      </c>
      <c r="C2024" s="1" t="s">
        <v>222</v>
      </c>
      <c r="D2024" s="1">
        <v>2.0</v>
      </c>
      <c r="E2024" s="1">
        <v>72.0</v>
      </c>
      <c r="F2024" s="1">
        <v>1.0</v>
      </c>
      <c r="G2024" s="1">
        <v>4.0</v>
      </c>
      <c r="H2024" s="1" t="s">
        <v>32</v>
      </c>
      <c r="I2024" s="1" t="s">
        <v>17</v>
      </c>
      <c r="J2024" s="1" t="s">
        <v>18</v>
      </c>
      <c r="K2024" s="1">
        <v>85000.0</v>
      </c>
      <c r="L2024" s="1">
        <v>56.9425813</v>
      </c>
      <c r="M2024" s="1">
        <v>24.0156589752924</v>
      </c>
    </row>
    <row r="2025">
      <c r="A2025" s="1" t="s">
        <v>22</v>
      </c>
      <c r="B2025" s="1" t="s">
        <v>23</v>
      </c>
      <c r="C2025" s="1" t="s">
        <v>1475</v>
      </c>
      <c r="D2025" s="1">
        <v>2.0</v>
      </c>
      <c r="E2025" s="1">
        <v>58.0</v>
      </c>
      <c r="F2025" s="1">
        <v>1.0</v>
      </c>
      <c r="G2025" s="1">
        <v>5.0</v>
      </c>
      <c r="H2025" s="1" t="s">
        <v>25</v>
      </c>
      <c r="I2025" s="1" t="s">
        <v>33</v>
      </c>
      <c r="J2025" s="1" t="s">
        <v>18</v>
      </c>
      <c r="K2025" s="1">
        <v>82000.0</v>
      </c>
      <c r="L2025" s="1">
        <v>56.9533109</v>
      </c>
      <c r="M2025" s="1">
        <v>24.1349288</v>
      </c>
    </row>
    <row r="2026">
      <c r="A2026" s="1" t="s">
        <v>22</v>
      </c>
      <c r="B2026" s="1" t="s">
        <v>23</v>
      </c>
      <c r="C2026" s="1" t="s">
        <v>982</v>
      </c>
      <c r="D2026" s="1">
        <v>3.0</v>
      </c>
      <c r="E2026" s="1">
        <v>47.0</v>
      </c>
      <c r="F2026" s="1">
        <v>5.0</v>
      </c>
      <c r="G2026" s="1">
        <v>9.0</v>
      </c>
      <c r="H2026" s="1" t="s">
        <v>32</v>
      </c>
      <c r="I2026" s="1" t="s">
        <v>33</v>
      </c>
      <c r="J2026" s="1" t="s">
        <v>18</v>
      </c>
      <c r="K2026" s="1">
        <v>94000.0</v>
      </c>
      <c r="L2026" s="1">
        <v>56.9742195</v>
      </c>
      <c r="M2026" s="1">
        <v>24.1483510382088</v>
      </c>
    </row>
    <row r="2027">
      <c r="A2027" s="1" t="s">
        <v>22</v>
      </c>
      <c r="B2027" s="1" t="s">
        <v>23</v>
      </c>
      <c r="C2027" s="1" t="s">
        <v>1465</v>
      </c>
      <c r="D2027" s="1">
        <v>3.0</v>
      </c>
      <c r="E2027" s="1">
        <v>105.0</v>
      </c>
      <c r="F2027" s="1">
        <v>6.0</v>
      </c>
      <c r="G2027" s="1">
        <v>6.0</v>
      </c>
      <c r="H2027" s="1" t="s">
        <v>66</v>
      </c>
      <c r="I2027" s="1" t="s">
        <v>33</v>
      </c>
      <c r="J2027" s="1" t="s">
        <v>18</v>
      </c>
      <c r="K2027" s="1">
        <v>220500.0</v>
      </c>
      <c r="L2027" s="1" t="s">
        <v>40</v>
      </c>
      <c r="M2027" s="1" t="s">
        <v>40</v>
      </c>
    </row>
    <row r="2028">
      <c r="A2028" s="1" t="s">
        <v>22</v>
      </c>
      <c r="B2028" s="1" t="s">
        <v>23</v>
      </c>
      <c r="C2028" s="1" t="s">
        <v>1476</v>
      </c>
      <c r="D2028" s="1">
        <v>4.0</v>
      </c>
      <c r="E2028" s="1">
        <v>76.0</v>
      </c>
      <c r="F2028" s="1">
        <v>1.0</v>
      </c>
      <c r="G2028" s="1">
        <v>6.0</v>
      </c>
      <c r="H2028" s="1" t="s">
        <v>66</v>
      </c>
      <c r="I2028" s="1" t="s">
        <v>33</v>
      </c>
      <c r="J2028" s="1" t="s">
        <v>18</v>
      </c>
      <c r="K2028" s="1">
        <v>127700.0</v>
      </c>
      <c r="L2028" s="1" t="s">
        <v>40</v>
      </c>
      <c r="M2028" s="1" t="s">
        <v>40</v>
      </c>
    </row>
    <row r="2029">
      <c r="A2029" s="1" t="s">
        <v>22</v>
      </c>
      <c r="B2029" s="1" t="s">
        <v>23</v>
      </c>
      <c r="C2029" s="1" t="s">
        <v>1465</v>
      </c>
      <c r="D2029" s="1">
        <v>6.0</v>
      </c>
      <c r="E2029" s="1">
        <v>199.0</v>
      </c>
      <c r="F2029" s="1">
        <v>4.0</v>
      </c>
      <c r="G2029" s="1">
        <v>6.0</v>
      </c>
      <c r="H2029" s="1" t="s">
        <v>66</v>
      </c>
      <c r="I2029" s="1" t="s">
        <v>37</v>
      </c>
      <c r="J2029" s="1" t="s">
        <v>18</v>
      </c>
      <c r="K2029" s="1">
        <v>399000.0</v>
      </c>
      <c r="L2029" s="1" t="s">
        <v>40</v>
      </c>
      <c r="M2029" s="1" t="s">
        <v>40</v>
      </c>
    </row>
    <row r="2030">
      <c r="A2030" s="1" t="s">
        <v>89</v>
      </c>
      <c r="B2030" s="1" t="s">
        <v>134</v>
      </c>
      <c r="C2030" s="2"/>
      <c r="D2030" s="1">
        <v>2.0</v>
      </c>
      <c r="E2030" s="2"/>
      <c r="F2030" s="2"/>
      <c r="G2030" s="2"/>
      <c r="H2030" s="2"/>
      <c r="I2030" s="2"/>
      <c r="J2030" s="2"/>
      <c r="K2030" s="2"/>
      <c r="L2030" s="1">
        <v>46.3144754</v>
      </c>
      <c r="M2030" s="1">
        <v>11.0480288</v>
      </c>
    </row>
    <row r="2031">
      <c r="A2031" s="1" t="s">
        <v>89</v>
      </c>
      <c r="B2031" s="1" t="s">
        <v>38</v>
      </c>
      <c r="C2031" s="2"/>
      <c r="D2031" s="1" t="s">
        <v>90</v>
      </c>
      <c r="E2031" s="2"/>
      <c r="F2031" s="2"/>
      <c r="G2031" s="2"/>
      <c r="H2031" s="2"/>
      <c r="I2031" s="2"/>
      <c r="J2031" s="2"/>
      <c r="K2031" s="2"/>
      <c r="L2031" s="1">
        <v>46.3144754</v>
      </c>
      <c r="M2031" s="1">
        <v>11.0480288</v>
      </c>
    </row>
    <row r="2032">
      <c r="A2032" s="1" t="s">
        <v>13</v>
      </c>
      <c r="B2032" s="1" t="s">
        <v>23</v>
      </c>
      <c r="C2032" s="1" t="s">
        <v>1181</v>
      </c>
      <c r="D2032" s="1">
        <v>1.0</v>
      </c>
      <c r="E2032" s="1">
        <v>30.0</v>
      </c>
      <c r="F2032" s="1">
        <v>3.0</v>
      </c>
      <c r="G2032" s="1">
        <v>5.0</v>
      </c>
      <c r="H2032" s="1" t="s">
        <v>25</v>
      </c>
      <c r="I2032" s="1" t="s">
        <v>33</v>
      </c>
      <c r="J2032" s="1" t="s">
        <v>18</v>
      </c>
      <c r="K2032" s="1">
        <v>255.0</v>
      </c>
      <c r="L2032" s="1">
        <v>56.9519155</v>
      </c>
      <c r="M2032" s="1">
        <v>24.1404527160079</v>
      </c>
    </row>
    <row r="2033">
      <c r="A2033" s="1" t="s">
        <v>22</v>
      </c>
      <c r="B2033" s="1" t="s">
        <v>23</v>
      </c>
      <c r="C2033" s="1" t="s">
        <v>1477</v>
      </c>
      <c r="D2033" s="1">
        <v>3.0</v>
      </c>
      <c r="E2033" s="1">
        <v>110.0</v>
      </c>
      <c r="F2033" s="1">
        <v>2.0</v>
      </c>
      <c r="G2033" s="1">
        <v>5.0</v>
      </c>
      <c r="H2033" s="1" t="s">
        <v>25</v>
      </c>
      <c r="I2033" s="1" t="s">
        <v>33</v>
      </c>
      <c r="J2033" s="1" t="s">
        <v>18</v>
      </c>
      <c r="K2033" s="1">
        <v>117000.0</v>
      </c>
      <c r="L2033" s="1">
        <v>56.9504872</v>
      </c>
      <c r="M2033" s="1">
        <v>24.1309744</v>
      </c>
    </row>
    <row r="2034">
      <c r="A2034" s="1" t="s">
        <v>13</v>
      </c>
      <c r="B2034" s="1" t="s">
        <v>23</v>
      </c>
      <c r="C2034" s="1" t="s">
        <v>1088</v>
      </c>
      <c r="D2034" s="1">
        <v>3.0</v>
      </c>
      <c r="E2034" s="1">
        <v>115.0</v>
      </c>
      <c r="F2034" s="1">
        <v>6.0</v>
      </c>
      <c r="G2034" s="1">
        <v>6.0</v>
      </c>
      <c r="H2034" s="1" t="s">
        <v>66</v>
      </c>
      <c r="I2034" s="1" t="s">
        <v>33</v>
      </c>
      <c r="J2034" s="1" t="s">
        <v>18</v>
      </c>
      <c r="K2034" s="1">
        <v>2000.0</v>
      </c>
      <c r="L2034" s="1">
        <v>56.9608302</v>
      </c>
      <c r="M2034" s="1">
        <v>24.1030076</v>
      </c>
    </row>
    <row r="2035">
      <c r="A2035" s="1" t="s">
        <v>22</v>
      </c>
      <c r="B2035" s="1" t="s">
        <v>48</v>
      </c>
      <c r="C2035" s="1" t="s">
        <v>1478</v>
      </c>
      <c r="D2035" s="1">
        <v>2.0</v>
      </c>
      <c r="E2035" s="1">
        <v>39.0</v>
      </c>
      <c r="F2035" s="1">
        <v>5.0</v>
      </c>
      <c r="G2035" s="1">
        <v>5.0</v>
      </c>
      <c r="H2035" s="1" t="s">
        <v>16</v>
      </c>
      <c r="I2035" s="1" t="s">
        <v>21</v>
      </c>
      <c r="J2035" s="1" t="s">
        <v>18</v>
      </c>
      <c r="K2035" s="1">
        <v>29000.0</v>
      </c>
      <c r="L2035" s="1">
        <v>56.9738405</v>
      </c>
      <c r="M2035" s="1">
        <v>24.2262283784181</v>
      </c>
    </row>
    <row r="2036">
      <c r="A2036" s="1" t="s">
        <v>13</v>
      </c>
      <c r="B2036" s="1" t="s">
        <v>23</v>
      </c>
      <c r="C2036" s="1" t="s">
        <v>266</v>
      </c>
      <c r="D2036" s="1">
        <v>2.0</v>
      </c>
      <c r="E2036" s="1">
        <v>50.0</v>
      </c>
      <c r="F2036" s="1">
        <v>5.0</v>
      </c>
      <c r="G2036" s="1">
        <v>6.0</v>
      </c>
      <c r="H2036" s="1" t="s">
        <v>36</v>
      </c>
      <c r="I2036" s="1" t="s">
        <v>33</v>
      </c>
      <c r="J2036" s="1" t="s">
        <v>18</v>
      </c>
      <c r="K2036" s="1">
        <v>500.0</v>
      </c>
      <c r="L2036" s="1">
        <v>56.9507818</v>
      </c>
      <c r="M2036" s="1">
        <v>24.1261795</v>
      </c>
    </row>
    <row r="2037">
      <c r="A2037" s="1" t="s">
        <v>22</v>
      </c>
      <c r="B2037" s="1" t="s">
        <v>23</v>
      </c>
      <c r="C2037" s="1" t="s">
        <v>1479</v>
      </c>
      <c r="D2037" s="1">
        <v>2.0</v>
      </c>
      <c r="E2037" s="1">
        <v>76.0</v>
      </c>
      <c r="F2037" s="1">
        <v>2.0</v>
      </c>
      <c r="G2037" s="1">
        <v>5.0</v>
      </c>
      <c r="H2037" s="1" t="s">
        <v>25</v>
      </c>
      <c r="I2037" s="1" t="s">
        <v>33</v>
      </c>
      <c r="J2037" s="1" t="s">
        <v>18</v>
      </c>
      <c r="K2037" s="1">
        <v>110000.0</v>
      </c>
      <c r="L2037" s="1">
        <v>56.962802</v>
      </c>
      <c r="M2037" s="1">
        <v>24.1495316</v>
      </c>
    </row>
    <row r="2038">
      <c r="A2038" s="1" t="s">
        <v>22</v>
      </c>
      <c r="B2038" s="1" t="s">
        <v>23</v>
      </c>
      <c r="C2038" s="1" t="s">
        <v>757</v>
      </c>
      <c r="D2038" s="1">
        <v>5.0</v>
      </c>
      <c r="E2038" s="1">
        <v>207.4</v>
      </c>
      <c r="F2038" s="1">
        <v>4.0</v>
      </c>
      <c r="G2038" s="1">
        <v>6.0</v>
      </c>
      <c r="H2038" s="1" t="s">
        <v>66</v>
      </c>
      <c r="I2038" s="1" t="s">
        <v>33</v>
      </c>
      <c r="J2038" s="1" t="s">
        <v>18</v>
      </c>
      <c r="K2038" s="1">
        <v>420000.0</v>
      </c>
      <c r="L2038" s="1">
        <v>56.9583571</v>
      </c>
      <c r="M2038" s="1">
        <v>24.1252547</v>
      </c>
    </row>
    <row r="2039">
      <c r="A2039" s="1" t="s">
        <v>22</v>
      </c>
      <c r="B2039" s="1" t="s">
        <v>28</v>
      </c>
      <c r="C2039" s="1" t="s">
        <v>1480</v>
      </c>
      <c r="D2039" s="1">
        <v>2.0</v>
      </c>
      <c r="E2039" s="1">
        <v>47.0</v>
      </c>
      <c r="F2039" s="1">
        <v>4.0</v>
      </c>
      <c r="G2039" s="1">
        <v>9.0</v>
      </c>
      <c r="H2039" s="1">
        <v>467.0</v>
      </c>
      <c r="I2039" s="1" t="s">
        <v>21</v>
      </c>
      <c r="J2039" s="1" t="s">
        <v>18</v>
      </c>
      <c r="K2039" s="1">
        <v>51000.0</v>
      </c>
      <c r="L2039" s="1">
        <v>56.9239084</v>
      </c>
      <c r="M2039" s="1">
        <v>24.1674059998207</v>
      </c>
    </row>
    <row r="2040">
      <c r="A2040" s="1" t="s">
        <v>22</v>
      </c>
      <c r="B2040" s="1" t="s">
        <v>23</v>
      </c>
      <c r="C2040" s="1" t="s">
        <v>940</v>
      </c>
      <c r="D2040" s="1">
        <v>2.0</v>
      </c>
      <c r="E2040" s="1">
        <v>53.0</v>
      </c>
      <c r="F2040" s="1">
        <v>2.0</v>
      </c>
      <c r="G2040" s="1">
        <v>5.0</v>
      </c>
      <c r="H2040" s="1" t="s">
        <v>25</v>
      </c>
      <c r="I2040" s="1" t="s">
        <v>33</v>
      </c>
      <c r="J2040" s="1" t="s">
        <v>18</v>
      </c>
      <c r="K2040" s="1">
        <v>55000.0</v>
      </c>
      <c r="L2040" s="1">
        <v>56.9406658</v>
      </c>
      <c r="M2040" s="1">
        <v>24.1245029</v>
      </c>
    </row>
    <row r="2041">
      <c r="A2041" s="1" t="s">
        <v>22</v>
      </c>
      <c r="B2041" s="1" t="s">
        <v>96</v>
      </c>
      <c r="C2041" s="1" t="s">
        <v>1265</v>
      </c>
      <c r="D2041" s="1" t="s">
        <v>90</v>
      </c>
      <c r="E2041" s="1">
        <v>188.0</v>
      </c>
      <c r="F2041" s="1">
        <v>1.0</v>
      </c>
      <c r="G2041" s="1">
        <v>3.0</v>
      </c>
      <c r="H2041" s="1" t="s">
        <v>181</v>
      </c>
      <c r="I2041" s="1" t="s">
        <v>33</v>
      </c>
      <c r="J2041" s="1" t="s">
        <v>18</v>
      </c>
      <c r="K2041" s="1">
        <v>49000.0</v>
      </c>
      <c r="L2041" s="1">
        <v>57.0290793</v>
      </c>
      <c r="M2041" s="1">
        <v>24.1110987</v>
      </c>
    </row>
    <row r="2042">
      <c r="A2042" s="1" t="s">
        <v>13</v>
      </c>
      <c r="B2042" s="1" t="s">
        <v>23</v>
      </c>
      <c r="C2042" s="1" t="s">
        <v>1481</v>
      </c>
      <c r="D2042" s="1">
        <v>3.0</v>
      </c>
      <c r="E2042" s="1">
        <v>81.0</v>
      </c>
      <c r="F2042" s="1">
        <v>3.0</v>
      </c>
      <c r="G2042" s="1">
        <v>6.0</v>
      </c>
      <c r="H2042" s="1" t="s">
        <v>25</v>
      </c>
      <c r="I2042" s="1" t="s">
        <v>33</v>
      </c>
      <c r="J2042" s="1" t="s">
        <v>18</v>
      </c>
      <c r="K2042" s="1">
        <v>780.0</v>
      </c>
      <c r="L2042" s="1">
        <v>56.9588195</v>
      </c>
      <c r="M2042" s="1">
        <v>24.1185086</v>
      </c>
    </row>
    <row r="2043">
      <c r="A2043" s="1" t="s">
        <v>22</v>
      </c>
      <c r="B2043" s="1" t="s">
        <v>48</v>
      </c>
      <c r="C2043" s="1" t="s">
        <v>365</v>
      </c>
      <c r="D2043" s="1">
        <v>4.0</v>
      </c>
      <c r="E2043" s="1">
        <v>86.0</v>
      </c>
      <c r="F2043" s="1">
        <v>2.0</v>
      </c>
      <c r="G2043" s="1">
        <v>5.0</v>
      </c>
      <c r="H2043" s="1" t="s">
        <v>36</v>
      </c>
      <c r="I2043" s="1" t="s">
        <v>21</v>
      </c>
      <c r="J2043" s="1" t="s">
        <v>18</v>
      </c>
      <c r="K2043" s="1">
        <v>125000.0</v>
      </c>
      <c r="L2043" s="1">
        <v>56.95546705</v>
      </c>
      <c r="M2043" s="1">
        <v>24.24181865</v>
      </c>
    </row>
    <row r="2044">
      <c r="A2044" s="1" t="s">
        <v>22</v>
      </c>
      <c r="B2044" s="1" t="s">
        <v>23</v>
      </c>
      <c r="C2044" s="1" t="s">
        <v>1482</v>
      </c>
      <c r="D2044" s="1">
        <v>4.0</v>
      </c>
      <c r="E2044" s="1">
        <v>140.0</v>
      </c>
      <c r="F2044" s="1">
        <v>3.0</v>
      </c>
      <c r="G2044" s="1">
        <v>5.0</v>
      </c>
      <c r="H2044" s="1" t="s">
        <v>25</v>
      </c>
      <c r="I2044" s="1" t="s">
        <v>33</v>
      </c>
      <c r="J2044" s="1" t="s">
        <v>18</v>
      </c>
      <c r="K2044" s="1">
        <v>498000.0</v>
      </c>
      <c r="L2044" s="1">
        <v>56.9670038</v>
      </c>
      <c r="M2044" s="1">
        <v>24.1471279</v>
      </c>
    </row>
    <row r="2045">
      <c r="A2045" s="1" t="s">
        <v>89</v>
      </c>
      <c r="B2045" s="1" t="s">
        <v>52</v>
      </c>
      <c r="C2045" s="2"/>
      <c r="D2045" s="1" t="s">
        <v>90</v>
      </c>
      <c r="E2045" s="2"/>
      <c r="F2045" s="2"/>
      <c r="G2045" s="2"/>
      <c r="H2045" s="2"/>
      <c r="I2045" s="2"/>
      <c r="J2045" s="2"/>
      <c r="K2045" s="2"/>
      <c r="L2045" s="1">
        <v>46.3144754</v>
      </c>
      <c r="M2045" s="1">
        <v>11.0480288</v>
      </c>
    </row>
    <row r="2046">
      <c r="A2046" s="1" t="s">
        <v>89</v>
      </c>
      <c r="B2046" s="1" t="s">
        <v>96</v>
      </c>
      <c r="C2046" s="2"/>
      <c r="D2046" s="1" t="s">
        <v>90</v>
      </c>
      <c r="E2046" s="2"/>
      <c r="F2046" s="2"/>
      <c r="G2046" s="2"/>
      <c r="H2046" s="2"/>
      <c r="I2046" s="2"/>
      <c r="J2046" s="2"/>
      <c r="K2046" s="2"/>
      <c r="L2046" s="1">
        <v>46.3144754</v>
      </c>
      <c r="M2046" s="1">
        <v>11.0480288</v>
      </c>
    </row>
    <row r="2047">
      <c r="A2047" s="1" t="s">
        <v>89</v>
      </c>
      <c r="B2047" s="1" t="s">
        <v>117</v>
      </c>
      <c r="C2047" s="2"/>
      <c r="D2047" s="1" t="s">
        <v>90</v>
      </c>
      <c r="E2047" s="2"/>
      <c r="F2047" s="2"/>
      <c r="G2047" s="2"/>
      <c r="H2047" s="2"/>
      <c r="I2047" s="2"/>
      <c r="J2047" s="2"/>
      <c r="K2047" s="2"/>
      <c r="L2047" s="1">
        <v>46.3144754</v>
      </c>
      <c r="M2047" s="1">
        <v>11.0480288</v>
      </c>
    </row>
    <row r="2048">
      <c r="A2048" s="1" t="s">
        <v>89</v>
      </c>
      <c r="B2048" s="1" t="s">
        <v>60</v>
      </c>
      <c r="C2048" s="2"/>
      <c r="D2048" s="1" t="s">
        <v>90</v>
      </c>
      <c r="E2048" s="2"/>
      <c r="F2048" s="2"/>
      <c r="G2048" s="2"/>
      <c r="H2048" s="2"/>
      <c r="I2048" s="2"/>
      <c r="J2048" s="2"/>
      <c r="K2048" s="2"/>
      <c r="L2048" s="1">
        <v>46.3144754</v>
      </c>
      <c r="M2048" s="1">
        <v>11.0480288</v>
      </c>
    </row>
    <row r="2049">
      <c r="A2049" s="1" t="s">
        <v>22</v>
      </c>
      <c r="B2049" s="1" t="s">
        <v>23</v>
      </c>
      <c r="C2049" s="1" t="s">
        <v>616</v>
      </c>
      <c r="D2049" s="1">
        <v>3.0</v>
      </c>
      <c r="E2049" s="1">
        <v>94.0</v>
      </c>
      <c r="F2049" s="1">
        <v>2.0</v>
      </c>
      <c r="G2049" s="1">
        <v>7.0</v>
      </c>
      <c r="H2049" s="1" t="s">
        <v>32</v>
      </c>
      <c r="I2049" s="1" t="s">
        <v>33</v>
      </c>
      <c r="J2049" s="1" t="s">
        <v>18</v>
      </c>
      <c r="K2049" s="1">
        <v>224500.0</v>
      </c>
      <c r="L2049" s="1">
        <v>56.9596279</v>
      </c>
      <c r="M2049" s="1">
        <v>24.1079909</v>
      </c>
    </row>
    <row r="2050">
      <c r="A2050" s="1" t="s">
        <v>13</v>
      </c>
      <c r="B2050" s="1" t="s">
        <v>23</v>
      </c>
      <c r="C2050" s="1" t="s">
        <v>1483</v>
      </c>
      <c r="D2050" s="1">
        <v>2.0</v>
      </c>
      <c r="E2050" s="1">
        <v>100.0</v>
      </c>
      <c r="F2050" s="1">
        <v>5.0</v>
      </c>
      <c r="G2050" s="1">
        <v>5.0</v>
      </c>
      <c r="H2050" s="1" t="s">
        <v>66</v>
      </c>
      <c r="I2050" s="1" t="s">
        <v>37</v>
      </c>
      <c r="J2050" s="1" t="s">
        <v>18</v>
      </c>
      <c r="K2050" s="1">
        <v>700.0</v>
      </c>
      <c r="L2050" s="1">
        <v>56.9502154</v>
      </c>
      <c r="M2050" s="1">
        <v>24.1414384724447</v>
      </c>
    </row>
    <row r="2051">
      <c r="A2051" s="1" t="s">
        <v>22</v>
      </c>
      <c r="B2051" s="1" t="s">
        <v>23</v>
      </c>
      <c r="C2051" s="1" t="s">
        <v>1320</v>
      </c>
      <c r="D2051" s="1">
        <v>2.0</v>
      </c>
      <c r="E2051" s="1">
        <v>63.0</v>
      </c>
      <c r="F2051" s="1">
        <v>4.0</v>
      </c>
      <c r="G2051" s="1">
        <v>5.0</v>
      </c>
      <c r="H2051" s="1" t="s">
        <v>32</v>
      </c>
      <c r="I2051" s="1" t="s">
        <v>17</v>
      </c>
      <c r="J2051" s="1" t="s">
        <v>18</v>
      </c>
      <c r="K2051" s="1">
        <v>135000.0</v>
      </c>
      <c r="L2051" s="1">
        <v>56.9681431</v>
      </c>
      <c r="M2051" s="1">
        <v>24.1468839653253</v>
      </c>
    </row>
    <row r="2052">
      <c r="A2052" s="1" t="s">
        <v>22</v>
      </c>
      <c r="B2052" s="1" t="s">
        <v>23</v>
      </c>
      <c r="C2052" s="1" t="s">
        <v>231</v>
      </c>
      <c r="D2052" s="1">
        <v>2.0</v>
      </c>
      <c r="E2052" s="1">
        <v>43.0</v>
      </c>
      <c r="F2052" s="1">
        <v>5.0</v>
      </c>
      <c r="G2052" s="1">
        <v>9.0</v>
      </c>
      <c r="H2052" s="1" t="s">
        <v>32</v>
      </c>
      <c r="I2052" s="1" t="s">
        <v>122</v>
      </c>
      <c r="J2052" s="1" t="s">
        <v>18</v>
      </c>
      <c r="K2052" s="1">
        <v>95777.0</v>
      </c>
      <c r="L2052" s="1">
        <v>56.9628209</v>
      </c>
      <c r="M2052" s="1">
        <v>24.1203782</v>
      </c>
    </row>
    <row r="2053">
      <c r="A2053" s="1" t="s">
        <v>13</v>
      </c>
      <c r="B2053" s="1" t="s">
        <v>23</v>
      </c>
      <c r="C2053" s="1" t="s">
        <v>674</v>
      </c>
      <c r="D2053" s="1">
        <v>1.0</v>
      </c>
      <c r="E2053" s="1">
        <v>38.0</v>
      </c>
      <c r="F2053" s="1">
        <v>2.0</v>
      </c>
      <c r="G2053" s="1">
        <v>9.0</v>
      </c>
      <c r="H2053" s="1" t="s">
        <v>32</v>
      </c>
      <c r="I2053" s="1" t="s">
        <v>17</v>
      </c>
      <c r="J2053" s="1" t="s">
        <v>18</v>
      </c>
      <c r="K2053" s="1">
        <v>35.0</v>
      </c>
      <c r="L2053" s="1">
        <v>56.97650505</v>
      </c>
      <c r="M2053" s="1">
        <v>24.1464958357009</v>
      </c>
    </row>
    <row r="2054">
      <c r="A2054" s="1" t="s">
        <v>13</v>
      </c>
      <c r="B2054" s="1" t="s">
        <v>19</v>
      </c>
      <c r="C2054" s="1" t="s">
        <v>957</v>
      </c>
      <c r="D2054" s="1">
        <v>1.0</v>
      </c>
      <c r="E2054" s="1">
        <v>45.0</v>
      </c>
      <c r="F2054" s="1">
        <v>3.0</v>
      </c>
      <c r="G2054" s="1">
        <v>10.0</v>
      </c>
      <c r="H2054" s="1">
        <v>119.0</v>
      </c>
      <c r="I2054" s="1" t="s">
        <v>21</v>
      </c>
      <c r="J2054" s="1" t="s">
        <v>18</v>
      </c>
      <c r="K2054" s="1">
        <v>230.0</v>
      </c>
      <c r="L2054" s="1">
        <v>56.90158855</v>
      </c>
      <c r="M2054" s="1">
        <v>24.0846961606636</v>
      </c>
    </row>
    <row r="2055">
      <c r="A2055" s="1" t="s">
        <v>13</v>
      </c>
      <c r="B2055" s="1" t="s">
        <v>14</v>
      </c>
      <c r="C2055" s="1" t="s">
        <v>1484</v>
      </c>
      <c r="D2055" s="1">
        <v>1.0</v>
      </c>
      <c r="E2055" s="1">
        <v>31.0</v>
      </c>
      <c r="F2055" s="1">
        <v>3.0</v>
      </c>
      <c r="G2055" s="1">
        <v>5.0</v>
      </c>
      <c r="H2055" s="1" t="s">
        <v>16</v>
      </c>
      <c r="I2055" s="1" t="s">
        <v>21</v>
      </c>
      <c r="J2055" s="1" t="s">
        <v>18</v>
      </c>
      <c r="K2055" s="1">
        <v>30.0</v>
      </c>
      <c r="L2055" s="1">
        <v>56.96180755</v>
      </c>
      <c r="M2055" s="1">
        <v>24.1775215243161</v>
      </c>
    </row>
    <row r="2056">
      <c r="A2056" s="1" t="s">
        <v>22</v>
      </c>
      <c r="B2056" s="1" t="s">
        <v>14</v>
      </c>
      <c r="C2056" s="1" t="s">
        <v>1485</v>
      </c>
      <c r="D2056" s="1">
        <v>1.0</v>
      </c>
      <c r="E2056" s="1">
        <v>53.0</v>
      </c>
      <c r="F2056" s="1">
        <v>1.0</v>
      </c>
      <c r="G2056" s="1">
        <v>9.0</v>
      </c>
      <c r="H2056" s="1" t="s">
        <v>36</v>
      </c>
      <c r="I2056" s="1" t="s">
        <v>17</v>
      </c>
      <c r="J2056" s="1" t="s">
        <v>18</v>
      </c>
      <c r="K2056" s="1">
        <v>35000.0</v>
      </c>
      <c r="L2056" s="1">
        <v>56.9646442</v>
      </c>
      <c r="M2056" s="1">
        <v>24.1801906433065</v>
      </c>
    </row>
    <row r="2057">
      <c r="A2057" s="1" t="s">
        <v>13</v>
      </c>
      <c r="B2057" s="1" t="s">
        <v>74</v>
      </c>
      <c r="C2057" s="1" t="s">
        <v>605</v>
      </c>
      <c r="D2057" s="1">
        <v>1.0</v>
      </c>
      <c r="E2057" s="1">
        <v>38.0</v>
      </c>
      <c r="F2057" s="1">
        <v>4.0</v>
      </c>
      <c r="G2057" s="1">
        <v>5.0</v>
      </c>
      <c r="H2057" s="1" t="s">
        <v>57</v>
      </c>
      <c r="I2057" s="1" t="s">
        <v>21</v>
      </c>
      <c r="J2057" s="1" t="s">
        <v>18</v>
      </c>
      <c r="K2057" s="1">
        <v>220.0</v>
      </c>
      <c r="L2057" s="1">
        <v>56.94167865</v>
      </c>
      <c r="M2057" s="1">
        <v>24.22621375</v>
      </c>
    </row>
    <row r="2058">
      <c r="A2058" s="1" t="s">
        <v>13</v>
      </c>
      <c r="B2058" s="1" t="s">
        <v>23</v>
      </c>
      <c r="C2058" s="1" t="s">
        <v>1486</v>
      </c>
      <c r="D2058" s="1">
        <v>2.0</v>
      </c>
      <c r="E2058" s="1">
        <v>55.0</v>
      </c>
      <c r="F2058" s="1">
        <v>2.0</v>
      </c>
      <c r="G2058" s="1">
        <v>3.0</v>
      </c>
      <c r="H2058" s="1" t="s">
        <v>25</v>
      </c>
      <c r="I2058" s="1" t="s">
        <v>33</v>
      </c>
      <c r="J2058" s="1" t="s">
        <v>18</v>
      </c>
      <c r="K2058" s="1">
        <v>30.0</v>
      </c>
      <c r="L2058" s="1">
        <v>56.9675144</v>
      </c>
      <c r="M2058" s="1">
        <v>24.1448163489705</v>
      </c>
    </row>
    <row r="2059">
      <c r="A2059" s="1" t="s">
        <v>22</v>
      </c>
      <c r="B2059" s="1" t="s">
        <v>38</v>
      </c>
      <c r="C2059" s="1" t="s">
        <v>1487</v>
      </c>
      <c r="D2059" s="1">
        <v>3.0</v>
      </c>
      <c r="E2059" s="1">
        <v>66.0</v>
      </c>
      <c r="F2059" s="1">
        <v>5.0</v>
      </c>
      <c r="G2059" s="1">
        <v>5.0</v>
      </c>
      <c r="H2059" s="1" t="s">
        <v>16</v>
      </c>
      <c r="I2059" s="1" t="s">
        <v>122</v>
      </c>
      <c r="J2059" s="1" t="s">
        <v>18</v>
      </c>
      <c r="K2059" s="1">
        <v>55000.0</v>
      </c>
      <c r="L2059" s="1">
        <v>56.9544068</v>
      </c>
      <c r="M2059" s="1">
        <v>24.0257763999999</v>
      </c>
    </row>
    <row r="2060">
      <c r="A2060" s="1" t="s">
        <v>22</v>
      </c>
      <c r="B2060" s="1" t="s">
        <v>19</v>
      </c>
      <c r="C2060" s="1" t="s">
        <v>1079</v>
      </c>
      <c r="D2060" s="1">
        <v>3.0</v>
      </c>
      <c r="E2060" s="1">
        <v>108.0</v>
      </c>
      <c r="F2060" s="1">
        <v>6.0</v>
      </c>
      <c r="G2060" s="1">
        <v>6.0</v>
      </c>
      <c r="H2060" s="1" t="s">
        <v>32</v>
      </c>
      <c r="I2060" s="1" t="s">
        <v>122</v>
      </c>
      <c r="J2060" s="1" t="s">
        <v>18</v>
      </c>
      <c r="K2060" s="1">
        <v>145000.0</v>
      </c>
      <c r="L2060" s="1">
        <v>56.90884755</v>
      </c>
      <c r="M2060" s="1">
        <v>24.0794370513523</v>
      </c>
    </row>
    <row r="2061">
      <c r="A2061" s="1" t="s">
        <v>22</v>
      </c>
      <c r="B2061" s="1" t="s">
        <v>151</v>
      </c>
      <c r="C2061" s="1" t="s">
        <v>1488</v>
      </c>
      <c r="D2061" s="1">
        <v>2.0</v>
      </c>
      <c r="E2061" s="1">
        <v>50.0</v>
      </c>
      <c r="F2061" s="1">
        <v>5.0</v>
      </c>
      <c r="G2061" s="1">
        <v>5.0</v>
      </c>
      <c r="H2061" s="1" t="s">
        <v>16</v>
      </c>
      <c r="I2061" s="1" t="s">
        <v>21</v>
      </c>
      <c r="J2061" s="1" t="s">
        <v>18</v>
      </c>
      <c r="K2061" s="1">
        <v>47500.0</v>
      </c>
      <c r="L2061" s="1">
        <v>56.97071185</v>
      </c>
      <c r="M2061" s="1">
        <v>24.0613398591448</v>
      </c>
    </row>
    <row r="2062">
      <c r="A2062" s="1" t="s">
        <v>22</v>
      </c>
      <c r="B2062" s="1" t="s">
        <v>151</v>
      </c>
      <c r="C2062" s="1" t="s">
        <v>360</v>
      </c>
      <c r="D2062" s="1">
        <v>1.0</v>
      </c>
      <c r="E2062" s="1">
        <v>17.0</v>
      </c>
      <c r="F2062" s="1">
        <v>5.0</v>
      </c>
      <c r="G2062" s="1">
        <v>5.0</v>
      </c>
      <c r="H2062" s="1" t="s">
        <v>57</v>
      </c>
      <c r="I2062" s="1" t="s">
        <v>37</v>
      </c>
      <c r="J2062" s="1" t="s">
        <v>27</v>
      </c>
      <c r="K2062" s="1">
        <v>8700.0</v>
      </c>
      <c r="L2062" s="1">
        <v>56.9692203</v>
      </c>
      <c r="M2062" s="1">
        <v>24.0694937318141</v>
      </c>
    </row>
    <row r="2063">
      <c r="A2063" s="1" t="s">
        <v>13</v>
      </c>
      <c r="B2063" s="1" t="s">
        <v>14</v>
      </c>
      <c r="C2063" s="1" t="s">
        <v>1489</v>
      </c>
      <c r="D2063" s="1">
        <v>1.0</v>
      </c>
      <c r="E2063" s="1">
        <v>35.0</v>
      </c>
      <c r="F2063" s="1">
        <v>3.0</v>
      </c>
      <c r="G2063" s="1">
        <v>5.0</v>
      </c>
      <c r="H2063" s="1" t="s">
        <v>32</v>
      </c>
      <c r="I2063" s="1" t="s">
        <v>122</v>
      </c>
      <c r="J2063" s="1" t="s">
        <v>18</v>
      </c>
      <c r="K2063" s="1">
        <v>330.0</v>
      </c>
      <c r="L2063" s="1">
        <v>56.9543951</v>
      </c>
      <c r="M2063" s="1">
        <v>24.1766165</v>
      </c>
    </row>
    <row r="2064">
      <c r="A2064" s="1" t="s">
        <v>22</v>
      </c>
      <c r="B2064" s="1" t="s">
        <v>23</v>
      </c>
      <c r="C2064" s="1" t="s">
        <v>1490</v>
      </c>
      <c r="D2064" s="1">
        <v>3.0</v>
      </c>
      <c r="E2064" s="1">
        <v>77.0</v>
      </c>
      <c r="F2064" s="1">
        <v>3.0</v>
      </c>
      <c r="G2064" s="1">
        <v>7.0</v>
      </c>
      <c r="H2064" s="1" t="s">
        <v>25</v>
      </c>
      <c r="I2064" s="1" t="s">
        <v>33</v>
      </c>
      <c r="J2064" s="1" t="s">
        <v>18</v>
      </c>
      <c r="K2064" s="1">
        <v>122000.0</v>
      </c>
      <c r="L2064" s="1">
        <v>56.96548375</v>
      </c>
      <c r="M2064" s="1">
        <v>24.1424979596359</v>
      </c>
    </row>
    <row r="2065">
      <c r="A2065" s="1" t="s">
        <v>22</v>
      </c>
      <c r="B2065" s="1" t="s">
        <v>23</v>
      </c>
      <c r="C2065" s="1" t="s">
        <v>1490</v>
      </c>
      <c r="D2065" s="1">
        <v>3.0</v>
      </c>
      <c r="E2065" s="1">
        <v>75.0</v>
      </c>
      <c r="F2065" s="1">
        <v>3.0</v>
      </c>
      <c r="G2065" s="1">
        <v>7.0</v>
      </c>
      <c r="H2065" s="1" t="s">
        <v>25</v>
      </c>
      <c r="I2065" s="1" t="s">
        <v>33</v>
      </c>
      <c r="J2065" s="1" t="s">
        <v>18</v>
      </c>
      <c r="K2065" s="1">
        <v>124000.0</v>
      </c>
      <c r="L2065" s="1">
        <v>56.96548375</v>
      </c>
      <c r="M2065" s="1">
        <v>24.1424979596359</v>
      </c>
    </row>
    <row r="2066">
      <c r="A2066" s="1" t="s">
        <v>22</v>
      </c>
      <c r="B2066" s="1" t="s">
        <v>104</v>
      </c>
      <c r="C2066" s="1" t="s">
        <v>338</v>
      </c>
      <c r="D2066" s="1">
        <v>3.0</v>
      </c>
      <c r="E2066" s="1">
        <v>91.0</v>
      </c>
      <c r="F2066" s="1">
        <v>6.0</v>
      </c>
      <c r="G2066" s="1">
        <v>23.0</v>
      </c>
      <c r="H2066" s="1" t="s">
        <v>32</v>
      </c>
      <c r="I2066" s="1" t="s">
        <v>122</v>
      </c>
      <c r="J2066" s="1" t="s">
        <v>18</v>
      </c>
      <c r="K2066" s="1">
        <v>199400.0</v>
      </c>
      <c r="L2066" s="1">
        <v>56.9483074</v>
      </c>
      <c r="M2066" s="1">
        <v>24.0801468</v>
      </c>
    </row>
    <row r="2067">
      <c r="A2067" s="1" t="s">
        <v>13</v>
      </c>
      <c r="B2067" s="1" t="s">
        <v>151</v>
      </c>
      <c r="C2067" s="1" t="s">
        <v>302</v>
      </c>
      <c r="D2067" s="1">
        <v>1.0</v>
      </c>
      <c r="E2067" s="1">
        <v>30.0</v>
      </c>
      <c r="F2067" s="1">
        <v>2.0</v>
      </c>
      <c r="G2067" s="1">
        <v>5.0</v>
      </c>
      <c r="H2067" s="1" t="s">
        <v>44</v>
      </c>
      <c r="I2067" s="1" t="s">
        <v>37</v>
      </c>
      <c r="J2067" s="1" t="s">
        <v>18</v>
      </c>
      <c r="K2067" s="1">
        <v>250.0</v>
      </c>
      <c r="L2067" s="1">
        <v>56.9678207</v>
      </c>
      <c r="M2067" s="1">
        <v>24.0484273830414</v>
      </c>
    </row>
    <row r="2068">
      <c r="A2068" s="1" t="s">
        <v>22</v>
      </c>
      <c r="B2068" s="1" t="s">
        <v>129</v>
      </c>
      <c r="C2068" s="1" t="s">
        <v>1491</v>
      </c>
      <c r="D2068" s="1">
        <v>4.0</v>
      </c>
      <c r="E2068" s="1">
        <v>105.0</v>
      </c>
      <c r="F2068" s="1">
        <v>7.0</v>
      </c>
      <c r="G2068" s="1">
        <v>8.0</v>
      </c>
      <c r="H2068" s="1" t="s">
        <v>36</v>
      </c>
      <c r="I2068" s="1" t="s">
        <v>17</v>
      </c>
      <c r="J2068" s="1" t="s">
        <v>18</v>
      </c>
      <c r="K2068" s="1">
        <v>99000.0</v>
      </c>
      <c r="L2068" s="1">
        <v>57.0021136</v>
      </c>
      <c r="M2068" s="1">
        <v>24.1212483</v>
      </c>
    </row>
    <row r="2069">
      <c r="A2069" s="1" t="s">
        <v>13</v>
      </c>
      <c r="B2069" s="1" t="s">
        <v>30</v>
      </c>
      <c r="C2069" s="1" t="s">
        <v>191</v>
      </c>
      <c r="D2069" s="1">
        <v>3.0</v>
      </c>
      <c r="E2069" s="1">
        <v>76.0</v>
      </c>
      <c r="F2069" s="1">
        <v>5.0</v>
      </c>
      <c r="G2069" s="1">
        <v>9.0</v>
      </c>
      <c r="H2069" s="1" t="s">
        <v>36</v>
      </c>
      <c r="I2069" s="1" t="s">
        <v>37</v>
      </c>
      <c r="J2069" s="1" t="s">
        <v>18</v>
      </c>
      <c r="K2069" s="1">
        <v>590.0</v>
      </c>
      <c r="L2069" s="1">
        <v>56.9788671</v>
      </c>
      <c r="M2069" s="1">
        <v>24.1774824079002</v>
      </c>
    </row>
    <row r="2070">
      <c r="A2070" s="1" t="s">
        <v>22</v>
      </c>
      <c r="B2070" s="1" t="s">
        <v>23</v>
      </c>
      <c r="C2070" s="1" t="s">
        <v>790</v>
      </c>
      <c r="D2070" s="1">
        <v>4.0</v>
      </c>
      <c r="E2070" s="1">
        <v>84.0</v>
      </c>
      <c r="F2070" s="1">
        <v>2.0</v>
      </c>
      <c r="G2070" s="1">
        <v>5.0</v>
      </c>
      <c r="H2070" s="1" t="s">
        <v>66</v>
      </c>
      <c r="I2070" s="1" t="s">
        <v>33</v>
      </c>
      <c r="J2070" s="1" t="s">
        <v>18</v>
      </c>
      <c r="K2070" s="1">
        <v>149810.0</v>
      </c>
      <c r="L2070" s="1">
        <v>56.952698</v>
      </c>
      <c r="M2070" s="1">
        <v>24.1299733</v>
      </c>
    </row>
    <row r="2071">
      <c r="A2071" s="1" t="s">
        <v>22</v>
      </c>
      <c r="B2071" s="1" t="s">
        <v>14</v>
      </c>
      <c r="C2071" s="1" t="s">
        <v>1492</v>
      </c>
      <c r="D2071" s="1">
        <v>3.0</v>
      </c>
      <c r="E2071" s="1">
        <v>59.0</v>
      </c>
      <c r="F2071" s="1">
        <v>4.0</v>
      </c>
      <c r="G2071" s="1">
        <v>5.0</v>
      </c>
      <c r="H2071" s="1" t="s">
        <v>16</v>
      </c>
      <c r="I2071" s="1" t="s">
        <v>21</v>
      </c>
      <c r="J2071" s="1" t="s">
        <v>18</v>
      </c>
      <c r="K2071" s="1">
        <v>55000.0</v>
      </c>
      <c r="L2071" s="1">
        <v>56.96372375</v>
      </c>
      <c r="M2071" s="1">
        <v>24.178713829735</v>
      </c>
    </row>
    <row r="2072">
      <c r="A2072" s="1" t="s">
        <v>13</v>
      </c>
      <c r="B2072" s="1" t="s">
        <v>23</v>
      </c>
      <c r="C2072" s="1" t="s">
        <v>1493</v>
      </c>
      <c r="D2072" s="1">
        <v>2.0</v>
      </c>
      <c r="E2072" s="1">
        <v>55.0</v>
      </c>
      <c r="F2072" s="1">
        <v>5.0</v>
      </c>
      <c r="G2072" s="1">
        <v>5.0</v>
      </c>
      <c r="H2072" s="1" t="s">
        <v>181</v>
      </c>
      <c r="I2072" s="1" t="s">
        <v>37</v>
      </c>
      <c r="J2072" s="1" t="s">
        <v>18</v>
      </c>
      <c r="K2072" s="1">
        <v>300.0</v>
      </c>
      <c r="L2072" s="1">
        <v>56.94400335</v>
      </c>
      <c r="M2072" s="1">
        <v>24.125780302131</v>
      </c>
    </row>
    <row r="2073">
      <c r="A2073" s="1" t="s">
        <v>13</v>
      </c>
      <c r="B2073" s="1" t="s">
        <v>74</v>
      </c>
      <c r="C2073" s="1" t="s">
        <v>183</v>
      </c>
      <c r="D2073" s="1">
        <v>3.0</v>
      </c>
      <c r="E2073" s="1">
        <v>63.0</v>
      </c>
      <c r="F2073" s="1">
        <v>7.0</v>
      </c>
      <c r="G2073" s="1">
        <v>8.0</v>
      </c>
      <c r="H2073" s="1">
        <v>602.0</v>
      </c>
      <c r="I2073" s="1" t="s">
        <v>21</v>
      </c>
      <c r="J2073" s="1" t="s">
        <v>18</v>
      </c>
      <c r="K2073" s="1">
        <v>350.0</v>
      </c>
      <c r="L2073" s="1">
        <v>56.94404435</v>
      </c>
      <c r="M2073" s="1">
        <v>24.21522315</v>
      </c>
    </row>
    <row r="2074">
      <c r="A2074" s="1" t="s">
        <v>22</v>
      </c>
      <c r="B2074" s="1" t="s">
        <v>23</v>
      </c>
      <c r="C2074" s="1" t="s">
        <v>1494</v>
      </c>
      <c r="D2074" s="1">
        <v>3.0</v>
      </c>
      <c r="E2074" s="1">
        <v>76.0</v>
      </c>
      <c r="F2074" s="1">
        <v>5.0</v>
      </c>
      <c r="G2074" s="1">
        <v>6.0</v>
      </c>
      <c r="H2074" s="1" t="s">
        <v>25</v>
      </c>
      <c r="I2074" s="1" t="s">
        <v>33</v>
      </c>
      <c r="J2074" s="1" t="s">
        <v>18</v>
      </c>
      <c r="K2074" s="1">
        <v>110000.0</v>
      </c>
      <c r="L2074" s="1">
        <v>56.9564335</v>
      </c>
      <c r="M2074" s="1">
        <v>24.1285032</v>
      </c>
    </row>
    <row r="2075">
      <c r="A2075" s="1" t="s">
        <v>22</v>
      </c>
      <c r="B2075" s="1" t="s">
        <v>48</v>
      </c>
      <c r="C2075" s="1" t="s">
        <v>365</v>
      </c>
      <c r="D2075" s="1">
        <v>3.0</v>
      </c>
      <c r="E2075" s="1">
        <v>69.0</v>
      </c>
      <c r="F2075" s="1">
        <v>3.0</v>
      </c>
      <c r="G2075" s="1">
        <v>5.0</v>
      </c>
      <c r="H2075" s="1" t="s">
        <v>32</v>
      </c>
      <c r="I2075" s="1" t="s">
        <v>17</v>
      </c>
      <c r="J2075" s="1" t="s">
        <v>18</v>
      </c>
      <c r="K2075" s="1">
        <v>92750.0</v>
      </c>
      <c r="L2075" s="1">
        <v>56.95546705</v>
      </c>
      <c r="M2075" s="1">
        <v>24.24181865</v>
      </c>
    </row>
    <row r="2076">
      <c r="A2076" s="1" t="s">
        <v>13</v>
      </c>
      <c r="B2076" s="1" t="s">
        <v>23</v>
      </c>
      <c r="C2076" s="1" t="s">
        <v>709</v>
      </c>
      <c r="D2076" s="1">
        <v>3.0</v>
      </c>
      <c r="E2076" s="1">
        <v>91.0</v>
      </c>
      <c r="F2076" s="1">
        <v>4.0</v>
      </c>
      <c r="G2076" s="1">
        <v>6.0</v>
      </c>
      <c r="H2076" s="1" t="s">
        <v>32</v>
      </c>
      <c r="I2076" s="1" t="s">
        <v>21</v>
      </c>
      <c r="J2076" s="1" t="s">
        <v>18</v>
      </c>
      <c r="K2076" s="1">
        <v>850.0</v>
      </c>
      <c r="L2076" s="1">
        <v>56.9443781</v>
      </c>
      <c r="M2076" s="1">
        <v>24.1105085</v>
      </c>
    </row>
    <row r="2077">
      <c r="A2077" s="1" t="s">
        <v>13</v>
      </c>
      <c r="B2077" s="1" t="s">
        <v>129</v>
      </c>
      <c r="C2077" s="1" t="s">
        <v>885</v>
      </c>
      <c r="D2077" s="1">
        <v>2.0</v>
      </c>
      <c r="E2077" s="1">
        <v>30.0</v>
      </c>
      <c r="F2077" s="1">
        <v>3.0</v>
      </c>
      <c r="G2077" s="1">
        <v>4.0</v>
      </c>
      <c r="H2077" s="1" t="s">
        <v>25</v>
      </c>
      <c r="I2077" s="1" t="s">
        <v>33</v>
      </c>
      <c r="J2077" s="1" t="s">
        <v>27</v>
      </c>
      <c r="K2077" s="1">
        <v>180.0</v>
      </c>
      <c r="L2077" s="1">
        <v>57.0018786</v>
      </c>
      <c r="M2077" s="1">
        <v>24.119843</v>
      </c>
    </row>
    <row r="2078">
      <c r="A2078" s="1" t="s">
        <v>13</v>
      </c>
      <c r="B2078" s="1" t="s">
        <v>19</v>
      </c>
      <c r="C2078" s="1" t="s">
        <v>1495</v>
      </c>
      <c r="D2078" s="1">
        <v>1.0</v>
      </c>
      <c r="E2078" s="1">
        <v>34.0</v>
      </c>
      <c r="F2078" s="1">
        <v>2.0</v>
      </c>
      <c r="G2078" s="1">
        <v>3.0</v>
      </c>
      <c r="H2078" s="1" t="s">
        <v>32</v>
      </c>
      <c r="I2078" s="1" t="s">
        <v>33</v>
      </c>
      <c r="J2078" s="1" t="s">
        <v>18</v>
      </c>
      <c r="K2078" s="1">
        <v>390.0</v>
      </c>
      <c r="L2078" s="1">
        <v>56.906906</v>
      </c>
      <c r="M2078" s="1">
        <v>24.09811735</v>
      </c>
    </row>
    <row r="2079">
      <c r="A2079" s="1" t="s">
        <v>22</v>
      </c>
      <c r="B2079" s="1" t="s">
        <v>23</v>
      </c>
      <c r="C2079" s="1" t="s">
        <v>1496</v>
      </c>
      <c r="D2079" s="1">
        <v>2.0</v>
      </c>
      <c r="E2079" s="1">
        <v>60.0</v>
      </c>
      <c r="F2079" s="1">
        <v>2.0</v>
      </c>
      <c r="G2079" s="1">
        <v>4.0</v>
      </c>
      <c r="H2079" s="1" t="s">
        <v>25</v>
      </c>
      <c r="I2079" s="1" t="s">
        <v>37</v>
      </c>
      <c r="J2079" s="1" t="s">
        <v>18</v>
      </c>
      <c r="K2079" s="1">
        <v>180000.0</v>
      </c>
      <c r="L2079" s="1">
        <v>56.9515994</v>
      </c>
      <c r="M2079" s="1">
        <v>24.1159776</v>
      </c>
    </row>
    <row r="2080">
      <c r="A2080" s="1" t="s">
        <v>22</v>
      </c>
      <c r="B2080" s="1" t="s">
        <v>30</v>
      </c>
      <c r="C2080" s="1" t="s">
        <v>87</v>
      </c>
      <c r="D2080" s="1">
        <v>3.0</v>
      </c>
      <c r="E2080" s="1">
        <v>79.0</v>
      </c>
      <c r="F2080" s="1">
        <v>2.0</v>
      </c>
      <c r="G2080" s="1">
        <v>5.0</v>
      </c>
      <c r="H2080" s="1" t="s">
        <v>36</v>
      </c>
      <c r="I2080" s="1" t="s">
        <v>17</v>
      </c>
      <c r="J2080" s="1" t="s">
        <v>18</v>
      </c>
      <c r="K2080" s="1">
        <v>81000.0</v>
      </c>
      <c r="L2080" s="1">
        <v>56.98279245</v>
      </c>
      <c r="M2080" s="1">
        <v>24.1963668754421</v>
      </c>
    </row>
    <row r="2081">
      <c r="A2081" s="1" t="s">
        <v>13</v>
      </c>
      <c r="B2081" s="1" t="s">
        <v>96</v>
      </c>
      <c r="C2081" s="1" t="s">
        <v>453</v>
      </c>
      <c r="D2081" s="1">
        <v>2.0</v>
      </c>
      <c r="E2081" s="1">
        <v>40.0</v>
      </c>
      <c r="F2081" s="1">
        <v>1.0</v>
      </c>
      <c r="G2081" s="1">
        <v>5.0</v>
      </c>
      <c r="H2081" s="1" t="s">
        <v>32</v>
      </c>
      <c r="I2081" s="1" t="s">
        <v>17</v>
      </c>
      <c r="J2081" s="1" t="s">
        <v>18</v>
      </c>
      <c r="K2081" s="1">
        <v>320.0</v>
      </c>
      <c r="L2081" s="1">
        <v>57.03179875</v>
      </c>
      <c r="M2081" s="1">
        <v>24.1166644346289</v>
      </c>
    </row>
    <row r="2082">
      <c r="A2082" s="1" t="s">
        <v>22</v>
      </c>
      <c r="B2082" s="1" t="s">
        <v>96</v>
      </c>
      <c r="C2082" s="1" t="s">
        <v>453</v>
      </c>
      <c r="D2082" s="1">
        <v>2.0</v>
      </c>
      <c r="E2082" s="1">
        <v>33.0</v>
      </c>
      <c r="F2082" s="1">
        <v>4.0</v>
      </c>
      <c r="G2082" s="1">
        <v>4.0</v>
      </c>
      <c r="H2082" s="1" t="s">
        <v>66</v>
      </c>
      <c r="I2082" s="1" t="s">
        <v>33</v>
      </c>
      <c r="J2082" s="1" t="s">
        <v>18</v>
      </c>
      <c r="K2082" s="1">
        <v>49000.0</v>
      </c>
      <c r="L2082" s="1">
        <v>57.03179875</v>
      </c>
      <c r="M2082" s="1">
        <v>24.1166644346289</v>
      </c>
    </row>
    <row r="2083">
      <c r="A2083" s="1" t="s">
        <v>22</v>
      </c>
      <c r="B2083" s="1" t="s">
        <v>23</v>
      </c>
      <c r="C2083" s="1" t="s">
        <v>1497</v>
      </c>
      <c r="D2083" s="1">
        <v>4.0</v>
      </c>
      <c r="E2083" s="1">
        <v>81.0</v>
      </c>
      <c r="F2083" s="1">
        <v>2.0</v>
      </c>
      <c r="G2083" s="1">
        <v>2.0</v>
      </c>
      <c r="H2083" s="1" t="s">
        <v>25</v>
      </c>
      <c r="I2083" s="1" t="s">
        <v>26</v>
      </c>
      <c r="J2083" s="1" t="s">
        <v>18</v>
      </c>
      <c r="K2083" s="1">
        <v>103000.0</v>
      </c>
      <c r="L2083" s="1">
        <v>56.95393085</v>
      </c>
      <c r="M2083" s="1">
        <v>24.1292422791869</v>
      </c>
    </row>
    <row r="2084">
      <c r="A2084" s="1" t="s">
        <v>22</v>
      </c>
      <c r="B2084" s="1" t="s">
        <v>96</v>
      </c>
      <c r="C2084" s="1" t="s">
        <v>453</v>
      </c>
      <c r="D2084" s="1">
        <v>2.0</v>
      </c>
      <c r="E2084" s="1">
        <v>28.0</v>
      </c>
      <c r="F2084" s="1">
        <v>1.0</v>
      </c>
      <c r="G2084" s="1">
        <v>4.0</v>
      </c>
      <c r="H2084" s="1" t="s">
        <v>66</v>
      </c>
      <c r="I2084" s="1" t="s">
        <v>33</v>
      </c>
      <c r="J2084" s="1" t="s">
        <v>18</v>
      </c>
      <c r="K2084" s="1">
        <v>37000.0</v>
      </c>
      <c r="L2084" s="1">
        <v>57.03179875</v>
      </c>
      <c r="M2084" s="1">
        <v>24.1166644346289</v>
      </c>
    </row>
    <row r="2085">
      <c r="A2085" s="1" t="s">
        <v>13</v>
      </c>
      <c r="B2085" s="1" t="s">
        <v>218</v>
      </c>
      <c r="C2085" s="1" t="s">
        <v>1498</v>
      </c>
      <c r="D2085" s="1">
        <v>2.0</v>
      </c>
      <c r="E2085" s="1">
        <v>43.0</v>
      </c>
      <c r="F2085" s="1">
        <v>5.0</v>
      </c>
      <c r="G2085" s="1">
        <v>6.0</v>
      </c>
      <c r="H2085" s="1" t="s">
        <v>66</v>
      </c>
      <c r="I2085" s="1" t="s">
        <v>17</v>
      </c>
      <c r="J2085" s="1" t="s">
        <v>18</v>
      </c>
      <c r="K2085" s="1">
        <v>520.0</v>
      </c>
      <c r="L2085" s="1">
        <v>56.9506012</v>
      </c>
      <c r="M2085" s="1">
        <v>24.1093904</v>
      </c>
    </row>
    <row r="2086">
      <c r="A2086" s="1" t="s">
        <v>89</v>
      </c>
      <c r="B2086" s="1" t="s">
        <v>23</v>
      </c>
      <c r="C2086" s="2"/>
      <c r="D2086" s="1" t="s">
        <v>90</v>
      </c>
      <c r="E2086" s="1">
        <v>20.0</v>
      </c>
      <c r="F2086" s="1">
        <v>20.0</v>
      </c>
      <c r="G2086" s="1">
        <v>20.0</v>
      </c>
      <c r="H2086" s="2"/>
      <c r="I2086" s="2"/>
      <c r="J2086" s="2"/>
      <c r="K2086" s="2"/>
      <c r="L2086" s="1">
        <v>46.3144754</v>
      </c>
      <c r="M2086" s="1">
        <v>11.0480288</v>
      </c>
    </row>
    <row r="2087">
      <c r="A2087" s="1" t="s">
        <v>89</v>
      </c>
      <c r="B2087" s="1" t="s">
        <v>30</v>
      </c>
      <c r="C2087" s="2"/>
      <c r="D2087" s="1" t="s">
        <v>90</v>
      </c>
      <c r="E2087" s="1">
        <v>20.0</v>
      </c>
      <c r="F2087" s="1">
        <v>20.0</v>
      </c>
      <c r="G2087" s="1">
        <v>20.0</v>
      </c>
      <c r="H2087" s="2"/>
      <c r="I2087" s="2"/>
      <c r="J2087" s="2"/>
      <c r="K2087" s="2"/>
      <c r="L2087" s="1">
        <v>46.3144754</v>
      </c>
      <c r="M2087" s="1">
        <v>11.0480288</v>
      </c>
    </row>
    <row r="2088">
      <c r="A2088" s="1" t="s">
        <v>89</v>
      </c>
      <c r="B2088" s="1" t="s">
        <v>129</v>
      </c>
      <c r="C2088" s="2"/>
      <c r="D2088" s="1" t="s">
        <v>90</v>
      </c>
      <c r="E2088" s="1">
        <v>20.0</v>
      </c>
      <c r="F2088" s="1">
        <v>20.0</v>
      </c>
      <c r="G2088" s="1">
        <v>20.0</v>
      </c>
      <c r="H2088" s="2"/>
      <c r="I2088" s="2"/>
      <c r="J2088" s="2"/>
      <c r="K2088" s="2"/>
      <c r="L2088" s="1">
        <v>46.3144754</v>
      </c>
      <c r="M2088" s="1">
        <v>11.0480288</v>
      </c>
    </row>
    <row r="2089">
      <c r="A2089" s="1" t="s">
        <v>1499</v>
      </c>
      <c r="B2089" s="1" t="s">
        <v>38</v>
      </c>
      <c r="C2089" s="1" t="s">
        <v>1047</v>
      </c>
      <c r="D2089" s="1">
        <v>1.0</v>
      </c>
      <c r="E2089" s="1">
        <v>15.0</v>
      </c>
      <c r="F2089" s="1">
        <v>7.0</v>
      </c>
      <c r="G2089" s="2"/>
      <c r="H2089" s="1">
        <v>119.0</v>
      </c>
      <c r="I2089" s="1" t="s">
        <v>21</v>
      </c>
      <c r="J2089" s="1" t="s">
        <v>18</v>
      </c>
      <c r="K2089" s="1">
        <v>175.0</v>
      </c>
      <c r="L2089" s="1">
        <v>56.9618626</v>
      </c>
      <c r="M2089" s="1">
        <v>24.0034910214559</v>
      </c>
    </row>
    <row r="2090">
      <c r="A2090" s="1" t="s">
        <v>22</v>
      </c>
      <c r="B2090" s="1" t="s">
        <v>42</v>
      </c>
      <c r="C2090" s="1" t="s">
        <v>1500</v>
      </c>
      <c r="D2090" s="1">
        <v>2.0</v>
      </c>
      <c r="E2090" s="1">
        <v>47.0</v>
      </c>
      <c r="F2090" s="1">
        <v>3.0</v>
      </c>
      <c r="G2090" s="1">
        <v>5.0</v>
      </c>
      <c r="H2090" s="1" t="s">
        <v>44</v>
      </c>
      <c r="I2090" s="1" t="s">
        <v>21</v>
      </c>
      <c r="J2090" s="1" t="s">
        <v>18</v>
      </c>
      <c r="K2090" s="1">
        <v>40500.0</v>
      </c>
      <c r="L2090" s="1">
        <v>56.98386715</v>
      </c>
      <c r="M2090" s="1">
        <v>24.2485279368892</v>
      </c>
    </row>
    <row r="2091">
      <c r="A2091" s="1" t="s">
        <v>22</v>
      </c>
      <c r="B2091" s="1" t="s">
        <v>23</v>
      </c>
      <c r="C2091" s="1" t="s">
        <v>1501</v>
      </c>
      <c r="D2091" s="1">
        <v>2.0</v>
      </c>
      <c r="E2091" s="1">
        <v>33.0</v>
      </c>
      <c r="F2091" s="1">
        <v>1.0</v>
      </c>
      <c r="G2091" s="1">
        <v>5.0</v>
      </c>
      <c r="H2091" s="1" t="s">
        <v>66</v>
      </c>
      <c r="I2091" s="1" t="s">
        <v>33</v>
      </c>
      <c r="J2091" s="1" t="s">
        <v>18</v>
      </c>
      <c r="K2091" s="1">
        <v>49990.0</v>
      </c>
      <c r="L2091" s="1">
        <v>56.9620417</v>
      </c>
      <c r="M2091" s="1">
        <v>24.1224439</v>
      </c>
    </row>
    <row r="2092">
      <c r="A2092" s="1" t="s">
        <v>22</v>
      </c>
      <c r="B2092" s="1" t="s">
        <v>23</v>
      </c>
      <c r="C2092" s="1" t="s">
        <v>1501</v>
      </c>
      <c r="D2092" s="1">
        <v>2.0</v>
      </c>
      <c r="E2092" s="1">
        <v>55.0</v>
      </c>
      <c r="F2092" s="1">
        <v>2.0</v>
      </c>
      <c r="G2092" s="1">
        <v>5.0</v>
      </c>
      <c r="H2092" s="1" t="s">
        <v>66</v>
      </c>
      <c r="I2092" s="1" t="s">
        <v>33</v>
      </c>
      <c r="J2092" s="1" t="s">
        <v>18</v>
      </c>
      <c r="K2092" s="1">
        <v>73990.0</v>
      </c>
      <c r="L2092" s="1">
        <v>56.9620417</v>
      </c>
      <c r="M2092" s="1">
        <v>24.1224439</v>
      </c>
    </row>
    <row r="2093">
      <c r="A2093" s="1" t="s">
        <v>22</v>
      </c>
      <c r="B2093" s="1" t="s">
        <v>23</v>
      </c>
      <c r="C2093" s="1" t="s">
        <v>1501</v>
      </c>
      <c r="D2093" s="1">
        <v>2.0</v>
      </c>
      <c r="E2093" s="1">
        <v>37.0</v>
      </c>
      <c r="F2093" s="1">
        <v>2.0</v>
      </c>
      <c r="G2093" s="1">
        <v>6.0</v>
      </c>
      <c r="H2093" s="1" t="s">
        <v>66</v>
      </c>
      <c r="I2093" s="1" t="s">
        <v>33</v>
      </c>
      <c r="J2093" s="1" t="s">
        <v>18</v>
      </c>
      <c r="K2093" s="1">
        <v>87990.0</v>
      </c>
      <c r="L2093" s="1">
        <v>56.9620417</v>
      </c>
      <c r="M2093" s="1">
        <v>24.1224439</v>
      </c>
    </row>
    <row r="2094">
      <c r="A2094" s="1" t="s">
        <v>22</v>
      </c>
      <c r="B2094" s="1" t="s">
        <v>23</v>
      </c>
      <c r="C2094" s="1" t="s">
        <v>1501</v>
      </c>
      <c r="D2094" s="1">
        <v>2.0</v>
      </c>
      <c r="E2094" s="1">
        <v>39.0</v>
      </c>
      <c r="F2094" s="1">
        <v>4.0</v>
      </c>
      <c r="G2094" s="1">
        <v>5.0</v>
      </c>
      <c r="H2094" s="1" t="s">
        <v>66</v>
      </c>
      <c r="I2094" s="1" t="s">
        <v>33</v>
      </c>
      <c r="J2094" s="1" t="s">
        <v>18</v>
      </c>
      <c r="K2094" s="1">
        <v>64990.0</v>
      </c>
      <c r="L2094" s="1">
        <v>56.9620417</v>
      </c>
      <c r="M2094" s="1">
        <v>24.1224439</v>
      </c>
    </row>
    <row r="2095">
      <c r="A2095" s="1" t="s">
        <v>22</v>
      </c>
      <c r="B2095" s="1" t="s">
        <v>23</v>
      </c>
      <c r="C2095" s="1" t="s">
        <v>1501</v>
      </c>
      <c r="D2095" s="1">
        <v>1.0</v>
      </c>
      <c r="E2095" s="1">
        <v>29.0</v>
      </c>
      <c r="F2095" s="1">
        <v>1.0</v>
      </c>
      <c r="G2095" s="1">
        <v>5.0</v>
      </c>
      <c r="H2095" s="1" t="s">
        <v>66</v>
      </c>
      <c r="I2095" s="1" t="s">
        <v>33</v>
      </c>
      <c r="J2095" s="1" t="s">
        <v>18</v>
      </c>
      <c r="K2095" s="1">
        <v>43990.0</v>
      </c>
      <c r="L2095" s="1">
        <v>56.9620417</v>
      </c>
      <c r="M2095" s="1">
        <v>24.1224439</v>
      </c>
    </row>
    <row r="2096">
      <c r="A2096" s="1" t="s">
        <v>22</v>
      </c>
      <c r="B2096" s="1" t="s">
        <v>23</v>
      </c>
      <c r="C2096" s="1" t="s">
        <v>1501</v>
      </c>
      <c r="D2096" s="1">
        <v>1.0</v>
      </c>
      <c r="E2096" s="1">
        <v>22.0</v>
      </c>
      <c r="F2096" s="1">
        <v>4.0</v>
      </c>
      <c r="G2096" s="1">
        <v>5.0</v>
      </c>
      <c r="H2096" s="1" t="s">
        <v>66</v>
      </c>
      <c r="I2096" s="1" t="s">
        <v>33</v>
      </c>
      <c r="J2096" s="1" t="s">
        <v>18</v>
      </c>
      <c r="K2096" s="1">
        <v>41442.0</v>
      </c>
      <c r="L2096" s="1">
        <v>56.9620417</v>
      </c>
      <c r="M2096" s="1">
        <v>24.1224439</v>
      </c>
    </row>
    <row r="2097">
      <c r="A2097" s="1" t="s">
        <v>22</v>
      </c>
      <c r="B2097" s="1" t="s">
        <v>23</v>
      </c>
      <c r="C2097" s="1" t="s">
        <v>1501</v>
      </c>
      <c r="D2097" s="1">
        <v>2.0</v>
      </c>
      <c r="E2097" s="1">
        <v>40.0</v>
      </c>
      <c r="F2097" s="1">
        <v>4.0</v>
      </c>
      <c r="G2097" s="1">
        <v>6.0</v>
      </c>
      <c r="H2097" s="1" t="s">
        <v>66</v>
      </c>
      <c r="I2097" s="1" t="s">
        <v>33</v>
      </c>
      <c r="J2097" s="1" t="s">
        <v>18</v>
      </c>
      <c r="K2097" s="1">
        <v>58990.0</v>
      </c>
      <c r="L2097" s="1">
        <v>56.9620417</v>
      </c>
      <c r="M2097" s="1">
        <v>24.1224439</v>
      </c>
    </row>
    <row r="2098">
      <c r="A2098" s="1" t="s">
        <v>13</v>
      </c>
      <c r="B2098" s="1" t="s">
        <v>23</v>
      </c>
      <c r="C2098" s="1" t="s">
        <v>1502</v>
      </c>
      <c r="D2098" s="1">
        <v>2.0</v>
      </c>
      <c r="E2098" s="1">
        <v>49.0</v>
      </c>
      <c r="F2098" s="1">
        <v>1.0</v>
      </c>
      <c r="G2098" s="1">
        <v>7.0</v>
      </c>
      <c r="H2098" s="1" t="s">
        <v>66</v>
      </c>
      <c r="I2098" s="1" t="s">
        <v>37</v>
      </c>
      <c r="J2098" s="1" t="s">
        <v>18</v>
      </c>
      <c r="K2098" s="1">
        <v>500.0</v>
      </c>
      <c r="L2098" s="1">
        <v>56.9634352</v>
      </c>
      <c r="M2098" s="1">
        <v>24.125212429824</v>
      </c>
    </row>
    <row r="2099">
      <c r="A2099" s="1" t="s">
        <v>22</v>
      </c>
      <c r="B2099" s="1" t="s">
        <v>23</v>
      </c>
      <c r="C2099" s="1" t="s">
        <v>1501</v>
      </c>
      <c r="D2099" s="1">
        <v>2.0</v>
      </c>
      <c r="E2099" s="1">
        <v>37.0</v>
      </c>
      <c r="F2099" s="1">
        <v>2.0</v>
      </c>
      <c r="G2099" s="1">
        <v>6.0</v>
      </c>
      <c r="H2099" s="1" t="s">
        <v>66</v>
      </c>
      <c r="I2099" s="1" t="s">
        <v>33</v>
      </c>
      <c r="J2099" s="1" t="s">
        <v>18</v>
      </c>
      <c r="K2099" s="1">
        <v>84990.0</v>
      </c>
      <c r="L2099" s="1">
        <v>56.9620417</v>
      </c>
      <c r="M2099" s="1">
        <v>24.1224439</v>
      </c>
    </row>
    <row r="2100">
      <c r="A2100" s="1" t="s">
        <v>22</v>
      </c>
      <c r="B2100" s="1" t="s">
        <v>23</v>
      </c>
      <c r="C2100" s="1" t="s">
        <v>1501</v>
      </c>
      <c r="D2100" s="1">
        <v>1.0</v>
      </c>
      <c r="E2100" s="1">
        <v>26.0</v>
      </c>
      <c r="F2100" s="1">
        <v>4.0</v>
      </c>
      <c r="G2100" s="1">
        <v>5.0</v>
      </c>
      <c r="H2100" s="1" t="s">
        <v>66</v>
      </c>
      <c r="I2100" s="1" t="s">
        <v>33</v>
      </c>
      <c r="J2100" s="1" t="s">
        <v>18</v>
      </c>
      <c r="K2100" s="1">
        <v>49400.0</v>
      </c>
      <c r="L2100" s="1">
        <v>56.9620417</v>
      </c>
      <c r="M2100" s="1">
        <v>24.1224439</v>
      </c>
    </row>
    <row r="2101">
      <c r="A2101" s="1" t="s">
        <v>22</v>
      </c>
      <c r="B2101" s="1" t="s">
        <v>23</v>
      </c>
      <c r="C2101" s="1" t="s">
        <v>1501</v>
      </c>
      <c r="D2101" s="1">
        <v>2.0</v>
      </c>
      <c r="E2101" s="1">
        <v>40.0</v>
      </c>
      <c r="F2101" s="1">
        <v>2.0</v>
      </c>
      <c r="G2101" s="1">
        <v>6.0</v>
      </c>
      <c r="H2101" s="1" t="s">
        <v>66</v>
      </c>
      <c r="I2101" s="1" t="s">
        <v>33</v>
      </c>
      <c r="J2101" s="1" t="s">
        <v>18</v>
      </c>
      <c r="K2101" s="1">
        <v>64990.0</v>
      </c>
      <c r="L2101" s="1">
        <v>56.9620417</v>
      </c>
      <c r="M2101" s="1">
        <v>24.1224439</v>
      </c>
    </row>
    <row r="2102">
      <c r="A2102" s="1" t="s">
        <v>22</v>
      </c>
      <c r="B2102" s="1" t="s">
        <v>30</v>
      </c>
      <c r="C2102" s="1" t="s">
        <v>705</v>
      </c>
      <c r="D2102" s="1">
        <v>4.0</v>
      </c>
      <c r="E2102" s="1">
        <v>74.0</v>
      </c>
      <c r="F2102" s="1">
        <v>5.0</v>
      </c>
      <c r="G2102" s="1">
        <v>5.0</v>
      </c>
      <c r="H2102" s="1" t="s">
        <v>36</v>
      </c>
      <c r="I2102" s="1" t="s">
        <v>17</v>
      </c>
      <c r="J2102" s="1" t="s">
        <v>18</v>
      </c>
      <c r="K2102" s="1">
        <v>86000.0</v>
      </c>
      <c r="L2102" s="1">
        <v>56.96893685</v>
      </c>
      <c r="M2102" s="1">
        <v>24.1736180973848</v>
      </c>
    </row>
    <row r="2103">
      <c r="A2103" s="1" t="s">
        <v>22</v>
      </c>
      <c r="B2103" s="1" t="s">
        <v>23</v>
      </c>
      <c r="C2103" s="1" t="s">
        <v>1503</v>
      </c>
      <c r="D2103" s="1">
        <v>2.0</v>
      </c>
      <c r="E2103" s="1">
        <v>39.0</v>
      </c>
      <c r="F2103" s="1">
        <v>3.0</v>
      </c>
      <c r="G2103" s="1">
        <v>4.0</v>
      </c>
      <c r="H2103" s="1" t="s">
        <v>25</v>
      </c>
      <c r="I2103" s="1" t="s">
        <v>37</v>
      </c>
      <c r="J2103" s="1" t="s">
        <v>18</v>
      </c>
      <c r="K2103" s="1">
        <v>45000.0</v>
      </c>
      <c r="L2103" s="1">
        <v>56.8597884</v>
      </c>
      <c r="M2103" s="1">
        <v>24.3083417</v>
      </c>
    </row>
    <row r="2104">
      <c r="A2104" s="1" t="s">
        <v>22</v>
      </c>
      <c r="B2104" s="1" t="s">
        <v>23</v>
      </c>
      <c r="C2104" s="1" t="s">
        <v>1501</v>
      </c>
      <c r="D2104" s="1">
        <v>1.0</v>
      </c>
      <c r="E2104" s="1">
        <v>16.0</v>
      </c>
      <c r="F2104" s="1">
        <v>2.0</v>
      </c>
      <c r="G2104" s="1">
        <v>5.0</v>
      </c>
      <c r="H2104" s="1" t="s">
        <v>25</v>
      </c>
      <c r="I2104" s="1" t="s">
        <v>33</v>
      </c>
      <c r="J2104" s="1" t="s">
        <v>18</v>
      </c>
      <c r="K2104" s="1">
        <v>47000.0</v>
      </c>
      <c r="L2104" s="1">
        <v>56.9620417</v>
      </c>
      <c r="M2104" s="1">
        <v>24.1224439</v>
      </c>
    </row>
    <row r="2105">
      <c r="A2105" s="1" t="s">
        <v>22</v>
      </c>
      <c r="B2105" s="1" t="s">
        <v>19</v>
      </c>
      <c r="C2105" s="1" t="s">
        <v>1504</v>
      </c>
      <c r="D2105" s="1">
        <v>3.0</v>
      </c>
      <c r="E2105" s="1">
        <v>112.0</v>
      </c>
      <c r="F2105" s="1">
        <v>2.0</v>
      </c>
      <c r="G2105" s="1">
        <v>4.0</v>
      </c>
      <c r="H2105" s="1" t="s">
        <v>32</v>
      </c>
      <c r="I2105" s="1" t="s">
        <v>33</v>
      </c>
      <c r="J2105" s="1" t="s">
        <v>18</v>
      </c>
      <c r="K2105" s="1">
        <v>142000.0</v>
      </c>
      <c r="L2105" s="1">
        <v>56.918403</v>
      </c>
      <c r="M2105" s="1">
        <v>24.0883001</v>
      </c>
    </row>
    <row r="2106">
      <c r="A2106" s="1" t="s">
        <v>22</v>
      </c>
      <c r="B2106" s="1" t="s">
        <v>19</v>
      </c>
      <c r="C2106" s="1" t="s">
        <v>1504</v>
      </c>
      <c r="D2106" s="1">
        <v>2.0</v>
      </c>
      <c r="E2106" s="1">
        <v>85.0</v>
      </c>
      <c r="F2106" s="1">
        <v>1.0</v>
      </c>
      <c r="G2106" s="1">
        <v>4.0</v>
      </c>
      <c r="H2106" s="1" t="s">
        <v>32</v>
      </c>
      <c r="I2106" s="1" t="s">
        <v>21</v>
      </c>
      <c r="J2106" s="1" t="s">
        <v>18</v>
      </c>
      <c r="K2106" s="1">
        <v>115000.0</v>
      </c>
      <c r="L2106" s="1">
        <v>56.918403</v>
      </c>
      <c r="M2106" s="1">
        <v>24.0883001</v>
      </c>
    </row>
    <row r="2107">
      <c r="A2107" s="1" t="s">
        <v>22</v>
      </c>
      <c r="B2107" s="1" t="s">
        <v>14</v>
      </c>
      <c r="C2107" s="1" t="s">
        <v>1255</v>
      </c>
      <c r="D2107" s="1">
        <v>3.0</v>
      </c>
      <c r="E2107" s="1">
        <v>81.3</v>
      </c>
      <c r="F2107" s="1">
        <v>6.0</v>
      </c>
      <c r="G2107" s="1">
        <v>6.0</v>
      </c>
      <c r="H2107" s="1" t="s">
        <v>32</v>
      </c>
      <c r="I2107" s="1" t="s">
        <v>21</v>
      </c>
      <c r="J2107" s="1" t="s">
        <v>18</v>
      </c>
      <c r="K2107" s="1">
        <v>115000.0</v>
      </c>
      <c r="L2107" s="1">
        <v>56.9574717999999</v>
      </c>
      <c r="M2107" s="1">
        <v>24.1669890886796</v>
      </c>
    </row>
    <row r="2108">
      <c r="A2108" s="1" t="s">
        <v>22</v>
      </c>
      <c r="B2108" s="1" t="s">
        <v>14</v>
      </c>
      <c r="C2108" s="1" t="s">
        <v>1505</v>
      </c>
      <c r="D2108" s="1">
        <v>1.0</v>
      </c>
      <c r="E2108" s="1">
        <v>32.0</v>
      </c>
      <c r="F2108" s="1">
        <v>4.0</v>
      </c>
      <c r="G2108" s="1">
        <v>5.0</v>
      </c>
      <c r="H2108" s="1" t="s">
        <v>16</v>
      </c>
      <c r="I2108" s="1" t="s">
        <v>17</v>
      </c>
      <c r="J2108" s="1" t="s">
        <v>18</v>
      </c>
      <c r="K2108" s="1">
        <v>33500.0</v>
      </c>
      <c r="L2108" s="1">
        <v>56.9601830999999</v>
      </c>
      <c r="M2108" s="1">
        <v>24.1809677999999</v>
      </c>
    </row>
    <row r="2109">
      <c r="A2109" s="1" t="s">
        <v>22</v>
      </c>
      <c r="B2109" s="1" t="s">
        <v>151</v>
      </c>
      <c r="C2109" s="1" t="s">
        <v>1506</v>
      </c>
      <c r="D2109" s="1">
        <v>2.0</v>
      </c>
      <c r="E2109" s="1">
        <v>44.6</v>
      </c>
      <c r="F2109" s="1">
        <v>1.0</v>
      </c>
      <c r="G2109" s="1">
        <v>5.0</v>
      </c>
      <c r="H2109" s="1" t="s">
        <v>36</v>
      </c>
      <c r="I2109" s="1" t="s">
        <v>37</v>
      </c>
      <c r="J2109" s="1" t="s">
        <v>18</v>
      </c>
      <c r="K2109" s="1">
        <v>36000.0</v>
      </c>
      <c r="L2109" s="1">
        <v>56.9657966</v>
      </c>
      <c r="M2109" s="1">
        <v>24.0629937</v>
      </c>
    </row>
    <row r="2110">
      <c r="A2110" s="1" t="s">
        <v>22</v>
      </c>
      <c r="B2110" s="1" t="s">
        <v>30</v>
      </c>
      <c r="C2110" s="1" t="s">
        <v>1454</v>
      </c>
      <c r="D2110" s="1">
        <v>1.0</v>
      </c>
      <c r="E2110" s="1">
        <v>28.0</v>
      </c>
      <c r="F2110" s="1">
        <v>1.0</v>
      </c>
      <c r="G2110" s="1">
        <v>2.0</v>
      </c>
      <c r="H2110" s="1" t="s">
        <v>25</v>
      </c>
      <c r="I2110" s="1" t="s">
        <v>26</v>
      </c>
      <c r="J2110" s="1" t="s">
        <v>27</v>
      </c>
      <c r="K2110" s="1">
        <v>22000.0</v>
      </c>
      <c r="L2110" s="1">
        <v>56.9825039</v>
      </c>
      <c r="M2110" s="1">
        <v>24.1917693040602</v>
      </c>
    </row>
    <row r="2111">
      <c r="A2111" s="1" t="s">
        <v>22</v>
      </c>
      <c r="B2111" s="1" t="s">
        <v>151</v>
      </c>
      <c r="C2111" s="1" t="s">
        <v>1507</v>
      </c>
      <c r="D2111" s="1">
        <v>3.0</v>
      </c>
      <c r="E2111" s="1">
        <v>55.0</v>
      </c>
      <c r="F2111" s="1">
        <v>2.0</v>
      </c>
      <c r="G2111" s="1">
        <v>5.0</v>
      </c>
      <c r="H2111" s="1" t="s">
        <v>16</v>
      </c>
      <c r="I2111" s="1" t="s">
        <v>21</v>
      </c>
      <c r="J2111" s="1" t="s">
        <v>18</v>
      </c>
      <c r="K2111" s="1">
        <v>40000.0</v>
      </c>
      <c r="L2111" s="1">
        <v>56.97070215</v>
      </c>
      <c r="M2111" s="1">
        <v>24.0650180096223</v>
      </c>
    </row>
    <row r="2112">
      <c r="A2112" s="1" t="s">
        <v>22</v>
      </c>
      <c r="B2112" s="1" t="s">
        <v>129</v>
      </c>
      <c r="C2112" s="1" t="s">
        <v>1508</v>
      </c>
      <c r="D2112" s="1">
        <v>2.0</v>
      </c>
      <c r="E2112" s="1">
        <v>52.0</v>
      </c>
      <c r="F2112" s="1">
        <v>4.0</v>
      </c>
      <c r="G2112" s="1">
        <v>5.0</v>
      </c>
      <c r="H2112" s="1" t="s">
        <v>32</v>
      </c>
      <c r="I2112" s="1" t="s">
        <v>33</v>
      </c>
      <c r="J2112" s="1" t="s">
        <v>18</v>
      </c>
      <c r="K2112" s="1">
        <v>59500.0</v>
      </c>
      <c r="L2112" s="1">
        <v>57.0025614</v>
      </c>
      <c r="M2112" s="1">
        <v>24.2835188</v>
      </c>
    </row>
    <row r="2113">
      <c r="A2113" s="1" t="s">
        <v>13</v>
      </c>
      <c r="B2113" s="1" t="s">
        <v>23</v>
      </c>
      <c r="C2113" s="1" t="s">
        <v>1509</v>
      </c>
      <c r="D2113" s="1">
        <v>1.0</v>
      </c>
      <c r="E2113" s="1">
        <v>5.0</v>
      </c>
      <c r="F2113" s="1">
        <v>1.0</v>
      </c>
      <c r="G2113" s="1">
        <v>5.0</v>
      </c>
      <c r="H2113" s="1" t="s">
        <v>25</v>
      </c>
      <c r="I2113" s="1" t="s">
        <v>37</v>
      </c>
      <c r="J2113" s="1" t="s">
        <v>18</v>
      </c>
      <c r="K2113" s="1">
        <v>120.0</v>
      </c>
      <c r="L2113" s="1">
        <v>48.2969502</v>
      </c>
      <c r="M2113" s="1">
        <v>-100.7081938</v>
      </c>
    </row>
    <row r="2114">
      <c r="A2114" s="1" t="s">
        <v>89</v>
      </c>
      <c r="B2114" s="1" t="s">
        <v>151</v>
      </c>
      <c r="C2114" s="2"/>
      <c r="D2114" s="1" t="s">
        <v>90</v>
      </c>
      <c r="E2114" s="1">
        <v>20.0</v>
      </c>
      <c r="F2114" s="1">
        <v>20.0</v>
      </c>
      <c r="G2114" s="1">
        <v>20.0</v>
      </c>
      <c r="H2114" s="2"/>
      <c r="I2114" s="2"/>
      <c r="J2114" s="2"/>
      <c r="K2114" s="2"/>
      <c r="L2114" s="1">
        <v>46.3144754</v>
      </c>
      <c r="M2114" s="1">
        <v>11.0480288</v>
      </c>
    </row>
    <row r="2115">
      <c r="A2115" s="1" t="s">
        <v>89</v>
      </c>
      <c r="B2115" s="1" t="s">
        <v>38</v>
      </c>
      <c r="C2115" s="2"/>
      <c r="D2115" s="1" t="s">
        <v>90</v>
      </c>
      <c r="E2115" s="1">
        <v>20.0</v>
      </c>
      <c r="F2115" s="1">
        <v>20.0</v>
      </c>
      <c r="G2115" s="1">
        <v>20.0</v>
      </c>
      <c r="H2115" s="2"/>
      <c r="I2115" s="2"/>
      <c r="J2115" s="2"/>
      <c r="K2115" s="2"/>
      <c r="L2115" s="1">
        <v>46.3144754</v>
      </c>
      <c r="M2115" s="1">
        <v>11.0480288</v>
      </c>
    </row>
    <row r="2116">
      <c r="A2116" s="1" t="s">
        <v>89</v>
      </c>
      <c r="B2116" s="1" t="s">
        <v>76</v>
      </c>
      <c r="C2116" s="2"/>
      <c r="D2116" s="1" t="s">
        <v>90</v>
      </c>
      <c r="E2116" s="1">
        <v>20.0</v>
      </c>
      <c r="F2116" s="1">
        <v>20.0</v>
      </c>
      <c r="G2116" s="1">
        <v>20.0</v>
      </c>
      <c r="H2116" s="2"/>
      <c r="I2116" s="2"/>
      <c r="J2116" s="2"/>
      <c r="K2116" s="2"/>
      <c r="L2116" s="1">
        <v>46.3144754</v>
      </c>
      <c r="M2116" s="1">
        <v>11.0480288</v>
      </c>
    </row>
    <row r="2117">
      <c r="A2117" s="1" t="s">
        <v>89</v>
      </c>
      <c r="B2117" s="2"/>
      <c r="C2117" s="2"/>
      <c r="D2117" s="1" t="s">
        <v>90</v>
      </c>
      <c r="E2117" s="1">
        <v>20.0</v>
      </c>
      <c r="F2117" s="1">
        <v>20.0</v>
      </c>
      <c r="G2117" s="1">
        <v>20.0</v>
      </c>
      <c r="H2117" s="2"/>
      <c r="I2117" s="2"/>
      <c r="J2117" s="2"/>
      <c r="K2117" s="2"/>
      <c r="L2117" s="1">
        <v>46.3144754</v>
      </c>
      <c r="M2117" s="1">
        <v>11.0480288</v>
      </c>
    </row>
    <row r="2118">
      <c r="A2118" s="1" t="s">
        <v>89</v>
      </c>
      <c r="B2118" s="1" t="s">
        <v>19</v>
      </c>
      <c r="C2118" s="2"/>
      <c r="D2118" s="1" t="s">
        <v>90</v>
      </c>
      <c r="E2118" s="1">
        <v>20.0</v>
      </c>
      <c r="F2118" s="1">
        <v>20.0</v>
      </c>
      <c r="G2118" s="1">
        <v>20.0</v>
      </c>
      <c r="H2118" s="2"/>
      <c r="I2118" s="2"/>
      <c r="J2118" s="2"/>
      <c r="K2118" s="2"/>
      <c r="L2118" s="1">
        <v>46.3144754</v>
      </c>
      <c r="M2118" s="1">
        <v>11.0480288</v>
      </c>
    </row>
    <row r="2119">
      <c r="A2119" s="1" t="s">
        <v>89</v>
      </c>
      <c r="B2119" s="1" t="s">
        <v>96</v>
      </c>
      <c r="C2119" s="2"/>
      <c r="D2119" s="1" t="s">
        <v>90</v>
      </c>
      <c r="E2119" s="1">
        <v>20.0</v>
      </c>
      <c r="F2119" s="1">
        <v>20.0</v>
      </c>
      <c r="G2119" s="1">
        <v>20.0</v>
      </c>
      <c r="H2119" s="2"/>
      <c r="I2119" s="2"/>
      <c r="J2119" s="2"/>
      <c r="K2119" s="2"/>
      <c r="L2119" s="1">
        <v>46.3144754</v>
      </c>
      <c r="M2119" s="1">
        <v>11.0480288</v>
      </c>
    </row>
    <row r="2120">
      <c r="A2120" s="1" t="s">
        <v>89</v>
      </c>
      <c r="B2120" s="1" t="s">
        <v>14</v>
      </c>
      <c r="C2120" s="2"/>
      <c r="D2120" s="1" t="s">
        <v>90</v>
      </c>
      <c r="E2120" s="1">
        <v>20.0</v>
      </c>
      <c r="F2120" s="1">
        <v>20.0</v>
      </c>
      <c r="G2120" s="1">
        <v>20.0</v>
      </c>
      <c r="H2120" s="2"/>
      <c r="I2120" s="2"/>
      <c r="J2120" s="2"/>
      <c r="K2120" s="2"/>
      <c r="L2120" s="1">
        <v>46.3144754</v>
      </c>
      <c r="M2120" s="1">
        <v>11.0480288</v>
      </c>
    </row>
    <row r="2121">
      <c r="A2121" s="1" t="s">
        <v>22</v>
      </c>
      <c r="B2121" s="1" t="s">
        <v>23</v>
      </c>
      <c r="C2121" s="1" t="s">
        <v>114</v>
      </c>
      <c r="D2121" s="1">
        <v>3.0</v>
      </c>
      <c r="E2121" s="1">
        <v>80.0</v>
      </c>
      <c r="F2121" s="1">
        <v>2.0</v>
      </c>
      <c r="G2121" s="1">
        <v>5.0</v>
      </c>
      <c r="H2121" s="1" t="s">
        <v>181</v>
      </c>
      <c r="I2121" s="1" t="s">
        <v>37</v>
      </c>
      <c r="J2121" s="1" t="s">
        <v>18</v>
      </c>
      <c r="K2121" s="1">
        <v>142000.0</v>
      </c>
      <c r="L2121" s="1">
        <v>56.9647239</v>
      </c>
      <c r="M2121" s="1">
        <v>24.1477109</v>
      </c>
    </row>
    <row r="2122">
      <c r="A2122" s="1" t="s">
        <v>13</v>
      </c>
      <c r="B2122" s="1" t="s">
        <v>60</v>
      </c>
      <c r="C2122" s="1" t="s">
        <v>1510</v>
      </c>
      <c r="D2122" s="1">
        <v>2.0</v>
      </c>
      <c r="E2122" s="1">
        <v>49.0</v>
      </c>
      <c r="F2122" s="1">
        <v>2.0</v>
      </c>
      <c r="G2122" s="1">
        <v>5.0</v>
      </c>
      <c r="H2122" s="1" t="s">
        <v>16</v>
      </c>
      <c r="I2122" s="1" t="s">
        <v>17</v>
      </c>
      <c r="J2122" s="1" t="s">
        <v>18</v>
      </c>
      <c r="K2122" s="1">
        <v>250.0</v>
      </c>
      <c r="L2122" s="1">
        <v>57.0322103</v>
      </c>
      <c r="M2122" s="1">
        <v>24.0541375022314</v>
      </c>
    </row>
    <row r="2123">
      <c r="A2123" s="1" t="s">
        <v>13</v>
      </c>
      <c r="B2123" s="1" t="s">
        <v>23</v>
      </c>
      <c r="C2123" s="1" t="s">
        <v>773</v>
      </c>
      <c r="D2123" s="1">
        <v>1.0</v>
      </c>
      <c r="E2123" s="1">
        <v>15.0</v>
      </c>
      <c r="F2123" s="1">
        <v>3.0</v>
      </c>
      <c r="G2123" s="1">
        <v>4.0</v>
      </c>
      <c r="H2123" s="1" t="s">
        <v>25</v>
      </c>
      <c r="I2123" s="1" t="s">
        <v>37</v>
      </c>
      <c r="J2123" s="1" t="s">
        <v>18</v>
      </c>
      <c r="K2123" s="1">
        <v>200.0</v>
      </c>
      <c r="L2123" s="1">
        <v>56.9411476</v>
      </c>
      <c r="M2123" s="1">
        <v>24.1242481</v>
      </c>
    </row>
    <row r="2124">
      <c r="A2124" s="1" t="s">
        <v>22</v>
      </c>
      <c r="B2124" s="1" t="s">
        <v>23</v>
      </c>
      <c r="C2124" s="1" t="s">
        <v>1511</v>
      </c>
      <c r="D2124" s="1">
        <v>1.0</v>
      </c>
      <c r="E2124" s="1">
        <v>22.0</v>
      </c>
      <c r="F2124" s="1">
        <v>2.0</v>
      </c>
      <c r="G2124" s="1">
        <v>2.0</v>
      </c>
      <c r="H2124" s="1" t="s">
        <v>25</v>
      </c>
      <c r="I2124" s="1" t="s">
        <v>26</v>
      </c>
      <c r="J2124" s="1" t="s">
        <v>18</v>
      </c>
      <c r="K2124" s="1">
        <v>15000.0</v>
      </c>
      <c r="L2124" s="1">
        <v>56.9539286</v>
      </c>
      <c r="M2124" s="1">
        <v>24.1448758</v>
      </c>
    </row>
    <row r="2125">
      <c r="A2125" s="1" t="s">
        <v>22</v>
      </c>
      <c r="B2125" s="1" t="s">
        <v>174</v>
      </c>
      <c r="C2125" s="1" t="s">
        <v>1512</v>
      </c>
      <c r="D2125" s="1">
        <v>2.0</v>
      </c>
      <c r="E2125" s="1">
        <v>51.0</v>
      </c>
      <c r="F2125" s="1">
        <v>6.0</v>
      </c>
      <c r="G2125" s="1">
        <v>9.0</v>
      </c>
      <c r="H2125" s="1">
        <v>602.0</v>
      </c>
      <c r="I2125" s="1" t="s">
        <v>21</v>
      </c>
      <c r="J2125" s="1" t="s">
        <v>18</v>
      </c>
      <c r="K2125" s="1">
        <v>53000.0</v>
      </c>
      <c r="L2125" s="1">
        <v>56.9297701</v>
      </c>
      <c r="M2125" s="1">
        <v>24.1774387443472</v>
      </c>
    </row>
    <row r="2126">
      <c r="A2126" s="1" t="s">
        <v>22</v>
      </c>
      <c r="B2126" s="1" t="s">
        <v>28</v>
      </c>
      <c r="C2126" s="1" t="s">
        <v>73</v>
      </c>
      <c r="D2126" s="1">
        <v>2.0</v>
      </c>
      <c r="E2126" s="1">
        <v>45.0</v>
      </c>
      <c r="F2126" s="1">
        <v>4.0</v>
      </c>
      <c r="G2126" s="1">
        <v>5.0</v>
      </c>
      <c r="H2126" s="1" t="s">
        <v>44</v>
      </c>
      <c r="I2126" s="1" t="s">
        <v>37</v>
      </c>
      <c r="J2126" s="1" t="s">
        <v>18</v>
      </c>
      <c r="K2126" s="1">
        <v>40000.0</v>
      </c>
      <c r="L2126" s="1">
        <v>56.9134761</v>
      </c>
      <c r="M2126" s="1">
        <v>24.18677075</v>
      </c>
    </row>
    <row r="2127">
      <c r="A2127" s="1" t="s">
        <v>13</v>
      </c>
      <c r="B2127" s="1" t="s">
        <v>38</v>
      </c>
      <c r="C2127" s="1" t="s">
        <v>1513</v>
      </c>
      <c r="D2127" s="1">
        <v>4.0</v>
      </c>
      <c r="E2127" s="1">
        <v>102.0</v>
      </c>
      <c r="F2127" s="1">
        <v>2.0</v>
      </c>
      <c r="G2127" s="1">
        <v>3.0</v>
      </c>
      <c r="H2127" s="1" t="s">
        <v>32</v>
      </c>
      <c r="I2127" s="1" t="s">
        <v>122</v>
      </c>
      <c r="J2127" s="1" t="s">
        <v>18</v>
      </c>
      <c r="K2127" s="1">
        <v>800.0</v>
      </c>
      <c r="L2127" s="1">
        <v>56.9540025999999</v>
      </c>
      <c r="M2127" s="1">
        <v>23.9896591361657</v>
      </c>
    </row>
    <row r="2128">
      <c r="A2128" s="1" t="s">
        <v>22</v>
      </c>
      <c r="B2128" s="1" t="s">
        <v>74</v>
      </c>
      <c r="C2128" s="1" t="s">
        <v>601</v>
      </c>
      <c r="D2128" s="1">
        <v>3.0</v>
      </c>
      <c r="E2128" s="1">
        <v>72.0</v>
      </c>
      <c r="F2128" s="1">
        <v>8.0</v>
      </c>
      <c r="G2128" s="1">
        <v>9.0</v>
      </c>
      <c r="H2128" s="1" t="s">
        <v>32</v>
      </c>
      <c r="I2128" s="1" t="s">
        <v>21</v>
      </c>
      <c r="J2128" s="1" t="s">
        <v>18</v>
      </c>
      <c r="K2128" s="1">
        <v>125000.0</v>
      </c>
      <c r="L2128" s="1">
        <v>56.942327</v>
      </c>
      <c r="M2128" s="1">
        <v>24.2300928779978</v>
      </c>
    </row>
    <row r="2129">
      <c r="A2129" s="1" t="s">
        <v>13</v>
      </c>
      <c r="B2129" s="1" t="s">
        <v>104</v>
      </c>
      <c r="C2129" s="1" t="s">
        <v>352</v>
      </c>
      <c r="D2129" s="1">
        <v>1.0</v>
      </c>
      <c r="E2129" s="1">
        <v>35.0</v>
      </c>
      <c r="F2129" s="1">
        <v>3.0</v>
      </c>
      <c r="G2129" s="1">
        <v>6.0</v>
      </c>
      <c r="H2129" s="1" t="s">
        <v>32</v>
      </c>
      <c r="I2129" s="1" t="s">
        <v>33</v>
      </c>
      <c r="J2129" s="1" t="s">
        <v>18</v>
      </c>
      <c r="K2129" s="1">
        <v>550.0</v>
      </c>
      <c r="L2129" s="1">
        <v>56.9374039</v>
      </c>
      <c r="M2129" s="1">
        <v>24.101176263114</v>
      </c>
    </row>
    <row r="2130">
      <c r="A2130" s="1" t="s">
        <v>13</v>
      </c>
      <c r="B2130" s="1" t="s">
        <v>14</v>
      </c>
      <c r="C2130" s="1" t="s">
        <v>358</v>
      </c>
      <c r="D2130" s="1">
        <v>2.0</v>
      </c>
      <c r="E2130" s="1">
        <v>70.0</v>
      </c>
      <c r="F2130" s="1">
        <v>1.0</v>
      </c>
      <c r="G2130" s="1">
        <v>9.0</v>
      </c>
      <c r="H2130" s="1" t="s">
        <v>32</v>
      </c>
      <c r="I2130" s="1" t="s">
        <v>122</v>
      </c>
      <c r="J2130" s="1" t="s">
        <v>18</v>
      </c>
      <c r="K2130" s="1">
        <v>450.0</v>
      </c>
      <c r="L2130" s="1">
        <v>56.9527285</v>
      </c>
      <c r="M2130" s="1">
        <v>24.1907987106043</v>
      </c>
    </row>
    <row r="2131">
      <c r="A2131" s="1" t="s">
        <v>22</v>
      </c>
      <c r="B2131" s="1" t="s">
        <v>74</v>
      </c>
      <c r="C2131" s="1" t="s">
        <v>1514</v>
      </c>
      <c r="D2131" s="1">
        <v>1.0</v>
      </c>
      <c r="E2131" s="1">
        <v>27.0</v>
      </c>
      <c r="F2131" s="1">
        <v>1.0</v>
      </c>
      <c r="G2131" s="1">
        <v>5.0</v>
      </c>
      <c r="H2131" s="1" t="s">
        <v>66</v>
      </c>
      <c r="I2131" s="1" t="s">
        <v>21</v>
      </c>
      <c r="J2131" s="1" t="s">
        <v>18</v>
      </c>
      <c r="K2131" s="1">
        <v>25000.0</v>
      </c>
      <c r="L2131" s="1">
        <v>56.9223072</v>
      </c>
      <c r="M2131" s="1">
        <v>24.2131166</v>
      </c>
    </row>
    <row r="2132">
      <c r="A2132" s="1" t="s">
        <v>22</v>
      </c>
      <c r="B2132" s="1" t="s">
        <v>74</v>
      </c>
      <c r="C2132" s="1" t="s">
        <v>1515</v>
      </c>
      <c r="D2132" s="1">
        <v>2.0</v>
      </c>
      <c r="E2132" s="1">
        <v>50.0</v>
      </c>
      <c r="F2132" s="1">
        <v>3.0</v>
      </c>
      <c r="G2132" s="1">
        <v>9.0</v>
      </c>
      <c r="H2132" s="1">
        <v>602.0</v>
      </c>
      <c r="I2132" s="1" t="s">
        <v>21</v>
      </c>
      <c r="J2132" s="1" t="s">
        <v>18</v>
      </c>
      <c r="K2132" s="1">
        <v>51000.0</v>
      </c>
      <c r="L2132" s="1">
        <v>56.938833</v>
      </c>
      <c r="M2132" s="1">
        <v>24.196218600625</v>
      </c>
    </row>
    <row r="2133">
      <c r="A2133" s="1" t="s">
        <v>22</v>
      </c>
      <c r="B2133" s="1" t="s">
        <v>38</v>
      </c>
      <c r="C2133" s="1" t="s">
        <v>1516</v>
      </c>
      <c r="D2133" s="1">
        <v>2.0</v>
      </c>
      <c r="E2133" s="1">
        <v>50.0</v>
      </c>
      <c r="F2133" s="1">
        <v>2.0</v>
      </c>
      <c r="G2133" s="1">
        <v>5.0</v>
      </c>
      <c r="H2133" s="1" t="s">
        <v>16</v>
      </c>
      <c r="I2133" s="1" t="s">
        <v>21</v>
      </c>
      <c r="J2133" s="1" t="s">
        <v>18</v>
      </c>
      <c r="K2133" s="1">
        <v>53000.0</v>
      </c>
      <c r="L2133" s="1">
        <v>56.96275695</v>
      </c>
      <c r="M2133" s="1">
        <v>24.0111986479723</v>
      </c>
    </row>
    <row r="2134">
      <c r="A2134" s="1" t="s">
        <v>22</v>
      </c>
      <c r="B2134" s="1" t="s">
        <v>14</v>
      </c>
      <c r="C2134" s="1" t="s">
        <v>1517</v>
      </c>
      <c r="D2134" s="1">
        <v>4.0</v>
      </c>
      <c r="E2134" s="1">
        <v>91.0</v>
      </c>
      <c r="F2134" s="1">
        <v>3.0</v>
      </c>
      <c r="G2134" s="1">
        <v>5.0</v>
      </c>
      <c r="H2134" s="1">
        <v>103.0</v>
      </c>
      <c r="I2134" s="1" t="s">
        <v>17</v>
      </c>
      <c r="J2134" s="1" t="s">
        <v>18</v>
      </c>
      <c r="K2134" s="1">
        <v>100000.0</v>
      </c>
      <c r="L2134" s="1">
        <v>56.9461335</v>
      </c>
      <c r="M2134" s="1">
        <v>24.1731748942272</v>
      </c>
    </row>
    <row r="2135">
      <c r="A2135" s="1" t="s">
        <v>13</v>
      </c>
      <c r="B2135" s="1" t="s">
        <v>74</v>
      </c>
      <c r="C2135" s="1" t="s">
        <v>1518</v>
      </c>
      <c r="D2135" s="1">
        <v>1.0</v>
      </c>
      <c r="E2135" s="1">
        <v>35.0</v>
      </c>
      <c r="F2135" s="1">
        <v>5.0</v>
      </c>
      <c r="G2135" s="1">
        <v>9.0</v>
      </c>
      <c r="H2135" s="1">
        <v>602.0</v>
      </c>
      <c r="I2135" s="1" t="s">
        <v>21</v>
      </c>
      <c r="J2135" s="1" t="s">
        <v>18</v>
      </c>
      <c r="K2135" s="1">
        <v>230.0</v>
      </c>
      <c r="L2135" s="1">
        <v>56.93860365</v>
      </c>
      <c r="M2135" s="1">
        <v>24.1990404998415</v>
      </c>
    </row>
    <row r="2136">
      <c r="A2136" s="1" t="s">
        <v>89</v>
      </c>
      <c r="B2136" s="1" t="s">
        <v>23</v>
      </c>
      <c r="C2136" s="2"/>
      <c r="D2136" s="1">
        <v>3.0</v>
      </c>
      <c r="E2136" s="2"/>
      <c r="F2136" s="1">
        <v>2.0</v>
      </c>
      <c r="G2136" s="2"/>
      <c r="H2136" s="2"/>
      <c r="I2136" s="2"/>
      <c r="J2136" s="2"/>
      <c r="K2136" s="2"/>
      <c r="L2136" s="1">
        <v>46.3144754</v>
      </c>
      <c r="M2136" s="1">
        <v>11.0480288</v>
      </c>
    </row>
    <row r="2137">
      <c r="A2137" s="1" t="s">
        <v>22</v>
      </c>
      <c r="B2137" s="1" t="s">
        <v>23</v>
      </c>
      <c r="C2137" s="1" t="s">
        <v>1442</v>
      </c>
      <c r="D2137" s="1">
        <v>3.0</v>
      </c>
      <c r="E2137" s="1">
        <v>112.0</v>
      </c>
      <c r="F2137" s="1">
        <v>2.0</v>
      </c>
      <c r="G2137" s="1">
        <v>6.0</v>
      </c>
      <c r="H2137" s="1" t="s">
        <v>66</v>
      </c>
      <c r="I2137" s="1" t="s">
        <v>33</v>
      </c>
      <c r="J2137" s="1" t="s">
        <v>18</v>
      </c>
      <c r="K2137" s="1">
        <v>320000.0</v>
      </c>
      <c r="L2137" s="1">
        <v>48.2969502</v>
      </c>
      <c r="M2137" s="1">
        <v>-100.7081938</v>
      </c>
    </row>
    <row r="2138">
      <c r="A2138" s="1" t="s">
        <v>22</v>
      </c>
      <c r="B2138" s="1" t="s">
        <v>23</v>
      </c>
      <c r="C2138" s="1" t="s">
        <v>1519</v>
      </c>
      <c r="D2138" s="1">
        <v>4.0</v>
      </c>
      <c r="E2138" s="1">
        <v>89.0</v>
      </c>
      <c r="F2138" s="1">
        <v>2.0</v>
      </c>
      <c r="G2138" s="1">
        <v>6.0</v>
      </c>
      <c r="H2138" s="1" t="s">
        <v>36</v>
      </c>
      <c r="I2138" s="1" t="s">
        <v>122</v>
      </c>
      <c r="J2138" s="1" t="s">
        <v>18</v>
      </c>
      <c r="K2138" s="1">
        <v>199500.0</v>
      </c>
      <c r="L2138" s="1">
        <v>56.95926715</v>
      </c>
      <c r="M2138" s="1">
        <v>24.1227600784641</v>
      </c>
    </row>
    <row r="2139">
      <c r="A2139" s="1" t="s">
        <v>131</v>
      </c>
      <c r="B2139" s="1" t="s">
        <v>52</v>
      </c>
      <c r="C2139" s="2"/>
      <c r="D2139" s="1">
        <v>2.0</v>
      </c>
      <c r="E2139" s="2"/>
      <c r="F2139" s="2"/>
      <c r="G2139" s="2"/>
      <c r="H2139" s="2"/>
      <c r="I2139" s="2"/>
      <c r="J2139" s="2"/>
      <c r="K2139" s="2"/>
      <c r="L2139" s="1">
        <v>46.3144754</v>
      </c>
      <c r="M2139" s="1">
        <v>11.0480288</v>
      </c>
    </row>
    <row r="2140">
      <c r="A2140" s="1" t="s">
        <v>131</v>
      </c>
      <c r="B2140" s="1" t="s">
        <v>14</v>
      </c>
      <c r="C2140" s="2"/>
      <c r="D2140" s="1">
        <v>2.0</v>
      </c>
      <c r="E2140" s="2"/>
      <c r="F2140" s="2"/>
      <c r="G2140" s="2"/>
      <c r="H2140" s="2"/>
      <c r="I2140" s="2"/>
      <c r="J2140" s="2"/>
      <c r="K2140" s="2"/>
      <c r="L2140" s="1">
        <v>46.3144754</v>
      </c>
      <c r="M2140" s="1">
        <v>11.0480288</v>
      </c>
    </row>
    <row r="2141">
      <c r="A2141" s="1" t="s">
        <v>22</v>
      </c>
      <c r="B2141" s="1" t="s">
        <v>74</v>
      </c>
      <c r="C2141" s="1" t="s">
        <v>670</v>
      </c>
      <c r="D2141" s="1">
        <v>4.0</v>
      </c>
      <c r="E2141" s="1">
        <v>76.0</v>
      </c>
      <c r="F2141" s="1">
        <v>6.0</v>
      </c>
      <c r="G2141" s="1">
        <v>9.0</v>
      </c>
      <c r="H2141" s="1">
        <v>602.0</v>
      </c>
      <c r="I2141" s="1" t="s">
        <v>21</v>
      </c>
      <c r="J2141" s="1" t="s">
        <v>18</v>
      </c>
      <c r="K2141" s="1">
        <v>89000.0</v>
      </c>
      <c r="L2141" s="1">
        <v>56.9346184</v>
      </c>
      <c r="M2141" s="1">
        <v>24.1980807</v>
      </c>
    </row>
    <row r="2142">
      <c r="A2142" s="1" t="s">
        <v>22</v>
      </c>
      <c r="B2142" s="1" t="s">
        <v>117</v>
      </c>
      <c r="C2142" s="1" t="s">
        <v>1520</v>
      </c>
      <c r="D2142" s="1">
        <v>1.0</v>
      </c>
      <c r="E2142" s="1">
        <v>31.0</v>
      </c>
      <c r="F2142" s="1">
        <v>1.0</v>
      </c>
      <c r="G2142" s="1">
        <v>2.0</v>
      </c>
      <c r="H2142" s="1" t="s">
        <v>25</v>
      </c>
      <c r="I2142" s="1" t="s">
        <v>26</v>
      </c>
      <c r="J2142" s="1" t="s">
        <v>27</v>
      </c>
      <c r="K2142" s="1">
        <v>11900.0</v>
      </c>
      <c r="L2142" s="1">
        <v>56.98125695</v>
      </c>
      <c r="M2142" s="1">
        <v>24.1517526006206</v>
      </c>
    </row>
    <row r="2143">
      <c r="A2143" s="1" t="s">
        <v>13</v>
      </c>
      <c r="B2143" s="1" t="s">
        <v>23</v>
      </c>
      <c r="C2143" s="1" t="s">
        <v>888</v>
      </c>
      <c r="D2143" s="1">
        <v>1.0</v>
      </c>
      <c r="E2143" s="1">
        <v>30.0</v>
      </c>
      <c r="F2143" s="1">
        <v>3.0</v>
      </c>
      <c r="G2143" s="1">
        <v>5.0</v>
      </c>
      <c r="H2143" s="1" t="s">
        <v>66</v>
      </c>
      <c r="I2143" s="1" t="s">
        <v>37</v>
      </c>
      <c r="J2143" s="1" t="s">
        <v>18</v>
      </c>
      <c r="K2143" s="1">
        <v>400.0</v>
      </c>
      <c r="L2143" s="1">
        <v>56.94863315</v>
      </c>
      <c r="M2143" s="1">
        <v>24.1500322</v>
      </c>
    </row>
    <row r="2144">
      <c r="A2144" s="1" t="s">
        <v>13</v>
      </c>
      <c r="B2144" s="1" t="s">
        <v>38</v>
      </c>
      <c r="C2144" s="1" t="s">
        <v>1172</v>
      </c>
      <c r="D2144" s="1">
        <v>1.0</v>
      </c>
      <c r="E2144" s="1">
        <v>30.0</v>
      </c>
      <c r="F2144" s="1">
        <v>12.0</v>
      </c>
      <c r="G2144" s="1">
        <v>12.0</v>
      </c>
      <c r="H2144" s="1" t="s">
        <v>221</v>
      </c>
      <c r="I2144" s="1" t="s">
        <v>17</v>
      </c>
      <c r="J2144" s="1" t="s">
        <v>18</v>
      </c>
      <c r="K2144" s="1">
        <v>290.0</v>
      </c>
      <c r="L2144" s="1">
        <v>56.9648157</v>
      </c>
      <c r="M2144" s="1">
        <v>24.0190534</v>
      </c>
    </row>
    <row r="2145">
      <c r="A2145" s="1" t="s">
        <v>1499</v>
      </c>
      <c r="B2145" s="1" t="s">
        <v>23</v>
      </c>
      <c r="C2145" s="1" t="s">
        <v>1521</v>
      </c>
      <c r="D2145" s="1">
        <v>1.0</v>
      </c>
      <c r="E2145" s="1">
        <v>30.0</v>
      </c>
      <c r="F2145" s="1">
        <v>4.0</v>
      </c>
      <c r="G2145" s="1">
        <v>5.0</v>
      </c>
      <c r="H2145" s="1" t="s">
        <v>25</v>
      </c>
      <c r="I2145" s="1" t="s">
        <v>37</v>
      </c>
      <c r="J2145" s="1" t="s">
        <v>18</v>
      </c>
      <c r="K2145" s="1">
        <v>10.0</v>
      </c>
      <c r="L2145" s="1">
        <v>56.94944785</v>
      </c>
      <c r="M2145" s="1">
        <v>24.1205985575748</v>
      </c>
    </row>
    <row r="2146">
      <c r="A2146" s="1" t="s">
        <v>468</v>
      </c>
      <c r="B2146" s="1" t="s">
        <v>19</v>
      </c>
      <c r="C2146" s="2"/>
      <c r="D2146" s="1">
        <v>2.0</v>
      </c>
      <c r="E2146" s="2"/>
      <c r="F2146" s="1">
        <v>9.0</v>
      </c>
      <c r="G2146" s="1">
        <v>9.0</v>
      </c>
      <c r="H2146" s="1">
        <v>602.0</v>
      </c>
      <c r="I2146" s="2"/>
      <c r="J2146" s="1" t="s">
        <v>18</v>
      </c>
      <c r="K2146" s="2"/>
      <c r="L2146" s="1">
        <v>46.3144754</v>
      </c>
      <c r="M2146" s="1">
        <v>11.0480288</v>
      </c>
    </row>
    <row r="2147">
      <c r="A2147" s="1" t="s">
        <v>22</v>
      </c>
      <c r="B2147" s="1" t="s">
        <v>129</v>
      </c>
      <c r="C2147" s="1" t="s">
        <v>1522</v>
      </c>
      <c r="D2147" s="1">
        <v>2.0</v>
      </c>
      <c r="E2147" s="1">
        <v>32.0</v>
      </c>
      <c r="F2147" s="1">
        <v>1.0</v>
      </c>
      <c r="G2147" s="1">
        <v>4.0</v>
      </c>
      <c r="H2147" s="1" t="s">
        <v>25</v>
      </c>
      <c r="I2147" s="1" t="s">
        <v>33</v>
      </c>
      <c r="J2147" s="1" t="s">
        <v>18</v>
      </c>
      <c r="K2147" s="1">
        <v>19000.0</v>
      </c>
      <c r="L2147" s="1">
        <v>56.99391265</v>
      </c>
      <c r="M2147" s="1">
        <v>24.1296989883333</v>
      </c>
    </row>
    <row r="2148">
      <c r="A2148" s="1" t="s">
        <v>13</v>
      </c>
      <c r="B2148" s="1" t="s">
        <v>23</v>
      </c>
      <c r="C2148" s="1" t="s">
        <v>144</v>
      </c>
      <c r="D2148" s="1">
        <v>2.0</v>
      </c>
      <c r="E2148" s="1">
        <v>77.0</v>
      </c>
      <c r="F2148" s="1">
        <v>3.0</v>
      </c>
      <c r="G2148" s="1">
        <v>6.0</v>
      </c>
      <c r="H2148" s="1" t="s">
        <v>25</v>
      </c>
      <c r="I2148" s="1" t="s">
        <v>33</v>
      </c>
      <c r="J2148" s="1" t="s">
        <v>18</v>
      </c>
      <c r="K2148" s="1">
        <v>700.0</v>
      </c>
      <c r="L2148" s="1">
        <v>56.96104425</v>
      </c>
      <c r="M2148" s="1">
        <v>24.0996557553473</v>
      </c>
    </row>
    <row r="2149">
      <c r="A2149" s="1" t="s">
        <v>22</v>
      </c>
      <c r="B2149" s="1" t="s">
        <v>50</v>
      </c>
      <c r="C2149" s="1" t="s">
        <v>1480</v>
      </c>
      <c r="D2149" s="1">
        <v>2.0</v>
      </c>
      <c r="E2149" s="1">
        <v>47.0</v>
      </c>
      <c r="F2149" s="1">
        <v>4.0</v>
      </c>
      <c r="G2149" s="1">
        <v>9.0</v>
      </c>
      <c r="H2149" s="1">
        <v>467.0</v>
      </c>
      <c r="I2149" s="1" t="s">
        <v>21</v>
      </c>
      <c r="J2149" s="1" t="s">
        <v>18</v>
      </c>
      <c r="K2149" s="1">
        <v>51000.0</v>
      </c>
      <c r="L2149" s="1">
        <v>56.9239084</v>
      </c>
      <c r="M2149" s="1">
        <v>24.1674059998207</v>
      </c>
    </row>
    <row r="2150">
      <c r="A2150" s="1" t="s">
        <v>22</v>
      </c>
      <c r="B2150" s="1" t="s">
        <v>38</v>
      </c>
      <c r="C2150" s="1" t="s">
        <v>1523</v>
      </c>
      <c r="D2150" s="1">
        <v>2.0</v>
      </c>
      <c r="E2150" s="1">
        <v>50.0</v>
      </c>
      <c r="F2150" s="1">
        <v>8.0</v>
      </c>
      <c r="G2150" s="1">
        <v>9.0</v>
      </c>
      <c r="H2150" s="1">
        <v>602.0</v>
      </c>
      <c r="I2150" s="1" t="s">
        <v>21</v>
      </c>
      <c r="J2150" s="1" t="s">
        <v>18</v>
      </c>
      <c r="K2150" s="1">
        <v>58000.0</v>
      </c>
      <c r="L2150" s="1">
        <v>56.9613122</v>
      </c>
      <c r="M2150" s="1">
        <v>24.0039680744918</v>
      </c>
    </row>
    <row r="2151">
      <c r="A2151" s="1" t="s">
        <v>22</v>
      </c>
      <c r="B2151" s="1" t="s">
        <v>109</v>
      </c>
      <c r="C2151" s="1" t="s">
        <v>1240</v>
      </c>
      <c r="D2151" s="1">
        <v>3.0</v>
      </c>
      <c r="E2151" s="1">
        <v>140.0</v>
      </c>
      <c r="F2151" s="1">
        <v>8.0</v>
      </c>
      <c r="G2151" s="1">
        <v>12.0</v>
      </c>
      <c r="H2151" s="1" t="s">
        <v>32</v>
      </c>
      <c r="I2151" s="1" t="s">
        <v>33</v>
      </c>
      <c r="J2151" s="1" t="s">
        <v>18</v>
      </c>
      <c r="K2151" s="1">
        <v>179800.0</v>
      </c>
      <c r="L2151" s="1">
        <v>56.9943642</v>
      </c>
      <c r="M2151" s="1">
        <v>24.1661266885749</v>
      </c>
    </row>
    <row r="2152">
      <c r="A2152" s="1" t="s">
        <v>13</v>
      </c>
      <c r="B2152" s="1" t="s">
        <v>23</v>
      </c>
      <c r="C2152" s="1" t="s">
        <v>1524</v>
      </c>
      <c r="D2152" s="1">
        <v>4.0</v>
      </c>
      <c r="E2152" s="1">
        <v>111.3</v>
      </c>
      <c r="F2152" s="1">
        <v>4.0</v>
      </c>
      <c r="G2152" s="1">
        <v>5.0</v>
      </c>
      <c r="H2152" s="1" t="s">
        <v>25</v>
      </c>
      <c r="I2152" s="1" t="s">
        <v>37</v>
      </c>
      <c r="J2152" s="1" t="s">
        <v>18</v>
      </c>
      <c r="K2152" s="1">
        <v>560.0</v>
      </c>
      <c r="L2152" s="1">
        <v>56.952235</v>
      </c>
      <c r="M2152" s="1">
        <v>24.1366039</v>
      </c>
    </row>
    <row r="2153">
      <c r="A2153" s="1" t="s">
        <v>13</v>
      </c>
      <c r="B2153" s="1" t="s">
        <v>28</v>
      </c>
      <c r="C2153" s="1" t="s">
        <v>665</v>
      </c>
      <c r="D2153" s="1">
        <v>2.0</v>
      </c>
      <c r="E2153" s="1">
        <v>49.0</v>
      </c>
      <c r="F2153" s="1">
        <v>2.0</v>
      </c>
      <c r="G2153" s="1">
        <v>5.0</v>
      </c>
      <c r="H2153" s="1" t="s">
        <v>16</v>
      </c>
      <c r="I2153" s="1" t="s">
        <v>21</v>
      </c>
      <c r="J2153" s="1" t="s">
        <v>18</v>
      </c>
      <c r="K2153" s="1">
        <v>45.0</v>
      </c>
      <c r="L2153" s="1">
        <v>56.90837855</v>
      </c>
      <c r="M2153" s="1">
        <v>24.20066605</v>
      </c>
    </row>
    <row r="2154">
      <c r="A2154" s="1" t="s">
        <v>22</v>
      </c>
      <c r="B2154" s="1" t="s">
        <v>109</v>
      </c>
      <c r="C2154" s="1" t="s">
        <v>1525</v>
      </c>
      <c r="D2154" s="1">
        <v>4.0</v>
      </c>
      <c r="E2154" s="1">
        <v>75.0</v>
      </c>
      <c r="F2154" s="1">
        <v>2.0</v>
      </c>
      <c r="G2154" s="1">
        <v>5.0</v>
      </c>
      <c r="H2154" s="1" t="s">
        <v>36</v>
      </c>
      <c r="I2154" s="1" t="s">
        <v>37</v>
      </c>
      <c r="J2154" s="1" t="s">
        <v>18</v>
      </c>
      <c r="K2154" s="1">
        <v>57000.0</v>
      </c>
      <c r="L2154" s="1">
        <v>56.99320475</v>
      </c>
      <c r="M2154" s="1">
        <v>24.1917623735809</v>
      </c>
    </row>
    <row r="2155">
      <c r="A2155" s="1" t="s">
        <v>89</v>
      </c>
      <c r="B2155" s="1" t="s">
        <v>76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1">
        <v>46.3144754</v>
      </c>
      <c r="M2155" s="1">
        <v>11.0480288</v>
      </c>
    </row>
    <row r="2156">
      <c r="A2156" s="1" t="s">
        <v>22</v>
      </c>
      <c r="B2156" s="1" t="s">
        <v>104</v>
      </c>
      <c r="C2156" s="1" t="s">
        <v>948</v>
      </c>
      <c r="D2156" s="1">
        <v>3.0</v>
      </c>
      <c r="E2156" s="1">
        <v>90.0</v>
      </c>
      <c r="F2156" s="1">
        <v>2.0</v>
      </c>
      <c r="G2156" s="1">
        <v>3.0</v>
      </c>
      <c r="H2156" s="1" t="s">
        <v>32</v>
      </c>
      <c r="I2156" s="1" t="s">
        <v>33</v>
      </c>
      <c r="J2156" s="1" t="s">
        <v>18</v>
      </c>
      <c r="K2156" s="1">
        <v>144200.0</v>
      </c>
      <c r="L2156" s="1">
        <v>56.9394528</v>
      </c>
      <c r="M2156" s="1">
        <v>24.0668604</v>
      </c>
    </row>
    <row r="2157">
      <c r="A2157" s="1" t="s">
        <v>89</v>
      </c>
      <c r="B2157" s="1" t="s">
        <v>117</v>
      </c>
      <c r="C2157" s="2"/>
      <c r="D2157" s="1" t="s">
        <v>90</v>
      </c>
      <c r="E2157" s="2"/>
      <c r="F2157" s="2"/>
      <c r="G2157" s="2"/>
      <c r="H2157" s="2"/>
      <c r="I2157" s="2"/>
      <c r="J2157" s="2"/>
      <c r="K2157" s="2"/>
      <c r="L2157" s="1">
        <v>46.3144754</v>
      </c>
      <c r="M2157" s="1">
        <v>11.0480288</v>
      </c>
    </row>
    <row r="2158">
      <c r="A2158" s="1" t="s">
        <v>13</v>
      </c>
      <c r="B2158" s="1" t="s">
        <v>23</v>
      </c>
      <c r="C2158" s="1" t="s">
        <v>1526</v>
      </c>
      <c r="D2158" s="1">
        <v>2.0</v>
      </c>
      <c r="E2158" s="1">
        <v>50.0</v>
      </c>
      <c r="F2158" s="1">
        <v>2.0</v>
      </c>
      <c r="G2158" s="1">
        <v>5.0</v>
      </c>
      <c r="H2158" s="1" t="s">
        <v>32</v>
      </c>
      <c r="I2158" s="1" t="s">
        <v>21</v>
      </c>
      <c r="J2158" s="1" t="s">
        <v>18</v>
      </c>
      <c r="K2158" s="1">
        <v>550.0</v>
      </c>
      <c r="L2158" s="1">
        <v>56.97121095</v>
      </c>
      <c r="M2158" s="1">
        <v>24.10518275</v>
      </c>
    </row>
    <row r="2159">
      <c r="A2159" s="1" t="s">
        <v>22</v>
      </c>
      <c r="B2159" s="1" t="s">
        <v>42</v>
      </c>
      <c r="C2159" s="1" t="s">
        <v>1527</v>
      </c>
      <c r="D2159" s="1">
        <v>3.0</v>
      </c>
      <c r="E2159" s="1">
        <v>57.0</v>
      </c>
      <c r="F2159" s="1">
        <v>4.0</v>
      </c>
      <c r="G2159" s="1">
        <v>5.0</v>
      </c>
      <c r="H2159" s="1" t="s">
        <v>16</v>
      </c>
      <c r="I2159" s="1" t="s">
        <v>21</v>
      </c>
      <c r="J2159" s="1" t="s">
        <v>18</v>
      </c>
      <c r="K2159" s="1">
        <v>57500.0</v>
      </c>
      <c r="L2159" s="1">
        <v>56.96646415</v>
      </c>
      <c r="M2159" s="1">
        <v>24.2896847195386</v>
      </c>
    </row>
    <row r="2160">
      <c r="A2160" s="1" t="s">
        <v>22</v>
      </c>
      <c r="B2160" s="1" t="s">
        <v>104</v>
      </c>
      <c r="C2160" s="1" t="s">
        <v>1528</v>
      </c>
      <c r="D2160" s="1">
        <v>2.0</v>
      </c>
      <c r="E2160" s="1">
        <v>48.0</v>
      </c>
      <c r="F2160" s="1">
        <v>4.0</v>
      </c>
      <c r="G2160" s="1">
        <v>5.0</v>
      </c>
      <c r="H2160" s="1" t="s">
        <v>25</v>
      </c>
      <c r="I2160" s="1" t="s">
        <v>33</v>
      </c>
      <c r="J2160" s="1" t="s">
        <v>18</v>
      </c>
      <c r="K2160" s="1">
        <v>62000.0</v>
      </c>
      <c r="L2160" s="1">
        <v>56.9386867</v>
      </c>
      <c r="M2160" s="1">
        <v>24.0725201026538</v>
      </c>
    </row>
    <row r="2161">
      <c r="A2161" s="1" t="s">
        <v>22</v>
      </c>
      <c r="B2161" s="1" t="s">
        <v>23</v>
      </c>
      <c r="C2161" s="1" t="s">
        <v>1529</v>
      </c>
      <c r="D2161" s="1">
        <v>4.0</v>
      </c>
      <c r="E2161" s="1">
        <v>126.0</v>
      </c>
      <c r="F2161" s="1">
        <v>3.0</v>
      </c>
      <c r="G2161" s="1">
        <v>5.0</v>
      </c>
      <c r="H2161" s="1" t="s">
        <v>25</v>
      </c>
      <c r="I2161" s="1" t="s">
        <v>33</v>
      </c>
      <c r="J2161" s="1" t="s">
        <v>18</v>
      </c>
      <c r="K2161" s="1">
        <v>120000.0</v>
      </c>
      <c r="L2161" s="1">
        <v>56.9468471</v>
      </c>
      <c r="M2161" s="1">
        <v>24.133767</v>
      </c>
    </row>
    <row r="2162">
      <c r="A2162" s="1" t="s">
        <v>22</v>
      </c>
      <c r="B2162" s="1" t="s">
        <v>23</v>
      </c>
      <c r="C2162" s="1" t="s">
        <v>1530</v>
      </c>
      <c r="D2162" s="1">
        <v>2.0</v>
      </c>
      <c r="E2162" s="1">
        <v>47.0</v>
      </c>
      <c r="F2162" s="1">
        <v>3.0</v>
      </c>
      <c r="G2162" s="1">
        <v>5.0</v>
      </c>
      <c r="H2162" s="1" t="s">
        <v>44</v>
      </c>
      <c r="I2162" s="1" t="s">
        <v>37</v>
      </c>
      <c r="J2162" s="1" t="s">
        <v>18</v>
      </c>
      <c r="K2162" s="1">
        <v>52900.0</v>
      </c>
      <c r="L2162" s="1">
        <v>56.97019225</v>
      </c>
      <c r="M2162" s="1">
        <v>24.1007267492597</v>
      </c>
    </row>
    <row r="2163">
      <c r="A2163" s="1" t="s">
        <v>13</v>
      </c>
      <c r="B2163" s="1" t="s">
        <v>447</v>
      </c>
      <c r="C2163" s="1" t="s">
        <v>1531</v>
      </c>
      <c r="D2163" s="1">
        <v>1.0</v>
      </c>
      <c r="E2163" s="1">
        <v>22.0</v>
      </c>
      <c r="F2163" s="1">
        <v>2.0</v>
      </c>
      <c r="G2163" s="1">
        <v>2.0</v>
      </c>
      <c r="H2163" s="1" t="s">
        <v>25</v>
      </c>
      <c r="I2163" s="1" t="s">
        <v>26</v>
      </c>
      <c r="J2163" s="1" t="s">
        <v>27</v>
      </c>
      <c r="K2163" s="1">
        <v>180.0</v>
      </c>
      <c r="L2163" s="1">
        <v>56.9382641</v>
      </c>
      <c r="M2163" s="1">
        <v>24.0971627</v>
      </c>
    </row>
    <row r="2164">
      <c r="A2164" s="1" t="s">
        <v>13</v>
      </c>
      <c r="B2164" s="1" t="s">
        <v>23</v>
      </c>
      <c r="C2164" s="1" t="s">
        <v>1532</v>
      </c>
      <c r="D2164" s="1">
        <v>1.0</v>
      </c>
      <c r="E2164" s="1">
        <v>46.0</v>
      </c>
      <c r="F2164" s="1">
        <v>3.0</v>
      </c>
      <c r="G2164" s="1">
        <v>5.0</v>
      </c>
      <c r="H2164" s="1" t="s">
        <v>25</v>
      </c>
      <c r="I2164" s="1" t="s">
        <v>37</v>
      </c>
      <c r="J2164" s="1" t="s">
        <v>18</v>
      </c>
      <c r="K2164" s="1">
        <v>400.0</v>
      </c>
      <c r="L2164" s="1">
        <v>56.956763</v>
      </c>
      <c r="M2164" s="1">
        <v>24.0954531</v>
      </c>
    </row>
    <row r="2165">
      <c r="A2165" s="1" t="s">
        <v>22</v>
      </c>
      <c r="B2165" s="1" t="s">
        <v>96</v>
      </c>
      <c r="C2165" s="1" t="s">
        <v>1533</v>
      </c>
      <c r="D2165" s="1">
        <v>2.0</v>
      </c>
      <c r="E2165" s="1">
        <v>50.0</v>
      </c>
      <c r="F2165" s="1">
        <v>2.0</v>
      </c>
      <c r="G2165" s="1">
        <v>5.0</v>
      </c>
      <c r="H2165" s="1" t="s">
        <v>16</v>
      </c>
      <c r="I2165" s="1" t="s">
        <v>21</v>
      </c>
      <c r="J2165" s="1" t="s">
        <v>18</v>
      </c>
      <c r="K2165" s="1">
        <v>31500.0</v>
      </c>
      <c r="L2165" s="1" t="s">
        <v>40</v>
      </c>
      <c r="M2165" s="1" t="s">
        <v>40</v>
      </c>
    </row>
    <row r="2166">
      <c r="A2166" s="1" t="s">
        <v>22</v>
      </c>
      <c r="B2166" s="1" t="s">
        <v>28</v>
      </c>
      <c r="C2166" s="1" t="s">
        <v>1534</v>
      </c>
      <c r="D2166" s="1">
        <v>2.0</v>
      </c>
      <c r="E2166" s="1">
        <v>44.0</v>
      </c>
      <c r="F2166" s="1">
        <v>1.0</v>
      </c>
      <c r="G2166" s="1">
        <v>5.0</v>
      </c>
      <c r="H2166" s="1" t="s">
        <v>44</v>
      </c>
      <c r="I2166" s="1" t="s">
        <v>17</v>
      </c>
      <c r="J2166" s="1" t="s">
        <v>18</v>
      </c>
      <c r="K2166" s="1">
        <v>41800.0</v>
      </c>
      <c r="L2166" s="1">
        <v>56.8945857</v>
      </c>
      <c r="M2166" s="1">
        <v>24.2163422</v>
      </c>
    </row>
    <row r="2167">
      <c r="A2167" s="1" t="s">
        <v>22</v>
      </c>
      <c r="B2167" s="1" t="s">
        <v>861</v>
      </c>
      <c r="C2167" s="1" t="s">
        <v>1535</v>
      </c>
      <c r="D2167" s="1">
        <v>2.0</v>
      </c>
      <c r="E2167" s="1">
        <v>43.0</v>
      </c>
      <c r="F2167" s="1">
        <v>1.0</v>
      </c>
      <c r="G2167" s="1">
        <v>1.0</v>
      </c>
      <c r="H2167" s="1" t="s">
        <v>171</v>
      </c>
      <c r="I2167" s="1" t="s">
        <v>26</v>
      </c>
      <c r="J2167" s="1" t="s">
        <v>63</v>
      </c>
      <c r="K2167" s="1">
        <v>5500.0</v>
      </c>
      <c r="L2167" s="1">
        <v>57.0164335</v>
      </c>
      <c r="M2167" s="1">
        <v>24.0628649</v>
      </c>
    </row>
    <row r="2168">
      <c r="A2168" s="1" t="s">
        <v>22</v>
      </c>
      <c r="B2168" s="1" t="s">
        <v>422</v>
      </c>
      <c r="C2168" s="1" t="s">
        <v>1536</v>
      </c>
      <c r="D2168" s="1">
        <v>3.0</v>
      </c>
      <c r="E2168" s="1">
        <v>62.0</v>
      </c>
      <c r="F2168" s="1">
        <v>2.0</v>
      </c>
      <c r="G2168" s="1">
        <v>5.0</v>
      </c>
      <c r="H2168" s="1" t="s">
        <v>36</v>
      </c>
      <c r="I2168" s="1" t="s">
        <v>37</v>
      </c>
      <c r="J2168" s="1" t="s">
        <v>18</v>
      </c>
      <c r="K2168" s="1">
        <v>63500.0</v>
      </c>
      <c r="L2168" s="1">
        <v>56.9371252</v>
      </c>
      <c r="M2168" s="1">
        <v>24.0428139850736</v>
      </c>
    </row>
    <row r="2169">
      <c r="A2169" s="1" t="s">
        <v>13</v>
      </c>
      <c r="B2169" s="1" t="s">
        <v>23</v>
      </c>
      <c r="C2169" s="1" t="s">
        <v>1375</v>
      </c>
      <c r="D2169" s="1">
        <v>5.0</v>
      </c>
      <c r="E2169" s="1">
        <v>155.0</v>
      </c>
      <c r="F2169" s="1">
        <v>2.0</v>
      </c>
      <c r="G2169" s="1">
        <v>6.0</v>
      </c>
      <c r="H2169" s="1" t="s">
        <v>66</v>
      </c>
      <c r="I2169" s="1" t="s">
        <v>33</v>
      </c>
      <c r="J2169" s="1" t="s">
        <v>18</v>
      </c>
      <c r="K2169" s="1">
        <v>2200.0</v>
      </c>
      <c r="L2169" s="1">
        <v>56.9591583</v>
      </c>
      <c r="M2169" s="1">
        <v>24.1026741144114</v>
      </c>
    </row>
    <row r="2170">
      <c r="A2170" s="1" t="s">
        <v>22</v>
      </c>
      <c r="B2170" s="1" t="s">
        <v>19</v>
      </c>
      <c r="C2170" s="1" t="s">
        <v>675</v>
      </c>
      <c r="D2170" s="1">
        <v>3.0</v>
      </c>
      <c r="E2170" s="1">
        <v>78.0</v>
      </c>
      <c r="F2170" s="1">
        <v>2.0</v>
      </c>
      <c r="G2170" s="1">
        <v>9.0</v>
      </c>
      <c r="H2170" s="1">
        <v>119.0</v>
      </c>
      <c r="I2170" s="1" t="s">
        <v>21</v>
      </c>
      <c r="J2170" s="1" t="s">
        <v>18</v>
      </c>
      <c r="K2170" s="1">
        <v>77000.0</v>
      </c>
      <c r="L2170" s="1">
        <v>56.9004074</v>
      </c>
      <c r="M2170" s="1">
        <v>24.0837422885217</v>
      </c>
    </row>
    <row r="2171">
      <c r="A2171" s="1" t="s">
        <v>22</v>
      </c>
      <c r="B2171" s="1" t="s">
        <v>14</v>
      </c>
      <c r="C2171" s="1" t="s">
        <v>400</v>
      </c>
      <c r="D2171" s="1">
        <v>1.0</v>
      </c>
      <c r="E2171" s="1">
        <v>39.0</v>
      </c>
      <c r="F2171" s="1">
        <v>4.0</v>
      </c>
      <c r="G2171" s="1">
        <v>5.0</v>
      </c>
      <c r="H2171" s="1" t="s">
        <v>57</v>
      </c>
      <c r="I2171" s="1" t="s">
        <v>21</v>
      </c>
      <c r="J2171" s="1" t="s">
        <v>18</v>
      </c>
      <c r="K2171" s="1">
        <v>37900.0</v>
      </c>
      <c r="L2171" s="1">
        <v>56.96378645</v>
      </c>
      <c r="M2171" s="1">
        <v>24.1961874494858</v>
      </c>
    </row>
    <row r="2172">
      <c r="A2172" s="1" t="s">
        <v>22</v>
      </c>
      <c r="B2172" s="1" t="s">
        <v>23</v>
      </c>
      <c r="C2172" s="1" t="s">
        <v>1016</v>
      </c>
      <c r="D2172" s="1">
        <v>2.0</v>
      </c>
      <c r="E2172" s="1">
        <v>51.0</v>
      </c>
      <c r="F2172" s="1">
        <v>2.0</v>
      </c>
      <c r="G2172" s="1">
        <v>5.0</v>
      </c>
      <c r="H2172" s="1" t="s">
        <v>25</v>
      </c>
      <c r="I2172" s="1" t="s">
        <v>33</v>
      </c>
      <c r="J2172" s="1" t="s">
        <v>18</v>
      </c>
      <c r="K2172" s="1">
        <v>105000.0</v>
      </c>
      <c r="L2172" s="1">
        <v>56.955527</v>
      </c>
      <c r="M2172" s="1">
        <v>24.1264427737396</v>
      </c>
    </row>
    <row r="2173">
      <c r="A2173" s="1" t="s">
        <v>13</v>
      </c>
      <c r="B2173" s="1" t="s">
        <v>422</v>
      </c>
      <c r="C2173" s="1" t="s">
        <v>1537</v>
      </c>
      <c r="D2173" s="1">
        <v>1.0</v>
      </c>
      <c r="E2173" s="1">
        <v>50.0</v>
      </c>
      <c r="F2173" s="1">
        <v>1.0</v>
      </c>
      <c r="G2173" s="1">
        <v>2.0</v>
      </c>
      <c r="H2173" s="1" t="s">
        <v>171</v>
      </c>
      <c r="I2173" s="1" t="s">
        <v>33</v>
      </c>
      <c r="J2173" s="1" t="s">
        <v>18</v>
      </c>
      <c r="K2173" s="1">
        <v>430.0</v>
      </c>
      <c r="L2173" s="1">
        <v>56.9394655</v>
      </c>
      <c r="M2173" s="1">
        <v>24.0300932204121</v>
      </c>
    </row>
    <row r="2174">
      <c r="A2174" s="1" t="s">
        <v>22</v>
      </c>
      <c r="B2174" s="1" t="s">
        <v>76</v>
      </c>
      <c r="C2174" s="1" t="s">
        <v>1538</v>
      </c>
      <c r="D2174" s="1">
        <v>3.0</v>
      </c>
      <c r="E2174" s="1">
        <v>59.0</v>
      </c>
      <c r="F2174" s="1">
        <v>1.0</v>
      </c>
      <c r="G2174" s="1">
        <v>5.0</v>
      </c>
      <c r="H2174" s="1" t="s">
        <v>16</v>
      </c>
      <c r="I2174" s="1" t="s">
        <v>21</v>
      </c>
      <c r="J2174" s="1" t="s">
        <v>18</v>
      </c>
      <c r="K2174" s="1">
        <v>49200.0</v>
      </c>
      <c r="L2174" s="1">
        <v>56.95884165</v>
      </c>
      <c r="M2174" s="1">
        <v>24.0482019476007</v>
      </c>
    </row>
    <row r="2175">
      <c r="A2175" s="1" t="s">
        <v>22</v>
      </c>
      <c r="B2175" s="1" t="s">
        <v>38</v>
      </c>
      <c r="C2175" s="1" t="s">
        <v>1539</v>
      </c>
      <c r="D2175" s="1">
        <v>3.0</v>
      </c>
      <c r="E2175" s="1">
        <v>54.0</v>
      </c>
      <c r="F2175" s="1">
        <v>5.0</v>
      </c>
      <c r="G2175" s="1">
        <v>5.0</v>
      </c>
      <c r="H2175" s="1" t="s">
        <v>16</v>
      </c>
      <c r="I2175" s="1" t="s">
        <v>21</v>
      </c>
      <c r="J2175" s="1" t="s">
        <v>18</v>
      </c>
      <c r="K2175" s="1">
        <v>60000.0</v>
      </c>
      <c r="L2175" s="1">
        <v>56.9567829</v>
      </c>
      <c r="M2175" s="1">
        <v>24.0344957</v>
      </c>
    </row>
    <row r="2176">
      <c r="A2176" s="1" t="s">
        <v>22</v>
      </c>
      <c r="B2176" s="1" t="s">
        <v>218</v>
      </c>
      <c r="C2176" s="1" t="s">
        <v>1540</v>
      </c>
      <c r="D2176" s="1">
        <v>4.0</v>
      </c>
      <c r="E2176" s="1">
        <v>118.0</v>
      </c>
      <c r="F2176" s="1">
        <v>4.0</v>
      </c>
      <c r="G2176" s="1">
        <v>5.0</v>
      </c>
      <c r="H2176" s="1" t="s">
        <v>66</v>
      </c>
      <c r="I2176" s="1" t="s">
        <v>33</v>
      </c>
      <c r="J2176" s="1" t="s">
        <v>18</v>
      </c>
      <c r="K2176" s="1">
        <v>596000.0</v>
      </c>
      <c r="L2176" s="1">
        <v>56.9492915</v>
      </c>
      <c r="M2176" s="1">
        <v>24.1099745</v>
      </c>
    </row>
    <row r="2177">
      <c r="A2177" s="1" t="s">
        <v>22</v>
      </c>
      <c r="B2177" s="1" t="s">
        <v>23</v>
      </c>
      <c r="C2177" s="1" t="s">
        <v>1541</v>
      </c>
      <c r="D2177" s="1">
        <v>1.0</v>
      </c>
      <c r="E2177" s="1">
        <v>30.0</v>
      </c>
      <c r="F2177" s="1">
        <v>2.0</v>
      </c>
      <c r="G2177" s="1">
        <v>5.0</v>
      </c>
      <c r="H2177" s="1" t="s">
        <v>25</v>
      </c>
      <c r="I2177" s="1" t="s">
        <v>37</v>
      </c>
      <c r="J2177" s="1" t="s">
        <v>18</v>
      </c>
      <c r="K2177" s="1">
        <v>42000.0</v>
      </c>
      <c r="L2177" s="1">
        <v>56.9731021</v>
      </c>
      <c r="M2177" s="1">
        <v>24.1419</v>
      </c>
    </row>
    <row r="2178">
      <c r="A2178" s="1" t="s">
        <v>22</v>
      </c>
      <c r="B2178" s="1" t="s">
        <v>14</v>
      </c>
      <c r="C2178" s="1" t="s">
        <v>1542</v>
      </c>
      <c r="D2178" s="1">
        <v>3.0</v>
      </c>
      <c r="E2178" s="1">
        <v>75.0</v>
      </c>
      <c r="F2178" s="1">
        <v>5.0</v>
      </c>
      <c r="G2178" s="1">
        <v>12.0</v>
      </c>
      <c r="H2178" s="1">
        <v>104.0</v>
      </c>
      <c r="I2178" s="1" t="s">
        <v>21</v>
      </c>
      <c r="J2178" s="1" t="s">
        <v>18</v>
      </c>
      <c r="K2178" s="1">
        <v>85000.0</v>
      </c>
      <c r="L2178" s="1">
        <v>56.9583699</v>
      </c>
      <c r="M2178" s="1">
        <v>24.1789809</v>
      </c>
    </row>
    <row r="2179">
      <c r="A2179" s="1" t="s">
        <v>22</v>
      </c>
      <c r="B2179" s="1" t="s">
        <v>104</v>
      </c>
      <c r="C2179" s="1" t="s">
        <v>1543</v>
      </c>
      <c r="D2179" s="1">
        <v>2.0</v>
      </c>
      <c r="E2179" s="1">
        <v>36.0</v>
      </c>
      <c r="F2179" s="1">
        <v>6.0</v>
      </c>
      <c r="G2179" s="1">
        <v>6.0</v>
      </c>
      <c r="H2179" s="1" t="s">
        <v>16</v>
      </c>
      <c r="I2179" s="1" t="s">
        <v>17</v>
      </c>
      <c r="J2179" s="1" t="s">
        <v>18</v>
      </c>
      <c r="K2179" s="1">
        <v>29500.0</v>
      </c>
      <c r="L2179" s="1">
        <v>56.945795</v>
      </c>
      <c r="M2179" s="1">
        <v>24.0521562</v>
      </c>
    </row>
    <row r="2180">
      <c r="A2180" s="1" t="s">
        <v>22</v>
      </c>
      <c r="B2180" s="1" t="s">
        <v>23</v>
      </c>
      <c r="C2180" s="1" t="s">
        <v>91</v>
      </c>
      <c r="D2180" s="1">
        <v>3.0</v>
      </c>
      <c r="E2180" s="1">
        <v>126.0</v>
      </c>
      <c r="F2180" s="1">
        <v>6.0</v>
      </c>
      <c r="G2180" s="1">
        <v>6.0</v>
      </c>
      <c r="H2180" s="1" t="s">
        <v>32</v>
      </c>
      <c r="I2180" s="1" t="s">
        <v>21</v>
      </c>
      <c r="J2180" s="1" t="s">
        <v>18</v>
      </c>
      <c r="K2180" s="1">
        <v>273000.0</v>
      </c>
      <c r="L2180" s="1">
        <v>56.9552522</v>
      </c>
      <c r="M2180" s="1">
        <v>24.0999991251943</v>
      </c>
    </row>
    <row r="2181">
      <c r="A2181" s="1" t="s">
        <v>22</v>
      </c>
      <c r="B2181" s="1" t="s">
        <v>74</v>
      </c>
      <c r="C2181" s="1" t="s">
        <v>1544</v>
      </c>
      <c r="D2181" s="1">
        <v>2.0</v>
      </c>
      <c r="E2181" s="1">
        <v>50.0</v>
      </c>
      <c r="F2181" s="1">
        <v>9.0</v>
      </c>
      <c r="G2181" s="1">
        <v>8.0</v>
      </c>
      <c r="H2181" s="1">
        <v>602.0</v>
      </c>
      <c r="I2181" s="1" t="s">
        <v>21</v>
      </c>
      <c r="J2181" s="1" t="s">
        <v>18</v>
      </c>
      <c r="K2181" s="1">
        <v>47000.0</v>
      </c>
      <c r="L2181" s="1">
        <v>56.9310392</v>
      </c>
      <c r="M2181" s="1">
        <v>24.1885814</v>
      </c>
    </row>
    <row r="2182">
      <c r="A2182" s="1" t="s">
        <v>22</v>
      </c>
      <c r="B2182" s="1" t="s">
        <v>50</v>
      </c>
      <c r="C2182" s="1" t="s">
        <v>1308</v>
      </c>
      <c r="D2182" s="1">
        <v>3.0</v>
      </c>
      <c r="E2182" s="1">
        <v>65.0</v>
      </c>
      <c r="F2182" s="1">
        <v>1.0</v>
      </c>
      <c r="G2182" s="1">
        <v>5.0</v>
      </c>
      <c r="H2182" s="1" t="s">
        <v>25</v>
      </c>
      <c r="I2182" s="1" t="s">
        <v>33</v>
      </c>
      <c r="J2182" s="1" t="s">
        <v>18</v>
      </c>
      <c r="K2182" s="1">
        <v>68000.0</v>
      </c>
      <c r="L2182" s="1">
        <v>56.8597884</v>
      </c>
      <c r="M2182" s="1">
        <v>24.3083417</v>
      </c>
    </row>
    <row r="2183">
      <c r="A2183" s="1" t="s">
        <v>13</v>
      </c>
      <c r="B2183" s="1" t="s">
        <v>23</v>
      </c>
      <c r="C2183" s="1" t="s">
        <v>1181</v>
      </c>
      <c r="D2183" s="1">
        <v>1.0</v>
      </c>
      <c r="E2183" s="1">
        <v>14.0</v>
      </c>
      <c r="F2183" s="1">
        <v>3.0</v>
      </c>
      <c r="G2183" s="1">
        <v>5.0</v>
      </c>
      <c r="H2183" s="1" t="s">
        <v>25</v>
      </c>
      <c r="I2183" s="1" t="s">
        <v>33</v>
      </c>
      <c r="J2183" s="1" t="s">
        <v>18</v>
      </c>
      <c r="K2183" s="1">
        <v>185.0</v>
      </c>
      <c r="L2183" s="1">
        <v>56.9519155</v>
      </c>
      <c r="M2183" s="1">
        <v>24.1404527160079</v>
      </c>
    </row>
    <row r="2184">
      <c r="A2184" s="1" t="s">
        <v>22</v>
      </c>
      <c r="B2184" s="1" t="s">
        <v>23</v>
      </c>
      <c r="C2184" s="1" t="s">
        <v>1545</v>
      </c>
      <c r="D2184" s="1">
        <v>2.0</v>
      </c>
      <c r="E2184" s="1">
        <v>62.0</v>
      </c>
      <c r="F2184" s="1">
        <v>4.0</v>
      </c>
      <c r="G2184" s="1">
        <v>5.0</v>
      </c>
      <c r="H2184" s="1" t="s">
        <v>25</v>
      </c>
      <c r="I2184" s="1" t="s">
        <v>37</v>
      </c>
      <c r="J2184" s="1" t="s">
        <v>18</v>
      </c>
      <c r="K2184" s="1">
        <v>67500.0</v>
      </c>
      <c r="L2184" s="1">
        <v>56.97381225</v>
      </c>
      <c r="M2184" s="1">
        <v>24.1381184654766</v>
      </c>
    </row>
    <row r="2185">
      <c r="A2185" s="1" t="s">
        <v>22</v>
      </c>
      <c r="B2185" s="1" t="s">
        <v>38</v>
      </c>
      <c r="C2185" s="1" t="s">
        <v>1546</v>
      </c>
      <c r="D2185" s="1">
        <v>3.0</v>
      </c>
      <c r="E2185" s="1">
        <v>61.0</v>
      </c>
      <c r="F2185" s="1">
        <v>5.0</v>
      </c>
      <c r="G2185" s="1">
        <v>9.0</v>
      </c>
      <c r="H2185" s="1">
        <v>602.0</v>
      </c>
      <c r="I2185" s="1" t="s">
        <v>21</v>
      </c>
      <c r="J2185" s="1" t="s">
        <v>18</v>
      </c>
      <c r="K2185" s="1">
        <v>53500.0</v>
      </c>
      <c r="L2185" s="1">
        <v>56.95975045</v>
      </c>
      <c r="M2185" s="1">
        <v>24.0106930678479</v>
      </c>
    </row>
    <row r="2186">
      <c r="A2186" s="1" t="s">
        <v>22</v>
      </c>
      <c r="B2186" s="1" t="s">
        <v>82</v>
      </c>
      <c r="C2186" s="1" t="s">
        <v>83</v>
      </c>
      <c r="D2186" s="1">
        <v>3.0</v>
      </c>
      <c r="E2186" s="1">
        <v>131.0</v>
      </c>
      <c r="F2186" s="1">
        <v>1.0</v>
      </c>
      <c r="G2186" s="1">
        <v>1.0</v>
      </c>
      <c r="H2186" s="1" t="s">
        <v>32</v>
      </c>
      <c r="I2186" s="1" t="s">
        <v>33</v>
      </c>
      <c r="J2186" s="1" t="s">
        <v>18</v>
      </c>
      <c r="K2186" s="1">
        <v>260000.0</v>
      </c>
      <c r="L2186" s="1">
        <v>56.9489344</v>
      </c>
      <c r="M2186" s="1">
        <v>24.0882804</v>
      </c>
    </row>
    <row r="2187">
      <c r="A2187" s="1" t="s">
        <v>22</v>
      </c>
      <c r="B2187" s="1" t="s">
        <v>23</v>
      </c>
      <c r="C2187" s="1" t="s">
        <v>1547</v>
      </c>
      <c r="D2187" s="1">
        <v>4.0</v>
      </c>
      <c r="E2187" s="1">
        <v>96.0</v>
      </c>
      <c r="F2187" s="1">
        <v>3.0</v>
      </c>
      <c r="G2187" s="1">
        <v>10.0</v>
      </c>
      <c r="H2187" s="1" t="s">
        <v>36</v>
      </c>
      <c r="I2187" s="1" t="s">
        <v>37</v>
      </c>
      <c r="J2187" s="1" t="s">
        <v>18</v>
      </c>
      <c r="K2187" s="1">
        <v>130000.0</v>
      </c>
      <c r="L2187" s="1">
        <v>56.96885245</v>
      </c>
      <c r="M2187" s="1">
        <v>24.13257603943</v>
      </c>
    </row>
    <row r="2188">
      <c r="A2188" s="1" t="s">
        <v>22</v>
      </c>
      <c r="B2188" s="1" t="s">
        <v>96</v>
      </c>
      <c r="C2188" s="1" t="s">
        <v>1548</v>
      </c>
      <c r="D2188" s="1">
        <v>1.0</v>
      </c>
      <c r="E2188" s="1">
        <v>28.0</v>
      </c>
      <c r="F2188" s="1">
        <v>1.0</v>
      </c>
      <c r="G2188" s="1">
        <v>5.0</v>
      </c>
      <c r="H2188" s="1" t="s">
        <v>16</v>
      </c>
      <c r="I2188" s="1" t="s">
        <v>21</v>
      </c>
      <c r="J2188" s="1" t="s">
        <v>18</v>
      </c>
      <c r="K2188" s="1">
        <v>31000.0</v>
      </c>
      <c r="L2188" s="1">
        <v>57.0347818</v>
      </c>
      <c r="M2188" s="1">
        <v>24.0961718499999</v>
      </c>
    </row>
    <row r="2189">
      <c r="A2189" s="1" t="s">
        <v>22</v>
      </c>
      <c r="B2189" s="1" t="s">
        <v>23</v>
      </c>
      <c r="C2189" s="1" t="s">
        <v>458</v>
      </c>
      <c r="D2189" s="1">
        <v>1.0</v>
      </c>
      <c r="E2189" s="1">
        <v>20.0</v>
      </c>
      <c r="F2189" s="1">
        <v>2.0</v>
      </c>
      <c r="G2189" s="1">
        <v>4.0</v>
      </c>
      <c r="H2189" s="1" t="s">
        <v>66</v>
      </c>
      <c r="I2189" s="1" t="s">
        <v>33</v>
      </c>
      <c r="J2189" s="1" t="s">
        <v>18</v>
      </c>
      <c r="K2189" s="1">
        <v>72000.0</v>
      </c>
      <c r="L2189" s="1">
        <v>56.94881585</v>
      </c>
      <c r="M2189" s="1">
        <v>24.1114738591085</v>
      </c>
    </row>
    <row r="2190">
      <c r="A2190" s="1" t="s">
        <v>22</v>
      </c>
      <c r="B2190" s="1" t="s">
        <v>74</v>
      </c>
      <c r="C2190" s="1" t="s">
        <v>700</v>
      </c>
      <c r="D2190" s="1">
        <v>2.0</v>
      </c>
      <c r="E2190" s="1">
        <v>51.0</v>
      </c>
      <c r="F2190" s="1">
        <v>3.0</v>
      </c>
      <c r="G2190" s="1">
        <v>9.0</v>
      </c>
      <c r="H2190" s="1">
        <v>602.0</v>
      </c>
      <c r="I2190" s="1" t="s">
        <v>21</v>
      </c>
      <c r="J2190" s="1" t="s">
        <v>18</v>
      </c>
      <c r="K2190" s="1">
        <v>52900.0</v>
      </c>
      <c r="L2190" s="1">
        <v>56.9440729</v>
      </c>
      <c r="M2190" s="1">
        <v>24.2177392125913</v>
      </c>
    </row>
    <row r="2191">
      <c r="A2191" s="1" t="s">
        <v>13</v>
      </c>
      <c r="B2191" s="1" t="s">
        <v>30</v>
      </c>
      <c r="C2191" s="1" t="s">
        <v>607</v>
      </c>
      <c r="D2191" s="1">
        <v>2.0</v>
      </c>
      <c r="E2191" s="1">
        <v>56.0</v>
      </c>
      <c r="F2191" s="1">
        <v>2.0</v>
      </c>
      <c r="G2191" s="1">
        <v>3.0</v>
      </c>
      <c r="H2191" s="1" t="s">
        <v>32</v>
      </c>
      <c r="I2191" s="1" t="s">
        <v>17</v>
      </c>
      <c r="J2191" s="1" t="s">
        <v>18</v>
      </c>
      <c r="K2191" s="1">
        <v>540.0</v>
      </c>
      <c r="L2191" s="1">
        <v>56.9690716</v>
      </c>
      <c r="M2191" s="1">
        <v>24.1716498860135</v>
      </c>
    </row>
    <row r="2192">
      <c r="A2192" s="1" t="s">
        <v>22</v>
      </c>
      <c r="B2192" s="1" t="s">
        <v>104</v>
      </c>
      <c r="C2192" s="1" t="s">
        <v>338</v>
      </c>
      <c r="D2192" s="1">
        <v>3.0</v>
      </c>
      <c r="E2192" s="1">
        <v>91.0</v>
      </c>
      <c r="F2192" s="1">
        <v>6.0</v>
      </c>
      <c r="G2192" s="1">
        <v>23.0</v>
      </c>
      <c r="H2192" s="1" t="s">
        <v>32</v>
      </c>
      <c r="I2192" s="1" t="s">
        <v>33</v>
      </c>
      <c r="J2192" s="1" t="s">
        <v>18</v>
      </c>
      <c r="K2192" s="1">
        <v>199400.0</v>
      </c>
      <c r="L2192" s="1">
        <v>56.9483074</v>
      </c>
      <c r="M2192" s="1">
        <v>24.0801468</v>
      </c>
    </row>
    <row r="2193">
      <c r="A2193" s="1" t="s">
        <v>22</v>
      </c>
      <c r="B2193" s="1" t="s">
        <v>30</v>
      </c>
      <c r="C2193" s="1" t="s">
        <v>1549</v>
      </c>
      <c r="D2193" s="1">
        <v>3.0</v>
      </c>
      <c r="E2193" s="1">
        <v>90.0</v>
      </c>
      <c r="F2193" s="1">
        <v>2.0</v>
      </c>
      <c r="G2193" s="1">
        <v>6.0</v>
      </c>
      <c r="H2193" s="1" t="s">
        <v>32</v>
      </c>
      <c r="I2193" s="1" t="s">
        <v>17</v>
      </c>
      <c r="J2193" s="1" t="s">
        <v>18</v>
      </c>
      <c r="K2193" s="1">
        <v>143000.0</v>
      </c>
      <c r="L2193" s="1">
        <v>56.9726831499999</v>
      </c>
      <c r="M2193" s="1">
        <v>24.1712897468728</v>
      </c>
    </row>
    <row r="2194">
      <c r="A2194" s="1" t="s">
        <v>22</v>
      </c>
      <c r="B2194" s="1" t="s">
        <v>48</v>
      </c>
      <c r="C2194" s="1" t="s">
        <v>1550</v>
      </c>
      <c r="D2194" s="1">
        <v>3.0</v>
      </c>
      <c r="E2194" s="1">
        <v>105.0</v>
      </c>
      <c r="F2194" s="1">
        <v>1.0</v>
      </c>
      <c r="G2194" s="1">
        <v>4.0</v>
      </c>
      <c r="H2194" s="1" t="s">
        <v>32</v>
      </c>
      <c r="I2194" s="1" t="s">
        <v>17</v>
      </c>
      <c r="J2194" s="1" t="s">
        <v>18</v>
      </c>
      <c r="K2194" s="1">
        <v>157000.0</v>
      </c>
      <c r="L2194" s="1">
        <v>56.9541725</v>
      </c>
      <c r="M2194" s="1">
        <v>24.2443253</v>
      </c>
    </row>
    <row r="2195">
      <c r="A2195" s="1" t="s">
        <v>13</v>
      </c>
      <c r="B2195" s="1" t="s">
        <v>422</v>
      </c>
      <c r="C2195" s="1" t="s">
        <v>363</v>
      </c>
      <c r="D2195" s="1">
        <v>3.0</v>
      </c>
      <c r="E2195" s="1">
        <v>89.0</v>
      </c>
      <c r="F2195" s="1">
        <v>17.0</v>
      </c>
      <c r="G2195" s="1">
        <v>30.0</v>
      </c>
      <c r="H2195" s="1" t="s">
        <v>32</v>
      </c>
      <c r="I2195" s="1" t="s">
        <v>33</v>
      </c>
      <c r="J2195" s="1" t="s">
        <v>18</v>
      </c>
      <c r="K2195" s="1">
        <v>650.0</v>
      </c>
      <c r="L2195" s="1">
        <v>56.9334996</v>
      </c>
      <c r="M2195" s="1">
        <v>24.0424848</v>
      </c>
    </row>
    <row r="2196">
      <c r="A2196" s="1" t="s">
        <v>13</v>
      </c>
      <c r="B2196" s="1" t="s">
        <v>28</v>
      </c>
      <c r="C2196" s="1" t="s">
        <v>809</v>
      </c>
      <c r="D2196" s="1">
        <v>2.0</v>
      </c>
      <c r="E2196" s="1">
        <v>42.0</v>
      </c>
      <c r="F2196" s="1">
        <v>4.0</v>
      </c>
      <c r="G2196" s="1">
        <v>5.0</v>
      </c>
      <c r="H2196" s="1" t="s">
        <v>32</v>
      </c>
      <c r="I2196" s="1" t="s">
        <v>21</v>
      </c>
      <c r="J2196" s="1" t="s">
        <v>18</v>
      </c>
      <c r="K2196" s="1">
        <v>340.0</v>
      </c>
      <c r="L2196" s="1">
        <v>56.9146747</v>
      </c>
      <c r="M2196" s="1">
        <v>24.1815079346418</v>
      </c>
    </row>
    <row r="2197">
      <c r="A2197" s="1" t="s">
        <v>22</v>
      </c>
      <c r="B2197" s="1" t="s">
        <v>104</v>
      </c>
      <c r="C2197" s="1" t="s">
        <v>1551</v>
      </c>
      <c r="D2197" s="1">
        <v>2.0</v>
      </c>
      <c r="E2197" s="1">
        <v>47.0</v>
      </c>
      <c r="F2197" s="1">
        <v>3.0</v>
      </c>
      <c r="G2197" s="1">
        <v>3.0</v>
      </c>
      <c r="H2197" s="1" t="s">
        <v>36</v>
      </c>
      <c r="I2197" s="1" t="s">
        <v>37</v>
      </c>
      <c r="J2197" s="1" t="s">
        <v>18</v>
      </c>
      <c r="K2197" s="1">
        <v>65000.0</v>
      </c>
      <c r="L2197" s="1">
        <v>56.9335665</v>
      </c>
      <c r="M2197" s="1">
        <v>24.0460096</v>
      </c>
    </row>
    <row r="2198">
      <c r="A2198" s="1" t="s">
        <v>22</v>
      </c>
      <c r="B2198" s="1" t="s">
        <v>42</v>
      </c>
      <c r="C2198" s="1" t="s">
        <v>1552</v>
      </c>
      <c r="D2198" s="1">
        <v>3.0</v>
      </c>
      <c r="E2198" s="1">
        <v>60.0</v>
      </c>
      <c r="F2198" s="1">
        <v>5.0</v>
      </c>
      <c r="G2198" s="1">
        <v>5.0</v>
      </c>
      <c r="H2198" s="1" t="s">
        <v>44</v>
      </c>
      <c r="I2198" s="1" t="s">
        <v>21</v>
      </c>
      <c r="J2198" s="1" t="s">
        <v>18</v>
      </c>
      <c r="K2198" s="1">
        <v>49000.0</v>
      </c>
      <c r="L2198" s="1">
        <v>56.9664868499999</v>
      </c>
      <c r="M2198" s="1">
        <v>24.2842204999999</v>
      </c>
    </row>
    <row r="2199">
      <c r="A2199" s="1" t="s">
        <v>22</v>
      </c>
      <c r="B2199" s="1" t="s">
        <v>117</v>
      </c>
      <c r="C2199" s="1" t="s">
        <v>1553</v>
      </c>
      <c r="D2199" s="1">
        <v>1.0</v>
      </c>
      <c r="E2199" s="1">
        <v>31.0</v>
      </c>
      <c r="F2199" s="1">
        <v>3.0</v>
      </c>
      <c r="G2199" s="1">
        <v>3.0</v>
      </c>
      <c r="H2199" s="1" t="s">
        <v>25</v>
      </c>
      <c r="I2199" s="1" t="s">
        <v>33</v>
      </c>
      <c r="J2199" s="1" t="s">
        <v>27</v>
      </c>
      <c r="K2199" s="1">
        <v>14700.0</v>
      </c>
      <c r="L2199" s="1">
        <v>56.98605995</v>
      </c>
      <c r="M2199" s="1">
        <v>24.1634713011832</v>
      </c>
    </row>
    <row r="2200">
      <c r="A2200" s="1" t="s">
        <v>13</v>
      </c>
      <c r="B2200" s="1" t="s">
        <v>23</v>
      </c>
      <c r="C2200" s="1" t="s">
        <v>91</v>
      </c>
      <c r="D2200" s="1">
        <v>2.0</v>
      </c>
      <c r="E2200" s="1">
        <v>55.0</v>
      </c>
      <c r="F2200" s="1">
        <v>5.0</v>
      </c>
      <c r="G2200" s="1">
        <v>8.0</v>
      </c>
      <c r="H2200" s="1" t="s">
        <v>32</v>
      </c>
      <c r="I2200" s="1" t="s">
        <v>17</v>
      </c>
      <c r="J2200" s="1" t="s">
        <v>18</v>
      </c>
      <c r="K2200" s="1">
        <v>49.0</v>
      </c>
      <c r="L2200" s="1">
        <v>56.9552522</v>
      </c>
      <c r="M2200" s="1">
        <v>24.0999991251943</v>
      </c>
    </row>
    <row r="2201">
      <c r="A2201" s="1" t="s">
        <v>22</v>
      </c>
      <c r="B2201" s="1" t="s">
        <v>14</v>
      </c>
      <c r="C2201" s="1" t="s">
        <v>1554</v>
      </c>
      <c r="D2201" s="1">
        <v>4.0</v>
      </c>
      <c r="E2201" s="1">
        <v>83.0</v>
      </c>
      <c r="F2201" s="1">
        <v>5.0</v>
      </c>
      <c r="G2201" s="1">
        <v>8.0</v>
      </c>
      <c r="H2201" s="1" t="s">
        <v>32</v>
      </c>
      <c r="I2201" s="1" t="s">
        <v>21</v>
      </c>
      <c r="J2201" s="1" t="s">
        <v>18</v>
      </c>
      <c r="K2201" s="1">
        <v>152800.0</v>
      </c>
      <c r="L2201" s="1">
        <v>56.9604932</v>
      </c>
      <c r="M2201" s="1">
        <v>24.1925519803153</v>
      </c>
    </row>
    <row r="2202">
      <c r="A2202" s="1" t="s">
        <v>22</v>
      </c>
      <c r="B2202" s="1" t="s">
        <v>23</v>
      </c>
      <c r="C2202" s="1" t="s">
        <v>1555</v>
      </c>
      <c r="D2202" s="1">
        <v>5.0</v>
      </c>
      <c r="E2202" s="1">
        <v>143.0</v>
      </c>
      <c r="F2202" s="1">
        <v>3.0</v>
      </c>
      <c r="G2202" s="1">
        <v>5.0</v>
      </c>
      <c r="H2202" s="1" t="s">
        <v>66</v>
      </c>
      <c r="I2202" s="1" t="s">
        <v>33</v>
      </c>
      <c r="J2202" s="1" t="s">
        <v>18</v>
      </c>
      <c r="K2202" s="1">
        <v>255000.0</v>
      </c>
      <c r="L2202" s="1">
        <v>56.9599931</v>
      </c>
      <c r="M2202" s="1">
        <v>24.1244665</v>
      </c>
    </row>
    <row r="2203">
      <c r="A2203" s="1" t="s">
        <v>13</v>
      </c>
      <c r="B2203" s="1" t="s">
        <v>23</v>
      </c>
      <c r="C2203" s="1" t="s">
        <v>1556</v>
      </c>
      <c r="D2203" s="1">
        <v>3.0</v>
      </c>
      <c r="E2203" s="1">
        <v>62.0</v>
      </c>
      <c r="F2203" s="1">
        <v>3.0</v>
      </c>
      <c r="G2203" s="1">
        <v>5.0</v>
      </c>
      <c r="H2203" s="1" t="s">
        <v>181</v>
      </c>
      <c r="I2203" s="1" t="s">
        <v>37</v>
      </c>
      <c r="J2203" s="1" t="s">
        <v>18</v>
      </c>
      <c r="K2203" s="1">
        <v>500.0</v>
      </c>
      <c r="L2203" s="1">
        <v>56.9675034</v>
      </c>
      <c r="M2203" s="1">
        <v>24.1486457</v>
      </c>
    </row>
    <row r="2204">
      <c r="A2204" s="1" t="s">
        <v>22</v>
      </c>
      <c r="B2204" s="1" t="s">
        <v>76</v>
      </c>
      <c r="C2204" s="1" t="s">
        <v>1557</v>
      </c>
      <c r="D2204" s="1">
        <v>5.0</v>
      </c>
      <c r="E2204" s="1">
        <v>91.0</v>
      </c>
      <c r="F2204" s="1">
        <v>3.0</v>
      </c>
      <c r="G2204" s="1">
        <v>5.0</v>
      </c>
      <c r="H2204" s="1" t="s">
        <v>32</v>
      </c>
      <c r="I2204" s="1" t="s">
        <v>21</v>
      </c>
      <c r="J2204" s="1" t="s">
        <v>18</v>
      </c>
      <c r="K2204" s="1">
        <v>162100.0</v>
      </c>
      <c r="L2204" s="1">
        <v>56.9561314</v>
      </c>
      <c r="M2204" s="1">
        <v>24.0541248</v>
      </c>
    </row>
    <row r="2205">
      <c r="A2205" s="1" t="s">
        <v>13</v>
      </c>
      <c r="B2205" s="1" t="s">
        <v>23</v>
      </c>
      <c r="C2205" s="1" t="s">
        <v>1558</v>
      </c>
      <c r="D2205" s="1">
        <v>5.0</v>
      </c>
      <c r="E2205" s="1">
        <v>133.0</v>
      </c>
      <c r="F2205" s="1">
        <v>4.0</v>
      </c>
      <c r="G2205" s="1">
        <v>4.0</v>
      </c>
      <c r="H2205" s="1" t="s">
        <v>25</v>
      </c>
      <c r="I2205" s="1" t="s">
        <v>33</v>
      </c>
      <c r="J2205" s="1" t="s">
        <v>18</v>
      </c>
      <c r="K2205" s="1">
        <v>950.0</v>
      </c>
      <c r="L2205" s="1">
        <v>56.9550369</v>
      </c>
      <c r="M2205" s="1">
        <v>24.1223636</v>
      </c>
    </row>
    <row r="2206">
      <c r="A2206" s="1" t="s">
        <v>22</v>
      </c>
      <c r="B2206" s="1" t="s">
        <v>14</v>
      </c>
      <c r="C2206" s="1" t="s">
        <v>1373</v>
      </c>
      <c r="D2206" s="1">
        <v>3.0</v>
      </c>
      <c r="E2206" s="1">
        <v>82.0</v>
      </c>
      <c r="F2206" s="1">
        <v>2.0</v>
      </c>
      <c r="G2206" s="1">
        <v>6.0</v>
      </c>
      <c r="H2206" s="1" t="s">
        <v>32</v>
      </c>
      <c r="I2206" s="1" t="s">
        <v>122</v>
      </c>
      <c r="J2206" s="1" t="s">
        <v>18</v>
      </c>
      <c r="K2206" s="1">
        <v>123000.0</v>
      </c>
      <c r="L2206" s="1">
        <v>56.9638199</v>
      </c>
      <c r="M2206" s="1">
        <v>24.1897360840843</v>
      </c>
    </row>
    <row r="2207">
      <c r="A2207" s="1" t="s">
        <v>13</v>
      </c>
      <c r="B2207" s="1" t="s">
        <v>23</v>
      </c>
      <c r="C2207" s="1" t="s">
        <v>644</v>
      </c>
      <c r="D2207" s="1">
        <v>2.0</v>
      </c>
      <c r="E2207" s="1">
        <v>61.0</v>
      </c>
      <c r="F2207" s="1">
        <v>3.0</v>
      </c>
      <c r="G2207" s="1">
        <v>6.0</v>
      </c>
      <c r="H2207" s="1" t="s">
        <v>32</v>
      </c>
      <c r="I2207" s="1" t="s">
        <v>122</v>
      </c>
      <c r="J2207" s="1" t="s">
        <v>18</v>
      </c>
      <c r="K2207" s="1">
        <v>780.0</v>
      </c>
      <c r="L2207" s="1">
        <v>56.945456</v>
      </c>
      <c r="M2207" s="1">
        <v>24.1115799</v>
      </c>
    </row>
    <row r="2208">
      <c r="A2208" s="1" t="s">
        <v>13</v>
      </c>
      <c r="B2208" s="1" t="s">
        <v>23</v>
      </c>
      <c r="C2208" s="1" t="s">
        <v>1417</v>
      </c>
      <c r="D2208" s="1">
        <v>3.0</v>
      </c>
      <c r="E2208" s="1">
        <v>81.0</v>
      </c>
      <c r="F2208" s="1">
        <v>7.0</v>
      </c>
      <c r="G2208" s="1">
        <v>7.0</v>
      </c>
      <c r="H2208" s="1" t="s">
        <v>25</v>
      </c>
      <c r="I2208" s="1" t="s">
        <v>33</v>
      </c>
      <c r="J2208" s="1" t="s">
        <v>18</v>
      </c>
      <c r="K2208" s="1">
        <v>850.0</v>
      </c>
      <c r="L2208" s="1">
        <v>56.9546563</v>
      </c>
      <c r="M2208" s="1">
        <v>24.1272827</v>
      </c>
    </row>
    <row r="2209">
      <c r="A2209" s="1" t="s">
        <v>13</v>
      </c>
      <c r="B2209" s="1" t="s">
        <v>23</v>
      </c>
      <c r="C2209" s="1" t="s">
        <v>1559</v>
      </c>
      <c r="D2209" s="1">
        <v>3.0</v>
      </c>
      <c r="E2209" s="1">
        <v>84.0</v>
      </c>
      <c r="F2209" s="1">
        <v>4.0</v>
      </c>
      <c r="G2209" s="1">
        <v>5.0</v>
      </c>
      <c r="H2209" s="1" t="s">
        <v>66</v>
      </c>
      <c r="I2209" s="1" t="s">
        <v>33</v>
      </c>
      <c r="J2209" s="1" t="s">
        <v>18</v>
      </c>
      <c r="K2209" s="1">
        <v>950.0</v>
      </c>
      <c r="L2209" s="1">
        <v>56.9478576</v>
      </c>
      <c r="M2209" s="1">
        <v>24.1042869</v>
      </c>
    </row>
    <row r="2210">
      <c r="A2210" s="1" t="s">
        <v>13</v>
      </c>
      <c r="B2210" s="1" t="s">
        <v>422</v>
      </c>
      <c r="C2210" s="1" t="s">
        <v>1560</v>
      </c>
      <c r="D2210" s="1">
        <v>3.0</v>
      </c>
      <c r="E2210" s="1">
        <v>104.0</v>
      </c>
      <c r="F2210" s="1">
        <v>3.0</v>
      </c>
      <c r="G2210" s="1">
        <v>4.0</v>
      </c>
      <c r="H2210" s="1" t="s">
        <v>32</v>
      </c>
      <c r="I2210" s="1" t="s">
        <v>37</v>
      </c>
      <c r="J2210" s="1" t="s">
        <v>18</v>
      </c>
      <c r="K2210" s="1">
        <v>780.0</v>
      </c>
      <c r="L2210" s="1">
        <v>56.9375737999999</v>
      </c>
      <c r="M2210" s="1">
        <v>24.03746545</v>
      </c>
    </row>
    <row r="2211">
      <c r="A2211" s="1" t="s">
        <v>22</v>
      </c>
      <c r="B2211" s="1" t="s">
        <v>23</v>
      </c>
      <c r="C2211" s="1" t="s">
        <v>1561</v>
      </c>
      <c r="D2211" s="1">
        <v>2.0</v>
      </c>
      <c r="E2211" s="1">
        <v>67.0</v>
      </c>
      <c r="F2211" s="1">
        <v>2.0</v>
      </c>
      <c r="G2211" s="1">
        <v>6.0</v>
      </c>
      <c r="H2211" s="1" t="s">
        <v>32</v>
      </c>
      <c r="I2211" s="1" t="s">
        <v>122</v>
      </c>
      <c r="J2211" s="1" t="s">
        <v>18</v>
      </c>
      <c r="K2211" s="1">
        <v>79900.0</v>
      </c>
      <c r="L2211" s="1">
        <v>56.9716816</v>
      </c>
      <c r="M2211" s="1">
        <v>24.1021951</v>
      </c>
    </row>
    <row r="2212">
      <c r="A2212" s="1" t="s">
        <v>13</v>
      </c>
      <c r="B2212" s="1" t="s">
        <v>23</v>
      </c>
      <c r="C2212" s="1" t="s">
        <v>1562</v>
      </c>
      <c r="D2212" s="1">
        <v>1.0</v>
      </c>
      <c r="E2212" s="1">
        <v>30.0</v>
      </c>
      <c r="F2212" s="1">
        <v>4.0</v>
      </c>
      <c r="G2212" s="1">
        <v>8.0</v>
      </c>
      <c r="H2212" s="1" t="s">
        <v>66</v>
      </c>
      <c r="I2212" s="1" t="s">
        <v>21</v>
      </c>
      <c r="J2212" s="1" t="s">
        <v>18</v>
      </c>
      <c r="K2212" s="1">
        <v>380.0</v>
      </c>
      <c r="L2212" s="1">
        <v>56.9589948</v>
      </c>
      <c r="M2212" s="1">
        <v>24.1130565349601</v>
      </c>
    </row>
    <row r="2213">
      <c r="A2213" s="1" t="s">
        <v>13</v>
      </c>
      <c r="B2213" s="1" t="s">
        <v>23</v>
      </c>
      <c r="C2213" s="1" t="s">
        <v>1562</v>
      </c>
      <c r="D2213" s="1">
        <v>1.0</v>
      </c>
      <c r="E2213" s="1">
        <v>26.0</v>
      </c>
      <c r="F2213" s="1">
        <v>3.0</v>
      </c>
      <c r="G2213" s="1">
        <v>8.0</v>
      </c>
      <c r="H2213" s="1" t="s">
        <v>66</v>
      </c>
      <c r="I2213" s="1" t="s">
        <v>21</v>
      </c>
      <c r="J2213" s="1" t="s">
        <v>18</v>
      </c>
      <c r="K2213" s="1">
        <v>350.0</v>
      </c>
      <c r="L2213" s="1">
        <v>56.9589948</v>
      </c>
      <c r="M2213" s="1">
        <v>24.1130565349601</v>
      </c>
    </row>
    <row r="2214">
      <c r="A2214" s="1" t="s">
        <v>22</v>
      </c>
      <c r="B2214" s="1" t="s">
        <v>23</v>
      </c>
      <c r="C2214" s="1" t="s">
        <v>1563</v>
      </c>
      <c r="D2214" s="1" t="s">
        <v>90</v>
      </c>
      <c r="E2214" s="1">
        <v>195.0</v>
      </c>
      <c r="F2214" s="1">
        <v>2.0</v>
      </c>
      <c r="G2214" s="1">
        <v>3.0</v>
      </c>
      <c r="H2214" s="1" t="s">
        <v>25</v>
      </c>
      <c r="I2214" s="1" t="s">
        <v>26</v>
      </c>
      <c r="J2214" s="1" t="s">
        <v>18</v>
      </c>
      <c r="K2214" s="1">
        <v>159000.0</v>
      </c>
      <c r="L2214" s="1">
        <v>56.9485469499999</v>
      </c>
      <c r="M2214" s="1">
        <v>24.1244542458928</v>
      </c>
    </row>
    <row r="2215">
      <c r="A2215" s="1" t="s">
        <v>22</v>
      </c>
      <c r="B2215" s="1" t="s">
        <v>104</v>
      </c>
      <c r="C2215" s="1" t="s">
        <v>1564</v>
      </c>
      <c r="D2215" s="1">
        <v>2.0</v>
      </c>
      <c r="E2215" s="1">
        <v>45.0</v>
      </c>
      <c r="F2215" s="1">
        <v>1.0</v>
      </c>
      <c r="G2215" s="1">
        <v>5.0</v>
      </c>
      <c r="H2215" s="1" t="s">
        <v>44</v>
      </c>
      <c r="I2215" s="1" t="s">
        <v>37</v>
      </c>
      <c r="J2215" s="1" t="s">
        <v>18</v>
      </c>
      <c r="K2215" s="1">
        <v>45300.0</v>
      </c>
      <c r="L2215" s="1">
        <v>56.9273556</v>
      </c>
      <c r="M2215" s="1">
        <v>24.0736886747453</v>
      </c>
    </row>
    <row r="2216">
      <c r="A2216" s="1" t="s">
        <v>13</v>
      </c>
      <c r="B2216" s="1" t="s">
        <v>151</v>
      </c>
      <c r="C2216" s="1" t="s">
        <v>1565</v>
      </c>
      <c r="D2216" s="1">
        <v>3.0</v>
      </c>
      <c r="E2216" s="1">
        <v>68.0</v>
      </c>
      <c r="F2216" s="1">
        <v>5.0</v>
      </c>
      <c r="G2216" s="1">
        <v>5.0</v>
      </c>
      <c r="H2216" s="1" t="s">
        <v>16</v>
      </c>
      <c r="I2216" s="1" t="s">
        <v>21</v>
      </c>
      <c r="J2216" s="1" t="s">
        <v>18</v>
      </c>
      <c r="K2216" s="1">
        <v>370.0</v>
      </c>
      <c r="L2216" s="1">
        <v>56.9650304</v>
      </c>
      <c r="M2216" s="1">
        <v>24.065958525639</v>
      </c>
    </row>
    <row r="2217">
      <c r="A2217" s="1" t="s">
        <v>22</v>
      </c>
      <c r="B2217" s="1" t="s">
        <v>129</v>
      </c>
      <c r="C2217" s="1" t="s">
        <v>1566</v>
      </c>
      <c r="D2217" s="1">
        <v>5.0</v>
      </c>
      <c r="E2217" s="1">
        <v>134.0</v>
      </c>
      <c r="F2217" s="1">
        <v>1.0</v>
      </c>
      <c r="G2217" s="1">
        <v>3.0</v>
      </c>
      <c r="H2217" s="1" t="s">
        <v>25</v>
      </c>
      <c r="I2217" s="1" t="s">
        <v>37</v>
      </c>
      <c r="J2217" s="1" t="s">
        <v>18</v>
      </c>
      <c r="K2217" s="1">
        <v>40000.0</v>
      </c>
      <c r="L2217" s="1">
        <v>56.99784</v>
      </c>
      <c r="M2217" s="1">
        <v>24.1192554</v>
      </c>
    </row>
    <row r="2218">
      <c r="A2218" s="1" t="s">
        <v>22</v>
      </c>
      <c r="B2218" s="1" t="s">
        <v>38</v>
      </c>
      <c r="C2218" s="1" t="s">
        <v>1567</v>
      </c>
      <c r="D2218" s="1">
        <v>3.0</v>
      </c>
      <c r="E2218" s="1">
        <v>99.0</v>
      </c>
      <c r="F2218" s="1">
        <v>1.0</v>
      </c>
      <c r="G2218" s="1">
        <v>3.0</v>
      </c>
      <c r="H2218" s="1" t="s">
        <v>32</v>
      </c>
      <c r="I2218" s="1" t="s">
        <v>33</v>
      </c>
      <c r="J2218" s="1" t="s">
        <v>63</v>
      </c>
      <c r="K2218" s="1">
        <v>230000.0</v>
      </c>
      <c r="L2218" s="1">
        <v>56.9563166</v>
      </c>
      <c r="M2218" s="1">
        <v>24.0234127</v>
      </c>
    </row>
    <row r="2219">
      <c r="A2219" s="1" t="s">
        <v>131</v>
      </c>
      <c r="B2219" s="1" t="s">
        <v>14</v>
      </c>
      <c r="C2219" s="2"/>
      <c r="D2219" s="1">
        <v>3.0</v>
      </c>
      <c r="E2219" s="2"/>
      <c r="F2219" s="1">
        <v>2.0</v>
      </c>
      <c r="G2219" s="2"/>
      <c r="H2219" s="2"/>
      <c r="I2219" s="2"/>
      <c r="J2219" s="2"/>
      <c r="K2219" s="2"/>
      <c r="L2219" s="1">
        <v>46.3144754</v>
      </c>
      <c r="M2219" s="1">
        <v>11.0480288</v>
      </c>
    </row>
    <row r="2220">
      <c r="A2220" s="1" t="s">
        <v>22</v>
      </c>
      <c r="B2220" s="1" t="s">
        <v>28</v>
      </c>
      <c r="C2220" s="1" t="s">
        <v>80</v>
      </c>
      <c r="D2220" s="1">
        <v>2.0</v>
      </c>
      <c r="E2220" s="1">
        <v>35.0</v>
      </c>
      <c r="F2220" s="1">
        <v>3.0</v>
      </c>
      <c r="G2220" s="1">
        <v>5.0</v>
      </c>
      <c r="H2220" s="1" t="s">
        <v>44</v>
      </c>
      <c r="I2220" s="1" t="s">
        <v>37</v>
      </c>
      <c r="J2220" s="1" t="s">
        <v>18</v>
      </c>
      <c r="K2220" s="1">
        <v>37500.0</v>
      </c>
      <c r="L2220" s="1">
        <v>56.90348845</v>
      </c>
      <c r="M2220" s="1">
        <v>24.20369795</v>
      </c>
    </row>
    <row r="2221">
      <c r="A2221" s="1" t="s">
        <v>22</v>
      </c>
      <c r="B2221" s="1" t="s">
        <v>28</v>
      </c>
      <c r="C2221" s="1" t="s">
        <v>1568</v>
      </c>
      <c r="D2221" s="1">
        <v>2.0</v>
      </c>
      <c r="E2221" s="1">
        <v>47.0</v>
      </c>
      <c r="F2221" s="1">
        <v>2.0</v>
      </c>
      <c r="G2221" s="1">
        <v>5.0</v>
      </c>
      <c r="H2221" s="1" t="s">
        <v>16</v>
      </c>
      <c r="I2221" s="1" t="s">
        <v>21</v>
      </c>
      <c r="J2221" s="1" t="s">
        <v>18</v>
      </c>
      <c r="K2221" s="1">
        <v>46000.0</v>
      </c>
      <c r="L2221" s="1">
        <v>56.9137899</v>
      </c>
      <c r="M2221" s="1">
        <v>24.180044</v>
      </c>
    </row>
    <row r="2222">
      <c r="A2222" s="1" t="s">
        <v>13</v>
      </c>
      <c r="B2222" s="1" t="s">
        <v>23</v>
      </c>
      <c r="C2222" s="1" t="s">
        <v>617</v>
      </c>
      <c r="D2222" s="1">
        <v>1.0</v>
      </c>
      <c r="E2222" s="1">
        <v>31.0</v>
      </c>
      <c r="F2222" s="1">
        <v>4.0</v>
      </c>
      <c r="G2222" s="1">
        <v>5.0</v>
      </c>
      <c r="H2222" s="1" t="s">
        <v>25</v>
      </c>
      <c r="I2222" s="1" t="s">
        <v>33</v>
      </c>
      <c r="J2222" s="1" t="s">
        <v>18</v>
      </c>
      <c r="K2222" s="1">
        <v>310.0</v>
      </c>
      <c r="L2222" s="1" t="s">
        <v>40</v>
      </c>
      <c r="M2222" s="1" t="s">
        <v>40</v>
      </c>
    </row>
    <row r="2223">
      <c r="A2223" s="1" t="s">
        <v>22</v>
      </c>
      <c r="B2223" s="1" t="s">
        <v>38</v>
      </c>
      <c r="C2223" s="1" t="s">
        <v>165</v>
      </c>
      <c r="D2223" s="1">
        <v>3.0</v>
      </c>
      <c r="E2223" s="1">
        <v>86.0</v>
      </c>
      <c r="F2223" s="1">
        <v>5.0</v>
      </c>
      <c r="G2223" s="1">
        <v>22.0</v>
      </c>
      <c r="H2223" s="1" t="s">
        <v>32</v>
      </c>
      <c r="I2223" s="1" t="s">
        <v>21</v>
      </c>
      <c r="J2223" s="1" t="s">
        <v>18</v>
      </c>
      <c r="K2223" s="1">
        <v>158000.0</v>
      </c>
      <c r="L2223" s="1">
        <v>56.9590306</v>
      </c>
      <c r="M2223" s="1">
        <v>24.013887042853</v>
      </c>
    </row>
    <row r="2224">
      <c r="A2224" s="1" t="s">
        <v>13</v>
      </c>
      <c r="B2224" s="1" t="s">
        <v>19</v>
      </c>
      <c r="C2224" s="1" t="s">
        <v>1277</v>
      </c>
      <c r="D2224" s="1">
        <v>4.0</v>
      </c>
      <c r="E2224" s="1">
        <v>138.0</v>
      </c>
      <c r="F2224" s="1">
        <v>4.0</v>
      </c>
      <c r="G2224" s="1">
        <v>4.0</v>
      </c>
      <c r="H2224" s="1" t="s">
        <v>32</v>
      </c>
      <c r="I2224" s="1" t="s">
        <v>33</v>
      </c>
      <c r="J2224" s="1" t="s">
        <v>18</v>
      </c>
      <c r="K2224" s="1">
        <v>700.0</v>
      </c>
      <c r="L2224" s="1">
        <v>56.8974581</v>
      </c>
      <c r="M2224" s="1">
        <v>24.1389382</v>
      </c>
    </row>
    <row r="2225">
      <c r="A2225" s="1" t="s">
        <v>22</v>
      </c>
      <c r="B2225" s="1" t="s">
        <v>23</v>
      </c>
      <c r="C2225" s="1" t="s">
        <v>1382</v>
      </c>
      <c r="D2225" s="1">
        <v>2.0</v>
      </c>
      <c r="E2225" s="1">
        <v>49.0</v>
      </c>
      <c r="F2225" s="1">
        <v>2.0</v>
      </c>
      <c r="G2225" s="1">
        <v>4.0</v>
      </c>
      <c r="H2225" s="1" t="s">
        <v>66</v>
      </c>
      <c r="I2225" s="1" t="s">
        <v>33</v>
      </c>
      <c r="J2225" s="1" t="s">
        <v>18</v>
      </c>
      <c r="K2225" s="1">
        <v>99000.0</v>
      </c>
      <c r="L2225" s="1">
        <v>56.968951</v>
      </c>
      <c r="M2225" s="1">
        <v>24.1448842676771</v>
      </c>
    </row>
    <row r="2226">
      <c r="A2226" s="1" t="s">
        <v>13</v>
      </c>
      <c r="B2226" s="1" t="s">
        <v>52</v>
      </c>
      <c r="C2226" s="1" t="s">
        <v>1569</v>
      </c>
      <c r="D2226" s="1">
        <v>3.0</v>
      </c>
      <c r="E2226" s="1">
        <v>104.0</v>
      </c>
      <c r="F2226" s="1">
        <v>3.0</v>
      </c>
      <c r="G2226" s="1">
        <v>4.0</v>
      </c>
      <c r="H2226" s="1" t="s">
        <v>32</v>
      </c>
      <c r="I2226" s="1" t="s">
        <v>17</v>
      </c>
      <c r="J2226" s="1" t="s">
        <v>18</v>
      </c>
      <c r="K2226" s="1">
        <v>780.0</v>
      </c>
      <c r="L2226" s="1">
        <v>56.93844915</v>
      </c>
      <c r="M2226" s="1">
        <v>24.0230963213073</v>
      </c>
    </row>
    <row r="2227">
      <c r="A2227" s="1" t="s">
        <v>22</v>
      </c>
      <c r="B2227" s="1" t="s">
        <v>23</v>
      </c>
      <c r="C2227" s="1" t="s">
        <v>1570</v>
      </c>
      <c r="D2227" s="1">
        <v>3.0</v>
      </c>
      <c r="E2227" s="1">
        <v>75.0</v>
      </c>
      <c r="F2227" s="1">
        <v>2.0</v>
      </c>
      <c r="G2227" s="1">
        <v>4.0</v>
      </c>
      <c r="H2227" s="1" t="s">
        <v>25</v>
      </c>
      <c r="I2227" s="1" t="s">
        <v>33</v>
      </c>
      <c r="J2227" s="1" t="s">
        <v>18</v>
      </c>
      <c r="K2227" s="1">
        <v>95000.0</v>
      </c>
      <c r="L2227" s="1">
        <v>56.9614076999999</v>
      </c>
      <c r="M2227" s="1">
        <v>24.1394561330557</v>
      </c>
    </row>
    <row r="2228">
      <c r="A2228" s="1" t="s">
        <v>22</v>
      </c>
      <c r="B2228" s="1" t="s">
        <v>23</v>
      </c>
      <c r="C2228" s="1" t="s">
        <v>1222</v>
      </c>
      <c r="D2228" s="1">
        <v>1.0</v>
      </c>
      <c r="E2228" s="1">
        <v>31.0</v>
      </c>
      <c r="F2228" s="1">
        <v>5.0</v>
      </c>
      <c r="G2228" s="1">
        <v>5.0</v>
      </c>
      <c r="H2228" s="1" t="s">
        <v>66</v>
      </c>
      <c r="I2228" s="1" t="s">
        <v>37</v>
      </c>
      <c r="J2228" s="1" t="s">
        <v>18</v>
      </c>
      <c r="K2228" s="1">
        <v>60000.0</v>
      </c>
      <c r="L2228" s="1">
        <v>56.95652115</v>
      </c>
      <c r="M2228" s="1">
        <v>24.1476809000188</v>
      </c>
    </row>
    <row r="2229">
      <c r="A2229" s="1" t="s">
        <v>13</v>
      </c>
      <c r="B2229" s="1" t="s">
        <v>23</v>
      </c>
      <c r="C2229" s="1" t="s">
        <v>1571</v>
      </c>
      <c r="D2229" s="1">
        <v>3.0</v>
      </c>
      <c r="E2229" s="1">
        <v>104.0</v>
      </c>
      <c r="F2229" s="1">
        <v>6.0</v>
      </c>
      <c r="G2229" s="1">
        <v>6.0</v>
      </c>
      <c r="H2229" s="1" t="s">
        <v>25</v>
      </c>
      <c r="I2229" s="1" t="s">
        <v>37</v>
      </c>
      <c r="J2229" s="1" t="s">
        <v>18</v>
      </c>
      <c r="K2229" s="1">
        <v>700.0</v>
      </c>
      <c r="L2229" s="1">
        <v>56.9585108</v>
      </c>
      <c r="M2229" s="1">
        <v>24.1228978201077</v>
      </c>
    </row>
    <row r="2230">
      <c r="A2230" s="1" t="s">
        <v>22</v>
      </c>
      <c r="B2230" s="1" t="s">
        <v>74</v>
      </c>
      <c r="C2230" s="1" t="s">
        <v>700</v>
      </c>
      <c r="D2230" s="1">
        <v>2.0</v>
      </c>
      <c r="E2230" s="1">
        <v>51.0</v>
      </c>
      <c r="F2230" s="1">
        <v>2.0</v>
      </c>
      <c r="G2230" s="1">
        <v>9.0</v>
      </c>
      <c r="H2230" s="1">
        <v>602.0</v>
      </c>
      <c r="I2230" s="1" t="s">
        <v>21</v>
      </c>
      <c r="J2230" s="1" t="s">
        <v>18</v>
      </c>
      <c r="K2230" s="1">
        <v>58000.0</v>
      </c>
      <c r="L2230" s="1">
        <v>56.9440729</v>
      </c>
      <c r="M2230" s="1">
        <v>24.2177392125913</v>
      </c>
    </row>
    <row r="2231">
      <c r="A2231" s="1" t="s">
        <v>13</v>
      </c>
      <c r="B2231" s="1" t="s">
        <v>23</v>
      </c>
      <c r="C2231" s="1" t="s">
        <v>1572</v>
      </c>
      <c r="D2231" s="1">
        <v>2.0</v>
      </c>
      <c r="E2231" s="1">
        <v>38.0</v>
      </c>
      <c r="F2231" s="1">
        <v>2.0</v>
      </c>
      <c r="G2231" s="1">
        <v>3.0</v>
      </c>
      <c r="H2231" s="1" t="s">
        <v>25</v>
      </c>
      <c r="I2231" s="1" t="s">
        <v>33</v>
      </c>
      <c r="J2231" s="1" t="s">
        <v>18</v>
      </c>
      <c r="K2231" s="1">
        <v>270.0</v>
      </c>
      <c r="L2231" s="1">
        <v>56.9619771</v>
      </c>
      <c r="M2231" s="1">
        <v>24.1348346</v>
      </c>
    </row>
    <row r="2232">
      <c r="A2232" s="1" t="s">
        <v>22</v>
      </c>
      <c r="B2232" s="1" t="s">
        <v>174</v>
      </c>
      <c r="C2232" s="1" t="s">
        <v>1573</v>
      </c>
      <c r="D2232" s="1">
        <v>2.0</v>
      </c>
      <c r="E2232" s="1">
        <v>48.0</v>
      </c>
      <c r="F2232" s="1">
        <v>1.0</v>
      </c>
      <c r="G2232" s="1">
        <v>3.0</v>
      </c>
      <c r="H2232" s="1" t="s">
        <v>36</v>
      </c>
      <c r="I2232" s="1" t="s">
        <v>37</v>
      </c>
      <c r="J2232" s="1" t="s">
        <v>18</v>
      </c>
      <c r="K2232" s="1">
        <v>45000.0</v>
      </c>
      <c r="L2232" s="1">
        <v>56.94596715</v>
      </c>
      <c r="M2232" s="1">
        <v>24.16620155</v>
      </c>
    </row>
    <row r="2233">
      <c r="A2233" s="1" t="s">
        <v>22</v>
      </c>
      <c r="B2233" s="1" t="s">
        <v>42</v>
      </c>
      <c r="C2233" s="1" t="s">
        <v>275</v>
      </c>
      <c r="D2233" s="1">
        <v>2.0</v>
      </c>
      <c r="E2233" s="1">
        <v>46.0</v>
      </c>
      <c r="F2233" s="1">
        <v>1.0</v>
      </c>
      <c r="G2233" s="1">
        <v>5.0</v>
      </c>
      <c r="H2233" s="1" t="s">
        <v>44</v>
      </c>
      <c r="I2233" s="1" t="s">
        <v>21</v>
      </c>
      <c r="J2233" s="1" t="s">
        <v>18</v>
      </c>
      <c r="K2233" s="1">
        <v>41000.0</v>
      </c>
      <c r="L2233" s="1">
        <v>56.9882535</v>
      </c>
      <c r="M2233" s="1">
        <v>24.2378954328869</v>
      </c>
    </row>
    <row r="2234">
      <c r="A2234" s="1" t="s">
        <v>22</v>
      </c>
      <c r="B2234" s="1" t="s">
        <v>23</v>
      </c>
      <c r="C2234" s="1" t="s">
        <v>1574</v>
      </c>
      <c r="D2234" s="1">
        <v>3.0</v>
      </c>
      <c r="E2234" s="1">
        <v>85.0</v>
      </c>
      <c r="F2234" s="1">
        <v>1.0</v>
      </c>
      <c r="G2234" s="1">
        <v>5.0</v>
      </c>
      <c r="H2234" s="1" t="s">
        <v>25</v>
      </c>
      <c r="I2234" s="1" t="s">
        <v>33</v>
      </c>
      <c r="J2234" s="1" t="s">
        <v>18</v>
      </c>
      <c r="K2234" s="1">
        <v>145000.0</v>
      </c>
      <c r="L2234" s="1">
        <v>56.9557623</v>
      </c>
      <c r="M2234" s="1">
        <v>24.1108020285596</v>
      </c>
    </row>
    <row r="2235">
      <c r="A2235" s="1" t="s">
        <v>89</v>
      </c>
      <c r="B2235" s="1" t="s">
        <v>52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1">
        <v>46.3144754</v>
      </c>
      <c r="M2235" s="1">
        <v>11.0480288</v>
      </c>
    </row>
    <row r="2236">
      <c r="A2236" s="1" t="s">
        <v>89</v>
      </c>
      <c r="B2236" s="1" t="s">
        <v>19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1">
        <v>46.3144754</v>
      </c>
      <c r="M2236" s="1">
        <v>11.0480288</v>
      </c>
    </row>
    <row r="2237">
      <c r="A2237" s="1" t="s">
        <v>89</v>
      </c>
      <c r="B2237" s="1" t="s">
        <v>96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1">
        <v>46.3144754</v>
      </c>
      <c r="M2237" s="1">
        <v>11.0480288</v>
      </c>
    </row>
    <row r="2238">
      <c r="A2238" s="1" t="s">
        <v>22</v>
      </c>
      <c r="B2238" s="1" t="s">
        <v>30</v>
      </c>
      <c r="C2238" s="1" t="s">
        <v>1575</v>
      </c>
      <c r="D2238" s="1">
        <v>3.0</v>
      </c>
      <c r="E2238" s="1">
        <v>92.0</v>
      </c>
      <c r="F2238" s="1">
        <v>4.0</v>
      </c>
      <c r="G2238" s="1">
        <v>5.0</v>
      </c>
      <c r="H2238" s="1" t="s">
        <v>32</v>
      </c>
      <c r="I2238" s="1" t="s">
        <v>33</v>
      </c>
      <c r="J2238" s="1" t="s">
        <v>18</v>
      </c>
      <c r="K2238" s="1">
        <v>160000.0</v>
      </c>
      <c r="L2238" s="1">
        <v>56.96436315</v>
      </c>
      <c r="M2238" s="1">
        <v>24.1791502065621</v>
      </c>
    </row>
    <row r="2239">
      <c r="A2239" s="1" t="s">
        <v>89</v>
      </c>
      <c r="B2239" s="1" t="s">
        <v>30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1">
        <v>46.3144754</v>
      </c>
      <c r="M2239" s="1">
        <v>11.0480288</v>
      </c>
    </row>
    <row r="2240">
      <c r="A2240" s="1" t="s">
        <v>89</v>
      </c>
      <c r="B2240" s="1" t="s">
        <v>129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1">
        <v>46.3144754</v>
      </c>
      <c r="M2240" s="1">
        <v>11.0480288</v>
      </c>
    </row>
    <row r="2241">
      <c r="A2241" s="1" t="s">
        <v>131</v>
      </c>
      <c r="B2241" s="1" t="s">
        <v>117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1">
        <v>46.3144754</v>
      </c>
      <c r="M2241" s="1">
        <v>11.0480288</v>
      </c>
    </row>
    <row r="2242">
      <c r="A2242" s="1" t="s">
        <v>89</v>
      </c>
      <c r="B2242" s="1" t="s">
        <v>14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1">
        <v>46.3144754</v>
      </c>
      <c r="M2242" s="1">
        <v>11.0480288</v>
      </c>
    </row>
    <row r="2243">
      <c r="A2243" s="1" t="s">
        <v>89</v>
      </c>
      <c r="B2243" s="1" t="s">
        <v>74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1">
        <v>46.3144754</v>
      </c>
      <c r="M2243" s="1">
        <v>11.0480288</v>
      </c>
    </row>
    <row r="2244">
      <c r="A2244" s="1" t="s">
        <v>89</v>
      </c>
      <c r="B2244" s="1" t="s">
        <v>48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1">
        <v>46.3144754</v>
      </c>
      <c r="M2244" s="1">
        <v>11.0480288</v>
      </c>
    </row>
    <row r="2245">
      <c r="A2245" s="1" t="s">
        <v>13</v>
      </c>
      <c r="B2245" s="1" t="s">
        <v>48</v>
      </c>
      <c r="C2245" s="1" t="s">
        <v>1576</v>
      </c>
      <c r="D2245" s="1">
        <v>1.0</v>
      </c>
      <c r="E2245" s="1">
        <v>47.0</v>
      </c>
      <c r="F2245" s="1">
        <v>5.0</v>
      </c>
      <c r="G2245" s="1">
        <v>16.0</v>
      </c>
      <c r="H2245" s="1">
        <v>104.0</v>
      </c>
      <c r="I2245" s="1" t="s">
        <v>21</v>
      </c>
      <c r="J2245" s="1" t="s">
        <v>18</v>
      </c>
      <c r="K2245" s="1">
        <v>270.0</v>
      </c>
      <c r="L2245" s="1">
        <v>56.96758455</v>
      </c>
      <c r="M2245" s="1">
        <v>24.238078024789</v>
      </c>
    </row>
    <row r="2246">
      <c r="A2246" s="1" t="s">
        <v>22</v>
      </c>
      <c r="B2246" s="1" t="s">
        <v>104</v>
      </c>
      <c r="C2246" s="1" t="s">
        <v>1577</v>
      </c>
      <c r="D2246" s="1">
        <v>2.0</v>
      </c>
      <c r="E2246" s="1">
        <v>41.0</v>
      </c>
      <c r="F2246" s="1">
        <v>2.0</v>
      </c>
      <c r="G2246" s="1">
        <v>5.0</v>
      </c>
      <c r="H2246" s="1" t="s">
        <v>44</v>
      </c>
      <c r="I2246" s="1" t="s">
        <v>37</v>
      </c>
      <c r="J2246" s="1" t="s">
        <v>18</v>
      </c>
      <c r="K2246" s="1">
        <v>39999.0</v>
      </c>
      <c r="L2246" s="1">
        <v>56.94411415</v>
      </c>
      <c r="M2246" s="1">
        <v>24.064304448841</v>
      </c>
    </row>
    <row r="2247">
      <c r="A2247" s="1" t="s">
        <v>22</v>
      </c>
      <c r="B2247" s="1" t="s">
        <v>38</v>
      </c>
      <c r="C2247" s="1" t="s">
        <v>1104</v>
      </c>
      <c r="D2247" s="1">
        <v>2.0</v>
      </c>
      <c r="E2247" s="1">
        <v>45.0</v>
      </c>
      <c r="F2247" s="1">
        <v>2.0</v>
      </c>
      <c r="G2247" s="1">
        <v>9.0</v>
      </c>
      <c r="H2247" s="1" t="s">
        <v>32</v>
      </c>
      <c r="I2247" s="1" t="s">
        <v>21</v>
      </c>
      <c r="J2247" s="1" t="s">
        <v>18</v>
      </c>
      <c r="K2247" s="1">
        <v>89999.0</v>
      </c>
      <c r="L2247" s="1">
        <v>56.9514132</v>
      </c>
      <c r="M2247" s="1">
        <v>24.0038761753746</v>
      </c>
    </row>
    <row r="2248">
      <c r="A2248" s="1" t="s">
        <v>22</v>
      </c>
      <c r="B2248" s="1" t="s">
        <v>38</v>
      </c>
      <c r="C2248" s="1" t="s">
        <v>1578</v>
      </c>
      <c r="D2248" s="1">
        <v>2.0</v>
      </c>
      <c r="E2248" s="1">
        <v>47.0</v>
      </c>
      <c r="F2248" s="1">
        <v>9.0</v>
      </c>
      <c r="G2248" s="1">
        <v>9.0</v>
      </c>
      <c r="H2248" s="1" t="s">
        <v>32</v>
      </c>
      <c r="I2248" s="1" t="s">
        <v>21</v>
      </c>
      <c r="J2248" s="1" t="s">
        <v>18</v>
      </c>
      <c r="K2248" s="1">
        <v>76999.0</v>
      </c>
      <c r="L2248" s="1" t="s">
        <v>40</v>
      </c>
      <c r="M2248" s="1" t="s">
        <v>40</v>
      </c>
    </row>
    <row r="2249">
      <c r="A2249" s="1" t="s">
        <v>22</v>
      </c>
      <c r="B2249" s="1" t="s">
        <v>30</v>
      </c>
      <c r="C2249" s="1" t="s">
        <v>1579</v>
      </c>
      <c r="D2249" s="1">
        <v>3.0</v>
      </c>
      <c r="E2249" s="1">
        <v>56.0</v>
      </c>
      <c r="F2249" s="1">
        <v>1.0</v>
      </c>
      <c r="G2249" s="1">
        <v>1.0</v>
      </c>
      <c r="H2249" s="1" t="s">
        <v>16</v>
      </c>
      <c r="I2249" s="1" t="s">
        <v>21</v>
      </c>
      <c r="J2249" s="1" t="s">
        <v>18</v>
      </c>
      <c r="K2249" s="1">
        <v>59990.0</v>
      </c>
      <c r="L2249" s="1">
        <v>56.9666739</v>
      </c>
      <c r="M2249" s="1">
        <v>24.18015715</v>
      </c>
    </row>
    <row r="2250">
      <c r="A2250" s="1" t="s">
        <v>22</v>
      </c>
      <c r="B2250" s="1" t="s">
        <v>23</v>
      </c>
      <c r="C2250" s="1" t="s">
        <v>869</v>
      </c>
      <c r="D2250" s="1">
        <v>4.0</v>
      </c>
      <c r="E2250" s="1">
        <v>125.0</v>
      </c>
      <c r="F2250" s="1">
        <v>4.0</v>
      </c>
      <c r="G2250" s="1">
        <v>6.0</v>
      </c>
      <c r="H2250" s="1" t="s">
        <v>66</v>
      </c>
      <c r="I2250" s="1" t="s">
        <v>33</v>
      </c>
      <c r="J2250" s="1" t="s">
        <v>18</v>
      </c>
      <c r="K2250" s="1">
        <v>295000.0</v>
      </c>
      <c r="L2250" s="1">
        <v>56.9531436</v>
      </c>
      <c r="M2250" s="1">
        <v>24.1255034</v>
      </c>
    </row>
    <row r="2251">
      <c r="A2251" s="1" t="s">
        <v>13</v>
      </c>
      <c r="B2251" s="1" t="s">
        <v>104</v>
      </c>
      <c r="C2251" s="1" t="s">
        <v>1580</v>
      </c>
      <c r="D2251" s="1">
        <v>2.0</v>
      </c>
      <c r="E2251" s="1">
        <v>63.0</v>
      </c>
      <c r="F2251" s="1">
        <v>4.0</v>
      </c>
      <c r="G2251" s="1">
        <v>5.0</v>
      </c>
      <c r="H2251" s="1" t="s">
        <v>36</v>
      </c>
      <c r="I2251" s="1" t="s">
        <v>37</v>
      </c>
      <c r="J2251" s="1" t="s">
        <v>18</v>
      </c>
      <c r="K2251" s="1">
        <v>350.0</v>
      </c>
      <c r="L2251" s="1">
        <v>56.9525197499999</v>
      </c>
      <c r="M2251" s="1">
        <v>24.0658713441479</v>
      </c>
    </row>
    <row r="2252">
      <c r="A2252" s="1" t="s">
        <v>22</v>
      </c>
      <c r="B2252" s="1" t="s">
        <v>38</v>
      </c>
      <c r="C2252" s="1" t="s">
        <v>1581</v>
      </c>
      <c r="D2252" s="1">
        <v>3.0</v>
      </c>
      <c r="E2252" s="1">
        <v>63.0</v>
      </c>
      <c r="F2252" s="1">
        <v>5.0</v>
      </c>
      <c r="G2252" s="1">
        <v>9.0</v>
      </c>
      <c r="H2252" s="1">
        <v>602.0</v>
      </c>
      <c r="I2252" s="1" t="s">
        <v>21</v>
      </c>
      <c r="J2252" s="1" t="s">
        <v>18</v>
      </c>
      <c r="K2252" s="1">
        <v>65000.0</v>
      </c>
      <c r="L2252" s="1" t="s">
        <v>40</v>
      </c>
      <c r="M2252" s="1" t="s">
        <v>40</v>
      </c>
    </row>
    <row r="2253">
      <c r="A2253" s="1" t="s">
        <v>13</v>
      </c>
      <c r="B2253" s="1" t="s">
        <v>14</v>
      </c>
      <c r="C2253" s="1" t="s">
        <v>1582</v>
      </c>
      <c r="D2253" s="1">
        <v>2.0</v>
      </c>
      <c r="E2253" s="1">
        <v>64.0</v>
      </c>
      <c r="F2253" s="1">
        <v>2.0</v>
      </c>
      <c r="G2253" s="1">
        <v>9.0</v>
      </c>
      <c r="H2253" s="1">
        <v>119.0</v>
      </c>
      <c r="I2253" s="1" t="s">
        <v>21</v>
      </c>
      <c r="J2253" s="1" t="s">
        <v>18</v>
      </c>
      <c r="K2253" s="1">
        <v>325.0</v>
      </c>
      <c r="L2253" s="1">
        <v>56.9494311499999</v>
      </c>
      <c r="M2253" s="1">
        <v>24.1991222</v>
      </c>
    </row>
    <row r="2254">
      <c r="A2254" s="1" t="s">
        <v>22</v>
      </c>
      <c r="B2254" s="1" t="s">
        <v>74</v>
      </c>
      <c r="C2254" s="1" t="s">
        <v>1583</v>
      </c>
      <c r="D2254" s="1">
        <v>1.0</v>
      </c>
      <c r="E2254" s="1">
        <v>33.0</v>
      </c>
      <c r="F2254" s="1">
        <v>2.0</v>
      </c>
      <c r="G2254" s="1">
        <v>9.0</v>
      </c>
      <c r="H2254" s="1">
        <v>602.0</v>
      </c>
      <c r="I2254" s="1" t="s">
        <v>21</v>
      </c>
      <c r="J2254" s="1" t="s">
        <v>18</v>
      </c>
      <c r="K2254" s="1">
        <v>32000.0</v>
      </c>
      <c r="L2254" s="1">
        <v>56.9343506999999</v>
      </c>
      <c r="M2254" s="1">
        <v>24.2060082499999</v>
      </c>
    </row>
    <row r="2255">
      <c r="A2255" s="1" t="s">
        <v>13</v>
      </c>
      <c r="B2255" s="1" t="s">
        <v>23</v>
      </c>
      <c r="C2255" s="1" t="s">
        <v>403</v>
      </c>
      <c r="D2255" s="1">
        <v>3.0</v>
      </c>
      <c r="E2255" s="1">
        <v>85.0</v>
      </c>
      <c r="F2255" s="1">
        <v>5.0</v>
      </c>
      <c r="G2255" s="1">
        <v>5.0</v>
      </c>
      <c r="H2255" s="1" t="s">
        <v>25</v>
      </c>
      <c r="I2255" s="1" t="s">
        <v>33</v>
      </c>
      <c r="J2255" s="1" t="s">
        <v>18</v>
      </c>
      <c r="K2255" s="1">
        <v>400.0</v>
      </c>
      <c r="L2255" s="1">
        <v>56.9543322</v>
      </c>
      <c r="M2255" s="1">
        <v>24.1313043698515</v>
      </c>
    </row>
    <row r="2256">
      <c r="A2256" s="1" t="s">
        <v>22</v>
      </c>
      <c r="B2256" s="1" t="s">
        <v>74</v>
      </c>
      <c r="C2256" s="1" t="s">
        <v>1584</v>
      </c>
      <c r="D2256" s="1">
        <v>1.0</v>
      </c>
      <c r="E2256" s="1">
        <v>33.0</v>
      </c>
      <c r="F2256" s="1">
        <v>5.0</v>
      </c>
      <c r="G2256" s="1">
        <v>9.0</v>
      </c>
      <c r="H2256" s="1">
        <v>467.0</v>
      </c>
      <c r="I2256" s="1" t="s">
        <v>21</v>
      </c>
      <c r="J2256" s="1" t="s">
        <v>18</v>
      </c>
      <c r="K2256" s="1">
        <v>34000.0</v>
      </c>
      <c r="L2256" s="1">
        <v>56.9437576</v>
      </c>
      <c r="M2256" s="1">
        <v>24.2179250524276</v>
      </c>
    </row>
    <row r="2257">
      <c r="A2257" s="1" t="s">
        <v>22</v>
      </c>
      <c r="B2257" s="1" t="s">
        <v>19</v>
      </c>
      <c r="C2257" s="1" t="s">
        <v>968</v>
      </c>
      <c r="D2257" s="1">
        <v>2.0</v>
      </c>
      <c r="E2257" s="1">
        <v>70.0</v>
      </c>
      <c r="F2257" s="1">
        <v>4.0</v>
      </c>
      <c r="G2257" s="1">
        <v>6.0</v>
      </c>
      <c r="H2257" s="1" t="s">
        <v>32</v>
      </c>
      <c r="I2257" s="1" t="s">
        <v>33</v>
      </c>
      <c r="J2257" s="1" t="s">
        <v>18</v>
      </c>
      <c r="K2257" s="1">
        <v>97000.0</v>
      </c>
      <c r="L2257" s="1">
        <v>56.90846935</v>
      </c>
      <c r="M2257" s="1">
        <v>24.0786774128357</v>
      </c>
    </row>
    <row r="2258">
      <c r="A2258" s="1" t="s">
        <v>22</v>
      </c>
      <c r="B2258" s="1" t="s">
        <v>19</v>
      </c>
      <c r="C2258" s="1" t="s">
        <v>920</v>
      </c>
      <c r="D2258" s="1">
        <v>2.0</v>
      </c>
      <c r="E2258" s="1">
        <v>60.0</v>
      </c>
      <c r="F2258" s="1">
        <v>8.0</v>
      </c>
      <c r="G2258" s="1">
        <v>9.0</v>
      </c>
      <c r="H2258" s="1">
        <v>119.0</v>
      </c>
      <c r="I2258" s="1" t="s">
        <v>21</v>
      </c>
      <c r="J2258" s="1" t="s">
        <v>18</v>
      </c>
      <c r="K2258" s="1">
        <v>60000.0</v>
      </c>
      <c r="L2258" s="1">
        <v>56.90217635</v>
      </c>
      <c r="M2258" s="1">
        <v>24.0878581485374</v>
      </c>
    </row>
    <row r="2259">
      <c r="A2259" s="1" t="s">
        <v>22</v>
      </c>
      <c r="B2259" s="1" t="s">
        <v>30</v>
      </c>
      <c r="C2259" s="1" t="s">
        <v>1276</v>
      </c>
      <c r="D2259" s="1">
        <v>3.0</v>
      </c>
      <c r="E2259" s="1">
        <v>124.0</v>
      </c>
      <c r="F2259" s="1">
        <v>5.0</v>
      </c>
      <c r="G2259" s="1">
        <v>9.0</v>
      </c>
      <c r="H2259" s="1" t="s">
        <v>32</v>
      </c>
      <c r="I2259" s="1" t="s">
        <v>33</v>
      </c>
      <c r="J2259" s="1" t="s">
        <v>18</v>
      </c>
      <c r="K2259" s="1">
        <v>190000.0</v>
      </c>
      <c r="L2259" s="1">
        <v>56.97725905</v>
      </c>
      <c r="M2259" s="1">
        <v>24.1667266999254</v>
      </c>
    </row>
    <row r="2260">
      <c r="A2260" s="1" t="s">
        <v>22</v>
      </c>
      <c r="B2260" s="1" t="s">
        <v>23</v>
      </c>
      <c r="C2260" s="1" t="s">
        <v>1200</v>
      </c>
      <c r="D2260" s="1">
        <v>3.0</v>
      </c>
      <c r="E2260" s="1">
        <v>86.0</v>
      </c>
      <c r="F2260" s="1">
        <v>6.0</v>
      </c>
      <c r="G2260" s="1">
        <v>6.0</v>
      </c>
      <c r="H2260" s="1" t="s">
        <v>25</v>
      </c>
      <c r="I2260" s="1" t="s">
        <v>33</v>
      </c>
      <c r="J2260" s="1" t="s">
        <v>18</v>
      </c>
      <c r="K2260" s="1">
        <v>129000.0</v>
      </c>
      <c r="L2260" s="1">
        <v>56.9619771</v>
      </c>
      <c r="M2260" s="1">
        <v>24.1348346</v>
      </c>
    </row>
    <row r="2261">
      <c r="A2261" s="1" t="s">
        <v>22</v>
      </c>
      <c r="B2261" s="1" t="s">
        <v>23</v>
      </c>
      <c r="C2261" s="1" t="s">
        <v>280</v>
      </c>
      <c r="D2261" s="1">
        <v>3.0</v>
      </c>
      <c r="E2261" s="1">
        <v>53.0</v>
      </c>
      <c r="F2261" s="1">
        <v>6.0</v>
      </c>
      <c r="G2261" s="1">
        <v>6.0</v>
      </c>
      <c r="H2261" s="1" t="s">
        <v>66</v>
      </c>
      <c r="I2261" s="1" t="s">
        <v>33</v>
      </c>
      <c r="J2261" s="1" t="s">
        <v>18</v>
      </c>
      <c r="K2261" s="1">
        <v>133000.0</v>
      </c>
      <c r="L2261" s="1">
        <v>56.95161295</v>
      </c>
      <c r="M2261" s="1">
        <v>24.1224571478615</v>
      </c>
    </row>
    <row r="2262">
      <c r="A2262" s="1" t="s">
        <v>22</v>
      </c>
      <c r="B2262" s="1" t="s">
        <v>74</v>
      </c>
      <c r="C2262" s="1" t="s">
        <v>1585</v>
      </c>
      <c r="D2262" s="1">
        <v>3.0</v>
      </c>
      <c r="E2262" s="1">
        <v>63.0</v>
      </c>
      <c r="F2262" s="1">
        <v>3.0</v>
      </c>
      <c r="G2262" s="1">
        <v>6.0</v>
      </c>
      <c r="H2262" s="1">
        <v>602.0</v>
      </c>
      <c r="I2262" s="1" t="s">
        <v>21</v>
      </c>
      <c r="J2262" s="1" t="s">
        <v>18</v>
      </c>
      <c r="K2262" s="1">
        <v>57000.0</v>
      </c>
      <c r="L2262" s="1">
        <v>56.940619</v>
      </c>
      <c r="M2262" s="1">
        <v>24.2018087794177</v>
      </c>
    </row>
    <row r="2263">
      <c r="A2263" s="1" t="s">
        <v>89</v>
      </c>
      <c r="B2263" s="1" t="s">
        <v>422</v>
      </c>
      <c r="C2263" s="2"/>
      <c r="D2263" s="1" t="s">
        <v>90</v>
      </c>
      <c r="E2263" s="2"/>
      <c r="F2263" s="2"/>
      <c r="G2263" s="2"/>
      <c r="H2263" s="2"/>
      <c r="I2263" s="2"/>
      <c r="J2263" s="2"/>
      <c r="K2263" s="2"/>
      <c r="L2263" s="1">
        <v>46.3144754</v>
      </c>
      <c r="M2263" s="1">
        <v>11.0480288</v>
      </c>
    </row>
    <row r="2264">
      <c r="A2264" s="1" t="s">
        <v>22</v>
      </c>
      <c r="B2264" s="1" t="s">
        <v>23</v>
      </c>
      <c r="C2264" s="1" t="s">
        <v>1586</v>
      </c>
      <c r="D2264" s="1">
        <v>2.0</v>
      </c>
      <c r="E2264" s="1">
        <v>36.0</v>
      </c>
      <c r="F2264" s="1">
        <v>2.0</v>
      </c>
      <c r="G2264" s="1">
        <v>6.0</v>
      </c>
      <c r="H2264" s="1" t="s">
        <v>32</v>
      </c>
      <c r="I2264" s="1" t="s">
        <v>33</v>
      </c>
      <c r="J2264" s="1" t="s">
        <v>18</v>
      </c>
      <c r="K2264" s="1">
        <v>55500.0</v>
      </c>
      <c r="L2264" s="1">
        <v>56.96973635</v>
      </c>
      <c r="M2264" s="1">
        <v>24.10404675</v>
      </c>
    </row>
    <row r="2265">
      <c r="A2265" s="1" t="s">
        <v>22</v>
      </c>
      <c r="B2265" s="1" t="s">
        <v>23</v>
      </c>
      <c r="C2265" s="1" t="s">
        <v>790</v>
      </c>
      <c r="D2265" s="1">
        <v>4.0</v>
      </c>
      <c r="E2265" s="1">
        <v>84.0</v>
      </c>
      <c r="F2265" s="1">
        <v>2.0</v>
      </c>
      <c r="G2265" s="1">
        <v>5.0</v>
      </c>
      <c r="H2265" s="1" t="s">
        <v>25</v>
      </c>
      <c r="I2265" s="1" t="s">
        <v>37</v>
      </c>
      <c r="J2265" s="1" t="s">
        <v>18</v>
      </c>
      <c r="K2265" s="1">
        <v>149810.0</v>
      </c>
      <c r="L2265" s="1">
        <v>56.952698</v>
      </c>
      <c r="M2265" s="1">
        <v>24.1299733</v>
      </c>
    </row>
    <row r="2266">
      <c r="A2266" s="1" t="s">
        <v>22</v>
      </c>
      <c r="B2266" s="1" t="s">
        <v>23</v>
      </c>
      <c r="C2266" s="1" t="s">
        <v>790</v>
      </c>
      <c r="D2266" s="1">
        <v>2.0</v>
      </c>
      <c r="E2266" s="1">
        <v>64.0</v>
      </c>
      <c r="F2266" s="1">
        <v>3.0</v>
      </c>
      <c r="G2266" s="1">
        <v>5.0</v>
      </c>
      <c r="H2266" s="1" t="s">
        <v>25</v>
      </c>
      <c r="I2266" s="1" t="s">
        <v>33</v>
      </c>
      <c r="J2266" s="1" t="s">
        <v>18</v>
      </c>
      <c r="K2266" s="1">
        <v>126400.0</v>
      </c>
      <c r="L2266" s="1">
        <v>56.952698</v>
      </c>
      <c r="M2266" s="1">
        <v>24.1299733</v>
      </c>
    </row>
    <row r="2267">
      <c r="A2267" s="1" t="s">
        <v>22</v>
      </c>
      <c r="B2267" s="1" t="s">
        <v>23</v>
      </c>
      <c r="C2267" s="1" t="s">
        <v>763</v>
      </c>
      <c r="D2267" s="1">
        <v>1.0</v>
      </c>
      <c r="E2267" s="1">
        <v>31.0</v>
      </c>
      <c r="F2267" s="1">
        <v>4.0</v>
      </c>
      <c r="G2267" s="1">
        <v>4.0</v>
      </c>
      <c r="H2267" s="1" t="s">
        <v>25</v>
      </c>
      <c r="I2267" s="1" t="s">
        <v>33</v>
      </c>
      <c r="J2267" s="1" t="s">
        <v>18</v>
      </c>
      <c r="K2267" s="1">
        <v>18000.0</v>
      </c>
      <c r="L2267" s="1">
        <v>56.8597884</v>
      </c>
      <c r="M2267" s="1">
        <v>24.3083417</v>
      </c>
    </row>
    <row r="2268">
      <c r="A2268" s="1" t="s">
        <v>22</v>
      </c>
      <c r="B2268" s="1" t="s">
        <v>129</v>
      </c>
      <c r="C2268" s="1" t="s">
        <v>1587</v>
      </c>
      <c r="D2268" s="1">
        <v>3.0</v>
      </c>
      <c r="E2268" s="1">
        <v>84.0</v>
      </c>
      <c r="F2268" s="1">
        <v>1.0</v>
      </c>
      <c r="G2268" s="1">
        <v>2.0</v>
      </c>
      <c r="H2268" s="1" t="s">
        <v>181</v>
      </c>
      <c r="I2268" s="1" t="s">
        <v>37</v>
      </c>
      <c r="J2268" s="1" t="s">
        <v>18</v>
      </c>
      <c r="K2268" s="1">
        <v>84300.0</v>
      </c>
      <c r="L2268" s="1" t="s">
        <v>40</v>
      </c>
      <c r="M2268" s="1" t="s">
        <v>40</v>
      </c>
    </row>
    <row r="2269">
      <c r="A2269" s="1" t="s">
        <v>22</v>
      </c>
      <c r="B2269" s="1" t="s">
        <v>117</v>
      </c>
      <c r="C2269" s="1" t="s">
        <v>1114</v>
      </c>
      <c r="D2269" s="1">
        <v>2.0</v>
      </c>
      <c r="E2269" s="1">
        <v>55.0</v>
      </c>
      <c r="F2269" s="1">
        <v>3.0</v>
      </c>
      <c r="G2269" s="1">
        <v>3.0</v>
      </c>
      <c r="H2269" s="1" t="s">
        <v>32</v>
      </c>
      <c r="I2269" s="1" t="s">
        <v>33</v>
      </c>
      <c r="J2269" s="1" t="s">
        <v>18</v>
      </c>
      <c r="K2269" s="1">
        <v>64000.0</v>
      </c>
      <c r="L2269" s="1">
        <v>56.9849578</v>
      </c>
      <c r="M2269" s="1">
        <v>24.1831339972375</v>
      </c>
    </row>
    <row r="2270">
      <c r="A2270" s="1" t="s">
        <v>22</v>
      </c>
      <c r="B2270" s="1" t="s">
        <v>96</v>
      </c>
      <c r="C2270" s="1" t="s">
        <v>1588</v>
      </c>
      <c r="D2270" s="1">
        <v>3.0</v>
      </c>
      <c r="E2270" s="1">
        <v>77.0</v>
      </c>
      <c r="F2270" s="1">
        <v>1.0</v>
      </c>
      <c r="G2270" s="1">
        <v>2.0</v>
      </c>
      <c r="H2270" s="1" t="s">
        <v>25</v>
      </c>
      <c r="I2270" s="1" t="s">
        <v>26</v>
      </c>
      <c r="J2270" s="1" t="s">
        <v>27</v>
      </c>
      <c r="K2270" s="1">
        <v>43000.0</v>
      </c>
      <c r="L2270" s="1">
        <v>57.03017055</v>
      </c>
      <c r="M2270" s="1">
        <v>24.119021686038</v>
      </c>
    </row>
    <row r="2271">
      <c r="A2271" s="1" t="s">
        <v>22</v>
      </c>
      <c r="B2271" s="1" t="s">
        <v>19</v>
      </c>
      <c r="C2271" s="1" t="s">
        <v>1589</v>
      </c>
      <c r="D2271" s="1">
        <v>2.0</v>
      </c>
      <c r="E2271" s="1">
        <v>48.0</v>
      </c>
      <c r="F2271" s="1">
        <v>2.0</v>
      </c>
      <c r="G2271" s="1">
        <v>3.0</v>
      </c>
      <c r="H2271" s="1" t="s">
        <v>36</v>
      </c>
      <c r="I2271" s="1" t="s">
        <v>37</v>
      </c>
      <c r="J2271" s="1" t="s">
        <v>18</v>
      </c>
      <c r="K2271" s="1">
        <v>48000.0</v>
      </c>
      <c r="L2271" s="1">
        <v>56.9111955</v>
      </c>
      <c r="M2271" s="1">
        <v>24.1079654901994</v>
      </c>
    </row>
    <row r="2272">
      <c r="A2272" s="1" t="s">
        <v>22</v>
      </c>
      <c r="B2272" s="1" t="s">
        <v>14</v>
      </c>
      <c r="C2272" s="1" t="s">
        <v>315</v>
      </c>
      <c r="D2272" s="1">
        <v>3.0</v>
      </c>
      <c r="E2272" s="1">
        <v>73.0</v>
      </c>
      <c r="F2272" s="1">
        <v>5.0</v>
      </c>
      <c r="G2272" s="1">
        <v>12.0</v>
      </c>
      <c r="H2272" s="1">
        <v>104.0</v>
      </c>
      <c r="I2272" s="1" t="s">
        <v>21</v>
      </c>
      <c r="J2272" s="1" t="s">
        <v>18</v>
      </c>
      <c r="K2272" s="1">
        <v>65000.0</v>
      </c>
      <c r="L2272" s="1">
        <v>56.95341415</v>
      </c>
      <c r="M2272" s="1">
        <v>24.1672841</v>
      </c>
    </row>
    <row r="2273">
      <c r="A2273" s="1" t="s">
        <v>13</v>
      </c>
      <c r="B2273" s="1" t="s">
        <v>23</v>
      </c>
      <c r="C2273" s="1" t="s">
        <v>1590</v>
      </c>
      <c r="D2273" s="1">
        <v>1.0</v>
      </c>
      <c r="E2273" s="1">
        <v>18.0</v>
      </c>
      <c r="F2273" s="1">
        <v>4.0</v>
      </c>
      <c r="G2273" s="1">
        <v>6.0</v>
      </c>
      <c r="H2273" s="1" t="s">
        <v>36</v>
      </c>
      <c r="I2273" s="1" t="s">
        <v>37</v>
      </c>
      <c r="J2273" s="1" t="s">
        <v>18</v>
      </c>
      <c r="K2273" s="1">
        <v>120.0</v>
      </c>
      <c r="L2273" s="1">
        <v>56.9404160499999</v>
      </c>
      <c r="M2273" s="1">
        <v>24.1191520861869</v>
      </c>
    </row>
    <row r="2274">
      <c r="A2274" s="1" t="s">
        <v>13</v>
      </c>
      <c r="B2274" s="1" t="s">
        <v>23</v>
      </c>
      <c r="C2274" s="1" t="s">
        <v>1591</v>
      </c>
      <c r="D2274" s="1">
        <v>2.0</v>
      </c>
      <c r="E2274" s="1">
        <v>36.0</v>
      </c>
      <c r="F2274" s="1">
        <v>4.0</v>
      </c>
      <c r="G2274" s="1">
        <v>5.0</v>
      </c>
      <c r="H2274" s="1" t="s">
        <v>25</v>
      </c>
      <c r="I2274" s="1" t="s">
        <v>33</v>
      </c>
      <c r="J2274" s="1" t="s">
        <v>18</v>
      </c>
      <c r="K2274" s="1">
        <v>420.0</v>
      </c>
      <c r="L2274" s="1">
        <v>56.9529261</v>
      </c>
      <c r="M2274" s="1">
        <v>24.1357275</v>
      </c>
    </row>
    <row r="2275">
      <c r="A2275" s="1" t="s">
        <v>22</v>
      </c>
      <c r="B2275" s="1" t="s">
        <v>14</v>
      </c>
      <c r="C2275" s="1" t="s">
        <v>234</v>
      </c>
      <c r="D2275" s="1">
        <v>3.0</v>
      </c>
      <c r="E2275" s="1">
        <v>64.0</v>
      </c>
      <c r="F2275" s="1">
        <v>1.0</v>
      </c>
      <c r="G2275" s="1">
        <v>9.0</v>
      </c>
      <c r="H2275" s="1">
        <v>602.0</v>
      </c>
      <c r="I2275" s="1" t="s">
        <v>21</v>
      </c>
      <c r="J2275" s="1" t="s">
        <v>18</v>
      </c>
      <c r="K2275" s="1">
        <v>61500.0</v>
      </c>
      <c r="L2275" s="1">
        <v>56.95855255</v>
      </c>
      <c r="M2275" s="1">
        <v>24.1753163275791</v>
      </c>
    </row>
    <row r="2276">
      <c r="A2276" s="1" t="s">
        <v>22</v>
      </c>
      <c r="B2276" s="1" t="s">
        <v>28</v>
      </c>
      <c r="C2276" s="1" t="s">
        <v>1592</v>
      </c>
      <c r="D2276" s="1">
        <v>1.0</v>
      </c>
      <c r="E2276" s="1">
        <v>32.0</v>
      </c>
      <c r="F2276" s="1">
        <v>12.0</v>
      </c>
      <c r="G2276" s="1">
        <v>12.0</v>
      </c>
      <c r="H2276" s="1" t="s">
        <v>221</v>
      </c>
      <c r="I2276" s="1" t="s">
        <v>17</v>
      </c>
      <c r="J2276" s="1" t="s">
        <v>18</v>
      </c>
      <c r="K2276" s="1">
        <v>36300.0</v>
      </c>
      <c r="L2276" s="1">
        <v>56.9075339</v>
      </c>
      <c r="M2276" s="1">
        <v>24.2019891658871</v>
      </c>
    </row>
    <row r="2277">
      <c r="A2277" s="1" t="s">
        <v>13</v>
      </c>
      <c r="B2277" s="1" t="s">
        <v>23</v>
      </c>
      <c r="C2277" s="1" t="s">
        <v>1475</v>
      </c>
      <c r="D2277" s="1">
        <v>3.0</v>
      </c>
      <c r="E2277" s="1">
        <v>85.0</v>
      </c>
      <c r="F2277" s="1">
        <v>5.0</v>
      </c>
      <c r="G2277" s="1">
        <v>5.0</v>
      </c>
      <c r="H2277" s="1" t="s">
        <v>25</v>
      </c>
      <c r="I2277" s="1" t="s">
        <v>37</v>
      </c>
      <c r="J2277" s="1" t="s">
        <v>18</v>
      </c>
      <c r="K2277" s="1">
        <v>620.0</v>
      </c>
      <c r="L2277" s="1">
        <v>56.9533109</v>
      </c>
      <c r="M2277" s="1">
        <v>24.1349288</v>
      </c>
    </row>
    <row r="2278">
      <c r="A2278" s="1" t="s">
        <v>22</v>
      </c>
      <c r="B2278" s="1" t="s">
        <v>23</v>
      </c>
      <c r="C2278" s="1" t="s">
        <v>1593</v>
      </c>
      <c r="D2278" s="1">
        <v>2.0</v>
      </c>
      <c r="E2278" s="1">
        <v>100.0</v>
      </c>
      <c r="F2278" s="1">
        <v>7.0</v>
      </c>
      <c r="G2278" s="1">
        <v>6.0</v>
      </c>
      <c r="H2278" s="1" t="s">
        <v>66</v>
      </c>
      <c r="I2278" s="1" t="s">
        <v>33</v>
      </c>
      <c r="J2278" s="1" t="s">
        <v>18</v>
      </c>
      <c r="K2278" s="1">
        <v>215000.0</v>
      </c>
      <c r="L2278" s="1" t="s">
        <v>40</v>
      </c>
      <c r="M2278" s="1" t="s">
        <v>40</v>
      </c>
    </row>
    <row r="2279">
      <c r="A2279" s="1" t="s">
        <v>89</v>
      </c>
      <c r="B2279" s="1" t="s">
        <v>30</v>
      </c>
      <c r="C2279" s="1" t="s">
        <v>1594</v>
      </c>
      <c r="D2279" s="1">
        <v>2.0</v>
      </c>
      <c r="E2279" s="1">
        <v>50.0</v>
      </c>
      <c r="F2279" s="2"/>
      <c r="G2279" s="2"/>
      <c r="H2279" s="2"/>
      <c r="I2279" s="2"/>
      <c r="J2279" s="2"/>
      <c r="K2279" s="2"/>
      <c r="L2279" s="1">
        <v>56.9640621</v>
      </c>
      <c r="M2279" s="1">
        <v>24.139579</v>
      </c>
    </row>
    <row r="2280">
      <c r="A2280" s="1" t="s">
        <v>22</v>
      </c>
      <c r="B2280" s="1" t="s">
        <v>14</v>
      </c>
      <c r="C2280" s="1" t="s">
        <v>1595</v>
      </c>
      <c r="D2280" s="1">
        <v>3.0</v>
      </c>
      <c r="E2280" s="1">
        <v>53.0</v>
      </c>
      <c r="F2280" s="1">
        <v>2.0</v>
      </c>
      <c r="G2280" s="1">
        <v>5.0</v>
      </c>
      <c r="H2280" s="1" t="s">
        <v>44</v>
      </c>
      <c r="I2280" s="1" t="s">
        <v>37</v>
      </c>
      <c r="J2280" s="1" t="s">
        <v>18</v>
      </c>
      <c r="K2280" s="1">
        <v>65000.0</v>
      </c>
      <c r="L2280" s="1">
        <v>56.963066</v>
      </c>
      <c r="M2280" s="1">
        <v>24.1705965317838</v>
      </c>
    </row>
    <row r="2281">
      <c r="A2281" s="1" t="s">
        <v>22</v>
      </c>
      <c r="B2281" s="1" t="s">
        <v>422</v>
      </c>
      <c r="C2281" s="1" t="s">
        <v>1596</v>
      </c>
      <c r="D2281" s="1">
        <v>3.0</v>
      </c>
      <c r="E2281" s="1">
        <v>122.0</v>
      </c>
      <c r="F2281" s="1">
        <v>6.0</v>
      </c>
      <c r="G2281" s="1">
        <v>6.0</v>
      </c>
      <c r="H2281" s="1">
        <v>103.0</v>
      </c>
      <c r="I2281" s="1" t="s">
        <v>17</v>
      </c>
      <c r="J2281" s="1" t="s">
        <v>18</v>
      </c>
      <c r="K2281" s="1">
        <v>115000.0</v>
      </c>
      <c r="L2281" s="1">
        <v>56.9394231</v>
      </c>
      <c r="M2281" s="1">
        <v>24.0359489118193</v>
      </c>
    </row>
    <row r="2282">
      <c r="A2282" s="1" t="s">
        <v>13</v>
      </c>
      <c r="B2282" s="1" t="s">
        <v>23</v>
      </c>
      <c r="C2282" s="1" t="s">
        <v>1597</v>
      </c>
      <c r="D2282" s="1">
        <v>3.0</v>
      </c>
      <c r="E2282" s="1">
        <v>81.0</v>
      </c>
      <c r="F2282" s="1">
        <v>2.0</v>
      </c>
      <c r="G2282" s="1">
        <v>5.0</v>
      </c>
      <c r="H2282" s="1" t="s">
        <v>66</v>
      </c>
      <c r="I2282" s="1" t="s">
        <v>33</v>
      </c>
      <c r="J2282" s="1" t="s">
        <v>18</v>
      </c>
      <c r="K2282" s="1">
        <v>995.0</v>
      </c>
      <c r="L2282" s="1">
        <v>56.957715</v>
      </c>
      <c r="M2282" s="1">
        <v>24.1191109634786</v>
      </c>
    </row>
    <row r="2283">
      <c r="A2283" s="1" t="s">
        <v>22</v>
      </c>
      <c r="B2283" s="1" t="s">
        <v>151</v>
      </c>
      <c r="C2283" s="1" t="s">
        <v>1598</v>
      </c>
      <c r="D2283" s="1">
        <v>2.0</v>
      </c>
      <c r="E2283" s="1">
        <v>40.0</v>
      </c>
      <c r="F2283" s="1">
        <v>2.0</v>
      </c>
      <c r="G2283" s="1">
        <v>3.0</v>
      </c>
      <c r="H2283" s="1" t="s">
        <v>25</v>
      </c>
      <c r="I2283" s="1" t="s">
        <v>33</v>
      </c>
      <c r="J2283" s="1" t="s">
        <v>18</v>
      </c>
      <c r="K2283" s="1">
        <v>43500.0</v>
      </c>
      <c r="L2283" s="1">
        <v>56.9650552</v>
      </c>
      <c r="M2283" s="1">
        <v>24.0726999885418</v>
      </c>
    </row>
    <row r="2284">
      <c r="A2284" s="1" t="s">
        <v>22</v>
      </c>
      <c r="B2284" s="1" t="s">
        <v>129</v>
      </c>
      <c r="C2284" s="1" t="s">
        <v>1062</v>
      </c>
      <c r="D2284" s="1">
        <v>2.0</v>
      </c>
      <c r="E2284" s="1">
        <v>41.0</v>
      </c>
      <c r="F2284" s="1">
        <v>3.0</v>
      </c>
      <c r="G2284" s="1">
        <v>5.0</v>
      </c>
      <c r="H2284" s="1" t="s">
        <v>44</v>
      </c>
      <c r="I2284" s="1" t="s">
        <v>37</v>
      </c>
      <c r="J2284" s="1" t="s">
        <v>18</v>
      </c>
      <c r="K2284" s="1">
        <v>37000.0</v>
      </c>
      <c r="L2284" s="1">
        <v>57.0021488</v>
      </c>
      <c r="M2284" s="1">
        <v>24.1248028</v>
      </c>
    </row>
    <row r="2285">
      <c r="A2285" s="1" t="s">
        <v>22</v>
      </c>
      <c r="B2285" s="1" t="s">
        <v>19</v>
      </c>
      <c r="C2285" s="1" t="s">
        <v>1599</v>
      </c>
      <c r="D2285" s="1">
        <v>4.0</v>
      </c>
      <c r="E2285" s="1">
        <v>76.0</v>
      </c>
      <c r="F2285" s="1">
        <v>2.0</v>
      </c>
      <c r="G2285" s="1">
        <v>9.0</v>
      </c>
      <c r="H2285" s="1">
        <v>602.0</v>
      </c>
      <c r="I2285" s="1" t="s">
        <v>17</v>
      </c>
      <c r="J2285" s="1" t="s">
        <v>18</v>
      </c>
      <c r="K2285" s="1">
        <v>83000.0</v>
      </c>
      <c r="L2285" s="1">
        <v>56.9019124</v>
      </c>
      <c r="M2285" s="1">
        <v>24.1024598</v>
      </c>
    </row>
    <row r="2286">
      <c r="A2286" s="1" t="s">
        <v>22</v>
      </c>
      <c r="B2286" s="1" t="s">
        <v>96</v>
      </c>
      <c r="C2286" s="1" t="s">
        <v>802</v>
      </c>
      <c r="D2286" s="1">
        <v>3.0</v>
      </c>
      <c r="E2286" s="1">
        <v>56.0</v>
      </c>
      <c r="F2286" s="1">
        <v>2.0</v>
      </c>
      <c r="G2286" s="1">
        <v>5.0</v>
      </c>
      <c r="H2286" s="1" t="s">
        <v>16</v>
      </c>
      <c r="I2286" s="1" t="s">
        <v>21</v>
      </c>
      <c r="J2286" s="1" t="s">
        <v>18</v>
      </c>
      <c r="K2286" s="1">
        <v>37000.0</v>
      </c>
      <c r="L2286" s="1">
        <v>57.0316748</v>
      </c>
      <c r="M2286" s="1">
        <v>24.1063938</v>
      </c>
    </row>
    <row r="2287">
      <c r="A2287" s="1" t="s">
        <v>22</v>
      </c>
      <c r="B2287" s="1" t="s">
        <v>151</v>
      </c>
      <c r="C2287" s="1" t="s">
        <v>1600</v>
      </c>
      <c r="D2287" s="1">
        <v>2.0</v>
      </c>
      <c r="E2287" s="1">
        <v>52.0</v>
      </c>
      <c r="F2287" s="1">
        <v>5.0</v>
      </c>
      <c r="G2287" s="1">
        <v>5.0</v>
      </c>
      <c r="H2287" s="1" t="s">
        <v>16</v>
      </c>
      <c r="I2287" s="1" t="s">
        <v>21</v>
      </c>
      <c r="J2287" s="1" t="s">
        <v>18</v>
      </c>
      <c r="K2287" s="1">
        <v>49980.0</v>
      </c>
      <c r="L2287" s="1">
        <v>56.96270215</v>
      </c>
      <c r="M2287" s="1">
        <v>24.0470370750532</v>
      </c>
    </row>
    <row r="2288">
      <c r="A2288" s="1" t="s">
        <v>13</v>
      </c>
      <c r="B2288" s="1" t="s">
        <v>23</v>
      </c>
      <c r="C2288" s="1" t="s">
        <v>1601</v>
      </c>
      <c r="D2288" s="1">
        <v>1.0</v>
      </c>
      <c r="E2288" s="1">
        <v>25.0</v>
      </c>
      <c r="F2288" s="1">
        <v>3.0</v>
      </c>
      <c r="G2288" s="1">
        <v>3.0</v>
      </c>
      <c r="H2288" s="1" t="s">
        <v>25</v>
      </c>
      <c r="I2288" s="1" t="s">
        <v>33</v>
      </c>
      <c r="J2288" s="1" t="s">
        <v>18</v>
      </c>
      <c r="K2288" s="1">
        <v>23.0</v>
      </c>
      <c r="L2288" s="1">
        <v>56.9520789</v>
      </c>
      <c r="M2288" s="1">
        <v>24.1379656</v>
      </c>
    </row>
    <row r="2289">
      <c r="A2289" s="1" t="s">
        <v>131</v>
      </c>
      <c r="B2289" s="1" t="s">
        <v>23</v>
      </c>
      <c r="C2289" s="2"/>
      <c r="D2289" s="1">
        <v>1.0</v>
      </c>
      <c r="E2289" s="2"/>
      <c r="F2289" s="1">
        <v>2.0</v>
      </c>
      <c r="G2289" s="2"/>
      <c r="H2289" s="2"/>
      <c r="I2289" s="2"/>
      <c r="J2289" s="1" t="s">
        <v>18</v>
      </c>
      <c r="K2289" s="1">
        <v>400.0</v>
      </c>
      <c r="L2289" s="1">
        <v>46.3144754</v>
      </c>
      <c r="M2289" s="1">
        <v>11.0480288</v>
      </c>
    </row>
    <row r="2290">
      <c r="A2290" s="1" t="s">
        <v>13</v>
      </c>
      <c r="B2290" s="1" t="s">
        <v>106</v>
      </c>
      <c r="C2290" s="1" t="s">
        <v>1602</v>
      </c>
      <c r="D2290" s="1">
        <v>2.0</v>
      </c>
      <c r="E2290" s="1">
        <v>53.0</v>
      </c>
      <c r="F2290" s="1">
        <v>2.0</v>
      </c>
      <c r="G2290" s="1">
        <v>2.0</v>
      </c>
      <c r="H2290" s="1" t="s">
        <v>171</v>
      </c>
      <c r="I2290" s="1" t="s">
        <v>26</v>
      </c>
      <c r="J2290" s="1" t="s">
        <v>18</v>
      </c>
      <c r="K2290" s="1">
        <v>220.0</v>
      </c>
      <c r="L2290" s="1">
        <v>56.9453372</v>
      </c>
      <c r="M2290" s="1">
        <v>24.0731765</v>
      </c>
    </row>
    <row r="2291">
      <c r="A2291" s="1" t="s">
        <v>13</v>
      </c>
      <c r="B2291" s="1" t="s">
        <v>23</v>
      </c>
      <c r="C2291" s="1" t="s">
        <v>1603</v>
      </c>
      <c r="D2291" s="1">
        <v>1.0</v>
      </c>
      <c r="E2291" s="1">
        <v>16.0</v>
      </c>
      <c r="F2291" s="1">
        <v>1.0</v>
      </c>
      <c r="G2291" s="1">
        <v>4.0</v>
      </c>
      <c r="H2291" s="1" t="s">
        <v>66</v>
      </c>
      <c r="I2291" s="1" t="s">
        <v>37</v>
      </c>
      <c r="J2291" s="1" t="s">
        <v>18</v>
      </c>
      <c r="K2291" s="1">
        <v>150.0</v>
      </c>
      <c r="L2291" s="1">
        <v>56.9502926</v>
      </c>
      <c r="M2291" s="1">
        <v>24.143564917498</v>
      </c>
    </row>
    <row r="2292">
      <c r="A2292" s="1" t="s">
        <v>13</v>
      </c>
      <c r="B2292" s="1" t="s">
        <v>422</v>
      </c>
      <c r="C2292" s="1" t="s">
        <v>1604</v>
      </c>
      <c r="D2292" s="1">
        <v>1.0</v>
      </c>
      <c r="E2292" s="1">
        <v>10.0</v>
      </c>
      <c r="F2292" s="1">
        <v>5.0</v>
      </c>
      <c r="G2292" s="1">
        <v>5.0</v>
      </c>
      <c r="H2292" s="1">
        <v>103.0</v>
      </c>
      <c r="I2292" s="1" t="s">
        <v>17</v>
      </c>
      <c r="J2292" s="1" t="s">
        <v>18</v>
      </c>
      <c r="K2292" s="1">
        <v>130.0</v>
      </c>
      <c r="L2292" s="1">
        <v>56.9359249</v>
      </c>
      <c r="M2292" s="1">
        <v>24.0420920504638</v>
      </c>
    </row>
    <row r="2293">
      <c r="A2293" s="1" t="s">
        <v>13</v>
      </c>
      <c r="B2293" s="1" t="s">
        <v>104</v>
      </c>
      <c r="C2293" s="1" t="s">
        <v>499</v>
      </c>
      <c r="D2293" s="1">
        <v>1.0</v>
      </c>
      <c r="E2293" s="1">
        <v>23.0</v>
      </c>
      <c r="F2293" s="1">
        <v>1.0</v>
      </c>
      <c r="G2293" s="1">
        <v>1.0</v>
      </c>
      <c r="H2293" s="1" t="s">
        <v>171</v>
      </c>
      <c r="I2293" s="1" t="s">
        <v>26</v>
      </c>
      <c r="J2293" s="1" t="s">
        <v>18</v>
      </c>
      <c r="K2293" s="1">
        <v>260.0</v>
      </c>
      <c r="L2293" s="1">
        <v>56.9366902</v>
      </c>
      <c r="M2293" s="1">
        <v>24.0713339889391</v>
      </c>
    </row>
    <row r="2294">
      <c r="A2294" s="1" t="s">
        <v>13</v>
      </c>
      <c r="B2294" s="1" t="s">
        <v>23</v>
      </c>
      <c r="C2294" s="1" t="s">
        <v>539</v>
      </c>
      <c r="D2294" s="1">
        <v>3.0</v>
      </c>
      <c r="E2294" s="1">
        <v>68.0</v>
      </c>
      <c r="F2294" s="1">
        <v>2.0</v>
      </c>
      <c r="G2294" s="1">
        <v>6.0</v>
      </c>
      <c r="H2294" s="1" t="s">
        <v>66</v>
      </c>
      <c r="I2294" s="1" t="s">
        <v>33</v>
      </c>
      <c r="J2294" s="1" t="s">
        <v>18</v>
      </c>
      <c r="K2294" s="1">
        <v>480.0</v>
      </c>
      <c r="L2294" s="1">
        <v>56.9626863</v>
      </c>
      <c r="M2294" s="1">
        <v>24.1480584</v>
      </c>
    </row>
    <row r="2295">
      <c r="A2295" s="1" t="s">
        <v>13</v>
      </c>
      <c r="B2295" s="1" t="s">
        <v>129</v>
      </c>
      <c r="C2295" s="1" t="s">
        <v>1605</v>
      </c>
      <c r="D2295" s="1">
        <v>2.0</v>
      </c>
      <c r="E2295" s="1">
        <v>48.0</v>
      </c>
      <c r="F2295" s="1">
        <v>6.0</v>
      </c>
      <c r="G2295" s="1">
        <v>9.0</v>
      </c>
      <c r="H2295" s="1" t="s">
        <v>16</v>
      </c>
      <c r="I2295" s="1" t="s">
        <v>17</v>
      </c>
      <c r="J2295" s="1" t="s">
        <v>18</v>
      </c>
      <c r="K2295" s="1">
        <v>320.0</v>
      </c>
      <c r="L2295" s="1">
        <v>56.9984366</v>
      </c>
      <c r="M2295" s="1">
        <v>24.1328951</v>
      </c>
    </row>
    <row r="2296">
      <c r="A2296" s="1" t="s">
        <v>22</v>
      </c>
      <c r="B2296" s="1" t="s">
        <v>447</v>
      </c>
      <c r="C2296" s="1" t="s">
        <v>1606</v>
      </c>
      <c r="D2296" s="1">
        <v>1.0</v>
      </c>
      <c r="E2296" s="1">
        <v>22.0</v>
      </c>
      <c r="F2296" s="1">
        <v>2.0</v>
      </c>
      <c r="G2296" s="1">
        <v>2.0</v>
      </c>
      <c r="H2296" s="1" t="s">
        <v>25</v>
      </c>
      <c r="I2296" s="1" t="s">
        <v>26</v>
      </c>
      <c r="J2296" s="1" t="s">
        <v>18</v>
      </c>
      <c r="K2296" s="1">
        <v>17750.0</v>
      </c>
      <c r="L2296" s="1">
        <v>56.92093585</v>
      </c>
      <c r="M2296" s="1">
        <v>24.0826548997359</v>
      </c>
    </row>
    <row r="2297">
      <c r="A2297" s="1" t="s">
        <v>22</v>
      </c>
      <c r="B2297" s="1" t="s">
        <v>151</v>
      </c>
      <c r="C2297" s="1" t="s">
        <v>1607</v>
      </c>
      <c r="D2297" s="1">
        <v>1.0</v>
      </c>
      <c r="E2297" s="1">
        <v>34.0</v>
      </c>
      <c r="F2297" s="1">
        <v>2.0</v>
      </c>
      <c r="G2297" s="1">
        <v>3.0</v>
      </c>
      <c r="H2297" s="1" t="s">
        <v>25</v>
      </c>
      <c r="I2297" s="1" t="s">
        <v>37</v>
      </c>
      <c r="J2297" s="1" t="s">
        <v>27</v>
      </c>
      <c r="K2297" s="1">
        <v>18700.0</v>
      </c>
      <c r="L2297" s="1">
        <v>56.9699271</v>
      </c>
      <c r="M2297" s="1">
        <v>24.045403262188</v>
      </c>
    </row>
    <row r="2298">
      <c r="A2298" s="1" t="s">
        <v>22</v>
      </c>
      <c r="B2298" s="1" t="s">
        <v>14</v>
      </c>
      <c r="C2298" s="1" t="s">
        <v>1608</v>
      </c>
      <c r="D2298" s="1">
        <v>3.0</v>
      </c>
      <c r="E2298" s="1">
        <v>60.0</v>
      </c>
      <c r="F2298" s="1">
        <v>1.0</v>
      </c>
      <c r="G2298" s="1">
        <v>5.0</v>
      </c>
      <c r="H2298" s="1" t="s">
        <v>16</v>
      </c>
      <c r="I2298" s="1" t="s">
        <v>21</v>
      </c>
      <c r="J2298" s="1" t="s">
        <v>18</v>
      </c>
      <c r="K2298" s="1">
        <v>58000.0</v>
      </c>
      <c r="L2298" s="1">
        <v>56.96285935</v>
      </c>
      <c r="M2298" s="1">
        <v>24.1895130756778</v>
      </c>
    </row>
    <row r="2299">
      <c r="A2299" s="1" t="s">
        <v>13</v>
      </c>
      <c r="B2299" s="1" t="s">
        <v>23</v>
      </c>
      <c r="C2299" s="1" t="s">
        <v>537</v>
      </c>
      <c r="D2299" s="1">
        <v>2.0</v>
      </c>
      <c r="E2299" s="1">
        <v>60.0</v>
      </c>
      <c r="F2299" s="1">
        <v>2.0</v>
      </c>
      <c r="G2299" s="1">
        <v>6.0</v>
      </c>
      <c r="H2299" s="1" t="s">
        <v>66</v>
      </c>
      <c r="I2299" s="1" t="s">
        <v>122</v>
      </c>
      <c r="J2299" s="1" t="s">
        <v>18</v>
      </c>
      <c r="K2299" s="1">
        <v>60.0</v>
      </c>
      <c r="L2299" s="1">
        <v>56.9579333</v>
      </c>
      <c r="M2299" s="1">
        <v>24.113967</v>
      </c>
    </row>
    <row r="2300">
      <c r="A2300" s="1" t="s">
        <v>22</v>
      </c>
      <c r="B2300" s="1" t="s">
        <v>52</v>
      </c>
      <c r="C2300" s="1" t="s">
        <v>1609</v>
      </c>
      <c r="D2300" s="1">
        <v>4.0</v>
      </c>
      <c r="E2300" s="1">
        <v>90.0</v>
      </c>
      <c r="F2300" s="1">
        <v>2.0</v>
      </c>
      <c r="G2300" s="1">
        <v>9.0</v>
      </c>
      <c r="H2300" s="1">
        <v>119.0</v>
      </c>
      <c r="I2300" s="1" t="s">
        <v>21</v>
      </c>
      <c r="J2300" s="1" t="s">
        <v>18</v>
      </c>
      <c r="K2300" s="1">
        <v>105000.0</v>
      </c>
      <c r="L2300" s="1">
        <v>56.94716445</v>
      </c>
      <c r="M2300" s="1">
        <v>24.0144371864952</v>
      </c>
    </row>
    <row r="2301">
      <c r="A2301" s="1" t="s">
        <v>22</v>
      </c>
      <c r="B2301" s="1" t="s">
        <v>52</v>
      </c>
      <c r="C2301" s="1" t="s">
        <v>1609</v>
      </c>
      <c r="D2301" s="1">
        <v>4.0</v>
      </c>
      <c r="E2301" s="1">
        <v>89.0</v>
      </c>
      <c r="F2301" s="1">
        <v>2.0</v>
      </c>
      <c r="G2301" s="1">
        <v>9.0</v>
      </c>
      <c r="H2301" s="1">
        <v>119.0</v>
      </c>
      <c r="I2301" s="1" t="s">
        <v>21</v>
      </c>
      <c r="J2301" s="1" t="s">
        <v>18</v>
      </c>
      <c r="K2301" s="1">
        <v>92000.0</v>
      </c>
      <c r="L2301" s="1">
        <v>56.94716445</v>
      </c>
      <c r="M2301" s="1">
        <v>24.0144371864952</v>
      </c>
    </row>
    <row r="2302">
      <c r="A2302" s="1" t="s">
        <v>22</v>
      </c>
      <c r="B2302" s="1" t="s">
        <v>151</v>
      </c>
      <c r="C2302" s="1" t="s">
        <v>301</v>
      </c>
      <c r="D2302" s="1">
        <v>3.0</v>
      </c>
      <c r="E2302" s="1">
        <v>84.0</v>
      </c>
      <c r="F2302" s="1">
        <v>2.0</v>
      </c>
      <c r="G2302" s="1">
        <v>4.0</v>
      </c>
      <c r="H2302" s="1" t="s">
        <v>32</v>
      </c>
      <c r="I2302" s="1" t="s">
        <v>17</v>
      </c>
      <c r="J2302" s="1" t="s">
        <v>18</v>
      </c>
      <c r="K2302" s="1">
        <v>150000.0</v>
      </c>
      <c r="L2302" s="1">
        <v>56.9650403499999</v>
      </c>
      <c r="M2302" s="1">
        <v>24.0617817917367</v>
      </c>
    </row>
    <row r="2303">
      <c r="A2303" s="1" t="s">
        <v>22</v>
      </c>
      <c r="B2303" s="1" t="s">
        <v>23</v>
      </c>
      <c r="C2303" s="1" t="s">
        <v>1610</v>
      </c>
      <c r="D2303" s="1">
        <v>3.0</v>
      </c>
      <c r="E2303" s="1">
        <v>46.0</v>
      </c>
      <c r="F2303" s="1">
        <v>1.0</v>
      </c>
      <c r="G2303" s="1">
        <v>5.0</v>
      </c>
      <c r="H2303" s="1" t="s">
        <v>25</v>
      </c>
      <c r="I2303" s="1" t="s">
        <v>37</v>
      </c>
      <c r="J2303" s="1" t="s">
        <v>18</v>
      </c>
      <c r="K2303" s="1">
        <v>60000.0</v>
      </c>
      <c r="L2303" s="1">
        <v>56.9668351</v>
      </c>
      <c r="M2303" s="1">
        <v>24.1297547779811</v>
      </c>
    </row>
    <row r="2304">
      <c r="A2304" s="1" t="s">
        <v>22</v>
      </c>
      <c r="B2304" s="1" t="s">
        <v>172</v>
      </c>
      <c r="C2304" s="1" t="s">
        <v>1611</v>
      </c>
      <c r="D2304" s="1">
        <v>1.0</v>
      </c>
      <c r="E2304" s="1">
        <v>27.0</v>
      </c>
      <c r="F2304" s="1">
        <v>3.0</v>
      </c>
      <c r="G2304" s="1">
        <v>5.0</v>
      </c>
      <c r="H2304" s="1" t="s">
        <v>36</v>
      </c>
      <c r="I2304" s="1" t="s">
        <v>37</v>
      </c>
      <c r="J2304" s="1" t="s">
        <v>18</v>
      </c>
      <c r="K2304" s="1">
        <v>24900.0</v>
      </c>
      <c r="L2304" s="1">
        <v>56.90657655</v>
      </c>
      <c r="M2304" s="1">
        <v>24.2203518742668</v>
      </c>
    </row>
    <row r="2305">
      <c r="A2305" s="1" t="s">
        <v>131</v>
      </c>
      <c r="B2305" s="1" t="s">
        <v>23</v>
      </c>
      <c r="C2305" s="2"/>
      <c r="D2305" s="1">
        <v>2.0</v>
      </c>
      <c r="E2305" s="2"/>
      <c r="F2305" s="2"/>
      <c r="G2305" s="2"/>
      <c r="H2305" s="2"/>
      <c r="I2305" s="2"/>
      <c r="J2305" s="2"/>
      <c r="K2305" s="2"/>
      <c r="L2305" s="1">
        <v>46.3144754</v>
      </c>
      <c r="M2305" s="1">
        <v>11.0480288</v>
      </c>
    </row>
    <row r="2306">
      <c r="A2306" s="1" t="s">
        <v>22</v>
      </c>
      <c r="B2306" s="1" t="s">
        <v>19</v>
      </c>
      <c r="C2306" s="1" t="s">
        <v>182</v>
      </c>
      <c r="D2306" s="1">
        <v>1.0</v>
      </c>
      <c r="E2306" s="1">
        <v>32.0</v>
      </c>
      <c r="F2306" s="1">
        <v>6.0</v>
      </c>
      <c r="G2306" s="1">
        <v>9.0</v>
      </c>
      <c r="H2306" s="1">
        <v>602.0</v>
      </c>
      <c r="I2306" s="1" t="s">
        <v>21</v>
      </c>
      <c r="J2306" s="1" t="s">
        <v>18</v>
      </c>
      <c r="K2306" s="1">
        <v>38500.0</v>
      </c>
      <c r="L2306" s="1">
        <v>56.9094064</v>
      </c>
      <c r="M2306" s="1">
        <v>24.0954157</v>
      </c>
    </row>
    <row r="2307">
      <c r="A2307" s="1" t="s">
        <v>22</v>
      </c>
      <c r="B2307" s="1" t="s">
        <v>42</v>
      </c>
      <c r="C2307" s="1" t="s">
        <v>1612</v>
      </c>
      <c r="D2307" s="1">
        <v>2.0</v>
      </c>
      <c r="E2307" s="1">
        <v>46.0</v>
      </c>
      <c r="F2307" s="1">
        <v>3.0</v>
      </c>
      <c r="G2307" s="1">
        <v>5.0</v>
      </c>
      <c r="H2307" s="1" t="s">
        <v>44</v>
      </c>
      <c r="I2307" s="1" t="s">
        <v>21</v>
      </c>
      <c r="J2307" s="1" t="s">
        <v>18</v>
      </c>
      <c r="K2307" s="1">
        <v>38000.0</v>
      </c>
      <c r="L2307" s="1">
        <v>56.9826432</v>
      </c>
      <c r="M2307" s="1">
        <v>24.245178092083</v>
      </c>
    </row>
    <row r="2308">
      <c r="A2308" s="1" t="s">
        <v>89</v>
      </c>
      <c r="B2308" s="2"/>
      <c r="C2308" s="2"/>
      <c r="D2308" s="1" t="s">
        <v>90</v>
      </c>
      <c r="E2308" s="2"/>
      <c r="F2308" s="2"/>
      <c r="G2308" s="2"/>
      <c r="H2308" s="2"/>
      <c r="I2308" s="2"/>
      <c r="J2308" s="2"/>
      <c r="K2308" s="2"/>
      <c r="L2308" s="1">
        <v>46.3144754</v>
      </c>
      <c r="M2308" s="1">
        <v>11.0480288</v>
      </c>
    </row>
    <row r="2309">
      <c r="A2309" s="1" t="s">
        <v>13</v>
      </c>
      <c r="B2309" s="1" t="s">
        <v>52</v>
      </c>
      <c r="C2309" s="1" t="s">
        <v>1613</v>
      </c>
      <c r="D2309" s="1">
        <v>2.0</v>
      </c>
      <c r="E2309" s="1">
        <v>58.0</v>
      </c>
      <c r="F2309" s="1">
        <v>9.0</v>
      </c>
      <c r="G2309" s="1">
        <v>10.0</v>
      </c>
      <c r="H2309" s="1">
        <v>119.0</v>
      </c>
      <c r="I2309" s="1" t="s">
        <v>21</v>
      </c>
      <c r="J2309" s="1" t="s">
        <v>18</v>
      </c>
      <c r="K2309" s="1">
        <v>330.0</v>
      </c>
      <c r="L2309" s="1">
        <v>56.9446832999999</v>
      </c>
      <c r="M2309" s="1">
        <v>24.0203874444514</v>
      </c>
    </row>
    <row r="2310">
      <c r="A2310" s="1" t="s">
        <v>22</v>
      </c>
      <c r="B2310" s="1" t="s">
        <v>45</v>
      </c>
      <c r="C2310" s="1" t="s">
        <v>46</v>
      </c>
      <c r="D2310" s="1">
        <v>2.0</v>
      </c>
      <c r="E2310" s="1">
        <v>44.0</v>
      </c>
      <c r="F2310" s="1">
        <v>1.0</v>
      </c>
      <c r="G2310" s="1">
        <v>5.0</v>
      </c>
      <c r="H2310" s="1" t="s">
        <v>16</v>
      </c>
      <c r="I2310" s="1" t="s">
        <v>21</v>
      </c>
      <c r="J2310" s="1" t="s">
        <v>18</v>
      </c>
      <c r="K2310" s="1">
        <v>36500.0</v>
      </c>
      <c r="L2310" s="1">
        <v>57.0188111</v>
      </c>
      <c r="M2310" s="1">
        <v>24.13501185</v>
      </c>
    </row>
    <row r="2311">
      <c r="A2311" s="1" t="s">
        <v>13</v>
      </c>
      <c r="B2311" s="1" t="s">
        <v>74</v>
      </c>
      <c r="C2311" s="1" t="s">
        <v>1614</v>
      </c>
      <c r="D2311" s="1">
        <v>3.0</v>
      </c>
      <c r="E2311" s="1">
        <v>63.0</v>
      </c>
      <c r="F2311" s="1">
        <v>9.0</v>
      </c>
      <c r="G2311" s="1">
        <v>9.0</v>
      </c>
      <c r="H2311" s="1">
        <v>602.0</v>
      </c>
      <c r="I2311" s="1" t="s">
        <v>21</v>
      </c>
      <c r="J2311" s="1" t="s">
        <v>18</v>
      </c>
      <c r="K2311" s="1">
        <v>350.0</v>
      </c>
      <c r="L2311" s="1">
        <v>56.9399951</v>
      </c>
      <c r="M2311" s="1">
        <v>24.2115171849586</v>
      </c>
    </row>
    <row r="2312">
      <c r="A2312" s="1" t="s">
        <v>13</v>
      </c>
      <c r="B2312" s="1" t="s">
        <v>14</v>
      </c>
      <c r="C2312" s="1" t="s">
        <v>1615</v>
      </c>
      <c r="D2312" s="1">
        <v>2.0</v>
      </c>
      <c r="E2312" s="1">
        <v>40.0</v>
      </c>
      <c r="F2312" s="1">
        <v>1.0</v>
      </c>
      <c r="G2312" s="1">
        <v>5.0</v>
      </c>
      <c r="H2312" s="1" t="s">
        <v>16</v>
      </c>
      <c r="I2312" s="1" t="s">
        <v>122</v>
      </c>
      <c r="J2312" s="1" t="s">
        <v>18</v>
      </c>
      <c r="K2312" s="1">
        <v>300.0</v>
      </c>
      <c r="L2312" s="1">
        <v>56.9570069</v>
      </c>
      <c r="M2312" s="1">
        <v>24.1987368</v>
      </c>
    </row>
    <row r="2313">
      <c r="A2313" s="1" t="s">
        <v>22</v>
      </c>
      <c r="B2313" s="1" t="s">
        <v>23</v>
      </c>
      <c r="C2313" s="1" t="s">
        <v>491</v>
      </c>
      <c r="D2313" s="1">
        <v>3.0</v>
      </c>
      <c r="E2313" s="1">
        <v>89.0</v>
      </c>
      <c r="F2313" s="1">
        <v>6.0</v>
      </c>
      <c r="G2313" s="1">
        <v>7.0</v>
      </c>
      <c r="H2313" s="1" t="s">
        <v>66</v>
      </c>
      <c r="I2313" s="1" t="s">
        <v>37</v>
      </c>
      <c r="J2313" s="1" t="s">
        <v>18</v>
      </c>
      <c r="K2313" s="1">
        <v>169000.0</v>
      </c>
      <c r="L2313" s="1">
        <v>56.9505796</v>
      </c>
      <c r="M2313" s="1">
        <v>24.1255938</v>
      </c>
    </row>
    <row r="2314">
      <c r="A2314" s="1" t="s">
        <v>13</v>
      </c>
      <c r="B2314" s="1" t="s">
        <v>23</v>
      </c>
      <c r="C2314" s="1" t="s">
        <v>1616</v>
      </c>
      <c r="D2314" s="1">
        <v>1.0</v>
      </c>
      <c r="E2314" s="1">
        <v>20.0</v>
      </c>
      <c r="F2314" s="1">
        <v>4.0</v>
      </c>
      <c r="G2314" s="1">
        <v>5.0</v>
      </c>
      <c r="H2314" s="1" t="s">
        <v>66</v>
      </c>
      <c r="I2314" s="1" t="s">
        <v>33</v>
      </c>
      <c r="J2314" s="1" t="s">
        <v>18</v>
      </c>
      <c r="K2314" s="1">
        <v>330.0</v>
      </c>
      <c r="L2314" s="1">
        <v>56.9695576</v>
      </c>
      <c r="M2314" s="1">
        <v>24.0993637</v>
      </c>
    </row>
    <row r="2315">
      <c r="A2315" s="1" t="s">
        <v>22</v>
      </c>
      <c r="B2315" s="1" t="s">
        <v>45</v>
      </c>
      <c r="C2315" s="1" t="s">
        <v>1617</v>
      </c>
      <c r="D2315" s="1">
        <v>1.0</v>
      </c>
      <c r="E2315" s="1">
        <v>23.0</v>
      </c>
      <c r="F2315" s="1">
        <v>2.0</v>
      </c>
      <c r="G2315" s="1">
        <v>2.0</v>
      </c>
      <c r="H2315" s="1" t="s">
        <v>25</v>
      </c>
      <c r="I2315" s="1" t="s">
        <v>26</v>
      </c>
      <c r="J2315" s="1" t="s">
        <v>18</v>
      </c>
      <c r="K2315" s="1">
        <v>13700.0</v>
      </c>
      <c r="L2315" s="1">
        <v>57.0200065</v>
      </c>
      <c r="M2315" s="1">
        <v>24.1270705644171</v>
      </c>
    </row>
    <row r="2316">
      <c r="A2316" s="1" t="s">
        <v>22</v>
      </c>
      <c r="B2316" s="1" t="s">
        <v>174</v>
      </c>
      <c r="C2316" s="1" t="s">
        <v>681</v>
      </c>
      <c r="D2316" s="1">
        <v>2.0</v>
      </c>
      <c r="E2316" s="1">
        <v>46.0</v>
      </c>
      <c r="F2316" s="1">
        <v>3.0</v>
      </c>
      <c r="G2316" s="1">
        <v>5.0</v>
      </c>
      <c r="H2316" s="1">
        <v>103.0</v>
      </c>
      <c r="I2316" s="1" t="s">
        <v>17</v>
      </c>
      <c r="J2316" s="1" t="s">
        <v>18</v>
      </c>
      <c r="K2316" s="1">
        <v>45700.0</v>
      </c>
      <c r="L2316" s="1">
        <v>56.9482182</v>
      </c>
      <c r="M2316" s="1">
        <v>24.1684585966139</v>
      </c>
    </row>
    <row r="2317">
      <c r="A2317" s="1" t="s">
        <v>22</v>
      </c>
      <c r="B2317" s="1" t="s">
        <v>151</v>
      </c>
      <c r="C2317" s="1" t="s">
        <v>1618</v>
      </c>
      <c r="D2317" s="1">
        <v>2.0</v>
      </c>
      <c r="E2317" s="1">
        <v>43.0</v>
      </c>
      <c r="F2317" s="1">
        <v>1.0</v>
      </c>
      <c r="G2317" s="1">
        <v>2.0</v>
      </c>
      <c r="H2317" s="1" t="s">
        <v>181</v>
      </c>
      <c r="I2317" s="1" t="s">
        <v>33</v>
      </c>
      <c r="J2317" s="1" t="s">
        <v>18</v>
      </c>
      <c r="K2317" s="1">
        <v>44200.0</v>
      </c>
      <c r="L2317" s="1">
        <v>56.97098035</v>
      </c>
      <c r="M2317" s="1">
        <v>24.0600793116165</v>
      </c>
    </row>
    <row r="2318">
      <c r="A2318" s="1" t="s">
        <v>89</v>
      </c>
      <c r="B2318" s="1" t="s">
        <v>94</v>
      </c>
      <c r="C2318" s="2"/>
      <c r="D2318" s="1" t="s">
        <v>90</v>
      </c>
      <c r="E2318" s="2"/>
      <c r="F2318" s="2"/>
      <c r="G2318" s="2"/>
      <c r="H2318" s="2"/>
      <c r="I2318" s="2"/>
      <c r="J2318" s="2"/>
      <c r="K2318" s="2"/>
      <c r="L2318" s="1">
        <v>46.3144754</v>
      </c>
      <c r="M2318" s="1">
        <v>11.0480288</v>
      </c>
    </row>
    <row r="2319">
      <c r="A2319" s="1" t="s">
        <v>13</v>
      </c>
      <c r="B2319" s="1" t="s">
        <v>23</v>
      </c>
      <c r="C2319" s="1" t="s">
        <v>282</v>
      </c>
      <c r="D2319" s="1">
        <v>1.0</v>
      </c>
      <c r="E2319" s="1">
        <v>20.0</v>
      </c>
      <c r="F2319" s="1">
        <v>2.0</v>
      </c>
      <c r="G2319" s="1">
        <v>6.0</v>
      </c>
      <c r="H2319" s="1" t="s">
        <v>66</v>
      </c>
      <c r="I2319" s="1" t="s">
        <v>33</v>
      </c>
      <c r="J2319" s="1" t="s">
        <v>18</v>
      </c>
      <c r="K2319" s="1">
        <v>25.0</v>
      </c>
      <c r="L2319" s="1">
        <v>56.9607411</v>
      </c>
      <c r="M2319" s="1">
        <v>24.1497716</v>
      </c>
    </row>
    <row r="2320">
      <c r="A2320" s="1" t="s">
        <v>13</v>
      </c>
      <c r="B2320" s="1" t="s">
        <v>19</v>
      </c>
      <c r="C2320" s="1" t="s">
        <v>1619</v>
      </c>
      <c r="D2320" s="1">
        <v>1.0</v>
      </c>
      <c r="E2320" s="1">
        <v>40.0</v>
      </c>
      <c r="F2320" s="1">
        <v>1.0</v>
      </c>
      <c r="G2320" s="1">
        <v>7.0</v>
      </c>
      <c r="H2320" s="1">
        <v>119.0</v>
      </c>
      <c r="I2320" s="1" t="s">
        <v>21</v>
      </c>
      <c r="J2320" s="1" t="s">
        <v>18</v>
      </c>
      <c r="K2320" s="1">
        <v>250.0</v>
      </c>
      <c r="L2320" s="1">
        <v>56.9008065999999</v>
      </c>
      <c r="M2320" s="1">
        <v>24.0862561999999</v>
      </c>
    </row>
    <row r="2321">
      <c r="A2321" s="1" t="s">
        <v>13</v>
      </c>
      <c r="B2321" s="1" t="s">
        <v>23</v>
      </c>
      <c r="C2321" s="1" t="s">
        <v>1593</v>
      </c>
      <c r="D2321" s="1">
        <v>3.0</v>
      </c>
      <c r="E2321" s="1">
        <v>75.0</v>
      </c>
      <c r="F2321" s="1">
        <v>4.0</v>
      </c>
      <c r="G2321" s="1">
        <v>5.0</v>
      </c>
      <c r="H2321" s="1" t="s">
        <v>66</v>
      </c>
      <c r="I2321" s="1" t="s">
        <v>33</v>
      </c>
      <c r="J2321" s="1" t="s">
        <v>18</v>
      </c>
      <c r="K2321" s="1">
        <v>55.0</v>
      </c>
      <c r="L2321" s="1" t="s">
        <v>40</v>
      </c>
      <c r="M2321" s="1" t="s">
        <v>40</v>
      </c>
    </row>
    <row r="2322">
      <c r="A2322" s="1" t="s">
        <v>13</v>
      </c>
      <c r="B2322" s="1" t="s">
        <v>30</v>
      </c>
      <c r="C2322" s="1" t="s">
        <v>607</v>
      </c>
      <c r="D2322" s="1">
        <v>3.0</v>
      </c>
      <c r="E2322" s="1">
        <v>47.0</v>
      </c>
      <c r="F2322" s="1">
        <v>3.0</v>
      </c>
      <c r="G2322" s="1">
        <v>3.0</v>
      </c>
      <c r="H2322" s="1" t="s">
        <v>32</v>
      </c>
      <c r="I2322" s="1" t="s">
        <v>33</v>
      </c>
      <c r="J2322" s="1" t="s">
        <v>18</v>
      </c>
      <c r="K2322" s="1">
        <v>540.0</v>
      </c>
      <c r="L2322" s="1">
        <v>56.9690716</v>
      </c>
      <c r="M2322" s="1">
        <v>24.1716498860135</v>
      </c>
    </row>
    <row r="2323">
      <c r="A2323" s="1" t="s">
        <v>22</v>
      </c>
      <c r="B2323" s="1" t="s">
        <v>129</v>
      </c>
      <c r="C2323" s="1" t="s">
        <v>712</v>
      </c>
      <c r="D2323" s="1">
        <v>1.0</v>
      </c>
      <c r="E2323" s="1">
        <v>38.0</v>
      </c>
      <c r="F2323" s="1">
        <v>5.0</v>
      </c>
      <c r="G2323" s="1">
        <v>5.0</v>
      </c>
      <c r="H2323" s="1" t="s">
        <v>36</v>
      </c>
      <c r="I2323" s="1" t="s">
        <v>37</v>
      </c>
      <c r="J2323" s="1" t="s">
        <v>18</v>
      </c>
      <c r="K2323" s="1">
        <v>28880.0</v>
      </c>
      <c r="L2323" s="1">
        <v>56.9866895</v>
      </c>
      <c r="M2323" s="1">
        <v>24.1363664300068</v>
      </c>
    </row>
    <row r="2324">
      <c r="A2324" s="1" t="s">
        <v>22</v>
      </c>
      <c r="B2324" s="1" t="s">
        <v>48</v>
      </c>
      <c r="C2324" s="1" t="s">
        <v>1620</v>
      </c>
      <c r="D2324" s="1">
        <v>2.0</v>
      </c>
      <c r="E2324" s="1">
        <v>49.0</v>
      </c>
      <c r="F2324" s="1">
        <v>5.0</v>
      </c>
      <c r="G2324" s="1">
        <v>5.0</v>
      </c>
      <c r="H2324" s="1" t="s">
        <v>16</v>
      </c>
      <c r="I2324" s="1" t="s">
        <v>21</v>
      </c>
      <c r="J2324" s="1" t="s">
        <v>18</v>
      </c>
      <c r="K2324" s="1">
        <v>44500.0</v>
      </c>
      <c r="L2324" s="1">
        <v>56.97034375</v>
      </c>
      <c r="M2324" s="1">
        <v>24.2314833849367</v>
      </c>
    </row>
    <row r="2325">
      <c r="A2325" s="1" t="s">
        <v>131</v>
      </c>
      <c r="B2325" s="1" t="s">
        <v>109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1">
        <v>46.3144754</v>
      </c>
      <c r="M2325" s="1">
        <v>11.0480288</v>
      </c>
    </row>
    <row r="2326">
      <c r="A2326" s="1" t="s">
        <v>131</v>
      </c>
      <c r="B2326" s="1" t="s">
        <v>76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1">
        <v>46.3144754</v>
      </c>
      <c r="M2326" s="1">
        <v>11.0480288</v>
      </c>
    </row>
    <row r="2327">
      <c r="A2327" s="1" t="s">
        <v>22</v>
      </c>
      <c r="B2327" s="1" t="s">
        <v>28</v>
      </c>
      <c r="C2327" s="1" t="s">
        <v>1621</v>
      </c>
      <c r="D2327" s="1">
        <v>3.0</v>
      </c>
      <c r="E2327" s="1">
        <v>61.0</v>
      </c>
      <c r="F2327" s="1">
        <v>3.0</v>
      </c>
      <c r="G2327" s="1">
        <v>5.0</v>
      </c>
      <c r="H2327" s="1" t="s">
        <v>16</v>
      </c>
      <c r="I2327" s="1" t="s">
        <v>21</v>
      </c>
      <c r="J2327" s="1" t="s">
        <v>18</v>
      </c>
      <c r="K2327" s="1">
        <v>46900.0</v>
      </c>
      <c r="L2327" s="1">
        <v>56.8597884</v>
      </c>
      <c r="M2327" s="1">
        <v>24.3083417</v>
      </c>
    </row>
    <row r="2328">
      <c r="A2328" s="1" t="s">
        <v>22</v>
      </c>
      <c r="B2328" s="1" t="s">
        <v>14</v>
      </c>
      <c r="C2328" s="1" t="s">
        <v>62</v>
      </c>
      <c r="D2328" s="1">
        <v>2.0</v>
      </c>
      <c r="E2328" s="1">
        <v>44.0</v>
      </c>
      <c r="F2328" s="1">
        <v>4.0</v>
      </c>
      <c r="G2328" s="1">
        <v>5.0</v>
      </c>
      <c r="H2328" s="1" t="s">
        <v>44</v>
      </c>
      <c r="I2328" s="1" t="s">
        <v>37</v>
      </c>
      <c r="J2328" s="1" t="s">
        <v>18</v>
      </c>
      <c r="K2328" s="1">
        <v>39000.0</v>
      </c>
      <c r="L2328" s="1">
        <v>56.9636785</v>
      </c>
      <c r="M2328" s="1">
        <v>24.1706167383245</v>
      </c>
    </row>
    <row r="2329">
      <c r="A2329" s="1" t="s">
        <v>13</v>
      </c>
      <c r="B2329" s="1" t="s">
        <v>447</v>
      </c>
      <c r="C2329" s="1" t="s">
        <v>1622</v>
      </c>
      <c r="D2329" s="1">
        <v>1.0</v>
      </c>
      <c r="E2329" s="1">
        <v>22.0</v>
      </c>
      <c r="F2329" s="1">
        <v>1.0</v>
      </c>
      <c r="G2329" s="1">
        <v>5.0</v>
      </c>
      <c r="H2329" s="1" t="s">
        <v>181</v>
      </c>
      <c r="I2329" s="1" t="s">
        <v>33</v>
      </c>
      <c r="J2329" s="1" t="s">
        <v>18</v>
      </c>
      <c r="K2329" s="1">
        <v>250.0</v>
      </c>
      <c r="L2329" s="1">
        <v>56.9325267</v>
      </c>
      <c r="M2329" s="1">
        <v>24.0934535</v>
      </c>
    </row>
    <row r="2330">
      <c r="A2330" s="1" t="s">
        <v>13</v>
      </c>
      <c r="B2330" s="1" t="s">
        <v>48</v>
      </c>
      <c r="C2330" s="1" t="s">
        <v>1623</v>
      </c>
      <c r="D2330" s="1">
        <v>2.0</v>
      </c>
      <c r="E2330" s="1">
        <v>58.0</v>
      </c>
      <c r="F2330" s="1">
        <v>4.0</v>
      </c>
      <c r="G2330" s="1">
        <v>4.0</v>
      </c>
      <c r="H2330" s="1" t="s">
        <v>32</v>
      </c>
      <c r="I2330" s="1" t="s">
        <v>17</v>
      </c>
      <c r="J2330" s="1" t="s">
        <v>18</v>
      </c>
      <c r="K2330" s="1">
        <v>450.0</v>
      </c>
      <c r="L2330" s="1">
        <v>56.9541725</v>
      </c>
      <c r="M2330" s="1">
        <v>24.2443253</v>
      </c>
    </row>
    <row r="2331">
      <c r="A2331" s="1" t="s">
        <v>22</v>
      </c>
      <c r="B2331" s="1" t="s">
        <v>158</v>
      </c>
      <c r="C2331" s="1" t="s">
        <v>159</v>
      </c>
      <c r="D2331" s="1">
        <v>4.0</v>
      </c>
      <c r="E2331" s="1">
        <v>72.0</v>
      </c>
      <c r="F2331" s="1">
        <v>3.0</v>
      </c>
      <c r="G2331" s="1">
        <v>4.0</v>
      </c>
      <c r="H2331" s="1" t="s">
        <v>44</v>
      </c>
      <c r="I2331" s="1" t="s">
        <v>37</v>
      </c>
      <c r="J2331" s="1" t="s">
        <v>18</v>
      </c>
      <c r="K2331" s="1">
        <v>75000.0</v>
      </c>
      <c r="L2331" s="1">
        <v>56.99786715</v>
      </c>
      <c r="M2331" s="1">
        <v>24.2773415269943</v>
      </c>
    </row>
    <row r="2332">
      <c r="A2332" s="1" t="s">
        <v>89</v>
      </c>
      <c r="B2332" s="1" t="s">
        <v>14</v>
      </c>
      <c r="C2332" s="2"/>
      <c r="D2332" s="2"/>
      <c r="E2332" s="1">
        <v>1.0</v>
      </c>
      <c r="F2332" s="1">
        <v>11.0</v>
      </c>
      <c r="G2332" s="1">
        <v>1.0</v>
      </c>
      <c r="H2332" s="2"/>
      <c r="I2332" s="2"/>
      <c r="J2332" s="2"/>
      <c r="K2332" s="2"/>
      <c r="L2332" s="1">
        <v>46.3144754</v>
      </c>
      <c r="M2332" s="1">
        <v>11.0480288</v>
      </c>
    </row>
    <row r="2333">
      <c r="A2333" s="1" t="s">
        <v>13</v>
      </c>
      <c r="B2333" s="1" t="s">
        <v>218</v>
      </c>
      <c r="C2333" s="1" t="s">
        <v>907</v>
      </c>
      <c r="D2333" s="1">
        <v>5.0</v>
      </c>
      <c r="E2333" s="1">
        <v>130.0</v>
      </c>
      <c r="F2333" s="1">
        <v>4.0</v>
      </c>
      <c r="G2333" s="1">
        <v>5.0</v>
      </c>
      <c r="H2333" s="1" t="s">
        <v>66</v>
      </c>
      <c r="I2333" s="1" t="s">
        <v>33</v>
      </c>
      <c r="J2333" s="1" t="s">
        <v>18</v>
      </c>
      <c r="K2333" s="1">
        <v>990.0</v>
      </c>
      <c r="L2333" s="1">
        <v>56.952698</v>
      </c>
      <c r="M2333" s="1">
        <v>24.1051471</v>
      </c>
    </row>
    <row r="2334">
      <c r="A2334" s="1" t="s">
        <v>22</v>
      </c>
      <c r="B2334" s="1" t="s">
        <v>23</v>
      </c>
      <c r="C2334" s="1" t="s">
        <v>1624</v>
      </c>
      <c r="D2334" s="1">
        <v>3.0</v>
      </c>
      <c r="E2334" s="1">
        <v>67.0</v>
      </c>
      <c r="F2334" s="1">
        <v>2.0</v>
      </c>
      <c r="G2334" s="1">
        <v>5.0</v>
      </c>
      <c r="H2334" s="1" t="s">
        <v>181</v>
      </c>
      <c r="I2334" s="1" t="s">
        <v>37</v>
      </c>
      <c r="J2334" s="1" t="s">
        <v>18</v>
      </c>
      <c r="K2334" s="1">
        <v>113000.0</v>
      </c>
      <c r="L2334" s="1">
        <v>56.9573521</v>
      </c>
      <c r="M2334" s="1">
        <v>24.1102131</v>
      </c>
    </row>
    <row r="2335">
      <c r="A2335" s="1" t="s">
        <v>89</v>
      </c>
      <c r="B2335" s="1" t="s">
        <v>50</v>
      </c>
      <c r="C2335" s="2"/>
      <c r="D2335" s="2"/>
      <c r="E2335" s="2"/>
      <c r="F2335" s="1">
        <v>21.0</v>
      </c>
      <c r="G2335" s="1">
        <v>12.0</v>
      </c>
      <c r="H2335" s="2"/>
      <c r="I2335" s="2"/>
      <c r="J2335" s="2"/>
      <c r="K2335" s="2"/>
      <c r="L2335" s="1">
        <v>46.3144754</v>
      </c>
      <c r="M2335" s="1">
        <v>11.0480288</v>
      </c>
    </row>
    <row r="2336">
      <c r="A2336" s="1" t="s">
        <v>89</v>
      </c>
      <c r="B2336" s="1" t="s">
        <v>42</v>
      </c>
      <c r="C2336" s="2"/>
      <c r="D2336" s="2"/>
      <c r="E2336" s="1">
        <v>3.0</v>
      </c>
      <c r="F2336" s="1">
        <v>33.0</v>
      </c>
      <c r="G2336" s="1">
        <v>3.0</v>
      </c>
      <c r="H2336" s="2"/>
      <c r="I2336" s="2"/>
      <c r="J2336" s="2"/>
      <c r="K2336" s="2"/>
      <c r="L2336" s="1">
        <v>46.3144754</v>
      </c>
      <c r="M2336" s="1">
        <v>11.0480288</v>
      </c>
    </row>
    <row r="2337">
      <c r="A2337" s="1" t="s">
        <v>89</v>
      </c>
      <c r="B2337" s="1" t="s">
        <v>96</v>
      </c>
      <c r="C2337" s="2"/>
      <c r="D2337" s="1">
        <v>1.0</v>
      </c>
      <c r="E2337" s="1">
        <v>99.0</v>
      </c>
      <c r="F2337" s="1">
        <v>99.0</v>
      </c>
      <c r="G2337" s="1">
        <v>9.0</v>
      </c>
      <c r="H2337" s="2"/>
      <c r="I2337" s="2"/>
      <c r="J2337" s="2"/>
      <c r="K2337" s="2"/>
      <c r="L2337" s="1">
        <v>46.3144754</v>
      </c>
      <c r="M2337" s="1">
        <v>11.0480288</v>
      </c>
    </row>
    <row r="2338">
      <c r="A2338" s="1" t="s">
        <v>89</v>
      </c>
      <c r="B2338" s="1" t="s">
        <v>1177</v>
      </c>
      <c r="C2338" s="2"/>
      <c r="D2338" s="2"/>
      <c r="E2338" s="1">
        <v>4.0</v>
      </c>
      <c r="F2338" s="1">
        <v>44.0</v>
      </c>
      <c r="G2338" s="1">
        <v>4.0</v>
      </c>
      <c r="H2338" s="2"/>
      <c r="I2338" s="2"/>
      <c r="J2338" s="2"/>
      <c r="K2338" s="2"/>
      <c r="L2338" s="1">
        <v>46.3144754</v>
      </c>
      <c r="M2338" s="1">
        <v>11.0480288</v>
      </c>
    </row>
    <row r="2339">
      <c r="A2339" s="1" t="s">
        <v>89</v>
      </c>
      <c r="B2339" s="1" t="s">
        <v>1625</v>
      </c>
      <c r="C2339" s="2"/>
      <c r="D2339" s="2"/>
      <c r="E2339" s="2"/>
      <c r="F2339" s="1">
        <v>11.0</v>
      </c>
      <c r="G2339" s="1">
        <v>1.0</v>
      </c>
      <c r="H2339" s="2"/>
      <c r="I2339" s="2"/>
      <c r="J2339" s="2"/>
      <c r="K2339" s="2"/>
      <c r="L2339" s="1">
        <v>46.3144754</v>
      </c>
      <c r="M2339" s="1">
        <v>11.0480288</v>
      </c>
    </row>
    <row r="2340">
      <c r="A2340" s="1" t="s">
        <v>89</v>
      </c>
      <c r="B2340" s="1" t="s">
        <v>28</v>
      </c>
      <c r="C2340" s="2"/>
      <c r="D2340" s="2"/>
      <c r="E2340" s="2"/>
      <c r="F2340" s="1">
        <v>16.0</v>
      </c>
      <c r="G2340" s="1">
        <v>1.0</v>
      </c>
      <c r="H2340" s="2"/>
      <c r="I2340" s="2"/>
      <c r="J2340" s="1" t="s">
        <v>18</v>
      </c>
      <c r="K2340" s="2"/>
      <c r="L2340" s="1">
        <v>46.3144754</v>
      </c>
      <c r="M2340" s="1">
        <v>11.0480288</v>
      </c>
    </row>
    <row r="2341">
      <c r="A2341" s="1" t="s">
        <v>89</v>
      </c>
      <c r="B2341" s="1" t="s">
        <v>104</v>
      </c>
      <c r="C2341" s="2"/>
      <c r="D2341" s="1">
        <v>2.0</v>
      </c>
      <c r="E2341" s="2"/>
      <c r="F2341" s="1">
        <v>9.0</v>
      </c>
      <c r="G2341" s="1">
        <v>1.0</v>
      </c>
      <c r="H2341" s="2"/>
      <c r="I2341" s="1" t="s">
        <v>33</v>
      </c>
      <c r="J2341" s="1" t="s">
        <v>18</v>
      </c>
      <c r="K2341" s="2"/>
      <c r="L2341" s="1">
        <v>46.3144754</v>
      </c>
      <c r="M2341" s="1">
        <v>11.0480288</v>
      </c>
    </row>
    <row r="2342">
      <c r="A2342" s="1" t="s">
        <v>89</v>
      </c>
      <c r="B2342" s="1" t="s">
        <v>76</v>
      </c>
      <c r="C2342" s="2"/>
      <c r="D2342" s="1">
        <v>1.0</v>
      </c>
      <c r="E2342" s="1">
        <v>1.0</v>
      </c>
      <c r="F2342" s="1">
        <v>1.0</v>
      </c>
      <c r="G2342" s="1">
        <v>1.0</v>
      </c>
      <c r="H2342" s="2"/>
      <c r="I2342" s="2"/>
      <c r="J2342" s="2"/>
      <c r="K2342" s="2"/>
      <c r="L2342" s="1">
        <v>46.3144754</v>
      </c>
      <c r="M2342" s="1">
        <v>11.0480288</v>
      </c>
    </row>
    <row r="2343">
      <c r="A2343" s="1" t="s">
        <v>89</v>
      </c>
      <c r="B2343" s="1" t="s">
        <v>23</v>
      </c>
      <c r="C2343" s="2"/>
      <c r="D2343" s="2"/>
      <c r="E2343" s="1">
        <v>9.0</v>
      </c>
      <c r="F2343" s="1">
        <v>99.0</v>
      </c>
      <c r="G2343" s="1">
        <v>9.0</v>
      </c>
      <c r="H2343" s="2"/>
      <c r="I2343" s="2"/>
      <c r="J2343" s="2"/>
      <c r="K2343" s="2"/>
      <c r="L2343" s="1">
        <v>46.3144754</v>
      </c>
      <c r="M2343" s="1">
        <v>11.0480288</v>
      </c>
    </row>
    <row r="2344">
      <c r="A2344" s="1" t="s">
        <v>89</v>
      </c>
      <c r="B2344" s="1" t="s">
        <v>117</v>
      </c>
      <c r="C2344" s="2"/>
      <c r="D2344" s="2"/>
      <c r="E2344" s="1">
        <v>4.0</v>
      </c>
      <c r="F2344" s="1">
        <v>44.0</v>
      </c>
      <c r="G2344" s="1">
        <v>4.0</v>
      </c>
      <c r="H2344" s="2"/>
      <c r="I2344" s="2"/>
      <c r="J2344" s="2"/>
      <c r="K2344" s="2"/>
      <c r="L2344" s="1">
        <v>46.3144754</v>
      </c>
      <c r="M2344" s="1">
        <v>11.0480288</v>
      </c>
    </row>
    <row r="2345">
      <c r="A2345" s="1" t="s">
        <v>89</v>
      </c>
      <c r="B2345" s="1" t="s">
        <v>38</v>
      </c>
      <c r="C2345" s="2"/>
      <c r="D2345" s="2"/>
      <c r="E2345" s="1">
        <v>11.0</v>
      </c>
      <c r="F2345" s="1">
        <v>11.0</v>
      </c>
      <c r="G2345" s="1">
        <v>1.0</v>
      </c>
      <c r="H2345" s="2"/>
      <c r="I2345" s="2"/>
      <c r="J2345" s="2"/>
      <c r="K2345" s="2"/>
      <c r="L2345" s="1">
        <v>46.3144754</v>
      </c>
      <c r="M2345" s="1">
        <v>11.0480288</v>
      </c>
    </row>
    <row r="2346">
      <c r="A2346" s="1" t="s">
        <v>89</v>
      </c>
      <c r="B2346" s="1" t="s">
        <v>82</v>
      </c>
      <c r="C2346" s="2"/>
      <c r="D2346" s="2"/>
      <c r="E2346" s="1">
        <v>4.0</v>
      </c>
      <c r="F2346" s="1">
        <v>44.0</v>
      </c>
      <c r="G2346" s="1">
        <v>4.0</v>
      </c>
      <c r="H2346" s="2"/>
      <c r="I2346" s="2"/>
      <c r="J2346" s="2"/>
      <c r="K2346" s="2"/>
      <c r="L2346" s="1">
        <v>46.3144754</v>
      </c>
      <c r="M2346" s="1">
        <v>11.0480288</v>
      </c>
    </row>
    <row r="2347">
      <c r="A2347" s="1" t="s">
        <v>89</v>
      </c>
      <c r="B2347" s="1" t="s">
        <v>151</v>
      </c>
      <c r="C2347" s="2"/>
      <c r="D2347" s="2"/>
      <c r="E2347" s="1">
        <v>12.0</v>
      </c>
      <c r="F2347" s="1">
        <v>21.0</v>
      </c>
      <c r="G2347" s="1">
        <v>12.0</v>
      </c>
      <c r="H2347" s="2"/>
      <c r="I2347" s="2"/>
      <c r="J2347" s="2"/>
      <c r="K2347" s="2"/>
      <c r="L2347" s="1">
        <v>46.3144754</v>
      </c>
      <c r="M2347" s="1">
        <v>11.0480288</v>
      </c>
    </row>
    <row r="2348">
      <c r="A2348" s="1" t="s">
        <v>89</v>
      </c>
      <c r="B2348" s="1" t="s">
        <v>99</v>
      </c>
      <c r="C2348" s="2"/>
      <c r="D2348" s="2"/>
      <c r="E2348" s="1">
        <v>4.0</v>
      </c>
      <c r="F2348" s="1">
        <v>44.0</v>
      </c>
      <c r="G2348" s="1">
        <v>4.0</v>
      </c>
      <c r="H2348" s="2"/>
      <c r="I2348" s="2"/>
      <c r="J2348" s="2"/>
      <c r="K2348" s="2"/>
      <c r="L2348" s="1">
        <v>46.3144754</v>
      </c>
      <c r="M2348" s="1">
        <v>11.0480288</v>
      </c>
    </row>
    <row r="2349">
      <c r="A2349" s="1" t="s">
        <v>89</v>
      </c>
      <c r="B2349" s="1" t="s">
        <v>52</v>
      </c>
      <c r="C2349" s="2"/>
      <c r="D2349" s="2"/>
      <c r="E2349" s="2"/>
      <c r="F2349" s="1">
        <v>99.0</v>
      </c>
      <c r="G2349" s="1">
        <v>9.0</v>
      </c>
      <c r="H2349" s="2"/>
      <c r="I2349" s="2"/>
      <c r="J2349" s="2"/>
      <c r="K2349" s="2"/>
      <c r="L2349" s="1">
        <v>46.3144754</v>
      </c>
      <c r="M2349" s="1">
        <v>11.0480288</v>
      </c>
    </row>
    <row r="2350">
      <c r="A2350" s="1" t="s">
        <v>22</v>
      </c>
      <c r="B2350" s="1" t="s">
        <v>74</v>
      </c>
      <c r="C2350" s="1" t="s">
        <v>1311</v>
      </c>
      <c r="D2350" s="1">
        <v>2.0</v>
      </c>
      <c r="E2350" s="1">
        <v>51.0</v>
      </c>
      <c r="F2350" s="1">
        <v>2.0</v>
      </c>
      <c r="G2350" s="1">
        <v>9.0</v>
      </c>
      <c r="H2350" s="1">
        <v>602.0</v>
      </c>
      <c r="I2350" s="1" t="s">
        <v>21</v>
      </c>
      <c r="J2350" s="1" t="s">
        <v>18</v>
      </c>
      <c r="K2350" s="1">
        <v>45000.0</v>
      </c>
      <c r="L2350" s="1">
        <v>56.934949</v>
      </c>
      <c r="M2350" s="1">
        <v>24.2012871647176</v>
      </c>
    </row>
    <row r="2351">
      <c r="A2351" s="1" t="s">
        <v>22</v>
      </c>
      <c r="B2351" s="1" t="s">
        <v>19</v>
      </c>
      <c r="C2351" s="1" t="s">
        <v>920</v>
      </c>
      <c r="D2351" s="1">
        <v>2.0</v>
      </c>
      <c r="E2351" s="1">
        <v>60.0</v>
      </c>
      <c r="F2351" s="1">
        <v>10.0</v>
      </c>
      <c r="G2351" s="1">
        <v>8.0</v>
      </c>
      <c r="H2351" s="1">
        <v>119.0</v>
      </c>
      <c r="I2351" s="1" t="s">
        <v>21</v>
      </c>
      <c r="J2351" s="1" t="s">
        <v>18</v>
      </c>
      <c r="K2351" s="1">
        <v>60000.0</v>
      </c>
      <c r="L2351" s="1">
        <v>56.90217635</v>
      </c>
      <c r="M2351" s="1">
        <v>24.0878581485374</v>
      </c>
    </row>
    <row r="2352">
      <c r="A2352" s="1" t="s">
        <v>468</v>
      </c>
      <c r="B2352" s="1" t="s">
        <v>28</v>
      </c>
      <c r="C2352" s="1" t="s">
        <v>1626</v>
      </c>
      <c r="D2352" s="1">
        <v>2.0</v>
      </c>
      <c r="E2352" s="2"/>
      <c r="F2352" s="1">
        <v>8.0</v>
      </c>
      <c r="G2352" s="2"/>
      <c r="H2352" s="2"/>
      <c r="I2352" s="1" t="s">
        <v>21</v>
      </c>
      <c r="J2352" s="1" t="s">
        <v>18</v>
      </c>
      <c r="K2352" s="2"/>
      <c r="L2352" s="1">
        <v>56.8597884</v>
      </c>
      <c r="M2352" s="1">
        <v>24.3083417</v>
      </c>
    </row>
    <row r="2353">
      <c r="A2353" s="1" t="s">
        <v>22</v>
      </c>
      <c r="B2353" s="1" t="s">
        <v>30</v>
      </c>
      <c r="C2353" s="1" t="s">
        <v>1627</v>
      </c>
      <c r="D2353" s="1">
        <v>3.0</v>
      </c>
      <c r="E2353" s="1">
        <v>67.0</v>
      </c>
      <c r="F2353" s="1">
        <v>5.0</v>
      </c>
      <c r="G2353" s="1">
        <v>5.0</v>
      </c>
      <c r="H2353" s="1" t="s">
        <v>36</v>
      </c>
      <c r="I2353" s="1" t="s">
        <v>17</v>
      </c>
      <c r="J2353" s="1" t="s">
        <v>18</v>
      </c>
      <c r="K2353" s="1">
        <v>60000.0</v>
      </c>
      <c r="L2353" s="1">
        <v>56.9710535</v>
      </c>
      <c r="M2353" s="1">
        <v>24.1782534</v>
      </c>
    </row>
    <row r="2354">
      <c r="A2354" s="1" t="s">
        <v>22</v>
      </c>
      <c r="B2354" s="1" t="s">
        <v>23</v>
      </c>
      <c r="C2354" s="1" t="s">
        <v>1597</v>
      </c>
      <c r="D2354" s="1">
        <v>3.0</v>
      </c>
      <c r="E2354" s="1">
        <v>88.0</v>
      </c>
      <c r="F2354" s="1">
        <v>3.0</v>
      </c>
      <c r="G2354" s="1">
        <v>5.0</v>
      </c>
      <c r="H2354" s="1" t="s">
        <v>66</v>
      </c>
      <c r="I2354" s="1" t="s">
        <v>33</v>
      </c>
      <c r="J2354" s="1" t="s">
        <v>18</v>
      </c>
      <c r="K2354" s="1">
        <v>275000.0</v>
      </c>
      <c r="L2354" s="1">
        <v>56.957715</v>
      </c>
      <c r="M2354" s="1">
        <v>24.1191109634786</v>
      </c>
    </row>
    <row r="2355">
      <c r="A2355" s="1" t="s">
        <v>22</v>
      </c>
      <c r="B2355" s="1" t="s">
        <v>48</v>
      </c>
      <c r="C2355" s="1" t="s">
        <v>1456</v>
      </c>
      <c r="D2355" s="1">
        <v>2.0</v>
      </c>
      <c r="E2355" s="1">
        <v>50.0</v>
      </c>
      <c r="F2355" s="1">
        <v>1.0</v>
      </c>
      <c r="G2355" s="1">
        <v>9.0</v>
      </c>
      <c r="H2355" s="1">
        <v>602.0</v>
      </c>
      <c r="I2355" s="1" t="s">
        <v>21</v>
      </c>
      <c r="J2355" s="1" t="s">
        <v>18</v>
      </c>
      <c r="K2355" s="1">
        <v>49000.0</v>
      </c>
      <c r="L2355" s="1">
        <v>56.96052845</v>
      </c>
      <c r="M2355" s="1">
        <v>24.2338127271218</v>
      </c>
    </row>
    <row r="2356">
      <c r="A2356" s="1" t="s">
        <v>13</v>
      </c>
      <c r="B2356" s="1" t="s">
        <v>23</v>
      </c>
      <c r="C2356" s="1" t="s">
        <v>1628</v>
      </c>
      <c r="D2356" s="1">
        <v>3.0</v>
      </c>
      <c r="E2356" s="1">
        <v>75.9</v>
      </c>
      <c r="F2356" s="1">
        <v>4.0</v>
      </c>
      <c r="G2356" s="1">
        <v>5.0</v>
      </c>
      <c r="H2356" s="1" t="s">
        <v>36</v>
      </c>
      <c r="I2356" s="1" t="s">
        <v>37</v>
      </c>
      <c r="J2356" s="1" t="s">
        <v>18</v>
      </c>
      <c r="K2356" s="1">
        <v>500.0</v>
      </c>
      <c r="L2356" s="1">
        <v>56.9666958</v>
      </c>
      <c r="M2356" s="1">
        <v>24.1276219164077</v>
      </c>
    </row>
    <row r="2357">
      <c r="A2357" s="1" t="s">
        <v>13</v>
      </c>
      <c r="B2357" s="1" t="s">
        <v>52</v>
      </c>
      <c r="C2357" s="1" t="s">
        <v>1629</v>
      </c>
      <c r="D2357" s="1">
        <v>2.0</v>
      </c>
      <c r="E2357" s="1">
        <v>75.0</v>
      </c>
      <c r="F2357" s="1">
        <v>3.0</v>
      </c>
      <c r="G2357" s="1">
        <v>6.0</v>
      </c>
      <c r="H2357" s="1" t="s">
        <v>32</v>
      </c>
      <c r="I2357" s="1" t="s">
        <v>33</v>
      </c>
      <c r="J2357" s="1" t="s">
        <v>18</v>
      </c>
      <c r="K2357" s="1">
        <v>600.0</v>
      </c>
      <c r="L2357" s="1">
        <v>56.94174375</v>
      </c>
      <c r="M2357" s="1">
        <v>24.004208988406</v>
      </c>
    </row>
    <row r="2358">
      <c r="A2358" s="1" t="s">
        <v>13</v>
      </c>
      <c r="B2358" s="1" t="s">
        <v>14</v>
      </c>
      <c r="C2358" s="1" t="s">
        <v>1630</v>
      </c>
      <c r="D2358" s="1">
        <v>1.0</v>
      </c>
      <c r="E2358" s="1">
        <v>43.0</v>
      </c>
      <c r="F2358" s="1">
        <v>3.0</v>
      </c>
      <c r="G2358" s="1">
        <v>9.0</v>
      </c>
      <c r="H2358" s="1" t="s">
        <v>36</v>
      </c>
      <c r="I2358" s="1" t="s">
        <v>21</v>
      </c>
      <c r="J2358" s="1" t="s">
        <v>18</v>
      </c>
      <c r="K2358" s="1">
        <v>25.0</v>
      </c>
      <c r="L2358" s="1">
        <v>56.9543228</v>
      </c>
      <c r="M2358" s="1">
        <v>24.17910595</v>
      </c>
    </row>
    <row r="2359">
      <c r="A2359" s="1" t="s">
        <v>13</v>
      </c>
      <c r="B2359" s="1" t="s">
        <v>104</v>
      </c>
      <c r="C2359" s="1" t="s">
        <v>1631</v>
      </c>
      <c r="D2359" s="1">
        <v>1.0</v>
      </c>
      <c r="E2359" s="1">
        <v>30.0</v>
      </c>
      <c r="F2359" s="1">
        <v>1.0</v>
      </c>
      <c r="G2359" s="1">
        <v>2.0</v>
      </c>
      <c r="H2359" s="1" t="s">
        <v>25</v>
      </c>
      <c r="I2359" s="1" t="s">
        <v>26</v>
      </c>
      <c r="J2359" s="1" t="s">
        <v>27</v>
      </c>
      <c r="K2359" s="1">
        <v>150.0</v>
      </c>
      <c r="L2359" s="1">
        <v>56.9348145</v>
      </c>
      <c r="M2359" s="1">
        <v>24.0753412</v>
      </c>
    </row>
    <row r="2360">
      <c r="A2360" s="1" t="s">
        <v>13</v>
      </c>
      <c r="B2360" s="1" t="s">
        <v>23</v>
      </c>
      <c r="C2360" s="1" t="s">
        <v>1632</v>
      </c>
      <c r="D2360" s="1">
        <v>3.0</v>
      </c>
      <c r="E2360" s="1">
        <v>96.0</v>
      </c>
      <c r="F2360" s="1">
        <v>3.0</v>
      </c>
      <c r="G2360" s="1">
        <v>5.0</v>
      </c>
      <c r="H2360" s="1" t="s">
        <v>36</v>
      </c>
      <c r="I2360" s="1" t="s">
        <v>17</v>
      </c>
      <c r="J2360" s="1" t="s">
        <v>18</v>
      </c>
      <c r="K2360" s="1">
        <v>580.0</v>
      </c>
      <c r="L2360" s="1">
        <v>56.9559632499999</v>
      </c>
      <c r="M2360" s="1">
        <v>24.1001553</v>
      </c>
    </row>
    <row r="2361">
      <c r="A2361" s="1" t="s">
        <v>22</v>
      </c>
      <c r="B2361" s="1" t="s">
        <v>422</v>
      </c>
      <c r="C2361" s="1" t="s">
        <v>1633</v>
      </c>
      <c r="D2361" s="1">
        <v>3.0</v>
      </c>
      <c r="E2361" s="1">
        <v>65.0</v>
      </c>
      <c r="F2361" s="1">
        <v>1.0</v>
      </c>
      <c r="G2361" s="1">
        <v>5.0</v>
      </c>
      <c r="H2361" s="1">
        <v>103.0</v>
      </c>
      <c r="I2361" s="1" t="s">
        <v>17</v>
      </c>
      <c r="J2361" s="1" t="s">
        <v>18</v>
      </c>
      <c r="K2361" s="1">
        <v>53000.0</v>
      </c>
      <c r="L2361" s="1">
        <v>56.93967905</v>
      </c>
      <c r="M2361" s="1">
        <v>24.0336388573915</v>
      </c>
    </row>
    <row r="2362">
      <c r="A2362" s="1" t="s">
        <v>13</v>
      </c>
      <c r="B2362" s="1" t="s">
        <v>30</v>
      </c>
      <c r="C2362" s="1" t="s">
        <v>1634</v>
      </c>
      <c r="D2362" s="1">
        <v>1.0</v>
      </c>
      <c r="E2362" s="1">
        <v>28.0</v>
      </c>
      <c r="F2362" s="1">
        <v>3.0</v>
      </c>
      <c r="G2362" s="1">
        <v>3.0</v>
      </c>
      <c r="H2362" s="1" t="s">
        <v>25</v>
      </c>
      <c r="I2362" s="1" t="s">
        <v>37</v>
      </c>
      <c r="J2362" s="1" t="s">
        <v>18</v>
      </c>
      <c r="K2362" s="1">
        <v>270.0</v>
      </c>
      <c r="L2362" s="1">
        <v>56.9766839</v>
      </c>
      <c r="M2362" s="1">
        <v>24.18143795</v>
      </c>
    </row>
    <row r="2363">
      <c r="A2363" s="1" t="s">
        <v>13</v>
      </c>
      <c r="B2363" s="1" t="s">
        <v>23</v>
      </c>
      <c r="C2363" s="1" t="s">
        <v>1019</v>
      </c>
      <c r="D2363" s="1">
        <v>2.0</v>
      </c>
      <c r="E2363" s="1">
        <v>95.0</v>
      </c>
      <c r="F2363" s="1">
        <v>3.0</v>
      </c>
      <c r="G2363" s="1">
        <v>3.0</v>
      </c>
      <c r="H2363" s="1" t="s">
        <v>66</v>
      </c>
      <c r="I2363" s="1" t="s">
        <v>37</v>
      </c>
      <c r="J2363" s="1" t="s">
        <v>18</v>
      </c>
      <c r="K2363" s="1">
        <v>850.0</v>
      </c>
      <c r="L2363" s="1">
        <v>56.9468471</v>
      </c>
      <c r="M2363" s="1">
        <v>24.133767</v>
      </c>
    </row>
    <row r="2364">
      <c r="A2364" s="1" t="s">
        <v>22</v>
      </c>
      <c r="B2364" s="1" t="s">
        <v>28</v>
      </c>
      <c r="C2364" s="1" t="s">
        <v>220</v>
      </c>
      <c r="D2364" s="1">
        <v>1.0</v>
      </c>
      <c r="E2364" s="1">
        <v>37.0</v>
      </c>
      <c r="F2364" s="1">
        <v>2.0</v>
      </c>
      <c r="G2364" s="1">
        <v>12.0</v>
      </c>
      <c r="H2364" s="1" t="s">
        <v>57</v>
      </c>
      <c r="I2364" s="1" t="s">
        <v>122</v>
      </c>
      <c r="J2364" s="1" t="s">
        <v>18</v>
      </c>
      <c r="K2364" s="1">
        <v>32000.0</v>
      </c>
      <c r="L2364" s="1">
        <v>56.8597884</v>
      </c>
      <c r="M2364" s="1">
        <v>24.3083417</v>
      </c>
    </row>
    <row r="2365">
      <c r="A2365" s="1" t="s">
        <v>22</v>
      </c>
      <c r="B2365" s="1" t="s">
        <v>104</v>
      </c>
      <c r="C2365" s="1" t="s">
        <v>1635</v>
      </c>
      <c r="D2365" s="1">
        <v>1.0</v>
      </c>
      <c r="E2365" s="1">
        <v>34.0</v>
      </c>
      <c r="F2365" s="1">
        <v>1.0</v>
      </c>
      <c r="G2365" s="1">
        <v>4.0</v>
      </c>
      <c r="H2365" s="1" t="s">
        <v>25</v>
      </c>
      <c r="I2365" s="1" t="s">
        <v>26</v>
      </c>
      <c r="J2365" s="1" t="s">
        <v>18</v>
      </c>
      <c r="K2365" s="1">
        <v>14500.0</v>
      </c>
      <c r="L2365" s="1">
        <v>56.9358256999999</v>
      </c>
      <c r="M2365" s="1">
        <v>24.0618001223939</v>
      </c>
    </row>
    <row r="2366">
      <c r="A2366" s="1" t="s">
        <v>13</v>
      </c>
      <c r="B2366" s="1" t="s">
        <v>23</v>
      </c>
      <c r="C2366" s="1" t="s">
        <v>1636</v>
      </c>
      <c r="D2366" s="1">
        <v>1.0</v>
      </c>
      <c r="E2366" s="1">
        <v>32.0</v>
      </c>
      <c r="F2366" s="1">
        <v>2.0</v>
      </c>
      <c r="G2366" s="1">
        <v>5.0</v>
      </c>
      <c r="H2366" s="1" t="s">
        <v>66</v>
      </c>
      <c r="I2366" s="1" t="s">
        <v>37</v>
      </c>
      <c r="J2366" s="1" t="s">
        <v>18</v>
      </c>
      <c r="K2366" s="1">
        <v>29.0</v>
      </c>
      <c r="L2366" s="1">
        <v>56.9573204</v>
      </c>
      <c r="M2366" s="1">
        <v>24.1472618</v>
      </c>
    </row>
    <row r="2367">
      <c r="A2367" s="1" t="s">
        <v>22</v>
      </c>
      <c r="B2367" s="1" t="s">
        <v>14</v>
      </c>
      <c r="C2367" s="1" t="s">
        <v>1630</v>
      </c>
      <c r="D2367" s="1">
        <v>1.0</v>
      </c>
      <c r="E2367" s="1">
        <v>42.0</v>
      </c>
      <c r="F2367" s="1">
        <v>4.0</v>
      </c>
      <c r="G2367" s="1">
        <v>9.0</v>
      </c>
      <c r="H2367" s="1" t="s">
        <v>57</v>
      </c>
      <c r="I2367" s="1" t="s">
        <v>21</v>
      </c>
      <c r="J2367" s="1" t="s">
        <v>18</v>
      </c>
      <c r="K2367" s="1">
        <v>43000.0</v>
      </c>
      <c r="L2367" s="1">
        <v>56.9543228</v>
      </c>
      <c r="M2367" s="1">
        <v>24.17910595</v>
      </c>
    </row>
    <row r="2368">
      <c r="A2368" s="1" t="s">
        <v>22</v>
      </c>
      <c r="B2368" s="1" t="s">
        <v>218</v>
      </c>
      <c r="C2368" s="1" t="s">
        <v>1637</v>
      </c>
      <c r="D2368" s="1">
        <v>3.0</v>
      </c>
      <c r="E2368" s="1">
        <v>90.0</v>
      </c>
      <c r="F2368" s="1">
        <v>4.0</v>
      </c>
      <c r="G2368" s="1">
        <v>5.0</v>
      </c>
      <c r="H2368" s="1" t="s">
        <v>25</v>
      </c>
      <c r="I2368" s="1" t="s">
        <v>33</v>
      </c>
      <c r="J2368" s="1" t="s">
        <v>18</v>
      </c>
      <c r="K2368" s="1">
        <v>268800.0</v>
      </c>
      <c r="L2368" s="1">
        <v>56.9483908</v>
      </c>
      <c r="M2368" s="1">
        <v>24.110708262171</v>
      </c>
    </row>
    <row r="2369">
      <c r="A2369" s="1" t="s">
        <v>22</v>
      </c>
      <c r="B2369" s="1" t="s">
        <v>23</v>
      </c>
      <c r="C2369" s="1" t="s">
        <v>644</v>
      </c>
      <c r="D2369" s="1">
        <v>3.0</v>
      </c>
      <c r="E2369" s="1">
        <v>73.0</v>
      </c>
      <c r="F2369" s="1">
        <v>6.0</v>
      </c>
      <c r="G2369" s="1">
        <v>7.0</v>
      </c>
      <c r="H2369" s="1" t="s">
        <v>32</v>
      </c>
      <c r="I2369" s="1" t="s">
        <v>33</v>
      </c>
      <c r="J2369" s="1" t="s">
        <v>18</v>
      </c>
      <c r="K2369" s="1">
        <v>168000.0</v>
      </c>
      <c r="L2369" s="1">
        <v>56.945456</v>
      </c>
      <c r="M2369" s="1">
        <v>24.1115799</v>
      </c>
    </row>
    <row r="2370">
      <c r="A2370" s="1" t="s">
        <v>131</v>
      </c>
      <c r="B2370" s="1" t="s">
        <v>106</v>
      </c>
      <c r="C2370" s="2"/>
      <c r="D2370" s="1" t="s">
        <v>90</v>
      </c>
      <c r="E2370" s="2"/>
      <c r="F2370" s="2"/>
      <c r="G2370" s="2"/>
      <c r="H2370" s="2"/>
      <c r="I2370" s="2"/>
      <c r="J2370" s="2"/>
      <c r="K2370" s="2"/>
      <c r="L2370" s="1">
        <v>46.3144754</v>
      </c>
      <c r="M2370" s="1">
        <v>11.0480288</v>
      </c>
    </row>
    <row r="2371">
      <c r="A2371" s="1" t="s">
        <v>22</v>
      </c>
      <c r="B2371" s="1" t="s">
        <v>42</v>
      </c>
      <c r="C2371" s="1" t="s">
        <v>1638</v>
      </c>
      <c r="D2371" s="1">
        <v>2.0</v>
      </c>
      <c r="E2371" s="1">
        <v>45.0</v>
      </c>
      <c r="F2371" s="1">
        <v>5.0</v>
      </c>
      <c r="G2371" s="1">
        <v>5.0</v>
      </c>
      <c r="H2371" s="1" t="s">
        <v>16</v>
      </c>
      <c r="I2371" s="1" t="s">
        <v>122</v>
      </c>
      <c r="J2371" s="1" t="s">
        <v>18</v>
      </c>
      <c r="K2371" s="1">
        <v>44000.0</v>
      </c>
      <c r="L2371" s="1">
        <v>56.97782785</v>
      </c>
      <c r="M2371" s="1">
        <v>24.25241215</v>
      </c>
    </row>
    <row r="2372">
      <c r="A2372" s="1" t="s">
        <v>22</v>
      </c>
      <c r="B2372" s="1" t="s">
        <v>38</v>
      </c>
      <c r="C2372" s="1" t="s">
        <v>1142</v>
      </c>
      <c r="D2372" s="1">
        <v>2.0</v>
      </c>
      <c r="E2372" s="1">
        <v>51.0</v>
      </c>
      <c r="F2372" s="1">
        <v>5.0</v>
      </c>
      <c r="G2372" s="1">
        <v>5.0</v>
      </c>
      <c r="H2372" s="1" t="s">
        <v>16</v>
      </c>
      <c r="I2372" s="1" t="s">
        <v>21</v>
      </c>
      <c r="J2372" s="1" t="s">
        <v>18</v>
      </c>
      <c r="K2372" s="1">
        <v>57000.0</v>
      </c>
      <c r="L2372" s="1">
        <v>56.95623425</v>
      </c>
      <c r="M2372" s="1">
        <v>24.0043295756336</v>
      </c>
    </row>
    <row r="2373">
      <c r="A2373" s="1" t="s">
        <v>13</v>
      </c>
      <c r="B2373" s="1" t="s">
        <v>129</v>
      </c>
      <c r="C2373" s="1" t="s">
        <v>1639</v>
      </c>
      <c r="D2373" s="1">
        <v>1.0</v>
      </c>
      <c r="E2373" s="1">
        <v>34.0</v>
      </c>
      <c r="F2373" s="1">
        <v>2.0</v>
      </c>
      <c r="G2373" s="1">
        <v>9.0</v>
      </c>
      <c r="H2373" s="1">
        <v>602.0</v>
      </c>
      <c r="I2373" s="1" t="s">
        <v>21</v>
      </c>
      <c r="J2373" s="1" t="s">
        <v>18</v>
      </c>
      <c r="K2373" s="1">
        <v>280.0</v>
      </c>
      <c r="L2373" s="1">
        <v>56.9992634</v>
      </c>
      <c r="M2373" s="1">
        <v>24.1226469896261</v>
      </c>
    </row>
    <row r="2374">
      <c r="A2374" s="1" t="s">
        <v>22</v>
      </c>
      <c r="B2374" s="1" t="s">
        <v>23</v>
      </c>
      <c r="C2374" s="1" t="s">
        <v>1640</v>
      </c>
      <c r="D2374" s="1">
        <v>4.0</v>
      </c>
      <c r="E2374" s="1">
        <v>115.0</v>
      </c>
      <c r="F2374" s="1">
        <v>1.0</v>
      </c>
      <c r="G2374" s="1">
        <v>6.0</v>
      </c>
      <c r="H2374" s="1" t="s">
        <v>66</v>
      </c>
      <c r="I2374" s="1" t="s">
        <v>33</v>
      </c>
      <c r="J2374" s="1" t="s">
        <v>18</v>
      </c>
      <c r="K2374" s="1">
        <v>140000.0</v>
      </c>
      <c r="L2374" s="1">
        <v>56.96172495</v>
      </c>
      <c r="M2374" s="1">
        <v>24.1097055902472</v>
      </c>
    </row>
    <row r="2375">
      <c r="A2375" s="1" t="s">
        <v>22</v>
      </c>
      <c r="B2375" s="1" t="s">
        <v>38</v>
      </c>
      <c r="C2375" s="1" t="s">
        <v>1641</v>
      </c>
      <c r="D2375" s="1">
        <v>3.0</v>
      </c>
      <c r="E2375" s="1">
        <v>62.0</v>
      </c>
      <c r="F2375" s="1">
        <v>1.0</v>
      </c>
      <c r="G2375" s="1">
        <v>9.0</v>
      </c>
      <c r="H2375" s="1">
        <v>602.0</v>
      </c>
      <c r="I2375" s="1" t="s">
        <v>21</v>
      </c>
      <c r="J2375" s="1" t="s">
        <v>18</v>
      </c>
      <c r="K2375" s="1">
        <v>52500.0</v>
      </c>
      <c r="L2375" s="1">
        <v>56.95911535</v>
      </c>
      <c r="M2375" s="1">
        <v>24.009544181028</v>
      </c>
    </row>
    <row r="2376">
      <c r="A2376" s="1" t="s">
        <v>22</v>
      </c>
      <c r="B2376" s="1" t="s">
        <v>23</v>
      </c>
      <c r="C2376" s="1" t="s">
        <v>1642</v>
      </c>
      <c r="D2376" s="1">
        <v>4.0</v>
      </c>
      <c r="E2376" s="1">
        <v>110.0</v>
      </c>
      <c r="F2376" s="1">
        <v>18.0</v>
      </c>
      <c r="G2376" s="1">
        <v>22.0</v>
      </c>
      <c r="H2376" s="1" t="s">
        <v>32</v>
      </c>
      <c r="I2376" s="1" t="s">
        <v>21</v>
      </c>
      <c r="J2376" s="1" t="s">
        <v>18</v>
      </c>
      <c r="K2376" s="1">
        <v>325000.0</v>
      </c>
      <c r="L2376" s="1">
        <v>56.9721458</v>
      </c>
      <c r="M2376" s="1">
        <v>24.1258006641927</v>
      </c>
    </row>
    <row r="2377">
      <c r="A2377" s="1" t="s">
        <v>22</v>
      </c>
      <c r="B2377" s="1" t="s">
        <v>48</v>
      </c>
      <c r="C2377" s="1" t="s">
        <v>791</v>
      </c>
      <c r="D2377" s="1">
        <v>3.0</v>
      </c>
      <c r="E2377" s="1">
        <v>73.0</v>
      </c>
      <c r="F2377" s="1">
        <v>1.0</v>
      </c>
      <c r="G2377" s="1">
        <v>5.0</v>
      </c>
      <c r="H2377" s="1" t="s">
        <v>32</v>
      </c>
      <c r="I2377" s="1" t="s">
        <v>21</v>
      </c>
      <c r="J2377" s="1" t="s">
        <v>18</v>
      </c>
      <c r="K2377" s="1">
        <v>115000.0</v>
      </c>
      <c r="L2377" s="1">
        <v>56.9569585</v>
      </c>
      <c r="M2377" s="1">
        <v>24.2536804</v>
      </c>
    </row>
    <row r="2378">
      <c r="A2378" s="1" t="s">
        <v>13</v>
      </c>
      <c r="B2378" s="1" t="s">
        <v>174</v>
      </c>
      <c r="C2378" s="1" t="s">
        <v>1643</v>
      </c>
      <c r="D2378" s="1">
        <v>2.0</v>
      </c>
      <c r="E2378" s="1">
        <v>42.0</v>
      </c>
      <c r="F2378" s="1">
        <v>2.0</v>
      </c>
      <c r="G2378" s="1">
        <v>2.0</v>
      </c>
      <c r="H2378" s="1" t="s">
        <v>44</v>
      </c>
      <c r="I2378" s="1" t="s">
        <v>37</v>
      </c>
      <c r="J2378" s="1" t="s">
        <v>18</v>
      </c>
      <c r="K2378" s="1">
        <v>280.0</v>
      </c>
      <c r="L2378" s="1">
        <v>56.93111235</v>
      </c>
      <c r="M2378" s="1">
        <v>24.1758196613114</v>
      </c>
    </row>
    <row r="2379">
      <c r="A2379" s="1" t="s">
        <v>22</v>
      </c>
      <c r="B2379" s="1" t="s">
        <v>38</v>
      </c>
      <c r="C2379" s="1" t="s">
        <v>1644</v>
      </c>
      <c r="D2379" s="1">
        <v>3.0</v>
      </c>
      <c r="E2379" s="1">
        <v>62.0</v>
      </c>
      <c r="F2379" s="1">
        <v>8.0</v>
      </c>
      <c r="G2379" s="1">
        <v>9.0</v>
      </c>
      <c r="H2379" s="1">
        <v>602.0</v>
      </c>
      <c r="I2379" s="1" t="s">
        <v>21</v>
      </c>
      <c r="J2379" s="1" t="s">
        <v>18</v>
      </c>
      <c r="K2379" s="1">
        <v>57000.0</v>
      </c>
      <c r="L2379" s="1">
        <v>56.9635463</v>
      </c>
      <c r="M2379" s="1">
        <v>24.009740303812</v>
      </c>
    </row>
    <row r="2380">
      <c r="A2380" s="1" t="s">
        <v>13</v>
      </c>
      <c r="B2380" s="1" t="s">
        <v>28</v>
      </c>
      <c r="C2380" s="1" t="s">
        <v>1645</v>
      </c>
      <c r="D2380" s="1">
        <v>2.0</v>
      </c>
      <c r="E2380" s="1">
        <v>48.0</v>
      </c>
      <c r="F2380" s="1">
        <v>3.0</v>
      </c>
      <c r="G2380" s="1">
        <v>5.0</v>
      </c>
      <c r="H2380" s="1" t="s">
        <v>16</v>
      </c>
      <c r="I2380" s="1" t="s">
        <v>21</v>
      </c>
      <c r="J2380" s="1" t="s">
        <v>18</v>
      </c>
      <c r="K2380" s="1">
        <v>25.0</v>
      </c>
      <c r="L2380" s="1">
        <v>56.9136866</v>
      </c>
      <c r="M2380" s="1">
        <v>24.1731334542895</v>
      </c>
    </row>
    <row r="2381">
      <c r="A2381" s="1" t="s">
        <v>22</v>
      </c>
      <c r="B2381" s="1" t="s">
        <v>30</v>
      </c>
      <c r="C2381" s="1" t="s">
        <v>1646</v>
      </c>
      <c r="D2381" s="1">
        <v>2.0</v>
      </c>
      <c r="E2381" s="1">
        <v>36.0</v>
      </c>
      <c r="F2381" s="1">
        <v>2.0</v>
      </c>
      <c r="G2381" s="1">
        <v>1.0</v>
      </c>
      <c r="H2381" s="1" t="s">
        <v>25</v>
      </c>
      <c r="I2381" s="1" t="s">
        <v>33</v>
      </c>
      <c r="J2381" s="1" t="s">
        <v>27</v>
      </c>
      <c r="K2381" s="1">
        <v>16500.0</v>
      </c>
      <c r="L2381" s="1">
        <v>56.9831771</v>
      </c>
      <c r="M2381" s="1">
        <v>24.1946415</v>
      </c>
    </row>
    <row r="2382">
      <c r="A2382" s="1" t="s">
        <v>22</v>
      </c>
      <c r="B2382" s="1" t="s">
        <v>96</v>
      </c>
      <c r="C2382" s="1" t="s">
        <v>1647</v>
      </c>
      <c r="D2382" s="1">
        <v>2.0</v>
      </c>
      <c r="E2382" s="1">
        <v>42.0</v>
      </c>
      <c r="F2382" s="1">
        <v>5.0</v>
      </c>
      <c r="G2382" s="1">
        <v>5.0</v>
      </c>
      <c r="H2382" s="1" t="s">
        <v>44</v>
      </c>
      <c r="I2382" s="1" t="s">
        <v>37</v>
      </c>
      <c r="J2382" s="1" t="s">
        <v>18</v>
      </c>
      <c r="K2382" s="1">
        <v>29000.0</v>
      </c>
      <c r="L2382" s="1">
        <v>57.0301906</v>
      </c>
      <c r="M2382" s="1">
        <v>24.09970765</v>
      </c>
    </row>
    <row r="2383">
      <c r="A2383" s="1" t="s">
        <v>22</v>
      </c>
      <c r="B2383" s="1" t="s">
        <v>96</v>
      </c>
      <c r="C2383" s="1" t="s">
        <v>1648</v>
      </c>
      <c r="D2383" s="1">
        <v>3.0</v>
      </c>
      <c r="E2383" s="1">
        <v>56.0</v>
      </c>
      <c r="F2383" s="1">
        <v>5.0</v>
      </c>
      <c r="G2383" s="1">
        <v>5.0</v>
      </c>
      <c r="H2383" s="1" t="s">
        <v>16</v>
      </c>
      <c r="I2383" s="1" t="s">
        <v>21</v>
      </c>
      <c r="J2383" s="1" t="s">
        <v>18</v>
      </c>
      <c r="K2383" s="1">
        <v>35000.0</v>
      </c>
      <c r="L2383" s="1">
        <v>57.02968905</v>
      </c>
      <c r="M2383" s="1">
        <v>24.108664502028</v>
      </c>
    </row>
    <row r="2384">
      <c r="A2384" s="1" t="s">
        <v>13</v>
      </c>
      <c r="B2384" s="1" t="s">
        <v>23</v>
      </c>
      <c r="C2384" s="1" t="s">
        <v>282</v>
      </c>
      <c r="D2384" s="1">
        <v>1.0</v>
      </c>
      <c r="E2384" s="1">
        <v>20.0</v>
      </c>
      <c r="F2384" s="1">
        <v>5.0</v>
      </c>
      <c r="G2384" s="1">
        <v>6.0</v>
      </c>
      <c r="H2384" s="1" t="s">
        <v>25</v>
      </c>
      <c r="I2384" s="1" t="s">
        <v>33</v>
      </c>
      <c r="J2384" s="1" t="s">
        <v>18</v>
      </c>
      <c r="K2384" s="1">
        <v>25.0</v>
      </c>
      <c r="L2384" s="1">
        <v>56.9607411</v>
      </c>
      <c r="M2384" s="1">
        <v>24.1497716</v>
      </c>
    </row>
    <row r="2385">
      <c r="A2385" s="1" t="s">
        <v>22</v>
      </c>
      <c r="B2385" s="1" t="s">
        <v>28</v>
      </c>
      <c r="C2385" s="1" t="s">
        <v>1649</v>
      </c>
      <c r="D2385" s="1">
        <v>2.0</v>
      </c>
      <c r="E2385" s="1">
        <v>44.0</v>
      </c>
      <c r="F2385" s="1">
        <v>3.0</v>
      </c>
      <c r="G2385" s="1">
        <v>5.0</v>
      </c>
      <c r="H2385" s="1" t="s">
        <v>16</v>
      </c>
      <c r="I2385" s="1" t="s">
        <v>21</v>
      </c>
      <c r="J2385" s="1" t="s">
        <v>18</v>
      </c>
      <c r="K2385" s="1">
        <v>57000.0</v>
      </c>
      <c r="L2385" s="1">
        <v>56.91126875</v>
      </c>
      <c r="M2385" s="1">
        <v>24.1734859737149</v>
      </c>
    </row>
    <row r="2386">
      <c r="A2386" s="1" t="s">
        <v>22</v>
      </c>
      <c r="B2386" s="1" t="s">
        <v>28</v>
      </c>
      <c r="C2386" s="1" t="s">
        <v>1650</v>
      </c>
      <c r="D2386" s="1">
        <v>1.0</v>
      </c>
      <c r="E2386" s="1">
        <v>34.0</v>
      </c>
      <c r="F2386" s="1">
        <v>2.0</v>
      </c>
      <c r="G2386" s="1">
        <v>5.0</v>
      </c>
      <c r="H2386" s="1" t="s">
        <v>44</v>
      </c>
      <c r="I2386" s="1" t="s">
        <v>37</v>
      </c>
      <c r="J2386" s="1" t="s">
        <v>18</v>
      </c>
      <c r="K2386" s="1">
        <v>30000.0</v>
      </c>
      <c r="L2386" s="1">
        <v>56.94476985</v>
      </c>
      <c r="M2386" s="1">
        <v>24.1133461730018</v>
      </c>
    </row>
    <row r="2387">
      <c r="A2387" s="1" t="s">
        <v>13</v>
      </c>
      <c r="B2387" s="1" t="s">
        <v>74</v>
      </c>
      <c r="C2387" s="1" t="s">
        <v>1133</v>
      </c>
      <c r="D2387" s="1">
        <v>3.0</v>
      </c>
      <c r="E2387" s="1">
        <v>76.0</v>
      </c>
      <c r="F2387" s="1">
        <v>5.0</v>
      </c>
      <c r="G2387" s="1">
        <v>9.0</v>
      </c>
      <c r="H2387" s="1">
        <v>119.0</v>
      </c>
      <c r="I2387" s="1" t="s">
        <v>21</v>
      </c>
      <c r="J2387" s="1" t="s">
        <v>18</v>
      </c>
      <c r="K2387" s="1">
        <v>400.0</v>
      </c>
      <c r="L2387" s="1">
        <v>56.94708265</v>
      </c>
      <c r="M2387" s="1">
        <v>24.1976276399044</v>
      </c>
    </row>
    <row r="2388">
      <c r="A2388" s="1" t="s">
        <v>22</v>
      </c>
      <c r="B2388" s="1" t="s">
        <v>19</v>
      </c>
      <c r="C2388" s="1" t="s">
        <v>1619</v>
      </c>
      <c r="D2388" s="1">
        <v>3.0</v>
      </c>
      <c r="E2388" s="1">
        <v>76.0</v>
      </c>
      <c r="F2388" s="1">
        <v>8.0</v>
      </c>
      <c r="G2388" s="1">
        <v>10.0</v>
      </c>
      <c r="H2388" s="1">
        <v>119.0</v>
      </c>
      <c r="I2388" s="1" t="s">
        <v>21</v>
      </c>
      <c r="J2388" s="1" t="s">
        <v>18</v>
      </c>
      <c r="K2388" s="1">
        <v>78000.0</v>
      </c>
      <c r="L2388" s="1">
        <v>56.9008065999999</v>
      </c>
      <c r="M2388" s="1">
        <v>24.0862561999999</v>
      </c>
    </row>
    <row r="2389">
      <c r="A2389" s="1" t="s">
        <v>22</v>
      </c>
      <c r="B2389" s="1" t="s">
        <v>23</v>
      </c>
      <c r="C2389" s="1" t="s">
        <v>1651</v>
      </c>
      <c r="D2389" s="1">
        <v>2.0</v>
      </c>
      <c r="E2389" s="1">
        <v>40.0</v>
      </c>
      <c r="F2389" s="1">
        <v>2.0</v>
      </c>
      <c r="G2389" s="1">
        <v>2.0</v>
      </c>
      <c r="H2389" s="1" t="s">
        <v>25</v>
      </c>
      <c r="I2389" s="1" t="s">
        <v>26</v>
      </c>
      <c r="J2389" s="1" t="s">
        <v>18</v>
      </c>
      <c r="K2389" s="1">
        <v>45000.0</v>
      </c>
      <c r="L2389" s="1">
        <v>56.95559025</v>
      </c>
      <c r="M2389" s="1">
        <v>24.1463102714599</v>
      </c>
    </row>
    <row r="2390">
      <c r="A2390" s="1" t="s">
        <v>13</v>
      </c>
      <c r="B2390" s="1" t="s">
        <v>447</v>
      </c>
      <c r="C2390" s="1" t="s">
        <v>1652</v>
      </c>
      <c r="D2390" s="1">
        <v>1.0</v>
      </c>
      <c r="E2390" s="1">
        <v>38.0</v>
      </c>
      <c r="F2390" s="1">
        <v>1.0</v>
      </c>
      <c r="G2390" s="1">
        <v>5.0</v>
      </c>
      <c r="H2390" s="1" t="s">
        <v>57</v>
      </c>
      <c r="I2390" s="1" t="s">
        <v>21</v>
      </c>
      <c r="J2390" s="1" t="s">
        <v>18</v>
      </c>
      <c r="K2390" s="1">
        <v>250.0</v>
      </c>
      <c r="L2390" s="1">
        <v>56.9179738</v>
      </c>
      <c r="M2390" s="1">
        <v>24.1007131999999</v>
      </c>
    </row>
    <row r="2391">
      <c r="A2391" s="1" t="s">
        <v>13</v>
      </c>
      <c r="B2391" s="1" t="s">
        <v>104</v>
      </c>
      <c r="C2391" s="1" t="s">
        <v>834</v>
      </c>
      <c r="D2391" s="1">
        <v>3.0</v>
      </c>
      <c r="E2391" s="1">
        <v>87.0</v>
      </c>
      <c r="F2391" s="1">
        <v>9.0</v>
      </c>
      <c r="G2391" s="1">
        <v>9.0</v>
      </c>
      <c r="H2391" s="1" t="s">
        <v>32</v>
      </c>
      <c r="I2391" s="1" t="s">
        <v>122</v>
      </c>
      <c r="J2391" s="1" t="s">
        <v>18</v>
      </c>
      <c r="K2391" s="1">
        <v>600.0</v>
      </c>
      <c r="L2391" s="1">
        <v>56.94825305</v>
      </c>
      <c r="M2391" s="1">
        <v>24.0553285635443</v>
      </c>
    </row>
    <row r="2392">
      <c r="A2392" s="1" t="s">
        <v>22</v>
      </c>
      <c r="B2392" s="1" t="s">
        <v>19</v>
      </c>
      <c r="C2392" s="1" t="s">
        <v>675</v>
      </c>
      <c r="D2392" s="1">
        <v>5.0</v>
      </c>
      <c r="E2392" s="1">
        <v>140.0</v>
      </c>
      <c r="F2392" s="1">
        <v>3.0</v>
      </c>
      <c r="G2392" s="1">
        <v>10.0</v>
      </c>
      <c r="H2392" s="1">
        <v>119.0</v>
      </c>
      <c r="I2392" s="1" t="s">
        <v>21</v>
      </c>
      <c r="J2392" s="1" t="s">
        <v>18</v>
      </c>
      <c r="K2392" s="1">
        <v>105000.0</v>
      </c>
      <c r="L2392" s="1">
        <v>56.9004074</v>
      </c>
      <c r="M2392" s="1">
        <v>24.0837422885217</v>
      </c>
    </row>
    <row r="2393">
      <c r="A2393" s="1" t="s">
        <v>13</v>
      </c>
      <c r="B2393" s="1" t="s">
        <v>28</v>
      </c>
      <c r="C2393" s="1" t="s">
        <v>1653</v>
      </c>
      <c r="D2393" s="1">
        <v>1.0</v>
      </c>
      <c r="E2393" s="1">
        <v>30.0</v>
      </c>
      <c r="F2393" s="1">
        <v>6.0</v>
      </c>
      <c r="G2393" s="1">
        <v>12.0</v>
      </c>
      <c r="H2393" s="1" t="s">
        <v>221</v>
      </c>
      <c r="I2393" s="1" t="s">
        <v>17</v>
      </c>
      <c r="J2393" s="1" t="s">
        <v>18</v>
      </c>
      <c r="K2393" s="1">
        <v>330.0</v>
      </c>
      <c r="L2393" s="1">
        <v>56.91430155</v>
      </c>
      <c r="M2393" s="1">
        <v>24.1686274615939</v>
      </c>
    </row>
    <row r="2394">
      <c r="A2394" s="1" t="s">
        <v>13</v>
      </c>
      <c r="B2394" s="1" t="s">
        <v>14</v>
      </c>
      <c r="C2394" s="1" t="s">
        <v>1654</v>
      </c>
      <c r="D2394" s="1">
        <v>1.0</v>
      </c>
      <c r="E2394" s="1">
        <v>34.0</v>
      </c>
      <c r="F2394" s="1">
        <v>8.0</v>
      </c>
      <c r="G2394" s="1">
        <v>9.0</v>
      </c>
      <c r="H2394" s="1">
        <v>602.0</v>
      </c>
      <c r="I2394" s="1" t="s">
        <v>21</v>
      </c>
      <c r="J2394" s="1" t="s">
        <v>18</v>
      </c>
      <c r="K2394" s="1">
        <v>35.0</v>
      </c>
      <c r="L2394" s="1">
        <v>56.9601343</v>
      </c>
      <c r="M2394" s="1">
        <v>24.1765388172837</v>
      </c>
    </row>
    <row r="2395">
      <c r="A2395" s="1" t="s">
        <v>22</v>
      </c>
      <c r="B2395" s="1" t="s">
        <v>28</v>
      </c>
      <c r="C2395" s="1" t="s">
        <v>1655</v>
      </c>
      <c r="D2395" s="1">
        <v>2.0</v>
      </c>
      <c r="E2395" s="1">
        <v>43.0</v>
      </c>
      <c r="F2395" s="1">
        <v>5.0</v>
      </c>
      <c r="G2395" s="1">
        <v>5.0</v>
      </c>
      <c r="H2395" s="1" t="s">
        <v>44</v>
      </c>
      <c r="I2395" s="1" t="s">
        <v>37</v>
      </c>
      <c r="J2395" s="1" t="s">
        <v>18</v>
      </c>
      <c r="K2395" s="1">
        <v>39000.0</v>
      </c>
      <c r="L2395" s="1">
        <v>56.91425235</v>
      </c>
      <c r="M2395" s="1">
        <v>24.1854833375051</v>
      </c>
    </row>
    <row r="2396">
      <c r="A2396" s="1" t="s">
        <v>22</v>
      </c>
      <c r="B2396" s="1" t="s">
        <v>19</v>
      </c>
      <c r="C2396" s="1" t="s">
        <v>120</v>
      </c>
      <c r="D2396" s="1">
        <v>3.0</v>
      </c>
      <c r="E2396" s="1">
        <v>77.0</v>
      </c>
      <c r="F2396" s="1">
        <v>2.0</v>
      </c>
      <c r="G2396" s="1">
        <v>9.0</v>
      </c>
      <c r="H2396" s="1">
        <v>119.0</v>
      </c>
      <c r="I2396" s="1" t="s">
        <v>21</v>
      </c>
      <c r="J2396" s="1" t="s">
        <v>18</v>
      </c>
      <c r="K2396" s="1">
        <v>79000.0</v>
      </c>
      <c r="L2396" s="1">
        <v>56.89859735</v>
      </c>
      <c r="M2396" s="1">
        <v>24.0876707999998</v>
      </c>
    </row>
    <row r="2397">
      <c r="A2397" s="1" t="s">
        <v>13</v>
      </c>
      <c r="B2397" s="1" t="s">
        <v>23</v>
      </c>
      <c r="C2397" s="1" t="s">
        <v>1642</v>
      </c>
      <c r="D2397" s="1">
        <v>2.0</v>
      </c>
      <c r="E2397" s="1">
        <v>66.0</v>
      </c>
      <c r="F2397" s="1">
        <v>14.0</v>
      </c>
      <c r="G2397" s="1">
        <v>24.0</v>
      </c>
      <c r="H2397" s="1" t="s">
        <v>32</v>
      </c>
      <c r="I2397" s="1" t="s">
        <v>21</v>
      </c>
      <c r="J2397" s="1" t="s">
        <v>18</v>
      </c>
      <c r="K2397" s="1">
        <v>690.0</v>
      </c>
      <c r="L2397" s="1">
        <v>56.9721458</v>
      </c>
      <c r="M2397" s="1">
        <v>24.1258006641927</v>
      </c>
    </row>
    <row r="2398">
      <c r="A2398" s="1" t="s">
        <v>13</v>
      </c>
      <c r="B2398" s="1" t="s">
        <v>23</v>
      </c>
      <c r="C2398" s="1" t="s">
        <v>1656</v>
      </c>
      <c r="D2398" s="1">
        <v>1.0</v>
      </c>
      <c r="E2398" s="1">
        <v>25.0</v>
      </c>
      <c r="F2398" s="1">
        <v>2.0</v>
      </c>
      <c r="G2398" s="1">
        <v>5.0</v>
      </c>
      <c r="H2398" s="1" t="s">
        <v>36</v>
      </c>
      <c r="I2398" s="1" t="s">
        <v>33</v>
      </c>
      <c r="J2398" s="1" t="s">
        <v>18</v>
      </c>
      <c r="K2398" s="1">
        <v>240.0</v>
      </c>
      <c r="L2398" s="1">
        <v>56.9629237</v>
      </c>
      <c r="M2398" s="1">
        <v>24.1513342</v>
      </c>
    </row>
    <row r="2399">
      <c r="A2399" s="1" t="s">
        <v>13</v>
      </c>
      <c r="B2399" s="1" t="s">
        <v>104</v>
      </c>
      <c r="C2399" s="1" t="s">
        <v>834</v>
      </c>
      <c r="D2399" s="1">
        <v>3.0</v>
      </c>
      <c r="E2399" s="1">
        <v>104.0</v>
      </c>
      <c r="F2399" s="1">
        <v>6.0</v>
      </c>
      <c r="G2399" s="1">
        <v>10.0</v>
      </c>
      <c r="H2399" s="1" t="s">
        <v>32</v>
      </c>
      <c r="I2399" s="1" t="s">
        <v>122</v>
      </c>
      <c r="J2399" s="1" t="s">
        <v>18</v>
      </c>
      <c r="K2399" s="1">
        <v>800.0</v>
      </c>
      <c r="L2399" s="1">
        <v>56.94825305</v>
      </c>
      <c r="M2399" s="1">
        <v>24.0553285635443</v>
      </c>
    </row>
    <row r="2400">
      <c r="A2400" s="1" t="s">
        <v>22</v>
      </c>
      <c r="B2400" s="1" t="s">
        <v>14</v>
      </c>
      <c r="C2400" s="1" t="s">
        <v>1657</v>
      </c>
      <c r="D2400" s="1">
        <v>4.0</v>
      </c>
      <c r="E2400" s="1">
        <v>88.0</v>
      </c>
      <c r="F2400" s="1">
        <v>2.0</v>
      </c>
      <c r="G2400" s="1">
        <v>12.0</v>
      </c>
      <c r="H2400" s="1" t="s">
        <v>32</v>
      </c>
      <c r="I2400" s="1" t="s">
        <v>37</v>
      </c>
      <c r="J2400" s="1" t="s">
        <v>18</v>
      </c>
      <c r="K2400" s="1">
        <v>128000.0</v>
      </c>
      <c r="L2400" s="1">
        <v>56.9513344</v>
      </c>
      <c r="M2400" s="1">
        <v>24.184393</v>
      </c>
    </row>
    <row r="2401">
      <c r="A2401" s="1" t="s">
        <v>22</v>
      </c>
      <c r="B2401" s="1" t="s">
        <v>14</v>
      </c>
      <c r="C2401" s="1" t="s">
        <v>1657</v>
      </c>
      <c r="D2401" s="1">
        <v>3.0</v>
      </c>
      <c r="E2401" s="1">
        <v>88.0</v>
      </c>
      <c r="F2401" s="1">
        <v>2.0</v>
      </c>
      <c r="G2401" s="1">
        <v>12.0</v>
      </c>
      <c r="H2401" s="1" t="s">
        <v>32</v>
      </c>
      <c r="I2401" s="1" t="s">
        <v>37</v>
      </c>
      <c r="J2401" s="1" t="s">
        <v>18</v>
      </c>
      <c r="K2401" s="1">
        <v>128000.0</v>
      </c>
      <c r="L2401" s="1">
        <v>56.9513344</v>
      </c>
      <c r="M2401" s="1">
        <v>24.184393</v>
      </c>
    </row>
    <row r="2402">
      <c r="A2402" s="1" t="s">
        <v>22</v>
      </c>
      <c r="B2402" s="1" t="s">
        <v>23</v>
      </c>
      <c r="C2402" s="1" t="s">
        <v>1658</v>
      </c>
      <c r="D2402" s="1">
        <v>2.0</v>
      </c>
      <c r="E2402" s="1">
        <v>51.0</v>
      </c>
      <c r="F2402" s="1">
        <v>5.0</v>
      </c>
      <c r="G2402" s="1">
        <v>5.0</v>
      </c>
      <c r="H2402" s="1" t="s">
        <v>181</v>
      </c>
      <c r="I2402" s="1" t="s">
        <v>33</v>
      </c>
      <c r="J2402" s="1" t="s">
        <v>18</v>
      </c>
      <c r="K2402" s="1">
        <v>79000.0</v>
      </c>
      <c r="L2402" s="1">
        <v>56.96664995</v>
      </c>
      <c r="M2402" s="1">
        <v>24.1481856013305</v>
      </c>
    </row>
    <row r="2403">
      <c r="A2403" s="1" t="s">
        <v>22</v>
      </c>
      <c r="B2403" s="1" t="s">
        <v>23</v>
      </c>
      <c r="C2403" s="1" t="s">
        <v>1659</v>
      </c>
      <c r="D2403" s="1">
        <v>4.0</v>
      </c>
      <c r="E2403" s="1">
        <v>145.0</v>
      </c>
      <c r="F2403" s="1">
        <v>4.0</v>
      </c>
      <c r="G2403" s="1">
        <v>5.0</v>
      </c>
      <c r="H2403" s="1" t="s">
        <v>25</v>
      </c>
      <c r="I2403" s="1" t="s">
        <v>33</v>
      </c>
      <c r="J2403" s="1" t="s">
        <v>18</v>
      </c>
      <c r="K2403" s="1">
        <v>210000.0</v>
      </c>
      <c r="L2403" s="1">
        <v>56.9607613</v>
      </c>
      <c r="M2403" s="1">
        <v>24.1326583764386</v>
      </c>
    </row>
    <row r="2404">
      <c r="A2404" s="1" t="s">
        <v>22</v>
      </c>
      <c r="B2404" s="1" t="s">
        <v>30</v>
      </c>
      <c r="C2404" s="1" t="s">
        <v>1660</v>
      </c>
      <c r="D2404" s="1">
        <v>1.0</v>
      </c>
      <c r="E2404" s="1">
        <v>33.0</v>
      </c>
      <c r="F2404" s="1">
        <v>4.0</v>
      </c>
      <c r="G2404" s="1">
        <v>5.0</v>
      </c>
      <c r="H2404" s="1" t="s">
        <v>36</v>
      </c>
      <c r="I2404" s="1" t="s">
        <v>17</v>
      </c>
      <c r="J2404" s="1" t="s">
        <v>18</v>
      </c>
      <c r="K2404" s="1">
        <v>35500.0</v>
      </c>
      <c r="L2404" s="1">
        <v>56.9718417499999</v>
      </c>
      <c r="M2404" s="1">
        <v>24.1764082415772</v>
      </c>
    </row>
    <row r="2405">
      <c r="A2405" s="1" t="s">
        <v>22</v>
      </c>
      <c r="B2405" s="1" t="s">
        <v>104</v>
      </c>
      <c r="C2405" s="1" t="s">
        <v>1661</v>
      </c>
      <c r="D2405" s="1">
        <v>2.0</v>
      </c>
      <c r="E2405" s="1">
        <v>30.0</v>
      </c>
      <c r="F2405" s="1">
        <v>1.0</v>
      </c>
      <c r="G2405" s="1">
        <v>2.0</v>
      </c>
      <c r="H2405" s="1" t="s">
        <v>66</v>
      </c>
      <c r="I2405" s="1" t="s">
        <v>26</v>
      </c>
      <c r="J2405" s="1" t="s">
        <v>18</v>
      </c>
      <c r="K2405" s="1">
        <v>21500.0</v>
      </c>
      <c r="L2405" s="1">
        <v>56.9372249</v>
      </c>
      <c r="M2405" s="1">
        <v>24.059222740492</v>
      </c>
    </row>
    <row r="2406">
      <c r="A2406" s="1" t="s">
        <v>22</v>
      </c>
      <c r="B2406" s="1" t="s">
        <v>151</v>
      </c>
      <c r="C2406" s="1" t="s">
        <v>1662</v>
      </c>
      <c r="D2406" s="1">
        <v>2.0</v>
      </c>
      <c r="E2406" s="1">
        <v>46.0</v>
      </c>
      <c r="F2406" s="1">
        <v>2.0</v>
      </c>
      <c r="G2406" s="1">
        <v>3.0</v>
      </c>
      <c r="H2406" s="1" t="s">
        <v>44</v>
      </c>
      <c r="I2406" s="1" t="s">
        <v>17</v>
      </c>
      <c r="J2406" s="1" t="s">
        <v>18</v>
      </c>
      <c r="K2406" s="1">
        <v>47000.0</v>
      </c>
      <c r="L2406" s="1">
        <v>56.96666715</v>
      </c>
      <c r="M2406" s="1">
        <v>24.0593143731738</v>
      </c>
    </row>
    <row r="2407">
      <c r="A2407" s="1" t="s">
        <v>13</v>
      </c>
      <c r="B2407" s="1" t="s">
        <v>23</v>
      </c>
      <c r="C2407" s="1" t="s">
        <v>1663</v>
      </c>
      <c r="D2407" s="1">
        <v>2.0</v>
      </c>
      <c r="E2407" s="1">
        <v>62.0</v>
      </c>
      <c r="F2407" s="1">
        <v>4.0</v>
      </c>
      <c r="G2407" s="1">
        <v>5.0</v>
      </c>
      <c r="H2407" s="1" t="s">
        <v>32</v>
      </c>
      <c r="I2407" s="1" t="s">
        <v>17</v>
      </c>
      <c r="J2407" s="1" t="s">
        <v>18</v>
      </c>
      <c r="K2407" s="1">
        <v>750.0</v>
      </c>
      <c r="L2407" s="1">
        <v>56.9547609</v>
      </c>
      <c r="M2407" s="1">
        <v>24.1379234</v>
      </c>
    </row>
    <row r="2408">
      <c r="A2408" s="1" t="s">
        <v>13</v>
      </c>
      <c r="B2408" s="1" t="s">
        <v>82</v>
      </c>
      <c r="C2408" s="1" t="s">
        <v>1664</v>
      </c>
      <c r="D2408" s="1">
        <v>4.0</v>
      </c>
      <c r="E2408" s="1">
        <v>90.0</v>
      </c>
      <c r="F2408" s="1">
        <v>2.0</v>
      </c>
      <c r="G2408" s="1">
        <v>2.0</v>
      </c>
      <c r="H2408" s="1" t="s">
        <v>32</v>
      </c>
      <c r="I2408" s="1" t="s">
        <v>33</v>
      </c>
      <c r="J2408" s="1" t="s">
        <v>18</v>
      </c>
      <c r="K2408" s="1">
        <v>1500.0</v>
      </c>
      <c r="L2408" s="1">
        <v>56.9489344</v>
      </c>
      <c r="M2408" s="1">
        <v>24.0882804</v>
      </c>
    </row>
    <row r="2409">
      <c r="A2409" s="1" t="s">
        <v>22</v>
      </c>
      <c r="B2409" s="1" t="s">
        <v>14</v>
      </c>
      <c r="C2409" s="1" t="s">
        <v>1665</v>
      </c>
      <c r="D2409" s="1">
        <v>1.0</v>
      </c>
      <c r="E2409" s="1">
        <v>42.0</v>
      </c>
      <c r="F2409" s="1">
        <v>4.0</v>
      </c>
      <c r="G2409" s="1">
        <v>5.0</v>
      </c>
      <c r="H2409" s="1" t="s">
        <v>57</v>
      </c>
      <c r="I2409" s="1" t="s">
        <v>21</v>
      </c>
      <c r="J2409" s="1" t="s">
        <v>18</v>
      </c>
      <c r="K2409" s="1">
        <v>35900.0</v>
      </c>
      <c r="L2409" s="1">
        <v>56.96328655</v>
      </c>
      <c r="M2409" s="1">
        <v>24.1970464994909</v>
      </c>
    </row>
    <row r="2410">
      <c r="A2410" s="1" t="s">
        <v>22</v>
      </c>
      <c r="B2410" s="1" t="s">
        <v>14</v>
      </c>
      <c r="C2410" s="1" t="s">
        <v>1666</v>
      </c>
      <c r="D2410" s="1">
        <v>3.0</v>
      </c>
      <c r="E2410" s="1">
        <v>59.0</v>
      </c>
      <c r="F2410" s="1">
        <v>2.0</v>
      </c>
      <c r="G2410" s="1">
        <v>9.0</v>
      </c>
      <c r="H2410" s="1">
        <v>467.0</v>
      </c>
      <c r="I2410" s="1" t="s">
        <v>21</v>
      </c>
      <c r="J2410" s="1" t="s">
        <v>18</v>
      </c>
      <c r="K2410" s="1">
        <v>54500.0</v>
      </c>
      <c r="L2410" s="1">
        <v>56.95714135</v>
      </c>
      <c r="M2410" s="1">
        <v>24.2011722823789</v>
      </c>
    </row>
    <row r="2411">
      <c r="A2411" s="1" t="s">
        <v>131</v>
      </c>
      <c r="B2411" s="1" t="s">
        <v>104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1">
        <v>46.3144754</v>
      </c>
      <c r="M2411" s="1">
        <v>11.0480288</v>
      </c>
    </row>
    <row r="2412">
      <c r="A2412" s="1" t="s">
        <v>131</v>
      </c>
      <c r="B2412" s="1" t="s">
        <v>30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1">
        <v>46.3144754</v>
      </c>
      <c r="M2412" s="1">
        <v>11.0480288</v>
      </c>
    </row>
    <row r="2413">
      <c r="A2413" s="1" t="s">
        <v>131</v>
      </c>
      <c r="B2413" s="1" t="s">
        <v>151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1">
        <v>46.3144754</v>
      </c>
      <c r="M2413" s="1">
        <v>11.0480288</v>
      </c>
    </row>
    <row r="2414">
      <c r="A2414" s="1" t="s">
        <v>131</v>
      </c>
      <c r="B2414" s="1" t="s">
        <v>42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1">
        <v>46.3144754</v>
      </c>
      <c r="M2414" s="1">
        <v>11.0480288</v>
      </c>
    </row>
    <row r="2415">
      <c r="A2415" s="1" t="s">
        <v>131</v>
      </c>
      <c r="B2415" s="1" t="s">
        <v>129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1">
        <v>46.3144754</v>
      </c>
      <c r="M2415" s="1">
        <v>11.0480288</v>
      </c>
    </row>
    <row r="2416">
      <c r="A2416" s="1" t="s">
        <v>131</v>
      </c>
      <c r="B2416" s="1" t="s">
        <v>48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1">
        <v>46.3144754</v>
      </c>
      <c r="M2416" s="1">
        <v>11.0480288</v>
      </c>
    </row>
    <row r="2417">
      <c r="A2417" s="1" t="s">
        <v>131</v>
      </c>
      <c r="B2417" s="1" t="s">
        <v>52</v>
      </c>
      <c r="C2417" s="2"/>
      <c r="D2417" s="1" t="s">
        <v>90</v>
      </c>
      <c r="E2417" s="2"/>
      <c r="F2417" s="2"/>
      <c r="G2417" s="2"/>
      <c r="H2417" s="2"/>
      <c r="I2417" s="2"/>
      <c r="J2417" s="2"/>
      <c r="K2417" s="2"/>
      <c r="L2417" s="1">
        <v>46.3144754</v>
      </c>
      <c r="M2417" s="1">
        <v>11.0480288</v>
      </c>
    </row>
    <row r="2418">
      <c r="A2418" s="1" t="s">
        <v>131</v>
      </c>
      <c r="B2418" s="1" t="s">
        <v>50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1">
        <v>46.3144754</v>
      </c>
      <c r="M2418" s="1">
        <v>11.0480288</v>
      </c>
    </row>
    <row r="2419">
      <c r="A2419" s="1" t="s">
        <v>13</v>
      </c>
      <c r="B2419" s="1" t="s">
        <v>38</v>
      </c>
      <c r="C2419" s="1" t="s">
        <v>1667</v>
      </c>
      <c r="D2419" s="1">
        <v>1.0</v>
      </c>
      <c r="E2419" s="1">
        <v>27.5</v>
      </c>
      <c r="F2419" s="1">
        <v>2.0</v>
      </c>
      <c r="G2419" s="1">
        <v>5.0</v>
      </c>
      <c r="H2419" s="1" t="s">
        <v>16</v>
      </c>
      <c r="I2419" s="1" t="s">
        <v>21</v>
      </c>
      <c r="J2419" s="1" t="s">
        <v>18</v>
      </c>
      <c r="K2419" s="1">
        <v>219.0</v>
      </c>
      <c r="L2419" s="1" t="s">
        <v>40</v>
      </c>
      <c r="M2419" s="1" t="s">
        <v>40</v>
      </c>
    </row>
    <row r="2420">
      <c r="A2420" s="1" t="s">
        <v>22</v>
      </c>
      <c r="B2420" s="1" t="s">
        <v>23</v>
      </c>
      <c r="C2420" s="1" t="s">
        <v>1668</v>
      </c>
      <c r="D2420" s="1">
        <v>5.0</v>
      </c>
      <c r="E2420" s="1">
        <v>120.0</v>
      </c>
      <c r="F2420" s="1">
        <v>4.0</v>
      </c>
      <c r="G2420" s="1">
        <v>5.0</v>
      </c>
      <c r="H2420" s="1" t="s">
        <v>25</v>
      </c>
      <c r="I2420" s="1" t="s">
        <v>33</v>
      </c>
      <c r="J2420" s="1" t="s">
        <v>18</v>
      </c>
      <c r="K2420" s="1">
        <v>135600.0</v>
      </c>
      <c r="L2420" s="1">
        <v>56.9492707</v>
      </c>
      <c r="M2420" s="1">
        <v>24.1290193</v>
      </c>
    </row>
    <row r="2421">
      <c r="A2421" s="1" t="s">
        <v>13</v>
      </c>
      <c r="B2421" s="1" t="s">
        <v>23</v>
      </c>
      <c r="C2421" s="1" t="s">
        <v>1669</v>
      </c>
      <c r="D2421" s="1">
        <v>2.0</v>
      </c>
      <c r="E2421" s="1">
        <v>72.0</v>
      </c>
      <c r="F2421" s="1">
        <v>2.0</v>
      </c>
      <c r="G2421" s="1">
        <v>4.0</v>
      </c>
      <c r="H2421" s="1" t="s">
        <v>25</v>
      </c>
      <c r="I2421" s="1" t="s">
        <v>33</v>
      </c>
      <c r="J2421" s="1" t="s">
        <v>18</v>
      </c>
      <c r="K2421" s="1">
        <v>550.0</v>
      </c>
      <c r="L2421" s="1">
        <v>56.9485304</v>
      </c>
      <c r="M2421" s="1">
        <v>24.1085148</v>
      </c>
    </row>
    <row r="2422">
      <c r="A2422" s="1" t="s">
        <v>13</v>
      </c>
      <c r="B2422" s="1" t="s">
        <v>129</v>
      </c>
      <c r="C2422" s="1" t="s">
        <v>1670</v>
      </c>
      <c r="D2422" s="1">
        <v>1.0</v>
      </c>
      <c r="E2422" s="1">
        <v>35.0</v>
      </c>
      <c r="F2422" s="1">
        <v>1.0</v>
      </c>
      <c r="G2422" s="1">
        <v>5.0</v>
      </c>
      <c r="H2422" s="1">
        <v>103.0</v>
      </c>
      <c r="I2422" s="1" t="s">
        <v>122</v>
      </c>
      <c r="J2422" s="1" t="s">
        <v>18</v>
      </c>
      <c r="K2422" s="1">
        <v>230.0</v>
      </c>
      <c r="L2422" s="1">
        <v>56.9950439499999</v>
      </c>
      <c r="M2422" s="1">
        <v>24.1270103106298</v>
      </c>
    </row>
    <row r="2423">
      <c r="A2423" s="1" t="s">
        <v>22</v>
      </c>
      <c r="B2423" s="1" t="s">
        <v>104</v>
      </c>
      <c r="C2423" s="1" t="s">
        <v>1661</v>
      </c>
      <c r="D2423" s="1">
        <v>2.0</v>
      </c>
      <c r="E2423" s="1">
        <v>49.0</v>
      </c>
      <c r="F2423" s="1">
        <v>2.0</v>
      </c>
      <c r="G2423" s="1">
        <v>2.0</v>
      </c>
      <c r="H2423" s="1" t="s">
        <v>66</v>
      </c>
      <c r="I2423" s="1" t="s">
        <v>26</v>
      </c>
      <c r="J2423" s="1" t="s">
        <v>18</v>
      </c>
      <c r="K2423" s="1">
        <v>34300.0</v>
      </c>
      <c r="L2423" s="1">
        <v>56.9372249</v>
      </c>
      <c r="M2423" s="1">
        <v>24.059222740492</v>
      </c>
    </row>
    <row r="2424">
      <c r="A2424" s="1" t="s">
        <v>89</v>
      </c>
      <c r="B2424" s="1" t="s">
        <v>19</v>
      </c>
      <c r="C2424" s="2"/>
      <c r="D2424" s="1">
        <v>3.0</v>
      </c>
      <c r="E2424" s="2"/>
      <c r="F2424" s="2"/>
      <c r="G2424" s="2"/>
      <c r="H2424" s="2"/>
      <c r="I2424" s="2"/>
      <c r="J2424" s="1" t="s">
        <v>18</v>
      </c>
      <c r="K2424" s="2"/>
      <c r="L2424" s="1">
        <v>46.3144754</v>
      </c>
      <c r="M2424" s="1">
        <v>11.0480288</v>
      </c>
    </row>
    <row r="2425">
      <c r="A2425" s="1" t="s">
        <v>22</v>
      </c>
      <c r="B2425" s="1" t="s">
        <v>96</v>
      </c>
      <c r="C2425" s="1" t="s">
        <v>1671</v>
      </c>
      <c r="D2425" s="1">
        <v>1.0</v>
      </c>
      <c r="E2425" s="1">
        <v>34.0</v>
      </c>
      <c r="F2425" s="1">
        <v>1.0</v>
      </c>
      <c r="G2425" s="1">
        <v>2.0</v>
      </c>
      <c r="H2425" s="1" t="s">
        <v>44</v>
      </c>
      <c r="I2425" s="1" t="s">
        <v>37</v>
      </c>
      <c r="J2425" s="1" t="s">
        <v>18</v>
      </c>
      <c r="K2425" s="1">
        <v>37000.0</v>
      </c>
      <c r="L2425" s="1">
        <v>57.0342321499999</v>
      </c>
      <c r="M2425" s="1">
        <v>24.10036775</v>
      </c>
    </row>
    <row r="2426">
      <c r="A2426" s="1" t="s">
        <v>13</v>
      </c>
      <c r="B2426" s="1" t="s">
        <v>23</v>
      </c>
      <c r="C2426" s="1" t="s">
        <v>1672</v>
      </c>
      <c r="D2426" s="1">
        <v>1.0</v>
      </c>
      <c r="E2426" s="1">
        <v>20.0</v>
      </c>
      <c r="F2426" s="1">
        <v>1.0</v>
      </c>
      <c r="G2426" s="1">
        <v>5.0</v>
      </c>
      <c r="H2426" s="1" t="s">
        <v>25</v>
      </c>
      <c r="I2426" s="1" t="s">
        <v>33</v>
      </c>
      <c r="J2426" s="1" t="s">
        <v>18</v>
      </c>
      <c r="K2426" s="1">
        <v>125.0</v>
      </c>
      <c r="L2426" s="1">
        <v>56.95619685</v>
      </c>
      <c r="M2426" s="1">
        <v>24.098819615355</v>
      </c>
    </row>
    <row r="2427">
      <c r="A2427" s="1" t="s">
        <v>13</v>
      </c>
      <c r="B2427" s="1" t="s">
        <v>104</v>
      </c>
      <c r="C2427" s="1" t="s">
        <v>1673</v>
      </c>
      <c r="D2427" s="1">
        <v>2.0</v>
      </c>
      <c r="E2427" s="1">
        <v>43.0</v>
      </c>
      <c r="F2427" s="1">
        <v>3.0</v>
      </c>
      <c r="G2427" s="1">
        <v>3.0</v>
      </c>
      <c r="H2427" s="1" t="s">
        <v>181</v>
      </c>
      <c r="I2427" s="1" t="s">
        <v>33</v>
      </c>
      <c r="J2427" s="1" t="s">
        <v>18</v>
      </c>
      <c r="K2427" s="1">
        <v>320.0</v>
      </c>
      <c r="L2427" s="1">
        <v>56.93178985</v>
      </c>
      <c r="M2427" s="1">
        <v>24.076087419374</v>
      </c>
    </row>
    <row r="2428">
      <c r="A2428" s="1" t="s">
        <v>22</v>
      </c>
      <c r="B2428" s="1" t="s">
        <v>104</v>
      </c>
      <c r="C2428" s="1" t="s">
        <v>1439</v>
      </c>
      <c r="D2428" s="1">
        <v>2.0</v>
      </c>
      <c r="E2428" s="1">
        <v>55.0</v>
      </c>
      <c r="F2428" s="1">
        <v>2.0</v>
      </c>
      <c r="G2428" s="1">
        <v>2.0</v>
      </c>
      <c r="H2428" s="1" t="s">
        <v>66</v>
      </c>
      <c r="I2428" s="1" t="s">
        <v>26</v>
      </c>
      <c r="J2428" s="1" t="s">
        <v>18</v>
      </c>
      <c r="K2428" s="1">
        <v>62000.0</v>
      </c>
      <c r="L2428" s="1">
        <v>56.94731475</v>
      </c>
      <c r="M2428" s="1">
        <v>24.0609152601247</v>
      </c>
    </row>
    <row r="2429">
      <c r="A2429" s="1" t="s">
        <v>22</v>
      </c>
      <c r="B2429" s="1" t="s">
        <v>23</v>
      </c>
      <c r="C2429" s="1" t="s">
        <v>1674</v>
      </c>
      <c r="D2429" s="1">
        <v>3.0</v>
      </c>
      <c r="E2429" s="1">
        <v>58.0</v>
      </c>
      <c r="F2429" s="1">
        <v>1.0</v>
      </c>
      <c r="G2429" s="1">
        <v>3.0</v>
      </c>
      <c r="H2429" s="1" t="s">
        <v>66</v>
      </c>
      <c r="I2429" s="1" t="s">
        <v>33</v>
      </c>
      <c r="J2429" s="1" t="s">
        <v>18</v>
      </c>
      <c r="K2429" s="1">
        <v>87000.0</v>
      </c>
      <c r="L2429" s="1">
        <v>56.9518761</v>
      </c>
      <c r="M2429" s="1">
        <v>24.1257094</v>
      </c>
    </row>
    <row r="2430">
      <c r="A2430" s="1" t="s">
        <v>22</v>
      </c>
      <c r="B2430" s="1" t="s">
        <v>104</v>
      </c>
      <c r="C2430" s="1" t="s">
        <v>1675</v>
      </c>
      <c r="D2430" s="1">
        <v>3.0</v>
      </c>
      <c r="E2430" s="1">
        <v>98.0</v>
      </c>
      <c r="F2430" s="1">
        <v>2.0</v>
      </c>
      <c r="G2430" s="1">
        <v>2.0</v>
      </c>
      <c r="H2430" s="1" t="s">
        <v>66</v>
      </c>
      <c r="I2430" s="1" t="s">
        <v>26</v>
      </c>
      <c r="J2430" s="1" t="s">
        <v>18</v>
      </c>
      <c r="K2430" s="1">
        <v>160000.0</v>
      </c>
      <c r="L2430" s="1">
        <v>56.9414334</v>
      </c>
      <c r="M2430" s="1">
        <v>24.0708978</v>
      </c>
    </row>
    <row r="2431">
      <c r="A2431" s="1" t="s">
        <v>22</v>
      </c>
      <c r="B2431" s="1" t="s">
        <v>104</v>
      </c>
      <c r="C2431" s="1" t="s">
        <v>619</v>
      </c>
      <c r="D2431" s="1">
        <v>2.0</v>
      </c>
      <c r="E2431" s="1">
        <v>51.0</v>
      </c>
      <c r="F2431" s="1">
        <v>4.0</v>
      </c>
      <c r="G2431" s="1">
        <v>4.0</v>
      </c>
      <c r="H2431" s="1" t="s">
        <v>66</v>
      </c>
      <c r="I2431" s="1" t="s">
        <v>33</v>
      </c>
      <c r="J2431" s="1" t="s">
        <v>18</v>
      </c>
      <c r="K2431" s="1">
        <v>66000.0</v>
      </c>
      <c r="L2431" s="1">
        <v>56.9474705</v>
      </c>
      <c r="M2431" s="1">
        <v>24.0604076</v>
      </c>
    </row>
    <row r="2432">
      <c r="A2432" s="1" t="s">
        <v>13</v>
      </c>
      <c r="B2432" s="1" t="s">
        <v>23</v>
      </c>
      <c r="C2432" s="1" t="s">
        <v>539</v>
      </c>
      <c r="D2432" s="1">
        <v>3.0</v>
      </c>
      <c r="E2432" s="1">
        <v>61.0</v>
      </c>
      <c r="F2432" s="1">
        <v>2.0</v>
      </c>
      <c r="G2432" s="1">
        <v>6.0</v>
      </c>
      <c r="H2432" s="1" t="s">
        <v>66</v>
      </c>
      <c r="I2432" s="1" t="s">
        <v>33</v>
      </c>
      <c r="J2432" s="1" t="s">
        <v>18</v>
      </c>
      <c r="K2432" s="1">
        <v>500.0</v>
      </c>
      <c r="L2432" s="1">
        <v>56.9626863</v>
      </c>
      <c r="M2432" s="1">
        <v>24.1480584</v>
      </c>
    </row>
    <row r="2433">
      <c r="A2433" s="1" t="s">
        <v>22</v>
      </c>
      <c r="B2433" s="1" t="s">
        <v>104</v>
      </c>
      <c r="C2433" s="1" t="s">
        <v>619</v>
      </c>
      <c r="D2433" s="1">
        <v>2.0</v>
      </c>
      <c r="E2433" s="1">
        <v>52.3</v>
      </c>
      <c r="F2433" s="1">
        <v>4.0</v>
      </c>
      <c r="G2433" s="1">
        <v>4.0</v>
      </c>
      <c r="H2433" s="1" t="s">
        <v>66</v>
      </c>
      <c r="I2433" s="1" t="s">
        <v>33</v>
      </c>
      <c r="J2433" s="1" t="s">
        <v>18</v>
      </c>
      <c r="K2433" s="1">
        <v>67990.0</v>
      </c>
      <c r="L2433" s="1">
        <v>56.9474705</v>
      </c>
      <c r="M2433" s="1">
        <v>24.0604076</v>
      </c>
    </row>
    <row r="2434">
      <c r="A2434" s="1" t="s">
        <v>22</v>
      </c>
      <c r="B2434" s="1" t="s">
        <v>218</v>
      </c>
      <c r="C2434" s="1" t="s">
        <v>1676</v>
      </c>
      <c r="D2434" s="1">
        <v>1.0</v>
      </c>
      <c r="E2434" s="1">
        <v>12.0</v>
      </c>
      <c r="F2434" s="1">
        <v>2.0</v>
      </c>
      <c r="G2434" s="1">
        <v>4.0</v>
      </c>
      <c r="H2434" s="1" t="s">
        <v>25</v>
      </c>
      <c r="I2434" s="1" t="s">
        <v>33</v>
      </c>
      <c r="J2434" s="1" t="s">
        <v>18</v>
      </c>
      <c r="K2434" s="1">
        <v>44990.0</v>
      </c>
      <c r="L2434" s="1">
        <v>56.9487783</v>
      </c>
      <c r="M2434" s="1">
        <v>24.1075908</v>
      </c>
    </row>
    <row r="2435">
      <c r="A2435" s="1" t="s">
        <v>22</v>
      </c>
      <c r="B2435" s="1" t="s">
        <v>218</v>
      </c>
      <c r="C2435" s="1" t="s">
        <v>1676</v>
      </c>
      <c r="D2435" s="1">
        <v>2.0</v>
      </c>
      <c r="E2435" s="1">
        <v>25.0</v>
      </c>
      <c r="F2435" s="1">
        <v>2.0</v>
      </c>
      <c r="G2435" s="1">
        <v>4.0</v>
      </c>
      <c r="H2435" s="1" t="s">
        <v>25</v>
      </c>
      <c r="I2435" s="1" t="s">
        <v>33</v>
      </c>
      <c r="J2435" s="1" t="s">
        <v>18</v>
      </c>
      <c r="K2435" s="1">
        <v>69990.0</v>
      </c>
      <c r="L2435" s="1">
        <v>56.9487783</v>
      </c>
      <c r="M2435" s="1">
        <v>24.1075908</v>
      </c>
    </row>
    <row r="2436">
      <c r="A2436" s="1" t="s">
        <v>89</v>
      </c>
      <c r="B2436" s="1" t="s">
        <v>76</v>
      </c>
      <c r="C2436" s="2"/>
      <c r="D2436" s="1">
        <v>3.0</v>
      </c>
      <c r="E2436" s="2"/>
      <c r="F2436" s="2"/>
      <c r="G2436" s="2"/>
      <c r="H2436" s="2"/>
      <c r="I2436" s="2"/>
      <c r="J2436" s="2"/>
      <c r="K2436" s="2"/>
      <c r="L2436" s="1">
        <v>46.3144754</v>
      </c>
      <c r="M2436" s="1">
        <v>11.0480288</v>
      </c>
    </row>
    <row r="2437">
      <c r="A2437" s="1" t="s">
        <v>89</v>
      </c>
      <c r="B2437" s="1" t="s">
        <v>23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1">
        <v>46.3144754</v>
      </c>
      <c r="M2437" s="1">
        <v>11.0480288</v>
      </c>
    </row>
    <row r="2438">
      <c r="A2438" s="1" t="s">
        <v>13</v>
      </c>
      <c r="B2438" s="1" t="s">
        <v>23</v>
      </c>
      <c r="C2438" s="1" t="s">
        <v>1392</v>
      </c>
      <c r="D2438" s="1">
        <v>3.0</v>
      </c>
      <c r="E2438" s="1">
        <v>64.0</v>
      </c>
      <c r="F2438" s="1">
        <v>2.0</v>
      </c>
      <c r="G2438" s="1">
        <v>5.0</v>
      </c>
      <c r="H2438" s="1" t="s">
        <v>66</v>
      </c>
      <c r="I2438" s="1" t="s">
        <v>37</v>
      </c>
      <c r="J2438" s="1" t="s">
        <v>18</v>
      </c>
      <c r="K2438" s="1">
        <v>600.0</v>
      </c>
      <c r="L2438" s="1">
        <v>56.9472036</v>
      </c>
      <c r="M2438" s="1">
        <v>24.1135378</v>
      </c>
    </row>
    <row r="2439">
      <c r="A2439" s="1" t="s">
        <v>22</v>
      </c>
      <c r="B2439" s="1" t="s">
        <v>14</v>
      </c>
      <c r="C2439" s="1" t="s">
        <v>1542</v>
      </c>
      <c r="D2439" s="1">
        <v>1.0</v>
      </c>
      <c r="E2439" s="1">
        <v>49.0</v>
      </c>
      <c r="F2439" s="1">
        <v>11.0</v>
      </c>
      <c r="G2439" s="1">
        <v>16.0</v>
      </c>
      <c r="H2439" s="1">
        <v>104.0</v>
      </c>
      <c r="I2439" s="1" t="s">
        <v>21</v>
      </c>
      <c r="J2439" s="1" t="s">
        <v>18</v>
      </c>
      <c r="K2439" s="1">
        <v>44000.0</v>
      </c>
      <c r="L2439" s="1">
        <v>56.9583699</v>
      </c>
      <c r="M2439" s="1">
        <v>24.1789809</v>
      </c>
    </row>
    <row r="2440">
      <c r="A2440" s="1" t="s">
        <v>22</v>
      </c>
      <c r="B2440" s="1" t="s">
        <v>14</v>
      </c>
      <c r="C2440" s="1" t="s">
        <v>1677</v>
      </c>
      <c r="D2440" s="1">
        <v>3.0</v>
      </c>
      <c r="E2440" s="1">
        <v>110.0</v>
      </c>
      <c r="F2440" s="1">
        <v>2.0</v>
      </c>
      <c r="G2440" s="1">
        <v>3.0</v>
      </c>
      <c r="H2440" s="1" t="s">
        <v>32</v>
      </c>
      <c r="I2440" s="1" t="s">
        <v>17</v>
      </c>
      <c r="J2440" s="1" t="s">
        <v>18</v>
      </c>
      <c r="K2440" s="1">
        <v>175000.0</v>
      </c>
      <c r="L2440" s="1">
        <v>56.9546261</v>
      </c>
      <c r="M2440" s="1">
        <v>24.1871945494647</v>
      </c>
    </row>
    <row r="2441">
      <c r="A2441" s="1" t="s">
        <v>22</v>
      </c>
      <c r="B2441" s="1" t="s">
        <v>23</v>
      </c>
      <c r="C2441" s="1" t="s">
        <v>1122</v>
      </c>
      <c r="D2441" s="1">
        <v>2.0</v>
      </c>
      <c r="E2441" s="1">
        <v>74.4</v>
      </c>
      <c r="F2441" s="1">
        <v>4.0</v>
      </c>
      <c r="G2441" s="1">
        <v>5.0</v>
      </c>
      <c r="H2441" s="1" t="s">
        <v>25</v>
      </c>
      <c r="I2441" s="1" t="s">
        <v>33</v>
      </c>
      <c r="J2441" s="1" t="s">
        <v>18</v>
      </c>
      <c r="K2441" s="1">
        <v>135000.0</v>
      </c>
      <c r="L2441" s="1">
        <v>56.9544354</v>
      </c>
      <c r="M2441" s="1">
        <v>24.1200833</v>
      </c>
    </row>
    <row r="2442">
      <c r="A2442" s="1" t="s">
        <v>13</v>
      </c>
      <c r="B2442" s="1" t="s">
        <v>447</v>
      </c>
      <c r="C2442" s="1" t="s">
        <v>1678</v>
      </c>
      <c r="D2442" s="1">
        <v>2.0</v>
      </c>
      <c r="E2442" s="1">
        <v>44.0</v>
      </c>
      <c r="F2442" s="1">
        <v>1.0</v>
      </c>
      <c r="G2442" s="1">
        <v>2.0</v>
      </c>
      <c r="H2442" s="1" t="s">
        <v>171</v>
      </c>
      <c r="I2442" s="1" t="s">
        <v>26</v>
      </c>
      <c r="J2442" s="1" t="s">
        <v>18</v>
      </c>
      <c r="K2442" s="1">
        <v>280.0</v>
      </c>
      <c r="L2442" s="1">
        <v>56.9269604</v>
      </c>
      <c r="M2442" s="1">
        <v>24.092061462774</v>
      </c>
    </row>
    <row r="2443">
      <c r="A2443" s="1" t="s">
        <v>22</v>
      </c>
      <c r="B2443" s="1" t="s">
        <v>23</v>
      </c>
      <c r="C2443" s="1" t="s">
        <v>1679</v>
      </c>
      <c r="D2443" s="1">
        <v>3.0</v>
      </c>
      <c r="E2443" s="1">
        <v>82.0</v>
      </c>
      <c r="F2443" s="1">
        <v>2.0</v>
      </c>
      <c r="G2443" s="1">
        <v>4.0</v>
      </c>
      <c r="H2443" s="1" t="s">
        <v>25</v>
      </c>
      <c r="I2443" s="1" t="s">
        <v>33</v>
      </c>
      <c r="J2443" s="1" t="s">
        <v>18</v>
      </c>
      <c r="K2443" s="1">
        <v>90000.0</v>
      </c>
      <c r="L2443" s="1">
        <v>56.9510944999999</v>
      </c>
      <c r="M2443" s="1">
        <v>24.1420216727895</v>
      </c>
    </row>
    <row r="2444">
      <c r="A2444" s="1" t="s">
        <v>22</v>
      </c>
      <c r="B2444" s="1" t="s">
        <v>30</v>
      </c>
      <c r="C2444" s="1" t="s">
        <v>87</v>
      </c>
      <c r="D2444" s="1">
        <v>4.0</v>
      </c>
      <c r="E2444" s="1">
        <v>131.0</v>
      </c>
      <c r="F2444" s="1">
        <v>2.0</v>
      </c>
      <c r="G2444" s="1">
        <v>6.0</v>
      </c>
      <c r="H2444" s="1" t="s">
        <v>36</v>
      </c>
      <c r="I2444" s="1" t="s">
        <v>122</v>
      </c>
      <c r="J2444" s="1" t="s">
        <v>18</v>
      </c>
      <c r="K2444" s="1">
        <v>110000.0</v>
      </c>
      <c r="L2444" s="1">
        <v>56.98279245</v>
      </c>
      <c r="M2444" s="1">
        <v>24.1963668754421</v>
      </c>
    </row>
    <row r="2445">
      <c r="A2445" s="1" t="s">
        <v>13</v>
      </c>
      <c r="B2445" s="1" t="s">
        <v>104</v>
      </c>
      <c r="C2445" s="1" t="s">
        <v>1680</v>
      </c>
      <c r="D2445" s="1">
        <v>2.0</v>
      </c>
      <c r="E2445" s="1">
        <v>58.0</v>
      </c>
      <c r="F2445" s="1">
        <v>2.0</v>
      </c>
      <c r="G2445" s="1">
        <v>4.0</v>
      </c>
      <c r="H2445" s="1" t="s">
        <v>25</v>
      </c>
      <c r="I2445" s="1" t="s">
        <v>33</v>
      </c>
      <c r="J2445" s="1" t="s">
        <v>18</v>
      </c>
      <c r="K2445" s="1">
        <v>450.0</v>
      </c>
      <c r="L2445" s="1">
        <v>56.9453372</v>
      </c>
      <c r="M2445" s="1">
        <v>24.0731765</v>
      </c>
    </row>
    <row r="2446">
      <c r="A2446" s="1" t="s">
        <v>13</v>
      </c>
      <c r="B2446" s="1" t="s">
        <v>151</v>
      </c>
      <c r="C2446" s="1" t="s">
        <v>1681</v>
      </c>
      <c r="D2446" s="1">
        <v>1.0</v>
      </c>
      <c r="E2446" s="1">
        <v>30.0</v>
      </c>
      <c r="F2446" s="1">
        <v>4.0</v>
      </c>
      <c r="G2446" s="1">
        <v>5.0</v>
      </c>
      <c r="H2446" s="1" t="s">
        <v>44</v>
      </c>
      <c r="I2446" s="1" t="s">
        <v>37</v>
      </c>
      <c r="J2446" s="1" t="s">
        <v>18</v>
      </c>
      <c r="K2446" s="1">
        <v>230.0</v>
      </c>
      <c r="L2446" s="1">
        <v>56.96548875</v>
      </c>
      <c r="M2446" s="1">
        <v>24.0492982249842</v>
      </c>
    </row>
    <row r="2447">
      <c r="A2447" s="1" t="s">
        <v>22</v>
      </c>
      <c r="B2447" s="1" t="s">
        <v>174</v>
      </c>
      <c r="C2447" s="1" t="s">
        <v>1682</v>
      </c>
      <c r="D2447" s="1">
        <v>2.0</v>
      </c>
      <c r="E2447" s="1">
        <v>46.0</v>
      </c>
      <c r="F2447" s="1">
        <v>3.0</v>
      </c>
      <c r="G2447" s="1">
        <v>5.0</v>
      </c>
      <c r="H2447" s="1">
        <v>103.0</v>
      </c>
      <c r="I2447" s="1" t="s">
        <v>17</v>
      </c>
      <c r="J2447" s="1" t="s">
        <v>18</v>
      </c>
      <c r="K2447" s="1">
        <v>46000.0</v>
      </c>
      <c r="L2447" s="1">
        <v>56.94805795</v>
      </c>
      <c r="M2447" s="1">
        <v>24.170844288344</v>
      </c>
    </row>
    <row r="2448">
      <c r="A2448" s="1" t="s">
        <v>89</v>
      </c>
      <c r="B2448" s="1" t="s">
        <v>104</v>
      </c>
      <c r="C2448" s="2"/>
      <c r="D2448" s="1">
        <v>2.0</v>
      </c>
      <c r="E2448" s="2"/>
      <c r="F2448" s="2"/>
      <c r="G2448" s="2"/>
      <c r="H2448" s="2"/>
      <c r="I2448" s="2"/>
      <c r="J2448" s="2"/>
      <c r="K2448" s="2"/>
      <c r="L2448" s="1">
        <v>46.3144754</v>
      </c>
      <c r="M2448" s="1">
        <v>11.0480288</v>
      </c>
    </row>
    <row r="2449">
      <c r="A2449" s="1" t="s">
        <v>13</v>
      </c>
      <c r="B2449" s="1" t="s">
        <v>38</v>
      </c>
      <c r="C2449" s="1" t="s">
        <v>1683</v>
      </c>
      <c r="D2449" s="1">
        <v>3.0</v>
      </c>
      <c r="E2449" s="1">
        <v>89.0</v>
      </c>
      <c r="F2449" s="1">
        <v>3.0</v>
      </c>
      <c r="G2449" s="1">
        <v>4.0</v>
      </c>
      <c r="H2449" s="1" t="s">
        <v>32</v>
      </c>
      <c r="I2449" s="1" t="s">
        <v>17</v>
      </c>
      <c r="J2449" s="1" t="s">
        <v>18</v>
      </c>
      <c r="K2449" s="1">
        <v>50.0</v>
      </c>
      <c r="L2449" s="1">
        <v>56.9617208</v>
      </c>
      <c r="M2449" s="1">
        <v>24.0058212972619</v>
      </c>
    </row>
    <row r="2450">
      <c r="A2450" s="1" t="s">
        <v>22</v>
      </c>
      <c r="B2450" s="1" t="s">
        <v>422</v>
      </c>
      <c r="C2450" s="1" t="s">
        <v>1684</v>
      </c>
      <c r="D2450" s="1">
        <v>1.0</v>
      </c>
      <c r="E2450" s="1">
        <v>18.0</v>
      </c>
      <c r="F2450" s="1">
        <v>3.0</v>
      </c>
      <c r="G2450" s="1">
        <v>3.0</v>
      </c>
      <c r="H2450" s="1" t="s">
        <v>36</v>
      </c>
      <c r="I2450" s="1" t="s">
        <v>37</v>
      </c>
      <c r="J2450" s="1" t="s">
        <v>18</v>
      </c>
      <c r="K2450" s="1">
        <v>10950.0</v>
      </c>
      <c r="L2450" s="1">
        <v>56.9399149</v>
      </c>
      <c r="M2450" s="1">
        <v>24.0365127</v>
      </c>
    </row>
    <row r="2451">
      <c r="A2451" s="1" t="s">
        <v>89</v>
      </c>
      <c r="B2451" s="1" t="s">
        <v>129</v>
      </c>
      <c r="C2451" s="2"/>
      <c r="D2451" s="1">
        <v>2.0</v>
      </c>
      <c r="E2451" s="2"/>
      <c r="F2451" s="2"/>
      <c r="G2451" s="2"/>
      <c r="H2451" s="2"/>
      <c r="I2451" s="2"/>
      <c r="J2451" s="2"/>
      <c r="K2451" s="2"/>
      <c r="L2451" s="1">
        <v>46.3144754</v>
      </c>
      <c r="M2451" s="1">
        <v>11.0480288</v>
      </c>
    </row>
    <row r="2452">
      <c r="A2452" s="1" t="s">
        <v>13</v>
      </c>
      <c r="B2452" s="1" t="s">
        <v>23</v>
      </c>
      <c r="C2452" s="1" t="s">
        <v>888</v>
      </c>
      <c r="D2452" s="1">
        <v>1.0</v>
      </c>
      <c r="E2452" s="1">
        <v>25.0</v>
      </c>
      <c r="F2452" s="1">
        <v>5.0</v>
      </c>
      <c r="G2452" s="1">
        <v>5.0</v>
      </c>
      <c r="H2452" s="1" t="s">
        <v>66</v>
      </c>
      <c r="I2452" s="1" t="s">
        <v>37</v>
      </c>
      <c r="J2452" s="1" t="s">
        <v>18</v>
      </c>
      <c r="K2452" s="1">
        <v>23.0</v>
      </c>
      <c r="L2452" s="1">
        <v>56.94863315</v>
      </c>
      <c r="M2452" s="1">
        <v>24.1500322</v>
      </c>
    </row>
    <row r="2453">
      <c r="A2453" s="1" t="s">
        <v>89</v>
      </c>
      <c r="B2453" s="1" t="s">
        <v>28</v>
      </c>
      <c r="C2453" s="2"/>
      <c r="D2453" s="1">
        <v>2.0</v>
      </c>
      <c r="E2453" s="2"/>
      <c r="F2453" s="2"/>
      <c r="G2453" s="2"/>
      <c r="H2453" s="2"/>
      <c r="I2453" s="2"/>
      <c r="J2453" s="2"/>
      <c r="K2453" s="2"/>
      <c r="L2453" s="1">
        <v>46.3144754</v>
      </c>
      <c r="M2453" s="1">
        <v>11.0480288</v>
      </c>
    </row>
    <row r="2454">
      <c r="A2454" s="1" t="s">
        <v>22</v>
      </c>
      <c r="B2454" s="1" t="s">
        <v>48</v>
      </c>
      <c r="C2454" s="1" t="s">
        <v>1685</v>
      </c>
      <c r="D2454" s="1">
        <v>3.0</v>
      </c>
      <c r="E2454" s="1">
        <v>55.0</v>
      </c>
      <c r="F2454" s="1">
        <v>2.0</v>
      </c>
      <c r="G2454" s="1">
        <v>5.0</v>
      </c>
      <c r="H2454" s="1" t="s">
        <v>16</v>
      </c>
      <c r="I2454" s="1" t="s">
        <v>21</v>
      </c>
      <c r="J2454" s="1" t="s">
        <v>18</v>
      </c>
      <c r="K2454" s="1">
        <v>48300.0</v>
      </c>
      <c r="L2454" s="1">
        <v>56.9727809</v>
      </c>
      <c r="M2454" s="1">
        <v>24.23367245</v>
      </c>
    </row>
    <row r="2455">
      <c r="A2455" s="1" t="s">
        <v>22</v>
      </c>
      <c r="B2455" s="1" t="s">
        <v>151</v>
      </c>
      <c r="C2455" s="1" t="s">
        <v>1686</v>
      </c>
      <c r="D2455" s="1">
        <v>1.0</v>
      </c>
      <c r="E2455" s="1">
        <v>30.0</v>
      </c>
      <c r="F2455" s="1">
        <v>1.0</v>
      </c>
      <c r="G2455" s="1">
        <v>4.0</v>
      </c>
      <c r="H2455" s="1" t="s">
        <v>36</v>
      </c>
      <c r="I2455" s="1" t="s">
        <v>37</v>
      </c>
      <c r="J2455" s="1" t="s">
        <v>18</v>
      </c>
      <c r="K2455" s="1">
        <v>25900.0</v>
      </c>
      <c r="L2455" s="1">
        <v>56.96824655</v>
      </c>
      <c r="M2455" s="1">
        <v>24.066163499229</v>
      </c>
    </row>
    <row r="2456">
      <c r="A2456" s="1" t="s">
        <v>13</v>
      </c>
      <c r="B2456" s="1" t="s">
        <v>23</v>
      </c>
      <c r="C2456" s="1" t="s">
        <v>663</v>
      </c>
      <c r="D2456" s="1">
        <v>1.0</v>
      </c>
      <c r="E2456" s="1">
        <v>13.0</v>
      </c>
      <c r="F2456" s="1">
        <v>5.0</v>
      </c>
      <c r="G2456" s="1">
        <v>5.0</v>
      </c>
      <c r="H2456" s="1" t="s">
        <v>25</v>
      </c>
      <c r="I2456" s="1" t="s">
        <v>33</v>
      </c>
      <c r="J2456" s="1" t="s">
        <v>18</v>
      </c>
      <c r="K2456" s="1">
        <v>150.0</v>
      </c>
      <c r="L2456" s="1">
        <v>56.94970365</v>
      </c>
      <c r="M2456" s="1">
        <v>24.1381836611306</v>
      </c>
    </row>
    <row r="2457">
      <c r="A2457" s="1" t="s">
        <v>22</v>
      </c>
      <c r="B2457" s="1" t="s">
        <v>38</v>
      </c>
      <c r="C2457" s="1" t="s">
        <v>1687</v>
      </c>
      <c r="D2457" s="1">
        <v>2.0</v>
      </c>
      <c r="E2457" s="1">
        <v>50.0</v>
      </c>
      <c r="F2457" s="1">
        <v>5.0</v>
      </c>
      <c r="G2457" s="1">
        <v>9.0</v>
      </c>
      <c r="H2457" s="1">
        <v>602.0</v>
      </c>
      <c r="I2457" s="1" t="s">
        <v>21</v>
      </c>
      <c r="J2457" s="1" t="s">
        <v>18</v>
      </c>
      <c r="K2457" s="1">
        <v>57500.0</v>
      </c>
      <c r="L2457" s="1">
        <v>56.96459075</v>
      </c>
      <c r="M2457" s="1">
        <v>24.0241874</v>
      </c>
    </row>
    <row r="2458">
      <c r="A2458" s="1" t="s">
        <v>13</v>
      </c>
      <c r="B2458" s="1" t="s">
        <v>23</v>
      </c>
      <c r="C2458" s="1" t="s">
        <v>1286</v>
      </c>
      <c r="D2458" s="1">
        <v>2.0</v>
      </c>
      <c r="E2458" s="1">
        <v>41.0</v>
      </c>
      <c r="F2458" s="1">
        <v>2.0</v>
      </c>
      <c r="G2458" s="1">
        <v>7.0</v>
      </c>
      <c r="H2458" s="1" t="s">
        <v>32</v>
      </c>
      <c r="I2458" s="1" t="s">
        <v>122</v>
      </c>
      <c r="J2458" s="1" t="s">
        <v>18</v>
      </c>
      <c r="K2458" s="1">
        <v>670.0</v>
      </c>
      <c r="L2458" s="1">
        <v>56.9721861</v>
      </c>
      <c r="M2458" s="1">
        <v>24.1343196</v>
      </c>
    </row>
    <row r="2459">
      <c r="A2459" s="1" t="s">
        <v>22</v>
      </c>
      <c r="B2459" s="1" t="s">
        <v>38</v>
      </c>
      <c r="C2459" s="1" t="s">
        <v>165</v>
      </c>
      <c r="D2459" s="1">
        <v>3.0</v>
      </c>
      <c r="E2459" s="1">
        <v>112.0</v>
      </c>
      <c r="F2459" s="1">
        <v>21.0</v>
      </c>
      <c r="G2459" s="1">
        <v>24.0</v>
      </c>
      <c r="H2459" s="1" t="s">
        <v>32</v>
      </c>
      <c r="I2459" s="1" t="s">
        <v>33</v>
      </c>
      <c r="J2459" s="1" t="s">
        <v>18</v>
      </c>
      <c r="K2459" s="1">
        <v>147000.0</v>
      </c>
      <c r="L2459" s="1">
        <v>56.9590306</v>
      </c>
      <c r="M2459" s="1">
        <v>24.013887042853</v>
      </c>
    </row>
    <row r="2460">
      <c r="A2460" s="1" t="s">
        <v>89</v>
      </c>
      <c r="B2460" s="1" t="s">
        <v>151</v>
      </c>
      <c r="C2460" s="2"/>
      <c r="D2460" s="1">
        <v>5.0</v>
      </c>
      <c r="E2460" s="2"/>
      <c r="F2460" s="2"/>
      <c r="G2460" s="2"/>
      <c r="H2460" s="2"/>
      <c r="I2460" s="2"/>
      <c r="J2460" s="2"/>
      <c r="K2460" s="2"/>
      <c r="L2460" s="1">
        <v>46.3144754</v>
      </c>
      <c r="M2460" s="1">
        <v>11.0480288</v>
      </c>
    </row>
    <row r="2461">
      <c r="A2461" s="1" t="s">
        <v>22</v>
      </c>
      <c r="B2461" s="1" t="s">
        <v>23</v>
      </c>
      <c r="C2461" s="1" t="s">
        <v>1688</v>
      </c>
      <c r="D2461" s="1">
        <v>3.0</v>
      </c>
      <c r="E2461" s="1">
        <v>220.0</v>
      </c>
      <c r="F2461" s="1">
        <v>5.0</v>
      </c>
      <c r="G2461" s="1">
        <v>6.0</v>
      </c>
      <c r="H2461" s="1" t="s">
        <v>66</v>
      </c>
      <c r="I2461" s="1" t="s">
        <v>33</v>
      </c>
      <c r="J2461" s="1" t="s">
        <v>18</v>
      </c>
      <c r="K2461" s="1">
        <v>299000.0</v>
      </c>
      <c r="L2461" s="1">
        <v>48.2969502</v>
      </c>
      <c r="M2461" s="1">
        <v>-100.7081938</v>
      </c>
    </row>
    <row r="2462">
      <c r="A2462" s="1" t="s">
        <v>22</v>
      </c>
      <c r="B2462" s="1" t="s">
        <v>99</v>
      </c>
      <c r="C2462" s="1" t="s">
        <v>1689</v>
      </c>
      <c r="D2462" s="1">
        <v>3.0</v>
      </c>
      <c r="E2462" s="1">
        <v>86.0</v>
      </c>
      <c r="F2462" s="1">
        <v>2.0</v>
      </c>
      <c r="G2462" s="1">
        <v>3.0</v>
      </c>
      <c r="H2462" s="1" t="s">
        <v>66</v>
      </c>
      <c r="I2462" s="1" t="s">
        <v>37</v>
      </c>
      <c r="J2462" s="1" t="s">
        <v>18</v>
      </c>
      <c r="K2462" s="1">
        <v>310000.0</v>
      </c>
      <c r="L2462" s="1">
        <v>56.94308385</v>
      </c>
      <c r="M2462" s="1">
        <v>24.0955521471893</v>
      </c>
    </row>
    <row r="2463">
      <c r="A2463" s="1" t="s">
        <v>22</v>
      </c>
      <c r="B2463" s="1" t="s">
        <v>14</v>
      </c>
      <c r="C2463" s="1" t="s">
        <v>1690</v>
      </c>
      <c r="D2463" s="1">
        <v>2.0</v>
      </c>
      <c r="E2463" s="1">
        <v>37.0</v>
      </c>
      <c r="F2463" s="1">
        <v>5.0</v>
      </c>
      <c r="G2463" s="1">
        <v>5.0</v>
      </c>
      <c r="H2463" s="1" t="s">
        <v>16</v>
      </c>
      <c r="I2463" s="1" t="s">
        <v>21</v>
      </c>
      <c r="J2463" s="1" t="s">
        <v>18</v>
      </c>
      <c r="K2463" s="1">
        <v>38000.0</v>
      </c>
      <c r="L2463" s="1">
        <v>56.9624521</v>
      </c>
      <c r="M2463" s="1">
        <v>24.1914569809645</v>
      </c>
    </row>
    <row r="2464">
      <c r="A2464" s="1" t="s">
        <v>22</v>
      </c>
      <c r="B2464" s="1" t="s">
        <v>23</v>
      </c>
      <c r="C2464" s="1" t="s">
        <v>336</v>
      </c>
      <c r="D2464" s="1">
        <v>3.0</v>
      </c>
      <c r="E2464" s="1">
        <v>100.0</v>
      </c>
      <c r="F2464" s="1">
        <v>6.0</v>
      </c>
      <c r="G2464" s="1">
        <v>6.0</v>
      </c>
      <c r="H2464" s="1" t="s">
        <v>25</v>
      </c>
      <c r="I2464" s="1" t="s">
        <v>37</v>
      </c>
      <c r="J2464" s="1" t="s">
        <v>18</v>
      </c>
      <c r="K2464" s="1">
        <v>125999.0</v>
      </c>
      <c r="L2464" s="1">
        <v>56.9614331</v>
      </c>
      <c r="M2464" s="1">
        <v>24.1331108</v>
      </c>
    </row>
    <row r="2465">
      <c r="A2465" s="1" t="s">
        <v>22</v>
      </c>
      <c r="B2465" s="1" t="s">
        <v>99</v>
      </c>
      <c r="C2465" s="1" t="s">
        <v>1689</v>
      </c>
      <c r="D2465" s="1">
        <v>2.0</v>
      </c>
      <c r="E2465" s="1">
        <v>61.0</v>
      </c>
      <c r="F2465" s="1">
        <v>1.0</v>
      </c>
      <c r="G2465" s="1">
        <v>3.0</v>
      </c>
      <c r="H2465" s="1" t="s">
        <v>66</v>
      </c>
      <c r="I2465" s="1" t="s">
        <v>37</v>
      </c>
      <c r="J2465" s="1" t="s">
        <v>18</v>
      </c>
      <c r="K2465" s="1">
        <v>185000.0</v>
      </c>
      <c r="L2465" s="1">
        <v>56.94308385</v>
      </c>
      <c r="M2465" s="1">
        <v>24.0955521471893</v>
      </c>
    </row>
    <row r="2466">
      <c r="A2466" s="1" t="s">
        <v>13</v>
      </c>
      <c r="B2466" s="1" t="s">
        <v>23</v>
      </c>
      <c r="C2466" s="1" t="s">
        <v>525</v>
      </c>
      <c r="D2466" s="1">
        <v>3.0</v>
      </c>
      <c r="E2466" s="1">
        <v>106.0</v>
      </c>
      <c r="F2466" s="1">
        <v>4.0</v>
      </c>
      <c r="G2466" s="1">
        <v>5.0</v>
      </c>
      <c r="H2466" s="1" t="s">
        <v>66</v>
      </c>
      <c r="I2466" s="1" t="s">
        <v>37</v>
      </c>
      <c r="J2466" s="1" t="s">
        <v>18</v>
      </c>
      <c r="K2466" s="1">
        <v>800.0</v>
      </c>
      <c r="L2466" s="1">
        <v>56.9603826</v>
      </c>
      <c r="M2466" s="1">
        <v>24.1022820415013</v>
      </c>
    </row>
    <row r="2467">
      <c r="A2467" s="1" t="s">
        <v>13</v>
      </c>
      <c r="B2467" s="1" t="s">
        <v>23</v>
      </c>
      <c r="C2467" s="1" t="s">
        <v>525</v>
      </c>
      <c r="D2467" s="1">
        <v>4.0</v>
      </c>
      <c r="E2467" s="1">
        <v>155.0</v>
      </c>
      <c r="F2467" s="1">
        <v>2.0</v>
      </c>
      <c r="G2467" s="1">
        <v>6.0</v>
      </c>
      <c r="H2467" s="1" t="s">
        <v>66</v>
      </c>
      <c r="I2467" s="1" t="s">
        <v>37</v>
      </c>
      <c r="J2467" s="1" t="s">
        <v>18</v>
      </c>
      <c r="K2467" s="1">
        <v>1200.0</v>
      </c>
      <c r="L2467" s="1">
        <v>56.9603826</v>
      </c>
      <c r="M2467" s="1">
        <v>24.1022820415013</v>
      </c>
    </row>
    <row r="2468">
      <c r="A2468" s="1" t="s">
        <v>22</v>
      </c>
      <c r="B2468" s="1" t="s">
        <v>48</v>
      </c>
      <c r="C2468" s="1" t="s">
        <v>1691</v>
      </c>
      <c r="D2468" s="1">
        <v>3.0</v>
      </c>
      <c r="E2468" s="1">
        <v>63.0</v>
      </c>
      <c r="F2468" s="1">
        <v>9.0</v>
      </c>
      <c r="G2468" s="1">
        <v>9.0</v>
      </c>
      <c r="H2468" s="1">
        <v>602.0</v>
      </c>
      <c r="I2468" s="1" t="s">
        <v>21</v>
      </c>
      <c r="J2468" s="1" t="s">
        <v>18</v>
      </c>
      <c r="K2468" s="1">
        <v>54900.0</v>
      </c>
      <c r="L2468" s="1">
        <v>56.9609321</v>
      </c>
      <c r="M2468" s="1">
        <v>24.2326877252113</v>
      </c>
    </row>
    <row r="2469">
      <c r="A2469" s="1" t="s">
        <v>22</v>
      </c>
      <c r="B2469" s="1" t="s">
        <v>42</v>
      </c>
      <c r="C2469" s="1" t="s">
        <v>1692</v>
      </c>
      <c r="D2469" s="1">
        <v>1.0</v>
      </c>
      <c r="E2469" s="1">
        <v>33.0</v>
      </c>
      <c r="F2469" s="1">
        <v>2.0</v>
      </c>
      <c r="G2469" s="1">
        <v>5.0</v>
      </c>
      <c r="H2469" s="1" t="s">
        <v>16</v>
      </c>
      <c r="I2469" s="1" t="s">
        <v>21</v>
      </c>
      <c r="J2469" s="1" t="s">
        <v>18</v>
      </c>
      <c r="K2469" s="1">
        <v>35000.0</v>
      </c>
      <c r="L2469" s="1">
        <v>56.9826782</v>
      </c>
      <c r="M2469" s="1">
        <v>24.2406588</v>
      </c>
    </row>
    <row r="2470">
      <c r="A2470" s="1" t="s">
        <v>22</v>
      </c>
      <c r="B2470" s="1" t="s">
        <v>28</v>
      </c>
      <c r="C2470" s="1" t="s">
        <v>579</v>
      </c>
      <c r="D2470" s="1">
        <v>2.0</v>
      </c>
      <c r="E2470" s="1">
        <v>49.0</v>
      </c>
      <c r="F2470" s="1">
        <v>1.0</v>
      </c>
      <c r="G2470" s="1">
        <v>5.0</v>
      </c>
      <c r="H2470" s="1" t="s">
        <v>16</v>
      </c>
      <c r="I2470" s="1" t="s">
        <v>21</v>
      </c>
      <c r="J2470" s="1" t="s">
        <v>18</v>
      </c>
      <c r="K2470" s="1">
        <v>40500.0</v>
      </c>
      <c r="L2470" s="1">
        <v>56.909529</v>
      </c>
      <c r="M2470" s="1">
        <v>24.1862380633367</v>
      </c>
    </row>
    <row r="2471">
      <c r="A2471" s="1" t="s">
        <v>22</v>
      </c>
      <c r="B2471" s="1" t="s">
        <v>23</v>
      </c>
      <c r="C2471" s="1" t="s">
        <v>1693</v>
      </c>
      <c r="D2471" s="1">
        <v>2.0</v>
      </c>
      <c r="E2471" s="1">
        <v>46.0</v>
      </c>
      <c r="F2471" s="1">
        <v>5.0</v>
      </c>
      <c r="G2471" s="1">
        <v>6.0</v>
      </c>
      <c r="H2471" s="1" t="s">
        <v>32</v>
      </c>
      <c r="I2471" s="1" t="s">
        <v>33</v>
      </c>
      <c r="J2471" s="1" t="s">
        <v>18</v>
      </c>
      <c r="K2471" s="1">
        <v>149500.0</v>
      </c>
      <c r="L2471" s="1">
        <v>56.9605444</v>
      </c>
      <c r="M2471" s="1">
        <v>24.1100298</v>
      </c>
    </row>
    <row r="2472">
      <c r="A2472" s="1" t="s">
        <v>13</v>
      </c>
      <c r="B2472" s="1" t="s">
        <v>109</v>
      </c>
      <c r="C2472" s="1" t="s">
        <v>1694</v>
      </c>
      <c r="D2472" s="1">
        <v>5.0</v>
      </c>
      <c r="E2472" s="1">
        <v>165.0</v>
      </c>
      <c r="F2472" s="1">
        <v>2.0</v>
      </c>
      <c r="G2472" s="1">
        <v>3.0</v>
      </c>
      <c r="H2472" s="1" t="s">
        <v>66</v>
      </c>
      <c r="I2472" s="1" t="s">
        <v>33</v>
      </c>
      <c r="J2472" s="1" t="s">
        <v>18</v>
      </c>
      <c r="K2472" s="1">
        <v>1500.0</v>
      </c>
      <c r="L2472" s="1" t="s">
        <v>40</v>
      </c>
      <c r="M2472" s="1" t="s">
        <v>40</v>
      </c>
    </row>
    <row r="2473">
      <c r="A2473" s="1" t="s">
        <v>13</v>
      </c>
      <c r="B2473" s="1" t="s">
        <v>30</v>
      </c>
      <c r="C2473" s="1" t="s">
        <v>1695</v>
      </c>
      <c r="D2473" s="1">
        <v>2.0</v>
      </c>
      <c r="E2473" s="1">
        <v>52.0</v>
      </c>
      <c r="F2473" s="1">
        <v>1.0</v>
      </c>
      <c r="G2473" s="1">
        <v>2.0</v>
      </c>
      <c r="H2473" s="1" t="s">
        <v>25</v>
      </c>
      <c r="I2473" s="1" t="s">
        <v>37</v>
      </c>
      <c r="J2473" s="1" t="s">
        <v>18</v>
      </c>
      <c r="K2473" s="1">
        <v>450.0</v>
      </c>
      <c r="L2473" s="1">
        <v>56.96821235</v>
      </c>
      <c r="M2473" s="1">
        <v>24.1749930606992</v>
      </c>
    </row>
    <row r="2474">
      <c r="A2474" s="1" t="s">
        <v>22</v>
      </c>
      <c r="B2474" s="1" t="s">
        <v>99</v>
      </c>
      <c r="C2474" s="1" t="s">
        <v>1689</v>
      </c>
      <c r="D2474" s="1">
        <v>3.0</v>
      </c>
      <c r="E2474" s="1">
        <v>126.0</v>
      </c>
      <c r="F2474" s="1">
        <v>5.0</v>
      </c>
      <c r="G2474" s="1">
        <v>7.0</v>
      </c>
      <c r="H2474" s="1" t="s">
        <v>32</v>
      </c>
      <c r="I2474" s="1" t="s">
        <v>33</v>
      </c>
      <c r="J2474" s="1" t="s">
        <v>18</v>
      </c>
      <c r="K2474" s="1">
        <v>590000.0</v>
      </c>
      <c r="L2474" s="1">
        <v>56.94308385</v>
      </c>
      <c r="M2474" s="1">
        <v>24.0955521471893</v>
      </c>
    </row>
    <row r="2475">
      <c r="A2475" s="1" t="s">
        <v>22</v>
      </c>
      <c r="B2475" s="1" t="s">
        <v>23</v>
      </c>
      <c r="C2475" s="1" t="s">
        <v>1696</v>
      </c>
      <c r="D2475" s="1">
        <v>3.0</v>
      </c>
      <c r="E2475" s="1">
        <v>82.0</v>
      </c>
      <c r="F2475" s="1">
        <v>3.0</v>
      </c>
      <c r="G2475" s="1">
        <v>6.0</v>
      </c>
      <c r="H2475" s="1" t="s">
        <v>25</v>
      </c>
      <c r="I2475" s="1" t="s">
        <v>33</v>
      </c>
      <c r="J2475" s="1" t="s">
        <v>18</v>
      </c>
      <c r="K2475" s="1">
        <v>136000.0</v>
      </c>
      <c r="L2475" s="1">
        <v>56.95954305</v>
      </c>
      <c r="M2475" s="1">
        <v>24.1128740830288</v>
      </c>
    </row>
    <row r="2476">
      <c r="A2476" s="1" t="s">
        <v>22</v>
      </c>
      <c r="B2476" s="1" t="s">
        <v>99</v>
      </c>
      <c r="C2476" s="1" t="s">
        <v>1689</v>
      </c>
      <c r="D2476" s="1">
        <v>4.0</v>
      </c>
      <c r="E2476" s="1">
        <v>126.0</v>
      </c>
      <c r="F2476" s="1">
        <v>3.0</v>
      </c>
      <c r="G2476" s="1">
        <v>6.0</v>
      </c>
      <c r="H2476" s="1" t="s">
        <v>32</v>
      </c>
      <c r="I2476" s="1" t="s">
        <v>33</v>
      </c>
      <c r="J2476" s="1" t="s">
        <v>18</v>
      </c>
      <c r="K2476" s="1">
        <v>550000.0</v>
      </c>
      <c r="L2476" s="1">
        <v>56.94308385</v>
      </c>
      <c r="M2476" s="1">
        <v>24.0955521471893</v>
      </c>
    </row>
    <row r="2477">
      <c r="A2477" s="1" t="s">
        <v>22</v>
      </c>
      <c r="B2477" s="1" t="s">
        <v>99</v>
      </c>
      <c r="C2477" s="1" t="s">
        <v>1689</v>
      </c>
      <c r="D2477" s="1">
        <v>4.0</v>
      </c>
      <c r="E2477" s="1">
        <v>115.0</v>
      </c>
      <c r="F2477" s="1">
        <v>6.0</v>
      </c>
      <c r="G2477" s="1">
        <v>6.0</v>
      </c>
      <c r="H2477" s="1" t="s">
        <v>32</v>
      </c>
      <c r="I2477" s="1" t="s">
        <v>33</v>
      </c>
      <c r="J2477" s="1" t="s">
        <v>18</v>
      </c>
      <c r="K2477" s="1">
        <v>550000.0</v>
      </c>
      <c r="L2477" s="1">
        <v>56.94308385</v>
      </c>
      <c r="M2477" s="1">
        <v>24.0955521471893</v>
      </c>
    </row>
    <row r="2478">
      <c r="A2478" s="1" t="s">
        <v>22</v>
      </c>
      <c r="B2478" s="1" t="s">
        <v>28</v>
      </c>
      <c r="C2478" s="1" t="s">
        <v>809</v>
      </c>
      <c r="D2478" s="1">
        <v>2.0</v>
      </c>
      <c r="E2478" s="1">
        <v>42.0</v>
      </c>
      <c r="F2478" s="1">
        <v>4.0</v>
      </c>
      <c r="G2478" s="1">
        <v>5.0</v>
      </c>
      <c r="H2478" s="1" t="s">
        <v>32</v>
      </c>
      <c r="I2478" s="1" t="s">
        <v>21</v>
      </c>
      <c r="J2478" s="1" t="s">
        <v>18</v>
      </c>
      <c r="K2478" s="1">
        <v>52832.0</v>
      </c>
      <c r="L2478" s="1">
        <v>56.9146747</v>
      </c>
      <c r="M2478" s="1">
        <v>24.1815079346418</v>
      </c>
    </row>
    <row r="2479">
      <c r="A2479" s="1" t="s">
        <v>22</v>
      </c>
      <c r="B2479" s="1" t="s">
        <v>104</v>
      </c>
      <c r="C2479" s="1" t="s">
        <v>1543</v>
      </c>
      <c r="D2479" s="1">
        <v>3.0</v>
      </c>
      <c r="E2479" s="1">
        <v>60.0</v>
      </c>
      <c r="F2479" s="1">
        <v>3.0</v>
      </c>
      <c r="G2479" s="1">
        <v>5.0</v>
      </c>
      <c r="H2479" s="1" t="s">
        <v>16</v>
      </c>
      <c r="I2479" s="1" t="s">
        <v>21</v>
      </c>
      <c r="J2479" s="1" t="s">
        <v>18</v>
      </c>
      <c r="K2479" s="1">
        <v>60000.0</v>
      </c>
      <c r="L2479" s="1">
        <v>56.945795</v>
      </c>
      <c r="M2479" s="1">
        <v>24.0521562</v>
      </c>
    </row>
    <row r="2480">
      <c r="A2480" s="1" t="s">
        <v>22</v>
      </c>
      <c r="B2480" s="1" t="s">
        <v>99</v>
      </c>
      <c r="C2480" s="1" t="s">
        <v>1689</v>
      </c>
      <c r="D2480" s="1">
        <v>3.0</v>
      </c>
      <c r="E2480" s="1">
        <v>98.0</v>
      </c>
      <c r="F2480" s="1">
        <v>3.0</v>
      </c>
      <c r="G2480" s="1">
        <v>6.0</v>
      </c>
      <c r="H2480" s="1" t="s">
        <v>32</v>
      </c>
      <c r="I2480" s="1" t="s">
        <v>33</v>
      </c>
      <c r="J2480" s="1" t="s">
        <v>18</v>
      </c>
      <c r="K2480" s="1">
        <v>375000.0</v>
      </c>
      <c r="L2480" s="1">
        <v>56.94308385</v>
      </c>
      <c r="M2480" s="1">
        <v>24.0955521471893</v>
      </c>
    </row>
    <row r="2481">
      <c r="A2481" s="1" t="s">
        <v>22</v>
      </c>
      <c r="B2481" s="1" t="s">
        <v>45</v>
      </c>
      <c r="C2481" s="1" t="s">
        <v>1697</v>
      </c>
      <c r="D2481" s="1">
        <v>2.0</v>
      </c>
      <c r="E2481" s="1">
        <v>47.0</v>
      </c>
      <c r="F2481" s="1">
        <v>5.0</v>
      </c>
      <c r="G2481" s="1">
        <v>5.0</v>
      </c>
      <c r="H2481" s="1" t="s">
        <v>44</v>
      </c>
      <c r="I2481" s="1" t="s">
        <v>37</v>
      </c>
      <c r="J2481" s="1" t="s">
        <v>18</v>
      </c>
      <c r="K2481" s="1">
        <v>42000.0</v>
      </c>
      <c r="L2481" s="1" t="s">
        <v>40</v>
      </c>
      <c r="M2481" s="1" t="s">
        <v>40</v>
      </c>
    </row>
    <row r="2482">
      <c r="A2482" s="1" t="s">
        <v>22</v>
      </c>
      <c r="B2482" s="1" t="s">
        <v>96</v>
      </c>
      <c r="C2482" s="1" t="s">
        <v>1698</v>
      </c>
      <c r="D2482" s="1">
        <v>3.0</v>
      </c>
      <c r="E2482" s="1">
        <v>56.0</v>
      </c>
      <c r="F2482" s="1">
        <v>5.0</v>
      </c>
      <c r="G2482" s="1">
        <v>5.0</v>
      </c>
      <c r="H2482" s="1" t="s">
        <v>16</v>
      </c>
      <c r="I2482" s="1" t="s">
        <v>21</v>
      </c>
      <c r="J2482" s="1" t="s">
        <v>18</v>
      </c>
      <c r="K2482" s="1">
        <v>35500.0</v>
      </c>
      <c r="L2482" s="1">
        <v>57.02873485</v>
      </c>
      <c r="M2482" s="1">
        <v>24.1082808</v>
      </c>
    </row>
    <row r="2483">
      <c r="A2483" s="1" t="s">
        <v>22</v>
      </c>
      <c r="B2483" s="1" t="s">
        <v>96</v>
      </c>
      <c r="C2483" s="1" t="s">
        <v>1699</v>
      </c>
      <c r="D2483" s="1">
        <v>4.0</v>
      </c>
      <c r="E2483" s="1">
        <v>89.0</v>
      </c>
      <c r="F2483" s="1">
        <v>3.0</v>
      </c>
      <c r="G2483" s="1">
        <v>5.0</v>
      </c>
      <c r="H2483" s="1">
        <v>103.0</v>
      </c>
      <c r="I2483" s="1" t="s">
        <v>17</v>
      </c>
      <c r="J2483" s="1" t="s">
        <v>18</v>
      </c>
      <c r="K2483" s="1">
        <v>86000.0</v>
      </c>
      <c r="L2483" s="1">
        <v>57.03641915</v>
      </c>
      <c r="M2483" s="1">
        <v>24.0937377546252</v>
      </c>
    </row>
    <row r="2484">
      <c r="A2484" s="1" t="s">
        <v>22</v>
      </c>
      <c r="B2484" s="1" t="s">
        <v>99</v>
      </c>
      <c r="C2484" s="1" t="s">
        <v>1689</v>
      </c>
      <c r="D2484" s="1">
        <v>2.0</v>
      </c>
      <c r="E2484" s="1">
        <v>41.0</v>
      </c>
      <c r="F2484" s="1">
        <v>2.0</v>
      </c>
      <c r="G2484" s="1">
        <v>6.0</v>
      </c>
      <c r="H2484" s="1" t="s">
        <v>32</v>
      </c>
      <c r="I2484" s="1" t="s">
        <v>33</v>
      </c>
      <c r="J2484" s="1" t="s">
        <v>18</v>
      </c>
      <c r="K2484" s="1">
        <v>140000.0</v>
      </c>
      <c r="L2484" s="1">
        <v>56.94308385</v>
      </c>
      <c r="M2484" s="1">
        <v>24.0955521471893</v>
      </c>
    </row>
    <row r="2485">
      <c r="A2485" s="1" t="s">
        <v>22</v>
      </c>
      <c r="B2485" s="1" t="s">
        <v>23</v>
      </c>
      <c r="C2485" s="1" t="s">
        <v>659</v>
      </c>
      <c r="D2485" s="1">
        <v>1.0</v>
      </c>
      <c r="E2485" s="1">
        <v>18.0</v>
      </c>
      <c r="F2485" s="1">
        <v>2.0</v>
      </c>
      <c r="G2485" s="1">
        <v>2.0</v>
      </c>
      <c r="H2485" s="1" t="s">
        <v>25</v>
      </c>
      <c r="I2485" s="1" t="s">
        <v>26</v>
      </c>
      <c r="J2485" s="1" t="s">
        <v>27</v>
      </c>
      <c r="K2485" s="1">
        <v>8200.0</v>
      </c>
      <c r="L2485" s="1">
        <v>56.95092055</v>
      </c>
      <c r="M2485" s="1">
        <v>24.1461248193206</v>
      </c>
    </row>
    <row r="2486">
      <c r="A2486" s="1" t="s">
        <v>13</v>
      </c>
      <c r="B2486" s="1" t="s">
        <v>104</v>
      </c>
      <c r="C2486" s="1" t="s">
        <v>363</v>
      </c>
      <c r="D2486" s="1">
        <v>3.0</v>
      </c>
      <c r="E2486" s="1">
        <v>90.0</v>
      </c>
      <c r="F2486" s="1">
        <v>17.0</v>
      </c>
      <c r="G2486" s="1">
        <v>30.0</v>
      </c>
      <c r="H2486" s="1" t="s">
        <v>32</v>
      </c>
      <c r="I2486" s="1" t="s">
        <v>33</v>
      </c>
      <c r="J2486" s="1" t="s">
        <v>18</v>
      </c>
      <c r="K2486" s="1">
        <v>650.0</v>
      </c>
      <c r="L2486" s="1">
        <v>56.9334996</v>
      </c>
      <c r="M2486" s="1">
        <v>24.0424848</v>
      </c>
    </row>
    <row r="2487">
      <c r="A2487" s="1" t="s">
        <v>13</v>
      </c>
      <c r="B2487" s="1" t="s">
        <v>23</v>
      </c>
      <c r="C2487" s="1" t="s">
        <v>541</v>
      </c>
      <c r="D2487" s="1">
        <v>4.0</v>
      </c>
      <c r="E2487" s="1">
        <v>105.0</v>
      </c>
      <c r="F2487" s="1">
        <v>4.0</v>
      </c>
      <c r="G2487" s="1">
        <v>24.0</v>
      </c>
      <c r="H2487" s="1" t="s">
        <v>32</v>
      </c>
      <c r="I2487" s="1" t="s">
        <v>21</v>
      </c>
      <c r="J2487" s="1" t="s">
        <v>18</v>
      </c>
      <c r="K2487" s="1">
        <v>1000.0</v>
      </c>
      <c r="L2487" s="1">
        <v>56.9722229</v>
      </c>
      <c r="M2487" s="1">
        <v>24.1239787042266</v>
      </c>
    </row>
    <row r="2488">
      <c r="A2488" s="1" t="s">
        <v>22</v>
      </c>
      <c r="B2488" s="1" t="s">
        <v>23</v>
      </c>
      <c r="C2488" s="1" t="s">
        <v>1700</v>
      </c>
      <c r="D2488" s="1">
        <v>1.0</v>
      </c>
      <c r="E2488" s="1">
        <v>32.0</v>
      </c>
      <c r="F2488" s="1">
        <v>1.0</v>
      </c>
      <c r="G2488" s="1">
        <v>2.0</v>
      </c>
      <c r="H2488" s="1" t="s">
        <v>66</v>
      </c>
      <c r="I2488" s="1" t="s">
        <v>26</v>
      </c>
      <c r="J2488" s="1" t="s">
        <v>18</v>
      </c>
      <c r="K2488" s="1">
        <v>61000.0</v>
      </c>
      <c r="L2488" s="1">
        <v>56.9667799</v>
      </c>
      <c r="M2488" s="1">
        <v>24.150157</v>
      </c>
    </row>
    <row r="2489">
      <c r="A2489" s="1" t="s">
        <v>13</v>
      </c>
      <c r="B2489" s="1" t="s">
        <v>23</v>
      </c>
      <c r="C2489" s="1" t="s">
        <v>1701</v>
      </c>
      <c r="D2489" s="1">
        <v>4.0</v>
      </c>
      <c r="E2489" s="1">
        <v>200.0</v>
      </c>
      <c r="F2489" s="1">
        <v>5.0</v>
      </c>
      <c r="G2489" s="1">
        <v>5.0</v>
      </c>
      <c r="H2489" s="1" t="s">
        <v>66</v>
      </c>
      <c r="I2489" s="1" t="s">
        <v>33</v>
      </c>
      <c r="J2489" s="1" t="s">
        <v>18</v>
      </c>
      <c r="K2489" s="1">
        <v>2900.0</v>
      </c>
      <c r="L2489" s="1">
        <v>56.95530025</v>
      </c>
      <c r="M2489" s="1">
        <v>24.1221349751324</v>
      </c>
    </row>
    <row r="2490">
      <c r="A2490" s="1" t="s">
        <v>13</v>
      </c>
      <c r="B2490" s="1" t="s">
        <v>104</v>
      </c>
      <c r="C2490" s="1" t="s">
        <v>415</v>
      </c>
      <c r="D2490" s="1">
        <v>3.0</v>
      </c>
      <c r="E2490" s="1">
        <v>82.0</v>
      </c>
      <c r="F2490" s="1">
        <v>1.0</v>
      </c>
      <c r="G2490" s="1">
        <v>5.0</v>
      </c>
      <c r="H2490" s="1" t="s">
        <v>32</v>
      </c>
      <c r="I2490" s="1" t="s">
        <v>17</v>
      </c>
      <c r="J2490" s="1" t="s">
        <v>18</v>
      </c>
      <c r="K2490" s="1">
        <v>750.0</v>
      </c>
      <c r="L2490" s="1">
        <v>56.94553165</v>
      </c>
      <c r="M2490" s="1">
        <v>24.092327378378</v>
      </c>
    </row>
    <row r="2491">
      <c r="A2491" s="1" t="s">
        <v>13</v>
      </c>
      <c r="B2491" s="1" t="s">
        <v>23</v>
      </c>
      <c r="C2491" s="1" t="s">
        <v>907</v>
      </c>
      <c r="D2491" s="1">
        <v>5.0</v>
      </c>
      <c r="E2491" s="1">
        <v>130.0</v>
      </c>
      <c r="F2491" s="1">
        <v>4.0</v>
      </c>
      <c r="G2491" s="1">
        <v>5.0</v>
      </c>
      <c r="H2491" s="1" t="s">
        <v>66</v>
      </c>
      <c r="I2491" s="1" t="s">
        <v>33</v>
      </c>
      <c r="J2491" s="1" t="s">
        <v>18</v>
      </c>
      <c r="K2491" s="1">
        <v>990.0</v>
      </c>
      <c r="L2491" s="1">
        <v>56.952698</v>
      </c>
      <c r="M2491" s="1">
        <v>24.1051471</v>
      </c>
    </row>
    <row r="2492">
      <c r="A2492" s="1" t="s">
        <v>22</v>
      </c>
      <c r="B2492" s="1" t="s">
        <v>422</v>
      </c>
      <c r="C2492" s="1" t="s">
        <v>732</v>
      </c>
      <c r="D2492" s="1">
        <v>3.0</v>
      </c>
      <c r="E2492" s="1">
        <v>93.0</v>
      </c>
      <c r="F2492" s="1">
        <v>5.0</v>
      </c>
      <c r="G2492" s="1">
        <v>27.0</v>
      </c>
      <c r="H2492" s="1" t="s">
        <v>36</v>
      </c>
      <c r="I2492" s="1" t="s">
        <v>21</v>
      </c>
      <c r="J2492" s="1" t="s">
        <v>18</v>
      </c>
      <c r="K2492" s="1">
        <v>150000.0</v>
      </c>
      <c r="L2492" s="1">
        <v>56.9340645</v>
      </c>
      <c r="M2492" s="1">
        <v>24.0436381</v>
      </c>
    </row>
    <row r="2493">
      <c r="A2493" s="1" t="s">
        <v>13</v>
      </c>
      <c r="B2493" s="1" t="s">
        <v>104</v>
      </c>
      <c r="C2493" s="1" t="s">
        <v>1702</v>
      </c>
      <c r="D2493" s="1">
        <v>5.0</v>
      </c>
      <c r="E2493" s="1">
        <v>175.0</v>
      </c>
      <c r="F2493" s="1">
        <v>1.0</v>
      </c>
      <c r="G2493" s="1">
        <v>5.0</v>
      </c>
      <c r="H2493" s="1" t="s">
        <v>32</v>
      </c>
      <c r="I2493" s="1" t="s">
        <v>21</v>
      </c>
      <c r="J2493" s="1" t="s">
        <v>18</v>
      </c>
      <c r="K2493" s="1">
        <v>3500.0</v>
      </c>
      <c r="L2493" s="1">
        <v>56.9434633</v>
      </c>
      <c r="M2493" s="1">
        <v>24.0953686</v>
      </c>
    </row>
    <row r="2494">
      <c r="A2494" s="1" t="s">
        <v>13</v>
      </c>
      <c r="B2494" s="1" t="s">
        <v>30</v>
      </c>
      <c r="C2494" s="1" t="s">
        <v>1703</v>
      </c>
      <c r="D2494" s="1">
        <v>3.0</v>
      </c>
      <c r="E2494" s="1">
        <v>83.0</v>
      </c>
      <c r="F2494" s="1">
        <v>4.0</v>
      </c>
      <c r="G2494" s="1">
        <v>5.0</v>
      </c>
      <c r="H2494" s="1" t="s">
        <v>32</v>
      </c>
      <c r="I2494" s="1" t="s">
        <v>33</v>
      </c>
      <c r="J2494" s="1" t="s">
        <v>18</v>
      </c>
      <c r="K2494" s="1">
        <v>830.0</v>
      </c>
      <c r="L2494" s="1">
        <v>56.9730973</v>
      </c>
      <c r="M2494" s="1">
        <v>24.1660728</v>
      </c>
    </row>
    <row r="2495">
      <c r="A2495" s="1" t="s">
        <v>22</v>
      </c>
      <c r="B2495" s="1" t="s">
        <v>23</v>
      </c>
      <c r="C2495" s="1" t="s">
        <v>648</v>
      </c>
      <c r="D2495" s="1">
        <v>3.0</v>
      </c>
      <c r="E2495" s="1">
        <v>66.0</v>
      </c>
      <c r="F2495" s="1">
        <v>5.0</v>
      </c>
      <c r="G2495" s="1">
        <v>6.0</v>
      </c>
      <c r="H2495" s="1" t="s">
        <v>25</v>
      </c>
      <c r="I2495" s="1" t="s">
        <v>33</v>
      </c>
      <c r="J2495" s="1" t="s">
        <v>18</v>
      </c>
      <c r="K2495" s="1">
        <v>112183.0</v>
      </c>
      <c r="L2495" s="1">
        <v>56.94999685</v>
      </c>
      <c r="M2495" s="1">
        <v>24.1364139006283</v>
      </c>
    </row>
    <row r="2496">
      <c r="A2496" s="1" t="s">
        <v>22</v>
      </c>
      <c r="B2496" s="1" t="s">
        <v>14</v>
      </c>
      <c r="C2496" s="1" t="s">
        <v>820</v>
      </c>
      <c r="D2496" s="1">
        <v>3.0</v>
      </c>
      <c r="E2496" s="1">
        <v>59.0</v>
      </c>
      <c r="F2496" s="1">
        <v>9.0</v>
      </c>
      <c r="G2496" s="1">
        <v>9.0</v>
      </c>
      <c r="H2496" s="1">
        <v>467.0</v>
      </c>
      <c r="I2496" s="1" t="s">
        <v>21</v>
      </c>
      <c r="J2496" s="1" t="s">
        <v>18</v>
      </c>
      <c r="K2496" s="1">
        <v>57500.0</v>
      </c>
      <c r="L2496" s="1">
        <v>56.95369015</v>
      </c>
      <c r="M2496" s="1">
        <v>24.1977413</v>
      </c>
    </row>
    <row r="2497">
      <c r="A2497" s="1" t="s">
        <v>22</v>
      </c>
      <c r="B2497" s="1" t="s">
        <v>30</v>
      </c>
      <c r="C2497" s="1" t="s">
        <v>1704</v>
      </c>
      <c r="D2497" s="1">
        <v>4.0</v>
      </c>
      <c r="E2497" s="1">
        <v>137.0</v>
      </c>
      <c r="F2497" s="1">
        <v>1.0</v>
      </c>
      <c r="G2497" s="1">
        <v>2.0</v>
      </c>
      <c r="H2497" s="1" t="s">
        <v>25</v>
      </c>
      <c r="I2497" s="1" t="s">
        <v>33</v>
      </c>
      <c r="J2497" s="1" t="s">
        <v>18</v>
      </c>
      <c r="K2497" s="1">
        <v>180000.0</v>
      </c>
      <c r="L2497" s="1">
        <v>56.97638375</v>
      </c>
      <c r="M2497" s="1">
        <v>24.1794493475102</v>
      </c>
    </row>
    <row r="2498">
      <c r="A2498" s="1" t="s">
        <v>22</v>
      </c>
      <c r="B2498" s="1" t="s">
        <v>23</v>
      </c>
      <c r="C2498" s="1" t="s">
        <v>491</v>
      </c>
      <c r="D2498" s="1">
        <v>2.0</v>
      </c>
      <c r="E2498" s="1">
        <v>45.0</v>
      </c>
      <c r="F2498" s="1">
        <v>7.0</v>
      </c>
      <c r="G2498" s="1">
        <v>7.0</v>
      </c>
      <c r="H2498" s="1" t="s">
        <v>66</v>
      </c>
      <c r="I2498" s="1" t="s">
        <v>33</v>
      </c>
      <c r="J2498" s="1" t="s">
        <v>18</v>
      </c>
      <c r="K2498" s="1">
        <v>103730.0</v>
      </c>
      <c r="L2498" s="1">
        <v>56.9505796</v>
      </c>
      <c r="M2498" s="1">
        <v>24.1255938</v>
      </c>
    </row>
    <row r="2499">
      <c r="A2499" s="1" t="s">
        <v>22</v>
      </c>
      <c r="B2499" s="1" t="s">
        <v>23</v>
      </c>
      <c r="C2499" s="1" t="s">
        <v>903</v>
      </c>
      <c r="D2499" s="1">
        <v>3.0</v>
      </c>
      <c r="E2499" s="1">
        <v>83.0</v>
      </c>
      <c r="F2499" s="1">
        <v>2.0</v>
      </c>
      <c r="G2499" s="1">
        <v>6.0</v>
      </c>
      <c r="H2499" s="1" t="s">
        <v>66</v>
      </c>
      <c r="I2499" s="1" t="s">
        <v>33</v>
      </c>
      <c r="J2499" s="1" t="s">
        <v>18</v>
      </c>
      <c r="K2499" s="1">
        <v>198960.0</v>
      </c>
      <c r="L2499" s="1">
        <v>56.9567777</v>
      </c>
      <c r="M2499" s="1">
        <v>24.1207762</v>
      </c>
    </row>
    <row r="2500">
      <c r="A2500" s="1" t="s">
        <v>22</v>
      </c>
      <c r="B2500" s="1" t="s">
        <v>23</v>
      </c>
      <c r="C2500" s="1" t="s">
        <v>473</v>
      </c>
      <c r="D2500" s="1">
        <v>5.0</v>
      </c>
      <c r="E2500" s="1">
        <v>164.0</v>
      </c>
      <c r="F2500" s="1">
        <v>4.0</v>
      </c>
      <c r="G2500" s="1">
        <v>6.0</v>
      </c>
      <c r="H2500" s="1" t="s">
        <v>66</v>
      </c>
      <c r="I2500" s="1" t="s">
        <v>33</v>
      </c>
      <c r="J2500" s="1" t="s">
        <v>18</v>
      </c>
      <c r="K2500" s="1">
        <v>495000.0</v>
      </c>
      <c r="L2500" s="1">
        <v>56.9570587</v>
      </c>
      <c r="M2500" s="1">
        <v>24.1144353</v>
      </c>
    </row>
    <row r="2501">
      <c r="A2501" s="1" t="s">
        <v>22</v>
      </c>
      <c r="B2501" s="1" t="s">
        <v>23</v>
      </c>
      <c r="C2501" s="1" t="s">
        <v>857</v>
      </c>
      <c r="D2501" s="1">
        <v>3.0</v>
      </c>
      <c r="E2501" s="1">
        <v>109.0</v>
      </c>
      <c r="F2501" s="1">
        <v>6.0</v>
      </c>
      <c r="G2501" s="1">
        <v>6.0</v>
      </c>
      <c r="H2501" s="1" t="s">
        <v>32</v>
      </c>
      <c r="I2501" s="1" t="s">
        <v>33</v>
      </c>
      <c r="J2501" s="1" t="s">
        <v>18</v>
      </c>
      <c r="K2501" s="1">
        <v>295000.0</v>
      </c>
      <c r="L2501" s="1">
        <v>56.9578148</v>
      </c>
      <c r="M2501" s="1">
        <v>24.1142082</v>
      </c>
    </row>
    <row r="2502">
      <c r="A2502" s="1" t="s">
        <v>89</v>
      </c>
      <c r="B2502" s="1" t="s">
        <v>48</v>
      </c>
      <c r="C2502" s="2"/>
      <c r="D2502" s="1">
        <v>4.0</v>
      </c>
      <c r="E2502" s="2"/>
      <c r="F2502" s="2"/>
      <c r="G2502" s="2"/>
      <c r="H2502" s="1">
        <v>602.0</v>
      </c>
      <c r="I2502" s="2"/>
      <c r="J2502" s="1" t="s">
        <v>18</v>
      </c>
      <c r="K2502" s="2"/>
      <c r="L2502" s="1">
        <v>46.3144754</v>
      </c>
      <c r="M2502" s="1">
        <v>11.0480288</v>
      </c>
    </row>
    <row r="2503">
      <c r="A2503" s="1" t="s">
        <v>22</v>
      </c>
      <c r="B2503" s="1" t="s">
        <v>19</v>
      </c>
      <c r="C2503" s="1" t="s">
        <v>675</v>
      </c>
      <c r="D2503" s="1">
        <v>5.0</v>
      </c>
      <c r="E2503" s="1">
        <v>140.0</v>
      </c>
      <c r="F2503" s="1">
        <v>3.0</v>
      </c>
      <c r="G2503" s="1">
        <v>9.0</v>
      </c>
      <c r="H2503" s="1">
        <v>119.0</v>
      </c>
      <c r="I2503" s="1" t="s">
        <v>21</v>
      </c>
      <c r="J2503" s="1" t="s">
        <v>18</v>
      </c>
      <c r="K2503" s="1">
        <v>105000.0</v>
      </c>
      <c r="L2503" s="1">
        <v>56.9004074</v>
      </c>
      <c r="M2503" s="1">
        <v>24.0837422885217</v>
      </c>
    </row>
    <row r="2504">
      <c r="A2504" s="1" t="s">
        <v>22</v>
      </c>
      <c r="B2504" s="1" t="s">
        <v>52</v>
      </c>
      <c r="C2504" s="1" t="s">
        <v>1705</v>
      </c>
      <c r="D2504" s="1">
        <v>3.0</v>
      </c>
      <c r="E2504" s="1">
        <v>75.0</v>
      </c>
      <c r="F2504" s="1">
        <v>3.0</v>
      </c>
      <c r="G2504" s="1">
        <v>10.0</v>
      </c>
      <c r="H2504" s="1">
        <v>119.0</v>
      </c>
      <c r="I2504" s="1" t="s">
        <v>21</v>
      </c>
      <c r="J2504" s="1" t="s">
        <v>18</v>
      </c>
      <c r="K2504" s="1">
        <v>90000.0</v>
      </c>
      <c r="L2504" s="1">
        <v>56.9455284</v>
      </c>
      <c r="M2504" s="1">
        <v>24.0242265674852</v>
      </c>
    </row>
    <row r="2505">
      <c r="A2505" s="1" t="s">
        <v>22</v>
      </c>
      <c r="B2505" s="1" t="s">
        <v>28</v>
      </c>
      <c r="C2505" s="1" t="s">
        <v>831</v>
      </c>
      <c r="D2505" s="1">
        <v>1.0</v>
      </c>
      <c r="E2505" s="1">
        <v>32.0</v>
      </c>
      <c r="F2505" s="1">
        <v>3.0</v>
      </c>
      <c r="G2505" s="1">
        <v>12.0</v>
      </c>
      <c r="H2505" s="1" t="s">
        <v>36</v>
      </c>
      <c r="I2505" s="1" t="s">
        <v>37</v>
      </c>
      <c r="J2505" s="1" t="s">
        <v>18</v>
      </c>
      <c r="K2505" s="1">
        <v>29500.0</v>
      </c>
      <c r="L2505" s="1">
        <v>56.8597884</v>
      </c>
      <c r="M2505" s="1">
        <v>24.3083417</v>
      </c>
    </row>
    <row r="2506">
      <c r="A2506" s="1" t="s">
        <v>22</v>
      </c>
      <c r="B2506" s="1" t="s">
        <v>38</v>
      </c>
      <c r="C2506" s="1" t="s">
        <v>1706</v>
      </c>
      <c r="D2506" s="1">
        <v>2.0</v>
      </c>
      <c r="E2506" s="1">
        <v>50.0</v>
      </c>
      <c r="F2506" s="1">
        <v>1.0</v>
      </c>
      <c r="G2506" s="1">
        <v>5.0</v>
      </c>
      <c r="H2506" s="1" t="s">
        <v>16</v>
      </c>
      <c r="I2506" s="1" t="s">
        <v>122</v>
      </c>
      <c r="J2506" s="1" t="s">
        <v>18</v>
      </c>
      <c r="K2506" s="1">
        <v>45500.0</v>
      </c>
      <c r="L2506" s="1" t="s">
        <v>40</v>
      </c>
      <c r="M2506" s="1" t="s">
        <v>40</v>
      </c>
    </row>
    <row r="2507">
      <c r="A2507" s="1" t="s">
        <v>89</v>
      </c>
      <c r="B2507" s="1" t="s">
        <v>28</v>
      </c>
      <c r="C2507" s="1" t="s">
        <v>665</v>
      </c>
      <c r="D2507" s="1">
        <v>1.0</v>
      </c>
      <c r="E2507" s="1">
        <v>30.0</v>
      </c>
      <c r="F2507" s="1">
        <v>2.0</v>
      </c>
      <c r="G2507" s="1">
        <v>4.0</v>
      </c>
      <c r="H2507" s="1" t="s">
        <v>16</v>
      </c>
      <c r="I2507" s="1" t="s">
        <v>21</v>
      </c>
      <c r="J2507" s="1" t="s">
        <v>18</v>
      </c>
      <c r="K2507" s="2"/>
      <c r="L2507" s="1">
        <v>56.90837855</v>
      </c>
      <c r="M2507" s="1">
        <v>24.20066605</v>
      </c>
    </row>
    <row r="2508">
      <c r="A2508" s="1" t="s">
        <v>1499</v>
      </c>
      <c r="B2508" s="1" t="s">
        <v>28</v>
      </c>
      <c r="C2508" s="1" t="s">
        <v>1707</v>
      </c>
      <c r="D2508" s="1">
        <v>3.0</v>
      </c>
      <c r="E2508" s="1">
        <v>48.0</v>
      </c>
      <c r="F2508" s="1">
        <v>4.0</v>
      </c>
      <c r="G2508" s="1">
        <v>9.0</v>
      </c>
      <c r="H2508" s="1" t="s">
        <v>66</v>
      </c>
      <c r="I2508" s="1" t="s">
        <v>122</v>
      </c>
      <c r="J2508" s="1" t="s">
        <v>18</v>
      </c>
      <c r="K2508" s="1">
        <v>47990.0</v>
      </c>
      <c r="L2508" s="1">
        <v>56.9008479999999</v>
      </c>
      <c r="M2508" s="1">
        <v>24.2053591999999</v>
      </c>
    </row>
    <row r="2509">
      <c r="A2509" s="1" t="s">
        <v>22</v>
      </c>
      <c r="B2509" s="1" t="s">
        <v>441</v>
      </c>
      <c r="C2509" s="1" t="s">
        <v>1708</v>
      </c>
      <c r="D2509" s="1">
        <v>2.0</v>
      </c>
      <c r="E2509" s="1">
        <v>40.0</v>
      </c>
      <c r="F2509" s="1">
        <v>5.0</v>
      </c>
      <c r="G2509" s="1">
        <v>5.0</v>
      </c>
      <c r="H2509" s="1" t="s">
        <v>44</v>
      </c>
      <c r="I2509" s="1" t="s">
        <v>33</v>
      </c>
      <c r="J2509" s="1" t="s">
        <v>18</v>
      </c>
      <c r="K2509" s="1">
        <v>42000.0</v>
      </c>
      <c r="L2509" s="1">
        <v>57.034118</v>
      </c>
      <c r="M2509" s="1">
        <v>24.1267927</v>
      </c>
    </row>
    <row r="2510">
      <c r="A2510" s="1" t="s">
        <v>22</v>
      </c>
      <c r="B2510" s="1" t="s">
        <v>23</v>
      </c>
      <c r="C2510" s="1" t="s">
        <v>1709</v>
      </c>
      <c r="D2510" s="1">
        <v>1.0</v>
      </c>
      <c r="E2510" s="1">
        <v>85.0</v>
      </c>
      <c r="F2510" s="1">
        <v>7.0</v>
      </c>
      <c r="G2510" s="1">
        <v>7.0</v>
      </c>
      <c r="H2510" s="1" t="s">
        <v>25</v>
      </c>
      <c r="I2510" s="1" t="s">
        <v>33</v>
      </c>
      <c r="J2510" s="1" t="s">
        <v>18</v>
      </c>
      <c r="K2510" s="1">
        <v>125000.0</v>
      </c>
      <c r="L2510" s="1">
        <v>56.9730971</v>
      </c>
      <c r="M2510" s="1">
        <v>24.1414532</v>
      </c>
    </row>
    <row r="2511">
      <c r="A2511" s="1" t="s">
        <v>22</v>
      </c>
      <c r="B2511" s="1" t="s">
        <v>38</v>
      </c>
      <c r="C2511" s="1" t="s">
        <v>1710</v>
      </c>
      <c r="D2511" s="1">
        <v>3.0</v>
      </c>
      <c r="E2511" s="1">
        <v>54.0</v>
      </c>
      <c r="F2511" s="1">
        <v>5.0</v>
      </c>
      <c r="G2511" s="1">
        <v>1.0</v>
      </c>
      <c r="H2511" s="1" t="s">
        <v>16</v>
      </c>
      <c r="I2511" s="1" t="s">
        <v>21</v>
      </c>
      <c r="J2511" s="1" t="s">
        <v>18</v>
      </c>
      <c r="K2511" s="1">
        <v>68800.0</v>
      </c>
      <c r="L2511" s="1">
        <v>56.9605352</v>
      </c>
      <c r="M2511" s="1">
        <v>24.0273179999999</v>
      </c>
    </row>
    <row r="2512">
      <c r="A2512" s="1" t="s">
        <v>22</v>
      </c>
      <c r="B2512" s="1" t="s">
        <v>19</v>
      </c>
      <c r="C2512" s="1" t="s">
        <v>1711</v>
      </c>
      <c r="D2512" s="1">
        <v>1.0</v>
      </c>
      <c r="E2512" s="1">
        <v>13.0</v>
      </c>
      <c r="F2512" s="1">
        <v>5.0</v>
      </c>
      <c r="G2512" s="1">
        <v>5.0</v>
      </c>
      <c r="H2512" s="1" t="s">
        <v>44</v>
      </c>
      <c r="I2512" s="1" t="s">
        <v>33</v>
      </c>
      <c r="J2512" s="1" t="s">
        <v>18</v>
      </c>
      <c r="K2512" s="1">
        <v>6800.0</v>
      </c>
      <c r="L2512" s="1">
        <v>56.9050603999999</v>
      </c>
      <c r="M2512" s="1">
        <v>24.1005756548797</v>
      </c>
    </row>
    <row r="2513">
      <c r="A2513" s="1" t="s">
        <v>22</v>
      </c>
      <c r="B2513" s="1" t="s">
        <v>48</v>
      </c>
      <c r="C2513" s="1" t="s">
        <v>49</v>
      </c>
      <c r="D2513" s="1">
        <v>3.0</v>
      </c>
      <c r="E2513" s="1">
        <v>64.0</v>
      </c>
      <c r="F2513" s="1">
        <v>4.0</v>
      </c>
      <c r="G2513" s="1">
        <v>9.0</v>
      </c>
      <c r="H2513" s="1">
        <v>602.0</v>
      </c>
      <c r="I2513" s="1" t="s">
        <v>21</v>
      </c>
      <c r="J2513" s="1" t="s">
        <v>18</v>
      </c>
      <c r="K2513" s="1">
        <v>55000.0</v>
      </c>
      <c r="L2513" s="1">
        <v>56.967948</v>
      </c>
      <c r="M2513" s="1">
        <v>24.2351586311777</v>
      </c>
    </row>
    <row r="2514">
      <c r="A2514" s="1" t="s">
        <v>22</v>
      </c>
      <c r="B2514" s="1" t="s">
        <v>48</v>
      </c>
      <c r="C2514" s="1" t="s">
        <v>1712</v>
      </c>
      <c r="D2514" s="1">
        <v>4.0</v>
      </c>
      <c r="E2514" s="1">
        <v>78.0</v>
      </c>
      <c r="F2514" s="1">
        <v>9.0</v>
      </c>
      <c r="G2514" s="1">
        <v>2.0</v>
      </c>
      <c r="H2514" s="1">
        <v>602.0</v>
      </c>
      <c r="I2514" s="1" t="s">
        <v>21</v>
      </c>
      <c r="J2514" s="1" t="s">
        <v>18</v>
      </c>
      <c r="K2514" s="1">
        <v>83500.0</v>
      </c>
      <c r="L2514" s="1">
        <v>56.9640876</v>
      </c>
      <c r="M2514" s="1">
        <v>24.2352214</v>
      </c>
    </row>
    <row r="2515">
      <c r="A2515" s="1" t="s">
        <v>22</v>
      </c>
      <c r="B2515" s="1" t="s">
        <v>19</v>
      </c>
      <c r="C2515" s="1" t="s">
        <v>1713</v>
      </c>
      <c r="D2515" s="1">
        <v>2.0</v>
      </c>
      <c r="E2515" s="1">
        <v>62.0</v>
      </c>
      <c r="F2515" s="1">
        <v>1.0</v>
      </c>
      <c r="G2515" s="1">
        <v>5.0</v>
      </c>
      <c r="H2515" s="1" t="s">
        <v>32</v>
      </c>
      <c r="I2515" s="1" t="s">
        <v>21</v>
      </c>
      <c r="J2515" s="1" t="s">
        <v>18</v>
      </c>
      <c r="K2515" s="1">
        <v>91900.0</v>
      </c>
      <c r="L2515" s="1">
        <v>56.8970109</v>
      </c>
      <c r="M2515" s="1">
        <v>24.0874323724137</v>
      </c>
    </row>
    <row r="2516">
      <c r="A2516" s="1" t="s">
        <v>22</v>
      </c>
      <c r="B2516" s="1" t="s">
        <v>74</v>
      </c>
      <c r="C2516" s="1" t="s">
        <v>1714</v>
      </c>
      <c r="D2516" s="1">
        <v>1.0</v>
      </c>
      <c r="E2516" s="1">
        <v>39.0</v>
      </c>
      <c r="F2516" s="1">
        <v>5.0</v>
      </c>
      <c r="G2516" s="1">
        <v>5.0</v>
      </c>
      <c r="H2516" s="1" t="s">
        <v>57</v>
      </c>
      <c r="I2516" s="1" t="s">
        <v>17</v>
      </c>
      <c r="J2516" s="1" t="s">
        <v>18</v>
      </c>
      <c r="K2516" s="1">
        <v>33000.0</v>
      </c>
      <c r="L2516" s="1">
        <v>56.94071245</v>
      </c>
      <c r="M2516" s="1">
        <v>24.2172181907848</v>
      </c>
    </row>
    <row r="2517">
      <c r="A2517" s="1" t="s">
        <v>22</v>
      </c>
      <c r="B2517" s="1" t="s">
        <v>23</v>
      </c>
      <c r="C2517" s="1" t="s">
        <v>262</v>
      </c>
      <c r="D2517" s="1">
        <v>3.0</v>
      </c>
      <c r="E2517" s="1">
        <v>64.0</v>
      </c>
      <c r="F2517" s="1">
        <v>4.0</v>
      </c>
      <c r="G2517" s="1">
        <v>6.0</v>
      </c>
      <c r="H2517" s="1" t="s">
        <v>66</v>
      </c>
      <c r="I2517" s="1" t="s">
        <v>33</v>
      </c>
      <c r="J2517" s="1" t="s">
        <v>18</v>
      </c>
      <c r="K2517" s="1">
        <v>152475.0</v>
      </c>
      <c r="L2517" s="1">
        <v>56.9548306</v>
      </c>
      <c r="M2517" s="1">
        <v>24.1221141</v>
      </c>
    </row>
    <row r="2518">
      <c r="A2518" s="1" t="s">
        <v>13</v>
      </c>
      <c r="B2518" s="1" t="s">
        <v>23</v>
      </c>
      <c r="C2518" s="1" t="s">
        <v>946</v>
      </c>
      <c r="D2518" s="1">
        <v>3.0</v>
      </c>
      <c r="E2518" s="1">
        <v>75.0</v>
      </c>
      <c r="F2518" s="1">
        <v>1.0</v>
      </c>
      <c r="G2518" s="1">
        <v>5.0</v>
      </c>
      <c r="H2518" s="1" t="s">
        <v>25</v>
      </c>
      <c r="I2518" s="1" t="s">
        <v>37</v>
      </c>
      <c r="J2518" s="1" t="s">
        <v>18</v>
      </c>
      <c r="K2518" s="1">
        <v>700.0</v>
      </c>
      <c r="L2518" s="1">
        <v>56.9510949</v>
      </c>
      <c r="M2518" s="1">
        <v>24.1313031</v>
      </c>
    </row>
    <row r="2519">
      <c r="A2519" s="1" t="s">
        <v>22</v>
      </c>
      <c r="B2519" s="1" t="s">
        <v>23</v>
      </c>
      <c r="C2519" s="1" t="s">
        <v>1715</v>
      </c>
      <c r="D2519" s="1">
        <v>3.0</v>
      </c>
      <c r="E2519" s="1">
        <v>73.0</v>
      </c>
      <c r="F2519" s="1">
        <v>1.0</v>
      </c>
      <c r="G2519" s="1">
        <v>5.0</v>
      </c>
      <c r="H2519" s="1" t="s">
        <v>25</v>
      </c>
      <c r="I2519" s="1" t="s">
        <v>37</v>
      </c>
      <c r="J2519" s="1" t="s">
        <v>18</v>
      </c>
      <c r="K2519" s="1">
        <v>99500.0</v>
      </c>
      <c r="L2519" s="1">
        <v>56.9600455</v>
      </c>
      <c r="M2519" s="1">
        <v>24.0997626366536</v>
      </c>
    </row>
    <row r="2520">
      <c r="A2520" s="1" t="s">
        <v>22</v>
      </c>
      <c r="B2520" s="1" t="s">
        <v>14</v>
      </c>
      <c r="C2520" s="1" t="s">
        <v>690</v>
      </c>
      <c r="D2520" s="1">
        <v>2.0</v>
      </c>
      <c r="E2520" s="1">
        <v>51.1</v>
      </c>
      <c r="F2520" s="1">
        <v>1.0</v>
      </c>
      <c r="G2520" s="1">
        <v>9.0</v>
      </c>
      <c r="H2520" s="1" t="s">
        <v>32</v>
      </c>
      <c r="I2520" s="1" t="s">
        <v>37</v>
      </c>
      <c r="J2520" s="1" t="s">
        <v>18</v>
      </c>
      <c r="K2520" s="1">
        <v>68900.0</v>
      </c>
      <c r="L2520" s="1">
        <v>56.9509836999999</v>
      </c>
      <c r="M2520" s="1">
        <v>24.1833731423407</v>
      </c>
    </row>
    <row r="2521">
      <c r="A2521" s="1" t="s">
        <v>13</v>
      </c>
      <c r="B2521" s="1" t="s">
        <v>74</v>
      </c>
      <c r="C2521" s="1" t="s">
        <v>1716</v>
      </c>
      <c r="D2521" s="1">
        <v>1.0</v>
      </c>
      <c r="E2521" s="1">
        <v>21.0</v>
      </c>
      <c r="F2521" s="1">
        <v>1.0</v>
      </c>
      <c r="G2521" s="1">
        <v>5.0</v>
      </c>
      <c r="H2521" s="1" t="s">
        <v>57</v>
      </c>
      <c r="I2521" s="1" t="s">
        <v>17</v>
      </c>
      <c r="J2521" s="1" t="s">
        <v>18</v>
      </c>
      <c r="K2521" s="1">
        <v>225.0</v>
      </c>
      <c r="L2521" s="1">
        <v>56.94293985</v>
      </c>
      <c r="M2521" s="1">
        <v>24.1963394986068</v>
      </c>
    </row>
    <row r="2522">
      <c r="A2522" s="1" t="s">
        <v>22</v>
      </c>
      <c r="B2522" s="1" t="s">
        <v>14</v>
      </c>
      <c r="C2522" s="1" t="s">
        <v>1717</v>
      </c>
      <c r="D2522" s="1">
        <v>2.0</v>
      </c>
      <c r="E2522" s="1">
        <v>52.0</v>
      </c>
      <c r="F2522" s="1">
        <v>3.0</v>
      </c>
      <c r="G2522" s="1">
        <v>5.0</v>
      </c>
      <c r="H2522" s="1" t="s">
        <v>32</v>
      </c>
      <c r="I2522" s="1" t="s">
        <v>33</v>
      </c>
      <c r="J2522" s="1" t="s">
        <v>18</v>
      </c>
      <c r="K2522" s="1">
        <v>115000.0</v>
      </c>
      <c r="L2522" s="1">
        <v>56.9650621</v>
      </c>
      <c r="M2522" s="1">
        <v>24.1952933</v>
      </c>
    </row>
    <row r="2523">
      <c r="A2523" s="1" t="s">
        <v>22</v>
      </c>
      <c r="B2523" s="1" t="s">
        <v>23</v>
      </c>
      <c r="C2523" s="1" t="s">
        <v>828</v>
      </c>
      <c r="D2523" s="1">
        <v>2.0</v>
      </c>
      <c r="E2523" s="1">
        <v>56.0</v>
      </c>
      <c r="F2523" s="1">
        <v>5.0</v>
      </c>
      <c r="G2523" s="1">
        <v>6.0</v>
      </c>
      <c r="H2523" s="1" t="s">
        <v>25</v>
      </c>
      <c r="I2523" s="1" t="s">
        <v>37</v>
      </c>
      <c r="J2523" s="1" t="s">
        <v>18</v>
      </c>
      <c r="K2523" s="1">
        <v>112000.0</v>
      </c>
      <c r="L2523" s="1">
        <v>56.9626669</v>
      </c>
      <c r="M2523" s="1">
        <v>24.1240534</v>
      </c>
    </row>
    <row r="2524">
      <c r="A2524" s="1" t="s">
        <v>131</v>
      </c>
      <c r="B2524" s="1" t="s">
        <v>74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1">
        <v>46.3144754</v>
      </c>
      <c r="M2524" s="1">
        <v>11.0480288</v>
      </c>
    </row>
    <row r="2525">
      <c r="A2525" s="1" t="s">
        <v>22</v>
      </c>
      <c r="B2525" s="1" t="s">
        <v>23</v>
      </c>
      <c r="C2525" s="1" t="s">
        <v>813</v>
      </c>
      <c r="D2525" s="1">
        <v>2.0</v>
      </c>
      <c r="E2525" s="1">
        <v>55.0</v>
      </c>
      <c r="F2525" s="1">
        <v>1.0</v>
      </c>
      <c r="G2525" s="1">
        <v>2.0</v>
      </c>
      <c r="H2525" s="1" t="s">
        <v>25</v>
      </c>
      <c r="I2525" s="1" t="s">
        <v>26</v>
      </c>
      <c r="J2525" s="1" t="s">
        <v>18</v>
      </c>
      <c r="K2525" s="1">
        <v>32500.0</v>
      </c>
      <c r="L2525" s="1">
        <v>56.95185735</v>
      </c>
      <c r="M2525" s="1">
        <v>24.1500680721728</v>
      </c>
    </row>
    <row r="2526">
      <c r="A2526" s="1" t="s">
        <v>22</v>
      </c>
      <c r="B2526" s="1" t="s">
        <v>74</v>
      </c>
      <c r="C2526" s="1" t="s">
        <v>482</v>
      </c>
      <c r="D2526" s="1">
        <v>2.0</v>
      </c>
      <c r="E2526" s="1">
        <v>51.0</v>
      </c>
      <c r="F2526" s="1">
        <v>9.0</v>
      </c>
      <c r="G2526" s="1">
        <v>10.0</v>
      </c>
      <c r="H2526" s="1" t="s">
        <v>36</v>
      </c>
      <c r="I2526" s="1" t="s">
        <v>17</v>
      </c>
      <c r="J2526" s="1" t="s">
        <v>18</v>
      </c>
      <c r="K2526" s="1">
        <v>69900.0</v>
      </c>
      <c r="L2526" s="1">
        <v>56.94203495</v>
      </c>
      <c r="M2526" s="1">
        <v>24.2127513651119</v>
      </c>
    </row>
    <row r="2527">
      <c r="A2527" s="1" t="s">
        <v>13</v>
      </c>
      <c r="B2527" s="1" t="s">
        <v>19</v>
      </c>
      <c r="C2527" s="1" t="s">
        <v>1718</v>
      </c>
      <c r="D2527" s="1">
        <v>1.0</v>
      </c>
      <c r="E2527" s="1">
        <v>12.0</v>
      </c>
      <c r="F2527" s="1">
        <v>1.0</v>
      </c>
      <c r="G2527" s="1">
        <v>1.0</v>
      </c>
      <c r="H2527" s="1">
        <v>119.0</v>
      </c>
      <c r="I2527" s="1" t="s">
        <v>21</v>
      </c>
      <c r="J2527" s="1" t="s">
        <v>18</v>
      </c>
      <c r="K2527" s="1">
        <v>150.0</v>
      </c>
      <c r="L2527" s="1">
        <v>56.90028665</v>
      </c>
      <c r="M2527" s="1">
        <v>24.085078232952</v>
      </c>
    </row>
    <row r="2528">
      <c r="A2528" s="1" t="s">
        <v>22</v>
      </c>
      <c r="B2528" s="1" t="s">
        <v>74</v>
      </c>
      <c r="C2528" s="1" t="s">
        <v>1719</v>
      </c>
      <c r="D2528" s="1">
        <v>3.0</v>
      </c>
      <c r="E2528" s="1">
        <v>62.0</v>
      </c>
      <c r="F2528" s="1">
        <v>7.0</v>
      </c>
      <c r="G2528" s="1">
        <v>9.0</v>
      </c>
      <c r="H2528" s="1">
        <v>602.0</v>
      </c>
      <c r="I2528" s="1" t="s">
        <v>21</v>
      </c>
      <c r="J2528" s="1" t="s">
        <v>18</v>
      </c>
      <c r="K2528" s="1">
        <v>59000.0</v>
      </c>
      <c r="L2528" s="1">
        <v>56.93637855</v>
      </c>
      <c r="M2528" s="1">
        <v>24.2066307499999</v>
      </c>
    </row>
    <row r="2529">
      <c r="A2529" s="1" t="s">
        <v>22</v>
      </c>
      <c r="B2529" s="1" t="s">
        <v>96</v>
      </c>
      <c r="C2529" s="1" t="s">
        <v>1720</v>
      </c>
      <c r="D2529" s="1">
        <v>2.0</v>
      </c>
      <c r="E2529" s="1">
        <v>35.0</v>
      </c>
      <c r="F2529" s="1">
        <v>1.0</v>
      </c>
      <c r="G2529" s="1">
        <v>2.0</v>
      </c>
      <c r="H2529" s="1" t="s">
        <v>25</v>
      </c>
      <c r="I2529" s="1" t="s">
        <v>26</v>
      </c>
      <c r="J2529" s="1" t="s">
        <v>27</v>
      </c>
      <c r="K2529" s="1">
        <v>7490.0</v>
      </c>
      <c r="L2529" s="1">
        <v>57.031049</v>
      </c>
      <c r="M2529" s="1">
        <v>24.1149882</v>
      </c>
    </row>
    <row r="2530">
      <c r="A2530" s="1" t="s">
        <v>22</v>
      </c>
      <c r="B2530" s="1" t="s">
        <v>23</v>
      </c>
      <c r="C2530" s="1" t="s">
        <v>659</v>
      </c>
      <c r="D2530" s="1">
        <v>3.0</v>
      </c>
      <c r="E2530" s="1">
        <v>55.0</v>
      </c>
      <c r="F2530" s="1">
        <v>2.0</v>
      </c>
      <c r="G2530" s="1">
        <v>2.0</v>
      </c>
      <c r="H2530" s="1" t="s">
        <v>25</v>
      </c>
      <c r="I2530" s="1" t="s">
        <v>26</v>
      </c>
      <c r="J2530" s="1" t="s">
        <v>27</v>
      </c>
      <c r="K2530" s="1">
        <v>17690.0</v>
      </c>
      <c r="L2530" s="1">
        <v>56.95092055</v>
      </c>
      <c r="M2530" s="1">
        <v>24.1461248193206</v>
      </c>
    </row>
    <row r="2531">
      <c r="A2531" s="1" t="s">
        <v>13</v>
      </c>
      <c r="B2531" s="1" t="s">
        <v>28</v>
      </c>
      <c r="C2531" s="1" t="s">
        <v>1721</v>
      </c>
      <c r="D2531" s="1">
        <v>1.0</v>
      </c>
      <c r="E2531" s="1">
        <v>33.0</v>
      </c>
      <c r="F2531" s="1">
        <v>6.0</v>
      </c>
      <c r="G2531" s="1">
        <v>9.0</v>
      </c>
      <c r="H2531" s="1">
        <v>467.0</v>
      </c>
      <c r="I2531" s="1" t="s">
        <v>21</v>
      </c>
      <c r="J2531" s="1" t="s">
        <v>18</v>
      </c>
      <c r="K2531" s="1">
        <v>27.0</v>
      </c>
      <c r="L2531" s="1">
        <v>56.9313316</v>
      </c>
      <c r="M2531" s="1">
        <v>24.1697208225839</v>
      </c>
    </row>
    <row r="2532">
      <c r="A2532" s="1" t="s">
        <v>22</v>
      </c>
      <c r="B2532" s="1" t="s">
        <v>74</v>
      </c>
      <c r="C2532" s="1" t="s">
        <v>1722</v>
      </c>
      <c r="D2532" s="1">
        <v>4.0</v>
      </c>
      <c r="E2532" s="1">
        <v>97.0</v>
      </c>
      <c r="F2532" s="1">
        <v>9.0</v>
      </c>
      <c r="G2532" s="1">
        <v>9.0</v>
      </c>
      <c r="H2532" s="1">
        <v>119.0</v>
      </c>
      <c r="I2532" s="1" t="s">
        <v>21</v>
      </c>
      <c r="J2532" s="1" t="s">
        <v>18</v>
      </c>
      <c r="K2532" s="1">
        <v>109000.0</v>
      </c>
      <c r="L2532" s="1">
        <v>56.94719075</v>
      </c>
      <c r="M2532" s="1">
        <v>24.1867567338823</v>
      </c>
    </row>
    <row r="2533">
      <c r="A2533" s="1" t="s">
        <v>13</v>
      </c>
      <c r="B2533" s="1" t="s">
        <v>14</v>
      </c>
      <c r="C2533" s="1" t="s">
        <v>500</v>
      </c>
      <c r="D2533" s="1">
        <v>3.0</v>
      </c>
      <c r="E2533" s="1">
        <v>67.0</v>
      </c>
      <c r="F2533" s="1">
        <v>1.0</v>
      </c>
      <c r="G2533" s="1">
        <v>5.0</v>
      </c>
      <c r="H2533" s="1" t="s">
        <v>16</v>
      </c>
      <c r="I2533" s="1" t="s">
        <v>21</v>
      </c>
      <c r="J2533" s="1" t="s">
        <v>18</v>
      </c>
      <c r="K2533" s="1">
        <v>350.0</v>
      </c>
      <c r="L2533" s="1">
        <v>56.9518384</v>
      </c>
      <c r="M2533" s="1">
        <v>24.1999196</v>
      </c>
    </row>
    <row r="2534">
      <c r="A2534" s="1" t="s">
        <v>22</v>
      </c>
      <c r="B2534" s="1" t="s">
        <v>104</v>
      </c>
      <c r="C2534" s="1" t="s">
        <v>1604</v>
      </c>
      <c r="D2534" s="1">
        <v>3.0</v>
      </c>
      <c r="E2534" s="1">
        <v>66.0</v>
      </c>
      <c r="F2534" s="1">
        <v>4.0</v>
      </c>
      <c r="G2534" s="1">
        <v>5.0</v>
      </c>
      <c r="H2534" s="1">
        <v>103.0</v>
      </c>
      <c r="I2534" s="1" t="s">
        <v>17</v>
      </c>
      <c r="J2534" s="1" t="s">
        <v>18</v>
      </c>
      <c r="K2534" s="1">
        <v>57000.0</v>
      </c>
      <c r="L2534" s="1">
        <v>56.9359249</v>
      </c>
      <c r="M2534" s="1">
        <v>24.0420920504638</v>
      </c>
    </row>
    <row r="2535">
      <c r="A2535" s="1" t="s">
        <v>22</v>
      </c>
      <c r="B2535" s="1" t="s">
        <v>422</v>
      </c>
      <c r="C2535" s="1" t="s">
        <v>1604</v>
      </c>
      <c r="D2535" s="1">
        <v>3.0</v>
      </c>
      <c r="E2535" s="1">
        <v>66.0</v>
      </c>
      <c r="F2535" s="1">
        <v>4.0</v>
      </c>
      <c r="G2535" s="1">
        <v>5.0</v>
      </c>
      <c r="H2535" s="1">
        <v>103.0</v>
      </c>
      <c r="I2535" s="1" t="s">
        <v>17</v>
      </c>
      <c r="J2535" s="1" t="s">
        <v>18</v>
      </c>
      <c r="K2535" s="1">
        <v>57000.0</v>
      </c>
      <c r="L2535" s="1">
        <v>56.9359249</v>
      </c>
      <c r="M2535" s="1">
        <v>24.0420920504638</v>
      </c>
    </row>
    <row r="2536">
      <c r="A2536" s="1" t="s">
        <v>13</v>
      </c>
      <c r="B2536" s="1" t="s">
        <v>14</v>
      </c>
      <c r="C2536" s="1" t="s">
        <v>1723</v>
      </c>
      <c r="D2536" s="1">
        <v>2.0</v>
      </c>
      <c r="E2536" s="1">
        <v>63.0</v>
      </c>
      <c r="F2536" s="1">
        <v>16.0</v>
      </c>
      <c r="G2536" s="1">
        <v>5.0</v>
      </c>
      <c r="H2536" s="1" t="s">
        <v>36</v>
      </c>
      <c r="I2536" s="1" t="s">
        <v>122</v>
      </c>
      <c r="J2536" s="1" t="s">
        <v>18</v>
      </c>
      <c r="K2536" s="1">
        <v>300.0</v>
      </c>
      <c r="L2536" s="1">
        <v>56.9609919</v>
      </c>
      <c r="M2536" s="1">
        <v>24.1711495</v>
      </c>
    </row>
    <row r="2537">
      <c r="A2537" s="1" t="s">
        <v>131</v>
      </c>
      <c r="B2537" s="1" t="s">
        <v>422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1">
        <v>46.3144754</v>
      </c>
      <c r="M2537" s="1">
        <v>11.0480288</v>
      </c>
    </row>
    <row r="2538">
      <c r="A2538" s="1" t="s">
        <v>13</v>
      </c>
      <c r="B2538" s="1" t="s">
        <v>23</v>
      </c>
      <c r="C2538" s="1" t="s">
        <v>1724</v>
      </c>
      <c r="D2538" s="1">
        <v>2.0</v>
      </c>
      <c r="E2538" s="1">
        <v>40.0</v>
      </c>
      <c r="F2538" s="1">
        <v>1.0</v>
      </c>
      <c r="G2538" s="1">
        <v>5.0</v>
      </c>
      <c r="H2538" s="1" t="s">
        <v>25</v>
      </c>
      <c r="I2538" s="1" t="s">
        <v>33</v>
      </c>
      <c r="J2538" s="1" t="s">
        <v>18</v>
      </c>
      <c r="K2538" s="1">
        <v>400.0</v>
      </c>
      <c r="L2538" s="1">
        <v>56.9559593</v>
      </c>
      <c r="M2538" s="1">
        <v>24.1377371</v>
      </c>
    </row>
    <row r="2539">
      <c r="A2539" s="1" t="s">
        <v>13</v>
      </c>
      <c r="B2539" s="1" t="s">
        <v>23</v>
      </c>
      <c r="C2539" s="1" t="s">
        <v>1421</v>
      </c>
      <c r="D2539" s="1">
        <v>2.0</v>
      </c>
      <c r="E2539" s="1">
        <v>74.0</v>
      </c>
      <c r="F2539" s="1">
        <v>4.0</v>
      </c>
      <c r="G2539" s="1">
        <v>4.0</v>
      </c>
      <c r="H2539" s="1" t="s">
        <v>66</v>
      </c>
      <c r="I2539" s="1" t="s">
        <v>33</v>
      </c>
      <c r="J2539" s="1" t="s">
        <v>18</v>
      </c>
      <c r="K2539" s="1">
        <v>850.0</v>
      </c>
      <c r="L2539" s="1">
        <v>56.9581178</v>
      </c>
      <c r="M2539" s="1">
        <v>24.1311146</v>
      </c>
    </row>
    <row r="2540">
      <c r="A2540" s="1" t="s">
        <v>22</v>
      </c>
      <c r="B2540" s="1" t="s">
        <v>23</v>
      </c>
      <c r="C2540" s="1" t="s">
        <v>1724</v>
      </c>
      <c r="D2540" s="1">
        <v>2.0</v>
      </c>
      <c r="E2540" s="1">
        <v>41.0</v>
      </c>
      <c r="F2540" s="1">
        <v>1.0</v>
      </c>
      <c r="G2540" s="1">
        <v>5.0</v>
      </c>
      <c r="H2540" s="1" t="s">
        <v>25</v>
      </c>
      <c r="I2540" s="1" t="s">
        <v>33</v>
      </c>
      <c r="J2540" s="1" t="s">
        <v>18</v>
      </c>
      <c r="K2540" s="1">
        <v>65200.0</v>
      </c>
      <c r="L2540" s="1">
        <v>56.9559593</v>
      </c>
      <c r="M2540" s="1">
        <v>24.1377371</v>
      </c>
    </row>
    <row r="2541">
      <c r="A2541" s="1" t="s">
        <v>89</v>
      </c>
      <c r="B2541" s="1" t="s">
        <v>74</v>
      </c>
      <c r="C2541" s="2"/>
      <c r="D2541" s="1" t="s">
        <v>90</v>
      </c>
      <c r="E2541" s="2"/>
      <c r="F2541" s="2"/>
      <c r="G2541" s="2"/>
      <c r="H2541" s="2"/>
      <c r="I2541" s="2"/>
      <c r="J2541" s="2"/>
      <c r="K2541" s="2"/>
      <c r="L2541" s="1">
        <v>46.3144754</v>
      </c>
      <c r="M2541" s="1">
        <v>11.0480288</v>
      </c>
    </row>
    <row r="2542">
      <c r="A2542" s="1" t="s">
        <v>89</v>
      </c>
      <c r="B2542" s="1" t="s">
        <v>48</v>
      </c>
      <c r="C2542" s="2"/>
      <c r="D2542" s="1" t="s">
        <v>90</v>
      </c>
      <c r="E2542" s="2"/>
      <c r="F2542" s="2"/>
      <c r="G2542" s="2"/>
      <c r="H2542" s="2"/>
      <c r="I2542" s="2"/>
      <c r="J2542" s="2"/>
      <c r="K2542" s="2"/>
      <c r="L2542" s="1">
        <v>46.3144754</v>
      </c>
      <c r="M2542" s="1">
        <v>11.0480288</v>
      </c>
    </row>
    <row r="2543">
      <c r="A2543" s="1" t="s">
        <v>89</v>
      </c>
      <c r="B2543" s="1" t="s">
        <v>129</v>
      </c>
      <c r="C2543" s="2"/>
      <c r="D2543" s="1" t="s">
        <v>90</v>
      </c>
      <c r="E2543" s="2"/>
      <c r="F2543" s="2"/>
      <c r="G2543" s="2"/>
      <c r="H2543" s="2"/>
      <c r="I2543" s="2"/>
      <c r="J2543" s="2"/>
      <c r="K2543" s="2"/>
      <c r="L2543" s="1">
        <v>46.3144754</v>
      </c>
      <c r="M2543" s="1">
        <v>11.0480288</v>
      </c>
    </row>
    <row r="2544">
      <c r="A2544" s="1" t="s">
        <v>89</v>
      </c>
      <c r="B2544" s="1" t="s">
        <v>23</v>
      </c>
      <c r="C2544" s="2"/>
      <c r="D2544" s="1">
        <v>2.0</v>
      </c>
      <c r="E2544" s="1">
        <v>60.0</v>
      </c>
      <c r="F2544" s="1">
        <v>2.0</v>
      </c>
      <c r="G2544" s="1">
        <v>5.0</v>
      </c>
      <c r="H2544" s="2"/>
      <c r="I2544" s="2"/>
      <c r="J2544" s="2"/>
      <c r="K2544" s="2"/>
      <c r="L2544" s="1">
        <v>46.3144754</v>
      </c>
      <c r="M2544" s="1">
        <v>11.0480288</v>
      </c>
    </row>
    <row r="2545">
      <c r="A2545" s="1" t="s">
        <v>22</v>
      </c>
      <c r="B2545" s="1" t="s">
        <v>23</v>
      </c>
      <c r="C2545" s="1" t="s">
        <v>1725</v>
      </c>
      <c r="D2545" s="1">
        <v>6.0</v>
      </c>
      <c r="E2545" s="1">
        <v>290.0</v>
      </c>
      <c r="F2545" s="1">
        <v>2.0</v>
      </c>
      <c r="G2545" s="1">
        <v>5.0</v>
      </c>
      <c r="H2545" s="1" t="s">
        <v>25</v>
      </c>
      <c r="I2545" s="1" t="s">
        <v>33</v>
      </c>
      <c r="J2545" s="1" t="s">
        <v>18</v>
      </c>
      <c r="K2545" s="1">
        <v>395000.0</v>
      </c>
      <c r="L2545" s="1">
        <v>56.9504863</v>
      </c>
      <c r="M2545" s="1">
        <v>24.1240734</v>
      </c>
    </row>
    <row r="2546">
      <c r="A2546" s="1" t="s">
        <v>22</v>
      </c>
      <c r="B2546" s="1" t="s">
        <v>23</v>
      </c>
      <c r="C2546" s="1" t="s">
        <v>1222</v>
      </c>
      <c r="D2546" s="1">
        <v>3.0</v>
      </c>
      <c r="E2546" s="1">
        <v>68.0</v>
      </c>
      <c r="F2546" s="1">
        <v>2.0</v>
      </c>
      <c r="G2546" s="1">
        <v>5.0</v>
      </c>
      <c r="H2546" s="1" t="s">
        <v>66</v>
      </c>
      <c r="I2546" s="1" t="s">
        <v>37</v>
      </c>
      <c r="J2546" s="1" t="s">
        <v>18</v>
      </c>
      <c r="K2546" s="1">
        <v>135000.0</v>
      </c>
      <c r="L2546" s="1">
        <v>56.95652115</v>
      </c>
      <c r="M2546" s="1">
        <v>24.1476809000188</v>
      </c>
    </row>
    <row r="2547">
      <c r="A2547" s="1" t="s">
        <v>22</v>
      </c>
      <c r="B2547" s="1" t="s">
        <v>23</v>
      </c>
      <c r="C2547" s="1" t="s">
        <v>196</v>
      </c>
      <c r="D2547" s="1">
        <v>1.0</v>
      </c>
      <c r="E2547" s="1">
        <v>33.0</v>
      </c>
      <c r="F2547" s="1">
        <v>5.0</v>
      </c>
      <c r="G2547" s="1">
        <v>5.0</v>
      </c>
      <c r="H2547" s="1" t="s">
        <v>66</v>
      </c>
      <c r="I2547" s="1" t="s">
        <v>37</v>
      </c>
      <c r="J2547" s="1" t="s">
        <v>18</v>
      </c>
      <c r="K2547" s="1">
        <v>75000.0</v>
      </c>
      <c r="L2547" s="1">
        <v>56.9630577</v>
      </c>
      <c r="M2547" s="1">
        <v>24.1531056</v>
      </c>
    </row>
    <row r="2548">
      <c r="A2548" s="1" t="s">
        <v>22</v>
      </c>
      <c r="B2548" s="1" t="s">
        <v>23</v>
      </c>
      <c r="C2548" s="1" t="s">
        <v>286</v>
      </c>
      <c r="D2548" s="1">
        <v>1.0</v>
      </c>
      <c r="E2548" s="1">
        <v>44.0</v>
      </c>
      <c r="F2548" s="1">
        <v>2.0</v>
      </c>
      <c r="G2548" s="1">
        <v>5.0</v>
      </c>
      <c r="H2548" s="1" t="s">
        <v>25</v>
      </c>
      <c r="I2548" s="1" t="s">
        <v>33</v>
      </c>
      <c r="J2548" s="1" t="s">
        <v>18</v>
      </c>
      <c r="K2548" s="1">
        <v>87500.0</v>
      </c>
      <c r="L2548" s="1">
        <v>56.9596205</v>
      </c>
      <c r="M2548" s="1">
        <v>24.1190117</v>
      </c>
    </row>
    <row r="2549">
      <c r="A2549" s="1" t="s">
        <v>22</v>
      </c>
      <c r="B2549" s="1" t="s">
        <v>23</v>
      </c>
      <c r="C2549" s="1" t="s">
        <v>1261</v>
      </c>
      <c r="D2549" s="1">
        <v>1.0</v>
      </c>
      <c r="E2549" s="1">
        <v>51.0</v>
      </c>
      <c r="F2549" s="1">
        <v>5.0</v>
      </c>
      <c r="G2549" s="1">
        <v>23.0</v>
      </c>
      <c r="H2549" s="1" t="s">
        <v>32</v>
      </c>
      <c r="I2549" s="1" t="s">
        <v>33</v>
      </c>
      <c r="J2549" s="1" t="s">
        <v>18</v>
      </c>
      <c r="K2549" s="1">
        <v>99000.0</v>
      </c>
      <c r="L2549" s="1">
        <v>56.9726415</v>
      </c>
      <c r="M2549" s="1">
        <v>24.1250304839285</v>
      </c>
    </row>
    <row r="2550">
      <c r="A2550" s="1" t="s">
        <v>13</v>
      </c>
      <c r="B2550" s="1" t="s">
        <v>422</v>
      </c>
      <c r="C2550" s="1" t="s">
        <v>363</v>
      </c>
      <c r="D2550" s="1">
        <v>2.0</v>
      </c>
      <c r="E2550" s="1">
        <v>68.0</v>
      </c>
      <c r="F2550" s="1">
        <v>17.0</v>
      </c>
      <c r="G2550" s="1">
        <v>30.0</v>
      </c>
      <c r="H2550" s="1" t="s">
        <v>32</v>
      </c>
      <c r="I2550" s="1" t="s">
        <v>122</v>
      </c>
      <c r="J2550" s="1" t="s">
        <v>18</v>
      </c>
      <c r="K2550" s="1">
        <v>500.0</v>
      </c>
      <c r="L2550" s="1">
        <v>56.9334996</v>
      </c>
      <c r="M2550" s="1">
        <v>24.0424848</v>
      </c>
    </row>
    <row r="2551">
      <c r="A2551" s="1" t="s">
        <v>22</v>
      </c>
      <c r="B2551" s="1" t="s">
        <v>23</v>
      </c>
      <c r="C2551" s="1" t="s">
        <v>903</v>
      </c>
      <c r="D2551" s="1">
        <v>5.0</v>
      </c>
      <c r="E2551" s="1">
        <v>129.0</v>
      </c>
      <c r="F2551" s="1">
        <v>5.0</v>
      </c>
      <c r="G2551" s="1">
        <v>6.0</v>
      </c>
      <c r="H2551" s="1" t="s">
        <v>66</v>
      </c>
      <c r="I2551" s="1" t="s">
        <v>33</v>
      </c>
      <c r="J2551" s="1" t="s">
        <v>18</v>
      </c>
      <c r="K2551" s="1">
        <v>255715.0</v>
      </c>
      <c r="L2551" s="1">
        <v>56.9567777</v>
      </c>
      <c r="M2551" s="1">
        <v>24.1207762</v>
      </c>
    </row>
    <row r="2552">
      <c r="A2552" s="1" t="s">
        <v>22</v>
      </c>
      <c r="B2552" s="1" t="s">
        <v>23</v>
      </c>
      <c r="C2552" s="1" t="s">
        <v>903</v>
      </c>
      <c r="D2552" s="1">
        <v>5.0</v>
      </c>
      <c r="E2552" s="1">
        <v>92.0</v>
      </c>
      <c r="F2552" s="1">
        <v>4.0</v>
      </c>
      <c r="G2552" s="1">
        <v>6.0</v>
      </c>
      <c r="H2552" s="1" t="s">
        <v>66</v>
      </c>
      <c r="I2552" s="1" t="s">
        <v>33</v>
      </c>
      <c r="J2552" s="1" t="s">
        <v>18</v>
      </c>
      <c r="K2552" s="1">
        <v>183677.0</v>
      </c>
      <c r="L2552" s="1">
        <v>56.9567777</v>
      </c>
      <c r="M2552" s="1">
        <v>24.1207762</v>
      </c>
    </row>
    <row r="2553">
      <c r="A2553" s="1" t="s">
        <v>22</v>
      </c>
      <c r="B2553" s="1" t="s">
        <v>23</v>
      </c>
      <c r="C2553" s="1" t="s">
        <v>903</v>
      </c>
      <c r="D2553" s="1">
        <v>3.0</v>
      </c>
      <c r="E2553" s="1">
        <v>85.0</v>
      </c>
      <c r="F2553" s="1">
        <v>3.0</v>
      </c>
      <c r="G2553" s="1">
        <v>6.0</v>
      </c>
      <c r="H2553" s="1" t="s">
        <v>66</v>
      </c>
      <c r="I2553" s="1" t="s">
        <v>33</v>
      </c>
      <c r="J2553" s="1" t="s">
        <v>18</v>
      </c>
      <c r="K2553" s="1">
        <v>187660.0</v>
      </c>
      <c r="L2553" s="1">
        <v>56.9567777</v>
      </c>
      <c r="M2553" s="1">
        <v>24.1207762</v>
      </c>
    </row>
    <row r="2554">
      <c r="A2554" s="1" t="s">
        <v>22</v>
      </c>
      <c r="B2554" s="1" t="s">
        <v>23</v>
      </c>
      <c r="C2554" s="1" t="s">
        <v>903</v>
      </c>
      <c r="D2554" s="1">
        <v>2.0</v>
      </c>
      <c r="E2554" s="1">
        <v>61.0</v>
      </c>
      <c r="F2554" s="1">
        <v>3.0</v>
      </c>
      <c r="G2554" s="1">
        <v>6.0</v>
      </c>
      <c r="H2554" s="1" t="s">
        <v>66</v>
      </c>
      <c r="I2554" s="1" t="s">
        <v>33</v>
      </c>
      <c r="J2554" s="1" t="s">
        <v>18</v>
      </c>
      <c r="K2554" s="1">
        <v>140070.0</v>
      </c>
      <c r="L2554" s="1">
        <v>56.9567777</v>
      </c>
      <c r="M2554" s="1">
        <v>24.1207762</v>
      </c>
    </row>
    <row r="2555">
      <c r="A2555" s="1" t="s">
        <v>22</v>
      </c>
      <c r="B2555" s="1" t="s">
        <v>28</v>
      </c>
      <c r="C2555" s="1" t="s">
        <v>1726</v>
      </c>
      <c r="D2555" s="1">
        <v>1.0</v>
      </c>
      <c r="E2555" s="1">
        <v>39.0</v>
      </c>
      <c r="F2555" s="1">
        <v>3.0</v>
      </c>
      <c r="G2555" s="1">
        <v>5.0</v>
      </c>
      <c r="H2555" s="1" t="s">
        <v>57</v>
      </c>
      <c r="I2555" s="1" t="s">
        <v>21</v>
      </c>
      <c r="J2555" s="1" t="s">
        <v>18</v>
      </c>
      <c r="K2555" s="1">
        <v>30750.0</v>
      </c>
      <c r="L2555" s="1">
        <v>56.91192745</v>
      </c>
      <c r="M2555" s="1">
        <v>24.17994935</v>
      </c>
    </row>
    <row r="2556">
      <c r="A2556" s="1" t="s">
        <v>13</v>
      </c>
      <c r="B2556" s="1" t="s">
        <v>96</v>
      </c>
      <c r="C2556" s="1" t="s">
        <v>1727</v>
      </c>
      <c r="D2556" s="1">
        <v>1.0</v>
      </c>
      <c r="E2556" s="1">
        <v>36.0</v>
      </c>
      <c r="F2556" s="1">
        <v>1.0</v>
      </c>
      <c r="G2556" s="1">
        <v>4.0</v>
      </c>
      <c r="H2556" s="1" t="s">
        <v>32</v>
      </c>
      <c r="I2556" s="1" t="s">
        <v>37</v>
      </c>
      <c r="J2556" s="1" t="s">
        <v>18</v>
      </c>
      <c r="K2556" s="1">
        <v>350.0</v>
      </c>
      <c r="L2556" s="1">
        <v>57.03465345</v>
      </c>
      <c r="M2556" s="1">
        <v>24.0980322090067</v>
      </c>
    </row>
    <row r="2557">
      <c r="A2557" s="1" t="s">
        <v>13</v>
      </c>
      <c r="B2557" s="1" t="s">
        <v>30</v>
      </c>
      <c r="C2557" s="1" t="s">
        <v>1728</v>
      </c>
      <c r="D2557" s="1">
        <v>2.0</v>
      </c>
      <c r="E2557" s="1">
        <v>56.0</v>
      </c>
      <c r="F2557" s="1">
        <v>3.0</v>
      </c>
      <c r="G2557" s="1">
        <v>5.0</v>
      </c>
      <c r="H2557" s="1" t="s">
        <v>32</v>
      </c>
      <c r="I2557" s="1" t="s">
        <v>33</v>
      </c>
      <c r="J2557" s="1" t="s">
        <v>18</v>
      </c>
      <c r="K2557" s="1">
        <v>600.0</v>
      </c>
      <c r="L2557" s="1">
        <v>56.9707462</v>
      </c>
      <c r="M2557" s="1">
        <v>24.1809297</v>
      </c>
    </row>
    <row r="2558">
      <c r="A2558" s="1" t="s">
        <v>22</v>
      </c>
      <c r="B2558" s="1" t="s">
        <v>23</v>
      </c>
      <c r="C2558" s="1" t="s">
        <v>1729</v>
      </c>
      <c r="D2558" s="1">
        <v>3.0</v>
      </c>
      <c r="E2558" s="1">
        <v>87.0</v>
      </c>
      <c r="F2558" s="1">
        <v>2.0</v>
      </c>
      <c r="G2558" s="1">
        <v>5.0</v>
      </c>
      <c r="H2558" s="1" t="s">
        <v>25</v>
      </c>
      <c r="I2558" s="1" t="s">
        <v>33</v>
      </c>
      <c r="J2558" s="1" t="s">
        <v>18</v>
      </c>
      <c r="K2558" s="1">
        <v>168800.0</v>
      </c>
      <c r="L2558" s="1">
        <v>56.9594676</v>
      </c>
      <c r="M2558" s="1">
        <v>24.115743</v>
      </c>
    </row>
    <row r="2559">
      <c r="A2559" s="1" t="s">
        <v>22</v>
      </c>
      <c r="B2559" s="1" t="s">
        <v>23</v>
      </c>
      <c r="C2559" s="1" t="s">
        <v>204</v>
      </c>
      <c r="D2559" s="1">
        <v>3.0</v>
      </c>
      <c r="E2559" s="1">
        <v>81.0</v>
      </c>
      <c r="F2559" s="1">
        <v>2.0</v>
      </c>
      <c r="G2559" s="1">
        <v>5.0</v>
      </c>
      <c r="H2559" s="1" t="s">
        <v>25</v>
      </c>
      <c r="I2559" s="1" t="s">
        <v>33</v>
      </c>
      <c r="J2559" s="1" t="s">
        <v>18</v>
      </c>
      <c r="K2559" s="1">
        <v>99600.0</v>
      </c>
      <c r="L2559" s="1">
        <v>56.9636061</v>
      </c>
      <c r="M2559" s="1">
        <v>24.1388658</v>
      </c>
    </row>
    <row r="2560">
      <c r="A2560" s="1" t="s">
        <v>468</v>
      </c>
      <c r="B2560" s="1" t="s">
        <v>14</v>
      </c>
      <c r="C2560" s="1" t="s">
        <v>1730</v>
      </c>
      <c r="D2560" s="1">
        <v>1.0</v>
      </c>
      <c r="E2560" s="1">
        <v>40.0</v>
      </c>
      <c r="F2560" s="1">
        <v>4.0</v>
      </c>
      <c r="G2560" s="1">
        <v>9.0</v>
      </c>
      <c r="H2560" s="1">
        <v>119.0</v>
      </c>
      <c r="I2560" s="1" t="s">
        <v>21</v>
      </c>
      <c r="J2560" s="1" t="s">
        <v>18</v>
      </c>
      <c r="K2560" s="2"/>
      <c r="L2560" s="1">
        <v>56.95276255</v>
      </c>
      <c r="M2560" s="1">
        <v>24.1765443744066</v>
      </c>
    </row>
    <row r="2561">
      <c r="A2561" s="1" t="s">
        <v>89</v>
      </c>
      <c r="B2561" s="1" t="s">
        <v>28</v>
      </c>
      <c r="C2561" s="2"/>
      <c r="D2561" s="1">
        <v>2.0</v>
      </c>
      <c r="E2561" s="1">
        <v>45.0</v>
      </c>
      <c r="F2561" s="2"/>
      <c r="G2561" s="2"/>
      <c r="H2561" s="2"/>
      <c r="I2561" s="2"/>
      <c r="J2561" s="1" t="s">
        <v>18</v>
      </c>
      <c r="K2561" s="2"/>
      <c r="L2561" s="1">
        <v>46.3144754</v>
      </c>
      <c r="M2561" s="1">
        <v>11.0480288</v>
      </c>
    </row>
    <row r="2562">
      <c r="A2562" s="1" t="s">
        <v>13</v>
      </c>
      <c r="B2562" s="1" t="s">
        <v>23</v>
      </c>
      <c r="C2562" s="1" t="s">
        <v>1731</v>
      </c>
      <c r="D2562" s="1">
        <v>4.0</v>
      </c>
      <c r="E2562" s="1">
        <v>153.0</v>
      </c>
      <c r="F2562" s="1">
        <v>2.0</v>
      </c>
      <c r="G2562" s="1">
        <v>5.0</v>
      </c>
      <c r="H2562" s="1" t="s">
        <v>66</v>
      </c>
      <c r="I2562" s="1" t="s">
        <v>33</v>
      </c>
      <c r="J2562" s="1" t="s">
        <v>18</v>
      </c>
      <c r="K2562" s="1">
        <v>1500.0</v>
      </c>
      <c r="L2562" s="1">
        <v>56.957491</v>
      </c>
      <c r="M2562" s="1">
        <v>24.1113595</v>
      </c>
    </row>
    <row r="2563">
      <c r="A2563" s="1" t="s">
        <v>22</v>
      </c>
      <c r="B2563" s="1" t="s">
        <v>42</v>
      </c>
      <c r="C2563" s="1" t="s">
        <v>1732</v>
      </c>
      <c r="D2563" s="1">
        <v>2.0</v>
      </c>
      <c r="E2563" s="1">
        <v>45.2</v>
      </c>
      <c r="F2563" s="1">
        <v>2.0</v>
      </c>
      <c r="G2563" s="1">
        <v>5.0</v>
      </c>
      <c r="H2563" s="1" t="s">
        <v>44</v>
      </c>
      <c r="I2563" s="1" t="s">
        <v>21</v>
      </c>
      <c r="J2563" s="1" t="s">
        <v>18</v>
      </c>
      <c r="K2563" s="1">
        <v>52000.0</v>
      </c>
      <c r="L2563" s="1">
        <v>56.9782177999999</v>
      </c>
      <c r="M2563" s="1">
        <v>24.2486851147419</v>
      </c>
    </row>
    <row r="2564">
      <c r="A2564" s="1" t="s">
        <v>22</v>
      </c>
      <c r="B2564" s="1" t="s">
        <v>23</v>
      </c>
      <c r="C2564" s="1" t="s">
        <v>648</v>
      </c>
      <c r="D2564" s="1">
        <v>3.0</v>
      </c>
      <c r="E2564" s="1">
        <v>55.0</v>
      </c>
      <c r="F2564" s="1">
        <v>2.0</v>
      </c>
      <c r="G2564" s="1">
        <v>6.0</v>
      </c>
      <c r="H2564" s="1" t="s">
        <v>66</v>
      </c>
      <c r="I2564" s="1" t="s">
        <v>33</v>
      </c>
      <c r="J2564" s="1" t="s">
        <v>18</v>
      </c>
      <c r="K2564" s="1">
        <v>115794.0</v>
      </c>
      <c r="L2564" s="1">
        <v>56.94999685</v>
      </c>
      <c r="M2564" s="1">
        <v>24.1364139006283</v>
      </c>
    </row>
    <row r="2565">
      <c r="A2565" s="1" t="s">
        <v>13</v>
      </c>
      <c r="B2565" s="1" t="s">
        <v>151</v>
      </c>
      <c r="C2565" s="1" t="s">
        <v>1733</v>
      </c>
      <c r="D2565" s="1">
        <v>2.0</v>
      </c>
      <c r="E2565" s="1">
        <v>45.0</v>
      </c>
      <c r="F2565" s="1">
        <v>3.0</v>
      </c>
      <c r="G2565" s="1">
        <v>4.0</v>
      </c>
      <c r="H2565" s="1" t="s">
        <v>32</v>
      </c>
      <c r="I2565" s="1" t="s">
        <v>33</v>
      </c>
      <c r="J2565" s="1" t="s">
        <v>18</v>
      </c>
      <c r="K2565" s="1">
        <v>400.0</v>
      </c>
      <c r="L2565" s="1">
        <v>56.9606714</v>
      </c>
      <c r="M2565" s="1">
        <v>24.0564539976868</v>
      </c>
    </row>
    <row r="2566">
      <c r="A2566" s="1" t="s">
        <v>22</v>
      </c>
      <c r="B2566" s="1" t="s">
        <v>109</v>
      </c>
      <c r="C2566" s="1" t="s">
        <v>1734</v>
      </c>
      <c r="D2566" s="1">
        <v>3.0</v>
      </c>
      <c r="E2566" s="1">
        <v>82.0</v>
      </c>
      <c r="F2566" s="1">
        <v>3.0</v>
      </c>
      <c r="G2566" s="1">
        <v>3.0</v>
      </c>
      <c r="H2566" s="1" t="s">
        <v>25</v>
      </c>
      <c r="I2566" s="1" t="s">
        <v>33</v>
      </c>
      <c r="J2566" s="1" t="s">
        <v>18</v>
      </c>
      <c r="K2566" s="1">
        <v>158000.0</v>
      </c>
      <c r="L2566" s="1">
        <v>56.9979992</v>
      </c>
      <c r="M2566" s="1">
        <v>24.1641228</v>
      </c>
    </row>
    <row r="2567">
      <c r="A2567" s="1" t="s">
        <v>13</v>
      </c>
      <c r="B2567" s="1" t="s">
        <v>50</v>
      </c>
      <c r="C2567" s="1" t="s">
        <v>1735</v>
      </c>
      <c r="D2567" s="1">
        <v>1.0</v>
      </c>
      <c r="E2567" s="1">
        <v>19.0</v>
      </c>
      <c r="F2567" s="1">
        <v>3.0</v>
      </c>
      <c r="G2567" s="1">
        <v>3.0</v>
      </c>
      <c r="H2567" s="1" t="s">
        <v>36</v>
      </c>
      <c r="I2567" s="1" t="s">
        <v>26</v>
      </c>
      <c r="J2567" s="1" t="s">
        <v>18</v>
      </c>
      <c r="K2567" s="1">
        <v>140.0</v>
      </c>
      <c r="L2567" s="1">
        <v>56.8597884</v>
      </c>
      <c r="M2567" s="1">
        <v>24.3083417</v>
      </c>
    </row>
    <row r="2568">
      <c r="A2568" s="1" t="s">
        <v>13</v>
      </c>
      <c r="B2568" s="1" t="s">
        <v>94</v>
      </c>
      <c r="C2568" s="1" t="s">
        <v>1736</v>
      </c>
      <c r="D2568" s="1">
        <v>1.0</v>
      </c>
      <c r="E2568" s="1">
        <v>30.0</v>
      </c>
      <c r="F2568" s="1">
        <v>2.0</v>
      </c>
      <c r="G2568" s="1">
        <v>2.0</v>
      </c>
      <c r="H2568" s="1" t="s">
        <v>36</v>
      </c>
      <c r="I2568" s="1" t="s">
        <v>26</v>
      </c>
      <c r="J2568" s="1" t="s">
        <v>18</v>
      </c>
      <c r="K2568" s="1">
        <v>160.0</v>
      </c>
      <c r="L2568" s="1">
        <v>56.92693735</v>
      </c>
      <c r="M2568" s="1">
        <v>24.1710772673441</v>
      </c>
    </row>
    <row r="2569">
      <c r="A2569" s="1" t="s">
        <v>13</v>
      </c>
      <c r="B2569" s="1" t="s">
        <v>23</v>
      </c>
      <c r="C2569" s="1" t="s">
        <v>1296</v>
      </c>
      <c r="D2569" s="1">
        <v>1.0</v>
      </c>
      <c r="E2569" s="1">
        <v>35.0</v>
      </c>
      <c r="F2569" s="1">
        <v>2.0</v>
      </c>
      <c r="G2569" s="1">
        <v>5.0</v>
      </c>
      <c r="H2569" s="1" t="s">
        <v>25</v>
      </c>
      <c r="I2569" s="1" t="s">
        <v>33</v>
      </c>
      <c r="J2569" s="1" t="s">
        <v>18</v>
      </c>
      <c r="K2569" s="1">
        <v>30.0</v>
      </c>
      <c r="L2569" s="1">
        <v>56.964231</v>
      </c>
      <c r="M2569" s="1">
        <v>24.140576370724</v>
      </c>
    </row>
    <row r="2570">
      <c r="A2570" s="1" t="s">
        <v>22</v>
      </c>
      <c r="B2570" s="1" t="s">
        <v>23</v>
      </c>
      <c r="C2570" s="1" t="s">
        <v>708</v>
      </c>
      <c r="D2570" s="1">
        <v>5.0</v>
      </c>
      <c r="E2570" s="1">
        <v>164.0</v>
      </c>
      <c r="F2570" s="1">
        <v>4.0</v>
      </c>
      <c r="G2570" s="1">
        <v>5.0</v>
      </c>
      <c r="H2570" s="1" t="s">
        <v>25</v>
      </c>
      <c r="I2570" s="1" t="s">
        <v>33</v>
      </c>
      <c r="J2570" s="1" t="s">
        <v>18</v>
      </c>
      <c r="K2570" s="1">
        <v>260000.0</v>
      </c>
      <c r="L2570" s="1">
        <v>56.9557759</v>
      </c>
      <c r="M2570" s="1">
        <v>24.1253193</v>
      </c>
    </row>
    <row r="2571">
      <c r="A2571" s="1" t="s">
        <v>22</v>
      </c>
      <c r="B2571" s="1" t="s">
        <v>30</v>
      </c>
      <c r="C2571" s="1" t="s">
        <v>1018</v>
      </c>
      <c r="D2571" s="1">
        <v>3.0</v>
      </c>
      <c r="E2571" s="1">
        <v>86.0</v>
      </c>
      <c r="F2571" s="1">
        <v>3.0</v>
      </c>
      <c r="G2571" s="1">
        <v>7.0</v>
      </c>
      <c r="H2571" s="1" t="s">
        <v>36</v>
      </c>
      <c r="I2571" s="1" t="s">
        <v>37</v>
      </c>
      <c r="J2571" s="1" t="s">
        <v>18</v>
      </c>
      <c r="K2571" s="1">
        <v>98000.0</v>
      </c>
      <c r="L2571" s="1">
        <v>56.98133745</v>
      </c>
      <c r="M2571" s="1">
        <v>24.1877621027621</v>
      </c>
    </row>
    <row r="2572">
      <c r="A2572" s="1" t="s">
        <v>89</v>
      </c>
      <c r="B2572" s="1" t="s">
        <v>1737</v>
      </c>
      <c r="C2572" s="2"/>
      <c r="D2572" s="1" t="s">
        <v>90</v>
      </c>
      <c r="E2572" s="2"/>
      <c r="F2572" s="2"/>
      <c r="G2572" s="2"/>
      <c r="H2572" s="2"/>
      <c r="I2572" s="2"/>
      <c r="J2572" s="2"/>
      <c r="K2572" s="2"/>
      <c r="L2572" s="1">
        <v>46.3144754</v>
      </c>
      <c r="M2572" s="1">
        <v>11.0480288</v>
      </c>
    </row>
    <row r="2573">
      <c r="A2573" s="1" t="s">
        <v>89</v>
      </c>
      <c r="B2573" s="1" t="s">
        <v>52</v>
      </c>
      <c r="C2573" s="2"/>
      <c r="D2573" s="1" t="s">
        <v>90</v>
      </c>
      <c r="E2573" s="2"/>
      <c r="F2573" s="2"/>
      <c r="G2573" s="2"/>
      <c r="H2573" s="2"/>
      <c r="I2573" s="2"/>
      <c r="J2573" s="2"/>
      <c r="K2573" s="2"/>
      <c r="L2573" s="1">
        <v>46.3144754</v>
      </c>
      <c r="M2573" s="1">
        <v>11.0480288</v>
      </c>
    </row>
    <row r="2574">
      <c r="A2574" s="1" t="s">
        <v>22</v>
      </c>
      <c r="B2574" s="1" t="s">
        <v>23</v>
      </c>
      <c r="C2574" s="1" t="s">
        <v>1738</v>
      </c>
      <c r="D2574" s="1">
        <v>5.0</v>
      </c>
      <c r="E2574" s="1">
        <v>109.0</v>
      </c>
      <c r="F2574" s="1">
        <v>5.0</v>
      </c>
      <c r="G2574" s="1">
        <v>5.0</v>
      </c>
      <c r="H2574" s="1" t="s">
        <v>25</v>
      </c>
      <c r="I2574" s="1" t="s">
        <v>33</v>
      </c>
      <c r="J2574" s="1" t="s">
        <v>18</v>
      </c>
      <c r="K2574" s="1">
        <v>150000.0</v>
      </c>
      <c r="L2574" s="1">
        <v>56.955472</v>
      </c>
      <c r="M2574" s="1">
        <v>24.1246883</v>
      </c>
    </row>
    <row r="2575">
      <c r="A2575" s="1" t="s">
        <v>89</v>
      </c>
      <c r="B2575" s="1" t="s">
        <v>19</v>
      </c>
      <c r="C2575" s="2"/>
      <c r="D2575" s="1" t="s">
        <v>90</v>
      </c>
      <c r="E2575" s="2"/>
      <c r="F2575" s="2"/>
      <c r="G2575" s="2"/>
      <c r="H2575" s="2"/>
      <c r="I2575" s="2"/>
      <c r="J2575" s="2"/>
      <c r="K2575" s="2"/>
      <c r="L2575" s="1">
        <v>46.3144754</v>
      </c>
      <c r="M2575" s="1">
        <v>11.0480288</v>
      </c>
    </row>
    <row r="2576">
      <c r="A2576" s="1" t="s">
        <v>89</v>
      </c>
      <c r="B2576" s="1" t="s">
        <v>23</v>
      </c>
      <c r="C2576" s="2"/>
      <c r="D2576" s="1" t="s">
        <v>90</v>
      </c>
      <c r="E2576" s="2"/>
      <c r="F2576" s="2"/>
      <c r="G2576" s="2"/>
      <c r="H2576" s="2"/>
      <c r="I2576" s="2"/>
      <c r="J2576" s="2"/>
      <c r="K2576" s="2"/>
      <c r="L2576" s="1">
        <v>46.3144754</v>
      </c>
      <c r="M2576" s="1">
        <v>11.0480288</v>
      </c>
    </row>
    <row r="2577">
      <c r="A2577" s="1" t="s">
        <v>89</v>
      </c>
      <c r="B2577" s="1" t="s">
        <v>218</v>
      </c>
      <c r="C2577" s="2"/>
      <c r="D2577" s="1" t="s">
        <v>90</v>
      </c>
      <c r="E2577" s="2"/>
      <c r="F2577" s="2"/>
      <c r="G2577" s="2"/>
      <c r="H2577" s="2"/>
      <c r="I2577" s="2"/>
      <c r="J2577" s="2"/>
      <c r="K2577" s="2"/>
      <c r="L2577" s="1">
        <v>46.3144754</v>
      </c>
      <c r="M2577" s="1">
        <v>11.0480288</v>
      </c>
    </row>
    <row r="2578">
      <c r="A2578" s="1" t="s">
        <v>89</v>
      </c>
      <c r="B2578" s="1" t="s">
        <v>96</v>
      </c>
      <c r="C2578" s="2"/>
      <c r="D2578" s="1" t="s">
        <v>90</v>
      </c>
      <c r="E2578" s="2"/>
      <c r="F2578" s="2"/>
      <c r="G2578" s="2"/>
      <c r="H2578" s="2"/>
      <c r="I2578" s="2"/>
      <c r="J2578" s="2"/>
      <c r="K2578" s="2"/>
      <c r="L2578" s="1">
        <v>46.3144754</v>
      </c>
      <c r="M2578" s="1">
        <v>11.0480288</v>
      </c>
    </row>
    <row r="2579">
      <c r="A2579" s="1" t="s">
        <v>89</v>
      </c>
      <c r="B2579" s="1" t="s">
        <v>447</v>
      </c>
      <c r="C2579" s="2"/>
      <c r="D2579" s="1" t="s">
        <v>90</v>
      </c>
      <c r="E2579" s="2"/>
      <c r="F2579" s="2"/>
      <c r="G2579" s="2"/>
      <c r="H2579" s="2"/>
      <c r="I2579" s="2"/>
      <c r="J2579" s="2"/>
      <c r="K2579" s="2"/>
      <c r="L2579" s="1">
        <v>46.3144754</v>
      </c>
      <c r="M2579" s="1">
        <v>11.0480288</v>
      </c>
    </row>
    <row r="2580">
      <c r="A2580" s="1" t="s">
        <v>89</v>
      </c>
      <c r="B2580" s="1" t="s">
        <v>30</v>
      </c>
      <c r="C2580" s="2"/>
      <c r="D2580" s="1" t="s">
        <v>90</v>
      </c>
      <c r="E2580" s="2"/>
      <c r="F2580" s="2"/>
      <c r="G2580" s="2"/>
      <c r="H2580" s="2"/>
      <c r="I2580" s="2"/>
      <c r="J2580" s="2"/>
      <c r="K2580" s="2"/>
      <c r="L2580" s="1">
        <v>46.3144754</v>
      </c>
      <c r="M2580" s="1">
        <v>11.0480288</v>
      </c>
    </row>
    <row r="2581">
      <c r="A2581" s="1" t="s">
        <v>89</v>
      </c>
      <c r="B2581" s="1" t="s">
        <v>172</v>
      </c>
      <c r="C2581" s="2"/>
      <c r="D2581" s="1" t="s">
        <v>90</v>
      </c>
      <c r="E2581" s="2"/>
      <c r="F2581" s="2"/>
      <c r="G2581" s="2"/>
      <c r="H2581" s="2"/>
      <c r="I2581" s="2"/>
      <c r="J2581" s="2"/>
      <c r="K2581" s="2"/>
      <c r="L2581" s="1">
        <v>46.3144754</v>
      </c>
      <c r="M2581" s="1">
        <v>11.0480288</v>
      </c>
    </row>
    <row r="2582">
      <c r="A2582" s="1" t="s">
        <v>89</v>
      </c>
      <c r="B2582" s="1" t="s">
        <v>129</v>
      </c>
      <c r="C2582" s="2"/>
      <c r="D2582" s="1" t="s">
        <v>90</v>
      </c>
      <c r="E2582" s="2"/>
      <c r="F2582" s="2"/>
      <c r="G2582" s="2"/>
      <c r="H2582" s="2"/>
      <c r="I2582" s="2"/>
      <c r="J2582" s="2"/>
      <c r="K2582" s="2"/>
      <c r="L2582" s="1">
        <v>46.3144754</v>
      </c>
      <c r="M2582" s="1">
        <v>11.0480288</v>
      </c>
    </row>
    <row r="2583">
      <c r="A2583" s="1" t="s">
        <v>89</v>
      </c>
      <c r="B2583" s="1" t="s">
        <v>422</v>
      </c>
      <c r="C2583" s="2"/>
      <c r="D2583" s="1" t="s">
        <v>90</v>
      </c>
      <c r="E2583" s="2"/>
      <c r="F2583" s="2"/>
      <c r="G2583" s="2"/>
      <c r="H2583" s="2"/>
      <c r="I2583" s="2"/>
      <c r="J2583" s="2"/>
      <c r="K2583" s="2"/>
      <c r="L2583" s="1">
        <v>46.3144754</v>
      </c>
      <c r="M2583" s="1">
        <v>11.0480288</v>
      </c>
    </row>
    <row r="2584">
      <c r="A2584" s="1" t="s">
        <v>89</v>
      </c>
      <c r="B2584" s="1" t="s">
        <v>14</v>
      </c>
      <c r="C2584" s="2"/>
      <c r="D2584" s="1" t="s">
        <v>90</v>
      </c>
      <c r="E2584" s="2"/>
      <c r="F2584" s="2"/>
      <c r="G2584" s="2"/>
      <c r="H2584" s="2"/>
      <c r="I2584" s="2"/>
      <c r="J2584" s="2"/>
      <c r="K2584" s="2"/>
      <c r="L2584" s="1">
        <v>46.3144754</v>
      </c>
      <c r="M2584" s="1">
        <v>11.0480288</v>
      </c>
    </row>
    <row r="2585">
      <c r="A2585" s="1" t="s">
        <v>89</v>
      </c>
      <c r="B2585" s="1" t="s">
        <v>74</v>
      </c>
      <c r="C2585" s="2"/>
      <c r="D2585" s="1" t="s">
        <v>90</v>
      </c>
      <c r="E2585" s="2"/>
      <c r="F2585" s="2"/>
      <c r="G2585" s="2"/>
      <c r="H2585" s="2"/>
      <c r="I2585" s="2"/>
      <c r="J2585" s="2"/>
      <c r="K2585" s="2"/>
      <c r="L2585" s="1">
        <v>46.3144754</v>
      </c>
      <c r="M2585" s="1">
        <v>11.0480288</v>
      </c>
    </row>
    <row r="2586">
      <c r="A2586" s="1" t="s">
        <v>89</v>
      </c>
      <c r="B2586" s="1" t="s">
        <v>48</v>
      </c>
      <c r="C2586" s="2"/>
      <c r="D2586" s="1" t="s">
        <v>90</v>
      </c>
      <c r="E2586" s="2"/>
      <c r="F2586" s="2"/>
      <c r="G2586" s="2"/>
      <c r="H2586" s="2"/>
      <c r="I2586" s="2"/>
      <c r="J2586" s="2"/>
      <c r="K2586" s="2"/>
      <c r="L2586" s="1">
        <v>46.3144754</v>
      </c>
      <c r="M2586" s="1">
        <v>11.0480288</v>
      </c>
    </row>
    <row r="2587">
      <c r="A2587" s="1" t="s">
        <v>89</v>
      </c>
      <c r="B2587" s="1" t="s">
        <v>109</v>
      </c>
      <c r="C2587" s="2"/>
      <c r="D2587" s="1" t="s">
        <v>90</v>
      </c>
      <c r="E2587" s="2"/>
      <c r="F2587" s="2"/>
      <c r="G2587" s="2"/>
      <c r="H2587" s="2"/>
      <c r="I2587" s="2"/>
      <c r="J2587" s="2"/>
      <c r="K2587" s="2"/>
      <c r="L2587" s="1">
        <v>46.3144754</v>
      </c>
      <c r="M2587" s="1">
        <v>11.0480288</v>
      </c>
    </row>
    <row r="2588">
      <c r="A2588" s="1" t="s">
        <v>89</v>
      </c>
      <c r="B2588" s="1" t="s">
        <v>50</v>
      </c>
      <c r="C2588" s="2"/>
      <c r="D2588" s="1" t="s">
        <v>90</v>
      </c>
      <c r="E2588" s="2"/>
      <c r="F2588" s="2"/>
      <c r="G2588" s="2"/>
      <c r="H2588" s="2"/>
      <c r="I2588" s="2"/>
      <c r="J2588" s="2"/>
      <c r="K2588" s="2"/>
      <c r="L2588" s="1">
        <v>46.3144754</v>
      </c>
      <c r="M2588" s="1">
        <v>11.0480288</v>
      </c>
    </row>
    <row r="2589">
      <c r="A2589" s="1" t="s">
        <v>22</v>
      </c>
      <c r="B2589" s="1" t="s">
        <v>104</v>
      </c>
      <c r="C2589" s="1" t="s">
        <v>1739</v>
      </c>
      <c r="D2589" s="1">
        <v>1.0</v>
      </c>
      <c r="E2589" s="1">
        <v>23.0</v>
      </c>
      <c r="F2589" s="1">
        <v>2.0</v>
      </c>
      <c r="G2589" s="1">
        <v>2.0</v>
      </c>
      <c r="H2589" s="1" t="s">
        <v>25</v>
      </c>
      <c r="I2589" s="1" t="s">
        <v>26</v>
      </c>
      <c r="J2589" s="1" t="s">
        <v>27</v>
      </c>
      <c r="K2589" s="1">
        <v>14900.0</v>
      </c>
      <c r="L2589" s="1">
        <v>56.9386726</v>
      </c>
      <c r="M2589" s="1">
        <v>24.0704405</v>
      </c>
    </row>
    <row r="2590">
      <c r="A2590" s="1" t="s">
        <v>13</v>
      </c>
      <c r="B2590" s="1" t="s">
        <v>23</v>
      </c>
      <c r="C2590" s="1" t="s">
        <v>1740</v>
      </c>
      <c r="D2590" s="1">
        <v>2.0</v>
      </c>
      <c r="E2590" s="1">
        <v>71.0</v>
      </c>
      <c r="F2590" s="1">
        <v>3.0</v>
      </c>
      <c r="G2590" s="1">
        <v>6.0</v>
      </c>
      <c r="H2590" s="1" t="s">
        <v>66</v>
      </c>
      <c r="I2590" s="1" t="s">
        <v>33</v>
      </c>
      <c r="J2590" s="1" t="s">
        <v>18</v>
      </c>
      <c r="K2590" s="1">
        <v>500.0</v>
      </c>
      <c r="L2590" s="1">
        <v>56.9541762</v>
      </c>
      <c r="M2590" s="1">
        <v>24.1287424</v>
      </c>
    </row>
    <row r="2591">
      <c r="A2591" s="1" t="s">
        <v>22</v>
      </c>
      <c r="B2591" s="1" t="s">
        <v>23</v>
      </c>
      <c r="C2591" s="1" t="s">
        <v>781</v>
      </c>
      <c r="D2591" s="1">
        <v>4.0</v>
      </c>
      <c r="E2591" s="1">
        <v>236.0</v>
      </c>
      <c r="F2591" s="1">
        <v>7.0</v>
      </c>
      <c r="G2591" s="1">
        <v>7.0</v>
      </c>
      <c r="H2591" s="1" t="s">
        <v>32</v>
      </c>
      <c r="I2591" s="1" t="s">
        <v>33</v>
      </c>
      <c r="J2591" s="1" t="s">
        <v>18</v>
      </c>
      <c r="K2591" s="1">
        <v>575000.0</v>
      </c>
      <c r="L2591" s="1">
        <v>56.9663651</v>
      </c>
      <c r="M2591" s="1">
        <v>24.1051126038627</v>
      </c>
    </row>
    <row r="2592">
      <c r="A2592" s="1" t="s">
        <v>13</v>
      </c>
      <c r="B2592" s="1" t="s">
        <v>38</v>
      </c>
      <c r="C2592" s="1" t="s">
        <v>1741</v>
      </c>
      <c r="D2592" s="1">
        <v>3.0</v>
      </c>
      <c r="E2592" s="1">
        <v>75.0</v>
      </c>
      <c r="F2592" s="1">
        <v>1.0</v>
      </c>
      <c r="G2592" s="1">
        <v>2.0</v>
      </c>
      <c r="H2592" s="1" t="s">
        <v>171</v>
      </c>
      <c r="I2592" s="1" t="s">
        <v>37</v>
      </c>
      <c r="J2592" s="1" t="s">
        <v>18</v>
      </c>
      <c r="K2592" s="1">
        <v>350.0</v>
      </c>
      <c r="L2592" s="1">
        <v>56.9542324</v>
      </c>
      <c r="M2592" s="1">
        <v>24.007968</v>
      </c>
    </row>
    <row r="2593">
      <c r="A2593" s="1" t="s">
        <v>22</v>
      </c>
      <c r="B2593" s="1" t="s">
        <v>50</v>
      </c>
      <c r="C2593" s="1" t="s">
        <v>1742</v>
      </c>
      <c r="D2593" s="1">
        <v>2.0</v>
      </c>
      <c r="E2593" s="1">
        <v>49.0</v>
      </c>
      <c r="F2593" s="1">
        <v>5.0</v>
      </c>
      <c r="G2593" s="1">
        <v>6.0</v>
      </c>
      <c r="H2593" s="1" t="s">
        <v>25</v>
      </c>
      <c r="I2593" s="1" t="s">
        <v>33</v>
      </c>
      <c r="J2593" s="1" t="s">
        <v>18</v>
      </c>
      <c r="K2593" s="1">
        <v>67000.0</v>
      </c>
      <c r="L2593" s="1">
        <v>56.93915935</v>
      </c>
      <c r="M2593" s="1">
        <v>24.1561931429911</v>
      </c>
    </row>
    <row r="2594">
      <c r="A2594" s="1" t="s">
        <v>22</v>
      </c>
      <c r="B2594" s="1" t="s">
        <v>23</v>
      </c>
      <c r="C2594" s="1" t="s">
        <v>1743</v>
      </c>
      <c r="D2594" s="1">
        <v>1.0</v>
      </c>
      <c r="E2594" s="1">
        <v>20.0</v>
      </c>
      <c r="F2594" s="1">
        <v>2.0</v>
      </c>
      <c r="G2594" s="1">
        <v>2.0</v>
      </c>
      <c r="H2594" s="1" t="s">
        <v>25</v>
      </c>
      <c r="I2594" s="1" t="s">
        <v>26</v>
      </c>
      <c r="J2594" s="1" t="s">
        <v>18</v>
      </c>
      <c r="K2594" s="1">
        <v>12000.0</v>
      </c>
      <c r="L2594" s="1">
        <v>56.9524291</v>
      </c>
      <c r="M2594" s="1">
        <v>24.151222252628</v>
      </c>
    </row>
    <row r="2595">
      <c r="A2595" s="1" t="s">
        <v>22</v>
      </c>
      <c r="B2595" s="1" t="s">
        <v>38</v>
      </c>
      <c r="C2595" s="1" t="s">
        <v>1641</v>
      </c>
      <c r="D2595" s="1">
        <v>3.0</v>
      </c>
      <c r="E2595" s="1">
        <v>65.0</v>
      </c>
      <c r="F2595" s="1">
        <v>6.0</v>
      </c>
      <c r="G2595" s="1">
        <v>9.0</v>
      </c>
      <c r="H2595" s="1">
        <v>602.0</v>
      </c>
      <c r="I2595" s="1" t="s">
        <v>21</v>
      </c>
      <c r="J2595" s="1" t="s">
        <v>18</v>
      </c>
      <c r="K2595" s="1">
        <v>64000.0</v>
      </c>
      <c r="L2595" s="1">
        <v>56.95911535</v>
      </c>
      <c r="M2595" s="1">
        <v>24.009544181028</v>
      </c>
    </row>
    <row r="2596">
      <c r="A2596" s="1" t="s">
        <v>22</v>
      </c>
      <c r="B2596" s="1" t="s">
        <v>74</v>
      </c>
      <c r="C2596" s="1" t="s">
        <v>1744</v>
      </c>
      <c r="D2596" s="1">
        <v>2.0</v>
      </c>
      <c r="E2596" s="1">
        <v>50.0</v>
      </c>
      <c r="F2596" s="1">
        <v>4.0</v>
      </c>
      <c r="G2596" s="1">
        <v>9.0</v>
      </c>
      <c r="H2596" s="1">
        <v>602.0</v>
      </c>
      <c r="I2596" s="1" t="s">
        <v>21</v>
      </c>
      <c r="J2596" s="1" t="s">
        <v>18</v>
      </c>
      <c r="K2596" s="1">
        <v>47000.0</v>
      </c>
      <c r="L2596" s="1">
        <v>56.94175645</v>
      </c>
      <c r="M2596" s="1">
        <v>24.1975758860959</v>
      </c>
    </row>
    <row r="2597">
      <c r="A2597" s="1" t="s">
        <v>13</v>
      </c>
      <c r="B2597" s="1" t="s">
        <v>218</v>
      </c>
      <c r="C2597" s="1" t="s">
        <v>1238</v>
      </c>
      <c r="D2597" s="1">
        <v>2.0</v>
      </c>
      <c r="E2597" s="1">
        <v>50.0</v>
      </c>
      <c r="F2597" s="1">
        <v>3.0</v>
      </c>
      <c r="G2597" s="1">
        <v>6.0</v>
      </c>
      <c r="H2597" s="1" t="s">
        <v>32</v>
      </c>
      <c r="I2597" s="1" t="s">
        <v>17</v>
      </c>
      <c r="J2597" s="1" t="s">
        <v>18</v>
      </c>
      <c r="K2597" s="1">
        <v>490.0</v>
      </c>
      <c r="L2597" s="1">
        <v>56.9503023</v>
      </c>
      <c r="M2597" s="1">
        <v>24.1092472</v>
      </c>
    </row>
    <row r="2598">
      <c r="A2598" s="1" t="s">
        <v>13</v>
      </c>
      <c r="B2598" s="1" t="s">
        <v>218</v>
      </c>
      <c r="C2598" s="1" t="s">
        <v>219</v>
      </c>
      <c r="D2598" s="1">
        <v>2.0</v>
      </c>
      <c r="E2598" s="1">
        <v>65.0</v>
      </c>
      <c r="F2598" s="1">
        <v>2.0</v>
      </c>
      <c r="G2598" s="1">
        <v>6.0</v>
      </c>
      <c r="H2598" s="1" t="s">
        <v>32</v>
      </c>
      <c r="I2598" s="1" t="s">
        <v>17</v>
      </c>
      <c r="J2598" s="1" t="s">
        <v>18</v>
      </c>
      <c r="K2598" s="1">
        <v>550.0</v>
      </c>
      <c r="L2598" s="1">
        <v>56.9453381999999</v>
      </c>
      <c r="M2598" s="1">
        <v>24.1094639533088</v>
      </c>
    </row>
    <row r="2599">
      <c r="A2599" s="1" t="s">
        <v>22</v>
      </c>
      <c r="B2599" s="1" t="s">
        <v>447</v>
      </c>
      <c r="C2599" s="1" t="s">
        <v>1745</v>
      </c>
      <c r="D2599" s="1">
        <v>2.0</v>
      </c>
      <c r="E2599" s="1">
        <v>45.0</v>
      </c>
      <c r="F2599" s="1">
        <v>1.0</v>
      </c>
      <c r="G2599" s="1">
        <v>2.0</v>
      </c>
      <c r="H2599" s="1" t="s">
        <v>25</v>
      </c>
      <c r="I2599" s="1" t="s">
        <v>26</v>
      </c>
      <c r="J2599" s="1" t="s">
        <v>27</v>
      </c>
      <c r="K2599" s="1">
        <v>27500.0</v>
      </c>
      <c r="L2599" s="1">
        <v>56.91992425</v>
      </c>
      <c r="M2599" s="1">
        <v>24.0874379893337</v>
      </c>
    </row>
    <row r="2600">
      <c r="A2600" s="1" t="s">
        <v>22</v>
      </c>
      <c r="B2600" s="1" t="s">
        <v>151</v>
      </c>
      <c r="C2600" s="1" t="s">
        <v>513</v>
      </c>
      <c r="D2600" s="1">
        <v>1.0</v>
      </c>
      <c r="E2600" s="1">
        <v>45.0</v>
      </c>
      <c r="F2600" s="1">
        <v>5.0</v>
      </c>
      <c r="G2600" s="1">
        <v>9.0</v>
      </c>
      <c r="H2600" s="1">
        <v>119.0</v>
      </c>
      <c r="I2600" s="1" t="s">
        <v>21</v>
      </c>
      <c r="J2600" s="1" t="s">
        <v>18</v>
      </c>
      <c r="K2600" s="1">
        <v>47800.0</v>
      </c>
      <c r="L2600" s="1">
        <v>56.9682471</v>
      </c>
      <c r="M2600" s="1">
        <v>24.0497274</v>
      </c>
    </row>
    <row r="2601">
      <c r="A2601" s="1" t="s">
        <v>13</v>
      </c>
      <c r="B2601" s="1" t="s">
        <v>218</v>
      </c>
      <c r="C2601" s="1" t="s">
        <v>1238</v>
      </c>
      <c r="D2601" s="1">
        <v>2.0</v>
      </c>
      <c r="E2601" s="1">
        <v>60.0</v>
      </c>
      <c r="F2601" s="1">
        <v>3.0</v>
      </c>
      <c r="G2601" s="1">
        <v>7.0</v>
      </c>
      <c r="H2601" s="1" t="s">
        <v>66</v>
      </c>
      <c r="I2601" s="1" t="s">
        <v>33</v>
      </c>
      <c r="J2601" s="1" t="s">
        <v>18</v>
      </c>
      <c r="K2601" s="1">
        <v>490.0</v>
      </c>
      <c r="L2601" s="1">
        <v>56.9503023</v>
      </c>
      <c r="M2601" s="1">
        <v>24.1092472</v>
      </c>
    </row>
    <row r="2602">
      <c r="A2602" s="1" t="s">
        <v>13</v>
      </c>
      <c r="B2602" s="1" t="s">
        <v>422</v>
      </c>
      <c r="C2602" s="1" t="s">
        <v>363</v>
      </c>
      <c r="D2602" s="1">
        <v>3.0</v>
      </c>
      <c r="E2602" s="1">
        <v>90.0</v>
      </c>
      <c r="F2602" s="1">
        <v>12.0</v>
      </c>
      <c r="G2602" s="1">
        <v>30.0</v>
      </c>
      <c r="H2602" s="1" t="s">
        <v>32</v>
      </c>
      <c r="I2602" s="1" t="s">
        <v>33</v>
      </c>
      <c r="J2602" s="1" t="s">
        <v>18</v>
      </c>
      <c r="K2602" s="1">
        <v>650.0</v>
      </c>
      <c r="L2602" s="1">
        <v>56.9334996</v>
      </c>
      <c r="M2602" s="1">
        <v>24.0424848</v>
      </c>
    </row>
    <row r="2603">
      <c r="A2603" s="1" t="s">
        <v>22</v>
      </c>
      <c r="B2603" s="1" t="s">
        <v>151</v>
      </c>
      <c r="C2603" s="1" t="s">
        <v>1746</v>
      </c>
      <c r="D2603" s="1">
        <v>2.0</v>
      </c>
      <c r="E2603" s="1">
        <v>45.0</v>
      </c>
      <c r="F2603" s="1">
        <v>1.0</v>
      </c>
      <c r="G2603" s="1">
        <v>5.0</v>
      </c>
      <c r="H2603" s="1" t="s">
        <v>44</v>
      </c>
      <c r="I2603" s="1" t="s">
        <v>37</v>
      </c>
      <c r="J2603" s="1" t="s">
        <v>18</v>
      </c>
      <c r="K2603" s="1">
        <v>47500.0</v>
      </c>
      <c r="L2603" s="1">
        <v>56.96300795</v>
      </c>
      <c r="M2603" s="1">
        <v>24.0485982499999</v>
      </c>
    </row>
    <row r="2604">
      <c r="A2604" s="1" t="s">
        <v>131</v>
      </c>
      <c r="B2604" s="1" t="s">
        <v>14</v>
      </c>
      <c r="C2604" s="2"/>
      <c r="D2604" s="1">
        <v>2.0</v>
      </c>
      <c r="E2604" s="2"/>
      <c r="F2604" s="2"/>
      <c r="G2604" s="2"/>
      <c r="H2604" s="1">
        <v>602.0</v>
      </c>
      <c r="I2604" s="1" t="s">
        <v>17</v>
      </c>
      <c r="J2604" s="1" t="s">
        <v>27</v>
      </c>
      <c r="K2604" s="2"/>
      <c r="L2604" s="1">
        <v>46.3144754</v>
      </c>
      <c r="M2604" s="1">
        <v>11.0480288</v>
      </c>
    </row>
    <row r="2605">
      <c r="A2605" s="1" t="s">
        <v>13</v>
      </c>
      <c r="B2605" s="1" t="s">
        <v>218</v>
      </c>
      <c r="C2605" s="1" t="s">
        <v>1238</v>
      </c>
      <c r="D2605" s="1">
        <v>2.0</v>
      </c>
      <c r="E2605" s="1">
        <v>60.0</v>
      </c>
      <c r="F2605" s="1">
        <v>6.0</v>
      </c>
      <c r="G2605" s="1">
        <v>7.0</v>
      </c>
      <c r="H2605" s="1" t="s">
        <v>66</v>
      </c>
      <c r="I2605" s="1" t="s">
        <v>37</v>
      </c>
      <c r="J2605" s="1" t="s">
        <v>18</v>
      </c>
      <c r="K2605" s="1">
        <v>490.0</v>
      </c>
      <c r="L2605" s="1">
        <v>56.9503023</v>
      </c>
      <c r="M2605" s="1">
        <v>24.1092472</v>
      </c>
    </row>
    <row r="2606">
      <c r="A2606" s="1" t="s">
        <v>89</v>
      </c>
      <c r="B2606" s="1" t="s">
        <v>94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1">
        <v>46.3144754</v>
      </c>
      <c r="M2606" s="1">
        <v>11.0480288</v>
      </c>
    </row>
    <row r="2607">
      <c r="A2607" s="1" t="s">
        <v>89</v>
      </c>
      <c r="B2607" s="1" t="s">
        <v>30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1">
        <v>46.3144754</v>
      </c>
      <c r="M2607" s="1">
        <v>11.0480288</v>
      </c>
    </row>
    <row r="2608">
      <c r="A2608" s="1" t="s">
        <v>89</v>
      </c>
      <c r="B2608" s="1" t="s">
        <v>174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1">
        <v>46.3144754</v>
      </c>
      <c r="M2608" s="1">
        <v>11.0480288</v>
      </c>
    </row>
    <row r="2609">
      <c r="A2609" s="1" t="s">
        <v>89</v>
      </c>
      <c r="B2609" s="1" t="s">
        <v>117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1">
        <v>46.3144754</v>
      </c>
      <c r="M2609" s="1">
        <v>11.0480288</v>
      </c>
    </row>
    <row r="2610">
      <c r="A2610" s="1" t="s">
        <v>22</v>
      </c>
      <c r="B2610" s="1" t="s">
        <v>96</v>
      </c>
      <c r="C2610" s="1" t="s">
        <v>1747</v>
      </c>
      <c r="D2610" s="1">
        <v>1.0</v>
      </c>
      <c r="E2610" s="1">
        <v>42.0</v>
      </c>
      <c r="F2610" s="1">
        <v>5.0</v>
      </c>
      <c r="G2610" s="1">
        <v>5.0</v>
      </c>
      <c r="H2610" s="1" t="s">
        <v>57</v>
      </c>
      <c r="I2610" s="1" t="s">
        <v>21</v>
      </c>
      <c r="J2610" s="1" t="s">
        <v>18</v>
      </c>
      <c r="K2610" s="1">
        <v>29950.0</v>
      </c>
      <c r="L2610" s="1">
        <v>57.03437255</v>
      </c>
      <c r="M2610" s="1">
        <v>24.0945721824565</v>
      </c>
    </row>
    <row r="2611">
      <c r="A2611" s="1" t="s">
        <v>22</v>
      </c>
      <c r="B2611" s="1" t="s">
        <v>96</v>
      </c>
      <c r="C2611" s="1" t="s">
        <v>1648</v>
      </c>
      <c r="D2611" s="1">
        <v>3.0</v>
      </c>
      <c r="E2611" s="1">
        <v>68.0</v>
      </c>
      <c r="F2611" s="1">
        <v>4.0</v>
      </c>
      <c r="G2611" s="1">
        <v>5.0</v>
      </c>
      <c r="H2611" s="1" t="s">
        <v>16</v>
      </c>
      <c r="I2611" s="1" t="s">
        <v>21</v>
      </c>
      <c r="J2611" s="1" t="s">
        <v>18</v>
      </c>
      <c r="K2611" s="1">
        <v>48500.0</v>
      </c>
      <c r="L2611" s="1">
        <v>57.02968905</v>
      </c>
      <c r="M2611" s="1">
        <v>24.108664502028</v>
      </c>
    </row>
    <row r="2612">
      <c r="A2612" s="1" t="s">
        <v>13</v>
      </c>
      <c r="B2612" s="1" t="s">
        <v>19</v>
      </c>
      <c r="C2612" s="1" t="s">
        <v>1748</v>
      </c>
      <c r="D2612" s="1">
        <v>1.0</v>
      </c>
      <c r="E2612" s="1">
        <v>35.0</v>
      </c>
      <c r="F2612" s="1">
        <v>3.0</v>
      </c>
      <c r="G2612" s="1">
        <v>9.0</v>
      </c>
      <c r="H2612" s="1">
        <v>602.0</v>
      </c>
      <c r="I2612" s="1" t="s">
        <v>21</v>
      </c>
      <c r="J2612" s="1" t="s">
        <v>18</v>
      </c>
      <c r="K2612" s="1">
        <v>260.0</v>
      </c>
      <c r="L2612" s="1">
        <v>56.8990307</v>
      </c>
      <c r="M2612" s="1">
        <v>24.0785989</v>
      </c>
    </row>
    <row r="2613">
      <c r="A2613" s="1" t="s">
        <v>22</v>
      </c>
      <c r="B2613" s="1" t="s">
        <v>104</v>
      </c>
      <c r="C2613" s="1" t="s">
        <v>874</v>
      </c>
      <c r="D2613" s="1">
        <v>1.0</v>
      </c>
      <c r="E2613" s="1">
        <v>20.0</v>
      </c>
      <c r="F2613" s="1">
        <v>1.0</v>
      </c>
      <c r="G2613" s="1">
        <v>5.0</v>
      </c>
      <c r="H2613" s="1" t="s">
        <v>44</v>
      </c>
      <c r="I2613" s="1" t="s">
        <v>37</v>
      </c>
      <c r="J2613" s="1" t="s">
        <v>18</v>
      </c>
      <c r="K2613" s="1">
        <v>33400.0</v>
      </c>
      <c r="L2613" s="1">
        <v>56.9438277999999</v>
      </c>
      <c r="M2613" s="1">
        <v>24.062819336917</v>
      </c>
    </row>
    <row r="2614">
      <c r="A2614" s="1" t="s">
        <v>13</v>
      </c>
      <c r="B2614" s="1" t="s">
        <v>96</v>
      </c>
      <c r="C2614" s="1" t="s">
        <v>646</v>
      </c>
      <c r="D2614" s="1">
        <v>3.0</v>
      </c>
      <c r="E2614" s="1">
        <v>60.0</v>
      </c>
      <c r="F2614" s="1">
        <v>4.0</v>
      </c>
      <c r="G2614" s="1">
        <v>5.0</v>
      </c>
      <c r="H2614" s="1" t="s">
        <v>16</v>
      </c>
      <c r="I2614" s="1" t="s">
        <v>21</v>
      </c>
      <c r="J2614" s="1" t="s">
        <v>18</v>
      </c>
      <c r="K2614" s="1">
        <v>290.0</v>
      </c>
      <c r="L2614" s="1">
        <v>57.0338716499999</v>
      </c>
      <c r="M2614" s="1">
        <v>24.1016223840699</v>
      </c>
    </row>
    <row r="2615">
      <c r="A2615" s="1" t="s">
        <v>22</v>
      </c>
      <c r="B2615" s="1" t="s">
        <v>14</v>
      </c>
      <c r="C2615" s="1" t="s">
        <v>1749</v>
      </c>
      <c r="D2615" s="1">
        <v>3.0</v>
      </c>
      <c r="E2615" s="1">
        <v>63.0</v>
      </c>
      <c r="F2615" s="1">
        <v>4.0</v>
      </c>
      <c r="G2615" s="1">
        <v>5.0</v>
      </c>
      <c r="H2615" s="1" t="s">
        <v>16</v>
      </c>
      <c r="I2615" s="1" t="s">
        <v>21</v>
      </c>
      <c r="J2615" s="1" t="s">
        <v>18</v>
      </c>
      <c r="K2615" s="1">
        <v>55990.0</v>
      </c>
      <c r="L2615" s="1">
        <v>56.9572401</v>
      </c>
      <c r="M2615" s="1">
        <v>24.1779622</v>
      </c>
    </row>
    <row r="2616">
      <c r="A2616" s="1" t="s">
        <v>13</v>
      </c>
      <c r="B2616" s="1" t="s">
        <v>447</v>
      </c>
      <c r="C2616" s="1" t="s">
        <v>1750</v>
      </c>
      <c r="D2616" s="1">
        <v>1.0</v>
      </c>
      <c r="E2616" s="1">
        <v>26.0</v>
      </c>
      <c r="F2616" s="1">
        <v>1.0</v>
      </c>
      <c r="G2616" s="1">
        <v>2.0</v>
      </c>
      <c r="H2616" s="1" t="s">
        <v>25</v>
      </c>
      <c r="I2616" s="1" t="s">
        <v>33</v>
      </c>
      <c r="J2616" s="1" t="s">
        <v>18</v>
      </c>
      <c r="K2616" s="1">
        <v>140.0</v>
      </c>
      <c r="L2616" s="1">
        <v>56.92484785</v>
      </c>
      <c r="M2616" s="1">
        <v>24.0957941811209</v>
      </c>
    </row>
    <row r="2617">
      <c r="A2617" s="1" t="s">
        <v>22</v>
      </c>
      <c r="B2617" s="1" t="s">
        <v>14</v>
      </c>
      <c r="C2617" s="1" t="s">
        <v>689</v>
      </c>
      <c r="D2617" s="1">
        <v>3.0</v>
      </c>
      <c r="E2617" s="1">
        <v>63.0</v>
      </c>
      <c r="F2617" s="1">
        <v>4.0</v>
      </c>
      <c r="G2617" s="1">
        <v>9.0</v>
      </c>
      <c r="H2617" s="1">
        <v>602.0</v>
      </c>
      <c r="I2617" s="1" t="s">
        <v>21</v>
      </c>
      <c r="J2617" s="1" t="s">
        <v>18</v>
      </c>
      <c r="K2617" s="1">
        <v>58000.0</v>
      </c>
      <c r="L2617" s="1">
        <v>56.95828335</v>
      </c>
      <c r="M2617" s="1">
        <v>24.1729105268554</v>
      </c>
    </row>
    <row r="2618">
      <c r="A2618" s="1" t="s">
        <v>22</v>
      </c>
      <c r="B2618" s="1" t="s">
        <v>151</v>
      </c>
      <c r="C2618" s="1" t="s">
        <v>1751</v>
      </c>
      <c r="D2618" s="1">
        <v>2.0</v>
      </c>
      <c r="E2618" s="1">
        <v>42.0</v>
      </c>
      <c r="F2618" s="1">
        <v>2.0</v>
      </c>
      <c r="G2618" s="1">
        <v>5.0</v>
      </c>
      <c r="H2618" s="1" t="s">
        <v>44</v>
      </c>
      <c r="I2618" s="1" t="s">
        <v>37</v>
      </c>
      <c r="J2618" s="1" t="s">
        <v>18</v>
      </c>
      <c r="K2618" s="1">
        <v>41500.0</v>
      </c>
      <c r="L2618" s="1">
        <v>56.96472115</v>
      </c>
      <c r="M2618" s="1">
        <v>24.065679850492</v>
      </c>
    </row>
    <row r="2619">
      <c r="A2619" s="1" t="s">
        <v>13</v>
      </c>
      <c r="B2619" s="1" t="s">
        <v>74</v>
      </c>
      <c r="C2619" s="1" t="s">
        <v>1752</v>
      </c>
      <c r="D2619" s="1">
        <v>2.0</v>
      </c>
      <c r="E2619" s="1">
        <v>50.0</v>
      </c>
      <c r="F2619" s="1">
        <v>7.0</v>
      </c>
      <c r="G2619" s="1">
        <v>9.0</v>
      </c>
      <c r="H2619" s="1">
        <v>602.0</v>
      </c>
      <c r="I2619" s="1" t="s">
        <v>21</v>
      </c>
      <c r="J2619" s="1" t="s">
        <v>18</v>
      </c>
      <c r="K2619" s="1">
        <v>25.0</v>
      </c>
      <c r="L2619" s="1">
        <v>56.9427474</v>
      </c>
      <c r="M2619" s="1">
        <v>24.2246202</v>
      </c>
    </row>
    <row r="2620">
      <c r="A2620" s="1" t="s">
        <v>22</v>
      </c>
      <c r="B2620" s="1" t="s">
        <v>60</v>
      </c>
      <c r="C2620" s="1" t="s">
        <v>1753</v>
      </c>
      <c r="D2620" s="1">
        <v>2.0</v>
      </c>
      <c r="E2620" s="1">
        <v>51.0</v>
      </c>
      <c r="F2620" s="1">
        <v>3.0</v>
      </c>
      <c r="G2620" s="1">
        <v>5.0</v>
      </c>
      <c r="H2620" s="1" t="s">
        <v>16</v>
      </c>
      <c r="I2620" s="1" t="s">
        <v>21</v>
      </c>
      <c r="J2620" s="1" t="s">
        <v>18</v>
      </c>
      <c r="K2620" s="1">
        <v>33700.0</v>
      </c>
      <c r="L2620" s="1">
        <v>57.0313424</v>
      </c>
      <c r="M2620" s="1">
        <v>24.05559245</v>
      </c>
    </row>
    <row r="2621">
      <c r="A2621" s="1" t="s">
        <v>22</v>
      </c>
      <c r="B2621" s="1" t="s">
        <v>28</v>
      </c>
      <c r="C2621" s="1" t="s">
        <v>1754</v>
      </c>
      <c r="D2621" s="1">
        <v>3.0</v>
      </c>
      <c r="E2621" s="1">
        <v>56.0</v>
      </c>
      <c r="F2621" s="1">
        <v>5.0</v>
      </c>
      <c r="G2621" s="1">
        <v>5.0</v>
      </c>
      <c r="H2621" s="1" t="s">
        <v>16</v>
      </c>
      <c r="I2621" s="1" t="s">
        <v>21</v>
      </c>
      <c r="J2621" s="1" t="s">
        <v>18</v>
      </c>
      <c r="K2621" s="1">
        <v>49000.0</v>
      </c>
      <c r="L2621" s="1">
        <v>56.90364565</v>
      </c>
      <c r="M2621" s="1">
        <v>24.2016746005807</v>
      </c>
    </row>
    <row r="2622">
      <c r="A2622" s="1" t="s">
        <v>22</v>
      </c>
      <c r="B2622" s="1" t="s">
        <v>218</v>
      </c>
      <c r="C2622" s="1" t="s">
        <v>458</v>
      </c>
      <c r="D2622" s="1">
        <v>3.0</v>
      </c>
      <c r="E2622" s="1">
        <v>49.0</v>
      </c>
      <c r="F2622" s="1">
        <v>3.0</v>
      </c>
      <c r="G2622" s="1">
        <v>3.0</v>
      </c>
      <c r="H2622" s="1" t="s">
        <v>25</v>
      </c>
      <c r="I2622" s="1" t="s">
        <v>33</v>
      </c>
      <c r="J2622" s="1" t="s">
        <v>18</v>
      </c>
      <c r="K2622" s="1">
        <v>123500.0</v>
      </c>
      <c r="L2622" s="1">
        <v>56.94881585</v>
      </c>
      <c r="M2622" s="1">
        <v>24.1114738591085</v>
      </c>
    </row>
    <row r="2623">
      <c r="A2623" s="1" t="s">
        <v>13</v>
      </c>
      <c r="B2623" s="1" t="s">
        <v>104</v>
      </c>
      <c r="C2623" s="1" t="s">
        <v>1755</v>
      </c>
      <c r="D2623" s="1">
        <v>1.0</v>
      </c>
      <c r="E2623" s="1">
        <v>42.0</v>
      </c>
      <c r="F2623" s="1">
        <v>2.0</v>
      </c>
      <c r="G2623" s="1">
        <v>5.0</v>
      </c>
      <c r="H2623" s="1" t="s">
        <v>36</v>
      </c>
      <c r="I2623" s="1" t="s">
        <v>33</v>
      </c>
      <c r="J2623" s="1" t="s">
        <v>18</v>
      </c>
      <c r="K2623" s="1">
        <v>410.0</v>
      </c>
      <c r="L2623" s="1">
        <v>56.9511923</v>
      </c>
      <c r="M2623" s="1">
        <v>24.0659141</v>
      </c>
    </row>
    <row r="2624">
      <c r="A2624" s="1" t="s">
        <v>22</v>
      </c>
      <c r="B2624" s="1" t="s">
        <v>129</v>
      </c>
      <c r="C2624" s="1" t="s">
        <v>1756</v>
      </c>
      <c r="D2624" s="1" t="s">
        <v>90</v>
      </c>
      <c r="E2624" s="1">
        <v>427.0</v>
      </c>
      <c r="F2624" s="1">
        <v>1.0</v>
      </c>
      <c r="G2624" s="1">
        <v>5.0</v>
      </c>
      <c r="H2624" s="1" t="s">
        <v>181</v>
      </c>
      <c r="I2624" s="1" t="s">
        <v>33</v>
      </c>
      <c r="J2624" s="1" t="s">
        <v>18</v>
      </c>
      <c r="K2624" s="1">
        <v>340000.0</v>
      </c>
      <c r="L2624" s="1">
        <v>56.9969355</v>
      </c>
      <c r="M2624" s="1">
        <v>24.1233660473714</v>
      </c>
    </row>
    <row r="2625">
      <c r="A2625" s="1" t="s">
        <v>13</v>
      </c>
      <c r="B2625" s="1" t="s">
        <v>23</v>
      </c>
      <c r="C2625" s="1" t="s">
        <v>280</v>
      </c>
      <c r="D2625" s="1">
        <v>1.0</v>
      </c>
      <c r="E2625" s="1">
        <v>21.0</v>
      </c>
      <c r="F2625" s="1">
        <v>3.0</v>
      </c>
      <c r="G2625" s="1">
        <v>6.0</v>
      </c>
      <c r="H2625" s="1" t="s">
        <v>66</v>
      </c>
      <c r="I2625" s="1" t="s">
        <v>37</v>
      </c>
      <c r="J2625" s="1" t="s">
        <v>18</v>
      </c>
      <c r="K2625" s="1">
        <v>460.0</v>
      </c>
      <c r="L2625" s="1">
        <v>56.95161295</v>
      </c>
      <c r="M2625" s="1">
        <v>24.1224571478615</v>
      </c>
    </row>
    <row r="2626">
      <c r="A2626" s="1" t="s">
        <v>22</v>
      </c>
      <c r="B2626" s="1" t="s">
        <v>14</v>
      </c>
      <c r="C2626" s="1" t="s">
        <v>1407</v>
      </c>
      <c r="D2626" s="1">
        <v>3.0</v>
      </c>
      <c r="E2626" s="1">
        <v>64.0</v>
      </c>
      <c r="F2626" s="1">
        <v>8.0</v>
      </c>
      <c r="G2626" s="1">
        <v>9.0</v>
      </c>
      <c r="H2626" s="1">
        <v>602.0</v>
      </c>
      <c r="I2626" s="1" t="s">
        <v>21</v>
      </c>
      <c r="J2626" s="1" t="s">
        <v>18</v>
      </c>
      <c r="K2626" s="1">
        <v>66500.0</v>
      </c>
      <c r="L2626" s="1">
        <v>56.9636591</v>
      </c>
      <c r="M2626" s="1">
        <v>24.1879779982164</v>
      </c>
    </row>
    <row r="2627">
      <c r="A2627" s="1" t="s">
        <v>22</v>
      </c>
      <c r="B2627" s="1" t="s">
        <v>30</v>
      </c>
      <c r="C2627" s="1" t="s">
        <v>1757</v>
      </c>
      <c r="D2627" s="1">
        <v>1.0</v>
      </c>
      <c r="E2627" s="1">
        <v>35.0</v>
      </c>
      <c r="F2627" s="1">
        <v>1.0</v>
      </c>
      <c r="G2627" s="1">
        <v>3.0</v>
      </c>
      <c r="H2627" s="1" t="s">
        <v>25</v>
      </c>
      <c r="I2627" s="1" t="s">
        <v>33</v>
      </c>
      <c r="J2627" s="1" t="s">
        <v>18</v>
      </c>
      <c r="K2627" s="1">
        <v>25000.0</v>
      </c>
      <c r="L2627" s="1">
        <v>56.97693595</v>
      </c>
      <c r="M2627" s="1">
        <v>24.1717830114988</v>
      </c>
    </row>
    <row r="2628">
      <c r="A2628" s="1" t="s">
        <v>22</v>
      </c>
      <c r="B2628" s="1" t="s">
        <v>23</v>
      </c>
      <c r="C2628" s="1" t="s">
        <v>1758</v>
      </c>
      <c r="D2628" s="1">
        <v>1.0</v>
      </c>
      <c r="E2628" s="1">
        <v>24.0</v>
      </c>
      <c r="F2628" s="1">
        <v>1.0</v>
      </c>
      <c r="G2628" s="1">
        <v>2.0</v>
      </c>
      <c r="H2628" s="1" t="s">
        <v>36</v>
      </c>
      <c r="I2628" s="1" t="s">
        <v>26</v>
      </c>
      <c r="J2628" s="1" t="s">
        <v>27</v>
      </c>
      <c r="K2628" s="1">
        <v>7300.0</v>
      </c>
      <c r="L2628" s="1">
        <v>56.9570213</v>
      </c>
      <c r="M2628" s="1">
        <v>24.152592</v>
      </c>
    </row>
    <row r="2629">
      <c r="A2629" s="1" t="s">
        <v>89</v>
      </c>
      <c r="B2629" s="1" t="s">
        <v>30</v>
      </c>
      <c r="C2629" s="2"/>
      <c r="D2629" s="1" t="s">
        <v>90</v>
      </c>
      <c r="E2629" s="2"/>
      <c r="F2629" s="2"/>
      <c r="G2629" s="2"/>
      <c r="H2629" s="2"/>
      <c r="I2629" s="2"/>
      <c r="J2629" s="2"/>
      <c r="K2629" s="2"/>
      <c r="L2629" s="1">
        <v>46.3144754</v>
      </c>
      <c r="M2629" s="1">
        <v>11.0480288</v>
      </c>
    </row>
    <row r="2630">
      <c r="A2630" s="1" t="s">
        <v>22</v>
      </c>
      <c r="B2630" s="1" t="s">
        <v>28</v>
      </c>
      <c r="C2630" s="1" t="s">
        <v>1759</v>
      </c>
      <c r="D2630" s="1">
        <v>1.0</v>
      </c>
      <c r="E2630" s="1">
        <v>13.0</v>
      </c>
      <c r="F2630" s="1">
        <v>2.0</v>
      </c>
      <c r="G2630" s="1">
        <v>4.0</v>
      </c>
      <c r="H2630" s="1" t="s">
        <v>44</v>
      </c>
      <c r="I2630" s="1" t="s">
        <v>37</v>
      </c>
      <c r="J2630" s="1" t="s">
        <v>18</v>
      </c>
      <c r="K2630" s="1">
        <v>12500.0</v>
      </c>
      <c r="L2630" s="1">
        <v>56.9118027</v>
      </c>
      <c r="M2630" s="1">
        <v>24.1926528</v>
      </c>
    </row>
    <row r="2631">
      <c r="A2631" s="1" t="s">
        <v>13</v>
      </c>
      <c r="B2631" s="1" t="s">
        <v>14</v>
      </c>
      <c r="C2631" s="1" t="s">
        <v>1760</v>
      </c>
      <c r="D2631" s="1">
        <v>2.0</v>
      </c>
      <c r="E2631" s="1">
        <v>43.0</v>
      </c>
      <c r="F2631" s="1">
        <v>3.0</v>
      </c>
      <c r="G2631" s="1">
        <v>5.0</v>
      </c>
      <c r="H2631" s="1" t="s">
        <v>44</v>
      </c>
      <c r="I2631" s="1" t="s">
        <v>37</v>
      </c>
      <c r="J2631" s="1" t="s">
        <v>18</v>
      </c>
      <c r="K2631" s="1">
        <v>260.0</v>
      </c>
      <c r="L2631" s="1">
        <v>56.9641969</v>
      </c>
      <c r="M2631" s="1">
        <v>24.1678087</v>
      </c>
    </row>
    <row r="2632">
      <c r="A2632" s="1" t="s">
        <v>13</v>
      </c>
      <c r="B2632" s="1" t="s">
        <v>23</v>
      </c>
      <c r="C2632" s="1" t="s">
        <v>1603</v>
      </c>
      <c r="D2632" s="1">
        <v>1.0</v>
      </c>
      <c r="E2632" s="1">
        <v>12.0</v>
      </c>
      <c r="F2632" s="1">
        <v>1.0</v>
      </c>
      <c r="G2632" s="1">
        <v>4.0</v>
      </c>
      <c r="H2632" s="1" t="s">
        <v>66</v>
      </c>
      <c r="I2632" s="1" t="s">
        <v>37</v>
      </c>
      <c r="J2632" s="1" t="s">
        <v>18</v>
      </c>
      <c r="K2632" s="1">
        <v>140.0</v>
      </c>
      <c r="L2632" s="1">
        <v>56.9502926</v>
      </c>
      <c r="M2632" s="1">
        <v>24.143564917498</v>
      </c>
    </row>
    <row r="2633">
      <c r="A2633" s="1" t="s">
        <v>22</v>
      </c>
      <c r="B2633" s="1" t="s">
        <v>14</v>
      </c>
      <c r="C2633" s="1" t="s">
        <v>1761</v>
      </c>
      <c r="D2633" s="1">
        <v>3.0</v>
      </c>
      <c r="E2633" s="1">
        <v>66.0</v>
      </c>
      <c r="F2633" s="1">
        <v>5.0</v>
      </c>
      <c r="G2633" s="1">
        <v>5.0</v>
      </c>
      <c r="H2633" s="1" t="s">
        <v>16</v>
      </c>
      <c r="I2633" s="1" t="s">
        <v>21</v>
      </c>
      <c r="J2633" s="1" t="s">
        <v>18</v>
      </c>
      <c r="K2633" s="1">
        <v>93000.0</v>
      </c>
      <c r="L2633" s="1">
        <v>56.9570069</v>
      </c>
      <c r="M2633" s="1">
        <v>24.1987368</v>
      </c>
    </row>
    <row r="2634">
      <c r="A2634" s="1" t="s">
        <v>22</v>
      </c>
      <c r="B2634" s="1" t="s">
        <v>174</v>
      </c>
      <c r="C2634" s="1" t="s">
        <v>1762</v>
      </c>
      <c r="D2634" s="1">
        <v>2.0</v>
      </c>
      <c r="E2634" s="1">
        <v>49.0</v>
      </c>
      <c r="F2634" s="1">
        <v>1.0</v>
      </c>
      <c r="G2634" s="1">
        <v>5.0</v>
      </c>
      <c r="H2634" s="1" t="s">
        <v>32</v>
      </c>
      <c r="I2634" s="1" t="s">
        <v>33</v>
      </c>
      <c r="J2634" s="1" t="s">
        <v>18</v>
      </c>
      <c r="K2634" s="1">
        <v>63000.0</v>
      </c>
      <c r="L2634" s="1">
        <v>56.9485064</v>
      </c>
      <c r="M2634" s="1">
        <v>24.1696077537097</v>
      </c>
    </row>
    <row r="2635">
      <c r="A2635" s="1" t="s">
        <v>22</v>
      </c>
      <c r="B2635" s="1" t="s">
        <v>104</v>
      </c>
      <c r="C2635" s="1" t="s">
        <v>1763</v>
      </c>
      <c r="D2635" s="1">
        <v>2.0</v>
      </c>
      <c r="E2635" s="1">
        <v>41.0</v>
      </c>
      <c r="F2635" s="1">
        <v>3.0</v>
      </c>
      <c r="G2635" s="1">
        <v>5.0</v>
      </c>
      <c r="H2635" s="1" t="s">
        <v>66</v>
      </c>
      <c r="I2635" s="1" t="s">
        <v>33</v>
      </c>
      <c r="J2635" s="1" t="s">
        <v>18</v>
      </c>
      <c r="K2635" s="1">
        <v>89100.0</v>
      </c>
      <c r="L2635" s="1">
        <v>56.9452001</v>
      </c>
      <c r="M2635" s="1">
        <v>24.0689877912799</v>
      </c>
    </row>
    <row r="2636">
      <c r="A2636" s="1" t="s">
        <v>22</v>
      </c>
      <c r="B2636" s="1" t="s">
        <v>104</v>
      </c>
      <c r="C2636" s="1" t="s">
        <v>1763</v>
      </c>
      <c r="D2636" s="1">
        <v>2.0</v>
      </c>
      <c r="E2636" s="1">
        <v>51.0</v>
      </c>
      <c r="F2636" s="1">
        <v>3.0</v>
      </c>
      <c r="G2636" s="1">
        <v>5.0</v>
      </c>
      <c r="H2636" s="1" t="s">
        <v>66</v>
      </c>
      <c r="I2636" s="1" t="s">
        <v>33</v>
      </c>
      <c r="J2636" s="1" t="s">
        <v>18</v>
      </c>
      <c r="K2636" s="1">
        <v>112200.0</v>
      </c>
      <c r="L2636" s="1">
        <v>56.9452001</v>
      </c>
      <c r="M2636" s="1">
        <v>24.0689877912799</v>
      </c>
    </row>
    <row r="2637">
      <c r="A2637" s="1" t="s">
        <v>22</v>
      </c>
      <c r="B2637" s="1" t="s">
        <v>19</v>
      </c>
      <c r="C2637" s="1" t="s">
        <v>1764</v>
      </c>
      <c r="D2637" s="1">
        <v>2.0</v>
      </c>
      <c r="E2637" s="1">
        <v>65.0</v>
      </c>
      <c r="F2637" s="1">
        <v>2.0</v>
      </c>
      <c r="G2637" s="1">
        <v>4.0</v>
      </c>
      <c r="H2637" s="1" t="s">
        <v>32</v>
      </c>
      <c r="I2637" s="1" t="s">
        <v>122</v>
      </c>
      <c r="J2637" s="1" t="s">
        <v>18</v>
      </c>
      <c r="K2637" s="1">
        <v>99840.0</v>
      </c>
      <c r="L2637" s="1">
        <v>56.914968</v>
      </c>
      <c r="M2637" s="1">
        <v>24.12289</v>
      </c>
    </row>
    <row r="2638">
      <c r="A2638" s="1" t="s">
        <v>22</v>
      </c>
      <c r="B2638" s="1" t="s">
        <v>19</v>
      </c>
      <c r="C2638" s="1" t="s">
        <v>1765</v>
      </c>
      <c r="D2638" s="1">
        <v>4.0</v>
      </c>
      <c r="E2638" s="1">
        <v>141.0</v>
      </c>
      <c r="F2638" s="1">
        <v>4.0</v>
      </c>
      <c r="G2638" s="1">
        <v>4.0</v>
      </c>
      <c r="H2638" s="1" t="s">
        <v>32</v>
      </c>
      <c r="I2638" s="1" t="s">
        <v>122</v>
      </c>
      <c r="J2638" s="1" t="s">
        <v>18</v>
      </c>
      <c r="K2638" s="1">
        <v>199950.0</v>
      </c>
      <c r="L2638" s="1">
        <v>56.914968</v>
      </c>
      <c r="M2638" s="1">
        <v>24.12289</v>
      </c>
    </row>
    <row r="2639">
      <c r="A2639" s="1" t="s">
        <v>22</v>
      </c>
      <c r="B2639" s="1" t="s">
        <v>19</v>
      </c>
      <c r="C2639" s="1" t="s">
        <v>1764</v>
      </c>
      <c r="D2639" s="1">
        <v>3.0</v>
      </c>
      <c r="E2639" s="1">
        <v>77.0</v>
      </c>
      <c r="F2639" s="1">
        <v>2.0</v>
      </c>
      <c r="G2639" s="1">
        <v>4.0</v>
      </c>
      <c r="H2639" s="1" t="s">
        <v>32</v>
      </c>
      <c r="I2639" s="1" t="s">
        <v>122</v>
      </c>
      <c r="J2639" s="1" t="s">
        <v>18</v>
      </c>
      <c r="K2639" s="1">
        <v>126000.0</v>
      </c>
      <c r="L2639" s="1">
        <v>56.914968</v>
      </c>
      <c r="M2639" s="1">
        <v>24.12289</v>
      </c>
    </row>
    <row r="2640">
      <c r="A2640" s="1" t="s">
        <v>13</v>
      </c>
      <c r="B2640" s="1" t="s">
        <v>19</v>
      </c>
      <c r="C2640" s="1" t="s">
        <v>270</v>
      </c>
      <c r="D2640" s="1">
        <v>2.0</v>
      </c>
      <c r="E2640" s="1">
        <v>50.0</v>
      </c>
      <c r="F2640" s="1">
        <v>8.0</v>
      </c>
      <c r="G2640" s="1">
        <v>9.0</v>
      </c>
      <c r="H2640" s="1">
        <v>602.0</v>
      </c>
      <c r="I2640" s="1" t="s">
        <v>21</v>
      </c>
      <c r="J2640" s="1" t="s">
        <v>18</v>
      </c>
      <c r="K2640" s="1">
        <v>30.0</v>
      </c>
      <c r="L2640" s="1">
        <v>56.90102635</v>
      </c>
      <c r="M2640" s="1">
        <v>24.0939941127903</v>
      </c>
    </row>
    <row r="2641">
      <c r="A2641" s="1" t="s">
        <v>13</v>
      </c>
      <c r="B2641" s="1" t="s">
        <v>14</v>
      </c>
      <c r="C2641" s="1" t="s">
        <v>1766</v>
      </c>
      <c r="D2641" s="1">
        <v>2.0</v>
      </c>
      <c r="E2641" s="1">
        <v>60.0</v>
      </c>
      <c r="F2641" s="1">
        <v>9.0</v>
      </c>
      <c r="G2641" s="1">
        <v>9.0</v>
      </c>
      <c r="H2641" s="1">
        <v>119.0</v>
      </c>
      <c r="I2641" s="1" t="s">
        <v>21</v>
      </c>
      <c r="J2641" s="1" t="s">
        <v>18</v>
      </c>
      <c r="K2641" s="1">
        <v>320.0</v>
      </c>
      <c r="L2641" s="1">
        <v>56.95486825</v>
      </c>
      <c r="M2641" s="1">
        <v>24.1676608</v>
      </c>
    </row>
    <row r="2642">
      <c r="A2642" s="1" t="s">
        <v>22</v>
      </c>
      <c r="B2642" s="1" t="s">
        <v>23</v>
      </c>
      <c r="C2642" s="1" t="s">
        <v>894</v>
      </c>
      <c r="D2642" s="1">
        <v>1.0</v>
      </c>
      <c r="E2642" s="1">
        <v>41.0</v>
      </c>
      <c r="F2642" s="1">
        <v>1.0</v>
      </c>
      <c r="G2642" s="1">
        <v>5.0</v>
      </c>
      <c r="H2642" s="1" t="s">
        <v>66</v>
      </c>
      <c r="I2642" s="1" t="s">
        <v>33</v>
      </c>
      <c r="J2642" s="1" t="s">
        <v>18</v>
      </c>
      <c r="K2642" s="1">
        <v>68842.0</v>
      </c>
      <c r="L2642" s="1">
        <v>56.9629058</v>
      </c>
      <c r="M2642" s="1">
        <v>24.1284176030358</v>
      </c>
    </row>
    <row r="2643">
      <c r="A2643" s="1" t="s">
        <v>13</v>
      </c>
      <c r="B2643" s="1" t="s">
        <v>23</v>
      </c>
      <c r="C2643" s="1" t="s">
        <v>1767</v>
      </c>
      <c r="D2643" s="1">
        <v>2.0</v>
      </c>
      <c r="E2643" s="1">
        <v>45.0</v>
      </c>
      <c r="F2643" s="1">
        <v>2.0</v>
      </c>
      <c r="G2643" s="1">
        <v>6.0</v>
      </c>
      <c r="H2643" s="1" t="s">
        <v>181</v>
      </c>
      <c r="I2643" s="1" t="s">
        <v>33</v>
      </c>
      <c r="J2643" s="1" t="s">
        <v>18</v>
      </c>
      <c r="K2643" s="1">
        <v>590.0</v>
      </c>
      <c r="L2643" s="1">
        <v>56.9516291</v>
      </c>
      <c r="M2643" s="1">
        <v>24.1216147585912</v>
      </c>
    </row>
    <row r="2644">
      <c r="A2644" s="1" t="s">
        <v>22</v>
      </c>
      <c r="B2644" s="1" t="s">
        <v>23</v>
      </c>
      <c r="C2644" s="1" t="s">
        <v>262</v>
      </c>
      <c r="D2644" s="1">
        <v>3.0</v>
      </c>
      <c r="E2644" s="1">
        <v>86.0</v>
      </c>
      <c r="F2644" s="1">
        <v>5.0</v>
      </c>
      <c r="G2644" s="1">
        <v>6.0</v>
      </c>
      <c r="H2644" s="1" t="s">
        <v>66</v>
      </c>
      <c r="I2644" s="1" t="s">
        <v>33</v>
      </c>
      <c r="J2644" s="1" t="s">
        <v>18</v>
      </c>
      <c r="K2644" s="1">
        <v>205920.0</v>
      </c>
      <c r="L2644" s="1">
        <v>56.9548306</v>
      </c>
      <c r="M2644" s="1">
        <v>24.1221141</v>
      </c>
    </row>
    <row r="2645">
      <c r="A2645" s="1" t="s">
        <v>1499</v>
      </c>
      <c r="B2645" s="1" t="s">
        <v>23</v>
      </c>
      <c r="C2645" s="1" t="s">
        <v>1768</v>
      </c>
      <c r="D2645" s="1">
        <v>1.0</v>
      </c>
      <c r="E2645" s="1">
        <v>18.0</v>
      </c>
      <c r="F2645" s="1">
        <v>2.0</v>
      </c>
      <c r="G2645" s="1">
        <v>2.0</v>
      </c>
      <c r="H2645" s="1" t="s">
        <v>66</v>
      </c>
      <c r="I2645" s="1" t="s">
        <v>26</v>
      </c>
      <c r="J2645" s="1" t="s">
        <v>18</v>
      </c>
      <c r="K2645" s="1">
        <v>140.0</v>
      </c>
      <c r="L2645" s="1">
        <v>56.9426419</v>
      </c>
      <c r="M2645" s="1">
        <v>24.1255638147797</v>
      </c>
    </row>
    <row r="2646">
      <c r="A2646" s="1" t="s">
        <v>22</v>
      </c>
      <c r="B2646" s="1" t="s">
        <v>218</v>
      </c>
      <c r="C2646" s="1" t="s">
        <v>458</v>
      </c>
      <c r="D2646" s="1">
        <v>3.0</v>
      </c>
      <c r="E2646" s="1">
        <v>76.0</v>
      </c>
      <c r="F2646" s="1">
        <v>2.0</v>
      </c>
      <c r="G2646" s="1">
        <v>3.0</v>
      </c>
      <c r="H2646" s="1" t="s">
        <v>66</v>
      </c>
      <c r="I2646" s="1" t="s">
        <v>37</v>
      </c>
      <c r="J2646" s="1" t="s">
        <v>18</v>
      </c>
      <c r="K2646" s="1">
        <v>158000.0</v>
      </c>
      <c r="L2646" s="1">
        <v>56.94881585</v>
      </c>
      <c r="M2646" s="1">
        <v>24.1114738591085</v>
      </c>
    </row>
    <row r="2647">
      <c r="A2647" s="1" t="s">
        <v>22</v>
      </c>
      <c r="B2647" s="1" t="s">
        <v>28</v>
      </c>
      <c r="C2647" s="1" t="s">
        <v>1769</v>
      </c>
      <c r="D2647" s="1">
        <v>3.0</v>
      </c>
      <c r="E2647" s="1">
        <v>59.0</v>
      </c>
      <c r="F2647" s="1">
        <v>4.0</v>
      </c>
      <c r="G2647" s="1">
        <v>5.0</v>
      </c>
      <c r="H2647" s="1" t="s">
        <v>16</v>
      </c>
      <c r="I2647" s="1" t="s">
        <v>17</v>
      </c>
      <c r="J2647" s="1" t="s">
        <v>18</v>
      </c>
      <c r="K2647" s="1">
        <v>60500.0</v>
      </c>
      <c r="L2647" s="1">
        <v>56.94475115</v>
      </c>
      <c r="M2647" s="1">
        <v>24.1132172780624</v>
      </c>
    </row>
    <row r="2648">
      <c r="A2648" s="1" t="s">
        <v>13</v>
      </c>
      <c r="B2648" s="1" t="s">
        <v>96</v>
      </c>
      <c r="C2648" s="1" t="s">
        <v>1770</v>
      </c>
      <c r="D2648" s="1">
        <v>2.0</v>
      </c>
      <c r="E2648" s="1">
        <v>50.0</v>
      </c>
      <c r="F2648" s="1">
        <v>2.0</v>
      </c>
      <c r="G2648" s="1">
        <v>5.0</v>
      </c>
      <c r="H2648" s="1" t="s">
        <v>16</v>
      </c>
      <c r="I2648" s="1" t="s">
        <v>21</v>
      </c>
      <c r="J2648" s="1" t="s">
        <v>18</v>
      </c>
      <c r="K2648" s="1">
        <v>250.0</v>
      </c>
      <c r="L2648" s="1" t="s">
        <v>40</v>
      </c>
      <c r="M2648" s="1" t="s">
        <v>40</v>
      </c>
    </row>
    <row r="2649">
      <c r="A2649" s="1" t="s">
        <v>13</v>
      </c>
      <c r="B2649" s="1" t="s">
        <v>23</v>
      </c>
      <c r="C2649" s="1" t="s">
        <v>1715</v>
      </c>
      <c r="D2649" s="1">
        <v>3.0</v>
      </c>
      <c r="E2649" s="1">
        <v>68.0</v>
      </c>
      <c r="F2649" s="1">
        <v>5.0</v>
      </c>
      <c r="G2649" s="1">
        <v>5.0</v>
      </c>
      <c r="H2649" s="1" t="s">
        <v>25</v>
      </c>
      <c r="I2649" s="1" t="s">
        <v>37</v>
      </c>
      <c r="J2649" s="1" t="s">
        <v>18</v>
      </c>
      <c r="K2649" s="1">
        <v>950.0</v>
      </c>
      <c r="L2649" s="1">
        <v>56.9600455</v>
      </c>
      <c r="M2649" s="1">
        <v>24.0997626366536</v>
      </c>
    </row>
    <row r="2650">
      <c r="A2650" s="1" t="s">
        <v>22</v>
      </c>
      <c r="B2650" s="1" t="s">
        <v>23</v>
      </c>
      <c r="C2650" s="1" t="s">
        <v>244</v>
      </c>
      <c r="D2650" s="1">
        <v>2.0</v>
      </c>
      <c r="E2650" s="1">
        <v>83.0</v>
      </c>
      <c r="F2650" s="1">
        <v>6.0</v>
      </c>
      <c r="G2650" s="1">
        <v>9.0</v>
      </c>
      <c r="H2650" s="1" t="s">
        <v>32</v>
      </c>
      <c r="I2650" s="1" t="s">
        <v>17</v>
      </c>
      <c r="J2650" s="1" t="s">
        <v>18</v>
      </c>
      <c r="K2650" s="1">
        <v>160000.0</v>
      </c>
      <c r="L2650" s="1">
        <v>56.9665863</v>
      </c>
      <c r="M2650" s="1">
        <v>24.1282258</v>
      </c>
    </row>
    <row r="2651">
      <c r="A2651" s="1" t="s">
        <v>22</v>
      </c>
      <c r="B2651" s="1" t="s">
        <v>23</v>
      </c>
      <c r="C2651" s="1" t="s">
        <v>86</v>
      </c>
      <c r="D2651" s="1">
        <v>3.0</v>
      </c>
      <c r="E2651" s="1">
        <v>87.0</v>
      </c>
      <c r="F2651" s="1">
        <v>5.0</v>
      </c>
      <c r="G2651" s="1">
        <v>6.0</v>
      </c>
      <c r="H2651" s="1" t="s">
        <v>25</v>
      </c>
      <c r="I2651" s="1" t="s">
        <v>37</v>
      </c>
      <c r="J2651" s="1" t="s">
        <v>18</v>
      </c>
      <c r="K2651" s="1">
        <v>193000.0</v>
      </c>
      <c r="L2651" s="1">
        <v>56.9559527</v>
      </c>
      <c r="M2651" s="1">
        <v>24.1267505</v>
      </c>
    </row>
    <row r="2652">
      <c r="A2652" s="1" t="s">
        <v>13</v>
      </c>
      <c r="B2652" s="1" t="s">
        <v>38</v>
      </c>
      <c r="C2652" s="1" t="s">
        <v>1771</v>
      </c>
      <c r="D2652" s="1">
        <v>1.0</v>
      </c>
      <c r="E2652" s="1">
        <v>32.0</v>
      </c>
      <c r="F2652" s="1">
        <v>6.0</v>
      </c>
      <c r="G2652" s="1">
        <v>12.0</v>
      </c>
      <c r="H2652" s="1" t="s">
        <v>221</v>
      </c>
      <c r="I2652" s="1" t="s">
        <v>37</v>
      </c>
      <c r="J2652" s="1" t="s">
        <v>18</v>
      </c>
      <c r="K2652" s="1">
        <v>25.0</v>
      </c>
      <c r="L2652" s="1">
        <v>56.9602878</v>
      </c>
      <c r="M2652" s="1">
        <v>24.0297672094224</v>
      </c>
    </row>
    <row r="2653">
      <c r="A2653" s="1" t="s">
        <v>13</v>
      </c>
      <c r="B2653" s="1" t="s">
        <v>151</v>
      </c>
      <c r="C2653" s="1" t="s">
        <v>1772</v>
      </c>
      <c r="D2653" s="1">
        <v>1.0</v>
      </c>
      <c r="E2653" s="1">
        <v>45.0</v>
      </c>
      <c r="F2653" s="1">
        <v>9.0</v>
      </c>
      <c r="G2653" s="1">
        <v>9.0</v>
      </c>
      <c r="H2653" s="1" t="s">
        <v>36</v>
      </c>
      <c r="I2653" s="1" t="s">
        <v>122</v>
      </c>
      <c r="J2653" s="1" t="s">
        <v>18</v>
      </c>
      <c r="K2653" s="1">
        <v>25.0</v>
      </c>
      <c r="L2653" s="1">
        <v>56.96864425</v>
      </c>
      <c r="M2653" s="1">
        <v>24.0588636702623</v>
      </c>
    </row>
    <row r="2654">
      <c r="A2654" s="1" t="s">
        <v>22</v>
      </c>
      <c r="B2654" s="1" t="s">
        <v>23</v>
      </c>
      <c r="C2654" s="1" t="s">
        <v>262</v>
      </c>
      <c r="D2654" s="1">
        <v>3.0</v>
      </c>
      <c r="E2654" s="1">
        <v>62.0</v>
      </c>
      <c r="F2654" s="1">
        <v>2.0</v>
      </c>
      <c r="G2654" s="1">
        <v>6.0</v>
      </c>
      <c r="H2654" s="1" t="s">
        <v>66</v>
      </c>
      <c r="I2654" s="1" t="s">
        <v>33</v>
      </c>
      <c r="J2654" s="1" t="s">
        <v>18</v>
      </c>
      <c r="K2654" s="1">
        <v>141910.0</v>
      </c>
      <c r="L2654" s="1">
        <v>56.9548306</v>
      </c>
      <c r="M2654" s="1">
        <v>24.1221141</v>
      </c>
    </row>
    <row r="2655">
      <c r="A2655" s="1" t="s">
        <v>22</v>
      </c>
      <c r="B2655" s="1" t="s">
        <v>94</v>
      </c>
      <c r="C2655" s="1" t="s">
        <v>1007</v>
      </c>
      <c r="D2655" s="1">
        <v>3.0</v>
      </c>
      <c r="E2655" s="1">
        <v>61.0</v>
      </c>
      <c r="F2655" s="1">
        <v>5.0</v>
      </c>
      <c r="G2655" s="1">
        <v>9.0</v>
      </c>
      <c r="H2655" s="1">
        <v>467.0</v>
      </c>
      <c r="I2655" s="1" t="s">
        <v>21</v>
      </c>
      <c r="J2655" s="1" t="s">
        <v>18</v>
      </c>
      <c r="K2655" s="1">
        <v>63000.0</v>
      </c>
      <c r="L2655" s="1">
        <v>56.93086485</v>
      </c>
      <c r="M2655" s="1">
        <v>24.1650278688019</v>
      </c>
    </row>
    <row r="2656">
      <c r="A2656" s="1" t="s">
        <v>22</v>
      </c>
      <c r="B2656" s="1" t="s">
        <v>218</v>
      </c>
      <c r="C2656" s="1" t="s">
        <v>1432</v>
      </c>
      <c r="D2656" s="1">
        <v>4.0</v>
      </c>
      <c r="E2656" s="1">
        <v>134.0</v>
      </c>
      <c r="F2656" s="1">
        <v>6.0</v>
      </c>
      <c r="G2656" s="1">
        <v>7.0</v>
      </c>
      <c r="H2656" s="1" t="s">
        <v>25</v>
      </c>
      <c r="I2656" s="1" t="s">
        <v>33</v>
      </c>
      <c r="J2656" s="1" t="s">
        <v>18</v>
      </c>
      <c r="K2656" s="1">
        <v>260000.0</v>
      </c>
      <c r="L2656" s="1">
        <v>56.9492894</v>
      </c>
      <c r="M2656" s="1">
        <v>24.1070803</v>
      </c>
    </row>
    <row r="2657">
      <c r="A2657" s="1" t="s">
        <v>89</v>
      </c>
      <c r="B2657" s="1" t="s">
        <v>447</v>
      </c>
      <c r="C2657" s="2"/>
      <c r="D2657" s="1">
        <v>3.0</v>
      </c>
      <c r="E2657" s="2"/>
      <c r="F2657" s="2"/>
      <c r="G2657" s="2"/>
      <c r="H2657" s="2"/>
      <c r="I2657" s="2"/>
      <c r="J2657" s="1" t="s">
        <v>18</v>
      </c>
      <c r="K2657" s="2"/>
      <c r="L2657" s="1">
        <v>46.3144754</v>
      </c>
      <c r="M2657" s="1">
        <v>11.0480288</v>
      </c>
    </row>
    <row r="2658">
      <c r="A2658" s="1" t="s">
        <v>22</v>
      </c>
      <c r="B2658" s="1" t="s">
        <v>19</v>
      </c>
      <c r="C2658" s="1" t="s">
        <v>1389</v>
      </c>
      <c r="D2658" s="1">
        <v>3.0</v>
      </c>
      <c r="E2658" s="1">
        <v>75.0</v>
      </c>
      <c r="F2658" s="1">
        <v>3.0</v>
      </c>
      <c r="G2658" s="1">
        <v>10.0</v>
      </c>
      <c r="H2658" s="1">
        <v>119.0</v>
      </c>
      <c r="I2658" s="1" t="s">
        <v>21</v>
      </c>
      <c r="J2658" s="1" t="s">
        <v>18</v>
      </c>
      <c r="K2658" s="1">
        <v>72000.0</v>
      </c>
      <c r="L2658" s="1">
        <v>56.8990307</v>
      </c>
      <c r="M2658" s="1">
        <v>24.0785989</v>
      </c>
    </row>
    <row r="2659">
      <c r="A2659" s="1" t="s">
        <v>22</v>
      </c>
      <c r="B2659" s="1" t="s">
        <v>23</v>
      </c>
      <c r="C2659" s="1" t="s">
        <v>1773</v>
      </c>
      <c r="D2659" s="1">
        <v>3.0</v>
      </c>
      <c r="E2659" s="1">
        <v>116.0</v>
      </c>
      <c r="F2659" s="1">
        <v>1.0</v>
      </c>
      <c r="G2659" s="1">
        <v>5.0</v>
      </c>
      <c r="H2659" s="1" t="s">
        <v>25</v>
      </c>
      <c r="I2659" s="1" t="s">
        <v>33</v>
      </c>
      <c r="J2659" s="1" t="s">
        <v>18</v>
      </c>
      <c r="K2659" s="1">
        <v>150000.0</v>
      </c>
      <c r="L2659" s="1">
        <v>56.9725816</v>
      </c>
      <c r="M2659" s="1">
        <v>24.1408089332819</v>
      </c>
    </row>
    <row r="2660">
      <c r="A2660" s="1" t="s">
        <v>22</v>
      </c>
      <c r="B2660" s="1" t="s">
        <v>76</v>
      </c>
      <c r="C2660" s="1" t="s">
        <v>1774</v>
      </c>
      <c r="D2660" s="1">
        <v>2.0</v>
      </c>
      <c r="E2660" s="1">
        <v>55.0</v>
      </c>
      <c r="F2660" s="1">
        <v>5.0</v>
      </c>
      <c r="G2660" s="1">
        <v>5.0</v>
      </c>
      <c r="H2660" s="1" t="s">
        <v>36</v>
      </c>
      <c r="I2660" s="1" t="s">
        <v>37</v>
      </c>
      <c r="J2660" s="1" t="s">
        <v>18</v>
      </c>
      <c r="K2660" s="1">
        <v>47000.0</v>
      </c>
      <c r="L2660" s="1">
        <v>56.96027135</v>
      </c>
      <c r="M2660" s="1">
        <v>24.0597034863947</v>
      </c>
    </row>
    <row r="2661">
      <c r="A2661" s="1" t="s">
        <v>13</v>
      </c>
      <c r="B2661" s="1" t="s">
        <v>76</v>
      </c>
      <c r="C2661" s="1" t="s">
        <v>1775</v>
      </c>
      <c r="D2661" s="1">
        <v>3.0</v>
      </c>
      <c r="E2661" s="1">
        <v>59.0</v>
      </c>
      <c r="F2661" s="1">
        <v>3.0</v>
      </c>
      <c r="G2661" s="1">
        <v>5.0</v>
      </c>
      <c r="H2661" s="1" t="s">
        <v>36</v>
      </c>
      <c r="I2661" s="1" t="s">
        <v>37</v>
      </c>
      <c r="J2661" s="1" t="s">
        <v>18</v>
      </c>
      <c r="K2661" s="1">
        <v>370.0</v>
      </c>
      <c r="L2661" s="1">
        <v>56.95719445</v>
      </c>
      <c r="M2661" s="1">
        <v>24.0702211801407</v>
      </c>
    </row>
    <row r="2662">
      <c r="A2662" s="1" t="s">
        <v>13</v>
      </c>
      <c r="B2662" s="1" t="s">
        <v>19</v>
      </c>
      <c r="C2662" s="1" t="s">
        <v>1218</v>
      </c>
      <c r="D2662" s="1">
        <v>2.0</v>
      </c>
      <c r="E2662" s="1">
        <v>50.0</v>
      </c>
      <c r="F2662" s="1">
        <v>4.0</v>
      </c>
      <c r="G2662" s="1">
        <v>9.0</v>
      </c>
      <c r="H2662" s="1">
        <v>602.0</v>
      </c>
      <c r="I2662" s="1" t="s">
        <v>21</v>
      </c>
      <c r="J2662" s="1" t="s">
        <v>18</v>
      </c>
      <c r="K2662" s="1">
        <v>290.0</v>
      </c>
      <c r="L2662" s="1">
        <v>56.90069575</v>
      </c>
      <c r="M2662" s="1">
        <v>24.102280983175</v>
      </c>
    </row>
    <row r="2663">
      <c r="A2663" s="1" t="s">
        <v>22</v>
      </c>
      <c r="B2663" s="1" t="s">
        <v>23</v>
      </c>
      <c r="C2663" s="1" t="s">
        <v>313</v>
      </c>
      <c r="D2663" s="1">
        <v>2.0</v>
      </c>
      <c r="E2663" s="1">
        <v>48.0</v>
      </c>
      <c r="F2663" s="1">
        <v>1.0</v>
      </c>
      <c r="G2663" s="1">
        <v>4.0</v>
      </c>
      <c r="H2663" s="1" t="s">
        <v>25</v>
      </c>
      <c r="I2663" s="1" t="s">
        <v>33</v>
      </c>
      <c r="J2663" s="1" t="s">
        <v>18</v>
      </c>
      <c r="K2663" s="1">
        <v>77000.0</v>
      </c>
      <c r="L2663" s="1">
        <v>56.9526541</v>
      </c>
      <c r="M2663" s="1">
        <v>24.1433157</v>
      </c>
    </row>
    <row r="2664">
      <c r="A2664" s="1" t="s">
        <v>22</v>
      </c>
      <c r="B2664" s="1" t="s">
        <v>74</v>
      </c>
      <c r="C2664" s="1" t="s">
        <v>1776</v>
      </c>
      <c r="D2664" s="1">
        <v>1.0</v>
      </c>
      <c r="E2664" s="1">
        <v>32.0</v>
      </c>
      <c r="F2664" s="1">
        <v>3.0</v>
      </c>
      <c r="G2664" s="1">
        <v>9.0</v>
      </c>
      <c r="H2664" s="1">
        <v>467.0</v>
      </c>
      <c r="I2664" s="1" t="s">
        <v>21</v>
      </c>
      <c r="J2664" s="1" t="s">
        <v>18</v>
      </c>
      <c r="K2664" s="1">
        <v>35000.0</v>
      </c>
      <c r="L2664" s="1">
        <v>56.93620525</v>
      </c>
      <c r="M2664" s="1">
        <v>24.2123498134162</v>
      </c>
    </row>
    <row r="2665">
      <c r="A2665" s="1" t="s">
        <v>13</v>
      </c>
      <c r="B2665" s="1" t="s">
        <v>23</v>
      </c>
      <c r="C2665" s="1" t="s">
        <v>1777</v>
      </c>
      <c r="D2665" s="1">
        <v>5.0</v>
      </c>
      <c r="E2665" s="1">
        <v>200.0</v>
      </c>
      <c r="F2665" s="1">
        <v>5.0</v>
      </c>
      <c r="G2665" s="1">
        <v>6.0</v>
      </c>
      <c r="H2665" s="1" t="s">
        <v>25</v>
      </c>
      <c r="I2665" s="1" t="s">
        <v>33</v>
      </c>
      <c r="J2665" s="1" t="s">
        <v>18</v>
      </c>
      <c r="K2665" s="1">
        <v>145.0</v>
      </c>
      <c r="L2665" s="1">
        <v>56.9572634</v>
      </c>
      <c r="M2665" s="1">
        <v>24.1232688</v>
      </c>
    </row>
    <row r="2666">
      <c r="A2666" s="1" t="s">
        <v>22</v>
      </c>
      <c r="B2666" s="1" t="s">
        <v>23</v>
      </c>
      <c r="C2666" s="1" t="s">
        <v>718</v>
      </c>
      <c r="D2666" s="1">
        <v>1.0</v>
      </c>
      <c r="E2666" s="1">
        <v>27.0</v>
      </c>
      <c r="F2666" s="1">
        <v>1.0</v>
      </c>
      <c r="G2666" s="1">
        <v>5.0</v>
      </c>
      <c r="H2666" s="1" t="s">
        <v>25</v>
      </c>
      <c r="I2666" s="1" t="s">
        <v>33</v>
      </c>
      <c r="J2666" s="1" t="s">
        <v>18</v>
      </c>
      <c r="K2666" s="1">
        <v>63000.0</v>
      </c>
      <c r="L2666" s="1">
        <v>56.9592539</v>
      </c>
      <c r="M2666" s="1">
        <v>24.100972</v>
      </c>
    </row>
    <row r="2667">
      <c r="A2667" s="1" t="s">
        <v>13</v>
      </c>
      <c r="B2667" s="1" t="s">
        <v>38</v>
      </c>
      <c r="C2667" s="1" t="s">
        <v>1778</v>
      </c>
      <c r="D2667" s="1">
        <v>1.0</v>
      </c>
      <c r="E2667" s="1">
        <v>50.0</v>
      </c>
      <c r="F2667" s="1">
        <v>3.0</v>
      </c>
      <c r="G2667" s="1">
        <v>5.0</v>
      </c>
      <c r="H2667" s="1" t="s">
        <v>16</v>
      </c>
      <c r="I2667" s="1" t="s">
        <v>21</v>
      </c>
      <c r="J2667" s="1" t="s">
        <v>18</v>
      </c>
      <c r="K2667" s="1">
        <v>55.0</v>
      </c>
      <c r="L2667" s="1" t="s">
        <v>40</v>
      </c>
      <c r="M2667" s="1" t="s">
        <v>40</v>
      </c>
    </row>
    <row r="2668">
      <c r="A2668" s="1" t="s">
        <v>89</v>
      </c>
      <c r="B2668" s="1" t="s">
        <v>67</v>
      </c>
      <c r="C2668" s="2"/>
      <c r="D2668" s="1" t="s">
        <v>90</v>
      </c>
      <c r="E2668" s="2"/>
      <c r="F2668" s="2"/>
      <c r="G2668" s="2"/>
      <c r="H2668" s="2"/>
      <c r="I2668" s="2"/>
      <c r="J2668" s="2"/>
      <c r="K2668" s="2"/>
      <c r="L2668" s="1">
        <v>46.3144754</v>
      </c>
      <c r="M2668" s="1">
        <v>11.0480288</v>
      </c>
    </row>
    <row r="2669">
      <c r="A2669" s="1" t="s">
        <v>13</v>
      </c>
      <c r="B2669" s="1" t="s">
        <v>23</v>
      </c>
      <c r="C2669" s="1" t="s">
        <v>1395</v>
      </c>
      <c r="D2669" s="1">
        <v>3.0</v>
      </c>
      <c r="E2669" s="1">
        <v>70.0</v>
      </c>
      <c r="F2669" s="1">
        <v>3.0</v>
      </c>
      <c r="G2669" s="1">
        <v>3.0</v>
      </c>
      <c r="H2669" s="1" t="s">
        <v>25</v>
      </c>
      <c r="I2669" s="1" t="s">
        <v>37</v>
      </c>
      <c r="J2669" s="1" t="s">
        <v>18</v>
      </c>
      <c r="K2669" s="1">
        <v>600.0</v>
      </c>
      <c r="L2669" s="1">
        <v>56.9764382</v>
      </c>
      <c r="M2669" s="1">
        <v>24.1391902</v>
      </c>
    </row>
    <row r="2670">
      <c r="A2670" s="1" t="s">
        <v>13</v>
      </c>
      <c r="B2670" s="1" t="s">
        <v>23</v>
      </c>
      <c r="C2670" s="1" t="s">
        <v>501</v>
      </c>
      <c r="D2670" s="1">
        <v>1.0</v>
      </c>
      <c r="E2670" s="1">
        <v>20.0</v>
      </c>
      <c r="F2670" s="1">
        <v>3.0</v>
      </c>
      <c r="G2670" s="1">
        <v>5.0</v>
      </c>
      <c r="H2670" s="1" t="s">
        <v>66</v>
      </c>
      <c r="I2670" s="1" t="s">
        <v>33</v>
      </c>
      <c r="J2670" s="1" t="s">
        <v>18</v>
      </c>
      <c r="K2670" s="1">
        <v>235.0</v>
      </c>
      <c r="L2670" s="1">
        <v>56.94440235</v>
      </c>
      <c r="M2670" s="1">
        <v>24.1323630232783</v>
      </c>
    </row>
    <row r="2671">
      <c r="A2671" s="1" t="s">
        <v>13</v>
      </c>
      <c r="B2671" s="1" t="s">
        <v>23</v>
      </c>
      <c r="C2671" s="1" t="s">
        <v>1779</v>
      </c>
      <c r="D2671" s="1">
        <v>1.0</v>
      </c>
      <c r="E2671" s="1">
        <v>33.0</v>
      </c>
      <c r="F2671" s="1">
        <v>1.0</v>
      </c>
      <c r="G2671" s="1">
        <v>8.0</v>
      </c>
      <c r="H2671" s="1" t="s">
        <v>36</v>
      </c>
      <c r="I2671" s="1" t="s">
        <v>17</v>
      </c>
      <c r="J2671" s="1" t="s">
        <v>18</v>
      </c>
      <c r="K2671" s="1">
        <v>280.0</v>
      </c>
      <c r="L2671" s="1">
        <v>56.9655513</v>
      </c>
      <c r="M2671" s="1">
        <v>24.143597678962</v>
      </c>
    </row>
    <row r="2672">
      <c r="A2672" s="1" t="s">
        <v>22</v>
      </c>
      <c r="B2672" s="1" t="s">
        <v>76</v>
      </c>
      <c r="C2672" s="1" t="s">
        <v>1780</v>
      </c>
      <c r="D2672" s="1">
        <v>1.0</v>
      </c>
      <c r="E2672" s="1">
        <v>33.7</v>
      </c>
      <c r="F2672" s="1">
        <v>2.0</v>
      </c>
      <c r="G2672" s="1">
        <v>5.0</v>
      </c>
      <c r="H2672" s="1">
        <v>103.0</v>
      </c>
      <c r="I2672" s="1" t="s">
        <v>17</v>
      </c>
      <c r="J2672" s="1" t="s">
        <v>18</v>
      </c>
      <c r="K2672" s="1">
        <v>41900.0</v>
      </c>
      <c r="L2672" s="1">
        <v>56.9618904999999</v>
      </c>
      <c r="M2672" s="1">
        <v>24.0546888371199</v>
      </c>
    </row>
    <row r="2673">
      <c r="A2673" s="1" t="s">
        <v>22</v>
      </c>
      <c r="B2673" s="1" t="s">
        <v>151</v>
      </c>
      <c r="C2673" s="1" t="s">
        <v>714</v>
      </c>
      <c r="D2673" s="1">
        <v>2.0</v>
      </c>
      <c r="E2673" s="1">
        <v>73.0</v>
      </c>
      <c r="F2673" s="1">
        <v>2.0</v>
      </c>
      <c r="G2673" s="1">
        <v>4.0</v>
      </c>
      <c r="H2673" s="1" t="s">
        <v>181</v>
      </c>
      <c r="I2673" s="1" t="s">
        <v>33</v>
      </c>
      <c r="J2673" s="1" t="s">
        <v>18</v>
      </c>
      <c r="K2673" s="1">
        <v>85000.0</v>
      </c>
      <c r="L2673" s="1">
        <v>56.96895055</v>
      </c>
      <c r="M2673" s="1">
        <v>24.0712510907992</v>
      </c>
    </row>
    <row r="2674">
      <c r="A2674" s="1" t="s">
        <v>22</v>
      </c>
      <c r="B2674" s="1" t="s">
        <v>129</v>
      </c>
      <c r="C2674" s="1" t="s">
        <v>1203</v>
      </c>
      <c r="D2674" s="1">
        <v>2.0</v>
      </c>
      <c r="E2674" s="1">
        <v>44.0</v>
      </c>
      <c r="F2674" s="1">
        <v>3.0</v>
      </c>
      <c r="G2674" s="1">
        <v>3.0</v>
      </c>
      <c r="H2674" s="1" t="s">
        <v>36</v>
      </c>
      <c r="I2674" s="1" t="s">
        <v>37</v>
      </c>
      <c r="J2674" s="1" t="s">
        <v>18</v>
      </c>
      <c r="K2674" s="1">
        <v>29500.0</v>
      </c>
      <c r="L2674" s="1">
        <v>57.00751995</v>
      </c>
      <c r="M2674" s="1">
        <v>24.12498495</v>
      </c>
    </row>
    <row r="2675">
      <c r="A2675" s="1" t="s">
        <v>13</v>
      </c>
      <c r="B2675" s="1" t="s">
        <v>104</v>
      </c>
      <c r="C2675" s="1" t="s">
        <v>1781</v>
      </c>
      <c r="D2675" s="1">
        <v>1.0</v>
      </c>
      <c r="E2675" s="1">
        <v>16.0</v>
      </c>
      <c r="F2675" s="1">
        <v>2.0</v>
      </c>
      <c r="G2675" s="1">
        <v>2.0</v>
      </c>
      <c r="H2675" s="1" t="s">
        <v>181</v>
      </c>
      <c r="I2675" s="1" t="s">
        <v>33</v>
      </c>
      <c r="J2675" s="1" t="s">
        <v>18</v>
      </c>
      <c r="K2675" s="1">
        <v>220.0</v>
      </c>
      <c r="L2675" s="1">
        <v>56.9285604</v>
      </c>
      <c r="M2675" s="1">
        <v>24.0735595237022</v>
      </c>
    </row>
    <row r="2676">
      <c r="A2676" s="1" t="s">
        <v>13</v>
      </c>
      <c r="B2676" s="1" t="s">
        <v>422</v>
      </c>
      <c r="C2676" s="1" t="s">
        <v>363</v>
      </c>
      <c r="D2676" s="1">
        <v>2.0</v>
      </c>
      <c r="E2676" s="1">
        <v>90.0</v>
      </c>
      <c r="F2676" s="1">
        <v>20.0</v>
      </c>
      <c r="G2676" s="1">
        <v>30.0</v>
      </c>
      <c r="H2676" s="1" t="s">
        <v>32</v>
      </c>
      <c r="I2676" s="1" t="s">
        <v>33</v>
      </c>
      <c r="J2676" s="1" t="s">
        <v>18</v>
      </c>
      <c r="K2676" s="1">
        <v>650.0</v>
      </c>
      <c r="L2676" s="1">
        <v>56.9334996</v>
      </c>
      <c r="M2676" s="1">
        <v>24.0424848</v>
      </c>
    </row>
    <row r="2677">
      <c r="A2677" s="1" t="s">
        <v>22</v>
      </c>
      <c r="B2677" s="1" t="s">
        <v>96</v>
      </c>
      <c r="C2677" s="1" t="s">
        <v>1782</v>
      </c>
      <c r="D2677" s="1">
        <v>2.0</v>
      </c>
      <c r="E2677" s="1">
        <v>52.0</v>
      </c>
      <c r="F2677" s="1">
        <v>2.0</v>
      </c>
      <c r="G2677" s="1">
        <v>3.0</v>
      </c>
      <c r="H2677" s="1" t="s">
        <v>181</v>
      </c>
      <c r="I2677" s="1" t="s">
        <v>33</v>
      </c>
      <c r="J2677" s="1" t="s">
        <v>18</v>
      </c>
      <c r="K2677" s="1">
        <v>42000.0</v>
      </c>
      <c r="L2677" s="1">
        <v>57.0366979</v>
      </c>
      <c r="M2677" s="1">
        <v>24.0897398</v>
      </c>
    </row>
    <row r="2678">
      <c r="A2678" s="1" t="s">
        <v>22</v>
      </c>
      <c r="B2678" s="1" t="s">
        <v>14</v>
      </c>
      <c r="C2678" s="1" t="s">
        <v>81</v>
      </c>
      <c r="D2678" s="1">
        <v>1.0</v>
      </c>
      <c r="E2678" s="1">
        <v>43.0</v>
      </c>
      <c r="F2678" s="1">
        <v>7.0</v>
      </c>
      <c r="G2678" s="1">
        <v>9.0</v>
      </c>
      <c r="H2678" s="1" t="s">
        <v>36</v>
      </c>
      <c r="I2678" s="1" t="s">
        <v>37</v>
      </c>
      <c r="J2678" s="1" t="s">
        <v>18</v>
      </c>
      <c r="K2678" s="1">
        <v>49000.0</v>
      </c>
      <c r="L2678" s="1">
        <v>56.9655674</v>
      </c>
      <c r="M2678" s="1">
        <v>24.1830043136253</v>
      </c>
    </row>
    <row r="2679">
      <c r="A2679" s="1" t="s">
        <v>22</v>
      </c>
      <c r="B2679" s="1" t="s">
        <v>60</v>
      </c>
      <c r="C2679" s="1" t="s">
        <v>1783</v>
      </c>
      <c r="D2679" s="1">
        <v>3.0</v>
      </c>
      <c r="E2679" s="1">
        <v>54.0</v>
      </c>
      <c r="F2679" s="1">
        <v>5.0</v>
      </c>
      <c r="G2679" s="1">
        <v>5.0</v>
      </c>
      <c r="H2679" s="1" t="s">
        <v>16</v>
      </c>
      <c r="I2679" s="1" t="s">
        <v>21</v>
      </c>
      <c r="J2679" s="1" t="s">
        <v>18</v>
      </c>
      <c r="K2679" s="1">
        <v>52000.0</v>
      </c>
      <c r="L2679" s="1" t="s">
        <v>40</v>
      </c>
      <c r="M2679" s="1" t="s">
        <v>40</v>
      </c>
    </row>
    <row r="2680">
      <c r="A2680" s="1" t="s">
        <v>22</v>
      </c>
      <c r="B2680" s="1" t="s">
        <v>23</v>
      </c>
      <c r="C2680" s="1" t="s">
        <v>235</v>
      </c>
      <c r="D2680" s="1">
        <v>2.0</v>
      </c>
      <c r="E2680" s="1">
        <v>34.0</v>
      </c>
      <c r="F2680" s="1">
        <v>2.0</v>
      </c>
      <c r="G2680" s="1">
        <v>4.0</v>
      </c>
      <c r="H2680" s="1" t="s">
        <v>66</v>
      </c>
      <c r="I2680" s="1" t="s">
        <v>33</v>
      </c>
      <c r="J2680" s="1" t="s">
        <v>18</v>
      </c>
      <c r="K2680" s="1">
        <v>75000.0</v>
      </c>
      <c r="L2680" s="1">
        <v>56.9612002</v>
      </c>
      <c r="M2680" s="1">
        <v>24.1075394109907</v>
      </c>
    </row>
    <row r="2681">
      <c r="A2681" s="1" t="s">
        <v>22</v>
      </c>
      <c r="B2681" s="1" t="s">
        <v>42</v>
      </c>
      <c r="C2681" s="1" t="s">
        <v>1784</v>
      </c>
      <c r="D2681" s="1">
        <v>1.0</v>
      </c>
      <c r="E2681" s="1">
        <v>32.0</v>
      </c>
      <c r="F2681" s="1">
        <v>4.0</v>
      </c>
      <c r="G2681" s="1">
        <v>5.0</v>
      </c>
      <c r="H2681" s="1" t="s">
        <v>16</v>
      </c>
      <c r="I2681" s="1" t="s">
        <v>17</v>
      </c>
      <c r="J2681" s="1" t="s">
        <v>18</v>
      </c>
      <c r="K2681" s="1">
        <v>35000.0</v>
      </c>
      <c r="L2681" s="1">
        <v>56.97476385</v>
      </c>
      <c r="M2681" s="1">
        <v>24.2461666750996</v>
      </c>
    </row>
    <row r="2682">
      <c r="A2682" s="1" t="s">
        <v>13</v>
      </c>
      <c r="B2682" s="1" t="s">
        <v>129</v>
      </c>
      <c r="C2682" s="1" t="s">
        <v>713</v>
      </c>
      <c r="D2682" s="1">
        <v>1.0</v>
      </c>
      <c r="E2682" s="1">
        <v>18.0</v>
      </c>
      <c r="F2682" s="1">
        <v>5.0</v>
      </c>
      <c r="G2682" s="1">
        <v>5.0</v>
      </c>
      <c r="H2682" s="1" t="s">
        <v>57</v>
      </c>
      <c r="I2682" s="1" t="s">
        <v>17</v>
      </c>
      <c r="J2682" s="1" t="s">
        <v>18</v>
      </c>
      <c r="K2682" s="1">
        <v>120.0</v>
      </c>
      <c r="L2682" s="1">
        <v>57.000974</v>
      </c>
      <c r="M2682" s="1">
        <v>24.12127055</v>
      </c>
    </row>
    <row r="2683">
      <c r="A2683" s="1" t="s">
        <v>22</v>
      </c>
      <c r="B2683" s="1" t="s">
        <v>14</v>
      </c>
      <c r="C2683" s="1" t="s">
        <v>772</v>
      </c>
      <c r="D2683" s="1">
        <v>2.0</v>
      </c>
      <c r="E2683" s="1">
        <v>39.0</v>
      </c>
      <c r="F2683" s="1">
        <v>2.0</v>
      </c>
      <c r="G2683" s="1">
        <v>5.0</v>
      </c>
      <c r="H2683" s="1" t="s">
        <v>36</v>
      </c>
      <c r="I2683" s="1" t="s">
        <v>17</v>
      </c>
      <c r="J2683" s="1" t="s">
        <v>18</v>
      </c>
      <c r="K2683" s="1">
        <v>40000.0</v>
      </c>
      <c r="L2683" s="1">
        <v>56.9561795</v>
      </c>
      <c r="M2683" s="1">
        <v>24.1835724</v>
      </c>
    </row>
    <row r="2684">
      <c r="A2684" s="1" t="s">
        <v>22</v>
      </c>
      <c r="B2684" s="1" t="s">
        <v>23</v>
      </c>
      <c r="C2684" s="1" t="s">
        <v>1785</v>
      </c>
      <c r="D2684" s="1">
        <v>2.0</v>
      </c>
      <c r="E2684" s="1">
        <v>49.0</v>
      </c>
      <c r="F2684" s="1">
        <v>3.0</v>
      </c>
      <c r="G2684" s="1">
        <v>4.0</v>
      </c>
      <c r="H2684" s="1" t="s">
        <v>25</v>
      </c>
      <c r="I2684" s="1" t="s">
        <v>37</v>
      </c>
      <c r="J2684" s="1" t="s">
        <v>18</v>
      </c>
      <c r="K2684" s="1">
        <v>55500.0</v>
      </c>
      <c r="L2684" s="1">
        <v>56.9392397999999</v>
      </c>
      <c r="M2684" s="1">
        <v>24.1400505298294</v>
      </c>
    </row>
    <row r="2685">
      <c r="A2685" s="1" t="s">
        <v>22</v>
      </c>
      <c r="B2685" s="1" t="s">
        <v>50</v>
      </c>
      <c r="C2685" s="1" t="s">
        <v>1786</v>
      </c>
      <c r="D2685" s="1">
        <v>2.0</v>
      </c>
      <c r="E2685" s="1">
        <v>49.0</v>
      </c>
      <c r="F2685" s="1">
        <v>3.0</v>
      </c>
      <c r="G2685" s="1">
        <v>4.0</v>
      </c>
      <c r="H2685" s="1" t="s">
        <v>25</v>
      </c>
      <c r="I2685" s="1" t="s">
        <v>33</v>
      </c>
      <c r="J2685" s="1" t="s">
        <v>18</v>
      </c>
      <c r="K2685" s="1">
        <v>55500.0</v>
      </c>
      <c r="L2685" s="1">
        <v>56.9390032</v>
      </c>
      <c r="M2685" s="1">
        <v>24.1374188453488</v>
      </c>
    </row>
    <row r="2686">
      <c r="A2686" s="1" t="s">
        <v>22</v>
      </c>
      <c r="B2686" s="1" t="s">
        <v>14</v>
      </c>
      <c r="C2686" s="1" t="s">
        <v>1787</v>
      </c>
      <c r="D2686" s="1">
        <v>1.0</v>
      </c>
      <c r="E2686" s="1">
        <v>46.0</v>
      </c>
      <c r="F2686" s="1">
        <v>5.0</v>
      </c>
      <c r="G2686" s="1">
        <v>5.0</v>
      </c>
      <c r="H2686" s="1" t="s">
        <v>57</v>
      </c>
      <c r="I2686" s="1" t="s">
        <v>21</v>
      </c>
      <c r="J2686" s="1" t="s">
        <v>18</v>
      </c>
      <c r="K2686" s="1">
        <v>31500.0</v>
      </c>
      <c r="L2686" s="1">
        <v>56.95423785</v>
      </c>
      <c r="M2686" s="1">
        <v>24.183842</v>
      </c>
    </row>
    <row r="2687">
      <c r="A2687" s="1" t="s">
        <v>22</v>
      </c>
      <c r="B2687" s="1" t="s">
        <v>23</v>
      </c>
      <c r="C2687" s="1" t="s">
        <v>872</v>
      </c>
      <c r="D2687" s="1">
        <v>3.0</v>
      </c>
      <c r="E2687" s="1">
        <v>73.0</v>
      </c>
      <c r="F2687" s="1">
        <v>2.0</v>
      </c>
      <c r="G2687" s="1">
        <v>7.0</v>
      </c>
      <c r="H2687" s="1" t="s">
        <v>32</v>
      </c>
      <c r="I2687" s="1" t="s">
        <v>17</v>
      </c>
      <c r="J2687" s="1" t="s">
        <v>18</v>
      </c>
      <c r="K2687" s="1">
        <v>145000.0</v>
      </c>
      <c r="L2687" s="1" t="s">
        <v>40</v>
      </c>
      <c r="M2687" s="1" t="s">
        <v>40</v>
      </c>
    </row>
    <row r="2688">
      <c r="A2688" s="1" t="s">
        <v>89</v>
      </c>
      <c r="B2688" s="1" t="s">
        <v>218</v>
      </c>
      <c r="C2688" s="2"/>
      <c r="D2688" s="1" t="s">
        <v>90</v>
      </c>
      <c r="E2688" s="2"/>
      <c r="F2688" s="2"/>
      <c r="G2688" s="2"/>
      <c r="H2688" s="2"/>
      <c r="I2688" s="2"/>
      <c r="J2688" s="2"/>
      <c r="K2688" s="2"/>
      <c r="L2688" s="1">
        <v>46.3144754</v>
      </c>
      <c r="M2688" s="1">
        <v>11.0480288</v>
      </c>
    </row>
    <row r="2689">
      <c r="A2689" s="1" t="s">
        <v>22</v>
      </c>
      <c r="B2689" s="1" t="s">
        <v>23</v>
      </c>
      <c r="C2689" s="1" t="s">
        <v>1788</v>
      </c>
      <c r="D2689" s="1">
        <v>1.0</v>
      </c>
      <c r="E2689" s="1">
        <v>25.0</v>
      </c>
      <c r="F2689" s="1">
        <v>5.0</v>
      </c>
      <c r="G2689" s="1">
        <v>5.0</v>
      </c>
      <c r="H2689" s="1" t="s">
        <v>25</v>
      </c>
      <c r="I2689" s="1" t="s">
        <v>33</v>
      </c>
      <c r="J2689" s="1" t="s">
        <v>18</v>
      </c>
      <c r="K2689" s="1">
        <v>64990.0</v>
      </c>
      <c r="L2689" s="1">
        <v>56.9489016</v>
      </c>
      <c r="M2689" s="1">
        <v>24.1191083</v>
      </c>
    </row>
    <row r="2690">
      <c r="A2690" s="1" t="s">
        <v>22</v>
      </c>
      <c r="B2690" s="1" t="s">
        <v>23</v>
      </c>
      <c r="C2690" s="1" t="s">
        <v>1788</v>
      </c>
      <c r="D2690" s="1">
        <v>1.0</v>
      </c>
      <c r="E2690" s="1">
        <v>19.77</v>
      </c>
      <c r="F2690" s="1">
        <v>3.0</v>
      </c>
      <c r="G2690" s="1">
        <v>5.0</v>
      </c>
      <c r="H2690" s="1" t="s">
        <v>25</v>
      </c>
      <c r="I2690" s="1" t="s">
        <v>33</v>
      </c>
      <c r="J2690" s="1" t="s">
        <v>18</v>
      </c>
      <c r="K2690" s="1">
        <v>42990.0</v>
      </c>
      <c r="L2690" s="1">
        <v>56.9489016</v>
      </c>
      <c r="M2690" s="1">
        <v>24.1191083</v>
      </c>
    </row>
    <row r="2691">
      <c r="A2691" s="1" t="s">
        <v>13</v>
      </c>
      <c r="B2691" s="1" t="s">
        <v>14</v>
      </c>
      <c r="C2691" s="1" t="s">
        <v>1789</v>
      </c>
      <c r="D2691" s="1">
        <v>1.0</v>
      </c>
      <c r="E2691" s="1">
        <v>33.0</v>
      </c>
      <c r="F2691" s="1">
        <v>4.0</v>
      </c>
      <c r="G2691" s="1">
        <v>5.0</v>
      </c>
      <c r="H2691" s="1">
        <v>103.0</v>
      </c>
      <c r="I2691" s="1" t="s">
        <v>17</v>
      </c>
      <c r="J2691" s="1" t="s">
        <v>18</v>
      </c>
      <c r="K2691" s="1">
        <v>220.0</v>
      </c>
      <c r="L2691" s="1">
        <v>56.95239265</v>
      </c>
      <c r="M2691" s="1">
        <v>24.19793891505</v>
      </c>
    </row>
    <row r="2692">
      <c r="A2692" s="1" t="s">
        <v>22</v>
      </c>
      <c r="B2692" s="1" t="s">
        <v>23</v>
      </c>
      <c r="C2692" s="1" t="s">
        <v>1790</v>
      </c>
      <c r="D2692" s="1">
        <v>4.0</v>
      </c>
      <c r="E2692" s="1">
        <v>97.0</v>
      </c>
      <c r="F2692" s="1">
        <v>4.0</v>
      </c>
      <c r="G2692" s="1">
        <v>5.0</v>
      </c>
      <c r="H2692" s="1" t="s">
        <v>25</v>
      </c>
      <c r="I2692" s="1" t="s">
        <v>33</v>
      </c>
      <c r="J2692" s="1" t="s">
        <v>18</v>
      </c>
      <c r="K2692" s="1">
        <v>165000.0</v>
      </c>
      <c r="L2692" s="1">
        <v>56.9512979</v>
      </c>
      <c r="M2692" s="1">
        <v>24.1255555</v>
      </c>
    </row>
    <row r="2693">
      <c r="A2693" s="1" t="s">
        <v>13</v>
      </c>
      <c r="B2693" s="1" t="s">
        <v>109</v>
      </c>
      <c r="C2693" s="1" t="s">
        <v>1791</v>
      </c>
      <c r="D2693" s="1">
        <v>6.0</v>
      </c>
      <c r="E2693" s="1">
        <v>140.0</v>
      </c>
      <c r="F2693" s="1">
        <v>1.0</v>
      </c>
      <c r="G2693" s="1">
        <v>2.0</v>
      </c>
      <c r="H2693" s="1" t="s">
        <v>25</v>
      </c>
      <c r="I2693" s="1" t="s">
        <v>26</v>
      </c>
      <c r="J2693" s="1" t="s">
        <v>18</v>
      </c>
      <c r="K2693" s="1">
        <v>1300.0</v>
      </c>
      <c r="L2693" s="1">
        <v>59.3474706</v>
      </c>
      <c r="M2693" s="1">
        <v>18.1129039</v>
      </c>
    </row>
    <row r="2694">
      <c r="A2694" s="1" t="s">
        <v>13</v>
      </c>
      <c r="B2694" s="1" t="s">
        <v>38</v>
      </c>
      <c r="C2694" s="1" t="s">
        <v>1792</v>
      </c>
      <c r="D2694" s="1">
        <v>2.0</v>
      </c>
      <c r="E2694" s="1">
        <v>50.0</v>
      </c>
      <c r="F2694" s="1">
        <v>2.0</v>
      </c>
      <c r="G2694" s="1">
        <v>5.0</v>
      </c>
      <c r="H2694" s="1" t="s">
        <v>16</v>
      </c>
      <c r="I2694" s="1" t="s">
        <v>21</v>
      </c>
      <c r="J2694" s="1" t="s">
        <v>18</v>
      </c>
      <c r="K2694" s="1">
        <v>330.0</v>
      </c>
      <c r="L2694" s="1">
        <v>56.9567829</v>
      </c>
      <c r="M2694" s="1">
        <v>24.0344957</v>
      </c>
    </row>
    <row r="2695">
      <c r="A2695" s="1" t="s">
        <v>22</v>
      </c>
      <c r="B2695" s="1" t="s">
        <v>14</v>
      </c>
      <c r="C2695" s="1" t="s">
        <v>1505</v>
      </c>
      <c r="D2695" s="1">
        <v>1.0</v>
      </c>
      <c r="E2695" s="1">
        <v>32.0</v>
      </c>
      <c r="F2695" s="1">
        <v>4.0</v>
      </c>
      <c r="G2695" s="1">
        <v>5.0</v>
      </c>
      <c r="H2695" s="1" t="s">
        <v>16</v>
      </c>
      <c r="I2695" s="1" t="s">
        <v>17</v>
      </c>
      <c r="J2695" s="1" t="s">
        <v>18</v>
      </c>
      <c r="K2695" s="1">
        <v>36000.0</v>
      </c>
      <c r="L2695" s="1">
        <v>56.9601830999999</v>
      </c>
      <c r="M2695" s="1">
        <v>24.1809677999999</v>
      </c>
    </row>
    <row r="2696">
      <c r="A2696" s="1" t="s">
        <v>22</v>
      </c>
      <c r="B2696" s="1" t="s">
        <v>19</v>
      </c>
      <c r="C2696" s="1" t="s">
        <v>1793</v>
      </c>
      <c r="D2696" s="1">
        <v>1.0</v>
      </c>
      <c r="E2696" s="1">
        <v>44.0</v>
      </c>
      <c r="F2696" s="1">
        <v>3.0</v>
      </c>
      <c r="G2696" s="1">
        <v>9.0</v>
      </c>
      <c r="H2696" s="1" t="s">
        <v>57</v>
      </c>
      <c r="I2696" s="1" t="s">
        <v>21</v>
      </c>
      <c r="J2696" s="1" t="s">
        <v>18</v>
      </c>
      <c r="K2696" s="1">
        <v>35500.0</v>
      </c>
      <c r="L2696" s="1">
        <v>56.90025155</v>
      </c>
      <c r="M2696" s="1">
        <v>24.0985274782545</v>
      </c>
    </row>
    <row r="2697">
      <c r="A2697" s="1" t="s">
        <v>22</v>
      </c>
      <c r="B2697" s="1" t="s">
        <v>19</v>
      </c>
      <c r="C2697" s="1" t="s">
        <v>1794</v>
      </c>
      <c r="D2697" s="1">
        <v>4.0</v>
      </c>
      <c r="E2697" s="1">
        <v>141.01</v>
      </c>
      <c r="F2697" s="1">
        <v>4.0</v>
      </c>
      <c r="G2697" s="1">
        <v>4.0</v>
      </c>
      <c r="H2697" s="1" t="s">
        <v>32</v>
      </c>
      <c r="I2697" s="1" t="s">
        <v>122</v>
      </c>
      <c r="J2697" s="1" t="s">
        <v>18</v>
      </c>
      <c r="K2697" s="1">
        <v>199000.0</v>
      </c>
      <c r="L2697" s="1">
        <v>56.91394475</v>
      </c>
      <c r="M2697" s="1">
        <v>24.1253739379909</v>
      </c>
    </row>
    <row r="2698">
      <c r="A2698" s="1" t="s">
        <v>13</v>
      </c>
      <c r="B2698" s="1" t="s">
        <v>129</v>
      </c>
      <c r="C2698" s="1" t="s">
        <v>1795</v>
      </c>
      <c r="D2698" s="1">
        <v>2.0</v>
      </c>
      <c r="E2698" s="1">
        <v>50.0</v>
      </c>
      <c r="F2698" s="1">
        <v>3.0</v>
      </c>
      <c r="G2698" s="1">
        <v>9.0</v>
      </c>
      <c r="H2698" s="1" t="s">
        <v>36</v>
      </c>
      <c r="I2698" s="1" t="s">
        <v>37</v>
      </c>
      <c r="J2698" s="1" t="s">
        <v>18</v>
      </c>
      <c r="K2698" s="1">
        <v>320.0</v>
      </c>
      <c r="L2698" s="1" t="s">
        <v>40</v>
      </c>
      <c r="M2698" s="1" t="s">
        <v>40</v>
      </c>
    </row>
    <row r="2699">
      <c r="A2699" s="1" t="s">
        <v>22</v>
      </c>
      <c r="B2699" s="1" t="s">
        <v>76</v>
      </c>
      <c r="C2699" s="1" t="s">
        <v>1796</v>
      </c>
      <c r="D2699" s="1">
        <v>4.0</v>
      </c>
      <c r="E2699" s="1">
        <v>160.1</v>
      </c>
      <c r="F2699" s="1">
        <v>6.0</v>
      </c>
      <c r="G2699" s="1">
        <v>7.0</v>
      </c>
      <c r="H2699" s="1" t="s">
        <v>32</v>
      </c>
      <c r="I2699" s="1" t="s">
        <v>37</v>
      </c>
      <c r="J2699" s="1" t="s">
        <v>18</v>
      </c>
      <c r="K2699" s="1">
        <v>162000.0</v>
      </c>
      <c r="L2699" s="1">
        <v>56.96845095</v>
      </c>
      <c r="M2699" s="1">
        <v>24.0520103188272</v>
      </c>
    </row>
    <row r="2700">
      <c r="A2700" s="1" t="s">
        <v>13</v>
      </c>
      <c r="B2700" s="1" t="s">
        <v>42</v>
      </c>
      <c r="C2700" s="1" t="s">
        <v>1797</v>
      </c>
      <c r="D2700" s="1">
        <v>3.0</v>
      </c>
      <c r="E2700" s="1">
        <v>166.0</v>
      </c>
      <c r="F2700" s="1">
        <v>2.0</v>
      </c>
      <c r="G2700" s="1">
        <v>3.0</v>
      </c>
      <c r="H2700" s="1" t="s">
        <v>32</v>
      </c>
      <c r="I2700" s="1" t="s">
        <v>37</v>
      </c>
      <c r="J2700" s="1" t="s">
        <v>18</v>
      </c>
      <c r="K2700" s="1">
        <v>900.0</v>
      </c>
      <c r="L2700" s="1">
        <v>56.9761694</v>
      </c>
      <c r="M2700" s="1">
        <v>24.2544503</v>
      </c>
    </row>
    <row r="2701">
      <c r="A2701" s="1" t="s">
        <v>22</v>
      </c>
      <c r="B2701" s="1" t="s">
        <v>23</v>
      </c>
      <c r="C2701" s="1" t="s">
        <v>570</v>
      </c>
      <c r="D2701" s="1">
        <v>1.0</v>
      </c>
      <c r="E2701" s="1">
        <v>26.0</v>
      </c>
      <c r="F2701" s="1">
        <v>2.0</v>
      </c>
      <c r="G2701" s="1">
        <v>6.0</v>
      </c>
      <c r="H2701" s="1" t="s">
        <v>25</v>
      </c>
      <c r="I2701" s="1" t="s">
        <v>37</v>
      </c>
      <c r="J2701" s="1" t="s">
        <v>18</v>
      </c>
      <c r="K2701" s="1">
        <v>33150.0</v>
      </c>
      <c r="L2701" s="1">
        <v>56.9555074999999</v>
      </c>
      <c r="M2701" s="1">
        <v>24.1534989394562</v>
      </c>
    </row>
    <row r="2702">
      <c r="A2702" s="1" t="s">
        <v>89</v>
      </c>
      <c r="B2702" s="1" t="s">
        <v>48</v>
      </c>
      <c r="C2702" s="2"/>
      <c r="D2702" s="1" t="s">
        <v>90</v>
      </c>
      <c r="E2702" s="2"/>
      <c r="F2702" s="2"/>
      <c r="G2702" s="2"/>
      <c r="H2702" s="2"/>
      <c r="I2702" s="2"/>
      <c r="J2702" s="2"/>
      <c r="K2702" s="2"/>
      <c r="L2702" s="1">
        <v>46.3144754</v>
      </c>
      <c r="M2702" s="1">
        <v>11.0480288</v>
      </c>
    </row>
    <row r="2703">
      <c r="A2703" s="1" t="s">
        <v>22</v>
      </c>
      <c r="B2703" s="1" t="s">
        <v>23</v>
      </c>
      <c r="C2703" s="1" t="s">
        <v>1798</v>
      </c>
      <c r="D2703" s="1">
        <v>2.0</v>
      </c>
      <c r="E2703" s="1">
        <v>56.0</v>
      </c>
      <c r="F2703" s="1">
        <v>1.0</v>
      </c>
      <c r="G2703" s="1">
        <v>5.0</v>
      </c>
      <c r="H2703" s="1" t="s">
        <v>25</v>
      </c>
      <c r="I2703" s="1" t="s">
        <v>37</v>
      </c>
      <c r="J2703" s="1" t="s">
        <v>18</v>
      </c>
      <c r="K2703" s="1">
        <v>83000.0</v>
      </c>
      <c r="L2703" s="1">
        <v>56.956763</v>
      </c>
      <c r="M2703" s="1">
        <v>24.0954531</v>
      </c>
    </row>
    <row r="2704">
      <c r="A2704" s="1" t="s">
        <v>13</v>
      </c>
      <c r="B2704" s="1" t="s">
        <v>218</v>
      </c>
      <c r="C2704" s="1" t="s">
        <v>91</v>
      </c>
      <c r="D2704" s="1">
        <v>4.0</v>
      </c>
      <c r="E2704" s="1">
        <v>160.0</v>
      </c>
      <c r="F2704" s="1">
        <v>3.0</v>
      </c>
      <c r="G2704" s="1">
        <v>7.0</v>
      </c>
      <c r="H2704" s="1" t="s">
        <v>32</v>
      </c>
      <c r="I2704" s="1" t="s">
        <v>37</v>
      </c>
      <c r="J2704" s="1" t="s">
        <v>18</v>
      </c>
      <c r="K2704" s="1">
        <v>2000.0</v>
      </c>
      <c r="L2704" s="1">
        <v>56.9552522</v>
      </c>
      <c r="M2704" s="1">
        <v>24.0999991251943</v>
      </c>
    </row>
    <row r="2705">
      <c r="A2705" s="1" t="s">
        <v>22</v>
      </c>
      <c r="B2705" s="1" t="s">
        <v>129</v>
      </c>
      <c r="C2705" s="1" t="s">
        <v>1799</v>
      </c>
      <c r="D2705" s="1">
        <v>1.0</v>
      </c>
      <c r="E2705" s="1">
        <v>29.0</v>
      </c>
      <c r="F2705" s="1">
        <v>4.0</v>
      </c>
      <c r="G2705" s="1">
        <v>5.0</v>
      </c>
      <c r="H2705" s="1" t="s">
        <v>44</v>
      </c>
      <c r="I2705" s="1" t="s">
        <v>37</v>
      </c>
      <c r="J2705" s="1" t="s">
        <v>18</v>
      </c>
      <c r="K2705" s="1">
        <v>25450.0</v>
      </c>
      <c r="L2705" s="1">
        <v>56.997753</v>
      </c>
      <c r="M2705" s="1">
        <v>24.1197427</v>
      </c>
    </row>
    <row r="2706">
      <c r="A2706" s="1" t="s">
        <v>22</v>
      </c>
      <c r="B2706" s="1" t="s">
        <v>48</v>
      </c>
      <c r="C2706" s="1" t="s">
        <v>257</v>
      </c>
      <c r="D2706" s="1">
        <v>4.0</v>
      </c>
      <c r="E2706" s="1">
        <v>75.0</v>
      </c>
      <c r="F2706" s="1">
        <v>5.0</v>
      </c>
      <c r="G2706" s="1">
        <v>5.0</v>
      </c>
      <c r="H2706" s="1" t="s">
        <v>32</v>
      </c>
      <c r="I2706" s="1" t="s">
        <v>17</v>
      </c>
      <c r="J2706" s="1" t="s">
        <v>18</v>
      </c>
      <c r="K2706" s="1">
        <v>82830.0</v>
      </c>
      <c r="L2706" s="1">
        <v>56.9541725</v>
      </c>
      <c r="M2706" s="1">
        <v>24.2443253</v>
      </c>
    </row>
    <row r="2707">
      <c r="A2707" s="1" t="s">
        <v>22</v>
      </c>
      <c r="B2707" s="1" t="s">
        <v>48</v>
      </c>
      <c r="C2707" s="1" t="s">
        <v>257</v>
      </c>
      <c r="D2707" s="1">
        <v>3.0</v>
      </c>
      <c r="E2707" s="1">
        <v>75.0</v>
      </c>
      <c r="F2707" s="1">
        <v>1.0</v>
      </c>
      <c r="G2707" s="1">
        <v>5.0</v>
      </c>
      <c r="H2707" s="1" t="s">
        <v>32</v>
      </c>
      <c r="I2707" s="1" t="s">
        <v>17</v>
      </c>
      <c r="J2707" s="1" t="s">
        <v>18</v>
      </c>
      <c r="K2707" s="1">
        <v>82500.0</v>
      </c>
      <c r="L2707" s="1">
        <v>56.9541725</v>
      </c>
      <c r="M2707" s="1">
        <v>24.2443253</v>
      </c>
    </row>
    <row r="2708">
      <c r="A2708" s="1" t="s">
        <v>22</v>
      </c>
      <c r="B2708" s="1" t="s">
        <v>48</v>
      </c>
      <c r="C2708" s="1" t="s">
        <v>257</v>
      </c>
      <c r="D2708" s="1">
        <v>2.0</v>
      </c>
      <c r="E2708" s="1">
        <v>46.0</v>
      </c>
      <c r="F2708" s="1">
        <v>3.0</v>
      </c>
      <c r="G2708" s="1">
        <v>5.0</v>
      </c>
      <c r="H2708" s="1" t="s">
        <v>32</v>
      </c>
      <c r="I2708" s="1" t="s">
        <v>17</v>
      </c>
      <c r="J2708" s="1" t="s">
        <v>18</v>
      </c>
      <c r="K2708" s="1">
        <v>53245.0</v>
      </c>
      <c r="L2708" s="1">
        <v>56.9541725</v>
      </c>
      <c r="M2708" s="1">
        <v>24.2443253</v>
      </c>
    </row>
    <row r="2709">
      <c r="A2709" s="1" t="s">
        <v>22</v>
      </c>
      <c r="B2709" s="1" t="s">
        <v>48</v>
      </c>
      <c r="C2709" s="1" t="s">
        <v>257</v>
      </c>
      <c r="D2709" s="1">
        <v>2.0</v>
      </c>
      <c r="E2709" s="1">
        <v>57.0</v>
      </c>
      <c r="F2709" s="1">
        <v>3.0</v>
      </c>
      <c r="G2709" s="1">
        <v>5.0</v>
      </c>
      <c r="H2709" s="1" t="s">
        <v>32</v>
      </c>
      <c r="I2709" s="1" t="s">
        <v>17</v>
      </c>
      <c r="J2709" s="1" t="s">
        <v>18</v>
      </c>
      <c r="K2709" s="1">
        <v>64975.0</v>
      </c>
      <c r="L2709" s="1">
        <v>56.9541725</v>
      </c>
      <c r="M2709" s="1">
        <v>24.2443253</v>
      </c>
    </row>
    <row r="2710">
      <c r="A2710" s="1" t="s">
        <v>22</v>
      </c>
      <c r="B2710" s="1" t="s">
        <v>38</v>
      </c>
      <c r="C2710" s="1" t="s">
        <v>1104</v>
      </c>
      <c r="D2710" s="1">
        <v>4.0</v>
      </c>
      <c r="E2710" s="1">
        <v>78.0</v>
      </c>
      <c r="F2710" s="1">
        <v>2.0</v>
      </c>
      <c r="G2710" s="1">
        <v>9.0</v>
      </c>
      <c r="H2710" s="1" t="s">
        <v>32</v>
      </c>
      <c r="I2710" s="1" t="s">
        <v>21</v>
      </c>
      <c r="J2710" s="1" t="s">
        <v>18</v>
      </c>
      <c r="K2710" s="1">
        <v>148799.0</v>
      </c>
      <c r="L2710" s="1">
        <v>56.9514132</v>
      </c>
      <c r="M2710" s="1">
        <v>24.0038761753746</v>
      </c>
    </row>
    <row r="2711">
      <c r="A2711" s="1" t="s">
        <v>22</v>
      </c>
      <c r="B2711" s="1" t="s">
        <v>1800</v>
      </c>
      <c r="C2711" s="1" t="s">
        <v>1801</v>
      </c>
      <c r="D2711" s="1">
        <v>2.0</v>
      </c>
      <c r="E2711" s="1">
        <v>46.0</v>
      </c>
      <c r="F2711" s="1">
        <v>1.0</v>
      </c>
      <c r="G2711" s="1">
        <v>5.0</v>
      </c>
      <c r="H2711" s="1" t="s">
        <v>44</v>
      </c>
      <c r="I2711" s="1" t="s">
        <v>37</v>
      </c>
      <c r="J2711" s="1" t="s">
        <v>18</v>
      </c>
      <c r="K2711" s="1">
        <v>70000.0</v>
      </c>
      <c r="L2711" s="1">
        <v>56.9141787</v>
      </c>
      <c r="M2711" s="1">
        <v>24.1217522</v>
      </c>
    </row>
    <row r="2712">
      <c r="A2712" s="1" t="s">
        <v>131</v>
      </c>
      <c r="B2712" s="1" t="s">
        <v>1800</v>
      </c>
      <c r="C2712" s="2"/>
      <c r="D2712" s="1">
        <v>1.0</v>
      </c>
      <c r="E2712" s="2"/>
      <c r="F2712" s="2"/>
      <c r="G2712" s="2"/>
      <c r="H2712" s="2"/>
      <c r="I2712" s="2"/>
      <c r="J2712" s="1" t="s">
        <v>27</v>
      </c>
      <c r="K2712" s="2"/>
      <c r="L2712" s="1">
        <v>46.3144754</v>
      </c>
      <c r="M2712" s="1">
        <v>11.0480288</v>
      </c>
    </row>
    <row r="2713">
      <c r="A2713" s="1" t="s">
        <v>22</v>
      </c>
      <c r="B2713" s="1" t="s">
        <v>1802</v>
      </c>
      <c r="C2713" s="1" t="s">
        <v>1803</v>
      </c>
      <c r="D2713" s="1">
        <v>3.0</v>
      </c>
      <c r="E2713" s="1">
        <v>78.0</v>
      </c>
      <c r="F2713" s="1">
        <v>5.0</v>
      </c>
      <c r="G2713" s="1">
        <v>6.0</v>
      </c>
      <c r="H2713" s="1" t="s">
        <v>32</v>
      </c>
      <c r="I2713" s="1" t="s">
        <v>33</v>
      </c>
      <c r="J2713" s="1" t="s">
        <v>18</v>
      </c>
      <c r="K2713" s="1">
        <v>103500.0</v>
      </c>
      <c r="L2713" s="1">
        <v>56.9832818</v>
      </c>
      <c r="M2713" s="1">
        <v>24.0298770515569</v>
      </c>
    </row>
    <row r="2714">
      <c r="A2714" s="1" t="s">
        <v>22</v>
      </c>
      <c r="B2714" s="1" t="s">
        <v>861</v>
      </c>
      <c r="C2714" s="1" t="s">
        <v>862</v>
      </c>
      <c r="D2714" s="1">
        <v>2.0</v>
      </c>
      <c r="E2714" s="1">
        <v>38.0</v>
      </c>
      <c r="F2714" s="1">
        <v>2.0</v>
      </c>
      <c r="G2714" s="1">
        <v>2.0</v>
      </c>
      <c r="H2714" s="1" t="s">
        <v>36</v>
      </c>
      <c r="I2714" s="1" t="s">
        <v>33</v>
      </c>
      <c r="J2714" s="1" t="s">
        <v>27</v>
      </c>
      <c r="K2714" s="1">
        <v>15600.0</v>
      </c>
      <c r="L2714" s="1" t="s">
        <v>40</v>
      </c>
      <c r="M2714" s="1" t="s">
        <v>40</v>
      </c>
    </row>
    <row r="2715">
      <c r="A2715" s="1" t="s">
        <v>22</v>
      </c>
      <c r="B2715" s="1" t="s">
        <v>1800</v>
      </c>
      <c r="C2715" s="1" t="s">
        <v>1804</v>
      </c>
      <c r="D2715" s="1">
        <v>2.0</v>
      </c>
      <c r="E2715" s="1">
        <v>57.0</v>
      </c>
      <c r="F2715" s="1">
        <v>9.0</v>
      </c>
      <c r="G2715" s="1">
        <v>9.0</v>
      </c>
      <c r="H2715" s="1" t="s">
        <v>36</v>
      </c>
      <c r="I2715" s="1" t="s">
        <v>17</v>
      </c>
      <c r="J2715" s="1" t="s">
        <v>18</v>
      </c>
      <c r="K2715" s="1">
        <v>62000.0</v>
      </c>
      <c r="L2715" s="1">
        <v>56.9141787</v>
      </c>
      <c r="M2715" s="1">
        <v>24.1217522</v>
      </c>
    </row>
    <row r="2716">
      <c r="A2716" s="1" t="s">
        <v>13</v>
      </c>
      <c r="B2716" s="1" t="s">
        <v>751</v>
      </c>
      <c r="C2716" s="1" t="s">
        <v>1805</v>
      </c>
      <c r="D2716" s="1">
        <v>2.0</v>
      </c>
      <c r="E2716" s="1">
        <v>294.0</v>
      </c>
      <c r="F2716" s="1">
        <v>4.0</v>
      </c>
      <c r="G2716" s="1">
        <v>4.0</v>
      </c>
      <c r="H2716" s="1" t="s">
        <v>36</v>
      </c>
      <c r="I2716" s="1" t="s">
        <v>33</v>
      </c>
      <c r="J2716" s="1" t="s">
        <v>18</v>
      </c>
      <c r="K2716" s="1">
        <v>650.0</v>
      </c>
      <c r="L2716" s="1" t="s">
        <v>40</v>
      </c>
      <c r="M2716" s="1" t="s">
        <v>40</v>
      </c>
    </row>
    <row r="2717">
      <c r="A2717" s="1" t="s">
        <v>22</v>
      </c>
      <c r="B2717" s="1" t="s">
        <v>1800</v>
      </c>
      <c r="C2717" s="1" t="s">
        <v>1806</v>
      </c>
      <c r="D2717" s="1">
        <v>1.0</v>
      </c>
      <c r="E2717" s="1">
        <v>12.0</v>
      </c>
      <c r="F2717" s="1">
        <v>1.0</v>
      </c>
      <c r="G2717" s="1">
        <v>2.0</v>
      </c>
      <c r="H2717" s="1" t="s">
        <v>36</v>
      </c>
      <c r="I2717" s="1" t="s">
        <v>37</v>
      </c>
      <c r="J2717" s="1" t="s">
        <v>27</v>
      </c>
      <c r="K2717" s="1">
        <v>10110.0</v>
      </c>
      <c r="L2717" s="1">
        <v>56.9114313</v>
      </c>
      <c r="M2717" s="1">
        <v>24.1399792</v>
      </c>
    </row>
    <row r="2718">
      <c r="A2718" s="1" t="s">
        <v>89</v>
      </c>
      <c r="B2718" s="1" t="s">
        <v>1807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1">
        <v>46.3144754</v>
      </c>
      <c r="M2718" s="1">
        <v>11.0480288</v>
      </c>
    </row>
    <row r="2719">
      <c r="A2719" s="1" t="s">
        <v>22</v>
      </c>
      <c r="B2719" s="1" t="s">
        <v>1802</v>
      </c>
      <c r="C2719" s="1" t="s">
        <v>1803</v>
      </c>
      <c r="D2719" s="1">
        <v>2.0</v>
      </c>
      <c r="E2719" s="1">
        <v>68.0</v>
      </c>
      <c r="F2719" s="1">
        <v>5.0</v>
      </c>
      <c r="G2719" s="1">
        <v>6.0</v>
      </c>
      <c r="H2719" s="1" t="s">
        <v>32</v>
      </c>
      <c r="I2719" s="1" t="s">
        <v>33</v>
      </c>
      <c r="J2719" s="1" t="s">
        <v>18</v>
      </c>
      <c r="K2719" s="1">
        <v>101500.0</v>
      </c>
      <c r="L2719" s="1">
        <v>56.9832818</v>
      </c>
      <c r="M2719" s="1">
        <v>24.0298770515569</v>
      </c>
    </row>
    <row r="2720">
      <c r="A2720" s="1" t="s">
        <v>22</v>
      </c>
      <c r="B2720" s="1" t="s">
        <v>273</v>
      </c>
      <c r="C2720" s="1" t="s">
        <v>274</v>
      </c>
      <c r="D2720" s="1">
        <v>3.0</v>
      </c>
      <c r="E2720" s="1">
        <v>66.0</v>
      </c>
      <c r="F2720" s="1">
        <v>2.0</v>
      </c>
      <c r="G2720" s="1">
        <v>5.0</v>
      </c>
      <c r="H2720" s="1">
        <v>103.0</v>
      </c>
      <c r="I2720" s="1" t="s">
        <v>17</v>
      </c>
      <c r="J2720" s="1" t="s">
        <v>18</v>
      </c>
      <c r="K2720" s="1">
        <v>45000.0</v>
      </c>
      <c r="L2720" s="1">
        <v>56.95765645</v>
      </c>
      <c r="M2720" s="1">
        <v>24.2911644248424</v>
      </c>
    </row>
    <row r="2721">
      <c r="A2721" s="1" t="s">
        <v>22</v>
      </c>
      <c r="B2721" s="1" t="s">
        <v>1808</v>
      </c>
      <c r="C2721" s="1" t="s">
        <v>1809</v>
      </c>
      <c r="D2721" s="1">
        <v>4.0</v>
      </c>
      <c r="E2721" s="1">
        <v>159.0</v>
      </c>
      <c r="F2721" s="1">
        <v>2.0</v>
      </c>
      <c r="G2721" s="1">
        <v>2.0</v>
      </c>
      <c r="H2721" s="1" t="s">
        <v>25</v>
      </c>
      <c r="I2721" s="1" t="s">
        <v>26</v>
      </c>
      <c r="J2721" s="1" t="s">
        <v>18</v>
      </c>
      <c r="K2721" s="1">
        <v>98000.0</v>
      </c>
      <c r="L2721" s="1">
        <v>57.0128169</v>
      </c>
      <c r="M2721" s="1">
        <v>23.9752968</v>
      </c>
    </row>
    <row r="2722">
      <c r="A2722" s="1" t="s">
        <v>22</v>
      </c>
      <c r="B2722" s="1" t="s">
        <v>1810</v>
      </c>
      <c r="C2722" s="1" t="s">
        <v>1811</v>
      </c>
      <c r="D2722" s="1">
        <v>2.0</v>
      </c>
      <c r="E2722" s="1">
        <v>36.0</v>
      </c>
      <c r="F2722" s="1">
        <v>2.0</v>
      </c>
      <c r="G2722" s="1">
        <v>3.0</v>
      </c>
      <c r="H2722" s="1" t="s">
        <v>25</v>
      </c>
      <c r="I2722" s="1" t="s">
        <v>33</v>
      </c>
      <c r="J2722" s="1" t="s">
        <v>63</v>
      </c>
      <c r="K2722" s="1">
        <v>12500.0</v>
      </c>
      <c r="L2722" s="1">
        <v>57.0197401</v>
      </c>
      <c r="M2722" s="1">
        <v>24.1288213</v>
      </c>
    </row>
    <row r="2723">
      <c r="A2723" s="1" t="s">
        <v>22</v>
      </c>
      <c r="B2723" s="1" t="s">
        <v>503</v>
      </c>
      <c r="C2723" s="1" t="s">
        <v>1812</v>
      </c>
      <c r="D2723" s="1">
        <v>2.0</v>
      </c>
      <c r="E2723" s="1">
        <v>43.0</v>
      </c>
      <c r="F2723" s="1">
        <v>1.0</v>
      </c>
      <c r="G2723" s="1">
        <v>2.0</v>
      </c>
      <c r="H2723" s="1" t="s">
        <v>36</v>
      </c>
      <c r="I2723" s="1" t="s">
        <v>37</v>
      </c>
      <c r="J2723" s="1" t="s">
        <v>27</v>
      </c>
      <c r="K2723" s="1">
        <v>17000.0</v>
      </c>
      <c r="L2723" s="1">
        <v>57.0621312</v>
      </c>
      <c r="M2723" s="1">
        <v>24.0542515</v>
      </c>
    </row>
    <row r="2724">
      <c r="A2724" s="1" t="s">
        <v>22</v>
      </c>
      <c r="B2724" s="1" t="s">
        <v>1810</v>
      </c>
      <c r="C2724" s="1" t="s">
        <v>1435</v>
      </c>
      <c r="D2724" s="1">
        <v>1.0</v>
      </c>
      <c r="E2724" s="1">
        <v>29.0</v>
      </c>
      <c r="F2724" s="1">
        <v>1.0</v>
      </c>
      <c r="G2724" s="1">
        <v>2.0</v>
      </c>
      <c r="H2724" s="1" t="s">
        <v>25</v>
      </c>
      <c r="I2724" s="1" t="s">
        <v>26</v>
      </c>
      <c r="J2724" s="1" t="s">
        <v>18</v>
      </c>
      <c r="K2724" s="1">
        <v>12000.0</v>
      </c>
      <c r="L2724" s="1">
        <v>57.01927645</v>
      </c>
      <c r="M2724" s="1">
        <v>24.127157633502</v>
      </c>
    </row>
    <row r="2725">
      <c r="A2725" s="1" t="s">
        <v>22</v>
      </c>
      <c r="B2725" s="1" t="s">
        <v>1737</v>
      </c>
      <c r="C2725" s="1" t="s">
        <v>1235</v>
      </c>
      <c r="D2725" s="1">
        <v>2.0</v>
      </c>
      <c r="E2725" s="1">
        <v>60.0</v>
      </c>
      <c r="F2725" s="1">
        <v>1.0</v>
      </c>
      <c r="G2725" s="1">
        <v>2.0</v>
      </c>
      <c r="H2725" s="1" t="s">
        <v>181</v>
      </c>
      <c r="I2725" s="1" t="s">
        <v>33</v>
      </c>
      <c r="J2725" s="1" t="s">
        <v>18</v>
      </c>
      <c r="K2725" s="1">
        <v>39999.0</v>
      </c>
      <c r="L2725" s="1">
        <v>56.9653522</v>
      </c>
      <c r="M2725" s="1">
        <v>24.1647985</v>
      </c>
    </row>
    <row r="2726">
      <c r="A2726" s="1" t="s">
        <v>131</v>
      </c>
      <c r="B2726" s="1" t="s">
        <v>751</v>
      </c>
      <c r="C2726" s="2"/>
      <c r="D2726" s="1">
        <v>1.0</v>
      </c>
      <c r="E2726" s="2"/>
      <c r="F2726" s="2"/>
      <c r="G2726" s="2"/>
      <c r="H2726" s="1" t="s">
        <v>171</v>
      </c>
      <c r="I2726" s="2"/>
      <c r="J2726" s="1" t="s">
        <v>18</v>
      </c>
      <c r="K2726" s="2"/>
      <c r="L2726" s="1">
        <v>46.3144754</v>
      </c>
      <c r="M2726" s="1">
        <v>11.0480288</v>
      </c>
    </row>
    <row r="2727">
      <c r="A2727" s="1" t="s">
        <v>89</v>
      </c>
      <c r="B2727" s="1" t="s">
        <v>1813</v>
      </c>
      <c r="C2727" s="2"/>
      <c r="D2727" s="2"/>
      <c r="E2727" s="1">
        <v>22.0</v>
      </c>
      <c r="F2727" s="1">
        <v>12.0</v>
      </c>
      <c r="G2727" s="1">
        <v>1.0</v>
      </c>
      <c r="H2727" s="2"/>
      <c r="I2727" s="2"/>
      <c r="J2727" s="2"/>
      <c r="K2727" s="2"/>
      <c r="L2727" s="1">
        <v>46.3144754</v>
      </c>
      <c r="M2727" s="1">
        <v>11.0480288</v>
      </c>
    </row>
    <row r="2728">
      <c r="A2728" s="1" t="s">
        <v>89</v>
      </c>
      <c r="B2728" s="1" t="s">
        <v>1737</v>
      </c>
      <c r="C2728" s="2"/>
      <c r="D2728" s="2"/>
      <c r="E2728" s="1">
        <v>1.0</v>
      </c>
      <c r="F2728" s="1">
        <v>1.0</v>
      </c>
      <c r="G2728" s="1">
        <v>1.0</v>
      </c>
      <c r="H2728" s="2"/>
      <c r="I2728" s="2"/>
      <c r="J2728" s="2"/>
      <c r="K2728" s="2"/>
      <c r="L2728" s="1">
        <v>46.3144754</v>
      </c>
      <c r="M2728" s="1">
        <v>11.0480288</v>
      </c>
    </row>
    <row r="2729">
      <c r="A2729" s="1" t="s">
        <v>22</v>
      </c>
      <c r="B2729" s="1" t="s">
        <v>503</v>
      </c>
      <c r="C2729" s="1" t="s">
        <v>1814</v>
      </c>
      <c r="D2729" s="1">
        <v>1.0</v>
      </c>
      <c r="E2729" s="1">
        <v>34.0</v>
      </c>
      <c r="F2729" s="1">
        <v>4.0</v>
      </c>
      <c r="G2729" s="1">
        <v>5.0</v>
      </c>
      <c r="H2729" s="1" t="s">
        <v>36</v>
      </c>
      <c r="I2729" s="1" t="s">
        <v>17</v>
      </c>
      <c r="J2729" s="1" t="s">
        <v>18</v>
      </c>
      <c r="K2729" s="1">
        <v>26000.0</v>
      </c>
      <c r="L2729" s="1">
        <v>57.0520138</v>
      </c>
      <c r="M2729" s="1">
        <v>24.0678711</v>
      </c>
    </row>
    <row r="2730">
      <c r="A2730" s="1" t="s">
        <v>22</v>
      </c>
      <c r="B2730" s="1" t="s">
        <v>784</v>
      </c>
      <c r="C2730" s="1" t="s">
        <v>785</v>
      </c>
      <c r="D2730" s="1">
        <v>4.0</v>
      </c>
      <c r="E2730" s="1">
        <v>158.0</v>
      </c>
      <c r="F2730" s="1">
        <v>2.0</v>
      </c>
      <c r="G2730" s="1">
        <v>3.0</v>
      </c>
      <c r="H2730" s="1" t="s">
        <v>32</v>
      </c>
      <c r="I2730" s="1" t="s">
        <v>17</v>
      </c>
      <c r="J2730" s="1" t="s">
        <v>18</v>
      </c>
      <c r="K2730" s="1">
        <v>199000.0</v>
      </c>
      <c r="L2730" s="1">
        <v>57.0212347</v>
      </c>
      <c r="M2730" s="1">
        <v>24.129702</v>
      </c>
    </row>
    <row r="2731">
      <c r="A2731" s="1" t="s">
        <v>22</v>
      </c>
      <c r="B2731" s="1" t="s">
        <v>28</v>
      </c>
      <c r="C2731" s="1" t="s">
        <v>1815</v>
      </c>
      <c r="D2731" s="1">
        <v>2.0</v>
      </c>
      <c r="E2731" s="1">
        <v>38.0</v>
      </c>
      <c r="F2731" s="1">
        <v>2.0</v>
      </c>
      <c r="G2731" s="1">
        <v>5.0</v>
      </c>
      <c r="H2731" s="1" t="s">
        <v>16</v>
      </c>
      <c r="I2731" s="1" t="s">
        <v>21</v>
      </c>
      <c r="J2731" s="1" t="s">
        <v>18</v>
      </c>
      <c r="K2731" s="1">
        <v>28900.0</v>
      </c>
      <c r="L2731" s="1">
        <v>56.91540985</v>
      </c>
      <c r="M2731" s="1">
        <v>24.1694183999999</v>
      </c>
    </row>
    <row r="2732">
      <c r="A2732" s="1" t="s">
        <v>13</v>
      </c>
      <c r="B2732" s="1" t="s">
        <v>23</v>
      </c>
      <c r="C2732" s="1" t="s">
        <v>1294</v>
      </c>
      <c r="D2732" s="1">
        <v>1.0</v>
      </c>
      <c r="E2732" s="1">
        <v>16.0</v>
      </c>
      <c r="F2732" s="1">
        <v>1.0</v>
      </c>
      <c r="G2732" s="1">
        <v>5.0</v>
      </c>
      <c r="H2732" s="1" t="s">
        <v>66</v>
      </c>
      <c r="I2732" s="1" t="s">
        <v>37</v>
      </c>
      <c r="J2732" s="1" t="s">
        <v>18</v>
      </c>
      <c r="K2732" s="1">
        <v>19.0</v>
      </c>
      <c r="L2732" s="1">
        <v>56.94468895</v>
      </c>
      <c r="M2732" s="1">
        <v>24.1327201596803</v>
      </c>
    </row>
    <row r="2733">
      <c r="A2733" s="1" t="s">
        <v>22</v>
      </c>
      <c r="B2733" s="1" t="s">
        <v>104</v>
      </c>
      <c r="C2733" s="1" t="s">
        <v>1816</v>
      </c>
      <c r="D2733" s="1">
        <v>2.0</v>
      </c>
      <c r="E2733" s="1">
        <v>28.0</v>
      </c>
      <c r="F2733" s="1">
        <v>2.0</v>
      </c>
      <c r="G2733" s="1">
        <v>2.0</v>
      </c>
      <c r="H2733" s="1" t="s">
        <v>25</v>
      </c>
      <c r="I2733" s="1" t="s">
        <v>26</v>
      </c>
      <c r="J2733" s="1" t="s">
        <v>18</v>
      </c>
      <c r="K2733" s="1">
        <v>10500.0</v>
      </c>
      <c r="L2733" s="1">
        <v>56.9386094</v>
      </c>
      <c r="M2733" s="1">
        <v>24.0996305837371</v>
      </c>
    </row>
    <row r="2734">
      <c r="A2734" s="1" t="s">
        <v>22</v>
      </c>
      <c r="B2734" s="1" t="s">
        <v>60</v>
      </c>
      <c r="C2734" s="1" t="s">
        <v>1817</v>
      </c>
      <c r="D2734" s="1">
        <v>1.0</v>
      </c>
      <c r="E2734" s="1">
        <v>29.0</v>
      </c>
      <c r="F2734" s="1">
        <v>1.0</v>
      </c>
      <c r="G2734" s="1">
        <v>2.0</v>
      </c>
      <c r="H2734" s="1" t="s">
        <v>171</v>
      </c>
      <c r="I2734" s="1" t="s">
        <v>26</v>
      </c>
      <c r="J2734" s="1" t="s">
        <v>63</v>
      </c>
      <c r="K2734" s="1">
        <v>10000.0</v>
      </c>
      <c r="L2734" s="1">
        <v>57.0368101</v>
      </c>
      <c r="M2734" s="1">
        <v>24.0454551</v>
      </c>
    </row>
    <row r="2735">
      <c r="A2735" s="1" t="s">
        <v>22</v>
      </c>
      <c r="B2735" s="1" t="s">
        <v>19</v>
      </c>
      <c r="C2735" s="1" t="s">
        <v>1818</v>
      </c>
      <c r="D2735" s="1">
        <v>2.0</v>
      </c>
      <c r="E2735" s="1">
        <v>41.0</v>
      </c>
      <c r="F2735" s="1">
        <v>1.0</v>
      </c>
      <c r="G2735" s="1">
        <v>4.0</v>
      </c>
      <c r="H2735" s="1" t="s">
        <v>44</v>
      </c>
      <c r="I2735" s="1" t="s">
        <v>37</v>
      </c>
      <c r="J2735" s="1" t="s">
        <v>18</v>
      </c>
      <c r="K2735" s="1">
        <v>55000.0</v>
      </c>
      <c r="L2735" s="1">
        <v>56.91740615</v>
      </c>
      <c r="M2735" s="1">
        <v>24.1039282</v>
      </c>
    </row>
    <row r="2736">
      <c r="A2736" s="1" t="s">
        <v>13</v>
      </c>
      <c r="B2736" s="1" t="s">
        <v>104</v>
      </c>
      <c r="C2736" s="1" t="s">
        <v>1819</v>
      </c>
      <c r="D2736" s="1">
        <v>1.0</v>
      </c>
      <c r="E2736" s="1">
        <v>38.0</v>
      </c>
      <c r="F2736" s="1">
        <v>2.0</v>
      </c>
      <c r="G2736" s="1">
        <v>5.0</v>
      </c>
      <c r="H2736" s="1" t="s">
        <v>25</v>
      </c>
      <c r="I2736" s="1" t="s">
        <v>33</v>
      </c>
      <c r="J2736" s="1" t="s">
        <v>27</v>
      </c>
      <c r="K2736" s="1">
        <v>240.0</v>
      </c>
      <c r="L2736" s="1">
        <v>56.9437505</v>
      </c>
      <c r="M2736" s="1">
        <v>24.078654</v>
      </c>
    </row>
    <row r="2737">
      <c r="A2737" s="1" t="s">
        <v>22</v>
      </c>
      <c r="B2737" s="1" t="s">
        <v>52</v>
      </c>
      <c r="C2737" s="1" t="s">
        <v>1820</v>
      </c>
      <c r="D2737" s="1">
        <v>3.0</v>
      </c>
      <c r="E2737" s="1">
        <v>75.0</v>
      </c>
      <c r="F2737" s="1">
        <v>7.0</v>
      </c>
      <c r="G2737" s="1">
        <v>16.0</v>
      </c>
      <c r="H2737" s="1">
        <v>104.0</v>
      </c>
      <c r="I2737" s="1" t="s">
        <v>21</v>
      </c>
      <c r="J2737" s="1" t="s">
        <v>18</v>
      </c>
      <c r="K2737" s="1">
        <v>71500.0</v>
      </c>
      <c r="L2737" s="1">
        <v>56.9472774</v>
      </c>
      <c r="M2737" s="1">
        <v>24.0094508</v>
      </c>
    </row>
    <row r="2738">
      <c r="A2738" s="1" t="s">
        <v>22</v>
      </c>
      <c r="B2738" s="1" t="s">
        <v>23</v>
      </c>
      <c r="C2738" s="1" t="s">
        <v>1821</v>
      </c>
      <c r="D2738" s="1">
        <v>3.0</v>
      </c>
      <c r="E2738" s="1">
        <v>79.0</v>
      </c>
      <c r="F2738" s="1">
        <v>1.0</v>
      </c>
      <c r="G2738" s="1">
        <v>4.0</v>
      </c>
      <c r="H2738" s="1" t="s">
        <v>25</v>
      </c>
      <c r="I2738" s="1" t="s">
        <v>37</v>
      </c>
      <c r="J2738" s="1" t="s">
        <v>18</v>
      </c>
      <c r="K2738" s="1">
        <v>69000.0</v>
      </c>
      <c r="L2738" s="1">
        <v>56.9735033</v>
      </c>
      <c r="M2738" s="1">
        <v>24.1407662</v>
      </c>
    </row>
    <row r="2739">
      <c r="A2739" s="1" t="s">
        <v>13</v>
      </c>
      <c r="B2739" s="1" t="s">
        <v>447</v>
      </c>
      <c r="C2739" s="1" t="s">
        <v>486</v>
      </c>
      <c r="D2739" s="1">
        <v>4.0</v>
      </c>
      <c r="E2739" s="1">
        <v>170.0</v>
      </c>
      <c r="F2739" s="1">
        <v>6.0</v>
      </c>
      <c r="G2739" s="1">
        <v>7.0</v>
      </c>
      <c r="H2739" s="1" t="s">
        <v>32</v>
      </c>
      <c r="I2739" s="1" t="s">
        <v>21</v>
      </c>
      <c r="J2739" s="1" t="s">
        <v>18</v>
      </c>
      <c r="K2739" s="1">
        <v>1000.0</v>
      </c>
      <c r="L2739" s="1">
        <v>56.9273343</v>
      </c>
      <c r="M2739" s="1">
        <v>24.0927797020755</v>
      </c>
    </row>
    <row r="2740">
      <c r="A2740" s="1" t="s">
        <v>13</v>
      </c>
      <c r="B2740" s="1" t="s">
        <v>174</v>
      </c>
      <c r="C2740" s="1" t="s">
        <v>1822</v>
      </c>
      <c r="D2740" s="1">
        <v>3.0</v>
      </c>
      <c r="E2740" s="1">
        <v>62.0</v>
      </c>
      <c r="F2740" s="1">
        <v>4.0</v>
      </c>
      <c r="G2740" s="1">
        <v>9.0</v>
      </c>
      <c r="H2740" s="1">
        <v>602.0</v>
      </c>
      <c r="I2740" s="1" t="s">
        <v>21</v>
      </c>
      <c r="J2740" s="1" t="s">
        <v>18</v>
      </c>
      <c r="K2740" s="1">
        <v>550.0</v>
      </c>
      <c r="L2740" s="1">
        <v>56.94830925</v>
      </c>
      <c r="M2740" s="1">
        <v>24.1654682750602</v>
      </c>
    </row>
    <row r="2741">
      <c r="A2741" s="1" t="s">
        <v>22</v>
      </c>
      <c r="B2741" s="1" t="s">
        <v>38</v>
      </c>
      <c r="C2741" s="1" t="s">
        <v>1104</v>
      </c>
      <c r="D2741" s="1">
        <v>2.0</v>
      </c>
      <c r="E2741" s="1">
        <v>51.0</v>
      </c>
      <c r="F2741" s="1">
        <v>2.0</v>
      </c>
      <c r="G2741" s="1">
        <v>9.0</v>
      </c>
      <c r="H2741" s="1" t="s">
        <v>32</v>
      </c>
      <c r="I2741" s="1" t="s">
        <v>21</v>
      </c>
      <c r="J2741" s="1" t="s">
        <v>18</v>
      </c>
      <c r="K2741" s="1">
        <v>99899.0</v>
      </c>
      <c r="L2741" s="1">
        <v>56.9514132</v>
      </c>
      <c r="M2741" s="1">
        <v>24.0038761753746</v>
      </c>
    </row>
    <row r="2742">
      <c r="A2742" s="1" t="s">
        <v>22</v>
      </c>
      <c r="B2742" s="1" t="s">
        <v>48</v>
      </c>
      <c r="C2742" s="1" t="s">
        <v>1823</v>
      </c>
      <c r="D2742" s="1">
        <v>3.0</v>
      </c>
      <c r="E2742" s="1">
        <v>88.2</v>
      </c>
      <c r="F2742" s="1">
        <v>4.0</v>
      </c>
      <c r="G2742" s="1">
        <v>5.0</v>
      </c>
      <c r="H2742" s="1" t="s">
        <v>32</v>
      </c>
      <c r="I2742" s="1" t="s">
        <v>17</v>
      </c>
      <c r="J2742" s="1" t="s">
        <v>18</v>
      </c>
      <c r="K2742" s="1">
        <v>110250.0</v>
      </c>
      <c r="L2742" s="1" t="s">
        <v>40</v>
      </c>
      <c r="M2742" s="1" t="s">
        <v>40</v>
      </c>
    </row>
    <row r="2743">
      <c r="A2743" s="1" t="s">
        <v>22</v>
      </c>
      <c r="B2743" s="1" t="s">
        <v>48</v>
      </c>
      <c r="C2743" s="1" t="s">
        <v>1824</v>
      </c>
      <c r="D2743" s="1">
        <v>4.0</v>
      </c>
      <c r="E2743" s="1">
        <v>113.0</v>
      </c>
      <c r="F2743" s="1">
        <v>3.0</v>
      </c>
      <c r="G2743" s="1">
        <v>5.0</v>
      </c>
      <c r="H2743" s="1" t="s">
        <v>32</v>
      </c>
      <c r="I2743" s="1" t="s">
        <v>122</v>
      </c>
      <c r="J2743" s="1" t="s">
        <v>27</v>
      </c>
      <c r="K2743" s="1">
        <v>141375.0</v>
      </c>
      <c r="L2743" s="1">
        <v>56.9541725</v>
      </c>
      <c r="M2743" s="1">
        <v>24.2443253</v>
      </c>
    </row>
    <row r="2744">
      <c r="A2744" s="1" t="s">
        <v>13</v>
      </c>
      <c r="B2744" s="1" t="s">
        <v>104</v>
      </c>
      <c r="C2744" s="1" t="s">
        <v>1825</v>
      </c>
      <c r="D2744" s="1">
        <v>1.0</v>
      </c>
      <c r="E2744" s="1">
        <v>16.0</v>
      </c>
      <c r="F2744" s="1">
        <v>1.0</v>
      </c>
      <c r="G2744" s="1">
        <v>1.0</v>
      </c>
      <c r="H2744" s="1" t="s">
        <v>25</v>
      </c>
      <c r="I2744" s="1" t="s">
        <v>33</v>
      </c>
      <c r="J2744" s="1" t="s">
        <v>18</v>
      </c>
      <c r="K2744" s="1">
        <v>25.0</v>
      </c>
      <c r="L2744" s="1">
        <v>56.9401616</v>
      </c>
      <c r="M2744" s="1">
        <v>24.0896935</v>
      </c>
    </row>
    <row r="2745">
      <c r="A2745" s="1" t="s">
        <v>22</v>
      </c>
      <c r="B2745" s="1" t="s">
        <v>104</v>
      </c>
      <c r="C2745" s="1" t="s">
        <v>1826</v>
      </c>
      <c r="D2745" s="1">
        <v>1.0</v>
      </c>
      <c r="E2745" s="1">
        <v>30.0</v>
      </c>
      <c r="F2745" s="1">
        <v>1.0</v>
      </c>
      <c r="G2745" s="1">
        <v>5.0</v>
      </c>
      <c r="H2745" s="1" t="s">
        <v>44</v>
      </c>
      <c r="I2745" s="1" t="s">
        <v>37</v>
      </c>
      <c r="J2745" s="1" t="s">
        <v>18</v>
      </c>
      <c r="K2745" s="1">
        <v>31000.0</v>
      </c>
      <c r="L2745" s="1">
        <v>56.93870705</v>
      </c>
      <c r="M2745" s="1">
        <v>24.0789177765693</v>
      </c>
    </row>
    <row r="2746">
      <c r="A2746" s="1" t="s">
        <v>22</v>
      </c>
      <c r="B2746" s="1" t="s">
        <v>38</v>
      </c>
      <c r="C2746" s="1" t="s">
        <v>154</v>
      </c>
      <c r="D2746" s="1">
        <v>3.0</v>
      </c>
      <c r="E2746" s="1">
        <v>64.0</v>
      </c>
      <c r="F2746" s="1">
        <v>4.0</v>
      </c>
      <c r="G2746" s="1">
        <v>9.0</v>
      </c>
      <c r="H2746" s="1">
        <v>602.0</v>
      </c>
      <c r="I2746" s="1" t="s">
        <v>21</v>
      </c>
      <c r="J2746" s="1" t="s">
        <v>18</v>
      </c>
      <c r="K2746" s="1">
        <v>75000.0</v>
      </c>
      <c r="L2746" s="1">
        <v>56.952975</v>
      </c>
      <c r="M2746" s="1">
        <v>24.0166971</v>
      </c>
    </row>
    <row r="2747">
      <c r="A2747" s="1" t="s">
        <v>13</v>
      </c>
      <c r="B2747" s="1" t="s">
        <v>23</v>
      </c>
      <c r="C2747" s="1" t="s">
        <v>258</v>
      </c>
      <c r="D2747" s="1">
        <v>3.0</v>
      </c>
      <c r="E2747" s="1">
        <v>110.0</v>
      </c>
      <c r="F2747" s="1">
        <v>5.0</v>
      </c>
      <c r="G2747" s="1">
        <v>6.0</v>
      </c>
      <c r="H2747" s="1" t="s">
        <v>66</v>
      </c>
      <c r="I2747" s="1" t="s">
        <v>33</v>
      </c>
      <c r="J2747" s="1" t="s">
        <v>18</v>
      </c>
      <c r="K2747" s="1">
        <v>1400.0</v>
      </c>
      <c r="L2747" s="1">
        <v>56.958482</v>
      </c>
      <c r="M2747" s="1">
        <v>24.116859</v>
      </c>
    </row>
    <row r="2748">
      <c r="A2748" s="1" t="s">
        <v>13</v>
      </c>
      <c r="B2748" s="1" t="s">
        <v>23</v>
      </c>
      <c r="C2748" s="1" t="s">
        <v>1827</v>
      </c>
      <c r="D2748" s="1">
        <v>2.0</v>
      </c>
      <c r="E2748" s="1">
        <v>42.0</v>
      </c>
      <c r="F2748" s="1">
        <v>5.0</v>
      </c>
      <c r="G2748" s="1">
        <v>5.0</v>
      </c>
      <c r="H2748" s="1" t="s">
        <v>25</v>
      </c>
      <c r="I2748" s="1" t="s">
        <v>33</v>
      </c>
      <c r="J2748" s="1" t="s">
        <v>18</v>
      </c>
      <c r="K2748" s="1">
        <v>350.0</v>
      </c>
      <c r="L2748" s="1">
        <v>56.9411923</v>
      </c>
      <c r="M2748" s="1">
        <v>24.1300900106299</v>
      </c>
    </row>
    <row r="2749">
      <c r="A2749" s="1" t="s">
        <v>22</v>
      </c>
      <c r="B2749" s="1" t="s">
        <v>23</v>
      </c>
      <c r="C2749" s="1" t="s">
        <v>1828</v>
      </c>
      <c r="D2749" s="1">
        <v>5.0</v>
      </c>
      <c r="E2749" s="1">
        <v>135.0</v>
      </c>
      <c r="F2749" s="1">
        <v>4.0</v>
      </c>
      <c r="G2749" s="1">
        <v>5.0</v>
      </c>
      <c r="H2749" s="1" t="s">
        <v>25</v>
      </c>
      <c r="I2749" s="1" t="s">
        <v>37</v>
      </c>
      <c r="J2749" s="1" t="s">
        <v>18</v>
      </c>
      <c r="K2749" s="1">
        <v>179000.0</v>
      </c>
      <c r="L2749" s="1">
        <v>56.9488752</v>
      </c>
      <c r="M2749" s="1">
        <v>24.1345071084256</v>
      </c>
    </row>
    <row r="2750">
      <c r="A2750" s="1" t="s">
        <v>22</v>
      </c>
      <c r="B2750" s="1" t="s">
        <v>30</v>
      </c>
      <c r="C2750" s="1" t="s">
        <v>1454</v>
      </c>
      <c r="D2750" s="1">
        <v>1.0</v>
      </c>
      <c r="E2750" s="1">
        <v>26.0</v>
      </c>
      <c r="F2750" s="1">
        <v>2.0</v>
      </c>
      <c r="G2750" s="1">
        <v>2.0</v>
      </c>
      <c r="H2750" s="1" t="s">
        <v>25</v>
      </c>
      <c r="I2750" s="1" t="s">
        <v>26</v>
      </c>
      <c r="J2750" s="1" t="s">
        <v>27</v>
      </c>
      <c r="K2750" s="1">
        <v>14000.0</v>
      </c>
      <c r="L2750" s="1">
        <v>56.9825039</v>
      </c>
      <c r="M2750" s="1">
        <v>24.1917693040602</v>
      </c>
    </row>
    <row r="2751">
      <c r="A2751" s="1" t="s">
        <v>13</v>
      </c>
      <c r="B2751" s="1" t="s">
        <v>23</v>
      </c>
      <c r="C2751" s="1" t="s">
        <v>1829</v>
      </c>
      <c r="D2751" s="1">
        <v>3.0</v>
      </c>
      <c r="E2751" s="1">
        <v>65.0</v>
      </c>
      <c r="F2751" s="1">
        <v>6.0</v>
      </c>
      <c r="G2751" s="1">
        <v>4.0</v>
      </c>
      <c r="H2751" s="1" t="s">
        <v>36</v>
      </c>
      <c r="I2751" s="1" t="s">
        <v>37</v>
      </c>
      <c r="J2751" s="1" t="s">
        <v>18</v>
      </c>
      <c r="K2751" s="1">
        <v>550.0</v>
      </c>
      <c r="L2751" s="1">
        <v>56.9665763</v>
      </c>
      <c r="M2751" s="1">
        <v>24.1337504</v>
      </c>
    </row>
    <row r="2752">
      <c r="A2752" s="1" t="s">
        <v>13</v>
      </c>
      <c r="B2752" s="1" t="s">
        <v>422</v>
      </c>
      <c r="C2752" s="1" t="s">
        <v>363</v>
      </c>
      <c r="D2752" s="1">
        <v>3.0</v>
      </c>
      <c r="E2752" s="1">
        <v>90.0</v>
      </c>
      <c r="F2752" s="1">
        <v>11.0</v>
      </c>
      <c r="G2752" s="1">
        <v>30.0</v>
      </c>
      <c r="H2752" s="1" t="s">
        <v>32</v>
      </c>
      <c r="I2752" s="1" t="s">
        <v>122</v>
      </c>
      <c r="J2752" s="1" t="s">
        <v>18</v>
      </c>
      <c r="K2752" s="1">
        <v>650.0</v>
      </c>
      <c r="L2752" s="1">
        <v>56.9334996</v>
      </c>
      <c r="M2752" s="1">
        <v>24.0424848</v>
      </c>
    </row>
    <row r="2753">
      <c r="A2753" s="1" t="s">
        <v>22</v>
      </c>
      <c r="B2753" s="1" t="s">
        <v>23</v>
      </c>
      <c r="C2753" s="1" t="s">
        <v>1033</v>
      </c>
      <c r="D2753" s="1">
        <v>3.0</v>
      </c>
      <c r="E2753" s="1">
        <v>77.0</v>
      </c>
      <c r="F2753" s="1">
        <v>1.0</v>
      </c>
      <c r="G2753" s="1">
        <v>3.0</v>
      </c>
      <c r="H2753" s="1" t="s">
        <v>25</v>
      </c>
      <c r="I2753" s="1" t="s">
        <v>33</v>
      </c>
      <c r="J2753" s="1" t="s">
        <v>18</v>
      </c>
      <c r="K2753" s="1">
        <v>135000.0</v>
      </c>
      <c r="L2753" s="1">
        <v>56.96130605</v>
      </c>
      <c r="M2753" s="1">
        <v>24.1105821948041</v>
      </c>
    </row>
    <row r="2754">
      <c r="A2754" s="1" t="s">
        <v>22</v>
      </c>
      <c r="B2754" s="1" t="s">
        <v>28</v>
      </c>
      <c r="C2754" s="1" t="s">
        <v>1830</v>
      </c>
      <c r="D2754" s="1">
        <v>2.0</v>
      </c>
      <c r="E2754" s="1">
        <v>46.0</v>
      </c>
      <c r="F2754" s="1">
        <v>1.0</v>
      </c>
      <c r="G2754" s="1">
        <v>5.0</v>
      </c>
      <c r="H2754" s="1" t="s">
        <v>44</v>
      </c>
      <c r="I2754" s="1" t="s">
        <v>21</v>
      </c>
      <c r="J2754" s="1" t="s">
        <v>18</v>
      </c>
      <c r="K2754" s="1">
        <v>41000.0</v>
      </c>
      <c r="L2754" s="1">
        <v>56.94475115</v>
      </c>
      <c r="M2754" s="1">
        <v>24.1132172780624</v>
      </c>
    </row>
    <row r="2755">
      <c r="A2755" s="1" t="s">
        <v>22</v>
      </c>
      <c r="B2755" s="1" t="s">
        <v>28</v>
      </c>
      <c r="C2755" s="1" t="s">
        <v>1831</v>
      </c>
      <c r="D2755" s="1">
        <v>2.0</v>
      </c>
      <c r="E2755" s="1">
        <v>38.0</v>
      </c>
      <c r="F2755" s="1">
        <v>3.0</v>
      </c>
      <c r="G2755" s="1">
        <v>5.0</v>
      </c>
      <c r="H2755" s="1" t="s">
        <v>16</v>
      </c>
      <c r="I2755" s="1" t="s">
        <v>21</v>
      </c>
      <c r="J2755" s="1" t="s">
        <v>18</v>
      </c>
      <c r="K2755" s="1">
        <v>39900.0</v>
      </c>
      <c r="L2755" s="1">
        <v>56.9068216</v>
      </c>
      <c r="M2755" s="1">
        <v>24.2021046</v>
      </c>
    </row>
    <row r="2756">
      <c r="A2756" s="1" t="s">
        <v>22</v>
      </c>
      <c r="B2756" s="1" t="s">
        <v>151</v>
      </c>
      <c r="C2756" s="1" t="s">
        <v>1832</v>
      </c>
      <c r="D2756" s="1">
        <v>2.0</v>
      </c>
      <c r="E2756" s="1">
        <v>49.0</v>
      </c>
      <c r="F2756" s="1">
        <v>1.0</v>
      </c>
      <c r="G2756" s="1">
        <v>2.0</v>
      </c>
      <c r="H2756" s="1" t="s">
        <v>36</v>
      </c>
      <c r="I2756" s="1" t="s">
        <v>37</v>
      </c>
      <c r="J2756" s="1" t="s">
        <v>18</v>
      </c>
      <c r="K2756" s="1">
        <v>49900.0</v>
      </c>
      <c r="L2756" s="1">
        <v>56.9714749</v>
      </c>
      <c r="M2756" s="1">
        <v>24.0611875546552</v>
      </c>
    </row>
    <row r="2757">
      <c r="A2757" s="1" t="s">
        <v>22</v>
      </c>
      <c r="B2757" s="1" t="s">
        <v>48</v>
      </c>
      <c r="C2757" s="1" t="s">
        <v>1833</v>
      </c>
      <c r="D2757" s="1">
        <v>3.0</v>
      </c>
      <c r="E2757" s="1">
        <v>64.0</v>
      </c>
      <c r="F2757" s="1">
        <v>2.0</v>
      </c>
      <c r="G2757" s="1">
        <v>9.0</v>
      </c>
      <c r="H2757" s="1">
        <v>602.0</v>
      </c>
      <c r="I2757" s="1" t="s">
        <v>21</v>
      </c>
      <c r="J2757" s="1" t="s">
        <v>18</v>
      </c>
      <c r="K2757" s="1">
        <v>54000.0</v>
      </c>
      <c r="L2757" s="1">
        <v>56.95979295</v>
      </c>
      <c r="M2757" s="1">
        <v>24.23773255</v>
      </c>
    </row>
    <row r="2758">
      <c r="A2758" s="1" t="s">
        <v>22</v>
      </c>
      <c r="B2758" s="1" t="s">
        <v>30</v>
      </c>
      <c r="C2758" s="1" t="s">
        <v>1473</v>
      </c>
      <c r="D2758" s="1">
        <v>2.0</v>
      </c>
      <c r="E2758" s="1">
        <v>39.0</v>
      </c>
      <c r="F2758" s="1">
        <v>5.0</v>
      </c>
      <c r="G2758" s="1">
        <v>5.0</v>
      </c>
      <c r="H2758" s="1" t="s">
        <v>44</v>
      </c>
      <c r="I2758" s="1" t="s">
        <v>37</v>
      </c>
      <c r="J2758" s="1" t="s">
        <v>18</v>
      </c>
      <c r="K2758" s="1">
        <v>55000.0</v>
      </c>
      <c r="L2758" s="1">
        <v>56.9824574</v>
      </c>
      <c r="M2758" s="1">
        <v>24.1870750334298</v>
      </c>
    </row>
    <row r="2759">
      <c r="A2759" s="1" t="s">
        <v>22</v>
      </c>
      <c r="B2759" s="1" t="s">
        <v>23</v>
      </c>
      <c r="C2759" s="1" t="s">
        <v>982</v>
      </c>
      <c r="D2759" s="1">
        <v>3.0</v>
      </c>
      <c r="E2759" s="1">
        <v>121.0</v>
      </c>
      <c r="F2759" s="1">
        <v>8.0</v>
      </c>
      <c r="G2759" s="1">
        <v>9.0</v>
      </c>
      <c r="H2759" s="1" t="s">
        <v>32</v>
      </c>
      <c r="I2759" s="1" t="s">
        <v>33</v>
      </c>
      <c r="J2759" s="1" t="s">
        <v>18</v>
      </c>
      <c r="K2759" s="1">
        <v>240000.0</v>
      </c>
      <c r="L2759" s="1">
        <v>56.9742195</v>
      </c>
      <c r="M2759" s="1">
        <v>24.1483510382088</v>
      </c>
    </row>
    <row r="2760">
      <c r="A2760" s="1" t="s">
        <v>13</v>
      </c>
      <c r="B2760" s="1" t="s">
        <v>28</v>
      </c>
      <c r="C2760" s="1" t="s">
        <v>1834</v>
      </c>
      <c r="D2760" s="1">
        <v>1.0</v>
      </c>
      <c r="E2760" s="1">
        <v>30.0</v>
      </c>
      <c r="F2760" s="1">
        <v>3.0</v>
      </c>
      <c r="G2760" s="1">
        <v>12.0</v>
      </c>
      <c r="H2760" s="1" t="s">
        <v>57</v>
      </c>
      <c r="I2760" s="1" t="s">
        <v>17</v>
      </c>
      <c r="J2760" s="1" t="s">
        <v>18</v>
      </c>
      <c r="K2760" s="1">
        <v>230.0</v>
      </c>
      <c r="L2760" s="1">
        <v>56.9032135</v>
      </c>
      <c r="M2760" s="1">
        <v>24.2004029731428</v>
      </c>
    </row>
    <row r="2761">
      <c r="A2761" s="1" t="s">
        <v>22</v>
      </c>
      <c r="B2761" s="1" t="s">
        <v>109</v>
      </c>
      <c r="C2761" s="1" t="s">
        <v>964</v>
      </c>
      <c r="D2761" s="1">
        <v>3.0</v>
      </c>
      <c r="E2761" s="1">
        <v>110.0</v>
      </c>
      <c r="F2761" s="1">
        <v>2.0</v>
      </c>
      <c r="G2761" s="1">
        <v>3.0</v>
      </c>
      <c r="H2761" s="1" t="s">
        <v>32</v>
      </c>
      <c r="I2761" s="1" t="s">
        <v>33</v>
      </c>
      <c r="J2761" s="1" t="s">
        <v>18</v>
      </c>
      <c r="K2761" s="1">
        <v>270000.0</v>
      </c>
      <c r="L2761" s="1" t="s">
        <v>40</v>
      </c>
      <c r="M2761" s="1" t="s">
        <v>40</v>
      </c>
    </row>
    <row r="2762">
      <c r="A2762" s="1" t="s">
        <v>13</v>
      </c>
      <c r="B2762" s="1" t="s">
        <v>14</v>
      </c>
      <c r="C2762" s="1" t="s">
        <v>1717</v>
      </c>
      <c r="D2762" s="1">
        <v>2.0</v>
      </c>
      <c r="E2762" s="1">
        <v>52.0</v>
      </c>
      <c r="F2762" s="1">
        <v>3.0</v>
      </c>
      <c r="G2762" s="1">
        <v>5.0</v>
      </c>
      <c r="H2762" s="1" t="s">
        <v>32</v>
      </c>
      <c r="I2762" s="1" t="s">
        <v>33</v>
      </c>
      <c r="J2762" s="1" t="s">
        <v>18</v>
      </c>
      <c r="K2762" s="1">
        <v>50.0</v>
      </c>
      <c r="L2762" s="1">
        <v>56.9650621</v>
      </c>
      <c r="M2762" s="1">
        <v>24.1952933</v>
      </c>
    </row>
    <row r="2763">
      <c r="A2763" s="1" t="s">
        <v>22</v>
      </c>
      <c r="B2763" s="1" t="s">
        <v>96</v>
      </c>
      <c r="C2763" s="1" t="s">
        <v>1008</v>
      </c>
      <c r="D2763" s="1">
        <v>2.0</v>
      </c>
      <c r="E2763" s="1">
        <v>50.0</v>
      </c>
      <c r="F2763" s="1">
        <v>1.0</v>
      </c>
      <c r="G2763" s="1">
        <v>9.0</v>
      </c>
      <c r="H2763" s="1">
        <v>602.0</v>
      </c>
      <c r="I2763" s="1" t="s">
        <v>21</v>
      </c>
      <c r="J2763" s="1" t="s">
        <v>18</v>
      </c>
      <c r="K2763" s="1">
        <v>47000.0</v>
      </c>
      <c r="L2763" s="1">
        <v>57.03824475</v>
      </c>
      <c r="M2763" s="1">
        <v>24.0993423582241</v>
      </c>
    </row>
    <row r="2764">
      <c r="A2764" s="1" t="s">
        <v>13</v>
      </c>
      <c r="B2764" s="1" t="s">
        <v>19</v>
      </c>
      <c r="C2764" s="1" t="s">
        <v>69</v>
      </c>
      <c r="D2764" s="1">
        <v>2.0</v>
      </c>
      <c r="E2764" s="1">
        <v>56.0</v>
      </c>
      <c r="F2764" s="1">
        <v>9.0</v>
      </c>
      <c r="G2764" s="1">
        <v>9.0</v>
      </c>
      <c r="H2764" s="1" t="s">
        <v>36</v>
      </c>
      <c r="I2764" s="1" t="s">
        <v>37</v>
      </c>
      <c r="J2764" s="1" t="s">
        <v>18</v>
      </c>
      <c r="K2764" s="1">
        <v>400.0</v>
      </c>
      <c r="L2764" s="1">
        <v>56.91095995</v>
      </c>
      <c r="M2764" s="1">
        <v>24.1100004569314</v>
      </c>
    </row>
    <row r="2765">
      <c r="A2765" s="1" t="s">
        <v>131</v>
      </c>
      <c r="B2765" s="1" t="s">
        <v>42</v>
      </c>
      <c r="C2765" s="2"/>
      <c r="D2765" s="1">
        <v>1.0</v>
      </c>
      <c r="E2765" s="2"/>
      <c r="F2765" s="2"/>
      <c r="G2765" s="2"/>
      <c r="H2765" s="2"/>
      <c r="I2765" s="2"/>
      <c r="J2765" s="1" t="s">
        <v>18</v>
      </c>
      <c r="K2765" s="2"/>
      <c r="L2765" s="1">
        <v>46.3144754</v>
      </c>
      <c r="M2765" s="1">
        <v>11.0480288</v>
      </c>
    </row>
    <row r="2766">
      <c r="A2766" s="1" t="s">
        <v>13</v>
      </c>
      <c r="B2766" s="1" t="s">
        <v>151</v>
      </c>
      <c r="C2766" s="1" t="s">
        <v>1835</v>
      </c>
      <c r="D2766" s="1">
        <v>1.0</v>
      </c>
      <c r="E2766" s="1">
        <v>30.0</v>
      </c>
      <c r="F2766" s="1">
        <v>4.0</v>
      </c>
      <c r="G2766" s="1">
        <v>5.0</v>
      </c>
      <c r="H2766" s="1" t="s">
        <v>16</v>
      </c>
      <c r="I2766" s="1" t="s">
        <v>21</v>
      </c>
      <c r="J2766" s="1" t="s">
        <v>18</v>
      </c>
      <c r="K2766" s="1">
        <v>160.0</v>
      </c>
      <c r="L2766" s="1">
        <v>56.95658335</v>
      </c>
      <c r="M2766" s="1">
        <v>24.05134355</v>
      </c>
    </row>
    <row r="2767">
      <c r="A2767" s="1" t="s">
        <v>22</v>
      </c>
      <c r="B2767" s="1" t="s">
        <v>104</v>
      </c>
      <c r="C2767" s="1" t="s">
        <v>876</v>
      </c>
      <c r="D2767" s="1">
        <v>2.0</v>
      </c>
      <c r="E2767" s="1">
        <v>50.0</v>
      </c>
      <c r="F2767" s="1">
        <v>2.0</v>
      </c>
      <c r="G2767" s="1">
        <v>3.0</v>
      </c>
      <c r="H2767" s="1" t="s">
        <v>25</v>
      </c>
      <c r="I2767" s="1" t="s">
        <v>26</v>
      </c>
      <c r="J2767" s="1" t="s">
        <v>18</v>
      </c>
      <c r="K2767" s="1">
        <v>105000.0</v>
      </c>
      <c r="L2767" s="1">
        <v>56.93524705</v>
      </c>
      <c r="M2767" s="1">
        <v>24.0750776309247</v>
      </c>
    </row>
    <row r="2768">
      <c r="A2768" s="1" t="s">
        <v>13</v>
      </c>
      <c r="B2768" s="1" t="s">
        <v>23</v>
      </c>
      <c r="C2768" s="1" t="s">
        <v>1259</v>
      </c>
      <c r="D2768" s="1">
        <v>3.0</v>
      </c>
      <c r="E2768" s="1">
        <v>75.0</v>
      </c>
      <c r="F2768" s="1">
        <v>3.0</v>
      </c>
      <c r="G2768" s="1">
        <v>6.0</v>
      </c>
      <c r="H2768" s="1" t="s">
        <v>25</v>
      </c>
      <c r="I2768" s="1" t="s">
        <v>33</v>
      </c>
      <c r="J2768" s="1" t="s">
        <v>18</v>
      </c>
      <c r="K2768" s="1">
        <v>670.0</v>
      </c>
      <c r="L2768" s="1">
        <v>56.95567115</v>
      </c>
      <c r="M2768" s="1">
        <v>24.1314109608833</v>
      </c>
    </row>
    <row r="2769">
      <c r="A2769" s="1" t="s">
        <v>22</v>
      </c>
      <c r="B2769" s="1" t="s">
        <v>74</v>
      </c>
      <c r="C2769" s="1" t="s">
        <v>556</v>
      </c>
      <c r="D2769" s="1">
        <v>2.0</v>
      </c>
      <c r="E2769" s="1">
        <v>67.2</v>
      </c>
      <c r="F2769" s="1">
        <v>7.0</v>
      </c>
      <c r="G2769" s="1">
        <v>9.0</v>
      </c>
      <c r="H2769" s="1" t="s">
        <v>32</v>
      </c>
      <c r="I2769" s="1" t="s">
        <v>17</v>
      </c>
      <c r="J2769" s="1" t="s">
        <v>18</v>
      </c>
      <c r="K2769" s="1">
        <v>116000.0</v>
      </c>
      <c r="L2769" s="1">
        <v>56.94122905</v>
      </c>
      <c r="M2769" s="1">
        <v>24.2174231674689</v>
      </c>
    </row>
    <row r="2770">
      <c r="A2770" s="1" t="s">
        <v>13</v>
      </c>
      <c r="B2770" s="1" t="s">
        <v>23</v>
      </c>
      <c r="C2770" s="1" t="s">
        <v>1279</v>
      </c>
      <c r="D2770" s="1">
        <v>1.0</v>
      </c>
      <c r="E2770" s="1">
        <v>30.0</v>
      </c>
      <c r="F2770" s="1">
        <v>5.0</v>
      </c>
      <c r="G2770" s="1">
        <v>5.0</v>
      </c>
      <c r="H2770" s="1" t="s">
        <v>36</v>
      </c>
      <c r="I2770" s="1" t="s">
        <v>21</v>
      </c>
      <c r="J2770" s="1" t="s">
        <v>18</v>
      </c>
      <c r="K2770" s="1">
        <v>30.0</v>
      </c>
      <c r="L2770" s="1">
        <v>56.9651947</v>
      </c>
      <c r="M2770" s="1">
        <v>24.1427693772217</v>
      </c>
    </row>
    <row r="2771">
      <c r="A2771" s="1" t="s">
        <v>22</v>
      </c>
      <c r="B2771" s="1" t="s">
        <v>23</v>
      </c>
      <c r="C2771" s="1" t="s">
        <v>258</v>
      </c>
      <c r="D2771" s="1">
        <v>3.0</v>
      </c>
      <c r="E2771" s="1">
        <v>77.6</v>
      </c>
      <c r="F2771" s="1">
        <v>5.0</v>
      </c>
      <c r="G2771" s="1">
        <v>6.0</v>
      </c>
      <c r="H2771" s="1" t="s">
        <v>66</v>
      </c>
      <c r="I2771" s="1" t="s">
        <v>33</v>
      </c>
      <c r="J2771" s="1" t="s">
        <v>18</v>
      </c>
      <c r="K2771" s="1">
        <v>166840.0</v>
      </c>
      <c r="L2771" s="1">
        <v>56.958482</v>
      </c>
      <c r="M2771" s="1">
        <v>24.116859</v>
      </c>
    </row>
    <row r="2772">
      <c r="A2772" s="1" t="s">
        <v>22</v>
      </c>
      <c r="B2772" s="1" t="s">
        <v>38</v>
      </c>
      <c r="C2772" s="1" t="s">
        <v>165</v>
      </c>
      <c r="D2772" s="1">
        <v>2.0</v>
      </c>
      <c r="E2772" s="1">
        <v>54.0</v>
      </c>
      <c r="F2772" s="1">
        <v>17.0</v>
      </c>
      <c r="G2772" s="1">
        <v>24.0</v>
      </c>
      <c r="H2772" s="1" t="s">
        <v>32</v>
      </c>
      <c r="I2772" s="1" t="s">
        <v>21</v>
      </c>
      <c r="J2772" s="1" t="s">
        <v>18</v>
      </c>
      <c r="K2772" s="1">
        <v>91000.0</v>
      </c>
      <c r="L2772" s="1">
        <v>56.9590306</v>
      </c>
      <c r="M2772" s="1">
        <v>24.013887042853</v>
      </c>
    </row>
    <row r="2773">
      <c r="A2773" s="1" t="s">
        <v>13</v>
      </c>
      <c r="B2773" s="1" t="s">
        <v>42</v>
      </c>
      <c r="C2773" s="1" t="s">
        <v>1836</v>
      </c>
      <c r="D2773" s="1">
        <v>1.0</v>
      </c>
      <c r="E2773" s="1">
        <v>30.0</v>
      </c>
      <c r="F2773" s="1">
        <v>1.0</v>
      </c>
      <c r="G2773" s="1">
        <v>9.0</v>
      </c>
      <c r="H2773" s="1" t="s">
        <v>36</v>
      </c>
      <c r="I2773" s="1" t="s">
        <v>37</v>
      </c>
      <c r="J2773" s="1" t="s">
        <v>18</v>
      </c>
      <c r="K2773" s="1">
        <v>300.0</v>
      </c>
      <c r="L2773" s="1" t="s">
        <v>40</v>
      </c>
      <c r="M2773" s="1" t="s">
        <v>40</v>
      </c>
    </row>
    <row r="2774">
      <c r="A2774" s="1" t="s">
        <v>13</v>
      </c>
      <c r="B2774" s="1" t="s">
        <v>74</v>
      </c>
      <c r="C2774" s="1" t="s">
        <v>183</v>
      </c>
      <c r="D2774" s="1">
        <v>2.0</v>
      </c>
      <c r="E2774" s="1">
        <v>50.0</v>
      </c>
      <c r="F2774" s="1">
        <v>9.0</v>
      </c>
      <c r="G2774" s="1">
        <v>9.0</v>
      </c>
      <c r="H2774" s="1">
        <v>602.0</v>
      </c>
      <c r="I2774" s="1" t="s">
        <v>21</v>
      </c>
      <c r="J2774" s="1" t="s">
        <v>18</v>
      </c>
      <c r="K2774" s="1">
        <v>29.0</v>
      </c>
      <c r="L2774" s="1">
        <v>56.94404435</v>
      </c>
      <c r="M2774" s="1">
        <v>24.21522315</v>
      </c>
    </row>
    <row r="2775">
      <c r="A2775" s="1" t="s">
        <v>13</v>
      </c>
      <c r="B2775" s="1" t="s">
        <v>23</v>
      </c>
      <c r="C2775" s="1" t="s">
        <v>696</v>
      </c>
      <c r="D2775" s="1">
        <v>1.0</v>
      </c>
      <c r="E2775" s="1">
        <v>40.0</v>
      </c>
      <c r="F2775" s="1">
        <v>2.0</v>
      </c>
      <c r="G2775" s="1">
        <v>5.0</v>
      </c>
      <c r="H2775" s="1" t="s">
        <v>25</v>
      </c>
      <c r="I2775" s="1" t="s">
        <v>33</v>
      </c>
      <c r="J2775" s="1" t="s">
        <v>18</v>
      </c>
      <c r="K2775" s="1">
        <v>300.0</v>
      </c>
      <c r="L2775" s="1">
        <v>56.95468425</v>
      </c>
      <c r="M2775" s="1">
        <v>24.1322506039386</v>
      </c>
    </row>
    <row r="2776">
      <c r="A2776" s="1" t="s">
        <v>13</v>
      </c>
      <c r="B2776" s="1" t="s">
        <v>23</v>
      </c>
      <c r="C2776" s="1" t="s">
        <v>1837</v>
      </c>
      <c r="D2776" s="1">
        <v>3.0</v>
      </c>
      <c r="E2776" s="1">
        <v>60.0</v>
      </c>
      <c r="F2776" s="1">
        <v>2.0</v>
      </c>
      <c r="G2776" s="1">
        <v>5.0</v>
      </c>
      <c r="H2776" s="1" t="s">
        <v>25</v>
      </c>
      <c r="I2776" s="1" t="s">
        <v>33</v>
      </c>
      <c r="J2776" s="1" t="s">
        <v>18</v>
      </c>
      <c r="K2776" s="1">
        <v>350.0</v>
      </c>
      <c r="L2776" s="1">
        <v>56.9548643</v>
      </c>
      <c r="M2776" s="1">
        <v>24.1318858796428</v>
      </c>
    </row>
    <row r="2777">
      <c r="A2777" s="1" t="s">
        <v>13</v>
      </c>
      <c r="B2777" s="1" t="s">
        <v>109</v>
      </c>
      <c r="C2777" s="1" t="s">
        <v>1838</v>
      </c>
      <c r="D2777" s="1">
        <v>2.0</v>
      </c>
      <c r="E2777" s="1">
        <v>52.0</v>
      </c>
      <c r="F2777" s="1">
        <v>4.0</v>
      </c>
      <c r="G2777" s="1">
        <v>12.0</v>
      </c>
      <c r="H2777" s="1" t="s">
        <v>36</v>
      </c>
      <c r="I2777" s="1" t="s">
        <v>37</v>
      </c>
      <c r="J2777" s="1" t="s">
        <v>18</v>
      </c>
      <c r="K2777" s="1">
        <v>290.0</v>
      </c>
      <c r="L2777" s="1">
        <v>57.00109145</v>
      </c>
      <c r="M2777" s="1">
        <v>24.1694669907625</v>
      </c>
    </row>
    <row r="2778">
      <c r="A2778" s="1" t="s">
        <v>22</v>
      </c>
      <c r="B2778" s="1" t="s">
        <v>23</v>
      </c>
      <c r="C2778" s="1" t="s">
        <v>1839</v>
      </c>
      <c r="D2778" s="1">
        <v>3.0</v>
      </c>
      <c r="E2778" s="1">
        <v>49.0</v>
      </c>
      <c r="F2778" s="1">
        <v>4.0</v>
      </c>
      <c r="G2778" s="1">
        <v>5.0</v>
      </c>
      <c r="H2778" s="1" t="s">
        <v>25</v>
      </c>
      <c r="I2778" s="1" t="s">
        <v>37</v>
      </c>
      <c r="J2778" s="1" t="s">
        <v>18</v>
      </c>
      <c r="K2778" s="1">
        <v>72000.0</v>
      </c>
      <c r="L2778" s="1">
        <v>56.9636967999999</v>
      </c>
      <c r="M2778" s="1">
        <v>24.1357898691473</v>
      </c>
    </row>
    <row r="2779">
      <c r="A2779" s="1" t="s">
        <v>22</v>
      </c>
      <c r="B2779" s="1" t="s">
        <v>42</v>
      </c>
      <c r="C2779" s="1" t="s">
        <v>760</v>
      </c>
      <c r="D2779" s="1">
        <v>1.0</v>
      </c>
      <c r="E2779" s="1">
        <v>33.0</v>
      </c>
      <c r="F2779" s="1">
        <v>1.0</v>
      </c>
      <c r="G2779" s="1">
        <v>12.0</v>
      </c>
      <c r="H2779" s="1" t="s">
        <v>36</v>
      </c>
      <c r="I2779" s="1" t="s">
        <v>17</v>
      </c>
      <c r="J2779" s="1" t="s">
        <v>18</v>
      </c>
      <c r="K2779" s="1">
        <v>30000.0</v>
      </c>
      <c r="L2779" s="1">
        <v>56.9872837</v>
      </c>
      <c r="M2779" s="1">
        <v>24.2298159546237</v>
      </c>
    </row>
    <row r="2780">
      <c r="A2780" s="1" t="s">
        <v>22</v>
      </c>
      <c r="B2780" s="1" t="s">
        <v>74</v>
      </c>
      <c r="C2780" s="1" t="s">
        <v>1311</v>
      </c>
      <c r="D2780" s="1">
        <v>3.0</v>
      </c>
      <c r="E2780" s="1">
        <v>62.0</v>
      </c>
      <c r="F2780" s="1">
        <v>8.0</v>
      </c>
      <c r="G2780" s="1">
        <v>9.0</v>
      </c>
      <c r="H2780" s="1">
        <v>602.0</v>
      </c>
      <c r="I2780" s="1" t="s">
        <v>21</v>
      </c>
      <c r="J2780" s="1" t="s">
        <v>18</v>
      </c>
      <c r="K2780" s="1">
        <v>72000.0</v>
      </c>
      <c r="L2780" s="1">
        <v>56.934949</v>
      </c>
      <c r="M2780" s="1">
        <v>24.2012871647176</v>
      </c>
    </row>
    <row r="2781">
      <c r="A2781" s="1" t="s">
        <v>13</v>
      </c>
      <c r="B2781" s="1" t="s">
        <v>218</v>
      </c>
      <c r="C2781" s="1" t="s">
        <v>1669</v>
      </c>
      <c r="D2781" s="1">
        <v>2.0</v>
      </c>
      <c r="E2781" s="1">
        <v>72.0</v>
      </c>
      <c r="F2781" s="1">
        <v>2.0</v>
      </c>
      <c r="G2781" s="1">
        <v>4.0</v>
      </c>
      <c r="H2781" s="1" t="s">
        <v>25</v>
      </c>
      <c r="I2781" s="1" t="s">
        <v>33</v>
      </c>
      <c r="J2781" s="1" t="s">
        <v>18</v>
      </c>
      <c r="K2781" s="1">
        <v>550.0</v>
      </c>
      <c r="L2781" s="1">
        <v>56.9485304</v>
      </c>
      <c r="M2781" s="1">
        <v>24.1085148</v>
      </c>
    </row>
    <row r="2782">
      <c r="A2782" s="1" t="s">
        <v>13</v>
      </c>
      <c r="B2782" s="1" t="s">
        <v>23</v>
      </c>
      <c r="C2782" s="1" t="s">
        <v>1134</v>
      </c>
      <c r="D2782" s="1">
        <v>3.0</v>
      </c>
      <c r="E2782" s="1">
        <v>120.0</v>
      </c>
      <c r="F2782" s="1">
        <v>13.0</v>
      </c>
      <c r="G2782" s="1">
        <v>23.0</v>
      </c>
      <c r="H2782" s="1" t="s">
        <v>32</v>
      </c>
      <c r="I2782" s="1" t="s">
        <v>17</v>
      </c>
      <c r="J2782" s="1" t="s">
        <v>18</v>
      </c>
      <c r="K2782" s="1">
        <v>1500.0</v>
      </c>
      <c r="L2782" s="1" t="s">
        <v>40</v>
      </c>
      <c r="M2782" s="1" t="s">
        <v>40</v>
      </c>
    </row>
    <row r="2783">
      <c r="A2783" s="1" t="s">
        <v>13</v>
      </c>
      <c r="B2783" s="1" t="s">
        <v>23</v>
      </c>
      <c r="C2783" s="1" t="s">
        <v>746</v>
      </c>
      <c r="D2783" s="1">
        <v>2.0</v>
      </c>
      <c r="E2783" s="1">
        <v>40.0</v>
      </c>
      <c r="F2783" s="1">
        <v>3.0</v>
      </c>
      <c r="G2783" s="1">
        <v>5.0</v>
      </c>
      <c r="H2783" s="1" t="s">
        <v>25</v>
      </c>
      <c r="I2783" s="1" t="s">
        <v>33</v>
      </c>
      <c r="J2783" s="1" t="s">
        <v>18</v>
      </c>
      <c r="K2783" s="1">
        <v>575.0</v>
      </c>
      <c r="L2783" s="1">
        <v>56.9928319</v>
      </c>
      <c r="M2783" s="1">
        <v>24.1224521</v>
      </c>
    </row>
    <row r="2784">
      <c r="A2784" s="1" t="s">
        <v>22</v>
      </c>
      <c r="B2784" s="1" t="s">
        <v>23</v>
      </c>
      <c r="C2784" s="1" t="s">
        <v>491</v>
      </c>
      <c r="D2784" s="1">
        <v>2.0</v>
      </c>
      <c r="E2784" s="1">
        <v>45.0</v>
      </c>
      <c r="F2784" s="1">
        <v>7.0</v>
      </c>
      <c r="G2784" s="1">
        <v>7.0</v>
      </c>
      <c r="H2784" s="1" t="s">
        <v>66</v>
      </c>
      <c r="I2784" s="1" t="s">
        <v>33</v>
      </c>
      <c r="J2784" s="1" t="s">
        <v>18</v>
      </c>
      <c r="K2784" s="1">
        <v>103500.0</v>
      </c>
      <c r="L2784" s="1">
        <v>56.9505796</v>
      </c>
      <c r="M2784" s="1">
        <v>24.1255938</v>
      </c>
    </row>
    <row r="2785">
      <c r="A2785" s="1" t="s">
        <v>22</v>
      </c>
      <c r="B2785" s="1" t="s">
        <v>23</v>
      </c>
      <c r="C2785" s="1" t="s">
        <v>258</v>
      </c>
      <c r="D2785" s="1">
        <v>3.0</v>
      </c>
      <c r="E2785" s="1">
        <v>78.0</v>
      </c>
      <c r="F2785" s="1">
        <v>3.0</v>
      </c>
      <c r="G2785" s="1">
        <v>6.0</v>
      </c>
      <c r="H2785" s="1" t="s">
        <v>66</v>
      </c>
      <c r="I2785" s="1" t="s">
        <v>33</v>
      </c>
      <c r="J2785" s="1" t="s">
        <v>18</v>
      </c>
      <c r="K2785" s="1">
        <v>159732.0</v>
      </c>
      <c r="L2785" s="1">
        <v>56.958482</v>
      </c>
      <c r="M2785" s="1">
        <v>24.116859</v>
      </c>
    </row>
    <row r="2786">
      <c r="A2786" s="1" t="s">
        <v>22</v>
      </c>
      <c r="B2786" s="1" t="s">
        <v>94</v>
      </c>
      <c r="C2786" s="1" t="s">
        <v>1840</v>
      </c>
      <c r="D2786" s="1">
        <v>2.0</v>
      </c>
      <c r="E2786" s="1">
        <v>56.0</v>
      </c>
      <c r="F2786" s="1">
        <v>5.0</v>
      </c>
      <c r="G2786" s="1">
        <v>5.0</v>
      </c>
      <c r="H2786" s="1" t="s">
        <v>181</v>
      </c>
      <c r="I2786" s="1" t="s">
        <v>37</v>
      </c>
      <c r="J2786" s="1" t="s">
        <v>18</v>
      </c>
      <c r="K2786" s="1">
        <v>43770.0</v>
      </c>
      <c r="L2786" s="1">
        <v>56.92851835</v>
      </c>
      <c r="M2786" s="1">
        <v>24.1640911499999</v>
      </c>
    </row>
    <row r="2787">
      <c r="A2787" s="1" t="s">
        <v>22</v>
      </c>
      <c r="B2787" s="1" t="s">
        <v>67</v>
      </c>
      <c r="C2787" s="1" t="s">
        <v>98</v>
      </c>
      <c r="D2787" s="1">
        <v>2.0</v>
      </c>
      <c r="E2787" s="1">
        <v>37.0</v>
      </c>
      <c r="F2787" s="1">
        <v>4.0</v>
      </c>
      <c r="G2787" s="1">
        <v>5.0</v>
      </c>
      <c r="H2787" s="1" t="s">
        <v>66</v>
      </c>
      <c r="I2787" s="1" t="s">
        <v>33</v>
      </c>
      <c r="J2787" s="1" t="s">
        <v>18</v>
      </c>
      <c r="K2787" s="1">
        <v>74000.0</v>
      </c>
      <c r="L2787" s="1">
        <v>56.9553833</v>
      </c>
      <c r="M2787" s="1">
        <v>24.1488881</v>
      </c>
    </row>
    <row r="2788">
      <c r="A2788" s="1" t="s">
        <v>22</v>
      </c>
      <c r="B2788" s="1" t="s">
        <v>23</v>
      </c>
      <c r="C2788" s="1" t="s">
        <v>790</v>
      </c>
      <c r="D2788" s="1">
        <v>2.0</v>
      </c>
      <c r="E2788" s="1">
        <v>48.0</v>
      </c>
      <c r="F2788" s="1">
        <v>2.0</v>
      </c>
      <c r="G2788" s="1">
        <v>4.0</v>
      </c>
      <c r="H2788" s="1" t="s">
        <v>66</v>
      </c>
      <c r="I2788" s="1" t="s">
        <v>33</v>
      </c>
      <c r="J2788" s="1" t="s">
        <v>18</v>
      </c>
      <c r="K2788" s="1">
        <v>96390.0</v>
      </c>
      <c r="L2788" s="1">
        <v>56.952698</v>
      </c>
      <c r="M2788" s="1">
        <v>24.1299733</v>
      </c>
    </row>
    <row r="2789">
      <c r="A2789" s="1" t="s">
        <v>22</v>
      </c>
      <c r="B2789" s="1" t="s">
        <v>23</v>
      </c>
      <c r="C2789" s="1" t="s">
        <v>1841</v>
      </c>
      <c r="D2789" s="1">
        <v>3.0</v>
      </c>
      <c r="E2789" s="1">
        <v>99.0</v>
      </c>
      <c r="F2789" s="1">
        <v>4.0</v>
      </c>
      <c r="G2789" s="1">
        <v>4.0</v>
      </c>
      <c r="H2789" s="1" t="s">
        <v>25</v>
      </c>
      <c r="I2789" s="1" t="s">
        <v>37</v>
      </c>
      <c r="J2789" s="1" t="s">
        <v>18</v>
      </c>
      <c r="K2789" s="1">
        <v>129900.0</v>
      </c>
      <c r="L2789" s="1">
        <v>56.9599606</v>
      </c>
      <c r="M2789" s="1">
        <v>24.1209763</v>
      </c>
    </row>
    <row r="2790">
      <c r="A2790" s="1" t="s">
        <v>22</v>
      </c>
      <c r="B2790" s="1" t="s">
        <v>23</v>
      </c>
      <c r="C2790" s="1" t="s">
        <v>1842</v>
      </c>
      <c r="D2790" s="1">
        <v>2.0</v>
      </c>
      <c r="E2790" s="1">
        <v>44.0</v>
      </c>
      <c r="F2790" s="1">
        <v>1.0</v>
      </c>
      <c r="G2790" s="1">
        <v>4.0</v>
      </c>
      <c r="H2790" s="1" t="s">
        <v>44</v>
      </c>
      <c r="I2790" s="1" t="s">
        <v>37</v>
      </c>
      <c r="J2790" s="1" t="s">
        <v>18</v>
      </c>
      <c r="K2790" s="1">
        <v>39000.0</v>
      </c>
      <c r="L2790" s="1">
        <v>56.9766924</v>
      </c>
      <c r="M2790" s="1">
        <v>24.14165</v>
      </c>
    </row>
    <row r="2791">
      <c r="A2791" s="1" t="s">
        <v>13</v>
      </c>
      <c r="B2791" s="1" t="s">
        <v>23</v>
      </c>
      <c r="C2791" s="1" t="s">
        <v>1262</v>
      </c>
      <c r="D2791" s="1">
        <v>2.0</v>
      </c>
      <c r="E2791" s="1">
        <v>60.0</v>
      </c>
      <c r="F2791" s="1">
        <v>3.0</v>
      </c>
      <c r="G2791" s="1">
        <v>5.0</v>
      </c>
      <c r="H2791" s="1" t="s">
        <v>25</v>
      </c>
      <c r="I2791" s="1" t="s">
        <v>37</v>
      </c>
      <c r="J2791" s="1" t="s">
        <v>18</v>
      </c>
      <c r="K2791" s="1">
        <v>700.0</v>
      </c>
      <c r="L2791" s="1">
        <v>56.9568138</v>
      </c>
      <c r="M2791" s="1">
        <v>24.1172697</v>
      </c>
    </row>
    <row r="2792">
      <c r="A2792" s="1" t="s">
        <v>22</v>
      </c>
      <c r="B2792" s="1" t="s">
        <v>23</v>
      </c>
      <c r="C2792" s="1" t="s">
        <v>1843</v>
      </c>
      <c r="D2792" s="1">
        <v>3.0</v>
      </c>
      <c r="E2792" s="1">
        <v>101.0</v>
      </c>
      <c r="F2792" s="1">
        <v>5.0</v>
      </c>
      <c r="G2792" s="1">
        <v>5.0</v>
      </c>
      <c r="H2792" s="1" t="s">
        <v>25</v>
      </c>
      <c r="I2792" s="1" t="s">
        <v>37</v>
      </c>
      <c r="J2792" s="1" t="s">
        <v>18</v>
      </c>
      <c r="K2792" s="1">
        <v>125000.0</v>
      </c>
      <c r="L2792" s="1">
        <v>56.9519769</v>
      </c>
      <c r="M2792" s="1">
        <v>24.1261897680555</v>
      </c>
    </row>
    <row r="2793">
      <c r="A2793" s="1" t="s">
        <v>13</v>
      </c>
      <c r="B2793" s="1" t="s">
        <v>218</v>
      </c>
      <c r="C2793" s="1" t="s">
        <v>801</v>
      </c>
      <c r="D2793" s="1">
        <v>4.0</v>
      </c>
      <c r="E2793" s="1">
        <v>107.0</v>
      </c>
      <c r="F2793" s="1">
        <v>5.0</v>
      </c>
      <c r="G2793" s="1">
        <v>5.0</v>
      </c>
      <c r="H2793" s="1" t="s">
        <v>25</v>
      </c>
      <c r="I2793" s="1" t="s">
        <v>33</v>
      </c>
      <c r="J2793" s="1" t="s">
        <v>18</v>
      </c>
      <c r="K2793" s="1">
        <v>850.0</v>
      </c>
      <c r="L2793" s="1">
        <v>56.9505804</v>
      </c>
      <c r="M2793" s="1">
        <v>24.1100756</v>
      </c>
    </row>
    <row r="2794">
      <c r="A2794" s="1" t="s">
        <v>22</v>
      </c>
      <c r="B2794" s="1" t="s">
        <v>14</v>
      </c>
      <c r="C2794" s="1" t="s">
        <v>1844</v>
      </c>
      <c r="D2794" s="1">
        <v>4.0</v>
      </c>
      <c r="E2794" s="1">
        <v>94.0</v>
      </c>
      <c r="F2794" s="1">
        <v>9.0</v>
      </c>
      <c r="G2794" s="1">
        <v>9.0</v>
      </c>
      <c r="H2794" s="1">
        <v>119.0</v>
      </c>
      <c r="I2794" s="1" t="s">
        <v>21</v>
      </c>
      <c r="J2794" s="1" t="s">
        <v>18</v>
      </c>
      <c r="K2794" s="1">
        <v>91000.0</v>
      </c>
      <c r="L2794" s="1">
        <v>56.9536789</v>
      </c>
      <c r="M2794" s="1">
        <v>24.1668081</v>
      </c>
    </row>
    <row r="2795">
      <c r="A2795" s="1" t="s">
        <v>22</v>
      </c>
      <c r="B2795" s="1" t="s">
        <v>109</v>
      </c>
      <c r="C2795" s="1" t="s">
        <v>1845</v>
      </c>
      <c r="D2795" s="1">
        <v>3.0</v>
      </c>
      <c r="E2795" s="1">
        <v>70.0</v>
      </c>
      <c r="F2795" s="1">
        <v>1.0</v>
      </c>
      <c r="G2795" s="1">
        <v>12.0</v>
      </c>
      <c r="H2795" s="1" t="s">
        <v>36</v>
      </c>
      <c r="I2795" s="1" t="s">
        <v>17</v>
      </c>
      <c r="J2795" s="1" t="s">
        <v>18</v>
      </c>
      <c r="K2795" s="1">
        <v>78000.0</v>
      </c>
      <c r="L2795" s="1">
        <v>57.00012555</v>
      </c>
      <c r="M2795" s="1">
        <v>24.1694573977143</v>
      </c>
    </row>
    <row r="2796">
      <c r="A2796" s="1" t="s">
        <v>13</v>
      </c>
      <c r="B2796" s="1" t="s">
        <v>52</v>
      </c>
      <c r="C2796" s="1" t="s">
        <v>711</v>
      </c>
      <c r="D2796" s="1">
        <v>2.0</v>
      </c>
      <c r="E2796" s="1">
        <v>55.0</v>
      </c>
      <c r="F2796" s="1">
        <v>4.0</v>
      </c>
      <c r="G2796" s="1">
        <v>9.0</v>
      </c>
      <c r="H2796" s="1">
        <v>119.0</v>
      </c>
      <c r="I2796" s="1" t="s">
        <v>21</v>
      </c>
      <c r="J2796" s="1" t="s">
        <v>18</v>
      </c>
      <c r="K2796" s="1">
        <v>300.0</v>
      </c>
      <c r="L2796" s="1">
        <v>56.94627775</v>
      </c>
      <c r="M2796" s="1">
        <v>24.0038639173023</v>
      </c>
    </row>
    <row r="2797">
      <c r="A2797" s="1" t="s">
        <v>13</v>
      </c>
      <c r="B2797" s="1" t="s">
        <v>104</v>
      </c>
      <c r="C2797" s="1" t="s">
        <v>874</v>
      </c>
      <c r="D2797" s="1">
        <v>1.0</v>
      </c>
      <c r="E2797" s="1">
        <v>24.0</v>
      </c>
      <c r="F2797" s="1">
        <v>1.0</v>
      </c>
      <c r="G2797" s="1">
        <v>5.0</v>
      </c>
      <c r="H2797" s="1" t="s">
        <v>44</v>
      </c>
      <c r="I2797" s="1" t="s">
        <v>37</v>
      </c>
      <c r="J2797" s="1" t="s">
        <v>18</v>
      </c>
      <c r="K2797" s="1">
        <v>220.0</v>
      </c>
      <c r="L2797" s="1">
        <v>56.9438277999999</v>
      </c>
      <c r="M2797" s="1">
        <v>24.062819336917</v>
      </c>
    </row>
    <row r="2798">
      <c r="A2798" s="1" t="s">
        <v>89</v>
      </c>
      <c r="B2798" s="1" t="s">
        <v>28</v>
      </c>
      <c r="C2798" s="2"/>
      <c r="D2798" s="2"/>
      <c r="E2798" s="2"/>
      <c r="F2798" s="2"/>
      <c r="G2798" s="2"/>
      <c r="H2798" s="2"/>
      <c r="I2798" s="2"/>
      <c r="J2798" s="2"/>
      <c r="K2798" s="2"/>
      <c r="L2798" s="1">
        <v>46.3144754</v>
      </c>
      <c r="M2798" s="1">
        <v>11.0480288</v>
      </c>
    </row>
    <row r="2799">
      <c r="A2799" s="1" t="s">
        <v>89</v>
      </c>
      <c r="B2799" s="1" t="s">
        <v>74</v>
      </c>
      <c r="C2799" s="2"/>
      <c r="D2799" s="2"/>
      <c r="E2799" s="2"/>
      <c r="F2799" s="2"/>
      <c r="G2799" s="2"/>
      <c r="H2799" s="2"/>
      <c r="I2799" s="2"/>
      <c r="J2799" s="2"/>
      <c r="K2799" s="2"/>
      <c r="L2799" s="1">
        <v>46.3144754</v>
      </c>
      <c r="M2799" s="1">
        <v>11.0480288</v>
      </c>
    </row>
    <row r="2800">
      <c r="A2800" s="1" t="s">
        <v>89</v>
      </c>
      <c r="B2800" s="1" t="s">
        <v>14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1">
        <v>46.3144754</v>
      </c>
      <c r="M2800" s="1">
        <v>11.0480288</v>
      </c>
    </row>
    <row r="2801">
      <c r="A2801" s="1" t="s">
        <v>89</v>
      </c>
      <c r="B2801" s="1" t="s">
        <v>48</v>
      </c>
      <c r="C2801" s="2"/>
      <c r="D2801" s="2"/>
      <c r="E2801" s="2"/>
      <c r="F2801" s="2"/>
      <c r="G2801" s="2"/>
      <c r="H2801" s="2"/>
      <c r="I2801" s="2"/>
      <c r="J2801" s="2"/>
      <c r="K2801" s="2"/>
      <c r="L2801" s="1">
        <v>46.3144754</v>
      </c>
      <c r="M2801" s="1">
        <v>11.0480288</v>
      </c>
    </row>
    <row r="2802">
      <c r="A2802" s="1" t="s">
        <v>89</v>
      </c>
      <c r="B2802" s="1" t="s">
        <v>42</v>
      </c>
      <c r="C2802" s="2"/>
      <c r="D2802" s="2"/>
      <c r="E2802" s="2"/>
      <c r="F2802" s="2"/>
      <c r="G2802" s="2"/>
      <c r="H2802" s="2"/>
      <c r="I2802" s="2"/>
      <c r="J2802" s="2"/>
      <c r="K2802" s="2"/>
      <c r="L2802" s="1">
        <v>46.3144754</v>
      </c>
      <c r="M2802" s="1">
        <v>11.0480288</v>
      </c>
    </row>
    <row r="2803">
      <c r="A2803" s="1" t="s">
        <v>89</v>
      </c>
      <c r="B2803" s="1" t="s">
        <v>23</v>
      </c>
      <c r="C2803" s="2"/>
      <c r="D2803" s="2"/>
      <c r="E2803" s="2"/>
      <c r="F2803" s="2"/>
      <c r="G2803" s="2"/>
      <c r="H2803" s="2"/>
      <c r="I2803" s="2"/>
      <c r="J2803" s="2"/>
      <c r="K2803" s="2"/>
      <c r="L2803" s="1">
        <v>46.3144754</v>
      </c>
      <c r="M2803" s="1">
        <v>11.0480288</v>
      </c>
    </row>
    <row r="2804">
      <c r="A2804" s="1" t="s">
        <v>22</v>
      </c>
      <c r="B2804" s="1" t="s">
        <v>151</v>
      </c>
      <c r="C2804" s="1" t="s">
        <v>1846</v>
      </c>
      <c r="D2804" s="1">
        <v>1.0</v>
      </c>
      <c r="E2804" s="1">
        <v>44.0</v>
      </c>
      <c r="F2804" s="1">
        <v>7.0</v>
      </c>
      <c r="G2804" s="1">
        <v>9.0</v>
      </c>
      <c r="H2804" s="1" t="s">
        <v>36</v>
      </c>
      <c r="I2804" s="1" t="s">
        <v>21</v>
      </c>
      <c r="J2804" s="1" t="s">
        <v>18</v>
      </c>
      <c r="K2804" s="1">
        <v>42990.0</v>
      </c>
      <c r="L2804" s="1">
        <v>56.9664355</v>
      </c>
      <c r="M2804" s="1">
        <v>24.0528963087278</v>
      </c>
    </row>
    <row r="2805">
      <c r="A2805" s="1" t="s">
        <v>22</v>
      </c>
      <c r="B2805" s="1" t="s">
        <v>129</v>
      </c>
      <c r="C2805" s="1" t="s">
        <v>1062</v>
      </c>
      <c r="D2805" s="1">
        <v>2.0</v>
      </c>
      <c r="E2805" s="1">
        <v>45.0</v>
      </c>
      <c r="F2805" s="1">
        <v>5.0</v>
      </c>
      <c r="G2805" s="1">
        <v>5.0</v>
      </c>
      <c r="H2805" s="1" t="s">
        <v>44</v>
      </c>
      <c r="I2805" s="1" t="s">
        <v>37</v>
      </c>
      <c r="J2805" s="1" t="s">
        <v>18</v>
      </c>
      <c r="K2805" s="1">
        <v>32000.0</v>
      </c>
      <c r="L2805" s="1">
        <v>57.0021488</v>
      </c>
      <c r="M2805" s="1">
        <v>24.1248028</v>
      </c>
    </row>
    <row r="2806">
      <c r="A2806" s="1" t="s">
        <v>22</v>
      </c>
      <c r="B2806" s="1" t="s">
        <v>129</v>
      </c>
      <c r="C2806" s="1" t="s">
        <v>1062</v>
      </c>
      <c r="D2806" s="1">
        <v>2.0</v>
      </c>
      <c r="E2806" s="1">
        <v>41.0</v>
      </c>
      <c r="F2806" s="1">
        <v>1.0</v>
      </c>
      <c r="G2806" s="1">
        <v>5.0</v>
      </c>
      <c r="H2806" s="1" t="s">
        <v>44</v>
      </c>
      <c r="I2806" s="1" t="s">
        <v>37</v>
      </c>
      <c r="J2806" s="1" t="s">
        <v>18</v>
      </c>
      <c r="K2806" s="1">
        <v>28000.0</v>
      </c>
      <c r="L2806" s="1">
        <v>57.0021488</v>
      </c>
      <c r="M2806" s="1">
        <v>24.1248028</v>
      </c>
    </row>
    <row r="2807">
      <c r="A2807" s="1" t="s">
        <v>22</v>
      </c>
      <c r="B2807" s="1" t="s">
        <v>28</v>
      </c>
      <c r="C2807" s="1" t="s">
        <v>598</v>
      </c>
      <c r="D2807" s="1">
        <v>3.0</v>
      </c>
      <c r="E2807" s="1">
        <v>60.0</v>
      </c>
      <c r="F2807" s="1">
        <v>5.0</v>
      </c>
      <c r="G2807" s="1">
        <v>5.0</v>
      </c>
      <c r="H2807" s="1" t="s">
        <v>16</v>
      </c>
      <c r="I2807" s="1" t="s">
        <v>21</v>
      </c>
      <c r="J2807" s="1" t="s">
        <v>18</v>
      </c>
      <c r="K2807" s="1">
        <v>43000.0</v>
      </c>
      <c r="L2807" s="1">
        <v>56.9106275</v>
      </c>
      <c r="M2807" s="1">
        <v>24.1836694706489</v>
      </c>
    </row>
    <row r="2808">
      <c r="A2808" s="1" t="s">
        <v>13</v>
      </c>
      <c r="B2808" s="1" t="s">
        <v>129</v>
      </c>
      <c r="C2808" s="1" t="s">
        <v>126</v>
      </c>
      <c r="D2808" s="1">
        <v>1.0</v>
      </c>
      <c r="E2808" s="1">
        <v>30.0</v>
      </c>
      <c r="F2808" s="1">
        <v>8.0</v>
      </c>
      <c r="G2808" s="1">
        <v>10.0</v>
      </c>
      <c r="H2808" s="1" t="s">
        <v>32</v>
      </c>
      <c r="I2808" s="1" t="s">
        <v>17</v>
      </c>
      <c r="J2808" s="1" t="s">
        <v>18</v>
      </c>
      <c r="K2808" s="1">
        <v>300.0</v>
      </c>
      <c r="L2808" s="1" t="s">
        <v>40</v>
      </c>
      <c r="M2808" s="1" t="s">
        <v>40</v>
      </c>
    </row>
    <row r="2809">
      <c r="A2809" s="1" t="s">
        <v>13</v>
      </c>
      <c r="B2809" s="1" t="s">
        <v>104</v>
      </c>
      <c r="C2809" s="1" t="s">
        <v>619</v>
      </c>
      <c r="D2809" s="1">
        <v>4.0</v>
      </c>
      <c r="E2809" s="1">
        <v>110.0</v>
      </c>
      <c r="F2809" s="1">
        <v>2.0</v>
      </c>
      <c r="G2809" s="1">
        <v>6.0</v>
      </c>
      <c r="H2809" s="1" t="s">
        <v>25</v>
      </c>
      <c r="I2809" s="1" t="s">
        <v>33</v>
      </c>
      <c r="J2809" s="1" t="s">
        <v>18</v>
      </c>
      <c r="K2809" s="1">
        <v>850.0</v>
      </c>
      <c r="L2809" s="1">
        <v>56.9474705</v>
      </c>
      <c r="M2809" s="1">
        <v>24.0604076</v>
      </c>
    </row>
    <row r="2810">
      <c r="A2810" s="1" t="s">
        <v>22</v>
      </c>
      <c r="B2810" s="1" t="s">
        <v>14</v>
      </c>
      <c r="C2810" s="1" t="s">
        <v>1847</v>
      </c>
      <c r="D2810" s="1">
        <v>2.0</v>
      </c>
      <c r="E2810" s="1">
        <v>42.0</v>
      </c>
      <c r="F2810" s="1">
        <v>3.0</v>
      </c>
      <c r="G2810" s="1">
        <v>5.0</v>
      </c>
      <c r="H2810" s="1" t="s">
        <v>44</v>
      </c>
      <c r="I2810" s="1" t="s">
        <v>37</v>
      </c>
      <c r="J2810" s="1" t="s">
        <v>18</v>
      </c>
      <c r="K2810" s="1">
        <v>52100.0</v>
      </c>
      <c r="L2810" s="1">
        <v>56.96199595</v>
      </c>
      <c r="M2810" s="1">
        <v>24.17552785</v>
      </c>
    </row>
    <row r="2811">
      <c r="A2811" s="1" t="s">
        <v>22</v>
      </c>
      <c r="B2811" s="1" t="s">
        <v>94</v>
      </c>
      <c r="C2811" s="1" t="s">
        <v>1848</v>
      </c>
      <c r="D2811" s="1">
        <v>3.0</v>
      </c>
      <c r="E2811" s="1">
        <v>60.0</v>
      </c>
      <c r="F2811" s="1">
        <v>4.0</v>
      </c>
      <c r="G2811" s="1">
        <v>9.0</v>
      </c>
      <c r="H2811" s="1">
        <v>467.0</v>
      </c>
      <c r="I2811" s="1" t="s">
        <v>21</v>
      </c>
      <c r="J2811" s="1" t="s">
        <v>18</v>
      </c>
      <c r="K2811" s="1">
        <v>44900.0</v>
      </c>
      <c r="L2811" s="1">
        <v>56.93090445</v>
      </c>
      <c r="M2811" s="1">
        <v>24.1684845907759</v>
      </c>
    </row>
    <row r="2812">
      <c r="A2812" s="1" t="s">
        <v>22</v>
      </c>
      <c r="B2812" s="1" t="s">
        <v>38</v>
      </c>
      <c r="C2812" s="1" t="s">
        <v>1849</v>
      </c>
      <c r="D2812" s="1">
        <v>2.0</v>
      </c>
      <c r="E2812" s="1">
        <v>50.0</v>
      </c>
      <c r="F2812" s="1">
        <v>4.0</v>
      </c>
      <c r="G2812" s="1">
        <v>9.0</v>
      </c>
      <c r="H2812" s="1">
        <v>602.0</v>
      </c>
      <c r="I2812" s="1" t="s">
        <v>21</v>
      </c>
      <c r="J2812" s="1" t="s">
        <v>18</v>
      </c>
      <c r="K2812" s="1">
        <v>46500.0</v>
      </c>
      <c r="L2812" s="1">
        <v>56.952975</v>
      </c>
      <c r="M2812" s="1">
        <v>24.0166971</v>
      </c>
    </row>
    <row r="2813">
      <c r="A2813" s="1" t="s">
        <v>22</v>
      </c>
      <c r="B2813" s="1" t="s">
        <v>42</v>
      </c>
      <c r="C2813" s="1" t="s">
        <v>459</v>
      </c>
      <c r="D2813" s="1">
        <v>3.0</v>
      </c>
      <c r="E2813" s="1">
        <v>100.0</v>
      </c>
      <c r="F2813" s="1">
        <v>2.0</v>
      </c>
      <c r="G2813" s="1">
        <v>9.0</v>
      </c>
      <c r="H2813" s="1" t="s">
        <v>32</v>
      </c>
      <c r="I2813" s="1" t="s">
        <v>33</v>
      </c>
      <c r="J2813" s="1" t="s">
        <v>18</v>
      </c>
      <c r="K2813" s="1">
        <v>125000.0</v>
      </c>
      <c r="L2813" s="1">
        <v>56.9879952999999</v>
      </c>
      <c r="M2813" s="1">
        <v>24.2461035663916</v>
      </c>
    </row>
    <row r="2814">
      <c r="A2814" s="1" t="s">
        <v>22</v>
      </c>
      <c r="B2814" s="1" t="s">
        <v>38</v>
      </c>
      <c r="C2814" s="1" t="s">
        <v>847</v>
      </c>
      <c r="D2814" s="1">
        <v>2.0</v>
      </c>
      <c r="E2814" s="1">
        <v>49.0</v>
      </c>
      <c r="F2814" s="1">
        <v>9.0</v>
      </c>
      <c r="G2814" s="1">
        <v>9.0</v>
      </c>
      <c r="H2814" s="1">
        <v>602.0</v>
      </c>
      <c r="I2814" s="1" t="s">
        <v>21</v>
      </c>
      <c r="J2814" s="1" t="s">
        <v>18</v>
      </c>
      <c r="K2814" s="1">
        <v>51000.0</v>
      </c>
      <c r="L2814" s="1">
        <v>56.96469885</v>
      </c>
      <c r="M2814" s="1">
        <v>24.0075821758969</v>
      </c>
    </row>
    <row r="2815">
      <c r="A2815" s="1" t="s">
        <v>22</v>
      </c>
      <c r="B2815" s="1" t="s">
        <v>38</v>
      </c>
      <c r="C2815" s="1" t="s">
        <v>1850</v>
      </c>
      <c r="D2815" s="1">
        <v>3.0</v>
      </c>
      <c r="E2815" s="1">
        <v>61.0</v>
      </c>
      <c r="F2815" s="1">
        <v>1.0</v>
      </c>
      <c r="G2815" s="1">
        <v>5.0</v>
      </c>
      <c r="H2815" s="1" t="s">
        <v>16</v>
      </c>
      <c r="I2815" s="1" t="s">
        <v>21</v>
      </c>
      <c r="J2815" s="1" t="s">
        <v>18</v>
      </c>
      <c r="K2815" s="1">
        <v>62999.0</v>
      </c>
      <c r="L2815" s="1">
        <v>56.95369035</v>
      </c>
      <c r="M2815" s="1">
        <v>24.0309696516515</v>
      </c>
    </row>
    <row r="2816">
      <c r="A2816" s="1" t="s">
        <v>22</v>
      </c>
      <c r="B2816" s="1" t="s">
        <v>23</v>
      </c>
      <c r="C2816" s="1" t="s">
        <v>1729</v>
      </c>
      <c r="D2816" s="1">
        <v>3.0</v>
      </c>
      <c r="E2816" s="1">
        <v>86.0</v>
      </c>
      <c r="F2816" s="1">
        <v>1.0</v>
      </c>
      <c r="G2816" s="1">
        <v>5.0</v>
      </c>
      <c r="H2816" s="1" t="s">
        <v>25</v>
      </c>
      <c r="I2816" s="1" t="s">
        <v>33</v>
      </c>
      <c r="J2816" s="1" t="s">
        <v>18</v>
      </c>
      <c r="K2816" s="1">
        <v>168000.0</v>
      </c>
      <c r="L2816" s="1">
        <v>56.9594676</v>
      </c>
      <c r="M2816" s="1">
        <v>24.115743</v>
      </c>
    </row>
    <row r="2817">
      <c r="A2817" s="1" t="s">
        <v>22</v>
      </c>
      <c r="B2817" s="1" t="s">
        <v>60</v>
      </c>
      <c r="C2817" s="1" t="s">
        <v>1510</v>
      </c>
      <c r="D2817" s="1">
        <v>2.0</v>
      </c>
      <c r="E2817" s="1">
        <v>49.0</v>
      </c>
      <c r="F2817" s="1">
        <v>5.0</v>
      </c>
      <c r="G2817" s="1">
        <v>5.0</v>
      </c>
      <c r="H2817" s="1" t="s">
        <v>16</v>
      </c>
      <c r="I2817" s="1" t="s">
        <v>21</v>
      </c>
      <c r="J2817" s="1" t="s">
        <v>18</v>
      </c>
      <c r="K2817" s="1">
        <v>27450.0</v>
      </c>
      <c r="L2817" s="1">
        <v>57.0322103</v>
      </c>
      <c r="M2817" s="1">
        <v>24.0541375022314</v>
      </c>
    </row>
    <row r="2818">
      <c r="A2818" s="1" t="s">
        <v>22</v>
      </c>
      <c r="B2818" s="1" t="s">
        <v>23</v>
      </c>
      <c r="C2818" s="1" t="s">
        <v>1851</v>
      </c>
      <c r="D2818" s="1">
        <v>1.0</v>
      </c>
      <c r="E2818" s="1">
        <v>21.0</v>
      </c>
      <c r="F2818" s="1">
        <v>4.0</v>
      </c>
      <c r="G2818" s="1">
        <v>5.0</v>
      </c>
      <c r="H2818" s="1" t="s">
        <v>25</v>
      </c>
      <c r="I2818" s="1" t="s">
        <v>33</v>
      </c>
      <c r="J2818" s="1" t="s">
        <v>27</v>
      </c>
      <c r="K2818" s="1">
        <v>19000.0</v>
      </c>
      <c r="L2818" s="1">
        <v>56.9480533</v>
      </c>
      <c r="M2818" s="1">
        <v>24.1384676767433</v>
      </c>
    </row>
    <row r="2819">
      <c r="A2819" s="1" t="s">
        <v>22</v>
      </c>
      <c r="B2819" s="1" t="s">
        <v>109</v>
      </c>
      <c r="C2819" s="1" t="s">
        <v>237</v>
      </c>
      <c r="D2819" s="1">
        <v>2.0</v>
      </c>
      <c r="E2819" s="1">
        <v>49.0</v>
      </c>
      <c r="F2819" s="1">
        <v>2.0</v>
      </c>
      <c r="G2819" s="1">
        <v>9.0</v>
      </c>
      <c r="H2819" s="1">
        <v>467.0</v>
      </c>
      <c r="I2819" s="1" t="s">
        <v>21</v>
      </c>
      <c r="J2819" s="1" t="s">
        <v>18</v>
      </c>
      <c r="K2819" s="1">
        <v>43000.0</v>
      </c>
      <c r="L2819" s="1" t="s">
        <v>40</v>
      </c>
      <c r="M2819" s="1" t="s">
        <v>40</v>
      </c>
    </row>
    <row r="2820">
      <c r="A2820" s="1" t="s">
        <v>22</v>
      </c>
      <c r="B2820" s="1" t="s">
        <v>42</v>
      </c>
      <c r="C2820" s="1" t="s">
        <v>459</v>
      </c>
      <c r="D2820" s="1">
        <v>2.0</v>
      </c>
      <c r="E2820" s="1">
        <v>102.0</v>
      </c>
      <c r="F2820" s="1">
        <v>5.0</v>
      </c>
      <c r="G2820" s="1">
        <v>9.0</v>
      </c>
      <c r="H2820" s="1" t="s">
        <v>32</v>
      </c>
      <c r="I2820" s="1" t="s">
        <v>17</v>
      </c>
      <c r="J2820" s="1" t="s">
        <v>18</v>
      </c>
      <c r="K2820" s="1">
        <v>130000.0</v>
      </c>
      <c r="L2820" s="1">
        <v>56.9879952999999</v>
      </c>
      <c r="M2820" s="1">
        <v>24.2461035663916</v>
      </c>
    </row>
    <row r="2821">
      <c r="A2821" s="1" t="s">
        <v>22</v>
      </c>
      <c r="B2821" s="1" t="s">
        <v>50</v>
      </c>
      <c r="C2821" s="1" t="s">
        <v>1852</v>
      </c>
      <c r="D2821" s="1">
        <v>2.0</v>
      </c>
      <c r="E2821" s="1">
        <v>61.0</v>
      </c>
      <c r="F2821" s="1">
        <v>3.0</v>
      </c>
      <c r="G2821" s="1">
        <v>6.0</v>
      </c>
      <c r="H2821" s="1" t="s">
        <v>66</v>
      </c>
      <c r="I2821" s="1" t="s">
        <v>17</v>
      </c>
      <c r="J2821" s="1" t="s">
        <v>18</v>
      </c>
      <c r="K2821" s="1">
        <v>91000.0</v>
      </c>
      <c r="L2821" s="1">
        <v>56.94181855</v>
      </c>
      <c r="M2821" s="1">
        <v>24.136004360151</v>
      </c>
    </row>
    <row r="2822">
      <c r="A2822" s="1" t="s">
        <v>22</v>
      </c>
      <c r="B2822" s="1" t="s">
        <v>14</v>
      </c>
      <c r="C2822" s="1" t="s">
        <v>1853</v>
      </c>
      <c r="D2822" s="1">
        <v>1.0</v>
      </c>
      <c r="E2822" s="1">
        <v>53.0</v>
      </c>
      <c r="F2822" s="1">
        <v>4.0</v>
      </c>
      <c r="G2822" s="1">
        <v>17.0</v>
      </c>
      <c r="H2822" s="1" t="s">
        <v>36</v>
      </c>
      <c r="I2822" s="1" t="s">
        <v>17</v>
      </c>
      <c r="J2822" s="1" t="s">
        <v>18</v>
      </c>
      <c r="K2822" s="1">
        <v>49000.0</v>
      </c>
      <c r="L2822" s="1">
        <v>56.9612457</v>
      </c>
      <c r="M2822" s="1">
        <v>24.1717202</v>
      </c>
    </row>
    <row r="2823">
      <c r="A2823" s="1" t="s">
        <v>13</v>
      </c>
      <c r="B2823" s="1" t="s">
        <v>218</v>
      </c>
      <c r="C2823" s="1" t="s">
        <v>1854</v>
      </c>
      <c r="D2823" s="1">
        <v>2.0</v>
      </c>
      <c r="E2823" s="1">
        <v>80.0</v>
      </c>
      <c r="F2823" s="1">
        <v>3.0</v>
      </c>
      <c r="G2823" s="1">
        <v>4.0</v>
      </c>
      <c r="H2823" s="1" t="s">
        <v>66</v>
      </c>
      <c r="I2823" s="1" t="s">
        <v>37</v>
      </c>
      <c r="J2823" s="1" t="s">
        <v>18</v>
      </c>
      <c r="K2823" s="1">
        <v>590.0</v>
      </c>
      <c r="L2823" s="1">
        <v>56.9483707</v>
      </c>
      <c r="M2823" s="1">
        <v>24.1061468</v>
      </c>
    </row>
    <row r="2824">
      <c r="A2824" s="1" t="s">
        <v>22</v>
      </c>
      <c r="B2824" s="1" t="s">
        <v>14</v>
      </c>
      <c r="C2824" s="1" t="s">
        <v>207</v>
      </c>
      <c r="D2824" s="1">
        <v>1.0</v>
      </c>
      <c r="E2824" s="1">
        <v>29.0</v>
      </c>
      <c r="F2824" s="1">
        <v>4.0</v>
      </c>
      <c r="G2824" s="1">
        <v>5.0</v>
      </c>
      <c r="H2824" s="1" t="s">
        <v>16</v>
      </c>
      <c r="I2824" s="1" t="s">
        <v>21</v>
      </c>
      <c r="J2824" s="1" t="s">
        <v>18</v>
      </c>
      <c r="K2824" s="1">
        <v>28400.0</v>
      </c>
      <c r="L2824" s="1">
        <v>56.9604259</v>
      </c>
      <c r="M2824" s="1">
        <v>24.201209</v>
      </c>
    </row>
    <row r="2825">
      <c r="A2825" s="1" t="s">
        <v>13</v>
      </c>
      <c r="B2825" s="1" t="s">
        <v>30</v>
      </c>
      <c r="C2825" s="1" t="s">
        <v>1855</v>
      </c>
      <c r="D2825" s="1">
        <v>2.0</v>
      </c>
      <c r="E2825" s="1">
        <v>48.0</v>
      </c>
      <c r="F2825" s="1">
        <v>5.0</v>
      </c>
      <c r="G2825" s="1">
        <v>5.0</v>
      </c>
      <c r="H2825" s="1" t="s">
        <v>181</v>
      </c>
      <c r="I2825" s="1" t="s">
        <v>33</v>
      </c>
      <c r="J2825" s="1" t="s">
        <v>18</v>
      </c>
      <c r="K2825" s="1">
        <v>380.0</v>
      </c>
      <c r="L2825" s="1">
        <v>56.973443</v>
      </c>
      <c r="M2825" s="1">
        <v>24.1683895171948</v>
      </c>
    </row>
    <row r="2826">
      <c r="A2826" s="1" t="s">
        <v>13</v>
      </c>
      <c r="B2826" s="1" t="s">
        <v>14</v>
      </c>
      <c r="C2826" s="1" t="s">
        <v>1856</v>
      </c>
      <c r="D2826" s="1">
        <v>1.0</v>
      </c>
      <c r="E2826" s="1">
        <v>25.0</v>
      </c>
      <c r="F2826" s="1">
        <v>2.0</v>
      </c>
      <c r="G2826" s="1">
        <v>5.0</v>
      </c>
      <c r="H2826" s="1" t="s">
        <v>66</v>
      </c>
      <c r="I2826" s="1" t="s">
        <v>33</v>
      </c>
      <c r="J2826" s="1" t="s">
        <v>18</v>
      </c>
      <c r="K2826" s="1">
        <v>25.0</v>
      </c>
      <c r="L2826" s="1">
        <v>56.9697688</v>
      </c>
      <c r="M2826" s="1">
        <v>24.1782343</v>
      </c>
    </row>
    <row r="2827">
      <c r="A2827" s="1" t="s">
        <v>22</v>
      </c>
      <c r="B2827" s="1" t="s">
        <v>218</v>
      </c>
      <c r="C2827" s="1" t="s">
        <v>1857</v>
      </c>
      <c r="D2827" s="1">
        <v>4.0</v>
      </c>
      <c r="E2827" s="1">
        <v>126.0</v>
      </c>
      <c r="F2827" s="1">
        <v>4.0</v>
      </c>
      <c r="G2827" s="1">
        <v>4.0</v>
      </c>
      <c r="H2827" s="1" t="s">
        <v>36</v>
      </c>
      <c r="I2827" s="1" t="s">
        <v>33</v>
      </c>
      <c r="J2827" s="1" t="s">
        <v>18</v>
      </c>
      <c r="K2827" s="1">
        <v>220000.0</v>
      </c>
      <c r="L2827" s="1">
        <v>56.9451747</v>
      </c>
      <c r="M2827" s="1">
        <v>24.1075711</v>
      </c>
    </row>
    <row r="2828">
      <c r="A2828" s="1" t="s">
        <v>89</v>
      </c>
      <c r="B2828" s="2"/>
      <c r="C2828" s="2"/>
      <c r="D2828" s="1" t="s">
        <v>90</v>
      </c>
      <c r="E2828" s="2"/>
      <c r="F2828" s="2"/>
      <c r="G2828" s="2"/>
      <c r="H2828" s="2"/>
      <c r="I2828" s="2"/>
      <c r="J2828" s="2"/>
      <c r="K2828" s="2"/>
      <c r="L2828" s="1">
        <v>46.3144754</v>
      </c>
      <c r="M2828" s="1">
        <v>11.0480288</v>
      </c>
    </row>
    <row r="2829">
      <c r="A2829" s="1" t="s">
        <v>89</v>
      </c>
      <c r="B2829" s="1" t="s">
        <v>94</v>
      </c>
      <c r="C2829" s="2"/>
      <c r="D2829" s="1" t="s">
        <v>90</v>
      </c>
      <c r="E2829" s="2"/>
      <c r="F2829" s="2"/>
      <c r="G2829" s="2"/>
      <c r="H2829" s="2"/>
      <c r="I2829" s="2"/>
      <c r="J2829" s="2"/>
      <c r="K2829" s="2"/>
      <c r="L2829" s="1">
        <v>46.3144754</v>
      </c>
      <c r="M2829" s="1">
        <v>11.0480288</v>
      </c>
    </row>
    <row r="2830">
      <c r="A2830" s="1" t="s">
        <v>89</v>
      </c>
      <c r="B2830" s="1" t="s">
        <v>28</v>
      </c>
      <c r="C2830" s="2"/>
      <c r="D2830" s="1" t="s">
        <v>90</v>
      </c>
      <c r="E2830" s="2"/>
      <c r="F2830" s="2"/>
      <c r="G2830" s="2"/>
      <c r="H2830" s="2"/>
      <c r="I2830" s="2"/>
      <c r="J2830" s="2"/>
      <c r="K2830" s="2"/>
      <c r="L2830" s="1">
        <v>46.3144754</v>
      </c>
      <c r="M2830" s="1">
        <v>11.0480288</v>
      </c>
    </row>
    <row r="2831">
      <c r="A2831" s="1" t="s">
        <v>89</v>
      </c>
      <c r="B2831" s="1" t="s">
        <v>42</v>
      </c>
      <c r="C2831" s="2"/>
      <c r="D2831" s="1" t="s">
        <v>90</v>
      </c>
      <c r="E2831" s="2"/>
      <c r="F2831" s="2"/>
      <c r="G2831" s="2"/>
      <c r="H2831" s="2"/>
      <c r="I2831" s="2"/>
      <c r="J2831" s="2"/>
      <c r="K2831" s="2"/>
      <c r="L2831" s="1">
        <v>46.3144754</v>
      </c>
      <c r="M2831" s="1">
        <v>11.0480288</v>
      </c>
    </row>
    <row r="2832">
      <c r="A2832" s="1" t="s">
        <v>89</v>
      </c>
      <c r="B2832" s="1" t="s">
        <v>38</v>
      </c>
      <c r="C2832" s="2"/>
      <c r="D2832" s="1" t="s">
        <v>90</v>
      </c>
      <c r="E2832" s="2"/>
      <c r="F2832" s="2"/>
      <c r="G2832" s="2"/>
      <c r="H2832" s="2"/>
      <c r="I2832" s="2"/>
      <c r="J2832" s="2"/>
      <c r="K2832" s="2"/>
      <c r="L2832" s="1">
        <v>46.3144754</v>
      </c>
      <c r="M2832" s="1">
        <v>11.0480288</v>
      </c>
    </row>
    <row r="2833">
      <c r="A2833" s="1" t="s">
        <v>89</v>
      </c>
      <c r="B2833" s="1" t="s">
        <v>104</v>
      </c>
      <c r="C2833" s="2"/>
      <c r="D2833" s="1" t="s">
        <v>90</v>
      </c>
      <c r="E2833" s="2"/>
      <c r="F2833" s="2"/>
      <c r="G2833" s="2"/>
      <c r="H2833" s="2"/>
      <c r="I2833" s="2"/>
      <c r="J2833" s="2"/>
      <c r="K2833" s="2"/>
      <c r="L2833" s="1">
        <v>46.3144754</v>
      </c>
      <c r="M2833" s="1">
        <v>11.0480288</v>
      </c>
    </row>
    <row r="2834">
      <c r="A2834" s="1" t="s">
        <v>89</v>
      </c>
      <c r="B2834" s="1" t="s">
        <v>158</v>
      </c>
      <c r="C2834" s="2"/>
      <c r="D2834" s="1" t="s">
        <v>90</v>
      </c>
      <c r="E2834" s="2"/>
      <c r="F2834" s="2"/>
      <c r="G2834" s="2"/>
      <c r="H2834" s="2"/>
      <c r="I2834" s="2"/>
      <c r="J2834" s="2"/>
      <c r="K2834" s="2"/>
      <c r="L2834" s="1">
        <v>46.3144754</v>
      </c>
      <c r="M2834" s="1">
        <v>11.0480288</v>
      </c>
    </row>
    <row r="2835">
      <c r="A2835" s="1" t="s">
        <v>89</v>
      </c>
      <c r="B2835" s="1" t="s">
        <v>117</v>
      </c>
      <c r="C2835" s="2"/>
      <c r="D2835" s="1" t="s">
        <v>90</v>
      </c>
      <c r="E2835" s="2"/>
      <c r="F2835" s="2"/>
      <c r="G2835" s="2"/>
      <c r="H2835" s="2"/>
      <c r="I2835" s="2"/>
      <c r="J2835" s="2"/>
      <c r="K2835" s="2"/>
      <c r="L2835" s="1">
        <v>46.3144754</v>
      </c>
      <c r="M2835" s="1">
        <v>11.0480288</v>
      </c>
    </row>
    <row r="2836">
      <c r="A2836" s="1" t="s">
        <v>89</v>
      </c>
      <c r="B2836" s="1" t="s">
        <v>151</v>
      </c>
      <c r="C2836" s="2"/>
      <c r="D2836" s="1" t="s">
        <v>90</v>
      </c>
      <c r="E2836" s="2"/>
      <c r="F2836" s="2"/>
      <c r="G2836" s="2"/>
      <c r="H2836" s="2"/>
      <c r="I2836" s="2"/>
      <c r="J2836" s="2"/>
      <c r="K2836" s="2"/>
      <c r="L2836" s="1">
        <v>46.3144754</v>
      </c>
      <c r="M2836" s="1">
        <v>11.0480288</v>
      </c>
    </row>
    <row r="2837">
      <c r="A2837" s="1" t="s">
        <v>89</v>
      </c>
      <c r="B2837" s="1" t="s">
        <v>67</v>
      </c>
      <c r="C2837" s="2"/>
      <c r="D2837" s="1" t="s">
        <v>90</v>
      </c>
      <c r="E2837" s="2"/>
      <c r="F2837" s="2"/>
      <c r="G2837" s="2"/>
      <c r="H2837" s="2"/>
      <c r="I2837" s="2"/>
      <c r="J2837" s="2"/>
      <c r="K2837" s="2"/>
      <c r="L2837" s="1">
        <v>46.3144754</v>
      </c>
      <c r="M2837" s="1">
        <v>11.0480288</v>
      </c>
    </row>
    <row r="2838">
      <c r="A2838" s="1" t="s">
        <v>89</v>
      </c>
      <c r="B2838" s="1" t="s">
        <v>174</v>
      </c>
      <c r="C2838" s="2"/>
      <c r="D2838" s="1" t="s">
        <v>90</v>
      </c>
      <c r="E2838" s="2"/>
      <c r="F2838" s="2"/>
      <c r="G2838" s="2"/>
      <c r="H2838" s="2"/>
      <c r="I2838" s="2"/>
      <c r="J2838" s="2"/>
      <c r="K2838" s="2"/>
      <c r="L2838" s="1">
        <v>46.3144754</v>
      </c>
      <c r="M2838" s="1">
        <v>11.0480288</v>
      </c>
    </row>
    <row r="2839">
      <c r="A2839" s="1" t="s">
        <v>22</v>
      </c>
      <c r="B2839" s="1" t="s">
        <v>23</v>
      </c>
      <c r="C2839" s="1" t="s">
        <v>1570</v>
      </c>
      <c r="D2839" s="1">
        <v>3.0</v>
      </c>
      <c r="E2839" s="1">
        <v>75.0</v>
      </c>
      <c r="F2839" s="1">
        <v>2.0</v>
      </c>
      <c r="G2839" s="1">
        <v>4.0</v>
      </c>
      <c r="H2839" s="1" t="s">
        <v>25</v>
      </c>
      <c r="I2839" s="1" t="s">
        <v>33</v>
      </c>
      <c r="J2839" s="1" t="s">
        <v>18</v>
      </c>
      <c r="K2839" s="1">
        <v>95000.0</v>
      </c>
      <c r="L2839" s="1">
        <v>56.9614076999999</v>
      </c>
      <c r="M2839" s="1">
        <v>24.1394561330557</v>
      </c>
    </row>
    <row r="2840">
      <c r="A2840" s="1" t="s">
        <v>22</v>
      </c>
      <c r="B2840" s="1" t="s">
        <v>23</v>
      </c>
      <c r="C2840" s="1" t="s">
        <v>1422</v>
      </c>
      <c r="D2840" s="1">
        <v>5.0</v>
      </c>
      <c r="E2840" s="1">
        <v>140.0</v>
      </c>
      <c r="F2840" s="1">
        <v>6.0</v>
      </c>
      <c r="G2840" s="1">
        <v>6.0</v>
      </c>
      <c r="H2840" s="1" t="s">
        <v>66</v>
      </c>
      <c r="I2840" s="1" t="s">
        <v>33</v>
      </c>
      <c r="J2840" s="1" t="s">
        <v>18</v>
      </c>
      <c r="K2840" s="1">
        <v>240000.0</v>
      </c>
      <c r="L2840" s="1">
        <v>56.9552195</v>
      </c>
      <c r="M2840" s="1">
        <v>24.1262819</v>
      </c>
    </row>
    <row r="2841">
      <c r="A2841" s="1" t="s">
        <v>22</v>
      </c>
      <c r="B2841" s="1" t="s">
        <v>23</v>
      </c>
      <c r="C2841" s="1" t="s">
        <v>869</v>
      </c>
      <c r="D2841" s="1">
        <v>3.0</v>
      </c>
      <c r="E2841" s="1">
        <v>87.0</v>
      </c>
      <c r="F2841" s="1">
        <v>4.0</v>
      </c>
      <c r="G2841" s="1">
        <v>6.0</v>
      </c>
      <c r="H2841" s="1" t="s">
        <v>66</v>
      </c>
      <c r="I2841" s="1" t="s">
        <v>33</v>
      </c>
      <c r="J2841" s="1" t="s">
        <v>18</v>
      </c>
      <c r="K2841" s="1">
        <v>250000.0</v>
      </c>
      <c r="L2841" s="1">
        <v>56.9531436</v>
      </c>
      <c r="M2841" s="1">
        <v>24.1255034</v>
      </c>
    </row>
    <row r="2842">
      <c r="A2842" s="1" t="s">
        <v>22</v>
      </c>
      <c r="B2842" s="1" t="s">
        <v>23</v>
      </c>
      <c r="C2842" s="1" t="s">
        <v>1858</v>
      </c>
      <c r="D2842" s="1">
        <v>4.0</v>
      </c>
      <c r="E2842" s="1">
        <v>123.0</v>
      </c>
      <c r="F2842" s="1">
        <v>3.0</v>
      </c>
      <c r="G2842" s="1">
        <v>5.0</v>
      </c>
      <c r="H2842" s="1" t="s">
        <v>25</v>
      </c>
      <c r="I2842" s="1" t="s">
        <v>37</v>
      </c>
      <c r="J2842" s="1" t="s">
        <v>18</v>
      </c>
      <c r="K2842" s="1">
        <v>163000.0</v>
      </c>
      <c r="L2842" s="1">
        <v>56.9530173499999</v>
      </c>
      <c r="M2842" s="1">
        <v>24.1348632816502</v>
      </c>
    </row>
    <row r="2843">
      <c r="A2843" s="1" t="s">
        <v>13</v>
      </c>
      <c r="B2843" s="1" t="s">
        <v>23</v>
      </c>
      <c r="C2843" s="1" t="s">
        <v>1859</v>
      </c>
      <c r="D2843" s="1">
        <v>2.0</v>
      </c>
      <c r="E2843" s="1">
        <v>80.0</v>
      </c>
      <c r="F2843" s="1">
        <v>4.0</v>
      </c>
      <c r="G2843" s="1">
        <v>6.0</v>
      </c>
      <c r="H2843" s="1" t="s">
        <v>66</v>
      </c>
      <c r="I2843" s="1" t="s">
        <v>33</v>
      </c>
      <c r="J2843" s="1" t="s">
        <v>18</v>
      </c>
      <c r="K2843" s="1">
        <v>1000.0</v>
      </c>
      <c r="L2843" s="1">
        <v>56.9531617</v>
      </c>
      <c r="M2843" s="1">
        <v>24.119692</v>
      </c>
    </row>
    <row r="2844">
      <c r="A2844" s="1" t="s">
        <v>89</v>
      </c>
      <c r="B2844" s="1" t="s">
        <v>28</v>
      </c>
      <c r="C2844" s="2"/>
      <c r="D2844" s="1">
        <v>2.0</v>
      </c>
      <c r="E2844" s="2"/>
      <c r="F2844" s="2"/>
      <c r="G2844" s="2"/>
      <c r="H2844" s="2"/>
      <c r="I2844" s="2"/>
      <c r="J2844" s="2"/>
      <c r="K2844" s="2"/>
      <c r="L2844" s="1">
        <v>46.3144754</v>
      </c>
      <c r="M2844" s="1">
        <v>11.0480288</v>
      </c>
    </row>
    <row r="2845">
      <c r="A2845" s="1" t="s">
        <v>22</v>
      </c>
      <c r="B2845" s="1" t="s">
        <v>28</v>
      </c>
      <c r="C2845" s="1" t="s">
        <v>1860</v>
      </c>
      <c r="D2845" s="1">
        <v>2.0</v>
      </c>
      <c r="E2845" s="1">
        <v>47.0</v>
      </c>
      <c r="F2845" s="1">
        <v>4.0</v>
      </c>
      <c r="G2845" s="1">
        <v>5.0</v>
      </c>
      <c r="H2845" s="1" t="s">
        <v>16</v>
      </c>
      <c r="I2845" s="1" t="s">
        <v>21</v>
      </c>
      <c r="J2845" s="1" t="s">
        <v>18</v>
      </c>
      <c r="K2845" s="1">
        <v>41500.0</v>
      </c>
      <c r="L2845" s="1">
        <v>56.9133542</v>
      </c>
      <c r="M2845" s="1">
        <v>24.1721873525418</v>
      </c>
    </row>
    <row r="2846">
      <c r="A2846" s="1" t="s">
        <v>22</v>
      </c>
      <c r="B2846" s="1" t="s">
        <v>23</v>
      </c>
      <c r="C2846" s="1" t="s">
        <v>1501</v>
      </c>
      <c r="D2846" s="1">
        <v>1.0</v>
      </c>
      <c r="E2846" s="1">
        <v>14.0</v>
      </c>
      <c r="F2846" s="1">
        <v>3.0</v>
      </c>
      <c r="G2846" s="1">
        <v>6.0</v>
      </c>
      <c r="H2846" s="1" t="s">
        <v>66</v>
      </c>
      <c r="I2846" s="1" t="s">
        <v>33</v>
      </c>
      <c r="J2846" s="1" t="s">
        <v>18</v>
      </c>
      <c r="K2846" s="1">
        <v>45000.0</v>
      </c>
      <c r="L2846" s="1">
        <v>56.9620417</v>
      </c>
      <c r="M2846" s="1">
        <v>24.1224439</v>
      </c>
    </row>
    <row r="2847">
      <c r="A2847" s="1" t="s">
        <v>22</v>
      </c>
      <c r="B2847" s="1" t="s">
        <v>23</v>
      </c>
      <c r="C2847" s="1" t="s">
        <v>1597</v>
      </c>
      <c r="D2847" s="1">
        <v>3.0</v>
      </c>
      <c r="E2847" s="1">
        <v>82.0</v>
      </c>
      <c r="F2847" s="1">
        <v>2.0</v>
      </c>
      <c r="G2847" s="1">
        <v>5.0</v>
      </c>
      <c r="H2847" s="1" t="s">
        <v>25</v>
      </c>
      <c r="I2847" s="1" t="s">
        <v>33</v>
      </c>
      <c r="J2847" s="1" t="s">
        <v>18</v>
      </c>
      <c r="K2847" s="1">
        <v>265000.0</v>
      </c>
      <c r="L2847" s="1">
        <v>56.957715</v>
      </c>
      <c r="M2847" s="1">
        <v>24.1191109634786</v>
      </c>
    </row>
    <row r="2848">
      <c r="A2848" s="1" t="s">
        <v>13</v>
      </c>
      <c r="B2848" s="1" t="s">
        <v>50</v>
      </c>
      <c r="C2848" s="1" t="s">
        <v>1861</v>
      </c>
      <c r="D2848" s="1">
        <v>1.0</v>
      </c>
      <c r="E2848" s="1">
        <v>26.0</v>
      </c>
      <c r="F2848" s="1">
        <v>2.0</v>
      </c>
      <c r="G2848" s="1">
        <v>5.0</v>
      </c>
      <c r="H2848" s="1" t="s">
        <v>66</v>
      </c>
      <c r="I2848" s="1" t="s">
        <v>33</v>
      </c>
      <c r="J2848" s="1" t="s">
        <v>18</v>
      </c>
      <c r="K2848" s="1">
        <v>210.0</v>
      </c>
      <c r="L2848" s="1">
        <v>56.9403767999999</v>
      </c>
      <c r="M2848" s="1">
        <v>24.152561548619</v>
      </c>
    </row>
    <row r="2849">
      <c r="A2849" s="1" t="s">
        <v>13</v>
      </c>
      <c r="B2849" s="1" t="s">
        <v>129</v>
      </c>
      <c r="C2849" s="1" t="s">
        <v>1862</v>
      </c>
      <c r="D2849" s="1">
        <v>2.0</v>
      </c>
      <c r="E2849" s="1">
        <v>44.0</v>
      </c>
      <c r="F2849" s="1">
        <v>2.0</v>
      </c>
      <c r="G2849" s="1">
        <v>5.0</v>
      </c>
      <c r="H2849" s="1" t="s">
        <v>181</v>
      </c>
      <c r="I2849" s="1" t="s">
        <v>37</v>
      </c>
      <c r="J2849" s="1" t="s">
        <v>18</v>
      </c>
      <c r="K2849" s="1">
        <v>380.0</v>
      </c>
      <c r="L2849" s="1">
        <v>56.9959975999999</v>
      </c>
      <c r="M2849" s="1">
        <v>24.1236683231425</v>
      </c>
    </row>
    <row r="2850">
      <c r="A2850" s="1" t="s">
        <v>22</v>
      </c>
      <c r="B2850" s="1" t="s">
        <v>28</v>
      </c>
      <c r="C2850" s="1" t="s">
        <v>1863</v>
      </c>
      <c r="D2850" s="1">
        <v>2.0</v>
      </c>
      <c r="E2850" s="1">
        <v>48.0</v>
      </c>
      <c r="F2850" s="1">
        <v>3.0</v>
      </c>
      <c r="G2850" s="1">
        <v>5.0</v>
      </c>
      <c r="H2850" s="1" t="s">
        <v>16</v>
      </c>
      <c r="I2850" s="1" t="s">
        <v>21</v>
      </c>
      <c r="J2850" s="1" t="s">
        <v>18</v>
      </c>
      <c r="K2850" s="1">
        <v>34999.0</v>
      </c>
      <c r="L2850" s="1" t="s">
        <v>40</v>
      </c>
      <c r="M2850" s="1" t="s">
        <v>40</v>
      </c>
    </row>
    <row r="2851">
      <c r="A2851" s="1" t="s">
        <v>22</v>
      </c>
      <c r="B2851" s="1" t="s">
        <v>82</v>
      </c>
      <c r="C2851" s="1" t="s">
        <v>1864</v>
      </c>
      <c r="D2851" s="1">
        <v>1.0</v>
      </c>
      <c r="E2851" s="1">
        <v>33.0</v>
      </c>
      <c r="F2851" s="1">
        <v>1.0</v>
      </c>
      <c r="G2851" s="1">
        <v>1.0</v>
      </c>
      <c r="H2851" s="1" t="s">
        <v>25</v>
      </c>
      <c r="I2851" s="1" t="s">
        <v>37</v>
      </c>
      <c r="J2851" s="1" t="s">
        <v>18</v>
      </c>
      <c r="K2851" s="1">
        <v>46000.0</v>
      </c>
      <c r="L2851" s="1">
        <v>56.9599982</v>
      </c>
      <c r="M2851" s="1">
        <v>24.0811385254711</v>
      </c>
    </row>
    <row r="2852">
      <c r="A2852" s="1" t="s">
        <v>22</v>
      </c>
      <c r="B2852" s="1" t="s">
        <v>151</v>
      </c>
      <c r="C2852" s="1" t="s">
        <v>1865</v>
      </c>
      <c r="D2852" s="1">
        <v>2.0</v>
      </c>
      <c r="E2852" s="1">
        <v>41.0</v>
      </c>
      <c r="F2852" s="1">
        <v>5.0</v>
      </c>
      <c r="G2852" s="1">
        <v>6.0</v>
      </c>
      <c r="H2852" s="1" t="s">
        <v>44</v>
      </c>
      <c r="I2852" s="1" t="s">
        <v>37</v>
      </c>
      <c r="J2852" s="1" t="s">
        <v>18</v>
      </c>
      <c r="K2852" s="1">
        <v>39000.0</v>
      </c>
      <c r="L2852" s="1">
        <v>56.96529995</v>
      </c>
      <c r="M2852" s="1">
        <v>24.0479072840418</v>
      </c>
    </row>
    <row r="2853">
      <c r="A2853" s="1" t="s">
        <v>89</v>
      </c>
      <c r="B2853" s="1" t="s">
        <v>28</v>
      </c>
      <c r="C2853" s="2"/>
      <c r="D2853" s="1" t="s">
        <v>90</v>
      </c>
      <c r="E2853" s="2"/>
      <c r="F2853" s="2"/>
      <c r="G2853" s="2"/>
      <c r="H2853" s="2"/>
      <c r="I2853" s="2"/>
      <c r="J2853" s="2"/>
      <c r="K2853" s="2"/>
      <c r="L2853" s="1">
        <v>46.3144754</v>
      </c>
      <c r="M2853" s="1">
        <v>11.0480288</v>
      </c>
    </row>
    <row r="2854">
      <c r="A2854" s="1" t="s">
        <v>89</v>
      </c>
      <c r="B2854" s="1" t="s">
        <v>42</v>
      </c>
      <c r="C2854" s="2"/>
      <c r="D2854" s="1" t="s">
        <v>90</v>
      </c>
      <c r="E2854" s="2"/>
      <c r="F2854" s="2"/>
      <c r="G2854" s="2"/>
      <c r="H2854" s="2"/>
      <c r="I2854" s="2"/>
      <c r="J2854" s="2"/>
      <c r="K2854" s="2"/>
      <c r="L2854" s="1">
        <v>46.3144754</v>
      </c>
      <c r="M2854" s="1">
        <v>11.0480288</v>
      </c>
    </row>
    <row r="2855">
      <c r="A2855" s="1" t="s">
        <v>22</v>
      </c>
      <c r="B2855" s="1" t="s">
        <v>23</v>
      </c>
      <c r="C2855" s="1" t="s">
        <v>144</v>
      </c>
      <c r="D2855" s="1">
        <v>2.0</v>
      </c>
      <c r="E2855" s="1">
        <v>70.0</v>
      </c>
      <c r="F2855" s="1">
        <v>5.0</v>
      </c>
      <c r="G2855" s="1">
        <v>6.0</v>
      </c>
      <c r="H2855" s="1" t="s">
        <v>25</v>
      </c>
      <c r="I2855" s="1" t="s">
        <v>33</v>
      </c>
      <c r="J2855" s="1" t="s">
        <v>18</v>
      </c>
      <c r="K2855" s="1">
        <v>250000.0</v>
      </c>
      <c r="L2855" s="1">
        <v>56.96104425</v>
      </c>
      <c r="M2855" s="1">
        <v>24.0996557553473</v>
      </c>
    </row>
    <row r="2856">
      <c r="A2856" s="1" t="s">
        <v>1499</v>
      </c>
      <c r="B2856" s="1" t="s">
        <v>28</v>
      </c>
      <c r="C2856" s="1" t="s">
        <v>1707</v>
      </c>
      <c r="D2856" s="1">
        <v>3.0</v>
      </c>
      <c r="E2856" s="1">
        <v>49.0</v>
      </c>
      <c r="F2856" s="1">
        <v>2.0</v>
      </c>
      <c r="G2856" s="1">
        <v>9.0</v>
      </c>
      <c r="H2856" s="1" t="s">
        <v>66</v>
      </c>
      <c r="I2856" s="1" t="s">
        <v>122</v>
      </c>
      <c r="J2856" s="1" t="s">
        <v>18</v>
      </c>
      <c r="K2856" s="1">
        <v>53990.0</v>
      </c>
      <c r="L2856" s="1">
        <v>56.9008479999999</v>
      </c>
      <c r="M2856" s="1">
        <v>24.2053591999999</v>
      </c>
    </row>
    <row r="2857">
      <c r="A2857" s="1" t="s">
        <v>22</v>
      </c>
      <c r="B2857" s="1" t="s">
        <v>30</v>
      </c>
      <c r="C2857" s="1" t="s">
        <v>1492</v>
      </c>
      <c r="D2857" s="1">
        <v>3.0</v>
      </c>
      <c r="E2857" s="1">
        <v>59.0</v>
      </c>
      <c r="F2857" s="1">
        <v>4.0</v>
      </c>
      <c r="G2857" s="1">
        <v>5.0</v>
      </c>
      <c r="H2857" s="1" t="s">
        <v>16</v>
      </c>
      <c r="I2857" s="1" t="s">
        <v>21</v>
      </c>
      <c r="J2857" s="1" t="s">
        <v>18</v>
      </c>
      <c r="K2857" s="1">
        <v>55000.0</v>
      </c>
      <c r="L2857" s="1">
        <v>56.96372375</v>
      </c>
      <c r="M2857" s="1">
        <v>24.178713829735</v>
      </c>
    </row>
    <row r="2858">
      <c r="A2858" s="1" t="s">
        <v>22</v>
      </c>
      <c r="B2858" s="1" t="s">
        <v>19</v>
      </c>
      <c r="C2858" s="1" t="s">
        <v>1866</v>
      </c>
      <c r="D2858" s="1">
        <v>4.0</v>
      </c>
      <c r="E2858" s="1">
        <v>94.0</v>
      </c>
      <c r="F2858" s="1">
        <v>5.0</v>
      </c>
      <c r="G2858" s="1">
        <v>5.0</v>
      </c>
      <c r="H2858" s="1" t="s">
        <v>32</v>
      </c>
      <c r="I2858" s="1" t="s">
        <v>21</v>
      </c>
      <c r="J2858" s="1" t="s">
        <v>18</v>
      </c>
      <c r="K2858" s="1">
        <v>176000.0</v>
      </c>
      <c r="L2858" s="1">
        <v>56.912781</v>
      </c>
      <c r="M2858" s="1">
        <v>24.1191914534271</v>
      </c>
    </row>
    <row r="2859">
      <c r="A2859" s="1" t="s">
        <v>22</v>
      </c>
      <c r="B2859" s="1" t="s">
        <v>14</v>
      </c>
      <c r="C2859" s="1" t="s">
        <v>1867</v>
      </c>
      <c r="D2859" s="1">
        <v>1.0</v>
      </c>
      <c r="E2859" s="1">
        <v>32.0</v>
      </c>
      <c r="F2859" s="1">
        <v>4.0</v>
      </c>
      <c r="G2859" s="1">
        <v>9.0</v>
      </c>
      <c r="H2859" s="1">
        <v>602.0</v>
      </c>
      <c r="I2859" s="1" t="s">
        <v>122</v>
      </c>
      <c r="J2859" s="1" t="s">
        <v>18</v>
      </c>
      <c r="K2859" s="1">
        <v>42000.0</v>
      </c>
      <c r="L2859" s="1">
        <v>56.94351315</v>
      </c>
      <c r="M2859" s="1">
        <v>24.2248030269986</v>
      </c>
    </row>
    <row r="2860">
      <c r="A2860" s="1" t="s">
        <v>22</v>
      </c>
      <c r="B2860" s="1" t="s">
        <v>23</v>
      </c>
      <c r="C2860" s="1" t="s">
        <v>1422</v>
      </c>
      <c r="D2860" s="1">
        <v>5.0</v>
      </c>
      <c r="E2860" s="1">
        <v>139.0</v>
      </c>
      <c r="F2860" s="1">
        <v>3.0</v>
      </c>
      <c r="G2860" s="1">
        <v>6.0</v>
      </c>
      <c r="H2860" s="1" t="s">
        <v>66</v>
      </c>
      <c r="I2860" s="1" t="s">
        <v>33</v>
      </c>
      <c r="J2860" s="1" t="s">
        <v>18</v>
      </c>
      <c r="K2860" s="1">
        <v>320000.0</v>
      </c>
      <c r="L2860" s="1">
        <v>56.9552195</v>
      </c>
      <c r="M2860" s="1">
        <v>24.1262819</v>
      </c>
    </row>
    <row r="2861">
      <c r="A2861" s="1" t="s">
        <v>22</v>
      </c>
      <c r="B2861" s="1" t="s">
        <v>23</v>
      </c>
      <c r="C2861" s="1" t="s">
        <v>1868</v>
      </c>
      <c r="D2861" s="1">
        <v>1.0</v>
      </c>
      <c r="E2861" s="1">
        <v>32.0</v>
      </c>
      <c r="F2861" s="1">
        <v>3.0</v>
      </c>
      <c r="G2861" s="1">
        <v>4.0</v>
      </c>
      <c r="H2861" s="1" t="s">
        <v>181</v>
      </c>
      <c r="I2861" s="1" t="s">
        <v>37</v>
      </c>
      <c r="J2861" s="1" t="s">
        <v>18</v>
      </c>
      <c r="K2861" s="1">
        <v>48900.0</v>
      </c>
      <c r="L2861" s="1">
        <v>56.957651</v>
      </c>
      <c r="M2861" s="1">
        <v>24.1345779478904</v>
      </c>
    </row>
    <row r="2862">
      <c r="A2862" s="1" t="s">
        <v>22</v>
      </c>
      <c r="B2862" s="1" t="s">
        <v>30</v>
      </c>
      <c r="C2862" s="1" t="s">
        <v>283</v>
      </c>
      <c r="D2862" s="1">
        <v>2.0</v>
      </c>
      <c r="E2862" s="1">
        <v>47.0</v>
      </c>
      <c r="F2862" s="1">
        <v>2.0</v>
      </c>
      <c r="G2862" s="1">
        <v>5.0</v>
      </c>
      <c r="H2862" s="1" t="s">
        <v>36</v>
      </c>
      <c r="I2862" s="1" t="s">
        <v>37</v>
      </c>
      <c r="J2862" s="1" t="s">
        <v>18</v>
      </c>
      <c r="K2862" s="1">
        <v>47000.0</v>
      </c>
      <c r="L2862" s="1">
        <v>56.97918625</v>
      </c>
      <c r="M2862" s="1">
        <v>24.1706639381423</v>
      </c>
    </row>
    <row r="2863">
      <c r="A2863" s="1" t="s">
        <v>13</v>
      </c>
      <c r="B2863" s="1" t="s">
        <v>23</v>
      </c>
      <c r="C2863" s="1" t="s">
        <v>1493</v>
      </c>
      <c r="D2863" s="1">
        <v>2.0</v>
      </c>
      <c r="E2863" s="1">
        <v>53.0</v>
      </c>
      <c r="F2863" s="1">
        <v>3.0</v>
      </c>
      <c r="G2863" s="1">
        <v>5.0</v>
      </c>
      <c r="H2863" s="1" t="s">
        <v>25</v>
      </c>
      <c r="I2863" s="1" t="s">
        <v>33</v>
      </c>
      <c r="J2863" s="1" t="s">
        <v>18</v>
      </c>
      <c r="K2863" s="1">
        <v>450.0</v>
      </c>
      <c r="L2863" s="1">
        <v>56.94400335</v>
      </c>
      <c r="M2863" s="1">
        <v>24.125780302131</v>
      </c>
    </row>
    <row r="2864">
      <c r="A2864" s="1" t="s">
        <v>22</v>
      </c>
      <c r="B2864" s="1" t="s">
        <v>94</v>
      </c>
      <c r="C2864" s="1" t="s">
        <v>1869</v>
      </c>
      <c r="D2864" s="1">
        <v>1.0</v>
      </c>
      <c r="E2864" s="1">
        <v>26.0</v>
      </c>
      <c r="F2864" s="1">
        <v>2.0</v>
      </c>
      <c r="G2864" s="1">
        <v>2.0</v>
      </c>
      <c r="H2864" s="1" t="s">
        <v>25</v>
      </c>
      <c r="I2864" s="1" t="s">
        <v>26</v>
      </c>
      <c r="J2864" s="1" t="s">
        <v>27</v>
      </c>
      <c r="K2864" s="1">
        <v>12700.0</v>
      </c>
      <c r="L2864" s="1">
        <v>56.926804</v>
      </c>
      <c r="M2864" s="1">
        <v>24.1697312016684</v>
      </c>
    </row>
    <row r="2865">
      <c r="A2865" s="1" t="s">
        <v>22</v>
      </c>
      <c r="B2865" s="1" t="s">
        <v>23</v>
      </c>
      <c r="C2865" s="1" t="s">
        <v>1222</v>
      </c>
      <c r="D2865" s="1">
        <v>3.0</v>
      </c>
      <c r="E2865" s="1">
        <v>72.0</v>
      </c>
      <c r="F2865" s="1">
        <v>3.0</v>
      </c>
      <c r="G2865" s="1">
        <v>5.0</v>
      </c>
      <c r="H2865" s="1" t="s">
        <v>66</v>
      </c>
      <c r="I2865" s="1" t="s">
        <v>33</v>
      </c>
      <c r="J2865" s="1" t="s">
        <v>18</v>
      </c>
      <c r="K2865" s="1">
        <v>141400.0</v>
      </c>
      <c r="L2865" s="1">
        <v>56.95652115</v>
      </c>
      <c r="M2865" s="1">
        <v>24.1476809000188</v>
      </c>
    </row>
    <row r="2866">
      <c r="A2866" s="1" t="s">
        <v>22</v>
      </c>
      <c r="B2866" s="1" t="s">
        <v>422</v>
      </c>
      <c r="C2866" s="1" t="s">
        <v>1870</v>
      </c>
      <c r="D2866" s="1">
        <v>2.0</v>
      </c>
      <c r="E2866" s="1">
        <v>53.0</v>
      </c>
      <c r="F2866" s="1">
        <v>2.0</v>
      </c>
      <c r="G2866" s="1">
        <v>2.0</v>
      </c>
      <c r="H2866" s="1" t="s">
        <v>66</v>
      </c>
      <c r="I2866" s="1" t="s">
        <v>26</v>
      </c>
      <c r="J2866" s="1" t="s">
        <v>18</v>
      </c>
      <c r="K2866" s="1">
        <v>65000.0</v>
      </c>
      <c r="L2866" s="1">
        <v>56.9418126</v>
      </c>
      <c r="M2866" s="1">
        <v>24.038539163099</v>
      </c>
    </row>
    <row r="2867">
      <c r="A2867" s="1" t="s">
        <v>22</v>
      </c>
      <c r="B2867" s="1" t="s">
        <v>23</v>
      </c>
      <c r="C2867" s="1" t="s">
        <v>1871</v>
      </c>
      <c r="D2867" s="1">
        <v>2.0</v>
      </c>
      <c r="E2867" s="1">
        <v>57.0</v>
      </c>
      <c r="F2867" s="1">
        <v>1.0</v>
      </c>
      <c r="G2867" s="1">
        <v>6.0</v>
      </c>
      <c r="H2867" s="1" t="s">
        <v>25</v>
      </c>
      <c r="I2867" s="1" t="s">
        <v>33</v>
      </c>
      <c r="J2867" s="1" t="s">
        <v>18</v>
      </c>
      <c r="K2867" s="1">
        <v>54900.0</v>
      </c>
      <c r="L2867" s="1">
        <v>56.9650449</v>
      </c>
      <c r="M2867" s="1">
        <v>24.1258164562245</v>
      </c>
    </row>
    <row r="2868">
      <c r="A2868" s="1" t="s">
        <v>22</v>
      </c>
      <c r="B2868" s="1" t="s">
        <v>60</v>
      </c>
      <c r="C2868" s="1" t="s">
        <v>61</v>
      </c>
      <c r="D2868" s="1">
        <v>1.0</v>
      </c>
      <c r="E2868" s="1">
        <v>35.0</v>
      </c>
      <c r="F2868" s="1">
        <v>4.0</v>
      </c>
      <c r="G2868" s="1">
        <v>5.0</v>
      </c>
      <c r="H2868" s="1" t="s">
        <v>44</v>
      </c>
      <c r="I2868" s="1" t="s">
        <v>17</v>
      </c>
      <c r="J2868" s="1" t="s">
        <v>18</v>
      </c>
      <c r="K2868" s="1">
        <v>23000.0</v>
      </c>
      <c r="L2868" s="1">
        <v>57.02965155</v>
      </c>
      <c r="M2868" s="1">
        <v>24.0359751945236</v>
      </c>
    </row>
    <row r="2869">
      <c r="A2869" s="1" t="s">
        <v>22</v>
      </c>
      <c r="B2869" s="1" t="s">
        <v>76</v>
      </c>
      <c r="C2869" s="1" t="s">
        <v>77</v>
      </c>
      <c r="D2869" s="1">
        <v>2.0</v>
      </c>
      <c r="E2869" s="1">
        <v>37.4</v>
      </c>
      <c r="F2869" s="1">
        <v>4.0</v>
      </c>
      <c r="G2869" s="1">
        <v>5.0</v>
      </c>
      <c r="H2869" s="1" t="s">
        <v>16</v>
      </c>
      <c r="I2869" s="1" t="s">
        <v>21</v>
      </c>
      <c r="J2869" s="1" t="s">
        <v>18</v>
      </c>
      <c r="K2869" s="1">
        <v>37000.0</v>
      </c>
      <c r="L2869" s="1">
        <v>56.95770335</v>
      </c>
      <c r="M2869" s="1">
        <v>24.0505207014209</v>
      </c>
    </row>
    <row r="2870">
      <c r="A2870" s="1" t="s">
        <v>13</v>
      </c>
      <c r="B2870" s="1" t="s">
        <v>23</v>
      </c>
      <c r="C2870" s="1" t="s">
        <v>741</v>
      </c>
      <c r="D2870" s="1">
        <v>2.0</v>
      </c>
      <c r="E2870" s="1">
        <v>50.0</v>
      </c>
      <c r="F2870" s="1">
        <v>2.0</v>
      </c>
      <c r="G2870" s="1">
        <v>5.0</v>
      </c>
      <c r="H2870" s="1" t="s">
        <v>25</v>
      </c>
      <c r="I2870" s="1" t="s">
        <v>37</v>
      </c>
      <c r="J2870" s="1" t="s">
        <v>18</v>
      </c>
      <c r="K2870" s="1">
        <v>800.0</v>
      </c>
      <c r="L2870" s="1">
        <v>56.949924</v>
      </c>
      <c r="M2870" s="1">
        <v>24.1206586</v>
      </c>
    </row>
    <row r="2871">
      <c r="A2871" s="1" t="s">
        <v>22</v>
      </c>
      <c r="B2871" s="1" t="s">
        <v>14</v>
      </c>
      <c r="C2871" s="1" t="s">
        <v>991</v>
      </c>
      <c r="D2871" s="1">
        <v>3.0</v>
      </c>
      <c r="E2871" s="1">
        <v>88.0</v>
      </c>
      <c r="F2871" s="1">
        <v>6.0</v>
      </c>
      <c r="G2871" s="1">
        <v>6.0</v>
      </c>
      <c r="H2871" s="1" t="s">
        <v>32</v>
      </c>
      <c r="I2871" s="1" t="s">
        <v>21</v>
      </c>
      <c r="J2871" s="1" t="s">
        <v>18</v>
      </c>
      <c r="K2871" s="1">
        <v>164373.0</v>
      </c>
      <c r="L2871" s="1">
        <v>56.9651554999999</v>
      </c>
      <c r="M2871" s="1">
        <v>24.1783224911961</v>
      </c>
    </row>
    <row r="2872">
      <c r="A2872" s="1" t="s">
        <v>22</v>
      </c>
      <c r="B2872" s="1" t="s">
        <v>14</v>
      </c>
      <c r="C2872" s="1" t="s">
        <v>991</v>
      </c>
      <c r="D2872" s="1">
        <v>3.0</v>
      </c>
      <c r="E2872" s="1">
        <v>79.8</v>
      </c>
      <c r="F2872" s="1">
        <v>2.0</v>
      </c>
      <c r="G2872" s="1">
        <v>6.0</v>
      </c>
      <c r="H2872" s="1" t="s">
        <v>32</v>
      </c>
      <c r="I2872" s="1" t="s">
        <v>21</v>
      </c>
      <c r="J2872" s="1" t="s">
        <v>18</v>
      </c>
      <c r="K2872" s="1">
        <v>149226.0</v>
      </c>
      <c r="L2872" s="1">
        <v>56.9651554999999</v>
      </c>
      <c r="M2872" s="1">
        <v>24.1783224911961</v>
      </c>
    </row>
    <row r="2873">
      <c r="A2873" s="1" t="s">
        <v>22</v>
      </c>
      <c r="B2873" s="1" t="s">
        <v>14</v>
      </c>
      <c r="C2873" s="1" t="s">
        <v>991</v>
      </c>
      <c r="D2873" s="1">
        <v>3.0</v>
      </c>
      <c r="E2873" s="1">
        <v>87.0</v>
      </c>
      <c r="F2873" s="1">
        <v>2.0</v>
      </c>
      <c r="G2873" s="1">
        <v>6.0</v>
      </c>
      <c r="H2873" s="1" t="s">
        <v>32</v>
      </c>
      <c r="I2873" s="1" t="s">
        <v>21</v>
      </c>
      <c r="J2873" s="1" t="s">
        <v>18</v>
      </c>
      <c r="K2873" s="1">
        <v>170871.0</v>
      </c>
      <c r="L2873" s="1">
        <v>56.9651554999999</v>
      </c>
      <c r="M2873" s="1">
        <v>24.1783224911961</v>
      </c>
    </row>
    <row r="2874">
      <c r="A2874" s="1" t="s">
        <v>22</v>
      </c>
      <c r="B2874" s="1" t="s">
        <v>14</v>
      </c>
      <c r="C2874" s="1" t="s">
        <v>991</v>
      </c>
      <c r="D2874" s="1">
        <v>3.0</v>
      </c>
      <c r="E2874" s="1">
        <v>88.4</v>
      </c>
      <c r="F2874" s="1">
        <v>6.0</v>
      </c>
      <c r="G2874" s="1">
        <v>6.0</v>
      </c>
      <c r="H2874" s="1" t="s">
        <v>32</v>
      </c>
      <c r="I2874" s="1" t="s">
        <v>21</v>
      </c>
      <c r="J2874" s="1" t="s">
        <v>18</v>
      </c>
      <c r="K2874" s="1">
        <v>165308.0</v>
      </c>
      <c r="L2874" s="1">
        <v>56.9651554999999</v>
      </c>
      <c r="M2874" s="1">
        <v>24.1783224911961</v>
      </c>
    </row>
    <row r="2875">
      <c r="A2875" s="1" t="s">
        <v>13</v>
      </c>
      <c r="B2875" s="1" t="s">
        <v>218</v>
      </c>
      <c r="C2875" s="1" t="s">
        <v>1872</v>
      </c>
      <c r="D2875" s="1">
        <v>2.0</v>
      </c>
      <c r="E2875" s="1">
        <v>64.0</v>
      </c>
      <c r="F2875" s="1">
        <v>5.0</v>
      </c>
      <c r="G2875" s="1">
        <v>6.0</v>
      </c>
      <c r="H2875" s="1" t="s">
        <v>66</v>
      </c>
      <c r="I2875" s="1" t="s">
        <v>33</v>
      </c>
      <c r="J2875" s="1" t="s">
        <v>18</v>
      </c>
      <c r="K2875" s="1">
        <v>49.0</v>
      </c>
      <c r="L2875" s="1">
        <v>56.9521409</v>
      </c>
      <c r="M2875" s="1">
        <v>24.1137239</v>
      </c>
    </row>
    <row r="2876">
      <c r="A2876" s="1" t="s">
        <v>13</v>
      </c>
      <c r="B2876" s="1" t="s">
        <v>14</v>
      </c>
      <c r="C2876" s="1" t="s">
        <v>991</v>
      </c>
      <c r="D2876" s="1">
        <v>3.0</v>
      </c>
      <c r="E2876" s="1">
        <v>91.0</v>
      </c>
      <c r="F2876" s="1">
        <v>2.0</v>
      </c>
      <c r="G2876" s="1">
        <v>6.0</v>
      </c>
      <c r="H2876" s="1" t="s">
        <v>32</v>
      </c>
      <c r="I2876" s="1" t="s">
        <v>21</v>
      </c>
      <c r="J2876" s="1" t="s">
        <v>18</v>
      </c>
      <c r="K2876" s="1">
        <v>890.0</v>
      </c>
      <c r="L2876" s="1">
        <v>56.9651554999999</v>
      </c>
      <c r="M2876" s="1">
        <v>24.1783224911961</v>
      </c>
    </row>
    <row r="2877">
      <c r="A2877" s="1" t="s">
        <v>22</v>
      </c>
      <c r="B2877" s="1" t="s">
        <v>14</v>
      </c>
      <c r="C2877" s="1" t="s">
        <v>991</v>
      </c>
      <c r="D2877" s="1">
        <v>4.0</v>
      </c>
      <c r="E2877" s="1">
        <v>107.5</v>
      </c>
      <c r="F2877" s="1">
        <v>5.0</v>
      </c>
      <c r="G2877" s="1">
        <v>6.0</v>
      </c>
      <c r="H2877" s="1" t="s">
        <v>32</v>
      </c>
      <c r="I2877" s="1" t="s">
        <v>21</v>
      </c>
      <c r="J2877" s="1" t="s">
        <v>18</v>
      </c>
      <c r="K2877" s="1">
        <v>206000.0</v>
      </c>
      <c r="L2877" s="1">
        <v>56.9651554999999</v>
      </c>
      <c r="M2877" s="1">
        <v>24.1783224911961</v>
      </c>
    </row>
    <row r="2878">
      <c r="A2878" s="1" t="s">
        <v>22</v>
      </c>
      <c r="B2878" s="1" t="s">
        <v>28</v>
      </c>
      <c r="C2878" s="1" t="s">
        <v>1873</v>
      </c>
      <c r="D2878" s="1">
        <v>1.0</v>
      </c>
      <c r="E2878" s="1">
        <v>17.0</v>
      </c>
      <c r="F2878" s="1">
        <v>1.0</v>
      </c>
      <c r="G2878" s="1">
        <v>4.0</v>
      </c>
      <c r="H2878" s="1" t="s">
        <v>181</v>
      </c>
      <c r="I2878" s="1" t="s">
        <v>33</v>
      </c>
      <c r="J2878" s="1" t="s">
        <v>18</v>
      </c>
      <c r="K2878" s="1">
        <v>7890.0</v>
      </c>
      <c r="L2878" s="1">
        <v>56.8597884</v>
      </c>
      <c r="M2878" s="1">
        <v>24.3083417</v>
      </c>
    </row>
    <row r="2879">
      <c r="A2879" s="1" t="s">
        <v>22</v>
      </c>
      <c r="B2879" s="1" t="s">
        <v>422</v>
      </c>
      <c r="C2879" s="1" t="s">
        <v>1596</v>
      </c>
      <c r="D2879" s="1">
        <v>4.0</v>
      </c>
      <c r="E2879" s="1">
        <v>98.0</v>
      </c>
      <c r="F2879" s="1">
        <v>2.0</v>
      </c>
      <c r="G2879" s="1">
        <v>5.0</v>
      </c>
      <c r="H2879" s="1" t="s">
        <v>36</v>
      </c>
      <c r="I2879" s="1" t="s">
        <v>17</v>
      </c>
      <c r="J2879" s="1" t="s">
        <v>18</v>
      </c>
      <c r="K2879" s="1">
        <v>120000.0</v>
      </c>
      <c r="L2879" s="1">
        <v>56.9394231</v>
      </c>
      <c r="M2879" s="1">
        <v>24.0359489118193</v>
      </c>
    </row>
    <row r="2880">
      <c r="A2880" s="1" t="s">
        <v>22</v>
      </c>
      <c r="B2880" s="1" t="s">
        <v>14</v>
      </c>
      <c r="C2880" s="1" t="s">
        <v>991</v>
      </c>
      <c r="D2880" s="1">
        <v>3.0</v>
      </c>
      <c r="E2880" s="1">
        <v>67.0</v>
      </c>
      <c r="F2880" s="1">
        <v>3.0</v>
      </c>
      <c r="G2880" s="1">
        <v>6.0</v>
      </c>
      <c r="H2880" s="1" t="s">
        <v>32</v>
      </c>
      <c r="I2880" s="1" t="s">
        <v>21</v>
      </c>
      <c r="J2880" s="1" t="s">
        <v>18</v>
      </c>
      <c r="K2880" s="1">
        <v>135000.0</v>
      </c>
      <c r="L2880" s="1">
        <v>56.9651554999999</v>
      </c>
      <c r="M2880" s="1">
        <v>24.1783224911961</v>
      </c>
    </row>
    <row r="2881">
      <c r="A2881" s="1" t="s">
        <v>22</v>
      </c>
      <c r="B2881" s="1" t="s">
        <v>23</v>
      </c>
      <c r="C2881" s="1" t="s">
        <v>810</v>
      </c>
      <c r="D2881" s="1">
        <v>2.0</v>
      </c>
      <c r="E2881" s="1">
        <v>56.0</v>
      </c>
      <c r="F2881" s="1">
        <v>2.0</v>
      </c>
      <c r="G2881" s="1">
        <v>7.0</v>
      </c>
      <c r="H2881" s="1" t="s">
        <v>32</v>
      </c>
      <c r="I2881" s="1" t="s">
        <v>17</v>
      </c>
      <c r="J2881" s="1" t="s">
        <v>18</v>
      </c>
      <c r="K2881" s="1">
        <v>108000.0</v>
      </c>
      <c r="L2881" s="1">
        <v>56.9684979</v>
      </c>
      <c r="M2881" s="1">
        <v>24.1467035</v>
      </c>
    </row>
    <row r="2882">
      <c r="A2882" s="1" t="s">
        <v>89</v>
      </c>
      <c r="B2882" s="1" t="s">
        <v>30</v>
      </c>
      <c r="C2882" s="2"/>
      <c r="D2882" s="1" t="s">
        <v>90</v>
      </c>
      <c r="E2882" s="2"/>
      <c r="F2882" s="2"/>
      <c r="G2882" s="2"/>
      <c r="H2882" s="2"/>
      <c r="I2882" s="2"/>
      <c r="J2882" s="2"/>
      <c r="K2882" s="2"/>
      <c r="L2882" s="1">
        <v>46.3144754</v>
      </c>
      <c r="M2882" s="1">
        <v>11.0480288</v>
      </c>
    </row>
    <row r="2883">
      <c r="A2883" s="1" t="s">
        <v>13</v>
      </c>
      <c r="B2883" s="1" t="s">
        <v>23</v>
      </c>
      <c r="C2883" s="1" t="s">
        <v>674</v>
      </c>
      <c r="D2883" s="1">
        <v>1.0</v>
      </c>
      <c r="E2883" s="1">
        <v>38.0</v>
      </c>
      <c r="F2883" s="1">
        <v>2.0</v>
      </c>
      <c r="G2883" s="1">
        <v>9.0</v>
      </c>
      <c r="H2883" s="1" t="s">
        <v>32</v>
      </c>
      <c r="I2883" s="1" t="s">
        <v>21</v>
      </c>
      <c r="J2883" s="1" t="s">
        <v>18</v>
      </c>
      <c r="K2883" s="1">
        <v>420.0</v>
      </c>
      <c r="L2883" s="1">
        <v>56.97650505</v>
      </c>
      <c r="M2883" s="1">
        <v>24.1464958357009</v>
      </c>
    </row>
    <row r="2884">
      <c r="A2884" s="1" t="s">
        <v>89</v>
      </c>
      <c r="B2884" s="1" t="s">
        <v>96</v>
      </c>
      <c r="C2884" s="2"/>
      <c r="D2884" s="1" t="s">
        <v>90</v>
      </c>
      <c r="E2884" s="2"/>
      <c r="F2884" s="2"/>
      <c r="G2884" s="2"/>
      <c r="H2884" s="2"/>
      <c r="I2884" s="2"/>
      <c r="J2884" s="2"/>
      <c r="K2884" s="2"/>
      <c r="L2884" s="1">
        <v>46.3144754</v>
      </c>
      <c r="M2884" s="1">
        <v>11.0480288</v>
      </c>
    </row>
    <row r="2885">
      <c r="A2885" s="1" t="s">
        <v>22</v>
      </c>
      <c r="B2885" s="1" t="s">
        <v>117</v>
      </c>
      <c r="C2885" s="1" t="s">
        <v>1874</v>
      </c>
      <c r="D2885" s="1">
        <v>1.0</v>
      </c>
      <c r="E2885" s="1">
        <v>28.0</v>
      </c>
      <c r="F2885" s="1">
        <v>2.0</v>
      </c>
      <c r="G2885" s="1">
        <v>2.0</v>
      </c>
      <c r="H2885" s="1" t="s">
        <v>25</v>
      </c>
      <c r="I2885" s="1" t="s">
        <v>37</v>
      </c>
      <c r="J2885" s="1" t="s">
        <v>18</v>
      </c>
      <c r="K2885" s="1">
        <v>18890.0</v>
      </c>
      <c r="L2885" s="1" t="s">
        <v>40</v>
      </c>
      <c r="M2885" s="1" t="s">
        <v>40</v>
      </c>
    </row>
    <row r="2886">
      <c r="A2886" s="1" t="s">
        <v>22</v>
      </c>
      <c r="B2886" s="1" t="s">
        <v>38</v>
      </c>
      <c r="C2886" s="1" t="s">
        <v>1875</v>
      </c>
      <c r="D2886" s="1">
        <v>3.0</v>
      </c>
      <c r="E2886" s="1">
        <v>66.0</v>
      </c>
      <c r="F2886" s="1">
        <v>5.0</v>
      </c>
      <c r="G2886" s="1">
        <v>5.0</v>
      </c>
      <c r="H2886" s="1" t="s">
        <v>16</v>
      </c>
      <c r="I2886" s="1" t="s">
        <v>21</v>
      </c>
      <c r="J2886" s="1" t="s">
        <v>18</v>
      </c>
      <c r="K2886" s="1">
        <v>63000.0</v>
      </c>
      <c r="L2886" s="1" t="s">
        <v>40</v>
      </c>
      <c r="M2886" s="1" t="s">
        <v>40</v>
      </c>
    </row>
    <row r="2887">
      <c r="A2887" s="1" t="s">
        <v>89</v>
      </c>
      <c r="B2887" s="1" t="s">
        <v>109</v>
      </c>
      <c r="C2887" s="2"/>
      <c r="D2887" s="1" t="s">
        <v>90</v>
      </c>
      <c r="E2887" s="2"/>
      <c r="F2887" s="2"/>
      <c r="G2887" s="2"/>
      <c r="H2887" s="2"/>
      <c r="I2887" s="2"/>
      <c r="J2887" s="2"/>
      <c r="K2887" s="2"/>
      <c r="L2887" s="1">
        <v>46.3144754</v>
      </c>
      <c r="M2887" s="1">
        <v>11.0480288</v>
      </c>
    </row>
    <row r="2888">
      <c r="A2888" s="1" t="s">
        <v>22</v>
      </c>
      <c r="B2888" s="1" t="s">
        <v>151</v>
      </c>
      <c r="C2888" s="1" t="s">
        <v>1876</v>
      </c>
      <c r="D2888" s="1">
        <v>2.0</v>
      </c>
      <c r="E2888" s="1">
        <v>50.0</v>
      </c>
      <c r="F2888" s="1">
        <v>5.0</v>
      </c>
      <c r="G2888" s="1">
        <v>9.0</v>
      </c>
      <c r="H2888" s="1">
        <v>467.0</v>
      </c>
      <c r="I2888" s="1" t="s">
        <v>21</v>
      </c>
      <c r="J2888" s="1" t="s">
        <v>18</v>
      </c>
      <c r="K2888" s="1">
        <v>42300.0</v>
      </c>
      <c r="L2888" s="1">
        <v>56.9623515</v>
      </c>
      <c r="M2888" s="1">
        <v>24.053733811965</v>
      </c>
    </row>
    <row r="2889">
      <c r="A2889" s="1" t="s">
        <v>13</v>
      </c>
      <c r="B2889" s="1" t="s">
        <v>23</v>
      </c>
      <c r="C2889" s="1" t="s">
        <v>1877</v>
      </c>
      <c r="D2889" s="1">
        <v>1.0</v>
      </c>
      <c r="E2889" s="1">
        <v>29.0</v>
      </c>
      <c r="F2889" s="1">
        <v>3.0</v>
      </c>
      <c r="G2889" s="1">
        <v>5.0</v>
      </c>
      <c r="H2889" s="1" t="s">
        <v>25</v>
      </c>
      <c r="I2889" s="1" t="s">
        <v>33</v>
      </c>
      <c r="J2889" s="1" t="s">
        <v>18</v>
      </c>
      <c r="K2889" s="1">
        <v>150.0</v>
      </c>
      <c r="L2889" s="1">
        <v>56.9513816</v>
      </c>
      <c r="M2889" s="1">
        <v>24.1289619</v>
      </c>
    </row>
    <row r="2890">
      <c r="A2890" s="1" t="s">
        <v>13</v>
      </c>
      <c r="B2890" s="1" t="s">
        <v>50</v>
      </c>
      <c r="C2890" s="1" t="s">
        <v>822</v>
      </c>
      <c r="D2890" s="1">
        <v>1.0</v>
      </c>
      <c r="E2890" s="1">
        <v>40.0</v>
      </c>
      <c r="F2890" s="1">
        <v>2.0</v>
      </c>
      <c r="G2890" s="1">
        <v>5.0</v>
      </c>
      <c r="H2890" s="1" t="s">
        <v>25</v>
      </c>
      <c r="I2890" s="1" t="s">
        <v>33</v>
      </c>
      <c r="J2890" s="1" t="s">
        <v>18</v>
      </c>
      <c r="K2890" s="1">
        <v>290.0</v>
      </c>
      <c r="L2890" s="1">
        <v>56.9383325999999</v>
      </c>
      <c r="M2890" s="1">
        <v>24.1558851119791</v>
      </c>
    </row>
    <row r="2891">
      <c r="A2891" s="1" t="s">
        <v>22</v>
      </c>
      <c r="B2891" s="1" t="s">
        <v>134</v>
      </c>
      <c r="C2891" s="1" t="s">
        <v>1878</v>
      </c>
      <c r="D2891" s="1">
        <v>3.0</v>
      </c>
      <c r="E2891" s="1">
        <v>67.0</v>
      </c>
      <c r="F2891" s="1">
        <v>5.0</v>
      </c>
      <c r="G2891" s="1">
        <v>5.0</v>
      </c>
      <c r="H2891" s="1">
        <v>103.0</v>
      </c>
      <c r="I2891" s="1" t="s">
        <v>17</v>
      </c>
      <c r="J2891" s="1" t="s">
        <v>18</v>
      </c>
      <c r="K2891" s="1">
        <v>45000.0</v>
      </c>
      <c r="L2891" s="1">
        <v>57.0420376</v>
      </c>
      <c r="M2891" s="1">
        <v>24.0328874</v>
      </c>
    </row>
    <row r="2892">
      <c r="A2892" s="1" t="s">
        <v>13</v>
      </c>
      <c r="B2892" s="1" t="s">
        <v>23</v>
      </c>
      <c r="C2892" s="1" t="s">
        <v>657</v>
      </c>
      <c r="D2892" s="1">
        <v>2.0</v>
      </c>
      <c r="E2892" s="1">
        <v>54.0</v>
      </c>
      <c r="F2892" s="1">
        <v>4.0</v>
      </c>
      <c r="G2892" s="1">
        <v>5.0</v>
      </c>
      <c r="H2892" s="1" t="s">
        <v>36</v>
      </c>
      <c r="I2892" s="1" t="s">
        <v>33</v>
      </c>
      <c r="J2892" s="1" t="s">
        <v>18</v>
      </c>
      <c r="K2892" s="1">
        <v>590.0</v>
      </c>
      <c r="L2892" s="1">
        <v>56.9584801</v>
      </c>
      <c r="M2892" s="1">
        <v>24.1222427</v>
      </c>
    </row>
    <row r="2893">
      <c r="A2893" s="1" t="s">
        <v>13</v>
      </c>
      <c r="B2893" s="1" t="s">
        <v>104</v>
      </c>
      <c r="C2893" s="1" t="s">
        <v>415</v>
      </c>
      <c r="D2893" s="1">
        <v>3.0</v>
      </c>
      <c r="E2893" s="1">
        <v>110.0</v>
      </c>
      <c r="F2893" s="1">
        <v>2.0</v>
      </c>
      <c r="G2893" s="1">
        <v>5.0</v>
      </c>
      <c r="H2893" s="1" t="s">
        <v>32</v>
      </c>
      <c r="I2893" s="1" t="s">
        <v>17</v>
      </c>
      <c r="J2893" s="1" t="s">
        <v>18</v>
      </c>
      <c r="K2893" s="1">
        <v>1100.0</v>
      </c>
      <c r="L2893" s="1">
        <v>56.94553165</v>
      </c>
      <c r="M2893" s="1">
        <v>24.092327378378</v>
      </c>
    </row>
    <row r="2894">
      <c r="A2894" s="1" t="s">
        <v>89</v>
      </c>
      <c r="B2894" s="1" t="s">
        <v>151</v>
      </c>
      <c r="C2894" s="2"/>
      <c r="D2894" s="1">
        <v>2.0</v>
      </c>
      <c r="E2894" s="2"/>
      <c r="F2894" s="2"/>
      <c r="G2894" s="2"/>
      <c r="H2894" s="2"/>
      <c r="I2894" s="2"/>
      <c r="J2894" s="2"/>
      <c r="K2894" s="2"/>
      <c r="L2894" s="1">
        <v>46.3144754</v>
      </c>
      <c r="M2894" s="1">
        <v>11.0480288</v>
      </c>
    </row>
    <row r="2895">
      <c r="A2895" s="1" t="s">
        <v>22</v>
      </c>
      <c r="B2895" s="1" t="s">
        <v>74</v>
      </c>
      <c r="C2895" s="1" t="s">
        <v>1879</v>
      </c>
      <c r="D2895" s="1">
        <v>1.0</v>
      </c>
      <c r="E2895" s="1">
        <v>40.0</v>
      </c>
      <c r="F2895" s="1">
        <v>2.0</v>
      </c>
      <c r="G2895" s="1">
        <v>9.0</v>
      </c>
      <c r="H2895" s="1" t="s">
        <v>57</v>
      </c>
      <c r="I2895" s="1" t="s">
        <v>21</v>
      </c>
      <c r="J2895" s="1" t="s">
        <v>18</v>
      </c>
      <c r="K2895" s="1">
        <v>41500.0</v>
      </c>
      <c r="L2895" s="1">
        <v>56.94116275</v>
      </c>
      <c r="M2895" s="1">
        <v>24.2125698528788</v>
      </c>
    </row>
    <row r="2896">
      <c r="A2896" s="1" t="s">
        <v>89</v>
      </c>
      <c r="B2896" s="1" t="s">
        <v>94</v>
      </c>
      <c r="C2896" s="2"/>
      <c r="D2896" s="1">
        <v>2.0</v>
      </c>
      <c r="E2896" s="2"/>
      <c r="F2896" s="2"/>
      <c r="G2896" s="2"/>
      <c r="H2896" s="2"/>
      <c r="I2896" s="2"/>
      <c r="J2896" s="1" t="s">
        <v>18</v>
      </c>
      <c r="K2896" s="2"/>
      <c r="L2896" s="1">
        <v>46.3144754</v>
      </c>
      <c r="M2896" s="1">
        <v>11.0480288</v>
      </c>
    </row>
    <row r="2897">
      <c r="A2897" s="1" t="s">
        <v>89</v>
      </c>
      <c r="B2897" s="1" t="s">
        <v>174</v>
      </c>
      <c r="C2897" s="2"/>
      <c r="D2897" s="1">
        <v>2.0</v>
      </c>
      <c r="E2897" s="2"/>
      <c r="F2897" s="2"/>
      <c r="G2897" s="2"/>
      <c r="H2897" s="2"/>
      <c r="I2897" s="2"/>
      <c r="J2897" s="2"/>
      <c r="K2897" s="2"/>
      <c r="L2897" s="1">
        <v>46.3144754</v>
      </c>
      <c r="M2897" s="1">
        <v>11.0480288</v>
      </c>
    </row>
    <row r="2898">
      <c r="A2898" s="1" t="s">
        <v>89</v>
      </c>
      <c r="B2898" s="1" t="s">
        <v>218</v>
      </c>
      <c r="C2898" s="2"/>
      <c r="D2898" s="1">
        <v>2.0</v>
      </c>
      <c r="E2898" s="2"/>
      <c r="F2898" s="2"/>
      <c r="G2898" s="2"/>
      <c r="H2898" s="2"/>
      <c r="I2898" s="2"/>
      <c r="J2898" s="2"/>
      <c r="K2898" s="2"/>
      <c r="L2898" s="1">
        <v>46.3144754</v>
      </c>
      <c r="M2898" s="1">
        <v>11.0480288</v>
      </c>
    </row>
    <row r="2899">
      <c r="A2899" s="1" t="s">
        <v>89</v>
      </c>
      <c r="B2899" s="1" t="s">
        <v>52</v>
      </c>
      <c r="C2899" s="2"/>
      <c r="D2899" s="1">
        <v>2.0</v>
      </c>
      <c r="E2899" s="2"/>
      <c r="F2899" s="2"/>
      <c r="G2899" s="2"/>
      <c r="H2899" s="2"/>
      <c r="I2899" s="2"/>
      <c r="J2899" s="2"/>
      <c r="K2899" s="2"/>
      <c r="L2899" s="1">
        <v>46.3144754</v>
      </c>
      <c r="M2899" s="1">
        <v>11.0480288</v>
      </c>
    </row>
    <row r="2900">
      <c r="A2900" s="1" t="s">
        <v>22</v>
      </c>
      <c r="B2900" s="1" t="s">
        <v>99</v>
      </c>
      <c r="C2900" s="1" t="s">
        <v>1689</v>
      </c>
      <c r="D2900" s="1">
        <v>2.0</v>
      </c>
      <c r="E2900" s="1">
        <v>68.0</v>
      </c>
      <c r="F2900" s="1">
        <v>6.0</v>
      </c>
      <c r="G2900" s="1">
        <v>6.0</v>
      </c>
      <c r="H2900" s="1" t="s">
        <v>32</v>
      </c>
      <c r="I2900" s="1" t="s">
        <v>33</v>
      </c>
      <c r="J2900" s="1" t="s">
        <v>18</v>
      </c>
      <c r="K2900" s="1">
        <v>310000.0</v>
      </c>
      <c r="L2900" s="1">
        <v>56.94308385</v>
      </c>
      <c r="M2900" s="1">
        <v>24.0955521471893</v>
      </c>
    </row>
    <row r="2901">
      <c r="A2901" s="1" t="s">
        <v>22</v>
      </c>
      <c r="B2901" s="1" t="s">
        <v>48</v>
      </c>
      <c r="C2901" s="1" t="s">
        <v>1880</v>
      </c>
      <c r="D2901" s="1">
        <v>2.0</v>
      </c>
      <c r="E2901" s="1">
        <v>49.0</v>
      </c>
      <c r="F2901" s="1">
        <v>4.0</v>
      </c>
      <c r="G2901" s="1">
        <v>5.0</v>
      </c>
      <c r="H2901" s="1" t="s">
        <v>16</v>
      </c>
      <c r="I2901" s="1" t="s">
        <v>21</v>
      </c>
      <c r="J2901" s="1" t="s">
        <v>18</v>
      </c>
      <c r="K2901" s="1">
        <v>47500.0</v>
      </c>
      <c r="L2901" s="1">
        <v>56.9698178999999</v>
      </c>
      <c r="M2901" s="1">
        <v>24.23250115</v>
      </c>
    </row>
    <row r="2902">
      <c r="A2902" s="1" t="s">
        <v>22</v>
      </c>
      <c r="B2902" s="1" t="s">
        <v>30</v>
      </c>
      <c r="C2902" s="1" t="s">
        <v>1881</v>
      </c>
      <c r="D2902" s="1">
        <v>2.0</v>
      </c>
      <c r="E2902" s="1">
        <v>57.0</v>
      </c>
      <c r="F2902" s="1">
        <v>4.0</v>
      </c>
      <c r="G2902" s="1">
        <v>5.0</v>
      </c>
      <c r="H2902" s="1" t="s">
        <v>181</v>
      </c>
      <c r="I2902" s="1" t="s">
        <v>33</v>
      </c>
      <c r="J2902" s="1" t="s">
        <v>18</v>
      </c>
      <c r="K2902" s="1">
        <v>85000.0</v>
      </c>
      <c r="L2902" s="1">
        <v>56.9738101</v>
      </c>
      <c r="M2902" s="1">
        <v>24.1700665892821</v>
      </c>
    </row>
    <row r="2903">
      <c r="A2903" s="1" t="s">
        <v>22</v>
      </c>
      <c r="B2903" s="1" t="s">
        <v>99</v>
      </c>
      <c r="C2903" s="1" t="s">
        <v>1689</v>
      </c>
      <c r="D2903" s="1">
        <v>4.0</v>
      </c>
      <c r="E2903" s="1">
        <v>171.0</v>
      </c>
      <c r="F2903" s="1">
        <v>6.0</v>
      </c>
      <c r="G2903" s="1">
        <v>7.0</v>
      </c>
      <c r="H2903" s="1" t="s">
        <v>32</v>
      </c>
      <c r="I2903" s="1" t="s">
        <v>33</v>
      </c>
      <c r="J2903" s="1" t="s">
        <v>18</v>
      </c>
      <c r="K2903" s="1">
        <v>830000.0</v>
      </c>
      <c r="L2903" s="1">
        <v>56.94308385</v>
      </c>
      <c r="M2903" s="1">
        <v>24.0955521471893</v>
      </c>
    </row>
    <row r="2904">
      <c r="A2904" s="1" t="s">
        <v>22</v>
      </c>
      <c r="B2904" s="1" t="s">
        <v>28</v>
      </c>
      <c r="C2904" s="1" t="s">
        <v>1882</v>
      </c>
      <c r="D2904" s="1">
        <v>3.0</v>
      </c>
      <c r="E2904" s="1">
        <v>58.0</v>
      </c>
      <c r="F2904" s="1">
        <v>5.0</v>
      </c>
      <c r="G2904" s="1">
        <v>5.0</v>
      </c>
      <c r="H2904" s="1" t="s">
        <v>36</v>
      </c>
      <c r="I2904" s="1" t="s">
        <v>37</v>
      </c>
      <c r="J2904" s="1" t="s">
        <v>18</v>
      </c>
      <c r="K2904" s="1">
        <v>56000.0</v>
      </c>
      <c r="L2904" s="1">
        <v>56.915126</v>
      </c>
      <c r="M2904" s="1">
        <v>24.1882386</v>
      </c>
    </row>
    <row r="2905">
      <c r="A2905" s="1" t="s">
        <v>22</v>
      </c>
      <c r="B2905" s="1" t="s">
        <v>74</v>
      </c>
      <c r="C2905" s="1" t="s">
        <v>1883</v>
      </c>
      <c r="D2905" s="1">
        <v>3.0</v>
      </c>
      <c r="E2905" s="1">
        <v>63.0</v>
      </c>
      <c r="F2905" s="1">
        <v>1.0</v>
      </c>
      <c r="G2905" s="1">
        <v>9.0</v>
      </c>
      <c r="H2905" s="1">
        <v>602.0</v>
      </c>
      <c r="I2905" s="1" t="s">
        <v>21</v>
      </c>
      <c r="J2905" s="1" t="s">
        <v>18</v>
      </c>
      <c r="K2905" s="1">
        <v>71000.0</v>
      </c>
      <c r="L2905" s="1">
        <v>56.94168555</v>
      </c>
      <c r="M2905" s="1">
        <v>24.2119894120109</v>
      </c>
    </row>
    <row r="2906">
      <c r="A2906" s="1" t="s">
        <v>22</v>
      </c>
      <c r="B2906" s="1" t="s">
        <v>99</v>
      </c>
      <c r="C2906" s="1" t="s">
        <v>1689</v>
      </c>
      <c r="D2906" s="1">
        <v>3.0</v>
      </c>
      <c r="E2906" s="1">
        <v>78.0</v>
      </c>
      <c r="F2906" s="1">
        <v>3.0</v>
      </c>
      <c r="G2906" s="1">
        <v>3.0</v>
      </c>
      <c r="H2906" s="1" t="s">
        <v>66</v>
      </c>
      <c r="I2906" s="1" t="s">
        <v>37</v>
      </c>
      <c r="J2906" s="1" t="s">
        <v>18</v>
      </c>
      <c r="K2906" s="1">
        <v>310000.0</v>
      </c>
      <c r="L2906" s="1">
        <v>56.94308385</v>
      </c>
      <c r="M2906" s="1">
        <v>24.0955521471893</v>
      </c>
    </row>
    <row r="2907">
      <c r="A2907" s="1" t="s">
        <v>22</v>
      </c>
      <c r="B2907" s="1" t="s">
        <v>99</v>
      </c>
      <c r="C2907" s="1" t="s">
        <v>1689</v>
      </c>
      <c r="D2907" s="1">
        <v>2.0</v>
      </c>
      <c r="E2907" s="1">
        <v>42.0</v>
      </c>
      <c r="F2907" s="1">
        <v>2.0</v>
      </c>
      <c r="G2907" s="1">
        <v>3.0</v>
      </c>
      <c r="H2907" s="1" t="s">
        <v>66</v>
      </c>
      <c r="I2907" s="1" t="s">
        <v>37</v>
      </c>
      <c r="J2907" s="1" t="s">
        <v>18</v>
      </c>
      <c r="K2907" s="1">
        <v>150000.0</v>
      </c>
      <c r="L2907" s="1">
        <v>56.94308385</v>
      </c>
      <c r="M2907" s="1">
        <v>24.0955521471893</v>
      </c>
    </row>
    <row r="2908">
      <c r="A2908" s="1" t="s">
        <v>22</v>
      </c>
      <c r="B2908" s="1" t="s">
        <v>45</v>
      </c>
      <c r="C2908" s="1" t="s">
        <v>1884</v>
      </c>
      <c r="D2908" s="1">
        <v>2.0</v>
      </c>
      <c r="E2908" s="1">
        <v>53.0</v>
      </c>
      <c r="F2908" s="1">
        <v>1.0</v>
      </c>
      <c r="G2908" s="1">
        <v>3.0</v>
      </c>
      <c r="H2908" s="1" t="s">
        <v>32</v>
      </c>
      <c r="I2908" s="1" t="s">
        <v>33</v>
      </c>
      <c r="J2908" s="1" t="s">
        <v>18</v>
      </c>
      <c r="K2908" s="1">
        <v>74087.0</v>
      </c>
      <c r="L2908" s="1">
        <v>57.0200178</v>
      </c>
      <c r="M2908" s="1">
        <v>24.1371463</v>
      </c>
    </row>
    <row r="2909">
      <c r="A2909" s="1" t="s">
        <v>22</v>
      </c>
      <c r="B2909" s="1" t="s">
        <v>23</v>
      </c>
      <c r="C2909" s="1" t="s">
        <v>592</v>
      </c>
      <c r="D2909" s="1">
        <v>2.0</v>
      </c>
      <c r="E2909" s="1">
        <v>43.0</v>
      </c>
      <c r="F2909" s="1">
        <v>3.0</v>
      </c>
      <c r="G2909" s="1">
        <v>7.0</v>
      </c>
      <c r="H2909" s="1" t="s">
        <v>25</v>
      </c>
      <c r="I2909" s="1" t="s">
        <v>33</v>
      </c>
      <c r="J2909" s="1" t="s">
        <v>18</v>
      </c>
      <c r="K2909" s="1">
        <v>58000.0</v>
      </c>
      <c r="L2909" s="1">
        <v>56.9488564</v>
      </c>
      <c r="M2909" s="1">
        <v>24.1384970339502</v>
      </c>
    </row>
    <row r="2910">
      <c r="A2910" s="1" t="s">
        <v>22</v>
      </c>
      <c r="B2910" s="1" t="s">
        <v>14</v>
      </c>
      <c r="C2910" s="1" t="s">
        <v>997</v>
      </c>
      <c r="D2910" s="1">
        <v>1.0</v>
      </c>
      <c r="E2910" s="1">
        <v>40.0</v>
      </c>
      <c r="F2910" s="1">
        <v>5.0</v>
      </c>
      <c r="G2910" s="1">
        <v>5.0</v>
      </c>
      <c r="H2910" s="1" t="s">
        <v>57</v>
      </c>
      <c r="I2910" s="1" t="s">
        <v>21</v>
      </c>
      <c r="J2910" s="1" t="s">
        <v>18</v>
      </c>
      <c r="K2910" s="1">
        <v>27499.0</v>
      </c>
      <c r="L2910" s="1">
        <v>56.964717</v>
      </c>
      <c r="M2910" s="1">
        <v>24.1962984488949</v>
      </c>
    </row>
    <row r="2911">
      <c r="A2911" s="1" t="s">
        <v>22</v>
      </c>
      <c r="B2911" s="1" t="s">
        <v>28</v>
      </c>
      <c r="C2911" s="1" t="s">
        <v>1885</v>
      </c>
      <c r="D2911" s="1">
        <v>2.0</v>
      </c>
      <c r="E2911" s="1">
        <v>50.0</v>
      </c>
      <c r="F2911" s="1">
        <v>7.0</v>
      </c>
      <c r="G2911" s="1">
        <v>12.0</v>
      </c>
      <c r="H2911" s="1" t="s">
        <v>221</v>
      </c>
      <c r="I2911" s="1" t="s">
        <v>37</v>
      </c>
      <c r="J2911" s="1" t="s">
        <v>18</v>
      </c>
      <c r="K2911" s="1">
        <v>46700.0</v>
      </c>
      <c r="L2911" s="1">
        <v>56.91103805</v>
      </c>
      <c r="M2911" s="1">
        <v>24.1842762000681</v>
      </c>
    </row>
    <row r="2912">
      <c r="A2912" s="1" t="s">
        <v>22</v>
      </c>
      <c r="B2912" s="1" t="s">
        <v>23</v>
      </c>
      <c r="C2912" s="1" t="s">
        <v>1490</v>
      </c>
      <c r="D2912" s="1">
        <v>3.0</v>
      </c>
      <c r="E2912" s="1">
        <v>75.0</v>
      </c>
      <c r="F2912" s="1">
        <v>3.0</v>
      </c>
      <c r="G2912" s="1">
        <v>6.0</v>
      </c>
      <c r="H2912" s="1" t="s">
        <v>66</v>
      </c>
      <c r="I2912" s="1" t="s">
        <v>33</v>
      </c>
      <c r="J2912" s="1" t="s">
        <v>18</v>
      </c>
      <c r="K2912" s="1">
        <v>124000.0</v>
      </c>
      <c r="L2912" s="1">
        <v>56.96548375</v>
      </c>
      <c r="M2912" s="1">
        <v>24.1424979596359</v>
      </c>
    </row>
    <row r="2913">
      <c r="A2913" s="1" t="s">
        <v>22</v>
      </c>
      <c r="B2913" s="1" t="s">
        <v>19</v>
      </c>
      <c r="C2913" s="1" t="s">
        <v>1886</v>
      </c>
      <c r="D2913" s="1">
        <v>2.0</v>
      </c>
      <c r="E2913" s="1">
        <v>33.0</v>
      </c>
      <c r="F2913" s="1">
        <v>2.0</v>
      </c>
      <c r="G2913" s="1">
        <v>2.0</v>
      </c>
      <c r="H2913" s="1" t="s">
        <v>25</v>
      </c>
      <c r="I2913" s="1" t="s">
        <v>26</v>
      </c>
      <c r="J2913" s="1" t="s">
        <v>27</v>
      </c>
      <c r="K2913" s="1">
        <v>16000.0</v>
      </c>
      <c r="L2913" s="1">
        <v>56.9137631499999</v>
      </c>
      <c r="M2913" s="1">
        <v>24.1416595870278</v>
      </c>
    </row>
    <row r="2914">
      <c r="A2914" s="1" t="s">
        <v>22</v>
      </c>
      <c r="B2914" s="1" t="s">
        <v>218</v>
      </c>
      <c r="C2914" s="1" t="s">
        <v>219</v>
      </c>
      <c r="D2914" s="1">
        <v>4.0</v>
      </c>
      <c r="E2914" s="1">
        <v>93.0</v>
      </c>
      <c r="F2914" s="1">
        <v>3.0</v>
      </c>
      <c r="G2914" s="1">
        <v>5.0</v>
      </c>
      <c r="H2914" s="1" t="s">
        <v>32</v>
      </c>
      <c r="I2914" s="1" t="s">
        <v>33</v>
      </c>
      <c r="J2914" s="1" t="s">
        <v>18</v>
      </c>
      <c r="K2914" s="1">
        <v>185000.0</v>
      </c>
      <c r="L2914" s="1">
        <v>56.9453381999999</v>
      </c>
      <c r="M2914" s="1">
        <v>24.1094639533088</v>
      </c>
    </row>
    <row r="2915">
      <c r="A2915" s="1" t="s">
        <v>22</v>
      </c>
      <c r="B2915" s="1" t="s">
        <v>96</v>
      </c>
      <c r="C2915" s="1" t="s">
        <v>736</v>
      </c>
      <c r="D2915" s="1">
        <v>4.0</v>
      </c>
      <c r="E2915" s="1">
        <v>78.0</v>
      </c>
      <c r="F2915" s="1">
        <v>3.0</v>
      </c>
      <c r="G2915" s="1">
        <v>9.0</v>
      </c>
      <c r="H2915" s="1">
        <v>467.0</v>
      </c>
      <c r="I2915" s="1" t="s">
        <v>122</v>
      </c>
      <c r="J2915" s="1" t="s">
        <v>18</v>
      </c>
      <c r="K2915" s="1">
        <v>67000.0</v>
      </c>
      <c r="L2915" s="1">
        <v>57.0318969</v>
      </c>
      <c r="M2915" s="1">
        <v>24.1109505</v>
      </c>
    </row>
    <row r="2916">
      <c r="A2916" s="1" t="s">
        <v>22</v>
      </c>
      <c r="B2916" s="1" t="s">
        <v>104</v>
      </c>
      <c r="C2916" s="1" t="s">
        <v>1887</v>
      </c>
      <c r="D2916" s="1">
        <v>4.0</v>
      </c>
      <c r="E2916" s="1">
        <v>87.0</v>
      </c>
      <c r="F2916" s="1">
        <v>2.0</v>
      </c>
      <c r="G2916" s="1">
        <v>2.0</v>
      </c>
      <c r="H2916" s="1" t="s">
        <v>25</v>
      </c>
      <c r="I2916" s="1" t="s">
        <v>33</v>
      </c>
      <c r="J2916" s="1" t="s">
        <v>18</v>
      </c>
      <c r="K2916" s="1">
        <v>57000.0</v>
      </c>
      <c r="L2916" s="1">
        <v>56.9386534</v>
      </c>
      <c r="M2916" s="1">
        <v>24.05182415</v>
      </c>
    </row>
    <row r="2917">
      <c r="A2917" s="1" t="s">
        <v>13</v>
      </c>
      <c r="B2917" s="1" t="s">
        <v>422</v>
      </c>
      <c r="C2917" s="1" t="s">
        <v>363</v>
      </c>
      <c r="D2917" s="1">
        <v>3.0</v>
      </c>
      <c r="E2917" s="1">
        <v>90.0</v>
      </c>
      <c r="F2917" s="1">
        <v>11.0</v>
      </c>
      <c r="G2917" s="1">
        <v>30.0</v>
      </c>
      <c r="H2917" s="1" t="s">
        <v>32</v>
      </c>
      <c r="I2917" s="1" t="s">
        <v>33</v>
      </c>
      <c r="J2917" s="1" t="s">
        <v>18</v>
      </c>
      <c r="K2917" s="1">
        <v>650.0</v>
      </c>
      <c r="L2917" s="1">
        <v>56.9334996</v>
      </c>
      <c r="M2917" s="1">
        <v>24.0424848</v>
      </c>
    </row>
    <row r="2918">
      <c r="A2918" s="1" t="s">
        <v>22</v>
      </c>
      <c r="B2918" s="1" t="s">
        <v>48</v>
      </c>
      <c r="C2918" s="1" t="s">
        <v>791</v>
      </c>
      <c r="D2918" s="1">
        <v>3.0</v>
      </c>
      <c r="E2918" s="1">
        <v>77.0</v>
      </c>
      <c r="F2918" s="1">
        <v>2.0</v>
      </c>
      <c r="G2918" s="1">
        <v>4.0</v>
      </c>
      <c r="H2918" s="1" t="s">
        <v>32</v>
      </c>
      <c r="I2918" s="1" t="s">
        <v>122</v>
      </c>
      <c r="J2918" s="1" t="s">
        <v>18</v>
      </c>
      <c r="K2918" s="1">
        <v>129500.0</v>
      </c>
      <c r="L2918" s="1">
        <v>56.9569585</v>
      </c>
      <c r="M2918" s="1">
        <v>24.2536804</v>
      </c>
    </row>
    <row r="2919">
      <c r="A2919" s="1" t="s">
        <v>13</v>
      </c>
      <c r="B2919" s="1" t="s">
        <v>23</v>
      </c>
      <c r="C2919" s="1" t="s">
        <v>1888</v>
      </c>
      <c r="D2919" s="1">
        <v>1.0</v>
      </c>
      <c r="E2919" s="1">
        <v>17.0</v>
      </c>
      <c r="F2919" s="1">
        <v>2.0</v>
      </c>
      <c r="G2919" s="1">
        <v>5.0</v>
      </c>
      <c r="H2919" s="1" t="s">
        <v>32</v>
      </c>
      <c r="I2919" s="1" t="s">
        <v>21</v>
      </c>
      <c r="J2919" s="1" t="s">
        <v>18</v>
      </c>
      <c r="K2919" s="1">
        <v>170.0</v>
      </c>
      <c r="L2919" s="1">
        <v>56.9575761499999</v>
      </c>
      <c r="M2919" s="1">
        <v>24.1425400300487</v>
      </c>
    </row>
    <row r="2920">
      <c r="A2920" s="1" t="s">
        <v>13</v>
      </c>
      <c r="B2920" s="1" t="s">
        <v>23</v>
      </c>
      <c r="C2920" s="1" t="s">
        <v>1888</v>
      </c>
      <c r="D2920" s="1">
        <v>1.0</v>
      </c>
      <c r="E2920" s="1">
        <v>24.0</v>
      </c>
      <c r="F2920" s="1">
        <v>2.0</v>
      </c>
      <c r="G2920" s="1">
        <v>5.0</v>
      </c>
      <c r="H2920" s="1" t="s">
        <v>32</v>
      </c>
      <c r="I2920" s="1" t="s">
        <v>122</v>
      </c>
      <c r="J2920" s="1" t="s">
        <v>18</v>
      </c>
      <c r="K2920" s="1">
        <v>200.0</v>
      </c>
      <c r="L2920" s="1">
        <v>56.9575761499999</v>
      </c>
      <c r="M2920" s="1">
        <v>24.1425400300487</v>
      </c>
    </row>
    <row r="2921">
      <c r="A2921" s="1" t="s">
        <v>22</v>
      </c>
      <c r="B2921" s="1" t="s">
        <v>38</v>
      </c>
      <c r="C2921" s="1" t="s">
        <v>1889</v>
      </c>
      <c r="D2921" s="1">
        <v>3.0</v>
      </c>
      <c r="E2921" s="1">
        <v>80.0</v>
      </c>
      <c r="F2921" s="1">
        <v>14.0</v>
      </c>
      <c r="G2921" s="1">
        <v>18.0</v>
      </c>
      <c r="H2921" s="1" t="s">
        <v>32</v>
      </c>
      <c r="I2921" s="1" t="s">
        <v>17</v>
      </c>
      <c r="J2921" s="1" t="s">
        <v>18</v>
      </c>
      <c r="K2921" s="1">
        <v>145000.0</v>
      </c>
      <c r="L2921" s="1">
        <v>56.9543914</v>
      </c>
      <c r="M2921" s="1">
        <v>24.0086771</v>
      </c>
    </row>
    <row r="2922">
      <c r="A2922" s="1" t="s">
        <v>22</v>
      </c>
      <c r="B2922" s="1" t="s">
        <v>74</v>
      </c>
      <c r="C2922" s="1" t="s">
        <v>1518</v>
      </c>
      <c r="D2922" s="1">
        <v>1.0</v>
      </c>
      <c r="E2922" s="1">
        <v>35.0</v>
      </c>
      <c r="F2922" s="1">
        <v>1.0</v>
      </c>
      <c r="G2922" s="1">
        <v>9.0</v>
      </c>
      <c r="H2922" s="1">
        <v>602.0</v>
      </c>
      <c r="I2922" s="1" t="s">
        <v>21</v>
      </c>
      <c r="J2922" s="1" t="s">
        <v>18</v>
      </c>
      <c r="K2922" s="1">
        <v>27900.0</v>
      </c>
      <c r="L2922" s="1">
        <v>56.93860365</v>
      </c>
      <c r="M2922" s="1">
        <v>24.1990404998415</v>
      </c>
    </row>
    <row r="2923">
      <c r="A2923" s="1" t="s">
        <v>22</v>
      </c>
      <c r="B2923" s="1" t="s">
        <v>14</v>
      </c>
      <c r="C2923" s="1" t="s">
        <v>1890</v>
      </c>
      <c r="D2923" s="1">
        <v>2.0</v>
      </c>
      <c r="E2923" s="1">
        <v>42.0</v>
      </c>
      <c r="F2923" s="1">
        <v>2.0</v>
      </c>
      <c r="G2923" s="1">
        <v>2.0</v>
      </c>
      <c r="H2923" s="1" t="s">
        <v>36</v>
      </c>
      <c r="I2923" s="1" t="s">
        <v>37</v>
      </c>
      <c r="J2923" s="1" t="s">
        <v>18</v>
      </c>
      <c r="K2923" s="1">
        <v>47000.0</v>
      </c>
      <c r="L2923" s="1">
        <v>56.953575</v>
      </c>
      <c r="M2923" s="1">
        <v>24.1861001019558</v>
      </c>
    </row>
    <row r="2924">
      <c r="A2924" s="1" t="s">
        <v>22</v>
      </c>
      <c r="B2924" s="1" t="s">
        <v>23</v>
      </c>
      <c r="C2924" s="1" t="s">
        <v>1076</v>
      </c>
      <c r="D2924" s="1">
        <v>3.0</v>
      </c>
      <c r="E2924" s="1">
        <v>83.0</v>
      </c>
      <c r="F2924" s="1">
        <v>4.0</v>
      </c>
      <c r="G2924" s="1">
        <v>5.0</v>
      </c>
      <c r="H2924" s="1" t="s">
        <v>25</v>
      </c>
      <c r="I2924" s="1" t="s">
        <v>33</v>
      </c>
      <c r="J2924" s="1" t="s">
        <v>18</v>
      </c>
      <c r="K2924" s="1">
        <v>112000.0</v>
      </c>
      <c r="L2924" s="1">
        <v>56.9527501</v>
      </c>
      <c r="M2924" s="1">
        <v>24.1355324</v>
      </c>
    </row>
    <row r="2925">
      <c r="A2925" s="1" t="s">
        <v>22</v>
      </c>
      <c r="B2925" s="1" t="s">
        <v>74</v>
      </c>
      <c r="C2925" s="1" t="s">
        <v>1891</v>
      </c>
      <c r="D2925" s="1">
        <v>4.0</v>
      </c>
      <c r="E2925" s="1">
        <v>77.0</v>
      </c>
      <c r="F2925" s="1">
        <v>7.0</v>
      </c>
      <c r="G2925" s="1">
        <v>9.0</v>
      </c>
      <c r="H2925" s="1">
        <v>602.0</v>
      </c>
      <c r="I2925" s="1" t="s">
        <v>21</v>
      </c>
      <c r="J2925" s="1" t="s">
        <v>18</v>
      </c>
      <c r="K2925" s="1">
        <v>63900.0</v>
      </c>
      <c r="L2925" s="1">
        <v>56.9436071</v>
      </c>
      <c r="M2925" s="1">
        <v>24.2189393107488</v>
      </c>
    </row>
    <row r="2926">
      <c r="A2926" s="1" t="s">
        <v>22</v>
      </c>
      <c r="B2926" s="1" t="s">
        <v>14</v>
      </c>
      <c r="C2926" s="1" t="s">
        <v>1654</v>
      </c>
      <c r="D2926" s="1">
        <v>3.0</v>
      </c>
      <c r="E2926" s="1">
        <v>64.0</v>
      </c>
      <c r="F2926" s="1">
        <v>7.0</v>
      </c>
      <c r="G2926" s="1">
        <v>9.0</v>
      </c>
      <c r="H2926" s="1">
        <v>602.0</v>
      </c>
      <c r="I2926" s="1" t="s">
        <v>21</v>
      </c>
      <c r="J2926" s="1" t="s">
        <v>18</v>
      </c>
      <c r="K2926" s="1">
        <v>62000.0</v>
      </c>
      <c r="L2926" s="1">
        <v>56.9601343</v>
      </c>
      <c r="M2926" s="1">
        <v>24.1765388172837</v>
      </c>
    </row>
    <row r="2927">
      <c r="A2927" s="1" t="s">
        <v>22</v>
      </c>
      <c r="B2927" s="1" t="s">
        <v>74</v>
      </c>
      <c r="C2927" s="1" t="s">
        <v>1892</v>
      </c>
      <c r="D2927" s="1">
        <v>1.0</v>
      </c>
      <c r="E2927" s="1">
        <v>44.0</v>
      </c>
      <c r="F2927" s="1">
        <v>5.0</v>
      </c>
      <c r="G2927" s="1">
        <v>16.0</v>
      </c>
      <c r="H2927" s="1" t="s">
        <v>36</v>
      </c>
      <c r="I2927" s="1" t="s">
        <v>21</v>
      </c>
      <c r="J2927" s="1" t="s">
        <v>18</v>
      </c>
      <c r="K2927" s="1">
        <v>45000.0</v>
      </c>
      <c r="L2927" s="1" t="s">
        <v>40</v>
      </c>
      <c r="M2927" s="1" t="s">
        <v>40</v>
      </c>
    </row>
    <row r="2928">
      <c r="A2928" s="1" t="s">
        <v>22</v>
      </c>
      <c r="B2928" s="1" t="s">
        <v>117</v>
      </c>
      <c r="C2928" s="1" t="s">
        <v>658</v>
      </c>
      <c r="D2928" s="1">
        <v>3.0</v>
      </c>
      <c r="E2928" s="1">
        <v>77.0</v>
      </c>
      <c r="F2928" s="1">
        <v>1.0</v>
      </c>
      <c r="G2928" s="1">
        <v>7.0</v>
      </c>
      <c r="H2928" s="1" t="s">
        <v>32</v>
      </c>
      <c r="I2928" s="1" t="s">
        <v>37</v>
      </c>
      <c r="J2928" s="1" t="s">
        <v>18</v>
      </c>
      <c r="K2928" s="1">
        <v>121000.0</v>
      </c>
      <c r="L2928" s="1">
        <v>56.98909155</v>
      </c>
      <c r="M2928" s="1">
        <v>24.1703344302515</v>
      </c>
    </row>
    <row r="2929">
      <c r="A2929" s="1" t="s">
        <v>22</v>
      </c>
      <c r="B2929" s="1" t="s">
        <v>19</v>
      </c>
      <c r="C2929" s="1" t="s">
        <v>1893</v>
      </c>
      <c r="D2929" s="1">
        <v>3.0</v>
      </c>
      <c r="E2929" s="1">
        <v>55.0</v>
      </c>
      <c r="F2929" s="1">
        <v>2.0</v>
      </c>
      <c r="G2929" s="1">
        <v>5.0</v>
      </c>
      <c r="H2929" s="1" t="s">
        <v>44</v>
      </c>
      <c r="I2929" s="1" t="s">
        <v>37</v>
      </c>
      <c r="J2929" s="1" t="s">
        <v>18</v>
      </c>
      <c r="K2929" s="1">
        <v>65000.0</v>
      </c>
      <c r="L2929" s="1">
        <v>56.90813455</v>
      </c>
      <c r="M2929" s="1">
        <v>24.0977731</v>
      </c>
    </row>
    <row r="2930">
      <c r="A2930" s="1" t="s">
        <v>13</v>
      </c>
      <c r="B2930" s="1" t="s">
        <v>99</v>
      </c>
      <c r="C2930" s="1" t="s">
        <v>1419</v>
      </c>
      <c r="D2930" s="1">
        <v>2.0</v>
      </c>
      <c r="E2930" s="1">
        <v>49.0</v>
      </c>
      <c r="F2930" s="1">
        <v>1.0</v>
      </c>
      <c r="G2930" s="1">
        <v>5.0</v>
      </c>
      <c r="H2930" s="1" t="s">
        <v>25</v>
      </c>
      <c r="I2930" s="1" t="s">
        <v>33</v>
      </c>
      <c r="J2930" s="1" t="s">
        <v>18</v>
      </c>
      <c r="K2930" s="1">
        <v>250.0</v>
      </c>
      <c r="L2930" s="1">
        <v>56.9422907</v>
      </c>
      <c r="M2930" s="1">
        <v>24.0941256210549</v>
      </c>
    </row>
    <row r="2931">
      <c r="A2931" s="1" t="s">
        <v>22</v>
      </c>
      <c r="B2931" s="1" t="s">
        <v>151</v>
      </c>
      <c r="C2931" s="1" t="s">
        <v>1894</v>
      </c>
      <c r="D2931" s="1">
        <v>1.0</v>
      </c>
      <c r="E2931" s="1">
        <v>39.0</v>
      </c>
      <c r="F2931" s="1">
        <v>1.0</v>
      </c>
      <c r="G2931" s="1">
        <v>5.0</v>
      </c>
      <c r="H2931" s="1" t="s">
        <v>44</v>
      </c>
      <c r="I2931" s="1" t="s">
        <v>37</v>
      </c>
      <c r="J2931" s="1" t="s">
        <v>18</v>
      </c>
      <c r="K2931" s="1">
        <v>38500.0</v>
      </c>
      <c r="L2931" s="1">
        <v>56.9640088</v>
      </c>
      <c r="M2931" s="1">
        <v>24.0471928461308</v>
      </c>
    </row>
    <row r="2932">
      <c r="A2932" s="1" t="s">
        <v>22</v>
      </c>
      <c r="B2932" s="1" t="s">
        <v>14</v>
      </c>
      <c r="C2932" s="1" t="s">
        <v>915</v>
      </c>
      <c r="D2932" s="1">
        <v>4.0</v>
      </c>
      <c r="E2932" s="1">
        <v>92.0</v>
      </c>
      <c r="F2932" s="1">
        <v>7.0</v>
      </c>
      <c r="G2932" s="1">
        <v>10.0</v>
      </c>
      <c r="H2932" s="1">
        <v>119.0</v>
      </c>
      <c r="I2932" s="1" t="s">
        <v>21</v>
      </c>
      <c r="J2932" s="1" t="s">
        <v>18</v>
      </c>
      <c r="K2932" s="1">
        <v>129000.0</v>
      </c>
      <c r="L2932" s="1">
        <v>56.9509836</v>
      </c>
      <c r="M2932" s="1">
        <v>24.1816357245661</v>
      </c>
    </row>
    <row r="2933">
      <c r="A2933" s="1" t="s">
        <v>22</v>
      </c>
      <c r="B2933" s="1" t="s">
        <v>38</v>
      </c>
      <c r="C2933" s="1" t="s">
        <v>1895</v>
      </c>
      <c r="D2933" s="1">
        <v>3.0</v>
      </c>
      <c r="E2933" s="1">
        <v>82.0</v>
      </c>
      <c r="F2933" s="1">
        <v>9.0</v>
      </c>
      <c r="G2933" s="1">
        <v>18.0</v>
      </c>
      <c r="H2933" s="1" t="s">
        <v>32</v>
      </c>
      <c r="I2933" s="1" t="s">
        <v>21</v>
      </c>
      <c r="J2933" s="1" t="s">
        <v>18</v>
      </c>
      <c r="K2933" s="1">
        <v>120000.0</v>
      </c>
      <c r="L2933" s="1">
        <v>56.9543914</v>
      </c>
      <c r="M2933" s="1">
        <v>24.0086771</v>
      </c>
    </row>
    <row r="2934">
      <c r="A2934" s="1" t="s">
        <v>22</v>
      </c>
      <c r="B2934" s="1" t="s">
        <v>104</v>
      </c>
      <c r="C2934" s="1" t="s">
        <v>1896</v>
      </c>
      <c r="D2934" s="1">
        <v>2.0</v>
      </c>
      <c r="E2934" s="1">
        <v>50.0</v>
      </c>
      <c r="F2934" s="1">
        <v>2.0</v>
      </c>
      <c r="G2934" s="1">
        <v>4.0</v>
      </c>
      <c r="H2934" s="1" t="s">
        <v>181</v>
      </c>
      <c r="I2934" s="1" t="s">
        <v>37</v>
      </c>
      <c r="J2934" s="1" t="s">
        <v>18</v>
      </c>
      <c r="K2934" s="1">
        <v>62000.0</v>
      </c>
      <c r="L2934" s="1">
        <v>56.9326289</v>
      </c>
      <c r="M2934" s="1">
        <v>24.0720247</v>
      </c>
    </row>
    <row r="2935">
      <c r="A2935" s="1" t="s">
        <v>13</v>
      </c>
      <c r="B2935" s="1" t="s">
        <v>23</v>
      </c>
      <c r="C2935" s="1" t="s">
        <v>389</v>
      </c>
      <c r="D2935" s="1">
        <v>3.0</v>
      </c>
      <c r="E2935" s="1">
        <v>94.0</v>
      </c>
      <c r="F2935" s="1">
        <v>5.0</v>
      </c>
      <c r="G2935" s="1">
        <v>6.0</v>
      </c>
      <c r="H2935" s="1" t="s">
        <v>25</v>
      </c>
      <c r="I2935" s="1" t="s">
        <v>33</v>
      </c>
      <c r="J2935" s="1" t="s">
        <v>18</v>
      </c>
      <c r="K2935" s="1">
        <v>600.0</v>
      </c>
      <c r="L2935" s="1">
        <v>56.9524681</v>
      </c>
      <c r="M2935" s="1">
        <v>24.1310843043399</v>
      </c>
    </row>
    <row r="2936">
      <c r="A2936" s="1" t="s">
        <v>22</v>
      </c>
      <c r="B2936" s="1" t="s">
        <v>45</v>
      </c>
      <c r="C2936" s="1" t="s">
        <v>1897</v>
      </c>
      <c r="D2936" s="1">
        <v>2.0</v>
      </c>
      <c r="E2936" s="1">
        <v>55.0</v>
      </c>
      <c r="F2936" s="1">
        <v>4.0</v>
      </c>
      <c r="G2936" s="1">
        <v>4.0</v>
      </c>
      <c r="H2936" s="1" t="s">
        <v>181</v>
      </c>
      <c r="I2936" s="1" t="s">
        <v>37</v>
      </c>
      <c r="J2936" s="1" t="s">
        <v>18</v>
      </c>
      <c r="K2936" s="1">
        <v>47800.0</v>
      </c>
      <c r="L2936" s="1">
        <v>57.02158285</v>
      </c>
      <c r="M2936" s="1">
        <v>24.1306671234784</v>
      </c>
    </row>
    <row r="2937">
      <c r="A2937" s="1" t="s">
        <v>13</v>
      </c>
      <c r="B2937" s="1" t="s">
        <v>109</v>
      </c>
      <c r="C2937" s="1" t="s">
        <v>1898</v>
      </c>
      <c r="D2937" s="1">
        <v>1.0</v>
      </c>
      <c r="E2937" s="1">
        <v>33.0</v>
      </c>
      <c r="F2937" s="1">
        <v>5.0</v>
      </c>
      <c r="G2937" s="1">
        <v>12.0</v>
      </c>
      <c r="H2937" s="1" t="s">
        <v>36</v>
      </c>
      <c r="I2937" s="1" t="s">
        <v>37</v>
      </c>
      <c r="J2937" s="1" t="s">
        <v>18</v>
      </c>
      <c r="K2937" s="1">
        <v>300.0</v>
      </c>
      <c r="L2937" s="1">
        <v>56.9940605</v>
      </c>
      <c r="M2937" s="1">
        <v>24.1756989</v>
      </c>
    </row>
    <row r="2938">
      <c r="A2938" s="1" t="s">
        <v>13</v>
      </c>
      <c r="B2938" s="1" t="s">
        <v>422</v>
      </c>
      <c r="C2938" s="1" t="s">
        <v>363</v>
      </c>
      <c r="D2938" s="1">
        <v>3.0</v>
      </c>
      <c r="E2938" s="1">
        <v>92.0</v>
      </c>
      <c r="F2938" s="1">
        <v>9.0</v>
      </c>
      <c r="G2938" s="1">
        <v>30.0</v>
      </c>
      <c r="H2938" s="1" t="s">
        <v>32</v>
      </c>
      <c r="I2938" s="1" t="s">
        <v>17</v>
      </c>
      <c r="J2938" s="1" t="s">
        <v>18</v>
      </c>
      <c r="K2938" s="1">
        <v>550.0</v>
      </c>
      <c r="L2938" s="1">
        <v>56.9334996</v>
      </c>
      <c r="M2938" s="1">
        <v>24.0424848</v>
      </c>
    </row>
    <row r="2939">
      <c r="A2939" s="1" t="s">
        <v>22</v>
      </c>
      <c r="B2939" s="1" t="s">
        <v>104</v>
      </c>
      <c r="C2939" s="1" t="s">
        <v>1661</v>
      </c>
      <c r="D2939" s="1">
        <v>2.0</v>
      </c>
      <c r="E2939" s="1">
        <v>49.0</v>
      </c>
      <c r="F2939" s="1">
        <v>2.0</v>
      </c>
      <c r="G2939" s="1">
        <v>2.0</v>
      </c>
      <c r="H2939" s="1" t="s">
        <v>66</v>
      </c>
      <c r="I2939" s="1" t="s">
        <v>26</v>
      </c>
      <c r="J2939" s="1" t="s">
        <v>18</v>
      </c>
      <c r="K2939" s="1">
        <v>34300.0</v>
      </c>
      <c r="L2939" s="1">
        <v>56.9372249</v>
      </c>
      <c r="M2939" s="1">
        <v>24.059222740492</v>
      </c>
    </row>
    <row r="2940">
      <c r="A2940" s="1" t="s">
        <v>22</v>
      </c>
      <c r="B2940" s="1" t="s">
        <v>23</v>
      </c>
      <c r="C2940" s="1" t="s">
        <v>1788</v>
      </c>
      <c r="D2940" s="1">
        <v>1.0</v>
      </c>
      <c r="E2940" s="1">
        <v>19.21</v>
      </c>
      <c r="F2940" s="1">
        <v>2.0</v>
      </c>
      <c r="G2940" s="1">
        <v>5.0</v>
      </c>
      <c r="H2940" s="1" t="s">
        <v>25</v>
      </c>
      <c r="I2940" s="1" t="s">
        <v>33</v>
      </c>
      <c r="J2940" s="1" t="s">
        <v>18</v>
      </c>
      <c r="K2940" s="1">
        <v>42990.0</v>
      </c>
      <c r="L2940" s="1">
        <v>56.9489016</v>
      </c>
      <c r="M2940" s="1">
        <v>24.1191083</v>
      </c>
    </row>
    <row r="2941">
      <c r="A2941" s="1" t="s">
        <v>22</v>
      </c>
      <c r="B2941" s="1" t="s">
        <v>23</v>
      </c>
      <c r="C2941" s="1" t="s">
        <v>1788</v>
      </c>
      <c r="D2941" s="1">
        <v>1.0</v>
      </c>
      <c r="E2941" s="1">
        <v>31.88</v>
      </c>
      <c r="F2941" s="1">
        <v>2.0</v>
      </c>
      <c r="G2941" s="1">
        <v>5.0</v>
      </c>
      <c r="H2941" s="1" t="s">
        <v>25</v>
      </c>
      <c r="I2941" s="1" t="s">
        <v>33</v>
      </c>
      <c r="J2941" s="1" t="s">
        <v>18</v>
      </c>
      <c r="K2941" s="1">
        <v>63990.0</v>
      </c>
      <c r="L2941" s="1">
        <v>56.9489016</v>
      </c>
      <c r="M2941" s="1">
        <v>24.1191083</v>
      </c>
    </row>
    <row r="2942">
      <c r="A2942" s="1" t="s">
        <v>22</v>
      </c>
      <c r="B2942" s="1" t="s">
        <v>23</v>
      </c>
      <c r="C2942" s="1" t="s">
        <v>1788</v>
      </c>
      <c r="D2942" s="1">
        <v>1.0</v>
      </c>
      <c r="E2942" s="1">
        <v>31.52</v>
      </c>
      <c r="F2942" s="1">
        <v>3.0</v>
      </c>
      <c r="G2942" s="1">
        <v>5.0</v>
      </c>
      <c r="H2942" s="1" t="s">
        <v>25</v>
      </c>
      <c r="I2942" s="1" t="s">
        <v>33</v>
      </c>
      <c r="J2942" s="1" t="s">
        <v>18</v>
      </c>
      <c r="K2942" s="1">
        <v>63990.0</v>
      </c>
      <c r="L2942" s="1">
        <v>56.9489016</v>
      </c>
      <c r="M2942" s="1">
        <v>24.1191083</v>
      </c>
    </row>
    <row r="2943">
      <c r="A2943" s="1" t="s">
        <v>22</v>
      </c>
      <c r="B2943" s="1" t="s">
        <v>23</v>
      </c>
      <c r="C2943" s="1" t="s">
        <v>1788</v>
      </c>
      <c r="D2943" s="1">
        <v>1.0</v>
      </c>
      <c r="E2943" s="1">
        <v>23.82</v>
      </c>
      <c r="F2943" s="1">
        <v>3.0</v>
      </c>
      <c r="G2943" s="1">
        <v>5.0</v>
      </c>
      <c r="H2943" s="1" t="s">
        <v>25</v>
      </c>
      <c r="I2943" s="1" t="s">
        <v>33</v>
      </c>
      <c r="J2943" s="1" t="s">
        <v>18</v>
      </c>
      <c r="K2943" s="1">
        <v>46990.0</v>
      </c>
      <c r="L2943" s="1">
        <v>56.9489016</v>
      </c>
      <c r="M2943" s="1">
        <v>24.1191083</v>
      </c>
    </row>
    <row r="2944">
      <c r="A2944" s="1" t="s">
        <v>22</v>
      </c>
      <c r="B2944" s="1" t="s">
        <v>218</v>
      </c>
      <c r="C2944" s="1" t="s">
        <v>1676</v>
      </c>
      <c r="D2944" s="1">
        <v>1.0</v>
      </c>
      <c r="E2944" s="1">
        <v>20.0</v>
      </c>
      <c r="F2944" s="1">
        <v>2.0</v>
      </c>
      <c r="G2944" s="1">
        <v>4.0</v>
      </c>
      <c r="H2944" s="1" t="s">
        <v>25</v>
      </c>
      <c r="I2944" s="1" t="s">
        <v>33</v>
      </c>
      <c r="J2944" s="1" t="s">
        <v>18</v>
      </c>
      <c r="K2944" s="1">
        <v>66990.0</v>
      </c>
      <c r="L2944" s="1">
        <v>56.9487783</v>
      </c>
      <c r="M2944" s="1">
        <v>24.1075908</v>
      </c>
    </row>
    <row r="2945">
      <c r="A2945" s="1" t="s">
        <v>22</v>
      </c>
      <c r="B2945" s="1" t="s">
        <v>218</v>
      </c>
      <c r="C2945" s="1" t="s">
        <v>1676</v>
      </c>
      <c r="D2945" s="1">
        <v>1.0</v>
      </c>
      <c r="E2945" s="1">
        <v>25.0</v>
      </c>
      <c r="F2945" s="1">
        <v>2.0</v>
      </c>
      <c r="G2945" s="1">
        <v>4.0</v>
      </c>
      <c r="H2945" s="1" t="s">
        <v>25</v>
      </c>
      <c r="I2945" s="1" t="s">
        <v>33</v>
      </c>
      <c r="J2945" s="1" t="s">
        <v>18</v>
      </c>
      <c r="K2945" s="1">
        <v>74990.0</v>
      </c>
      <c r="L2945" s="1">
        <v>56.9487783</v>
      </c>
      <c r="M2945" s="1">
        <v>24.1075908</v>
      </c>
    </row>
    <row r="2946">
      <c r="A2946" s="1" t="s">
        <v>89</v>
      </c>
      <c r="B2946" s="1" t="s">
        <v>30</v>
      </c>
      <c r="C2946" s="2"/>
      <c r="D2946" s="1">
        <v>2.0</v>
      </c>
      <c r="E2946" s="2"/>
      <c r="F2946" s="2"/>
      <c r="G2946" s="2"/>
      <c r="H2946" s="2"/>
      <c r="I2946" s="2"/>
      <c r="J2946" s="2"/>
      <c r="K2946" s="2"/>
      <c r="L2946" s="1">
        <v>46.3144754</v>
      </c>
      <c r="M2946" s="1">
        <v>11.0480288</v>
      </c>
    </row>
    <row r="2947">
      <c r="A2947" s="1" t="s">
        <v>22</v>
      </c>
      <c r="B2947" s="1" t="s">
        <v>218</v>
      </c>
      <c r="C2947" s="1" t="s">
        <v>1676</v>
      </c>
      <c r="D2947" s="1">
        <v>2.0</v>
      </c>
      <c r="E2947" s="1">
        <v>47.0</v>
      </c>
      <c r="F2947" s="1">
        <v>2.0</v>
      </c>
      <c r="G2947" s="1">
        <v>4.0</v>
      </c>
      <c r="H2947" s="1" t="s">
        <v>25</v>
      </c>
      <c r="I2947" s="1" t="s">
        <v>33</v>
      </c>
      <c r="J2947" s="1" t="s">
        <v>18</v>
      </c>
      <c r="K2947" s="1">
        <v>119990.0</v>
      </c>
      <c r="L2947" s="1">
        <v>56.9487783</v>
      </c>
      <c r="M2947" s="1">
        <v>24.1075908</v>
      </c>
    </row>
    <row r="2948">
      <c r="A2948" s="1" t="s">
        <v>468</v>
      </c>
      <c r="B2948" s="1" t="s">
        <v>19</v>
      </c>
      <c r="C2948" s="1" t="s">
        <v>20</v>
      </c>
      <c r="D2948" s="1">
        <v>1.0</v>
      </c>
      <c r="E2948" s="1">
        <v>32.0</v>
      </c>
      <c r="F2948" s="1">
        <v>9.0</v>
      </c>
      <c r="G2948" s="1">
        <v>9.0</v>
      </c>
      <c r="H2948" s="1" t="s">
        <v>44</v>
      </c>
      <c r="I2948" s="1" t="s">
        <v>21</v>
      </c>
      <c r="J2948" s="1" t="s">
        <v>18</v>
      </c>
      <c r="K2948" s="2"/>
      <c r="L2948" s="1">
        <v>56.89979805</v>
      </c>
      <c r="M2948" s="1">
        <v>24.09835015</v>
      </c>
    </row>
    <row r="2949">
      <c r="A2949" s="1" t="s">
        <v>22</v>
      </c>
      <c r="B2949" s="1" t="s">
        <v>218</v>
      </c>
      <c r="C2949" s="1" t="s">
        <v>1676</v>
      </c>
      <c r="D2949" s="1">
        <v>1.0</v>
      </c>
      <c r="E2949" s="1">
        <v>34.0</v>
      </c>
      <c r="F2949" s="1">
        <v>4.0</v>
      </c>
      <c r="G2949" s="1">
        <v>4.0</v>
      </c>
      <c r="H2949" s="1" t="s">
        <v>25</v>
      </c>
      <c r="I2949" s="1" t="s">
        <v>33</v>
      </c>
      <c r="J2949" s="1" t="s">
        <v>18</v>
      </c>
      <c r="K2949" s="1">
        <v>76990.0</v>
      </c>
      <c r="L2949" s="1">
        <v>56.9487783</v>
      </c>
      <c r="M2949" s="1">
        <v>24.1075908</v>
      </c>
    </row>
    <row r="2950">
      <c r="A2950" s="1" t="s">
        <v>13</v>
      </c>
      <c r="B2950" s="1" t="s">
        <v>422</v>
      </c>
      <c r="C2950" s="1" t="s">
        <v>363</v>
      </c>
      <c r="D2950" s="1">
        <v>2.0</v>
      </c>
      <c r="E2950" s="1">
        <v>68.0</v>
      </c>
      <c r="F2950" s="1">
        <v>8.0</v>
      </c>
      <c r="G2950" s="1">
        <v>30.0</v>
      </c>
      <c r="H2950" s="1" t="s">
        <v>32</v>
      </c>
      <c r="I2950" s="1" t="s">
        <v>17</v>
      </c>
      <c r="J2950" s="1" t="s">
        <v>18</v>
      </c>
      <c r="K2950" s="1">
        <v>450.0</v>
      </c>
      <c r="L2950" s="1">
        <v>56.9334996</v>
      </c>
      <c r="M2950" s="1">
        <v>24.0424848</v>
      </c>
    </row>
    <row r="2951">
      <c r="A2951" s="1" t="s">
        <v>22</v>
      </c>
      <c r="B2951" s="1" t="s">
        <v>134</v>
      </c>
      <c r="C2951" s="1" t="s">
        <v>967</v>
      </c>
      <c r="D2951" s="1">
        <v>3.0</v>
      </c>
      <c r="E2951" s="1">
        <v>60.0</v>
      </c>
      <c r="F2951" s="1">
        <v>5.0</v>
      </c>
      <c r="G2951" s="1">
        <v>5.0</v>
      </c>
      <c r="H2951" s="1" t="s">
        <v>36</v>
      </c>
      <c r="I2951" s="1" t="s">
        <v>37</v>
      </c>
      <c r="J2951" s="1" t="s">
        <v>18</v>
      </c>
      <c r="K2951" s="1">
        <v>41000.0</v>
      </c>
      <c r="L2951" s="1">
        <v>57.04141455</v>
      </c>
      <c r="M2951" s="1">
        <v>24.02751815</v>
      </c>
    </row>
    <row r="2952">
      <c r="A2952" s="1" t="s">
        <v>22</v>
      </c>
      <c r="B2952" s="1" t="s">
        <v>23</v>
      </c>
      <c r="C2952" s="1" t="s">
        <v>790</v>
      </c>
      <c r="D2952" s="1">
        <v>4.0</v>
      </c>
      <c r="E2952" s="1">
        <v>84.0</v>
      </c>
      <c r="F2952" s="1">
        <v>2.0</v>
      </c>
      <c r="G2952" s="1">
        <v>5.0</v>
      </c>
      <c r="H2952" s="1" t="s">
        <v>25</v>
      </c>
      <c r="I2952" s="1" t="s">
        <v>33</v>
      </c>
      <c r="J2952" s="1" t="s">
        <v>18</v>
      </c>
      <c r="K2952" s="1">
        <v>149810.0</v>
      </c>
      <c r="L2952" s="1">
        <v>56.952698</v>
      </c>
      <c r="M2952" s="1">
        <v>24.1299733</v>
      </c>
    </row>
    <row r="2953">
      <c r="A2953" s="1" t="s">
        <v>22</v>
      </c>
      <c r="B2953" s="1" t="s">
        <v>129</v>
      </c>
      <c r="C2953" s="1" t="s">
        <v>1862</v>
      </c>
      <c r="D2953" s="1">
        <v>2.0</v>
      </c>
      <c r="E2953" s="1">
        <v>45.4</v>
      </c>
      <c r="F2953" s="1">
        <v>2.0</v>
      </c>
      <c r="G2953" s="1">
        <v>5.0</v>
      </c>
      <c r="H2953" s="1" t="s">
        <v>181</v>
      </c>
      <c r="I2953" s="1" t="s">
        <v>37</v>
      </c>
      <c r="J2953" s="1" t="s">
        <v>18</v>
      </c>
      <c r="K2953" s="1">
        <v>59000.0</v>
      </c>
      <c r="L2953" s="1">
        <v>56.9959975999999</v>
      </c>
      <c r="M2953" s="1">
        <v>24.1236683231425</v>
      </c>
    </row>
    <row r="2954">
      <c r="A2954" s="1" t="s">
        <v>22</v>
      </c>
      <c r="B2954" s="1" t="s">
        <v>28</v>
      </c>
      <c r="C2954" s="1" t="s">
        <v>1899</v>
      </c>
      <c r="D2954" s="1">
        <v>2.0</v>
      </c>
      <c r="E2954" s="1">
        <v>51.0</v>
      </c>
      <c r="F2954" s="1">
        <v>1.0</v>
      </c>
      <c r="G2954" s="1">
        <v>5.0</v>
      </c>
      <c r="H2954" s="1" t="s">
        <v>16</v>
      </c>
      <c r="I2954" s="1" t="s">
        <v>21</v>
      </c>
      <c r="J2954" s="1" t="s">
        <v>18</v>
      </c>
      <c r="K2954" s="1">
        <v>43000.0</v>
      </c>
      <c r="L2954" s="1">
        <v>56.9063124</v>
      </c>
      <c r="M2954" s="1">
        <v>24.19464765</v>
      </c>
    </row>
    <row r="2955">
      <c r="A2955" s="1" t="s">
        <v>22</v>
      </c>
      <c r="B2955" s="1" t="s">
        <v>23</v>
      </c>
      <c r="C2955" s="1" t="s">
        <v>474</v>
      </c>
      <c r="D2955" s="1">
        <v>4.0</v>
      </c>
      <c r="E2955" s="1">
        <v>142.0</v>
      </c>
      <c r="F2955" s="1">
        <v>5.0</v>
      </c>
      <c r="G2955" s="1">
        <v>7.0</v>
      </c>
      <c r="H2955" s="1" t="s">
        <v>32</v>
      </c>
      <c r="I2955" s="1" t="s">
        <v>33</v>
      </c>
      <c r="J2955" s="1" t="s">
        <v>18</v>
      </c>
      <c r="K2955" s="1">
        <v>618995.0</v>
      </c>
      <c r="L2955" s="1">
        <v>56.950124</v>
      </c>
      <c r="M2955" s="1">
        <v>24.1325244</v>
      </c>
    </row>
    <row r="2956">
      <c r="A2956" s="1" t="s">
        <v>131</v>
      </c>
      <c r="B2956" s="1" t="s">
        <v>174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1">
        <v>46.3144754</v>
      </c>
      <c r="M2956" s="1">
        <v>11.0480288</v>
      </c>
    </row>
    <row r="2957">
      <c r="A2957" s="1" t="s">
        <v>131</v>
      </c>
      <c r="B2957" s="1" t="s">
        <v>94</v>
      </c>
      <c r="C2957" s="2"/>
      <c r="D2957" s="2"/>
      <c r="E2957" s="2"/>
      <c r="F2957" s="2"/>
      <c r="G2957" s="2"/>
      <c r="H2957" s="2"/>
      <c r="I2957" s="2"/>
      <c r="J2957" s="2"/>
      <c r="K2957" s="2"/>
      <c r="L2957" s="1">
        <v>46.3144754</v>
      </c>
      <c r="M2957" s="1">
        <v>11.0480288</v>
      </c>
    </row>
    <row r="2958">
      <c r="A2958" s="1" t="s">
        <v>13</v>
      </c>
      <c r="B2958" s="1" t="s">
        <v>30</v>
      </c>
      <c r="C2958" s="1" t="s">
        <v>1900</v>
      </c>
      <c r="D2958" s="1">
        <v>3.0</v>
      </c>
      <c r="E2958" s="1">
        <v>62.0</v>
      </c>
      <c r="F2958" s="1">
        <v>2.0</v>
      </c>
      <c r="G2958" s="1">
        <v>3.0</v>
      </c>
      <c r="H2958" s="1" t="s">
        <v>181</v>
      </c>
      <c r="I2958" s="1" t="s">
        <v>37</v>
      </c>
      <c r="J2958" s="1" t="s">
        <v>18</v>
      </c>
      <c r="K2958" s="1">
        <v>400.0</v>
      </c>
      <c r="L2958" s="1">
        <v>56.9805296</v>
      </c>
      <c r="M2958" s="1">
        <v>24.1803331425683</v>
      </c>
    </row>
    <row r="2959">
      <c r="A2959" s="1" t="s">
        <v>22</v>
      </c>
      <c r="B2959" s="1" t="s">
        <v>74</v>
      </c>
      <c r="C2959" s="1" t="s">
        <v>1901</v>
      </c>
      <c r="D2959" s="1">
        <v>3.0</v>
      </c>
      <c r="E2959" s="1">
        <v>60.0</v>
      </c>
      <c r="F2959" s="1">
        <v>4.0</v>
      </c>
      <c r="G2959" s="1">
        <v>9.0</v>
      </c>
      <c r="H2959" s="1">
        <v>602.0</v>
      </c>
      <c r="I2959" s="1" t="s">
        <v>21</v>
      </c>
      <c r="J2959" s="1" t="s">
        <v>18</v>
      </c>
      <c r="K2959" s="1">
        <v>55000.0</v>
      </c>
      <c r="L2959" s="1">
        <v>56.9331169</v>
      </c>
      <c r="M2959" s="1">
        <v>24.2004933431801</v>
      </c>
    </row>
    <row r="2960">
      <c r="A2960" s="1" t="s">
        <v>22</v>
      </c>
      <c r="B2960" s="1" t="s">
        <v>30</v>
      </c>
      <c r="C2960" s="1" t="s">
        <v>1902</v>
      </c>
      <c r="D2960" s="1">
        <v>1.0</v>
      </c>
      <c r="E2960" s="1">
        <v>33.0</v>
      </c>
      <c r="F2960" s="1">
        <v>4.0</v>
      </c>
      <c r="G2960" s="1">
        <v>5.0</v>
      </c>
      <c r="H2960" s="1">
        <v>103.0</v>
      </c>
      <c r="I2960" s="1" t="s">
        <v>17</v>
      </c>
      <c r="J2960" s="1" t="s">
        <v>18</v>
      </c>
      <c r="K2960" s="1">
        <v>35000.0</v>
      </c>
      <c r="L2960" s="1">
        <v>56.972242</v>
      </c>
      <c r="M2960" s="1">
        <v>24.1758673076121</v>
      </c>
    </row>
    <row r="2961">
      <c r="A2961" s="1" t="s">
        <v>13</v>
      </c>
      <c r="B2961" s="1" t="s">
        <v>23</v>
      </c>
      <c r="C2961" s="1" t="s">
        <v>1903</v>
      </c>
      <c r="D2961" s="1">
        <v>1.0</v>
      </c>
      <c r="E2961" s="1">
        <v>39.0</v>
      </c>
      <c r="F2961" s="1">
        <v>5.0</v>
      </c>
      <c r="G2961" s="1">
        <v>6.0</v>
      </c>
      <c r="H2961" s="1" t="s">
        <v>25</v>
      </c>
      <c r="I2961" s="1" t="s">
        <v>33</v>
      </c>
      <c r="J2961" s="1" t="s">
        <v>18</v>
      </c>
      <c r="K2961" s="1">
        <v>200.0</v>
      </c>
      <c r="L2961" s="1">
        <v>56.9928319</v>
      </c>
      <c r="M2961" s="1">
        <v>24.1224521</v>
      </c>
    </row>
    <row r="2962">
      <c r="A2962" s="1" t="s">
        <v>22</v>
      </c>
      <c r="B2962" s="1" t="s">
        <v>151</v>
      </c>
      <c r="C2962" s="1" t="s">
        <v>1904</v>
      </c>
      <c r="D2962" s="1">
        <v>1.0</v>
      </c>
      <c r="E2962" s="1">
        <v>45.0</v>
      </c>
      <c r="F2962" s="1">
        <v>5.0</v>
      </c>
      <c r="G2962" s="1">
        <v>9.0</v>
      </c>
      <c r="H2962" s="1">
        <v>119.0</v>
      </c>
      <c r="I2962" s="1" t="s">
        <v>21</v>
      </c>
      <c r="J2962" s="1" t="s">
        <v>18</v>
      </c>
      <c r="K2962" s="1">
        <v>43000.0</v>
      </c>
      <c r="L2962" s="1">
        <v>56.965298</v>
      </c>
      <c r="M2962" s="1">
        <v>24.0573721</v>
      </c>
    </row>
    <row r="2963">
      <c r="A2963" s="1" t="s">
        <v>131</v>
      </c>
      <c r="B2963" s="1" t="s">
        <v>14</v>
      </c>
      <c r="C2963" s="2"/>
      <c r="D2963" s="1" t="s">
        <v>90</v>
      </c>
      <c r="E2963" s="2"/>
      <c r="F2963" s="2"/>
      <c r="G2963" s="2"/>
      <c r="H2963" s="2"/>
      <c r="I2963" s="2"/>
      <c r="J2963" s="2"/>
      <c r="K2963" s="2"/>
      <c r="L2963" s="1">
        <v>46.3144754</v>
      </c>
      <c r="M2963" s="1">
        <v>11.0480288</v>
      </c>
    </row>
    <row r="2964">
      <c r="A2964" s="1" t="s">
        <v>13</v>
      </c>
      <c r="B2964" s="1" t="s">
        <v>23</v>
      </c>
      <c r="C2964" s="1" t="s">
        <v>1905</v>
      </c>
      <c r="D2964" s="1">
        <v>1.0</v>
      </c>
      <c r="E2964" s="1">
        <v>25.0</v>
      </c>
      <c r="F2964" s="1">
        <v>1.0</v>
      </c>
      <c r="G2964" s="1">
        <v>5.0</v>
      </c>
      <c r="H2964" s="1" t="s">
        <v>25</v>
      </c>
      <c r="I2964" s="1" t="s">
        <v>33</v>
      </c>
      <c r="J2964" s="1" t="s">
        <v>18</v>
      </c>
      <c r="K2964" s="1">
        <v>300.0</v>
      </c>
      <c r="L2964" s="1">
        <v>56.96137025</v>
      </c>
      <c r="M2964" s="1">
        <v>24.1328759405172</v>
      </c>
    </row>
    <row r="2965">
      <c r="A2965" s="1" t="s">
        <v>22</v>
      </c>
      <c r="B2965" s="1" t="s">
        <v>76</v>
      </c>
      <c r="C2965" s="1" t="s">
        <v>931</v>
      </c>
      <c r="D2965" s="1">
        <v>3.0</v>
      </c>
      <c r="E2965" s="1">
        <v>88.0</v>
      </c>
      <c r="F2965" s="1">
        <v>4.0</v>
      </c>
      <c r="G2965" s="1">
        <v>6.0</v>
      </c>
      <c r="H2965" s="1" t="s">
        <v>66</v>
      </c>
      <c r="I2965" s="1" t="s">
        <v>17</v>
      </c>
      <c r="J2965" s="1" t="s">
        <v>18</v>
      </c>
      <c r="K2965" s="1">
        <v>177000.0</v>
      </c>
      <c r="L2965" s="1">
        <v>56.95518535</v>
      </c>
      <c r="M2965" s="1">
        <v>24.0724323050318</v>
      </c>
    </row>
    <row r="2966">
      <c r="A2966" s="1" t="s">
        <v>13</v>
      </c>
      <c r="B2966" s="1" t="s">
        <v>30</v>
      </c>
      <c r="C2966" s="1" t="s">
        <v>1906</v>
      </c>
      <c r="D2966" s="1">
        <v>2.0</v>
      </c>
      <c r="E2966" s="1">
        <v>50.0</v>
      </c>
      <c r="F2966" s="1">
        <v>3.0</v>
      </c>
      <c r="G2966" s="1">
        <v>3.0</v>
      </c>
      <c r="H2966" s="1" t="s">
        <v>25</v>
      </c>
      <c r="I2966" s="1" t="s">
        <v>33</v>
      </c>
      <c r="J2966" s="1" t="s">
        <v>18</v>
      </c>
      <c r="K2966" s="1">
        <v>330.0</v>
      </c>
      <c r="L2966" s="1">
        <v>56.9777177</v>
      </c>
      <c r="M2966" s="1">
        <v>24.182276456222</v>
      </c>
    </row>
    <row r="2967">
      <c r="A2967" s="1" t="s">
        <v>22</v>
      </c>
      <c r="B2967" s="1" t="s">
        <v>30</v>
      </c>
      <c r="C2967" s="1" t="s">
        <v>1907</v>
      </c>
      <c r="D2967" s="1">
        <v>1.0</v>
      </c>
      <c r="E2967" s="1">
        <v>21.0</v>
      </c>
      <c r="F2967" s="1">
        <v>1.0</v>
      </c>
      <c r="G2967" s="1">
        <v>2.0</v>
      </c>
      <c r="H2967" s="1" t="s">
        <v>25</v>
      </c>
      <c r="I2967" s="1" t="s">
        <v>26</v>
      </c>
      <c r="J2967" s="1" t="s">
        <v>27</v>
      </c>
      <c r="K2967" s="1">
        <v>17000.0</v>
      </c>
      <c r="L2967" s="1">
        <v>56.9827633999999</v>
      </c>
      <c r="M2967" s="1">
        <v>24.1912189088567</v>
      </c>
    </row>
    <row r="2968">
      <c r="A2968" s="1" t="s">
        <v>13</v>
      </c>
      <c r="B2968" s="1" t="s">
        <v>42</v>
      </c>
      <c r="C2968" s="1" t="s">
        <v>1908</v>
      </c>
      <c r="D2968" s="1">
        <v>3.0</v>
      </c>
      <c r="E2968" s="1">
        <v>56.0</v>
      </c>
      <c r="F2968" s="1">
        <v>1.0</v>
      </c>
      <c r="G2968" s="1">
        <v>5.0</v>
      </c>
      <c r="H2968" s="1" t="s">
        <v>44</v>
      </c>
      <c r="I2968" s="1" t="s">
        <v>21</v>
      </c>
      <c r="J2968" s="1" t="s">
        <v>18</v>
      </c>
      <c r="K2968" s="1">
        <v>250.0</v>
      </c>
      <c r="L2968" s="1">
        <v>56.9820832</v>
      </c>
      <c r="M2968" s="1">
        <v>24.2512169555717</v>
      </c>
    </row>
    <row r="2969">
      <c r="A2969" s="1" t="s">
        <v>13</v>
      </c>
      <c r="B2969" s="1" t="s">
        <v>23</v>
      </c>
      <c r="C2969" s="1" t="s">
        <v>1909</v>
      </c>
      <c r="D2969" s="1">
        <v>1.0</v>
      </c>
      <c r="E2969" s="1">
        <v>13.0</v>
      </c>
      <c r="F2969" s="1">
        <v>5.0</v>
      </c>
      <c r="G2969" s="1">
        <v>5.0</v>
      </c>
      <c r="H2969" s="1" t="s">
        <v>25</v>
      </c>
      <c r="I2969" s="1" t="s">
        <v>17</v>
      </c>
      <c r="J2969" s="1" t="s">
        <v>18</v>
      </c>
      <c r="K2969" s="1">
        <v>150.0</v>
      </c>
      <c r="L2969" s="1">
        <v>56.9436873</v>
      </c>
      <c r="M2969" s="1">
        <v>24.1240204945916</v>
      </c>
    </row>
    <row r="2970">
      <c r="A2970" s="1" t="s">
        <v>89</v>
      </c>
      <c r="B2970" s="1" t="s">
        <v>76</v>
      </c>
      <c r="C2970" s="2"/>
      <c r="D2970" s="1" t="s">
        <v>90</v>
      </c>
      <c r="E2970" s="2"/>
      <c r="F2970" s="2"/>
      <c r="G2970" s="2"/>
      <c r="H2970" s="2"/>
      <c r="I2970" s="2"/>
      <c r="J2970" s="2"/>
      <c r="K2970" s="2"/>
      <c r="L2970" s="1">
        <v>46.3144754</v>
      </c>
      <c r="M2970" s="1">
        <v>11.0480288</v>
      </c>
    </row>
    <row r="2971">
      <c r="A2971" s="1" t="s">
        <v>22</v>
      </c>
      <c r="B2971" s="1" t="s">
        <v>14</v>
      </c>
      <c r="C2971" s="1" t="s">
        <v>1335</v>
      </c>
      <c r="D2971" s="1">
        <v>3.0</v>
      </c>
      <c r="E2971" s="1">
        <v>61.0</v>
      </c>
      <c r="F2971" s="1">
        <v>4.0</v>
      </c>
      <c r="G2971" s="1">
        <v>9.0</v>
      </c>
      <c r="H2971" s="1">
        <v>602.0</v>
      </c>
      <c r="I2971" s="1" t="s">
        <v>21</v>
      </c>
      <c r="J2971" s="1" t="s">
        <v>18</v>
      </c>
      <c r="K2971" s="1">
        <v>58900.0</v>
      </c>
      <c r="L2971" s="1">
        <v>56.9609581999999</v>
      </c>
      <c r="M2971" s="1">
        <v>24.1870629147243</v>
      </c>
    </row>
    <row r="2972">
      <c r="A2972" s="1" t="s">
        <v>13</v>
      </c>
      <c r="B2972" s="1" t="s">
        <v>23</v>
      </c>
      <c r="C2972" s="1" t="s">
        <v>718</v>
      </c>
      <c r="D2972" s="1">
        <v>3.0</v>
      </c>
      <c r="E2972" s="1">
        <v>70.0</v>
      </c>
      <c r="F2972" s="1">
        <v>2.0</v>
      </c>
      <c r="G2972" s="1">
        <v>5.0</v>
      </c>
      <c r="H2972" s="1" t="s">
        <v>25</v>
      </c>
      <c r="I2972" s="1" t="s">
        <v>33</v>
      </c>
      <c r="J2972" s="1" t="s">
        <v>18</v>
      </c>
      <c r="K2972" s="1">
        <v>850.0</v>
      </c>
      <c r="L2972" s="1">
        <v>56.9592539</v>
      </c>
      <c r="M2972" s="1">
        <v>24.100972</v>
      </c>
    </row>
    <row r="2973">
      <c r="A2973" s="1" t="s">
        <v>22</v>
      </c>
      <c r="B2973" s="1" t="s">
        <v>28</v>
      </c>
      <c r="C2973" s="1" t="s">
        <v>779</v>
      </c>
      <c r="D2973" s="1">
        <v>2.0</v>
      </c>
      <c r="E2973" s="1">
        <v>39.0</v>
      </c>
      <c r="F2973" s="1">
        <v>2.0</v>
      </c>
      <c r="G2973" s="1">
        <v>5.0</v>
      </c>
      <c r="H2973" s="1" t="s">
        <v>16</v>
      </c>
      <c r="I2973" s="1" t="s">
        <v>21</v>
      </c>
      <c r="J2973" s="1" t="s">
        <v>18</v>
      </c>
      <c r="K2973" s="1">
        <v>42000.0</v>
      </c>
      <c r="L2973" s="1">
        <v>56.8597884</v>
      </c>
      <c r="M2973" s="1">
        <v>24.3083417</v>
      </c>
    </row>
    <row r="2974">
      <c r="A2974" s="1" t="s">
        <v>13</v>
      </c>
      <c r="B2974" s="1" t="s">
        <v>74</v>
      </c>
      <c r="C2974" s="1" t="s">
        <v>1891</v>
      </c>
      <c r="D2974" s="1">
        <v>3.0</v>
      </c>
      <c r="E2974" s="1">
        <v>62.0</v>
      </c>
      <c r="F2974" s="1">
        <v>8.0</v>
      </c>
      <c r="G2974" s="1">
        <v>9.0</v>
      </c>
      <c r="H2974" s="1">
        <v>602.0</v>
      </c>
      <c r="I2974" s="1" t="s">
        <v>21</v>
      </c>
      <c r="J2974" s="1" t="s">
        <v>18</v>
      </c>
      <c r="K2974" s="1">
        <v>340.0</v>
      </c>
      <c r="L2974" s="1">
        <v>56.9436071</v>
      </c>
      <c r="M2974" s="1">
        <v>24.2189393107488</v>
      </c>
    </row>
    <row r="2975">
      <c r="A2975" s="1" t="s">
        <v>22</v>
      </c>
      <c r="B2975" s="1" t="s">
        <v>218</v>
      </c>
      <c r="C2975" s="1" t="s">
        <v>1446</v>
      </c>
      <c r="D2975" s="1">
        <v>3.0</v>
      </c>
      <c r="E2975" s="1">
        <v>89.3</v>
      </c>
      <c r="F2975" s="1">
        <v>3.0</v>
      </c>
      <c r="G2975" s="1">
        <v>4.0</v>
      </c>
      <c r="H2975" s="1" t="s">
        <v>66</v>
      </c>
      <c r="I2975" s="1" t="s">
        <v>33</v>
      </c>
      <c r="J2975" s="1" t="s">
        <v>18</v>
      </c>
      <c r="K2975" s="1">
        <v>184000.0</v>
      </c>
      <c r="L2975" s="1">
        <v>56.9466569</v>
      </c>
      <c r="M2975" s="1">
        <v>24.1073804</v>
      </c>
    </row>
    <row r="2976">
      <c r="A2976" s="1" t="s">
        <v>131</v>
      </c>
      <c r="B2976" s="1" t="s">
        <v>45</v>
      </c>
      <c r="C2976" s="2"/>
      <c r="D2976" s="2"/>
      <c r="E2976" s="2"/>
      <c r="F2976" s="2"/>
      <c r="G2976" s="2"/>
      <c r="H2976" s="2"/>
      <c r="I2976" s="2"/>
      <c r="J2976" s="2"/>
      <c r="K2976" s="2"/>
      <c r="L2976" s="1">
        <v>46.3144754</v>
      </c>
      <c r="M2976" s="1">
        <v>11.0480288</v>
      </c>
    </row>
    <row r="2977">
      <c r="A2977" s="1" t="s">
        <v>131</v>
      </c>
      <c r="B2977" s="1" t="s">
        <v>447</v>
      </c>
      <c r="C2977" s="2"/>
      <c r="D2977" s="2"/>
      <c r="E2977" s="2"/>
      <c r="F2977" s="2"/>
      <c r="G2977" s="2"/>
      <c r="H2977" s="2"/>
      <c r="I2977" s="2"/>
      <c r="J2977" s="2"/>
      <c r="K2977" s="2"/>
      <c r="L2977" s="1">
        <v>46.3144754</v>
      </c>
      <c r="M2977" s="1">
        <v>11.0480288</v>
      </c>
    </row>
    <row r="2978">
      <c r="A2978" s="1" t="s">
        <v>22</v>
      </c>
      <c r="B2978" s="1" t="s">
        <v>23</v>
      </c>
      <c r="C2978" s="1" t="s">
        <v>1910</v>
      </c>
      <c r="D2978" s="1">
        <v>4.0</v>
      </c>
      <c r="E2978" s="1">
        <v>136.0</v>
      </c>
      <c r="F2978" s="1">
        <v>4.0</v>
      </c>
      <c r="G2978" s="1">
        <v>5.0</v>
      </c>
      <c r="H2978" s="1" t="s">
        <v>25</v>
      </c>
      <c r="I2978" s="1" t="s">
        <v>33</v>
      </c>
      <c r="J2978" s="1" t="s">
        <v>18</v>
      </c>
      <c r="K2978" s="1">
        <v>196000.0</v>
      </c>
      <c r="L2978" s="1">
        <v>56.9552183499999</v>
      </c>
      <c r="M2978" s="1">
        <v>24.1201280275563</v>
      </c>
    </row>
    <row r="2979">
      <c r="A2979" s="1" t="s">
        <v>13</v>
      </c>
      <c r="B2979" s="1" t="s">
        <v>19</v>
      </c>
      <c r="C2979" s="1" t="s">
        <v>69</v>
      </c>
      <c r="D2979" s="1">
        <v>1.0</v>
      </c>
      <c r="E2979" s="1">
        <v>38.0</v>
      </c>
      <c r="F2979" s="1">
        <v>6.0</v>
      </c>
      <c r="G2979" s="1">
        <v>9.0</v>
      </c>
      <c r="H2979" s="1" t="s">
        <v>36</v>
      </c>
      <c r="I2979" s="1" t="s">
        <v>17</v>
      </c>
      <c r="J2979" s="1" t="s">
        <v>18</v>
      </c>
      <c r="K2979" s="1">
        <v>250.0</v>
      </c>
      <c r="L2979" s="1">
        <v>56.91095995</v>
      </c>
      <c r="M2979" s="1">
        <v>24.1100004569314</v>
      </c>
    </row>
    <row r="2980">
      <c r="A2980" s="1" t="s">
        <v>13</v>
      </c>
      <c r="B2980" s="1" t="s">
        <v>23</v>
      </c>
      <c r="C2980" s="1" t="s">
        <v>1911</v>
      </c>
      <c r="D2980" s="1">
        <v>6.0</v>
      </c>
      <c r="E2980" s="1">
        <v>16.0</v>
      </c>
      <c r="F2980" s="1">
        <v>2.0</v>
      </c>
      <c r="G2980" s="1">
        <v>5.0</v>
      </c>
      <c r="H2980" s="1" t="s">
        <v>25</v>
      </c>
      <c r="I2980" s="1" t="s">
        <v>33</v>
      </c>
      <c r="J2980" s="1" t="s">
        <v>18</v>
      </c>
      <c r="K2980" s="1">
        <v>200.0</v>
      </c>
      <c r="L2980" s="1">
        <v>56.9626863</v>
      </c>
      <c r="M2980" s="1">
        <v>24.1480584</v>
      </c>
    </row>
    <row r="2981">
      <c r="A2981" s="1" t="s">
        <v>13</v>
      </c>
      <c r="B2981" s="1" t="s">
        <v>19</v>
      </c>
      <c r="C2981" s="1" t="s">
        <v>1912</v>
      </c>
      <c r="D2981" s="1">
        <v>1.0</v>
      </c>
      <c r="E2981" s="1">
        <v>34.0</v>
      </c>
      <c r="F2981" s="1">
        <v>5.0</v>
      </c>
      <c r="G2981" s="1">
        <v>9.0</v>
      </c>
      <c r="H2981" s="1">
        <v>602.0</v>
      </c>
      <c r="I2981" s="1" t="s">
        <v>21</v>
      </c>
      <c r="J2981" s="1" t="s">
        <v>18</v>
      </c>
      <c r="K2981" s="1">
        <v>220.0</v>
      </c>
      <c r="L2981" s="1">
        <v>56.9008096</v>
      </c>
      <c r="M2981" s="1">
        <v>24.1002449658235</v>
      </c>
    </row>
    <row r="2982">
      <c r="A2982" s="1" t="s">
        <v>22</v>
      </c>
      <c r="B2982" s="1" t="s">
        <v>14</v>
      </c>
      <c r="C2982" s="1" t="s">
        <v>958</v>
      </c>
      <c r="D2982" s="1">
        <v>4.0</v>
      </c>
      <c r="E2982" s="1">
        <v>74.0</v>
      </c>
      <c r="F2982" s="1">
        <v>1.0</v>
      </c>
      <c r="G2982" s="1">
        <v>9.0</v>
      </c>
      <c r="H2982" s="1">
        <v>602.0</v>
      </c>
      <c r="I2982" s="1" t="s">
        <v>21</v>
      </c>
      <c r="J2982" s="1" t="s">
        <v>18</v>
      </c>
      <c r="K2982" s="1">
        <v>65000.0</v>
      </c>
      <c r="L2982" s="1">
        <v>56.95922675</v>
      </c>
      <c r="M2982" s="1">
        <v>24.1820870162061</v>
      </c>
    </row>
    <row r="2983">
      <c r="A2983" s="1" t="s">
        <v>22</v>
      </c>
      <c r="B2983" s="1" t="s">
        <v>74</v>
      </c>
      <c r="C2983" s="1" t="s">
        <v>1913</v>
      </c>
      <c r="D2983" s="1">
        <v>2.0</v>
      </c>
      <c r="E2983" s="1">
        <v>47.0</v>
      </c>
      <c r="F2983" s="1">
        <v>4.0</v>
      </c>
      <c r="G2983" s="1">
        <v>8.0</v>
      </c>
      <c r="H2983" s="1">
        <v>602.0</v>
      </c>
      <c r="I2983" s="1" t="s">
        <v>21</v>
      </c>
      <c r="J2983" s="1" t="s">
        <v>18</v>
      </c>
      <c r="K2983" s="1">
        <v>52900.0</v>
      </c>
      <c r="L2983" s="1">
        <v>56.936719</v>
      </c>
      <c r="M2983" s="1">
        <v>24.2115553169076</v>
      </c>
    </row>
    <row r="2984">
      <c r="A2984" s="1" t="s">
        <v>22</v>
      </c>
      <c r="B2984" s="1" t="s">
        <v>48</v>
      </c>
      <c r="C2984" s="1" t="s">
        <v>1230</v>
      </c>
      <c r="D2984" s="1">
        <v>3.0</v>
      </c>
      <c r="E2984" s="1">
        <v>62.0</v>
      </c>
      <c r="F2984" s="1">
        <v>5.0</v>
      </c>
      <c r="G2984" s="1">
        <v>9.0</v>
      </c>
      <c r="H2984" s="1">
        <v>602.0</v>
      </c>
      <c r="I2984" s="1" t="s">
        <v>21</v>
      </c>
      <c r="J2984" s="1" t="s">
        <v>18</v>
      </c>
      <c r="K2984" s="1">
        <v>65000.0</v>
      </c>
      <c r="L2984" s="1">
        <v>56.970495</v>
      </c>
      <c r="M2984" s="1">
        <v>24.2327076100665</v>
      </c>
    </row>
    <row r="2985">
      <c r="A2985" s="1" t="s">
        <v>22</v>
      </c>
      <c r="B2985" s="1" t="s">
        <v>28</v>
      </c>
      <c r="C2985" s="1" t="s">
        <v>254</v>
      </c>
      <c r="D2985" s="1">
        <v>2.0</v>
      </c>
      <c r="E2985" s="1">
        <v>37.0</v>
      </c>
      <c r="F2985" s="1">
        <v>1.0</v>
      </c>
      <c r="G2985" s="1">
        <v>5.0</v>
      </c>
      <c r="H2985" s="1" t="s">
        <v>16</v>
      </c>
      <c r="I2985" s="1" t="s">
        <v>21</v>
      </c>
      <c r="J2985" s="1" t="s">
        <v>18</v>
      </c>
      <c r="K2985" s="1">
        <v>25700.0</v>
      </c>
      <c r="L2985" s="1">
        <v>56.887204</v>
      </c>
      <c r="M2985" s="1">
        <v>24.2335864</v>
      </c>
    </row>
    <row r="2986">
      <c r="A2986" s="1" t="s">
        <v>22</v>
      </c>
      <c r="B2986" s="1" t="s">
        <v>14</v>
      </c>
      <c r="C2986" s="1" t="s">
        <v>1914</v>
      </c>
      <c r="D2986" s="1">
        <v>1.0</v>
      </c>
      <c r="E2986" s="1">
        <v>42.0</v>
      </c>
      <c r="F2986" s="1">
        <v>5.0</v>
      </c>
      <c r="G2986" s="1">
        <v>5.0</v>
      </c>
      <c r="H2986" s="1" t="s">
        <v>57</v>
      </c>
      <c r="I2986" s="1" t="s">
        <v>17</v>
      </c>
      <c r="J2986" s="1" t="s">
        <v>18</v>
      </c>
      <c r="K2986" s="1">
        <v>27000.0</v>
      </c>
      <c r="L2986" s="1">
        <v>56.9449973</v>
      </c>
      <c r="M2986" s="1">
        <v>24.1732463</v>
      </c>
    </row>
    <row r="2987">
      <c r="A2987" s="1" t="s">
        <v>13</v>
      </c>
      <c r="B2987" s="1" t="s">
        <v>48</v>
      </c>
      <c r="C2987" s="1" t="s">
        <v>855</v>
      </c>
      <c r="D2987" s="1">
        <v>2.0</v>
      </c>
      <c r="E2987" s="1">
        <v>62.0</v>
      </c>
      <c r="F2987" s="1">
        <v>1.0</v>
      </c>
      <c r="G2987" s="1">
        <v>4.0</v>
      </c>
      <c r="H2987" s="1" t="s">
        <v>32</v>
      </c>
      <c r="I2987" s="1" t="s">
        <v>21</v>
      </c>
      <c r="J2987" s="1" t="s">
        <v>18</v>
      </c>
      <c r="K2987" s="1">
        <v>50.0</v>
      </c>
      <c r="L2987" s="1">
        <v>56.9503372</v>
      </c>
      <c r="M2987" s="1">
        <v>24.2445141015604</v>
      </c>
    </row>
    <row r="2988">
      <c r="A2988" s="1" t="s">
        <v>13</v>
      </c>
      <c r="B2988" s="1" t="s">
        <v>23</v>
      </c>
      <c r="C2988" s="1" t="s">
        <v>1915</v>
      </c>
      <c r="D2988" s="1">
        <v>2.0</v>
      </c>
      <c r="E2988" s="1">
        <v>50.0</v>
      </c>
      <c r="F2988" s="1">
        <v>4.0</v>
      </c>
      <c r="G2988" s="1">
        <v>4.0</v>
      </c>
      <c r="H2988" s="1" t="s">
        <v>25</v>
      </c>
      <c r="I2988" s="1" t="s">
        <v>33</v>
      </c>
      <c r="J2988" s="1" t="s">
        <v>27</v>
      </c>
      <c r="K2988" s="1">
        <v>250.0</v>
      </c>
      <c r="L2988" s="1">
        <v>56.9528832999999</v>
      </c>
      <c r="M2988" s="1">
        <v>24.1541402979014</v>
      </c>
    </row>
    <row r="2989">
      <c r="A2989" s="1" t="s">
        <v>468</v>
      </c>
      <c r="B2989" s="2"/>
      <c r="C2989" s="2"/>
      <c r="D2989" s="1">
        <v>5.0</v>
      </c>
      <c r="E2989" s="1">
        <v>190.0</v>
      </c>
      <c r="F2989" s="2"/>
      <c r="G2989" s="2"/>
      <c r="H2989" s="1" t="s">
        <v>171</v>
      </c>
      <c r="I2989" s="1" t="s">
        <v>37</v>
      </c>
      <c r="J2989" s="1" t="s">
        <v>18</v>
      </c>
      <c r="K2989" s="1">
        <v>29900.0</v>
      </c>
      <c r="L2989" s="1">
        <v>46.3144754</v>
      </c>
      <c r="M2989" s="1">
        <v>11.0480288</v>
      </c>
    </row>
    <row r="2990">
      <c r="A2990" s="1" t="s">
        <v>13</v>
      </c>
      <c r="B2990" s="1" t="s">
        <v>23</v>
      </c>
      <c r="C2990" s="1" t="s">
        <v>1916</v>
      </c>
      <c r="D2990" s="1">
        <v>2.0</v>
      </c>
      <c r="E2990" s="1">
        <v>43.0</v>
      </c>
      <c r="F2990" s="1">
        <v>7.0</v>
      </c>
      <c r="G2990" s="1">
        <v>10.0</v>
      </c>
      <c r="H2990" s="1" t="s">
        <v>32</v>
      </c>
      <c r="I2990" s="1" t="s">
        <v>21</v>
      </c>
      <c r="J2990" s="1" t="s">
        <v>18</v>
      </c>
      <c r="K2990" s="1">
        <v>600.0</v>
      </c>
      <c r="L2990" s="1">
        <v>56.9628209</v>
      </c>
      <c r="M2990" s="1">
        <v>24.1203782</v>
      </c>
    </row>
    <row r="2991">
      <c r="A2991" s="1" t="s">
        <v>22</v>
      </c>
      <c r="B2991" s="1" t="s">
        <v>94</v>
      </c>
      <c r="C2991" s="1" t="s">
        <v>1917</v>
      </c>
      <c r="D2991" s="1">
        <v>2.0</v>
      </c>
      <c r="E2991" s="1">
        <v>37.0</v>
      </c>
      <c r="F2991" s="1">
        <v>2.0</v>
      </c>
      <c r="G2991" s="1">
        <v>3.0</v>
      </c>
      <c r="H2991" s="1" t="s">
        <v>25</v>
      </c>
      <c r="I2991" s="1" t="s">
        <v>37</v>
      </c>
      <c r="J2991" s="1" t="s">
        <v>18</v>
      </c>
      <c r="K2991" s="1">
        <v>42800.0</v>
      </c>
      <c r="L2991" s="1">
        <v>56.93353555</v>
      </c>
      <c r="M2991" s="1">
        <v>24.1560216471009</v>
      </c>
    </row>
    <row r="2992">
      <c r="A2992" s="1" t="s">
        <v>13</v>
      </c>
      <c r="B2992" s="1" t="s">
        <v>151</v>
      </c>
      <c r="C2992" s="1" t="s">
        <v>306</v>
      </c>
      <c r="D2992" s="1">
        <v>1.0</v>
      </c>
      <c r="E2992" s="1">
        <v>27.0</v>
      </c>
      <c r="F2992" s="1">
        <v>1.0</v>
      </c>
      <c r="G2992" s="1">
        <v>5.0</v>
      </c>
      <c r="H2992" s="1" t="s">
        <v>16</v>
      </c>
      <c r="I2992" s="1" t="s">
        <v>21</v>
      </c>
      <c r="J2992" s="1" t="s">
        <v>18</v>
      </c>
      <c r="K2992" s="1">
        <v>250.0</v>
      </c>
      <c r="L2992" s="1">
        <v>56.97008835</v>
      </c>
      <c r="M2992" s="1">
        <v>24.0668175830755</v>
      </c>
    </row>
    <row r="2993">
      <c r="A2993" s="1" t="s">
        <v>22</v>
      </c>
      <c r="B2993" s="1" t="s">
        <v>14</v>
      </c>
      <c r="C2993" s="1" t="s">
        <v>1918</v>
      </c>
      <c r="D2993" s="1">
        <v>2.0</v>
      </c>
      <c r="E2993" s="1">
        <v>42.0</v>
      </c>
      <c r="F2993" s="1">
        <v>5.0</v>
      </c>
      <c r="G2993" s="1">
        <v>5.0</v>
      </c>
      <c r="H2993" s="1" t="s">
        <v>44</v>
      </c>
      <c r="I2993" s="1" t="s">
        <v>37</v>
      </c>
      <c r="J2993" s="1" t="s">
        <v>18</v>
      </c>
      <c r="K2993" s="1">
        <v>55000.0</v>
      </c>
      <c r="L2993" s="1">
        <v>56.96388685</v>
      </c>
      <c r="M2993" s="1">
        <v>24.1697506352613</v>
      </c>
    </row>
    <row r="2994">
      <c r="A2994" s="1" t="s">
        <v>22</v>
      </c>
      <c r="B2994" s="1" t="s">
        <v>38</v>
      </c>
      <c r="C2994" s="1" t="s">
        <v>1147</v>
      </c>
      <c r="D2994" s="1">
        <v>2.0</v>
      </c>
      <c r="E2994" s="1">
        <v>52.0</v>
      </c>
      <c r="F2994" s="1">
        <v>8.0</v>
      </c>
      <c r="G2994" s="1">
        <v>9.0</v>
      </c>
      <c r="H2994" s="1">
        <v>602.0</v>
      </c>
      <c r="I2994" s="1" t="s">
        <v>21</v>
      </c>
      <c r="J2994" s="1" t="s">
        <v>18</v>
      </c>
      <c r="K2994" s="1">
        <v>54000.0</v>
      </c>
      <c r="L2994" s="1">
        <v>56.9648157</v>
      </c>
      <c r="M2994" s="1">
        <v>24.0190534</v>
      </c>
    </row>
    <row r="2995">
      <c r="A2995" s="1" t="s">
        <v>22</v>
      </c>
      <c r="B2995" s="1" t="s">
        <v>23</v>
      </c>
      <c r="C2995" s="1" t="s">
        <v>1919</v>
      </c>
      <c r="D2995" s="1">
        <v>5.0</v>
      </c>
      <c r="E2995" s="1">
        <v>136.0</v>
      </c>
      <c r="F2995" s="1">
        <v>6.0</v>
      </c>
      <c r="G2995" s="1">
        <v>7.0</v>
      </c>
      <c r="H2995" s="1" t="s">
        <v>25</v>
      </c>
      <c r="I2995" s="1" t="s">
        <v>33</v>
      </c>
      <c r="J2995" s="1" t="s">
        <v>18</v>
      </c>
      <c r="K2995" s="1">
        <v>315000.0</v>
      </c>
      <c r="L2995" s="1">
        <v>56.948853</v>
      </c>
      <c r="M2995" s="1">
        <v>24.1124748</v>
      </c>
    </row>
    <row r="2996">
      <c r="A2996" s="1" t="s">
        <v>22</v>
      </c>
      <c r="B2996" s="1" t="s">
        <v>76</v>
      </c>
      <c r="C2996" s="1" t="s">
        <v>686</v>
      </c>
      <c r="D2996" s="1">
        <v>4.0</v>
      </c>
      <c r="E2996" s="1">
        <v>89.6</v>
      </c>
      <c r="F2996" s="1">
        <v>1.0</v>
      </c>
      <c r="G2996" s="1">
        <v>3.0</v>
      </c>
      <c r="H2996" s="1" t="s">
        <v>36</v>
      </c>
      <c r="I2996" s="1" t="s">
        <v>17</v>
      </c>
      <c r="J2996" s="1" t="s">
        <v>27</v>
      </c>
      <c r="K2996" s="1">
        <v>41000.0</v>
      </c>
      <c r="L2996" s="1">
        <v>56.96337905</v>
      </c>
      <c r="M2996" s="1">
        <v>24.0651286264855</v>
      </c>
    </row>
    <row r="2997">
      <c r="A2997" s="1" t="s">
        <v>22</v>
      </c>
      <c r="B2997" s="1" t="s">
        <v>129</v>
      </c>
      <c r="C2997" s="1" t="s">
        <v>445</v>
      </c>
      <c r="D2997" s="1">
        <v>1.0</v>
      </c>
      <c r="E2997" s="1">
        <v>15.0</v>
      </c>
      <c r="F2997" s="1">
        <v>2.0</v>
      </c>
      <c r="G2997" s="1">
        <v>3.0</v>
      </c>
      <c r="H2997" s="1" t="s">
        <v>25</v>
      </c>
      <c r="I2997" s="1" t="s">
        <v>33</v>
      </c>
      <c r="J2997" s="1" t="s">
        <v>27</v>
      </c>
      <c r="K2997" s="1">
        <v>5370.0</v>
      </c>
      <c r="L2997" s="1">
        <v>56.99682205</v>
      </c>
      <c r="M2997" s="1">
        <v>24.1280636132716</v>
      </c>
    </row>
    <row r="2998">
      <c r="A2998" s="1" t="s">
        <v>22</v>
      </c>
      <c r="B2998" s="1" t="s">
        <v>218</v>
      </c>
      <c r="C2998" s="1" t="s">
        <v>1919</v>
      </c>
      <c r="D2998" s="1">
        <v>5.0</v>
      </c>
      <c r="E2998" s="1">
        <v>136.0</v>
      </c>
      <c r="F2998" s="1">
        <v>6.0</v>
      </c>
      <c r="G2998" s="1">
        <v>7.0</v>
      </c>
      <c r="H2998" s="1" t="s">
        <v>25</v>
      </c>
      <c r="I2998" s="1" t="s">
        <v>33</v>
      </c>
      <c r="J2998" s="1" t="s">
        <v>18</v>
      </c>
      <c r="K2998" s="1">
        <v>315000.0</v>
      </c>
      <c r="L2998" s="1">
        <v>56.948853</v>
      </c>
      <c r="M2998" s="1">
        <v>24.1124748</v>
      </c>
    </row>
    <row r="2999">
      <c r="A2999" s="1" t="s">
        <v>13</v>
      </c>
      <c r="B2999" s="1" t="s">
        <v>23</v>
      </c>
      <c r="C2999" s="1" t="s">
        <v>1920</v>
      </c>
      <c r="D2999" s="1">
        <v>3.0</v>
      </c>
      <c r="E2999" s="1">
        <v>73.0</v>
      </c>
      <c r="F2999" s="1">
        <v>3.0</v>
      </c>
      <c r="G2999" s="1">
        <v>6.0</v>
      </c>
      <c r="H2999" s="1" t="s">
        <v>25</v>
      </c>
      <c r="I2999" s="1" t="s">
        <v>33</v>
      </c>
      <c r="J2999" s="1" t="s">
        <v>18</v>
      </c>
      <c r="K2999" s="1">
        <v>850.0</v>
      </c>
      <c r="L2999" s="1">
        <v>56.956564</v>
      </c>
      <c r="M2999" s="1">
        <v>24.1211605</v>
      </c>
    </row>
    <row r="3000">
      <c r="A3000" s="1" t="s">
        <v>13</v>
      </c>
      <c r="B3000" s="1" t="s">
        <v>23</v>
      </c>
      <c r="C3000" s="1" t="s">
        <v>1921</v>
      </c>
      <c r="D3000" s="1">
        <v>1.0</v>
      </c>
      <c r="E3000" s="1">
        <v>25.0</v>
      </c>
      <c r="F3000" s="1">
        <v>3.0</v>
      </c>
      <c r="G3000" s="1">
        <v>5.0</v>
      </c>
      <c r="H3000" s="1" t="s">
        <v>36</v>
      </c>
      <c r="I3000" s="1" t="s">
        <v>21</v>
      </c>
      <c r="J3000" s="1" t="s">
        <v>18</v>
      </c>
      <c r="K3000" s="1">
        <v>24.0</v>
      </c>
      <c r="L3000" s="1">
        <v>56.9546515</v>
      </c>
      <c r="M3000" s="1">
        <v>24.1234373</v>
      </c>
    </row>
    <row r="3001">
      <c r="A3001" s="1" t="s">
        <v>22</v>
      </c>
      <c r="B3001" s="1" t="s">
        <v>218</v>
      </c>
      <c r="C3001" s="1" t="s">
        <v>1922</v>
      </c>
      <c r="D3001" s="1">
        <v>2.0</v>
      </c>
      <c r="E3001" s="1">
        <v>67.0</v>
      </c>
      <c r="F3001" s="1">
        <v>5.0</v>
      </c>
      <c r="G3001" s="1">
        <v>5.0</v>
      </c>
      <c r="H3001" s="1" t="s">
        <v>25</v>
      </c>
      <c r="I3001" s="1" t="s">
        <v>33</v>
      </c>
      <c r="J3001" s="1" t="s">
        <v>18</v>
      </c>
      <c r="K3001" s="1">
        <v>145000.0</v>
      </c>
      <c r="L3001" s="1">
        <v>56.952698</v>
      </c>
      <c r="M3001" s="1">
        <v>24.1051471</v>
      </c>
    </row>
    <row r="3002">
      <c r="A3002" s="1" t="s">
        <v>22</v>
      </c>
      <c r="B3002" s="1" t="s">
        <v>172</v>
      </c>
      <c r="C3002" s="1" t="s">
        <v>1923</v>
      </c>
      <c r="D3002" s="1">
        <v>3.0</v>
      </c>
      <c r="E3002" s="1">
        <v>56.0</v>
      </c>
      <c r="F3002" s="1">
        <v>4.0</v>
      </c>
      <c r="G3002" s="1">
        <v>5.0</v>
      </c>
      <c r="H3002" s="1" t="s">
        <v>36</v>
      </c>
      <c r="I3002" s="1" t="s">
        <v>37</v>
      </c>
      <c r="J3002" s="1" t="s">
        <v>18</v>
      </c>
      <c r="K3002" s="1">
        <v>34500.0</v>
      </c>
      <c r="L3002" s="1">
        <v>56.9054036</v>
      </c>
      <c r="M3002" s="1">
        <v>24.2216505</v>
      </c>
    </row>
    <row r="3003">
      <c r="A3003" s="1" t="s">
        <v>22</v>
      </c>
      <c r="B3003" s="1" t="s">
        <v>74</v>
      </c>
      <c r="C3003" s="1" t="s">
        <v>1924</v>
      </c>
      <c r="D3003" s="1">
        <v>2.0</v>
      </c>
      <c r="E3003" s="1">
        <v>53.0</v>
      </c>
      <c r="F3003" s="1">
        <v>3.0</v>
      </c>
      <c r="G3003" s="1">
        <v>9.0</v>
      </c>
      <c r="H3003" s="1">
        <v>602.0</v>
      </c>
      <c r="I3003" s="1" t="s">
        <v>21</v>
      </c>
      <c r="J3003" s="1" t="s">
        <v>18</v>
      </c>
      <c r="K3003" s="1">
        <v>56000.0</v>
      </c>
      <c r="L3003" s="1">
        <v>56.94096295</v>
      </c>
      <c r="M3003" s="1">
        <v>24.2262600527306</v>
      </c>
    </row>
    <row r="3004">
      <c r="A3004" s="1" t="s">
        <v>13</v>
      </c>
      <c r="B3004" s="1" t="s">
        <v>23</v>
      </c>
      <c r="C3004" s="1" t="s">
        <v>91</v>
      </c>
      <c r="D3004" s="1">
        <v>2.0</v>
      </c>
      <c r="E3004" s="1">
        <v>40.0</v>
      </c>
      <c r="F3004" s="1">
        <v>3.0</v>
      </c>
      <c r="G3004" s="1">
        <v>6.0</v>
      </c>
      <c r="H3004" s="1" t="s">
        <v>32</v>
      </c>
      <c r="I3004" s="1" t="s">
        <v>21</v>
      </c>
      <c r="J3004" s="1" t="s">
        <v>18</v>
      </c>
      <c r="K3004" s="1">
        <v>440.0</v>
      </c>
      <c r="L3004" s="1">
        <v>56.9552522</v>
      </c>
      <c r="M3004" s="1">
        <v>24.0999991251943</v>
      </c>
    </row>
    <row r="3005">
      <c r="A3005" s="1" t="s">
        <v>22</v>
      </c>
      <c r="B3005" s="1" t="s">
        <v>48</v>
      </c>
      <c r="C3005" s="1" t="s">
        <v>49</v>
      </c>
      <c r="D3005" s="1">
        <v>4.0</v>
      </c>
      <c r="E3005" s="1">
        <v>124.0</v>
      </c>
      <c r="F3005" s="1">
        <v>9.0</v>
      </c>
      <c r="G3005" s="1">
        <v>10.0</v>
      </c>
      <c r="H3005" s="1">
        <v>602.0</v>
      </c>
      <c r="I3005" s="1" t="s">
        <v>21</v>
      </c>
      <c r="J3005" s="1" t="s">
        <v>18</v>
      </c>
      <c r="K3005" s="1">
        <v>103000.0</v>
      </c>
      <c r="L3005" s="1">
        <v>56.967948</v>
      </c>
      <c r="M3005" s="1">
        <v>24.2351586311777</v>
      </c>
    </row>
    <row r="3006">
      <c r="A3006" s="1" t="s">
        <v>22</v>
      </c>
      <c r="B3006" s="1" t="s">
        <v>23</v>
      </c>
      <c r="C3006" s="1" t="s">
        <v>1050</v>
      </c>
      <c r="D3006" s="1">
        <v>3.0</v>
      </c>
      <c r="E3006" s="1">
        <v>75.0</v>
      </c>
      <c r="F3006" s="1">
        <v>1.0</v>
      </c>
      <c r="G3006" s="1">
        <v>4.0</v>
      </c>
      <c r="H3006" s="1" t="s">
        <v>25</v>
      </c>
      <c r="I3006" s="1" t="s">
        <v>37</v>
      </c>
      <c r="J3006" s="1" t="s">
        <v>18</v>
      </c>
      <c r="K3006" s="1">
        <v>129000.0</v>
      </c>
      <c r="L3006" s="1">
        <v>56.9589017</v>
      </c>
      <c r="M3006" s="1">
        <v>24.1144608</v>
      </c>
    </row>
    <row r="3007">
      <c r="A3007" s="1" t="s">
        <v>89</v>
      </c>
      <c r="B3007" s="1" t="s">
        <v>94</v>
      </c>
      <c r="C3007" s="2"/>
      <c r="D3007" s="2"/>
      <c r="E3007" s="1">
        <v>8.0</v>
      </c>
      <c r="F3007" s="1">
        <v>88.0</v>
      </c>
      <c r="G3007" s="1">
        <v>8.0</v>
      </c>
      <c r="H3007" s="2"/>
      <c r="I3007" s="2"/>
      <c r="J3007" s="2"/>
      <c r="K3007" s="2"/>
      <c r="L3007" s="1">
        <v>46.3144754</v>
      </c>
      <c r="M3007" s="1">
        <v>11.0480288</v>
      </c>
    </row>
    <row r="3008">
      <c r="A3008" s="1" t="s">
        <v>89</v>
      </c>
      <c r="B3008" s="1" t="s">
        <v>48</v>
      </c>
      <c r="C3008" s="2"/>
      <c r="D3008" s="2"/>
      <c r="E3008" s="1">
        <v>4.0</v>
      </c>
      <c r="F3008" s="1">
        <v>44.0</v>
      </c>
      <c r="G3008" s="1">
        <v>4.0</v>
      </c>
      <c r="H3008" s="2"/>
      <c r="I3008" s="2"/>
      <c r="J3008" s="2"/>
      <c r="K3008" s="2"/>
      <c r="L3008" s="1">
        <v>46.3144754</v>
      </c>
      <c r="M3008" s="1">
        <v>11.0480288</v>
      </c>
    </row>
    <row r="3009">
      <c r="A3009" s="1" t="s">
        <v>89</v>
      </c>
      <c r="B3009" s="1" t="s">
        <v>422</v>
      </c>
      <c r="C3009" s="2"/>
      <c r="D3009" s="2"/>
      <c r="E3009" s="1">
        <v>8.0</v>
      </c>
      <c r="F3009" s="1">
        <v>88.0</v>
      </c>
      <c r="G3009" s="1">
        <v>8.0</v>
      </c>
      <c r="H3009" s="2"/>
      <c r="I3009" s="2"/>
      <c r="J3009" s="2"/>
      <c r="K3009" s="2"/>
      <c r="L3009" s="1">
        <v>46.3144754</v>
      </c>
      <c r="M3009" s="1">
        <v>11.0480288</v>
      </c>
    </row>
    <row r="3010">
      <c r="A3010" s="1" t="s">
        <v>89</v>
      </c>
      <c r="B3010" s="1" t="s">
        <v>174</v>
      </c>
      <c r="C3010" s="2"/>
      <c r="D3010" s="2"/>
      <c r="E3010" s="2"/>
      <c r="F3010" s="1">
        <v>77.0</v>
      </c>
      <c r="G3010" s="1">
        <v>7.0</v>
      </c>
      <c r="H3010" s="2"/>
      <c r="I3010" s="2"/>
      <c r="J3010" s="2"/>
      <c r="K3010" s="2"/>
      <c r="L3010" s="1">
        <v>46.3144754</v>
      </c>
      <c r="M3010" s="1">
        <v>11.0480288</v>
      </c>
    </row>
    <row r="3011">
      <c r="A3011" s="1" t="s">
        <v>89</v>
      </c>
      <c r="B3011" s="1" t="s">
        <v>109</v>
      </c>
      <c r="C3011" s="2"/>
      <c r="D3011" s="1">
        <v>2.0</v>
      </c>
      <c r="E3011" s="2"/>
      <c r="F3011" s="1">
        <v>12.0</v>
      </c>
      <c r="G3011" s="1">
        <v>9.0</v>
      </c>
      <c r="H3011" s="2"/>
      <c r="I3011" s="2"/>
      <c r="J3011" s="2"/>
      <c r="K3011" s="2"/>
      <c r="L3011" s="1">
        <v>46.3144754</v>
      </c>
      <c r="M3011" s="1">
        <v>11.0480288</v>
      </c>
    </row>
    <row r="3012">
      <c r="A3012" s="1" t="s">
        <v>89</v>
      </c>
      <c r="B3012" s="1" t="s">
        <v>74</v>
      </c>
      <c r="C3012" s="2"/>
      <c r="D3012" s="1">
        <v>1.0</v>
      </c>
      <c r="E3012" s="2"/>
      <c r="F3012" s="1">
        <v>99.0</v>
      </c>
      <c r="G3012" s="1">
        <v>9.0</v>
      </c>
      <c r="H3012" s="2"/>
      <c r="I3012" s="2"/>
      <c r="J3012" s="2"/>
      <c r="K3012" s="2"/>
      <c r="L3012" s="1">
        <v>46.3144754</v>
      </c>
      <c r="M3012" s="1">
        <v>11.0480288</v>
      </c>
    </row>
    <row r="3013">
      <c r="A3013" s="1" t="s">
        <v>89</v>
      </c>
      <c r="B3013" s="1" t="s">
        <v>1813</v>
      </c>
      <c r="C3013" s="2"/>
      <c r="D3013" s="1">
        <v>6.0</v>
      </c>
      <c r="E3013" s="1">
        <v>7.0</v>
      </c>
      <c r="F3013" s="1">
        <v>77.0</v>
      </c>
      <c r="G3013" s="1">
        <v>7.0</v>
      </c>
      <c r="H3013" s="2"/>
      <c r="I3013" s="2"/>
      <c r="J3013" s="2"/>
      <c r="K3013" s="2"/>
      <c r="L3013" s="1">
        <v>46.3144754</v>
      </c>
      <c r="M3013" s="1">
        <v>11.0480288</v>
      </c>
    </row>
    <row r="3014">
      <c r="A3014" s="1" t="s">
        <v>89</v>
      </c>
      <c r="B3014" s="1" t="s">
        <v>447</v>
      </c>
      <c r="C3014" s="2"/>
      <c r="D3014" s="2"/>
      <c r="E3014" s="2"/>
      <c r="F3014" s="1">
        <v>77.0</v>
      </c>
      <c r="G3014" s="1">
        <v>7.0</v>
      </c>
      <c r="H3014" s="2"/>
      <c r="I3014" s="2"/>
      <c r="J3014" s="2"/>
      <c r="K3014" s="2"/>
      <c r="L3014" s="1">
        <v>46.3144754</v>
      </c>
      <c r="M3014" s="1">
        <v>11.0480288</v>
      </c>
    </row>
    <row r="3015">
      <c r="A3015" s="1" t="s">
        <v>89</v>
      </c>
      <c r="B3015" s="1" t="s">
        <v>30</v>
      </c>
      <c r="C3015" s="2"/>
      <c r="D3015" s="1">
        <v>2.0</v>
      </c>
      <c r="E3015" s="2"/>
      <c r="F3015" s="1">
        <v>12.0</v>
      </c>
      <c r="G3015" s="1">
        <v>9.0</v>
      </c>
      <c r="H3015" s="2"/>
      <c r="I3015" s="2"/>
      <c r="J3015" s="2"/>
      <c r="K3015" s="2"/>
      <c r="L3015" s="1">
        <v>46.3144754</v>
      </c>
      <c r="M3015" s="1">
        <v>11.0480288</v>
      </c>
    </row>
    <row r="3016">
      <c r="A3016" s="1" t="s">
        <v>89</v>
      </c>
      <c r="B3016" s="1" t="s">
        <v>67</v>
      </c>
      <c r="C3016" s="2"/>
      <c r="D3016" s="2"/>
      <c r="E3016" s="1">
        <v>9.0</v>
      </c>
      <c r="F3016" s="1">
        <v>99.0</v>
      </c>
      <c r="G3016" s="1">
        <v>9.0</v>
      </c>
      <c r="H3016" s="2"/>
      <c r="I3016" s="2"/>
      <c r="J3016" s="2"/>
      <c r="K3016" s="2"/>
      <c r="L3016" s="1">
        <v>46.3144754</v>
      </c>
      <c r="M3016" s="1">
        <v>11.0480288</v>
      </c>
    </row>
    <row r="3017">
      <c r="A3017" s="1" t="s">
        <v>89</v>
      </c>
      <c r="B3017" s="1" t="s">
        <v>129</v>
      </c>
      <c r="C3017" s="2"/>
      <c r="D3017" s="1">
        <v>1.0</v>
      </c>
      <c r="E3017" s="1">
        <v>99.0</v>
      </c>
      <c r="F3017" s="1">
        <v>99.0</v>
      </c>
      <c r="G3017" s="1">
        <v>9.0</v>
      </c>
      <c r="H3017" s="2"/>
      <c r="I3017" s="2"/>
      <c r="J3017" s="2"/>
      <c r="K3017" s="2"/>
      <c r="L3017" s="1">
        <v>46.3144754</v>
      </c>
      <c r="M3017" s="1">
        <v>11.0480288</v>
      </c>
    </row>
    <row r="3018">
      <c r="A3018" s="1" t="s">
        <v>89</v>
      </c>
      <c r="B3018" s="1" t="s">
        <v>19</v>
      </c>
      <c r="C3018" s="2"/>
      <c r="D3018" s="2"/>
      <c r="E3018" s="1">
        <v>9.0</v>
      </c>
      <c r="F3018" s="1">
        <v>9.0</v>
      </c>
      <c r="G3018" s="1">
        <v>99.0</v>
      </c>
      <c r="H3018" s="2"/>
      <c r="I3018" s="2"/>
      <c r="J3018" s="2"/>
      <c r="K3018" s="2"/>
      <c r="L3018" s="1">
        <v>46.3144754</v>
      </c>
      <c r="M3018" s="1">
        <v>11.0480288</v>
      </c>
    </row>
    <row r="3019">
      <c r="A3019" s="1" t="s">
        <v>22</v>
      </c>
      <c r="B3019" s="1" t="s">
        <v>48</v>
      </c>
      <c r="C3019" s="1" t="s">
        <v>365</v>
      </c>
      <c r="D3019" s="1">
        <v>3.0</v>
      </c>
      <c r="E3019" s="1">
        <v>88.0</v>
      </c>
      <c r="F3019" s="1">
        <v>4.0</v>
      </c>
      <c r="G3019" s="1">
        <v>5.0</v>
      </c>
      <c r="H3019" s="1" t="s">
        <v>32</v>
      </c>
      <c r="I3019" s="1" t="s">
        <v>122</v>
      </c>
      <c r="J3019" s="1" t="s">
        <v>18</v>
      </c>
      <c r="K3019" s="1">
        <v>110250.0</v>
      </c>
      <c r="L3019" s="1">
        <v>56.95546705</v>
      </c>
      <c r="M3019" s="1">
        <v>24.24181865</v>
      </c>
    </row>
    <row r="3020">
      <c r="A3020" s="1" t="s">
        <v>13</v>
      </c>
      <c r="B3020" s="1" t="s">
        <v>38</v>
      </c>
      <c r="C3020" s="1" t="s">
        <v>1925</v>
      </c>
      <c r="D3020" s="1">
        <v>3.0</v>
      </c>
      <c r="E3020" s="1">
        <v>62.0</v>
      </c>
      <c r="F3020" s="1">
        <v>3.0</v>
      </c>
      <c r="G3020" s="1">
        <v>9.0</v>
      </c>
      <c r="H3020" s="1">
        <v>602.0</v>
      </c>
      <c r="I3020" s="1" t="s">
        <v>21</v>
      </c>
      <c r="J3020" s="1" t="s">
        <v>18</v>
      </c>
      <c r="K3020" s="1">
        <v>320.0</v>
      </c>
      <c r="L3020" s="1">
        <v>56.9650257</v>
      </c>
      <c r="M3020" s="1">
        <v>24.0105547470344</v>
      </c>
    </row>
    <row r="3021">
      <c r="A3021" s="1" t="s">
        <v>13</v>
      </c>
      <c r="B3021" s="1" t="s">
        <v>23</v>
      </c>
      <c r="C3021" s="1" t="s">
        <v>1926</v>
      </c>
      <c r="D3021" s="1">
        <v>1.0</v>
      </c>
      <c r="E3021" s="1">
        <v>30.0</v>
      </c>
      <c r="F3021" s="1">
        <v>1.0</v>
      </c>
      <c r="G3021" s="1">
        <v>5.0</v>
      </c>
      <c r="H3021" s="1" t="s">
        <v>25</v>
      </c>
      <c r="I3021" s="1" t="s">
        <v>33</v>
      </c>
      <c r="J3021" s="1" t="s">
        <v>18</v>
      </c>
      <c r="K3021" s="1">
        <v>320.0</v>
      </c>
      <c r="L3021" s="1">
        <v>56.95137875</v>
      </c>
      <c r="M3021" s="1">
        <v>24.141451250289</v>
      </c>
    </row>
    <row r="3022">
      <c r="A3022" s="1" t="s">
        <v>89</v>
      </c>
      <c r="B3022" s="1" t="s">
        <v>23</v>
      </c>
      <c r="C3022" s="2"/>
      <c r="D3022" s="2"/>
      <c r="E3022" s="2"/>
      <c r="F3022" s="2"/>
      <c r="G3022" s="2"/>
      <c r="H3022" s="2"/>
      <c r="I3022" s="2"/>
      <c r="J3022" s="2"/>
      <c r="K3022" s="2"/>
      <c r="L3022" s="1">
        <v>46.3144754</v>
      </c>
      <c r="M3022" s="1">
        <v>11.0480288</v>
      </c>
    </row>
    <row r="3023">
      <c r="A3023" s="1" t="s">
        <v>89</v>
      </c>
      <c r="B3023" s="1" t="s">
        <v>117</v>
      </c>
      <c r="C3023" s="2"/>
      <c r="D3023" s="2"/>
      <c r="E3023" s="2"/>
      <c r="F3023" s="2"/>
      <c r="G3023" s="2"/>
      <c r="H3023" s="2"/>
      <c r="I3023" s="2"/>
      <c r="J3023" s="2"/>
      <c r="K3023" s="2"/>
      <c r="L3023" s="1">
        <v>46.3144754</v>
      </c>
      <c r="M3023" s="1">
        <v>11.0480288</v>
      </c>
    </row>
    <row r="3024">
      <c r="A3024" s="1" t="s">
        <v>89</v>
      </c>
      <c r="B3024" s="1" t="s">
        <v>60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1">
        <v>46.3144754</v>
      </c>
      <c r="M3024" s="1">
        <v>11.0480288</v>
      </c>
    </row>
    <row r="3025">
      <c r="A3025" s="1" t="s">
        <v>89</v>
      </c>
      <c r="B3025" s="1" t="s">
        <v>218</v>
      </c>
      <c r="C3025" s="2"/>
      <c r="D3025" s="1" t="s">
        <v>90</v>
      </c>
      <c r="E3025" s="2"/>
      <c r="F3025" s="2"/>
      <c r="G3025" s="2"/>
      <c r="H3025" s="2"/>
      <c r="I3025" s="2"/>
      <c r="J3025" s="2"/>
      <c r="K3025" s="2"/>
      <c r="L3025" s="1">
        <v>46.3144754</v>
      </c>
      <c r="M3025" s="1">
        <v>11.0480288</v>
      </c>
    </row>
    <row r="3026">
      <c r="A3026" s="1" t="s">
        <v>13</v>
      </c>
      <c r="B3026" s="1" t="s">
        <v>23</v>
      </c>
      <c r="C3026" s="1" t="s">
        <v>1927</v>
      </c>
      <c r="D3026" s="1">
        <v>1.0</v>
      </c>
      <c r="E3026" s="1">
        <v>28.0</v>
      </c>
      <c r="F3026" s="1">
        <v>5.0</v>
      </c>
      <c r="G3026" s="1">
        <v>5.0</v>
      </c>
      <c r="H3026" s="1" t="s">
        <v>25</v>
      </c>
      <c r="I3026" s="1" t="s">
        <v>33</v>
      </c>
      <c r="J3026" s="1" t="s">
        <v>18</v>
      </c>
      <c r="K3026" s="1">
        <v>170.0</v>
      </c>
      <c r="L3026" s="1">
        <v>56.9506608</v>
      </c>
      <c r="M3026" s="1">
        <v>24.125067</v>
      </c>
    </row>
    <row r="3027">
      <c r="A3027" s="1" t="s">
        <v>468</v>
      </c>
      <c r="B3027" s="1" t="s">
        <v>76</v>
      </c>
      <c r="C3027" s="1" t="s">
        <v>1928</v>
      </c>
      <c r="D3027" s="1">
        <v>3.0</v>
      </c>
      <c r="E3027" s="1">
        <v>60.0</v>
      </c>
      <c r="F3027" s="1">
        <v>1.0</v>
      </c>
      <c r="G3027" s="1">
        <v>5.0</v>
      </c>
      <c r="H3027" s="1" t="s">
        <v>16</v>
      </c>
      <c r="I3027" s="1" t="s">
        <v>21</v>
      </c>
      <c r="J3027" s="1" t="s">
        <v>18</v>
      </c>
      <c r="K3027" s="1">
        <v>60.0</v>
      </c>
      <c r="L3027" s="1">
        <v>56.941069</v>
      </c>
      <c r="M3027" s="1">
        <v>24.0527438</v>
      </c>
    </row>
    <row r="3028">
      <c r="A3028" s="1" t="s">
        <v>13</v>
      </c>
      <c r="B3028" s="1" t="s">
        <v>74</v>
      </c>
      <c r="C3028" s="1" t="s">
        <v>1929</v>
      </c>
      <c r="D3028" s="1">
        <v>1.0</v>
      </c>
      <c r="E3028" s="1">
        <v>40.0</v>
      </c>
      <c r="F3028" s="1">
        <v>1.0</v>
      </c>
      <c r="G3028" s="1">
        <v>5.0</v>
      </c>
      <c r="H3028" s="1" t="s">
        <v>57</v>
      </c>
      <c r="I3028" s="1" t="s">
        <v>122</v>
      </c>
      <c r="J3028" s="1" t="s">
        <v>18</v>
      </c>
      <c r="K3028" s="1">
        <v>230.0</v>
      </c>
      <c r="L3028" s="1">
        <v>56.94153595</v>
      </c>
      <c r="M3028" s="1">
        <v>24.2167896872756</v>
      </c>
    </row>
    <row r="3029">
      <c r="A3029" s="1" t="s">
        <v>13</v>
      </c>
      <c r="B3029" s="1" t="s">
        <v>23</v>
      </c>
      <c r="C3029" s="1" t="s">
        <v>1930</v>
      </c>
      <c r="D3029" s="1">
        <v>2.0</v>
      </c>
      <c r="E3029" s="1">
        <v>50.0</v>
      </c>
      <c r="F3029" s="1">
        <v>2.0</v>
      </c>
      <c r="G3029" s="1">
        <v>6.0</v>
      </c>
      <c r="H3029" s="1" t="s">
        <v>25</v>
      </c>
      <c r="I3029" s="1" t="s">
        <v>33</v>
      </c>
      <c r="J3029" s="1" t="s">
        <v>18</v>
      </c>
      <c r="K3029" s="1">
        <v>300.0</v>
      </c>
      <c r="L3029" s="1">
        <v>56.8597884</v>
      </c>
      <c r="M3029" s="1">
        <v>24.3083417</v>
      </c>
    </row>
    <row r="3030">
      <c r="A3030" s="1" t="s">
        <v>22</v>
      </c>
      <c r="B3030" s="1" t="s">
        <v>50</v>
      </c>
      <c r="C3030" s="1" t="s">
        <v>490</v>
      </c>
      <c r="D3030" s="1">
        <v>2.0</v>
      </c>
      <c r="E3030" s="1">
        <v>50.0</v>
      </c>
      <c r="F3030" s="1">
        <v>3.0</v>
      </c>
      <c r="G3030" s="1">
        <v>5.0</v>
      </c>
      <c r="H3030" s="1" t="s">
        <v>16</v>
      </c>
      <c r="I3030" s="1" t="s">
        <v>21</v>
      </c>
      <c r="J3030" s="1" t="s">
        <v>18</v>
      </c>
      <c r="K3030" s="1">
        <v>68000.0</v>
      </c>
      <c r="L3030" s="1">
        <v>56.9397657</v>
      </c>
      <c r="M3030" s="1">
        <v>24.1531645</v>
      </c>
    </row>
    <row r="3031">
      <c r="A3031" s="1" t="s">
        <v>22</v>
      </c>
      <c r="B3031" s="1" t="s">
        <v>74</v>
      </c>
      <c r="C3031" s="1" t="s">
        <v>1931</v>
      </c>
      <c r="D3031" s="1">
        <v>2.0</v>
      </c>
      <c r="E3031" s="1">
        <v>62.0</v>
      </c>
      <c r="F3031" s="1">
        <v>1.0</v>
      </c>
      <c r="G3031" s="1">
        <v>10.0</v>
      </c>
      <c r="H3031" s="1" t="s">
        <v>32</v>
      </c>
      <c r="I3031" s="1" t="s">
        <v>33</v>
      </c>
      <c r="J3031" s="1" t="s">
        <v>18</v>
      </c>
      <c r="K3031" s="1">
        <v>89990.0</v>
      </c>
      <c r="L3031" s="1">
        <v>56.93600265</v>
      </c>
      <c r="M3031" s="1">
        <v>24.2142701017903</v>
      </c>
    </row>
    <row r="3032">
      <c r="A3032" s="1" t="s">
        <v>22</v>
      </c>
      <c r="B3032" s="1" t="s">
        <v>19</v>
      </c>
      <c r="C3032" s="1" t="s">
        <v>1932</v>
      </c>
      <c r="D3032" s="1">
        <v>1.0</v>
      </c>
      <c r="E3032" s="1">
        <v>32.0</v>
      </c>
      <c r="F3032" s="1">
        <v>5.0</v>
      </c>
      <c r="G3032" s="1">
        <v>5.0</v>
      </c>
      <c r="H3032" s="1" t="s">
        <v>16</v>
      </c>
      <c r="I3032" s="1" t="s">
        <v>21</v>
      </c>
      <c r="J3032" s="1" t="s">
        <v>18</v>
      </c>
      <c r="K3032" s="1">
        <v>36500.0</v>
      </c>
      <c r="L3032" s="1">
        <v>56.91580105</v>
      </c>
      <c r="M3032" s="1">
        <v>24.0922380228697</v>
      </c>
    </row>
    <row r="3033">
      <c r="A3033" s="1" t="s">
        <v>13</v>
      </c>
      <c r="B3033" s="1" t="s">
        <v>23</v>
      </c>
      <c r="C3033" s="1" t="s">
        <v>1933</v>
      </c>
      <c r="D3033" s="1">
        <v>1.0</v>
      </c>
      <c r="E3033" s="1">
        <v>35.0</v>
      </c>
      <c r="F3033" s="1">
        <v>4.0</v>
      </c>
      <c r="G3033" s="1">
        <v>5.0</v>
      </c>
      <c r="H3033" s="1" t="s">
        <v>36</v>
      </c>
      <c r="I3033" s="1" t="s">
        <v>122</v>
      </c>
      <c r="J3033" s="1" t="s">
        <v>18</v>
      </c>
      <c r="K3033" s="1">
        <v>250.0</v>
      </c>
      <c r="L3033" s="1">
        <v>56.9736022999999</v>
      </c>
      <c r="M3033" s="1">
        <v>24.1300761999999</v>
      </c>
    </row>
    <row r="3034">
      <c r="A3034" s="1" t="s">
        <v>22</v>
      </c>
      <c r="B3034" s="1" t="s">
        <v>441</v>
      </c>
      <c r="C3034" s="1" t="s">
        <v>442</v>
      </c>
      <c r="D3034" s="1">
        <v>1.0</v>
      </c>
      <c r="E3034" s="1">
        <v>24.0</v>
      </c>
      <c r="F3034" s="1">
        <v>1.0</v>
      </c>
      <c r="G3034" s="1">
        <v>2.0</v>
      </c>
      <c r="H3034" s="1" t="s">
        <v>36</v>
      </c>
      <c r="I3034" s="1" t="s">
        <v>26</v>
      </c>
      <c r="J3034" s="1" t="s">
        <v>27</v>
      </c>
      <c r="K3034" s="1">
        <v>7390.0</v>
      </c>
      <c r="L3034" s="1">
        <v>57.034118</v>
      </c>
      <c r="M3034" s="1">
        <v>24.1267927</v>
      </c>
    </row>
    <row r="3035">
      <c r="A3035" s="1" t="s">
        <v>22</v>
      </c>
      <c r="B3035" s="1" t="s">
        <v>19</v>
      </c>
      <c r="C3035" s="1" t="s">
        <v>1934</v>
      </c>
      <c r="D3035" s="1">
        <v>1.0</v>
      </c>
      <c r="E3035" s="1">
        <v>26.0</v>
      </c>
      <c r="F3035" s="1">
        <v>2.0</v>
      </c>
      <c r="G3035" s="1">
        <v>2.0</v>
      </c>
      <c r="H3035" s="1" t="s">
        <v>36</v>
      </c>
      <c r="I3035" s="1" t="s">
        <v>26</v>
      </c>
      <c r="J3035" s="1" t="s">
        <v>27</v>
      </c>
      <c r="K3035" s="1">
        <v>8590.0</v>
      </c>
      <c r="L3035" s="1">
        <v>56.9141787</v>
      </c>
      <c r="M3035" s="1">
        <v>24.1217522</v>
      </c>
    </row>
    <row r="3036">
      <c r="A3036" s="1" t="s">
        <v>22</v>
      </c>
      <c r="B3036" s="1" t="s">
        <v>151</v>
      </c>
      <c r="C3036" s="1" t="s">
        <v>1935</v>
      </c>
      <c r="D3036" s="1">
        <v>2.0</v>
      </c>
      <c r="E3036" s="1">
        <v>37.0</v>
      </c>
      <c r="F3036" s="1">
        <v>2.0</v>
      </c>
      <c r="G3036" s="1">
        <v>3.0</v>
      </c>
      <c r="H3036" s="1" t="s">
        <v>36</v>
      </c>
      <c r="I3036" s="1" t="s">
        <v>33</v>
      </c>
      <c r="J3036" s="1" t="s">
        <v>27</v>
      </c>
      <c r="K3036" s="1">
        <v>15400.0</v>
      </c>
      <c r="L3036" s="1">
        <v>57.0164335</v>
      </c>
      <c r="M3036" s="1">
        <v>24.0628649</v>
      </c>
    </row>
    <row r="3037">
      <c r="A3037" s="1" t="s">
        <v>22</v>
      </c>
      <c r="B3037" s="1" t="s">
        <v>60</v>
      </c>
      <c r="C3037" s="1" t="s">
        <v>1936</v>
      </c>
      <c r="D3037" s="1">
        <v>2.0</v>
      </c>
      <c r="E3037" s="1">
        <v>37.0</v>
      </c>
      <c r="F3037" s="1">
        <v>1.0</v>
      </c>
      <c r="G3037" s="1">
        <v>1.0</v>
      </c>
      <c r="H3037" s="1" t="s">
        <v>36</v>
      </c>
      <c r="I3037" s="1" t="s">
        <v>26</v>
      </c>
      <c r="J3037" s="1" t="s">
        <v>27</v>
      </c>
      <c r="K3037" s="1">
        <v>13000.0</v>
      </c>
      <c r="L3037" s="1">
        <v>57.1465149</v>
      </c>
      <c r="M3037" s="1">
        <v>24.3408657</v>
      </c>
    </row>
    <row r="3038">
      <c r="A3038" s="1" t="s">
        <v>22</v>
      </c>
      <c r="B3038" s="1" t="s">
        <v>19</v>
      </c>
      <c r="C3038" s="1" t="s">
        <v>463</v>
      </c>
      <c r="D3038" s="1">
        <v>1.0</v>
      </c>
      <c r="E3038" s="1">
        <v>19.0</v>
      </c>
      <c r="F3038" s="1">
        <v>2.0</v>
      </c>
      <c r="G3038" s="1">
        <v>2.0</v>
      </c>
      <c r="H3038" s="1" t="s">
        <v>36</v>
      </c>
      <c r="I3038" s="1" t="s">
        <v>26</v>
      </c>
      <c r="J3038" s="1" t="s">
        <v>27</v>
      </c>
      <c r="K3038" s="1">
        <v>7400.0</v>
      </c>
      <c r="L3038" s="1">
        <v>56.9141787</v>
      </c>
      <c r="M3038" s="1">
        <v>24.1217522</v>
      </c>
    </row>
    <row r="3039">
      <c r="A3039" s="1" t="s">
        <v>13</v>
      </c>
      <c r="B3039" s="1" t="s">
        <v>48</v>
      </c>
      <c r="C3039" s="1" t="s">
        <v>1937</v>
      </c>
      <c r="D3039" s="1">
        <v>1.0</v>
      </c>
      <c r="E3039" s="1">
        <v>20.0</v>
      </c>
      <c r="F3039" s="1">
        <v>2.0</v>
      </c>
      <c r="G3039" s="1">
        <v>2.0</v>
      </c>
      <c r="H3039" s="1" t="s">
        <v>181</v>
      </c>
      <c r="I3039" s="1" t="s">
        <v>33</v>
      </c>
      <c r="J3039" s="1" t="s">
        <v>18</v>
      </c>
      <c r="K3039" s="1">
        <v>160.0</v>
      </c>
      <c r="L3039" s="1">
        <v>56.95965205</v>
      </c>
      <c r="M3039" s="1">
        <v>24.2988376817985</v>
      </c>
    </row>
    <row r="3040">
      <c r="A3040" s="1" t="s">
        <v>22</v>
      </c>
      <c r="B3040" s="1" t="s">
        <v>60</v>
      </c>
      <c r="C3040" s="1" t="s">
        <v>1938</v>
      </c>
      <c r="D3040" s="1">
        <v>1.0</v>
      </c>
      <c r="E3040" s="1">
        <v>25.0</v>
      </c>
      <c r="F3040" s="1">
        <v>2.0</v>
      </c>
      <c r="G3040" s="1">
        <v>2.0</v>
      </c>
      <c r="H3040" s="1" t="s">
        <v>36</v>
      </c>
      <c r="I3040" s="1" t="s">
        <v>26</v>
      </c>
      <c r="J3040" s="1" t="s">
        <v>27</v>
      </c>
      <c r="K3040" s="1">
        <v>8250.0</v>
      </c>
      <c r="L3040" s="1">
        <v>57.03729585</v>
      </c>
      <c r="M3040" s="1">
        <v>24.0439706360091</v>
      </c>
    </row>
    <row r="3041">
      <c r="A3041" s="1" t="s">
        <v>22</v>
      </c>
      <c r="B3041" s="1" t="s">
        <v>129</v>
      </c>
      <c r="C3041" s="1" t="s">
        <v>1939</v>
      </c>
      <c r="D3041" s="1">
        <v>1.0</v>
      </c>
      <c r="E3041" s="1">
        <v>31.0</v>
      </c>
      <c r="F3041" s="1">
        <v>3.0</v>
      </c>
      <c r="G3041" s="1">
        <v>4.0</v>
      </c>
      <c r="H3041" s="1" t="s">
        <v>36</v>
      </c>
      <c r="I3041" s="1" t="s">
        <v>33</v>
      </c>
      <c r="J3041" s="1" t="s">
        <v>27</v>
      </c>
      <c r="K3041" s="1">
        <v>11900.0</v>
      </c>
      <c r="L3041" s="1">
        <v>57.003108</v>
      </c>
      <c r="M3041" s="1">
        <v>24.1212272</v>
      </c>
    </row>
    <row r="3042">
      <c r="A3042" s="1" t="s">
        <v>22</v>
      </c>
      <c r="B3042" s="1" t="s">
        <v>129</v>
      </c>
      <c r="C3042" s="1" t="s">
        <v>1940</v>
      </c>
      <c r="D3042" s="1">
        <v>3.0</v>
      </c>
      <c r="E3042" s="1">
        <v>44.0</v>
      </c>
      <c r="F3042" s="1">
        <v>1.0</v>
      </c>
      <c r="G3042" s="1">
        <v>3.0</v>
      </c>
      <c r="H3042" s="1" t="s">
        <v>25</v>
      </c>
      <c r="I3042" s="1" t="s">
        <v>33</v>
      </c>
      <c r="J3042" s="1" t="s">
        <v>27</v>
      </c>
      <c r="K3042" s="1">
        <v>13000.0</v>
      </c>
      <c r="L3042" s="1">
        <v>57.0002664</v>
      </c>
      <c r="M3042" s="1">
        <v>24.1233286079259</v>
      </c>
    </row>
    <row r="3043">
      <c r="A3043" s="1" t="s">
        <v>22</v>
      </c>
      <c r="B3043" s="1" t="s">
        <v>96</v>
      </c>
      <c r="C3043" s="1" t="s">
        <v>1014</v>
      </c>
      <c r="D3043" s="1">
        <v>1.0</v>
      </c>
      <c r="E3043" s="1">
        <v>12.0</v>
      </c>
      <c r="F3043" s="1">
        <v>3.0</v>
      </c>
      <c r="G3043" s="1">
        <v>3.0</v>
      </c>
      <c r="H3043" s="1" t="s">
        <v>36</v>
      </c>
      <c r="I3043" s="1" t="s">
        <v>33</v>
      </c>
      <c r="J3043" s="1" t="s">
        <v>18</v>
      </c>
      <c r="K3043" s="1">
        <v>5000.0</v>
      </c>
      <c r="L3043" s="1">
        <v>57.0300308</v>
      </c>
      <c r="M3043" s="1">
        <v>24.1122349</v>
      </c>
    </row>
    <row r="3044">
      <c r="A3044" s="1" t="s">
        <v>22</v>
      </c>
      <c r="B3044" s="1" t="s">
        <v>172</v>
      </c>
      <c r="C3044" s="1" t="s">
        <v>1941</v>
      </c>
      <c r="D3044" s="1">
        <v>1.0</v>
      </c>
      <c r="E3044" s="1">
        <v>18.0</v>
      </c>
      <c r="F3044" s="1">
        <v>3.0</v>
      </c>
      <c r="G3044" s="1">
        <v>4.0</v>
      </c>
      <c r="H3044" s="1" t="s">
        <v>36</v>
      </c>
      <c r="I3044" s="1" t="s">
        <v>37</v>
      </c>
      <c r="J3044" s="1" t="s">
        <v>18</v>
      </c>
      <c r="K3044" s="1">
        <v>6500.0</v>
      </c>
      <c r="L3044" s="1">
        <v>56.9077347</v>
      </c>
      <c r="M3044" s="1">
        <v>24.2226369</v>
      </c>
    </row>
    <row r="3045">
      <c r="A3045" s="1" t="s">
        <v>13</v>
      </c>
      <c r="B3045" s="1" t="s">
        <v>38</v>
      </c>
      <c r="C3045" s="1" t="s">
        <v>1942</v>
      </c>
      <c r="D3045" s="1">
        <v>2.0</v>
      </c>
      <c r="E3045" s="1">
        <v>49.0</v>
      </c>
      <c r="F3045" s="1">
        <v>3.0</v>
      </c>
      <c r="G3045" s="1">
        <v>5.0</v>
      </c>
      <c r="H3045" s="1" t="s">
        <v>16</v>
      </c>
      <c r="I3045" s="1" t="s">
        <v>21</v>
      </c>
      <c r="J3045" s="1" t="s">
        <v>27</v>
      </c>
      <c r="K3045" s="1">
        <v>390.0</v>
      </c>
      <c r="L3045" s="1">
        <v>56.95322835</v>
      </c>
      <c r="M3045" s="1">
        <v>24.0330999513569</v>
      </c>
    </row>
    <row r="3046">
      <c r="A3046" s="1" t="s">
        <v>22</v>
      </c>
      <c r="B3046" s="1" t="s">
        <v>23</v>
      </c>
      <c r="C3046" s="1" t="s">
        <v>1943</v>
      </c>
      <c r="D3046" s="1">
        <v>5.0</v>
      </c>
      <c r="E3046" s="1">
        <v>97.0</v>
      </c>
      <c r="F3046" s="1">
        <v>2.0</v>
      </c>
      <c r="G3046" s="1">
        <v>2.0</v>
      </c>
      <c r="H3046" s="1" t="s">
        <v>25</v>
      </c>
      <c r="I3046" s="1" t="s">
        <v>26</v>
      </c>
      <c r="J3046" s="1" t="s">
        <v>18</v>
      </c>
      <c r="K3046" s="1">
        <v>105000.0</v>
      </c>
      <c r="L3046" s="1">
        <v>56.9528907</v>
      </c>
      <c r="M3046" s="1">
        <v>24.129681</v>
      </c>
    </row>
    <row r="3047">
      <c r="A3047" s="1" t="s">
        <v>22</v>
      </c>
      <c r="B3047" s="1" t="s">
        <v>42</v>
      </c>
      <c r="C3047" s="1" t="s">
        <v>1944</v>
      </c>
      <c r="D3047" s="1">
        <v>4.0</v>
      </c>
      <c r="E3047" s="1">
        <v>97.0</v>
      </c>
      <c r="F3047" s="1">
        <v>2.0</v>
      </c>
      <c r="G3047" s="1">
        <v>9.0</v>
      </c>
      <c r="H3047" s="1" t="s">
        <v>36</v>
      </c>
      <c r="I3047" s="1" t="s">
        <v>37</v>
      </c>
      <c r="J3047" s="1" t="s">
        <v>18</v>
      </c>
      <c r="K3047" s="1">
        <v>125130.0</v>
      </c>
      <c r="L3047" s="1">
        <v>56.98865355</v>
      </c>
      <c r="M3047" s="1">
        <v>24.244177981528</v>
      </c>
    </row>
    <row r="3048">
      <c r="A3048" s="1" t="s">
        <v>13</v>
      </c>
      <c r="B3048" s="1" t="s">
        <v>30</v>
      </c>
      <c r="C3048" s="1" t="s">
        <v>1945</v>
      </c>
      <c r="D3048" s="1">
        <v>2.0</v>
      </c>
      <c r="E3048" s="1">
        <v>39.0</v>
      </c>
      <c r="F3048" s="1">
        <v>3.0</v>
      </c>
      <c r="G3048" s="1">
        <v>5.0</v>
      </c>
      <c r="H3048" s="1" t="s">
        <v>44</v>
      </c>
      <c r="I3048" s="1" t="s">
        <v>37</v>
      </c>
      <c r="J3048" s="1" t="s">
        <v>18</v>
      </c>
      <c r="K3048" s="1">
        <v>350.0</v>
      </c>
      <c r="L3048" s="1">
        <v>56.96861735</v>
      </c>
      <c r="M3048" s="1">
        <v>24.1888526917563</v>
      </c>
    </row>
    <row r="3049">
      <c r="A3049" s="1" t="s">
        <v>22</v>
      </c>
      <c r="B3049" s="1" t="s">
        <v>447</v>
      </c>
      <c r="C3049" s="1" t="s">
        <v>1946</v>
      </c>
      <c r="D3049" s="1">
        <v>1.0</v>
      </c>
      <c r="E3049" s="1">
        <v>28.0</v>
      </c>
      <c r="F3049" s="1">
        <v>4.0</v>
      </c>
      <c r="G3049" s="1">
        <v>5.0</v>
      </c>
      <c r="H3049" s="1" t="s">
        <v>36</v>
      </c>
      <c r="I3049" s="1" t="s">
        <v>37</v>
      </c>
      <c r="J3049" s="1" t="s">
        <v>18</v>
      </c>
      <c r="K3049" s="1">
        <v>25000.0</v>
      </c>
      <c r="L3049" s="1" t="s">
        <v>40</v>
      </c>
      <c r="M3049" s="1" t="s">
        <v>40</v>
      </c>
    </row>
    <row r="3050">
      <c r="A3050" s="1" t="s">
        <v>13</v>
      </c>
      <c r="B3050" s="1" t="s">
        <v>151</v>
      </c>
      <c r="C3050" s="1" t="s">
        <v>1947</v>
      </c>
      <c r="D3050" s="1">
        <v>2.0</v>
      </c>
      <c r="E3050" s="1">
        <v>50.0</v>
      </c>
      <c r="F3050" s="1">
        <v>6.0</v>
      </c>
      <c r="G3050" s="1">
        <v>9.0</v>
      </c>
      <c r="H3050" s="1" t="s">
        <v>32</v>
      </c>
      <c r="I3050" s="1" t="s">
        <v>21</v>
      </c>
      <c r="J3050" s="1" t="s">
        <v>18</v>
      </c>
      <c r="K3050" s="1">
        <v>320.0</v>
      </c>
      <c r="L3050" s="1">
        <v>56.97354585</v>
      </c>
      <c r="M3050" s="1">
        <v>24.0591831044198</v>
      </c>
    </row>
    <row r="3051">
      <c r="A3051" s="1" t="s">
        <v>22</v>
      </c>
      <c r="B3051" s="1" t="s">
        <v>19</v>
      </c>
      <c r="C3051" s="1" t="s">
        <v>1948</v>
      </c>
      <c r="D3051" s="1">
        <v>2.0</v>
      </c>
      <c r="E3051" s="1">
        <v>66.0</v>
      </c>
      <c r="F3051" s="1">
        <v>2.0</v>
      </c>
      <c r="G3051" s="1">
        <v>4.0</v>
      </c>
      <c r="H3051" s="1" t="s">
        <v>32</v>
      </c>
      <c r="I3051" s="1" t="s">
        <v>122</v>
      </c>
      <c r="J3051" s="1" t="s">
        <v>18</v>
      </c>
      <c r="K3051" s="1">
        <v>101000.0</v>
      </c>
      <c r="L3051" s="1">
        <v>56.914968</v>
      </c>
      <c r="M3051" s="1">
        <v>24.12289</v>
      </c>
    </row>
    <row r="3052">
      <c r="A3052" s="1" t="s">
        <v>22</v>
      </c>
      <c r="B3052" s="1" t="s">
        <v>23</v>
      </c>
      <c r="C3052" s="1" t="s">
        <v>1949</v>
      </c>
      <c r="D3052" s="1">
        <v>3.0</v>
      </c>
      <c r="E3052" s="1">
        <v>47.0</v>
      </c>
      <c r="F3052" s="1">
        <v>4.0</v>
      </c>
      <c r="G3052" s="1">
        <v>4.0</v>
      </c>
      <c r="H3052" s="1" t="s">
        <v>25</v>
      </c>
      <c r="I3052" s="1" t="s">
        <v>37</v>
      </c>
      <c r="J3052" s="1" t="s">
        <v>18</v>
      </c>
      <c r="K3052" s="1">
        <v>57810.0</v>
      </c>
      <c r="L3052" s="1">
        <v>56.9443854</v>
      </c>
      <c r="M3052" s="1">
        <v>24.1264321</v>
      </c>
    </row>
    <row r="3053">
      <c r="A3053" s="1" t="s">
        <v>13</v>
      </c>
      <c r="B3053" s="1" t="s">
        <v>28</v>
      </c>
      <c r="C3053" s="1" t="s">
        <v>809</v>
      </c>
      <c r="D3053" s="1">
        <v>2.0</v>
      </c>
      <c r="E3053" s="1">
        <v>38.0</v>
      </c>
      <c r="F3053" s="1">
        <v>2.0</v>
      </c>
      <c r="G3053" s="1">
        <v>5.0</v>
      </c>
      <c r="H3053" s="1" t="s">
        <v>32</v>
      </c>
      <c r="I3053" s="1" t="s">
        <v>21</v>
      </c>
      <c r="J3053" s="1" t="s">
        <v>18</v>
      </c>
      <c r="K3053" s="1">
        <v>300.0</v>
      </c>
      <c r="L3053" s="1">
        <v>56.9146747</v>
      </c>
      <c r="M3053" s="1">
        <v>24.1815079346418</v>
      </c>
    </row>
    <row r="3054">
      <c r="A3054" s="1" t="s">
        <v>13</v>
      </c>
      <c r="B3054" s="1" t="s">
        <v>23</v>
      </c>
      <c r="C3054" s="1" t="s">
        <v>1950</v>
      </c>
      <c r="D3054" s="1">
        <v>1.0</v>
      </c>
      <c r="E3054" s="1">
        <v>30.0</v>
      </c>
      <c r="F3054" s="1">
        <v>1.0</v>
      </c>
      <c r="G3054" s="1">
        <v>4.0</v>
      </c>
      <c r="H3054" s="1" t="s">
        <v>25</v>
      </c>
      <c r="I3054" s="1" t="s">
        <v>33</v>
      </c>
      <c r="J3054" s="1" t="s">
        <v>18</v>
      </c>
      <c r="K3054" s="1">
        <v>280.0</v>
      </c>
      <c r="L3054" s="1">
        <v>56.9678084</v>
      </c>
      <c r="M3054" s="1">
        <v>24.1032332</v>
      </c>
    </row>
    <row r="3055">
      <c r="A3055" s="1" t="s">
        <v>13</v>
      </c>
      <c r="B3055" s="1" t="s">
        <v>23</v>
      </c>
      <c r="C3055" s="1" t="s">
        <v>1502</v>
      </c>
      <c r="D3055" s="1">
        <v>3.0</v>
      </c>
      <c r="E3055" s="1">
        <v>80.0</v>
      </c>
      <c r="F3055" s="1">
        <v>4.0</v>
      </c>
      <c r="G3055" s="1">
        <v>7.0</v>
      </c>
      <c r="H3055" s="1" t="s">
        <v>66</v>
      </c>
      <c r="I3055" s="1" t="s">
        <v>37</v>
      </c>
      <c r="J3055" s="1" t="s">
        <v>18</v>
      </c>
      <c r="K3055" s="1">
        <v>680.0</v>
      </c>
      <c r="L3055" s="1">
        <v>56.9634352</v>
      </c>
      <c r="M3055" s="1">
        <v>24.125212429824</v>
      </c>
    </row>
    <row r="3056">
      <c r="A3056" s="1" t="s">
        <v>22</v>
      </c>
      <c r="B3056" s="1" t="s">
        <v>104</v>
      </c>
      <c r="C3056" s="1" t="s">
        <v>1951</v>
      </c>
      <c r="D3056" s="1">
        <v>4.0</v>
      </c>
      <c r="E3056" s="1">
        <v>74.0</v>
      </c>
      <c r="F3056" s="1">
        <v>5.0</v>
      </c>
      <c r="G3056" s="1">
        <v>5.0</v>
      </c>
      <c r="H3056" s="1" t="s">
        <v>36</v>
      </c>
      <c r="I3056" s="1" t="s">
        <v>37</v>
      </c>
      <c r="J3056" s="1" t="s">
        <v>18</v>
      </c>
      <c r="K3056" s="1">
        <v>82000.0</v>
      </c>
      <c r="L3056" s="1">
        <v>56.9469754</v>
      </c>
      <c r="M3056" s="1">
        <v>24.0486161999999</v>
      </c>
    </row>
    <row r="3057">
      <c r="A3057" s="1" t="s">
        <v>13</v>
      </c>
      <c r="B3057" s="1" t="s">
        <v>104</v>
      </c>
      <c r="C3057" s="1" t="s">
        <v>1952</v>
      </c>
      <c r="D3057" s="1">
        <v>2.0</v>
      </c>
      <c r="E3057" s="1">
        <v>43.0</v>
      </c>
      <c r="F3057" s="1">
        <v>3.0</v>
      </c>
      <c r="G3057" s="1">
        <v>4.0</v>
      </c>
      <c r="H3057" s="1" t="s">
        <v>44</v>
      </c>
      <c r="I3057" s="1" t="s">
        <v>37</v>
      </c>
      <c r="J3057" s="1" t="s">
        <v>18</v>
      </c>
      <c r="K3057" s="1">
        <v>32.0</v>
      </c>
      <c r="L3057" s="1">
        <v>56.9365339999999</v>
      </c>
      <c r="M3057" s="1">
        <v>24.0571713764132</v>
      </c>
    </row>
    <row r="3058">
      <c r="A3058" s="1" t="s">
        <v>13</v>
      </c>
      <c r="B3058" s="1" t="s">
        <v>218</v>
      </c>
      <c r="C3058" s="1" t="s">
        <v>1953</v>
      </c>
      <c r="D3058" s="1">
        <v>3.0</v>
      </c>
      <c r="E3058" s="1">
        <v>90.0</v>
      </c>
      <c r="F3058" s="1">
        <v>2.0</v>
      </c>
      <c r="G3058" s="1">
        <v>6.0</v>
      </c>
      <c r="H3058" s="1" t="s">
        <v>32</v>
      </c>
      <c r="I3058" s="1" t="s">
        <v>33</v>
      </c>
      <c r="J3058" s="1" t="s">
        <v>18</v>
      </c>
      <c r="K3058" s="1">
        <v>1000.0</v>
      </c>
      <c r="L3058" s="1">
        <v>56.9507117</v>
      </c>
      <c r="M3058" s="1">
        <v>24.1098309</v>
      </c>
    </row>
    <row r="3059">
      <c r="A3059" s="1" t="s">
        <v>22</v>
      </c>
      <c r="B3059" s="1" t="s">
        <v>14</v>
      </c>
      <c r="C3059" s="1" t="s">
        <v>1126</v>
      </c>
      <c r="D3059" s="1">
        <v>3.0</v>
      </c>
      <c r="E3059" s="1">
        <v>62.0</v>
      </c>
      <c r="F3059" s="1">
        <v>3.0</v>
      </c>
      <c r="G3059" s="1">
        <v>9.0</v>
      </c>
      <c r="H3059" s="1">
        <v>602.0</v>
      </c>
      <c r="I3059" s="1" t="s">
        <v>21</v>
      </c>
      <c r="J3059" s="1" t="s">
        <v>18</v>
      </c>
      <c r="K3059" s="1">
        <v>55000.0</v>
      </c>
      <c r="L3059" s="1">
        <v>56.95350215</v>
      </c>
      <c r="M3059" s="1">
        <v>24.192131770328</v>
      </c>
    </row>
    <row r="3060">
      <c r="A3060" s="1" t="s">
        <v>22</v>
      </c>
      <c r="B3060" s="1" t="s">
        <v>104</v>
      </c>
      <c r="C3060" s="1" t="s">
        <v>1954</v>
      </c>
      <c r="D3060" s="1">
        <v>4.0</v>
      </c>
      <c r="E3060" s="1">
        <v>166.0</v>
      </c>
      <c r="F3060" s="1">
        <v>4.0</v>
      </c>
      <c r="G3060" s="1">
        <v>4.0</v>
      </c>
      <c r="H3060" s="1" t="s">
        <v>32</v>
      </c>
      <c r="I3060" s="1" t="s">
        <v>33</v>
      </c>
      <c r="J3060" s="1" t="s">
        <v>18</v>
      </c>
      <c r="K3060" s="1">
        <v>286700.0</v>
      </c>
      <c r="L3060" s="1">
        <v>56.9406155</v>
      </c>
      <c r="M3060" s="1">
        <v>24.0635273</v>
      </c>
    </row>
    <row r="3061">
      <c r="A3061" s="1" t="s">
        <v>22</v>
      </c>
      <c r="B3061" s="1" t="s">
        <v>104</v>
      </c>
      <c r="C3061" s="1" t="s">
        <v>1954</v>
      </c>
      <c r="D3061" s="1">
        <v>3.0</v>
      </c>
      <c r="E3061" s="1">
        <v>166.0</v>
      </c>
      <c r="F3061" s="1">
        <v>4.0</v>
      </c>
      <c r="G3061" s="1">
        <v>4.0</v>
      </c>
      <c r="H3061" s="1" t="s">
        <v>32</v>
      </c>
      <c r="I3061" s="1" t="s">
        <v>33</v>
      </c>
      <c r="J3061" s="1" t="s">
        <v>18</v>
      </c>
      <c r="K3061" s="1">
        <v>286700.0</v>
      </c>
      <c r="L3061" s="1">
        <v>56.9406155</v>
      </c>
      <c r="M3061" s="1">
        <v>24.0635273</v>
      </c>
    </row>
    <row r="3062">
      <c r="A3062" s="1" t="s">
        <v>22</v>
      </c>
      <c r="B3062" s="1" t="s">
        <v>104</v>
      </c>
      <c r="C3062" s="1" t="s">
        <v>1954</v>
      </c>
      <c r="D3062" s="1">
        <v>2.0</v>
      </c>
      <c r="E3062" s="1">
        <v>67.1</v>
      </c>
      <c r="F3062" s="1">
        <v>1.0</v>
      </c>
      <c r="G3062" s="1">
        <v>4.0</v>
      </c>
      <c r="H3062" s="1" t="s">
        <v>32</v>
      </c>
      <c r="I3062" s="1" t="s">
        <v>33</v>
      </c>
      <c r="J3062" s="1" t="s">
        <v>18</v>
      </c>
      <c r="K3062" s="1">
        <v>134200.0</v>
      </c>
      <c r="L3062" s="1">
        <v>56.9406155</v>
      </c>
      <c r="M3062" s="1">
        <v>24.0635273</v>
      </c>
    </row>
    <row r="3063">
      <c r="A3063" s="1" t="s">
        <v>22</v>
      </c>
      <c r="B3063" s="1" t="s">
        <v>104</v>
      </c>
      <c r="C3063" s="1" t="s">
        <v>1954</v>
      </c>
      <c r="D3063" s="1">
        <v>2.0</v>
      </c>
      <c r="E3063" s="1">
        <v>65.0</v>
      </c>
      <c r="F3063" s="1">
        <v>3.0</v>
      </c>
      <c r="G3063" s="1">
        <v>4.0</v>
      </c>
      <c r="H3063" s="1" t="s">
        <v>32</v>
      </c>
      <c r="I3063" s="1" t="s">
        <v>33</v>
      </c>
      <c r="J3063" s="1" t="s">
        <v>18</v>
      </c>
      <c r="K3063" s="1">
        <v>142340.0</v>
      </c>
      <c r="L3063" s="1">
        <v>56.9406155</v>
      </c>
      <c r="M3063" s="1">
        <v>24.0635273</v>
      </c>
    </row>
    <row r="3064">
      <c r="A3064" s="1" t="s">
        <v>13</v>
      </c>
      <c r="B3064" s="1" t="s">
        <v>28</v>
      </c>
      <c r="C3064" s="1" t="s">
        <v>1955</v>
      </c>
      <c r="D3064" s="1">
        <v>1.0</v>
      </c>
      <c r="E3064" s="1">
        <v>38.0</v>
      </c>
      <c r="F3064" s="1">
        <v>4.0</v>
      </c>
      <c r="G3064" s="1">
        <v>4.0</v>
      </c>
      <c r="H3064" s="1" t="s">
        <v>66</v>
      </c>
      <c r="I3064" s="1" t="s">
        <v>33</v>
      </c>
      <c r="J3064" s="1" t="s">
        <v>18</v>
      </c>
      <c r="K3064" s="1">
        <v>320.0</v>
      </c>
      <c r="L3064" s="1">
        <v>56.8597884</v>
      </c>
      <c r="M3064" s="1">
        <v>24.3083417</v>
      </c>
    </row>
    <row r="3065">
      <c r="A3065" s="1" t="s">
        <v>22</v>
      </c>
      <c r="B3065" s="1" t="s">
        <v>104</v>
      </c>
      <c r="C3065" s="1" t="s">
        <v>1954</v>
      </c>
      <c r="D3065" s="1">
        <v>2.0</v>
      </c>
      <c r="E3065" s="1">
        <v>63.0</v>
      </c>
      <c r="F3065" s="1">
        <v>3.0</v>
      </c>
      <c r="G3065" s="1">
        <v>4.0</v>
      </c>
      <c r="H3065" s="1" t="s">
        <v>32</v>
      </c>
      <c r="I3065" s="1" t="s">
        <v>33</v>
      </c>
      <c r="J3065" s="1" t="s">
        <v>18</v>
      </c>
      <c r="K3065" s="1">
        <v>139040.0</v>
      </c>
      <c r="L3065" s="1">
        <v>56.9406155</v>
      </c>
      <c r="M3065" s="1">
        <v>24.0635273</v>
      </c>
    </row>
    <row r="3066">
      <c r="A3066" s="1" t="s">
        <v>22</v>
      </c>
      <c r="B3066" s="1" t="s">
        <v>104</v>
      </c>
      <c r="C3066" s="1" t="s">
        <v>1954</v>
      </c>
      <c r="D3066" s="1">
        <v>2.0</v>
      </c>
      <c r="E3066" s="1">
        <v>59.8</v>
      </c>
      <c r="F3066" s="1">
        <v>1.0</v>
      </c>
      <c r="G3066" s="1">
        <v>4.0</v>
      </c>
      <c r="H3066" s="1" t="s">
        <v>32</v>
      </c>
      <c r="I3066" s="1" t="s">
        <v>33</v>
      </c>
      <c r="J3066" s="1" t="s">
        <v>18</v>
      </c>
      <c r="K3066" s="1">
        <v>113620.0</v>
      </c>
      <c r="L3066" s="1">
        <v>56.9406155</v>
      </c>
      <c r="M3066" s="1">
        <v>24.0635273</v>
      </c>
    </row>
    <row r="3067">
      <c r="A3067" s="1" t="s">
        <v>13</v>
      </c>
      <c r="B3067" s="1" t="s">
        <v>23</v>
      </c>
      <c r="C3067" s="1" t="s">
        <v>1209</v>
      </c>
      <c r="D3067" s="1">
        <v>3.0</v>
      </c>
      <c r="E3067" s="1">
        <v>100.0</v>
      </c>
      <c r="F3067" s="1">
        <v>6.0</v>
      </c>
      <c r="G3067" s="1">
        <v>6.0</v>
      </c>
      <c r="H3067" s="1" t="s">
        <v>32</v>
      </c>
      <c r="I3067" s="1" t="s">
        <v>33</v>
      </c>
      <c r="J3067" s="1" t="s">
        <v>18</v>
      </c>
      <c r="K3067" s="1">
        <v>1400.0</v>
      </c>
      <c r="L3067" s="1">
        <v>56.9703444</v>
      </c>
      <c r="M3067" s="1">
        <v>24.1001017</v>
      </c>
    </row>
    <row r="3068">
      <c r="A3068" s="1" t="s">
        <v>22</v>
      </c>
      <c r="B3068" s="1" t="s">
        <v>151</v>
      </c>
      <c r="C3068" s="1" t="s">
        <v>1956</v>
      </c>
      <c r="D3068" s="1">
        <v>3.0</v>
      </c>
      <c r="E3068" s="1">
        <v>80.0</v>
      </c>
      <c r="F3068" s="1">
        <v>1.0</v>
      </c>
      <c r="G3068" s="1">
        <v>3.0</v>
      </c>
      <c r="H3068" s="1" t="s">
        <v>181</v>
      </c>
      <c r="I3068" s="1" t="s">
        <v>37</v>
      </c>
      <c r="J3068" s="1" t="s">
        <v>18</v>
      </c>
      <c r="K3068" s="1">
        <v>69000.0</v>
      </c>
      <c r="L3068" s="1">
        <v>56.9593385</v>
      </c>
      <c r="M3068" s="1">
        <v>24.0605045430597</v>
      </c>
    </row>
    <row r="3069">
      <c r="A3069" s="1" t="s">
        <v>22</v>
      </c>
      <c r="B3069" s="1" t="s">
        <v>94</v>
      </c>
      <c r="C3069" s="1" t="s">
        <v>1957</v>
      </c>
      <c r="D3069" s="1">
        <v>3.0</v>
      </c>
      <c r="E3069" s="1">
        <v>57.0</v>
      </c>
      <c r="F3069" s="1">
        <v>3.0</v>
      </c>
      <c r="G3069" s="1">
        <v>9.0</v>
      </c>
      <c r="H3069" s="1">
        <v>467.0</v>
      </c>
      <c r="I3069" s="1" t="s">
        <v>21</v>
      </c>
      <c r="J3069" s="1" t="s">
        <v>18</v>
      </c>
      <c r="K3069" s="1">
        <v>47000.0</v>
      </c>
      <c r="L3069" s="1">
        <v>56.9336224</v>
      </c>
      <c r="M3069" s="1">
        <v>24.1626901</v>
      </c>
    </row>
    <row r="3070">
      <c r="A3070" s="1" t="s">
        <v>22</v>
      </c>
      <c r="B3070" s="1" t="s">
        <v>19</v>
      </c>
      <c r="C3070" s="1" t="s">
        <v>1619</v>
      </c>
      <c r="D3070" s="1">
        <v>4.0</v>
      </c>
      <c r="E3070" s="1">
        <v>90.0</v>
      </c>
      <c r="F3070" s="1">
        <v>1.0</v>
      </c>
      <c r="G3070" s="1">
        <v>7.0</v>
      </c>
      <c r="H3070" s="1">
        <v>119.0</v>
      </c>
      <c r="I3070" s="1" t="s">
        <v>21</v>
      </c>
      <c r="J3070" s="1" t="s">
        <v>18</v>
      </c>
      <c r="K3070" s="1">
        <v>81000.0</v>
      </c>
      <c r="L3070" s="1">
        <v>56.9008065999999</v>
      </c>
      <c r="M3070" s="1">
        <v>24.0862561999999</v>
      </c>
    </row>
    <row r="3071">
      <c r="A3071" s="1" t="s">
        <v>22</v>
      </c>
      <c r="B3071" s="1" t="s">
        <v>42</v>
      </c>
      <c r="C3071" s="1" t="s">
        <v>1958</v>
      </c>
      <c r="D3071" s="1">
        <v>2.0</v>
      </c>
      <c r="E3071" s="1">
        <v>49.0</v>
      </c>
      <c r="F3071" s="1">
        <v>1.0</v>
      </c>
      <c r="G3071" s="1">
        <v>2.0</v>
      </c>
      <c r="H3071" s="1" t="s">
        <v>36</v>
      </c>
      <c r="I3071" s="1" t="s">
        <v>122</v>
      </c>
      <c r="J3071" s="1" t="s">
        <v>18</v>
      </c>
      <c r="K3071" s="1">
        <v>37500.0</v>
      </c>
      <c r="L3071" s="1">
        <v>56.9817147</v>
      </c>
      <c r="M3071" s="1">
        <v>24.2509372751934</v>
      </c>
    </row>
    <row r="3072">
      <c r="A3072" s="1" t="s">
        <v>22</v>
      </c>
      <c r="B3072" s="1" t="s">
        <v>23</v>
      </c>
      <c r="C3072" s="1" t="s">
        <v>1571</v>
      </c>
      <c r="D3072" s="1">
        <v>3.0</v>
      </c>
      <c r="E3072" s="1">
        <v>104.0</v>
      </c>
      <c r="F3072" s="1">
        <v>6.0</v>
      </c>
      <c r="G3072" s="1">
        <v>6.0</v>
      </c>
      <c r="H3072" s="1" t="s">
        <v>66</v>
      </c>
      <c r="I3072" s="1" t="s">
        <v>37</v>
      </c>
      <c r="J3072" s="1" t="s">
        <v>18</v>
      </c>
      <c r="K3072" s="1">
        <v>230000.0</v>
      </c>
      <c r="L3072" s="1">
        <v>56.9585108</v>
      </c>
      <c r="M3072" s="1">
        <v>24.1228978201077</v>
      </c>
    </row>
    <row r="3073">
      <c r="A3073" s="1" t="s">
        <v>13</v>
      </c>
      <c r="B3073" s="1" t="s">
        <v>422</v>
      </c>
      <c r="C3073" s="1" t="s">
        <v>363</v>
      </c>
      <c r="D3073" s="1">
        <v>2.0</v>
      </c>
      <c r="E3073" s="1">
        <v>68.0</v>
      </c>
      <c r="F3073" s="1">
        <v>4.0</v>
      </c>
      <c r="G3073" s="1">
        <v>23.0</v>
      </c>
      <c r="H3073" s="1" t="s">
        <v>32</v>
      </c>
      <c r="I3073" s="1" t="s">
        <v>21</v>
      </c>
      <c r="J3073" s="1" t="s">
        <v>18</v>
      </c>
      <c r="K3073" s="1">
        <v>460.0</v>
      </c>
      <c r="L3073" s="1">
        <v>56.9334996</v>
      </c>
      <c r="M3073" s="1">
        <v>24.0424848</v>
      </c>
    </row>
    <row r="3074">
      <c r="A3074" s="1" t="s">
        <v>22</v>
      </c>
      <c r="B3074" s="1" t="s">
        <v>48</v>
      </c>
      <c r="C3074" s="1" t="s">
        <v>586</v>
      </c>
      <c r="D3074" s="1">
        <v>3.0</v>
      </c>
      <c r="E3074" s="1">
        <v>64.0</v>
      </c>
      <c r="F3074" s="1">
        <v>7.0</v>
      </c>
      <c r="G3074" s="1">
        <v>9.0</v>
      </c>
      <c r="H3074" s="1">
        <v>602.0</v>
      </c>
      <c r="I3074" s="1" t="s">
        <v>21</v>
      </c>
      <c r="J3074" s="1" t="s">
        <v>18</v>
      </c>
      <c r="K3074" s="1">
        <v>55000.0</v>
      </c>
      <c r="L3074" s="1">
        <v>56.9613221</v>
      </c>
      <c r="M3074" s="1">
        <v>24.2342410751615</v>
      </c>
    </row>
    <row r="3075">
      <c r="A3075" s="1" t="s">
        <v>22</v>
      </c>
      <c r="B3075" s="1" t="s">
        <v>23</v>
      </c>
      <c r="C3075" s="1" t="s">
        <v>1959</v>
      </c>
      <c r="D3075" s="1">
        <v>3.0</v>
      </c>
      <c r="E3075" s="1">
        <v>80.0</v>
      </c>
      <c r="F3075" s="1">
        <v>3.0</v>
      </c>
      <c r="G3075" s="1">
        <v>5.0</v>
      </c>
      <c r="H3075" s="1" t="s">
        <v>25</v>
      </c>
      <c r="I3075" s="1" t="s">
        <v>33</v>
      </c>
      <c r="J3075" s="1" t="s">
        <v>18</v>
      </c>
      <c r="K3075" s="1">
        <v>110000.0</v>
      </c>
      <c r="L3075" s="1">
        <v>56.9508065499999</v>
      </c>
      <c r="M3075" s="1">
        <v>24.102981459375</v>
      </c>
    </row>
    <row r="3076">
      <c r="A3076" s="1" t="s">
        <v>13</v>
      </c>
      <c r="B3076" s="1" t="s">
        <v>218</v>
      </c>
      <c r="C3076" s="1" t="s">
        <v>1960</v>
      </c>
      <c r="D3076" s="1">
        <v>3.0</v>
      </c>
      <c r="E3076" s="1">
        <v>79.0</v>
      </c>
      <c r="F3076" s="1">
        <v>3.0</v>
      </c>
      <c r="G3076" s="1">
        <v>5.0</v>
      </c>
      <c r="H3076" s="1" t="s">
        <v>181</v>
      </c>
      <c r="I3076" s="1" t="s">
        <v>33</v>
      </c>
      <c r="J3076" s="1" t="s">
        <v>18</v>
      </c>
      <c r="K3076" s="1">
        <v>670.0</v>
      </c>
      <c r="L3076" s="1">
        <v>56.948717</v>
      </c>
      <c r="M3076" s="1">
        <v>24.1026014276418</v>
      </c>
    </row>
    <row r="3077">
      <c r="A3077" s="1" t="s">
        <v>22</v>
      </c>
      <c r="B3077" s="1" t="s">
        <v>23</v>
      </c>
      <c r="C3077" s="1" t="s">
        <v>91</v>
      </c>
      <c r="D3077" s="1">
        <v>3.0</v>
      </c>
      <c r="E3077" s="1">
        <v>127.0</v>
      </c>
      <c r="F3077" s="1">
        <v>7.0</v>
      </c>
      <c r="G3077" s="1">
        <v>7.0</v>
      </c>
      <c r="H3077" s="1" t="s">
        <v>32</v>
      </c>
      <c r="I3077" s="1" t="s">
        <v>21</v>
      </c>
      <c r="J3077" s="1" t="s">
        <v>18</v>
      </c>
      <c r="K3077" s="1">
        <v>273000.0</v>
      </c>
      <c r="L3077" s="1">
        <v>56.9552522</v>
      </c>
      <c r="M3077" s="1">
        <v>24.0999991251943</v>
      </c>
    </row>
    <row r="3078">
      <c r="A3078" s="1" t="s">
        <v>22</v>
      </c>
      <c r="B3078" s="1" t="s">
        <v>28</v>
      </c>
      <c r="C3078" s="1" t="s">
        <v>1961</v>
      </c>
      <c r="D3078" s="1">
        <v>1.0</v>
      </c>
      <c r="E3078" s="1">
        <v>12.0</v>
      </c>
      <c r="F3078" s="1">
        <v>2.0</v>
      </c>
      <c r="G3078" s="1">
        <v>3.0</v>
      </c>
      <c r="H3078" s="1" t="s">
        <v>57</v>
      </c>
      <c r="I3078" s="1" t="s">
        <v>33</v>
      </c>
      <c r="J3078" s="1" t="s">
        <v>18</v>
      </c>
      <c r="K3078" s="1">
        <v>11300.0</v>
      </c>
      <c r="L3078" s="1">
        <v>56.91229505</v>
      </c>
      <c r="M3078" s="1">
        <v>24.2059117623488</v>
      </c>
    </row>
    <row r="3079">
      <c r="A3079" s="1" t="s">
        <v>13</v>
      </c>
      <c r="B3079" s="1" t="s">
        <v>441</v>
      </c>
      <c r="C3079" s="1" t="s">
        <v>1962</v>
      </c>
      <c r="D3079" s="1">
        <v>1.0</v>
      </c>
      <c r="E3079" s="1">
        <v>30.0</v>
      </c>
      <c r="F3079" s="1">
        <v>3.0</v>
      </c>
      <c r="G3079" s="1">
        <v>5.0</v>
      </c>
      <c r="H3079" s="1" t="s">
        <v>44</v>
      </c>
      <c r="I3079" s="1" t="s">
        <v>37</v>
      </c>
      <c r="J3079" s="1" t="s">
        <v>18</v>
      </c>
      <c r="K3079" s="1">
        <v>200.0</v>
      </c>
      <c r="L3079" s="1" t="s">
        <v>40</v>
      </c>
      <c r="M3079" s="1" t="s">
        <v>40</v>
      </c>
    </row>
    <row r="3080">
      <c r="A3080" s="1" t="s">
        <v>22</v>
      </c>
      <c r="B3080" s="1" t="s">
        <v>23</v>
      </c>
      <c r="C3080" s="1" t="s">
        <v>1351</v>
      </c>
      <c r="D3080" s="1">
        <v>2.0</v>
      </c>
      <c r="E3080" s="1">
        <v>41.0</v>
      </c>
      <c r="F3080" s="1">
        <v>3.0</v>
      </c>
      <c r="G3080" s="1">
        <v>7.0</v>
      </c>
      <c r="H3080" s="1" t="s">
        <v>32</v>
      </c>
      <c r="I3080" s="1" t="s">
        <v>33</v>
      </c>
      <c r="J3080" s="1" t="s">
        <v>18</v>
      </c>
      <c r="K3080" s="1">
        <v>94164.0</v>
      </c>
      <c r="L3080" s="1">
        <v>56.9484721</v>
      </c>
      <c r="M3080" s="1">
        <v>24.1446057</v>
      </c>
    </row>
    <row r="3081">
      <c r="A3081" s="1" t="s">
        <v>22</v>
      </c>
      <c r="B3081" s="1" t="s">
        <v>23</v>
      </c>
      <c r="C3081" s="1" t="s">
        <v>1963</v>
      </c>
      <c r="D3081" s="1">
        <v>2.0</v>
      </c>
      <c r="E3081" s="1">
        <v>50.0</v>
      </c>
      <c r="F3081" s="1">
        <v>2.0</v>
      </c>
      <c r="G3081" s="1">
        <v>5.0</v>
      </c>
      <c r="H3081" s="1" t="s">
        <v>25</v>
      </c>
      <c r="I3081" s="1" t="s">
        <v>33</v>
      </c>
      <c r="J3081" s="1" t="s">
        <v>18</v>
      </c>
      <c r="K3081" s="1">
        <v>67000.0</v>
      </c>
      <c r="L3081" s="1">
        <v>56.96965905</v>
      </c>
      <c r="M3081" s="1">
        <v>24.1519980482086</v>
      </c>
    </row>
    <row r="3082">
      <c r="A3082" s="1" t="s">
        <v>89</v>
      </c>
      <c r="B3082" s="1" t="s">
        <v>50</v>
      </c>
      <c r="C3082" s="2"/>
      <c r="D3082" s="2"/>
      <c r="E3082" s="2"/>
      <c r="F3082" s="2"/>
      <c r="G3082" s="2"/>
      <c r="H3082" s="2"/>
      <c r="I3082" s="2"/>
      <c r="J3082" s="2"/>
      <c r="K3082" s="2"/>
      <c r="L3082" s="1">
        <v>46.3144754</v>
      </c>
      <c r="M3082" s="1">
        <v>11.0480288</v>
      </c>
    </row>
    <row r="3083">
      <c r="A3083" s="1" t="s">
        <v>89</v>
      </c>
      <c r="B3083" s="1" t="s">
        <v>94</v>
      </c>
      <c r="C3083" s="2"/>
      <c r="D3083" s="2"/>
      <c r="E3083" s="2"/>
      <c r="F3083" s="2"/>
      <c r="G3083" s="2"/>
      <c r="H3083" s="2"/>
      <c r="I3083" s="2"/>
      <c r="J3083" s="2"/>
      <c r="K3083" s="2"/>
      <c r="L3083" s="1">
        <v>46.3144754</v>
      </c>
      <c r="M3083" s="1">
        <v>11.0480288</v>
      </c>
    </row>
    <row r="3084">
      <c r="A3084" s="1" t="s">
        <v>89</v>
      </c>
      <c r="B3084" s="1" t="s">
        <v>28</v>
      </c>
      <c r="C3084" s="2"/>
      <c r="D3084" s="2"/>
      <c r="E3084" s="2"/>
      <c r="F3084" s="2"/>
      <c r="G3084" s="2"/>
      <c r="H3084" s="2"/>
      <c r="I3084" s="2"/>
      <c r="J3084" s="2"/>
      <c r="K3084" s="2"/>
      <c r="L3084" s="1">
        <v>46.3144754</v>
      </c>
      <c r="M3084" s="1">
        <v>11.0480288</v>
      </c>
    </row>
    <row r="3085">
      <c r="A3085" s="1" t="s">
        <v>89</v>
      </c>
      <c r="B3085" s="1" t="s">
        <v>42</v>
      </c>
      <c r="C3085" s="2"/>
      <c r="D3085" s="2"/>
      <c r="E3085" s="2"/>
      <c r="F3085" s="2"/>
      <c r="G3085" s="2"/>
      <c r="H3085" s="2"/>
      <c r="I3085" s="2"/>
      <c r="J3085" s="2"/>
      <c r="K3085" s="2"/>
      <c r="L3085" s="1">
        <v>46.3144754</v>
      </c>
      <c r="M3085" s="1">
        <v>11.0480288</v>
      </c>
    </row>
    <row r="3086">
      <c r="A3086" s="1" t="s">
        <v>89</v>
      </c>
      <c r="B3086" s="1" t="s">
        <v>38</v>
      </c>
      <c r="C3086" s="2"/>
      <c r="D3086" s="2"/>
      <c r="E3086" s="2"/>
      <c r="F3086" s="2"/>
      <c r="G3086" s="2"/>
      <c r="H3086" s="2"/>
      <c r="I3086" s="2"/>
      <c r="J3086" s="2"/>
      <c r="K3086" s="2"/>
      <c r="L3086" s="1">
        <v>46.3144754</v>
      </c>
      <c r="M3086" s="1">
        <v>11.0480288</v>
      </c>
    </row>
    <row r="3087">
      <c r="A3087" s="1" t="s">
        <v>89</v>
      </c>
      <c r="B3087" s="1" t="s">
        <v>151</v>
      </c>
      <c r="C3087" s="2"/>
      <c r="D3087" s="2"/>
      <c r="E3087" s="2"/>
      <c r="F3087" s="2"/>
      <c r="G3087" s="2"/>
      <c r="H3087" s="2"/>
      <c r="I3087" s="2"/>
      <c r="J3087" s="2"/>
      <c r="K3087" s="2"/>
      <c r="L3087" s="1">
        <v>46.3144754</v>
      </c>
      <c r="M3087" s="1">
        <v>11.0480288</v>
      </c>
    </row>
    <row r="3088">
      <c r="A3088" s="1" t="s">
        <v>89</v>
      </c>
      <c r="B3088" s="1" t="s">
        <v>76</v>
      </c>
      <c r="C3088" s="2"/>
      <c r="D3088" s="2"/>
      <c r="E3088" s="2"/>
      <c r="F3088" s="2"/>
      <c r="G3088" s="2"/>
      <c r="H3088" s="2"/>
      <c r="I3088" s="2"/>
      <c r="J3088" s="2"/>
      <c r="K3088" s="2"/>
      <c r="L3088" s="1">
        <v>46.3144754</v>
      </c>
      <c r="M3088" s="1">
        <v>11.0480288</v>
      </c>
    </row>
    <row r="3089">
      <c r="A3089" s="1" t="s">
        <v>89</v>
      </c>
      <c r="B3089" s="1" t="s">
        <v>174</v>
      </c>
      <c r="C3089" s="2"/>
      <c r="D3089" s="2"/>
      <c r="E3089" s="2"/>
      <c r="F3089" s="2"/>
      <c r="G3089" s="2"/>
      <c r="H3089" s="2"/>
      <c r="I3089" s="2"/>
      <c r="J3089" s="2"/>
      <c r="K3089" s="2"/>
      <c r="L3089" s="1">
        <v>46.3144754</v>
      </c>
      <c r="M3089" s="1">
        <v>11.0480288</v>
      </c>
    </row>
    <row r="3090">
      <c r="A3090" s="1" t="s">
        <v>89</v>
      </c>
      <c r="B3090" s="1" t="s">
        <v>60</v>
      </c>
      <c r="C3090" s="2"/>
      <c r="D3090" s="2"/>
      <c r="E3090" s="2"/>
      <c r="F3090" s="2"/>
      <c r="G3090" s="2"/>
      <c r="H3090" s="2"/>
      <c r="I3090" s="2"/>
      <c r="J3090" s="2"/>
      <c r="K3090" s="2"/>
      <c r="L3090" s="1">
        <v>46.3144754</v>
      </c>
      <c r="M3090" s="1">
        <v>11.0480288</v>
      </c>
    </row>
    <row r="3091">
      <c r="A3091" s="1" t="s">
        <v>22</v>
      </c>
      <c r="B3091" s="1" t="s">
        <v>42</v>
      </c>
      <c r="C3091" s="1" t="s">
        <v>320</v>
      </c>
      <c r="D3091" s="1">
        <v>2.0</v>
      </c>
      <c r="E3091" s="1">
        <v>47.0</v>
      </c>
      <c r="F3091" s="1">
        <v>2.0</v>
      </c>
      <c r="G3091" s="1">
        <v>5.0</v>
      </c>
      <c r="H3091" s="1" t="s">
        <v>16</v>
      </c>
      <c r="I3091" s="1" t="s">
        <v>21</v>
      </c>
      <c r="J3091" s="1" t="s">
        <v>18</v>
      </c>
      <c r="K3091" s="1">
        <v>44850.0</v>
      </c>
      <c r="L3091" s="1">
        <v>56.98820105</v>
      </c>
      <c r="M3091" s="1">
        <v>24.2432239392002</v>
      </c>
    </row>
    <row r="3092">
      <c r="A3092" s="1" t="s">
        <v>13</v>
      </c>
      <c r="B3092" s="1" t="s">
        <v>23</v>
      </c>
      <c r="C3092" s="1" t="s">
        <v>1964</v>
      </c>
      <c r="D3092" s="1">
        <v>3.0</v>
      </c>
      <c r="E3092" s="1">
        <v>64.0</v>
      </c>
      <c r="F3092" s="1">
        <v>3.0</v>
      </c>
      <c r="G3092" s="1">
        <v>5.0</v>
      </c>
      <c r="H3092" s="1" t="s">
        <v>181</v>
      </c>
      <c r="I3092" s="1" t="s">
        <v>37</v>
      </c>
      <c r="J3092" s="1" t="s">
        <v>18</v>
      </c>
      <c r="K3092" s="1">
        <v>500.0</v>
      </c>
      <c r="L3092" s="1">
        <v>56.9641143</v>
      </c>
      <c r="M3092" s="1">
        <v>24.1393325</v>
      </c>
    </row>
    <row r="3093">
      <c r="A3093" s="1" t="s">
        <v>22</v>
      </c>
      <c r="B3093" s="1" t="s">
        <v>23</v>
      </c>
      <c r="C3093" s="1" t="s">
        <v>1351</v>
      </c>
      <c r="D3093" s="1">
        <v>4.0</v>
      </c>
      <c r="E3093" s="1">
        <v>101.0</v>
      </c>
      <c r="F3093" s="1">
        <v>3.0</v>
      </c>
      <c r="G3093" s="1">
        <v>7.0</v>
      </c>
      <c r="H3093" s="1" t="s">
        <v>32</v>
      </c>
      <c r="I3093" s="1" t="s">
        <v>33</v>
      </c>
      <c r="J3093" s="1" t="s">
        <v>18</v>
      </c>
      <c r="K3093" s="1">
        <v>222220.0</v>
      </c>
      <c r="L3093" s="1">
        <v>56.9484721</v>
      </c>
      <c r="M3093" s="1">
        <v>24.1446057</v>
      </c>
    </row>
    <row r="3094">
      <c r="A3094" s="1" t="s">
        <v>13</v>
      </c>
      <c r="B3094" s="1" t="s">
        <v>23</v>
      </c>
      <c r="C3094" s="1" t="s">
        <v>1965</v>
      </c>
      <c r="D3094" s="1">
        <v>1.0</v>
      </c>
      <c r="E3094" s="1">
        <v>33.0</v>
      </c>
      <c r="F3094" s="1">
        <v>1.0</v>
      </c>
      <c r="G3094" s="1">
        <v>4.0</v>
      </c>
      <c r="H3094" s="1" t="s">
        <v>66</v>
      </c>
      <c r="I3094" s="1" t="s">
        <v>33</v>
      </c>
      <c r="J3094" s="1" t="s">
        <v>18</v>
      </c>
      <c r="K3094" s="1">
        <v>330.0</v>
      </c>
      <c r="L3094" s="1">
        <v>56.9610245</v>
      </c>
      <c r="M3094" s="1">
        <v>24.1085131</v>
      </c>
    </row>
    <row r="3095">
      <c r="A3095" s="1" t="s">
        <v>22</v>
      </c>
      <c r="B3095" s="1" t="s">
        <v>38</v>
      </c>
      <c r="C3095" s="1" t="s">
        <v>1875</v>
      </c>
      <c r="D3095" s="1">
        <v>2.0</v>
      </c>
      <c r="E3095" s="1">
        <v>49.0</v>
      </c>
      <c r="F3095" s="1">
        <v>1.0</v>
      </c>
      <c r="G3095" s="1">
        <v>5.0</v>
      </c>
      <c r="H3095" s="1" t="s">
        <v>16</v>
      </c>
      <c r="I3095" s="1" t="s">
        <v>21</v>
      </c>
      <c r="J3095" s="1" t="s">
        <v>18</v>
      </c>
      <c r="K3095" s="1">
        <v>41000.0</v>
      </c>
      <c r="L3095" s="1" t="s">
        <v>40</v>
      </c>
      <c r="M3095" s="1" t="s">
        <v>40</v>
      </c>
    </row>
    <row r="3096">
      <c r="A3096" s="1" t="s">
        <v>13</v>
      </c>
      <c r="B3096" s="1" t="s">
        <v>48</v>
      </c>
      <c r="C3096" s="1" t="s">
        <v>365</v>
      </c>
      <c r="D3096" s="1">
        <v>3.0</v>
      </c>
      <c r="E3096" s="1">
        <v>65.0</v>
      </c>
      <c r="F3096" s="1">
        <v>5.0</v>
      </c>
      <c r="G3096" s="1">
        <v>5.0</v>
      </c>
      <c r="H3096" s="1" t="s">
        <v>36</v>
      </c>
      <c r="I3096" s="1" t="s">
        <v>21</v>
      </c>
      <c r="J3096" s="1" t="s">
        <v>18</v>
      </c>
      <c r="K3096" s="1">
        <v>550.0</v>
      </c>
      <c r="L3096" s="1">
        <v>56.95546705</v>
      </c>
      <c r="M3096" s="1">
        <v>24.24181865</v>
      </c>
    </row>
    <row r="3097">
      <c r="A3097" s="1" t="s">
        <v>22</v>
      </c>
      <c r="B3097" s="1" t="s">
        <v>23</v>
      </c>
      <c r="C3097" s="1" t="s">
        <v>1966</v>
      </c>
      <c r="D3097" s="1">
        <v>4.0</v>
      </c>
      <c r="E3097" s="1">
        <v>110.0</v>
      </c>
      <c r="F3097" s="1">
        <v>2.0</v>
      </c>
      <c r="G3097" s="1">
        <v>6.0</v>
      </c>
      <c r="H3097" s="1" t="s">
        <v>25</v>
      </c>
      <c r="I3097" s="1" t="s">
        <v>33</v>
      </c>
      <c r="J3097" s="1" t="s">
        <v>18</v>
      </c>
      <c r="K3097" s="1">
        <v>172000.0</v>
      </c>
      <c r="L3097" s="1">
        <v>56.9606867</v>
      </c>
      <c r="M3097" s="1">
        <v>24.1035085</v>
      </c>
    </row>
    <row r="3098">
      <c r="A3098" s="1" t="s">
        <v>22</v>
      </c>
      <c r="B3098" s="1" t="s">
        <v>48</v>
      </c>
      <c r="C3098" s="1" t="s">
        <v>1967</v>
      </c>
      <c r="D3098" s="1">
        <v>1.0</v>
      </c>
      <c r="E3098" s="1">
        <v>32.0</v>
      </c>
      <c r="F3098" s="1">
        <v>6.0</v>
      </c>
      <c r="G3098" s="1">
        <v>9.0</v>
      </c>
      <c r="H3098" s="1">
        <v>602.0</v>
      </c>
      <c r="I3098" s="1" t="s">
        <v>21</v>
      </c>
      <c r="J3098" s="1" t="s">
        <v>18</v>
      </c>
      <c r="K3098" s="1">
        <v>34500.0</v>
      </c>
      <c r="L3098" s="1">
        <v>56.9622593</v>
      </c>
      <c r="M3098" s="1">
        <v>24.2347236771608</v>
      </c>
    </row>
    <row r="3099">
      <c r="A3099" s="1" t="s">
        <v>22</v>
      </c>
      <c r="B3099" s="1" t="s">
        <v>23</v>
      </c>
      <c r="C3099" s="1" t="s">
        <v>1259</v>
      </c>
      <c r="D3099" s="1">
        <v>3.0</v>
      </c>
      <c r="E3099" s="1">
        <v>84.0</v>
      </c>
      <c r="F3099" s="1">
        <v>6.0</v>
      </c>
      <c r="G3099" s="1">
        <v>6.0</v>
      </c>
      <c r="H3099" s="1" t="s">
        <v>25</v>
      </c>
      <c r="I3099" s="1" t="s">
        <v>33</v>
      </c>
      <c r="J3099" s="1" t="s">
        <v>18</v>
      </c>
      <c r="K3099" s="1">
        <v>149000.0</v>
      </c>
      <c r="L3099" s="1">
        <v>56.95567115</v>
      </c>
      <c r="M3099" s="1">
        <v>24.1314109608833</v>
      </c>
    </row>
    <row r="3100">
      <c r="A3100" s="1" t="s">
        <v>22</v>
      </c>
      <c r="B3100" s="1" t="s">
        <v>14</v>
      </c>
      <c r="C3100" s="1" t="s">
        <v>1968</v>
      </c>
      <c r="D3100" s="1">
        <v>1.0</v>
      </c>
      <c r="E3100" s="1">
        <v>50.0</v>
      </c>
      <c r="F3100" s="1">
        <v>6.0</v>
      </c>
      <c r="G3100" s="1">
        <v>9.0</v>
      </c>
      <c r="H3100" s="1">
        <v>119.0</v>
      </c>
      <c r="I3100" s="1" t="s">
        <v>21</v>
      </c>
      <c r="J3100" s="1" t="s">
        <v>18</v>
      </c>
      <c r="K3100" s="1">
        <v>50000.0</v>
      </c>
      <c r="L3100" s="1">
        <v>56.95329855</v>
      </c>
      <c r="M3100" s="1">
        <v>24.1711981373759</v>
      </c>
    </row>
    <row r="3101">
      <c r="A3101" s="1" t="s">
        <v>13</v>
      </c>
      <c r="B3101" s="1" t="s">
        <v>74</v>
      </c>
      <c r="C3101" s="1" t="s">
        <v>1263</v>
      </c>
      <c r="D3101" s="1">
        <v>1.0</v>
      </c>
      <c r="E3101" s="1">
        <v>39.0</v>
      </c>
      <c r="F3101" s="1">
        <v>5.0</v>
      </c>
      <c r="G3101" s="1">
        <v>9.0</v>
      </c>
      <c r="H3101" s="1" t="s">
        <v>57</v>
      </c>
      <c r="I3101" s="1" t="s">
        <v>21</v>
      </c>
      <c r="J3101" s="1" t="s">
        <v>18</v>
      </c>
      <c r="K3101" s="1">
        <v>300.0</v>
      </c>
      <c r="L3101" s="1">
        <v>56.94315815</v>
      </c>
      <c r="M3101" s="1">
        <v>24.212789903353</v>
      </c>
    </row>
    <row r="3102">
      <c r="A3102" s="1" t="s">
        <v>13</v>
      </c>
      <c r="B3102" s="1" t="s">
        <v>74</v>
      </c>
      <c r="C3102" s="1" t="s">
        <v>183</v>
      </c>
      <c r="D3102" s="1">
        <v>3.0</v>
      </c>
      <c r="E3102" s="1">
        <v>62.0</v>
      </c>
      <c r="F3102" s="1">
        <v>2.0</v>
      </c>
      <c r="G3102" s="1">
        <v>9.0</v>
      </c>
      <c r="H3102" s="1">
        <v>602.0</v>
      </c>
      <c r="I3102" s="1" t="s">
        <v>21</v>
      </c>
      <c r="J3102" s="1" t="s">
        <v>18</v>
      </c>
      <c r="K3102" s="1">
        <v>350.0</v>
      </c>
      <c r="L3102" s="1">
        <v>56.94404435</v>
      </c>
      <c r="M3102" s="1">
        <v>24.21522315</v>
      </c>
    </row>
    <row r="3103">
      <c r="A3103" s="1" t="s">
        <v>13</v>
      </c>
      <c r="B3103" s="1" t="s">
        <v>23</v>
      </c>
      <c r="C3103" s="1" t="s">
        <v>1562</v>
      </c>
      <c r="D3103" s="1">
        <v>1.0</v>
      </c>
      <c r="E3103" s="1">
        <v>26.0</v>
      </c>
      <c r="F3103" s="1">
        <v>3.0</v>
      </c>
      <c r="G3103" s="1">
        <v>8.0</v>
      </c>
      <c r="H3103" s="1" t="s">
        <v>66</v>
      </c>
      <c r="I3103" s="1" t="s">
        <v>17</v>
      </c>
      <c r="J3103" s="1" t="s">
        <v>18</v>
      </c>
      <c r="K3103" s="1">
        <v>360.0</v>
      </c>
      <c r="L3103" s="1">
        <v>56.9589948</v>
      </c>
      <c r="M3103" s="1">
        <v>24.1130565349601</v>
      </c>
    </row>
    <row r="3104">
      <c r="A3104" s="1" t="s">
        <v>22</v>
      </c>
      <c r="B3104" s="1" t="s">
        <v>109</v>
      </c>
      <c r="C3104" s="1" t="s">
        <v>1969</v>
      </c>
      <c r="D3104" s="1">
        <v>2.0</v>
      </c>
      <c r="E3104" s="1">
        <v>46.0</v>
      </c>
      <c r="F3104" s="1">
        <v>4.0</v>
      </c>
      <c r="G3104" s="1">
        <v>5.0</v>
      </c>
      <c r="H3104" s="1" t="s">
        <v>44</v>
      </c>
      <c r="I3104" s="1" t="s">
        <v>17</v>
      </c>
      <c r="J3104" s="1" t="s">
        <v>18</v>
      </c>
      <c r="K3104" s="1">
        <v>49500.0</v>
      </c>
      <c r="L3104" s="1">
        <v>56.9984366</v>
      </c>
      <c r="M3104" s="1">
        <v>24.1328951</v>
      </c>
    </row>
    <row r="3105">
      <c r="A3105" s="1" t="s">
        <v>22</v>
      </c>
      <c r="B3105" s="1" t="s">
        <v>23</v>
      </c>
      <c r="C3105" s="1" t="s">
        <v>258</v>
      </c>
      <c r="D3105" s="1">
        <v>3.0</v>
      </c>
      <c r="E3105" s="1">
        <v>77.0</v>
      </c>
      <c r="F3105" s="1">
        <v>4.0</v>
      </c>
      <c r="G3105" s="1">
        <v>6.0</v>
      </c>
      <c r="H3105" s="1" t="s">
        <v>66</v>
      </c>
      <c r="I3105" s="1" t="s">
        <v>33</v>
      </c>
      <c r="J3105" s="1" t="s">
        <v>18</v>
      </c>
      <c r="K3105" s="1">
        <v>159600.0</v>
      </c>
      <c r="L3105" s="1">
        <v>56.958482</v>
      </c>
      <c r="M3105" s="1">
        <v>24.116859</v>
      </c>
    </row>
    <row r="3106">
      <c r="A3106" s="1" t="s">
        <v>22</v>
      </c>
      <c r="B3106" s="1" t="s">
        <v>23</v>
      </c>
      <c r="C3106" s="1" t="s">
        <v>1970</v>
      </c>
      <c r="D3106" s="1">
        <v>3.0</v>
      </c>
      <c r="E3106" s="1">
        <v>104.5</v>
      </c>
      <c r="F3106" s="1">
        <v>2.0</v>
      </c>
      <c r="G3106" s="1">
        <v>4.0</v>
      </c>
      <c r="H3106" s="1" t="s">
        <v>32</v>
      </c>
      <c r="I3106" s="1" t="s">
        <v>17</v>
      </c>
      <c r="J3106" s="1" t="s">
        <v>18</v>
      </c>
      <c r="K3106" s="1">
        <v>289000.0</v>
      </c>
      <c r="L3106" s="1">
        <v>56.9537092</v>
      </c>
      <c r="M3106" s="1">
        <v>24.1021092</v>
      </c>
    </row>
    <row r="3107">
      <c r="A3107" s="1" t="s">
        <v>13</v>
      </c>
      <c r="B3107" s="1" t="s">
        <v>23</v>
      </c>
      <c r="C3107" s="1" t="s">
        <v>1971</v>
      </c>
      <c r="D3107" s="1">
        <v>2.0</v>
      </c>
      <c r="E3107" s="1">
        <v>44.0</v>
      </c>
      <c r="F3107" s="1">
        <v>3.0</v>
      </c>
      <c r="G3107" s="1">
        <v>5.0</v>
      </c>
      <c r="H3107" s="1" t="s">
        <v>25</v>
      </c>
      <c r="I3107" s="1" t="s">
        <v>33</v>
      </c>
      <c r="J3107" s="1" t="s">
        <v>18</v>
      </c>
      <c r="K3107" s="1">
        <v>40.0</v>
      </c>
      <c r="L3107" s="1">
        <v>56.95595215</v>
      </c>
      <c r="M3107" s="1">
        <v>24.146706704663</v>
      </c>
    </row>
    <row r="3108">
      <c r="A3108" s="1" t="s">
        <v>22</v>
      </c>
      <c r="B3108" s="1" t="s">
        <v>422</v>
      </c>
      <c r="C3108" s="1" t="s">
        <v>1972</v>
      </c>
      <c r="D3108" s="1">
        <v>1.0</v>
      </c>
      <c r="E3108" s="1">
        <v>25.0</v>
      </c>
      <c r="F3108" s="1">
        <v>3.0</v>
      </c>
      <c r="G3108" s="1">
        <v>3.0</v>
      </c>
      <c r="H3108" s="1" t="s">
        <v>57</v>
      </c>
      <c r="I3108" s="1" t="s">
        <v>37</v>
      </c>
      <c r="J3108" s="1" t="s">
        <v>18</v>
      </c>
      <c r="K3108" s="1">
        <v>12500.0</v>
      </c>
      <c r="L3108" s="1">
        <v>56.9406706</v>
      </c>
      <c r="M3108" s="1">
        <v>24.0386236</v>
      </c>
    </row>
    <row r="3109">
      <c r="A3109" s="1" t="s">
        <v>22</v>
      </c>
      <c r="B3109" s="1" t="s">
        <v>23</v>
      </c>
      <c r="C3109" s="1" t="s">
        <v>674</v>
      </c>
      <c r="D3109" s="1">
        <v>3.0</v>
      </c>
      <c r="E3109" s="1">
        <v>60.0</v>
      </c>
      <c r="F3109" s="1">
        <v>3.0</v>
      </c>
      <c r="G3109" s="1">
        <v>9.0</v>
      </c>
      <c r="H3109" s="1" t="s">
        <v>66</v>
      </c>
      <c r="I3109" s="1" t="s">
        <v>122</v>
      </c>
      <c r="J3109" s="1" t="s">
        <v>18</v>
      </c>
      <c r="K3109" s="1">
        <v>69000.0</v>
      </c>
      <c r="L3109" s="1">
        <v>56.97650505</v>
      </c>
      <c r="M3109" s="1">
        <v>24.1464958357009</v>
      </c>
    </row>
    <row r="3110">
      <c r="A3110" s="1" t="s">
        <v>13</v>
      </c>
      <c r="B3110" s="1" t="s">
        <v>67</v>
      </c>
      <c r="C3110" s="1" t="s">
        <v>1973</v>
      </c>
      <c r="D3110" s="1">
        <v>1.0</v>
      </c>
      <c r="E3110" s="1">
        <v>19.0</v>
      </c>
      <c r="F3110" s="1">
        <v>2.0</v>
      </c>
      <c r="G3110" s="1">
        <v>2.0</v>
      </c>
      <c r="H3110" s="1" t="s">
        <v>66</v>
      </c>
      <c r="I3110" s="1" t="s">
        <v>33</v>
      </c>
      <c r="J3110" s="1" t="s">
        <v>18</v>
      </c>
      <c r="K3110" s="1">
        <v>220.0</v>
      </c>
      <c r="L3110" s="1">
        <v>56.959738</v>
      </c>
      <c r="M3110" s="1">
        <v>24.1478191</v>
      </c>
    </row>
    <row r="3111">
      <c r="A3111" s="1" t="s">
        <v>22</v>
      </c>
      <c r="B3111" s="1" t="s">
        <v>109</v>
      </c>
      <c r="C3111" s="1" t="s">
        <v>1974</v>
      </c>
      <c r="D3111" s="1">
        <v>3.0</v>
      </c>
      <c r="E3111" s="1">
        <v>100.0</v>
      </c>
      <c r="F3111" s="1">
        <v>2.0</v>
      </c>
      <c r="G3111" s="1">
        <v>3.0</v>
      </c>
      <c r="H3111" s="1" t="s">
        <v>25</v>
      </c>
      <c r="I3111" s="1" t="s">
        <v>26</v>
      </c>
      <c r="J3111" s="1" t="s">
        <v>18</v>
      </c>
      <c r="K3111" s="1">
        <v>250000.0</v>
      </c>
      <c r="L3111" s="1">
        <v>56.9983158999999</v>
      </c>
      <c r="M3111" s="1">
        <v>24.1614570264157</v>
      </c>
    </row>
    <row r="3112">
      <c r="A3112" s="1" t="s">
        <v>22</v>
      </c>
      <c r="B3112" s="1" t="s">
        <v>23</v>
      </c>
      <c r="C3112" s="1" t="s">
        <v>280</v>
      </c>
      <c r="D3112" s="1">
        <v>2.0</v>
      </c>
      <c r="E3112" s="1">
        <v>41.0</v>
      </c>
      <c r="F3112" s="1">
        <v>6.0</v>
      </c>
      <c r="G3112" s="1">
        <v>6.0</v>
      </c>
      <c r="H3112" s="1" t="s">
        <v>66</v>
      </c>
      <c r="I3112" s="1" t="s">
        <v>33</v>
      </c>
      <c r="J3112" s="1" t="s">
        <v>18</v>
      </c>
      <c r="K3112" s="1">
        <v>102750.0</v>
      </c>
      <c r="L3112" s="1">
        <v>56.95161295</v>
      </c>
      <c r="M3112" s="1">
        <v>24.1224571478615</v>
      </c>
    </row>
    <row r="3113">
      <c r="A3113" s="1" t="s">
        <v>22</v>
      </c>
      <c r="B3113" s="1" t="s">
        <v>50</v>
      </c>
      <c r="C3113" s="1" t="s">
        <v>1852</v>
      </c>
      <c r="D3113" s="1">
        <v>1.0</v>
      </c>
      <c r="E3113" s="1">
        <v>29.0</v>
      </c>
      <c r="F3113" s="1">
        <v>4.0</v>
      </c>
      <c r="G3113" s="1">
        <v>6.0</v>
      </c>
      <c r="H3113" s="1" t="s">
        <v>66</v>
      </c>
      <c r="I3113" s="1" t="s">
        <v>33</v>
      </c>
      <c r="J3113" s="1" t="s">
        <v>18</v>
      </c>
      <c r="K3113" s="1">
        <v>44500.0</v>
      </c>
      <c r="L3113" s="1">
        <v>56.94181855</v>
      </c>
      <c r="M3113" s="1">
        <v>24.136004360151</v>
      </c>
    </row>
    <row r="3114">
      <c r="A3114" s="1" t="s">
        <v>22</v>
      </c>
      <c r="B3114" s="1" t="s">
        <v>50</v>
      </c>
      <c r="C3114" s="1" t="s">
        <v>1852</v>
      </c>
      <c r="D3114" s="1">
        <v>3.0</v>
      </c>
      <c r="E3114" s="1">
        <v>50.2</v>
      </c>
      <c r="F3114" s="1">
        <v>3.0</v>
      </c>
      <c r="G3114" s="1">
        <v>6.0</v>
      </c>
      <c r="H3114" s="1" t="s">
        <v>32</v>
      </c>
      <c r="I3114" s="1" t="s">
        <v>33</v>
      </c>
      <c r="J3114" s="1" t="s">
        <v>18</v>
      </c>
      <c r="K3114" s="1">
        <v>69500.0</v>
      </c>
      <c r="L3114" s="1">
        <v>56.94181855</v>
      </c>
      <c r="M3114" s="1">
        <v>24.136004360151</v>
      </c>
    </row>
    <row r="3115">
      <c r="A3115" s="1" t="s">
        <v>22</v>
      </c>
      <c r="B3115" s="1" t="s">
        <v>42</v>
      </c>
      <c r="C3115" s="1" t="s">
        <v>1461</v>
      </c>
      <c r="D3115" s="1">
        <v>3.0</v>
      </c>
      <c r="E3115" s="1">
        <v>57.64</v>
      </c>
      <c r="F3115" s="1">
        <v>1.0</v>
      </c>
      <c r="G3115" s="1">
        <v>5.0</v>
      </c>
      <c r="H3115" s="1" t="s">
        <v>44</v>
      </c>
      <c r="I3115" s="1" t="s">
        <v>17</v>
      </c>
      <c r="J3115" s="1" t="s">
        <v>18</v>
      </c>
      <c r="K3115" s="1">
        <v>45900.0</v>
      </c>
      <c r="L3115" s="1">
        <v>56.98077435</v>
      </c>
      <c r="M3115" s="1">
        <v>24.2503451750686</v>
      </c>
    </row>
    <row r="3116">
      <c r="A3116" s="1" t="s">
        <v>22</v>
      </c>
      <c r="B3116" s="1" t="s">
        <v>23</v>
      </c>
      <c r="C3116" s="1" t="s">
        <v>1975</v>
      </c>
      <c r="D3116" s="1">
        <v>2.0</v>
      </c>
      <c r="E3116" s="1">
        <v>50.0</v>
      </c>
      <c r="F3116" s="1">
        <v>2.0</v>
      </c>
      <c r="G3116" s="1">
        <v>5.0</v>
      </c>
      <c r="H3116" s="1" t="s">
        <v>25</v>
      </c>
      <c r="I3116" s="1" t="s">
        <v>33</v>
      </c>
      <c r="J3116" s="1" t="s">
        <v>18</v>
      </c>
      <c r="K3116" s="1">
        <v>90000.0</v>
      </c>
      <c r="L3116" s="1">
        <v>56.9561637</v>
      </c>
      <c r="M3116" s="1">
        <v>24.1488230999999</v>
      </c>
    </row>
    <row r="3117">
      <c r="A3117" s="1" t="s">
        <v>22</v>
      </c>
      <c r="B3117" s="1" t="s">
        <v>218</v>
      </c>
      <c r="C3117" s="1" t="s">
        <v>91</v>
      </c>
      <c r="D3117" s="1">
        <v>2.0</v>
      </c>
      <c r="E3117" s="1">
        <v>54.0</v>
      </c>
      <c r="F3117" s="1">
        <v>6.0</v>
      </c>
      <c r="G3117" s="1">
        <v>7.0</v>
      </c>
      <c r="H3117" s="1" t="s">
        <v>32</v>
      </c>
      <c r="I3117" s="1" t="s">
        <v>21</v>
      </c>
      <c r="J3117" s="1" t="s">
        <v>18</v>
      </c>
      <c r="K3117" s="1">
        <v>130000.0</v>
      </c>
      <c r="L3117" s="1">
        <v>56.9552522</v>
      </c>
      <c r="M3117" s="1">
        <v>24.0999991251943</v>
      </c>
    </row>
    <row r="3118">
      <c r="A3118" s="1" t="s">
        <v>13</v>
      </c>
      <c r="B3118" s="1" t="s">
        <v>23</v>
      </c>
      <c r="C3118" s="1" t="s">
        <v>303</v>
      </c>
      <c r="D3118" s="1">
        <v>5.0</v>
      </c>
      <c r="E3118" s="1">
        <v>145.0</v>
      </c>
      <c r="F3118" s="1">
        <v>4.0</v>
      </c>
      <c r="G3118" s="1">
        <v>5.0</v>
      </c>
      <c r="H3118" s="1" t="s">
        <v>25</v>
      </c>
      <c r="I3118" s="1" t="s">
        <v>33</v>
      </c>
      <c r="J3118" s="1" t="s">
        <v>18</v>
      </c>
      <c r="K3118" s="1">
        <v>1400.0</v>
      </c>
      <c r="L3118" s="1">
        <v>56.9614591499999</v>
      </c>
      <c r="M3118" s="1">
        <v>24.1092928040999</v>
      </c>
    </row>
    <row r="3119">
      <c r="A3119" s="1" t="s">
        <v>22</v>
      </c>
      <c r="B3119" s="1" t="s">
        <v>104</v>
      </c>
      <c r="C3119" s="1" t="s">
        <v>732</v>
      </c>
      <c r="D3119" s="1">
        <v>2.0</v>
      </c>
      <c r="E3119" s="1">
        <v>68.0</v>
      </c>
      <c r="F3119" s="1">
        <v>5.0</v>
      </c>
      <c r="G3119" s="1">
        <v>25.0</v>
      </c>
      <c r="H3119" s="1" t="s">
        <v>32</v>
      </c>
      <c r="I3119" s="1" t="s">
        <v>17</v>
      </c>
      <c r="J3119" s="1" t="s">
        <v>18</v>
      </c>
      <c r="K3119" s="1">
        <v>108000.0</v>
      </c>
      <c r="L3119" s="1">
        <v>56.9340645</v>
      </c>
      <c r="M3119" s="1">
        <v>24.0436381</v>
      </c>
    </row>
    <row r="3120">
      <c r="A3120" s="1" t="s">
        <v>22</v>
      </c>
      <c r="B3120" s="1" t="s">
        <v>151</v>
      </c>
      <c r="C3120" s="1" t="s">
        <v>1976</v>
      </c>
      <c r="D3120" s="1">
        <v>2.0</v>
      </c>
      <c r="E3120" s="1">
        <v>53.0</v>
      </c>
      <c r="F3120" s="1">
        <v>7.0</v>
      </c>
      <c r="G3120" s="1">
        <v>7.0</v>
      </c>
      <c r="H3120" s="1" t="s">
        <v>36</v>
      </c>
      <c r="I3120" s="1" t="s">
        <v>17</v>
      </c>
      <c r="J3120" s="1" t="s">
        <v>18</v>
      </c>
      <c r="K3120" s="1">
        <v>62500.0</v>
      </c>
      <c r="L3120" s="1">
        <v>56.9645991</v>
      </c>
      <c r="M3120" s="1">
        <v>24.0620749977842</v>
      </c>
    </row>
    <row r="3121">
      <c r="A3121" s="1" t="s">
        <v>22</v>
      </c>
      <c r="B3121" s="1" t="s">
        <v>104</v>
      </c>
      <c r="C3121" s="1" t="s">
        <v>1977</v>
      </c>
      <c r="D3121" s="1">
        <v>6.0</v>
      </c>
      <c r="E3121" s="1">
        <v>228.0</v>
      </c>
      <c r="F3121" s="1">
        <v>6.0</v>
      </c>
      <c r="G3121" s="1">
        <v>7.0</v>
      </c>
      <c r="H3121" s="1" t="s">
        <v>32</v>
      </c>
      <c r="I3121" s="1" t="s">
        <v>33</v>
      </c>
      <c r="J3121" s="1" t="s">
        <v>18</v>
      </c>
      <c r="K3121" s="1">
        <v>225000.0</v>
      </c>
      <c r="L3121" s="1">
        <v>56.94429185</v>
      </c>
      <c r="M3121" s="1">
        <v>24.0920730385488</v>
      </c>
    </row>
    <row r="3122">
      <c r="A3122" s="1" t="s">
        <v>22</v>
      </c>
      <c r="B3122" s="1" t="s">
        <v>104</v>
      </c>
      <c r="C3122" s="1" t="s">
        <v>1978</v>
      </c>
      <c r="D3122" s="1">
        <v>4.0</v>
      </c>
      <c r="E3122" s="1">
        <v>61.0</v>
      </c>
      <c r="F3122" s="1">
        <v>1.0</v>
      </c>
      <c r="G3122" s="1">
        <v>2.0</v>
      </c>
      <c r="H3122" s="1" t="s">
        <v>25</v>
      </c>
      <c r="I3122" s="1" t="s">
        <v>26</v>
      </c>
      <c r="J3122" s="1" t="s">
        <v>18</v>
      </c>
      <c r="K3122" s="1">
        <v>76000.0</v>
      </c>
      <c r="L3122" s="1">
        <v>57.0164335</v>
      </c>
      <c r="M3122" s="1">
        <v>24.0628649</v>
      </c>
    </row>
    <row r="3123">
      <c r="A3123" s="1" t="s">
        <v>22</v>
      </c>
      <c r="B3123" s="1" t="s">
        <v>52</v>
      </c>
      <c r="C3123" s="1" t="s">
        <v>1979</v>
      </c>
      <c r="D3123" s="1">
        <v>3.0</v>
      </c>
      <c r="E3123" s="1">
        <v>75.0</v>
      </c>
      <c r="F3123" s="1">
        <v>12.0</v>
      </c>
      <c r="G3123" s="1">
        <v>16.0</v>
      </c>
      <c r="H3123" s="1">
        <v>104.0</v>
      </c>
      <c r="I3123" s="1" t="s">
        <v>21</v>
      </c>
      <c r="J3123" s="1" t="s">
        <v>18</v>
      </c>
      <c r="K3123" s="1">
        <v>68000.0</v>
      </c>
      <c r="L3123" s="1">
        <v>56.9491401</v>
      </c>
      <c r="M3123" s="1">
        <v>23.9998514</v>
      </c>
    </row>
    <row r="3124">
      <c r="A3124" s="1" t="s">
        <v>22</v>
      </c>
      <c r="B3124" s="1" t="s">
        <v>104</v>
      </c>
      <c r="C3124" s="1" t="s">
        <v>1980</v>
      </c>
      <c r="D3124" s="1">
        <v>2.0</v>
      </c>
      <c r="E3124" s="1">
        <v>43.0</v>
      </c>
      <c r="F3124" s="1">
        <v>1.0</v>
      </c>
      <c r="G3124" s="1">
        <v>4.0</v>
      </c>
      <c r="H3124" s="1" t="s">
        <v>44</v>
      </c>
      <c r="I3124" s="1" t="s">
        <v>37</v>
      </c>
      <c r="J3124" s="1" t="s">
        <v>18</v>
      </c>
      <c r="K3124" s="1">
        <v>41800.0</v>
      </c>
      <c r="L3124" s="1">
        <v>56.94143975</v>
      </c>
      <c r="M3124" s="1">
        <v>24.05811295</v>
      </c>
    </row>
    <row r="3125">
      <c r="A3125" s="1" t="s">
        <v>13</v>
      </c>
      <c r="B3125" s="1" t="s">
        <v>23</v>
      </c>
      <c r="C3125" s="1" t="s">
        <v>1343</v>
      </c>
      <c r="D3125" s="1">
        <v>6.0</v>
      </c>
      <c r="E3125" s="1">
        <v>189.0</v>
      </c>
      <c r="F3125" s="1">
        <v>1.0</v>
      </c>
      <c r="G3125" s="1">
        <v>5.0</v>
      </c>
      <c r="H3125" s="1" t="s">
        <v>66</v>
      </c>
      <c r="I3125" s="1" t="s">
        <v>37</v>
      </c>
      <c r="J3125" s="1" t="s">
        <v>18</v>
      </c>
      <c r="K3125" s="1">
        <v>900.0</v>
      </c>
      <c r="L3125" s="1">
        <v>56.9602579</v>
      </c>
      <c r="M3125" s="1">
        <v>24.1013204</v>
      </c>
    </row>
    <row r="3126">
      <c r="A3126" s="1" t="s">
        <v>22</v>
      </c>
      <c r="B3126" s="1" t="s">
        <v>104</v>
      </c>
      <c r="C3126" s="1" t="s">
        <v>1981</v>
      </c>
      <c r="D3126" s="1">
        <v>2.0</v>
      </c>
      <c r="E3126" s="1">
        <v>40.0</v>
      </c>
      <c r="F3126" s="1">
        <v>3.0</v>
      </c>
      <c r="G3126" s="1">
        <v>4.0</v>
      </c>
      <c r="H3126" s="1" t="s">
        <v>44</v>
      </c>
      <c r="I3126" s="1" t="s">
        <v>37</v>
      </c>
      <c r="J3126" s="1" t="s">
        <v>18</v>
      </c>
      <c r="K3126" s="1">
        <v>34000.0</v>
      </c>
      <c r="L3126" s="1">
        <v>56.9350026</v>
      </c>
      <c r="M3126" s="1">
        <v>24.0379815500343</v>
      </c>
    </row>
    <row r="3127">
      <c r="A3127" s="1" t="s">
        <v>22</v>
      </c>
      <c r="B3127" s="1" t="s">
        <v>422</v>
      </c>
      <c r="C3127" s="1" t="s">
        <v>1981</v>
      </c>
      <c r="D3127" s="1">
        <v>2.0</v>
      </c>
      <c r="E3127" s="1">
        <v>40.0</v>
      </c>
      <c r="F3127" s="1">
        <v>3.0</v>
      </c>
      <c r="G3127" s="1">
        <v>4.0</v>
      </c>
      <c r="H3127" s="1" t="s">
        <v>44</v>
      </c>
      <c r="I3127" s="1" t="s">
        <v>37</v>
      </c>
      <c r="J3127" s="1" t="s">
        <v>18</v>
      </c>
      <c r="K3127" s="1">
        <v>34000.0</v>
      </c>
      <c r="L3127" s="1">
        <v>56.9350026</v>
      </c>
      <c r="M3127" s="1">
        <v>24.0379815500343</v>
      </c>
    </row>
    <row r="3128">
      <c r="A3128" s="1" t="s">
        <v>22</v>
      </c>
      <c r="B3128" s="1" t="s">
        <v>23</v>
      </c>
      <c r="C3128" s="1" t="s">
        <v>826</v>
      </c>
      <c r="D3128" s="1">
        <v>4.0</v>
      </c>
      <c r="E3128" s="1">
        <v>170.0</v>
      </c>
      <c r="F3128" s="1">
        <v>6.0</v>
      </c>
      <c r="G3128" s="1">
        <v>7.0</v>
      </c>
      <c r="H3128" s="1" t="s">
        <v>32</v>
      </c>
      <c r="I3128" s="1" t="s">
        <v>17</v>
      </c>
      <c r="J3128" s="1" t="s">
        <v>18</v>
      </c>
      <c r="K3128" s="1">
        <v>430000.0</v>
      </c>
      <c r="L3128" s="1">
        <v>56.9660465</v>
      </c>
      <c r="M3128" s="1">
        <v>24.1019662</v>
      </c>
    </row>
    <row r="3129">
      <c r="A3129" s="1" t="s">
        <v>22</v>
      </c>
      <c r="B3129" s="1" t="s">
        <v>104</v>
      </c>
      <c r="C3129" s="1" t="s">
        <v>948</v>
      </c>
      <c r="D3129" s="1">
        <v>4.0</v>
      </c>
      <c r="E3129" s="1">
        <v>101.0</v>
      </c>
      <c r="F3129" s="1">
        <v>3.0</v>
      </c>
      <c r="G3129" s="1">
        <v>3.0</v>
      </c>
      <c r="H3129" s="1" t="s">
        <v>32</v>
      </c>
      <c r="I3129" s="1" t="s">
        <v>33</v>
      </c>
      <c r="J3129" s="1" t="s">
        <v>18</v>
      </c>
      <c r="K3129" s="1">
        <v>172500.0</v>
      </c>
      <c r="L3129" s="1">
        <v>56.9394528</v>
      </c>
      <c r="M3129" s="1">
        <v>24.0668604</v>
      </c>
    </row>
    <row r="3130">
      <c r="A3130" s="1" t="s">
        <v>22</v>
      </c>
      <c r="B3130" s="1" t="s">
        <v>38</v>
      </c>
      <c r="C3130" s="1" t="s">
        <v>1474</v>
      </c>
      <c r="D3130" s="1">
        <v>4.0</v>
      </c>
      <c r="E3130" s="1">
        <v>77.7</v>
      </c>
      <c r="F3130" s="1">
        <v>3.0</v>
      </c>
      <c r="G3130" s="1">
        <v>9.0</v>
      </c>
      <c r="H3130" s="1" t="s">
        <v>32</v>
      </c>
      <c r="I3130" s="1" t="s">
        <v>21</v>
      </c>
      <c r="J3130" s="1" t="s">
        <v>18</v>
      </c>
      <c r="K3130" s="1">
        <v>159950.0</v>
      </c>
      <c r="L3130" s="1">
        <v>56.9520352499999</v>
      </c>
      <c r="M3130" s="1">
        <v>24.0038532251639</v>
      </c>
    </row>
    <row r="3131">
      <c r="A3131" s="1" t="s">
        <v>22</v>
      </c>
      <c r="B3131" s="1" t="s">
        <v>38</v>
      </c>
      <c r="C3131" s="1" t="s">
        <v>1474</v>
      </c>
      <c r="D3131" s="1">
        <v>3.0</v>
      </c>
      <c r="E3131" s="1">
        <v>60.2</v>
      </c>
      <c r="F3131" s="1">
        <v>3.0</v>
      </c>
      <c r="G3131" s="1">
        <v>9.0</v>
      </c>
      <c r="H3131" s="1" t="s">
        <v>32</v>
      </c>
      <c r="I3131" s="1" t="s">
        <v>21</v>
      </c>
      <c r="J3131" s="1" t="s">
        <v>18</v>
      </c>
      <c r="K3131" s="1">
        <v>129999.0</v>
      </c>
      <c r="L3131" s="1">
        <v>56.9520352499999</v>
      </c>
      <c r="M3131" s="1">
        <v>24.0038532251639</v>
      </c>
    </row>
    <row r="3132">
      <c r="A3132" s="1" t="s">
        <v>22</v>
      </c>
      <c r="B3132" s="1" t="s">
        <v>38</v>
      </c>
      <c r="C3132" s="1" t="s">
        <v>1474</v>
      </c>
      <c r="D3132" s="1">
        <v>2.0</v>
      </c>
      <c r="E3132" s="1">
        <v>45.0</v>
      </c>
      <c r="F3132" s="1">
        <v>3.0</v>
      </c>
      <c r="G3132" s="1">
        <v>9.0</v>
      </c>
      <c r="H3132" s="1" t="s">
        <v>32</v>
      </c>
      <c r="I3132" s="1" t="s">
        <v>21</v>
      </c>
      <c r="J3132" s="1" t="s">
        <v>18</v>
      </c>
      <c r="K3132" s="1">
        <v>95500.0</v>
      </c>
      <c r="L3132" s="1">
        <v>56.9520352499999</v>
      </c>
      <c r="M3132" s="1">
        <v>24.0038532251639</v>
      </c>
    </row>
    <row r="3133">
      <c r="A3133" s="1" t="s">
        <v>22</v>
      </c>
      <c r="B3133" s="1" t="s">
        <v>23</v>
      </c>
      <c r="C3133" s="1" t="s">
        <v>1696</v>
      </c>
      <c r="D3133" s="1">
        <v>2.0</v>
      </c>
      <c r="E3133" s="1">
        <v>35.0</v>
      </c>
      <c r="F3133" s="1">
        <v>2.0</v>
      </c>
      <c r="G3133" s="1">
        <v>5.0</v>
      </c>
      <c r="H3133" s="1" t="s">
        <v>25</v>
      </c>
      <c r="I3133" s="1" t="s">
        <v>33</v>
      </c>
      <c r="J3133" s="1" t="s">
        <v>18</v>
      </c>
      <c r="K3133" s="1">
        <v>89900.0</v>
      </c>
      <c r="L3133" s="1">
        <v>56.95954305</v>
      </c>
      <c r="M3133" s="1">
        <v>24.1128740830288</v>
      </c>
    </row>
    <row r="3134">
      <c r="A3134" s="1" t="s">
        <v>22</v>
      </c>
      <c r="B3134" s="1" t="s">
        <v>38</v>
      </c>
      <c r="C3134" s="1" t="s">
        <v>1104</v>
      </c>
      <c r="D3134" s="1">
        <v>2.0</v>
      </c>
      <c r="E3134" s="1">
        <v>45.0</v>
      </c>
      <c r="F3134" s="1">
        <v>6.0</v>
      </c>
      <c r="G3134" s="1">
        <v>9.0</v>
      </c>
      <c r="H3134" s="1" t="s">
        <v>32</v>
      </c>
      <c r="I3134" s="1" t="s">
        <v>21</v>
      </c>
      <c r="J3134" s="1" t="s">
        <v>18</v>
      </c>
      <c r="K3134" s="1">
        <v>78369.0</v>
      </c>
      <c r="L3134" s="1">
        <v>56.9514132</v>
      </c>
      <c r="M3134" s="1">
        <v>24.0038761753746</v>
      </c>
    </row>
    <row r="3135">
      <c r="A3135" s="1" t="s">
        <v>13</v>
      </c>
      <c r="B3135" s="1" t="s">
        <v>23</v>
      </c>
      <c r="C3135" s="1" t="s">
        <v>1375</v>
      </c>
      <c r="D3135" s="1">
        <v>2.0</v>
      </c>
      <c r="E3135" s="1">
        <v>56.0</v>
      </c>
      <c r="F3135" s="1">
        <v>2.0</v>
      </c>
      <c r="G3135" s="1">
        <v>6.0</v>
      </c>
      <c r="H3135" s="1" t="s">
        <v>66</v>
      </c>
      <c r="I3135" s="1" t="s">
        <v>33</v>
      </c>
      <c r="J3135" s="1" t="s">
        <v>18</v>
      </c>
      <c r="K3135" s="1">
        <v>1200.0</v>
      </c>
      <c r="L3135" s="1">
        <v>56.9591583</v>
      </c>
      <c r="M3135" s="1">
        <v>24.1026741144114</v>
      </c>
    </row>
    <row r="3136">
      <c r="A3136" s="1" t="s">
        <v>22</v>
      </c>
      <c r="B3136" s="1" t="s">
        <v>96</v>
      </c>
      <c r="C3136" s="1" t="s">
        <v>1982</v>
      </c>
      <c r="D3136" s="1">
        <v>1.0</v>
      </c>
      <c r="E3136" s="1">
        <v>35.0</v>
      </c>
      <c r="F3136" s="1">
        <v>2.0</v>
      </c>
      <c r="G3136" s="1">
        <v>9.0</v>
      </c>
      <c r="H3136" s="1">
        <v>602.0</v>
      </c>
      <c r="I3136" s="1" t="s">
        <v>21</v>
      </c>
      <c r="J3136" s="1" t="s">
        <v>18</v>
      </c>
      <c r="K3136" s="1">
        <v>36000.0</v>
      </c>
      <c r="L3136" s="1">
        <v>57.03751635</v>
      </c>
      <c r="M3136" s="1">
        <v>24.0956591311191</v>
      </c>
    </row>
    <row r="3137">
      <c r="A3137" s="1" t="s">
        <v>89</v>
      </c>
      <c r="B3137" s="1" t="s">
        <v>94</v>
      </c>
      <c r="C3137" s="2"/>
      <c r="D3137" s="2"/>
      <c r="E3137" s="2"/>
      <c r="F3137" s="2"/>
      <c r="G3137" s="2"/>
      <c r="H3137" s="2"/>
      <c r="I3137" s="2"/>
      <c r="J3137" s="2"/>
      <c r="K3137" s="2"/>
      <c r="L3137" s="1">
        <v>46.3144754</v>
      </c>
      <c r="M3137" s="1">
        <v>11.0480288</v>
      </c>
    </row>
    <row r="3138">
      <c r="A3138" s="1" t="s">
        <v>89</v>
      </c>
      <c r="B3138" s="1" t="s">
        <v>14</v>
      </c>
      <c r="C3138" s="2"/>
      <c r="D3138" s="2"/>
      <c r="E3138" s="2"/>
      <c r="F3138" s="2"/>
      <c r="G3138" s="2"/>
      <c r="H3138" s="2"/>
      <c r="I3138" s="2"/>
      <c r="J3138" s="2"/>
      <c r="K3138" s="2"/>
      <c r="L3138" s="1">
        <v>46.3144754</v>
      </c>
      <c r="M3138" s="1">
        <v>11.0480288</v>
      </c>
    </row>
    <row r="3139">
      <c r="A3139" s="1" t="s">
        <v>89</v>
      </c>
      <c r="B3139" s="1" t="s">
        <v>50</v>
      </c>
      <c r="C3139" s="2"/>
      <c r="D3139" s="2"/>
      <c r="E3139" s="2"/>
      <c r="F3139" s="2"/>
      <c r="G3139" s="2"/>
      <c r="H3139" s="2"/>
      <c r="I3139" s="2"/>
      <c r="J3139" s="2"/>
      <c r="K3139" s="2"/>
      <c r="L3139" s="1">
        <v>46.3144754</v>
      </c>
      <c r="M3139" s="1">
        <v>11.0480288</v>
      </c>
    </row>
    <row r="3140">
      <c r="A3140" s="1" t="s">
        <v>131</v>
      </c>
      <c r="B3140" s="1" t="s">
        <v>38</v>
      </c>
      <c r="C3140" s="2"/>
      <c r="D3140" s="1">
        <v>2.0</v>
      </c>
      <c r="E3140" s="2"/>
      <c r="F3140" s="2"/>
      <c r="G3140" s="2"/>
      <c r="H3140" s="2"/>
      <c r="I3140" s="2"/>
      <c r="J3140" s="2"/>
      <c r="K3140" s="2"/>
      <c r="L3140" s="1">
        <v>46.3144754</v>
      </c>
      <c r="M3140" s="1">
        <v>11.0480288</v>
      </c>
    </row>
    <row r="3141">
      <c r="A3141" s="1" t="s">
        <v>131</v>
      </c>
      <c r="B3141" s="1" t="s">
        <v>19</v>
      </c>
      <c r="C3141" s="2"/>
      <c r="D3141" s="1">
        <v>2.0</v>
      </c>
      <c r="E3141" s="2"/>
      <c r="F3141" s="2"/>
      <c r="G3141" s="2"/>
      <c r="H3141" s="2"/>
      <c r="I3141" s="2"/>
      <c r="J3141" s="2"/>
      <c r="K3141" s="2"/>
      <c r="L3141" s="1">
        <v>46.3144754</v>
      </c>
      <c r="M3141" s="1">
        <v>11.0480288</v>
      </c>
    </row>
    <row r="3142">
      <c r="A3142" s="1" t="s">
        <v>22</v>
      </c>
      <c r="B3142" s="1" t="s">
        <v>28</v>
      </c>
      <c r="C3142" s="1" t="s">
        <v>1983</v>
      </c>
      <c r="D3142" s="1">
        <v>2.0</v>
      </c>
      <c r="E3142" s="1">
        <v>47.0</v>
      </c>
      <c r="F3142" s="1">
        <v>10.0</v>
      </c>
      <c r="G3142" s="1">
        <v>12.0</v>
      </c>
      <c r="H3142" s="1" t="s">
        <v>221</v>
      </c>
      <c r="I3142" s="1" t="s">
        <v>122</v>
      </c>
      <c r="J3142" s="1" t="s">
        <v>18</v>
      </c>
      <c r="K3142" s="1">
        <v>47500.0</v>
      </c>
      <c r="L3142" s="1">
        <v>56.91983035</v>
      </c>
      <c r="M3142" s="1">
        <v>24.1728899892471</v>
      </c>
    </row>
    <row r="3143">
      <c r="A3143" s="1" t="s">
        <v>13</v>
      </c>
      <c r="B3143" s="1" t="s">
        <v>30</v>
      </c>
      <c r="C3143" s="1" t="s">
        <v>1984</v>
      </c>
      <c r="D3143" s="1">
        <v>1.0</v>
      </c>
      <c r="E3143" s="1">
        <v>26.0</v>
      </c>
      <c r="F3143" s="1">
        <v>2.0</v>
      </c>
      <c r="G3143" s="1">
        <v>2.0</v>
      </c>
      <c r="H3143" s="1" t="s">
        <v>171</v>
      </c>
      <c r="I3143" s="1" t="s">
        <v>37</v>
      </c>
      <c r="J3143" s="1" t="s">
        <v>18</v>
      </c>
      <c r="K3143" s="1">
        <v>330.0</v>
      </c>
      <c r="L3143" s="1">
        <v>56.9778012</v>
      </c>
      <c r="M3143" s="1">
        <v>24.1792498014705</v>
      </c>
    </row>
    <row r="3144">
      <c r="A3144" s="1" t="s">
        <v>13</v>
      </c>
      <c r="B3144" s="1" t="s">
        <v>74</v>
      </c>
      <c r="C3144" s="1" t="s">
        <v>1985</v>
      </c>
      <c r="D3144" s="1">
        <v>2.0</v>
      </c>
      <c r="E3144" s="1">
        <v>50.0</v>
      </c>
      <c r="F3144" s="1">
        <v>5.0</v>
      </c>
      <c r="G3144" s="1">
        <v>9.0</v>
      </c>
      <c r="H3144" s="1">
        <v>602.0</v>
      </c>
      <c r="I3144" s="1" t="s">
        <v>21</v>
      </c>
      <c r="J3144" s="1" t="s">
        <v>18</v>
      </c>
      <c r="K3144" s="1">
        <v>320.0</v>
      </c>
      <c r="L3144" s="1">
        <v>56.9426158</v>
      </c>
      <c r="M3144" s="1">
        <v>24.2218763</v>
      </c>
    </row>
    <row r="3145">
      <c r="A3145" s="1" t="s">
        <v>22</v>
      </c>
      <c r="B3145" s="1" t="s">
        <v>96</v>
      </c>
      <c r="C3145" s="1" t="s">
        <v>1986</v>
      </c>
      <c r="D3145" s="1">
        <v>3.0</v>
      </c>
      <c r="E3145" s="1">
        <v>58.0</v>
      </c>
      <c r="F3145" s="1">
        <v>3.0</v>
      </c>
      <c r="G3145" s="1">
        <v>5.0</v>
      </c>
      <c r="H3145" s="1" t="s">
        <v>44</v>
      </c>
      <c r="I3145" s="1" t="s">
        <v>37</v>
      </c>
      <c r="J3145" s="1" t="s">
        <v>18</v>
      </c>
      <c r="K3145" s="1">
        <v>32000.0</v>
      </c>
      <c r="L3145" s="1">
        <v>57.02737355</v>
      </c>
      <c r="M3145" s="1">
        <v>24.10533045</v>
      </c>
    </row>
    <row r="3146">
      <c r="A3146" s="1" t="s">
        <v>131</v>
      </c>
      <c r="B3146" s="1" t="s">
        <v>218</v>
      </c>
      <c r="C3146" s="1" t="s">
        <v>1987</v>
      </c>
      <c r="D3146" s="1">
        <v>6.0</v>
      </c>
      <c r="E3146" s="2"/>
      <c r="F3146" s="2"/>
      <c r="G3146" s="2"/>
      <c r="H3146" s="2"/>
      <c r="I3146" s="2"/>
      <c r="J3146" s="2"/>
      <c r="K3146" s="2"/>
      <c r="L3146" s="1">
        <v>56.9472883</v>
      </c>
      <c r="M3146" s="1">
        <v>24.1090986</v>
      </c>
    </row>
    <row r="3147">
      <c r="A3147" s="1" t="s">
        <v>13</v>
      </c>
      <c r="B3147" s="1" t="s">
        <v>23</v>
      </c>
      <c r="C3147" s="1" t="s">
        <v>1032</v>
      </c>
      <c r="D3147" s="1">
        <v>3.0</v>
      </c>
      <c r="E3147" s="1">
        <v>85.0</v>
      </c>
      <c r="F3147" s="1">
        <v>4.0</v>
      </c>
      <c r="G3147" s="1">
        <v>5.0</v>
      </c>
      <c r="H3147" s="1" t="s">
        <v>25</v>
      </c>
      <c r="I3147" s="1" t="s">
        <v>37</v>
      </c>
      <c r="J3147" s="1" t="s">
        <v>18</v>
      </c>
      <c r="K3147" s="1">
        <v>850.0</v>
      </c>
      <c r="L3147" s="1">
        <v>56.9574801</v>
      </c>
      <c r="M3147" s="1">
        <v>24.1204934</v>
      </c>
    </row>
    <row r="3148">
      <c r="A3148" s="1" t="s">
        <v>13</v>
      </c>
      <c r="B3148" s="1" t="s">
        <v>23</v>
      </c>
      <c r="C3148" s="1" t="s">
        <v>1115</v>
      </c>
      <c r="D3148" s="1">
        <v>3.0</v>
      </c>
      <c r="E3148" s="1">
        <v>59.0</v>
      </c>
      <c r="F3148" s="1">
        <v>5.0</v>
      </c>
      <c r="G3148" s="1">
        <v>6.0</v>
      </c>
      <c r="H3148" s="1" t="s">
        <v>25</v>
      </c>
      <c r="I3148" s="1" t="s">
        <v>33</v>
      </c>
      <c r="J3148" s="1" t="s">
        <v>18</v>
      </c>
      <c r="K3148" s="1">
        <v>530.0</v>
      </c>
      <c r="L3148" s="1">
        <v>56.9590876</v>
      </c>
      <c r="M3148" s="1">
        <v>24.1412317647326</v>
      </c>
    </row>
    <row r="3149">
      <c r="A3149" s="1" t="s">
        <v>22</v>
      </c>
      <c r="B3149" s="1" t="s">
        <v>23</v>
      </c>
      <c r="C3149" s="1" t="s">
        <v>1349</v>
      </c>
      <c r="D3149" s="1">
        <v>4.0</v>
      </c>
      <c r="E3149" s="1">
        <v>118.0</v>
      </c>
      <c r="F3149" s="1">
        <v>5.0</v>
      </c>
      <c r="G3149" s="1">
        <v>6.0</v>
      </c>
      <c r="H3149" s="1" t="s">
        <v>66</v>
      </c>
      <c r="I3149" s="1" t="s">
        <v>33</v>
      </c>
      <c r="J3149" s="1" t="s">
        <v>18</v>
      </c>
      <c r="K3149" s="1">
        <v>294000.0</v>
      </c>
      <c r="L3149" s="1">
        <v>56.9554229</v>
      </c>
      <c r="M3149" s="1">
        <v>24.1240481</v>
      </c>
    </row>
    <row r="3150">
      <c r="A3150" s="1" t="s">
        <v>22</v>
      </c>
      <c r="B3150" s="1" t="s">
        <v>23</v>
      </c>
      <c r="C3150" s="1" t="s">
        <v>1349</v>
      </c>
      <c r="D3150" s="1">
        <v>3.0</v>
      </c>
      <c r="E3150" s="1">
        <v>80.0</v>
      </c>
      <c r="F3150" s="1">
        <v>5.0</v>
      </c>
      <c r="G3150" s="1">
        <v>6.0</v>
      </c>
      <c r="H3150" s="1" t="s">
        <v>66</v>
      </c>
      <c r="I3150" s="1" t="s">
        <v>33</v>
      </c>
      <c r="J3150" s="1" t="s">
        <v>18</v>
      </c>
      <c r="K3150" s="1">
        <v>208520.0</v>
      </c>
      <c r="L3150" s="1">
        <v>56.9554229</v>
      </c>
      <c r="M3150" s="1">
        <v>24.1240481</v>
      </c>
    </row>
    <row r="3151">
      <c r="A3151" s="1" t="s">
        <v>22</v>
      </c>
      <c r="B3151" s="1" t="s">
        <v>23</v>
      </c>
      <c r="C3151" s="1" t="s">
        <v>1349</v>
      </c>
      <c r="D3151" s="1">
        <v>2.0</v>
      </c>
      <c r="E3151" s="1">
        <v>51.9</v>
      </c>
      <c r="F3151" s="1">
        <v>2.0</v>
      </c>
      <c r="G3151" s="1">
        <v>6.0</v>
      </c>
      <c r="H3151" s="1" t="s">
        <v>66</v>
      </c>
      <c r="I3151" s="1" t="s">
        <v>33</v>
      </c>
      <c r="J3151" s="1" t="s">
        <v>18</v>
      </c>
      <c r="K3151" s="1">
        <v>124560.0</v>
      </c>
      <c r="L3151" s="1">
        <v>56.9554229</v>
      </c>
      <c r="M3151" s="1">
        <v>24.1240481</v>
      </c>
    </row>
    <row r="3152">
      <c r="A3152" s="1" t="s">
        <v>22</v>
      </c>
      <c r="B3152" s="1" t="s">
        <v>23</v>
      </c>
      <c r="C3152" s="1" t="s">
        <v>1349</v>
      </c>
      <c r="D3152" s="1">
        <v>5.0</v>
      </c>
      <c r="E3152" s="1">
        <v>111.3</v>
      </c>
      <c r="F3152" s="1">
        <v>5.0</v>
      </c>
      <c r="G3152" s="1">
        <v>6.0</v>
      </c>
      <c r="H3152" s="1" t="s">
        <v>25</v>
      </c>
      <c r="I3152" s="1" t="s">
        <v>33</v>
      </c>
      <c r="J3152" s="1" t="s">
        <v>18</v>
      </c>
      <c r="K3152" s="1">
        <v>139125.0</v>
      </c>
      <c r="L3152" s="1">
        <v>56.9554229</v>
      </c>
      <c r="M3152" s="1">
        <v>24.1240481</v>
      </c>
    </row>
    <row r="3153">
      <c r="A3153" s="1" t="s">
        <v>22</v>
      </c>
      <c r="B3153" s="1" t="s">
        <v>14</v>
      </c>
      <c r="C3153" s="1" t="s">
        <v>1988</v>
      </c>
      <c r="D3153" s="1">
        <v>3.0</v>
      </c>
      <c r="E3153" s="1">
        <v>72.0</v>
      </c>
      <c r="F3153" s="1">
        <v>9.0</v>
      </c>
      <c r="G3153" s="1">
        <v>9.0</v>
      </c>
      <c r="H3153" s="1" t="s">
        <v>36</v>
      </c>
      <c r="I3153" s="1" t="s">
        <v>37</v>
      </c>
      <c r="J3153" s="1" t="s">
        <v>18</v>
      </c>
      <c r="K3153" s="1">
        <v>79920.0</v>
      </c>
      <c r="L3153" s="1">
        <v>56.9626668</v>
      </c>
      <c r="M3153" s="1">
        <v>24.1807308</v>
      </c>
    </row>
    <row r="3154">
      <c r="A3154" s="1" t="s">
        <v>22</v>
      </c>
      <c r="B3154" s="1" t="s">
        <v>74</v>
      </c>
      <c r="C3154" s="1" t="s">
        <v>1892</v>
      </c>
      <c r="D3154" s="1">
        <v>3.0</v>
      </c>
      <c r="E3154" s="1">
        <v>68.0</v>
      </c>
      <c r="F3154" s="1">
        <v>14.0</v>
      </c>
      <c r="G3154" s="1">
        <v>16.0</v>
      </c>
      <c r="H3154" s="1" t="s">
        <v>36</v>
      </c>
      <c r="I3154" s="1" t="s">
        <v>21</v>
      </c>
      <c r="J3154" s="1" t="s">
        <v>18</v>
      </c>
      <c r="K3154" s="1">
        <v>72000.0</v>
      </c>
      <c r="L3154" s="1" t="s">
        <v>40</v>
      </c>
      <c r="M3154" s="1" t="s">
        <v>40</v>
      </c>
    </row>
    <row r="3155">
      <c r="A3155" s="1" t="s">
        <v>22</v>
      </c>
      <c r="B3155" s="1" t="s">
        <v>129</v>
      </c>
      <c r="C3155" s="1" t="s">
        <v>1989</v>
      </c>
      <c r="D3155" s="1">
        <v>1.0</v>
      </c>
      <c r="E3155" s="1">
        <v>40.0</v>
      </c>
      <c r="F3155" s="1">
        <v>5.0</v>
      </c>
      <c r="G3155" s="1">
        <v>5.0</v>
      </c>
      <c r="H3155" s="1" t="s">
        <v>36</v>
      </c>
      <c r="I3155" s="1" t="s">
        <v>37</v>
      </c>
      <c r="J3155" s="1" t="s">
        <v>18</v>
      </c>
      <c r="K3155" s="1">
        <v>27000.0</v>
      </c>
      <c r="L3155" s="1">
        <v>57.00848</v>
      </c>
      <c r="M3155" s="1">
        <v>24.1253070957052</v>
      </c>
    </row>
    <row r="3156">
      <c r="A3156" s="1" t="s">
        <v>22</v>
      </c>
      <c r="B3156" s="1" t="s">
        <v>42</v>
      </c>
      <c r="C3156" s="1" t="s">
        <v>684</v>
      </c>
      <c r="D3156" s="1">
        <v>2.0</v>
      </c>
      <c r="E3156" s="1">
        <v>91.0</v>
      </c>
      <c r="F3156" s="1">
        <v>4.0</v>
      </c>
      <c r="G3156" s="1">
        <v>9.0</v>
      </c>
      <c r="H3156" s="1" t="s">
        <v>32</v>
      </c>
      <c r="I3156" s="1" t="s">
        <v>37</v>
      </c>
      <c r="J3156" s="1" t="s">
        <v>18</v>
      </c>
      <c r="K3156" s="1">
        <v>115000.0</v>
      </c>
      <c r="L3156" s="1">
        <v>56.9865865</v>
      </c>
      <c r="M3156" s="1">
        <v>24.2472562883399</v>
      </c>
    </row>
    <row r="3157">
      <c r="A3157" s="1" t="s">
        <v>22</v>
      </c>
      <c r="B3157" s="1" t="s">
        <v>109</v>
      </c>
      <c r="C3157" s="1" t="s">
        <v>126</v>
      </c>
      <c r="D3157" s="1">
        <v>3.0</v>
      </c>
      <c r="E3157" s="1">
        <v>117.0</v>
      </c>
      <c r="F3157" s="1">
        <v>10.0</v>
      </c>
      <c r="G3157" s="1">
        <v>11.0</v>
      </c>
      <c r="H3157" s="1" t="s">
        <v>32</v>
      </c>
      <c r="I3157" s="1" t="s">
        <v>122</v>
      </c>
      <c r="J3157" s="1" t="s">
        <v>18</v>
      </c>
      <c r="K3157" s="1">
        <v>175500.0</v>
      </c>
      <c r="L3157" s="1" t="s">
        <v>40</v>
      </c>
      <c r="M3157" s="1" t="s">
        <v>40</v>
      </c>
    </row>
    <row r="3158">
      <c r="A3158" s="1" t="s">
        <v>13</v>
      </c>
      <c r="B3158" s="1" t="s">
        <v>23</v>
      </c>
      <c r="C3158" s="1" t="s">
        <v>1990</v>
      </c>
      <c r="D3158" s="1">
        <v>3.0</v>
      </c>
      <c r="E3158" s="1">
        <v>94.0</v>
      </c>
      <c r="F3158" s="1">
        <v>2.0</v>
      </c>
      <c r="G3158" s="1">
        <v>2.0</v>
      </c>
      <c r="H3158" s="1" t="s">
        <v>25</v>
      </c>
      <c r="I3158" s="1" t="s">
        <v>33</v>
      </c>
      <c r="J3158" s="1" t="s">
        <v>18</v>
      </c>
      <c r="K3158" s="1">
        <v>500.0</v>
      </c>
      <c r="L3158" s="1">
        <v>56.9436067</v>
      </c>
      <c r="M3158" s="1">
        <v>24.1233886</v>
      </c>
    </row>
    <row r="3159">
      <c r="A3159" s="1" t="s">
        <v>22</v>
      </c>
      <c r="B3159" s="1" t="s">
        <v>28</v>
      </c>
      <c r="C3159" s="1" t="s">
        <v>1106</v>
      </c>
      <c r="D3159" s="1">
        <v>2.0</v>
      </c>
      <c r="E3159" s="1">
        <v>44.0</v>
      </c>
      <c r="F3159" s="1">
        <v>1.0</v>
      </c>
      <c r="G3159" s="1">
        <v>5.0</v>
      </c>
      <c r="H3159" s="1" t="s">
        <v>16</v>
      </c>
      <c r="I3159" s="1" t="s">
        <v>21</v>
      </c>
      <c r="J3159" s="1" t="s">
        <v>18</v>
      </c>
      <c r="K3159" s="1">
        <v>35000.0</v>
      </c>
      <c r="L3159" s="1">
        <v>56.90080385</v>
      </c>
      <c r="M3159" s="1">
        <v>24.2070322999999</v>
      </c>
    </row>
    <row r="3160">
      <c r="A3160" s="1" t="s">
        <v>22</v>
      </c>
      <c r="B3160" s="1" t="s">
        <v>96</v>
      </c>
      <c r="C3160" s="1" t="s">
        <v>453</v>
      </c>
      <c r="D3160" s="1">
        <v>6.0</v>
      </c>
      <c r="E3160" s="1">
        <v>179.0</v>
      </c>
      <c r="F3160" s="1">
        <v>2.0</v>
      </c>
      <c r="G3160" s="1">
        <v>4.0</v>
      </c>
      <c r="H3160" s="1" t="s">
        <v>66</v>
      </c>
      <c r="I3160" s="1" t="s">
        <v>122</v>
      </c>
      <c r="J3160" s="1" t="s">
        <v>18</v>
      </c>
      <c r="K3160" s="1">
        <v>250000.0</v>
      </c>
      <c r="L3160" s="1">
        <v>57.03179875</v>
      </c>
      <c r="M3160" s="1">
        <v>24.1166644346289</v>
      </c>
    </row>
    <row r="3161">
      <c r="A3161" s="1" t="s">
        <v>22</v>
      </c>
      <c r="B3161" s="1" t="s">
        <v>42</v>
      </c>
      <c r="C3161" s="1" t="s">
        <v>1991</v>
      </c>
      <c r="D3161" s="1">
        <v>2.0</v>
      </c>
      <c r="E3161" s="1">
        <v>49.0</v>
      </c>
      <c r="F3161" s="1">
        <v>2.0</v>
      </c>
      <c r="G3161" s="1">
        <v>5.0</v>
      </c>
      <c r="H3161" s="1" t="s">
        <v>44</v>
      </c>
      <c r="I3161" s="1" t="s">
        <v>21</v>
      </c>
      <c r="J3161" s="1" t="s">
        <v>18</v>
      </c>
      <c r="K3161" s="1">
        <v>33099.0</v>
      </c>
      <c r="L3161" s="1">
        <v>56.9851479</v>
      </c>
      <c r="M3161" s="1">
        <v>24.239462</v>
      </c>
    </row>
    <row r="3162">
      <c r="A3162" s="1" t="s">
        <v>22</v>
      </c>
      <c r="B3162" s="1" t="s">
        <v>14</v>
      </c>
      <c r="C3162" s="1" t="s">
        <v>1992</v>
      </c>
      <c r="D3162" s="1">
        <v>3.0</v>
      </c>
      <c r="E3162" s="1">
        <v>75.0</v>
      </c>
      <c r="F3162" s="1">
        <v>5.0</v>
      </c>
      <c r="G3162" s="1">
        <v>9.0</v>
      </c>
      <c r="H3162" s="1">
        <v>119.0</v>
      </c>
      <c r="I3162" s="1" t="s">
        <v>21</v>
      </c>
      <c r="J3162" s="1" t="s">
        <v>18</v>
      </c>
      <c r="K3162" s="1">
        <v>67000.0</v>
      </c>
      <c r="L3162" s="1">
        <v>56.9480278</v>
      </c>
      <c r="M3162" s="1">
        <v>24.1884904499999</v>
      </c>
    </row>
    <row r="3163">
      <c r="A3163" s="1" t="s">
        <v>13</v>
      </c>
      <c r="B3163" s="1" t="s">
        <v>23</v>
      </c>
      <c r="C3163" s="1" t="s">
        <v>530</v>
      </c>
      <c r="D3163" s="1">
        <v>3.0</v>
      </c>
      <c r="E3163" s="1">
        <v>100.0</v>
      </c>
      <c r="F3163" s="1">
        <v>2.0</v>
      </c>
      <c r="G3163" s="1">
        <v>6.0</v>
      </c>
      <c r="H3163" s="1" t="s">
        <v>66</v>
      </c>
      <c r="I3163" s="1" t="s">
        <v>37</v>
      </c>
      <c r="J3163" s="1" t="s">
        <v>18</v>
      </c>
      <c r="K3163" s="1">
        <v>800.0</v>
      </c>
      <c r="L3163" s="1">
        <v>56.9596778</v>
      </c>
      <c r="M3163" s="1">
        <v>24.1027358</v>
      </c>
    </row>
    <row r="3164">
      <c r="A3164" s="1" t="s">
        <v>22</v>
      </c>
      <c r="B3164" s="1" t="s">
        <v>129</v>
      </c>
      <c r="C3164" s="1" t="s">
        <v>1993</v>
      </c>
      <c r="D3164" s="1">
        <v>2.0</v>
      </c>
      <c r="E3164" s="1">
        <v>46.0</v>
      </c>
      <c r="F3164" s="1">
        <v>5.0</v>
      </c>
      <c r="G3164" s="1">
        <v>5.0</v>
      </c>
      <c r="H3164" s="1">
        <v>103.0</v>
      </c>
      <c r="I3164" s="1" t="s">
        <v>17</v>
      </c>
      <c r="J3164" s="1" t="s">
        <v>18</v>
      </c>
      <c r="K3164" s="1">
        <v>41500.0</v>
      </c>
      <c r="L3164" s="1">
        <v>56.9984366</v>
      </c>
      <c r="M3164" s="1">
        <v>24.1328951</v>
      </c>
    </row>
    <row r="3165">
      <c r="A3165" s="1" t="s">
        <v>22</v>
      </c>
      <c r="B3165" s="1" t="s">
        <v>28</v>
      </c>
      <c r="C3165" s="1" t="s">
        <v>1994</v>
      </c>
      <c r="D3165" s="1">
        <v>3.0</v>
      </c>
      <c r="E3165" s="1">
        <v>60.0</v>
      </c>
      <c r="F3165" s="1">
        <v>5.0</v>
      </c>
      <c r="G3165" s="1">
        <v>5.0</v>
      </c>
      <c r="H3165" s="1" t="s">
        <v>16</v>
      </c>
      <c r="I3165" s="1" t="s">
        <v>21</v>
      </c>
      <c r="J3165" s="1" t="s">
        <v>18</v>
      </c>
      <c r="K3165" s="1">
        <v>59990.0</v>
      </c>
      <c r="L3165" s="1">
        <v>56.9168339</v>
      </c>
      <c r="M3165" s="1">
        <v>24.17698295</v>
      </c>
    </row>
    <row r="3166">
      <c r="A3166" s="1" t="s">
        <v>22</v>
      </c>
      <c r="B3166" s="1" t="s">
        <v>19</v>
      </c>
      <c r="C3166" s="1" t="s">
        <v>1995</v>
      </c>
      <c r="D3166" s="1">
        <v>3.0</v>
      </c>
      <c r="E3166" s="1">
        <v>62.0</v>
      </c>
      <c r="F3166" s="1">
        <v>9.0</v>
      </c>
      <c r="G3166" s="1">
        <v>9.0</v>
      </c>
      <c r="H3166" s="1">
        <v>602.0</v>
      </c>
      <c r="I3166" s="1" t="s">
        <v>21</v>
      </c>
      <c r="J3166" s="1" t="s">
        <v>18</v>
      </c>
      <c r="K3166" s="1">
        <v>70000.0</v>
      </c>
      <c r="L3166" s="1">
        <v>56.9150015</v>
      </c>
      <c r="M3166" s="1">
        <v>24.0967059</v>
      </c>
    </row>
    <row r="3167">
      <c r="A3167" s="1" t="s">
        <v>131</v>
      </c>
      <c r="B3167" s="1" t="s">
        <v>151</v>
      </c>
      <c r="C3167" s="2"/>
      <c r="D3167" s="1">
        <v>3.0</v>
      </c>
      <c r="E3167" s="2"/>
      <c r="F3167" s="2"/>
      <c r="G3167" s="2"/>
      <c r="H3167" s="2"/>
      <c r="I3167" s="2"/>
      <c r="J3167" s="1" t="s">
        <v>18</v>
      </c>
      <c r="K3167" s="2"/>
      <c r="L3167" s="1">
        <v>46.3144754</v>
      </c>
      <c r="M3167" s="1">
        <v>11.0480288</v>
      </c>
    </row>
    <row r="3168">
      <c r="A3168" s="1" t="s">
        <v>89</v>
      </c>
      <c r="B3168" s="1" t="s">
        <v>74</v>
      </c>
      <c r="C3168" s="2"/>
      <c r="D3168" s="1" t="s">
        <v>90</v>
      </c>
      <c r="E3168" s="1">
        <v>20.0</v>
      </c>
      <c r="F3168" s="1">
        <v>20.0</v>
      </c>
      <c r="G3168" s="1">
        <v>20.0</v>
      </c>
      <c r="H3168" s="2"/>
      <c r="I3168" s="2"/>
      <c r="J3168" s="2"/>
      <c r="K3168" s="2"/>
      <c r="L3168" s="1">
        <v>46.3144754</v>
      </c>
      <c r="M3168" s="1">
        <v>11.0480288</v>
      </c>
    </row>
    <row r="3169">
      <c r="A3169" s="1" t="s">
        <v>89</v>
      </c>
      <c r="B3169" s="1" t="s">
        <v>48</v>
      </c>
      <c r="C3169" s="2"/>
      <c r="D3169" s="1" t="s">
        <v>90</v>
      </c>
      <c r="E3169" s="1">
        <v>20.0</v>
      </c>
      <c r="F3169" s="1">
        <v>20.0</v>
      </c>
      <c r="G3169" s="1">
        <v>20.0</v>
      </c>
      <c r="H3169" s="2"/>
      <c r="I3169" s="2"/>
      <c r="J3169" s="2"/>
      <c r="K3169" s="2"/>
      <c r="L3169" s="1">
        <v>46.3144754</v>
      </c>
      <c r="M3169" s="1">
        <v>11.0480288</v>
      </c>
    </row>
    <row r="3170">
      <c r="A3170" s="1" t="s">
        <v>89</v>
      </c>
      <c r="B3170" s="1" t="s">
        <v>50</v>
      </c>
      <c r="C3170" s="2"/>
      <c r="D3170" s="1" t="s">
        <v>90</v>
      </c>
      <c r="E3170" s="1">
        <v>20.0</v>
      </c>
      <c r="F3170" s="1">
        <v>20.0</v>
      </c>
      <c r="G3170" s="1">
        <v>20.0</v>
      </c>
      <c r="H3170" s="2"/>
      <c r="I3170" s="2"/>
      <c r="J3170" s="2"/>
      <c r="K3170" s="2"/>
      <c r="L3170" s="1">
        <v>46.3144754</v>
      </c>
      <c r="M3170" s="1">
        <v>11.0480288</v>
      </c>
    </row>
    <row r="3171">
      <c r="A3171" s="1" t="s">
        <v>89</v>
      </c>
      <c r="B3171" s="1" t="s">
        <v>94</v>
      </c>
      <c r="C3171" s="2"/>
      <c r="D3171" s="1" t="s">
        <v>90</v>
      </c>
      <c r="E3171" s="1">
        <v>20.0</v>
      </c>
      <c r="F3171" s="1">
        <v>20.0</v>
      </c>
      <c r="G3171" s="1">
        <v>20.0</v>
      </c>
      <c r="H3171" s="2"/>
      <c r="I3171" s="2"/>
      <c r="J3171" s="2"/>
      <c r="K3171" s="2"/>
      <c r="L3171" s="1">
        <v>46.3144754</v>
      </c>
      <c r="M3171" s="1">
        <v>11.0480288</v>
      </c>
    </row>
    <row r="3172">
      <c r="A3172" s="1" t="s">
        <v>89</v>
      </c>
      <c r="B3172" s="1" t="s">
        <v>28</v>
      </c>
      <c r="C3172" s="2"/>
      <c r="D3172" s="1">
        <v>1.0</v>
      </c>
      <c r="E3172" s="1">
        <v>20.0</v>
      </c>
      <c r="F3172" s="1">
        <v>20.0</v>
      </c>
      <c r="G3172" s="1">
        <v>20.0</v>
      </c>
      <c r="H3172" s="2"/>
      <c r="I3172" s="2"/>
      <c r="J3172" s="2"/>
      <c r="K3172" s="2"/>
      <c r="L3172" s="1">
        <v>46.3144754</v>
      </c>
      <c r="M3172" s="1">
        <v>11.0480288</v>
      </c>
    </row>
    <row r="3173">
      <c r="A3173" s="1" t="s">
        <v>89</v>
      </c>
      <c r="B3173" s="1" t="s">
        <v>104</v>
      </c>
      <c r="C3173" s="2"/>
      <c r="D3173" s="1" t="s">
        <v>90</v>
      </c>
      <c r="E3173" s="1">
        <v>20.0</v>
      </c>
      <c r="F3173" s="1">
        <v>20.0</v>
      </c>
      <c r="G3173" s="1">
        <v>20.0</v>
      </c>
      <c r="H3173" s="2"/>
      <c r="I3173" s="2"/>
      <c r="J3173" s="2"/>
      <c r="K3173" s="2"/>
      <c r="L3173" s="1">
        <v>46.3144754</v>
      </c>
      <c r="M3173" s="1">
        <v>11.0480288</v>
      </c>
    </row>
    <row r="3174">
      <c r="A3174" s="1" t="s">
        <v>89</v>
      </c>
      <c r="B3174" s="1" t="s">
        <v>228</v>
      </c>
      <c r="C3174" s="2"/>
      <c r="D3174" s="1" t="s">
        <v>90</v>
      </c>
      <c r="E3174" s="1">
        <v>20.0</v>
      </c>
      <c r="F3174" s="1">
        <v>20.0</v>
      </c>
      <c r="G3174" s="1">
        <v>20.0</v>
      </c>
      <c r="H3174" s="2"/>
      <c r="I3174" s="2"/>
      <c r="J3174" s="2"/>
      <c r="K3174" s="2"/>
      <c r="L3174" s="1">
        <v>46.3144754</v>
      </c>
      <c r="M3174" s="1">
        <v>11.0480288</v>
      </c>
    </row>
    <row r="3175">
      <c r="A3175" s="1" t="s">
        <v>89</v>
      </c>
      <c r="B3175" s="1" t="s">
        <v>158</v>
      </c>
      <c r="C3175" s="2"/>
      <c r="D3175" s="2"/>
      <c r="E3175" s="2"/>
      <c r="F3175" s="1">
        <v>24.0</v>
      </c>
      <c r="G3175" s="1">
        <v>12.0</v>
      </c>
      <c r="H3175" s="2"/>
      <c r="I3175" s="2"/>
      <c r="J3175" s="2"/>
      <c r="K3175" s="2"/>
      <c r="L3175" s="1">
        <v>46.3144754</v>
      </c>
      <c r="M3175" s="1">
        <v>11.0480288</v>
      </c>
    </row>
    <row r="3176">
      <c r="A3176" s="1" t="s">
        <v>89</v>
      </c>
      <c r="B3176" s="1" t="s">
        <v>60</v>
      </c>
      <c r="C3176" s="2"/>
      <c r="D3176" s="1" t="s">
        <v>90</v>
      </c>
      <c r="E3176" s="1">
        <v>20.0</v>
      </c>
      <c r="F3176" s="1">
        <v>20.0</v>
      </c>
      <c r="G3176" s="1">
        <v>20.0</v>
      </c>
      <c r="H3176" s="2"/>
      <c r="I3176" s="2"/>
      <c r="J3176" s="2"/>
      <c r="K3176" s="2"/>
      <c r="L3176" s="1">
        <v>46.3144754</v>
      </c>
      <c r="M3176" s="1">
        <v>11.0480288</v>
      </c>
    </row>
    <row r="3177">
      <c r="A3177" s="1" t="s">
        <v>89</v>
      </c>
      <c r="B3177" s="1" t="s">
        <v>117</v>
      </c>
      <c r="C3177" s="2"/>
      <c r="D3177" s="2"/>
      <c r="E3177" s="1">
        <v>1.0</v>
      </c>
      <c r="F3177" s="1">
        <v>1.0</v>
      </c>
      <c r="G3177" s="1">
        <v>1.0</v>
      </c>
      <c r="H3177" s="2"/>
      <c r="I3177" s="2"/>
      <c r="J3177" s="2"/>
      <c r="K3177" s="2"/>
      <c r="L3177" s="1">
        <v>46.3144754</v>
      </c>
      <c r="M3177" s="1">
        <v>11.0480288</v>
      </c>
    </row>
    <row r="3178">
      <c r="A3178" s="1" t="s">
        <v>89</v>
      </c>
      <c r="B3178" s="1" t="s">
        <v>422</v>
      </c>
      <c r="C3178" s="2"/>
      <c r="D3178" s="1" t="s">
        <v>90</v>
      </c>
      <c r="E3178" s="1">
        <v>20.0</v>
      </c>
      <c r="F3178" s="1">
        <v>20.0</v>
      </c>
      <c r="G3178" s="1">
        <v>20.0</v>
      </c>
      <c r="H3178" s="2"/>
      <c r="I3178" s="2"/>
      <c r="J3178" s="2"/>
      <c r="K3178" s="2"/>
      <c r="L3178" s="1">
        <v>46.3144754</v>
      </c>
      <c r="M3178" s="1">
        <v>11.0480288</v>
      </c>
    </row>
    <row r="3179">
      <c r="A3179" s="1" t="s">
        <v>89</v>
      </c>
      <c r="B3179" s="1" t="s">
        <v>42</v>
      </c>
      <c r="C3179" s="2"/>
      <c r="D3179" s="1" t="s">
        <v>90</v>
      </c>
      <c r="E3179" s="1">
        <v>20.0</v>
      </c>
      <c r="F3179" s="1">
        <v>20.0</v>
      </c>
      <c r="G3179" s="1">
        <v>20.0</v>
      </c>
      <c r="H3179" s="2"/>
      <c r="I3179" s="2"/>
      <c r="J3179" s="2"/>
      <c r="K3179" s="2"/>
      <c r="L3179" s="1">
        <v>46.3144754</v>
      </c>
      <c r="M3179" s="1">
        <v>11.0480288</v>
      </c>
    </row>
    <row r="3180">
      <c r="A3180" s="1" t="s">
        <v>13</v>
      </c>
      <c r="B3180" s="1" t="s">
        <v>30</v>
      </c>
      <c r="C3180" s="1" t="s">
        <v>1996</v>
      </c>
      <c r="D3180" s="1">
        <v>2.0</v>
      </c>
      <c r="E3180" s="1">
        <v>63.0</v>
      </c>
      <c r="F3180" s="1">
        <v>2.0</v>
      </c>
      <c r="G3180" s="1">
        <v>3.0</v>
      </c>
      <c r="H3180" s="1" t="s">
        <v>25</v>
      </c>
      <c r="I3180" s="1" t="s">
        <v>37</v>
      </c>
      <c r="J3180" s="1" t="s">
        <v>18</v>
      </c>
      <c r="K3180" s="1">
        <v>460.0</v>
      </c>
      <c r="L3180" s="1">
        <v>56.97690435</v>
      </c>
      <c r="M3180" s="1">
        <v>24.1768326628887</v>
      </c>
    </row>
    <row r="3181">
      <c r="A3181" s="1" t="s">
        <v>22</v>
      </c>
      <c r="B3181" s="1" t="s">
        <v>23</v>
      </c>
      <c r="C3181" s="1" t="s">
        <v>1997</v>
      </c>
      <c r="D3181" s="1">
        <v>2.0</v>
      </c>
      <c r="E3181" s="1">
        <v>83.0</v>
      </c>
      <c r="F3181" s="1">
        <v>5.0</v>
      </c>
      <c r="G3181" s="1">
        <v>6.0</v>
      </c>
      <c r="H3181" s="1" t="s">
        <v>181</v>
      </c>
      <c r="I3181" s="1" t="s">
        <v>33</v>
      </c>
      <c r="J3181" s="1" t="s">
        <v>27</v>
      </c>
      <c r="K3181" s="1">
        <v>56000.0</v>
      </c>
      <c r="L3181" s="1">
        <v>56.97568045</v>
      </c>
      <c r="M3181" s="1">
        <v>24.1399743</v>
      </c>
    </row>
    <row r="3182">
      <c r="A3182" s="1" t="s">
        <v>13</v>
      </c>
      <c r="B3182" s="1" t="s">
        <v>14</v>
      </c>
      <c r="C3182" s="1" t="s">
        <v>1373</v>
      </c>
      <c r="D3182" s="1">
        <v>3.0</v>
      </c>
      <c r="E3182" s="1">
        <v>82.0</v>
      </c>
      <c r="F3182" s="1">
        <v>5.0</v>
      </c>
      <c r="G3182" s="1">
        <v>6.0</v>
      </c>
      <c r="H3182" s="1" t="s">
        <v>32</v>
      </c>
      <c r="I3182" s="1" t="s">
        <v>33</v>
      </c>
      <c r="J3182" s="1" t="s">
        <v>18</v>
      </c>
      <c r="K3182" s="1">
        <v>680.0</v>
      </c>
      <c r="L3182" s="1">
        <v>56.9638199</v>
      </c>
      <c r="M3182" s="1">
        <v>24.1897360840843</v>
      </c>
    </row>
    <row r="3183">
      <c r="A3183" s="1" t="s">
        <v>22</v>
      </c>
      <c r="B3183" s="1" t="s">
        <v>30</v>
      </c>
      <c r="C3183" s="1" t="s">
        <v>1998</v>
      </c>
      <c r="D3183" s="1">
        <v>1.0</v>
      </c>
      <c r="E3183" s="1">
        <v>23.0</v>
      </c>
      <c r="F3183" s="1">
        <v>2.0</v>
      </c>
      <c r="G3183" s="1">
        <v>3.0</v>
      </c>
      <c r="H3183" s="1" t="s">
        <v>181</v>
      </c>
      <c r="I3183" s="1" t="s">
        <v>33</v>
      </c>
      <c r="J3183" s="1" t="s">
        <v>18</v>
      </c>
      <c r="K3183" s="1">
        <v>15500.0</v>
      </c>
      <c r="L3183" s="1">
        <v>56.9829103999999</v>
      </c>
      <c r="M3183" s="1">
        <v>24.1898681</v>
      </c>
    </row>
    <row r="3184">
      <c r="A3184" s="1" t="s">
        <v>22</v>
      </c>
      <c r="B3184" s="1" t="s">
        <v>14</v>
      </c>
      <c r="C3184" s="1" t="s">
        <v>1999</v>
      </c>
      <c r="D3184" s="1">
        <v>3.0</v>
      </c>
      <c r="E3184" s="1">
        <v>91.8</v>
      </c>
      <c r="F3184" s="1">
        <v>2.0</v>
      </c>
      <c r="G3184" s="1">
        <v>2.0</v>
      </c>
      <c r="H3184" s="1" t="s">
        <v>25</v>
      </c>
      <c r="I3184" s="1" t="s">
        <v>37</v>
      </c>
      <c r="J3184" s="1" t="s">
        <v>18</v>
      </c>
      <c r="K3184" s="1">
        <v>85000.0</v>
      </c>
      <c r="L3184" s="1">
        <v>56.96446795</v>
      </c>
      <c r="M3184" s="1">
        <v>24.166697337245</v>
      </c>
    </row>
    <row r="3185">
      <c r="A3185" s="1" t="s">
        <v>22</v>
      </c>
      <c r="B3185" s="1" t="s">
        <v>30</v>
      </c>
      <c r="C3185" s="1" t="s">
        <v>2000</v>
      </c>
      <c r="D3185" s="1">
        <v>2.0</v>
      </c>
      <c r="E3185" s="1">
        <v>39.0</v>
      </c>
      <c r="F3185" s="1">
        <v>1.0</v>
      </c>
      <c r="G3185" s="1">
        <v>2.0</v>
      </c>
      <c r="H3185" s="1" t="s">
        <v>25</v>
      </c>
      <c r="I3185" s="1" t="s">
        <v>26</v>
      </c>
      <c r="J3185" s="1" t="s">
        <v>18</v>
      </c>
      <c r="K3185" s="1">
        <v>56800.0</v>
      </c>
      <c r="L3185" s="1">
        <v>56.97539405</v>
      </c>
      <c r="M3185" s="1">
        <v>24.1796033885698</v>
      </c>
    </row>
    <row r="3186">
      <c r="A3186" s="1" t="s">
        <v>13</v>
      </c>
      <c r="B3186" s="1" t="s">
        <v>28</v>
      </c>
      <c r="C3186" s="1" t="s">
        <v>2001</v>
      </c>
      <c r="D3186" s="1">
        <v>1.0</v>
      </c>
      <c r="E3186" s="1">
        <v>30.0</v>
      </c>
      <c r="F3186" s="1">
        <v>10.0</v>
      </c>
      <c r="G3186" s="1">
        <v>12.0</v>
      </c>
      <c r="H3186" s="1" t="s">
        <v>221</v>
      </c>
      <c r="I3186" s="1" t="s">
        <v>17</v>
      </c>
      <c r="J3186" s="1" t="s">
        <v>18</v>
      </c>
      <c r="K3186" s="1">
        <v>260.0</v>
      </c>
      <c r="L3186" s="1">
        <v>56.8597884</v>
      </c>
      <c r="M3186" s="1">
        <v>24.3083417</v>
      </c>
    </row>
    <row r="3187">
      <c r="A3187" s="1" t="s">
        <v>22</v>
      </c>
      <c r="B3187" s="1" t="s">
        <v>23</v>
      </c>
      <c r="C3187" s="1" t="s">
        <v>2002</v>
      </c>
      <c r="D3187" s="1">
        <v>3.0</v>
      </c>
      <c r="E3187" s="1">
        <v>75.0</v>
      </c>
      <c r="F3187" s="1">
        <v>5.0</v>
      </c>
      <c r="G3187" s="1">
        <v>5.0</v>
      </c>
      <c r="H3187" s="1" t="s">
        <v>25</v>
      </c>
      <c r="I3187" s="1" t="s">
        <v>33</v>
      </c>
      <c r="J3187" s="1" t="s">
        <v>18</v>
      </c>
      <c r="K3187" s="1">
        <v>157920.0</v>
      </c>
      <c r="L3187" s="1">
        <v>56.96490685</v>
      </c>
      <c r="M3187" s="1">
        <v>24.143051645708</v>
      </c>
    </row>
    <row r="3188">
      <c r="A3188" s="1" t="s">
        <v>13</v>
      </c>
      <c r="B3188" s="1" t="s">
        <v>74</v>
      </c>
      <c r="C3188" s="1" t="s">
        <v>2003</v>
      </c>
      <c r="D3188" s="1">
        <v>1.0</v>
      </c>
      <c r="E3188" s="1">
        <v>35.0</v>
      </c>
      <c r="F3188" s="1">
        <v>1.0</v>
      </c>
      <c r="G3188" s="1">
        <v>8.0</v>
      </c>
      <c r="H3188" s="1">
        <v>602.0</v>
      </c>
      <c r="I3188" s="1" t="s">
        <v>21</v>
      </c>
      <c r="J3188" s="1" t="s">
        <v>18</v>
      </c>
      <c r="K3188" s="1">
        <v>280.0</v>
      </c>
      <c r="L3188" s="1">
        <v>56.93481935</v>
      </c>
      <c r="M3188" s="1">
        <v>24.2076626</v>
      </c>
    </row>
    <row r="3189">
      <c r="A3189" s="1" t="s">
        <v>22</v>
      </c>
      <c r="B3189" s="1" t="s">
        <v>30</v>
      </c>
      <c r="C3189" s="1" t="s">
        <v>2004</v>
      </c>
      <c r="D3189" s="1">
        <v>1.0</v>
      </c>
      <c r="E3189" s="1">
        <v>37.0</v>
      </c>
      <c r="F3189" s="1">
        <v>1.0</v>
      </c>
      <c r="G3189" s="1">
        <v>2.0</v>
      </c>
      <c r="H3189" s="1" t="s">
        <v>181</v>
      </c>
      <c r="I3189" s="1" t="s">
        <v>33</v>
      </c>
      <c r="J3189" s="1" t="s">
        <v>18</v>
      </c>
      <c r="K3189" s="1">
        <v>34800.0</v>
      </c>
      <c r="L3189" s="1">
        <v>56.9837612</v>
      </c>
      <c r="M3189" s="1">
        <v>24.1959440359576</v>
      </c>
    </row>
    <row r="3190">
      <c r="A3190" s="1" t="s">
        <v>22</v>
      </c>
      <c r="B3190" s="1" t="s">
        <v>38</v>
      </c>
      <c r="C3190" s="1" t="s">
        <v>1513</v>
      </c>
      <c r="D3190" s="1">
        <v>4.0</v>
      </c>
      <c r="E3190" s="1">
        <v>102.0</v>
      </c>
      <c r="F3190" s="1">
        <v>2.0</v>
      </c>
      <c r="G3190" s="1">
        <v>3.0</v>
      </c>
      <c r="H3190" s="1" t="s">
        <v>32</v>
      </c>
      <c r="I3190" s="1" t="s">
        <v>33</v>
      </c>
      <c r="J3190" s="1" t="s">
        <v>18</v>
      </c>
      <c r="K3190" s="1">
        <v>151200.0</v>
      </c>
      <c r="L3190" s="1">
        <v>56.9540025999999</v>
      </c>
      <c r="M3190" s="1">
        <v>23.9896591361657</v>
      </c>
    </row>
    <row r="3191">
      <c r="A3191" s="1" t="s">
        <v>13</v>
      </c>
      <c r="B3191" s="1" t="s">
        <v>38</v>
      </c>
      <c r="C3191" s="1" t="s">
        <v>1513</v>
      </c>
      <c r="D3191" s="1">
        <v>3.0</v>
      </c>
      <c r="E3191" s="1">
        <v>55.0</v>
      </c>
      <c r="F3191" s="1">
        <v>1.0</v>
      </c>
      <c r="G3191" s="1">
        <v>3.0</v>
      </c>
      <c r="H3191" s="1" t="s">
        <v>32</v>
      </c>
      <c r="I3191" s="1" t="s">
        <v>122</v>
      </c>
      <c r="J3191" s="1" t="s">
        <v>18</v>
      </c>
      <c r="K3191" s="1">
        <v>600.0</v>
      </c>
      <c r="L3191" s="1">
        <v>56.9540025999999</v>
      </c>
      <c r="M3191" s="1">
        <v>23.9896591361657</v>
      </c>
    </row>
    <row r="3192">
      <c r="A3192" s="1" t="s">
        <v>22</v>
      </c>
      <c r="B3192" s="1" t="s">
        <v>38</v>
      </c>
      <c r="C3192" s="1" t="s">
        <v>1513</v>
      </c>
      <c r="D3192" s="1">
        <v>3.0</v>
      </c>
      <c r="E3192" s="1">
        <v>57.0</v>
      </c>
      <c r="F3192" s="1">
        <v>1.0</v>
      </c>
      <c r="G3192" s="1">
        <v>3.0</v>
      </c>
      <c r="H3192" s="1" t="s">
        <v>32</v>
      </c>
      <c r="I3192" s="1" t="s">
        <v>122</v>
      </c>
      <c r="J3192" s="1" t="s">
        <v>18</v>
      </c>
      <c r="K3192" s="1">
        <v>94500.0</v>
      </c>
      <c r="L3192" s="1">
        <v>56.9540025999999</v>
      </c>
      <c r="M3192" s="1">
        <v>23.9896591361657</v>
      </c>
    </row>
    <row r="3193">
      <c r="A3193" s="1" t="s">
        <v>22</v>
      </c>
      <c r="B3193" s="1" t="s">
        <v>23</v>
      </c>
      <c r="C3193" s="1" t="s">
        <v>1224</v>
      </c>
      <c r="D3193" s="1">
        <v>4.0</v>
      </c>
      <c r="E3193" s="1">
        <v>180.0</v>
      </c>
      <c r="F3193" s="1">
        <v>1.0</v>
      </c>
      <c r="G3193" s="1">
        <v>3.0</v>
      </c>
      <c r="H3193" s="1" t="s">
        <v>181</v>
      </c>
      <c r="I3193" s="1" t="s">
        <v>33</v>
      </c>
      <c r="J3193" s="1" t="s">
        <v>18</v>
      </c>
      <c r="K3193" s="1">
        <v>165000.0</v>
      </c>
      <c r="L3193" s="1">
        <v>56.9758863499999</v>
      </c>
      <c r="M3193" s="1">
        <v>24.1391725207381</v>
      </c>
    </row>
    <row r="3194">
      <c r="A3194" s="1" t="s">
        <v>22</v>
      </c>
      <c r="B3194" s="1" t="s">
        <v>42</v>
      </c>
      <c r="C3194" s="1" t="s">
        <v>561</v>
      </c>
      <c r="D3194" s="1">
        <v>4.0</v>
      </c>
      <c r="E3194" s="1">
        <v>96.0</v>
      </c>
      <c r="F3194" s="1">
        <v>1.0</v>
      </c>
      <c r="G3194" s="1">
        <v>3.0</v>
      </c>
      <c r="H3194" s="1" t="s">
        <v>32</v>
      </c>
      <c r="I3194" s="1" t="s">
        <v>17</v>
      </c>
      <c r="J3194" s="1" t="s">
        <v>18</v>
      </c>
      <c r="K3194" s="1">
        <v>150000.0</v>
      </c>
      <c r="L3194" s="1">
        <v>56.9876991</v>
      </c>
      <c r="M3194" s="1">
        <v>24.2350567</v>
      </c>
    </row>
    <row r="3195">
      <c r="A3195" s="1" t="s">
        <v>22</v>
      </c>
      <c r="B3195" s="1" t="s">
        <v>94</v>
      </c>
      <c r="C3195" s="1" t="s">
        <v>2005</v>
      </c>
      <c r="D3195" s="1">
        <v>2.0</v>
      </c>
      <c r="E3195" s="1">
        <v>48.0</v>
      </c>
      <c r="F3195" s="1">
        <v>3.0</v>
      </c>
      <c r="G3195" s="1">
        <v>3.0</v>
      </c>
      <c r="H3195" s="1" t="s">
        <v>36</v>
      </c>
      <c r="I3195" s="1" t="s">
        <v>33</v>
      </c>
      <c r="J3195" s="1" t="s">
        <v>18</v>
      </c>
      <c r="K3195" s="1">
        <v>46900.0</v>
      </c>
      <c r="L3195" s="1">
        <v>56.92977845</v>
      </c>
      <c r="M3195" s="1">
        <v>24.16933105</v>
      </c>
    </row>
    <row r="3196">
      <c r="A3196" s="1" t="s">
        <v>22</v>
      </c>
      <c r="B3196" s="1" t="s">
        <v>94</v>
      </c>
      <c r="C3196" s="1" t="s">
        <v>2006</v>
      </c>
      <c r="D3196" s="1">
        <v>2.0</v>
      </c>
      <c r="E3196" s="1">
        <v>48.0</v>
      </c>
      <c r="F3196" s="1">
        <v>6.0</v>
      </c>
      <c r="G3196" s="1">
        <v>9.0</v>
      </c>
      <c r="H3196" s="1">
        <v>467.0</v>
      </c>
      <c r="I3196" s="1" t="s">
        <v>21</v>
      </c>
      <c r="J3196" s="1" t="s">
        <v>18</v>
      </c>
      <c r="K3196" s="1">
        <v>40000.0</v>
      </c>
      <c r="L3196" s="1">
        <v>56.93217605</v>
      </c>
      <c r="M3196" s="1">
        <v>24.16330335</v>
      </c>
    </row>
    <row r="3197">
      <c r="A3197" s="1" t="s">
        <v>22</v>
      </c>
      <c r="B3197" s="1" t="s">
        <v>14</v>
      </c>
      <c r="C3197" s="1" t="s">
        <v>2007</v>
      </c>
      <c r="D3197" s="1">
        <v>2.0</v>
      </c>
      <c r="E3197" s="1">
        <v>60.0</v>
      </c>
      <c r="F3197" s="1">
        <v>9.0</v>
      </c>
      <c r="G3197" s="1">
        <v>9.0</v>
      </c>
      <c r="H3197" s="1">
        <v>119.0</v>
      </c>
      <c r="I3197" s="1" t="s">
        <v>21</v>
      </c>
      <c r="J3197" s="1" t="s">
        <v>18</v>
      </c>
      <c r="K3197" s="1">
        <v>64300.0</v>
      </c>
      <c r="L3197" s="1">
        <v>56.95076315</v>
      </c>
      <c r="M3197" s="1">
        <v>24.1895691110482</v>
      </c>
    </row>
    <row r="3198">
      <c r="A3198" s="1" t="s">
        <v>22</v>
      </c>
      <c r="B3198" s="1" t="s">
        <v>228</v>
      </c>
      <c r="C3198" s="1" t="s">
        <v>2008</v>
      </c>
      <c r="D3198" s="1">
        <v>4.0</v>
      </c>
      <c r="E3198" s="1">
        <v>100.0</v>
      </c>
      <c r="F3198" s="1">
        <v>2.0</v>
      </c>
      <c r="G3198" s="1">
        <v>2.0</v>
      </c>
      <c r="H3198" s="1" t="s">
        <v>171</v>
      </c>
      <c r="I3198" s="1" t="s">
        <v>26</v>
      </c>
      <c r="J3198" s="1" t="s">
        <v>18</v>
      </c>
      <c r="K3198" s="1">
        <v>125000.0</v>
      </c>
      <c r="L3198" s="1">
        <v>56.9126948</v>
      </c>
      <c r="M3198" s="1">
        <v>24.0606033019609</v>
      </c>
    </row>
    <row r="3199">
      <c r="A3199" s="1" t="s">
        <v>22</v>
      </c>
      <c r="B3199" s="1" t="s">
        <v>23</v>
      </c>
      <c r="C3199" s="1" t="s">
        <v>846</v>
      </c>
      <c r="D3199" s="1">
        <v>3.0</v>
      </c>
      <c r="E3199" s="1">
        <v>148.0</v>
      </c>
      <c r="F3199" s="1">
        <v>6.0</v>
      </c>
      <c r="G3199" s="1">
        <v>6.0</v>
      </c>
      <c r="H3199" s="1" t="s">
        <v>66</v>
      </c>
      <c r="I3199" s="1" t="s">
        <v>33</v>
      </c>
      <c r="J3199" s="1" t="s">
        <v>18</v>
      </c>
      <c r="K3199" s="1">
        <v>198000.0</v>
      </c>
      <c r="L3199" s="1">
        <v>56.956763</v>
      </c>
      <c r="M3199" s="1">
        <v>24.0954531</v>
      </c>
    </row>
    <row r="3200">
      <c r="A3200" s="1" t="s">
        <v>22</v>
      </c>
      <c r="B3200" s="1" t="s">
        <v>23</v>
      </c>
      <c r="C3200" s="1" t="s">
        <v>1187</v>
      </c>
      <c r="D3200" s="1">
        <v>6.0</v>
      </c>
      <c r="E3200" s="1">
        <v>180.0</v>
      </c>
      <c r="F3200" s="1">
        <v>3.0</v>
      </c>
      <c r="G3200" s="1">
        <v>6.0</v>
      </c>
      <c r="H3200" s="1" t="s">
        <v>25</v>
      </c>
      <c r="I3200" s="1" t="s">
        <v>33</v>
      </c>
      <c r="J3200" s="1" t="s">
        <v>18</v>
      </c>
      <c r="K3200" s="1">
        <v>199000.0</v>
      </c>
      <c r="L3200" s="1">
        <v>56.9557185</v>
      </c>
      <c r="M3200" s="1">
        <v>24.1356095</v>
      </c>
    </row>
    <row r="3201">
      <c r="A3201" s="1" t="s">
        <v>22</v>
      </c>
      <c r="B3201" s="1" t="s">
        <v>23</v>
      </c>
      <c r="C3201" s="1" t="s">
        <v>2009</v>
      </c>
      <c r="D3201" s="1">
        <v>2.0</v>
      </c>
      <c r="E3201" s="1">
        <v>57.0</v>
      </c>
      <c r="F3201" s="1">
        <v>5.0</v>
      </c>
      <c r="G3201" s="1">
        <v>5.0</v>
      </c>
      <c r="H3201" s="1" t="s">
        <v>25</v>
      </c>
      <c r="I3201" s="1" t="s">
        <v>33</v>
      </c>
      <c r="J3201" s="1" t="s">
        <v>18</v>
      </c>
      <c r="K3201" s="1">
        <v>119800.0</v>
      </c>
      <c r="L3201" s="1">
        <v>56.9488883</v>
      </c>
      <c r="M3201" s="1">
        <v>24.1023279</v>
      </c>
    </row>
    <row r="3202">
      <c r="A3202" s="1" t="s">
        <v>22</v>
      </c>
      <c r="B3202" s="1" t="s">
        <v>23</v>
      </c>
      <c r="C3202" s="1" t="s">
        <v>2010</v>
      </c>
      <c r="D3202" s="1">
        <v>2.0</v>
      </c>
      <c r="E3202" s="1">
        <v>53.0</v>
      </c>
      <c r="F3202" s="1">
        <v>4.0</v>
      </c>
      <c r="G3202" s="1">
        <v>4.0</v>
      </c>
      <c r="H3202" s="1" t="s">
        <v>66</v>
      </c>
      <c r="I3202" s="1" t="s">
        <v>33</v>
      </c>
      <c r="J3202" s="1" t="s">
        <v>18</v>
      </c>
      <c r="K3202" s="1">
        <v>72000.0</v>
      </c>
      <c r="L3202" s="1">
        <v>56.9494342</v>
      </c>
      <c r="M3202" s="1">
        <v>24.1445478216108</v>
      </c>
    </row>
    <row r="3203">
      <c r="A3203" s="1" t="s">
        <v>22</v>
      </c>
      <c r="B3203" s="1" t="s">
        <v>218</v>
      </c>
      <c r="C3203" s="1" t="s">
        <v>1857</v>
      </c>
      <c r="D3203" s="1">
        <v>4.0</v>
      </c>
      <c r="E3203" s="1">
        <v>126.0</v>
      </c>
      <c r="F3203" s="1">
        <v>4.0</v>
      </c>
      <c r="G3203" s="1">
        <v>4.0</v>
      </c>
      <c r="H3203" s="1" t="s">
        <v>25</v>
      </c>
      <c r="I3203" s="1" t="s">
        <v>37</v>
      </c>
      <c r="J3203" s="1" t="s">
        <v>18</v>
      </c>
      <c r="K3203" s="1">
        <v>220000.0</v>
      </c>
      <c r="L3203" s="1">
        <v>56.9451747</v>
      </c>
      <c r="M3203" s="1">
        <v>24.1075711</v>
      </c>
    </row>
    <row r="3204">
      <c r="A3204" s="1" t="s">
        <v>22</v>
      </c>
      <c r="B3204" s="1" t="s">
        <v>23</v>
      </c>
      <c r="C3204" s="1" t="s">
        <v>282</v>
      </c>
      <c r="D3204" s="1">
        <v>1.0</v>
      </c>
      <c r="E3204" s="1">
        <v>20.0</v>
      </c>
      <c r="F3204" s="1">
        <v>3.0</v>
      </c>
      <c r="G3204" s="1">
        <v>5.0</v>
      </c>
      <c r="H3204" s="1" t="s">
        <v>25</v>
      </c>
      <c r="I3204" s="1" t="s">
        <v>33</v>
      </c>
      <c r="J3204" s="1" t="s">
        <v>18</v>
      </c>
      <c r="K3204" s="1">
        <v>35000.0</v>
      </c>
      <c r="L3204" s="1">
        <v>56.9607411</v>
      </c>
      <c r="M3204" s="1">
        <v>24.1497716</v>
      </c>
    </row>
    <row r="3205">
      <c r="A3205" s="1" t="s">
        <v>13</v>
      </c>
      <c r="B3205" s="1" t="s">
        <v>23</v>
      </c>
      <c r="C3205" s="1" t="s">
        <v>709</v>
      </c>
      <c r="D3205" s="1">
        <v>2.0</v>
      </c>
      <c r="E3205" s="1">
        <v>60.0</v>
      </c>
      <c r="F3205" s="1">
        <v>2.0</v>
      </c>
      <c r="G3205" s="1">
        <v>6.0</v>
      </c>
      <c r="H3205" s="1" t="s">
        <v>32</v>
      </c>
      <c r="I3205" s="1" t="s">
        <v>17</v>
      </c>
      <c r="J3205" s="1" t="s">
        <v>18</v>
      </c>
      <c r="K3205" s="1">
        <v>850.0</v>
      </c>
      <c r="L3205" s="1">
        <v>56.9443781</v>
      </c>
      <c r="M3205" s="1">
        <v>24.1105085</v>
      </c>
    </row>
    <row r="3206">
      <c r="A3206" s="1" t="s">
        <v>22</v>
      </c>
      <c r="B3206" s="1" t="s">
        <v>23</v>
      </c>
      <c r="C3206" s="1" t="s">
        <v>1350</v>
      </c>
      <c r="D3206" s="1">
        <v>5.0</v>
      </c>
      <c r="E3206" s="1">
        <v>149.0</v>
      </c>
      <c r="F3206" s="1">
        <v>2.0</v>
      </c>
      <c r="G3206" s="1">
        <v>5.0</v>
      </c>
      <c r="H3206" s="1" t="s">
        <v>25</v>
      </c>
      <c r="I3206" s="1" t="s">
        <v>33</v>
      </c>
      <c r="J3206" s="1" t="s">
        <v>18</v>
      </c>
      <c r="K3206" s="1">
        <v>238000.0</v>
      </c>
      <c r="L3206" s="1">
        <v>56.9627744</v>
      </c>
      <c r="M3206" s="1">
        <v>24.1230397822419</v>
      </c>
    </row>
    <row r="3207">
      <c r="A3207" s="1" t="s">
        <v>22</v>
      </c>
      <c r="B3207" s="1" t="s">
        <v>30</v>
      </c>
      <c r="C3207" s="1" t="s">
        <v>2011</v>
      </c>
      <c r="D3207" s="1">
        <v>5.0</v>
      </c>
      <c r="E3207" s="1">
        <v>168.0</v>
      </c>
      <c r="F3207" s="1">
        <v>1.0</v>
      </c>
      <c r="G3207" s="1">
        <v>3.0</v>
      </c>
      <c r="H3207" s="1" t="s">
        <v>171</v>
      </c>
      <c r="I3207" s="1" t="s">
        <v>33</v>
      </c>
      <c r="J3207" s="1" t="s">
        <v>18</v>
      </c>
      <c r="K3207" s="1">
        <v>200000.0</v>
      </c>
      <c r="L3207" s="1">
        <v>56.9810586499999</v>
      </c>
      <c r="M3207" s="1">
        <v>24.1899005585312</v>
      </c>
    </row>
    <row r="3208">
      <c r="A3208" s="1" t="s">
        <v>22</v>
      </c>
      <c r="B3208" s="1" t="s">
        <v>42</v>
      </c>
      <c r="C3208" s="1" t="s">
        <v>2012</v>
      </c>
      <c r="D3208" s="1">
        <v>2.0</v>
      </c>
      <c r="E3208" s="1">
        <v>47.0</v>
      </c>
      <c r="F3208" s="1">
        <v>5.0</v>
      </c>
      <c r="G3208" s="1">
        <v>5.0</v>
      </c>
      <c r="H3208" s="1" t="s">
        <v>16</v>
      </c>
      <c r="I3208" s="1" t="s">
        <v>21</v>
      </c>
      <c r="J3208" s="1" t="s">
        <v>18</v>
      </c>
      <c r="K3208" s="1">
        <v>46000.0</v>
      </c>
      <c r="L3208" s="1">
        <v>56.9812953499999</v>
      </c>
      <c r="M3208" s="1">
        <v>24.2455558499999</v>
      </c>
    </row>
    <row r="3209">
      <c r="A3209" s="1" t="s">
        <v>22</v>
      </c>
      <c r="B3209" s="1" t="s">
        <v>48</v>
      </c>
      <c r="C3209" s="1" t="s">
        <v>2013</v>
      </c>
      <c r="D3209" s="1">
        <v>2.0</v>
      </c>
      <c r="E3209" s="1">
        <v>51.0</v>
      </c>
      <c r="F3209" s="1">
        <v>2.0</v>
      </c>
      <c r="G3209" s="1">
        <v>5.0</v>
      </c>
      <c r="H3209" s="1" t="s">
        <v>32</v>
      </c>
      <c r="I3209" s="1" t="s">
        <v>33</v>
      </c>
      <c r="J3209" s="1" t="s">
        <v>18</v>
      </c>
      <c r="K3209" s="1">
        <v>65500.0</v>
      </c>
      <c r="L3209" s="1">
        <v>56.9541725</v>
      </c>
      <c r="M3209" s="1">
        <v>24.2443253</v>
      </c>
    </row>
    <row r="3210">
      <c r="A3210" s="1" t="s">
        <v>89</v>
      </c>
      <c r="B3210" s="1" t="s">
        <v>23</v>
      </c>
      <c r="C3210" s="1" t="s">
        <v>1594</v>
      </c>
      <c r="D3210" s="1">
        <v>2.0</v>
      </c>
      <c r="E3210" s="1">
        <v>50.0</v>
      </c>
      <c r="F3210" s="2"/>
      <c r="G3210" s="2"/>
      <c r="H3210" s="1" t="s">
        <v>25</v>
      </c>
      <c r="I3210" s="2"/>
      <c r="J3210" s="2"/>
      <c r="K3210" s="2"/>
      <c r="L3210" s="1">
        <v>56.9682091</v>
      </c>
      <c r="M3210" s="1">
        <v>24.1507376</v>
      </c>
    </row>
    <row r="3211">
      <c r="A3211" s="1" t="s">
        <v>13</v>
      </c>
      <c r="B3211" s="1" t="s">
        <v>104</v>
      </c>
      <c r="C3211" s="1" t="s">
        <v>2014</v>
      </c>
      <c r="D3211" s="1">
        <v>2.0</v>
      </c>
      <c r="E3211" s="1">
        <v>50.0</v>
      </c>
      <c r="F3211" s="1">
        <v>4.0</v>
      </c>
      <c r="G3211" s="1">
        <v>4.0</v>
      </c>
      <c r="H3211" s="1" t="s">
        <v>25</v>
      </c>
      <c r="I3211" s="1" t="s">
        <v>33</v>
      </c>
      <c r="J3211" s="1" t="s">
        <v>18</v>
      </c>
      <c r="K3211" s="1">
        <v>450.0</v>
      </c>
      <c r="L3211" s="1">
        <v>56.942365</v>
      </c>
      <c r="M3211" s="1">
        <v>24.0921715</v>
      </c>
    </row>
    <row r="3212">
      <c r="A3212" s="1" t="s">
        <v>22</v>
      </c>
      <c r="B3212" s="1" t="s">
        <v>23</v>
      </c>
      <c r="C3212" s="1" t="s">
        <v>753</v>
      </c>
      <c r="D3212" s="1">
        <v>3.0</v>
      </c>
      <c r="E3212" s="1">
        <v>71.0</v>
      </c>
      <c r="F3212" s="1">
        <v>3.0</v>
      </c>
      <c r="G3212" s="1">
        <v>6.0</v>
      </c>
      <c r="H3212" s="1" t="s">
        <v>36</v>
      </c>
      <c r="I3212" s="1" t="s">
        <v>33</v>
      </c>
      <c r="J3212" s="1" t="s">
        <v>18</v>
      </c>
      <c r="K3212" s="1">
        <v>127000.0</v>
      </c>
      <c r="L3212" s="1">
        <v>56.96362585</v>
      </c>
      <c r="M3212" s="1">
        <v>24.1243187075168</v>
      </c>
    </row>
    <row r="3213">
      <c r="A3213" s="1" t="s">
        <v>22</v>
      </c>
      <c r="B3213" s="1" t="s">
        <v>422</v>
      </c>
      <c r="C3213" s="1" t="s">
        <v>732</v>
      </c>
      <c r="D3213" s="1">
        <v>2.0</v>
      </c>
      <c r="E3213" s="1">
        <v>68.0</v>
      </c>
      <c r="F3213" s="1">
        <v>5.0</v>
      </c>
      <c r="G3213" s="1">
        <v>25.0</v>
      </c>
      <c r="H3213" s="1" t="s">
        <v>32</v>
      </c>
      <c r="I3213" s="1" t="s">
        <v>17</v>
      </c>
      <c r="J3213" s="1" t="s">
        <v>18</v>
      </c>
      <c r="K3213" s="1">
        <v>108000.0</v>
      </c>
      <c r="L3213" s="1">
        <v>56.9340645</v>
      </c>
      <c r="M3213" s="1">
        <v>24.0436381</v>
      </c>
    </row>
    <row r="3214">
      <c r="A3214" s="1" t="s">
        <v>22</v>
      </c>
      <c r="B3214" s="1" t="s">
        <v>23</v>
      </c>
      <c r="C3214" s="1" t="s">
        <v>1282</v>
      </c>
      <c r="D3214" s="1">
        <v>4.0</v>
      </c>
      <c r="E3214" s="1">
        <v>126.0</v>
      </c>
      <c r="F3214" s="1">
        <v>5.0</v>
      </c>
      <c r="G3214" s="1">
        <v>6.0</v>
      </c>
      <c r="H3214" s="1" t="s">
        <v>25</v>
      </c>
      <c r="I3214" s="1" t="s">
        <v>33</v>
      </c>
      <c r="J3214" s="1" t="s">
        <v>18</v>
      </c>
      <c r="K3214" s="1">
        <v>200000.0</v>
      </c>
      <c r="L3214" s="1">
        <v>48.2969502</v>
      </c>
      <c r="M3214" s="1">
        <v>-100.7081938</v>
      </c>
    </row>
    <row r="3215">
      <c r="A3215" s="1" t="s">
        <v>22</v>
      </c>
      <c r="B3215" s="1" t="s">
        <v>14</v>
      </c>
      <c r="C3215" s="1" t="s">
        <v>679</v>
      </c>
      <c r="D3215" s="1">
        <v>3.0</v>
      </c>
      <c r="E3215" s="1">
        <v>77.0</v>
      </c>
      <c r="F3215" s="1">
        <v>9.0</v>
      </c>
      <c r="G3215" s="1">
        <v>9.0</v>
      </c>
      <c r="H3215" s="1">
        <v>119.0</v>
      </c>
      <c r="I3215" s="1" t="s">
        <v>21</v>
      </c>
      <c r="J3215" s="1" t="s">
        <v>18</v>
      </c>
      <c r="K3215" s="1">
        <v>68000.0</v>
      </c>
      <c r="L3215" s="1">
        <v>56.9521256999999</v>
      </c>
      <c r="M3215" s="1">
        <v>24.1761138</v>
      </c>
    </row>
    <row r="3216">
      <c r="A3216" s="1" t="s">
        <v>22</v>
      </c>
      <c r="B3216" s="1" t="s">
        <v>23</v>
      </c>
      <c r="C3216" s="1" t="s">
        <v>592</v>
      </c>
      <c r="D3216" s="1">
        <v>3.0</v>
      </c>
      <c r="E3216" s="1">
        <v>68.0</v>
      </c>
      <c r="F3216" s="1">
        <v>6.0</v>
      </c>
      <c r="G3216" s="1">
        <v>6.0</v>
      </c>
      <c r="H3216" s="1" t="s">
        <v>25</v>
      </c>
      <c r="I3216" s="1" t="s">
        <v>33</v>
      </c>
      <c r="J3216" s="1" t="s">
        <v>18</v>
      </c>
      <c r="K3216" s="1">
        <v>91800.0</v>
      </c>
      <c r="L3216" s="1">
        <v>56.9488564</v>
      </c>
      <c r="M3216" s="1">
        <v>24.1384970339502</v>
      </c>
    </row>
    <row r="3217">
      <c r="A3217" s="1" t="s">
        <v>13</v>
      </c>
      <c r="B3217" s="1" t="s">
        <v>23</v>
      </c>
      <c r="C3217" s="1" t="s">
        <v>2015</v>
      </c>
      <c r="D3217" s="1">
        <v>5.0</v>
      </c>
      <c r="E3217" s="1">
        <v>180.0</v>
      </c>
      <c r="F3217" s="1">
        <v>5.0</v>
      </c>
      <c r="G3217" s="1">
        <v>6.0</v>
      </c>
      <c r="H3217" s="1" t="s">
        <v>66</v>
      </c>
      <c r="I3217" s="1" t="s">
        <v>33</v>
      </c>
      <c r="J3217" s="1" t="s">
        <v>18</v>
      </c>
      <c r="K3217" s="1">
        <v>1490.0</v>
      </c>
      <c r="L3217" s="1">
        <v>56.9583571</v>
      </c>
      <c r="M3217" s="1">
        <v>24.1252547</v>
      </c>
    </row>
    <row r="3218">
      <c r="A3218" s="1" t="s">
        <v>22</v>
      </c>
      <c r="B3218" s="1" t="s">
        <v>218</v>
      </c>
      <c r="C3218" s="1" t="s">
        <v>219</v>
      </c>
      <c r="D3218" s="1">
        <v>2.0</v>
      </c>
      <c r="E3218" s="1">
        <v>68.0</v>
      </c>
      <c r="F3218" s="1">
        <v>3.0</v>
      </c>
      <c r="G3218" s="1">
        <v>6.0</v>
      </c>
      <c r="H3218" s="1" t="s">
        <v>32</v>
      </c>
      <c r="I3218" s="1" t="s">
        <v>33</v>
      </c>
      <c r="J3218" s="1" t="s">
        <v>18</v>
      </c>
      <c r="K3218" s="1">
        <v>136400.0</v>
      </c>
      <c r="L3218" s="1">
        <v>56.9453381999999</v>
      </c>
      <c r="M3218" s="1">
        <v>24.1094639533088</v>
      </c>
    </row>
    <row r="3219">
      <c r="A3219" s="1" t="s">
        <v>22</v>
      </c>
      <c r="B3219" s="1" t="s">
        <v>38</v>
      </c>
      <c r="C3219" s="1" t="s">
        <v>2016</v>
      </c>
      <c r="D3219" s="1">
        <v>4.0</v>
      </c>
      <c r="E3219" s="1">
        <v>74.0</v>
      </c>
      <c r="F3219" s="1">
        <v>2.0</v>
      </c>
      <c r="G3219" s="1">
        <v>18.0</v>
      </c>
      <c r="H3219" s="1" t="s">
        <v>32</v>
      </c>
      <c r="I3219" s="1" t="s">
        <v>21</v>
      </c>
      <c r="J3219" s="1" t="s">
        <v>18</v>
      </c>
      <c r="K3219" s="1">
        <v>125000.0</v>
      </c>
      <c r="L3219" s="1">
        <v>56.9597946</v>
      </c>
      <c r="M3219" s="1">
        <v>24.0121597</v>
      </c>
    </row>
    <row r="3220">
      <c r="A3220" s="1" t="s">
        <v>22</v>
      </c>
      <c r="B3220" s="1" t="s">
        <v>23</v>
      </c>
      <c r="C3220" s="1" t="s">
        <v>1070</v>
      </c>
      <c r="D3220" s="1">
        <v>4.0</v>
      </c>
      <c r="E3220" s="1">
        <v>113.0</v>
      </c>
      <c r="F3220" s="1">
        <v>5.0</v>
      </c>
      <c r="G3220" s="1">
        <v>6.0</v>
      </c>
      <c r="H3220" s="1" t="s">
        <v>25</v>
      </c>
      <c r="I3220" s="1" t="s">
        <v>37</v>
      </c>
      <c r="J3220" s="1" t="s">
        <v>18</v>
      </c>
      <c r="K3220" s="1">
        <v>132000.0</v>
      </c>
      <c r="L3220" s="1">
        <v>56.9479492499999</v>
      </c>
      <c r="M3220" s="1">
        <v>24.1304457682304</v>
      </c>
    </row>
    <row r="3221">
      <c r="A3221" s="1" t="s">
        <v>22</v>
      </c>
      <c r="B3221" s="1" t="s">
        <v>422</v>
      </c>
      <c r="C3221" s="1" t="s">
        <v>1560</v>
      </c>
      <c r="D3221" s="1">
        <v>3.0</v>
      </c>
      <c r="E3221" s="1">
        <v>90.0</v>
      </c>
      <c r="F3221" s="1">
        <v>1.0</v>
      </c>
      <c r="G3221" s="1">
        <v>4.0</v>
      </c>
      <c r="H3221" s="1" t="s">
        <v>32</v>
      </c>
      <c r="I3221" s="1" t="s">
        <v>17</v>
      </c>
      <c r="J3221" s="1" t="s">
        <v>18</v>
      </c>
      <c r="K3221" s="1">
        <v>145000.0</v>
      </c>
      <c r="L3221" s="1">
        <v>56.9375737999999</v>
      </c>
      <c r="M3221" s="1">
        <v>24.03746545</v>
      </c>
    </row>
    <row r="3222">
      <c r="A3222" s="1" t="s">
        <v>22</v>
      </c>
      <c r="B3222" s="1" t="s">
        <v>19</v>
      </c>
      <c r="C3222" s="1" t="s">
        <v>2017</v>
      </c>
      <c r="D3222" s="1">
        <v>3.0</v>
      </c>
      <c r="E3222" s="1">
        <v>99.0</v>
      </c>
      <c r="F3222" s="1">
        <v>1.0</v>
      </c>
      <c r="G3222" s="1">
        <v>4.0</v>
      </c>
      <c r="H3222" s="1" t="s">
        <v>32</v>
      </c>
      <c r="I3222" s="1" t="s">
        <v>37</v>
      </c>
      <c r="J3222" s="1" t="s">
        <v>18</v>
      </c>
      <c r="K3222" s="1">
        <v>159000.0</v>
      </c>
      <c r="L3222" s="1">
        <v>56.91537545</v>
      </c>
      <c r="M3222" s="1">
        <v>24.0947705636546</v>
      </c>
    </row>
    <row r="3223">
      <c r="A3223" s="1" t="s">
        <v>22</v>
      </c>
      <c r="B3223" s="1" t="s">
        <v>109</v>
      </c>
      <c r="C3223" s="1" t="s">
        <v>126</v>
      </c>
      <c r="D3223" s="1">
        <v>3.0</v>
      </c>
      <c r="E3223" s="1">
        <v>117.0</v>
      </c>
      <c r="F3223" s="1">
        <v>10.0</v>
      </c>
      <c r="G3223" s="1">
        <v>11.0</v>
      </c>
      <c r="H3223" s="1" t="s">
        <v>32</v>
      </c>
      <c r="I3223" s="1" t="s">
        <v>37</v>
      </c>
      <c r="J3223" s="1" t="s">
        <v>18</v>
      </c>
      <c r="K3223" s="1">
        <v>185000.0</v>
      </c>
      <c r="L3223" s="1" t="s">
        <v>40</v>
      </c>
      <c r="M3223" s="1" t="s">
        <v>40</v>
      </c>
    </row>
    <row r="3224">
      <c r="A3224" s="1" t="s">
        <v>22</v>
      </c>
      <c r="B3224" s="1" t="s">
        <v>218</v>
      </c>
      <c r="C3224" s="1" t="s">
        <v>219</v>
      </c>
      <c r="D3224" s="1">
        <v>4.0</v>
      </c>
      <c r="E3224" s="1">
        <v>93.0</v>
      </c>
      <c r="F3224" s="1">
        <v>3.0</v>
      </c>
      <c r="G3224" s="1">
        <v>6.0</v>
      </c>
      <c r="H3224" s="1" t="s">
        <v>32</v>
      </c>
      <c r="I3224" s="1" t="s">
        <v>33</v>
      </c>
      <c r="J3224" s="1" t="s">
        <v>18</v>
      </c>
      <c r="K3224" s="1">
        <v>185200.0</v>
      </c>
      <c r="L3224" s="1">
        <v>56.9453381999999</v>
      </c>
      <c r="M3224" s="1">
        <v>24.1094639533088</v>
      </c>
    </row>
    <row r="3225">
      <c r="A3225" s="1" t="s">
        <v>13</v>
      </c>
      <c r="B3225" s="1" t="s">
        <v>14</v>
      </c>
      <c r="C3225" s="1" t="s">
        <v>1505</v>
      </c>
      <c r="D3225" s="1">
        <v>1.0</v>
      </c>
      <c r="E3225" s="1">
        <v>30.0</v>
      </c>
      <c r="F3225" s="1">
        <v>5.0</v>
      </c>
      <c r="G3225" s="1">
        <v>5.0</v>
      </c>
      <c r="H3225" s="1" t="s">
        <v>16</v>
      </c>
      <c r="I3225" s="1" t="s">
        <v>21</v>
      </c>
      <c r="J3225" s="1" t="s">
        <v>18</v>
      </c>
      <c r="K3225" s="1">
        <v>20.0</v>
      </c>
      <c r="L3225" s="1">
        <v>56.9601830999999</v>
      </c>
      <c r="M3225" s="1">
        <v>24.1809677999999</v>
      </c>
    </row>
    <row r="3226">
      <c r="A3226" s="1" t="s">
        <v>13</v>
      </c>
      <c r="B3226" s="1" t="s">
        <v>23</v>
      </c>
      <c r="C3226" s="1" t="s">
        <v>1187</v>
      </c>
      <c r="D3226" s="1">
        <v>1.0</v>
      </c>
      <c r="E3226" s="1">
        <v>30.0</v>
      </c>
      <c r="F3226" s="1">
        <v>3.0</v>
      </c>
      <c r="G3226" s="1">
        <v>5.0</v>
      </c>
      <c r="H3226" s="1" t="s">
        <v>25</v>
      </c>
      <c r="I3226" s="1" t="s">
        <v>37</v>
      </c>
      <c r="J3226" s="1" t="s">
        <v>18</v>
      </c>
      <c r="K3226" s="1">
        <v>25.0</v>
      </c>
      <c r="L3226" s="1">
        <v>56.9557185</v>
      </c>
      <c r="M3226" s="1">
        <v>24.1356095</v>
      </c>
    </row>
    <row r="3227">
      <c r="A3227" s="1" t="s">
        <v>22</v>
      </c>
      <c r="B3227" s="1" t="s">
        <v>422</v>
      </c>
      <c r="C3227" s="1" t="s">
        <v>1560</v>
      </c>
      <c r="D3227" s="1">
        <v>3.0</v>
      </c>
      <c r="E3227" s="1">
        <v>89.5</v>
      </c>
      <c r="F3227" s="1">
        <v>1.0</v>
      </c>
      <c r="G3227" s="1">
        <v>4.0</v>
      </c>
      <c r="H3227" s="1" t="s">
        <v>32</v>
      </c>
      <c r="I3227" s="1" t="s">
        <v>37</v>
      </c>
      <c r="J3227" s="1" t="s">
        <v>18</v>
      </c>
      <c r="K3227" s="1">
        <v>145000.0</v>
      </c>
      <c r="L3227" s="1">
        <v>56.9375737999999</v>
      </c>
      <c r="M3227" s="1">
        <v>24.03746545</v>
      </c>
    </row>
    <row r="3228">
      <c r="A3228" s="1" t="s">
        <v>22</v>
      </c>
      <c r="B3228" s="1" t="s">
        <v>14</v>
      </c>
      <c r="C3228" s="1" t="s">
        <v>2018</v>
      </c>
      <c r="D3228" s="1">
        <v>1.0</v>
      </c>
      <c r="E3228" s="1">
        <v>40.0</v>
      </c>
      <c r="F3228" s="1">
        <v>5.0</v>
      </c>
      <c r="G3228" s="1">
        <v>5.0</v>
      </c>
      <c r="H3228" s="1" t="s">
        <v>57</v>
      </c>
      <c r="I3228" s="1" t="s">
        <v>21</v>
      </c>
      <c r="J3228" s="1" t="s">
        <v>18</v>
      </c>
      <c r="K3228" s="1">
        <v>39900.0</v>
      </c>
      <c r="L3228" s="1">
        <v>56.95355685</v>
      </c>
      <c r="M3228" s="1">
        <v>24.1840903268546</v>
      </c>
    </row>
    <row r="3229">
      <c r="A3229" s="1" t="s">
        <v>22</v>
      </c>
      <c r="B3229" s="1" t="s">
        <v>23</v>
      </c>
      <c r="C3229" s="1" t="s">
        <v>2019</v>
      </c>
      <c r="D3229" s="1">
        <v>4.0</v>
      </c>
      <c r="E3229" s="1">
        <v>100.0</v>
      </c>
      <c r="F3229" s="1">
        <v>2.0</v>
      </c>
      <c r="G3229" s="1">
        <v>3.0</v>
      </c>
      <c r="H3229" s="1" t="s">
        <v>181</v>
      </c>
      <c r="I3229" s="1" t="s">
        <v>33</v>
      </c>
      <c r="J3229" s="1" t="s">
        <v>18</v>
      </c>
      <c r="K3229" s="1">
        <v>98000.0</v>
      </c>
      <c r="L3229" s="1" t="s">
        <v>40</v>
      </c>
      <c r="M3229" s="1" t="s">
        <v>40</v>
      </c>
    </row>
    <row r="3230">
      <c r="A3230" s="1" t="s">
        <v>13</v>
      </c>
      <c r="B3230" s="1" t="s">
        <v>23</v>
      </c>
      <c r="C3230" s="1" t="s">
        <v>2020</v>
      </c>
      <c r="D3230" s="1">
        <v>2.0</v>
      </c>
      <c r="E3230" s="1">
        <v>42.0</v>
      </c>
      <c r="F3230" s="1">
        <v>4.0</v>
      </c>
      <c r="G3230" s="1">
        <v>4.0</v>
      </c>
      <c r="H3230" s="1" t="s">
        <v>66</v>
      </c>
      <c r="I3230" s="1" t="s">
        <v>37</v>
      </c>
      <c r="J3230" s="1" t="s">
        <v>18</v>
      </c>
      <c r="K3230" s="1">
        <v>450.0</v>
      </c>
      <c r="L3230" s="1">
        <v>56.8597884</v>
      </c>
      <c r="M3230" s="1">
        <v>24.3083417</v>
      </c>
    </row>
    <row r="3231">
      <c r="A3231" s="1" t="s">
        <v>13</v>
      </c>
      <c r="B3231" s="1" t="s">
        <v>23</v>
      </c>
      <c r="C3231" s="1" t="s">
        <v>1022</v>
      </c>
      <c r="D3231" s="1">
        <v>2.0</v>
      </c>
      <c r="E3231" s="1">
        <v>66.0</v>
      </c>
      <c r="F3231" s="1">
        <v>4.0</v>
      </c>
      <c r="G3231" s="1">
        <v>7.0</v>
      </c>
      <c r="H3231" s="1" t="s">
        <v>32</v>
      </c>
      <c r="I3231" s="1" t="s">
        <v>37</v>
      </c>
      <c r="J3231" s="1" t="s">
        <v>18</v>
      </c>
      <c r="K3231" s="1">
        <v>700.0</v>
      </c>
      <c r="L3231" s="1">
        <v>56.9538485</v>
      </c>
      <c r="M3231" s="1">
        <v>24.1405336</v>
      </c>
    </row>
    <row r="3232">
      <c r="A3232" s="1" t="s">
        <v>22</v>
      </c>
      <c r="B3232" s="1" t="s">
        <v>28</v>
      </c>
      <c r="C3232" s="1" t="s">
        <v>809</v>
      </c>
      <c r="D3232" s="1">
        <v>2.0</v>
      </c>
      <c r="E3232" s="1">
        <v>41.0</v>
      </c>
      <c r="F3232" s="1">
        <v>3.0</v>
      </c>
      <c r="G3232" s="1">
        <v>5.0</v>
      </c>
      <c r="H3232" s="1" t="s">
        <v>32</v>
      </c>
      <c r="I3232" s="1" t="s">
        <v>21</v>
      </c>
      <c r="J3232" s="1" t="s">
        <v>18</v>
      </c>
      <c r="K3232" s="1">
        <v>52578.0</v>
      </c>
      <c r="L3232" s="1">
        <v>56.9146747</v>
      </c>
      <c r="M3232" s="1">
        <v>24.1815079346418</v>
      </c>
    </row>
    <row r="3233">
      <c r="A3233" s="1" t="s">
        <v>22</v>
      </c>
      <c r="B3233" s="1" t="s">
        <v>48</v>
      </c>
      <c r="C3233" s="1" t="s">
        <v>365</v>
      </c>
      <c r="D3233" s="1">
        <v>3.0</v>
      </c>
      <c r="E3233" s="1">
        <v>54.0</v>
      </c>
      <c r="F3233" s="1">
        <v>5.0</v>
      </c>
      <c r="G3233" s="1">
        <v>5.0</v>
      </c>
      <c r="H3233" s="1" t="s">
        <v>32</v>
      </c>
      <c r="I3233" s="1" t="s">
        <v>21</v>
      </c>
      <c r="J3233" s="1" t="s">
        <v>18</v>
      </c>
      <c r="K3233" s="1">
        <v>80900.0</v>
      </c>
      <c r="L3233" s="1">
        <v>56.95546705</v>
      </c>
      <c r="M3233" s="1">
        <v>24.24181865</v>
      </c>
    </row>
    <row r="3234">
      <c r="A3234" s="1" t="s">
        <v>22</v>
      </c>
      <c r="B3234" s="1" t="s">
        <v>38</v>
      </c>
      <c r="C3234" s="1" t="s">
        <v>2021</v>
      </c>
      <c r="D3234" s="1">
        <v>3.0</v>
      </c>
      <c r="E3234" s="1">
        <v>63.0</v>
      </c>
      <c r="F3234" s="1">
        <v>9.0</v>
      </c>
      <c r="G3234" s="1">
        <v>9.0</v>
      </c>
      <c r="H3234" s="1">
        <v>602.0</v>
      </c>
      <c r="I3234" s="1" t="s">
        <v>21</v>
      </c>
      <c r="J3234" s="1" t="s">
        <v>18</v>
      </c>
      <c r="K3234" s="1">
        <v>64000.0</v>
      </c>
      <c r="L3234" s="1">
        <v>56.9576685</v>
      </c>
      <c r="M3234" s="1">
        <v>24.008248</v>
      </c>
    </row>
    <row r="3235">
      <c r="A3235" s="1" t="s">
        <v>22</v>
      </c>
      <c r="B3235" s="1" t="s">
        <v>158</v>
      </c>
      <c r="C3235" s="1" t="s">
        <v>2022</v>
      </c>
      <c r="D3235" s="1">
        <v>2.0</v>
      </c>
      <c r="E3235" s="1">
        <v>85.0</v>
      </c>
      <c r="F3235" s="1">
        <v>1.0</v>
      </c>
      <c r="G3235" s="1">
        <v>2.0</v>
      </c>
      <c r="H3235" s="1" t="s">
        <v>32</v>
      </c>
      <c r="I3235" s="1" t="s">
        <v>33</v>
      </c>
      <c r="J3235" s="1" t="s">
        <v>18</v>
      </c>
      <c r="K3235" s="1">
        <v>125000.0</v>
      </c>
      <c r="L3235" s="1" t="s">
        <v>40</v>
      </c>
      <c r="M3235" s="1" t="s">
        <v>40</v>
      </c>
    </row>
    <row r="3236">
      <c r="A3236" s="1" t="s">
        <v>22</v>
      </c>
      <c r="B3236" s="1" t="s">
        <v>104</v>
      </c>
      <c r="C3236" s="1" t="s">
        <v>2023</v>
      </c>
      <c r="D3236" s="1">
        <v>5.0</v>
      </c>
      <c r="E3236" s="1">
        <v>210.0</v>
      </c>
      <c r="F3236" s="1">
        <v>1.0</v>
      </c>
      <c r="G3236" s="1">
        <v>2.0</v>
      </c>
      <c r="H3236" s="1" t="s">
        <v>25</v>
      </c>
      <c r="I3236" s="1" t="s">
        <v>26</v>
      </c>
      <c r="J3236" s="1" t="s">
        <v>18</v>
      </c>
      <c r="K3236" s="1">
        <v>135000.0</v>
      </c>
      <c r="L3236" s="1">
        <v>56.9462032</v>
      </c>
      <c r="M3236" s="1">
        <v>24.0786089595566</v>
      </c>
    </row>
    <row r="3237">
      <c r="A3237" s="1" t="s">
        <v>22</v>
      </c>
      <c r="B3237" s="1" t="s">
        <v>23</v>
      </c>
      <c r="C3237" s="1" t="s">
        <v>2024</v>
      </c>
      <c r="D3237" s="1">
        <v>4.0</v>
      </c>
      <c r="E3237" s="1">
        <v>104.0</v>
      </c>
      <c r="F3237" s="1">
        <v>2.0</v>
      </c>
      <c r="G3237" s="1">
        <v>5.0</v>
      </c>
      <c r="H3237" s="1" t="s">
        <v>25</v>
      </c>
      <c r="I3237" s="1" t="s">
        <v>33</v>
      </c>
      <c r="J3237" s="1" t="s">
        <v>18</v>
      </c>
      <c r="K3237" s="1">
        <v>135000.0</v>
      </c>
      <c r="L3237" s="1" t="s">
        <v>40</v>
      </c>
      <c r="M3237" s="1" t="s">
        <v>40</v>
      </c>
    </row>
    <row r="3238">
      <c r="A3238" s="1" t="s">
        <v>13</v>
      </c>
      <c r="B3238" s="1" t="s">
        <v>23</v>
      </c>
      <c r="C3238" s="1" t="s">
        <v>2025</v>
      </c>
      <c r="D3238" s="1">
        <v>2.0</v>
      </c>
      <c r="E3238" s="1">
        <v>41.0</v>
      </c>
      <c r="F3238" s="1">
        <v>3.0</v>
      </c>
      <c r="G3238" s="1">
        <v>4.0</v>
      </c>
      <c r="H3238" s="1" t="s">
        <v>25</v>
      </c>
      <c r="I3238" s="1" t="s">
        <v>33</v>
      </c>
      <c r="J3238" s="1" t="s">
        <v>18</v>
      </c>
      <c r="K3238" s="1">
        <v>35.0</v>
      </c>
      <c r="L3238" s="1">
        <v>56.9468471</v>
      </c>
      <c r="M3238" s="1">
        <v>24.133767</v>
      </c>
    </row>
    <row r="3239">
      <c r="A3239" s="1" t="s">
        <v>22</v>
      </c>
      <c r="B3239" s="1" t="s">
        <v>23</v>
      </c>
      <c r="C3239" s="1" t="s">
        <v>842</v>
      </c>
      <c r="D3239" s="1">
        <v>4.0</v>
      </c>
      <c r="E3239" s="1">
        <v>110.0</v>
      </c>
      <c r="F3239" s="1">
        <v>3.0</v>
      </c>
      <c r="G3239" s="1">
        <v>6.0</v>
      </c>
      <c r="H3239" s="1" t="s">
        <v>25</v>
      </c>
      <c r="I3239" s="1" t="s">
        <v>33</v>
      </c>
      <c r="J3239" s="1" t="s">
        <v>18</v>
      </c>
      <c r="K3239" s="1">
        <v>149715.0</v>
      </c>
      <c r="L3239" s="1">
        <v>56.9665763</v>
      </c>
      <c r="M3239" s="1">
        <v>24.1337504</v>
      </c>
    </row>
    <row r="3240">
      <c r="A3240" s="1" t="s">
        <v>22</v>
      </c>
      <c r="B3240" s="1" t="s">
        <v>23</v>
      </c>
      <c r="C3240" s="1" t="s">
        <v>842</v>
      </c>
      <c r="D3240" s="1">
        <v>3.0</v>
      </c>
      <c r="E3240" s="1">
        <v>77.0</v>
      </c>
      <c r="F3240" s="1">
        <v>3.0</v>
      </c>
      <c r="G3240" s="1">
        <v>6.0</v>
      </c>
      <c r="H3240" s="1" t="s">
        <v>25</v>
      </c>
      <c r="I3240" s="1" t="s">
        <v>33</v>
      </c>
      <c r="J3240" s="1" t="s">
        <v>18</v>
      </c>
      <c r="K3240" s="1">
        <v>119660.0</v>
      </c>
      <c r="L3240" s="1">
        <v>56.9665763</v>
      </c>
      <c r="M3240" s="1">
        <v>24.1337504</v>
      </c>
    </row>
    <row r="3241">
      <c r="A3241" s="1" t="s">
        <v>13</v>
      </c>
      <c r="B3241" s="1" t="s">
        <v>151</v>
      </c>
      <c r="C3241" s="1" t="s">
        <v>2026</v>
      </c>
      <c r="D3241" s="1">
        <v>3.0</v>
      </c>
      <c r="E3241" s="1">
        <v>57.0</v>
      </c>
      <c r="F3241" s="1">
        <v>4.0</v>
      </c>
      <c r="G3241" s="1">
        <v>9.0</v>
      </c>
      <c r="H3241" s="1">
        <v>467.0</v>
      </c>
      <c r="I3241" s="1" t="s">
        <v>21</v>
      </c>
      <c r="J3241" s="1" t="s">
        <v>18</v>
      </c>
      <c r="K3241" s="1">
        <v>300.0</v>
      </c>
      <c r="L3241" s="1">
        <v>56.96156055</v>
      </c>
      <c r="M3241" s="1">
        <v>24.0529558016831</v>
      </c>
    </row>
    <row r="3242">
      <c r="A3242" s="1" t="s">
        <v>22</v>
      </c>
      <c r="B3242" s="1" t="s">
        <v>23</v>
      </c>
      <c r="C3242" s="1" t="s">
        <v>508</v>
      </c>
      <c r="D3242" s="1">
        <v>5.0</v>
      </c>
      <c r="E3242" s="1">
        <v>173.0</v>
      </c>
      <c r="F3242" s="1">
        <v>4.0</v>
      </c>
      <c r="G3242" s="1">
        <v>5.0</v>
      </c>
      <c r="H3242" s="1" t="s">
        <v>25</v>
      </c>
      <c r="I3242" s="1" t="s">
        <v>33</v>
      </c>
      <c r="J3242" s="1" t="s">
        <v>18</v>
      </c>
      <c r="K3242" s="1">
        <v>480000.0</v>
      </c>
      <c r="L3242" s="1">
        <v>56.95892215</v>
      </c>
      <c r="M3242" s="1">
        <v>24.1096105097308</v>
      </c>
    </row>
    <row r="3243">
      <c r="A3243" s="1" t="s">
        <v>22</v>
      </c>
      <c r="B3243" s="1" t="s">
        <v>52</v>
      </c>
      <c r="C3243" s="1" t="s">
        <v>2027</v>
      </c>
      <c r="D3243" s="1">
        <v>3.0</v>
      </c>
      <c r="E3243" s="1">
        <v>97.1</v>
      </c>
      <c r="F3243" s="1">
        <v>12.0</v>
      </c>
      <c r="G3243" s="1">
        <v>13.0</v>
      </c>
      <c r="H3243" s="1" t="s">
        <v>32</v>
      </c>
      <c r="I3243" s="1" t="s">
        <v>37</v>
      </c>
      <c r="J3243" s="1" t="s">
        <v>18</v>
      </c>
      <c r="K3243" s="1">
        <v>128000.0</v>
      </c>
      <c r="L3243" s="1">
        <v>56.94666195</v>
      </c>
      <c r="M3243" s="1">
        <v>24.0130196500717</v>
      </c>
    </row>
    <row r="3244">
      <c r="A3244" s="1" t="s">
        <v>22</v>
      </c>
      <c r="B3244" s="1" t="s">
        <v>104</v>
      </c>
      <c r="C3244" s="1" t="s">
        <v>1403</v>
      </c>
      <c r="D3244" s="1">
        <v>3.0</v>
      </c>
      <c r="E3244" s="1">
        <v>60.0</v>
      </c>
      <c r="F3244" s="1">
        <v>5.0</v>
      </c>
      <c r="G3244" s="1">
        <v>5.0</v>
      </c>
      <c r="H3244" s="1" t="s">
        <v>44</v>
      </c>
      <c r="I3244" s="1" t="s">
        <v>21</v>
      </c>
      <c r="J3244" s="1" t="s">
        <v>18</v>
      </c>
      <c r="K3244" s="1">
        <v>75000.0</v>
      </c>
      <c r="L3244" s="1">
        <v>56.94578335</v>
      </c>
      <c r="M3244" s="1">
        <v>24.0643504483302</v>
      </c>
    </row>
    <row r="3245">
      <c r="A3245" s="1" t="s">
        <v>22</v>
      </c>
      <c r="B3245" s="1" t="s">
        <v>104</v>
      </c>
      <c r="C3245" s="1" t="s">
        <v>141</v>
      </c>
      <c r="D3245" s="1">
        <v>1.0</v>
      </c>
      <c r="E3245" s="1">
        <v>31.0</v>
      </c>
      <c r="F3245" s="1">
        <v>4.0</v>
      </c>
      <c r="G3245" s="1">
        <v>5.0</v>
      </c>
      <c r="H3245" s="1" t="s">
        <v>44</v>
      </c>
      <c r="I3245" s="1" t="s">
        <v>37</v>
      </c>
      <c r="J3245" s="1" t="s">
        <v>18</v>
      </c>
      <c r="K3245" s="1">
        <v>42500.0</v>
      </c>
      <c r="L3245" s="1">
        <v>56.9456104</v>
      </c>
      <c r="M3245" s="1">
        <v>24.0623652</v>
      </c>
    </row>
    <row r="3246">
      <c r="A3246" s="1" t="s">
        <v>13</v>
      </c>
      <c r="B3246" s="1" t="s">
        <v>23</v>
      </c>
      <c r="C3246" s="1" t="s">
        <v>726</v>
      </c>
      <c r="D3246" s="1">
        <v>1.0</v>
      </c>
      <c r="E3246" s="1">
        <v>27.0</v>
      </c>
      <c r="F3246" s="1">
        <v>1.0</v>
      </c>
      <c r="G3246" s="1">
        <v>5.0</v>
      </c>
      <c r="H3246" s="1" t="s">
        <v>66</v>
      </c>
      <c r="I3246" s="1" t="s">
        <v>37</v>
      </c>
      <c r="J3246" s="1" t="s">
        <v>18</v>
      </c>
      <c r="K3246" s="1">
        <v>25.0</v>
      </c>
      <c r="L3246" s="1">
        <v>56.9477411</v>
      </c>
      <c r="M3246" s="1">
        <v>24.1417055671983</v>
      </c>
    </row>
    <row r="3247">
      <c r="A3247" s="1" t="s">
        <v>13</v>
      </c>
      <c r="B3247" s="1" t="s">
        <v>23</v>
      </c>
      <c r="C3247" s="1" t="s">
        <v>726</v>
      </c>
      <c r="D3247" s="1">
        <v>3.0</v>
      </c>
      <c r="E3247" s="1">
        <v>75.0</v>
      </c>
      <c r="F3247" s="1">
        <v>5.0</v>
      </c>
      <c r="G3247" s="1">
        <v>5.0</v>
      </c>
      <c r="H3247" s="1" t="s">
        <v>66</v>
      </c>
      <c r="I3247" s="1" t="s">
        <v>37</v>
      </c>
      <c r="J3247" s="1" t="s">
        <v>18</v>
      </c>
      <c r="K3247" s="1">
        <v>45.0</v>
      </c>
      <c r="L3247" s="1">
        <v>56.9477411</v>
      </c>
      <c r="M3247" s="1">
        <v>24.1417055671983</v>
      </c>
    </row>
    <row r="3248">
      <c r="A3248" s="1" t="s">
        <v>22</v>
      </c>
      <c r="B3248" s="1" t="s">
        <v>52</v>
      </c>
      <c r="C3248" s="1" t="s">
        <v>1979</v>
      </c>
      <c r="D3248" s="1">
        <v>1.0</v>
      </c>
      <c r="E3248" s="1">
        <v>45.0</v>
      </c>
      <c r="F3248" s="1">
        <v>13.0</v>
      </c>
      <c r="G3248" s="1">
        <v>16.0</v>
      </c>
      <c r="H3248" s="1">
        <v>104.0</v>
      </c>
      <c r="I3248" s="1" t="s">
        <v>21</v>
      </c>
      <c r="J3248" s="1" t="s">
        <v>18</v>
      </c>
      <c r="K3248" s="1">
        <v>43500.0</v>
      </c>
      <c r="L3248" s="1">
        <v>56.9491401</v>
      </c>
      <c r="M3248" s="1">
        <v>23.9998514</v>
      </c>
    </row>
    <row r="3249">
      <c r="A3249" s="1" t="s">
        <v>22</v>
      </c>
      <c r="B3249" s="1" t="s">
        <v>19</v>
      </c>
      <c r="C3249" s="1" t="s">
        <v>2028</v>
      </c>
      <c r="D3249" s="1">
        <v>3.0</v>
      </c>
      <c r="E3249" s="1">
        <v>88.0</v>
      </c>
      <c r="F3249" s="1">
        <v>1.0</v>
      </c>
      <c r="G3249" s="1">
        <v>6.0</v>
      </c>
      <c r="H3249" s="1" t="s">
        <v>32</v>
      </c>
      <c r="I3249" s="1" t="s">
        <v>33</v>
      </c>
      <c r="J3249" s="1" t="s">
        <v>18</v>
      </c>
      <c r="K3249" s="1">
        <v>119999.0</v>
      </c>
      <c r="L3249" s="1">
        <v>56.9093617</v>
      </c>
      <c r="M3249" s="1">
        <v>24.0964724202145</v>
      </c>
    </row>
    <row r="3250">
      <c r="A3250" s="1" t="s">
        <v>22</v>
      </c>
      <c r="B3250" s="1" t="s">
        <v>23</v>
      </c>
      <c r="C3250" s="1" t="s">
        <v>1851</v>
      </c>
      <c r="D3250" s="1">
        <v>2.0</v>
      </c>
      <c r="E3250" s="1">
        <v>36.0</v>
      </c>
      <c r="F3250" s="1">
        <v>5.0</v>
      </c>
      <c r="G3250" s="1">
        <v>5.0</v>
      </c>
      <c r="H3250" s="1" t="s">
        <v>25</v>
      </c>
      <c r="I3250" s="1" t="s">
        <v>37</v>
      </c>
      <c r="J3250" s="1" t="s">
        <v>27</v>
      </c>
      <c r="K3250" s="1">
        <v>32900.0</v>
      </c>
      <c r="L3250" s="1">
        <v>56.9480533</v>
      </c>
      <c r="M3250" s="1">
        <v>24.1384676767433</v>
      </c>
    </row>
    <row r="3251">
      <c r="A3251" s="1" t="s">
        <v>13</v>
      </c>
      <c r="B3251" s="1" t="s">
        <v>23</v>
      </c>
      <c r="C3251" s="1" t="s">
        <v>1416</v>
      </c>
      <c r="D3251" s="1">
        <v>1.0</v>
      </c>
      <c r="E3251" s="1">
        <v>187.0</v>
      </c>
      <c r="F3251" s="1">
        <v>1.0</v>
      </c>
      <c r="G3251" s="1">
        <v>5.0</v>
      </c>
      <c r="H3251" s="1" t="s">
        <v>25</v>
      </c>
      <c r="I3251" s="1" t="s">
        <v>33</v>
      </c>
      <c r="J3251" s="1" t="s">
        <v>18</v>
      </c>
      <c r="K3251" s="1">
        <v>150.0</v>
      </c>
      <c r="L3251" s="1">
        <v>56.9665763</v>
      </c>
      <c r="M3251" s="1">
        <v>24.1337504</v>
      </c>
    </row>
    <row r="3252">
      <c r="A3252" s="1" t="s">
        <v>22</v>
      </c>
      <c r="B3252" s="1" t="s">
        <v>23</v>
      </c>
      <c r="C3252" s="1" t="s">
        <v>361</v>
      </c>
      <c r="D3252" s="1">
        <v>3.0</v>
      </c>
      <c r="E3252" s="1">
        <v>75.0</v>
      </c>
      <c r="F3252" s="1">
        <v>3.0</v>
      </c>
      <c r="G3252" s="1">
        <v>6.0</v>
      </c>
      <c r="H3252" s="1" t="s">
        <v>36</v>
      </c>
      <c r="I3252" s="1" t="s">
        <v>37</v>
      </c>
      <c r="J3252" s="1" t="s">
        <v>18</v>
      </c>
      <c r="K3252" s="1">
        <v>148000.0</v>
      </c>
      <c r="L3252" s="1">
        <v>56.9606806</v>
      </c>
      <c r="M3252" s="1">
        <v>24.1003622</v>
      </c>
    </row>
    <row r="3253">
      <c r="A3253" s="1" t="s">
        <v>22</v>
      </c>
      <c r="B3253" s="1" t="s">
        <v>74</v>
      </c>
      <c r="C3253" s="1" t="s">
        <v>197</v>
      </c>
      <c r="D3253" s="1">
        <v>1.0</v>
      </c>
      <c r="E3253" s="1">
        <v>32.0</v>
      </c>
      <c r="F3253" s="1">
        <v>7.0</v>
      </c>
      <c r="G3253" s="1">
        <v>9.0</v>
      </c>
      <c r="H3253" s="1">
        <v>467.0</v>
      </c>
      <c r="I3253" s="1" t="s">
        <v>21</v>
      </c>
      <c r="J3253" s="1" t="s">
        <v>18</v>
      </c>
      <c r="K3253" s="1">
        <v>30800.0</v>
      </c>
      <c r="L3253" s="1">
        <v>56.9367253</v>
      </c>
      <c r="M3253" s="1">
        <v>24.2129281</v>
      </c>
    </row>
    <row r="3254">
      <c r="A3254" s="1" t="s">
        <v>22</v>
      </c>
      <c r="B3254" s="1" t="s">
        <v>228</v>
      </c>
      <c r="C3254" s="1" t="s">
        <v>2029</v>
      </c>
      <c r="D3254" s="1">
        <v>3.0</v>
      </c>
      <c r="E3254" s="1">
        <v>93.0</v>
      </c>
      <c r="F3254" s="1">
        <v>3.0</v>
      </c>
      <c r="G3254" s="1">
        <v>4.0</v>
      </c>
      <c r="H3254" s="1" t="s">
        <v>32</v>
      </c>
      <c r="I3254" s="1" t="s">
        <v>17</v>
      </c>
      <c r="J3254" s="1" t="s">
        <v>18</v>
      </c>
      <c r="K3254" s="1">
        <v>123000.0</v>
      </c>
      <c r="L3254" s="1">
        <v>56.9236832</v>
      </c>
      <c r="M3254" s="1">
        <v>24.0550457207665</v>
      </c>
    </row>
    <row r="3255">
      <c r="A3255" s="1" t="s">
        <v>22</v>
      </c>
      <c r="B3255" s="1" t="s">
        <v>48</v>
      </c>
      <c r="C3255" s="1" t="s">
        <v>2030</v>
      </c>
      <c r="D3255" s="1">
        <v>2.0</v>
      </c>
      <c r="E3255" s="1">
        <v>48.96</v>
      </c>
      <c r="F3255" s="1">
        <v>9.0</v>
      </c>
      <c r="G3255" s="1">
        <v>9.0</v>
      </c>
      <c r="H3255" s="1">
        <v>602.0</v>
      </c>
      <c r="I3255" s="1" t="s">
        <v>21</v>
      </c>
      <c r="J3255" s="1" t="s">
        <v>18</v>
      </c>
      <c r="K3255" s="1">
        <v>60000.0</v>
      </c>
      <c r="L3255" s="1">
        <v>56.9580423</v>
      </c>
      <c r="M3255" s="1">
        <v>24.2381625</v>
      </c>
    </row>
    <row r="3256">
      <c r="A3256" s="1" t="s">
        <v>13</v>
      </c>
      <c r="B3256" s="1" t="s">
        <v>23</v>
      </c>
      <c r="C3256" s="1" t="s">
        <v>2031</v>
      </c>
      <c r="D3256" s="1">
        <v>4.0</v>
      </c>
      <c r="E3256" s="1">
        <v>112.0</v>
      </c>
      <c r="F3256" s="1">
        <v>2.0</v>
      </c>
      <c r="G3256" s="1">
        <v>4.0</v>
      </c>
      <c r="H3256" s="1" t="s">
        <v>66</v>
      </c>
      <c r="I3256" s="1" t="s">
        <v>37</v>
      </c>
      <c r="J3256" s="1" t="s">
        <v>18</v>
      </c>
      <c r="K3256" s="1">
        <v>950.0</v>
      </c>
      <c r="L3256" s="1">
        <v>56.9704076</v>
      </c>
      <c r="M3256" s="1">
        <v>24.1377874</v>
      </c>
    </row>
    <row r="3257">
      <c r="A3257" s="1" t="s">
        <v>13</v>
      </c>
      <c r="B3257" s="1" t="s">
        <v>23</v>
      </c>
      <c r="C3257" s="1" t="s">
        <v>1767</v>
      </c>
      <c r="D3257" s="1">
        <v>2.0</v>
      </c>
      <c r="E3257" s="1">
        <v>45.0</v>
      </c>
      <c r="F3257" s="1">
        <v>2.0</v>
      </c>
      <c r="G3257" s="1">
        <v>6.0</v>
      </c>
      <c r="H3257" s="1" t="s">
        <v>181</v>
      </c>
      <c r="I3257" s="1" t="s">
        <v>33</v>
      </c>
      <c r="J3257" s="1" t="s">
        <v>18</v>
      </c>
      <c r="K3257" s="1">
        <v>30.0</v>
      </c>
      <c r="L3257" s="1">
        <v>56.9516291</v>
      </c>
      <c r="M3257" s="1">
        <v>24.1216147585912</v>
      </c>
    </row>
    <row r="3258">
      <c r="A3258" s="1" t="s">
        <v>13</v>
      </c>
      <c r="B3258" s="1" t="s">
        <v>23</v>
      </c>
      <c r="C3258" s="1" t="s">
        <v>2032</v>
      </c>
      <c r="D3258" s="1">
        <v>1.0</v>
      </c>
      <c r="E3258" s="1">
        <v>22.0</v>
      </c>
      <c r="F3258" s="1">
        <v>1.0</v>
      </c>
      <c r="G3258" s="1">
        <v>6.0</v>
      </c>
      <c r="H3258" s="1" t="s">
        <v>25</v>
      </c>
      <c r="I3258" s="1" t="s">
        <v>33</v>
      </c>
      <c r="J3258" s="1" t="s">
        <v>18</v>
      </c>
      <c r="K3258" s="1">
        <v>25.0</v>
      </c>
      <c r="L3258" s="1">
        <v>56.952698</v>
      </c>
      <c r="M3258" s="1">
        <v>24.1051471</v>
      </c>
    </row>
    <row r="3259">
      <c r="A3259" s="1" t="s">
        <v>22</v>
      </c>
      <c r="B3259" s="1" t="s">
        <v>14</v>
      </c>
      <c r="C3259" s="1" t="s">
        <v>1423</v>
      </c>
      <c r="D3259" s="1">
        <v>4.0</v>
      </c>
      <c r="E3259" s="1">
        <v>134.0</v>
      </c>
      <c r="F3259" s="1">
        <v>6.0</v>
      </c>
      <c r="G3259" s="1">
        <v>7.0</v>
      </c>
      <c r="H3259" s="1" t="s">
        <v>32</v>
      </c>
      <c r="I3259" s="1" t="s">
        <v>17</v>
      </c>
      <c r="J3259" s="1" t="s">
        <v>18</v>
      </c>
      <c r="K3259" s="1">
        <v>201000.0</v>
      </c>
      <c r="L3259" s="1">
        <v>56.9622136</v>
      </c>
      <c r="M3259" s="1">
        <v>24.1761063</v>
      </c>
    </row>
    <row r="3260">
      <c r="A3260" s="1" t="s">
        <v>89</v>
      </c>
      <c r="B3260" s="1" t="s">
        <v>42</v>
      </c>
      <c r="C3260" s="2"/>
      <c r="D3260" s="2"/>
      <c r="E3260" s="1">
        <v>1.0</v>
      </c>
      <c r="F3260" s="1">
        <v>1.0</v>
      </c>
      <c r="G3260" s="1">
        <v>1.0</v>
      </c>
      <c r="H3260" s="2"/>
      <c r="I3260" s="2"/>
      <c r="J3260" s="2"/>
      <c r="K3260" s="2"/>
      <c r="L3260" s="1">
        <v>46.3144754</v>
      </c>
      <c r="M3260" s="1">
        <v>11.0480288</v>
      </c>
    </row>
    <row r="3261">
      <c r="A3261" s="1" t="s">
        <v>89</v>
      </c>
      <c r="B3261" s="1" t="s">
        <v>38</v>
      </c>
      <c r="C3261" s="2"/>
      <c r="D3261" s="2"/>
      <c r="E3261" s="1">
        <v>1.0</v>
      </c>
      <c r="F3261" s="1">
        <v>1.0</v>
      </c>
      <c r="G3261" s="1">
        <v>1.0</v>
      </c>
      <c r="H3261" s="2"/>
      <c r="I3261" s="2"/>
      <c r="J3261" s="2"/>
      <c r="K3261" s="2"/>
      <c r="L3261" s="1">
        <v>46.3144754</v>
      </c>
      <c r="M3261" s="1">
        <v>11.0480288</v>
      </c>
    </row>
    <row r="3262">
      <c r="A3262" s="1" t="s">
        <v>13</v>
      </c>
      <c r="B3262" s="1" t="s">
        <v>23</v>
      </c>
      <c r="C3262" s="1" t="s">
        <v>280</v>
      </c>
      <c r="D3262" s="1">
        <v>2.0</v>
      </c>
      <c r="E3262" s="1">
        <v>45.0</v>
      </c>
      <c r="F3262" s="1">
        <v>3.0</v>
      </c>
      <c r="G3262" s="1">
        <v>6.0</v>
      </c>
      <c r="H3262" s="1" t="s">
        <v>66</v>
      </c>
      <c r="I3262" s="1" t="s">
        <v>37</v>
      </c>
      <c r="J3262" s="1" t="s">
        <v>18</v>
      </c>
      <c r="K3262" s="1">
        <v>35.0</v>
      </c>
      <c r="L3262" s="1">
        <v>56.95161295</v>
      </c>
      <c r="M3262" s="1">
        <v>24.1224571478615</v>
      </c>
    </row>
    <row r="3263">
      <c r="A3263" s="1" t="s">
        <v>22</v>
      </c>
      <c r="B3263" s="1" t="s">
        <v>74</v>
      </c>
      <c r="C3263" s="1" t="s">
        <v>2033</v>
      </c>
      <c r="D3263" s="1">
        <v>2.0</v>
      </c>
      <c r="E3263" s="1">
        <v>72.0</v>
      </c>
      <c r="F3263" s="1">
        <v>7.0</v>
      </c>
      <c r="G3263" s="1">
        <v>7.0</v>
      </c>
      <c r="H3263" s="1" t="s">
        <v>32</v>
      </c>
      <c r="I3263" s="1" t="s">
        <v>17</v>
      </c>
      <c r="J3263" s="1" t="s">
        <v>18</v>
      </c>
      <c r="K3263" s="1">
        <v>105000.0</v>
      </c>
      <c r="L3263" s="1">
        <v>56.9401889</v>
      </c>
      <c r="M3263" s="1">
        <v>24.2111828</v>
      </c>
    </row>
    <row r="3264">
      <c r="A3264" s="1" t="s">
        <v>22</v>
      </c>
      <c r="B3264" s="1" t="s">
        <v>52</v>
      </c>
      <c r="C3264" s="1" t="s">
        <v>308</v>
      </c>
      <c r="D3264" s="1">
        <v>4.0</v>
      </c>
      <c r="E3264" s="1">
        <v>90.0</v>
      </c>
      <c r="F3264" s="1">
        <v>4.0</v>
      </c>
      <c r="G3264" s="1">
        <v>9.0</v>
      </c>
      <c r="H3264" s="1">
        <v>119.0</v>
      </c>
      <c r="I3264" s="1" t="s">
        <v>21</v>
      </c>
      <c r="J3264" s="1" t="s">
        <v>18</v>
      </c>
      <c r="K3264" s="1">
        <v>90000.0</v>
      </c>
      <c r="L3264" s="1">
        <v>56.94351315</v>
      </c>
      <c r="M3264" s="1">
        <v>24.0076244266968</v>
      </c>
    </row>
    <row r="3265">
      <c r="A3265" s="1" t="s">
        <v>22</v>
      </c>
      <c r="B3265" s="1" t="s">
        <v>23</v>
      </c>
      <c r="C3265" s="1" t="s">
        <v>2034</v>
      </c>
      <c r="D3265" s="1">
        <v>4.0</v>
      </c>
      <c r="E3265" s="1">
        <v>83.0</v>
      </c>
      <c r="F3265" s="1">
        <v>5.0</v>
      </c>
      <c r="G3265" s="1">
        <v>6.0</v>
      </c>
      <c r="H3265" s="1" t="s">
        <v>25</v>
      </c>
      <c r="I3265" s="1" t="s">
        <v>33</v>
      </c>
      <c r="J3265" s="1" t="s">
        <v>18</v>
      </c>
      <c r="K3265" s="1">
        <v>125000.0</v>
      </c>
      <c r="L3265" s="1">
        <v>56.94718845</v>
      </c>
      <c r="M3265" s="1">
        <v>24.1407031907539</v>
      </c>
    </row>
    <row r="3266">
      <c r="A3266" s="1" t="s">
        <v>22</v>
      </c>
      <c r="B3266" s="1" t="s">
        <v>38</v>
      </c>
      <c r="C3266" s="1" t="s">
        <v>2035</v>
      </c>
      <c r="D3266" s="1">
        <v>3.0</v>
      </c>
      <c r="E3266" s="1">
        <v>64.0</v>
      </c>
      <c r="F3266" s="1">
        <v>1.0</v>
      </c>
      <c r="G3266" s="1">
        <v>9.0</v>
      </c>
      <c r="H3266" s="1">
        <v>602.0</v>
      </c>
      <c r="I3266" s="1" t="s">
        <v>21</v>
      </c>
      <c r="J3266" s="1" t="s">
        <v>18</v>
      </c>
      <c r="K3266" s="1">
        <v>49900.0</v>
      </c>
      <c r="L3266" s="1">
        <v>56.95864045</v>
      </c>
      <c r="M3266" s="1">
        <v>24.004669071001</v>
      </c>
    </row>
    <row r="3267">
      <c r="A3267" s="1" t="s">
        <v>22</v>
      </c>
      <c r="B3267" s="1" t="s">
        <v>129</v>
      </c>
      <c r="C3267" s="1" t="s">
        <v>465</v>
      </c>
      <c r="D3267" s="1">
        <v>1.0</v>
      </c>
      <c r="E3267" s="1">
        <v>21.0</v>
      </c>
      <c r="F3267" s="1">
        <v>2.0</v>
      </c>
      <c r="G3267" s="1">
        <v>2.0</v>
      </c>
      <c r="H3267" s="1" t="s">
        <v>25</v>
      </c>
      <c r="I3267" s="1" t="s">
        <v>37</v>
      </c>
      <c r="J3267" s="1" t="s">
        <v>27</v>
      </c>
      <c r="K3267" s="1">
        <v>6900.0</v>
      </c>
      <c r="L3267" s="1">
        <v>56.976516</v>
      </c>
      <c r="M3267" s="1">
        <v>24.1354853</v>
      </c>
    </row>
    <row r="3268">
      <c r="A3268" s="1" t="s">
        <v>22</v>
      </c>
      <c r="B3268" s="1" t="s">
        <v>30</v>
      </c>
      <c r="C3268" s="1" t="s">
        <v>2036</v>
      </c>
      <c r="D3268" s="1">
        <v>5.0</v>
      </c>
      <c r="E3268" s="1">
        <v>154.0</v>
      </c>
      <c r="F3268" s="1">
        <v>1.0</v>
      </c>
      <c r="G3268" s="1">
        <v>3.0</v>
      </c>
      <c r="H3268" s="1" t="s">
        <v>36</v>
      </c>
      <c r="I3268" s="1" t="s">
        <v>37</v>
      </c>
      <c r="J3268" s="1" t="s">
        <v>18</v>
      </c>
      <c r="K3268" s="1">
        <v>195000.0</v>
      </c>
      <c r="L3268" s="1">
        <v>56.9713263999999</v>
      </c>
      <c r="M3268" s="1">
        <v>24.1922190269637</v>
      </c>
    </row>
    <row r="3269">
      <c r="A3269" s="1" t="s">
        <v>89</v>
      </c>
      <c r="B3269" s="1" t="s">
        <v>38</v>
      </c>
      <c r="C3269" s="2"/>
      <c r="D3269" s="2"/>
      <c r="E3269" s="2"/>
      <c r="F3269" s="2"/>
      <c r="G3269" s="2"/>
      <c r="H3269" s="2"/>
      <c r="I3269" s="2"/>
      <c r="J3269" s="2"/>
      <c r="K3269" s="2"/>
      <c r="L3269" s="1">
        <v>46.3144754</v>
      </c>
      <c r="M3269" s="1">
        <v>11.0480288</v>
      </c>
    </row>
    <row r="3270">
      <c r="A3270" s="1" t="s">
        <v>89</v>
      </c>
      <c r="B3270" s="1" t="s">
        <v>38</v>
      </c>
      <c r="C3270" s="2"/>
      <c r="D3270" s="2"/>
      <c r="E3270" s="1">
        <v>9.0</v>
      </c>
      <c r="F3270" s="1">
        <v>9.0</v>
      </c>
      <c r="G3270" s="1">
        <v>99.0</v>
      </c>
      <c r="H3270" s="2"/>
      <c r="I3270" s="2"/>
      <c r="J3270" s="2"/>
      <c r="K3270" s="2"/>
      <c r="L3270" s="1">
        <v>46.3144754</v>
      </c>
      <c r="M3270" s="1">
        <v>11.0480288</v>
      </c>
    </row>
    <row r="3271">
      <c r="A3271" s="1" t="s">
        <v>22</v>
      </c>
      <c r="B3271" s="1" t="s">
        <v>23</v>
      </c>
      <c r="C3271" s="1" t="s">
        <v>829</v>
      </c>
      <c r="D3271" s="1">
        <v>2.0</v>
      </c>
      <c r="E3271" s="1">
        <v>47.0</v>
      </c>
      <c r="F3271" s="1">
        <v>5.0</v>
      </c>
      <c r="G3271" s="1">
        <v>8.0</v>
      </c>
      <c r="H3271" s="1" t="s">
        <v>66</v>
      </c>
      <c r="I3271" s="1" t="s">
        <v>122</v>
      </c>
      <c r="J3271" s="1" t="s">
        <v>18</v>
      </c>
      <c r="K3271" s="1">
        <v>72000.0</v>
      </c>
      <c r="L3271" s="1">
        <v>56.9762119</v>
      </c>
      <c r="M3271" s="1">
        <v>24.1462619497695</v>
      </c>
    </row>
    <row r="3272">
      <c r="A3272" s="1" t="s">
        <v>22</v>
      </c>
      <c r="B3272" s="1" t="s">
        <v>30</v>
      </c>
      <c r="C3272" s="1" t="s">
        <v>1276</v>
      </c>
      <c r="D3272" s="1">
        <v>2.0</v>
      </c>
      <c r="E3272" s="1">
        <v>71.0</v>
      </c>
      <c r="F3272" s="1">
        <v>4.0</v>
      </c>
      <c r="G3272" s="1">
        <v>10.0</v>
      </c>
      <c r="H3272" s="1" t="s">
        <v>32</v>
      </c>
      <c r="I3272" s="1" t="s">
        <v>33</v>
      </c>
      <c r="J3272" s="1" t="s">
        <v>18</v>
      </c>
      <c r="K3272" s="1">
        <v>135000.0</v>
      </c>
      <c r="L3272" s="1">
        <v>56.97725905</v>
      </c>
      <c r="M3272" s="1">
        <v>24.1667266999254</v>
      </c>
    </row>
    <row r="3273">
      <c r="A3273" s="1" t="s">
        <v>22</v>
      </c>
      <c r="B3273" s="1" t="s">
        <v>23</v>
      </c>
      <c r="C3273" s="1" t="s">
        <v>258</v>
      </c>
      <c r="D3273" s="1">
        <v>3.0</v>
      </c>
      <c r="E3273" s="1">
        <v>78.3</v>
      </c>
      <c r="F3273" s="1">
        <v>4.0</v>
      </c>
      <c r="G3273" s="1">
        <v>6.0</v>
      </c>
      <c r="H3273" s="1" t="s">
        <v>66</v>
      </c>
      <c r="I3273" s="1" t="s">
        <v>33</v>
      </c>
      <c r="J3273" s="1" t="s">
        <v>18</v>
      </c>
      <c r="K3273" s="1">
        <v>159732.0</v>
      </c>
      <c r="L3273" s="1">
        <v>56.958482</v>
      </c>
      <c r="M3273" s="1">
        <v>24.116859</v>
      </c>
    </row>
    <row r="3274">
      <c r="A3274" s="1" t="s">
        <v>22</v>
      </c>
      <c r="B3274" s="1" t="s">
        <v>19</v>
      </c>
      <c r="C3274" s="1" t="s">
        <v>1079</v>
      </c>
      <c r="D3274" s="1">
        <v>2.0</v>
      </c>
      <c r="E3274" s="1">
        <v>75.0</v>
      </c>
      <c r="F3274" s="1">
        <v>5.0</v>
      </c>
      <c r="G3274" s="1">
        <v>6.0</v>
      </c>
      <c r="H3274" s="1" t="s">
        <v>32</v>
      </c>
      <c r="I3274" s="1" t="s">
        <v>37</v>
      </c>
      <c r="J3274" s="1" t="s">
        <v>18</v>
      </c>
      <c r="K3274" s="1">
        <v>88500.0</v>
      </c>
      <c r="L3274" s="1">
        <v>56.90884755</v>
      </c>
      <c r="M3274" s="1">
        <v>24.0794370513523</v>
      </c>
    </row>
    <row r="3275">
      <c r="A3275" s="1" t="s">
        <v>13</v>
      </c>
      <c r="B3275" s="1" t="s">
        <v>23</v>
      </c>
      <c r="C3275" s="1" t="s">
        <v>703</v>
      </c>
      <c r="D3275" s="1">
        <v>2.0</v>
      </c>
      <c r="E3275" s="1">
        <v>51.0</v>
      </c>
      <c r="F3275" s="1">
        <v>3.0</v>
      </c>
      <c r="G3275" s="1">
        <v>6.0</v>
      </c>
      <c r="H3275" s="1" t="s">
        <v>25</v>
      </c>
      <c r="I3275" s="1" t="s">
        <v>33</v>
      </c>
      <c r="J3275" s="1" t="s">
        <v>18</v>
      </c>
      <c r="K3275" s="1">
        <v>320.0</v>
      </c>
      <c r="L3275" s="1">
        <v>56.965966</v>
      </c>
      <c r="M3275" s="1">
        <v>24.1445041</v>
      </c>
    </row>
    <row r="3276">
      <c r="A3276" s="1" t="s">
        <v>22</v>
      </c>
      <c r="B3276" s="1" t="s">
        <v>23</v>
      </c>
      <c r="C3276" s="1" t="s">
        <v>955</v>
      </c>
      <c r="D3276" s="1">
        <v>3.0</v>
      </c>
      <c r="E3276" s="1">
        <v>74.0</v>
      </c>
      <c r="F3276" s="1">
        <v>4.0</v>
      </c>
      <c r="G3276" s="1">
        <v>5.0</v>
      </c>
      <c r="H3276" s="1" t="s">
        <v>25</v>
      </c>
      <c r="I3276" s="1" t="s">
        <v>33</v>
      </c>
      <c r="J3276" s="1" t="s">
        <v>18</v>
      </c>
      <c r="K3276" s="1">
        <v>156000.0</v>
      </c>
      <c r="L3276" s="1">
        <v>56.9589644</v>
      </c>
      <c r="M3276" s="1">
        <v>24.1081412</v>
      </c>
    </row>
    <row r="3277">
      <c r="A3277" s="1" t="s">
        <v>22</v>
      </c>
      <c r="B3277" s="1" t="s">
        <v>30</v>
      </c>
      <c r="C3277" s="1" t="s">
        <v>191</v>
      </c>
      <c r="D3277" s="1">
        <v>3.0</v>
      </c>
      <c r="E3277" s="1">
        <v>76.0</v>
      </c>
      <c r="F3277" s="1">
        <v>5.0</v>
      </c>
      <c r="G3277" s="1">
        <v>9.0</v>
      </c>
      <c r="H3277" s="1" t="s">
        <v>36</v>
      </c>
      <c r="I3277" s="1" t="s">
        <v>17</v>
      </c>
      <c r="J3277" s="1" t="s">
        <v>18</v>
      </c>
      <c r="K3277" s="1">
        <v>93000.0</v>
      </c>
      <c r="L3277" s="1" t="s">
        <v>40</v>
      </c>
      <c r="M3277" s="1" t="s">
        <v>40</v>
      </c>
    </row>
    <row r="3278">
      <c r="A3278" s="1" t="s">
        <v>22</v>
      </c>
      <c r="B3278" s="1" t="s">
        <v>28</v>
      </c>
      <c r="C3278" s="1" t="s">
        <v>779</v>
      </c>
      <c r="D3278" s="1">
        <v>2.0</v>
      </c>
      <c r="E3278" s="1">
        <v>48.0</v>
      </c>
      <c r="F3278" s="1">
        <v>5.0</v>
      </c>
      <c r="G3278" s="1">
        <v>5.0</v>
      </c>
      <c r="H3278" s="1" t="s">
        <v>16</v>
      </c>
      <c r="I3278" s="1" t="s">
        <v>21</v>
      </c>
      <c r="J3278" s="1" t="s">
        <v>18</v>
      </c>
      <c r="K3278" s="1">
        <v>38900.0</v>
      </c>
      <c r="L3278" s="1">
        <v>56.8597884</v>
      </c>
      <c r="M3278" s="1">
        <v>24.3083417</v>
      </c>
    </row>
    <row r="3279">
      <c r="A3279" s="1" t="s">
        <v>22</v>
      </c>
      <c r="B3279" s="1" t="s">
        <v>23</v>
      </c>
      <c r="C3279" s="1" t="s">
        <v>1674</v>
      </c>
      <c r="D3279" s="1">
        <v>3.0</v>
      </c>
      <c r="E3279" s="1">
        <v>89.0</v>
      </c>
      <c r="F3279" s="1">
        <v>6.0</v>
      </c>
      <c r="G3279" s="1">
        <v>7.0</v>
      </c>
      <c r="H3279" s="1" t="s">
        <v>66</v>
      </c>
      <c r="I3279" s="1" t="s">
        <v>33</v>
      </c>
      <c r="J3279" s="1" t="s">
        <v>18</v>
      </c>
      <c r="K3279" s="1">
        <v>163910.0</v>
      </c>
      <c r="L3279" s="1">
        <v>56.9518761</v>
      </c>
      <c r="M3279" s="1">
        <v>24.1257094</v>
      </c>
    </row>
    <row r="3280">
      <c r="A3280" s="1" t="s">
        <v>22</v>
      </c>
      <c r="B3280" s="1" t="s">
        <v>50</v>
      </c>
      <c r="C3280" s="1" t="s">
        <v>497</v>
      </c>
      <c r="D3280" s="1">
        <v>2.0</v>
      </c>
      <c r="E3280" s="1">
        <v>64.0</v>
      </c>
      <c r="F3280" s="1">
        <v>3.0</v>
      </c>
      <c r="G3280" s="1">
        <v>5.0</v>
      </c>
      <c r="H3280" s="1" t="s">
        <v>181</v>
      </c>
      <c r="I3280" s="1" t="s">
        <v>33</v>
      </c>
      <c r="J3280" s="1" t="s">
        <v>18</v>
      </c>
      <c r="K3280" s="1">
        <v>77000.0</v>
      </c>
      <c r="L3280" s="1">
        <v>56.9360312</v>
      </c>
      <c r="M3280" s="1">
        <v>24.1617323</v>
      </c>
    </row>
    <row r="3281">
      <c r="A3281" s="1" t="s">
        <v>22</v>
      </c>
      <c r="B3281" s="1" t="s">
        <v>151</v>
      </c>
      <c r="C3281" s="1" t="s">
        <v>589</v>
      </c>
      <c r="D3281" s="1">
        <v>3.0</v>
      </c>
      <c r="E3281" s="1">
        <v>66.0</v>
      </c>
      <c r="F3281" s="1">
        <v>1.0</v>
      </c>
      <c r="G3281" s="1">
        <v>5.0</v>
      </c>
      <c r="H3281" s="1" t="s">
        <v>16</v>
      </c>
      <c r="I3281" s="1" t="s">
        <v>21</v>
      </c>
      <c r="J3281" s="1" t="s">
        <v>18</v>
      </c>
      <c r="K3281" s="1">
        <v>50000.0</v>
      </c>
      <c r="L3281" s="1">
        <v>56.9694761</v>
      </c>
      <c r="M3281" s="1">
        <v>24.0541638042451</v>
      </c>
    </row>
    <row r="3282">
      <c r="A3282" s="1" t="s">
        <v>22</v>
      </c>
      <c r="B3282" s="1" t="s">
        <v>23</v>
      </c>
      <c r="C3282" s="1" t="s">
        <v>1259</v>
      </c>
      <c r="D3282" s="1">
        <v>3.0</v>
      </c>
      <c r="E3282" s="1">
        <v>79.0</v>
      </c>
      <c r="F3282" s="1">
        <v>5.0</v>
      </c>
      <c r="G3282" s="1">
        <v>6.0</v>
      </c>
      <c r="H3282" s="1" t="s">
        <v>25</v>
      </c>
      <c r="I3282" s="1" t="s">
        <v>37</v>
      </c>
      <c r="J3282" s="1" t="s">
        <v>18</v>
      </c>
      <c r="K3282" s="1">
        <v>143000.0</v>
      </c>
      <c r="L3282" s="1">
        <v>56.95567115</v>
      </c>
      <c r="M3282" s="1">
        <v>24.1314109608833</v>
      </c>
    </row>
    <row r="3283">
      <c r="A3283" s="1" t="s">
        <v>13</v>
      </c>
      <c r="B3283" s="1" t="s">
        <v>42</v>
      </c>
      <c r="C3283" s="1" t="s">
        <v>2037</v>
      </c>
      <c r="D3283" s="1">
        <v>2.0</v>
      </c>
      <c r="E3283" s="1">
        <v>37.0</v>
      </c>
      <c r="F3283" s="1">
        <v>4.0</v>
      </c>
      <c r="G3283" s="1">
        <v>4.0</v>
      </c>
      <c r="H3283" s="1" t="s">
        <v>66</v>
      </c>
      <c r="I3283" s="1" t="s">
        <v>21</v>
      </c>
      <c r="J3283" s="1" t="s">
        <v>18</v>
      </c>
      <c r="K3283" s="1">
        <v>30.0</v>
      </c>
      <c r="L3283" s="1">
        <v>56.98048335</v>
      </c>
      <c r="M3283" s="1">
        <v>24.2453219495258</v>
      </c>
    </row>
    <row r="3284">
      <c r="A3284" s="1" t="s">
        <v>22</v>
      </c>
      <c r="B3284" s="1" t="s">
        <v>99</v>
      </c>
      <c r="C3284" s="1" t="s">
        <v>2038</v>
      </c>
      <c r="D3284" s="1">
        <v>3.0</v>
      </c>
      <c r="E3284" s="1">
        <v>115.0</v>
      </c>
      <c r="F3284" s="1">
        <v>6.0</v>
      </c>
      <c r="G3284" s="1">
        <v>6.0</v>
      </c>
      <c r="H3284" s="1" t="s">
        <v>32</v>
      </c>
      <c r="I3284" s="1" t="s">
        <v>33</v>
      </c>
      <c r="J3284" s="1" t="s">
        <v>18</v>
      </c>
      <c r="K3284" s="1">
        <v>172500.0</v>
      </c>
      <c r="L3284" s="1">
        <v>56.9483074</v>
      </c>
      <c r="M3284" s="1">
        <v>24.0801468</v>
      </c>
    </row>
    <row r="3285">
      <c r="A3285" s="1" t="s">
        <v>13</v>
      </c>
      <c r="B3285" s="1" t="s">
        <v>19</v>
      </c>
      <c r="C3285" s="1" t="s">
        <v>957</v>
      </c>
      <c r="D3285" s="1">
        <v>1.0</v>
      </c>
      <c r="E3285" s="1">
        <v>44.0</v>
      </c>
      <c r="F3285" s="1">
        <v>6.0</v>
      </c>
      <c r="G3285" s="1">
        <v>10.0</v>
      </c>
      <c r="H3285" s="1">
        <v>119.0</v>
      </c>
      <c r="I3285" s="1" t="s">
        <v>21</v>
      </c>
      <c r="J3285" s="1" t="s">
        <v>18</v>
      </c>
      <c r="K3285" s="1">
        <v>230.0</v>
      </c>
      <c r="L3285" s="1">
        <v>56.90158855</v>
      </c>
      <c r="M3285" s="1">
        <v>24.0846961606636</v>
      </c>
    </row>
    <row r="3286">
      <c r="A3286" s="1" t="s">
        <v>22</v>
      </c>
      <c r="B3286" s="1" t="s">
        <v>30</v>
      </c>
      <c r="C3286" s="1" t="s">
        <v>2039</v>
      </c>
      <c r="D3286" s="1">
        <v>2.0</v>
      </c>
      <c r="E3286" s="1">
        <v>43.0</v>
      </c>
      <c r="F3286" s="1">
        <v>3.0</v>
      </c>
      <c r="G3286" s="1">
        <v>3.0</v>
      </c>
      <c r="H3286" s="1" t="s">
        <v>181</v>
      </c>
      <c r="I3286" s="1" t="s">
        <v>37</v>
      </c>
      <c r="J3286" s="1" t="s">
        <v>18</v>
      </c>
      <c r="K3286" s="1">
        <v>53000.0</v>
      </c>
      <c r="L3286" s="1">
        <v>56.9803373999999</v>
      </c>
      <c r="M3286" s="1">
        <v>24.1930558280892</v>
      </c>
    </row>
    <row r="3287">
      <c r="A3287" s="1" t="s">
        <v>13</v>
      </c>
      <c r="B3287" s="1" t="s">
        <v>23</v>
      </c>
      <c r="C3287" s="1" t="s">
        <v>1181</v>
      </c>
      <c r="D3287" s="1">
        <v>1.0</v>
      </c>
      <c r="E3287" s="1">
        <v>12.0</v>
      </c>
      <c r="F3287" s="1">
        <v>3.0</v>
      </c>
      <c r="G3287" s="1">
        <v>5.0</v>
      </c>
      <c r="H3287" s="1" t="s">
        <v>25</v>
      </c>
      <c r="I3287" s="1" t="s">
        <v>33</v>
      </c>
      <c r="J3287" s="1" t="s">
        <v>18</v>
      </c>
      <c r="K3287" s="1">
        <v>210.0</v>
      </c>
      <c r="L3287" s="1">
        <v>56.9519155</v>
      </c>
      <c r="M3287" s="1">
        <v>24.1404527160079</v>
      </c>
    </row>
    <row r="3288">
      <c r="A3288" s="1" t="s">
        <v>22</v>
      </c>
      <c r="B3288" s="1" t="s">
        <v>50</v>
      </c>
      <c r="C3288" s="1" t="s">
        <v>2040</v>
      </c>
      <c r="D3288" s="1">
        <v>2.0</v>
      </c>
      <c r="E3288" s="1">
        <v>58.0</v>
      </c>
      <c r="F3288" s="1">
        <v>3.0</v>
      </c>
      <c r="G3288" s="1">
        <v>4.0</v>
      </c>
      <c r="H3288" s="1" t="s">
        <v>32</v>
      </c>
      <c r="I3288" s="1" t="s">
        <v>17</v>
      </c>
      <c r="J3288" s="1" t="s">
        <v>18</v>
      </c>
      <c r="K3288" s="1">
        <v>79500.0</v>
      </c>
      <c r="L3288" s="1">
        <v>56.93994095</v>
      </c>
      <c r="M3288" s="1">
        <v>24.1419740459493</v>
      </c>
    </row>
    <row r="3289">
      <c r="A3289" s="1" t="s">
        <v>13</v>
      </c>
      <c r="B3289" s="1" t="s">
        <v>23</v>
      </c>
      <c r="C3289" s="1" t="s">
        <v>1593</v>
      </c>
      <c r="D3289" s="1">
        <v>3.0</v>
      </c>
      <c r="E3289" s="1">
        <v>75.0</v>
      </c>
      <c r="F3289" s="1">
        <v>4.0</v>
      </c>
      <c r="G3289" s="1">
        <v>6.0</v>
      </c>
      <c r="H3289" s="1" t="s">
        <v>66</v>
      </c>
      <c r="I3289" s="1" t="s">
        <v>33</v>
      </c>
      <c r="J3289" s="1" t="s">
        <v>18</v>
      </c>
      <c r="K3289" s="1">
        <v>600.0</v>
      </c>
      <c r="L3289" s="1" t="s">
        <v>40</v>
      </c>
      <c r="M3289" s="1" t="s">
        <v>40</v>
      </c>
    </row>
    <row r="3290">
      <c r="A3290" s="1" t="s">
        <v>22</v>
      </c>
      <c r="B3290" s="1" t="s">
        <v>14</v>
      </c>
      <c r="C3290" s="1" t="s">
        <v>2041</v>
      </c>
      <c r="D3290" s="1">
        <v>2.0</v>
      </c>
      <c r="E3290" s="1">
        <v>53.0</v>
      </c>
      <c r="F3290" s="1">
        <v>1.0</v>
      </c>
      <c r="G3290" s="1">
        <v>2.0</v>
      </c>
      <c r="H3290" s="1" t="s">
        <v>25</v>
      </c>
      <c r="I3290" s="1" t="s">
        <v>33</v>
      </c>
      <c r="J3290" s="1" t="s">
        <v>18</v>
      </c>
      <c r="K3290" s="1">
        <v>47500.0</v>
      </c>
      <c r="L3290" s="1">
        <v>56.950576</v>
      </c>
      <c r="M3290" s="1">
        <v>24.1723616</v>
      </c>
    </row>
    <row r="3291">
      <c r="A3291" s="1" t="s">
        <v>22</v>
      </c>
      <c r="B3291" s="1" t="s">
        <v>48</v>
      </c>
      <c r="C3291" s="1" t="s">
        <v>1824</v>
      </c>
      <c r="D3291" s="1">
        <v>2.0</v>
      </c>
      <c r="E3291" s="1">
        <v>51.0</v>
      </c>
      <c r="F3291" s="1">
        <v>1.0</v>
      </c>
      <c r="G3291" s="1">
        <v>5.0</v>
      </c>
      <c r="H3291" s="1" t="s">
        <v>32</v>
      </c>
      <c r="I3291" s="1" t="s">
        <v>17</v>
      </c>
      <c r="J3291" s="1" t="s">
        <v>18</v>
      </c>
      <c r="K3291" s="1">
        <v>64170.0</v>
      </c>
      <c r="L3291" s="1">
        <v>56.9541725</v>
      </c>
      <c r="M3291" s="1">
        <v>24.2443253</v>
      </c>
    </row>
    <row r="3292">
      <c r="A3292" s="1" t="s">
        <v>22</v>
      </c>
      <c r="B3292" s="1" t="s">
        <v>23</v>
      </c>
      <c r="C3292" s="1" t="s">
        <v>2042</v>
      </c>
      <c r="D3292" s="1">
        <v>6.0</v>
      </c>
      <c r="E3292" s="1">
        <v>224.0</v>
      </c>
      <c r="F3292" s="1">
        <v>6.0</v>
      </c>
      <c r="G3292" s="1">
        <v>7.0</v>
      </c>
      <c r="H3292" s="1" t="s">
        <v>32</v>
      </c>
      <c r="I3292" s="1" t="s">
        <v>17</v>
      </c>
      <c r="J3292" s="1" t="s">
        <v>18</v>
      </c>
      <c r="K3292" s="1">
        <v>460000.0</v>
      </c>
      <c r="L3292" s="1">
        <v>56.9596689</v>
      </c>
      <c r="M3292" s="1">
        <v>24.1163722795669</v>
      </c>
    </row>
    <row r="3293">
      <c r="A3293" s="1" t="s">
        <v>22</v>
      </c>
      <c r="B3293" s="1" t="s">
        <v>60</v>
      </c>
      <c r="C3293" s="1" t="s">
        <v>2043</v>
      </c>
      <c r="D3293" s="1">
        <v>2.0</v>
      </c>
      <c r="E3293" s="1">
        <v>50.0</v>
      </c>
      <c r="F3293" s="1">
        <v>2.0</v>
      </c>
      <c r="G3293" s="1">
        <v>2.0</v>
      </c>
      <c r="H3293" s="1" t="s">
        <v>181</v>
      </c>
      <c r="I3293" s="1" t="s">
        <v>37</v>
      </c>
      <c r="J3293" s="1" t="s">
        <v>18</v>
      </c>
      <c r="K3293" s="1">
        <v>49900.0</v>
      </c>
      <c r="L3293" s="1">
        <v>46.770384</v>
      </c>
      <c r="M3293" s="1">
        <v>11.6396833</v>
      </c>
    </row>
    <row r="3294">
      <c r="A3294" s="1" t="s">
        <v>22</v>
      </c>
      <c r="B3294" s="1" t="s">
        <v>129</v>
      </c>
      <c r="C3294" s="1" t="s">
        <v>461</v>
      </c>
      <c r="D3294" s="1">
        <v>3.0</v>
      </c>
      <c r="E3294" s="1">
        <v>64.0</v>
      </c>
      <c r="F3294" s="1">
        <v>6.0</v>
      </c>
      <c r="G3294" s="1">
        <v>8.0</v>
      </c>
      <c r="H3294" s="1" t="s">
        <v>66</v>
      </c>
      <c r="I3294" s="1" t="s">
        <v>17</v>
      </c>
      <c r="J3294" s="1" t="s">
        <v>18</v>
      </c>
      <c r="K3294" s="1">
        <v>77000.0</v>
      </c>
      <c r="L3294" s="1">
        <v>57.0002634</v>
      </c>
      <c r="M3294" s="1">
        <v>24.121861</v>
      </c>
    </row>
    <row r="3295">
      <c r="A3295" s="1" t="s">
        <v>22</v>
      </c>
      <c r="B3295" s="1" t="s">
        <v>23</v>
      </c>
      <c r="C3295" s="1" t="s">
        <v>464</v>
      </c>
      <c r="D3295" s="1">
        <v>4.0</v>
      </c>
      <c r="E3295" s="1">
        <v>96.0</v>
      </c>
      <c r="F3295" s="1">
        <v>1.0</v>
      </c>
      <c r="G3295" s="1">
        <v>2.0</v>
      </c>
      <c r="H3295" s="1" t="s">
        <v>36</v>
      </c>
      <c r="I3295" s="1" t="s">
        <v>26</v>
      </c>
      <c r="J3295" s="1" t="s">
        <v>18</v>
      </c>
      <c r="K3295" s="1">
        <v>28890.0</v>
      </c>
      <c r="L3295" s="1">
        <v>56.8597884</v>
      </c>
      <c r="M3295" s="1">
        <v>24.3083417</v>
      </c>
    </row>
    <row r="3296">
      <c r="A3296" s="1" t="s">
        <v>22</v>
      </c>
      <c r="B3296" s="1" t="s">
        <v>104</v>
      </c>
      <c r="C3296" s="1" t="s">
        <v>1245</v>
      </c>
      <c r="D3296" s="1">
        <v>2.0</v>
      </c>
      <c r="E3296" s="1">
        <v>58.0</v>
      </c>
      <c r="F3296" s="1">
        <v>2.0</v>
      </c>
      <c r="G3296" s="1">
        <v>5.0</v>
      </c>
      <c r="H3296" s="1" t="s">
        <v>25</v>
      </c>
      <c r="I3296" s="1" t="s">
        <v>33</v>
      </c>
      <c r="J3296" s="1" t="s">
        <v>18</v>
      </c>
      <c r="K3296" s="1">
        <v>75000.0</v>
      </c>
      <c r="L3296" s="1">
        <v>56.9492021</v>
      </c>
      <c r="M3296" s="1">
        <v>23.9587415</v>
      </c>
    </row>
    <row r="3297">
      <c r="A3297" s="1" t="s">
        <v>13</v>
      </c>
      <c r="B3297" s="1" t="s">
        <v>23</v>
      </c>
      <c r="C3297" s="1" t="s">
        <v>2044</v>
      </c>
      <c r="D3297" s="1">
        <v>1.0</v>
      </c>
      <c r="E3297" s="1">
        <v>22.0</v>
      </c>
      <c r="F3297" s="1">
        <v>2.0</v>
      </c>
      <c r="G3297" s="1">
        <v>2.0</v>
      </c>
      <c r="H3297" s="1" t="s">
        <v>25</v>
      </c>
      <c r="I3297" s="1" t="s">
        <v>26</v>
      </c>
      <c r="J3297" s="1" t="s">
        <v>18</v>
      </c>
      <c r="K3297" s="1">
        <v>25.0</v>
      </c>
      <c r="L3297" s="1">
        <v>56.95777395</v>
      </c>
      <c r="M3297" s="1">
        <v>24.1481044414316</v>
      </c>
    </row>
    <row r="3298">
      <c r="A3298" s="1" t="s">
        <v>13</v>
      </c>
      <c r="B3298" s="1" t="s">
        <v>23</v>
      </c>
      <c r="C3298" s="1" t="s">
        <v>2045</v>
      </c>
      <c r="D3298" s="1">
        <v>2.0</v>
      </c>
      <c r="E3298" s="1">
        <v>42.0</v>
      </c>
      <c r="F3298" s="1">
        <v>4.0</v>
      </c>
      <c r="G3298" s="1">
        <v>6.0</v>
      </c>
      <c r="H3298" s="1" t="s">
        <v>25</v>
      </c>
      <c r="I3298" s="1" t="s">
        <v>37</v>
      </c>
      <c r="J3298" s="1" t="s">
        <v>18</v>
      </c>
      <c r="K3298" s="1">
        <v>460.0</v>
      </c>
      <c r="L3298" s="1">
        <v>56.9541845</v>
      </c>
      <c r="M3298" s="1">
        <v>24.1348134</v>
      </c>
    </row>
    <row r="3299">
      <c r="A3299" s="1" t="s">
        <v>22</v>
      </c>
      <c r="B3299" s="1" t="s">
        <v>23</v>
      </c>
      <c r="C3299" s="1" t="s">
        <v>1351</v>
      </c>
      <c r="D3299" s="1">
        <v>2.0</v>
      </c>
      <c r="E3299" s="1">
        <v>40.83</v>
      </c>
      <c r="F3299" s="1">
        <v>2.0</v>
      </c>
      <c r="G3299" s="1">
        <v>7.0</v>
      </c>
      <c r="H3299" s="1" t="s">
        <v>32</v>
      </c>
      <c r="I3299" s="1" t="s">
        <v>21</v>
      </c>
      <c r="J3299" s="1" t="s">
        <v>18</v>
      </c>
      <c r="K3299" s="1">
        <v>95950.0</v>
      </c>
      <c r="L3299" s="1">
        <v>56.9484721</v>
      </c>
      <c r="M3299" s="1">
        <v>24.1446057</v>
      </c>
    </row>
    <row r="3300">
      <c r="A3300" s="1" t="s">
        <v>13</v>
      </c>
      <c r="B3300" s="1" t="s">
        <v>23</v>
      </c>
      <c r="C3300" s="1" t="s">
        <v>2046</v>
      </c>
      <c r="D3300" s="1">
        <v>1.0</v>
      </c>
      <c r="E3300" s="1">
        <v>32.0</v>
      </c>
      <c r="F3300" s="1">
        <v>4.0</v>
      </c>
      <c r="G3300" s="1">
        <v>6.0</v>
      </c>
      <c r="H3300" s="1" t="s">
        <v>25</v>
      </c>
      <c r="I3300" s="1" t="s">
        <v>33</v>
      </c>
      <c r="J3300" s="1" t="s">
        <v>18</v>
      </c>
      <c r="K3300" s="1">
        <v>365.0</v>
      </c>
      <c r="L3300" s="1">
        <v>56.9665763</v>
      </c>
      <c r="M3300" s="1">
        <v>24.1337504</v>
      </c>
    </row>
    <row r="3301">
      <c r="A3301" s="1" t="s">
        <v>13</v>
      </c>
      <c r="B3301" s="1" t="s">
        <v>23</v>
      </c>
      <c r="C3301" s="1" t="s">
        <v>2047</v>
      </c>
      <c r="D3301" s="1">
        <v>3.0</v>
      </c>
      <c r="E3301" s="1">
        <v>96.0</v>
      </c>
      <c r="F3301" s="1">
        <v>2.0</v>
      </c>
      <c r="G3301" s="1">
        <v>5.0</v>
      </c>
      <c r="H3301" s="1" t="s">
        <v>66</v>
      </c>
      <c r="I3301" s="1" t="s">
        <v>17</v>
      </c>
      <c r="J3301" s="1" t="s">
        <v>18</v>
      </c>
      <c r="K3301" s="1">
        <v>400.0</v>
      </c>
      <c r="L3301" s="1">
        <v>56.9559351</v>
      </c>
      <c r="M3301" s="1">
        <v>24.1353956</v>
      </c>
    </row>
    <row r="3302">
      <c r="A3302" s="1" t="s">
        <v>22</v>
      </c>
      <c r="B3302" s="1" t="s">
        <v>28</v>
      </c>
      <c r="C3302" s="1" t="s">
        <v>2048</v>
      </c>
      <c r="D3302" s="1">
        <v>2.0</v>
      </c>
      <c r="E3302" s="1">
        <v>46.0</v>
      </c>
      <c r="F3302" s="1">
        <v>2.0</v>
      </c>
      <c r="G3302" s="1">
        <v>4.0</v>
      </c>
      <c r="H3302" s="1" t="s">
        <v>44</v>
      </c>
      <c r="I3302" s="1" t="s">
        <v>21</v>
      </c>
      <c r="J3302" s="1" t="s">
        <v>18</v>
      </c>
      <c r="K3302" s="1">
        <v>33000.0</v>
      </c>
      <c r="L3302" s="1">
        <v>56.9150027</v>
      </c>
      <c r="M3302" s="1">
        <v>24.1755593</v>
      </c>
    </row>
    <row r="3303">
      <c r="A3303" s="1" t="s">
        <v>13</v>
      </c>
      <c r="B3303" s="1" t="s">
        <v>23</v>
      </c>
      <c r="C3303" s="1" t="s">
        <v>1395</v>
      </c>
      <c r="D3303" s="1">
        <v>1.0</v>
      </c>
      <c r="E3303" s="1">
        <v>30.0</v>
      </c>
      <c r="F3303" s="1">
        <v>3.0</v>
      </c>
      <c r="G3303" s="1">
        <v>3.0</v>
      </c>
      <c r="H3303" s="1" t="s">
        <v>36</v>
      </c>
      <c r="I3303" s="1" t="s">
        <v>37</v>
      </c>
      <c r="J3303" s="1" t="s">
        <v>18</v>
      </c>
      <c r="K3303" s="1">
        <v>380.0</v>
      </c>
      <c r="L3303" s="1">
        <v>56.9764382</v>
      </c>
      <c r="M3303" s="1">
        <v>24.1391902</v>
      </c>
    </row>
    <row r="3304">
      <c r="A3304" s="1" t="s">
        <v>13</v>
      </c>
      <c r="B3304" s="1" t="s">
        <v>19</v>
      </c>
      <c r="C3304" s="1" t="s">
        <v>2049</v>
      </c>
      <c r="D3304" s="1">
        <v>3.0</v>
      </c>
      <c r="E3304" s="1">
        <v>75.0</v>
      </c>
      <c r="F3304" s="1">
        <v>6.0</v>
      </c>
      <c r="G3304" s="1">
        <v>9.0</v>
      </c>
      <c r="H3304" s="1">
        <v>119.0</v>
      </c>
      <c r="I3304" s="1" t="s">
        <v>21</v>
      </c>
      <c r="J3304" s="1" t="s">
        <v>18</v>
      </c>
      <c r="K3304" s="1">
        <v>400.0</v>
      </c>
      <c r="L3304" s="1">
        <v>56.89894185</v>
      </c>
      <c r="M3304" s="1">
        <v>24.0913864994306</v>
      </c>
    </row>
    <row r="3305">
      <c r="A3305" s="1" t="s">
        <v>22</v>
      </c>
      <c r="B3305" s="1" t="s">
        <v>23</v>
      </c>
      <c r="C3305" s="1" t="s">
        <v>790</v>
      </c>
      <c r="D3305" s="1">
        <v>2.0</v>
      </c>
      <c r="E3305" s="1">
        <v>64.5</v>
      </c>
      <c r="F3305" s="1">
        <v>2.0</v>
      </c>
      <c r="G3305" s="1">
        <v>5.0</v>
      </c>
      <c r="H3305" s="1" t="s">
        <v>25</v>
      </c>
      <c r="I3305" s="1" t="s">
        <v>33</v>
      </c>
      <c r="J3305" s="1" t="s">
        <v>18</v>
      </c>
      <c r="K3305" s="1">
        <v>124163.0</v>
      </c>
      <c r="L3305" s="1">
        <v>56.952698</v>
      </c>
      <c r="M3305" s="1">
        <v>24.1299733</v>
      </c>
    </row>
    <row r="3306">
      <c r="A3306" s="1" t="s">
        <v>22</v>
      </c>
      <c r="B3306" s="1" t="s">
        <v>14</v>
      </c>
      <c r="C3306" s="1" t="s">
        <v>2050</v>
      </c>
      <c r="D3306" s="1">
        <v>2.0</v>
      </c>
      <c r="E3306" s="1">
        <v>80.0</v>
      </c>
      <c r="F3306" s="1">
        <v>5.0</v>
      </c>
      <c r="G3306" s="1">
        <v>7.0</v>
      </c>
      <c r="H3306" s="1" t="s">
        <v>32</v>
      </c>
      <c r="I3306" s="1" t="s">
        <v>33</v>
      </c>
      <c r="J3306" s="1" t="s">
        <v>18</v>
      </c>
      <c r="K3306" s="1">
        <v>128500.0</v>
      </c>
      <c r="L3306" s="1">
        <v>56.9533905499999</v>
      </c>
      <c r="M3306" s="1">
        <v>24.191105315029</v>
      </c>
    </row>
    <row r="3307">
      <c r="A3307" s="1" t="s">
        <v>22</v>
      </c>
      <c r="B3307" s="1" t="s">
        <v>19</v>
      </c>
      <c r="C3307" s="1" t="s">
        <v>2049</v>
      </c>
      <c r="D3307" s="1">
        <v>3.0</v>
      </c>
      <c r="E3307" s="1">
        <v>75.0</v>
      </c>
      <c r="F3307" s="1">
        <v>6.0</v>
      </c>
      <c r="G3307" s="1">
        <v>9.0</v>
      </c>
      <c r="H3307" s="1">
        <v>119.0</v>
      </c>
      <c r="I3307" s="1" t="s">
        <v>21</v>
      </c>
      <c r="J3307" s="1" t="s">
        <v>18</v>
      </c>
      <c r="K3307" s="1">
        <v>78900.0</v>
      </c>
      <c r="L3307" s="1">
        <v>56.89894185</v>
      </c>
      <c r="M3307" s="1">
        <v>24.0913864994306</v>
      </c>
    </row>
    <row r="3308">
      <c r="A3308" s="1" t="s">
        <v>22</v>
      </c>
      <c r="B3308" s="1" t="s">
        <v>14</v>
      </c>
      <c r="C3308" s="1" t="s">
        <v>1356</v>
      </c>
      <c r="D3308" s="1">
        <v>2.0</v>
      </c>
      <c r="E3308" s="1">
        <v>47.0</v>
      </c>
      <c r="F3308" s="1">
        <v>1.0</v>
      </c>
      <c r="G3308" s="1">
        <v>2.0</v>
      </c>
      <c r="H3308" s="1" t="s">
        <v>181</v>
      </c>
      <c r="I3308" s="1" t="s">
        <v>33</v>
      </c>
      <c r="J3308" s="1" t="s">
        <v>18</v>
      </c>
      <c r="K3308" s="1">
        <v>48000.0</v>
      </c>
      <c r="L3308" s="1">
        <v>56.95578965</v>
      </c>
      <c r="M3308" s="1">
        <v>24.1841924</v>
      </c>
    </row>
    <row r="3309">
      <c r="A3309" s="1" t="s">
        <v>13</v>
      </c>
      <c r="B3309" s="1" t="s">
        <v>23</v>
      </c>
      <c r="C3309" s="1" t="s">
        <v>2051</v>
      </c>
      <c r="D3309" s="1">
        <v>2.0</v>
      </c>
      <c r="E3309" s="1">
        <v>43.0</v>
      </c>
      <c r="F3309" s="1">
        <v>3.0</v>
      </c>
      <c r="G3309" s="1">
        <v>5.0</v>
      </c>
      <c r="H3309" s="1" t="s">
        <v>25</v>
      </c>
      <c r="I3309" s="1" t="s">
        <v>33</v>
      </c>
      <c r="J3309" s="1" t="s">
        <v>18</v>
      </c>
      <c r="K3309" s="1">
        <v>37.0</v>
      </c>
      <c r="L3309" s="1">
        <v>56.9490942</v>
      </c>
      <c r="M3309" s="1">
        <v>24.1194941</v>
      </c>
    </row>
    <row r="3310">
      <c r="A3310" s="1" t="s">
        <v>22</v>
      </c>
      <c r="B3310" s="1" t="s">
        <v>23</v>
      </c>
      <c r="C3310" s="1" t="s">
        <v>1561</v>
      </c>
      <c r="D3310" s="1">
        <v>3.0</v>
      </c>
      <c r="E3310" s="1">
        <v>78.0</v>
      </c>
      <c r="F3310" s="1">
        <v>1.0</v>
      </c>
      <c r="G3310" s="1">
        <v>6.0</v>
      </c>
      <c r="H3310" s="1" t="s">
        <v>36</v>
      </c>
      <c r="I3310" s="1" t="s">
        <v>122</v>
      </c>
      <c r="J3310" s="1" t="s">
        <v>18</v>
      </c>
      <c r="K3310" s="1">
        <v>93500.0</v>
      </c>
      <c r="L3310" s="1">
        <v>56.9716816</v>
      </c>
      <c r="M3310" s="1">
        <v>24.1021951</v>
      </c>
    </row>
    <row r="3311">
      <c r="A3311" s="1" t="s">
        <v>22</v>
      </c>
      <c r="B3311" s="1" t="s">
        <v>14</v>
      </c>
      <c r="C3311" s="1" t="s">
        <v>901</v>
      </c>
      <c r="D3311" s="1">
        <v>3.0</v>
      </c>
      <c r="E3311" s="1">
        <v>80.0</v>
      </c>
      <c r="F3311" s="1">
        <v>14.0</v>
      </c>
      <c r="G3311" s="1">
        <v>16.0</v>
      </c>
      <c r="H3311" s="1" t="s">
        <v>36</v>
      </c>
      <c r="I3311" s="1" t="s">
        <v>17</v>
      </c>
      <c r="J3311" s="1" t="s">
        <v>18</v>
      </c>
      <c r="K3311" s="1">
        <v>110000.0</v>
      </c>
      <c r="L3311" s="1">
        <v>56.95650225</v>
      </c>
      <c r="M3311" s="1">
        <v>24.1867783069729</v>
      </c>
    </row>
    <row r="3312">
      <c r="A3312" s="1" t="s">
        <v>22</v>
      </c>
      <c r="B3312" s="1" t="s">
        <v>42</v>
      </c>
      <c r="C3312" s="1" t="s">
        <v>459</v>
      </c>
      <c r="D3312" s="1">
        <v>2.0</v>
      </c>
      <c r="E3312" s="1">
        <v>102.0</v>
      </c>
      <c r="F3312" s="1">
        <v>2.0</v>
      </c>
      <c r="G3312" s="1">
        <v>9.0</v>
      </c>
      <c r="H3312" s="1" t="s">
        <v>32</v>
      </c>
      <c r="I3312" s="1" t="s">
        <v>17</v>
      </c>
      <c r="J3312" s="1" t="s">
        <v>18</v>
      </c>
      <c r="K3312" s="1">
        <v>125000.0</v>
      </c>
      <c r="L3312" s="1">
        <v>56.9879952999999</v>
      </c>
      <c r="M3312" s="1">
        <v>24.2461035663916</v>
      </c>
    </row>
    <row r="3313">
      <c r="A3313" s="1" t="s">
        <v>22</v>
      </c>
      <c r="B3313" s="1" t="s">
        <v>99</v>
      </c>
      <c r="C3313" s="1" t="s">
        <v>1419</v>
      </c>
      <c r="D3313" s="1">
        <v>2.0</v>
      </c>
      <c r="E3313" s="1">
        <v>49.0</v>
      </c>
      <c r="F3313" s="1">
        <v>1.0</v>
      </c>
      <c r="G3313" s="1">
        <v>5.0</v>
      </c>
      <c r="H3313" s="1" t="s">
        <v>25</v>
      </c>
      <c r="I3313" s="1" t="s">
        <v>33</v>
      </c>
      <c r="J3313" s="1" t="s">
        <v>18</v>
      </c>
      <c r="K3313" s="1">
        <v>59000.0</v>
      </c>
      <c r="L3313" s="1">
        <v>56.9422907</v>
      </c>
      <c r="M3313" s="1">
        <v>24.0941256210549</v>
      </c>
    </row>
    <row r="3314">
      <c r="A3314" s="1" t="s">
        <v>131</v>
      </c>
      <c r="B3314" s="1" t="s">
        <v>174</v>
      </c>
      <c r="C3314" s="2"/>
      <c r="D3314" s="1" t="s">
        <v>90</v>
      </c>
      <c r="E3314" s="2"/>
      <c r="F3314" s="2"/>
      <c r="G3314" s="2"/>
      <c r="H3314" s="2"/>
      <c r="I3314" s="2"/>
      <c r="J3314" s="2"/>
      <c r="K3314" s="2"/>
      <c r="L3314" s="1">
        <v>46.3144754</v>
      </c>
      <c r="M3314" s="1">
        <v>11.0480288</v>
      </c>
    </row>
    <row r="3315">
      <c r="A3315" s="1" t="s">
        <v>131</v>
      </c>
      <c r="B3315" s="1" t="s">
        <v>14</v>
      </c>
      <c r="C3315" s="2"/>
      <c r="D3315" s="1" t="s">
        <v>90</v>
      </c>
      <c r="E3315" s="2"/>
      <c r="F3315" s="2"/>
      <c r="G3315" s="2"/>
      <c r="H3315" s="2"/>
      <c r="I3315" s="2"/>
      <c r="J3315" s="2"/>
      <c r="K3315" s="2"/>
      <c r="L3315" s="1">
        <v>46.3144754</v>
      </c>
      <c r="M3315" s="1">
        <v>11.0480288</v>
      </c>
    </row>
    <row r="3316">
      <c r="A3316" s="1" t="s">
        <v>131</v>
      </c>
      <c r="B3316" s="1" t="s">
        <v>74</v>
      </c>
      <c r="C3316" s="2"/>
      <c r="D3316" s="1" t="s">
        <v>90</v>
      </c>
      <c r="E3316" s="2"/>
      <c r="F3316" s="2"/>
      <c r="G3316" s="2"/>
      <c r="H3316" s="2"/>
      <c r="I3316" s="2"/>
      <c r="J3316" s="2"/>
      <c r="K3316" s="2"/>
      <c r="L3316" s="1">
        <v>46.3144754</v>
      </c>
      <c r="M3316" s="1">
        <v>11.0480288</v>
      </c>
    </row>
    <row r="3317">
      <c r="A3317" s="1" t="s">
        <v>13</v>
      </c>
      <c r="B3317" s="1" t="s">
        <v>174</v>
      </c>
      <c r="C3317" s="1" t="s">
        <v>895</v>
      </c>
      <c r="D3317" s="1">
        <v>1.0</v>
      </c>
      <c r="E3317" s="1">
        <v>20.0</v>
      </c>
      <c r="F3317" s="1">
        <v>1.0</v>
      </c>
      <c r="G3317" s="1">
        <v>2.0</v>
      </c>
      <c r="H3317" s="1" t="s">
        <v>181</v>
      </c>
      <c r="I3317" s="1" t="s">
        <v>21</v>
      </c>
      <c r="J3317" s="1" t="s">
        <v>18</v>
      </c>
      <c r="K3317" s="1">
        <v>150.0</v>
      </c>
      <c r="L3317" s="1">
        <v>56.9465912</v>
      </c>
      <c r="M3317" s="1">
        <v>24.17507065</v>
      </c>
    </row>
    <row r="3318">
      <c r="A3318" s="1" t="s">
        <v>22</v>
      </c>
      <c r="B3318" s="1" t="s">
        <v>23</v>
      </c>
      <c r="C3318" s="1" t="s">
        <v>2052</v>
      </c>
      <c r="D3318" s="1">
        <v>2.0</v>
      </c>
      <c r="E3318" s="1">
        <v>43.0</v>
      </c>
      <c r="F3318" s="1">
        <v>3.0</v>
      </c>
      <c r="G3318" s="1">
        <v>7.0</v>
      </c>
      <c r="H3318" s="1" t="s">
        <v>32</v>
      </c>
      <c r="I3318" s="1" t="s">
        <v>17</v>
      </c>
      <c r="J3318" s="1" t="s">
        <v>18</v>
      </c>
      <c r="K3318" s="1">
        <v>115000.0</v>
      </c>
      <c r="L3318" s="1">
        <v>56.95911955</v>
      </c>
      <c r="M3318" s="1">
        <v>24.1175834</v>
      </c>
    </row>
    <row r="3319">
      <c r="A3319" s="1" t="s">
        <v>22</v>
      </c>
      <c r="B3319" s="1" t="s">
        <v>23</v>
      </c>
      <c r="C3319" s="1" t="s">
        <v>2053</v>
      </c>
      <c r="D3319" s="1">
        <v>4.0</v>
      </c>
      <c r="E3319" s="1">
        <v>107.0</v>
      </c>
      <c r="F3319" s="1">
        <v>3.0</v>
      </c>
      <c r="G3319" s="1">
        <v>5.0</v>
      </c>
      <c r="H3319" s="1" t="s">
        <v>25</v>
      </c>
      <c r="I3319" s="1" t="s">
        <v>33</v>
      </c>
      <c r="J3319" s="1" t="s">
        <v>18</v>
      </c>
      <c r="K3319" s="1">
        <v>175000.0</v>
      </c>
      <c r="L3319" s="1">
        <v>56.9605444</v>
      </c>
      <c r="M3319" s="1">
        <v>24.1100298</v>
      </c>
    </row>
    <row r="3320">
      <c r="A3320" s="1" t="s">
        <v>22</v>
      </c>
      <c r="B3320" s="1" t="s">
        <v>23</v>
      </c>
      <c r="C3320" s="1" t="s">
        <v>798</v>
      </c>
      <c r="D3320" s="1">
        <v>3.0</v>
      </c>
      <c r="E3320" s="1">
        <v>74.0</v>
      </c>
      <c r="F3320" s="1">
        <v>2.0</v>
      </c>
      <c r="G3320" s="1">
        <v>2.0</v>
      </c>
      <c r="H3320" s="1" t="s">
        <v>36</v>
      </c>
      <c r="I3320" s="1" t="s">
        <v>17</v>
      </c>
      <c r="J3320" s="1" t="s">
        <v>18</v>
      </c>
      <c r="K3320" s="1">
        <v>89000.0</v>
      </c>
      <c r="L3320" s="1">
        <v>56.9555119</v>
      </c>
      <c r="M3320" s="1">
        <v>24.1352351</v>
      </c>
    </row>
    <row r="3321">
      <c r="A3321" s="1" t="s">
        <v>13</v>
      </c>
      <c r="B3321" s="1" t="s">
        <v>23</v>
      </c>
      <c r="C3321" s="1" t="s">
        <v>491</v>
      </c>
      <c r="D3321" s="1">
        <v>2.0</v>
      </c>
      <c r="E3321" s="1">
        <v>40.0</v>
      </c>
      <c r="F3321" s="1">
        <v>2.0</v>
      </c>
      <c r="G3321" s="1">
        <v>6.0</v>
      </c>
      <c r="H3321" s="1" t="s">
        <v>25</v>
      </c>
      <c r="I3321" s="1" t="s">
        <v>33</v>
      </c>
      <c r="J3321" s="1" t="s">
        <v>18</v>
      </c>
      <c r="K3321" s="1">
        <v>450.0</v>
      </c>
      <c r="L3321" s="1">
        <v>56.9505796</v>
      </c>
      <c r="M3321" s="1">
        <v>24.1255938</v>
      </c>
    </row>
    <row r="3322">
      <c r="A3322" s="1" t="s">
        <v>13</v>
      </c>
      <c r="B3322" s="1" t="s">
        <v>23</v>
      </c>
      <c r="C3322" s="1" t="s">
        <v>1496</v>
      </c>
      <c r="D3322" s="1">
        <v>4.0</v>
      </c>
      <c r="E3322" s="1">
        <v>143.0</v>
      </c>
      <c r="F3322" s="1">
        <v>3.0</v>
      </c>
      <c r="G3322" s="1">
        <v>4.0</v>
      </c>
      <c r="H3322" s="1" t="s">
        <v>25</v>
      </c>
      <c r="I3322" s="1" t="s">
        <v>33</v>
      </c>
      <c r="J3322" s="1" t="s">
        <v>18</v>
      </c>
      <c r="K3322" s="1">
        <v>1100.0</v>
      </c>
      <c r="L3322" s="1">
        <v>56.9515994</v>
      </c>
      <c r="M3322" s="1">
        <v>24.1159776</v>
      </c>
    </row>
    <row r="3323">
      <c r="A3323" s="1" t="s">
        <v>22</v>
      </c>
      <c r="B3323" s="1" t="s">
        <v>23</v>
      </c>
      <c r="C3323" s="1" t="s">
        <v>344</v>
      </c>
      <c r="D3323" s="1">
        <v>4.0</v>
      </c>
      <c r="E3323" s="1">
        <v>114.0</v>
      </c>
      <c r="F3323" s="1">
        <v>5.0</v>
      </c>
      <c r="G3323" s="1">
        <v>7.0</v>
      </c>
      <c r="H3323" s="1" t="s">
        <v>36</v>
      </c>
      <c r="I3323" s="1" t="s">
        <v>37</v>
      </c>
      <c r="J3323" s="1" t="s">
        <v>18</v>
      </c>
      <c r="K3323" s="1">
        <v>199000.0</v>
      </c>
      <c r="L3323" s="1">
        <v>56.96134855</v>
      </c>
      <c r="M3323" s="1">
        <v>24.1036355661932</v>
      </c>
    </row>
    <row r="3324">
      <c r="A3324" s="1" t="s">
        <v>22</v>
      </c>
      <c r="B3324" s="1" t="s">
        <v>1304</v>
      </c>
      <c r="C3324" s="1" t="s">
        <v>1305</v>
      </c>
      <c r="D3324" s="1">
        <v>3.0</v>
      </c>
      <c r="E3324" s="1">
        <v>55.0</v>
      </c>
      <c r="F3324" s="1">
        <v>1.0</v>
      </c>
      <c r="G3324" s="1">
        <v>6.0</v>
      </c>
      <c r="H3324" s="1" t="s">
        <v>32</v>
      </c>
      <c r="I3324" s="1" t="s">
        <v>33</v>
      </c>
      <c r="J3324" s="1" t="s">
        <v>18</v>
      </c>
      <c r="K3324" s="1">
        <v>78000.0</v>
      </c>
      <c r="L3324" s="1">
        <v>57.0229234499999</v>
      </c>
      <c r="M3324" s="1">
        <v>24.1376648769917</v>
      </c>
    </row>
    <row r="3325">
      <c r="A3325" s="1" t="s">
        <v>22</v>
      </c>
      <c r="B3325" s="1" t="s">
        <v>1304</v>
      </c>
      <c r="C3325" s="1" t="s">
        <v>1305</v>
      </c>
      <c r="D3325" s="1">
        <v>4.0</v>
      </c>
      <c r="E3325" s="1">
        <v>68.0</v>
      </c>
      <c r="F3325" s="1">
        <v>1.0</v>
      </c>
      <c r="G3325" s="1">
        <v>6.0</v>
      </c>
      <c r="H3325" s="1" t="s">
        <v>32</v>
      </c>
      <c r="I3325" s="1" t="s">
        <v>33</v>
      </c>
      <c r="J3325" s="1" t="s">
        <v>18</v>
      </c>
      <c r="K3325" s="1">
        <v>95600.0</v>
      </c>
      <c r="L3325" s="1">
        <v>57.0229234499999</v>
      </c>
      <c r="M3325" s="1">
        <v>24.1376648769917</v>
      </c>
    </row>
    <row r="3326">
      <c r="A3326" s="1" t="s">
        <v>13</v>
      </c>
      <c r="B3326" s="1" t="s">
        <v>23</v>
      </c>
      <c r="C3326" s="1" t="s">
        <v>1320</v>
      </c>
      <c r="D3326" s="1">
        <v>3.0</v>
      </c>
      <c r="E3326" s="1">
        <v>86.0</v>
      </c>
      <c r="F3326" s="1">
        <v>5.0</v>
      </c>
      <c r="G3326" s="1">
        <v>5.0</v>
      </c>
      <c r="H3326" s="1" t="s">
        <v>32</v>
      </c>
      <c r="I3326" s="1" t="s">
        <v>122</v>
      </c>
      <c r="J3326" s="1" t="s">
        <v>18</v>
      </c>
      <c r="K3326" s="1">
        <v>890.0</v>
      </c>
      <c r="L3326" s="1">
        <v>56.9681431</v>
      </c>
      <c r="M3326" s="1">
        <v>24.1468839653253</v>
      </c>
    </row>
    <row r="3327">
      <c r="A3327" s="1" t="s">
        <v>13</v>
      </c>
      <c r="B3327" s="1" t="s">
        <v>99</v>
      </c>
      <c r="C3327" s="1" t="s">
        <v>2054</v>
      </c>
      <c r="D3327" s="1">
        <v>2.0</v>
      </c>
      <c r="E3327" s="1">
        <v>42.0</v>
      </c>
      <c r="F3327" s="1">
        <v>1.0</v>
      </c>
      <c r="G3327" s="1">
        <v>5.0</v>
      </c>
      <c r="H3327" s="1" t="s">
        <v>44</v>
      </c>
      <c r="I3327" s="1" t="s">
        <v>37</v>
      </c>
      <c r="J3327" s="1" t="s">
        <v>18</v>
      </c>
      <c r="K3327" s="1">
        <v>400.0</v>
      </c>
      <c r="L3327" s="1">
        <v>56.94312495</v>
      </c>
      <c r="M3327" s="1">
        <v>24.0902665694297</v>
      </c>
    </row>
    <row r="3328">
      <c r="A3328" s="1" t="s">
        <v>22</v>
      </c>
      <c r="B3328" s="1" t="s">
        <v>422</v>
      </c>
      <c r="C3328" s="1" t="s">
        <v>1972</v>
      </c>
      <c r="D3328" s="1">
        <v>1.0</v>
      </c>
      <c r="E3328" s="1">
        <v>18.0</v>
      </c>
      <c r="F3328" s="1">
        <v>3.0</v>
      </c>
      <c r="G3328" s="1">
        <v>3.0</v>
      </c>
      <c r="H3328" s="1" t="s">
        <v>57</v>
      </c>
      <c r="I3328" s="1" t="s">
        <v>37</v>
      </c>
      <c r="J3328" s="1" t="s">
        <v>18</v>
      </c>
      <c r="K3328" s="1">
        <v>11700.0</v>
      </c>
      <c r="L3328" s="1">
        <v>56.9406706</v>
      </c>
      <c r="M3328" s="1">
        <v>24.0386236</v>
      </c>
    </row>
    <row r="3329">
      <c r="A3329" s="1" t="s">
        <v>22</v>
      </c>
      <c r="B3329" s="1" t="s">
        <v>14</v>
      </c>
      <c r="C3329" s="1" t="s">
        <v>2055</v>
      </c>
      <c r="D3329" s="1">
        <v>2.0</v>
      </c>
      <c r="E3329" s="1">
        <v>86.0</v>
      </c>
      <c r="F3329" s="1">
        <v>5.0</v>
      </c>
      <c r="G3329" s="1">
        <v>6.0</v>
      </c>
      <c r="H3329" s="1" t="s">
        <v>32</v>
      </c>
      <c r="I3329" s="1" t="s">
        <v>122</v>
      </c>
      <c r="J3329" s="1" t="s">
        <v>18</v>
      </c>
      <c r="K3329" s="1">
        <v>135000.0</v>
      </c>
      <c r="L3329" s="1">
        <v>56.9540449</v>
      </c>
      <c r="M3329" s="1">
        <v>24.1913645631942</v>
      </c>
    </row>
    <row r="3330">
      <c r="A3330" s="1" t="s">
        <v>22</v>
      </c>
      <c r="B3330" s="1" t="s">
        <v>52</v>
      </c>
      <c r="C3330" s="1" t="s">
        <v>2056</v>
      </c>
      <c r="D3330" s="1">
        <v>3.0</v>
      </c>
      <c r="E3330" s="1">
        <v>76.0</v>
      </c>
      <c r="F3330" s="1">
        <v>1.0</v>
      </c>
      <c r="G3330" s="1">
        <v>3.0</v>
      </c>
      <c r="H3330" s="1" t="s">
        <v>32</v>
      </c>
      <c r="I3330" s="1" t="s">
        <v>21</v>
      </c>
      <c r="J3330" s="1" t="s">
        <v>18</v>
      </c>
      <c r="K3330" s="1">
        <v>119255.0</v>
      </c>
      <c r="L3330" s="1">
        <v>56.9421021</v>
      </c>
      <c r="M3330" s="1">
        <v>24.0243648</v>
      </c>
    </row>
    <row r="3331">
      <c r="A3331" s="1" t="s">
        <v>22</v>
      </c>
      <c r="B3331" s="1" t="s">
        <v>67</v>
      </c>
      <c r="C3331" s="1" t="s">
        <v>98</v>
      </c>
      <c r="D3331" s="1">
        <v>2.0</v>
      </c>
      <c r="E3331" s="1">
        <v>47.0</v>
      </c>
      <c r="F3331" s="1">
        <v>1.0</v>
      </c>
      <c r="G3331" s="1">
        <v>5.0</v>
      </c>
      <c r="H3331" s="1" t="s">
        <v>66</v>
      </c>
      <c r="I3331" s="1" t="s">
        <v>33</v>
      </c>
      <c r="J3331" s="1" t="s">
        <v>18</v>
      </c>
      <c r="K3331" s="1">
        <v>80000.0</v>
      </c>
      <c r="L3331" s="1">
        <v>56.9553833</v>
      </c>
      <c r="M3331" s="1">
        <v>24.1488881</v>
      </c>
    </row>
    <row r="3332">
      <c r="A3332" s="1" t="s">
        <v>22</v>
      </c>
      <c r="B3332" s="1" t="s">
        <v>38</v>
      </c>
      <c r="C3332" s="1" t="s">
        <v>2057</v>
      </c>
      <c r="D3332" s="1">
        <v>3.0</v>
      </c>
      <c r="E3332" s="1">
        <v>68.0</v>
      </c>
      <c r="F3332" s="1">
        <v>5.0</v>
      </c>
      <c r="G3332" s="1">
        <v>5.0</v>
      </c>
      <c r="H3332" s="1" t="s">
        <v>16</v>
      </c>
      <c r="I3332" s="1" t="s">
        <v>21</v>
      </c>
      <c r="J3332" s="1" t="s">
        <v>18</v>
      </c>
      <c r="K3332" s="1">
        <v>68000.0</v>
      </c>
      <c r="L3332" s="1">
        <v>56.9623408</v>
      </c>
      <c r="M3332" s="1">
        <v>24.0167995274108</v>
      </c>
    </row>
    <row r="3333">
      <c r="A3333" s="1" t="s">
        <v>22</v>
      </c>
      <c r="B3333" s="1" t="s">
        <v>52</v>
      </c>
      <c r="C3333" s="1" t="s">
        <v>2058</v>
      </c>
      <c r="D3333" s="1">
        <v>2.0</v>
      </c>
      <c r="E3333" s="1">
        <v>76.0</v>
      </c>
      <c r="F3333" s="1">
        <v>1.0</v>
      </c>
      <c r="G3333" s="1">
        <v>3.0</v>
      </c>
      <c r="H3333" s="1" t="s">
        <v>32</v>
      </c>
      <c r="I3333" s="1" t="s">
        <v>122</v>
      </c>
      <c r="J3333" s="1" t="s">
        <v>18</v>
      </c>
      <c r="K3333" s="1">
        <v>97680.0</v>
      </c>
      <c r="L3333" s="1">
        <v>56.9371904</v>
      </c>
      <c r="M3333" s="1">
        <v>24.0257892</v>
      </c>
    </row>
    <row r="3334">
      <c r="A3334" s="1" t="s">
        <v>22</v>
      </c>
      <c r="B3334" s="1" t="s">
        <v>52</v>
      </c>
      <c r="C3334" s="1" t="s">
        <v>1406</v>
      </c>
      <c r="D3334" s="1">
        <v>2.0</v>
      </c>
      <c r="E3334" s="1">
        <v>66.0</v>
      </c>
      <c r="F3334" s="1">
        <v>1.0</v>
      </c>
      <c r="G3334" s="1">
        <v>3.0</v>
      </c>
      <c r="H3334" s="1" t="s">
        <v>32</v>
      </c>
      <c r="I3334" s="1" t="s">
        <v>122</v>
      </c>
      <c r="J3334" s="1" t="s">
        <v>18</v>
      </c>
      <c r="K3334" s="1">
        <v>97680.0</v>
      </c>
      <c r="L3334" s="1">
        <v>56.9371904</v>
      </c>
      <c r="M3334" s="1">
        <v>24.0257892</v>
      </c>
    </row>
    <row r="3335">
      <c r="A3335" s="1" t="s">
        <v>22</v>
      </c>
      <c r="B3335" s="1" t="s">
        <v>422</v>
      </c>
      <c r="C3335" s="1" t="s">
        <v>1406</v>
      </c>
      <c r="D3335" s="1">
        <v>4.0</v>
      </c>
      <c r="E3335" s="1">
        <v>103.0</v>
      </c>
      <c r="F3335" s="1">
        <v>3.0</v>
      </c>
      <c r="G3335" s="1">
        <v>3.0</v>
      </c>
      <c r="H3335" s="1" t="s">
        <v>32</v>
      </c>
      <c r="I3335" s="1" t="s">
        <v>21</v>
      </c>
      <c r="J3335" s="1" t="s">
        <v>18</v>
      </c>
      <c r="K3335" s="1">
        <v>169660.0</v>
      </c>
      <c r="L3335" s="1">
        <v>56.9371904</v>
      </c>
      <c r="M3335" s="1">
        <v>24.0257892</v>
      </c>
    </row>
    <row r="3336">
      <c r="A3336" s="1" t="s">
        <v>13</v>
      </c>
      <c r="B3336" s="1" t="s">
        <v>42</v>
      </c>
      <c r="C3336" s="1" t="s">
        <v>2059</v>
      </c>
      <c r="D3336" s="1">
        <v>1.0</v>
      </c>
      <c r="E3336" s="1">
        <v>33.0</v>
      </c>
      <c r="F3336" s="1">
        <v>5.0</v>
      </c>
      <c r="G3336" s="1">
        <v>13.0</v>
      </c>
      <c r="H3336" s="1" t="s">
        <v>32</v>
      </c>
      <c r="I3336" s="1" t="s">
        <v>17</v>
      </c>
      <c r="J3336" s="1" t="s">
        <v>18</v>
      </c>
      <c r="K3336" s="1">
        <v>280.0</v>
      </c>
      <c r="L3336" s="1">
        <v>56.9865422999999</v>
      </c>
      <c r="M3336" s="1">
        <v>24.2199392</v>
      </c>
    </row>
    <row r="3337">
      <c r="A3337" s="1" t="s">
        <v>22</v>
      </c>
      <c r="B3337" s="1" t="s">
        <v>23</v>
      </c>
      <c r="C3337" s="1" t="s">
        <v>2060</v>
      </c>
      <c r="D3337" s="1">
        <v>1.0</v>
      </c>
      <c r="E3337" s="1">
        <v>30.0</v>
      </c>
      <c r="F3337" s="1">
        <v>6.0</v>
      </c>
      <c r="G3337" s="1">
        <v>6.0</v>
      </c>
      <c r="H3337" s="1" t="s">
        <v>25</v>
      </c>
      <c r="I3337" s="1" t="s">
        <v>37</v>
      </c>
      <c r="J3337" s="1" t="s">
        <v>18</v>
      </c>
      <c r="K3337" s="1">
        <v>56700.0</v>
      </c>
      <c r="L3337" s="1">
        <v>56.9622774</v>
      </c>
      <c r="M3337" s="1">
        <v>24.1515090216724</v>
      </c>
    </row>
    <row r="3338">
      <c r="A3338" s="1" t="s">
        <v>89</v>
      </c>
      <c r="B3338" s="1" t="s">
        <v>23</v>
      </c>
      <c r="C3338" s="2"/>
      <c r="D3338" s="1" t="s">
        <v>90</v>
      </c>
      <c r="E3338" s="2"/>
      <c r="F3338" s="2"/>
      <c r="G3338" s="2"/>
      <c r="H3338" s="2"/>
      <c r="I3338" s="2"/>
      <c r="J3338" s="2"/>
      <c r="K3338" s="2"/>
      <c r="L3338" s="1">
        <v>46.3144754</v>
      </c>
      <c r="M3338" s="1">
        <v>11.0480288</v>
      </c>
    </row>
    <row r="3339">
      <c r="A3339" s="1" t="s">
        <v>22</v>
      </c>
      <c r="B3339" s="1" t="s">
        <v>14</v>
      </c>
      <c r="C3339" s="1" t="s">
        <v>2061</v>
      </c>
      <c r="D3339" s="1">
        <v>2.0</v>
      </c>
      <c r="E3339" s="1">
        <v>108.0</v>
      </c>
      <c r="F3339" s="1">
        <v>5.0</v>
      </c>
      <c r="G3339" s="1">
        <v>8.0</v>
      </c>
      <c r="H3339" s="1" t="s">
        <v>32</v>
      </c>
      <c r="I3339" s="1" t="s">
        <v>21</v>
      </c>
      <c r="J3339" s="1" t="s">
        <v>18</v>
      </c>
      <c r="K3339" s="1">
        <v>155000.0</v>
      </c>
      <c r="L3339" s="1">
        <v>56.95305905</v>
      </c>
      <c r="M3339" s="1">
        <v>24.1895784205048</v>
      </c>
    </row>
    <row r="3340">
      <c r="A3340" s="1" t="s">
        <v>22</v>
      </c>
      <c r="B3340" s="1" t="s">
        <v>30</v>
      </c>
      <c r="C3340" s="1" t="s">
        <v>2062</v>
      </c>
      <c r="D3340" s="1">
        <v>2.0</v>
      </c>
      <c r="E3340" s="1">
        <v>49.0</v>
      </c>
      <c r="F3340" s="1">
        <v>3.0</v>
      </c>
      <c r="G3340" s="1">
        <v>3.0</v>
      </c>
      <c r="H3340" s="1" t="s">
        <v>44</v>
      </c>
      <c r="I3340" s="1" t="s">
        <v>37</v>
      </c>
      <c r="J3340" s="1" t="s">
        <v>18</v>
      </c>
      <c r="K3340" s="1">
        <v>56000.0</v>
      </c>
      <c r="L3340" s="1">
        <v>56.9768701</v>
      </c>
      <c r="M3340" s="1">
        <v>24.1904915982105</v>
      </c>
    </row>
    <row r="3341">
      <c r="A3341" s="1" t="s">
        <v>22</v>
      </c>
      <c r="B3341" s="1" t="s">
        <v>1304</v>
      </c>
      <c r="C3341" s="1" t="s">
        <v>1305</v>
      </c>
      <c r="D3341" s="1">
        <v>1.0</v>
      </c>
      <c r="E3341" s="1">
        <v>27.0</v>
      </c>
      <c r="F3341" s="1">
        <v>2.0</v>
      </c>
      <c r="G3341" s="1">
        <v>6.0</v>
      </c>
      <c r="H3341" s="1" t="s">
        <v>32</v>
      </c>
      <c r="I3341" s="1" t="s">
        <v>21</v>
      </c>
      <c r="J3341" s="1" t="s">
        <v>18</v>
      </c>
      <c r="K3341" s="1">
        <v>40500.0</v>
      </c>
      <c r="L3341" s="1">
        <v>57.0229234499999</v>
      </c>
      <c r="M3341" s="1">
        <v>24.1376648769917</v>
      </c>
    </row>
    <row r="3342">
      <c r="A3342" s="1" t="s">
        <v>22</v>
      </c>
      <c r="B3342" s="1" t="s">
        <v>14</v>
      </c>
      <c r="C3342" s="1" t="s">
        <v>2063</v>
      </c>
      <c r="D3342" s="1">
        <v>4.0</v>
      </c>
      <c r="E3342" s="1">
        <v>94.0</v>
      </c>
      <c r="F3342" s="1">
        <v>9.0</v>
      </c>
      <c r="G3342" s="1">
        <v>9.0</v>
      </c>
      <c r="H3342" s="1">
        <v>119.0</v>
      </c>
      <c r="I3342" s="1" t="s">
        <v>21</v>
      </c>
      <c r="J3342" s="1" t="s">
        <v>18</v>
      </c>
      <c r="K3342" s="1">
        <v>86000.0</v>
      </c>
      <c r="L3342" s="1">
        <v>56.9479582</v>
      </c>
      <c r="M3342" s="1">
        <v>24.1909557999999</v>
      </c>
    </row>
    <row r="3343">
      <c r="A3343" s="1" t="s">
        <v>22</v>
      </c>
      <c r="B3343" s="1" t="s">
        <v>50</v>
      </c>
      <c r="C3343" s="1" t="s">
        <v>2064</v>
      </c>
      <c r="D3343" s="1">
        <v>1.0</v>
      </c>
      <c r="E3343" s="1">
        <v>32.0</v>
      </c>
      <c r="F3343" s="1">
        <v>2.0</v>
      </c>
      <c r="G3343" s="1">
        <v>5.0</v>
      </c>
      <c r="H3343" s="1" t="s">
        <v>44</v>
      </c>
      <c r="I3343" s="1" t="s">
        <v>37</v>
      </c>
      <c r="J3343" s="1" t="s">
        <v>18</v>
      </c>
      <c r="K3343" s="1">
        <v>34500.0</v>
      </c>
      <c r="L3343" s="1">
        <v>56.9271387999999</v>
      </c>
      <c r="M3343" s="1">
        <v>24.1674973819472</v>
      </c>
    </row>
    <row r="3344">
      <c r="A3344" s="1" t="s">
        <v>22</v>
      </c>
      <c r="B3344" s="1" t="s">
        <v>104</v>
      </c>
      <c r="C3344" s="1" t="s">
        <v>2065</v>
      </c>
      <c r="D3344" s="1">
        <v>1.0</v>
      </c>
      <c r="E3344" s="1">
        <v>31.0</v>
      </c>
      <c r="F3344" s="1">
        <v>3.0</v>
      </c>
      <c r="G3344" s="1">
        <v>4.0</v>
      </c>
      <c r="H3344" s="1" t="s">
        <v>44</v>
      </c>
      <c r="I3344" s="1" t="s">
        <v>37</v>
      </c>
      <c r="J3344" s="1" t="s">
        <v>18</v>
      </c>
      <c r="K3344" s="1">
        <v>32900.0</v>
      </c>
      <c r="L3344" s="1">
        <v>56.92963225</v>
      </c>
      <c r="M3344" s="1">
        <v>24.069660351551</v>
      </c>
    </row>
    <row r="3345">
      <c r="A3345" s="1" t="s">
        <v>22</v>
      </c>
      <c r="B3345" s="1" t="s">
        <v>23</v>
      </c>
      <c r="C3345" s="1" t="s">
        <v>955</v>
      </c>
      <c r="D3345" s="1">
        <v>2.0</v>
      </c>
      <c r="E3345" s="1">
        <v>65.0</v>
      </c>
      <c r="F3345" s="1">
        <v>5.0</v>
      </c>
      <c r="G3345" s="1">
        <v>5.0</v>
      </c>
      <c r="H3345" s="1" t="s">
        <v>66</v>
      </c>
      <c r="I3345" s="1" t="s">
        <v>33</v>
      </c>
      <c r="J3345" s="1" t="s">
        <v>18</v>
      </c>
      <c r="K3345" s="1">
        <v>140000.0</v>
      </c>
      <c r="L3345" s="1">
        <v>56.9589644</v>
      </c>
      <c r="M3345" s="1">
        <v>24.1081412</v>
      </c>
    </row>
    <row r="3346">
      <c r="A3346" s="1" t="s">
        <v>22</v>
      </c>
      <c r="B3346" s="1" t="s">
        <v>1304</v>
      </c>
      <c r="C3346" s="1" t="s">
        <v>1305</v>
      </c>
      <c r="D3346" s="1">
        <v>2.0</v>
      </c>
      <c r="E3346" s="1">
        <v>46.0</v>
      </c>
      <c r="F3346" s="1">
        <v>1.0</v>
      </c>
      <c r="G3346" s="1">
        <v>6.0</v>
      </c>
      <c r="H3346" s="1" t="s">
        <v>32</v>
      </c>
      <c r="I3346" s="1" t="s">
        <v>21</v>
      </c>
      <c r="J3346" s="1" t="s">
        <v>18</v>
      </c>
      <c r="K3346" s="1">
        <v>66000.0</v>
      </c>
      <c r="L3346" s="1">
        <v>57.0229234499999</v>
      </c>
      <c r="M3346" s="1">
        <v>24.1376648769917</v>
      </c>
    </row>
    <row r="3347">
      <c r="A3347" s="1" t="s">
        <v>22</v>
      </c>
      <c r="B3347" s="1" t="s">
        <v>1304</v>
      </c>
      <c r="C3347" s="1" t="s">
        <v>1305</v>
      </c>
      <c r="D3347" s="1">
        <v>3.0</v>
      </c>
      <c r="E3347" s="1">
        <v>54.0</v>
      </c>
      <c r="F3347" s="1">
        <v>3.0</v>
      </c>
      <c r="G3347" s="1">
        <v>6.0</v>
      </c>
      <c r="H3347" s="1" t="s">
        <v>32</v>
      </c>
      <c r="I3347" s="1" t="s">
        <v>37</v>
      </c>
      <c r="J3347" s="1" t="s">
        <v>18</v>
      </c>
      <c r="K3347" s="1">
        <v>83000.0</v>
      </c>
      <c r="L3347" s="1">
        <v>57.0229234499999</v>
      </c>
      <c r="M3347" s="1">
        <v>24.1376648769917</v>
      </c>
    </row>
    <row r="3348">
      <c r="A3348" s="1" t="s">
        <v>22</v>
      </c>
      <c r="B3348" s="1" t="s">
        <v>23</v>
      </c>
      <c r="C3348" s="1" t="s">
        <v>2066</v>
      </c>
      <c r="D3348" s="1">
        <v>4.0</v>
      </c>
      <c r="E3348" s="1">
        <v>82.0</v>
      </c>
      <c r="F3348" s="1">
        <v>5.0</v>
      </c>
      <c r="G3348" s="1">
        <v>5.0</v>
      </c>
      <c r="H3348" s="1" t="s">
        <v>25</v>
      </c>
      <c r="I3348" s="1" t="s">
        <v>37</v>
      </c>
      <c r="J3348" s="1" t="s">
        <v>18</v>
      </c>
      <c r="K3348" s="1">
        <v>140000.0</v>
      </c>
      <c r="L3348" s="1">
        <v>56.961845</v>
      </c>
      <c r="M3348" s="1">
        <v>24.1010000181305</v>
      </c>
    </row>
    <row r="3349">
      <c r="A3349" s="1" t="s">
        <v>22</v>
      </c>
      <c r="B3349" s="1" t="s">
        <v>1304</v>
      </c>
      <c r="C3349" s="1" t="s">
        <v>1305</v>
      </c>
      <c r="D3349" s="1">
        <v>4.0</v>
      </c>
      <c r="E3349" s="1">
        <v>68.0</v>
      </c>
      <c r="F3349" s="1">
        <v>2.0</v>
      </c>
      <c r="G3349" s="1">
        <v>6.0</v>
      </c>
      <c r="H3349" s="1" t="s">
        <v>32</v>
      </c>
      <c r="I3349" s="1" t="s">
        <v>21</v>
      </c>
      <c r="J3349" s="1" t="s">
        <v>18</v>
      </c>
      <c r="K3349" s="1">
        <v>105000.0</v>
      </c>
      <c r="L3349" s="1">
        <v>57.0229234499999</v>
      </c>
      <c r="M3349" s="1">
        <v>24.1376648769917</v>
      </c>
    </row>
    <row r="3350">
      <c r="A3350" s="1" t="s">
        <v>22</v>
      </c>
      <c r="B3350" s="1" t="s">
        <v>42</v>
      </c>
      <c r="C3350" s="1" t="s">
        <v>2067</v>
      </c>
      <c r="D3350" s="1">
        <v>2.0</v>
      </c>
      <c r="E3350" s="1">
        <v>45.0</v>
      </c>
      <c r="F3350" s="1">
        <v>3.0</v>
      </c>
      <c r="G3350" s="1">
        <v>5.0</v>
      </c>
      <c r="H3350" s="1" t="s">
        <v>36</v>
      </c>
      <c r="I3350" s="1" t="s">
        <v>37</v>
      </c>
      <c r="J3350" s="1" t="s">
        <v>18</v>
      </c>
      <c r="K3350" s="1">
        <v>55000.0</v>
      </c>
      <c r="L3350" s="1">
        <v>56.98890605</v>
      </c>
      <c r="M3350" s="1">
        <v>24.2261097456964</v>
      </c>
    </row>
    <row r="3351">
      <c r="A3351" s="1" t="s">
        <v>22</v>
      </c>
      <c r="B3351" s="1" t="s">
        <v>23</v>
      </c>
      <c r="C3351" s="1" t="s">
        <v>648</v>
      </c>
      <c r="D3351" s="1">
        <v>3.0</v>
      </c>
      <c r="E3351" s="1">
        <v>64.0</v>
      </c>
      <c r="F3351" s="1">
        <v>6.0</v>
      </c>
      <c r="G3351" s="1">
        <v>6.0</v>
      </c>
      <c r="H3351" s="1" t="s">
        <v>25</v>
      </c>
      <c r="I3351" s="1" t="s">
        <v>33</v>
      </c>
      <c r="J3351" s="1" t="s">
        <v>63</v>
      </c>
      <c r="K3351" s="1">
        <v>74000.0</v>
      </c>
      <c r="L3351" s="1">
        <v>56.94999685</v>
      </c>
      <c r="M3351" s="1">
        <v>24.1364139006283</v>
      </c>
    </row>
    <row r="3352">
      <c r="A3352" s="1" t="s">
        <v>22</v>
      </c>
      <c r="B3352" s="1" t="s">
        <v>104</v>
      </c>
      <c r="C3352" s="1" t="s">
        <v>1439</v>
      </c>
      <c r="D3352" s="1">
        <v>3.0</v>
      </c>
      <c r="E3352" s="1">
        <v>62.0</v>
      </c>
      <c r="F3352" s="1">
        <v>1.0</v>
      </c>
      <c r="G3352" s="1">
        <v>2.0</v>
      </c>
      <c r="H3352" s="1" t="s">
        <v>66</v>
      </c>
      <c r="I3352" s="1" t="s">
        <v>26</v>
      </c>
      <c r="J3352" s="1" t="s">
        <v>18</v>
      </c>
      <c r="K3352" s="1">
        <v>43400.0</v>
      </c>
      <c r="L3352" s="1">
        <v>56.94731475</v>
      </c>
      <c r="M3352" s="1">
        <v>24.0609152601247</v>
      </c>
    </row>
    <row r="3353">
      <c r="A3353" s="1" t="s">
        <v>22</v>
      </c>
      <c r="B3353" s="1" t="s">
        <v>23</v>
      </c>
      <c r="C3353" s="1" t="s">
        <v>2068</v>
      </c>
      <c r="D3353" s="1">
        <v>3.0</v>
      </c>
      <c r="E3353" s="1">
        <v>100.0</v>
      </c>
      <c r="F3353" s="1">
        <v>2.0</v>
      </c>
      <c r="G3353" s="1">
        <v>6.0</v>
      </c>
      <c r="H3353" s="1" t="s">
        <v>66</v>
      </c>
      <c r="I3353" s="1" t="s">
        <v>33</v>
      </c>
      <c r="J3353" s="1" t="s">
        <v>18</v>
      </c>
      <c r="K3353" s="1">
        <v>237500.0</v>
      </c>
      <c r="L3353" s="1">
        <v>56.9598383</v>
      </c>
      <c r="M3353" s="1">
        <v>24.1137052</v>
      </c>
    </row>
    <row r="3354">
      <c r="A3354" s="1" t="s">
        <v>13</v>
      </c>
      <c r="B3354" s="1" t="s">
        <v>23</v>
      </c>
      <c r="C3354" s="1" t="s">
        <v>1019</v>
      </c>
      <c r="D3354" s="1">
        <v>2.0</v>
      </c>
      <c r="E3354" s="1">
        <v>95.0</v>
      </c>
      <c r="F3354" s="1">
        <v>3.0</v>
      </c>
      <c r="G3354" s="1">
        <v>3.0</v>
      </c>
      <c r="H3354" s="1" t="s">
        <v>66</v>
      </c>
      <c r="I3354" s="1" t="s">
        <v>33</v>
      </c>
      <c r="J3354" s="1" t="s">
        <v>18</v>
      </c>
      <c r="K3354" s="1">
        <v>850.0</v>
      </c>
      <c r="L3354" s="1">
        <v>56.9468471</v>
      </c>
      <c r="M3354" s="1">
        <v>24.133767</v>
      </c>
    </row>
    <row r="3355">
      <c r="A3355" s="1" t="s">
        <v>22</v>
      </c>
      <c r="B3355" s="1" t="s">
        <v>422</v>
      </c>
      <c r="C3355" s="1" t="s">
        <v>1406</v>
      </c>
      <c r="D3355" s="1">
        <v>3.0</v>
      </c>
      <c r="E3355" s="1">
        <v>87.0</v>
      </c>
      <c r="F3355" s="1">
        <v>1.0</v>
      </c>
      <c r="G3355" s="1">
        <v>3.0</v>
      </c>
      <c r="H3355" s="1" t="s">
        <v>32</v>
      </c>
      <c r="I3355" s="1" t="s">
        <v>21</v>
      </c>
      <c r="J3355" s="1" t="s">
        <v>18</v>
      </c>
      <c r="K3355" s="1">
        <v>128336.0</v>
      </c>
      <c r="L3355" s="1">
        <v>56.9371904</v>
      </c>
      <c r="M3355" s="1">
        <v>24.0257892</v>
      </c>
    </row>
    <row r="3356">
      <c r="A3356" s="1" t="s">
        <v>22</v>
      </c>
      <c r="B3356" s="1" t="s">
        <v>38</v>
      </c>
      <c r="C3356" s="1" t="s">
        <v>2069</v>
      </c>
      <c r="D3356" s="1">
        <v>3.0</v>
      </c>
      <c r="E3356" s="1">
        <v>54.0</v>
      </c>
      <c r="F3356" s="1">
        <v>5.0</v>
      </c>
      <c r="G3356" s="1">
        <v>5.0</v>
      </c>
      <c r="H3356" s="1" t="s">
        <v>16</v>
      </c>
      <c r="I3356" s="1" t="s">
        <v>21</v>
      </c>
      <c r="J3356" s="1" t="s">
        <v>18</v>
      </c>
      <c r="K3356" s="1">
        <v>49600.0</v>
      </c>
      <c r="L3356" s="1" t="s">
        <v>40</v>
      </c>
      <c r="M3356" s="1" t="s">
        <v>40</v>
      </c>
    </row>
    <row r="3357">
      <c r="A3357" s="1" t="s">
        <v>22</v>
      </c>
      <c r="B3357" s="1" t="s">
        <v>422</v>
      </c>
      <c r="C3357" s="1" t="s">
        <v>2070</v>
      </c>
      <c r="D3357" s="1">
        <v>1.0</v>
      </c>
      <c r="E3357" s="1">
        <v>39.0</v>
      </c>
      <c r="F3357" s="1">
        <v>2.0</v>
      </c>
      <c r="G3357" s="1">
        <v>3.0</v>
      </c>
      <c r="H3357" s="1" t="s">
        <v>66</v>
      </c>
      <c r="I3357" s="1" t="s">
        <v>33</v>
      </c>
      <c r="J3357" s="1" t="s">
        <v>18</v>
      </c>
      <c r="K3357" s="1">
        <v>38700.0</v>
      </c>
      <c r="L3357" s="1">
        <v>56.9492021</v>
      </c>
      <c r="M3357" s="1">
        <v>23.9587415</v>
      </c>
    </row>
    <row r="3358">
      <c r="A3358" s="1" t="s">
        <v>22</v>
      </c>
      <c r="B3358" s="1" t="s">
        <v>23</v>
      </c>
      <c r="C3358" s="1" t="s">
        <v>1200</v>
      </c>
      <c r="D3358" s="1">
        <v>2.0</v>
      </c>
      <c r="E3358" s="1">
        <v>63.0</v>
      </c>
      <c r="F3358" s="1">
        <v>4.0</v>
      </c>
      <c r="G3358" s="1">
        <v>6.0</v>
      </c>
      <c r="H3358" s="1" t="s">
        <v>66</v>
      </c>
      <c r="I3358" s="1" t="s">
        <v>122</v>
      </c>
      <c r="J3358" s="1" t="s">
        <v>18</v>
      </c>
      <c r="K3358" s="1">
        <v>114000.0</v>
      </c>
      <c r="L3358" s="1">
        <v>56.9619771</v>
      </c>
      <c r="M3358" s="1">
        <v>24.1348346</v>
      </c>
    </row>
    <row r="3359">
      <c r="A3359" s="1" t="s">
        <v>13</v>
      </c>
      <c r="B3359" s="1" t="s">
        <v>14</v>
      </c>
      <c r="C3359" s="1" t="s">
        <v>2071</v>
      </c>
      <c r="D3359" s="1">
        <v>1.0</v>
      </c>
      <c r="E3359" s="1">
        <v>13.0</v>
      </c>
      <c r="F3359" s="1">
        <v>2.0</v>
      </c>
      <c r="G3359" s="1">
        <v>9.0</v>
      </c>
      <c r="H3359" s="1">
        <v>119.0</v>
      </c>
      <c r="I3359" s="1" t="s">
        <v>21</v>
      </c>
      <c r="J3359" s="1" t="s">
        <v>18</v>
      </c>
      <c r="K3359" s="1">
        <v>200.0</v>
      </c>
      <c r="L3359" s="1">
        <v>56.9456426499999</v>
      </c>
      <c r="M3359" s="1">
        <v>24.19744365</v>
      </c>
    </row>
    <row r="3360">
      <c r="A3360" s="1" t="s">
        <v>22</v>
      </c>
      <c r="B3360" s="1" t="s">
        <v>45</v>
      </c>
      <c r="C3360" s="1" t="s">
        <v>2072</v>
      </c>
      <c r="D3360" s="1">
        <v>1.0</v>
      </c>
      <c r="E3360" s="1">
        <v>24.0</v>
      </c>
      <c r="F3360" s="1">
        <v>1.0</v>
      </c>
      <c r="G3360" s="1">
        <v>4.0</v>
      </c>
      <c r="H3360" s="1" t="s">
        <v>181</v>
      </c>
      <c r="I3360" s="1" t="s">
        <v>33</v>
      </c>
      <c r="J3360" s="1" t="s">
        <v>18</v>
      </c>
      <c r="K3360" s="1">
        <v>6900.0</v>
      </c>
      <c r="L3360" s="1">
        <v>57.0205705</v>
      </c>
      <c r="M3360" s="1">
        <v>24.1291659148654</v>
      </c>
    </row>
    <row r="3361">
      <c r="A3361" s="1" t="s">
        <v>13</v>
      </c>
      <c r="B3361" s="1" t="s">
        <v>23</v>
      </c>
      <c r="C3361" s="1" t="s">
        <v>136</v>
      </c>
      <c r="D3361" s="1">
        <v>3.0</v>
      </c>
      <c r="E3361" s="1">
        <v>79.4</v>
      </c>
      <c r="F3361" s="1">
        <v>2.0</v>
      </c>
      <c r="G3361" s="1">
        <v>6.0</v>
      </c>
      <c r="H3361" s="1" t="s">
        <v>66</v>
      </c>
      <c r="I3361" s="1" t="s">
        <v>33</v>
      </c>
      <c r="J3361" s="1" t="s">
        <v>18</v>
      </c>
      <c r="K3361" s="1">
        <v>830.0</v>
      </c>
      <c r="L3361" s="1">
        <v>56.95643795</v>
      </c>
      <c r="M3361" s="1">
        <v>24.1325729821556</v>
      </c>
    </row>
    <row r="3362">
      <c r="A3362" s="1" t="s">
        <v>22</v>
      </c>
      <c r="B3362" s="1" t="s">
        <v>14</v>
      </c>
      <c r="C3362" s="1" t="s">
        <v>2073</v>
      </c>
      <c r="D3362" s="1">
        <v>3.0</v>
      </c>
      <c r="E3362" s="1">
        <v>56.0</v>
      </c>
      <c r="F3362" s="1">
        <v>2.0</v>
      </c>
      <c r="G3362" s="1">
        <v>4.0</v>
      </c>
      <c r="H3362" s="1" t="s">
        <v>32</v>
      </c>
      <c r="I3362" s="1" t="s">
        <v>33</v>
      </c>
      <c r="J3362" s="1" t="s">
        <v>18</v>
      </c>
      <c r="K3362" s="1">
        <v>83000.0</v>
      </c>
      <c r="L3362" s="1">
        <v>56.9650621</v>
      </c>
      <c r="M3362" s="1">
        <v>24.1952933</v>
      </c>
    </row>
    <row r="3363">
      <c r="A3363" s="1" t="s">
        <v>13</v>
      </c>
      <c r="B3363" s="1" t="s">
        <v>23</v>
      </c>
      <c r="C3363" s="1" t="s">
        <v>156</v>
      </c>
      <c r="D3363" s="1">
        <v>3.0</v>
      </c>
      <c r="E3363" s="1">
        <v>89.0</v>
      </c>
      <c r="F3363" s="1">
        <v>6.0</v>
      </c>
      <c r="G3363" s="1">
        <v>8.0</v>
      </c>
      <c r="H3363" s="1" t="s">
        <v>32</v>
      </c>
      <c r="I3363" s="1" t="s">
        <v>21</v>
      </c>
      <c r="J3363" s="1" t="s">
        <v>18</v>
      </c>
      <c r="K3363" s="1">
        <v>900.0</v>
      </c>
      <c r="L3363" s="1">
        <v>56.96998705</v>
      </c>
      <c r="M3363" s="1">
        <v>24.1242108827278</v>
      </c>
    </row>
    <row r="3364">
      <c r="A3364" s="1" t="s">
        <v>22</v>
      </c>
      <c r="B3364" s="1" t="s">
        <v>74</v>
      </c>
      <c r="C3364" s="1" t="s">
        <v>1306</v>
      </c>
      <c r="D3364" s="1">
        <v>3.0</v>
      </c>
      <c r="E3364" s="1">
        <v>94.0</v>
      </c>
      <c r="F3364" s="1">
        <v>8.0</v>
      </c>
      <c r="G3364" s="1">
        <v>9.0</v>
      </c>
      <c r="H3364" s="1" t="s">
        <v>32</v>
      </c>
      <c r="I3364" s="1" t="s">
        <v>21</v>
      </c>
      <c r="J3364" s="1" t="s">
        <v>18</v>
      </c>
      <c r="K3364" s="1">
        <v>125000.0</v>
      </c>
      <c r="L3364" s="1">
        <v>56.9451394</v>
      </c>
      <c r="M3364" s="1">
        <v>24.217608</v>
      </c>
    </row>
    <row r="3365">
      <c r="A3365" s="1" t="s">
        <v>22</v>
      </c>
      <c r="B3365" s="1" t="s">
        <v>19</v>
      </c>
      <c r="C3365" s="1" t="s">
        <v>1946</v>
      </c>
      <c r="D3365" s="1">
        <v>1.0</v>
      </c>
      <c r="E3365" s="1">
        <v>28.0</v>
      </c>
      <c r="F3365" s="1">
        <v>4.0</v>
      </c>
      <c r="G3365" s="1">
        <v>5.0</v>
      </c>
      <c r="H3365" s="1" t="s">
        <v>44</v>
      </c>
      <c r="I3365" s="1" t="s">
        <v>37</v>
      </c>
      <c r="J3365" s="1" t="s">
        <v>18</v>
      </c>
      <c r="K3365" s="1">
        <v>25000.0</v>
      </c>
      <c r="L3365" s="1" t="s">
        <v>40</v>
      </c>
      <c r="M3365" s="1" t="s">
        <v>40</v>
      </c>
    </row>
    <row r="3366">
      <c r="A3366" s="1" t="s">
        <v>22</v>
      </c>
      <c r="B3366" s="1" t="s">
        <v>23</v>
      </c>
      <c r="C3366" s="1" t="s">
        <v>98</v>
      </c>
      <c r="D3366" s="1">
        <v>4.0</v>
      </c>
      <c r="E3366" s="1">
        <v>128.0</v>
      </c>
      <c r="F3366" s="1">
        <v>1.0</v>
      </c>
      <c r="G3366" s="1">
        <v>2.0</v>
      </c>
      <c r="H3366" s="1" t="s">
        <v>66</v>
      </c>
      <c r="I3366" s="1" t="s">
        <v>37</v>
      </c>
      <c r="J3366" s="1" t="s">
        <v>18</v>
      </c>
      <c r="K3366" s="1">
        <v>200000.0</v>
      </c>
      <c r="L3366" s="1">
        <v>56.9553833</v>
      </c>
      <c r="M3366" s="1">
        <v>24.1488881</v>
      </c>
    </row>
    <row r="3367">
      <c r="A3367" s="1" t="s">
        <v>22</v>
      </c>
      <c r="B3367" s="1" t="s">
        <v>42</v>
      </c>
      <c r="C3367" s="1" t="s">
        <v>684</v>
      </c>
      <c r="D3367" s="1">
        <v>2.0</v>
      </c>
      <c r="E3367" s="1">
        <v>104.0</v>
      </c>
      <c r="F3367" s="1">
        <v>5.0</v>
      </c>
      <c r="G3367" s="1">
        <v>9.0</v>
      </c>
      <c r="H3367" s="1" t="s">
        <v>32</v>
      </c>
      <c r="I3367" s="1" t="s">
        <v>21</v>
      </c>
      <c r="J3367" s="1" t="s">
        <v>18</v>
      </c>
      <c r="K3367" s="1">
        <v>129000.0</v>
      </c>
      <c r="L3367" s="1">
        <v>56.9865865</v>
      </c>
      <c r="M3367" s="1">
        <v>24.2472562883399</v>
      </c>
    </row>
    <row r="3368">
      <c r="A3368" s="1" t="s">
        <v>22</v>
      </c>
      <c r="B3368" s="1" t="s">
        <v>14</v>
      </c>
      <c r="C3368" s="1" t="s">
        <v>2074</v>
      </c>
      <c r="D3368" s="1">
        <v>3.0</v>
      </c>
      <c r="E3368" s="1">
        <v>66.0</v>
      </c>
      <c r="F3368" s="1">
        <v>4.0</v>
      </c>
      <c r="G3368" s="1">
        <v>5.0</v>
      </c>
      <c r="H3368" s="1" t="s">
        <v>16</v>
      </c>
      <c r="I3368" s="1" t="s">
        <v>21</v>
      </c>
      <c r="J3368" s="1" t="s">
        <v>18</v>
      </c>
      <c r="K3368" s="1">
        <v>51000.0</v>
      </c>
      <c r="L3368" s="1">
        <v>56.9604259</v>
      </c>
      <c r="M3368" s="1">
        <v>24.201209</v>
      </c>
    </row>
    <row r="3369">
      <c r="A3369" s="1" t="s">
        <v>13</v>
      </c>
      <c r="B3369" s="1" t="s">
        <v>104</v>
      </c>
      <c r="C3369" s="1" t="s">
        <v>2075</v>
      </c>
      <c r="D3369" s="1">
        <v>1.0</v>
      </c>
      <c r="E3369" s="1">
        <v>38.0</v>
      </c>
      <c r="F3369" s="1">
        <v>3.0</v>
      </c>
      <c r="G3369" s="1">
        <v>5.0</v>
      </c>
      <c r="H3369" s="1" t="s">
        <v>25</v>
      </c>
      <c r="I3369" s="1" t="s">
        <v>37</v>
      </c>
      <c r="J3369" s="1" t="s">
        <v>18</v>
      </c>
      <c r="K3369" s="1">
        <v>250.0</v>
      </c>
      <c r="L3369" s="1">
        <v>56.9397842</v>
      </c>
      <c r="M3369" s="1">
        <v>24.0791923</v>
      </c>
    </row>
    <row r="3370">
      <c r="A3370" s="1" t="s">
        <v>13</v>
      </c>
      <c r="B3370" s="1" t="s">
        <v>23</v>
      </c>
      <c r="C3370" s="1" t="s">
        <v>2076</v>
      </c>
      <c r="D3370" s="1">
        <v>2.0</v>
      </c>
      <c r="E3370" s="1">
        <v>55.0</v>
      </c>
      <c r="F3370" s="1">
        <v>2.0</v>
      </c>
      <c r="G3370" s="1">
        <v>6.0</v>
      </c>
      <c r="H3370" s="1" t="s">
        <v>25</v>
      </c>
      <c r="I3370" s="1" t="s">
        <v>33</v>
      </c>
      <c r="J3370" s="1" t="s">
        <v>18</v>
      </c>
      <c r="K3370" s="1">
        <v>350.0</v>
      </c>
      <c r="L3370" s="1">
        <v>56.9446613</v>
      </c>
      <c r="M3370" s="1">
        <v>24.1236455352572</v>
      </c>
    </row>
    <row r="3371">
      <c r="A3371" s="1" t="s">
        <v>13</v>
      </c>
      <c r="B3371" s="1" t="s">
        <v>14</v>
      </c>
      <c r="C3371" s="1" t="s">
        <v>2077</v>
      </c>
      <c r="D3371" s="1">
        <v>3.0</v>
      </c>
      <c r="E3371" s="1">
        <v>75.0</v>
      </c>
      <c r="F3371" s="1">
        <v>5.0</v>
      </c>
      <c r="G3371" s="1">
        <v>9.0</v>
      </c>
      <c r="H3371" s="1">
        <v>119.0</v>
      </c>
      <c r="I3371" s="1" t="s">
        <v>21</v>
      </c>
      <c r="J3371" s="1" t="s">
        <v>18</v>
      </c>
      <c r="K3371" s="1">
        <v>420.0</v>
      </c>
      <c r="L3371" s="1">
        <v>56.95030235</v>
      </c>
      <c r="M3371" s="1">
        <v>24.1898001999999</v>
      </c>
    </row>
    <row r="3372">
      <c r="A3372" s="1" t="s">
        <v>89</v>
      </c>
      <c r="B3372" s="1" t="s">
        <v>422</v>
      </c>
      <c r="C3372" s="2"/>
      <c r="D3372" s="2"/>
      <c r="E3372" s="2"/>
      <c r="F3372" s="2"/>
      <c r="G3372" s="2"/>
      <c r="H3372" s="2"/>
      <c r="I3372" s="2"/>
      <c r="J3372" s="2"/>
      <c r="K3372" s="2"/>
      <c r="L3372" s="1">
        <v>46.3144754</v>
      </c>
      <c r="M3372" s="1">
        <v>11.0480288</v>
      </c>
    </row>
    <row r="3373">
      <c r="A3373" s="1" t="s">
        <v>89</v>
      </c>
      <c r="B3373" s="1" t="s">
        <v>109</v>
      </c>
      <c r="C3373" s="2"/>
      <c r="D3373" s="2"/>
      <c r="E3373" s="2"/>
      <c r="F3373" s="2"/>
      <c r="G3373" s="2"/>
      <c r="H3373" s="2"/>
      <c r="I3373" s="2"/>
      <c r="J3373" s="2"/>
      <c r="K3373" s="2"/>
      <c r="L3373" s="1">
        <v>46.3144754</v>
      </c>
      <c r="M3373" s="1">
        <v>11.0480288</v>
      </c>
    </row>
    <row r="3374">
      <c r="A3374" s="1" t="s">
        <v>89</v>
      </c>
      <c r="B3374" s="1" t="s">
        <v>42</v>
      </c>
      <c r="C3374" s="2"/>
      <c r="D3374" s="2"/>
      <c r="E3374" s="2"/>
      <c r="F3374" s="2"/>
      <c r="G3374" s="2"/>
      <c r="H3374" s="2"/>
      <c r="I3374" s="2"/>
      <c r="J3374" s="2"/>
      <c r="K3374" s="2"/>
      <c r="L3374" s="1">
        <v>46.3144754</v>
      </c>
      <c r="M3374" s="1">
        <v>11.0480288</v>
      </c>
    </row>
    <row r="3375">
      <c r="A3375" s="1" t="s">
        <v>13</v>
      </c>
      <c r="B3375" s="1" t="s">
        <v>14</v>
      </c>
      <c r="C3375" s="1" t="s">
        <v>2078</v>
      </c>
      <c r="D3375" s="1">
        <v>2.0</v>
      </c>
      <c r="E3375" s="1">
        <v>63.0</v>
      </c>
      <c r="F3375" s="1">
        <v>4.0</v>
      </c>
      <c r="G3375" s="1">
        <v>6.0</v>
      </c>
      <c r="H3375" s="1" t="s">
        <v>32</v>
      </c>
      <c r="I3375" s="1" t="s">
        <v>37</v>
      </c>
      <c r="J3375" s="1" t="s">
        <v>18</v>
      </c>
      <c r="K3375" s="1">
        <v>400.0</v>
      </c>
      <c r="L3375" s="1">
        <v>56.9633219</v>
      </c>
      <c r="M3375" s="1">
        <v>24.1777938037585</v>
      </c>
    </row>
    <row r="3376">
      <c r="A3376" s="1" t="s">
        <v>89</v>
      </c>
      <c r="B3376" s="1" t="s">
        <v>38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1">
        <v>46.3144754</v>
      </c>
      <c r="M3376" s="1">
        <v>11.0480288</v>
      </c>
    </row>
    <row r="3377">
      <c r="A3377" s="1" t="s">
        <v>89</v>
      </c>
      <c r="B3377" s="1" t="s">
        <v>117</v>
      </c>
      <c r="C3377" s="2"/>
      <c r="D3377" s="2"/>
      <c r="E3377" s="2"/>
      <c r="F3377" s="2"/>
      <c r="G3377" s="2"/>
      <c r="H3377" s="2"/>
      <c r="I3377" s="2"/>
      <c r="J3377" s="2"/>
      <c r="K3377" s="2"/>
      <c r="L3377" s="1">
        <v>46.3144754</v>
      </c>
      <c r="M3377" s="1">
        <v>11.0480288</v>
      </c>
    </row>
    <row r="3378">
      <c r="A3378" s="1" t="s">
        <v>22</v>
      </c>
      <c r="B3378" s="1" t="s">
        <v>104</v>
      </c>
      <c r="C3378" s="1" t="s">
        <v>352</v>
      </c>
      <c r="D3378" s="1">
        <v>4.0</v>
      </c>
      <c r="E3378" s="1">
        <v>89.7</v>
      </c>
      <c r="F3378" s="1">
        <v>5.0</v>
      </c>
      <c r="G3378" s="1">
        <v>6.0</v>
      </c>
      <c r="H3378" s="1" t="s">
        <v>32</v>
      </c>
      <c r="I3378" s="1" t="s">
        <v>33</v>
      </c>
      <c r="J3378" s="1" t="s">
        <v>18</v>
      </c>
      <c r="K3378" s="1">
        <v>180000.0</v>
      </c>
      <c r="L3378" s="1">
        <v>56.9374039</v>
      </c>
      <c r="M3378" s="1">
        <v>24.101176263114</v>
      </c>
    </row>
    <row r="3379">
      <c r="A3379" s="1" t="s">
        <v>22</v>
      </c>
      <c r="B3379" s="1" t="s">
        <v>19</v>
      </c>
      <c r="C3379" s="1" t="s">
        <v>2079</v>
      </c>
      <c r="D3379" s="1">
        <v>2.0</v>
      </c>
      <c r="E3379" s="1">
        <v>48.0</v>
      </c>
      <c r="F3379" s="1">
        <v>2.0</v>
      </c>
      <c r="G3379" s="1">
        <v>2.0</v>
      </c>
      <c r="H3379" s="1" t="s">
        <v>44</v>
      </c>
      <c r="I3379" s="1" t="s">
        <v>37</v>
      </c>
      <c r="J3379" s="1" t="s">
        <v>18</v>
      </c>
      <c r="K3379" s="1">
        <v>48500.0</v>
      </c>
      <c r="L3379" s="1">
        <v>56.9066938499999</v>
      </c>
      <c r="M3379" s="1">
        <v>24.1008035</v>
      </c>
    </row>
    <row r="3380">
      <c r="A3380" s="1" t="s">
        <v>22</v>
      </c>
      <c r="B3380" s="1" t="s">
        <v>23</v>
      </c>
      <c r="C3380" s="1" t="s">
        <v>2080</v>
      </c>
      <c r="D3380" s="1">
        <v>2.0</v>
      </c>
      <c r="E3380" s="1">
        <v>51.0</v>
      </c>
      <c r="F3380" s="1">
        <v>5.0</v>
      </c>
      <c r="G3380" s="1">
        <v>6.0</v>
      </c>
      <c r="H3380" s="1" t="s">
        <v>25</v>
      </c>
      <c r="I3380" s="1" t="s">
        <v>33</v>
      </c>
      <c r="J3380" s="1" t="s">
        <v>18</v>
      </c>
      <c r="K3380" s="1">
        <v>57000.0</v>
      </c>
      <c r="L3380" s="1">
        <v>56.9507767</v>
      </c>
      <c r="M3380" s="1">
        <v>24.1332307</v>
      </c>
    </row>
    <row r="3381">
      <c r="A3381" s="1" t="s">
        <v>22</v>
      </c>
      <c r="B3381" s="1" t="s">
        <v>23</v>
      </c>
      <c r="C3381" s="1" t="s">
        <v>286</v>
      </c>
      <c r="D3381" s="1">
        <v>1.0</v>
      </c>
      <c r="E3381" s="1">
        <v>44.0</v>
      </c>
      <c r="F3381" s="1">
        <v>2.0</v>
      </c>
      <c r="G3381" s="1">
        <v>5.0</v>
      </c>
      <c r="H3381" s="1" t="s">
        <v>25</v>
      </c>
      <c r="I3381" s="1" t="s">
        <v>33</v>
      </c>
      <c r="J3381" s="1" t="s">
        <v>18</v>
      </c>
      <c r="K3381" s="1">
        <v>85500.0</v>
      </c>
      <c r="L3381" s="1">
        <v>56.9596205</v>
      </c>
      <c r="M3381" s="1">
        <v>24.1190117</v>
      </c>
    </row>
    <row r="3382">
      <c r="A3382" s="1" t="s">
        <v>22</v>
      </c>
      <c r="B3382" s="1" t="s">
        <v>30</v>
      </c>
      <c r="C3382" s="1" t="s">
        <v>2081</v>
      </c>
      <c r="D3382" s="1">
        <v>2.0</v>
      </c>
      <c r="E3382" s="1">
        <v>48.0</v>
      </c>
      <c r="F3382" s="1">
        <v>2.0</v>
      </c>
      <c r="G3382" s="1">
        <v>3.0</v>
      </c>
      <c r="H3382" s="1" t="s">
        <v>181</v>
      </c>
      <c r="I3382" s="1" t="s">
        <v>37</v>
      </c>
      <c r="J3382" s="1" t="s">
        <v>18</v>
      </c>
      <c r="K3382" s="1">
        <v>69000.0</v>
      </c>
      <c r="L3382" s="1">
        <v>56.9827053</v>
      </c>
      <c r="M3382" s="1">
        <v>24.2009953</v>
      </c>
    </row>
    <row r="3383">
      <c r="A3383" s="1" t="s">
        <v>22</v>
      </c>
      <c r="B3383" s="1" t="s">
        <v>96</v>
      </c>
      <c r="C3383" s="1" t="s">
        <v>1067</v>
      </c>
      <c r="D3383" s="1">
        <v>2.0</v>
      </c>
      <c r="E3383" s="1">
        <v>46.0</v>
      </c>
      <c r="F3383" s="1">
        <v>2.0</v>
      </c>
      <c r="G3383" s="1">
        <v>5.0</v>
      </c>
      <c r="H3383" s="1" t="s">
        <v>44</v>
      </c>
      <c r="I3383" s="1" t="s">
        <v>37</v>
      </c>
      <c r="J3383" s="1" t="s">
        <v>18</v>
      </c>
      <c r="K3383" s="1">
        <v>42365.0</v>
      </c>
      <c r="L3383" s="1">
        <v>57.0278589</v>
      </c>
      <c r="M3383" s="1">
        <v>24.1029177</v>
      </c>
    </row>
    <row r="3384">
      <c r="A3384" s="1" t="s">
        <v>22</v>
      </c>
      <c r="B3384" s="1" t="s">
        <v>74</v>
      </c>
      <c r="C3384" s="1" t="s">
        <v>2082</v>
      </c>
      <c r="D3384" s="1">
        <v>1.0</v>
      </c>
      <c r="E3384" s="1">
        <v>35.0</v>
      </c>
      <c r="F3384" s="1">
        <v>6.0</v>
      </c>
      <c r="G3384" s="1">
        <v>9.0</v>
      </c>
      <c r="H3384" s="1">
        <v>602.0</v>
      </c>
      <c r="I3384" s="1" t="s">
        <v>21</v>
      </c>
      <c r="J3384" s="1" t="s">
        <v>18</v>
      </c>
      <c r="K3384" s="1">
        <v>32000.0</v>
      </c>
      <c r="L3384" s="1">
        <v>56.9446815999999</v>
      </c>
      <c r="M3384" s="1">
        <v>24.2145409359572</v>
      </c>
    </row>
    <row r="3385">
      <c r="A3385" s="1" t="s">
        <v>13</v>
      </c>
      <c r="B3385" s="1" t="s">
        <v>104</v>
      </c>
      <c r="C3385" s="1" t="s">
        <v>2083</v>
      </c>
      <c r="D3385" s="1">
        <v>1.0</v>
      </c>
      <c r="E3385" s="1">
        <v>43.0</v>
      </c>
      <c r="F3385" s="1">
        <v>2.0</v>
      </c>
      <c r="G3385" s="1">
        <v>9.0</v>
      </c>
      <c r="H3385" s="1" t="s">
        <v>32</v>
      </c>
      <c r="I3385" s="1" t="s">
        <v>21</v>
      </c>
      <c r="J3385" s="1" t="s">
        <v>18</v>
      </c>
      <c r="K3385" s="1">
        <v>400.0</v>
      </c>
      <c r="L3385" s="1">
        <v>56.9462443</v>
      </c>
      <c r="M3385" s="1">
        <v>24.0771849097587</v>
      </c>
    </row>
    <row r="3386">
      <c r="A3386" s="1" t="s">
        <v>13</v>
      </c>
      <c r="B3386" s="1" t="s">
        <v>23</v>
      </c>
      <c r="C3386" s="1" t="s">
        <v>1455</v>
      </c>
      <c r="D3386" s="1">
        <v>2.0</v>
      </c>
      <c r="E3386" s="1">
        <v>60.0</v>
      </c>
      <c r="F3386" s="1">
        <v>4.0</v>
      </c>
      <c r="G3386" s="1">
        <v>5.0</v>
      </c>
      <c r="H3386" s="1" t="s">
        <v>36</v>
      </c>
      <c r="I3386" s="1" t="s">
        <v>37</v>
      </c>
      <c r="J3386" s="1" t="s">
        <v>18</v>
      </c>
      <c r="K3386" s="1">
        <v>650.0</v>
      </c>
      <c r="L3386" s="1">
        <v>56.95661335</v>
      </c>
      <c r="M3386" s="1">
        <v>24.0987304306377</v>
      </c>
    </row>
    <row r="3387">
      <c r="A3387" s="1" t="s">
        <v>22</v>
      </c>
      <c r="B3387" s="1" t="s">
        <v>23</v>
      </c>
      <c r="C3387" s="1" t="s">
        <v>2084</v>
      </c>
      <c r="D3387" s="1">
        <v>3.0</v>
      </c>
      <c r="E3387" s="1">
        <v>108.0</v>
      </c>
      <c r="F3387" s="1">
        <v>4.0</v>
      </c>
      <c r="G3387" s="1">
        <v>4.0</v>
      </c>
      <c r="H3387" s="1" t="s">
        <v>32</v>
      </c>
      <c r="I3387" s="1" t="s">
        <v>33</v>
      </c>
      <c r="J3387" s="1" t="s">
        <v>18</v>
      </c>
      <c r="K3387" s="1">
        <v>170000.0</v>
      </c>
      <c r="L3387" s="1" t="s">
        <v>40</v>
      </c>
      <c r="M3387" s="1" t="s">
        <v>40</v>
      </c>
    </row>
    <row r="3388">
      <c r="A3388" s="1" t="s">
        <v>22</v>
      </c>
      <c r="B3388" s="1" t="s">
        <v>28</v>
      </c>
      <c r="C3388" s="1" t="s">
        <v>2085</v>
      </c>
      <c r="D3388" s="1">
        <v>2.0</v>
      </c>
      <c r="E3388" s="1">
        <v>42.0</v>
      </c>
      <c r="F3388" s="1">
        <v>2.0</v>
      </c>
      <c r="G3388" s="1">
        <v>5.0</v>
      </c>
      <c r="H3388" s="1" t="s">
        <v>44</v>
      </c>
      <c r="I3388" s="1" t="s">
        <v>37</v>
      </c>
      <c r="J3388" s="1" t="s">
        <v>18</v>
      </c>
      <c r="K3388" s="1">
        <v>45400.0</v>
      </c>
      <c r="L3388" s="1">
        <v>56.9133625</v>
      </c>
      <c r="M3388" s="1">
        <v>24.1874936748822</v>
      </c>
    </row>
    <row r="3389">
      <c r="A3389" s="1" t="s">
        <v>22</v>
      </c>
      <c r="B3389" s="1" t="s">
        <v>23</v>
      </c>
      <c r="C3389" s="1" t="s">
        <v>2086</v>
      </c>
      <c r="D3389" s="1">
        <v>3.0</v>
      </c>
      <c r="E3389" s="1">
        <v>71.0</v>
      </c>
      <c r="F3389" s="1">
        <v>4.0</v>
      </c>
      <c r="G3389" s="1">
        <v>5.0</v>
      </c>
      <c r="H3389" s="1" t="s">
        <v>25</v>
      </c>
      <c r="I3389" s="1" t="s">
        <v>33</v>
      </c>
      <c r="J3389" s="1" t="s">
        <v>18</v>
      </c>
      <c r="K3389" s="1">
        <v>70000.0</v>
      </c>
      <c r="L3389" s="1">
        <v>56.94979075</v>
      </c>
      <c r="M3389" s="1">
        <v>24.1415616845318</v>
      </c>
    </row>
    <row r="3390">
      <c r="A3390" s="1" t="s">
        <v>22</v>
      </c>
      <c r="B3390" s="1" t="s">
        <v>48</v>
      </c>
      <c r="C3390" s="1" t="s">
        <v>365</v>
      </c>
      <c r="D3390" s="1">
        <v>2.0</v>
      </c>
      <c r="E3390" s="1">
        <v>48.0</v>
      </c>
      <c r="F3390" s="1">
        <v>2.0</v>
      </c>
      <c r="G3390" s="1">
        <v>5.0</v>
      </c>
      <c r="H3390" s="1" t="s">
        <v>36</v>
      </c>
      <c r="I3390" s="1" t="s">
        <v>33</v>
      </c>
      <c r="J3390" s="1" t="s">
        <v>18</v>
      </c>
      <c r="K3390" s="1">
        <v>69500.0</v>
      </c>
      <c r="L3390" s="1">
        <v>56.95546705</v>
      </c>
      <c r="M3390" s="1">
        <v>24.24181865</v>
      </c>
    </row>
    <row r="3391">
      <c r="A3391" s="1" t="s">
        <v>22</v>
      </c>
      <c r="B3391" s="1" t="s">
        <v>23</v>
      </c>
      <c r="C3391" s="1" t="s">
        <v>2087</v>
      </c>
      <c r="D3391" s="1">
        <v>1.0</v>
      </c>
      <c r="E3391" s="1">
        <v>23.0</v>
      </c>
      <c r="F3391" s="1">
        <v>1.0</v>
      </c>
      <c r="G3391" s="1">
        <v>4.0</v>
      </c>
      <c r="H3391" s="1" t="s">
        <v>25</v>
      </c>
      <c r="I3391" s="1" t="s">
        <v>37</v>
      </c>
      <c r="J3391" s="1" t="s">
        <v>27</v>
      </c>
      <c r="K3391" s="1">
        <v>28900.0</v>
      </c>
      <c r="L3391" s="1">
        <v>56.9683499</v>
      </c>
      <c r="M3391" s="1">
        <v>24.1052617</v>
      </c>
    </row>
    <row r="3392">
      <c r="A3392" s="1" t="s">
        <v>22</v>
      </c>
      <c r="B3392" s="1" t="s">
        <v>422</v>
      </c>
      <c r="C3392" s="1" t="s">
        <v>1870</v>
      </c>
      <c r="D3392" s="1">
        <v>4.0</v>
      </c>
      <c r="E3392" s="1">
        <v>100.0</v>
      </c>
      <c r="F3392" s="1">
        <v>1.0</v>
      </c>
      <c r="G3392" s="1">
        <v>2.0</v>
      </c>
      <c r="H3392" s="1" t="s">
        <v>25</v>
      </c>
      <c r="I3392" s="1" t="s">
        <v>26</v>
      </c>
      <c r="J3392" s="1" t="s">
        <v>18</v>
      </c>
      <c r="K3392" s="1">
        <v>76000.0</v>
      </c>
      <c r="L3392" s="1">
        <v>56.9418126</v>
      </c>
      <c r="M3392" s="1">
        <v>24.038539163099</v>
      </c>
    </row>
    <row r="3393">
      <c r="A3393" s="1" t="s">
        <v>22</v>
      </c>
      <c r="B3393" s="1" t="s">
        <v>48</v>
      </c>
      <c r="C3393" s="1" t="s">
        <v>1824</v>
      </c>
      <c r="D3393" s="1">
        <v>3.0</v>
      </c>
      <c r="E3393" s="1">
        <v>74.2</v>
      </c>
      <c r="F3393" s="1">
        <v>1.0</v>
      </c>
      <c r="G3393" s="1">
        <v>5.0</v>
      </c>
      <c r="H3393" s="1" t="s">
        <v>32</v>
      </c>
      <c r="I3393" s="1" t="s">
        <v>17</v>
      </c>
      <c r="J3393" s="1" t="s">
        <v>18</v>
      </c>
      <c r="K3393" s="1">
        <v>92750.0</v>
      </c>
      <c r="L3393" s="1">
        <v>56.9541725</v>
      </c>
      <c r="M3393" s="1">
        <v>24.2443253</v>
      </c>
    </row>
    <row r="3394">
      <c r="A3394" s="1" t="s">
        <v>22</v>
      </c>
      <c r="B3394" s="1" t="s">
        <v>23</v>
      </c>
      <c r="C3394" s="1" t="s">
        <v>872</v>
      </c>
      <c r="D3394" s="1">
        <v>2.0</v>
      </c>
      <c r="E3394" s="1">
        <v>59.0</v>
      </c>
      <c r="F3394" s="1">
        <v>7.0</v>
      </c>
      <c r="G3394" s="1">
        <v>7.0</v>
      </c>
      <c r="H3394" s="1" t="s">
        <v>32</v>
      </c>
      <c r="I3394" s="1" t="s">
        <v>17</v>
      </c>
      <c r="J3394" s="1" t="s">
        <v>18</v>
      </c>
      <c r="K3394" s="1">
        <v>132000.0</v>
      </c>
      <c r="L3394" s="1" t="s">
        <v>40</v>
      </c>
      <c r="M3394" s="1" t="s">
        <v>40</v>
      </c>
    </row>
    <row r="3395">
      <c r="A3395" s="1" t="s">
        <v>22</v>
      </c>
      <c r="B3395" s="1" t="s">
        <v>218</v>
      </c>
      <c r="C3395" s="1" t="s">
        <v>219</v>
      </c>
      <c r="D3395" s="1">
        <v>4.0</v>
      </c>
      <c r="E3395" s="1">
        <v>88.0</v>
      </c>
      <c r="F3395" s="1">
        <v>3.0</v>
      </c>
      <c r="G3395" s="1">
        <v>6.0</v>
      </c>
      <c r="H3395" s="1" t="s">
        <v>32</v>
      </c>
      <c r="I3395" s="1" t="s">
        <v>122</v>
      </c>
      <c r="J3395" s="1" t="s">
        <v>18</v>
      </c>
      <c r="K3395" s="1">
        <v>190000.0</v>
      </c>
      <c r="L3395" s="1">
        <v>56.9453381999999</v>
      </c>
      <c r="M3395" s="1">
        <v>24.1094639533088</v>
      </c>
    </row>
    <row r="3396">
      <c r="A3396" s="1" t="s">
        <v>22</v>
      </c>
      <c r="B3396" s="1" t="s">
        <v>23</v>
      </c>
      <c r="C3396" s="1" t="s">
        <v>2088</v>
      </c>
      <c r="D3396" s="1">
        <v>2.0</v>
      </c>
      <c r="E3396" s="1">
        <v>40.0</v>
      </c>
      <c r="F3396" s="1">
        <v>1.0</v>
      </c>
      <c r="G3396" s="1">
        <v>5.0</v>
      </c>
      <c r="H3396" s="1" t="s">
        <v>25</v>
      </c>
      <c r="I3396" s="1" t="s">
        <v>33</v>
      </c>
      <c r="J3396" s="1" t="s">
        <v>18</v>
      </c>
      <c r="K3396" s="1">
        <v>46300.0</v>
      </c>
      <c r="L3396" s="1">
        <v>56.8597884</v>
      </c>
      <c r="M3396" s="1">
        <v>24.3083417</v>
      </c>
    </row>
    <row r="3397">
      <c r="A3397" s="1" t="s">
        <v>22</v>
      </c>
      <c r="B3397" s="1" t="s">
        <v>19</v>
      </c>
      <c r="C3397" s="1" t="s">
        <v>2089</v>
      </c>
      <c r="D3397" s="1">
        <v>3.0</v>
      </c>
      <c r="E3397" s="1">
        <v>76.0</v>
      </c>
      <c r="F3397" s="1">
        <v>3.0</v>
      </c>
      <c r="G3397" s="1">
        <v>3.0</v>
      </c>
      <c r="H3397" s="1" t="s">
        <v>32</v>
      </c>
      <c r="I3397" s="1" t="s">
        <v>17</v>
      </c>
      <c r="J3397" s="1" t="s">
        <v>18</v>
      </c>
      <c r="K3397" s="1">
        <v>115900.0</v>
      </c>
      <c r="L3397" s="1">
        <v>56.914968</v>
      </c>
      <c r="M3397" s="1">
        <v>24.12289</v>
      </c>
    </row>
    <row r="3398">
      <c r="A3398" s="1" t="s">
        <v>22</v>
      </c>
      <c r="B3398" s="1" t="s">
        <v>23</v>
      </c>
      <c r="C3398" s="1" t="s">
        <v>2090</v>
      </c>
      <c r="D3398" s="1">
        <v>3.0</v>
      </c>
      <c r="E3398" s="1">
        <v>50.0</v>
      </c>
      <c r="F3398" s="1">
        <v>2.0</v>
      </c>
      <c r="G3398" s="1">
        <v>5.0</v>
      </c>
      <c r="H3398" s="1" t="s">
        <v>25</v>
      </c>
      <c r="I3398" s="1" t="s">
        <v>33</v>
      </c>
      <c r="J3398" s="1" t="s">
        <v>18</v>
      </c>
      <c r="K3398" s="1">
        <v>61100.0</v>
      </c>
      <c r="L3398" s="1">
        <v>56.8597884</v>
      </c>
      <c r="M3398" s="1">
        <v>24.3083417</v>
      </c>
    </row>
    <row r="3399">
      <c r="A3399" s="1" t="s">
        <v>13</v>
      </c>
      <c r="B3399" s="1" t="s">
        <v>23</v>
      </c>
      <c r="C3399" s="1" t="s">
        <v>2088</v>
      </c>
      <c r="D3399" s="1">
        <v>2.0</v>
      </c>
      <c r="E3399" s="1">
        <v>40.0</v>
      </c>
      <c r="F3399" s="1">
        <v>1.0</v>
      </c>
      <c r="G3399" s="1">
        <v>5.0</v>
      </c>
      <c r="H3399" s="1" t="s">
        <v>25</v>
      </c>
      <c r="I3399" s="1" t="s">
        <v>33</v>
      </c>
      <c r="J3399" s="1" t="s">
        <v>18</v>
      </c>
      <c r="K3399" s="1">
        <v>380.0</v>
      </c>
      <c r="L3399" s="1">
        <v>56.8597884</v>
      </c>
      <c r="M3399" s="1">
        <v>24.3083417</v>
      </c>
    </row>
    <row r="3400">
      <c r="A3400" s="1" t="s">
        <v>22</v>
      </c>
      <c r="B3400" s="1" t="s">
        <v>30</v>
      </c>
      <c r="C3400" s="1" t="s">
        <v>2091</v>
      </c>
      <c r="D3400" s="1">
        <v>1.0</v>
      </c>
      <c r="E3400" s="1">
        <v>30.0</v>
      </c>
      <c r="F3400" s="1">
        <v>5.0</v>
      </c>
      <c r="G3400" s="1">
        <v>5.0</v>
      </c>
      <c r="H3400" s="1" t="s">
        <v>44</v>
      </c>
      <c r="I3400" s="1" t="s">
        <v>37</v>
      </c>
      <c r="J3400" s="1" t="s">
        <v>18</v>
      </c>
      <c r="K3400" s="1">
        <v>27500.0</v>
      </c>
      <c r="L3400" s="1">
        <v>56.9818802</v>
      </c>
      <c r="M3400" s="1">
        <v>24.1860321</v>
      </c>
    </row>
    <row r="3401">
      <c r="A3401" s="1" t="s">
        <v>89</v>
      </c>
      <c r="B3401" s="1" t="s">
        <v>23</v>
      </c>
      <c r="C3401" s="2"/>
      <c r="D3401" s="1">
        <v>1.0</v>
      </c>
      <c r="E3401" s="2"/>
      <c r="F3401" s="1">
        <v>2.0</v>
      </c>
      <c r="G3401" s="2"/>
      <c r="H3401" s="2"/>
      <c r="I3401" s="2"/>
      <c r="J3401" s="2"/>
      <c r="K3401" s="2"/>
      <c r="L3401" s="1">
        <v>46.3144754</v>
      </c>
      <c r="M3401" s="1">
        <v>11.0480288</v>
      </c>
    </row>
    <row r="3402">
      <c r="A3402" s="1" t="s">
        <v>13</v>
      </c>
      <c r="B3402" s="1" t="s">
        <v>23</v>
      </c>
      <c r="C3402" s="1" t="s">
        <v>2092</v>
      </c>
      <c r="D3402" s="1">
        <v>5.0</v>
      </c>
      <c r="E3402" s="1">
        <v>85.0</v>
      </c>
      <c r="F3402" s="1">
        <v>2.0</v>
      </c>
      <c r="G3402" s="1">
        <v>5.0</v>
      </c>
      <c r="H3402" s="1" t="s">
        <v>66</v>
      </c>
      <c r="I3402" s="1" t="s">
        <v>33</v>
      </c>
      <c r="J3402" s="1" t="s">
        <v>18</v>
      </c>
      <c r="K3402" s="1">
        <v>680.0</v>
      </c>
      <c r="L3402" s="1">
        <v>56.9517282</v>
      </c>
      <c r="M3402" s="1">
        <v>24.127484</v>
      </c>
    </row>
    <row r="3403">
      <c r="A3403" s="1" t="s">
        <v>13</v>
      </c>
      <c r="B3403" s="1" t="s">
        <v>23</v>
      </c>
      <c r="C3403" s="1" t="s">
        <v>1672</v>
      </c>
      <c r="D3403" s="1">
        <v>2.0</v>
      </c>
      <c r="E3403" s="1">
        <v>62.0</v>
      </c>
      <c r="F3403" s="1">
        <v>5.0</v>
      </c>
      <c r="G3403" s="1">
        <v>5.0</v>
      </c>
      <c r="H3403" s="1" t="s">
        <v>36</v>
      </c>
      <c r="I3403" s="1" t="s">
        <v>37</v>
      </c>
      <c r="J3403" s="1" t="s">
        <v>18</v>
      </c>
      <c r="K3403" s="1">
        <v>690.0</v>
      </c>
      <c r="L3403" s="1">
        <v>56.95619685</v>
      </c>
      <c r="M3403" s="1">
        <v>24.098819615355</v>
      </c>
    </row>
    <row r="3404">
      <c r="A3404" s="1" t="s">
        <v>22</v>
      </c>
      <c r="B3404" s="1" t="s">
        <v>23</v>
      </c>
      <c r="C3404" s="1" t="s">
        <v>2093</v>
      </c>
      <c r="D3404" s="1">
        <v>3.0</v>
      </c>
      <c r="E3404" s="1">
        <v>86.0</v>
      </c>
      <c r="F3404" s="1">
        <v>6.0</v>
      </c>
      <c r="G3404" s="1">
        <v>6.0</v>
      </c>
      <c r="H3404" s="1" t="s">
        <v>25</v>
      </c>
      <c r="I3404" s="1" t="s">
        <v>33</v>
      </c>
      <c r="J3404" s="1" t="s">
        <v>18</v>
      </c>
      <c r="K3404" s="1">
        <v>88000.0</v>
      </c>
      <c r="L3404" s="1">
        <v>56.9625058</v>
      </c>
      <c r="M3404" s="1">
        <v>24.1514395764121</v>
      </c>
    </row>
    <row r="3405">
      <c r="A3405" s="1" t="s">
        <v>22</v>
      </c>
      <c r="B3405" s="1" t="s">
        <v>23</v>
      </c>
      <c r="C3405" s="1" t="s">
        <v>649</v>
      </c>
      <c r="D3405" s="1">
        <v>2.0</v>
      </c>
      <c r="E3405" s="1">
        <v>82.0</v>
      </c>
      <c r="F3405" s="1">
        <v>2.0</v>
      </c>
      <c r="G3405" s="1">
        <v>5.0</v>
      </c>
      <c r="H3405" s="1" t="s">
        <v>25</v>
      </c>
      <c r="I3405" s="1" t="s">
        <v>33</v>
      </c>
      <c r="J3405" s="1" t="s">
        <v>18</v>
      </c>
      <c r="K3405" s="1">
        <v>125000.0</v>
      </c>
      <c r="L3405" s="1">
        <v>56.94451965</v>
      </c>
      <c r="M3405" s="1">
        <v>24.1097848172545</v>
      </c>
    </row>
    <row r="3406">
      <c r="A3406" s="1" t="s">
        <v>22</v>
      </c>
      <c r="B3406" s="1" t="s">
        <v>67</v>
      </c>
      <c r="C3406" s="1" t="s">
        <v>2094</v>
      </c>
      <c r="D3406" s="1">
        <v>3.0</v>
      </c>
      <c r="E3406" s="1">
        <v>69.0</v>
      </c>
      <c r="F3406" s="1">
        <v>5.0</v>
      </c>
      <c r="G3406" s="1">
        <v>5.0</v>
      </c>
      <c r="H3406" s="1">
        <v>103.0</v>
      </c>
      <c r="I3406" s="1" t="s">
        <v>37</v>
      </c>
      <c r="J3406" s="1" t="s">
        <v>18</v>
      </c>
      <c r="K3406" s="1">
        <v>109500.0</v>
      </c>
      <c r="L3406" s="1">
        <v>56.9598704</v>
      </c>
      <c r="M3406" s="1">
        <v>24.1507061737864</v>
      </c>
    </row>
    <row r="3407">
      <c r="A3407" s="1" t="s">
        <v>13</v>
      </c>
      <c r="B3407" s="1" t="s">
        <v>23</v>
      </c>
      <c r="C3407" s="1" t="s">
        <v>647</v>
      </c>
      <c r="D3407" s="1">
        <v>1.0</v>
      </c>
      <c r="E3407" s="1">
        <v>26.0</v>
      </c>
      <c r="F3407" s="1">
        <v>4.0</v>
      </c>
      <c r="G3407" s="1">
        <v>6.0</v>
      </c>
      <c r="H3407" s="1" t="s">
        <v>66</v>
      </c>
      <c r="I3407" s="1" t="s">
        <v>33</v>
      </c>
      <c r="J3407" s="1" t="s">
        <v>18</v>
      </c>
      <c r="K3407" s="1">
        <v>260.0</v>
      </c>
      <c r="L3407" s="1">
        <v>56.8597884</v>
      </c>
      <c r="M3407" s="1">
        <v>24.3083417</v>
      </c>
    </row>
    <row r="3408">
      <c r="A3408" s="1" t="s">
        <v>22</v>
      </c>
      <c r="B3408" s="1" t="s">
        <v>104</v>
      </c>
      <c r="C3408" s="1" t="s">
        <v>2095</v>
      </c>
      <c r="D3408" s="1">
        <v>2.0</v>
      </c>
      <c r="E3408" s="1">
        <v>72.0</v>
      </c>
      <c r="F3408" s="1">
        <v>2.0</v>
      </c>
      <c r="G3408" s="1">
        <v>3.0</v>
      </c>
      <c r="H3408" s="1" t="s">
        <v>66</v>
      </c>
      <c r="I3408" s="1" t="s">
        <v>37</v>
      </c>
      <c r="J3408" s="1" t="s">
        <v>18</v>
      </c>
      <c r="K3408" s="1">
        <v>95000.0</v>
      </c>
      <c r="L3408" s="1">
        <v>56.918403</v>
      </c>
      <c r="M3408" s="1">
        <v>24.0883001</v>
      </c>
    </row>
    <row r="3409">
      <c r="A3409" s="1" t="s">
        <v>13</v>
      </c>
      <c r="B3409" s="1" t="s">
        <v>48</v>
      </c>
      <c r="C3409" s="1" t="s">
        <v>54</v>
      </c>
      <c r="D3409" s="1">
        <v>2.0</v>
      </c>
      <c r="E3409" s="1">
        <v>50.0</v>
      </c>
      <c r="F3409" s="1">
        <v>5.0</v>
      </c>
      <c r="G3409" s="1">
        <v>5.0</v>
      </c>
      <c r="H3409" s="1" t="s">
        <v>16</v>
      </c>
      <c r="I3409" s="1" t="s">
        <v>21</v>
      </c>
      <c r="J3409" s="1" t="s">
        <v>18</v>
      </c>
      <c r="K3409" s="1">
        <v>300.0</v>
      </c>
      <c r="L3409" s="1">
        <v>56.9736358</v>
      </c>
      <c r="M3409" s="1">
        <v>24.2335309150293</v>
      </c>
    </row>
    <row r="3410">
      <c r="A3410" s="1" t="s">
        <v>13</v>
      </c>
      <c r="B3410" s="1" t="s">
        <v>48</v>
      </c>
      <c r="C3410" s="1" t="s">
        <v>2096</v>
      </c>
      <c r="D3410" s="1">
        <v>2.0</v>
      </c>
      <c r="E3410" s="1">
        <v>50.0</v>
      </c>
      <c r="F3410" s="1">
        <v>4.0</v>
      </c>
      <c r="G3410" s="1">
        <v>9.0</v>
      </c>
      <c r="H3410" s="1">
        <v>602.0</v>
      </c>
      <c r="I3410" s="1" t="s">
        <v>21</v>
      </c>
      <c r="J3410" s="1" t="s">
        <v>18</v>
      </c>
      <c r="K3410" s="1">
        <v>350.0</v>
      </c>
      <c r="L3410" s="1">
        <v>56.962789</v>
      </c>
      <c r="M3410" s="1">
        <v>24.2339038299438</v>
      </c>
    </row>
    <row r="3411">
      <c r="A3411" s="1" t="s">
        <v>13</v>
      </c>
      <c r="B3411" s="1" t="s">
        <v>23</v>
      </c>
      <c r="C3411" s="1" t="s">
        <v>2088</v>
      </c>
      <c r="D3411" s="1">
        <v>1.0</v>
      </c>
      <c r="E3411" s="1">
        <v>35.0</v>
      </c>
      <c r="F3411" s="1">
        <v>3.0</v>
      </c>
      <c r="G3411" s="1">
        <v>5.0</v>
      </c>
      <c r="H3411" s="1" t="s">
        <v>25</v>
      </c>
      <c r="I3411" s="1" t="s">
        <v>37</v>
      </c>
      <c r="J3411" s="1" t="s">
        <v>27</v>
      </c>
      <c r="K3411" s="1">
        <v>210.0</v>
      </c>
      <c r="L3411" s="1">
        <v>56.8597884</v>
      </c>
      <c r="M3411" s="1">
        <v>24.3083417</v>
      </c>
    </row>
    <row r="3412">
      <c r="A3412" s="1" t="s">
        <v>13</v>
      </c>
      <c r="B3412" s="1" t="s">
        <v>23</v>
      </c>
      <c r="C3412" s="1" t="s">
        <v>2019</v>
      </c>
      <c r="D3412" s="1">
        <v>3.0</v>
      </c>
      <c r="E3412" s="1">
        <v>90.0</v>
      </c>
      <c r="F3412" s="1">
        <v>2.0</v>
      </c>
      <c r="G3412" s="1">
        <v>3.0</v>
      </c>
      <c r="H3412" s="1" t="s">
        <v>181</v>
      </c>
      <c r="I3412" s="1" t="s">
        <v>33</v>
      </c>
      <c r="J3412" s="1" t="s">
        <v>18</v>
      </c>
      <c r="K3412" s="1">
        <v>500.0</v>
      </c>
      <c r="L3412" s="1" t="s">
        <v>40</v>
      </c>
      <c r="M3412" s="1" t="s">
        <v>40</v>
      </c>
    </row>
    <row r="3413">
      <c r="A3413" s="1" t="s">
        <v>22</v>
      </c>
      <c r="B3413" s="1" t="s">
        <v>134</v>
      </c>
      <c r="C3413" s="1" t="s">
        <v>2097</v>
      </c>
      <c r="D3413" s="1">
        <v>2.0</v>
      </c>
      <c r="E3413" s="1">
        <v>46.0</v>
      </c>
      <c r="F3413" s="1">
        <v>1.0</v>
      </c>
      <c r="G3413" s="1">
        <v>5.0</v>
      </c>
      <c r="H3413" s="1" t="s">
        <v>36</v>
      </c>
      <c r="I3413" s="1" t="s">
        <v>37</v>
      </c>
      <c r="J3413" s="1" t="s">
        <v>18</v>
      </c>
      <c r="K3413" s="1">
        <v>31500.0</v>
      </c>
      <c r="L3413" s="1">
        <v>57.0394776</v>
      </c>
      <c r="M3413" s="1">
        <v>24.0232375042541</v>
      </c>
    </row>
    <row r="3414">
      <c r="A3414" s="1" t="s">
        <v>22</v>
      </c>
      <c r="B3414" s="1" t="s">
        <v>42</v>
      </c>
      <c r="C3414" s="1" t="s">
        <v>2098</v>
      </c>
      <c r="D3414" s="1">
        <v>1.0</v>
      </c>
      <c r="E3414" s="1">
        <v>42.0</v>
      </c>
      <c r="F3414" s="1">
        <v>2.0</v>
      </c>
      <c r="G3414" s="1">
        <v>2.0</v>
      </c>
      <c r="H3414" s="1" t="s">
        <v>44</v>
      </c>
      <c r="I3414" s="1" t="s">
        <v>37</v>
      </c>
      <c r="J3414" s="1" t="s">
        <v>27</v>
      </c>
      <c r="K3414" s="1">
        <v>18000.0</v>
      </c>
      <c r="L3414" s="1" t="s">
        <v>40</v>
      </c>
      <c r="M3414" s="1" t="s">
        <v>40</v>
      </c>
    </row>
    <row r="3415">
      <c r="A3415" s="1" t="s">
        <v>22</v>
      </c>
      <c r="B3415" s="1" t="s">
        <v>60</v>
      </c>
      <c r="C3415" s="1" t="s">
        <v>61</v>
      </c>
      <c r="D3415" s="1">
        <v>2.0</v>
      </c>
      <c r="E3415" s="1">
        <v>52.0</v>
      </c>
      <c r="F3415" s="1">
        <v>5.0</v>
      </c>
      <c r="G3415" s="1">
        <v>5.0</v>
      </c>
      <c r="H3415" s="1" t="s">
        <v>36</v>
      </c>
      <c r="I3415" s="1" t="s">
        <v>21</v>
      </c>
      <c r="J3415" s="1" t="s">
        <v>18</v>
      </c>
      <c r="K3415" s="1">
        <v>30000.0</v>
      </c>
      <c r="L3415" s="1">
        <v>57.02965155</v>
      </c>
      <c r="M3415" s="1">
        <v>24.0359751945236</v>
      </c>
    </row>
    <row r="3416">
      <c r="A3416" s="1" t="s">
        <v>13</v>
      </c>
      <c r="B3416" s="1" t="s">
        <v>23</v>
      </c>
      <c r="C3416" s="1" t="s">
        <v>1285</v>
      </c>
      <c r="D3416" s="1">
        <v>4.0</v>
      </c>
      <c r="E3416" s="1">
        <v>114.0</v>
      </c>
      <c r="F3416" s="1">
        <v>2.0</v>
      </c>
      <c r="G3416" s="1">
        <v>6.0</v>
      </c>
      <c r="H3416" s="1" t="s">
        <v>32</v>
      </c>
      <c r="I3416" s="1" t="s">
        <v>33</v>
      </c>
      <c r="J3416" s="1" t="s">
        <v>18</v>
      </c>
      <c r="K3416" s="1">
        <v>1950.0</v>
      </c>
      <c r="L3416" s="1">
        <v>56.9586919</v>
      </c>
      <c r="M3416" s="1">
        <v>24.1173418465596</v>
      </c>
    </row>
    <row r="3417">
      <c r="A3417" s="1" t="s">
        <v>89</v>
      </c>
      <c r="B3417" s="1" t="s">
        <v>45</v>
      </c>
      <c r="C3417" s="2"/>
      <c r="D3417" s="2"/>
      <c r="E3417" s="2"/>
      <c r="F3417" s="2"/>
      <c r="G3417" s="2"/>
      <c r="H3417" s="2"/>
      <c r="I3417" s="2"/>
      <c r="J3417" s="2"/>
      <c r="K3417" s="2"/>
      <c r="L3417" s="1">
        <v>46.3144754</v>
      </c>
      <c r="M3417" s="1">
        <v>11.0480288</v>
      </c>
    </row>
    <row r="3418">
      <c r="A3418" s="1" t="s">
        <v>13</v>
      </c>
      <c r="B3418" s="1" t="s">
        <v>23</v>
      </c>
      <c r="C3418" s="1" t="s">
        <v>2099</v>
      </c>
      <c r="D3418" s="1">
        <v>1.0</v>
      </c>
      <c r="E3418" s="1">
        <v>25.0</v>
      </c>
      <c r="F3418" s="1">
        <v>1.0</v>
      </c>
      <c r="G3418" s="1">
        <v>4.0</v>
      </c>
      <c r="H3418" s="1" t="s">
        <v>32</v>
      </c>
      <c r="I3418" s="1" t="s">
        <v>122</v>
      </c>
      <c r="J3418" s="1" t="s">
        <v>18</v>
      </c>
      <c r="K3418" s="1">
        <v>295.0</v>
      </c>
      <c r="L3418" s="1">
        <v>56.9630577</v>
      </c>
      <c r="M3418" s="1">
        <v>24.1531056</v>
      </c>
    </row>
    <row r="3419">
      <c r="A3419" s="1" t="s">
        <v>22</v>
      </c>
      <c r="B3419" s="1" t="s">
        <v>38</v>
      </c>
      <c r="C3419" s="1" t="s">
        <v>2100</v>
      </c>
      <c r="D3419" s="1">
        <v>3.0</v>
      </c>
      <c r="E3419" s="1">
        <v>54.0</v>
      </c>
      <c r="F3419" s="1">
        <v>4.0</v>
      </c>
      <c r="G3419" s="1">
        <v>5.0</v>
      </c>
      <c r="H3419" s="1" t="s">
        <v>16</v>
      </c>
      <c r="I3419" s="1" t="s">
        <v>21</v>
      </c>
      <c r="J3419" s="1" t="s">
        <v>18</v>
      </c>
      <c r="K3419" s="1">
        <v>40000.0</v>
      </c>
      <c r="L3419" s="1">
        <v>56.9619135</v>
      </c>
      <c r="M3419" s="1">
        <v>24.0013316683233</v>
      </c>
    </row>
    <row r="3420">
      <c r="A3420" s="1" t="s">
        <v>13</v>
      </c>
      <c r="B3420" s="1" t="s">
        <v>14</v>
      </c>
      <c r="C3420" s="1" t="s">
        <v>569</v>
      </c>
      <c r="D3420" s="1">
        <v>1.0</v>
      </c>
      <c r="E3420" s="1">
        <v>30.0</v>
      </c>
      <c r="F3420" s="1">
        <v>1.0</v>
      </c>
      <c r="G3420" s="1">
        <v>5.0</v>
      </c>
      <c r="H3420" s="1">
        <v>103.0</v>
      </c>
      <c r="I3420" s="1" t="s">
        <v>17</v>
      </c>
      <c r="J3420" s="1" t="s">
        <v>18</v>
      </c>
      <c r="K3420" s="1">
        <v>24.0</v>
      </c>
      <c r="L3420" s="1">
        <v>56.945342</v>
      </c>
      <c r="M3420" s="1">
        <v>24.1709469488025</v>
      </c>
    </row>
    <row r="3421">
      <c r="A3421" s="1" t="s">
        <v>22</v>
      </c>
      <c r="B3421" s="1" t="s">
        <v>23</v>
      </c>
      <c r="C3421" s="1" t="s">
        <v>1416</v>
      </c>
      <c r="D3421" s="1">
        <v>2.0</v>
      </c>
      <c r="E3421" s="1">
        <v>54.0</v>
      </c>
      <c r="F3421" s="1">
        <v>4.0</v>
      </c>
      <c r="G3421" s="1">
        <v>5.0</v>
      </c>
      <c r="H3421" s="1" t="s">
        <v>25</v>
      </c>
      <c r="I3421" s="1" t="s">
        <v>33</v>
      </c>
      <c r="J3421" s="1" t="s">
        <v>18</v>
      </c>
      <c r="K3421" s="1">
        <v>115000.0</v>
      </c>
      <c r="L3421" s="1">
        <v>56.9665763</v>
      </c>
      <c r="M3421" s="1">
        <v>24.1337504</v>
      </c>
    </row>
    <row r="3422">
      <c r="A3422" s="1" t="s">
        <v>22</v>
      </c>
      <c r="B3422" s="1" t="s">
        <v>23</v>
      </c>
      <c r="C3422" s="1" t="s">
        <v>1415</v>
      </c>
      <c r="D3422" s="1">
        <v>3.0</v>
      </c>
      <c r="E3422" s="1">
        <v>59.0</v>
      </c>
      <c r="F3422" s="1">
        <v>5.0</v>
      </c>
      <c r="G3422" s="1">
        <v>5.0</v>
      </c>
      <c r="H3422" s="1" t="s">
        <v>66</v>
      </c>
      <c r="I3422" s="1" t="s">
        <v>33</v>
      </c>
      <c r="J3422" s="1" t="s">
        <v>18</v>
      </c>
      <c r="K3422" s="1">
        <v>145000.0</v>
      </c>
      <c r="L3422" s="1">
        <v>56.9515994</v>
      </c>
      <c r="M3422" s="1">
        <v>24.1159776</v>
      </c>
    </row>
    <row r="3423">
      <c r="A3423" s="1" t="s">
        <v>22</v>
      </c>
      <c r="B3423" s="1" t="s">
        <v>23</v>
      </c>
      <c r="C3423" s="1" t="s">
        <v>1496</v>
      </c>
      <c r="D3423" s="1">
        <v>2.0</v>
      </c>
      <c r="E3423" s="1">
        <v>68.0</v>
      </c>
      <c r="F3423" s="1">
        <v>4.0</v>
      </c>
      <c r="G3423" s="1">
        <v>5.0</v>
      </c>
      <c r="H3423" s="1" t="s">
        <v>25</v>
      </c>
      <c r="I3423" s="1" t="s">
        <v>33</v>
      </c>
      <c r="J3423" s="1" t="s">
        <v>18</v>
      </c>
      <c r="K3423" s="1">
        <v>169250.0</v>
      </c>
      <c r="L3423" s="1">
        <v>56.9515994</v>
      </c>
      <c r="M3423" s="1">
        <v>24.1159776</v>
      </c>
    </row>
    <row r="3424">
      <c r="A3424" s="1" t="s">
        <v>22</v>
      </c>
      <c r="B3424" s="1" t="s">
        <v>23</v>
      </c>
      <c r="C3424" s="1" t="s">
        <v>1415</v>
      </c>
      <c r="D3424" s="1">
        <v>3.0</v>
      </c>
      <c r="E3424" s="1">
        <v>67.0</v>
      </c>
      <c r="F3424" s="1">
        <v>4.0</v>
      </c>
      <c r="G3424" s="1">
        <v>5.0</v>
      </c>
      <c r="H3424" s="1" t="s">
        <v>66</v>
      </c>
      <c r="I3424" s="1" t="s">
        <v>33</v>
      </c>
      <c r="J3424" s="1" t="s">
        <v>18</v>
      </c>
      <c r="K3424" s="1">
        <v>167000.0</v>
      </c>
      <c r="L3424" s="1">
        <v>56.9515994</v>
      </c>
      <c r="M3424" s="1">
        <v>24.1159776</v>
      </c>
    </row>
    <row r="3425">
      <c r="A3425" s="1" t="s">
        <v>22</v>
      </c>
      <c r="B3425" s="1" t="s">
        <v>23</v>
      </c>
      <c r="C3425" s="1" t="s">
        <v>1415</v>
      </c>
      <c r="D3425" s="1">
        <v>2.0</v>
      </c>
      <c r="E3425" s="1">
        <v>61.0</v>
      </c>
      <c r="F3425" s="1">
        <v>4.0</v>
      </c>
      <c r="G3425" s="1">
        <v>5.0</v>
      </c>
      <c r="H3425" s="1" t="s">
        <v>66</v>
      </c>
      <c r="I3425" s="1" t="s">
        <v>37</v>
      </c>
      <c r="J3425" s="1" t="s">
        <v>18</v>
      </c>
      <c r="K3425" s="1">
        <v>152000.0</v>
      </c>
      <c r="L3425" s="1">
        <v>56.9515994</v>
      </c>
      <c r="M3425" s="1">
        <v>24.1159776</v>
      </c>
    </row>
    <row r="3426">
      <c r="A3426" s="1" t="s">
        <v>22</v>
      </c>
      <c r="B3426" s="1" t="s">
        <v>23</v>
      </c>
      <c r="C3426" s="1" t="s">
        <v>2101</v>
      </c>
      <c r="D3426" s="1">
        <v>4.0</v>
      </c>
      <c r="E3426" s="1">
        <v>90.0</v>
      </c>
      <c r="F3426" s="1">
        <v>5.0</v>
      </c>
      <c r="G3426" s="1">
        <v>7.0</v>
      </c>
      <c r="H3426" s="1" t="s">
        <v>25</v>
      </c>
      <c r="I3426" s="1" t="s">
        <v>33</v>
      </c>
      <c r="J3426" s="1" t="s">
        <v>18</v>
      </c>
      <c r="K3426" s="1">
        <v>155000.0</v>
      </c>
      <c r="L3426" s="1">
        <v>56.9592805</v>
      </c>
      <c r="M3426" s="1">
        <v>24.1128099</v>
      </c>
    </row>
    <row r="3427">
      <c r="A3427" s="1" t="s">
        <v>22</v>
      </c>
      <c r="B3427" s="1" t="s">
        <v>104</v>
      </c>
      <c r="C3427" s="1" t="s">
        <v>668</v>
      </c>
      <c r="D3427" s="1">
        <v>4.0</v>
      </c>
      <c r="E3427" s="1">
        <v>123.0</v>
      </c>
      <c r="F3427" s="1">
        <v>3.0</v>
      </c>
      <c r="G3427" s="1">
        <v>5.0</v>
      </c>
      <c r="H3427" s="1" t="s">
        <v>66</v>
      </c>
      <c r="I3427" s="1" t="s">
        <v>33</v>
      </c>
      <c r="J3427" s="1" t="s">
        <v>18</v>
      </c>
      <c r="K3427" s="1">
        <v>215000.0</v>
      </c>
      <c r="L3427" s="1">
        <v>56.947906</v>
      </c>
      <c r="M3427" s="1">
        <v>24.070950274442</v>
      </c>
    </row>
    <row r="3428">
      <c r="A3428" s="1" t="s">
        <v>13</v>
      </c>
      <c r="B3428" s="1" t="s">
        <v>19</v>
      </c>
      <c r="C3428" s="1" t="s">
        <v>120</v>
      </c>
      <c r="D3428" s="1">
        <v>2.0</v>
      </c>
      <c r="E3428" s="1">
        <v>62.0</v>
      </c>
      <c r="F3428" s="1">
        <v>1.0</v>
      </c>
      <c r="G3428" s="1">
        <v>9.0</v>
      </c>
      <c r="H3428" s="1">
        <v>119.0</v>
      </c>
      <c r="I3428" s="1" t="s">
        <v>21</v>
      </c>
      <c r="J3428" s="1" t="s">
        <v>18</v>
      </c>
      <c r="K3428" s="1">
        <v>350.0</v>
      </c>
      <c r="L3428" s="1">
        <v>56.89859735</v>
      </c>
      <c r="M3428" s="1">
        <v>24.0876707999998</v>
      </c>
    </row>
    <row r="3429">
      <c r="A3429" s="1" t="s">
        <v>13</v>
      </c>
      <c r="B3429" s="1" t="s">
        <v>67</v>
      </c>
      <c r="C3429" s="1" t="s">
        <v>395</v>
      </c>
      <c r="D3429" s="1">
        <v>1.0</v>
      </c>
      <c r="E3429" s="1">
        <v>45.0</v>
      </c>
      <c r="F3429" s="1">
        <v>5.0</v>
      </c>
      <c r="G3429" s="1">
        <v>6.0</v>
      </c>
      <c r="H3429" s="1" t="s">
        <v>32</v>
      </c>
      <c r="I3429" s="1" t="s">
        <v>17</v>
      </c>
      <c r="J3429" s="1" t="s">
        <v>18</v>
      </c>
      <c r="K3429" s="1">
        <v>375.0</v>
      </c>
      <c r="L3429" s="1">
        <v>56.9610476</v>
      </c>
      <c r="M3429" s="1">
        <v>24.1493694905674</v>
      </c>
    </row>
    <row r="3430">
      <c r="A3430" s="1" t="s">
        <v>22</v>
      </c>
      <c r="B3430" s="1" t="s">
        <v>30</v>
      </c>
      <c r="C3430" s="1" t="s">
        <v>2102</v>
      </c>
      <c r="D3430" s="1">
        <v>2.0</v>
      </c>
      <c r="E3430" s="1">
        <v>71.0</v>
      </c>
      <c r="F3430" s="1">
        <v>2.0</v>
      </c>
      <c r="G3430" s="1">
        <v>4.0</v>
      </c>
      <c r="H3430" s="1" t="s">
        <v>66</v>
      </c>
      <c r="I3430" s="1" t="s">
        <v>33</v>
      </c>
      <c r="J3430" s="1" t="s">
        <v>18</v>
      </c>
      <c r="K3430" s="1">
        <v>90000.0</v>
      </c>
      <c r="L3430" s="1">
        <v>56.9802806999999</v>
      </c>
      <c r="M3430" s="1">
        <v>24.1796812530036</v>
      </c>
    </row>
    <row r="3431">
      <c r="A3431" s="1" t="s">
        <v>22</v>
      </c>
      <c r="B3431" s="1" t="s">
        <v>218</v>
      </c>
      <c r="C3431" s="1" t="s">
        <v>907</v>
      </c>
      <c r="D3431" s="1">
        <v>2.0</v>
      </c>
      <c r="E3431" s="1">
        <v>34.0</v>
      </c>
      <c r="F3431" s="1">
        <v>3.0</v>
      </c>
      <c r="G3431" s="1">
        <v>5.0</v>
      </c>
      <c r="H3431" s="1" t="s">
        <v>25</v>
      </c>
      <c r="I3431" s="1" t="s">
        <v>33</v>
      </c>
      <c r="J3431" s="1" t="s">
        <v>18</v>
      </c>
      <c r="K3431" s="1">
        <v>98000.0</v>
      </c>
      <c r="L3431" s="1">
        <v>56.952698</v>
      </c>
      <c r="M3431" s="1">
        <v>24.1051471</v>
      </c>
    </row>
    <row r="3432">
      <c r="A3432" s="1" t="s">
        <v>13</v>
      </c>
      <c r="B3432" s="1" t="s">
        <v>14</v>
      </c>
      <c r="C3432" s="1" t="s">
        <v>2103</v>
      </c>
      <c r="D3432" s="1">
        <v>3.0</v>
      </c>
      <c r="E3432" s="1">
        <v>53.0</v>
      </c>
      <c r="F3432" s="1">
        <v>2.0</v>
      </c>
      <c r="G3432" s="1">
        <v>5.0</v>
      </c>
      <c r="H3432" s="1" t="s">
        <v>16</v>
      </c>
      <c r="I3432" s="1" t="s">
        <v>17</v>
      </c>
      <c r="J3432" s="1" t="s">
        <v>18</v>
      </c>
      <c r="K3432" s="1">
        <v>370.0</v>
      </c>
      <c r="L3432" s="1">
        <v>56.9555825</v>
      </c>
      <c r="M3432" s="1">
        <v>24.2032005</v>
      </c>
    </row>
    <row r="3433">
      <c r="A3433" s="1" t="s">
        <v>13</v>
      </c>
      <c r="B3433" s="1" t="s">
        <v>104</v>
      </c>
      <c r="C3433" s="1" t="s">
        <v>2104</v>
      </c>
      <c r="D3433" s="1">
        <v>2.0</v>
      </c>
      <c r="E3433" s="1">
        <v>52.0</v>
      </c>
      <c r="F3433" s="1">
        <v>2.0</v>
      </c>
      <c r="G3433" s="1">
        <v>2.0</v>
      </c>
      <c r="H3433" s="1" t="s">
        <v>25</v>
      </c>
      <c r="I3433" s="1" t="s">
        <v>33</v>
      </c>
      <c r="J3433" s="1" t="s">
        <v>18</v>
      </c>
      <c r="K3433" s="1">
        <v>400.0</v>
      </c>
      <c r="L3433" s="1">
        <v>56.945976</v>
      </c>
      <c r="M3433" s="1">
        <v>24.073467</v>
      </c>
    </row>
    <row r="3434">
      <c r="A3434" s="1" t="s">
        <v>22</v>
      </c>
      <c r="B3434" s="1" t="s">
        <v>94</v>
      </c>
      <c r="C3434" s="1" t="s">
        <v>2105</v>
      </c>
      <c r="D3434" s="1">
        <v>3.0</v>
      </c>
      <c r="E3434" s="1">
        <v>60.0</v>
      </c>
      <c r="F3434" s="1">
        <v>1.0</v>
      </c>
      <c r="G3434" s="1">
        <v>9.0</v>
      </c>
      <c r="H3434" s="1">
        <v>467.0</v>
      </c>
      <c r="I3434" s="1" t="s">
        <v>21</v>
      </c>
      <c r="J3434" s="1" t="s">
        <v>18</v>
      </c>
      <c r="K3434" s="1">
        <v>43000.0</v>
      </c>
      <c r="L3434" s="1">
        <v>56.92792645</v>
      </c>
      <c r="M3434" s="1">
        <v>24.17132315</v>
      </c>
    </row>
    <row r="3435">
      <c r="A3435" s="1" t="s">
        <v>22</v>
      </c>
      <c r="B3435" s="1" t="s">
        <v>14</v>
      </c>
      <c r="C3435" s="1" t="s">
        <v>2106</v>
      </c>
      <c r="D3435" s="1">
        <v>2.0</v>
      </c>
      <c r="E3435" s="1">
        <v>32.0</v>
      </c>
      <c r="F3435" s="1">
        <v>2.0</v>
      </c>
      <c r="G3435" s="1">
        <v>2.0</v>
      </c>
      <c r="H3435" s="1" t="s">
        <v>25</v>
      </c>
      <c r="I3435" s="1" t="s">
        <v>26</v>
      </c>
      <c r="J3435" s="1" t="s">
        <v>18</v>
      </c>
      <c r="K3435" s="1">
        <v>22000.0</v>
      </c>
      <c r="L3435" s="1">
        <v>56.9699683</v>
      </c>
      <c r="M3435" s="1">
        <v>24.1694931999999</v>
      </c>
    </row>
    <row r="3436">
      <c r="A3436" s="1" t="s">
        <v>22</v>
      </c>
      <c r="B3436" s="1" t="s">
        <v>14</v>
      </c>
      <c r="C3436" s="1" t="s">
        <v>2107</v>
      </c>
      <c r="D3436" s="1">
        <v>1.0</v>
      </c>
      <c r="E3436" s="1">
        <v>30.0</v>
      </c>
      <c r="F3436" s="1">
        <v>4.0</v>
      </c>
      <c r="G3436" s="1">
        <v>5.0</v>
      </c>
      <c r="H3436" s="1" t="s">
        <v>16</v>
      </c>
      <c r="I3436" s="1" t="s">
        <v>21</v>
      </c>
      <c r="J3436" s="1" t="s">
        <v>18</v>
      </c>
      <c r="K3436" s="1">
        <v>28000.0</v>
      </c>
      <c r="L3436" s="1">
        <v>56.96423965</v>
      </c>
      <c r="M3436" s="1">
        <v>24.1939779</v>
      </c>
    </row>
    <row r="3437">
      <c r="A3437" s="1" t="s">
        <v>22</v>
      </c>
      <c r="B3437" s="1" t="s">
        <v>52</v>
      </c>
      <c r="C3437" s="1" t="s">
        <v>941</v>
      </c>
      <c r="D3437" s="1">
        <v>2.0</v>
      </c>
      <c r="E3437" s="1">
        <v>77.0</v>
      </c>
      <c r="F3437" s="1">
        <v>5.0</v>
      </c>
      <c r="G3437" s="1">
        <v>12.0</v>
      </c>
      <c r="H3437" s="1" t="s">
        <v>36</v>
      </c>
      <c r="I3437" s="1" t="s">
        <v>17</v>
      </c>
      <c r="J3437" s="1" t="s">
        <v>18</v>
      </c>
      <c r="K3437" s="1">
        <v>97000.0</v>
      </c>
      <c r="L3437" s="1">
        <v>56.94568225</v>
      </c>
      <c r="M3437" s="1">
        <v>24.0146821801241</v>
      </c>
    </row>
    <row r="3438">
      <c r="A3438" s="1" t="s">
        <v>13</v>
      </c>
      <c r="B3438" s="1" t="s">
        <v>23</v>
      </c>
      <c r="C3438" s="1" t="s">
        <v>2108</v>
      </c>
      <c r="D3438" s="1">
        <v>4.0</v>
      </c>
      <c r="E3438" s="1">
        <v>150.0</v>
      </c>
      <c r="F3438" s="1">
        <v>2.0</v>
      </c>
      <c r="G3438" s="1">
        <v>2.0</v>
      </c>
      <c r="H3438" s="1" t="s">
        <v>66</v>
      </c>
      <c r="I3438" s="1" t="s">
        <v>37</v>
      </c>
      <c r="J3438" s="1" t="s">
        <v>18</v>
      </c>
      <c r="K3438" s="1">
        <v>100.0</v>
      </c>
      <c r="L3438" s="1" t="s">
        <v>40</v>
      </c>
      <c r="M3438" s="1" t="s">
        <v>40</v>
      </c>
    </row>
    <row r="3439">
      <c r="A3439" s="1" t="s">
        <v>22</v>
      </c>
      <c r="B3439" s="1" t="s">
        <v>109</v>
      </c>
      <c r="C3439" s="1" t="s">
        <v>126</v>
      </c>
      <c r="D3439" s="1">
        <v>2.0</v>
      </c>
      <c r="E3439" s="1">
        <v>43.0</v>
      </c>
      <c r="F3439" s="1">
        <v>5.0</v>
      </c>
      <c r="G3439" s="1">
        <v>11.0</v>
      </c>
      <c r="H3439" s="1" t="s">
        <v>32</v>
      </c>
      <c r="I3439" s="1" t="s">
        <v>17</v>
      </c>
      <c r="J3439" s="1" t="s">
        <v>18</v>
      </c>
      <c r="K3439" s="1">
        <v>74900.0</v>
      </c>
      <c r="L3439" s="1" t="s">
        <v>40</v>
      </c>
      <c r="M3439" s="1" t="s">
        <v>40</v>
      </c>
    </row>
    <row r="3440">
      <c r="A3440" s="1" t="s">
        <v>22</v>
      </c>
      <c r="B3440" s="1" t="s">
        <v>129</v>
      </c>
      <c r="C3440" s="1" t="s">
        <v>2109</v>
      </c>
      <c r="D3440" s="1">
        <v>1.0</v>
      </c>
      <c r="E3440" s="1">
        <v>30.0</v>
      </c>
      <c r="F3440" s="1">
        <v>5.0</v>
      </c>
      <c r="G3440" s="1">
        <v>5.0</v>
      </c>
      <c r="H3440" s="1" t="s">
        <v>36</v>
      </c>
      <c r="I3440" s="1" t="s">
        <v>37</v>
      </c>
      <c r="J3440" s="1" t="s">
        <v>18</v>
      </c>
      <c r="K3440" s="1">
        <v>28000.0</v>
      </c>
      <c r="L3440" s="1">
        <v>56.9896783</v>
      </c>
      <c r="M3440" s="1">
        <v>24.1342425459972</v>
      </c>
    </row>
    <row r="3441">
      <c r="A3441" s="1" t="s">
        <v>13</v>
      </c>
      <c r="B3441" s="1" t="s">
        <v>104</v>
      </c>
      <c r="C3441" s="1" t="s">
        <v>2110</v>
      </c>
      <c r="D3441" s="1">
        <v>1.0</v>
      </c>
      <c r="E3441" s="1">
        <v>30.0</v>
      </c>
      <c r="F3441" s="1">
        <v>5.0</v>
      </c>
      <c r="G3441" s="1">
        <v>5.0</v>
      </c>
      <c r="H3441" s="1" t="s">
        <v>44</v>
      </c>
      <c r="I3441" s="1" t="s">
        <v>37</v>
      </c>
      <c r="J3441" s="1" t="s">
        <v>18</v>
      </c>
      <c r="K3441" s="1">
        <v>320.0</v>
      </c>
      <c r="L3441" s="1">
        <v>56.9433213</v>
      </c>
      <c r="M3441" s="1">
        <v>24.0736221</v>
      </c>
    </row>
    <row r="3442">
      <c r="A3442" s="1" t="s">
        <v>22</v>
      </c>
      <c r="B3442" s="1" t="s">
        <v>14</v>
      </c>
      <c r="C3442" s="1" t="s">
        <v>480</v>
      </c>
      <c r="D3442" s="1">
        <v>3.0</v>
      </c>
      <c r="E3442" s="1">
        <v>63.0</v>
      </c>
      <c r="F3442" s="1">
        <v>8.0</v>
      </c>
      <c r="G3442" s="1">
        <v>9.0</v>
      </c>
      <c r="H3442" s="1">
        <v>602.0</v>
      </c>
      <c r="I3442" s="1" t="s">
        <v>21</v>
      </c>
      <c r="J3442" s="1" t="s">
        <v>18</v>
      </c>
      <c r="K3442" s="1">
        <v>57500.0</v>
      </c>
      <c r="L3442" s="1">
        <v>56.9550112</v>
      </c>
      <c r="M3442" s="1">
        <v>24.1985621</v>
      </c>
    </row>
    <row r="3443">
      <c r="A3443" s="1" t="s">
        <v>22</v>
      </c>
      <c r="B3443" s="1" t="s">
        <v>134</v>
      </c>
      <c r="C3443" s="1" t="s">
        <v>2111</v>
      </c>
      <c r="D3443" s="1">
        <v>2.0</v>
      </c>
      <c r="E3443" s="1">
        <v>41.0</v>
      </c>
      <c r="F3443" s="1">
        <v>2.0</v>
      </c>
      <c r="G3443" s="1">
        <v>2.0</v>
      </c>
      <c r="H3443" s="1" t="s">
        <v>44</v>
      </c>
      <c r="I3443" s="1" t="s">
        <v>37</v>
      </c>
      <c r="J3443" s="1" t="s">
        <v>18</v>
      </c>
      <c r="K3443" s="1">
        <v>24900.0</v>
      </c>
      <c r="L3443" s="1">
        <v>57.0395394</v>
      </c>
      <c r="M3443" s="1">
        <v>24.0268141</v>
      </c>
    </row>
    <row r="3444">
      <c r="A3444" s="1" t="s">
        <v>22</v>
      </c>
      <c r="B3444" s="1" t="s">
        <v>23</v>
      </c>
      <c r="C3444" s="1" t="s">
        <v>466</v>
      </c>
      <c r="D3444" s="1">
        <v>1.0</v>
      </c>
      <c r="E3444" s="1">
        <v>20.0</v>
      </c>
      <c r="F3444" s="1">
        <v>2.0</v>
      </c>
      <c r="G3444" s="1">
        <v>2.0</v>
      </c>
      <c r="H3444" s="1" t="s">
        <v>25</v>
      </c>
      <c r="I3444" s="1" t="s">
        <v>26</v>
      </c>
      <c r="J3444" s="1" t="s">
        <v>27</v>
      </c>
      <c r="K3444" s="1">
        <v>11900.0</v>
      </c>
      <c r="L3444" s="1">
        <v>56.95275325</v>
      </c>
      <c r="M3444" s="1">
        <v>24.1516129451998</v>
      </c>
    </row>
    <row r="3445">
      <c r="A3445" s="1" t="s">
        <v>22</v>
      </c>
      <c r="B3445" s="1" t="s">
        <v>104</v>
      </c>
      <c r="C3445" s="1" t="s">
        <v>2112</v>
      </c>
      <c r="D3445" s="1">
        <v>2.0</v>
      </c>
      <c r="E3445" s="1">
        <v>42.0</v>
      </c>
      <c r="F3445" s="1">
        <v>2.0</v>
      </c>
      <c r="G3445" s="1">
        <v>3.0</v>
      </c>
      <c r="H3445" s="1" t="s">
        <v>66</v>
      </c>
      <c r="I3445" s="1" t="s">
        <v>26</v>
      </c>
      <c r="J3445" s="1" t="s">
        <v>18</v>
      </c>
      <c r="K3445" s="1">
        <v>85500.0</v>
      </c>
      <c r="L3445" s="1" t="s">
        <v>40</v>
      </c>
      <c r="M3445" s="1" t="s">
        <v>40</v>
      </c>
    </row>
    <row r="3446">
      <c r="A3446" s="1" t="s">
        <v>22</v>
      </c>
      <c r="B3446" s="1" t="s">
        <v>104</v>
      </c>
      <c r="C3446" s="1" t="s">
        <v>2112</v>
      </c>
      <c r="D3446" s="1">
        <v>4.0</v>
      </c>
      <c r="E3446" s="1">
        <v>83.0</v>
      </c>
      <c r="F3446" s="1">
        <v>3.0</v>
      </c>
      <c r="G3446" s="1">
        <v>3.0</v>
      </c>
      <c r="H3446" s="1" t="s">
        <v>66</v>
      </c>
      <c r="I3446" s="1" t="s">
        <v>26</v>
      </c>
      <c r="J3446" s="1" t="s">
        <v>18</v>
      </c>
      <c r="K3446" s="1">
        <v>150735.0</v>
      </c>
      <c r="L3446" s="1" t="s">
        <v>40</v>
      </c>
      <c r="M3446" s="1" t="s">
        <v>40</v>
      </c>
    </row>
    <row r="3447">
      <c r="A3447" s="1" t="s">
        <v>22</v>
      </c>
      <c r="B3447" s="1" t="s">
        <v>447</v>
      </c>
      <c r="C3447" s="1" t="s">
        <v>2113</v>
      </c>
      <c r="D3447" s="1">
        <v>2.0</v>
      </c>
      <c r="E3447" s="1">
        <v>43.0</v>
      </c>
      <c r="F3447" s="1">
        <v>1.0</v>
      </c>
      <c r="G3447" s="1">
        <v>1.0</v>
      </c>
      <c r="H3447" s="1" t="s">
        <v>36</v>
      </c>
      <c r="I3447" s="1" t="s">
        <v>26</v>
      </c>
      <c r="J3447" s="1" t="s">
        <v>18</v>
      </c>
      <c r="K3447" s="1">
        <v>17500.0</v>
      </c>
      <c r="L3447" s="1">
        <v>56.9243824</v>
      </c>
      <c r="M3447" s="1">
        <v>24.0878904</v>
      </c>
    </row>
    <row r="3448">
      <c r="A3448" s="1" t="s">
        <v>13</v>
      </c>
      <c r="B3448" s="1" t="s">
        <v>38</v>
      </c>
      <c r="C3448" s="1" t="s">
        <v>2114</v>
      </c>
      <c r="D3448" s="1">
        <v>2.0</v>
      </c>
      <c r="E3448" s="1">
        <v>50.0</v>
      </c>
      <c r="F3448" s="1">
        <v>2.0</v>
      </c>
      <c r="G3448" s="1">
        <v>9.0</v>
      </c>
      <c r="H3448" s="1">
        <v>602.0</v>
      </c>
      <c r="I3448" s="1" t="s">
        <v>21</v>
      </c>
      <c r="J3448" s="1" t="s">
        <v>18</v>
      </c>
      <c r="K3448" s="1">
        <v>340.0</v>
      </c>
      <c r="L3448" s="1" t="s">
        <v>40</v>
      </c>
      <c r="M3448" s="1" t="s">
        <v>40</v>
      </c>
    </row>
    <row r="3449">
      <c r="A3449" s="1" t="s">
        <v>13</v>
      </c>
      <c r="B3449" s="1" t="s">
        <v>14</v>
      </c>
      <c r="C3449" s="1" t="s">
        <v>2115</v>
      </c>
      <c r="D3449" s="1">
        <v>2.0</v>
      </c>
      <c r="E3449" s="1">
        <v>46.0</v>
      </c>
      <c r="F3449" s="1">
        <v>5.0</v>
      </c>
      <c r="G3449" s="1">
        <v>6.0</v>
      </c>
      <c r="H3449" s="1" t="s">
        <v>32</v>
      </c>
      <c r="I3449" s="1" t="s">
        <v>33</v>
      </c>
      <c r="J3449" s="1" t="s">
        <v>18</v>
      </c>
      <c r="K3449" s="1">
        <v>380.0</v>
      </c>
      <c r="L3449" s="1">
        <v>56.96374145</v>
      </c>
      <c r="M3449" s="1">
        <v>24.16575778752</v>
      </c>
    </row>
    <row r="3450">
      <c r="A3450" s="1" t="s">
        <v>13</v>
      </c>
      <c r="B3450" s="1" t="s">
        <v>23</v>
      </c>
      <c r="C3450" s="1" t="s">
        <v>817</v>
      </c>
      <c r="D3450" s="1">
        <v>1.0</v>
      </c>
      <c r="E3450" s="1">
        <v>34.0</v>
      </c>
      <c r="F3450" s="1">
        <v>5.0</v>
      </c>
      <c r="G3450" s="1">
        <v>5.0</v>
      </c>
      <c r="H3450" s="1" t="s">
        <v>25</v>
      </c>
      <c r="I3450" s="1" t="s">
        <v>33</v>
      </c>
      <c r="J3450" s="1" t="s">
        <v>18</v>
      </c>
      <c r="K3450" s="1">
        <v>150.0</v>
      </c>
      <c r="L3450" s="1">
        <v>56.9665763</v>
      </c>
      <c r="M3450" s="1">
        <v>24.1337504</v>
      </c>
    </row>
    <row r="3451">
      <c r="A3451" s="1" t="s">
        <v>22</v>
      </c>
      <c r="B3451" s="1" t="s">
        <v>23</v>
      </c>
      <c r="C3451" s="1" t="s">
        <v>478</v>
      </c>
      <c r="D3451" s="1">
        <v>3.0</v>
      </c>
      <c r="E3451" s="1">
        <v>121.0</v>
      </c>
      <c r="F3451" s="1">
        <v>1.0</v>
      </c>
      <c r="G3451" s="1">
        <v>7.0</v>
      </c>
      <c r="H3451" s="1" t="s">
        <v>32</v>
      </c>
      <c r="I3451" s="1" t="s">
        <v>33</v>
      </c>
      <c r="J3451" s="1" t="s">
        <v>18</v>
      </c>
      <c r="K3451" s="1">
        <v>297000.0</v>
      </c>
      <c r="L3451" s="1">
        <v>56.9493295</v>
      </c>
      <c r="M3451" s="1">
        <v>24.1264892056074</v>
      </c>
    </row>
    <row r="3452">
      <c r="A3452" s="1" t="s">
        <v>89</v>
      </c>
      <c r="B3452" s="1" t="s">
        <v>109</v>
      </c>
      <c r="C3452" s="2"/>
      <c r="D3452" s="1" t="s">
        <v>90</v>
      </c>
      <c r="E3452" s="2"/>
      <c r="F3452" s="2"/>
      <c r="G3452" s="2"/>
      <c r="H3452" s="2"/>
      <c r="I3452" s="2"/>
      <c r="J3452" s="2"/>
      <c r="K3452" s="2"/>
      <c r="L3452" s="1">
        <v>46.3144754</v>
      </c>
      <c r="M3452" s="1">
        <v>11.0480288</v>
      </c>
    </row>
    <row r="3453">
      <c r="A3453" s="1" t="s">
        <v>22</v>
      </c>
      <c r="B3453" s="1" t="s">
        <v>23</v>
      </c>
      <c r="C3453" s="1" t="s">
        <v>258</v>
      </c>
      <c r="D3453" s="1">
        <v>3.0</v>
      </c>
      <c r="E3453" s="1">
        <v>78.0</v>
      </c>
      <c r="F3453" s="1">
        <v>5.0</v>
      </c>
      <c r="G3453" s="1">
        <v>6.0</v>
      </c>
      <c r="H3453" s="1" t="s">
        <v>66</v>
      </c>
      <c r="I3453" s="1" t="s">
        <v>37</v>
      </c>
      <c r="J3453" s="1" t="s">
        <v>18</v>
      </c>
      <c r="K3453" s="1">
        <v>166840.0</v>
      </c>
      <c r="L3453" s="1">
        <v>56.958482</v>
      </c>
      <c r="M3453" s="1">
        <v>24.116859</v>
      </c>
    </row>
    <row r="3454">
      <c r="A3454" s="1" t="s">
        <v>22</v>
      </c>
      <c r="B3454" s="1" t="s">
        <v>60</v>
      </c>
      <c r="C3454" s="1" t="s">
        <v>2116</v>
      </c>
      <c r="D3454" s="1">
        <v>4.0</v>
      </c>
      <c r="E3454" s="1">
        <v>101.0</v>
      </c>
      <c r="F3454" s="1">
        <v>3.0</v>
      </c>
      <c r="G3454" s="1">
        <v>3.0</v>
      </c>
      <c r="H3454" s="1" t="s">
        <v>181</v>
      </c>
      <c r="I3454" s="1" t="s">
        <v>37</v>
      </c>
      <c r="J3454" s="1" t="s">
        <v>18</v>
      </c>
      <c r="K3454" s="1">
        <v>80000.0</v>
      </c>
      <c r="L3454" s="1">
        <v>57.0277908</v>
      </c>
      <c r="M3454" s="1">
        <v>24.0429215309859</v>
      </c>
    </row>
    <row r="3455">
      <c r="A3455" s="1" t="s">
        <v>22</v>
      </c>
      <c r="B3455" s="1" t="s">
        <v>74</v>
      </c>
      <c r="C3455" s="1" t="s">
        <v>2117</v>
      </c>
      <c r="D3455" s="1">
        <v>1.0</v>
      </c>
      <c r="E3455" s="1">
        <v>34.0</v>
      </c>
      <c r="F3455" s="1">
        <v>2.0</v>
      </c>
      <c r="G3455" s="1">
        <v>9.0</v>
      </c>
      <c r="H3455" s="1">
        <v>602.0</v>
      </c>
      <c r="I3455" s="1" t="s">
        <v>21</v>
      </c>
      <c r="J3455" s="1" t="s">
        <v>18</v>
      </c>
      <c r="K3455" s="1">
        <v>31000.0</v>
      </c>
      <c r="L3455" s="1">
        <v>56.94192195</v>
      </c>
      <c r="M3455" s="1">
        <v>24.2280812053247</v>
      </c>
    </row>
    <row r="3456">
      <c r="A3456" s="1" t="s">
        <v>13</v>
      </c>
      <c r="B3456" s="1" t="s">
        <v>129</v>
      </c>
      <c r="C3456" s="1" t="s">
        <v>713</v>
      </c>
      <c r="D3456" s="1">
        <v>1.0</v>
      </c>
      <c r="E3456" s="1">
        <v>19.0</v>
      </c>
      <c r="F3456" s="1">
        <v>5.0</v>
      </c>
      <c r="G3456" s="1">
        <v>5.0</v>
      </c>
      <c r="H3456" s="1" t="s">
        <v>57</v>
      </c>
      <c r="I3456" s="1" t="s">
        <v>37</v>
      </c>
      <c r="J3456" s="1" t="s">
        <v>18</v>
      </c>
      <c r="K3456" s="1">
        <v>120.0</v>
      </c>
      <c r="L3456" s="1">
        <v>57.000974</v>
      </c>
      <c r="M3456" s="1">
        <v>24.12127055</v>
      </c>
    </row>
    <row r="3457">
      <c r="A3457" s="1" t="s">
        <v>22</v>
      </c>
      <c r="B3457" s="1" t="s">
        <v>174</v>
      </c>
      <c r="C3457" s="1" t="s">
        <v>1762</v>
      </c>
      <c r="D3457" s="1">
        <v>1.0</v>
      </c>
      <c r="E3457" s="1">
        <v>37.0</v>
      </c>
      <c r="F3457" s="1">
        <v>3.0</v>
      </c>
      <c r="G3457" s="1">
        <v>5.0</v>
      </c>
      <c r="H3457" s="1" t="s">
        <v>32</v>
      </c>
      <c r="I3457" s="1" t="s">
        <v>33</v>
      </c>
      <c r="J3457" s="1" t="s">
        <v>18</v>
      </c>
      <c r="K3457" s="1">
        <v>49500.0</v>
      </c>
      <c r="L3457" s="1">
        <v>56.9485064</v>
      </c>
      <c r="M3457" s="1">
        <v>24.1696077537097</v>
      </c>
    </row>
    <row r="3458">
      <c r="A3458" s="1" t="s">
        <v>22</v>
      </c>
      <c r="B3458" s="1" t="s">
        <v>174</v>
      </c>
      <c r="C3458" s="1" t="s">
        <v>1762</v>
      </c>
      <c r="D3458" s="1">
        <v>3.0</v>
      </c>
      <c r="E3458" s="1">
        <v>82.0</v>
      </c>
      <c r="F3458" s="1">
        <v>1.0</v>
      </c>
      <c r="G3458" s="1">
        <v>5.0</v>
      </c>
      <c r="H3458" s="1" t="s">
        <v>32</v>
      </c>
      <c r="I3458" s="1" t="s">
        <v>33</v>
      </c>
      <c r="J3458" s="1" t="s">
        <v>18</v>
      </c>
      <c r="K3458" s="1">
        <v>95000.0</v>
      </c>
      <c r="L3458" s="1">
        <v>56.9485064</v>
      </c>
      <c r="M3458" s="1">
        <v>24.1696077537097</v>
      </c>
    </row>
    <row r="3459">
      <c r="A3459" s="1" t="s">
        <v>13</v>
      </c>
      <c r="B3459" s="1" t="s">
        <v>23</v>
      </c>
      <c r="C3459" s="1" t="s">
        <v>91</v>
      </c>
      <c r="D3459" s="1">
        <v>3.0</v>
      </c>
      <c r="E3459" s="1">
        <v>106.0</v>
      </c>
      <c r="F3459" s="1">
        <v>3.0</v>
      </c>
      <c r="G3459" s="1">
        <v>8.0</v>
      </c>
      <c r="H3459" s="1" t="s">
        <v>32</v>
      </c>
      <c r="I3459" s="1" t="s">
        <v>33</v>
      </c>
      <c r="J3459" s="1" t="s">
        <v>18</v>
      </c>
      <c r="K3459" s="1">
        <v>1200.0</v>
      </c>
      <c r="L3459" s="1">
        <v>56.9552522</v>
      </c>
      <c r="M3459" s="1">
        <v>24.0999991251943</v>
      </c>
    </row>
    <row r="3460">
      <c r="A3460" s="1" t="s">
        <v>22</v>
      </c>
      <c r="B3460" s="1" t="s">
        <v>104</v>
      </c>
      <c r="C3460" s="1" t="s">
        <v>619</v>
      </c>
      <c r="D3460" s="1">
        <v>2.0</v>
      </c>
      <c r="E3460" s="1">
        <v>49.0</v>
      </c>
      <c r="F3460" s="1">
        <v>4.0</v>
      </c>
      <c r="G3460" s="1">
        <v>4.0</v>
      </c>
      <c r="H3460" s="1" t="s">
        <v>66</v>
      </c>
      <c r="I3460" s="1" t="s">
        <v>33</v>
      </c>
      <c r="J3460" s="1" t="s">
        <v>18</v>
      </c>
      <c r="K3460" s="1">
        <v>59000.0</v>
      </c>
      <c r="L3460" s="1">
        <v>56.9474705</v>
      </c>
      <c r="M3460" s="1">
        <v>24.0604076</v>
      </c>
    </row>
    <row r="3461">
      <c r="A3461" s="1" t="s">
        <v>13</v>
      </c>
      <c r="B3461" s="1" t="s">
        <v>14</v>
      </c>
      <c r="C3461" s="1" t="s">
        <v>1542</v>
      </c>
      <c r="D3461" s="1">
        <v>1.0</v>
      </c>
      <c r="E3461" s="1">
        <v>48.0</v>
      </c>
      <c r="F3461" s="1">
        <v>2.0</v>
      </c>
      <c r="G3461" s="1">
        <v>12.0</v>
      </c>
      <c r="H3461" s="1">
        <v>104.0</v>
      </c>
      <c r="I3461" s="1" t="s">
        <v>21</v>
      </c>
      <c r="J3461" s="1" t="s">
        <v>18</v>
      </c>
      <c r="K3461" s="1">
        <v>280.0</v>
      </c>
      <c r="L3461" s="1">
        <v>56.9583699</v>
      </c>
      <c r="M3461" s="1">
        <v>24.1789809</v>
      </c>
    </row>
    <row r="3462">
      <c r="A3462" s="1" t="s">
        <v>13</v>
      </c>
      <c r="B3462" s="1" t="s">
        <v>23</v>
      </c>
      <c r="C3462" s="1" t="s">
        <v>2118</v>
      </c>
      <c r="D3462" s="1" t="s">
        <v>90</v>
      </c>
      <c r="E3462" s="1">
        <v>20.0</v>
      </c>
      <c r="F3462" s="1">
        <v>5.0</v>
      </c>
      <c r="G3462" s="1">
        <v>5.0</v>
      </c>
      <c r="H3462" s="1" t="s">
        <v>25</v>
      </c>
      <c r="I3462" s="1" t="s">
        <v>37</v>
      </c>
      <c r="J3462" s="1" t="s">
        <v>18</v>
      </c>
      <c r="K3462" s="1">
        <v>135.0</v>
      </c>
      <c r="L3462" s="1">
        <v>56.9551881</v>
      </c>
      <c r="M3462" s="1">
        <v>24.1370161</v>
      </c>
    </row>
    <row r="3463">
      <c r="A3463" s="1" t="s">
        <v>22</v>
      </c>
      <c r="B3463" s="1" t="s">
        <v>28</v>
      </c>
      <c r="C3463" s="1" t="s">
        <v>2119</v>
      </c>
      <c r="D3463" s="1">
        <v>2.0</v>
      </c>
      <c r="E3463" s="1">
        <v>50.0</v>
      </c>
      <c r="F3463" s="1">
        <v>1.0</v>
      </c>
      <c r="G3463" s="1">
        <v>5.0</v>
      </c>
      <c r="H3463" s="1" t="s">
        <v>16</v>
      </c>
      <c r="I3463" s="1" t="s">
        <v>21</v>
      </c>
      <c r="J3463" s="1" t="s">
        <v>18</v>
      </c>
      <c r="K3463" s="1">
        <v>33000.0</v>
      </c>
      <c r="L3463" s="1">
        <v>56.9099260499999</v>
      </c>
      <c r="M3463" s="1">
        <v>24.1985565266479</v>
      </c>
    </row>
    <row r="3464">
      <c r="A3464" s="1" t="s">
        <v>22</v>
      </c>
      <c r="B3464" s="1" t="s">
        <v>23</v>
      </c>
      <c r="C3464" s="1" t="s">
        <v>2093</v>
      </c>
      <c r="D3464" s="1">
        <v>3.0</v>
      </c>
      <c r="E3464" s="1">
        <v>86.0</v>
      </c>
      <c r="F3464" s="1">
        <v>6.0</v>
      </c>
      <c r="G3464" s="1">
        <v>6.0</v>
      </c>
      <c r="H3464" s="1" t="s">
        <v>25</v>
      </c>
      <c r="I3464" s="1" t="s">
        <v>17</v>
      </c>
      <c r="J3464" s="1" t="s">
        <v>18</v>
      </c>
      <c r="K3464" s="1">
        <v>88000.0</v>
      </c>
      <c r="L3464" s="1">
        <v>56.9625058</v>
      </c>
      <c r="M3464" s="1">
        <v>24.1514395764121</v>
      </c>
    </row>
    <row r="3465">
      <c r="A3465" s="1" t="s">
        <v>22</v>
      </c>
      <c r="B3465" s="1" t="s">
        <v>42</v>
      </c>
      <c r="C3465" s="1" t="s">
        <v>2120</v>
      </c>
      <c r="D3465" s="1">
        <v>2.0</v>
      </c>
      <c r="E3465" s="1">
        <v>53.0</v>
      </c>
      <c r="F3465" s="1">
        <v>2.0</v>
      </c>
      <c r="G3465" s="1">
        <v>6.0</v>
      </c>
      <c r="H3465" s="1" t="s">
        <v>36</v>
      </c>
      <c r="I3465" s="1" t="s">
        <v>37</v>
      </c>
      <c r="J3465" s="1" t="s">
        <v>18</v>
      </c>
      <c r="K3465" s="1">
        <v>63700.0</v>
      </c>
      <c r="L3465" s="1">
        <v>56.9888182</v>
      </c>
      <c r="M3465" s="1">
        <v>24.2464041853389</v>
      </c>
    </row>
    <row r="3466">
      <c r="A3466" s="1" t="s">
        <v>22</v>
      </c>
      <c r="B3466" s="1" t="s">
        <v>14</v>
      </c>
      <c r="C3466" s="1" t="s">
        <v>2121</v>
      </c>
      <c r="D3466" s="1">
        <v>3.0</v>
      </c>
      <c r="E3466" s="1">
        <v>65.0</v>
      </c>
      <c r="F3466" s="1">
        <v>3.0</v>
      </c>
      <c r="G3466" s="1">
        <v>3.0</v>
      </c>
      <c r="H3466" s="1" t="s">
        <v>66</v>
      </c>
      <c r="I3466" s="1" t="s">
        <v>17</v>
      </c>
      <c r="J3466" s="1" t="s">
        <v>18</v>
      </c>
      <c r="K3466" s="1">
        <v>129000.0</v>
      </c>
      <c r="L3466" s="1">
        <v>56.9676199</v>
      </c>
      <c r="M3466" s="1">
        <v>24.1852575</v>
      </c>
    </row>
    <row r="3467">
      <c r="A3467" s="1" t="s">
        <v>22</v>
      </c>
      <c r="B3467" s="1" t="s">
        <v>30</v>
      </c>
      <c r="C3467" s="1" t="s">
        <v>607</v>
      </c>
      <c r="D3467" s="1">
        <v>3.0</v>
      </c>
      <c r="E3467" s="1">
        <v>65.0</v>
      </c>
      <c r="F3467" s="1">
        <v>3.0</v>
      </c>
      <c r="G3467" s="1">
        <v>3.0</v>
      </c>
      <c r="H3467" s="1" t="s">
        <v>66</v>
      </c>
      <c r="I3467" s="1" t="s">
        <v>17</v>
      </c>
      <c r="J3467" s="1" t="s">
        <v>18</v>
      </c>
      <c r="K3467" s="1">
        <v>129000.0</v>
      </c>
      <c r="L3467" s="1">
        <v>56.9690716</v>
      </c>
      <c r="M3467" s="1">
        <v>24.1716498860135</v>
      </c>
    </row>
    <row r="3468">
      <c r="A3468" s="1" t="s">
        <v>22</v>
      </c>
      <c r="B3468" s="1" t="s">
        <v>30</v>
      </c>
      <c r="C3468" s="1" t="s">
        <v>607</v>
      </c>
      <c r="D3468" s="1">
        <v>4.0</v>
      </c>
      <c r="E3468" s="1">
        <v>58.0</v>
      </c>
      <c r="F3468" s="1">
        <v>1.0</v>
      </c>
      <c r="G3468" s="1">
        <v>3.0</v>
      </c>
      <c r="H3468" s="1" t="s">
        <v>66</v>
      </c>
      <c r="I3468" s="1" t="s">
        <v>17</v>
      </c>
      <c r="J3468" s="1" t="s">
        <v>18</v>
      </c>
      <c r="K3468" s="1">
        <v>108500.0</v>
      </c>
      <c r="L3468" s="1">
        <v>56.9690716</v>
      </c>
      <c r="M3468" s="1">
        <v>24.1716498860135</v>
      </c>
    </row>
    <row r="3469">
      <c r="A3469" s="1" t="s">
        <v>22</v>
      </c>
      <c r="B3469" s="1" t="s">
        <v>14</v>
      </c>
      <c r="C3469" s="1" t="s">
        <v>2121</v>
      </c>
      <c r="D3469" s="1">
        <v>4.0</v>
      </c>
      <c r="E3469" s="1">
        <v>58.0</v>
      </c>
      <c r="F3469" s="1">
        <v>1.0</v>
      </c>
      <c r="G3469" s="1">
        <v>3.0</v>
      </c>
      <c r="H3469" s="1" t="s">
        <v>66</v>
      </c>
      <c r="I3469" s="1" t="s">
        <v>17</v>
      </c>
      <c r="J3469" s="1" t="s">
        <v>18</v>
      </c>
      <c r="K3469" s="1">
        <v>108500.0</v>
      </c>
      <c r="L3469" s="1">
        <v>56.9676199</v>
      </c>
      <c r="M3469" s="1">
        <v>24.1852575</v>
      </c>
    </row>
    <row r="3470">
      <c r="A3470" s="1" t="s">
        <v>13</v>
      </c>
      <c r="B3470" s="1" t="s">
        <v>52</v>
      </c>
      <c r="C3470" s="1" t="s">
        <v>2122</v>
      </c>
      <c r="D3470" s="1">
        <v>2.0</v>
      </c>
      <c r="E3470" s="1">
        <v>57.0</v>
      </c>
      <c r="F3470" s="1">
        <v>1.0</v>
      </c>
      <c r="G3470" s="1">
        <v>9.0</v>
      </c>
      <c r="H3470" s="1">
        <v>119.0</v>
      </c>
      <c r="I3470" s="1" t="s">
        <v>17</v>
      </c>
      <c r="J3470" s="1" t="s">
        <v>18</v>
      </c>
      <c r="K3470" s="1">
        <v>20.0</v>
      </c>
      <c r="L3470" s="1">
        <v>54.1436099999999</v>
      </c>
      <c r="M3470" s="1">
        <v>12.05044145</v>
      </c>
    </row>
    <row r="3471">
      <c r="A3471" s="1" t="s">
        <v>13</v>
      </c>
      <c r="B3471" s="1" t="s">
        <v>23</v>
      </c>
      <c r="C3471" s="1" t="s">
        <v>2123</v>
      </c>
      <c r="D3471" s="1">
        <v>1.0</v>
      </c>
      <c r="E3471" s="1">
        <v>25.0</v>
      </c>
      <c r="F3471" s="1">
        <v>3.0</v>
      </c>
      <c r="G3471" s="1">
        <v>3.0</v>
      </c>
      <c r="H3471" s="1" t="s">
        <v>36</v>
      </c>
      <c r="I3471" s="1" t="s">
        <v>37</v>
      </c>
      <c r="J3471" s="1" t="s">
        <v>18</v>
      </c>
      <c r="K3471" s="1">
        <v>260.0</v>
      </c>
      <c r="L3471" s="1">
        <v>56.9309878</v>
      </c>
      <c r="M3471" s="1">
        <v>24.15327815617</v>
      </c>
    </row>
    <row r="3472">
      <c r="A3472" s="1" t="s">
        <v>22</v>
      </c>
      <c r="B3472" s="1" t="s">
        <v>38</v>
      </c>
      <c r="C3472" s="1" t="s">
        <v>2124</v>
      </c>
      <c r="D3472" s="1">
        <v>2.0</v>
      </c>
      <c r="E3472" s="1">
        <v>49.0</v>
      </c>
      <c r="F3472" s="1">
        <v>2.0</v>
      </c>
      <c r="G3472" s="1">
        <v>5.0</v>
      </c>
      <c r="H3472" s="1" t="s">
        <v>16</v>
      </c>
      <c r="I3472" s="1" t="s">
        <v>21</v>
      </c>
      <c r="J3472" s="1" t="s">
        <v>18</v>
      </c>
      <c r="K3472" s="1">
        <v>40500.0</v>
      </c>
      <c r="L3472" s="1">
        <v>56.957361</v>
      </c>
      <c r="M3472" s="1">
        <v>24.0061017402107</v>
      </c>
    </row>
    <row r="3473">
      <c r="A3473" s="1" t="s">
        <v>22</v>
      </c>
      <c r="B3473" s="1" t="s">
        <v>23</v>
      </c>
      <c r="C3473" s="1" t="s">
        <v>1725</v>
      </c>
      <c r="D3473" s="1">
        <v>4.0</v>
      </c>
      <c r="E3473" s="1">
        <v>124.0</v>
      </c>
      <c r="F3473" s="1">
        <v>1.0</v>
      </c>
      <c r="G3473" s="1">
        <v>5.0</v>
      </c>
      <c r="H3473" s="1" t="s">
        <v>25</v>
      </c>
      <c r="I3473" s="1" t="s">
        <v>33</v>
      </c>
      <c r="J3473" s="1" t="s">
        <v>18</v>
      </c>
      <c r="K3473" s="1">
        <v>125000.0</v>
      </c>
      <c r="L3473" s="1">
        <v>56.9504863</v>
      </c>
      <c r="M3473" s="1">
        <v>24.1240734</v>
      </c>
    </row>
    <row r="3474">
      <c r="A3474" s="1" t="s">
        <v>22</v>
      </c>
      <c r="B3474" s="1" t="s">
        <v>30</v>
      </c>
      <c r="C3474" s="1" t="s">
        <v>607</v>
      </c>
      <c r="D3474" s="1">
        <v>3.0</v>
      </c>
      <c r="E3474" s="1">
        <v>51.0</v>
      </c>
      <c r="F3474" s="1">
        <v>1.0</v>
      </c>
      <c r="G3474" s="1">
        <v>3.0</v>
      </c>
      <c r="H3474" s="1" t="s">
        <v>66</v>
      </c>
      <c r="I3474" s="1" t="s">
        <v>21</v>
      </c>
      <c r="J3474" s="1" t="s">
        <v>18</v>
      </c>
      <c r="K3474" s="1">
        <v>98500.0</v>
      </c>
      <c r="L3474" s="1">
        <v>56.9690716</v>
      </c>
      <c r="M3474" s="1">
        <v>24.1716498860135</v>
      </c>
    </row>
    <row r="3475">
      <c r="A3475" s="1" t="s">
        <v>22</v>
      </c>
      <c r="B3475" s="1" t="s">
        <v>14</v>
      </c>
      <c r="C3475" s="1" t="s">
        <v>2121</v>
      </c>
      <c r="D3475" s="1">
        <v>3.0</v>
      </c>
      <c r="E3475" s="1">
        <v>51.0</v>
      </c>
      <c r="F3475" s="1">
        <v>1.0</v>
      </c>
      <c r="G3475" s="1">
        <v>3.0</v>
      </c>
      <c r="H3475" s="1" t="s">
        <v>66</v>
      </c>
      <c r="I3475" s="1" t="s">
        <v>17</v>
      </c>
      <c r="J3475" s="1" t="s">
        <v>18</v>
      </c>
      <c r="K3475" s="1">
        <v>98500.0</v>
      </c>
      <c r="L3475" s="1">
        <v>56.9676199</v>
      </c>
      <c r="M3475" s="1">
        <v>24.1852575</v>
      </c>
    </row>
    <row r="3476">
      <c r="A3476" s="1" t="s">
        <v>22</v>
      </c>
      <c r="B3476" s="1" t="s">
        <v>14</v>
      </c>
      <c r="C3476" s="1" t="s">
        <v>2121</v>
      </c>
      <c r="D3476" s="1">
        <v>3.0</v>
      </c>
      <c r="E3476" s="1">
        <v>56.0</v>
      </c>
      <c r="F3476" s="1">
        <v>4.0</v>
      </c>
      <c r="G3476" s="1">
        <v>4.0</v>
      </c>
      <c r="H3476" s="1" t="s">
        <v>66</v>
      </c>
      <c r="I3476" s="1" t="s">
        <v>21</v>
      </c>
      <c r="J3476" s="1" t="s">
        <v>18</v>
      </c>
      <c r="K3476" s="1">
        <v>109000.0</v>
      </c>
      <c r="L3476" s="1">
        <v>56.9676199</v>
      </c>
      <c r="M3476" s="1">
        <v>24.1852575</v>
      </c>
    </row>
    <row r="3477">
      <c r="A3477" s="1" t="s">
        <v>22</v>
      </c>
      <c r="B3477" s="1" t="s">
        <v>30</v>
      </c>
      <c r="C3477" s="1" t="s">
        <v>607</v>
      </c>
      <c r="D3477" s="1">
        <v>3.0</v>
      </c>
      <c r="E3477" s="1">
        <v>56.0</v>
      </c>
      <c r="F3477" s="1">
        <v>4.0</v>
      </c>
      <c r="G3477" s="1">
        <v>4.0</v>
      </c>
      <c r="H3477" s="1" t="s">
        <v>66</v>
      </c>
      <c r="I3477" s="1" t="s">
        <v>21</v>
      </c>
      <c r="J3477" s="1" t="s">
        <v>18</v>
      </c>
      <c r="K3477" s="1">
        <v>109000.0</v>
      </c>
      <c r="L3477" s="1">
        <v>56.9690716</v>
      </c>
      <c r="M3477" s="1">
        <v>24.1716498860135</v>
      </c>
    </row>
    <row r="3478">
      <c r="A3478" s="1" t="s">
        <v>22</v>
      </c>
      <c r="B3478" s="1" t="s">
        <v>14</v>
      </c>
      <c r="C3478" s="1" t="s">
        <v>2121</v>
      </c>
      <c r="D3478" s="1">
        <v>3.0</v>
      </c>
      <c r="E3478" s="1">
        <v>86.0</v>
      </c>
      <c r="F3478" s="1">
        <v>3.0</v>
      </c>
      <c r="G3478" s="1">
        <v>3.0</v>
      </c>
      <c r="H3478" s="1" t="s">
        <v>66</v>
      </c>
      <c r="I3478" s="1" t="s">
        <v>17</v>
      </c>
      <c r="J3478" s="1" t="s">
        <v>18</v>
      </c>
      <c r="K3478" s="1">
        <v>129000.0</v>
      </c>
      <c r="L3478" s="1">
        <v>56.9676199</v>
      </c>
      <c r="M3478" s="1">
        <v>24.1852575</v>
      </c>
    </row>
    <row r="3479">
      <c r="A3479" s="1" t="s">
        <v>13</v>
      </c>
      <c r="B3479" s="1" t="s">
        <v>23</v>
      </c>
      <c r="C3479" s="1" t="s">
        <v>1950</v>
      </c>
      <c r="D3479" s="1">
        <v>1.0</v>
      </c>
      <c r="E3479" s="1">
        <v>30.0</v>
      </c>
      <c r="F3479" s="1">
        <v>1.0</v>
      </c>
      <c r="G3479" s="1">
        <v>4.0</v>
      </c>
      <c r="H3479" s="1" t="s">
        <v>25</v>
      </c>
      <c r="I3479" s="1" t="s">
        <v>33</v>
      </c>
      <c r="J3479" s="1" t="s">
        <v>18</v>
      </c>
      <c r="K3479" s="1">
        <v>30.0</v>
      </c>
      <c r="L3479" s="1">
        <v>56.9678084</v>
      </c>
      <c r="M3479" s="1">
        <v>24.1032332</v>
      </c>
    </row>
    <row r="3480">
      <c r="A3480" s="1" t="s">
        <v>13</v>
      </c>
      <c r="B3480" s="1" t="s">
        <v>76</v>
      </c>
      <c r="C3480" s="1" t="s">
        <v>193</v>
      </c>
      <c r="D3480" s="1">
        <v>2.0</v>
      </c>
      <c r="E3480" s="1">
        <v>60.0</v>
      </c>
      <c r="F3480" s="1">
        <v>2.0</v>
      </c>
      <c r="G3480" s="1">
        <v>5.0</v>
      </c>
      <c r="H3480" s="1" t="s">
        <v>16</v>
      </c>
      <c r="I3480" s="1" t="s">
        <v>21</v>
      </c>
      <c r="J3480" s="1" t="s">
        <v>18</v>
      </c>
      <c r="K3480" s="1">
        <v>250.0</v>
      </c>
      <c r="L3480" s="1">
        <v>56.9547666499999</v>
      </c>
      <c r="M3480" s="1">
        <v>24.0479287499999</v>
      </c>
    </row>
    <row r="3481">
      <c r="A3481" s="1" t="s">
        <v>22</v>
      </c>
      <c r="B3481" s="1" t="s">
        <v>23</v>
      </c>
      <c r="C3481" s="1" t="s">
        <v>648</v>
      </c>
      <c r="D3481" s="1">
        <v>2.0</v>
      </c>
      <c r="E3481" s="1">
        <v>46.0</v>
      </c>
      <c r="F3481" s="1">
        <v>2.0</v>
      </c>
      <c r="G3481" s="1">
        <v>6.0</v>
      </c>
      <c r="H3481" s="1" t="s">
        <v>66</v>
      </c>
      <c r="I3481" s="1" t="s">
        <v>33</v>
      </c>
      <c r="J3481" s="1" t="s">
        <v>18</v>
      </c>
      <c r="K3481" s="1">
        <v>99029.0</v>
      </c>
      <c r="L3481" s="1">
        <v>56.94999685</v>
      </c>
      <c r="M3481" s="1">
        <v>24.1364139006283</v>
      </c>
    </row>
    <row r="3482">
      <c r="A3482" s="1" t="s">
        <v>22</v>
      </c>
      <c r="B3482" s="1" t="s">
        <v>23</v>
      </c>
      <c r="C3482" s="1" t="s">
        <v>648</v>
      </c>
      <c r="D3482" s="1">
        <v>3.0</v>
      </c>
      <c r="E3482" s="1">
        <v>63.0</v>
      </c>
      <c r="F3482" s="1">
        <v>2.0</v>
      </c>
      <c r="G3482" s="1">
        <v>6.0</v>
      </c>
      <c r="H3482" s="1" t="s">
        <v>66</v>
      </c>
      <c r="I3482" s="1" t="s">
        <v>33</v>
      </c>
      <c r="J3482" s="1" t="s">
        <v>18</v>
      </c>
      <c r="K3482" s="1">
        <v>119225.0</v>
      </c>
      <c r="L3482" s="1">
        <v>56.94999685</v>
      </c>
      <c r="M3482" s="1">
        <v>24.1364139006283</v>
      </c>
    </row>
    <row r="3483">
      <c r="A3483" s="1" t="s">
        <v>22</v>
      </c>
      <c r="B3483" s="1" t="s">
        <v>23</v>
      </c>
      <c r="C3483" s="1" t="s">
        <v>2125</v>
      </c>
      <c r="D3483" s="1">
        <v>3.0</v>
      </c>
      <c r="E3483" s="1">
        <v>131.0</v>
      </c>
      <c r="F3483" s="1">
        <v>5.0</v>
      </c>
      <c r="G3483" s="1">
        <v>6.0</v>
      </c>
      <c r="H3483" s="1" t="s">
        <v>66</v>
      </c>
      <c r="I3483" s="1" t="s">
        <v>37</v>
      </c>
      <c r="J3483" s="1" t="s">
        <v>18</v>
      </c>
      <c r="K3483" s="1">
        <v>189500.0</v>
      </c>
      <c r="L3483" s="1">
        <v>56.95734025</v>
      </c>
      <c r="M3483" s="1">
        <v>24.1266455390229</v>
      </c>
    </row>
    <row r="3484">
      <c r="A3484" s="1" t="s">
        <v>22</v>
      </c>
      <c r="B3484" s="1" t="s">
        <v>30</v>
      </c>
      <c r="C3484" s="1" t="s">
        <v>1197</v>
      </c>
      <c r="D3484" s="1">
        <v>3.0</v>
      </c>
      <c r="E3484" s="1">
        <v>69.0</v>
      </c>
      <c r="F3484" s="1">
        <v>3.0</v>
      </c>
      <c r="G3484" s="1">
        <v>10.0</v>
      </c>
      <c r="H3484" s="1" t="s">
        <v>32</v>
      </c>
      <c r="I3484" s="1" t="s">
        <v>33</v>
      </c>
      <c r="J3484" s="1" t="s">
        <v>18</v>
      </c>
      <c r="K3484" s="1">
        <v>120000.0</v>
      </c>
      <c r="L3484" s="1">
        <v>56.97584815</v>
      </c>
      <c r="M3484" s="1">
        <v>24.1689365790638</v>
      </c>
    </row>
    <row r="3485">
      <c r="A3485" s="1" t="s">
        <v>22</v>
      </c>
      <c r="B3485" s="1" t="s">
        <v>23</v>
      </c>
      <c r="C3485" s="1" t="s">
        <v>2126</v>
      </c>
      <c r="D3485" s="1">
        <v>5.0</v>
      </c>
      <c r="E3485" s="1">
        <v>132.0</v>
      </c>
      <c r="F3485" s="1">
        <v>4.0</v>
      </c>
      <c r="G3485" s="1">
        <v>5.0</v>
      </c>
      <c r="H3485" s="1" t="s">
        <v>25</v>
      </c>
      <c r="I3485" s="1" t="s">
        <v>33</v>
      </c>
      <c r="J3485" s="1" t="s">
        <v>18</v>
      </c>
      <c r="K3485" s="1">
        <v>232000.0</v>
      </c>
      <c r="L3485" s="1">
        <v>56.9542735</v>
      </c>
      <c r="M3485" s="1">
        <v>24.1202367</v>
      </c>
    </row>
    <row r="3486">
      <c r="A3486" s="1" t="s">
        <v>13</v>
      </c>
      <c r="B3486" s="1" t="s">
        <v>14</v>
      </c>
      <c r="C3486" s="1" t="s">
        <v>1657</v>
      </c>
      <c r="D3486" s="1">
        <v>2.0</v>
      </c>
      <c r="E3486" s="1">
        <v>40.0</v>
      </c>
      <c r="F3486" s="1">
        <v>2.0</v>
      </c>
      <c r="G3486" s="1">
        <v>5.0</v>
      </c>
      <c r="H3486" s="1" t="s">
        <v>16</v>
      </c>
      <c r="I3486" s="1" t="s">
        <v>122</v>
      </c>
      <c r="J3486" s="1" t="s">
        <v>18</v>
      </c>
      <c r="K3486" s="1">
        <v>30.0</v>
      </c>
      <c r="L3486" s="1">
        <v>56.9513344</v>
      </c>
      <c r="M3486" s="1">
        <v>24.184393</v>
      </c>
    </row>
    <row r="3487">
      <c r="A3487" s="1" t="s">
        <v>22</v>
      </c>
      <c r="B3487" s="1" t="s">
        <v>38</v>
      </c>
      <c r="C3487" s="1" t="s">
        <v>1147</v>
      </c>
      <c r="D3487" s="1">
        <v>3.0</v>
      </c>
      <c r="E3487" s="1">
        <v>63.0</v>
      </c>
      <c r="F3487" s="1">
        <v>9.0</v>
      </c>
      <c r="G3487" s="1">
        <v>9.0</v>
      </c>
      <c r="H3487" s="1">
        <v>602.0</v>
      </c>
      <c r="I3487" s="1" t="s">
        <v>21</v>
      </c>
      <c r="J3487" s="1" t="s">
        <v>18</v>
      </c>
      <c r="K3487" s="1">
        <v>72800.0</v>
      </c>
      <c r="L3487" s="1">
        <v>56.9648157</v>
      </c>
      <c r="M3487" s="1">
        <v>24.0190534</v>
      </c>
    </row>
    <row r="3488">
      <c r="A3488" s="1" t="s">
        <v>22</v>
      </c>
      <c r="B3488" s="1" t="s">
        <v>172</v>
      </c>
      <c r="C3488" s="1" t="s">
        <v>390</v>
      </c>
      <c r="D3488" s="1">
        <v>4.0</v>
      </c>
      <c r="E3488" s="1">
        <v>101.0</v>
      </c>
      <c r="F3488" s="1">
        <v>5.0</v>
      </c>
      <c r="G3488" s="1">
        <v>5.0</v>
      </c>
      <c r="H3488" s="1" t="s">
        <v>32</v>
      </c>
      <c r="I3488" s="1" t="s">
        <v>33</v>
      </c>
      <c r="J3488" s="1" t="s">
        <v>18</v>
      </c>
      <c r="K3488" s="1">
        <v>95000.0</v>
      </c>
      <c r="L3488" s="1">
        <v>56.9051508999999</v>
      </c>
      <c r="M3488" s="1">
        <v>24.2295887977555</v>
      </c>
    </row>
    <row r="3489">
      <c r="A3489" s="1" t="s">
        <v>22</v>
      </c>
      <c r="B3489" s="1" t="s">
        <v>23</v>
      </c>
      <c r="C3489" s="1" t="s">
        <v>1134</v>
      </c>
      <c r="D3489" s="1">
        <v>4.0</v>
      </c>
      <c r="E3489" s="1">
        <v>130.4</v>
      </c>
      <c r="F3489" s="1">
        <v>12.0</v>
      </c>
      <c r="G3489" s="1">
        <v>24.0</v>
      </c>
      <c r="H3489" s="1" t="s">
        <v>32</v>
      </c>
      <c r="I3489" s="1" t="s">
        <v>21</v>
      </c>
      <c r="J3489" s="1" t="s">
        <v>18</v>
      </c>
      <c r="K3489" s="1">
        <v>309000.0</v>
      </c>
      <c r="L3489" s="1" t="s">
        <v>40</v>
      </c>
      <c r="M3489" s="1" t="s">
        <v>40</v>
      </c>
    </row>
    <row r="3490">
      <c r="A3490" s="1" t="s">
        <v>13</v>
      </c>
      <c r="B3490" s="1" t="s">
        <v>99</v>
      </c>
      <c r="C3490" s="1" t="s">
        <v>2127</v>
      </c>
      <c r="D3490" s="1">
        <v>2.0</v>
      </c>
      <c r="E3490" s="1">
        <v>81.0</v>
      </c>
      <c r="F3490" s="1">
        <v>3.0</v>
      </c>
      <c r="G3490" s="1">
        <v>4.0</v>
      </c>
      <c r="H3490" s="1" t="s">
        <v>25</v>
      </c>
      <c r="I3490" s="1" t="s">
        <v>37</v>
      </c>
      <c r="J3490" s="1" t="s">
        <v>18</v>
      </c>
      <c r="K3490" s="1">
        <v>550.0</v>
      </c>
      <c r="L3490" s="1">
        <v>56.93929165</v>
      </c>
      <c r="M3490" s="1">
        <v>24.0974332</v>
      </c>
    </row>
    <row r="3491">
      <c r="A3491" s="1" t="s">
        <v>13</v>
      </c>
      <c r="B3491" s="1" t="s">
        <v>50</v>
      </c>
      <c r="C3491" s="1" t="s">
        <v>2128</v>
      </c>
      <c r="D3491" s="1">
        <v>1.0</v>
      </c>
      <c r="E3491" s="1">
        <v>26.0</v>
      </c>
      <c r="F3491" s="1">
        <v>3.0</v>
      </c>
      <c r="G3491" s="1">
        <v>5.0</v>
      </c>
      <c r="H3491" s="1" t="s">
        <v>66</v>
      </c>
      <c r="I3491" s="1" t="s">
        <v>33</v>
      </c>
      <c r="J3491" s="1" t="s">
        <v>18</v>
      </c>
      <c r="K3491" s="1">
        <v>300.0</v>
      </c>
      <c r="L3491" s="1">
        <v>56.9442174</v>
      </c>
      <c r="M3491" s="1">
        <v>24.1347447914631</v>
      </c>
    </row>
    <row r="3492">
      <c r="A3492" s="1" t="s">
        <v>22</v>
      </c>
      <c r="B3492" s="1" t="s">
        <v>23</v>
      </c>
      <c r="C3492" s="1" t="s">
        <v>2129</v>
      </c>
      <c r="D3492" s="1">
        <v>2.0</v>
      </c>
      <c r="E3492" s="1">
        <v>60.0</v>
      </c>
      <c r="F3492" s="1">
        <v>2.0</v>
      </c>
      <c r="G3492" s="1">
        <v>6.0</v>
      </c>
      <c r="H3492" s="1" t="s">
        <v>25</v>
      </c>
      <c r="I3492" s="1" t="s">
        <v>37</v>
      </c>
      <c r="J3492" s="1" t="s">
        <v>18</v>
      </c>
      <c r="K3492" s="1">
        <v>103000.0</v>
      </c>
      <c r="L3492" s="1">
        <v>56.9651385</v>
      </c>
      <c r="M3492" s="1">
        <v>24.1039375</v>
      </c>
    </row>
    <row r="3493">
      <c r="A3493" s="1" t="s">
        <v>22</v>
      </c>
      <c r="B3493" s="1" t="s">
        <v>23</v>
      </c>
      <c r="C3493" s="1" t="s">
        <v>2130</v>
      </c>
      <c r="D3493" s="1">
        <v>4.0</v>
      </c>
      <c r="E3493" s="1">
        <v>112.0</v>
      </c>
      <c r="F3493" s="1">
        <v>5.0</v>
      </c>
      <c r="G3493" s="1">
        <v>5.0</v>
      </c>
      <c r="H3493" s="1" t="s">
        <v>66</v>
      </c>
      <c r="I3493" s="1" t="s">
        <v>33</v>
      </c>
      <c r="J3493" s="1" t="s">
        <v>18</v>
      </c>
      <c r="K3493" s="1">
        <v>250000.0</v>
      </c>
      <c r="L3493" s="1">
        <v>56.9563965</v>
      </c>
      <c r="M3493" s="1">
        <v>24.1252722046352</v>
      </c>
    </row>
    <row r="3494">
      <c r="A3494" s="1" t="s">
        <v>22</v>
      </c>
      <c r="B3494" s="1" t="s">
        <v>99</v>
      </c>
      <c r="C3494" s="1" t="s">
        <v>2131</v>
      </c>
      <c r="D3494" s="1">
        <v>3.0</v>
      </c>
      <c r="E3494" s="1">
        <v>97.0</v>
      </c>
      <c r="F3494" s="1">
        <v>5.0</v>
      </c>
      <c r="G3494" s="1">
        <v>6.0</v>
      </c>
      <c r="H3494" s="1" t="s">
        <v>32</v>
      </c>
      <c r="I3494" s="1" t="s">
        <v>21</v>
      </c>
      <c r="J3494" s="1" t="s">
        <v>18</v>
      </c>
      <c r="K3494" s="1">
        <v>190000.0</v>
      </c>
      <c r="L3494" s="1">
        <v>56.94358355</v>
      </c>
      <c r="M3494" s="1">
        <v>24.0916786902004</v>
      </c>
    </row>
    <row r="3495">
      <c r="A3495" s="1" t="s">
        <v>22</v>
      </c>
      <c r="B3495" s="1" t="s">
        <v>74</v>
      </c>
      <c r="C3495" s="1" t="s">
        <v>2033</v>
      </c>
      <c r="D3495" s="1">
        <v>2.0</v>
      </c>
      <c r="E3495" s="1">
        <v>65.0</v>
      </c>
      <c r="F3495" s="1">
        <v>2.0</v>
      </c>
      <c r="G3495" s="1">
        <v>9.0</v>
      </c>
      <c r="H3495" s="1" t="s">
        <v>32</v>
      </c>
      <c r="I3495" s="1" t="s">
        <v>37</v>
      </c>
      <c r="J3495" s="1" t="s">
        <v>18</v>
      </c>
      <c r="K3495" s="1">
        <v>92950.0</v>
      </c>
      <c r="L3495" s="1">
        <v>56.9401889</v>
      </c>
      <c r="M3495" s="1">
        <v>24.2111828</v>
      </c>
    </row>
    <row r="3496">
      <c r="A3496" s="1" t="s">
        <v>22</v>
      </c>
      <c r="B3496" s="1" t="s">
        <v>23</v>
      </c>
      <c r="C3496" s="1" t="s">
        <v>1479</v>
      </c>
      <c r="D3496" s="1">
        <v>2.0</v>
      </c>
      <c r="E3496" s="1">
        <v>76.0</v>
      </c>
      <c r="F3496" s="1">
        <v>2.0</v>
      </c>
      <c r="G3496" s="1">
        <v>5.0</v>
      </c>
      <c r="H3496" s="1" t="s">
        <v>25</v>
      </c>
      <c r="I3496" s="1" t="s">
        <v>33</v>
      </c>
      <c r="J3496" s="1" t="s">
        <v>18</v>
      </c>
      <c r="K3496" s="1">
        <v>110000.0</v>
      </c>
      <c r="L3496" s="1">
        <v>56.962802</v>
      </c>
      <c r="M3496" s="1">
        <v>24.1495316</v>
      </c>
    </row>
    <row r="3497">
      <c r="A3497" s="1" t="s">
        <v>22</v>
      </c>
      <c r="B3497" s="1" t="s">
        <v>104</v>
      </c>
      <c r="C3497" s="1" t="s">
        <v>2132</v>
      </c>
      <c r="D3497" s="1">
        <v>1.0</v>
      </c>
      <c r="E3497" s="1">
        <v>40.0</v>
      </c>
      <c r="F3497" s="1">
        <v>4.0</v>
      </c>
      <c r="G3497" s="1">
        <v>4.0</v>
      </c>
      <c r="H3497" s="1" t="s">
        <v>44</v>
      </c>
      <c r="I3497" s="1" t="s">
        <v>21</v>
      </c>
      <c r="J3497" s="1" t="s">
        <v>18</v>
      </c>
      <c r="K3497" s="1">
        <v>47000.0</v>
      </c>
      <c r="L3497" s="1">
        <v>56.9310912</v>
      </c>
      <c r="M3497" s="1">
        <v>24.0716055432673</v>
      </c>
    </row>
    <row r="3498">
      <c r="A3498" s="1" t="s">
        <v>22</v>
      </c>
      <c r="B3498" s="1" t="s">
        <v>14</v>
      </c>
      <c r="C3498" s="1" t="s">
        <v>1749</v>
      </c>
      <c r="D3498" s="1">
        <v>2.0</v>
      </c>
      <c r="E3498" s="1">
        <v>49.0</v>
      </c>
      <c r="F3498" s="1">
        <v>1.0</v>
      </c>
      <c r="G3498" s="1">
        <v>5.0</v>
      </c>
      <c r="H3498" s="1" t="s">
        <v>16</v>
      </c>
      <c r="I3498" s="1" t="s">
        <v>122</v>
      </c>
      <c r="J3498" s="1" t="s">
        <v>18</v>
      </c>
      <c r="K3498" s="1">
        <v>48000.0</v>
      </c>
      <c r="L3498" s="1">
        <v>56.9572401</v>
      </c>
      <c r="M3498" s="1">
        <v>24.1779622</v>
      </c>
    </row>
    <row r="3499">
      <c r="A3499" s="1" t="s">
        <v>22</v>
      </c>
      <c r="B3499" s="1" t="s">
        <v>42</v>
      </c>
      <c r="C3499" s="1" t="s">
        <v>2133</v>
      </c>
      <c r="D3499" s="1">
        <v>2.0</v>
      </c>
      <c r="E3499" s="1">
        <v>47.0</v>
      </c>
      <c r="F3499" s="1">
        <v>5.0</v>
      </c>
      <c r="G3499" s="1">
        <v>5.0</v>
      </c>
      <c r="H3499" s="1" t="s">
        <v>44</v>
      </c>
      <c r="I3499" s="1" t="s">
        <v>21</v>
      </c>
      <c r="J3499" s="1" t="s">
        <v>18</v>
      </c>
      <c r="K3499" s="1">
        <v>40000.0</v>
      </c>
      <c r="L3499" s="1">
        <v>56.97925895</v>
      </c>
      <c r="M3499" s="1">
        <v>24.2475975230015</v>
      </c>
    </row>
    <row r="3500">
      <c r="A3500" s="1" t="s">
        <v>22</v>
      </c>
      <c r="B3500" s="1" t="s">
        <v>23</v>
      </c>
      <c r="C3500" s="1" t="s">
        <v>2134</v>
      </c>
      <c r="D3500" s="1">
        <v>2.0</v>
      </c>
      <c r="E3500" s="1">
        <v>43.0</v>
      </c>
      <c r="F3500" s="1">
        <v>5.0</v>
      </c>
      <c r="G3500" s="1">
        <v>5.0</v>
      </c>
      <c r="H3500" s="1" t="s">
        <v>44</v>
      </c>
      <c r="I3500" s="1" t="s">
        <v>37</v>
      </c>
      <c r="J3500" s="1" t="s">
        <v>18</v>
      </c>
      <c r="K3500" s="1">
        <v>62000.0</v>
      </c>
      <c r="L3500" s="1">
        <v>56.96762</v>
      </c>
      <c r="M3500" s="1">
        <v>24.1292726749723</v>
      </c>
    </row>
    <row r="3501">
      <c r="A3501" s="1" t="s">
        <v>89</v>
      </c>
      <c r="B3501" s="1" t="s">
        <v>23</v>
      </c>
      <c r="C3501" s="2"/>
      <c r="D3501" s="1" t="s">
        <v>90</v>
      </c>
      <c r="E3501" s="2"/>
      <c r="F3501" s="2"/>
      <c r="G3501" s="2"/>
      <c r="H3501" s="2"/>
      <c r="I3501" s="2"/>
      <c r="J3501" s="2"/>
      <c r="K3501" s="2"/>
      <c r="L3501" s="1">
        <v>46.3144754</v>
      </c>
      <c r="M3501" s="1">
        <v>11.0480288</v>
      </c>
    </row>
    <row r="3502">
      <c r="A3502" s="1" t="s">
        <v>13</v>
      </c>
      <c r="B3502" s="1" t="s">
        <v>50</v>
      </c>
      <c r="C3502" s="1" t="s">
        <v>2128</v>
      </c>
      <c r="D3502" s="1">
        <v>2.0</v>
      </c>
      <c r="E3502" s="1">
        <v>32.0</v>
      </c>
      <c r="F3502" s="1">
        <v>3.0</v>
      </c>
      <c r="G3502" s="1">
        <v>5.0</v>
      </c>
      <c r="H3502" s="1" t="s">
        <v>66</v>
      </c>
      <c r="I3502" s="1" t="s">
        <v>33</v>
      </c>
      <c r="J3502" s="1" t="s">
        <v>18</v>
      </c>
      <c r="K3502" s="1">
        <v>350.0</v>
      </c>
      <c r="L3502" s="1">
        <v>56.9442174</v>
      </c>
      <c r="M3502" s="1">
        <v>24.1347447914631</v>
      </c>
    </row>
    <row r="3503">
      <c r="A3503" s="1" t="s">
        <v>13</v>
      </c>
      <c r="B3503" s="1" t="s">
        <v>23</v>
      </c>
      <c r="C3503" s="1" t="s">
        <v>1872</v>
      </c>
      <c r="D3503" s="1">
        <v>3.0</v>
      </c>
      <c r="E3503" s="1">
        <v>200.0</v>
      </c>
      <c r="F3503" s="1">
        <v>5.0</v>
      </c>
      <c r="G3503" s="1">
        <v>6.0</v>
      </c>
      <c r="H3503" s="1" t="s">
        <v>66</v>
      </c>
      <c r="I3503" s="1" t="s">
        <v>33</v>
      </c>
      <c r="J3503" s="1" t="s">
        <v>18</v>
      </c>
      <c r="K3503" s="1">
        <v>1600.0</v>
      </c>
      <c r="L3503" s="1">
        <v>56.9521409</v>
      </c>
      <c r="M3503" s="1">
        <v>24.1137239</v>
      </c>
    </row>
    <row r="3504">
      <c r="A3504" s="1" t="s">
        <v>22</v>
      </c>
      <c r="B3504" s="1" t="s">
        <v>218</v>
      </c>
      <c r="C3504" s="1" t="s">
        <v>507</v>
      </c>
      <c r="D3504" s="1">
        <v>3.0</v>
      </c>
      <c r="E3504" s="1">
        <v>85.0</v>
      </c>
      <c r="F3504" s="1">
        <v>5.0</v>
      </c>
      <c r="G3504" s="1">
        <v>5.0</v>
      </c>
      <c r="H3504" s="1" t="s">
        <v>25</v>
      </c>
      <c r="I3504" s="1" t="s">
        <v>33</v>
      </c>
      <c r="J3504" s="1" t="s">
        <v>18</v>
      </c>
      <c r="K3504" s="1">
        <v>140000.0</v>
      </c>
      <c r="L3504" s="1">
        <v>56.9473175</v>
      </c>
      <c r="M3504" s="1">
        <v>24.1105898</v>
      </c>
    </row>
    <row r="3505">
      <c r="A3505" s="1" t="s">
        <v>13</v>
      </c>
      <c r="B3505" s="1" t="s">
        <v>23</v>
      </c>
      <c r="C3505" s="1" t="s">
        <v>1943</v>
      </c>
      <c r="D3505" s="1">
        <v>2.0</v>
      </c>
      <c r="E3505" s="1">
        <v>40.0</v>
      </c>
      <c r="F3505" s="1">
        <v>1.0</v>
      </c>
      <c r="G3505" s="1">
        <v>2.0</v>
      </c>
      <c r="H3505" s="1" t="s">
        <v>25</v>
      </c>
      <c r="I3505" s="1" t="s">
        <v>26</v>
      </c>
      <c r="J3505" s="1" t="s">
        <v>18</v>
      </c>
      <c r="K3505" s="1">
        <v>400.0</v>
      </c>
      <c r="L3505" s="1">
        <v>56.9528907</v>
      </c>
      <c r="M3505" s="1">
        <v>24.129681</v>
      </c>
    </row>
    <row r="3506">
      <c r="A3506" s="1" t="s">
        <v>22</v>
      </c>
      <c r="B3506" s="1" t="s">
        <v>28</v>
      </c>
      <c r="C3506" s="1" t="s">
        <v>803</v>
      </c>
      <c r="D3506" s="1">
        <v>3.0</v>
      </c>
      <c r="E3506" s="1">
        <v>59.0</v>
      </c>
      <c r="F3506" s="1">
        <v>3.0</v>
      </c>
      <c r="G3506" s="1">
        <v>5.0</v>
      </c>
      <c r="H3506" s="1" t="s">
        <v>16</v>
      </c>
      <c r="I3506" s="1" t="s">
        <v>37</v>
      </c>
      <c r="J3506" s="1" t="s">
        <v>18</v>
      </c>
      <c r="K3506" s="1">
        <v>46900.0</v>
      </c>
      <c r="L3506" s="1">
        <v>56.91162465</v>
      </c>
      <c r="M3506" s="1">
        <v>24.1743748269825</v>
      </c>
    </row>
    <row r="3507">
      <c r="A3507" s="1" t="s">
        <v>22</v>
      </c>
      <c r="B3507" s="1" t="s">
        <v>23</v>
      </c>
      <c r="C3507" s="1" t="s">
        <v>325</v>
      </c>
      <c r="D3507" s="1">
        <v>5.0</v>
      </c>
      <c r="E3507" s="1">
        <v>137.0</v>
      </c>
      <c r="F3507" s="1">
        <v>3.0</v>
      </c>
      <c r="G3507" s="1">
        <v>5.0</v>
      </c>
      <c r="H3507" s="1" t="s">
        <v>25</v>
      </c>
      <c r="I3507" s="1" t="s">
        <v>33</v>
      </c>
      <c r="J3507" s="1" t="s">
        <v>18</v>
      </c>
      <c r="K3507" s="1">
        <v>199000.0</v>
      </c>
      <c r="L3507" s="1">
        <v>56.9599606</v>
      </c>
      <c r="M3507" s="1">
        <v>24.1209763</v>
      </c>
    </row>
    <row r="3508">
      <c r="A3508" s="1" t="s">
        <v>22</v>
      </c>
      <c r="B3508" s="1" t="s">
        <v>28</v>
      </c>
      <c r="C3508" s="1" t="s">
        <v>2135</v>
      </c>
      <c r="D3508" s="1">
        <v>1.0</v>
      </c>
      <c r="E3508" s="1">
        <v>34.0</v>
      </c>
      <c r="F3508" s="1">
        <v>3.0</v>
      </c>
      <c r="G3508" s="1">
        <v>5.0</v>
      </c>
      <c r="H3508" s="1" t="s">
        <v>16</v>
      </c>
      <c r="I3508" s="1" t="s">
        <v>17</v>
      </c>
      <c r="J3508" s="1" t="s">
        <v>18</v>
      </c>
      <c r="K3508" s="1">
        <v>40000.0</v>
      </c>
      <c r="L3508" s="1">
        <v>56.9160082</v>
      </c>
      <c r="M3508" s="1">
        <v>24.1862147</v>
      </c>
    </row>
    <row r="3509">
      <c r="A3509" s="1" t="s">
        <v>22</v>
      </c>
      <c r="B3509" s="1" t="s">
        <v>23</v>
      </c>
      <c r="C3509" s="1" t="s">
        <v>2136</v>
      </c>
      <c r="D3509" s="1">
        <v>2.0</v>
      </c>
      <c r="E3509" s="1">
        <v>41.0</v>
      </c>
      <c r="F3509" s="1">
        <v>5.0</v>
      </c>
      <c r="G3509" s="1">
        <v>5.0</v>
      </c>
      <c r="H3509" s="1" t="s">
        <v>44</v>
      </c>
      <c r="I3509" s="1" t="s">
        <v>37</v>
      </c>
      <c r="J3509" s="1" t="s">
        <v>27</v>
      </c>
      <c r="K3509" s="1">
        <v>40000.0</v>
      </c>
      <c r="L3509" s="1" t="s">
        <v>40</v>
      </c>
      <c r="M3509" s="1" t="s">
        <v>40</v>
      </c>
    </row>
    <row r="3510">
      <c r="A3510" s="1" t="s">
        <v>13</v>
      </c>
      <c r="B3510" s="1" t="s">
        <v>14</v>
      </c>
      <c r="C3510" s="1" t="s">
        <v>2137</v>
      </c>
      <c r="D3510" s="1">
        <v>1.0</v>
      </c>
      <c r="E3510" s="1">
        <v>40.0</v>
      </c>
      <c r="F3510" s="1">
        <v>5.0</v>
      </c>
      <c r="G3510" s="1">
        <v>5.0</v>
      </c>
      <c r="H3510" s="1" t="s">
        <v>57</v>
      </c>
      <c r="I3510" s="1" t="s">
        <v>21</v>
      </c>
      <c r="J3510" s="1" t="s">
        <v>18</v>
      </c>
      <c r="K3510" s="1">
        <v>250.0</v>
      </c>
      <c r="L3510" s="1">
        <v>56.9346287</v>
      </c>
      <c r="M3510" s="1">
        <v>24.195207</v>
      </c>
    </row>
    <row r="3511">
      <c r="A3511" s="1" t="s">
        <v>89</v>
      </c>
      <c r="B3511" s="1" t="s">
        <v>19</v>
      </c>
      <c r="C3511" s="2"/>
      <c r="D3511" s="1" t="s">
        <v>90</v>
      </c>
      <c r="E3511" s="2"/>
      <c r="F3511" s="2"/>
      <c r="G3511" s="2"/>
      <c r="H3511" s="2"/>
      <c r="I3511" s="2"/>
      <c r="J3511" s="2"/>
      <c r="K3511" s="2"/>
      <c r="L3511" s="1">
        <v>46.3144754</v>
      </c>
      <c r="M3511" s="1">
        <v>11.0480288</v>
      </c>
    </row>
    <row r="3512">
      <c r="A3512" s="1" t="s">
        <v>22</v>
      </c>
      <c r="B3512" s="1" t="s">
        <v>28</v>
      </c>
      <c r="C3512" s="1" t="s">
        <v>2138</v>
      </c>
      <c r="D3512" s="1">
        <v>2.0</v>
      </c>
      <c r="E3512" s="1">
        <v>46.0</v>
      </c>
      <c r="F3512" s="1">
        <v>5.0</v>
      </c>
      <c r="G3512" s="1">
        <v>12.0</v>
      </c>
      <c r="H3512" s="1" t="s">
        <v>221</v>
      </c>
      <c r="I3512" s="1" t="s">
        <v>17</v>
      </c>
      <c r="J3512" s="1" t="s">
        <v>18</v>
      </c>
      <c r="K3512" s="1">
        <v>55000.0</v>
      </c>
      <c r="L3512" s="1">
        <v>56.8597884</v>
      </c>
      <c r="M3512" s="1">
        <v>24.3083417</v>
      </c>
    </row>
    <row r="3513">
      <c r="A3513" s="1" t="s">
        <v>22</v>
      </c>
      <c r="B3513" s="1" t="s">
        <v>23</v>
      </c>
      <c r="C3513" s="1" t="s">
        <v>2139</v>
      </c>
      <c r="D3513" s="1" t="s">
        <v>90</v>
      </c>
      <c r="E3513" s="1">
        <v>149.0</v>
      </c>
      <c r="F3513" s="1">
        <v>2.0</v>
      </c>
      <c r="G3513" s="1">
        <v>5.0</v>
      </c>
      <c r="H3513" s="1" t="s">
        <v>25</v>
      </c>
      <c r="I3513" s="1" t="s">
        <v>33</v>
      </c>
      <c r="J3513" s="1" t="s">
        <v>18</v>
      </c>
      <c r="K3513" s="1">
        <v>210000.0</v>
      </c>
      <c r="L3513" s="1">
        <v>56.9554409</v>
      </c>
      <c r="M3513" s="1">
        <v>24.1306476898054</v>
      </c>
    </row>
    <row r="3514">
      <c r="A3514" s="1" t="s">
        <v>22</v>
      </c>
      <c r="B3514" s="1" t="s">
        <v>28</v>
      </c>
      <c r="C3514" s="1" t="s">
        <v>2140</v>
      </c>
      <c r="D3514" s="1">
        <v>2.0</v>
      </c>
      <c r="E3514" s="1">
        <v>44.0</v>
      </c>
      <c r="F3514" s="1">
        <v>1.0</v>
      </c>
      <c r="G3514" s="1">
        <v>5.0</v>
      </c>
      <c r="H3514" s="1" t="s">
        <v>44</v>
      </c>
      <c r="I3514" s="1" t="s">
        <v>21</v>
      </c>
      <c r="J3514" s="1" t="s">
        <v>18</v>
      </c>
      <c r="K3514" s="1">
        <v>34800.0</v>
      </c>
      <c r="L3514" s="1">
        <v>56.9048218</v>
      </c>
      <c r="M3514" s="1">
        <v>24.18525795</v>
      </c>
    </row>
    <row r="3515">
      <c r="A3515" s="1" t="s">
        <v>22</v>
      </c>
      <c r="B3515" s="1" t="s">
        <v>109</v>
      </c>
      <c r="C3515" s="1" t="s">
        <v>2141</v>
      </c>
      <c r="D3515" s="1">
        <v>3.0</v>
      </c>
      <c r="E3515" s="1">
        <v>228.0</v>
      </c>
      <c r="F3515" s="1">
        <v>3.0</v>
      </c>
      <c r="G3515" s="1">
        <v>3.0</v>
      </c>
      <c r="H3515" s="1" t="s">
        <v>32</v>
      </c>
      <c r="I3515" s="1" t="s">
        <v>33</v>
      </c>
      <c r="J3515" s="1" t="s">
        <v>18</v>
      </c>
      <c r="K3515" s="1">
        <v>278000.0</v>
      </c>
      <c r="L3515" s="1">
        <v>56.99726155</v>
      </c>
      <c r="M3515" s="1">
        <v>24.1724670701311</v>
      </c>
    </row>
    <row r="3516">
      <c r="A3516" s="1" t="s">
        <v>22</v>
      </c>
      <c r="B3516" s="1" t="s">
        <v>38</v>
      </c>
      <c r="C3516" s="1" t="s">
        <v>833</v>
      </c>
      <c r="D3516" s="1">
        <v>1.0</v>
      </c>
      <c r="E3516" s="1">
        <v>31.6</v>
      </c>
      <c r="F3516" s="1">
        <v>2.0</v>
      </c>
      <c r="G3516" s="1">
        <v>9.0</v>
      </c>
      <c r="H3516" s="1">
        <v>602.0</v>
      </c>
      <c r="I3516" s="1" t="s">
        <v>21</v>
      </c>
      <c r="J3516" s="1" t="s">
        <v>18</v>
      </c>
      <c r="K3516" s="1">
        <v>42800.0</v>
      </c>
      <c r="L3516" s="1">
        <v>56.95924615</v>
      </c>
      <c r="M3516" s="1">
        <v>24.0038878</v>
      </c>
    </row>
    <row r="3517">
      <c r="A3517" s="1" t="s">
        <v>89</v>
      </c>
      <c r="B3517" s="1" t="s">
        <v>94</v>
      </c>
      <c r="C3517" s="2"/>
      <c r="D3517" s="2"/>
      <c r="E3517" s="2"/>
      <c r="F3517" s="2"/>
      <c r="G3517" s="2"/>
      <c r="H3517" s="2"/>
      <c r="I3517" s="2"/>
      <c r="J3517" s="2"/>
      <c r="K3517" s="2"/>
      <c r="L3517" s="1">
        <v>46.3144754</v>
      </c>
      <c r="M3517" s="1">
        <v>11.0480288</v>
      </c>
    </row>
    <row r="3518">
      <c r="A3518" s="1" t="s">
        <v>22</v>
      </c>
      <c r="B3518" s="1" t="s">
        <v>38</v>
      </c>
      <c r="C3518" s="1" t="s">
        <v>2142</v>
      </c>
      <c r="D3518" s="1">
        <v>2.0</v>
      </c>
      <c r="E3518" s="1">
        <v>50.0</v>
      </c>
      <c r="F3518" s="1">
        <v>5.0</v>
      </c>
      <c r="G3518" s="1">
        <v>5.0</v>
      </c>
      <c r="H3518" s="1" t="s">
        <v>16</v>
      </c>
      <c r="I3518" s="1" t="s">
        <v>21</v>
      </c>
      <c r="J3518" s="1" t="s">
        <v>18</v>
      </c>
      <c r="K3518" s="1">
        <v>48000.0</v>
      </c>
      <c r="L3518" s="1">
        <v>56.96259715</v>
      </c>
      <c r="M3518" s="1">
        <v>24.0033091</v>
      </c>
    </row>
    <row r="3519">
      <c r="A3519" s="1" t="s">
        <v>22</v>
      </c>
      <c r="B3519" s="1" t="s">
        <v>151</v>
      </c>
      <c r="C3519" s="1" t="s">
        <v>438</v>
      </c>
      <c r="D3519" s="1">
        <v>1.0</v>
      </c>
      <c r="E3519" s="1">
        <v>24.0</v>
      </c>
      <c r="F3519" s="1">
        <v>1.0</v>
      </c>
      <c r="G3519" s="1">
        <v>2.0</v>
      </c>
      <c r="H3519" s="1" t="s">
        <v>25</v>
      </c>
      <c r="I3519" s="1" t="s">
        <v>26</v>
      </c>
      <c r="J3519" s="1" t="s">
        <v>18</v>
      </c>
      <c r="K3519" s="1">
        <v>17500.0</v>
      </c>
      <c r="L3519" s="1">
        <v>56.9581357</v>
      </c>
      <c r="M3519" s="1">
        <v>24.0711634602382</v>
      </c>
    </row>
    <row r="3520">
      <c r="A3520" s="1" t="s">
        <v>22</v>
      </c>
      <c r="B3520" s="1" t="s">
        <v>151</v>
      </c>
      <c r="C3520" s="1" t="s">
        <v>438</v>
      </c>
      <c r="D3520" s="1">
        <v>1.0</v>
      </c>
      <c r="E3520" s="1">
        <v>28.0</v>
      </c>
      <c r="F3520" s="1">
        <v>2.0</v>
      </c>
      <c r="G3520" s="1">
        <v>2.0</v>
      </c>
      <c r="H3520" s="1" t="s">
        <v>25</v>
      </c>
      <c r="I3520" s="1" t="s">
        <v>26</v>
      </c>
      <c r="J3520" s="1" t="s">
        <v>18</v>
      </c>
      <c r="K3520" s="1">
        <v>20500.0</v>
      </c>
      <c r="L3520" s="1">
        <v>56.9581357</v>
      </c>
      <c r="M3520" s="1">
        <v>24.0711634602382</v>
      </c>
    </row>
    <row r="3521">
      <c r="A3521" s="1" t="s">
        <v>22</v>
      </c>
      <c r="B3521" s="1" t="s">
        <v>28</v>
      </c>
      <c r="C3521" s="1" t="s">
        <v>2143</v>
      </c>
      <c r="D3521" s="1">
        <v>1.0</v>
      </c>
      <c r="E3521" s="1">
        <v>31.0</v>
      </c>
      <c r="F3521" s="1">
        <v>12.0</v>
      </c>
      <c r="G3521" s="1">
        <v>12.0</v>
      </c>
      <c r="H3521" s="1" t="s">
        <v>57</v>
      </c>
      <c r="I3521" s="1" t="s">
        <v>17</v>
      </c>
      <c r="J3521" s="1" t="s">
        <v>18</v>
      </c>
      <c r="K3521" s="1">
        <v>28500.0</v>
      </c>
      <c r="L3521" s="1">
        <v>56.8597884</v>
      </c>
      <c r="M3521" s="1">
        <v>24.3083417</v>
      </c>
    </row>
    <row r="3522">
      <c r="A3522" s="1" t="s">
        <v>13</v>
      </c>
      <c r="B3522" s="1" t="s">
        <v>28</v>
      </c>
      <c r="C3522" s="1" t="s">
        <v>1592</v>
      </c>
      <c r="D3522" s="1">
        <v>1.0</v>
      </c>
      <c r="E3522" s="1">
        <v>32.0</v>
      </c>
      <c r="F3522" s="1">
        <v>12.0</v>
      </c>
      <c r="G3522" s="1">
        <v>12.0</v>
      </c>
      <c r="H3522" s="1" t="s">
        <v>221</v>
      </c>
      <c r="I3522" s="1" t="s">
        <v>122</v>
      </c>
      <c r="J3522" s="1" t="s">
        <v>18</v>
      </c>
      <c r="K3522" s="1">
        <v>25.0</v>
      </c>
      <c r="L3522" s="1">
        <v>56.9075339</v>
      </c>
      <c r="M3522" s="1">
        <v>24.2019891658871</v>
      </c>
    </row>
    <row r="3523">
      <c r="A3523" s="1" t="s">
        <v>22</v>
      </c>
      <c r="B3523" s="1" t="s">
        <v>151</v>
      </c>
      <c r="C3523" s="1" t="s">
        <v>2144</v>
      </c>
      <c r="D3523" s="1">
        <v>3.0</v>
      </c>
      <c r="E3523" s="1">
        <v>56.0</v>
      </c>
      <c r="F3523" s="1">
        <v>3.0</v>
      </c>
      <c r="G3523" s="1">
        <v>5.0</v>
      </c>
      <c r="H3523" s="1" t="s">
        <v>16</v>
      </c>
      <c r="I3523" s="1" t="s">
        <v>21</v>
      </c>
      <c r="J3523" s="1" t="s">
        <v>18</v>
      </c>
      <c r="K3523" s="1">
        <v>51500.0</v>
      </c>
      <c r="L3523" s="1">
        <v>56.9671678</v>
      </c>
      <c r="M3523" s="1">
        <v>24.0569596822562</v>
      </c>
    </row>
    <row r="3524">
      <c r="A3524" s="1" t="s">
        <v>13</v>
      </c>
      <c r="B3524" s="1" t="s">
        <v>23</v>
      </c>
      <c r="C3524" s="1" t="s">
        <v>1593</v>
      </c>
      <c r="D3524" s="1">
        <v>3.0</v>
      </c>
      <c r="E3524" s="1">
        <v>90.0</v>
      </c>
      <c r="F3524" s="1">
        <v>3.0</v>
      </c>
      <c r="G3524" s="1">
        <v>5.0</v>
      </c>
      <c r="H3524" s="1" t="s">
        <v>25</v>
      </c>
      <c r="I3524" s="1" t="s">
        <v>33</v>
      </c>
      <c r="J3524" s="1" t="s">
        <v>18</v>
      </c>
      <c r="K3524" s="1">
        <v>1100.0</v>
      </c>
      <c r="L3524" s="1" t="s">
        <v>40</v>
      </c>
      <c r="M3524" s="1" t="s">
        <v>40</v>
      </c>
    </row>
    <row r="3525">
      <c r="A3525" s="1" t="s">
        <v>13</v>
      </c>
      <c r="B3525" s="1" t="s">
        <v>23</v>
      </c>
      <c r="C3525" s="1" t="s">
        <v>1966</v>
      </c>
      <c r="D3525" s="1">
        <v>2.0</v>
      </c>
      <c r="E3525" s="1">
        <v>52.0</v>
      </c>
      <c r="F3525" s="1">
        <v>1.0</v>
      </c>
      <c r="G3525" s="1">
        <v>6.0</v>
      </c>
      <c r="H3525" s="1" t="s">
        <v>25</v>
      </c>
      <c r="I3525" s="1" t="s">
        <v>37</v>
      </c>
      <c r="J3525" s="1" t="s">
        <v>18</v>
      </c>
      <c r="K3525" s="1">
        <v>700.0</v>
      </c>
      <c r="L3525" s="1">
        <v>56.9606867</v>
      </c>
      <c r="M3525" s="1">
        <v>24.1035085</v>
      </c>
    </row>
    <row r="3526">
      <c r="A3526" s="1" t="s">
        <v>13</v>
      </c>
      <c r="B3526" s="1" t="s">
        <v>23</v>
      </c>
      <c r="C3526" s="1" t="s">
        <v>1325</v>
      </c>
      <c r="D3526" s="1">
        <v>2.0</v>
      </c>
      <c r="E3526" s="1">
        <v>52.0</v>
      </c>
      <c r="F3526" s="1">
        <v>2.0</v>
      </c>
      <c r="G3526" s="1">
        <v>2.0</v>
      </c>
      <c r="H3526" s="1" t="s">
        <v>25</v>
      </c>
      <c r="I3526" s="1" t="s">
        <v>37</v>
      </c>
      <c r="J3526" s="1" t="s">
        <v>18</v>
      </c>
      <c r="K3526" s="1">
        <v>600.0</v>
      </c>
      <c r="L3526" s="1">
        <v>56.953749</v>
      </c>
      <c r="M3526" s="1">
        <v>24.1340229</v>
      </c>
    </row>
    <row r="3527">
      <c r="A3527" s="1" t="s">
        <v>89</v>
      </c>
      <c r="B3527" s="1" t="s">
        <v>117</v>
      </c>
      <c r="C3527" s="2"/>
      <c r="D3527" s="2"/>
      <c r="E3527" s="1">
        <v>8.0</v>
      </c>
      <c r="F3527" s="1">
        <v>88.0</v>
      </c>
      <c r="G3527" s="1">
        <v>8.0</v>
      </c>
      <c r="H3527" s="2"/>
      <c r="I3527" s="2"/>
      <c r="J3527" s="2"/>
      <c r="K3527" s="2"/>
      <c r="L3527" s="1">
        <v>46.3144754</v>
      </c>
      <c r="M3527" s="1">
        <v>11.0480288</v>
      </c>
    </row>
    <row r="3528">
      <c r="A3528" s="1" t="s">
        <v>89</v>
      </c>
      <c r="B3528" s="1" t="s">
        <v>109</v>
      </c>
      <c r="C3528" s="2"/>
      <c r="D3528" s="2"/>
      <c r="E3528" s="1">
        <v>4.0</v>
      </c>
      <c r="F3528" s="1">
        <v>44.0</v>
      </c>
      <c r="G3528" s="1">
        <v>4.0</v>
      </c>
      <c r="H3528" s="2"/>
      <c r="I3528" s="2"/>
      <c r="J3528" s="2"/>
      <c r="K3528" s="2"/>
      <c r="L3528" s="1">
        <v>46.3144754</v>
      </c>
      <c r="M3528" s="1">
        <v>11.0480288</v>
      </c>
    </row>
    <row r="3529">
      <c r="A3529" s="1" t="s">
        <v>89</v>
      </c>
      <c r="B3529" s="1" t="s">
        <v>23</v>
      </c>
      <c r="C3529" s="2"/>
      <c r="D3529" s="1">
        <v>2.0</v>
      </c>
      <c r="E3529" s="2"/>
      <c r="F3529" s="1">
        <v>12.0</v>
      </c>
      <c r="G3529" s="1">
        <v>1.0</v>
      </c>
      <c r="H3529" s="2"/>
      <c r="I3529" s="2"/>
      <c r="J3529" s="2"/>
      <c r="K3529" s="2"/>
      <c r="L3529" s="1">
        <v>46.3144754</v>
      </c>
      <c r="M3529" s="1">
        <v>11.0480288</v>
      </c>
    </row>
    <row r="3530">
      <c r="A3530" s="1" t="s">
        <v>89</v>
      </c>
      <c r="B3530" s="1" t="s">
        <v>104</v>
      </c>
      <c r="C3530" s="2"/>
      <c r="D3530" s="2"/>
      <c r="E3530" s="1">
        <v>3.0</v>
      </c>
      <c r="F3530" s="1">
        <v>33.0</v>
      </c>
      <c r="G3530" s="1">
        <v>3.0</v>
      </c>
      <c r="H3530" s="2"/>
      <c r="I3530" s="2"/>
      <c r="J3530" s="2"/>
      <c r="K3530" s="2"/>
      <c r="L3530" s="1">
        <v>46.3144754</v>
      </c>
      <c r="M3530" s="1">
        <v>11.0480288</v>
      </c>
    </row>
    <row r="3531">
      <c r="A3531" s="1" t="s">
        <v>13</v>
      </c>
      <c r="B3531" s="1" t="s">
        <v>74</v>
      </c>
      <c r="C3531" s="1" t="s">
        <v>636</v>
      </c>
      <c r="D3531" s="1">
        <v>1.0</v>
      </c>
      <c r="E3531" s="1">
        <v>49.0</v>
      </c>
      <c r="F3531" s="1">
        <v>11.0</v>
      </c>
      <c r="G3531" s="1">
        <v>12.0</v>
      </c>
      <c r="H3531" s="1">
        <v>104.0</v>
      </c>
      <c r="I3531" s="1" t="s">
        <v>122</v>
      </c>
      <c r="J3531" s="1" t="s">
        <v>18</v>
      </c>
      <c r="K3531" s="1">
        <v>25.0</v>
      </c>
      <c r="L3531" s="1">
        <v>56.93679455</v>
      </c>
      <c r="M3531" s="1">
        <v>24.2018369722633</v>
      </c>
    </row>
    <row r="3532">
      <c r="A3532" s="1" t="s">
        <v>22</v>
      </c>
      <c r="B3532" s="1" t="s">
        <v>23</v>
      </c>
      <c r="C3532" s="1" t="s">
        <v>478</v>
      </c>
      <c r="D3532" s="1">
        <v>3.0</v>
      </c>
      <c r="E3532" s="1">
        <v>76.0</v>
      </c>
      <c r="F3532" s="1">
        <v>6.0</v>
      </c>
      <c r="G3532" s="1">
        <v>7.0</v>
      </c>
      <c r="H3532" s="1" t="s">
        <v>32</v>
      </c>
      <c r="I3532" s="1" t="s">
        <v>33</v>
      </c>
      <c r="J3532" s="1" t="s">
        <v>18</v>
      </c>
      <c r="K3532" s="1">
        <v>188500.0</v>
      </c>
      <c r="L3532" s="1">
        <v>56.9493295</v>
      </c>
      <c r="M3532" s="1">
        <v>24.1264892056074</v>
      </c>
    </row>
    <row r="3533">
      <c r="A3533" s="1" t="s">
        <v>22</v>
      </c>
      <c r="B3533" s="1" t="s">
        <v>14</v>
      </c>
      <c r="C3533" s="1" t="s">
        <v>2145</v>
      </c>
      <c r="D3533" s="1">
        <v>1.0</v>
      </c>
      <c r="E3533" s="1">
        <v>30.0</v>
      </c>
      <c r="F3533" s="1">
        <v>5.0</v>
      </c>
      <c r="G3533" s="1">
        <v>5.0</v>
      </c>
      <c r="H3533" s="1" t="s">
        <v>16</v>
      </c>
      <c r="I3533" s="1" t="s">
        <v>21</v>
      </c>
      <c r="J3533" s="1" t="s">
        <v>18</v>
      </c>
      <c r="K3533" s="1">
        <v>30200.0</v>
      </c>
      <c r="L3533" s="1">
        <v>56.9634571</v>
      </c>
      <c r="M3533" s="1">
        <v>24.1900096</v>
      </c>
    </row>
    <row r="3534">
      <c r="A3534" s="1" t="s">
        <v>22</v>
      </c>
      <c r="B3534" s="1" t="s">
        <v>23</v>
      </c>
      <c r="C3534" s="1" t="s">
        <v>1012</v>
      </c>
      <c r="D3534" s="1">
        <v>1.0</v>
      </c>
      <c r="E3534" s="1">
        <v>19.0</v>
      </c>
      <c r="F3534" s="1">
        <v>4.0</v>
      </c>
      <c r="G3534" s="1">
        <v>5.0</v>
      </c>
      <c r="H3534" s="1" t="s">
        <v>25</v>
      </c>
      <c r="I3534" s="1" t="s">
        <v>33</v>
      </c>
      <c r="J3534" s="1" t="s">
        <v>18</v>
      </c>
      <c r="K3534" s="1">
        <v>28000.0</v>
      </c>
      <c r="L3534" s="1">
        <v>56.95035715</v>
      </c>
      <c r="M3534" s="1">
        <v>24.1357606589646</v>
      </c>
    </row>
    <row r="3535">
      <c r="A3535" s="1" t="s">
        <v>13</v>
      </c>
      <c r="B3535" s="1" t="s">
        <v>447</v>
      </c>
      <c r="C3535" s="1" t="s">
        <v>2146</v>
      </c>
      <c r="D3535" s="1">
        <v>1.0</v>
      </c>
      <c r="E3535" s="1">
        <v>22.0</v>
      </c>
      <c r="F3535" s="1">
        <v>1.0</v>
      </c>
      <c r="G3535" s="1">
        <v>2.0</v>
      </c>
      <c r="H3535" s="1" t="s">
        <v>25</v>
      </c>
      <c r="I3535" s="1" t="s">
        <v>37</v>
      </c>
      <c r="J3535" s="1" t="s">
        <v>18</v>
      </c>
      <c r="K3535" s="1">
        <v>220.0</v>
      </c>
      <c r="L3535" s="1">
        <v>56.92952585</v>
      </c>
      <c r="M3535" s="1">
        <v>24.0965296521524</v>
      </c>
    </row>
    <row r="3536">
      <c r="A3536" s="1" t="s">
        <v>22</v>
      </c>
      <c r="B3536" s="1" t="s">
        <v>52</v>
      </c>
      <c r="C3536" s="1" t="s">
        <v>2147</v>
      </c>
      <c r="D3536" s="1">
        <v>3.0</v>
      </c>
      <c r="E3536" s="1">
        <v>77.0</v>
      </c>
      <c r="F3536" s="1">
        <v>9.0</v>
      </c>
      <c r="G3536" s="1">
        <v>9.0</v>
      </c>
      <c r="H3536" s="1">
        <v>119.0</v>
      </c>
      <c r="I3536" s="1" t="s">
        <v>21</v>
      </c>
      <c r="J3536" s="1" t="s">
        <v>18</v>
      </c>
      <c r="K3536" s="1">
        <v>73000.0</v>
      </c>
      <c r="L3536" s="1">
        <v>56.9469888</v>
      </c>
      <c r="M3536" s="1">
        <v>24.0013103304718</v>
      </c>
    </row>
    <row r="3537">
      <c r="A3537" s="1" t="s">
        <v>89</v>
      </c>
      <c r="B3537" s="1" t="s">
        <v>42</v>
      </c>
      <c r="C3537" s="2"/>
      <c r="D3537" s="1">
        <v>2.0</v>
      </c>
      <c r="E3537" s="2"/>
      <c r="F3537" s="2"/>
      <c r="G3537" s="2"/>
      <c r="H3537" s="2"/>
      <c r="I3537" s="2"/>
      <c r="J3537" s="1" t="s">
        <v>18</v>
      </c>
      <c r="K3537" s="2"/>
      <c r="L3537" s="1">
        <v>46.3144754</v>
      </c>
      <c r="M3537" s="1">
        <v>11.0480288</v>
      </c>
    </row>
    <row r="3538">
      <c r="A3538" s="1" t="s">
        <v>89</v>
      </c>
      <c r="B3538" s="1" t="s">
        <v>447</v>
      </c>
      <c r="C3538" s="2"/>
      <c r="D3538" s="1">
        <v>2.0</v>
      </c>
      <c r="E3538" s="2"/>
      <c r="F3538" s="2"/>
      <c r="G3538" s="2"/>
      <c r="H3538" s="2"/>
      <c r="I3538" s="2"/>
      <c r="J3538" s="1" t="s">
        <v>18</v>
      </c>
      <c r="K3538" s="2"/>
      <c r="L3538" s="1">
        <v>46.3144754</v>
      </c>
      <c r="M3538" s="1">
        <v>11.0480288</v>
      </c>
    </row>
    <row r="3539">
      <c r="A3539" s="1" t="s">
        <v>89</v>
      </c>
      <c r="B3539" s="1" t="s">
        <v>30</v>
      </c>
      <c r="C3539" s="2"/>
      <c r="D3539" s="1">
        <v>2.0</v>
      </c>
      <c r="E3539" s="2"/>
      <c r="F3539" s="2"/>
      <c r="G3539" s="2"/>
      <c r="H3539" s="2"/>
      <c r="I3539" s="2"/>
      <c r="J3539" s="1" t="s">
        <v>18</v>
      </c>
      <c r="K3539" s="2"/>
      <c r="L3539" s="1">
        <v>46.3144754</v>
      </c>
      <c r="M3539" s="1">
        <v>11.0480288</v>
      </c>
    </row>
    <row r="3540">
      <c r="A3540" s="1" t="s">
        <v>22</v>
      </c>
      <c r="B3540" s="1" t="s">
        <v>422</v>
      </c>
      <c r="C3540" s="1" t="s">
        <v>363</v>
      </c>
      <c r="D3540" s="1">
        <v>2.0</v>
      </c>
      <c r="E3540" s="1">
        <v>68.0</v>
      </c>
      <c r="F3540" s="1">
        <v>20.0</v>
      </c>
      <c r="G3540" s="1">
        <v>24.0</v>
      </c>
      <c r="H3540" s="1" t="s">
        <v>32</v>
      </c>
      <c r="I3540" s="1" t="s">
        <v>33</v>
      </c>
      <c r="J3540" s="1" t="s">
        <v>18</v>
      </c>
      <c r="K3540" s="1">
        <v>115000.0</v>
      </c>
      <c r="L3540" s="1">
        <v>56.9334996</v>
      </c>
      <c r="M3540" s="1">
        <v>24.0424848</v>
      </c>
    </row>
    <row r="3541">
      <c r="A3541" s="1" t="s">
        <v>89</v>
      </c>
      <c r="B3541" s="1" t="s">
        <v>19</v>
      </c>
      <c r="C3541" s="2"/>
      <c r="D3541" s="2"/>
      <c r="E3541" s="2"/>
      <c r="F3541" s="2"/>
      <c r="G3541" s="2"/>
      <c r="H3541" s="2"/>
      <c r="I3541" s="2"/>
      <c r="J3541" s="2"/>
      <c r="K3541" s="2"/>
      <c r="L3541" s="1">
        <v>46.3144754</v>
      </c>
      <c r="M3541" s="1">
        <v>11.0480288</v>
      </c>
    </row>
    <row r="3542">
      <c r="A3542" s="1" t="s">
        <v>89</v>
      </c>
      <c r="B3542" s="1" t="s">
        <v>74</v>
      </c>
      <c r="C3542" s="2"/>
      <c r="D3542" s="2"/>
      <c r="E3542" s="2"/>
      <c r="F3542" s="2"/>
      <c r="G3542" s="2"/>
      <c r="H3542" s="2"/>
      <c r="I3542" s="2"/>
      <c r="J3542" s="2"/>
      <c r="K3542" s="2"/>
      <c r="L3542" s="1">
        <v>46.3144754</v>
      </c>
      <c r="M3542" s="1">
        <v>11.0480288</v>
      </c>
    </row>
    <row r="3543">
      <c r="A3543" s="1" t="s">
        <v>22</v>
      </c>
      <c r="B3543" s="1" t="s">
        <v>23</v>
      </c>
      <c r="C3543" s="1" t="s">
        <v>2086</v>
      </c>
      <c r="D3543" s="1">
        <v>3.0</v>
      </c>
      <c r="E3543" s="1">
        <v>71.0</v>
      </c>
      <c r="F3543" s="1">
        <v>5.0</v>
      </c>
      <c r="G3543" s="1">
        <v>5.0</v>
      </c>
      <c r="H3543" s="1" t="s">
        <v>25</v>
      </c>
      <c r="I3543" s="1" t="s">
        <v>37</v>
      </c>
      <c r="J3543" s="1" t="s">
        <v>18</v>
      </c>
      <c r="K3543" s="1">
        <v>125000.0</v>
      </c>
      <c r="L3543" s="1">
        <v>56.94979075</v>
      </c>
      <c r="M3543" s="1">
        <v>24.1415616845318</v>
      </c>
    </row>
    <row r="3544">
      <c r="A3544" s="1" t="s">
        <v>89</v>
      </c>
      <c r="B3544" s="1" t="s">
        <v>14</v>
      </c>
      <c r="C3544" s="2"/>
      <c r="D3544" s="2"/>
      <c r="E3544" s="1">
        <v>7.0</v>
      </c>
      <c r="F3544" s="1">
        <v>77.0</v>
      </c>
      <c r="G3544" s="1">
        <v>7.0</v>
      </c>
      <c r="H3544" s="2"/>
      <c r="I3544" s="2"/>
      <c r="J3544" s="2"/>
      <c r="K3544" s="2"/>
      <c r="L3544" s="1">
        <v>46.3144754</v>
      </c>
      <c r="M3544" s="1">
        <v>11.0480288</v>
      </c>
    </row>
    <row r="3545">
      <c r="A3545" s="1" t="s">
        <v>89</v>
      </c>
      <c r="B3545" s="1" t="s">
        <v>74</v>
      </c>
      <c r="C3545" s="2"/>
      <c r="D3545" s="2"/>
      <c r="E3545" s="1">
        <v>1.0</v>
      </c>
      <c r="F3545" s="1">
        <v>1.0</v>
      </c>
      <c r="G3545" s="1">
        <v>1.0</v>
      </c>
      <c r="H3545" s="2"/>
      <c r="I3545" s="2"/>
      <c r="J3545" s="2"/>
      <c r="K3545" s="2"/>
      <c r="L3545" s="1">
        <v>46.3144754</v>
      </c>
      <c r="M3545" s="1">
        <v>11.0480288</v>
      </c>
    </row>
    <row r="3546">
      <c r="A3546" s="1" t="s">
        <v>89</v>
      </c>
      <c r="B3546" s="1" t="s">
        <v>28</v>
      </c>
      <c r="C3546" s="2"/>
      <c r="D3546" s="2"/>
      <c r="E3546" s="2"/>
      <c r="F3546" s="1">
        <v>10.0</v>
      </c>
      <c r="G3546" s="1">
        <v>1.0</v>
      </c>
      <c r="H3546" s="2"/>
      <c r="I3546" s="2"/>
      <c r="J3546" s="2"/>
      <c r="K3546" s="2"/>
      <c r="L3546" s="1">
        <v>46.3144754</v>
      </c>
      <c r="M3546" s="1">
        <v>11.0480288</v>
      </c>
    </row>
    <row r="3547">
      <c r="A3547" s="1" t="s">
        <v>22</v>
      </c>
      <c r="B3547" s="1" t="s">
        <v>23</v>
      </c>
      <c r="C3547" s="1" t="s">
        <v>2148</v>
      </c>
      <c r="D3547" s="1">
        <v>3.0</v>
      </c>
      <c r="E3547" s="1">
        <v>49.0</v>
      </c>
      <c r="F3547" s="1">
        <v>2.0</v>
      </c>
      <c r="G3547" s="1">
        <v>2.0</v>
      </c>
      <c r="H3547" s="1" t="s">
        <v>25</v>
      </c>
      <c r="I3547" s="1" t="s">
        <v>26</v>
      </c>
      <c r="J3547" s="1" t="s">
        <v>27</v>
      </c>
      <c r="K3547" s="1">
        <v>18000.0</v>
      </c>
      <c r="L3547" s="1">
        <v>56.9491789</v>
      </c>
      <c r="M3547" s="1">
        <v>24.1334933759442</v>
      </c>
    </row>
    <row r="3548">
      <c r="A3548" s="1" t="s">
        <v>22</v>
      </c>
      <c r="B3548" s="1" t="s">
        <v>23</v>
      </c>
      <c r="C3548" s="1" t="s">
        <v>1455</v>
      </c>
      <c r="D3548" s="1">
        <v>3.0</v>
      </c>
      <c r="E3548" s="1">
        <v>73.0</v>
      </c>
      <c r="F3548" s="1">
        <v>2.0</v>
      </c>
      <c r="G3548" s="1">
        <v>5.0</v>
      </c>
      <c r="H3548" s="1" t="s">
        <v>36</v>
      </c>
      <c r="I3548" s="1" t="s">
        <v>37</v>
      </c>
      <c r="J3548" s="1" t="s">
        <v>18</v>
      </c>
      <c r="K3548" s="1">
        <v>102000.0</v>
      </c>
      <c r="L3548" s="1">
        <v>56.95661335</v>
      </c>
      <c r="M3548" s="1">
        <v>24.0987304306377</v>
      </c>
    </row>
    <row r="3549">
      <c r="A3549" s="1" t="s">
        <v>22</v>
      </c>
      <c r="B3549" s="1" t="s">
        <v>74</v>
      </c>
      <c r="C3549" s="1" t="s">
        <v>2149</v>
      </c>
      <c r="D3549" s="1">
        <v>3.0</v>
      </c>
      <c r="E3549" s="1">
        <v>62.0</v>
      </c>
      <c r="F3549" s="1">
        <v>3.0</v>
      </c>
      <c r="G3549" s="1">
        <v>9.0</v>
      </c>
      <c r="H3549" s="1">
        <v>602.0</v>
      </c>
      <c r="I3549" s="1" t="s">
        <v>21</v>
      </c>
      <c r="J3549" s="1" t="s">
        <v>18</v>
      </c>
      <c r="K3549" s="1">
        <v>57000.0</v>
      </c>
      <c r="L3549" s="1">
        <v>56.93115325</v>
      </c>
      <c r="M3549" s="1">
        <v>24.1775645554618</v>
      </c>
    </row>
    <row r="3550">
      <c r="A3550" s="1" t="s">
        <v>22</v>
      </c>
      <c r="B3550" s="1" t="s">
        <v>14</v>
      </c>
      <c r="C3550" s="1" t="s">
        <v>689</v>
      </c>
      <c r="D3550" s="1">
        <v>2.0</v>
      </c>
      <c r="E3550" s="1">
        <v>50.0</v>
      </c>
      <c r="F3550" s="1">
        <v>5.0</v>
      </c>
      <c r="G3550" s="1">
        <v>9.0</v>
      </c>
      <c r="H3550" s="1">
        <v>602.0</v>
      </c>
      <c r="I3550" s="1" t="s">
        <v>21</v>
      </c>
      <c r="J3550" s="1" t="s">
        <v>18</v>
      </c>
      <c r="K3550" s="1">
        <v>57000.0</v>
      </c>
      <c r="L3550" s="1">
        <v>56.95828335</v>
      </c>
      <c r="M3550" s="1">
        <v>24.1729105268554</v>
      </c>
    </row>
    <row r="3551">
      <c r="A3551" s="1" t="s">
        <v>13</v>
      </c>
      <c r="B3551" s="1" t="s">
        <v>174</v>
      </c>
      <c r="C3551" s="1" t="s">
        <v>2150</v>
      </c>
      <c r="D3551" s="1">
        <v>2.0</v>
      </c>
      <c r="E3551" s="1">
        <v>53.0</v>
      </c>
      <c r="F3551" s="1">
        <v>4.0</v>
      </c>
      <c r="G3551" s="1">
        <v>5.0</v>
      </c>
      <c r="H3551" s="1">
        <v>103.0</v>
      </c>
      <c r="I3551" s="1" t="s">
        <v>37</v>
      </c>
      <c r="J3551" s="1" t="s">
        <v>18</v>
      </c>
      <c r="K3551" s="1">
        <v>360.0</v>
      </c>
      <c r="L3551" s="1">
        <v>56.9472543</v>
      </c>
      <c r="M3551" s="1">
        <v>24.1696263</v>
      </c>
    </row>
    <row r="3552">
      <c r="A3552" s="1" t="s">
        <v>22</v>
      </c>
      <c r="B3552" s="1" t="s">
        <v>23</v>
      </c>
      <c r="C3552" s="1" t="s">
        <v>1074</v>
      </c>
      <c r="D3552" s="1">
        <v>3.0</v>
      </c>
      <c r="E3552" s="1">
        <v>93.0</v>
      </c>
      <c r="F3552" s="1">
        <v>7.0</v>
      </c>
      <c r="G3552" s="1">
        <v>7.0</v>
      </c>
      <c r="H3552" s="1" t="s">
        <v>66</v>
      </c>
      <c r="I3552" s="1" t="s">
        <v>33</v>
      </c>
      <c r="J3552" s="1" t="s">
        <v>18</v>
      </c>
      <c r="K3552" s="1">
        <v>185000.0</v>
      </c>
      <c r="L3552" s="1">
        <v>56.960378</v>
      </c>
      <c r="M3552" s="1">
        <v>24.1197764</v>
      </c>
    </row>
    <row r="3553">
      <c r="A3553" s="1" t="s">
        <v>22</v>
      </c>
      <c r="B3553" s="1" t="s">
        <v>94</v>
      </c>
      <c r="C3553" s="1" t="s">
        <v>2151</v>
      </c>
      <c r="D3553" s="1">
        <v>1.0</v>
      </c>
      <c r="E3553" s="1">
        <v>26.0</v>
      </c>
      <c r="F3553" s="1">
        <v>1.0</v>
      </c>
      <c r="G3553" s="1">
        <v>2.0</v>
      </c>
      <c r="H3553" s="1" t="s">
        <v>25</v>
      </c>
      <c r="I3553" s="1" t="s">
        <v>26</v>
      </c>
      <c r="J3553" s="1" t="s">
        <v>27</v>
      </c>
      <c r="K3553" s="1">
        <v>12500.0</v>
      </c>
      <c r="L3553" s="1">
        <v>56.92991675</v>
      </c>
      <c r="M3553" s="1">
        <v>24.1699068499999</v>
      </c>
    </row>
    <row r="3554">
      <c r="A3554" s="1" t="s">
        <v>22</v>
      </c>
      <c r="B3554" s="1" t="s">
        <v>38</v>
      </c>
      <c r="C3554" s="1" t="s">
        <v>2152</v>
      </c>
      <c r="D3554" s="1">
        <v>2.0</v>
      </c>
      <c r="E3554" s="1">
        <v>49.2</v>
      </c>
      <c r="F3554" s="1">
        <v>7.0</v>
      </c>
      <c r="G3554" s="1">
        <v>9.0</v>
      </c>
      <c r="H3554" s="1">
        <v>602.0</v>
      </c>
      <c r="I3554" s="1" t="s">
        <v>21</v>
      </c>
      <c r="J3554" s="1" t="s">
        <v>18</v>
      </c>
      <c r="K3554" s="1">
        <v>63500.0</v>
      </c>
      <c r="L3554" s="1" t="s">
        <v>40</v>
      </c>
      <c r="M3554" s="1" t="s">
        <v>40</v>
      </c>
    </row>
    <row r="3555">
      <c r="A3555" s="1" t="s">
        <v>89</v>
      </c>
      <c r="B3555" s="1" t="s">
        <v>42</v>
      </c>
      <c r="C3555" s="2"/>
      <c r="D3555" s="2"/>
      <c r="E3555" s="1">
        <v>6.0</v>
      </c>
      <c r="F3555" s="1">
        <v>66.0</v>
      </c>
      <c r="G3555" s="1">
        <v>6.0</v>
      </c>
      <c r="H3555" s="2"/>
      <c r="I3555" s="2"/>
      <c r="J3555" s="2"/>
      <c r="K3555" s="2"/>
      <c r="L3555" s="1">
        <v>46.3144754</v>
      </c>
      <c r="M3555" s="1">
        <v>11.0480288</v>
      </c>
    </row>
    <row r="3556">
      <c r="A3556" s="1" t="s">
        <v>89</v>
      </c>
      <c r="B3556" s="1" t="s">
        <v>129</v>
      </c>
      <c r="C3556" s="2"/>
      <c r="D3556" s="2"/>
      <c r="E3556" s="2"/>
      <c r="F3556" s="1">
        <v>11.0</v>
      </c>
      <c r="G3556" s="1">
        <v>1.0</v>
      </c>
      <c r="H3556" s="2"/>
      <c r="I3556" s="2"/>
      <c r="J3556" s="2"/>
      <c r="K3556" s="2"/>
      <c r="L3556" s="1">
        <v>46.3144754</v>
      </c>
      <c r="M3556" s="1">
        <v>11.0480288</v>
      </c>
    </row>
    <row r="3557">
      <c r="A3557" s="1" t="s">
        <v>89</v>
      </c>
      <c r="B3557" s="1" t="s">
        <v>74</v>
      </c>
      <c r="C3557" s="2"/>
      <c r="D3557" s="1" t="s">
        <v>90</v>
      </c>
      <c r="E3557" s="2"/>
      <c r="F3557" s="2"/>
      <c r="G3557" s="2"/>
      <c r="H3557" s="2"/>
      <c r="I3557" s="2"/>
      <c r="J3557" s="2"/>
      <c r="K3557" s="2"/>
      <c r="L3557" s="1">
        <v>46.3144754</v>
      </c>
      <c r="M3557" s="1">
        <v>11.0480288</v>
      </c>
    </row>
    <row r="3558">
      <c r="A3558" s="1" t="s">
        <v>22</v>
      </c>
      <c r="B3558" s="1" t="s">
        <v>74</v>
      </c>
      <c r="C3558" s="1" t="s">
        <v>2153</v>
      </c>
      <c r="D3558" s="1">
        <v>1.0</v>
      </c>
      <c r="E3558" s="1">
        <v>46.0</v>
      </c>
      <c r="F3558" s="1">
        <v>2.0</v>
      </c>
      <c r="G3558" s="1">
        <v>9.0</v>
      </c>
      <c r="H3558" s="1" t="s">
        <v>57</v>
      </c>
      <c r="I3558" s="1" t="s">
        <v>21</v>
      </c>
      <c r="J3558" s="1" t="s">
        <v>18</v>
      </c>
      <c r="K3558" s="1">
        <v>38000.0</v>
      </c>
      <c r="L3558" s="1">
        <v>56.9339826</v>
      </c>
      <c r="M3558" s="1">
        <v>24.197050844516</v>
      </c>
    </row>
    <row r="3559">
      <c r="A3559" s="1" t="s">
        <v>13</v>
      </c>
      <c r="B3559" s="1" t="s">
        <v>129</v>
      </c>
      <c r="C3559" s="1" t="s">
        <v>1062</v>
      </c>
      <c r="D3559" s="1">
        <v>2.0</v>
      </c>
      <c r="E3559" s="1">
        <v>41.0</v>
      </c>
      <c r="F3559" s="1">
        <v>4.0</v>
      </c>
      <c r="G3559" s="1">
        <v>5.0</v>
      </c>
      <c r="H3559" s="1" t="s">
        <v>44</v>
      </c>
      <c r="I3559" s="1" t="s">
        <v>37</v>
      </c>
      <c r="J3559" s="1" t="s">
        <v>18</v>
      </c>
      <c r="K3559" s="1">
        <v>340.0</v>
      </c>
      <c r="L3559" s="1">
        <v>57.0021488</v>
      </c>
      <c r="M3559" s="1">
        <v>24.1248028</v>
      </c>
    </row>
    <row r="3560">
      <c r="A3560" s="1" t="s">
        <v>13</v>
      </c>
      <c r="B3560" s="1" t="s">
        <v>38</v>
      </c>
      <c r="C3560" s="1" t="s">
        <v>2154</v>
      </c>
      <c r="D3560" s="1">
        <v>1.0</v>
      </c>
      <c r="E3560" s="1">
        <v>18.0</v>
      </c>
      <c r="F3560" s="1">
        <v>2.0</v>
      </c>
      <c r="G3560" s="1">
        <v>2.0</v>
      </c>
      <c r="H3560" s="1" t="s">
        <v>171</v>
      </c>
      <c r="I3560" s="1" t="s">
        <v>37</v>
      </c>
      <c r="J3560" s="1" t="s">
        <v>18</v>
      </c>
      <c r="K3560" s="1">
        <v>300.0</v>
      </c>
      <c r="L3560" s="1">
        <v>56.9547815</v>
      </c>
      <c r="M3560" s="1">
        <v>24.030075</v>
      </c>
    </row>
    <row r="3561">
      <c r="A3561" s="1" t="s">
        <v>22</v>
      </c>
      <c r="B3561" s="1" t="s">
        <v>28</v>
      </c>
      <c r="C3561" s="1" t="s">
        <v>2155</v>
      </c>
      <c r="D3561" s="1">
        <v>2.0</v>
      </c>
      <c r="E3561" s="1">
        <v>49.0</v>
      </c>
      <c r="F3561" s="1">
        <v>5.0</v>
      </c>
      <c r="G3561" s="1">
        <v>5.0</v>
      </c>
      <c r="H3561" s="1" t="s">
        <v>36</v>
      </c>
      <c r="I3561" s="1" t="s">
        <v>37</v>
      </c>
      <c r="J3561" s="1" t="s">
        <v>18</v>
      </c>
      <c r="K3561" s="1">
        <v>46000.0</v>
      </c>
      <c r="L3561" s="1">
        <v>56.91613955</v>
      </c>
      <c r="M3561" s="1">
        <v>24.1868169499999</v>
      </c>
    </row>
    <row r="3562">
      <c r="A3562" s="1" t="s">
        <v>22</v>
      </c>
      <c r="B3562" s="1" t="s">
        <v>52</v>
      </c>
      <c r="C3562" s="1" t="s">
        <v>2027</v>
      </c>
      <c r="D3562" s="1">
        <v>2.0</v>
      </c>
      <c r="E3562" s="1">
        <v>65.0</v>
      </c>
      <c r="F3562" s="1">
        <v>8.0</v>
      </c>
      <c r="G3562" s="1">
        <v>13.0</v>
      </c>
      <c r="H3562" s="1" t="s">
        <v>32</v>
      </c>
      <c r="I3562" s="1" t="s">
        <v>122</v>
      </c>
      <c r="J3562" s="1" t="s">
        <v>18</v>
      </c>
      <c r="K3562" s="1">
        <v>98000.0</v>
      </c>
      <c r="L3562" s="1">
        <v>56.94666195</v>
      </c>
      <c r="M3562" s="1">
        <v>24.0130196500717</v>
      </c>
    </row>
    <row r="3563">
      <c r="A3563" s="1" t="s">
        <v>22</v>
      </c>
      <c r="B3563" s="1" t="s">
        <v>60</v>
      </c>
      <c r="C3563" s="1" t="s">
        <v>1054</v>
      </c>
      <c r="D3563" s="1">
        <v>1.0</v>
      </c>
      <c r="E3563" s="1">
        <v>34.0</v>
      </c>
      <c r="F3563" s="1">
        <v>1.0</v>
      </c>
      <c r="G3563" s="1">
        <v>5.0</v>
      </c>
      <c r="H3563" s="1">
        <v>103.0</v>
      </c>
      <c r="I3563" s="1" t="s">
        <v>122</v>
      </c>
      <c r="J3563" s="1" t="s">
        <v>18</v>
      </c>
      <c r="K3563" s="1">
        <v>33000.0</v>
      </c>
      <c r="L3563" s="1">
        <v>57.0280588499999</v>
      </c>
      <c r="M3563" s="1">
        <v>24.0499994138029</v>
      </c>
    </row>
    <row r="3564">
      <c r="A3564" s="1" t="s">
        <v>22</v>
      </c>
      <c r="B3564" s="1" t="s">
        <v>48</v>
      </c>
      <c r="C3564" s="1" t="s">
        <v>310</v>
      </c>
      <c r="D3564" s="1">
        <v>1.0</v>
      </c>
      <c r="E3564" s="1">
        <v>46.0</v>
      </c>
      <c r="F3564" s="1">
        <v>7.0</v>
      </c>
      <c r="G3564" s="1">
        <v>16.0</v>
      </c>
      <c r="H3564" s="1">
        <v>104.0</v>
      </c>
      <c r="I3564" s="1" t="s">
        <v>17</v>
      </c>
      <c r="J3564" s="1" t="s">
        <v>18</v>
      </c>
      <c r="K3564" s="1">
        <v>48000.0</v>
      </c>
      <c r="L3564" s="1">
        <v>56.9671489</v>
      </c>
      <c r="M3564" s="1">
        <v>24.2375509025527</v>
      </c>
    </row>
    <row r="3565">
      <c r="A3565" s="1" t="s">
        <v>22</v>
      </c>
      <c r="B3565" s="1" t="s">
        <v>74</v>
      </c>
      <c r="C3565" s="1" t="s">
        <v>2156</v>
      </c>
      <c r="D3565" s="1">
        <v>2.0</v>
      </c>
      <c r="E3565" s="1">
        <v>64.0</v>
      </c>
      <c r="F3565" s="1">
        <v>2.0</v>
      </c>
      <c r="G3565" s="1">
        <v>8.0</v>
      </c>
      <c r="H3565" s="1" t="s">
        <v>32</v>
      </c>
      <c r="I3565" s="1" t="s">
        <v>122</v>
      </c>
      <c r="J3565" s="1" t="s">
        <v>18</v>
      </c>
      <c r="K3565" s="1">
        <v>92950.0</v>
      </c>
      <c r="L3565" s="1">
        <v>56.9401889</v>
      </c>
      <c r="M3565" s="1">
        <v>24.2111828</v>
      </c>
    </row>
    <row r="3566">
      <c r="A3566" s="1" t="s">
        <v>89</v>
      </c>
      <c r="B3566" s="1" t="s">
        <v>19</v>
      </c>
      <c r="C3566" s="2"/>
      <c r="D3566" s="1" t="s">
        <v>90</v>
      </c>
      <c r="E3566" s="2"/>
      <c r="F3566" s="2"/>
      <c r="G3566" s="2"/>
      <c r="H3566" s="2"/>
      <c r="I3566" s="2"/>
      <c r="J3566" s="2"/>
      <c r="K3566" s="2"/>
      <c r="L3566" s="1">
        <v>46.3144754</v>
      </c>
      <c r="M3566" s="1">
        <v>11.0480288</v>
      </c>
    </row>
    <row r="3567">
      <c r="A3567" s="1" t="s">
        <v>89</v>
      </c>
      <c r="B3567" s="1" t="s">
        <v>129</v>
      </c>
      <c r="C3567" s="2"/>
      <c r="D3567" s="2"/>
      <c r="E3567" s="2"/>
      <c r="F3567" s="2"/>
      <c r="G3567" s="2"/>
      <c r="H3567" s="2"/>
      <c r="I3567" s="2"/>
      <c r="J3567" s="2"/>
      <c r="K3567" s="2"/>
      <c r="L3567" s="1">
        <v>46.3144754</v>
      </c>
      <c r="M3567" s="1">
        <v>11.0480288</v>
      </c>
    </row>
    <row r="3568">
      <c r="A3568" s="1" t="s">
        <v>89</v>
      </c>
      <c r="B3568" s="1" t="s">
        <v>174</v>
      </c>
      <c r="C3568" s="2"/>
      <c r="D3568" s="1" t="s">
        <v>90</v>
      </c>
      <c r="E3568" s="2"/>
      <c r="F3568" s="2"/>
      <c r="G3568" s="2"/>
      <c r="H3568" s="2"/>
      <c r="I3568" s="2"/>
      <c r="J3568" s="2"/>
      <c r="K3568" s="2"/>
      <c r="L3568" s="1">
        <v>46.3144754</v>
      </c>
      <c r="M3568" s="1">
        <v>11.0480288</v>
      </c>
    </row>
    <row r="3569">
      <c r="A3569" s="1" t="s">
        <v>89</v>
      </c>
      <c r="B3569" s="1" t="s">
        <v>134</v>
      </c>
      <c r="C3569" s="2"/>
      <c r="D3569" s="1" t="s">
        <v>90</v>
      </c>
      <c r="E3569" s="2"/>
      <c r="F3569" s="2"/>
      <c r="G3569" s="2"/>
      <c r="H3569" s="2"/>
      <c r="I3569" s="2"/>
      <c r="J3569" s="2"/>
      <c r="K3569" s="2"/>
      <c r="L3569" s="1">
        <v>46.3144754</v>
      </c>
      <c r="M3569" s="1">
        <v>11.0480288</v>
      </c>
    </row>
    <row r="3570">
      <c r="A3570" s="1" t="s">
        <v>89</v>
      </c>
      <c r="B3570" s="1" t="s">
        <v>23</v>
      </c>
      <c r="C3570" s="2"/>
      <c r="D3570" s="1" t="s">
        <v>90</v>
      </c>
      <c r="E3570" s="2"/>
      <c r="F3570" s="2"/>
      <c r="G3570" s="2"/>
      <c r="H3570" s="2"/>
      <c r="I3570" s="2"/>
      <c r="J3570" s="2"/>
      <c r="K3570" s="2"/>
      <c r="L3570" s="1">
        <v>46.3144754</v>
      </c>
      <c r="M3570" s="1">
        <v>11.0480288</v>
      </c>
    </row>
    <row r="3571">
      <c r="A3571" s="1" t="s">
        <v>89</v>
      </c>
      <c r="B3571" s="1" t="s">
        <v>76</v>
      </c>
      <c r="C3571" s="2"/>
      <c r="D3571" s="1" t="s">
        <v>90</v>
      </c>
      <c r="E3571" s="2"/>
      <c r="F3571" s="2"/>
      <c r="G3571" s="2"/>
      <c r="H3571" s="2"/>
      <c r="I3571" s="2"/>
      <c r="J3571" s="2"/>
      <c r="K3571" s="2"/>
      <c r="L3571" s="1">
        <v>46.3144754</v>
      </c>
      <c r="M3571" s="1">
        <v>11.0480288</v>
      </c>
    </row>
    <row r="3572">
      <c r="A3572" s="1" t="s">
        <v>89</v>
      </c>
      <c r="B3572" s="1" t="s">
        <v>74</v>
      </c>
      <c r="C3572" s="2"/>
      <c r="D3572" s="2"/>
      <c r="E3572" s="2"/>
      <c r="F3572" s="2"/>
      <c r="G3572" s="2"/>
      <c r="H3572" s="2"/>
      <c r="I3572" s="2"/>
      <c r="J3572" s="2"/>
      <c r="K3572" s="2"/>
      <c r="L3572" s="1">
        <v>46.3144754</v>
      </c>
      <c r="M3572" s="1">
        <v>11.0480288</v>
      </c>
    </row>
    <row r="3573">
      <c r="A3573" s="1" t="s">
        <v>22</v>
      </c>
      <c r="B3573" s="1" t="s">
        <v>129</v>
      </c>
      <c r="C3573" s="1" t="s">
        <v>2157</v>
      </c>
      <c r="D3573" s="1">
        <v>3.0</v>
      </c>
      <c r="E3573" s="1">
        <v>60.0</v>
      </c>
      <c r="F3573" s="1">
        <v>1.0</v>
      </c>
      <c r="G3573" s="1">
        <v>3.0</v>
      </c>
      <c r="H3573" s="1" t="s">
        <v>36</v>
      </c>
      <c r="I3573" s="1" t="s">
        <v>37</v>
      </c>
      <c r="J3573" s="1" t="s">
        <v>18</v>
      </c>
      <c r="K3573" s="1">
        <v>60000.0</v>
      </c>
      <c r="L3573" s="1">
        <v>57.0070931</v>
      </c>
      <c r="M3573" s="1">
        <v>24.12490865</v>
      </c>
    </row>
    <row r="3574">
      <c r="A3574" s="1" t="s">
        <v>22</v>
      </c>
      <c r="B3574" s="1" t="s">
        <v>50</v>
      </c>
      <c r="C3574" s="1" t="s">
        <v>2158</v>
      </c>
      <c r="D3574" s="1">
        <v>1.0</v>
      </c>
      <c r="E3574" s="1">
        <v>30.0</v>
      </c>
      <c r="F3574" s="1">
        <v>2.0</v>
      </c>
      <c r="G3574" s="1">
        <v>2.0</v>
      </c>
      <c r="H3574" s="1" t="s">
        <v>36</v>
      </c>
      <c r="I3574" s="1" t="s">
        <v>26</v>
      </c>
      <c r="J3574" s="1" t="s">
        <v>27</v>
      </c>
      <c r="K3574" s="1">
        <v>8890.0</v>
      </c>
      <c r="L3574" s="1">
        <v>56.9388472</v>
      </c>
      <c r="M3574" s="1">
        <v>24.1451816996405</v>
      </c>
    </row>
    <row r="3575">
      <c r="A3575" s="1" t="s">
        <v>22</v>
      </c>
      <c r="B3575" s="1" t="s">
        <v>106</v>
      </c>
      <c r="C3575" s="1" t="s">
        <v>1145</v>
      </c>
      <c r="D3575" s="1">
        <v>4.0</v>
      </c>
      <c r="E3575" s="1">
        <v>92.0</v>
      </c>
      <c r="F3575" s="1">
        <v>1.0</v>
      </c>
      <c r="G3575" s="1">
        <v>2.0</v>
      </c>
      <c r="H3575" s="1" t="s">
        <v>36</v>
      </c>
      <c r="I3575" s="1" t="s">
        <v>26</v>
      </c>
      <c r="J3575" s="1" t="s">
        <v>18</v>
      </c>
      <c r="K3575" s="1">
        <v>33500.0</v>
      </c>
      <c r="L3575" s="1">
        <v>56.94158095</v>
      </c>
      <c r="M3575" s="1">
        <v>24.0539487289344</v>
      </c>
    </row>
    <row r="3576">
      <c r="A3576" s="1" t="s">
        <v>22</v>
      </c>
      <c r="B3576" s="1" t="s">
        <v>129</v>
      </c>
      <c r="C3576" s="1" t="s">
        <v>713</v>
      </c>
      <c r="D3576" s="1">
        <v>1.0</v>
      </c>
      <c r="E3576" s="1">
        <v>18.0</v>
      </c>
      <c r="F3576" s="1">
        <v>4.0</v>
      </c>
      <c r="G3576" s="1">
        <v>5.0</v>
      </c>
      <c r="H3576" s="1" t="s">
        <v>36</v>
      </c>
      <c r="I3576" s="1" t="s">
        <v>122</v>
      </c>
      <c r="J3576" s="1" t="s">
        <v>18</v>
      </c>
      <c r="K3576" s="1">
        <v>13500.0</v>
      </c>
      <c r="L3576" s="1">
        <v>57.000974</v>
      </c>
      <c r="M3576" s="1">
        <v>24.12127055</v>
      </c>
    </row>
    <row r="3577">
      <c r="A3577" s="1" t="s">
        <v>13</v>
      </c>
      <c r="B3577" s="1" t="s">
        <v>23</v>
      </c>
      <c r="C3577" s="1" t="s">
        <v>501</v>
      </c>
      <c r="D3577" s="1">
        <v>1.0</v>
      </c>
      <c r="E3577" s="1">
        <v>20.0</v>
      </c>
      <c r="F3577" s="1">
        <v>6.0</v>
      </c>
      <c r="G3577" s="1">
        <v>6.0</v>
      </c>
      <c r="H3577" s="1" t="s">
        <v>66</v>
      </c>
      <c r="I3577" s="1" t="s">
        <v>33</v>
      </c>
      <c r="J3577" s="1" t="s">
        <v>18</v>
      </c>
      <c r="K3577" s="1">
        <v>225.0</v>
      </c>
      <c r="L3577" s="1">
        <v>56.94440235</v>
      </c>
      <c r="M3577" s="1">
        <v>24.1323630232783</v>
      </c>
    </row>
    <row r="3578">
      <c r="A3578" s="1" t="s">
        <v>22</v>
      </c>
      <c r="B3578" s="1" t="s">
        <v>28</v>
      </c>
      <c r="C3578" s="1" t="s">
        <v>2159</v>
      </c>
      <c r="D3578" s="1">
        <v>2.0</v>
      </c>
      <c r="E3578" s="1">
        <v>49.0</v>
      </c>
      <c r="F3578" s="1">
        <v>2.0</v>
      </c>
      <c r="G3578" s="1">
        <v>9.0</v>
      </c>
      <c r="H3578" s="1">
        <v>467.0</v>
      </c>
      <c r="I3578" s="1" t="s">
        <v>21</v>
      </c>
      <c r="J3578" s="1" t="s">
        <v>18</v>
      </c>
      <c r="K3578" s="1">
        <v>49700.0</v>
      </c>
      <c r="L3578" s="1">
        <v>56.9080231</v>
      </c>
      <c r="M3578" s="1">
        <v>24.1990921017509</v>
      </c>
    </row>
    <row r="3579">
      <c r="A3579" s="1" t="s">
        <v>22</v>
      </c>
      <c r="B3579" s="2"/>
      <c r="C3579" s="1" t="s">
        <v>2160</v>
      </c>
      <c r="D3579" s="1">
        <v>2.0</v>
      </c>
      <c r="E3579" s="1">
        <v>55.0</v>
      </c>
      <c r="F3579" s="1">
        <v>1.0</v>
      </c>
      <c r="G3579" s="1">
        <v>5.0</v>
      </c>
      <c r="H3579" s="1" t="s">
        <v>32</v>
      </c>
      <c r="I3579" s="1" t="s">
        <v>21</v>
      </c>
      <c r="J3579" s="1" t="s">
        <v>18</v>
      </c>
      <c r="K3579" s="1">
        <v>90000.0</v>
      </c>
      <c r="L3579" s="1">
        <v>56.90511365</v>
      </c>
      <c r="M3579" s="1">
        <v>24.1432388249002</v>
      </c>
    </row>
    <row r="3580">
      <c r="A3580" s="1" t="s">
        <v>13</v>
      </c>
      <c r="B3580" s="1" t="s">
        <v>23</v>
      </c>
      <c r="C3580" s="1" t="s">
        <v>64</v>
      </c>
      <c r="D3580" s="1">
        <v>3.0</v>
      </c>
      <c r="E3580" s="1">
        <v>86.0</v>
      </c>
      <c r="F3580" s="1">
        <v>5.0</v>
      </c>
      <c r="G3580" s="1">
        <v>6.0</v>
      </c>
      <c r="H3580" s="1" t="s">
        <v>25</v>
      </c>
      <c r="I3580" s="1" t="s">
        <v>37</v>
      </c>
      <c r="J3580" s="1" t="s">
        <v>18</v>
      </c>
      <c r="K3580" s="1">
        <v>520.0</v>
      </c>
      <c r="L3580" s="1">
        <v>56.9521436</v>
      </c>
      <c r="M3580" s="1">
        <v>24.1276865</v>
      </c>
    </row>
    <row r="3581">
      <c r="A3581" s="1" t="s">
        <v>13</v>
      </c>
      <c r="B3581" s="1" t="s">
        <v>48</v>
      </c>
      <c r="C3581" s="1" t="s">
        <v>365</v>
      </c>
      <c r="D3581" s="1">
        <v>1.0</v>
      </c>
      <c r="E3581" s="1">
        <v>32.0</v>
      </c>
      <c r="F3581" s="1">
        <v>3.0</v>
      </c>
      <c r="G3581" s="1">
        <v>5.0</v>
      </c>
      <c r="H3581" s="1" t="s">
        <v>32</v>
      </c>
      <c r="I3581" s="1" t="s">
        <v>33</v>
      </c>
      <c r="J3581" s="1" t="s">
        <v>18</v>
      </c>
      <c r="K3581" s="1">
        <v>320.0</v>
      </c>
      <c r="L3581" s="1">
        <v>56.95546705</v>
      </c>
      <c r="M3581" s="1">
        <v>24.24181865</v>
      </c>
    </row>
    <row r="3582">
      <c r="A3582" s="1" t="s">
        <v>13</v>
      </c>
      <c r="B3582" s="1" t="s">
        <v>14</v>
      </c>
      <c r="C3582" s="1" t="s">
        <v>480</v>
      </c>
      <c r="D3582" s="1">
        <v>3.0</v>
      </c>
      <c r="E3582" s="1">
        <v>62.0</v>
      </c>
      <c r="F3582" s="1">
        <v>4.0</v>
      </c>
      <c r="G3582" s="1">
        <v>9.0</v>
      </c>
      <c r="H3582" s="1">
        <v>602.0</v>
      </c>
      <c r="I3582" s="1" t="s">
        <v>21</v>
      </c>
      <c r="J3582" s="1" t="s">
        <v>18</v>
      </c>
      <c r="K3582" s="1">
        <v>460.0</v>
      </c>
      <c r="L3582" s="1">
        <v>56.9550112</v>
      </c>
      <c r="M3582" s="1">
        <v>24.1985621</v>
      </c>
    </row>
    <row r="3583">
      <c r="A3583" s="1" t="s">
        <v>13</v>
      </c>
      <c r="B3583" s="1" t="s">
        <v>74</v>
      </c>
      <c r="C3583" s="1" t="s">
        <v>911</v>
      </c>
      <c r="D3583" s="1">
        <v>1.0</v>
      </c>
      <c r="E3583" s="1">
        <v>41.0</v>
      </c>
      <c r="F3583" s="1">
        <v>8.0</v>
      </c>
      <c r="G3583" s="1">
        <v>9.0</v>
      </c>
      <c r="H3583" s="1" t="s">
        <v>57</v>
      </c>
      <c r="I3583" s="1" t="s">
        <v>122</v>
      </c>
      <c r="J3583" s="1" t="s">
        <v>18</v>
      </c>
      <c r="K3583" s="1">
        <v>25.0</v>
      </c>
      <c r="L3583" s="1">
        <v>56.93391825</v>
      </c>
      <c r="M3583" s="1">
        <v>24.1961130586527</v>
      </c>
    </row>
    <row r="3584">
      <c r="A3584" s="1" t="s">
        <v>22</v>
      </c>
      <c r="B3584" s="1" t="s">
        <v>28</v>
      </c>
      <c r="C3584" s="1" t="s">
        <v>2161</v>
      </c>
      <c r="D3584" s="1">
        <v>1.0</v>
      </c>
      <c r="E3584" s="1">
        <v>35.0</v>
      </c>
      <c r="F3584" s="1">
        <v>6.0</v>
      </c>
      <c r="G3584" s="1">
        <v>12.0</v>
      </c>
      <c r="H3584" s="1" t="s">
        <v>36</v>
      </c>
      <c r="I3584" s="1" t="s">
        <v>17</v>
      </c>
      <c r="J3584" s="1" t="s">
        <v>18</v>
      </c>
      <c r="K3584" s="1">
        <v>34500.0</v>
      </c>
      <c r="L3584" s="1">
        <v>56.9038744</v>
      </c>
      <c r="M3584" s="1">
        <v>24.1987997038064</v>
      </c>
    </row>
    <row r="3585">
      <c r="A3585" s="1" t="s">
        <v>13</v>
      </c>
      <c r="B3585" s="1" t="s">
        <v>104</v>
      </c>
      <c r="C3585" s="1" t="s">
        <v>2162</v>
      </c>
      <c r="D3585" s="1">
        <v>2.0</v>
      </c>
      <c r="E3585" s="1">
        <v>44.0</v>
      </c>
      <c r="F3585" s="1">
        <v>5.0</v>
      </c>
      <c r="G3585" s="1">
        <v>5.0</v>
      </c>
      <c r="H3585" s="1" t="s">
        <v>44</v>
      </c>
      <c r="I3585" s="1" t="s">
        <v>21</v>
      </c>
      <c r="J3585" s="1" t="s">
        <v>18</v>
      </c>
      <c r="K3585" s="1">
        <v>300.0</v>
      </c>
      <c r="L3585" s="1">
        <v>56.94661035</v>
      </c>
      <c r="M3585" s="1">
        <v>24.0666173966587</v>
      </c>
    </row>
    <row r="3586">
      <c r="A3586" s="1" t="s">
        <v>22</v>
      </c>
      <c r="B3586" s="1" t="s">
        <v>14</v>
      </c>
      <c r="C3586" s="1" t="s">
        <v>2163</v>
      </c>
      <c r="D3586" s="1">
        <v>2.0</v>
      </c>
      <c r="E3586" s="1">
        <v>46.0</v>
      </c>
      <c r="F3586" s="1">
        <v>4.0</v>
      </c>
      <c r="G3586" s="1">
        <v>5.0</v>
      </c>
      <c r="H3586" s="1" t="s">
        <v>16</v>
      </c>
      <c r="I3586" s="1" t="s">
        <v>21</v>
      </c>
      <c r="J3586" s="1" t="s">
        <v>18</v>
      </c>
      <c r="K3586" s="1">
        <v>44000.0</v>
      </c>
      <c r="L3586" s="1">
        <v>56.9633342</v>
      </c>
      <c r="M3586" s="1">
        <v>24.1887981539815</v>
      </c>
    </row>
    <row r="3587">
      <c r="A3587" s="1" t="s">
        <v>22</v>
      </c>
      <c r="B3587" s="1" t="s">
        <v>28</v>
      </c>
      <c r="C3587" s="1" t="s">
        <v>2164</v>
      </c>
      <c r="D3587" s="1">
        <v>2.0</v>
      </c>
      <c r="E3587" s="1">
        <v>44.0</v>
      </c>
      <c r="F3587" s="1">
        <v>5.0</v>
      </c>
      <c r="G3587" s="1">
        <v>5.0</v>
      </c>
      <c r="H3587" s="1" t="s">
        <v>16</v>
      </c>
      <c r="I3587" s="1" t="s">
        <v>21</v>
      </c>
      <c r="J3587" s="1" t="s">
        <v>18</v>
      </c>
      <c r="K3587" s="1">
        <v>45000.0</v>
      </c>
      <c r="L3587" s="1">
        <v>56.9119415</v>
      </c>
      <c r="M3587" s="1">
        <v>24.1733953943026</v>
      </c>
    </row>
    <row r="3588">
      <c r="A3588" s="1" t="s">
        <v>131</v>
      </c>
      <c r="B3588" s="1" t="s">
        <v>23</v>
      </c>
      <c r="C3588" s="2"/>
      <c r="D3588" s="1">
        <v>1.0</v>
      </c>
      <c r="E3588" s="1">
        <v>30.0</v>
      </c>
      <c r="F3588" s="2"/>
      <c r="G3588" s="2"/>
      <c r="H3588" s="2"/>
      <c r="I3588" s="2"/>
      <c r="J3588" s="1" t="s">
        <v>18</v>
      </c>
      <c r="K3588" s="2"/>
      <c r="L3588" s="1">
        <v>46.3144754</v>
      </c>
      <c r="M3588" s="1">
        <v>11.0480288</v>
      </c>
    </row>
    <row r="3589">
      <c r="A3589" s="1" t="s">
        <v>13</v>
      </c>
      <c r="B3589" s="1" t="s">
        <v>23</v>
      </c>
      <c r="C3589" s="1" t="s">
        <v>810</v>
      </c>
      <c r="D3589" s="1">
        <v>1.0</v>
      </c>
      <c r="E3589" s="1">
        <v>31.0</v>
      </c>
      <c r="F3589" s="1">
        <v>7.0</v>
      </c>
      <c r="G3589" s="1">
        <v>1.0</v>
      </c>
      <c r="H3589" s="1" t="s">
        <v>32</v>
      </c>
      <c r="I3589" s="1" t="s">
        <v>17</v>
      </c>
      <c r="J3589" s="1" t="s">
        <v>18</v>
      </c>
      <c r="K3589" s="1">
        <v>290.0</v>
      </c>
      <c r="L3589" s="1">
        <v>56.9684979</v>
      </c>
      <c r="M3589" s="1">
        <v>24.1467035</v>
      </c>
    </row>
    <row r="3590">
      <c r="A3590" s="1" t="s">
        <v>22</v>
      </c>
      <c r="B3590" s="1" t="s">
        <v>104</v>
      </c>
      <c r="C3590" s="1" t="s">
        <v>1551</v>
      </c>
      <c r="D3590" s="1">
        <v>2.0</v>
      </c>
      <c r="E3590" s="1">
        <v>46.0</v>
      </c>
      <c r="F3590" s="1">
        <v>3.0</v>
      </c>
      <c r="G3590" s="1">
        <v>3.0</v>
      </c>
      <c r="H3590" s="1" t="s">
        <v>36</v>
      </c>
      <c r="I3590" s="1" t="s">
        <v>37</v>
      </c>
      <c r="J3590" s="1" t="s">
        <v>18</v>
      </c>
      <c r="K3590" s="1">
        <v>65000.0</v>
      </c>
      <c r="L3590" s="1">
        <v>56.9335665</v>
      </c>
      <c r="M3590" s="1">
        <v>24.0460096</v>
      </c>
    </row>
    <row r="3591">
      <c r="A3591" s="1" t="s">
        <v>22</v>
      </c>
      <c r="B3591" s="1" t="s">
        <v>60</v>
      </c>
      <c r="C3591" s="1" t="s">
        <v>2165</v>
      </c>
      <c r="D3591" s="1">
        <v>2.0</v>
      </c>
      <c r="E3591" s="1">
        <v>55.0</v>
      </c>
      <c r="F3591" s="1">
        <v>3.0</v>
      </c>
      <c r="G3591" s="1">
        <v>3.0</v>
      </c>
      <c r="H3591" s="1" t="s">
        <v>181</v>
      </c>
      <c r="I3591" s="1" t="s">
        <v>37</v>
      </c>
      <c r="J3591" s="1" t="s">
        <v>18</v>
      </c>
      <c r="K3591" s="1">
        <v>30200.0</v>
      </c>
      <c r="L3591" s="1" t="s">
        <v>40</v>
      </c>
      <c r="M3591" s="1" t="s">
        <v>40</v>
      </c>
    </row>
    <row r="3592">
      <c r="A3592" s="1" t="s">
        <v>22</v>
      </c>
      <c r="B3592" s="1" t="s">
        <v>14</v>
      </c>
      <c r="C3592" s="1" t="s">
        <v>2166</v>
      </c>
      <c r="D3592" s="1">
        <v>2.0</v>
      </c>
      <c r="E3592" s="1">
        <v>48.0</v>
      </c>
      <c r="F3592" s="1">
        <v>1.0</v>
      </c>
      <c r="G3592" s="1">
        <v>2.0</v>
      </c>
      <c r="H3592" s="1" t="s">
        <v>181</v>
      </c>
      <c r="I3592" s="1" t="s">
        <v>33</v>
      </c>
      <c r="J3592" s="1" t="s">
        <v>18</v>
      </c>
      <c r="K3592" s="1">
        <v>36000.0</v>
      </c>
      <c r="L3592" s="1">
        <v>56.9542113</v>
      </c>
      <c r="M3592" s="1">
        <v>24.1828296789282</v>
      </c>
    </row>
    <row r="3593">
      <c r="A3593" s="1" t="s">
        <v>22</v>
      </c>
      <c r="B3593" s="1" t="s">
        <v>28</v>
      </c>
      <c r="C3593" s="1" t="s">
        <v>956</v>
      </c>
      <c r="D3593" s="1">
        <v>4.0</v>
      </c>
      <c r="E3593" s="1">
        <v>76.0</v>
      </c>
      <c r="F3593" s="1">
        <v>3.0</v>
      </c>
      <c r="G3593" s="1">
        <v>9.0</v>
      </c>
      <c r="H3593" s="1">
        <v>467.0</v>
      </c>
      <c r="I3593" s="1" t="s">
        <v>17</v>
      </c>
      <c r="J3593" s="1" t="s">
        <v>18</v>
      </c>
      <c r="K3593" s="1">
        <v>70210.0</v>
      </c>
      <c r="L3593" s="1">
        <v>56.8597884</v>
      </c>
      <c r="M3593" s="1">
        <v>24.3083417</v>
      </c>
    </row>
    <row r="3594">
      <c r="A3594" s="1" t="s">
        <v>22</v>
      </c>
      <c r="B3594" s="1" t="s">
        <v>28</v>
      </c>
      <c r="C3594" s="1" t="s">
        <v>2167</v>
      </c>
      <c r="D3594" s="1">
        <v>2.0</v>
      </c>
      <c r="E3594" s="1">
        <v>46.0</v>
      </c>
      <c r="F3594" s="1">
        <v>1.0</v>
      </c>
      <c r="G3594" s="1">
        <v>5.0</v>
      </c>
      <c r="H3594" s="1" t="s">
        <v>16</v>
      </c>
      <c r="I3594" s="1" t="s">
        <v>21</v>
      </c>
      <c r="J3594" s="1" t="s">
        <v>18</v>
      </c>
      <c r="K3594" s="1">
        <v>52900.0</v>
      </c>
      <c r="L3594" s="1">
        <v>56.9228069</v>
      </c>
      <c r="M3594" s="1">
        <v>24.1703845</v>
      </c>
    </row>
    <row r="3595">
      <c r="A3595" s="1" t="s">
        <v>13</v>
      </c>
      <c r="B3595" s="1" t="s">
        <v>23</v>
      </c>
      <c r="C3595" s="1" t="s">
        <v>547</v>
      </c>
      <c r="D3595" s="1">
        <v>3.0</v>
      </c>
      <c r="E3595" s="1">
        <v>83.0</v>
      </c>
      <c r="F3595" s="1">
        <v>2.0</v>
      </c>
      <c r="G3595" s="1">
        <v>6.0</v>
      </c>
      <c r="H3595" s="1" t="s">
        <v>66</v>
      </c>
      <c r="I3595" s="1" t="s">
        <v>33</v>
      </c>
      <c r="J3595" s="1" t="s">
        <v>18</v>
      </c>
      <c r="K3595" s="1">
        <v>650.0</v>
      </c>
      <c r="L3595" s="1" t="s">
        <v>40</v>
      </c>
      <c r="M3595" s="1" t="s">
        <v>40</v>
      </c>
    </row>
    <row r="3596">
      <c r="A3596" s="1" t="s">
        <v>22</v>
      </c>
      <c r="B3596" s="1" t="s">
        <v>38</v>
      </c>
      <c r="C3596" s="1" t="s">
        <v>2168</v>
      </c>
      <c r="D3596" s="1">
        <v>2.0</v>
      </c>
      <c r="E3596" s="1">
        <v>49.0</v>
      </c>
      <c r="F3596" s="1">
        <v>3.0</v>
      </c>
      <c r="G3596" s="1">
        <v>5.0</v>
      </c>
      <c r="H3596" s="1" t="s">
        <v>16</v>
      </c>
      <c r="I3596" s="1" t="s">
        <v>21</v>
      </c>
      <c r="J3596" s="1" t="s">
        <v>18</v>
      </c>
      <c r="K3596" s="1">
        <v>41000.0</v>
      </c>
      <c r="L3596" s="1">
        <v>56.9567829</v>
      </c>
      <c r="M3596" s="1">
        <v>24.0344957</v>
      </c>
    </row>
    <row r="3597">
      <c r="A3597" s="1" t="s">
        <v>13</v>
      </c>
      <c r="B3597" s="1" t="s">
        <v>23</v>
      </c>
      <c r="C3597" s="1" t="s">
        <v>939</v>
      </c>
      <c r="D3597" s="1">
        <v>2.0</v>
      </c>
      <c r="E3597" s="1">
        <v>47.0</v>
      </c>
      <c r="F3597" s="1">
        <v>3.0</v>
      </c>
      <c r="G3597" s="1">
        <v>5.0</v>
      </c>
      <c r="H3597" s="1" t="s">
        <v>181</v>
      </c>
      <c r="I3597" s="1" t="s">
        <v>122</v>
      </c>
      <c r="J3597" s="1" t="s">
        <v>18</v>
      </c>
      <c r="K3597" s="1">
        <v>380.0</v>
      </c>
      <c r="L3597" s="1">
        <v>56.96346405</v>
      </c>
      <c r="M3597" s="1">
        <v>24.1240559778693</v>
      </c>
    </row>
    <row r="3598">
      <c r="A3598" s="1" t="s">
        <v>13</v>
      </c>
      <c r="B3598" s="1" t="s">
        <v>218</v>
      </c>
      <c r="C3598" s="1" t="s">
        <v>2169</v>
      </c>
      <c r="D3598" s="1">
        <v>3.0</v>
      </c>
      <c r="E3598" s="1">
        <v>45.0</v>
      </c>
      <c r="F3598" s="1">
        <v>4.0</v>
      </c>
      <c r="G3598" s="1">
        <v>4.0</v>
      </c>
      <c r="H3598" s="1" t="s">
        <v>25</v>
      </c>
      <c r="I3598" s="1" t="s">
        <v>33</v>
      </c>
      <c r="J3598" s="1" t="s">
        <v>18</v>
      </c>
      <c r="K3598" s="1">
        <v>900.0</v>
      </c>
      <c r="L3598" s="1">
        <v>56.9367838</v>
      </c>
      <c r="M3598" s="1">
        <v>24.2081637056631</v>
      </c>
    </row>
    <row r="3599">
      <c r="A3599" s="1" t="s">
        <v>22</v>
      </c>
      <c r="B3599" s="1" t="s">
        <v>52</v>
      </c>
      <c r="C3599" s="1" t="s">
        <v>2122</v>
      </c>
      <c r="D3599" s="1">
        <v>2.0</v>
      </c>
      <c r="E3599" s="1">
        <v>58.0</v>
      </c>
      <c r="F3599" s="1">
        <v>6.0</v>
      </c>
      <c r="G3599" s="1">
        <v>6.0</v>
      </c>
      <c r="H3599" s="1">
        <v>119.0</v>
      </c>
      <c r="I3599" s="1" t="s">
        <v>21</v>
      </c>
      <c r="J3599" s="1" t="s">
        <v>18</v>
      </c>
      <c r="K3599" s="1">
        <v>55900.0</v>
      </c>
      <c r="L3599" s="1">
        <v>54.1436099999999</v>
      </c>
      <c r="M3599" s="1">
        <v>12.05044145</v>
      </c>
    </row>
    <row r="3600">
      <c r="A3600" s="1" t="s">
        <v>22</v>
      </c>
      <c r="B3600" s="1" t="s">
        <v>14</v>
      </c>
      <c r="C3600" s="1" t="s">
        <v>2170</v>
      </c>
      <c r="D3600" s="1">
        <v>3.0</v>
      </c>
      <c r="E3600" s="1">
        <v>60.0</v>
      </c>
      <c r="F3600" s="1">
        <v>3.0</v>
      </c>
      <c r="G3600" s="1">
        <v>5.0</v>
      </c>
      <c r="H3600" s="1" t="s">
        <v>16</v>
      </c>
      <c r="I3600" s="1" t="s">
        <v>21</v>
      </c>
      <c r="J3600" s="1" t="s">
        <v>18</v>
      </c>
      <c r="K3600" s="1">
        <v>56400.0</v>
      </c>
      <c r="L3600" s="1">
        <v>56.9561863499999</v>
      </c>
      <c r="M3600" s="1">
        <v>24.1820070602452</v>
      </c>
    </row>
    <row r="3601">
      <c r="A3601" s="1" t="s">
        <v>22</v>
      </c>
      <c r="B3601" s="1" t="s">
        <v>151</v>
      </c>
      <c r="C3601" s="1" t="s">
        <v>2171</v>
      </c>
      <c r="D3601" s="1">
        <v>2.0</v>
      </c>
      <c r="E3601" s="1">
        <v>42.0</v>
      </c>
      <c r="F3601" s="1">
        <v>2.0</v>
      </c>
      <c r="G3601" s="1">
        <v>2.0</v>
      </c>
      <c r="H3601" s="1" t="s">
        <v>36</v>
      </c>
      <c r="I3601" s="1" t="s">
        <v>37</v>
      </c>
      <c r="J3601" s="1" t="s">
        <v>18</v>
      </c>
      <c r="K3601" s="1">
        <v>38000.0</v>
      </c>
      <c r="L3601" s="1">
        <v>56.97200975</v>
      </c>
      <c r="M3601" s="1">
        <v>24.0603999500448</v>
      </c>
    </row>
    <row r="3602">
      <c r="A3602" s="1" t="s">
        <v>13</v>
      </c>
      <c r="B3602" s="1" t="s">
        <v>42</v>
      </c>
      <c r="C3602" s="1" t="s">
        <v>2172</v>
      </c>
      <c r="D3602" s="1">
        <v>2.0</v>
      </c>
      <c r="E3602" s="1">
        <v>48.0</v>
      </c>
      <c r="F3602" s="1">
        <v>10.0</v>
      </c>
      <c r="G3602" s="1">
        <v>12.0</v>
      </c>
      <c r="H3602" s="1" t="s">
        <v>221</v>
      </c>
      <c r="I3602" s="1" t="s">
        <v>17</v>
      </c>
      <c r="J3602" s="1" t="s">
        <v>18</v>
      </c>
      <c r="K3602" s="1">
        <v>350.0</v>
      </c>
      <c r="L3602" s="1">
        <v>56.98669595</v>
      </c>
      <c r="M3602" s="1">
        <v>24.230461083872</v>
      </c>
    </row>
    <row r="3603">
      <c r="A3603" s="1" t="s">
        <v>13</v>
      </c>
      <c r="B3603" s="1" t="s">
        <v>74</v>
      </c>
      <c r="C3603" s="1" t="s">
        <v>2173</v>
      </c>
      <c r="D3603" s="1">
        <v>1.0</v>
      </c>
      <c r="E3603" s="1">
        <v>36.0</v>
      </c>
      <c r="F3603" s="1">
        <v>3.0</v>
      </c>
      <c r="G3603" s="1">
        <v>9.0</v>
      </c>
      <c r="H3603" s="1">
        <v>602.0</v>
      </c>
      <c r="I3603" s="1" t="s">
        <v>21</v>
      </c>
      <c r="J3603" s="1" t="s">
        <v>18</v>
      </c>
      <c r="K3603" s="1">
        <v>35.0</v>
      </c>
      <c r="L3603" s="1">
        <v>56.9392107</v>
      </c>
      <c r="M3603" s="1">
        <v>24.2006683</v>
      </c>
    </row>
    <row r="3604">
      <c r="A3604" s="1" t="s">
        <v>22</v>
      </c>
      <c r="B3604" s="1" t="s">
        <v>38</v>
      </c>
      <c r="C3604" s="1" t="s">
        <v>2174</v>
      </c>
      <c r="D3604" s="1">
        <v>2.0</v>
      </c>
      <c r="E3604" s="1">
        <v>50.0</v>
      </c>
      <c r="F3604" s="1">
        <v>3.0</v>
      </c>
      <c r="G3604" s="1">
        <v>5.0</v>
      </c>
      <c r="H3604" s="1" t="s">
        <v>16</v>
      </c>
      <c r="I3604" s="1" t="s">
        <v>21</v>
      </c>
      <c r="J3604" s="1" t="s">
        <v>18</v>
      </c>
      <c r="K3604" s="1">
        <v>49000.0</v>
      </c>
      <c r="L3604" s="1">
        <v>56.9533366</v>
      </c>
      <c r="M3604" s="1">
        <v>24.02841445</v>
      </c>
    </row>
    <row r="3605">
      <c r="A3605" s="1" t="s">
        <v>13</v>
      </c>
      <c r="B3605" s="1" t="s">
        <v>151</v>
      </c>
      <c r="C3605" s="1" t="s">
        <v>2175</v>
      </c>
      <c r="D3605" s="1">
        <v>2.0</v>
      </c>
      <c r="E3605" s="1">
        <v>45.0</v>
      </c>
      <c r="F3605" s="1">
        <v>2.0</v>
      </c>
      <c r="G3605" s="1">
        <v>5.0</v>
      </c>
      <c r="H3605" s="1" t="s">
        <v>44</v>
      </c>
      <c r="I3605" s="1" t="s">
        <v>37</v>
      </c>
      <c r="J3605" s="1" t="s">
        <v>18</v>
      </c>
      <c r="K3605" s="1">
        <v>380.0</v>
      </c>
      <c r="L3605" s="1">
        <v>56.96557365</v>
      </c>
      <c r="M3605" s="1">
        <v>24.0531386988068</v>
      </c>
    </row>
    <row r="3606">
      <c r="A3606" s="1" t="s">
        <v>22</v>
      </c>
      <c r="B3606" s="1" t="s">
        <v>23</v>
      </c>
      <c r="C3606" s="1" t="s">
        <v>1640</v>
      </c>
      <c r="D3606" s="1">
        <v>4.0</v>
      </c>
      <c r="E3606" s="1">
        <v>113.0</v>
      </c>
      <c r="F3606" s="1">
        <v>7.0</v>
      </c>
      <c r="G3606" s="1">
        <v>7.0</v>
      </c>
      <c r="H3606" s="1" t="s">
        <v>25</v>
      </c>
      <c r="I3606" s="1" t="s">
        <v>37</v>
      </c>
      <c r="J3606" s="1" t="s">
        <v>18</v>
      </c>
      <c r="K3606" s="1">
        <v>250000.0</v>
      </c>
      <c r="L3606" s="1">
        <v>56.96172495</v>
      </c>
      <c r="M3606" s="1">
        <v>24.1097055902472</v>
      </c>
    </row>
    <row r="3607">
      <c r="A3607" s="1" t="s">
        <v>13</v>
      </c>
      <c r="B3607" s="1" t="s">
        <v>23</v>
      </c>
      <c r="C3607" s="1" t="s">
        <v>1616</v>
      </c>
      <c r="D3607" s="1">
        <v>1.0</v>
      </c>
      <c r="E3607" s="1">
        <v>22.0</v>
      </c>
      <c r="F3607" s="1">
        <v>1.0</v>
      </c>
      <c r="G3607" s="1">
        <v>5.0</v>
      </c>
      <c r="H3607" s="1" t="s">
        <v>66</v>
      </c>
      <c r="I3607" s="1" t="s">
        <v>37</v>
      </c>
      <c r="J3607" s="1" t="s">
        <v>18</v>
      </c>
      <c r="K3607" s="1">
        <v>295.0</v>
      </c>
      <c r="L3607" s="1">
        <v>56.9695576</v>
      </c>
      <c r="M3607" s="1">
        <v>24.0993637</v>
      </c>
    </row>
    <row r="3608">
      <c r="A3608" s="1" t="s">
        <v>13</v>
      </c>
      <c r="B3608" s="1" t="s">
        <v>104</v>
      </c>
      <c r="C3608" s="1" t="s">
        <v>2176</v>
      </c>
      <c r="D3608" s="1">
        <v>3.0</v>
      </c>
      <c r="E3608" s="1">
        <v>66.0</v>
      </c>
      <c r="F3608" s="1">
        <v>1.0</v>
      </c>
      <c r="G3608" s="1">
        <v>2.0</v>
      </c>
      <c r="H3608" s="1" t="s">
        <v>25</v>
      </c>
      <c r="I3608" s="1" t="s">
        <v>26</v>
      </c>
      <c r="J3608" s="1" t="s">
        <v>18</v>
      </c>
      <c r="K3608" s="1">
        <v>640.0</v>
      </c>
      <c r="L3608" s="1">
        <v>56.94450585</v>
      </c>
      <c r="M3608" s="1">
        <v>24.0718588118181</v>
      </c>
    </row>
    <row r="3609">
      <c r="A3609" s="1" t="s">
        <v>22</v>
      </c>
      <c r="B3609" s="1" t="s">
        <v>52</v>
      </c>
      <c r="C3609" s="1" t="s">
        <v>2177</v>
      </c>
      <c r="D3609" s="1">
        <v>4.0</v>
      </c>
      <c r="E3609" s="1">
        <v>90.0</v>
      </c>
      <c r="F3609" s="1">
        <v>5.0</v>
      </c>
      <c r="G3609" s="1">
        <v>9.0</v>
      </c>
      <c r="H3609" s="1">
        <v>119.0</v>
      </c>
      <c r="I3609" s="1" t="s">
        <v>122</v>
      </c>
      <c r="J3609" s="1" t="s">
        <v>18</v>
      </c>
      <c r="K3609" s="1">
        <v>96000.0</v>
      </c>
      <c r="L3609" s="1">
        <v>56.9432218</v>
      </c>
      <c r="M3609" s="1">
        <v>24.0062318671885</v>
      </c>
    </row>
    <row r="3610">
      <c r="A3610" s="1" t="s">
        <v>22</v>
      </c>
      <c r="B3610" s="1" t="s">
        <v>74</v>
      </c>
      <c r="C3610" s="1" t="s">
        <v>2178</v>
      </c>
      <c r="D3610" s="1">
        <v>1.0</v>
      </c>
      <c r="E3610" s="1">
        <v>41.0</v>
      </c>
      <c r="F3610" s="1">
        <v>2.0</v>
      </c>
      <c r="G3610" s="1">
        <v>9.0</v>
      </c>
      <c r="H3610" s="1" t="s">
        <v>57</v>
      </c>
      <c r="I3610" s="1" t="s">
        <v>17</v>
      </c>
      <c r="J3610" s="1" t="s">
        <v>18</v>
      </c>
      <c r="K3610" s="1">
        <v>32000.0</v>
      </c>
      <c r="L3610" s="1">
        <v>56.94243255</v>
      </c>
      <c r="M3610" s="1">
        <v>24.2154761019363</v>
      </c>
    </row>
    <row r="3611">
      <c r="A3611" s="1" t="s">
        <v>22</v>
      </c>
      <c r="B3611" s="1" t="s">
        <v>48</v>
      </c>
      <c r="C3611" s="1" t="s">
        <v>2179</v>
      </c>
      <c r="D3611" s="1">
        <v>3.0</v>
      </c>
      <c r="E3611" s="1">
        <v>85.0</v>
      </c>
      <c r="F3611" s="1">
        <v>3.0</v>
      </c>
      <c r="G3611" s="1">
        <v>4.0</v>
      </c>
      <c r="H3611" s="1" t="s">
        <v>32</v>
      </c>
      <c r="I3611" s="1" t="s">
        <v>21</v>
      </c>
      <c r="J3611" s="1" t="s">
        <v>18</v>
      </c>
      <c r="K3611" s="1">
        <v>135000.0</v>
      </c>
      <c r="L3611" s="1">
        <v>56.9575184</v>
      </c>
      <c r="M3611" s="1">
        <v>24.2777127</v>
      </c>
    </row>
    <row r="3612">
      <c r="A3612" s="1" t="s">
        <v>13</v>
      </c>
      <c r="B3612" s="1" t="s">
        <v>19</v>
      </c>
      <c r="C3612" s="1" t="s">
        <v>120</v>
      </c>
      <c r="D3612" s="1">
        <v>2.0</v>
      </c>
      <c r="E3612" s="1">
        <v>60.0</v>
      </c>
      <c r="F3612" s="1">
        <v>4.0</v>
      </c>
      <c r="G3612" s="1">
        <v>9.0</v>
      </c>
      <c r="H3612" s="1">
        <v>119.0</v>
      </c>
      <c r="I3612" s="1" t="s">
        <v>21</v>
      </c>
      <c r="J3612" s="1" t="s">
        <v>18</v>
      </c>
      <c r="K3612" s="1">
        <v>270.0</v>
      </c>
      <c r="L3612" s="1">
        <v>56.89859735</v>
      </c>
      <c r="M3612" s="1">
        <v>24.0876707999998</v>
      </c>
    </row>
    <row r="3613">
      <c r="A3613" s="1" t="s">
        <v>13</v>
      </c>
      <c r="B3613" s="1" t="s">
        <v>23</v>
      </c>
      <c r="C3613" s="1" t="s">
        <v>143</v>
      </c>
      <c r="D3613" s="1">
        <v>2.0</v>
      </c>
      <c r="E3613" s="1">
        <v>61.0</v>
      </c>
      <c r="F3613" s="1">
        <v>3.0</v>
      </c>
      <c r="G3613" s="1">
        <v>5.0</v>
      </c>
      <c r="H3613" s="1" t="s">
        <v>32</v>
      </c>
      <c r="I3613" s="1" t="s">
        <v>17</v>
      </c>
      <c r="J3613" s="1" t="s">
        <v>18</v>
      </c>
      <c r="K3613" s="1">
        <v>780.0</v>
      </c>
      <c r="L3613" s="1">
        <v>56.9571813</v>
      </c>
      <c r="M3613" s="1">
        <v>24.1394667939636</v>
      </c>
    </row>
    <row r="3614">
      <c r="A3614" s="1" t="s">
        <v>13</v>
      </c>
      <c r="B3614" s="1" t="s">
        <v>23</v>
      </c>
      <c r="C3614" s="1" t="s">
        <v>2180</v>
      </c>
      <c r="D3614" s="1">
        <v>1.0</v>
      </c>
      <c r="E3614" s="1">
        <v>16.0</v>
      </c>
      <c r="F3614" s="1">
        <v>1.0</v>
      </c>
      <c r="G3614" s="1">
        <v>6.0</v>
      </c>
      <c r="H3614" s="1" t="s">
        <v>25</v>
      </c>
      <c r="I3614" s="1" t="s">
        <v>33</v>
      </c>
      <c r="J3614" s="1" t="s">
        <v>18</v>
      </c>
      <c r="K3614" s="1">
        <v>150.0</v>
      </c>
      <c r="L3614" s="1">
        <v>56.9421782</v>
      </c>
      <c r="M3614" s="1">
        <v>24.1272241</v>
      </c>
    </row>
    <row r="3615">
      <c r="A3615" s="1" t="s">
        <v>22</v>
      </c>
      <c r="B3615" s="1" t="s">
        <v>28</v>
      </c>
      <c r="C3615" s="1" t="s">
        <v>2181</v>
      </c>
      <c r="D3615" s="1">
        <v>1.0</v>
      </c>
      <c r="E3615" s="1">
        <v>36.0</v>
      </c>
      <c r="F3615" s="1">
        <v>6.0</v>
      </c>
      <c r="G3615" s="1">
        <v>12.0</v>
      </c>
      <c r="H3615" s="1" t="s">
        <v>221</v>
      </c>
      <c r="I3615" s="1" t="s">
        <v>37</v>
      </c>
      <c r="J3615" s="1" t="s">
        <v>18</v>
      </c>
      <c r="K3615" s="1">
        <v>37000.0</v>
      </c>
      <c r="L3615" s="1">
        <v>56.9048408999999</v>
      </c>
      <c r="M3615" s="1">
        <v>24.1964386901315</v>
      </c>
    </row>
    <row r="3616">
      <c r="A3616" s="1" t="s">
        <v>22</v>
      </c>
      <c r="B3616" s="1" t="s">
        <v>129</v>
      </c>
      <c r="C3616" s="1" t="s">
        <v>1508</v>
      </c>
      <c r="D3616" s="1">
        <v>3.0</v>
      </c>
      <c r="E3616" s="1">
        <v>71.0</v>
      </c>
      <c r="F3616" s="1">
        <v>1.0</v>
      </c>
      <c r="G3616" s="1">
        <v>6.0</v>
      </c>
      <c r="H3616" s="1" t="s">
        <v>66</v>
      </c>
      <c r="I3616" s="1" t="s">
        <v>17</v>
      </c>
      <c r="J3616" s="1" t="s">
        <v>18</v>
      </c>
      <c r="K3616" s="1">
        <v>75000.0</v>
      </c>
      <c r="L3616" s="1">
        <v>57.0025614</v>
      </c>
      <c r="M3616" s="1">
        <v>24.2835188</v>
      </c>
    </row>
    <row r="3617">
      <c r="A3617" s="1" t="s">
        <v>22</v>
      </c>
      <c r="B3617" s="1" t="s">
        <v>74</v>
      </c>
      <c r="C3617" s="1" t="s">
        <v>2182</v>
      </c>
      <c r="D3617" s="1">
        <v>3.0</v>
      </c>
      <c r="E3617" s="1">
        <v>100.0</v>
      </c>
      <c r="F3617" s="1">
        <v>2.0</v>
      </c>
      <c r="G3617" s="1">
        <v>2.0</v>
      </c>
      <c r="H3617" s="1" t="s">
        <v>32</v>
      </c>
      <c r="I3617" s="1" t="s">
        <v>21</v>
      </c>
      <c r="J3617" s="1" t="s">
        <v>18</v>
      </c>
      <c r="K3617" s="1">
        <v>136000.0</v>
      </c>
      <c r="L3617" s="1">
        <v>56.9382249</v>
      </c>
      <c r="M3617" s="1">
        <v>24.2268933</v>
      </c>
    </row>
    <row r="3618">
      <c r="A3618" s="1" t="s">
        <v>22</v>
      </c>
      <c r="B3618" s="1" t="s">
        <v>74</v>
      </c>
      <c r="C3618" s="1" t="s">
        <v>183</v>
      </c>
      <c r="D3618" s="1">
        <v>2.0</v>
      </c>
      <c r="E3618" s="1">
        <v>51.0</v>
      </c>
      <c r="F3618" s="1">
        <v>6.0</v>
      </c>
      <c r="G3618" s="1">
        <v>9.0</v>
      </c>
      <c r="H3618" s="1">
        <v>602.0</v>
      </c>
      <c r="I3618" s="1" t="s">
        <v>21</v>
      </c>
      <c r="J3618" s="1" t="s">
        <v>18</v>
      </c>
      <c r="K3618" s="1">
        <v>56000.0</v>
      </c>
      <c r="L3618" s="1">
        <v>56.94404435</v>
      </c>
      <c r="M3618" s="1">
        <v>24.21522315</v>
      </c>
    </row>
    <row r="3619">
      <c r="A3619" s="1" t="s">
        <v>13</v>
      </c>
      <c r="B3619" s="1" t="s">
        <v>134</v>
      </c>
      <c r="C3619" s="1" t="s">
        <v>185</v>
      </c>
      <c r="D3619" s="1">
        <v>2.0</v>
      </c>
      <c r="E3619" s="1">
        <v>46.0</v>
      </c>
      <c r="F3619" s="1">
        <v>1.0</v>
      </c>
      <c r="G3619" s="1">
        <v>5.0</v>
      </c>
      <c r="H3619" s="1" t="s">
        <v>36</v>
      </c>
      <c r="I3619" s="1" t="s">
        <v>37</v>
      </c>
      <c r="J3619" s="1" t="s">
        <v>18</v>
      </c>
      <c r="K3619" s="1">
        <v>230.0</v>
      </c>
      <c r="L3619" s="1">
        <v>57.0374654</v>
      </c>
      <c r="M3619" s="1">
        <v>24.0247952</v>
      </c>
    </row>
    <row r="3620">
      <c r="A3620" s="1" t="s">
        <v>13</v>
      </c>
      <c r="B3620" s="1" t="s">
        <v>104</v>
      </c>
      <c r="C3620" s="1" t="s">
        <v>1825</v>
      </c>
      <c r="D3620" s="1">
        <v>1.0</v>
      </c>
      <c r="E3620" s="1">
        <v>20.0</v>
      </c>
      <c r="F3620" s="1">
        <v>1.0</v>
      </c>
      <c r="G3620" s="1">
        <v>1.0</v>
      </c>
      <c r="H3620" s="1" t="s">
        <v>66</v>
      </c>
      <c r="I3620" s="1" t="s">
        <v>33</v>
      </c>
      <c r="J3620" s="1" t="s">
        <v>18</v>
      </c>
      <c r="K3620" s="1">
        <v>25.0</v>
      </c>
      <c r="L3620" s="1">
        <v>56.9401616</v>
      </c>
      <c r="M3620" s="1">
        <v>24.0896935</v>
      </c>
    </row>
    <row r="3621">
      <c r="A3621" s="1" t="s">
        <v>22</v>
      </c>
      <c r="B3621" s="1" t="s">
        <v>218</v>
      </c>
      <c r="C3621" s="1" t="s">
        <v>91</v>
      </c>
      <c r="D3621" s="1">
        <v>4.0</v>
      </c>
      <c r="E3621" s="1">
        <v>160.0</v>
      </c>
      <c r="F3621" s="1">
        <v>3.0</v>
      </c>
      <c r="G3621" s="1">
        <v>7.0</v>
      </c>
      <c r="H3621" s="1" t="s">
        <v>32</v>
      </c>
      <c r="I3621" s="1" t="s">
        <v>37</v>
      </c>
      <c r="J3621" s="1" t="s">
        <v>18</v>
      </c>
      <c r="K3621" s="1">
        <v>381000.0</v>
      </c>
      <c r="L3621" s="1">
        <v>56.9552522</v>
      </c>
      <c r="M3621" s="1">
        <v>24.0999991251943</v>
      </c>
    </row>
    <row r="3622">
      <c r="A3622" s="1" t="s">
        <v>22</v>
      </c>
      <c r="B3622" s="1" t="s">
        <v>23</v>
      </c>
      <c r="C3622" s="1" t="s">
        <v>470</v>
      </c>
      <c r="D3622" s="1">
        <v>2.0</v>
      </c>
      <c r="E3622" s="1">
        <v>44.0</v>
      </c>
      <c r="F3622" s="1">
        <v>4.0</v>
      </c>
      <c r="G3622" s="1">
        <v>5.0</v>
      </c>
      <c r="H3622" s="1" t="s">
        <v>44</v>
      </c>
      <c r="I3622" s="1" t="s">
        <v>37</v>
      </c>
      <c r="J3622" s="1" t="s">
        <v>18</v>
      </c>
      <c r="K3622" s="1">
        <v>68000.0</v>
      </c>
      <c r="L3622" s="1">
        <v>56.96867625</v>
      </c>
      <c r="M3622" s="1">
        <v>24.13004095</v>
      </c>
    </row>
    <row r="3623">
      <c r="A3623" s="1" t="s">
        <v>13</v>
      </c>
      <c r="B3623" s="1" t="s">
        <v>23</v>
      </c>
      <c r="C3623" s="1" t="s">
        <v>2183</v>
      </c>
      <c r="D3623" s="1">
        <v>2.0</v>
      </c>
      <c r="E3623" s="1">
        <v>54.0</v>
      </c>
      <c r="F3623" s="1">
        <v>5.0</v>
      </c>
      <c r="G3623" s="1">
        <v>6.0</v>
      </c>
      <c r="H3623" s="1" t="s">
        <v>25</v>
      </c>
      <c r="I3623" s="1" t="s">
        <v>33</v>
      </c>
      <c r="J3623" s="1" t="s">
        <v>18</v>
      </c>
      <c r="K3623" s="1">
        <v>310.0</v>
      </c>
      <c r="L3623" s="1">
        <v>56.9614459</v>
      </c>
      <c r="M3623" s="1">
        <v>24.1485592928315</v>
      </c>
    </row>
    <row r="3624">
      <c r="A3624" s="1" t="s">
        <v>22</v>
      </c>
      <c r="B3624" s="1" t="s">
        <v>96</v>
      </c>
      <c r="C3624" s="1" t="s">
        <v>2184</v>
      </c>
      <c r="D3624" s="1">
        <v>2.0</v>
      </c>
      <c r="E3624" s="1">
        <v>37.0</v>
      </c>
      <c r="F3624" s="1">
        <v>3.0</v>
      </c>
      <c r="G3624" s="1">
        <v>5.0</v>
      </c>
      <c r="H3624" s="1">
        <v>103.0</v>
      </c>
      <c r="I3624" s="1" t="s">
        <v>17</v>
      </c>
      <c r="J3624" s="1" t="s">
        <v>18</v>
      </c>
      <c r="K3624" s="1">
        <v>36000.0</v>
      </c>
      <c r="L3624" s="1">
        <v>57.0367567499999</v>
      </c>
      <c r="M3624" s="1">
        <v>24.092690325</v>
      </c>
    </row>
    <row r="3625">
      <c r="A3625" s="1" t="s">
        <v>22</v>
      </c>
      <c r="B3625" s="1" t="s">
        <v>14</v>
      </c>
      <c r="C3625" s="1" t="s">
        <v>2185</v>
      </c>
      <c r="D3625" s="1">
        <v>3.0</v>
      </c>
      <c r="E3625" s="1">
        <v>60.0</v>
      </c>
      <c r="F3625" s="1">
        <v>1.0</v>
      </c>
      <c r="G3625" s="1">
        <v>5.0</v>
      </c>
      <c r="H3625" s="1" t="s">
        <v>16</v>
      </c>
      <c r="I3625" s="1" t="s">
        <v>21</v>
      </c>
      <c r="J3625" s="1" t="s">
        <v>18</v>
      </c>
      <c r="K3625" s="1">
        <v>49000.0</v>
      </c>
      <c r="L3625" s="1">
        <v>56.9604259</v>
      </c>
      <c r="M3625" s="1">
        <v>24.201209</v>
      </c>
    </row>
    <row r="3626">
      <c r="A3626" s="1" t="s">
        <v>22</v>
      </c>
      <c r="B3626" s="1" t="s">
        <v>19</v>
      </c>
      <c r="C3626" s="1" t="s">
        <v>2028</v>
      </c>
      <c r="D3626" s="1">
        <v>4.0</v>
      </c>
      <c r="E3626" s="1">
        <v>126.0</v>
      </c>
      <c r="F3626" s="1">
        <v>1.0</v>
      </c>
      <c r="G3626" s="1">
        <v>6.0</v>
      </c>
      <c r="H3626" s="1" t="s">
        <v>32</v>
      </c>
      <c r="I3626" s="1" t="s">
        <v>33</v>
      </c>
      <c r="J3626" s="1" t="s">
        <v>18</v>
      </c>
      <c r="K3626" s="1">
        <v>150000.0</v>
      </c>
      <c r="L3626" s="1">
        <v>56.9093617</v>
      </c>
      <c r="M3626" s="1">
        <v>24.0964724202145</v>
      </c>
    </row>
    <row r="3627">
      <c r="A3627" s="1" t="s">
        <v>89</v>
      </c>
      <c r="B3627" s="1" t="s">
        <v>129</v>
      </c>
      <c r="C3627" s="2"/>
      <c r="D3627" s="1">
        <v>2.0</v>
      </c>
      <c r="E3627" s="2"/>
      <c r="F3627" s="2"/>
      <c r="G3627" s="2"/>
      <c r="H3627" s="2"/>
      <c r="I3627" s="2"/>
      <c r="J3627" s="2"/>
      <c r="K3627" s="2"/>
      <c r="L3627" s="1">
        <v>46.3144754</v>
      </c>
      <c r="M3627" s="1">
        <v>11.0480288</v>
      </c>
    </row>
    <row r="3628">
      <c r="A3628" s="1" t="s">
        <v>22</v>
      </c>
      <c r="B3628" s="1" t="s">
        <v>52</v>
      </c>
      <c r="C3628" s="1" t="s">
        <v>2186</v>
      </c>
      <c r="D3628" s="1">
        <v>5.0</v>
      </c>
      <c r="E3628" s="1">
        <v>125.0</v>
      </c>
      <c r="F3628" s="1">
        <v>2.0</v>
      </c>
      <c r="G3628" s="1">
        <v>2.0</v>
      </c>
      <c r="H3628" s="1" t="s">
        <v>32</v>
      </c>
      <c r="I3628" s="1" t="s">
        <v>37</v>
      </c>
      <c r="J3628" s="1" t="s">
        <v>18</v>
      </c>
      <c r="K3628" s="1">
        <v>159000.0</v>
      </c>
      <c r="L3628" s="1">
        <v>56.9371904</v>
      </c>
      <c r="M3628" s="1">
        <v>24.0257892</v>
      </c>
    </row>
    <row r="3629">
      <c r="A3629" s="1" t="s">
        <v>22</v>
      </c>
      <c r="B3629" s="1" t="s">
        <v>134</v>
      </c>
      <c r="C3629" s="1" t="s">
        <v>2187</v>
      </c>
      <c r="D3629" s="1">
        <v>2.0</v>
      </c>
      <c r="E3629" s="1">
        <v>42.0</v>
      </c>
      <c r="F3629" s="1">
        <v>4.0</v>
      </c>
      <c r="G3629" s="1">
        <v>5.0</v>
      </c>
      <c r="H3629" s="1" t="s">
        <v>36</v>
      </c>
      <c r="I3629" s="1" t="s">
        <v>37</v>
      </c>
      <c r="J3629" s="1" t="s">
        <v>18</v>
      </c>
      <c r="K3629" s="1">
        <v>34500.0</v>
      </c>
      <c r="L3629" s="1">
        <v>57.0397183</v>
      </c>
      <c r="M3629" s="1">
        <v>24.0260067999999</v>
      </c>
    </row>
    <row r="3630">
      <c r="A3630" s="1" t="s">
        <v>89</v>
      </c>
      <c r="B3630" s="1" t="s">
        <v>74</v>
      </c>
      <c r="C3630" s="2"/>
      <c r="D3630" s="1">
        <v>2.0</v>
      </c>
      <c r="E3630" s="2"/>
      <c r="F3630" s="2"/>
      <c r="G3630" s="2"/>
      <c r="H3630" s="2"/>
      <c r="I3630" s="2"/>
      <c r="J3630" s="2"/>
      <c r="K3630" s="2"/>
      <c r="L3630" s="1">
        <v>46.3144754</v>
      </c>
      <c r="M3630" s="1">
        <v>11.0480288</v>
      </c>
    </row>
    <row r="3631">
      <c r="A3631" s="1" t="s">
        <v>22</v>
      </c>
      <c r="B3631" s="1" t="s">
        <v>48</v>
      </c>
      <c r="C3631" s="1" t="s">
        <v>1576</v>
      </c>
      <c r="D3631" s="1">
        <v>2.0</v>
      </c>
      <c r="E3631" s="1">
        <v>58.0</v>
      </c>
      <c r="F3631" s="1">
        <v>4.0</v>
      </c>
      <c r="G3631" s="1">
        <v>16.0</v>
      </c>
      <c r="H3631" s="1">
        <v>104.0</v>
      </c>
      <c r="I3631" s="1" t="s">
        <v>122</v>
      </c>
      <c r="J3631" s="1" t="s">
        <v>18</v>
      </c>
      <c r="K3631" s="1">
        <v>67900.0</v>
      </c>
      <c r="L3631" s="1">
        <v>56.96758455</v>
      </c>
      <c r="M3631" s="1">
        <v>24.238078024789</v>
      </c>
    </row>
    <row r="3632">
      <c r="A3632" s="1" t="s">
        <v>13</v>
      </c>
      <c r="B3632" s="1" t="s">
        <v>38</v>
      </c>
      <c r="C3632" s="1" t="s">
        <v>2188</v>
      </c>
      <c r="D3632" s="1">
        <v>1.0</v>
      </c>
      <c r="E3632" s="1">
        <v>27.0</v>
      </c>
      <c r="F3632" s="1">
        <v>4.0</v>
      </c>
      <c r="G3632" s="1">
        <v>5.0</v>
      </c>
      <c r="H3632" s="1" t="s">
        <v>16</v>
      </c>
      <c r="I3632" s="1" t="s">
        <v>21</v>
      </c>
      <c r="J3632" s="1" t="s">
        <v>18</v>
      </c>
      <c r="K3632" s="1">
        <v>270.0</v>
      </c>
      <c r="L3632" s="1">
        <v>56.95987425</v>
      </c>
      <c r="M3632" s="1">
        <v>24.0074628076701</v>
      </c>
    </row>
    <row r="3633">
      <c r="A3633" s="1" t="s">
        <v>22</v>
      </c>
      <c r="B3633" s="1" t="s">
        <v>14</v>
      </c>
      <c r="C3633" s="1" t="s">
        <v>93</v>
      </c>
      <c r="D3633" s="1">
        <v>1.0</v>
      </c>
      <c r="E3633" s="1">
        <v>26.4</v>
      </c>
      <c r="F3633" s="1">
        <v>1.0</v>
      </c>
      <c r="G3633" s="1">
        <v>5.0</v>
      </c>
      <c r="H3633" s="1" t="s">
        <v>32</v>
      </c>
      <c r="I3633" s="1" t="s">
        <v>33</v>
      </c>
      <c r="J3633" s="1" t="s">
        <v>18</v>
      </c>
      <c r="K3633" s="1">
        <v>51000.0</v>
      </c>
      <c r="L3633" s="1">
        <v>56.95632235</v>
      </c>
      <c r="M3633" s="1">
        <v>24.1859785589656</v>
      </c>
    </row>
    <row r="3634">
      <c r="A3634" s="1" t="s">
        <v>13</v>
      </c>
      <c r="B3634" s="1" t="s">
        <v>23</v>
      </c>
      <c r="C3634" s="1" t="s">
        <v>1524</v>
      </c>
      <c r="D3634" s="1">
        <v>2.0</v>
      </c>
      <c r="E3634" s="1">
        <v>50.0</v>
      </c>
      <c r="F3634" s="1">
        <v>2.0</v>
      </c>
      <c r="G3634" s="1">
        <v>6.0</v>
      </c>
      <c r="H3634" s="1" t="s">
        <v>25</v>
      </c>
      <c r="I3634" s="1" t="s">
        <v>37</v>
      </c>
      <c r="J3634" s="1" t="s">
        <v>18</v>
      </c>
      <c r="K3634" s="1">
        <v>26.0</v>
      </c>
      <c r="L3634" s="1">
        <v>56.952235</v>
      </c>
      <c r="M3634" s="1">
        <v>24.1366039</v>
      </c>
    </row>
    <row r="3635">
      <c r="A3635" s="1" t="s">
        <v>22</v>
      </c>
      <c r="B3635" s="1" t="s">
        <v>60</v>
      </c>
      <c r="C3635" s="1" t="s">
        <v>2189</v>
      </c>
      <c r="D3635" s="1">
        <v>1.0</v>
      </c>
      <c r="E3635" s="1">
        <v>34.0</v>
      </c>
      <c r="F3635" s="1">
        <v>5.0</v>
      </c>
      <c r="G3635" s="1">
        <v>5.0</v>
      </c>
      <c r="H3635" s="1">
        <v>103.0</v>
      </c>
      <c r="I3635" s="1" t="s">
        <v>17</v>
      </c>
      <c r="J3635" s="1" t="s">
        <v>18</v>
      </c>
      <c r="K3635" s="1">
        <v>27000.0</v>
      </c>
      <c r="L3635" s="1">
        <v>46.770384</v>
      </c>
      <c r="M3635" s="1">
        <v>11.6396833</v>
      </c>
    </row>
    <row r="3636">
      <c r="A3636" s="1" t="s">
        <v>22</v>
      </c>
      <c r="B3636" s="1" t="s">
        <v>28</v>
      </c>
      <c r="C3636" s="1" t="s">
        <v>2190</v>
      </c>
      <c r="D3636" s="1">
        <v>2.0</v>
      </c>
      <c r="E3636" s="1">
        <v>45.0</v>
      </c>
      <c r="F3636" s="1">
        <v>4.0</v>
      </c>
      <c r="G3636" s="1">
        <v>5.0</v>
      </c>
      <c r="H3636" s="1" t="s">
        <v>16</v>
      </c>
      <c r="I3636" s="1" t="s">
        <v>21</v>
      </c>
      <c r="J3636" s="1" t="s">
        <v>18</v>
      </c>
      <c r="K3636" s="1">
        <v>36500.0</v>
      </c>
      <c r="L3636" s="1">
        <v>56.90032605</v>
      </c>
      <c r="M3636" s="1">
        <v>24.2142653999999</v>
      </c>
    </row>
    <row r="3637">
      <c r="A3637" s="1" t="s">
        <v>22</v>
      </c>
      <c r="B3637" s="1" t="s">
        <v>23</v>
      </c>
      <c r="C3637" s="1" t="s">
        <v>351</v>
      </c>
      <c r="D3637" s="1">
        <v>3.0</v>
      </c>
      <c r="E3637" s="1">
        <v>57.0</v>
      </c>
      <c r="F3637" s="1">
        <v>6.0</v>
      </c>
      <c r="G3637" s="1">
        <v>6.0</v>
      </c>
      <c r="H3637" s="1" t="s">
        <v>66</v>
      </c>
      <c r="I3637" s="1" t="s">
        <v>33</v>
      </c>
      <c r="J3637" s="1" t="s">
        <v>18</v>
      </c>
      <c r="K3637" s="1">
        <v>136800.0</v>
      </c>
      <c r="L3637" s="1">
        <v>56.9488745</v>
      </c>
      <c r="M3637" s="1">
        <v>24.1266027446091</v>
      </c>
    </row>
    <row r="3638">
      <c r="A3638" s="1" t="s">
        <v>22</v>
      </c>
      <c r="B3638" s="1" t="s">
        <v>28</v>
      </c>
      <c r="C3638" s="1" t="s">
        <v>2191</v>
      </c>
      <c r="D3638" s="1">
        <v>1.0</v>
      </c>
      <c r="E3638" s="1">
        <v>34.0</v>
      </c>
      <c r="F3638" s="1">
        <v>1.0</v>
      </c>
      <c r="G3638" s="1">
        <v>9.0</v>
      </c>
      <c r="H3638" s="1">
        <v>467.0</v>
      </c>
      <c r="I3638" s="1" t="s">
        <v>21</v>
      </c>
      <c r="J3638" s="1" t="s">
        <v>18</v>
      </c>
      <c r="K3638" s="1">
        <v>31500.0</v>
      </c>
      <c r="L3638" s="1">
        <v>56.9256893</v>
      </c>
      <c r="M3638" s="1">
        <v>24.1673684379577</v>
      </c>
    </row>
    <row r="3639">
      <c r="A3639" s="1" t="s">
        <v>13</v>
      </c>
      <c r="B3639" s="1" t="s">
        <v>50</v>
      </c>
      <c r="C3639" s="1" t="s">
        <v>2192</v>
      </c>
      <c r="D3639" s="1">
        <v>2.0</v>
      </c>
      <c r="E3639" s="1">
        <v>45.0</v>
      </c>
      <c r="F3639" s="1">
        <v>1.0</v>
      </c>
      <c r="G3639" s="1">
        <v>2.0</v>
      </c>
      <c r="H3639" s="1" t="s">
        <v>25</v>
      </c>
      <c r="I3639" s="1" t="s">
        <v>37</v>
      </c>
      <c r="J3639" s="1" t="s">
        <v>18</v>
      </c>
      <c r="K3639" s="1">
        <v>220.0</v>
      </c>
      <c r="L3639" s="1">
        <v>56.9394081</v>
      </c>
      <c r="M3639" s="1">
        <v>24.1257097764562</v>
      </c>
    </row>
    <row r="3640">
      <c r="A3640" s="1" t="s">
        <v>22</v>
      </c>
      <c r="B3640" s="1" t="s">
        <v>104</v>
      </c>
      <c r="C3640" s="1" t="s">
        <v>2193</v>
      </c>
      <c r="D3640" s="1">
        <v>2.0</v>
      </c>
      <c r="E3640" s="1">
        <v>54.0</v>
      </c>
      <c r="F3640" s="1">
        <v>2.0</v>
      </c>
      <c r="G3640" s="1">
        <v>5.0</v>
      </c>
      <c r="H3640" s="1" t="s">
        <v>32</v>
      </c>
      <c r="I3640" s="1" t="s">
        <v>37</v>
      </c>
      <c r="J3640" s="1" t="s">
        <v>18</v>
      </c>
      <c r="K3640" s="1">
        <v>97133.0</v>
      </c>
      <c r="L3640" s="1">
        <v>56.9556302999999</v>
      </c>
      <c r="M3640" s="1">
        <v>24.0521164571975</v>
      </c>
    </row>
    <row r="3641">
      <c r="A3641" s="1" t="s">
        <v>22</v>
      </c>
      <c r="B3641" s="1" t="s">
        <v>14</v>
      </c>
      <c r="C3641" s="1" t="s">
        <v>2194</v>
      </c>
      <c r="D3641" s="1">
        <v>3.0</v>
      </c>
      <c r="E3641" s="1">
        <v>57.0</v>
      </c>
      <c r="F3641" s="1">
        <v>1.0</v>
      </c>
      <c r="G3641" s="1">
        <v>9.0</v>
      </c>
      <c r="H3641" s="1">
        <v>467.0</v>
      </c>
      <c r="I3641" s="1" t="s">
        <v>21</v>
      </c>
      <c r="J3641" s="1" t="s">
        <v>18</v>
      </c>
      <c r="K3641" s="1">
        <v>59800.0</v>
      </c>
      <c r="L3641" s="1">
        <v>56.95408345</v>
      </c>
      <c r="M3641" s="1">
        <v>24.1950366307164</v>
      </c>
    </row>
    <row r="3642">
      <c r="A3642" s="1" t="s">
        <v>13</v>
      </c>
      <c r="B3642" s="1" t="s">
        <v>82</v>
      </c>
      <c r="C3642" s="1" t="s">
        <v>1387</v>
      </c>
      <c r="D3642" s="1">
        <v>2.0</v>
      </c>
      <c r="E3642" s="1">
        <v>77.0</v>
      </c>
      <c r="F3642" s="1">
        <v>3.0</v>
      </c>
      <c r="G3642" s="1">
        <v>3.0</v>
      </c>
      <c r="H3642" s="1" t="s">
        <v>32</v>
      </c>
      <c r="I3642" s="1" t="s">
        <v>33</v>
      </c>
      <c r="J3642" s="1" t="s">
        <v>18</v>
      </c>
      <c r="K3642" s="1">
        <v>850.0</v>
      </c>
      <c r="L3642" s="1">
        <v>56.9489344</v>
      </c>
      <c r="M3642" s="1">
        <v>24.0882804</v>
      </c>
    </row>
    <row r="3643">
      <c r="A3643" s="1" t="s">
        <v>22</v>
      </c>
      <c r="B3643" s="1" t="s">
        <v>74</v>
      </c>
      <c r="C3643" s="1" t="s">
        <v>2195</v>
      </c>
      <c r="D3643" s="1">
        <v>2.0</v>
      </c>
      <c r="E3643" s="1">
        <v>61.0</v>
      </c>
      <c r="F3643" s="1">
        <v>6.0</v>
      </c>
      <c r="G3643" s="1">
        <v>12.0</v>
      </c>
      <c r="H3643" s="1">
        <v>104.0</v>
      </c>
      <c r="I3643" s="1" t="s">
        <v>17</v>
      </c>
      <c r="J3643" s="1" t="s">
        <v>18</v>
      </c>
      <c r="K3643" s="1">
        <v>56000.0</v>
      </c>
      <c r="L3643" s="1">
        <v>56.9435433</v>
      </c>
      <c r="M3643" s="1">
        <v>24.2160183</v>
      </c>
    </row>
    <row r="3644">
      <c r="A3644" s="1" t="s">
        <v>13</v>
      </c>
      <c r="B3644" s="1" t="s">
        <v>23</v>
      </c>
      <c r="C3644" s="1" t="s">
        <v>2196</v>
      </c>
      <c r="D3644" s="1">
        <v>1.0</v>
      </c>
      <c r="E3644" s="1">
        <v>38.0</v>
      </c>
      <c r="F3644" s="1">
        <v>1.0</v>
      </c>
      <c r="G3644" s="1">
        <v>5.0</v>
      </c>
      <c r="H3644" s="1" t="s">
        <v>66</v>
      </c>
      <c r="I3644" s="1" t="s">
        <v>33</v>
      </c>
      <c r="J3644" s="1" t="s">
        <v>18</v>
      </c>
      <c r="K3644" s="1">
        <v>430.0</v>
      </c>
      <c r="L3644" s="1">
        <v>56.9667357999999</v>
      </c>
      <c r="M3644" s="1">
        <v>24.1456351053152</v>
      </c>
    </row>
    <row r="3645">
      <c r="A3645" s="1" t="s">
        <v>22</v>
      </c>
      <c r="B3645" s="1" t="s">
        <v>42</v>
      </c>
      <c r="C3645" s="1" t="s">
        <v>459</v>
      </c>
      <c r="D3645" s="1">
        <v>4.0</v>
      </c>
      <c r="E3645" s="1">
        <v>172.0</v>
      </c>
      <c r="F3645" s="1">
        <v>9.0</v>
      </c>
      <c r="G3645" s="1">
        <v>11.0</v>
      </c>
      <c r="H3645" s="1" t="s">
        <v>32</v>
      </c>
      <c r="I3645" s="1" t="s">
        <v>33</v>
      </c>
      <c r="J3645" s="1" t="s">
        <v>18</v>
      </c>
      <c r="K3645" s="1">
        <v>200000.0</v>
      </c>
      <c r="L3645" s="1">
        <v>56.9879952999999</v>
      </c>
      <c r="M3645" s="1">
        <v>24.2461035663916</v>
      </c>
    </row>
    <row r="3646">
      <c r="A3646" s="1" t="s">
        <v>13</v>
      </c>
      <c r="B3646" s="1" t="s">
        <v>74</v>
      </c>
      <c r="C3646" s="1" t="s">
        <v>2197</v>
      </c>
      <c r="D3646" s="1">
        <v>2.0</v>
      </c>
      <c r="E3646" s="1">
        <v>50.0</v>
      </c>
      <c r="F3646" s="1">
        <v>5.0</v>
      </c>
      <c r="G3646" s="1">
        <v>9.0</v>
      </c>
      <c r="H3646" s="1">
        <v>602.0</v>
      </c>
      <c r="I3646" s="1" t="s">
        <v>21</v>
      </c>
      <c r="J3646" s="1" t="s">
        <v>18</v>
      </c>
      <c r="K3646" s="1">
        <v>40.0</v>
      </c>
      <c r="L3646" s="1">
        <v>56.9408074</v>
      </c>
      <c r="M3646" s="1">
        <v>24.2087805127631</v>
      </c>
    </row>
    <row r="3647">
      <c r="A3647" s="1" t="s">
        <v>22</v>
      </c>
      <c r="B3647" s="1" t="s">
        <v>96</v>
      </c>
      <c r="C3647" s="1" t="s">
        <v>1241</v>
      </c>
      <c r="D3647" s="1">
        <v>3.0</v>
      </c>
      <c r="E3647" s="1">
        <v>65.0</v>
      </c>
      <c r="F3647" s="1">
        <v>5.0</v>
      </c>
      <c r="G3647" s="1">
        <v>9.0</v>
      </c>
      <c r="H3647" s="1">
        <v>602.0</v>
      </c>
      <c r="I3647" s="1" t="s">
        <v>21</v>
      </c>
      <c r="J3647" s="1" t="s">
        <v>18</v>
      </c>
      <c r="K3647" s="1">
        <v>69000.0</v>
      </c>
      <c r="L3647" s="1">
        <v>57.03912275</v>
      </c>
      <c r="M3647" s="1">
        <v>24.1003615894216</v>
      </c>
    </row>
    <row r="3648">
      <c r="A3648" s="1" t="s">
        <v>22</v>
      </c>
      <c r="B3648" s="1" t="s">
        <v>48</v>
      </c>
      <c r="C3648" s="1" t="s">
        <v>2198</v>
      </c>
      <c r="D3648" s="1">
        <v>2.0</v>
      </c>
      <c r="E3648" s="1">
        <v>50.0</v>
      </c>
      <c r="F3648" s="1">
        <v>7.0</v>
      </c>
      <c r="G3648" s="1">
        <v>9.0</v>
      </c>
      <c r="H3648" s="1">
        <v>602.0</v>
      </c>
      <c r="I3648" s="1" t="s">
        <v>21</v>
      </c>
      <c r="J3648" s="1" t="s">
        <v>18</v>
      </c>
      <c r="K3648" s="1">
        <v>51000.0</v>
      </c>
      <c r="L3648" s="1">
        <v>56.9580423</v>
      </c>
      <c r="M3648" s="1">
        <v>24.2381625</v>
      </c>
    </row>
    <row r="3649">
      <c r="A3649" s="1" t="s">
        <v>22</v>
      </c>
      <c r="B3649" s="1" t="s">
        <v>104</v>
      </c>
      <c r="C3649" s="1" t="s">
        <v>2199</v>
      </c>
      <c r="D3649" s="1">
        <v>1.0</v>
      </c>
      <c r="E3649" s="1">
        <v>22.0</v>
      </c>
      <c r="F3649" s="1">
        <v>1.0</v>
      </c>
      <c r="G3649" s="1">
        <v>2.0</v>
      </c>
      <c r="H3649" s="1" t="s">
        <v>25</v>
      </c>
      <c r="I3649" s="1" t="s">
        <v>26</v>
      </c>
      <c r="J3649" s="1" t="s">
        <v>27</v>
      </c>
      <c r="K3649" s="1">
        <v>15900.0</v>
      </c>
      <c r="L3649" s="1">
        <v>56.94035005</v>
      </c>
      <c r="M3649" s="1">
        <v>24.0571659040533</v>
      </c>
    </row>
    <row r="3650">
      <c r="A3650" s="1" t="s">
        <v>22</v>
      </c>
      <c r="B3650" s="1" t="s">
        <v>28</v>
      </c>
      <c r="C3650" s="1" t="s">
        <v>2200</v>
      </c>
      <c r="D3650" s="1">
        <v>3.0</v>
      </c>
      <c r="E3650" s="1">
        <v>59.0</v>
      </c>
      <c r="F3650" s="1">
        <v>5.0</v>
      </c>
      <c r="G3650" s="1">
        <v>5.0</v>
      </c>
      <c r="H3650" s="1" t="s">
        <v>16</v>
      </c>
      <c r="I3650" s="1" t="s">
        <v>21</v>
      </c>
      <c r="J3650" s="1" t="s">
        <v>18</v>
      </c>
      <c r="K3650" s="1">
        <v>47000.0</v>
      </c>
      <c r="L3650" s="1">
        <v>56.9445851</v>
      </c>
      <c r="M3650" s="1">
        <v>24.1127805007715</v>
      </c>
    </row>
    <row r="3651">
      <c r="A3651" s="1" t="s">
        <v>13</v>
      </c>
      <c r="B3651" s="1" t="s">
        <v>151</v>
      </c>
      <c r="C3651" s="1" t="s">
        <v>1947</v>
      </c>
      <c r="D3651" s="1">
        <v>2.0</v>
      </c>
      <c r="E3651" s="1">
        <v>50.0</v>
      </c>
      <c r="F3651" s="1">
        <v>6.0</v>
      </c>
      <c r="G3651" s="1">
        <v>9.0</v>
      </c>
      <c r="H3651" s="1" t="s">
        <v>32</v>
      </c>
      <c r="I3651" s="1" t="s">
        <v>21</v>
      </c>
      <c r="J3651" s="1" t="s">
        <v>18</v>
      </c>
      <c r="K3651" s="1">
        <v>290.0</v>
      </c>
      <c r="L3651" s="1">
        <v>56.97354585</v>
      </c>
      <c r="M3651" s="1">
        <v>24.0591831044198</v>
      </c>
    </row>
    <row r="3652">
      <c r="A3652" s="1" t="s">
        <v>13</v>
      </c>
      <c r="B3652" s="1" t="s">
        <v>14</v>
      </c>
      <c r="C3652" s="1" t="s">
        <v>2201</v>
      </c>
      <c r="D3652" s="1">
        <v>3.0</v>
      </c>
      <c r="E3652" s="1">
        <v>45.0</v>
      </c>
      <c r="F3652" s="1">
        <v>5.0</v>
      </c>
      <c r="G3652" s="1">
        <v>5.0</v>
      </c>
      <c r="H3652" s="1" t="s">
        <v>16</v>
      </c>
      <c r="I3652" s="1" t="s">
        <v>21</v>
      </c>
      <c r="J3652" s="1" t="s">
        <v>18</v>
      </c>
      <c r="K3652" s="1">
        <v>330.0</v>
      </c>
      <c r="L3652" s="1">
        <v>56.95682185</v>
      </c>
      <c r="M3652" s="1">
        <v>24.18164485</v>
      </c>
    </row>
    <row r="3653">
      <c r="A3653" s="1" t="s">
        <v>22</v>
      </c>
      <c r="B3653" s="1" t="s">
        <v>96</v>
      </c>
      <c r="C3653" s="1" t="s">
        <v>2202</v>
      </c>
      <c r="D3653" s="1">
        <v>3.0</v>
      </c>
      <c r="E3653" s="1">
        <v>67.0</v>
      </c>
      <c r="F3653" s="1">
        <v>1.0</v>
      </c>
      <c r="G3653" s="1">
        <v>5.0</v>
      </c>
      <c r="H3653" s="1" t="s">
        <v>16</v>
      </c>
      <c r="I3653" s="1" t="s">
        <v>21</v>
      </c>
      <c r="J3653" s="1" t="s">
        <v>18</v>
      </c>
      <c r="K3653" s="1">
        <v>39900.0</v>
      </c>
      <c r="L3653" s="1">
        <v>57.0326345</v>
      </c>
      <c r="M3653" s="1">
        <v>24.1122608</v>
      </c>
    </row>
    <row r="3654">
      <c r="A3654" s="1" t="s">
        <v>22</v>
      </c>
      <c r="B3654" s="1" t="s">
        <v>28</v>
      </c>
      <c r="C3654" s="1" t="s">
        <v>1059</v>
      </c>
      <c r="D3654" s="1">
        <v>3.0</v>
      </c>
      <c r="E3654" s="1">
        <v>60.0</v>
      </c>
      <c r="F3654" s="1">
        <v>4.0</v>
      </c>
      <c r="G3654" s="1">
        <v>5.0</v>
      </c>
      <c r="H3654" s="1" t="s">
        <v>44</v>
      </c>
      <c r="I3654" s="1" t="s">
        <v>37</v>
      </c>
      <c r="J3654" s="1" t="s">
        <v>18</v>
      </c>
      <c r="K3654" s="1">
        <v>56300.0</v>
      </c>
      <c r="L3654" s="1">
        <v>56.9101647</v>
      </c>
      <c r="M3654" s="1">
        <v>24.1865532715356</v>
      </c>
    </row>
    <row r="3655">
      <c r="A3655" s="1" t="s">
        <v>22</v>
      </c>
      <c r="B3655" s="1" t="s">
        <v>104</v>
      </c>
      <c r="C3655" s="1" t="s">
        <v>2193</v>
      </c>
      <c r="D3655" s="1">
        <v>2.0</v>
      </c>
      <c r="E3655" s="1">
        <v>54.0</v>
      </c>
      <c r="F3655" s="1">
        <v>2.0</v>
      </c>
      <c r="G3655" s="1">
        <v>5.0</v>
      </c>
      <c r="H3655" s="1" t="s">
        <v>32</v>
      </c>
      <c r="I3655" s="1" t="s">
        <v>37</v>
      </c>
      <c r="J3655" s="1" t="s">
        <v>18</v>
      </c>
      <c r="K3655" s="1">
        <v>97133.0</v>
      </c>
      <c r="L3655" s="1">
        <v>56.9556302999999</v>
      </c>
      <c r="M3655" s="1">
        <v>24.0521164571975</v>
      </c>
    </row>
    <row r="3656">
      <c r="A3656" s="1" t="s">
        <v>22</v>
      </c>
      <c r="B3656" s="1" t="s">
        <v>129</v>
      </c>
      <c r="C3656" s="1" t="s">
        <v>1160</v>
      </c>
      <c r="D3656" s="1">
        <v>2.0</v>
      </c>
      <c r="E3656" s="1">
        <v>40.0</v>
      </c>
      <c r="F3656" s="1">
        <v>4.0</v>
      </c>
      <c r="G3656" s="1">
        <v>5.0</v>
      </c>
      <c r="H3656" s="1" t="s">
        <v>44</v>
      </c>
      <c r="I3656" s="1" t="s">
        <v>37</v>
      </c>
      <c r="J3656" s="1" t="s">
        <v>18</v>
      </c>
      <c r="K3656" s="1">
        <v>57000.0</v>
      </c>
      <c r="L3656" s="1">
        <v>57.0003061</v>
      </c>
      <c r="M3656" s="1">
        <v>24.1247948</v>
      </c>
    </row>
    <row r="3657">
      <c r="A3657" s="1" t="s">
        <v>22</v>
      </c>
      <c r="B3657" s="1" t="s">
        <v>52</v>
      </c>
      <c r="C3657" s="1" t="s">
        <v>941</v>
      </c>
      <c r="D3657" s="1">
        <v>2.0</v>
      </c>
      <c r="E3657" s="1">
        <v>76.9</v>
      </c>
      <c r="F3657" s="1">
        <v>5.0</v>
      </c>
      <c r="G3657" s="1">
        <v>12.0</v>
      </c>
      <c r="H3657" s="1" t="s">
        <v>32</v>
      </c>
      <c r="I3657" s="1" t="s">
        <v>17</v>
      </c>
      <c r="J3657" s="1" t="s">
        <v>18</v>
      </c>
      <c r="K3657" s="1">
        <v>97000.0</v>
      </c>
      <c r="L3657" s="1">
        <v>56.94568225</v>
      </c>
      <c r="M3657" s="1">
        <v>24.0146821801241</v>
      </c>
    </row>
    <row r="3658">
      <c r="A3658" s="1" t="s">
        <v>22</v>
      </c>
      <c r="B3658" s="1" t="s">
        <v>23</v>
      </c>
      <c r="C3658" s="1" t="s">
        <v>795</v>
      </c>
      <c r="D3658" s="1">
        <v>3.0</v>
      </c>
      <c r="E3658" s="1">
        <v>120.0</v>
      </c>
      <c r="F3658" s="1">
        <v>4.0</v>
      </c>
      <c r="G3658" s="1">
        <v>8.0</v>
      </c>
      <c r="H3658" s="1" t="s">
        <v>32</v>
      </c>
      <c r="I3658" s="1" t="s">
        <v>21</v>
      </c>
      <c r="J3658" s="1" t="s">
        <v>18</v>
      </c>
      <c r="K3658" s="1">
        <v>219000.0</v>
      </c>
      <c r="L3658" s="1">
        <v>56.9636145</v>
      </c>
      <c r="M3658" s="1">
        <v>24.1235099089866</v>
      </c>
    </row>
    <row r="3659">
      <c r="A3659" s="1" t="s">
        <v>22</v>
      </c>
      <c r="B3659" s="1" t="s">
        <v>67</v>
      </c>
      <c r="C3659" s="1" t="s">
        <v>98</v>
      </c>
      <c r="D3659" s="1">
        <v>2.0</v>
      </c>
      <c r="E3659" s="1">
        <v>45.0</v>
      </c>
      <c r="F3659" s="1">
        <v>1.0</v>
      </c>
      <c r="G3659" s="1">
        <v>5.0</v>
      </c>
      <c r="H3659" s="1" t="s">
        <v>66</v>
      </c>
      <c r="I3659" s="1" t="s">
        <v>33</v>
      </c>
      <c r="J3659" s="1" t="s">
        <v>18</v>
      </c>
      <c r="K3659" s="1">
        <v>90000.0</v>
      </c>
      <c r="L3659" s="1">
        <v>56.9553833</v>
      </c>
      <c r="M3659" s="1">
        <v>24.1488881</v>
      </c>
    </row>
    <row r="3660">
      <c r="A3660" s="1" t="s">
        <v>22</v>
      </c>
      <c r="B3660" s="1" t="s">
        <v>23</v>
      </c>
      <c r="C3660" s="1" t="s">
        <v>2203</v>
      </c>
      <c r="D3660" s="1">
        <v>5.0</v>
      </c>
      <c r="E3660" s="1">
        <v>146.0</v>
      </c>
      <c r="F3660" s="1">
        <v>5.0</v>
      </c>
      <c r="G3660" s="1">
        <v>2.0</v>
      </c>
      <c r="H3660" s="1" t="s">
        <v>25</v>
      </c>
      <c r="I3660" s="1" t="s">
        <v>33</v>
      </c>
      <c r="J3660" s="1" t="s">
        <v>18</v>
      </c>
      <c r="K3660" s="1">
        <v>204400.0</v>
      </c>
      <c r="L3660" s="1">
        <v>56.9514796</v>
      </c>
      <c r="M3660" s="1">
        <v>24.1411797</v>
      </c>
    </row>
    <row r="3661">
      <c r="A3661" s="1" t="s">
        <v>13</v>
      </c>
      <c r="B3661" s="1" t="s">
        <v>104</v>
      </c>
      <c r="C3661" s="1" t="s">
        <v>499</v>
      </c>
      <c r="D3661" s="1">
        <v>1.0</v>
      </c>
      <c r="E3661" s="1">
        <v>23.0</v>
      </c>
      <c r="F3661" s="1">
        <v>1.0</v>
      </c>
      <c r="G3661" s="1">
        <v>1.0</v>
      </c>
      <c r="H3661" s="1" t="s">
        <v>171</v>
      </c>
      <c r="I3661" s="1" t="s">
        <v>33</v>
      </c>
      <c r="J3661" s="1" t="s">
        <v>18</v>
      </c>
      <c r="K3661" s="1">
        <v>260.0</v>
      </c>
      <c r="L3661" s="1">
        <v>56.9366902</v>
      </c>
      <c r="M3661" s="1">
        <v>24.0713339889391</v>
      </c>
    </row>
    <row r="3662">
      <c r="A3662" s="1" t="s">
        <v>22</v>
      </c>
      <c r="B3662" s="1" t="s">
        <v>67</v>
      </c>
      <c r="C3662" s="1" t="s">
        <v>98</v>
      </c>
      <c r="D3662" s="1">
        <v>3.0</v>
      </c>
      <c r="E3662" s="1">
        <v>60.0</v>
      </c>
      <c r="F3662" s="1">
        <v>4.0</v>
      </c>
      <c r="G3662" s="1">
        <v>5.0</v>
      </c>
      <c r="H3662" s="1" t="s">
        <v>66</v>
      </c>
      <c r="I3662" s="1" t="s">
        <v>33</v>
      </c>
      <c r="J3662" s="1" t="s">
        <v>18</v>
      </c>
      <c r="K3662" s="1">
        <v>125000.0</v>
      </c>
      <c r="L3662" s="1">
        <v>56.9553833</v>
      </c>
      <c r="M3662" s="1">
        <v>24.1488881</v>
      </c>
    </row>
    <row r="3663">
      <c r="A3663" s="1" t="s">
        <v>22</v>
      </c>
      <c r="B3663" s="1" t="s">
        <v>50</v>
      </c>
      <c r="C3663" s="1" t="s">
        <v>2204</v>
      </c>
      <c r="D3663" s="1">
        <v>2.0</v>
      </c>
      <c r="E3663" s="1">
        <v>40.0</v>
      </c>
      <c r="F3663" s="1">
        <v>2.0</v>
      </c>
      <c r="G3663" s="1">
        <v>4.0</v>
      </c>
      <c r="H3663" s="1" t="s">
        <v>25</v>
      </c>
      <c r="I3663" s="1" t="s">
        <v>37</v>
      </c>
      <c r="J3663" s="1" t="s">
        <v>18</v>
      </c>
      <c r="K3663" s="1">
        <v>26500.0</v>
      </c>
      <c r="L3663" s="1">
        <v>56.9409349</v>
      </c>
      <c r="M3663" s="1">
        <v>24.1479807552327</v>
      </c>
    </row>
    <row r="3664">
      <c r="A3664" s="1" t="s">
        <v>22</v>
      </c>
      <c r="B3664" s="1" t="s">
        <v>23</v>
      </c>
      <c r="C3664" s="1" t="s">
        <v>1561</v>
      </c>
      <c r="D3664" s="1" t="s">
        <v>90</v>
      </c>
      <c r="E3664" s="1">
        <v>169.0</v>
      </c>
      <c r="F3664" s="1">
        <v>2.0</v>
      </c>
      <c r="G3664" s="1">
        <v>6.0</v>
      </c>
      <c r="H3664" s="1" t="s">
        <v>32</v>
      </c>
      <c r="I3664" s="1" t="s">
        <v>122</v>
      </c>
      <c r="J3664" s="1" t="s">
        <v>18</v>
      </c>
      <c r="K3664" s="1">
        <v>180000.0</v>
      </c>
      <c r="L3664" s="1">
        <v>56.9716816</v>
      </c>
      <c r="M3664" s="1">
        <v>24.1021951</v>
      </c>
    </row>
    <row r="3665">
      <c r="A3665" s="1" t="s">
        <v>22</v>
      </c>
      <c r="B3665" s="1" t="s">
        <v>67</v>
      </c>
      <c r="C3665" s="1" t="s">
        <v>98</v>
      </c>
      <c r="D3665" s="1">
        <v>2.0</v>
      </c>
      <c r="E3665" s="1">
        <v>37.0</v>
      </c>
      <c r="F3665" s="1">
        <v>4.0</v>
      </c>
      <c r="G3665" s="1">
        <v>5.0</v>
      </c>
      <c r="H3665" s="1" t="s">
        <v>66</v>
      </c>
      <c r="I3665" s="1" t="s">
        <v>33</v>
      </c>
      <c r="J3665" s="1" t="s">
        <v>18</v>
      </c>
      <c r="K3665" s="1">
        <v>74000.0</v>
      </c>
      <c r="L3665" s="1">
        <v>56.9553833</v>
      </c>
      <c r="M3665" s="1">
        <v>24.1488881</v>
      </c>
    </row>
    <row r="3666">
      <c r="A3666" s="1" t="s">
        <v>13</v>
      </c>
      <c r="B3666" s="1" t="s">
        <v>38</v>
      </c>
      <c r="C3666" s="1" t="s">
        <v>2205</v>
      </c>
      <c r="D3666" s="1">
        <v>3.0</v>
      </c>
      <c r="E3666" s="1">
        <v>89.0</v>
      </c>
      <c r="F3666" s="1">
        <v>2.0</v>
      </c>
      <c r="G3666" s="1">
        <v>4.0</v>
      </c>
      <c r="H3666" s="1" t="s">
        <v>32</v>
      </c>
      <c r="I3666" s="1" t="s">
        <v>33</v>
      </c>
      <c r="J3666" s="1" t="s">
        <v>18</v>
      </c>
      <c r="K3666" s="1">
        <v>450.0</v>
      </c>
      <c r="L3666" s="1">
        <v>56.952975</v>
      </c>
      <c r="M3666" s="1">
        <v>24.0166971</v>
      </c>
    </row>
    <row r="3667">
      <c r="A3667" s="1" t="s">
        <v>22</v>
      </c>
      <c r="B3667" s="1" t="s">
        <v>52</v>
      </c>
      <c r="C3667" s="1" t="s">
        <v>544</v>
      </c>
      <c r="D3667" s="1">
        <v>4.0</v>
      </c>
      <c r="E3667" s="1">
        <v>130.6</v>
      </c>
      <c r="F3667" s="1">
        <v>4.0</v>
      </c>
      <c r="G3667" s="1">
        <v>4.0</v>
      </c>
      <c r="H3667" s="1" t="s">
        <v>32</v>
      </c>
      <c r="I3667" s="1" t="s">
        <v>33</v>
      </c>
      <c r="J3667" s="1" t="s">
        <v>18</v>
      </c>
      <c r="K3667" s="1">
        <v>190000.0</v>
      </c>
      <c r="L3667" s="1">
        <v>56.9408962</v>
      </c>
      <c r="M3667" s="1">
        <v>24.0041068352535</v>
      </c>
    </row>
    <row r="3668">
      <c r="A3668" s="1" t="s">
        <v>22</v>
      </c>
      <c r="B3668" s="1" t="s">
        <v>23</v>
      </c>
      <c r="C3668" s="1" t="s">
        <v>2206</v>
      </c>
      <c r="D3668" s="1">
        <v>4.0</v>
      </c>
      <c r="E3668" s="1">
        <v>91.0</v>
      </c>
      <c r="F3668" s="1">
        <v>6.0</v>
      </c>
      <c r="G3668" s="1">
        <v>6.0</v>
      </c>
      <c r="H3668" s="1" t="s">
        <v>66</v>
      </c>
      <c r="I3668" s="1" t="s">
        <v>37</v>
      </c>
      <c r="J3668" s="1" t="s">
        <v>18</v>
      </c>
      <c r="K3668" s="1">
        <v>256000.0</v>
      </c>
      <c r="L3668" s="1">
        <v>56.9497325</v>
      </c>
      <c r="M3668" s="1">
        <v>24.1219203</v>
      </c>
    </row>
    <row r="3669">
      <c r="A3669" s="1" t="s">
        <v>22</v>
      </c>
      <c r="B3669" s="1" t="s">
        <v>52</v>
      </c>
      <c r="C3669" s="1" t="s">
        <v>941</v>
      </c>
      <c r="D3669" s="1">
        <v>3.0</v>
      </c>
      <c r="E3669" s="1">
        <v>149.0</v>
      </c>
      <c r="F3669" s="1">
        <v>12.0</v>
      </c>
      <c r="G3669" s="1">
        <v>12.0</v>
      </c>
      <c r="H3669" s="1" t="s">
        <v>32</v>
      </c>
      <c r="I3669" s="1" t="s">
        <v>17</v>
      </c>
      <c r="J3669" s="1" t="s">
        <v>18</v>
      </c>
      <c r="K3669" s="1">
        <v>260000.0</v>
      </c>
      <c r="L3669" s="1">
        <v>56.94568225</v>
      </c>
      <c r="M3669" s="1">
        <v>24.0146821801241</v>
      </c>
    </row>
    <row r="3670">
      <c r="A3670" s="1" t="s">
        <v>13</v>
      </c>
      <c r="B3670" s="1" t="s">
        <v>23</v>
      </c>
      <c r="C3670" s="1" t="s">
        <v>795</v>
      </c>
      <c r="D3670" s="1">
        <v>2.0</v>
      </c>
      <c r="E3670" s="1">
        <v>94.0</v>
      </c>
      <c r="F3670" s="1">
        <v>2.0</v>
      </c>
      <c r="G3670" s="1">
        <v>6.0</v>
      </c>
      <c r="H3670" s="1" t="s">
        <v>32</v>
      </c>
      <c r="I3670" s="1" t="s">
        <v>21</v>
      </c>
      <c r="J3670" s="1" t="s">
        <v>18</v>
      </c>
      <c r="K3670" s="1">
        <v>770.0</v>
      </c>
      <c r="L3670" s="1">
        <v>56.9636145</v>
      </c>
      <c r="M3670" s="1">
        <v>24.1235099089866</v>
      </c>
    </row>
    <row r="3671">
      <c r="A3671" s="1" t="s">
        <v>13</v>
      </c>
      <c r="B3671" s="1" t="s">
        <v>52</v>
      </c>
      <c r="C3671" s="1" t="s">
        <v>414</v>
      </c>
      <c r="D3671" s="1">
        <v>2.0</v>
      </c>
      <c r="E3671" s="1">
        <v>57.0</v>
      </c>
      <c r="F3671" s="1">
        <v>2.0</v>
      </c>
      <c r="G3671" s="1">
        <v>4.0</v>
      </c>
      <c r="H3671" s="1" t="s">
        <v>32</v>
      </c>
      <c r="I3671" s="1" t="s">
        <v>21</v>
      </c>
      <c r="J3671" s="1" t="s">
        <v>18</v>
      </c>
      <c r="K3671" s="1">
        <v>470.0</v>
      </c>
      <c r="L3671" s="1">
        <v>56.94414285</v>
      </c>
      <c r="M3671" s="1">
        <v>24.0235054261404</v>
      </c>
    </row>
    <row r="3672">
      <c r="A3672" s="1" t="s">
        <v>22</v>
      </c>
      <c r="B3672" s="1" t="s">
        <v>19</v>
      </c>
      <c r="C3672" s="1" t="s">
        <v>2207</v>
      </c>
      <c r="D3672" s="1">
        <v>2.0</v>
      </c>
      <c r="E3672" s="1">
        <v>57.0</v>
      </c>
      <c r="F3672" s="1">
        <v>2.0</v>
      </c>
      <c r="G3672" s="1">
        <v>5.0</v>
      </c>
      <c r="H3672" s="1" t="s">
        <v>16</v>
      </c>
      <c r="I3672" s="1" t="s">
        <v>21</v>
      </c>
      <c r="J3672" s="1" t="s">
        <v>18</v>
      </c>
      <c r="K3672" s="1">
        <v>46000.0</v>
      </c>
      <c r="L3672" s="1">
        <v>56.9106429499999</v>
      </c>
      <c r="M3672" s="1">
        <v>24.0995160584085</v>
      </c>
    </row>
    <row r="3673">
      <c r="A3673" s="1" t="s">
        <v>22</v>
      </c>
      <c r="B3673" s="1" t="s">
        <v>23</v>
      </c>
      <c r="C3673" s="1" t="s">
        <v>1362</v>
      </c>
      <c r="D3673" s="1">
        <v>1.0</v>
      </c>
      <c r="E3673" s="1">
        <v>35.0</v>
      </c>
      <c r="F3673" s="1">
        <v>3.0</v>
      </c>
      <c r="G3673" s="1">
        <v>5.0</v>
      </c>
      <c r="H3673" s="1" t="s">
        <v>25</v>
      </c>
      <c r="I3673" s="1" t="s">
        <v>33</v>
      </c>
      <c r="J3673" s="1" t="s">
        <v>27</v>
      </c>
      <c r="K3673" s="1">
        <v>33000.0</v>
      </c>
      <c r="L3673" s="1">
        <v>56.9537372</v>
      </c>
      <c r="M3673" s="1">
        <v>24.1465944</v>
      </c>
    </row>
    <row r="3674">
      <c r="A3674" s="1" t="s">
        <v>13</v>
      </c>
      <c r="B3674" s="1" t="s">
        <v>19</v>
      </c>
      <c r="C3674" s="1" t="s">
        <v>2208</v>
      </c>
      <c r="D3674" s="1">
        <v>1.0</v>
      </c>
      <c r="E3674" s="1">
        <v>15.0</v>
      </c>
      <c r="F3674" s="1">
        <v>9.0</v>
      </c>
      <c r="G3674" s="1">
        <v>9.0</v>
      </c>
      <c r="H3674" s="1">
        <v>602.0</v>
      </c>
      <c r="I3674" s="1" t="s">
        <v>21</v>
      </c>
      <c r="J3674" s="1" t="s">
        <v>18</v>
      </c>
      <c r="K3674" s="1">
        <v>120.0</v>
      </c>
      <c r="L3674" s="1">
        <v>56.90143645</v>
      </c>
      <c r="M3674" s="1">
        <v>24.0987142026788</v>
      </c>
    </row>
    <row r="3675">
      <c r="A3675" s="1" t="s">
        <v>22</v>
      </c>
      <c r="B3675" s="1" t="s">
        <v>76</v>
      </c>
      <c r="C3675" s="1" t="s">
        <v>2209</v>
      </c>
      <c r="D3675" s="1">
        <v>3.0</v>
      </c>
      <c r="E3675" s="1">
        <v>68.1</v>
      </c>
      <c r="F3675" s="1">
        <v>2.0</v>
      </c>
      <c r="G3675" s="1">
        <v>3.0</v>
      </c>
      <c r="H3675" s="1" t="s">
        <v>32</v>
      </c>
      <c r="I3675" s="1" t="s">
        <v>21</v>
      </c>
      <c r="J3675" s="1" t="s">
        <v>18</v>
      </c>
      <c r="K3675" s="1">
        <v>125600.0</v>
      </c>
      <c r="L3675" s="1">
        <v>56.9604511999999</v>
      </c>
      <c r="M3675" s="1">
        <v>24.0559048556465</v>
      </c>
    </row>
    <row r="3676">
      <c r="A3676" s="1" t="s">
        <v>22</v>
      </c>
      <c r="B3676" s="1" t="s">
        <v>23</v>
      </c>
      <c r="C3676" s="1" t="s">
        <v>2210</v>
      </c>
      <c r="D3676" s="1">
        <v>4.0</v>
      </c>
      <c r="E3676" s="1">
        <v>112.0</v>
      </c>
      <c r="F3676" s="1">
        <v>2.0</v>
      </c>
      <c r="G3676" s="1">
        <v>5.0</v>
      </c>
      <c r="H3676" s="1" t="s">
        <v>25</v>
      </c>
      <c r="I3676" s="1" t="s">
        <v>33</v>
      </c>
      <c r="J3676" s="1" t="s">
        <v>18</v>
      </c>
      <c r="K3676" s="1">
        <v>124450.0</v>
      </c>
      <c r="L3676" s="1">
        <v>56.9583184</v>
      </c>
      <c r="M3676" s="1">
        <v>24.1272766</v>
      </c>
    </row>
    <row r="3677">
      <c r="A3677" s="1" t="s">
        <v>13</v>
      </c>
      <c r="B3677" s="1" t="s">
        <v>52</v>
      </c>
      <c r="C3677" s="1" t="s">
        <v>2027</v>
      </c>
      <c r="D3677" s="1">
        <v>2.0</v>
      </c>
      <c r="E3677" s="1">
        <v>64.0</v>
      </c>
      <c r="F3677" s="1">
        <v>12.0</v>
      </c>
      <c r="G3677" s="1">
        <v>13.0</v>
      </c>
      <c r="H3677" s="1" t="s">
        <v>32</v>
      </c>
      <c r="I3677" s="1" t="s">
        <v>21</v>
      </c>
      <c r="J3677" s="1" t="s">
        <v>18</v>
      </c>
      <c r="K3677" s="1">
        <v>500.0</v>
      </c>
      <c r="L3677" s="1">
        <v>56.94666195</v>
      </c>
      <c r="M3677" s="1">
        <v>24.0130196500717</v>
      </c>
    </row>
    <row r="3678">
      <c r="A3678" s="1" t="s">
        <v>131</v>
      </c>
      <c r="B3678" s="1" t="s">
        <v>19</v>
      </c>
      <c r="C3678" s="1" t="s">
        <v>2211</v>
      </c>
      <c r="D3678" s="1">
        <v>2.0</v>
      </c>
      <c r="E3678" s="1">
        <v>40.0</v>
      </c>
      <c r="F3678" s="1">
        <v>1.0</v>
      </c>
      <c r="G3678" s="1">
        <v>2.0</v>
      </c>
      <c r="H3678" s="1" t="s">
        <v>25</v>
      </c>
      <c r="I3678" s="1" t="s">
        <v>17</v>
      </c>
      <c r="J3678" s="1" t="s">
        <v>27</v>
      </c>
      <c r="K3678" s="2"/>
      <c r="L3678" s="1">
        <v>56.9197557</v>
      </c>
      <c r="M3678" s="1">
        <v>24.098147</v>
      </c>
    </row>
    <row r="3679">
      <c r="A3679" s="1" t="s">
        <v>22</v>
      </c>
      <c r="B3679" s="1" t="s">
        <v>74</v>
      </c>
      <c r="C3679" s="1" t="s">
        <v>1752</v>
      </c>
      <c r="D3679" s="1">
        <v>3.0</v>
      </c>
      <c r="E3679" s="1">
        <v>64.0</v>
      </c>
      <c r="F3679" s="1">
        <v>3.0</v>
      </c>
      <c r="G3679" s="1">
        <v>9.0</v>
      </c>
      <c r="H3679" s="1">
        <v>602.0</v>
      </c>
      <c r="I3679" s="1" t="s">
        <v>21</v>
      </c>
      <c r="J3679" s="1" t="s">
        <v>18</v>
      </c>
      <c r="K3679" s="1">
        <v>65000.0</v>
      </c>
      <c r="L3679" s="1">
        <v>56.9427474</v>
      </c>
      <c r="M3679" s="1">
        <v>24.2246202</v>
      </c>
    </row>
    <row r="3680">
      <c r="A3680" s="1" t="s">
        <v>13</v>
      </c>
      <c r="B3680" s="1" t="s">
        <v>23</v>
      </c>
      <c r="C3680" s="1" t="s">
        <v>2212</v>
      </c>
      <c r="D3680" s="1">
        <v>2.0</v>
      </c>
      <c r="E3680" s="1">
        <v>40.0</v>
      </c>
      <c r="F3680" s="1">
        <v>3.0</v>
      </c>
      <c r="G3680" s="1">
        <v>3.0</v>
      </c>
      <c r="H3680" s="1" t="s">
        <v>25</v>
      </c>
      <c r="I3680" s="1" t="s">
        <v>33</v>
      </c>
      <c r="J3680" s="1" t="s">
        <v>18</v>
      </c>
      <c r="K3680" s="1">
        <v>25.0</v>
      </c>
      <c r="L3680" s="1">
        <v>56.9474336</v>
      </c>
      <c r="M3680" s="1">
        <v>24.1403064597671</v>
      </c>
    </row>
    <row r="3681">
      <c r="A3681" s="1" t="s">
        <v>22</v>
      </c>
      <c r="B3681" s="1" t="s">
        <v>117</v>
      </c>
      <c r="C3681" s="1" t="s">
        <v>658</v>
      </c>
      <c r="D3681" s="1">
        <v>3.0</v>
      </c>
      <c r="E3681" s="1">
        <v>88.0</v>
      </c>
      <c r="F3681" s="1">
        <v>7.0</v>
      </c>
      <c r="G3681" s="1">
        <v>7.0</v>
      </c>
      <c r="H3681" s="1" t="s">
        <v>32</v>
      </c>
      <c r="I3681" s="1" t="s">
        <v>122</v>
      </c>
      <c r="J3681" s="1" t="s">
        <v>18</v>
      </c>
      <c r="K3681" s="1">
        <v>135000.0</v>
      </c>
      <c r="L3681" s="1">
        <v>56.98909155</v>
      </c>
      <c r="M3681" s="1">
        <v>24.1703344302515</v>
      </c>
    </row>
    <row r="3682">
      <c r="A3682" s="1" t="s">
        <v>22</v>
      </c>
      <c r="B3682" s="1" t="s">
        <v>104</v>
      </c>
      <c r="C3682" s="1" t="s">
        <v>1086</v>
      </c>
      <c r="D3682" s="1">
        <v>2.0</v>
      </c>
      <c r="E3682" s="1">
        <v>42.0</v>
      </c>
      <c r="F3682" s="1">
        <v>2.0</v>
      </c>
      <c r="G3682" s="1">
        <v>2.0</v>
      </c>
      <c r="H3682" s="1" t="s">
        <v>25</v>
      </c>
      <c r="I3682" s="1" t="s">
        <v>26</v>
      </c>
      <c r="J3682" s="1" t="s">
        <v>18</v>
      </c>
      <c r="K3682" s="1">
        <v>39000.0</v>
      </c>
      <c r="L3682" s="1">
        <v>56.9393754</v>
      </c>
      <c r="M3682" s="1">
        <v>24.0705981</v>
      </c>
    </row>
    <row r="3683">
      <c r="A3683" s="1" t="s">
        <v>22</v>
      </c>
      <c r="B3683" s="1" t="s">
        <v>23</v>
      </c>
      <c r="C3683" s="1" t="s">
        <v>2213</v>
      </c>
      <c r="D3683" s="1">
        <v>5.0</v>
      </c>
      <c r="E3683" s="1">
        <v>192.0</v>
      </c>
      <c r="F3683" s="1">
        <v>2.0</v>
      </c>
      <c r="G3683" s="1">
        <v>6.0</v>
      </c>
      <c r="H3683" s="1" t="s">
        <v>36</v>
      </c>
      <c r="I3683" s="1" t="s">
        <v>17</v>
      </c>
      <c r="J3683" s="1" t="s">
        <v>18</v>
      </c>
      <c r="K3683" s="1">
        <v>260000.0</v>
      </c>
      <c r="L3683" s="1">
        <v>56.9565335</v>
      </c>
      <c r="M3683" s="1">
        <v>24.1316134</v>
      </c>
    </row>
    <row r="3684">
      <c r="A3684" s="1" t="s">
        <v>13</v>
      </c>
      <c r="B3684" s="1" t="s">
        <v>50</v>
      </c>
      <c r="C3684" s="1" t="s">
        <v>647</v>
      </c>
      <c r="D3684" s="1">
        <v>1.0</v>
      </c>
      <c r="E3684" s="1">
        <v>15.0</v>
      </c>
      <c r="F3684" s="1">
        <v>1.0</v>
      </c>
      <c r="G3684" s="1">
        <v>1.0</v>
      </c>
      <c r="H3684" s="1" t="s">
        <v>66</v>
      </c>
      <c r="I3684" s="1" t="s">
        <v>122</v>
      </c>
      <c r="J3684" s="1" t="s">
        <v>18</v>
      </c>
      <c r="K3684" s="1">
        <v>190.0</v>
      </c>
      <c r="L3684" s="1">
        <v>56.8597884</v>
      </c>
      <c r="M3684" s="1">
        <v>24.3083417</v>
      </c>
    </row>
    <row r="3685">
      <c r="A3685" s="1" t="s">
        <v>22</v>
      </c>
      <c r="B3685" s="1" t="s">
        <v>38</v>
      </c>
      <c r="C3685" s="1" t="s">
        <v>835</v>
      </c>
      <c r="D3685" s="1">
        <v>3.0</v>
      </c>
      <c r="E3685" s="1">
        <v>73.0</v>
      </c>
      <c r="F3685" s="1">
        <v>3.0</v>
      </c>
      <c r="G3685" s="1">
        <v>12.0</v>
      </c>
      <c r="H3685" s="1" t="s">
        <v>221</v>
      </c>
      <c r="I3685" s="1" t="s">
        <v>17</v>
      </c>
      <c r="J3685" s="1" t="s">
        <v>18</v>
      </c>
      <c r="K3685" s="1">
        <v>87600.0</v>
      </c>
      <c r="L3685" s="1">
        <v>56.9648157</v>
      </c>
      <c r="M3685" s="1">
        <v>24.0190534</v>
      </c>
    </row>
    <row r="3686">
      <c r="A3686" s="1" t="s">
        <v>22</v>
      </c>
      <c r="B3686" s="1" t="s">
        <v>104</v>
      </c>
      <c r="C3686" s="1" t="s">
        <v>2214</v>
      </c>
      <c r="D3686" s="1">
        <v>2.0</v>
      </c>
      <c r="E3686" s="1">
        <v>57.0</v>
      </c>
      <c r="F3686" s="1">
        <v>3.0</v>
      </c>
      <c r="G3686" s="1">
        <v>3.0</v>
      </c>
      <c r="H3686" s="1" t="s">
        <v>25</v>
      </c>
      <c r="I3686" s="1" t="s">
        <v>26</v>
      </c>
      <c r="J3686" s="1" t="s">
        <v>63</v>
      </c>
      <c r="K3686" s="1">
        <v>22000.0</v>
      </c>
      <c r="L3686" s="1">
        <v>56.9511923</v>
      </c>
      <c r="M3686" s="1">
        <v>24.0659141</v>
      </c>
    </row>
    <row r="3687">
      <c r="A3687" s="1" t="s">
        <v>22</v>
      </c>
      <c r="B3687" s="1" t="s">
        <v>42</v>
      </c>
      <c r="C3687" s="1" t="s">
        <v>2215</v>
      </c>
      <c r="D3687" s="1">
        <v>4.0</v>
      </c>
      <c r="E3687" s="1">
        <v>144.0</v>
      </c>
      <c r="F3687" s="1">
        <v>2.0</v>
      </c>
      <c r="G3687" s="1">
        <v>3.0</v>
      </c>
      <c r="H3687" s="1" t="s">
        <v>32</v>
      </c>
      <c r="I3687" s="1" t="s">
        <v>37</v>
      </c>
      <c r="J3687" s="1" t="s">
        <v>18</v>
      </c>
      <c r="K3687" s="1">
        <v>195000.0</v>
      </c>
      <c r="L3687" s="1">
        <v>56.9833122</v>
      </c>
      <c r="M3687" s="1">
        <v>24.238484538349</v>
      </c>
    </row>
    <row r="3688">
      <c r="A3688" s="1" t="s">
        <v>22</v>
      </c>
      <c r="B3688" s="1" t="s">
        <v>104</v>
      </c>
      <c r="C3688" s="1" t="s">
        <v>619</v>
      </c>
      <c r="D3688" s="1">
        <v>2.0</v>
      </c>
      <c r="E3688" s="1">
        <v>49.0</v>
      </c>
      <c r="F3688" s="1">
        <v>3.0</v>
      </c>
      <c r="G3688" s="1">
        <v>5.0</v>
      </c>
      <c r="H3688" s="1" t="s">
        <v>25</v>
      </c>
      <c r="I3688" s="1" t="s">
        <v>33</v>
      </c>
      <c r="J3688" s="1" t="s">
        <v>18</v>
      </c>
      <c r="K3688" s="1">
        <v>65000.0</v>
      </c>
      <c r="L3688" s="1">
        <v>56.9474705</v>
      </c>
      <c r="M3688" s="1">
        <v>24.0604076</v>
      </c>
    </row>
    <row r="3689">
      <c r="A3689" s="1" t="s">
        <v>13</v>
      </c>
      <c r="B3689" s="1" t="s">
        <v>23</v>
      </c>
      <c r="C3689" s="1" t="s">
        <v>2101</v>
      </c>
      <c r="D3689" s="1">
        <v>3.0</v>
      </c>
      <c r="E3689" s="1">
        <v>82.0</v>
      </c>
      <c r="F3689" s="1">
        <v>7.0</v>
      </c>
      <c r="G3689" s="1">
        <v>7.0</v>
      </c>
      <c r="H3689" s="1" t="s">
        <v>25</v>
      </c>
      <c r="I3689" s="1" t="s">
        <v>33</v>
      </c>
      <c r="J3689" s="1" t="s">
        <v>18</v>
      </c>
      <c r="K3689" s="1">
        <v>900.0</v>
      </c>
      <c r="L3689" s="1">
        <v>56.9592805</v>
      </c>
      <c r="M3689" s="1">
        <v>24.1128099</v>
      </c>
    </row>
    <row r="3690">
      <c r="A3690" s="1" t="s">
        <v>22</v>
      </c>
      <c r="B3690" s="1" t="s">
        <v>23</v>
      </c>
      <c r="C3690" s="1" t="s">
        <v>1363</v>
      </c>
      <c r="D3690" s="1">
        <v>2.0</v>
      </c>
      <c r="E3690" s="1">
        <v>71.0</v>
      </c>
      <c r="F3690" s="1">
        <v>3.0</v>
      </c>
      <c r="G3690" s="1">
        <v>6.0</v>
      </c>
      <c r="H3690" s="1" t="s">
        <v>32</v>
      </c>
      <c r="I3690" s="1" t="s">
        <v>33</v>
      </c>
      <c r="J3690" s="1" t="s">
        <v>18</v>
      </c>
      <c r="K3690" s="1">
        <v>265000.0</v>
      </c>
      <c r="L3690" s="1">
        <v>56.9615789</v>
      </c>
      <c r="M3690" s="1">
        <v>24.1004729157828</v>
      </c>
    </row>
    <row r="3691">
      <c r="A3691" s="1" t="s">
        <v>22</v>
      </c>
      <c r="B3691" s="1" t="s">
        <v>23</v>
      </c>
      <c r="C3691" s="1" t="s">
        <v>407</v>
      </c>
      <c r="D3691" s="1">
        <v>4.0</v>
      </c>
      <c r="E3691" s="1">
        <v>80.0</v>
      </c>
      <c r="F3691" s="1">
        <v>2.0</v>
      </c>
      <c r="G3691" s="1">
        <v>7.0</v>
      </c>
      <c r="H3691" s="1" t="s">
        <v>32</v>
      </c>
      <c r="I3691" s="1" t="s">
        <v>33</v>
      </c>
      <c r="J3691" s="1" t="s">
        <v>18</v>
      </c>
      <c r="K3691" s="1">
        <v>145000.0</v>
      </c>
      <c r="L3691" s="1">
        <v>56.9704076</v>
      </c>
      <c r="M3691" s="1">
        <v>24.1377874</v>
      </c>
    </row>
    <row r="3692">
      <c r="A3692" s="1" t="s">
        <v>22</v>
      </c>
      <c r="B3692" s="1" t="s">
        <v>14</v>
      </c>
      <c r="C3692" s="1" t="s">
        <v>2216</v>
      </c>
      <c r="D3692" s="1">
        <v>2.0</v>
      </c>
      <c r="E3692" s="1">
        <v>49.0</v>
      </c>
      <c r="F3692" s="1">
        <v>4.0</v>
      </c>
      <c r="G3692" s="1">
        <v>5.0</v>
      </c>
      <c r="H3692" s="1" t="s">
        <v>44</v>
      </c>
      <c r="I3692" s="1" t="s">
        <v>21</v>
      </c>
      <c r="J3692" s="1" t="s">
        <v>18</v>
      </c>
      <c r="K3692" s="1">
        <v>36900.0</v>
      </c>
      <c r="L3692" s="1">
        <v>56.96659085</v>
      </c>
      <c r="M3692" s="1">
        <v>24.1779225</v>
      </c>
    </row>
    <row r="3693">
      <c r="A3693" s="1" t="s">
        <v>22</v>
      </c>
      <c r="B3693" s="1" t="s">
        <v>23</v>
      </c>
      <c r="C3693" s="1" t="s">
        <v>2217</v>
      </c>
      <c r="D3693" s="1">
        <v>2.0</v>
      </c>
      <c r="E3693" s="1">
        <v>60.0</v>
      </c>
      <c r="F3693" s="1">
        <v>5.0</v>
      </c>
      <c r="G3693" s="1">
        <v>5.0</v>
      </c>
      <c r="H3693" s="1" t="s">
        <v>25</v>
      </c>
      <c r="I3693" s="1" t="s">
        <v>33</v>
      </c>
      <c r="J3693" s="1" t="s">
        <v>18</v>
      </c>
      <c r="K3693" s="1">
        <v>85800.0</v>
      </c>
      <c r="L3693" s="1">
        <v>56.9600138</v>
      </c>
      <c r="M3693" s="1">
        <v>24.1417467678664</v>
      </c>
    </row>
    <row r="3694">
      <c r="A3694" s="1" t="s">
        <v>22</v>
      </c>
      <c r="B3694" s="1" t="s">
        <v>23</v>
      </c>
      <c r="C3694" s="1" t="s">
        <v>2218</v>
      </c>
      <c r="D3694" s="1">
        <v>5.0</v>
      </c>
      <c r="E3694" s="1">
        <v>111.2</v>
      </c>
      <c r="F3694" s="1">
        <v>5.0</v>
      </c>
      <c r="G3694" s="1">
        <v>6.0</v>
      </c>
      <c r="H3694" s="1" t="s">
        <v>25</v>
      </c>
      <c r="I3694" s="1" t="s">
        <v>33</v>
      </c>
      <c r="J3694" s="1" t="s">
        <v>18</v>
      </c>
      <c r="K3694" s="1">
        <v>139000.0</v>
      </c>
      <c r="L3694" s="1">
        <v>56.960897</v>
      </c>
      <c r="M3694" s="1">
        <v>24.1318215</v>
      </c>
    </row>
    <row r="3695">
      <c r="A3695" s="1" t="s">
        <v>22</v>
      </c>
      <c r="B3695" s="1" t="s">
        <v>174</v>
      </c>
      <c r="C3695" s="1" t="s">
        <v>2219</v>
      </c>
      <c r="D3695" s="1">
        <v>3.0</v>
      </c>
      <c r="E3695" s="1">
        <v>63.0</v>
      </c>
      <c r="F3695" s="1">
        <v>8.0</v>
      </c>
      <c r="G3695" s="1">
        <v>9.0</v>
      </c>
      <c r="H3695" s="1">
        <v>602.0</v>
      </c>
      <c r="I3695" s="1" t="s">
        <v>21</v>
      </c>
      <c r="J3695" s="1" t="s">
        <v>18</v>
      </c>
      <c r="K3695" s="1">
        <v>49900.0</v>
      </c>
      <c r="L3695" s="1">
        <v>56.9466234</v>
      </c>
      <c r="M3695" s="1">
        <v>24.1701148305845</v>
      </c>
    </row>
    <row r="3696">
      <c r="A3696" s="1" t="s">
        <v>22</v>
      </c>
      <c r="B3696" s="1" t="s">
        <v>74</v>
      </c>
      <c r="C3696" s="1" t="s">
        <v>615</v>
      </c>
      <c r="D3696" s="1">
        <v>1.0</v>
      </c>
      <c r="E3696" s="1">
        <v>33.0</v>
      </c>
      <c r="F3696" s="1">
        <v>1.0</v>
      </c>
      <c r="G3696" s="1">
        <v>9.0</v>
      </c>
      <c r="H3696" s="1">
        <v>602.0</v>
      </c>
      <c r="I3696" s="1" t="s">
        <v>21</v>
      </c>
      <c r="J3696" s="1" t="s">
        <v>18</v>
      </c>
      <c r="K3696" s="1">
        <v>36500.0</v>
      </c>
      <c r="L3696" s="1">
        <v>56.9362783</v>
      </c>
      <c r="M3696" s="1">
        <v>24.2110749</v>
      </c>
    </row>
    <row r="3697">
      <c r="A3697" s="1" t="s">
        <v>13</v>
      </c>
      <c r="B3697" s="1" t="s">
        <v>23</v>
      </c>
      <c r="C3697" s="1" t="s">
        <v>2220</v>
      </c>
      <c r="D3697" s="1">
        <v>1.0</v>
      </c>
      <c r="E3697" s="1">
        <v>24.0</v>
      </c>
      <c r="F3697" s="1">
        <v>4.0</v>
      </c>
      <c r="G3697" s="1">
        <v>4.0</v>
      </c>
      <c r="H3697" s="1" t="s">
        <v>25</v>
      </c>
      <c r="I3697" s="1" t="s">
        <v>33</v>
      </c>
      <c r="J3697" s="1" t="s">
        <v>18</v>
      </c>
      <c r="K3697" s="1">
        <v>125.0</v>
      </c>
      <c r="L3697" s="1">
        <v>56.957595</v>
      </c>
      <c r="M3697" s="1">
        <v>24.1119264</v>
      </c>
    </row>
    <row r="3698">
      <c r="A3698" s="1" t="s">
        <v>13</v>
      </c>
      <c r="B3698" s="1" t="s">
        <v>52</v>
      </c>
      <c r="C3698" s="1" t="s">
        <v>1326</v>
      </c>
      <c r="D3698" s="1">
        <v>3.0</v>
      </c>
      <c r="E3698" s="1">
        <v>78.0</v>
      </c>
      <c r="F3698" s="1">
        <v>5.0</v>
      </c>
      <c r="G3698" s="1">
        <v>9.0</v>
      </c>
      <c r="H3698" s="1">
        <v>119.0</v>
      </c>
      <c r="I3698" s="1" t="s">
        <v>21</v>
      </c>
      <c r="J3698" s="1" t="s">
        <v>18</v>
      </c>
      <c r="K3698" s="1">
        <v>325.0</v>
      </c>
      <c r="L3698" s="1">
        <v>56.94224055</v>
      </c>
      <c r="M3698" s="1">
        <v>24.0060845759065</v>
      </c>
    </row>
    <row r="3699">
      <c r="A3699" s="1" t="s">
        <v>22</v>
      </c>
      <c r="B3699" s="1" t="s">
        <v>96</v>
      </c>
      <c r="C3699" s="1" t="s">
        <v>2221</v>
      </c>
      <c r="D3699" s="1">
        <v>3.0</v>
      </c>
      <c r="E3699" s="1">
        <v>61.0</v>
      </c>
      <c r="F3699" s="1">
        <v>4.0</v>
      </c>
      <c r="G3699" s="1">
        <v>9.0</v>
      </c>
      <c r="H3699" s="1">
        <v>467.0</v>
      </c>
      <c r="I3699" s="1" t="s">
        <v>21</v>
      </c>
      <c r="J3699" s="1" t="s">
        <v>18</v>
      </c>
      <c r="K3699" s="1">
        <v>54000.0</v>
      </c>
      <c r="L3699" s="1">
        <v>57.0311238</v>
      </c>
      <c r="M3699" s="1">
        <v>24.1094024367124</v>
      </c>
    </row>
    <row r="3700">
      <c r="A3700" s="1" t="s">
        <v>13</v>
      </c>
      <c r="B3700" s="1" t="s">
        <v>96</v>
      </c>
      <c r="C3700" s="1" t="s">
        <v>2222</v>
      </c>
      <c r="D3700" s="1">
        <v>2.0</v>
      </c>
      <c r="E3700" s="1">
        <v>56.0</v>
      </c>
      <c r="F3700" s="1">
        <v>3.0</v>
      </c>
      <c r="G3700" s="1">
        <v>5.0</v>
      </c>
      <c r="H3700" s="1">
        <v>103.0</v>
      </c>
      <c r="I3700" s="1" t="s">
        <v>17</v>
      </c>
      <c r="J3700" s="1" t="s">
        <v>18</v>
      </c>
      <c r="K3700" s="1">
        <v>280.0</v>
      </c>
      <c r="L3700" s="1">
        <v>57.03684145</v>
      </c>
      <c r="M3700" s="1">
        <v>24.0950168199287</v>
      </c>
    </row>
    <row r="3701">
      <c r="A3701" s="1" t="s">
        <v>13</v>
      </c>
      <c r="B3701" s="1" t="s">
        <v>23</v>
      </c>
      <c r="C3701" s="1" t="s">
        <v>2223</v>
      </c>
      <c r="D3701" s="1">
        <v>2.0</v>
      </c>
      <c r="E3701" s="1">
        <v>42.0</v>
      </c>
      <c r="F3701" s="1">
        <v>1.0</v>
      </c>
      <c r="G3701" s="1">
        <v>4.0</v>
      </c>
      <c r="H3701" s="1" t="s">
        <v>44</v>
      </c>
      <c r="I3701" s="1" t="s">
        <v>37</v>
      </c>
      <c r="J3701" s="1" t="s">
        <v>18</v>
      </c>
      <c r="K3701" s="1">
        <v>400.0</v>
      </c>
      <c r="L3701" s="1">
        <v>56.9716816</v>
      </c>
      <c r="M3701" s="1">
        <v>24.1021951</v>
      </c>
    </row>
    <row r="3702">
      <c r="A3702" s="1" t="s">
        <v>89</v>
      </c>
      <c r="B3702" s="1" t="s">
        <v>14</v>
      </c>
      <c r="C3702" s="2"/>
      <c r="D3702" s="1">
        <v>2.0</v>
      </c>
      <c r="E3702" s="2"/>
      <c r="F3702" s="2"/>
      <c r="G3702" s="2"/>
      <c r="H3702" s="2"/>
      <c r="I3702" s="2"/>
      <c r="J3702" s="2"/>
      <c r="K3702" s="2"/>
      <c r="L3702" s="1">
        <v>46.3144754</v>
      </c>
      <c r="M3702" s="1">
        <v>11.0480288</v>
      </c>
    </row>
    <row r="3703">
      <c r="A3703" s="1" t="s">
        <v>22</v>
      </c>
      <c r="B3703" s="1" t="s">
        <v>104</v>
      </c>
      <c r="C3703" s="1" t="s">
        <v>112</v>
      </c>
      <c r="D3703" s="1">
        <v>1.0</v>
      </c>
      <c r="E3703" s="1">
        <v>21.0</v>
      </c>
      <c r="F3703" s="1">
        <v>1.0</v>
      </c>
      <c r="G3703" s="1">
        <v>2.0</v>
      </c>
      <c r="H3703" s="1" t="s">
        <v>25</v>
      </c>
      <c r="I3703" s="1" t="s">
        <v>26</v>
      </c>
      <c r="J3703" s="1" t="s">
        <v>27</v>
      </c>
      <c r="K3703" s="1">
        <v>17700.0</v>
      </c>
      <c r="L3703" s="1">
        <v>56.9517628</v>
      </c>
      <c r="M3703" s="1">
        <v>24.0673487092408</v>
      </c>
    </row>
    <row r="3704">
      <c r="A3704" s="1" t="s">
        <v>22</v>
      </c>
      <c r="B3704" s="1" t="s">
        <v>76</v>
      </c>
      <c r="C3704" s="1" t="s">
        <v>2224</v>
      </c>
      <c r="D3704" s="1">
        <v>3.0</v>
      </c>
      <c r="E3704" s="1">
        <v>69.0</v>
      </c>
      <c r="F3704" s="1">
        <v>5.0</v>
      </c>
      <c r="G3704" s="1">
        <v>5.0</v>
      </c>
      <c r="H3704" s="1" t="s">
        <v>16</v>
      </c>
      <c r="I3704" s="1" t="s">
        <v>122</v>
      </c>
      <c r="J3704" s="1" t="s">
        <v>18</v>
      </c>
      <c r="K3704" s="1">
        <v>52000.0</v>
      </c>
      <c r="L3704" s="1">
        <v>56.95337965</v>
      </c>
      <c r="M3704" s="1">
        <v>24.0470011</v>
      </c>
    </row>
    <row r="3705">
      <c r="A3705" s="1" t="s">
        <v>22</v>
      </c>
      <c r="B3705" s="1" t="s">
        <v>14</v>
      </c>
      <c r="C3705" s="1" t="s">
        <v>2225</v>
      </c>
      <c r="D3705" s="1">
        <v>2.0</v>
      </c>
      <c r="E3705" s="1">
        <v>50.0</v>
      </c>
      <c r="F3705" s="1">
        <v>5.0</v>
      </c>
      <c r="G3705" s="1">
        <v>5.0</v>
      </c>
      <c r="H3705" s="1" t="s">
        <v>16</v>
      </c>
      <c r="I3705" s="1" t="s">
        <v>21</v>
      </c>
      <c r="J3705" s="1" t="s">
        <v>18</v>
      </c>
      <c r="K3705" s="1">
        <v>40500.0</v>
      </c>
      <c r="L3705" s="1">
        <v>56.9518384</v>
      </c>
      <c r="M3705" s="1">
        <v>24.1999196</v>
      </c>
    </row>
    <row r="3706">
      <c r="A3706" s="1" t="s">
        <v>22</v>
      </c>
      <c r="B3706" s="1" t="s">
        <v>19</v>
      </c>
      <c r="C3706" s="1" t="s">
        <v>2226</v>
      </c>
      <c r="D3706" s="1">
        <v>4.0</v>
      </c>
      <c r="E3706" s="1">
        <v>93.0</v>
      </c>
      <c r="F3706" s="1">
        <v>9.0</v>
      </c>
      <c r="G3706" s="1">
        <v>10.0</v>
      </c>
      <c r="H3706" s="1">
        <v>119.0</v>
      </c>
      <c r="I3706" s="1" t="s">
        <v>21</v>
      </c>
      <c r="J3706" s="1" t="s">
        <v>18</v>
      </c>
      <c r="K3706" s="1">
        <v>92000.0</v>
      </c>
      <c r="L3706" s="1">
        <v>56.8990307</v>
      </c>
      <c r="M3706" s="1">
        <v>24.0785989</v>
      </c>
    </row>
    <row r="3707">
      <c r="A3707" s="1" t="s">
        <v>22</v>
      </c>
      <c r="B3707" s="1" t="s">
        <v>104</v>
      </c>
      <c r="C3707" s="1" t="s">
        <v>2193</v>
      </c>
      <c r="D3707" s="1">
        <v>2.0</v>
      </c>
      <c r="E3707" s="1">
        <v>59.0</v>
      </c>
      <c r="F3707" s="1">
        <v>4.0</v>
      </c>
      <c r="G3707" s="1">
        <v>5.0</v>
      </c>
      <c r="H3707" s="1" t="s">
        <v>32</v>
      </c>
      <c r="I3707" s="1" t="s">
        <v>37</v>
      </c>
      <c r="J3707" s="1" t="s">
        <v>18</v>
      </c>
      <c r="K3707" s="1">
        <v>105700.0</v>
      </c>
      <c r="L3707" s="1">
        <v>56.9556302999999</v>
      </c>
      <c r="M3707" s="1">
        <v>24.0521164571975</v>
      </c>
    </row>
    <row r="3708">
      <c r="A3708" s="1" t="s">
        <v>22</v>
      </c>
      <c r="B3708" s="1" t="s">
        <v>23</v>
      </c>
      <c r="C3708" s="1" t="s">
        <v>2227</v>
      </c>
      <c r="D3708" s="1">
        <v>2.0</v>
      </c>
      <c r="E3708" s="1">
        <v>48.0</v>
      </c>
      <c r="F3708" s="1">
        <v>6.0</v>
      </c>
      <c r="G3708" s="1">
        <v>6.0</v>
      </c>
      <c r="H3708" s="1" t="s">
        <v>25</v>
      </c>
      <c r="I3708" s="1" t="s">
        <v>33</v>
      </c>
      <c r="J3708" s="1" t="s">
        <v>27</v>
      </c>
      <c r="K3708" s="1">
        <v>37400.0</v>
      </c>
      <c r="L3708" s="1">
        <v>56.8597884</v>
      </c>
      <c r="M3708" s="1">
        <v>24.3083417</v>
      </c>
    </row>
    <row r="3709">
      <c r="A3709" s="1" t="s">
        <v>89</v>
      </c>
      <c r="B3709" s="1" t="s">
        <v>134</v>
      </c>
      <c r="C3709" s="2"/>
      <c r="D3709" s="1" t="s">
        <v>90</v>
      </c>
      <c r="E3709" s="1">
        <v>123.0</v>
      </c>
      <c r="F3709" s="1">
        <v>12.0</v>
      </c>
      <c r="G3709" s="1">
        <v>34.0</v>
      </c>
      <c r="H3709" s="2"/>
      <c r="I3709" s="2"/>
      <c r="J3709" s="2"/>
      <c r="K3709" s="2"/>
      <c r="L3709" s="1">
        <v>46.3144754</v>
      </c>
      <c r="M3709" s="1">
        <v>11.0480288</v>
      </c>
    </row>
    <row r="3710">
      <c r="A3710" s="1" t="s">
        <v>22</v>
      </c>
      <c r="B3710" s="1" t="s">
        <v>23</v>
      </c>
      <c r="C3710" s="1" t="s">
        <v>2228</v>
      </c>
      <c r="D3710" s="1">
        <v>1.0</v>
      </c>
      <c r="E3710" s="1">
        <v>22.0</v>
      </c>
      <c r="F3710" s="1">
        <v>6.0</v>
      </c>
      <c r="G3710" s="1">
        <v>6.0</v>
      </c>
      <c r="H3710" s="1" t="s">
        <v>25</v>
      </c>
      <c r="I3710" s="1" t="s">
        <v>33</v>
      </c>
      <c r="J3710" s="1" t="s">
        <v>18</v>
      </c>
      <c r="K3710" s="1">
        <v>41500.0</v>
      </c>
      <c r="L3710" s="1">
        <v>56.95029005</v>
      </c>
      <c r="M3710" s="1">
        <v>24.1240679974303</v>
      </c>
    </row>
    <row r="3711">
      <c r="A3711" s="1" t="s">
        <v>22</v>
      </c>
      <c r="B3711" s="1" t="s">
        <v>14</v>
      </c>
      <c r="C3711" s="1" t="s">
        <v>1992</v>
      </c>
      <c r="D3711" s="1">
        <v>4.0</v>
      </c>
      <c r="E3711" s="1">
        <v>90.0</v>
      </c>
      <c r="F3711" s="1">
        <v>2.0</v>
      </c>
      <c r="G3711" s="1">
        <v>9.0</v>
      </c>
      <c r="H3711" s="1">
        <v>119.0</v>
      </c>
      <c r="I3711" s="1" t="s">
        <v>21</v>
      </c>
      <c r="J3711" s="1" t="s">
        <v>18</v>
      </c>
      <c r="K3711" s="1">
        <v>106500.0</v>
      </c>
      <c r="L3711" s="1">
        <v>56.9480278</v>
      </c>
      <c r="M3711" s="1">
        <v>24.1884904499999</v>
      </c>
    </row>
    <row r="3712">
      <c r="A3712" s="1" t="s">
        <v>22</v>
      </c>
      <c r="B3712" s="1" t="s">
        <v>228</v>
      </c>
      <c r="C3712" s="1" t="s">
        <v>2229</v>
      </c>
      <c r="D3712" s="1">
        <v>1.0</v>
      </c>
      <c r="E3712" s="1">
        <v>25.0</v>
      </c>
      <c r="F3712" s="1">
        <v>1.0</v>
      </c>
      <c r="G3712" s="1">
        <v>2.0</v>
      </c>
      <c r="H3712" s="1" t="s">
        <v>25</v>
      </c>
      <c r="I3712" s="1" t="s">
        <v>26</v>
      </c>
      <c r="J3712" s="1" t="s">
        <v>18</v>
      </c>
      <c r="K3712" s="1">
        <v>33000.0</v>
      </c>
      <c r="L3712" s="1">
        <v>56.9214421</v>
      </c>
      <c r="M3712" s="1">
        <v>24.0459093</v>
      </c>
    </row>
    <row r="3713">
      <c r="A3713" s="1" t="s">
        <v>22</v>
      </c>
      <c r="B3713" s="1" t="s">
        <v>38</v>
      </c>
      <c r="C3713" s="1" t="s">
        <v>2230</v>
      </c>
      <c r="D3713" s="1">
        <v>2.0</v>
      </c>
      <c r="E3713" s="1">
        <v>51.0</v>
      </c>
      <c r="F3713" s="1">
        <v>4.0</v>
      </c>
      <c r="G3713" s="1">
        <v>5.0</v>
      </c>
      <c r="H3713" s="1" t="s">
        <v>36</v>
      </c>
      <c r="I3713" s="1" t="s">
        <v>122</v>
      </c>
      <c r="J3713" s="1" t="s">
        <v>18</v>
      </c>
      <c r="K3713" s="1">
        <v>49000.0</v>
      </c>
      <c r="L3713" s="1">
        <v>56.96321085</v>
      </c>
      <c r="M3713" s="1">
        <v>24.0176598773946</v>
      </c>
    </row>
    <row r="3714">
      <c r="A3714" s="1" t="s">
        <v>22</v>
      </c>
      <c r="B3714" s="1" t="s">
        <v>23</v>
      </c>
      <c r="C3714" s="1" t="s">
        <v>1033</v>
      </c>
      <c r="D3714" s="1">
        <v>3.0</v>
      </c>
      <c r="E3714" s="1">
        <v>79.0</v>
      </c>
      <c r="F3714" s="1">
        <v>1.0</v>
      </c>
      <c r="G3714" s="1">
        <v>3.0</v>
      </c>
      <c r="H3714" s="1" t="s">
        <v>25</v>
      </c>
      <c r="I3714" s="1" t="s">
        <v>33</v>
      </c>
      <c r="J3714" s="1" t="s">
        <v>18</v>
      </c>
      <c r="K3714" s="1">
        <v>135000.0</v>
      </c>
      <c r="L3714" s="1">
        <v>56.96130605</v>
      </c>
      <c r="M3714" s="1">
        <v>24.1105821948041</v>
      </c>
    </row>
    <row r="3715">
      <c r="A3715" s="1" t="s">
        <v>22</v>
      </c>
      <c r="B3715" s="1" t="s">
        <v>74</v>
      </c>
      <c r="C3715" s="1" t="s">
        <v>1515</v>
      </c>
      <c r="D3715" s="1">
        <v>2.0</v>
      </c>
      <c r="E3715" s="1">
        <v>50.0</v>
      </c>
      <c r="F3715" s="1">
        <v>3.0</v>
      </c>
      <c r="G3715" s="1">
        <v>9.0</v>
      </c>
      <c r="H3715" s="1">
        <v>602.0</v>
      </c>
      <c r="I3715" s="1" t="s">
        <v>21</v>
      </c>
      <c r="J3715" s="1" t="s">
        <v>18</v>
      </c>
      <c r="K3715" s="1">
        <v>45000.0</v>
      </c>
      <c r="L3715" s="1">
        <v>56.938833</v>
      </c>
      <c r="M3715" s="1">
        <v>24.196218600625</v>
      </c>
    </row>
    <row r="3716">
      <c r="A3716" s="1" t="s">
        <v>13</v>
      </c>
      <c r="B3716" s="1" t="s">
        <v>67</v>
      </c>
      <c r="C3716" s="1" t="s">
        <v>2231</v>
      </c>
      <c r="D3716" s="1">
        <v>1.0</v>
      </c>
      <c r="E3716" s="1">
        <v>25.0</v>
      </c>
      <c r="F3716" s="1">
        <v>3.0</v>
      </c>
      <c r="G3716" s="1">
        <v>3.0</v>
      </c>
      <c r="H3716" s="1" t="s">
        <v>25</v>
      </c>
      <c r="I3716" s="1" t="s">
        <v>26</v>
      </c>
      <c r="J3716" s="1" t="s">
        <v>18</v>
      </c>
      <c r="K3716" s="1">
        <v>150.0</v>
      </c>
      <c r="L3716" s="1">
        <v>56.9635222</v>
      </c>
      <c r="M3716" s="1">
        <v>24.1527078687804</v>
      </c>
    </row>
    <row r="3717">
      <c r="A3717" s="1" t="s">
        <v>22</v>
      </c>
      <c r="B3717" s="1" t="s">
        <v>23</v>
      </c>
      <c r="C3717" s="1" t="s">
        <v>2232</v>
      </c>
      <c r="D3717" s="1">
        <v>2.0</v>
      </c>
      <c r="E3717" s="1">
        <v>52.2</v>
      </c>
      <c r="F3717" s="1">
        <v>5.0</v>
      </c>
      <c r="G3717" s="1">
        <v>5.0</v>
      </c>
      <c r="H3717" s="1" t="s">
        <v>25</v>
      </c>
      <c r="I3717" s="1" t="s">
        <v>33</v>
      </c>
      <c r="J3717" s="1" t="s">
        <v>18</v>
      </c>
      <c r="K3717" s="1">
        <v>81500.0</v>
      </c>
      <c r="L3717" s="1">
        <v>56.95772985</v>
      </c>
      <c r="M3717" s="1">
        <v>24.132314626027</v>
      </c>
    </row>
    <row r="3718">
      <c r="A3718" s="1" t="s">
        <v>22</v>
      </c>
      <c r="B3718" s="1" t="s">
        <v>14</v>
      </c>
      <c r="C3718" s="1" t="s">
        <v>2233</v>
      </c>
      <c r="D3718" s="1">
        <v>3.0</v>
      </c>
      <c r="E3718" s="1">
        <v>58.8</v>
      </c>
      <c r="F3718" s="1">
        <v>1.0</v>
      </c>
      <c r="G3718" s="1">
        <v>5.0</v>
      </c>
      <c r="H3718" s="1" t="s">
        <v>16</v>
      </c>
      <c r="I3718" s="1" t="s">
        <v>21</v>
      </c>
      <c r="J3718" s="1" t="s">
        <v>18</v>
      </c>
      <c r="K3718" s="1">
        <v>59595.0</v>
      </c>
      <c r="L3718" s="1">
        <v>56.95720875</v>
      </c>
      <c r="M3718" s="1">
        <v>24.1735762758692</v>
      </c>
    </row>
    <row r="3719">
      <c r="A3719" s="1" t="s">
        <v>22</v>
      </c>
      <c r="B3719" s="1" t="s">
        <v>30</v>
      </c>
      <c r="C3719" s="1" t="s">
        <v>2234</v>
      </c>
      <c r="D3719" s="1">
        <v>5.0</v>
      </c>
      <c r="E3719" s="1">
        <v>114.0</v>
      </c>
      <c r="F3719" s="1">
        <v>1.0</v>
      </c>
      <c r="G3719" s="1">
        <v>5.0</v>
      </c>
      <c r="H3719" s="1" t="s">
        <v>36</v>
      </c>
      <c r="I3719" s="1" t="s">
        <v>37</v>
      </c>
      <c r="J3719" s="1" t="s">
        <v>18</v>
      </c>
      <c r="K3719" s="1">
        <v>89000.0</v>
      </c>
      <c r="L3719" s="1">
        <v>56.9802504</v>
      </c>
      <c r="M3719" s="1">
        <v>24.1887502</v>
      </c>
    </row>
    <row r="3720">
      <c r="A3720" s="1" t="s">
        <v>22</v>
      </c>
      <c r="B3720" s="1" t="s">
        <v>174</v>
      </c>
      <c r="C3720" s="1" t="s">
        <v>95</v>
      </c>
      <c r="D3720" s="1">
        <v>3.0</v>
      </c>
      <c r="E3720" s="1">
        <v>65.0</v>
      </c>
      <c r="F3720" s="1">
        <v>4.0</v>
      </c>
      <c r="G3720" s="1">
        <v>9.0</v>
      </c>
      <c r="H3720" s="1">
        <v>467.0</v>
      </c>
      <c r="I3720" s="1" t="s">
        <v>21</v>
      </c>
      <c r="J3720" s="1" t="s">
        <v>18</v>
      </c>
      <c r="K3720" s="1">
        <v>53700.0</v>
      </c>
      <c r="L3720" s="1">
        <v>56.93144315</v>
      </c>
      <c r="M3720" s="1">
        <v>24.1757569002296</v>
      </c>
    </row>
    <row r="3721">
      <c r="A3721" s="1" t="s">
        <v>13</v>
      </c>
      <c r="B3721" s="1" t="s">
        <v>38</v>
      </c>
      <c r="C3721" s="1" t="s">
        <v>165</v>
      </c>
      <c r="D3721" s="1">
        <v>3.0</v>
      </c>
      <c r="E3721" s="1">
        <v>80.0</v>
      </c>
      <c r="F3721" s="1">
        <v>17.0</v>
      </c>
      <c r="G3721" s="1">
        <v>24.0</v>
      </c>
      <c r="H3721" s="1" t="s">
        <v>32</v>
      </c>
      <c r="I3721" s="1" t="s">
        <v>33</v>
      </c>
      <c r="J3721" s="1" t="s">
        <v>18</v>
      </c>
      <c r="K3721" s="1">
        <v>650.0</v>
      </c>
      <c r="L3721" s="1">
        <v>56.9590306</v>
      </c>
      <c r="M3721" s="1">
        <v>24.013887042853</v>
      </c>
    </row>
    <row r="3722">
      <c r="A3722" s="1" t="s">
        <v>13</v>
      </c>
      <c r="B3722" s="1" t="s">
        <v>23</v>
      </c>
      <c r="C3722" s="1" t="s">
        <v>285</v>
      </c>
      <c r="D3722" s="1">
        <v>3.0</v>
      </c>
      <c r="E3722" s="1">
        <v>70.0</v>
      </c>
      <c r="F3722" s="1">
        <v>4.0</v>
      </c>
      <c r="G3722" s="1">
        <v>5.0</v>
      </c>
      <c r="H3722" s="1" t="s">
        <v>25</v>
      </c>
      <c r="I3722" s="1" t="s">
        <v>37</v>
      </c>
      <c r="J3722" s="1" t="s">
        <v>18</v>
      </c>
      <c r="K3722" s="1">
        <v>550.0</v>
      </c>
      <c r="L3722" s="1">
        <v>56.9642651</v>
      </c>
      <c r="M3722" s="1">
        <v>24.1370086</v>
      </c>
    </row>
    <row r="3723">
      <c r="A3723" s="1" t="s">
        <v>22</v>
      </c>
      <c r="B3723" s="1" t="s">
        <v>104</v>
      </c>
      <c r="C3723" s="1" t="s">
        <v>2235</v>
      </c>
      <c r="D3723" s="1">
        <v>2.0</v>
      </c>
      <c r="E3723" s="1">
        <v>66.0</v>
      </c>
      <c r="F3723" s="1">
        <v>2.0</v>
      </c>
      <c r="G3723" s="1">
        <v>5.0</v>
      </c>
      <c r="H3723" s="1" t="s">
        <v>181</v>
      </c>
      <c r="I3723" s="1" t="s">
        <v>33</v>
      </c>
      <c r="J3723" s="1" t="s">
        <v>18</v>
      </c>
      <c r="K3723" s="1">
        <v>75000.0</v>
      </c>
      <c r="L3723" s="1">
        <v>56.9559909</v>
      </c>
      <c r="M3723" s="1">
        <v>24.0695827</v>
      </c>
    </row>
    <row r="3724">
      <c r="A3724" s="1" t="s">
        <v>13</v>
      </c>
      <c r="B3724" s="1" t="s">
        <v>1737</v>
      </c>
      <c r="C3724" s="1" t="s">
        <v>2236</v>
      </c>
      <c r="D3724" s="1">
        <v>3.0</v>
      </c>
      <c r="E3724" s="1">
        <v>67.0</v>
      </c>
      <c r="F3724" s="1">
        <v>1.0</v>
      </c>
      <c r="G3724" s="1">
        <v>5.0</v>
      </c>
      <c r="H3724" s="1" t="s">
        <v>16</v>
      </c>
      <c r="I3724" s="1" t="s">
        <v>37</v>
      </c>
      <c r="J3724" s="1" t="s">
        <v>18</v>
      </c>
      <c r="K3724" s="1">
        <v>540.0</v>
      </c>
      <c r="L3724" s="1">
        <v>56.9754427999999</v>
      </c>
      <c r="M3724" s="1">
        <v>24.1697060953248</v>
      </c>
    </row>
    <row r="3725">
      <c r="A3725" s="1" t="s">
        <v>13</v>
      </c>
      <c r="B3725" s="1" t="s">
        <v>30</v>
      </c>
      <c r="C3725" s="1" t="s">
        <v>2236</v>
      </c>
      <c r="D3725" s="1">
        <v>3.0</v>
      </c>
      <c r="E3725" s="1">
        <v>67.0</v>
      </c>
      <c r="F3725" s="1">
        <v>1.0</v>
      </c>
      <c r="G3725" s="1">
        <v>5.0</v>
      </c>
      <c r="H3725" s="1" t="s">
        <v>16</v>
      </c>
      <c r="I3725" s="1" t="s">
        <v>37</v>
      </c>
      <c r="J3725" s="1" t="s">
        <v>18</v>
      </c>
      <c r="K3725" s="1">
        <v>540.0</v>
      </c>
      <c r="L3725" s="1">
        <v>56.9754427999999</v>
      </c>
      <c r="M3725" s="1">
        <v>24.1697060953248</v>
      </c>
    </row>
    <row r="3726">
      <c r="A3726" s="1" t="s">
        <v>22</v>
      </c>
      <c r="B3726" s="1" t="s">
        <v>23</v>
      </c>
      <c r="C3726" s="1" t="s">
        <v>1547</v>
      </c>
      <c r="D3726" s="1">
        <v>3.0</v>
      </c>
      <c r="E3726" s="1">
        <v>80.0</v>
      </c>
      <c r="F3726" s="1">
        <v>2.0</v>
      </c>
      <c r="G3726" s="1">
        <v>9.0</v>
      </c>
      <c r="H3726" s="1" t="s">
        <v>36</v>
      </c>
      <c r="I3726" s="1" t="s">
        <v>37</v>
      </c>
      <c r="J3726" s="1" t="s">
        <v>18</v>
      </c>
      <c r="K3726" s="1">
        <v>105000.0</v>
      </c>
      <c r="L3726" s="1">
        <v>56.96885245</v>
      </c>
      <c r="M3726" s="1">
        <v>24.13257603943</v>
      </c>
    </row>
    <row r="3727">
      <c r="A3727" s="1" t="s">
        <v>22</v>
      </c>
      <c r="B3727" s="1" t="s">
        <v>151</v>
      </c>
      <c r="C3727" s="1" t="s">
        <v>701</v>
      </c>
      <c r="D3727" s="1">
        <v>2.0</v>
      </c>
      <c r="E3727" s="1">
        <v>45.0</v>
      </c>
      <c r="F3727" s="1">
        <v>2.0</v>
      </c>
      <c r="G3727" s="1">
        <v>5.0</v>
      </c>
      <c r="H3727" s="1" t="s">
        <v>16</v>
      </c>
      <c r="I3727" s="1" t="s">
        <v>17</v>
      </c>
      <c r="J3727" s="1" t="s">
        <v>18</v>
      </c>
      <c r="K3727" s="1">
        <v>46500.0</v>
      </c>
      <c r="L3727" s="1">
        <v>56.96306045</v>
      </c>
      <c r="M3727" s="1">
        <v>24.0479363756081</v>
      </c>
    </row>
    <row r="3728">
      <c r="A3728" s="1" t="s">
        <v>22</v>
      </c>
      <c r="B3728" s="1" t="s">
        <v>117</v>
      </c>
      <c r="C3728" s="1" t="s">
        <v>2237</v>
      </c>
      <c r="D3728" s="1">
        <v>2.0</v>
      </c>
      <c r="E3728" s="1">
        <v>35.0</v>
      </c>
      <c r="F3728" s="1">
        <v>1.0</v>
      </c>
      <c r="G3728" s="1">
        <v>1.0</v>
      </c>
      <c r="H3728" s="1" t="s">
        <v>36</v>
      </c>
      <c r="I3728" s="1" t="s">
        <v>17</v>
      </c>
      <c r="J3728" s="1" t="s">
        <v>18</v>
      </c>
      <c r="K3728" s="1">
        <v>34000.0</v>
      </c>
      <c r="L3728" s="1" t="s">
        <v>40</v>
      </c>
      <c r="M3728" s="1" t="s">
        <v>40</v>
      </c>
    </row>
    <row r="3729">
      <c r="A3729" s="1" t="s">
        <v>22</v>
      </c>
      <c r="B3729" s="1" t="s">
        <v>109</v>
      </c>
      <c r="C3729" s="1" t="s">
        <v>1006</v>
      </c>
      <c r="D3729" s="1">
        <v>2.0</v>
      </c>
      <c r="E3729" s="1">
        <v>47.0</v>
      </c>
      <c r="F3729" s="1">
        <v>9.0</v>
      </c>
      <c r="G3729" s="1">
        <v>10.0</v>
      </c>
      <c r="H3729" s="1" t="s">
        <v>36</v>
      </c>
      <c r="I3729" s="1" t="s">
        <v>37</v>
      </c>
      <c r="J3729" s="1" t="s">
        <v>18</v>
      </c>
      <c r="K3729" s="1">
        <v>49000.0</v>
      </c>
      <c r="L3729" s="1">
        <v>56.9984366</v>
      </c>
      <c r="M3729" s="1">
        <v>24.1328951</v>
      </c>
    </row>
    <row r="3730">
      <c r="A3730" s="1" t="s">
        <v>22</v>
      </c>
      <c r="B3730" s="1" t="s">
        <v>28</v>
      </c>
      <c r="C3730" s="1" t="s">
        <v>1246</v>
      </c>
      <c r="D3730" s="1">
        <v>1.0</v>
      </c>
      <c r="E3730" s="1">
        <v>42.0</v>
      </c>
      <c r="F3730" s="1">
        <v>1.0</v>
      </c>
      <c r="G3730" s="1">
        <v>12.0</v>
      </c>
      <c r="H3730" s="1" t="s">
        <v>57</v>
      </c>
      <c r="I3730" s="1" t="s">
        <v>37</v>
      </c>
      <c r="J3730" s="1" t="s">
        <v>18</v>
      </c>
      <c r="K3730" s="1">
        <v>29500.0</v>
      </c>
      <c r="L3730" s="1">
        <v>56.90431635</v>
      </c>
      <c r="M3730" s="1">
        <v>24.1976524370901</v>
      </c>
    </row>
    <row r="3731">
      <c r="A3731" s="1" t="s">
        <v>22</v>
      </c>
      <c r="B3731" s="1" t="s">
        <v>174</v>
      </c>
      <c r="C3731" s="1" t="s">
        <v>2238</v>
      </c>
      <c r="D3731" s="1">
        <v>3.0</v>
      </c>
      <c r="E3731" s="1">
        <v>71.0</v>
      </c>
      <c r="F3731" s="1">
        <v>2.0</v>
      </c>
      <c r="G3731" s="1">
        <v>5.0</v>
      </c>
      <c r="H3731" s="1" t="s">
        <v>36</v>
      </c>
      <c r="I3731" s="1" t="s">
        <v>33</v>
      </c>
      <c r="J3731" s="1" t="s">
        <v>18</v>
      </c>
      <c r="K3731" s="1">
        <v>65000.0</v>
      </c>
      <c r="L3731" s="1">
        <v>56.9370581999999</v>
      </c>
      <c r="M3731" s="1">
        <v>24.1880804001862</v>
      </c>
    </row>
    <row r="3732">
      <c r="A3732" s="1" t="s">
        <v>13</v>
      </c>
      <c r="B3732" s="1" t="s">
        <v>23</v>
      </c>
      <c r="C3732" s="1" t="s">
        <v>1236</v>
      </c>
      <c r="D3732" s="1">
        <v>1.0</v>
      </c>
      <c r="E3732" s="1">
        <v>24.0</v>
      </c>
      <c r="F3732" s="1">
        <v>4.0</v>
      </c>
      <c r="G3732" s="1">
        <v>6.0</v>
      </c>
      <c r="H3732" s="1" t="s">
        <v>25</v>
      </c>
      <c r="I3732" s="1" t="s">
        <v>37</v>
      </c>
      <c r="J3732" s="1" t="s">
        <v>18</v>
      </c>
      <c r="K3732" s="1">
        <v>100.0</v>
      </c>
      <c r="L3732" s="1">
        <v>56.9482351</v>
      </c>
      <c r="M3732" s="1">
        <v>24.1198579</v>
      </c>
    </row>
    <row r="3733">
      <c r="A3733" s="1" t="s">
        <v>22</v>
      </c>
      <c r="B3733" s="1" t="s">
        <v>104</v>
      </c>
      <c r="C3733" s="1" t="s">
        <v>1564</v>
      </c>
      <c r="D3733" s="1">
        <v>3.0</v>
      </c>
      <c r="E3733" s="1">
        <v>54.0</v>
      </c>
      <c r="F3733" s="1">
        <v>2.0</v>
      </c>
      <c r="G3733" s="1">
        <v>5.0</v>
      </c>
      <c r="H3733" s="1" t="s">
        <v>36</v>
      </c>
      <c r="I3733" s="1" t="s">
        <v>37</v>
      </c>
      <c r="J3733" s="1" t="s">
        <v>18</v>
      </c>
      <c r="K3733" s="1">
        <v>50000.0</v>
      </c>
      <c r="L3733" s="1">
        <v>56.9273556</v>
      </c>
      <c r="M3733" s="1">
        <v>24.0736886747453</v>
      </c>
    </row>
    <row r="3734">
      <c r="A3734" s="1" t="s">
        <v>22</v>
      </c>
      <c r="B3734" s="1" t="s">
        <v>19</v>
      </c>
      <c r="C3734" s="1" t="s">
        <v>182</v>
      </c>
      <c r="D3734" s="1">
        <v>1.0</v>
      </c>
      <c r="E3734" s="1">
        <v>32.0</v>
      </c>
      <c r="F3734" s="1">
        <v>9.0</v>
      </c>
      <c r="G3734" s="1">
        <v>9.0</v>
      </c>
      <c r="H3734" s="1">
        <v>602.0</v>
      </c>
      <c r="I3734" s="1" t="s">
        <v>122</v>
      </c>
      <c r="J3734" s="1" t="s">
        <v>18</v>
      </c>
      <c r="K3734" s="1">
        <v>36000.0</v>
      </c>
      <c r="L3734" s="1">
        <v>56.9094064</v>
      </c>
      <c r="M3734" s="1">
        <v>24.0954157</v>
      </c>
    </row>
    <row r="3735">
      <c r="A3735" s="1" t="s">
        <v>22</v>
      </c>
      <c r="B3735" s="1" t="s">
        <v>76</v>
      </c>
      <c r="C3735" s="1" t="s">
        <v>908</v>
      </c>
      <c r="D3735" s="1">
        <v>2.0</v>
      </c>
      <c r="E3735" s="1">
        <v>52.0</v>
      </c>
      <c r="F3735" s="1">
        <v>1.0</v>
      </c>
      <c r="G3735" s="1">
        <v>5.0</v>
      </c>
      <c r="H3735" s="1" t="s">
        <v>32</v>
      </c>
      <c r="I3735" s="1" t="s">
        <v>17</v>
      </c>
      <c r="J3735" s="1" t="s">
        <v>18</v>
      </c>
      <c r="K3735" s="1">
        <v>86350.0</v>
      </c>
      <c r="L3735" s="1">
        <v>56.9555587</v>
      </c>
      <c r="M3735" s="1">
        <v>24.0506800260781</v>
      </c>
    </row>
    <row r="3736">
      <c r="A3736" s="1" t="s">
        <v>22</v>
      </c>
      <c r="B3736" s="1" t="s">
        <v>76</v>
      </c>
      <c r="C3736" s="1" t="s">
        <v>908</v>
      </c>
      <c r="D3736" s="1">
        <v>2.0</v>
      </c>
      <c r="E3736" s="1">
        <v>59.0</v>
      </c>
      <c r="F3736" s="1">
        <v>2.0</v>
      </c>
      <c r="G3736" s="1">
        <v>5.0</v>
      </c>
      <c r="H3736" s="1" t="s">
        <v>32</v>
      </c>
      <c r="I3736" s="1" t="s">
        <v>17</v>
      </c>
      <c r="J3736" s="1" t="s">
        <v>18</v>
      </c>
      <c r="K3736" s="1">
        <v>116560.0</v>
      </c>
      <c r="L3736" s="1">
        <v>56.9555587</v>
      </c>
      <c r="M3736" s="1">
        <v>24.0506800260781</v>
      </c>
    </row>
    <row r="3737">
      <c r="A3737" s="1" t="s">
        <v>22</v>
      </c>
      <c r="B3737" s="1" t="s">
        <v>109</v>
      </c>
      <c r="C3737" s="1" t="s">
        <v>2239</v>
      </c>
      <c r="D3737" s="1">
        <v>3.0</v>
      </c>
      <c r="E3737" s="1">
        <v>55.0</v>
      </c>
      <c r="F3737" s="1">
        <v>1.0</v>
      </c>
      <c r="G3737" s="1">
        <v>5.0</v>
      </c>
      <c r="H3737" s="1" t="s">
        <v>36</v>
      </c>
      <c r="I3737" s="1" t="s">
        <v>37</v>
      </c>
      <c r="J3737" s="1" t="s">
        <v>18</v>
      </c>
      <c r="K3737" s="1">
        <v>51000.0</v>
      </c>
      <c r="L3737" s="1" t="s">
        <v>40</v>
      </c>
      <c r="M3737" s="1" t="s">
        <v>40</v>
      </c>
    </row>
    <row r="3738">
      <c r="A3738" s="1" t="s">
        <v>13</v>
      </c>
      <c r="B3738" s="1" t="s">
        <v>422</v>
      </c>
      <c r="C3738" s="1" t="s">
        <v>2240</v>
      </c>
      <c r="D3738" s="1">
        <v>2.0</v>
      </c>
      <c r="E3738" s="1">
        <v>61.0</v>
      </c>
      <c r="F3738" s="1">
        <v>3.0</v>
      </c>
      <c r="G3738" s="1">
        <v>3.0</v>
      </c>
      <c r="H3738" s="1" t="s">
        <v>32</v>
      </c>
      <c r="I3738" s="1" t="s">
        <v>33</v>
      </c>
      <c r="J3738" s="1" t="s">
        <v>18</v>
      </c>
      <c r="K3738" s="1">
        <v>450.0</v>
      </c>
      <c r="L3738" s="1">
        <v>56.9410497</v>
      </c>
      <c r="M3738" s="1">
        <v>24.0299726741999</v>
      </c>
    </row>
    <row r="3739">
      <c r="A3739" s="1" t="s">
        <v>22</v>
      </c>
      <c r="B3739" s="1" t="s">
        <v>30</v>
      </c>
      <c r="C3739" s="1" t="s">
        <v>2011</v>
      </c>
      <c r="D3739" s="1">
        <v>5.0</v>
      </c>
      <c r="E3739" s="1">
        <v>180.0</v>
      </c>
      <c r="F3739" s="1">
        <v>2.0</v>
      </c>
      <c r="G3739" s="1">
        <v>3.0</v>
      </c>
      <c r="H3739" s="1" t="s">
        <v>32</v>
      </c>
      <c r="I3739" s="1" t="s">
        <v>17</v>
      </c>
      <c r="J3739" s="1" t="s">
        <v>18</v>
      </c>
      <c r="K3739" s="1">
        <v>205000.0</v>
      </c>
      <c r="L3739" s="1">
        <v>56.9810586499999</v>
      </c>
      <c r="M3739" s="1">
        <v>24.1899005585312</v>
      </c>
    </row>
    <row r="3740">
      <c r="A3740" s="1" t="s">
        <v>22</v>
      </c>
      <c r="B3740" s="1" t="s">
        <v>76</v>
      </c>
      <c r="C3740" s="1" t="s">
        <v>908</v>
      </c>
      <c r="D3740" s="1">
        <v>3.0</v>
      </c>
      <c r="E3740" s="1">
        <v>90.0</v>
      </c>
      <c r="F3740" s="1">
        <v>1.0</v>
      </c>
      <c r="G3740" s="1">
        <v>5.0</v>
      </c>
      <c r="H3740" s="1" t="s">
        <v>32</v>
      </c>
      <c r="I3740" s="1" t="s">
        <v>17</v>
      </c>
      <c r="J3740" s="1" t="s">
        <v>18</v>
      </c>
      <c r="K3740" s="1">
        <v>128000.0</v>
      </c>
      <c r="L3740" s="1">
        <v>56.9555587</v>
      </c>
      <c r="M3740" s="1">
        <v>24.0506800260781</v>
      </c>
    </row>
    <row r="3741">
      <c r="A3741" s="1" t="s">
        <v>22</v>
      </c>
      <c r="B3741" s="1" t="s">
        <v>129</v>
      </c>
      <c r="C3741" s="1" t="s">
        <v>2239</v>
      </c>
      <c r="D3741" s="1">
        <v>3.0</v>
      </c>
      <c r="E3741" s="1">
        <v>55.0</v>
      </c>
      <c r="F3741" s="1">
        <v>1.0</v>
      </c>
      <c r="G3741" s="1">
        <v>5.0</v>
      </c>
      <c r="H3741" s="1" t="s">
        <v>36</v>
      </c>
      <c r="I3741" s="1" t="s">
        <v>37</v>
      </c>
      <c r="J3741" s="1" t="s">
        <v>18</v>
      </c>
      <c r="K3741" s="1">
        <v>51000.0</v>
      </c>
      <c r="L3741" s="1" t="s">
        <v>40</v>
      </c>
      <c r="M3741" s="1" t="s">
        <v>40</v>
      </c>
    </row>
    <row r="3742">
      <c r="A3742" s="1" t="s">
        <v>13</v>
      </c>
      <c r="B3742" s="1" t="s">
        <v>23</v>
      </c>
      <c r="C3742" s="1" t="s">
        <v>2241</v>
      </c>
      <c r="D3742" s="1">
        <v>2.0</v>
      </c>
      <c r="E3742" s="1">
        <v>30.0</v>
      </c>
      <c r="F3742" s="1">
        <v>2.0</v>
      </c>
      <c r="G3742" s="1">
        <v>5.0</v>
      </c>
      <c r="H3742" s="1" t="s">
        <v>32</v>
      </c>
      <c r="I3742" s="1" t="s">
        <v>33</v>
      </c>
      <c r="J3742" s="1" t="s">
        <v>18</v>
      </c>
      <c r="K3742" s="1">
        <v>25.0</v>
      </c>
      <c r="L3742" s="1">
        <v>56.9408555</v>
      </c>
      <c r="M3742" s="1">
        <v>24.1364923</v>
      </c>
    </row>
    <row r="3743">
      <c r="A3743" s="1" t="s">
        <v>22</v>
      </c>
      <c r="B3743" s="1" t="s">
        <v>96</v>
      </c>
      <c r="C3743" s="1" t="s">
        <v>610</v>
      </c>
      <c r="D3743" s="1">
        <v>2.0</v>
      </c>
      <c r="E3743" s="1">
        <v>52.0</v>
      </c>
      <c r="F3743" s="1">
        <v>1.0</v>
      </c>
      <c r="G3743" s="1">
        <v>5.0</v>
      </c>
      <c r="H3743" s="1" t="s">
        <v>16</v>
      </c>
      <c r="I3743" s="1" t="s">
        <v>21</v>
      </c>
      <c r="J3743" s="1" t="s">
        <v>18</v>
      </c>
      <c r="K3743" s="1">
        <v>35000.0</v>
      </c>
      <c r="L3743" s="1">
        <v>57.0331188</v>
      </c>
      <c r="M3743" s="1">
        <v>24.1004593277761</v>
      </c>
    </row>
    <row r="3744">
      <c r="A3744" s="1" t="s">
        <v>22</v>
      </c>
      <c r="B3744" s="1" t="s">
        <v>48</v>
      </c>
      <c r="C3744" s="1" t="s">
        <v>2242</v>
      </c>
      <c r="D3744" s="1">
        <v>2.0</v>
      </c>
      <c r="E3744" s="1">
        <v>51.0</v>
      </c>
      <c r="F3744" s="1">
        <v>2.0</v>
      </c>
      <c r="G3744" s="1">
        <v>5.0</v>
      </c>
      <c r="H3744" s="1" t="s">
        <v>32</v>
      </c>
      <c r="I3744" s="1" t="s">
        <v>17</v>
      </c>
      <c r="J3744" s="1" t="s">
        <v>18</v>
      </c>
      <c r="K3744" s="1">
        <v>65500.0</v>
      </c>
      <c r="L3744" s="1" t="s">
        <v>40</v>
      </c>
      <c r="M3744" s="1" t="s">
        <v>40</v>
      </c>
    </row>
    <row r="3745">
      <c r="A3745" s="1" t="s">
        <v>22</v>
      </c>
      <c r="B3745" s="1" t="s">
        <v>74</v>
      </c>
      <c r="C3745" s="1" t="s">
        <v>2243</v>
      </c>
      <c r="D3745" s="1">
        <v>3.0</v>
      </c>
      <c r="E3745" s="1">
        <v>64.0</v>
      </c>
      <c r="F3745" s="1">
        <v>2.0</v>
      </c>
      <c r="G3745" s="1">
        <v>9.0</v>
      </c>
      <c r="H3745" s="1">
        <v>602.0</v>
      </c>
      <c r="I3745" s="1" t="s">
        <v>21</v>
      </c>
      <c r="J3745" s="1" t="s">
        <v>18</v>
      </c>
      <c r="K3745" s="1">
        <v>55000.0</v>
      </c>
      <c r="L3745" s="1" t="s">
        <v>40</v>
      </c>
      <c r="M3745" s="1" t="s">
        <v>40</v>
      </c>
    </row>
    <row r="3746">
      <c r="A3746" s="1" t="s">
        <v>13</v>
      </c>
      <c r="B3746" s="1" t="s">
        <v>23</v>
      </c>
      <c r="C3746" s="1" t="s">
        <v>2244</v>
      </c>
      <c r="D3746" s="1">
        <v>1.0</v>
      </c>
      <c r="E3746" s="1">
        <v>31.0</v>
      </c>
      <c r="F3746" s="1">
        <v>2.0</v>
      </c>
      <c r="G3746" s="1">
        <v>2.0</v>
      </c>
      <c r="H3746" s="1" t="s">
        <v>25</v>
      </c>
      <c r="I3746" s="1" t="s">
        <v>37</v>
      </c>
      <c r="J3746" s="1" t="s">
        <v>18</v>
      </c>
      <c r="K3746" s="1">
        <v>290.0</v>
      </c>
      <c r="L3746" s="1">
        <v>56.9928319</v>
      </c>
      <c r="M3746" s="1">
        <v>24.1224521</v>
      </c>
    </row>
    <row r="3747">
      <c r="A3747" s="1" t="s">
        <v>22</v>
      </c>
      <c r="B3747" s="1" t="s">
        <v>14</v>
      </c>
      <c r="C3747" s="1" t="s">
        <v>1608</v>
      </c>
      <c r="D3747" s="1">
        <v>2.0</v>
      </c>
      <c r="E3747" s="1">
        <v>38.0</v>
      </c>
      <c r="F3747" s="1">
        <v>2.0</v>
      </c>
      <c r="G3747" s="1">
        <v>5.0</v>
      </c>
      <c r="H3747" s="1" t="s">
        <v>16</v>
      </c>
      <c r="I3747" s="1" t="s">
        <v>21</v>
      </c>
      <c r="J3747" s="1" t="s">
        <v>18</v>
      </c>
      <c r="K3747" s="1">
        <v>37000.0</v>
      </c>
      <c r="L3747" s="1">
        <v>56.96285935</v>
      </c>
      <c r="M3747" s="1">
        <v>24.1895130756778</v>
      </c>
    </row>
    <row r="3748">
      <c r="A3748" s="1" t="s">
        <v>13</v>
      </c>
      <c r="B3748" s="1" t="s">
        <v>23</v>
      </c>
      <c r="C3748" s="1" t="s">
        <v>91</v>
      </c>
      <c r="D3748" s="1">
        <v>2.0</v>
      </c>
      <c r="E3748" s="1">
        <v>55.0</v>
      </c>
      <c r="F3748" s="1">
        <v>5.0</v>
      </c>
      <c r="G3748" s="1">
        <v>8.0</v>
      </c>
      <c r="H3748" s="1" t="s">
        <v>32</v>
      </c>
      <c r="I3748" s="1" t="s">
        <v>122</v>
      </c>
      <c r="J3748" s="1" t="s">
        <v>18</v>
      </c>
      <c r="K3748" s="1">
        <v>850.0</v>
      </c>
      <c r="L3748" s="1">
        <v>56.9552522</v>
      </c>
      <c r="M3748" s="1">
        <v>24.0999991251943</v>
      </c>
    </row>
    <row r="3749">
      <c r="A3749" s="1" t="s">
        <v>22</v>
      </c>
      <c r="B3749" s="1" t="s">
        <v>38</v>
      </c>
      <c r="C3749" s="1" t="s">
        <v>2245</v>
      </c>
      <c r="D3749" s="1">
        <v>2.0</v>
      </c>
      <c r="E3749" s="1">
        <v>53.0</v>
      </c>
      <c r="F3749" s="1">
        <v>1.0</v>
      </c>
      <c r="G3749" s="1">
        <v>16.0</v>
      </c>
      <c r="H3749" s="1" t="s">
        <v>36</v>
      </c>
      <c r="I3749" s="1" t="s">
        <v>37</v>
      </c>
      <c r="J3749" s="1" t="s">
        <v>18</v>
      </c>
      <c r="K3749" s="1">
        <v>59500.0</v>
      </c>
      <c r="L3749" s="1">
        <v>56.96051595</v>
      </c>
      <c r="M3749" s="1">
        <v>24.0206358484807</v>
      </c>
    </row>
    <row r="3750">
      <c r="A3750" s="1" t="s">
        <v>13</v>
      </c>
      <c r="B3750" s="1" t="s">
        <v>218</v>
      </c>
      <c r="C3750" s="1" t="s">
        <v>2246</v>
      </c>
      <c r="D3750" s="1">
        <v>3.0</v>
      </c>
      <c r="E3750" s="1">
        <v>94.0</v>
      </c>
      <c r="F3750" s="1">
        <v>3.0</v>
      </c>
      <c r="G3750" s="1">
        <v>4.0</v>
      </c>
      <c r="H3750" s="1" t="s">
        <v>25</v>
      </c>
      <c r="I3750" s="1" t="s">
        <v>37</v>
      </c>
      <c r="J3750" s="1" t="s">
        <v>18</v>
      </c>
      <c r="K3750" s="1">
        <v>850.0</v>
      </c>
      <c r="L3750" s="1">
        <v>56.9488525</v>
      </c>
      <c r="M3750" s="1">
        <v>24.1083779</v>
      </c>
    </row>
    <row r="3751">
      <c r="A3751" s="1" t="s">
        <v>13</v>
      </c>
      <c r="B3751" s="1" t="s">
        <v>218</v>
      </c>
      <c r="C3751" s="1" t="s">
        <v>644</v>
      </c>
      <c r="D3751" s="1">
        <v>2.0</v>
      </c>
      <c r="E3751" s="1">
        <v>61.0</v>
      </c>
      <c r="F3751" s="1">
        <v>3.0</v>
      </c>
      <c r="G3751" s="1">
        <v>6.0</v>
      </c>
      <c r="H3751" s="1" t="s">
        <v>32</v>
      </c>
      <c r="I3751" s="1" t="s">
        <v>122</v>
      </c>
      <c r="J3751" s="1" t="s">
        <v>18</v>
      </c>
      <c r="K3751" s="1">
        <v>44.0</v>
      </c>
      <c r="L3751" s="1">
        <v>56.945456</v>
      </c>
      <c r="M3751" s="1">
        <v>24.1115799</v>
      </c>
    </row>
    <row r="3752">
      <c r="A3752" s="1" t="s">
        <v>13</v>
      </c>
      <c r="B3752" s="1" t="s">
        <v>23</v>
      </c>
      <c r="C3752" s="1" t="s">
        <v>981</v>
      </c>
      <c r="D3752" s="1">
        <v>2.0</v>
      </c>
      <c r="E3752" s="1">
        <v>55.0</v>
      </c>
      <c r="F3752" s="1">
        <v>1.0</v>
      </c>
      <c r="G3752" s="1">
        <v>4.0</v>
      </c>
      <c r="H3752" s="1" t="s">
        <v>25</v>
      </c>
      <c r="I3752" s="1" t="s">
        <v>37</v>
      </c>
      <c r="J3752" s="1" t="s">
        <v>27</v>
      </c>
      <c r="K3752" s="1">
        <v>225.0</v>
      </c>
      <c r="L3752" s="1">
        <v>56.94852645</v>
      </c>
      <c r="M3752" s="1">
        <v>24.1519268353779</v>
      </c>
    </row>
    <row r="3753">
      <c r="A3753" s="1" t="s">
        <v>468</v>
      </c>
      <c r="B3753" s="2"/>
      <c r="C3753" s="2"/>
      <c r="D3753" s="1">
        <v>3.0</v>
      </c>
      <c r="E3753" s="2"/>
      <c r="F3753" s="2"/>
      <c r="G3753" s="2"/>
      <c r="H3753" s="2"/>
      <c r="I3753" s="2"/>
      <c r="J3753" s="2"/>
      <c r="K3753" s="2"/>
      <c r="L3753" s="1">
        <v>46.3144754</v>
      </c>
      <c r="M3753" s="1">
        <v>11.0480288</v>
      </c>
    </row>
    <row r="3754">
      <c r="A3754" s="1" t="s">
        <v>13</v>
      </c>
      <c r="B3754" s="1" t="s">
        <v>23</v>
      </c>
      <c r="C3754" s="1" t="s">
        <v>136</v>
      </c>
      <c r="D3754" s="1">
        <v>3.0</v>
      </c>
      <c r="E3754" s="1">
        <v>55.0</v>
      </c>
      <c r="F3754" s="1">
        <v>2.0</v>
      </c>
      <c r="G3754" s="1">
        <v>6.0</v>
      </c>
      <c r="H3754" s="1" t="s">
        <v>66</v>
      </c>
      <c r="I3754" s="1" t="s">
        <v>33</v>
      </c>
      <c r="J3754" s="1" t="s">
        <v>18</v>
      </c>
      <c r="K3754" s="1">
        <v>630.0</v>
      </c>
      <c r="L3754" s="1">
        <v>56.95643795</v>
      </c>
      <c r="M3754" s="1">
        <v>24.1325729821556</v>
      </c>
    </row>
    <row r="3755">
      <c r="A3755" s="1" t="s">
        <v>22</v>
      </c>
      <c r="B3755" s="1" t="s">
        <v>23</v>
      </c>
      <c r="C3755" s="1" t="s">
        <v>918</v>
      </c>
      <c r="D3755" s="1">
        <v>2.0</v>
      </c>
      <c r="E3755" s="1">
        <v>43.0</v>
      </c>
      <c r="F3755" s="1">
        <v>1.0</v>
      </c>
      <c r="G3755" s="1">
        <v>5.0</v>
      </c>
      <c r="H3755" s="1" t="s">
        <v>25</v>
      </c>
      <c r="I3755" s="1" t="s">
        <v>33</v>
      </c>
      <c r="J3755" s="1" t="s">
        <v>18</v>
      </c>
      <c r="K3755" s="1">
        <v>62000.0</v>
      </c>
      <c r="L3755" s="1">
        <v>56.9665763</v>
      </c>
      <c r="M3755" s="1">
        <v>24.1337504</v>
      </c>
    </row>
    <row r="3756">
      <c r="A3756" s="1" t="s">
        <v>22</v>
      </c>
      <c r="B3756" s="1" t="s">
        <v>104</v>
      </c>
      <c r="C3756" s="1" t="s">
        <v>619</v>
      </c>
      <c r="D3756" s="1">
        <v>2.0</v>
      </c>
      <c r="E3756" s="1">
        <v>53.0</v>
      </c>
      <c r="F3756" s="1">
        <v>3.0</v>
      </c>
      <c r="G3756" s="1">
        <v>4.0</v>
      </c>
      <c r="H3756" s="1" t="s">
        <v>25</v>
      </c>
      <c r="I3756" s="1" t="s">
        <v>33</v>
      </c>
      <c r="J3756" s="1" t="s">
        <v>18</v>
      </c>
      <c r="K3756" s="1">
        <v>70000.0</v>
      </c>
      <c r="L3756" s="1">
        <v>56.9474705</v>
      </c>
      <c r="M3756" s="1">
        <v>24.0604076</v>
      </c>
    </row>
    <row r="3757">
      <c r="A3757" s="1" t="s">
        <v>22</v>
      </c>
      <c r="B3757" s="1" t="s">
        <v>23</v>
      </c>
      <c r="C3757" s="1" t="s">
        <v>1877</v>
      </c>
      <c r="D3757" s="1">
        <v>2.0</v>
      </c>
      <c r="E3757" s="1">
        <v>70.0</v>
      </c>
      <c r="F3757" s="1">
        <v>6.0</v>
      </c>
      <c r="G3757" s="1">
        <v>6.0</v>
      </c>
      <c r="H3757" s="1" t="s">
        <v>25</v>
      </c>
      <c r="I3757" s="1" t="s">
        <v>37</v>
      </c>
      <c r="J3757" s="1" t="s">
        <v>18</v>
      </c>
      <c r="K3757" s="1">
        <v>89500.0</v>
      </c>
      <c r="L3757" s="1">
        <v>56.9513816</v>
      </c>
      <c r="M3757" s="1">
        <v>24.1289619</v>
      </c>
    </row>
    <row r="3758">
      <c r="A3758" s="1" t="s">
        <v>22</v>
      </c>
      <c r="B3758" s="1" t="s">
        <v>48</v>
      </c>
      <c r="C3758" s="1" t="s">
        <v>2247</v>
      </c>
      <c r="D3758" s="1">
        <v>4.0</v>
      </c>
      <c r="E3758" s="1">
        <v>75.0</v>
      </c>
      <c r="F3758" s="1">
        <v>5.0</v>
      </c>
      <c r="G3758" s="1">
        <v>5.0</v>
      </c>
      <c r="H3758" s="1" t="s">
        <v>32</v>
      </c>
      <c r="I3758" s="1" t="s">
        <v>17</v>
      </c>
      <c r="J3758" s="1" t="s">
        <v>18</v>
      </c>
      <c r="K3758" s="1">
        <v>82830.0</v>
      </c>
      <c r="L3758" s="1" t="s">
        <v>40</v>
      </c>
      <c r="M3758" s="1" t="s">
        <v>40</v>
      </c>
    </row>
    <row r="3759">
      <c r="A3759" s="1" t="s">
        <v>22</v>
      </c>
      <c r="B3759" s="1" t="s">
        <v>151</v>
      </c>
      <c r="C3759" s="1" t="s">
        <v>2248</v>
      </c>
      <c r="D3759" s="1">
        <v>3.0</v>
      </c>
      <c r="E3759" s="1">
        <v>106.0</v>
      </c>
      <c r="F3759" s="1">
        <v>6.0</v>
      </c>
      <c r="G3759" s="1">
        <v>6.0</v>
      </c>
      <c r="H3759" s="1" t="s">
        <v>32</v>
      </c>
      <c r="I3759" s="1" t="s">
        <v>21</v>
      </c>
      <c r="J3759" s="1" t="s">
        <v>18</v>
      </c>
      <c r="K3759" s="1">
        <v>135000.0</v>
      </c>
      <c r="L3759" s="1">
        <v>56.9647715</v>
      </c>
      <c r="M3759" s="1">
        <v>24.0601162229667</v>
      </c>
    </row>
    <row r="3760">
      <c r="A3760" s="1" t="s">
        <v>22</v>
      </c>
      <c r="B3760" s="1" t="s">
        <v>28</v>
      </c>
      <c r="C3760" s="1" t="s">
        <v>2249</v>
      </c>
      <c r="D3760" s="1">
        <v>1.0</v>
      </c>
      <c r="E3760" s="1">
        <v>36.0</v>
      </c>
      <c r="F3760" s="1">
        <v>9.0</v>
      </c>
      <c r="G3760" s="1">
        <v>12.0</v>
      </c>
      <c r="H3760" s="1" t="s">
        <v>57</v>
      </c>
      <c r="I3760" s="1" t="s">
        <v>37</v>
      </c>
      <c r="J3760" s="1" t="s">
        <v>18</v>
      </c>
      <c r="K3760" s="1">
        <v>35000.0</v>
      </c>
      <c r="L3760" s="1">
        <v>56.9150159999999</v>
      </c>
      <c r="M3760" s="1">
        <v>24.1672330053323</v>
      </c>
    </row>
    <row r="3761">
      <c r="A3761" s="1" t="s">
        <v>22</v>
      </c>
      <c r="B3761" s="1" t="s">
        <v>23</v>
      </c>
      <c r="C3761" s="1" t="s">
        <v>2250</v>
      </c>
      <c r="D3761" s="1">
        <v>3.0</v>
      </c>
      <c r="E3761" s="1">
        <v>49.0</v>
      </c>
      <c r="F3761" s="1">
        <v>5.0</v>
      </c>
      <c r="G3761" s="1">
        <v>5.0</v>
      </c>
      <c r="H3761" s="1" t="s">
        <v>25</v>
      </c>
      <c r="I3761" s="1" t="s">
        <v>37</v>
      </c>
      <c r="J3761" s="1" t="s">
        <v>18</v>
      </c>
      <c r="K3761" s="1">
        <v>135520.0</v>
      </c>
      <c r="L3761" s="1">
        <v>56.9503591</v>
      </c>
      <c r="M3761" s="1">
        <v>24.1084129</v>
      </c>
    </row>
    <row r="3762">
      <c r="A3762" s="1" t="s">
        <v>89</v>
      </c>
      <c r="B3762" s="1" t="s">
        <v>28</v>
      </c>
      <c r="C3762" s="1" t="s">
        <v>2251</v>
      </c>
      <c r="D3762" s="1">
        <v>2.0</v>
      </c>
      <c r="E3762" s="2"/>
      <c r="F3762" s="2"/>
      <c r="G3762" s="2"/>
      <c r="H3762" s="1" t="s">
        <v>32</v>
      </c>
      <c r="I3762" s="2"/>
      <c r="J3762" s="2"/>
      <c r="K3762" s="2"/>
      <c r="L3762" s="1">
        <v>56.9150027</v>
      </c>
      <c r="M3762" s="1">
        <v>24.1755593</v>
      </c>
    </row>
    <row r="3763">
      <c r="A3763" s="1" t="s">
        <v>22</v>
      </c>
      <c r="B3763" s="1" t="s">
        <v>23</v>
      </c>
      <c r="C3763" s="1" t="s">
        <v>2252</v>
      </c>
      <c r="D3763" s="1">
        <v>1.0</v>
      </c>
      <c r="E3763" s="1">
        <v>35.0</v>
      </c>
      <c r="F3763" s="1">
        <v>5.0</v>
      </c>
      <c r="G3763" s="1">
        <v>6.0</v>
      </c>
      <c r="H3763" s="1" t="s">
        <v>36</v>
      </c>
      <c r="I3763" s="1" t="s">
        <v>17</v>
      </c>
      <c r="J3763" s="1" t="s">
        <v>18</v>
      </c>
      <c r="K3763" s="1">
        <v>58000.0</v>
      </c>
      <c r="L3763" s="1">
        <v>56.9658337</v>
      </c>
      <c r="M3763" s="1">
        <v>24.1288033758677</v>
      </c>
    </row>
    <row r="3764">
      <c r="A3764" s="1" t="s">
        <v>22</v>
      </c>
      <c r="B3764" s="1" t="s">
        <v>129</v>
      </c>
      <c r="C3764" s="1" t="s">
        <v>2253</v>
      </c>
      <c r="D3764" s="1">
        <v>3.0</v>
      </c>
      <c r="E3764" s="1">
        <v>64.0</v>
      </c>
      <c r="F3764" s="1">
        <v>6.0</v>
      </c>
      <c r="G3764" s="1">
        <v>8.0</v>
      </c>
      <c r="H3764" s="1" t="s">
        <v>66</v>
      </c>
      <c r="I3764" s="1" t="s">
        <v>17</v>
      </c>
      <c r="J3764" s="1" t="s">
        <v>18</v>
      </c>
      <c r="K3764" s="1">
        <v>77000.0</v>
      </c>
      <c r="L3764" s="1">
        <v>56.99858105</v>
      </c>
      <c r="M3764" s="1">
        <v>24.1219125762647</v>
      </c>
    </row>
    <row r="3765">
      <c r="A3765" s="1" t="s">
        <v>22</v>
      </c>
      <c r="B3765" s="1" t="s">
        <v>19</v>
      </c>
      <c r="C3765" s="1" t="s">
        <v>469</v>
      </c>
      <c r="D3765" s="1">
        <v>3.0</v>
      </c>
      <c r="E3765" s="1">
        <v>73.0</v>
      </c>
      <c r="F3765" s="1">
        <v>5.0</v>
      </c>
      <c r="G3765" s="1">
        <v>5.0</v>
      </c>
      <c r="H3765" s="1" t="s">
        <v>36</v>
      </c>
      <c r="I3765" s="1" t="s">
        <v>21</v>
      </c>
      <c r="J3765" s="1" t="s">
        <v>18</v>
      </c>
      <c r="K3765" s="1">
        <v>86000.0</v>
      </c>
      <c r="L3765" s="1">
        <v>56.9108369</v>
      </c>
      <c r="M3765" s="1">
        <v>24.098253430927</v>
      </c>
    </row>
    <row r="3766">
      <c r="A3766" s="1" t="s">
        <v>13</v>
      </c>
      <c r="B3766" s="1" t="s">
        <v>14</v>
      </c>
      <c r="C3766" s="1" t="s">
        <v>1766</v>
      </c>
      <c r="D3766" s="1">
        <v>2.0</v>
      </c>
      <c r="E3766" s="1">
        <v>56.0</v>
      </c>
      <c r="F3766" s="1">
        <v>8.0</v>
      </c>
      <c r="G3766" s="1">
        <v>9.0</v>
      </c>
      <c r="H3766" s="1">
        <v>119.0</v>
      </c>
      <c r="I3766" s="1" t="s">
        <v>21</v>
      </c>
      <c r="J3766" s="1" t="s">
        <v>18</v>
      </c>
      <c r="K3766" s="1">
        <v>330.0</v>
      </c>
      <c r="L3766" s="1">
        <v>56.95486825</v>
      </c>
      <c r="M3766" s="1">
        <v>24.1676608</v>
      </c>
    </row>
    <row r="3767">
      <c r="A3767" s="1" t="s">
        <v>13</v>
      </c>
      <c r="B3767" s="1" t="s">
        <v>38</v>
      </c>
      <c r="C3767" s="1" t="s">
        <v>357</v>
      </c>
      <c r="D3767" s="1">
        <v>1.0</v>
      </c>
      <c r="E3767" s="1">
        <v>46.0</v>
      </c>
      <c r="F3767" s="1">
        <v>5.0</v>
      </c>
      <c r="G3767" s="1">
        <v>24.0</v>
      </c>
      <c r="H3767" s="1" t="s">
        <v>32</v>
      </c>
      <c r="I3767" s="1" t="s">
        <v>122</v>
      </c>
      <c r="J3767" s="1" t="s">
        <v>18</v>
      </c>
      <c r="K3767" s="1">
        <v>390.0</v>
      </c>
      <c r="L3767" s="1">
        <v>56.95959205</v>
      </c>
      <c r="M3767" s="1">
        <v>24.0147522499219</v>
      </c>
    </row>
    <row r="3768">
      <c r="A3768" s="1" t="s">
        <v>22</v>
      </c>
      <c r="B3768" s="1" t="s">
        <v>23</v>
      </c>
      <c r="C3768" s="1" t="s">
        <v>1949</v>
      </c>
      <c r="D3768" s="1">
        <v>3.0</v>
      </c>
      <c r="E3768" s="1">
        <v>73.0</v>
      </c>
      <c r="F3768" s="1">
        <v>2.0</v>
      </c>
      <c r="G3768" s="1">
        <v>4.0</v>
      </c>
      <c r="H3768" s="1" t="s">
        <v>25</v>
      </c>
      <c r="I3768" s="1" t="s">
        <v>33</v>
      </c>
      <c r="J3768" s="1" t="s">
        <v>18</v>
      </c>
      <c r="K3768" s="1">
        <v>125000.0</v>
      </c>
      <c r="L3768" s="1">
        <v>56.9421782</v>
      </c>
      <c r="M3768" s="1">
        <v>24.1272241</v>
      </c>
    </row>
    <row r="3769">
      <c r="A3769" s="1" t="s">
        <v>13</v>
      </c>
      <c r="B3769" s="1" t="s">
        <v>23</v>
      </c>
      <c r="C3769" s="1" t="s">
        <v>213</v>
      </c>
      <c r="D3769" s="1">
        <v>2.0</v>
      </c>
      <c r="E3769" s="1">
        <v>42.0</v>
      </c>
      <c r="F3769" s="1">
        <v>4.0</v>
      </c>
      <c r="G3769" s="1">
        <v>6.0</v>
      </c>
      <c r="H3769" s="1" t="s">
        <v>44</v>
      </c>
      <c r="I3769" s="1" t="s">
        <v>37</v>
      </c>
      <c r="J3769" s="1" t="s">
        <v>18</v>
      </c>
      <c r="K3769" s="1">
        <v>380.0</v>
      </c>
      <c r="L3769" s="1">
        <v>56.97172205</v>
      </c>
      <c r="M3769" s="1">
        <v>24.1301309</v>
      </c>
    </row>
    <row r="3770">
      <c r="A3770" s="1" t="s">
        <v>13</v>
      </c>
      <c r="B3770" s="1" t="s">
        <v>19</v>
      </c>
      <c r="C3770" s="1" t="s">
        <v>604</v>
      </c>
      <c r="D3770" s="1">
        <v>2.0</v>
      </c>
      <c r="E3770" s="1">
        <v>53.0</v>
      </c>
      <c r="F3770" s="1">
        <v>6.0</v>
      </c>
      <c r="G3770" s="1">
        <v>16.0</v>
      </c>
      <c r="H3770" s="1">
        <v>104.0</v>
      </c>
      <c r="I3770" s="1" t="s">
        <v>21</v>
      </c>
      <c r="J3770" s="1" t="s">
        <v>18</v>
      </c>
      <c r="K3770" s="1">
        <v>340.0</v>
      </c>
      <c r="L3770" s="1">
        <v>56.90479835</v>
      </c>
      <c r="M3770" s="1">
        <v>24.0840152657105</v>
      </c>
    </row>
    <row r="3771">
      <c r="A3771" s="1" t="s">
        <v>13</v>
      </c>
      <c r="B3771" s="1" t="s">
        <v>104</v>
      </c>
      <c r="C3771" s="1" t="s">
        <v>2254</v>
      </c>
      <c r="D3771" s="1">
        <v>1.0</v>
      </c>
      <c r="E3771" s="1">
        <v>15.0</v>
      </c>
      <c r="F3771" s="1">
        <v>1.0</v>
      </c>
      <c r="G3771" s="1">
        <v>1.0</v>
      </c>
      <c r="H3771" s="1" t="s">
        <v>66</v>
      </c>
      <c r="I3771" s="1" t="s">
        <v>37</v>
      </c>
      <c r="J3771" s="1" t="s">
        <v>18</v>
      </c>
      <c r="K3771" s="1">
        <v>35.0</v>
      </c>
      <c r="L3771" s="1">
        <v>56.9319092</v>
      </c>
      <c r="M3771" s="1">
        <v>24.0700156</v>
      </c>
    </row>
    <row r="3772">
      <c r="A3772" s="1" t="s">
        <v>22</v>
      </c>
      <c r="B3772" s="1" t="s">
        <v>23</v>
      </c>
      <c r="C3772" s="1" t="s">
        <v>2255</v>
      </c>
      <c r="D3772" s="1">
        <v>2.0</v>
      </c>
      <c r="E3772" s="1">
        <v>59.0</v>
      </c>
      <c r="F3772" s="1">
        <v>3.0</v>
      </c>
      <c r="G3772" s="1">
        <v>5.0</v>
      </c>
      <c r="H3772" s="1" t="s">
        <v>66</v>
      </c>
      <c r="I3772" s="1" t="s">
        <v>33</v>
      </c>
      <c r="J3772" s="1" t="s">
        <v>18</v>
      </c>
      <c r="K3772" s="1">
        <v>154000.0</v>
      </c>
      <c r="L3772" s="1">
        <v>56.9615303</v>
      </c>
      <c r="M3772" s="1">
        <v>24.1029165958718</v>
      </c>
    </row>
    <row r="3773">
      <c r="A3773" s="1" t="s">
        <v>13</v>
      </c>
      <c r="B3773" s="1" t="s">
        <v>48</v>
      </c>
      <c r="C3773" s="1" t="s">
        <v>2256</v>
      </c>
      <c r="D3773" s="1">
        <v>1.0</v>
      </c>
      <c r="E3773" s="1">
        <v>45.0</v>
      </c>
      <c r="F3773" s="1">
        <v>5.0</v>
      </c>
      <c r="G3773" s="1">
        <v>5.0</v>
      </c>
      <c r="H3773" s="1" t="s">
        <v>32</v>
      </c>
      <c r="I3773" s="1" t="s">
        <v>17</v>
      </c>
      <c r="J3773" s="1" t="s">
        <v>18</v>
      </c>
      <c r="K3773" s="1">
        <v>340.0</v>
      </c>
      <c r="L3773" s="1">
        <v>56.9541725</v>
      </c>
      <c r="M3773" s="1">
        <v>24.2443253</v>
      </c>
    </row>
    <row r="3774">
      <c r="A3774" s="1" t="s">
        <v>22</v>
      </c>
      <c r="B3774" s="1" t="s">
        <v>23</v>
      </c>
      <c r="C3774" s="1" t="s">
        <v>2257</v>
      </c>
      <c r="D3774" s="1">
        <v>4.0</v>
      </c>
      <c r="E3774" s="1">
        <v>69.0</v>
      </c>
      <c r="F3774" s="1">
        <v>2.0</v>
      </c>
      <c r="G3774" s="1">
        <v>5.0</v>
      </c>
      <c r="H3774" s="1" t="s">
        <v>44</v>
      </c>
      <c r="I3774" s="1" t="s">
        <v>37</v>
      </c>
      <c r="J3774" s="1" t="s">
        <v>18</v>
      </c>
      <c r="K3774" s="1">
        <v>93000.0</v>
      </c>
      <c r="L3774" s="1">
        <v>56.97070465</v>
      </c>
      <c r="M3774" s="1">
        <v>24.1320688374732</v>
      </c>
    </row>
    <row r="3775">
      <c r="A3775" s="1" t="s">
        <v>89</v>
      </c>
      <c r="B3775" s="1" t="s">
        <v>14</v>
      </c>
      <c r="C3775" s="2"/>
      <c r="D3775" s="1">
        <v>2.0</v>
      </c>
      <c r="E3775" s="2"/>
      <c r="F3775" s="2"/>
      <c r="G3775" s="2"/>
      <c r="H3775" s="2"/>
      <c r="I3775" s="2"/>
      <c r="J3775" s="2"/>
      <c r="K3775" s="2"/>
      <c r="L3775" s="1">
        <v>46.3144754</v>
      </c>
      <c r="M3775" s="1">
        <v>11.0480288</v>
      </c>
    </row>
    <row r="3776">
      <c r="A3776" s="1" t="s">
        <v>13</v>
      </c>
      <c r="B3776" s="1" t="s">
        <v>74</v>
      </c>
      <c r="C3776" s="1" t="s">
        <v>2258</v>
      </c>
      <c r="D3776" s="1">
        <v>2.0</v>
      </c>
      <c r="E3776" s="1">
        <v>72.0</v>
      </c>
      <c r="F3776" s="1">
        <v>1.0</v>
      </c>
      <c r="G3776" s="1">
        <v>10.0</v>
      </c>
      <c r="H3776" s="1" t="s">
        <v>32</v>
      </c>
      <c r="I3776" s="1" t="s">
        <v>122</v>
      </c>
      <c r="J3776" s="1" t="s">
        <v>18</v>
      </c>
      <c r="K3776" s="1">
        <v>450.0</v>
      </c>
      <c r="L3776" s="1" t="s">
        <v>40</v>
      </c>
      <c r="M3776" s="1" t="s">
        <v>40</v>
      </c>
    </row>
    <row r="3777">
      <c r="A3777" s="1" t="s">
        <v>22</v>
      </c>
      <c r="B3777" s="1" t="s">
        <v>52</v>
      </c>
      <c r="C3777" s="1" t="s">
        <v>175</v>
      </c>
      <c r="D3777" s="1">
        <v>3.0</v>
      </c>
      <c r="E3777" s="1">
        <v>75.0</v>
      </c>
      <c r="F3777" s="1">
        <v>2.0</v>
      </c>
      <c r="G3777" s="1">
        <v>9.0</v>
      </c>
      <c r="H3777" s="1">
        <v>119.0</v>
      </c>
      <c r="I3777" s="1" t="s">
        <v>122</v>
      </c>
      <c r="J3777" s="1" t="s">
        <v>18</v>
      </c>
      <c r="K3777" s="1">
        <v>63500.0</v>
      </c>
      <c r="L3777" s="1">
        <v>56.9484028</v>
      </c>
      <c r="M3777" s="1">
        <v>24.0020688644395</v>
      </c>
    </row>
    <row r="3778">
      <c r="A3778" s="1" t="s">
        <v>13</v>
      </c>
      <c r="B3778" s="1" t="s">
        <v>23</v>
      </c>
      <c r="C3778" s="1" t="s">
        <v>2259</v>
      </c>
      <c r="D3778" s="1">
        <v>2.0</v>
      </c>
      <c r="E3778" s="1">
        <v>45.0</v>
      </c>
      <c r="F3778" s="1">
        <v>4.0</v>
      </c>
      <c r="G3778" s="1">
        <v>4.0</v>
      </c>
      <c r="H3778" s="1" t="s">
        <v>66</v>
      </c>
      <c r="I3778" s="1" t="s">
        <v>17</v>
      </c>
      <c r="J3778" s="1" t="s">
        <v>18</v>
      </c>
      <c r="K3778" s="1">
        <v>420.0</v>
      </c>
      <c r="L3778" s="1">
        <v>56.95248815</v>
      </c>
      <c r="M3778" s="1">
        <v>24.1277692109479</v>
      </c>
    </row>
    <row r="3779">
      <c r="A3779" s="1" t="s">
        <v>22</v>
      </c>
      <c r="B3779" s="1" t="s">
        <v>218</v>
      </c>
      <c r="C3779" s="1" t="s">
        <v>709</v>
      </c>
      <c r="D3779" s="1">
        <v>3.0</v>
      </c>
      <c r="E3779" s="1">
        <v>91.0</v>
      </c>
      <c r="F3779" s="1">
        <v>2.0</v>
      </c>
      <c r="G3779" s="1">
        <v>6.0</v>
      </c>
      <c r="H3779" s="1" t="s">
        <v>32</v>
      </c>
      <c r="I3779" s="1" t="s">
        <v>122</v>
      </c>
      <c r="J3779" s="1" t="s">
        <v>18</v>
      </c>
      <c r="K3779" s="1">
        <v>198000.0</v>
      </c>
      <c r="L3779" s="1">
        <v>56.9443781</v>
      </c>
      <c r="M3779" s="1">
        <v>24.1105085</v>
      </c>
    </row>
    <row r="3780">
      <c r="A3780" s="1" t="s">
        <v>22</v>
      </c>
      <c r="B3780" s="1" t="s">
        <v>19</v>
      </c>
      <c r="C3780" s="1" t="s">
        <v>1866</v>
      </c>
      <c r="D3780" s="1">
        <v>2.0</v>
      </c>
      <c r="E3780" s="1">
        <v>63.0</v>
      </c>
      <c r="F3780" s="1">
        <v>3.0</v>
      </c>
      <c r="G3780" s="1">
        <v>6.0</v>
      </c>
      <c r="H3780" s="1" t="s">
        <v>32</v>
      </c>
      <c r="I3780" s="1" t="s">
        <v>33</v>
      </c>
      <c r="J3780" s="1" t="s">
        <v>18</v>
      </c>
      <c r="K3780" s="1">
        <v>81900.0</v>
      </c>
      <c r="L3780" s="1">
        <v>56.912781</v>
      </c>
      <c r="M3780" s="1">
        <v>24.1191914534271</v>
      </c>
    </row>
    <row r="3781">
      <c r="A3781" s="1" t="s">
        <v>22</v>
      </c>
      <c r="B3781" s="1" t="s">
        <v>23</v>
      </c>
      <c r="C3781" s="1" t="s">
        <v>2260</v>
      </c>
      <c r="D3781" s="1">
        <v>6.0</v>
      </c>
      <c r="E3781" s="1">
        <v>150.0</v>
      </c>
      <c r="F3781" s="1">
        <v>6.0</v>
      </c>
      <c r="G3781" s="1">
        <v>7.0</v>
      </c>
      <c r="H3781" s="1" t="s">
        <v>25</v>
      </c>
      <c r="I3781" s="1" t="s">
        <v>33</v>
      </c>
      <c r="J3781" s="1" t="s">
        <v>18</v>
      </c>
      <c r="K3781" s="1">
        <v>219000.0</v>
      </c>
      <c r="L3781" s="1">
        <v>56.9512368</v>
      </c>
      <c r="M3781" s="1">
        <v>24.1334549</v>
      </c>
    </row>
    <row r="3782">
      <c r="A3782" s="1" t="s">
        <v>22</v>
      </c>
      <c r="B3782" s="1" t="s">
        <v>30</v>
      </c>
      <c r="C3782" s="1" t="s">
        <v>2261</v>
      </c>
      <c r="D3782" s="1">
        <v>2.0</v>
      </c>
      <c r="E3782" s="1">
        <v>42.0</v>
      </c>
      <c r="F3782" s="1">
        <v>4.0</v>
      </c>
      <c r="G3782" s="1">
        <v>5.0</v>
      </c>
      <c r="H3782" s="1" t="s">
        <v>44</v>
      </c>
      <c r="I3782" s="1" t="s">
        <v>17</v>
      </c>
      <c r="J3782" s="1" t="s">
        <v>18</v>
      </c>
      <c r="K3782" s="1">
        <v>65000.0</v>
      </c>
      <c r="L3782" s="1">
        <v>56.9789092</v>
      </c>
      <c r="M3782" s="1">
        <v>24.1716196999999</v>
      </c>
    </row>
    <row r="3783">
      <c r="A3783" s="1" t="s">
        <v>13</v>
      </c>
      <c r="B3783" s="1" t="s">
        <v>23</v>
      </c>
      <c r="C3783" s="1" t="s">
        <v>91</v>
      </c>
      <c r="D3783" s="1">
        <v>5.0</v>
      </c>
      <c r="E3783" s="1">
        <v>120.0</v>
      </c>
      <c r="F3783" s="1">
        <v>5.0</v>
      </c>
      <c r="G3783" s="1">
        <v>6.0</v>
      </c>
      <c r="H3783" s="1" t="s">
        <v>32</v>
      </c>
      <c r="I3783" s="1" t="s">
        <v>33</v>
      </c>
      <c r="J3783" s="1" t="s">
        <v>18</v>
      </c>
      <c r="K3783" s="1">
        <v>1000.0</v>
      </c>
      <c r="L3783" s="1">
        <v>56.9552522</v>
      </c>
      <c r="M3783" s="1">
        <v>24.0999991251943</v>
      </c>
    </row>
    <row r="3784">
      <c r="A3784" s="1" t="s">
        <v>13</v>
      </c>
      <c r="B3784" s="1" t="s">
        <v>28</v>
      </c>
      <c r="C3784" s="1" t="s">
        <v>638</v>
      </c>
      <c r="D3784" s="1">
        <v>1.0</v>
      </c>
      <c r="E3784" s="1">
        <v>22.0</v>
      </c>
      <c r="F3784" s="1">
        <v>3.0</v>
      </c>
      <c r="G3784" s="1">
        <v>5.0</v>
      </c>
      <c r="H3784" s="1" t="s">
        <v>66</v>
      </c>
      <c r="I3784" s="1" t="s">
        <v>37</v>
      </c>
      <c r="J3784" s="1" t="s">
        <v>18</v>
      </c>
      <c r="K3784" s="1">
        <v>280.0</v>
      </c>
      <c r="L3784" s="1">
        <v>56.8597884</v>
      </c>
      <c r="M3784" s="1">
        <v>24.3083417</v>
      </c>
    </row>
    <row r="3785">
      <c r="A3785" s="1" t="s">
        <v>13</v>
      </c>
      <c r="B3785" s="1" t="s">
        <v>23</v>
      </c>
      <c r="C3785" s="1" t="s">
        <v>1966</v>
      </c>
      <c r="D3785" s="1">
        <v>2.0</v>
      </c>
      <c r="E3785" s="1">
        <v>60.0</v>
      </c>
      <c r="F3785" s="1">
        <v>3.0</v>
      </c>
      <c r="G3785" s="1">
        <v>5.0</v>
      </c>
      <c r="H3785" s="1" t="s">
        <v>25</v>
      </c>
      <c r="I3785" s="1" t="s">
        <v>33</v>
      </c>
      <c r="J3785" s="1" t="s">
        <v>18</v>
      </c>
      <c r="K3785" s="1">
        <v>500.0</v>
      </c>
      <c r="L3785" s="1">
        <v>56.9606867</v>
      </c>
      <c r="M3785" s="1">
        <v>24.1035085</v>
      </c>
    </row>
    <row r="3786">
      <c r="A3786" s="1" t="s">
        <v>13</v>
      </c>
      <c r="B3786" s="1" t="s">
        <v>218</v>
      </c>
      <c r="C3786" s="1" t="s">
        <v>1637</v>
      </c>
      <c r="D3786" s="1">
        <v>4.0</v>
      </c>
      <c r="E3786" s="1">
        <v>105.0</v>
      </c>
      <c r="F3786" s="1">
        <v>5.0</v>
      </c>
      <c r="G3786" s="1">
        <v>5.0</v>
      </c>
      <c r="H3786" s="1" t="s">
        <v>25</v>
      </c>
      <c r="I3786" s="1" t="s">
        <v>37</v>
      </c>
      <c r="J3786" s="1" t="s">
        <v>18</v>
      </c>
      <c r="K3786" s="1">
        <v>49.0</v>
      </c>
      <c r="L3786" s="1">
        <v>56.9483908</v>
      </c>
      <c r="M3786" s="1">
        <v>24.110708262171</v>
      </c>
    </row>
    <row r="3787">
      <c r="A3787" s="1" t="s">
        <v>13</v>
      </c>
      <c r="B3787" s="1" t="s">
        <v>48</v>
      </c>
      <c r="C3787" s="1" t="s">
        <v>365</v>
      </c>
      <c r="D3787" s="1">
        <v>1.0</v>
      </c>
      <c r="E3787" s="1">
        <v>32.0</v>
      </c>
      <c r="F3787" s="1">
        <v>1.0</v>
      </c>
      <c r="G3787" s="1">
        <v>5.0</v>
      </c>
      <c r="H3787" s="1" t="s">
        <v>32</v>
      </c>
      <c r="I3787" s="1" t="s">
        <v>21</v>
      </c>
      <c r="J3787" s="1" t="s">
        <v>18</v>
      </c>
      <c r="K3787" s="1">
        <v>330.0</v>
      </c>
      <c r="L3787" s="1">
        <v>56.95546705</v>
      </c>
      <c r="M3787" s="1">
        <v>24.24181865</v>
      </c>
    </row>
    <row r="3788">
      <c r="A3788" s="1" t="s">
        <v>22</v>
      </c>
      <c r="B3788" s="1" t="s">
        <v>23</v>
      </c>
      <c r="C3788" s="1" t="s">
        <v>91</v>
      </c>
      <c r="D3788" s="1">
        <v>2.0</v>
      </c>
      <c r="E3788" s="1">
        <v>63.0</v>
      </c>
      <c r="F3788" s="1">
        <v>2.0</v>
      </c>
      <c r="G3788" s="1">
        <v>7.0</v>
      </c>
      <c r="H3788" s="1" t="s">
        <v>32</v>
      </c>
      <c r="I3788" s="1" t="s">
        <v>33</v>
      </c>
      <c r="J3788" s="1" t="s">
        <v>18</v>
      </c>
      <c r="K3788" s="1">
        <v>120000.0</v>
      </c>
      <c r="L3788" s="1">
        <v>56.9552522</v>
      </c>
      <c r="M3788" s="1">
        <v>24.0999991251943</v>
      </c>
    </row>
    <row r="3789">
      <c r="A3789" s="1" t="s">
        <v>22</v>
      </c>
      <c r="B3789" s="1" t="s">
        <v>23</v>
      </c>
      <c r="C3789" s="1" t="s">
        <v>2262</v>
      </c>
      <c r="D3789" s="1">
        <v>2.0</v>
      </c>
      <c r="E3789" s="1">
        <v>60.0</v>
      </c>
      <c r="F3789" s="1">
        <v>3.0</v>
      </c>
      <c r="G3789" s="1">
        <v>5.0</v>
      </c>
      <c r="H3789" s="1" t="s">
        <v>25</v>
      </c>
      <c r="I3789" s="1" t="s">
        <v>33</v>
      </c>
      <c r="J3789" s="1" t="s">
        <v>18</v>
      </c>
      <c r="K3789" s="1">
        <v>59000.0</v>
      </c>
      <c r="L3789" s="1">
        <v>56.95048825</v>
      </c>
      <c r="M3789" s="1">
        <v>24.1408536542459</v>
      </c>
    </row>
    <row r="3790">
      <c r="A3790" s="1" t="s">
        <v>22</v>
      </c>
      <c r="B3790" s="1" t="s">
        <v>28</v>
      </c>
      <c r="C3790" s="1" t="s">
        <v>2200</v>
      </c>
      <c r="D3790" s="1">
        <v>3.0</v>
      </c>
      <c r="E3790" s="1">
        <v>59.0</v>
      </c>
      <c r="F3790" s="1">
        <v>4.0</v>
      </c>
      <c r="G3790" s="1">
        <v>5.0</v>
      </c>
      <c r="H3790" s="1" t="s">
        <v>16</v>
      </c>
      <c r="I3790" s="1" t="s">
        <v>21</v>
      </c>
      <c r="J3790" s="1" t="s">
        <v>18</v>
      </c>
      <c r="K3790" s="1">
        <v>59500.0</v>
      </c>
      <c r="L3790" s="1">
        <v>56.9445851</v>
      </c>
      <c r="M3790" s="1">
        <v>24.1127805007715</v>
      </c>
    </row>
    <row r="3791">
      <c r="A3791" s="1" t="s">
        <v>13</v>
      </c>
      <c r="B3791" s="1" t="s">
        <v>74</v>
      </c>
      <c r="C3791" s="1" t="s">
        <v>2263</v>
      </c>
      <c r="D3791" s="1">
        <v>2.0</v>
      </c>
      <c r="E3791" s="1">
        <v>50.0</v>
      </c>
      <c r="F3791" s="1">
        <v>7.0</v>
      </c>
      <c r="G3791" s="1">
        <v>9.0</v>
      </c>
      <c r="H3791" s="1">
        <v>602.0</v>
      </c>
      <c r="I3791" s="1" t="s">
        <v>21</v>
      </c>
      <c r="J3791" s="1" t="s">
        <v>18</v>
      </c>
      <c r="K3791" s="1">
        <v>220.0</v>
      </c>
      <c r="L3791" s="1">
        <v>56.94383305</v>
      </c>
      <c r="M3791" s="1">
        <v>24.2108067490875</v>
      </c>
    </row>
    <row r="3792">
      <c r="A3792" s="1" t="s">
        <v>13</v>
      </c>
      <c r="B3792" s="1" t="s">
        <v>23</v>
      </c>
      <c r="C3792" s="1" t="s">
        <v>91</v>
      </c>
      <c r="D3792" s="1">
        <v>3.0</v>
      </c>
      <c r="E3792" s="1">
        <v>100.0</v>
      </c>
      <c r="F3792" s="1">
        <v>5.0</v>
      </c>
      <c r="G3792" s="1">
        <v>7.0</v>
      </c>
      <c r="H3792" s="1" t="s">
        <v>32</v>
      </c>
      <c r="I3792" s="1" t="s">
        <v>33</v>
      </c>
      <c r="J3792" s="1" t="s">
        <v>18</v>
      </c>
      <c r="K3792" s="1">
        <v>1000.0</v>
      </c>
      <c r="L3792" s="1">
        <v>56.9552522</v>
      </c>
      <c r="M3792" s="1">
        <v>24.0999991251943</v>
      </c>
    </row>
    <row r="3793">
      <c r="A3793" s="1" t="s">
        <v>13</v>
      </c>
      <c r="B3793" s="1" t="s">
        <v>218</v>
      </c>
      <c r="C3793" s="1" t="s">
        <v>458</v>
      </c>
      <c r="D3793" s="1">
        <v>1.0</v>
      </c>
      <c r="E3793" s="1">
        <v>33.0</v>
      </c>
      <c r="F3793" s="1">
        <v>2.0</v>
      </c>
      <c r="G3793" s="1">
        <v>4.0</v>
      </c>
      <c r="H3793" s="1" t="s">
        <v>25</v>
      </c>
      <c r="I3793" s="1" t="s">
        <v>33</v>
      </c>
      <c r="J3793" s="1" t="s">
        <v>18</v>
      </c>
      <c r="K3793" s="1">
        <v>35.0</v>
      </c>
      <c r="L3793" s="1">
        <v>56.94881585</v>
      </c>
      <c r="M3793" s="1">
        <v>24.1114738591085</v>
      </c>
    </row>
    <row r="3794">
      <c r="A3794" s="1" t="s">
        <v>22</v>
      </c>
      <c r="B3794" s="1" t="s">
        <v>14</v>
      </c>
      <c r="C3794" s="1" t="s">
        <v>487</v>
      </c>
      <c r="D3794" s="1">
        <v>1.0</v>
      </c>
      <c r="E3794" s="1">
        <v>15.0</v>
      </c>
      <c r="F3794" s="1">
        <v>5.0</v>
      </c>
      <c r="G3794" s="1">
        <v>5.0</v>
      </c>
      <c r="H3794" s="1" t="s">
        <v>36</v>
      </c>
      <c r="I3794" s="1" t="s">
        <v>17</v>
      </c>
      <c r="J3794" s="1" t="s">
        <v>18</v>
      </c>
      <c r="K3794" s="1">
        <v>12900.0</v>
      </c>
      <c r="L3794" s="1">
        <v>56.9685701</v>
      </c>
      <c r="M3794" s="1">
        <v>24.1819824</v>
      </c>
    </row>
    <row r="3795">
      <c r="A3795" s="1" t="s">
        <v>89</v>
      </c>
      <c r="B3795" s="2"/>
      <c r="C3795" s="2"/>
      <c r="D3795" s="1">
        <v>2.0</v>
      </c>
      <c r="E3795" s="2"/>
      <c r="F3795" s="2"/>
      <c r="G3795" s="2"/>
      <c r="H3795" s="2"/>
      <c r="I3795" s="2"/>
      <c r="J3795" s="1" t="s">
        <v>18</v>
      </c>
      <c r="K3795" s="2"/>
      <c r="L3795" s="1">
        <v>46.3144754</v>
      </c>
      <c r="M3795" s="1">
        <v>11.0480288</v>
      </c>
    </row>
    <row r="3796">
      <c r="A3796" s="1" t="s">
        <v>22</v>
      </c>
      <c r="B3796" s="1" t="s">
        <v>28</v>
      </c>
      <c r="C3796" s="1" t="s">
        <v>2264</v>
      </c>
      <c r="D3796" s="1">
        <v>2.0</v>
      </c>
      <c r="E3796" s="1">
        <v>43.0</v>
      </c>
      <c r="F3796" s="1">
        <v>1.0</v>
      </c>
      <c r="G3796" s="1">
        <v>3.0</v>
      </c>
      <c r="H3796" s="1" t="s">
        <v>44</v>
      </c>
      <c r="I3796" s="1" t="s">
        <v>37</v>
      </c>
      <c r="J3796" s="1" t="s">
        <v>18</v>
      </c>
      <c r="K3796" s="1">
        <v>44300.0</v>
      </c>
      <c r="L3796" s="1">
        <v>56.93312415</v>
      </c>
      <c r="M3796" s="1">
        <v>24.1663403474826</v>
      </c>
    </row>
    <row r="3797">
      <c r="A3797" s="1" t="s">
        <v>22</v>
      </c>
      <c r="B3797" s="1" t="s">
        <v>23</v>
      </c>
      <c r="C3797" s="1" t="s">
        <v>2265</v>
      </c>
      <c r="D3797" s="1">
        <v>3.0</v>
      </c>
      <c r="E3797" s="1">
        <v>93.0</v>
      </c>
      <c r="F3797" s="1">
        <v>4.0</v>
      </c>
      <c r="G3797" s="1">
        <v>7.0</v>
      </c>
      <c r="H3797" s="1" t="s">
        <v>66</v>
      </c>
      <c r="I3797" s="1" t="s">
        <v>37</v>
      </c>
      <c r="J3797" s="1" t="s">
        <v>18</v>
      </c>
      <c r="K3797" s="1">
        <v>230000.0</v>
      </c>
      <c r="L3797" s="1">
        <v>56.9542026</v>
      </c>
      <c r="M3797" s="1">
        <v>24.1195653969924</v>
      </c>
    </row>
    <row r="3798">
      <c r="A3798" s="1" t="s">
        <v>22</v>
      </c>
      <c r="B3798" s="1" t="s">
        <v>23</v>
      </c>
      <c r="C3798" s="1" t="s">
        <v>1494</v>
      </c>
      <c r="D3798" s="1">
        <v>3.0</v>
      </c>
      <c r="E3798" s="1">
        <v>72.0</v>
      </c>
      <c r="F3798" s="1">
        <v>4.0</v>
      </c>
      <c r="G3798" s="1">
        <v>7.0</v>
      </c>
      <c r="H3798" s="1" t="s">
        <v>25</v>
      </c>
      <c r="I3798" s="1" t="s">
        <v>33</v>
      </c>
      <c r="J3798" s="1" t="s">
        <v>18</v>
      </c>
      <c r="K3798" s="1">
        <v>159000.0</v>
      </c>
      <c r="L3798" s="1">
        <v>56.9564335</v>
      </c>
      <c r="M3798" s="1">
        <v>24.1285032</v>
      </c>
    </row>
    <row r="3799">
      <c r="A3799" s="1" t="s">
        <v>22</v>
      </c>
      <c r="B3799" s="1" t="s">
        <v>60</v>
      </c>
      <c r="C3799" s="1" t="s">
        <v>854</v>
      </c>
      <c r="D3799" s="1">
        <v>2.0</v>
      </c>
      <c r="E3799" s="1">
        <v>49.0</v>
      </c>
      <c r="F3799" s="1">
        <v>4.0</v>
      </c>
      <c r="G3799" s="1">
        <v>5.0</v>
      </c>
      <c r="H3799" s="1" t="s">
        <v>16</v>
      </c>
      <c r="I3799" s="1" t="s">
        <v>21</v>
      </c>
      <c r="J3799" s="1" t="s">
        <v>18</v>
      </c>
      <c r="K3799" s="1">
        <v>34000.0</v>
      </c>
      <c r="L3799" s="1">
        <v>57.03099005</v>
      </c>
      <c r="M3799" s="1">
        <v>24.0574072</v>
      </c>
    </row>
    <row r="3800">
      <c r="A3800" s="1" t="s">
        <v>22</v>
      </c>
      <c r="B3800" s="1" t="s">
        <v>42</v>
      </c>
      <c r="C3800" s="1" t="s">
        <v>2266</v>
      </c>
      <c r="D3800" s="1">
        <v>2.0</v>
      </c>
      <c r="E3800" s="1">
        <v>43.0</v>
      </c>
      <c r="F3800" s="1">
        <v>2.0</v>
      </c>
      <c r="G3800" s="1">
        <v>5.0</v>
      </c>
      <c r="H3800" s="1" t="s">
        <v>16</v>
      </c>
      <c r="I3800" s="1" t="s">
        <v>21</v>
      </c>
      <c r="J3800" s="1" t="s">
        <v>18</v>
      </c>
      <c r="K3800" s="1">
        <v>40000.0</v>
      </c>
      <c r="L3800" s="1">
        <v>56.9826782</v>
      </c>
      <c r="M3800" s="1">
        <v>24.2406588</v>
      </c>
    </row>
    <row r="3801">
      <c r="A3801" s="1" t="s">
        <v>22</v>
      </c>
      <c r="B3801" s="1" t="s">
        <v>74</v>
      </c>
      <c r="C3801" s="1" t="s">
        <v>2267</v>
      </c>
      <c r="D3801" s="1">
        <v>1.0</v>
      </c>
      <c r="E3801" s="1">
        <v>31.0</v>
      </c>
      <c r="F3801" s="1">
        <v>8.0</v>
      </c>
      <c r="G3801" s="1">
        <v>9.0</v>
      </c>
      <c r="H3801" s="1">
        <v>602.0</v>
      </c>
      <c r="I3801" s="1" t="s">
        <v>21</v>
      </c>
      <c r="J3801" s="1" t="s">
        <v>18</v>
      </c>
      <c r="K3801" s="1">
        <v>36000.0</v>
      </c>
      <c r="L3801" s="1">
        <v>56.9413998499999</v>
      </c>
      <c r="M3801" s="1">
        <v>24.2011163184007</v>
      </c>
    </row>
    <row r="3802">
      <c r="A3802" s="1" t="s">
        <v>22</v>
      </c>
      <c r="B3802" s="1" t="s">
        <v>422</v>
      </c>
      <c r="C3802" s="1" t="s">
        <v>1596</v>
      </c>
      <c r="D3802" s="1">
        <v>4.0</v>
      </c>
      <c r="E3802" s="1">
        <v>152.0</v>
      </c>
      <c r="F3802" s="1">
        <v>4.0</v>
      </c>
      <c r="G3802" s="1">
        <v>6.0</v>
      </c>
      <c r="H3802" s="1" t="s">
        <v>36</v>
      </c>
      <c r="I3802" s="1" t="s">
        <v>17</v>
      </c>
      <c r="J3802" s="1" t="s">
        <v>18</v>
      </c>
      <c r="K3802" s="1">
        <v>195000.0</v>
      </c>
      <c r="L3802" s="1">
        <v>56.9394231</v>
      </c>
      <c r="M3802" s="1">
        <v>24.0359489118193</v>
      </c>
    </row>
    <row r="3803">
      <c r="A3803" s="1" t="s">
        <v>22</v>
      </c>
      <c r="B3803" s="1" t="s">
        <v>45</v>
      </c>
      <c r="C3803" s="1" t="s">
        <v>2268</v>
      </c>
      <c r="D3803" s="1">
        <v>1.0</v>
      </c>
      <c r="E3803" s="1">
        <v>27.0</v>
      </c>
      <c r="F3803" s="1">
        <v>2.0</v>
      </c>
      <c r="G3803" s="1">
        <v>2.0</v>
      </c>
      <c r="H3803" s="1" t="s">
        <v>25</v>
      </c>
      <c r="I3803" s="1" t="s">
        <v>37</v>
      </c>
      <c r="J3803" s="1" t="s">
        <v>27</v>
      </c>
      <c r="K3803" s="1">
        <v>16000.0</v>
      </c>
      <c r="L3803" s="1">
        <v>57.02046865</v>
      </c>
      <c r="M3803" s="1">
        <v>24.1297199371058</v>
      </c>
    </row>
    <row r="3804">
      <c r="A3804" s="1" t="s">
        <v>22</v>
      </c>
      <c r="B3804" s="1" t="s">
        <v>52</v>
      </c>
      <c r="C3804" s="1" t="s">
        <v>1326</v>
      </c>
      <c r="D3804" s="1">
        <v>4.0</v>
      </c>
      <c r="E3804" s="1">
        <v>91.0</v>
      </c>
      <c r="F3804" s="1">
        <v>7.0</v>
      </c>
      <c r="G3804" s="1">
        <v>9.0</v>
      </c>
      <c r="H3804" s="1">
        <v>119.0</v>
      </c>
      <c r="I3804" s="1" t="s">
        <v>21</v>
      </c>
      <c r="J3804" s="1" t="s">
        <v>18</v>
      </c>
      <c r="K3804" s="1">
        <v>83000.0</v>
      </c>
      <c r="L3804" s="1">
        <v>56.94224055</v>
      </c>
      <c r="M3804" s="1">
        <v>24.0060845759065</v>
      </c>
    </row>
    <row r="3805">
      <c r="A3805" s="1" t="s">
        <v>22</v>
      </c>
      <c r="B3805" s="1" t="s">
        <v>96</v>
      </c>
      <c r="C3805" s="1" t="s">
        <v>1647</v>
      </c>
      <c r="D3805" s="1">
        <v>2.0</v>
      </c>
      <c r="E3805" s="1">
        <v>42.0</v>
      </c>
      <c r="F3805" s="1">
        <v>2.0</v>
      </c>
      <c r="G3805" s="1">
        <v>4.0</v>
      </c>
      <c r="H3805" s="1" t="s">
        <v>44</v>
      </c>
      <c r="I3805" s="1" t="s">
        <v>37</v>
      </c>
      <c r="J3805" s="1" t="s">
        <v>18</v>
      </c>
      <c r="K3805" s="1">
        <v>27500.0</v>
      </c>
      <c r="L3805" s="1">
        <v>57.0301906</v>
      </c>
      <c r="M3805" s="1">
        <v>24.09970765</v>
      </c>
    </row>
    <row r="3806">
      <c r="A3806" s="1" t="s">
        <v>131</v>
      </c>
      <c r="B3806" s="1" t="s">
        <v>19</v>
      </c>
      <c r="C3806" s="2"/>
      <c r="D3806" s="1">
        <v>1.0</v>
      </c>
      <c r="E3806" s="2"/>
      <c r="F3806" s="2"/>
      <c r="G3806" s="2"/>
      <c r="H3806" s="2"/>
      <c r="I3806" s="2"/>
      <c r="J3806" s="1" t="s">
        <v>18</v>
      </c>
      <c r="K3806" s="2"/>
      <c r="L3806" s="1">
        <v>46.3144754</v>
      </c>
      <c r="M3806" s="1">
        <v>11.0480288</v>
      </c>
    </row>
    <row r="3807">
      <c r="A3807" s="1" t="s">
        <v>22</v>
      </c>
      <c r="B3807" s="1" t="s">
        <v>441</v>
      </c>
      <c r="C3807" s="1" t="s">
        <v>442</v>
      </c>
      <c r="D3807" s="1">
        <v>2.0</v>
      </c>
      <c r="E3807" s="1">
        <v>44.0</v>
      </c>
      <c r="F3807" s="1">
        <v>2.0</v>
      </c>
      <c r="G3807" s="1">
        <v>2.0</v>
      </c>
      <c r="H3807" s="1" t="s">
        <v>36</v>
      </c>
      <c r="I3807" s="1" t="s">
        <v>26</v>
      </c>
      <c r="J3807" s="1" t="s">
        <v>18</v>
      </c>
      <c r="K3807" s="1">
        <v>11790.0</v>
      </c>
      <c r="L3807" s="1">
        <v>57.034118</v>
      </c>
      <c r="M3807" s="1">
        <v>24.1267927</v>
      </c>
    </row>
    <row r="3808">
      <c r="A3808" s="1" t="s">
        <v>13</v>
      </c>
      <c r="B3808" s="1" t="s">
        <v>23</v>
      </c>
      <c r="C3808" s="1" t="s">
        <v>2269</v>
      </c>
      <c r="D3808" s="1">
        <v>4.0</v>
      </c>
      <c r="E3808" s="1">
        <v>120.0</v>
      </c>
      <c r="F3808" s="1">
        <v>1.0</v>
      </c>
      <c r="G3808" s="1">
        <v>3.0</v>
      </c>
      <c r="H3808" s="1" t="s">
        <v>66</v>
      </c>
      <c r="I3808" s="1" t="s">
        <v>33</v>
      </c>
      <c r="J3808" s="1" t="s">
        <v>18</v>
      </c>
      <c r="K3808" s="1">
        <v>1350.0</v>
      </c>
      <c r="L3808" s="1">
        <v>56.9566456</v>
      </c>
      <c r="M3808" s="1">
        <v>24.1107022</v>
      </c>
    </row>
    <row r="3809">
      <c r="A3809" s="1" t="s">
        <v>89</v>
      </c>
      <c r="B3809" s="1" t="s">
        <v>23</v>
      </c>
      <c r="C3809" s="2"/>
      <c r="D3809" s="2"/>
      <c r="E3809" s="2"/>
      <c r="F3809" s="2"/>
      <c r="G3809" s="2"/>
      <c r="H3809" s="2"/>
      <c r="I3809" s="2"/>
      <c r="J3809" s="2"/>
      <c r="K3809" s="2"/>
      <c r="L3809" s="1">
        <v>46.3144754</v>
      </c>
      <c r="M3809" s="1">
        <v>11.0480288</v>
      </c>
    </row>
    <row r="3810">
      <c r="A3810" s="1" t="s">
        <v>89</v>
      </c>
      <c r="B3810" s="1" t="s">
        <v>52</v>
      </c>
      <c r="C3810" s="2"/>
      <c r="D3810" s="2"/>
      <c r="E3810" s="2"/>
      <c r="F3810" s="2"/>
      <c r="G3810" s="2"/>
      <c r="H3810" s="2"/>
      <c r="I3810" s="2"/>
      <c r="J3810" s="2"/>
      <c r="K3810" s="2"/>
      <c r="L3810" s="1">
        <v>46.3144754</v>
      </c>
      <c r="M3810" s="1">
        <v>11.0480288</v>
      </c>
    </row>
    <row r="3811">
      <c r="A3811" s="1" t="s">
        <v>89</v>
      </c>
      <c r="B3811" s="1" t="s">
        <v>38</v>
      </c>
      <c r="C3811" s="2"/>
      <c r="D3811" s="2"/>
      <c r="E3811" s="2"/>
      <c r="F3811" s="2"/>
      <c r="G3811" s="2"/>
      <c r="H3811" s="2"/>
      <c r="I3811" s="2"/>
      <c r="J3811" s="2"/>
      <c r="K3811" s="2"/>
      <c r="L3811" s="1">
        <v>46.3144754</v>
      </c>
      <c r="M3811" s="1">
        <v>11.0480288</v>
      </c>
    </row>
    <row r="3812">
      <c r="A3812" s="1" t="s">
        <v>22</v>
      </c>
      <c r="B3812" s="1" t="s">
        <v>48</v>
      </c>
      <c r="C3812" s="1" t="s">
        <v>2270</v>
      </c>
      <c r="D3812" s="1">
        <v>4.0</v>
      </c>
      <c r="E3812" s="1">
        <v>93.0</v>
      </c>
      <c r="F3812" s="1">
        <v>2.0</v>
      </c>
      <c r="G3812" s="1">
        <v>5.0</v>
      </c>
      <c r="H3812" s="1" t="s">
        <v>32</v>
      </c>
      <c r="I3812" s="1" t="s">
        <v>21</v>
      </c>
      <c r="J3812" s="1" t="s">
        <v>18</v>
      </c>
      <c r="K3812" s="1">
        <v>112000.0</v>
      </c>
      <c r="L3812" s="1">
        <v>56.9541725</v>
      </c>
      <c r="M3812" s="1">
        <v>24.2443253</v>
      </c>
    </row>
    <row r="3813">
      <c r="A3813" s="1" t="s">
        <v>13</v>
      </c>
      <c r="B3813" s="1" t="s">
        <v>23</v>
      </c>
      <c r="C3813" s="1" t="s">
        <v>539</v>
      </c>
      <c r="D3813" s="1">
        <v>3.0</v>
      </c>
      <c r="E3813" s="1">
        <v>71.0</v>
      </c>
      <c r="F3813" s="1">
        <v>6.0</v>
      </c>
      <c r="G3813" s="1">
        <v>6.0</v>
      </c>
      <c r="H3813" s="1" t="s">
        <v>66</v>
      </c>
      <c r="I3813" s="1" t="s">
        <v>33</v>
      </c>
      <c r="J3813" s="1" t="s">
        <v>18</v>
      </c>
      <c r="K3813" s="1">
        <v>520.0</v>
      </c>
      <c r="L3813" s="1">
        <v>56.9626863</v>
      </c>
      <c r="M3813" s="1">
        <v>24.1480584</v>
      </c>
    </row>
    <row r="3814">
      <c r="A3814" s="1" t="s">
        <v>13</v>
      </c>
      <c r="B3814" s="1" t="s">
        <v>23</v>
      </c>
      <c r="C3814" s="1" t="s">
        <v>1115</v>
      </c>
      <c r="D3814" s="1">
        <v>3.0</v>
      </c>
      <c r="E3814" s="1">
        <v>75.0</v>
      </c>
      <c r="F3814" s="1">
        <v>4.0</v>
      </c>
      <c r="G3814" s="1">
        <v>6.0</v>
      </c>
      <c r="H3814" s="1" t="s">
        <v>66</v>
      </c>
      <c r="I3814" s="1" t="s">
        <v>33</v>
      </c>
      <c r="J3814" s="1" t="s">
        <v>18</v>
      </c>
      <c r="K3814" s="1">
        <v>520.0</v>
      </c>
      <c r="L3814" s="1">
        <v>56.9590876</v>
      </c>
      <c r="M3814" s="1">
        <v>24.1412317647326</v>
      </c>
    </row>
    <row r="3815">
      <c r="A3815" s="1" t="s">
        <v>13</v>
      </c>
      <c r="B3815" s="1" t="s">
        <v>23</v>
      </c>
      <c r="C3815" s="1" t="s">
        <v>2271</v>
      </c>
      <c r="D3815" s="1">
        <v>1.0</v>
      </c>
      <c r="E3815" s="1">
        <v>41.0</v>
      </c>
      <c r="F3815" s="1">
        <v>1.0</v>
      </c>
      <c r="G3815" s="1">
        <v>6.0</v>
      </c>
      <c r="H3815" s="1" t="s">
        <v>25</v>
      </c>
      <c r="I3815" s="1" t="s">
        <v>33</v>
      </c>
      <c r="J3815" s="1" t="s">
        <v>18</v>
      </c>
      <c r="K3815" s="1">
        <v>320.0</v>
      </c>
      <c r="L3815" s="1">
        <v>56.9506867</v>
      </c>
      <c r="M3815" s="1">
        <v>24.1291346988725</v>
      </c>
    </row>
    <row r="3816">
      <c r="A3816" s="1" t="s">
        <v>13</v>
      </c>
      <c r="B3816" s="1" t="s">
        <v>23</v>
      </c>
      <c r="C3816" s="1" t="s">
        <v>2272</v>
      </c>
      <c r="D3816" s="1">
        <v>3.0</v>
      </c>
      <c r="E3816" s="1">
        <v>150.0</v>
      </c>
      <c r="F3816" s="1">
        <v>8.0</v>
      </c>
      <c r="G3816" s="1">
        <v>9.0</v>
      </c>
      <c r="H3816" s="1" t="s">
        <v>25</v>
      </c>
      <c r="I3816" s="1" t="s">
        <v>33</v>
      </c>
      <c r="J3816" s="1" t="s">
        <v>18</v>
      </c>
      <c r="K3816" s="1">
        <v>1100.0</v>
      </c>
      <c r="L3816" s="1">
        <v>56.958294</v>
      </c>
      <c r="M3816" s="1">
        <v>24.1213478</v>
      </c>
    </row>
    <row r="3817">
      <c r="A3817" s="1" t="s">
        <v>13</v>
      </c>
      <c r="B3817" s="1" t="s">
        <v>23</v>
      </c>
      <c r="C3817" s="1" t="s">
        <v>2273</v>
      </c>
      <c r="D3817" s="1">
        <v>2.0</v>
      </c>
      <c r="E3817" s="1">
        <v>40.0</v>
      </c>
      <c r="F3817" s="1">
        <v>2.0</v>
      </c>
      <c r="G3817" s="1">
        <v>5.0</v>
      </c>
      <c r="H3817" s="1" t="s">
        <v>25</v>
      </c>
      <c r="I3817" s="1" t="s">
        <v>33</v>
      </c>
      <c r="J3817" s="1" t="s">
        <v>18</v>
      </c>
      <c r="K3817" s="1">
        <v>350.0</v>
      </c>
      <c r="L3817" s="1">
        <v>56.9574559499999</v>
      </c>
      <c r="M3817" s="1">
        <v>24.1319558264917</v>
      </c>
    </row>
    <row r="3818">
      <c r="A3818" s="1" t="s">
        <v>13</v>
      </c>
      <c r="B3818" s="1" t="s">
        <v>129</v>
      </c>
      <c r="C3818" s="1" t="s">
        <v>1169</v>
      </c>
      <c r="D3818" s="1">
        <v>1.0</v>
      </c>
      <c r="E3818" s="1">
        <v>34.0</v>
      </c>
      <c r="F3818" s="1">
        <v>3.0</v>
      </c>
      <c r="G3818" s="1">
        <v>6.0</v>
      </c>
      <c r="H3818" s="1" t="s">
        <v>25</v>
      </c>
      <c r="I3818" s="1" t="s">
        <v>33</v>
      </c>
      <c r="J3818" s="1" t="s">
        <v>27</v>
      </c>
      <c r="K3818" s="1">
        <v>145.0</v>
      </c>
      <c r="L3818" s="1">
        <v>56.99189845</v>
      </c>
      <c r="M3818" s="1">
        <v>24.1276669239564</v>
      </c>
    </row>
    <row r="3819">
      <c r="A3819" s="1" t="s">
        <v>22</v>
      </c>
      <c r="B3819" s="1" t="s">
        <v>23</v>
      </c>
      <c r="C3819" s="1" t="s">
        <v>1101</v>
      </c>
      <c r="D3819" s="1">
        <v>5.0</v>
      </c>
      <c r="E3819" s="1">
        <v>138.0</v>
      </c>
      <c r="F3819" s="1">
        <v>4.0</v>
      </c>
      <c r="G3819" s="1">
        <v>4.0</v>
      </c>
      <c r="H3819" s="1" t="s">
        <v>25</v>
      </c>
      <c r="I3819" s="1" t="s">
        <v>33</v>
      </c>
      <c r="J3819" s="1" t="s">
        <v>18</v>
      </c>
      <c r="K3819" s="1">
        <v>168000.0</v>
      </c>
      <c r="L3819" s="1">
        <v>56.97311445</v>
      </c>
      <c r="M3819" s="1">
        <v>24.1378080196509</v>
      </c>
    </row>
    <row r="3820">
      <c r="A3820" s="1" t="s">
        <v>13</v>
      </c>
      <c r="B3820" s="1" t="s">
        <v>23</v>
      </c>
      <c r="C3820" s="1" t="s">
        <v>136</v>
      </c>
      <c r="D3820" s="1">
        <v>3.0</v>
      </c>
      <c r="E3820" s="1">
        <v>67.0</v>
      </c>
      <c r="F3820" s="1">
        <v>3.0</v>
      </c>
      <c r="G3820" s="1">
        <v>6.0</v>
      </c>
      <c r="H3820" s="1" t="s">
        <v>66</v>
      </c>
      <c r="I3820" s="1" t="s">
        <v>33</v>
      </c>
      <c r="J3820" s="1" t="s">
        <v>18</v>
      </c>
      <c r="K3820" s="1">
        <v>760.0</v>
      </c>
      <c r="L3820" s="1">
        <v>56.95643795</v>
      </c>
      <c r="M3820" s="1">
        <v>24.1325729821556</v>
      </c>
    </row>
    <row r="3821">
      <c r="A3821" s="1" t="s">
        <v>13</v>
      </c>
      <c r="B3821" s="1" t="s">
        <v>23</v>
      </c>
      <c r="C3821" s="1" t="s">
        <v>282</v>
      </c>
      <c r="D3821" s="1">
        <v>2.0</v>
      </c>
      <c r="E3821" s="1">
        <v>30.0</v>
      </c>
      <c r="F3821" s="1">
        <v>4.0</v>
      </c>
      <c r="G3821" s="1">
        <v>6.0</v>
      </c>
      <c r="H3821" s="1" t="s">
        <v>66</v>
      </c>
      <c r="I3821" s="1" t="s">
        <v>33</v>
      </c>
      <c r="J3821" s="1" t="s">
        <v>18</v>
      </c>
      <c r="K3821" s="1">
        <v>30.0</v>
      </c>
      <c r="L3821" s="1">
        <v>56.9607411</v>
      </c>
      <c r="M3821" s="1">
        <v>24.1497716</v>
      </c>
    </row>
    <row r="3822">
      <c r="A3822" s="1" t="s">
        <v>22</v>
      </c>
      <c r="B3822" s="1" t="s">
        <v>23</v>
      </c>
      <c r="C3822" s="1" t="s">
        <v>2274</v>
      </c>
      <c r="D3822" s="1">
        <v>3.0</v>
      </c>
      <c r="E3822" s="1">
        <v>63.0</v>
      </c>
      <c r="F3822" s="1">
        <v>3.0</v>
      </c>
      <c r="G3822" s="1">
        <v>3.0</v>
      </c>
      <c r="H3822" s="1" t="s">
        <v>25</v>
      </c>
      <c r="I3822" s="1" t="s">
        <v>33</v>
      </c>
      <c r="J3822" s="1" t="s">
        <v>18</v>
      </c>
      <c r="K3822" s="1">
        <v>76000.0</v>
      </c>
      <c r="L3822" s="1">
        <v>56.9729911999999</v>
      </c>
      <c r="M3822" s="1">
        <v>24.1372535573665</v>
      </c>
    </row>
    <row r="3823">
      <c r="A3823" s="1" t="s">
        <v>22</v>
      </c>
      <c r="B3823" s="1" t="s">
        <v>104</v>
      </c>
      <c r="C3823" s="1" t="s">
        <v>619</v>
      </c>
      <c r="D3823" s="1">
        <v>2.0</v>
      </c>
      <c r="E3823" s="1">
        <v>53.0</v>
      </c>
      <c r="F3823" s="1">
        <v>4.0</v>
      </c>
      <c r="G3823" s="1">
        <v>4.0</v>
      </c>
      <c r="H3823" s="1" t="s">
        <v>25</v>
      </c>
      <c r="I3823" s="1" t="s">
        <v>33</v>
      </c>
      <c r="J3823" s="1" t="s">
        <v>18</v>
      </c>
      <c r="K3823" s="1">
        <v>71000.0</v>
      </c>
      <c r="L3823" s="1">
        <v>56.9474705</v>
      </c>
      <c r="M3823" s="1">
        <v>24.0604076</v>
      </c>
    </row>
    <row r="3824">
      <c r="A3824" s="1" t="s">
        <v>22</v>
      </c>
      <c r="B3824" s="1" t="s">
        <v>74</v>
      </c>
      <c r="C3824" s="1" t="s">
        <v>2275</v>
      </c>
      <c r="D3824" s="1">
        <v>4.0</v>
      </c>
      <c r="E3824" s="1">
        <v>80.0</v>
      </c>
      <c r="F3824" s="1">
        <v>2.0</v>
      </c>
      <c r="G3824" s="1">
        <v>9.0</v>
      </c>
      <c r="H3824" s="1">
        <v>467.0</v>
      </c>
      <c r="I3824" s="1" t="s">
        <v>21</v>
      </c>
      <c r="J3824" s="1" t="s">
        <v>18</v>
      </c>
      <c r="K3824" s="1">
        <v>68800.0</v>
      </c>
      <c r="L3824" s="1">
        <v>56.9365587</v>
      </c>
      <c r="M3824" s="1">
        <v>24.2097776441676</v>
      </c>
    </row>
    <row r="3825">
      <c r="A3825" s="1" t="s">
        <v>22</v>
      </c>
      <c r="B3825" s="1" t="s">
        <v>23</v>
      </c>
      <c r="C3825" s="1" t="s">
        <v>1501</v>
      </c>
      <c r="D3825" s="1">
        <v>2.0</v>
      </c>
      <c r="E3825" s="1">
        <v>33.0</v>
      </c>
      <c r="F3825" s="1">
        <v>3.0</v>
      </c>
      <c r="G3825" s="1">
        <v>5.0</v>
      </c>
      <c r="H3825" s="1" t="s">
        <v>66</v>
      </c>
      <c r="I3825" s="1" t="s">
        <v>33</v>
      </c>
      <c r="J3825" s="1" t="s">
        <v>18</v>
      </c>
      <c r="K3825" s="1">
        <v>61500.0</v>
      </c>
      <c r="L3825" s="1">
        <v>56.9620417</v>
      </c>
      <c r="M3825" s="1">
        <v>24.1224439</v>
      </c>
    </row>
    <row r="3826">
      <c r="A3826" s="1" t="s">
        <v>22</v>
      </c>
      <c r="B3826" s="1" t="s">
        <v>82</v>
      </c>
      <c r="C3826" s="1" t="s">
        <v>339</v>
      </c>
      <c r="D3826" s="1">
        <v>3.0</v>
      </c>
      <c r="E3826" s="1">
        <v>80.0</v>
      </c>
      <c r="F3826" s="1">
        <v>2.0</v>
      </c>
      <c r="G3826" s="1">
        <v>4.0</v>
      </c>
      <c r="H3826" s="1" t="s">
        <v>66</v>
      </c>
      <c r="I3826" s="1" t="s">
        <v>33</v>
      </c>
      <c r="J3826" s="1" t="s">
        <v>18</v>
      </c>
      <c r="K3826" s="1">
        <v>260000.0</v>
      </c>
      <c r="L3826" s="1">
        <v>56.9608406</v>
      </c>
      <c r="M3826" s="1">
        <v>24.0817647913357</v>
      </c>
    </row>
    <row r="3827">
      <c r="A3827" s="1" t="s">
        <v>13</v>
      </c>
      <c r="B3827" s="1" t="s">
        <v>82</v>
      </c>
      <c r="C3827" s="1" t="s">
        <v>339</v>
      </c>
      <c r="D3827" s="1">
        <v>3.0</v>
      </c>
      <c r="E3827" s="1">
        <v>80.0</v>
      </c>
      <c r="F3827" s="1">
        <v>2.0</v>
      </c>
      <c r="G3827" s="1">
        <v>4.0</v>
      </c>
      <c r="H3827" s="1" t="s">
        <v>66</v>
      </c>
      <c r="I3827" s="1" t="s">
        <v>33</v>
      </c>
      <c r="J3827" s="1" t="s">
        <v>18</v>
      </c>
      <c r="K3827" s="1">
        <v>1200.0</v>
      </c>
      <c r="L3827" s="1">
        <v>56.9608406</v>
      </c>
      <c r="M3827" s="1">
        <v>24.0817647913357</v>
      </c>
    </row>
    <row r="3828">
      <c r="A3828" s="1" t="s">
        <v>22</v>
      </c>
      <c r="B3828" s="1" t="s">
        <v>82</v>
      </c>
      <c r="C3828" s="1" t="s">
        <v>339</v>
      </c>
      <c r="D3828" s="1">
        <v>3.0</v>
      </c>
      <c r="E3828" s="1">
        <v>79.0</v>
      </c>
      <c r="F3828" s="1">
        <v>1.0</v>
      </c>
      <c r="G3828" s="1">
        <v>4.0</v>
      </c>
      <c r="H3828" s="1" t="s">
        <v>25</v>
      </c>
      <c r="I3828" s="1" t="s">
        <v>33</v>
      </c>
      <c r="J3828" s="1" t="s">
        <v>18</v>
      </c>
      <c r="K3828" s="1">
        <v>265000.0</v>
      </c>
      <c r="L3828" s="1">
        <v>56.9608406</v>
      </c>
      <c r="M3828" s="1">
        <v>24.0817647913357</v>
      </c>
    </row>
    <row r="3829">
      <c r="A3829" s="1" t="s">
        <v>22</v>
      </c>
      <c r="B3829" s="1" t="s">
        <v>82</v>
      </c>
      <c r="C3829" s="1" t="s">
        <v>339</v>
      </c>
      <c r="D3829" s="1">
        <v>3.0</v>
      </c>
      <c r="E3829" s="1">
        <v>79.0</v>
      </c>
      <c r="F3829" s="1">
        <v>1.0</v>
      </c>
      <c r="G3829" s="1">
        <v>4.0</v>
      </c>
      <c r="H3829" s="1" t="s">
        <v>25</v>
      </c>
      <c r="I3829" s="1" t="s">
        <v>33</v>
      </c>
      <c r="J3829" s="1" t="s">
        <v>18</v>
      </c>
      <c r="K3829" s="1">
        <v>260000.0</v>
      </c>
      <c r="L3829" s="1">
        <v>56.9608406</v>
      </c>
      <c r="M3829" s="1">
        <v>24.0817647913357</v>
      </c>
    </row>
    <row r="3830">
      <c r="A3830" s="1" t="s">
        <v>13</v>
      </c>
      <c r="B3830" s="1" t="s">
        <v>104</v>
      </c>
      <c r="C3830" s="1" t="s">
        <v>715</v>
      </c>
      <c r="D3830" s="1">
        <v>1.0</v>
      </c>
      <c r="E3830" s="1">
        <v>31.0</v>
      </c>
      <c r="F3830" s="1">
        <v>3.0</v>
      </c>
      <c r="G3830" s="1">
        <v>5.0</v>
      </c>
      <c r="H3830" s="1" t="s">
        <v>44</v>
      </c>
      <c r="I3830" s="1" t="s">
        <v>37</v>
      </c>
      <c r="J3830" s="1" t="s">
        <v>18</v>
      </c>
      <c r="K3830" s="1">
        <v>270.0</v>
      </c>
      <c r="L3830" s="1">
        <v>56.9482215</v>
      </c>
      <c r="M3830" s="1">
        <v>24.0498008499999</v>
      </c>
    </row>
    <row r="3831">
      <c r="A3831" s="1" t="s">
        <v>13</v>
      </c>
      <c r="B3831" s="1" t="s">
        <v>23</v>
      </c>
      <c r="C3831" s="1" t="s">
        <v>2276</v>
      </c>
      <c r="D3831" s="1">
        <v>3.0</v>
      </c>
      <c r="E3831" s="1">
        <v>95.0</v>
      </c>
      <c r="F3831" s="1">
        <v>1.0</v>
      </c>
      <c r="G3831" s="1">
        <v>1.0</v>
      </c>
      <c r="H3831" s="1" t="s">
        <v>25</v>
      </c>
      <c r="I3831" s="1" t="s">
        <v>37</v>
      </c>
      <c r="J3831" s="1" t="s">
        <v>18</v>
      </c>
      <c r="K3831" s="1">
        <v>40.0</v>
      </c>
      <c r="L3831" s="1">
        <v>56.9694194</v>
      </c>
      <c r="M3831" s="1">
        <v>24.13457735</v>
      </c>
    </row>
    <row r="3832">
      <c r="A3832" s="1" t="s">
        <v>22</v>
      </c>
      <c r="B3832" s="1" t="s">
        <v>99</v>
      </c>
      <c r="C3832" s="1" t="s">
        <v>2277</v>
      </c>
      <c r="D3832" s="1">
        <v>2.0</v>
      </c>
      <c r="E3832" s="1">
        <v>62.0</v>
      </c>
      <c r="F3832" s="1">
        <v>5.0</v>
      </c>
      <c r="G3832" s="1">
        <v>5.0</v>
      </c>
      <c r="H3832" s="1" t="s">
        <v>32</v>
      </c>
      <c r="I3832" s="1" t="s">
        <v>33</v>
      </c>
      <c r="J3832" s="1" t="s">
        <v>18</v>
      </c>
      <c r="K3832" s="1">
        <v>129000.0</v>
      </c>
      <c r="L3832" s="1">
        <v>56.9429655</v>
      </c>
      <c r="M3832" s="1">
        <v>24.0959221</v>
      </c>
    </row>
    <row r="3833">
      <c r="A3833" s="1" t="s">
        <v>22</v>
      </c>
      <c r="B3833" s="1" t="s">
        <v>23</v>
      </c>
      <c r="C3833" s="1" t="s">
        <v>1674</v>
      </c>
      <c r="D3833" s="1">
        <v>4.0</v>
      </c>
      <c r="E3833" s="1">
        <v>64.0</v>
      </c>
      <c r="F3833" s="1">
        <v>1.0</v>
      </c>
      <c r="G3833" s="1">
        <v>3.0</v>
      </c>
      <c r="H3833" s="1" t="s">
        <v>66</v>
      </c>
      <c r="I3833" s="1" t="s">
        <v>33</v>
      </c>
      <c r="J3833" s="1" t="s">
        <v>18</v>
      </c>
      <c r="K3833" s="1">
        <v>99200.0</v>
      </c>
      <c r="L3833" s="1">
        <v>56.9518761</v>
      </c>
      <c r="M3833" s="1">
        <v>24.1257094</v>
      </c>
    </row>
    <row r="3834">
      <c r="A3834" s="1" t="s">
        <v>22</v>
      </c>
      <c r="B3834" s="1" t="s">
        <v>42</v>
      </c>
      <c r="C3834" s="1" t="s">
        <v>2278</v>
      </c>
      <c r="D3834" s="1">
        <v>2.0</v>
      </c>
      <c r="E3834" s="1">
        <v>46.0</v>
      </c>
      <c r="F3834" s="1">
        <v>1.0</v>
      </c>
      <c r="G3834" s="1">
        <v>5.0</v>
      </c>
      <c r="H3834" s="1" t="s">
        <v>16</v>
      </c>
      <c r="I3834" s="1" t="s">
        <v>21</v>
      </c>
      <c r="J3834" s="1" t="s">
        <v>18</v>
      </c>
      <c r="K3834" s="1">
        <v>51000.0</v>
      </c>
      <c r="L3834" s="1">
        <v>56.97962215</v>
      </c>
      <c r="M3834" s="1">
        <v>24.253031</v>
      </c>
    </row>
    <row r="3835">
      <c r="A3835" s="1" t="s">
        <v>13</v>
      </c>
      <c r="B3835" s="1" t="s">
        <v>38</v>
      </c>
      <c r="C3835" s="1" t="s">
        <v>357</v>
      </c>
      <c r="D3835" s="1">
        <v>2.0</v>
      </c>
      <c r="E3835" s="1">
        <v>55.0</v>
      </c>
      <c r="F3835" s="1">
        <v>2.0</v>
      </c>
      <c r="G3835" s="1">
        <v>24.0</v>
      </c>
      <c r="H3835" s="1" t="s">
        <v>36</v>
      </c>
      <c r="I3835" s="1" t="s">
        <v>17</v>
      </c>
      <c r="J3835" s="1" t="s">
        <v>18</v>
      </c>
      <c r="K3835" s="1">
        <v>450.0</v>
      </c>
      <c r="L3835" s="1">
        <v>56.95959205</v>
      </c>
      <c r="M3835" s="1">
        <v>24.0147522499219</v>
      </c>
    </row>
    <row r="3836">
      <c r="A3836" s="1" t="s">
        <v>22</v>
      </c>
      <c r="B3836" s="1" t="s">
        <v>151</v>
      </c>
      <c r="C3836" s="1" t="s">
        <v>2279</v>
      </c>
      <c r="D3836" s="1">
        <v>1.0</v>
      </c>
      <c r="E3836" s="1">
        <v>35.0</v>
      </c>
      <c r="F3836" s="1">
        <v>1.0</v>
      </c>
      <c r="G3836" s="1">
        <v>5.0</v>
      </c>
      <c r="H3836" s="1" t="s">
        <v>57</v>
      </c>
      <c r="I3836" s="1" t="s">
        <v>21</v>
      </c>
      <c r="J3836" s="1" t="s">
        <v>18</v>
      </c>
      <c r="K3836" s="1">
        <v>28000.0</v>
      </c>
      <c r="L3836" s="1">
        <v>56.9683462</v>
      </c>
      <c r="M3836" s="1">
        <v>24.0696407155396</v>
      </c>
    </row>
    <row r="3837">
      <c r="A3837" s="1" t="s">
        <v>22</v>
      </c>
      <c r="B3837" s="1" t="s">
        <v>174</v>
      </c>
      <c r="C3837" s="1" t="s">
        <v>2149</v>
      </c>
      <c r="D3837" s="1">
        <v>3.0</v>
      </c>
      <c r="E3837" s="1">
        <v>62.0</v>
      </c>
      <c r="F3837" s="1">
        <v>3.0</v>
      </c>
      <c r="G3837" s="1">
        <v>9.0</v>
      </c>
      <c r="H3837" s="1">
        <v>602.0</v>
      </c>
      <c r="I3837" s="1" t="s">
        <v>21</v>
      </c>
      <c r="J3837" s="1" t="s">
        <v>18</v>
      </c>
      <c r="K3837" s="1">
        <v>57000.0</v>
      </c>
      <c r="L3837" s="1">
        <v>56.93115325</v>
      </c>
      <c r="M3837" s="1">
        <v>24.1775645554618</v>
      </c>
    </row>
    <row r="3838">
      <c r="A3838" s="1" t="s">
        <v>13</v>
      </c>
      <c r="B3838" s="1" t="s">
        <v>422</v>
      </c>
      <c r="C3838" s="1" t="s">
        <v>363</v>
      </c>
      <c r="D3838" s="1">
        <v>3.0</v>
      </c>
      <c r="E3838" s="1">
        <v>90.0</v>
      </c>
      <c r="F3838" s="1">
        <v>15.0</v>
      </c>
      <c r="G3838" s="1">
        <v>30.0</v>
      </c>
      <c r="H3838" s="1" t="s">
        <v>32</v>
      </c>
      <c r="I3838" s="1" t="s">
        <v>17</v>
      </c>
      <c r="J3838" s="1" t="s">
        <v>18</v>
      </c>
      <c r="K3838" s="1">
        <v>650.0</v>
      </c>
      <c r="L3838" s="1">
        <v>56.9334996</v>
      </c>
      <c r="M3838" s="1">
        <v>24.0424848</v>
      </c>
    </row>
    <row r="3839">
      <c r="A3839" s="1" t="s">
        <v>22</v>
      </c>
      <c r="B3839" s="1" t="s">
        <v>96</v>
      </c>
      <c r="C3839" s="1" t="s">
        <v>2280</v>
      </c>
      <c r="D3839" s="1">
        <v>2.0</v>
      </c>
      <c r="E3839" s="1">
        <v>41.0</v>
      </c>
      <c r="F3839" s="1">
        <v>2.0</v>
      </c>
      <c r="G3839" s="1">
        <v>4.0</v>
      </c>
      <c r="H3839" s="1" t="s">
        <v>44</v>
      </c>
      <c r="I3839" s="1" t="s">
        <v>37</v>
      </c>
      <c r="J3839" s="1" t="s">
        <v>18</v>
      </c>
      <c r="K3839" s="1">
        <v>36900.0</v>
      </c>
      <c r="L3839" s="1">
        <v>57.0294913</v>
      </c>
      <c r="M3839" s="1">
        <v>24.1170731499999</v>
      </c>
    </row>
    <row r="3840">
      <c r="A3840" s="1" t="s">
        <v>22</v>
      </c>
      <c r="B3840" s="1" t="s">
        <v>151</v>
      </c>
      <c r="C3840" s="1" t="s">
        <v>2281</v>
      </c>
      <c r="D3840" s="1">
        <v>2.0</v>
      </c>
      <c r="E3840" s="1">
        <v>49.0</v>
      </c>
      <c r="F3840" s="1">
        <v>3.0</v>
      </c>
      <c r="G3840" s="1">
        <v>5.0</v>
      </c>
      <c r="H3840" s="1" t="s">
        <v>16</v>
      </c>
      <c r="I3840" s="1" t="s">
        <v>21</v>
      </c>
      <c r="J3840" s="1" t="s">
        <v>18</v>
      </c>
      <c r="K3840" s="1">
        <v>44000.0</v>
      </c>
      <c r="L3840" s="1">
        <v>56.965298</v>
      </c>
      <c r="M3840" s="1">
        <v>24.0573721</v>
      </c>
    </row>
    <row r="3841">
      <c r="A3841" s="1" t="s">
        <v>22</v>
      </c>
      <c r="B3841" s="1" t="s">
        <v>50</v>
      </c>
      <c r="C3841" s="1" t="s">
        <v>2282</v>
      </c>
      <c r="D3841" s="1">
        <v>2.0</v>
      </c>
      <c r="E3841" s="1">
        <v>45.0</v>
      </c>
      <c r="F3841" s="1">
        <v>5.0</v>
      </c>
      <c r="G3841" s="1">
        <v>5.0</v>
      </c>
      <c r="H3841" s="1" t="s">
        <v>25</v>
      </c>
      <c r="I3841" s="1" t="s">
        <v>33</v>
      </c>
      <c r="J3841" s="1" t="s">
        <v>18</v>
      </c>
      <c r="K3841" s="1">
        <v>53900.0</v>
      </c>
      <c r="L3841" s="1">
        <v>56.8597884</v>
      </c>
      <c r="M3841" s="1">
        <v>24.3083417</v>
      </c>
    </row>
    <row r="3842">
      <c r="A3842" s="1" t="s">
        <v>22</v>
      </c>
      <c r="B3842" s="1" t="s">
        <v>52</v>
      </c>
      <c r="C3842" s="1" t="s">
        <v>2283</v>
      </c>
      <c r="D3842" s="1">
        <v>2.0</v>
      </c>
      <c r="E3842" s="1">
        <v>75.0</v>
      </c>
      <c r="F3842" s="1">
        <v>3.0</v>
      </c>
      <c r="G3842" s="1">
        <v>6.0</v>
      </c>
      <c r="H3842" s="1" t="s">
        <v>32</v>
      </c>
      <c r="I3842" s="1" t="s">
        <v>17</v>
      </c>
      <c r="J3842" s="1" t="s">
        <v>18</v>
      </c>
      <c r="K3842" s="1">
        <v>115000.0</v>
      </c>
      <c r="L3842" s="1">
        <v>56.9413782</v>
      </c>
      <c r="M3842" s="1">
        <v>24.0044925265813</v>
      </c>
    </row>
    <row r="3843">
      <c r="A3843" s="1" t="s">
        <v>22</v>
      </c>
      <c r="B3843" s="1" t="s">
        <v>104</v>
      </c>
      <c r="C3843" s="1" t="s">
        <v>2284</v>
      </c>
      <c r="D3843" s="1">
        <v>2.0</v>
      </c>
      <c r="E3843" s="1">
        <v>41.15</v>
      </c>
      <c r="F3843" s="1">
        <v>2.0</v>
      </c>
      <c r="G3843" s="1">
        <v>5.0</v>
      </c>
      <c r="H3843" s="1" t="s">
        <v>44</v>
      </c>
      <c r="I3843" s="1" t="s">
        <v>37</v>
      </c>
      <c r="J3843" s="1" t="s">
        <v>18</v>
      </c>
      <c r="K3843" s="1">
        <v>43000.0</v>
      </c>
      <c r="L3843" s="1">
        <v>56.9446708</v>
      </c>
      <c r="M3843" s="1">
        <v>24.0645472015035</v>
      </c>
    </row>
    <row r="3844">
      <c r="A3844" s="1" t="s">
        <v>22</v>
      </c>
      <c r="B3844" s="1" t="s">
        <v>52</v>
      </c>
      <c r="C3844" s="1" t="s">
        <v>175</v>
      </c>
      <c r="D3844" s="1">
        <v>3.0</v>
      </c>
      <c r="E3844" s="1">
        <v>75.0</v>
      </c>
      <c r="F3844" s="1">
        <v>4.0</v>
      </c>
      <c r="G3844" s="1">
        <v>9.0</v>
      </c>
      <c r="H3844" s="1">
        <v>119.0</v>
      </c>
      <c r="I3844" s="1" t="s">
        <v>21</v>
      </c>
      <c r="J3844" s="1" t="s">
        <v>18</v>
      </c>
      <c r="K3844" s="1">
        <v>63000.0</v>
      </c>
      <c r="L3844" s="1">
        <v>56.9484028</v>
      </c>
      <c r="M3844" s="1">
        <v>24.0020688644395</v>
      </c>
    </row>
    <row r="3845">
      <c r="A3845" s="1" t="s">
        <v>22</v>
      </c>
      <c r="B3845" s="1" t="s">
        <v>74</v>
      </c>
      <c r="C3845" s="1" t="s">
        <v>2285</v>
      </c>
      <c r="D3845" s="1">
        <v>3.0</v>
      </c>
      <c r="E3845" s="1">
        <v>62.0</v>
      </c>
      <c r="F3845" s="1">
        <v>8.0</v>
      </c>
      <c r="G3845" s="1">
        <v>9.0</v>
      </c>
      <c r="H3845" s="1">
        <v>602.0</v>
      </c>
      <c r="I3845" s="1" t="s">
        <v>21</v>
      </c>
      <c r="J3845" s="1" t="s">
        <v>18</v>
      </c>
      <c r="K3845" s="1">
        <v>59000.0</v>
      </c>
      <c r="L3845" s="1">
        <v>56.93409355</v>
      </c>
      <c r="M3845" s="1">
        <v>24.2082884588571</v>
      </c>
    </row>
    <row r="3846">
      <c r="A3846" s="1" t="s">
        <v>22</v>
      </c>
      <c r="B3846" s="1" t="s">
        <v>28</v>
      </c>
      <c r="C3846" s="1" t="s">
        <v>2286</v>
      </c>
      <c r="D3846" s="1">
        <v>3.0</v>
      </c>
      <c r="E3846" s="1">
        <v>59.0</v>
      </c>
      <c r="F3846" s="1">
        <v>5.0</v>
      </c>
      <c r="G3846" s="1">
        <v>5.0</v>
      </c>
      <c r="H3846" s="1" t="s">
        <v>16</v>
      </c>
      <c r="I3846" s="1" t="s">
        <v>21</v>
      </c>
      <c r="J3846" s="1" t="s">
        <v>18</v>
      </c>
      <c r="K3846" s="1">
        <v>59000.0</v>
      </c>
      <c r="L3846" s="1">
        <v>56.90349755</v>
      </c>
      <c r="M3846" s="1">
        <v>24.2095586145833</v>
      </c>
    </row>
    <row r="3847">
      <c r="A3847" s="1" t="s">
        <v>22</v>
      </c>
      <c r="B3847" s="1" t="s">
        <v>23</v>
      </c>
      <c r="C3847" s="1" t="s">
        <v>235</v>
      </c>
      <c r="D3847" s="1">
        <v>4.0</v>
      </c>
      <c r="E3847" s="1">
        <v>97.0</v>
      </c>
      <c r="F3847" s="1">
        <v>2.0</v>
      </c>
      <c r="G3847" s="1">
        <v>4.0</v>
      </c>
      <c r="H3847" s="1" t="s">
        <v>66</v>
      </c>
      <c r="I3847" s="1" t="s">
        <v>33</v>
      </c>
      <c r="J3847" s="1" t="s">
        <v>18</v>
      </c>
      <c r="K3847" s="1">
        <v>250000.0</v>
      </c>
      <c r="L3847" s="1">
        <v>56.9612002</v>
      </c>
      <c r="M3847" s="1">
        <v>24.1075394109907</v>
      </c>
    </row>
    <row r="3848">
      <c r="A3848" s="1" t="s">
        <v>22</v>
      </c>
      <c r="B3848" s="1" t="s">
        <v>14</v>
      </c>
      <c r="C3848" s="1" t="s">
        <v>562</v>
      </c>
      <c r="D3848" s="1">
        <v>3.0</v>
      </c>
      <c r="E3848" s="1">
        <v>62.0</v>
      </c>
      <c r="F3848" s="1">
        <v>5.0</v>
      </c>
      <c r="G3848" s="1">
        <v>5.0</v>
      </c>
      <c r="H3848" s="1" t="s">
        <v>16</v>
      </c>
      <c r="I3848" s="1" t="s">
        <v>21</v>
      </c>
      <c r="J3848" s="1" t="s">
        <v>18</v>
      </c>
      <c r="K3848" s="1">
        <v>68000.0</v>
      </c>
      <c r="L3848" s="1">
        <v>56.9606510499999</v>
      </c>
      <c r="M3848" s="1">
        <v>24.1833327739692</v>
      </c>
    </row>
    <row r="3849">
      <c r="A3849" s="1" t="s">
        <v>13</v>
      </c>
      <c r="B3849" s="1" t="s">
        <v>23</v>
      </c>
      <c r="C3849" s="1" t="s">
        <v>2287</v>
      </c>
      <c r="D3849" s="1">
        <v>2.0</v>
      </c>
      <c r="E3849" s="1">
        <v>52.0</v>
      </c>
      <c r="F3849" s="1">
        <v>3.0</v>
      </c>
      <c r="G3849" s="1">
        <v>4.0</v>
      </c>
      <c r="H3849" s="1" t="s">
        <v>25</v>
      </c>
      <c r="I3849" s="1" t="s">
        <v>33</v>
      </c>
      <c r="J3849" s="1" t="s">
        <v>18</v>
      </c>
      <c r="K3849" s="1">
        <v>700.0</v>
      </c>
      <c r="L3849" s="1">
        <v>48.2969502</v>
      </c>
      <c r="M3849" s="1">
        <v>-100.7081938</v>
      </c>
    </row>
    <row r="3850">
      <c r="A3850" s="1" t="s">
        <v>22</v>
      </c>
      <c r="B3850" s="1" t="s">
        <v>19</v>
      </c>
      <c r="C3850" s="1" t="s">
        <v>2288</v>
      </c>
      <c r="D3850" s="1">
        <v>4.0</v>
      </c>
      <c r="E3850" s="1">
        <v>79.0</v>
      </c>
      <c r="F3850" s="1">
        <v>6.0</v>
      </c>
      <c r="G3850" s="1">
        <v>9.0</v>
      </c>
      <c r="H3850" s="1">
        <v>602.0</v>
      </c>
      <c r="I3850" s="1" t="s">
        <v>21</v>
      </c>
      <c r="J3850" s="1" t="s">
        <v>18</v>
      </c>
      <c r="K3850" s="1">
        <v>72000.0</v>
      </c>
      <c r="L3850" s="1">
        <v>56.90156125</v>
      </c>
      <c r="M3850" s="1">
        <v>24.0954246452708</v>
      </c>
    </row>
    <row r="3851">
      <c r="A3851" s="1" t="s">
        <v>22</v>
      </c>
      <c r="B3851" s="1" t="s">
        <v>23</v>
      </c>
      <c r="C3851" s="1" t="s">
        <v>1140</v>
      </c>
      <c r="D3851" s="1">
        <v>3.0</v>
      </c>
      <c r="E3851" s="1">
        <v>59.8</v>
      </c>
      <c r="F3851" s="1">
        <v>3.0</v>
      </c>
      <c r="G3851" s="1">
        <v>6.0</v>
      </c>
      <c r="H3851" s="1" t="s">
        <v>25</v>
      </c>
      <c r="I3851" s="1" t="s">
        <v>37</v>
      </c>
      <c r="J3851" s="1" t="s">
        <v>18</v>
      </c>
      <c r="K3851" s="1">
        <v>74750.0</v>
      </c>
      <c r="L3851" s="1">
        <v>56.9524263</v>
      </c>
      <c r="M3851" s="1">
        <v>24.1287007</v>
      </c>
    </row>
    <row r="3852">
      <c r="A3852" s="1" t="s">
        <v>22</v>
      </c>
      <c r="B3852" s="1" t="s">
        <v>50</v>
      </c>
      <c r="C3852" s="1" t="s">
        <v>2289</v>
      </c>
      <c r="D3852" s="1">
        <v>2.0</v>
      </c>
      <c r="E3852" s="1">
        <v>48.0</v>
      </c>
      <c r="F3852" s="1">
        <v>6.0</v>
      </c>
      <c r="G3852" s="1">
        <v>9.0</v>
      </c>
      <c r="H3852" s="1">
        <v>467.0</v>
      </c>
      <c r="I3852" s="1" t="s">
        <v>21</v>
      </c>
      <c r="J3852" s="1" t="s">
        <v>18</v>
      </c>
      <c r="K3852" s="1">
        <v>35000.0</v>
      </c>
      <c r="L3852" s="1">
        <v>56.9228069</v>
      </c>
      <c r="M3852" s="1">
        <v>24.1703845</v>
      </c>
    </row>
    <row r="3853">
      <c r="A3853" s="1" t="s">
        <v>13</v>
      </c>
      <c r="B3853" s="1" t="s">
        <v>14</v>
      </c>
      <c r="C3853" s="1" t="s">
        <v>2290</v>
      </c>
      <c r="D3853" s="1">
        <v>1.0</v>
      </c>
      <c r="E3853" s="1">
        <v>36.0</v>
      </c>
      <c r="F3853" s="1">
        <v>5.0</v>
      </c>
      <c r="G3853" s="1">
        <v>9.0</v>
      </c>
      <c r="H3853" s="1">
        <v>602.0</v>
      </c>
      <c r="I3853" s="1" t="s">
        <v>21</v>
      </c>
      <c r="J3853" s="1" t="s">
        <v>18</v>
      </c>
      <c r="K3853" s="1">
        <v>30.0</v>
      </c>
      <c r="L3853" s="1">
        <v>56.95757025</v>
      </c>
      <c r="M3853" s="1">
        <v>24.1715554695491</v>
      </c>
    </row>
    <row r="3854">
      <c r="A3854" s="1" t="s">
        <v>13</v>
      </c>
      <c r="B3854" s="1" t="s">
        <v>74</v>
      </c>
      <c r="C3854" s="1" t="s">
        <v>911</v>
      </c>
      <c r="D3854" s="1">
        <v>1.0</v>
      </c>
      <c r="E3854" s="1">
        <v>40.0</v>
      </c>
      <c r="F3854" s="1">
        <v>3.0</v>
      </c>
      <c r="G3854" s="1">
        <v>5.0</v>
      </c>
      <c r="H3854" s="1">
        <v>103.0</v>
      </c>
      <c r="I3854" s="1" t="s">
        <v>122</v>
      </c>
      <c r="J3854" s="1" t="s">
        <v>18</v>
      </c>
      <c r="K3854" s="1">
        <v>30.0</v>
      </c>
      <c r="L3854" s="1">
        <v>56.93391825</v>
      </c>
      <c r="M3854" s="1">
        <v>24.1961130586527</v>
      </c>
    </row>
    <row r="3855">
      <c r="A3855" s="1" t="s">
        <v>22</v>
      </c>
      <c r="B3855" s="1" t="s">
        <v>38</v>
      </c>
      <c r="C3855" s="1" t="s">
        <v>2291</v>
      </c>
      <c r="D3855" s="1">
        <v>2.0</v>
      </c>
      <c r="E3855" s="1">
        <v>50.0</v>
      </c>
      <c r="F3855" s="1">
        <v>4.0</v>
      </c>
      <c r="G3855" s="1">
        <v>5.0</v>
      </c>
      <c r="H3855" s="1" t="s">
        <v>16</v>
      </c>
      <c r="I3855" s="1" t="s">
        <v>21</v>
      </c>
      <c r="J3855" s="1" t="s">
        <v>18</v>
      </c>
      <c r="K3855" s="1">
        <v>41800.0</v>
      </c>
      <c r="L3855" s="1" t="s">
        <v>40</v>
      </c>
      <c r="M3855" s="1" t="s">
        <v>40</v>
      </c>
    </row>
    <row r="3856">
      <c r="A3856" s="1" t="s">
        <v>13</v>
      </c>
      <c r="B3856" s="1" t="s">
        <v>23</v>
      </c>
      <c r="C3856" s="1" t="s">
        <v>2292</v>
      </c>
      <c r="D3856" s="1">
        <v>5.0</v>
      </c>
      <c r="E3856" s="1">
        <v>158.0</v>
      </c>
      <c r="F3856" s="1">
        <v>3.0</v>
      </c>
      <c r="G3856" s="1">
        <v>6.0</v>
      </c>
      <c r="H3856" s="1" t="s">
        <v>32</v>
      </c>
      <c r="I3856" s="1" t="s">
        <v>33</v>
      </c>
      <c r="J3856" s="1" t="s">
        <v>18</v>
      </c>
      <c r="K3856" s="1">
        <v>1500.0</v>
      </c>
      <c r="L3856" s="1">
        <v>56.9659754</v>
      </c>
      <c r="M3856" s="1">
        <v>24.1046278</v>
      </c>
    </row>
    <row r="3857">
      <c r="A3857" s="1" t="s">
        <v>89</v>
      </c>
      <c r="B3857" s="1" t="s">
        <v>28</v>
      </c>
      <c r="C3857" s="2"/>
      <c r="D3857" s="1">
        <v>4.0</v>
      </c>
      <c r="E3857" s="2"/>
      <c r="F3857" s="2"/>
      <c r="G3857" s="2"/>
      <c r="H3857" s="2"/>
      <c r="I3857" s="2"/>
      <c r="J3857" s="2"/>
      <c r="K3857" s="2"/>
      <c r="L3857" s="1">
        <v>46.3144754</v>
      </c>
      <c r="M3857" s="1">
        <v>11.0480288</v>
      </c>
    </row>
    <row r="3858">
      <c r="A3858" s="1" t="s">
        <v>22</v>
      </c>
      <c r="B3858" s="1" t="s">
        <v>23</v>
      </c>
      <c r="C3858" s="1" t="s">
        <v>867</v>
      </c>
      <c r="D3858" s="1">
        <v>1.0</v>
      </c>
      <c r="E3858" s="1">
        <v>27.0</v>
      </c>
      <c r="F3858" s="1">
        <v>2.0</v>
      </c>
      <c r="G3858" s="1">
        <v>5.0</v>
      </c>
      <c r="H3858" s="1" t="s">
        <v>25</v>
      </c>
      <c r="I3858" s="1" t="s">
        <v>37</v>
      </c>
      <c r="J3858" s="1" t="s">
        <v>18</v>
      </c>
      <c r="K3858" s="1">
        <v>22500.0</v>
      </c>
      <c r="L3858" s="1">
        <v>56.960182</v>
      </c>
      <c r="M3858" s="1">
        <v>24.1473114</v>
      </c>
    </row>
    <row r="3859">
      <c r="A3859" s="1" t="s">
        <v>22</v>
      </c>
      <c r="B3859" s="1" t="s">
        <v>23</v>
      </c>
      <c r="C3859" s="1" t="s">
        <v>262</v>
      </c>
      <c r="D3859" s="1">
        <v>3.0</v>
      </c>
      <c r="E3859" s="1">
        <v>62.3</v>
      </c>
      <c r="F3859" s="1">
        <v>2.0</v>
      </c>
      <c r="G3859" s="1">
        <v>6.0</v>
      </c>
      <c r="H3859" s="1" t="s">
        <v>66</v>
      </c>
      <c r="I3859" s="1" t="s">
        <v>37</v>
      </c>
      <c r="J3859" s="1" t="s">
        <v>18</v>
      </c>
      <c r="K3859" s="1">
        <v>161980.0</v>
      </c>
      <c r="L3859" s="1">
        <v>56.9548306</v>
      </c>
      <c r="M3859" s="1">
        <v>24.1221141</v>
      </c>
    </row>
    <row r="3860">
      <c r="A3860" s="1" t="s">
        <v>13</v>
      </c>
      <c r="B3860" s="1" t="s">
        <v>23</v>
      </c>
      <c r="C3860" s="1" t="s">
        <v>618</v>
      </c>
      <c r="D3860" s="1">
        <v>1.0</v>
      </c>
      <c r="E3860" s="1">
        <v>36.0</v>
      </c>
      <c r="F3860" s="1">
        <v>1.0</v>
      </c>
      <c r="G3860" s="1">
        <v>4.0</v>
      </c>
      <c r="H3860" s="1" t="s">
        <v>25</v>
      </c>
      <c r="I3860" s="1" t="s">
        <v>37</v>
      </c>
      <c r="J3860" s="1" t="s">
        <v>18</v>
      </c>
      <c r="K3860" s="1">
        <v>45.0</v>
      </c>
      <c r="L3860" s="1">
        <v>48.2969502</v>
      </c>
      <c r="M3860" s="1">
        <v>-100.7081938</v>
      </c>
    </row>
    <row r="3861">
      <c r="A3861" s="1" t="s">
        <v>22</v>
      </c>
      <c r="B3861" s="1" t="s">
        <v>23</v>
      </c>
      <c r="C3861" s="1" t="s">
        <v>2293</v>
      </c>
      <c r="D3861" s="1">
        <v>1.0</v>
      </c>
      <c r="E3861" s="1">
        <v>27.0</v>
      </c>
      <c r="F3861" s="1">
        <v>1.0</v>
      </c>
      <c r="G3861" s="1">
        <v>2.0</v>
      </c>
      <c r="H3861" s="1" t="s">
        <v>25</v>
      </c>
      <c r="I3861" s="1" t="s">
        <v>26</v>
      </c>
      <c r="J3861" s="1" t="s">
        <v>18</v>
      </c>
      <c r="K3861" s="1">
        <v>23500.0</v>
      </c>
      <c r="L3861" s="1">
        <v>56.9533468</v>
      </c>
      <c r="M3861" s="1">
        <v>24.1435411</v>
      </c>
    </row>
    <row r="3862">
      <c r="A3862" s="1" t="s">
        <v>22</v>
      </c>
      <c r="B3862" s="1" t="s">
        <v>50</v>
      </c>
      <c r="C3862" s="1" t="s">
        <v>2294</v>
      </c>
      <c r="D3862" s="1">
        <v>1.0</v>
      </c>
      <c r="E3862" s="1">
        <v>27.0</v>
      </c>
      <c r="F3862" s="1">
        <v>2.0</v>
      </c>
      <c r="G3862" s="1">
        <v>2.0</v>
      </c>
      <c r="H3862" s="1" t="s">
        <v>25</v>
      </c>
      <c r="I3862" s="1" t="s">
        <v>26</v>
      </c>
      <c r="J3862" s="1" t="s">
        <v>18</v>
      </c>
      <c r="K3862" s="1">
        <v>14800.0</v>
      </c>
      <c r="L3862" s="1">
        <v>56.9348571</v>
      </c>
      <c r="M3862" s="1">
        <v>24.1665681043578</v>
      </c>
    </row>
    <row r="3863">
      <c r="A3863" s="1" t="s">
        <v>22</v>
      </c>
      <c r="B3863" s="1" t="s">
        <v>38</v>
      </c>
      <c r="C3863" s="1" t="s">
        <v>808</v>
      </c>
      <c r="D3863" s="1">
        <v>3.0</v>
      </c>
      <c r="E3863" s="1">
        <v>59.0</v>
      </c>
      <c r="F3863" s="1">
        <v>4.0</v>
      </c>
      <c r="G3863" s="1">
        <v>5.0</v>
      </c>
      <c r="H3863" s="1" t="s">
        <v>16</v>
      </c>
      <c r="I3863" s="1" t="s">
        <v>21</v>
      </c>
      <c r="J3863" s="1" t="s">
        <v>18</v>
      </c>
      <c r="K3863" s="1">
        <v>62000.0</v>
      </c>
      <c r="L3863" s="1">
        <v>56.9572544</v>
      </c>
      <c r="M3863" s="1">
        <v>24.0022051476818</v>
      </c>
    </row>
    <row r="3864">
      <c r="A3864" s="1" t="s">
        <v>22</v>
      </c>
      <c r="B3864" s="1" t="s">
        <v>96</v>
      </c>
      <c r="C3864" s="1" t="s">
        <v>2295</v>
      </c>
      <c r="D3864" s="1">
        <v>2.0</v>
      </c>
      <c r="E3864" s="1">
        <v>68.0</v>
      </c>
      <c r="F3864" s="1">
        <v>1.0</v>
      </c>
      <c r="G3864" s="1">
        <v>3.0</v>
      </c>
      <c r="H3864" s="1" t="s">
        <v>181</v>
      </c>
      <c r="I3864" s="1" t="s">
        <v>37</v>
      </c>
      <c r="J3864" s="1" t="s">
        <v>18</v>
      </c>
      <c r="K3864" s="1">
        <v>19000.0</v>
      </c>
      <c r="L3864" s="1">
        <v>57.0289807</v>
      </c>
      <c r="M3864" s="1">
        <v>24.1100786</v>
      </c>
    </row>
    <row r="3865">
      <c r="A3865" s="1" t="s">
        <v>22</v>
      </c>
      <c r="B3865" s="1" t="s">
        <v>28</v>
      </c>
      <c r="C3865" s="1" t="s">
        <v>2296</v>
      </c>
      <c r="D3865" s="1">
        <v>1.0</v>
      </c>
      <c r="E3865" s="1">
        <v>30.0</v>
      </c>
      <c r="F3865" s="1">
        <v>1.0</v>
      </c>
      <c r="G3865" s="1">
        <v>5.0</v>
      </c>
      <c r="H3865" s="1" t="s">
        <v>16</v>
      </c>
      <c r="I3865" s="1" t="s">
        <v>21</v>
      </c>
      <c r="J3865" s="1" t="s">
        <v>18</v>
      </c>
      <c r="K3865" s="1">
        <v>29500.0</v>
      </c>
      <c r="L3865" s="1">
        <v>56.94462625</v>
      </c>
      <c r="M3865" s="1">
        <v>24.1128920424425</v>
      </c>
    </row>
    <row r="3866">
      <c r="A3866" s="1" t="s">
        <v>22</v>
      </c>
      <c r="B3866" s="1" t="s">
        <v>52</v>
      </c>
      <c r="C3866" s="1" t="s">
        <v>2297</v>
      </c>
      <c r="D3866" s="1">
        <v>4.0</v>
      </c>
      <c r="E3866" s="1">
        <v>90.0</v>
      </c>
      <c r="F3866" s="1">
        <v>4.0</v>
      </c>
      <c r="G3866" s="1">
        <v>9.0</v>
      </c>
      <c r="H3866" s="1">
        <v>119.0</v>
      </c>
      <c r="I3866" s="1" t="s">
        <v>21</v>
      </c>
      <c r="J3866" s="1" t="s">
        <v>18</v>
      </c>
      <c r="K3866" s="1">
        <v>95000.0</v>
      </c>
      <c r="L3866" s="1">
        <v>56.9449087499999</v>
      </c>
      <c r="M3866" s="1">
        <v>24.0089753169377</v>
      </c>
    </row>
    <row r="3867">
      <c r="A3867" s="1" t="s">
        <v>22</v>
      </c>
      <c r="B3867" s="1" t="s">
        <v>74</v>
      </c>
      <c r="C3867" s="1" t="s">
        <v>960</v>
      </c>
      <c r="D3867" s="1">
        <v>1.0</v>
      </c>
      <c r="E3867" s="1">
        <v>37.0</v>
      </c>
      <c r="F3867" s="1">
        <v>3.0</v>
      </c>
      <c r="G3867" s="1">
        <v>5.0</v>
      </c>
      <c r="H3867" s="1">
        <v>103.0</v>
      </c>
      <c r="I3867" s="1" t="s">
        <v>37</v>
      </c>
      <c r="J3867" s="1" t="s">
        <v>18</v>
      </c>
      <c r="K3867" s="1">
        <v>33000.0</v>
      </c>
      <c r="L3867" s="1">
        <v>56.9521699</v>
      </c>
      <c r="M3867" s="1">
        <v>24.1956952983417</v>
      </c>
    </row>
    <row r="3868">
      <c r="A3868" s="1" t="s">
        <v>22</v>
      </c>
      <c r="B3868" s="1" t="s">
        <v>38</v>
      </c>
      <c r="C3868" s="1" t="s">
        <v>165</v>
      </c>
      <c r="D3868" s="1">
        <v>3.0</v>
      </c>
      <c r="E3868" s="1">
        <v>95.0</v>
      </c>
      <c r="F3868" s="1">
        <v>8.0</v>
      </c>
      <c r="G3868" s="1">
        <v>24.0</v>
      </c>
      <c r="H3868" s="1" t="s">
        <v>32</v>
      </c>
      <c r="I3868" s="1" t="s">
        <v>33</v>
      </c>
      <c r="J3868" s="1" t="s">
        <v>18</v>
      </c>
      <c r="K3868" s="1">
        <v>180000.0</v>
      </c>
      <c r="L3868" s="1">
        <v>56.9590306</v>
      </c>
      <c r="M3868" s="1">
        <v>24.013887042853</v>
      </c>
    </row>
    <row r="3869">
      <c r="A3869" s="1" t="s">
        <v>22</v>
      </c>
      <c r="B3869" s="1" t="s">
        <v>151</v>
      </c>
      <c r="C3869" s="1" t="s">
        <v>2298</v>
      </c>
      <c r="D3869" s="1">
        <v>3.0</v>
      </c>
      <c r="E3869" s="1">
        <v>82.0</v>
      </c>
      <c r="F3869" s="1">
        <v>9.0</v>
      </c>
      <c r="G3869" s="1">
        <v>10.0</v>
      </c>
      <c r="H3869" s="1">
        <v>119.0</v>
      </c>
      <c r="I3869" s="1" t="s">
        <v>21</v>
      </c>
      <c r="J3869" s="1" t="s">
        <v>18</v>
      </c>
      <c r="K3869" s="1">
        <v>77500.0</v>
      </c>
      <c r="L3869" s="1">
        <v>56.965298</v>
      </c>
      <c r="M3869" s="1">
        <v>24.0573721</v>
      </c>
    </row>
    <row r="3870">
      <c r="A3870" s="1" t="s">
        <v>22</v>
      </c>
      <c r="B3870" s="1" t="s">
        <v>23</v>
      </c>
      <c r="C3870" s="1" t="s">
        <v>616</v>
      </c>
      <c r="D3870" s="1">
        <v>2.0</v>
      </c>
      <c r="E3870" s="1">
        <v>57.0</v>
      </c>
      <c r="F3870" s="1">
        <v>5.0</v>
      </c>
      <c r="G3870" s="1">
        <v>7.0</v>
      </c>
      <c r="H3870" s="1" t="s">
        <v>32</v>
      </c>
      <c r="I3870" s="1" t="s">
        <v>33</v>
      </c>
      <c r="J3870" s="1" t="s">
        <v>18</v>
      </c>
      <c r="K3870" s="1">
        <v>162000.0</v>
      </c>
      <c r="L3870" s="1">
        <v>56.9596279</v>
      </c>
      <c r="M3870" s="1">
        <v>24.1079909</v>
      </c>
    </row>
    <row r="3871">
      <c r="A3871" s="1" t="s">
        <v>22</v>
      </c>
      <c r="B3871" s="1" t="s">
        <v>218</v>
      </c>
      <c r="C3871" s="1" t="s">
        <v>353</v>
      </c>
      <c r="D3871" s="1">
        <v>3.0</v>
      </c>
      <c r="E3871" s="1">
        <v>78.0</v>
      </c>
      <c r="F3871" s="1">
        <v>5.0</v>
      </c>
      <c r="G3871" s="1">
        <v>5.0</v>
      </c>
      <c r="H3871" s="1" t="s">
        <v>66</v>
      </c>
      <c r="I3871" s="1" t="s">
        <v>37</v>
      </c>
      <c r="J3871" s="1" t="s">
        <v>18</v>
      </c>
      <c r="K3871" s="1">
        <v>220000.0</v>
      </c>
      <c r="L3871" s="1">
        <v>56.9462191</v>
      </c>
      <c r="M3871" s="1">
        <v>24.1099153</v>
      </c>
    </row>
    <row r="3872">
      <c r="A3872" s="1" t="s">
        <v>89</v>
      </c>
      <c r="B3872" s="1" t="s">
        <v>42</v>
      </c>
      <c r="C3872" s="2"/>
      <c r="D3872" s="1">
        <v>6.0</v>
      </c>
      <c r="E3872" s="2"/>
      <c r="F3872" s="2"/>
      <c r="G3872" s="2"/>
      <c r="H3872" s="2"/>
      <c r="I3872" s="2"/>
      <c r="J3872" s="2"/>
      <c r="K3872" s="2"/>
      <c r="L3872" s="1">
        <v>46.3144754</v>
      </c>
      <c r="M3872" s="1">
        <v>11.0480288</v>
      </c>
    </row>
    <row r="3873">
      <c r="A3873" s="1" t="s">
        <v>13</v>
      </c>
      <c r="B3873" s="1" t="s">
        <v>52</v>
      </c>
      <c r="C3873" s="1" t="s">
        <v>2299</v>
      </c>
      <c r="D3873" s="1">
        <v>4.0</v>
      </c>
      <c r="E3873" s="1">
        <v>136.0</v>
      </c>
      <c r="F3873" s="1">
        <v>2.0</v>
      </c>
      <c r="G3873" s="1">
        <v>5.0</v>
      </c>
      <c r="H3873" s="1" t="s">
        <v>32</v>
      </c>
      <c r="I3873" s="1" t="s">
        <v>122</v>
      </c>
      <c r="J3873" s="1" t="s">
        <v>18</v>
      </c>
      <c r="K3873" s="1">
        <v>1100.0</v>
      </c>
      <c r="L3873" s="1">
        <v>56.93640045</v>
      </c>
      <c r="M3873" s="1">
        <v>24.0176289889575</v>
      </c>
    </row>
    <row r="3874">
      <c r="A3874" s="1" t="s">
        <v>22</v>
      </c>
      <c r="B3874" s="1" t="s">
        <v>48</v>
      </c>
      <c r="C3874" s="1" t="s">
        <v>365</v>
      </c>
      <c r="D3874" s="1">
        <v>3.0</v>
      </c>
      <c r="E3874" s="1">
        <v>92.0</v>
      </c>
      <c r="F3874" s="1">
        <v>2.0</v>
      </c>
      <c r="G3874" s="1">
        <v>5.0</v>
      </c>
      <c r="H3874" s="1" t="s">
        <v>32</v>
      </c>
      <c r="I3874" s="1" t="s">
        <v>17</v>
      </c>
      <c r="J3874" s="1" t="s">
        <v>18</v>
      </c>
      <c r="K3874" s="1">
        <v>136000.0</v>
      </c>
      <c r="L3874" s="1">
        <v>56.95546705</v>
      </c>
      <c r="M3874" s="1">
        <v>24.24181865</v>
      </c>
    </row>
    <row r="3875">
      <c r="A3875" s="1" t="s">
        <v>131</v>
      </c>
      <c r="B3875" s="1" t="s">
        <v>23</v>
      </c>
      <c r="C3875" s="2"/>
      <c r="D3875" s="1">
        <v>3.0</v>
      </c>
      <c r="E3875" s="1">
        <v>60.0</v>
      </c>
      <c r="F3875" s="1">
        <v>2.0</v>
      </c>
      <c r="G3875" s="2"/>
      <c r="H3875" s="2"/>
      <c r="I3875" s="2"/>
      <c r="J3875" s="1" t="s">
        <v>18</v>
      </c>
      <c r="K3875" s="2"/>
      <c r="L3875" s="1">
        <v>46.3144754</v>
      </c>
      <c r="M3875" s="1">
        <v>11.0480288</v>
      </c>
    </row>
    <row r="3876">
      <c r="A3876" s="1" t="s">
        <v>22</v>
      </c>
      <c r="B3876" s="1" t="s">
        <v>14</v>
      </c>
      <c r="C3876" s="1" t="s">
        <v>2061</v>
      </c>
      <c r="D3876" s="1">
        <v>2.0</v>
      </c>
      <c r="E3876" s="1">
        <v>86.0</v>
      </c>
      <c r="F3876" s="1">
        <v>6.0</v>
      </c>
      <c r="G3876" s="1">
        <v>9.0</v>
      </c>
      <c r="H3876" s="1" t="s">
        <v>32</v>
      </c>
      <c r="I3876" s="1" t="s">
        <v>21</v>
      </c>
      <c r="J3876" s="1" t="s">
        <v>18</v>
      </c>
      <c r="K3876" s="1">
        <v>99000.0</v>
      </c>
      <c r="L3876" s="1">
        <v>56.95305905</v>
      </c>
      <c r="M3876" s="1">
        <v>24.1895784205048</v>
      </c>
    </row>
    <row r="3877">
      <c r="A3877" s="1" t="s">
        <v>13</v>
      </c>
      <c r="B3877" s="1" t="s">
        <v>48</v>
      </c>
      <c r="C3877" s="1" t="s">
        <v>1230</v>
      </c>
      <c r="D3877" s="1">
        <v>2.0</v>
      </c>
      <c r="E3877" s="1">
        <v>50.0</v>
      </c>
      <c r="F3877" s="1">
        <v>7.0</v>
      </c>
      <c r="G3877" s="1">
        <v>9.0</v>
      </c>
      <c r="H3877" s="1">
        <v>602.0</v>
      </c>
      <c r="I3877" s="1" t="s">
        <v>21</v>
      </c>
      <c r="J3877" s="1" t="s">
        <v>18</v>
      </c>
      <c r="K3877" s="1">
        <v>290.0</v>
      </c>
      <c r="L3877" s="1">
        <v>56.970495</v>
      </c>
      <c r="M3877" s="1">
        <v>24.2327076100665</v>
      </c>
    </row>
    <row r="3878">
      <c r="A3878" s="1" t="s">
        <v>22</v>
      </c>
      <c r="B3878" s="1" t="s">
        <v>28</v>
      </c>
      <c r="C3878" s="1" t="s">
        <v>809</v>
      </c>
      <c r="D3878" s="1">
        <v>2.0</v>
      </c>
      <c r="E3878" s="1">
        <v>44.0</v>
      </c>
      <c r="F3878" s="1">
        <v>3.0</v>
      </c>
      <c r="G3878" s="1">
        <v>5.0</v>
      </c>
      <c r="H3878" s="1" t="s">
        <v>32</v>
      </c>
      <c r="I3878" s="1" t="s">
        <v>21</v>
      </c>
      <c r="J3878" s="1" t="s">
        <v>18</v>
      </c>
      <c r="K3878" s="1">
        <v>55372.0</v>
      </c>
      <c r="L3878" s="1">
        <v>56.9146747</v>
      </c>
      <c r="M3878" s="1">
        <v>24.1815079346418</v>
      </c>
    </row>
    <row r="3879">
      <c r="A3879" s="1" t="s">
        <v>22</v>
      </c>
      <c r="B3879" s="1" t="s">
        <v>23</v>
      </c>
      <c r="C3879" s="1" t="s">
        <v>2300</v>
      </c>
      <c r="D3879" s="1">
        <v>2.0</v>
      </c>
      <c r="E3879" s="1">
        <v>46.0</v>
      </c>
      <c r="F3879" s="1">
        <v>2.0</v>
      </c>
      <c r="G3879" s="1">
        <v>5.0</v>
      </c>
      <c r="H3879" s="1" t="s">
        <v>36</v>
      </c>
      <c r="I3879" s="1" t="s">
        <v>17</v>
      </c>
      <c r="J3879" s="1" t="s">
        <v>18</v>
      </c>
      <c r="K3879" s="1">
        <v>58000.0</v>
      </c>
      <c r="L3879" s="1">
        <v>56.96543915</v>
      </c>
      <c r="M3879" s="1">
        <v>24.1277784249159</v>
      </c>
    </row>
    <row r="3880">
      <c r="A3880" s="1" t="s">
        <v>22</v>
      </c>
      <c r="B3880" s="1" t="s">
        <v>23</v>
      </c>
      <c r="C3880" s="1" t="s">
        <v>2301</v>
      </c>
      <c r="D3880" s="1">
        <v>2.0</v>
      </c>
      <c r="E3880" s="1">
        <v>92.0</v>
      </c>
      <c r="F3880" s="1">
        <v>5.0</v>
      </c>
      <c r="G3880" s="1">
        <v>5.0</v>
      </c>
      <c r="H3880" s="1" t="s">
        <v>32</v>
      </c>
      <c r="I3880" s="1" t="s">
        <v>33</v>
      </c>
      <c r="J3880" s="1" t="s">
        <v>18</v>
      </c>
      <c r="K3880" s="1">
        <v>172800.0</v>
      </c>
      <c r="L3880" s="1">
        <v>56.96762275</v>
      </c>
      <c r="M3880" s="1">
        <v>24.1341670912384</v>
      </c>
    </row>
    <row r="3881">
      <c r="A3881" s="1" t="s">
        <v>22</v>
      </c>
      <c r="B3881" s="1" t="s">
        <v>23</v>
      </c>
      <c r="C3881" s="1" t="s">
        <v>2301</v>
      </c>
      <c r="D3881" s="1">
        <v>2.0</v>
      </c>
      <c r="E3881" s="1">
        <v>97.0</v>
      </c>
      <c r="F3881" s="1">
        <v>2.0</v>
      </c>
      <c r="G3881" s="1">
        <v>4.0</v>
      </c>
      <c r="H3881" s="1" t="s">
        <v>32</v>
      </c>
      <c r="I3881" s="1" t="s">
        <v>33</v>
      </c>
      <c r="J3881" s="1" t="s">
        <v>18</v>
      </c>
      <c r="K3881" s="1">
        <v>168000.0</v>
      </c>
      <c r="L3881" s="1">
        <v>56.96762275</v>
      </c>
      <c r="M3881" s="1">
        <v>24.1341670912384</v>
      </c>
    </row>
    <row r="3882">
      <c r="A3882" s="1" t="s">
        <v>22</v>
      </c>
      <c r="B3882" s="1" t="s">
        <v>48</v>
      </c>
      <c r="C3882" s="1" t="s">
        <v>680</v>
      </c>
      <c r="D3882" s="1">
        <v>4.0</v>
      </c>
      <c r="E3882" s="1">
        <v>77.0</v>
      </c>
      <c r="F3882" s="1">
        <v>7.0</v>
      </c>
      <c r="G3882" s="1">
        <v>9.0</v>
      </c>
      <c r="H3882" s="1">
        <v>602.0</v>
      </c>
      <c r="I3882" s="1" t="s">
        <v>21</v>
      </c>
      <c r="J3882" s="1" t="s">
        <v>18</v>
      </c>
      <c r="K3882" s="1">
        <v>69500.0</v>
      </c>
      <c r="L3882" s="1">
        <v>56.9613825499999</v>
      </c>
      <c r="M3882" s="1">
        <v>24.2356197499999</v>
      </c>
    </row>
    <row r="3883">
      <c r="A3883" s="1" t="s">
        <v>22</v>
      </c>
      <c r="B3883" s="1" t="s">
        <v>23</v>
      </c>
      <c r="C3883" s="1" t="s">
        <v>2302</v>
      </c>
      <c r="D3883" s="1">
        <v>1.0</v>
      </c>
      <c r="E3883" s="1">
        <v>38.0</v>
      </c>
      <c r="F3883" s="1">
        <v>1.0</v>
      </c>
      <c r="G3883" s="1">
        <v>2.0</v>
      </c>
      <c r="H3883" s="1" t="s">
        <v>25</v>
      </c>
      <c r="I3883" s="1" t="s">
        <v>26</v>
      </c>
      <c r="J3883" s="1" t="s">
        <v>18</v>
      </c>
      <c r="K3883" s="1">
        <v>35000.0</v>
      </c>
      <c r="L3883" s="1">
        <v>56.9520814</v>
      </c>
      <c r="M3883" s="1">
        <v>24.1496526443011</v>
      </c>
    </row>
    <row r="3884">
      <c r="A3884" s="1" t="s">
        <v>22</v>
      </c>
      <c r="B3884" s="1" t="s">
        <v>28</v>
      </c>
      <c r="C3884" s="1" t="s">
        <v>2303</v>
      </c>
      <c r="D3884" s="1">
        <v>2.0</v>
      </c>
      <c r="E3884" s="1">
        <v>38.0</v>
      </c>
      <c r="F3884" s="1">
        <v>4.0</v>
      </c>
      <c r="G3884" s="1">
        <v>5.0</v>
      </c>
      <c r="H3884" s="1" t="s">
        <v>16</v>
      </c>
      <c r="I3884" s="1" t="s">
        <v>21</v>
      </c>
      <c r="J3884" s="1" t="s">
        <v>18</v>
      </c>
      <c r="K3884" s="1">
        <v>38000.0</v>
      </c>
      <c r="L3884" s="1">
        <v>56.90997115</v>
      </c>
      <c r="M3884" s="1">
        <v>24.1833384198457</v>
      </c>
    </row>
    <row r="3885">
      <c r="A3885" s="1" t="s">
        <v>22</v>
      </c>
      <c r="B3885" s="1" t="s">
        <v>74</v>
      </c>
      <c r="C3885" s="1" t="s">
        <v>1985</v>
      </c>
      <c r="D3885" s="1">
        <v>2.0</v>
      </c>
      <c r="E3885" s="1">
        <v>51.0</v>
      </c>
      <c r="F3885" s="1">
        <v>3.0</v>
      </c>
      <c r="G3885" s="1">
        <v>9.0</v>
      </c>
      <c r="H3885" s="1">
        <v>602.0</v>
      </c>
      <c r="I3885" s="1" t="s">
        <v>21</v>
      </c>
      <c r="J3885" s="1" t="s">
        <v>18</v>
      </c>
      <c r="K3885" s="1">
        <v>46500.0</v>
      </c>
      <c r="L3885" s="1">
        <v>56.9426158</v>
      </c>
      <c r="M3885" s="1">
        <v>24.2218763</v>
      </c>
    </row>
    <row r="3886">
      <c r="A3886" s="1" t="s">
        <v>13</v>
      </c>
      <c r="B3886" s="1" t="s">
        <v>38</v>
      </c>
      <c r="C3886" s="1" t="s">
        <v>2304</v>
      </c>
      <c r="D3886" s="1">
        <v>2.0</v>
      </c>
      <c r="E3886" s="1">
        <v>50.0</v>
      </c>
      <c r="F3886" s="1">
        <v>4.0</v>
      </c>
      <c r="G3886" s="1">
        <v>5.0</v>
      </c>
      <c r="H3886" s="1" t="s">
        <v>16</v>
      </c>
      <c r="I3886" s="1" t="s">
        <v>21</v>
      </c>
      <c r="J3886" s="1" t="s">
        <v>18</v>
      </c>
      <c r="K3886" s="1">
        <v>300.0</v>
      </c>
      <c r="L3886" s="1">
        <v>56.9573366</v>
      </c>
      <c r="M3886" s="1">
        <v>24.0049942222037</v>
      </c>
    </row>
    <row r="3887">
      <c r="A3887" s="1" t="s">
        <v>22</v>
      </c>
      <c r="B3887" s="1" t="s">
        <v>129</v>
      </c>
      <c r="C3887" s="1" t="s">
        <v>2305</v>
      </c>
      <c r="D3887" s="1">
        <v>2.0</v>
      </c>
      <c r="E3887" s="1">
        <v>44.0</v>
      </c>
      <c r="F3887" s="1">
        <v>1.0</v>
      </c>
      <c r="G3887" s="1">
        <v>5.0</v>
      </c>
      <c r="H3887" s="1" t="s">
        <v>181</v>
      </c>
      <c r="I3887" s="1" t="s">
        <v>37</v>
      </c>
      <c r="J3887" s="1" t="s">
        <v>18</v>
      </c>
      <c r="K3887" s="1">
        <v>34000.0</v>
      </c>
      <c r="L3887" s="1">
        <v>56.9963311</v>
      </c>
      <c r="M3887" s="1">
        <v>24.1244258578147</v>
      </c>
    </row>
    <row r="3888">
      <c r="A3888" s="1" t="s">
        <v>13</v>
      </c>
      <c r="B3888" s="1" t="s">
        <v>174</v>
      </c>
      <c r="C3888" s="1" t="s">
        <v>2306</v>
      </c>
      <c r="D3888" s="1">
        <v>3.0</v>
      </c>
      <c r="E3888" s="1">
        <v>63.0</v>
      </c>
      <c r="F3888" s="1">
        <v>2.0</v>
      </c>
      <c r="G3888" s="1">
        <v>9.0</v>
      </c>
      <c r="H3888" s="1">
        <v>602.0</v>
      </c>
      <c r="I3888" s="1" t="s">
        <v>21</v>
      </c>
      <c r="J3888" s="1" t="s">
        <v>18</v>
      </c>
      <c r="K3888" s="1">
        <v>240.0</v>
      </c>
      <c r="L3888" s="1">
        <v>56.94682325</v>
      </c>
      <c r="M3888" s="1">
        <v>24.169129114795</v>
      </c>
    </row>
    <row r="3889">
      <c r="A3889" s="1" t="s">
        <v>22</v>
      </c>
      <c r="B3889" s="1" t="s">
        <v>48</v>
      </c>
      <c r="C3889" s="1" t="s">
        <v>2307</v>
      </c>
      <c r="D3889" s="1">
        <v>3.0</v>
      </c>
      <c r="E3889" s="1">
        <v>60.0</v>
      </c>
      <c r="F3889" s="1">
        <v>3.0</v>
      </c>
      <c r="G3889" s="1">
        <v>5.0</v>
      </c>
      <c r="H3889" s="1" t="s">
        <v>16</v>
      </c>
      <c r="I3889" s="1" t="s">
        <v>37</v>
      </c>
      <c r="J3889" s="1" t="s">
        <v>18</v>
      </c>
      <c r="K3889" s="1">
        <v>55000.0</v>
      </c>
      <c r="L3889" s="1">
        <v>56.95822195</v>
      </c>
      <c r="M3889" s="1">
        <v>24.29356955</v>
      </c>
    </row>
    <row r="3890">
      <c r="A3890" s="1" t="s">
        <v>22</v>
      </c>
      <c r="B3890" s="1" t="s">
        <v>76</v>
      </c>
      <c r="C3890" s="1" t="s">
        <v>2235</v>
      </c>
      <c r="D3890" s="1">
        <v>2.0</v>
      </c>
      <c r="E3890" s="1">
        <v>66.0</v>
      </c>
      <c r="F3890" s="1">
        <v>2.0</v>
      </c>
      <c r="G3890" s="1">
        <v>5.0</v>
      </c>
      <c r="H3890" s="1" t="s">
        <v>181</v>
      </c>
      <c r="I3890" s="1" t="s">
        <v>33</v>
      </c>
      <c r="J3890" s="1" t="s">
        <v>18</v>
      </c>
      <c r="K3890" s="1">
        <v>75000.0</v>
      </c>
      <c r="L3890" s="1">
        <v>56.9559909</v>
      </c>
      <c r="M3890" s="1">
        <v>24.0695827</v>
      </c>
    </row>
    <row r="3891">
      <c r="A3891" s="1" t="s">
        <v>13</v>
      </c>
      <c r="B3891" s="1" t="s">
        <v>422</v>
      </c>
      <c r="C3891" s="1" t="s">
        <v>2070</v>
      </c>
      <c r="D3891" s="1">
        <v>1.0</v>
      </c>
      <c r="E3891" s="1">
        <v>25.0</v>
      </c>
      <c r="F3891" s="1">
        <v>2.0</v>
      </c>
      <c r="G3891" s="1">
        <v>3.0</v>
      </c>
      <c r="H3891" s="1" t="s">
        <v>36</v>
      </c>
      <c r="I3891" s="1" t="s">
        <v>33</v>
      </c>
      <c r="J3891" s="1" t="s">
        <v>18</v>
      </c>
      <c r="K3891" s="1">
        <v>250.0</v>
      </c>
      <c r="L3891" s="1">
        <v>56.9492021</v>
      </c>
      <c r="M3891" s="1">
        <v>23.9587415</v>
      </c>
    </row>
    <row r="3892">
      <c r="A3892" s="1" t="s">
        <v>22</v>
      </c>
      <c r="B3892" s="1" t="s">
        <v>134</v>
      </c>
      <c r="C3892" s="1" t="s">
        <v>2308</v>
      </c>
      <c r="D3892" s="1">
        <v>3.0</v>
      </c>
      <c r="E3892" s="1">
        <v>65.0</v>
      </c>
      <c r="F3892" s="1">
        <v>1.0</v>
      </c>
      <c r="G3892" s="1">
        <v>5.0</v>
      </c>
      <c r="H3892" s="1" t="s">
        <v>36</v>
      </c>
      <c r="I3892" s="1" t="s">
        <v>21</v>
      </c>
      <c r="J3892" s="1" t="s">
        <v>18</v>
      </c>
      <c r="K3892" s="1">
        <v>39000.0</v>
      </c>
      <c r="L3892" s="1">
        <v>57.04145835</v>
      </c>
      <c r="M3892" s="1">
        <v>24.0329913200241</v>
      </c>
    </row>
    <row r="3893">
      <c r="A3893" s="1" t="s">
        <v>13</v>
      </c>
      <c r="B3893" s="1" t="s">
        <v>23</v>
      </c>
      <c r="C3893" s="1" t="s">
        <v>91</v>
      </c>
      <c r="D3893" s="1">
        <v>1.0</v>
      </c>
      <c r="E3893" s="1">
        <v>43.0</v>
      </c>
      <c r="F3893" s="1">
        <v>3.0</v>
      </c>
      <c r="G3893" s="1">
        <v>7.0</v>
      </c>
      <c r="H3893" s="1" t="s">
        <v>32</v>
      </c>
      <c r="I3893" s="1" t="s">
        <v>33</v>
      </c>
      <c r="J3893" s="1" t="s">
        <v>18</v>
      </c>
      <c r="K3893" s="1">
        <v>37.0</v>
      </c>
      <c r="L3893" s="1">
        <v>56.9552522</v>
      </c>
      <c r="M3893" s="1">
        <v>24.0999991251943</v>
      </c>
    </row>
    <row r="3894">
      <c r="A3894" s="1" t="s">
        <v>13</v>
      </c>
      <c r="B3894" s="1" t="s">
        <v>14</v>
      </c>
      <c r="C3894" s="1" t="s">
        <v>1152</v>
      </c>
      <c r="D3894" s="1">
        <v>2.0</v>
      </c>
      <c r="E3894" s="1">
        <v>50.0</v>
      </c>
      <c r="F3894" s="1">
        <v>7.0</v>
      </c>
      <c r="G3894" s="1">
        <v>9.0</v>
      </c>
      <c r="H3894" s="1">
        <v>602.0</v>
      </c>
      <c r="I3894" s="1" t="s">
        <v>21</v>
      </c>
      <c r="J3894" s="1" t="s">
        <v>18</v>
      </c>
      <c r="K3894" s="1">
        <v>350.0</v>
      </c>
      <c r="L3894" s="1">
        <v>56.96295835</v>
      </c>
      <c r="M3894" s="1">
        <v>24.1873444133421</v>
      </c>
    </row>
    <row r="3895">
      <c r="A3895" s="1" t="s">
        <v>22</v>
      </c>
      <c r="B3895" s="1" t="s">
        <v>23</v>
      </c>
      <c r="C3895" s="1" t="s">
        <v>851</v>
      </c>
      <c r="D3895" s="1">
        <v>3.0</v>
      </c>
      <c r="E3895" s="1">
        <v>127.0</v>
      </c>
      <c r="F3895" s="1">
        <v>2.0</v>
      </c>
      <c r="G3895" s="1">
        <v>3.0</v>
      </c>
      <c r="H3895" s="1" t="s">
        <v>32</v>
      </c>
      <c r="I3895" s="1" t="s">
        <v>37</v>
      </c>
      <c r="J3895" s="1" t="s">
        <v>18</v>
      </c>
      <c r="K3895" s="1">
        <v>198000.0</v>
      </c>
      <c r="L3895" s="1">
        <v>56.96428355</v>
      </c>
      <c r="M3895" s="1">
        <v>24.124554147986</v>
      </c>
    </row>
    <row r="3896">
      <c r="A3896" s="1" t="s">
        <v>22</v>
      </c>
      <c r="B3896" s="1" t="s">
        <v>28</v>
      </c>
      <c r="C3896" s="1" t="s">
        <v>1146</v>
      </c>
      <c r="D3896" s="1">
        <v>3.0</v>
      </c>
      <c r="E3896" s="1">
        <v>61.0</v>
      </c>
      <c r="F3896" s="1">
        <v>1.0</v>
      </c>
      <c r="G3896" s="1">
        <v>5.0</v>
      </c>
      <c r="H3896" s="1" t="s">
        <v>44</v>
      </c>
      <c r="I3896" s="1" t="s">
        <v>21</v>
      </c>
      <c r="J3896" s="1" t="s">
        <v>18</v>
      </c>
      <c r="K3896" s="1">
        <v>53500.0</v>
      </c>
      <c r="L3896" s="1">
        <v>56.8597884</v>
      </c>
      <c r="M3896" s="1">
        <v>24.3083417</v>
      </c>
    </row>
    <row r="3897">
      <c r="A3897" s="1" t="s">
        <v>89</v>
      </c>
      <c r="B3897" s="1" t="s">
        <v>23</v>
      </c>
      <c r="C3897" s="2"/>
      <c r="D3897" s="1">
        <v>2.0</v>
      </c>
      <c r="E3897" s="2"/>
      <c r="F3897" s="2"/>
      <c r="G3897" s="2"/>
      <c r="H3897" s="2"/>
      <c r="I3897" s="2"/>
      <c r="J3897" s="2"/>
      <c r="K3897" s="2"/>
      <c r="L3897" s="1">
        <v>46.3144754</v>
      </c>
      <c r="M3897" s="1">
        <v>11.0480288</v>
      </c>
    </row>
    <row r="3898">
      <c r="A3898" s="1" t="s">
        <v>22</v>
      </c>
      <c r="B3898" s="1" t="s">
        <v>23</v>
      </c>
      <c r="C3898" s="1" t="s">
        <v>554</v>
      </c>
      <c r="D3898" s="1">
        <v>2.0</v>
      </c>
      <c r="E3898" s="1">
        <v>55.0</v>
      </c>
      <c r="F3898" s="1">
        <v>3.0</v>
      </c>
      <c r="G3898" s="1">
        <v>5.0</v>
      </c>
      <c r="H3898" s="1" t="s">
        <v>25</v>
      </c>
      <c r="I3898" s="1" t="s">
        <v>33</v>
      </c>
      <c r="J3898" s="1" t="s">
        <v>18</v>
      </c>
      <c r="K3898" s="1">
        <v>89000.0</v>
      </c>
      <c r="L3898" s="1">
        <v>56.95172905</v>
      </c>
      <c r="M3898" s="1">
        <v>24.1258148944244</v>
      </c>
    </row>
    <row r="3899">
      <c r="A3899" s="1" t="s">
        <v>22</v>
      </c>
      <c r="B3899" s="1" t="s">
        <v>45</v>
      </c>
      <c r="C3899" s="1" t="s">
        <v>2309</v>
      </c>
      <c r="D3899" s="1">
        <v>1.0</v>
      </c>
      <c r="E3899" s="1">
        <v>25.0</v>
      </c>
      <c r="F3899" s="1">
        <v>2.0</v>
      </c>
      <c r="G3899" s="1">
        <v>2.0</v>
      </c>
      <c r="H3899" s="1" t="s">
        <v>25</v>
      </c>
      <c r="I3899" s="1" t="s">
        <v>33</v>
      </c>
      <c r="J3899" s="1" t="s">
        <v>18</v>
      </c>
      <c r="K3899" s="1">
        <v>25000.0</v>
      </c>
      <c r="L3899" s="1">
        <v>57.021333</v>
      </c>
      <c r="M3899" s="1">
        <v>24.13098685</v>
      </c>
    </row>
    <row r="3900">
      <c r="A3900" s="1" t="s">
        <v>22</v>
      </c>
      <c r="B3900" s="1" t="s">
        <v>14</v>
      </c>
      <c r="C3900" s="1" t="s">
        <v>2310</v>
      </c>
      <c r="D3900" s="1">
        <v>2.0</v>
      </c>
      <c r="E3900" s="1">
        <v>39.0</v>
      </c>
      <c r="F3900" s="1">
        <v>2.0</v>
      </c>
      <c r="G3900" s="1">
        <v>5.0</v>
      </c>
      <c r="H3900" s="1" t="s">
        <v>44</v>
      </c>
      <c r="I3900" s="1" t="s">
        <v>37</v>
      </c>
      <c r="J3900" s="1" t="s">
        <v>18</v>
      </c>
      <c r="K3900" s="1">
        <v>35500.0</v>
      </c>
      <c r="L3900" s="1">
        <v>56.97017405</v>
      </c>
      <c r="M3900" s="1">
        <v>24.1780710627907</v>
      </c>
    </row>
    <row r="3901">
      <c r="A3901" s="1" t="s">
        <v>131</v>
      </c>
      <c r="B3901" s="1" t="s">
        <v>23</v>
      </c>
      <c r="C3901" s="2"/>
      <c r="D3901" s="1">
        <v>2.0</v>
      </c>
      <c r="E3901" s="2"/>
      <c r="F3901" s="2"/>
      <c r="G3901" s="2"/>
      <c r="H3901" s="2"/>
      <c r="I3901" s="2"/>
      <c r="J3901" s="2"/>
      <c r="K3901" s="2"/>
      <c r="L3901" s="1">
        <v>46.3144754</v>
      </c>
      <c r="M3901" s="1">
        <v>11.0480288</v>
      </c>
    </row>
    <row r="3902">
      <c r="A3902" s="1" t="s">
        <v>13</v>
      </c>
      <c r="B3902" s="1" t="s">
        <v>48</v>
      </c>
      <c r="C3902" s="1" t="s">
        <v>2311</v>
      </c>
      <c r="D3902" s="1">
        <v>2.0</v>
      </c>
      <c r="E3902" s="1">
        <v>42.0</v>
      </c>
      <c r="F3902" s="1">
        <v>4.0</v>
      </c>
      <c r="G3902" s="1">
        <v>5.0</v>
      </c>
      <c r="H3902" s="1" t="s">
        <v>32</v>
      </c>
      <c r="I3902" s="1" t="s">
        <v>21</v>
      </c>
      <c r="J3902" s="1" t="s">
        <v>18</v>
      </c>
      <c r="K3902" s="1">
        <v>420.0</v>
      </c>
      <c r="L3902" s="1">
        <v>56.9541725</v>
      </c>
      <c r="M3902" s="1">
        <v>24.2443253</v>
      </c>
    </row>
    <row r="3903">
      <c r="A3903" s="1" t="s">
        <v>22</v>
      </c>
      <c r="B3903" s="1" t="s">
        <v>42</v>
      </c>
      <c r="C3903" s="1" t="s">
        <v>1196</v>
      </c>
      <c r="D3903" s="1">
        <v>2.0</v>
      </c>
      <c r="E3903" s="1">
        <v>47.26</v>
      </c>
      <c r="F3903" s="1">
        <v>2.0</v>
      </c>
      <c r="G3903" s="1">
        <v>5.0</v>
      </c>
      <c r="H3903" s="1" t="s">
        <v>44</v>
      </c>
      <c r="I3903" s="1" t="s">
        <v>21</v>
      </c>
      <c r="J3903" s="1" t="s">
        <v>18</v>
      </c>
      <c r="K3903" s="1">
        <v>36500.0</v>
      </c>
      <c r="L3903" s="1">
        <v>56.9776497</v>
      </c>
      <c r="M3903" s="1">
        <v>24.2485277405401</v>
      </c>
    </row>
    <row r="3904">
      <c r="A3904" s="1" t="s">
        <v>22</v>
      </c>
      <c r="B3904" s="1" t="s">
        <v>42</v>
      </c>
      <c r="C3904" s="1" t="s">
        <v>1908</v>
      </c>
      <c r="D3904" s="1">
        <v>3.0</v>
      </c>
      <c r="E3904" s="1">
        <v>57.0</v>
      </c>
      <c r="F3904" s="1">
        <v>4.0</v>
      </c>
      <c r="G3904" s="1">
        <v>5.0</v>
      </c>
      <c r="H3904" s="1" t="s">
        <v>44</v>
      </c>
      <c r="I3904" s="1" t="s">
        <v>21</v>
      </c>
      <c r="J3904" s="1" t="s">
        <v>18</v>
      </c>
      <c r="K3904" s="1">
        <v>52000.0</v>
      </c>
      <c r="L3904" s="1">
        <v>56.9820832</v>
      </c>
      <c r="M3904" s="1">
        <v>24.2512169555717</v>
      </c>
    </row>
    <row r="3905">
      <c r="A3905" s="1" t="s">
        <v>13</v>
      </c>
      <c r="B3905" s="1" t="s">
        <v>19</v>
      </c>
      <c r="C3905" s="1" t="s">
        <v>56</v>
      </c>
      <c r="D3905" s="1">
        <v>1.0</v>
      </c>
      <c r="E3905" s="1">
        <v>44.0</v>
      </c>
      <c r="F3905" s="1">
        <v>3.0</v>
      </c>
      <c r="G3905" s="1">
        <v>9.0</v>
      </c>
      <c r="H3905" s="1" t="s">
        <v>57</v>
      </c>
      <c r="I3905" s="1" t="s">
        <v>21</v>
      </c>
      <c r="J3905" s="1" t="s">
        <v>18</v>
      </c>
      <c r="K3905" s="1">
        <v>230.0</v>
      </c>
      <c r="L3905" s="1">
        <v>56.9014001</v>
      </c>
      <c r="M3905" s="1">
        <v>24.0998855645099</v>
      </c>
    </row>
    <row r="3906">
      <c r="A3906" s="1" t="s">
        <v>22</v>
      </c>
      <c r="B3906" s="1" t="s">
        <v>52</v>
      </c>
      <c r="C3906" s="1" t="s">
        <v>2177</v>
      </c>
      <c r="D3906" s="1">
        <v>1.0</v>
      </c>
      <c r="E3906" s="1">
        <v>46.0</v>
      </c>
      <c r="F3906" s="1">
        <v>6.0</v>
      </c>
      <c r="G3906" s="1">
        <v>9.0</v>
      </c>
      <c r="H3906" s="1">
        <v>119.0</v>
      </c>
      <c r="I3906" s="1" t="s">
        <v>21</v>
      </c>
      <c r="J3906" s="1" t="s">
        <v>18</v>
      </c>
      <c r="K3906" s="1">
        <v>48000.0</v>
      </c>
      <c r="L3906" s="1">
        <v>56.9432218</v>
      </c>
      <c r="M3906" s="1">
        <v>24.0062318671885</v>
      </c>
    </row>
    <row r="3907">
      <c r="A3907" s="1" t="s">
        <v>22</v>
      </c>
      <c r="B3907" s="1" t="s">
        <v>23</v>
      </c>
      <c r="C3907" s="1" t="s">
        <v>1672</v>
      </c>
      <c r="D3907" s="1">
        <v>3.0</v>
      </c>
      <c r="E3907" s="1">
        <v>59.7</v>
      </c>
      <c r="F3907" s="1">
        <v>5.0</v>
      </c>
      <c r="G3907" s="1">
        <v>4.0</v>
      </c>
      <c r="H3907" s="1" t="s">
        <v>181</v>
      </c>
      <c r="I3907" s="1" t="s">
        <v>122</v>
      </c>
      <c r="J3907" s="1" t="s">
        <v>18</v>
      </c>
      <c r="K3907" s="1">
        <v>101500.0</v>
      </c>
      <c r="L3907" s="1">
        <v>56.95619685</v>
      </c>
      <c r="M3907" s="1">
        <v>24.098819615355</v>
      </c>
    </row>
    <row r="3908">
      <c r="A3908" s="1" t="s">
        <v>22</v>
      </c>
      <c r="B3908" s="1" t="s">
        <v>23</v>
      </c>
      <c r="C3908" s="1" t="s">
        <v>1561</v>
      </c>
      <c r="D3908" s="1">
        <v>2.0</v>
      </c>
      <c r="E3908" s="1">
        <v>59.0</v>
      </c>
      <c r="F3908" s="1">
        <v>1.0</v>
      </c>
      <c r="G3908" s="1">
        <v>6.0</v>
      </c>
      <c r="H3908" s="1" t="s">
        <v>32</v>
      </c>
      <c r="I3908" s="1" t="s">
        <v>122</v>
      </c>
      <c r="J3908" s="1" t="s">
        <v>18</v>
      </c>
      <c r="K3908" s="1">
        <v>76000.0</v>
      </c>
      <c r="L3908" s="1">
        <v>56.9716816</v>
      </c>
      <c r="M3908" s="1">
        <v>24.1021951</v>
      </c>
    </row>
    <row r="3909">
      <c r="A3909" s="1" t="s">
        <v>22</v>
      </c>
      <c r="B3909" s="1" t="s">
        <v>52</v>
      </c>
      <c r="C3909" s="1" t="s">
        <v>2312</v>
      </c>
      <c r="D3909" s="1">
        <v>3.0</v>
      </c>
      <c r="E3909" s="1">
        <v>75.0</v>
      </c>
      <c r="F3909" s="1">
        <v>2.0</v>
      </c>
      <c r="G3909" s="1">
        <v>4.0</v>
      </c>
      <c r="H3909" s="1" t="s">
        <v>36</v>
      </c>
      <c r="I3909" s="1" t="s">
        <v>33</v>
      </c>
      <c r="J3909" s="1" t="s">
        <v>18</v>
      </c>
      <c r="K3909" s="1">
        <v>125000.0</v>
      </c>
      <c r="L3909" s="1">
        <v>56.9438879</v>
      </c>
      <c r="M3909" s="1">
        <v>24.021638473844</v>
      </c>
    </row>
    <row r="3910">
      <c r="A3910" s="1" t="s">
        <v>22</v>
      </c>
      <c r="B3910" s="1" t="s">
        <v>104</v>
      </c>
      <c r="C3910" s="1" t="s">
        <v>1403</v>
      </c>
      <c r="D3910" s="1">
        <v>3.0</v>
      </c>
      <c r="E3910" s="1">
        <v>60.0</v>
      </c>
      <c r="F3910" s="1">
        <v>5.0</v>
      </c>
      <c r="G3910" s="1">
        <v>5.0</v>
      </c>
      <c r="H3910" s="1" t="s">
        <v>44</v>
      </c>
      <c r="I3910" s="1" t="s">
        <v>21</v>
      </c>
      <c r="J3910" s="1" t="s">
        <v>18</v>
      </c>
      <c r="K3910" s="1">
        <v>75000.0</v>
      </c>
      <c r="L3910" s="1">
        <v>56.94578335</v>
      </c>
      <c r="M3910" s="1">
        <v>24.0643504483302</v>
      </c>
    </row>
    <row r="3911">
      <c r="A3911" s="1" t="s">
        <v>22</v>
      </c>
      <c r="B3911" s="1" t="s">
        <v>74</v>
      </c>
      <c r="C3911" s="1" t="s">
        <v>973</v>
      </c>
      <c r="D3911" s="1">
        <v>2.0</v>
      </c>
      <c r="E3911" s="1">
        <v>51.0</v>
      </c>
      <c r="F3911" s="1">
        <v>6.0</v>
      </c>
      <c r="G3911" s="1">
        <v>9.0</v>
      </c>
      <c r="H3911" s="1">
        <v>602.0</v>
      </c>
      <c r="I3911" s="1" t="s">
        <v>21</v>
      </c>
      <c r="J3911" s="1" t="s">
        <v>18</v>
      </c>
      <c r="K3911" s="1">
        <v>53950.0</v>
      </c>
      <c r="L3911" s="1">
        <v>56.94249375</v>
      </c>
      <c r="M3911" s="1">
        <v>24.2107276360446</v>
      </c>
    </row>
    <row r="3912">
      <c r="A3912" s="1" t="s">
        <v>22</v>
      </c>
      <c r="B3912" s="1" t="s">
        <v>23</v>
      </c>
      <c r="C3912" s="1" t="s">
        <v>408</v>
      </c>
      <c r="D3912" s="1">
        <v>1.0</v>
      </c>
      <c r="E3912" s="1">
        <v>30.36</v>
      </c>
      <c r="F3912" s="1">
        <v>4.0</v>
      </c>
      <c r="G3912" s="1">
        <v>5.0</v>
      </c>
      <c r="H3912" s="1" t="s">
        <v>66</v>
      </c>
      <c r="I3912" s="1" t="s">
        <v>33</v>
      </c>
      <c r="J3912" s="1" t="s">
        <v>63</v>
      </c>
      <c r="K3912" s="1">
        <v>69990.0</v>
      </c>
      <c r="L3912" s="1">
        <v>56.949246</v>
      </c>
      <c r="M3912" s="1">
        <v>24.1208219161591</v>
      </c>
    </row>
    <row r="3913">
      <c r="A3913" s="1" t="s">
        <v>22</v>
      </c>
      <c r="B3913" s="1" t="s">
        <v>23</v>
      </c>
      <c r="C3913" s="1" t="s">
        <v>845</v>
      </c>
      <c r="D3913" s="1">
        <v>3.0</v>
      </c>
      <c r="E3913" s="1">
        <v>71.0</v>
      </c>
      <c r="F3913" s="1">
        <v>1.0</v>
      </c>
      <c r="G3913" s="1">
        <v>5.0</v>
      </c>
      <c r="H3913" s="1" t="s">
        <v>25</v>
      </c>
      <c r="I3913" s="1" t="s">
        <v>33</v>
      </c>
      <c r="J3913" s="1" t="s">
        <v>18</v>
      </c>
      <c r="K3913" s="1">
        <v>129000.0</v>
      </c>
      <c r="L3913" s="1">
        <v>56.9663395</v>
      </c>
      <c r="M3913" s="1">
        <v>24.1442451</v>
      </c>
    </row>
    <row r="3914">
      <c r="A3914" s="1" t="s">
        <v>13</v>
      </c>
      <c r="B3914" s="1" t="s">
        <v>23</v>
      </c>
      <c r="C3914" s="1" t="s">
        <v>282</v>
      </c>
      <c r="D3914" s="1">
        <v>1.0</v>
      </c>
      <c r="E3914" s="1">
        <v>20.0</v>
      </c>
      <c r="F3914" s="1">
        <v>3.0</v>
      </c>
      <c r="G3914" s="1">
        <v>5.0</v>
      </c>
      <c r="H3914" s="1" t="s">
        <v>25</v>
      </c>
      <c r="I3914" s="1" t="s">
        <v>33</v>
      </c>
      <c r="J3914" s="1" t="s">
        <v>18</v>
      </c>
      <c r="K3914" s="1">
        <v>300.0</v>
      </c>
      <c r="L3914" s="1">
        <v>56.9607411</v>
      </c>
      <c r="M3914" s="1">
        <v>24.1497716</v>
      </c>
    </row>
    <row r="3915">
      <c r="A3915" s="1" t="s">
        <v>13</v>
      </c>
      <c r="B3915" s="1" t="s">
        <v>23</v>
      </c>
      <c r="C3915" s="1" t="s">
        <v>2101</v>
      </c>
      <c r="D3915" s="1">
        <v>3.0</v>
      </c>
      <c r="E3915" s="1">
        <v>120.0</v>
      </c>
      <c r="F3915" s="1">
        <v>7.0</v>
      </c>
      <c r="G3915" s="1">
        <v>7.0</v>
      </c>
      <c r="H3915" s="1" t="s">
        <v>25</v>
      </c>
      <c r="I3915" s="1" t="s">
        <v>37</v>
      </c>
      <c r="J3915" s="1" t="s">
        <v>18</v>
      </c>
      <c r="K3915" s="1">
        <v>1300.0</v>
      </c>
      <c r="L3915" s="1">
        <v>56.9592805</v>
      </c>
      <c r="M3915" s="1">
        <v>24.1128099</v>
      </c>
    </row>
    <row r="3916">
      <c r="A3916" s="1" t="s">
        <v>22</v>
      </c>
      <c r="B3916" s="1" t="s">
        <v>23</v>
      </c>
      <c r="C3916" s="1" t="s">
        <v>2260</v>
      </c>
      <c r="D3916" s="1">
        <v>6.0</v>
      </c>
      <c r="E3916" s="1">
        <v>150.0</v>
      </c>
      <c r="F3916" s="1">
        <v>6.0</v>
      </c>
      <c r="G3916" s="1">
        <v>7.0</v>
      </c>
      <c r="H3916" s="1" t="s">
        <v>25</v>
      </c>
      <c r="I3916" s="1" t="s">
        <v>33</v>
      </c>
      <c r="J3916" s="1" t="s">
        <v>18</v>
      </c>
      <c r="K3916" s="1">
        <v>219000.0</v>
      </c>
      <c r="L3916" s="1">
        <v>56.9512368</v>
      </c>
      <c r="M3916" s="1">
        <v>24.1334549</v>
      </c>
    </row>
    <row r="3917">
      <c r="A3917" s="1" t="s">
        <v>22</v>
      </c>
      <c r="B3917" s="1" t="s">
        <v>28</v>
      </c>
      <c r="C3917" s="1" t="s">
        <v>2313</v>
      </c>
      <c r="D3917" s="1">
        <v>2.0</v>
      </c>
      <c r="E3917" s="1">
        <v>47.0</v>
      </c>
      <c r="F3917" s="1">
        <v>4.0</v>
      </c>
      <c r="G3917" s="1">
        <v>5.0</v>
      </c>
      <c r="H3917" s="1" t="s">
        <v>16</v>
      </c>
      <c r="I3917" s="1" t="s">
        <v>21</v>
      </c>
      <c r="J3917" s="1" t="s">
        <v>18</v>
      </c>
      <c r="K3917" s="1">
        <v>51000.0</v>
      </c>
      <c r="L3917" s="1">
        <v>56.9445851</v>
      </c>
      <c r="M3917" s="1">
        <v>24.1127805007715</v>
      </c>
    </row>
    <row r="3918">
      <c r="A3918" s="1" t="s">
        <v>13</v>
      </c>
      <c r="B3918" s="1" t="s">
        <v>23</v>
      </c>
      <c r="C3918" s="1" t="s">
        <v>1279</v>
      </c>
      <c r="D3918" s="1">
        <v>1.0</v>
      </c>
      <c r="E3918" s="1">
        <v>32.0</v>
      </c>
      <c r="F3918" s="1">
        <v>5.0</v>
      </c>
      <c r="G3918" s="1">
        <v>5.0</v>
      </c>
      <c r="H3918" s="1" t="s">
        <v>36</v>
      </c>
      <c r="I3918" s="1" t="s">
        <v>21</v>
      </c>
      <c r="J3918" s="1" t="s">
        <v>18</v>
      </c>
      <c r="K3918" s="1">
        <v>25.0</v>
      </c>
      <c r="L3918" s="1">
        <v>56.9651947</v>
      </c>
      <c r="M3918" s="1">
        <v>24.1427693772217</v>
      </c>
    </row>
    <row r="3919">
      <c r="A3919" s="1" t="s">
        <v>131</v>
      </c>
      <c r="B3919" s="1" t="s">
        <v>23</v>
      </c>
      <c r="C3919" s="2"/>
      <c r="D3919" s="1">
        <v>1.0</v>
      </c>
      <c r="E3919" s="2"/>
      <c r="F3919" s="2"/>
      <c r="G3919" s="2"/>
      <c r="H3919" s="2"/>
      <c r="I3919" s="2"/>
      <c r="J3919" s="2"/>
      <c r="K3919" s="2"/>
      <c r="L3919" s="1">
        <v>46.3144754</v>
      </c>
      <c r="M3919" s="1">
        <v>11.0480288</v>
      </c>
    </row>
    <row r="3920">
      <c r="A3920" s="1" t="s">
        <v>22</v>
      </c>
      <c r="B3920" s="1" t="s">
        <v>48</v>
      </c>
      <c r="C3920" s="1" t="s">
        <v>49</v>
      </c>
      <c r="D3920" s="1">
        <v>5.0</v>
      </c>
      <c r="E3920" s="1">
        <v>120.0</v>
      </c>
      <c r="F3920" s="1">
        <v>9.0</v>
      </c>
      <c r="G3920" s="1">
        <v>10.0</v>
      </c>
      <c r="H3920" s="1">
        <v>602.0</v>
      </c>
      <c r="I3920" s="1" t="s">
        <v>21</v>
      </c>
      <c r="J3920" s="1" t="s">
        <v>18</v>
      </c>
      <c r="K3920" s="1">
        <v>87000.0</v>
      </c>
      <c r="L3920" s="1">
        <v>56.967948</v>
      </c>
      <c r="M3920" s="1">
        <v>24.2351586311777</v>
      </c>
    </row>
    <row r="3921">
      <c r="A3921" s="1" t="s">
        <v>22</v>
      </c>
      <c r="B3921" s="1" t="s">
        <v>52</v>
      </c>
      <c r="C3921" s="1" t="s">
        <v>2297</v>
      </c>
      <c r="D3921" s="1">
        <v>2.0</v>
      </c>
      <c r="E3921" s="1">
        <v>61.0</v>
      </c>
      <c r="F3921" s="1">
        <v>6.0</v>
      </c>
      <c r="G3921" s="1">
        <v>9.0</v>
      </c>
      <c r="H3921" s="1">
        <v>119.0</v>
      </c>
      <c r="I3921" s="1" t="s">
        <v>21</v>
      </c>
      <c r="J3921" s="1" t="s">
        <v>18</v>
      </c>
      <c r="K3921" s="1">
        <v>65000.0</v>
      </c>
      <c r="L3921" s="1">
        <v>56.9449087499999</v>
      </c>
      <c r="M3921" s="1">
        <v>24.0089753169377</v>
      </c>
    </row>
    <row r="3922">
      <c r="A3922" s="1" t="s">
        <v>22</v>
      </c>
      <c r="B3922" s="1" t="s">
        <v>14</v>
      </c>
      <c r="C3922" s="1" t="s">
        <v>788</v>
      </c>
      <c r="D3922" s="1">
        <v>2.0</v>
      </c>
      <c r="E3922" s="1">
        <v>51.0</v>
      </c>
      <c r="F3922" s="1">
        <v>3.0</v>
      </c>
      <c r="G3922" s="1">
        <v>5.0</v>
      </c>
      <c r="H3922" s="1" t="s">
        <v>16</v>
      </c>
      <c r="I3922" s="1" t="s">
        <v>21</v>
      </c>
      <c r="J3922" s="1" t="s">
        <v>18</v>
      </c>
      <c r="K3922" s="1">
        <v>49000.0</v>
      </c>
      <c r="L3922" s="1">
        <v>56.9539408</v>
      </c>
      <c r="M3922" s="1">
        <v>24.2063672950924</v>
      </c>
    </row>
    <row r="3923">
      <c r="A3923" s="1" t="s">
        <v>22</v>
      </c>
      <c r="B3923" s="1" t="s">
        <v>218</v>
      </c>
      <c r="C3923" s="1" t="s">
        <v>2314</v>
      </c>
      <c r="D3923" s="1">
        <v>3.0</v>
      </c>
      <c r="E3923" s="1">
        <v>127.0</v>
      </c>
      <c r="F3923" s="1">
        <v>5.0</v>
      </c>
      <c r="G3923" s="1">
        <v>5.0</v>
      </c>
      <c r="H3923" s="1" t="s">
        <v>25</v>
      </c>
      <c r="I3923" s="1" t="s">
        <v>37</v>
      </c>
      <c r="J3923" s="1" t="s">
        <v>18</v>
      </c>
      <c r="K3923" s="1">
        <v>178000.0</v>
      </c>
      <c r="L3923" s="1">
        <v>56.946815</v>
      </c>
      <c r="M3923" s="1">
        <v>24.1115359</v>
      </c>
    </row>
    <row r="3924">
      <c r="A3924" s="1" t="s">
        <v>22</v>
      </c>
      <c r="B3924" s="1" t="s">
        <v>104</v>
      </c>
      <c r="C3924" s="1" t="s">
        <v>208</v>
      </c>
      <c r="D3924" s="1">
        <v>3.0</v>
      </c>
      <c r="E3924" s="1">
        <v>85.0</v>
      </c>
      <c r="F3924" s="1">
        <v>2.0</v>
      </c>
      <c r="G3924" s="1">
        <v>4.0</v>
      </c>
      <c r="H3924" s="1" t="s">
        <v>32</v>
      </c>
      <c r="I3924" s="1" t="s">
        <v>33</v>
      </c>
      <c r="J3924" s="1" t="s">
        <v>18</v>
      </c>
      <c r="K3924" s="1">
        <v>159000.0</v>
      </c>
      <c r="L3924" s="1">
        <v>56.93693955</v>
      </c>
      <c r="M3924" s="1">
        <v>24.1019323631236</v>
      </c>
    </row>
    <row r="3925">
      <c r="A3925" s="1" t="s">
        <v>13</v>
      </c>
      <c r="B3925" s="1" t="s">
        <v>104</v>
      </c>
      <c r="C3925" s="1" t="s">
        <v>2315</v>
      </c>
      <c r="D3925" s="1">
        <v>3.0</v>
      </c>
      <c r="E3925" s="1">
        <v>74.0</v>
      </c>
      <c r="F3925" s="1">
        <v>3.0</v>
      </c>
      <c r="G3925" s="1">
        <v>4.0</v>
      </c>
      <c r="H3925" s="1" t="s">
        <v>36</v>
      </c>
      <c r="I3925" s="1" t="s">
        <v>17</v>
      </c>
      <c r="J3925" s="1" t="s">
        <v>18</v>
      </c>
      <c r="K3925" s="1">
        <v>420.0</v>
      </c>
      <c r="L3925" s="1">
        <v>56.94972565</v>
      </c>
      <c r="M3925" s="1">
        <v>24.0476214871882</v>
      </c>
    </row>
    <row r="3926">
      <c r="A3926" s="1" t="s">
        <v>13</v>
      </c>
      <c r="B3926" s="1" t="s">
        <v>23</v>
      </c>
      <c r="C3926" s="1" t="s">
        <v>2316</v>
      </c>
      <c r="D3926" s="1">
        <v>4.0</v>
      </c>
      <c r="E3926" s="1">
        <v>94.0</v>
      </c>
      <c r="F3926" s="1">
        <v>2.0</v>
      </c>
      <c r="G3926" s="1">
        <v>5.0</v>
      </c>
      <c r="H3926" s="1" t="s">
        <v>66</v>
      </c>
      <c r="I3926" s="1" t="s">
        <v>33</v>
      </c>
      <c r="J3926" s="1" t="s">
        <v>18</v>
      </c>
      <c r="K3926" s="1">
        <v>600.0</v>
      </c>
      <c r="L3926" s="1">
        <v>56.95950265</v>
      </c>
      <c r="M3926" s="1">
        <v>24.09881036523</v>
      </c>
    </row>
    <row r="3927">
      <c r="A3927" s="1" t="s">
        <v>22</v>
      </c>
      <c r="B3927" s="1" t="s">
        <v>30</v>
      </c>
      <c r="C3927" s="1" t="s">
        <v>1227</v>
      </c>
      <c r="D3927" s="1">
        <v>3.0</v>
      </c>
      <c r="E3927" s="1">
        <v>74.0</v>
      </c>
      <c r="F3927" s="1">
        <v>2.0</v>
      </c>
      <c r="G3927" s="1">
        <v>10.0</v>
      </c>
      <c r="H3927" s="1" t="s">
        <v>32</v>
      </c>
      <c r="I3927" s="1" t="s">
        <v>33</v>
      </c>
      <c r="J3927" s="1" t="s">
        <v>18</v>
      </c>
      <c r="K3927" s="1">
        <v>121000.0</v>
      </c>
      <c r="L3927" s="1">
        <v>56.9767303</v>
      </c>
      <c r="M3927" s="1">
        <v>24.1676579996058</v>
      </c>
    </row>
    <row r="3928">
      <c r="A3928" s="1" t="s">
        <v>22</v>
      </c>
      <c r="B3928" s="1" t="s">
        <v>23</v>
      </c>
      <c r="C3928" s="1" t="s">
        <v>1541</v>
      </c>
      <c r="D3928" s="1">
        <v>1.0</v>
      </c>
      <c r="E3928" s="1">
        <v>31.0</v>
      </c>
      <c r="F3928" s="1">
        <v>3.0</v>
      </c>
      <c r="G3928" s="1">
        <v>5.0</v>
      </c>
      <c r="H3928" s="1" t="s">
        <v>25</v>
      </c>
      <c r="I3928" s="1" t="s">
        <v>33</v>
      </c>
      <c r="J3928" s="1" t="s">
        <v>18</v>
      </c>
      <c r="K3928" s="1">
        <v>62000.0</v>
      </c>
      <c r="L3928" s="1">
        <v>56.9731021</v>
      </c>
      <c r="M3928" s="1">
        <v>24.1419</v>
      </c>
    </row>
    <row r="3929">
      <c r="A3929" s="1" t="s">
        <v>13</v>
      </c>
      <c r="B3929" s="1" t="s">
        <v>23</v>
      </c>
      <c r="C3929" s="1" t="s">
        <v>144</v>
      </c>
      <c r="D3929" s="1">
        <v>6.0</v>
      </c>
      <c r="E3929" s="1">
        <v>160.0</v>
      </c>
      <c r="F3929" s="1">
        <v>2.0</v>
      </c>
      <c r="G3929" s="1">
        <v>5.0</v>
      </c>
      <c r="H3929" s="1" t="s">
        <v>66</v>
      </c>
      <c r="I3929" s="1" t="s">
        <v>33</v>
      </c>
      <c r="J3929" s="1" t="s">
        <v>18</v>
      </c>
      <c r="K3929" s="1">
        <v>1600.0</v>
      </c>
      <c r="L3929" s="1">
        <v>56.96104425</v>
      </c>
      <c r="M3929" s="1">
        <v>24.0996557553473</v>
      </c>
    </row>
    <row r="3930">
      <c r="A3930" s="1" t="s">
        <v>22</v>
      </c>
      <c r="B3930" s="1" t="s">
        <v>23</v>
      </c>
      <c r="C3930" s="1" t="s">
        <v>478</v>
      </c>
      <c r="D3930" s="1">
        <v>2.0</v>
      </c>
      <c r="E3930" s="1">
        <v>57.0</v>
      </c>
      <c r="F3930" s="1">
        <v>7.0</v>
      </c>
      <c r="G3930" s="1">
        <v>7.0</v>
      </c>
      <c r="H3930" s="1" t="s">
        <v>32</v>
      </c>
      <c r="I3930" s="1" t="s">
        <v>21</v>
      </c>
      <c r="J3930" s="1" t="s">
        <v>18</v>
      </c>
      <c r="K3930" s="1">
        <v>140000.0</v>
      </c>
      <c r="L3930" s="1">
        <v>56.9493295</v>
      </c>
      <c r="M3930" s="1">
        <v>24.1264892056074</v>
      </c>
    </row>
    <row r="3931">
      <c r="A3931" s="1" t="s">
        <v>13</v>
      </c>
      <c r="B3931" s="1" t="s">
        <v>48</v>
      </c>
      <c r="C3931" s="1" t="s">
        <v>1576</v>
      </c>
      <c r="D3931" s="1">
        <v>2.0</v>
      </c>
      <c r="E3931" s="1">
        <v>57.0</v>
      </c>
      <c r="F3931" s="1">
        <v>4.0</v>
      </c>
      <c r="G3931" s="1">
        <v>16.0</v>
      </c>
      <c r="H3931" s="1">
        <v>104.0</v>
      </c>
      <c r="I3931" s="1" t="s">
        <v>17</v>
      </c>
      <c r="J3931" s="1" t="s">
        <v>18</v>
      </c>
      <c r="K3931" s="1">
        <v>350.0</v>
      </c>
      <c r="L3931" s="1">
        <v>56.96758455</v>
      </c>
      <c r="M3931" s="1">
        <v>24.238078024789</v>
      </c>
    </row>
    <row r="3932">
      <c r="A3932" s="1" t="s">
        <v>22</v>
      </c>
      <c r="B3932" s="1" t="s">
        <v>23</v>
      </c>
      <c r="C3932" s="1" t="s">
        <v>351</v>
      </c>
      <c r="D3932" s="1">
        <v>3.0</v>
      </c>
      <c r="E3932" s="1">
        <v>95.0</v>
      </c>
      <c r="F3932" s="1">
        <v>2.0</v>
      </c>
      <c r="G3932" s="1">
        <v>5.0</v>
      </c>
      <c r="H3932" s="1" t="s">
        <v>66</v>
      </c>
      <c r="I3932" s="1" t="s">
        <v>33</v>
      </c>
      <c r="J3932" s="1" t="s">
        <v>18</v>
      </c>
      <c r="K3932" s="1">
        <v>225675.0</v>
      </c>
      <c r="L3932" s="1">
        <v>56.9488745</v>
      </c>
      <c r="M3932" s="1">
        <v>24.1266027446091</v>
      </c>
    </row>
    <row r="3933">
      <c r="A3933" s="1" t="s">
        <v>22</v>
      </c>
      <c r="B3933" s="1" t="s">
        <v>96</v>
      </c>
      <c r="C3933" s="1" t="s">
        <v>2317</v>
      </c>
      <c r="D3933" s="1">
        <v>2.0</v>
      </c>
      <c r="E3933" s="1">
        <v>39.0</v>
      </c>
      <c r="F3933" s="1">
        <v>5.0</v>
      </c>
      <c r="G3933" s="1">
        <v>5.0</v>
      </c>
      <c r="H3933" s="1" t="s">
        <v>16</v>
      </c>
      <c r="I3933" s="1" t="s">
        <v>21</v>
      </c>
      <c r="J3933" s="1" t="s">
        <v>18</v>
      </c>
      <c r="K3933" s="1">
        <v>31500.0</v>
      </c>
      <c r="L3933" s="1">
        <v>57.03317275</v>
      </c>
      <c r="M3933" s="1">
        <v>24.0993254</v>
      </c>
    </row>
    <row r="3934">
      <c r="A3934" s="1" t="s">
        <v>22</v>
      </c>
      <c r="B3934" s="1" t="s">
        <v>14</v>
      </c>
      <c r="C3934" s="1" t="s">
        <v>2107</v>
      </c>
      <c r="D3934" s="1">
        <v>3.0</v>
      </c>
      <c r="E3934" s="1">
        <v>60.0</v>
      </c>
      <c r="F3934" s="1">
        <v>3.0</v>
      </c>
      <c r="G3934" s="1">
        <v>5.0</v>
      </c>
      <c r="H3934" s="1" t="s">
        <v>16</v>
      </c>
      <c r="I3934" s="1" t="s">
        <v>21</v>
      </c>
      <c r="J3934" s="1" t="s">
        <v>18</v>
      </c>
      <c r="K3934" s="1">
        <v>51000.0</v>
      </c>
      <c r="L3934" s="1">
        <v>56.96423965</v>
      </c>
      <c r="M3934" s="1">
        <v>24.1939779</v>
      </c>
    </row>
    <row r="3935">
      <c r="A3935" s="1" t="s">
        <v>13</v>
      </c>
      <c r="B3935" s="1" t="s">
        <v>104</v>
      </c>
      <c r="C3935" s="1" t="s">
        <v>2318</v>
      </c>
      <c r="D3935" s="1">
        <v>2.0</v>
      </c>
      <c r="E3935" s="1">
        <v>69.0</v>
      </c>
      <c r="F3935" s="1">
        <v>1.0</v>
      </c>
      <c r="G3935" s="1">
        <v>4.0</v>
      </c>
      <c r="H3935" s="1" t="s">
        <v>25</v>
      </c>
      <c r="I3935" s="1" t="s">
        <v>33</v>
      </c>
      <c r="J3935" s="1" t="s">
        <v>18</v>
      </c>
      <c r="K3935" s="1">
        <v>350.0</v>
      </c>
      <c r="L3935" s="1">
        <v>56.94591245</v>
      </c>
      <c r="M3935" s="1">
        <v>24.0801188745561</v>
      </c>
    </row>
    <row r="3936">
      <c r="A3936" s="1" t="s">
        <v>22</v>
      </c>
      <c r="B3936" s="1" t="s">
        <v>28</v>
      </c>
      <c r="C3936" s="1" t="s">
        <v>2319</v>
      </c>
      <c r="D3936" s="1">
        <v>3.0</v>
      </c>
      <c r="E3936" s="1">
        <v>60.0</v>
      </c>
      <c r="F3936" s="1">
        <v>1.0</v>
      </c>
      <c r="G3936" s="1">
        <v>5.0</v>
      </c>
      <c r="H3936" s="1" t="s">
        <v>16</v>
      </c>
      <c r="I3936" s="1" t="s">
        <v>21</v>
      </c>
      <c r="J3936" s="1" t="s">
        <v>18</v>
      </c>
      <c r="K3936" s="1">
        <v>54500.0</v>
      </c>
      <c r="L3936" s="1">
        <v>56.9032732999999</v>
      </c>
      <c r="M3936" s="1">
        <v>24.1994242499999</v>
      </c>
    </row>
    <row r="3937">
      <c r="A3937" s="1" t="s">
        <v>13</v>
      </c>
      <c r="B3937" s="1" t="s">
        <v>19</v>
      </c>
      <c r="C3937" s="1" t="s">
        <v>1893</v>
      </c>
      <c r="D3937" s="1">
        <v>1.0</v>
      </c>
      <c r="E3937" s="1">
        <v>33.0</v>
      </c>
      <c r="F3937" s="1">
        <v>2.0</v>
      </c>
      <c r="G3937" s="1">
        <v>2.0</v>
      </c>
      <c r="H3937" s="1" t="s">
        <v>66</v>
      </c>
      <c r="I3937" s="1" t="s">
        <v>33</v>
      </c>
      <c r="J3937" s="1" t="s">
        <v>18</v>
      </c>
      <c r="K3937" s="1">
        <v>260.0</v>
      </c>
      <c r="L3937" s="1">
        <v>56.90813455</v>
      </c>
      <c r="M3937" s="1">
        <v>24.0977731</v>
      </c>
    </row>
    <row r="3938">
      <c r="A3938" s="1" t="s">
        <v>22</v>
      </c>
      <c r="B3938" s="1" t="s">
        <v>23</v>
      </c>
      <c r="C3938" s="1" t="s">
        <v>262</v>
      </c>
      <c r="D3938" s="1">
        <v>2.0</v>
      </c>
      <c r="E3938" s="1">
        <v>43.0</v>
      </c>
      <c r="F3938" s="1">
        <v>1.0</v>
      </c>
      <c r="G3938" s="1">
        <v>6.0</v>
      </c>
      <c r="H3938" s="1" t="s">
        <v>25</v>
      </c>
      <c r="I3938" s="1" t="s">
        <v>33</v>
      </c>
      <c r="J3938" s="1" t="s">
        <v>18</v>
      </c>
      <c r="K3938" s="1">
        <v>104370.0</v>
      </c>
      <c r="L3938" s="1">
        <v>56.9548306</v>
      </c>
      <c r="M3938" s="1">
        <v>24.1221141</v>
      </c>
    </row>
    <row r="3939">
      <c r="A3939" s="1" t="s">
        <v>13</v>
      </c>
      <c r="B3939" s="1" t="s">
        <v>23</v>
      </c>
      <c r="C3939" s="1" t="s">
        <v>1375</v>
      </c>
      <c r="D3939" s="1">
        <v>5.0</v>
      </c>
      <c r="E3939" s="1">
        <v>150.0</v>
      </c>
      <c r="F3939" s="1">
        <v>2.0</v>
      </c>
      <c r="G3939" s="1">
        <v>5.0</v>
      </c>
      <c r="H3939" s="1" t="s">
        <v>25</v>
      </c>
      <c r="I3939" s="1" t="s">
        <v>26</v>
      </c>
      <c r="J3939" s="1" t="s">
        <v>18</v>
      </c>
      <c r="K3939" s="1">
        <v>2200.0</v>
      </c>
      <c r="L3939" s="1">
        <v>56.9591583</v>
      </c>
      <c r="M3939" s="1">
        <v>24.1026741144114</v>
      </c>
    </row>
    <row r="3940">
      <c r="A3940" s="1" t="s">
        <v>22</v>
      </c>
      <c r="B3940" s="1" t="s">
        <v>172</v>
      </c>
      <c r="C3940" s="1" t="s">
        <v>449</v>
      </c>
      <c r="D3940" s="1">
        <v>1.0</v>
      </c>
      <c r="E3940" s="1">
        <v>38.0</v>
      </c>
      <c r="F3940" s="1">
        <v>4.0</v>
      </c>
      <c r="G3940" s="1">
        <v>4.0</v>
      </c>
      <c r="H3940" s="1" t="s">
        <v>36</v>
      </c>
      <c r="I3940" s="1" t="s">
        <v>37</v>
      </c>
      <c r="J3940" s="1" t="s">
        <v>18</v>
      </c>
      <c r="K3940" s="1">
        <v>21000.0</v>
      </c>
      <c r="L3940" s="1">
        <v>56.90687475</v>
      </c>
      <c r="M3940" s="1">
        <v>24.2209157822299</v>
      </c>
    </row>
    <row r="3941">
      <c r="A3941" s="1" t="s">
        <v>22</v>
      </c>
      <c r="B3941" s="1" t="s">
        <v>14</v>
      </c>
      <c r="C3941" s="1" t="s">
        <v>1423</v>
      </c>
      <c r="D3941" s="1">
        <v>2.0</v>
      </c>
      <c r="E3941" s="1">
        <v>82.0</v>
      </c>
      <c r="F3941" s="1">
        <v>1.0</v>
      </c>
      <c r="G3941" s="1">
        <v>7.0</v>
      </c>
      <c r="H3941" s="1" t="s">
        <v>32</v>
      </c>
      <c r="I3941" s="1" t="s">
        <v>21</v>
      </c>
      <c r="J3941" s="1" t="s">
        <v>18</v>
      </c>
      <c r="K3941" s="1">
        <v>89000.0</v>
      </c>
      <c r="L3941" s="1">
        <v>56.9622136</v>
      </c>
      <c r="M3941" s="1">
        <v>24.1761063</v>
      </c>
    </row>
    <row r="3942">
      <c r="A3942" s="1" t="s">
        <v>13</v>
      </c>
      <c r="B3942" s="1" t="s">
        <v>74</v>
      </c>
      <c r="C3942" s="1" t="s">
        <v>2320</v>
      </c>
      <c r="D3942" s="1">
        <v>4.0</v>
      </c>
      <c r="E3942" s="1">
        <v>115.0</v>
      </c>
      <c r="F3942" s="1">
        <v>16.0</v>
      </c>
      <c r="G3942" s="1">
        <v>16.0</v>
      </c>
      <c r="H3942" s="1" t="s">
        <v>36</v>
      </c>
      <c r="I3942" s="1" t="s">
        <v>21</v>
      </c>
      <c r="J3942" s="1" t="s">
        <v>18</v>
      </c>
      <c r="K3942" s="1">
        <v>550.0</v>
      </c>
      <c r="L3942" s="1" t="s">
        <v>40</v>
      </c>
      <c r="M3942" s="1" t="s">
        <v>40</v>
      </c>
    </row>
    <row r="3943">
      <c r="A3943" s="1" t="s">
        <v>22</v>
      </c>
      <c r="B3943" s="1" t="s">
        <v>28</v>
      </c>
      <c r="C3943" s="1" t="s">
        <v>1754</v>
      </c>
      <c r="D3943" s="1">
        <v>2.0</v>
      </c>
      <c r="E3943" s="1">
        <v>49.6</v>
      </c>
      <c r="F3943" s="1">
        <v>4.0</v>
      </c>
      <c r="G3943" s="1">
        <v>5.0</v>
      </c>
      <c r="H3943" s="1" t="s">
        <v>16</v>
      </c>
      <c r="I3943" s="1" t="s">
        <v>21</v>
      </c>
      <c r="J3943" s="1" t="s">
        <v>18</v>
      </c>
      <c r="K3943" s="1">
        <v>38000.0</v>
      </c>
      <c r="L3943" s="1">
        <v>56.90364565</v>
      </c>
      <c r="M3943" s="1">
        <v>24.2016746005807</v>
      </c>
    </row>
    <row r="3944">
      <c r="A3944" s="1" t="s">
        <v>13</v>
      </c>
      <c r="B3944" s="1" t="s">
        <v>74</v>
      </c>
      <c r="C3944" s="1" t="s">
        <v>2321</v>
      </c>
      <c r="D3944" s="1">
        <v>2.0</v>
      </c>
      <c r="E3944" s="1">
        <v>59.0</v>
      </c>
      <c r="F3944" s="1">
        <v>7.0</v>
      </c>
      <c r="G3944" s="1">
        <v>9.0</v>
      </c>
      <c r="H3944" s="1">
        <v>119.0</v>
      </c>
      <c r="I3944" s="1" t="s">
        <v>21</v>
      </c>
      <c r="J3944" s="1" t="s">
        <v>18</v>
      </c>
      <c r="K3944" s="1">
        <v>400.0</v>
      </c>
      <c r="L3944" s="1">
        <v>56.9467218</v>
      </c>
      <c r="M3944" s="1">
        <v>24.1937885459016</v>
      </c>
    </row>
    <row r="3945">
      <c r="A3945" s="1" t="s">
        <v>22</v>
      </c>
      <c r="B3945" s="1" t="s">
        <v>14</v>
      </c>
      <c r="C3945" s="1" t="s">
        <v>2073</v>
      </c>
      <c r="D3945" s="1">
        <v>3.0</v>
      </c>
      <c r="E3945" s="1">
        <v>56.1</v>
      </c>
      <c r="F3945" s="1">
        <v>1.0</v>
      </c>
      <c r="G3945" s="1">
        <v>4.0</v>
      </c>
      <c r="H3945" s="1" t="s">
        <v>32</v>
      </c>
      <c r="I3945" s="1" t="s">
        <v>17</v>
      </c>
      <c r="J3945" s="1" t="s">
        <v>18</v>
      </c>
      <c r="K3945" s="1">
        <v>100000.0</v>
      </c>
      <c r="L3945" s="1">
        <v>56.9650621</v>
      </c>
      <c r="M3945" s="1">
        <v>24.1952933</v>
      </c>
    </row>
    <row r="3946">
      <c r="A3946" s="1" t="s">
        <v>22</v>
      </c>
      <c r="B3946" s="1" t="s">
        <v>104</v>
      </c>
      <c r="C3946" s="1" t="s">
        <v>1439</v>
      </c>
      <c r="D3946" s="1">
        <v>3.0</v>
      </c>
      <c r="E3946" s="1">
        <v>70.6</v>
      </c>
      <c r="F3946" s="1">
        <v>2.0</v>
      </c>
      <c r="G3946" s="1">
        <v>2.0</v>
      </c>
      <c r="H3946" s="1" t="s">
        <v>66</v>
      </c>
      <c r="I3946" s="1" t="s">
        <v>26</v>
      </c>
      <c r="J3946" s="1" t="s">
        <v>18</v>
      </c>
      <c r="K3946" s="1">
        <v>67600.0</v>
      </c>
      <c r="L3946" s="1">
        <v>56.94731475</v>
      </c>
      <c r="M3946" s="1">
        <v>24.0609152601247</v>
      </c>
    </row>
    <row r="3947">
      <c r="A3947" s="1" t="s">
        <v>13</v>
      </c>
      <c r="B3947" s="1" t="s">
        <v>23</v>
      </c>
      <c r="C3947" s="1" t="s">
        <v>1324</v>
      </c>
      <c r="D3947" s="1">
        <v>4.0</v>
      </c>
      <c r="E3947" s="1">
        <v>121.0</v>
      </c>
      <c r="F3947" s="1">
        <v>2.0</v>
      </c>
      <c r="G3947" s="1">
        <v>5.0</v>
      </c>
      <c r="H3947" s="1" t="s">
        <v>66</v>
      </c>
      <c r="I3947" s="1" t="s">
        <v>37</v>
      </c>
      <c r="J3947" s="1" t="s">
        <v>18</v>
      </c>
      <c r="K3947" s="1">
        <v>850.0</v>
      </c>
      <c r="L3947" s="1">
        <v>56.9538641</v>
      </c>
      <c r="M3947" s="1">
        <v>24.128666877855</v>
      </c>
    </row>
    <row r="3948">
      <c r="A3948" s="1" t="s">
        <v>13</v>
      </c>
      <c r="B3948" s="1" t="s">
        <v>447</v>
      </c>
      <c r="C3948" s="1" t="s">
        <v>2322</v>
      </c>
      <c r="D3948" s="1">
        <v>1.0</v>
      </c>
      <c r="E3948" s="1">
        <v>25.0</v>
      </c>
      <c r="F3948" s="1">
        <v>2.0</v>
      </c>
      <c r="G3948" s="1">
        <v>3.0</v>
      </c>
      <c r="H3948" s="1" t="s">
        <v>36</v>
      </c>
      <c r="I3948" s="1" t="s">
        <v>21</v>
      </c>
      <c r="J3948" s="1" t="s">
        <v>18</v>
      </c>
      <c r="K3948" s="1">
        <v>350.0</v>
      </c>
      <c r="L3948" s="1">
        <v>56.92972905</v>
      </c>
      <c r="M3948" s="1">
        <v>24.1066065419534</v>
      </c>
    </row>
    <row r="3949">
      <c r="A3949" s="1" t="s">
        <v>22</v>
      </c>
      <c r="B3949" s="1" t="s">
        <v>19</v>
      </c>
      <c r="C3949" s="1" t="s">
        <v>20</v>
      </c>
      <c r="D3949" s="1">
        <v>2.0</v>
      </c>
      <c r="E3949" s="1">
        <v>50.2</v>
      </c>
      <c r="F3949" s="1">
        <v>2.0</v>
      </c>
      <c r="G3949" s="1">
        <v>9.0</v>
      </c>
      <c r="H3949" s="1">
        <v>602.0</v>
      </c>
      <c r="I3949" s="1" t="s">
        <v>21</v>
      </c>
      <c r="J3949" s="1" t="s">
        <v>18</v>
      </c>
      <c r="K3949" s="1">
        <v>58000.0</v>
      </c>
      <c r="L3949" s="1">
        <v>56.89979805</v>
      </c>
      <c r="M3949" s="1">
        <v>24.09835015</v>
      </c>
    </row>
    <row r="3950">
      <c r="A3950" s="1" t="s">
        <v>131</v>
      </c>
      <c r="B3950" s="1" t="s">
        <v>23</v>
      </c>
      <c r="C3950" s="2"/>
      <c r="D3950" s="1">
        <v>2.0</v>
      </c>
      <c r="E3950" s="2"/>
      <c r="F3950" s="2"/>
      <c r="G3950" s="2"/>
      <c r="H3950" s="2"/>
      <c r="I3950" s="2"/>
      <c r="J3950" s="2"/>
      <c r="K3950" s="2"/>
      <c r="L3950" s="1">
        <v>46.3144754</v>
      </c>
      <c r="M3950" s="1">
        <v>11.0480288</v>
      </c>
    </row>
    <row r="3951">
      <c r="A3951" s="1" t="s">
        <v>13</v>
      </c>
      <c r="B3951" s="1" t="s">
        <v>23</v>
      </c>
      <c r="C3951" s="1" t="s">
        <v>830</v>
      </c>
      <c r="D3951" s="1">
        <v>4.0</v>
      </c>
      <c r="E3951" s="1">
        <v>95.0</v>
      </c>
      <c r="F3951" s="1">
        <v>3.0</v>
      </c>
      <c r="G3951" s="1">
        <v>5.0</v>
      </c>
      <c r="H3951" s="1" t="s">
        <v>25</v>
      </c>
      <c r="I3951" s="1" t="s">
        <v>33</v>
      </c>
      <c r="J3951" s="1" t="s">
        <v>18</v>
      </c>
      <c r="K3951" s="1">
        <v>600.0</v>
      </c>
      <c r="L3951" s="1">
        <v>56.9581254</v>
      </c>
      <c r="M3951" s="1">
        <v>24.108049781514</v>
      </c>
    </row>
    <row r="3952">
      <c r="A3952" s="1" t="s">
        <v>22</v>
      </c>
      <c r="B3952" s="1" t="s">
        <v>23</v>
      </c>
      <c r="C3952" s="1" t="s">
        <v>2323</v>
      </c>
      <c r="D3952" s="1">
        <v>5.0</v>
      </c>
      <c r="E3952" s="1">
        <v>120.0</v>
      </c>
      <c r="F3952" s="1">
        <v>5.0</v>
      </c>
      <c r="G3952" s="1">
        <v>5.0</v>
      </c>
      <c r="H3952" s="1" t="s">
        <v>25</v>
      </c>
      <c r="I3952" s="1" t="s">
        <v>33</v>
      </c>
      <c r="J3952" s="1" t="s">
        <v>18</v>
      </c>
      <c r="K3952" s="1">
        <v>220000.0</v>
      </c>
      <c r="L3952" s="1">
        <v>56.9542909</v>
      </c>
      <c r="M3952" s="1">
        <v>24.1329719</v>
      </c>
    </row>
    <row r="3953">
      <c r="A3953" s="1" t="s">
        <v>22</v>
      </c>
      <c r="B3953" s="1" t="s">
        <v>129</v>
      </c>
      <c r="C3953" s="1" t="s">
        <v>2324</v>
      </c>
      <c r="D3953" s="1">
        <v>1.0</v>
      </c>
      <c r="E3953" s="1">
        <v>30.0</v>
      </c>
      <c r="F3953" s="1">
        <v>4.0</v>
      </c>
      <c r="G3953" s="1">
        <v>5.0</v>
      </c>
      <c r="H3953" s="1" t="s">
        <v>44</v>
      </c>
      <c r="I3953" s="1" t="s">
        <v>37</v>
      </c>
      <c r="J3953" s="1" t="s">
        <v>18</v>
      </c>
      <c r="K3953" s="1">
        <v>26333.0</v>
      </c>
      <c r="L3953" s="1">
        <v>56.9961933</v>
      </c>
      <c r="M3953" s="1">
        <v>24.1291468</v>
      </c>
    </row>
    <row r="3954">
      <c r="A3954" s="1" t="s">
        <v>89</v>
      </c>
      <c r="B3954" s="1" t="s">
        <v>28</v>
      </c>
      <c r="C3954" s="2"/>
      <c r="D3954" s="1" t="s">
        <v>90</v>
      </c>
      <c r="E3954" s="2"/>
      <c r="F3954" s="2"/>
      <c r="G3954" s="2"/>
      <c r="H3954" s="2"/>
      <c r="I3954" s="2"/>
      <c r="J3954" s="2"/>
      <c r="K3954" s="2"/>
      <c r="L3954" s="1">
        <v>46.3144754</v>
      </c>
      <c r="M3954" s="1">
        <v>11.0480288</v>
      </c>
    </row>
    <row r="3955">
      <c r="A3955" s="1" t="s">
        <v>89</v>
      </c>
      <c r="B3955" s="1" t="s">
        <v>38</v>
      </c>
      <c r="C3955" s="2"/>
      <c r="D3955" s="1" t="s">
        <v>90</v>
      </c>
      <c r="E3955" s="2"/>
      <c r="F3955" s="2"/>
      <c r="G3955" s="2"/>
      <c r="H3955" s="2"/>
      <c r="I3955" s="2"/>
      <c r="J3955" s="2"/>
      <c r="K3955" s="2"/>
      <c r="L3955" s="1">
        <v>46.3144754</v>
      </c>
      <c r="M3955" s="1">
        <v>11.0480288</v>
      </c>
    </row>
    <row r="3956">
      <c r="A3956" s="1" t="s">
        <v>89</v>
      </c>
      <c r="B3956" s="1" t="s">
        <v>19</v>
      </c>
      <c r="C3956" s="2"/>
      <c r="D3956" s="2"/>
      <c r="E3956" s="2"/>
      <c r="F3956" s="2"/>
      <c r="G3956" s="2"/>
      <c r="H3956" s="2"/>
      <c r="I3956" s="2"/>
      <c r="J3956" s="2"/>
      <c r="K3956" s="2"/>
      <c r="L3956" s="1">
        <v>46.3144754</v>
      </c>
      <c r="M3956" s="1">
        <v>11.0480288</v>
      </c>
    </row>
    <row r="3957">
      <c r="A3957" s="1" t="s">
        <v>89</v>
      </c>
      <c r="B3957" s="1" t="s">
        <v>38</v>
      </c>
      <c r="C3957" s="2"/>
      <c r="D3957" s="2"/>
      <c r="E3957" s="2"/>
      <c r="F3957" s="1">
        <v>10.0</v>
      </c>
      <c r="G3957" s="1">
        <v>1.0</v>
      </c>
      <c r="H3957" s="2"/>
      <c r="I3957" s="2"/>
      <c r="J3957" s="2"/>
      <c r="K3957" s="2"/>
      <c r="L3957" s="1">
        <v>46.3144754</v>
      </c>
      <c r="M3957" s="1">
        <v>11.0480288</v>
      </c>
    </row>
    <row r="3958">
      <c r="A3958" s="1" t="s">
        <v>89</v>
      </c>
      <c r="B3958" s="1" t="s">
        <v>28</v>
      </c>
      <c r="C3958" s="2"/>
      <c r="D3958" s="2"/>
      <c r="E3958" s="1">
        <v>10.0</v>
      </c>
      <c r="F3958" s="1">
        <v>10.0</v>
      </c>
      <c r="G3958" s="1">
        <v>11.0</v>
      </c>
      <c r="H3958" s="2"/>
      <c r="I3958" s="2"/>
      <c r="J3958" s="2"/>
      <c r="K3958" s="2"/>
      <c r="L3958" s="1">
        <v>46.3144754</v>
      </c>
      <c r="M3958" s="1">
        <v>11.0480288</v>
      </c>
    </row>
    <row r="3959">
      <c r="A3959" s="1" t="s">
        <v>22</v>
      </c>
      <c r="B3959" s="1" t="s">
        <v>23</v>
      </c>
      <c r="C3959" s="1" t="s">
        <v>216</v>
      </c>
      <c r="D3959" s="1">
        <v>1.0</v>
      </c>
      <c r="E3959" s="1">
        <v>20.0</v>
      </c>
      <c r="F3959" s="1">
        <v>4.0</v>
      </c>
      <c r="G3959" s="1">
        <v>5.0</v>
      </c>
      <c r="H3959" s="1" t="s">
        <v>25</v>
      </c>
      <c r="I3959" s="1" t="s">
        <v>33</v>
      </c>
      <c r="J3959" s="1" t="s">
        <v>18</v>
      </c>
      <c r="K3959" s="1">
        <v>34000.0</v>
      </c>
      <c r="L3959" s="1">
        <v>56.9758898</v>
      </c>
      <c r="M3959" s="1">
        <v>24.1453913835109</v>
      </c>
    </row>
    <row r="3960">
      <c r="A3960" s="1" t="s">
        <v>13</v>
      </c>
      <c r="B3960" s="1" t="s">
        <v>23</v>
      </c>
      <c r="C3960" s="1" t="s">
        <v>2325</v>
      </c>
      <c r="D3960" s="1">
        <v>1.0</v>
      </c>
      <c r="E3960" s="1">
        <v>17.0</v>
      </c>
      <c r="F3960" s="1">
        <v>1.0</v>
      </c>
      <c r="G3960" s="1">
        <v>5.0</v>
      </c>
      <c r="H3960" s="1" t="s">
        <v>36</v>
      </c>
      <c r="I3960" s="1" t="s">
        <v>17</v>
      </c>
      <c r="J3960" s="1" t="s">
        <v>18</v>
      </c>
      <c r="K3960" s="1">
        <v>140.0</v>
      </c>
      <c r="L3960" s="1">
        <v>56.95304725</v>
      </c>
      <c r="M3960" s="1">
        <v>24.1381718108857</v>
      </c>
    </row>
    <row r="3961">
      <c r="A3961" s="1" t="s">
        <v>22</v>
      </c>
      <c r="B3961" s="1" t="s">
        <v>14</v>
      </c>
      <c r="C3961" s="1" t="s">
        <v>2326</v>
      </c>
      <c r="D3961" s="1">
        <v>3.0</v>
      </c>
      <c r="E3961" s="1">
        <v>78.0</v>
      </c>
      <c r="F3961" s="1">
        <v>2.0</v>
      </c>
      <c r="G3961" s="1">
        <v>9.0</v>
      </c>
      <c r="H3961" s="1">
        <v>119.0</v>
      </c>
      <c r="I3961" s="1" t="s">
        <v>37</v>
      </c>
      <c r="J3961" s="1" t="s">
        <v>18</v>
      </c>
      <c r="K3961" s="1">
        <v>67000.0</v>
      </c>
      <c r="L3961" s="1">
        <v>56.9513367499999</v>
      </c>
      <c r="M3961" s="1">
        <v>24.1826840259434</v>
      </c>
    </row>
    <row r="3962">
      <c r="A3962" s="1" t="s">
        <v>22</v>
      </c>
      <c r="B3962" s="1" t="s">
        <v>28</v>
      </c>
      <c r="C3962" s="1" t="s">
        <v>2327</v>
      </c>
      <c r="D3962" s="1">
        <v>3.0</v>
      </c>
      <c r="E3962" s="1">
        <v>67.0</v>
      </c>
      <c r="F3962" s="1">
        <v>1.0</v>
      </c>
      <c r="G3962" s="1">
        <v>2.0</v>
      </c>
      <c r="H3962" s="1" t="s">
        <v>181</v>
      </c>
      <c r="I3962" s="1" t="s">
        <v>33</v>
      </c>
      <c r="J3962" s="1" t="s">
        <v>18</v>
      </c>
      <c r="K3962" s="1">
        <v>45000.0</v>
      </c>
      <c r="L3962" s="1">
        <v>56.9129169</v>
      </c>
      <c r="M3962" s="1">
        <v>24.19312025</v>
      </c>
    </row>
    <row r="3963">
      <c r="A3963" s="1" t="s">
        <v>22</v>
      </c>
      <c r="B3963" s="1" t="s">
        <v>23</v>
      </c>
      <c r="C3963" s="1" t="s">
        <v>156</v>
      </c>
      <c r="D3963" s="1">
        <v>3.0</v>
      </c>
      <c r="E3963" s="1">
        <v>94.0</v>
      </c>
      <c r="F3963" s="1">
        <v>5.0</v>
      </c>
      <c r="G3963" s="1">
        <v>8.0</v>
      </c>
      <c r="H3963" s="1" t="s">
        <v>32</v>
      </c>
      <c r="I3963" s="1" t="s">
        <v>21</v>
      </c>
      <c r="J3963" s="1" t="s">
        <v>18</v>
      </c>
      <c r="K3963" s="1">
        <v>198000.0</v>
      </c>
      <c r="L3963" s="1">
        <v>56.96998705</v>
      </c>
      <c r="M3963" s="1">
        <v>24.1242108827278</v>
      </c>
    </row>
    <row r="3964">
      <c r="A3964" s="1" t="s">
        <v>22</v>
      </c>
      <c r="B3964" s="1" t="s">
        <v>117</v>
      </c>
      <c r="C3964" s="1" t="s">
        <v>2328</v>
      </c>
      <c r="D3964" s="1">
        <v>2.0</v>
      </c>
      <c r="E3964" s="1">
        <v>41.0</v>
      </c>
      <c r="F3964" s="1">
        <v>2.0</v>
      </c>
      <c r="G3964" s="1">
        <v>2.0</v>
      </c>
      <c r="H3964" s="1" t="s">
        <v>181</v>
      </c>
      <c r="I3964" s="1" t="s">
        <v>33</v>
      </c>
      <c r="J3964" s="1" t="s">
        <v>27</v>
      </c>
      <c r="K3964" s="1">
        <v>25500.0</v>
      </c>
      <c r="L3964" s="1" t="s">
        <v>40</v>
      </c>
      <c r="M3964" s="1" t="s">
        <v>40</v>
      </c>
    </row>
    <row r="3965">
      <c r="A3965" s="1" t="s">
        <v>22</v>
      </c>
      <c r="B3965" s="1" t="s">
        <v>23</v>
      </c>
      <c r="C3965" s="1" t="s">
        <v>2329</v>
      </c>
      <c r="D3965" s="1">
        <v>4.0</v>
      </c>
      <c r="E3965" s="1">
        <v>123.0</v>
      </c>
      <c r="F3965" s="1">
        <v>4.0</v>
      </c>
      <c r="G3965" s="1">
        <v>6.0</v>
      </c>
      <c r="H3965" s="1" t="s">
        <v>25</v>
      </c>
      <c r="I3965" s="1" t="s">
        <v>33</v>
      </c>
      <c r="J3965" s="1" t="s">
        <v>18</v>
      </c>
      <c r="K3965" s="1">
        <v>260000.0</v>
      </c>
      <c r="L3965" s="1">
        <v>56.9554028</v>
      </c>
      <c r="M3965" s="1">
        <v>24.1300127</v>
      </c>
    </row>
    <row r="3966">
      <c r="A3966" s="1" t="s">
        <v>22</v>
      </c>
      <c r="B3966" s="1" t="s">
        <v>23</v>
      </c>
      <c r="C3966" s="1" t="s">
        <v>1877</v>
      </c>
      <c r="D3966" s="1">
        <v>3.0</v>
      </c>
      <c r="E3966" s="1">
        <v>56.2</v>
      </c>
      <c r="F3966" s="1">
        <v>2.0</v>
      </c>
      <c r="G3966" s="1">
        <v>6.0</v>
      </c>
      <c r="H3966" s="1" t="s">
        <v>25</v>
      </c>
      <c r="I3966" s="1" t="s">
        <v>33</v>
      </c>
      <c r="J3966" s="1" t="s">
        <v>18</v>
      </c>
      <c r="K3966" s="1">
        <v>110000.0</v>
      </c>
      <c r="L3966" s="1">
        <v>56.9513816</v>
      </c>
      <c r="M3966" s="1">
        <v>24.1289619</v>
      </c>
    </row>
    <row r="3967">
      <c r="A3967" s="1" t="s">
        <v>13</v>
      </c>
      <c r="B3967" s="1" t="s">
        <v>23</v>
      </c>
      <c r="C3967" s="1" t="s">
        <v>934</v>
      </c>
      <c r="D3967" s="1">
        <v>3.0</v>
      </c>
      <c r="E3967" s="1">
        <v>87.0</v>
      </c>
      <c r="F3967" s="1">
        <v>4.0</v>
      </c>
      <c r="G3967" s="1">
        <v>6.0</v>
      </c>
      <c r="H3967" s="1" t="s">
        <v>25</v>
      </c>
      <c r="I3967" s="1" t="s">
        <v>33</v>
      </c>
      <c r="J3967" s="1" t="s">
        <v>18</v>
      </c>
      <c r="K3967" s="1">
        <v>500.0</v>
      </c>
      <c r="L3967" s="1">
        <v>56.96408475</v>
      </c>
      <c r="M3967" s="1">
        <v>24.1380633301973</v>
      </c>
    </row>
    <row r="3968">
      <c r="A3968" s="1" t="s">
        <v>22</v>
      </c>
      <c r="B3968" s="1" t="s">
        <v>23</v>
      </c>
      <c r="C3968" s="1" t="s">
        <v>2330</v>
      </c>
      <c r="D3968" s="1">
        <v>2.0</v>
      </c>
      <c r="E3968" s="1">
        <v>54.0</v>
      </c>
      <c r="F3968" s="1">
        <v>1.0</v>
      </c>
      <c r="G3968" s="1">
        <v>5.0</v>
      </c>
      <c r="H3968" s="1" t="s">
        <v>25</v>
      </c>
      <c r="I3968" s="1" t="s">
        <v>33</v>
      </c>
      <c r="J3968" s="1" t="s">
        <v>18</v>
      </c>
      <c r="K3968" s="1">
        <v>98000.0</v>
      </c>
      <c r="L3968" s="1">
        <v>56.9688549</v>
      </c>
      <c r="M3968" s="1">
        <v>24.1451220676362</v>
      </c>
    </row>
    <row r="3969">
      <c r="A3969" s="1" t="s">
        <v>22</v>
      </c>
      <c r="B3969" s="1" t="s">
        <v>23</v>
      </c>
      <c r="C3969" s="1" t="s">
        <v>2331</v>
      </c>
      <c r="D3969" s="1">
        <v>4.0</v>
      </c>
      <c r="E3969" s="1">
        <v>102.7</v>
      </c>
      <c r="F3969" s="1">
        <v>2.0</v>
      </c>
      <c r="G3969" s="1">
        <v>4.0</v>
      </c>
      <c r="H3969" s="1" t="s">
        <v>25</v>
      </c>
      <c r="I3969" s="1" t="s">
        <v>33</v>
      </c>
      <c r="J3969" s="1" t="s">
        <v>18</v>
      </c>
      <c r="K3969" s="1">
        <v>123000.0</v>
      </c>
      <c r="L3969" s="1">
        <v>56.95362985</v>
      </c>
      <c r="M3969" s="1">
        <v>24.132406458301</v>
      </c>
    </row>
    <row r="3970">
      <c r="A3970" s="1" t="s">
        <v>22</v>
      </c>
      <c r="B3970" s="1" t="s">
        <v>23</v>
      </c>
      <c r="C3970" s="1" t="s">
        <v>2331</v>
      </c>
      <c r="D3970" s="1">
        <v>3.0</v>
      </c>
      <c r="E3970" s="1">
        <v>80.8</v>
      </c>
      <c r="F3970" s="1">
        <v>4.0</v>
      </c>
      <c r="G3970" s="1">
        <v>4.0</v>
      </c>
      <c r="H3970" s="1" t="s">
        <v>25</v>
      </c>
      <c r="I3970" s="1" t="s">
        <v>33</v>
      </c>
      <c r="J3970" s="1" t="s">
        <v>18</v>
      </c>
      <c r="K3970" s="1">
        <v>104000.0</v>
      </c>
      <c r="L3970" s="1">
        <v>56.95362985</v>
      </c>
      <c r="M3970" s="1">
        <v>24.132406458301</v>
      </c>
    </row>
    <row r="3971">
      <c r="A3971" s="1" t="s">
        <v>22</v>
      </c>
      <c r="B3971" s="1" t="s">
        <v>74</v>
      </c>
      <c r="C3971" s="1" t="s">
        <v>2243</v>
      </c>
      <c r="D3971" s="1">
        <v>2.0</v>
      </c>
      <c r="E3971" s="1">
        <v>50.0</v>
      </c>
      <c r="F3971" s="1">
        <v>6.0</v>
      </c>
      <c r="G3971" s="1">
        <v>9.0</v>
      </c>
      <c r="H3971" s="1">
        <v>602.0</v>
      </c>
      <c r="I3971" s="1" t="s">
        <v>21</v>
      </c>
      <c r="J3971" s="1" t="s">
        <v>18</v>
      </c>
      <c r="K3971" s="1">
        <v>44000.0</v>
      </c>
      <c r="L3971" s="1" t="s">
        <v>40</v>
      </c>
      <c r="M3971" s="1" t="s">
        <v>40</v>
      </c>
    </row>
    <row r="3972">
      <c r="A3972" s="1" t="s">
        <v>22</v>
      </c>
      <c r="B3972" s="1" t="s">
        <v>14</v>
      </c>
      <c r="C3972" s="1" t="s">
        <v>1133</v>
      </c>
      <c r="D3972" s="1">
        <v>3.0</v>
      </c>
      <c r="E3972" s="1">
        <v>78.0</v>
      </c>
      <c r="F3972" s="1">
        <v>6.0</v>
      </c>
      <c r="G3972" s="1">
        <v>9.0</v>
      </c>
      <c r="H3972" s="1">
        <v>119.0</v>
      </c>
      <c r="I3972" s="1" t="s">
        <v>122</v>
      </c>
      <c r="J3972" s="1" t="s">
        <v>18</v>
      </c>
      <c r="K3972" s="1">
        <v>82900.0</v>
      </c>
      <c r="L3972" s="1">
        <v>56.94708265</v>
      </c>
      <c r="M3972" s="1">
        <v>24.1976276399044</v>
      </c>
    </row>
    <row r="3973">
      <c r="A3973" s="1" t="s">
        <v>22</v>
      </c>
      <c r="B3973" s="1" t="s">
        <v>60</v>
      </c>
      <c r="C3973" s="1" t="s">
        <v>391</v>
      </c>
      <c r="D3973" s="1">
        <v>1.0</v>
      </c>
      <c r="E3973" s="1">
        <v>34.0</v>
      </c>
      <c r="F3973" s="1">
        <v>5.0</v>
      </c>
      <c r="G3973" s="1">
        <v>5.0</v>
      </c>
      <c r="H3973" s="1" t="s">
        <v>44</v>
      </c>
      <c r="I3973" s="1" t="s">
        <v>37</v>
      </c>
      <c r="J3973" s="1" t="s">
        <v>18</v>
      </c>
      <c r="K3973" s="1">
        <v>28500.0</v>
      </c>
      <c r="L3973" s="1">
        <v>57.0264399</v>
      </c>
      <c r="M3973" s="1">
        <v>24.0391971</v>
      </c>
    </row>
    <row r="3974">
      <c r="A3974" s="1" t="s">
        <v>22</v>
      </c>
      <c r="B3974" s="1" t="s">
        <v>14</v>
      </c>
      <c r="C3974" s="1" t="s">
        <v>1722</v>
      </c>
      <c r="D3974" s="1">
        <v>3.0</v>
      </c>
      <c r="E3974" s="1">
        <v>75.0</v>
      </c>
      <c r="F3974" s="1">
        <v>6.0</v>
      </c>
      <c r="G3974" s="1">
        <v>9.0</v>
      </c>
      <c r="H3974" s="1">
        <v>119.0</v>
      </c>
      <c r="I3974" s="1" t="s">
        <v>21</v>
      </c>
      <c r="J3974" s="1" t="s">
        <v>18</v>
      </c>
      <c r="K3974" s="1">
        <v>78000.0</v>
      </c>
      <c r="L3974" s="1">
        <v>56.94719075</v>
      </c>
      <c r="M3974" s="1">
        <v>24.1867567338823</v>
      </c>
    </row>
    <row r="3975">
      <c r="A3975" s="1" t="s">
        <v>13</v>
      </c>
      <c r="B3975" s="1" t="s">
        <v>23</v>
      </c>
      <c r="C3975" s="1" t="s">
        <v>872</v>
      </c>
      <c r="D3975" s="1">
        <v>4.0</v>
      </c>
      <c r="E3975" s="1">
        <v>116.0</v>
      </c>
      <c r="F3975" s="1">
        <v>6.0</v>
      </c>
      <c r="G3975" s="1">
        <v>7.0</v>
      </c>
      <c r="H3975" s="1" t="s">
        <v>32</v>
      </c>
      <c r="I3975" s="1" t="s">
        <v>33</v>
      </c>
      <c r="J3975" s="1" t="s">
        <v>18</v>
      </c>
      <c r="K3975" s="1">
        <v>1200.0</v>
      </c>
      <c r="L3975" s="1" t="s">
        <v>40</v>
      </c>
      <c r="M3975" s="1" t="s">
        <v>40</v>
      </c>
    </row>
    <row r="3976">
      <c r="A3976" s="1" t="s">
        <v>13</v>
      </c>
      <c r="B3976" s="1" t="s">
        <v>30</v>
      </c>
      <c r="C3976" s="1" t="s">
        <v>2332</v>
      </c>
      <c r="D3976" s="1">
        <v>1.0</v>
      </c>
      <c r="E3976" s="1">
        <v>38.0</v>
      </c>
      <c r="F3976" s="1">
        <v>2.0</v>
      </c>
      <c r="G3976" s="1">
        <v>4.0</v>
      </c>
      <c r="H3976" s="1" t="s">
        <v>36</v>
      </c>
      <c r="I3976" s="1" t="s">
        <v>17</v>
      </c>
      <c r="J3976" s="1" t="s">
        <v>18</v>
      </c>
      <c r="K3976" s="1">
        <v>330.0</v>
      </c>
      <c r="L3976" s="1">
        <v>56.96806095</v>
      </c>
      <c r="M3976" s="1">
        <v>24.1769448223239</v>
      </c>
    </row>
    <row r="3977">
      <c r="A3977" s="1" t="s">
        <v>22</v>
      </c>
      <c r="B3977" s="1" t="s">
        <v>74</v>
      </c>
      <c r="C3977" s="1" t="s">
        <v>2153</v>
      </c>
      <c r="D3977" s="1">
        <v>1.0</v>
      </c>
      <c r="E3977" s="1">
        <v>42.0</v>
      </c>
      <c r="F3977" s="1">
        <v>6.0</v>
      </c>
      <c r="G3977" s="1">
        <v>9.0</v>
      </c>
      <c r="H3977" s="1" t="s">
        <v>57</v>
      </c>
      <c r="I3977" s="1" t="s">
        <v>21</v>
      </c>
      <c r="J3977" s="1" t="s">
        <v>18</v>
      </c>
      <c r="K3977" s="1">
        <v>42000.0</v>
      </c>
      <c r="L3977" s="1">
        <v>56.9339826</v>
      </c>
      <c r="M3977" s="1">
        <v>24.197050844516</v>
      </c>
    </row>
    <row r="3978">
      <c r="A3978" s="1" t="s">
        <v>22</v>
      </c>
      <c r="B3978" s="1" t="s">
        <v>14</v>
      </c>
      <c r="C3978" s="1" t="s">
        <v>2333</v>
      </c>
      <c r="D3978" s="1">
        <v>3.0</v>
      </c>
      <c r="E3978" s="1">
        <v>62.0</v>
      </c>
      <c r="F3978" s="1">
        <v>7.0</v>
      </c>
      <c r="G3978" s="1">
        <v>9.0</v>
      </c>
      <c r="H3978" s="1">
        <v>602.0</v>
      </c>
      <c r="I3978" s="1" t="s">
        <v>21</v>
      </c>
      <c r="J3978" s="1" t="s">
        <v>18</v>
      </c>
      <c r="K3978" s="1">
        <v>65000.0</v>
      </c>
      <c r="L3978" s="1">
        <v>56.95966275</v>
      </c>
      <c r="M3978" s="1">
        <v>24.178496624952</v>
      </c>
    </row>
    <row r="3979">
      <c r="A3979" s="1" t="s">
        <v>22</v>
      </c>
      <c r="B3979" s="1" t="s">
        <v>74</v>
      </c>
      <c r="C3979" s="1" t="s">
        <v>1913</v>
      </c>
      <c r="D3979" s="1">
        <v>2.0</v>
      </c>
      <c r="E3979" s="1">
        <v>50.0</v>
      </c>
      <c r="F3979" s="1">
        <v>5.0</v>
      </c>
      <c r="G3979" s="1">
        <v>8.0</v>
      </c>
      <c r="H3979" s="1">
        <v>602.0</v>
      </c>
      <c r="I3979" s="1" t="s">
        <v>21</v>
      </c>
      <c r="J3979" s="1" t="s">
        <v>18</v>
      </c>
      <c r="K3979" s="1">
        <v>60000.0</v>
      </c>
      <c r="L3979" s="1">
        <v>56.936719</v>
      </c>
      <c r="M3979" s="1">
        <v>24.2115553169076</v>
      </c>
    </row>
    <row r="3980">
      <c r="A3980" s="1" t="s">
        <v>13</v>
      </c>
      <c r="B3980" s="1" t="s">
        <v>23</v>
      </c>
      <c r="C3980" s="1" t="s">
        <v>2334</v>
      </c>
      <c r="D3980" s="1">
        <v>2.0</v>
      </c>
      <c r="E3980" s="1">
        <v>59.0</v>
      </c>
      <c r="F3980" s="1">
        <v>5.0</v>
      </c>
      <c r="G3980" s="1">
        <v>6.0</v>
      </c>
      <c r="H3980" s="1" t="s">
        <v>25</v>
      </c>
      <c r="I3980" s="1" t="s">
        <v>33</v>
      </c>
      <c r="J3980" s="1" t="s">
        <v>18</v>
      </c>
      <c r="K3980" s="1">
        <v>550.0</v>
      </c>
      <c r="L3980" s="1">
        <v>56.9597768</v>
      </c>
      <c r="M3980" s="1">
        <v>24.1297391</v>
      </c>
    </row>
    <row r="3981">
      <c r="A3981" s="1" t="s">
        <v>22</v>
      </c>
      <c r="B3981" s="1" t="s">
        <v>134</v>
      </c>
      <c r="C3981" s="1" t="s">
        <v>2335</v>
      </c>
      <c r="D3981" s="1">
        <v>2.0</v>
      </c>
      <c r="E3981" s="1">
        <v>60.0</v>
      </c>
      <c r="F3981" s="1">
        <v>2.0</v>
      </c>
      <c r="G3981" s="1">
        <v>2.0</v>
      </c>
      <c r="H3981" s="1" t="s">
        <v>36</v>
      </c>
      <c r="I3981" s="1" t="s">
        <v>26</v>
      </c>
      <c r="J3981" s="1" t="s">
        <v>27</v>
      </c>
      <c r="K3981" s="1">
        <v>16790.0</v>
      </c>
      <c r="L3981" s="1">
        <v>57.0364757</v>
      </c>
      <c r="M3981" s="1">
        <v>24.025385434665</v>
      </c>
    </row>
    <row r="3982">
      <c r="A3982" s="1" t="s">
        <v>13</v>
      </c>
      <c r="B3982" s="1" t="s">
        <v>28</v>
      </c>
      <c r="C3982" s="1" t="s">
        <v>2336</v>
      </c>
      <c r="D3982" s="1">
        <v>1.0</v>
      </c>
      <c r="E3982" s="1">
        <v>34.0</v>
      </c>
      <c r="F3982" s="1">
        <v>1.0</v>
      </c>
      <c r="G3982" s="1">
        <v>5.0</v>
      </c>
      <c r="H3982" s="1" t="s">
        <v>16</v>
      </c>
      <c r="I3982" s="1" t="s">
        <v>17</v>
      </c>
      <c r="J3982" s="1" t="s">
        <v>18</v>
      </c>
      <c r="K3982" s="1">
        <v>20.0</v>
      </c>
      <c r="L3982" s="1">
        <v>56.8597884</v>
      </c>
      <c r="M3982" s="1">
        <v>24.3083417</v>
      </c>
    </row>
    <row r="3983">
      <c r="A3983" s="1" t="s">
        <v>22</v>
      </c>
      <c r="B3983" s="1" t="s">
        <v>38</v>
      </c>
      <c r="C3983" s="1" t="s">
        <v>2021</v>
      </c>
      <c r="D3983" s="1">
        <v>3.0</v>
      </c>
      <c r="E3983" s="1">
        <v>63.0</v>
      </c>
      <c r="F3983" s="1">
        <v>1.0</v>
      </c>
      <c r="G3983" s="1">
        <v>9.0</v>
      </c>
      <c r="H3983" s="1">
        <v>602.0</v>
      </c>
      <c r="I3983" s="1" t="s">
        <v>21</v>
      </c>
      <c r="J3983" s="1" t="s">
        <v>18</v>
      </c>
      <c r="K3983" s="1">
        <v>53000.0</v>
      </c>
      <c r="L3983" s="1">
        <v>56.9576685</v>
      </c>
      <c r="M3983" s="1">
        <v>24.008248</v>
      </c>
    </row>
    <row r="3984">
      <c r="A3984" s="1" t="s">
        <v>22</v>
      </c>
      <c r="B3984" s="1" t="s">
        <v>19</v>
      </c>
      <c r="C3984" s="1" t="s">
        <v>493</v>
      </c>
      <c r="D3984" s="1">
        <v>3.0</v>
      </c>
      <c r="E3984" s="1">
        <v>77.0</v>
      </c>
      <c r="F3984" s="1">
        <v>1.0</v>
      </c>
      <c r="G3984" s="1">
        <v>4.0</v>
      </c>
      <c r="H3984" s="1" t="s">
        <v>32</v>
      </c>
      <c r="I3984" s="1" t="s">
        <v>21</v>
      </c>
      <c r="J3984" s="1" t="s">
        <v>18</v>
      </c>
      <c r="K3984" s="1">
        <v>109000.0</v>
      </c>
      <c r="L3984" s="1">
        <v>56.914968</v>
      </c>
      <c r="M3984" s="1">
        <v>24.12289</v>
      </c>
    </row>
    <row r="3985">
      <c r="A3985" s="1" t="s">
        <v>13</v>
      </c>
      <c r="B3985" s="1" t="s">
        <v>30</v>
      </c>
      <c r="C3985" s="1" t="s">
        <v>2337</v>
      </c>
      <c r="D3985" s="1">
        <v>3.0</v>
      </c>
      <c r="E3985" s="1">
        <v>75.0</v>
      </c>
      <c r="F3985" s="1">
        <v>8.0</v>
      </c>
      <c r="G3985" s="1">
        <v>9.0</v>
      </c>
      <c r="H3985" s="1" t="s">
        <v>36</v>
      </c>
      <c r="I3985" s="1" t="s">
        <v>122</v>
      </c>
      <c r="J3985" s="1" t="s">
        <v>18</v>
      </c>
      <c r="K3985" s="1">
        <v>410.0</v>
      </c>
      <c r="L3985" s="1">
        <v>56.9802132</v>
      </c>
      <c r="M3985" s="1">
        <v>24.187768</v>
      </c>
    </row>
    <row r="3986">
      <c r="A3986" s="1" t="s">
        <v>22</v>
      </c>
      <c r="B3986" s="1" t="s">
        <v>96</v>
      </c>
      <c r="C3986" s="1" t="s">
        <v>2338</v>
      </c>
      <c r="D3986" s="1">
        <v>2.0</v>
      </c>
      <c r="E3986" s="1">
        <v>50.0</v>
      </c>
      <c r="F3986" s="1">
        <v>1.0</v>
      </c>
      <c r="G3986" s="1">
        <v>5.0</v>
      </c>
      <c r="H3986" s="1" t="s">
        <v>16</v>
      </c>
      <c r="I3986" s="1" t="s">
        <v>21</v>
      </c>
      <c r="J3986" s="1" t="s">
        <v>18</v>
      </c>
      <c r="K3986" s="1">
        <v>29999.0</v>
      </c>
      <c r="L3986" s="1" t="s">
        <v>40</v>
      </c>
      <c r="M3986" s="1" t="s">
        <v>40</v>
      </c>
    </row>
    <row r="3987">
      <c r="A3987" s="1" t="s">
        <v>22</v>
      </c>
      <c r="B3987" s="1" t="s">
        <v>19</v>
      </c>
      <c r="C3987" s="1" t="s">
        <v>2339</v>
      </c>
      <c r="D3987" s="1">
        <v>1.0</v>
      </c>
      <c r="E3987" s="1">
        <v>46.0</v>
      </c>
      <c r="F3987" s="1">
        <v>5.0</v>
      </c>
      <c r="G3987" s="1">
        <v>10.0</v>
      </c>
      <c r="H3987" s="1">
        <v>119.0</v>
      </c>
      <c r="I3987" s="1" t="s">
        <v>33</v>
      </c>
      <c r="J3987" s="1" t="s">
        <v>18</v>
      </c>
      <c r="K3987" s="1">
        <v>44500.0</v>
      </c>
      <c r="L3987" s="1">
        <v>56.8990307</v>
      </c>
      <c r="M3987" s="1">
        <v>24.0785989</v>
      </c>
    </row>
    <row r="3988">
      <c r="A3988" s="1" t="s">
        <v>131</v>
      </c>
      <c r="B3988" s="2"/>
      <c r="C3988" s="2"/>
      <c r="D3988" s="1">
        <v>1.0</v>
      </c>
      <c r="E3988" s="2"/>
      <c r="F3988" s="2"/>
      <c r="G3988" s="2"/>
      <c r="H3988" s="2"/>
      <c r="I3988" s="2"/>
      <c r="J3988" s="1" t="s">
        <v>18</v>
      </c>
      <c r="K3988" s="2"/>
      <c r="L3988" s="1">
        <v>46.3144754</v>
      </c>
      <c r="M3988" s="1">
        <v>11.0480288</v>
      </c>
    </row>
    <row r="3989">
      <c r="A3989" s="1" t="s">
        <v>13</v>
      </c>
      <c r="B3989" s="1" t="s">
        <v>23</v>
      </c>
      <c r="C3989" s="1" t="s">
        <v>2340</v>
      </c>
      <c r="D3989" s="1">
        <v>5.0</v>
      </c>
      <c r="E3989" s="1">
        <v>159.0</v>
      </c>
      <c r="F3989" s="1">
        <v>3.0</v>
      </c>
      <c r="G3989" s="1">
        <v>7.0</v>
      </c>
      <c r="H3989" s="1" t="s">
        <v>32</v>
      </c>
      <c r="I3989" s="1" t="s">
        <v>33</v>
      </c>
      <c r="J3989" s="1" t="s">
        <v>18</v>
      </c>
      <c r="K3989" s="1">
        <v>1500.0</v>
      </c>
      <c r="L3989" s="1">
        <v>56.9611987</v>
      </c>
      <c r="M3989" s="1">
        <v>24.1032565</v>
      </c>
    </row>
    <row r="3990">
      <c r="A3990" s="1" t="s">
        <v>22</v>
      </c>
      <c r="B3990" s="1" t="s">
        <v>23</v>
      </c>
      <c r="C3990" s="1" t="s">
        <v>1200</v>
      </c>
      <c r="D3990" s="1">
        <v>2.0</v>
      </c>
      <c r="E3990" s="1">
        <v>62.0</v>
      </c>
      <c r="F3990" s="1">
        <v>4.0</v>
      </c>
      <c r="G3990" s="1">
        <v>6.0</v>
      </c>
      <c r="H3990" s="1" t="s">
        <v>66</v>
      </c>
      <c r="I3990" s="1" t="s">
        <v>37</v>
      </c>
      <c r="J3990" s="1" t="s">
        <v>18</v>
      </c>
      <c r="K3990" s="1">
        <v>113000.0</v>
      </c>
      <c r="L3990" s="1">
        <v>56.9619771</v>
      </c>
      <c r="M3990" s="1">
        <v>24.1348346</v>
      </c>
    </row>
    <row r="3991">
      <c r="A3991" s="1" t="s">
        <v>13</v>
      </c>
      <c r="B3991" s="1" t="s">
        <v>104</v>
      </c>
      <c r="C3991" s="1" t="s">
        <v>1071</v>
      </c>
      <c r="D3991" s="1">
        <v>3.0</v>
      </c>
      <c r="E3991" s="1">
        <v>58.0</v>
      </c>
      <c r="F3991" s="1">
        <v>3.0</v>
      </c>
      <c r="G3991" s="1">
        <v>4.0</v>
      </c>
      <c r="H3991" s="1" t="s">
        <v>66</v>
      </c>
      <c r="I3991" s="1" t="s">
        <v>33</v>
      </c>
      <c r="J3991" s="1" t="s">
        <v>18</v>
      </c>
      <c r="K3991" s="1">
        <v>500.0</v>
      </c>
      <c r="L3991" s="1">
        <v>56.9313946</v>
      </c>
      <c r="M3991" s="1">
        <v>24.0706271241211</v>
      </c>
    </row>
    <row r="3992">
      <c r="A3992" s="1" t="s">
        <v>22</v>
      </c>
      <c r="B3992" s="1" t="s">
        <v>19</v>
      </c>
      <c r="C3992" s="1" t="s">
        <v>295</v>
      </c>
      <c r="D3992" s="1">
        <v>3.0</v>
      </c>
      <c r="E3992" s="1">
        <v>75.0</v>
      </c>
      <c r="F3992" s="1">
        <v>7.0</v>
      </c>
      <c r="G3992" s="1">
        <v>7.0</v>
      </c>
      <c r="H3992" s="1" t="s">
        <v>36</v>
      </c>
      <c r="I3992" s="1" t="s">
        <v>21</v>
      </c>
      <c r="J3992" s="1" t="s">
        <v>18</v>
      </c>
      <c r="K3992" s="1">
        <v>65000.0</v>
      </c>
      <c r="L3992" s="1">
        <v>56.90957185</v>
      </c>
      <c r="M3992" s="1">
        <v>24.097641602805</v>
      </c>
    </row>
    <row r="3993">
      <c r="A3993" s="1" t="s">
        <v>22</v>
      </c>
      <c r="B3993" s="1" t="s">
        <v>23</v>
      </c>
      <c r="C3993" s="1" t="s">
        <v>478</v>
      </c>
      <c r="D3993" s="1">
        <v>2.0</v>
      </c>
      <c r="E3993" s="1">
        <v>55.0</v>
      </c>
      <c r="F3993" s="1">
        <v>4.0</v>
      </c>
      <c r="G3993" s="1">
        <v>7.0</v>
      </c>
      <c r="H3993" s="1" t="s">
        <v>32</v>
      </c>
      <c r="I3993" s="1" t="s">
        <v>122</v>
      </c>
      <c r="J3993" s="1" t="s">
        <v>18</v>
      </c>
      <c r="K3993" s="1">
        <v>120000.0</v>
      </c>
      <c r="L3993" s="1">
        <v>56.9493295</v>
      </c>
      <c r="M3993" s="1">
        <v>24.1264892056074</v>
      </c>
    </row>
    <row r="3994">
      <c r="A3994" s="1" t="s">
        <v>13</v>
      </c>
      <c r="B3994" s="1" t="s">
        <v>23</v>
      </c>
      <c r="C3994" s="1" t="s">
        <v>1656</v>
      </c>
      <c r="D3994" s="1">
        <v>1.0</v>
      </c>
      <c r="E3994" s="1">
        <v>18.0</v>
      </c>
      <c r="F3994" s="1">
        <v>3.0</v>
      </c>
      <c r="G3994" s="1">
        <v>5.0</v>
      </c>
      <c r="H3994" s="1" t="s">
        <v>36</v>
      </c>
      <c r="I3994" s="1" t="s">
        <v>33</v>
      </c>
      <c r="J3994" s="1" t="s">
        <v>18</v>
      </c>
      <c r="K3994" s="1">
        <v>220.0</v>
      </c>
      <c r="L3994" s="1">
        <v>56.9629237</v>
      </c>
      <c r="M3994" s="1">
        <v>24.1513342</v>
      </c>
    </row>
    <row r="3995">
      <c r="A3995" s="1" t="s">
        <v>22</v>
      </c>
      <c r="B3995" s="1" t="s">
        <v>50</v>
      </c>
      <c r="C3995" s="1" t="s">
        <v>1852</v>
      </c>
      <c r="D3995" s="1">
        <v>2.0</v>
      </c>
      <c r="E3995" s="1">
        <v>38.0</v>
      </c>
      <c r="F3995" s="1">
        <v>4.0</v>
      </c>
      <c r="G3995" s="1">
        <v>5.0</v>
      </c>
      <c r="H3995" s="1" t="s">
        <v>25</v>
      </c>
      <c r="I3995" s="1" t="s">
        <v>33</v>
      </c>
      <c r="J3995" s="1" t="s">
        <v>18</v>
      </c>
      <c r="K3995" s="1">
        <v>49600.0</v>
      </c>
      <c r="L3995" s="1">
        <v>56.94181855</v>
      </c>
      <c r="M3995" s="1">
        <v>24.136004360151</v>
      </c>
    </row>
    <row r="3996">
      <c r="A3996" s="1" t="s">
        <v>22</v>
      </c>
      <c r="B3996" s="1" t="s">
        <v>104</v>
      </c>
      <c r="C3996" s="1" t="s">
        <v>2341</v>
      </c>
      <c r="D3996" s="1">
        <v>2.0</v>
      </c>
      <c r="E3996" s="1">
        <v>46.0</v>
      </c>
      <c r="F3996" s="1">
        <v>1.0</v>
      </c>
      <c r="G3996" s="1">
        <v>4.0</v>
      </c>
      <c r="H3996" s="1" t="s">
        <v>66</v>
      </c>
      <c r="I3996" s="1" t="s">
        <v>33</v>
      </c>
      <c r="J3996" s="1" t="s">
        <v>18</v>
      </c>
      <c r="K3996" s="1">
        <v>80597.0</v>
      </c>
      <c r="L3996" s="1">
        <v>56.9348145</v>
      </c>
      <c r="M3996" s="1">
        <v>24.0753412</v>
      </c>
    </row>
    <row r="3997">
      <c r="A3997" s="1" t="s">
        <v>22</v>
      </c>
      <c r="B3997" s="1" t="s">
        <v>14</v>
      </c>
      <c r="C3997" s="1" t="s">
        <v>901</v>
      </c>
      <c r="D3997" s="1">
        <v>3.0</v>
      </c>
      <c r="E3997" s="1">
        <v>80.0</v>
      </c>
      <c r="F3997" s="1">
        <v>13.0</v>
      </c>
      <c r="G3997" s="1">
        <v>16.0</v>
      </c>
      <c r="H3997" s="1" t="s">
        <v>36</v>
      </c>
      <c r="I3997" s="1" t="s">
        <v>33</v>
      </c>
      <c r="J3997" s="1" t="s">
        <v>18</v>
      </c>
      <c r="K3997" s="1">
        <v>110000.0</v>
      </c>
      <c r="L3997" s="1">
        <v>56.95650225</v>
      </c>
      <c r="M3997" s="1">
        <v>24.1867783069729</v>
      </c>
    </row>
    <row r="3998">
      <c r="A3998" s="1" t="s">
        <v>22</v>
      </c>
      <c r="B3998" s="1" t="s">
        <v>19</v>
      </c>
      <c r="C3998" s="1" t="s">
        <v>2207</v>
      </c>
      <c r="D3998" s="1">
        <v>2.0</v>
      </c>
      <c r="E3998" s="1">
        <v>59.0</v>
      </c>
      <c r="F3998" s="1">
        <v>2.0</v>
      </c>
      <c r="G3998" s="1">
        <v>5.0</v>
      </c>
      <c r="H3998" s="1" t="s">
        <v>36</v>
      </c>
      <c r="I3998" s="1" t="s">
        <v>21</v>
      </c>
      <c r="J3998" s="1" t="s">
        <v>18</v>
      </c>
      <c r="K3998" s="1">
        <v>47488.0</v>
      </c>
      <c r="L3998" s="1">
        <v>56.9106429499999</v>
      </c>
      <c r="M3998" s="1">
        <v>24.0995160584085</v>
      </c>
    </row>
    <row r="3999">
      <c r="A3999" s="1" t="s">
        <v>22</v>
      </c>
      <c r="B3999" s="1" t="s">
        <v>67</v>
      </c>
      <c r="C3999" s="1" t="s">
        <v>1332</v>
      </c>
      <c r="D3999" s="1">
        <v>4.0</v>
      </c>
      <c r="E3999" s="1">
        <v>108.0</v>
      </c>
      <c r="F3999" s="1">
        <v>2.0</v>
      </c>
      <c r="G3999" s="1">
        <v>6.0</v>
      </c>
      <c r="H3999" s="1" t="s">
        <v>66</v>
      </c>
      <c r="I3999" s="1" t="s">
        <v>122</v>
      </c>
      <c r="J3999" s="1" t="s">
        <v>18</v>
      </c>
      <c r="K3999" s="1">
        <v>140400.0</v>
      </c>
      <c r="L3999" s="1">
        <v>56.96528365</v>
      </c>
      <c r="M3999" s="1">
        <v>24.1511345971373</v>
      </c>
    </row>
    <row r="4000">
      <c r="A4000" s="1" t="s">
        <v>13</v>
      </c>
      <c r="B4000" s="1" t="s">
        <v>23</v>
      </c>
      <c r="C4000" s="1" t="s">
        <v>1603</v>
      </c>
      <c r="D4000" s="1">
        <v>1.0</v>
      </c>
      <c r="E4000" s="1">
        <v>8.0</v>
      </c>
      <c r="F4000" s="1">
        <v>1.0</v>
      </c>
      <c r="G4000" s="1">
        <v>4.0</v>
      </c>
      <c r="H4000" s="1" t="s">
        <v>66</v>
      </c>
      <c r="I4000" s="1" t="s">
        <v>33</v>
      </c>
      <c r="J4000" s="1" t="s">
        <v>18</v>
      </c>
      <c r="K4000" s="1">
        <v>120.0</v>
      </c>
      <c r="L4000" s="1">
        <v>56.9502926</v>
      </c>
      <c r="M4000" s="1">
        <v>24.143564917498</v>
      </c>
    </row>
    <row r="4001">
      <c r="A4001" s="1" t="s">
        <v>13</v>
      </c>
      <c r="B4001" s="1" t="s">
        <v>74</v>
      </c>
      <c r="C4001" s="1" t="s">
        <v>2342</v>
      </c>
      <c r="D4001" s="1">
        <v>1.0</v>
      </c>
      <c r="E4001" s="1">
        <v>42.0</v>
      </c>
      <c r="F4001" s="1">
        <v>4.0</v>
      </c>
      <c r="G4001" s="1">
        <v>5.0</v>
      </c>
      <c r="H4001" s="1" t="s">
        <v>57</v>
      </c>
      <c r="I4001" s="1" t="s">
        <v>21</v>
      </c>
      <c r="J4001" s="1" t="s">
        <v>18</v>
      </c>
      <c r="K4001" s="1">
        <v>240.0</v>
      </c>
      <c r="L4001" s="1">
        <v>56.94060485</v>
      </c>
      <c r="M4001" s="1">
        <v>24.2179315</v>
      </c>
    </row>
    <row r="4002">
      <c r="A4002" s="1" t="s">
        <v>22</v>
      </c>
      <c r="B4002" s="1" t="s">
        <v>14</v>
      </c>
      <c r="C4002" s="1" t="s">
        <v>2343</v>
      </c>
      <c r="D4002" s="1">
        <v>3.0</v>
      </c>
      <c r="E4002" s="1">
        <v>64.0</v>
      </c>
      <c r="F4002" s="1">
        <v>2.0</v>
      </c>
      <c r="G4002" s="1">
        <v>9.0</v>
      </c>
      <c r="H4002" s="1">
        <v>602.0</v>
      </c>
      <c r="I4002" s="1" t="s">
        <v>21</v>
      </c>
      <c r="J4002" s="1" t="s">
        <v>18</v>
      </c>
      <c r="K4002" s="1">
        <v>68000.0</v>
      </c>
      <c r="L4002" s="1">
        <v>56.950443</v>
      </c>
      <c r="M4002" s="1">
        <v>24.2008902</v>
      </c>
    </row>
    <row r="4003">
      <c r="A4003" s="1" t="s">
        <v>13</v>
      </c>
      <c r="B4003" s="1" t="s">
        <v>23</v>
      </c>
      <c r="C4003" s="1" t="s">
        <v>2344</v>
      </c>
      <c r="D4003" s="1">
        <v>1.0</v>
      </c>
      <c r="E4003" s="1">
        <v>28.0</v>
      </c>
      <c r="F4003" s="1">
        <v>2.0</v>
      </c>
      <c r="G4003" s="1">
        <v>5.0</v>
      </c>
      <c r="H4003" s="1" t="s">
        <v>25</v>
      </c>
      <c r="I4003" s="1" t="s">
        <v>33</v>
      </c>
      <c r="J4003" s="1" t="s">
        <v>18</v>
      </c>
      <c r="K4003" s="1">
        <v>30.0</v>
      </c>
      <c r="L4003" s="1">
        <v>56.964231</v>
      </c>
      <c r="M4003" s="1">
        <v>24.140576370724</v>
      </c>
    </row>
    <row r="4004">
      <c r="A4004" s="1" t="s">
        <v>22</v>
      </c>
      <c r="B4004" s="1" t="s">
        <v>23</v>
      </c>
      <c r="C4004" s="1" t="s">
        <v>2345</v>
      </c>
      <c r="D4004" s="1">
        <v>3.0</v>
      </c>
      <c r="E4004" s="1">
        <v>95.0</v>
      </c>
      <c r="F4004" s="1">
        <v>1.0</v>
      </c>
      <c r="G4004" s="1">
        <v>6.0</v>
      </c>
      <c r="H4004" s="1" t="s">
        <v>66</v>
      </c>
      <c r="I4004" s="1" t="s">
        <v>33</v>
      </c>
      <c r="J4004" s="1" t="s">
        <v>18</v>
      </c>
      <c r="K4004" s="1">
        <v>220000.0</v>
      </c>
      <c r="L4004" s="1">
        <v>56.9744532</v>
      </c>
      <c r="M4004" s="1">
        <v>24.1354959</v>
      </c>
    </row>
    <row r="4005">
      <c r="A4005" s="1" t="s">
        <v>22</v>
      </c>
      <c r="B4005" s="1" t="s">
        <v>30</v>
      </c>
      <c r="C4005" s="1" t="s">
        <v>1704</v>
      </c>
      <c r="D4005" s="1">
        <v>4.0</v>
      </c>
      <c r="E4005" s="1">
        <v>138.0</v>
      </c>
      <c r="F4005" s="1">
        <v>1.0</v>
      </c>
      <c r="G4005" s="1">
        <v>2.0</v>
      </c>
      <c r="H4005" s="1" t="s">
        <v>171</v>
      </c>
      <c r="I4005" s="1" t="s">
        <v>33</v>
      </c>
      <c r="J4005" s="1" t="s">
        <v>18</v>
      </c>
      <c r="K4005" s="1">
        <v>180000.0</v>
      </c>
      <c r="L4005" s="1">
        <v>56.97638375</v>
      </c>
      <c r="M4005" s="1">
        <v>24.1794493475102</v>
      </c>
    </row>
    <row r="4006">
      <c r="A4006" s="1" t="s">
        <v>22</v>
      </c>
      <c r="B4006" s="1" t="s">
        <v>52</v>
      </c>
      <c r="C4006" s="1" t="s">
        <v>1609</v>
      </c>
      <c r="D4006" s="1">
        <v>2.0</v>
      </c>
      <c r="E4006" s="1">
        <v>58.0</v>
      </c>
      <c r="F4006" s="1">
        <v>5.0</v>
      </c>
      <c r="G4006" s="1">
        <v>9.0</v>
      </c>
      <c r="H4006" s="1">
        <v>119.0</v>
      </c>
      <c r="I4006" s="1" t="s">
        <v>21</v>
      </c>
      <c r="J4006" s="1" t="s">
        <v>18</v>
      </c>
      <c r="K4006" s="1">
        <v>65000.0</v>
      </c>
      <c r="L4006" s="1">
        <v>56.94716445</v>
      </c>
      <c r="M4006" s="1">
        <v>24.0144371864952</v>
      </c>
    </row>
    <row r="4007">
      <c r="A4007" s="1" t="s">
        <v>22</v>
      </c>
      <c r="B4007" s="1" t="s">
        <v>23</v>
      </c>
      <c r="C4007" s="1" t="s">
        <v>970</v>
      </c>
      <c r="D4007" s="1">
        <v>2.0</v>
      </c>
      <c r="E4007" s="1">
        <v>49.0</v>
      </c>
      <c r="F4007" s="1">
        <v>3.0</v>
      </c>
      <c r="G4007" s="1">
        <v>5.0</v>
      </c>
      <c r="H4007" s="1" t="s">
        <v>181</v>
      </c>
      <c r="I4007" s="1" t="s">
        <v>33</v>
      </c>
      <c r="J4007" s="1" t="s">
        <v>18</v>
      </c>
      <c r="K4007" s="1">
        <v>68000.0</v>
      </c>
      <c r="L4007" s="1">
        <v>56.96925335</v>
      </c>
      <c r="M4007" s="1">
        <v>24.0988693972666</v>
      </c>
    </row>
    <row r="4008">
      <c r="A4008" s="1" t="s">
        <v>22</v>
      </c>
      <c r="B4008" s="1" t="s">
        <v>19</v>
      </c>
      <c r="C4008" s="1" t="s">
        <v>978</v>
      </c>
      <c r="D4008" s="1">
        <v>3.0</v>
      </c>
      <c r="E4008" s="1">
        <v>76.6</v>
      </c>
      <c r="F4008" s="1">
        <v>1.0</v>
      </c>
      <c r="G4008" s="1">
        <v>4.0</v>
      </c>
      <c r="H4008" s="1" t="s">
        <v>32</v>
      </c>
      <c r="I4008" s="1" t="s">
        <v>122</v>
      </c>
      <c r="J4008" s="1" t="s">
        <v>18</v>
      </c>
      <c r="K4008" s="1">
        <v>119000.0</v>
      </c>
      <c r="L4008" s="1">
        <v>56.914968</v>
      </c>
      <c r="M4008" s="1">
        <v>24.12289</v>
      </c>
    </row>
    <row r="4009">
      <c r="A4009" s="1" t="s">
        <v>13</v>
      </c>
      <c r="B4009" s="1" t="s">
        <v>45</v>
      </c>
      <c r="C4009" s="1" t="s">
        <v>2346</v>
      </c>
      <c r="D4009" s="1">
        <v>2.0</v>
      </c>
      <c r="E4009" s="1">
        <v>46.0</v>
      </c>
      <c r="F4009" s="1">
        <v>1.0</v>
      </c>
      <c r="G4009" s="1">
        <v>5.0</v>
      </c>
      <c r="H4009" s="1" t="s">
        <v>16</v>
      </c>
      <c r="I4009" s="1" t="s">
        <v>21</v>
      </c>
      <c r="J4009" s="1" t="s">
        <v>18</v>
      </c>
      <c r="K4009" s="1">
        <v>250.0</v>
      </c>
      <c r="L4009" s="1" t="s">
        <v>40</v>
      </c>
      <c r="M4009" s="1" t="s">
        <v>40</v>
      </c>
    </row>
    <row r="4010">
      <c r="A4010" s="1" t="s">
        <v>13</v>
      </c>
      <c r="B4010" s="1" t="s">
        <v>104</v>
      </c>
      <c r="C4010" s="1" t="s">
        <v>2347</v>
      </c>
      <c r="D4010" s="1">
        <v>1.0</v>
      </c>
      <c r="E4010" s="1">
        <v>31.0</v>
      </c>
      <c r="F4010" s="1">
        <v>4.0</v>
      </c>
      <c r="G4010" s="1">
        <v>5.0</v>
      </c>
      <c r="H4010" s="1" t="s">
        <v>36</v>
      </c>
      <c r="I4010" s="1" t="s">
        <v>21</v>
      </c>
      <c r="J4010" s="1" t="s">
        <v>18</v>
      </c>
      <c r="K4010" s="1">
        <v>260.0</v>
      </c>
      <c r="L4010" s="1">
        <v>56.94540965</v>
      </c>
      <c r="M4010" s="1">
        <v>24.0664961866815</v>
      </c>
    </row>
    <row r="4011">
      <c r="A4011" s="1" t="s">
        <v>89</v>
      </c>
      <c r="B4011" s="1" t="s">
        <v>52</v>
      </c>
      <c r="C4011" s="2"/>
      <c r="D4011" s="1">
        <v>4.0</v>
      </c>
      <c r="E4011" s="2"/>
      <c r="F4011" s="2"/>
      <c r="G4011" s="2"/>
      <c r="H4011" s="2"/>
      <c r="I4011" s="2"/>
      <c r="J4011" s="2"/>
      <c r="K4011" s="2"/>
      <c r="L4011" s="1">
        <v>46.3144754</v>
      </c>
      <c r="M4011" s="1">
        <v>11.0480288</v>
      </c>
    </row>
    <row r="4012">
      <c r="A4012" s="1" t="s">
        <v>89</v>
      </c>
      <c r="B4012" s="1" t="s">
        <v>14</v>
      </c>
      <c r="C4012" s="2"/>
      <c r="D4012" s="1">
        <v>4.0</v>
      </c>
      <c r="E4012" s="1">
        <v>90.0</v>
      </c>
      <c r="F4012" s="2"/>
      <c r="G4012" s="2"/>
      <c r="H4012" s="2"/>
      <c r="I4012" s="2"/>
      <c r="J4012" s="2"/>
      <c r="K4012" s="2"/>
      <c r="L4012" s="1">
        <v>46.3144754</v>
      </c>
      <c r="M4012" s="1">
        <v>11.0480288</v>
      </c>
    </row>
    <row r="4013">
      <c r="A4013" s="1" t="s">
        <v>89</v>
      </c>
      <c r="B4013" s="1" t="s">
        <v>30</v>
      </c>
      <c r="C4013" s="2"/>
      <c r="D4013" s="1">
        <v>4.0</v>
      </c>
      <c r="E4013" s="1">
        <v>150.0</v>
      </c>
      <c r="F4013" s="2"/>
      <c r="G4013" s="2"/>
      <c r="H4013" s="2"/>
      <c r="I4013" s="2"/>
      <c r="J4013" s="2"/>
      <c r="K4013" s="2"/>
      <c r="L4013" s="1">
        <v>46.3144754</v>
      </c>
      <c r="M4013" s="1">
        <v>11.0480288</v>
      </c>
    </row>
    <row r="4014">
      <c r="A4014" s="1" t="s">
        <v>13</v>
      </c>
      <c r="B4014" s="1" t="s">
        <v>23</v>
      </c>
      <c r="C4014" s="1" t="s">
        <v>2348</v>
      </c>
      <c r="D4014" s="1">
        <v>2.0</v>
      </c>
      <c r="E4014" s="1">
        <v>56.0</v>
      </c>
      <c r="F4014" s="1">
        <v>1.0</v>
      </c>
      <c r="G4014" s="1">
        <v>2.0</v>
      </c>
      <c r="H4014" s="1" t="s">
        <v>25</v>
      </c>
      <c r="I4014" s="1" t="s">
        <v>26</v>
      </c>
      <c r="J4014" s="1" t="s">
        <v>27</v>
      </c>
      <c r="K4014" s="1">
        <v>240.0</v>
      </c>
      <c r="L4014" s="1">
        <v>56.9525161</v>
      </c>
      <c r="M4014" s="1">
        <v>24.1526998</v>
      </c>
    </row>
    <row r="4015">
      <c r="A4015" s="1" t="s">
        <v>22</v>
      </c>
      <c r="B4015" s="1" t="s">
        <v>218</v>
      </c>
      <c r="C4015" s="1" t="s">
        <v>1676</v>
      </c>
      <c r="D4015" s="1">
        <v>1.0</v>
      </c>
      <c r="E4015" s="1">
        <v>15.0</v>
      </c>
      <c r="F4015" s="1">
        <v>3.0</v>
      </c>
      <c r="G4015" s="1">
        <v>4.0</v>
      </c>
      <c r="H4015" s="1" t="s">
        <v>25</v>
      </c>
      <c r="I4015" s="1" t="s">
        <v>33</v>
      </c>
      <c r="J4015" s="1" t="s">
        <v>18</v>
      </c>
      <c r="K4015" s="1">
        <v>49990.0</v>
      </c>
      <c r="L4015" s="1">
        <v>56.9487783</v>
      </c>
      <c r="M4015" s="1">
        <v>24.1075908</v>
      </c>
    </row>
    <row r="4016">
      <c r="A4016" s="1" t="s">
        <v>22</v>
      </c>
      <c r="B4016" s="1" t="s">
        <v>218</v>
      </c>
      <c r="C4016" s="1" t="s">
        <v>1676</v>
      </c>
      <c r="D4016" s="1">
        <v>1.0</v>
      </c>
      <c r="E4016" s="1">
        <v>32.0</v>
      </c>
      <c r="F4016" s="1">
        <v>3.0</v>
      </c>
      <c r="G4016" s="1">
        <v>4.0</v>
      </c>
      <c r="H4016" s="1" t="s">
        <v>25</v>
      </c>
      <c r="I4016" s="1" t="s">
        <v>33</v>
      </c>
      <c r="J4016" s="1" t="s">
        <v>18</v>
      </c>
      <c r="K4016" s="1">
        <v>79990.0</v>
      </c>
      <c r="L4016" s="1">
        <v>56.9487783</v>
      </c>
      <c r="M4016" s="1">
        <v>24.1075908</v>
      </c>
    </row>
    <row r="4017">
      <c r="A4017" s="1" t="s">
        <v>22</v>
      </c>
      <c r="B4017" s="1" t="s">
        <v>218</v>
      </c>
      <c r="C4017" s="1" t="s">
        <v>1676</v>
      </c>
      <c r="D4017" s="1">
        <v>1.0</v>
      </c>
      <c r="E4017" s="1">
        <v>15.0</v>
      </c>
      <c r="F4017" s="1">
        <v>2.0</v>
      </c>
      <c r="G4017" s="1">
        <v>4.0</v>
      </c>
      <c r="H4017" s="1" t="s">
        <v>25</v>
      </c>
      <c r="I4017" s="1" t="s">
        <v>33</v>
      </c>
      <c r="J4017" s="1" t="s">
        <v>18</v>
      </c>
      <c r="K4017" s="1">
        <v>49990.0</v>
      </c>
      <c r="L4017" s="1">
        <v>56.9487783</v>
      </c>
      <c r="M4017" s="1">
        <v>24.1075908</v>
      </c>
    </row>
    <row r="4018">
      <c r="A4018" s="1" t="s">
        <v>22</v>
      </c>
      <c r="B4018" s="1" t="s">
        <v>104</v>
      </c>
      <c r="C4018" s="1" t="s">
        <v>768</v>
      </c>
      <c r="D4018" s="1">
        <v>3.0</v>
      </c>
      <c r="E4018" s="1">
        <v>67.0</v>
      </c>
      <c r="F4018" s="1">
        <v>1.0</v>
      </c>
      <c r="G4018" s="1">
        <v>5.0</v>
      </c>
      <c r="H4018" s="1">
        <v>103.0</v>
      </c>
      <c r="I4018" s="1" t="s">
        <v>17</v>
      </c>
      <c r="J4018" s="1" t="s">
        <v>18</v>
      </c>
      <c r="K4018" s="1">
        <v>79000.0</v>
      </c>
      <c r="L4018" s="1">
        <v>56.93821515</v>
      </c>
      <c r="M4018" s="1">
        <v>24.0795537546748</v>
      </c>
    </row>
    <row r="4019">
      <c r="A4019" s="1" t="s">
        <v>13</v>
      </c>
      <c r="B4019" s="1" t="s">
        <v>23</v>
      </c>
      <c r="C4019" s="1" t="s">
        <v>2210</v>
      </c>
      <c r="D4019" s="1">
        <v>4.0</v>
      </c>
      <c r="E4019" s="1">
        <v>127.0</v>
      </c>
      <c r="F4019" s="1">
        <v>4.0</v>
      </c>
      <c r="G4019" s="1">
        <v>5.0</v>
      </c>
      <c r="H4019" s="1" t="s">
        <v>25</v>
      </c>
      <c r="I4019" s="1" t="s">
        <v>33</v>
      </c>
      <c r="J4019" s="1" t="s">
        <v>18</v>
      </c>
      <c r="K4019" s="1">
        <v>870.0</v>
      </c>
      <c r="L4019" s="1">
        <v>56.9583184</v>
      </c>
      <c r="M4019" s="1">
        <v>24.1272766</v>
      </c>
    </row>
    <row r="4020">
      <c r="A4020" s="1" t="s">
        <v>22</v>
      </c>
      <c r="B4020" s="1" t="s">
        <v>19</v>
      </c>
      <c r="C4020" s="1" t="s">
        <v>182</v>
      </c>
      <c r="D4020" s="1">
        <v>3.0</v>
      </c>
      <c r="E4020" s="1">
        <v>63.0</v>
      </c>
      <c r="F4020" s="1">
        <v>9.0</v>
      </c>
      <c r="G4020" s="1">
        <v>4.0</v>
      </c>
      <c r="H4020" s="1">
        <v>602.0</v>
      </c>
      <c r="I4020" s="1" t="s">
        <v>21</v>
      </c>
      <c r="J4020" s="1" t="s">
        <v>18</v>
      </c>
      <c r="K4020" s="1">
        <v>79000.0</v>
      </c>
      <c r="L4020" s="1">
        <v>56.9094064</v>
      </c>
      <c r="M4020" s="1">
        <v>24.0954157</v>
      </c>
    </row>
    <row r="4021">
      <c r="A4021" s="1" t="s">
        <v>13</v>
      </c>
      <c r="B4021" s="1" t="s">
        <v>109</v>
      </c>
      <c r="C4021" s="1" t="s">
        <v>2349</v>
      </c>
      <c r="D4021" s="1">
        <v>2.0</v>
      </c>
      <c r="E4021" s="1">
        <v>47.0</v>
      </c>
      <c r="F4021" s="1">
        <v>9.0</v>
      </c>
      <c r="G4021" s="1">
        <v>9.0</v>
      </c>
      <c r="H4021" s="1" t="s">
        <v>36</v>
      </c>
      <c r="I4021" s="1" t="s">
        <v>37</v>
      </c>
      <c r="J4021" s="1" t="s">
        <v>18</v>
      </c>
      <c r="K4021" s="1">
        <v>450.0</v>
      </c>
      <c r="L4021" s="1">
        <v>56.9984366</v>
      </c>
      <c r="M4021" s="1">
        <v>24.1328951</v>
      </c>
    </row>
    <row r="4022">
      <c r="A4022" s="1" t="s">
        <v>13</v>
      </c>
      <c r="B4022" s="1" t="s">
        <v>104</v>
      </c>
      <c r="C4022" s="1" t="s">
        <v>2350</v>
      </c>
      <c r="D4022" s="1">
        <v>3.0</v>
      </c>
      <c r="E4022" s="1">
        <v>85.0</v>
      </c>
      <c r="F4022" s="1">
        <v>3.0</v>
      </c>
      <c r="G4022" s="1">
        <v>3.0</v>
      </c>
      <c r="H4022" s="1" t="s">
        <v>32</v>
      </c>
      <c r="I4022" s="1" t="s">
        <v>122</v>
      </c>
      <c r="J4022" s="1" t="s">
        <v>18</v>
      </c>
      <c r="K4022" s="1">
        <v>700.0</v>
      </c>
      <c r="L4022" s="1">
        <v>56.9433252</v>
      </c>
      <c r="M4022" s="1">
        <v>24.0914248862831</v>
      </c>
    </row>
    <row r="4023">
      <c r="A4023" s="1" t="s">
        <v>13</v>
      </c>
      <c r="B4023" s="1" t="s">
        <v>60</v>
      </c>
      <c r="C4023" s="1" t="s">
        <v>2351</v>
      </c>
      <c r="D4023" s="1">
        <v>1.0</v>
      </c>
      <c r="E4023" s="1">
        <v>43.4</v>
      </c>
      <c r="F4023" s="1">
        <v>5.0</v>
      </c>
      <c r="G4023" s="1">
        <v>5.0</v>
      </c>
      <c r="H4023" s="1" t="s">
        <v>57</v>
      </c>
      <c r="I4023" s="1" t="s">
        <v>21</v>
      </c>
      <c r="J4023" s="1" t="s">
        <v>18</v>
      </c>
      <c r="K4023" s="1">
        <v>220.0</v>
      </c>
      <c r="L4023" s="1">
        <v>57.02680235</v>
      </c>
      <c r="M4023" s="1">
        <v>24.0425225372204</v>
      </c>
    </row>
    <row r="4024">
      <c r="A4024" s="1" t="s">
        <v>13</v>
      </c>
      <c r="B4024" s="1" t="s">
        <v>38</v>
      </c>
      <c r="C4024" s="1" t="s">
        <v>2304</v>
      </c>
      <c r="D4024" s="1">
        <v>3.0</v>
      </c>
      <c r="E4024" s="1">
        <v>55.0</v>
      </c>
      <c r="F4024" s="1">
        <v>2.0</v>
      </c>
      <c r="G4024" s="1">
        <v>5.0</v>
      </c>
      <c r="H4024" s="1" t="s">
        <v>16</v>
      </c>
      <c r="I4024" s="1" t="s">
        <v>21</v>
      </c>
      <c r="J4024" s="1" t="s">
        <v>18</v>
      </c>
      <c r="K4024" s="1">
        <v>350.0</v>
      </c>
      <c r="L4024" s="1">
        <v>56.9573366</v>
      </c>
      <c r="M4024" s="1">
        <v>24.0049942222037</v>
      </c>
    </row>
    <row r="4025">
      <c r="A4025" s="1" t="s">
        <v>22</v>
      </c>
      <c r="B4025" s="1" t="s">
        <v>23</v>
      </c>
      <c r="C4025" s="1" t="s">
        <v>2352</v>
      </c>
      <c r="D4025" s="1">
        <v>2.0</v>
      </c>
      <c r="E4025" s="1">
        <v>68.0</v>
      </c>
      <c r="F4025" s="1">
        <v>4.0</v>
      </c>
      <c r="G4025" s="1">
        <v>5.0</v>
      </c>
      <c r="H4025" s="1" t="s">
        <v>181</v>
      </c>
      <c r="I4025" s="1" t="s">
        <v>33</v>
      </c>
      <c r="J4025" s="1" t="s">
        <v>18</v>
      </c>
      <c r="K4025" s="1">
        <v>103000.0</v>
      </c>
      <c r="L4025" s="1">
        <v>56.9659858</v>
      </c>
      <c r="M4025" s="1">
        <v>24.1480106</v>
      </c>
    </row>
    <row r="4026">
      <c r="A4026" s="1" t="s">
        <v>22</v>
      </c>
      <c r="B4026" s="1" t="s">
        <v>23</v>
      </c>
      <c r="C4026" s="1" t="s">
        <v>476</v>
      </c>
      <c r="D4026" s="1">
        <v>4.0</v>
      </c>
      <c r="E4026" s="1">
        <v>190.0</v>
      </c>
      <c r="F4026" s="1">
        <v>6.0</v>
      </c>
      <c r="G4026" s="1">
        <v>6.0</v>
      </c>
      <c r="H4026" s="1" t="s">
        <v>25</v>
      </c>
      <c r="I4026" s="1" t="s">
        <v>33</v>
      </c>
      <c r="J4026" s="1" t="s">
        <v>18</v>
      </c>
      <c r="K4026" s="1">
        <v>240000.0</v>
      </c>
      <c r="L4026" s="1">
        <v>48.2969502</v>
      </c>
      <c r="M4026" s="1">
        <v>-100.7081938</v>
      </c>
    </row>
    <row r="4027">
      <c r="A4027" s="1" t="s">
        <v>468</v>
      </c>
      <c r="B4027" s="1" t="s">
        <v>134</v>
      </c>
      <c r="C4027" s="2"/>
      <c r="D4027" s="1">
        <v>2.0</v>
      </c>
      <c r="E4027" s="1">
        <v>45.0</v>
      </c>
      <c r="F4027" s="1">
        <v>3.0</v>
      </c>
      <c r="G4027" s="1">
        <v>5.0</v>
      </c>
      <c r="H4027" s="1">
        <v>103.0</v>
      </c>
      <c r="I4027" s="1" t="s">
        <v>122</v>
      </c>
      <c r="J4027" s="1" t="s">
        <v>18</v>
      </c>
      <c r="K4027" s="2"/>
      <c r="L4027" s="1">
        <v>46.3144754</v>
      </c>
      <c r="M4027" s="1">
        <v>11.0480288</v>
      </c>
    </row>
    <row r="4028">
      <c r="A4028" s="1" t="s">
        <v>89</v>
      </c>
      <c r="B4028" s="1" t="s">
        <v>23</v>
      </c>
      <c r="C4028" s="2"/>
      <c r="D4028" s="1">
        <v>2.0</v>
      </c>
      <c r="E4028" s="2"/>
      <c r="F4028" s="2"/>
      <c r="G4028" s="2"/>
      <c r="H4028" s="1" t="s">
        <v>25</v>
      </c>
      <c r="I4028" s="1" t="s">
        <v>33</v>
      </c>
      <c r="J4028" s="1" t="s">
        <v>18</v>
      </c>
      <c r="K4028" s="2"/>
      <c r="L4028" s="1">
        <v>46.3144754</v>
      </c>
      <c r="M4028" s="1">
        <v>11.0480288</v>
      </c>
    </row>
    <row r="4029">
      <c r="A4029" s="1" t="s">
        <v>22</v>
      </c>
      <c r="B4029" s="1" t="s">
        <v>14</v>
      </c>
      <c r="C4029" s="1" t="s">
        <v>2353</v>
      </c>
      <c r="D4029" s="1">
        <v>2.0</v>
      </c>
      <c r="E4029" s="1">
        <v>58.0</v>
      </c>
      <c r="F4029" s="1">
        <v>5.0</v>
      </c>
      <c r="G4029" s="1">
        <v>9.0</v>
      </c>
      <c r="H4029" s="1">
        <v>119.0</v>
      </c>
      <c r="I4029" s="1" t="s">
        <v>21</v>
      </c>
      <c r="J4029" s="1" t="s">
        <v>18</v>
      </c>
      <c r="K4029" s="1">
        <v>67000.0</v>
      </c>
      <c r="L4029" s="1">
        <v>56.9521361</v>
      </c>
      <c r="M4029" s="1">
        <v>24.1780366999999</v>
      </c>
    </row>
    <row r="4030">
      <c r="A4030" s="1" t="s">
        <v>22</v>
      </c>
      <c r="B4030" s="1" t="s">
        <v>447</v>
      </c>
      <c r="C4030" s="1" t="s">
        <v>750</v>
      </c>
      <c r="D4030" s="1">
        <v>3.0</v>
      </c>
      <c r="E4030" s="1">
        <v>59.0</v>
      </c>
      <c r="F4030" s="1">
        <v>1.0</v>
      </c>
      <c r="G4030" s="1">
        <v>5.0</v>
      </c>
      <c r="H4030" s="1" t="s">
        <v>16</v>
      </c>
      <c r="I4030" s="1" t="s">
        <v>21</v>
      </c>
      <c r="J4030" s="1" t="s">
        <v>18</v>
      </c>
      <c r="K4030" s="1">
        <v>51970.0</v>
      </c>
      <c r="L4030" s="1">
        <v>56.9146722</v>
      </c>
      <c r="M4030" s="1">
        <v>24.0918129</v>
      </c>
    </row>
    <row r="4031">
      <c r="A4031" s="1" t="s">
        <v>13</v>
      </c>
      <c r="B4031" s="1" t="s">
        <v>134</v>
      </c>
      <c r="C4031" s="1" t="s">
        <v>2354</v>
      </c>
      <c r="D4031" s="1">
        <v>1.0</v>
      </c>
      <c r="E4031" s="1">
        <v>32.0</v>
      </c>
      <c r="F4031" s="1">
        <v>4.0</v>
      </c>
      <c r="G4031" s="1">
        <v>5.0</v>
      </c>
      <c r="H4031" s="1">
        <v>104.0</v>
      </c>
      <c r="I4031" s="1" t="s">
        <v>17</v>
      </c>
      <c r="J4031" s="1" t="s">
        <v>18</v>
      </c>
      <c r="K4031" s="1">
        <v>240.0</v>
      </c>
      <c r="L4031" s="1">
        <v>57.0372828</v>
      </c>
      <c r="M4031" s="1">
        <v>24.02824935</v>
      </c>
    </row>
    <row r="4032">
      <c r="A4032" s="1" t="s">
        <v>22</v>
      </c>
      <c r="B4032" s="1" t="s">
        <v>23</v>
      </c>
      <c r="C4032" s="1" t="s">
        <v>650</v>
      </c>
      <c r="D4032" s="1">
        <v>2.0</v>
      </c>
      <c r="E4032" s="1">
        <v>48.4</v>
      </c>
      <c r="F4032" s="1">
        <v>1.0</v>
      </c>
      <c r="G4032" s="1">
        <v>6.0</v>
      </c>
      <c r="H4032" s="1" t="s">
        <v>66</v>
      </c>
      <c r="I4032" s="1" t="s">
        <v>33</v>
      </c>
      <c r="J4032" s="1" t="s">
        <v>18</v>
      </c>
      <c r="K4032" s="1">
        <v>110000.0</v>
      </c>
      <c r="L4032" s="1">
        <v>56.9665763</v>
      </c>
      <c r="M4032" s="1">
        <v>24.1337504</v>
      </c>
    </row>
    <row r="4033">
      <c r="A4033" s="1" t="s">
        <v>22</v>
      </c>
      <c r="B4033" s="1" t="s">
        <v>42</v>
      </c>
      <c r="C4033" s="1" t="s">
        <v>2355</v>
      </c>
      <c r="D4033" s="1">
        <v>3.0</v>
      </c>
      <c r="E4033" s="1">
        <v>59.0</v>
      </c>
      <c r="F4033" s="1">
        <v>4.0</v>
      </c>
      <c r="G4033" s="1">
        <v>5.0</v>
      </c>
      <c r="H4033" s="1" t="s">
        <v>16</v>
      </c>
      <c r="I4033" s="1" t="s">
        <v>21</v>
      </c>
      <c r="J4033" s="1" t="s">
        <v>18</v>
      </c>
      <c r="K4033" s="1">
        <v>49500.0</v>
      </c>
      <c r="L4033" s="1">
        <v>56.97560265</v>
      </c>
      <c r="M4033" s="1">
        <v>24.2517777999999</v>
      </c>
    </row>
    <row r="4034">
      <c r="A4034" s="1" t="s">
        <v>22</v>
      </c>
      <c r="B4034" s="1" t="s">
        <v>19</v>
      </c>
      <c r="C4034" s="1" t="s">
        <v>2356</v>
      </c>
      <c r="D4034" s="1">
        <v>3.0</v>
      </c>
      <c r="E4034" s="1">
        <v>59.0</v>
      </c>
      <c r="F4034" s="1">
        <v>1.0</v>
      </c>
      <c r="G4034" s="1">
        <v>5.0</v>
      </c>
      <c r="H4034" s="1" t="s">
        <v>16</v>
      </c>
      <c r="I4034" s="1" t="s">
        <v>21</v>
      </c>
      <c r="J4034" s="1" t="s">
        <v>18</v>
      </c>
      <c r="K4034" s="1">
        <v>51970.0</v>
      </c>
      <c r="L4034" s="1">
        <v>56.914774</v>
      </c>
      <c r="M4034" s="1">
        <v>24.0943957</v>
      </c>
    </row>
    <row r="4035">
      <c r="A4035" s="1" t="s">
        <v>13</v>
      </c>
      <c r="B4035" s="1" t="s">
        <v>23</v>
      </c>
      <c r="C4035" s="1" t="s">
        <v>1445</v>
      </c>
      <c r="D4035" s="1">
        <v>3.0</v>
      </c>
      <c r="E4035" s="1">
        <v>106.0</v>
      </c>
      <c r="F4035" s="1">
        <v>5.0</v>
      </c>
      <c r="G4035" s="1">
        <v>6.0</v>
      </c>
      <c r="H4035" s="1" t="s">
        <v>66</v>
      </c>
      <c r="I4035" s="1" t="s">
        <v>33</v>
      </c>
      <c r="J4035" s="1" t="s">
        <v>18</v>
      </c>
      <c r="K4035" s="1">
        <v>950.0</v>
      </c>
      <c r="L4035" s="1">
        <v>56.9563689</v>
      </c>
      <c r="M4035" s="1">
        <v>24.1185508</v>
      </c>
    </row>
    <row r="4036">
      <c r="A4036" s="1" t="s">
        <v>13</v>
      </c>
      <c r="B4036" s="1" t="s">
        <v>74</v>
      </c>
      <c r="C4036" s="1" t="s">
        <v>2357</v>
      </c>
      <c r="D4036" s="1">
        <v>4.0</v>
      </c>
      <c r="E4036" s="1">
        <v>73.0</v>
      </c>
      <c r="F4036" s="1">
        <v>8.0</v>
      </c>
      <c r="G4036" s="1">
        <v>9.0</v>
      </c>
      <c r="H4036" s="1">
        <v>602.0</v>
      </c>
      <c r="I4036" s="1" t="s">
        <v>21</v>
      </c>
      <c r="J4036" s="1" t="s">
        <v>18</v>
      </c>
      <c r="K4036" s="1">
        <v>450.0</v>
      </c>
      <c r="L4036" s="1">
        <v>56.94212835</v>
      </c>
      <c r="M4036" s="1">
        <v>24.2230407477176</v>
      </c>
    </row>
    <row r="4037">
      <c r="A4037" s="1" t="s">
        <v>22</v>
      </c>
      <c r="B4037" s="1" t="s">
        <v>104</v>
      </c>
      <c r="C4037" s="1" t="s">
        <v>2358</v>
      </c>
      <c r="D4037" s="1">
        <v>3.0</v>
      </c>
      <c r="E4037" s="1">
        <v>70.0</v>
      </c>
      <c r="F4037" s="1">
        <v>5.0</v>
      </c>
      <c r="G4037" s="1">
        <v>5.0</v>
      </c>
      <c r="H4037" s="1" t="s">
        <v>181</v>
      </c>
      <c r="I4037" s="1" t="s">
        <v>33</v>
      </c>
      <c r="J4037" s="1" t="s">
        <v>18</v>
      </c>
      <c r="K4037" s="1">
        <v>98500.0</v>
      </c>
      <c r="L4037" s="1">
        <v>57.0164335</v>
      </c>
      <c r="M4037" s="1">
        <v>24.0628649</v>
      </c>
    </row>
    <row r="4038">
      <c r="A4038" s="1" t="s">
        <v>22</v>
      </c>
      <c r="B4038" s="1" t="s">
        <v>96</v>
      </c>
      <c r="C4038" s="1" t="s">
        <v>774</v>
      </c>
      <c r="D4038" s="1">
        <v>3.0</v>
      </c>
      <c r="E4038" s="1">
        <v>57.0</v>
      </c>
      <c r="F4038" s="1">
        <v>3.0</v>
      </c>
      <c r="G4038" s="1">
        <v>5.0</v>
      </c>
      <c r="H4038" s="1" t="s">
        <v>16</v>
      </c>
      <c r="I4038" s="1" t="s">
        <v>122</v>
      </c>
      <c r="J4038" s="1" t="s">
        <v>18</v>
      </c>
      <c r="K4038" s="1">
        <v>34900.0</v>
      </c>
      <c r="L4038" s="1">
        <v>57.03262235</v>
      </c>
      <c r="M4038" s="1">
        <v>24.0954070297358</v>
      </c>
    </row>
    <row r="4039">
      <c r="A4039" s="1" t="s">
        <v>13</v>
      </c>
      <c r="B4039" s="1" t="s">
        <v>23</v>
      </c>
      <c r="C4039" s="1" t="s">
        <v>723</v>
      </c>
      <c r="D4039" s="1">
        <v>3.0</v>
      </c>
      <c r="E4039" s="1">
        <v>43.0</v>
      </c>
      <c r="F4039" s="1">
        <v>3.0</v>
      </c>
      <c r="G4039" s="1">
        <v>5.0</v>
      </c>
      <c r="H4039" s="1" t="s">
        <v>25</v>
      </c>
      <c r="I4039" s="1" t="s">
        <v>37</v>
      </c>
      <c r="J4039" s="1" t="s">
        <v>18</v>
      </c>
      <c r="K4039" s="1">
        <v>550.0</v>
      </c>
      <c r="L4039" s="1" t="s">
        <v>40</v>
      </c>
      <c r="M4039" s="1" t="s">
        <v>40</v>
      </c>
    </row>
    <row r="4040">
      <c r="A4040" s="1" t="s">
        <v>13</v>
      </c>
      <c r="B4040" s="1" t="s">
        <v>52</v>
      </c>
      <c r="C4040" s="1" t="s">
        <v>1326</v>
      </c>
      <c r="D4040" s="1">
        <v>1.0</v>
      </c>
      <c r="E4040" s="1">
        <v>42.0</v>
      </c>
      <c r="F4040" s="1">
        <v>6.0</v>
      </c>
      <c r="G4040" s="1">
        <v>9.0</v>
      </c>
      <c r="H4040" s="1">
        <v>119.0</v>
      </c>
      <c r="I4040" s="1" t="s">
        <v>21</v>
      </c>
      <c r="J4040" s="1" t="s">
        <v>18</v>
      </c>
      <c r="K4040" s="1">
        <v>35.0</v>
      </c>
      <c r="L4040" s="1">
        <v>56.94224055</v>
      </c>
      <c r="M4040" s="1">
        <v>24.0060845759065</v>
      </c>
    </row>
    <row r="4041">
      <c r="A4041" s="1" t="s">
        <v>22</v>
      </c>
      <c r="B4041" s="1" t="s">
        <v>23</v>
      </c>
      <c r="C4041" s="1" t="s">
        <v>1224</v>
      </c>
      <c r="D4041" s="1">
        <v>4.0</v>
      </c>
      <c r="E4041" s="1">
        <v>108.0</v>
      </c>
      <c r="F4041" s="1">
        <v>1.0</v>
      </c>
      <c r="G4041" s="1">
        <v>5.0</v>
      </c>
      <c r="H4041" s="1" t="s">
        <v>181</v>
      </c>
      <c r="I4041" s="1" t="s">
        <v>37</v>
      </c>
      <c r="J4041" s="1" t="s">
        <v>18</v>
      </c>
      <c r="K4041" s="1">
        <v>115000.0</v>
      </c>
      <c r="L4041" s="1">
        <v>56.9758863499999</v>
      </c>
      <c r="M4041" s="1">
        <v>24.1391725207381</v>
      </c>
    </row>
    <row r="4042">
      <c r="A4042" s="1" t="s">
        <v>13</v>
      </c>
      <c r="B4042" s="1" t="s">
        <v>38</v>
      </c>
      <c r="C4042" s="1" t="s">
        <v>2359</v>
      </c>
      <c r="D4042" s="1">
        <v>2.0</v>
      </c>
      <c r="E4042" s="1">
        <v>82.0</v>
      </c>
      <c r="F4042" s="1">
        <v>2.0</v>
      </c>
      <c r="G4042" s="1">
        <v>3.0</v>
      </c>
      <c r="H4042" s="1" t="s">
        <v>171</v>
      </c>
      <c r="I4042" s="1" t="s">
        <v>37</v>
      </c>
      <c r="J4042" s="1" t="s">
        <v>18</v>
      </c>
      <c r="K4042" s="1">
        <v>290.0</v>
      </c>
      <c r="L4042" s="1">
        <v>56.9516012499999</v>
      </c>
      <c r="M4042" s="1">
        <v>24.0250741925052</v>
      </c>
    </row>
    <row r="4043">
      <c r="A4043" s="1" t="s">
        <v>13</v>
      </c>
      <c r="B4043" s="1" t="s">
        <v>23</v>
      </c>
      <c r="C4043" s="1" t="s">
        <v>249</v>
      </c>
      <c r="D4043" s="1">
        <v>3.0</v>
      </c>
      <c r="E4043" s="1">
        <v>200.0</v>
      </c>
      <c r="F4043" s="1">
        <v>8.0</v>
      </c>
      <c r="G4043" s="1">
        <v>9.0</v>
      </c>
      <c r="H4043" s="1" t="s">
        <v>32</v>
      </c>
      <c r="I4043" s="1" t="s">
        <v>33</v>
      </c>
      <c r="J4043" s="1" t="s">
        <v>18</v>
      </c>
      <c r="K4043" s="1">
        <v>1300.0</v>
      </c>
      <c r="L4043" s="1">
        <v>56.9726557</v>
      </c>
      <c r="M4043" s="1">
        <v>24.1493117212851</v>
      </c>
    </row>
    <row r="4044">
      <c r="A4044" s="1" t="s">
        <v>13</v>
      </c>
      <c r="B4044" s="1" t="s">
        <v>38</v>
      </c>
      <c r="C4044" s="1" t="s">
        <v>2360</v>
      </c>
      <c r="D4044" s="1">
        <v>2.0</v>
      </c>
      <c r="E4044" s="1">
        <v>38.0</v>
      </c>
      <c r="F4044" s="1">
        <v>5.0</v>
      </c>
      <c r="G4044" s="1">
        <v>5.0</v>
      </c>
      <c r="H4044" s="1" t="s">
        <v>16</v>
      </c>
      <c r="I4044" s="1" t="s">
        <v>21</v>
      </c>
      <c r="J4044" s="1" t="s">
        <v>18</v>
      </c>
      <c r="K4044" s="1">
        <v>300.0</v>
      </c>
      <c r="L4044" s="1">
        <v>56.9641893</v>
      </c>
      <c r="M4044" s="1">
        <v>24.0114544598169</v>
      </c>
    </row>
    <row r="4045">
      <c r="A4045" s="1" t="s">
        <v>13</v>
      </c>
      <c r="B4045" s="1" t="s">
        <v>23</v>
      </c>
      <c r="C4045" s="1" t="s">
        <v>409</v>
      </c>
      <c r="D4045" s="1">
        <v>3.0</v>
      </c>
      <c r="E4045" s="1">
        <v>70.0</v>
      </c>
      <c r="F4045" s="1">
        <v>5.0</v>
      </c>
      <c r="G4045" s="1">
        <v>6.0</v>
      </c>
      <c r="H4045" s="1" t="s">
        <v>32</v>
      </c>
      <c r="I4045" s="1" t="s">
        <v>17</v>
      </c>
      <c r="J4045" s="1" t="s">
        <v>18</v>
      </c>
      <c r="K4045" s="1">
        <v>600.0</v>
      </c>
      <c r="L4045" s="1">
        <v>56.9928319</v>
      </c>
      <c r="M4045" s="1">
        <v>24.1224521</v>
      </c>
    </row>
    <row r="4046">
      <c r="A4046" s="1" t="s">
        <v>13</v>
      </c>
      <c r="B4046" s="1" t="s">
        <v>23</v>
      </c>
      <c r="C4046" s="1" t="s">
        <v>249</v>
      </c>
      <c r="D4046" s="1">
        <v>1.0</v>
      </c>
      <c r="E4046" s="1">
        <v>35.0</v>
      </c>
      <c r="F4046" s="1">
        <v>5.0</v>
      </c>
      <c r="G4046" s="1">
        <v>9.0</v>
      </c>
      <c r="H4046" s="1" t="s">
        <v>32</v>
      </c>
      <c r="I4046" s="1" t="s">
        <v>122</v>
      </c>
      <c r="J4046" s="1" t="s">
        <v>18</v>
      </c>
      <c r="K4046" s="1">
        <v>400.0</v>
      </c>
      <c r="L4046" s="1">
        <v>56.9726557</v>
      </c>
      <c r="M4046" s="1">
        <v>24.1493117212851</v>
      </c>
    </row>
    <row r="4047">
      <c r="A4047" s="1" t="s">
        <v>13</v>
      </c>
      <c r="B4047" s="1" t="s">
        <v>23</v>
      </c>
      <c r="C4047" s="1" t="s">
        <v>1136</v>
      </c>
      <c r="D4047" s="1">
        <v>2.0</v>
      </c>
      <c r="E4047" s="1">
        <v>45.0</v>
      </c>
      <c r="F4047" s="1">
        <v>3.0</v>
      </c>
      <c r="G4047" s="1">
        <v>5.0</v>
      </c>
      <c r="H4047" s="1" t="s">
        <v>36</v>
      </c>
      <c r="I4047" s="1" t="s">
        <v>37</v>
      </c>
      <c r="J4047" s="1" t="s">
        <v>18</v>
      </c>
      <c r="K4047" s="1">
        <v>40.0</v>
      </c>
      <c r="L4047" s="1">
        <v>56.9412328</v>
      </c>
      <c r="M4047" s="1">
        <v>24.1350589</v>
      </c>
    </row>
    <row r="4048">
      <c r="A4048" s="1" t="s">
        <v>13</v>
      </c>
      <c r="B4048" s="1" t="s">
        <v>23</v>
      </c>
      <c r="C4048" s="1" t="s">
        <v>249</v>
      </c>
      <c r="D4048" s="1">
        <v>2.0</v>
      </c>
      <c r="E4048" s="1">
        <v>70.0</v>
      </c>
      <c r="F4048" s="1">
        <v>8.0</v>
      </c>
      <c r="G4048" s="1">
        <v>9.0</v>
      </c>
      <c r="H4048" s="1" t="s">
        <v>32</v>
      </c>
      <c r="I4048" s="1" t="s">
        <v>122</v>
      </c>
      <c r="J4048" s="1" t="s">
        <v>18</v>
      </c>
      <c r="K4048" s="1">
        <v>750.0</v>
      </c>
      <c r="L4048" s="1">
        <v>56.9726557</v>
      </c>
      <c r="M4048" s="1">
        <v>24.1493117212851</v>
      </c>
    </row>
    <row r="4049">
      <c r="A4049" s="1" t="s">
        <v>22</v>
      </c>
      <c r="B4049" s="1" t="s">
        <v>117</v>
      </c>
      <c r="C4049" s="1" t="s">
        <v>1114</v>
      </c>
      <c r="D4049" s="1">
        <v>2.0</v>
      </c>
      <c r="E4049" s="1">
        <v>38.0</v>
      </c>
      <c r="F4049" s="1">
        <v>2.0</v>
      </c>
      <c r="G4049" s="1">
        <v>3.0</v>
      </c>
      <c r="H4049" s="1" t="s">
        <v>66</v>
      </c>
      <c r="I4049" s="1" t="s">
        <v>33</v>
      </c>
      <c r="J4049" s="1" t="s">
        <v>18</v>
      </c>
      <c r="K4049" s="1">
        <v>40700.0</v>
      </c>
      <c r="L4049" s="1">
        <v>56.9849578</v>
      </c>
      <c r="M4049" s="1">
        <v>24.1831339972375</v>
      </c>
    </row>
    <row r="4050">
      <c r="A4050" s="1" t="s">
        <v>13</v>
      </c>
      <c r="B4050" s="1" t="s">
        <v>67</v>
      </c>
      <c r="C4050" s="1" t="s">
        <v>2361</v>
      </c>
      <c r="D4050" s="1">
        <v>3.0</v>
      </c>
      <c r="E4050" s="1">
        <v>70.0</v>
      </c>
      <c r="F4050" s="1">
        <v>4.0</v>
      </c>
      <c r="G4050" s="1">
        <v>5.0</v>
      </c>
      <c r="H4050" s="1">
        <v>103.0</v>
      </c>
      <c r="I4050" s="1" t="s">
        <v>37</v>
      </c>
      <c r="J4050" s="1" t="s">
        <v>18</v>
      </c>
      <c r="K4050" s="1">
        <v>520.0</v>
      </c>
      <c r="L4050" s="1">
        <v>56.96000855</v>
      </c>
      <c r="M4050" s="1">
        <v>24.1483534206791</v>
      </c>
    </row>
    <row r="4051">
      <c r="A4051" s="1" t="s">
        <v>13</v>
      </c>
      <c r="B4051" s="1" t="s">
        <v>96</v>
      </c>
      <c r="C4051" s="1" t="s">
        <v>1008</v>
      </c>
      <c r="D4051" s="1">
        <v>1.0</v>
      </c>
      <c r="E4051" s="1">
        <v>34.0</v>
      </c>
      <c r="F4051" s="1">
        <v>8.0</v>
      </c>
      <c r="G4051" s="1">
        <v>9.0</v>
      </c>
      <c r="H4051" s="1">
        <v>602.0</v>
      </c>
      <c r="I4051" s="1" t="s">
        <v>21</v>
      </c>
      <c r="J4051" s="1" t="s">
        <v>18</v>
      </c>
      <c r="K4051" s="1">
        <v>210.0</v>
      </c>
      <c r="L4051" s="1">
        <v>57.03824475</v>
      </c>
      <c r="M4051" s="1">
        <v>24.0993423582241</v>
      </c>
    </row>
    <row r="4052">
      <c r="A4052" s="1" t="s">
        <v>22</v>
      </c>
      <c r="B4052" s="1" t="s">
        <v>19</v>
      </c>
      <c r="C4052" s="1" t="s">
        <v>728</v>
      </c>
      <c r="D4052" s="1">
        <v>1.0</v>
      </c>
      <c r="E4052" s="1">
        <v>41.0</v>
      </c>
      <c r="F4052" s="1">
        <v>2.0</v>
      </c>
      <c r="G4052" s="1">
        <v>9.0</v>
      </c>
      <c r="H4052" s="1" t="s">
        <v>57</v>
      </c>
      <c r="I4052" s="1" t="s">
        <v>21</v>
      </c>
      <c r="J4052" s="1" t="s">
        <v>18</v>
      </c>
      <c r="K4052" s="1">
        <v>65000.0</v>
      </c>
      <c r="L4052" s="1">
        <v>56.9010095999999</v>
      </c>
      <c r="M4052" s="1">
        <v>24.0999756383549</v>
      </c>
    </row>
    <row r="4053">
      <c r="A4053" s="1" t="s">
        <v>13</v>
      </c>
      <c r="B4053" s="1" t="s">
        <v>19</v>
      </c>
      <c r="C4053" s="1" t="s">
        <v>2362</v>
      </c>
      <c r="D4053" s="1">
        <v>2.0</v>
      </c>
      <c r="E4053" s="1">
        <v>36.0</v>
      </c>
      <c r="F4053" s="1">
        <v>2.0</v>
      </c>
      <c r="G4053" s="1">
        <v>4.0</v>
      </c>
      <c r="H4053" s="1">
        <v>602.0</v>
      </c>
      <c r="I4053" s="1" t="s">
        <v>17</v>
      </c>
      <c r="J4053" s="1" t="s">
        <v>18</v>
      </c>
      <c r="K4053" s="1">
        <v>250.0</v>
      </c>
      <c r="L4053" s="1">
        <v>56.894617</v>
      </c>
      <c r="M4053" s="1">
        <v>24.0770017</v>
      </c>
    </row>
    <row r="4054">
      <c r="A4054" s="1" t="s">
        <v>22</v>
      </c>
      <c r="B4054" s="1" t="s">
        <v>52</v>
      </c>
      <c r="C4054" s="1" t="s">
        <v>2363</v>
      </c>
      <c r="D4054" s="1">
        <v>3.0</v>
      </c>
      <c r="E4054" s="1">
        <v>83.0</v>
      </c>
      <c r="F4054" s="1">
        <v>9.0</v>
      </c>
      <c r="G4054" s="1">
        <v>9.0</v>
      </c>
      <c r="H4054" s="1">
        <v>119.0</v>
      </c>
      <c r="I4054" s="1" t="s">
        <v>21</v>
      </c>
      <c r="J4054" s="1" t="s">
        <v>18</v>
      </c>
      <c r="K4054" s="1">
        <v>72300.0</v>
      </c>
      <c r="L4054" s="1">
        <v>56.9461963</v>
      </c>
      <c r="M4054" s="1">
        <v>24.0014164</v>
      </c>
    </row>
    <row r="4055">
      <c r="A4055" s="1" t="s">
        <v>22</v>
      </c>
      <c r="B4055" s="1" t="s">
        <v>14</v>
      </c>
      <c r="C4055" s="1" t="s">
        <v>2364</v>
      </c>
      <c r="D4055" s="1">
        <v>3.0</v>
      </c>
      <c r="E4055" s="1">
        <v>75.0</v>
      </c>
      <c r="F4055" s="1">
        <v>1.0</v>
      </c>
      <c r="G4055" s="1">
        <v>3.0</v>
      </c>
      <c r="H4055" s="1" t="s">
        <v>181</v>
      </c>
      <c r="I4055" s="1" t="s">
        <v>37</v>
      </c>
      <c r="J4055" s="1" t="s">
        <v>18</v>
      </c>
      <c r="K4055" s="1">
        <v>85454.0</v>
      </c>
      <c r="L4055" s="1">
        <v>56.9693735</v>
      </c>
      <c r="M4055" s="1">
        <v>24.169398</v>
      </c>
    </row>
    <row r="4056">
      <c r="A4056" s="1" t="s">
        <v>22</v>
      </c>
      <c r="B4056" s="1" t="s">
        <v>30</v>
      </c>
      <c r="C4056" s="1" t="s">
        <v>2365</v>
      </c>
      <c r="D4056" s="1">
        <v>3.0</v>
      </c>
      <c r="E4056" s="1">
        <v>66.0</v>
      </c>
      <c r="F4056" s="1">
        <v>2.0</v>
      </c>
      <c r="G4056" s="1">
        <v>5.0</v>
      </c>
      <c r="H4056" s="1">
        <v>103.0</v>
      </c>
      <c r="I4056" s="1" t="s">
        <v>17</v>
      </c>
      <c r="J4056" s="1" t="s">
        <v>18</v>
      </c>
      <c r="K4056" s="1">
        <v>62000.0</v>
      </c>
      <c r="L4056" s="1">
        <v>56.98189375</v>
      </c>
      <c r="M4056" s="1">
        <v>24.1848710090485</v>
      </c>
    </row>
    <row r="4057">
      <c r="A4057" s="1" t="s">
        <v>22</v>
      </c>
      <c r="B4057" s="1" t="s">
        <v>42</v>
      </c>
      <c r="C4057" s="1" t="s">
        <v>2366</v>
      </c>
      <c r="D4057" s="1">
        <v>2.0</v>
      </c>
      <c r="E4057" s="1">
        <v>48.0</v>
      </c>
      <c r="F4057" s="1">
        <v>1.0</v>
      </c>
      <c r="G4057" s="1">
        <v>2.0</v>
      </c>
      <c r="H4057" s="1" t="s">
        <v>36</v>
      </c>
      <c r="I4057" s="1" t="s">
        <v>122</v>
      </c>
      <c r="J4057" s="1" t="s">
        <v>18</v>
      </c>
      <c r="K4057" s="1">
        <v>36500.0</v>
      </c>
      <c r="L4057" s="1">
        <v>56.9804249</v>
      </c>
      <c r="M4057" s="1">
        <v>24.2514125499999</v>
      </c>
    </row>
    <row r="4058">
      <c r="A4058" s="1" t="s">
        <v>22</v>
      </c>
      <c r="B4058" s="1" t="s">
        <v>45</v>
      </c>
      <c r="C4058" s="1" t="s">
        <v>1884</v>
      </c>
      <c r="D4058" s="1">
        <v>2.0</v>
      </c>
      <c r="E4058" s="1">
        <v>65.0</v>
      </c>
      <c r="F4058" s="1">
        <v>1.0</v>
      </c>
      <c r="G4058" s="1">
        <v>3.0</v>
      </c>
      <c r="H4058" s="1" t="s">
        <v>32</v>
      </c>
      <c r="I4058" s="1" t="s">
        <v>33</v>
      </c>
      <c r="J4058" s="1" t="s">
        <v>18</v>
      </c>
      <c r="K4058" s="1">
        <v>90628.0</v>
      </c>
      <c r="L4058" s="1">
        <v>57.0200178</v>
      </c>
      <c r="M4058" s="1">
        <v>24.1371463</v>
      </c>
    </row>
    <row r="4059">
      <c r="A4059" s="1" t="s">
        <v>22</v>
      </c>
      <c r="B4059" s="1" t="s">
        <v>23</v>
      </c>
      <c r="C4059" s="1" t="s">
        <v>2367</v>
      </c>
      <c r="D4059" s="1">
        <v>1.0</v>
      </c>
      <c r="E4059" s="1">
        <v>15.8</v>
      </c>
      <c r="F4059" s="1">
        <v>1.0</v>
      </c>
      <c r="G4059" s="1">
        <v>2.0</v>
      </c>
      <c r="H4059" s="1" t="s">
        <v>36</v>
      </c>
      <c r="I4059" s="1" t="s">
        <v>37</v>
      </c>
      <c r="J4059" s="1" t="s">
        <v>27</v>
      </c>
      <c r="K4059" s="1">
        <v>5300.0</v>
      </c>
      <c r="L4059" s="1">
        <v>56.9928319</v>
      </c>
      <c r="M4059" s="1">
        <v>24.1224521</v>
      </c>
    </row>
    <row r="4060">
      <c r="A4060" s="1" t="s">
        <v>89</v>
      </c>
      <c r="B4060" s="1" t="s">
        <v>104</v>
      </c>
      <c r="C4060" s="2"/>
      <c r="D4060" s="2"/>
      <c r="E4060" s="2"/>
      <c r="F4060" s="2"/>
      <c r="G4060" s="2"/>
      <c r="H4060" s="2"/>
      <c r="I4060" s="2"/>
      <c r="J4060" s="2"/>
      <c r="K4060" s="2"/>
      <c r="L4060" s="1">
        <v>46.3144754</v>
      </c>
      <c r="M4060" s="1">
        <v>11.0480288</v>
      </c>
    </row>
    <row r="4061">
      <c r="A4061" s="1" t="s">
        <v>22</v>
      </c>
      <c r="B4061" s="1" t="s">
        <v>23</v>
      </c>
      <c r="C4061" s="1" t="s">
        <v>101</v>
      </c>
      <c r="D4061" s="1">
        <v>4.0</v>
      </c>
      <c r="E4061" s="1">
        <v>124.0</v>
      </c>
      <c r="F4061" s="1">
        <v>4.0</v>
      </c>
      <c r="G4061" s="1">
        <v>5.0</v>
      </c>
      <c r="H4061" s="1" t="s">
        <v>25</v>
      </c>
      <c r="I4061" s="1" t="s">
        <v>33</v>
      </c>
      <c r="J4061" s="1" t="s">
        <v>18</v>
      </c>
      <c r="K4061" s="1">
        <v>177777.0</v>
      </c>
      <c r="L4061" s="1">
        <v>56.9581924</v>
      </c>
      <c r="M4061" s="1">
        <v>24.1306619</v>
      </c>
    </row>
    <row r="4062">
      <c r="A4062" s="1" t="s">
        <v>22</v>
      </c>
      <c r="B4062" s="1" t="s">
        <v>218</v>
      </c>
      <c r="C4062" s="1" t="s">
        <v>458</v>
      </c>
      <c r="D4062" s="1">
        <v>4.0</v>
      </c>
      <c r="E4062" s="1">
        <v>136.0</v>
      </c>
      <c r="F4062" s="1">
        <v>2.0</v>
      </c>
      <c r="G4062" s="1">
        <v>2.0</v>
      </c>
      <c r="H4062" s="1" t="s">
        <v>25</v>
      </c>
      <c r="I4062" s="1" t="s">
        <v>33</v>
      </c>
      <c r="J4062" s="1" t="s">
        <v>18</v>
      </c>
      <c r="K4062" s="1">
        <v>227700.0</v>
      </c>
      <c r="L4062" s="1">
        <v>56.94881585</v>
      </c>
      <c r="M4062" s="1">
        <v>24.1114738591085</v>
      </c>
    </row>
    <row r="4063">
      <c r="A4063" s="1" t="s">
        <v>13</v>
      </c>
      <c r="B4063" s="1" t="s">
        <v>28</v>
      </c>
      <c r="C4063" s="1" t="s">
        <v>524</v>
      </c>
      <c r="D4063" s="1">
        <v>3.0</v>
      </c>
      <c r="E4063" s="1">
        <v>60.0</v>
      </c>
      <c r="F4063" s="1">
        <v>1.0</v>
      </c>
      <c r="G4063" s="1">
        <v>5.0</v>
      </c>
      <c r="H4063" s="1" t="s">
        <v>16</v>
      </c>
      <c r="I4063" s="1" t="s">
        <v>21</v>
      </c>
      <c r="J4063" s="1" t="s">
        <v>18</v>
      </c>
      <c r="K4063" s="1">
        <v>350.0</v>
      </c>
      <c r="L4063" s="1">
        <v>56.91125405</v>
      </c>
      <c r="M4063" s="1">
        <v>24.185960870958</v>
      </c>
    </row>
    <row r="4064">
      <c r="A4064" s="1" t="s">
        <v>22</v>
      </c>
      <c r="B4064" s="1" t="s">
        <v>23</v>
      </c>
      <c r="C4064" s="1" t="s">
        <v>2368</v>
      </c>
      <c r="D4064" s="1">
        <v>1.0</v>
      </c>
      <c r="E4064" s="1">
        <v>25.0</v>
      </c>
      <c r="F4064" s="1">
        <v>2.0</v>
      </c>
      <c r="G4064" s="1">
        <v>5.0</v>
      </c>
      <c r="H4064" s="1" t="s">
        <v>25</v>
      </c>
      <c r="I4064" s="1" t="s">
        <v>37</v>
      </c>
      <c r="J4064" s="1" t="s">
        <v>27</v>
      </c>
      <c r="K4064" s="1">
        <v>18000.0</v>
      </c>
      <c r="L4064" s="1">
        <v>56.9584765</v>
      </c>
      <c r="M4064" s="1">
        <v>24.1461519</v>
      </c>
    </row>
    <row r="4065">
      <c r="A4065" s="1" t="s">
        <v>13</v>
      </c>
      <c r="B4065" s="1" t="s">
        <v>48</v>
      </c>
      <c r="C4065" s="1" t="s">
        <v>257</v>
      </c>
      <c r="D4065" s="1">
        <v>3.0</v>
      </c>
      <c r="E4065" s="1">
        <v>70.0</v>
      </c>
      <c r="F4065" s="1">
        <v>5.0</v>
      </c>
      <c r="G4065" s="1">
        <v>5.0</v>
      </c>
      <c r="H4065" s="1" t="s">
        <v>32</v>
      </c>
      <c r="I4065" s="1" t="s">
        <v>21</v>
      </c>
      <c r="J4065" s="1" t="s">
        <v>18</v>
      </c>
      <c r="K4065" s="1">
        <v>540.0</v>
      </c>
      <c r="L4065" s="1">
        <v>56.9541725</v>
      </c>
      <c r="M4065" s="1">
        <v>24.2443253</v>
      </c>
    </row>
    <row r="4066">
      <c r="A4066" s="1" t="s">
        <v>13</v>
      </c>
      <c r="B4066" s="1" t="s">
        <v>23</v>
      </c>
      <c r="C4066" s="1" t="s">
        <v>2010</v>
      </c>
      <c r="D4066" s="1">
        <v>2.0</v>
      </c>
      <c r="E4066" s="1">
        <v>47.0</v>
      </c>
      <c r="F4066" s="1">
        <v>3.0</v>
      </c>
      <c r="G4066" s="1">
        <v>5.0</v>
      </c>
      <c r="H4066" s="1" t="s">
        <v>25</v>
      </c>
      <c r="I4066" s="1" t="s">
        <v>37</v>
      </c>
      <c r="J4066" s="1" t="s">
        <v>18</v>
      </c>
      <c r="K4066" s="1">
        <v>450.0</v>
      </c>
      <c r="L4066" s="1">
        <v>56.9494342</v>
      </c>
      <c r="M4066" s="1">
        <v>24.1445478216108</v>
      </c>
    </row>
    <row r="4067">
      <c r="A4067" s="1" t="s">
        <v>13</v>
      </c>
      <c r="B4067" s="1" t="s">
        <v>129</v>
      </c>
      <c r="C4067" s="1" t="s">
        <v>2369</v>
      </c>
      <c r="D4067" s="1">
        <v>1.0</v>
      </c>
      <c r="E4067" s="1">
        <v>27.0</v>
      </c>
      <c r="F4067" s="1">
        <v>2.0</v>
      </c>
      <c r="G4067" s="1">
        <v>2.0</v>
      </c>
      <c r="H4067" s="1" t="s">
        <v>25</v>
      </c>
      <c r="I4067" s="1" t="s">
        <v>37</v>
      </c>
      <c r="J4067" s="1" t="s">
        <v>18</v>
      </c>
      <c r="K4067" s="1">
        <v>220.0</v>
      </c>
      <c r="L4067" s="1">
        <v>56.9927416</v>
      </c>
      <c r="M4067" s="1">
        <v>24.1283215675177</v>
      </c>
    </row>
    <row r="4068">
      <c r="A4068" s="1" t="s">
        <v>22</v>
      </c>
      <c r="B4068" s="1" t="s">
        <v>218</v>
      </c>
      <c r="C4068" s="1" t="s">
        <v>2370</v>
      </c>
      <c r="D4068" s="1">
        <v>4.0</v>
      </c>
      <c r="E4068" s="1">
        <v>82.0</v>
      </c>
      <c r="F4068" s="1">
        <v>4.0</v>
      </c>
      <c r="G4068" s="1">
        <v>5.0</v>
      </c>
      <c r="H4068" s="1" t="s">
        <v>25</v>
      </c>
      <c r="I4068" s="1" t="s">
        <v>33</v>
      </c>
      <c r="J4068" s="1" t="s">
        <v>18</v>
      </c>
      <c r="K4068" s="1">
        <v>139000.0</v>
      </c>
      <c r="L4068" s="1">
        <v>56.9503847</v>
      </c>
      <c r="M4068" s="1">
        <v>24.1085452</v>
      </c>
    </row>
    <row r="4069">
      <c r="A4069" s="1" t="s">
        <v>22</v>
      </c>
      <c r="B4069" s="1" t="s">
        <v>42</v>
      </c>
      <c r="C4069" s="1" t="s">
        <v>1638</v>
      </c>
      <c r="D4069" s="1">
        <v>2.0</v>
      </c>
      <c r="E4069" s="1">
        <v>46.0</v>
      </c>
      <c r="F4069" s="1">
        <v>2.0</v>
      </c>
      <c r="G4069" s="1">
        <v>5.0</v>
      </c>
      <c r="H4069" s="1" t="s">
        <v>16</v>
      </c>
      <c r="I4069" s="1" t="s">
        <v>21</v>
      </c>
      <c r="J4069" s="1" t="s">
        <v>18</v>
      </c>
      <c r="K4069" s="1">
        <v>38000.0</v>
      </c>
      <c r="L4069" s="1">
        <v>56.97782785</v>
      </c>
      <c r="M4069" s="1">
        <v>24.25241215</v>
      </c>
    </row>
    <row r="4070">
      <c r="A4070" s="1" t="s">
        <v>22</v>
      </c>
      <c r="B4070" s="1" t="s">
        <v>218</v>
      </c>
      <c r="C4070" s="1" t="s">
        <v>1960</v>
      </c>
      <c r="D4070" s="1">
        <v>2.0</v>
      </c>
      <c r="E4070" s="1">
        <v>58.0</v>
      </c>
      <c r="F4070" s="1">
        <v>5.0</v>
      </c>
      <c r="G4070" s="1">
        <v>5.0</v>
      </c>
      <c r="H4070" s="1" t="s">
        <v>181</v>
      </c>
      <c r="I4070" s="1" t="s">
        <v>33</v>
      </c>
      <c r="J4070" s="1" t="s">
        <v>18</v>
      </c>
      <c r="K4070" s="1">
        <v>100000.0</v>
      </c>
      <c r="L4070" s="1">
        <v>56.948717</v>
      </c>
      <c r="M4070" s="1">
        <v>24.1026014276418</v>
      </c>
    </row>
    <row r="4071">
      <c r="A4071" s="1" t="s">
        <v>22</v>
      </c>
      <c r="B4071" s="1" t="s">
        <v>14</v>
      </c>
      <c r="C4071" s="1" t="s">
        <v>517</v>
      </c>
      <c r="D4071" s="1">
        <v>4.0</v>
      </c>
      <c r="E4071" s="1">
        <v>97.0</v>
      </c>
      <c r="F4071" s="1">
        <v>5.0</v>
      </c>
      <c r="G4071" s="1">
        <v>9.0</v>
      </c>
      <c r="H4071" s="1">
        <v>119.0</v>
      </c>
      <c r="I4071" s="1" t="s">
        <v>17</v>
      </c>
      <c r="J4071" s="1" t="s">
        <v>18</v>
      </c>
      <c r="K4071" s="1">
        <v>94800.0</v>
      </c>
      <c r="L4071" s="1">
        <v>56.960424</v>
      </c>
      <c r="M4071" s="1">
        <v>24.1732897</v>
      </c>
    </row>
    <row r="4072">
      <c r="A4072" s="1" t="s">
        <v>89</v>
      </c>
      <c r="B4072" s="1" t="s">
        <v>38</v>
      </c>
      <c r="C4072" s="2"/>
      <c r="D4072" s="2"/>
      <c r="E4072" s="1">
        <v>9.0</v>
      </c>
      <c r="F4072" s="1">
        <v>99.0</v>
      </c>
      <c r="G4072" s="1">
        <v>9.0</v>
      </c>
      <c r="H4072" s="2"/>
      <c r="I4072" s="1" t="s">
        <v>21</v>
      </c>
      <c r="J4072" s="1" t="s">
        <v>18</v>
      </c>
      <c r="K4072" s="2"/>
      <c r="L4072" s="1">
        <v>46.3144754</v>
      </c>
      <c r="M4072" s="1">
        <v>11.0480288</v>
      </c>
    </row>
    <row r="4073">
      <c r="A4073" s="1" t="s">
        <v>89</v>
      </c>
      <c r="B4073" s="1" t="s">
        <v>151</v>
      </c>
      <c r="C4073" s="2"/>
      <c r="D4073" s="2"/>
      <c r="E4073" s="1">
        <v>10.0</v>
      </c>
      <c r="F4073" s="1">
        <v>9.0</v>
      </c>
      <c r="G4073" s="1">
        <v>1.0</v>
      </c>
      <c r="H4073" s="2"/>
      <c r="I4073" s="2"/>
      <c r="J4073" s="2"/>
      <c r="K4073" s="2"/>
      <c r="L4073" s="1">
        <v>46.3144754</v>
      </c>
      <c r="M4073" s="1">
        <v>11.0480288</v>
      </c>
    </row>
    <row r="4074">
      <c r="A4074" s="1" t="s">
        <v>13</v>
      </c>
      <c r="B4074" s="1" t="s">
        <v>38</v>
      </c>
      <c r="C4074" s="1" t="s">
        <v>145</v>
      </c>
      <c r="D4074" s="1">
        <v>2.0</v>
      </c>
      <c r="E4074" s="1">
        <v>64.0</v>
      </c>
      <c r="F4074" s="1">
        <v>10.0</v>
      </c>
      <c r="G4074" s="1">
        <v>18.0</v>
      </c>
      <c r="H4074" s="1" t="s">
        <v>32</v>
      </c>
      <c r="I4074" s="1" t="s">
        <v>21</v>
      </c>
      <c r="J4074" s="1" t="s">
        <v>18</v>
      </c>
      <c r="K4074" s="1">
        <v>450.0</v>
      </c>
      <c r="L4074" s="1">
        <v>56.96112105</v>
      </c>
      <c r="M4074" s="1">
        <v>24.01821679525</v>
      </c>
    </row>
    <row r="4075">
      <c r="A4075" s="1" t="s">
        <v>22</v>
      </c>
      <c r="B4075" s="1" t="s">
        <v>52</v>
      </c>
      <c r="C4075" s="1" t="s">
        <v>2371</v>
      </c>
      <c r="D4075" s="1">
        <v>1.0</v>
      </c>
      <c r="E4075" s="1">
        <v>47.0</v>
      </c>
      <c r="F4075" s="1">
        <v>8.0</v>
      </c>
      <c r="G4075" s="1">
        <v>9.0</v>
      </c>
      <c r="H4075" s="1">
        <v>119.0</v>
      </c>
      <c r="I4075" s="1" t="s">
        <v>21</v>
      </c>
      <c r="J4075" s="1" t="s">
        <v>18</v>
      </c>
      <c r="K4075" s="1">
        <v>47000.0</v>
      </c>
      <c r="L4075" s="1">
        <v>56.9472361499999</v>
      </c>
      <c r="M4075" s="1">
        <v>24.0042412711196</v>
      </c>
    </row>
    <row r="4076">
      <c r="A4076" s="1" t="s">
        <v>22</v>
      </c>
      <c r="B4076" s="1" t="s">
        <v>422</v>
      </c>
      <c r="C4076" s="1" t="s">
        <v>105</v>
      </c>
      <c r="D4076" s="1">
        <v>2.0</v>
      </c>
      <c r="E4076" s="1">
        <v>68.0</v>
      </c>
      <c r="F4076" s="1">
        <v>2.0</v>
      </c>
      <c r="G4076" s="1">
        <v>4.0</v>
      </c>
      <c r="H4076" s="1" t="s">
        <v>32</v>
      </c>
      <c r="I4076" s="1" t="s">
        <v>33</v>
      </c>
      <c r="J4076" s="1" t="s">
        <v>18</v>
      </c>
      <c r="K4076" s="1">
        <v>105000.0</v>
      </c>
      <c r="L4076" s="1">
        <v>56.93662655</v>
      </c>
      <c r="M4076" s="1">
        <v>24.0433356532986</v>
      </c>
    </row>
    <row r="4077">
      <c r="A4077" s="1" t="s">
        <v>22</v>
      </c>
      <c r="B4077" s="1" t="s">
        <v>104</v>
      </c>
      <c r="C4077" s="1" t="s">
        <v>146</v>
      </c>
      <c r="D4077" s="1">
        <v>2.0</v>
      </c>
      <c r="E4077" s="1">
        <v>74.0</v>
      </c>
      <c r="F4077" s="1">
        <v>1.0</v>
      </c>
      <c r="G4077" s="1">
        <v>5.0</v>
      </c>
      <c r="H4077" s="1" t="s">
        <v>36</v>
      </c>
      <c r="I4077" s="1" t="s">
        <v>21</v>
      </c>
      <c r="J4077" s="1" t="s">
        <v>18</v>
      </c>
      <c r="K4077" s="1">
        <v>69900.0</v>
      </c>
      <c r="L4077" s="1">
        <v>56.9271624</v>
      </c>
      <c r="M4077" s="1">
        <v>24.0769771776445</v>
      </c>
    </row>
    <row r="4078">
      <c r="A4078" s="1" t="s">
        <v>13</v>
      </c>
      <c r="B4078" s="1" t="s">
        <v>23</v>
      </c>
      <c r="C4078" s="1" t="s">
        <v>1019</v>
      </c>
      <c r="D4078" s="1">
        <v>2.0</v>
      </c>
      <c r="E4078" s="1">
        <v>95.0</v>
      </c>
      <c r="F4078" s="1">
        <v>3.0</v>
      </c>
      <c r="G4078" s="1">
        <v>3.0</v>
      </c>
      <c r="H4078" s="1" t="s">
        <v>66</v>
      </c>
      <c r="I4078" s="1" t="s">
        <v>37</v>
      </c>
      <c r="J4078" s="1" t="s">
        <v>18</v>
      </c>
      <c r="K4078" s="1">
        <v>750.0</v>
      </c>
      <c r="L4078" s="1">
        <v>56.9468471</v>
      </c>
      <c r="M4078" s="1">
        <v>24.133767</v>
      </c>
    </row>
    <row r="4079">
      <c r="A4079" s="1" t="s">
        <v>22</v>
      </c>
      <c r="B4079" s="1" t="s">
        <v>23</v>
      </c>
      <c r="C4079" s="1" t="s">
        <v>851</v>
      </c>
      <c r="D4079" s="1">
        <v>3.0</v>
      </c>
      <c r="E4079" s="1">
        <v>91.0</v>
      </c>
      <c r="F4079" s="1">
        <v>4.0</v>
      </c>
      <c r="G4079" s="1">
        <v>7.0</v>
      </c>
      <c r="H4079" s="1" t="s">
        <v>32</v>
      </c>
      <c r="I4079" s="1" t="s">
        <v>122</v>
      </c>
      <c r="J4079" s="1" t="s">
        <v>18</v>
      </c>
      <c r="K4079" s="1">
        <v>185000.0</v>
      </c>
      <c r="L4079" s="1">
        <v>56.96428355</v>
      </c>
      <c r="M4079" s="1">
        <v>24.124554147986</v>
      </c>
    </row>
    <row r="4080">
      <c r="A4080" s="1" t="s">
        <v>22</v>
      </c>
      <c r="B4080" s="1" t="s">
        <v>30</v>
      </c>
      <c r="C4080" s="1" t="s">
        <v>1227</v>
      </c>
      <c r="D4080" s="1">
        <v>3.0</v>
      </c>
      <c r="E4080" s="1">
        <v>69.0</v>
      </c>
      <c r="F4080" s="1">
        <v>3.0</v>
      </c>
      <c r="G4080" s="1">
        <v>10.0</v>
      </c>
      <c r="H4080" s="1" t="s">
        <v>32</v>
      </c>
      <c r="I4080" s="1" t="s">
        <v>33</v>
      </c>
      <c r="J4080" s="1" t="s">
        <v>18</v>
      </c>
      <c r="K4080" s="1">
        <v>119000.0</v>
      </c>
      <c r="L4080" s="1">
        <v>56.9767303</v>
      </c>
      <c r="M4080" s="1">
        <v>24.1676579996058</v>
      </c>
    </row>
    <row r="4081">
      <c r="A4081" s="1" t="s">
        <v>13</v>
      </c>
      <c r="B4081" s="1" t="s">
        <v>23</v>
      </c>
      <c r="C4081" s="1" t="s">
        <v>1455</v>
      </c>
      <c r="D4081" s="1">
        <v>3.0</v>
      </c>
      <c r="E4081" s="1">
        <v>80.0</v>
      </c>
      <c r="F4081" s="1">
        <v>3.0</v>
      </c>
      <c r="G4081" s="1">
        <v>6.0</v>
      </c>
      <c r="H4081" s="1" t="s">
        <v>36</v>
      </c>
      <c r="I4081" s="1" t="s">
        <v>37</v>
      </c>
      <c r="J4081" s="1" t="s">
        <v>18</v>
      </c>
      <c r="K4081" s="1">
        <v>600.0</v>
      </c>
      <c r="L4081" s="1">
        <v>56.95661335</v>
      </c>
      <c r="M4081" s="1">
        <v>24.0987304306377</v>
      </c>
    </row>
    <row r="4082">
      <c r="A4082" s="1" t="s">
        <v>13</v>
      </c>
      <c r="B4082" s="1" t="s">
        <v>23</v>
      </c>
      <c r="C4082" s="1" t="s">
        <v>136</v>
      </c>
      <c r="D4082" s="1">
        <v>3.0</v>
      </c>
      <c r="E4082" s="1">
        <v>68.0</v>
      </c>
      <c r="F4082" s="1">
        <v>3.0</v>
      </c>
      <c r="G4082" s="1">
        <v>6.0</v>
      </c>
      <c r="H4082" s="1" t="s">
        <v>66</v>
      </c>
      <c r="I4082" s="1" t="s">
        <v>33</v>
      </c>
      <c r="J4082" s="1" t="s">
        <v>18</v>
      </c>
      <c r="K4082" s="1">
        <v>750.0</v>
      </c>
      <c r="L4082" s="1">
        <v>56.95643795</v>
      </c>
      <c r="M4082" s="1">
        <v>24.1325729821556</v>
      </c>
    </row>
    <row r="4083">
      <c r="A4083" s="1" t="s">
        <v>13</v>
      </c>
      <c r="B4083" s="1" t="s">
        <v>23</v>
      </c>
      <c r="C4083" s="1" t="s">
        <v>136</v>
      </c>
      <c r="D4083" s="1">
        <v>3.0</v>
      </c>
      <c r="E4083" s="1">
        <v>80.0</v>
      </c>
      <c r="F4083" s="1">
        <v>3.0</v>
      </c>
      <c r="G4083" s="1">
        <v>6.0</v>
      </c>
      <c r="H4083" s="1" t="s">
        <v>66</v>
      </c>
      <c r="I4083" s="1" t="s">
        <v>33</v>
      </c>
      <c r="J4083" s="1" t="s">
        <v>18</v>
      </c>
      <c r="K4083" s="1">
        <v>830.0</v>
      </c>
      <c r="L4083" s="1">
        <v>56.95643795</v>
      </c>
      <c r="M4083" s="1">
        <v>24.1325729821556</v>
      </c>
    </row>
    <row r="4084">
      <c r="A4084" s="1" t="s">
        <v>22</v>
      </c>
      <c r="B4084" s="1" t="s">
        <v>23</v>
      </c>
      <c r="C4084" s="1" t="s">
        <v>383</v>
      </c>
      <c r="D4084" s="1">
        <v>2.0</v>
      </c>
      <c r="E4084" s="1">
        <v>40.0</v>
      </c>
      <c r="F4084" s="1">
        <v>2.0</v>
      </c>
      <c r="G4084" s="1">
        <v>5.0</v>
      </c>
      <c r="H4084" s="1" t="s">
        <v>66</v>
      </c>
      <c r="I4084" s="1" t="s">
        <v>37</v>
      </c>
      <c r="J4084" s="1" t="s">
        <v>18</v>
      </c>
      <c r="K4084" s="1">
        <v>43900.0</v>
      </c>
      <c r="L4084" s="1">
        <v>56.9439002</v>
      </c>
      <c r="M4084" s="1">
        <v>24.1325617</v>
      </c>
    </row>
    <row r="4085">
      <c r="A4085" s="1" t="s">
        <v>13</v>
      </c>
      <c r="B4085" s="1" t="s">
        <v>14</v>
      </c>
      <c r="C4085" s="1" t="s">
        <v>1025</v>
      </c>
      <c r="D4085" s="1">
        <v>1.0</v>
      </c>
      <c r="E4085" s="1">
        <v>40.0</v>
      </c>
      <c r="F4085" s="1">
        <v>5.0</v>
      </c>
      <c r="G4085" s="1">
        <v>24.0</v>
      </c>
      <c r="H4085" s="1" t="s">
        <v>32</v>
      </c>
      <c r="I4085" s="1" t="s">
        <v>21</v>
      </c>
      <c r="J4085" s="1" t="s">
        <v>18</v>
      </c>
      <c r="K4085" s="1">
        <v>380.0</v>
      </c>
      <c r="L4085" s="1">
        <v>56.952452</v>
      </c>
      <c r="M4085" s="1">
        <v>24.188248</v>
      </c>
    </row>
    <row r="4086">
      <c r="A4086" s="1" t="s">
        <v>22</v>
      </c>
      <c r="B4086" s="1" t="s">
        <v>14</v>
      </c>
      <c r="C4086" s="1" t="s">
        <v>164</v>
      </c>
      <c r="D4086" s="1">
        <v>3.0</v>
      </c>
      <c r="E4086" s="1">
        <v>80.0</v>
      </c>
      <c r="F4086" s="1">
        <v>4.0</v>
      </c>
      <c r="G4086" s="1">
        <v>9.0</v>
      </c>
      <c r="H4086" s="1">
        <v>119.0</v>
      </c>
      <c r="I4086" s="1" t="s">
        <v>21</v>
      </c>
      <c r="J4086" s="1" t="s">
        <v>18</v>
      </c>
      <c r="K4086" s="1">
        <v>65000.0</v>
      </c>
      <c r="L4086" s="1">
        <v>56.9604346499999</v>
      </c>
      <c r="M4086" s="1">
        <v>24.1704860207815</v>
      </c>
    </row>
    <row r="4087">
      <c r="A4087" s="1" t="s">
        <v>22</v>
      </c>
      <c r="B4087" s="1" t="s">
        <v>23</v>
      </c>
      <c r="C4087" s="1" t="s">
        <v>1672</v>
      </c>
      <c r="D4087" s="1">
        <v>2.0</v>
      </c>
      <c r="E4087" s="1">
        <v>59.0</v>
      </c>
      <c r="F4087" s="1">
        <v>2.0</v>
      </c>
      <c r="G4087" s="1">
        <v>5.0</v>
      </c>
      <c r="H4087" s="1" t="s">
        <v>181</v>
      </c>
      <c r="I4087" s="1" t="s">
        <v>33</v>
      </c>
      <c r="J4087" s="1" t="s">
        <v>18</v>
      </c>
      <c r="K4087" s="1">
        <v>125000.0</v>
      </c>
      <c r="L4087" s="1">
        <v>56.95619685</v>
      </c>
      <c r="M4087" s="1">
        <v>24.098819615355</v>
      </c>
    </row>
    <row r="4088">
      <c r="A4088" s="1" t="s">
        <v>22</v>
      </c>
      <c r="B4088" s="1" t="s">
        <v>19</v>
      </c>
      <c r="C4088" s="1" t="s">
        <v>2372</v>
      </c>
      <c r="D4088" s="1">
        <v>3.0</v>
      </c>
      <c r="E4088" s="1">
        <v>77.0</v>
      </c>
      <c r="F4088" s="1">
        <v>8.0</v>
      </c>
      <c r="G4088" s="1">
        <v>10.0</v>
      </c>
      <c r="H4088" s="1">
        <v>119.0</v>
      </c>
      <c r="I4088" s="1" t="s">
        <v>21</v>
      </c>
      <c r="J4088" s="1" t="s">
        <v>18</v>
      </c>
      <c r="K4088" s="1">
        <v>75000.0</v>
      </c>
      <c r="L4088" s="1">
        <v>56.9023667</v>
      </c>
      <c r="M4088" s="1">
        <v>24.0865390464585</v>
      </c>
    </row>
    <row r="4089">
      <c r="A4089" s="1" t="s">
        <v>22</v>
      </c>
      <c r="B4089" s="1" t="s">
        <v>23</v>
      </c>
      <c r="C4089" s="1" t="s">
        <v>2373</v>
      </c>
      <c r="D4089" s="1">
        <v>3.0</v>
      </c>
      <c r="E4089" s="1">
        <v>78.0</v>
      </c>
      <c r="F4089" s="1">
        <v>3.0</v>
      </c>
      <c r="G4089" s="1">
        <v>5.0</v>
      </c>
      <c r="H4089" s="1" t="s">
        <v>36</v>
      </c>
      <c r="I4089" s="1" t="s">
        <v>17</v>
      </c>
      <c r="J4089" s="1" t="s">
        <v>18</v>
      </c>
      <c r="K4089" s="1">
        <v>169000.0</v>
      </c>
      <c r="L4089" s="1">
        <v>56.9568556</v>
      </c>
      <c r="M4089" s="1">
        <v>24.1255856822327</v>
      </c>
    </row>
    <row r="4090">
      <c r="A4090" s="1" t="s">
        <v>13</v>
      </c>
      <c r="B4090" s="1" t="s">
        <v>151</v>
      </c>
      <c r="C4090" s="1" t="s">
        <v>247</v>
      </c>
      <c r="D4090" s="1">
        <v>1.0</v>
      </c>
      <c r="E4090" s="1">
        <v>45.0</v>
      </c>
      <c r="F4090" s="1">
        <v>2.0</v>
      </c>
      <c r="G4090" s="1">
        <v>5.0</v>
      </c>
      <c r="H4090" s="1" t="s">
        <v>32</v>
      </c>
      <c r="I4090" s="1" t="s">
        <v>21</v>
      </c>
      <c r="J4090" s="1" t="s">
        <v>18</v>
      </c>
      <c r="K4090" s="1">
        <v>430.0</v>
      </c>
      <c r="L4090" s="1">
        <v>56.95924805</v>
      </c>
      <c r="M4090" s="1">
        <v>24.055202274196</v>
      </c>
    </row>
    <row r="4091">
      <c r="A4091" s="1" t="s">
        <v>22</v>
      </c>
      <c r="B4091" s="1" t="s">
        <v>28</v>
      </c>
      <c r="C4091" s="1" t="s">
        <v>812</v>
      </c>
      <c r="D4091" s="1">
        <v>3.0</v>
      </c>
      <c r="E4091" s="1">
        <v>59.0</v>
      </c>
      <c r="F4091" s="1">
        <v>5.0</v>
      </c>
      <c r="G4091" s="1">
        <v>5.0</v>
      </c>
      <c r="H4091" s="1" t="s">
        <v>16</v>
      </c>
      <c r="I4091" s="1" t="s">
        <v>21</v>
      </c>
      <c r="J4091" s="1" t="s">
        <v>18</v>
      </c>
      <c r="K4091" s="1">
        <v>49000.0</v>
      </c>
      <c r="L4091" s="1">
        <v>56.9045511</v>
      </c>
      <c r="M4091" s="1">
        <v>24.1941032</v>
      </c>
    </row>
    <row r="4092">
      <c r="A4092" s="1" t="s">
        <v>13</v>
      </c>
      <c r="B4092" s="1" t="s">
        <v>42</v>
      </c>
      <c r="C4092" s="1" t="s">
        <v>2374</v>
      </c>
      <c r="D4092" s="1">
        <v>1.0</v>
      </c>
      <c r="E4092" s="1">
        <v>32.0</v>
      </c>
      <c r="F4092" s="1">
        <v>5.0</v>
      </c>
      <c r="G4092" s="1">
        <v>5.0</v>
      </c>
      <c r="H4092" s="1" t="s">
        <v>16</v>
      </c>
      <c r="I4092" s="1" t="s">
        <v>21</v>
      </c>
      <c r="J4092" s="1" t="s">
        <v>18</v>
      </c>
      <c r="K4092" s="1">
        <v>280.0</v>
      </c>
      <c r="L4092" s="1">
        <v>56.9764701</v>
      </c>
      <c r="M4092" s="1">
        <v>24.2537896</v>
      </c>
    </row>
    <row r="4093">
      <c r="A4093" s="1" t="s">
        <v>22</v>
      </c>
      <c r="B4093" s="1" t="s">
        <v>96</v>
      </c>
      <c r="C4093" s="1" t="s">
        <v>2375</v>
      </c>
      <c r="D4093" s="1">
        <v>2.0</v>
      </c>
      <c r="E4093" s="1">
        <v>48.0</v>
      </c>
      <c r="F4093" s="1">
        <v>1.0</v>
      </c>
      <c r="G4093" s="1">
        <v>5.0</v>
      </c>
      <c r="H4093" s="1">
        <v>103.0</v>
      </c>
      <c r="I4093" s="1" t="s">
        <v>122</v>
      </c>
      <c r="J4093" s="1" t="s">
        <v>18</v>
      </c>
      <c r="K4093" s="1">
        <v>37000.0</v>
      </c>
      <c r="L4093" s="1">
        <v>57.0292877499999</v>
      </c>
      <c r="M4093" s="1">
        <v>24.1022710999999</v>
      </c>
    </row>
    <row r="4094">
      <c r="A4094" s="1" t="s">
        <v>22</v>
      </c>
      <c r="B4094" s="1" t="s">
        <v>38</v>
      </c>
      <c r="C4094" s="1" t="s">
        <v>775</v>
      </c>
      <c r="D4094" s="1">
        <v>3.0</v>
      </c>
      <c r="E4094" s="1">
        <v>55.0</v>
      </c>
      <c r="F4094" s="1">
        <v>5.0</v>
      </c>
      <c r="G4094" s="1">
        <v>5.0</v>
      </c>
      <c r="H4094" s="1" t="s">
        <v>16</v>
      </c>
      <c r="I4094" s="1" t="s">
        <v>21</v>
      </c>
      <c r="J4094" s="1" t="s">
        <v>18</v>
      </c>
      <c r="K4094" s="1">
        <v>45000.0</v>
      </c>
      <c r="L4094" s="1">
        <v>56.9631071999999</v>
      </c>
      <c r="M4094" s="1">
        <v>24.0188057517847</v>
      </c>
    </row>
    <row r="4095">
      <c r="A4095" s="1" t="s">
        <v>22</v>
      </c>
      <c r="B4095" s="1" t="s">
        <v>96</v>
      </c>
      <c r="C4095" s="1" t="s">
        <v>2376</v>
      </c>
      <c r="D4095" s="1">
        <v>2.0</v>
      </c>
      <c r="E4095" s="1">
        <v>63.0</v>
      </c>
      <c r="F4095" s="1">
        <v>1.0</v>
      </c>
      <c r="G4095" s="1">
        <v>2.0</v>
      </c>
      <c r="H4095" s="1" t="s">
        <v>181</v>
      </c>
      <c r="I4095" s="1" t="s">
        <v>33</v>
      </c>
      <c r="J4095" s="1" t="s">
        <v>18</v>
      </c>
      <c r="K4095" s="1">
        <v>54000.0</v>
      </c>
      <c r="L4095" s="1">
        <v>57.02813745</v>
      </c>
      <c r="M4095" s="1">
        <v>24.110178501929</v>
      </c>
    </row>
    <row r="4096">
      <c r="A4096" s="1" t="s">
        <v>22</v>
      </c>
      <c r="B4096" s="1" t="s">
        <v>42</v>
      </c>
      <c r="C4096" s="1" t="s">
        <v>2377</v>
      </c>
      <c r="D4096" s="1">
        <v>2.0</v>
      </c>
      <c r="E4096" s="1">
        <v>47.0</v>
      </c>
      <c r="F4096" s="1">
        <v>2.0</v>
      </c>
      <c r="G4096" s="1">
        <v>5.0</v>
      </c>
      <c r="H4096" s="1" t="s">
        <v>16</v>
      </c>
      <c r="I4096" s="1" t="s">
        <v>21</v>
      </c>
      <c r="J4096" s="1" t="s">
        <v>18</v>
      </c>
      <c r="K4096" s="1">
        <v>43000.0</v>
      </c>
      <c r="L4096" s="1">
        <v>56.9671659</v>
      </c>
      <c r="M4096" s="1">
        <v>24.2825273532216</v>
      </c>
    </row>
    <row r="4097">
      <c r="A4097" s="1" t="s">
        <v>13</v>
      </c>
      <c r="B4097" s="1" t="s">
        <v>38</v>
      </c>
      <c r="C4097" s="1" t="s">
        <v>1191</v>
      </c>
      <c r="D4097" s="1">
        <v>1.0</v>
      </c>
      <c r="E4097" s="1">
        <v>37.0</v>
      </c>
      <c r="F4097" s="1">
        <v>7.0</v>
      </c>
      <c r="G4097" s="1">
        <v>9.0</v>
      </c>
      <c r="H4097" s="1">
        <v>602.0</v>
      </c>
      <c r="I4097" s="1" t="s">
        <v>21</v>
      </c>
      <c r="J4097" s="1" t="s">
        <v>18</v>
      </c>
      <c r="K4097" s="1">
        <v>300.0</v>
      </c>
      <c r="L4097" s="1">
        <v>56.9608459</v>
      </c>
      <c r="M4097" s="1">
        <v>24.0120992912805</v>
      </c>
    </row>
    <row r="4098">
      <c r="A4098" s="1" t="s">
        <v>22</v>
      </c>
      <c r="B4098" s="1" t="s">
        <v>23</v>
      </c>
      <c r="C4098" s="1" t="s">
        <v>262</v>
      </c>
      <c r="D4098" s="1">
        <v>1.0</v>
      </c>
      <c r="E4098" s="1">
        <v>34.5</v>
      </c>
      <c r="F4098" s="1">
        <v>5.0</v>
      </c>
      <c r="G4098" s="1">
        <v>7.0</v>
      </c>
      <c r="H4098" s="1" t="s">
        <v>66</v>
      </c>
      <c r="I4098" s="1" t="s">
        <v>33</v>
      </c>
      <c r="J4098" s="1" t="s">
        <v>18</v>
      </c>
      <c r="K4098" s="1">
        <v>89700.0</v>
      </c>
      <c r="L4098" s="1">
        <v>56.9548306</v>
      </c>
      <c r="M4098" s="1">
        <v>24.1221141</v>
      </c>
    </row>
    <row r="4099">
      <c r="A4099" s="1" t="s">
        <v>22</v>
      </c>
      <c r="B4099" s="1" t="s">
        <v>104</v>
      </c>
      <c r="C4099" s="1" t="s">
        <v>2378</v>
      </c>
      <c r="D4099" s="1">
        <v>1.0</v>
      </c>
      <c r="E4099" s="1">
        <v>45.0</v>
      </c>
      <c r="F4099" s="1">
        <v>1.0</v>
      </c>
      <c r="G4099" s="1">
        <v>3.0</v>
      </c>
      <c r="H4099" s="1" t="s">
        <v>66</v>
      </c>
      <c r="I4099" s="1" t="s">
        <v>122</v>
      </c>
      <c r="J4099" s="1" t="s">
        <v>18</v>
      </c>
      <c r="K4099" s="1">
        <v>69300.0</v>
      </c>
      <c r="L4099" s="1">
        <v>56.9553949</v>
      </c>
      <c r="M4099" s="1">
        <v>24.0522937</v>
      </c>
    </row>
    <row r="4100">
      <c r="A4100" s="1" t="s">
        <v>13</v>
      </c>
      <c r="B4100" s="1" t="s">
        <v>14</v>
      </c>
      <c r="C4100" s="1" t="s">
        <v>789</v>
      </c>
      <c r="D4100" s="1">
        <v>2.0</v>
      </c>
      <c r="E4100" s="1">
        <v>48.0</v>
      </c>
      <c r="F4100" s="1">
        <v>4.0</v>
      </c>
      <c r="G4100" s="1">
        <v>5.0</v>
      </c>
      <c r="H4100" s="1" t="s">
        <v>36</v>
      </c>
      <c r="I4100" s="1" t="s">
        <v>37</v>
      </c>
      <c r="J4100" s="1" t="s">
        <v>18</v>
      </c>
      <c r="K4100" s="1">
        <v>300.0</v>
      </c>
      <c r="L4100" s="1">
        <v>56.96450485</v>
      </c>
      <c r="M4100" s="1">
        <v>24.1721578595744</v>
      </c>
    </row>
    <row r="4101">
      <c r="A4101" s="1" t="s">
        <v>22</v>
      </c>
      <c r="B4101" s="1" t="s">
        <v>104</v>
      </c>
      <c r="C4101" s="1" t="s">
        <v>2378</v>
      </c>
      <c r="D4101" s="1">
        <v>2.0</v>
      </c>
      <c r="E4101" s="1">
        <v>65.0</v>
      </c>
      <c r="F4101" s="1">
        <v>2.0</v>
      </c>
      <c r="G4101" s="1">
        <v>3.0</v>
      </c>
      <c r="H4101" s="1" t="s">
        <v>66</v>
      </c>
      <c r="I4101" s="1" t="s">
        <v>122</v>
      </c>
      <c r="J4101" s="1" t="s">
        <v>18</v>
      </c>
      <c r="K4101" s="1">
        <v>119000.0</v>
      </c>
      <c r="L4101" s="1">
        <v>56.9553949</v>
      </c>
      <c r="M4101" s="1">
        <v>24.0522937</v>
      </c>
    </row>
    <row r="4102">
      <c r="A4102" s="1" t="s">
        <v>22</v>
      </c>
      <c r="B4102" s="1" t="s">
        <v>14</v>
      </c>
      <c r="C4102" s="1" t="s">
        <v>959</v>
      </c>
      <c r="D4102" s="1">
        <v>2.0</v>
      </c>
      <c r="E4102" s="1">
        <v>48.3</v>
      </c>
      <c r="F4102" s="1">
        <v>5.0</v>
      </c>
      <c r="G4102" s="1">
        <v>9.0</v>
      </c>
      <c r="H4102" s="1">
        <v>602.0</v>
      </c>
      <c r="I4102" s="1" t="s">
        <v>21</v>
      </c>
      <c r="J4102" s="1" t="s">
        <v>18</v>
      </c>
      <c r="K4102" s="1">
        <v>55000.0</v>
      </c>
      <c r="L4102" s="1">
        <v>56.9600729</v>
      </c>
      <c r="M4102" s="1">
        <v>24.1860928710293</v>
      </c>
    </row>
    <row r="4103">
      <c r="A4103" s="1" t="s">
        <v>13</v>
      </c>
      <c r="B4103" s="1" t="s">
        <v>30</v>
      </c>
      <c r="C4103" s="1" t="s">
        <v>2379</v>
      </c>
      <c r="D4103" s="1">
        <v>2.0</v>
      </c>
      <c r="E4103" s="1">
        <v>47.0</v>
      </c>
      <c r="F4103" s="1">
        <v>2.0</v>
      </c>
      <c r="G4103" s="1">
        <v>2.0</v>
      </c>
      <c r="H4103" s="1" t="s">
        <v>44</v>
      </c>
      <c r="I4103" s="1" t="s">
        <v>37</v>
      </c>
      <c r="J4103" s="1" t="s">
        <v>18</v>
      </c>
      <c r="K4103" s="1">
        <v>500.0</v>
      </c>
      <c r="L4103" s="1">
        <v>56.9835792</v>
      </c>
      <c r="M4103" s="1">
        <v>24.19849335</v>
      </c>
    </row>
    <row r="4104">
      <c r="A4104" s="1" t="s">
        <v>22</v>
      </c>
      <c r="B4104" s="1" t="s">
        <v>74</v>
      </c>
      <c r="C4104" s="1" t="s">
        <v>605</v>
      </c>
      <c r="D4104" s="1">
        <v>1.0</v>
      </c>
      <c r="E4104" s="1">
        <v>39.0</v>
      </c>
      <c r="F4104" s="1">
        <v>5.0</v>
      </c>
      <c r="G4104" s="1">
        <v>5.0</v>
      </c>
      <c r="H4104" s="1" t="s">
        <v>57</v>
      </c>
      <c r="I4104" s="1" t="s">
        <v>21</v>
      </c>
      <c r="J4104" s="1" t="s">
        <v>18</v>
      </c>
      <c r="K4104" s="1">
        <v>30000.0</v>
      </c>
      <c r="L4104" s="1">
        <v>56.94167865</v>
      </c>
      <c r="M4104" s="1">
        <v>24.22621375</v>
      </c>
    </row>
    <row r="4105">
      <c r="A4105" s="1" t="s">
        <v>13</v>
      </c>
      <c r="B4105" s="1" t="s">
        <v>23</v>
      </c>
      <c r="C4105" s="1" t="s">
        <v>1204</v>
      </c>
      <c r="D4105" s="1">
        <v>2.0</v>
      </c>
      <c r="E4105" s="1">
        <v>46.0</v>
      </c>
      <c r="F4105" s="1">
        <v>3.0</v>
      </c>
      <c r="G4105" s="1">
        <v>6.0</v>
      </c>
      <c r="H4105" s="1" t="s">
        <v>66</v>
      </c>
      <c r="I4105" s="1" t="s">
        <v>37</v>
      </c>
      <c r="J4105" s="1" t="s">
        <v>18</v>
      </c>
      <c r="K4105" s="1">
        <v>350.0</v>
      </c>
      <c r="L4105" s="1">
        <v>56.9553484</v>
      </c>
      <c r="M4105" s="1">
        <v>24.1366774</v>
      </c>
    </row>
    <row r="4106">
      <c r="A4106" s="1" t="s">
        <v>22</v>
      </c>
      <c r="B4106" s="1" t="s">
        <v>151</v>
      </c>
      <c r="C4106" s="1" t="s">
        <v>2380</v>
      </c>
      <c r="D4106" s="1">
        <v>2.0</v>
      </c>
      <c r="E4106" s="1">
        <v>48.0</v>
      </c>
      <c r="F4106" s="1">
        <v>2.0</v>
      </c>
      <c r="G4106" s="1">
        <v>3.0</v>
      </c>
      <c r="H4106" s="1" t="s">
        <v>44</v>
      </c>
      <c r="I4106" s="1" t="s">
        <v>37</v>
      </c>
      <c r="J4106" s="1" t="s">
        <v>18</v>
      </c>
      <c r="K4106" s="1">
        <v>33500.0</v>
      </c>
      <c r="L4106" s="1">
        <v>56.965298</v>
      </c>
      <c r="M4106" s="1">
        <v>24.0573721</v>
      </c>
    </row>
    <row r="4107">
      <c r="A4107" s="1" t="s">
        <v>13</v>
      </c>
      <c r="B4107" s="1" t="s">
        <v>94</v>
      </c>
      <c r="C4107" s="1" t="s">
        <v>2381</v>
      </c>
      <c r="D4107" s="1">
        <v>1.0</v>
      </c>
      <c r="E4107" s="1">
        <v>50.0</v>
      </c>
      <c r="F4107" s="1">
        <v>10.0</v>
      </c>
      <c r="G4107" s="1">
        <v>16.0</v>
      </c>
      <c r="H4107" s="1">
        <v>104.0</v>
      </c>
      <c r="I4107" s="1" t="s">
        <v>21</v>
      </c>
      <c r="J4107" s="1" t="s">
        <v>18</v>
      </c>
      <c r="K4107" s="1">
        <v>29.0</v>
      </c>
      <c r="L4107" s="1">
        <v>56.9282438</v>
      </c>
      <c r="M4107" s="1">
        <v>24.1701215</v>
      </c>
    </row>
    <row r="4108">
      <c r="A4108" s="1" t="s">
        <v>13</v>
      </c>
      <c r="B4108" s="1" t="s">
        <v>104</v>
      </c>
      <c r="C4108" s="1" t="s">
        <v>2382</v>
      </c>
      <c r="D4108" s="1">
        <v>1.0</v>
      </c>
      <c r="E4108" s="1">
        <v>15.0</v>
      </c>
      <c r="F4108" s="1">
        <v>1.0</v>
      </c>
      <c r="G4108" s="1">
        <v>3.0</v>
      </c>
      <c r="H4108" s="1" t="s">
        <v>44</v>
      </c>
      <c r="I4108" s="1" t="s">
        <v>37</v>
      </c>
      <c r="J4108" s="1" t="s">
        <v>18</v>
      </c>
      <c r="K4108" s="1">
        <v>220.0</v>
      </c>
      <c r="L4108" s="1">
        <v>56.9384531</v>
      </c>
      <c r="M4108" s="1">
        <v>24.0507266</v>
      </c>
    </row>
    <row r="4109">
      <c r="A4109" s="1" t="s">
        <v>13</v>
      </c>
      <c r="B4109" s="1" t="s">
        <v>50</v>
      </c>
      <c r="C4109" s="1" t="s">
        <v>2383</v>
      </c>
      <c r="D4109" s="1">
        <v>1.0</v>
      </c>
      <c r="E4109" s="1">
        <v>40.0</v>
      </c>
      <c r="F4109" s="1">
        <v>6.0</v>
      </c>
      <c r="G4109" s="1">
        <v>6.0</v>
      </c>
      <c r="H4109" s="1" t="s">
        <v>66</v>
      </c>
      <c r="I4109" s="1" t="s">
        <v>33</v>
      </c>
      <c r="J4109" s="1" t="s">
        <v>18</v>
      </c>
      <c r="K4109" s="1">
        <v>25.0</v>
      </c>
      <c r="L4109" s="1">
        <v>56.9442148499999</v>
      </c>
      <c r="M4109" s="1">
        <v>24.1354263973833</v>
      </c>
    </row>
    <row r="4110">
      <c r="A4110" s="1" t="s">
        <v>22</v>
      </c>
      <c r="B4110" s="1" t="s">
        <v>117</v>
      </c>
      <c r="C4110" s="1" t="s">
        <v>1396</v>
      </c>
      <c r="D4110" s="1">
        <v>2.0</v>
      </c>
      <c r="E4110" s="1">
        <v>53.0</v>
      </c>
      <c r="F4110" s="1">
        <v>6.0</v>
      </c>
      <c r="G4110" s="1">
        <v>12.0</v>
      </c>
      <c r="H4110" s="1" t="s">
        <v>221</v>
      </c>
      <c r="I4110" s="1" t="s">
        <v>37</v>
      </c>
      <c r="J4110" s="1" t="s">
        <v>18</v>
      </c>
      <c r="K4110" s="1">
        <v>52000.0</v>
      </c>
      <c r="L4110" s="1">
        <v>56.9929332</v>
      </c>
      <c r="M4110" s="1">
        <v>24.1945177</v>
      </c>
    </row>
    <row r="4111">
      <c r="A4111" s="1" t="s">
        <v>13</v>
      </c>
      <c r="B4111" s="1" t="s">
        <v>19</v>
      </c>
      <c r="C4111" s="1" t="s">
        <v>2384</v>
      </c>
      <c r="D4111" s="1">
        <v>2.0</v>
      </c>
      <c r="E4111" s="1">
        <v>49.0</v>
      </c>
      <c r="F4111" s="1">
        <v>9.0</v>
      </c>
      <c r="G4111" s="1">
        <v>9.0</v>
      </c>
      <c r="H4111" s="1">
        <v>602.0</v>
      </c>
      <c r="I4111" s="1" t="s">
        <v>21</v>
      </c>
      <c r="J4111" s="1" t="s">
        <v>18</v>
      </c>
      <c r="K4111" s="1">
        <v>280.0</v>
      </c>
      <c r="L4111" s="1">
        <v>56.8990307</v>
      </c>
      <c r="M4111" s="1">
        <v>24.0785989</v>
      </c>
    </row>
    <row r="4112">
      <c r="A4112" s="1" t="s">
        <v>13</v>
      </c>
      <c r="B4112" s="1" t="s">
        <v>23</v>
      </c>
      <c r="C4112" s="1" t="s">
        <v>2385</v>
      </c>
      <c r="D4112" s="1">
        <v>1.0</v>
      </c>
      <c r="E4112" s="1">
        <v>29.0</v>
      </c>
      <c r="F4112" s="1">
        <v>4.0</v>
      </c>
      <c r="G4112" s="1">
        <v>6.0</v>
      </c>
      <c r="H4112" s="1" t="s">
        <v>25</v>
      </c>
      <c r="I4112" s="1" t="s">
        <v>33</v>
      </c>
      <c r="J4112" s="1" t="s">
        <v>18</v>
      </c>
      <c r="K4112" s="1">
        <v>25.0</v>
      </c>
      <c r="L4112" s="1">
        <v>56.9522316</v>
      </c>
      <c r="M4112" s="1">
        <v>24.1316755</v>
      </c>
    </row>
    <row r="4113">
      <c r="A4113" s="1" t="s">
        <v>13</v>
      </c>
      <c r="B4113" s="1" t="s">
        <v>23</v>
      </c>
      <c r="C4113" s="1" t="s">
        <v>2385</v>
      </c>
      <c r="D4113" s="1">
        <v>3.0</v>
      </c>
      <c r="E4113" s="1">
        <v>85.0</v>
      </c>
      <c r="F4113" s="1">
        <v>4.0</v>
      </c>
      <c r="G4113" s="1">
        <v>6.0</v>
      </c>
      <c r="H4113" s="1" t="s">
        <v>25</v>
      </c>
      <c r="I4113" s="1" t="s">
        <v>33</v>
      </c>
      <c r="J4113" s="1" t="s">
        <v>18</v>
      </c>
      <c r="K4113" s="1">
        <v>50.0</v>
      </c>
      <c r="L4113" s="1">
        <v>56.9522316</v>
      </c>
      <c r="M4113" s="1">
        <v>24.1316755</v>
      </c>
    </row>
    <row r="4114">
      <c r="A4114" s="1" t="s">
        <v>22</v>
      </c>
      <c r="B4114" s="1" t="s">
        <v>218</v>
      </c>
      <c r="C4114" s="1" t="s">
        <v>2386</v>
      </c>
      <c r="D4114" s="1">
        <v>3.0</v>
      </c>
      <c r="E4114" s="1">
        <v>87.0</v>
      </c>
      <c r="F4114" s="1">
        <v>1.0</v>
      </c>
      <c r="G4114" s="1">
        <v>2.0</v>
      </c>
      <c r="H4114" s="1" t="s">
        <v>25</v>
      </c>
      <c r="I4114" s="1" t="s">
        <v>33</v>
      </c>
      <c r="J4114" s="1" t="s">
        <v>18</v>
      </c>
      <c r="K4114" s="1">
        <v>230000.0</v>
      </c>
      <c r="L4114" s="1">
        <v>56.94868015</v>
      </c>
      <c r="M4114" s="1">
        <v>24.1098290650594</v>
      </c>
    </row>
    <row r="4115">
      <c r="A4115" s="1" t="s">
        <v>13</v>
      </c>
      <c r="B4115" s="1" t="s">
        <v>129</v>
      </c>
      <c r="C4115" s="1" t="s">
        <v>2387</v>
      </c>
      <c r="D4115" s="1">
        <v>1.0</v>
      </c>
      <c r="E4115" s="1">
        <v>34.0</v>
      </c>
      <c r="F4115" s="1">
        <v>4.0</v>
      </c>
      <c r="G4115" s="1">
        <v>5.0</v>
      </c>
      <c r="H4115" s="1">
        <v>103.0</v>
      </c>
      <c r="I4115" s="1" t="s">
        <v>17</v>
      </c>
      <c r="J4115" s="1" t="s">
        <v>18</v>
      </c>
      <c r="K4115" s="1">
        <v>300.0</v>
      </c>
      <c r="L4115" s="1">
        <v>56.9951843</v>
      </c>
      <c r="M4115" s="1">
        <v>24.1265163</v>
      </c>
    </row>
    <row r="4116">
      <c r="A4116" s="1" t="s">
        <v>22</v>
      </c>
      <c r="B4116" s="1" t="s">
        <v>48</v>
      </c>
      <c r="C4116" s="1" t="s">
        <v>1020</v>
      </c>
      <c r="D4116" s="1">
        <v>3.0</v>
      </c>
      <c r="E4116" s="1">
        <v>75.0</v>
      </c>
      <c r="F4116" s="1">
        <v>7.0</v>
      </c>
      <c r="G4116" s="1">
        <v>16.0</v>
      </c>
      <c r="H4116" s="1">
        <v>104.0</v>
      </c>
      <c r="I4116" s="1" t="s">
        <v>21</v>
      </c>
      <c r="J4116" s="1" t="s">
        <v>18</v>
      </c>
      <c r="K4116" s="1">
        <v>75000.0</v>
      </c>
      <c r="L4116" s="1">
        <v>56.95996775</v>
      </c>
      <c r="M4116" s="1">
        <v>24.2349046</v>
      </c>
    </row>
    <row r="4117">
      <c r="A4117" s="1" t="s">
        <v>13</v>
      </c>
      <c r="B4117" s="1" t="s">
        <v>23</v>
      </c>
      <c r="C4117" s="1" t="s">
        <v>2388</v>
      </c>
      <c r="D4117" s="1">
        <v>2.0</v>
      </c>
      <c r="E4117" s="1">
        <v>42.0</v>
      </c>
      <c r="F4117" s="1">
        <v>3.0</v>
      </c>
      <c r="G4117" s="1">
        <v>3.0</v>
      </c>
      <c r="H4117" s="1" t="s">
        <v>25</v>
      </c>
      <c r="I4117" s="1" t="s">
        <v>26</v>
      </c>
      <c r="J4117" s="1" t="s">
        <v>18</v>
      </c>
      <c r="K4117" s="1">
        <v>550.0</v>
      </c>
      <c r="L4117" s="1">
        <v>56.9537909</v>
      </c>
      <c r="M4117" s="1">
        <v>24.1333538</v>
      </c>
    </row>
    <row r="4118">
      <c r="A4118" s="1" t="s">
        <v>22</v>
      </c>
      <c r="B4118" s="1" t="s">
        <v>38</v>
      </c>
      <c r="C4118" s="1" t="s">
        <v>1314</v>
      </c>
      <c r="D4118" s="1">
        <v>1.0</v>
      </c>
      <c r="E4118" s="1">
        <v>46.0</v>
      </c>
      <c r="F4118" s="1">
        <v>6.0</v>
      </c>
      <c r="G4118" s="1">
        <v>9.0</v>
      </c>
      <c r="H4118" s="1" t="s">
        <v>32</v>
      </c>
      <c r="I4118" s="1" t="s">
        <v>17</v>
      </c>
      <c r="J4118" s="1" t="s">
        <v>18</v>
      </c>
      <c r="K4118" s="1">
        <v>78000.0</v>
      </c>
      <c r="L4118" s="1">
        <v>56.9512026</v>
      </c>
      <c r="M4118" s="1">
        <v>24.0005229</v>
      </c>
    </row>
    <row r="4119">
      <c r="A4119" s="1" t="s">
        <v>13</v>
      </c>
      <c r="B4119" s="1" t="s">
        <v>23</v>
      </c>
      <c r="C4119" s="1" t="s">
        <v>1428</v>
      </c>
      <c r="D4119" s="1">
        <v>2.0</v>
      </c>
      <c r="E4119" s="1">
        <v>57.0</v>
      </c>
      <c r="F4119" s="1">
        <v>3.0</v>
      </c>
      <c r="G4119" s="1">
        <v>6.0</v>
      </c>
      <c r="H4119" s="1" t="s">
        <v>66</v>
      </c>
      <c r="I4119" s="1" t="s">
        <v>17</v>
      </c>
      <c r="J4119" s="1" t="s">
        <v>18</v>
      </c>
      <c r="K4119" s="1">
        <v>500.0</v>
      </c>
      <c r="L4119" s="1">
        <v>56.956763</v>
      </c>
      <c r="M4119" s="1">
        <v>24.0954531</v>
      </c>
    </row>
    <row r="4120">
      <c r="A4120" s="1" t="s">
        <v>13</v>
      </c>
      <c r="B4120" s="1" t="s">
        <v>74</v>
      </c>
      <c r="C4120" s="1" t="s">
        <v>2389</v>
      </c>
      <c r="D4120" s="1">
        <v>2.0</v>
      </c>
      <c r="E4120" s="1">
        <v>50.0</v>
      </c>
      <c r="F4120" s="1">
        <v>9.0</v>
      </c>
      <c r="G4120" s="1">
        <v>9.0</v>
      </c>
      <c r="H4120" s="1">
        <v>602.0</v>
      </c>
      <c r="I4120" s="1" t="s">
        <v>21</v>
      </c>
      <c r="J4120" s="1" t="s">
        <v>18</v>
      </c>
      <c r="K4120" s="1">
        <v>295.0</v>
      </c>
      <c r="L4120" s="1">
        <v>56.9380435</v>
      </c>
      <c r="M4120" s="1">
        <v>24.2087710740448</v>
      </c>
    </row>
    <row r="4121">
      <c r="A4121" s="1" t="s">
        <v>22</v>
      </c>
      <c r="B4121" s="1" t="s">
        <v>14</v>
      </c>
      <c r="C4121" s="1" t="s">
        <v>2390</v>
      </c>
      <c r="D4121" s="1">
        <v>1.0</v>
      </c>
      <c r="E4121" s="1">
        <v>30.0</v>
      </c>
      <c r="F4121" s="1">
        <v>3.0</v>
      </c>
      <c r="G4121" s="1">
        <v>4.0</v>
      </c>
      <c r="H4121" s="1" t="s">
        <v>36</v>
      </c>
      <c r="I4121" s="1" t="s">
        <v>37</v>
      </c>
      <c r="J4121" s="1" t="s">
        <v>18</v>
      </c>
      <c r="K4121" s="1">
        <v>31000.0</v>
      </c>
      <c r="L4121" s="1">
        <v>56.96759045</v>
      </c>
      <c r="M4121" s="1">
        <v>24.1875892347019</v>
      </c>
    </row>
    <row r="4122">
      <c r="A4122" s="1" t="s">
        <v>22</v>
      </c>
      <c r="B4122" s="1" t="s">
        <v>422</v>
      </c>
      <c r="C4122" s="1" t="s">
        <v>2391</v>
      </c>
      <c r="D4122" s="1">
        <v>4.0</v>
      </c>
      <c r="E4122" s="1">
        <v>71.0</v>
      </c>
      <c r="F4122" s="1">
        <v>3.0</v>
      </c>
      <c r="G4122" s="1">
        <v>5.0</v>
      </c>
      <c r="H4122" s="1" t="s">
        <v>44</v>
      </c>
      <c r="I4122" s="1" t="s">
        <v>37</v>
      </c>
      <c r="J4122" s="1" t="s">
        <v>18</v>
      </c>
      <c r="K4122" s="1">
        <v>67000.0</v>
      </c>
      <c r="L4122" s="1">
        <v>56.93643985</v>
      </c>
      <c r="M4122" s="1">
        <v>24.0450611251162</v>
      </c>
    </row>
    <row r="4123">
      <c r="A4123" s="1" t="s">
        <v>13</v>
      </c>
      <c r="B4123" s="1" t="s">
        <v>109</v>
      </c>
      <c r="C4123" s="1" t="s">
        <v>472</v>
      </c>
      <c r="D4123" s="1">
        <v>2.0</v>
      </c>
      <c r="E4123" s="1">
        <v>35.0</v>
      </c>
      <c r="F4123" s="1">
        <v>2.0</v>
      </c>
      <c r="G4123" s="1">
        <v>9.0</v>
      </c>
      <c r="H4123" s="1" t="s">
        <v>36</v>
      </c>
      <c r="I4123" s="1" t="s">
        <v>37</v>
      </c>
      <c r="J4123" s="1" t="s">
        <v>18</v>
      </c>
      <c r="K4123" s="1">
        <v>290.0</v>
      </c>
      <c r="L4123" s="1" t="s">
        <v>40</v>
      </c>
      <c r="M4123" s="1" t="s">
        <v>40</v>
      </c>
    </row>
    <row r="4124">
      <c r="A4124" s="1" t="s">
        <v>22</v>
      </c>
      <c r="B4124" s="1" t="s">
        <v>28</v>
      </c>
      <c r="C4124" s="1" t="s">
        <v>803</v>
      </c>
      <c r="D4124" s="1">
        <v>2.0</v>
      </c>
      <c r="E4124" s="1">
        <v>48.0</v>
      </c>
      <c r="F4124" s="1">
        <v>5.0</v>
      </c>
      <c r="G4124" s="1">
        <v>5.0</v>
      </c>
      <c r="H4124" s="1" t="s">
        <v>44</v>
      </c>
      <c r="I4124" s="1" t="s">
        <v>21</v>
      </c>
      <c r="J4124" s="1" t="s">
        <v>18</v>
      </c>
      <c r="K4124" s="1">
        <v>39900.0</v>
      </c>
      <c r="L4124" s="1">
        <v>56.91162465</v>
      </c>
      <c r="M4124" s="1">
        <v>24.1743748269825</v>
      </c>
    </row>
    <row r="4125">
      <c r="A4125" s="1" t="s">
        <v>13</v>
      </c>
      <c r="B4125" s="1" t="s">
        <v>14</v>
      </c>
      <c r="C4125" s="1" t="s">
        <v>664</v>
      </c>
      <c r="D4125" s="1">
        <v>1.0</v>
      </c>
      <c r="E4125" s="1">
        <v>32.0</v>
      </c>
      <c r="F4125" s="1">
        <v>4.0</v>
      </c>
      <c r="G4125" s="1">
        <v>5.0</v>
      </c>
      <c r="H4125" s="1" t="s">
        <v>36</v>
      </c>
      <c r="I4125" s="1" t="s">
        <v>17</v>
      </c>
      <c r="J4125" s="1" t="s">
        <v>18</v>
      </c>
      <c r="K4125" s="1">
        <v>25.0</v>
      </c>
      <c r="L4125" s="1">
        <v>56.9651176499999</v>
      </c>
      <c r="M4125" s="1">
        <v>24.1760481976948</v>
      </c>
    </row>
    <row r="4126">
      <c r="A4126" s="1" t="s">
        <v>131</v>
      </c>
      <c r="B4126" s="1" t="s">
        <v>60</v>
      </c>
      <c r="C4126" s="2"/>
      <c r="D4126" s="1">
        <v>3.0</v>
      </c>
      <c r="E4126" s="2"/>
      <c r="F4126" s="2"/>
      <c r="G4126" s="2"/>
      <c r="H4126" s="2"/>
      <c r="I4126" s="2"/>
      <c r="J4126" s="2"/>
      <c r="K4126" s="2"/>
      <c r="L4126" s="1">
        <v>46.3144754</v>
      </c>
      <c r="M4126" s="1">
        <v>11.0480288</v>
      </c>
    </row>
    <row r="4127">
      <c r="A4127" s="1" t="s">
        <v>22</v>
      </c>
      <c r="B4127" s="1" t="s">
        <v>19</v>
      </c>
      <c r="C4127" s="1" t="s">
        <v>2392</v>
      </c>
      <c r="D4127" s="1">
        <v>2.0</v>
      </c>
      <c r="E4127" s="1">
        <v>63.0</v>
      </c>
      <c r="F4127" s="1">
        <v>5.0</v>
      </c>
      <c r="G4127" s="1">
        <v>5.0</v>
      </c>
      <c r="H4127" s="1" t="s">
        <v>32</v>
      </c>
      <c r="I4127" s="1" t="s">
        <v>17</v>
      </c>
      <c r="J4127" s="1" t="s">
        <v>18</v>
      </c>
      <c r="K4127" s="1">
        <v>86000.0</v>
      </c>
      <c r="L4127" s="1">
        <v>56.8974581</v>
      </c>
      <c r="M4127" s="1">
        <v>24.1389382</v>
      </c>
    </row>
    <row r="4128">
      <c r="A4128" s="1" t="s">
        <v>22</v>
      </c>
      <c r="B4128" s="1" t="s">
        <v>129</v>
      </c>
      <c r="C4128" s="1" t="s">
        <v>2393</v>
      </c>
      <c r="D4128" s="1">
        <v>1.0</v>
      </c>
      <c r="E4128" s="1">
        <v>34.0</v>
      </c>
      <c r="F4128" s="1">
        <v>1.0</v>
      </c>
      <c r="G4128" s="1">
        <v>9.0</v>
      </c>
      <c r="H4128" s="1" t="s">
        <v>36</v>
      </c>
      <c r="I4128" s="1" t="s">
        <v>37</v>
      </c>
      <c r="J4128" s="1" t="s">
        <v>18</v>
      </c>
      <c r="K4128" s="1">
        <v>26000.0</v>
      </c>
      <c r="L4128" s="1" t="s">
        <v>40</v>
      </c>
      <c r="M4128" s="1" t="s">
        <v>40</v>
      </c>
    </row>
    <row r="4129">
      <c r="A4129" s="1" t="s">
        <v>13</v>
      </c>
      <c r="B4129" s="1" t="s">
        <v>96</v>
      </c>
      <c r="C4129" s="1" t="s">
        <v>1727</v>
      </c>
      <c r="D4129" s="1">
        <v>1.0</v>
      </c>
      <c r="E4129" s="1">
        <v>35.0</v>
      </c>
      <c r="F4129" s="1">
        <v>1.0</v>
      </c>
      <c r="G4129" s="1">
        <v>2.0</v>
      </c>
      <c r="H4129" s="1" t="s">
        <v>36</v>
      </c>
      <c r="I4129" s="1" t="s">
        <v>37</v>
      </c>
      <c r="J4129" s="1" t="s">
        <v>18</v>
      </c>
      <c r="K4129" s="1">
        <v>170.0</v>
      </c>
      <c r="L4129" s="1">
        <v>57.03465345</v>
      </c>
      <c r="M4129" s="1">
        <v>24.0980322090067</v>
      </c>
    </row>
    <row r="4130">
      <c r="A4130" s="1" t="s">
        <v>13</v>
      </c>
      <c r="B4130" s="1" t="s">
        <v>23</v>
      </c>
      <c r="C4130" s="1" t="s">
        <v>2394</v>
      </c>
      <c r="D4130" s="1">
        <v>2.0</v>
      </c>
      <c r="E4130" s="1">
        <v>40.0</v>
      </c>
      <c r="F4130" s="1">
        <v>3.0</v>
      </c>
      <c r="G4130" s="1">
        <v>5.0</v>
      </c>
      <c r="H4130" s="1" t="s">
        <v>44</v>
      </c>
      <c r="I4130" s="1" t="s">
        <v>37</v>
      </c>
      <c r="J4130" s="1" t="s">
        <v>18</v>
      </c>
      <c r="K4130" s="1">
        <v>300.0</v>
      </c>
      <c r="L4130" s="1">
        <v>56.9684782</v>
      </c>
      <c r="M4130" s="1">
        <v>24.0982111</v>
      </c>
    </row>
    <row r="4131">
      <c r="A4131" s="1" t="s">
        <v>22</v>
      </c>
      <c r="B4131" s="1" t="s">
        <v>23</v>
      </c>
      <c r="C4131" s="1" t="s">
        <v>2395</v>
      </c>
      <c r="D4131" s="1">
        <v>4.0</v>
      </c>
      <c r="E4131" s="1">
        <v>125.0</v>
      </c>
      <c r="F4131" s="1">
        <v>4.0</v>
      </c>
      <c r="G4131" s="1">
        <v>5.0</v>
      </c>
      <c r="H4131" s="1" t="s">
        <v>25</v>
      </c>
      <c r="I4131" s="1" t="s">
        <v>33</v>
      </c>
      <c r="J4131" s="1" t="s">
        <v>18</v>
      </c>
      <c r="K4131" s="1">
        <v>185000.0</v>
      </c>
      <c r="L4131" s="1">
        <v>56.956956</v>
      </c>
      <c r="M4131" s="1">
        <v>24.117125</v>
      </c>
    </row>
    <row r="4132">
      <c r="A4132" s="1" t="s">
        <v>13</v>
      </c>
      <c r="B4132" s="1" t="s">
        <v>76</v>
      </c>
      <c r="C4132" s="1" t="s">
        <v>1557</v>
      </c>
      <c r="D4132" s="1">
        <v>2.0</v>
      </c>
      <c r="E4132" s="1">
        <v>40.0</v>
      </c>
      <c r="F4132" s="1">
        <v>4.0</v>
      </c>
      <c r="G4132" s="1">
        <v>4.0</v>
      </c>
      <c r="H4132" s="1" t="s">
        <v>32</v>
      </c>
      <c r="I4132" s="1" t="s">
        <v>122</v>
      </c>
      <c r="J4132" s="1" t="s">
        <v>18</v>
      </c>
      <c r="K4132" s="1">
        <v>600.0</v>
      </c>
      <c r="L4132" s="1">
        <v>56.9561314</v>
      </c>
      <c r="M4132" s="1">
        <v>24.0541248</v>
      </c>
    </row>
    <row r="4133">
      <c r="A4133" s="1" t="s">
        <v>22</v>
      </c>
      <c r="B4133" s="1" t="s">
        <v>60</v>
      </c>
      <c r="C4133" s="1" t="s">
        <v>839</v>
      </c>
      <c r="D4133" s="1">
        <v>1.0</v>
      </c>
      <c r="E4133" s="1">
        <v>41.0</v>
      </c>
      <c r="F4133" s="1">
        <v>8.0</v>
      </c>
      <c r="G4133" s="1">
        <v>9.0</v>
      </c>
      <c r="H4133" s="1" t="s">
        <v>36</v>
      </c>
      <c r="I4133" s="1" t="s">
        <v>17</v>
      </c>
      <c r="J4133" s="1" t="s">
        <v>18</v>
      </c>
      <c r="K4133" s="1">
        <v>27000.0</v>
      </c>
      <c r="L4133" s="1">
        <v>46.770384</v>
      </c>
      <c r="M4133" s="1">
        <v>11.6396833</v>
      </c>
    </row>
    <row r="4134">
      <c r="A4134" s="1" t="s">
        <v>22</v>
      </c>
      <c r="B4134" s="1" t="s">
        <v>158</v>
      </c>
      <c r="C4134" s="1" t="s">
        <v>2396</v>
      </c>
      <c r="D4134" s="1">
        <v>3.0</v>
      </c>
      <c r="E4134" s="1">
        <v>140.0</v>
      </c>
      <c r="F4134" s="1">
        <v>3.0</v>
      </c>
      <c r="G4134" s="1">
        <v>3.0</v>
      </c>
      <c r="H4134" s="1" t="s">
        <v>32</v>
      </c>
      <c r="I4134" s="1" t="s">
        <v>17</v>
      </c>
      <c r="J4134" s="1" t="s">
        <v>18</v>
      </c>
      <c r="K4134" s="1">
        <v>79000.0</v>
      </c>
      <c r="L4134" s="1">
        <v>56.9868556</v>
      </c>
      <c r="M4134" s="1">
        <v>24.2987252</v>
      </c>
    </row>
    <row r="4135">
      <c r="A4135" s="1" t="s">
        <v>13</v>
      </c>
      <c r="B4135" s="1" t="s">
        <v>23</v>
      </c>
      <c r="C4135" s="1" t="s">
        <v>2397</v>
      </c>
      <c r="D4135" s="1">
        <v>3.0</v>
      </c>
      <c r="E4135" s="1">
        <v>108.0</v>
      </c>
      <c r="F4135" s="1">
        <v>4.0</v>
      </c>
      <c r="G4135" s="1">
        <v>5.0</v>
      </c>
      <c r="H4135" s="1" t="s">
        <v>25</v>
      </c>
      <c r="I4135" s="1" t="s">
        <v>33</v>
      </c>
      <c r="J4135" s="1" t="s">
        <v>18</v>
      </c>
      <c r="K4135" s="1">
        <v>500.0</v>
      </c>
      <c r="L4135" s="1">
        <v>56.9601806</v>
      </c>
      <c r="M4135" s="1">
        <v>24.1028778</v>
      </c>
    </row>
    <row r="4136">
      <c r="A4136" s="1" t="s">
        <v>22</v>
      </c>
      <c r="B4136" s="1" t="s">
        <v>74</v>
      </c>
      <c r="C4136" s="1" t="s">
        <v>1418</v>
      </c>
      <c r="D4136" s="1">
        <v>2.0</v>
      </c>
      <c r="E4136" s="1">
        <v>50.0</v>
      </c>
      <c r="F4136" s="1">
        <v>5.0</v>
      </c>
      <c r="G4136" s="1">
        <v>9.0</v>
      </c>
      <c r="H4136" s="1">
        <v>602.0</v>
      </c>
      <c r="I4136" s="1" t="s">
        <v>21</v>
      </c>
      <c r="J4136" s="1" t="s">
        <v>18</v>
      </c>
      <c r="K4136" s="1">
        <v>45000.0</v>
      </c>
      <c r="L4136" s="1">
        <v>56.92934845</v>
      </c>
      <c r="M4136" s="1">
        <v>24.1769740456498</v>
      </c>
    </row>
    <row r="4137">
      <c r="A4137" s="1" t="s">
        <v>22</v>
      </c>
      <c r="B4137" s="1" t="s">
        <v>74</v>
      </c>
      <c r="C4137" s="1" t="s">
        <v>1133</v>
      </c>
      <c r="D4137" s="1">
        <v>3.0</v>
      </c>
      <c r="E4137" s="1">
        <v>79.0</v>
      </c>
      <c r="F4137" s="1">
        <v>4.0</v>
      </c>
      <c r="G4137" s="1">
        <v>9.0</v>
      </c>
      <c r="H4137" s="1">
        <v>119.0</v>
      </c>
      <c r="I4137" s="1" t="s">
        <v>21</v>
      </c>
      <c r="J4137" s="1" t="s">
        <v>18</v>
      </c>
      <c r="K4137" s="1">
        <v>71100.0</v>
      </c>
      <c r="L4137" s="1">
        <v>56.94708265</v>
      </c>
      <c r="M4137" s="1">
        <v>24.1976276399044</v>
      </c>
    </row>
    <row r="4138">
      <c r="A4138" s="1" t="s">
        <v>22</v>
      </c>
      <c r="B4138" s="1" t="s">
        <v>28</v>
      </c>
      <c r="C4138" s="1" t="s">
        <v>2398</v>
      </c>
      <c r="D4138" s="1">
        <v>1.0</v>
      </c>
      <c r="E4138" s="1">
        <v>32.0</v>
      </c>
      <c r="F4138" s="1">
        <v>7.0</v>
      </c>
      <c r="G4138" s="1">
        <v>9.0</v>
      </c>
      <c r="H4138" s="1">
        <v>467.0</v>
      </c>
      <c r="I4138" s="1" t="s">
        <v>21</v>
      </c>
      <c r="J4138" s="1" t="s">
        <v>18</v>
      </c>
      <c r="K4138" s="1">
        <v>28500.0</v>
      </c>
      <c r="L4138" s="1">
        <v>56.9078304</v>
      </c>
      <c r="M4138" s="1">
        <v>24.1904570505792</v>
      </c>
    </row>
    <row r="4139">
      <c r="A4139" s="1" t="s">
        <v>22</v>
      </c>
      <c r="B4139" s="1" t="s">
        <v>28</v>
      </c>
      <c r="C4139" s="1" t="s">
        <v>2399</v>
      </c>
      <c r="D4139" s="1">
        <v>3.0</v>
      </c>
      <c r="E4139" s="1">
        <v>58.0</v>
      </c>
      <c r="F4139" s="1">
        <v>9.0</v>
      </c>
      <c r="G4139" s="1">
        <v>9.0</v>
      </c>
      <c r="H4139" s="1">
        <v>467.0</v>
      </c>
      <c r="I4139" s="1" t="s">
        <v>21</v>
      </c>
      <c r="J4139" s="1" t="s">
        <v>18</v>
      </c>
      <c r="K4139" s="1">
        <v>58700.0</v>
      </c>
      <c r="L4139" s="1">
        <v>56.902508</v>
      </c>
      <c r="M4139" s="1">
        <v>24.2134383124239</v>
      </c>
    </row>
    <row r="4140">
      <c r="A4140" s="1" t="s">
        <v>13</v>
      </c>
      <c r="B4140" s="1" t="s">
        <v>104</v>
      </c>
      <c r="C4140" s="1" t="s">
        <v>874</v>
      </c>
      <c r="D4140" s="1">
        <v>2.0</v>
      </c>
      <c r="E4140" s="1">
        <v>40.0</v>
      </c>
      <c r="F4140" s="1">
        <v>3.0</v>
      </c>
      <c r="G4140" s="1">
        <v>5.0</v>
      </c>
      <c r="H4140" s="1" t="s">
        <v>44</v>
      </c>
      <c r="I4140" s="1" t="s">
        <v>37</v>
      </c>
      <c r="J4140" s="1" t="s">
        <v>18</v>
      </c>
      <c r="K4140" s="1">
        <v>330.0</v>
      </c>
      <c r="L4140" s="1">
        <v>56.9438277999999</v>
      </c>
      <c r="M4140" s="1">
        <v>24.062819336917</v>
      </c>
    </row>
    <row r="4141">
      <c r="A4141" s="1" t="s">
        <v>13</v>
      </c>
      <c r="B4141" s="1" t="s">
        <v>60</v>
      </c>
      <c r="C4141" s="1" t="s">
        <v>839</v>
      </c>
      <c r="D4141" s="1">
        <v>1.0</v>
      </c>
      <c r="E4141" s="1">
        <v>40.0</v>
      </c>
      <c r="F4141" s="1">
        <v>9.0</v>
      </c>
      <c r="G4141" s="1">
        <v>9.0</v>
      </c>
      <c r="H4141" s="1" t="s">
        <v>36</v>
      </c>
      <c r="I4141" s="1" t="s">
        <v>37</v>
      </c>
      <c r="J4141" s="1" t="s">
        <v>18</v>
      </c>
      <c r="K4141" s="1">
        <v>170.0</v>
      </c>
      <c r="L4141" s="1">
        <v>46.770384</v>
      </c>
      <c r="M4141" s="1">
        <v>11.6396833</v>
      </c>
    </row>
    <row r="4142">
      <c r="A4142" s="1" t="s">
        <v>22</v>
      </c>
      <c r="B4142" s="1" t="s">
        <v>60</v>
      </c>
      <c r="C4142" s="1" t="s">
        <v>839</v>
      </c>
      <c r="D4142" s="1">
        <v>1.0</v>
      </c>
      <c r="E4142" s="1">
        <v>40.0</v>
      </c>
      <c r="F4142" s="1">
        <v>9.0</v>
      </c>
      <c r="G4142" s="1">
        <v>9.0</v>
      </c>
      <c r="H4142" s="1" t="s">
        <v>36</v>
      </c>
      <c r="I4142" s="1" t="s">
        <v>37</v>
      </c>
      <c r="J4142" s="1" t="s">
        <v>18</v>
      </c>
      <c r="K4142" s="1">
        <v>25000.0</v>
      </c>
      <c r="L4142" s="1">
        <v>46.770384</v>
      </c>
      <c r="M4142" s="1">
        <v>11.6396833</v>
      </c>
    </row>
    <row r="4143">
      <c r="A4143" s="1" t="s">
        <v>13</v>
      </c>
      <c r="B4143" s="1" t="s">
        <v>19</v>
      </c>
      <c r="C4143" s="1" t="s">
        <v>2400</v>
      </c>
      <c r="D4143" s="1">
        <v>1.0</v>
      </c>
      <c r="E4143" s="1">
        <v>42.0</v>
      </c>
      <c r="F4143" s="1">
        <v>8.0</v>
      </c>
      <c r="G4143" s="1">
        <v>9.0</v>
      </c>
      <c r="H4143" s="1">
        <v>119.0</v>
      </c>
      <c r="I4143" s="1" t="s">
        <v>21</v>
      </c>
      <c r="J4143" s="1" t="s">
        <v>18</v>
      </c>
      <c r="K4143" s="1">
        <v>220.0</v>
      </c>
      <c r="L4143" s="1">
        <v>56.8994442</v>
      </c>
      <c r="M4143" s="1">
        <v>24.0847407903024</v>
      </c>
    </row>
    <row r="4144">
      <c r="A4144" s="1" t="s">
        <v>13</v>
      </c>
      <c r="B4144" s="1" t="s">
        <v>30</v>
      </c>
      <c r="C4144" s="1" t="s">
        <v>2401</v>
      </c>
      <c r="D4144" s="1">
        <v>1.0</v>
      </c>
      <c r="E4144" s="1">
        <v>31.0</v>
      </c>
      <c r="F4144" s="1">
        <v>2.0</v>
      </c>
      <c r="G4144" s="1">
        <v>5.0</v>
      </c>
      <c r="H4144" s="1" t="s">
        <v>16</v>
      </c>
      <c r="I4144" s="1" t="s">
        <v>21</v>
      </c>
      <c r="J4144" s="1" t="s">
        <v>18</v>
      </c>
      <c r="K4144" s="1">
        <v>300.0</v>
      </c>
      <c r="L4144" s="1">
        <v>56.96664825</v>
      </c>
      <c r="M4144" s="1">
        <v>24.1794408220701</v>
      </c>
    </row>
    <row r="4145">
      <c r="A4145" s="1" t="s">
        <v>22</v>
      </c>
      <c r="B4145" s="1" t="s">
        <v>129</v>
      </c>
      <c r="C4145" s="1" t="s">
        <v>1989</v>
      </c>
      <c r="D4145" s="1">
        <v>2.0</v>
      </c>
      <c r="E4145" s="1">
        <v>49.0</v>
      </c>
      <c r="F4145" s="1">
        <v>3.0</v>
      </c>
      <c r="G4145" s="1">
        <v>5.0</v>
      </c>
      <c r="H4145" s="1" t="s">
        <v>44</v>
      </c>
      <c r="I4145" s="1" t="s">
        <v>37</v>
      </c>
      <c r="J4145" s="1" t="s">
        <v>18</v>
      </c>
      <c r="K4145" s="1">
        <v>36000.0</v>
      </c>
      <c r="L4145" s="1">
        <v>57.00848</v>
      </c>
      <c r="M4145" s="1">
        <v>24.1253070957052</v>
      </c>
    </row>
    <row r="4146">
      <c r="A4146" s="1" t="s">
        <v>22</v>
      </c>
      <c r="B4146" s="1" t="s">
        <v>19</v>
      </c>
      <c r="C4146" s="1" t="s">
        <v>485</v>
      </c>
      <c r="D4146" s="1">
        <v>1.0</v>
      </c>
      <c r="E4146" s="1">
        <v>36.0</v>
      </c>
      <c r="F4146" s="1">
        <v>10.0</v>
      </c>
      <c r="G4146" s="1">
        <v>12.0</v>
      </c>
      <c r="H4146" s="1" t="s">
        <v>36</v>
      </c>
      <c r="I4146" s="1" t="s">
        <v>37</v>
      </c>
      <c r="J4146" s="1" t="s">
        <v>18</v>
      </c>
      <c r="K4146" s="1">
        <v>36500.0</v>
      </c>
      <c r="L4146" s="1">
        <v>56.9001589</v>
      </c>
      <c r="M4146" s="1">
        <v>24.0825136321712</v>
      </c>
    </row>
    <row r="4147">
      <c r="A4147" s="1" t="s">
        <v>22</v>
      </c>
      <c r="B4147" s="1" t="s">
        <v>74</v>
      </c>
      <c r="C4147" s="1" t="s">
        <v>2153</v>
      </c>
      <c r="D4147" s="1">
        <v>1.0</v>
      </c>
      <c r="E4147" s="1">
        <v>41.0</v>
      </c>
      <c r="F4147" s="1">
        <v>8.0</v>
      </c>
      <c r="G4147" s="1">
        <v>9.0</v>
      </c>
      <c r="H4147" s="1" t="s">
        <v>57</v>
      </c>
      <c r="I4147" s="1" t="s">
        <v>21</v>
      </c>
      <c r="J4147" s="1" t="s">
        <v>18</v>
      </c>
      <c r="K4147" s="1">
        <v>35500.0</v>
      </c>
      <c r="L4147" s="1">
        <v>56.9339826</v>
      </c>
      <c r="M4147" s="1">
        <v>24.197050844516</v>
      </c>
    </row>
    <row r="4148">
      <c r="A4148" s="1" t="s">
        <v>13</v>
      </c>
      <c r="B4148" s="1" t="s">
        <v>52</v>
      </c>
      <c r="C4148" s="1" t="s">
        <v>1326</v>
      </c>
      <c r="D4148" s="1">
        <v>2.0</v>
      </c>
      <c r="E4148" s="1">
        <v>56.0</v>
      </c>
      <c r="F4148" s="1">
        <v>4.0</v>
      </c>
      <c r="G4148" s="1">
        <v>9.0</v>
      </c>
      <c r="H4148" s="1">
        <v>119.0</v>
      </c>
      <c r="I4148" s="1" t="s">
        <v>21</v>
      </c>
      <c r="J4148" s="1" t="s">
        <v>18</v>
      </c>
      <c r="K4148" s="1">
        <v>25.0</v>
      </c>
      <c r="L4148" s="1">
        <v>56.94224055</v>
      </c>
      <c r="M4148" s="1">
        <v>24.0060845759065</v>
      </c>
    </row>
    <row r="4149">
      <c r="A4149" s="1" t="s">
        <v>13</v>
      </c>
      <c r="B4149" s="1" t="s">
        <v>23</v>
      </c>
      <c r="C4149" s="1" t="s">
        <v>2402</v>
      </c>
      <c r="D4149" s="1">
        <v>1.0</v>
      </c>
      <c r="E4149" s="1">
        <v>25.0</v>
      </c>
      <c r="F4149" s="1">
        <v>4.0</v>
      </c>
      <c r="G4149" s="1">
        <v>6.0</v>
      </c>
      <c r="H4149" s="1" t="s">
        <v>25</v>
      </c>
      <c r="I4149" s="1" t="s">
        <v>37</v>
      </c>
      <c r="J4149" s="1" t="s">
        <v>18</v>
      </c>
      <c r="K4149" s="1">
        <v>230.0</v>
      </c>
      <c r="L4149" s="1">
        <v>56.9550229</v>
      </c>
      <c r="M4149" s="1">
        <v>24.1461987</v>
      </c>
    </row>
    <row r="4150">
      <c r="A4150" s="1" t="s">
        <v>22</v>
      </c>
      <c r="B4150" s="1" t="s">
        <v>14</v>
      </c>
      <c r="C4150" s="1" t="s">
        <v>1152</v>
      </c>
      <c r="D4150" s="1">
        <v>3.0</v>
      </c>
      <c r="E4150" s="1">
        <v>62.0</v>
      </c>
      <c r="F4150" s="1">
        <v>5.0</v>
      </c>
      <c r="G4150" s="1">
        <v>9.0</v>
      </c>
      <c r="H4150" s="1">
        <v>602.0</v>
      </c>
      <c r="I4150" s="1" t="s">
        <v>21</v>
      </c>
      <c r="J4150" s="1" t="s">
        <v>18</v>
      </c>
      <c r="K4150" s="1">
        <v>55000.0</v>
      </c>
      <c r="L4150" s="1">
        <v>56.96295835</v>
      </c>
      <c r="M4150" s="1">
        <v>24.1873444133421</v>
      </c>
    </row>
    <row r="4151">
      <c r="A4151" s="1" t="s">
        <v>22</v>
      </c>
      <c r="B4151" s="1" t="s">
        <v>174</v>
      </c>
      <c r="C4151" s="1" t="s">
        <v>2403</v>
      </c>
      <c r="D4151" s="1">
        <v>2.0</v>
      </c>
      <c r="E4151" s="1">
        <v>132.0</v>
      </c>
      <c r="F4151" s="1">
        <v>2.0</v>
      </c>
      <c r="G4151" s="1">
        <v>2.0</v>
      </c>
      <c r="H4151" s="1" t="s">
        <v>32</v>
      </c>
      <c r="I4151" s="1" t="s">
        <v>17</v>
      </c>
      <c r="J4151" s="1" t="s">
        <v>18</v>
      </c>
      <c r="K4151" s="1">
        <v>99000.0</v>
      </c>
      <c r="L4151" s="1">
        <v>56.9342970999999</v>
      </c>
      <c r="M4151" s="1">
        <v>24.1847458840766</v>
      </c>
    </row>
    <row r="4152">
      <c r="A4152" s="1" t="s">
        <v>22</v>
      </c>
      <c r="B4152" s="1" t="s">
        <v>30</v>
      </c>
      <c r="C4152" s="1" t="s">
        <v>2404</v>
      </c>
      <c r="D4152" s="1">
        <v>3.0</v>
      </c>
      <c r="E4152" s="1">
        <v>72.0</v>
      </c>
      <c r="F4152" s="1">
        <v>1.0</v>
      </c>
      <c r="G4152" s="1">
        <v>7.0</v>
      </c>
      <c r="H4152" s="1" t="s">
        <v>36</v>
      </c>
      <c r="I4152" s="1" t="s">
        <v>17</v>
      </c>
      <c r="J4152" s="1" t="s">
        <v>18</v>
      </c>
      <c r="K4152" s="1">
        <v>83000.0</v>
      </c>
      <c r="L4152" s="1">
        <v>56.977035</v>
      </c>
      <c r="M4152" s="1">
        <v>24.1783728</v>
      </c>
    </row>
    <row r="4153">
      <c r="A4153" s="1" t="s">
        <v>22</v>
      </c>
      <c r="B4153" s="1" t="s">
        <v>42</v>
      </c>
      <c r="C4153" s="1" t="s">
        <v>2405</v>
      </c>
      <c r="D4153" s="1">
        <v>2.0</v>
      </c>
      <c r="E4153" s="1">
        <v>44.0</v>
      </c>
      <c r="F4153" s="1">
        <v>4.0</v>
      </c>
      <c r="G4153" s="1">
        <v>5.0</v>
      </c>
      <c r="H4153" s="1" t="s">
        <v>44</v>
      </c>
      <c r="I4153" s="1" t="s">
        <v>21</v>
      </c>
      <c r="J4153" s="1" t="s">
        <v>18</v>
      </c>
      <c r="K4153" s="1">
        <v>47500.0</v>
      </c>
      <c r="L4153" s="1">
        <v>56.98755415</v>
      </c>
      <c r="M4153" s="1">
        <v>24.2387092145689</v>
      </c>
    </row>
    <row r="4154">
      <c r="A4154" s="1" t="s">
        <v>22</v>
      </c>
      <c r="B4154" s="1" t="s">
        <v>28</v>
      </c>
      <c r="C4154" s="1" t="s">
        <v>73</v>
      </c>
      <c r="D4154" s="1">
        <v>2.0</v>
      </c>
      <c r="E4154" s="1">
        <v>42.0</v>
      </c>
      <c r="F4154" s="1">
        <v>3.0</v>
      </c>
      <c r="G4154" s="1">
        <v>5.0</v>
      </c>
      <c r="H4154" s="1" t="s">
        <v>44</v>
      </c>
      <c r="I4154" s="1" t="s">
        <v>37</v>
      </c>
      <c r="J4154" s="1" t="s">
        <v>18</v>
      </c>
      <c r="K4154" s="1">
        <v>46500.0</v>
      </c>
      <c r="L4154" s="1">
        <v>56.9134761</v>
      </c>
      <c r="M4154" s="1">
        <v>24.18677075</v>
      </c>
    </row>
    <row r="4155">
      <c r="A4155" s="1" t="s">
        <v>13</v>
      </c>
      <c r="B4155" s="1" t="s">
        <v>23</v>
      </c>
      <c r="C4155" s="1" t="s">
        <v>349</v>
      </c>
      <c r="D4155" s="1">
        <v>1.0</v>
      </c>
      <c r="E4155" s="1">
        <v>30.0</v>
      </c>
      <c r="F4155" s="1">
        <v>2.0</v>
      </c>
      <c r="G4155" s="1">
        <v>5.0</v>
      </c>
      <c r="H4155" s="1" t="s">
        <v>66</v>
      </c>
      <c r="I4155" s="1" t="s">
        <v>37</v>
      </c>
      <c r="J4155" s="1" t="s">
        <v>18</v>
      </c>
      <c r="K4155" s="1">
        <v>250.0</v>
      </c>
      <c r="L4155" s="1">
        <v>56.9408555</v>
      </c>
      <c r="M4155" s="1">
        <v>24.1364923</v>
      </c>
    </row>
    <row r="4156">
      <c r="A4156" s="1" t="s">
        <v>13</v>
      </c>
      <c r="B4156" s="1" t="s">
        <v>94</v>
      </c>
      <c r="C4156" s="1" t="s">
        <v>350</v>
      </c>
      <c r="D4156" s="1">
        <v>1.0</v>
      </c>
      <c r="E4156" s="1">
        <v>30.0</v>
      </c>
      <c r="F4156" s="1">
        <v>3.0</v>
      </c>
      <c r="G4156" s="1">
        <v>4.0</v>
      </c>
      <c r="H4156" s="1" t="s">
        <v>66</v>
      </c>
      <c r="I4156" s="1" t="s">
        <v>37</v>
      </c>
      <c r="J4156" s="1" t="s">
        <v>18</v>
      </c>
      <c r="K4156" s="1">
        <v>35.0</v>
      </c>
      <c r="L4156" s="1">
        <v>56.93045135</v>
      </c>
      <c r="M4156" s="1">
        <v>24.1685884402146</v>
      </c>
    </row>
    <row r="4157">
      <c r="A4157" s="1" t="s">
        <v>22</v>
      </c>
      <c r="B4157" s="1" t="s">
        <v>19</v>
      </c>
      <c r="C4157" s="1" t="s">
        <v>2406</v>
      </c>
      <c r="D4157" s="1">
        <v>2.0</v>
      </c>
      <c r="E4157" s="1">
        <v>30.0</v>
      </c>
      <c r="F4157" s="1">
        <v>3.0</v>
      </c>
      <c r="G4157" s="1">
        <v>3.0</v>
      </c>
      <c r="H4157" s="1" t="s">
        <v>44</v>
      </c>
      <c r="I4157" s="1" t="s">
        <v>37</v>
      </c>
      <c r="J4157" s="1" t="s">
        <v>18</v>
      </c>
      <c r="K4157" s="1">
        <v>29000.0</v>
      </c>
      <c r="L4157" s="1">
        <v>56.9159682</v>
      </c>
      <c r="M4157" s="1">
        <v>24.093354</v>
      </c>
    </row>
    <row r="4158">
      <c r="A4158" s="1" t="s">
        <v>13</v>
      </c>
      <c r="B4158" s="1" t="s">
        <v>23</v>
      </c>
      <c r="C4158" s="1" t="s">
        <v>2407</v>
      </c>
      <c r="D4158" s="1">
        <v>2.0</v>
      </c>
      <c r="E4158" s="1">
        <v>39.0</v>
      </c>
      <c r="F4158" s="1">
        <v>1.0</v>
      </c>
      <c r="G4158" s="1">
        <v>5.0</v>
      </c>
      <c r="H4158" s="1" t="s">
        <v>16</v>
      </c>
      <c r="I4158" s="1" t="s">
        <v>33</v>
      </c>
      <c r="J4158" s="1" t="s">
        <v>18</v>
      </c>
      <c r="K4158" s="1">
        <v>500.0</v>
      </c>
      <c r="L4158" s="1" t="s">
        <v>40</v>
      </c>
      <c r="M4158" s="1" t="s">
        <v>40</v>
      </c>
    </row>
    <row r="4159">
      <c r="A4159" s="1" t="s">
        <v>22</v>
      </c>
      <c r="B4159" s="1" t="s">
        <v>104</v>
      </c>
      <c r="C4159" s="1" t="s">
        <v>1763</v>
      </c>
      <c r="D4159" s="1">
        <v>2.0</v>
      </c>
      <c r="E4159" s="1">
        <v>71.0</v>
      </c>
      <c r="F4159" s="1">
        <v>1.0</v>
      </c>
      <c r="G4159" s="1">
        <v>5.0</v>
      </c>
      <c r="H4159" s="1" t="s">
        <v>66</v>
      </c>
      <c r="I4159" s="1" t="s">
        <v>33</v>
      </c>
      <c r="J4159" s="1" t="s">
        <v>18</v>
      </c>
      <c r="K4159" s="1">
        <v>83800.0</v>
      </c>
      <c r="L4159" s="1">
        <v>56.9452001</v>
      </c>
      <c r="M4159" s="1">
        <v>24.0689877912799</v>
      </c>
    </row>
    <row r="4160">
      <c r="A4160" s="1" t="s">
        <v>22</v>
      </c>
      <c r="B4160" s="1" t="s">
        <v>28</v>
      </c>
      <c r="C4160" s="1" t="s">
        <v>1863</v>
      </c>
      <c r="D4160" s="1">
        <v>2.0</v>
      </c>
      <c r="E4160" s="1">
        <v>48.0</v>
      </c>
      <c r="F4160" s="1">
        <v>3.0</v>
      </c>
      <c r="G4160" s="1">
        <v>5.0</v>
      </c>
      <c r="H4160" s="1" t="s">
        <v>16</v>
      </c>
      <c r="I4160" s="1" t="s">
        <v>21</v>
      </c>
      <c r="J4160" s="1" t="s">
        <v>18</v>
      </c>
      <c r="K4160" s="1">
        <v>34999.0</v>
      </c>
      <c r="L4160" s="1" t="s">
        <v>40</v>
      </c>
      <c r="M4160" s="1" t="s">
        <v>40</v>
      </c>
    </row>
    <row r="4161">
      <c r="A4161" s="1" t="s">
        <v>22</v>
      </c>
      <c r="B4161" s="1" t="s">
        <v>14</v>
      </c>
      <c r="C4161" s="1" t="s">
        <v>487</v>
      </c>
      <c r="D4161" s="1">
        <v>1.0</v>
      </c>
      <c r="E4161" s="1">
        <v>19.0</v>
      </c>
      <c r="F4161" s="1">
        <v>3.0</v>
      </c>
      <c r="G4161" s="1">
        <v>5.0</v>
      </c>
      <c r="H4161" s="1" t="s">
        <v>57</v>
      </c>
      <c r="I4161" s="1" t="s">
        <v>37</v>
      </c>
      <c r="J4161" s="1" t="s">
        <v>18</v>
      </c>
      <c r="K4161" s="1">
        <v>19900.0</v>
      </c>
      <c r="L4161" s="1">
        <v>56.9685701</v>
      </c>
      <c r="M4161" s="1">
        <v>24.1819824</v>
      </c>
    </row>
    <row r="4162">
      <c r="A4162" s="1" t="s">
        <v>13</v>
      </c>
      <c r="B4162" s="1" t="s">
        <v>23</v>
      </c>
      <c r="C4162" s="1" t="s">
        <v>654</v>
      </c>
      <c r="D4162" s="1">
        <v>3.0</v>
      </c>
      <c r="E4162" s="1">
        <v>87.0</v>
      </c>
      <c r="F4162" s="1">
        <v>2.0</v>
      </c>
      <c r="G4162" s="1">
        <v>6.0</v>
      </c>
      <c r="H4162" s="1" t="s">
        <v>181</v>
      </c>
      <c r="I4162" s="1" t="s">
        <v>33</v>
      </c>
      <c r="J4162" s="1" t="s">
        <v>18</v>
      </c>
      <c r="K4162" s="1">
        <v>700.0</v>
      </c>
      <c r="L4162" s="1">
        <v>56.9717941</v>
      </c>
      <c r="M4162" s="1">
        <v>24.134779</v>
      </c>
    </row>
    <row r="4163">
      <c r="A4163" s="1" t="s">
        <v>13</v>
      </c>
      <c r="B4163" s="1" t="s">
        <v>23</v>
      </c>
      <c r="C4163" s="1" t="s">
        <v>1502</v>
      </c>
      <c r="D4163" s="1">
        <v>2.0</v>
      </c>
      <c r="E4163" s="1">
        <v>43.0</v>
      </c>
      <c r="F4163" s="1">
        <v>7.0</v>
      </c>
      <c r="G4163" s="1">
        <v>7.0</v>
      </c>
      <c r="H4163" s="1" t="s">
        <v>66</v>
      </c>
      <c r="I4163" s="1" t="s">
        <v>37</v>
      </c>
      <c r="J4163" s="1" t="s">
        <v>18</v>
      </c>
      <c r="K4163" s="1">
        <v>550.0</v>
      </c>
      <c r="L4163" s="1">
        <v>56.9634352</v>
      </c>
      <c r="M4163" s="1">
        <v>24.125212429824</v>
      </c>
    </row>
    <row r="4164">
      <c r="A4164" s="1" t="s">
        <v>13</v>
      </c>
      <c r="B4164" s="1" t="s">
        <v>67</v>
      </c>
      <c r="C4164" s="1" t="s">
        <v>243</v>
      </c>
      <c r="D4164" s="1">
        <v>2.0</v>
      </c>
      <c r="E4164" s="1">
        <v>42.0</v>
      </c>
      <c r="F4164" s="1">
        <v>2.0</v>
      </c>
      <c r="G4164" s="1">
        <v>5.0</v>
      </c>
      <c r="H4164" s="1" t="s">
        <v>66</v>
      </c>
      <c r="I4164" s="1" t="s">
        <v>33</v>
      </c>
      <c r="J4164" s="1" t="s">
        <v>18</v>
      </c>
      <c r="K4164" s="1">
        <v>30.0</v>
      </c>
      <c r="L4164" s="1">
        <v>56.9620223999999</v>
      </c>
      <c r="M4164" s="1">
        <v>24.1521939477261</v>
      </c>
    </row>
    <row r="4165">
      <c r="A4165" s="1" t="s">
        <v>13</v>
      </c>
      <c r="B4165" s="1" t="s">
        <v>23</v>
      </c>
      <c r="C4165" s="1" t="s">
        <v>1140</v>
      </c>
      <c r="D4165" s="1">
        <v>2.0</v>
      </c>
      <c r="E4165" s="1">
        <v>52.0</v>
      </c>
      <c r="F4165" s="1">
        <v>2.0</v>
      </c>
      <c r="G4165" s="1">
        <v>6.0</v>
      </c>
      <c r="H4165" s="1" t="s">
        <v>66</v>
      </c>
      <c r="I4165" s="1" t="s">
        <v>33</v>
      </c>
      <c r="J4165" s="1" t="s">
        <v>18</v>
      </c>
      <c r="K4165" s="1">
        <v>650.0</v>
      </c>
      <c r="L4165" s="1">
        <v>56.9524263</v>
      </c>
      <c r="M4165" s="1">
        <v>24.1287007</v>
      </c>
    </row>
    <row r="4166">
      <c r="A4166" s="1" t="s">
        <v>13</v>
      </c>
      <c r="B4166" s="1" t="s">
        <v>23</v>
      </c>
      <c r="C4166" s="1" t="s">
        <v>2408</v>
      </c>
      <c r="D4166" s="1">
        <v>2.0</v>
      </c>
      <c r="E4166" s="1">
        <v>45.0</v>
      </c>
      <c r="F4166" s="1">
        <v>2.0</v>
      </c>
      <c r="G4166" s="1">
        <v>5.0</v>
      </c>
      <c r="H4166" s="1" t="s">
        <v>25</v>
      </c>
      <c r="I4166" s="1" t="s">
        <v>37</v>
      </c>
      <c r="J4166" s="1" t="s">
        <v>18</v>
      </c>
      <c r="K4166" s="1">
        <v>400.0</v>
      </c>
      <c r="L4166" s="1">
        <v>56.9624912</v>
      </c>
      <c r="M4166" s="1">
        <v>24.1383188684328</v>
      </c>
    </row>
    <row r="4167">
      <c r="A4167" s="1" t="s">
        <v>13</v>
      </c>
      <c r="B4167" s="1" t="s">
        <v>28</v>
      </c>
      <c r="C4167" s="1" t="s">
        <v>314</v>
      </c>
      <c r="D4167" s="1">
        <v>1.0</v>
      </c>
      <c r="E4167" s="1">
        <v>19.0</v>
      </c>
      <c r="F4167" s="1">
        <v>3.0</v>
      </c>
      <c r="G4167" s="1">
        <v>3.0</v>
      </c>
      <c r="H4167" s="1" t="s">
        <v>66</v>
      </c>
      <c r="I4167" s="1" t="s">
        <v>37</v>
      </c>
      <c r="J4167" s="1" t="s">
        <v>18</v>
      </c>
      <c r="K4167" s="1">
        <v>220.0</v>
      </c>
      <c r="L4167" s="1">
        <v>56.9293636</v>
      </c>
      <c r="M4167" s="1">
        <v>24.1835723</v>
      </c>
    </row>
    <row r="4168">
      <c r="A4168" s="1" t="s">
        <v>22</v>
      </c>
      <c r="B4168" s="1" t="s">
        <v>23</v>
      </c>
      <c r="C4168" s="1" t="s">
        <v>1318</v>
      </c>
      <c r="D4168" s="1">
        <v>4.0</v>
      </c>
      <c r="E4168" s="1">
        <v>121.0</v>
      </c>
      <c r="F4168" s="1">
        <v>5.0</v>
      </c>
      <c r="G4168" s="1">
        <v>5.0</v>
      </c>
      <c r="H4168" s="1" t="s">
        <v>25</v>
      </c>
      <c r="I4168" s="1" t="s">
        <v>37</v>
      </c>
      <c r="J4168" s="1" t="s">
        <v>18</v>
      </c>
      <c r="K4168" s="1">
        <v>270000.0</v>
      </c>
      <c r="L4168" s="1">
        <v>48.2969502</v>
      </c>
      <c r="M4168" s="1">
        <v>-100.7081938</v>
      </c>
    </row>
    <row r="4169">
      <c r="A4169" s="1" t="s">
        <v>22</v>
      </c>
      <c r="B4169" s="1" t="s">
        <v>52</v>
      </c>
      <c r="C4169" s="1" t="s">
        <v>1609</v>
      </c>
      <c r="D4169" s="1">
        <v>2.0</v>
      </c>
      <c r="E4169" s="1">
        <v>58.0</v>
      </c>
      <c r="F4169" s="1">
        <v>5.0</v>
      </c>
      <c r="G4169" s="1">
        <v>9.0</v>
      </c>
      <c r="H4169" s="1">
        <v>119.0</v>
      </c>
      <c r="I4169" s="1" t="s">
        <v>21</v>
      </c>
      <c r="J4169" s="1" t="s">
        <v>18</v>
      </c>
      <c r="K4169" s="1">
        <v>65000.0</v>
      </c>
      <c r="L4169" s="1">
        <v>56.94716445</v>
      </c>
      <c r="M4169" s="1">
        <v>24.0144371864952</v>
      </c>
    </row>
    <row r="4170">
      <c r="A4170" s="1" t="s">
        <v>22</v>
      </c>
      <c r="B4170" s="1" t="s">
        <v>38</v>
      </c>
      <c r="C4170" s="1" t="s">
        <v>1474</v>
      </c>
      <c r="D4170" s="1">
        <v>3.0</v>
      </c>
      <c r="E4170" s="1">
        <v>60.0</v>
      </c>
      <c r="F4170" s="1">
        <v>9.0</v>
      </c>
      <c r="G4170" s="1">
        <v>9.0</v>
      </c>
      <c r="H4170" s="1" t="s">
        <v>32</v>
      </c>
      <c r="I4170" s="1" t="s">
        <v>21</v>
      </c>
      <c r="J4170" s="1" t="s">
        <v>18</v>
      </c>
      <c r="K4170" s="1">
        <v>107042.0</v>
      </c>
      <c r="L4170" s="1">
        <v>56.9520352499999</v>
      </c>
      <c r="M4170" s="1">
        <v>24.0038532251639</v>
      </c>
    </row>
    <row r="4171">
      <c r="A4171" s="1" t="s">
        <v>22</v>
      </c>
      <c r="B4171" s="1" t="s">
        <v>38</v>
      </c>
      <c r="C4171" s="1" t="s">
        <v>2409</v>
      </c>
      <c r="D4171" s="1">
        <v>2.0</v>
      </c>
      <c r="E4171" s="1">
        <v>47.0</v>
      </c>
      <c r="F4171" s="1">
        <v>9.0</v>
      </c>
      <c r="G4171" s="1">
        <v>9.0</v>
      </c>
      <c r="H4171" s="1" t="s">
        <v>32</v>
      </c>
      <c r="I4171" s="1" t="s">
        <v>21</v>
      </c>
      <c r="J4171" s="1" t="s">
        <v>18</v>
      </c>
      <c r="K4171" s="1">
        <v>76999.0</v>
      </c>
      <c r="L4171" s="1">
        <v>56.9524058</v>
      </c>
      <c r="M4171" s="1">
        <v>24.0065079237083</v>
      </c>
    </row>
    <row r="4172">
      <c r="A4172" s="1" t="s">
        <v>22</v>
      </c>
      <c r="B4172" s="1" t="s">
        <v>23</v>
      </c>
      <c r="C4172" s="1" t="s">
        <v>2410</v>
      </c>
      <c r="D4172" s="1">
        <v>1.0</v>
      </c>
      <c r="E4172" s="1">
        <v>25.0</v>
      </c>
      <c r="F4172" s="1">
        <v>3.0</v>
      </c>
      <c r="G4172" s="1">
        <v>6.0</v>
      </c>
      <c r="H4172" s="1" t="s">
        <v>66</v>
      </c>
      <c r="I4172" s="1" t="s">
        <v>33</v>
      </c>
      <c r="J4172" s="1" t="s">
        <v>18</v>
      </c>
      <c r="K4172" s="1">
        <v>29102.0</v>
      </c>
      <c r="L4172" s="1">
        <v>56.9692798</v>
      </c>
      <c r="M4172" s="1">
        <v>24.0993905</v>
      </c>
    </row>
    <row r="4173">
      <c r="A4173" s="1" t="s">
        <v>13</v>
      </c>
      <c r="B4173" s="1" t="s">
        <v>14</v>
      </c>
      <c r="C4173" s="1" t="s">
        <v>914</v>
      </c>
      <c r="D4173" s="1">
        <v>1.0</v>
      </c>
      <c r="E4173" s="1">
        <v>28.0</v>
      </c>
      <c r="F4173" s="1">
        <v>3.0</v>
      </c>
      <c r="G4173" s="1">
        <v>5.0</v>
      </c>
      <c r="H4173" s="1" t="s">
        <v>16</v>
      </c>
      <c r="I4173" s="1" t="s">
        <v>21</v>
      </c>
      <c r="J4173" s="1" t="s">
        <v>18</v>
      </c>
      <c r="K4173" s="1">
        <v>180.0</v>
      </c>
      <c r="L4173" s="1">
        <v>56.9527936</v>
      </c>
      <c r="M4173" s="1">
        <v>24.2063812</v>
      </c>
    </row>
    <row r="4174">
      <c r="A4174" s="1" t="s">
        <v>22</v>
      </c>
      <c r="B4174" s="1" t="s">
        <v>218</v>
      </c>
      <c r="C4174" s="1" t="s">
        <v>1959</v>
      </c>
      <c r="D4174" s="1">
        <v>3.0</v>
      </c>
      <c r="E4174" s="1">
        <v>80.0</v>
      </c>
      <c r="F4174" s="1">
        <v>3.0</v>
      </c>
      <c r="G4174" s="1">
        <v>4.0</v>
      </c>
      <c r="H4174" s="1" t="s">
        <v>25</v>
      </c>
      <c r="I4174" s="1" t="s">
        <v>33</v>
      </c>
      <c r="J4174" s="1" t="s">
        <v>18</v>
      </c>
      <c r="K4174" s="1">
        <v>120000.0</v>
      </c>
      <c r="L4174" s="1">
        <v>56.9508065499999</v>
      </c>
      <c r="M4174" s="1">
        <v>24.102981459375</v>
      </c>
    </row>
    <row r="4175">
      <c r="A4175" s="1" t="s">
        <v>13</v>
      </c>
      <c r="B4175" s="1" t="s">
        <v>23</v>
      </c>
      <c r="C4175" s="1" t="s">
        <v>1069</v>
      </c>
      <c r="D4175" s="1">
        <v>1.0</v>
      </c>
      <c r="E4175" s="1">
        <v>56.0</v>
      </c>
      <c r="F4175" s="1">
        <v>2.0</v>
      </c>
      <c r="G4175" s="1">
        <v>6.0</v>
      </c>
      <c r="H4175" s="1" t="s">
        <v>181</v>
      </c>
      <c r="I4175" s="1" t="s">
        <v>37</v>
      </c>
      <c r="J4175" s="1" t="s">
        <v>18</v>
      </c>
      <c r="K4175" s="1">
        <v>340.0</v>
      </c>
      <c r="L4175" s="1">
        <v>56.9447289</v>
      </c>
      <c r="M4175" s="1">
        <v>24.124212</v>
      </c>
    </row>
    <row r="4176">
      <c r="A4176" s="1" t="s">
        <v>13</v>
      </c>
      <c r="B4176" s="1" t="s">
        <v>96</v>
      </c>
      <c r="C4176" s="1" t="s">
        <v>1253</v>
      </c>
      <c r="D4176" s="1">
        <v>1.0</v>
      </c>
      <c r="E4176" s="1">
        <v>20.0</v>
      </c>
      <c r="F4176" s="1">
        <v>2.0</v>
      </c>
      <c r="G4176" s="1">
        <v>5.0</v>
      </c>
      <c r="H4176" s="1" t="s">
        <v>36</v>
      </c>
      <c r="I4176" s="1" t="s">
        <v>17</v>
      </c>
      <c r="J4176" s="1" t="s">
        <v>18</v>
      </c>
      <c r="K4176" s="1">
        <v>85.0</v>
      </c>
      <c r="L4176" s="1">
        <v>57.0327263</v>
      </c>
      <c r="M4176" s="1">
        <v>24.1182900317385</v>
      </c>
    </row>
    <row r="4177">
      <c r="A4177" s="1" t="s">
        <v>89</v>
      </c>
      <c r="B4177" s="1" t="s">
        <v>14</v>
      </c>
      <c r="C4177" s="2"/>
      <c r="D4177" s="1" t="s">
        <v>90</v>
      </c>
      <c r="E4177" s="2"/>
      <c r="F4177" s="2"/>
      <c r="G4177" s="2"/>
      <c r="H4177" s="2"/>
      <c r="I4177" s="2"/>
      <c r="J4177" s="2"/>
      <c r="K4177" s="2"/>
      <c r="L4177" s="1">
        <v>46.3144754</v>
      </c>
      <c r="M4177" s="1">
        <v>11.0480288</v>
      </c>
    </row>
    <row r="4178">
      <c r="A4178" s="1" t="s">
        <v>22</v>
      </c>
      <c r="B4178" s="1" t="s">
        <v>23</v>
      </c>
      <c r="C4178" s="1" t="s">
        <v>2411</v>
      </c>
      <c r="D4178" s="1">
        <v>3.0</v>
      </c>
      <c r="E4178" s="1">
        <v>86.0</v>
      </c>
      <c r="F4178" s="1">
        <v>5.0</v>
      </c>
      <c r="G4178" s="1">
        <v>7.0</v>
      </c>
      <c r="H4178" s="1" t="s">
        <v>36</v>
      </c>
      <c r="I4178" s="1" t="s">
        <v>17</v>
      </c>
      <c r="J4178" s="1" t="s">
        <v>18</v>
      </c>
      <c r="K4178" s="1">
        <v>139900.0</v>
      </c>
      <c r="L4178" s="1">
        <v>56.9647813499999</v>
      </c>
      <c r="M4178" s="1">
        <v>24.1241137023515</v>
      </c>
    </row>
    <row r="4179">
      <c r="A4179" s="1" t="s">
        <v>13</v>
      </c>
      <c r="B4179" s="1" t="s">
        <v>129</v>
      </c>
      <c r="C4179" s="1" t="s">
        <v>2412</v>
      </c>
      <c r="D4179" s="1">
        <v>2.0</v>
      </c>
      <c r="E4179" s="1">
        <v>35.0</v>
      </c>
      <c r="F4179" s="1">
        <v>4.0</v>
      </c>
      <c r="G4179" s="1">
        <v>5.0</v>
      </c>
      <c r="H4179" s="1" t="s">
        <v>44</v>
      </c>
      <c r="I4179" s="1" t="s">
        <v>17</v>
      </c>
      <c r="J4179" s="1" t="s">
        <v>18</v>
      </c>
      <c r="K4179" s="1">
        <v>350.0</v>
      </c>
      <c r="L4179" s="1">
        <v>56.9993082</v>
      </c>
      <c r="M4179" s="1">
        <v>24.1181187759323</v>
      </c>
    </row>
    <row r="4180">
      <c r="A4180" s="1" t="s">
        <v>22</v>
      </c>
      <c r="B4180" s="1" t="s">
        <v>74</v>
      </c>
      <c r="C4180" s="1" t="s">
        <v>700</v>
      </c>
      <c r="D4180" s="1">
        <v>3.0</v>
      </c>
      <c r="E4180" s="1">
        <v>62.0</v>
      </c>
      <c r="F4180" s="1">
        <v>5.0</v>
      </c>
      <c r="G4180" s="1">
        <v>9.0</v>
      </c>
      <c r="H4180" s="1">
        <v>602.0</v>
      </c>
      <c r="I4180" s="1" t="s">
        <v>21</v>
      </c>
      <c r="J4180" s="1" t="s">
        <v>18</v>
      </c>
      <c r="K4180" s="1">
        <v>64000.0</v>
      </c>
      <c r="L4180" s="1">
        <v>56.9440729</v>
      </c>
      <c r="M4180" s="1">
        <v>24.2177392125913</v>
      </c>
    </row>
    <row r="4181">
      <c r="A4181" s="1" t="s">
        <v>13</v>
      </c>
      <c r="B4181" s="1" t="s">
        <v>28</v>
      </c>
      <c r="C4181" s="1" t="s">
        <v>2119</v>
      </c>
      <c r="D4181" s="1">
        <v>2.0</v>
      </c>
      <c r="E4181" s="1">
        <v>39.0</v>
      </c>
      <c r="F4181" s="1">
        <v>5.0</v>
      </c>
      <c r="G4181" s="1">
        <v>5.0</v>
      </c>
      <c r="H4181" s="1" t="s">
        <v>16</v>
      </c>
      <c r="I4181" s="1" t="s">
        <v>21</v>
      </c>
      <c r="J4181" s="1" t="s">
        <v>18</v>
      </c>
      <c r="K4181" s="1">
        <v>220.0</v>
      </c>
      <c r="L4181" s="1">
        <v>56.9099260499999</v>
      </c>
      <c r="M4181" s="1">
        <v>24.1985565266479</v>
      </c>
    </row>
    <row r="4182">
      <c r="A4182" s="1" t="s">
        <v>13</v>
      </c>
      <c r="B4182" s="1" t="s">
        <v>422</v>
      </c>
      <c r="C4182" s="1" t="s">
        <v>363</v>
      </c>
      <c r="D4182" s="1">
        <v>3.0</v>
      </c>
      <c r="E4182" s="1">
        <v>90.0</v>
      </c>
      <c r="F4182" s="1">
        <v>20.0</v>
      </c>
      <c r="G4182" s="1">
        <v>30.0</v>
      </c>
      <c r="H4182" s="1" t="s">
        <v>32</v>
      </c>
      <c r="I4182" s="1" t="s">
        <v>122</v>
      </c>
      <c r="J4182" s="1" t="s">
        <v>18</v>
      </c>
      <c r="K4182" s="1">
        <v>650.0</v>
      </c>
      <c r="L4182" s="1">
        <v>56.9334996</v>
      </c>
      <c r="M4182" s="1">
        <v>24.0424848</v>
      </c>
    </row>
    <row r="4183">
      <c r="A4183" s="1" t="s">
        <v>13</v>
      </c>
      <c r="B4183" s="1" t="s">
        <v>422</v>
      </c>
      <c r="C4183" s="1" t="s">
        <v>363</v>
      </c>
      <c r="D4183" s="1">
        <v>3.0</v>
      </c>
      <c r="E4183" s="1">
        <v>90.0</v>
      </c>
      <c r="F4183" s="1">
        <v>21.0</v>
      </c>
      <c r="G4183" s="1">
        <v>30.0</v>
      </c>
      <c r="H4183" s="1" t="s">
        <v>32</v>
      </c>
      <c r="I4183" s="1" t="s">
        <v>122</v>
      </c>
      <c r="J4183" s="1" t="s">
        <v>18</v>
      </c>
      <c r="K4183" s="1">
        <v>650.0</v>
      </c>
      <c r="L4183" s="1">
        <v>56.9334996</v>
      </c>
      <c r="M4183" s="1">
        <v>24.0424848</v>
      </c>
    </row>
    <row r="4184">
      <c r="A4184" s="1" t="s">
        <v>13</v>
      </c>
      <c r="B4184" s="1" t="s">
        <v>94</v>
      </c>
      <c r="C4184" s="1" t="s">
        <v>2413</v>
      </c>
      <c r="D4184" s="1">
        <v>2.0</v>
      </c>
      <c r="E4184" s="1">
        <v>52.0</v>
      </c>
      <c r="F4184" s="1">
        <v>2.0</v>
      </c>
      <c r="G4184" s="1">
        <v>5.0</v>
      </c>
      <c r="H4184" s="1" t="s">
        <v>36</v>
      </c>
      <c r="I4184" s="1" t="s">
        <v>37</v>
      </c>
      <c r="J4184" s="1" t="s">
        <v>18</v>
      </c>
      <c r="K4184" s="1">
        <v>280.0</v>
      </c>
      <c r="L4184" s="1">
        <v>56.93482975</v>
      </c>
      <c r="M4184" s="1">
        <v>24.152807135057</v>
      </c>
    </row>
    <row r="4185">
      <c r="A4185" s="1" t="s">
        <v>22</v>
      </c>
      <c r="B4185" s="1" t="s">
        <v>19</v>
      </c>
      <c r="C4185" s="1" t="s">
        <v>469</v>
      </c>
      <c r="D4185" s="1">
        <v>3.0</v>
      </c>
      <c r="E4185" s="1">
        <v>73.0</v>
      </c>
      <c r="F4185" s="1">
        <v>3.0</v>
      </c>
      <c r="G4185" s="1">
        <v>5.0</v>
      </c>
      <c r="H4185" s="1" t="s">
        <v>36</v>
      </c>
      <c r="I4185" s="1" t="s">
        <v>17</v>
      </c>
      <c r="J4185" s="1" t="s">
        <v>18</v>
      </c>
      <c r="K4185" s="1">
        <v>79000.0</v>
      </c>
      <c r="L4185" s="1">
        <v>56.9108369</v>
      </c>
      <c r="M4185" s="1">
        <v>24.098253430927</v>
      </c>
    </row>
    <row r="4186">
      <c r="A4186" s="1" t="s">
        <v>22</v>
      </c>
      <c r="B4186" s="1" t="s">
        <v>42</v>
      </c>
      <c r="C4186" s="1" t="s">
        <v>2414</v>
      </c>
      <c r="D4186" s="1">
        <v>1.0</v>
      </c>
      <c r="E4186" s="1">
        <v>33.0</v>
      </c>
      <c r="F4186" s="1">
        <v>6.0</v>
      </c>
      <c r="G4186" s="1">
        <v>12.0</v>
      </c>
      <c r="H4186" s="1" t="s">
        <v>221</v>
      </c>
      <c r="I4186" s="1" t="s">
        <v>17</v>
      </c>
      <c r="J4186" s="1" t="s">
        <v>18</v>
      </c>
      <c r="K4186" s="1">
        <v>37300.0</v>
      </c>
      <c r="L4186" s="1">
        <v>56.99212705</v>
      </c>
      <c r="M4186" s="1">
        <v>24.2431023295065</v>
      </c>
    </row>
    <row r="4187">
      <c r="A4187" s="1" t="s">
        <v>13</v>
      </c>
      <c r="B4187" s="1" t="s">
        <v>23</v>
      </c>
      <c r="C4187" s="1" t="s">
        <v>2415</v>
      </c>
      <c r="D4187" s="1">
        <v>3.0</v>
      </c>
      <c r="E4187" s="1">
        <v>72.0</v>
      </c>
      <c r="F4187" s="1">
        <v>5.0</v>
      </c>
      <c r="G4187" s="1">
        <v>5.0</v>
      </c>
      <c r="H4187" s="1" t="s">
        <v>25</v>
      </c>
      <c r="I4187" s="1" t="s">
        <v>37</v>
      </c>
      <c r="J4187" s="1" t="s">
        <v>18</v>
      </c>
      <c r="K4187" s="1">
        <v>600.0</v>
      </c>
      <c r="L4187" s="1">
        <v>56.9541885</v>
      </c>
      <c r="M4187" s="1">
        <v>24.135308</v>
      </c>
    </row>
    <row r="4188">
      <c r="A4188" s="1" t="s">
        <v>13</v>
      </c>
      <c r="B4188" s="1" t="s">
        <v>422</v>
      </c>
      <c r="C4188" s="1" t="s">
        <v>2416</v>
      </c>
      <c r="D4188" s="1">
        <v>1.0</v>
      </c>
      <c r="E4188" s="1">
        <v>40.0</v>
      </c>
      <c r="F4188" s="1">
        <v>2.0</v>
      </c>
      <c r="G4188" s="1">
        <v>3.0</v>
      </c>
      <c r="H4188" s="1" t="s">
        <v>171</v>
      </c>
      <c r="I4188" s="1" t="s">
        <v>33</v>
      </c>
      <c r="J4188" s="1" t="s">
        <v>18</v>
      </c>
      <c r="K4188" s="1">
        <v>350.0</v>
      </c>
      <c r="L4188" s="1">
        <v>56.9619428</v>
      </c>
      <c r="M4188" s="1">
        <v>24.1992414</v>
      </c>
    </row>
    <row r="4189">
      <c r="A4189" s="1" t="s">
        <v>13</v>
      </c>
      <c r="B4189" s="1" t="s">
        <v>23</v>
      </c>
      <c r="C4189" s="1" t="s">
        <v>993</v>
      </c>
      <c r="D4189" s="1">
        <v>3.0</v>
      </c>
      <c r="E4189" s="1">
        <v>103.0</v>
      </c>
      <c r="F4189" s="1">
        <v>3.0</v>
      </c>
      <c r="G4189" s="1">
        <v>6.0</v>
      </c>
      <c r="H4189" s="1" t="s">
        <v>66</v>
      </c>
      <c r="I4189" s="1" t="s">
        <v>33</v>
      </c>
      <c r="J4189" s="1" t="s">
        <v>18</v>
      </c>
      <c r="K4189" s="1">
        <v>690.0</v>
      </c>
      <c r="L4189" s="1">
        <v>56.9499105999999</v>
      </c>
      <c r="M4189" s="1">
        <v>24.1407992387323</v>
      </c>
    </row>
    <row r="4190">
      <c r="A4190" s="1" t="s">
        <v>13</v>
      </c>
      <c r="B4190" s="1" t="s">
        <v>23</v>
      </c>
      <c r="C4190" s="1" t="s">
        <v>232</v>
      </c>
      <c r="D4190" s="1">
        <v>2.0</v>
      </c>
      <c r="E4190" s="1">
        <v>52.0</v>
      </c>
      <c r="F4190" s="1">
        <v>2.0</v>
      </c>
      <c r="G4190" s="1">
        <v>3.0</v>
      </c>
      <c r="H4190" s="1" t="s">
        <v>32</v>
      </c>
      <c r="I4190" s="1" t="s">
        <v>33</v>
      </c>
      <c r="J4190" s="1" t="s">
        <v>27</v>
      </c>
      <c r="K4190" s="1">
        <v>560.0</v>
      </c>
      <c r="L4190" s="1">
        <v>56.9524426</v>
      </c>
      <c r="M4190" s="1">
        <v>24.1387559142138</v>
      </c>
    </row>
    <row r="4191">
      <c r="A4191" s="1" t="s">
        <v>22</v>
      </c>
      <c r="B4191" s="1" t="s">
        <v>96</v>
      </c>
      <c r="C4191" s="1" t="s">
        <v>453</v>
      </c>
      <c r="D4191" s="1">
        <v>2.0</v>
      </c>
      <c r="E4191" s="1">
        <v>39.0</v>
      </c>
      <c r="F4191" s="1">
        <v>1.0</v>
      </c>
      <c r="G4191" s="1">
        <v>4.0</v>
      </c>
      <c r="H4191" s="1" t="s">
        <v>32</v>
      </c>
      <c r="I4191" s="1" t="s">
        <v>37</v>
      </c>
      <c r="J4191" s="1" t="s">
        <v>18</v>
      </c>
      <c r="K4191" s="1">
        <v>54500.0</v>
      </c>
      <c r="L4191" s="1">
        <v>57.03179875</v>
      </c>
      <c r="M4191" s="1">
        <v>24.1166644346289</v>
      </c>
    </row>
    <row r="4192">
      <c r="A4192" s="1" t="s">
        <v>22</v>
      </c>
      <c r="B4192" s="1" t="s">
        <v>174</v>
      </c>
      <c r="C4192" s="1" t="s">
        <v>2417</v>
      </c>
      <c r="D4192" s="1">
        <v>1.0</v>
      </c>
      <c r="E4192" s="1">
        <v>43.0</v>
      </c>
      <c r="F4192" s="1">
        <v>4.0</v>
      </c>
      <c r="G4192" s="1">
        <v>5.0</v>
      </c>
      <c r="H4192" s="1" t="s">
        <v>57</v>
      </c>
      <c r="I4192" s="1" t="s">
        <v>21</v>
      </c>
      <c r="J4192" s="1" t="s">
        <v>18</v>
      </c>
      <c r="K4192" s="1">
        <v>34000.0</v>
      </c>
      <c r="L4192" s="1">
        <v>56.9458712</v>
      </c>
      <c r="M4192" s="1">
        <v>24.1762488999999</v>
      </c>
    </row>
    <row r="4193">
      <c r="A4193" s="1" t="s">
        <v>13</v>
      </c>
      <c r="B4193" s="1" t="s">
        <v>50</v>
      </c>
      <c r="C4193" s="1" t="s">
        <v>683</v>
      </c>
      <c r="D4193" s="1">
        <v>1.0</v>
      </c>
      <c r="E4193" s="1">
        <v>26.0</v>
      </c>
      <c r="F4193" s="1">
        <v>4.0</v>
      </c>
      <c r="G4193" s="1">
        <v>5.0</v>
      </c>
      <c r="H4193" s="1" t="s">
        <v>25</v>
      </c>
      <c r="I4193" s="1" t="s">
        <v>37</v>
      </c>
      <c r="J4193" s="1" t="s">
        <v>18</v>
      </c>
      <c r="K4193" s="1">
        <v>200.0</v>
      </c>
      <c r="L4193" s="1">
        <v>56.9422440999999</v>
      </c>
      <c r="M4193" s="1">
        <v>24.143329801068</v>
      </c>
    </row>
    <row r="4194">
      <c r="A4194" s="1" t="s">
        <v>22</v>
      </c>
      <c r="B4194" s="1" t="s">
        <v>99</v>
      </c>
      <c r="C4194" s="1" t="s">
        <v>2131</v>
      </c>
      <c r="D4194" s="1">
        <v>2.0</v>
      </c>
      <c r="E4194" s="1">
        <v>60.0</v>
      </c>
      <c r="F4194" s="1">
        <v>2.0</v>
      </c>
      <c r="G4194" s="1">
        <v>5.0</v>
      </c>
      <c r="H4194" s="1" t="s">
        <v>36</v>
      </c>
      <c r="I4194" s="1" t="s">
        <v>122</v>
      </c>
      <c r="J4194" s="1" t="s">
        <v>18</v>
      </c>
      <c r="K4194" s="1">
        <v>185000.0</v>
      </c>
      <c r="L4194" s="1">
        <v>56.94358355</v>
      </c>
      <c r="M4194" s="1">
        <v>24.0916786902004</v>
      </c>
    </row>
    <row r="4195">
      <c r="A4195" s="1" t="s">
        <v>22</v>
      </c>
      <c r="B4195" s="1" t="s">
        <v>23</v>
      </c>
      <c r="C4195" s="1" t="s">
        <v>249</v>
      </c>
      <c r="D4195" s="1">
        <v>3.0</v>
      </c>
      <c r="E4195" s="1">
        <v>53.1</v>
      </c>
      <c r="F4195" s="1">
        <v>3.0</v>
      </c>
      <c r="G4195" s="1">
        <v>9.0</v>
      </c>
      <c r="H4195" s="1" t="s">
        <v>32</v>
      </c>
      <c r="I4195" s="1" t="s">
        <v>122</v>
      </c>
      <c r="J4195" s="1" t="s">
        <v>18</v>
      </c>
      <c r="K4195" s="1">
        <v>75000.0</v>
      </c>
      <c r="L4195" s="1">
        <v>56.9726557</v>
      </c>
      <c r="M4195" s="1">
        <v>24.1493117212851</v>
      </c>
    </row>
    <row r="4196">
      <c r="A4196" s="1" t="s">
        <v>22</v>
      </c>
      <c r="B4196" s="1" t="s">
        <v>14</v>
      </c>
      <c r="C4196" s="1" t="s">
        <v>765</v>
      </c>
      <c r="D4196" s="1">
        <v>2.0</v>
      </c>
      <c r="E4196" s="1">
        <v>57.0</v>
      </c>
      <c r="F4196" s="1">
        <v>3.0</v>
      </c>
      <c r="G4196" s="1">
        <v>5.0</v>
      </c>
      <c r="H4196" s="1" t="s">
        <v>32</v>
      </c>
      <c r="I4196" s="1" t="s">
        <v>17</v>
      </c>
      <c r="J4196" s="1" t="s">
        <v>18</v>
      </c>
      <c r="K4196" s="1">
        <v>80000.0</v>
      </c>
      <c r="L4196" s="1">
        <v>56.9670442</v>
      </c>
      <c r="M4196" s="1">
        <v>24.1820249</v>
      </c>
    </row>
    <row r="4197">
      <c r="A4197" s="1" t="s">
        <v>22</v>
      </c>
      <c r="B4197" s="1" t="s">
        <v>23</v>
      </c>
      <c r="C4197" s="1" t="s">
        <v>818</v>
      </c>
      <c r="D4197" s="1">
        <v>1.0</v>
      </c>
      <c r="E4197" s="1">
        <v>49.0</v>
      </c>
      <c r="F4197" s="1">
        <v>4.0</v>
      </c>
      <c r="G4197" s="1">
        <v>5.0</v>
      </c>
      <c r="H4197" s="1" t="s">
        <v>25</v>
      </c>
      <c r="I4197" s="1" t="s">
        <v>33</v>
      </c>
      <c r="J4197" s="1" t="s">
        <v>18</v>
      </c>
      <c r="K4197" s="1">
        <v>65000.0</v>
      </c>
      <c r="L4197" s="1">
        <v>56.95032385</v>
      </c>
      <c r="M4197" s="1">
        <v>24.1359676740232</v>
      </c>
    </row>
    <row r="4198">
      <c r="A4198" s="1" t="s">
        <v>22</v>
      </c>
      <c r="B4198" s="1" t="s">
        <v>23</v>
      </c>
      <c r="C4198" s="1" t="s">
        <v>1074</v>
      </c>
      <c r="D4198" s="1">
        <v>3.0</v>
      </c>
      <c r="E4198" s="1">
        <v>88.0</v>
      </c>
      <c r="F4198" s="1">
        <v>3.0</v>
      </c>
      <c r="G4198" s="1">
        <v>6.0</v>
      </c>
      <c r="H4198" s="1" t="s">
        <v>25</v>
      </c>
      <c r="I4198" s="1" t="s">
        <v>33</v>
      </c>
      <c r="J4198" s="1" t="s">
        <v>18</v>
      </c>
      <c r="K4198" s="1">
        <v>200000.0</v>
      </c>
      <c r="L4198" s="1">
        <v>56.960378</v>
      </c>
      <c r="M4198" s="1">
        <v>24.1197764</v>
      </c>
    </row>
    <row r="4199">
      <c r="A4199" s="1" t="s">
        <v>13</v>
      </c>
      <c r="B4199" s="1" t="s">
        <v>23</v>
      </c>
      <c r="C4199" s="1" t="s">
        <v>2418</v>
      </c>
      <c r="D4199" s="1">
        <v>2.0</v>
      </c>
      <c r="E4199" s="1">
        <v>36.0</v>
      </c>
      <c r="F4199" s="1">
        <v>1.0</v>
      </c>
      <c r="G4199" s="1">
        <v>5.0</v>
      </c>
      <c r="H4199" s="1" t="s">
        <v>66</v>
      </c>
      <c r="I4199" s="1" t="s">
        <v>17</v>
      </c>
      <c r="J4199" s="1" t="s">
        <v>18</v>
      </c>
      <c r="K4199" s="1">
        <v>350.0</v>
      </c>
      <c r="L4199" s="1" t="s">
        <v>40</v>
      </c>
      <c r="M4199" s="1" t="s">
        <v>40</v>
      </c>
    </row>
    <row r="4200">
      <c r="A4200" s="1" t="s">
        <v>13</v>
      </c>
      <c r="B4200" s="1" t="s">
        <v>104</v>
      </c>
      <c r="C4200" s="1" t="s">
        <v>2419</v>
      </c>
      <c r="D4200" s="1">
        <v>2.0</v>
      </c>
      <c r="E4200" s="1">
        <v>54.0</v>
      </c>
      <c r="F4200" s="1">
        <v>3.0</v>
      </c>
      <c r="G4200" s="1">
        <v>3.0</v>
      </c>
      <c r="H4200" s="1" t="s">
        <v>181</v>
      </c>
      <c r="I4200" s="1" t="s">
        <v>37</v>
      </c>
      <c r="J4200" s="1" t="s">
        <v>18</v>
      </c>
      <c r="K4200" s="1">
        <v>300.0</v>
      </c>
      <c r="L4200" s="1">
        <v>56.9415104</v>
      </c>
      <c r="M4200" s="1">
        <v>24.0675733246234</v>
      </c>
    </row>
    <row r="4201">
      <c r="A4201" s="1" t="s">
        <v>22</v>
      </c>
      <c r="B4201" s="1" t="s">
        <v>174</v>
      </c>
      <c r="C4201" s="1" t="s">
        <v>2420</v>
      </c>
      <c r="D4201" s="1">
        <v>3.0</v>
      </c>
      <c r="E4201" s="1">
        <v>59.0</v>
      </c>
      <c r="F4201" s="1">
        <v>1.0</v>
      </c>
      <c r="G4201" s="1">
        <v>3.0</v>
      </c>
      <c r="H4201" s="1" t="s">
        <v>66</v>
      </c>
      <c r="I4201" s="1" t="s">
        <v>33</v>
      </c>
      <c r="J4201" s="1" t="s">
        <v>18</v>
      </c>
      <c r="K4201" s="1">
        <v>83000.0</v>
      </c>
      <c r="L4201" s="1">
        <v>56.9492446</v>
      </c>
      <c r="M4201" s="1">
        <v>24.16848285</v>
      </c>
    </row>
    <row r="4202">
      <c r="A4202" s="1" t="s">
        <v>13</v>
      </c>
      <c r="B4202" s="1" t="s">
        <v>30</v>
      </c>
      <c r="C4202" s="1" t="s">
        <v>288</v>
      </c>
      <c r="D4202" s="1">
        <v>1.0</v>
      </c>
      <c r="E4202" s="1">
        <v>27.0</v>
      </c>
      <c r="F4202" s="1">
        <v>3.0</v>
      </c>
      <c r="G4202" s="1">
        <v>5.0</v>
      </c>
      <c r="H4202" s="1" t="s">
        <v>44</v>
      </c>
      <c r="I4202" s="1" t="s">
        <v>17</v>
      </c>
      <c r="J4202" s="1" t="s">
        <v>18</v>
      </c>
      <c r="K4202" s="1">
        <v>300.0</v>
      </c>
      <c r="L4202" s="1">
        <v>56.9774920499999</v>
      </c>
      <c r="M4202" s="1">
        <v>24.1744972362906</v>
      </c>
    </row>
    <row r="4203">
      <c r="A4203" s="1" t="s">
        <v>13</v>
      </c>
      <c r="B4203" s="1" t="s">
        <v>94</v>
      </c>
      <c r="C4203" s="1" t="s">
        <v>350</v>
      </c>
      <c r="D4203" s="1">
        <v>1.0</v>
      </c>
      <c r="E4203" s="1">
        <v>33.0</v>
      </c>
      <c r="F4203" s="1">
        <v>3.0</v>
      </c>
      <c r="G4203" s="1">
        <v>4.0</v>
      </c>
      <c r="H4203" s="1" t="s">
        <v>66</v>
      </c>
      <c r="I4203" s="1" t="s">
        <v>37</v>
      </c>
      <c r="J4203" s="1" t="s">
        <v>18</v>
      </c>
      <c r="K4203" s="1">
        <v>45.0</v>
      </c>
      <c r="L4203" s="1">
        <v>56.93045135</v>
      </c>
      <c r="M4203" s="1">
        <v>24.1685884402146</v>
      </c>
    </row>
    <row r="4204">
      <c r="A4204" s="1" t="s">
        <v>22</v>
      </c>
      <c r="B4204" s="1" t="s">
        <v>23</v>
      </c>
      <c r="C4204" s="1" t="s">
        <v>2421</v>
      </c>
      <c r="D4204" s="1">
        <v>3.0</v>
      </c>
      <c r="E4204" s="1">
        <v>71.0</v>
      </c>
      <c r="F4204" s="1">
        <v>7.0</v>
      </c>
      <c r="G4204" s="1">
        <v>8.0</v>
      </c>
      <c r="H4204" s="1" t="s">
        <v>36</v>
      </c>
      <c r="I4204" s="1" t="s">
        <v>37</v>
      </c>
      <c r="J4204" s="1" t="s">
        <v>18</v>
      </c>
      <c r="K4204" s="1">
        <v>85000.0</v>
      </c>
      <c r="L4204" s="1">
        <v>56.9649596</v>
      </c>
      <c r="M4204" s="1">
        <v>24.1420931</v>
      </c>
    </row>
    <row r="4205">
      <c r="A4205" s="1" t="s">
        <v>22</v>
      </c>
      <c r="B4205" s="1" t="s">
        <v>50</v>
      </c>
      <c r="C4205" s="1" t="s">
        <v>2422</v>
      </c>
      <c r="D4205" s="1">
        <v>1.0</v>
      </c>
      <c r="E4205" s="1">
        <v>22.0</v>
      </c>
      <c r="F4205" s="1">
        <v>3.0</v>
      </c>
      <c r="G4205" s="1">
        <v>5.0</v>
      </c>
      <c r="H4205" s="1" t="s">
        <v>25</v>
      </c>
      <c r="I4205" s="1" t="s">
        <v>33</v>
      </c>
      <c r="J4205" s="1" t="s">
        <v>18</v>
      </c>
      <c r="K4205" s="1">
        <v>22000.0</v>
      </c>
      <c r="L4205" s="1">
        <v>56.9454255</v>
      </c>
      <c r="M4205" s="1">
        <v>24.1405011157079</v>
      </c>
    </row>
    <row r="4206">
      <c r="A4206" s="1" t="s">
        <v>22</v>
      </c>
      <c r="B4206" s="1" t="s">
        <v>151</v>
      </c>
      <c r="C4206" s="1" t="s">
        <v>2423</v>
      </c>
      <c r="D4206" s="1">
        <v>3.0</v>
      </c>
      <c r="E4206" s="1">
        <v>68.0</v>
      </c>
      <c r="F4206" s="1">
        <v>4.0</v>
      </c>
      <c r="G4206" s="1">
        <v>5.0</v>
      </c>
      <c r="H4206" s="1" t="s">
        <v>16</v>
      </c>
      <c r="I4206" s="1" t="s">
        <v>21</v>
      </c>
      <c r="J4206" s="1" t="s">
        <v>18</v>
      </c>
      <c r="K4206" s="1">
        <v>57300.0</v>
      </c>
      <c r="L4206" s="1">
        <v>56.9706776</v>
      </c>
      <c r="M4206" s="1">
        <v>24.0513758618948</v>
      </c>
    </row>
    <row r="4207">
      <c r="A4207" s="1" t="s">
        <v>13</v>
      </c>
      <c r="B4207" s="1" t="s">
        <v>23</v>
      </c>
      <c r="C4207" s="1" t="s">
        <v>1501</v>
      </c>
      <c r="D4207" s="1">
        <v>1.0</v>
      </c>
      <c r="E4207" s="1">
        <v>20.0</v>
      </c>
      <c r="F4207" s="1">
        <v>1.0</v>
      </c>
      <c r="G4207" s="1">
        <v>5.0</v>
      </c>
      <c r="H4207" s="1" t="s">
        <v>66</v>
      </c>
      <c r="I4207" s="1" t="s">
        <v>33</v>
      </c>
      <c r="J4207" s="1" t="s">
        <v>18</v>
      </c>
      <c r="K4207" s="1">
        <v>45.0</v>
      </c>
      <c r="L4207" s="1">
        <v>56.9620417</v>
      </c>
      <c r="M4207" s="1">
        <v>24.1224439</v>
      </c>
    </row>
    <row r="4208">
      <c r="A4208" s="1" t="s">
        <v>13</v>
      </c>
      <c r="B4208" s="1" t="s">
        <v>422</v>
      </c>
      <c r="C4208" s="1" t="s">
        <v>363</v>
      </c>
      <c r="D4208" s="1">
        <v>3.0</v>
      </c>
      <c r="E4208" s="1">
        <v>90.0</v>
      </c>
      <c r="F4208" s="1">
        <v>15.0</v>
      </c>
      <c r="G4208" s="1">
        <v>30.0</v>
      </c>
      <c r="H4208" s="1" t="s">
        <v>32</v>
      </c>
      <c r="I4208" s="1" t="s">
        <v>122</v>
      </c>
      <c r="J4208" s="1" t="s">
        <v>18</v>
      </c>
      <c r="K4208" s="1">
        <v>650.0</v>
      </c>
      <c r="L4208" s="1">
        <v>56.9334996</v>
      </c>
      <c r="M4208" s="1">
        <v>24.0424848</v>
      </c>
    </row>
    <row r="4209">
      <c r="A4209" s="1" t="s">
        <v>22</v>
      </c>
      <c r="B4209" s="1" t="s">
        <v>117</v>
      </c>
      <c r="C4209" s="1" t="s">
        <v>2424</v>
      </c>
      <c r="D4209" s="1">
        <v>1.0</v>
      </c>
      <c r="E4209" s="1">
        <v>14.0</v>
      </c>
      <c r="F4209" s="1">
        <v>1.0</v>
      </c>
      <c r="G4209" s="1">
        <v>5.0</v>
      </c>
      <c r="H4209" s="1" t="s">
        <v>57</v>
      </c>
      <c r="I4209" s="1" t="s">
        <v>21</v>
      </c>
      <c r="J4209" s="1" t="s">
        <v>18</v>
      </c>
      <c r="K4209" s="1">
        <v>12900.0</v>
      </c>
      <c r="L4209" s="1">
        <v>56.9870626</v>
      </c>
      <c r="M4209" s="1">
        <v>24.1723395250161</v>
      </c>
    </row>
    <row r="4210">
      <c r="A4210" s="1" t="s">
        <v>22</v>
      </c>
      <c r="B4210" s="1" t="s">
        <v>28</v>
      </c>
      <c r="C4210" s="1" t="s">
        <v>2425</v>
      </c>
      <c r="D4210" s="1">
        <v>2.0</v>
      </c>
      <c r="E4210" s="1">
        <v>51.0</v>
      </c>
      <c r="F4210" s="1">
        <v>1.0</v>
      </c>
      <c r="G4210" s="1">
        <v>9.0</v>
      </c>
      <c r="H4210" s="1">
        <v>467.0</v>
      </c>
      <c r="I4210" s="1" t="s">
        <v>21</v>
      </c>
      <c r="J4210" s="1" t="s">
        <v>18</v>
      </c>
      <c r="K4210" s="1">
        <v>50700.0</v>
      </c>
      <c r="L4210" s="1">
        <v>56.9042432</v>
      </c>
      <c r="M4210" s="1">
        <v>24.2102561</v>
      </c>
    </row>
    <row r="4211">
      <c r="A4211" s="1" t="s">
        <v>13</v>
      </c>
      <c r="B4211" s="1" t="s">
        <v>117</v>
      </c>
      <c r="C4211" s="1" t="s">
        <v>2426</v>
      </c>
      <c r="D4211" s="1">
        <v>1.0</v>
      </c>
      <c r="E4211" s="1">
        <v>35.0</v>
      </c>
      <c r="F4211" s="1">
        <v>9.0</v>
      </c>
      <c r="G4211" s="1">
        <v>12.0</v>
      </c>
      <c r="H4211" s="1" t="s">
        <v>36</v>
      </c>
      <c r="I4211" s="1" t="s">
        <v>37</v>
      </c>
      <c r="J4211" s="1" t="s">
        <v>18</v>
      </c>
      <c r="K4211" s="1">
        <v>250.0</v>
      </c>
      <c r="L4211" s="1">
        <v>56.9940605</v>
      </c>
      <c r="M4211" s="1">
        <v>24.1756989</v>
      </c>
    </row>
    <row r="4212">
      <c r="A4212" s="1" t="s">
        <v>13</v>
      </c>
      <c r="B4212" s="1" t="s">
        <v>38</v>
      </c>
      <c r="C4212" s="1" t="s">
        <v>145</v>
      </c>
      <c r="D4212" s="1">
        <v>2.0</v>
      </c>
      <c r="E4212" s="1">
        <v>60.0</v>
      </c>
      <c r="F4212" s="1">
        <v>2.0</v>
      </c>
      <c r="G4212" s="1">
        <v>17.0</v>
      </c>
      <c r="H4212" s="1" t="s">
        <v>32</v>
      </c>
      <c r="I4212" s="1" t="s">
        <v>33</v>
      </c>
      <c r="J4212" s="1" t="s">
        <v>18</v>
      </c>
      <c r="K4212" s="1">
        <v>380.0</v>
      </c>
      <c r="L4212" s="1">
        <v>56.96112105</v>
      </c>
      <c r="M4212" s="1">
        <v>24.01821679525</v>
      </c>
    </row>
    <row r="4213">
      <c r="A4213" s="1" t="s">
        <v>22</v>
      </c>
      <c r="B4213" s="1" t="s">
        <v>96</v>
      </c>
      <c r="C4213" s="1" t="s">
        <v>2427</v>
      </c>
      <c r="D4213" s="1">
        <v>1.0</v>
      </c>
      <c r="E4213" s="1">
        <v>18.0</v>
      </c>
      <c r="F4213" s="1">
        <v>3.0</v>
      </c>
      <c r="G4213" s="1">
        <v>4.0</v>
      </c>
      <c r="H4213" s="1" t="s">
        <v>57</v>
      </c>
      <c r="I4213" s="1" t="s">
        <v>37</v>
      </c>
      <c r="J4213" s="1" t="s">
        <v>18</v>
      </c>
      <c r="K4213" s="1">
        <v>15500.0</v>
      </c>
      <c r="L4213" s="1">
        <v>57.0297257</v>
      </c>
      <c r="M4213" s="1">
        <v>24.1004827538946</v>
      </c>
    </row>
    <row r="4214">
      <c r="A4214" s="1" t="s">
        <v>22</v>
      </c>
      <c r="B4214" s="1" t="s">
        <v>38</v>
      </c>
      <c r="C4214" s="1" t="s">
        <v>2428</v>
      </c>
      <c r="D4214" s="1">
        <v>2.0</v>
      </c>
      <c r="E4214" s="1">
        <v>50.0</v>
      </c>
      <c r="F4214" s="1">
        <v>9.0</v>
      </c>
      <c r="G4214" s="1">
        <v>9.0</v>
      </c>
      <c r="H4214" s="1">
        <v>602.0</v>
      </c>
      <c r="I4214" s="1" t="s">
        <v>21</v>
      </c>
      <c r="J4214" s="1" t="s">
        <v>18</v>
      </c>
      <c r="K4214" s="1">
        <v>42900.0</v>
      </c>
      <c r="L4214" s="1" t="s">
        <v>40</v>
      </c>
      <c r="M4214" s="1" t="s">
        <v>40</v>
      </c>
    </row>
    <row r="4215">
      <c r="A4215" s="1" t="s">
        <v>131</v>
      </c>
      <c r="B4215" s="1" t="s">
        <v>14</v>
      </c>
      <c r="C4215" s="2"/>
      <c r="D4215" s="1">
        <v>3.0</v>
      </c>
      <c r="E4215" s="1">
        <v>80.0</v>
      </c>
      <c r="F4215" s="2"/>
      <c r="G4215" s="2"/>
      <c r="H4215" s="1" t="s">
        <v>32</v>
      </c>
      <c r="I4215" s="2"/>
      <c r="J4215" s="1" t="s">
        <v>18</v>
      </c>
      <c r="K4215" s="2"/>
      <c r="L4215" s="1">
        <v>46.3144754</v>
      </c>
      <c r="M4215" s="1">
        <v>11.0480288</v>
      </c>
    </row>
    <row r="4216">
      <c r="A4216" s="1" t="s">
        <v>22</v>
      </c>
      <c r="B4216" s="1" t="s">
        <v>151</v>
      </c>
      <c r="C4216" s="1" t="s">
        <v>2429</v>
      </c>
      <c r="D4216" s="1">
        <v>4.0</v>
      </c>
      <c r="E4216" s="1">
        <v>92.0</v>
      </c>
      <c r="F4216" s="1">
        <v>1.0</v>
      </c>
      <c r="G4216" s="1">
        <v>2.0</v>
      </c>
      <c r="H4216" s="1" t="s">
        <v>25</v>
      </c>
      <c r="I4216" s="1" t="s">
        <v>26</v>
      </c>
      <c r="J4216" s="1" t="s">
        <v>18</v>
      </c>
      <c r="K4216" s="1">
        <v>43000.0</v>
      </c>
      <c r="L4216" s="1">
        <v>56.9614466999999</v>
      </c>
      <c r="M4216" s="1">
        <v>24.0656187918395</v>
      </c>
    </row>
    <row r="4217">
      <c r="A4217" s="1" t="s">
        <v>22</v>
      </c>
      <c r="B4217" s="1" t="s">
        <v>14</v>
      </c>
      <c r="C4217" s="1" t="s">
        <v>771</v>
      </c>
      <c r="D4217" s="1">
        <v>1.0</v>
      </c>
      <c r="E4217" s="1">
        <v>42.0</v>
      </c>
      <c r="F4217" s="1">
        <v>3.0</v>
      </c>
      <c r="G4217" s="1">
        <v>5.0</v>
      </c>
      <c r="H4217" s="1" t="s">
        <v>57</v>
      </c>
      <c r="I4217" s="1" t="s">
        <v>21</v>
      </c>
      <c r="J4217" s="1" t="s">
        <v>18</v>
      </c>
      <c r="K4217" s="1">
        <v>45900.0</v>
      </c>
      <c r="L4217" s="1">
        <v>56.95362445</v>
      </c>
      <c r="M4217" s="1">
        <v>24.18336245</v>
      </c>
    </row>
    <row r="4218">
      <c r="A4218" s="1" t="s">
        <v>22</v>
      </c>
      <c r="B4218" s="1" t="s">
        <v>94</v>
      </c>
      <c r="C4218" s="1" t="s">
        <v>1376</v>
      </c>
      <c r="D4218" s="1">
        <v>2.0</v>
      </c>
      <c r="E4218" s="1">
        <v>49.0</v>
      </c>
      <c r="F4218" s="1">
        <v>5.0</v>
      </c>
      <c r="G4218" s="1">
        <v>9.0</v>
      </c>
      <c r="H4218" s="1">
        <v>467.0</v>
      </c>
      <c r="I4218" s="1" t="s">
        <v>21</v>
      </c>
      <c r="J4218" s="1" t="s">
        <v>18</v>
      </c>
      <c r="K4218" s="1">
        <v>38500.0</v>
      </c>
      <c r="L4218" s="1">
        <v>56.9255124</v>
      </c>
      <c r="M4218" s="1">
        <v>24.1686179999999</v>
      </c>
    </row>
    <row r="4219">
      <c r="A4219" s="1" t="s">
        <v>22</v>
      </c>
      <c r="B4219" s="1" t="s">
        <v>52</v>
      </c>
      <c r="C4219" s="1" t="s">
        <v>1326</v>
      </c>
      <c r="D4219" s="1">
        <v>3.0</v>
      </c>
      <c r="E4219" s="1">
        <v>70.0</v>
      </c>
      <c r="F4219" s="1">
        <v>3.0</v>
      </c>
      <c r="G4219" s="1">
        <v>9.0</v>
      </c>
      <c r="H4219" s="1">
        <v>119.0</v>
      </c>
      <c r="I4219" s="1" t="s">
        <v>21</v>
      </c>
      <c r="J4219" s="1" t="s">
        <v>18</v>
      </c>
      <c r="K4219" s="1">
        <v>83000.0</v>
      </c>
      <c r="L4219" s="1">
        <v>56.94224055</v>
      </c>
      <c r="M4219" s="1">
        <v>24.0060845759065</v>
      </c>
    </row>
    <row r="4220">
      <c r="A4220" s="1" t="s">
        <v>13</v>
      </c>
      <c r="B4220" s="1" t="s">
        <v>23</v>
      </c>
      <c r="C4220" s="1" t="s">
        <v>2430</v>
      </c>
      <c r="D4220" s="1">
        <v>1.0</v>
      </c>
      <c r="E4220" s="1">
        <v>14.0</v>
      </c>
      <c r="F4220" s="1">
        <v>3.0</v>
      </c>
      <c r="G4220" s="1">
        <v>5.0</v>
      </c>
      <c r="H4220" s="1" t="s">
        <v>25</v>
      </c>
      <c r="I4220" s="1" t="s">
        <v>37</v>
      </c>
      <c r="J4220" s="1" t="s">
        <v>18</v>
      </c>
      <c r="K4220" s="1">
        <v>150.0</v>
      </c>
      <c r="L4220" s="1">
        <v>56.9484561999999</v>
      </c>
      <c r="M4220" s="1">
        <v>24.1195063504858</v>
      </c>
    </row>
    <row r="4221">
      <c r="A4221" s="1" t="s">
        <v>22</v>
      </c>
      <c r="B4221" s="1" t="s">
        <v>28</v>
      </c>
      <c r="C4221" s="1" t="s">
        <v>1621</v>
      </c>
      <c r="D4221" s="1">
        <v>3.0</v>
      </c>
      <c r="E4221" s="1">
        <v>61.0</v>
      </c>
      <c r="F4221" s="1">
        <v>3.0</v>
      </c>
      <c r="G4221" s="1">
        <v>5.0</v>
      </c>
      <c r="H4221" s="1" t="s">
        <v>16</v>
      </c>
      <c r="I4221" s="1" t="s">
        <v>21</v>
      </c>
      <c r="J4221" s="1" t="s">
        <v>18</v>
      </c>
      <c r="K4221" s="1">
        <v>46900.0</v>
      </c>
      <c r="L4221" s="1">
        <v>56.8597884</v>
      </c>
      <c r="M4221" s="1">
        <v>24.3083417</v>
      </c>
    </row>
    <row r="4222">
      <c r="A4222" s="1" t="s">
        <v>22</v>
      </c>
      <c r="B4222" s="1" t="s">
        <v>52</v>
      </c>
      <c r="C4222" s="1" t="s">
        <v>941</v>
      </c>
      <c r="D4222" s="1">
        <v>3.0</v>
      </c>
      <c r="E4222" s="1">
        <v>110.0</v>
      </c>
      <c r="F4222" s="1">
        <v>2.0</v>
      </c>
      <c r="G4222" s="1">
        <v>12.0</v>
      </c>
      <c r="H4222" s="1" t="s">
        <v>32</v>
      </c>
      <c r="I4222" s="1" t="s">
        <v>21</v>
      </c>
      <c r="J4222" s="1" t="s">
        <v>18</v>
      </c>
      <c r="K4222" s="1">
        <v>149000.0</v>
      </c>
      <c r="L4222" s="1">
        <v>56.94568225</v>
      </c>
      <c r="M4222" s="1">
        <v>24.0146821801241</v>
      </c>
    </row>
    <row r="4223">
      <c r="A4223" s="1" t="s">
        <v>13</v>
      </c>
      <c r="B4223" s="1" t="s">
        <v>52</v>
      </c>
      <c r="C4223" s="1" t="s">
        <v>1021</v>
      </c>
      <c r="D4223" s="1">
        <v>1.0</v>
      </c>
      <c r="E4223" s="1">
        <v>43.0</v>
      </c>
      <c r="F4223" s="1">
        <v>7.0</v>
      </c>
      <c r="G4223" s="1">
        <v>9.0</v>
      </c>
      <c r="H4223" s="1">
        <v>119.0</v>
      </c>
      <c r="I4223" s="1" t="s">
        <v>21</v>
      </c>
      <c r="J4223" s="1" t="s">
        <v>18</v>
      </c>
      <c r="K4223" s="1">
        <v>330.0</v>
      </c>
      <c r="L4223" s="1">
        <v>56.9478153999999</v>
      </c>
      <c r="M4223" s="1">
        <v>24.0044636133064</v>
      </c>
    </row>
    <row r="4224">
      <c r="A4224" s="1" t="s">
        <v>22</v>
      </c>
      <c r="B4224" s="1" t="s">
        <v>38</v>
      </c>
      <c r="C4224" s="1" t="s">
        <v>2431</v>
      </c>
      <c r="D4224" s="1">
        <v>2.0</v>
      </c>
      <c r="E4224" s="1">
        <v>102.0</v>
      </c>
      <c r="F4224" s="1">
        <v>1.0</v>
      </c>
      <c r="G4224" s="1">
        <v>16.0</v>
      </c>
      <c r="H4224" s="1" t="s">
        <v>32</v>
      </c>
      <c r="I4224" s="1" t="s">
        <v>21</v>
      </c>
      <c r="J4224" s="1" t="s">
        <v>18</v>
      </c>
      <c r="K4224" s="1">
        <v>99000.0</v>
      </c>
      <c r="L4224" s="1">
        <v>56.9543914</v>
      </c>
      <c r="M4224" s="1">
        <v>24.0086771</v>
      </c>
    </row>
    <row r="4225">
      <c r="A4225" s="1" t="s">
        <v>22</v>
      </c>
      <c r="B4225" s="1" t="s">
        <v>19</v>
      </c>
      <c r="C4225" s="1" t="s">
        <v>722</v>
      </c>
      <c r="D4225" s="1">
        <v>1.0</v>
      </c>
      <c r="E4225" s="1">
        <v>34.0</v>
      </c>
      <c r="F4225" s="1">
        <v>2.0</v>
      </c>
      <c r="G4225" s="1">
        <v>12.0</v>
      </c>
      <c r="H4225" s="1" t="s">
        <v>57</v>
      </c>
      <c r="I4225" s="1" t="s">
        <v>37</v>
      </c>
      <c r="J4225" s="1" t="s">
        <v>18</v>
      </c>
      <c r="K4225" s="1">
        <v>31000.0</v>
      </c>
      <c r="L4225" s="1">
        <v>56.8989409</v>
      </c>
      <c r="M4225" s="1">
        <v>24.0833892577372</v>
      </c>
    </row>
    <row r="4226">
      <c r="A4226" s="1" t="s">
        <v>13</v>
      </c>
      <c r="B4226" s="1" t="s">
        <v>52</v>
      </c>
      <c r="C4226" s="1" t="s">
        <v>711</v>
      </c>
      <c r="D4226" s="1">
        <v>1.0</v>
      </c>
      <c r="E4226" s="1">
        <v>37.0</v>
      </c>
      <c r="F4226" s="1">
        <v>5.0</v>
      </c>
      <c r="G4226" s="1">
        <v>9.0</v>
      </c>
      <c r="H4226" s="1">
        <v>119.0</v>
      </c>
      <c r="I4226" s="1" t="s">
        <v>21</v>
      </c>
      <c r="J4226" s="1" t="s">
        <v>18</v>
      </c>
      <c r="K4226" s="1">
        <v>294.0</v>
      </c>
      <c r="L4226" s="1">
        <v>56.94627775</v>
      </c>
      <c r="M4226" s="1">
        <v>24.0038639173023</v>
      </c>
    </row>
    <row r="4227">
      <c r="A4227" s="1" t="s">
        <v>13</v>
      </c>
      <c r="B4227" s="1" t="s">
        <v>422</v>
      </c>
      <c r="C4227" s="1" t="s">
        <v>732</v>
      </c>
      <c r="D4227" s="1">
        <v>2.0</v>
      </c>
      <c r="E4227" s="1">
        <v>68.0</v>
      </c>
      <c r="F4227" s="1">
        <v>15.0</v>
      </c>
      <c r="G4227" s="1">
        <v>25.0</v>
      </c>
      <c r="H4227" s="1" t="s">
        <v>32</v>
      </c>
      <c r="I4227" s="1" t="s">
        <v>33</v>
      </c>
      <c r="J4227" s="1" t="s">
        <v>18</v>
      </c>
      <c r="K4227" s="1">
        <v>550.0</v>
      </c>
      <c r="L4227" s="1">
        <v>56.9340645</v>
      </c>
      <c r="M4227" s="1">
        <v>24.0436381</v>
      </c>
    </row>
    <row r="4228">
      <c r="A4228" s="1" t="s">
        <v>13</v>
      </c>
      <c r="B4228" s="1" t="s">
        <v>30</v>
      </c>
      <c r="C4228" s="1" t="s">
        <v>2432</v>
      </c>
      <c r="D4228" s="1">
        <v>2.0</v>
      </c>
      <c r="E4228" s="1">
        <v>50.0</v>
      </c>
      <c r="F4228" s="1">
        <v>1.0</v>
      </c>
      <c r="G4228" s="1">
        <v>6.0</v>
      </c>
      <c r="H4228" s="1" t="s">
        <v>36</v>
      </c>
      <c r="I4228" s="1" t="s">
        <v>37</v>
      </c>
      <c r="J4228" s="1" t="s">
        <v>18</v>
      </c>
      <c r="K4228" s="1">
        <v>300.0</v>
      </c>
      <c r="L4228" s="1">
        <v>56.9791223</v>
      </c>
      <c r="M4228" s="1">
        <v>24.1810058416135</v>
      </c>
    </row>
    <row r="4229">
      <c r="A4229" s="1" t="s">
        <v>13</v>
      </c>
      <c r="B4229" s="1" t="s">
        <v>74</v>
      </c>
      <c r="C4229" s="1" t="s">
        <v>1883</v>
      </c>
      <c r="D4229" s="1">
        <v>2.0</v>
      </c>
      <c r="E4229" s="1">
        <v>50.0</v>
      </c>
      <c r="F4229" s="1">
        <v>9.0</v>
      </c>
      <c r="G4229" s="1">
        <v>4.0</v>
      </c>
      <c r="H4229" s="1">
        <v>602.0</v>
      </c>
      <c r="I4229" s="1" t="s">
        <v>21</v>
      </c>
      <c r="J4229" s="1" t="s">
        <v>18</v>
      </c>
      <c r="K4229" s="1">
        <v>400.0</v>
      </c>
      <c r="L4229" s="1">
        <v>56.94168555</v>
      </c>
      <c r="M4229" s="1">
        <v>24.2119894120109</v>
      </c>
    </row>
    <row r="4230">
      <c r="A4230" s="1" t="s">
        <v>22</v>
      </c>
      <c r="B4230" s="1" t="s">
        <v>14</v>
      </c>
      <c r="C4230" s="1" t="s">
        <v>207</v>
      </c>
      <c r="D4230" s="1">
        <v>3.0</v>
      </c>
      <c r="E4230" s="1">
        <v>60.0</v>
      </c>
      <c r="F4230" s="1">
        <v>5.0</v>
      </c>
      <c r="G4230" s="1">
        <v>5.0</v>
      </c>
      <c r="H4230" s="1" t="s">
        <v>16</v>
      </c>
      <c r="I4230" s="1" t="s">
        <v>21</v>
      </c>
      <c r="J4230" s="1" t="s">
        <v>18</v>
      </c>
      <c r="K4230" s="1">
        <v>50800.0</v>
      </c>
      <c r="L4230" s="1">
        <v>56.9604259</v>
      </c>
      <c r="M4230" s="1">
        <v>24.201209</v>
      </c>
    </row>
    <row r="4231">
      <c r="A4231" s="1" t="s">
        <v>22</v>
      </c>
      <c r="B4231" s="1" t="s">
        <v>117</v>
      </c>
      <c r="C4231" s="1" t="s">
        <v>2433</v>
      </c>
      <c r="D4231" s="1">
        <v>2.0</v>
      </c>
      <c r="E4231" s="1">
        <v>45.0</v>
      </c>
      <c r="F4231" s="1">
        <v>3.0</v>
      </c>
      <c r="G4231" s="1">
        <v>5.0</v>
      </c>
      <c r="H4231" s="1" t="s">
        <v>44</v>
      </c>
      <c r="I4231" s="1" t="s">
        <v>17</v>
      </c>
      <c r="J4231" s="1" t="s">
        <v>18</v>
      </c>
      <c r="K4231" s="1">
        <v>50000.0</v>
      </c>
      <c r="L4231" s="1">
        <v>56.9832776</v>
      </c>
      <c r="M4231" s="1">
        <v>24.1546716920121</v>
      </c>
    </row>
    <row r="4232">
      <c r="A4232" s="1" t="s">
        <v>13</v>
      </c>
      <c r="B4232" s="1" t="s">
        <v>23</v>
      </c>
      <c r="C4232" s="1" t="s">
        <v>1493</v>
      </c>
      <c r="D4232" s="1">
        <v>2.0</v>
      </c>
      <c r="E4232" s="1">
        <v>53.0</v>
      </c>
      <c r="F4232" s="1">
        <v>3.0</v>
      </c>
      <c r="G4232" s="1">
        <v>5.0</v>
      </c>
      <c r="H4232" s="1" t="s">
        <v>25</v>
      </c>
      <c r="I4232" s="1" t="s">
        <v>33</v>
      </c>
      <c r="J4232" s="1" t="s">
        <v>18</v>
      </c>
      <c r="K4232" s="1">
        <v>370.0</v>
      </c>
      <c r="L4232" s="1">
        <v>56.94400335</v>
      </c>
      <c r="M4232" s="1">
        <v>24.125780302131</v>
      </c>
    </row>
    <row r="4233">
      <c r="A4233" s="1" t="s">
        <v>13</v>
      </c>
      <c r="B4233" s="1" t="s">
        <v>42</v>
      </c>
      <c r="C4233" s="1" t="s">
        <v>2434</v>
      </c>
      <c r="D4233" s="1">
        <v>2.0</v>
      </c>
      <c r="E4233" s="1">
        <v>48.0</v>
      </c>
      <c r="F4233" s="1">
        <v>5.0</v>
      </c>
      <c r="G4233" s="1">
        <v>5.0</v>
      </c>
      <c r="H4233" s="1" t="s">
        <v>16</v>
      </c>
      <c r="I4233" s="1" t="s">
        <v>17</v>
      </c>
      <c r="J4233" s="1" t="s">
        <v>18</v>
      </c>
      <c r="K4233" s="1">
        <v>350.0</v>
      </c>
      <c r="L4233" s="1">
        <v>56.98858945</v>
      </c>
      <c r="M4233" s="1">
        <v>24.2427046148995</v>
      </c>
    </row>
    <row r="4234">
      <c r="A4234" s="1" t="s">
        <v>22</v>
      </c>
      <c r="B4234" s="1" t="s">
        <v>19</v>
      </c>
      <c r="C4234" s="1" t="s">
        <v>2435</v>
      </c>
      <c r="D4234" s="1">
        <v>4.0</v>
      </c>
      <c r="E4234" s="1">
        <v>76.0</v>
      </c>
      <c r="F4234" s="1">
        <v>2.0</v>
      </c>
      <c r="G4234" s="1">
        <v>9.0</v>
      </c>
      <c r="H4234" s="1">
        <v>602.0</v>
      </c>
      <c r="I4234" s="1" t="s">
        <v>21</v>
      </c>
      <c r="J4234" s="1" t="s">
        <v>18</v>
      </c>
      <c r="K4234" s="1">
        <v>75000.0</v>
      </c>
      <c r="L4234" s="1">
        <v>56.8990307</v>
      </c>
      <c r="M4234" s="1">
        <v>24.0785989</v>
      </c>
    </row>
    <row r="4235">
      <c r="A4235" s="1" t="s">
        <v>22</v>
      </c>
      <c r="B4235" s="1" t="s">
        <v>14</v>
      </c>
      <c r="C4235" s="1" t="s">
        <v>2436</v>
      </c>
      <c r="D4235" s="1">
        <v>2.0</v>
      </c>
      <c r="E4235" s="1">
        <v>48.0</v>
      </c>
      <c r="F4235" s="1">
        <v>3.0</v>
      </c>
      <c r="G4235" s="1">
        <v>9.0</v>
      </c>
      <c r="H4235" s="1">
        <v>467.0</v>
      </c>
      <c r="I4235" s="1" t="s">
        <v>122</v>
      </c>
      <c r="J4235" s="1" t="s">
        <v>18</v>
      </c>
      <c r="K4235" s="1">
        <v>56000.0</v>
      </c>
      <c r="L4235" s="1">
        <v>56.95273165</v>
      </c>
      <c r="M4235" s="1">
        <v>24.1929681901641</v>
      </c>
    </row>
    <row r="4236">
      <c r="A4236" s="1" t="s">
        <v>13</v>
      </c>
      <c r="B4236" s="1" t="s">
        <v>28</v>
      </c>
      <c r="C4236" s="1" t="s">
        <v>2437</v>
      </c>
      <c r="D4236" s="1">
        <v>1.0</v>
      </c>
      <c r="E4236" s="1">
        <v>32.0</v>
      </c>
      <c r="F4236" s="1">
        <v>3.0</v>
      </c>
      <c r="G4236" s="1">
        <v>5.0</v>
      </c>
      <c r="H4236" s="1" t="s">
        <v>16</v>
      </c>
      <c r="I4236" s="1" t="s">
        <v>21</v>
      </c>
      <c r="J4236" s="1" t="s">
        <v>18</v>
      </c>
      <c r="K4236" s="1">
        <v>220.0</v>
      </c>
      <c r="L4236" s="1">
        <v>56.9160513</v>
      </c>
      <c r="M4236" s="1">
        <v>24.1803428</v>
      </c>
    </row>
    <row r="4237">
      <c r="A4237" s="1" t="s">
        <v>22</v>
      </c>
      <c r="B4237" s="1" t="s">
        <v>134</v>
      </c>
      <c r="C4237" s="1" t="s">
        <v>2438</v>
      </c>
      <c r="D4237" s="1">
        <v>1.0</v>
      </c>
      <c r="E4237" s="1">
        <v>29.0</v>
      </c>
      <c r="F4237" s="1">
        <v>1.0</v>
      </c>
      <c r="G4237" s="1">
        <v>2.0</v>
      </c>
      <c r="H4237" s="1" t="s">
        <v>44</v>
      </c>
      <c r="I4237" s="1" t="s">
        <v>37</v>
      </c>
      <c r="J4237" s="1" t="s">
        <v>18</v>
      </c>
      <c r="K4237" s="1">
        <v>23500.0</v>
      </c>
      <c r="L4237" s="1">
        <v>57.03668605</v>
      </c>
      <c r="M4237" s="1">
        <v>24.02102837895</v>
      </c>
    </row>
    <row r="4238">
      <c r="A4238" s="1" t="s">
        <v>22</v>
      </c>
      <c r="B4238" s="1" t="s">
        <v>74</v>
      </c>
      <c r="C4238" s="1" t="s">
        <v>1992</v>
      </c>
      <c r="D4238" s="1">
        <v>3.0</v>
      </c>
      <c r="E4238" s="1">
        <v>75.0</v>
      </c>
      <c r="F4238" s="1">
        <v>5.0</v>
      </c>
      <c r="G4238" s="1">
        <v>9.0</v>
      </c>
      <c r="H4238" s="1">
        <v>119.0</v>
      </c>
      <c r="I4238" s="1" t="s">
        <v>21</v>
      </c>
      <c r="J4238" s="1" t="s">
        <v>18</v>
      </c>
      <c r="K4238" s="1">
        <v>66000.0</v>
      </c>
      <c r="L4238" s="1">
        <v>56.9480278</v>
      </c>
      <c r="M4238" s="1">
        <v>24.1884904499999</v>
      </c>
    </row>
    <row r="4239">
      <c r="A4239" s="1" t="s">
        <v>13</v>
      </c>
      <c r="B4239" s="1" t="s">
        <v>218</v>
      </c>
      <c r="C4239" s="1" t="s">
        <v>1027</v>
      </c>
      <c r="D4239" s="1">
        <v>3.0</v>
      </c>
      <c r="E4239" s="1">
        <v>42.0</v>
      </c>
      <c r="F4239" s="1">
        <v>3.0</v>
      </c>
      <c r="G4239" s="1">
        <v>5.0</v>
      </c>
      <c r="H4239" s="1" t="s">
        <v>36</v>
      </c>
      <c r="I4239" s="1" t="s">
        <v>21</v>
      </c>
      <c r="J4239" s="1" t="s">
        <v>18</v>
      </c>
      <c r="K4239" s="1">
        <v>34.0</v>
      </c>
      <c r="L4239" s="1">
        <v>56.9464382</v>
      </c>
      <c r="M4239" s="1">
        <v>24.112882</v>
      </c>
    </row>
    <row r="4240">
      <c r="A4240" s="1" t="s">
        <v>13</v>
      </c>
      <c r="B4240" s="1" t="s">
        <v>19</v>
      </c>
      <c r="C4240" s="1" t="s">
        <v>2439</v>
      </c>
      <c r="D4240" s="1">
        <v>2.0</v>
      </c>
      <c r="E4240" s="1">
        <v>70.0</v>
      </c>
      <c r="F4240" s="1">
        <v>3.0</v>
      </c>
      <c r="G4240" s="1">
        <v>3.0</v>
      </c>
      <c r="H4240" s="1" t="s">
        <v>32</v>
      </c>
      <c r="I4240" s="1" t="s">
        <v>33</v>
      </c>
      <c r="J4240" s="1" t="s">
        <v>18</v>
      </c>
      <c r="K4240" s="1">
        <v>529.0</v>
      </c>
      <c r="L4240" s="1">
        <v>56.9088093</v>
      </c>
      <c r="M4240" s="1">
        <v>24.0913836</v>
      </c>
    </row>
    <row r="4241">
      <c r="A4241" s="1" t="s">
        <v>13</v>
      </c>
      <c r="B4241" s="1" t="s">
        <v>23</v>
      </c>
      <c r="C4241" s="1" t="s">
        <v>491</v>
      </c>
      <c r="D4241" s="1">
        <v>2.0</v>
      </c>
      <c r="E4241" s="1">
        <v>54.0</v>
      </c>
      <c r="F4241" s="1">
        <v>3.0</v>
      </c>
      <c r="G4241" s="1">
        <v>6.0</v>
      </c>
      <c r="H4241" s="1" t="s">
        <v>25</v>
      </c>
      <c r="I4241" s="1" t="s">
        <v>37</v>
      </c>
      <c r="J4241" s="1" t="s">
        <v>18</v>
      </c>
      <c r="K4241" s="1">
        <v>700.0</v>
      </c>
      <c r="L4241" s="1">
        <v>56.9505796</v>
      </c>
      <c r="M4241" s="1">
        <v>24.1255938</v>
      </c>
    </row>
    <row r="4242">
      <c r="A4242" s="1" t="s">
        <v>22</v>
      </c>
      <c r="B4242" s="1" t="s">
        <v>151</v>
      </c>
      <c r="C4242" s="1" t="s">
        <v>635</v>
      </c>
      <c r="D4242" s="1">
        <v>2.0</v>
      </c>
      <c r="E4242" s="1">
        <v>51.0</v>
      </c>
      <c r="F4242" s="1">
        <v>7.0</v>
      </c>
      <c r="G4242" s="1">
        <v>9.0</v>
      </c>
      <c r="H4242" s="1">
        <v>602.0</v>
      </c>
      <c r="I4242" s="1" t="s">
        <v>21</v>
      </c>
      <c r="J4242" s="1" t="s">
        <v>18</v>
      </c>
      <c r="K4242" s="1">
        <v>42900.0</v>
      </c>
      <c r="L4242" s="1">
        <v>56.96512045</v>
      </c>
      <c r="M4242" s="1">
        <v>24.0549828893368</v>
      </c>
    </row>
    <row r="4243">
      <c r="A4243" s="1" t="s">
        <v>22</v>
      </c>
      <c r="B4243" s="1" t="s">
        <v>14</v>
      </c>
      <c r="C4243" s="1" t="s">
        <v>1235</v>
      </c>
      <c r="D4243" s="1">
        <v>2.0</v>
      </c>
      <c r="E4243" s="1">
        <v>60.0</v>
      </c>
      <c r="F4243" s="1">
        <v>1.0</v>
      </c>
      <c r="G4243" s="1">
        <v>2.0</v>
      </c>
      <c r="H4243" s="1" t="s">
        <v>181</v>
      </c>
      <c r="I4243" s="1" t="s">
        <v>33</v>
      </c>
      <c r="J4243" s="1" t="s">
        <v>18</v>
      </c>
      <c r="K4243" s="1">
        <v>39999.0</v>
      </c>
      <c r="L4243" s="1">
        <v>56.9653522</v>
      </c>
      <c r="M4243" s="1">
        <v>24.1647985</v>
      </c>
    </row>
    <row r="4244">
      <c r="A4244" s="1" t="s">
        <v>22</v>
      </c>
      <c r="B4244" s="1" t="s">
        <v>42</v>
      </c>
      <c r="C4244" s="1" t="s">
        <v>2440</v>
      </c>
      <c r="D4244" s="1">
        <v>2.0</v>
      </c>
      <c r="E4244" s="1">
        <v>45.0</v>
      </c>
      <c r="F4244" s="1">
        <v>2.0</v>
      </c>
      <c r="G4244" s="1">
        <v>5.0</v>
      </c>
      <c r="H4244" s="1" t="s">
        <v>44</v>
      </c>
      <c r="I4244" s="1" t="s">
        <v>21</v>
      </c>
      <c r="J4244" s="1" t="s">
        <v>18</v>
      </c>
      <c r="K4244" s="1">
        <v>41600.0</v>
      </c>
      <c r="L4244" s="1">
        <v>56.9845152</v>
      </c>
      <c r="M4244" s="1">
        <v>24.2477398122175</v>
      </c>
    </row>
    <row r="4245">
      <c r="A4245" s="1" t="s">
        <v>22</v>
      </c>
      <c r="B4245" s="1" t="s">
        <v>38</v>
      </c>
      <c r="C4245" s="1" t="s">
        <v>2441</v>
      </c>
      <c r="D4245" s="1">
        <v>2.0</v>
      </c>
      <c r="E4245" s="1">
        <v>49.0</v>
      </c>
      <c r="F4245" s="1">
        <v>1.0</v>
      </c>
      <c r="G4245" s="1">
        <v>5.0</v>
      </c>
      <c r="H4245" s="1" t="s">
        <v>16</v>
      </c>
      <c r="I4245" s="1" t="s">
        <v>21</v>
      </c>
      <c r="J4245" s="1" t="s">
        <v>18</v>
      </c>
      <c r="K4245" s="1">
        <v>37900.0</v>
      </c>
      <c r="L4245" s="1">
        <v>56.9610331</v>
      </c>
      <c r="M4245" s="1">
        <v>24.0074651</v>
      </c>
    </row>
    <row r="4246">
      <c r="A4246" s="1" t="s">
        <v>13</v>
      </c>
      <c r="B4246" s="1" t="s">
        <v>23</v>
      </c>
      <c r="C4246" s="1" t="s">
        <v>674</v>
      </c>
      <c r="D4246" s="1">
        <v>1.0</v>
      </c>
      <c r="E4246" s="1">
        <v>27.0</v>
      </c>
      <c r="F4246" s="1">
        <v>6.0</v>
      </c>
      <c r="G4246" s="1">
        <v>9.0</v>
      </c>
      <c r="H4246" s="1" t="s">
        <v>66</v>
      </c>
      <c r="I4246" s="1" t="s">
        <v>33</v>
      </c>
      <c r="J4246" s="1" t="s">
        <v>18</v>
      </c>
      <c r="K4246" s="1">
        <v>270.0</v>
      </c>
      <c r="L4246" s="1">
        <v>56.97650505</v>
      </c>
      <c r="M4246" s="1">
        <v>24.1464958357009</v>
      </c>
    </row>
    <row r="4247">
      <c r="A4247" s="1" t="s">
        <v>13</v>
      </c>
      <c r="B4247" s="1" t="s">
        <v>48</v>
      </c>
      <c r="C4247" s="1" t="s">
        <v>2442</v>
      </c>
      <c r="D4247" s="1">
        <v>3.0</v>
      </c>
      <c r="E4247" s="1">
        <v>18.0</v>
      </c>
      <c r="F4247" s="1">
        <v>1.0</v>
      </c>
      <c r="G4247" s="1">
        <v>2.0</v>
      </c>
      <c r="H4247" s="1" t="s">
        <v>32</v>
      </c>
      <c r="I4247" s="1" t="s">
        <v>21</v>
      </c>
      <c r="J4247" s="1" t="s">
        <v>18</v>
      </c>
      <c r="K4247" s="1">
        <v>20.0</v>
      </c>
      <c r="L4247" s="1">
        <v>56.96518945</v>
      </c>
      <c r="M4247" s="1">
        <v>24.2353411732595</v>
      </c>
    </row>
    <row r="4248">
      <c r="A4248" s="1" t="s">
        <v>22</v>
      </c>
      <c r="B4248" s="1" t="s">
        <v>23</v>
      </c>
      <c r="C4248" s="1" t="s">
        <v>344</v>
      </c>
      <c r="D4248" s="1">
        <v>4.0</v>
      </c>
      <c r="E4248" s="1">
        <v>108.0</v>
      </c>
      <c r="F4248" s="1">
        <v>2.0</v>
      </c>
      <c r="G4248" s="1">
        <v>7.0</v>
      </c>
      <c r="H4248" s="1" t="s">
        <v>36</v>
      </c>
      <c r="I4248" s="1" t="s">
        <v>37</v>
      </c>
      <c r="J4248" s="1" t="s">
        <v>18</v>
      </c>
      <c r="K4248" s="1">
        <v>185000.0</v>
      </c>
      <c r="L4248" s="1">
        <v>56.96134855</v>
      </c>
      <c r="M4248" s="1">
        <v>24.1036355661932</v>
      </c>
    </row>
    <row r="4249">
      <c r="A4249" s="1" t="s">
        <v>13</v>
      </c>
      <c r="B4249" s="1" t="s">
        <v>30</v>
      </c>
      <c r="C4249" s="1" t="s">
        <v>2443</v>
      </c>
      <c r="D4249" s="1">
        <v>2.0</v>
      </c>
      <c r="E4249" s="1">
        <v>33.0</v>
      </c>
      <c r="F4249" s="1">
        <v>1.0</v>
      </c>
      <c r="G4249" s="1">
        <v>5.0</v>
      </c>
      <c r="H4249" s="1" t="s">
        <v>66</v>
      </c>
      <c r="I4249" s="1" t="s">
        <v>37</v>
      </c>
      <c r="J4249" s="1" t="s">
        <v>18</v>
      </c>
      <c r="K4249" s="1">
        <v>350.0</v>
      </c>
      <c r="L4249" s="1">
        <v>56.9693455</v>
      </c>
      <c r="M4249" s="1">
        <v>24.17841515</v>
      </c>
    </row>
    <row r="4250">
      <c r="A4250" s="1" t="s">
        <v>13</v>
      </c>
      <c r="B4250" s="1" t="s">
        <v>96</v>
      </c>
      <c r="C4250" s="1" t="s">
        <v>2444</v>
      </c>
      <c r="D4250" s="1">
        <v>1.0</v>
      </c>
      <c r="E4250" s="1">
        <v>18.0</v>
      </c>
      <c r="F4250" s="1">
        <v>3.0</v>
      </c>
      <c r="G4250" s="1">
        <v>5.0</v>
      </c>
      <c r="H4250" s="1" t="s">
        <v>36</v>
      </c>
      <c r="I4250" s="1" t="s">
        <v>17</v>
      </c>
      <c r="J4250" s="1" t="s">
        <v>18</v>
      </c>
      <c r="K4250" s="1">
        <v>150.0</v>
      </c>
      <c r="L4250" s="1">
        <v>57.03735625</v>
      </c>
      <c r="M4250" s="1">
        <v>24.0864470265655</v>
      </c>
    </row>
    <row r="4251">
      <c r="A4251" s="1" t="s">
        <v>22</v>
      </c>
      <c r="B4251" s="1" t="s">
        <v>14</v>
      </c>
      <c r="C4251" s="1" t="s">
        <v>2445</v>
      </c>
      <c r="D4251" s="1">
        <v>2.0</v>
      </c>
      <c r="E4251" s="1">
        <v>40.0</v>
      </c>
      <c r="F4251" s="1">
        <v>3.0</v>
      </c>
      <c r="G4251" s="1">
        <v>5.0</v>
      </c>
      <c r="H4251" s="1" t="s">
        <v>16</v>
      </c>
      <c r="I4251" s="1" t="s">
        <v>21</v>
      </c>
      <c r="J4251" s="1" t="s">
        <v>18</v>
      </c>
      <c r="K4251" s="1">
        <v>39900.0</v>
      </c>
      <c r="L4251" s="1">
        <v>56.9604259</v>
      </c>
      <c r="M4251" s="1">
        <v>24.201209</v>
      </c>
    </row>
    <row r="4252">
      <c r="A4252" s="1" t="s">
        <v>22</v>
      </c>
      <c r="B4252" s="1" t="s">
        <v>50</v>
      </c>
      <c r="C4252" s="1" t="s">
        <v>502</v>
      </c>
      <c r="D4252" s="1">
        <v>1.0</v>
      </c>
      <c r="E4252" s="1">
        <v>36.0</v>
      </c>
      <c r="F4252" s="1">
        <v>1.0</v>
      </c>
      <c r="G4252" s="1">
        <v>5.0</v>
      </c>
      <c r="H4252" s="1" t="s">
        <v>36</v>
      </c>
      <c r="I4252" s="1" t="s">
        <v>37</v>
      </c>
      <c r="J4252" s="1" t="s">
        <v>18</v>
      </c>
      <c r="K4252" s="1">
        <v>36000.0</v>
      </c>
      <c r="L4252" s="1">
        <v>56.8597884</v>
      </c>
      <c r="M4252" s="1">
        <v>24.3083417</v>
      </c>
    </row>
    <row r="4253">
      <c r="A4253" s="1" t="s">
        <v>22</v>
      </c>
      <c r="B4253" s="1" t="s">
        <v>104</v>
      </c>
      <c r="C4253" s="1" t="s">
        <v>2446</v>
      </c>
      <c r="D4253" s="1">
        <v>2.0</v>
      </c>
      <c r="E4253" s="1">
        <v>44.0</v>
      </c>
      <c r="F4253" s="1">
        <v>2.0</v>
      </c>
      <c r="G4253" s="1">
        <v>5.0</v>
      </c>
      <c r="H4253" s="1" t="s">
        <v>44</v>
      </c>
      <c r="I4253" s="1" t="s">
        <v>21</v>
      </c>
      <c r="J4253" s="1" t="s">
        <v>18</v>
      </c>
      <c r="K4253" s="1">
        <v>52500.0</v>
      </c>
      <c r="L4253" s="1">
        <v>56.9461441499999</v>
      </c>
      <c r="M4253" s="1">
        <v>24.0672928901655</v>
      </c>
    </row>
    <row r="4254">
      <c r="A4254" s="1" t="s">
        <v>13</v>
      </c>
      <c r="B4254" s="1" t="s">
        <v>151</v>
      </c>
      <c r="C4254" s="1" t="s">
        <v>641</v>
      </c>
      <c r="D4254" s="1">
        <v>2.0</v>
      </c>
      <c r="E4254" s="1">
        <v>40.0</v>
      </c>
      <c r="F4254" s="1">
        <v>4.0</v>
      </c>
      <c r="G4254" s="1">
        <v>5.0</v>
      </c>
      <c r="H4254" s="1" t="s">
        <v>16</v>
      </c>
      <c r="I4254" s="1" t="s">
        <v>21</v>
      </c>
      <c r="J4254" s="1" t="s">
        <v>18</v>
      </c>
      <c r="K4254" s="1">
        <v>330.0</v>
      </c>
      <c r="L4254" s="1">
        <v>56.970867</v>
      </c>
      <c r="M4254" s="1">
        <v>24.0538758814468</v>
      </c>
    </row>
    <row r="4255">
      <c r="A4255" s="1" t="s">
        <v>22</v>
      </c>
      <c r="B4255" s="1" t="s">
        <v>50</v>
      </c>
      <c r="C4255" s="1" t="s">
        <v>1830</v>
      </c>
      <c r="D4255" s="1">
        <v>2.0</v>
      </c>
      <c r="E4255" s="1">
        <v>46.0</v>
      </c>
      <c r="F4255" s="1">
        <v>4.0</v>
      </c>
      <c r="G4255" s="1">
        <v>5.0</v>
      </c>
      <c r="H4255" s="1" t="s">
        <v>36</v>
      </c>
      <c r="I4255" s="1" t="s">
        <v>21</v>
      </c>
      <c r="J4255" s="1" t="s">
        <v>18</v>
      </c>
      <c r="K4255" s="1">
        <v>40800.0</v>
      </c>
      <c r="L4255" s="1">
        <v>56.94475115</v>
      </c>
      <c r="M4255" s="1">
        <v>24.1132172780624</v>
      </c>
    </row>
    <row r="4256">
      <c r="A4256" s="1" t="s">
        <v>22</v>
      </c>
      <c r="B4256" s="1" t="s">
        <v>38</v>
      </c>
      <c r="C4256" s="1" t="s">
        <v>1710</v>
      </c>
      <c r="D4256" s="1">
        <v>2.0</v>
      </c>
      <c r="E4256" s="1">
        <v>50.0</v>
      </c>
      <c r="F4256" s="1">
        <v>5.0</v>
      </c>
      <c r="G4256" s="1">
        <v>5.0</v>
      </c>
      <c r="H4256" s="1" t="s">
        <v>16</v>
      </c>
      <c r="I4256" s="1" t="s">
        <v>21</v>
      </c>
      <c r="J4256" s="1" t="s">
        <v>18</v>
      </c>
      <c r="K4256" s="1">
        <v>50290.0</v>
      </c>
      <c r="L4256" s="1">
        <v>56.9605352</v>
      </c>
      <c r="M4256" s="1">
        <v>24.0273179999999</v>
      </c>
    </row>
    <row r="4257">
      <c r="A4257" s="1" t="s">
        <v>13</v>
      </c>
      <c r="B4257" s="1" t="s">
        <v>23</v>
      </c>
      <c r="C4257" s="1" t="s">
        <v>2447</v>
      </c>
      <c r="D4257" s="1">
        <v>1.0</v>
      </c>
      <c r="E4257" s="1">
        <v>32.0</v>
      </c>
      <c r="F4257" s="1">
        <v>1.0</v>
      </c>
      <c r="G4257" s="1">
        <v>4.0</v>
      </c>
      <c r="H4257" s="1" t="s">
        <v>25</v>
      </c>
      <c r="I4257" s="1" t="s">
        <v>33</v>
      </c>
      <c r="J4257" s="1" t="s">
        <v>27</v>
      </c>
      <c r="K4257" s="1">
        <v>180.0</v>
      </c>
      <c r="L4257" s="1">
        <v>56.97624495</v>
      </c>
      <c r="M4257" s="1">
        <v>24.1434750225153</v>
      </c>
    </row>
    <row r="4258">
      <c r="A4258" s="1" t="s">
        <v>22</v>
      </c>
      <c r="B4258" s="1" t="s">
        <v>38</v>
      </c>
      <c r="C4258" s="1" t="s">
        <v>1104</v>
      </c>
      <c r="D4258" s="1">
        <v>2.0</v>
      </c>
      <c r="E4258" s="1">
        <v>51.0</v>
      </c>
      <c r="F4258" s="1">
        <v>4.0</v>
      </c>
      <c r="G4258" s="1">
        <v>9.0</v>
      </c>
      <c r="H4258" s="1" t="s">
        <v>32</v>
      </c>
      <c r="I4258" s="1" t="s">
        <v>21</v>
      </c>
      <c r="J4258" s="1" t="s">
        <v>18</v>
      </c>
      <c r="K4258" s="1">
        <v>85345.0</v>
      </c>
      <c r="L4258" s="1">
        <v>56.9514132</v>
      </c>
      <c r="M4258" s="1">
        <v>24.0038761753746</v>
      </c>
    </row>
    <row r="4259">
      <c r="A4259" s="1" t="s">
        <v>13</v>
      </c>
      <c r="B4259" s="1" t="s">
        <v>23</v>
      </c>
      <c r="C4259" s="1" t="s">
        <v>2448</v>
      </c>
      <c r="D4259" s="1">
        <v>2.0</v>
      </c>
      <c r="E4259" s="1">
        <v>57.0</v>
      </c>
      <c r="F4259" s="1">
        <v>2.0</v>
      </c>
      <c r="G4259" s="1">
        <v>3.0</v>
      </c>
      <c r="H4259" s="1" t="s">
        <v>25</v>
      </c>
      <c r="I4259" s="1" t="s">
        <v>33</v>
      </c>
      <c r="J4259" s="1" t="s">
        <v>18</v>
      </c>
      <c r="K4259" s="1">
        <v>540.0</v>
      </c>
      <c r="L4259" s="1">
        <v>56.96333825</v>
      </c>
      <c r="M4259" s="1">
        <v>24.1382969970199</v>
      </c>
    </row>
    <row r="4260">
      <c r="A4260" s="1" t="s">
        <v>22</v>
      </c>
      <c r="B4260" s="1" t="s">
        <v>23</v>
      </c>
      <c r="C4260" s="1" t="s">
        <v>837</v>
      </c>
      <c r="D4260" s="1">
        <v>3.0</v>
      </c>
      <c r="E4260" s="1">
        <v>67.0</v>
      </c>
      <c r="F4260" s="1">
        <v>4.0</v>
      </c>
      <c r="G4260" s="1">
        <v>5.0</v>
      </c>
      <c r="H4260" s="1">
        <v>103.0</v>
      </c>
      <c r="I4260" s="1" t="s">
        <v>122</v>
      </c>
      <c r="J4260" s="1" t="s">
        <v>18</v>
      </c>
      <c r="K4260" s="1">
        <v>82500.0</v>
      </c>
      <c r="L4260" s="1">
        <v>56.9702595</v>
      </c>
      <c r="M4260" s="1">
        <v>24.1355050276166</v>
      </c>
    </row>
    <row r="4261">
      <c r="A4261" s="1" t="s">
        <v>22</v>
      </c>
      <c r="B4261" s="1" t="s">
        <v>104</v>
      </c>
      <c r="C4261" s="1" t="s">
        <v>2449</v>
      </c>
      <c r="D4261" s="1">
        <v>2.0</v>
      </c>
      <c r="E4261" s="1">
        <v>56.0</v>
      </c>
      <c r="F4261" s="1">
        <v>5.0</v>
      </c>
      <c r="G4261" s="1">
        <v>5.0</v>
      </c>
      <c r="H4261" s="1" t="s">
        <v>36</v>
      </c>
      <c r="I4261" s="1" t="s">
        <v>37</v>
      </c>
      <c r="J4261" s="1" t="s">
        <v>18</v>
      </c>
      <c r="K4261" s="1">
        <v>63000.0</v>
      </c>
      <c r="L4261" s="1">
        <v>56.9278295</v>
      </c>
      <c r="M4261" s="1">
        <v>24.07532166896</v>
      </c>
    </row>
    <row r="4262">
      <c r="A4262" s="1" t="s">
        <v>13</v>
      </c>
      <c r="B4262" s="1" t="s">
        <v>104</v>
      </c>
      <c r="C4262" s="1" t="s">
        <v>755</v>
      </c>
      <c r="D4262" s="1">
        <v>1.0</v>
      </c>
      <c r="E4262" s="1">
        <v>25.0</v>
      </c>
      <c r="F4262" s="1">
        <v>1.0</v>
      </c>
      <c r="G4262" s="1">
        <v>4.0</v>
      </c>
      <c r="H4262" s="1" t="s">
        <v>44</v>
      </c>
      <c r="I4262" s="1" t="s">
        <v>37</v>
      </c>
      <c r="J4262" s="1" t="s">
        <v>18</v>
      </c>
      <c r="K4262" s="1">
        <v>250.0</v>
      </c>
      <c r="L4262" s="1">
        <v>56.9425516999999</v>
      </c>
      <c r="M4262" s="1">
        <v>24.0948875747729</v>
      </c>
    </row>
    <row r="4263">
      <c r="A4263" s="1" t="s">
        <v>22</v>
      </c>
      <c r="B4263" s="1" t="s">
        <v>23</v>
      </c>
      <c r="C4263" s="1" t="s">
        <v>1532</v>
      </c>
      <c r="D4263" s="1">
        <v>6.0</v>
      </c>
      <c r="E4263" s="1">
        <v>204.0</v>
      </c>
      <c r="F4263" s="1">
        <v>2.0</v>
      </c>
      <c r="G4263" s="1">
        <v>5.0</v>
      </c>
      <c r="H4263" s="1" t="s">
        <v>25</v>
      </c>
      <c r="I4263" s="1" t="s">
        <v>33</v>
      </c>
      <c r="J4263" s="1" t="s">
        <v>18</v>
      </c>
      <c r="K4263" s="1">
        <v>300000.0</v>
      </c>
      <c r="L4263" s="1">
        <v>56.956763</v>
      </c>
      <c r="M4263" s="1">
        <v>24.0954531</v>
      </c>
    </row>
    <row r="4264">
      <c r="A4264" s="1" t="s">
        <v>13</v>
      </c>
      <c r="B4264" s="1" t="s">
        <v>23</v>
      </c>
      <c r="C4264" s="1" t="s">
        <v>2450</v>
      </c>
      <c r="D4264" s="1">
        <v>1.0</v>
      </c>
      <c r="E4264" s="1">
        <v>30.0</v>
      </c>
      <c r="F4264" s="1">
        <v>2.0</v>
      </c>
      <c r="G4264" s="1">
        <v>2.0</v>
      </c>
      <c r="H4264" s="1" t="s">
        <v>25</v>
      </c>
      <c r="I4264" s="1" t="s">
        <v>26</v>
      </c>
      <c r="J4264" s="1" t="s">
        <v>18</v>
      </c>
      <c r="K4264" s="1">
        <v>30.0</v>
      </c>
      <c r="L4264" s="1">
        <v>56.96513</v>
      </c>
      <c r="M4264" s="1">
        <v>24.1388997</v>
      </c>
    </row>
    <row r="4265">
      <c r="A4265" s="1" t="s">
        <v>13</v>
      </c>
      <c r="B4265" s="1" t="s">
        <v>52</v>
      </c>
      <c r="C4265" s="1" t="s">
        <v>2451</v>
      </c>
      <c r="D4265" s="1">
        <v>3.0</v>
      </c>
      <c r="E4265" s="1">
        <v>72.0</v>
      </c>
      <c r="F4265" s="1">
        <v>2.0</v>
      </c>
      <c r="G4265" s="1">
        <v>6.0</v>
      </c>
      <c r="H4265" s="1" t="s">
        <v>32</v>
      </c>
      <c r="I4265" s="1" t="s">
        <v>17</v>
      </c>
      <c r="J4265" s="1" t="s">
        <v>18</v>
      </c>
      <c r="K4265" s="1">
        <v>60.0</v>
      </c>
      <c r="L4265" s="1">
        <v>56.9428355</v>
      </c>
      <c r="M4265" s="1">
        <v>24.00281655</v>
      </c>
    </row>
    <row r="4266">
      <c r="A4266" s="1" t="s">
        <v>22</v>
      </c>
      <c r="B4266" s="1" t="s">
        <v>134</v>
      </c>
      <c r="C4266" s="1" t="s">
        <v>2452</v>
      </c>
      <c r="D4266" s="1">
        <v>3.0</v>
      </c>
      <c r="E4266" s="1">
        <v>55.0</v>
      </c>
      <c r="F4266" s="1">
        <v>1.0</v>
      </c>
      <c r="G4266" s="1">
        <v>5.0</v>
      </c>
      <c r="H4266" s="1" t="s">
        <v>44</v>
      </c>
      <c r="I4266" s="1" t="s">
        <v>37</v>
      </c>
      <c r="J4266" s="1" t="s">
        <v>18</v>
      </c>
      <c r="K4266" s="1">
        <v>43000.0</v>
      </c>
      <c r="L4266" s="1">
        <v>57.04009055</v>
      </c>
      <c r="M4266" s="1">
        <v>24.0246013254787</v>
      </c>
    </row>
    <row r="4267">
      <c r="A4267" s="1" t="s">
        <v>22</v>
      </c>
      <c r="B4267" s="1" t="s">
        <v>23</v>
      </c>
      <c r="C4267" s="1" t="s">
        <v>2260</v>
      </c>
      <c r="D4267" s="1">
        <v>3.0</v>
      </c>
      <c r="E4267" s="1">
        <v>84.0</v>
      </c>
      <c r="F4267" s="1">
        <v>3.0</v>
      </c>
      <c r="G4267" s="1">
        <v>6.0</v>
      </c>
      <c r="H4267" s="1" t="s">
        <v>25</v>
      </c>
      <c r="I4267" s="1" t="s">
        <v>37</v>
      </c>
      <c r="J4267" s="1" t="s">
        <v>18</v>
      </c>
      <c r="K4267" s="1">
        <v>135000.0</v>
      </c>
      <c r="L4267" s="1">
        <v>56.9512368</v>
      </c>
      <c r="M4267" s="1">
        <v>24.1334549</v>
      </c>
    </row>
    <row r="4268">
      <c r="A4268" s="1" t="s">
        <v>22</v>
      </c>
      <c r="B4268" s="1" t="s">
        <v>48</v>
      </c>
      <c r="C4268" s="1" t="s">
        <v>2453</v>
      </c>
      <c r="D4268" s="1">
        <v>1.0</v>
      </c>
      <c r="E4268" s="1">
        <v>35.0</v>
      </c>
      <c r="F4268" s="1">
        <v>2.0</v>
      </c>
      <c r="G4268" s="1">
        <v>5.0</v>
      </c>
      <c r="H4268" s="1">
        <v>103.0</v>
      </c>
      <c r="I4268" s="1" t="s">
        <v>17</v>
      </c>
      <c r="J4268" s="1" t="s">
        <v>18</v>
      </c>
      <c r="K4268" s="1">
        <v>27500.0</v>
      </c>
      <c r="L4268" s="1">
        <v>56.95867065</v>
      </c>
      <c r="M4268" s="1">
        <v>24.2911695189228</v>
      </c>
    </row>
    <row r="4269">
      <c r="A4269" s="1" t="s">
        <v>13</v>
      </c>
      <c r="B4269" s="1" t="s">
        <v>38</v>
      </c>
      <c r="C4269" s="1" t="s">
        <v>2454</v>
      </c>
      <c r="D4269" s="1">
        <v>1.0</v>
      </c>
      <c r="E4269" s="1">
        <v>32.0</v>
      </c>
      <c r="F4269" s="1">
        <v>9.0</v>
      </c>
      <c r="G4269" s="1">
        <v>9.0</v>
      </c>
      <c r="H4269" s="1">
        <v>602.0</v>
      </c>
      <c r="I4269" s="1" t="s">
        <v>21</v>
      </c>
      <c r="J4269" s="1" t="s">
        <v>18</v>
      </c>
      <c r="K4269" s="1">
        <v>260.0</v>
      </c>
      <c r="L4269" s="1" t="s">
        <v>40</v>
      </c>
      <c r="M4269" s="1" t="s">
        <v>40</v>
      </c>
    </row>
    <row r="4270">
      <c r="A4270" s="1" t="s">
        <v>13</v>
      </c>
      <c r="B4270" s="1" t="s">
        <v>23</v>
      </c>
      <c r="C4270" s="1" t="s">
        <v>1603</v>
      </c>
      <c r="D4270" s="1">
        <v>2.0</v>
      </c>
      <c r="E4270" s="1">
        <v>45.0</v>
      </c>
      <c r="F4270" s="1">
        <v>1.0</v>
      </c>
      <c r="G4270" s="1">
        <v>2.0</v>
      </c>
      <c r="H4270" s="1" t="s">
        <v>25</v>
      </c>
      <c r="I4270" s="1" t="s">
        <v>33</v>
      </c>
      <c r="J4270" s="1" t="s">
        <v>18</v>
      </c>
      <c r="K4270" s="1">
        <v>295.0</v>
      </c>
      <c r="L4270" s="1">
        <v>56.9502926</v>
      </c>
      <c r="M4270" s="1">
        <v>24.143564917498</v>
      </c>
    </row>
    <row r="4271">
      <c r="A4271" s="1" t="s">
        <v>22</v>
      </c>
      <c r="B4271" s="1" t="s">
        <v>23</v>
      </c>
      <c r="C4271" s="1" t="s">
        <v>2455</v>
      </c>
      <c r="D4271" s="1">
        <v>2.0</v>
      </c>
      <c r="E4271" s="1">
        <v>82.0</v>
      </c>
      <c r="F4271" s="1">
        <v>1.0</v>
      </c>
      <c r="G4271" s="1">
        <v>2.0</v>
      </c>
      <c r="H4271" s="1" t="s">
        <v>25</v>
      </c>
      <c r="I4271" s="1" t="s">
        <v>26</v>
      </c>
      <c r="J4271" s="1" t="s">
        <v>18</v>
      </c>
      <c r="K4271" s="1">
        <v>36400.0</v>
      </c>
      <c r="L4271" s="1">
        <v>56.9521379</v>
      </c>
      <c r="M4271" s="1">
        <v>24.1467870593252</v>
      </c>
    </row>
    <row r="4272">
      <c r="A4272" s="1" t="s">
        <v>22</v>
      </c>
      <c r="B4272" s="1" t="s">
        <v>96</v>
      </c>
      <c r="C4272" s="1" t="s">
        <v>1348</v>
      </c>
      <c r="D4272" s="1">
        <v>1.0</v>
      </c>
      <c r="E4272" s="1">
        <v>43.0</v>
      </c>
      <c r="F4272" s="1">
        <v>5.0</v>
      </c>
      <c r="G4272" s="1">
        <v>5.0</v>
      </c>
      <c r="H4272" s="1" t="s">
        <v>57</v>
      </c>
      <c r="I4272" s="1" t="s">
        <v>122</v>
      </c>
      <c r="J4272" s="1" t="s">
        <v>18</v>
      </c>
      <c r="K4272" s="1">
        <v>25500.0</v>
      </c>
      <c r="L4272" s="1">
        <v>57.02967645</v>
      </c>
      <c r="M4272" s="1">
        <v>24.1054302151979</v>
      </c>
    </row>
    <row r="4273">
      <c r="A4273" s="1" t="s">
        <v>13</v>
      </c>
      <c r="B4273" s="1" t="s">
        <v>19</v>
      </c>
      <c r="C4273" s="1" t="s">
        <v>2456</v>
      </c>
      <c r="D4273" s="1">
        <v>1.0</v>
      </c>
      <c r="E4273" s="1">
        <v>19.0</v>
      </c>
      <c r="F4273" s="1">
        <v>1.0</v>
      </c>
      <c r="G4273" s="1">
        <v>2.0</v>
      </c>
      <c r="H4273" s="1" t="s">
        <v>36</v>
      </c>
      <c r="I4273" s="1" t="s">
        <v>37</v>
      </c>
      <c r="J4273" s="1" t="s">
        <v>18</v>
      </c>
      <c r="K4273" s="1">
        <v>180.0</v>
      </c>
      <c r="L4273" s="1">
        <v>56.9064394</v>
      </c>
      <c r="M4273" s="1">
        <v>24.1383012</v>
      </c>
    </row>
    <row r="4274">
      <c r="A4274" s="1" t="s">
        <v>22</v>
      </c>
      <c r="B4274" s="1" t="s">
        <v>23</v>
      </c>
      <c r="C4274" s="1" t="s">
        <v>903</v>
      </c>
      <c r="D4274" s="1">
        <v>3.0</v>
      </c>
      <c r="E4274" s="1">
        <v>83.0</v>
      </c>
      <c r="F4274" s="1">
        <v>2.0</v>
      </c>
      <c r="G4274" s="1">
        <v>6.0</v>
      </c>
      <c r="H4274" s="1" t="s">
        <v>66</v>
      </c>
      <c r="I4274" s="1" t="s">
        <v>33</v>
      </c>
      <c r="J4274" s="1" t="s">
        <v>18</v>
      </c>
      <c r="K4274" s="1">
        <v>198960.0</v>
      </c>
      <c r="L4274" s="1">
        <v>56.9567777</v>
      </c>
      <c r="M4274" s="1">
        <v>24.1207762</v>
      </c>
    </row>
    <row r="4275">
      <c r="A4275" s="1" t="s">
        <v>22</v>
      </c>
      <c r="B4275" s="1" t="s">
        <v>60</v>
      </c>
      <c r="C4275" s="1" t="s">
        <v>2457</v>
      </c>
      <c r="D4275" s="1">
        <v>3.0</v>
      </c>
      <c r="E4275" s="1">
        <v>68.0</v>
      </c>
      <c r="F4275" s="1">
        <v>3.0</v>
      </c>
      <c r="G4275" s="1">
        <v>5.0</v>
      </c>
      <c r="H4275" s="1" t="s">
        <v>16</v>
      </c>
      <c r="I4275" s="1" t="s">
        <v>21</v>
      </c>
      <c r="J4275" s="1" t="s">
        <v>18</v>
      </c>
      <c r="K4275" s="1">
        <v>48500.0</v>
      </c>
      <c r="L4275" s="1">
        <v>57.0315147</v>
      </c>
      <c r="M4275" s="1">
        <v>24.0568063522793</v>
      </c>
    </row>
    <row r="4276">
      <c r="A4276" s="1" t="s">
        <v>13</v>
      </c>
      <c r="B4276" s="1" t="s">
        <v>23</v>
      </c>
      <c r="C4276" s="1" t="s">
        <v>2458</v>
      </c>
      <c r="D4276" s="1">
        <v>2.0</v>
      </c>
      <c r="E4276" s="1">
        <v>39.0</v>
      </c>
      <c r="F4276" s="1">
        <v>2.0</v>
      </c>
      <c r="G4276" s="1">
        <v>5.0</v>
      </c>
      <c r="H4276" s="1" t="s">
        <v>16</v>
      </c>
      <c r="I4276" s="1" t="s">
        <v>37</v>
      </c>
      <c r="J4276" s="1" t="s">
        <v>18</v>
      </c>
      <c r="K4276" s="1">
        <v>410.0</v>
      </c>
      <c r="L4276" s="1">
        <v>56.9645580499999</v>
      </c>
      <c r="M4276" s="1">
        <v>24.14910708652</v>
      </c>
    </row>
    <row r="4277">
      <c r="A4277" s="1" t="s">
        <v>13</v>
      </c>
      <c r="B4277" s="1" t="s">
        <v>23</v>
      </c>
      <c r="C4277" s="1" t="s">
        <v>2459</v>
      </c>
      <c r="D4277" s="1">
        <v>2.0</v>
      </c>
      <c r="E4277" s="1">
        <v>46.0</v>
      </c>
      <c r="F4277" s="1">
        <v>5.0</v>
      </c>
      <c r="G4277" s="1">
        <v>5.0</v>
      </c>
      <c r="H4277" s="1" t="s">
        <v>16</v>
      </c>
      <c r="I4277" s="1" t="s">
        <v>37</v>
      </c>
      <c r="J4277" s="1" t="s">
        <v>18</v>
      </c>
      <c r="K4277" s="1">
        <v>430.0</v>
      </c>
      <c r="L4277" s="1">
        <v>56.9642567</v>
      </c>
      <c r="M4277" s="1">
        <v>24.14944395</v>
      </c>
    </row>
    <row r="4278">
      <c r="A4278" s="1" t="s">
        <v>89</v>
      </c>
      <c r="B4278" s="1" t="s">
        <v>74</v>
      </c>
      <c r="C4278" s="2"/>
      <c r="D4278" s="1">
        <v>2.0</v>
      </c>
      <c r="E4278" s="2"/>
      <c r="F4278" s="2"/>
      <c r="G4278" s="2"/>
      <c r="H4278" s="2"/>
      <c r="I4278" s="2"/>
      <c r="J4278" s="1" t="s">
        <v>18</v>
      </c>
      <c r="K4278" s="2"/>
      <c r="L4278" s="1">
        <v>46.3144754</v>
      </c>
      <c r="M4278" s="1">
        <v>11.0480288</v>
      </c>
    </row>
    <row r="4279">
      <c r="A4279" s="1" t="s">
        <v>22</v>
      </c>
      <c r="B4279" s="1" t="s">
        <v>42</v>
      </c>
      <c r="C4279" s="1" t="s">
        <v>2460</v>
      </c>
      <c r="D4279" s="1">
        <v>3.0</v>
      </c>
      <c r="E4279" s="1">
        <v>97.0</v>
      </c>
      <c r="F4279" s="1">
        <v>2.0</v>
      </c>
      <c r="G4279" s="1">
        <v>4.0</v>
      </c>
      <c r="H4279" s="1" t="s">
        <v>32</v>
      </c>
      <c r="I4279" s="1" t="s">
        <v>122</v>
      </c>
      <c r="J4279" s="1" t="s">
        <v>18</v>
      </c>
      <c r="K4279" s="1">
        <v>160000.0</v>
      </c>
      <c r="L4279" s="1">
        <v>56.985773</v>
      </c>
      <c r="M4279" s="1">
        <v>24.2328931499999</v>
      </c>
    </row>
    <row r="4280">
      <c r="A4280" s="1" t="s">
        <v>13</v>
      </c>
      <c r="B4280" s="1" t="s">
        <v>19</v>
      </c>
      <c r="C4280" s="1" t="s">
        <v>814</v>
      </c>
      <c r="D4280" s="1">
        <v>1.0</v>
      </c>
      <c r="E4280" s="1">
        <v>43.0</v>
      </c>
      <c r="F4280" s="1">
        <v>4.0</v>
      </c>
      <c r="G4280" s="1">
        <v>10.0</v>
      </c>
      <c r="H4280" s="1">
        <v>119.0</v>
      </c>
      <c r="I4280" s="1" t="s">
        <v>122</v>
      </c>
      <c r="J4280" s="1" t="s">
        <v>18</v>
      </c>
      <c r="K4280" s="1">
        <v>230.0</v>
      </c>
      <c r="L4280" s="1">
        <v>56.8990307</v>
      </c>
      <c r="M4280" s="1">
        <v>24.0785989</v>
      </c>
    </row>
    <row r="4281">
      <c r="A4281" s="1" t="s">
        <v>13</v>
      </c>
      <c r="B4281" s="1" t="s">
        <v>52</v>
      </c>
      <c r="C4281" s="1" t="s">
        <v>2461</v>
      </c>
      <c r="D4281" s="1">
        <v>1.0</v>
      </c>
      <c r="E4281" s="1">
        <v>45.0</v>
      </c>
      <c r="F4281" s="1">
        <v>3.0</v>
      </c>
      <c r="G4281" s="1">
        <v>9.0</v>
      </c>
      <c r="H4281" s="1" t="s">
        <v>36</v>
      </c>
      <c r="I4281" s="1" t="s">
        <v>122</v>
      </c>
      <c r="J4281" s="1" t="s">
        <v>18</v>
      </c>
      <c r="K4281" s="1">
        <v>25.0</v>
      </c>
      <c r="L4281" s="1">
        <v>56.9461963</v>
      </c>
      <c r="M4281" s="1">
        <v>24.0014164</v>
      </c>
    </row>
    <row r="4282">
      <c r="A4282" s="1" t="s">
        <v>22</v>
      </c>
      <c r="B4282" s="1" t="s">
        <v>23</v>
      </c>
      <c r="C4282" s="1" t="s">
        <v>1259</v>
      </c>
      <c r="D4282" s="1">
        <v>4.0</v>
      </c>
      <c r="E4282" s="1">
        <v>116.0</v>
      </c>
      <c r="F4282" s="1">
        <v>3.0</v>
      </c>
      <c r="G4282" s="1">
        <v>6.0</v>
      </c>
      <c r="H4282" s="1" t="s">
        <v>25</v>
      </c>
      <c r="I4282" s="1" t="s">
        <v>33</v>
      </c>
      <c r="J4282" s="1" t="s">
        <v>18</v>
      </c>
      <c r="K4282" s="1">
        <v>204000.0</v>
      </c>
      <c r="L4282" s="1">
        <v>56.95567115</v>
      </c>
      <c r="M4282" s="1">
        <v>24.1314109608833</v>
      </c>
    </row>
    <row r="4283">
      <c r="A4283" s="1" t="s">
        <v>13</v>
      </c>
      <c r="B4283" s="1" t="s">
        <v>109</v>
      </c>
      <c r="C4283" s="1" t="s">
        <v>2462</v>
      </c>
      <c r="D4283" s="1">
        <v>3.0</v>
      </c>
      <c r="E4283" s="1">
        <v>72.0</v>
      </c>
      <c r="F4283" s="1">
        <v>3.0</v>
      </c>
      <c r="G4283" s="1">
        <v>10.0</v>
      </c>
      <c r="H4283" s="1" t="s">
        <v>32</v>
      </c>
      <c r="I4283" s="1" t="s">
        <v>17</v>
      </c>
      <c r="J4283" s="1" t="s">
        <v>18</v>
      </c>
      <c r="K4283" s="1">
        <v>500.0</v>
      </c>
      <c r="L4283" s="1" t="s">
        <v>40</v>
      </c>
      <c r="M4283" s="1" t="s">
        <v>40</v>
      </c>
    </row>
    <row r="4284">
      <c r="A4284" s="1" t="s">
        <v>13</v>
      </c>
      <c r="B4284" s="1" t="s">
        <v>67</v>
      </c>
      <c r="C4284" s="1" t="s">
        <v>2463</v>
      </c>
      <c r="D4284" s="1">
        <v>2.0</v>
      </c>
      <c r="E4284" s="1">
        <v>60.0</v>
      </c>
      <c r="F4284" s="1">
        <v>3.0</v>
      </c>
      <c r="G4284" s="1">
        <v>5.0</v>
      </c>
      <c r="H4284" s="1" t="s">
        <v>36</v>
      </c>
      <c r="I4284" s="1" t="s">
        <v>17</v>
      </c>
      <c r="J4284" s="1" t="s">
        <v>18</v>
      </c>
      <c r="K4284" s="1">
        <v>250.0</v>
      </c>
      <c r="L4284" s="1">
        <v>56.9631708</v>
      </c>
      <c r="M4284" s="1">
        <v>24.1455676318323</v>
      </c>
    </row>
    <row r="4285">
      <c r="A4285" s="1" t="s">
        <v>13</v>
      </c>
      <c r="B4285" s="1" t="s">
        <v>23</v>
      </c>
      <c r="C4285" s="1" t="s">
        <v>2464</v>
      </c>
      <c r="D4285" s="1">
        <v>3.0</v>
      </c>
      <c r="E4285" s="1">
        <v>71.0</v>
      </c>
      <c r="F4285" s="1">
        <v>2.0</v>
      </c>
      <c r="G4285" s="1">
        <v>5.0</v>
      </c>
      <c r="H4285" s="1" t="s">
        <v>25</v>
      </c>
      <c r="I4285" s="1" t="s">
        <v>33</v>
      </c>
      <c r="J4285" s="1" t="s">
        <v>18</v>
      </c>
      <c r="K4285" s="1">
        <v>420.0</v>
      </c>
      <c r="L4285" s="1">
        <v>56.9534705</v>
      </c>
      <c r="M4285" s="1">
        <v>24.1346227</v>
      </c>
    </row>
    <row r="4286">
      <c r="A4286" s="1" t="s">
        <v>13</v>
      </c>
      <c r="B4286" s="1" t="s">
        <v>23</v>
      </c>
      <c r="C4286" s="1" t="s">
        <v>1259</v>
      </c>
      <c r="D4286" s="1">
        <v>4.0</v>
      </c>
      <c r="E4286" s="1">
        <v>116.0</v>
      </c>
      <c r="F4286" s="1">
        <v>3.0</v>
      </c>
      <c r="G4286" s="1">
        <v>6.0</v>
      </c>
      <c r="H4286" s="1" t="s">
        <v>25</v>
      </c>
      <c r="I4286" s="1" t="s">
        <v>33</v>
      </c>
      <c r="J4286" s="1" t="s">
        <v>18</v>
      </c>
      <c r="K4286" s="1">
        <v>800.0</v>
      </c>
      <c r="L4286" s="1">
        <v>56.95567115</v>
      </c>
      <c r="M4286" s="1">
        <v>24.1314109608833</v>
      </c>
    </row>
    <row r="4287">
      <c r="A4287" s="1" t="s">
        <v>13</v>
      </c>
      <c r="B4287" s="1" t="s">
        <v>14</v>
      </c>
      <c r="C4287" s="1" t="s">
        <v>234</v>
      </c>
      <c r="D4287" s="1">
        <v>2.0</v>
      </c>
      <c r="E4287" s="1">
        <v>49.0</v>
      </c>
      <c r="F4287" s="1">
        <v>1.0</v>
      </c>
      <c r="G4287" s="1">
        <v>1.0</v>
      </c>
      <c r="H4287" s="1">
        <v>602.0</v>
      </c>
      <c r="I4287" s="1" t="s">
        <v>21</v>
      </c>
      <c r="J4287" s="1" t="s">
        <v>18</v>
      </c>
      <c r="K4287" s="1">
        <v>330.0</v>
      </c>
      <c r="L4287" s="1">
        <v>56.95855255</v>
      </c>
      <c r="M4287" s="1">
        <v>24.1753163275791</v>
      </c>
    </row>
    <row r="4288">
      <c r="A4288" s="1" t="s">
        <v>22</v>
      </c>
      <c r="B4288" s="1" t="s">
        <v>23</v>
      </c>
      <c r="C4288" s="1" t="s">
        <v>2465</v>
      </c>
      <c r="D4288" s="1">
        <v>1.0</v>
      </c>
      <c r="E4288" s="1">
        <v>58.0</v>
      </c>
      <c r="F4288" s="1">
        <v>2.0</v>
      </c>
      <c r="G4288" s="1">
        <v>8.0</v>
      </c>
      <c r="H4288" s="1" t="s">
        <v>32</v>
      </c>
      <c r="I4288" s="1" t="s">
        <v>122</v>
      </c>
      <c r="J4288" s="1" t="s">
        <v>18</v>
      </c>
      <c r="K4288" s="1">
        <v>81000.0</v>
      </c>
      <c r="L4288" s="1" t="s">
        <v>40</v>
      </c>
      <c r="M4288" s="1" t="s">
        <v>40</v>
      </c>
    </row>
    <row r="4289">
      <c r="A4289" s="1" t="s">
        <v>22</v>
      </c>
      <c r="B4289" s="1" t="s">
        <v>23</v>
      </c>
      <c r="C4289" s="1" t="s">
        <v>950</v>
      </c>
      <c r="D4289" s="1">
        <v>2.0</v>
      </c>
      <c r="E4289" s="1">
        <v>46.0</v>
      </c>
      <c r="F4289" s="1">
        <v>5.0</v>
      </c>
      <c r="G4289" s="1">
        <v>6.0</v>
      </c>
      <c r="H4289" s="1" t="s">
        <v>25</v>
      </c>
      <c r="I4289" s="1" t="s">
        <v>33</v>
      </c>
      <c r="J4289" s="1" t="s">
        <v>18</v>
      </c>
      <c r="K4289" s="1">
        <v>66000.0</v>
      </c>
      <c r="L4289" s="1">
        <v>56.9615696</v>
      </c>
      <c r="M4289" s="1">
        <v>24.1466121</v>
      </c>
    </row>
    <row r="4290">
      <c r="A4290" s="1" t="s">
        <v>22</v>
      </c>
      <c r="B4290" s="1" t="s">
        <v>38</v>
      </c>
      <c r="C4290" s="1" t="s">
        <v>1035</v>
      </c>
      <c r="D4290" s="1">
        <v>2.0</v>
      </c>
      <c r="E4290" s="1">
        <v>49.0</v>
      </c>
      <c r="F4290" s="1">
        <v>5.0</v>
      </c>
      <c r="G4290" s="1">
        <v>5.0</v>
      </c>
      <c r="H4290" s="1" t="s">
        <v>16</v>
      </c>
      <c r="I4290" s="1" t="s">
        <v>21</v>
      </c>
      <c r="J4290" s="1" t="s">
        <v>18</v>
      </c>
      <c r="K4290" s="1">
        <v>42300.0</v>
      </c>
      <c r="L4290" s="1" t="s">
        <v>40</v>
      </c>
      <c r="M4290" s="1" t="s">
        <v>40</v>
      </c>
    </row>
    <row r="4291">
      <c r="A4291" s="1" t="s">
        <v>22</v>
      </c>
      <c r="B4291" s="1" t="s">
        <v>104</v>
      </c>
      <c r="C4291" s="1" t="s">
        <v>986</v>
      </c>
      <c r="D4291" s="1">
        <v>1.0</v>
      </c>
      <c r="E4291" s="1">
        <v>24.0</v>
      </c>
      <c r="F4291" s="1">
        <v>3.0</v>
      </c>
      <c r="G4291" s="1">
        <v>4.0</v>
      </c>
      <c r="H4291" s="1" t="s">
        <v>44</v>
      </c>
      <c r="I4291" s="1" t="s">
        <v>37</v>
      </c>
      <c r="J4291" s="1" t="s">
        <v>18</v>
      </c>
      <c r="K4291" s="1">
        <v>30000.0</v>
      </c>
      <c r="L4291" s="1">
        <v>56.9372465</v>
      </c>
      <c r="M4291" s="1">
        <v>24.0780844624566</v>
      </c>
    </row>
    <row r="4292">
      <c r="A4292" s="1" t="s">
        <v>22</v>
      </c>
      <c r="B4292" s="1" t="s">
        <v>23</v>
      </c>
      <c r="C4292" s="1" t="s">
        <v>798</v>
      </c>
      <c r="D4292" s="1">
        <v>3.0</v>
      </c>
      <c r="E4292" s="1">
        <v>112.0</v>
      </c>
      <c r="F4292" s="1">
        <v>4.0</v>
      </c>
      <c r="G4292" s="1">
        <v>6.0</v>
      </c>
      <c r="H4292" s="1" t="s">
        <v>25</v>
      </c>
      <c r="I4292" s="1" t="s">
        <v>37</v>
      </c>
      <c r="J4292" s="1" t="s">
        <v>18</v>
      </c>
      <c r="K4292" s="1">
        <v>179000.0</v>
      </c>
      <c r="L4292" s="1">
        <v>56.9555119</v>
      </c>
      <c r="M4292" s="1">
        <v>24.1352351</v>
      </c>
    </row>
    <row r="4293">
      <c r="A4293" s="1" t="s">
        <v>13</v>
      </c>
      <c r="B4293" s="1" t="s">
        <v>74</v>
      </c>
      <c r="C4293" s="1" t="s">
        <v>1985</v>
      </c>
      <c r="D4293" s="1">
        <v>2.0</v>
      </c>
      <c r="E4293" s="1">
        <v>50.0</v>
      </c>
      <c r="F4293" s="1">
        <v>3.0</v>
      </c>
      <c r="G4293" s="1">
        <v>9.0</v>
      </c>
      <c r="H4293" s="1">
        <v>602.0</v>
      </c>
      <c r="I4293" s="1" t="s">
        <v>21</v>
      </c>
      <c r="J4293" s="1" t="s">
        <v>18</v>
      </c>
      <c r="K4293" s="1">
        <v>340.0</v>
      </c>
      <c r="L4293" s="1">
        <v>56.9426158</v>
      </c>
      <c r="M4293" s="1">
        <v>24.2218763</v>
      </c>
    </row>
    <row r="4294">
      <c r="A4294" s="1" t="s">
        <v>13</v>
      </c>
      <c r="B4294" s="1" t="s">
        <v>447</v>
      </c>
      <c r="C4294" s="1" t="s">
        <v>2127</v>
      </c>
      <c r="D4294" s="1">
        <v>2.0</v>
      </c>
      <c r="E4294" s="1">
        <v>81.0</v>
      </c>
      <c r="F4294" s="1">
        <v>3.0</v>
      </c>
      <c r="G4294" s="1">
        <v>4.0</v>
      </c>
      <c r="H4294" s="1" t="s">
        <v>25</v>
      </c>
      <c r="I4294" s="1" t="s">
        <v>37</v>
      </c>
      <c r="J4294" s="1" t="s">
        <v>18</v>
      </c>
      <c r="K4294" s="1">
        <v>500.0</v>
      </c>
      <c r="L4294" s="1">
        <v>56.93929165</v>
      </c>
      <c r="M4294" s="1">
        <v>24.0974332</v>
      </c>
    </row>
    <row r="4295">
      <c r="A4295" s="1" t="s">
        <v>22</v>
      </c>
      <c r="B4295" s="1" t="s">
        <v>14</v>
      </c>
      <c r="C4295" s="1" t="s">
        <v>2466</v>
      </c>
      <c r="D4295" s="1">
        <v>1.0</v>
      </c>
      <c r="E4295" s="1">
        <v>29.0</v>
      </c>
      <c r="F4295" s="1">
        <v>4.0</v>
      </c>
      <c r="G4295" s="1">
        <v>5.0</v>
      </c>
      <c r="H4295" s="1" t="s">
        <v>16</v>
      </c>
      <c r="I4295" s="1" t="s">
        <v>17</v>
      </c>
      <c r="J4295" s="1" t="s">
        <v>18</v>
      </c>
      <c r="K4295" s="1">
        <v>31000.0</v>
      </c>
      <c r="L4295" s="1">
        <v>56.9607718</v>
      </c>
      <c r="M4295" s="1">
        <v>24.1805675999999</v>
      </c>
    </row>
    <row r="4296">
      <c r="A4296" s="1" t="s">
        <v>13</v>
      </c>
      <c r="B4296" s="1" t="s">
        <v>23</v>
      </c>
      <c r="C4296" s="1" t="s">
        <v>888</v>
      </c>
      <c r="D4296" s="1">
        <v>1.0</v>
      </c>
      <c r="E4296" s="1">
        <v>26.0</v>
      </c>
      <c r="F4296" s="1">
        <v>1.0</v>
      </c>
      <c r="G4296" s="1">
        <v>5.0</v>
      </c>
      <c r="H4296" s="1" t="s">
        <v>66</v>
      </c>
      <c r="I4296" s="1" t="s">
        <v>33</v>
      </c>
      <c r="J4296" s="1" t="s">
        <v>18</v>
      </c>
      <c r="K4296" s="1">
        <v>25.0</v>
      </c>
      <c r="L4296" s="1">
        <v>56.94863315</v>
      </c>
      <c r="M4296" s="1">
        <v>24.1500322</v>
      </c>
    </row>
    <row r="4297">
      <c r="A4297" s="1" t="s">
        <v>89</v>
      </c>
      <c r="B4297" s="1" t="s">
        <v>14</v>
      </c>
      <c r="C4297" s="2"/>
      <c r="D4297" s="2"/>
      <c r="E4297" s="1">
        <v>10.0</v>
      </c>
      <c r="F4297" s="1">
        <v>10.0</v>
      </c>
      <c r="G4297" s="1">
        <v>11.0</v>
      </c>
      <c r="H4297" s="2"/>
      <c r="I4297" s="2"/>
      <c r="J4297" s="2"/>
      <c r="K4297" s="2"/>
      <c r="L4297" s="1">
        <v>46.3144754</v>
      </c>
      <c r="M4297" s="1">
        <v>11.0480288</v>
      </c>
    </row>
    <row r="4298">
      <c r="A4298" s="1" t="s">
        <v>89</v>
      </c>
      <c r="B4298" s="1" t="s">
        <v>104</v>
      </c>
      <c r="C4298" s="2"/>
      <c r="D4298" s="2"/>
      <c r="E4298" s="1">
        <v>9.0</v>
      </c>
      <c r="F4298" s="1">
        <v>99.0</v>
      </c>
      <c r="G4298" s="1">
        <v>9.0</v>
      </c>
      <c r="H4298" s="2"/>
      <c r="I4298" s="2"/>
      <c r="J4298" s="2"/>
      <c r="K4298" s="2"/>
      <c r="L4298" s="1">
        <v>46.3144754</v>
      </c>
      <c r="M4298" s="1">
        <v>11.0480288</v>
      </c>
    </row>
    <row r="4299">
      <c r="A4299" s="1" t="s">
        <v>22</v>
      </c>
      <c r="B4299" s="1" t="s">
        <v>38</v>
      </c>
      <c r="C4299" s="1" t="s">
        <v>1850</v>
      </c>
      <c r="D4299" s="1">
        <v>1.0</v>
      </c>
      <c r="E4299" s="1">
        <v>27.27</v>
      </c>
      <c r="F4299" s="1">
        <v>4.0</v>
      </c>
      <c r="G4299" s="1">
        <v>5.0</v>
      </c>
      <c r="H4299" s="1" t="s">
        <v>16</v>
      </c>
      <c r="I4299" s="1" t="s">
        <v>21</v>
      </c>
      <c r="J4299" s="1" t="s">
        <v>18</v>
      </c>
      <c r="K4299" s="1">
        <v>29000.0</v>
      </c>
      <c r="L4299" s="1">
        <v>56.95369035</v>
      </c>
      <c r="M4299" s="1">
        <v>24.0309696516515</v>
      </c>
    </row>
    <row r="4300">
      <c r="A4300" s="1" t="s">
        <v>22</v>
      </c>
      <c r="B4300" s="1" t="s">
        <v>23</v>
      </c>
      <c r="C4300" s="1" t="s">
        <v>2467</v>
      </c>
      <c r="D4300" s="1">
        <v>3.0</v>
      </c>
      <c r="E4300" s="1">
        <v>56.0</v>
      </c>
      <c r="F4300" s="1">
        <v>2.0</v>
      </c>
      <c r="G4300" s="1">
        <v>7.0</v>
      </c>
      <c r="H4300" s="1" t="s">
        <v>36</v>
      </c>
      <c r="I4300" s="1" t="s">
        <v>37</v>
      </c>
      <c r="J4300" s="1" t="s">
        <v>18</v>
      </c>
      <c r="K4300" s="1">
        <v>97000.0</v>
      </c>
      <c r="L4300" s="1">
        <v>56.9764382</v>
      </c>
      <c r="M4300" s="1">
        <v>24.1391902</v>
      </c>
    </row>
    <row r="4301">
      <c r="A4301" s="1" t="s">
        <v>13</v>
      </c>
      <c r="B4301" s="1" t="s">
        <v>23</v>
      </c>
      <c r="C4301" s="1" t="s">
        <v>2468</v>
      </c>
      <c r="D4301" s="1">
        <v>3.0</v>
      </c>
      <c r="E4301" s="1">
        <v>84.0</v>
      </c>
      <c r="F4301" s="1">
        <v>2.0</v>
      </c>
      <c r="G4301" s="1">
        <v>4.0</v>
      </c>
      <c r="H4301" s="1" t="s">
        <v>25</v>
      </c>
      <c r="I4301" s="1" t="s">
        <v>33</v>
      </c>
      <c r="J4301" s="1" t="s">
        <v>18</v>
      </c>
      <c r="K4301" s="1">
        <v>750.0</v>
      </c>
      <c r="L4301" s="1">
        <v>56.9536074</v>
      </c>
      <c r="M4301" s="1">
        <v>24.1337405</v>
      </c>
    </row>
    <row r="4302">
      <c r="A4302" s="1" t="s">
        <v>22</v>
      </c>
      <c r="B4302" s="1" t="s">
        <v>50</v>
      </c>
      <c r="C4302" s="1" t="s">
        <v>1786</v>
      </c>
      <c r="D4302" s="1">
        <v>2.0</v>
      </c>
      <c r="E4302" s="1">
        <v>34.0</v>
      </c>
      <c r="F4302" s="1">
        <v>4.0</v>
      </c>
      <c r="G4302" s="1">
        <v>4.0</v>
      </c>
      <c r="H4302" s="1" t="s">
        <v>25</v>
      </c>
      <c r="I4302" s="1" t="s">
        <v>33</v>
      </c>
      <c r="J4302" s="1" t="s">
        <v>18</v>
      </c>
      <c r="K4302" s="1">
        <v>46500.0</v>
      </c>
      <c r="L4302" s="1">
        <v>56.9390032</v>
      </c>
      <c r="M4302" s="1">
        <v>24.1374188453488</v>
      </c>
    </row>
    <row r="4303">
      <c r="A4303" s="1" t="s">
        <v>13</v>
      </c>
      <c r="B4303" s="1" t="s">
        <v>23</v>
      </c>
      <c r="C4303" s="1" t="s">
        <v>1571</v>
      </c>
      <c r="D4303" s="1">
        <v>2.0</v>
      </c>
      <c r="E4303" s="1">
        <v>90.0</v>
      </c>
      <c r="F4303" s="1">
        <v>3.0</v>
      </c>
      <c r="G4303" s="1">
        <v>6.0</v>
      </c>
      <c r="H4303" s="1" t="s">
        <v>66</v>
      </c>
      <c r="I4303" s="1" t="s">
        <v>37</v>
      </c>
      <c r="J4303" s="1" t="s">
        <v>18</v>
      </c>
      <c r="K4303" s="1">
        <v>680.0</v>
      </c>
      <c r="L4303" s="1">
        <v>56.9585108</v>
      </c>
      <c r="M4303" s="1">
        <v>24.1228978201077</v>
      </c>
    </row>
    <row r="4304">
      <c r="A4304" s="1" t="s">
        <v>22</v>
      </c>
      <c r="B4304" s="1" t="s">
        <v>38</v>
      </c>
      <c r="C4304" s="1" t="s">
        <v>1103</v>
      </c>
      <c r="D4304" s="1">
        <v>3.0</v>
      </c>
      <c r="E4304" s="1">
        <v>60.0</v>
      </c>
      <c r="F4304" s="1">
        <v>8.0</v>
      </c>
      <c r="G4304" s="1">
        <v>9.0</v>
      </c>
      <c r="H4304" s="1" t="s">
        <v>32</v>
      </c>
      <c r="I4304" s="1" t="s">
        <v>21</v>
      </c>
      <c r="J4304" s="1" t="s">
        <v>18</v>
      </c>
      <c r="K4304" s="1">
        <v>105846.0</v>
      </c>
      <c r="L4304" s="1">
        <v>56.9518586</v>
      </c>
      <c r="M4304" s="1">
        <v>24.0049456791553</v>
      </c>
    </row>
    <row r="4305">
      <c r="A4305" s="1" t="s">
        <v>22</v>
      </c>
      <c r="B4305" s="1" t="s">
        <v>28</v>
      </c>
      <c r="C4305" s="1" t="s">
        <v>1830</v>
      </c>
      <c r="D4305" s="1">
        <v>2.0</v>
      </c>
      <c r="E4305" s="1">
        <v>46.0</v>
      </c>
      <c r="F4305" s="1">
        <v>1.0</v>
      </c>
      <c r="G4305" s="1">
        <v>5.0</v>
      </c>
      <c r="H4305" s="1" t="s">
        <v>44</v>
      </c>
      <c r="I4305" s="1" t="s">
        <v>21</v>
      </c>
      <c r="J4305" s="1" t="s">
        <v>18</v>
      </c>
      <c r="K4305" s="1">
        <v>41000.0</v>
      </c>
      <c r="L4305" s="1">
        <v>56.94475115</v>
      </c>
      <c r="M4305" s="1">
        <v>24.1132172780624</v>
      </c>
    </row>
    <row r="4306">
      <c r="A4306" s="1" t="s">
        <v>22</v>
      </c>
      <c r="B4306" s="1" t="s">
        <v>74</v>
      </c>
      <c r="C4306" s="1" t="s">
        <v>75</v>
      </c>
      <c r="D4306" s="1">
        <v>3.0</v>
      </c>
      <c r="E4306" s="1">
        <v>62.0</v>
      </c>
      <c r="F4306" s="1">
        <v>2.0</v>
      </c>
      <c r="G4306" s="1">
        <v>9.0</v>
      </c>
      <c r="H4306" s="1">
        <v>602.0</v>
      </c>
      <c r="I4306" s="1" t="s">
        <v>21</v>
      </c>
      <c r="J4306" s="1" t="s">
        <v>18</v>
      </c>
      <c r="K4306" s="1">
        <v>51000.0</v>
      </c>
      <c r="L4306" s="1">
        <v>56.9397226</v>
      </c>
      <c r="M4306" s="1">
        <v>24.2126243664139</v>
      </c>
    </row>
    <row r="4307">
      <c r="A4307" s="1" t="s">
        <v>22</v>
      </c>
      <c r="B4307" s="1" t="s">
        <v>218</v>
      </c>
      <c r="C4307" s="1" t="s">
        <v>219</v>
      </c>
      <c r="D4307" s="1">
        <v>1.0</v>
      </c>
      <c r="E4307" s="1">
        <v>23.0</v>
      </c>
      <c r="F4307" s="1">
        <v>2.0</v>
      </c>
      <c r="G4307" s="1">
        <v>6.0</v>
      </c>
      <c r="H4307" s="1" t="s">
        <v>36</v>
      </c>
      <c r="I4307" s="1" t="s">
        <v>21</v>
      </c>
      <c r="J4307" s="1" t="s">
        <v>18</v>
      </c>
      <c r="K4307" s="1">
        <v>59990.0</v>
      </c>
      <c r="L4307" s="1">
        <v>56.9453381999999</v>
      </c>
      <c r="M4307" s="1">
        <v>24.1094639533088</v>
      </c>
    </row>
    <row r="4308">
      <c r="A4308" s="1" t="s">
        <v>22</v>
      </c>
      <c r="B4308" s="1" t="s">
        <v>218</v>
      </c>
      <c r="C4308" s="1" t="s">
        <v>219</v>
      </c>
      <c r="D4308" s="1">
        <v>3.0</v>
      </c>
      <c r="E4308" s="1">
        <v>57.0</v>
      </c>
      <c r="F4308" s="1">
        <v>2.0</v>
      </c>
      <c r="G4308" s="1">
        <v>6.0</v>
      </c>
      <c r="H4308" s="1" t="s">
        <v>36</v>
      </c>
      <c r="I4308" s="1" t="s">
        <v>21</v>
      </c>
      <c r="J4308" s="1" t="s">
        <v>18</v>
      </c>
      <c r="K4308" s="1">
        <v>124990.0</v>
      </c>
      <c r="L4308" s="1">
        <v>56.9453381999999</v>
      </c>
      <c r="M4308" s="1">
        <v>24.1094639533088</v>
      </c>
    </row>
    <row r="4309">
      <c r="A4309" s="1" t="s">
        <v>22</v>
      </c>
      <c r="B4309" s="1" t="s">
        <v>218</v>
      </c>
      <c r="C4309" s="1" t="s">
        <v>219</v>
      </c>
      <c r="D4309" s="1">
        <v>1.0</v>
      </c>
      <c r="E4309" s="1">
        <v>26.0</v>
      </c>
      <c r="F4309" s="1">
        <v>2.0</v>
      </c>
      <c r="G4309" s="1">
        <v>6.0</v>
      </c>
      <c r="H4309" s="1" t="s">
        <v>36</v>
      </c>
      <c r="I4309" s="1" t="s">
        <v>21</v>
      </c>
      <c r="J4309" s="1" t="s">
        <v>18</v>
      </c>
      <c r="K4309" s="1">
        <v>59990.0</v>
      </c>
      <c r="L4309" s="1">
        <v>56.9453381999999</v>
      </c>
      <c r="M4309" s="1">
        <v>24.1094639533088</v>
      </c>
    </row>
    <row r="4310">
      <c r="A4310" s="1" t="s">
        <v>22</v>
      </c>
      <c r="B4310" s="1" t="s">
        <v>218</v>
      </c>
      <c r="C4310" s="1" t="s">
        <v>219</v>
      </c>
      <c r="D4310" s="1">
        <v>1.0</v>
      </c>
      <c r="E4310" s="1">
        <v>29.0</v>
      </c>
      <c r="F4310" s="1">
        <v>2.0</v>
      </c>
      <c r="G4310" s="1">
        <v>6.0</v>
      </c>
      <c r="H4310" s="1" t="s">
        <v>36</v>
      </c>
      <c r="I4310" s="1" t="s">
        <v>21</v>
      </c>
      <c r="J4310" s="1" t="s">
        <v>18</v>
      </c>
      <c r="K4310" s="1">
        <v>62990.0</v>
      </c>
      <c r="L4310" s="1">
        <v>56.9453381999999</v>
      </c>
      <c r="M4310" s="1">
        <v>24.1094639533088</v>
      </c>
    </row>
    <row r="4311">
      <c r="A4311" s="1" t="s">
        <v>22</v>
      </c>
      <c r="B4311" s="1" t="s">
        <v>218</v>
      </c>
      <c r="C4311" s="1" t="s">
        <v>219</v>
      </c>
      <c r="D4311" s="1">
        <v>2.0</v>
      </c>
      <c r="E4311" s="1">
        <v>31.0</v>
      </c>
      <c r="F4311" s="1">
        <v>3.0</v>
      </c>
      <c r="G4311" s="1">
        <v>6.0</v>
      </c>
      <c r="H4311" s="1" t="s">
        <v>36</v>
      </c>
      <c r="I4311" s="1" t="s">
        <v>21</v>
      </c>
      <c r="J4311" s="1" t="s">
        <v>18</v>
      </c>
      <c r="K4311" s="1">
        <v>84990.0</v>
      </c>
      <c r="L4311" s="1">
        <v>56.9453381999999</v>
      </c>
      <c r="M4311" s="1">
        <v>24.1094639533088</v>
      </c>
    </row>
    <row r="4312">
      <c r="A4312" s="1" t="s">
        <v>22</v>
      </c>
      <c r="B4312" s="1" t="s">
        <v>30</v>
      </c>
      <c r="C4312" s="1" t="s">
        <v>2469</v>
      </c>
      <c r="D4312" s="1">
        <v>2.0</v>
      </c>
      <c r="E4312" s="1">
        <v>43.0</v>
      </c>
      <c r="F4312" s="1">
        <v>3.0</v>
      </c>
      <c r="G4312" s="1">
        <v>3.0</v>
      </c>
      <c r="H4312" s="1" t="s">
        <v>44</v>
      </c>
      <c r="I4312" s="1" t="s">
        <v>37</v>
      </c>
      <c r="J4312" s="1" t="s">
        <v>18</v>
      </c>
      <c r="K4312" s="1">
        <v>56000.0</v>
      </c>
      <c r="L4312" s="1">
        <v>56.97695975</v>
      </c>
      <c r="M4312" s="1">
        <v>24.190911</v>
      </c>
    </row>
    <row r="4313">
      <c r="A4313" s="1" t="s">
        <v>22</v>
      </c>
      <c r="B4313" s="1" t="s">
        <v>23</v>
      </c>
      <c r="C4313" s="1" t="s">
        <v>2470</v>
      </c>
      <c r="D4313" s="1">
        <v>3.0</v>
      </c>
      <c r="E4313" s="1">
        <v>92.0</v>
      </c>
      <c r="F4313" s="1">
        <v>1.0</v>
      </c>
      <c r="G4313" s="1">
        <v>5.0</v>
      </c>
      <c r="H4313" s="1" t="s">
        <v>25</v>
      </c>
      <c r="I4313" s="1" t="s">
        <v>33</v>
      </c>
      <c r="J4313" s="1" t="s">
        <v>18</v>
      </c>
      <c r="K4313" s="1">
        <v>105000.0</v>
      </c>
      <c r="L4313" s="1">
        <v>56.96169835</v>
      </c>
      <c r="M4313" s="1">
        <v>24.107230245615</v>
      </c>
    </row>
    <row r="4314">
      <c r="A4314" s="1" t="s">
        <v>22</v>
      </c>
      <c r="B4314" s="1" t="s">
        <v>23</v>
      </c>
      <c r="C4314" s="1" t="s">
        <v>196</v>
      </c>
      <c r="D4314" s="1">
        <v>1.0</v>
      </c>
      <c r="E4314" s="1">
        <v>23.0</v>
      </c>
      <c r="F4314" s="1">
        <v>4.0</v>
      </c>
      <c r="G4314" s="1">
        <v>5.0</v>
      </c>
      <c r="H4314" s="1" t="s">
        <v>32</v>
      </c>
      <c r="I4314" s="1" t="s">
        <v>33</v>
      </c>
      <c r="J4314" s="1" t="s">
        <v>18</v>
      </c>
      <c r="K4314" s="1">
        <v>49500.0</v>
      </c>
      <c r="L4314" s="1">
        <v>56.9630577</v>
      </c>
      <c r="M4314" s="1">
        <v>24.1531056</v>
      </c>
    </row>
    <row r="4315">
      <c r="A4315" s="1" t="s">
        <v>22</v>
      </c>
      <c r="B4315" s="1" t="s">
        <v>14</v>
      </c>
      <c r="C4315" s="1" t="s">
        <v>2471</v>
      </c>
      <c r="D4315" s="1">
        <v>3.0</v>
      </c>
      <c r="E4315" s="1">
        <v>65.0</v>
      </c>
      <c r="F4315" s="1">
        <v>3.0</v>
      </c>
      <c r="G4315" s="1">
        <v>9.0</v>
      </c>
      <c r="H4315" s="1">
        <v>602.0</v>
      </c>
      <c r="I4315" s="1" t="s">
        <v>21</v>
      </c>
      <c r="J4315" s="1" t="s">
        <v>18</v>
      </c>
      <c r="K4315" s="1">
        <v>69900.0</v>
      </c>
      <c r="L4315" s="1">
        <v>56.9591346</v>
      </c>
      <c r="M4315" s="1">
        <v>24.183495091011</v>
      </c>
    </row>
    <row r="4316">
      <c r="A4316" s="1" t="s">
        <v>13</v>
      </c>
      <c r="B4316" s="1" t="s">
        <v>109</v>
      </c>
      <c r="C4316" s="1" t="s">
        <v>1605</v>
      </c>
      <c r="D4316" s="1">
        <v>1.0</v>
      </c>
      <c r="E4316" s="1">
        <v>35.0</v>
      </c>
      <c r="F4316" s="1">
        <v>3.0</v>
      </c>
      <c r="G4316" s="1">
        <v>9.0</v>
      </c>
      <c r="H4316" s="1" t="s">
        <v>36</v>
      </c>
      <c r="I4316" s="1" t="s">
        <v>17</v>
      </c>
      <c r="J4316" s="1" t="s">
        <v>18</v>
      </c>
      <c r="K4316" s="1">
        <v>210.0</v>
      </c>
      <c r="L4316" s="1">
        <v>56.9984366</v>
      </c>
      <c r="M4316" s="1">
        <v>24.1328951</v>
      </c>
    </row>
    <row r="4317">
      <c r="A4317" s="1" t="s">
        <v>22</v>
      </c>
      <c r="B4317" s="1" t="s">
        <v>109</v>
      </c>
      <c r="C4317" s="1" t="s">
        <v>2472</v>
      </c>
      <c r="D4317" s="1">
        <v>2.0</v>
      </c>
      <c r="E4317" s="1">
        <v>46.0</v>
      </c>
      <c r="F4317" s="1">
        <v>1.0</v>
      </c>
      <c r="G4317" s="1">
        <v>9.0</v>
      </c>
      <c r="H4317" s="1" t="s">
        <v>36</v>
      </c>
      <c r="I4317" s="1" t="s">
        <v>17</v>
      </c>
      <c r="J4317" s="1" t="s">
        <v>18</v>
      </c>
      <c r="K4317" s="1">
        <v>50500.0</v>
      </c>
      <c r="L4317" s="1" t="s">
        <v>40</v>
      </c>
      <c r="M4317" s="1" t="s">
        <v>40</v>
      </c>
    </row>
    <row r="4318">
      <c r="A4318" s="1" t="s">
        <v>13</v>
      </c>
      <c r="B4318" s="1" t="s">
        <v>19</v>
      </c>
      <c r="C4318" s="1" t="s">
        <v>2473</v>
      </c>
      <c r="D4318" s="1">
        <v>2.0</v>
      </c>
      <c r="E4318" s="1">
        <v>62.0</v>
      </c>
      <c r="F4318" s="1">
        <v>5.0</v>
      </c>
      <c r="G4318" s="1">
        <v>6.0</v>
      </c>
      <c r="H4318" s="1" t="s">
        <v>32</v>
      </c>
      <c r="I4318" s="1" t="s">
        <v>21</v>
      </c>
      <c r="J4318" s="1" t="s">
        <v>18</v>
      </c>
      <c r="K4318" s="1">
        <v>380.0</v>
      </c>
      <c r="L4318" s="1">
        <v>56.9128148</v>
      </c>
      <c r="M4318" s="1">
        <v>24.1202903459285</v>
      </c>
    </row>
    <row r="4319">
      <c r="A4319" s="1" t="s">
        <v>13</v>
      </c>
      <c r="B4319" s="1" t="s">
        <v>129</v>
      </c>
      <c r="C4319" s="1" t="s">
        <v>2474</v>
      </c>
      <c r="D4319" s="1">
        <v>1.0</v>
      </c>
      <c r="E4319" s="1">
        <v>30.0</v>
      </c>
      <c r="F4319" s="1">
        <v>2.0</v>
      </c>
      <c r="G4319" s="1">
        <v>2.0</v>
      </c>
      <c r="H4319" s="1" t="s">
        <v>25</v>
      </c>
      <c r="I4319" s="1" t="s">
        <v>37</v>
      </c>
      <c r="J4319" s="1" t="s">
        <v>27</v>
      </c>
      <c r="K4319" s="1">
        <v>130.0</v>
      </c>
      <c r="L4319" s="1">
        <v>57.0014823</v>
      </c>
      <c r="M4319" s="1">
        <v>24.1210115</v>
      </c>
    </row>
    <row r="4320">
      <c r="A4320" s="1" t="s">
        <v>131</v>
      </c>
      <c r="B4320" s="1" t="s">
        <v>19</v>
      </c>
      <c r="C4320" s="2"/>
      <c r="D4320" s="1">
        <v>2.0</v>
      </c>
      <c r="E4320" s="2"/>
      <c r="F4320" s="2"/>
      <c r="G4320" s="2"/>
      <c r="H4320" s="2"/>
      <c r="I4320" s="2"/>
      <c r="J4320" s="1" t="s">
        <v>18</v>
      </c>
      <c r="K4320" s="2"/>
      <c r="L4320" s="1">
        <v>46.3144754</v>
      </c>
      <c r="M4320" s="1">
        <v>11.0480288</v>
      </c>
    </row>
    <row r="4321">
      <c r="A4321" s="1" t="s">
        <v>13</v>
      </c>
      <c r="B4321" s="1" t="s">
        <v>42</v>
      </c>
      <c r="C4321" s="1" t="s">
        <v>2475</v>
      </c>
      <c r="D4321" s="1">
        <v>1.0</v>
      </c>
      <c r="E4321" s="1">
        <v>35.0</v>
      </c>
      <c r="F4321" s="1">
        <v>5.0</v>
      </c>
      <c r="G4321" s="1">
        <v>12.0</v>
      </c>
      <c r="H4321" s="1" t="s">
        <v>36</v>
      </c>
      <c r="I4321" s="1" t="s">
        <v>37</v>
      </c>
      <c r="J4321" s="1" t="s">
        <v>18</v>
      </c>
      <c r="K4321" s="1">
        <v>170.0</v>
      </c>
      <c r="L4321" s="1">
        <v>56.98700925</v>
      </c>
      <c r="M4321" s="1">
        <v>24.2274638067524</v>
      </c>
    </row>
    <row r="4322">
      <c r="A4322" s="1" t="s">
        <v>13</v>
      </c>
      <c r="B4322" s="1" t="s">
        <v>19</v>
      </c>
      <c r="C4322" s="1" t="s">
        <v>120</v>
      </c>
      <c r="D4322" s="1">
        <v>2.0</v>
      </c>
      <c r="E4322" s="1">
        <v>58.0</v>
      </c>
      <c r="F4322" s="1">
        <v>5.0</v>
      </c>
      <c r="G4322" s="1">
        <v>9.0</v>
      </c>
      <c r="H4322" s="1">
        <v>119.0</v>
      </c>
      <c r="I4322" s="1" t="s">
        <v>17</v>
      </c>
      <c r="J4322" s="1" t="s">
        <v>18</v>
      </c>
      <c r="K4322" s="1">
        <v>340.0</v>
      </c>
      <c r="L4322" s="1">
        <v>56.89859735</v>
      </c>
      <c r="M4322" s="1">
        <v>24.0876707999998</v>
      </c>
    </row>
    <row r="4323">
      <c r="A4323" s="1" t="s">
        <v>13</v>
      </c>
      <c r="B4323" s="1" t="s">
        <v>60</v>
      </c>
      <c r="C4323" s="1" t="s">
        <v>2476</v>
      </c>
      <c r="D4323" s="1">
        <v>1.0</v>
      </c>
      <c r="E4323" s="1">
        <v>25.0</v>
      </c>
      <c r="F4323" s="1">
        <v>2.0</v>
      </c>
      <c r="G4323" s="1">
        <v>2.0</v>
      </c>
      <c r="H4323" s="1" t="s">
        <v>57</v>
      </c>
      <c r="I4323" s="1" t="s">
        <v>17</v>
      </c>
      <c r="J4323" s="1" t="s">
        <v>27</v>
      </c>
      <c r="K4323" s="1">
        <v>100.0</v>
      </c>
      <c r="L4323" s="1">
        <v>57.0272671</v>
      </c>
      <c r="M4323" s="1">
        <v>24.0389108</v>
      </c>
    </row>
    <row r="4324">
      <c r="A4324" s="1" t="s">
        <v>13</v>
      </c>
      <c r="B4324" s="1" t="s">
        <v>23</v>
      </c>
      <c r="C4324" s="1" t="s">
        <v>186</v>
      </c>
      <c r="D4324" s="1">
        <v>1.0</v>
      </c>
      <c r="E4324" s="1">
        <v>15.0</v>
      </c>
      <c r="F4324" s="1">
        <v>4.0</v>
      </c>
      <c r="G4324" s="1">
        <v>5.0</v>
      </c>
      <c r="H4324" s="1" t="s">
        <v>25</v>
      </c>
      <c r="I4324" s="1" t="s">
        <v>37</v>
      </c>
      <c r="J4324" s="1" t="s">
        <v>18</v>
      </c>
      <c r="K4324" s="1">
        <v>140.0</v>
      </c>
      <c r="L4324" s="1">
        <v>56.96383885</v>
      </c>
      <c r="M4324" s="1">
        <v>24.1258646679154</v>
      </c>
    </row>
    <row r="4325">
      <c r="A4325" s="1" t="s">
        <v>13</v>
      </c>
      <c r="B4325" s="1" t="s">
        <v>14</v>
      </c>
      <c r="C4325" s="1" t="s">
        <v>272</v>
      </c>
      <c r="D4325" s="1">
        <v>1.0</v>
      </c>
      <c r="E4325" s="1">
        <v>28.0</v>
      </c>
      <c r="F4325" s="1">
        <v>4.0</v>
      </c>
      <c r="G4325" s="1">
        <v>5.0</v>
      </c>
      <c r="H4325" s="1" t="s">
        <v>16</v>
      </c>
      <c r="I4325" s="1" t="s">
        <v>21</v>
      </c>
      <c r="J4325" s="1" t="s">
        <v>18</v>
      </c>
      <c r="K4325" s="1">
        <v>215.0</v>
      </c>
      <c r="L4325" s="1">
        <v>56.9570069</v>
      </c>
      <c r="M4325" s="1">
        <v>24.1987368</v>
      </c>
    </row>
    <row r="4326">
      <c r="A4326" s="1" t="s">
        <v>22</v>
      </c>
      <c r="B4326" s="1" t="s">
        <v>14</v>
      </c>
      <c r="C4326" s="1" t="s">
        <v>2477</v>
      </c>
      <c r="D4326" s="1">
        <v>3.0</v>
      </c>
      <c r="E4326" s="1">
        <v>59.0</v>
      </c>
      <c r="F4326" s="1">
        <v>2.0</v>
      </c>
      <c r="G4326" s="1">
        <v>9.0</v>
      </c>
      <c r="H4326" s="1">
        <v>467.0</v>
      </c>
      <c r="I4326" s="1" t="s">
        <v>21</v>
      </c>
      <c r="J4326" s="1" t="s">
        <v>18</v>
      </c>
      <c r="K4326" s="1">
        <v>56000.0</v>
      </c>
      <c r="L4326" s="1">
        <v>56.95638065</v>
      </c>
      <c r="M4326" s="1">
        <v>24.1992510440594</v>
      </c>
    </row>
    <row r="4327">
      <c r="A4327" s="1" t="s">
        <v>131</v>
      </c>
      <c r="B4327" s="1" t="s">
        <v>48</v>
      </c>
      <c r="C4327" s="2"/>
      <c r="D4327" s="1">
        <v>3.0</v>
      </c>
      <c r="E4327" s="2"/>
      <c r="F4327" s="2"/>
      <c r="G4327" s="2"/>
      <c r="H4327" s="1" t="s">
        <v>32</v>
      </c>
      <c r="I4327" s="2"/>
      <c r="J4327" s="2"/>
      <c r="K4327" s="2"/>
      <c r="L4327" s="1">
        <v>46.3144754</v>
      </c>
      <c r="M4327" s="1">
        <v>11.0480288</v>
      </c>
    </row>
    <row r="4328">
      <c r="A4328" s="1" t="s">
        <v>22</v>
      </c>
      <c r="B4328" s="1" t="s">
        <v>19</v>
      </c>
      <c r="C4328" s="1" t="s">
        <v>469</v>
      </c>
      <c r="D4328" s="1">
        <v>3.0</v>
      </c>
      <c r="E4328" s="1">
        <v>73.0</v>
      </c>
      <c r="F4328" s="1">
        <v>2.0</v>
      </c>
      <c r="G4328" s="1">
        <v>5.0</v>
      </c>
      <c r="H4328" s="1" t="s">
        <v>36</v>
      </c>
      <c r="I4328" s="1" t="s">
        <v>21</v>
      </c>
      <c r="J4328" s="1" t="s">
        <v>18</v>
      </c>
      <c r="K4328" s="1">
        <v>80000.0</v>
      </c>
      <c r="L4328" s="1">
        <v>56.9108369</v>
      </c>
      <c r="M4328" s="1">
        <v>24.098253430927</v>
      </c>
    </row>
    <row r="4329">
      <c r="A4329" s="1" t="s">
        <v>13</v>
      </c>
      <c r="B4329" s="1" t="s">
        <v>151</v>
      </c>
      <c r="C4329" s="1" t="s">
        <v>2478</v>
      </c>
      <c r="D4329" s="1">
        <v>2.0</v>
      </c>
      <c r="E4329" s="1">
        <v>50.0</v>
      </c>
      <c r="F4329" s="1">
        <v>4.0</v>
      </c>
      <c r="G4329" s="1">
        <v>5.0</v>
      </c>
      <c r="H4329" s="1" t="s">
        <v>16</v>
      </c>
      <c r="I4329" s="1" t="s">
        <v>21</v>
      </c>
      <c r="J4329" s="1" t="s">
        <v>18</v>
      </c>
      <c r="K4329" s="1">
        <v>340.0</v>
      </c>
      <c r="L4329" s="1">
        <v>56.97189285</v>
      </c>
      <c r="M4329" s="1">
        <v>24.0554942419979</v>
      </c>
    </row>
    <row r="4330">
      <c r="A4330" s="1" t="s">
        <v>22</v>
      </c>
      <c r="B4330" s="1" t="s">
        <v>74</v>
      </c>
      <c r="C4330" s="1" t="s">
        <v>2479</v>
      </c>
      <c r="D4330" s="1">
        <v>1.0</v>
      </c>
      <c r="E4330" s="1">
        <v>42.0</v>
      </c>
      <c r="F4330" s="1">
        <v>7.0</v>
      </c>
      <c r="G4330" s="1">
        <v>9.0</v>
      </c>
      <c r="H4330" s="1" t="s">
        <v>57</v>
      </c>
      <c r="I4330" s="1" t="s">
        <v>21</v>
      </c>
      <c r="J4330" s="1" t="s">
        <v>18</v>
      </c>
      <c r="K4330" s="1">
        <v>28500.0</v>
      </c>
      <c r="L4330" s="1">
        <v>56.9424947</v>
      </c>
      <c r="M4330" s="1">
        <v>24.1983588564754</v>
      </c>
    </row>
    <row r="4331">
      <c r="A4331" s="1" t="s">
        <v>13</v>
      </c>
      <c r="B4331" s="1" t="s">
        <v>28</v>
      </c>
      <c r="C4331" s="1" t="s">
        <v>2480</v>
      </c>
      <c r="D4331" s="1">
        <v>2.0</v>
      </c>
      <c r="E4331" s="1">
        <v>49.0</v>
      </c>
      <c r="F4331" s="1">
        <v>5.0</v>
      </c>
      <c r="G4331" s="1">
        <v>5.0</v>
      </c>
      <c r="H4331" s="1" t="s">
        <v>16</v>
      </c>
      <c r="I4331" s="1" t="s">
        <v>21</v>
      </c>
      <c r="J4331" s="1" t="s">
        <v>18</v>
      </c>
      <c r="K4331" s="1">
        <v>330.0</v>
      </c>
      <c r="L4331" s="1">
        <v>56.9023533999999</v>
      </c>
      <c r="M4331" s="1">
        <v>24.1990478</v>
      </c>
    </row>
    <row r="4332">
      <c r="A4332" s="1" t="s">
        <v>13</v>
      </c>
      <c r="B4332" s="1" t="s">
        <v>74</v>
      </c>
      <c r="C4332" s="1" t="s">
        <v>601</v>
      </c>
      <c r="D4332" s="1">
        <v>2.0</v>
      </c>
      <c r="E4332" s="1">
        <v>50.0</v>
      </c>
      <c r="F4332" s="1">
        <v>9.0</v>
      </c>
      <c r="G4332" s="1">
        <v>9.0</v>
      </c>
      <c r="H4332" s="1" t="s">
        <v>32</v>
      </c>
      <c r="I4332" s="1" t="s">
        <v>122</v>
      </c>
      <c r="J4332" s="1" t="s">
        <v>18</v>
      </c>
      <c r="K4332" s="1">
        <v>475.0</v>
      </c>
      <c r="L4332" s="1">
        <v>56.942327</v>
      </c>
      <c r="M4332" s="1">
        <v>24.2300928779978</v>
      </c>
    </row>
    <row r="4333">
      <c r="A4333" s="1" t="s">
        <v>22</v>
      </c>
      <c r="B4333" s="1" t="s">
        <v>104</v>
      </c>
      <c r="C4333" s="1" t="s">
        <v>112</v>
      </c>
      <c r="D4333" s="1">
        <v>2.0</v>
      </c>
      <c r="E4333" s="1">
        <v>37.0</v>
      </c>
      <c r="F4333" s="1">
        <v>2.0</v>
      </c>
      <c r="G4333" s="1">
        <v>2.0</v>
      </c>
      <c r="H4333" s="1" t="s">
        <v>36</v>
      </c>
      <c r="I4333" s="1" t="s">
        <v>26</v>
      </c>
      <c r="J4333" s="1" t="s">
        <v>27</v>
      </c>
      <c r="K4333" s="1">
        <v>22000.0</v>
      </c>
      <c r="L4333" s="1">
        <v>56.9517628</v>
      </c>
      <c r="M4333" s="1">
        <v>24.0673487092408</v>
      </c>
    </row>
    <row r="4334">
      <c r="A4334" s="1" t="s">
        <v>22</v>
      </c>
      <c r="B4334" s="1" t="s">
        <v>23</v>
      </c>
      <c r="C4334" s="1" t="s">
        <v>659</v>
      </c>
      <c r="D4334" s="1">
        <v>5.0</v>
      </c>
      <c r="E4334" s="1">
        <v>68.0</v>
      </c>
      <c r="F4334" s="1">
        <v>2.0</v>
      </c>
      <c r="G4334" s="1">
        <v>2.0</v>
      </c>
      <c r="H4334" s="1" t="s">
        <v>36</v>
      </c>
      <c r="I4334" s="1" t="s">
        <v>26</v>
      </c>
      <c r="J4334" s="1" t="s">
        <v>27</v>
      </c>
      <c r="K4334" s="1">
        <v>28500.0</v>
      </c>
      <c r="L4334" s="1">
        <v>56.95092055</v>
      </c>
      <c r="M4334" s="1">
        <v>24.1461248193206</v>
      </c>
    </row>
    <row r="4335">
      <c r="A4335" s="1" t="s">
        <v>22</v>
      </c>
      <c r="B4335" s="1" t="s">
        <v>96</v>
      </c>
      <c r="C4335" s="1" t="s">
        <v>2481</v>
      </c>
      <c r="D4335" s="1">
        <v>2.0</v>
      </c>
      <c r="E4335" s="1">
        <v>28.0</v>
      </c>
      <c r="F4335" s="1">
        <v>2.0</v>
      </c>
      <c r="G4335" s="1">
        <v>2.0</v>
      </c>
      <c r="H4335" s="1" t="s">
        <v>36</v>
      </c>
      <c r="I4335" s="1" t="s">
        <v>26</v>
      </c>
      <c r="J4335" s="1" t="s">
        <v>27</v>
      </c>
      <c r="K4335" s="1">
        <v>6800.0</v>
      </c>
      <c r="L4335" s="1">
        <v>57.0283804</v>
      </c>
      <c r="M4335" s="1">
        <v>24.11527325</v>
      </c>
    </row>
    <row r="4336">
      <c r="A4336" s="1" t="s">
        <v>22</v>
      </c>
      <c r="B4336" s="1" t="s">
        <v>96</v>
      </c>
      <c r="C4336" s="1" t="s">
        <v>2482</v>
      </c>
      <c r="D4336" s="1">
        <v>1.0</v>
      </c>
      <c r="E4336" s="1">
        <v>27.0</v>
      </c>
      <c r="F4336" s="1">
        <v>2.0</v>
      </c>
      <c r="G4336" s="1">
        <v>2.0</v>
      </c>
      <c r="H4336" s="1" t="s">
        <v>36</v>
      </c>
      <c r="I4336" s="1" t="s">
        <v>26</v>
      </c>
      <c r="J4336" s="1" t="s">
        <v>27</v>
      </c>
      <c r="K4336" s="1">
        <v>6500.0</v>
      </c>
      <c r="L4336" s="1">
        <v>57.02847565</v>
      </c>
      <c r="M4336" s="1">
        <v>24.1135049</v>
      </c>
    </row>
    <row r="4337">
      <c r="A4337" s="1" t="s">
        <v>22</v>
      </c>
      <c r="B4337" s="1" t="s">
        <v>19</v>
      </c>
      <c r="C4337" s="1" t="s">
        <v>1384</v>
      </c>
      <c r="D4337" s="1">
        <v>3.0</v>
      </c>
      <c r="E4337" s="1">
        <v>112.0</v>
      </c>
      <c r="F4337" s="1">
        <v>1.0</v>
      </c>
      <c r="G4337" s="1">
        <v>5.0</v>
      </c>
      <c r="H4337" s="1" t="s">
        <v>32</v>
      </c>
      <c r="I4337" s="1" t="s">
        <v>33</v>
      </c>
      <c r="J4337" s="1" t="s">
        <v>18</v>
      </c>
      <c r="K4337" s="1">
        <v>144000.0</v>
      </c>
      <c r="L4337" s="1">
        <v>56.918403</v>
      </c>
      <c r="M4337" s="1">
        <v>24.0883001</v>
      </c>
    </row>
    <row r="4338">
      <c r="A4338" s="1" t="s">
        <v>22</v>
      </c>
      <c r="B4338" s="1" t="s">
        <v>14</v>
      </c>
      <c r="C4338" s="1" t="s">
        <v>664</v>
      </c>
      <c r="D4338" s="1">
        <v>2.0</v>
      </c>
      <c r="E4338" s="1">
        <v>43.0</v>
      </c>
      <c r="F4338" s="1">
        <v>1.0</v>
      </c>
      <c r="G4338" s="1">
        <v>5.0</v>
      </c>
      <c r="H4338" s="1" t="s">
        <v>44</v>
      </c>
      <c r="I4338" s="1" t="s">
        <v>37</v>
      </c>
      <c r="J4338" s="1" t="s">
        <v>18</v>
      </c>
      <c r="K4338" s="1">
        <v>42999.0</v>
      </c>
      <c r="L4338" s="1">
        <v>56.9651176499999</v>
      </c>
      <c r="M4338" s="1">
        <v>24.1760481976948</v>
      </c>
    </row>
    <row r="4339">
      <c r="A4339" s="1" t="s">
        <v>22</v>
      </c>
      <c r="B4339" s="1" t="s">
        <v>19</v>
      </c>
      <c r="C4339" s="1" t="s">
        <v>2483</v>
      </c>
      <c r="D4339" s="1">
        <v>1.0</v>
      </c>
      <c r="E4339" s="1">
        <v>35.0</v>
      </c>
      <c r="F4339" s="1">
        <v>5.0</v>
      </c>
      <c r="G4339" s="1">
        <v>5.0</v>
      </c>
      <c r="H4339" s="1" t="s">
        <v>44</v>
      </c>
      <c r="I4339" s="1" t="s">
        <v>37</v>
      </c>
      <c r="J4339" s="1" t="s">
        <v>18</v>
      </c>
      <c r="K4339" s="1">
        <v>31250.0</v>
      </c>
      <c r="L4339" s="1">
        <v>56.91347885</v>
      </c>
      <c r="M4339" s="1">
        <v>24.0957387418183</v>
      </c>
    </row>
    <row r="4340">
      <c r="A4340" s="1" t="s">
        <v>13</v>
      </c>
      <c r="B4340" s="1" t="s">
        <v>19</v>
      </c>
      <c r="C4340" s="1" t="s">
        <v>2484</v>
      </c>
      <c r="D4340" s="1">
        <v>3.0</v>
      </c>
      <c r="E4340" s="1">
        <v>61.0</v>
      </c>
      <c r="F4340" s="1">
        <v>7.0</v>
      </c>
      <c r="G4340" s="1">
        <v>9.0</v>
      </c>
      <c r="H4340" s="1">
        <v>602.0</v>
      </c>
      <c r="I4340" s="1" t="s">
        <v>21</v>
      </c>
      <c r="J4340" s="1" t="s">
        <v>18</v>
      </c>
      <c r="K4340" s="1">
        <v>400.0</v>
      </c>
      <c r="L4340" s="1">
        <v>56.9179763</v>
      </c>
      <c r="M4340" s="1">
        <v>24.0944699483486</v>
      </c>
    </row>
    <row r="4341">
      <c r="A4341" s="1" t="s">
        <v>22</v>
      </c>
      <c r="B4341" s="1" t="s">
        <v>23</v>
      </c>
      <c r="C4341" s="1" t="s">
        <v>2485</v>
      </c>
      <c r="D4341" s="1">
        <v>3.0</v>
      </c>
      <c r="E4341" s="1">
        <v>70.0</v>
      </c>
      <c r="F4341" s="1">
        <v>5.0</v>
      </c>
      <c r="G4341" s="1">
        <v>5.0</v>
      </c>
      <c r="H4341" s="1" t="s">
        <v>36</v>
      </c>
      <c r="I4341" s="1" t="s">
        <v>17</v>
      </c>
      <c r="J4341" s="1" t="s">
        <v>18</v>
      </c>
      <c r="K4341" s="1">
        <v>96000.0</v>
      </c>
      <c r="L4341" s="1">
        <v>56.9716816</v>
      </c>
      <c r="M4341" s="1">
        <v>24.1021951</v>
      </c>
    </row>
    <row r="4342">
      <c r="A4342" s="1" t="s">
        <v>22</v>
      </c>
      <c r="B4342" s="1" t="s">
        <v>19</v>
      </c>
      <c r="C4342" s="1" t="s">
        <v>1711</v>
      </c>
      <c r="D4342" s="1">
        <v>2.0</v>
      </c>
      <c r="E4342" s="1">
        <v>31.0</v>
      </c>
      <c r="F4342" s="1">
        <v>2.0</v>
      </c>
      <c r="G4342" s="1">
        <v>5.0</v>
      </c>
      <c r="H4342" s="1" t="s">
        <v>44</v>
      </c>
      <c r="I4342" s="1" t="s">
        <v>37</v>
      </c>
      <c r="J4342" s="1" t="s">
        <v>18</v>
      </c>
      <c r="K4342" s="1">
        <v>12700.0</v>
      </c>
      <c r="L4342" s="1">
        <v>56.9050603999999</v>
      </c>
      <c r="M4342" s="1">
        <v>24.1005756548797</v>
      </c>
    </row>
    <row r="4343">
      <c r="A4343" s="1" t="s">
        <v>13</v>
      </c>
      <c r="B4343" s="1" t="s">
        <v>117</v>
      </c>
      <c r="C4343" s="1" t="s">
        <v>1056</v>
      </c>
      <c r="D4343" s="1">
        <v>2.0</v>
      </c>
      <c r="E4343" s="1">
        <v>37.0</v>
      </c>
      <c r="F4343" s="1">
        <v>4.0</v>
      </c>
      <c r="G4343" s="1">
        <v>9.0</v>
      </c>
      <c r="H4343" s="1" t="s">
        <v>32</v>
      </c>
      <c r="I4343" s="1" t="s">
        <v>33</v>
      </c>
      <c r="J4343" s="1" t="s">
        <v>18</v>
      </c>
      <c r="K4343" s="1">
        <v>430.0</v>
      </c>
      <c r="L4343" s="1">
        <v>56.9888255</v>
      </c>
      <c r="M4343" s="1">
        <v>24.1691659584023</v>
      </c>
    </row>
    <row r="4344">
      <c r="A4344" s="1" t="s">
        <v>13</v>
      </c>
      <c r="B4344" s="1" t="s">
        <v>50</v>
      </c>
      <c r="C4344" s="1" t="s">
        <v>2486</v>
      </c>
      <c r="D4344" s="1">
        <v>1.0</v>
      </c>
      <c r="E4344" s="1">
        <v>14.0</v>
      </c>
      <c r="F4344" s="1">
        <v>4.0</v>
      </c>
      <c r="G4344" s="1">
        <v>4.0</v>
      </c>
      <c r="H4344" s="1" t="s">
        <v>36</v>
      </c>
      <c r="I4344" s="1" t="s">
        <v>33</v>
      </c>
      <c r="J4344" s="1" t="s">
        <v>18</v>
      </c>
      <c r="K4344" s="1">
        <v>80.0</v>
      </c>
      <c r="L4344" s="1">
        <v>56.8597884</v>
      </c>
      <c r="M4344" s="1">
        <v>24.3083417</v>
      </c>
    </row>
    <row r="4345">
      <c r="A4345" s="1" t="s">
        <v>22</v>
      </c>
      <c r="B4345" s="1" t="s">
        <v>19</v>
      </c>
      <c r="C4345" s="1" t="s">
        <v>968</v>
      </c>
      <c r="D4345" s="1">
        <v>3.0</v>
      </c>
      <c r="E4345" s="1">
        <v>117.0</v>
      </c>
      <c r="F4345" s="1">
        <v>2.0</v>
      </c>
      <c r="G4345" s="1">
        <v>6.0</v>
      </c>
      <c r="H4345" s="1" t="s">
        <v>32</v>
      </c>
      <c r="I4345" s="1" t="s">
        <v>33</v>
      </c>
      <c r="J4345" s="1" t="s">
        <v>18</v>
      </c>
      <c r="K4345" s="1">
        <v>149000.0</v>
      </c>
      <c r="L4345" s="1">
        <v>56.90846935</v>
      </c>
      <c r="M4345" s="1">
        <v>24.0786774128357</v>
      </c>
    </row>
    <row r="4346">
      <c r="A4346" s="1" t="s">
        <v>22</v>
      </c>
      <c r="B4346" s="1" t="s">
        <v>50</v>
      </c>
      <c r="C4346" s="1" t="s">
        <v>1220</v>
      </c>
      <c r="D4346" s="1">
        <v>1.0</v>
      </c>
      <c r="E4346" s="1">
        <v>34.0</v>
      </c>
      <c r="F4346" s="1">
        <v>5.0</v>
      </c>
      <c r="G4346" s="1">
        <v>5.0</v>
      </c>
      <c r="H4346" s="1">
        <v>103.0</v>
      </c>
      <c r="I4346" s="1" t="s">
        <v>17</v>
      </c>
      <c r="J4346" s="1" t="s">
        <v>18</v>
      </c>
      <c r="K4346" s="1">
        <v>35000.0</v>
      </c>
      <c r="L4346" s="1">
        <v>56.9379361</v>
      </c>
      <c r="M4346" s="1">
        <v>24.154479</v>
      </c>
    </row>
    <row r="4347">
      <c r="A4347" s="1" t="s">
        <v>22</v>
      </c>
      <c r="B4347" s="1" t="s">
        <v>45</v>
      </c>
      <c r="C4347" s="1" t="s">
        <v>2487</v>
      </c>
      <c r="D4347" s="1">
        <v>3.0</v>
      </c>
      <c r="E4347" s="1">
        <v>57.0</v>
      </c>
      <c r="F4347" s="1">
        <v>2.0</v>
      </c>
      <c r="G4347" s="1">
        <v>5.0</v>
      </c>
      <c r="H4347" s="1" t="s">
        <v>44</v>
      </c>
      <c r="I4347" s="1" t="s">
        <v>21</v>
      </c>
      <c r="J4347" s="1" t="s">
        <v>18</v>
      </c>
      <c r="K4347" s="1">
        <v>49000.0</v>
      </c>
      <c r="L4347" s="1">
        <v>57.01959205</v>
      </c>
      <c r="M4347" s="1">
        <v>24.1357826</v>
      </c>
    </row>
    <row r="4348">
      <c r="A4348" s="1" t="s">
        <v>22</v>
      </c>
      <c r="B4348" s="1" t="s">
        <v>1304</v>
      </c>
      <c r="C4348" s="1" t="s">
        <v>2487</v>
      </c>
      <c r="D4348" s="1">
        <v>3.0</v>
      </c>
      <c r="E4348" s="1">
        <v>57.0</v>
      </c>
      <c r="F4348" s="1">
        <v>2.0</v>
      </c>
      <c r="G4348" s="1">
        <v>5.0</v>
      </c>
      <c r="H4348" s="1" t="s">
        <v>44</v>
      </c>
      <c r="I4348" s="1" t="s">
        <v>21</v>
      </c>
      <c r="J4348" s="1" t="s">
        <v>18</v>
      </c>
      <c r="K4348" s="1">
        <v>49000.0</v>
      </c>
      <c r="L4348" s="1">
        <v>57.01959205</v>
      </c>
      <c r="M4348" s="1">
        <v>24.1357826</v>
      </c>
    </row>
    <row r="4349">
      <c r="A4349" s="1" t="s">
        <v>22</v>
      </c>
      <c r="B4349" s="1" t="s">
        <v>218</v>
      </c>
      <c r="C4349" s="1" t="s">
        <v>1238</v>
      </c>
      <c r="D4349" s="1">
        <v>4.0</v>
      </c>
      <c r="E4349" s="1">
        <v>120.0</v>
      </c>
      <c r="F4349" s="1">
        <v>4.0</v>
      </c>
      <c r="G4349" s="1">
        <v>7.0</v>
      </c>
      <c r="H4349" s="1" t="s">
        <v>32</v>
      </c>
      <c r="I4349" s="1" t="s">
        <v>33</v>
      </c>
      <c r="J4349" s="1" t="s">
        <v>18</v>
      </c>
      <c r="K4349" s="1">
        <v>370000.0</v>
      </c>
      <c r="L4349" s="1">
        <v>56.9503023</v>
      </c>
      <c r="M4349" s="1">
        <v>24.1092472</v>
      </c>
    </row>
    <row r="4350">
      <c r="A4350" s="1" t="s">
        <v>13</v>
      </c>
      <c r="B4350" s="1" t="s">
        <v>23</v>
      </c>
      <c r="C4350" s="1" t="s">
        <v>501</v>
      </c>
      <c r="D4350" s="1">
        <v>1.0</v>
      </c>
      <c r="E4350" s="1">
        <v>20.0</v>
      </c>
      <c r="F4350" s="1">
        <v>6.0</v>
      </c>
      <c r="G4350" s="1">
        <v>6.0</v>
      </c>
      <c r="H4350" s="1" t="s">
        <v>36</v>
      </c>
      <c r="I4350" s="1" t="s">
        <v>122</v>
      </c>
      <c r="J4350" s="1" t="s">
        <v>18</v>
      </c>
      <c r="K4350" s="1">
        <v>225.0</v>
      </c>
      <c r="L4350" s="1">
        <v>56.94440235</v>
      </c>
      <c r="M4350" s="1">
        <v>24.1323630232783</v>
      </c>
    </row>
    <row r="4351">
      <c r="A4351" s="1" t="s">
        <v>13</v>
      </c>
      <c r="B4351" s="1" t="s">
        <v>104</v>
      </c>
      <c r="C4351" s="1" t="s">
        <v>2488</v>
      </c>
      <c r="D4351" s="1">
        <v>1.0</v>
      </c>
      <c r="E4351" s="1">
        <v>35.0</v>
      </c>
      <c r="F4351" s="1">
        <v>3.0</v>
      </c>
      <c r="G4351" s="1">
        <v>6.0</v>
      </c>
      <c r="H4351" s="1" t="s">
        <v>44</v>
      </c>
      <c r="I4351" s="1" t="s">
        <v>33</v>
      </c>
      <c r="J4351" s="1" t="s">
        <v>18</v>
      </c>
      <c r="K4351" s="1">
        <v>300.0</v>
      </c>
      <c r="L4351" s="1">
        <v>56.94310575</v>
      </c>
      <c r="M4351" s="1">
        <v>24.094006388454</v>
      </c>
    </row>
    <row r="4352">
      <c r="A4352" s="1" t="s">
        <v>13</v>
      </c>
      <c r="B4352" s="1" t="s">
        <v>30</v>
      </c>
      <c r="C4352" s="1" t="s">
        <v>2489</v>
      </c>
      <c r="D4352" s="1">
        <v>2.0</v>
      </c>
      <c r="E4352" s="1">
        <v>54.0</v>
      </c>
      <c r="F4352" s="1">
        <v>3.0</v>
      </c>
      <c r="G4352" s="1">
        <v>5.0</v>
      </c>
      <c r="H4352" s="1" t="s">
        <v>66</v>
      </c>
      <c r="I4352" s="1" t="s">
        <v>33</v>
      </c>
      <c r="J4352" s="1" t="s">
        <v>18</v>
      </c>
      <c r="K4352" s="1">
        <v>500.0</v>
      </c>
      <c r="L4352" s="1">
        <v>56.97897505</v>
      </c>
      <c r="M4352" s="1">
        <v>24.1864047682201</v>
      </c>
    </row>
    <row r="4353">
      <c r="A4353" s="1" t="s">
        <v>22</v>
      </c>
      <c r="B4353" s="1" t="s">
        <v>104</v>
      </c>
      <c r="C4353" s="1" t="s">
        <v>415</v>
      </c>
      <c r="D4353" s="1">
        <v>3.0</v>
      </c>
      <c r="E4353" s="1">
        <v>60.0</v>
      </c>
      <c r="F4353" s="1">
        <v>3.0</v>
      </c>
      <c r="G4353" s="1">
        <v>5.0</v>
      </c>
      <c r="H4353" s="1" t="s">
        <v>32</v>
      </c>
      <c r="I4353" s="1" t="s">
        <v>17</v>
      </c>
      <c r="J4353" s="1" t="s">
        <v>18</v>
      </c>
      <c r="K4353" s="1">
        <v>120000.0</v>
      </c>
      <c r="L4353" s="1">
        <v>56.94553165</v>
      </c>
      <c r="M4353" s="1">
        <v>24.092327378378</v>
      </c>
    </row>
    <row r="4354">
      <c r="A4354" s="1" t="s">
        <v>13</v>
      </c>
      <c r="B4354" s="1" t="s">
        <v>30</v>
      </c>
      <c r="C4354" s="1" t="s">
        <v>2490</v>
      </c>
      <c r="D4354" s="1">
        <v>2.0</v>
      </c>
      <c r="E4354" s="1">
        <v>35.0</v>
      </c>
      <c r="F4354" s="1">
        <v>1.0</v>
      </c>
      <c r="G4354" s="1">
        <v>5.0</v>
      </c>
      <c r="H4354" s="1" t="s">
        <v>181</v>
      </c>
      <c r="I4354" s="1" t="s">
        <v>37</v>
      </c>
      <c r="J4354" s="1" t="s">
        <v>18</v>
      </c>
      <c r="K4354" s="1">
        <v>280.0</v>
      </c>
      <c r="L4354" s="1">
        <v>56.98013995</v>
      </c>
      <c r="M4354" s="1">
        <v>24.1788896744202</v>
      </c>
    </row>
    <row r="4355">
      <c r="A4355" s="1" t="s">
        <v>13</v>
      </c>
      <c r="B4355" s="1" t="s">
        <v>74</v>
      </c>
      <c r="C4355" s="1" t="s">
        <v>2082</v>
      </c>
      <c r="D4355" s="1">
        <v>1.0</v>
      </c>
      <c r="E4355" s="1">
        <v>31.0</v>
      </c>
      <c r="F4355" s="1">
        <v>2.0</v>
      </c>
      <c r="G4355" s="1">
        <v>9.0</v>
      </c>
      <c r="H4355" s="1">
        <v>602.0</v>
      </c>
      <c r="I4355" s="1" t="s">
        <v>21</v>
      </c>
      <c r="J4355" s="1" t="s">
        <v>18</v>
      </c>
      <c r="K4355" s="1">
        <v>180.0</v>
      </c>
      <c r="L4355" s="1">
        <v>56.9446815999999</v>
      </c>
      <c r="M4355" s="1">
        <v>24.2145409359572</v>
      </c>
    </row>
    <row r="4356">
      <c r="A4356" s="1" t="s">
        <v>13</v>
      </c>
      <c r="B4356" s="1" t="s">
        <v>23</v>
      </c>
      <c r="C4356" s="1" t="s">
        <v>2491</v>
      </c>
      <c r="D4356" s="1">
        <v>1.0</v>
      </c>
      <c r="E4356" s="1">
        <v>20.0</v>
      </c>
      <c r="F4356" s="1">
        <v>4.0</v>
      </c>
      <c r="G4356" s="1">
        <v>5.0</v>
      </c>
      <c r="H4356" s="1" t="s">
        <v>25</v>
      </c>
      <c r="I4356" s="1" t="s">
        <v>33</v>
      </c>
      <c r="J4356" s="1" t="s">
        <v>27</v>
      </c>
      <c r="K4356" s="1">
        <v>145.0</v>
      </c>
      <c r="L4356" s="1">
        <v>56.9503971</v>
      </c>
      <c r="M4356" s="1">
        <v>24.144978</v>
      </c>
    </row>
    <row r="4357">
      <c r="A4357" s="1" t="s">
        <v>22</v>
      </c>
      <c r="B4357" s="1" t="s">
        <v>67</v>
      </c>
      <c r="C4357" s="1" t="s">
        <v>98</v>
      </c>
      <c r="D4357" s="1">
        <v>3.0</v>
      </c>
      <c r="E4357" s="1">
        <v>60.0</v>
      </c>
      <c r="F4357" s="1">
        <v>4.0</v>
      </c>
      <c r="G4357" s="1">
        <v>5.0</v>
      </c>
      <c r="H4357" s="1" t="s">
        <v>66</v>
      </c>
      <c r="I4357" s="1" t="s">
        <v>33</v>
      </c>
      <c r="J4357" s="1" t="s">
        <v>18</v>
      </c>
      <c r="K4357" s="1">
        <v>125000.0</v>
      </c>
      <c r="L4357" s="1">
        <v>56.9553833</v>
      </c>
      <c r="M4357" s="1">
        <v>24.1488881</v>
      </c>
    </row>
    <row r="4358">
      <c r="A4358" s="1" t="s">
        <v>22</v>
      </c>
      <c r="B4358" s="1" t="s">
        <v>19</v>
      </c>
      <c r="C4358" s="1" t="s">
        <v>1384</v>
      </c>
      <c r="D4358" s="1">
        <v>3.0</v>
      </c>
      <c r="E4358" s="1">
        <v>84.0</v>
      </c>
      <c r="F4358" s="1">
        <v>3.0</v>
      </c>
      <c r="G4358" s="1">
        <v>5.0</v>
      </c>
      <c r="H4358" s="1" t="s">
        <v>32</v>
      </c>
      <c r="I4358" s="1" t="s">
        <v>21</v>
      </c>
      <c r="J4358" s="1" t="s">
        <v>18</v>
      </c>
      <c r="K4358" s="1">
        <v>145000.0</v>
      </c>
      <c r="L4358" s="1">
        <v>56.918403</v>
      </c>
      <c r="M4358" s="1">
        <v>24.0883001</v>
      </c>
    </row>
    <row r="4359">
      <c r="A4359" s="1" t="s">
        <v>22</v>
      </c>
      <c r="B4359" s="1" t="s">
        <v>104</v>
      </c>
      <c r="C4359" s="1" t="s">
        <v>2065</v>
      </c>
      <c r="D4359" s="1">
        <v>1.0</v>
      </c>
      <c r="E4359" s="1">
        <v>30.0</v>
      </c>
      <c r="F4359" s="1">
        <v>3.0</v>
      </c>
      <c r="G4359" s="1">
        <v>4.0</v>
      </c>
      <c r="H4359" s="1" t="s">
        <v>44</v>
      </c>
      <c r="I4359" s="1" t="s">
        <v>37</v>
      </c>
      <c r="J4359" s="1" t="s">
        <v>18</v>
      </c>
      <c r="K4359" s="1">
        <v>29900.0</v>
      </c>
      <c r="L4359" s="1">
        <v>56.92963225</v>
      </c>
      <c r="M4359" s="1">
        <v>24.069660351551</v>
      </c>
    </row>
    <row r="4360">
      <c r="A4360" s="1" t="s">
        <v>22</v>
      </c>
      <c r="B4360" s="1" t="s">
        <v>23</v>
      </c>
      <c r="C4360" s="1" t="s">
        <v>2492</v>
      </c>
      <c r="D4360" s="1">
        <v>3.0</v>
      </c>
      <c r="E4360" s="1">
        <v>84.0</v>
      </c>
      <c r="F4360" s="1">
        <v>5.0</v>
      </c>
      <c r="G4360" s="1">
        <v>7.0</v>
      </c>
      <c r="H4360" s="1" t="s">
        <v>66</v>
      </c>
      <c r="I4360" s="1" t="s">
        <v>33</v>
      </c>
      <c r="J4360" s="1" t="s">
        <v>18</v>
      </c>
      <c r="K4360" s="1">
        <v>135000.0</v>
      </c>
      <c r="L4360" s="1">
        <v>56.960378</v>
      </c>
      <c r="M4360" s="1">
        <v>24.1197764</v>
      </c>
    </row>
    <row r="4361">
      <c r="A4361" s="1" t="s">
        <v>13</v>
      </c>
      <c r="B4361" s="1" t="s">
        <v>30</v>
      </c>
      <c r="C4361" s="1" t="s">
        <v>2493</v>
      </c>
      <c r="D4361" s="1">
        <v>3.0</v>
      </c>
      <c r="E4361" s="1">
        <v>91.0</v>
      </c>
      <c r="F4361" s="1">
        <v>3.0</v>
      </c>
      <c r="G4361" s="1">
        <v>5.0</v>
      </c>
      <c r="H4361" s="1" t="s">
        <v>32</v>
      </c>
      <c r="I4361" s="1" t="s">
        <v>21</v>
      </c>
      <c r="J4361" s="1" t="s">
        <v>18</v>
      </c>
      <c r="K4361" s="1">
        <v>860.0</v>
      </c>
      <c r="L4361" s="1">
        <v>56.9730973</v>
      </c>
      <c r="M4361" s="1">
        <v>24.1660728</v>
      </c>
    </row>
    <row r="4362">
      <c r="A4362" s="1" t="s">
        <v>22</v>
      </c>
      <c r="B4362" s="1" t="s">
        <v>23</v>
      </c>
      <c r="C4362" s="1" t="s">
        <v>2494</v>
      </c>
      <c r="D4362" s="1">
        <v>3.0</v>
      </c>
      <c r="E4362" s="1">
        <v>51.0</v>
      </c>
      <c r="F4362" s="1">
        <v>4.0</v>
      </c>
      <c r="G4362" s="1">
        <v>5.0</v>
      </c>
      <c r="H4362" s="1" t="s">
        <v>25</v>
      </c>
      <c r="I4362" s="1" t="s">
        <v>33</v>
      </c>
      <c r="J4362" s="1" t="s">
        <v>18</v>
      </c>
      <c r="K4362" s="1">
        <v>83000.0</v>
      </c>
      <c r="L4362" s="1">
        <v>56.9528911999999</v>
      </c>
      <c r="M4362" s="1">
        <v>24.1287667632712</v>
      </c>
    </row>
    <row r="4363">
      <c r="A4363" s="1" t="s">
        <v>22</v>
      </c>
      <c r="B4363" s="1" t="s">
        <v>50</v>
      </c>
      <c r="C4363" s="1" t="s">
        <v>2158</v>
      </c>
      <c r="D4363" s="1">
        <v>1.0</v>
      </c>
      <c r="E4363" s="1">
        <v>20.0</v>
      </c>
      <c r="F4363" s="1">
        <v>2.0</v>
      </c>
      <c r="G4363" s="1">
        <v>2.0</v>
      </c>
      <c r="H4363" s="1" t="s">
        <v>25</v>
      </c>
      <c r="I4363" s="1" t="s">
        <v>26</v>
      </c>
      <c r="J4363" s="1" t="s">
        <v>27</v>
      </c>
      <c r="K4363" s="1">
        <v>8880.0</v>
      </c>
      <c r="L4363" s="1">
        <v>56.9388472</v>
      </c>
      <c r="M4363" s="1">
        <v>24.1451816996405</v>
      </c>
    </row>
    <row r="4364">
      <c r="A4364" s="1" t="s">
        <v>22</v>
      </c>
      <c r="B4364" s="1" t="s">
        <v>48</v>
      </c>
      <c r="C4364" s="1" t="s">
        <v>2495</v>
      </c>
      <c r="D4364" s="1">
        <v>1.0</v>
      </c>
      <c r="E4364" s="1">
        <v>12.0</v>
      </c>
      <c r="F4364" s="1">
        <v>1.0</v>
      </c>
      <c r="G4364" s="1">
        <v>2.0</v>
      </c>
      <c r="H4364" s="1" t="s">
        <v>181</v>
      </c>
      <c r="I4364" s="1" t="s">
        <v>26</v>
      </c>
      <c r="J4364" s="1" t="s">
        <v>18</v>
      </c>
      <c r="K4364" s="1">
        <v>14500.0</v>
      </c>
      <c r="L4364" s="1">
        <v>56.96184315</v>
      </c>
      <c r="M4364" s="1">
        <v>24.3024778</v>
      </c>
    </row>
    <row r="4365">
      <c r="A4365" s="1" t="s">
        <v>22</v>
      </c>
      <c r="B4365" s="1" t="s">
        <v>28</v>
      </c>
      <c r="C4365" s="1" t="s">
        <v>1275</v>
      </c>
      <c r="D4365" s="1">
        <v>3.0</v>
      </c>
      <c r="E4365" s="1">
        <v>51.0</v>
      </c>
      <c r="F4365" s="1">
        <v>1.0</v>
      </c>
      <c r="G4365" s="1">
        <v>2.0</v>
      </c>
      <c r="H4365" s="1" t="s">
        <v>36</v>
      </c>
      <c r="I4365" s="1" t="s">
        <v>37</v>
      </c>
      <c r="J4365" s="1" t="s">
        <v>27</v>
      </c>
      <c r="K4365" s="1">
        <v>14970.0</v>
      </c>
      <c r="L4365" s="1">
        <v>56.9198151</v>
      </c>
      <c r="M4365" s="1">
        <v>24.1942607</v>
      </c>
    </row>
    <row r="4366">
      <c r="A4366" s="1" t="s">
        <v>22</v>
      </c>
      <c r="B4366" s="1" t="s">
        <v>106</v>
      </c>
      <c r="C4366" s="1" t="s">
        <v>2496</v>
      </c>
      <c r="D4366" s="1">
        <v>1.0</v>
      </c>
      <c r="E4366" s="1">
        <v>31.0</v>
      </c>
      <c r="F4366" s="1">
        <v>1.0</v>
      </c>
      <c r="G4366" s="1">
        <v>2.0</v>
      </c>
      <c r="H4366" s="1" t="s">
        <v>181</v>
      </c>
      <c r="I4366" s="1" t="s">
        <v>33</v>
      </c>
      <c r="J4366" s="1" t="s">
        <v>27</v>
      </c>
      <c r="K4366" s="1">
        <v>18000.0</v>
      </c>
      <c r="L4366" s="1">
        <v>56.9452853</v>
      </c>
      <c r="M4366" s="1">
        <v>24.0498449511482</v>
      </c>
    </row>
    <row r="4367">
      <c r="A4367" s="1" t="s">
        <v>13</v>
      </c>
      <c r="B4367" s="1" t="s">
        <v>14</v>
      </c>
      <c r="C4367" s="1" t="s">
        <v>960</v>
      </c>
      <c r="D4367" s="1">
        <v>2.0</v>
      </c>
      <c r="E4367" s="1">
        <v>45.0</v>
      </c>
      <c r="F4367" s="1">
        <v>2.0</v>
      </c>
      <c r="G4367" s="1">
        <v>10.0</v>
      </c>
      <c r="H4367" s="1">
        <v>467.0</v>
      </c>
      <c r="I4367" s="1" t="s">
        <v>122</v>
      </c>
      <c r="J4367" s="1" t="s">
        <v>18</v>
      </c>
      <c r="K4367" s="1">
        <v>330.0</v>
      </c>
      <c r="L4367" s="1">
        <v>56.9521699</v>
      </c>
      <c r="M4367" s="1">
        <v>24.1956952983417</v>
      </c>
    </row>
    <row r="4368">
      <c r="A4368" s="1" t="s">
        <v>22</v>
      </c>
      <c r="B4368" s="1" t="s">
        <v>23</v>
      </c>
      <c r="C4368" s="1" t="s">
        <v>2228</v>
      </c>
      <c r="D4368" s="1">
        <v>4.0</v>
      </c>
      <c r="E4368" s="1">
        <v>92.0</v>
      </c>
      <c r="F4368" s="1">
        <v>5.0</v>
      </c>
      <c r="G4368" s="1">
        <v>7.0</v>
      </c>
      <c r="H4368" s="1" t="s">
        <v>25</v>
      </c>
      <c r="I4368" s="1" t="s">
        <v>33</v>
      </c>
      <c r="J4368" s="1" t="s">
        <v>18</v>
      </c>
      <c r="K4368" s="1">
        <v>128755.0</v>
      </c>
      <c r="L4368" s="1">
        <v>56.95029005</v>
      </c>
      <c r="M4368" s="1">
        <v>24.1240679974303</v>
      </c>
    </row>
    <row r="4369">
      <c r="A4369" s="1" t="s">
        <v>22</v>
      </c>
      <c r="B4369" s="1" t="s">
        <v>23</v>
      </c>
      <c r="C4369" s="1" t="s">
        <v>2497</v>
      </c>
      <c r="D4369" s="1">
        <v>2.0</v>
      </c>
      <c r="E4369" s="1">
        <v>49.0</v>
      </c>
      <c r="F4369" s="1">
        <v>5.0</v>
      </c>
      <c r="G4369" s="1">
        <v>9.0</v>
      </c>
      <c r="H4369" s="1">
        <v>467.0</v>
      </c>
      <c r="I4369" s="1" t="s">
        <v>17</v>
      </c>
      <c r="J4369" s="1" t="s">
        <v>18</v>
      </c>
      <c r="K4369" s="1">
        <v>63500.0</v>
      </c>
      <c r="L4369" s="1">
        <v>56.8597884</v>
      </c>
      <c r="M4369" s="1">
        <v>24.3083417</v>
      </c>
    </row>
    <row r="4370">
      <c r="A4370" s="1" t="s">
        <v>22</v>
      </c>
      <c r="B4370" s="1" t="s">
        <v>28</v>
      </c>
      <c r="C4370" s="1" t="s">
        <v>2498</v>
      </c>
      <c r="D4370" s="1">
        <v>2.0</v>
      </c>
      <c r="E4370" s="1">
        <v>48.0</v>
      </c>
      <c r="F4370" s="1">
        <v>4.0</v>
      </c>
      <c r="G4370" s="1">
        <v>5.0</v>
      </c>
      <c r="H4370" s="1" t="s">
        <v>16</v>
      </c>
      <c r="I4370" s="1" t="s">
        <v>21</v>
      </c>
      <c r="J4370" s="1" t="s">
        <v>18</v>
      </c>
      <c r="K4370" s="1">
        <v>49850.0</v>
      </c>
      <c r="L4370" s="1">
        <v>56.913225</v>
      </c>
      <c r="M4370" s="1">
        <v>24.1739766127433</v>
      </c>
    </row>
    <row r="4371">
      <c r="A4371" s="1" t="s">
        <v>89</v>
      </c>
      <c r="B4371" s="1" t="s">
        <v>38</v>
      </c>
      <c r="C4371" s="2"/>
      <c r="D4371" s="1">
        <v>4.0</v>
      </c>
      <c r="E4371" s="2"/>
      <c r="F4371" s="2"/>
      <c r="G4371" s="2"/>
      <c r="H4371" s="2"/>
      <c r="I4371" s="2"/>
      <c r="J4371" s="1" t="s">
        <v>18</v>
      </c>
      <c r="K4371" s="2"/>
      <c r="L4371" s="1">
        <v>46.3144754</v>
      </c>
      <c r="M4371" s="1">
        <v>11.0480288</v>
      </c>
    </row>
    <row r="4372">
      <c r="A4372" s="1" t="s">
        <v>22</v>
      </c>
      <c r="B4372" s="1" t="s">
        <v>30</v>
      </c>
      <c r="C4372" s="1" t="s">
        <v>765</v>
      </c>
      <c r="D4372" s="1">
        <v>2.0</v>
      </c>
      <c r="E4372" s="1">
        <v>57.0</v>
      </c>
      <c r="F4372" s="1">
        <v>3.0</v>
      </c>
      <c r="G4372" s="1">
        <v>5.0</v>
      </c>
      <c r="H4372" s="1" t="s">
        <v>32</v>
      </c>
      <c r="I4372" s="1" t="s">
        <v>17</v>
      </c>
      <c r="J4372" s="1" t="s">
        <v>18</v>
      </c>
      <c r="K4372" s="1">
        <v>80000.0</v>
      </c>
      <c r="L4372" s="1">
        <v>56.9670442</v>
      </c>
      <c r="M4372" s="1">
        <v>24.1820249</v>
      </c>
    </row>
    <row r="4373">
      <c r="A4373" s="1" t="s">
        <v>13</v>
      </c>
      <c r="B4373" s="1" t="s">
        <v>23</v>
      </c>
      <c r="C4373" s="1" t="s">
        <v>2499</v>
      </c>
      <c r="D4373" s="1">
        <v>1.0</v>
      </c>
      <c r="E4373" s="1">
        <v>16.0</v>
      </c>
      <c r="F4373" s="1">
        <v>3.0</v>
      </c>
      <c r="G4373" s="1">
        <v>3.0</v>
      </c>
      <c r="H4373" s="1" t="s">
        <v>25</v>
      </c>
      <c r="I4373" s="1" t="s">
        <v>33</v>
      </c>
      <c r="J4373" s="1" t="s">
        <v>18</v>
      </c>
      <c r="K4373" s="1">
        <v>150.0</v>
      </c>
      <c r="L4373" s="1">
        <v>56.95009165</v>
      </c>
      <c r="M4373" s="1">
        <v>24.1304232666234</v>
      </c>
    </row>
    <row r="4374">
      <c r="A4374" s="1" t="s">
        <v>22</v>
      </c>
      <c r="B4374" s="1" t="s">
        <v>96</v>
      </c>
      <c r="C4374" s="1" t="s">
        <v>1281</v>
      </c>
      <c r="D4374" s="1">
        <v>3.0</v>
      </c>
      <c r="E4374" s="1">
        <v>40.0</v>
      </c>
      <c r="F4374" s="1">
        <v>3.0</v>
      </c>
      <c r="G4374" s="1">
        <v>3.0</v>
      </c>
      <c r="H4374" s="1" t="s">
        <v>181</v>
      </c>
      <c r="I4374" s="1" t="s">
        <v>33</v>
      </c>
      <c r="J4374" s="1" t="s">
        <v>18</v>
      </c>
      <c r="K4374" s="1">
        <v>13890.0</v>
      </c>
      <c r="L4374" s="1">
        <v>57.0297012</v>
      </c>
      <c r="M4374" s="1">
        <v>24.1128846683999</v>
      </c>
    </row>
    <row r="4375">
      <c r="A4375" s="1" t="s">
        <v>13</v>
      </c>
      <c r="B4375" s="1" t="s">
        <v>422</v>
      </c>
      <c r="C4375" s="1" t="s">
        <v>732</v>
      </c>
      <c r="D4375" s="1">
        <v>3.0</v>
      </c>
      <c r="E4375" s="1">
        <v>93.0</v>
      </c>
      <c r="F4375" s="1">
        <v>9.0</v>
      </c>
      <c r="G4375" s="1">
        <v>23.0</v>
      </c>
      <c r="H4375" s="1" t="s">
        <v>32</v>
      </c>
      <c r="I4375" s="1" t="s">
        <v>122</v>
      </c>
      <c r="J4375" s="1" t="s">
        <v>18</v>
      </c>
      <c r="K4375" s="1">
        <v>700.0</v>
      </c>
      <c r="L4375" s="1">
        <v>56.9340645</v>
      </c>
      <c r="M4375" s="1">
        <v>24.0436381</v>
      </c>
    </row>
    <row r="4376">
      <c r="A4376" s="1" t="s">
        <v>13</v>
      </c>
      <c r="B4376" s="1" t="s">
        <v>23</v>
      </c>
      <c r="C4376" s="1" t="s">
        <v>2500</v>
      </c>
      <c r="D4376" s="1">
        <v>1.0</v>
      </c>
      <c r="E4376" s="1">
        <v>29.0</v>
      </c>
      <c r="F4376" s="1">
        <v>4.0</v>
      </c>
      <c r="G4376" s="1">
        <v>5.0</v>
      </c>
      <c r="H4376" s="1" t="s">
        <v>25</v>
      </c>
      <c r="I4376" s="1" t="s">
        <v>37</v>
      </c>
      <c r="J4376" s="1" t="s">
        <v>18</v>
      </c>
      <c r="K4376" s="1">
        <v>350.0</v>
      </c>
      <c r="L4376" s="1">
        <v>56.9475472</v>
      </c>
      <c r="M4376" s="1">
        <v>24.140900363777</v>
      </c>
    </row>
    <row r="4377">
      <c r="A4377" s="1" t="s">
        <v>13</v>
      </c>
      <c r="B4377" s="1" t="s">
        <v>23</v>
      </c>
      <c r="C4377" s="1" t="s">
        <v>969</v>
      </c>
      <c r="D4377" s="1">
        <v>3.0</v>
      </c>
      <c r="E4377" s="1">
        <v>51.0</v>
      </c>
      <c r="F4377" s="1">
        <v>4.0</v>
      </c>
      <c r="G4377" s="1">
        <v>4.0</v>
      </c>
      <c r="H4377" s="1" t="s">
        <v>25</v>
      </c>
      <c r="I4377" s="1" t="s">
        <v>37</v>
      </c>
      <c r="J4377" s="1" t="s">
        <v>18</v>
      </c>
      <c r="K4377" s="1">
        <v>550.0</v>
      </c>
      <c r="L4377" s="1">
        <v>56.9701058</v>
      </c>
      <c r="M4377" s="1">
        <v>24.1047657</v>
      </c>
    </row>
    <row r="4378">
      <c r="A4378" s="1" t="s">
        <v>22</v>
      </c>
      <c r="B4378" s="1" t="s">
        <v>74</v>
      </c>
      <c r="C4378" s="1" t="s">
        <v>1614</v>
      </c>
      <c r="D4378" s="1">
        <v>4.0</v>
      </c>
      <c r="E4378" s="1">
        <v>77.0</v>
      </c>
      <c r="F4378" s="1">
        <v>4.0</v>
      </c>
      <c r="G4378" s="1">
        <v>9.0</v>
      </c>
      <c r="H4378" s="1">
        <v>602.0</v>
      </c>
      <c r="I4378" s="1" t="s">
        <v>21</v>
      </c>
      <c r="J4378" s="1" t="s">
        <v>18</v>
      </c>
      <c r="K4378" s="1">
        <v>74500.0</v>
      </c>
      <c r="L4378" s="1">
        <v>56.9399951</v>
      </c>
      <c r="M4378" s="1">
        <v>24.2115171849586</v>
      </c>
    </row>
    <row r="4379">
      <c r="A4379" s="1" t="s">
        <v>13</v>
      </c>
      <c r="B4379" s="1" t="s">
        <v>228</v>
      </c>
      <c r="C4379" s="1" t="s">
        <v>2501</v>
      </c>
      <c r="D4379" s="1">
        <v>1.0</v>
      </c>
      <c r="E4379" s="1">
        <v>25.0</v>
      </c>
      <c r="F4379" s="1">
        <v>2.0</v>
      </c>
      <c r="G4379" s="1">
        <v>2.0</v>
      </c>
      <c r="H4379" s="1" t="s">
        <v>25</v>
      </c>
      <c r="I4379" s="1" t="s">
        <v>26</v>
      </c>
      <c r="J4379" s="1" t="s">
        <v>27</v>
      </c>
      <c r="K4379" s="1">
        <v>160.0</v>
      </c>
      <c r="L4379" s="1">
        <v>56.9259282</v>
      </c>
      <c r="M4379" s="1">
        <v>24.0636441</v>
      </c>
    </row>
    <row r="4380">
      <c r="A4380" s="1" t="s">
        <v>22</v>
      </c>
      <c r="B4380" s="1" t="s">
        <v>74</v>
      </c>
      <c r="C4380" s="1" t="s">
        <v>1891</v>
      </c>
      <c r="D4380" s="1">
        <v>4.0</v>
      </c>
      <c r="E4380" s="1">
        <v>77.0</v>
      </c>
      <c r="F4380" s="1">
        <v>4.0</v>
      </c>
      <c r="G4380" s="1">
        <v>9.0</v>
      </c>
      <c r="H4380" s="1">
        <v>602.0</v>
      </c>
      <c r="I4380" s="1" t="s">
        <v>21</v>
      </c>
      <c r="J4380" s="1" t="s">
        <v>18</v>
      </c>
      <c r="K4380" s="1">
        <v>63000.0</v>
      </c>
      <c r="L4380" s="1">
        <v>56.9436071</v>
      </c>
      <c r="M4380" s="1">
        <v>24.2189393107488</v>
      </c>
    </row>
    <row r="4381">
      <c r="A4381" s="1" t="s">
        <v>13</v>
      </c>
      <c r="B4381" s="1" t="s">
        <v>129</v>
      </c>
      <c r="C4381" s="1" t="s">
        <v>2502</v>
      </c>
      <c r="D4381" s="1">
        <v>1.0</v>
      </c>
      <c r="E4381" s="1">
        <v>26.12</v>
      </c>
      <c r="F4381" s="1">
        <v>5.0</v>
      </c>
      <c r="G4381" s="1">
        <v>5.0</v>
      </c>
      <c r="H4381" s="1" t="s">
        <v>44</v>
      </c>
      <c r="I4381" s="1" t="s">
        <v>37</v>
      </c>
      <c r="J4381" s="1" t="s">
        <v>18</v>
      </c>
      <c r="K4381" s="1">
        <v>200.0</v>
      </c>
      <c r="L4381" s="1">
        <v>57.00023195</v>
      </c>
      <c r="M4381" s="1">
        <v>24.1192429999999</v>
      </c>
    </row>
    <row r="4382">
      <c r="A4382" s="1" t="s">
        <v>13</v>
      </c>
      <c r="B4382" s="1" t="s">
        <v>23</v>
      </c>
      <c r="C4382" s="1" t="s">
        <v>2503</v>
      </c>
      <c r="D4382" s="1">
        <v>3.0</v>
      </c>
      <c r="E4382" s="1">
        <v>93.0</v>
      </c>
      <c r="F4382" s="1">
        <v>3.0</v>
      </c>
      <c r="G4382" s="1">
        <v>5.0</v>
      </c>
      <c r="H4382" s="1" t="s">
        <v>25</v>
      </c>
      <c r="I4382" s="1" t="s">
        <v>33</v>
      </c>
      <c r="J4382" s="1" t="s">
        <v>18</v>
      </c>
      <c r="K4382" s="1">
        <v>450.0</v>
      </c>
      <c r="L4382" s="1">
        <v>56.9676747</v>
      </c>
      <c r="M4382" s="1">
        <v>24.1452267050793</v>
      </c>
    </row>
    <row r="4383">
      <c r="A4383" s="1" t="s">
        <v>22</v>
      </c>
      <c r="B4383" s="1" t="s">
        <v>52</v>
      </c>
      <c r="C4383" s="1" t="s">
        <v>1609</v>
      </c>
      <c r="D4383" s="1">
        <v>2.0</v>
      </c>
      <c r="E4383" s="1">
        <v>58.0</v>
      </c>
      <c r="F4383" s="1">
        <v>5.0</v>
      </c>
      <c r="G4383" s="1">
        <v>9.0</v>
      </c>
      <c r="H4383" s="1">
        <v>119.0</v>
      </c>
      <c r="I4383" s="1" t="s">
        <v>21</v>
      </c>
      <c r="J4383" s="1" t="s">
        <v>18</v>
      </c>
      <c r="K4383" s="1">
        <v>65000.0</v>
      </c>
      <c r="L4383" s="1">
        <v>56.94716445</v>
      </c>
      <c r="M4383" s="1">
        <v>24.0144371864952</v>
      </c>
    </row>
    <row r="4384">
      <c r="A4384" s="1" t="s">
        <v>89</v>
      </c>
      <c r="B4384" s="1" t="s">
        <v>104</v>
      </c>
      <c r="C4384" s="2"/>
      <c r="D4384" s="1" t="s">
        <v>90</v>
      </c>
      <c r="E4384" s="2"/>
      <c r="F4384" s="2"/>
      <c r="G4384" s="2"/>
      <c r="H4384" s="2"/>
      <c r="I4384" s="2"/>
      <c r="J4384" s="2"/>
      <c r="K4384" s="2"/>
      <c r="L4384" s="1">
        <v>46.3144754</v>
      </c>
      <c r="M4384" s="1">
        <v>11.0480288</v>
      </c>
    </row>
    <row r="4385">
      <c r="A4385" s="1" t="s">
        <v>13</v>
      </c>
      <c r="B4385" s="1" t="s">
        <v>19</v>
      </c>
      <c r="C4385" s="1" t="s">
        <v>2504</v>
      </c>
      <c r="D4385" s="1">
        <v>1.0</v>
      </c>
      <c r="E4385" s="1">
        <v>34.0</v>
      </c>
      <c r="F4385" s="1">
        <v>5.0</v>
      </c>
      <c r="G4385" s="1">
        <v>9.0</v>
      </c>
      <c r="H4385" s="1">
        <v>602.0</v>
      </c>
      <c r="I4385" s="1" t="s">
        <v>21</v>
      </c>
      <c r="J4385" s="1" t="s">
        <v>18</v>
      </c>
      <c r="K4385" s="1">
        <v>220.0</v>
      </c>
      <c r="L4385" s="1">
        <v>56.9150015</v>
      </c>
      <c r="M4385" s="1">
        <v>24.0967059</v>
      </c>
    </row>
    <row r="4386">
      <c r="A4386" s="1" t="s">
        <v>22</v>
      </c>
      <c r="B4386" s="1" t="s">
        <v>52</v>
      </c>
      <c r="C4386" s="1" t="s">
        <v>2505</v>
      </c>
      <c r="D4386" s="1">
        <v>4.0</v>
      </c>
      <c r="E4386" s="1">
        <v>90.0</v>
      </c>
      <c r="F4386" s="1">
        <v>1.0</v>
      </c>
      <c r="G4386" s="1">
        <v>9.0</v>
      </c>
      <c r="H4386" s="1">
        <v>119.0</v>
      </c>
      <c r="I4386" s="1" t="s">
        <v>21</v>
      </c>
      <c r="J4386" s="1" t="s">
        <v>18</v>
      </c>
      <c r="K4386" s="1">
        <v>69900.0</v>
      </c>
      <c r="L4386" s="1">
        <v>54.1436099999999</v>
      </c>
      <c r="M4386" s="1">
        <v>12.05044145</v>
      </c>
    </row>
    <row r="4387">
      <c r="A4387" s="1" t="s">
        <v>13</v>
      </c>
      <c r="B4387" s="1" t="s">
        <v>74</v>
      </c>
      <c r="C4387" s="1" t="s">
        <v>492</v>
      </c>
      <c r="D4387" s="1">
        <v>1.0</v>
      </c>
      <c r="E4387" s="1">
        <v>31.0</v>
      </c>
      <c r="F4387" s="1">
        <v>1.0</v>
      </c>
      <c r="G4387" s="1">
        <v>9.0</v>
      </c>
      <c r="H4387" s="1">
        <v>602.0</v>
      </c>
      <c r="I4387" s="1" t="s">
        <v>21</v>
      </c>
      <c r="J4387" s="1" t="s">
        <v>18</v>
      </c>
      <c r="K4387" s="1">
        <v>210.0</v>
      </c>
      <c r="L4387" s="1">
        <v>56.9385506499999</v>
      </c>
      <c r="M4387" s="1">
        <v>24.201576660629</v>
      </c>
    </row>
    <row r="4388">
      <c r="A4388" s="1" t="s">
        <v>22</v>
      </c>
      <c r="B4388" s="1" t="s">
        <v>96</v>
      </c>
      <c r="C4388" s="1" t="s">
        <v>2506</v>
      </c>
      <c r="D4388" s="1">
        <v>2.0</v>
      </c>
      <c r="E4388" s="1">
        <v>62.0</v>
      </c>
      <c r="F4388" s="1">
        <v>2.0</v>
      </c>
      <c r="G4388" s="1">
        <v>3.0</v>
      </c>
      <c r="H4388" s="1" t="s">
        <v>181</v>
      </c>
      <c r="I4388" s="1" t="s">
        <v>33</v>
      </c>
      <c r="J4388" s="1" t="s">
        <v>18</v>
      </c>
      <c r="K4388" s="1">
        <v>42900.0</v>
      </c>
      <c r="L4388" s="1">
        <v>57.0448915</v>
      </c>
      <c r="M4388" s="1">
        <v>24.0918912848871</v>
      </c>
    </row>
    <row r="4389">
      <c r="A4389" s="1" t="s">
        <v>13</v>
      </c>
      <c r="B4389" s="1" t="s">
        <v>109</v>
      </c>
      <c r="C4389" s="1" t="s">
        <v>2507</v>
      </c>
      <c r="D4389" s="1">
        <v>4.0</v>
      </c>
      <c r="E4389" s="1">
        <v>151.0</v>
      </c>
      <c r="F4389" s="1">
        <v>2.0</v>
      </c>
      <c r="G4389" s="1">
        <v>3.0</v>
      </c>
      <c r="H4389" s="1" t="s">
        <v>25</v>
      </c>
      <c r="I4389" s="1" t="s">
        <v>33</v>
      </c>
      <c r="J4389" s="1" t="s">
        <v>18</v>
      </c>
      <c r="K4389" s="1">
        <v>1900.0</v>
      </c>
      <c r="L4389" s="1" t="s">
        <v>40</v>
      </c>
      <c r="M4389" s="1" t="s">
        <v>40</v>
      </c>
    </row>
    <row r="4390">
      <c r="A4390" s="1" t="s">
        <v>13</v>
      </c>
      <c r="B4390" s="1" t="s">
        <v>23</v>
      </c>
      <c r="C4390" s="1" t="s">
        <v>1344</v>
      </c>
      <c r="D4390" s="1">
        <v>1.0</v>
      </c>
      <c r="E4390" s="1">
        <v>13.0</v>
      </c>
      <c r="F4390" s="1">
        <v>2.0</v>
      </c>
      <c r="G4390" s="1">
        <v>2.0</v>
      </c>
      <c r="H4390" s="1" t="s">
        <v>66</v>
      </c>
      <c r="I4390" s="1" t="s">
        <v>33</v>
      </c>
      <c r="J4390" s="1" t="s">
        <v>18</v>
      </c>
      <c r="K4390" s="1">
        <v>295.0</v>
      </c>
      <c r="L4390" s="1">
        <v>56.95712685</v>
      </c>
      <c r="M4390" s="1">
        <v>24.1375877857218</v>
      </c>
    </row>
    <row r="4391">
      <c r="A4391" s="1" t="s">
        <v>13</v>
      </c>
      <c r="B4391" s="1" t="s">
        <v>14</v>
      </c>
      <c r="C4391" s="1" t="s">
        <v>2508</v>
      </c>
      <c r="D4391" s="1">
        <v>1.0</v>
      </c>
      <c r="E4391" s="1">
        <v>44.0</v>
      </c>
      <c r="F4391" s="1">
        <v>7.0</v>
      </c>
      <c r="G4391" s="1">
        <v>12.0</v>
      </c>
      <c r="H4391" s="1">
        <v>104.0</v>
      </c>
      <c r="I4391" s="1" t="s">
        <v>21</v>
      </c>
      <c r="J4391" s="1" t="s">
        <v>18</v>
      </c>
      <c r="K4391" s="1">
        <v>250.0</v>
      </c>
      <c r="L4391" s="1">
        <v>56.95225155</v>
      </c>
      <c r="M4391" s="1">
        <v>24.17958265</v>
      </c>
    </row>
    <row r="4392">
      <c r="A4392" s="1" t="s">
        <v>13</v>
      </c>
      <c r="B4392" s="1" t="s">
        <v>52</v>
      </c>
      <c r="C4392" s="1" t="s">
        <v>496</v>
      </c>
      <c r="D4392" s="1">
        <v>3.0</v>
      </c>
      <c r="E4392" s="1">
        <v>70.0</v>
      </c>
      <c r="F4392" s="1">
        <v>2.0</v>
      </c>
      <c r="G4392" s="1">
        <v>10.0</v>
      </c>
      <c r="H4392" s="1">
        <v>119.0</v>
      </c>
      <c r="I4392" s="1" t="s">
        <v>21</v>
      </c>
      <c r="J4392" s="1" t="s">
        <v>18</v>
      </c>
      <c r="K4392" s="1">
        <v>300.0</v>
      </c>
      <c r="L4392" s="1">
        <v>56.94454425</v>
      </c>
      <c r="M4392" s="1">
        <v>24.0173908499999</v>
      </c>
    </row>
    <row r="4393">
      <c r="A4393" s="1" t="s">
        <v>13</v>
      </c>
      <c r="B4393" s="1" t="s">
        <v>23</v>
      </c>
      <c r="C4393" s="1" t="s">
        <v>2509</v>
      </c>
      <c r="D4393" s="1">
        <v>1.0</v>
      </c>
      <c r="E4393" s="1">
        <v>33.0</v>
      </c>
      <c r="F4393" s="1">
        <v>2.0</v>
      </c>
      <c r="G4393" s="1">
        <v>2.0</v>
      </c>
      <c r="H4393" s="1" t="s">
        <v>25</v>
      </c>
      <c r="I4393" s="1" t="s">
        <v>26</v>
      </c>
      <c r="J4393" s="1" t="s">
        <v>18</v>
      </c>
      <c r="K4393" s="1">
        <v>265.0</v>
      </c>
      <c r="L4393" s="1">
        <v>56.9577769</v>
      </c>
      <c r="M4393" s="1">
        <v>24.1314333986467</v>
      </c>
    </row>
    <row r="4394">
      <c r="A4394" s="1" t="s">
        <v>13</v>
      </c>
      <c r="B4394" s="1" t="s">
        <v>50</v>
      </c>
      <c r="C4394" s="1" t="s">
        <v>647</v>
      </c>
      <c r="D4394" s="1">
        <v>1.0</v>
      </c>
      <c r="E4394" s="1">
        <v>23.0</v>
      </c>
      <c r="F4394" s="1">
        <v>1.0</v>
      </c>
      <c r="G4394" s="1">
        <v>1.0</v>
      </c>
      <c r="H4394" s="1" t="s">
        <v>66</v>
      </c>
      <c r="I4394" s="1" t="s">
        <v>122</v>
      </c>
      <c r="J4394" s="1" t="s">
        <v>18</v>
      </c>
      <c r="K4394" s="1">
        <v>250.0</v>
      </c>
      <c r="L4394" s="1">
        <v>56.8597884</v>
      </c>
      <c r="M4394" s="1">
        <v>24.3083417</v>
      </c>
    </row>
    <row r="4395">
      <c r="A4395" s="1" t="s">
        <v>22</v>
      </c>
      <c r="B4395" s="1" t="s">
        <v>23</v>
      </c>
      <c r="C4395" s="1" t="s">
        <v>408</v>
      </c>
      <c r="D4395" s="1">
        <v>1.0</v>
      </c>
      <c r="E4395" s="1">
        <v>25.0</v>
      </c>
      <c r="F4395" s="1">
        <v>5.0</v>
      </c>
      <c r="G4395" s="1">
        <v>5.0</v>
      </c>
      <c r="H4395" s="1" t="s">
        <v>66</v>
      </c>
      <c r="I4395" s="1" t="s">
        <v>33</v>
      </c>
      <c r="J4395" s="1" t="s">
        <v>18</v>
      </c>
      <c r="K4395" s="1">
        <v>59990.0</v>
      </c>
      <c r="L4395" s="1">
        <v>56.949246</v>
      </c>
      <c r="M4395" s="1">
        <v>24.1208219161591</v>
      </c>
    </row>
    <row r="4396">
      <c r="A4396" s="1" t="s">
        <v>22</v>
      </c>
      <c r="B4396" s="1" t="s">
        <v>23</v>
      </c>
      <c r="C4396" s="1" t="s">
        <v>408</v>
      </c>
      <c r="D4396" s="1">
        <v>1.0</v>
      </c>
      <c r="E4396" s="1">
        <v>33.0</v>
      </c>
      <c r="F4396" s="1">
        <v>5.0</v>
      </c>
      <c r="G4396" s="1">
        <v>5.0</v>
      </c>
      <c r="H4396" s="1" t="s">
        <v>66</v>
      </c>
      <c r="I4396" s="1" t="s">
        <v>33</v>
      </c>
      <c r="J4396" s="1" t="s">
        <v>18</v>
      </c>
      <c r="K4396" s="1">
        <v>72990.0</v>
      </c>
      <c r="L4396" s="1">
        <v>56.949246</v>
      </c>
      <c r="M4396" s="1">
        <v>24.1208219161591</v>
      </c>
    </row>
    <row r="4397">
      <c r="A4397" s="1" t="s">
        <v>22</v>
      </c>
      <c r="B4397" s="1" t="s">
        <v>23</v>
      </c>
      <c r="C4397" s="1" t="s">
        <v>408</v>
      </c>
      <c r="D4397" s="1">
        <v>1.0</v>
      </c>
      <c r="E4397" s="1">
        <v>24.0</v>
      </c>
      <c r="F4397" s="1">
        <v>5.0</v>
      </c>
      <c r="G4397" s="1">
        <v>5.0</v>
      </c>
      <c r="H4397" s="1" t="s">
        <v>66</v>
      </c>
      <c r="I4397" s="1" t="s">
        <v>33</v>
      </c>
      <c r="J4397" s="1" t="s">
        <v>18</v>
      </c>
      <c r="K4397" s="1">
        <v>59990.0</v>
      </c>
      <c r="L4397" s="1">
        <v>56.949246</v>
      </c>
      <c r="M4397" s="1">
        <v>24.1208219161591</v>
      </c>
    </row>
    <row r="4398">
      <c r="A4398" s="1" t="s">
        <v>89</v>
      </c>
      <c r="B4398" s="1" t="s">
        <v>45</v>
      </c>
      <c r="C4398" s="2"/>
      <c r="D4398" s="1">
        <v>1.0</v>
      </c>
      <c r="E4398" s="1">
        <v>99.0</v>
      </c>
      <c r="F4398" s="1">
        <v>99.0</v>
      </c>
      <c r="G4398" s="1">
        <v>9.0</v>
      </c>
      <c r="H4398" s="2"/>
      <c r="I4398" s="2"/>
      <c r="J4398" s="2"/>
      <c r="K4398" s="2"/>
      <c r="L4398" s="1">
        <v>46.3144754</v>
      </c>
      <c r="M4398" s="1">
        <v>11.0480288</v>
      </c>
    </row>
    <row r="4399">
      <c r="A4399" s="1" t="s">
        <v>22</v>
      </c>
      <c r="B4399" s="1" t="s">
        <v>23</v>
      </c>
      <c r="C4399" s="1" t="s">
        <v>408</v>
      </c>
      <c r="D4399" s="1">
        <v>1.0</v>
      </c>
      <c r="E4399" s="1">
        <v>27.0</v>
      </c>
      <c r="F4399" s="1">
        <v>5.0</v>
      </c>
      <c r="G4399" s="1">
        <v>5.0</v>
      </c>
      <c r="H4399" s="1" t="s">
        <v>66</v>
      </c>
      <c r="I4399" s="1" t="s">
        <v>33</v>
      </c>
      <c r="J4399" s="1" t="s">
        <v>18</v>
      </c>
      <c r="K4399" s="1">
        <v>63990.0</v>
      </c>
      <c r="L4399" s="1">
        <v>56.949246</v>
      </c>
      <c r="M4399" s="1">
        <v>24.1208219161591</v>
      </c>
    </row>
    <row r="4400">
      <c r="A4400" s="1" t="s">
        <v>22</v>
      </c>
      <c r="B4400" s="1" t="s">
        <v>23</v>
      </c>
      <c r="C4400" s="1" t="s">
        <v>408</v>
      </c>
      <c r="D4400" s="1">
        <v>1.0</v>
      </c>
      <c r="E4400" s="1">
        <v>31.0</v>
      </c>
      <c r="F4400" s="1">
        <v>5.0</v>
      </c>
      <c r="G4400" s="1">
        <v>5.0</v>
      </c>
      <c r="H4400" s="1" t="s">
        <v>66</v>
      </c>
      <c r="I4400" s="1" t="s">
        <v>33</v>
      </c>
      <c r="J4400" s="1" t="s">
        <v>18</v>
      </c>
      <c r="K4400" s="1">
        <v>69990.0</v>
      </c>
      <c r="L4400" s="1">
        <v>56.949246</v>
      </c>
      <c r="M4400" s="1">
        <v>24.1208219161591</v>
      </c>
    </row>
    <row r="4401">
      <c r="A4401" s="1" t="s">
        <v>13</v>
      </c>
      <c r="B4401" s="1" t="s">
        <v>76</v>
      </c>
      <c r="C4401" s="1" t="s">
        <v>2510</v>
      </c>
      <c r="D4401" s="1">
        <v>2.0</v>
      </c>
      <c r="E4401" s="1">
        <v>48.0</v>
      </c>
      <c r="F4401" s="1">
        <v>12.0</v>
      </c>
      <c r="G4401" s="1">
        <v>12.0</v>
      </c>
      <c r="H4401" s="1" t="s">
        <v>221</v>
      </c>
      <c r="I4401" s="1" t="s">
        <v>17</v>
      </c>
      <c r="J4401" s="1" t="s">
        <v>18</v>
      </c>
      <c r="K4401" s="1">
        <v>450.0</v>
      </c>
      <c r="L4401" s="1">
        <v>56.95349575</v>
      </c>
      <c r="M4401" s="1">
        <v>24.0526413784944</v>
      </c>
    </row>
    <row r="4402">
      <c r="A4402" s="1" t="s">
        <v>13</v>
      </c>
      <c r="B4402" s="1" t="s">
        <v>23</v>
      </c>
      <c r="C4402" s="1" t="s">
        <v>2511</v>
      </c>
      <c r="D4402" s="1">
        <v>4.0</v>
      </c>
      <c r="E4402" s="1">
        <v>20.0</v>
      </c>
      <c r="F4402" s="1">
        <v>3.0</v>
      </c>
      <c r="G4402" s="1">
        <v>6.0</v>
      </c>
      <c r="H4402" s="1" t="s">
        <v>181</v>
      </c>
      <c r="I4402" s="1" t="s">
        <v>21</v>
      </c>
      <c r="J4402" s="1" t="s">
        <v>18</v>
      </c>
      <c r="K4402" s="1">
        <v>250.0</v>
      </c>
      <c r="L4402" s="1">
        <v>56.95603255</v>
      </c>
      <c r="M4402" s="1">
        <v>24.1214081808402</v>
      </c>
    </row>
    <row r="4403">
      <c r="A4403" s="1" t="s">
        <v>13</v>
      </c>
      <c r="B4403" s="1" t="s">
        <v>14</v>
      </c>
      <c r="C4403" s="1" t="s">
        <v>2512</v>
      </c>
      <c r="D4403" s="1">
        <v>2.0</v>
      </c>
      <c r="E4403" s="1">
        <v>55.0</v>
      </c>
      <c r="F4403" s="1">
        <v>1.0</v>
      </c>
      <c r="G4403" s="1">
        <v>3.0</v>
      </c>
      <c r="H4403" s="1" t="s">
        <v>181</v>
      </c>
      <c r="I4403" s="1" t="s">
        <v>37</v>
      </c>
      <c r="J4403" s="1" t="s">
        <v>18</v>
      </c>
      <c r="K4403" s="1">
        <v>400.0</v>
      </c>
      <c r="L4403" s="1">
        <v>56.9688431</v>
      </c>
      <c r="M4403" s="1">
        <v>24.1683552876713</v>
      </c>
    </row>
    <row r="4404">
      <c r="A4404" s="1" t="s">
        <v>13</v>
      </c>
      <c r="B4404" s="1" t="s">
        <v>23</v>
      </c>
      <c r="C4404" s="1" t="s">
        <v>2513</v>
      </c>
      <c r="D4404" s="1">
        <v>2.0</v>
      </c>
      <c r="E4404" s="1">
        <v>54.0</v>
      </c>
      <c r="F4404" s="1">
        <v>4.0</v>
      </c>
      <c r="G4404" s="1">
        <v>6.0</v>
      </c>
      <c r="H4404" s="1" t="s">
        <v>25</v>
      </c>
      <c r="I4404" s="1" t="s">
        <v>33</v>
      </c>
      <c r="J4404" s="1" t="s">
        <v>18</v>
      </c>
      <c r="K4404" s="1">
        <v>320.0</v>
      </c>
      <c r="L4404" s="1">
        <v>56.963677</v>
      </c>
      <c r="M4404" s="1">
        <v>24.1376529</v>
      </c>
    </row>
    <row r="4405">
      <c r="A4405" s="1" t="s">
        <v>13</v>
      </c>
      <c r="B4405" s="1" t="s">
        <v>23</v>
      </c>
      <c r="C4405" s="1" t="s">
        <v>2514</v>
      </c>
      <c r="D4405" s="1">
        <v>3.0</v>
      </c>
      <c r="E4405" s="1">
        <v>82.0</v>
      </c>
      <c r="F4405" s="1">
        <v>5.0</v>
      </c>
      <c r="G4405" s="1">
        <v>6.0</v>
      </c>
      <c r="H4405" s="1" t="s">
        <v>66</v>
      </c>
      <c r="I4405" s="1" t="s">
        <v>33</v>
      </c>
      <c r="J4405" s="1" t="s">
        <v>18</v>
      </c>
      <c r="K4405" s="1">
        <v>800.0</v>
      </c>
      <c r="L4405" s="1">
        <v>56.9498859</v>
      </c>
      <c r="M4405" s="1">
        <v>24.1318519</v>
      </c>
    </row>
    <row r="4406">
      <c r="A4406" s="1" t="s">
        <v>13</v>
      </c>
      <c r="B4406" s="1" t="s">
        <v>422</v>
      </c>
      <c r="C4406" s="1" t="s">
        <v>2515</v>
      </c>
      <c r="D4406" s="1">
        <v>3.0</v>
      </c>
      <c r="E4406" s="1">
        <v>82.0</v>
      </c>
      <c r="F4406" s="1">
        <v>1.0</v>
      </c>
      <c r="G4406" s="1">
        <v>5.0</v>
      </c>
      <c r="H4406" s="1" t="s">
        <v>32</v>
      </c>
      <c r="I4406" s="1" t="s">
        <v>37</v>
      </c>
      <c r="J4406" s="1" t="s">
        <v>18</v>
      </c>
      <c r="K4406" s="1">
        <v>590.0</v>
      </c>
      <c r="L4406" s="1">
        <v>56.9372129</v>
      </c>
      <c r="M4406" s="1">
        <v>24.0347303514682</v>
      </c>
    </row>
    <row r="4407">
      <c r="A4407" s="1" t="s">
        <v>13</v>
      </c>
      <c r="B4407" s="1" t="s">
        <v>23</v>
      </c>
      <c r="C4407" s="1" t="s">
        <v>2513</v>
      </c>
      <c r="D4407" s="1">
        <v>2.0</v>
      </c>
      <c r="E4407" s="1">
        <v>50.0</v>
      </c>
      <c r="F4407" s="1">
        <v>5.0</v>
      </c>
      <c r="G4407" s="1">
        <v>6.0</v>
      </c>
      <c r="H4407" s="1" t="s">
        <v>25</v>
      </c>
      <c r="I4407" s="1" t="s">
        <v>33</v>
      </c>
      <c r="J4407" s="1" t="s">
        <v>18</v>
      </c>
      <c r="K4407" s="1">
        <v>340.0</v>
      </c>
      <c r="L4407" s="1">
        <v>56.963677</v>
      </c>
      <c r="M4407" s="1">
        <v>24.1376529</v>
      </c>
    </row>
    <row r="4408">
      <c r="A4408" s="1" t="s">
        <v>22</v>
      </c>
      <c r="B4408" s="1" t="s">
        <v>174</v>
      </c>
      <c r="C4408" s="1" t="s">
        <v>2516</v>
      </c>
      <c r="D4408" s="1">
        <v>4.0</v>
      </c>
      <c r="E4408" s="1">
        <v>76.0</v>
      </c>
      <c r="F4408" s="1">
        <v>6.0</v>
      </c>
      <c r="G4408" s="1">
        <v>9.0</v>
      </c>
      <c r="H4408" s="1">
        <v>602.0</v>
      </c>
      <c r="I4408" s="1" t="s">
        <v>21</v>
      </c>
      <c r="J4408" s="1" t="s">
        <v>18</v>
      </c>
      <c r="K4408" s="1">
        <v>61000.0</v>
      </c>
      <c r="L4408" s="1">
        <v>56.9307254</v>
      </c>
      <c r="M4408" s="1">
        <v>24.181101</v>
      </c>
    </row>
    <row r="4409">
      <c r="A4409" s="1" t="s">
        <v>89</v>
      </c>
      <c r="B4409" s="1" t="s">
        <v>129</v>
      </c>
      <c r="C4409" s="2"/>
      <c r="D4409" s="2"/>
      <c r="E4409" s="1">
        <v>4.0</v>
      </c>
      <c r="F4409" s="1">
        <v>44.0</v>
      </c>
      <c r="G4409" s="1">
        <v>4.0</v>
      </c>
      <c r="H4409" s="2"/>
      <c r="I4409" s="2"/>
      <c r="J4409" s="2"/>
      <c r="K4409" s="2"/>
      <c r="L4409" s="1">
        <v>46.3144754</v>
      </c>
      <c r="M4409" s="1">
        <v>11.0480288</v>
      </c>
    </row>
    <row r="4410">
      <c r="A4410" s="1" t="s">
        <v>13</v>
      </c>
      <c r="B4410" s="1" t="s">
        <v>19</v>
      </c>
      <c r="C4410" s="1" t="s">
        <v>728</v>
      </c>
      <c r="D4410" s="1">
        <v>1.0</v>
      </c>
      <c r="E4410" s="1">
        <v>41.0</v>
      </c>
      <c r="F4410" s="1">
        <v>2.0</v>
      </c>
      <c r="G4410" s="1">
        <v>9.0</v>
      </c>
      <c r="H4410" s="1" t="s">
        <v>57</v>
      </c>
      <c r="I4410" s="1" t="s">
        <v>21</v>
      </c>
      <c r="J4410" s="1" t="s">
        <v>18</v>
      </c>
      <c r="K4410" s="1">
        <v>400.0</v>
      </c>
      <c r="L4410" s="1">
        <v>56.9010095999999</v>
      </c>
      <c r="M4410" s="1">
        <v>24.0999756383549</v>
      </c>
    </row>
    <row r="4411">
      <c r="A4411" s="1" t="s">
        <v>22</v>
      </c>
      <c r="B4411" s="1" t="s">
        <v>48</v>
      </c>
      <c r="C4411" s="1" t="s">
        <v>365</v>
      </c>
      <c r="D4411" s="1">
        <v>2.0</v>
      </c>
      <c r="E4411" s="1">
        <v>57.0</v>
      </c>
      <c r="F4411" s="1">
        <v>3.0</v>
      </c>
      <c r="G4411" s="1">
        <v>5.0</v>
      </c>
      <c r="H4411" s="1" t="s">
        <v>32</v>
      </c>
      <c r="I4411" s="1" t="s">
        <v>33</v>
      </c>
      <c r="J4411" s="1" t="s">
        <v>18</v>
      </c>
      <c r="K4411" s="1">
        <v>62150.0</v>
      </c>
      <c r="L4411" s="1">
        <v>56.95546705</v>
      </c>
      <c r="M4411" s="1">
        <v>24.24181865</v>
      </c>
    </row>
    <row r="4412">
      <c r="A4412" s="1" t="s">
        <v>22</v>
      </c>
      <c r="B4412" s="1" t="s">
        <v>23</v>
      </c>
      <c r="C4412" s="1" t="s">
        <v>865</v>
      </c>
      <c r="D4412" s="1">
        <v>5.0</v>
      </c>
      <c r="E4412" s="1">
        <v>141.0</v>
      </c>
      <c r="F4412" s="1">
        <v>3.0</v>
      </c>
      <c r="G4412" s="1">
        <v>6.0</v>
      </c>
      <c r="H4412" s="1" t="s">
        <v>25</v>
      </c>
      <c r="I4412" s="1" t="s">
        <v>33</v>
      </c>
      <c r="J4412" s="1" t="s">
        <v>18</v>
      </c>
      <c r="K4412" s="1">
        <v>170000.0</v>
      </c>
      <c r="L4412" s="1">
        <v>56.9548743</v>
      </c>
      <c r="M4412" s="1">
        <v>24.120069</v>
      </c>
    </row>
    <row r="4413">
      <c r="A4413" s="1" t="s">
        <v>22</v>
      </c>
      <c r="B4413" s="1" t="s">
        <v>67</v>
      </c>
      <c r="C4413" s="1" t="s">
        <v>2517</v>
      </c>
      <c r="D4413" s="1">
        <v>1.0</v>
      </c>
      <c r="E4413" s="1">
        <v>20.0</v>
      </c>
      <c r="F4413" s="1">
        <v>1.0</v>
      </c>
      <c r="G4413" s="1">
        <v>2.0</v>
      </c>
      <c r="H4413" s="1" t="s">
        <v>25</v>
      </c>
      <c r="I4413" s="1" t="s">
        <v>26</v>
      </c>
      <c r="J4413" s="1" t="s">
        <v>27</v>
      </c>
      <c r="K4413" s="1">
        <v>12800.0</v>
      </c>
      <c r="L4413" s="1">
        <v>56.95853595</v>
      </c>
      <c r="M4413" s="1">
        <v>24.1495077667939</v>
      </c>
    </row>
    <row r="4414">
      <c r="A4414" s="1" t="s">
        <v>22</v>
      </c>
      <c r="B4414" s="1" t="s">
        <v>96</v>
      </c>
      <c r="C4414" s="1" t="s">
        <v>2518</v>
      </c>
      <c r="D4414" s="1">
        <v>3.0</v>
      </c>
      <c r="E4414" s="1">
        <v>67.0</v>
      </c>
      <c r="F4414" s="1">
        <v>2.0</v>
      </c>
      <c r="G4414" s="1">
        <v>5.0</v>
      </c>
      <c r="H4414" s="1" t="s">
        <v>16</v>
      </c>
      <c r="I4414" s="1" t="s">
        <v>21</v>
      </c>
      <c r="J4414" s="1" t="s">
        <v>18</v>
      </c>
      <c r="K4414" s="1">
        <v>41000.0</v>
      </c>
      <c r="L4414" s="1">
        <v>57.0290757</v>
      </c>
      <c r="M4414" s="1">
        <v>24.1091463</v>
      </c>
    </row>
    <row r="4415">
      <c r="A4415" s="1" t="s">
        <v>22</v>
      </c>
      <c r="B4415" s="1" t="s">
        <v>23</v>
      </c>
      <c r="C4415" s="1" t="s">
        <v>2272</v>
      </c>
      <c r="D4415" s="1">
        <v>5.0</v>
      </c>
      <c r="E4415" s="1">
        <v>169.0</v>
      </c>
      <c r="F4415" s="1">
        <v>4.0</v>
      </c>
      <c r="G4415" s="1">
        <v>6.0</v>
      </c>
      <c r="H4415" s="1" t="s">
        <v>25</v>
      </c>
      <c r="I4415" s="1" t="s">
        <v>33</v>
      </c>
      <c r="J4415" s="1" t="s">
        <v>18</v>
      </c>
      <c r="K4415" s="1">
        <v>355000.0</v>
      </c>
      <c r="L4415" s="1">
        <v>56.958294</v>
      </c>
      <c r="M4415" s="1">
        <v>24.1213478</v>
      </c>
    </row>
    <row r="4416">
      <c r="A4416" s="1" t="s">
        <v>22</v>
      </c>
      <c r="B4416" s="1" t="s">
        <v>76</v>
      </c>
      <c r="C4416" s="1" t="s">
        <v>1443</v>
      </c>
      <c r="D4416" s="1">
        <v>2.0</v>
      </c>
      <c r="E4416" s="1">
        <v>45.0</v>
      </c>
      <c r="F4416" s="1">
        <v>11.0</v>
      </c>
      <c r="G4416" s="1">
        <v>12.0</v>
      </c>
      <c r="H4416" s="1" t="s">
        <v>221</v>
      </c>
      <c r="I4416" s="1" t="s">
        <v>17</v>
      </c>
      <c r="J4416" s="1" t="s">
        <v>18</v>
      </c>
      <c r="K4416" s="1">
        <v>52200.0</v>
      </c>
      <c r="L4416" s="1">
        <v>56.95488155</v>
      </c>
      <c r="M4416" s="1">
        <v>24.0518049231091</v>
      </c>
    </row>
    <row r="4417">
      <c r="A4417" s="1" t="s">
        <v>22</v>
      </c>
      <c r="B4417" s="1" t="s">
        <v>104</v>
      </c>
      <c r="C4417" s="1" t="s">
        <v>635</v>
      </c>
      <c r="D4417" s="1">
        <v>2.0</v>
      </c>
      <c r="E4417" s="1">
        <v>50.0</v>
      </c>
      <c r="F4417" s="1">
        <v>6.0</v>
      </c>
      <c r="G4417" s="1">
        <v>9.0</v>
      </c>
      <c r="H4417" s="1">
        <v>602.0</v>
      </c>
      <c r="I4417" s="1" t="s">
        <v>21</v>
      </c>
      <c r="J4417" s="1" t="s">
        <v>18</v>
      </c>
      <c r="K4417" s="1">
        <v>42900.0</v>
      </c>
      <c r="L4417" s="1">
        <v>56.96512045</v>
      </c>
      <c r="M4417" s="1">
        <v>24.0549828893368</v>
      </c>
    </row>
    <row r="4418">
      <c r="A4418" s="1" t="s">
        <v>22</v>
      </c>
      <c r="B4418" s="1" t="s">
        <v>30</v>
      </c>
      <c r="C4418" s="1" t="s">
        <v>1235</v>
      </c>
      <c r="D4418" s="1">
        <v>2.0</v>
      </c>
      <c r="E4418" s="1">
        <v>60.0</v>
      </c>
      <c r="F4418" s="1">
        <v>1.0</v>
      </c>
      <c r="G4418" s="1">
        <v>2.0</v>
      </c>
      <c r="H4418" s="1" t="s">
        <v>181</v>
      </c>
      <c r="I4418" s="1" t="s">
        <v>33</v>
      </c>
      <c r="J4418" s="1" t="s">
        <v>18</v>
      </c>
      <c r="K4418" s="1">
        <v>39999.0</v>
      </c>
      <c r="L4418" s="1">
        <v>56.9653522</v>
      </c>
      <c r="M4418" s="1">
        <v>24.1647985</v>
      </c>
    </row>
    <row r="4419">
      <c r="A4419" s="1" t="s">
        <v>22</v>
      </c>
      <c r="B4419" s="1" t="s">
        <v>23</v>
      </c>
      <c r="C4419" s="1" t="s">
        <v>178</v>
      </c>
      <c r="D4419" s="1">
        <v>5.0</v>
      </c>
      <c r="E4419" s="1">
        <v>150.0</v>
      </c>
      <c r="F4419" s="1">
        <v>1.0</v>
      </c>
      <c r="G4419" s="1">
        <v>2.0</v>
      </c>
      <c r="H4419" s="1" t="s">
        <v>32</v>
      </c>
      <c r="I4419" s="1" t="s">
        <v>33</v>
      </c>
      <c r="J4419" s="1" t="s">
        <v>18</v>
      </c>
      <c r="K4419" s="1">
        <v>249000.0</v>
      </c>
      <c r="L4419" s="1">
        <v>56.956763</v>
      </c>
      <c r="M4419" s="1">
        <v>24.0954531</v>
      </c>
    </row>
    <row r="4420">
      <c r="A4420" s="1" t="s">
        <v>13</v>
      </c>
      <c r="B4420" s="1" t="s">
        <v>23</v>
      </c>
      <c r="C4420" s="1" t="s">
        <v>178</v>
      </c>
      <c r="D4420" s="1">
        <v>4.0</v>
      </c>
      <c r="E4420" s="1">
        <v>260.0</v>
      </c>
      <c r="F4420" s="1">
        <v>2.0</v>
      </c>
      <c r="G4420" s="1">
        <v>2.0</v>
      </c>
      <c r="H4420" s="1" t="s">
        <v>32</v>
      </c>
      <c r="I4420" s="1" t="s">
        <v>33</v>
      </c>
      <c r="J4420" s="1" t="s">
        <v>18</v>
      </c>
      <c r="K4420" s="1">
        <v>2900.0</v>
      </c>
      <c r="L4420" s="1">
        <v>56.956763</v>
      </c>
      <c r="M4420" s="1">
        <v>24.0954531</v>
      </c>
    </row>
    <row r="4421">
      <c r="A4421" s="1" t="s">
        <v>13</v>
      </c>
      <c r="B4421" s="1" t="s">
        <v>23</v>
      </c>
      <c r="C4421" s="1" t="s">
        <v>178</v>
      </c>
      <c r="D4421" s="1">
        <v>4.0</v>
      </c>
      <c r="E4421" s="1">
        <v>235.0</v>
      </c>
      <c r="F4421" s="1">
        <v>2.0</v>
      </c>
      <c r="G4421" s="1">
        <v>2.0</v>
      </c>
      <c r="H4421" s="1" t="s">
        <v>32</v>
      </c>
      <c r="I4421" s="1" t="s">
        <v>33</v>
      </c>
      <c r="J4421" s="1" t="s">
        <v>18</v>
      </c>
      <c r="K4421" s="1">
        <v>2500.0</v>
      </c>
      <c r="L4421" s="1">
        <v>56.956763</v>
      </c>
      <c r="M4421" s="1">
        <v>24.0954531</v>
      </c>
    </row>
    <row r="4422">
      <c r="A4422" s="1" t="s">
        <v>13</v>
      </c>
      <c r="B4422" s="1" t="s">
        <v>19</v>
      </c>
      <c r="C4422" s="1" t="s">
        <v>2519</v>
      </c>
      <c r="D4422" s="1">
        <v>3.0</v>
      </c>
      <c r="E4422" s="1">
        <v>65.0</v>
      </c>
      <c r="F4422" s="1">
        <v>3.0</v>
      </c>
      <c r="G4422" s="1">
        <v>9.0</v>
      </c>
      <c r="H4422" s="1">
        <v>602.0</v>
      </c>
      <c r="I4422" s="1" t="s">
        <v>21</v>
      </c>
      <c r="J4422" s="1" t="s">
        <v>18</v>
      </c>
      <c r="K4422" s="1">
        <v>400.0</v>
      </c>
      <c r="L4422" s="1">
        <v>56.9039544</v>
      </c>
      <c r="M4422" s="1">
        <v>24.0949609419271</v>
      </c>
    </row>
    <row r="4423">
      <c r="A4423" s="1" t="s">
        <v>13</v>
      </c>
      <c r="B4423" s="1" t="s">
        <v>104</v>
      </c>
      <c r="C4423" s="1" t="s">
        <v>2520</v>
      </c>
      <c r="D4423" s="1">
        <v>2.0</v>
      </c>
      <c r="E4423" s="1">
        <v>42.0</v>
      </c>
      <c r="F4423" s="1">
        <v>5.0</v>
      </c>
      <c r="G4423" s="1">
        <v>5.0</v>
      </c>
      <c r="H4423" s="1" t="s">
        <v>44</v>
      </c>
      <c r="I4423" s="1" t="s">
        <v>37</v>
      </c>
      <c r="J4423" s="1" t="s">
        <v>18</v>
      </c>
      <c r="K4423" s="1">
        <v>300.0</v>
      </c>
      <c r="L4423" s="1">
        <v>56.92783115</v>
      </c>
      <c r="M4423" s="1">
        <v>24.073532</v>
      </c>
    </row>
    <row r="4424">
      <c r="A4424" s="1" t="s">
        <v>22</v>
      </c>
      <c r="B4424" s="1" t="s">
        <v>151</v>
      </c>
      <c r="C4424" s="1" t="s">
        <v>701</v>
      </c>
      <c r="D4424" s="1">
        <v>2.0</v>
      </c>
      <c r="E4424" s="1">
        <v>45.0</v>
      </c>
      <c r="F4424" s="1">
        <v>2.0</v>
      </c>
      <c r="G4424" s="1">
        <v>5.0</v>
      </c>
      <c r="H4424" s="1" t="s">
        <v>16</v>
      </c>
      <c r="I4424" s="1" t="s">
        <v>17</v>
      </c>
      <c r="J4424" s="1" t="s">
        <v>18</v>
      </c>
      <c r="K4424" s="1">
        <v>46300.0</v>
      </c>
      <c r="L4424" s="1">
        <v>56.96306045</v>
      </c>
      <c r="M4424" s="1">
        <v>24.0479363756081</v>
      </c>
    </row>
    <row r="4425">
      <c r="A4425" s="1" t="s">
        <v>22</v>
      </c>
      <c r="B4425" s="1" t="s">
        <v>96</v>
      </c>
      <c r="C4425" s="1" t="s">
        <v>1348</v>
      </c>
      <c r="D4425" s="1">
        <v>1.0</v>
      </c>
      <c r="E4425" s="1">
        <v>43.0</v>
      </c>
      <c r="F4425" s="1">
        <v>5.0</v>
      </c>
      <c r="G4425" s="1">
        <v>5.0</v>
      </c>
      <c r="H4425" s="1" t="s">
        <v>57</v>
      </c>
      <c r="I4425" s="1" t="s">
        <v>21</v>
      </c>
      <c r="J4425" s="1" t="s">
        <v>18</v>
      </c>
      <c r="K4425" s="1">
        <v>22500.0</v>
      </c>
      <c r="L4425" s="1">
        <v>57.02967645</v>
      </c>
      <c r="M4425" s="1">
        <v>24.1054302151979</v>
      </c>
    </row>
    <row r="4426">
      <c r="A4426" s="1" t="s">
        <v>22</v>
      </c>
      <c r="B4426" s="1" t="s">
        <v>96</v>
      </c>
      <c r="C4426" s="1" t="s">
        <v>1004</v>
      </c>
      <c r="D4426" s="1">
        <v>1.0</v>
      </c>
      <c r="E4426" s="1">
        <v>28.0</v>
      </c>
      <c r="F4426" s="1">
        <v>1.0</v>
      </c>
      <c r="G4426" s="1">
        <v>5.0</v>
      </c>
      <c r="H4426" s="1" t="s">
        <v>16</v>
      </c>
      <c r="I4426" s="1" t="s">
        <v>21</v>
      </c>
      <c r="J4426" s="1" t="s">
        <v>18</v>
      </c>
      <c r="K4426" s="1">
        <v>30000.0</v>
      </c>
      <c r="L4426" s="1" t="s">
        <v>40</v>
      </c>
      <c r="M4426" s="1" t="s">
        <v>40</v>
      </c>
    </row>
    <row r="4427">
      <c r="A4427" s="1" t="s">
        <v>89</v>
      </c>
      <c r="B4427" s="1" t="s">
        <v>23</v>
      </c>
      <c r="C4427" s="2"/>
      <c r="D4427" s="1">
        <v>2.0</v>
      </c>
      <c r="E4427" s="2"/>
      <c r="F4427" s="1">
        <v>12.0</v>
      </c>
      <c r="G4427" s="1">
        <v>9.0</v>
      </c>
      <c r="H4427" s="2"/>
      <c r="I4427" s="2"/>
      <c r="J4427" s="2"/>
      <c r="K4427" s="2"/>
      <c r="L4427" s="1">
        <v>46.3144754</v>
      </c>
      <c r="M4427" s="1">
        <v>11.0480288</v>
      </c>
    </row>
    <row r="4428">
      <c r="A4428" s="1" t="s">
        <v>22</v>
      </c>
      <c r="B4428" s="1" t="s">
        <v>23</v>
      </c>
      <c r="C4428" s="1" t="s">
        <v>214</v>
      </c>
      <c r="D4428" s="1">
        <v>3.0</v>
      </c>
      <c r="E4428" s="1">
        <v>66.0</v>
      </c>
      <c r="F4428" s="1">
        <v>3.0</v>
      </c>
      <c r="G4428" s="1">
        <v>5.0</v>
      </c>
      <c r="H4428" s="1" t="s">
        <v>36</v>
      </c>
      <c r="I4428" s="1" t="s">
        <v>37</v>
      </c>
      <c r="J4428" s="1" t="s">
        <v>18</v>
      </c>
      <c r="K4428" s="1">
        <v>69900.0</v>
      </c>
      <c r="L4428" s="1">
        <v>56.9421434</v>
      </c>
      <c r="M4428" s="1">
        <v>24.1326836</v>
      </c>
    </row>
    <row r="4429">
      <c r="A4429" s="1" t="s">
        <v>13</v>
      </c>
      <c r="B4429" s="1" t="s">
        <v>74</v>
      </c>
      <c r="C4429" s="1" t="s">
        <v>761</v>
      </c>
      <c r="D4429" s="1">
        <v>1.0</v>
      </c>
      <c r="E4429" s="1">
        <v>40.0</v>
      </c>
      <c r="F4429" s="1">
        <v>1.0</v>
      </c>
      <c r="G4429" s="1">
        <v>9.0</v>
      </c>
      <c r="H4429" s="1">
        <v>119.0</v>
      </c>
      <c r="I4429" s="1" t="s">
        <v>21</v>
      </c>
      <c r="J4429" s="1" t="s">
        <v>18</v>
      </c>
      <c r="K4429" s="1">
        <v>210.0</v>
      </c>
      <c r="L4429" s="1">
        <v>56.94796725</v>
      </c>
      <c r="M4429" s="1">
        <v>24.1898659253875</v>
      </c>
    </row>
    <row r="4430">
      <c r="A4430" s="1" t="s">
        <v>22</v>
      </c>
      <c r="B4430" s="1" t="s">
        <v>48</v>
      </c>
      <c r="C4430" s="1" t="s">
        <v>2521</v>
      </c>
      <c r="D4430" s="1">
        <v>1.0</v>
      </c>
      <c r="E4430" s="1">
        <v>27.0</v>
      </c>
      <c r="F4430" s="1">
        <v>4.0</v>
      </c>
      <c r="G4430" s="1">
        <v>5.0</v>
      </c>
      <c r="H4430" s="1" t="s">
        <v>16</v>
      </c>
      <c r="I4430" s="1" t="s">
        <v>21</v>
      </c>
      <c r="J4430" s="1" t="s">
        <v>18</v>
      </c>
      <c r="K4430" s="1">
        <v>33300.0</v>
      </c>
      <c r="L4430" s="1">
        <v>56.97300075</v>
      </c>
      <c r="M4430" s="1">
        <v>24.2354794499999</v>
      </c>
    </row>
    <row r="4431">
      <c r="A4431" s="1" t="s">
        <v>13</v>
      </c>
      <c r="B4431" s="1" t="s">
        <v>23</v>
      </c>
      <c r="C4431" s="1" t="s">
        <v>2522</v>
      </c>
      <c r="D4431" s="1">
        <v>4.0</v>
      </c>
      <c r="E4431" s="1">
        <v>101.0</v>
      </c>
      <c r="F4431" s="1">
        <v>5.0</v>
      </c>
      <c r="G4431" s="1">
        <v>5.0</v>
      </c>
      <c r="H4431" s="1" t="s">
        <v>25</v>
      </c>
      <c r="I4431" s="1" t="s">
        <v>33</v>
      </c>
      <c r="J4431" s="1" t="s">
        <v>27</v>
      </c>
      <c r="K4431" s="1">
        <v>480.0</v>
      </c>
      <c r="L4431" s="1">
        <v>56.9665763</v>
      </c>
      <c r="M4431" s="1">
        <v>24.1337504</v>
      </c>
    </row>
    <row r="4432">
      <c r="A4432" s="1" t="s">
        <v>13</v>
      </c>
      <c r="B4432" s="1" t="s">
        <v>23</v>
      </c>
      <c r="C4432" s="1" t="s">
        <v>826</v>
      </c>
      <c r="D4432" s="1">
        <v>3.0</v>
      </c>
      <c r="E4432" s="1">
        <v>95.0</v>
      </c>
      <c r="F4432" s="1">
        <v>3.0</v>
      </c>
      <c r="G4432" s="1">
        <v>7.0</v>
      </c>
      <c r="H4432" s="1" t="s">
        <v>32</v>
      </c>
      <c r="I4432" s="1" t="s">
        <v>37</v>
      </c>
      <c r="J4432" s="1" t="s">
        <v>18</v>
      </c>
      <c r="K4432" s="1">
        <v>1000.0</v>
      </c>
      <c r="L4432" s="1">
        <v>56.9660465</v>
      </c>
      <c r="M4432" s="1">
        <v>24.1019662</v>
      </c>
    </row>
    <row r="4433">
      <c r="A4433" s="1" t="s">
        <v>89</v>
      </c>
      <c r="B4433" s="1" t="s">
        <v>151</v>
      </c>
      <c r="C4433" s="2"/>
      <c r="D4433" s="1" t="s">
        <v>90</v>
      </c>
      <c r="E4433" s="2"/>
      <c r="F4433" s="2"/>
      <c r="G4433" s="2"/>
      <c r="H4433" s="2"/>
      <c r="I4433" s="2"/>
      <c r="J4433" s="2"/>
      <c r="K4433" s="2"/>
      <c r="L4433" s="1">
        <v>46.3144754</v>
      </c>
      <c r="M4433" s="1">
        <v>11.0480288</v>
      </c>
    </row>
    <row r="4434">
      <c r="A4434" s="1" t="s">
        <v>13</v>
      </c>
      <c r="B4434" s="1" t="s">
        <v>14</v>
      </c>
      <c r="C4434" s="1" t="s">
        <v>2523</v>
      </c>
      <c r="D4434" s="1">
        <v>1.0</v>
      </c>
      <c r="E4434" s="1">
        <v>30.0</v>
      </c>
      <c r="F4434" s="1">
        <v>5.0</v>
      </c>
      <c r="G4434" s="1">
        <v>5.0</v>
      </c>
      <c r="H4434" s="1" t="s">
        <v>16</v>
      </c>
      <c r="I4434" s="1" t="s">
        <v>21</v>
      </c>
      <c r="J4434" s="1" t="s">
        <v>18</v>
      </c>
      <c r="K4434" s="1">
        <v>250.0</v>
      </c>
      <c r="L4434" s="1">
        <v>56.9531103</v>
      </c>
      <c r="M4434" s="1">
        <v>24.19957545</v>
      </c>
    </row>
    <row r="4435">
      <c r="A4435" s="1" t="s">
        <v>13</v>
      </c>
      <c r="B4435" s="1" t="s">
        <v>14</v>
      </c>
      <c r="C4435" s="1" t="s">
        <v>2524</v>
      </c>
      <c r="D4435" s="1">
        <v>1.0</v>
      </c>
      <c r="E4435" s="1">
        <v>28.0</v>
      </c>
      <c r="F4435" s="1">
        <v>3.0</v>
      </c>
      <c r="G4435" s="1">
        <v>5.0</v>
      </c>
      <c r="H4435" s="1">
        <v>103.0</v>
      </c>
      <c r="I4435" s="1" t="s">
        <v>17</v>
      </c>
      <c r="J4435" s="1" t="s">
        <v>18</v>
      </c>
      <c r="K4435" s="1">
        <v>290.0</v>
      </c>
      <c r="L4435" s="1">
        <v>56.96521775</v>
      </c>
      <c r="M4435" s="1">
        <v>24.1743910491988</v>
      </c>
    </row>
    <row r="4436">
      <c r="A4436" s="1" t="s">
        <v>22</v>
      </c>
      <c r="B4436" s="1" t="s">
        <v>23</v>
      </c>
      <c r="C4436" s="1" t="s">
        <v>570</v>
      </c>
      <c r="D4436" s="1">
        <v>1.0</v>
      </c>
      <c r="E4436" s="1">
        <v>28.0</v>
      </c>
      <c r="F4436" s="1">
        <v>5.0</v>
      </c>
      <c r="G4436" s="1">
        <v>6.0</v>
      </c>
      <c r="H4436" s="1" t="s">
        <v>25</v>
      </c>
      <c r="I4436" s="1" t="s">
        <v>37</v>
      </c>
      <c r="J4436" s="1" t="s">
        <v>18</v>
      </c>
      <c r="K4436" s="1">
        <v>38500.0</v>
      </c>
      <c r="L4436" s="1">
        <v>56.9555074999999</v>
      </c>
      <c r="M4436" s="1">
        <v>24.1534989394562</v>
      </c>
    </row>
    <row r="4437">
      <c r="A4437" s="1" t="s">
        <v>468</v>
      </c>
      <c r="B4437" s="1" t="s">
        <v>38</v>
      </c>
      <c r="C4437" s="1" t="s">
        <v>1327</v>
      </c>
      <c r="D4437" s="1">
        <v>3.0</v>
      </c>
      <c r="E4437" s="2"/>
      <c r="F4437" s="1">
        <v>1.0</v>
      </c>
      <c r="G4437" s="1">
        <v>12.0</v>
      </c>
      <c r="H4437" s="1" t="s">
        <v>221</v>
      </c>
      <c r="I4437" s="1" t="s">
        <v>37</v>
      </c>
      <c r="J4437" s="1" t="s">
        <v>18</v>
      </c>
      <c r="K4437" s="1">
        <v>110000.0</v>
      </c>
      <c r="L4437" s="1">
        <v>56.96380995</v>
      </c>
      <c r="M4437" s="1">
        <v>24.0195138136445</v>
      </c>
    </row>
    <row r="4438">
      <c r="A4438" s="1" t="s">
        <v>13</v>
      </c>
      <c r="B4438" s="1" t="s">
        <v>14</v>
      </c>
      <c r="C4438" s="1" t="s">
        <v>2525</v>
      </c>
      <c r="D4438" s="1">
        <v>1.0</v>
      </c>
      <c r="E4438" s="1">
        <v>43.0</v>
      </c>
      <c r="F4438" s="1">
        <v>2.0</v>
      </c>
      <c r="G4438" s="1">
        <v>5.0</v>
      </c>
      <c r="H4438" s="1" t="s">
        <v>57</v>
      </c>
      <c r="I4438" s="1" t="s">
        <v>21</v>
      </c>
      <c r="J4438" s="1" t="s">
        <v>18</v>
      </c>
      <c r="K4438" s="1">
        <v>230.0</v>
      </c>
      <c r="L4438" s="1">
        <v>56.9502634</v>
      </c>
      <c r="M4438" s="1">
        <v>24.1981767</v>
      </c>
    </row>
    <row r="4439">
      <c r="A4439" s="1" t="s">
        <v>13</v>
      </c>
      <c r="B4439" s="1" t="s">
        <v>23</v>
      </c>
      <c r="C4439" s="1" t="s">
        <v>2526</v>
      </c>
      <c r="D4439" s="1">
        <v>1.0</v>
      </c>
      <c r="E4439" s="1">
        <v>35.0</v>
      </c>
      <c r="F4439" s="1">
        <v>1.0</v>
      </c>
      <c r="G4439" s="1">
        <v>6.0</v>
      </c>
      <c r="H4439" s="1" t="s">
        <v>25</v>
      </c>
      <c r="I4439" s="1" t="s">
        <v>37</v>
      </c>
      <c r="J4439" s="1" t="s">
        <v>18</v>
      </c>
      <c r="K4439" s="1">
        <v>350.0</v>
      </c>
      <c r="L4439" s="1">
        <v>56.9612506</v>
      </c>
      <c r="M4439" s="1">
        <v>24.1471029212551</v>
      </c>
    </row>
    <row r="4440">
      <c r="A4440" s="1" t="s">
        <v>22</v>
      </c>
      <c r="B4440" s="1" t="s">
        <v>1800</v>
      </c>
      <c r="C4440" s="1" t="s">
        <v>2527</v>
      </c>
      <c r="D4440" s="1">
        <v>2.0</v>
      </c>
      <c r="E4440" s="1">
        <v>54.0</v>
      </c>
      <c r="F4440" s="1">
        <v>4.0</v>
      </c>
      <c r="G4440" s="1">
        <v>9.0</v>
      </c>
      <c r="H4440" s="1">
        <v>602.0</v>
      </c>
      <c r="I4440" s="1" t="s">
        <v>21</v>
      </c>
      <c r="J4440" s="1" t="s">
        <v>18</v>
      </c>
      <c r="K4440" s="1">
        <v>68000.0</v>
      </c>
      <c r="L4440" s="1">
        <v>56.9141787</v>
      </c>
      <c r="M4440" s="1">
        <v>24.1217522</v>
      </c>
    </row>
    <row r="4441">
      <c r="A4441" s="1" t="s">
        <v>22</v>
      </c>
      <c r="B4441" s="1" t="s">
        <v>14</v>
      </c>
      <c r="C4441" s="1" t="s">
        <v>954</v>
      </c>
      <c r="D4441" s="1">
        <v>2.0</v>
      </c>
      <c r="E4441" s="1">
        <v>53.0</v>
      </c>
      <c r="F4441" s="1">
        <v>1.0</v>
      </c>
      <c r="G4441" s="1">
        <v>5.0</v>
      </c>
      <c r="H4441" s="1" t="s">
        <v>32</v>
      </c>
      <c r="I4441" s="1" t="s">
        <v>33</v>
      </c>
      <c r="J4441" s="1" t="s">
        <v>18</v>
      </c>
      <c r="K4441" s="1">
        <v>92000.0</v>
      </c>
      <c r="L4441" s="1">
        <v>56.9650621</v>
      </c>
      <c r="M4441" s="1">
        <v>24.1952933</v>
      </c>
    </row>
    <row r="4442">
      <c r="A4442" s="1" t="s">
        <v>22</v>
      </c>
      <c r="B4442" s="1" t="s">
        <v>14</v>
      </c>
      <c r="C4442" s="1" t="s">
        <v>954</v>
      </c>
      <c r="D4442" s="1">
        <v>3.0</v>
      </c>
      <c r="E4442" s="1">
        <v>73.0</v>
      </c>
      <c r="F4442" s="1">
        <v>1.0</v>
      </c>
      <c r="G4442" s="1">
        <v>4.0</v>
      </c>
      <c r="H4442" s="1" t="s">
        <v>32</v>
      </c>
      <c r="I4442" s="1" t="s">
        <v>33</v>
      </c>
      <c r="J4442" s="1" t="s">
        <v>18</v>
      </c>
      <c r="K4442" s="1">
        <v>139000.0</v>
      </c>
      <c r="L4442" s="1">
        <v>56.9650621</v>
      </c>
      <c r="M4442" s="1">
        <v>24.1952933</v>
      </c>
    </row>
    <row r="4443">
      <c r="A4443" s="1" t="s">
        <v>22</v>
      </c>
      <c r="B4443" s="1" t="s">
        <v>19</v>
      </c>
      <c r="C4443" s="1" t="s">
        <v>2528</v>
      </c>
      <c r="D4443" s="1">
        <v>3.0</v>
      </c>
      <c r="E4443" s="1">
        <v>60.0</v>
      </c>
      <c r="F4443" s="1">
        <v>5.0</v>
      </c>
      <c r="G4443" s="1">
        <v>5.0</v>
      </c>
      <c r="H4443" s="1" t="s">
        <v>44</v>
      </c>
      <c r="I4443" s="1" t="s">
        <v>37</v>
      </c>
      <c r="J4443" s="1" t="s">
        <v>18</v>
      </c>
      <c r="K4443" s="1">
        <v>57000.0</v>
      </c>
      <c r="L4443" s="1">
        <v>56.9001741</v>
      </c>
      <c r="M4443" s="1">
        <v>24.0926941</v>
      </c>
    </row>
    <row r="4444">
      <c r="A4444" s="1" t="s">
        <v>22</v>
      </c>
      <c r="B4444" s="1" t="s">
        <v>14</v>
      </c>
      <c r="C4444" s="1" t="s">
        <v>2529</v>
      </c>
      <c r="D4444" s="1">
        <v>2.0</v>
      </c>
      <c r="E4444" s="1">
        <v>62.0</v>
      </c>
      <c r="F4444" s="1">
        <v>2.0</v>
      </c>
      <c r="G4444" s="1">
        <v>8.0</v>
      </c>
      <c r="H4444" s="1" t="s">
        <v>32</v>
      </c>
      <c r="I4444" s="1" t="s">
        <v>21</v>
      </c>
      <c r="J4444" s="1" t="s">
        <v>18</v>
      </c>
      <c r="K4444" s="1">
        <v>94000.0</v>
      </c>
      <c r="L4444" s="1">
        <v>56.96023005</v>
      </c>
      <c r="M4444" s="1">
        <v>24.1917520688357</v>
      </c>
    </row>
    <row r="4445">
      <c r="A4445" s="1" t="s">
        <v>13</v>
      </c>
      <c r="B4445" s="1" t="s">
        <v>28</v>
      </c>
      <c r="C4445" s="1" t="s">
        <v>2530</v>
      </c>
      <c r="D4445" s="1">
        <v>2.0</v>
      </c>
      <c r="E4445" s="1">
        <v>45.0</v>
      </c>
      <c r="F4445" s="1">
        <v>4.0</v>
      </c>
      <c r="G4445" s="1">
        <v>5.0</v>
      </c>
      <c r="H4445" s="1" t="s">
        <v>16</v>
      </c>
      <c r="I4445" s="1" t="s">
        <v>21</v>
      </c>
      <c r="J4445" s="1" t="s">
        <v>18</v>
      </c>
      <c r="K4445" s="1">
        <v>250.0</v>
      </c>
      <c r="L4445" s="1">
        <v>56.8597884</v>
      </c>
      <c r="M4445" s="1">
        <v>24.3083417</v>
      </c>
    </row>
    <row r="4446">
      <c r="A4446" s="1" t="s">
        <v>13</v>
      </c>
      <c r="B4446" s="1" t="s">
        <v>23</v>
      </c>
      <c r="C4446" s="1" t="s">
        <v>2531</v>
      </c>
      <c r="D4446" s="1">
        <v>2.0</v>
      </c>
      <c r="E4446" s="1">
        <v>50.0</v>
      </c>
      <c r="F4446" s="1">
        <v>2.0</v>
      </c>
      <c r="G4446" s="1">
        <v>4.0</v>
      </c>
      <c r="H4446" s="1" t="s">
        <v>25</v>
      </c>
      <c r="I4446" s="1" t="s">
        <v>37</v>
      </c>
      <c r="J4446" s="1" t="s">
        <v>18</v>
      </c>
      <c r="K4446" s="1">
        <v>390.0</v>
      </c>
      <c r="L4446" s="1">
        <v>56.9567552</v>
      </c>
      <c r="M4446" s="1">
        <v>24.1116411783831</v>
      </c>
    </row>
    <row r="4447">
      <c r="A4447" s="1" t="s">
        <v>22</v>
      </c>
      <c r="B4447" s="1" t="s">
        <v>38</v>
      </c>
      <c r="C4447" s="1" t="s">
        <v>165</v>
      </c>
      <c r="D4447" s="1">
        <v>3.0</v>
      </c>
      <c r="E4447" s="1">
        <v>170.0</v>
      </c>
      <c r="F4447" s="1">
        <v>23.0</v>
      </c>
      <c r="G4447" s="1">
        <v>24.0</v>
      </c>
      <c r="H4447" s="1" t="s">
        <v>32</v>
      </c>
      <c r="I4447" s="1" t="s">
        <v>17</v>
      </c>
      <c r="J4447" s="1" t="s">
        <v>18</v>
      </c>
      <c r="K4447" s="1">
        <v>220000.0</v>
      </c>
      <c r="L4447" s="1">
        <v>56.9590306</v>
      </c>
      <c r="M4447" s="1">
        <v>24.013887042853</v>
      </c>
    </row>
    <row r="4448">
      <c r="A4448" s="1" t="s">
        <v>22</v>
      </c>
      <c r="B4448" s="1" t="s">
        <v>23</v>
      </c>
      <c r="C4448" s="1" t="s">
        <v>2532</v>
      </c>
      <c r="D4448" s="1">
        <v>1.0</v>
      </c>
      <c r="E4448" s="1">
        <v>32.0</v>
      </c>
      <c r="F4448" s="1">
        <v>3.0</v>
      </c>
      <c r="G4448" s="1">
        <v>3.0</v>
      </c>
      <c r="H4448" s="1" t="s">
        <v>25</v>
      </c>
      <c r="I4448" s="1" t="s">
        <v>37</v>
      </c>
      <c r="J4448" s="1" t="s">
        <v>27</v>
      </c>
      <c r="K4448" s="1">
        <v>16900.0</v>
      </c>
      <c r="L4448" s="1" t="s">
        <v>40</v>
      </c>
      <c r="M4448" s="1" t="s">
        <v>40</v>
      </c>
    </row>
    <row r="4449">
      <c r="A4449" s="1" t="s">
        <v>22</v>
      </c>
      <c r="B4449" s="1" t="s">
        <v>104</v>
      </c>
      <c r="C4449" s="1" t="s">
        <v>2533</v>
      </c>
      <c r="D4449" s="1">
        <v>1.0</v>
      </c>
      <c r="E4449" s="1">
        <v>17.0</v>
      </c>
      <c r="F4449" s="1">
        <v>2.0</v>
      </c>
      <c r="G4449" s="1">
        <v>4.0</v>
      </c>
      <c r="H4449" s="1" t="s">
        <v>57</v>
      </c>
      <c r="I4449" s="1" t="s">
        <v>37</v>
      </c>
      <c r="J4449" s="1" t="s">
        <v>27</v>
      </c>
      <c r="K4449" s="1">
        <v>21000.0</v>
      </c>
      <c r="L4449" s="1">
        <v>56.9432032999999</v>
      </c>
      <c r="M4449" s="1">
        <v>24.0618997500124</v>
      </c>
    </row>
    <row r="4450">
      <c r="A4450" s="1" t="s">
        <v>13</v>
      </c>
      <c r="B4450" s="1" t="s">
        <v>23</v>
      </c>
      <c r="C4450" s="1" t="s">
        <v>2534</v>
      </c>
      <c r="D4450" s="1">
        <v>5.0</v>
      </c>
      <c r="E4450" s="1">
        <v>50.0</v>
      </c>
      <c r="F4450" s="1">
        <v>3.0</v>
      </c>
      <c r="G4450" s="1">
        <v>5.0</v>
      </c>
      <c r="H4450" s="1" t="s">
        <v>66</v>
      </c>
      <c r="I4450" s="1" t="s">
        <v>17</v>
      </c>
      <c r="J4450" s="1" t="s">
        <v>18</v>
      </c>
      <c r="K4450" s="1">
        <v>430.0</v>
      </c>
      <c r="L4450" s="1">
        <v>56.9479382</v>
      </c>
      <c r="M4450" s="1">
        <v>24.1380288</v>
      </c>
    </row>
    <row r="4451">
      <c r="A4451" s="1" t="s">
        <v>22</v>
      </c>
      <c r="B4451" s="1" t="s">
        <v>174</v>
      </c>
      <c r="C4451" s="1" t="s">
        <v>879</v>
      </c>
      <c r="D4451" s="1">
        <v>1.0</v>
      </c>
      <c r="E4451" s="1">
        <v>39.0</v>
      </c>
      <c r="F4451" s="1">
        <v>3.0</v>
      </c>
      <c r="G4451" s="1">
        <v>5.0</v>
      </c>
      <c r="H4451" s="1" t="s">
        <v>57</v>
      </c>
      <c r="I4451" s="1" t="s">
        <v>21</v>
      </c>
      <c r="J4451" s="1" t="s">
        <v>18</v>
      </c>
      <c r="K4451" s="1">
        <v>30000.0</v>
      </c>
      <c r="L4451" s="1">
        <v>56.94016</v>
      </c>
      <c r="M4451" s="1">
        <v>24.186816783778</v>
      </c>
    </row>
    <row r="4452">
      <c r="A4452" s="1" t="s">
        <v>22</v>
      </c>
      <c r="B4452" s="1" t="s">
        <v>28</v>
      </c>
      <c r="C4452" s="1" t="s">
        <v>2535</v>
      </c>
      <c r="D4452" s="1">
        <v>3.0</v>
      </c>
      <c r="E4452" s="1">
        <v>60.0</v>
      </c>
      <c r="F4452" s="1">
        <v>2.0</v>
      </c>
      <c r="G4452" s="1">
        <v>5.0</v>
      </c>
      <c r="H4452" s="1" t="s">
        <v>16</v>
      </c>
      <c r="I4452" s="1" t="s">
        <v>21</v>
      </c>
      <c r="J4452" s="1" t="s">
        <v>18</v>
      </c>
      <c r="K4452" s="1">
        <v>52200.0</v>
      </c>
      <c r="L4452" s="1">
        <v>56.8702755</v>
      </c>
      <c r="M4452" s="1">
        <v>24.2741204</v>
      </c>
    </row>
    <row r="4453">
      <c r="A4453" s="1" t="s">
        <v>13</v>
      </c>
      <c r="B4453" s="1" t="s">
        <v>38</v>
      </c>
      <c r="C4453" s="1" t="s">
        <v>316</v>
      </c>
      <c r="D4453" s="1">
        <v>1.0</v>
      </c>
      <c r="E4453" s="1">
        <v>34.0</v>
      </c>
      <c r="F4453" s="1">
        <v>8.0</v>
      </c>
      <c r="G4453" s="1">
        <v>9.0</v>
      </c>
      <c r="H4453" s="1">
        <v>602.0</v>
      </c>
      <c r="I4453" s="1" t="s">
        <v>21</v>
      </c>
      <c r="J4453" s="1" t="s">
        <v>18</v>
      </c>
      <c r="K4453" s="1">
        <v>290.0</v>
      </c>
      <c r="L4453" s="1" t="s">
        <v>40</v>
      </c>
      <c r="M4453" s="1" t="s">
        <v>40</v>
      </c>
    </row>
    <row r="4454">
      <c r="A4454" s="1" t="s">
        <v>22</v>
      </c>
      <c r="B4454" s="1" t="s">
        <v>218</v>
      </c>
      <c r="C4454" s="1" t="s">
        <v>1676</v>
      </c>
      <c r="D4454" s="1">
        <v>1.0</v>
      </c>
      <c r="E4454" s="1">
        <v>42.0</v>
      </c>
      <c r="F4454" s="1">
        <v>3.0</v>
      </c>
      <c r="G4454" s="1">
        <v>4.0</v>
      </c>
      <c r="H4454" s="1" t="s">
        <v>25</v>
      </c>
      <c r="I4454" s="1" t="s">
        <v>33</v>
      </c>
      <c r="J4454" s="1" t="s">
        <v>18</v>
      </c>
      <c r="K4454" s="1">
        <v>119990.0</v>
      </c>
      <c r="L4454" s="1">
        <v>56.9487783</v>
      </c>
      <c r="M4454" s="1">
        <v>24.1075908</v>
      </c>
    </row>
    <row r="4455">
      <c r="A4455" s="1" t="s">
        <v>22</v>
      </c>
      <c r="B4455" s="1" t="s">
        <v>218</v>
      </c>
      <c r="C4455" s="1" t="s">
        <v>1676</v>
      </c>
      <c r="D4455" s="1">
        <v>2.0</v>
      </c>
      <c r="E4455" s="1">
        <v>34.0</v>
      </c>
      <c r="F4455" s="1">
        <v>2.0</v>
      </c>
      <c r="G4455" s="1">
        <v>4.0</v>
      </c>
      <c r="H4455" s="1" t="s">
        <v>25</v>
      </c>
      <c r="I4455" s="1" t="s">
        <v>33</v>
      </c>
      <c r="J4455" s="1" t="s">
        <v>18</v>
      </c>
      <c r="K4455" s="1">
        <v>96990.0</v>
      </c>
      <c r="L4455" s="1">
        <v>56.9487783</v>
      </c>
      <c r="M4455" s="1">
        <v>24.1075908</v>
      </c>
    </row>
    <row r="4456">
      <c r="A4456" s="1" t="s">
        <v>22</v>
      </c>
      <c r="B4456" s="1" t="s">
        <v>30</v>
      </c>
      <c r="C4456" s="1" t="s">
        <v>487</v>
      </c>
      <c r="D4456" s="1">
        <v>1.0</v>
      </c>
      <c r="E4456" s="1">
        <v>18.0</v>
      </c>
      <c r="F4456" s="1">
        <v>4.0</v>
      </c>
      <c r="G4456" s="1">
        <v>5.0</v>
      </c>
      <c r="H4456" s="1" t="s">
        <v>57</v>
      </c>
      <c r="I4456" s="1" t="s">
        <v>37</v>
      </c>
      <c r="J4456" s="1" t="s">
        <v>18</v>
      </c>
      <c r="K4456" s="1">
        <v>19900.0</v>
      </c>
      <c r="L4456" s="1">
        <v>56.9685701</v>
      </c>
      <c r="M4456" s="1">
        <v>24.1819824</v>
      </c>
    </row>
    <row r="4457">
      <c r="A4457" s="1" t="s">
        <v>13</v>
      </c>
      <c r="B4457" s="1" t="s">
        <v>14</v>
      </c>
      <c r="C4457" s="1" t="s">
        <v>1856</v>
      </c>
      <c r="D4457" s="1">
        <v>1.0</v>
      </c>
      <c r="E4457" s="1">
        <v>24.0</v>
      </c>
      <c r="F4457" s="1">
        <v>2.0</v>
      </c>
      <c r="G4457" s="1">
        <v>5.0</v>
      </c>
      <c r="H4457" s="1" t="s">
        <v>66</v>
      </c>
      <c r="I4457" s="1" t="s">
        <v>33</v>
      </c>
      <c r="J4457" s="1" t="s">
        <v>18</v>
      </c>
      <c r="K4457" s="1">
        <v>230.0</v>
      </c>
      <c r="L4457" s="1">
        <v>56.9697688</v>
      </c>
      <c r="M4457" s="1">
        <v>24.1782343</v>
      </c>
    </row>
    <row r="4458">
      <c r="A4458" s="1" t="s">
        <v>22</v>
      </c>
      <c r="B4458" s="1" t="s">
        <v>218</v>
      </c>
      <c r="C4458" s="1" t="s">
        <v>1676</v>
      </c>
      <c r="D4458" s="1">
        <v>1.0</v>
      </c>
      <c r="E4458" s="1">
        <v>15.0</v>
      </c>
      <c r="F4458" s="1">
        <v>3.0</v>
      </c>
      <c r="G4458" s="1">
        <v>4.0</v>
      </c>
      <c r="H4458" s="1" t="s">
        <v>25</v>
      </c>
      <c r="I4458" s="1" t="s">
        <v>33</v>
      </c>
      <c r="J4458" s="1" t="s">
        <v>18</v>
      </c>
      <c r="K4458" s="1">
        <v>49990.0</v>
      </c>
      <c r="L4458" s="1">
        <v>56.9487783</v>
      </c>
      <c r="M4458" s="1">
        <v>24.1075908</v>
      </c>
    </row>
    <row r="4459">
      <c r="A4459" s="1" t="s">
        <v>22</v>
      </c>
      <c r="B4459" s="1" t="s">
        <v>14</v>
      </c>
      <c r="C4459" s="1" t="s">
        <v>487</v>
      </c>
      <c r="D4459" s="1">
        <v>1.0</v>
      </c>
      <c r="E4459" s="1">
        <v>18.0</v>
      </c>
      <c r="F4459" s="1">
        <v>4.0</v>
      </c>
      <c r="G4459" s="1">
        <v>5.0</v>
      </c>
      <c r="H4459" s="1" t="s">
        <v>57</v>
      </c>
      <c r="I4459" s="1" t="s">
        <v>33</v>
      </c>
      <c r="J4459" s="1" t="s">
        <v>18</v>
      </c>
      <c r="K4459" s="1">
        <v>19900.0</v>
      </c>
      <c r="L4459" s="1">
        <v>56.9685701</v>
      </c>
      <c r="M4459" s="1">
        <v>24.1819824</v>
      </c>
    </row>
    <row r="4460">
      <c r="A4460" s="1" t="s">
        <v>22</v>
      </c>
      <c r="B4460" s="1" t="s">
        <v>52</v>
      </c>
      <c r="C4460" s="1" t="s">
        <v>175</v>
      </c>
      <c r="D4460" s="1">
        <v>4.0</v>
      </c>
      <c r="E4460" s="1">
        <v>90.0</v>
      </c>
      <c r="F4460" s="1">
        <v>7.0</v>
      </c>
      <c r="G4460" s="1">
        <v>9.0</v>
      </c>
      <c r="H4460" s="1">
        <v>119.0</v>
      </c>
      <c r="I4460" s="1" t="s">
        <v>21</v>
      </c>
      <c r="J4460" s="1" t="s">
        <v>18</v>
      </c>
      <c r="K4460" s="1">
        <v>82500.0</v>
      </c>
      <c r="L4460" s="1">
        <v>56.9484028</v>
      </c>
      <c r="M4460" s="1">
        <v>24.0020688644395</v>
      </c>
    </row>
    <row r="4461">
      <c r="A4461" s="1" t="s">
        <v>131</v>
      </c>
      <c r="B4461" s="1" t="s">
        <v>23</v>
      </c>
      <c r="C4461" s="2"/>
      <c r="D4461" s="1">
        <v>2.0</v>
      </c>
      <c r="E4461" s="2"/>
      <c r="F4461" s="2"/>
      <c r="G4461" s="2"/>
      <c r="H4461" s="2"/>
      <c r="I4461" s="2"/>
      <c r="J4461" s="2"/>
      <c r="K4461" s="2"/>
      <c r="L4461" s="1">
        <v>46.3144754</v>
      </c>
      <c r="M4461" s="1">
        <v>11.0480288</v>
      </c>
    </row>
    <row r="4462">
      <c r="A4462" s="1" t="s">
        <v>22</v>
      </c>
      <c r="B4462" s="1" t="s">
        <v>60</v>
      </c>
      <c r="C4462" s="1" t="s">
        <v>839</v>
      </c>
      <c r="D4462" s="1">
        <v>2.0</v>
      </c>
      <c r="E4462" s="1">
        <v>44.0</v>
      </c>
      <c r="F4462" s="1">
        <v>1.0</v>
      </c>
      <c r="G4462" s="1">
        <v>9.0</v>
      </c>
      <c r="H4462" s="1" t="s">
        <v>36</v>
      </c>
      <c r="I4462" s="1" t="s">
        <v>37</v>
      </c>
      <c r="J4462" s="1" t="s">
        <v>18</v>
      </c>
      <c r="K4462" s="1">
        <v>16000.0</v>
      </c>
      <c r="L4462" s="1">
        <v>57.0280131</v>
      </c>
      <c r="M4462" s="1">
        <v>24.0412216</v>
      </c>
    </row>
    <row r="4463">
      <c r="A4463" s="1" t="s">
        <v>89</v>
      </c>
      <c r="B4463" s="1" t="s">
        <v>38</v>
      </c>
      <c r="C4463" s="2"/>
      <c r="D4463" s="1">
        <v>2.0</v>
      </c>
      <c r="E4463" s="2"/>
      <c r="F4463" s="2"/>
      <c r="G4463" s="2"/>
      <c r="H4463" s="2"/>
      <c r="I4463" s="2"/>
      <c r="J4463" s="1" t="s">
        <v>18</v>
      </c>
      <c r="K4463" s="2"/>
      <c r="L4463" s="1">
        <v>46.3144754</v>
      </c>
      <c r="M4463" s="1">
        <v>11.0480288</v>
      </c>
    </row>
    <row r="4464">
      <c r="A4464" s="1" t="s">
        <v>89</v>
      </c>
      <c r="B4464" s="1" t="s">
        <v>19</v>
      </c>
      <c r="C4464" s="2"/>
      <c r="D4464" s="1">
        <v>2.0</v>
      </c>
      <c r="E4464" s="2"/>
      <c r="F4464" s="2"/>
      <c r="G4464" s="2"/>
      <c r="H4464" s="2"/>
      <c r="I4464" s="2"/>
      <c r="J4464" s="1" t="s">
        <v>18</v>
      </c>
      <c r="K4464" s="2"/>
      <c r="L4464" s="1">
        <v>46.3144754</v>
      </c>
      <c r="M4464" s="1">
        <v>11.0480288</v>
      </c>
    </row>
    <row r="4465">
      <c r="A4465" s="1" t="s">
        <v>13</v>
      </c>
      <c r="B4465" s="1" t="s">
        <v>23</v>
      </c>
      <c r="C4465" s="1" t="s">
        <v>2536</v>
      </c>
      <c r="D4465" s="1">
        <v>4.0</v>
      </c>
      <c r="E4465" s="1">
        <v>86.0</v>
      </c>
      <c r="F4465" s="1">
        <v>5.0</v>
      </c>
      <c r="G4465" s="1">
        <v>8.0</v>
      </c>
      <c r="H4465" s="1" t="s">
        <v>36</v>
      </c>
      <c r="I4465" s="1" t="s">
        <v>17</v>
      </c>
      <c r="J4465" s="1" t="s">
        <v>18</v>
      </c>
      <c r="K4465" s="1">
        <v>450.0</v>
      </c>
      <c r="L4465" s="1">
        <v>56.9655513</v>
      </c>
      <c r="M4465" s="1">
        <v>24.143597678962</v>
      </c>
    </row>
    <row r="4466">
      <c r="A4466" s="1" t="s">
        <v>13</v>
      </c>
      <c r="B4466" s="1" t="s">
        <v>42</v>
      </c>
      <c r="C4466" s="1" t="s">
        <v>459</v>
      </c>
      <c r="D4466" s="1">
        <v>3.0</v>
      </c>
      <c r="E4466" s="1">
        <v>100.0</v>
      </c>
      <c r="F4466" s="1">
        <v>4.0</v>
      </c>
      <c r="G4466" s="1">
        <v>10.0</v>
      </c>
      <c r="H4466" s="1" t="s">
        <v>32</v>
      </c>
      <c r="I4466" s="1" t="s">
        <v>33</v>
      </c>
      <c r="J4466" s="1" t="s">
        <v>18</v>
      </c>
      <c r="K4466" s="1">
        <v>580.0</v>
      </c>
      <c r="L4466" s="1">
        <v>56.9879952999999</v>
      </c>
      <c r="M4466" s="1">
        <v>24.2461035663916</v>
      </c>
    </row>
    <row r="4467">
      <c r="A4467" s="1" t="s">
        <v>22</v>
      </c>
      <c r="B4467" s="1" t="s">
        <v>23</v>
      </c>
      <c r="C4467" s="1" t="s">
        <v>144</v>
      </c>
      <c r="D4467" s="1">
        <v>5.0</v>
      </c>
      <c r="E4467" s="1">
        <v>178.0</v>
      </c>
      <c r="F4467" s="1">
        <v>4.0</v>
      </c>
      <c r="G4467" s="1">
        <v>6.0</v>
      </c>
      <c r="H4467" s="1" t="s">
        <v>66</v>
      </c>
      <c r="I4467" s="1" t="s">
        <v>33</v>
      </c>
      <c r="J4467" s="1" t="s">
        <v>18</v>
      </c>
      <c r="K4467" s="1">
        <v>520000.0</v>
      </c>
      <c r="L4467" s="1">
        <v>56.96104425</v>
      </c>
      <c r="M4467" s="1">
        <v>24.0996557553473</v>
      </c>
    </row>
    <row r="4468">
      <c r="A4468" s="1" t="s">
        <v>13</v>
      </c>
      <c r="B4468" s="1" t="s">
        <v>23</v>
      </c>
      <c r="C4468" s="1" t="s">
        <v>1428</v>
      </c>
      <c r="D4468" s="1">
        <v>4.0</v>
      </c>
      <c r="E4468" s="1">
        <v>245.0</v>
      </c>
      <c r="F4468" s="1">
        <v>6.0</v>
      </c>
      <c r="G4468" s="1">
        <v>6.0</v>
      </c>
      <c r="H4468" s="1" t="s">
        <v>66</v>
      </c>
      <c r="I4468" s="1" t="s">
        <v>33</v>
      </c>
      <c r="J4468" s="1" t="s">
        <v>18</v>
      </c>
      <c r="K4468" s="1">
        <v>1000.0</v>
      </c>
      <c r="L4468" s="1">
        <v>56.956763</v>
      </c>
      <c r="M4468" s="1">
        <v>24.0954531</v>
      </c>
    </row>
    <row r="4469">
      <c r="A4469" s="1" t="s">
        <v>468</v>
      </c>
      <c r="B4469" s="1" t="s">
        <v>38</v>
      </c>
      <c r="C4469" s="1" t="s">
        <v>1581</v>
      </c>
      <c r="D4469" s="1">
        <v>1.0</v>
      </c>
      <c r="E4469" s="1">
        <v>35.0</v>
      </c>
      <c r="F4469" s="1">
        <v>7.0</v>
      </c>
      <c r="G4469" s="1">
        <v>9.0</v>
      </c>
      <c r="H4469" s="1">
        <v>602.0</v>
      </c>
      <c r="I4469" s="1" t="s">
        <v>21</v>
      </c>
      <c r="J4469" s="1" t="s">
        <v>18</v>
      </c>
      <c r="K4469" s="2"/>
      <c r="L4469" s="1" t="s">
        <v>40</v>
      </c>
      <c r="M4469" s="1" t="s">
        <v>40</v>
      </c>
    </row>
    <row r="4470">
      <c r="A4470" s="1" t="s">
        <v>22</v>
      </c>
      <c r="B4470" s="1" t="s">
        <v>42</v>
      </c>
      <c r="C4470" s="1" t="s">
        <v>2537</v>
      </c>
      <c r="D4470" s="1">
        <v>2.0</v>
      </c>
      <c r="E4470" s="1">
        <v>46.0</v>
      </c>
      <c r="F4470" s="1">
        <v>8.0</v>
      </c>
      <c r="G4470" s="1">
        <v>12.0</v>
      </c>
      <c r="H4470" s="1" t="s">
        <v>36</v>
      </c>
      <c r="I4470" s="1" t="s">
        <v>17</v>
      </c>
      <c r="J4470" s="1" t="s">
        <v>18</v>
      </c>
      <c r="K4470" s="1">
        <v>62000.0</v>
      </c>
      <c r="L4470" s="1">
        <v>56.9928725</v>
      </c>
      <c r="M4470" s="1">
        <v>24.2427522437896</v>
      </c>
    </row>
    <row r="4471">
      <c r="A4471" s="1" t="s">
        <v>13</v>
      </c>
      <c r="B4471" s="1" t="s">
        <v>45</v>
      </c>
      <c r="C4471" s="1" t="s">
        <v>2538</v>
      </c>
      <c r="D4471" s="1">
        <v>1.0</v>
      </c>
      <c r="E4471" s="1">
        <v>26.0</v>
      </c>
      <c r="F4471" s="1">
        <v>5.0</v>
      </c>
      <c r="G4471" s="1">
        <v>6.0</v>
      </c>
      <c r="H4471" s="1" t="s">
        <v>32</v>
      </c>
      <c r="I4471" s="1" t="s">
        <v>21</v>
      </c>
      <c r="J4471" s="1" t="s">
        <v>18</v>
      </c>
      <c r="K4471" s="1">
        <v>240.0</v>
      </c>
      <c r="L4471" s="1">
        <v>57.0221222499999</v>
      </c>
      <c r="M4471" s="1">
        <v>24.1377582358398</v>
      </c>
    </row>
    <row r="4472">
      <c r="A4472" s="1" t="s">
        <v>22</v>
      </c>
      <c r="B4472" s="1" t="s">
        <v>23</v>
      </c>
      <c r="C4472" s="1" t="s">
        <v>1412</v>
      </c>
      <c r="D4472" s="1">
        <v>1.0</v>
      </c>
      <c r="E4472" s="1">
        <v>32.0</v>
      </c>
      <c r="F4472" s="1">
        <v>6.0</v>
      </c>
      <c r="G4472" s="1">
        <v>6.0</v>
      </c>
      <c r="H4472" s="1" t="s">
        <v>25</v>
      </c>
      <c r="I4472" s="1" t="s">
        <v>33</v>
      </c>
      <c r="J4472" s="1" t="s">
        <v>18</v>
      </c>
      <c r="K4472" s="1">
        <v>39800.0</v>
      </c>
      <c r="L4472" s="1">
        <v>56.9471865</v>
      </c>
      <c r="M4472" s="1">
        <v>24.1411337</v>
      </c>
    </row>
    <row r="4473">
      <c r="A4473" s="1" t="s">
        <v>13</v>
      </c>
      <c r="B4473" s="1" t="s">
        <v>23</v>
      </c>
      <c r="C4473" s="1" t="s">
        <v>2539</v>
      </c>
      <c r="D4473" s="1">
        <v>2.0</v>
      </c>
      <c r="E4473" s="1">
        <v>35.0</v>
      </c>
      <c r="F4473" s="1">
        <v>5.0</v>
      </c>
      <c r="G4473" s="1">
        <v>5.0</v>
      </c>
      <c r="H4473" s="1" t="s">
        <v>25</v>
      </c>
      <c r="I4473" s="1" t="s">
        <v>33</v>
      </c>
      <c r="J4473" s="1" t="s">
        <v>18</v>
      </c>
      <c r="K4473" s="1">
        <v>320.0</v>
      </c>
      <c r="L4473" s="1">
        <v>56.9604566</v>
      </c>
      <c r="M4473" s="1">
        <v>24.1412889</v>
      </c>
    </row>
    <row r="4474">
      <c r="A4474" s="1" t="s">
        <v>13</v>
      </c>
      <c r="B4474" s="1" t="s">
        <v>23</v>
      </c>
      <c r="C4474" s="1" t="s">
        <v>1293</v>
      </c>
      <c r="D4474" s="1">
        <v>3.0</v>
      </c>
      <c r="E4474" s="1">
        <v>64.26</v>
      </c>
      <c r="F4474" s="1">
        <v>5.0</v>
      </c>
      <c r="G4474" s="1">
        <v>6.0</v>
      </c>
      <c r="H4474" s="1" t="s">
        <v>25</v>
      </c>
      <c r="I4474" s="1" t="s">
        <v>33</v>
      </c>
      <c r="J4474" s="1" t="s">
        <v>18</v>
      </c>
      <c r="K4474" s="1">
        <v>190.0</v>
      </c>
      <c r="L4474" s="1">
        <v>56.95900535</v>
      </c>
      <c r="M4474" s="1">
        <v>24.108792096133</v>
      </c>
    </row>
    <row r="4475">
      <c r="A4475" s="1" t="s">
        <v>13</v>
      </c>
      <c r="B4475" s="1" t="s">
        <v>23</v>
      </c>
      <c r="C4475" s="1" t="s">
        <v>2540</v>
      </c>
      <c r="D4475" s="1">
        <v>1.0</v>
      </c>
      <c r="E4475" s="1">
        <v>20.0</v>
      </c>
      <c r="F4475" s="1">
        <v>1.0</v>
      </c>
      <c r="G4475" s="1">
        <v>2.0</v>
      </c>
      <c r="H4475" s="1" t="s">
        <v>25</v>
      </c>
      <c r="I4475" s="1" t="s">
        <v>26</v>
      </c>
      <c r="J4475" s="1" t="s">
        <v>27</v>
      </c>
      <c r="K4475" s="1">
        <v>140.0</v>
      </c>
      <c r="L4475" s="1">
        <v>56.9507767</v>
      </c>
      <c r="M4475" s="1">
        <v>24.1332307</v>
      </c>
    </row>
    <row r="4476">
      <c r="A4476" s="1" t="s">
        <v>22</v>
      </c>
      <c r="B4476" s="1" t="s">
        <v>151</v>
      </c>
      <c r="C4476" s="1" t="s">
        <v>2541</v>
      </c>
      <c r="D4476" s="1">
        <v>2.0</v>
      </c>
      <c r="E4476" s="1">
        <v>38.2</v>
      </c>
      <c r="F4476" s="1">
        <v>4.0</v>
      </c>
      <c r="G4476" s="1">
        <v>5.0</v>
      </c>
      <c r="H4476" s="1" t="s">
        <v>16</v>
      </c>
      <c r="I4476" s="1" t="s">
        <v>21</v>
      </c>
      <c r="J4476" s="1" t="s">
        <v>18</v>
      </c>
      <c r="K4476" s="1">
        <v>49000.0</v>
      </c>
      <c r="L4476" s="1">
        <v>56.9660625</v>
      </c>
      <c r="M4476" s="1">
        <v>24.0604764905193</v>
      </c>
    </row>
    <row r="4477">
      <c r="A4477" s="1" t="s">
        <v>13</v>
      </c>
      <c r="B4477" s="1" t="s">
        <v>23</v>
      </c>
      <c r="C4477" s="1" t="s">
        <v>2542</v>
      </c>
      <c r="D4477" s="1">
        <v>4.0</v>
      </c>
      <c r="E4477" s="1">
        <v>100.0</v>
      </c>
      <c r="F4477" s="1">
        <v>2.0</v>
      </c>
      <c r="G4477" s="1">
        <v>6.0</v>
      </c>
      <c r="H4477" s="1" t="s">
        <v>25</v>
      </c>
      <c r="I4477" s="1" t="s">
        <v>37</v>
      </c>
      <c r="J4477" s="1" t="s">
        <v>18</v>
      </c>
      <c r="K4477" s="1">
        <v>750.0</v>
      </c>
      <c r="L4477" s="1">
        <v>56.9545069</v>
      </c>
      <c r="M4477" s="1">
        <v>24.1333641</v>
      </c>
    </row>
    <row r="4478">
      <c r="A4478" s="1" t="s">
        <v>22</v>
      </c>
      <c r="B4478" s="1" t="s">
        <v>38</v>
      </c>
      <c r="C4478" s="1" t="s">
        <v>2543</v>
      </c>
      <c r="D4478" s="1">
        <v>3.0</v>
      </c>
      <c r="E4478" s="1">
        <v>63.0</v>
      </c>
      <c r="F4478" s="1">
        <v>4.0</v>
      </c>
      <c r="G4478" s="1">
        <v>9.0</v>
      </c>
      <c r="H4478" s="1">
        <v>602.0</v>
      </c>
      <c r="I4478" s="1" t="s">
        <v>21</v>
      </c>
      <c r="J4478" s="1" t="s">
        <v>18</v>
      </c>
      <c r="K4478" s="1">
        <v>63000.0</v>
      </c>
      <c r="L4478" s="1" t="s">
        <v>40</v>
      </c>
      <c r="M4478" s="1" t="s">
        <v>40</v>
      </c>
    </row>
    <row r="4479">
      <c r="A4479" s="1" t="s">
        <v>22</v>
      </c>
      <c r="B4479" s="1" t="s">
        <v>134</v>
      </c>
      <c r="C4479" s="1" t="s">
        <v>692</v>
      </c>
      <c r="D4479" s="1">
        <v>1.0</v>
      </c>
      <c r="E4479" s="1">
        <v>32.0</v>
      </c>
      <c r="F4479" s="1">
        <v>5.0</v>
      </c>
      <c r="G4479" s="1">
        <v>5.0</v>
      </c>
      <c r="H4479" s="1" t="s">
        <v>57</v>
      </c>
      <c r="I4479" s="1" t="s">
        <v>17</v>
      </c>
      <c r="J4479" s="1" t="s">
        <v>18</v>
      </c>
      <c r="K4479" s="1">
        <v>22500.0</v>
      </c>
      <c r="L4479" s="1">
        <v>57.0402147</v>
      </c>
      <c r="M4479" s="1">
        <v>24.031457377538</v>
      </c>
    </row>
    <row r="4480">
      <c r="A4480" s="1" t="s">
        <v>22</v>
      </c>
      <c r="B4480" s="1" t="s">
        <v>28</v>
      </c>
      <c r="C4480" s="1" t="s">
        <v>2544</v>
      </c>
      <c r="D4480" s="1">
        <v>2.0</v>
      </c>
      <c r="E4480" s="1">
        <v>39.3</v>
      </c>
      <c r="F4480" s="1">
        <v>2.0</v>
      </c>
      <c r="G4480" s="1">
        <v>5.0</v>
      </c>
      <c r="H4480" s="1" t="s">
        <v>16</v>
      </c>
      <c r="I4480" s="1" t="s">
        <v>21</v>
      </c>
      <c r="J4480" s="1" t="s">
        <v>18</v>
      </c>
      <c r="K4480" s="1">
        <v>40000.0</v>
      </c>
      <c r="L4480" s="1">
        <v>56.9150027</v>
      </c>
      <c r="M4480" s="1">
        <v>24.1755593</v>
      </c>
    </row>
    <row r="4481">
      <c r="A4481" s="1" t="s">
        <v>131</v>
      </c>
      <c r="B4481" s="1" t="s">
        <v>42</v>
      </c>
      <c r="C4481" s="2"/>
      <c r="D4481" s="1">
        <v>1.0</v>
      </c>
      <c r="E4481" s="2"/>
      <c r="F4481" s="1">
        <v>1.0</v>
      </c>
      <c r="G4481" s="1">
        <v>12.0</v>
      </c>
      <c r="H4481" s="2"/>
      <c r="I4481" s="2"/>
      <c r="J4481" s="1" t="s">
        <v>18</v>
      </c>
      <c r="K4481" s="2"/>
      <c r="L4481" s="1">
        <v>46.3144754</v>
      </c>
      <c r="M4481" s="1">
        <v>11.0480288</v>
      </c>
    </row>
    <row r="4482">
      <c r="A4482" s="1" t="s">
        <v>22</v>
      </c>
      <c r="B4482" s="1" t="s">
        <v>23</v>
      </c>
      <c r="C4482" s="1" t="s">
        <v>386</v>
      </c>
      <c r="D4482" s="1">
        <v>3.0</v>
      </c>
      <c r="E4482" s="1">
        <v>92.0</v>
      </c>
      <c r="F4482" s="1">
        <v>6.0</v>
      </c>
      <c r="G4482" s="1">
        <v>6.0</v>
      </c>
      <c r="H4482" s="1" t="s">
        <v>66</v>
      </c>
      <c r="I4482" s="1" t="s">
        <v>33</v>
      </c>
      <c r="J4482" s="1" t="s">
        <v>18</v>
      </c>
      <c r="K4482" s="1">
        <v>88892.0</v>
      </c>
      <c r="L4482" s="1">
        <v>56.9539256</v>
      </c>
      <c r="M4482" s="1">
        <v>24.1237609</v>
      </c>
    </row>
    <row r="4483">
      <c r="A4483" s="1" t="s">
        <v>13</v>
      </c>
      <c r="B4483" s="1" t="s">
        <v>52</v>
      </c>
      <c r="C4483" s="1" t="s">
        <v>1099</v>
      </c>
      <c r="D4483" s="1">
        <v>3.0</v>
      </c>
      <c r="E4483" s="1">
        <v>75.0</v>
      </c>
      <c r="F4483" s="1">
        <v>4.0</v>
      </c>
      <c r="G4483" s="1">
        <v>9.0</v>
      </c>
      <c r="H4483" s="1">
        <v>119.0</v>
      </c>
      <c r="I4483" s="1" t="s">
        <v>21</v>
      </c>
      <c r="J4483" s="1" t="s">
        <v>18</v>
      </c>
      <c r="K4483" s="1">
        <v>490.0</v>
      </c>
      <c r="L4483" s="1">
        <v>56.94617195</v>
      </c>
      <c r="M4483" s="1">
        <v>24.0087872499999</v>
      </c>
    </row>
    <row r="4484">
      <c r="A4484" s="1" t="s">
        <v>22</v>
      </c>
      <c r="B4484" s="1" t="s">
        <v>28</v>
      </c>
      <c r="C4484" s="1" t="s">
        <v>2545</v>
      </c>
      <c r="D4484" s="1">
        <v>2.0</v>
      </c>
      <c r="E4484" s="1">
        <v>37.0</v>
      </c>
      <c r="F4484" s="1">
        <v>5.0</v>
      </c>
      <c r="G4484" s="1">
        <v>5.0</v>
      </c>
      <c r="H4484" s="1" t="s">
        <v>16</v>
      </c>
      <c r="I4484" s="1" t="s">
        <v>21</v>
      </c>
      <c r="J4484" s="1" t="s">
        <v>18</v>
      </c>
      <c r="K4484" s="1">
        <v>32500.0</v>
      </c>
      <c r="L4484" s="1">
        <v>56.8597884</v>
      </c>
      <c r="M4484" s="1">
        <v>24.3083417</v>
      </c>
    </row>
    <row r="4485">
      <c r="A4485" s="1" t="s">
        <v>13</v>
      </c>
      <c r="B4485" s="1" t="s">
        <v>23</v>
      </c>
      <c r="C4485" s="1" t="s">
        <v>2499</v>
      </c>
      <c r="D4485" s="1">
        <v>4.0</v>
      </c>
      <c r="E4485" s="1">
        <v>98.0</v>
      </c>
      <c r="F4485" s="1">
        <v>1.0</v>
      </c>
      <c r="G4485" s="1">
        <v>3.0</v>
      </c>
      <c r="H4485" s="1" t="s">
        <v>25</v>
      </c>
      <c r="I4485" s="1" t="s">
        <v>33</v>
      </c>
      <c r="J4485" s="1" t="s">
        <v>18</v>
      </c>
      <c r="K4485" s="1">
        <v>5.0</v>
      </c>
      <c r="L4485" s="1">
        <v>56.95009165</v>
      </c>
      <c r="M4485" s="1">
        <v>24.1304232666234</v>
      </c>
    </row>
    <row r="4486">
      <c r="A4486" s="1" t="s">
        <v>13</v>
      </c>
      <c r="B4486" s="1" t="s">
        <v>14</v>
      </c>
      <c r="C4486" s="1" t="s">
        <v>2103</v>
      </c>
      <c r="D4486" s="1">
        <v>2.0</v>
      </c>
      <c r="E4486" s="1">
        <v>51.0</v>
      </c>
      <c r="F4486" s="1">
        <v>4.0</v>
      </c>
      <c r="G4486" s="1">
        <v>5.0</v>
      </c>
      <c r="H4486" s="1" t="s">
        <v>16</v>
      </c>
      <c r="I4486" s="1" t="s">
        <v>21</v>
      </c>
      <c r="J4486" s="1" t="s">
        <v>18</v>
      </c>
      <c r="K4486" s="1">
        <v>290.0</v>
      </c>
      <c r="L4486" s="1">
        <v>56.9555825</v>
      </c>
      <c r="M4486" s="1">
        <v>24.2032005</v>
      </c>
    </row>
    <row r="4487">
      <c r="A4487" s="1" t="s">
        <v>22</v>
      </c>
      <c r="B4487" s="1" t="s">
        <v>23</v>
      </c>
      <c r="C4487" s="1" t="s">
        <v>1170</v>
      </c>
      <c r="D4487" s="1">
        <v>5.0</v>
      </c>
      <c r="E4487" s="1">
        <v>123.0</v>
      </c>
      <c r="F4487" s="1">
        <v>2.0</v>
      </c>
      <c r="G4487" s="1">
        <v>6.0</v>
      </c>
      <c r="H4487" s="1" t="s">
        <v>25</v>
      </c>
      <c r="I4487" s="1" t="s">
        <v>33</v>
      </c>
      <c r="J4487" s="1" t="s">
        <v>18</v>
      </c>
      <c r="K4487" s="1">
        <v>125000.0</v>
      </c>
      <c r="L4487" s="1">
        <v>56.9647023</v>
      </c>
      <c r="M4487" s="1">
        <v>24.1416133360267</v>
      </c>
    </row>
    <row r="4488">
      <c r="A4488" s="1" t="s">
        <v>13</v>
      </c>
      <c r="B4488" s="1" t="s">
        <v>19</v>
      </c>
      <c r="C4488" s="1" t="s">
        <v>2546</v>
      </c>
      <c r="D4488" s="1">
        <v>1.0</v>
      </c>
      <c r="E4488" s="1">
        <v>35.0</v>
      </c>
      <c r="F4488" s="1">
        <v>9.0</v>
      </c>
      <c r="G4488" s="1">
        <v>9.0</v>
      </c>
      <c r="H4488" s="1">
        <v>602.0</v>
      </c>
      <c r="I4488" s="1" t="s">
        <v>21</v>
      </c>
      <c r="J4488" s="1" t="s">
        <v>18</v>
      </c>
      <c r="K4488" s="1">
        <v>270.0</v>
      </c>
      <c r="L4488" s="1">
        <v>56.9010582</v>
      </c>
      <c r="M4488" s="1">
        <v>24.1014129325176</v>
      </c>
    </row>
    <row r="4489">
      <c r="A4489" s="1" t="s">
        <v>22</v>
      </c>
      <c r="B4489" s="1" t="s">
        <v>151</v>
      </c>
      <c r="C4489" s="1" t="s">
        <v>2547</v>
      </c>
      <c r="D4489" s="1">
        <v>1.0</v>
      </c>
      <c r="E4489" s="1">
        <v>33.0</v>
      </c>
      <c r="F4489" s="1">
        <v>5.0</v>
      </c>
      <c r="G4489" s="1">
        <v>5.0</v>
      </c>
      <c r="H4489" s="1" t="s">
        <v>44</v>
      </c>
      <c r="I4489" s="1" t="s">
        <v>37</v>
      </c>
      <c r="J4489" s="1" t="s">
        <v>18</v>
      </c>
      <c r="K4489" s="1">
        <v>25000.0</v>
      </c>
      <c r="L4489" s="1">
        <v>56.9673626</v>
      </c>
      <c r="M4489" s="1">
        <v>24.0500752304648</v>
      </c>
    </row>
    <row r="4490">
      <c r="A4490" s="1" t="s">
        <v>22</v>
      </c>
      <c r="B4490" s="1" t="s">
        <v>48</v>
      </c>
      <c r="C4490" s="1" t="s">
        <v>1576</v>
      </c>
      <c r="D4490" s="1">
        <v>1.0</v>
      </c>
      <c r="E4490" s="1">
        <v>48.0</v>
      </c>
      <c r="F4490" s="1">
        <v>10.0</v>
      </c>
      <c r="G4490" s="1">
        <v>16.0</v>
      </c>
      <c r="H4490" s="1">
        <v>104.0</v>
      </c>
      <c r="I4490" s="1" t="s">
        <v>21</v>
      </c>
      <c r="J4490" s="1" t="s">
        <v>18</v>
      </c>
      <c r="K4490" s="1">
        <v>55850.0</v>
      </c>
      <c r="L4490" s="1">
        <v>56.96758455</v>
      </c>
      <c r="M4490" s="1">
        <v>24.238078024789</v>
      </c>
    </row>
    <row r="4491">
      <c r="A4491" s="1" t="s">
        <v>22</v>
      </c>
      <c r="B4491" s="1" t="s">
        <v>38</v>
      </c>
      <c r="C4491" s="1" t="s">
        <v>2548</v>
      </c>
      <c r="D4491" s="1">
        <v>3.0</v>
      </c>
      <c r="E4491" s="1">
        <v>68.0</v>
      </c>
      <c r="F4491" s="1">
        <v>5.0</v>
      </c>
      <c r="G4491" s="1">
        <v>5.0</v>
      </c>
      <c r="H4491" s="1" t="s">
        <v>16</v>
      </c>
      <c r="I4491" s="1" t="s">
        <v>21</v>
      </c>
      <c r="J4491" s="1" t="s">
        <v>18</v>
      </c>
      <c r="K4491" s="1">
        <v>48500.0</v>
      </c>
      <c r="L4491" s="1">
        <v>56.96223585</v>
      </c>
      <c r="M4491" s="1">
        <v>24.0112542999999</v>
      </c>
    </row>
    <row r="4492">
      <c r="A4492" s="1" t="s">
        <v>22</v>
      </c>
      <c r="B4492" s="1" t="s">
        <v>74</v>
      </c>
      <c r="C4492" s="1" t="s">
        <v>2549</v>
      </c>
      <c r="D4492" s="1">
        <v>3.0</v>
      </c>
      <c r="E4492" s="1">
        <v>62.0</v>
      </c>
      <c r="F4492" s="1">
        <v>1.0</v>
      </c>
      <c r="G4492" s="1">
        <v>7.0</v>
      </c>
      <c r="H4492" s="1">
        <v>602.0</v>
      </c>
      <c r="I4492" s="1" t="s">
        <v>21</v>
      </c>
      <c r="J4492" s="1" t="s">
        <v>18</v>
      </c>
      <c r="K4492" s="1">
        <v>59990.0</v>
      </c>
      <c r="L4492" s="1" t="s">
        <v>40</v>
      </c>
      <c r="M4492" s="1" t="s">
        <v>40</v>
      </c>
    </row>
    <row r="4493">
      <c r="A4493" s="1" t="s">
        <v>13</v>
      </c>
      <c r="B4493" s="1" t="s">
        <v>14</v>
      </c>
      <c r="C4493" s="1" t="s">
        <v>2550</v>
      </c>
      <c r="D4493" s="1">
        <v>2.0</v>
      </c>
      <c r="E4493" s="1">
        <v>46.0</v>
      </c>
      <c r="F4493" s="1">
        <v>5.0</v>
      </c>
      <c r="G4493" s="1">
        <v>5.0</v>
      </c>
      <c r="H4493" s="1">
        <v>103.0</v>
      </c>
      <c r="I4493" s="1" t="s">
        <v>17</v>
      </c>
      <c r="J4493" s="1" t="s">
        <v>18</v>
      </c>
      <c r="K4493" s="1">
        <v>350.0</v>
      </c>
      <c r="L4493" s="1">
        <v>56.9667933</v>
      </c>
      <c r="M4493" s="1">
        <v>24.1763088</v>
      </c>
    </row>
    <row r="4494">
      <c r="A4494" s="1" t="s">
        <v>13</v>
      </c>
      <c r="B4494" s="1" t="s">
        <v>23</v>
      </c>
      <c r="C4494" s="1" t="s">
        <v>2551</v>
      </c>
      <c r="D4494" s="1">
        <v>3.0</v>
      </c>
      <c r="E4494" s="1">
        <v>63.0</v>
      </c>
      <c r="F4494" s="1">
        <v>3.0</v>
      </c>
      <c r="G4494" s="1">
        <v>3.0</v>
      </c>
      <c r="H4494" s="1" t="s">
        <v>181</v>
      </c>
      <c r="I4494" s="1" t="s">
        <v>37</v>
      </c>
      <c r="J4494" s="1" t="s">
        <v>27</v>
      </c>
      <c r="K4494" s="1">
        <v>420.0</v>
      </c>
      <c r="L4494" s="1">
        <v>56.9507767</v>
      </c>
      <c r="M4494" s="1">
        <v>24.1332307</v>
      </c>
    </row>
    <row r="4495">
      <c r="A4495" s="1" t="s">
        <v>131</v>
      </c>
      <c r="B4495" s="1" t="s">
        <v>74</v>
      </c>
      <c r="C4495" s="2"/>
      <c r="D4495" s="1">
        <v>1.0</v>
      </c>
      <c r="E4495" s="2"/>
      <c r="F4495" s="2"/>
      <c r="G4495" s="2"/>
      <c r="H4495" s="2"/>
      <c r="I4495" s="2"/>
      <c r="J4495" s="2"/>
      <c r="K4495" s="2"/>
      <c r="L4495" s="1">
        <v>46.3144754</v>
      </c>
      <c r="M4495" s="1">
        <v>11.0480288</v>
      </c>
    </row>
    <row r="4496">
      <c r="A4496" s="1" t="s">
        <v>89</v>
      </c>
      <c r="B4496" s="1" t="s">
        <v>174</v>
      </c>
      <c r="C4496" s="1" t="s">
        <v>2552</v>
      </c>
      <c r="D4496" s="1">
        <v>2.0</v>
      </c>
      <c r="E4496" s="1">
        <v>65.0</v>
      </c>
      <c r="F4496" s="1">
        <v>2.0</v>
      </c>
      <c r="G4496" s="2"/>
      <c r="H4496" s="1" t="s">
        <v>32</v>
      </c>
      <c r="I4496" s="1" t="s">
        <v>21</v>
      </c>
      <c r="J4496" s="2"/>
      <c r="K4496" s="2"/>
      <c r="L4496" s="1">
        <v>56.9495716</v>
      </c>
      <c r="M4496" s="1">
        <v>24.1762346</v>
      </c>
    </row>
    <row r="4497">
      <c r="A4497" s="1" t="s">
        <v>13</v>
      </c>
      <c r="B4497" s="1" t="s">
        <v>60</v>
      </c>
      <c r="C4497" s="1" t="s">
        <v>626</v>
      </c>
      <c r="D4497" s="1">
        <v>1.0</v>
      </c>
      <c r="E4497" s="1">
        <v>28.0</v>
      </c>
      <c r="F4497" s="1">
        <v>1.0</v>
      </c>
      <c r="G4497" s="1">
        <v>5.0</v>
      </c>
      <c r="H4497" s="1" t="s">
        <v>44</v>
      </c>
      <c r="I4497" s="1" t="s">
        <v>33</v>
      </c>
      <c r="J4497" s="1" t="s">
        <v>18</v>
      </c>
      <c r="K4497" s="1">
        <v>180.0</v>
      </c>
      <c r="L4497" s="1">
        <v>57.0386355</v>
      </c>
      <c r="M4497" s="1">
        <v>24.0464749</v>
      </c>
    </row>
    <row r="4498">
      <c r="A4498" s="1" t="s">
        <v>131</v>
      </c>
      <c r="B4498" s="1" t="s">
        <v>14</v>
      </c>
      <c r="C4498" s="2"/>
      <c r="D4498" s="1">
        <v>1.0</v>
      </c>
      <c r="E4498" s="2"/>
      <c r="F4498" s="2"/>
      <c r="G4498" s="2"/>
      <c r="H4498" s="2"/>
      <c r="I4498" s="2"/>
      <c r="J4498" s="2"/>
      <c r="K4498" s="2"/>
      <c r="L4498" s="1">
        <v>46.3144754</v>
      </c>
      <c r="M4498" s="1">
        <v>11.0480288</v>
      </c>
    </row>
    <row r="4499">
      <c r="A4499" s="1" t="s">
        <v>13</v>
      </c>
      <c r="B4499" s="1" t="s">
        <v>104</v>
      </c>
      <c r="C4499" s="1" t="s">
        <v>2553</v>
      </c>
      <c r="D4499" s="1">
        <v>3.0</v>
      </c>
      <c r="E4499" s="1">
        <v>79.0</v>
      </c>
      <c r="F4499" s="1">
        <v>4.0</v>
      </c>
      <c r="G4499" s="1">
        <v>5.0</v>
      </c>
      <c r="H4499" s="1" t="s">
        <v>32</v>
      </c>
      <c r="I4499" s="1" t="s">
        <v>21</v>
      </c>
      <c r="J4499" s="1" t="s">
        <v>18</v>
      </c>
      <c r="K4499" s="1">
        <v>650.0</v>
      </c>
      <c r="L4499" s="1">
        <v>56.9468335</v>
      </c>
      <c r="M4499" s="1">
        <v>24.058019062427</v>
      </c>
    </row>
    <row r="4500">
      <c r="A4500" s="1" t="s">
        <v>13</v>
      </c>
      <c r="B4500" s="1" t="s">
        <v>19</v>
      </c>
      <c r="C4500" s="1" t="s">
        <v>2392</v>
      </c>
      <c r="D4500" s="1">
        <v>2.0</v>
      </c>
      <c r="E4500" s="1">
        <v>60.0</v>
      </c>
      <c r="F4500" s="1">
        <v>1.0</v>
      </c>
      <c r="G4500" s="1">
        <v>5.0</v>
      </c>
      <c r="H4500" s="1" t="s">
        <v>32</v>
      </c>
      <c r="I4500" s="1" t="s">
        <v>33</v>
      </c>
      <c r="J4500" s="1" t="s">
        <v>18</v>
      </c>
      <c r="K4500" s="1">
        <v>390.0</v>
      </c>
      <c r="L4500" s="1">
        <v>56.8974581</v>
      </c>
      <c r="M4500" s="1">
        <v>24.1389382</v>
      </c>
    </row>
    <row r="4501">
      <c r="A4501" s="1" t="s">
        <v>13</v>
      </c>
      <c r="B4501" s="1" t="s">
        <v>151</v>
      </c>
      <c r="C4501" s="1" t="s">
        <v>2554</v>
      </c>
      <c r="D4501" s="1">
        <v>1.0</v>
      </c>
      <c r="E4501" s="1">
        <v>25.0</v>
      </c>
      <c r="F4501" s="1">
        <v>5.0</v>
      </c>
      <c r="G4501" s="1">
        <v>5.0</v>
      </c>
      <c r="H4501" s="1" t="s">
        <v>16</v>
      </c>
      <c r="I4501" s="1" t="s">
        <v>21</v>
      </c>
      <c r="J4501" s="1" t="s">
        <v>18</v>
      </c>
      <c r="K4501" s="1">
        <v>235.0</v>
      </c>
      <c r="L4501" s="1">
        <v>56.9708679</v>
      </c>
      <c r="M4501" s="1">
        <v>24.050622445258</v>
      </c>
    </row>
    <row r="4502">
      <c r="A4502" s="1" t="s">
        <v>22</v>
      </c>
      <c r="B4502" s="1" t="s">
        <v>129</v>
      </c>
      <c r="C4502" s="1" t="s">
        <v>2555</v>
      </c>
      <c r="D4502" s="1">
        <v>2.0</v>
      </c>
      <c r="E4502" s="1">
        <v>37.0</v>
      </c>
      <c r="F4502" s="1">
        <v>1.0</v>
      </c>
      <c r="G4502" s="1">
        <v>2.0</v>
      </c>
      <c r="H4502" s="1" t="s">
        <v>36</v>
      </c>
      <c r="I4502" s="1" t="s">
        <v>33</v>
      </c>
      <c r="J4502" s="1" t="s">
        <v>27</v>
      </c>
      <c r="K4502" s="1">
        <v>11800.0</v>
      </c>
      <c r="L4502" s="1">
        <v>56.9931197</v>
      </c>
      <c r="M4502" s="1">
        <v>24.1279467</v>
      </c>
    </row>
    <row r="4503">
      <c r="A4503" s="1" t="s">
        <v>22</v>
      </c>
      <c r="B4503" s="1" t="s">
        <v>48</v>
      </c>
      <c r="C4503" s="1" t="s">
        <v>2556</v>
      </c>
      <c r="D4503" s="1">
        <v>4.0</v>
      </c>
      <c r="E4503" s="1">
        <v>73.0</v>
      </c>
      <c r="F4503" s="1">
        <v>2.0</v>
      </c>
      <c r="G4503" s="1">
        <v>9.0</v>
      </c>
      <c r="H4503" s="1">
        <v>602.0</v>
      </c>
      <c r="I4503" s="1" t="s">
        <v>21</v>
      </c>
      <c r="J4503" s="1" t="s">
        <v>27</v>
      </c>
      <c r="K4503" s="1">
        <v>75000.0</v>
      </c>
      <c r="L4503" s="1">
        <v>56.96583145</v>
      </c>
      <c r="M4503" s="1">
        <v>24.2353354999999</v>
      </c>
    </row>
    <row r="4504">
      <c r="A4504" s="1" t="s">
        <v>13</v>
      </c>
      <c r="B4504" s="1" t="s">
        <v>74</v>
      </c>
      <c r="C4504" s="1" t="s">
        <v>911</v>
      </c>
      <c r="D4504" s="1">
        <v>1.0</v>
      </c>
      <c r="E4504" s="1">
        <v>40.0</v>
      </c>
      <c r="F4504" s="1">
        <v>4.0</v>
      </c>
      <c r="G4504" s="1">
        <v>9.0</v>
      </c>
      <c r="H4504" s="1">
        <v>104.0</v>
      </c>
      <c r="I4504" s="1" t="s">
        <v>21</v>
      </c>
      <c r="J4504" s="1" t="s">
        <v>18</v>
      </c>
      <c r="K4504" s="1">
        <v>190.0</v>
      </c>
      <c r="L4504" s="1">
        <v>56.93391825</v>
      </c>
      <c r="M4504" s="1">
        <v>24.1961130586527</v>
      </c>
    </row>
    <row r="4505">
      <c r="A4505" s="1" t="s">
        <v>13</v>
      </c>
      <c r="B4505" s="1" t="s">
        <v>74</v>
      </c>
      <c r="C4505" s="1" t="s">
        <v>2557</v>
      </c>
      <c r="D4505" s="1">
        <v>2.0</v>
      </c>
      <c r="E4505" s="1">
        <v>51.0</v>
      </c>
      <c r="F4505" s="1">
        <v>5.0</v>
      </c>
      <c r="G4505" s="1">
        <v>9.0</v>
      </c>
      <c r="H4505" s="1">
        <v>602.0</v>
      </c>
      <c r="I4505" s="1" t="s">
        <v>21</v>
      </c>
      <c r="J4505" s="1" t="s">
        <v>18</v>
      </c>
      <c r="K4505" s="1">
        <v>300.0</v>
      </c>
      <c r="L4505" s="1" t="s">
        <v>40</v>
      </c>
      <c r="M4505" s="1" t="s">
        <v>40</v>
      </c>
    </row>
    <row r="4506">
      <c r="A4506" s="1" t="s">
        <v>13</v>
      </c>
      <c r="B4506" s="1" t="s">
        <v>19</v>
      </c>
      <c r="C4506" s="1" t="s">
        <v>2288</v>
      </c>
      <c r="D4506" s="1">
        <v>2.0</v>
      </c>
      <c r="E4506" s="1">
        <v>51.0</v>
      </c>
      <c r="F4506" s="1">
        <v>3.0</v>
      </c>
      <c r="G4506" s="1">
        <v>9.0</v>
      </c>
      <c r="H4506" s="1">
        <v>602.0</v>
      </c>
      <c r="I4506" s="1" t="s">
        <v>17</v>
      </c>
      <c r="J4506" s="1" t="s">
        <v>18</v>
      </c>
      <c r="K4506" s="1">
        <v>300.0</v>
      </c>
      <c r="L4506" s="1">
        <v>56.90156125</v>
      </c>
      <c r="M4506" s="1">
        <v>24.0954246452708</v>
      </c>
    </row>
    <row r="4507">
      <c r="A4507" s="1" t="s">
        <v>13</v>
      </c>
      <c r="B4507" s="1" t="s">
        <v>422</v>
      </c>
      <c r="C4507" s="1" t="s">
        <v>2558</v>
      </c>
      <c r="D4507" s="1">
        <v>2.0</v>
      </c>
      <c r="E4507" s="1">
        <v>40.0</v>
      </c>
      <c r="F4507" s="1">
        <v>1.0</v>
      </c>
      <c r="G4507" s="1">
        <v>2.0</v>
      </c>
      <c r="H4507" s="1" t="s">
        <v>66</v>
      </c>
      <c r="I4507" s="1" t="s">
        <v>26</v>
      </c>
      <c r="J4507" s="1" t="s">
        <v>18</v>
      </c>
      <c r="K4507" s="1">
        <v>350.0</v>
      </c>
      <c r="L4507" s="1">
        <v>56.9395194</v>
      </c>
      <c r="M4507" s="1">
        <v>24.0305366989744</v>
      </c>
    </row>
    <row r="4508">
      <c r="A4508" s="1" t="s">
        <v>13</v>
      </c>
      <c r="B4508" s="1" t="s">
        <v>94</v>
      </c>
      <c r="C4508" s="1" t="s">
        <v>2559</v>
      </c>
      <c r="D4508" s="1">
        <v>2.0</v>
      </c>
      <c r="E4508" s="1">
        <v>50.0</v>
      </c>
      <c r="F4508" s="1">
        <v>7.0</v>
      </c>
      <c r="G4508" s="1">
        <v>9.0</v>
      </c>
      <c r="H4508" s="1">
        <v>467.0</v>
      </c>
      <c r="I4508" s="1" t="s">
        <v>21</v>
      </c>
      <c r="J4508" s="1" t="s">
        <v>18</v>
      </c>
      <c r="K4508" s="1">
        <v>350.0</v>
      </c>
      <c r="L4508" s="1">
        <v>56.9252257</v>
      </c>
      <c r="M4508" s="1">
        <v>24.1665526</v>
      </c>
    </row>
    <row r="4509">
      <c r="A4509" s="1" t="s">
        <v>13</v>
      </c>
      <c r="B4509" s="1" t="s">
        <v>23</v>
      </c>
      <c r="C4509" s="1" t="s">
        <v>2560</v>
      </c>
      <c r="D4509" s="1">
        <v>3.0</v>
      </c>
      <c r="E4509" s="1">
        <v>82.0</v>
      </c>
      <c r="F4509" s="1">
        <v>4.0</v>
      </c>
      <c r="G4509" s="1">
        <v>5.0</v>
      </c>
      <c r="H4509" s="1" t="s">
        <v>25</v>
      </c>
      <c r="I4509" s="1" t="s">
        <v>37</v>
      </c>
      <c r="J4509" s="1" t="s">
        <v>18</v>
      </c>
      <c r="K4509" s="1">
        <v>1200.0</v>
      </c>
      <c r="L4509" s="1">
        <v>56.96114435</v>
      </c>
      <c r="M4509" s="1">
        <v>24.1009612965706</v>
      </c>
    </row>
    <row r="4510">
      <c r="A4510" s="1" t="s">
        <v>13</v>
      </c>
      <c r="B4510" s="1" t="s">
        <v>441</v>
      </c>
      <c r="C4510" s="1" t="s">
        <v>2561</v>
      </c>
      <c r="D4510" s="1">
        <v>1.0</v>
      </c>
      <c r="E4510" s="1">
        <v>50.0</v>
      </c>
      <c r="F4510" s="1">
        <v>1.0</v>
      </c>
      <c r="G4510" s="1">
        <v>3.0</v>
      </c>
      <c r="H4510" s="1" t="s">
        <v>171</v>
      </c>
      <c r="I4510" s="1" t="s">
        <v>33</v>
      </c>
      <c r="J4510" s="1" t="s">
        <v>18</v>
      </c>
      <c r="K4510" s="1">
        <v>200.0</v>
      </c>
      <c r="L4510" s="1" t="s">
        <v>40</v>
      </c>
      <c r="M4510" s="1" t="s">
        <v>40</v>
      </c>
    </row>
    <row r="4511">
      <c r="A4511" s="1" t="s">
        <v>22</v>
      </c>
      <c r="B4511" s="1" t="s">
        <v>23</v>
      </c>
      <c r="C4511" s="1" t="s">
        <v>2562</v>
      </c>
      <c r="D4511" s="1">
        <v>4.0</v>
      </c>
      <c r="E4511" s="1">
        <v>85.0</v>
      </c>
      <c r="F4511" s="1">
        <v>5.0</v>
      </c>
      <c r="G4511" s="1">
        <v>5.0</v>
      </c>
      <c r="H4511" s="1" t="s">
        <v>66</v>
      </c>
      <c r="I4511" s="1" t="s">
        <v>17</v>
      </c>
      <c r="J4511" s="1" t="s">
        <v>18</v>
      </c>
      <c r="K4511" s="1">
        <v>167000.0</v>
      </c>
      <c r="L4511" s="1">
        <v>56.9650989</v>
      </c>
      <c r="M4511" s="1">
        <v>24.1266973644299</v>
      </c>
    </row>
    <row r="4512">
      <c r="A4512" s="1" t="s">
        <v>89</v>
      </c>
      <c r="B4512" s="1" t="s">
        <v>23</v>
      </c>
      <c r="C4512" s="2"/>
      <c r="D4512" s="1">
        <v>1.0</v>
      </c>
      <c r="E4512" s="2"/>
      <c r="F4512" s="2"/>
      <c r="G4512" s="2"/>
      <c r="H4512" s="2"/>
      <c r="I4512" s="2"/>
      <c r="J4512" s="2"/>
      <c r="K4512" s="2"/>
      <c r="L4512" s="1">
        <v>46.3144754</v>
      </c>
      <c r="M4512" s="1">
        <v>11.0480288</v>
      </c>
    </row>
    <row r="4513">
      <c r="A4513" s="1" t="s">
        <v>22</v>
      </c>
      <c r="B4513" s="1" t="s">
        <v>76</v>
      </c>
      <c r="C4513" s="1" t="s">
        <v>694</v>
      </c>
      <c r="D4513" s="1">
        <v>2.0</v>
      </c>
      <c r="E4513" s="1">
        <v>48.0</v>
      </c>
      <c r="F4513" s="1">
        <v>7.0</v>
      </c>
      <c r="G4513" s="1">
        <v>9.0</v>
      </c>
      <c r="H4513" s="1">
        <v>467.0</v>
      </c>
      <c r="I4513" s="1" t="s">
        <v>21</v>
      </c>
      <c r="J4513" s="1" t="s">
        <v>18</v>
      </c>
      <c r="K4513" s="1">
        <v>43500.0</v>
      </c>
      <c r="L4513" s="1">
        <v>56.9556152</v>
      </c>
      <c r="M4513" s="1">
        <v>24.0691683057669</v>
      </c>
    </row>
    <row r="4514">
      <c r="A4514" s="1" t="s">
        <v>22</v>
      </c>
      <c r="B4514" s="1" t="s">
        <v>67</v>
      </c>
      <c r="C4514" s="1" t="s">
        <v>2563</v>
      </c>
      <c r="D4514" s="1">
        <v>1.0</v>
      </c>
      <c r="E4514" s="1">
        <v>30.0</v>
      </c>
      <c r="F4514" s="1">
        <v>1.0</v>
      </c>
      <c r="G4514" s="1">
        <v>5.0</v>
      </c>
      <c r="H4514" s="1" t="s">
        <v>32</v>
      </c>
      <c r="I4514" s="1" t="s">
        <v>33</v>
      </c>
      <c r="J4514" s="1" t="s">
        <v>18</v>
      </c>
      <c r="K4514" s="1">
        <v>52000.0</v>
      </c>
      <c r="L4514" s="1">
        <v>56.96328465</v>
      </c>
      <c r="M4514" s="1">
        <v>24.15279345</v>
      </c>
    </row>
    <row r="4515">
      <c r="A4515" s="1" t="s">
        <v>13</v>
      </c>
      <c r="B4515" s="1" t="s">
        <v>23</v>
      </c>
      <c r="C4515" s="1" t="s">
        <v>178</v>
      </c>
      <c r="D4515" s="1">
        <v>5.0</v>
      </c>
      <c r="E4515" s="1">
        <v>150.0</v>
      </c>
      <c r="F4515" s="1">
        <v>1.0</v>
      </c>
      <c r="G4515" s="1">
        <v>2.0</v>
      </c>
      <c r="H4515" s="1" t="s">
        <v>32</v>
      </c>
      <c r="I4515" s="1" t="s">
        <v>33</v>
      </c>
      <c r="J4515" s="1" t="s">
        <v>18</v>
      </c>
      <c r="K4515" s="1">
        <v>1700.0</v>
      </c>
      <c r="L4515" s="1">
        <v>56.956763</v>
      </c>
      <c r="M4515" s="1">
        <v>24.0954531</v>
      </c>
    </row>
    <row r="4516">
      <c r="A4516" s="1" t="s">
        <v>13</v>
      </c>
      <c r="B4516" s="1" t="s">
        <v>14</v>
      </c>
      <c r="C4516" s="1" t="s">
        <v>997</v>
      </c>
      <c r="D4516" s="1">
        <v>1.0</v>
      </c>
      <c r="E4516" s="1">
        <v>40.0</v>
      </c>
      <c r="F4516" s="1">
        <v>3.0</v>
      </c>
      <c r="G4516" s="1">
        <v>5.0</v>
      </c>
      <c r="H4516" s="1" t="s">
        <v>57</v>
      </c>
      <c r="I4516" s="1" t="s">
        <v>21</v>
      </c>
      <c r="J4516" s="1" t="s">
        <v>18</v>
      </c>
      <c r="K4516" s="1">
        <v>220.0</v>
      </c>
      <c r="L4516" s="1">
        <v>56.964717</v>
      </c>
      <c r="M4516" s="1">
        <v>24.1962984488949</v>
      </c>
    </row>
    <row r="4517">
      <c r="A4517" s="1" t="s">
        <v>22</v>
      </c>
      <c r="B4517" s="1" t="s">
        <v>14</v>
      </c>
      <c r="C4517" s="1" t="s">
        <v>1126</v>
      </c>
      <c r="D4517" s="1">
        <v>3.0</v>
      </c>
      <c r="E4517" s="1">
        <v>63.0</v>
      </c>
      <c r="F4517" s="1">
        <v>6.0</v>
      </c>
      <c r="G4517" s="1">
        <v>9.0</v>
      </c>
      <c r="H4517" s="1">
        <v>602.0</v>
      </c>
      <c r="I4517" s="1" t="s">
        <v>21</v>
      </c>
      <c r="J4517" s="1" t="s">
        <v>18</v>
      </c>
      <c r="K4517" s="1">
        <v>65000.0</v>
      </c>
      <c r="L4517" s="1">
        <v>56.95350215</v>
      </c>
      <c r="M4517" s="1">
        <v>24.192131770328</v>
      </c>
    </row>
    <row r="4518">
      <c r="A4518" s="1" t="s">
        <v>13</v>
      </c>
      <c r="B4518" s="1" t="s">
        <v>23</v>
      </c>
      <c r="C4518" s="1" t="s">
        <v>2564</v>
      </c>
      <c r="D4518" s="1">
        <v>2.0</v>
      </c>
      <c r="E4518" s="1">
        <v>54.0</v>
      </c>
      <c r="F4518" s="1">
        <v>2.0</v>
      </c>
      <c r="G4518" s="1">
        <v>5.0</v>
      </c>
      <c r="H4518" s="1" t="s">
        <v>36</v>
      </c>
      <c r="I4518" s="1" t="s">
        <v>37</v>
      </c>
      <c r="J4518" s="1" t="s">
        <v>18</v>
      </c>
      <c r="K4518" s="1">
        <v>330.0</v>
      </c>
      <c r="L4518" s="1">
        <v>56.948395</v>
      </c>
      <c r="M4518" s="1">
        <v>24.0806499</v>
      </c>
    </row>
    <row r="4519">
      <c r="A4519" s="1" t="s">
        <v>13</v>
      </c>
      <c r="B4519" s="1" t="s">
        <v>23</v>
      </c>
      <c r="C4519" s="1" t="s">
        <v>2565</v>
      </c>
      <c r="D4519" s="1">
        <v>1.0</v>
      </c>
      <c r="E4519" s="1">
        <v>23.0</v>
      </c>
      <c r="F4519" s="1">
        <v>1.0</v>
      </c>
      <c r="G4519" s="1">
        <v>2.0</v>
      </c>
      <c r="H4519" s="1" t="s">
        <v>181</v>
      </c>
      <c r="I4519" s="1" t="s">
        <v>33</v>
      </c>
      <c r="J4519" s="1" t="s">
        <v>18</v>
      </c>
      <c r="K4519" s="1">
        <v>250.0</v>
      </c>
      <c r="L4519" s="1">
        <v>56.9667799</v>
      </c>
      <c r="M4519" s="1">
        <v>24.150157</v>
      </c>
    </row>
    <row r="4520">
      <c r="A4520" s="1" t="s">
        <v>22</v>
      </c>
      <c r="B4520" s="1" t="s">
        <v>28</v>
      </c>
      <c r="C4520" s="1" t="s">
        <v>2566</v>
      </c>
      <c r="D4520" s="1">
        <v>3.0</v>
      </c>
      <c r="E4520" s="1">
        <v>63.0</v>
      </c>
      <c r="F4520" s="1">
        <v>5.0</v>
      </c>
      <c r="G4520" s="1">
        <v>5.0</v>
      </c>
      <c r="H4520" s="1" t="s">
        <v>16</v>
      </c>
      <c r="I4520" s="1" t="s">
        <v>21</v>
      </c>
      <c r="J4520" s="1" t="s">
        <v>18</v>
      </c>
      <c r="K4520" s="1">
        <v>55000.0</v>
      </c>
      <c r="L4520" s="1">
        <v>56.8597884</v>
      </c>
      <c r="M4520" s="1">
        <v>24.3083417</v>
      </c>
    </row>
    <row r="4521">
      <c r="A4521" s="1" t="s">
        <v>22</v>
      </c>
      <c r="B4521" s="1" t="s">
        <v>38</v>
      </c>
      <c r="C4521" s="1" t="s">
        <v>165</v>
      </c>
      <c r="D4521" s="1">
        <v>3.0</v>
      </c>
      <c r="E4521" s="1">
        <v>110.0</v>
      </c>
      <c r="F4521" s="1">
        <v>21.0</v>
      </c>
      <c r="G4521" s="1">
        <v>24.0</v>
      </c>
      <c r="H4521" s="1" t="s">
        <v>32</v>
      </c>
      <c r="I4521" s="1" t="s">
        <v>21</v>
      </c>
      <c r="J4521" s="1" t="s">
        <v>18</v>
      </c>
      <c r="K4521" s="1">
        <v>147000.0</v>
      </c>
      <c r="L4521" s="1">
        <v>56.9590306</v>
      </c>
      <c r="M4521" s="1">
        <v>24.013887042853</v>
      </c>
    </row>
    <row r="4522">
      <c r="A4522" s="1" t="s">
        <v>22</v>
      </c>
      <c r="B4522" s="1" t="s">
        <v>23</v>
      </c>
      <c r="C4522" s="1" t="s">
        <v>408</v>
      </c>
      <c r="D4522" s="1">
        <v>1.0</v>
      </c>
      <c r="E4522" s="1">
        <v>25.0</v>
      </c>
      <c r="F4522" s="1">
        <v>4.0</v>
      </c>
      <c r="G4522" s="1">
        <v>5.0</v>
      </c>
      <c r="H4522" s="1" t="s">
        <v>66</v>
      </c>
      <c r="I4522" s="1" t="s">
        <v>33</v>
      </c>
      <c r="J4522" s="1" t="s">
        <v>18</v>
      </c>
      <c r="K4522" s="1">
        <v>56990.0</v>
      </c>
      <c r="L4522" s="1">
        <v>56.949246</v>
      </c>
      <c r="M4522" s="1">
        <v>24.1208219161591</v>
      </c>
    </row>
    <row r="4523">
      <c r="A4523" s="1" t="s">
        <v>13</v>
      </c>
      <c r="B4523" s="1" t="s">
        <v>14</v>
      </c>
      <c r="C4523" s="1" t="s">
        <v>1542</v>
      </c>
      <c r="D4523" s="1">
        <v>2.0</v>
      </c>
      <c r="E4523" s="1">
        <v>57.0</v>
      </c>
      <c r="F4523" s="1">
        <v>12.0</v>
      </c>
      <c r="G4523" s="1">
        <v>12.0</v>
      </c>
      <c r="H4523" s="1">
        <v>104.0</v>
      </c>
      <c r="I4523" s="1" t="s">
        <v>21</v>
      </c>
      <c r="J4523" s="1" t="s">
        <v>18</v>
      </c>
      <c r="K4523" s="1">
        <v>35.0</v>
      </c>
      <c r="L4523" s="1">
        <v>56.9583699</v>
      </c>
      <c r="M4523" s="1">
        <v>24.1789809</v>
      </c>
    </row>
    <row r="4524">
      <c r="A4524" s="1" t="s">
        <v>22</v>
      </c>
      <c r="B4524" s="1" t="s">
        <v>23</v>
      </c>
      <c r="C4524" s="1" t="s">
        <v>408</v>
      </c>
      <c r="D4524" s="1">
        <v>2.0</v>
      </c>
      <c r="E4524" s="1">
        <v>29.0</v>
      </c>
      <c r="F4524" s="1">
        <v>4.0</v>
      </c>
      <c r="G4524" s="1">
        <v>5.0</v>
      </c>
      <c r="H4524" s="1" t="s">
        <v>66</v>
      </c>
      <c r="I4524" s="1" t="s">
        <v>33</v>
      </c>
      <c r="J4524" s="1" t="s">
        <v>18</v>
      </c>
      <c r="K4524" s="1">
        <v>66990.0</v>
      </c>
      <c r="L4524" s="1">
        <v>56.949246</v>
      </c>
      <c r="M4524" s="1">
        <v>24.1208219161591</v>
      </c>
    </row>
    <row r="4525">
      <c r="A4525" s="1" t="s">
        <v>89</v>
      </c>
      <c r="B4525" s="1" t="s">
        <v>38</v>
      </c>
      <c r="C4525" s="2"/>
      <c r="D4525" s="2"/>
      <c r="E4525" s="2"/>
      <c r="F4525" s="2"/>
      <c r="G4525" s="2"/>
      <c r="H4525" s="2"/>
      <c r="I4525" s="2"/>
      <c r="J4525" s="2"/>
      <c r="K4525" s="2"/>
      <c r="L4525" s="1">
        <v>46.3144754</v>
      </c>
      <c r="M4525" s="1">
        <v>11.0480288</v>
      </c>
    </row>
    <row r="4526">
      <c r="A4526" s="1" t="s">
        <v>13</v>
      </c>
      <c r="B4526" s="1" t="s">
        <v>52</v>
      </c>
      <c r="C4526" s="1" t="s">
        <v>1118</v>
      </c>
      <c r="D4526" s="1">
        <v>2.0</v>
      </c>
      <c r="E4526" s="1">
        <v>63.0</v>
      </c>
      <c r="F4526" s="1">
        <v>1.0</v>
      </c>
      <c r="G4526" s="1">
        <v>4.0</v>
      </c>
      <c r="H4526" s="1" t="s">
        <v>32</v>
      </c>
      <c r="I4526" s="1" t="s">
        <v>21</v>
      </c>
      <c r="J4526" s="1" t="s">
        <v>18</v>
      </c>
      <c r="K4526" s="1">
        <v>460.0</v>
      </c>
      <c r="L4526" s="1">
        <v>56.9444663</v>
      </c>
      <c r="M4526" s="1">
        <v>24.0255760461784</v>
      </c>
    </row>
    <row r="4527">
      <c r="A4527" s="1" t="s">
        <v>13</v>
      </c>
      <c r="B4527" s="1" t="s">
        <v>52</v>
      </c>
      <c r="C4527" s="1" t="s">
        <v>175</v>
      </c>
      <c r="D4527" s="1">
        <v>1.0</v>
      </c>
      <c r="E4527" s="1">
        <v>42.0</v>
      </c>
      <c r="F4527" s="1">
        <v>5.0</v>
      </c>
      <c r="G4527" s="1">
        <v>9.0</v>
      </c>
      <c r="H4527" s="1">
        <v>119.0</v>
      </c>
      <c r="I4527" s="1" t="s">
        <v>21</v>
      </c>
      <c r="J4527" s="1" t="s">
        <v>18</v>
      </c>
      <c r="K4527" s="1">
        <v>210.0</v>
      </c>
      <c r="L4527" s="1">
        <v>56.9484028</v>
      </c>
      <c r="M4527" s="1">
        <v>24.0020688644395</v>
      </c>
    </row>
    <row r="4528">
      <c r="A4528" s="1" t="s">
        <v>13</v>
      </c>
      <c r="B4528" s="1" t="s">
        <v>129</v>
      </c>
      <c r="C4528" s="1" t="s">
        <v>2567</v>
      </c>
      <c r="D4528" s="1">
        <v>2.0</v>
      </c>
      <c r="E4528" s="1">
        <v>40.0</v>
      </c>
      <c r="F4528" s="1">
        <v>1.0</v>
      </c>
      <c r="G4528" s="1">
        <v>5.0</v>
      </c>
      <c r="H4528" s="1" t="s">
        <v>36</v>
      </c>
      <c r="I4528" s="1" t="s">
        <v>17</v>
      </c>
      <c r="J4528" s="1" t="s">
        <v>18</v>
      </c>
      <c r="K4528" s="1">
        <v>210.0</v>
      </c>
      <c r="L4528" s="1">
        <v>56.98609795</v>
      </c>
      <c r="M4528" s="1">
        <v>24.1368990967558</v>
      </c>
    </row>
    <row r="4529">
      <c r="A4529" s="1" t="s">
        <v>13</v>
      </c>
      <c r="B4529" s="1" t="s">
        <v>23</v>
      </c>
      <c r="C4529" s="1" t="s">
        <v>1269</v>
      </c>
      <c r="D4529" s="1">
        <v>4.0</v>
      </c>
      <c r="E4529" s="1">
        <v>119.0</v>
      </c>
      <c r="F4529" s="1">
        <v>4.0</v>
      </c>
      <c r="G4529" s="1">
        <v>5.0</v>
      </c>
      <c r="H4529" s="1" t="s">
        <v>66</v>
      </c>
      <c r="I4529" s="1" t="s">
        <v>33</v>
      </c>
      <c r="J4529" s="1" t="s">
        <v>18</v>
      </c>
      <c r="K4529" s="1">
        <v>1200.0</v>
      </c>
      <c r="L4529" s="1">
        <v>56.953059</v>
      </c>
      <c r="M4529" s="1">
        <v>24.1200556</v>
      </c>
    </row>
    <row r="4530">
      <c r="A4530" s="1" t="s">
        <v>13</v>
      </c>
      <c r="B4530" s="1" t="s">
        <v>109</v>
      </c>
      <c r="C4530" s="1" t="s">
        <v>1694</v>
      </c>
      <c r="D4530" s="1">
        <v>5.0</v>
      </c>
      <c r="E4530" s="1">
        <v>165.0</v>
      </c>
      <c r="F4530" s="1">
        <v>2.0</v>
      </c>
      <c r="G4530" s="1">
        <v>3.0</v>
      </c>
      <c r="H4530" s="1" t="s">
        <v>66</v>
      </c>
      <c r="I4530" s="1" t="s">
        <v>33</v>
      </c>
      <c r="J4530" s="1" t="s">
        <v>18</v>
      </c>
      <c r="K4530" s="1">
        <v>1500.0</v>
      </c>
      <c r="L4530" s="1" t="s">
        <v>40</v>
      </c>
      <c r="M4530" s="1" t="s">
        <v>40</v>
      </c>
    </row>
    <row r="4531">
      <c r="A4531" s="1" t="s">
        <v>22</v>
      </c>
      <c r="B4531" s="1" t="s">
        <v>23</v>
      </c>
      <c r="C4531" s="1" t="s">
        <v>2568</v>
      </c>
      <c r="D4531" s="1">
        <v>5.0</v>
      </c>
      <c r="E4531" s="1">
        <v>133.0</v>
      </c>
      <c r="F4531" s="1">
        <v>4.0</v>
      </c>
      <c r="G4531" s="1">
        <v>4.0</v>
      </c>
      <c r="H4531" s="1" t="s">
        <v>25</v>
      </c>
      <c r="I4531" s="1" t="s">
        <v>33</v>
      </c>
      <c r="J4531" s="1" t="s">
        <v>18</v>
      </c>
      <c r="K4531" s="1">
        <v>125000.0</v>
      </c>
      <c r="L4531" s="1">
        <v>56.950365</v>
      </c>
      <c r="M4531" s="1">
        <v>24.1363559</v>
      </c>
    </row>
    <row r="4532">
      <c r="A4532" s="1" t="s">
        <v>13</v>
      </c>
      <c r="B4532" s="1" t="s">
        <v>104</v>
      </c>
      <c r="C4532" s="1" t="s">
        <v>2446</v>
      </c>
      <c r="D4532" s="1">
        <v>2.0</v>
      </c>
      <c r="E4532" s="1">
        <v>43.0</v>
      </c>
      <c r="F4532" s="1">
        <v>5.0</v>
      </c>
      <c r="G4532" s="1">
        <v>5.0</v>
      </c>
      <c r="H4532" s="1" t="s">
        <v>44</v>
      </c>
      <c r="I4532" s="1" t="s">
        <v>21</v>
      </c>
      <c r="J4532" s="1" t="s">
        <v>18</v>
      </c>
      <c r="K4532" s="1">
        <v>330.0</v>
      </c>
      <c r="L4532" s="1">
        <v>56.9461441499999</v>
      </c>
      <c r="M4532" s="1">
        <v>24.0672928901655</v>
      </c>
    </row>
    <row r="4533">
      <c r="A4533" s="1" t="s">
        <v>13</v>
      </c>
      <c r="B4533" s="1" t="s">
        <v>19</v>
      </c>
      <c r="C4533" s="1" t="s">
        <v>1277</v>
      </c>
      <c r="D4533" s="1">
        <v>3.0</v>
      </c>
      <c r="E4533" s="1">
        <v>84.0</v>
      </c>
      <c r="F4533" s="1">
        <v>3.0</v>
      </c>
      <c r="G4533" s="1">
        <v>4.0</v>
      </c>
      <c r="H4533" s="1" t="s">
        <v>32</v>
      </c>
      <c r="I4533" s="1" t="s">
        <v>33</v>
      </c>
      <c r="J4533" s="1" t="s">
        <v>18</v>
      </c>
      <c r="K4533" s="1">
        <v>530.0</v>
      </c>
      <c r="L4533" s="1">
        <v>56.8974581</v>
      </c>
      <c r="M4533" s="1">
        <v>24.1389382</v>
      </c>
    </row>
    <row r="4534">
      <c r="A4534" s="1" t="s">
        <v>22</v>
      </c>
      <c r="B4534" s="1" t="s">
        <v>74</v>
      </c>
      <c r="C4534" s="1" t="s">
        <v>1323</v>
      </c>
      <c r="D4534" s="1">
        <v>4.0</v>
      </c>
      <c r="E4534" s="1">
        <v>75.0</v>
      </c>
      <c r="F4534" s="1">
        <v>7.0</v>
      </c>
      <c r="G4534" s="1">
        <v>9.0</v>
      </c>
      <c r="H4534" s="1">
        <v>467.0</v>
      </c>
      <c r="I4534" s="1" t="s">
        <v>21</v>
      </c>
      <c r="J4534" s="1" t="s">
        <v>18</v>
      </c>
      <c r="K4534" s="1">
        <v>71000.0</v>
      </c>
      <c r="L4534" s="1">
        <v>56.93585905</v>
      </c>
      <c r="M4534" s="1">
        <v>24.2081083776837</v>
      </c>
    </row>
    <row r="4535">
      <c r="A4535" s="1" t="s">
        <v>13</v>
      </c>
      <c r="B4535" s="1" t="s">
        <v>23</v>
      </c>
      <c r="C4535" s="1" t="s">
        <v>178</v>
      </c>
      <c r="D4535" s="1">
        <v>4.0</v>
      </c>
      <c r="E4535" s="1">
        <v>148.0</v>
      </c>
      <c r="F4535" s="1">
        <v>1.0</v>
      </c>
      <c r="G4535" s="1">
        <v>3.0</v>
      </c>
      <c r="H4535" s="1" t="s">
        <v>32</v>
      </c>
      <c r="I4535" s="1" t="s">
        <v>26</v>
      </c>
      <c r="J4535" s="1" t="s">
        <v>18</v>
      </c>
      <c r="K4535" s="1">
        <v>1800.0</v>
      </c>
      <c r="L4535" s="1">
        <v>56.956763</v>
      </c>
      <c r="M4535" s="1">
        <v>24.0954531</v>
      </c>
    </row>
    <row r="4536">
      <c r="A4536" s="1" t="s">
        <v>13</v>
      </c>
      <c r="B4536" s="1" t="s">
        <v>422</v>
      </c>
      <c r="C4536" s="1" t="s">
        <v>363</v>
      </c>
      <c r="D4536" s="1">
        <v>3.0</v>
      </c>
      <c r="E4536" s="1">
        <v>90.0</v>
      </c>
      <c r="F4536" s="1">
        <v>15.0</v>
      </c>
      <c r="G4536" s="1">
        <v>30.0</v>
      </c>
      <c r="H4536" s="1" t="s">
        <v>32</v>
      </c>
      <c r="I4536" s="1" t="s">
        <v>33</v>
      </c>
      <c r="J4536" s="1" t="s">
        <v>18</v>
      </c>
      <c r="K4536" s="1">
        <v>650.0</v>
      </c>
      <c r="L4536" s="1">
        <v>56.9334996</v>
      </c>
      <c r="M4536" s="1">
        <v>24.0424848</v>
      </c>
    </row>
    <row r="4537">
      <c r="A4537" s="1" t="s">
        <v>22</v>
      </c>
      <c r="B4537" s="1" t="s">
        <v>38</v>
      </c>
      <c r="C4537" s="1" t="s">
        <v>2569</v>
      </c>
      <c r="D4537" s="1">
        <v>4.0</v>
      </c>
      <c r="E4537" s="1">
        <v>76.0</v>
      </c>
      <c r="F4537" s="1">
        <v>3.0</v>
      </c>
      <c r="G4537" s="1">
        <v>9.0</v>
      </c>
      <c r="H4537" s="1">
        <v>602.0</v>
      </c>
      <c r="I4537" s="1" t="s">
        <v>21</v>
      </c>
      <c r="J4537" s="1" t="s">
        <v>18</v>
      </c>
      <c r="K4537" s="1">
        <v>69000.0</v>
      </c>
      <c r="L4537" s="1">
        <v>56.9539529</v>
      </c>
      <c r="M4537" s="1">
        <v>23.9715892</v>
      </c>
    </row>
    <row r="4538">
      <c r="A4538" s="1" t="s">
        <v>13</v>
      </c>
      <c r="B4538" s="1" t="s">
        <v>30</v>
      </c>
      <c r="C4538" s="1" t="s">
        <v>2570</v>
      </c>
      <c r="D4538" s="1">
        <v>2.0</v>
      </c>
      <c r="E4538" s="1">
        <v>43.0</v>
      </c>
      <c r="F4538" s="1">
        <v>3.0</v>
      </c>
      <c r="G4538" s="1">
        <v>5.0</v>
      </c>
      <c r="H4538" s="1" t="s">
        <v>44</v>
      </c>
      <c r="I4538" s="1" t="s">
        <v>17</v>
      </c>
      <c r="J4538" s="1" t="s">
        <v>18</v>
      </c>
      <c r="K4538" s="1">
        <v>430.0</v>
      </c>
      <c r="L4538" s="1">
        <v>56.9801687</v>
      </c>
      <c r="M4538" s="1">
        <v>24.1911053</v>
      </c>
    </row>
    <row r="4539">
      <c r="A4539" s="1" t="s">
        <v>13</v>
      </c>
      <c r="B4539" s="1" t="s">
        <v>74</v>
      </c>
      <c r="C4539" s="1" t="s">
        <v>452</v>
      </c>
      <c r="D4539" s="1">
        <v>1.0</v>
      </c>
      <c r="E4539" s="1">
        <v>40.0</v>
      </c>
      <c r="F4539" s="1">
        <v>3.0</v>
      </c>
      <c r="G4539" s="1">
        <v>9.0</v>
      </c>
      <c r="H4539" s="1" t="s">
        <v>57</v>
      </c>
      <c r="I4539" s="1" t="s">
        <v>21</v>
      </c>
      <c r="J4539" s="1" t="s">
        <v>18</v>
      </c>
      <c r="K4539" s="1">
        <v>200.0</v>
      </c>
      <c r="L4539" s="1">
        <v>56.93515745</v>
      </c>
      <c r="M4539" s="1">
        <v>24.200200711641</v>
      </c>
    </row>
    <row r="4540">
      <c r="A4540" s="1" t="s">
        <v>22</v>
      </c>
      <c r="B4540" s="1" t="s">
        <v>38</v>
      </c>
      <c r="C4540" s="1" t="s">
        <v>147</v>
      </c>
      <c r="D4540" s="1">
        <v>2.0</v>
      </c>
      <c r="E4540" s="1">
        <v>50.0</v>
      </c>
      <c r="F4540" s="1">
        <v>3.0</v>
      </c>
      <c r="G4540" s="1">
        <v>5.0</v>
      </c>
      <c r="H4540" s="1" t="s">
        <v>16</v>
      </c>
      <c r="I4540" s="1" t="s">
        <v>21</v>
      </c>
      <c r="J4540" s="1" t="s">
        <v>18</v>
      </c>
      <c r="K4540" s="1">
        <v>41000.0</v>
      </c>
      <c r="L4540" s="1">
        <v>56.9584557999999</v>
      </c>
      <c r="M4540" s="1">
        <v>24.0028561019525</v>
      </c>
    </row>
    <row r="4541">
      <c r="A4541" s="1" t="s">
        <v>13</v>
      </c>
      <c r="B4541" s="1" t="s">
        <v>48</v>
      </c>
      <c r="C4541" s="1" t="s">
        <v>2521</v>
      </c>
      <c r="D4541" s="1">
        <v>2.0</v>
      </c>
      <c r="E4541" s="1">
        <v>49.0</v>
      </c>
      <c r="F4541" s="1">
        <v>2.0</v>
      </c>
      <c r="G4541" s="1">
        <v>5.0</v>
      </c>
      <c r="H4541" s="1" t="s">
        <v>16</v>
      </c>
      <c r="I4541" s="1" t="s">
        <v>21</v>
      </c>
      <c r="J4541" s="1" t="s">
        <v>18</v>
      </c>
      <c r="K4541" s="1">
        <v>261.0</v>
      </c>
      <c r="L4541" s="1">
        <v>56.97300075</v>
      </c>
      <c r="M4541" s="1">
        <v>24.2354794499999</v>
      </c>
    </row>
    <row r="4542">
      <c r="A4542" s="1" t="s">
        <v>22</v>
      </c>
      <c r="B4542" s="1" t="s">
        <v>23</v>
      </c>
      <c r="C4542" s="1" t="s">
        <v>1122</v>
      </c>
      <c r="D4542" s="1">
        <v>2.0</v>
      </c>
      <c r="E4542" s="1">
        <v>74.0</v>
      </c>
      <c r="F4542" s="1">
        <v>4.0</v>
      </c>
      <c r="G4542" s="1">
        <v>5.0</v>
      </c>
      <c r="H4542" s="1" t="s">
        <v>25</v>
      </c>
      <c r="I4542" s="1" t="s">
        <v>37</v>
      </c>
      <c r="J4542" s="1" t="s">
        <v>18</v>
      </c>
      <c r="K4542" s="1">
        <v>135000.0</v>
      </c>
      <c r="L4542" s="1">
        <v>56.9544354</v>
      </c>
      <c r="M4542" s="1">
        <v>24.1200833</v>
      </c>
    </row>
    <row r="4543">
      <c r="A4543" s="1" t="s">
        <v>22</v>
      </c>
      <c r="B4543" s="1" t="s">
        <v>23</v>
      </c>
      <c r="C4543" s="1" t="s">
        <v>139</v>
      </c>
      <c r="D4543" s="1">
        <v>1.0</v>
      </c>
      <c r="E4543" s="1">
        <v>26.2</v>
      </c>
      <c r="F4543" s="1">
        <v>2.0</v>
      </c>
      <c r="G4543" s="1">
        <v>5.0</v>
      </c>
      <c r="H4543" s="1" t="s">
        <v>66</v>
      </c>
      <c r="I4543" s="1" t="s">
        <v>33</v>
      </c>
      <c r="J4543" s="1" t="s">
        <v>18</v>
      </c>
      <c r="K4543" s="1">
        <v>43000.0</v>
      </c>
      <c r="L4543" s="1">
        <v>56.9508163</v>
      </c>
      <c r="M4543" s="1">
        <v>24.1271389</v>
      </c>
    </row>
    <row r="4544">
      <c r="A4544" s="1" t="s">
        <v>22</v>
      </c>
      <c r="B4544" s="1" t="s">
        <v>38</v>
      </c>
      <c r="C4544" s="1" t="s">
        <v>165</v>
      </c>
      <c r="D4544" s="1">
        <v>3.0</v>
      </c>
      <c r="E4544" s="1">
        <v>112.0</v>
      </c>
      <c r="F4544" s="1">
        <v>21.0</v>
      </c>
      <c r="G4544" s="1">
        <v>24.0</v>
      </c>
      <c r="H4544" s="1" t="s">
        <v>32</v>
      </c>
      <c r="I4544" s="1" t="s">
        <v>33</v>
      </c>
      <c r="J4544" s="1" t="s">
        <v>18</v>
      </c>
      <c r="K4544" s="1">
        <v>147000.0</v>
      </c>
      <c r="L4544" s="1">
        <v>56.9590306</v>
      </c>
      <c r="M4544" s="1">
        <v>24.013887042853</v>
      </c>
    </row>
    <row r="4545">
      <c r="A4545" s="1" t="s">
        <v>13</v>
      </c>
      <c r="B4545" s="1" t="s">
        <v>23</v>
      </c>
      <c r="C4545" s="1" t="s">
        <v>857</v>
      </c>
      <c r="D4545" s="1">
        <v>3.0</v>
      </c>
      <c r="E4545" s="1">
        <v>116.0</v>
      </c>
      <c r="F4545" s="1">
        <v>5.0</v>
      </c>
      <c r="G4545" s="1">
        <v>7.0</v>
      </c>
      <c r="H4545" s="1" t="s">
        <v>32</v>
      </c>
      <c r="I4545" s="1" t="s">
        <v>122</v>
      </c>
      <c r="J4545" s="1" t="s">
        <v>18</v>
      </c>
      <c r="K4545" s="1">
        <v>1400.0</v>
      </c>
      <c r="L4545" s="1">
        <v>56.9578148</v>
      </c>
      <c r="M4545" s="1">
        <v>24.1142082</v>
      </c>
    </row>
    <row r="4546">
      <c r="A4546" s="1" t="s">
        <v>13</v>
      </c>
      <c r="B4546" s="1" t="s">
        <v>218</v>
      </c>
      <c r="C4546" s="1" t="s">
        <v>219</v>
      </c>
      <c r="D4546" s="1">
        <v>3.0</v>
      </c>
      <c r="E4546" s="1">
        <v>83.0</v>
      </c>
      <c r="F4546" s="1">
        <v>5.0</v>
      </c>
      <c r="G4546" s="1">
        <v>6.0</v>
      </c>
      <c r="H4546" s="1" t="s">
        <v>32</v>
      </c>
      <c r="I4546" s="1" t="s">
        <v>122</v>
      </c>
      <c r="J4546" s="1" t="s">
        <v>18</v>
      </c>
      <c r="K4546" s="1">
        <v>1000.0</v>
      </c>
      <c r="L4546" s="1">
        <v>56.9453381999999</v>
      </c>
      <c r="M4546" s="1">
        <v>24.1094639533088</v>
      </c>
    </row>
    <row r="4547">
      <c r="A4547" s="1" t="s">
        <v>22</v>
      </c>
      <c r="B4547" s="1" t="s">
        <v>151</v>
      </c>
      <c r="C4547" s="1" t="s">
        <v>2571</v>
      </c>
      <c r="D4547" s="1">
        <v>3.0</v>
      </c>
      <c r="E4547" s="1">
        <v>67.0</v>
      </c>
      <c r="F4547" s="1">
        <v>3.0</v>
      </c>
      <c r="G4547" s="1">
        <v>5.0</v>
      </c>
      <c r="H4547" s="1" t="s">
        <v>16</v>
      </c>
      <c r="I4547" s="1" t="s">
        <v>21</v>
      </c>
      <c r="J4547" s="1" t="s">
        <v>18</v>
      </c>
      <c r="K4547" s="1">
        <v>47000.0</v>
      </c>
      <c r="L4547" s="1">
        <v>56.97169955</v>
      </c>
      <c r="M4547" s="1">
        <v>24.0543433020522</v>
      </c>
    </row>
    <row r="4548">
      <c r="A4548" s="1" t="s">
        <v>13</v>
      </c>
      <c r="B4548" s="1" t="s">
        <v>23</v>
      </c>
      <c r="C4548" s="1" t="s">
        <v>547</v>
      </c>
      <c r="D4548" s="1">
        <v>2.0</v>
      </c>
      <c r="E4548" s="1">
        <v>81.0</v>
      </c>
      <c r="F4548" s="1">
        <v>2.0</v>
      </c>
      <c r="G4548" s="1">
        <v>6.0</v>
      </c>
      <c r="H4548" s="1" t="s">
        <v>66</v>
      </c>
      <c r="I4548" s="1" t="s">
        <v>33</v>
      </c>
      <c r="J4548" s="1" t="s">
        <v>18</v>
      </c>
      <c r="K4548" s="1">
        <v>650.0</v>
      </c>
      <c r="L4548" s="1" t="s">
        <v>40</v>
      </c>
      <c r="M4548" s="1" t="s">
        <v>40</v>
      </c>
    </row>
    <row r="4549">
      <c r="A4549" s="1" t="s">
        <v>13</v>
      </c>
      <c r="B4549" s="1" t="s">
        <v>99</v>
      </c>
      <c r="C4549" s="1" t="s">
        <v>2572</v>
      </c>
      <c r="D4549" s="1">
        <v>2.0</v>
      </c>
      <c r="E4549" s="1">
        <v>65.0</v>
      </c>
      <c r="F4549" s="1">
        <v>2.0</v>
      </c>
      <c r="G4549" s="1">
        <v>6.0</v>
      </c>
      <c r="H4549" s="1" t="s">
        <v>32</v>
      </c>
      <c r="I4549" s="1" t="s">
        <v>21</v>
      </c>
      <c r="J4549" s="1" t="s">
        <v>18</v>
      </c>
      <c r="K4549" s="1">
        <v>550.0</v>
      </c>
      <c r="L4549" s="1">
        <v>56.94318895</v>
      </c>
      <c r="M4549" s="1">
        <v>24.0911355510856</v>
      </c>
    </row>
    <row r="4550">
      <c r="A4550" s="1" t="s">
        <v>131</v>
      </c>
      <c r="B4550" s="1" t="s">
        <v>14</v>
      </c>
      <c r="C4550" s="2"/>
      <c r="D4550" s="1">
        <v>3.0</v>
      </c>
      <c r="E4550" s="2"/>
      <c r="F4550" s="2"/>
      <c r="G4550" s="2"/>
      <c r="H4550" s="2"/>
      <c r="I4550" s="2"/>
      <c r="J4550" s="2"/>
      <c r="K4550" s="2"/>
      <c r="L4550" s="1">
        <v>46.3144754</v>
      </c>
      <c r="M4550" s="1">
        <v>11.0480288</v>
      </c>
    </row>
    <row r="4551">
      <c r="A4551" s="1" t="s">
        <v>22</v>
      </c>
      <c r="B4551" s="1" t="s">
        <v>96</v>
      </c>
      <c r="C4551" s="1" t="s">
        <v>2573</v>
      </c>
      <c r="D4551" s="1">
        <v>1.0</v>
      </c>
      <c r="E4551" s="1">
        <v>37.0</v>
      </c>
      <c r="F4551" s="1">
        <v>7.0</v>
      </c>
      <c r="G4551" s="1">
        <v>9.0</v>
      </c>
      <c r="H4551" s="1">
        <v>602.0</v>
      </c>
      <c r="I4551" s="1" t="s">
        <v>21</v>
      </c>
      <c r="J4551" s="1" t="s">
        <v>18</v>
      </c>
      <c r="K4551" s="1">
        <v>46000.0</v>
      </c>
      <c r="L4551" s="1">
        <v>57.0381297499999</v>
      </c>
      <c r="M4551" s="1">
        <v>24.0958816810347</v>
      </c>
    </row>
    <row r="4552">
      <c r="A4552" s="1" t="s">
        <v>22</v>
      </c>
      <c r="B4552" s="1" t="s">
        <v>28</v>
      </c>
      <c r="C4552" s="1" t="s">
        <v>1961</v>
      </c>
      <c r="D4552" s="1">
        <v>1.0</v>
      </c>
      <c r="E4552" s="1">
        <v>18.0</v>
      </c>
      <c r="F4552" s="1">
        <v>2.0</v>
      </c>
      <c r="G4552" s="1">
        <v>3.0</v>
      </c>
      <c r="H4552" s="1" t="s">
        <v>57</v>
      </c>
      <c r="I4552" s="1" t="s">
        <v>37</v>
      </c>
      <c r="J4552" s="1" t="s">
        <v>18</v>
      </c>
      <c r="K4552" s="1">
        <v>16500.0</v>
      </c>
      <c r="L4552" s="1">
        <v>56.91229505</v>
      </c>
      <c r="M4552" s="1">
        <v>24.2059117623488</v>
      </c>
    </row>
    <row r="4553">
      <c r="A4553" s="1" t="s">
        <v>22</v>
      </c>
      <c r="B4553" s="1" t="s">
        <v>172</v>
      </c>
      <c r="C4553" s="1" t="s">
        <v>2574</v>
      </c>
      <c r="D4553" s="1">
        <v>1.0</v>
      </c>
      <c r="E4553" s="1">
        <v>18.0</v>
      </c>
      <c r="F4553" s="1">
        <v>2.0</v>
      </c>
      <c r="G4553" s="1">
        <v>3.0</v>
      </c>
      <c r="H4553" s="1" t="s">
        <v>57</v>
      </c>
      <c r="I4553" s="1" t="s">
        <v>37</v>
      </c>
      <c r="J4553" s="1" t="s">
        <v>18</v>
      </c>
      <c r="K4553" s="1">
        <v>16500.0</v>
      </c>
      <c r="L4553" s="1" t="s">
        <v>40</v>
      </c>
      <c r="M4553" s="1" t="s">
        <v>40</v>
      </c>
    </row>
    <row r="4554">
      <c r="A4554" s="1" t="s">
        <v>13</v>
      </c>
      <c r="B4554" s="1" t="s">
        <v>42</v>
      </c>
      <c r="C4554" s="1" t="s">
        <v>1908</v>
      </c>
      <c r="D4554" s="1">
        <v>1.0</v>
      </c>
      <c r="E4554" s="1">
        <v>31.0</v>
      </c>
      <c r="F4554" s="1">
        <v>4.0</v>
      </c>
      <c r="G4554" s="1">
        <v>4.0</v>
      </c>
      <c r="H4554" s="1" t="s">
        <v>36</v>
      </c>
      <c r="I4554" s="1" t="s">
        <v>37</v>
      </c>
      <c r="J4554" s="1" t="s">
        <v>18</v>
      </c>
      <c r="K4554" s="1">
        <v>170.0</v>
      </c>
      <c r="L4554" s="1">
        <v>56.9820832</v>
      </c>
      <c r="M4554" s="1">
        <v>24.2512169555717</v>
      </c>
    </row>
    <row r="4555">
      <c r="A4555" s="1" t="s">
        <v>22</v>
      </c>
      <c r="B4555" s="1" t="s">
        <v>74</v>
      </c>
      <c r="C4555" s="1" t="s">
        <v>2575</v>
      </c>
      <c r="D4555" s="1">
        <v>1.0</v>
      </c>
      <c r="E4555" s="1">
        <v>18.0</v>
      </c>
      <c r="F4555" s="1">
        <v>2.0</v>
      </c>
      <c r="G4555" s="1">
        <v>3.0</v>
      </c>
      <c r="H4555" s="1" t="s">
        <v>57</v>
      </c>
      <c r="I4555" s="1" t="s">
        <v>17</v>
      </c>
      <c r="J4555" s="1" t="s">
        <v>18</v>
      </c>
      <c r="K4555" s="1">
        <v>16500.0</v>
      </c>
      <c r="L4555" s="1" t="s">
        <v>40</v>
      </c>
      <c r="M4555" s="1" t="s">
        <v>40</v>
      </c>
    </row>
    <row r="4556">
      <c r="A4556" s="1" t="s">
        <v>22</v>
      </c>
      <c r="B4556" s="1" t="s">
        <v>94</v>
      </c>
      <c r="C4556" s="1" t="s">
        <v>2576</v>
      </c>
      <c r="D4556" s="1">
        <v>3.0</v>
      </c>
      <c r="E4556" s="1">
        <v>68.0</v>
      </c>
      <c r="F4556" s="1">
        <v>5.0</v>
      </c>
      <c r="G4556" s="1">
        <v>9.0</v>
      </c>
      <c r="H4556" s="1" t="s">
        <v>32</v>
      </c>
      <c r="I4556" s="1" t="s">
        <v>33</v>
      </c>
      <c r="J4556" s="1" t="s">
        <v>18</v>
      </c>
      <c r="K4556" s="1">
        <v>108000.0</v>
      </c>
      <c r="L4556" s="1">
        <v>56.8597884</v>
      </c>
      <c r="M4556" s="1">
        <v>24.3083417</v>
      </c>
    </row>
    <row r="4557">
      <c r="A4557" s="1" t="s">
        <v>22</v>
      </c>
      <c r="B4557" s="1" t="s">
        <v>28</v>
      </c>
      <c r="C4557" s="1" t="s">
        <v>1353</v>
      </c>
      <c r="D4557" s="1">
        <v>1.0</v>
      </c>
      <c r="E4557" s="1">
        <v>31.0</v>
      </c>
      <c r="F4557" s="1">
        <v>2.0</v>
      </c>
      <c r="G4557" s="1">
        <v>5.0</v>
      </c>
      <c r="H4557" s="1" t="s">
        <v>16</v>
      </c>
      <c r="I4557" s="1" t="s">
        <v>21</v>
      </c>
      <c r="J4557" s="1" t="s">
        <v>18</v>
      </c>
      <c r="K4557" s="1">
        <v>33000.0</v>
      </c>
      <c r="L4557" s="1">
        <v>56.9026121499999</v>
      </c>
      <c r="M4557" s="1">
        <v>24.2121214389937</v>
      </c>
    </row>
    <row r="4558">
      <c r="A4558" s="1" t="s">
        <v>22</v>
      </c>
      <c r="B4558" s="1" t="s">
        <v>94</v>
      </c>
      <c r="C4558" s="1" t="s">
        <v>2576</v>
      </c>
      <c r="D4558" s="1">
        <v>4.0</v>
      </c>
      <c r="E4558" s="1">
        <v>73.4</v>
      </c>
      <c r="F4558" s="1">
        <v>6.0</v>
      </c>
      <c r="G4558" s="1">
        <v>9.0</v>
      </c>
      <c r="H4558" s="1" t="s">
        <v>32</v>
      </c>
      <c r="I4558" s="1" t="s">
        <v>21</v>
      </c>
      <c r="J4558" s="1" t="s">
        <v>18</v>
      </c>
      <c r="K4558" s="1">
        <v>121000.0</v>
      </c>
      <c r="L4558" s="1">
        <v>56.8597884</v>
      </c>
      <c r="M4558" s="1">
        <v>24.3083417</v>
      </c>
    </row>
    <row r="4559">
      <c r="A4559" s="1" t="s">
        <v>22</v>
      </c>
      <c r="B4559" s="1" t="s">
        <v>23</v>
      </c>
      <c r="C4559" s="1" t="s">
        <v>231</v>
      </c>
      <c r="D4559" s="1">
        <v>3.0</v>
      </c>
      <c r="E4559" s="1">
        <v>63.0</v>
      </c>
      <c r="F4559" s="1">
        <v>6.0</v>
      </c>
      <c r="G4559" s="1">
        <v>8.0</v>
      </c>
      <c r="H4559" s="1" t="s">
        <v>32</v>
      </c>
      <c r="I4559" s="1" t="s">
        <v>17</v>
      </c>
      <c r="J4559" s="1" t="s">
        <v>18</v>
      </c>
      <c r="K4559" s="1">
        <v>135000.0</v>
      </c>
      <c r="L4559" s="1">
        <v>56.9628209</v>
      </c>
      <c r="M4559" s="1">
        <v>24.1203782</v>
      </c>
    </row>
    <row r="4560">
      <c r="A4560" s="1" t="s">
        <v>13</v>
      </c>
      <c r="B4560" s="1" t="s">
        <v>23</v>
      </c>
      <c r="C4560" s="1" t="s">
        <v>2577</v>
      </c>
      <c r="D4560" s="1">
        <v>1.0</v>
      </c>
      <c r="E4560" s="1">
        <v>25.0</v>
      </c>
      <c r="F4560" s="1">
        <v>4.0</v>
      </c>
      <c r="G4560" s="1">
        <v>6.0</v>
      </c>
      <c r="H4560" s="1" t="s">
        <v>25</v>
      </c>
      <c r="I4560" s="1" t="s">
        <v>37</v>
      </c>
      <c r="J4560" s="1" t="s">
        <v>18</v>
      </c>
      <c r="K4560" s="1">
        <v>330.0</v>
      </c>
      <c r="L4560" s="1">
        <v>56.9630335</v>
      </c>
      <c r="M4560" s="1">
        <v>24.1225038935685</v>
      </c>
    </row>
    <row r="4561">
      <c r="A4561" s="1" t="s">
        <v>13</v>
      </c>
      <c r="B4561" s="1" t="s">
        <v>23</v>
      </c>
      <c r="C4561" s="1" t="s">
        <v>2578</v>
      </c>
      <c r="D4561" s="1">
        <v>1.0</v>
      </c>
      <c r="E4561" s="1">
        <v>25.0</v>
      </c>
      <c r="F4561" s="1">
        <v>6.0</v>
      </c>
      <c r="G4561" s="1">
        <v>6.0</v>
      </c>
      <c r="H4561" s="1" t="s">
        <v>25</v>
      </c>
      <c r="I4561" s="1" t="s">
        <v>37</v>
      </c>
      <c r="J4561" s="1" t="s">
        <v>18</v>
      </c>
      <c r="K4561" s="1">
        <v>265.0</v>
      </c>
      <c r="L4561" s="1">
        <v>56.9559351</v>
      </c>
      <c r="M4561" s="1">
        <v>24.1353956</v>
      </c>
    </row>
    <row r="4562">
      <c r="A4562" s="1" t="s">
        <v>22</v>
      </c>
      <c r="B4562" s="1" t="s">
        <v>23</v>
      </c>
      <c r="C4562" s="1" t="s">
        <v>1975</v>
      </c>
      <c r="D4562" s="1">
        <v>1.0</v>
      </c>
      <c r="E4562" s="1">
        <v>28.0</v>
      </c>
      <c r="F4562" s="1">
        <v>5.0</v>
      </c>
      <c r="G4562" s="1">
        <v>6.0</v>
      </c>
      <c r="H4562" s="1" t="s">
        <v>66</v>
      </c>
      <c r="I4562" s="1" t="s">
        <v>33</v>
      </c>
      <c r="J4562" s="1" t="s">
        <v>18</v>
      </c>
      <c r="K4562" s="1">
        <v>50500.0</v>
      </c>
      <c r="L4562" s="1">
        <v>56.9561637</v>
      </c>
      <c r="M4562" s="1">
        <v>24.1488230999999</v>
      </c>
    </row>
    <row r="4563">
      <c r="A4563" s="1" t="s">
        <v>22</v>
      </c>
      <c r="B4563" s="1" t="s">
        <v>23</v>
      </c>
      <c r="C4563" s="1" t="s">
        <v>2579</v>
      </c>
      <c r="D4563" s="1">
        <v>3.0</v>
      </c>
      <c r="E4563" s="1">
        <v>92.0</v>
      </c>
      <c r="F4563" s="1">
        <v>6.0</v>
      </c>
      <c r="G4563" s="1">
        <v>8.0</v>
      </c>
      <c r="H4563" s="1" t="s">
        <v>32</v>
      </c>
      <c r="I4563" s="1" t="s">
        <v>21</v>
      </c>
      <c r="J4563" s="1" t="s">
        <v>18</v>
      </c>
      <c r="K4563" s="1">
        <v>255000.0</v>
      </c>
      <c r="L4563" s="1">
        <v>56.9709196</v>
      </c>
      <c r="M4563" s="1">
        <v>24.1249656274005</v>
      </c>
    </row>
    <row r="4564">
      <c r="A4564" s="1" t="s">
        <v>22</v>
      </c>
      <c r="B4564" s="1" t="s">
        <v>23</v>
      </c>
      <c r="C4564" s="1" t="s">
        <v>219</v>
      </c>
      <c r="D4564" s="1">
        <v>3.0</v>
      </c>
      <c r="E4564" s="1">
        <v>132.0</v>
      </c>
      <c r="F4564" s="1">
        <v>3.0</v>
      </c>
      <c r="G4564" s="1">
        <v>6.0</v>
      </c>
      <c r="H4564" s="1" t="s">
        <v>32</v>
      </c>
      <c r="I4564" s="1" t="s">
        <v>33</v>
      </c>
      <c r="J4564" s="1" t="s">
        <v>18</v>
      </c>
      <c r="K4564" s="1">
        <v>265000.0</v>
      </c>
      <c r="L4564" s="1">
        <v>56.9453381999999</v>
      </c>
      <c r="M4564" s="1">
        <v>24.1094639533088</v>
      </c>
    </row>
    <row r="4565">
      <c r="A4565" s="1" t="s">
        <v>13</v>
      </c>
      <c r="B4565" s="1" t="s">
        <v>23</v>
      </c>
      <c r="C4565" s="1" t="s">
        <v>628</v>
      </c>
      <c r="D4565" s="1">
        <v>3.0</v>
      </c>
      <c r="E4565" s="1">
        <v>100.0</v>
      </c>
      <c r="F4565" s="1">
        <v>2.0</v>
      </c>
      <c r="G4565" s="1">
        <v>5.0</v>
      </c>
      <c r="H4565" s="1" t="s">
        <v>25</v>
      </c>
      <c r="I4565" s="1" t="s">
        <v>33</v>
      </c>
      <c r="J4565" s="1" t="s">
        <v>18</v>
      </c>
      <c r="K4565" s="1">
        <v>850.0</v>
      </c>
      <c r="L4565" s="1">
        <v>56.9625239</v>
      </c>
      <c r="M4565" s="1">
        <v>24.1239015</v>
      </c>
    </row>
    <row r="4566">
      <c r="A4566" s="1" t="s">
        <v>13</v>
      </c>
      <c r="B4566" s="1" t="s">
        <v>422</v>
      </c>
      <c r="C4566" s="1" t="s">
        <v>2416</v>
      </c>
      <c r="D4566" s="1">
        <v>2.0</v>
      </c>
      <c r="E4566" s="1">
        <v>79.0</v>
      </c>
      <c r="F4566" s="1">
        <v>3.0</v>
      </c>
      <c r="G4566" s="1">
        <v>3.0</v>
      </c>
      <c r="H4566" s="1" t="s">
        <v>32</v>
      </c>
      <c r="I4566" s="1" t="s">
        <v>33</v>
      </c>
      <c r="J4566" s="1" t="s">
        <v>18</v>
      </c>
      <c r="K4566" s="1">
        <v>450.0</v>
      </c>
      <c r="L4566" s="1">
        <v>56.9619428</v>
      </c>
      <c r="M4566" s="1">
        <v>24.1992414</v>
      </c>
    </row>
    <row r="4567">
      <c r="A4567" s="1" t="s">
        <v>13</v>
      </c>
      <c r="B4567" s="1" t="s">
        <v>422</v>
      </c>
      <c r="C4567" s="1" t="s">
        <v>2416</v>
      </c>
      <c r="D4567" s="1">
        <v>1.0</v>
      </c>
      <c r="E4567" s="1">
        <v>69.0</v>
      </c>
      <c r="F4567" s="1">
        <v>3.0</v>
      </c>
      <c r="G4567" s="1">
        <v>3.0</v>
      </c>
      <c r="H4567" s="1" t="s">
        <v>32</v>
      </c>
      <c r="I4567" s="1" t="s">
        <v>33</v>
      </c>
      <c r="J4567" s="1" t="s">
        <v>18</v>
      </c>
      <c r="K4567" s="1">
        <v>450.0</v>
      </c>
      <c r="L4567" s="1">
        <v>56.9619428</v>
      </c>
      <c r="M4567" s="1">
        <v>24.1992414</v>
      </c>
    </row>
    <row r="4568">
      <c r="A4568" s="1" t="s">
        <v>13</v>
      </c>
      <c r="B4568" s="1" t="s">
        <v>422</v>
      </c>
      <c r="C4568" s="1" t="s">
        <v>2416</v>
      </c>
      <c r="D4568" s="1">
        <v>1.0</v>
      </c>
      <c r="E4568" s="1">
        <v>82.0</v>
      </c>
      <c r="F4568" s="1">
        <v>2.0</v>
      </c>
      <c r="G4568" s="1">
        <v>3.0</v>
      </c>
      <c r="H4568" s="1" t="s">
        <v>171</v>
      </c>
      <c r="I4568" s="1" t="s">
        <v>33</v>
      </c>
      <c r="J4568" s="1" t="s">
        <v>18</v>
      </c>
      <c r="K4568" s="1">
        <v>350.0</v>
      </c>
      <c r="L4568" s="1">
        <v>56.9619428</v>
      </c>
      <c r="M4568" s="1">
        <v>24.1992414</v>
      </c>
    </row>
    <row r="4569">
      <c r="A4569" s="1" t="s">
        <v>13</v>
      </c>
      <c r="B4569" s="1" t="s">
        <v>74</v>
      </c>
      <c r="C4569" s="1" t="s">
        <v>2580</v>
      </c>
      <c r="D4569" s="1">
        <v>1.0</v>
      </c>
      <c r="E4569" s="1">
        <v>32.0</v>
      </c>
      <c r="F4569" s="1">
        <v>2.0</v>
      </c>
      <c r="G4569" s="1">
        <v>9.0</v>
      </c>
      <c r="H4569" s="1">
        <v>602.0</v>
      </c>
      <c r="I4569" s="1" t="s">
        <v>21</v>
      </c>
      <c r="J4569" s="1" t="s">
        <v>18</v>
      </c>
      <c r="K4569" s="1">
        <v>250.0</v>
      </c>
      <c r="L4569" s="1">
        <v>56.9435988</v>
      </c>
      <c r="M4569" s="1">
        <v>24.222178695717</v>
      </c>
    </row>
    <row r="4570">
      <c r="A4570" s="1" t="s">
        <v>13</v>
      </c>
      <c r="B4570" s="1" t="s">
        <v>14</v>
      </c>
      <c r="C4570" s="1" t="s">
        <v>480</v>
      </c>
      <c r="D4570" s="1">
        <v>2.0</v>
      </c>
      <c r="E4570" s="1">
        <v>50.0</v>
      </c>
      <c r="F4570" s="1">
        <v>9.0</v>
      </c>
      <c r="G4570" s="1">
        <v>9.0</v>
      </c>
      <c r="H4570" s="1">
        <v>602.0</v>
      </c>
      <c r="I4570" s="1" t="s">
        <v>21</v>
      </c>
      <c r="J4570" s="1" t="s">
        <v>18</v>
      </c>
      <c r="K4570" s="1">
        <v>270.0</v>
      </c>
      <c r="L4570" s="1">
        <v>56.9550112</v>
      </c>
      <c r="M4570" s="1">
        <v>24.1985621</v>
      </c>
    </row>
    <row r="4571">
      <c r="A4571" s="1" t="s">
        <v>13</v>
      </c>
      <c r="B4571" s="1" t="s">
        <v>23</v>
      </c>
      <c r="C4571" s="1" t="s">
        <v>1404</v>
      </c>
      <c r="D4571" s="1">
        <v>3.0</v>
      </c>
      <c r="E4571" s="1">
        <v>72.0</v>
      </c>
      <c r="F4571" s="1">
        <v>3.0</v>
      </c>
      <c r="G4571" s="1">
        <v>4.0</v>
      </c>
      <c r="H4571" s="1" t="s">
        <v>66</v>
      </c>
      <c r="I4571" s="1" t="s">
        <v>33</v>
      </c>
      <c r="J4571" s="1" t="s">
        <v>18</v>
      </c>
      <c r="K4571" s="1">
        <v>700.0</v>
      </c>
      <c r="L4571" s="1">
        <v>56.9507636</v>
      </c>
      <c r="M4571" s="1">
        <v>24.1315174</v>
      </c>
    </row>
    <row r="4572">
      <c r="A4572" s="1" t="s">
        <v>22</v>
      </c>
      <c r="B4572" s="1" t="s">
        <v>23</v>
      </c>
      <c r="C4572" s="1" t="s">
        <v>982</v>
      </c>
      <c r="D4572" s="1">
        <v>3.0</v>
      </c>
      <c r="E4572" s="1">
        <v>91.0</v>
      </c>
      <c r="F4572" s="1">
        <v>6.0</v>
      </c>
      <c r="G4572" s="1">
        <v>9.0</v>
      </c>
      <c r="H4572" s="1" t="s">
        <v>32</v>
      </c>
      <c r="I4572" s="1" t="s">
        <v>33</v>
      </c>
      <c r="J4572" s="1" t="s">
        <v>18</v>
      </c>
      <c r="K4572" s="1">
        <v>150000.0</v>
      </c>
      <c r="L4572" s="1">
        <v>56.9742195</v>
      </c>
      <c r="M4572" s="1">
        <v>24.1483510382088</v>
      </c>
    </row>
    <row r="4573">
      <c r="A4573" s="1" t="s">
        <v>13</v>
      </c>
      <c r="B4573" s="1" t="s">
        <v>23</v>
      </c>
      <c r="C4573" s="1" t="s">
        <v>455</v>
      </c>
      <c r="D4573" s="1">
        <v>1.0</v>
      </c>
      <c r="E4573" s="1">
        <v>15.0</v>
      </c>
      <c r="F4573" s="1">
        <v>4.0</v>
      </c>
      <c r="G4573" s="1">
        <v>6.0</v>
      </c>
      <c r="H4573" s="1" t="s">
        <v>25</v>
      </c>
      <c r="I4573" s="1" t="s">
        <v>33</v>
      </c>
      <c r="J4573" s="1" t="s">
        <v>18</v>
      </c>
      <c r="K4573" s="1">
        <v>100.0</v>
      </c>
      <c r="L4573" s="1">
        <v>56.8597884</v>
      </c>
      <c r="M4573" s="1">
        <v>24.3083417</v>
      </c>
    </row>
    <row r="4574">
      <c r="A4574" s="1" t="s">
        <v>13</v>
      </c>
      <c r="B4574" s="1" t="s">
        <v>23</v>
      </c>
      <c r="C4574" s="1" t="s">
        <v>1404</v>
      </c>
      <c r="D4574" s="1">
        <v>3.0</v>
      </c>
      <c r="E4574" s="1">
        <v>72.0</v>
      </c>
      <c r="F4574" s="1">
        <v>2.0</v>
      </c>
      <c r="G4574" s="1">
        <v>4.0</v>
      </c>
      <c r="H4574" s="1" t="s">
        <v>66</v>
      </c>
      <c r="I4574" s="1" t="s">
        <v>33</v>
      </c>
      <c r="J4574" s="1" t="s">
        <v>18</v>
      </c>
      <c r="K4574" s="1">
        <v>700.0</v>
      </c>
      <c r="L4574" s="1">
        <v>56.9507636</v>
      </c>
      <c r="M4574" s="1">
        <v>24.1315174</v>
      </c>
    </row>
    <row r="4575">
      <c r="A4575" s="1" t="s">
        <v>22</v>
      </c>
      <c r="B4575" s="1" t="s">
        <v>23</v>
      </c>
      <c r="C4575" s="1" t="s">
        <v>918</v>
      </c>
      <c r="D4575" s="1">
        <v>3.0</v>
      </c>
      <c r="E4575" s="1">
        <v>55.0</v>
      </c>
      <c r="F4575" s="1">
        <v>5.0</v>
      </c>
      <c r="G4575" s="1">
        <v>6.0</v>
      </c>
      <c r="H4575" s="1" t="s">
        <v>25</v>
      </c>
      <c r="I4575" s="1" t="s">
        <v>37</v>
      </c>
      <c r="J4575" s="1" t="s">
        <v>18</v>
      </c>
      <c r="K4575" s="1">
        <v>93500.0</v>
      </c>
      <c r="L4575" s="1">
        <v>56.9665763</v>
      </c>
      <c r="M4575" s="1">
        <v>24.1337504</v>
      </c>
    </row>
    <row r="4576">
      <c r="A4576" s="1" t="s">
        <v>13</v>
      </c>
      <c r="B4576" s="1" t="s">
        <v>14</v>
      </c>
      <c r="C4576" s="1" t="s">
        <v>323</v>
      </c>
      <c r="D4576" s="1">
        <v>2.0</v>
      </c>
      <c r="E4576" s="1">
        <v>47.0</v>
      </c>
      <c r="F4576" s="1">
        <v>2.0</v>
      </c>
      <c r="G4576" s="1">
        <v>5.0</v>
      </c>
      <c r="H4576" s="1" t="s">
        <v>16</v>
      </c>
      <c r="I4576" s="1" t="s">
        <v>21</v>
      </c>
      <c r="J4576" s="1" t="s">
        <v>18</v>
      </c>
      <c r="K4576" s="1">
        <v>250.0</v>
      </c>
      <c r="L4576" s="1">
        <v>56.95508155</v>
      </c>
      <c r="M4576" s="1">
        <v>24.1768222238815</v>
      </c>
    </row>
    <row r="4577">
      <c r="A4577" s="1" t="s">
        <v>13</v>
      </c>
      <c r="B4577" s="1" t="s">
        <v>48</v>
      </c>
      <c r="C4577" s="1" t="s">
        <v>49</v>
      </c>
      <c r="D4577" s="1">
        <v>2.0</v>
      </c>
      <c r="E4577" s="1">
        <v>50.0</v>
      </c>
      <c r="F4577" s="1">
        <v>5.0</v>
      </c>
      <c r="G4577" s="1">
        <v>9.0</v>
      </c>
      <c r="H4577" s="1">
        <v>602.0</v>
      </c>
      <c r="I4577" s="1" t="s">
        <v>122</v>
      </c>
      <c r="J4577" s="1" t="s">
        <v>18</v>
      </c>
      <c r="K4577" s="1">
        <v>295.0</v>
      </c>
      <c r="L4577" s="1">
        <v>56.967948</v>
      </c>
      <c r="M4577" s="1">
        <v>24.2351586311777</v>
      </c>
    </row>
    <row r="4578">
      <c r="A4578" s="1" t="s">
        <v>13</v>
      </c>
      <c r="B4578" s="1" t="s">
        <v>45</v>
      </c>
      <c r="C4578" s="1" t="s">
        <v>660</v>
      </c>
      <c r="D4578" s="1">
        <v>2.0</v>
      </c>
      <c r="E4578" s="1">
        <v>42.0</v>
      </c>
      <c r="F4578" s="1">
        <v>2.0</v>
      </c>
      <c r="G4578" s="1">
        <v>3.0</v>
      </c>
      <c r="H4578" s="1" t="s">
        <v>66</v>
      </c>
      <c r="I4578" s="1" t="s">
        <v>37</v>
      </c>
      <c r="J4578" s="1" t="s">
        <v>18</v>
      </c>
      <c r="K4578" s="1">
        <v>250.0</v>
      </c>
      <c r="L4578" s="1">
        <v>57.02365495</v>
      </c>
      <c r="M4578" s="1">
        <v>24.1330612</v>
      </c>
    </row>
    <row r="4579">
      <c r="A4579" s="1" t="s">
        <v>13</v>
      </c>
      <c r="B4579" s="1" t="s">
        <v>45</v>
      </c>
      <c r="C4579" s="1" t="s">
        <v>660</v>
      </c>
      <c r="D4579" s="1">
        <v>1.0</v>
      </c>
      <c r="E4579" s="1">
        <v>30.0</v>
      </c>
      <c r="F4579" s="1">
        <v>2.0</v>
      </c>
      <c r="G4579" s="1">
        <v>3.0</v>
      </c>
      <c r="H4579" s="1" t="s">
        <v>66</v>
      </c>
      <c r="I4579" s="1" t="s">
        <v>37</v>
      </c>
      <c r="J4579" s="1" t="s">
        <v>18</v>
      </c>
      <c r="K4579" s="1">
        <v>200.0</v>
      </c>
      <c r="L4579" s="1">
        <v>57.02365495</v>
      </c>
      <c r="M4579" s="1">
        <v>24.1330612</v>
      </c>
    </row>
    <row r="4580">
      <c r="A4580" s="1" t="s">
        <v>22</v>
      </c>
      <c r="B4580" s="1" t="s">
        <v>23</v>
      </c>
      <c r="C4580" s="1" t="s">
        <v>2581</v>
      </c>
      <c r="D4580" s="1">
        <v>2.0</v>
      </c>
      <c r="E4580" s="1">
        <v>70.0</v>
      </c>
      <c r="F4580" s="1">
        <v>2.0</v>
      </c>
      <c r="G4580" s="1">
        <v>6.0</v>
      </c>
      <c r="H4580" s="1" t="s">
        <v>32</v>
      </c>
      <c r="I4580" s="1" t="s">
        <v>33</v>
      </c>
      <c r="J4580" s="1" t="s">
        <v>18</v>
      </c>
      <c r="K4580" s="1">
        <v>166000.0</v>
      </c>
      <c r="L4580" s="1">
        <v>56.963337</v>
      </c>
      <c r="M4580" s="1">
        <v>24.1218191</v>
      </c>
    </row>
    <row r="4581">
      <c r="A4581" s="1" t="s">
        <v>13</v>
      </c>
      <c r="B4581" s="1" t="s">
        <v>60</v>
      </c>
      <c r="C4581" s="1" t="s">
        <v>1049</v>
      </c>
      <c r="D4581" s="1">
        <v>2.0</v>
      </c>
      <c r="E4581" s="1">
        <v>54.0</v>
      </c>
      <c r="F4581" s="1">
        <v>2.0</v>
      </c>
      <c r="G4581" s="1">
        <v>5.0</v>
      </c>
      <c r="H4581" s="1">
        <v>103.0</v>
      </c>
      <c r="I4581" s="1" t="s">
        <v>37</v>
      </c>
      <c r="J4581" s="1" t="s">
        <v>18</v>
      </c>
      <c r="K4581" s="1">
        <v>250.0</v>
      </c>
      <c r="L4581" s="1">
        <v>57.03301815</v>
      </c>
      <c r="M4581" s="1">
        <v>24.0386262315628</v>
      </c>
    </row>
    <row r="4582">
      <c r="A4582" s="1" t="s">
        <v>131</v>
      </c>
      <c r="B4582" s="2"/>
      <c r="C4582" s="2"/>
      <c r="D4582" s="1">
        <v>1.0</v>
      </c>
      <c r="E4582" s="2"/>
      <c r="F4582" s="2"/>
      <c r="G4582" s="2"/>
      <c r="H4582" s="2"/>
      <c r="I4582" s="2"/>
      <c r="J4582" s="2"/>
      <c r="K4582" s="2"/>
      <c r="L4582" s="1">
        <v>46.3144754</v>
      </c>
      <c r="M4582" s="1">
        <v>11.0480288</v>
      </c>
    </row>
    <row r="4583">
      <c r="A4583" s="1" t="s">
        <v>22</v>
      </c>
      <c r="B4583" s="1" t="s">
        <v>23</v>
      </c>
      <c r="C4583" s="1" t="s">
        <v>1965</v>
      </c>
      <c r="D4583" s="1">
        <v>2.0</v>
      </c>
      <c r="E4583" s="1">
        <v>48.0</v>
      </c>
      <c r="F4583" s="1">
        <v>4.0</v>
      </c>
      <c r="G4583" s="1">
        <v>4.0</v>
      </c>
      <c r="H4583" s="1" t="s">
        <v>25</v>
      </c>
      <c r="I4583" s="1" t="s">
        <v>33</v>
      </c>
      <c r="J4583" s="1" t="s">
        <v>18</v>
      </c>
      <c r="K4583" s="1">
        <v>80000.0</v>
      </c>
      <c r="L4583" s="1">
        <v>56.9610245</v>
      </c>
      <c r="M4583" s="1">
        <v>24.1085131</v>
      </c>
    </row>
    <row r="4584">
      <c r="A4584" s="1" t="s">
        <v>22</v>
      </c>
      <c r="B4584" s="1" t="s">
        <v>23</v>
      </c>
      <c r="C4584" s="1" t="s">
        <v>2581</v>
      </c>
      <c r="D4584" s="1">
        <v>2.0</v>
      </c>
      <c r="E4584" s="1">
        <v>54.0</v>
      </c>
      <c r="F4584" s="1">
        <v>3.0</v>
      </c>
      <c r="G4584" s="1">
        <v>6.0</v>
      </c>
      <c r="H4584" s="1" t="s">
        <v>32</v>
      </c>
      <c r="I4584" s="1" t="s">
        <v>33</v>
      </c>
      <c r="J4584" s="1" t="s">
        <v>18</v>
      </c>
      <c r="K4584" s="1">
        <v>131000.0</v>
      </c>
      <c r="L4584" s="1">
        <v>56.963337</v>
      </c>
      <c r="M4584" s="1">
        <v>24.1218191</v>
      </c>
    </row>
    <row r="4585">
      <c r="A4585" s="1" t="s">
        <v>22</v>
      </c>
      <c r="B4585" s="1" t="s">
        <v>23</v>
      </c>
      <c r="C4585" s="1" t="s">
        <v>2581</v>
      </c>
      <c r="D4585" s="1">
        <v>2.0</v>
      </c>
      <c r="E4585" s="1">
        <v>74.0</v>
      </c>
      <c r="F4585" s="1">
        <v>3.0</v>
      </c>
      <c r="G4585" s="1">
        <v>6.0</v>
      </c>
      <c r="H4585" s="1" t="s">
        <v>32</v>
      </c>
      <c r="I4585" s="1" t="s">
        <v>33</v>
      </c>
      <c r="J4585" s="1" t="s">
        <v>18</v>
      </c>
      <c r="K4585" s="1">
        <v>177000.0</v>
      </c>
      <c r="L4585" s="1">
        <v>56.963337</v>
      </c>
      <c r="M4585" s="1">
        <v>24.1218191</v>
      </c>
    </row>
    <row r="4586">
      <c r="A4586" s="1" t="s">
        <v>22</v>
      </c>
      <c r="B4586" s="1" t="s">
        <v>23</v>
      </c>
      <c r="C4586" s="1" t="s">
        <v>2581</v>
      </c>
      <c r="D4586" s="1">
        <v>3.0</v>
      </c>
      <c r="E4586" s="1">
        <v>95.0</v>
      </c>
      <c r="F4586" s="1">
        <v>3.0</v>
      </c>
      <c r="G4586" s="1">
        <v>6.0</v>
      </c>
      <c r="H4586" s="1" t="s">
        <v>32</v>
      </c>
      <c r="I4586" s="1" t="s">
        <v>33</v>
      </c>
      <c r="J4586" s="1" t="s">
        <v>18</v>
      </c>
      <c r="K4586" s="1">
        <v>219000.0</v>
      </c>
      <c r="L4586" s="1">
        <v>56.963337</v>
      </c>
      <c r="M4586" s="1">
        <v>24.1218191</v>
      </c>
    </row>
    <row r="4587">
      <c r="A4587" s="1" t="s">
        <v>13</v>
      </c>
      <c r="B4587" s="1" t="s">
        <v>104</v>
      </c>
      <c r="C4587" s="1" t="s">
        <v>2582</v>
      </c>
      <c r="D4587" s="1">
        <v>1.0</v>
      </c>
      <c r="E4587" s="1">
        <v>18.0</v>
      </c>
      <c r="F4587" s="1">
        <v>2.0</v>
      </c>
      <c r="G4587" s="1">
        <v>4.0</v>
      </c>
      <c r="H4587" s="1" t="s">
        <v>57</v>
      </c>
      <c r="I4587" s="1" t="s">
        <v>37</v>
      </c>
      <c r="J4587" s="1" t="s">
        <v>18</v>
      </c>
      <c r="K4587" s="1">
        <v>220.0</v>
      </c>
      <c r="L4587" s="1">
        <v>56.9432506499999</v>
      </c>
      <c r="M4587" s="1">
        <v>24.0611992104632</v>
      </c>
    </row>
    <row r="4588">
      <c r="A4588" s="1" t="s">
        <v>13</v>
      </c>
      <c r="B4588" s="1" t="s">
        <v>23</v>
      </c>
      <c r="C4588" s="1" t="s">
        <v>249</v>
      </c>
      <c r="D4588" s="1">
        <v>2.0</v>
      </c>
      <c r="E4588" s="1">
        <v>47.0</v>
      </c>
      <c r="F4588" s="1">
        <v>7.0</v>
      </c>
      <c r="G4588" s="1">
        <v>9.0</v>
      </c>
      <c r="H4588" s="1" t="s">
        <v>66</v>
      </c>
      <c r="I4588" s="1" t="s">
        <v>17</v>
      </c>
      <c r="J4588" s="1" t="s">
        <v>18</v>
      </c>
      <c r="K4588" s="1">
        <v>500.0</v>
      </c>
      <c r="L4588" s="1">
        <v>56.9726557</v>
      </c>
      <c r="M4588" s="1">
        <v>24.1493117212851</v>
      </c>
    </row>
    <row r="4589">
      <c r="A4589" s="1" t="s">
        <v>13</v>
      </c>
      <c r="B4589" s="1" t="s">
        <v>109</v>
      </c>
      <c r="C4589" s="1" t="s">
        <v>126</v>
      </c>
      <c r="D4589" s="1">
        <v>2.0</v>
      </c>
      <c r="E4589" s="1">
        <v>50.0</v>
      </c>
      <c r="F4589" s="1">
        <v>7.0</v>
      </c>
      <c r="G4589" s="1">
        <v>9.0</v>
      </c>
      <c r="H4589" s="1" t="s">
        <v>32</v>
      </c>
      <c r="I4589" s="1" t="s">
        <v>17</v>
      </c>
      <c r="J4589" s="1" t="s">
        <v>18</v>
      </c>
      <c r="K4589" s="1">
        <v>430.0</v>
      </c>
      <c r="L4589" s="1" t="s">
        <v>40</v>
      </c>
      <c r="M4589" s="1" t="s">
        <v>40</v>
      </c>
    </row>
    <row r="4590">
      <c r="A4590" s="1" t="s">
        <v>13</v>
      </c>
      <c r="B4590" s="1" t="s">
        <v>19</v>
      </c>
      <c r="C4590" s="1" t="s">
        <v>2017</v>
      </c>
      <c r="D4590" s="1">
        <v>3.0</v>
      </c>
      <c r="E4590" s="1">
        <v>99.0</v>
      </c>
      <c r="F4590" s="1">
        <v>1.0</v>
      </c>
      <c r="G4590" s="1">
        <v>4.0</v>
      </c>
      <c r="H4590" s="1" t="s">
        <v>32</v>
      </c>
      <c r="I4590" s="1" t="s">
        <v>37</v>
      </c>
      <c r="J4590" s="1" t="s">
        <v>18</v>
      </c>
      <c r="K4590" s="1">
        <v>690.0</v>
      </c>
      <c r="L4590" s="1">
        <v>56.91537545</v>
      </c>
      <c r="M4590" s="1">
        <v>24.0947705636546</v>
      </c>
    </row>
    <row r="4591">
      <c r="A4591" s="1" t="s">
        <v>22</v>
      </c>
      <c r="B4591" s="1" t="s">
        <v>19</v>
      </c>
      <c r="C4591" s="1" t="s">
        <v>270</v>
      </c>
      <c r="D4591" s="1">
        <v>2.0</v>
      </c>
      <c r="E4591" s="1">
        <v>51.6</v>
      </c>
      <c r="F4591" s="1">
        <v>9.0</v>
      </c>
      <c r="G4591" s="1">
        <v>9.0</v>
      </c>
      <c r="H4591" s="1">
        <v>602.0</v>
      </c>
      <c r="I4591" s="1" t="s">
        <v>21</v>
      </c>
      <c r="J4591" s="1" t="s">
        <v>18</v>
      </c>
      <c r="K4591" s="1">
        <v>45000.0</v>
      </c>
      <c r="L4591" s="1">
        <v>56.90102635</v>
      </c>
      <c r="M4591" s="1">
        <v>24.0939941127903</v>
      </c>
    </row>
    <row r="4592">
      <c r="A4592" s="1" t="s">
        <v>22</v>
      </c>
      <c r="B4592" s="1" t="s">
        <v>38</v>
      </c>
      <c r="C4592" s="1" t="s">
        <v>2583</v>
      </c>
      <c r="D4592" s="1">
        <v>4.0</v>
      </c>
      <c r="E4592" s="1">
        <v>76.37</v>
      </c>
      <c r="F4592" s="1">
        <v>8.0</v>
      </c>
      <c r="G4592" s="1">
        <v>9.0</v>
      </c>
      <c r="H4592" s="1">
        <v>602.0</v>
      </c>
      <c r="I4592" s="1" t="s">
        <v>21</v>
      </c>
      <c r="J4592" s="1" t="s">
        <v>18</v>
      </c>
      <c r="K4592" s="1">
        <v>80000.0</v>
      </c>
      <c r="L4592" s="1" t="s">
        <v>40</v>
      </c>
      <c r="M4592" s="1" t="s">
        <v>40</v>
      </c>
    </row>
    <row r="4593">
      <c r="A4593" s="1" t="s">
        <v>13</v>
      </c>
      <c r="B4593" s="1" t="s">
        <v>23</v>
      </c>
      <c r="C4593" s="1" t="s">
        <v>1033</v>
      </c>
      <c r="D4593" s="1">
        <v>2.0</v>
      </c>
      <c r="E4593" s="1">
        <v>40.0</v>
      </c>
      <c r="F4593" s="1">
        <v>1.0</v>
      </c>
      <c r="G4593" s="1">
        <v>3.0</v>
      </c>
      <c r="H4593" s="1" t="s">
        <v>25</v>
      </c>
      <c r="I4593" s="1" t="s">
        <v>17</v>
      </c>
      <c r="J4593" s="1" t="s">
        <v>18</v>
      </c>
      <c r="K4593" s="1">
        <v>450.0</v>
      </c>
      <c r="L4593" s="1">
        <v>56.96130605</v>
      </c>
      <c r="M4593" s="1">
        <v>24.1105821948041</v>
      </c>
    </row>
    <row r="4594">
      <c r="A4594" s="1" t="s">
        <v>13</v>
      </c>
      <c r="B4594" s="1" t="s">
        <v>94</v>
      </c>
      <c r="C4594" s="1" t="s">
        <v>2584</v>
      </c>
      <c r="D4594" s="1">
        <v>1.0</v>
      </c>
      <c r="E4594" s="1">
        <v>33.0</v>
      </c>
      <c r="F4594" s="1">
        <v>9.0</v>
      </c>
      <c r="G4594" s="1">
        <v>9.0</v>
      </c>
      <c r="H4594" s="1">
        <v>467.0</v>
      </c>
      <c r="I4594" s="1" t="s">
        <v>122</v>
      </c>
      <c r="J4594" s="1" t="s">
        <v>18</v>
      </c>
      <c r="K4594" s="1">
        <v>290.0</v>
      </c>
      <c r="L4594" s="1">
        <v>56.9328894</v>
      </c>
      <c r="M4594" s="1">
        <v>24.1629760337437</v>
      </c>
    </row>
    <row r="4595">
      <c r="A4595" s="1" t="s">
        <v>22</v>
      </c>
      <c r="B4595" s="1" t="s">
        <v>38</v>
      </c>
      <c r="C4595" s="1" t="s">
        <v>2585</v>
      </c>
      <c r="D4595" s="1">
        <v>1.0</v>
      </c>
      <c r="E4595" s="1">
        <v>28.0</v>
      </c>
      <c r="F4595" s="1">
        <v>5.0</v>
      </c>
      <c r="G4595" s="1">
        <v>5.0</v>
      </c>
      <c r="H4595" s="1" t="s">
        <v>16</v>
      </c>
      <c r="I4595" s="1" t="s">
        <v>21</v>
      </c>
      <c r="J4595" s="1" t="s">
        <v>18</v>
      </c>
      <c r="K4595" s="1">
        <v>26500.0</v>
      </c>
      <c r="L4595" s="1">
        <v>56.9657634</v>
      </c>
      <c r="M4595" s="1">
        <v>24.0058526</v>
      </c>
    </row>
    <row r="4596">
      <c r="A4596" s="1" t="s">
        <v>13</v>
      </c>
      <c r="B4596" s="1" t="s">
        <v>104</v>
      </c>
      <c r="C4596" s="1" t="s">
        <v>2586</v>
      </c>
      <c r="D4596" s="1">
        <v>1.0</v>
      </c>
      <c r="E4596" s="1">
        <v>30.0</v>
      </c>
      <c r="F4596" s="1">
        <v>1.0</v>
      </c>
      <c r="G4596" s="1">
        <v>5.0</v>
      </c>
      <c r="H4596" s="1" t="s">
        <v>44</v>
      </c>
      <c r="I4596" s="1" t="s">
        <v>37</v>
      </c>
      <c r="J4596" s="1" t="s">
        <v>18</v>
      </c>
      <c r="K4596" s="1">
        <v>220.0</v>
      </c>
      <c r="L4596" s="1">
        <v>56.92808005</v>
      </c>
      <c r="M4596" s="1">
        <v>24.0742045</v>
      </c>
    </row>
    <row r="4597">
      <c r="A4597" s="1" t="s">
        <v>22</v>
      </c>
      <c r="B4597" s="1" t="s">
        <v>38</v>
      </c>
      <c r="C4597" s="1" t="s">
        <v>2587</v>
      </c>
      <c r="D4597" s="1">
        <v>3.0</v>
      </c>
      <c r="E4597" s="1">
        <v>71.0</v>
      </c>
      <c r="F4597" s="1">
        <v>4.0</v>
      </c>
      <c r="G4597" s="1">
        <v>5.0</v>
      </c>
      <c r="H4597" s="1" t="s">
        <v>16</v>
      </c>
      <c r="I4597" s="1" t="s">
        <v>21</v>
      </c>
      <c r="J4597" s="1" t="s">
        <v>18</v>
      </c>
      <c r="K4597" s="1">
        <v>52000.0</v>
      </c>
      <c r="L4597" s="1">
        <v>56.952975</v>
      </c>
      <c r="M4597" s="1">
        <v>24.0166971</v>
      </c>
    </row>
    <row r="4598">
      <c r="A4598" s="1" t="s">
        <v>13</v>
      </c>
      <c r="B4598" s="1" t="s">
        <v>104</v>
      </c>
      <c r="C4598" s="1" t="s">
        <v>321</v>
      </c>
      <c r="D4598" s="1">
        <v>1.0</v>
      </c>
      <c r="E4598" s="1">
        <v>35.0</v>
      </c>
      <c r="F4598" s="1">
        <v>4.0</v>
      </c>
      <c r="G4598" s="1">
        <v>5.0</v>
      </c>
      <c r="H4598" s="1" t="s">
        <v>32</v>
      </c>
      <c r="I4598" s="1" t="s">
        <v>17</v>
      </c>
      <c r="J4598" s="1" t="s">
        <v>18</v>
      </c>
      <c r="K4598" s="1">
        <v>520.0</v>
      </c>
      <c r="L4598" s="1">
        <v>56.94107515</v>
      </c>
      <c r="M4598" s="1">
        <v>24.0537289468904</v>
      </c>
    </row>
    <row r="4599">
      <c r="A4599" s="1" t="s">
        <v>13</v>
      </c>
      <c r="B4599" s="1" t="s">
        <v>23</v>
      </c>
      <c r="C4599" s="1" t="s">
        <v>2588</v>
      </c>
      <c r="D4599" s="1">
        <v>2.0</v>
      </c>
      <c r="E4599" s="1">
        <v>47.0</v>
      </c>
      <c r="F4599" s="1">
        <v>1.0</v>
      </c>
      <c r="G4599" s="1">
        <v>4.0</v>
      </c>
      <c r="H4599" s="1" t="s">
        <v>25</v>
      </c>
      <c r="I4599" s="1" t="s">
        <v>33</v>
      </c>
      <c r="J4599" s="1" t="s">
        <v>18</v>
      </c>
      <c r="K4599" s="1">
        <v>300.0</v>
      </c>
      <c r="L4599" s="1">
        <v>56.9468471</v>
      </c>
      <c r="M4599" s="1">
        <v>24.133767</v>
      </c>
    </row>
    <row r="4600">
      <c r="A4600" s="1" t="s">
        <v>22</v>
      </c>
      <c r="B4600" s="1" t="s">
        <v>19</v>
      </c>
      <c r="C4600" s="1" t="s">
        <v>2589</v>
      </c>
      <c r="D4600" s="1">
        <v>3.0</v>
      </c>
      <c r="E4600" s="1">
        <v>62.0</v>
      </c>
      <c r="F4600" s="1">
        <v>3.0</v>
      </c>
      <c r="G4600" s="1">
        <v>9.0</v>
      </c>
      <c r="H4600" s="1">
        <v>602.0</v>
      </c>
      <c r="I4600" s="1" t="s">
        <v>21</v>
      </c>
      <c r="J4600" s="1" t="s">
        <v>18</v>
      </c>
      <c r="K4600" s="1">
        <v>63000.0</v>
      </c>
      <c r="L4600" s="1">
        <v>56.8990307</v>
      </c>
      <c r="M4600" s="1">
        <v>24.0785989</v>
      </c>
    </row>
    <row r="4601">
      <c r="A4601" s="1" t="s">
        <v>13</v>
      </c>
      <c r="B4601" s="1" t="s">
        <v>14</v>
      </c>
      <c r="C4601" s="1" t="s">
        <v>2590</v>
      </c>
      <c r="D4601" s="1">
        <v>3.0</v>
      </c>
      <c r="E4601" s="1">
        <v>83.0</v>
      </c>
      <c r="F4601" s="1">
        <v>16.0</v>
      </c>
      <c r="G4601" s="1">
        <v>24.0</v>
      </c>
      <c r="H4601" s="1" t="s">
        <v>32</v>
      </c>
      <c r="I4601" s="1" t="s">
        <v>21</v>
      </c>
      <c r="J4601" s="1" t="s">
        <v>18</v>
      </c>
      <c r="K4601" s="1">
        <v>650.0</v>
      </c>
      <c r="L4601" s="1" t="s">
        <v>40</v>
      </c>
      <c r="M4601" s="1" t="s">
        <v>40</v>
      </c>
    </row>
    <row r="4602">
      <c r="A4602" s="1" t="s">
        <v>13</v>
      </c>
      <c r="B4602" s="1" t="s">
        <v>14</v>
      </c>
      <c r="C4602" s="1" t="s">
        <v>2591</v>
      </c>
      <c r="D4602" s="1">
        <v>1.0</v>
      </c>
      <c r="E4602" s="1">
        <v>18.0</v>
      </c>
      <c r="F4602" s="1">
        <v>4.0</v>
      </c>
      <c r="G4602" s="1">
        <v>5.0</v>
      </c>
      <c r="H4602" s="1" t="s">
        <v>66</v>
      </c>
      <c r="I4602" s="1" t="s">
        <v>37</v>
      </c>
      <c r="J4602" s="1" t="s">
        <v>18</v>
      </c>
      <c r="K4602" s="1">
        <v>230.0</v>
      </c>
      <c r="L4602" s="1">
        <v>56.9697688</v>
      </c>
      <c r="M4602" s="1">
        <v>24.1782343</v>
      </c>
    </row>
    <row r="4603">
      <c r="A4603" s="1" t="s">
        <v>89</v>
      </c>
      <c r="B4603" s="1" t="s">
        <v>28</v>
      </c>
      <c r="C4603" s="2"/>
      <c r="D4603" s="1">
        <v>2.0</v>
      </c>
      <c r="E4603" s="2"/>
      <c r="F4603" s="2"/>
      <c r="G4603" s="2"/>
      <c r="H4603" s="2"/>
      <c r="I4603" s="2"/>
      <c r="J4603" s="2"/>
      <c r="K4603" s="2"/>
      <c r="L4603" s="1">
        <v>46.3144754</v>
      </c>
      <c r="M4603" s="1">
        <v>11.0480288</v>
      </c>
    </row>
    <row r="4604">
      <c r="A4604" s="1" t="s">
        <v>89</v>
      </c>
      <c r="B4604" s="1" t="s">
        <v>14</v>
      </c>
      <c r="C4604" s="2"/>
      <c r="D4604" s="1">
        <v>2.0</v>
      </c>
      <c r="E4604" s="2"/>
      <c r="F4604" s="2"/>
      <c r="G4604" s="2"/>
      <c r="H4604" s="2"/>
      <c r="I4604" s="2"/>
      <c r="J4604" s="2"/>
      <c r="K4604" s="2"/>
      <c r="L4604" s="1">
        <v>46.3144754</v>
      </c>
      <c r="M4604" s="1">
        <v>11.0480288</v>
      </c>
    </row>
    <row r="4605">
      <c r="A4605" s="1" t="s">
        <v>89</v>
      </c>
      <c r="B4605" s="1" t="s">
        <v>74</v>
      </c>
      <c r="C4605" s="2"/>
      <c r="D4605" s="1" t="s">
        <v>90</v>
      </c>
      <c r="E4605" s="2"/>
      <c r="F4605" s="2"/>
      <c r="G4605" s="2"/>
      <c r="H4605" s="2"/>
      <c r="I4605" s="2"/>
      <c r="J4605" s="2"/>
      <c r="K4605" s="2"/>
      <c r="L4605" s="1">
        <v>46.3144754</v>
      </c>
      <c r="M4605" s="1">
        <v>11.0480288</v>
      </c>
    </row>
    <row r="4606">
      <c r="A4606" s="1" t="s">
        <v>22</v>
      </c>
      <c r="B4606" s="1" t="s">
        <v>447</v>
      </c>
      <c r="C4606" s="1" t="s">
        <v>2592</v>
      </c>
      <c r="D4606" s="1">
        <v>1.0</v>
      </c>
      <c r="E4606" s="1">
        <v>33.0</v>
      </c>
      <c r="F4606" s="1">
        <v>2.0</v>
      </c>
      <c r="G4606" s="1">
        <v>2.0</v>
      </c>
      <c r="H4606" s="1" t="s">
        <v>25</v>
      </c>
      <c r="I4606" s="1" t="s">
        <v>26</v>
      </c>
      <c r="J4606" s="1" t="s">
        <v>63</v>
      </c>
      <c r="K4606" s="1">
        <v>11500.0</v>
      </c>
      <c r="L4606" s="1">
        <v>56.92786905</v>
      </c>
      <c r="M4606" s="1">
        <v>24.0968170746478</v>
      </c>
    </row>
    <row r="4607">
      <c r="A4607" s="1" t="s">
        <v>13</v>
      </c>
      <c r="B4607" s="1" t="s">
        <v>23</v>
      </c>
      <c r="C4607" s="1" t="s">
        <v>2593</v>
      </c>
      <c r="D4607" s="1">
        <v>3.0</v>
      </c>
      <c r="E4607" s="1">
        <v>100.0</v>
      </c>
      <c r="F4607" s="1">
        <v>6.0</v>
      </c>
      <c r="G4607" s="1">
        <v>7.0</v>
      </c>
      <c r="H4607" s="1" t="s">
        <v>36</v>
      </c>
      <c r="I4607" s="1" t="s">
        <v>33</v>
      </c>
      <c r="J4607" s="1" t="s">
        <v>18</v>
      </c>
      <c r="K4607" s="1">
        <v>800.0</v>
      </c>
      <c r="L4607" s="1">
        <v>56.9585833999999</v>
      </c>
      <c r="M4607" s="1">
        <v>24.1142613097222</v>
      </c>
    </row>
    <row r="4608">
      <c r="A4608" s="1" t="s">
        <v>22</v>
      </c>
      <c r="B4608" s="1" t="s">
        <v>14</v>
      </c>
      <c r="C4608" s="1" t="s">
        <v>1235</v>
      </c>
      <c r="D4608" s="1">
        <v>2.0</v>
      </c>
      <c r="E4608" s="1">
        <v>60.0</v>
      </c>
      <c r="F4608" s="1">
        <v>1.0</v>
      </c>
      <c r="G4608" s="1">
        <v>2.0</v>
      </c>
      <c r="H4608" s="1" t="s">
        <v>181</v>
      </c>
      <c r="I4608" s="1" t="s">
        <v>33</v>
      </c>
      <c r="J4608" s="1" t="s">
        <v>18</v>
      </c>
      <c r="K4608" s="1">
        <v>39999.0</v>
      </c>
      <c r="L4608" s="1">
        <v>56.9653522</v>
      </c>
      <c r="M4608" s="1">
        <v>24.1647985</v>
      </c>
    </row>
    <row r="4609">
      <c r="A4609" s="1" t="s">
        <v>22</v>
      </c>
      <c r="B4609" s="1" t="s">
        <v>38</v>
      </c>
      <c r="C4609" s="1" t="s">
        <v>2428</v>
      </c>
      <c r="D4609" s="1">
        <v>2.0</v>
      </c>
      <c r="E4609" s="1">
        <v>50.0</v>
      </c>
      <c r="F4609" s="1">
        <v>9.0</v>
      </c>
      <c r="G4609" s="1">
        <v>9.0</v>
      </c>
      <c r="H4609" s="1">
        <v>602.0</v>
      </c>
      <c r="I4609" s="1" t="s">
        <v>21</v>
      </c>
      <c r="J4609" s="1" t="s">
        <v>18</v>
      </c>
      <c r="K4609" s="1">
        <v>42900.0</v>
      </c>
      <c r="L4609" s="1" t="s">
        <v>40</v>
      </c>
      <c r="M4609" s="1" t="s">
        <v>40</v>
      </c>
    </row>
    <row r="4610">
      <c r="A4610" s="1" t="s">
        <v>13</v>
      </c>
      <c r="B4610" s="1" t="s">
        <v>14</v>
      </c>
      <c r="C4610" s="1" t="s">
        <v>234</v>
      </c>
      <c r="D4610" s="1">
        <v>2.0</v>
      </c>
      <c r="E4610" s="1">
        <v>50.0</v>
      </c>
      <c r="F4610" s="1">
        <v>8.0</v>
      </c>
      <c r="G4610" s="1">
        <v>9.0</v>
      </c>
      <c r="H4610" s="1">
        <v>602.0</v>
      </c>
      <c r="I4610" s="1" t="s">
        <v>21</v>
      </c>
      <c r="J4610" s="1" t="s">
        <v>18</v>
      </c>
      <c r="K4610" s="1">
        <v>15.0</v>
      </c>
      <c r="L4610" s="1">
        <v>56.95855255</v>
      </c>
      <c r="M4610" s="1">
        <v>24.1753163275791</v>
      </c>
    </row>
    <row r="4611">
      <c r="A4611" s="1" t="s">
        <v>13</v>
      </c>
      <c r="B4611" s="1" t="s">
        <v>23</v>
      </c>
      <c r="C4611" s="1" t="s">
        <v>2594</v>
      </c>
      <c r="D4611" s="1">
        <v>2.0</v>
      </c>
      <c r="E4611" s="1">
        <v>45.0</v>
      </c>
      <c r="F4611" s="1">
        <v>1.0</v>
      </c>
      <c r="G4611" s="1">
        <v>1.0</v>
      </c>
      <c r="H4611" s="1" t="s">
        <v>32</v>
      </c>
      <c r="I4611" s="1" t="s">
        <v>33</v>
      </c>
      <c r="J4611" s="1" t="s">
        <v>18</v>
      </c>
      <c r="K4611" s="1">
        <v>400.0</v>
      </c>
      <c r="L4611" s="1">
        <v>56.97128995</v>
      </c>
      <c r="M4611" s="1">
        <v>24.1045102694359</v>
      </c>
    </row>
    <row r="4612">
      <c r="A4612" s="1" t="s">
        <v>13</v>
      </c>
      <c r="B4612" s="1" t="s">
        <v>174</v>
      </c>
      <c r="C4612" s="1" t="s">
        <v>1762</v>
      </c>
      <c r="D4612" s="1">
        <v>2.0</v>
      </c>
      <c r="E4612" s="1">
        <v>56.0</v>
      </c>
      <c r="F4612" s="1">
        <v>2.0</v>
      </c>
      <c r="G4612" s="1">
        <v>5.0</v>
      </c>
      <c r="H4612" s="1" t="s">
        <v>32</v>
      </c>
      <c r="I4612" s="1" t="s">
        <v>33</v>
      </c>
      <c r="J4612" s="1" t="s">
        <v>18</v>
      </c>
      <c r="K4612" s="1">
        <v>500.0</v>
      </c>
      <c r="L4612" s="1">
        <v>56.9485064</v>
      </c>
      <c r="M4612" s="1">
        <v>24.1696077537097</v>
      </c>
    </row>
    <row r="4613">
      <c r="A4613" s="1" t="s">
        <v>22</v>
      </c>
      <c r="B4613" s="1" t="s">
        <v>174</v>
      </c>
      <c r="C4613" s="1" t="s">
        <v>1762</v>
      </c>
      <c r="D4613" s="1">
        <v>3.0</v>
      </c>
      <c r="E4613" s="1">
        <v>82.0</v>
      </c>
      <c r="F4613" s="1">
        <v>4.0</v>
      </c>
      <c r="G4613" s="1">
        <v>5.0</v>
      </c>
      <c r="H4613" s="1" t="s">
        <v>32</v>
      </c>
      <c r="I4613" s="1" t="s">
        <v>33</v>
      </c>
      <c r="J4613" s="1" t="s">
        <v>18</v>
      </c>
      <c r="K4613" s="1">
        <v>98000.0</v>
      </c>
      <c r="L4613" s="1">
        <v>56.9485064</v>
      </c>
      <c r="M4613" s="1">
        <v>24.1696077537097</v>
      </c>
    </row>
    <row r="4614">
      <c r="A4614" s="1" t="s">
        <v>22</v>
      </c>
      <c r="B4614" s="1" t="s">
        <v>14</v>
      </c>
      <c r="C4614" s="1" t="s">
        <v>169</v>
      </c>
      <c r="D4614" s="1">
        <v>2.0</v>
      </c>
      <c r="E4614" s="1">
        <v>49.0</v>
      </c>
      <c r="F4614" s="1">
        <v>1.0</v>
      </c>
      <c r="G4614" s="1">
        <v>5.0</v>
      </c>
      <c r="H4614" s="1" t="s">
        <v>32</v>
      </c>
      <c r="I4614" s="1" t="s">
        <v>33</v>
      </c>
      <c r="J4614" s="1" t="s">
        <v>18</v>
      </c>
      <c r="K4614" s="1">
        <v>63000.0</v>
      </c>
      <c r="L4614" s="1">
        <v>56.9505884</v>
      </c>
      <c r="M4614" s="1">
        <v>24.1734239</v>
      </c>
    </row>
    <row r="4615">
      <c r="A4615" s="1" t="s">
        <v>13</v>
      </c>
      <c r="B4615" s="1" t="s">
        <v>151</v>
      </c>
      <c r="C4615" s="1" t="s">
        <v>2595</v>
      </c>
      <c r="D4615" s="1">
        <v>1.0</v>
      </c>
      <c r="E4615" s="1">
        <v>32.0</v>
      </c>
      <c r="F4615" s="1">
        <v>1.0</v>
      </c>
      <c r="G4615" s="1">
        <v>2.0</v>
      </c>
      <c r="H4615" s="1" t="s">
        <v>44</v>
      </c>
      <c r="I4615" s="1" t="s">
        <v>37</v>
      </c>
      <c r="J4615" s="1" t="s">
        <v>18</v>
      </c>
      <c r="K4615" s="1">
        <v>185.0</v>
      </c>
      <c r="L4615" s="1">
        <v>56.9644458</v>
      </c>
      <c r="M4615" s="1">
        <v>24.0640075</v>
      </c>
    </row>
    <row r="4616">
      <c r="A4616" s="1" t="s">
        <v>13</v>
      </c>
      <c r="B4616" s="1" t="s">
        <v>42</v>
      </c>
      <c r="C4616" s="1" t="s">
        <v>410</v>
      </c>
      <c r="D4616" s="1">
        <v>1.0</v>
      </c>
      <c r="E4616" s="1">
        <v>34.0</v>
      </c>
      <c r="F4616" s="1">
        <v>6.0</v>
      </c>
      <c r="G4616" s="1">
        <v>12.0</v>
      </c>
      <c r="H4616" s="1" t="s">
        <v>36</v>
      </c>
      <c r="I4616" s="1" t="s">
        <v>17</v>
      </c>
      <c r="J4616" s="1" t="s">
        <v>18</v>
      </c>
      <c r="K4616" s="1">
        <v>260.0</v>
      </c>
      <c r="L4616" s="1">
        <v>56.987477</v>
      </c>
      <c r="M4616" s="1">
        <v>24.2280819</v>
      </c>
    </row>
    <row r="4617">
      <c r="A4617" s="1" t="s">
        <v>22</v>
      </c>
      <c r="B4617" s="1" t="s">
        <v>14</v>
      </c>
      <c r="C4617" s="1" t="s">
        <v>2596</v>
      </c>
      <c r="D4617" s="1">
        <v>4.0</v>
      </c>
      <c r="E4617" s="1">
        <v>77.0</v>
      </c>
      <c r="F4617" s="1">
        <v>4.0</v>
      </c>
      <c r="G4617" s="1">
        <v>9.0</v>
      </c>
      <c r="H4617" s="1">
        <v>602.0</v>
      </c>
      <c r="I4617" s="1" t="s">
        <v>21</v>
      </c>
      <c r="J4617" s="1" t="s">
        <v>18</v>
      </c>
      <c r="K4617" s="1">
        <v>70000.0</v>
      </c>
      <c r="L4617" s="1">
        <v>56.96045345</v>
      </c>
      <c r="M4617" s="1">
        <v>24.1867067968535</v>
      </c>
    </row>
    <row r="4618">
      <c r="A4618" s="1" t="s">
        <v>13</v>
      </c>
      <c r="B4618" s="1" t="s">
        <v>23</v>
      </c>
      <c r="C4618" s="1" t="s">
        <v>829</v>
      </c>
      <c r="D4618" s="1">
        <v>1.0</v>
      </c>
      <c r="E4618" s="1">
        <v>25.0</v>
      </c>
      <c r="F4618" s="1">
        <v>9.0</v>
      </c>
      <c r="G4618" s="1">
        <v>9.0</v>
      </c>
      <c r="H4618" s="1" t="s">
        <v>66</v>
      </c>
      <c r="I4618" s="1" t="s">
        <v>33</v>
      </c>
      <c r="J4618" s="1" t="s">
        <v>18</v>
      </c>
      <c r="K4618" s="1">
        <v>25.0</v>
      </c>
      <c r="L4618" s="1">
        <v>56.9762119</v>
      </c>
      <c r="M4618" s="1">
        <v>24.1462619497695</v>
      </c>
    </row>
    <row r="4619">
      <c r="A4619" s="1" t="s">
        <v>22</v>
      </c>
      <c r="B4619" s="1" t="s">
        <v>74</v>
      </c>
      <c r="C4619" s="1" t="s">
        <v>2597</v>
      </c>
      <c r="D4619" s="1">
        <v>2.0</v>
      </c>
      <c r="E4619" s="1">
        <v>52.0</v>
      </c>
      <c r="F4619" s="1">
        <v>6.0</v>
      </c>
      <c r="G4619" s="1">
        <v>9.0</v>
      </c>
      <c r="H4619" s="1">
        <v>602.0</v>
      </c>
      <c r="I4619" s="1" t="s">
        <v>21</v>
      </c>
      <c r="J4619" s="1" t="s">
        <v>18</v>
      </c>
      <c r="K4619" s="1">
        <v>65000.0</v>
      </c>
      <c r="L4619" s="1">
        <v>56.94302545</v>
      </c>
      <c r="M4619" s="1">
        <v>24.2203601499999</v>
      </c>
    </row>
    <row r="4620">
      <c r="A4620" s="1" t="s">
        <v>13</v>
      </c>
      <c r="B4620" s="1" t="s">
        <v>104</v>
      </c>
      <c r="C4620" s="1" t="s">
        <v>352</v>
      </c>
      <c r="D4620" s="1">
        <v>2.0</v>
      </c>
      <c r="E4620" s="1">
        <v>44.0</v>
      </c>
      <c r="F4620" s="1">
        <v>3.0</v>
      </c>
      <c r="G4620" s="1">
        <v>6.0</v>
      </c>
      <c r="H4620" s="1" t="s">
        <v>32</v>
      </c>
      <c r="I4620" s="1" t="s">
        <v>33</v>
      </c>
      <c r="J4620" s="1" t="s">
        <v>18</v>
      </c>
      <c r="K4620" s="1">
        <v>630.0</v>
      </c>
      <c r="L4620" s="1">
        <v>56.9374039</v>
      </c>
      <c r="M4620" s="1">
        <v>24.101176263114</v>
      </c>
    </row>
    <row r="4621">
      <c r="A4621" s="1" t="s">
        <v>13</v>
      </c>
      <c r="B4621" s="1" t="s">
        <v>23</v>
      </c>
      <c r="C4621" s="1" t="s">
        <v>2598</v>
      </c>
      <c r="D4621" s="1">
        <v>2.0</v>
      </c>
      <c r="E4621" s="1">
        <v>48.0</v>
      </c>
      <c r="F4621" s="1">
        <v>4.0</v>
      </c>
      <c r="G4621" s="1">
        <v>5.0</v>
      </c>
      <c r="H4621" s="1">
        <v>103.0</v>
      </c>
      <c r="I4621" s="1" t="s">
        <v>122</v>
      </c>
      <c r="J4621" s="1" t="s">
        <v>18</v>
      </c>
      <c r="K4621" s="1">
        <v>330.0</v>
      </c>
      <c r="L4621" s="1">
        <v>56.96734075</v>
      </c>
      <c r="M4621" s="1">
        <v>24.1475530596217</v>
      </c>
    </row>
    <row r="4622">
      <c r="A4622" s="1" t="s">
        <v>22</v>
      </c>
      <c r="B4622" s="1" t="s">
        <v>19</v>
      </c>
      <c r="C4622" s="1" t="s">
        <v>2599</v>
      </c>
      <c r="D4622" s="1">
        <v>5.0</v>
      </c>
      <c r="E4622" s="1">
        <v>94.0</v>
      </c>
      <c r="F4622" s="1">
        <v>1.0</v>
      </c>
      <c r="G4622" s="1">
        <v>9.0</v>
      </c>
      <c r="H4622" s="1">
        <v>602.0</v>
      </c>
      <c r="I4622" s="1" t="s">
        <v>122</v>
      </c>
      <c r="J4622" s="1" t="s">
        <v>18</v>
      </c>
      <c r="K4622" s="1">
        <v>75500.0</v>
      </c>
      <c r="L4622" s="1">
        <v>56.9002148</v>
      </c>
      <c r="M4622" s="1">
        <v>24.10019355</v>
      </c>
    </row>
    <row r="4623">
      <c r="A4623" s="1" t="s">
        <v>22</v>
      </c>
      <c r="B4623" s="1" t="s">
        <v>38</v>
      </c>
      <c r="C4623" s="1" t="s">
        <v>145</v>
      </c>
      <c r="D4623" s="1">
        <v>2.0</v>
      </c>
      <c r="E4623" s="1">
        <v>106.0</v>
      </c>
      <c r="F4623" s="1">
        <v>1.0</v>
      </c>
      <c r="G4623" s="1">
        <v>17.0</v>
      </c>
      <c r="H4623" s="1" t="s">
        <v>32</v>
      </c>
      <c r="I4623" s="1" t="s">
        <v>33</v>
      </c>
      <c r="J4623" s="1" t="s">
        <v>18</v>
      </c>
      <c r="K4623" s="1">
        <v>84000.0</v>
      </c>
      <c r="L4623" s="1">
        <v>56.96112105</v>
      </c>
      <c r="M4623" s="1">
        <v>24.01821679525</v>
      </c>
    </row>
    <row r="4624">
      <c r="A4624" s="1" t="s">
        <v>13</v>
      </c>
      <c r="B4624" s="1" t="s">
        <v>67</v>
      </c>
      <c r="C4624" s="1" t="s">
        <v>2600</v>
      </c>
      <c r="D4624" s="1">
        <v>2.0</v>
      </c>
      <c r="E4624" s="1">
        <v>38.0</v>
      </c>
      <c r="F4624" s="1">
        <v>4.0</v>
      </c>
      <c r="G4624" s="1">
        <v>4.0</v>
      </c>
      <c r="H4624" s="1" t="s">
        <v>25</v>
      </c>
      <c r="I4624" s="1" t="s">
        <v>33</v>
      </c>
      <c r="J4624" s="1" t="s">
        <v>18</v>
      </c>
      <c r="K4624" s="1">
        <v>320.0</v>
      </c>
      <c r="L4624" s="1">
        <v>56.9562845</v>
      </c>
      <c r="M4624" s="1">
        <v>24.1492506</v>
      </c>
    </row>
    <row r="4625">
      <c r="A4625" s="1" t="s">
        <v>22</v>
      </c>
      <c r="B4625" s="1" t="s">
        <v>23</v>
      </c>
      <c r="C4625" s="1" t="s">
        <v>1593</v>
      </c>
      <c r="D4625" s="1">
        <v>3.0</v>
      </c>
      <c r="E4625" s="1">
        <v>75.0</v>
      </c>
      <c r="F4625" s="1">
        <v>4.0</v>
      </c>
      <c r="G4625" s="1">
        <v>5.0</v>
      </c>
      <c r="H4625" s="1" t="s">
        <v>66</v>
      </c>
      <c r="I4625" s="1" t="s">
        <v>37</v>
      </c>
      <c r="J4625" s="1" t="s">
        <v>18</v>
      </c>
      <c r="K4625" s="1">
        <v>169900.0</v>
      </c>
      <c r="L4625" s="1" t="s">
        <v>40</v>
      </c>
      <c r="M4625" s="1" t="s">
        <v>40</v>
      </c>
    </row>
    <row r="4626">
      <c r="A4626" s="1" t="s">
        <v>13</v>
      </c>
      <c r="B4626" s="1" t="s">
        <v>23</v>
      </c>
      <c r="C4626" s="1" t="s">
        <v>2601</v>
      </c>
      <c r="D4626" s="1">
        <v>2.0</v>
      </c>
      <c r="E4626" s="1">
        <v>55.0</v>
      </c>
      <c r="F4626" s="1">
        <v>2.0</v>
      </c>
      <c r="G4626" s="1">
        <v>4.0</v>
      </c>
      <c r="H4626" s="1" t="s">
        <v>25</v>
      </c>
      <c r="I4626" s="1" t="s">
        <v>33</v>
      </c>
      <c r="J4626" s="1" t="s">
        <v>18</v>
      </c>
      <c r="K4626" s="1">
        <v>450.0</v>
      </c>
      <c r="L4626" s="1">
        <v>56.95316655</v>
      </c>
      <c r="M4626" s="1">
        <v>24.1379833357157</v>
      </c>
    </row>
    <row r="4627">
      <c r="A4627" s="1" t="s">
        <v>22</v>
      </c>
      <c r="B4627" s="1" t="s">
        <v>50</v>
      </c>
      <c r="C4627" s="1" t="s">
        <v>2602</v>
      </c>
      <c r="D4627" s="1">
        <v>1.0</v>
      </c>
      <c r="E4627" s="1">
        <v>30.0</v>
      </c>
      <c r="F4627" s="1">
        <v>2.0</v>
      </c>
      <c r="G4627" s="1">
        <v>1.0</v>
      </c>
      <c r="H4627" s="1" t="s">
        <v>171</v>
      </c>
      <c r="I4627" s="1" t="s">
        <v>26</v>
      </c>
      <c r="J4627" s="1" t="s">
        <v>18</v>
      </c>
      <c r="K4627" s="1">
        <v>22000.0</v>
      </c>
      <c r="L4627" s="1">
        <v>56.9387007</v>
      </c>
      <c r="M4627" s="1">
        <v>24.1445625638564</v>
      </c>
    </row>
    <row r="4628">
      <c r="A4628" s="1" t="s">
        <v>13</v>
      </c>
      <c r="B4628" s="1" t="s">
        <v>28</v>
      </c>
      <c r="C4628" s="1" t="s">
        <v>1961</v>
      </c>
      <c r="D4628" s="1">
        <v>1.0</v>
      </c>
      <c r="E4628" s="1">
        <v>12.0</v>
      </c>
      <c r="F4628" s="1">
        <v>3.0</v>
      </c>
      <c r="G4628" s="1">
        <v>3.0</v>
      </c>
      <c r="H4628" s="1" t="s">
        <v>57</v>
      </c>
      <c r="I4628" s="1" t="s">
        <v>37</v>
      </c>
      <c r="J4628" s="1" t="s">
        <v>18</v>
      </c>
      <c r="K4628" s="1">
        <v>140.0</v>
      </c>
      <c r="L4628" s="1">
        <v>56.91229505</v>
      </c>
      <c r="M4628" s="1">
        <v>24.2059117623488</v>
      </c>
    </row>
    <row r="4629">
      <c r="A4629" s="1" t="s">
        <v>22</v>
      </c>
      <c r="B4629" s="1" t="s">
        <v>28</v>
      </c>
      <c r="C4629" s="1" t="s">
        <v>2603</v>
      </c>
      <c r="D4629" s="1">
        <v>3.0</v>
      </c>
      <c r="E4629" s="1">
        <v>59.0</v>
      </c>
      <c r="F4629" s="1">
        <v>5.0</v>
      </c>
      <c r="G4629" s="1">
        <v>5.0</v>
      </c>
      <c r="H4629" s="1" t="s">
        <v>16</v>
      </c>
      <c r="I4629" s="1" t="s">
        <v>21</v>
      </c>
      <c r="J4629" s="1" t="s">
        <v>18</v>
      </c>
      <c r="K4629" s="1">
        <v>53500.0</v>
      </c>
      <c r="L4629" s="1">
        <v>56.9030711</v>
      </c>
      <c r="M4629" s="1">
        <v>24.2132849</v>
      </c>
    </row>
    <row r="4630">
      <c r="A4630" s="1" t="s">
        <v>13</v>
      </c>
      <c r="B4630" s="1" t="s">
        <v>14</v>
      </c>
      <c r="C4630" s="1" t="s">
        <v>2604</v>
      </c>
      <c r="D4630" s="1">
        <v>1.0</v>
      </c>
      <c r="E4630" s="1">
        <v>31.0</v>
      </c>
      <c r="F4630" s="1">
        <v>1.0</v>
      </c>
      <c r="G4630" s="1">
        <v>3.0</v>
      </c>
      <c r="H4630" s="1" t="s">
        <v>44</v>
      </c>
      <c r="I4630" s="1" t="s">
        <v>17</v>
      </c>
      <c r="J4630" s="1" t="s">
        <v>18</v>
      </c>
      <c r="K4630" s="1">
        <v>300.0</v>
      </c>
      <c r="L4630" s="1">
        <v>56.9657676</v>
      </c>
      <c r="M4630" s="1">
        <v>24.1679925570712</v>
      </c>
    </row>
    <row r="4631">
      <c r="A4631" s="1" t="s">
        <v>22</v>
      </c>
      <c r="B4631" s="1" t="s">
        <v>28</v>
      </c>
      <c r="C4631" s="1" t="s">
        <v>2605</v>
      </c>
      <c r="D4631" s="1">
        <v>2.0</v>
      </c>
      <c r="E4631" s="1">
        <v>50.0</v>
      </c>
      <c r="F4631" s="1">
        <v>5.0</v>
      </c>
      <c r="G4631" s="1">
        <v>5.0</v>
      </c>
      <c r="H4631" s="1" t="s">
        <v>16</v>
      </c>
      <c r="I4631" s="1" t="s">
        <v>21</v>
      </c>
      <c r="J4631" s="1" t="s">
        <v>18</v>
      </c>
      <c r="K4631" s="1">
        <v>39500.0</v>
      </c>
      <c r="L4631" s="1">
        <v>56.9030242</v>
      </c>
      <c r="M4631" s="1">
        <v>24.21168915</v>
      </c>
    </row>
    <row r="4632">
      <c r="A4632" s="1" t="s">
        <v>22</v>
      </c>
      <c r="B4632" s="1" t="s">
        <v>96</v>
      </c>
      <c r="C4632" s="1" t="s">
        <v>2606</v>
      </c>
      <c r="D4632" s="1">
        <v>3.0</v>
      </c>
      <c r="E4632" s="1">
        <v>67.0</v>
      </c>
      <c r="F4632" s="1">
        <v>4.0</v>
      </c>
      <c r="G4632" s="1">
        <v>5.0</v>
      </c>
      <c r="H4632" s="1" t="s">
        <v>16</v>
      </c>
      <c r="I4632" s="1" t="s">
        <v>21</v>
      </c>
      <c r="J4632" s="1" t="s">
        <v>18</v>
      </c>
      <c r="K4632" s="1">
        <v>54500.0</v>
      </c>
      <c r="L4632" s="1">
        <v>57.0316748</v>
      </c>
      <c r="M4632" s="1">
        <v>24.1063938</v>
      </c>
    </row>
    <row r="4633">
      <c r="A4633" s="1" t="s">
        <v>22</v>
      </c>
      <c r="B4633" s="1" t="s">
        <v>23</v>
      </c>
      <c r="C4633" s="1" t="s">
        <v>178</v>
      </c>
      <c r="D4633" s="1">
        <v>3.0</v>
      </c>
      <c r="E4633" s="1">
        <v>110.0</v>
      </c>
      <c r="F4633" s="1">
        <v>1.0</v>
      </c>
      <c r="G4633" s="1">
        <v>2.0</v>
      </c>
      <c r="H4633" s="1" t="s">
        <v>32</v>
      </c>
      <c r="I4633" s="1" t="s">
        <v>33</v>
      </c>
      <c r="J4633" s="1" t="s">
        <v>18</v>
      </c>
      <c r="K4633" s="1">
        <v>190000.0</v>
      </c>
      <c r="L4633" s="1">
        <v>56.956763</v>
      </c>
      <c r="M4633" s="1">
        <v>24.0954531</v>
      </c>
    </row>
    <row r="4634">
      <c r="A4634" s="1" t="s">
        <v>13</v>
      </c>
      <c r="B4634" s="1" t="s">
        <v>14</v>
      </c>
      <c r="C4634" s="1" t="s">
        <v>1856</v>
      </c>
      <c r="D4634" s="1">
        <v>1.0</v>
      </c>
      <c r="E4634" s="1">
        <v>20.0</v>
      </c>
      <c r="F4634" s="1">
        <v>3.0</v>
      </c>
      <c r="G4634" s="1">
        <v>5.0</v>
      </c>
      <c r="H4634" s="1" t="s">
        <v>32</v>
      </c>
      <c r="I4634" s="1" t="s">
        <v>21</v>
      </c>
      <c r="J4634" s="1" t="s">
        <v>18</v>
      </c>
      <c r="K4634" s="1">
        <v>250.0</v>
      </c>
      <c r="L4634" s="1">
        <v>56.9697688</v>
      </c>
      <c r="M4634" s="1">
        <v>24.1782343</v>
      </c>
    </row>
    <row r="4635">
      <c r="A4635" s="1" t="s">
        <v>13</v>
      </c>
      <c r="B4635" s="1" t="s">
        <v>30</v>
      </c>
      <c r="C4635" s="1" t="s">
        <v>2607</v>
      </c>
      <c r="D4635" s="1">
        <v>2.0</v>
      </c>
      <c r="E4635" s="1">
        <v>41.0</v>
      </c>
      <c r="F4635" s="1">
        <v>1.0</v>
      </c>
      <c r="G4635" s="1">
        <v>1.0</v>
      </c>
      <c r="H4635" s="1" t="s">
        <v>44</v>
      </c>
      <c r="I4635" s="1" t="s">
        <v>37</v>
      </c>
      <c r="J4635" s="1" t="s">
        <v>18</v>
      </c>
      <c r="K4635" s="1">
        <v>270.0</v>
      </c>
      <c r="L4635" s="1">
        <v>56.9658644</v>
      </c>
      <c r="M4635" s="1">
        <v>24.1891568218377</v>
      </c>
    </row>
    <row r="4636">
      <c r="A4636" s="1" t="s">
        <v>13</v>
      </c>
      <c r="B4636" s="1" t="s">
        <v>23</v>
      </c>
      <c r="C4636" s="1" t="s">
        <v>1136</v>
      </c>
      <c r="D4636" s="1">
        <v>1.0</v>
      </c>
      <c r="E4636" s="1">
        <v>40.0</v>
      </c>
      <c r="F4636" s="1">
        <v>3.0</v>
      </c>
      <c r="G4636" s="1">
        <v>7.0</v>
      </c>
      <c r="H4636" s="1" t="s">
        <v>66</v>
      </c>
      <c r="I4636" s="1" t="s">
        <v>33</v>
      </c>
      <c r="J4636" s="1" t="s">
        <v>18</v>
      </c>
      <c r="K4636" s="1">
        <v>30.0</v>
      </c>
      <c r="L4636" s="1">
        <v>56.9412328</v>
      </c>
      <c r="M4636" s="1">
        <v>24.1350589</v>
      </c>
    </row>
    <row r="4637">
      <c r="A4637" s="1" t="s">
        <v>13</v>
      </c>
      <c r="B4637" s="1" t="s">
        <v>174</v>
      </c>
      <c r="C4637" s="1" t="s">
        <v>2608</v>
      </c>
      <c r="D4637" s="1">
        <v>1.0</v>
      </c>
      <c r="E4637" s="1">
        <v>44.0</v>
      </c>
      <c r="F4637" s="1">
        <v>3.0</v>
      </c>
      <c r="G4637" s="1">
        <v>5.0</v>
      </c>
      <c r="H4637" s="1" t="s">
        <v>36</v>
      </c>
      <c r="I4637" s="1" t="s">
        <v>17</v>
      </c>
      <c r="J4637" s="1" t="s">
        <v>18</v>
      </c>
      <c r="K4637" s="1">
        <v>240.0</v>
      </c>
      <c r="L4637" s="1">
        <v>56.93828915</v>
      </c>
      <c r="M4637" s="1">
        <v>24.1865812735428</v>
      </c>
    </row>
    <row r="4638">
      <c r="A4638" s="1" t="s">
        <v>13</v>
      </c>
      <c r="B4638" s="1" t="s">
        <v>19</v>
      </c>
      <c r="C4638" s="1" t="s">
        <v>2609</v>
      </c>
      <c r="D4638" s="1">
        <v>2.0</v>
      </c>
      <c r="E4638" s="1">
        <v>57.0</v>
      </c>
      <c r="F4638" s="1">
        <v>2.0</v>
      </c>
      <c r="G4638" s="1">
        <v>2.0</v>
      </c>
      <c r="H4638" s="1" t="s">
        <v>32</v>
      </c>
      <c r="I4638" s="1" t="s">
        <v>33</v>
      </c>
      <c r="J4638" s="1" t="s">
        <v>18</v>
      </c>
      <c r="K4638" s="1">
        <v>460.0</v>
      </c>
      <c r="L4638" s="1">
        <v>56.9086294</v>
      </c>
      <c r="M4638" s="1">
        <v>24.092246</v>
      </c>
    </row>
    <row r="4639">
      <c r="A4639" s="1" t="s">
        <v>22</v>
      </c>
      <c r="B4639" s="1" t="s">
        <v>23</v>
      </c>
      <c r="C4639" s="1" t="s">
        <v>2610</v>
      </c>
      <c r="D4639" s="1">
        <v>3.0</v>
      </c>
      <c r="E4639" s="1">
        <v>62.0</v>
      </c>
      <c r="F4639" s="1">
        <v>2.0</v>
      </c>
      <c r="G4639" s="1">
        <v>5.0</v>
      </c>
      <c r="H4639" s="1" t="s">
        <v>25</v>
      </c>
      <c r="I4639" s="1" t="s">
        <v>33</v>
      </c>
      <c r="J4639" s="1" t="s">
        <v>18</v>
      </c>
      <c r="K4639" s="1">
        <v>78000.0</v>
      </c>
      <c r="L4639" s="1">
        <v>56.9608671999999</v>
      </c>
      <c r="M4639" s="1">
        <v>24.1380511173844</v>
      </c>
    </row>
    <row r="4640">
      <c r="A4640" s="1" t="s">
        <v>131</v>
      </c>
      <c r="B4640" s="2"/>
      <c r="C4640" s="2"/>
      <c r="D4640" s="1">
        <v>2.0</v>
      </c>
      <c r="E4640" s="2"/>
      <c r="F4640" s="2"/>
      <c r="G4640" s="2"/>
      <c r="H4640" s="2"/>
      <c r="I4640" s="2"/>
      <c r="J4640" s="1" t="s">
        <v>18</v>
      </c>
      <c r="K4640" s="2"/>
      <c r="L4640" s="1">
        <v>46.3144754</v>
      </c>
      <c r="M4640" s="1">
        <v>11.0480288</v>
      </c>
    </row>
    <row r="4641">
      <c r="A4641" s="1" t="s">
        <v>13</v>
      </c>
      <c r="B4641" s="1" t="s">
        <v>23</v>
      </c>
      <c r="C4641" s="1" t="s">
        <v>64</v>
      </c>
      <c r="D4641" s="1">
        <v>2.0</v>
      </c>
      <c r="E4641" s="1">
        <v>45.0</v>
      </c>
      <c r="F4641" s="1">
        <v>4.0</v>
      </c>
      <c r="G4641" s="1">
        <v>6.0</v>
      </c>
      <c r="H4641" s="1" t="s">
        <v>25</v>
      </c>
      <c r="I4641" s="1" t="s">
        <v>33</v>
      </c>
      <c r="J4641" s="1" t="s">
        <v>18</v>
      </c>
      <c r="K4641" s="1">
        <v>395.0</v>
      </c>
      <c r="L4641" s="1">
        <v>56.9521436</v>
      </c>
      <c r="M4641" s="1">
        <v>24.1276865</v>
      </c>
    </row>
    <row r="4642">
      <c r="A4642" s="1" t="s">
        <v>89</v>
      </c>
      <c r="B4642" s="1" t="s">
        <v>28</v>
      </c>
      <c r="C4642" s="2"/>
      <c r="D4642" s="2"/>
      <c r="E4642" s="2"/>
      <c r="F4642" s="2"/>
      <c r="G4642" s="2"/>
      <c r="H4642" s="2"/>
      <c r="I4642" s="2"/>
      <c r="J4642" s="2"/>
      <c r="K4642" s="2"/>
      <c r="L4642" s="1">
        <v>46.3144754</v>
      </c>
      <c r="M4642" s="1">
        <v>11.0480288</v>
      </c>
    </row>
    <row r="4643">
      <c r="A4643" s="1" t="s">
        <v>22</v>
      </c>
      <c r="B4643" s="1" t="s">
        <v>23</v>
      </c>
      <c r="C4643" s="1" t="s">
        <v>2611</v>
      </c>
      <c r="D4643" s="1">
        <v>2.0</v>
      </c>
      <c r="E4643" s="1">
        <v>44.0</v>
      </c>
      <c r="F4643" s="1">
        <v>3.0</v>
      </c>
      <c r="G4643" s="1">
        <v>3.0</v>
      </c>
      <c r="H4643" s="1" t="s">
        <v>25</v>
      </c>
      <c r="I4643" s="1" t="s">
        <v>26</v>
      </c>
      <c r="J4643" s="1" t="s">
        <v>18</v>
      </c>
      <c r="K4643" s="1">
        <v>32000.0</v>
      </c>
      <c r="L4643" s="1">
        <v>56.9506479</v>
      </c>
      <c r="M4643" s="1">
        <v>24.129611423879</v>
      </c>
    </row>
    <row r="4644">
      <c r="A4644" s="1" t="s">
        <v>13</v>
      </c>
      <c r="B4644" s="1" t="s">
        <v>23</v>
      </c>
      <c r="C4644" s="1" t="s">
        <v>2612</v>
      </c>
      <c r="D4644" s="1">
        <v>3.0</v>
      </c>
      <c r="E4644" s="1">
        <v>57.0</v>
      </c>
      <c r="F4644" s="1">
        <v>4.0</v>
      </c>
      <c r="G4644" s="1">
        <v>4.0</v>
      </c>
      <c r="H4644" s="1" t="s">
        <v>25</v>
      </c>
      <c r="I4644" s="1" t="s">
        <v>37</v>
      </c>
      <c r="J4644" s="1" t="s">
        <v>18</v>
      </c>
      <c r="K4644" s="1">
        <v>800.0</v>
      </c>
      <c r="L4644" s="1">
        <v>56.9642738</v>
      </c>
      <c r="M4644" s="1">
        <v>24.1397223</v>
      </c>
    </row>
    <row r="4645">
      <c r="A4645" s="1" t="s">
        <v>22</v>
      </c>
      <c r="B4645" s="1" t="s">
        <v>134</v>
      </c>
      <c r="C4645" s="1" t="s">
        <v>2613</v>
      </c>
      <c r="D4645" s="1">
        <v>2.0</v>
      </c>
      <c r="E4645" s="1">
        <v>60.0</v>
      </c>
      <c r="F4645" s="1">
        <v>2.0</v>
      </c>
      <c r="G4645" s="1">
        <v>2.0</v>
      </c>
      <c r="H4645" s="1" t="s">
        <v>36</v>
      </c>
      <c r="I4645" s="1" t="s">
        <v>26</v>
      </c>
      <c r="J4645" s="1" t="s">
        <v>27</v>
      </c>
      <c r="K4645" s="1">
        <v>16790.0</v>
      </c>
      <c r="L4645" s="1">
        <v>57.0359823</v>
      </c>
      <c r="M4645" s="1">
        <v>24.0262401</v>
      </c>
    </row>
    <row r="4646">
      <c r="A4646" s="1" t="s">
        <v>22</v>
      </c>
      <c r="B4646" s="1" t="s">
        <v>23</v>
      </c>
      <c r="C4646" s="1" t="s">
        <v>659</v>
      </c>
      <c r="D4646" s="1">
        <v>2.0</v>
      </c>
      <c r="E4646" s="1">
        <v>43.0</v>
      </c>
      <c r="F4646" s="1">
        <v>2.0</v>
      </c>
      <c r="G4646" s="1">
        <v>2.0</v>
      </c>
      <c r="H4646" s="1" t="s">
        <v>25</v>
      </c>
      <c r="I4646" s="1" t="s">
        <v>26</v>
      </c>
      <c r="J4646" s="1" t="s">
        <v>27</v>
      </c>
      <c r="K4646" s="1">
        <v>14390.0</v>
      </c>
      <c r="L4646" s="1">
        <v>56.95092055</v>
      </c>
      <c r="M4646" s="1">
        <v>24.1461248193206</v>
      </c>
    </row>
    <row r="4647">
      <c r="A4647" s="1" t="s">
        <v>13</v>
      </c>
      <c r="B4647" s="1" t="s">
        <v>14</v>
      </c>
      <c r="C4647" s="1" t="s">
        <v>150</v>
      </c>
      <c r="D4647" s="1">
        <v>1.0</v>
      </c>
      <c r="E4647" s="1">
        <v>27.0</v>
      </c>
      <c r="F4647" s="1">
        <v>1.0</v>
      </c>
      <c r="G4647" s="1">
        <v>5.0</v>
      </c>
      <c r="H4647" s="1" t="s">
        <v>16</v>
      </c>
      <c r="I4647" s="1" t="s">
        <v>21</v>
      </c>
      <c r="J4647" s="1" t="s">
        <v>18</v>
      </c>
      <c r="K4647" s="1">
        <v>280.0</v>
      </c>
      <c r="L4647" s="1">
        <v>56.9518384</v>
      </c>
      <c r="M4647" s="1">
        <v>24.1999196</v>
      </c>
    </row>
    <row r="4648">
      <c r="A4648" s="1" t="s">
        <v>22</v>
      </c>
      <c r="B4648" s="1" t="s">
        <v>19</v>
      </c>
      <c r="C4648" s="1" t="s">
        <v>1934</v>
      </c>
      <c r="D4648" s="1">
        <v>1.0</v>
      </c>
      <c r="E4648" s="1">
        <v>26.0</v>
      </c>
      <c r="F4648" s="1">
        <v>2.0</v>
      </c>
      <c r="G4648" s="1">
        <v>3.0</v>
      </c>
      <c r="H4648" s="1" t="s">
        <v>25</v>
      </c>
      <c r="I4648" s="1" t="s">
        <v>33</v>
      </c>
      <c r="J4648" s="1" t="s">
        <v>27</v>
      </c>
      <c r="K4648" s="1">
        <v>8580.0</v>
      </c>
      <c r="L4648" s="1">
        <v>56.9141787</v>
      </c>
      <c r="M4648" s="1">
        <v>24.1217522</v>
      </c>
    </row>
    <row r="4649">
      <c r="A4649" s="1" t="s">
        <v>22</v>
      </c>
      <c r="B4649" s="1" t="s">
        <v>28</v>
      </c>
      <c r="C4649" s="1" t="s">
        <v>80</v>
      </c>
      <c r="D4649" s="1">
        <v>1.0</v>
      </c>
      <c r="E4649" s="1">
        <v>30.0</v>
      </c>
      <c r="F4649" s="1">
        <v>2.0</v>
      </c>
      <c r="G4649" s="1">
        <v>5.0</v>
      </c>
      <c r="H4649" s="1" t="s">
        <v>44</v>
      </c>
      <c r="I4649" s="1" t="s">
        <v>17</v>
      </c>
      <c r="J4649" s="1" t="s">
        <v>18</v>
      </c>
      <c r="K4649" s="1">
        <v>35000.0</v>
      </c>
      <c r="L4649" s="1">
        <v>56.90348845</v>
      </c>
      <c r="M4649" s="1">
        <v>24.20369795</v>
      </c>
    </row>
    <row r="4650">
      <c r="A4650" s="1" t="s">
        <v>22</v>
      </c>
      <c r="B4650" s="1" t="s">
        <v>28</v>
      </c>
      <c r="C4650" s="1" t="s">
        <v>332</v>
      </c>
      <c r="D4650" s="1">
        <v>4.0</v>
      </c>
      <c r="E4650" s="1">
        <v>78.0</v>
      </c>
      <c r="F4650" s="1">
        <v>5.0</v>
      </c>
      <c r="G4650" s="1">
        <v>9.0</v>
      </c>
      <c r="H4650" s="1">
        <v>467.0</v>
      </c>
      <c r="I4650" s="1" t="s">
        <v>21</v>
      </c>
      <c r="J4650" s="1" t="s">
        <v>18</v>
      </c>
      <c r="K4650" s="1">
        <v>63000.0</v>
      </c>
      <c r="L4650" s="1">
        <v>56.9307254</v>
      </c>
      <c r="M4650" s="1">
        <v>24.181101</v>
      </c>
    </row>
    <row r="4651">
      <c r="A4651" s="1" t="s">
        <v>22</v>
      </c>
      <c r="B4651" s="1" t="s">
        <v>104</v>
      </c>
      <c r="C4651" s="1" t="s">
        <v>2614</v>
      </c>
      <c r="D4651" s="1">
        <v>1.0</v>
      </c>
      <c r="E4651" s="1">
        <v>25.0</v>
      </c>
      <c r="F4651" s="1">
        <v>1.0</v>
      </c>
      <c r="G4651" s="1">
        <v>2.0</v>
      </c>
      <c r="H4651" s="1" t="s">
        <v>25</v>
      </c>
      <c r="I4651" s="1" t="s">
        <v>37</v>
      </c>
      <c r="J4651" s="1" t="s">
        <v>27</v>
      </c>
      <c r="K4651" s="1">
        <v>10980.0</v>
      </c>
      <c r="L4651" s="1">
        <v>56.9434397</v>
      </c>
      <c r="M4651" s="1">
        <v>24.0524036</v>
      </c>
    </row>
    <row r="4652">
      <c r="A4652" s="1" t="s">
        <v>131</v>
      </c>
      <c r="B4652" s="1" t="s">
        <v>19</v>
      </c>
      <c r="C4652" s="2"/>
      <c r="D4652" s="1">
        <v>4.0</v>
      </c>
      <c r="E4652" s="2"/>
      <c r="F4652" s="2"/>
      <c r="G4652" s="2"/>
      <c r="H4652" s="2"/>
      <c r="I4652" s="2"/>
      <c r="J4652" s="2"/>
      <c r="K4652" s="2"/>
      <c r="L4652" s="1">
        <v>46.3144754</v>
      </c>
      <c r="M4652" s="1">
        <v>11.0480288</v>
      </c>
    </row>
    <row r="4653">
      <c r="A4653" s="1" t="s">
        <v>22</v>
      </c>
      <c r="B4653" s="1" t="s">
        <v>76</v>
      </c>
      <c r="C4653" s="1" t="s">
        <v>2615</v>
      </c>
      <c r="D4653" s="1">
        <v>3.0</v>
      </c>
      <c r="E4653" s="1">
        <v>60.0</v>
      </c>
      <c r="F4653" s="1">
        <v>4.0</v>
      </c>
      <c r="G4653" s="1">
        <v>5.0</v>
      </c>
      <c r="H4653" s="1" t="s">
        <v>16</v>
      </c>
      <c r="I4653" s="1" t="s">
        <v>21</v>
      </c>
      <c r="J4653" s="1" t="s">
        <v>18</v>
      </c>
      <c r="K4653" s="1">
        <v>45000.0</v>
      </c>
      <c r="L4653" s="1">
        <v>56.9555873</v>
      </c>
      <c r="M4653" s="1">
        <v>24.0501792568777</v>
      </c>
    </row>
    <row r="4654">
      <c r="A4654" s="1" t="s">
        <v>13</v>
      </c>
      <c r="B4654" s="1" t="s">
        <v>151</v>
      </c>
      <c r="C4654" s="1" t="s">
        <v>2616</v>
      </c>
      <c r="D4654" s="1">
        <v>2.0</v>
      </c>
      <c r="E4654" s="1">
        <v>50.0</v>
      </c>
      <c r="F4654" s="1">
        <v>3.0</v>
      </c>
      <c r="G4654" s="1">
        <v>5.0</v>
      </c>
      <c r="H4654" s="1" t="s">
        <v>16</v>
      </c>
      <c r="I4654" s="1" t="s">
        <v>21</v>
      </c>
      <c r="J4654" s="1" t="s">
        <v>18</v>
      </c>
      <c r="K4654" s="1">
        <v>350.0</v>
      </c>
      <c r="L4654" s="1">
        <v>56.97028135</v>
      </c>
      <c r="M4654" s="1">
        <v>24.0589878413955</v>
      </c>
    </row>
    <row r="4655">
      <c r="A4655" s="1" t="s">
        <v>22</v>
      </c>
      <c r="B4655" s="1" t="s">
        <v>23</v>
      </c>
      <c r="C4655" s="1" t="s">
        <v>2617</v>
      </c>
      <c r="D4655" s="1">
        <v>4.0</v>
      </c>
      <c r="E4655" s="1">
        <v>87.0</v>
      </c>
      <c r="F4655" s="1">
        <v>2.0</v>
      </c>
      <c r="G4655" s="1">
        <v>5.0</v>
      </c>
      <c r="H4655" s="1" t="s">
        <v>25</v>
      </c>
      <c r="I4655" s="1" t="s">
        <v>33</v>
      </c>
      <c r="J4655" s="1" t="s">
        <v>18</v>
      </c>
      <c r="K4655" s="1">
        <v>146000.0</v>
      </c>
      <c r="L4655" s="1">
        <v>56.9522631</v>
      </c>
      <c r="M4655" s="1">
        <v>24.1321563</v>
      </c>
    </row>
    <row r="4656">
      <c r="A4656" s="1" t="s">
        <v>13</v>
      </c>
      <c r="B4656" s="1" t="s">
        <v>151</v>
      </c>
      <c r="C4656" s="1" t="s">
        <v>2618</v>
      </c>
      <c r="D4656" s="1">
        <v>2.0</v>
      </c>
      <c r="E4656" s="1">
        <v>41.0</v>
      </c>
      <c r="F4656" s="1">
        <v>5.0</v>
      </c>
      <c r="G4656" s="1">
        <v>5.0</v>
      </c>
      <c r="H4656" s="1" t="s">
        <v>44</v>
      </c>
      <c r="I4656" s="1" t="s">
        <v>37</v>
      </c>
      <c r="J4656" s="1" t="s">
        <v>18</v>
      </c>
      <c r="K4656" s="1">
        <v>290.0</v>
      </c>
      <c r="L4656" s="1">
        <v>56.9660011</v>
      </c>
      <c r="M4656" s="1">
        <v>24.0489425255213</v>
      </c>
    </row>
    <row r="4657">
      <c r="A4657" s="1" t="s">
        <v>13</v>
      </c>
      <c r="B4657" s="1" t="s">
        <v>96</v>
      </c>
      <c r="C4657" s="1" t="s">
        <v>2619</v>
      </c>
      <c r="D4657" s="1">
        <v>1.0</v>
      </c>
      <c r="E4657" s="1">
        <v>40.0</v>
      </c>
      <c r="F4657" s="1">
        <v>3.0</v>
      </c>
      <c r="G4657" s="1">
        <v>9.0</v>
      </c>
      <c r="H4657" s="1">
        <v>602.0</v>
      </c>
      <c r="I4657" s="1" t="s">
        <v>122</v>
      </c>
      <c r="J4657" s="1" t="s">
        <v>18</v>
      </c>
      <c r="K4657" s="1">
        <v>180.0</v>
      </c>
      <c r="L4657" s="1">
        <v>57.04000775</v>
      </c>
      <c r="M4657" s="1">
        <v>24.1028046318935</v>
      </c>
    </row>
    <row r="4658">
      <c r="A4658" s="1" t="s">
        <v>22</v>
      </c>
      <c r="B4658" s="1" t="s">
        <v>14</v>
      </c>
      <c r="C4658" s="1" t="s">
        <v>2620</v>
      </c>
      <c r="D4658" s="1">
        <v>4.0</v>
      </c>
      <c r="E4658" s="1">
        <v>134.0</v>
      </c>
      <c r="F4658" s="1">
        <v>6.0</v>
      </c>
      <c r="G4658" s="1">
        <v>7.0</v>
      </c>
      <c r="H4658" s="1" t="s">
        <v>32</v>
      </c>
      <c r="I4658" s="1" t="s">
        <v>122</v>
      </c>
      <c r="J4658" s="1" t="s">
        <v>18</v>
      </c>
      <c r="K4658" s="1">
        <v>201000.0</v>
      </c>
      <c r="L4658" s="1">
        <v>56.9612816</v>
      </c>
      <c r="M4658" s="1">
        <v>24.1767730640632</v>
      </c>
    </row>
    <row r="4659">
      <c r="A4659" s="1" t="s">
        <v>22</v>
      </c>
      <c r="B4659" s="1" t="s">
        <v>19</v>
      </c>
      <c r="C4659" s="1" t="s">
        <v>270</v>
      </c>
      <c r="D4659" s="1">
        <v>3.0</v>
      </c>
      <c r="E4659" s="1">
        <v>63.0</v>
      </c>
      <c r="F4659" s="1">
        <v>8.0</v>
      </c>
      <c r="G4659" s="1">
        <v>8.0</v>
      </c>
      <c r="H4659" s="1">
        <v>602.0</v>
      </c>
      <c r="I4659" s="1" t="s">
        <v>21</v>
      </c>
      <c r="J4659" s="1" t="s">
        <v>18</v>
      </c>
      <c r="K4659" s="1">
        <v>62800.0</v>
      </c>
      <c r="L4659" s="1">
        <v>56.90102635</v>
      </c>
      <c r="M4659" s="1">
        <v>24.0939941127903</v>
      </c>
    </row>
    <row r="4660">
      <c r="A4660" s="1" t="s">
        <v>13</v>
      </c>
      <c r="B4660" s="1" t="s">
        <v>28</v>
      </c>
      <c r="C4660" s="1" t="s">
        <v>2621</v>
      </c>
      <c r="D4660" s="1">
        <v>2.0</v>
      </c>
      <c r="E4660" s="1">
        <v>52.0</v>
      </c>
      <c r="F4660" s="1">
        <v>4.0</v>
      </c>
      <c r="G4660" s="1">
        <v>5.0</v>
      </c>
      <c r="H4660" s="1" t="s">
        <v>16</v>
      </c>
      <c r="I4660" s="1" t="s">
        <v>21</v>
      </c>
      <c r="J4660" s="1" t="s">
        <v>18</v>
      </c>
      <c r="K4660" s="1">
        <v>290.0</v>
      </c>
      <c r="L4660" s="1">
        <v>56.8597884</v>
      </c>
      <c r="M4660" s="1">
        <v>24.3083417</v>
      </c>
    </row>
    <row r="4661">
      <c r="A4661" s="1" t="s">
        <v>13</v>
      </c>
      <c r="B4661" s="1" t="s">
        <v>14</v>
      </c>
      <c r="C4661" s="1" t="s">
        <v>150</v>
      </c>
      <c r="D4661" s="1">
        <v>1.0</v>
      </c>
      <c r="E4661" s="1">
        <v>26.0</v>
      </c>
      <c r="F4661" s="1">
        <v>3.0</v>
      </c>
      <c r="G4661" s="1">
        <v>5.0</v>
      </c>
      <c r="H4661" s="1" t="s">
        <v>16</v>
      </c>
      <c r="I4661" s="1" t="s">
        <v>21</v>
      </c>
      <c r="J4661" s="1" t="s">
        <v>18</v>
      </c>
      <c r="K4661" s="1">
        <v>240.0</v>
      </c>
      <c r="L4661" s="1">
        <v>56.9518384</v>
      </c>
      <c r="M4661" s="1">
        <v>24.1999196</v>
      </c>
    </row>
    <row r="4662">
      <c r="A4662" s="1" t="s">
        <v>22</v>
      </c>
      <c r="B4662" s="1" t="s">
        <v>50</v>
      </c>
      <c r="C4662" s="1" t="s">
        <v>490</v>
      </c>
      <c r="D4662" s="1">
        <v>2.0</v>
      </c>
      <c r="E4662" s="1">
        <v>50.0</v>
      </c>
      <c r="F4662" s="1">
        <v>3.0</v>
      </c>
      <c r="G4662" s="1">
        <v>5.0</v>
      </c>
      <c r="H4662" s="1">
        <v>103.0</v>
      </c>
      <c r="I4662" s="1" t="s">
        <v>17</v>
      </c>
      <c r="J4662" s="1" t="s">
        <v>18</v>
      </c>
      <c r="K4662" s="1">
        <v>69000.0</v>
      </c>
      <c r="L4662" s="1">
        <v>56.9397657</v>
      </c>
      <c r="M4662" s="1">
        <v>24.1531645</v>
      </c>
    </row>
    <row r="4663">
      <c r="A4663" s="1" t="s">
        <v>22</v>
      </c>
      <c r="B4663" s="1" t="s">
        <v>23</v>
      </c>
      <c r="C4663" s="1" t="s">
        <v>2622</v>
      </c>
      <c r="D4663" s="1">
        <v>2.0</v>
      </c>
      <c r="E4663" s="1">
        <v>42.0</v>
      </c>
      <c r="F4663" s="1">
        <v>1.0</v>
      </c>
      <c r="G4663" s="1">
        <v>5.0</v>
      </c>
      <c r="H4663" s="1" t="s">
        <v>44</v>
      </c>
      <c r="I4663" s="1" t="s">
        <v>37</v>
      </c>
      <c r="J4663" s="1" t="s">
        <v>18</v>
      </c>
      <c r="K4663" s="1">
        <v>46000.0</v>
      </c>
      <c r="L4663" s="1">
        <v>56.9712464</v>
      </c>
      <c r="M4663" s="1">
        <v>24.0998780037698</v>
      </c>
    </row>
    <row r="4664">
      <c r="A4664" s="1" t="s">
        <v>13</v>
      </c>
      <c r="B4664" s="1" t="s">
        <v>23</v>
      </c>
      <c r="C4664" s="1" t="s">
        <v>178</v>
      </c>
      <c r="D4664" s="1">
        <v>4.0</v>
      </c>
      <c r="E4664" s="1">
        <v>260.0</v>
      </c>
      <c r="F4664" s="1">
        <v>2.0</v>
      </c>
      <c r="G4664" s="1">
        <v>2.0</v>
      </c>
      <c r="H4664" s="1" t="s">
        <v>32</v>
      </c>
      <c r="I4664" s="1" t="s">
        <v>33</v>
      </c>
      <c r="J4664" s="1" t="s">
        <v>18</v>
      </c>
      <c r="K4664" s="1">
        <v>2900.0</v>
      </c>
      <c r="L4664" s="1">
        <v>56.956763</v>
      </c>
      <c r="M4664" s="1">
        <v>24.0954531</v>
      </c>
    </row>
    <row r="4665">
      <c r="A4665" s="1" t="s">
        <v>22</v>
      </c>
      <c r="B4665" s="1" t="s">
        <v>74</v>
      </c>
      <c r="C4665" s="1" t="s">
        <v>2623</v>
      </c>
      <c r="D4665" s="1">
        <v>1.0</v>
      </c>
      <c r="E4665" s="1">
        <v>49.0</v>
      </c>
      <c r="F4665" s="1">
        <v>9.0</v>
      </c>
      <c r="G4665" s="1">
        <v>12.0</v>
      </c>
      <c r="H4665" s="1">
        <v>104.0</v>
      </c>
      <c r="I4665" s="1" t="s">
        <v>21</v>
      </c>
      <c r="J4665" s="1" t="s">
        <v>18</v>
      </c>
      <c r="K4665" s="1">
        <v>55000.0</v>
      </c>
      <c r="L4665" s="1">
        <v>56.9433742</v>
      </c>
      <c r="M4665" s="1">
        <v>24.2090462966114</v>
      </c>
    </row>
    <row r="4666">
      <c r="A4666" s="1" t="s">
        <v>131</v>
      </c>
      <c r="B4666" s="1" t="s">
        <v>28</v>
      </c>
      <c r="C4666" s="2"/>
      <c r="D4666" s="2"/>
      <c r="E4666" s="2"/>
      <c r="F4666" s="2"/>
      <c r="G4666" s="2"/>
      <c r="H4666" s="2"/>
      <c r="I4666" s="2"/>
      <c r="J4666" s="2"/>
      <c r="K4666" s="2"/>
      <c r="L4666" s="1">
        <v>46.3144754</v>
      </c>
      <c r="M4666" s="1">
        <v>11.0480288</v>
      </c>
    </row>
    <row r="4667">
      <c r="A4667" s="1" t="s">
        <v>131</v>
      </c>
      <c r="B4667" s="1" t="s">
        <v>38</v>
      </c>
      <c r="C4667" s="2"/>
      <c r="D4667" s="2"/>
      <c r="E4667" s="2"/>
      <c r="F4667" s="2"/>
      <c r="G4667" s="2"/>
      <c r="H4667" s="2"/>
      <c r="I4667" s="2"/>
      <c r="J4667" s="2"/>
      <c r="K4667" s="2"/>
      <c r="L4667" s="1">
        <v>46.3144754</v>
      </c>
      <c r="M4667" s="1">
        <v>11.0480288</v>
      </c>
    </row>
    <row r="4668">
      <c r="A4668" s="1" t="s">
        <v>131</v>
      </c>
      <c r="B4668" s="1" t="s">
        <v>19</v>
      </c>
      <c r="C4668" s="2"/>
      <c r="D4668" s="2"/>
      <c r="E4668" s="2"/>
      <c r="F4668" s="2"/>
      <c r="G4668" s="2"/>
      <c r="H4668" s="2"/>
      <c r="I4668" s="2"/>
      <c r="J4668" s="2"/>
      <c r="K4668" s="2"/>
      <c r="L4668" s="1">
        <v>46.3144754</v>
      </c>
      <c r="M4668" s="1">
        <v>11.0480288</v>
      </c>
    </row>
    <row r="4669">
      <c r="A4669" s="1" t="s">
        <v>13</v>
      </c>
      <c r="B4669" s="1" t="s">
        <v>14</v>
      </c>
      <c r="C4669" s="1" t="s">
        <v>2624</v>
      </c>
      <c r="D4669" s="1">
        <v>3.0</v>
      </c>
      <c r="E4669" s="1">
        <v>76.0</v>
      </c>
      <c r="F4669" s="1">
        <v>8.0</v>
      </c>
      <c r="G4669" s="1">
        <v>8.0</v>
      </c>
      <c r="H4669" s="1">
        <v>119.0</v>
      </c>
      <c r="I4669" s="1" t="s">
        <v>21</v>
      </c>
      <c r="J4669" s="1" t="s">
        <v>18</v>
      </c>
      <c r="K4669" s="1">
        <v>400.0</v>
      </c>
      <c r="L4669" s="1">
        <v>56.9525554</v>
      </c>
      <c r="M4669" s="1">
        <v>24.1754695261277</v>
      </c>
    </row>
    <row r="4670">
      <c r="A4670" s="1" t="s">
        <v>13</v>
      </c>
      <c r="B4670" s="1" t="s">
        <v>23</v>
      </c>
      <c r="C4670" s="1" t="s">
        <v>627</v>
      </c>
      <c r="D4670" s="1">
        <v>2.0</v>
      </c>
      <c r="E4670" s="1">
        <v>50.0</v>
      </c>
      <c r="F4670" s="1">
        <v>1.0</v>
      </c>
      <c r="G4670" s="1">
        <v>5.0</v>
      </c>
      <c r="H4670" s="1" t="s">
        <v>25</v>
      </c>
      <c r="I4670" s="1" t="s">
        <v>33</v>
      </c>
      <c r="J4670" s="1" t="s">
        <v>18</v>
      </c>
      <c r="K4670" s="1">
        <v>500.0</v>
      </c>
      <c r="L4670" s="1">
        <v>56.9616145</v>
      </c>
      <c r="M4670" s="1">
        <v>24.1100341</v>
      </c>
    </row>
    <row r="4671">
      <c r="A4671" s="1" t="s">
        <v>22</v>
      </c>
      <c r="B4671" s="1" t="s">
        <v>48</v>
      </c>
      <c r="C4671" s="1" t="s">
        <v>49</v>
      </c>
      <c r="D4671" s="1">
        <v>5.0</v>
      </c>
      <c r="E4671" s="1">
        <v>120.0</v>
      </c>
      <c r="F4671" s="1">
        <v>9.0</v>
      </c>
      <c r="G4671" s="1">
        <v>10.0</v>
      </c>
      <c r="H4671" s="1">
        <v>602.0</v>
      </c>
      <c r="I4671" s="1" t="s">
        <v>21</v>
      </c>
      <c r="J4671" s="1" t="s">
        <v>18</v>
      </c>
      <c r="K4671" s="1">
        <v>95000.0</v>
      </c>
      <c r="L4671" s="1">
        <v>56.967948</v>
      </c>
      <c r="M4671" s="1">
        <v>24.2351586311777</v>
      </c>
    </row>
    <row r="4672">
      <c r="A4672" s="1" t="s">
        <v>22</v>
      </c>
      <c r="B4672" s="1" t="s">
        <v>129</v>
      </c>
      <c r="C4672" s="1" t="s">
        <v>110</v>
      </c>
      <c r="D4672" s="1">
        <v>1.0</v>
      </c>
      <c r="E4672" s="1">
        <v>27.0</v>
      </c>
      <c r="F4672" s="1">
        <v>7.0</v>
      </c>
      <c r="G4672" s="1">
        <v>9.0</v>
      </c>
      <c r="H4672" s="1" t="s">
        <v>36</v>
      </c>
      <c r="I4672" s="1" t="s">
        <v>37</v>
      </c>
      <c r="J4672" s="1" t="s">
        <v>18</v>
      </c>
      <c r="K4672" s="1">
        <v>27500.0</v>
      </c>
      <c r="L4672" s="1" t="s">
        <v>40</v>
      </c>
      <c r="M4672" s="1" t="s">
        <v>40</v>
      </c>
    </row>
    <row r="4673">
      <c r="A4673" s="1" t="s">
        <v>22</v>
      </c>
      <c r="B4673" s="1" t="s">
        <v>38</v>
      </c>
      <c r="C4673" s="1" t="s">
        <v>2625</v>
      </c>
      <c r="D4673" s="1">
        <v>2.0</v>
      </c>
      <c r="E4673" s="1">
        <v>49.0</v>
      </c>
      <c r="F4673" s="1">
        <v>3.0</v>
      </c>
      <c r="G4673" s="1">
        <v>5.0</v>
      </c>
      <c r="H4673" s="1" t="s">
        <v>16</v>
      </c>
      <c r="I4673" s="1" t="s">
        <v>21</v>
      </c>
      <c r="J4673" s="1" t="s">
        <v>18</v>
      </c>
      <c r="K4673" s="1">
        <v>54650.0</v>
      </c>
      <c r="L4673" s="1">
        <v>56.96041605</v>
      </c>
      <c r="M4673" s="1">
        <v>23.9995863999999</v>
      </c>
    </row>
    <row r="4674">
      <c r="A4674" s="1" t="s">
        <v>13</v>
      </c>
      <c r="B4674" s="1" t="s">
        <v>129</v>
      </c>
      <c r="C4674" s="1" t="s">
        <v>743</v>
      </c>
      <c r="D4674" s="1">
        <v>1.0</v>
      </c>
      <c r="E4674" s="1">
        <v>30.0</v>
      </c>
      <c r="F4674" s="1">
        <v>5.0</v>
      </c>
      <c r="G4674" s="1">
        <v>5.0</v>
      </c>
      <c r="H4674" s="1" t="s">
        <v>44</v>
      </c>
      <c r="I4674" s="1" t="s">
        <v>37</v>
      </c>
      <c r="J4674" s="1" t="s">
        <v>18</v>
      </c>
      <c r="K4674" s="1">
        <v>260.0</v>
      </c>
      <c r="L4674" s="1">
        <v>57.000045</v>
      </c>
      <c r="M4674" s="1">
        <v>24.1184874917004</v>
      </c>
    </row>
    <row r="4675">
      <c r="A4675" s="1" t="s">
        <v>13</v>
      </c>
      <c r="B4675" s="1" t="s">
        <v>23</v>
      </c>
      <c r="C4675" s="1" t="s">
        <v>1154</v>
      </c>
      <c r="D4675" s="1">
        <v>2.0</v>
      </c>
      <c r="E4675" s="1">
        <v>50.0</v>
      </c>
      <c r="F4675" s="1">
        <v>3.0</v>
      </c>
      <c r="G4675" s="1">
        <v>4.0</v>
      </c>
      <c r="H4675" s="1" t="s">
        <v>25</v>
      </c>
      <c r="I4675" s="1" t="s">
        <v>33</v>
      </c>
      <c r="J4675" s="1" t="s">
        <v>18</v>
      </c>
      <c r="K4675" s="1">
        <v>260.0</v>
      </c>
      <c r="L4675" s="1">
        <v>56.93950425</v>
      </c>
      <c r="M4675" s="1">
        <v>24.1222563433257</v>
      </c>
    </row>
    <row r="4676">
      <c r="A4676" s="1" t="s">
        <v>22</v>
      </c>
      <c r="B4676" s="1" t="s">
        <v>52</v>
      </c>
      <c r="C4676" s="1" t="s">
        <v>2626</v>
      </c>
      <c r="D4676" s="1">
        <v>1.0</v>
      </c>
      <c r="E4676" s="1">
        <v>47.0</v>
      </c>
      <c r="F4676" s="1">
        <v>5.0</v>
      </c>
      <c r="G4676" s="1">
        <v>9.0</v>
      </c>
      <c r="H4676" s="1">
        <v>119.0</v>
      </c>
      <c r="I4676" s="1" t="s">
        <v>21</v>
      </c>
      <c r="J4676" s="1" t="s">
        <v>18</v>
      </c>
      <c r="K4676" s="1">
        <v>50000.0</v>
      </c>
      <c r="L4676" s="1">
        <v>56.9445487</v>
      </c>
      <c r="M4676" s="1">
        <v>24.0141224</v>
      </c>
    </row>
    <row r="4677">
      <c r="A4677" s="1" t="s">
        <v>22</v>
      </c>
      <c r="B4677" s="1" t="s">
        <v>23</v>
      </c>
      <c r="C4677" s="1" t="s">
        <v>2627</v>
      </c>
      <c r="D4677" s="1">
        <v>5.0</v>
      </c>
      <c r="E4677" s="1">
        <v>144.0</v>
      </c>
      <c r="F4677" s="1">
        <v>4.0</v>
      </c>
      <c r="G4677" s="1">
        <v>5.0</v>
      </c>
      <c r="H4677" s="1" t="s">
        <v>66</v>
      </c>
      <c r="I4677" s="1" t="s">
        <v>33</v>
      </c>
      <c r="J4677" s="1" t="s">
        <v>18</v>
      </c>
      <c r="K4677" s="1">
        <v>240000.0</v>
      </c>
      <c r="L4677" s="1">
        <v>56.9688914</v>
      </c>
      <c r="M4677" s="1">
        <v>24.1457647888519</v>
      </c>
    </row>
    <row r="4678">
      <c r="A4678" s="1" t="s">
        <v>13</v>
      </c>
      <c r="B4678" s="1" t="s">
        <v>96</v>
      </c>
      <c r="C4678" s="1" t="s">
        <v>780</v>
      </c>
      <c r="D4678" s="1">
        <v>1.0</v>
      </c>
      <c r="E4678" s="1">
        <v>29.0</v>
      </c>
      <c r="F4678" s="1">
        <v>5.0</v>
      </c>
      <c r="G4678" s="1">
        <v>5.0</v>
      </c>
      <c r="H4678" s="1" t="s">
        <v>44</v>
      </c>
      <c r="I4678" s="1" t="s">
        <v>37</v>
      </c>
      <c r="J4678" s="1" t="s">
        <v>18</v>
      </c>
      <c r="K4678" s="1">
        <v>200.0</v>
      </c>
      <c r="L4678" s="1">
        <v>57.02896645</v>
      </c>
      <c r="M4678" s="1">
        <v>24.10663595</v>
      </c>
    </row>
    <row r="4679">
      <c r="A4679" s="1" t="s">
        <v>13</v>
      </c>
      <c r="B4679" s="1" t="s">
        <v>28</v>
      </c>
      <c r="C4679" s="1" t="s">
        <v>665</v>
      </c>
      <c r="D4679" s="1">
        <v>1.0</v>
      </c>
      <c r="E4679" s="1">
        <v>33.0</v>
      </c>
      <c r="F4679" s="1">
        <v>4.0</v>
      </c>
      <c r="G4679" s="1">
        <v>5.0</v>
      </c>
      <c r="H4679" s="1" t="s">
        <v>16</v>
      </c>
      <c r="I4679" s="1" t="s">
        <v>21</v>
      </c>
      <c r="J4679" s="1" t="s">
        <v>18</v>
      </c>
      <c r="K4679" s="1">
        <v>250.0</v>
      </c>
      <c r="L4679" s="1">
        <v>56.90837855</v>
      </c>
      <c r="M4679" s="1">
        <v>24.20066605</v>
      </c>
    </row>
    <row r="4680">
      <c r="A4680" s="1" t="s">
        <v>22</v>
      </c>
      <c r="B4680" s="1" t="s">
        <v>52</v>
      </c>
      <c r="C4680" s="1" t="s">
        <v>1280</v>
      </c>
      <c r="D4680" s="1">
        <v>3.0</v>
      </c>
      <c r="E4680" s="1">
        <v>84.0</v>
      </c>
      <c r="F4680" s="1">
        <v>1.0</v>
      </c>
      <c r="G4680" s="1">
        <v>5.0</v>
      </c>
      <c r="H4680" s="1" t="s">
        <v>32</v>
      </c>
      <c r="I4680" s="1" t="s">
        <v>21</v>
      </c>
      <c r="J4680" s="1" t="s">
        <v>18</v>
      </c>
      <c r="K4680" s="1">
        <v>137500.0</v>
      </c>
      <c r="L4680" s="1">
        <v>56.94393325</v>
      </c>
      <c r="M4680" s="1">
        <v>24.027633057183</v>
      </c>
    </row>
    <row r="4681">
      <c r="A4681" s="1" t="s">
        <v>22</v>
      </c>
      <c r="B4681" s="1" t="s">
        <v>23</v>
      </c>
      <c r="C4681" s="1" t="s">
        <v>2628</v>
      </c>
      <c r="D4681" s="1">
        <v>4.0</v>
      </c>
      <c r="E4681" s="1">
        <v>145.0</v>
      </c>
      <c r="F4681" s="1">
        <v>3.0</v>
      </c>
      <c r="G4681" s="1">
        <v>5.0</v>
      </c>
      <c r="H4681" s="1" t="s">
        <v>25</v>
      </c>
      <c r="I4681" s="1" t="s">
        <v>33</v>
      </c>
      <c r="J4681" s="1" t="s">
        <v>18</v>
      </c>
      <c r="K4681" s="1">
        <v>410000.0</v>
      </c>
      <c r="L4681" s="1">
        <v>56.9571002999999</v>
      </c>
      <c r="M4681" s="1">
        <v>24.1114650373356</v>
      </c>
    </row>
    <row r="4682">
      <c r="A4682" s="1" t="s">
        <v>13</v>
      </c>
      <c r="B4682" s="1" t="s">
        <v>23</v>
      </c>
      <c r="C4682" s="1" t="s">
        <v>2629</v>
      </c>
      <c r="D4682" s="1">
        <v>1.0</v>
      </c>
      <c r="E4682" s="1">
        <v>21.0</v>
      </c>
      <c r="F4682" s="1">
        <v>2.0</v>
      </c>
      <c r="G4682" s="1">
        <v>3.0</v>
      </c>
      <c r="H4682" s="1" t="s">
        <v>57</v>
      </c>
      <c r="I4682" s="1" t="s">
        <v>37</v>
      </c>
      <c r="J4682" s="1" t="s">
        <v>18</v>
      </c>
      <c r="K4682" s="1">
        <v>180.0</v>
      </c>
      <c r="L4682" s="1">
        <v>56.9716816</v>
      </c>
      <c r="M4682" s="1">
        <v>24.1021951</v>
      </c>
    </row>
    <row r="4683">
      <c r="A4683" s="1" t="s">
        <v>13</v>
      </c>
      <c r="B4683" s="1" t="s">
        <v>28</v>
      </c>
      <c r="C4683" s="1" t="s">
        <v>1961</v>
      </c>
      <c r="D4683" s="1">
        <v>2.0</v>
      </c>
      <c r="E4683" s="1">
        <v>50.0</v>
      </c>
      <c r="F4683" s="1">
        <v>1.0</v>
      </c>
      <c r="G4683" s="1">
        <v>3.0</v>
      </c>
      <c r="H4683" s="1" t="s">
        <v>181</v>
      </c>
      <c r="I4683" s="1" t="s">
        <v>37</v>
      </c>
      <c r="J4683" s="1" t="s">
        <v>18</v>
      </c>
      <c r="K4683" s="1">
        <v>320.0</v>
      </c>
      <c r="L4683" s="1">
        <v>56.91229505</v>
      </c>
      <c r="M4683" s="1">
        <v>24.2059117623488</v>
      </c>
    </row>
    <row r="4684">
      <c r="A4684" s="1" t="s">
        <v>13</v>
      </c>
      <c r="B4684" s="1" t="s">
        <v>74</v>
      </c>
      <c r="C4684" s="1" t="s">
        <v>1961</v>
      </c>
      <c r="D4684" s="1">
        <v>2.0</v>
      </c>
      <c r="E4684" s="1">
        <v>50.0</v>
      </c>
      <c r="F4684" s="1">
        <v>1.0</v>
      </c>
      <c r="G4684" s="1">
        <v>3.0</v>
      </c>
      <c r="H4684" s="1" t="s">
        <v>181</v>
      </c>
      <c r="I4684" s="1" t="s">
        <v>37</v>
      </c>
      <c r="J4684" s="1" t="s">
        <v>18</v>
      </c>
      <c r="K4684" s="1">
        <v>320.0</v>
      </c>
      <c r="L4684" s="1">
        <v>56.91229505</v>
      </c>
      <c r="M4684" s="1">
        <v>24.2059117623488</v>
      </c>
    </row>
    <row r="4685">
      <c r="A4685" s="1" t="s">
        <v>22</v>
      </c>
      <c r="B4685" s="1" t="s">
        <v>23</v>
      </c>
      <c r="C4685" s="1" t="s">
        <v>2630</v>
      </c>
      <c r="D4685" s="1">
        <v>1.0</v>
      </c>
      <c r="E4685" s="1">
        <v>34.0</v>
      </c>
      <c r="F4685" s="1">
        <v>3.0</v>
      </c>
      <c r="G4685" s="1">
        <v>4.0</v>
      </c>
      <c r="H4685" s="1" t="s">
        <v>25</v>
      </c>
      <c r="I4685" s="1" t="s">
        <v>37</v>
      </c>
      <c r="J4685" s="1" t="s">
        <v>27</v>
      </c>
      <c r="K4685" s="1">
        <v>35000.0</v>
      </c>
      <c r="L4685" s="1">
        <v>56.95067725</v>
      </c>
      <c r="M4685" s="1">
        <v>24.1397562482868</v>
      </c>
    </row>
    <row r="4686">
      <c r="A4686" s="1" t="s">
        <v>13</v>
      </c>
      <c r="B4686" s="1" t="s">
        <v>104</v>
      </c>
      <c r="C4686" s="1" t="s">
        <v>2631</v>
      </c>
      <c r="D4686" s="1">
        <v>1.0</v>
      </c>
      <c r="E4686" s="1">
        <v>30.0</v>
      </c>
      <c r="F4686" s="1">
        <v>4.0</v>
      </c>
      <c r="G4686" s="1">
        <v>5.0</v>
      </c>
      <c r="H4686" s="1" t="s">
        <v>16</v>
      </c>
      <c r="I4686" s="1" t="s">
        <v>21</v>
      </c>
      <c r="J4686" s="1" t="s">
        <v>18</v>
      </c>
      <c r="K4686" s="1">
        <v>250.0</v>
      </c>
      <c r="L4686" s="1">
        <v>56.9463597</v>
      </c>
      <c r="M4686" s="1">
        <v>24.0539764958227</v>
      </c>
    </row>
    <row r="4687">
      <c r="A4687" s="1" t="s">
        <v>13</v>
      </c>
      <c r="B4687" s="1" t="s">
        <v>134</v>
      </c>
      <c r="C4687" s="1" t="s">
        <v>2632</v>
      </c>
      <c r="D4687" s="1">
        <v>1.0</v>
      </c>
      <c r="E4687" s="1">
        <v>32.0</v>
      </c>
      <c r="F4687" s="1">
        <v>2.0</v>
      </c>
      <c r="G4687" s="1">
        <v>5.0</v>
      </c>
      <c r="H4687" s="1">
        <v>103.0</v>
      </c>
      <c r="I4687" s="1" t="s">
        <v>17</v>
      </c>
      <c r="J4687" s="1" t="s">
        <v>18</v>
      </c>
      <c r="K4687" s="1">
        <v>180.0</v>
      </c>
      <c r="L4687" s="1">
        <v>57.03732105</v>
      </c>
      <c r="M4687" s="1">
        <v>24.0296618051752</v>
      </c>
    </row>
    <row r="4688">
      <c r="A4688" s="1" t="s">
        <v>22</v>
      </c>
      <c r="B4688" s="1" t="s">
        <v>14</v>
      </c>
      <c r="C4688" s="1" t="s">
        <v>664</v>
      </c>
      <c r="D4688" s="1">
        <v>2.0</v>
      </c>
      <c r="E4688" s="1">
        <v>43.0</v>
      </c>
      <c r="F4688" s="1">
        <v>5.0</v>
      </c>
      <c r="G4688" s="1">
        <v>5.0</v>
      </c>
      <c r="H4688" s="1" t="s">
        <v>44</v>
      </c>
      <c r="I4688" s="1" t="s">
        <v>37</v>
      </c>
      <c r="J4688" s="1" t="s">
        <v>27</v>
      </c>
      <c r="K4688" s="1">
        <v>44850.0</v>
      </c>
      <c r="L4688" s="1">
        <v>56.9651176499999</v>
      </c>
      <c r="M4688" s="1">
        <v>24.1760481976948</v>
      </c>
    </row>
    <row r="4689">
      <c r="A4689" s="1" t="s">
        <v>22</v>
      </c>
      <c r="B4689" s="1" t="s">
        <v>117</v>
      </c>
      <c r="C4689" s="1" t="s">
        <v>2633</v>
      </c>
      <c r="D4689" s="1">
        <v>1.0</v>
      </c>
      <c r="E4689" s="1">
        <v>18.0</v>
      </c>
      <c r="F4689" s="1">
        <v>1.0</v>
      </c>
      <c r="G4689" s="1">
        <v>2.0</v>
      </c>
      <c r="H4689" s="1" t="s">
        <v>66</v>
      </c>
      <c r="I4689" s="1" t="s">
        <v>37</v>
      </c>
      <c r="J4689" s="1" t="s">
        <v>18</v>
      </c>
      <c r="K4689" s="1">
        <v>10445.0</v>
      </c>
      <c r="L4689" s="1" t="s">
        <v>40</v>
      </c>
      <c r="M4689" s="1" t="s">
        <v>40</v>
      </c>
    </row>
    <row r="4690">
      <c r="A4690" s="1" t="s">
        <v>22</v>
      </c>
      <c r="B4690" s="1" t="s">
        <v>23</v>
      </c>
      <c r="C4690" s="1" t="s">
        <v>258</v>
      </c>
      <c r="D4690" s="1">
        <v>3.0</v>
      </c>
      <c r="E4690" s="1">
        <v>78.0</v>
      </c>
      <c r="F4690" s="1">
        <v>4.0</v>
      </c>
      <c r="G4690" s="1">
        <v>6.0</v>
      </c>
      <c r="H4690" s="1" t="s">
        <v>32</v>
      </c>
      <c r="I4690" s="1" t="s">
        <v>33</v>
      </c>
      <c r="J4690" s="1" t="s">
        <v>18</v>
      </c>
      <c r="K4690" s="1">
        <v>159600.0</v>
      </c>
      <c r="L4690" s="1">
        <v>56.958482</v>
      </c>
      <c r="M4690" s="3">
        <v>24.116859</v>
      </c>
      <c r="N4690" s="4"/>
    </row>
  </sheetData>
  <autoFilter ref="$A$1:$A$46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5" t="s">
        <v>2634</v>
      </c>
      <c r="B1" s="5" t="s">
        <v>2635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2636</v>
      </c>
      <c r="B2" s="2">
        <f>COUNTA(Riga_re!A:A)-1</f>
        <v>4689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</v>
      </c>
      <c r="B3" s="2">
        <f>COUNTIF(Riga_re!A:A,"For sale")</f>
        <v>2680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13</v>
      </c>
      <c r="B4" s="2">
        <f>COUNTIF(Riga_re!A:A,"For rent")</f>
        <v>1525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2637</v>
      </c>
      <c r="B5" s="8">
        <f>AVERAGEIF(Riga_re!A:A,"For sale",Riga_re!K:K)</f>
        <v>92103.71791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2638</v>
      </c>
      <c r="B6" s="8">
        <f>AVERAGEIF(Riga_re!A:A,"For rent",Riga_re!K:K)</f>
        <v>425.2688525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2639</v>
      </c>
      <c r="B7" s="2">
        <f>COUNTBLANK(Riga_re!A2:A4690)</f>
        <v>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89</v>
      </c>
      <c r="B8" s="2">
        <f>COUNTIF(Riga_re!A:A,"Buying")</f>
        <v>381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468</v>
      </c>
      <c r="B9" s="9">
        <f>COUNTIF(Riga_re!A:A,"Change")</f>
        <v>14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1499</v>
      </c>
      <c r="B10" s="2">
        <f>COUNTIF(Riga_re!A:A,"Other")</f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131</v>
      </c>
      <c r="B11" s="2">
        <f>COUNTIF(Riga_re!A:A,"Renting")</f>
        <v>84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 t="s">
        <v>2640</v>
      </c>
      <c r="B12" s="10">
        <f>SUM(B7:B11)</f>
        <v>484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2641</v>
      </c>
      <c r="B14" s="6">
        <f>AVERAGEIFS(Clean_data!K:K, Clean_data!B:B, "centrs", Clean_data!D:D, 2, Clean_data!A:A, "For sale")</f>
        <v>91035.09048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>
        <f>VLOOKUP("Dzelzavas 93", Clean_data!C:K, 9, 0)</f>
        <v>250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</row>
    <row r="2">
      <c r="A2" s="2" t="str">
        <f>IFERROR(__xludf.DUMMYFUNCTION("FILTER(Riga_re!A1:M4690,(Riga_re!A1:A4690=""For sale"")+(Riga_re!A1:A4690=""For rent""))"),"For rent")</f>
        <v>For rent</v>
      </c>
      <c r="B2" s="2" t="str">
        <f>IFERROR(__xludf.DUMMYFUNCTION("""COMPUTED_VALUE"""),"Purvciems")</f>
        <v>Purvciems</v>
      </c>
      <c r="C2" s="2" t="str">
        <f>IFERROR(__xludf.DUMMYFUNCTION("""COMPUTED_VALUE"""),"Dzelzavas 93")</f>
        <v>Dzelzavas 93</v>
      </c>
      <c r="D2" s="2">
        <f>IFERROR(__xludf.DUMMYFUNCTION("""COMPUTED_VALUE"""),1.0)</f>
        <v>1</v>
      </c>
      <c r="E2" s="2">
        <f>IFERROR(__xludf.DUMMYFUNCTION("""COMPUTED_VALUE"""),27.0)</f>
        <v>27</v>
      </c>
      <c r="F2" s="2">
        <f>IFERROR(__xludf.DUMMYFUNCTION("""COMPUTED_VALUE"""),3.0)</f>
        <v>3</v>
      </c>
      <c r="G2" s="2">
        <f>IFERROR(__xludf.DUMMYFUNCTION("""COMPUTED_VALUE"""),5.0)</f>
        <v>5</v>
      </c>
      <c r="H2" s="2" t="str">
        <f>IFERROR(__xludf.DUMMYFUNCTION("""COMPUTED_VALUE"""),"LT proj.")</f>
        <v>LT proj.</v>
      </c>
      <c r="I2" s="2" t="str">
        <f>IFERROR(__xludf.DUMMYFUNCTION("""COMPUTED_VALUE"""),"Brick-Panel")</f>
        <v>Brick-Panel</v>
      </c>
      <c r="J2" s="2" t="str">
        <f>IFERROR(__xludf.DUMMYFUNCTION("""COMPUTED_VALUE"""),"All amenities")</f>
        <v>All amenities</v>
      </c>
      <c r="K2" s="2">
        <f>IFERROR(__xludf.DUMMYFUNCTION("""COMPUTED_VALUE"""),250.0)</f>
        <v>250</v>
      </c>
      <c r="L2" s="2">
        <f>IFERROR(__xludf.DUMMYFUNCTION("""COMPUTED_VALUE"""),56.9554841)</f>
        <v>56.9554841</v>
      </c>
      <c r="M2" s="2">
        <f>IFERROR(__xludf.DUMMYFUNCTION("""COMPUTED_VALUE"""),24.2021393392559)</f>
        <v>24.20213934</v>
      </c>
      <c r="O2" s="13">
        <f>COUNTA(A:A)</f>
        <v>4206</v>
      </c>
    </row>
    <row r="3">
      <c r="A3" s="2" t="str">
        <f>IFERROR(__xludf.DUMMYFUNCTION("""COMPUTED_VALUE"""),"For rent")</f>
        <v>For rent</v>
      </c>
      <c r="B3" s="2" t="str">
        <f>IFERROR(__xludf.DUMMYFUNCTION("""COMPUTED_VALUE"""),"Ziepniekkalns")</f>
        <v>Ziepniekkalns</v>
      </c>
      <c r="C3" s="2" t="str">
        <f>IFERROR(__xludf.DUMMYFUNCTION("""COMPUTED_VALUE"""),"Ozolciema 32")</f>
        <v>Ozolciema 32</v>
      </c>
      <c r="D3" s="2">
        <f>IFERROR(__xludf.DUMMYFUNCTION("""COMPUTED_VALUE"""),2.0)</f>
        <v>2</v>
      </c>
      <c r="E3" s="2">
        <f>IFERROR(__xludf.DUMMYFUNCTION("""COMPUTED_VALUE"""),50.0)</f>
        <v>50</v>
      </c>
      <c r="F3" s="2">
        <f>IFERROR(__xludf.DUMMYFUNCTION("""COMPUTED_VALUE"""),7.0)</f>
        <v>7</v>
      </c>
      <c r="G3" s="2">
        <f>IFERROR(__xludf.DUMMYFUNCTION("""COMPUTED_VALUE"""),9.0)</f>
        <v>9</v>
      </c>
      <c r="H3" s="2">
        <f>IFERROR(__xludf.DUMMYFUNCTION("""COMPUTED_VALUE"""),602.0)</f>
        <v>602</v>
      </c>
      <c r="I3" s="2" t="str">
        <f>IFERROR(__xludf.DUMMYFUNCTION("""COMPUTED_VALUE"""),"Panel")</f>
        <v>Panel</v>
      </c>
      <c r="J3" s="2" t="str">
        <f>IFERROR(__xludf.DUMMYFUNCTION("""COMPUTED_VALUE"""),"All amenities")</f>
        <v>All amenities</v>
      </c>
      <c r="K3" s="2">
        <f>IFERROR(__xludf.DUMMYFUNCTION("""COMPUTED_VALUE"""),300.0)</f>
        <v>300</v>
      </c>
      <c r="L3" s="2">
        <f>IFERROR(__xludf.DUMMYFUNCTION("""COMPUTED_VALUE"""),56.89979805)</f>
        <v>56.89979805</v>
      </c>
      <c r="M3" s="2">
        <f>IFERROR(__xludf.DUMMYFUNCTION("""COMPUTED_VALUE"""),24.09835015)</f>
        <v>24.09835015</v>
      </c>
    </row>
    <row r="4">
      <c r="A4" s="2" t="str">
        <f>IFERROR(__xludf.DUMMYFUNCTION("""COMPUTED_VALUE"""),"For sale")</f>
        <v>For sale</v>
      </c>
      <c r="B4" s="2" t="str">
        <f>IFERROR(__xludf.DUMMYFUNCTION("""COMPUTED_VALUE"""),"centrs")</f>
        <v>centrs</v>
      </c>
      <c r="C4" s="2" t="str">
        <f>IFERROR(__xludf.DUMMYFUNCTION("""COMPUTED_VALUE"""),"Ieroču 6")</f>
        <v>Ieroču 6</v>
      </c>
      <c r="D4" s="2">
        <f>IFERROR(__xludf.DUMMYFUNCTION("""COMPUTED_VALUE"""),2.0)</f>
        <v>2</v>
      </c>
      <c r="E4" s="2">
        <f>IFERROR(__xludf.DUMMYFUNCTION("""COMPUTED_VALUE"""),33.0)</f>
        <v>33</v>
      </c>
      <c r="F4" s="2">
        <f>IFERROR(__xludf.DUMMYFUNCTION("""COMPUTED_VALUE"""),1.0)</f>
        <v>1</v>
      </c>
      <c r="G4" s="2">
        <f>IFERROR(__xludf.DUMMYFUNCTION("""COMPUTED_VALUE"""),2.0)</f>
        <v>2</v>
      </c>
      <c r="H4" s="2" t="str">
        <f>IFERROR(__xludf.DUMMYFUNCTION("""COMPUTED_VALUE"""),"P. kara")</f>
        <v>P. kara</v>
      </c>
      <c r="I4" s="2" t="str">
        <f>IFERROR(__xludf.DUMMYFUNCTION("""COMPUTED_VALUE"""),"Wood")</f>
        <v>Wood</v>
      </c>
      <c r="J4" s="2" t="str">
        <f>IFERROR(__xludf.DUMMYFUNCTION("""COMPUTED_VALUE"""),"Partial amenities")</f>
        <v>Partial amenities</v>
      </c>
      <c r="K4" s="2">
        <f>IFERROR(__xludf.DUMMYFUNCTION("""COMPUTED_VALUE"""),13500.0)</f>
        <v>13500</v>
      </c>
      <c r="L4" s="2">
        <f>IFERROR(__xludf.DUMMYFUNCTION("""COMPUTED_VALUE"""),56.9750922)</f>
        <v>56.9750922</v>
      </c>
      <c r="M4" s="2">
        <f>IFERROR(__xludf.DUMMYFUNCTION("""COMPUTED_VALUE"""),24.1398842)</f>
        <v>24.1398842</v>
      </c>
    </row>
    <row r="5">
      <c r="A5" s="2" t="str">
        <f>IFERROR(__xludf.DUMMYFUNCTION("""COMPUTED_VALUE"""),"For sale")</f>
        <v>For sale</v>
      </c>
      <c r="B5" s="2" t="str">
        <f>IFERROR(__xludf.DUMMYFUNCTION("""COMPUTED_VALUE"""),"Ķengarags")</f>
        <v>Ķengarags</v>
      </c>
      <c r="C5" s="2" t="str">
        <f>IFERROR(__xludf.DUMMYFUNCTION("""COMPUTED_VALUE"""),"Maskavas 305")</f>
        <v>Maskavas 305</v>
      </c>
      <c r="D5" s="2">
        <f>IFERROR(__xludf.DUMMYFUNCTION("""COMPUTED_VALUE"""),2.0)</f>
        <v>2</v>
      </c>
      <c r="E5" s="2">
        <f>IFERROR(__xludf.DUMMYFUNCTION("""COMPUTED_VALUE"""),50.0)</f>
        <v>50</v>
      </c>
      <c r="F5" s="2">
        <f>IFERROR(__xludf.DUMMYFUNCTION("""COMPUTED_VALUE"""),5.0)</f>
        <v>5</v>
      </c>
      <c r="G5" s="2">
        <f>IFERROR(__xludf.DUMMYFUNCTION("""COMPUTED_VALUE"""),5.0)</f>
        <v>5</v>
      </c>
      <c r="H5" s="2" t="str">
        <f>IFERROR(__xludf.DUMMYFUNCTION("""COMPUTED_VALUE"""),"LT proj.")</f>
        <v>LT proj.</v>
      </c>
      <c r="I5" s="2" t="str">
        <f>IFERROR(__xludf.DUMMYFUNCTION("""COMPUTED_VALUE"""),"Panel")</f>
        <v>Panel</v>
      </c>
      <c r="J5" s="2" t="str">
        <f>IFERROR(__xludf.DUMMYFUNCTION("""COMPUTED_VALUE"""),"All amenities")</f>
        <v>All amenities</v>
      </c>
      <c r="K5" s="2">
        <f>IFERROR(__xludf.DUMMYFUNCTION("""COMPUTED_VALUE"""),34000.0)</f>
        <v>34000</v>
      </c>
      <c r="L5" s="2">
        <f>IFERROR(__xludf.DUMMYFUNCTION("""COMPUTED_VALUE"""),56.8597884)</f>
        <v>56.8597884</v>
      </c>
      <c r="M5" s="2">
        <f>IFERROR(__xludf.DUMMYFUNCTION("""COMPUTED_VALUE"""),24.3083417)</f>
        <v>24.3083417</v>
      </c>
    </row>
    <row r="6">
      <c r="A6" s="2" t="str">
        <f>IFERROR(__xludf.DUMMYFUNCTION("""COMPUTED_VALUE"""),"For rent")</f>
        <v>For rent</v>
      </c>
      <c r="B6" s="2" t="str">
        <f>IFERROR(__xludf.DUMMYFUNCTION("""COMPUTED_VALUE"""),"Teika")</f>
        <v>Teika</v>
      </c>
      <c r="C6" s="2" t="str">
        <f>IFERROR(__xludf.DUMMYFUNCTION("""COMPUTED_VALUE"""),"Zemgala gatve 80")</f>
        <v>Zemgala gatve 80</v>
      </c>
      <c r="D6" s="2">
        <f>IFERROR(__xludf.DUMMYFUNCTION("""COMPUTED_VALUE"""),3.0)</f>
        <v>3</v>
      </c>
      <c r="E6" s="2">
        <f>IFERROR(__xludf.DUMMYFUNCTION("""COMPUTED_VALUE"""),76.0)</f>
        <v>76</v>
      </c>
      <c r="F6" s="2">
        <f>IFERROR(__xludf.DUMMYFUNCTION("""COMPUTED_VALUE"""),3.0)</f>
        <v>3</v>
      </c>
      <c r="G6" s="2">
        <f>IFERROR(__xludf.DUMMYFUNCTION("""COMPUTED_VALUE"""),12.0)</f>
        <v>12</v>
      </c>
      <c r="H6" s="2" t="str">
        <f>IFERROR(__xludf.DUMMYFUNCTION("""COMPUTED_VALUE"""),"Jaun.")</f>
        <v>Jaun.</v>
      </c>
      <c r="I6" s="2" t="str">
        <f>IFERROR(__xludf.DUMMYFUNCTION("""COMPUTED_VALUE"""),"Masonry")</f>
        <v>Masonry</v>
      </c>
      <c r="J6" s="2" t="str">
        <f>IFERROR(__xludf.DUMMYFUNCTION("""COMPUTED_VALUE"""),"All amenities")</f>
        <v>All amenities</v>
      </c>
      <c r="K6" s="2">
        <f>IFERROR(__xludf.DUMMYFUNCTION("""COMPUTED_VALUE"""),490.0)</f>
        <v>490</v>
      </c>
      <c r="L6" s="2">
        <f>IFERROR(__xludf.DUMMYFUNCTION("""COMPUTED_VALUE"""),56.9777452)</f>
        <v>56.9777452</v>
      </c>
      <c r="M6" s="2">
        <f>IFERROR(__xludf.DUMMYFUNCTION("""COMPUTED_VALUE"""),24.1660424135714)</f>
        <v>24.16604241</v>
      </c>
    </row>
    <row r="7">
      <c r="A7" s="2" t="str">
        <f>IFERROR(__xludf.DUMMYFUNCTION("""COMPUTED_VALUE"""),"For rent")</f>
        <v>For rent</v>
      </c>
      <c r="B7" s="2" t="str">
        <f>IFERROR(__xludf.DUMMYFUNCTION("""COMPUTED_VALUE"""),"centrs")</f>
        <v>centrs</v>
      </c>
      <c r="C7" s="2" t="str">
        <f>IFERROR(__xludf.DUMMYFUNCTION("""COMPUTED_VALUE"""),"Ģertrūdes 16")</f>
        <v>Ģertrūdes 16</v>
      </c>
      <c r="D7" s="2">
        <f>IFERROR(__xludf.DUMMYFUNCTION("""COMPUTED_VALUE"""),2.0)</f>
        <v>2</v>
      </c>
      <c r="E7" s="2">
        <f>IFERROR(__xludf.DUMMYFUNCTION("""COMPUTED_VALUE"""),40.0)</f>
        <v>40</v>
      </c>
      <c r="F7" s="2">
        <f>IFERROR(__xludf.DUMMYFUNCTION("""COMPUTED_VALUE"""),3.0)</f>
        <v>3</v>
      </c>
      <c r="G7" s="2">
        <f>IFERROR(__xludf.DUMMYFUNCTION("""COMPUTED_VALUE"""),6.0)</f>
        <v>6</v>
      </c>
      <c r="H7" s="2" t="str">
        <f>IFERROR(__xludf.DUMMYFUNCTION("""COMPUTED_VALUE"""),"P. kara")</f>
        <v>P. kara</v>
      </c>
      <c r="I7" s="2" t="str">
        <f>IFERROR(__xludf.DUMMYFUNCTION("""COMPUTED_VALUE"""),"Masonry")</f>
        <v>Masonry</v>
      </c>
      <c r="J7" s="2" t="str">
        <f>IFERROR(__xludf.DUMMYFUNCTION("""COMPUTED_VALUE"""),"All amenities")</f>
        <v>All amenities</v>
      </c>
      <c r="K7" s="2">
        <f>IFERROR(__xludf.DUMMYFUNCTION("""COMPUTED_VALUE"""),440.0)</f>
        <v>440</v>
      </c>
      <c r="L7" s="2">
        <f>IFERROR(__xludf.DUMMYFUNCTION("""COMPUTED_VALUE"""),56.9566594)</f>
        <v>56.9566594</v>
      </c>
      <c r="M7" s="2">
        <f>IFERROR(__xludf.DUMMYFUNCTION("""COMPUTED_VALUE"""),24.1237638)</f>
        <v>24.1237638</v>
      </c>
    </row>
    <row r="8">
      <c r="A8" s="2" t="str">
        <f>IFERROR(__xludf.DUMMYFUNCTION("""COMPUTED_VALUE"""),"For sale")</f>
        <v>For sale</v>
      </c>
      <c r="B8" s="2" t="str">
        <f>IFERROR(__xludf.DUMMYFUNCTION("""COMPUTED_VALUE"""),"Ķengarags")</f>
        <v>Ķengarags</v>
      </c>
      <c r="C8" s="2" t="str">
        <f>IFERROR(__xludf.DUMMYFUNCTION("""COMPUTED_VALUE"""),"Lokomotīves 20")</f>
        <v>Lokomotīves 20</v>
      </c>
      <c r="D8" s="2">
        <f>IFERROR(__xludf.DUMMYFUNCTION("""COMPUTED_VALUE"""),2.0)</f>
        <v>2</v>
      </c>
      <c r="E8" s="2">
        <f>IFERROR(__xludf.DUMMYFUNCTION("""COMPUTED_VALUE"""),37.0)</f>
        <v>37</v>
      </c>
      <c r="F8" s="2">
        <f>IFERROR(__xludf.DUMMYFUNCTION("""COMPUTED_VALUE"""),5.0)</f>
        <v>5</v>
      </c>
      <c r="G8" s="2">
        <f>IFERROR(__xludf.DUMMYFUNCTION("""COMPUTED_VALUE"""),5.0)</f>
        <v>5</v>
      </c>
      <c r="H8" s="2" t="str">
        <f>IFERROR(__xludf.DUMMYFUNCTION("""COMPUTED_VALUE"""),"Specpr.")</f>
        <v>Specpr.</v>
      </c>
      <c r="I8" s="2" t="str">
        <f>IFERROR(__xludf.DUMMYFUNCTION("""COMPUTED_VALUE"""),"Brick")</f>
        <v>Brick</v>
      </c>
      <c r="J8" s="2" t="str">
        <f>IFERROR(__xludf.DUMMYFUNCTION("""COMPUTED_VALUE"""),"All amenities")</f>
        <v>All amenities</v>
      </c>
      <c r="K8" s="2">
        <f>IFERROR(__xludf.DUMMYFUNCTION("""COMPUTED_VALUE"""),31000.0)</f>
        <v>31000</v>
      </c>
      <c r="L8" s="2">
        <f>IFERROR(__xludf.DUMMYFUNCTION("""COMPUTED_VALUE"""),56.91527335)</f>
        <v>56.91527335</v>
      </c>
      <c r="M8" s="2">
        <f>IFERROR(__xludf.DUMMYFUNCTION("""COMPUTED_VALUE"""),24.18936465)</f>
        <v>24.18936465</v>
      </c>
    </row>
    <row r="9">
      <c r="A9" s="2" t="str">
        <f>IFERROR(__xludf.DUMMYFUNCTION("""COMPUTED_VALUE"""),"For rent")</f>
        <v>For rent</v>
      </c>
      <c r="B9" s="2" t="str">
        <f>IFERROR(__xludf.DUMMYFUNCTION("""COMPUTED_VALUE"""),"Imanta")</f>
        <v>Imanta</v>
      </c>
      <c r="C9" s="2" t="str">
        <f>IFERROR(__xludf.DUMMYFUNCTION("""COMPUTED_VALUE"""),"Kurzemes pr. 46")</f>
        <v>Kurzemes pr. 46</v>
      </c>
      <c r="D9" s="2">
        <f>IFERROR(__xludf.DUMMYFUNCTION("""COMPUTED_VALUE"""),2.0)</f>
        <v>2</v>
      </c>
      <c r="E9" s="2">
        <f>IFERROR(__xludf.DUMMYFUNCTION("""COMPUTED_VALUE"""),49.0)</f>
        <v>49</v>
      </c>
      <c r="F9" s="2">
        <f>IFERROR(__xludf.DUMMYFUNCTION("""COMPUTED_VALUE"""),3.0)</f>
        <v>3</v>
      </c>
      <c r="G9" s="2">
        <f>IFERROR(__xludf.DUMMYFUNCTION("""COMPUTED_VALUE"""),5.0)</f>
        <v>5</v>
      </c>
      <c r="H9" s="2" t="str">
        <f>IFERROR(__xludf.DUMMYFUNCTION("""COMPUTED_VALUE"""),"LT proj.")</f>
        <v>LT proj.</v>
      </c>
      <c r="I9" s="2" t="str">
        <f>IFERROR(__xludf.DUMMYFUNCTION("""COMPUTED_VALUE"""),"Panel")</f>
        <v>Panel</v>
      </c>
      <c r="J9" s="2" t="str">
        <f>IFERROR(__xludf.DUMMYFUNCTION("""COMPUTED_VALUE"""),"All amenities")</f>
        <v>All amenities</v>
      </c>
      <c r="K9" s="2">
        <f>IFERROR(__xludf.DUMMYFUNCTION("""COMPUTED_VALUE"""),240.0)</f>
        <v>240</v>
      </c>
      <c r="L9" s="2" t="str">
        <f>IFERROR(__xludf.DUMMYFUNCTION("""COMPUTED_VALUE"""),"NaN")</f>
        <v>NaN</v>
      </c>
      <c r="M9" s="2" t="str">
        <f>IFERROR(__xludf.DUMMYFUNCTION("""COMPUTED_VALUE"""),"NaN")</f>
        <v>NaN</v>
      </c>
    </row>
    <row r="10">
      <c r="A10" s="2" t="str">
        <f>IFERROR(__xludf.DUMMYFUNCTION("""COMPUTED_VALUE"""),"For rent")</f>
        <v>For rent</v>
      </c>
      <c r="B10" s="2" t="str">
        <f>IFERROR(__xludf.DUMMYFUNCTION("""COMPUTED_VALUE"""),"centrs")</f>
        <v>centrs</v>
      </c>
      <c r="C10" s="2" t="str">
        <f>IFERROR(__xludf.DUMMYFUNCTION("""COMPUTED_VALUE"""),"Avotu 7")</f>
        <v>Avotu 7</v>
      </c>
      <c r="D10" s="2">
        <f>IFERROR(__xludf.DUMMYFUNCTION("""COMPUTED_VALUE"""),2.0)</f>
        <v>2</v>
      </c>
      <c r="E10" s="2">
        <f>IFERROR(__xludf.DUMMYFUNCTION("""COMPUTED_VALUE"""),48.0)</f>
        <v>48</v>
      </c>
      <c r="F10" s="2">
        <f>IFERROR(__xludf.DUMMYFUNCTION("""COMPUTED_VALUE"""),5.0)</f>
        <v>5</v>
      </c>
      <c r="G10" s="2">
        <f>IFERROR(__xludf.DUMMYFUNCTION("""COMPUTED_VALUE"""),5.0)</f>
        <v>5</v>
      </c>
      <c r="H10" s="2" t="str">
        <f>IFERROR(__xludf.DUMMYFUNCTION("""COMPUTED_VALUE"""),"P. kara")</f>
        <v>P. kara</v>
      </c>
      <c r="I10" s="2" t="str">
        <f>IFERROR(__xludf.DUMMYFUNCTION("""COMPUTED_VALUE"""),"Brick")</f>
        <v>Brick</v>
      </c>
      <c r="J10" s="2" t="str">
        <f>IFERROR(__xludf.DUMMYFUNCTION("""COMPUTED_VALUE"""),"All amenities")</f>
        <v>All amenities</v>
      </c>
      <c r="K10" s="2">
        <f>IFERROR(__xludf.DUMMYFUNCTION("""COMPUTED_VALUE"""),400.0)</f>
        <v>400</v>
      </c>
      <c r="L10" s="2">
        <f>IFERROR(__xludf.DUMMYFUNCTION("""COMPUTED_VALUE"""),56.9509444)</f>
        <v>56.9509444</v>
      </c>
      <c r="M10" s="2">
        <f>IFERROR(__xludf.DUMMYFUNCTION("""COMPUTED_VALUE"""),24.128357771229)</f>
        <v>24.12835777</v>
      </c>
    </row>
    <row r="11">
      <c r="A11" s="2" t="str">
        <f>IFERROR(__xludf.DUMMYFUNCTION("""COMPUTED_VALUE"""),"For rent")</f>
        <v>For rent</v>
      </c>
      <c r="B11" s="2" t="str">
        <f>IFERROR(__xludf.DUMMYFUNCTION("""COMPUTED_VALUE"""),"Jugla")</f>
        <v>Jugla</v>
      </c>
      <c r="C11" s="2" t="str">
        <f>IFERROR(__xludf.DUMMYFUNCTION("""COMPUTED_VALUE"""),"Juglas 53")</f>
        <v>Juglas 53</v>
      </c>
      <c r="D11" s="2">
        <f>IFERROR(__xludf.DUMMYFUNCTION("""COMPUTED_VALUE"""),2.0)</f>
        <v>2</v>
      </c>
      <c r="E11" s="2">
        <f>IFERROR(__xludf.DUMMYFUNCTION("""COMPUTED_VALUE"""),45.0)</f>
        <v>45</v>
      </c>
      <c r="F11" s="2">
        <f>IFERROR(__xludf.DUMMYFUNCTION("""COMPUTED_VALUE"""),2.0)</f>
        <v>2</v>
      </c>
      <c r="G11" s="2">
        <f>IFERROR(__xludf.DUMMYFUNCTION("""COMPUTED_VALUE"""),5.0)</f>
        <v>5</v>
      </c>
      <c r="H11" s="2" t="str">
        <f>IFERROR(__xludf.DUMMYFUNCTION("""COMPUTED_VALUE"""),"Hrušč.")</f>
        <v>Hrušč.</v>
      </c>
      <c r="I11" s="2" t="str">
        <f>IFERROR(__xludf.DUMMYFUNCTION("""COMPUTED_VALUE"""),"Panel")</f>
        <v>Panel</v>
      </c>
      <c r="J11" s="2" t="str">
        <f>IFERROR(__xludf.DUMMYFUNCTION("""COMPUTED_VALUE"""),"All amenities")</f>
        <v>All amenities</v>
      </c>
      <c r="K11" s="2">
        <f>IFERROR(__xludf.DUMMYFUNCTION("""COMPUTED_VALUE"""),360.0)</f>
        <v>360</v>
      </c>
      <c r="L11" s="2">
        <f>IFERROR(__xludf.DUMMYFUNCTION("""COMPUTED_VALUE"""),56.9761694)</f>
        <v>56.9761694</v>
      </c>
      <c r="M11" s="2">
        <f>IFERROR(__xludf.DUMMYFUNCTION("""COMPUTED_VALUE"""),24.2544503)</f>
        <v>24.2544503</v>
      </c>
    </row>
    <row r="12">
      <c r="A12" s="2" t="str">
        <f>IFERROR(__xludf.DUMMYFUNCTION("""COMPUTED_VALUE"""),"For sale")</f>
        <v>For sale</v>
      </c>
      <c r="B12" s="2" t="str">
        <f>IFERROR(__xludf.DUMMYFUNCTION("""COMPUTED_VALUE"""),"Mangaļi")</f>
        <v>Mangaļi</v>
      </c>
      <c r="C12" s="2" t="str">
        <f>IFERROR(__xludf.DUMMYFUNCTION("""COMPUTED_VALUE"""),"Mores 3")</f>
        <v>Mores 3</v>
      </c>
      <c r="D12" s="2">
        <f>IFERROR(__xludf.DUMMYFUNCTION("""COMPUTED_VALUE"""),2.0)</f>
        <v>2</v>
      </c>
      <c r="E12" s="2">
        <f>IFERROR(__xludf.DUMMYFUNCTION("""COMPUTED_VALUE"""),46.0)</f>
        <v>46</v>
      </c>
      <c r="F12" s="2">
        <f>IFERROR(__xludf.DUMMYFUNCTION("""COMPUTED_VALUE"""),4.0)</f>
        <v>4</v>
      </c>
      <c r="G12" s="2">
        <f>IFERROR(__xludf.DUMMYFUNCTION("""COMPUTED_VALUE"""),5.0)</f>
        <v>5</v>
      </c>
      <c r="H12" s="2" t="str">
        <f>IFERROR(__xludf.DUMMYFUNCTION("""COMPUTED_VALUE"""),"Hrušč.")</f>
        <v>Hrušč.</v>
      </c>
      <c r="I12" s="2" t="str">
        <f>IFERROR(__xludf.DUMMYFUNCTION("""COMPUTED_VALUE"""),"Panel")</f>
        <v>Panel</v>
      </c>
      <c r="J12" s="2" t="str">
        <f>IFERROR(__xludf.DUMMYFUNCTION("""COMPUTED_VALUE"""),"All amenities")</f>
        <v>All amenities</v>
      </c>
      <c r="K12" s="2">
        <f>IFERROR(__xludf.DUMMYFUNCTION("""COMPUTED_VALUE"""),39999.0)</f>
        <v>39999</v>
      </c>
      <c r="L12" s="2">
        <f>IFERROR(__xludf.DUMMYFUNCTION("""COMPUTED_VALUE"""),57.0188111)</f>
        <v>57.0188111</v>
      </c>
      <c r="M12" s="2">
        <f>IFERROR(__xludf.DUMMYFUNCTION("""COMPUTED_VALUE"""),24.13501185)</f>
        <v>24.13501185</v>
      </c>
    </row>
    <row r="13">
      <c r="A13" s="2" t="str">
        <f>IFERROR(__xludf.DUMMYFUNCTION("""COMPUTED_VALUE"""),"For sale")</f>
        <v>For sale</v>
      </c>
      <c r="B13" s="2" t="str">
        <f>IFERROR(__xludf.DUMMYFUNCTION("""COMPUTED_VALUE"""),"Jugla")</f>
        <v>Jugla</v>
      </c>
      <c r="C13" s="2" t="str">
        <f>IFERROR(__xludf.DUMMYFUNCTION("""COMPUTED_VALUE"""),"Baltezera 1")</f>
        <v>Baltezera 1</v>
      </c>
      <c r="D13" s="2">
        <f>IFERROR(__xludf.DUMMYFUNCTION("""COMPUTED_VALUE"""),3.0)</f>
        <v>3</v>
      </c>
      <c r="E13" s="2">
        <f>IFERROR(__xludf.DUMMYFUNCTION("""COMPUTED_VALUE"""),58.0)</f>
        <v>58</v>
      </c>
      <c r="F13" s="2">
        <f>IFERROR(__xludf.DUMMYFUNCTION("""COMPUTED_VALUE"""),4.0)</f>
        <v>4</v>
      </c>
      <c r="G13" s="2">
        <f>IFERROR(__xludf.DUMMYFUNCTION("""COMPUTED_VALUE"""),5.0)</f>
        <v>5</v>
      </c>
      <c r="H13" s="2" t="str">
        <f>IFERROR(__xludf.DUMMYFUNCTION("""COMPUTED_VALUE"""),"Specpr.")</f>
        <v>Specpr.</v>
      </c>
      <c r="I13" s="2" t="str">
        <f>IFERROR(__xludf.DUMMYFUNCTION("""COMPUTED_VALUE"""),"Brick")</f>
        <v>Brick</v>
      </c>
      <c r="J13" s="2" t="str">
        <f>IFERROR(__xludf.DUMMYFUNCTION("""COMPUTED_VALUE"""),"All amenities")</f>
        <v>All amenities</v>
      </c>
      <c r="K13" s="2">
        <f>IFERROR(__xludf.DUMMYFUNCTION("""COMPUTED_VALUE"""),50000.0)</f>
        <v>50000</v>
      </c>
      <c r="L13" s="2">
        <f>IFERROR(__xludf.DUMMYFUNCTION("""COMPUTED_VALUE"""),56.9927002999999)</f>
        <v>56.9927003</v>
      </c>
      <c r="M13" s="2">
        <f>IFERROR(__xludf.DUMMYFUNCTION("""COMPUTED_VALUE"""),24.2400597)</f>
        <v>24.2400597</v>
      </c>
    </row>
    <row r="14">
      <c r="A14" s="2" t="str">
        <f>IFERROR(__xludf.DUMMYFUNCTION("""COMPUTED_VALUE"""),"For sale")</f>
        <v>For sale</v>
      </c>
      <c r="B14" s="2" t="str">
        <f>IFERROR(__xludf.DUMMYFUNCTION("""COMPUTED_VALUE"""),"Mežciems")</f>
        <v>Mežciems</v>
      </c>
      <c r="C14" s="2" t="str">
        <f>IFERROR(__xludf.DUMMYFUNCTION("""COMPUTED_VALUE"""),"Gaiļezera 4")</f>
        <v>Gaiļezera 4</v>
      </c>
      <c r="D14" s="2">
        <f>IFERROR(__xludf.DUMMYFUNCTION("""COMPUTED_VALUE"""),2.0)</f>
        <v>2</v>
      </c>
      <c r="E14" s="2">
        <f>IFERROR(__xludf.DUMMYFUNCTION("""COMPUTED_VALUE"""),50.0)</f>
        <v>50</v>
      </c>
      <c r="F14" s="2">
        <f>IFERROR(__xludf.DUMMYFUNCTION("""COMPUTED_VALUE"""),1.0)</f>
        <v>1</v>
      </c>
      <c r="G14" s="2">
        <f>IFERROR(__xludf.DUMMYFUNCTION("""COMPUTED_VALUE"""),9.0)</f>
        <v>9</v>
      </c>
      <c r="H14" s="2">
        <f>IFERROR(__xludf.DUMMYFUNCTION("""COMPUTED_VALUE"""),602.0)</f>
        <v>602</v>
      </c>
      <c r="I14" s="2" t="str">
        <f>IFERROR(__xludf.DUMMYFUNCTION("""COMPUTED_VALUE"""),"Panel")</f>
        <v>Panel</v>
      </c>
      <c r="J14" s="2" t="str">
        <f>IFERROR(__xludf.DUMMYFUNCTION("""COMPUTED_VALUE"""),"All amenities")</f>
        <v>All amenities</v>
      </c>
      <c r="K14" s="2">
        <f>IFERROR(__xludf.DUMMYFUNCTION("""COMPUTED_VALUE"""),53000.0)</f>
        <v>53000</v>
      </c>
      <c r="L14" s="2">
        <f>IFERROR(__xludf.DUMMYFUNCTION("""COMPUTED_VALUE"""),56.967948)</f>
        <v>56.967948</v>
      </c>
      <c r="M14" s="2">
        <f>IFERROR(__xludf.DUMMYFUNCTION("""COMPUTED_VALUE"""),24.2351586311777)</f>
        <v>24.23515863</v>
      </c>
    </row>
    <row r="15">
      <c r="A15" s="2" t="str">
        <f>IFERROR(__xludf.DUMMYFUNCTION("""COMPUTED_VALUE"""),"For sale")</f>
        <v>For sale</v>
      </c>
      <c r="B15" s="2" t="str">
        <f>IFERROR(__xludf.DUMMYFUNCTION("""COMPUTED_VALUE"""),"Maskavas priekšpilsēta")</f>
        <v>Maskavas priekšpilsēta</v>
      </c>
      <c r="C15" s="2" t="str">
        <f>IFERROR(__xludf.DUMMYFUNCTION("""COMPUTED_VALUE"""),"Maskavas 291 k1")</f>
        <v>Maskavas 291 k1</v>
      </c>
      <c r="D15" s="2">
        <f>IFERROR(__xludf.DUMMYFUNCTION("""COMPUTED_VALUE"""),3.0)</f>
        <v>3</v>
      </c>
      <c r="E15" s="2">
        <f>IFERROR(__xludf.DUMMYFUNCTION("""COMPUTED_VALUE"""),60.0)</f>
        <v>60</v>
      </c>
      <c r="F15" s="2">
        <f>IFERROR(__xludf.DUMMYFUNCTION("""COMPUTED_VALUE"""),2.0)</f>
        <v>2</v>
      </c>
      <c r="G15" s="2">
        <f>IFERROR(__xludf.DUMMYFUNCTION("""COMPUTED_VALUE"""),5.0)</f>
        <v>5</v>
      </c>
      <c r="H15" s="2" t="str">
        <f>IFERROR(__xludf.DUMMYFUNCTION("""COMPUTED_VALUE"""),"LT proj.")</f>
        <v>LT proj.</v>
      </c>
      <c r="I15" s="2" t="str">
        <f>IFERROR(__xludf.DUMMYFUNCTION("""COMPUTED_VALUE"""),"Panel")</f>
        <v>Panel</v>
      </c>
      <c r="J15" s="2" t="str">
        <f>IFERROR(__xludf.DUMMYFUNCTION("""COMPUTED_VALUE"""),"All amenities")</f>
        <v>All amenities</v>
      </c>
      <c r="K15" s="2">
        <f>IFERROR(__xludf.DUMMYFUNCTION("""COMPUTED_VALUE"""),48000.0)</f>
        <v>48000</v>
      </c>
      <c r="L15" s="2">
        <f>IFERROR(__xludf.DUMMYFUNCTION("""COMPUTED_VALUE"""),56.9228069)</f>
        <v>56.9228069</v>
      </c>
      <c r="M15" s="2">
        <f>IFERROR(__xludf.DUMMYFUNCTION("""COMPUTED_VALUE"""),24.1703845)</f>
        <v>24.1703845</v>
      </c>
    </row>
    <row r="16">
      <c r="A16" s="2" t="str">
        <f>IFERROR(__xludf.DUMMYFUNCTION("""COMPUTED_VALUE"""),"For sale")</f>
        <v>For sale</v>
      </c>
      <c r="B16" s="2" t="str">
        <f>IFERROR(__xludf.DUMMYFUNCTION("""COMPUTED_VALUE"""),"Zolitūde")</f>
        <v>Zolitūde</v>
      </c>
      <c r="C16" s="2" t="str">
        <f>IFERROR(__xludf.DUMMYFUNCTION("""COMPUTED_VALUE"""),"Zolitūdes 46/2")</f>
        <v>Zolitūdes 46/2</v>
      </c>
      <c r="D16" s="2">
        <f>IFERROR(__xludf.DUMMYFUNCTION("""COMPUTED_VALUE"""),1.0)</f>
        <v>1</v>
      </c>
      <c r="E16" s="2">
        <f>IFERROR(__xludf.DUMMYFUNCTION("""COMPUTED_VALUE"""),46.0)</f>
        <v>46</v>
      </c>
      <c r="F16" s="2">
        <f>IFERROR(__xludf.DUMMYFUNCTION("""COMPUTED_VALUE"""),9.0)</f>
        <v>9</v>
      </c>
      <c r="G16" s="2">
        <f>IFERROR(__xludf.DUMMYFUNCTION("""COMPUTED_VALUE"""),9.0)</f>
        <v>9</v>
      </c>
      <c r="H16" s="2">
        <f>IFERROR(__xludf.DUMMYFUNCTION("""COMPUTED_VALUE"""),119.0)</f>
        <v>119</v>
      </c>
      <c r="I16" s="2" t="str">
        <f>IFERROR(__xludf.DUMMYFUNCTION("""COMPUTED_VALUE"""),"Panel")</f>
        <v>Panel</v>
      </c>
      <c r="J16" s="2" t="str">
        <f>IFERROR(__xludf.DUMMYFUNCTION("""COMPUTED_VALUE"""),"All amenities")</f>
        <v>All amenities</v>
      </c>
      <c r="K16" s="2">
        <f>IFERROR(__xludf.DUMMYFUNCTION("""COMPUTED_VALUE"""),38500.0)</f>
        <v>38500</v>
      </c>
      <c r="L16" s="2">
        <f>IFERROR(__xludf.DUMMYFUNCTION("""COMPUTED_VALUE"""),56.9461963)</f>
        <v>56.9461963</v>
      </c>
      <c r="M16" s="2">
        <f>IFERROR(__xludf.DUMMYFUNCTION("""COMPUTED_VALUE"""),24.0014164)</f>
        <v>24.0014164</v>
      </c>
    </row>
    <row r="17">
      <c r="A17" s="2" t="str">
        <f>IFERROR(__xludf.DUMMYFUNCTION("""COMPUTED_VALUE"""),"For sale")</f>
        <v>For sale</v>
      </c>
      <c r="B17" s="2" t="str">
        <f>IFERROR(__xludf.DUMMYFUNCTION("""COMPUTED_VALUE"""),"Mežciems")</f>
        <v>Mežciems</v>
      </c>
      <c r="C17" s="2" t="str">
        <f>IFERROR(__xludf.DUMMYFUNCTION("""COMPUTED_VALUE"""),"Celmu 5")</f>
        <v>Celmu 5</v>
      </c>
      <c r="D17" s="2">
        <f>IFERROR(__xludf.DUMMYFUNCTION("""COMPUTED_VALUE"""),2.0)</f>
        <v>2</v>
      </c>
      <c r="E17" s="2">
        <f>IFERROR(__xludf.DUMMYFUNCTION("""COMPUTED_VALUE"""),36.0)</f>
        <v>36</v>
      </c>
      <c r="F17" s="2">
        <f>IFERROR(__xludf.DUMMYFUNCTION("""COMPUTED_VALUE"""),1.0)</f>
        <v>1</v>
      </c>
      <c r="G17" s="2">
        <f>IFERROR(__xludf.DUMMYFUNCTION("""COMPUTED_VALUE"""),5.0)</f>
        <v>5</v>
      </c>
      <c r="H17" s="2" t="str">
        <f>IFERROR(__xludf.DUMMYFUNCTION("""COMPUTED_VALUE"""),"LT proj.")</f>
        <v>LT proj.</v>
      </c>
      <c r="I17" s="2" t="str">
        <f>IFERROR(__xludf.DUMMYFUNCTION("""COMPUTED_VALUE"""),"Panel")</f>
        <v>Panel</v>
      </c>
      <c r="J17" s="2" t="str">
        <f>IFERROR(__xludf.DUMMYFUNCTION("""COMPUTED_VALUE"""),"All amenities")</f>
        <v>All amenities</v>
      </c>
      <c r="K17" s="2">
        <f>IFERROR(__xludf.DUMMYFUNCTION("""COMPUTED_VALUE"""),46000.0)</f>
        <v>46000</v>
      </c>
      <c r="L17" s="2">
        <f>IFERROR(__xludf.DUMMYFUNCTION("""COMPUTED_VALUE"""),56.9736358)</f>
        <v>56.9736358</v>
      </c>
      <c r="M17" s="2">
        <f>IFERROR(__xludf.DUMMYFUNCTION("""COMPUTED_VALUE"""),24.2335309150293)</f>
        <v>24.23353092</v>
      </c>
    </row>
    <row r="18">
      <c r="A18" s="2" t="str">
        <f>IFERROR(__xludf.DUMMYFUNCTION("""COMPUTED_VALUE"""),"For sale")</f>
        <v>For sale</v>
      </c>
      <c r="B18" s="2" t="str">
        <f>IFERROR(__xludf.DUMMYFUNCTION("""COMPUTED_VALUE"""),"centrs")</f>
        <v>centrs</v>
      </c>
      <c r="C18" s="2" t="str">
        <f>IFERROR(__xludf.DUMMYFUNCTION("""COMPUTED_VALUE"""),"Krāsotāju 25")</f>
        <v>Krāsotāju 25</v>
      </c>
      <c r="D18" s="2">
        <f>IFERROR(__xludf.DUMMYFUNCTION("""COMPUTED_VALUE"""),2.0)</f>
        <v>2</v>
      </c>
      <c r="E18" s="2">
        <f>IFERROR(__xludf.DUMMYFUNCTION("""COMPUTED_VALUE"""),36.0)</f>
        <v>36</v>
      </c>
      <c r="F18" s="2">
        <f>IFERROR(__xludf.DUMMYFUNCTION("""COMPUTED_VALUE"""),5.0)</f>
        <v>5</v>
      </c>
      <c r="G18" s="2">
        <f>IFERROR(__xludf.DUMMYFUNCTION("""COMPUTED_VALUE"""),5.0)</f>
        <v>5</v>
      </c>
      <c r="H18" s="2" t="str">
        <f>IFERROR(__xludf.DUMMYFUNCTION("""COMPUTED_VALUE"""),"P. kara")</f>
        <v>P. kara</v>
      </c>
      <c r="I18" s="2" t="str">
        <f>IFERROR(__xludf.DUMMYFUNCTION("""COMPUTED_VALUE"""),"Masonry")</f>
        <v>Masonry</v>
      </c>
      <c r="J18" s="2" t="str">
        <f>IFERROR(__xludf.DUMMYFUNCTION("""COMPUTED_VALUE"""),"All amenities")</f>
        <v>All amenities</v>
      </c>
      <c r="K18" s="2">
        <f>IFERROR(__xludf.DUMMYFUNCTION("""COMPUTED_VALUE"""),54900.0)</f>
        <v>54900</v>
      </c>
      <c r="L18" s="2">
        <f>IFERROR(__xludf.DUMMYFUNCTION("""COMPUTED_VALUE"""),56.9562996)</f>
        <v>56.9562996</v>
      </c>
      <c r="M18" s="2">
        <f>IFERROR(__xludf.DUMMYFUNCTION("""COMPUTED_VALUE"""),24.1467585)</f>
        <v>24.1467585</v>
      </c>
    </row>
    <row r="19">
      <c r="A19" s="2" t="str">
        <f>IFERROR(__xludf.DUMMYFUNCTION("""COMPUTED_VALUE"""),"For rent")</f>
        <v>For rent</v>
      </c>
      <c r="B19" s="2" t="str">
        <f>IFERROR(__xludf.DUMMYFUNCTION("""COMPUTED_VALUE"""),"Ziepniekkalns")</f>
        <v>Ziepniekkalns</v>
      </c>
      <c r="C19" s="2" t="str">
        <f>IFERROR(__xludf.DUMMYFUNCTION("""COMPUTED_VALUE"""),"Ozolciema 54")</f>
        <v>Ozolciema 54</v>
      </c>
      <c r="D19" s="2">
        <f>IFERROR(__xludf.DUMMYFUNCTION("""COMPUTED_VALUE"""),1.0)</f>
        <v>1</v>
      </c>
      <c r="E19" s="2">
        <f>IFERROR(__xludf.DUMMYFUNCTION("""COMPUTED_VALUE"""),44.0)</f>
        <v>44</v>
      </c>
      <c r="F19" s="2">
        <f>IFERROR(__xludf.DUMMYFUNCTION("""COMPUTED_VALUE"""),4.0)</f>
        <v>4</v>
      </c>
      <c r="G19" s="2">
        <f>IFERROR(__xludf.DUMMYFUNCTION("""COMPUTED_VALUE"""),9.0)</f>
        <v>9</v>
      </c>
      <c r="H19" s="2" t="str">
        <f>IFERROR(__xludf.DUMMYFUNCTION("""COMPUTED_VALUE"""),"M. ģim.")</f>
        <v>M. ģim.</v>
      </c>
      <c r="I19" s="2" t="str">
        <f>IFERROR(__xludf.DUMMYFUNCTION("""COMPUTED_VALUE"""),"Panel")</f>
        <v>Panel</v>
      </c>
      <c r="J19" s="2" t="str">
        <f>IFERROR(__xludf.DUMMYFUNCTION("""COMPUTED_VALUE"""),"All amenities")</f>
        <v>All amenities</v>
      </c>
      <c r="K19" s="2">
        <f>IFERROR(__xludf.DUMMYFUNCTION("""COMPUTED_VALUE"""),240.0)</f>
        <v>240</v>
      </c>
      <c r="L19" s="2">
        <f>IFERROR(__xludf.DUMMYFUNCTION("""COMPUTED_VALUE"""),56.9014001)</f>
        <v>56.9014001</v>
      </c>
      <c r="M19" s="2">
        <f>IFERROR(__xludf.DUMMYFUNCTION("""COMPUTED_VALUE"""),24.0998855645099)</f>
        <v>24.09988556</v>
      </c>
    </row>
    <row r="20">
      <c r="A20" s="2" t="str">
        <f>IFERROR(__xludf.DUMMYFUNCTION("""COMPUTED_VALUE"""),"For sale")</f>
        <v>For sale</v>
      </c>
      <c r="B20" s="2" t="str">
        <f>IFERROR(__xludf.DUMMYFUNCTION("""COMPUTED_VALUE"""),"Ķengarags")</f>
        <v>Ķengarags</v>
      </c>
      <c r="C20" s="2" t="str">
        <f>IFERROR(__xludf.DUMMYFUNCTION("""COMPUTED_VALUE"""),"Maskavas 268/5")</f>
        <v>Maskavas 268/5</v>
      </c>
      <c r="D20" s="2">
        <f>IFERROR(__xludf.DUMMYFUNCTION("""COMPUTED_VALUE"""),3.0)</f>
        <v>3</v>
      </c>
      <c r="E20" s="2">
        <f>IFERROR(__xludf.DUMMYFUNCTION("""COMPUTED_VALUE"""),60.0)</f>
        <v>60</v>
      </c>
      <c r="F20" s="2">
        <f>IFERROR(__xludf.DUMMYFUNCTION("""COMPUTED_VALUE"""),3.0)</f>
        <v>3</v>
      </c>
      <c r="G20" s="2">
        <f>IFERROR(__xludf.DUMMYFUNCTION("""COMPUTED_VALUE"""),5.0)</f>
        <v>5</v>
      </c>
      <c r="H20" s="2" t="str">
        <f>IFERROR(__xludf.DUMMYFUNCTION("""COMPUTED_VALUE"""),"Hrušč.")</f>
        <v>Hrušč.</v>
      </c>
      <c r="I20" s="2" t="str">
        <f>IFERROR(__xludf.DUMMYFUNCTION("""COMPUTED_VALUE"""),"Panel")</f>
        <v>Panel</v>
      </c>
      <c r="J20" s="2" t="str">
        <f>IFERROR(__xludf.DUMMYFUNCTION("""COMPUTED_VALUE"""),"All amenities")</f>
        <v>All amenities</v>
      </c>
      <c r="K20" s="2">
        <f>IFERROR(__xludf.DUMMYFUNCTION("""COMPUTED_VALUE"""),56500.0)</f>
        <v>56500</v>
      </c>
      <c r="L20" s="2">
        <f>IFERROR(__xludf.DUMMYFUNCTION("""COMPUTED_VALUE"""),56.8945857)</f>
        <v>56.8945857</v>
      </c>
      <c r="M20" s="2">
        <f>IFERROR(__xludf.DUMMYFUNCTION("""COMPUTED_VALUE"""),24.2163422)</f>
        <v>24.2163422</v>
      </c>
    </row>
    <row r="21">
      <c r="A21" s="2" t="str">
        <f>IFERROR(__xludf.DUMMYFUNCTION("""COMPUTED_VALUE"""),"For sale")</f>
        <v>For sale</v>
      </c>
      <c r="B21" s="2" t="str">
        <f>IFERROR(__xludf.DUMMYFUNCTION("""COMPUTED_VALUE"""),"Mežciems")</f>
        <v>Mežciems</v>
      </c>
      <c r="C21" s="2" t="str">
        <f>IFERROR(__xludf.DUMMYFUNCTION("""COMPUTED_VALUE"""),"Eizenšteina 57")</f>
        <v>Eizenšteina 57</v>
      </c>
      <c r="D21" s="2">
        <f>IFERROR(__xludf.DUMMYFUNCTION("""COMPUTED_VALUE"""),3.0)</f>
        <v>3</v>
      </c>
      <c r="E21" s="2">
        <f>IFERROR(__xludf.DUMMYFUNCTION("""COMPUTED_VALUE"""),62.0)</f>
        <v>62</v>
      </c>
      <c r="F21" s="2">
        <f>IFERROR(__xludf.DUMMYFUNCTION("""COMPUTED_VALUE"""),6.0)</f>
        <v>6</v>
      </c>
      <c r="G21" s="2">
        <f>IFERROR(__xludf.DUMMYFUNCTION("""COMPUTED_VALUE"""),9.0)</f>
        <v>9</v>
      </c>
      <c r="H21" s="2">
        <f>IFERROR(__xludf.DUMMYFUNCTION("""COMPUTED_VALUE"""),602.0)</f>
        <v>602</v>
      </c>
      <c r="I21" s="2" t="str">
        <f>IFERROR(__xludf.DUMMYFUNCTION("""COMPUTED_VALUE"""),"Panel")</f>
        <v>Panel</v>
      </c>
      <c r="J21" s="2" t="str">
        <f>IFERROR(__xludf.DUMMYFUNCTION("""COMPUTED_VALUE"""),"All amenities")</f>
        <v>All amenities</v>
      </c>
      <c r="K21" s="2">
        <f>IFERROR(__xludf.DUMMYFUNCTION("""COMPUTED_VALUE"""),52500.0)</f>
        <v>52500</v>
      </c>
      <c r="L21" s="2">
        <f>IFERROR(__xludf.DUMMYFUNCTION("""COMPUTED_VALUE"""),56.96342305)</f>
        <v>56.96342305</v>
      </c>
      <c r="M21" s="2">
        <f>IFERROR(__xludf.DUMMYFUNCTION("""COMPUTED_VALUE"""),24.2351297251986)</f>
        <v>24.23512973</v>
      </c>
    </row>
    <row r="22">
      <c r="A22" s="2" t="str">
        <f>IFERROR(__xludf.DUMMYFUNCTION("""COMPUTED_VALUE"""),"For rent")</f>
        <v>For rent</v>
      </c>
      <c r="B22" s="2" t="str">
        <f>IFERROR(__xludf.DUMMYFUNCTION("""COMPUTED_VALUE"""),"Bolderāja")</f>
        <v>Bolderāja</v>
      </c>
      <c r="C22" s="2" t="str">
        <f>IFERROR(__xludf.DUMMYFUNCTION("""COMPUTED_VALUE"""),"Stagaru 4")</f>
        <v>Stagaru 4</v>
      </c>
      <c r="D22" s="2">
        <f>IFERROR(__xludf.DUMMYFUNCTION("""COMPUTED_VALUE"""),2.0)</f>
        <v>2</v>
      </c>
      <c r="E22" s="2">
        <f>IFERROR(__xludf.DUMMYFUNCTION("""COMPUTED_VALUE"""),50.0)</f>
        <v>50</v>
      </c>
      <c r="F22" s="2">
        <f>IFERROR(__xludf.DUMMYFUNCTION("""COMPUTED_VALUE"""),2.0)</f>
        <v>2</v>
      </c>
      <c r="G22" s="2">
        <f>IFERROR(__xludf.DUMMYFUNCTION("""COMPUTED_VALUE"""),5.0)</f>
        <v>5</v>
      </c>
      <c r="H22" s="2" t="str">
        <f>IFERROR(__xludf.DUMMYFUNCTION("""COMPUTED_VALUE"""),"Specpr.")</f>
        <v>Specpr.</v>
      </c>
      <c r="I22" s="2" t="str">
        <f>IFERROR(__xludf.DUMMYFUNCTION("""COMPUTED_VALUE"""),"Panel")</f>
        <v>Panel</v>
      </c>
      <c r="J22" s="2" t="str">
        <f>IFERROR(__xludf.DUMMYFUNCTION("""COMPUTED_VALUE"""),"All amenities")</f>
        <v>All amenities</v>
      </c>
      <c r="K22" s="2">
        <f>IFERROR(__xludf.DUMMYFUNCTION("""COMPUTED_VALUE"""),260.0)</f>
        <v>260</v>
      </c>
      <c r="L22" s="2">
        <f>IFERROR(__xludf.DUMMYFUNCTION("""COMPUTED_VALUE"""),57.02965155)</f>
        <v>57.02965155</v>
      </c>
      <c r="M22" s="2">
        <f>IFERROR(__xludf.DUMMYFUNCTION("""COMPUTED_VALUE"""),24.0359751945236)</f>
        <v>24.03597519</v>
      </c>
    </row>
    <row r="23">
      <c r="A23" s="2" t="str">
        <f>IFERROR(__xludf.DUMMYFUNCTION("""COMPUTED_VALUE"""),"For sale")</f>
        <v>For sale</v>
      </c>
      <c r="B23" s="2" t="str">
        <f>IFERROR(__xludf.DUMMYFUNCTION("""COMPUTED_VALUE"""),"Purvciems")</f>
        <v>Purvciems</v>
      </c>
      <c r="C23" s="2" t="str">
        <f>IFERROR(__xludf.DUMMYFUNCTION("""COMPUTED_VALUE"""),"Dzelzavas 13")</f>
        <v>Dzelzavas 13</v>
      </c>
      <c r="D23" s="2">
        <f>IFERROR(__xludf.DUMMYFUNCTION("""COMPUTED_VALUE"""),2.0)</f>
        <v>2</v>
      </c>
      <c r="E23" s="2">
        <f>IFERROR(__xludf.DUMMYFUNCTION("""COMPUTED_VALUE"""),44.0)</f>
        <v>44</v>
      </c>
      <c r="F23" s="2">
        <f>IFERROR(__xludf.DUMMYFUNCTION("""COMPUTED_VALUE"""),4.0)</f>
        <v>4</v>
      </c>
      <c r="G23" s="2">
        <f>IFERROR(__xludf.DUMMYFUNCTION("""COMPUTED_VALUE"""),5.0)</f>
        <v>5</v>
      </c>
      <c r="H23" s="2" t="str">
        <f>IFERROR(__xludf.DUMMYFUNCTION("""COMPUTED_VALUE"""),"Hrušč.")</f>
        <v>Hrušč.</v>
      </c>
      <c r="I23" s="2" t="str">
        <f>IFERROR(__xludf.DUMMYFUNCTION("""COMPUTED_VALUE"""),"Brick")</f>
        <v>Brick</v>
      </c>
      <c r="J23" s="2" t="str">
        <f>IFERROR(__xludf.DUMMYFUNCTION("""COMPUTED_VALUE"""),"Without amenities")</f>
        <v>Without amenities</v>
      </c>
      <c r="K23" s="2">
        <f>IFERROR(__xludf.DUMMYFUNCTION("""COMPUTED_VALUE"""),39000.0)</f>
        <v>39000</v>
      </c>
      <c r="L23" s="2">
        <f>IFERROR(__xludf.DUMMYFUNCTION("""COMPUTED_VALUE"""),56.9636785)</f>
        <v>56.9636785</v>
      </c>
      <c r="M23" s="2">
        <f>IFERROR(__xludf.DUMMYFUNCTION("""COMPUTED_VALUE"""),24.1706167383245)</f>
        <v>24.17061674</v>
      </c>
    </row>
    <row r="24">
      <c r="A24" s="2" t="str">
        <f>IFERROR(__xludf.DUMMYFUNCTION("""COMPUTED_VALUE"""),"For rent")</f>
        <v>For rent</v>
      </c>
      <c r="B24" s="2" t="str">
        <f>IFERROR(__xludf.DUMMYFUNCTION("""COMPUTED_VALUE"""),"centrs")</f>
        <v>centrs</v>
      </c>
      <c r="C24" s="2" t="str">
        <f>IFERROR(__xludf.DUMMYFUNCTION("""COMPUTED_VALUE"""),"Čaka 33")</f>
        <v>Čaka 33</v>
      </c>
      <c r="D24" s="2">
        <f>IFERROR(__xludf.DUMMYFUNCTION("""COMPUTED_VALUE"""),2.0)</f>
        <v>2</v>
      </c>
      <c r="E24" s="2">
        <f>IFERROR(__xludf.DUMMYFUNCTION("""COMPUTED_VALUE"""),40.0)</f>
        <v>40</v>
      </c>
      <c r="F24" s="2">
        <f>IFERROR(__xludf.DUMMYFUNCTION("""COMPUTED_VALUE"""),4.0)</f>
        <v>4</v>
      </c>
      <c r="G24" s="2">
        <f>IFERROR(__xludf.DUMMYFUNCTION("""COMPUTED_VALUE"""),6.0)</f>
        <v>6</v>
      </c>
      <c r="H24" s="2" t="str">
        <f>IFERROR(__xludf.DUMMYFUNCTION("""COMPUTED_VALUE"""),"P. kara")</f>
        <v>P. kara</v>
      </c>
      <c r="I24" s="2" t="str">
        <f>IFERROR(__xludf.DUMMYFUNCTION("""COMPUTED_VALUE"""),"Masonry")</f>
        <v>Masonry</v>
      </c>
      <c r="J24" s="2" t="str">
        <f>IFERROR(__xludf.DUMMYFUNCTION("""COMPUTED_VALUE"""),"All amenities")</f>
        <v>All amenities</v>
      </c>
      <c r="K24" s="2">
        <f>IFERROR(__xludf.DUMMYFUNCTION("""COMPUTED_VALUE"""),395.0)</f>
        <v>395</v>
      </c>
      <c r="L24" s="2">
        <f>IFERROR(__xludf.DUMMYFUNCTION("""COMPUTED_VALUE"""),56.9521436)</f>
        <v>56.9521436</v>
      </c>
      <c r="M24" s="2">
        <f>IFERROR(__xludf.DUMMYFUNCTION("""COMPUTED_VALUE"""),24.1276865)</f>
        <v>24.1276865</v>
      </c>
    </row>
    <row r="25">
      <c r="A25" s="2" t="str">
        <f>IFERROR(__xludf.DUMMYFUNCTION("""COMPUTED_VALUE"""),"For rent")</f>
        <v>For rent</v>
      </c>
      <c r="B25" s="2" t="str">
        <f>IFERROR(__xludf.DUMMYFUNCTION("""COMPUTED_VALUE"""),"centrs")</f>
        <v>centrs</v>
      </c>
      <c r="C25" s="2" t="str">
        <f>IFERROR(__xludf.DUMMYFUNCTION("""COMPUTED_VALUE"""),"Bruņinieku 115")</f>
        <v>Bruņinieku 115</v>
      </c>
      <c r="D25" s="2">
        <f>IFERROR(__xludf.DUMMYFUNCTION("""COMPUTED_VALUE"""),2.0)</f>
        <v>2</v>
      </c>
      <c r="E25" s="2">
        <f>IFERROR(__xludf.DUMMYFUNCTION("""COMPUTED_VALUE"""),45.0)</f>
        <v>45</v>
      </c>
      <c r="F25" s="2">
        <f>IFERROR(__xludf.DUMMYFUNCTION("""COMPUTED_VALUE"""),2.0)</f>
        <v>2</v>
      </c>
      <c r="G25" s="2">
        <f>IFERROR(__xludf.DUMMYFUNCTION("""COMPUTED_VALUE"""),4.0)</f>
        <v>4</v>
      </c>
      <c r="H25" s="2" t="str">
        <f>IFERROR(__xludf.DUMMYFUNCTION("""COMPUTED_VALUE"""),"Renov.")</f>
        <v>Renov.</v>
      </c>
      <c r="I25" s="2" t="str">
        <f>IFERROR(__xludf.DUMMYFUNCTION("""COMPUTED_VALUE"""),"Masonry")</f>
        <v>Masonry</v>
      </c>
      <c r="J25" s="2" t="str">
        <f>IFERROR(__xludf.DUMMYFUNCTION("""COMPUTED_VALUE"""),"All amenities")</f>
        <v>All amenities</v>
      </c>
      <c r="K25" s="2">
        <f>IFERROR(__xludf.DUMMYFUNCTION("""COMPUTED_VALUE"""),350.0)</f>
        <v>350</v>
      </c>
      <c r="L25" s="2">
        <f>IFERROR(__xludf.DUMMYFUNCTION("""COMPUTED_VALUE"""),56.949971)</f>
        <v>56.949971</v>
      </c>
      <c r="M25" s="2">
        <f>IFERROR(__xludf.DUMMYFUNCTION("""COMPUTED_VALUE"""),24.1441423352317)</f>
        <v>24.14414234</v>
      </c>
    </row>
    <row r="26">
      <c r="A26" s="2" t="str">
        <f>IFERROR(__xludf.DUMMYFUNCTION("""COMPUTED_VALUE"""),"For rent")</f>
        <v>For rent</v>
      </c>
      <c r="B26" s="2" t="str">
        <f>IFERROR(__xludf.DUMMYFUNCTION("""COMPUTED_VALUE"""),"Grīziņkalns")</f>
        <v>Grīziņkalns</v>
      </c>
      <c r="C26" s="2" t="str">
        <f>IFERROR(__xludf.DUMMYFUNCTION("""COMPUTED_VALUE"""),"Alauksta 4a")</f>
        <v>Alauksta 4a</v>
      </c>
      <c r="D26" s="2">
        <f>IFERROR(__xludf.DUMMYFUNCTION("""COMPUTED_VALUE"""),1.0)</f>
        <v>1</v>
      </c>
      <c r="E26" s="2">
        <f>IFERROR(__xludf.DUMMYFUNCTION("""COMPUTED_VALUE"""),26.0)</f>
        <v>26</v>
      </c>
      <c r="F26" s="2">
        <f>IFERROR(__xludf.DUMMYFUNCTION("""COMPUTED_VALUE"""),2.0)</f>
        <v>2</v>
      </c>
      <c r="G26" s="2">
        <f>IFERROR(__xludf.DUMMYFUNCTION("""COMPUTED_VALUE"""),3.0)</f>
        <v>3</v>
      </c>
      <c r="H26" s="2" t="str">
        <f>IFERROR(__xludf.DUMMYFUNCTION("""COMPUTED_VALUE"""),"Renov.")</f>
        <v>Renov.</v>
      </c>
      <c r="I26" s="2" t="str">
        <f>IFERROR(__xludf.DUMMYFUNCTION("""COMPUTED_VALUE"""),"Wood")</f>
        <v>Wood</v>
      </c>
      <c r="J26" s="2" t="str">
        <f>IFERROR(__xludf.DUMMYFUNCTION("""COMPUTED_VALUE"""),"All amenities")</f>
        <v>All amenities</v>
      </c>
      <c r="K26" s="2">
        <f>IFERROR(__xludf.DUMMYFUNCTION("""COMPUTED_VALUE"""),345.0)</f>
        <v>345</v>
      </c>
      <c r="L26" s="2">
        <f>IFERROR(__xludf.DUMMYFUNCTION("""COMPUTED_VALUE"""),56.9610304)</f>
        <v>56.9610304</v>
      </c>
      <c r="M26" s="2">
        <f>IFERROR(__xludf.DUMMYFUNCTION("""COMPUTED_VALUE"""),24.1476406)</f>
        <v>24.1476406</v>
      </c>
    </row>
    <row r="27">
      <c r="A27" s="2" t="str">
        <f>IFERROR(__xludf.DUMMYFUNCTION("""COMPUTED_VALUE"""),"For rent")</f>
        <v>For rent</v>
      </c>
      <c r="B27" s="2" t="str">
        <f>IFERROR(__xludf.DUMMYFUNCTION("""COMPUTED_VALUE"""),"Ziepniekkalns")</f>
        <v>Ziepniekkalns</v>
      </c>
      <c r="C27" s="2" t="str">
        <f>IFERROR(__xludf.DUMMYFUNCTION("""COMPUTED_VALUE"""),"Kartupeļu 47")</f>
        <v>Kartupeļu 47</v>
      </c>
      <c r="D27" s="2">
        <f>IFERROR(__xludf.DUMMYFUNCTION("""COMPUTED_VALUE"""),2.0)</f>
        <v>2</v>
      </c>
      <c r="E27" s="2">
        <f>IFERROR(__xludf.DUMMYFUNCTION("""COMPUTED_VALUE"""),56.0)</f>
        <v>56</v>
      </c>
      <c r="F27" s="2">
        <f>IFERROR(__xludf.DUMMYFUNCTION("""COMPUTED_VALUE"""),8.0)</f>
        <v>8</v>
      </c>
      <c r="G27" s="2">
        <f>IFERROR(__xludf.DUMMYFUNCTION("""COMPUTED_VALUE"""),9.0)</f>
        <v>9</v>
      </c>
      <c r="H27" s="2" t="str">
        <f>IFERROR(__xludf.DUMMYFUNCTION("""COMPUTED_VALUE"""),"Specpr.")</f>
        <v>Specpr.</v>
      </c>
      <c r="I27" s="2" t="str">
        <f>IFERROR(__xludf.DUMMYFUNCTION("""COMPUTED_VALUE"""),"Brick")</f>
        <v>Brick</v>
      </c>
      <c r="J27" s="2" t="str">
        <f>IFERROR(__xludf.DUMMYFUNCTION("""COMPUTED_VALUE"""),"All amenities")</f>
        <v>All amenities</v>
      </c>
      <c r="K27" s="2">
        <f>IFERROR(__xludf.DUMMYFUNCTION("""COMPUTED_VALUE"""),250.0)</f>
        <v>250</v>
      </c>
      <c r="L27" s="2">
        <f>IFERROR(__xludf.DUMMYFUNCTION("""COMPUTED_VALUE"""),56.91095995)</f>
        <v>56.91095995</v>
      </c>
      <c r="M27" s="2">
        <f>IFERROR(__xludf.DUMMYFUNCTION("""COMPUTED_VALUE"""),24.1100004569314)</f>
        <v>24.11000046</v>
      </c>
    </row>
    <row r="28">
      <c r="A28" s="2" t="str">
        <f>IFERROR(__xludf.DUMMYFUNCTION("""COMPUTED_VALUE"""),"For rent")</f>
        <v>For rent</v>
      </c>
      <c r="B28" s="2" t="str">
        <f>IFERROR(__xludf.DUMMYFUNCTION("""COMPUTED_VALUE"""),"Bolderāja")</f>
        <v>Bolderāja</v>
      </c>
      <c r="C28" s="2" t="str">
        <f>IFERROR(__xludf.DUMMYFUNCTION("""COMPUTED_VALUE"""),"Gobas 16")</f>
        <v>Gobas 16</v>
      </c>
      <c r="D28" s="2">
        <f>IFERROR(__xludf.DUMMYFUNCTION("""COMPUTED_VALUE"""),1.0)</f>
        <v>1</v>
      </c>
      <c r="E28" s="2">
        <f>IFERROR(__xludf.DUMMYFUNCTION("""COMPUTED_VALUE"""),34.0)</f>
        <v>34</v>
      </c>
      <c r="F28" s="2">
        <f>IFERROR(__xludf.DUMMYFUNCTION("""COMPUTED_VALUE"""),3.0)</f>
        <v>3</v>
      </c>
      <c r="G28" s="2">
        <f>IFERROR(__xludf.DUMMYFUNCTION("""COMPUTED_VALUE"""),5.0)</f>
        <v>5</v>
      </c>
      <c r="H28" s="2">
        <f>IFERROR(__xludf.DUMMYFUNCTION("""COMPUTED_VALUE"""),103.0)</f>
        <v>103</v>
      </c>
      <c r="I28" s="2" t="str">
        <f>IFERROR(__xludf.DUMMYFUNCTION("""COMPUTED_VALUE"""),"Brick-Panel")</f>
        <v>Brick-Panel</v>
      </c>
      <c r="J28" s="2" t="str">
        <f>IFERROR(__xludf.DUMMYFUNCTION("""COMPUTED_VALUE"""),"All amenities")</f>
        <v>All amenities</v>
      </c>
      <c r="K28" s="2">
        <f>IFERROR(__xludf.DUMMYFUNCTION("""COMPUTED_VALUE"""),210.0)</f>
        <v>210</v>
      </c>
      <c r="L28" s="2">
        <f>IFERROR(__xludf.DUMMYFUNCTION("""COMPUTED_VALUE"""),57.03135185)</f>
        <v>57.03135185</v>
      </c>
      <c r="M28" s="2">
        <f>IFERROR(__xludf.DUMMYFUNCTION("""COMPUTED_VALUE"""),24.0508646842677)</f>
        <v>24.05086468</v>
      </c>
    </row>
    <row r="29">
      <c r="A29" s="2" t="str">
        <f>IFERROR(__xludf.DUMMYFUNCTION("""COMPUTED_VALUE"""),"For sale")</f>
        <v>For sale</v>
      </c>
      <c r="B29" s="2" t="str">
        <f>IFERROR(__xludf.DUMMYFUNCTION("""COMPUTED_VALUE"""),"Dreiliņi")</f>
        <v>Dreiliņi</v>
      </c>
      <c r="C29" s="2" t="str">
        <f>IFERROR(__xludf.DUMMYFUNCTION("""COMPUTED_VALUE"""),"Valtera 5")</f>
        <v>Valtera 5</v>
      </c>
      <c r="D29" s="2">
        <f>IFERROR(__xludf.DUMMYFUNCTION("""COMPUTED_VALUE"""),4.0)</f>
        <v>4</v>
      </c>
      <c r="E29" s="2">
        <f>IFERROR(__xludf.DUMMYFUNCTION("""COMPUTED_VALUE"""),78.0)</f>
        <v>78</v>
      </c>
      <c r="F29" s="2">
        <f>IFERROR(__xludf.DUMMYFUNCTION("""COMPUTED_VALUE"""),1.0)</f>
        <v>1</v>
      </c>
      <c r="G29" s="2">
        <f>IFERROR(__xludf.DUMMYFUNCTION("""COMPUTED_VALUE"""),9.0)</f>
        <v>9</v>
      </c>
      <c r="H29" s="2">
        <f>IFERROR(__xludf.DUMMYFUNCTION("""COMPUTED_VALUE"""),602.0)</f>
        <v>602</v>
      </c>
      <c r="I29" s="2" t="str">
        <f>IFERROR(__xludf.DUMMYFUNCTION("""COMPUTED_VALUE"""),"Panel")</f>
        <v>Panel</v>
      </c>
      <c r="J29" s="2" t="str">
        <f>IFERROR(__xludf.DUMMYFUNCTION("""COMPUTED_VALUE"""),"All amenities")</f>
        <v>All amenities</v>
      </c>
      <c r="K29" s="2">
        <f>IFERROR(__xludf.DUMMYFUNCTION("""COMPUTED_VALUE"""),91000.0)</f>
        <v>91000</v>
      </c>
      <c r="L29" s="2">
        <f>IFERROR(__xludf.DUMMYFUNCTION("""COMPUTED_VALUE"""),56.9469271499999)</f>
        <v>56.94692715</v>
      </c>
      <c r="M29" s="2">
        <f>IFERROR(__xludf.DUMMYFUNCTION("""COMPUTED_VALUE"""),24.2365113562527)</f>
        <v>24.23651136</v>
      </c>
    </row>
    <row r="30">
      <c r="A30" s="2" t="str">
        <f>IFERROR(__xludf.DUMMYFUNCTION("""COMPUTED_VALUE"""),"For sale")</f>
        <v>For sale</v>
      </c>
      <c r="B30" s="2" t="str">
        <f>IFERROR(__xludf.DUMMYFUNCTION("""COMPUTED_VALUE"""),"Ķengarags")</f>
        <v>Ķengarags</v>
      </c>
      <c r="C30" s="2" t="str">
        <f>IFERROR(__xludf.DUMMYFUNCTION("""COMPUTED_VALUE"""),"Prūšu 22")</f>
        <v>Prūšu 22</v>
      </c>
      <c r="D30" s="2">
        <f>IFERROR(__xludf.DUMMYFUNCTION("""COMPUTED_VALUE"""),2.0)</f>
        <v>2</v>
      </c>
      <c r="E30" s="2">
        <f>IFERROR(__xludf.DUMMYFUNCTION("""COMPUTED_VALUE"""),42.0)</f>
        <v>42</v>
      </c>
      <c r="F30" s="2">
        <f>IFERROR(__xludf.DUMMYFUNCTION("""COMPUTED_VALUE"""),3.0)</f>
        <v>3</v>
      </c>
      <c r="G30" s="2">
        <f>IFERROR(__xludf.DUMMYFUNCTION("""COMPUTED_VALUE"""),5.0)</f>
        <v>5</v>
      </c>
      <c r="H30" s="2" t="str">
        <f>IFERROR(__xludf.DUMMYFUNCTION("""COMPUTED_VALUE"""),"Hrušč.")</f>
        <v>Hrušč.</v>
      </c>
      <c r="I30" s="2" t="str">
        <f>IFERROR(__xludf.DUMMYFUNCTION("""COMPUTED_VALUE"""),"Brick")</f>
        <v>Brick</v>
      </c>
      <c r="J30" s="2" t="str">
        <f>IFERROR(__xludf.DUMMYFUNCTION("""COMPUTED_VALUE"""),"All amenities")</f>
        <v>All amenities</v>
      </c>
      <c r="K30" s="2">
        <f>IFERROR(__xludf.DUMMYFUNCTION("""COMPUTED_VALUE"""),45900.0)</f>
        <v>45900</v>
      </c>
      <c r="L30" s="2">
        <f>IFERROR(__xludf.DUMMYFUNCTION("""COMPUTED_VALUE"""),56.9134761)</f>
        <v>56.9134761</v>
      </c>
      <c r="M30" s="2">
        <f>IFERROR(__xludf.DUMMYFUNCTION("""COMPUTED_VALUE"""),24.18677075)</f>
        <v>24.18677075</v>
      </c>
    </row>
    <row r="31">
      <c r="A31" s="2" t="str">
        <f>IFERROR(__xludf.DUMMYFUNCTION("""COMPUTED_VALUE"""),"For sale")</f>
        <v>For sale</v>
      </c>
      <c r="B31" s="2" t="str">
        <f>IFERROR(__xludf.DUMMYFUNCTION("""COMPUTED_VALUE"""),"Pļavnieki")</f>
        <v>Pļavnieki</v>
      </c>
      <c r="C31" s="2" t="str">
        <f>IFERROR(__xludf.DUMMYFUNCTION("""COMPUTED_VALUE"""),"Dzeņu 12")</f>
        <v>Dzeņu 12</v>
      </c>
      <c r="D31" s="2">
        <f>IFERROR(__xludf.DUMMYFUNCTION("""COMPUTED_VALUE"""),1.0)</f>
        <v>1</v>
      </c>
      <c r="E31" s="2">
        <f>IFERROR(__xludf.DUMMYFUNCTION("""COMPUTED_VALUE"""),35.0)</f>
        <v>35</v>
      </c>
      <c r="F31" s="2">
        <f>IFERROR(__xludf.DUMMYFUNCTION("""COMPUTED_VALUE"""),1.0)</f>
        <v>1</v>
      </c>
      <c r="G31" s="2">
        <f>IFERROR(__xludf.DUMMYFUNCTION("""COMPUTED_VALUE"""),9.0)</f>
        <v>9</v>
      </c>
      <c r="H31" s="2">
        <f>IFERROR(__xludf.DUMMYFUNCTION("""COMPUTED_VALUE"""),602.0)</f>
        <v>602</v>
      </c>
      <c r="I31" s="2" t="str">
        <f>IFERROR(__xludf.DUMMYFUNCTION("""COMPUTED_VALUE"""),"Brick-Panel")</f>
        <v>Brick-Panel</v>
      </c>
      <c r="J31" s="2" t="str">
        <f>IFERROR(__xludf.DUMMYFUNCTION("""COMPUTED_VALUE"""),"All amenities")</f>
        <v>All amenities</v>
      </c>
      <c r="K31" s="2">
        <f>IFERROR(__xludf.DUMMYFUNCTION("""COMPUTED_VALUE"""),37000.0)</f>
        <v>37000</v>
      </c>
      <c r="L31" s="2">
        <f>IFERROR(__xludf.DUMMYFUNCTION("""COMPUTED_VALUE"""),56.9397226)</f>
        <v>56.9397226</v>
      </c>
      <c r="M31" s="2">
        <f>IFERROR(__xludf.DUMMYFUNCTION("""COMPUTED_VALUE"""),24.2126243664139)</f>
        <v>24.21262437</v>
      </c>
    </row>
    <row r="32">
      <c r="A32" s="2" t="str">
        <f>IFERROR(__xludf.DUMMYFUNCTION("""COMPUTED_VALUE"""),"For rent")</f>
        <v>For rent</v>
      </c>
      <c r="B32" s="2" t="str">
        <f>IFERROR(__xludf.DUMMYFUNCTION("""COMPUTED_VALUE"""),"Dzegužkalns")</f>
        <v>Dzegužkalns</v>
      </c>
      <c r="C32" s="2" t="str">
        <f>IFERROR(__xludf.DUMMYFUNCTION("""COMPUTED_VALUE"""),"Purva 25")</f>
        <v>Purva 25</v>
      </c>
      <c r="D32" s="2">
        <f>IFERROR(__xludf.DUMMYFUNCTION("""COMPUTED_VALUE"""),1.0)</f>
        <v>1</v>
      </c>
      <c r="E32" s="2">
        <f>IFERROR(__xludf.DUMMYFUNCTION("""COMPUTED_VALUE"""),29.0)</f>
        <v>29</v>
      </c>
      <c r="F32" s="2">
        <f>IFERROR(__xludf.DUMMYFUNCTION("""COMPUTED_VALUE"""),4.0)</f>
        <v>4</v>
      </c>
      <c r="G32" s="2">
        <f>IFERROR(__xludf.DUMMYFUNCTION("""COMPUTED_VALUE"""),5.0)</f>
        <v>5</v>
      </c>
      <c r="H32" s="2" t="str">
        <f>IFERROR(__xludf.DUMMYFUNCTION("""COMPUTED_VALUE"""),"LT proj.")</f>
        <v>LT proj.</v>
      </c>
      <c r="I32" s="2" t="str">
        <f>IFERROR(__xludf.DUMMYFUNCTION("""COMPUTED_VALUE"""),"Panel")</f>
        <v>Panel</v>
      </c>
      <c r="J32" s="2" t="str">
        <f>IFERROR(__xludf.DUMMYFUNCTION("""COMPUTED_VALUE"""),"All amenities")</f>
        <v>All amenities</v>
      </c>
      <c r="K32" s="2">
        <f>IFERROR(__xludf.DUMMYFUNCTION("""COMPUTED_VALUE"""),240.0)</f>
        <v>240</v>
      </c>
      <c r="L32" s="2">
        <f>IFERROR(__xludf.DUMMYFUNCTION("""COMPUTED_VALUE"""),56.95770335)</f>
        <v>56.95770335</v>
      </c>
      <c r="M32" s="2">
        <f>IFERROR(__xludf.DUMMYFUNCTION("""COMPUTED_VALUE"""),24.0505207014209)</f>
        <v>24.0505207</v>
      </c>
    </row>
    <row r="33">
      <c r="A33" s="2" t="str">
        <f>IFERROR(__xludf.DUMMYFUNCTION("""COMPUTED_VALUE"""),"For rent")</f>
        <v>For rent</v>
      </c>
      <c r="B33" s="2" t="str">
        <f>IFERROR(__xludf.DUMMYFUNCTION("""COMPUTED_VALUE"""),"Imanta")</f>
        <v>Imanta</v>
      </c>
      <c r="C33" s="2" t="str">
        <f>IFERROR(__xludf.DUMMYFUNCTION("""COMPUTED_VALUE"""),"Slokas 130a")</f>
        <v>Slokas 130a</v>
      </c>
      <c r="D33" s="2">
        <f>IFERROR(__xludf.DUMMYFUNCTION("""COMPUTED_VALUE"""),2.0)</f>
        <v>2</v>
      </c>
      <c r="E33" s="2">
        <f>IFERROR(__xludf.DUMMYFUNCTION("""COMPUTED_VALUE"""),60.0)</f>
        <v>60</v>
      </c>
      <c r="F33" s="2">
        <f>IFERROR(__xludf.DUMMYFUNCTION("""COMPUTED_VALUE"""),3.0)</f>
        <v>3</v>
      </c>
      <c r="G33" s="2">
        <f>IFERROR(__xludf.DUMMYFUNCTION("""COMPUTED_VALUE"""),8.0)</f>
        <v>8</v>
      </c>
      <c r="H33" s="2" t="str">
        <f>IFERROR(__xludf.DUMMYFUNCTION("""COMPUTED_VALUE"""),"Jaun.")</f>
        <v>Jaun.</v>
      </c>
      <c r="I33" s="2" t="str">
        <f>IFERROR(__xludf.DUMMYFUNCTION("""COMPUTED_VALUE"""),"Masonry")</f>
        <v>Masonry</v>
      </c>
      <c r="J33" s="2" t="str">
        <f>IFERROR(__xludf.DUMMYFUNCTION("""COMPUTED_VALUE"""),"All amenities")</f>
        <v>All amenities</v>
      </c>
      <c r="K33" s="2">
        <f>IFERROR(__xludf.DUMMYFUNCTION("""COMPUTED_VALUE"""),580.0)</f>
        <v>580</v>
      </c>
      <c r="L33" s="2">
        <f>IFERROR(__xludf.DUMMYFUNCTION("""COMPUTED_VALUE"""),56.96485355)</f>
        <v>56.96485355</v>
      </c>
      <c r="M33" s="2">
        <f>IFERROR(__xludf.DUMMYFUNCTION("""COMPUTED_VALUE"""),24.01574948511)</f>
        <v>24.01574949</v>
      </c>
    </row>
    <row r="34">
      <c r="A34" s="2" t="str">
        <f>IFERROR(__xludf.DUMMYFUNCTION("""COMPUTED_VALUE"""),"For sale")</f>
        <v>For sale</v>
      </c>
      <c r="B34" s="2" t="str">
        <f>IFERROR(__xludf.DUMMYFUNCTION("""COMPUTED_VALUE"""),"Imanta")</f>
        <v>Imanta</v>
      </c>
      <c r="C34" s="2" t="str">
        <f>IFERROR(__xludf.DUMMYFUNCTION("""COMPUTED_VALUE"""),"Slokas 130a")</f>
        <v>Slokas 130a</v>
      </c>
      <c r="D34" s="2">
        <f>IFERROR(__xludf.DUMMYFUNCTION("""COMPUTED_VALUE"""),2.0)</f>
        <v>2</v>
      </c>
      <c r="E34" s="2">
        <f>IFERROR(__xludf.DUMMYFUNCTION("""COMPUTED_VALUE"""),62.0)</f>
        <v>62</v>
      </c>
      <c r="F34" s="2">
        <f>IFERROR(__xludf.DUMMYFUNCTION("""COMPUTED_VALUE"""),3.0)</f>
        <v>3</v>
      </c>
      <c r="G34" s="2">
        <f>IFERROR(__xludf.DUMMYFUNCTION("""COMPUTED_VALUE"""),5.0)</f>
        <v>5</v>
      </c>
      <c r="H34" s="2" t="str">
        <f>IFERROR(__xludf.DUMMYFUNCTION("""COMPUTED_VALUE"""),"Jaun.")</f>
        <v>Jaun.</v>
      </c>
      <c r="I34" s="2" t="str">
        <f>IFERROR(__xludf.DUMMYFUNCTION("""COMPUTED_VALUE"""),"Masonry")</f>
        <v>Masonry</v>
      </c>
      <c r="J34" s="2" t="str">
        <f>IFERROR(__xludf.DUMMYFUNCTION("""COMPUTED_VALUE"""),"All amenities")</f>
        <v>All amenities</v>
      </c>
      <c r="K34" s="2">
        <f>IFERROR(__xludf.DUMMYFUNCTION("""COMPUTED_VALUE"""),120000.0)</f>
        <v>120000</v>
      </c>
      <c r="L34" s="2">
        <f>IFERROR(__xludf.DUMMYFUNCTION("""COMPUTED_VALUE"""),56.96485355)</f>
        <v>56.96485355</v>
      </c>
      <c r="M34" s="2">
        <f>IFERROR(__xludf.DUMMYFUNCTION("""COMPUTED_VALUE"""),24.01574948511)</f>
        <v>24.01574949</v>
      </c>
    </row>
    <row r="35">
      <c r="A35" s="2" t="str">
        <f>IFERROR(__xludf.DUMMYFUNCTION("""COMPUTED_VALUE"""),"For rent")</f>
        <v>For rent</v>
      </c>
      <c r="B35" s="2" t="str">
        <f>IFERROR(__xludf.DUMMYFUNCTION("""COMPUTED_VALUE"""),"centrs")</f>
        <v>centrs</v>
      </c>
      <c r="C35" s="2" t="str">
        <f>IFERROR(__xludf.DUMMYFUNCTION("""COMPUTED_VALUE"""),"Indrānu 13")</f>
        <v>Indrānu 13</v>
      </c>
      <c r="D35" s="2">
        <f>IFERROR(__xludf.DUMMYFUNCTION("""COMPUTED_VALUE"""),1.0)</f>
        <v>1</v>
      </c>
      <c r="E35" s="2">
        <f>IFERROR(__xludf.DUMMYFUNCTION("""COMPUTED_VALUE"""),34.0)</f>
        <v>34</v>
      </c>
      <c r="F35" s="2">
        <f>IFERROR(__xludf.DUMMYFUNCTION("""COMPUTED_VALUE"""),5.0)</f>
        <v>5</v>
      </c>
      <c r="G35" s="2">
        <f>IFERROR(__xludf.DUMMYFUNCTION("""COMPUTED_VALUE"""),5.0)</f>
        <v>5</v>
      </c>
      <c r="H35" s="2" t="str">
        <f>IFERROR(__xludf.DUMMYFUNCTION("""COMPUTED_VALUE"""),"LT proj.")</f>
        <v>LT proj.</v>
      </c>
      <c r="I35" s="2" t="str">
        <f>IFERROR(__xludf.DUMMYFUNCTION("""COMPUTED_VALUE"""),"Brick-Panel")</f>
        <v>Brick-Panel</v>
      </c>
      <c r="J35" s="2" t="str">
        <f>IFERROR(__xludf.DUMMYFUNCTION("""COMPUTED_VALUE"""),"All amenities")</f>
        <v>All amenities</v>
      </c>
      <c r="K35" s="2">
        <f>IFERROR(__xludf.DUMMYFUNCTION("""COMPUTED_VALUE"""),320.0)</f>
        <v>320</v>
      </c>
      <c r="L35" s="2">
        <f>IFERROR(__xludf.DUMMYFUNCTION("""COMPUTED_VALUE"""),56.9685959)</f>
        <v>56.9685959</v>
      </c>
      <c r="M35" s="2">
        <f>IFERROR(__xludf.DUMMYFUNCTION("""COMPUTED_VALUE"""),24.1452571692525)</f>
        <v>24.14525717</v>
      </c>
    </row>
    <row r="36">
      <c r="A36" s="2" t="str">
        <f>IFERROR(__xludf.DUMMYFUNCTION("""COMPUTED_VALUE"""),"For sale")</f>
        <v>For sale</v>
      </c>
      <c r="B36" s="2" t="str">
        <f>IFERROR(__xludf.DUMMYFUNCTION("""COMPUTED_VALUE"""),"Ķengarags")</f>
        <v>Ķengarags</v>
      </c>
      <c r="C36" s="2" t="str">
        <f>IFERROR(__xludf.DUMMYFUNCTION("""COMPUTED_VALUE"""),"Festivāla 1")</f>
        <v>Festivāla 1</v>
      </c>
      <c r="D36" s="2">
        <f>IFERROR(__xludf.DUMMYFUNCTION("""COMPUTED_VALUE"""),3.0)</f>
        <v>3</v>
      </c>
      <c r="E36" s="2">
        <f>IFERROR(__xludf.DUMMYFUNCTION("""COMPUTED_VALUE"""),55.0)</f>
        <v>55</v>
      </c>
      <c r="F36" s="2">
        <f>IFERROR(__xludf.DUMMYFUNCTION("""COMPUTED_VALUE"""),3.0)</f>
        <v>3</v>
      </c>
      <c r="G36" s="2">
        <f>IFERROR(__xludf.DUMMYFUNCTION("""COMPUTED_VALUE"""),5.0)</f>
        <v>5</v>
      </c>
      <c r="H36" s="2" t="str">
        <f>IFERROR(__xludf.DUMMYFUNCTION("""COMPUTED_VALUE"""),"Specpr.")</f>
        <v>Specpr.</v>
      </c>
      <c r="I36" s="2" t="str">
        <f>IFERROR(__xludf.DUMMYFUNCTION("""COMPUTED_VALUE"""),"Brick")</f>
        <v>Brick</v>
      </c>
      <c r="J36" s="2" t="str">
        <f>IFERROR(__xludf.DUMMYFUNCTION("""COMPUTED_VALUE"""),"All amenities")</f>
        <v>All amenities</v>
      </c>
      <c r="K36" s="2">
        <f>IFERROR(__xludf.DUMMYFUNCTION("""COMPUTED_VALUE"""),43000.0)</f>
        <v>43000</v>
      </c>
      <c r="L36" s="2">
        <f>IFERROR(__xludf.DUMMYFUNCTION("""COMPUTED_VALUE"""),56.90348845)</f>
        <v>56.90348845</v>
      </c>
      <c r="M36" s="2">
        <f>IFERROR(__xludf.DUMMYFUNCTION("""COMPUTED_VALUE"""),24.20369795)</f>
        <v>24.20369795</v>
      </c>
    </row>
    <row r="37">
      <c r="A37" s="2" t="str">
        <f>IFERROR(__xludf.DUMMYFUNCTION("""COMPUTED_VALUE"""),"For rent")</f>
        <v>For rent</v>
      </c>
      <c r="B37" s="2" t="str">
        <f>IFERROR(__xludf.DUMMYFUNCTION("""COMPUTED_VALUE"""),"Purvciems")</f>
        <v>Purvciems</v>
      </c>
      <c r="C37" s="2" t="str">
        <f>IFERROR(__xludf.DUMMYFUNCTION("""COMPUTED_VALUE"""),"Ieriķu 58")</f>
        <v>Ieriķu 58</v>
      </c>
      <c r="D37" s="2">
        <f>IFERROR(__xludf.DUMMYFUNCTION("""COMPUTED_VALUE"""),1.0)</f>
        <v>1</v>
      </c>
      <c r="E37" s="2">
        <f>IFERROR(__xludf.DUMMYFUNCTION("""COMPUTED_VALUE"""),43.0)</f>
        <v>43</v>
      </c>
      <c r="F37" s="2">
        <f>IFERROR(__xludf.DUMMYFUNCTION("""COMPUTED_VALUE"""),9.0)</f>
        <v>9</v>
      </c>
      <c r="G37" s="2">
        <f>IFERROR(__xludf.DUMMYFUNCTION("""COMPUTED_VALUE"""),9.0)</f>
        <v>9</v>
      </c>
      <c r="H37" s="2" t="str">
        <f>IFERROR(__xludf.DUMMYFUNCTION("""COMPUTED_VALUE"""),"Specpr.")</f>
        <v>Specpr.</v>
      </c>
      <c r="I37" s="2" t="str">
        <f>IFERROR(__xludf.DUMMYFUNCTION("""COMPUTED_VALUE"""),"Brick")</f>
        <v>Brick</v>
      </c>
      <c r="J37" s="2" t="str">
        <f>IFERROR(__xludf.DUMMYFUNCTION("""COMPUTED_VALUE"""),"All amenities")</f>
        <v>All amenities</v>
      </c>
      <c r="K37" s="2">
        <f>IFERROR(__xludf.DUMMYFUNCTION("""COMPUTED_VALUE"""),25.0)</f>
        <v>25</v>
      </c>
      <c r="L37" s="2">
        <f>IFERROR(__xludf.DUMMYFUNCTION("""COMPUTED_VALUE"""),56.9655674)</f>
        <v>56.9655674</v>
      </c>
      <c r="M37" s="2">
        <f>IFERROR(__xludf.DUMMYFUNCTION("""COMPUTED_VALUE"""),24.1830043136253)</f>
        <v>24.18300431</v>
      </c>
    </row>
    <row r="38">
      <c r="A38" s="2" t="str">
        <f>IFERROR(__xludf.DUMMYFUNCTION("""COMPUTED_VALUE"""),"For rent")</f>
        <v>For rent</v>
      </c>
      <c r="B38" s="2" t="str">
        <f>IFERROR(__xludf.DUMMYFUNCTION("""COMPUTED_VALUE"""),"Ķīpsala")</f>
        <v>Ķīpsala</v>
      </c>
      <c r="C38" s="2" t="str">
        <f>IFERROR(__xludf.DUMMYFUNCTION("""COMPUTED_VALUE"""),"Balasta d. 72")</f>
        <v>Balasta d. 72</v>
      </c>
      <c r="D38" s="2">
        <f>IFERROR(__xludf.DUMMYFUNCTION("""COMPUTED_VALUE"""),2.0)</f>
        <v>2</v>
      </c>
      <c r="E38" s="2">
        <f>IFERROR(__xludf.DUMMYFUNCTION("""COMPUTED_VALUE"""),86.0)</f>
        <v>86</v>
      </c>
      <c r="F38" s="2">
        <f>IFERROR(__xludf.DUMMYFUNCTION("""COMPUTED_VALUE"""),2.0)</f>
        <v>2</v>
      </c>
      <c r="G38" s="2">
        <f>IFERROR(__xludf.DUMMYFUNCTION("""COMPUTED_VALUE"""),4.0)</f>
        <v>4</v>
      </c>
      <c r="H38" s="2" t="str">
        <f>IFERROR(__xludf.DUMMYFUNCTION("""COMPUTED_VALUE"""),"Jaun.")</f>
        <v>Jaun.</v>
      </c>
      <c r="I38" s="2" t="str">
        <f>IFERROR(__xludf.DUMMYFUNCTION("""COMPUTED_VALUE"""),"Masonry")</f>
        <v>Masonry</v>
      </c>
      <c r="J38" s="2" t="str">
        <f>IFERROR(__xludf.DUMMYFUNCTION("""COMPUTED_VALUE"""),"All amenities")</f>
        <v>All amenities</v>
      </c>
      <c r="K38" s="2">
        <f>IFERROR(__xludf.DUMMYFUNCTION("""COMPUTED_VALUE"""),1200.0)</f>
        <v>1200</v>
      </c>
      <c r="L38" s="2">
        <f>IFERROR(__xludf.DUMMYFUNCTION("""COMPUTED_VALUE"""),56.9489344)</f>
        <v>56.9489344</v>
      </c>
      <c r="M38" s="2">
        <f>IFERROR(__xludf.DUMMYFUNCTION("""COMPUTED_VALUE"""),24.0882804)</f>
        <v>24.0882804</v>
      </c>
    </row>
    <row r="39">
      <c r="A39" s="2" t="str">
        <f>IFERROR(__xludf.DUMMYFUNCTION("""COMPUTED_VALUE"""),"For rent")</f>
        <v>For rent</v>
      </c>
      <c r="B39" s="2" t="str">
        <f>IFERROR(__xludf.DUMMYFUNCTION("""COMPUTED_VALUE"""),"centrs")</f>
        <v>centrs</v>
      </c>
      <c r="C39" s="2" t="str">
        <f>IFERROR(__xludf.DUMMYFUNCTION("""COMPUTED_VALUE"""),"Barona 14")</f>
        <v>Barona 14</v>
      </c>
      <c r="D39" s="2">
        <f>IFERROR(__xludf.DUMMYFUNCTION("""COMPUTED_VALUE"""),1.0)</f>
        <v>1</v>
      </c>
      <c r="E39" s="2">
        <f>IFERROR(__xludf.DUMMYFUNCTION("""COMPUTED_VALUE"""),40.0)</f>
        <v>40</v>
      </c>
      <c r="F39" s="2">
        <f>IFERROR(__xludf.DUMMYFUNCTION("""COMPUTED_VALUE"""),4.0)</f>
        <v>4</v>
      </c>
      <c r="G39" s="2">
        <f>IFERROR(__xludf.DUMMYFUNCTION("""COMPUTED_VALUE"""),5.0)</f>
        <v>5</v>
      </c>
      <c r="H39" s="2" t="str">
        <f>IFERROR(__xludf.DUMMYFUNCTION("""COMPUTED_VALUE"""),"Renov.")</f>
        <v>Renov.</v>
      </c>
      <c r="I39" s="2" t="str">
        <f>IFERROR(__xludf.DUMMYFUNCTION("""COMPUTED_VALUE"""),"Masonry")</f>
        <v>Masonry</v>
      </c>
      <c r="J39" s="2" t="str">
        <f>IFERROR(__xludf.DUMMYFUNCTION("""COMPUTED_VALUE"""),"All amenities")</f>
        <v>All amenities</v>
      </c>
      <c r="K39" s="2">
        <f>IFERROR(__xludf.DUMMYFUNCTION("""COMPUTED_VALUE"""),600.0)</f>
        <v>600</v>
      </c>
      <c r="L39" s="2">
        <f>IFERROR(__xludf.DUMMYFUNCTION("""COMPUTED_VALUE"""),56.9506147)</f>
        <v>56.9506147</v>
      </c>
      <c r="M39" s="2">
        <f>IFERROR(__xludf.DUMMYFUNCTION("""COMPUTED_VALUE"""),24.1212313)</f>
        <v>24.1212313</v>
      </c>
    </row>
    <row r="40">
      <c r="A40" s="2" t="str">
        <f>IFERROR(__xludf.DUMMYFUNCTION("""COMPUTED_VALUE"""),"For rent")</f>
        <v>For rent</v>
      </c>
      <c r="B40" s="2" t="str">
        <f>IFERROR(__xludf.DUMMYFUNCTION("""COMPUTED_VALUE"""),"centrs")</f>
        <v>centrs</v>
      </c>
      <c r="C40" s="2" t="str">
        <f>IFERROR(__xludf.DUMMYFUNCTION("""COMPUTED_VALUE"""),"Bruņinieku 64")</f>
        <v>Bruņinieku 64</v>
      </c>
      <c r="D40" s="2">
        <f>IFERROR(__xludf.DUMMYFUNCTION("""COMPUTED_VALUE"""),2.0)</f>
        <v>2</v>
      </c>
      <c r="E40" s="2">
        <f>IFERROR(__xludf.DUMMYFUNCTION("""COMPUTED_VALUE"""),36.0)</f>
        <v>36</v>
      </c>
      <c r="F40" s="2">
        <f>IFERROR(__xludf.DUMMYFUNCTION("""COMPUTED_VALUE"""),3.0)</f>
        <v>3</v>
      </c>
      <c r="G40" s="2">
        <f>IFERROR(__xludf.DUMMYFUNCTION("""COMPUTED_VALUE"""),3.0)</f>
        <v>3</v>
      </c>
      <c r="H40" s="2" t="str">
        <f>IFERROR(__xludf.DUMMYFUNCTION("""COMPUTED_VALUE"""),"P. kara")</f>
        <v>P. kara</v>
      </c>
      <c r="I40" s="2" t="str">
        <f>IFERROR(__xludf.DUMMYFUNCTION("""COMPUTED_VALUE"""),"Brick")</f>
        <v>Brick</v>
      </c>
      <c r="J40" s="2" t="str">
        <f>IFERROR(__xludf.DUMMYFUNCTION("""COMPUTED_VALUE"""),"All amenities")</f>
        <v>All amenities</v>
      </c>
      <c r="K40" s="2">
        <f>IFERROR(__xludf.DUMMYFUNCTION("""COMPUTED_VALUE"""),250.0)</f>
        <v>250</v>
      </c>
      <c r="L40" s="2">
        <f>IFERROR(__xludf.DUMMYFUNCTION("""COMPUTED_VALUE"""),56.9530706)</f>
        <v>56.9530706</v>
      </c>
      <c r="M40" s="2">
        <f>IFERROR(__xludf.DUMMYFUNCTION("""COMPUTED_VALUE"""),24.1376419)</f>
        <v>24.1376419</v>
      </c>
    </row>
    <row r="41">
      <c r="A41" s="2" t="str">
        <f>IFERROR(__xludf.DUMMYFUNCTION("""COMPUTED_VALUE"""),"For sale")</f>
        <v>For sale</v>
      </c>
      <c r="B41" s="2" t="str">
        <f>IFERROR(__xludf.DUMMYFUNCTION("""COMPUTED_VALUE"""),"centrs")</f>
        <v>centrs</v>
      </c>
      <c r="C41" s="2" t="str">
        <f>IFERROR(__xludf.DUMMYFUNCTION("""COMPUTED_VALUE"""),"Tērbatas 46")</f>
        <v>Tērbatas 46</v>
      </c>
      <c r="D41" s="2">
        <f>IFERROR(__xludf.DUMMYFUNCTION("""COMPUTED_VALUE"""),3.0)</f>
        <v>3</v>
      </c>
      <c r="E41" s="2">
        <f>IFERROR(__xludf.DUMMYFUNCTION("""COMPUTED_VALUE"""),85.0)</f>
        <v>85</v>
      </c>
      <c r="F41" s="2">
        <f>IFERROR(__xludf.DUMMYFUNCTION("""COMPUTED_VALUE"""),3.0)</f>
        <v>3</v>
      </c>
      <c r="G41" s="2">
        <f>IFERROR(__xludf.DUMMYFUNCTION("""COMPUTED_VALUE"""),6.0)</f>
        <v>6</v>
      </c>
      <c r="H41" s="2" t="str">
        <f>IFERROR(__xludf.DUMMYFUNCTION("""COMPUTED_VALUE"""),"P. kara")</f>
        <v>P. kara</v>
      </c>
      <c r="I41" s="2" t="str">
        <f>IFERROR(__xludf.DUMMYFUNCTION("""COMPUTED_VALUE"""),"Brick")</f>
        <v>Brick</v>
      </c>
      <c r="J41" s="2" t="str">
        <f>IFERROR(__xludf.DUMMYFUNCTION("""COMPUTED_VALUE"""),"All amenities")</f>
        <v>All amenities</v>
      </c>
      <c r="K41" s="2">
        <f>IFERROR(__xludf.DUMMYFUNCTION("""COMPUTED_VALUE"""),170000.0)</f>
        <v>170000</v>
      </c>
      <c r="L41" s="2">
        <f>IFERROR(__xludf.DUMMYFUNCTION("""COMPUTED_VALUE"""),56.9559527)</f>
        <v>56.9559527</v>
      </c>
      <c r="M41" s="2">
        <f>IFERROR(__xludf.DUMMYFUNCTION("""COMPUTED_VALUE"""),24.1267505)</f>
        <v>24.1267505</v>
      </c>
    </row>
    <row r="42">
      <c r="A42" s="2" t="str">
        <f>IFERROR(__xludf.DUMMYFUNCTION("""COMPUTED_VALUE"""),"For sale")</f>
        <v>For sale</v>
      </c>
      <c r="B42" s="2" t="str">
        <f>IFERROR(__xludf.DUMMYFUNCTION("""COMPUTED_VALUE"""),"Teika")</f>
        <v>Teika</v>
      </c>
      <c r="C42" s="2" t="str">
        <f>IFERROR(__xludf.DUMMYFUNCTION("""COMPUTED_VALUE"""),"Brīvības gatve 313")</f>
        <v>Brīvības gatve 313</v>
      </c>
      <c r="D42" s="2">
        <f>IFERROR(__xludf.DUMMYFUNCTION("""COMPUTED_VALUE"""),3.0)</f>
        <v>3</v>
      </c>
      <c r="E42" s="2">
        <f>IFERROR(__xludf.DUMMYFUNCTION("""COMPUTED_VALUE"""),79.0)</f>
        <v>79</v>
      </c>
      <c r="F42" s="2">
        <f>IFERROR(__xludf.DUMMYFUNCTION("""COMPUTED_VALUE"""),3.0)</f>
        <v>3</v>
      </c>
      <c r="G42" s="2">
        <f>IFERROR(__xludf.DUMMYFUNCTION("""COMPUTED_VALUE"""),5.0)</f>
        <v>5</v>
      </c>
      <c r="H42" s="2" t="str">
        <f>IFERROR(__xludf.DUMMYFUNCTION("""COMPUTED_VALUE"""),"Specpr.")</f>
        <v>Specpr.</v>
      </c>
      <c r="I42" s="2" t="str">
        <f>IFERROR(__xludf.DUMMYFUNCTION("""COMPUTED_VALUE"""),"Brick-Panel")</f>
        <v>Brick-Panel</v>
      </c>
      <c r="J42" s="2" t="str">
        <f>IFERROR(__xludf.DUMMYFUNCTION("""COMPUTED_VALUE"""),"All amenities")</f>
        <v>All amenities</v>
      </c>
      <c r="K42" s="2">
        <f>IFERROR(__xludf.DUMMYFUNCTION("""COMPUTED_VALUE"""),85000.0)</f>
        <v>85000</v>
      </c>
      <c r="L42" s="2">
        <f>IFERROR(__xludf.DUMMYFUNCTION("""COMPUTED_VALUE"""),56.98279245)</f>
        <v>56.98279245</v>
      </c>
      <c r="M42" s="2">
        <f>IFERROR(__xludf.DUMMYFUNCTION("""COMPUTED_VALUE"""),24.1963668754421)</f>
        <v>24.19636688</v>
      </c>
    </row>
    <row r="43">
      <c r="A43" s="2" t="str">
        <f>IFERROR(__xludf.DUMMYFUNCTION("""COMPUTED_VALUE"""),"For sale")</f>
        <v>For sale</v>
      </c>
      <c r="B43" s="2" t="str">
        <f>IFERROR(__xludf.DUMMYFUNCTION("""COMPUTED_VALUE"""),"Jugla")</f>
        <v>Jugla</v>
      </c>
      <c r="C43" s="2" t="str">
        <f>IFERROR(__xludf.DUMMYFUNCTION("""COMPUTED_VALUE"""),"Murjāņu 38")</f>
        <v>Murjāņu 38</v>
      </c>
      <c r="D43" s="2">
        <f>IFERROR(__xludf.DUMMYFUNCTION("""COMPUTED_VALUE"""),2.0)</f>
        <v>2</v>
      </c>
      <c r="E43" s="2">
        <f>IFERROR(__xludf.DUMMYFUNCTION("""COMPUTED_VALUE"""),45.0)</f>
        <v>45</v>
      </c>
      <c r="F43" s="2">
        <f>IFERROR(__xludf.DUMMYFUNCTION("""COMPUTED_VALUE"""),2.0)</f>
        <v>2</v>
      </c>
      <c r="G43" s="2">
        <f>IFERROR(__xludf.DUMMYFUNCTION("""COMPUTED_VALUE"""),5.0)</f>
        <v>5</v>
      </c>
      <c r="H43" s="2" t="str">
        <f>IFERROR(__xludf.DUMMYFUNCTION("""COMPUTED_VALUE"""),"Hrušč.")</f>
        <v>Hrušč.</v>
      </c>
      <c r="I43" s="2" t="str">
        <f>IFERROR(__xludf.DUMMYFUNCTION("""COMPUTED_VALUE"""),"Panel")</f>
        <v>Panel</v>
      </c>
      <c r="J43" s="2" t="str">
        <f>IFERROR(__xludf.DUMMYFUNCTION("""COMPUTED_VALUE"""),"All amenities")</f>
        <v>All amenities</v>
      </c>
      <c r="K43" s="2">
        <f>IFERROR(__xludf.DUMMYFUNCTION("""COMPUTED_VALUE"""),40000.0)</f>
        <v>40000</v>
      </c>
      <c r="L43" s="2">
        <f>IFERROR(__xludf.DUMMYFUNCTION("""COMPUTED_VALUE"""),56.97808055)</f>
        <v>56.97808055</v>
      </c>
      <c r="M43" s="2">
        <f>IFERROR(__xludf.DUMMYFUNCTION("""COMPUTED_VALUE"""),24.247249)</f>
        <v>24.247249</v>
      </c>
    </row>
    <row r="44">
      <c r="A44" s="2" t="str">
        <f>IFERROR(__xludf.DUMMYFUNCTION("""COMPUTED_VALUE"""),"For rent")</f>
        <v>For rent</v>
      </c>
      <c r="B44" s="2" t="str">
        <f>IFERROR(__xludf.DUMMYFUNCTION("""COMPUTED_VALUE"""),"centrs")</f>
        <v>centrs</v>
      </c>
      <c r="C44" s="2" t="str">
        <f>IFERROR(__xludf.DUMMYFUNCTION("""COMPUTED_VALUE"""),"Republikas laukums 3")</f>
        <v>Republikas laukums 3</v>
      </c>
      <c r="D44" s="2">
        <f>IFERROR(__xludf.DUMMYFUNCTION("""COMPUTED_VALUE"""),1.0)</f>
        <v>1</v>
      </c>
      <c r="E44" s="2">
        <f>IFERROR(__xludf.DUMMYFUNCTION("""COMPUTED_VALUE"""),46.0)</f>
        <v>46</v>
      </c>
      <c r="F44" s="2">
        <f>IFERROR(__xludf.DUMMYFUNCTION("""COMPUTED_VALUE"""),4.0)</f>
        <v>4</v>
      </c>
      <c r="G44" s="2">
        <f>IFERROR(__xludf.DUMMYFUNCTION("""COMPUTED_VALUE"""),7.0)</f>
        <v>7</v>
      </c>
      <c r="H44" s="2" t="str">
        <f>IFERROR(__xludf.DUMMYFUNCTION("""COMPUTED_VALUE"""),"Jaun.")</f>
        <v>Jaun.</v>
      </c>
      <c r="I44" s="2" t="str">
        <f>IFERROR(__xludf.DUMMYFUNCTION("""COMPUTED_VALUE"""),"Masonry")</f>
        <v>Masonry</v>
      </c>
      <c r="J44" s="2" t="str">
        <f>IFERROR(__xludf.DUMMYFUNCTION("""COMPUTED_VALUE"""),"All amenities")</f>
        <v>All amenities</v>
      </c>
      <c r="K44" s="2">
        <f>IFERROR(__xludf.DUMMYFUNCTION("""COMPUTED_VALUE"""),39.0)</f>
        <v>39</v>
      </c>
      <c r="L44" s="2">
        <f>IFERROR(__xludf.DUMMYFUNCTION("""COMPUTED_VALUE"""),56.9552522)</f>
        <v>56.9552522</v>
      </c>
      <c r="M44" s="2">
        <f>IFERROR(__xludf.DUMMYFUNCTION("""COMPUTED_VALUE"""),24.0999991251943)</f>
        <v>24.09999913</v>
      </c>
    </row>
    <row r="45">
      <c r="A45" s="2" t="str">
        <f>IFERROR(__xludf.DUMMYFUNCTION("""COMPUTED_VALUE"""),"For rent")</f>
        <v>For rent</v>
      </c>
      <c r="B45" s="2" t="str">
        <f>IFERROR(__xludf.DUMMYFUNCTION("""COMPUTED_VALUE"""),"Purvciems")</f>
        <v>Purvciems</v>
      </c>
      <c r="C45" s="2" t="str">
        <f>IFERROR(__xludf.DUMMYFUNCTION("""COMPUTED_VALUE"""),"Ieriķu 58")</f>
        <v>Ieriķu 58</v>
      </c>
      <c r="D45" s="2">
        <f>IFERROR(__xludf.DUMMYFUNCTION("""COMPUTED_VALUE"""),1.0)</f>
        <v>1</v>
      </c>
      <c r="E45" s="2">
        <f>IFERROR(__xludf.DUMMYFUNCTION("""COMPUTED_VALUE"""),40.0)</f>
        <v>40</v>
      </c>
      <c r="F45" s="2">
        <f>IFERROR(__xludf.DUMMYFUNCTION("""COMPUTED_VALUE"""),2.0)</f>
        <v>2</v>
      </c>
      <c r="G45" s="2">
        <f>IFERROR(__xludf.DUMMYFUNCTION("""COMPUTED_VALUE"""),5.0)</f>
        <v>5</v>
      </c>
      <c r="H45" s="2" t="str">
        <f>IFERROR(__xludf.DUMMYFUNCTION("""COMPUTED_VALUE"""),"Specpr.")</f>
        <v>Specpr.</v>
      </c>
      <c r="I45" s="2" t="str">
        <f>IFERROR(__xludf.DUMMYFUNCTION("""COMPUTED_VALUE"""),"Brick-Panel")</f>
        <v>Brick-Panel</v>
      </c>
      <c r="J45" s="2" t="str">
        <f>IFERROR(__xludf.DUMMYFUNCTION("""COMPUTED_VALUE"""),"All amenities")</f>
        <v>All amenities</v>
      </c>
      <c r="K45" s="2">
        <f>IFERROR(__xludf.DUMMYFUNCTION("""COMPUTED_VALUE"""),235.0)</f>
        <v>235</v>
      </c>
      <c r="L45" s="2">
        <f>IFERROR(__xludf.DUMMYFUNCTION("""COMPUTED_VALUE"""),56.9655674)</f>
        <v>56.9655674</v>
      </c>
      <c r="M45" s="2">
        <f>IFERROR(__xludf.DUMMYFUNCTION("""COMPUTED_VALUE"""),24.1830043136253)</f>
        <v>24.18300431</v>
      </c>
    </row>
    <row r="46">
      <c r="A46" s="2" t="str">
        <f>IFERROR(__xludf.DUMMYFUNCTION("""COMPUTED_VALUE"""),"For rent")</f>
        <v>For rent</v>
      </c>
      <c r="B46" s="2" t="str">
        <f>IFERROR(__xludf.DUMMYFUNCTION("""COMPUTED_VALUE"""),"centrs")</f>
        <v>centrs</v>
      </c>
      <c r="C46" s="2" t="str">
        <f>IFERROR(__xludf.DUMMYFUNCTION("""COMPUTED_VALUE"""),"Asara 15")</f>
        <v>Asara 15</v>
      </c>
      <c r="D46" s="2">
        <f>IFERROR(__xludf.DUMMYFUNCTION("""COMPUTED_VALUE"""),1.0)</f>
        <v>1</v>
      </c>
      <c r="E46" s="2">
        <f>IFERROR(__xludf.DUMMYFUNCTION("""COMPUTED_VALUE"""),38.0)</f>
        <v>38</v>
      </c>
      <c r="F46" s="2">
        <f>IFERROR(__xludf.DUMMYFUNCTION("""COMPUTED_VALUE"""),5.0)</f>
        <v>5</v>
      </c>
      <c r="G46" s="2">
        <f>IFERROR(__xludf.DUMMYFUNCTION("""COMPUTED_VALUE"""),2.0)</f>
        <v>2</v>
      </c>
      <c r="H46" s="2" t="str">
        <f>IFERROR(__xludf.DUMMYFUNCTION("""COMPUTED_VALUE"""),"Specpr.")</f>
        <v>Specpr.</v>
      </c>
      <c r="I46" s="2" t="str">
        <f>IFERROR(__xludf.DUMMYFUNCTION("""COMPUTED_VALUE"""),"Brick")</f>
        <v>Brick</v>
      </c>
      <c r="J46" s="2" t="str">
        <f>IFERROR(__xludf.DUMMYFUNCTION("""COMPUTED_VALUE"""),"All amenities")</f>
        <v>All amenities</v>
      </c>
      <c r="K46" s="2">
        <f>IFERROR(__xludf.DUMMYFUNCTION("""COMPUTED_VALUE"""),280.0)</f>
        <v>280</v>
      </c>
      <c r="L46" s="2">
        <f>IFERROR(__xludf.DUMMYFUNCTION("""COMPUTED_VALUE"""),56.95636735)</f>
        <v>56.95636735</v>
      </c>
      <c r="M46" s="2">
        <f>IFERROR(__xludf.DUMMYFUNCTION("""COMPUTED_VALUE"""),24.1556898638912)</f>
        <v>24.15568986</v>
      </c>
    </row>
    <row r="47">
      <c r="A47" s="2" t="str">
        <f>IFERROR(__xludf.DUMMYFUNCTION("""COMPUTED_VALUE"""),"For rent")</f>
        <v>For rent</v>
      </c>
      <c r="B47" s="2" t="str">
        <f>IFERROR(__xludf.DUMMYFUNCTION("""COMPUTED_VALUE"""),"Purvciems")</f>
        <v>Purvciems</v>
      </c>
      <c r="C47" s="2" t="str">
        <f>IFERROR(__xludf.DUMMYFUNCTION("""COMPUTED_VALUE"""),"Pūces 19")</f>
        <v>Pūces 19</v>
      </c>
      <c r="D47" s="2">
        <f>IFERROR(__xludf.DUMMYFUNCTION("""COMPUTED_VALUE"""),2.0)</f>
        <v>2</v>
      </c>
      <c r="E47" s="2">
        <f>IFERROR(__xludf.DUMMYFUNCTION("""COMPUTED_VALUE"""),46.0)</f>
        <v>46</v>
      </c>
      <c r="F47" s="2">
        <f>IFERROR(__xludf.DUMMYFUNCTION("""COMPUTED_VALUE"""),2.0)</f>
        <v>2</v>
      </c>
      <c r="G47" s="2">
        <f>IFERROR(__xludf.DUMMYFUNCTION("""COMPUTED_VALUE"""),5.0)</f>
        <v>5</v>
      </c>
      <c r="H47" s="2" t="str">
        <f>IFERROR(__xludf.DUMMYFUNCTION("""COMPUTED_VALUE"""),"Jaun.")</f>
        <v>Jaun.</v>
      </c>
      <c r="I47" s="2" t="str">
        <f>IFERROR(__xludf.DUMMYFUNCTION("""COMPUTED_VALUE"""),"Panel")</f>
        <v>Panel</v>
      </c>
      <c r="J47" s="2" t="str">
        <f>IFERROR(__xludf.DUMMYFUNCTION("""COMPUTED_VALUE"""),"All amenities")</f>
        <v>All amenities</v>
      </c>
      <c r="K47" s="2">
        <f>IFERROR(__xludf.DUMMYFUNCTION("""COMPUTED_VALUE"""),430.0)</f>
        <v>430</v>
      </c>
      <c r="L47" s="2">
        <f>IFERROR(__xludf.DUMMYFUNCTION("""COMPUTED_VALUE"""),56.95632235)</f>
        <v>56.95632235</v>
      </c>
      <c r="M47" s="2">
        <f>IFERROR(__xludf.DUMMYFUNCTION("""COMPUTED_VALUE"""),24.1859785589656)</f>
        <v>24.18597856</v>
      </c>
    </row>
    <row r="48">
      <c r="A48" s="2" t="str">
        <f>IFERROR(__xludf.DUMMYFUNCTION("""COMPUTED_VALUE"""),"For rent")</f>
        <v>For rent</v>
      </c>
      <c r="B48" s="2" t="str">
        <f>IFERROR(__xludf.DUMMYFUNCTION("""COMPUTED_VALUE"""),"Krasta r-ns")</f>
        <v>Krasta r-ns</v>
      </c>
      <c r="C48" s="2" t="str">
        <f>IFERROR(__xludf.DUMMYFUNCTION("""COMPUTED_VALUE"""),"Lubānas 56")</f>
        <v>Lubānas 56</v>
      </c>
      <c r="D48" s="2">
        <f>IFERROR(__xludf.DUMMYFUNCTION("""COMPUTED_VALUE"""),1.0)</f>
        <v>1</v>
      </c>
      <c r="E48" s="2">
        <f>IFERROR(__xludf.DUMMYFUNCTION("""COMPUTED_VALUE"""),36.0)</f>
        <v>36</v>
      </c>
      <c r="F48" s="2">
        <f>IFERROR(__xludf.DUMMYFUNCTION("""COMPUTED_VALUE"""),6.0)</f>
        <v>6</v>
      </c>
      <c r="G48" s="2">
        <f>IFERROR(__xludf.DUMMYFUNCTION("""COMPUTED_VALUE"""),9.0)</f>
        <v>9</v>
      </c>
      <c r="H48" s="2">
        <f>IFERROR(__xludf.DUMMYFUNCTION("""COMPUTED_VALUE"""),602.0)</f>
        <v>602</v>
      </c>
      <c r="I48" s="2" t="str">
        <f>IFERROR(__xludf.DUMMYFUNCTION("""COMPUTED_VALUE"""),"Panel")</f>
        <v>Panel</v>
      </c>
      <c r="J48" s="2" t="str">
        <f>IFERROR(__xludf.DUMMYFUNCTION("""COMPUTED_VALUE"""),"All amenities")</f>
        <v>All amenities</v>
      </c>
      <c r="K48" s="2">
        <f>IFERROR(__xludf.DUMMYFUNCTION("""COMPUTED_VALUE"""),290.0)</f>
        <v>290</v>
      </c>
      <c r="L48" s="2">
        <f>IFERROR(__xludf.DUMMYFUNCTION("""COMPUTED_VALUE"""),56.93144315)</f>
        <v>56.93144315</v>
      </c>
      <c r="M48" s="2">
        <f>IFERROR(__xludf.DUMMYFUNCTION("""COMPUTED_VALUE"""),24.1757569002296)</f>
        <v>24.1757569</v>
      </c>
    </row>
    <row r="49">
      <c r="A49" s="2" t="str">
        <f>IFERROR(__xludf.DUMMYFUNCTION("""COMPUTED_VALUE"""),"For rent")</f>
        <v>For rent</v>
      </c>
      <c r="B49" s="2" t="str">
        <f>IFERROR(__xludf.DUMMYFUNCTION("""COMPUTED_VALUE"""),"Mangaļi")</f>
        <v>Mangaļi</v>
      </c>
      <c r="C49" s="2" t="str">
        <f>IFERROR(__xludf.DUMMYFUNCTION("""COMPUTED_VALUE"""),"Ezera 6")</f>
        <v>Ezera 6</v>
      </c>
      <c r="D49" s="2">
        <f>IFERROR(__xludf.DUMMYFUNCTION("""COMPUTED_VALUE"""),2.0)</f>
        <v>2</v>
      </c>
      <c r="E49" s="2">
        <f>IFERROR(__xludf.DUMMYFUNCTION("""COMPUTED_VALUE"""),40.0)</f>
        <v>40</v>
      </c>
      <c r="F49" s="2">
        <f>IFERROR(__xludf.DUMMYFUNCTION("""COMPUTED_VALUE"""),1.0)</f>
        <v>1</v>
      </c>
      <c r="G49" s="2">
        <f>IFERROR(__xludf.DUMMYFUNCTION("""COMPUTED_VALUE"""),2.0)</f>
        <v>2</v>
      </c>
      <c r="H49" s="2" t="str">
        <f>IFERROR(__xludf.DUMMYFUNCTION("""COMPUTED_VALUE"""),"Renov.")</f>
        <v>Renov.</v>
      </c>
      <c r="I49" s="2" t="str">
        <f>IFERROR(__xludf.DUMMYFUNCTION("""COMPUTED_VALUE"""),"Wood")</f>
        <v>Wood</v>
      </c>
      <c r="J49" s="2" t="str">
        <f>IFERROR(__xludf.DUMMYFUNCTION("""COMPUTED_VALUE"""),"All amenities")</f>
        <v>All amenities</v>
      </c>
      <c r="K49" s="2">
        <f>IFERROR(__xludf.DUMMYFUNCTION("""COMPUTED_VALUE"""),220.0)</f>
        <v>220</v>
      </c>
      <c r="L49" s="2">
        <f>IFERROR(__xludf.DUMMYFUNCTION("""COMPUTED_VALUE"""),57.0196416)</f>
        <v>57.0196416</v>
      </c>
      <c r="M49" s="2">
        <f>IFERROR(__xludf.DUMMYFUNCTION("""COMPUTED_VALUE"""),24.1269940321731)</f>
        <v>24.12699403</v>
      </c>
    </row>
    <row r="50">
      <c r="A50" s="2" t="str">
        <f>IFERROR(__xludf.DUMMYFUNCTION("""COMPUTED_VALUE"""),"For rent")</f>
        <v>For rent</v>
      </c>
      <c r="B50" s="2" t="str">
        <f>IFERROR(__xludf.DUMMYFUNCTION("""COMPUTED_VALUE"""),"Jugla")</f>
        <v>Jugla</v>
      </c>
      <c r="C50" s="2" t="str">
        <f>IFERROR(__xludf.DUMMYFUNCTION("""COMPUTED_VALUE"""),"Baltezera 1")</f>
        <v>Baltezera 1</v>
      </c>
      <c r="D50" s="2">
        <f>IFERROR(__xludf.DUMMYFUNCTION("""COMPUTED_VALUE"""),2.0)</f>
        <v>2</v>
      </c>
      <c r="E50" s="2">
        <f>IFERROR(__xludf.DUMMYFUNCTION("""COMPUTED_VALUE"""),49.0)</f>
        <v>49</v>
      </c>
      <c r="F50" s="2">
        <f>IFERROR(__xludf.DUMMYFUNCTION("""COMPUTED_VALUE"""),2.0)</f>
        <v>2</v>
      </c>
      <c r="G50" s="2">
        <f>IFERROR(__xludf.DUMMYFUNCTION("""COMPUTED_VALUE"""),5.0)</f>
        <v>5</v>
      </c>
      <c r="H50" s="2" t="str">
        <f>IFERROR(__xludf.DUMMYFUNCTION("""COMPUTED_VALUE"""),"LT proj.")</f>
        <v>LT proj.</v>
      </c>
      <c r="I50" s="2" t="str">
        <f>IFERROR(__xludf.DUMMYFUNCTION("""COMPUTED_VALUE"""),"Brick-Panel")</f>
        <v>Brick-Panel</v>
      </c>
      <c r="J50" s="2" t="str">
        <f>IFERROR(__xludf.DUMMYFUNCTION("""COMPUTED_VALUE"""),"All amenities")</f>
        <v>All amenities</v>
      </c>
      <c r="K50" s="2">
        <f>IFERROR(__xludf.DUMMYFUNCTION("""COMPUTED_VALUE"""),300.0)</f>
        <v>300</v>
      </c>
      <c r="L50" s="2">
        <f>IFERROR(__xludf.DUMMYFUNCTION("""COMPUTED_VALUE"""),56.9927002999999)</f>
        <v>56.9927003</v>
      </c>
      <c r="M50" s="2">
        <f>IFERROR(__xludf.DUMMYFUNCTION("""COMPUTED_VALUE"""),24.2400597)</f>
        <v>24.2400597</v>
      </c>
    </row>
    <row r="51">
      <c r="A51" s="2" t="str">
        <f>IFERROR(__xludf.DUMMYFUNCTION("""COMPUTED_VALUE"""),"For rent")</f>
        <v>For rent</v>
      </c>
      <c r="B51" s="2" t="str">
        <f>IFERROR(__xludf.DUMMYFUNCTION("""COMPUTED_VALUE"""),"centrs")</f>
        <v>centrs</v>
      </c>
      <c r="C51" s="2" t="str">
        <f>IFERROR(__xludf.DUMMYFUNCTION("""COMPUTED_VALUE"""),"Asara 12")</f>
        <v>Asara 12</v>
      </c>
      <c r="D51" s="2">
        <f>IFERROR(__xludf.DUMMYFUNCTION("""COMPUTED_VALUE"""),3.0)</f>
        <v>3</v>
      </c>
      <c r="E51" s="2">
        <f>IFERROR(__xludf.DUMMYFUNCTION("""COMPUTED_VALUE"""),50.0)</f>
        <v>50</v>
      </c>
      <c r="F51" s="2">
        <f>IFERROR(__xludf.DUMMYFUNCTION("""COMPUTED_VALUE"""),4.0)</f>
        <v>4</v>
      </c>
      <c r="G51" s="2">
        <f>IFERROR(__xludf.DUMMYFUNCTION("""COMPUTED_VALUE"""),5.0)</f>
        <v>5</v>
      </c>
      <c r="H51" s="2" t="str">
        <f>IFERROR(__xludf.DUMMYFUNCTION("""COMPUTED_VALUE"""),"Renov.")</f>
        <v>Renov.</v>
      </c>
      <c r="I51" s="2" t="str">
        <f>IFERROR(__xludf.DUMMYFUNCTION("""COMPUTED_VALUE"""),"Masonry")</f>
        <v>Masonry</v>
      </c>
      <c r="J51" s="2" t="str">
        <f>IFERROR(__xludf.DUMMYFUNCTION("""COMPUTED_VALUE"""),"All amenities")</f>
        <v>All amenities</v>
      </c>
      <c r="K51" s="2">
        <f>IFERROR(__xludf.DUMMYFUNCTION("""COMPUTED_VALUE"""),450.0)</f>
        <v>450</v>
      </c>
      <c r="L51" s="2">
        <f>IFERROR(__xludf.DUMMYFUNCTION("""COMPUTED_VALUE"""),56.9553833)</f>
        <v>56.9553833</v>
      </c>
      <c r="M51" s="2">
        <f>IFERROR(__xludf.DUMMYFUNCTION("""COMPUTED_VALUE"""),24.1488881)</f>
        <v>24.1488881</v>
      </c>
    </row>
    <row r="52">
      <c r="A52" s="2" t="str">
        <f>IFERROR(__xludf.DUMMYFUNCTION("""COMPUTED_VALUE"""),"For rent")</f>
        <v>For rent</v>
      </c>
      <c r="B52" s="2" t="str">
        <f>IFERROR(__xludf.DUMMYFUNCTION("""COMPUTED_VALUE"""),"Klīversala")</f>
        <v>Klīversala</v>
      </c>
      <c r="C52" s="2" t="str">
        <f>IFERROR(__xludf.DUMMYFUNCTION("""COMPUTED_VALUE"""),"Klīveru 1")</f>
        <v>Klīveru 1</v>
      </c>
      <c r="D52" s="2">
        <f>IFERROR(__xludf.DUMMYFUNCTION("""COMPUTED_VALUE"""),1.0)</f>
        <v>1</v>
      </c>
      <c r="E52" s="2">
        <f>IFERROR(__xludf.DUMMYFUNCTION("""COMPUTED_VALUE"""),26.0)</f>
        <v>26</v>
      </c>
      <c r="F52" s="2">
        <f>IFERROR(__xludf.DUMMYFUNCTION("""COMPUTED_VALUE"""),4.0)</f>
        <v>4</v>
      </c>
      <c r="G52" s="2">
        <f>IFERROR(__xludf.DUMMYFUNCTION("""COMPUTED_VALUE"""),4.0)</f>
        <v>4</v>
      </c>
      <c r="H52" s="2" t="str">
        <f>IFERROR(__xludf.DUMMYFUNCTION("""COMPUTED_VALUE"""),"P. kara")</f>
        <v>P. kara</v>
      </c>
      <c r="I52" s="2" t="str">
        <f>IFERROR(__xludf.DUMMYFUNCTION("""COMPUTED_VALUE"""),"Masonry")</f>
        <v>Masonry</v>
      </c>
      <c r="J52" s="2" t="str">
        <f>IFERROR(__xludf.DUMMYFUNCTION("""COMPUTED_VALUE"""),"All amenities")</f>
        <v>All amenities</v>
      </c>
      <c r="K52" s="2">
        <f>IFERROR(__xludf.DUMMYFUNCTION("""COMPUTED_VALUE"""),245.0)</f>
        <v>245</v>
      </c>
      <c r="L52" s="2">
        <f>IFERROR(__xludf.DUMMYFUNCTION("""COMPUTED_VALUE"""),56.94306285)</f>
        <v>56.94306285</v>
      </c>
      <c r="M52" s="2">
        <f>IFERROR(__xludf.DUMMYFUNCTION("""COMPUTED_VALUE"""),24.0912771146169)</f>
        <v>24.09127711</v>
      </c>
    </row>
    <row r="53">
      <c r="A53" s="2" t="str">
        <f>IFERROR(__xludf.DUMMYFUNCTION("""COMPUTED_VALUE"""),"For sale")</f>
        <v>For sale</v>
      </c>
      <c r="B53" s="2" t="str">
        <f>IFERROR(__xludf.DUMMYFUNCTION("""COMPUTED_VALUE"""),"centrs")</f>
        <v>centrs</v>
      </c>
      <c r="C53" s="2" t="str">
        <f>IFERROR(__xludf.DUMMYFUNCTION("""COMPUTED_VALUE"""),"Tērbatas 65")</f>
        <v>Tērbatas 65</v>
      </c>
      <c r="D53" s="2">
        <f>IFERROR(__xludf.DUMMYFUNCTION("""COMPUTED_VALUE"""),3.0)</f>
        <v>3</v>
      </c>
      <c r="E53" s="2">
        <f>IFERROR(__xludf.DUMMYFUNCTION("""COMPUTED_VALUE"""),91.0)</f>
        <v>91</v>
      </c>
      <c r="F53" s="2">
        <f>IFERROR(__xludf.DUMMYFUNCTION("""COMPUTED_VALUE"""),4.0)</f>
        <v>4</v>
      </c>
      <c r="G53" s="2">
        <f>IFERROR(__xludf.DUMMYFUNCTION("""COMPUTED_VALUE"""),6.0)</f>
        <v>6</v>
      </c>
      <c r="H53" s="2" t="str">
        <f>IFERROR(__xludf.DUMMYFUNCTION("""COMPUTED_VALUE"""),"P. kara")</f>
        <v>P. kara</v>
      </c>
      <c r="I53" s="2" t="str">
        <f>IFERROR(__xludf.DUMMYFUNCTION("""COMPUTED_VALUE"""),"Masonry")</f>
        <v>Masonry</v>
      </c>
      <c r="J53" s="2" t="str">
        <f>IFERROR(__xludf.DUMMYFUNCTION("""COMPUTED_VALUE"""),"All amenities")</f>
        <v>All amenities</v>
      </c>
      <c r="K53" s="2">
        <f>IFERROR(__xludf.DUMMYFUNCTION("""COMPUTED_VALUE"""),150000.0)</f>
        <v>150000</v>
      </c>
      <c r="L53" s="2">
        <f>IFERROR(__xludf.DUMMYFUNCTION("""COMPUTED_VALUE"""),56.9581924)</f>
        <v>56.9581924</v>
      </c>
      <c r="M53" s="2">
        <f>IFERROR(__xludf.DUMMYFUNCTION("""COMPUTED_VALUE"""),24.1306619)</f>
        <v>24.1306619</v>
      </c>
    </row>
    <row r="54">
      <c r="A54" s="2" t="str">
        <f>IFERROR(__xludf.DUMMYFUNCTION("""COMPUTED_VALUE"""),"For sale")</f>
        <v>For sale</v>
      </c>
      <c r="B54" s="2" t="str">
        <f>IFERROR(__xludf.DUMMYFUNCTION("""COMPUTED_VALUE"""),"centrs")</f>
        <v>centrs</v>
      </c>
      <c r="C54" s="2" t="str">
        <f>IFERROR(__xludf.DUMMYFUNCTION("""COMPUTED_VALUE"""),"Artilērijas 1")</f>
        <v>Artilērijas 1</v>
      </c>
      <c r="D54" s="2">
        <f>IFERROR(__xludf.DUMMYFUNCTION("""COMPUTED_VALUE"""),3.0)</f>
        <v>3</v>
      </c>
      <c r="E54" s="2">
        <f>IFERROR(__xludf.DUMMYFUNCTION("""COMPUTED_VALUE"""),96.0)</f>
        <v>96</v>
      </c>
      <c r="F54" s="2">
        <f>IFERROR(__xludf.DUMMYFUNCTION("""COMPUTED_VALUE"""),3.0)</f>
        <v>3</v>
      </c>
      <c r="G54" s="2">
        <f>IFERROR(__xludf.DUMMYFUNCTION("""COMPUTED_VALUE"""),6.0)</f>
        <v>6</v>
      </c>
      <c r="H54" s="2" t="str">
        <f>IFERROR(__xludf.DUMMYFUNCTION("""COMPUTED_VALUE"""),"P. kara")</f>
        <v>P. kara</v>
      </c>
      <c r="I54" s="2" t="str">
        <f>IFERROR(__xludf.DUMMYFUNCTION("""COMPUTED_VALUE"""),"Masonry")</f>
        <v>Masonry</v>
      </c>
      <c r="J54" s="2" t="str">
        <f>IFERROR(__xludf.DUMMYFUNCTION("""COMPUTED_VALUE"""),"All amenities")</f>
        <v>All amenities</v>
      </c>
      <c r="K54" s="2">
        <f>IFERROR(__xludf.DUMMYFUNCTION("""COMPUTED_VALUE"""),100000.0)</f>
        <v>100000</v>
      </c>
      <c r="L54" s="2">
        <f>IFERROR(__xludf.DUMMYFUNCTION("""COMPUTED_VALUE"""),56.9579533)</f>
        <v>56.9579533</v>
      </c>
      <c r="M54" s="2">
        <f>IFERROR(__xludf.DUMMYFUNCTION("""COMPUTED_VALUE"""),24.1425116)</f>
        <v>24.1425116</v>
      </c>
    </row>
    <row r="55">
      <c r="A55" s="2" t="str">
        <f>IFERROR(__xludf.DUMMYFUNCTION("""COMPUTED_VALUE"""),"For rent")</f>
        <v>For rent</v>
      </c>
      <c r="B55" s="2" t="str">
        <f>IFERROR(__xludf.DUMMYFUNCTION("""COMPUTED_VALUE"""),"Vecmīlgrāvis")</f>
        <v>Vecmīlgrāvis</v>
      </c>
      <c r="C55" s="2" t="str">
        <f>IFERROR(__xludf.DUMMYFUNCTION("""COMPUTED_VALUE"""),"Rīnūžu 11")</f>
        <v>Rīnūžu 11</v>
      </c>
      <c r="D55" s="2">
        <f>IFERROR(__xludf.DUMMYFUNCTION("""COMPUTED_VALUE"""),2.0)</f>
        <v>2</v>
      </c>
      <c r="E55" s="2">
        <f>IFERROR(__xludf.DUMMYFUNCTION("""COMPUTED_VALUE"""),53.0)</f>
        <v>53</v>
      </c>
      <c r="F55" s="2">
        <f>IFERROR(__xludf.DUMMYFUNCTION("""COMPUTED_VALUE"""),5.0)</f>
        <v>5</v>
      </c>
      <c r="G55" s="2">
        <f>IFERROR(__xludf.DUMMYFUNCTION("""COMPUTED_VALUE"""),5.0)</f>
        <v>5</v>
      </c>
      <c r="H55" s="2">
        <f>IFERROR(__xludf.DUMMYFUNCTION("""COMPUTED_VALUE"""),103.0)</f>
        <v>103</v>
      </c>
      <c r="I55" s="2" t="str">
        <f>IFERROR(__xludf.DUMMYFUNCTION("""COMPUTED_VALUE"""),"Brick-Panel")</f>
        <v>Brick-Panel</v>
      </c>
      <c r="J55" s="2" t="str">
        <f>IFERROR(__xludf.DUMMYFUNCTION("""COMPUTED_VALUE"""),"All amenities")</f>
        <v>All amenities</v>
      </c>
      <c r="K55" s="2">
        <f>IFERROR(__xludf.DUMMYFUNCTION("""COMPUTED_VALUE"""),270.0)</f>
        <v>270</v>
      </c>
      <c r="L55" s="2">
        <f>IFERROR(__xludf.DUMMYFUNCTION("""COMPUTED_VALUE"""),57.0378821)</f>
        <v>57.0378821</v>
      </c>
      <c r="M55" s="2">
        <f>IFERROR(__xludf.DUMMYFUNCTION("""COMPUTED_VALUE"""),24.0896779592055)</f>
        <v>24.08967796</v>
      </c>
    </row>
    <row r="56">
      <c r="A56" s="2" t="str">
        <f>IFERROR(__xludf.DUMMYFUNCTION("""COMPUTED_VALUE"""),"For sale")</f>
        <v>For sale</v>
      </c>
      <c r="B56" s="2" t="str">
        <f>IFERROR(__xludf.DUMMYFUNCTION("""COMPUTED_VALUE"""),"Āgenskalns")</f>
        <v>Āgenskalns</v>
      </c>
      <c r="C56" s="2" t="str">
        <f>IFERROR(__xludf.DUMMYFUNCTION("""COMPUTED_VALUE"""),"Kalnciema 106a")</f>
        <v>Kalnciema 106a</v>
      </c>
      <c r="D56" s="2">
        <f>IFERROR(__xludf.DUMMYFUNCTION("""COMPUTED_VALUE"""),2.0)</f>
        <v>2</v>
      </c>
      <c r="E56" s="2">
        <f>IFERROR(__xludf.DUMMYFUNCTION("""COMPUTED_VALUE"""),68.0)</f>
        <v>68</v>
      </c>
      <c r="F56" s="2">
        <f>IFERROR(__xludf.DUMMYFUNCTION("""COMPUTED_VALUE"""),2.0)</f>
        <v>2</v>
      </c>
      <c r="G56" s="2">
        <f>IFERROR(__xludf.DUMMYFUNCTION("""COMPUTED_VALUE"""),4.0)</f>
        <v>4</v>
      </c>
      <c r="H56" s="2" t="str">
        <f>IFERROR(__xludf.DUMMYFUNCTION("""COMPUTED_VALUE"""),"Jaun.")</f>
        <v>Jaun.</v>
      </c>
      <c r="I56" s="2" t="str">
        <f>IFERROR(__xludf.DUMMYFUNCTION("""COMPUTED_VALUE"""),"Masonry")</f>
        <v>Masonry</v>
      </c>
      <c r="J56" s="2" t="str">
        <f>IFERROR(__xludf.DUMMYFUNCTION("""COMPUTED_VALUE"""),"All amenities")</f>
        <v>All amenities</v>
      </c>
      <c r="K56" s="2">
        <f>IFERROR(__xludf.DUMMYFUNCTION("""COMPUTED_VALUE"""),105000.0)</f>
        <v>105000</v>
      </c>
      <c r="L56" s="2">
        <f>IFERROR(__xludf.DUMMYFUNCTION("""COMPUTED_VALUE"""),56.93662655)</f>
        <v>56.93662655</v>
      </c>
      <c r="M56" s="2">
        <f>IFERROR(__xludf.DUMMYFUNCTION("""COMPUTED_VALUE"""),24.0433356532986)</f>
        <v>24.04333565</v>
      </c>
    </row>
    <row r="57">
      <c r="A57" s="2" t="str">
        <f>IFERROR(__xludf.DUMMYFUNCTION("""COMPUTED_VALUE"""),"For sale")</f>
        <v>For sale</v>
      </c>
      <c r="B57" s="2" t="str">
        <f>IFERROR(__xludf.DUMMYFUNCTION("""COMPUTED_VALUE"""),"Zasulauks")</f>
        <v>Zasulauks</v>
      </c>
      <c r="C57" s="2" t="str">
        <f>IFERROR(__xludf.DUMMYFUNCTION("""COMPUTED_VALUE"""),"Kalnciema 106a")</f>
        <v>Kalnciema 106a</v>
      </c>
      <c r="D57" s="2">
        <f>IFERROR(__xludf.DUMMYFUNCTION("""COMPUTED_VALUE"""),2.0)</f>
        <v>2</v>
      </c>
      <c r="E57" s="2">
        <f>IFERROR(__xludf.DUMMYFUNCTION("""COMPUTED_VALUE"""),68.0)</f>
        <v>68</v>
      </c>
      <c r="F57" s="2">
        <f>IFERROR(__xludf.DUMMYFUNCTION("""COMPUTED_VALUE"""),2.0)</f>
        <v>2</v>
      </c>
      <c r="G57" s="2">
        <f>IFERROR(__xludf.DUMMYFUNCTION("""COMPUTED_VALUE"""),4.0)</f>
        <v>4</v>
      </c>
      <c r="H57" s="2" t="str">
        <f>IFERROR(__xludf.DUMMYFUNCTION("""COMPUTED_VALUE"""),"Jaun.")</f>
        <v>Jaun.</v>
      </c>
      <c r="I57" s="2" t="str">
        <f>IFERROR(__xludf.DUMMYFUNCTION("""COMPUTED_VALUE"""),"Masonry")</f>
        <v>Masonry</v>
      </c>
      <c r="J57" s="2" t="str">
        <f>IFERROR(__xludf.DUMMYFUNCTION("""COMPUTED_VALUE"""),"All amenities")</f>
        <v>All amenities</v>
      </c>
      <c r="K57" s="2">
        <f>IFERROR(__xludf.DUMMYFUNCTION("""COMPUTED_VALUE"""),105000.0)</f>
        <v>105000</v>
      </c>
      <c r="L57" s="2">
        <f>IFERROR(__xludf.DUMMYFUNCTION("""COMPUTED_VALUE"""),56.93662655)</f>
        <v>56.93662655</v>
      </c>
      <c r="M57" s="2">
        <f>IFERROR(__xludf.DUMMYFUNCTION("""COMPUTED_VALUE"""),24.0433356532986)</f>
        <v>24.04333565</v>
      </c>
    </row>
    <row r="58">
      <c r="A58" s="2" t="str">
        <f>IFERROR(__xludf.DUMMYFUNCTION("""COMPUTED_VALUE"""),"For rent")</f>
        <v>For rent</v>
      </c>
      <c r="B58" s="2" t="str">
        <f>IFERROR(__xludf.DUMMYFUNCTION("""COMPUTED_VALUE"""),"Pļavnieki")</f>
        <v>Pļavnieki</v>
      </c>
      <c r="C58" s="2" t="str">
        <f>IFERROR(__xludf.DUMMYFUNCTION("""COMPUTED_VALUE"""),"Jasmuižas 15")</f>
        <v>Jasmuižas 15</v>
      </c>
      <c r="D58" s="2">
        <f>IFERROR(__xludf.DUMMYFUNCTION("""COMPUTED_VALUE"""),1.0)</f>
        <v>1</v>
      </c>
      <c r="E58" s="2">
        <f>IFERROR(__xludf.DUMMYFUNCTION("""COMPUTED_VALUE"""),32.0)</f>
        <v>32</v>
      </c>
      <c r="F58" s="2">
        <f>IFERROR(__xludf.DUMMYFUNCTION("""COMPUTED_VALUE"""),2.0)</f>
        <v>2</v>
      </c>
      <c r="G58" s="2">
        <f>IFERROR(__xludf.DUMMYFUNCTION("""COMPUTED_VALUE"""),9.0)</f>
        <v>9</v>
      </c>
      <c r="H58" s="2">
        <f>IFERROR(__xludf.DUMMYFUNCTION("""COMPUTED_VALUE"""),602.0)</f>
        <v>602</v>
      </c>
      <c r="I58" s="2" t="str">
        <f>IFERROR(__xludf.DUMMYFUNCTION("""COMPUTED_VALUE"""),"Panel")</f>
        <v>Panel</v>
      </c>
      <c r="J58" s="2" t="str">
        <f>IFERROR(__xludf.DUMMYFUNCTION("""COMPUTED_VALUE"""),"All amenities")</f>
        <v>All amenities</v>
      </c>
      <c r="K58" s="2">
        <f>IFERROR(__xludf.DUMMYFUNCTION("""COMPUTED_VALUE"""),220.0)</f>
        <v>220</v>
      </c>
      <c r="L58" s="2">
        <f>IFERROR(__xludf.DUMMYFUNCTION("""COMPUTED_VALUE"""),56.93685365)</f>
        <v>56.93685365</v>
      </c>
      <c r="M58" s="2">
        <f>IFERROR(__xludf.DUMMYFUNCTION("""COMPUTED_VALUE"""),24.213177111898)</f>
        <v>24.21317711</v>
      </c>
    </row>
    <row r="59">
      <c r="A59" s="2" t="str">
        <f>IFERROR(__xludf.DUMMYFUNCTION("""COMPUTED_VALUE"""),"For sale")</f>
        <v>For sale</v>
      </c>
      <c r="B59" s="2" t="str">
        <f>IFERROR(__xludf.DUMMYFUNCTION("""COMPUTED_VALUE"""),"Pļavnieki")</f>
        <v>Pļavnieki</v>
      </c>
      <c r="C59" s="2" t="str">
        <f>IFERROR(__xludf.DUMMYFUNCTION("""COMPUTED_VALUE"""),"Salnas 22")</f>
        <v>Salnas 22</v>
      </c>
      <c r="D59" s="2">
        <f>IFERROR(__xludf.DUMMYFUNCTION("""COMPUTED_VALUE"""),1.0)</f>
        <v>1</v>
      </c>
      <c r="E59" s="2">
        <f>IFERROR(__xludf.DUMMYFUNCTION("""COMPUTED_VALUE"""),40.0)</f>
        <v>40</v>
      </c>
      <c r="F59" s="2">
        <f>IFERROR(__xludf.DUMMYFUNCTION("""COMPUTED_VALUE"""),4.0)</f>
        <v>4</v>
      </c>
      <c r="G59" s="2">
        <f>IFERROR(__xludf.DUMMYFUNCTION("""COMPUTED_VALUE"""),5.0)</f>
        <v>5</v>
      </c>
      <c r="H59" s="2" t="str">
        <f>IFERROR(__xludf.DUMMYFUNCTION("""COMPUTED_VALUE"""),"M. ģim.")</f>
        <v>M. ģim.</v>
      </c>
      <c r="I59" s="2" t="str">
        <f>IFERROR(__xludf.DUMMYFUNCTION("""COMPUTED_VALUE"""),"Panel")</f>
        <v>Panel</v>
      </c>
      <c r="J59" s="2" t="str">
        <f>IFERROR(__xludf.DUMMYFUNCTION("""COMPUTED_VALUE"""),"All amenities")</f>
        <v>All amenities</v>
      </c>
      <c r="K59" s="2">
        <f>IFERROR(__xludf.DUMMYFUNCTION("""COMPUTED_VALUE"""),33000.0)</f>
        <v>33000</v>
      </c>
      <c r="L59" s="2">
        <f>IFERROR(__xludf.DUMMYFUNCTION("""COMPUTED_VALUE"""),56.94177625)</f>
        <v>56.94177625</v>
      </c>
      <c r="M59" s="2">
        <f>IFERROR(__xludf.DUMMYFUNCTION("""COMPUTED_VALUE"""),24.2254638)</f>
        <v>24.2254638</v>
      </c>
    </row>
    <row r="60">
      <c r="A60" s="2" t="str">
        <f>IFERROR(__xludf.DUMMYFUNCTION("""COMPUTED_VALUE"""),"For sale")</f>
        <v>For sale</v>
      </c>
      <c r="B60" s="2" t="str">
        <f>IFERROR(__xludf.DUMMYFUNCTION("""COMPUTED_VALUE"""),"Mežaparks")</f>
        <v>Mežaparks</v>
      </c>
      <c r="C60" s="2" t="str">
        <f>IFERROR(__xludf.DUMMYFUNCTION("""COMPUTED_VALUE"""),"Viestura pr. 47")</f>
        <v>Viestura pr. 47</v>
      </c>
      <c r="D60" s="2">
        <f>IFERROR(__xludf.DUMMYFUNCTION("""COMPUTED_VALUE"""),1.0)</f>
        <v>1</v>
      </c>
      <c r="E60" s="2">
        <f>IFERROR(__xludf.DUMMYFUNCTION("""COMPUTED_VALUE"""),27.0)</f>
        <v>27</v>
      </c>
      <c r="F60" s="2">
        <f>IFERROR(__xludf.DUMMYFUNCTION("""COMPUTED_VALUE"""),7.0)</f>
        <v>7</v>
      </c>
      <c r="G60" s="2">
        <f>IFERROR(__xludf.DUMMYFUNCTION("""COMPUTED_VALUE"""),9.0)</f>
        <v>9</v>
      </c>
      <c r="H60" s="2" t="str">
        <f>IFERROR(__xludf.DUMMYFUNCTION("""COMPUTED_VALUE"""),"Specpr.")</f>
        <v>Specpr.</v>
      </c>
      <c r="I60" s="2" t="str">
        <f>IFERROR(__xludf.DUMMYFUNCTION("""COMPUTED_VALUE"""),"Brick")</f>
        <v>Brick</v>
      </c>
      <c r="J60" s="2" t="str">
        <f>IFERROR(__xludf.DUMMYFUNCTION("""COMPUTED_VALUE"""),"All amenities")</f>
        <v>All amenities</v>
      </c>
      <c r="K60" s="2">
        <f>IFERROR(__xludf.DUMMYFUNCTION("""COMPUTED_VALUE"""),27500.0)</f>
        <v>27500</v>
      </c>
      <c r="L60" s="2" t="str">
        <f>IFERROR(__xludf.DUMMYFUNCTION("""COMPUTED_VALUE"""),"NaN")</f>
        <v>NaN</v>
      </c>
      <c r="M60" s="2" t="str">
        <f>IFERROR(__xludf.DUMMYFUNCTION("""COMPUTED_VALUE"""),"NaN")</f>
        <v>NaN</v>
      </c>
    </row>
    <row r="61">
      <c r="A61" s="2" t="str">
        <f>IFERROR(__xludf.DUMMYFUNCTION("""COMPUTED_VALUE"""),"For sale")</f>
        <v>For sale</v>
      </c>
      <c r="B61" s="2" t="str">
        <f>IFERROR(__xludf.DUMMYFUNCTION("""COMPUTED_VALUE"""),"centrs")</f>
        <v>centrs</v>
      </c>
      <c r="C61" s="2" t="str">
        <f>IFERROR(__xludf.DUMMYFUNCTION("""COMPUTED_VALUE"""),"Bruņinieku 147")</f>
        <v>Bruņinieku 147</v>
      </c>
      <c r="D61" s="2">
        <f>IFERROR(__xludf.DUMMYFUNCTION("""COMPUTED_VALUE"""),5.0)</f>
        <v>5</v>
      </c>
      <c r="E61" s="2">
        <f>IFERROR(__xludf.DUMMYFUNCTION("""COMPUTED_VALUE"""),83.0)</f>
        <v>83</v>
      </c>
      <c r="F61" s="2">
        <f>IFERROR(__xludf.DUMMYFUNCTION("""COMPUTED_VALUE"""),1.0)</f>
        <v>1</v>
      </c>
      <c r="G61" s="2">
        <f>IFERROR(__xludf.DUMMYFUNCTION("""COMPUTED_VALUE"""),2.0)</f>
        <v>2</v>
      </c>
      <c r="H61" s="2" t="str">
        <f>IFERROR(__xludf.DUMMYFUNCTION("""COMPUTED_VALUE"""),"P. kara")</f>
        <v>P. kara</v>
      </c>
      <c r="I61" s="2" t="str">
        <f>IFERROR(__xludf.DUMMYFUNCTION("""COMPUTED_VALUE"""),"Wood")</f>
        <v>Wood</v>
      </c>
      <c r="J61" s="2" t="str">
        <f>IFERROR(__xludf.DUMMYFUNCTION("""COMPUTED_VALUE"""),"Partial amenities")</f>
        <v>Partial amenities</v>
      </c>
      <c r="K61" s="2">
        <f>IFERROR(__xludf.DUMMYFUNCTION("""COMPUTED_VALUE"""),27890.0)</f>
        <v>27890</v>
      </c>
      <c r="L61" s="2">
        <f>IFERROR(__xludf.DUMMYFUNCTION("""COMPUTED_VALUE"""),56.9599542)</f>
        <v>56.9599542</v>
      </c>
      <c r="M61" s="2">
        <f>IFERROR(__xludf.DUMMYFUNCTION("""COMPUTED_VALUE"""),24.1248268)</f>
        <v>24.1248268</v>
      </c>
    </row>
    <row r="62">
      <c r="A62" s="2" t="str">
        <f>IFERROR(__xludf.DUMMYFUNCTION("""COMPUTED_VALUE"""),"For sale")</f>
        <v>For sale</v>
      </c>
      <c r="B62" s="2" t="str">
        <f>IFERROR(__xludf.DUMMYFUNCTION("""COMPUTED_VALUE"""),"Āgenskalns")</f>
        <v>Āgenskalns</v>
      </c>
      <c r="C62" s="2" t="str">
        <f>IFERROR(__xludf.DUMMYFUNCTION("""COMPUTED_VALUE"""),"Kuldīgas 10")</f>
        <v>Kuldīgas 10</v>
      </c>
      <c r="D62" s="2">
        <f>IFERROR(__xludf.DUMMYFUNCTION("""COMPUTED_VALUE"""),1.0)</f>
        <v>1</v>
      </c>
      <c r="E62" s="2">
        <f>IFERROR(__xludf.DUMMYFUNCTION("""COMPUTED_VALUE"""),17.5)</f>
        <v>17.5</v>
      </c>
      <c r="F62" s="2">
        <f>IFERROR(__xludf.DUMMYFUNCTION("""COMPUTED_VALUE"""),1.0)</f>
        <v>1</v>
      </c>
      <c r="G62" s="2">
        <f>IFERROR(__xludf.DUMMYFUNCTION("""COMPUTED_VALUE"""),2.0)</f>
        <v>2</v>
      </c>
      <c r="H62" s="2" t="str">
        <f>IFERROR(__xludf.DUMMYFUNCTION("""COMPUTED_VALUE"""),"P. kara")</f>
        <v>P. kara</v>
      </c>
      <c r="I62" s="2" t="str">
        <f>IFERROR(__xludf.DUMMYFUNCTION("""COMPUTED_VALUE"""),"Wood")</f>
        <v>Wood</v>
      </c>
      <c r="J62" s="2" t="str">
        <f>IFERROR(__xludf.DUMMYFUNCTION("""COMPUTED_VALUE"""),"Partial amenities")</f>
        <v>Partial amenities</v>
      </c>
      <c r="K62" s="2">
        <f>IFERROR(__xludf.DUMMYFUNCTION("""COMPUTED_VALUE"""),9890.0)</f>
        <v>9890</v>
      </c>
      <c r="L62" s="2">
        <f>IFERROR(__xludf.DUMMYFUNCTION("""COMPUTED_VALUE"""),56.9517628)</f>
        <v>56.9517628</v>
      </c>
      <c r="M62" s="2">
        <f>IFERROR(__xludf.DUMMYFUNCTION("""COMPUTED_VALUE"""),24.0673487092408)</f>
        <v>24.06734871</v>
      </c>
    </row>
    <row r="63">
      <c r="A63" s="2" t="str">
        <f>IFERROR(__xludf.DUMMYFUNCTION("""COMPUTED_VALUE"""),"For sale")</f>
        <v>For sale</v>
      </c>
      <c r="B63" s="2" t="str">
        <f>IFERROR(__xludf.DUMMYFUNCTION("""COMPUTED_VALUE"""),"Jugla")</f>
        <v>Jugla</v>
      </c>
      <c r="C63" s="2" t="str">
        <f>IFERROR(__xludf.DUMMYFUNCTION("""COMPUTED_VALUE"""),"Kvēles 27")</f>
        <v>Kvēles 27</v>
      </c>
      <c r="D63" s="2">
        <f>IFERROR(__xludf.DUMMYFUNCTION("""COMPUTED_VALUE"""),2.0)</f>
        <v>2</v>
      </c>
      <c r="E63" s="2">
        <f>IFERROR(__xludf.DUMMYFUNCTION("""COMPUTED_VALUE"""),45.0)</f>
        <v>45</v>
      </c>
      <c r="F63" s="2">
        <f>IFERROR(__xludf.DUMMYFUNCTION("""COMPUTED_VALUE"""),1.0)</f>
        <v>1</v>
      </c>
      <c r="G63" s="2">
        <f>IFERROR(__xludf.DUMMYFUNCTION("""COMPUTED_VALUE"""),5.0)</f>
        <v>5</v>
      </c>
      <c r="H63" s="2" t="str">
        <f>IFERROR(__xludf.DUMMYFUNCTION("""COMPUTED_VALUE"""),"LT proj.")</f>
        <v>LT proj.</v>
      </c>
      <c r="I63" s="2" t="str">
        <f>IFERROR(__xludf.DUMMYFUNCTION("""COMPUTED_VALUE"""),"Panel")</f>
        <v>Panel</v>
      </c>
      <c r="J63" s="2" t="str">
        <f>IFERROR(__xludf.DUMMYFUNCTION("""COMPUTED_VALUE"""),"All amenities")</f>
        <v>All amenities</v>
      </c>
      <c r="K63" s="2">
        <f>IFERROR(__xludf.DUMMYFUNCTION("""COMPUTED_VALUE"""),41000.0)</f>
        <v>41000</v>
      </c>
      <c r="L63" s="2">
        <f>IFERROR(__xludf.DUMMYFUNCTION("""COMPUTED_VALUE"""),56.9820393)</f>
        <v>56.9820393</v>
      </c>
      <c r="M63" s="2">
        <f>IFERROR(__xludf.DUMMYFUNCTION("""COMPUTED_VALUE"""),24.2460206930134)</f>
        <v>24.24602069</v>
      </c>
    </row>
    <row r="64">
      <c r="A64" s="2" t="str">
        <f>IFERROR(__xludf.DUMMYFUNCTION("""COMPUTED_VALUE"""),"For rent")</f>
        <v>For rent</v>
      </c>
      <c r="B64" s="2" t="str">
        <f>IFERROR(__xludf.DUMMYFUNCTION("""COMPUTED_VALUE"""),"centrs")</f>
        <v>centrs</v>
      </c>
      <c r="C64" s="2" t="str">
        <f>IFERROR(__xludf.DUMMYFUNCTION("""COMPUTED_VALUE"""),"Pērnavas 10")</f>
        <v>Pērnavas 10</v>
      </c>
      <c r="D64" s="2">
        <f>IFERROR(__xludf.DUMMYFUNCTION("""COMPUTED_VALUE"""),1.0)</f>
        <v>1</v>
      </c>
      <c r="E64" s="2">
        <f>IFERROR(__xludf.DUMMYFUNCTION("""COMPUTED_VALUE"""),32.0)</f>
        <v>32</v>
      </c>
      <c r="F64" s="2">
        <f>IFERROR(__xludf.DUMMYFUNCTION("""COMPUTED_VALUE"""),5.0)</f>
        <v>5</v>
      </c>
      <c r="G64" s="2">
        <f>IFERROR(__xludf.DUMMYFUNCTION("""COMPUTED_VALUE"""),5.0)</f>
        <v>5</v>
      </c>
      <c r="H64" s="2" t="str">
        <f>IFERROR(__xludf.DUMMYFUNCTION("""COMPUTED_VALUE"""),"Hrušč.")</f>
        <v>Hrušč.</v>
      </c>
      <c r="I64" s="2" t="str">
        <f>IFERROR(__xludf.DUMMYFUNCTION("""COMPUTED_VALUE"""),"Brick")</f>
        <v>Brick</v>
      </c>
      <c r="J64" s="2" t="str">
        <f>IFERROR(__xludf.DUMMYFUNCTION("""COMPUTED_VALUE"""),"All amenities")</f>
        <v>All amenities</v>
      </c>
      <c r="K64" s="2">
        <f>IFERROR(__xludf.DUMMYFUNCTION("""COMPUTED_VALUE"""),255.0)</f>
        <v>255</v>
      </c>
      <c r="L64" s="2">
        <f>IFERROR(__xludf.DUMMYFUNCTION("""COMPUTED_VALUE"""),56.9647239)</f>
        <v>56.9647239</v>
      </c>
      <c r="M64" s="2">
        <f>IFERROR(__xludf.DUMMYFUNCTION("""COMPUTED_VALUE"""),24.1477109)</f>
        <v>24.1477109</v>
      </c>
    </row>
    <row r="65">
      <c r="A65" s="2" t="str">
        <f>IFERROR(__xludf.DUMMYFUNCTION("""COMPUTED_VALUE"""),"For rent")</f>
        <v>For rent</v>
      </c>
      <c r="B65" s="2" t="str">
        <f>IFERROR(__xludf.DUMMYFUNCTION("""COMPUTED_VALUE"""),"Purvciems")</f>
        <v>Purvciems</v>
      </c>
      <c r="C65" s="2" t="str">
        <f>IFERROR(__xludf.DUMMYFUNCTION("""COMPUTED_VALUE"""),"Sesku 26")</f>
        <v>Sesku 26</v>
      </c>
      <c r="D65" s="2">
        <f>IFERROR(__xludf.DUMMYFUNCTION("""COMPUTED_VALUE"""),1.0)</f>
        <v>1</v>
      </c>
      <c r="E65" s="2">
        <f>IFERROR(__xludf.DUMMYFUNCTION("""COMPUTED_VALUE"""),42.0)</f>
        <v>42</v>
      </c>
      <c r="F65" s="2">
        <f>IFERROR(__xludf.DUMMYFUNCTION("""COMPUTED_VALUE"""),3.0)</f>
        <v>3</v>
      </c>
      <c r="G65" s="2">
        <f>IFERROR(__xludf.DUMMYFUNCTION("""COMPUTED_VALUE"""),5.0)</f>
        <v>5</v>
      </c>
      <c r="H65" s="2" t="str">
        <f>IFERROR(__xludf.DUMMYFUNCTION("""COMPUTED_VALUE"""),"M. ģim.")</f>
        <v>M. ģim.</v>
      </c>
      <c r="I65" s="2" t="str">
        <f>IFERROR(__xludf.DUMMYFUNCTION("""COMPUTED_VALUE"""),"Brick-Panel")</f>
        <v>Brick-Panel</v>
      </c>
      <c r="J65" s="2" t="str">
        <f>IFERROR(__xludf.DUMMYFUNCTION("""COMPUTED_VALUE"""),"All amenities")</f>
        <v>All amenities</v>
      </c>
      <c r="K65" s="2">
        <f>IFERROR(__xludf.DUMMYFUNCTION("""COMPUTED_VALUE"""),270.0)</f>
        <v>270</v>
      </c>
      <c r="L65" s="2">
        <f>IFERROR(__xludf.DUMMYFUNCTION("""COMPUTED_VALUE"""),56.9449076)</f>
        <v>56.9449076</v>
      </c>
      <c r="M65" s="2">
        <f>IFERROR(__xludf.DUMMYFUNCTION("""COMPUTED_VALUE"""),24.178029437892)</f>
        <v>24.17802944</v>
      </c>
    </row>
    <row r="66">
      <c r="A66" s="2" t="str">
        <f>IFERROR(__xludf.DUMMYFUNCTION("""COMPUTED_VALUE"""),"For sale")</f>
        <v>For sale</v>
      </c>
      <c r="B66" s="2" t="str">
        <f>IFERROR(__xludf.DUMMYFUNCTION("""COMPUTED_VALUE"""),"Imanta")</f>
        <v>Imanta</v>
      </c>
      <c r="C66" s="2" t="str">
        <f>IFERROR(__xludf.DUMMYFUNCTION("""COMPUTED_VALUE"""),"Kurzemes pr. 102")</f>
        <v>Kurzemes pr. 102</v>
      </c>
      <c r="D66" s="2">
        <f>IFERROR(__xludf.DUMMYFUNCTION("""COMPUTED_VALUE"""),2.0)</f>
        <v>2</v>
      </c>
      <c r="E66" s="2">
        <f>IFERROR(__xludf.DUMMYFUNCTION("""COMPUTED_VALUE"""),48.0)</f>
        <v>48</v>
      </c>
      <c r="F66" s="2">
        <f>IFERROR(__xludf.DUMMYFUNCTION("""COMPUTED_VALUE"""),1.0)</f>
        <v>1</v>
      </c>
      <c r="G66" s="2">
        <f>IFERROR(__xludf.DUMMYFUNCTION("""COMPUTED_VALUE"""),5.0)</f>
        <v>5</v>
      </c>
      <c r="H66" s="2" t="str">
        <f>IFERROR(__xludf.DUMMYFUNCTION("""COMPUTED_VALUE"""),"LT proj.")</f>
        <v>LT proj.</v>
      </c>
      <c r="I66" s="2" t="str">
        <f>IFERROR(__xludf.DUMMYFUNCTION("""COMPUTED_VALUE"""),"Panel")</f>
        <v>Panel</v>
      </c>
      <c r="J66" s="2" t="str">
        <f>IFERROR(__xludf.DUMMYFUNCTION("""COMPUTED_VALUE"""),"All amenities")</f>
        <v>All amenities</v>
      </c>
      <c r="K66" s="2">
        <f>IFERROR(__xludf.DUMMYFUNCTION("""COMPUTED_VALUE"""),44000.0)</f>
        <v>44000</v>
      </c>
      <c r="L66" s="2" t="str">
        <f>IFERROR(__xludf.DUMMYFUNCTION("""COMPUTED_VALUE"""),"NaN")</f>
        <v>NaN</v>
      </c>
      <c r="M66" s="2" t="str">
        <f>IFERROR(__xludf.DUMMYFUNCTION("""COMPUTED_VALUE"""),"NaN")</f>
        <v>NaN</v>
      </c>
    </row>
    <row r="67">
      <c r="A67" s="2" t="str">
        <f>IFERROR(__xludf.DUMMYFUNCTION("""COMPUTED_VALUE"""),"For sale")</f>
        <v>For sale</v>
      </c>
      <c r="B67" s="2" t="str">
        <f>IFERROR(__xludf.DUMMYFUNCTION("""COMPUTED_VALUE"""),"Čiekurkalns")</f>
        <v>Čiekurkalns</v>
      </c>
      <c r="C67" s="2" t="str">
        <f>IFERROR(__xludf.DUMMYFUNCTION("""COMPUTED_VALUE"""),"Čiekurkalna 2. l. 28")</f>
        <v>Čiekurkalna 2. l. 28</v>
      </c>
      <c r="D67" s="2">
        <f>IFERROR(__xludf.DUMMYFUNCTION("""COMPUTED_VALUE"""),1.0)</f>
        <v>1</v>
      </c>
      <c r="E67" s="2">
        <f>IFERROR(__xludf.DUMMYFUNCTION("""COMPUTED_VALUE"""),24.0)</f>
        <v>24</v>
      </c>
      <c r="F67" s="2">
        <f>IFERROR(__xludf.DUMMYFUNCTION("""COMPUTED_VALUE"""),2.0)</f>
        <v>2</v>
      </c>
      <c r="G67" s="2">
        <f>IFERROR(__xludf.DUMMYFUNCTION("""COMPUTED_VALUE"""),2.0)</f>
        <v>2</v>
      </c>
      <c r="H67" s="2" t="str">
        <f>IFERROR(__xludf.DUMMYFUNCTION("""COMPUTED_VALUE"""),"P. kara")</f>
        <v>P. kara</v>
      </c>
      <c r="I67" s="2" t="str">
        <f>IFERROR(__xludf.DUMMYFUNCTION("""COMPUTED_VALUE"""),"Wood")</f>
        <v>Wood</v>
      </c>
      <c r="J67" s="2" t="str">
        <f>IFERROR(__xludf.DUMMYFUNCTION("""COMPUTED_VALUE"""),"Partial amenities")</f>
        <v>Partial amenities</v>
      </c>
      <c r="K67" s="2">
        <f>IFERROR(__xludf.DUMMYFUNCTION("""COMPUTED_VALUE"""),6790.0)</f>
        <v>6790</v>
      </c>
      <c r="L67" s="2" t="str">
        <f>IFERROR(__xludf.DUMMYFUNCTION("""COMPUTED_VALUE"""),"NaN")</f>
        <v>NaN</v>
      </c>
      <c r="M67" s="2" t="str">
        <f>IFERROR(__xludf.DUMMYFUNCTION("""COMPUTED_VALUE"""),"NaN")</f>
        <v>NaN</v>
      </c>
    </row>
    <row r="68">
      <c r="A68" s="2" t="str">
        <f>IFERROR(__xludf.DUMMYFUNCTION("""COMPUTED_VALUE"""),"For sale")</f>
        <v>For sale</v>
      </c>
      <c r="B68" s="2" t="str">
        <f>IFERROR(__xludf.DUMMYFUNCTION("""COMPUTED_VALUE"""),"Ziepniekkalns")</f>
        <v>Ziepniekkalns</v>
      </c>
      <c r="C68" s="2" t="str">
        <f>IFERROR(__xludf.DUMMYFUNCTION("""COMPUTED_VALUE"""),"Valdeķu 53")</f>
        <v>Valdeķu 53</v>
      </c>
      <c r="D68" s="2">
        <f>IFERROR(__xludf.DUMMYFUNCTION("""COMPUTED_VALUE"""),3.0)</f>
        <v>3</v>
      </c>
      <c r="E68" s="2">
        <f>IFERROR(__xludf.DUMMYFUNCTION("""COMPUTED_VALUE"""),75.0)</f>
        <v>75</v>
      </c>
      <c r="F68" s="2">
        <f>IFERROR(__xludf.DUMMYFUNCTION("""COMPUTED_VALUE"""),9.0)</f>
        <v>9</v>
      </c>
      <c r="G68" s="2">
        <f>IFERROR(__xludf.DUMMYFUNCTION("""COMPUTED_VALUE"""),10.0)</f>
        <v>10</v>
      </c>
      <c r="H68" s="2">
        <f>IFERROR(__xludf.DUMMYFUNCTION("""COMPUTED_VALUE"""),119.0)</f>
        <v>119</v>
      </c>
      <c r="I68" s="2" t="str">
        <f>IFERROR(__xludf.DUMMYFUNCTION("""COMPUTED_VALUE"""),"Panel")</f>
        <v>Panel</v>
      </c>
      <c r="J68" s="2" t="str">
        <f>IFERROR(__xludf.DUMMYFUNCTION("""COMPUTED_VALUE"""),"All amenities")</f>
        <v>All amenities</v>
      </c>
      <c r="K68" s="2">
        <f>IFERROR(__xludf.DUMMYFUNCTION("""COMPUTED_VALUE"""),72000.0)</f>
        <v>72000</v>
      </c>
      <c r="L68" s="2">
        <f>IFERROR(__xludf.DUMMYFUNCTION("""COMPUTED_VALUE"""),56.90154795)</f>
        <v>56.90154795</v>
      </c>
      <c r="M68" s="2">
        <f>IFERROR(__xludf.DUMMYFUNCTION("""COMPUTED_VALUE"""),24.0924674073424)</f>
        <v>24.09246741</v>
      </c>
    </row>
    <row r="69">
      <c r="A69" s="2" t="str">
        <f>IFERROR(__xludf.DUMMYFUNCTION("""COMPUTED_VALUE"""),"For rent")</f>
        <v>For rent</v>
      </c>
      <c r="B69" s="2" t="str">
        <f>IFERROR(__xludf.DUMMYFUNCTION("""COMPUTED_VALUE"""),"Ziepniekkalns")</f>
        <v>Ziepniekkalns</v>
      </c>
      <c r="C69" s="2" t="str">
        <f>IFERROR(__xludf.DUMMYFUNCTION("""COMPUTED_VALUE"""),"Ozolciema 18")</f>
        <v>Ozolciema 18</v>
      </c>
      <c r="D69" s="2">
        <f>IFERROR(__xludf.DUMMYFUNCTION("""COMPUTED_VALUE"""),1.0)</f>
        <v>1</v>
      </c>
      <c r="E69" s="2">
        <f>IFERROR(__xludf.DUMMYFUNCTION("""COMPUTED_VALUE"""),50.0)</f>
        <v>50</v>
      </c>
      <c r="F69" s="2">
        <f>IFERROR(__xludf.DUMMYFUNCTION("""COMPUTED_VALUE"""),3.0)</f>
        <v>3</v>
      </c>
      <c r="G69" s="2">
        <f>IFERROR(__xludf.DUMMYFUNCTION("""COMPUTED_VALUE"""),9.0)</f>
        <v>9</v>
      </c>
      <c r="H69" s="2">
        <f>IFERROR(__xludf.DUMMYFUNCTION("""COMPUTED_VALUE"""),119.0)</f>
        <v>119</v>
      </c>
      <c r="I69" s="2" t="str">
        <f>IFERROR(__xludf.DUMMYFUNCTION("""COMPUTED_VALUE"""),"Panel")</f>
        <v>Panel</v>
      </c>
      <c r="J69" s="2" t="str">
        <f>IFERROR(__xludf.DUMMYFUNCTION("""COMPUTED_VALUE"""),"All amenities")</f>
        <v>All amenities</v>
      </c>
      <c r="K69" s="2">
        <f>IFERROR(__xludf.DUMMYFUNCTION("""COMPUTED_VALUE"""),29.0)</f>
        <v>29</v>
      </c>
      <c r="L69" s="2">
        <f>IFERROR(__xludf.DUMMYFUNCTION("""COMPUTED_VALUE"""),56.89859735)</f>
        <v>56.89859735</v>
      </c>
      <c r="M69" s="2">
        <f>IFERROR(__xludf.DUMMYFUNCTION("""COMPUTED_VALUE"""),24.0876707999998)</f>
        <v>24.0876708</v>
      </c>
    </row>
    <row r="70">
      <c r="A70" s="2" t="str">
        <f>IFERROR(__xludf.DUMMYFUNCTION("""COMPUTED_VALUE"""),"For rent")</f>
        <v>For rent</v>
      </c>
      <c r="B70" s="2" t="str">
        <f>IFERROR(__xludf.DUMMYFUNCTION("""COMPUTED_VALUE"""),"Ziepniekkalns")</f>
        <v>Ziepniekkalns</v>
      </c>
      <c r="C70" s="2" t="str">
        <f>IFERROR(__xludf.DUMMYFUNCTION("""COMPUTED_VALUE"""),"Bērzupes 23")</f>
        <v>Bērzupes 23</v>
      </c>
      <c r="D70" s="2">
        <f>IFERROR(__xludf.DUMMYFUNCTION("""COMPUTED_VALUE"""),1.0)</f>
        <v>1</v>
      </c>
      <c r="E70" s="2">
        <f>IFERROR(__xludf.DUMMYFUNCTION("""COMPUTED_VALUE"""),31.0)</f>
        <v>31</v>
      </c>
      <c r="F70" s="2">
        <f>IFERROR(__xludf.DUMMYFUNCTION("""COMPUTED_VALUE"""),2.0)</f>
        <v>2</v>
      </c>
      <c r="G70" s="2">
        <f>IFERROR(__xludf.DUMMYFUNCTION("""COMPUTED_VALUE"""),5.0)</f>
        <v>5</v>
      </c>
      <c r="H70" s="2" t="str">
        <f>IFERROR(__xludf.DUMMYFUNCTION("""COMPUTED_VALUE"""),"LT proj.")</f>
        <v>LT proj.</v>
      </c>
      <c r="I70" s="2" t="str">
        <f>IFERROR(__xludf.DUMMYFUNCTION("""COMPUTED_VALUE"""),"Panel-Brick")</f>
        <v>Panel-Brick</v>
      </c>
      <c r="J70" s="2" t="str">
        <f>IFERROR(__xludf.DUMMYFUNCTION("""COMPUTED_VALUE"""),"All amenities")</f>
        <v>All amenities</v>
      </c>
      <c r="K70" s="2">
        <f>IFERROR(__xludf.DUMMYFUNCTION("""COMPUTED_VALUE"""),250.0)</f>
        <v>250</v>
      </c>
      <c r="L70" s="2">
        <f>IFERROR(__xludf.DUMMYFUNCTION("""COMPUTED_VALUE"""),56.9151751)</f>
        <v>56.9151751</v>
      </c>
      <c r="M70" s="2">
        <f>IFERROR(__xludf.DUMMYFUNCTION("""COMPUTED_VALUE"""),24.0930573319028)</f>
        <v>24.09305733</v>
      </c>
    </row>
    <row r="71">
      <c r="A71" s="2" t="str">
        <f>IFERROR(__xludf.DUMMYFUNCTION("""COMPUTED_VALUE"""),"For sale")</f>
        <v>For sale</v>
      </c>
      <c r="B71" s="2" t="str">
        <f>IFERROR(__xludf.DUMMYFUNCTION("""COMPUTED_VALUE"""),"Pļavnieki")</f>
        <v>Pļavnieki</v>
      </c>
      <c r="C71" s="2" t="str">
        <f>IFERROR(__xludf.DUMMYFUNCTION("""COMPUTED_VALUE"""),"Lubānas 129")</f>
        <v>Lubānas 129</v>
      </c>
      <c r="D71" s="2">
        <f>IFERROR(__xludf.DUMMYFUNCTION("""COMPUTED_VALUE"""),1.0)</f>
        <v>1</v>
      </c>
      <c r="E71" s="2">
        <f>IFERROR(__xludf.DUMMYFUNCTION("""COMPUTED_VALUE"""),41.0)</f>
        <v>41</v>
      </c>
      <c r="F71" s="2">
        <f>IFERROR(__xludf.DUMMYFUNCTION("""COMPUTED_VALUE"""),1.0)</f>
        <v>1</v>
      </c>
      <c r="G71" s="2">
        <f>IFERROR(__xludf.DUMMYFUNCTION("""COMPUTED_VALUE"""),9.0)</f>
        <v>9</v>
      </c>
      <c r="H71" s="2" t="str">
        <f>IFERROR(__xludf.DUMMYFUNCTION("""COMPUTED_VALUE"""),"M. ģim.")</f>
        <v>M. ģim.</v>
      </c>
      <c r="I71" s="2" t="str">
        <f>IFERROR(__xludf.DUMMYFUNCTION("""COMPUTED_VALUE"""),"Panel")</f>
        <v>Panel</v>
      </c>
      <c r="J71" s="2" t="str">
        <f>IFERROR(__xludf.DUMMYFUNCTION("""COMPUTED_VALUE"""),"All amenities")</f>
        <v>All amenities</v>
      </c>
      <c r="K71" s="2">
        <f>IFERROR(__xludf.DUMMYFUNCTION("""COMPUTED_VALUE"""),34000.0)</f>
        <v>34000</v>
      </c>
      <c r="L71" s="2">
        <f>IFERROR(__xludf.DUMMYFUNCTION("""COMPUTED_VALUE"""),56.93257265)</f>
        <v>56.93257265</v>
      </c>
      <c r="M71" s="2">
        <f>IFERROR(__xludf.DUMMYFUNCTION("""COMPUTED_VALUE"""),24.2080293)</f>
        <v>24.2080293</v>
      </c>
    </row>
    <row r="72">
      <c r="A72" s="2" t="str">
        <f>IFERROR(__xludf.DUMMYFUNCTION("""COMPUTED_VALUE"""),"For sale")</f>
        <v>For sale</v>
      </c>
      <c r="B72" s="2" t="str">
        <f>IFERROR(__xludf.DUMMYFUNCTION("""COMPUTED_VALUE"""),"Āgenskalns")</f>
        <v>Āgenskalns</v>
      </c>
      <c r="C72" s="2" t="str">
        <f>IFERROR(__xludf.DUMMYFUNCTION("""COMPUTED_VALUE"""),"Grīna bulv. 13")</f>
        <v>Grīna bulv. 13</v>
      </c>
      <c r="D72" s="2">
        <f>IFERROR(__xludf.DUMMYFUNCTION("""COMPUTED_VALUE"""),2.0)</f>
        <v>2</v>
      </c>
      <c r="E72" s="2">
        <f>IFERROR(__xludf.DUMMYFUNCTION("""COMPUTED_VALUE"""),47.0)</f>
        <v>47</v>
      </c>
      <c r="F72" s="2">
        <f>IFERROR(__xludf.DUMMYFUNCTION("""COMPUTED_VALUE"""),3.0)</f>
        <v>3</v>
      </c>
      <c r="G72" s="2">
        <f>IFERROR(__xludf.DUMMYFUNCTION("""COMPUTED_VALUE"""),5.0)</f>
        <v>5</v>
      </c>
      <c r="H72" s="2" t="str">
        <f>IFERROR(__xludf.DUMMYFUNCTION("""COMPUTED_VALUE"""),"Specpr.")</f>
        <v>Specpr.</v>
      </c>
      <c r="I72" s="2" t="str">
        <f>IFERROR(__xludf.DUMMYFUNCTION("""COMPUTED_VALUE"""),"Brick")</f>
        <v>Brick</v>
      </c>
      <c r="J72" s="2" t="str">
        <f>IFERROR(__xludf.DUMMYFUNCTION("""COMPUTED_VALUE"""),"All amenities")</f>
        <v>All amenities</v>
      </c>
      <c r="K72" s="2">
        <f>IFERROR(__xludf.DUMMYFUNCTION("""COMPUTED_VALUE"""),45500.0)</f>
        <v>45500</v>
      </c>
      <c r="L72" s="2" t="str">
        <f>IFERROR(__xludf.DUMMYFUNCTION("""COMPUTED_VALUE"""),"NaN")</f>
        <v>NaN</v>
      </c>
      <c r="M72" s="2" t="str">
        <f>IFERROR(__xludf.DUMMYFUNCTION("""COMPUTED_VALUE"""),"NaN")</f>
        <v>NaN</v>
      </c>
    </row>
    <row r="73">
      <c r="A73" s="2" t="str">
        <f>IFERROR(__xludf.DUMMYFUNCTION("""COMPUTED_VALUE"""),"For sale")</f>
        <v>For sale</v>
      </c>
      <c r="B73" s="2" t="str">
        <f>IFERROR(__xludf.DUMMYFUNCTION("""COMPUTED_VALUE"""),"centrs")</f>
        <v>centrs</v>
      </c>
      <c r="C73" s="2" t="str">
        <f>IFERROR(__xludf.DUMMYFUNCTION("""COMPUTED_VALUE"""),"Pētersalas 2")</f>
        <v>Pētersalas 2</v>
      </c>
      <c r="D73" s="2">
        <f>IFERROR(__xludf.DUMMYFUNCTION("""COMPUTED_VALUE"""),5.0)</f>
        <v>5</v>
      </c>
      <c r="E73" s="2">
        <f>IFERROR(__xludf.DUMMYFUNCTION("""COMPUTED_VALUE"""),144.0)</f>
        <v>144</v>
      </c>
      <c r="F73" s="2">
        <f>IFERROR(__xludf.DUMMYFUNCTION("""COMPUTED_VALUE"""),1.0)</f>
        <v>1</v>
      </c>
      <c r="G73" s="2">
        <f>IFERROR(__xludf.DUMMYFUNCTION("""COMPUTED_VALUE"""),5.0)</f>
        <v>5</v>
      </c>
      <c r="H73" s="2" t="str">
        <f>IFERROR(__xludf.DUMMYFUNCTION("""COMPUTED_VALUE"""),"Specpr.")</f>
        <v>Specpr.</v>
      </c>
      <c r="I73" s="2" t="str">
        <f>IFERROR(__xludf.DUMMYFUNCTION("""COMPUTED_VALUE"""),"Masonry")</f>
        <v>Masonry</v>
      </c>
      <c r="J73" s="2" t="str">
        <f>IFERROR(__xludf.DUMMYFUNCTION("""COMPUTED_VALUE"""),"All amenities")</f>
        <v>All amenities</v>
      </c>
      <c r="K73" s="2">
        <f>IFERROR(__xludf.DUMMYFUNCTION("""COMPUTED_VALUE"""),74800.0)</f>
        <v>74800</v>
      </c>
      <c r="L73" s="2">
        <f>IFERROR(__xludf.DUMMYFUNCTION("""COMPUTED_VALUE"""),56.9678993)</f>
        <v>56.9678993</v>
      </c>
      <c r="M73" s="2">
        <f>IFERROR(__xludf.DUMMYFUNCTION("""COMPUTED_VALUE"""),24.1050379341528)</f>
        <v>24.10503793</v>
      </c>
    </row>
    <row r="74">
      <c r="A74" s="2" t="str">
        <f>IFERROR(__xludf.DUMMYFUNCTION("""COMPUTED_VALUE"""),"For rent")</f>
        <v>For rent</v>
      </c>
      <c r="B74" s="2" t="str">
        <f>IFERROR(__xludf.DUMMYFUNCTION("""COMPUTED_VALUE"""),"Mežaparks")</f>
        <v>Mežaparks</v>
      </c>
      <c r="C74" s="2" t="str">
        <f>IFERROR(__xludf.DUMMYFUNCTION("""COMPUTED_VALUE"""),"Viestura pr. 95")</f>
        <v>Viestura pr. 95</v>
      </c>
      <c r="D74" s="2">
        <f>IFERROR(__xludf.DUMMYFUNCTION("""COMPUTED_VALUE"""),2.0)</f>
        <v>2</v>
      </c>
      <c r="E74" s="2">
        <f>IFERROR(__xludf.DUMMYFUNCTION("""COMPUTED_VALUE"""),42.0)</f>
        <v>42</v>
      </c>
      <c r="F74" s="2">
        <f>IFERROR(__xludf.DUMMYFUNCTION("""COMPUTED_VALUE"""),8.0)</f>
        <v>8</v>
      </c>
      <c r="G74" s="2">
        <f>IFERROR(__xludf.DUMMYFUNCTION("""COMPUTED_VALUE"""),11.0)</f>
        <v>11</v>
      </c>
      <c r="H74" s="2" t="str">
        <f>IFERROR(__xludf.DUMMYFUNCTION("""COMPUTED_VALUE"""),"Jaun.")</f>
        <v>Jaun.</v>
      </c>
      <c r="I74" s="2" t="str">
        <f>IFERROR(__xludf.DUMMYFUNCTION("""COMPUTED_VALUE"""),"Brick")</f>
        <v>Brick</v>
      </c>
      <c r="J74" s="2" t="str">
        <f>IFERROR(__xludf.DUMMYFUNCTION("""COMPUTED_VALUE"""),"All amenities")</f>
        <v>All amenities</v>
      </c>
      <c r="K74" s="2">
        <f>IFERROR(__xludf.DUMMYFUNCTION("""COMPUTED_VALUE"""),450.0)</f>
        <v>450</v>
      </c>
      <c r="L74" s="2" t="str">
        <f>IFERROR(__xludf.DUMMYFUNCTION("""COMPUTED_VALUE"""),"NaN")</f>
        <v>NaN</v>
      </c>
      <c r="M74" s="2" t="str">
        <f>IFERROR(__xludf.DUMMYFUNCTION("""COMPUTED_VALUE"""),"NaN")</f>
        <v>NaN</v>
      </c>
    </row>
    <row r="75">
      <c r="A75" s="2" t="str">
        <f>IFERROR(__xludf.DUMMYFUNCTION("""COMPUTED_VALUE"""),"For sale")</f>
        <v>For sale</v>
      </c>
      <c r="B75" s="2" t="str">
        <f>IFERROR(__xludf.DUMMYFUNCTION("""COMPUTED_VALUE"""),"centrs")</f>
        <v>centrs</v>
      </c>
      <c r="C75" s="2" t="str">
        <f>IFERROR(__xludf.DUMMYFUNCTION("""COMPUTED_VALUE"""),"Ādmiņu 6")</f>
        <v>Ādmiņu 6</v>
      </c>
      <c r="D75" s="2">
        <f>IFERROR(__xludf.DUMMYFUNCTION("""COMPUTED_VALUE"""),2.0)</f>
        <v>2</v>
      </c>
      <c r="E75" s="2">
        <f>IFERROR(__xludf.DUMMYFUNCTION("""COMPUTED_VALUE"""),36.0)</f>
        <v>36</v>
      </c>
      <c r="F75" s="2">
        <f>IFERROR(__xludf.DUMMYFUNCTION("""COMPUTED_VALUE"""),2.0)</f>
        <v>2</v>
      </c>
      <c r="G75" s="2">
        <f>IFERROR(__xludf.DUMMYFUNCTION("""COMPUTED_VALUE"""),2.0)</f>
        <v>2</v>
      </c>
      <c r="H75" s="2" t="str">
        <f>IFERROR(__xludf.DUMMYFUNCTION("""COMPUTED_VALUE"""),"P. kara")</f>
        <v>P. kara</v>
      </c>
      <c r="I75" s="2" t="str">
        <f>IFERROR(__xludf.DUMMYFUNCTION("""COMPUTED_VALUE"""),"Masonry")</f>
        <v>Masonry</v>
      </c>
      <c r="J75" s="2" t="str">
        <f>IFERROR(__xludf.DUMMYFUNCTION("""COMPUTED_VALUE"""),"Partial amenities")</f>
        <v>Partial amenities</v>
      </c>
      <c r="K75" s="2">
        <f>IFERROR(__xludf.DUMMYFUNCTION("""COMPUTED_VALUE"""),25000.0)</f>
        <v>25000</v>
      </c>
      <c r="L75" s="2">
        <f>IFERROR(__xludf.DUMMYFUNCTION("""COMPUTED_VALUE"""),56.949362)</f>
        <v>56.949362</v>
      </c>
      <c r="M75" s="2">
        <f>IFERROR(__xludf.DUMMYFUNCTION("""COMPUTED_VALUE"""),24.1405231747945)</f>
        <v>24.14052317</v>
      </c>
    </row>
    <row r="76">
      <c r="A76" s="2" t="str">
        <f>IFERROR(__xludf.DUMMYFUNCTION("""COMPUTED_VALUE"""),"For rent")</f>
        <v>For rent</v>
      </c>
      <c r="B76" s="2" t="str">
        <f>IFERROR(__xludf.DUMMYFUNCTION("""COMPUTED_VALUE"""),"Jugla")</f>
        <v>Jugla</v>
      </c>
      <c r="C76" s="2" t="str">
        <f>IFERROR(__xludf.DUMMYFUNCTION("""COMPUTED_VALUE"""),"Veldres 32")</f>
        <v>Veldres 32</v>
      </c>
      <c r="D76" s="2">
        <f>IFERROR(__xludf.DUMMYFUNCTION("""COMPUTED_VALUE"""),1.0)</f>
        <v>1</v>
      </c>
      <c r="E76" s="2">
        <f>IFERROR(__xludf.DUMMYFUNCTION("""COMPUTED_VALUE"""),33.0)</f>
        <v>33</v>
      </c>
      <c r="F76" s="2">
        <f>IFERROR(__xludf.DUMMYFUNCTION("""COMPUTED_VALUE"""),12.0)</f>
        <v>12</v>
      </c>
      <c r="G76" s="2">
        <f>IFERROR(__xludf.DUMMYFUNCTION("""COMPUTED_VALUE"""),12.0)</f>
        <v>12</v>
      </c>
      <c r="H76" s="2" t="str">
        <f>IFERROR(__xludf.DUMMYFUNCTION("""COMPUTED_VALUE"""),"Specpr.")</f>
        <v>Specpr.</v>
      </c>
      <c r="I76" s="2" t="str">
        <f>IFERROR(__xludf.DUMMYFUNCTION("""COMPUTED_VALUE"""),"Brick-Panel")</f>
        <v>Brick-Panel</v>
      </c>
      <c r="J76" s="2" t="str">
        <f>IFERROR(__xludf.DUMMYFUNCTION("""COMPUTED_VALUE"""),"All amenities")</f>
        <v>All amenities</v>
      </c>
      <c r="K76" s="2">
        <f>IFERROR(__xludf.DUMMYFUNCTION("""COMPUTED_VALUE"""),230.0)</f>
        <v>230</v>
      </c>
      <c r="L76" s="2">
        <f>IFERROR(__xludf.DUMMYFUNCTION("""COMPUTED_VALUE"""),56.9764669)</f>
        <v>56.9764669</v>
      </c>
      <c r="M76" s="2">
        <f>IFERROR(__xludf.DUMMYFUNCTION("""COMPUTED_VALUE"""),24.2443207293107)</f>
        <v>24.24432073</v>
      </c>
    </row>
    <row r="77">
      <c r="A77" s="2" t="str">
        <f>IFERROR(__xludf.DUMMYFUNCTION("""COMPUTED_VALUE"""),"For rent")</f>
        <v>For rent</v>
      </c>
      <c r="B77" s="2" t="str">
        <f>IFERROR(__xludf.DUMMYFUNCTION("""COMPUTED_VALUE"""),"Sarkandaugava")</f>
        <v>Sarkandaugava</v>
      </c>
      <c r="C77" s="2" t="str">
        <f>IFERROR(__xludf.DUMMYFUNCTION("""COMPUTED_VALUE"""),"Tilta 5")</f>
        <v>Tilta 5</v>
      </c>
      <c r="D77" s="2" t="str">
        <f>IFERROR(__xludf.DUMMYFUNCTION("""COMPUTED_VALUE"""),"Citi")</f>
        <v>Citi</v>
      </c>
      <c r="E77" s="2">
        <f>IFERROR(__xludf.DUMMYFUNCTION("""COMPUTED_VALUE"""),76.0)</f>
        <v>76</v>
      </c>
      <c r="F77" s="2">
        <f>IFERROR(__xludf.DUMMYFUNCTION("""COMPUTED_VALUE"""),2.0)</f>
        <v>2</v>
      </c>
      <c r="G77" s="2">
        <f>IFERROR(__xludf.DUMMYFUNCTION("""COMPUTED_VALUE"""),4.0)</f>
        <v>4</v>
      </c>
      <c r="H77" s="2" t="str">
        <f>IFERROR(__xludf.DUMMYFUNCTION("""COMPUTED_VALUE"""),"P. kara")</f>
        <v>P. kara</v>
      </c>
      <c r="I77" s="2" t="str">
        <f>IFERROR(__xludf.DUMMYFUNCTION("""COMPUTED_VALUE"""),"Masonry")</f>
        <v>Masonry</v>
      </c>
      <c r="J77" s="2" t="str">
        <f>IFERROR(__xludf.DUMMYFUNCTION("""COMPUTED_VALUE"""),"All amenities")</f>
        <v>All amenities</v>
      </c>
      <c r="K77" s="2">
        <f>IFERROR(__xludf.DUMMYFUNCTION("""COMPUTED_VALUE"""),295.0)</f>
        <v>295</v>
      </c>
      <c r="L77" s="2">
        <f>IFERROR(__xludf.DUMMYFUNCTION("""COMPUTED_VALUE"""),56.9950728)</f>
        <v>56.9950728</v>
      </c>
      <c r="M77" s="2">
        <f>IFERROR(__xludf.DUMMYFUNCTION("""COMPUTED_VALUE"""),24.1273961)</f>
        <v>24.1273961</v>
      </c>
    </row>
    <row r="78">
      <c r="A78" s="2" t="str">
        <f>IFERROR(__xludf.DUMMYFUNCTION("""COMPUTED_VALUE"""),"For rent")</f>
        <v>For rent</v>
      </c>
      <c r="B78" s="2" t="str">
        <f>IFERROR(__xludf.DUMMYFUNCTION("""COMPUTED_VALUE"""),"Maskavas priekšpilsēta")</f>
        <v>Maskavas priekšpilsēta</v>
      </c>
      <c r="C78" s="2" t="str">
        <f>IFERROR(__xludf.DUMMYFUNCTION("""COMPUTED_VALUE"""),"Daugavpils 76")</f>
        <v>Daugavpils 76</v>
      </c>
      <c r="D78" s="2">
        <f>IFERROR(__xludf.DUMMYFUNCTION("""COMPUTED_VALUE"""),1.0)</f>
        <v>1</v>
      </c>
      <c r="E78" s="2">
        <f>IFERROR(__xludf.DUMMYFUNCTION("""COMPUTED_VALUE"""),25.0)</f>
        <v>25</v>
      </c>
      <c r="F78" s="2">
        <f>IFERROR(__xludf.DUMMYFUNCTION("""COMPUTED_VALUE"""),5.0)</f>
        <v>5</v>
      </c>
      <c r="G78" s="2">
        <f>IFERROR(__xludf.DUMMYFUNCTION("""COMPUTED_VALUE"""),6.0)</f>
        <v>6</v>
      </c>
      <c r="H78" s="2" t="str">
        <f>IFERROR(__xludf.DUMMYFUNCTION("""COMPUTED_VALUE"""),"P. kara")</f>
        <v>P. kara</v>
      </c>
      <c r="I78" s="2" t="str">
        <f>IFERROR(__xludf.DUMMYFUNCTION("""COMPUTED_VALUE"""),"Brick")</f>
        <v>Brick</v>
      </c>
      <c r="J78" s="2" t="str">
        <f>IFERROR(__xludf.DUMMYFUNCTION("""COMPUTED_VALUE"""),"All amenities")</f>
        <v>All amenities</v>
      </c>
      <c r="K78" s="2">
        <f>IFERROR(__xludf.DUMMYFUNCTION("""COMPUTED_VALUE"""),250.0)</f>
        <v>250</v>
      </c>
      <c r="L78" s="2">
        <f>IFERROR(__xludf.DUMMYFUNCTION("""COMPUTED_VALUE"""),56.9464308999999)</f>
        <v>56.9464309</v>
      </c>
      <c r="M78" s="2">
        <f>IFERROR(__xludf.DUMMYFUNCTION("""COMPUTED_VALUE"""),24.1413962131361)</f>
        <v>24.14139621</v>
      </c>
    </row>
    <row r="79">
      <c r="A79" s="2" t="str">
        <f>IFERROR(__xludf.DUMMYFUNCTION("""COMPUTED_VALUE"""),"For rent")</f>
        <v>For rent</v>
      </c>
      <c r="B79" s="2" t="str">
        <f>IFERROR(__xludf.DUMMYFUNCTION("""COMPUTED_VALUE"""),"Āgenskalns")</f>
        <v>Āgenskalns</v>
      </c>
      <c r="C79" s="2" t="str">
        <f>IFERROR(__xludf.DUMMYFUNCTION("""COMPUTED_VALUE"""),"Kristapa 8")</f>
        <v>Kristapa 8</v>
      </c>
      <c r="D79" s="2">
        <f>IFERROR(__xludf.DUMMYFUNCTION("""COMPUTED_VALUE"""),1.0)</f>
        <v>1</v>
      </c>
      <c r="E79" s="2">
        <f>IFERROR(__xludf.DUMMYFUNCTION("""COMPUTED_VALUE"""),18.0)</f>
        <v>18</v>
      </c>
      <c r="F79" s="2">
        <f>IFERROR(__xludf.DUMMYFUNCTION("""COMPUTED_VALUE"""),1.0)</f>
        <v>1</v>
      </c>
      <c r="G79" s="2">
        <f>IFERROR(__xludf.DUMMYFUNCTION("""COMPUTED_VALUE"""),4.0)</f>
        <v>4</v>
      </c>
      <c r="H79" s="2" t="str">
        <f>IFERROR(__xludf.DUMMYFUNCTION("""COMPUTED_VALUE"""),"M. ģim.")</f>
        <v>M. ģim.</v>
      </c>
      <c r="I79" s="2" t="str">
        <f>IFERROR(__xludf.DUMMYFUNCTION("""COMPUTED_VALUE"""),"Brick")</f>
        <v>Brick</v>
      </c>
      <c r="J79" s="2" t="str">
        <f>IFERROR(__xludf.DUMMYFUNCTION("""COMPUTED_VALUE"""),"All amenities")</f>
        <v>All amenities</v>
      </c>
      <c r="K79" s="2">
        <f>IFERROR(__xludf.DUMMYFUNCTION("""COMPUTED_VALUE"""),220.0)</f>
        <v>220</v>
      </c>
      <c r="L79" s="2">
        <f>IFERROR(__xludf.DUMMYFUNCTION("""COMPUTED_VALUE"""),56.9428654999999)</f>
        <v>56.9428655</v>
      </c>
      <c r="M79" s="2">
        <f>IFERROR(__xludf.DUMMYFUNCTION("""COMPUTED_VALUE"""),24.0609632086428)</f>
        <v>24.06096321</v>
      </c>
    </row>
    <row r="80">
      <c r="A80" s="2" t="str">
        <f>IFERROR(__xludf.DUMMYFUNCTION("""COMPUTED_VALUE"""),"For sale")</f>
        <v>For sale</v>
      </c>
      <c r="B80" s="2" t="str">
        <f>IFERROR(__xludf.DUMMYFUNCTION("""COMPUTED_VALUE"""),"Daugavgrīva")</f>
        <v>Daugavgrīva</v>
      </c>
      <c r="C80" s="2" t="str">
        <f>IFERROR(__xludf.DUMMYFUNCTION("""COMPUTED_VALUE"""),"Slimnīcas 6")</f>
        <v>Slimnīcas 6</v>
      </c>
      <c r="D80" s="2">
        <f>IFERROR(__xludf.DUMMYFUNCTION("""COMPUTED_VALUE"""),2.0)</f>
        <v>2</v>
      </c>
      <c r="E80" s="2">
        <f>IFERROR(__xludf.DUMMYFUNCTION("""COMPUTED_VALUE"""),53.0)</f>
        <v>53</v>
      </c>
      <c r="F80" s="2">
        <f>IFERROR(__xludf.DUMMYFUNCTION("""COMPUTED_VALUE"""),2.0)</f>
        <v>2</v>
      </c>
      <c r="G80" s="2">
        <f>IFERROR(__xludf.DUMMYFUNCTION("""COMPUTED_VALUE"""),5.0)</f>
        <v>5</v>
      </c>
      <c r="H80" s="2">
        <f>IFERROR(__xludf.DUMMYFUNCTION("""COMPUTED_VALUE"""),103.0)</f>
        <v>103</v>
      </c>
      <c r="I80" s="2" t="str">
        <f>IFERROR(__xludf.DUMMYFUNCTION("""COMPUTED_VALUE"""),"Brick-Panel")</f>
        <v>Brick-Panel</v>
      </c>
      <c r="J80" s="2" t="str">
        <f>IFERROR(__xludf.DUMMYFUNCTION("""COMPUTED_VALUE"""),"All amenities")</f>
        <v>All amenities</v>
      </c>
      <c r="K80" s="2">
        <f>IFERROR(__xludf.DUMMYFUNCTION("""COMPUTED_VALUE"""),31900.0)</f>
        <v>31900</v>
      </c>
      <c r="L80" s="2">
        <f>IFERROR(__xludf.DUMMYFUNCTION("""COMPUTED_VALUE"""),57.0408666999999)</f>
        <v>57.0408667</v>
      </c>
      <c r="M80" s="2">
        <f>IFERROR(__xludf.DUMMYFUNCTION("""COMPUTED_VALUE"""),24.0327413709408)</f>
        <v>24.03274137</v>
      </c>
    </row>
    <row r="81">
      <c r="A81" s="2" t="str">
        <f>IFERROR(__xludf.DUMMYFUNCTION("""COMPUTED_VALUE"""),"For rent")</f>
        <v>For rent</v>
      </c>
      <c r="B81" s="2" t="str">
        <f>IFERROR(__xludf.DUMMYFUNCTION("""COMPUTED_VALUE"""),"centrs")</f>
        <v>centrs</v>
      </c>
      <c r="C81" s="2" t="str">
        <f>IFERROR(__xludf.DUMMYFUNCTION("""COMPUTED_VALUE"""),"Barona 76")</f>
        <v>Barona 76</v>
      </c>
      <c r="D81" s="2">
        <f>IFERROR(__xludf.DUMMYFUNCTION("""COMPUTED_VALUE"""),3.0)</f>
        <v>3</v>
      </c>
      <c r="E81" s="2">
        <f>IFERROR(__xludf.DUMMYFUNCTION("""COMPUTED_VALUE"""),67.0)</f>
        <v>67</v>
      </c>
      <c r="F81" s="2">
        <f>IFERROR(__xludf.DUMMYFUNCTION("""COMPUTED_VALUE"""),2.0)</f>
        <v>2</v>
      </c>
      <c r="G81" s="2">
        <f>IFERROR(__xludf.DUMMYFUNCTION("""COMPUTED_VALUE"""),6.0)</f>
        <v>6</v>
      </c>
      <c r="H81" s="2" t="str">
        <f>IFERROR(__xludf.DUMMYFUNCTION("""COMPUTED_VALUE"""),"Renov.")</f>
        <v>Renov.</v>
      </c>
      <c r="I81" s="2" t="str">
        <f>IFERROR(__xludf.DUMMYFUNCTION("""COMPUTED_VALUE"""),"Masonry")</f>
        <v>Masonry</v>
      </c>
      <c r="J81" s="2" t="str">
        <f>IFERROR(__xludf.DUMMYFUNCTION("""COMPUTED_VALUE"""),"All amenities")</f>
        <v>All amenities</v>
      </c>
      <c r="K81" s="2">
        <f>IFERROR(__xludf.DUMMYFUNCTION("""COMPUTED_VALUE"""),750.0)</f>
        <v>750</v>
      </c>
      <c r="L81" s="2">
        <f>IFERROR(__xludf.DUMMYFUNCTION("""COMPUTED_VALUE"""),56.95643795)</f>
        <v>56.95643795</v>
      </c>
      <c r="M81" s="2">
        <f>IFERROR(__xludf.DUMMYFUNCTION("""COMPUTED_VALUE"""),24.1325729821556)</f>
        <v>24.13257298</v>
      </c>
    </row>
    <row r="82">
      <c r="A82" s="2" t="str">
        <f>IFERROR(__xludf.DUMMYFUNCTION("""COMPUTED_VALUE"""),"For rent")</f>
        <v>For rent</v>
      </c>
      <c r="B82" s="2" t="str">
        <f>IFERROR(__xludf.DUMMYFUNCTION("""COMPUTED_VALUE"""),"centrs")</f>
        <v>centrs</v>
      </c>
      <c r="C82" s="2" t="str">
        <f>IFERROR(__xludf.DUMMYFUNCTION("""COMPUTED_VALUE"""),"Tallinas 65")</f>
        <v>Tallinas 65</v>
      </c>
      <c r="D82" s="2">
        <f>IFERROR(__xludf.DUMMYFUNCTION("""COMPUTED_VALUE"""),3.0)</f>
        <v>3</v>
      </c>
      <c r="E82" s="2">
        <f>IFERROR(__xludf.DUMMYFUNCTION("""COMPUTED_VALUE"""),83.0)</f>
        <v>83</v>
      </c>
      <c r="F82" s="2">
        <f>IFERROR(__xludf.DUMMYFUNCTION("""COMPUTED_VALUE"""),5.0)</f>
        <v>5</v>
      </c>
      <c r="G82" s="2">
        <f>IFERROR(__xludf.DUMMYFUNCTION("""COMPUTED_VALUE"""),5.0)</f>
        <v>5</v>
      </c>
      <c r="H82" s="2" t="str">
        <f>IFERROR(__xludf.DUMMYFUNCTION("""COMPUTED_VALUE"""),"Renov.")</f>
        <v>Renov.</v>
      </c>
      <c r="I82" s="2" t="str">
        <f>IFERROR(__xludf.DUMMYFUNCTION("""COMPUTED_VALUE"""),"Masonry")</f>
        <v>Masonry</v>
      </c>
      <c r="J82" s="2" t="str">
        <f>IFERROR(__xludf.DUMMYFUNCTION("""COMPUTED_VALUE"""),"All amenities")</f>
        <v>All amenities</v>
      </c>
      <c r="K82" s="2">
        <f>IFERROR(__xludf.DUMMYFUNCTION("""COMPUTED_VALUE"""),900.0)</f>
        <v>900</v>
      </c>
      <c r="L82" s="2">
        <f>IFERROR(__xludf.DUMMYFUNCTION("""COMPUTED_VALUE"""),56.95878525)</f>
        <v>56.95878525</v>
      </c>
      <c r="M82" s="2">
        <f>IFERROR(__xludf.DUMMYFUNCTION("""COMPUTED_VALUE"""),24.1445891181308)</f>
        <v>24.14458912</v>
      </c>
    </row>
    <row r="83">
      <c r="A83" s="2" t="str">
        <f>IFERROR(__xludf.DUMMYFUNCTION("""COMPUTED_VALUE"""),"For rent")</f>
        <v>For rent</v>
      </c>
      <c r="B83" s="2" t="str">
        <f>IFERROR(__xludf.DUMMYFUNCTION("""COMPUTED_VALUE"""),"Ķengarags")</f>
        <v>Ķengarags</v>
      </c>
      <c r="C83" s="2" t="str">
        <f>IFERROR(__xludf.DUMMYFUNCTION("""COMPUTED_VALUE"""),"Prūšu 3")</f>
        <v>Prūšu 3</v>
      </c>
      <c r="D83" s="2">
        <f>IFERROR(__xludf.DUMMYFUNCTION("""COMPUTED_VALUE"""),1.0)</f>
        <v>1</v>
      </c>
      <c r="E83" s="2">
        <f>IFERROR(__xludf.DUMMYFUNCTION("""COMPUTED_VALUE"""),30.0)</f>
        <v>30</v>
      </c>
      <c r="F83" s="2">
        <f>IFERROR(__xludf.DUMMYFUNCTION("""COMPUTED_VALUE"""),5.0)</f>
        <v>5</v>
      </c>
      <c r="G83" s="2">
        <f>IFERROR(__xludf.DUMMYFUNCTION("""COMPUTED_VALUE"""),5.0)</f>
        <v>5</v>
      </c>
      <c r="H83" s="2" t="str">
        <f>IFERROR(__xludf.DUMMYFUNCTION("""COMPUTED_VALUE"""),"LT proj.")</f>
        <v>LT proj.</v>
      </c>
      <c r="I83" s="2" t="str">
        <f>IFERROR(__xludf.DUMMYFUNCTION("""COMPUTED_VALUE"""),"Panel")</f>
        <v>Panel</v>
      </c>
      <c r="J83" s="2" t="str">
        <f>IFERROR(__xludf.DUMMYFUNCTION("""COMPUTED_VALUE"""),"All amenities")</f>
        <v>All amenities</v>
      </c>
      <c r="K83" s="2">
        <f>IFERROR(__xludf.DUMMYFUNCTION("""COMPUTED_VALUE"""),220.0)</f>
        <v>220</v>
      </c>
      <c r="L83" s="2">
        <f>IFERROR(__xludf.DUMMYFUNCTION("""COMPUTED_VALUE"""),56.916944)</f>
        <v>56.916944</v>
      </c>
      <c r="M83" s="2">
        <f>IFERROR(__xludf.DUMMYFUNCTION("""COMPUTED_VALUE"""),24.1842300455895)</f>
        <v>24.18423005</v>
      </c>
    </row>
    <row r="84">
      <c r="A84" s="2" t="str">
        <f>IFERROR(__xludf.DUMMYFUNCTION("""COMPUTED_VALUE"""),"For sale")</f>
        <v>For sale</v>
      </c>
      <c r="B84" s="2" t="str">
        <f>IFERROR(__xludf.DUMMYFUNCTION("""COMPUTED_VALUE"""),"centrs")</f>
        <v>centrs</v>
      </c>
      <c r="C84" s="2" t="str">
        <f>IFERROR(__xludf.DUMMYFUNCTION("""COMPUTED_VALUE"""),"Avotu 4")</f>
        <v>Avotu 4</v>
      </c>
      <c r="D84" s="2">
        <f>IFERROR(__xludf.DUMMYFUNCTION("""COMPUTED_VALUE"""),2.0)</f>
        <v>2</v>
      </c>
      <c r="E84" s="2">
        <f>IFERROR(__xludf.DUMMYFUNCTION("""COMPUTED_VALUE"""),41.0)</f>
        <v>41</v>
      </c>
      <c r="F84" s="2">
        <f>IFERROR(__xludf.DUMMYFUNCTION("""COMPUTED_VALUE"""),4.0)</f>
        <v>4</v>
      </c>
      <c r="G84" s="2">
        <f>IFERROR(__xludf.DUMMYFUNCTION("""COMPUTED_VALUE"""),5.0)</f>
        <v>5</v>
      </c>
      <c r="H84" s="2" t="str">
        <f>IFERROR(__xludf.DUMMYFUNCTION("""COMPUTED_VALUE"""),"Renov.")</f>
        <v>Renov.</v>
      </c>
      <c r="I84" s="2" t="str">
        <f>IFERROR(__xludf.DUMMYFUNCTION("""COMPUTED_VALUE"""),"Masonry")</f>
        <v>Masonry</v>
      </c>
      <c r="J84" s="2" t="str">
        <f>IFERROR(__xludf.DUMMYFUNCTION("""COMPUTED_VALUE"""),"All amenities")</f>
        <v>All amenities</v>
      </c>
      <c r="K84" s="2">
        <f>IFERROR(__xludf.DUMMYFUNCTION("""COMPUTED_VALUE"""),57500.0)</f>
        <v>57500</v>
      </c>
      <c r="L84" s="2">
        <f>IFERROR(__xludf.DUMMYFUNCTION("""COMPUTED_VALUE"""),56.9508163)</f>
        <v>56.9508163</v>
      </c>
      <c r="M84" s="2">
        <f>IFERROR(__xludf.DUMMYFUNCTION("""COMPUTED_VALUE"""),24.1271389)</f>
        <v>24.1271389</v>
      </c>
    </row>
    <row r="85">
      <c r="A85" s="2" t="str">
        <f>IFERROR(__xludf.DUMMYFUNCTION("""COMPUTED_VALUE"""),"For rent")</f>
        <v>For rent</v>
      </c>
      <c r="B85" s="2" t="str">
        <f>IFERROR(__xludf.DUMMYFUNCTION("""COMPUTED_VALUE"""),"centrs")</f>
        <v>centrs</v>
      </c>
      <c r="C85" s="2" t="str">
        <f>IFERROR(__xludf.DUMMYFUNCTION("""COMPUTED_VALUE"""),"Klijānu 2e")</f>
        <v>Klijānu 2e</v>
      </c>
      <c r="D85" s="2">
        <f>IFERROR(__xludf.DUMMYFUNCTION("""COMPUTED_VALUE"""),1.0)</f>
        <v>1</v>
      </c>
      <c r="E85" s="2">
        <f>IFERROR(__xludf.DUMMYFUNCTION("""COMPUTED_VALUE"""),30.0)</f>
        <v>30</v>
      </c>
      <c r="F85" s="2">
        <f>IFERROR(__xludf.DUMMYFUNCTION("""COMPUTED_VALUE"""),2.0)</f>
        <v>2</v>
      </c>
      <c r="G85" s="2">
        <f>IFERROR(__xludf.DUMMYFUNCTION("""COMPUTED_VALUE"""),9.0)</f>
        <v>9</v>
      </c>
      <c r="H85" s="2" t="str">
        <f>IFERROR(__xludf.DUMMYFUNCTION("""COMPUTED_VALUE"""),"Renov.")</f>
        <v>Renov.</v>
      </c>
      <c r="I85" s="2" t="str">
        <f>IFERROR(__xludf.DUMMYFUNCTION("""COMPUTED_VALUE"""),"Brick-Panel")</f>
        <v>Brick-Panel</v>
      </c>
      <c r="J85" s="2" t="str">
        <f>IFERROR(__xludf.DUMMYFUNCTION("""COMPUTED_VALUE"""),"All amenities")</f>
        <v>All amenities</v>
      </c>
      <c r="K85" s="2">
        <f>IFERROR(__xludf.DUMMYFUNCTION("""COMPUTED_VALUE"""),270.0)</f>
        <v>270</v>
      </c>
      <c r="L85" s="2">
        <f>IFERROR(__xludf.DUMMYFUNCTION("""COMPUTED_VALUE"""),56.974699)</f>
        <v>56.974699</v>
      </c>
      <c r="M85" s="2">
        <f>IFERROR(__xludf.DUMMYFUNCTION("""COMPUTED_VALUE"""),24.1449329)</f>
        <v>24.1449329</v>
      </c>
    </row>
    <row r="86">
      <c r="A86" s="2" t="str">
        <f>IFERROR(__xludf.DUMMYFUNCTION("""COMPUTED_VALUE"""),"For rent")</f>
        <v>For rent</v>
      </c>
      <c r="B86" s="2" t="str">
        <f>IFERROR(__xludf.DUMMYFUNCTION("""COMPUTED_VALUE"""),"Āgenskalns")</f>
        <v>Āgenskalns</v>
      </c>
      <c r="C86" s="2" t="str">
        <f>IFERROR(__xludf.DUMMYFUNCTION("""COMPUTED_VALUE"""),"Āgenskalna 22")</f>
        <v>Āgenskalna 22</v>
      </c>
      <c r="D86" s="2">
        <f>IFERROR(__xludf.DUMMYFUNCTION("""COMPUTED_VALUE"""),2.0)</f>
        <v>2</v>
      </c>
      <c r="E86" s="2">
        <f>IFERROR(__xludf.DUMMYFUNCTION("""COMPUTED_VALUE"""),41.0)</f>
        <v>41</v>
      </c>
      <c r="F86" s="2">
        <f>IFERROR(__xludf.DUMMYFUNCTION("""COMPUTED_VALUE"""),3.0)</f>
        <v>3</v>
      </c>
      <c r="G86" s="2">
        <f>IFERROR(__xludf.DUMMYFUNCTION("""COMPUTED_VALUE"""),5.0)</f>
        <v>5</v>
      </c>
      <c r="H86" s="2" t="str">
        <f>IFERROR(__xludf.DUMMYFUNCTION("""COMPUTED_VALUE"""),"Hrušč.")</f>
        <v>Hrušč.</v>
      </c>
      <c r="I86" s="2" t="str">
        <f>IFERROR(__xludf.DUMMYFUNCTION("""COMPUTED_VALUE"""),"Brick")</f>
        <v>Brick</v>
      </c>
      <c r="J86" s="2" t="str">
        <f>IFERROR(__xludf.DUMMYFUNCTION("""COMPUTED_VALUE"""),"All amenities")</f>
        <v>All amenities</v>
      </c>
      <c r="K86" s="2">
        <f>IFERROR(__xludf.DUMMYFUNCTION("""COMPUTED_VALUE"""),330.0)</f>
        <v>330</v>
      </c>
      <c r="L86" s="2">
        <f>IFERROR(__xludf.DUMMYFUNCTION("""COMPUTED_VALUE"""),56.9456104)</f>
        <v>56.9456104</v>
      </c>
      <c r="M86" s="2">
        <f>IFERROR(__xludf.DUMMYFUNCTION("""COMPUTED_VALUE"""),24.0623652)</f>
        <v>24.0623652</v>
      </c>
    </row>
    <row r="87">
      <c r="A87" s="2" t="str">
        <f>IFERROR(__xludf.DUMMYFUNCTION("""COMPUTED_VALUE"""),"For sale")</f>
        <v>For sale</v>
      </c>
      <c r="B87" s="2" t="str">
        <f>IFERROR(__xludf.DUMMYFUNCTION("""COMPUTED_VALUE"""),"Bolderāja")</f>
        <v>Bolderāja</v>
      </c>
      <c r="C87" s="2" t="str">
        <f>IFERROR(__xludf.DUMMYFUNCTION("""COMPUTED_VALUE"""),"Silikātu 1/2")</f>
        <v>Silikātu 1/2</v>
      </c>
      <c r="D87" s="2">
        <f>IFERROR(__xludf.DUMMYFUNCTION("""COMPUTED_VALUE"""),2.0)</f>
        <v>2</v>
      </c>
      <c r="E87" s="2">
        <f>IFERROR(__xludf.DUMMYFUNCTION("""COMPUTED_VALUE"""),41.77)</f>
        <v>41.77</v>
      </c>
      <c r="F87" s="2">
        <f>IFERROR(__xludf.DUMMYFUNCTION("""COMPUTED_VALUE"""),1.0)</f>
        <v>1</v>
      </c>
      <c r="G87" s="2">
        <f>IFERROR(__xludf.DUMMYFUNCTION("""COMPUTED_VALUE"""),3.0)</f>
        <v>3</v>
      </c>
      <c r="H87" s="2" t="str">
        <f>IFERROR(__xludf.DUMMYFUNCTION("""COMPUTED_VALUE"""),"Hrušč.")</f>
        <v>Hrušč.</v>
      </c>
      <c r="I87" s="2" t="str">
        <f>IFERROR(__xludf.DUMMYFUNCTION("""COMPUTED_VALUE"""),"Brick")</f>
        <v>Brick</v>
      </c>
      <c r="J87" s="2" t="str">
        <f>IFERROR(__xludf.DUMMYFUNCTION("""COMPUTED_VALUE"""),"All amenities")</f>
        <v>All amenities</v>
      </c>
      <c r="K87" s="2">
        <f>IFERROR(__xludf.DUMMYFUNCTION("""COMPUTED_VALUE"""),39000.0)</f>
        <v>39000</v>
      </c>
      <c r="L87" s="2" t="str">
        <f>IFERROR(__xludf.DUMMYFUNCTION("""COMPUTED_VALUE"""),"NaN")</f>
        <v>NaN</v>
      </c>
      <c r="M87" s="2" t="str">
        <f>IFERROR(__xludf.DUMMYFUNCTION("""COMPUTED_VALUE"""),"NaN")</f>
        <v>NaN</v>
      </c>
    </row>
    <row r="88">
      <c r="A88" s="2" t="str">
        <f>IFERROR(__xludf.DUMMYFUNCTION("""COMPUTED_VALUE"""),"For rent")</f>
        <v>For rent</v>
      </c>
      <c r="B88" s="2" t="str">
        <f>IFERROR(__xludf.DUMMYFUNCTION("""COMPUTED_VALUE"""),"centrs")</f>
        <v>centrs</v>
      </c>
      <c r="C88" s="2" t="str">
        <f>IFERROR(__xludf.DUMMYFUNCTION("""COMPUTED_VALUE"""),"Čaka 96")</f>
        <v>Čaka 96</v>
      </c>
      <c r="D88" s="2">
        <f>IFERROR(__xludf.DUMMYFUNCTION("""COMPUTED_VALUE"""),2.0)</f>
        <v>2</v>
      </c>
      <c r="E88" s="2">
        <f>IFERROR(__xludf.DUMMYFUNCTION("""COMPUTED_VALUE"""),62.0)</f>
        <v>62</v>
      </c>
      <c r="F88" s="2">
        <f>IFERROR(__xludf.DUMMYFUNCTION("""COMPUTED_VALUE"""),3.0)</f>
        <v>3</v>
      </c>
      <c r="G88" s="2">
        <f>IFERROR(__xludf.DUMMYFUNCTION("""COMPUTED_VALUE"""),5.0)</f>
        <v>5</v>
      </c>
      <c r="H88" s="2" t="str">
        <f>IFERROR(__xludf.DUMMYFUNCTION("""COMPUTED_VALUE"""),"Jaun.")</f>
        <v>Jaun.</v>
      </c>
      <c r="I88" s="2" t="str">
        <f>IFERROR(__xludf.DUMMYFUNCTION("""COMPUTED_VALUE"""),"Brick-Panel")</f>
        <v>Brick-Panel</v>
      </c>
      <c r="J88" s="2" t="str">
        <f>IFERROR(__xludf.DUMMYFUNCTION("""COMPUTED_VALUE"""),"All amenities")</f>
        <v>All amenities</v>
      </c>
      <c r="K88" s="2">
        <f>IFERROR(__xludf.DUMMYFUNCTION("""COMPUTED_VALUE"""),700.0)</f>
        <v>700</v>
      </c>
      <c r="L88" s="2">
        <f>IFERROR(__xludf.DUMMYFUNCTION("""COMPUTED_VALUE"""),56.9571813)</f>
        <v>56.9571813</v>
      </c>
      <c r="M88" s="2">
        <f>IFERROR(__xludf.DUMMYFUNCTION("""COMPUTED_VALUE"""),24.1394667939636)</f>
        <v>24.13946679</v>
      </c>
    </row>
    <row r="89">
      <c r="A89" s="2" t="str">
        <f>IFERROR(__xludf.DUMMYFUNCTION("""COMPUTED_VALUE"""),"For rent")</f>
        <v>For rent</v>
      </c>
      <c r="B89" s="2" t="str">
        <f>IFERROR(__xludf.DUMMYFUNCTION("""COMPUTED_VALUE"""),"centrs")</f>
        <v>centrs</v>
      </c>
      <c r="C89" s="2" t="str">
        <f>IFERROR(__xludf.DUMMYFUNCTION("""COMPUTED_VALUE"""),"Ausekļa 7")</f>
        <v>Ausekļa 7</v>
      </c>
      <c r="D89" s="2">
        <f>IFERROR(__xludf.DUMMYFUNCTION("""COMPUTED_VALUE"""),2.0)</f>
        <v>2</v>
      </c>
      <c r="E89" s="2">
        <f>IFERROR(__xludf.DUMMYFUNCTION("""COMPUTED_VALUE"""),77.0)</f>
        <v>77</v>
      </c>
      <c r="F89" s="2">
        <f>IFERROR(__xludf.DUMMYFUNCTION("""COMPUTED_VALUE"""),3.0)</f>
        <v>3</v>
      </c>
      <c r="G89" s="2">
        <f>IFERROR(__xludf.DUMMYFUNCTION("""COMPUTED_VALUE"""),6.0)</f>
        <v>6</v>
      </c>
      <c r="H89" s="2" t="str">
        <f>IFERROR(__xludf.DUMMYFUNCTION("""COMPUTED_VALUE"""),"Renov.")</f>
        <v>Renov.</v>
      </c>
      <c r="I89" s="2" t="str">
        <f>IFERROR(__xludf.DUMMYFUNCTION("""COMPUTED_VALUE"""),"Brick")</f>
        <v>Brick</v>
      </c>
      <c r="J89" s="2" t="str">
        <f>IFERROR(__xludf.DUMMYFUNCTION("""COMPUTED_VALUE"""),"All amenities")</f>
        <v>All amenities</v>
      </c>
      <c r="K89" s="2">
        <f>IFERROR(__xludf.DUMMYFUNCTION("""COMPUTED_VALUE"""),600.0)</f>
        <v>600</v>
      </c>
      <c r="L89" s="2">
        <f>IFERROR(__xludf.DUMMYFUNCTION("""COMPUTED_VALUE"""),56.96104425)</f>
        <v>56.96104425</v>
      </c>
      <c r="M89" s="2">
        <f>IFERROR(__xludf.DUMMYFUNCTION("""COMPUTED_VALUE"""),24.0996557553473)</f>
        <v>24.09965576</v>
      </c>
    </row>
    <row r="90">
      <c r="A90" s="2" t="str">
        <f>IFERROR(__xludf.DUMMYFUNCTION("""COMPUTED_VALUE"""),"For sale")</f>
        <v>For sale</v>
      </c>
      <c r="B90" s="2" t="str">
        <f>IFERROR(__xludf.DUMMYFUNCTION("""COMPUTED_VALUE"""),"Imanta")</f>
        <v>Imanta</v>
      </c>
      <c r="C90" s="2" t="str">
        <f>IFERROR(__xludf.DUMMYFUNCTION("""COMPUTED_VALUE"""),"Anniņmuižas bulvāris 38")</f>
        <v>Anniņmuižas bulvāris 38</v>
      </c>
      <c r="D90" s="2">
        <f>IFERROR(__xludf.DUMMYFUNCTION("""COMPUTED_VALUE"""),2.0)</f>
        <v>2</v>
      </c>
      <c r="E90" s="2">
        <f>IFERROR(__xludf.DUMMYFUNCTION("""COMPUTED_VALUE"""),60.0)</f>
        <v>60</v>
      </c>
      <c r="F90" s="2">
        <f>IFERROR(__xludf.DUMMYFUNCTION("""COMPUTED_VALUE"""),2.0)</f>
        <v>2</v>
      </c>
      <c r="G90" s="2">
        <f>IFERROR(__xludf.DUMMYFUNCTION("""COMPUTED_VALUE"""),17.0)</f>
        <v>17</v>
      </c>
      <c r="H90" s="2" t="str">
        <f>IFERROR(__xludf.DUMMYFUNCTION("""COMPUTED_VALUE"""),"Jaun.")</f>
        <v>Jaun.</v>
      </c>
      <c r="I90" s="2" t="str">
        <f>IFERROR(__xludf.DUMMYFUNCTION("""COMPUTED_VALUE"""),"Masonry")</f>
        <v>Masonry</v>
      </c>
      <c r="J90" s="2" t="str">
        <f>IFERROR(__xludf.DUMMYFUNCTION("""COMPUTED_VALUE"""),"All amenities")</f>
        <v>All amenities</v>
      </c>
      <c r="K90" s="2">
        <f>IFERROR(__xludf.DUMMYFUNCTION("""COMPUTED_VALUE"""),88000.0)</f>
        <v>88000</v>
      </c>
      <c r="L90" s="2">
        <f>IFERROR(__xludf.DUMMYFUNCTION("""COMPUTED_VALUE"""),56.96112105)</f>
        <v>56.96112105</v>
      </c>
      <c r="M90" s="2">
        <f>IFERROR(__xludf.DUMMYFUNCTION("""COMPUTED_VALUE"""),24.01821679525)</f>
        <v>24.0182168</v>
      </c>
    </row>
    <row r="91">
      <c r="A91" s="2" t="str">
        <f>IFERROR(__xludf.DUMMYFUNCTION("""COMPUTED_VALUE"""),"For sale")</f>
        <v>For sale</v>
      </c>
      <c r="B91" s="2" t="str">
        <f>IFERROR(__xludf.DUMMYFUNCTION("""COMPUTED_VALUE"""),"Āgenskalns")</f>
        <v>Āgenskalns</v>
      </c>
      <c r="C91" s="2" t="str">
        <f>IFERROR(__xludf.DUMMYFUNCTION("""COMPUTED_VALUE"""),"Mārupes 47")</f>
        <v>Mārupes 47</v>
      </c>
      <c r="D91" s="2">
        <f>IFERROR(__xludf.DUMMYFUNCTION("""COMPUTED_VALUE"""),3.0)</f>
        <v>3</v>
      </c>
      <c r="E91" s="2">
        <f>IFERROR(__xludf.DUMMYFUNCTION("""COMPUTED_VALUE"""),68.0)</f>
        <v>68</v>
      </c>
      <c r="F91" s="2">
        <f>IFERROR(__xludf.DUMMYFUNCTION("""COMPUTED_VALUE"""),3.0)</f>
        <v>3</v>
      </c>
      <c r="G91" s="2">
        <f>IFERROR(__xludf.DUMMYFUNCTION("""COMPUTED_VALUE"""),5.0)</f>
        <v>5</v>
      </c>
      <c r="H91" s="2" t="str">
        <f>IFERROR(__xludf.DUMMYFUNCTION("""COMPUTED_VALUE"""),"Specpr.")</f>
        <v>Specpr.</v>
      </c>
      <c r="I91" s="2" t="str">
        <f>IFERROR(__xludf.DUMMYFUNCTION("""COMPUTED_VALUE"""),"Brick-Panel")</f>
        <v>Brick-Panel</v>
      </c>
      <c r="J91" s="2" t="str">
        <f>IFERROR(__xludf.DUMMYFUNCTION("""COMPUTED_VALUE"""),"All amenities")</f>
        <v>All amenities</v>
      </c>
      <c r="K91" s="2">
        <f>IFERROR(__xludf.DUMMYFUNCTION("""COMPUTED_VALUE"""),89000.0)</f>
        <v>89000</v>
      </c>
      <c r="L91" s="2">
        <f>IFERROR(__xludf.DUMMYFUNCTION("""COMPUTED_VALUE"""),56.9271624)</f>
        <v>56.9271624</v>
      </c>
      <c r="M91" s="2">
        <f>IFERROR(__xludf.DUMMYFUNCTION("""COMPUTED_VALUE"""),24.0769771776445)</f>
        <v>24.07697718</v>
      </c>
    </row>
    <row r="92">
      <c r="A92" s="2" t="str">
        <f>IFERROR(__xludf.DUMMYFUNCTION("""COMPUTED_VALUE"""),"For rent")</f>
        <v>For rent</v>
      </c>
      <c r="B92" s="2" t="str">
        <f>IFERROR(__xludf.DUMMYFUNCTION("""COMPUTED_VALUE"""),"Imanta")</f>
        <v>Imanta</v>
      </c>
      <c r="C92" s="2" t="str">
        <f>IFERROR(__xludf.DUMMYFUNCTION("""COMPUTED_VALUE"""),"M. Krūmu 6")</f>
        <v>M. Krūmu 6</v>
      </c>
      <c r="D92" s="2">
        <f>IFERROR(__xludf.DUMMYFUNCTION("""COMPUTED_VALUE"""),1.0)</f>
        <v>1</v>
      </c>
      <c r="E92" s="2">
        <f>IFERROR(__xludf.DUMMYFUNCTION("""COMPUTED_VALUE"""),29.0)</f>
        <v>29</v>
      </c>
      <c r="F92" s="2">
        <f>IFERROR(__xludf.DUMMYFUNCTION("""COMPUTED_VALUE"""),4.0)</f>
        <v>4</v>
      </c>
      <c r="G92" s="2">
        <f>IFERROR(__xludf.DUMMYFUNCTION("""COMPUTED_VALUE"""),5.0)</f>
        <v>5</v>
      </c>
      <c r="H92" s="2" t="str">
        <f>IFERROR(__xludf.DUMMYFUNCTION("""COMPUTED_VALUE"""),"LT proj.")</f>
        <v>LT proj.</v>
      </c>
      <c r="I92" s="2" t="str">
        <f>IFERROR(__xludf.DUMMYFUNCTION("""COMPUTED_VALUE"""),"Panel")</f>
        <v>Panel</v>
      </c>
      <c r="J92" s="2" t="str">
        <f>IFERROR(__xludf.DUMMYFUNCTION("""COMPUTED_VALUE"""),"All amenities")</f>
        <v>All amenities</v>
      </c>
      <c r="K92" s="2">
        <f>IFERROR(__xludf.DUMMYFUNCTION("""COMPUTED_VALUE"""),230.0)</f>
        <v>230</v>
      </c>
      <c r="L92" s="2">
        <f>IFERROR(__xludf.DUMMYFUNCTION("""COMPUTED_VALUE"""),56.9584557999999)</f>
        <v>56.9584558</v>
      </c>
      <c r="M92" s="2">
        <f>IFERROR(__xludf.DUMMYFUNCTION("""COMPUTED_VALUE"""),24.0028561019525)</f>
        <v>24.0028561</v>
      </c>
    </row>
    <row r="93">
      <c r="A93" s="2" t="str">
        <f>IFERROR(__xludf.DUMMYFUNCTION("""COMPUTED_VALUE"""),"For sale")</f>
        <v>For sale</v>
      </c>
      <c r="B93" s="2" t="str">
        <f>IFERROR(__xludf.DUMMYFUNCTION("""COMPUTED_VALUE"""),"Dreiliņi")</f>
        <v>Dreiliņi</v>
      </c>
      <c r="C93" s="2" t="str">
        <f>IFERROR(__xludf.DUMMYFUNCTION("""COMPUTED_VALUE"""),"Kaivas 33/1")</f>
        <v>Kaivas 33/1</v>
      </c>
      <c r="D93" s="2">
        <f>IFERROR(__xludf.DUMMYFUNCTION("""COMPUTED_VALUE"""),3.0)</f>
        <v>3</v>
      </c>
      <c r="E93" s="2">
        <f>IFERROR(__xludf.DUMMYFUNCTION("""COMPUTED_VALUE"""),86.0)</f>
        <v>86</v>
      </c>
      <c r="F93" s="2">
        <f>IFERROR(__xludf.DUMMYFUNCTION("""COMPUTED_VALUE"""),4.0)</f>
        <v>4</v>
      </c>
      <c r="G93" s="2">
        <f>IFERROR(__xludf.DUMMYFUNCTION("""COMPUTED_VALUE"""),4.0)</f>
        <v>4</v>
      </c>
      <c r="H93" s="2" t="str">
        <f>IFERROR(__xludf.DUMMYFUNCTION("""COMPUTED_VALUE"""),"Jaun.")</f>
        <v>Jaun.</v>
      </c>
      <c r="I93" s="2" t="str">
        <f>IFERROR(__xludf.DUMMYFUNCTION("""COMPUTED_VALUE"""),"Panel-Brick")</f>
        <v>Panel-Brick</v>
      </c>
      <c r="J93" s="2" t="str">
        <f>IFERROR(__xludf.DUMMYFUNCTION("""COMPUTED_VALUE"""),"All amenities")</f>
        <v>All amenities</v>
      </c>
      <c r="K93" s="2">
        <f>IFERROR(__xludf.DUMMYFUNCTION("""COMPUTED_VALUE"""),130000.0)</f>
        <v>130000</v>
      </c>
      <c r="L93" s="2">
        <f>IFERROR(__xludf.DUMMYFUNCTION("""COMPUTED_VALUE"""),56.9541725)</f>
        <v>56.9541725</v>
      </c>
      <c r="M93" s="2">
        <f>IFERROR(__xludf.DUMMYFUNCTION("""COMPUTED_VALUE"""),24.2443253)</f>
        <v>24.2443253</v>
      </c>
    </row>
    <row r="94">
      <c r="A94" s="2" t="str">
        <f>IFERROR(__xludf.DUMMYFUNCTION("""COMPUTED_VALUE"""),"For rent")</f>
        <v>For rent</v>
      </c>
      <c r="B94" s="2" t="str">
        <f>IFERROR(__xludf.DUMMYFUNCTION("""COMPUTED_VALUE"""),"centrs")</f>
        <v>centrs</v>
      </c>
      <c r="C94" s="2" t="str">
        <f>IFERROR(__xludf.DUMMYFUNCTION("""COMPUTED_VALUE"""),"Lāčplēša 147")</f>
        <v>Lāčplēša 147</v>
      </c>
      <c r="D94" s="2">
        <f>IFERROR(__xludf.DUMMYFUNCTION("""COMPUTED_VALUE"""),1.0)</f>
        <v>1</v>
      </c>
      <c r="E94" s="2">
        <f>IFERROR(__xludf.DUMMYFUNCTION("""COMPUTED_VALUE"""),20.0)</f>
        <v>20</v>
      </c>
      <c r="F94" s="2">
        <f>IFERROR(__xludf.DUMMYFUNCTION("""COMPUTED_VALUE"""),2.0)</f>
        <v>2</v>
      </c>
      <c r="G94" s="2">
        <f>IFERROR(__xludf.DUMMYFUNCTION("""COMPUTED_VALUE"""),4.0)</f>
        <v>4</v>
      </c>
      <c r="H94" s="2" t="str">
        <f>IFERROR(__xludf.DUMMYFUNCTION("""COMPUTED_VALUE"""),"Jaun.")</f>
        <v>Jaun.</v>
      </c>
      <c r="I94" s="2" t="str">
        <f>IFERROR(__xludf.DUMMYFUNCTION("""COMPUTED_VALUE"""),"Brick")</f>
        <v>Brick</v>
      </c>
      <c r="J94" s="2" t="str">
        <f>IFERROR(__xludf.DUMMYFUNCTION("""COMPUTED_VALUE"""),"All amenities")</f>
        <v>All amenities</v>
      </c>
      <c r="K94" s="2">
        <f>IFERROR(__xludf.DUMMYFUNCTION("""COMPUTED_VALUE"""),210.0)</f>
        <v>210</v>
      </c>
      <c r="L94" s="2">
        <f>IFERROR(__xludf.DUMMYFUNCTION("""COMPUTED_VALUE"""),56.9468471)</f>
        <v>56.9468471</v>
      </c>
      <c r="M94" s="2">
        <f>IFERROR(__xludf.DUMMYFUNCTION("""COMPUTED_VALUE"""),24.133767)</f>
        <v>24.133767</v>
      </c>
    </row>
    <row r="95">
      <c r="A95" s="2" t="str">
        <f>IFERROR(__xludf.DUMMYFUNCTION("""COMPUTED_VALUE"""),"For rent")</f>
        <v>For rent</v>
      </c>
      <c r="B95" s="2" t="str">
        <f>IFERROR(__xludf.DUMMYFUNCTION("""COMPUTED_VALUE"""),"Purvciems")</f>
        <v>Purvciems</v>
      </c>
      <c r="C95" s="2" t="str">
        <f>IFERROR(__xludf.DUMMYFUNCTION("""COMPUTED_VALUE"""),"Marsa g. 12")</f>
        <v>Marsa g. 12</v>
      </c>
      <c r="D95" s="2">
        <f>IFERROR(__xludf.DUMMYFUNCTION("""COMPUTED_VALUE"""),1.0)</f>
        <v>1</v>
      </c>
      <c r="E95" s="2">
        <f>IFERROR(__xludf.DUMMYFUNCTION("""COMPUTED_VALUE"""),26.0)</f>
        <v>26</v>
      </c>
      <c r="F95" s="2">
        <f>IFERROR(__xludf.DUMMYFUNCTION("""COMPUTED_VALUE"""),3.0)</f>
        <v>3</v>
      </c>
      <c r="G95" s="2">
        <f>IFERROR(__xludf.DUMMYFUNCTION("""COMPUTED_VALUE"""),5.0)</f>
        <v>5</v>
      </c>
      <c r="H95" s="2" t="str">
        <f>IFERROR(__xludf.DUMMYFUNCTION("""COMPUTED_VALUE"""),"LT proj.")</f>
        <v>LT proj.</v>
      </c>
      <c r="I95" s="2" t="str">
        <f>IFERROR(__xludf.DUMMYFUNCTION("""COMPUTED_VALUE"""),"Panel")</f>
        <v>Panel</v>
      </c>
      <c r="J95" s="2" t="str">
        <f>IFERROR(__xludf.DUMMYFUNCTION("""COMPUTED_VALUE"""),"All amenities")</f>
        <v>All amenities</v>
      </c>
      <c r="K95" s="2">
        <f>IFERROR(__xludf.DUMMYFUNCTION("""COMPUTED_VALUE"""),240.0)</f>
        <v>240</v>
      </c>
      <c r="L95" s="2">
        <f>IFERROR(__xludf.DUMMYFUNCTION("""COMPUTED_VALUE"""),56.9518384)</f>
        <v>56.9518384</v>
      </c>
      <c r="M95" s="2">
        <f>IFERROR(__xludf.DUMMYFUNCTION("""COMPUTED_VALUE"""),24.1999196)</f>
        <v>24.1999196</v>
      </c>
    </row>
    <row r="96">
      <c r="A96" s="2" t="str">
        <f>IFERROR(__xludf.DUMMYFUNCTION("""COMPUTED_VALUE"""),"For sale")</f>
        <v>For sale</v>
      </c>
      <c r="B96" s="2" t="str">
        <f>IFERROR(__xludf.DUMMYFUNCTION("""COMPUTED_VALUE"""),"Iļģuciems")</f>
        <v>Iļģuciems</v>
      </c>
      <c r="C96" s="2" t="str">
        <f>IFERROR(__xludf.DUMMYFUNCTION("""COMPUTED_VALUE"""),"Grīvas 11")</f>
        <v>Grīvas 11</v>
      </c>
      <c r="D96" s="2">
        <f>IFERROR(__xludf.DUMMYFUNCTION("""COMPUTED_VALUE"""),3.0)</f>
        <v>3</v>
      </c>
      <c r="E96" s="2">
        <f>IFERROR(__xludf.DUMMYFUNCTION("""COMPUTED_VALUE"""),55.0)</f>
        <v>55</v>
      </c>
      <c r="F96" s="2">
        <f>IFERROR(__xludf.DUMMYFUNCTION("""COMPUTED_VALUE"""),3.0)</f>
        <v>3</v>
      </c>
      <c r="G96" s="2">
        <f>IFERROR(__xludf.DUMMYFUNCTION("""COMPUTED_VALUE"""),5.0)</f>
        <v>5</v>
      </c>
      <c r="H96" s="2" t="str">
        <f>IFERROR(__xludf.DUMMYFUNCTION("""COMPUTED_VALUE"""),"Hrušč.")</f>
        <v>Hrušč.</v>
      </c>
      <c r="I96" s="2" t="str">
        <f>IFERROR(__xludf.DUMMYFUNCTION("""COMPUTED_VALUE"""),"Brick")</f>
        <v>Brick</v>
      </c>
      <c r="J96" s="2" t="str">
        <f>IFERROR(__xludf.DUMMYFUNCTION("""COMPUTED_VALUE"""),"All amenities")</f>
        <v>All amenities</v>
      </c>
      <c r="K96" s="2">
        <f>IFERROR(__xludf.DUMMYFUNCTION("""COMPUTED_VALUE"""),63000.0)</f>
        <v>63000</v>
      </c>
      <c r="L96" s="2">
        <f>IFERROR(__xludf.DUMMYFUNCTION("""COMPUTED_VALUE"""),56.9654887)</f>
        <v>56.9654887</v>
      </c>
      <c r="M96" s="2">
        <f>IFERROR(__xludf.DUMMYFUNCTION("""COMPUTED_VALUE"""),24.04998795)</f>
        <v>24.04998795</v>
      </c>
    </row>
    <row r="97">
      <c r="A97" s="2" t="str">
        <f>IFERROR(__xludf.DUMMYFUNCTION("""COMPUTED_VALUE"""),"For sale")</f>
        <v>For sale</v>
      </c>
      <c r="B97" s="2" t="str">
        <f>IFERROR(__xludf.DUMMYFUNCTION("""COMPUTED_VALUE"""),"Sarkandaugava")</f>
        <v>Sarkandaugava</v>
      </c>
      <c r="C97" s="2" t="str">
        <f>IFERROR(__xludf.DUMMYFUNCTION("""COMPUTED_VALUE"""),"Sarkandaugavas 11")</f>
        <v>Sarkandaugavas 11</v>
      </c>
      <c r="D97" s="2">
        <f>IFERROR(__xludf.DUMMYFUNCTION("""COMPUTED_VALUE"""),2.0)</f>
        <v>2</v>
      </c>
      <c r="E97" s="2">
        <f>IFERROR(__xludf.DUMMYFUNCTION("""COMPUTED_VALUE"""),50.0)</f>
        <v>50</v>
      </c>
      <c r="F97" s="2">
        <f>IFERROR(__xludf.DUMMYFUNCTION("""COMPUTED_VALUE"""),6.0)</f>
        <v>6</v>
      </c>
      <c r="G97" s="2">
        <f>IFERROR(__xludf.DUMMYFUNCTION("""COMPUTED_VALUE"""),9.0)</f>
        <v>9</v>
      </c>
      <c r="H97" s="2">
        <f>IFERROR(__xludf.DUMMYFUNCTION("""COMPUTED_VALUE"""),602.0)</f>
        <v>602</v>
      </c>
      <c r="I97" s="2" t="str">
        <f>IFERROR(__xludf.DUMMYFUNCTION("""COMPUTED_VALUE"""),"Panel")</f>
        <v>Panel</v>
      </c>
      <c r="J97" s="2" t="str">
        <f>IFERROR(__xludf.DUMMYFUNCTION("""COMPUTED_VALUE"""),"All amenities")</f>
        <v>All amenities</v>
      </c>
      <c r="K97" s="2">
        <f>IFERROR(__xludf.DUMMYFUNCTION("""COMPUTED_VALUE"""),47000.0)</f>
        <v>47000</v>
      </c>
      <c r="L97" s="2">
        <f>IFERROR(__xludf.DUMMYFUNCTION("""COMPUTED_VALUE"""),56.99898215)</f>
        <v>56.99898215</v>
      </c>
      <c r="M97" s="2">
        <f>IFERROR(__xludf.DUMMYFUNCTION("""COMPUTED_VALUE"""),24.1232876749981)</f>
        <v>24.12328767</v>
      </c>
    </row>
    <row r="98">
      <c r="A98" s="2" t="str">
        <f>IFERROR(__xludf.DUMMYFUNCTION("""COMPUTED_VALUE"""),"For sale")</f>
        <v>For sale</v>
      </c>
      <c r="B98" s="2" t="str">
        <f>IFERROR(__xludf.DUMMYFUNCTION("""COMPUTED_VALUE"""),"Imanta")</f>
        <v>Imanta</v>
      </c>
      <c r="C98" s="2" t="str">
        <f>IFERROR(__xludf.DUMMYFUNCTION("""COMPUTED_VALUE"""),"Jūrmalas g. 99")</f>
        <v>Jūrmalas g. 99</v>
      </c>
      <c r="D98" s="2">
        <f>IFERROR(__xludf.DUMMYFUNCTION("""COMPUTED_VALUE"""),3.0)</f>
        <v>3</v>
      </c>
      <c r="E98" s="2">
        <f>IFERROR(__xludf.DUMMYFUNCTION("""COMPUTED_VALUE"""),63.0)</f>
        <v>63</v>
      </c>
      <c r="F98" s="2">
        <f>IFERROR(__xludf.DUMMYFUNCTION("""COMPUTED_VALUE"""),5.0)</f>
        <v>5</v>
      </c>
      <c r="G98" s="2">
        <f>IFERROR(__xludf.DUMMYFUNCTION("""COMPUTED_VALUE"""),9.0)</f>
        <v>9</v>
      </c>
      <c r="H98" s="2">
        <f>IFERROR(__xludf.DUMMYFUNCTION("""COMPUTED_VALUE"""),602.0)</f>
        <v>602</v>
      </c>
      <c r="I98" s="2" t="str">
        <f>IFERROR(__xludf.DUMMYFUNCTION("""COMPUTED_VALUE"""),"Panel")</f>
        <v>Panel</v>
      </c>
      <c r="J98" s="2" t="str">
        <f>IFERROR(__xludf.DUMMYFUNCTION("""COMPUTED_VALUE"""),"All amenities")</f>
        <v>All amenities</v>
      </c>
      <c r="K98" s="2">
        <f>IFERROR(__xludf.DUMMYFUNCTION("""COMPUTED_VALUE"""),50000.0)</f>
        <v>50000</v>
      </c>
      <c r="L98" s="2">
        <f>IFERROR(__xludf.DUMMYFUNCTION("""COMPUTED_VALUE"""),56.952975)</f>
        <v>56.952975</v>
      </c>
      <c r="M98" s="2">
        <f>IFERROR(__xludf.DUMMYFUNCTION("""COMPUTED_VALUE"""),24.0166971)</f>
        <v>24.0166971</v>
      </c>
    </row>
    <row r="99">
      <c r="A99" s="2" t="str">
        <f>IFERROR(__xludf.DUMMYFUNCTION("""COMPUTED_VALUE"""),"For sale")</f>
        <v>For sale</v>
      </c>
      <c r="B99" s="2" t="str">
        <f>IFERROR(__xludf.DUMMYFUNCTION("""COMPUTED_VALUE"""),"Ziepniekkalns")</f>
        <v>Ziepniekkalns</v>
      </c>
      <c r="C99" s="2" t="str">
        <f>IFERROR(__xludf.DUMMYFUNCTION("""COMPUTED_VALUE"""),"Ozolciema 32/3")</f>
        <v>Ozolciema 32/3</v>
      </c>
      <c r="D99" s="2">
        <f>IFERROR(__xludf.DUMMYFUNCTION("""COMPUTED_VALUE"""),2.0)</f>
        <v>2</v>
      </c>
      <c r="E99" s="2">
        <f>IFERROR(__xludf.DUMMYFUNCTION("""COMPUTED_VALUE"""),50.0)</f>
        <v>50</v>
      </c>
      <c r="F99" s="2">
        <f>IFERROR(__xludf.DUMMYFUNCTION("""COMPUTED_VALUE"""),1.0)</f>
        <v>1</v>
      </c>
      <c r="G99" s="2">
        <f>IFERROR(__xludf.DUMMYFUNCTION("""COMPUTED_VALUE"""),9.0)</f>
        <v>9</v>
      </c>
      <c r="H99" s="2">
        <f>IFERROR(__xludf.DUMMYFUNCTION("""COMPUTED_VALUE"""),602.0)</f>
        <v>602</v>
      </c>
      <c r="I99" s="2" t="str">
        <f>IFERROR(__xludf.DUMMYFUNCTION("""COMPUTED_VALUE"""),"Panel")</f>
        <v>Panel</v>
      </c>
      <c r="J99" s="2" t="str">
        <f>IFERROR(__xludf.DUMMYFUNCTION("""COMPUTED_VALUE"""),"All amenities")</f>
        <v>All amenities</v>
      </c>
      <c r="K99" s="2">
        <f>IFERROR(__xludf.DUMMYFUNCTION("""COMPUTED_VALUE"""),49000.0)</f>
        <v>49000</v>
      </c>
      <c r="L99" s="2">
        <f>IFERROR(__xludf.DUMMYFUNCTION("""COMPUTED_VALUE"""),56.8990307)</f>
        <v>56.8990307</v>
      </c>
      <c r="M99" s="2">
        <f>IFERROR(__xludf.DUMMYFUNCTION("""COMPUTED_VALUE"""),24.0785989)</f>
        <v>24.0785989</v>
      </c>
    </row>
    <row r="100">
      <c r="A100" s="2" t="str">
        <f>IFERROR(__xludf.DUMMYFUNCTION("""COMPUTED_VALUE"""),"For rent")</f>
        <v>For rent</v>
      </c>
      <c r="B100" s="2" t="str">
        <f>IFERROR(__xludf.DUMMYFUNCTION("""COMPUTED_VALUE"""),"centrs")</f>
        <v>centrs</v>
      </c>
      <c r="C100" s="2" t="str">
        <f>IFERROR(__xludf.DUMMYFUNCTION("""COMPUTED_VALUE"""),"Grostonas 17")</f>
        <v>Grostonas 17</v>
      </c>
      <c r="D100" s="2">
        <f>IFERROR(__xludf.DUMMYFUNCTION("""COMPUTED_VALUE"""),3.0)</f>
        <v>3</v>
      </c>
      <c r="E100" s="2">
        <f>IFERROR(__xludf.DUMMYFUNCTION("""COMPUTED_VALUE"""),88.0)</f>
        <v>88</v>
      </c>
      <c r="F100" s="2">
        <f>IFERROR(__xludf.DUMMYFUNCTION("""COMPUTED_VALUE"""),7.0)</f>
        <v>7</v>
      </c>
      <c r="G100" s="2">
        <f>IFERROR(__xludf.DUMMYFUNCTION("""COMPUTED_VALUE"""),8.0)</f>
        <v>8</v>
      </c>
      <c r="H100" s="2" t="str">
        <f>IFERROR(__xludf.DUMMYFUNCTION("""COMPUTED_VALUE"""),"Jaun.")</f>
        <v>Jaun.</v>
      </c>
      <c r="I100" s="2" t="str">
        <f>IFERROR(__xludf.DUMMYFUNCTION("""COMPUTED_VALUE"""),"Masonry")</f>
        <v>Masonry</v>
      </c>
      <c r="J100" s="2" t="str">
        <f>IFERROR(__xludf.DUMMYFUNCTION("""COMPUTED_VALUE"""),"All amenities")</f>
        <v>All amenities</v>
      </c>
      <c r="K100" s="2">
        <f>IFERROR(__xludf.DUMMYFUNCTION("""COMPUTED_VALUE"""),890.0)</f>
        <v>890</v>
      </c>
      <c r="L100" s="2">
        <f>IFERROR(__xludf.DUMMYFUNCTION("""COMPUTED_VALUE"""),56.96998705)</f>
        <v>56.96998705</v>
      </c>
      <c r="M100" s="2">
        <f>IFERROR(__xludf.DUMMYFUNCTION("""COMPUTED_VALUE"""),24.1242108827278)</f>
        <v>24.12421088</v>
      </c>
    </row>
    <row r="101">
      <c r="A101" s="2" t="str">
        <f>IFERROR(__xludf.DUMMYFUNCTION("""COMPUTED_VALUE"""),"For rent")</f>
        <v>For rent</v>
      </c>
      <c r="B101" s="2" t="str">
        <f>IFERROR(__xludf.DUMMYFUNCTION("""COMPUTED_VALUE"""),"centrs")</f>
        <v>centrs</v>
      </c>
      <c r="C101" s="2" t="str">
        <f>IFERROR(__xludf.DUMMYFUNCTION("""COMPUTED_VALUE"""),"Ģertrūdes 84")</f>
        <v>Ģertrūdes 84</v>
      </c>
      <c r="D101" s="2">
        <f>IFERROR(__xludf.DUMMYFUNCTION("""COMPUTED_VALUE"""),2.0)</f>
        <v>2</v>
      </c>
      <c r="E101" s="2">
        <f>IFERROR(__xludf.DUMMYFUNCTION("""COMPUTED_VALUE"""),53.0)</f>
        <v>53</v>
      </c>
      <c r="F101" s="2">
        <f>IFERROR(__xludf.DUMMYFUNCTION("""COMPUTED_VALUE"""),3.0)</f>
        <v>3</v>
      </c>
      <c r="G101" s="2">
        <f>IFERROR(__xludf.DUMMYFUNCTION("""COMPUTED_VALUE"""),6.0)</f>
        <v>6</v>
      </c>
      <c r="H101" s="2" t="str">
        <f>IFERROR(__xludf.DUMMYFUNCTION("""COMPUTED_VALUE"""),"P. kara")</f>
        <v>P. kara</v>
      </c>
      <c r="I101" s="2" t="str">
        <f>IFERROR(__xludf.DUMMYFUNCTION("""COMPUTED_VALUE"""),"Masonry")</f>
        <v>Masonry</v>
      </c>
      <c r="J101" s="2" t="str">
        <f>IFERROR(__xludf.DUMMYFUNCTION("""COMPUTED_VALUE"""),"All amenities")</f>
        <v>All amenities</v>
      </c>
      <c r="K101" s="2">
        <f>IFERROR(__xludf.DUMMYFUNCTION("""COMPUTED_VALUE"""),350.0)</f>
        <v>350</v>
      </c>
      <c r="L101" s="2">
        <f>IFERROR(__xludf.DUMMYFUNCTION("""COMPUTED_VALUE"""),56.9471865)</f>
        <v>56.9471865</v>
      </c>
      <c r="M101" s="2">
        <f>IFERROR(__xludf.DUMMYFUNCTION("""COMPUTED_VALUE"""),24.1411337)</f>
        <v>24.1411337</v>
      </c>
    </row>
    <row r="102">
      <c r="A102" s="2" t="str">
        <f>IFERROR(__xludf.DUMMYFUNCTION("""COMPUTED_VALUE"""),"For sale")</f>
        <v>For sale</v>
      </c>
      <c r="B102" s="2" t="str">
        <f>IFERROR(__xludf.DUMMYFUNCTION("""COMPUTED_VALUE"""),"Berģi")</f>
        <v>Berģi</v>
      </c>
      <c r="C102" s="2" t="str">
        <f>IFERROR(__xludf.DUMMYFUNCTION("""COMPUTED_VALUE"""),"Berģu 9")</f>
        <v>Berģu 9</v>
      </c>
      <c r="D102" s="2">
        <f>IFERROR(__xludf.DUMMYFUNCTION("""COMPUTED_VALUE"""),3.0)</f>
        <v>3</v>
      </c>
      <c r="E102" s="2">
        <f>IFERROR(__xludf.DUMMYFUNCTION("""COMPUTED_VALUE"""),58.0)</f>
        <v>58</v>
      </c>
      <c r="F102" s="2">
        <f>IFERROR(__xludf.DUMMYFUNCTION("""COMPUTED_VALUE"""),1.0)</f>
        <v>1</v>
      </c>
      <c r="G102" s="2">
        <f>IFERROR(__xludf.DUMMYFUNCTION("""COMPUTED_VALUE"""),4.0)</f>
        <v>4</v>
      </c>
      <c r="H102" s="2" t="str">
        <f>IFERROR(__xludf.DUMMYFUNCTION("""COMPUTED_VALUE"""),"Hrušč.")</f>
        <v>Hrušč.</v>
      </c>
      <c r="I102" s="2" t="str">
        <f>IFERROR(__xludf.DUMMYFUNCTION("""COMPUTED_VALUE"""),"Brick")</f>
        <v>Brick</v>
      </c>
      <c r="J102" s="2" t="str">
        <f>IFERROR(__xludf.DUMMYFUNCTION("""COMPUTED_VALUE"""),"Partial amenities")</f>
        <v>Partial amenities</v>
      </c>
      <c r="K102" s="2">
        <f>IFERROR(__xludf.DUMMYFUNCTION("""COMPUTED_VALUE"""),60000.0)</f>
        <v>60000</v>
      </c>
      <c r="L102" s="2">
        <f>IFERROR(__xludf.DUMMYFUNCTION("""COMPUTED_VALUE"""),56.99786715)</f>
        <v>56.99786715</v>
      </c>
      <c r="M102" s="2">
        <f>IFERROR(__xludf.DUMMYFUNCTION("""COMPUTED_VALUE"""),24.2773415269943)</f>
        <v>24.27734153</v>
      </c>
    </row>
    <row r="103">
      <c r="A103" s="2" t="str">
        <f>IFERROR(__xludf.DUMMYFUNCTION("""COMPUTED_VALUE"""),"For sale")</f>
        <v>For sale</v>
      </c>
      <c r="B103" s="2" t="str">
        <f>IFERROR(__xludf.DUMMYFUNCTION("""COMPUTED_VALUE"""),"Bolderāja")</f>
        <v>Bolderāja</v>
      </c>
      <c r="C103" s="2" t="str">
        <f>IFERROR(__xludf.DUMMYFUNCTION("""COMPUTED_VALUE"""),"Silikātu 1k2")</f>
        <v>Silikātu 1k2</v>
      </c>
      <c r="D103" s="2">
        <f>IFERROR(__xludf.DUMMYFUNCTION("""COMPUTED_VALUE"""),2.0)</f>
        <v>2</v>
      </c>
      <c r="E103" s="2">
        <f>IFERROR(__xludf.DUMMYFUNCTION("""COMPUTED_VALUE"""),44.0)</f>
        <v>44</v>
      </c>
      <c r="F103" s="2">
        <f>IFERROR(__xludf.DUMMYFUNCTION("""COMPUTED_VALUE"""),1.0)</f>
        <v>1</v>
      </c>
      <c r="G103" s="2">
        <f>IFERROR(__xludf.DUMMYFUNCTION("""COMPUTED_VALUE"""),3.0)</f>
        <v>3</v>
      </c>
      <c r="H103" s="2" t="str">
        <f>IFERROR(__xludf.DUMMYFUNCTION("""COMPUTED_VALUE"""),"Hrušč.")</f>
        <v>Hrušč.</v>
      </c>
      <c r="I103" s="2" t="str">
        <f>IFERROR(__xludf.DUMMYFUNCTION("""COMPUTED_VALUE"""),"Brick")</f>
        <v>Brick</v>
      </c>
      <c r="J103" s="2" t="str">
        <f>IFERROR(__xludf.DUMMYFUNCTION("""COMPUTED_VALUE"""),"All amenities")</f>
        <v>All amenities</v>
      </c>
      <c r="K103" s="2">
        <f>IFERROR(__xludf.DUMMYFUNCTION("""COMPUTED_VALUE"""),35400.0)</f>
        <v>35400</v>
      </c>
      <c r="L103" s="2">
        <f>IFERROR(__xludf.DUMMYFUNCTION("""COMPUTED_VALUE"""),57.0272671)</f>
        <v>57.0272671</v>
      </c>
      <c r="M103" s="2">
        <f>IFERROR(__xludf.DUMMYFUNCTION("""COMPUTED_VALUE"""),24.0389108)</f>
        <v>24.0389108</v>
      </c>
    </row>
    <row r="104">
      <c r="A104" s="2" t="str">
        <f>IFERROR(__xludf.DUMMYFUNCTION("""COMPUTED_VALUE"""),"For sale")</f>
        <v>For sale</v>
      </c>
      <c r="B104" s="2" t="str">
        <f>IFERROR(__xludf.DUMMYFUNCTION("""COMPUTED_VALUE"""),"Ziepniekkalns")</f>
        <v>Ziepniekkalns</v>
      </c>
      <c r="C104" s="2" t="str">
        <f>IFERROR(__xludf.DUMMYFUNCTION("""COMPUTED_VALUE"""),"Staburaga 3")</f>
        <v>Staburaga 3</v>
      </c>
      <c r="D104" s="2">
        <f>IFERROR(__xludf.DUMMYFUNCTION("""COMPUTED_VALUE"""),2.0)</f>
        <v>2</v>
      </c>
      <c r="E104" s="2">
        <f>IFERROR(__xludf.DUMMYFUNCTION("""COMPUTED_VALUE"""),48.0)</f>
        <v>48</v>
      </c>
      <c r="F104" s="2">
        <f>IFERROR(__xludf.DUMMYFUNCTION("""COMPUTED_VALUE"""),3.0)</f>
        <v>3</v>
      </c>
      <c r="G104" s="2">
        <f>IFERROR(__xludf.DUMMYFUNCTION("""COMPUTED_VALUE"""),3.0)</f>
        <v>3</v>
      </c>
      <c r="H104" s="2" t="str">
        <f>IFERROR(__xludf.DUMMYFUNCTION("""COMPUTED_VALUE"""),"Hrušč.")</f>
        <v>Hrušč.</v>
      </c>
      <c r="I104" s="2" t="str">
        <f>IFERROR(__xludf.DUMMYFUNCTION("""COMPUTED_VALUE"""),"Brick")</f>
        <v>Brick</v>
      </c>
      <c r="J104" s="2" t="str">
        <f>IFERROR(__xludf.DUMMYFUNCTION("""COMPUTED_VALUE"""),"All amenities")</f>
        <v>All amenities</v>
      </c>
      <c r="K104" s="2">
        <f>IFERROR(__xludf.DUMMYFUNCTION("""COMPUTED_VALUE"""),65000.0)</f>
        <v>65000</v>
      </c>
      <c r="L104" s="2">
        <f>IFERROR(__xludf.DUMMYFUNCTION("""COMPUTED_VALUE"""),56.91116745)</f>
        <v>56.91116745</v>
      </c>
      <c r="M104" s="2">
        <f>IFERROR(__xludf.DUMMYFUNCTION("""COMPUTED_VALUE"""),24.11631975)</f>
        <v>24.11631975</v>
      </c>
    </row>
    <row r="105">
      <c r="A105" s="2" t="str">
        <f>IFERROR(__xludf.DUMMYFUNCTION("""COMPUTED_VALUE"""),"For rent")</f>
        <v>For rent</v>
      </c>
      <c r="B105" s="2" t="str">
        <f>IFERROR(__xludf.DUMMYFUNCTION("""COMPUTED_VALUE"""),"Krasta r-ns")</f>
        <v>Krasta r-ns</v>
      </c>
      <c r="C105" s="2" t="str">
        <f>IFERROR(__xludf.DUMMYFUNCTION("""COMPUTED_VALUE"""),"Maskavas 237")</f>
        <v>Maskavas 237</v>
      </c>
      <c r="D105" s="2">
        <f>IFERROR(__xludf.DUMMYFUNCTION("""COMPUTED_VALUE"""),1.0)</f>
        <v>1</v>
      </c>
      <c r="E105" s="2">
        <f>IFERROR(__xludf.DUMMYFUNCTION("""COMPUTED_VALUE"""),30.0)</f>
        <v>30</v>
      </c>
      <c r="F105" s="2">
        <f>IFERROR(__xludf.DUMMYFUNCTION("""COMPUTED_VALUE"""),5.0)</f>
        <v>5</v>
      </c>
      <c r="G105" s="2">
        <f>IFERROR(__xludf.DUMMYFUNCTION("""COMPUTED_VALUE"""),5.0)</f>
        <v>5</v>
      </c>
      <c r="H105" s="2" t="str">
        <f>IFERROR(__xludf.DUMMYFUNCTION("""COMPUTED_VALUE"""),"Hrušč.")</f>
        <v>Hrušč.</v>
      </c>
      <c r="I105" s="2" t="str">
        <f>IFERROR(__xludf.DUMMYFUNCTION("""COMPUTED_VALUE"""),"Brick")</f>
        <v>Brick</v>
      </c>
      <c r="J105" s="2" t="str">
        <f>IFERROR(__xludf.DUMMYFUNCTION("""COMPUTED_VALUE"""),"All amenities")</f>
        <v>All amenities</v>
      </c>
      <c r="K105" s="2">
        <f>IFERROR(__xludf.DUMMYFUNCTION("""COMPUTED_VALUE"""),260.0)</f>
        <v>260</v>
      </c>
      <c r="L105" s="2">
        <f>IFERROR(__xludf.DUMMYFUNCTION("""COMPUTED_VALUE"""),56.9275041)</f>
        <v>56.9275041</v>
      </c>
      <c r="M105" s="2">
        <f>IFERROR(__xludf.DUMMYFUNCTION("""COMPUTED_VALUE"""),24.1670673928227)</f>
        <v>24.16706739</v>
      </c>
    </row>
    <row r="106">
      <c r="A106" s="2" t="str">
        <f>IFERROR(__xludf.DUMMYFUNCTION("""COMPUTED_VALUE"""),"For sale")</f>
        <v>For sale</v>
      </c>
      <c r="B106" s="2" t="str">
        <f>IFERROR(__xludf.DUMMYFUNCTION("""COMPUTED_VALUE"""),"Ķengarags")</f>
        <v>Ķengarags</v>
      </c>
      <c r="C106" s="2" t="str">
        <f>IFERROR(__xludf.DUMMYFUNCTION("""COMPUTED_VALUE"""),"Maskavas 279")</f>
        <v>Maskavas 279</v>
      </c>
      <c r="D106" s="2">
        <f>IFERROR(__xludf.DUMMYFUNCTION("""COMPUTED_VALUE"""),3.0)</f>
        <v>3</v>
      </c>
      <c r="E106" s="2">
        <f>IFERROR(__xludf.DUMMYFUNCTION("""COMPUTED_VALUE"""),55.0)</f>
        <v>55</v>
      </c>
      <c r="F106" s="2">
        <f>IFERROR(__xludf.DUMMYFUNCTION("""COMPUTED_VALUE"""),5.0)</f>
        <v>5</v>
      </c>
      <c r="G106" s="2">
        <f>IFERROR(__xludf.DUMMYFUNCTION("""COMPUTED_VALUE"""),5.0)</f>
        <v>5</v>
      </c>
      <c r="H106" s="2" t="str">
        <f>IFERROR(__xludf.DUMMYFUNCTION("""COMPUTED_VALUE"""),"LT proj.")</f>
        <v>LT proj.</v>
      </c>
      <c r="I106" s="2" t="str">
        <f>IFERROR(__xludf.DUMMYFUNCTION("""COMPUTED_VALUE"""),"Brick")</f>
        <v>Brick</v>
      </c>
      <c r="J106" s="2" t="str">
        <f>IFERROR(__xludf.DUMMYFUNCTION("""COMPUTED_VALUE"""),"All amenities")</f>
        <v>All amenities</v>
      </c>
      <c r="K106" s="2">
        <f>IFERROR(__xludf.DUMMYFUNCTION("""COMPUTED_VALUE"""),43000.0)</f>
        <v>43000</v>
      </c>
      <c r="L106" s="2">
        <f>IFERROR(__xludf.DUMMYFUNCTION("""COMPUTED_VALUE"""),56.91925545)</f>
        <v>56.91925545</v>
      </c>
      <c r="M106" s="2">
        <f>IFERROR(__xludf.DUMMYFUNCTION("""COMPUTED_VALUE"""),24.1738294911868)</f>
        <v>24.17382949</v>
      </c>
    </row>
    <row r="107">
      <c r="A107" s="2" t="str">
        <f>IFERROR(__xludf.DUMMYFUNCTION("""COMPUTED_VALUE"""),"For sale")</f>
        <v>For sale</v>
      </c>
      <c r="B107" s="2" t="str">
        <f>IFERROR(__xludf.DUMMYFUNCTION("""COMPUTED_VALUE"""),"Purvciems")</f>
        <v>Purvciems</v>
      </c>
      <c r="C107" s="2" t="str">
        <f>IFERROR(__xludf.DUMMYFUNCTION("""COMPUTED_VALUE"""),"Madonas 19")</f>
        <v>Madonas 19</v>
      </c>
      <c r="D107" s="2">
        <f>IFERROR(__xludf.DUMMYFUNCTION("""COMPUTED_VALUE"""),1.0)</f>
        <v>1</v>
      </c>
      <c r="E107" s="2">
        <f>IFERROR(__xludf.DUMMYFUNCTION("""COMPUTED_VALUE"""),46.0)</f>
        <v>46</v>
      </c>
      <c r="F107" s="2">
        <f>IFERROR(__xludf.DUMMYFUNCTION("""COMPUTED_VALUE"""),6.0)</f>
        <v>6</v>
      </c>
      <c r="G107" s="2">
        <f>IFERROR(__xludf.DUMMYFUNCTION("""COMPUTED_VALUE"""),9.0)</f>
        <v>9</v>
      </c>
      <c r="H107" s="2">
        <f>IFERROR(__xludf.DUMMYFUNCTION("""COMPUTED_VALUE"""),119.0)</f>
        <v>119</v>
      </c>
      <c r="I107" s="2" t="str">
        <f>IFERROR(__xludf.DUMMYFUNCTION("""COMPUTED_VALUE"""),"Panel")</f>
        <v>Panel</v>
      </c>
      <c r="J107" s="2" t="str">
        <f>IFERROR(__xludf.DUMMYFUNCTION("""COMPUTED_VALUE"""),"All amenities")</f>
        <v>All amenities</v>
      </c>
      <c r="K107" s="2">
        <f>IFERROR(__xludf.DUMMYFUNCTION("""COMPUTED_VALUE"""),43500.0)</f>
        <v>43500</v>
      </c>
      <c r="L107" s="2">
        <f>IFERROR(__xludf.DUMMYFUNCTION("""COMPUTED_VALUE"""),56.9604346499999)</f>
        <v>56.96043465</v>
      </c>
      <c r="M107" s="2">
        <f>IFERROR(__xludf.DUMMYFUNCTION("""COMPUTED_VALUE"""),24.1704860207815)</f>
        <v>24.17048602</v>
      </c>
    </row>
    <row r="108">
      <c r="A108" s="2" t="str">
        <f>IFERROR(__xludf.DUMMYFUNCTION("""COMPUTED_VALUE"""),"For rent")</f>
        <v>For rent</v>
      </c>
      <c r="B108" s="2" t="str">
        <f>IFERROR(__xludf.DUMMYFUNCTION("""COMPUTED_VALUE"""),"Imanta")</f>
        <v>Imanta</v>
      </c>
      <c r="C108" s="2" t="str">
        <f>IFERROR(__xludf.DUMMYFUNCTION("""COMPUTED_VALUE"""),"Anniņmuižas bulvāris 43")</f>
        <v>Anniņmuižas bulvāris 43</v>
      </c>
      <c r="D108" s="2">
        <f>IFERROR(__xludf.DUMMYFUNCTION("""COMPUTED_VALUE"""),2.0)</f>
        <v>2</v>
      </c>
      <c r="E108" s="2">
        <f>IFERROR(__xludf.DUMMYFUNCTION("""COMPUTED_VALUE"""),45.0)</f>
        <v>45</v>
      </c>
      <c r="F108" s="2">
        <f>IFERROR(__xludf.DUMMYFUNCTION("""COMPUTED_VALUE"""),9.0)</f>
        <v>9</v>
      </c>
      <c r="G108" s="2">
        <f>IFERROR(__xludf.DUMMYFUNCTION("""COMPUTED_VALUE"""),24.0)</f>
        <v>24</v>
      </c>
      <c r="H108" s="2" t="str">
        <f>IFERROR(__xludf.DUMMYFUNCTION("""COMPUTED_VALUE"""),"Jaun.")</f>
        <v>Jaun.</v>
      </c>
      <c r="I108" s="2" t="str">
        <f>IFERROR(__xludf.DUMMYFUNCTION("""COMPUTED_VALUE"""),"Brick-Panel")</f>
        <v>Brick-Panel</v>
      </c>
      <c r="J108" s="2" t="str">
        <f>IFERROR(__xludf.DUMMYFUNCTION("""COMPUTED_VALUE"""),"All amenities")</f>
        <v>All amenities</v>
      </c>
      <c r="K108" s="2">
        <f>IFERROR(__xludf.DUMMYFUNCTION("""COMPUTED_VALUE"""),50.0)</f>
        <v>50</v>
      </c>
      <c r="L108" s="2">
        <f>IFERROR(__xludf.DUMMYFUNCTION("""COMPUTED_VALUE"""),56.9590306)</f>
        <v>56.9590306</v>
      </c>
      <c r="M108" s="2">
        <f>IFERROR(__xludf.DUMMYFUNCTION("""COMPUTED_VALUE"""),24.013887042853)</f>
        <v>24.01388704</v>
      </c>
    </row>
    <row r="109">
      <c r="A109" s="2" t="str">
        <f>IFERROR(__xludf.DUMMYFUNCTION("""COMPUTED_VALUE"""),"For rent")</f>
        <v>For rent</v>
      </c>
      <c r="B109" s="2" t="str">
        <f>IFERROR(__xludf.DUMMYFUNCTION("""COMPUTED_VALUE"""),"Dzegužkalns")</f>
        <v>Dzegužkalns</v>
      </c>
      <c r="C109" s="2" t="str">
        <f>IFERROR(__xludf.DUMMYFUNCTION("""COMPUTED_VALUE"""),"Dzirciema 33")</f>
        <v>Dzirciema 33</v>
      </c>
      <c r="D109" s="2">
        <f>IFERROR(__xludf.DUMMYFUNCTION("""COMPUTED_VALUE"""),3.0)</f>
        <v>3</v>
      </c>
      <c r="E109" s="2">
        <f>IFERROR(__xludf.DUMMYFUNCTION("""COMPUTED_VALUE"""),61.0)</f>
        <v>61</v>
      </c>
      <c r="F109" s="2">
        <f>IFERROR(__xludf.DUMMYFUNCTION("""COMPUTED_VALUE"""),4.0)</f>
        <v>4</v>
      </c>
      <c r="G109" s="2">
        <f>IFERROR(__xludf.DUMMYFUNCTION("""COMPUTED_VALUE"""),5.0)</f>
        <v>5</v>
      </c>
      <c r="H109" s="2" t="str">
        <f>IFERROR(__xludf.DUMMYFUNCTION("""COMPUTED_VALUE"""),"LT proj.")</f>
        <v>LT proj.</v>
      </c>
      <c r="I109" s="2" t="str">
        <f>IFERROR(__xludf.DUMMYFUNCTION("""COMPUTED_VALUE"""),"Panel")</f>
        <v>Panel</v>
      </c>
      <c r="J109" s="2" t="str">
        <f>IFERROR(__xludf.DUMMYFUNCTION("""COMPUTED_VALUE"""),"All amenities")</f>
        <v>All amenities</v>
      </c>
      <c r="K109" s="2">
        <f>IFERROR(__xludf.DUMMYFUNCTION("""COMPUTED_VALUE"""),340.0)</f>
        <v>340</v>
      </c>
      <c r="L109" s="2">
        <f>IFERROR(__xludf.DUMMYFUNCTION("""COMPUTED_VALUE"""),56.9562173)</f>
        <v>56.9562173</v>
      </c>
      <c r="M109" s="2">
        <f>IFERROR(__xludf.DUMMYFUNCTION("""COMPUTED_VALUE"""),24.05205275)</f>
        <v>24.05205275</v>
      </c>
    </row>
    <row r="110">
      <c r="A110" s="2" t="str">
        <f>IFERROR(__xludf.DUMMYFUNCTION("""COMPUTED_VALUE"""),"For rent")</f>
        <v>For rent</v>
      </c>
      <c r="B110" s="2" t="str">
        <f>IFERROR(__xludf.DUMMYFUNCTION("""COMPUTED_VALUE"""),"Pļavnieki")</f>
        <v>Pļavnieki</v>
      </c>
      <c r="C110" s="2" t="str">
        <f>IFERROR(__xludf.DUMMYFUNCTION("""COMPUTED_VALUE"""),"Zemes 9")</f>
        <v>Zemes 9</v>
      </c>
      <c r="D110" s="2">
        <f>IFERROR(__xludf.DUMMYFUNCTION("""COMPUTED_VALUE"""),1.0)</f>
        <v>1</v>
      </c>
      <c r="E110" s="2">
        <f>IFERROR(__xludf.DUMMYFUNCTION("""COMPUTED_VALUE"""),36.0)</f>
        <v>36</v>
      </c>
      <c r="F110" s="2">
        <f>IFERROR(__xludf.DUMMYFUNCTION("""COMPUTED_VALUE"""),1.0)</f>
        <v>1</v>
      </c>
      <c r="G110" s="2">
        <f>IFERROR(__xludf.DUMMYFUNCTION("""COMPUTED_VALUE"""),9.0)</f>
        <v>9</v>
      </c>
      <c r="H110" s="2" t="str">
        <f>IFERROR(__xludf.DUMMYFUNCTION("""COMPUTED_VALUE"""),"M. ģim.")</f>
        <v>M. ģim.</v>
      </c>
      <c r="I110" s="2" t="str">
        <f>IFERROR(__xludf.DUMMYFUNCTION("""COMPUTED_VALUE"""),"Panel")</f>
        <v>Panel</v>
      </c>
      <c r="J110" s="2" t="str">
        <f>IFERROR(__xludf.DUMMYFUNCTION("""COMPUTED_VALUE"""),"All amenities")</f>
        <v>All amenities</v>
      </c>
      <c r="K110" s="2">
        <f>IFERROR(__xludf.DUMMYFUNCTION("""COMPUTED_VALUE"""),240.0)</f>
        <v>240</v>
      </c>
      <c r="L110" s="2">
        <f>IFERROR(__xludf.DUMMYFUNCTION("""COMPUTED_VALUE"""),56.9422955)</f>
        <v>56.9422955</v>
      </c>
      <c r="M110" s="2">
        <f>IFERROR(__xludf.DUMMYFUNCTION("""COMPUTED_VALUE"""),24.1998859564754)</f>
        <v>24.19988596</v>
      </c>
    </row>
    <row r="111">
      <c r="A111" s="2" t="str">
        <f>IFERROR(__xludf.DUMMYFUNCTION("""COMPUTED_VALUE"""),"For sale")</f>
        <v>For sale</v>
      </c>
      <c r="B111" s="2" t="str">
        <f>IFERROR(__xludf.DUMMYFUNCTION("""COMPUTED_VALUE"""),"Purvciems")</f>
        <v>Purvciems</v>
      </c>
      <c r="C111" s="2" t="str">
        <f>IFERROR(__xludf.DUMMYFUNCTION("""COMPUTED_VALUE"""),"Brantkalna 12")</f>
        <v>Brantkalna 12</v>
      </c>
      <c r="D111" s="2">
        <f>IFERROR(__xludf.DUMMYFUNCTION("""COMPUTED_VALUE"""),3.0)</f>
        <v>3</v>
      </c>
      <c r="E111" s="2">
        <f>IFERROR(__xludf.DUMMYFUNCTION("""COMPUTED_VALUE"""),76.0)</f>
        <v>76</v>
      </c>
      <c r="F111" s="2">
        <f>IFERROR(__xludf.DUMMYFUNCTION("""COMPUTED_VALUE"""),8.0)</f>
        <v>8</v>
      </c>
      <c r="G111" s="2">
        <f>IFERROR(__xludf.DUMMYFUNCTION("""COMPUTED_VALUE"""),9.0)</f>
        <v>9</v>
      </c>
      <c r="H111" s="2">
        <f>IFERROR(__xludf.DUMMYFUNCTION("""COMPUTED_VALUE"""),119.0)</f>
        <v>119</v>
      </c>
      <c r="I111" s="2" t="str">
        <f>IFERROR(__xludf.DUMMYFUNCTION("""COMPUTED_VALUE"""),"Panel")</f>
        <v>Panel</v>
      </c>
      <c r="J111" s="2" t="str">
        <f>IFERROR(__xludf.DUMMYFUNCTION("""COMPUTED_VALUE"""),"All amenities")</f>
        <v>All amenities</v>
      </c>
      <c r="K111" s="2">
        <f>IFERROR(__xludf.DUMMYFUNCTION("""COMPUTED_VALUE"""),88000.0)</f>
        <v>88000</v>
      </c>
      <c r="L111" s="2">
        <f>IFERROR(__xludf.DUMMYFUNCTION("""COMPUTED_VALUE"""),56.9491644)</f>
        <v>56.9491644</v>
      </c>
      <c r="M111" s="2">
        <f>IFERROR(__xludf.DUMMYFUNCTION("""COMPUTED_VALUE"""),24.1939751999999)</f>
        <v>24.1939752</v>
      </c>
    </row>
    <row r="112">
      <c r="A112" s="2" t="str">
        <f>IFERROR(__xludf.DUMMYFUNCTION("""COMPUTED_VALUE"""),"For sale")</f>
        <v>For sale</v>
      </c>
      <c r="B112" s="2" t="str">
        <f>IFERROR(__xludf.DUMMYFUNCTION("""COMPUTED_VALUE"""),"Purvciems")</f>
        <v>Purvciems</v>
      </c>
      <c r="C112" s="2" t="str">
        <f>IFERROR(__xludf.DUMMYFUNCTION("""COMPUTED_VALUE"""),"Nīcgales 36")</f>
        <v>Nīcgales 36</v>
      </c>
      <c r="D112" s="2">
        <f>IFERROR(__xludf.DUMMYFUNCTION("""COMPUTED_VALUE"""),3.0)</f>
        <v>3</v>
      </c>
      <c r="E112" s="2">
        <f>IFERROR(__xludf.DUMMYFUNCTION("""COMPUTED_VALUE"""),82.0)</f>
        <v>82</v>
      </c>
      <c r="F112" s="2">
        <f>IFERROR(__xludf.DUMMYFUNCTION("""COMPUTED_VALUE"""),4.0)</f>
        <v>4</v>
      </c>
      <c r="G112" s="2">
        <f>IFERROR(__xludf.DUMMYFUNCTION("""COMPUTED_VALUE"""),5.0)</f>
        <v>5</v>
      </c>
      <c r="H112" s="2" t="str">
        <f>IFERROR(__xludf.DUMMYFUNCTION("""COMPUTED_VALUE"""),"Jaun.")</f>
        <v>Jaun.</v>
      </c>
      <c r="I112" s="2" t="str">
        <f>IFERROR(__xludf.DUMMYFUNCTION("""COMPUTED_VALUE"""),"Masonry")</f>
        <v>Masonry</v>
      </c>
      <c r="J112" s="2" t="str">
        <f>IFERROR(__xludf.DUMMYFUNCTION("""COMPUTED_VALUE"""),"All amenities")</f>
        <v>All amenities</v>
      </c>
      <c r="K112" s="2">
        <f>IFERROR(__xludf.DUMMYFUNCTION("""COMPUTED_VALUE"""),98000.0)</f>
        <v>98000</v>
      </c>
      <c r="L112" s="2">
        <f>IFERROR(__xludf.DUMMYFUNCTION("""COMPUTED_VALUE"""),56.9505884)</f>
        <v>56.9505884</v>
      </c>
      <c r="M112" s="2">
        <f>IFERROR(__xludf.DUMMYFUNCTION("""COMPUTED_VALUE"""),24.1734239)</f>
        <v>24.1734239</v>
      </c>
    </row>
    <row r="113">
      <c r="A113" s="2" t="str">
        <f>IFERROR(__xludf.DUMMYFUNCTION("""COMPUTED_VALUE"""),"For rent")</f>
        <v>For rent</v>
      </c>
      <c r="B113" s="2" t="str">
        <f>IFERROR(__xludf.DUMMYFUNCTION("""COMPUTED_VALUE"""),"Pļavnieki")</f>
        <v>Pļavnieki</v>
      </c>
      <c r="C113" s="2" t="str">
        <f>IFERROR(__xludf.DUMMYFUNCTION("""COMPUTED_VALUE"""),"Ilūkstes 55")</f>
        <v>Ilūkstes 55</v>
      </c>
      <c r="D113" s="2">
        <f>IFERROR(__xludf.DUMMYFUNCTION("""COMPUTED_VALUE"""),1.0)</f>
        <v>1</v>
      </c>
      <c r="E113" s="2">
        <f>IFERROR(__xludf.DUMMYFUNCTION("""COMPUTED_VALUE"""),24.0)</f>
        <v>24</v>
      </c>
      <c r="F113" s="2">
        <f>IFERROR(__xludf.DUMMYFUNCTION("""COMPUTED_VALUE"""),2.0)</f>
        <v>2</v>
      </c>
      <c r="G113" s="2">
        <f>IFERROR(__xludf.DUMMYFUNCTION("""COMPUTED_VALUE"""),1.0)</f>
        <v>1</v>
      </c>
      <c r="H113" s="2" t="str">
        <f>IFERROR(__xludf.DUMMYFUNCTION("""COMPUTED_VALUE"""),"Priv. m.")</f>
        <v>Priv. m.</v>
      </c>
      <c r="I113" s="2" t="str">
        <f>IFERROR(__xludf.DUMMYFUNCTION("""COMPUTED_VALUE"""),"Masonry")</f>
        <v>Masonry</v>
      </c>
      <c r="J113" s="2" t="str">
        <f>IFERROR(__xludf.DUMMYFUNCTION("""COMPUTED_VALUE"""),"All amenities")</f>
        <v>All amenities</v>
      </c>
      <c r="K113" s="2">
        <f>IFERROR(__xludf.DUMMYFUNCTION("""COMPUTED_VALUE"""),220.0)</f>
        <v>220</v>
      </c>
      <c r="L113" s="2">
        <f>IFERROR(__xludf.DUMMYFUNCTION("""COMPUTED_VALUE"""),56.9403842)</f>
        <v>56.9403842</v>
      </c>
      <c r="M113" s="2">
        <f>IFERROR(__xludf.DUMMYFUNCTION("""COMPUTED_VALUE"""),24.1946005733452)</f>
        <v>24.19460057</v>
      </c>
    </row>
    <row r="114">
      <c r="A114" s="2" t="str">
        <f>IFERROR(__xludf.DUMMYFUNCTION("""COMPUTED_VALUE"""),"For rent")</f>
        <v>For rent</v>
      </c>
      <c r="B114" s="2" t="str">
        <f>IFERROR(__xludf.DUMMYFUNCTION("""COMPUTED_VALUE"""),"Ziepniekkalns")</f>
        <v>Ziepniekkalns</v>
      </c>
      <c r="C114" s="2" t="str">
        <f>IFERROR(__xludf.DUMMYFUNCTION("""COMPUTED_VALUE"""),"Valdeķu 53")</f>
        <v>Valdeķu 53</v>
      </c>
      <c r="D114" s="2">
        <f>IFERROR(__xludf.DUMMYFUNCTION("""COMPUTED_VALUE"""),2.0)</f>
        <v>2</v>
      </c>
      <c r="E114" s="2">
        <f>IFERROR(__xludf.DUMMYFUNCTION("""COMPUTED_VALUE"""),55.0)</f>
        <v>55</v>
      </c>
      <c r="F114" s="2">
        <f>IFERROR(__xludf.DUMMYFUNCTION("""COMPUTED_VALUE"""),1.0)</f>
        <v>1</v>
      </c>
      <c r="G114" s="2">
        <f>IFERROR(__xludf.DUMMYFUNCTION("""COMPUTED_VALUE"""),9.0)</f>
        <v>9</v>
      </c>
      <c r="H114" s="2">
        <f>IFERROR(__xludf.DUMMYFUNCTION("""COMPUTED_VALUE"""),119.0)</f>
        <v>119</v>
      </c>
      <c r="I114" s="2" t="str">
        <f>IFERROR(__xludf.DUMMYFUNCTION("""COMPUTED_VALUE"""),"Panel")</f>
        <v>Panel</v>
      </c>
      <c r="J114" s="2" t="str">
        <f>IFERROR(__xludf.DUMMYFUNCTION("""COMPUTED_VALUE"""),"All amenities")</f>
        <v>All amenities</v>
      </c>
      <c r="K114" s="2">
        <f>IFERROR(__xludf.DUMMYFUNCTION("""COMPUTED_VALUE"""),330.0)</f>
        <v>330</v>
      </c>
      <c r="L114" s="2">
        <f>IFERROR(__xludf.DUMMYFUNCTION("""COMPUTED_VALUE"""),56.90154795)</f>
        <v>56.90154795</v>
      </c>
      <c r="M114" s="2">
        <f>IFERROR(__xludf.DUMMYFUNCTION("""COMPUTED_VALUE"""),24.0924674073424)</f>
        <v>24.09246741</v>
      </c>
    </row>
    <row r="115">
      <c r="A115" s="2" t="str">
        <f>IFERROR(__xludf.DUMMYFUNCTION("""COMPUTED_VALUE"""),"For sale")</f>
        <v>For sale</v>
      </c>
      <c r="B115" s="2" t="str">
        <f>IFERROR(__xludf.DUMMYFUNCTION("""COMPUTED_VALUE"""),"Šķirotava")</f>
        <v>Šķirotava</v>
      </c>
      <c r="C115" s="2" t="str">
        <f>IFERROR(__xludf.DUMMYFUNCTION("""COMPUTED_VALUE"""),"Krustpils 75")</f>
        <v>Krustpils 75</v>
      </c>
      <c r="D115" s="2">
        <f>IFERROR(__xludf.DUMMYFUNCTION("""COMPUTED_VALUE"""),2.0)</f>
        <v>2</v>
      </c>
      <c r="E115" s="2">
        <f>IFERROR(__xludf.DUMMYFUNCTION("""COMPUTED_VALUE"""),49.0)</f>
        <v>49</v>
      </c>
      <c r="F115" s="2">
        <f>IFERROR(__xludf.DUMMYFUNCTION("""COMPUTED_VALUE"""),3.0)</f>
        <v>3</v>
      </c>
      <c r="G115" s="2">
        <f>IFERROR(__xludf.DUMMYFUNCTION("""COMPUTED_VALUE"""),3.0)</f>
        <v>3</v>
      </c>
      <c r="H115" s="2" t="str">
        <f>IFERROR(__xludf.DUMMYFUNCTION("""COMPUTED_VALUE"""),"Specpr.")</f>
        <v>Specpr.</v>
      </c>
      <c r="I115" s="2" t="str">
        <f>IFERROR(__xludf.DUMMYFUNCTION("""COMPUTED_VALUE"""),"Brick")</f>
        <v>Brick</v>
      </c>
      <c r="J115" s="2" t="str">
        <f>IFERROR(__xludf.DUMMYFUNCTION("""COMPUTED_VALUE"""),"All amenities")</f>
        <v>All amenities</v>
      </c>
      <c r="K115" s="2">
        <f>IFERROR(__xludf.DUMMYFUNCTION("""COMPUTED_VALUE"""),35000.0)</f>
        <v>35000</v>
      </c>
      <c r="L115" s="2">
        <f>IFERROR(__xludf.DUMMYFUNCTION("""COMPUTED_VALUE"""),56.9120576499999)</f>
        <v>56.91205765</v>
      </c>
      <c r="M115" s="2">
        <f>IFERROR(__xludf.DUMMYFUNCTION("""COMPUTED_VALUE"""),24.2063672999999)</f>
        <v>24.2063673</v>
      </c>
    </row>
    <row r="116">
      <c r="A116" s="2" t="str">
        <f>IFERROR(__xludf.DUMMYFUNCTION("""COMPUTED_VALUE"""),"For sale")</f>
        <v>For sale</v>
      </c>
      <c r="B116" s="2" t="str">
        <f>IFERROR(__xludf.DUMMYFUNCTION("""COMPUTED_VALUE"""),"Dārzciems")</f>
        <v>Dārzciems</v>
      </c>
      <c r="C116" s="2" t="str">
        <f>IFERROR(__xludf.DUMMYFUNCTION("""COMPUTED_VALUE"""),"Lubānas 56")</f>
        <v>Lubānas 56</v>
      </c>
      <c r="D116" s="2">
        <f>IFERROR(__xludf.DUMMYFUNCTION("""COMPUTED_VALUE"""),3.0)</f>
        <v>3</v>
      </c>
      <c r="E116" s="2">
        <f>IFERROR(__xludf.DUMMYFUNCTION("""COMPUTED_VALUE"""),61.0)</f>
        <v>61</v>
      </c>
      <c r="F116" s="2">
        <f>IFERROR(__xludf.DUMMYFUNCTION("""COMPUTED_VALUE"""),7.0)</f>
        <v>7</v>
      </c>
      <c r="G116" s="2">
        <f>IFERROR(__xludf.DUMMYFUNCTION("""COMPUTED_VALUE"""),9.0)</f>
        <v>9</v>
      </c>
      <c r="H116" s="2">
        <f>IFERROR(__xludf.DUMMYFUNCTION("""COMPUTED_VALUE"""),467.0)</f>
        <v>467</v>
      </c>
      <c r="I116" s="2" t="str">
        <f>IFERROR(__xludf.DUMMYFUNCTION("""COMPUTED_VALUE"""),"Panel")</f>
        <v>Panel</v>
      </c>
      <c r="J116" s="2" t="str">
        <f>IFERROR(__xludf.DUMMYFUNCTION("""COMPUTED_VALUE"""),"All amenities")</f>
        <v>All amenities</v>
      </c>
      <c r="K116" s="2">
        <f>IFERROR(__xludf.DUMMYFUNCTION("""COMPUTED_VALUE"""),59500.0)</f>
        <v>59500</v>
      </c>
      <c r="L116" s="2">
        <f>IFERROR(__xludf.DUMMYFUNCTION("""COMPUTED_VALUE"""),56.93144315)</f>
        <v>56.93144315</v>
      </c>
      <c r="M116" s="2">
        <f>IFERROR(__xludf.DUMMYFUNCTION("""COMPUTED_VALUE"""),24.1757569002296)</f>
        <v>24.1757569</v>
      </c>
    </row>
    <row r="117">
      <c r="A117" s="2" t="str">
        <f>IFERROR(__xludf.DUMMYFUNCTION("""COMPUTED_VALUE"""),"For rent")</f>
        <v>For rent</v>
      </c>
      <c r="B117" s="2" t="str">
        <f>IFERROR(__xludf.DUMMYFUNCTION("""COMPUTED_VALUE"""),"Zolitūde")</f>
        <v>Zolitūde</v>
      </c>
      <c r="C117" s="2" t="str">
        <f>IFERROR(__xludf.DUMMYFUNCTION("""COMPUTED_VALUE"""),"Ruses 3")</f>
        <v>Ruses 3</v>
      </c>
      <c r="D117" s="2">
        <f>IFERROR(__xludf.DUMMYFUNCTION("""COMPUTED_VALUE"""),2.0)</f>
        <v>2</v>
      </c>
      <c r="E117" s="2">
        <f>IFERROR(__xludf.DUMMYFUNCTION("""COMPUTED_VALUE"""),58.0)</f>
        <v>58</v>
      </c>
      <c r="F117" s="2">
        <f>IFERROR(__xludf.DUMMYFUNCTION("""COMPUTED_VALUE"""),2.0)</f>
        <v>2</v>
      </c>
      <c r="G117" s="2">
        <f>IFERROR(__xludf.DUMMYFUNCTION("""COMPUTED_VALUE"""),9.0)</f>
        <v>9</v>
      </c>
      <c r="H117" s="2">
        <f>IFERROR(__xludf.DUMMYFUNCTION("""COMPUTED_VALUE"""),119.0)</f>
        <v>119</v>
      </c>
      <c r="I117" s="2" t="str">
        <f>IFERROR(__xludf.DUMMYFUNCTION("""COMPUTED_VALUE"""),"Panel")</f>
        <v>Panel</v>
      </c>
      <c r="J117" s="2" t="str">
        <f>IFERROR(__xludf.DUMMYFUNCTION("""COMPUTED_VALUE"""),"All amenities")</f>
        <v>All amenities</v>
      </c>
      <c r="K117" s="2">
        <f>IFERROR(__xludf.DUMMYFUNCTION("""COMPUTED_VALUE"""),260.0)</f>
        <v>260</v>
      </c>
      <c r="L117" s="2">
        <f>IFERROR(__xludf.DUMMYFUNCTION("""COMPUTED_VALUE"""),56.9484028)</f>
        <v>56.9484028</v>
      </c>
      <c r="M117" s="2">
        <f>IFERROR(__xludf.DUMMYFUNCTION("""COMPUTED_VALUE"""),24.0020688644395)</f>
        <v>24.00206886</v>
      </c>
    </row>
    <row r="118">
      <c r="A118" s="2" t="str">
        <f>IFERROR(__xludf.DUMMYFUNCTION("""COMPUTED_VALUE"""),"For rent")</f>
        <v>For rent</v>
      </c>
      <c r="B118" s="2" t="str">
        <f>IFERROR(__xludf.DUMMYFUNCTION("""COMPUTED_VALUE"""),"centrs")</f>
        <v>centrs</v>
      </c>
      <c r="C118" s="2" t="str">
        <f>IFERROR(__xludf.DUMMYFUNCTION("""COMPUTED_VALUE"""),"Elizabetes 10c")</f>
        <v>Elizabetes 10c</v>
      </c>
      <c r="D118" s="2">
        <f>IFERROR(__xludf.DUMMYFUNCTION("""COMPUTED_VALUE"""),1.0)</f>
        <v>1</v>
      </c>
      <c r="E118" s="2">
        <f>IFERROR(__xludf.DUMMYFUNCTION("""COMPUTED_VALUE"""),45.0)</f>
        <v>45</v>
      </c>
      <c r="F118" s="2">
        <f>IFERROR(__xludf.DUMMYFUNCTION("""COMPUTED_VALUE"""),1.0)</f>
        <v>1</v>
      </c>
      <c r="G118" s="2">
        <f>IFERROR(__xludf.DUMMYFUNCTION("""COMPUTED_VALUE"""),3.0)</f>
        <v>3</v>
      </c>
      <c r="H118" s="2" t="str">
        <f>IFERROR(__xludf.DUMMYFUNCTION("""COMPUTED_VALUE"""),"Jaun.")</f>
        <v>Jaun.</v>
      </c>
      <c r="I118" s="2" t="str">
        <f>IFERROR(__xludf.DUMMYFUNCTION("""COMPUTED_VALUE"""),"Masonry")</f>
        <v>Masonry</v>
      </c>
      <c r="J118" s="2" t="str">
        <f>IFERROR(__xludf.DUMMYFUNCTION("""COMPUTED_VALUE"""),"All amenities")</f>
        <v>All amenities</v>
      </c>
      <c r="K118" s="2">
        <f>IFERROR(__xludf.DUMMYFUNCTION("""COMPUTED_VALUE"""),400.0)</f>
        <v>400</v>
      </c>
      <c r="L118" s="2">
        <f>IFERROR(__xludf.DUMMYFUNCTION("""COMPUTED_VALUE"""),56.95752295)</f>
        <v>56.95752295</v>
      </c>
      <c r="M118" s="2">
        <f>IFERROR(__xludf.DUMMYFUNCTION("""COMPUTED_VALUE"""),24.1106154842457)</f>
        <v>24.11061548</v>
      </c>
    </row>
    <row r="119">
      <c r="A119" s="2" t="str">
        <f>IFERROR(__xludf.DUMMYFUNCTION("""COMPUTED_VALUE"""),"For sale")</f>
        <v>For sale</v>
      </c>
      <c r="B119" s="2" t="str">
        <f>IFERROR(__xludf.DUMMYFUNCTION("""COMPUTED_VALUE"""),"Sarkandaugava")</f>
        <v>Sarkandaugava</v>
      </c>
      <c r="C119" s="2" t="str">
        <f>IFERROR(__xludf.DUMMYFUNCTION("""COMPUTED_VALUE"""),"Viestura pr. 95")</f>
        <v>Viestura pr. 95</v>
      </c>
      <c r="D119" s="2">
        <f>IFERROR(__xludf.DUMMYFUNCTION("""COMPUTED_VALUE"""),2.0)</f>
        <v>2</v>
      </c>
      <c r="E119" s="2">
        <f>IFERROR(__xludf.DUMMYFUNCTION("""COMPUTED_VALUE"""),43.0)</f>
        <v>43</v>
      </c>
      <c r="F119" s="2">
        <f>IFERROR(__xludf.DUMMYFUNCTION("""COMPUTED_VALUE"""),5.0)</f>
        <v>5</v>
      </c>
      <c r="G119" s="2">
        <f>IFERROR(__xludf.DUMMYFUNCTION("""COMPUTED_VALUE"""),11.0)</f>
        <v>11</v>
      </c>
      <c r="H119" s="2" t="str">
        <f>IFERROR(__xludf.DUMMYFUNCTION("""COMPUTED_VALUE"""),"Jaun.")</f>
        <v>Jaun.</v>
      </c>
      <c r="I119" s="2" t="str">
        <f>IFERROR(__xludf.DUMMYFUNCTION("""COMPUTED_VALUE"""),"Brick-Panel")</f>
        <v>Brick-Panel</v>
      </c>
      <c r="J119" s="2" t="str">
        <f>IFERROR(__xludf.DUMMYFUNCTION("""COMPUTED_VALUE"""),"All amenities")</f>
        <v>All amenities</v>
      </c>
      <c r="K119" s="2">
        <f>IFERROR(__xludf.DUMMYFUNCTION("""COMPUTED_VALUE"""),74900.0)</f>
        <v>74900</v>
      </c>
      <c r="L119" s="2" t="str">
        <f>IFERROR(__xludf.DUMMYFUNCTION("""COMPUTED_VALUE"""),"NaN")</f>
        <v>NaN</v>
      </c>
      <c r="M119" s="2" t="str">
        <f>IFERROR(__xludf.DUMMYFUNCTION("""COMPUTED_VALUE"""),"NaN")</f>
        <v>NaN</v>
      </c>
    </row>
    <row r="120">
      <c r="A120" s="2" t="str">
        <f>IFERROR(__xludf.DUMMYFUNCTION("""COMPUTED_VALUE"""),"For rent")</f>
        <v>For rent</v>
      </c>
      <c r="B120" s="2" t="str">
        <f>IFERROR(__xludf.DUMMYFUNCTION("""COMPUTED_VALUE"""),"Ziepniekkalns")</f>
        <v>Ziepniekkalns</v>
      </c>
      <c r="C120" s="2" t="str">
        <f>IFERROR(__xludf.DUMMYFUNCTION("""COMPUTED_VALUE"""),"Graudu 30")</f>
        <v>Graudu 30</v>
      </c>
      <c r="D120" s="2">
        <f>IFERROR(__xludf.DUMMYFUNCTION("""COMPUTED_VALUE"""),1.0)</f>
        <v>1</v>
      </c>
      <c r="E120" s="2">
        <f>IFERROR(__xludf.DUMMYFUNCTION("""COMPUTED_VALUE"""),36.0)</f>
        <v>36</v>
      </c>
      <c r="F120" s="2">
        <f>IFERROR(__xludf.DUMMYFUNCTION("""COMPUTED_VALUE"""),1.0)</f>
        <v>1</v>
      </c>
      <c r="G120" s="2">
        <f>IFERROR(__xludf.DUMMYFUNCTION("""COMPUTED_VALUE"""),2.0)</f>
        <v>2</v>
      </c>
      <c r="H120" s="2" t="str">
        <f>IFERROR(__xludf.DUMMYFUNCTION("""COMPUTED_VALUE"""),"Renov.")</f>
        <v>Renov.</v>
      </c>
      <c r="I120" s="2" t="str">
        <f>IFERROR(__xludf.DUMMYFUNCTION("""COMPUTED_VALUE"""),"Masonry")</f>
        <v>Masonry</v>
      </c>
      <c r="J120" s="2" t="str">
        <f>IFERROR(__xludf.DUMMYFUNCTION("""COMPUTED_VALUE"""),"All amenities")</f>
        <v>All amenities</v>
      </c>
      <c r="K120" s="2">
        <f>IFERROR(__xludf.DUMMYFUNCTION("""COMPUTED_VALUE"""),250.0)</f>
        <v>250</v>
      </c>
      <c r="L120" s="2">
        <f>IFERROR(__xludf.DUMMYFUNCTION("""COMPUTED_VALUE"""),56.9085595)</f>
        <v>56.9085595</v>
      </c>
      <c r="M120" s="2">
        <f>IFERROR(__xludf.DUMMYFUNCTION("""COMPUTED_VALUE"""),24.0978813892038)</f>
        <v>24.09788139</v>
      </c>
    </row>
    <row r="121">
      <c r="A121" s="2" t="str">
        <f>IFERROR(__xludf.DUMMYFUNCTION("""COMPUTED_VALUE"""),"For rent")</f>
        <v>For rent</v>
      </c>
      <c r="B121" s="2" t="str">
        <f>IFERROR(__xludf.DUMMYFUNCTION("""COMPUTED_VALUE"""),"centrs")</f>
        <v>centrs</v>
      </c>
      <c r="C121" s="2" t="str">
        <f>IFERROR(__xludf.DUMMYFUNCTION("""COMPUTED_VALUE"""),"Eksporta 8")</f>
        <v>Eksporta 8</v>
      </c>
      <c r="D121" s="2">
        <f>IFERROR(__xludf.DUMMYFUNCTION("""COMPUTED_VALUE"""),5.0)</f>
        <v>5</v>
      </c>
      <c r="E121" s="2">
        <f>IFERROR(__xludf.DUMMYFUNCTION("""COMPUTED_VALUE"""),150.0)</f>
        <v>150</v>
      </c>
      <c r="F121" s="2">
        <f>IFERROR(__xludf.DUMMYFUNCTION("""COMPUTED_VALUE"""),1.0)</f>
        <v>1</v>
      </c>
      <c r="G121" s="2">
        <f>IFERROR(__xludf.DUMMYFUNCTION("""COMPUTED_VALUE"""),2.0)</f>
        <v>2</v>
      </c>
      <c r="H121" s="2" t="str">
        <f>IFERROR(__xludf.DUMMYFUNCTION("""COMPUTED_VALUE"""),"Jaun.")</f>
        <v>Jaun.</v>
      </c>
      <c r="I121" s="2" t="str">
        <f>IFERROR(__xludf.DUMMYFUNCTION("""COMPUTED_VALUE"""),"Masonry")</f>
        <v>Masonry</v>
      </c>
      <c r="J121" s="2" t="str">
        <f>IFERROR(__xludf.DUMMYFUNCTION("""COMPUTED_VALUE"""),"All amenities")</f>
        <v>All amenities</v>
      </c>
      <c r="K121" s="2">
        <f>IFERROR(__xludf.DUMMYFUNCTION("""COMPUTED_VALUE"""),1700.0)</f>
        <v>1700</v>
      </c>
      <c r="L121" s="2">
        <f>IFERROR(__xludf.DUMMYFUNCTION("""COMPUTED_VALUE"""),56.956763)</f>
        <v>56.956763</v>
      </c>
      <c r="M121" s="2">
        <f>IFERROR(__xludf.DUMMYFUNCTION("""COMPUTED_VALUE"""),24.0954531)</f>
        <v>24.0954531</v>
      </c>
    </row>
    <row r="122">
      <c r="A122" s="2" t="str">
        <f>IFERROR(__xludf.DUMMYFUNCTION("""COMPUTED_VALUE"""),"For rent")</f>
        <v>For rent</v>
      </c>
      <c r="B122" s="2" t="str">
        <f>IFERROR(__xludf.DUMMYFUNCTION("""COMPUTED_VALUE"""),"Vecmīlgrāvis")</f>
        <v>Vecmīlgrāvis</v>
      </c>
      <c r="C122" s="2" t="str">
        <f>IFERROR(__xludf.DUMMYFUNCTION("""COMPUTED_VALUE"""),"Emmas 19")</f>
        <v>Emmas 19</v>
      </c>
      <c r="D122" s="2">
        <f>IFERROR(__xludf.DUMMYFUNCTION("""COMPUTED_VALUE"""),2.0)</f>
        <v>2</v>
      </c>
      <c r="E122" s="2">
        <f>IFERROR(__xludf.DUMMYFUNCTION("""COMPUTED_VALUE"""),48.0)</f>
        <v>48</v>
      </c>
      <c r="F122" s="2">
        <f>IFERROR(__xludf.DUMMYFUNCTION("""COMPUTED_VALUE"""),4.0)</f>
        <v>4</v>
      </c>
      <c r="G122" s="2">
        <f>IFERROR(__xludf.DUMMYFUNCTION("""COMPUTED_VALUE"""),5.0)</f>
        <v>5</v>
      </c>
      <c r="H122" s="2" t="str">
        <f>IFERROR(__xludf.DUMMYFUNCTION("""COMPUTED_VALUE"""),"LT proj.")</f>
        <v>LT proj.</v>
      </c>
      <c r="I122" s="2" t="str">
        <f>IFERROR(__xludf.DUMMYFUNCTION("""COMPUTED_VALUE"""),"Panel")</f>
        <v>Panel</v>
      </c>
      <c r="J122" s="2" t="str">
        <f>IFERROR(__xludf.DUMMYFUNCTION("""COMPUTED_VALUE"""),"All amenities")</f>
        <v>All amenities</v>
      </c>
      <c r="K122" s="2">
        <f>IFERROR(__xludf.DUMMYFUNCTION("""COMPUTED_VALUE"""),220.0)</f>
        <v>220</v>
      </c>
      <c r="L122" s="2">
        <f>IFERROR(__xludf.DUMMYFUNCTION("""COMPUTED_VALUE"""),57.0300401)</f>
        <v>57.0300401</v>
      </c>
      <c r="M122" s="2">
        <f>IFERROR(__xludf.DUMMYFUNCTION("""COMPUTED_VALUE"""),24.1110494445365)</f>
        <v>24.11104944</v>
      </c>
    </row>
    <row r="123">
      <c r="A123" s="2" t="str">
        <f>IFERROR(__xludf.DUMMYFUNCTION("""COMPUTED_VALUE"""),"For rent")</f>
        <v>For rent</v>
      </c>
      <c r="B123" s="2" t="str">
        <f>IFERROR(__xludf.DUMMYFUNCTION("""COMPUTED_VALUE"""),"Grīziņkalns")</f>
        <v>Grīziņkalns</v>
      </c>
      <c r="C123" s="2" t="str">
        <f>IFERROR(__xludf.DUMMYFUNCTION("""COMPUTED_VALUE"""),"Terēzes 2")</f>
        <v>Terēzes 2</v>
      </c>
      <c r="D123" s="2">
        <f>IFERROR(__xludf.DUMMYFUNCTION("""COMPUTED_VALUE"""),1.0)</f>
        <v>1</v>
      </c>
      <c r="E123" s="2">
        <f>IFERROR(__xludf.DUMMYFUNCTION("""COMPUTED_VALUE"""),30.0)</f>
        <v>30</v>
      </c>
      <c r="F123" s="2">
        <f>IFERROR(__xludf.DUMMYFUNCTION("""COMPUTED_VALUE"""),1.0)</f>
        <v>1</v>
      </c>
      <c r="G123" s="2">
        <f>IFERROR(__xludf.DUMMYFUNCTION("""COMPUTED_VALUE"""),3.0)</f>
        <v>3</v>
      </c>
      <c r="H123" s="2" t="str">
        <f>IFERROR(__xludf.DUMMYFUNCTION("""COMPUTED_VALUE"""),"Staļina")</f>
        <v>Staļina</v>
      </c>
      <c r="I123" s="2" t="str">
        <f>IFERROR(__xludf.DUMMYFUNCTION("""COMPUTED_VALUE"""),"Masonry")</f>
        <v>Masonry</v>
      </c>
      <c r="J123" s="2" t="str">
        <f>IFERROR(__xludf.DUMMYFUNCTION("""COMPUTED_VALUE"""),"All amenities")</f>
        <v>All amenities</v>
      </c>
      <c r="K123" s="2">
        <f>IFERROR(__xludf.DUMMYFUNCTION("""COMPUTED_VALUE"""),270.0)</f>
        <v>270</v>
      </c>
      <c r="L123" s="2">
        <f>IFERROR(__xludf.DUMMYFUNCTION("""COMPUTED_VALUE"""),56.9624743)</f>
        <v>56.9624743</v>
      </c>
      <c r="M123" s="2">
        <f>IFERROR(__xludf.DUMMYFUNCTION("""COMPUTED_VALUE"""),24.1492892043)</f>
        <v>24.1492892</v>
      </c>
    </row>
    <row r="124">
      <c r="A124" s="2" t="str">
        <f>IFERROR(__xludf.DUMMYFUNCTION("""COMPUTED_VALUE"""),"For sale")</f>
        <v>For sale</v>
      </c>
      <c r="B124" s="2" t="str">
        <f>IFERROR(__xludf.DUMMYFUNCTION("""COMPUTED_VALUE"""),"Ziepniekkalns")</f>
        <v>Ziepniekkalns</v>
      </c>
      <c r="C124" s="2" t="str">
        <f>IFERROR(__xludf.DUMMYFUNCTION("""COMPUTED_VALUE"""),"Valdeķu 54")</f>
        <v>Valdeķu 54</v>
      </c>
      <c r="D124" s="2">
        <f>IFERROR(__xludf.DUMMYFUNCTION("""COMPUTED_VALUE"""),3.0)</f>
        <v>3</v>
      </c>
      <c r="E124" s="2">
        <f>IFERROR(__xludf.DUMMYFUNCTION("""COMPUTED_VALUE"""),62.0)</f>
        <v>62</v>
      </c>
      <c r="F124" s="2">
        <f>IFERROR(__xludf.DUMMYFUNCTION("""COMPUTED_VALUE"""),8.0)</f>
        <v>8</v>
      </c>
      <c r="G124" s="2">
        <f>IFERROR(__xludf.DUMMYFUNCTION("""COMPUTED_VALUE"""),9.0)</f>
        <v>9</v>
      </c>
      <c r="H124" s="2">
        <f>IFERROR(__xludf.DUMMYFUNCTION("""COMPUTED_VALUE"""),602.0)</f>
        <v>602</v>
      </c>
      <c r="I124" s="2" t="str">
        <f>IFERROR(__xludf.DUMMYFUNCTION("""COMPUTED_VALUE"""),"Panel")</f>
        <v>Panel</v>
      </c>
      <c r="J124" s="2" t="str">
        <f>IFERROR(__xludf.DUMMYFUNCTION("""COMPUTED_VALUE"""),"All amenities")</f>
        <v>All amenities</v>
      </c>
      <c r="K124" s="2">
        <f>IFERROR(__xludf.DUMMYFUNCTION("""COMPUTED_VALUE"""),75000.0)</f>
        <v>75000</v>
      </c>
      <c r="L124" s="2">
        <f>IFERROR(__xludf.DUMMYFUNCTION("""COMPUTED_VALUE"""),56.9094064)</f>
        <v>56.9094064</v>
      </c>
      <c r="M124" s="2">
        <f>IFERROR(__xludf.DUMMYFUNCTION("""COMPUTED_VALUE"""),24.0954157)</f>
        <v>24.0954157</v>
      </c>
    </row>
    <row r="125">
      <c r="A125" s="2" t="str">
        <f>IFERROR(__xludf.DUMMYFUNCTION("""COMPUTED_VALUE"""),"For sale")</f>
        <v>For sale</v>
      </c>
      <c r="B125" s="2" t="str">
        <f>IFERROR(__xludf.DUMMYFUNCTION("""COMPUTED_VALUE"""),"Pļavnieki")</f>
        <v>Pļavnieki</v>
      </c>
      <c r="C125" s="2" t="str">
        <f>IFERROR(__xludf.DUMMYFUNCTION("""COMPUTED_VALUE"""),"Dravnieku 13")</f>
        <v>Dravnieku 13</v>
      </c>
      <c r="D125" s="2">
        <f>IFERROR(__xludf.DUMMYFUNCTION("""COMPUTED_VALUE"""),3.0)</f>
        <v>3</v>
      </c>
      <c r="E125" s="2">
        <f>IFERROR(__xludf.DUMMYFUNCTION("""COMPUTED_VALUE"""),64.0)</f>
        <v>64</v>
      </c>
      <c r="F125" s="2">
        <f>IFERROR(__xludf.DUMMYFUNCTION("""COMPUTED_VALUE"""),7.0)</f>
        <v>7</v>
      </c>
      <c r="G125" s="2">
        <f>IFERROR(__xludf.DUMMYFUNCTION("""COMPUTED_VALUE"""),9.0)</f>
        <v>9</v>
      </c>
      <c r="H125" s="2">
        <f>IFERROR(__xludf.DUMMYFUNCTION("""COMPUTED_VALUE"""),602.0)</f>
        <v>602</v>
      </c>
      <c r="I125" s="2" t="str">
        <f>IFERROR(__xludf.DUMMYFUNCTION("""COMPUTED_VALUE"""),"Panel")</f>
        <v>Panel</v>
      </c>
      <c r="J125" s="2" t="str">
        <f>IFERROR(__xludf.DUMMYFUNCTION("""COMPUTED_VALUE"""),"All amenities")</f>
        <v>All amenities</v>
      </c>
      <c r="K125" s="2">
        <f>IFERROR(__xludf.DUMMYFUNCTION("""COMPUTED_VALUE"""),59000.0)</f>
        <v>59000</v>
      </c>
      <c r="L125" s="2">
        <f>IFERROR(__xludf.DUMMYFUNCTION("""COMPUTED_VALUE"""),56.94404435)</f>
        <v>56.94404435</v>
      </c>
      <c r="M125" s="2">
        <f>IFERROR(__xludf.DUMMYFUNCTION("""COMPUTED_VALUE"""),24.21522315)</f>
        <v>24.21522315</v>
      </c>
    </row>
    <row r="126">
      <c r="A126" s="2" t="str">
        <f>IFERROR(__xludf.DUMMYFUNCTION("""COMPUTED_VALUE"""),"For sale")</f>
        <v>For sale</v>
      </c>
      <c r="B126" s="2" t="str">
        <f>IFERROR(__xludf.DUMMYFUNCTION("""COMPUTED_VALUE"""),"Ķengarags")</f>
        <v>Ķengarags</v>
      </c>
      <c r="C126" s="2" t="str">
        <f>IFERROR(__xludf.DUMMYFUNCTION("""COMPUTED_VALUE"""),"Maskavas 260")</f>
        <v>Maskavas 260</v>
      </c>
      <c r="D126" s="2">
        <f>IFERROR(__xludf.DUMMYFUNCTION("""COMPUTED_VALUE"""),2.0)</f>
        <v>2</v>
      </c>
      <c r="E126" s="2">
        <f>IFERROR(__xludf.DUMMYFUNCTION("""COMPUTED_VALUE"""),47.0)</f>
        <v>47</v>
      </c>
      <c r="F126" s="2">
        <f>IFERROR(__xludf.DUMMYFUNCTION("""COMPUTED_VALUE"""),4.0)</f>
        <v>4</v>
      </c>
      <c r="G126" s="2">
        <f>IFERROR(__xludf.DUMMYFUNCTION("""COMPUTED_VALUE"""),5.0)</f>
        <v>5</v>
      </c>
      <c r="H126" s="2" t="str">
        <f>IFERROR(__xludf.DUMMYFUNCTION("""COMPUTED_VALUE"""),"LT proj.")</f>
        <v>LT proj.</v>
      </c>
      <c r="I126" s="2" t="str">
        <f>IFERROR(__xludf.DUMMYFUNCTION("""COMPUTED_VALUE"""),"Panel")</f>
        <v>Panel</v>
      </c>
      <c r="J126" s="2" t="str">
        <f>IFERROR(__xludf.DUMMYFUNCTION("""COMPUTED_VALUE"""),"All amenities")</f>
        <v>All amenities</v>
      </c>
      <c r="K126" s="2">
        <f>IFERROR(__xludf.DUMMYFUNCTION("""COMPUTED_VALUE"""),41000.0)</f>
        <v>41000</v>
      </c>
      <c r="L126" s="2">
        <f>IFERROR(__xludf.DUMMYFUNCTION("""COMPUTED_VALUE"""),56.8597884)</f>
        <v>56.8597884</v>
      </c>
      <c r="M126" s="2">
        <f>IFERROR(__xludf.DUMMYFUNCTION("""COMPUTED_VALUE"""),24.3083417)</f>
        <v>24.3083417</v>
      </c>
    </row>
    <row r="127">
      <c r="A127" s="2" t="str">
        <f>IFERROR(__xludf.DUMMYFUNCTION("""COMPUTED_VALUE"""),"For rent")</f>
        <v>For rent</v>
      </c>
      <c r="B127" s="2" t="str">
        <f>IFERROR(__xludf.DUMMYFUNCTION("""COMPUTED_VALUE"""),"Daugavgrīva")</f>
        <v>Daugavgrīva</v>
      </c>
      <c r="C127" s="2" t="str">
        <f>IFERROR(__xludf.DUMMYFUNCTION("""COMPUTED_VALUE"""),"Zvīņu 6")</f>
        <v>Zvīņu 6</v>
      </c>
      <c r="D127" s="2">
        <f>IFERROR(__xludf.DUMMYFUNCTION("""COMPUTED_VALUE"""),1.0)</f>
        <v>1</v>
      </c>
      <c r="E127" s="2">
        <f>IFERROR(__xludf.DUMMYFUNCTION("""COMPUTED_VALUE"""),28.0)</f>
        <v>28</v>
      </c>
      <c r="F127" s="2">
        <f>IFERROR(__xludf.DUMMYFUNCTION("""COMPUTED_VALUE"""),3.0)</f>
        <v>3</v>
      </c>
      <c r="G127" s="2">
        <f>IFERROR(__xludf.DUMMYFUNCTION("""COMPUTED_VALUE"""),5.0)</f>
        <v>5</v>
      </c>
      <c r="H127" s="2" t="str">
        <f>IFERROR(__xludf.DUMMYFUNCTION("""COMPUTED_VALUE"""),"LT proj.")</f>
        <v>LT proj.</v>
      </c>
      <c r="I127" s="2" t="str">
        <f>IFERROR(__xludf.DUMMYFUNCTION("""COMPUTED_VALUE"""),"Brick")</f>
        <v>Brick</v>
      </c>
      <c r="J127" s="2" t="str">
        <f>IFERROR(__xludf.DUMMYFUNCTION("""COMPUTED_VALUE"""),"All amenities")</f>
        <v>All amenities</v>
      </c>
      <c r="K127" s="2">
        <f>IFERROR(__xludf.DUMMYFUNCTION("""COMPUTED_VALUE"""),220.0)</f>
        <v>220</v>
      </c>
      <c r="L127" s="2">
        <f>IFERROR(__xludf.DUMMYFUNCTION("""COMPUTED_VALUE"""),57.0374654)</f>
        <v>57.0374654</v>
      </c>
      <c r="M127" s="2">
        <f>IFERROR(__xludf.DUMMYFUNCTION("""COMPUTED_VALUE"""),24.0247952)</f>
        <v>24.0247952</v>
      </c>
    </row>
    <row r="128">
      <c r="A128" s="2" t="str">
        <f>IFERROR(__xludf.DUMMYFUNCTION("""COMPUTED_VALUE"""),"For sale")</f>
        <v>For sale</v>
      </c>
      <c r="B128" s="2" t="str">
        <f>IFERROR(__xludf.DUMMYFUNCTION("""COMPUTED_VALUE"""),"centrs")</f>
        <v>centrs</v>
      </c>
      <c r="C128" s="2" t="str">
        <f>IFERROR(__xludf.DUMMYFUNCTION("""COMPUTED_VALUE"""),"Valdemāra 89")</f>
        <v>Valdemāra 89</v>
      </c>
      <c r="D128" s="2">
        <f>IFERROR(__xludf.DUMMYFUNCTION("""COMPUTED_VALUE"""),3.0)</f>
        <v>3</v>
      </c>
      <c r="E128" s="2">
        <f>IFERROR(__xludf.DUMMYFUNCTION("""COMPUTED_VALUE"""),104.0)</f>
        <v>104</v>
      </c>
      <c r="F128" s="2">
        <f>IFERROR(__xludf.DUMMYFUNCTION("""COMPUTED_VALUE"""),5.0)</f>
        <v>5</v>
      </c>
      <c r="G128" s="2">
        <f>IFERROR(__xludf.DUMMYFUNCTION("""COMPUTED_VALUE"""),5.0)</f>
        <v>5</v>
      </c>
      <c r="H128" s="2" t="str">
        <f>IFERROR(__xludf.DUMMYFUNCTION("""COMPUTED_VALUE"""),"P. kara")</f>
        <v>P. kara</v>
      </c>
      <c r="I128" s="2" t="str">
        <f>IFERROR(__xludf.DUMMYFUNCTION("""COMPUTED_VALUE"""),"Masonry")</f>
        <v>Masonry</v>
      </c>
      <c r="J128" s="2" t="str">
        <f>IFERROR(__xludf.DUMMYFUNCTION("""COMPUTED_VALUE"""),"All amenities")</f>
        <v>All amenities</v>
      </c>
      <c r="K128" s="2">
        <f>IFERROR(__xludf.DUMMYFUNCTION("""COMPUTED_VALUE"""),130000.0)</f>
        <v>130000</v>
      </c>
      <c r="L128" s="2">
        <f>IFERROR(__xludf.DUMMYFUNCTION("""COMPUTED_VALUE"""),56.96383885)</f>
        <v>56.96383885</v>
      </c>
      <c r="M128" s="2">
        <f>IFERROR(__xludf.DUMMYFUNCTION("""COMPUTED_VALUE"""),24.1258646679154)</f>
        <v>24.12586467</v>
      </c>
    </row>
    <row r="129">
      <c r="A129" s="2" t="str">
        <f>IFERROR(__xludf.DUMMYFUNCTION("""COMPUTED_VALUE"""),"For sale")</f>
        <v>For sale</v>
      </c>
      <c r="B129" s="2" t="str">
        <f>IFERROR(__xludf.DUMMYFUNCTION("""COMPUTED_VALUE"""),"Sarkandaugava")</f>
        <v>Sarkandaugava</v>
      </c>
      <c r="C129" s="2" t="str">
        <f>IFERROR(__xludf.DUMMYFUNCTION("""COMPUTED_VALUE"""),"Limbažu 4/1")</f>
        <v>Limbažu 4/1</v>
      </c>
      <c r="D129" s="2">
        <f>IFERROR(__xludf.DUMMYFUNCTION("""COMPUTED_VALUE"""),2.0)</f>
        <v>2</v>
      </c>
      <c r="E129" s="2">
        <f>IFERROR(__xludf.DUMMYFUNCTION("""COMPUTED_VALUE"""),45.6)</f>
        <v>45.6</v>
      </c>
      <c r="F129" s="2">
        <f>IFERROR(__xludf.DUMMYFUNCTION("""COMPUTED_VALUE"""),5.0)</f>
        <v>5</v>
      </c>
      <c r="G129" s="2">
        <f>IFERROR(__xludf.DUMMYFUNCTION("""COMPUTED_VALUE"""),5.0)</f>
        <v>5</v>
      </c>
      <c r="H129" s="2" t="str">
        <f>IFERROR(__xludf.DUMMYFUNCTION("""COMPUTED_VALUE"""),"Hrušč.")</f>
        <v>Hrušč.</v>
      </c>
      <c r="I129" s="2" t="str">
        <f>IFERROR(__xludf.DUMMYFUNCTION("""COMPUTED_VALUE"""),"Panel")</f>
        <v>Panel</v>
      </c>
      <c r="J129" s="2" t="str">
        <f>IFERROR(__xludf.DUMMYFUNCTION("""COMPUTED_VALUE"""),"All amenities")</f>
        <v>All amenities</v>
      </c>
      <c r="K129" s="2">
        <f>IFERROR(__xludf.DUMMYFUNCTION("""COMPUTED_VALUE"""),51500.0)</f>
        <v>51500</v>
      </c>
      <c r="L129" s="2">
        <f>IFERROR(__xludf.DUMMYFUNCTION("""COMPUTED_VALUE"""),57.0004355)</f>
        <v>57.0004355</v>
      </c>
      <c r="M129" s="2">
        <f>IFERROR(__xludf.DUMMYFUNCTION("""COMPUTED_VALUE"""),24.1207347)</f>
        <v>24.1207347</v>
      </c>
    </row>
    <row r="130">
      <c r="A130" s="2" t="str">
        <f>IFERROR(__xludf.DUMMYFUNCTION("""COMPUTED_VALUE"""),"For sale")</f>
        <v>For sale</v>
      </c>
      <c r="B130" s="2" t="str">
        <f>IFERROR(__xludf.DUMMYFUNCTION("""COMPUTED_VALUE"""),"Imanta")</f>
        <v>Imanta</v>
      </c>
      <c r="C130" s="2" t="str">
        <f>IFERROR(__xludf.DUMMYFUNCTION("""COMPUTED_VALUE"""),"Dumbrāja 18")</f>
        <v>Dumbrāja 18</v>
      </c>
      <c r="D130" s="2">
        <f>IFERROR(__xludf.DUMMYFUNCTION("""COMPUTED_VALUE"""),3.0)</f>
        <v>3</v>
      </c>
      <c r="E130" s="2">
        <f>IFERROR(__xludf.DUMMYFUNCTION("""COMPUTED_VALUE"""),68.0)</f>
        <v>68</v>
      </c>
      <c r="F130" s="2">
        <f>IFERROR(__xludf.DUMMYFUNCTION("""COMPUTED_VALUE"""),3.0)</f>
        <v>3</v>
      </c>
      <c r="G130" s="2">
        <f>IFERROR(__xludf.DUMMYFUNCTION("""COMPUTED_VALUE"""),4.0)</f>
        <v>4</v>
      </c>
      <c r="H130" s="2" t="str">
        <f>IFERROR(__xludf.DUMMYFUNCTION("""COMPUTED_VALUE"""),"Jaun.")</f>
        <v>Jaun.</v>
      </c>
      <c r="I130" s="2" t="str">
        <f>IFERROR(__xludf.DUMMYFUNCTION("""COMPUTED_VALUE"""),"Panel")</f>
        <v>Panel</v>
      </c>
      <c r="J130" s="2" t="str">
        <f>IFERROR(__xludf.DUMMYFUNCTION("""COMPUTED_VALUE"""),"All amenities")</f>
        <v>All amenities</v>
      </c>
      <c r="K130" s="2">
        <f>IFERROR(__xludf.DUMMYFUNCTION("""COMPUTED_VALUE"""),110000.0)</f>
        <v>110000</v>
      </c>
      <c r="L130" s="2">
        <f>IFERROR(__xludf.DUMMYFUNCTION("""COMPUTED_VALUE"""),56.95698695)</f>
        <v>56.95698695</v>
      </c>
      <c r="M130" s="2">
        <f>IFERROR(__xludf.DUMMYFUNCTION("""COMPUTED_VALUE"""),24.0186127580713)</f>
        <v>24.01861276</v>
      </c>
    </row>
    <row r="131">
      <c r="A131" s="2" t="str">
        <f>IFERROR(__xludf.DUMMYFUNCTION("""COMPUTED_VALUE"""),"For rent")</f>
        <v>For rent</v>
      </c>
      <c r="B131" s="2" t="str">
        <f>IFERROR(__xludf.DUMMYFUNCTION("""COMPUTED_VALUE"""),"Purvciems")</f>
        <v>Purvciems</v>
      </c>
      <c r="C131" s="2" t="str">
        <f>IFERROR(__xludf.DUMMYFUNCTION("""COMPUTED_VALUE"""),"Vējavas 12")</f>
        <v>Vējavas 12</v>
      </c>
      <c r="D131" s="2">
        <f>IFERROR(__xludf.DUMMYFUNCTION("""COMPUTED_VALUE"""),1.0)</f>
        <v>1</v>
      </c>
      <c r="E131" s="2">
        <f>IFERROR(__xludf.DUMMYFUNCTION("""COMPUTED_VALUE"""),39.0)</f>
        <v>39</v>
      </c>
      <c r="F131" s="2">
        <f>IFERROR(__xludf.DUMMYFUNCTION("""COMPUTED_VALUE"""),4.0)</f>
        <v>4</v>
      </c>
      <c r="G131" s="2">
        <f>IFERROR(__xludf.DUMMYFUNCTION("""COMPUTED_VALUE"""),5.0)</f>
        <v>5</v>
      </c>
      <c r="H131" s="2" t="str">
        <f>IFERROR(__xludf.DUMMYFUNCTION("""COMPUTED_VALUE"""),"M. ģim.")</f>
        <v>M. ģim.</v>
      </c>
      <c r="I131" s="2" t="str">
        <f>IFERROR(__xludf.DUMMYFUNCTION("""COMPUTED_VALUE"""),"Brick-Panel")</f>
        <v>Brick-Panel</v>
      </c>
      <c r="J131" s="2" t="str">
        <f>IFERROR(__xludf.DUMMYFUNCTION("""COMPUTED_VALUE"""),"All amenities")</f>
        <v>All amenities</v>
      </c>
      <c r="K131" s="2">
        <f>IFERROR(__xludf.DUMMYFUNCTION("""COMPUTED_VALUE"""),230.0)</f>
        <v>230</v>
      </c>
      <c r="L131" s="2">
        <f>IFERROR(__xludf.DUMMYFUNCTION("""COMPUTED_VALUE"""),56.95697915)</f>
        <v>56.95697915</v>
      </c>
      <c r="M131" s="2">
        <f>IFERROR(__xludf.DUMMYFUNCTION("""COMPUTED_VALUE"""),24.1694646616754)</f>
        <v>24.16946466</v>
      </c>
    </row>
    <row r="132">
      <c r="A132" s="2" t="str">
        <f>IFERROR(__xludf.DUMMYFUNCTION("""COMPUTED_VALUE"""),"For sale")</f>
        <v>For sale</v>
      </c>
      <c r="B132" s="2" t="str">
        <f>IFERROR(__xludf.DUMMYFUNCTION("""COMPUTED_VALUE"""),"centrs")</f>
        <v>centrs</v>
      </c>
      <c r="C132" s="2" t="str">
        <f>IFERROR(__xludf.DUMMYFUNCTION("""COMPUTED_VALUE"""),"Čaka 33")</f>
        <v>Čaka 33</v>
      </c>
      <c r="D132" s="2">
        <f>IFERROR(__xludf.DUMMYFUNCTION("""COMPUTED_VALUE"""),2.0)</f>
        <v>2</v>
      </c>
      <c r="E132" s="2">
        <f>IFERROR(__xludf.DUMMYFUNCTION("""COMPUTED_VALUE"""),47.0)</f>
        <v>47</v>
      </c>
      <c r="F132" s="2">
        <f>IFERROR(__xludf.DUMMYFUNCTION("""COMPUTED_VALUE"""),6.0)</f>
        <v>6</v>
      </c>
      <c r="G132" s="2">
        <f>IFERROR(__xludf.DUMMYFUNCTION("""COMPUTED_VALUE"""),7.0)</f>
        <v>7</v>
      </c>
      <c r="H132" s="2" t="str">
        <f>IFERROR(__xludf.DUMMYFUNCTION("""COMPUTED_VALUE"""),"Renov.")</f>
        <v>Renov.</v>
      </c>
      <c r="I132" s="2" t="str">
        <f>IFERROR(__xludf.DUMMYFUNCTION("""COMPUTED_VALUE"""),"Masonry")</f>
        <v>Masonry</v>
      </c>
      <c r="J132" s="2" t="str">
        <f>IFERROR(__xludf.DUMMYFUNCTION("""COMPUTED_VALUE"""),"All amenities")</f>
        <v>All amenities</v>
      </c>
      <c r="K132" s="2">
        <f>IFERROR(__xludf.DUMMYFUNCTION("""COMPUTED_VALUE"""),95000.0)</f>
        <v>95000</v>
      </c>
      <c r="L132" s="2">
        <f>IFERROR(__xludf.DUMMYFUNCTION("""COMPUTED_VALUE"""),56.9521436)</f>
        <v>56.9521436</v>
      </c>
      <c r="M132" s="2">
        <f>IFERROR(__xludf.DUMMYFUNCTION("""COMPUTED_VALUE"""),24.1276865)</f>
        <v>24.1276865</v>
      </c>
    </row>
    <row r="133">
      <c r="A133" s="2" t="str">
        <f>IFERROR(__xludf.DUMMYFUNCTION("""COMPUTED_VALUE"""),"For sale")</f>
        <v>For sale</v>
      </c>
      <c r="B133" s="2" t="str">
        <f>IFERROR(__xludf.DUMMYFUNCTION("""COMPUTED_VALUE"""),"Purvciems")</f>
        <v>Purvciems</v>
      </c>
      <c r="C133" s="2" t="str">
        <f>IFERROR(__xludf.DUMMYFUNCTION("""COMPUTED_VALUE"""),"Purvciema 26")</f>
        <v>Purvciema 26</v>
      </c>
      <c r="D133" s="2">
        <f>IFERROR(__xludf.DUMMYFUNCTION("""COMPUTED_VALUE"""),3.0)</f>
        <v>3</v>
      </c>
      <c r="E133" s="2">
        <f>IFERROR(__xludf.DUMMYFUNCTION("""COMPUTED_VALUE"""),79.0)</f>
        <v>79</v>
      </c>
      <c r="F133" s="2">
        <f>IFERROR(__xludf.DUMMYFUNCTION("""COMPUTED_VALUE"""),9.0)</f>
        <v>9</v>
      </c>
      <c r="G133" s="2">
        <f>IFERROR(__xludf.DUMMYFUNCTION("""COMPUTED_VALUE"""),9.0)</f>
        <v>9</v>
      </c>
      <c r="H133" s="2">
        <f>IFERROR(__xludf.DUMMYFUNCTION("""COMPUTED_VALUE"""),119.0)</f>
        <v>119</v>
      </c>
      <c r="I133" s="2" t="str">
        <f>IFERROR(__xludf.DUMMYFUNCTION("""COMPUTED_VALUE"""),"Panel")</f>
        <v>Panel</v>
      </c>
      <c r="J133" s="2" t="str">
        <f>IFERROR(__xludf.DUMMYFUNCTION("""COMPUTED_VALUE"""),"All amenities")</f>
        <v>All amenities</v>
      </c>
      <c r="K133" s="2">
        <f>IFERROR(__xludf.DUMMYFUNCTION("""COMPUTED_VALUE"""),71000.0)</f>
        <v>71000</v>
      </c>
      <c r="L133" s="2">
        <f>IFERROR(__xludf.DUMMYFUNCTION("""COMPUTED_VALUE"""),56.95343085)</f>
        <v>56.95343085</v>
      </c>
      <c r="M133" s="2">
        <f>IFERROR(__xludf.DUMMYFUNCTION("""COMPUTED_VALUE"""),24.1734659)</f>
        <v>24.1734659</v>
      </c>
    </row>
    <row r="134">
      <c r="A134" s="2" t="str">
        <f>IFERROR(__xludf.DUMMYFUNCTION("""COMPUTED_VALUE"""),"For rent")</f>
        <v>For rent</v>
      </c>
      <c r="B134" s="2" t="str">
        <f>IFERROR(__xludf.DUMMYFUNCTION("""COMPUTED_VALUE"""),"Ziepniekkalns")</f>
        <v>Ziepniekkalns</v>
      </c>
      <c r="C134" s="2" t="str">
        <f>IFERROR(__xludf.DUMMYFUNCTION("""COMPUTED_VALUE"""),"Ozolciema 32")</f>
        <v>Ozolciema 32</v>
      </c>
      <c r="D134" s="2">
        <f>IFERROR(__xludf.DUMMYFUNCTION("""COMPUTED_VALUE"""),2.0)</f>
        <v>2</v>
      </c>
      <c r="E134" s="2">
        <f>IFERROR(__xludf.DUMMYFUNCTION("""COMPUTED_VALUE"""),50.0)</f>
        <v>50</v>
      </c>
      <c r="F134" s="2">
        <f>IFERROR(__xludf.DUMMYFUNCTION("""COMPUTED_VALUE"""),8.0)</f>
        <v>8</v>
      </c>
      <c r="G134" s="2">
        <f>IFERROR(__xludf.DUMMYFUNCTION("""COMPUTED_VALUE"""),9.0)</f>
        <v>9</v>
      </c>
      <c r="H134" s="2">
        <f>IFERROR(__xludf.DUMMYFUNCTION("""COMPUTED_VALUE"""),602.0)</f>
        <v>602</v>
      </c>
      <c r="I134" s="2" t="str">
        <f>IFERROR(__xludf.DUMMYFUNCTION("""COMPUTED_VALUE"""),"Panel")</f>
        <v>Panel</v>
      </c>
      <c r="J134" s="2" t="str">
        <f>IFERROR(__xludf.DUMMYFUNCTION("""COMPUTED_VALUE"""),"All amenities")</f>
        <v>All amenities</v>
      </c>
      <c r="K134" s="2">
        <f>IFERROR(__xludf.DUMMYFUNCTION("""COMPUTED_VALUE"""),270.0)</f>
        <v>270</v>
      </c>
      <c r="L134" s="2">
        <f>IFERROR(__xludf.DUMMYFUNCTION("""COMPUTED_VALUE"""),56.89979805)</f>
        <v>56.89979805</v>
      </c>
      <c r="M134" s="2">
        <f>IFERROR(__xludf.DUMMYFUNCTION("""COMPUTED_VALUE"""),24.09835015)</f>
        <v>24.09835015</v>
      </c>
    </row>
    <row r="135">
      <c r="A135" s="2" t="str">
        <f>IFERROR(__xludf.DUMMYFUNCTION("""COMPUTED_VALUE"""),"For sale")</f>
        <v>For sale</v>
      </c>
      <c r="B135" s="2" t="str">
        <f>IFERROR(__xludf.DUMMYFUNCTION("""COMPUTED_VALUE"""),"Teika")</f>
        <v>Teika</v>
      </c>
      <c r="C135" s="2" t="str">
        <f>IFERROR(__xludf.DUMMYFUNCTION("""COMPUTED_VALUE"""),"Vidrižu 4")</f>
        <v>Vidrižu 4</v>
      </c>
      <c r="D135" s="2">
        <f>IFERROR(__xludf.DUMMYFUNCTION("""COMPUTED_VALUE"""),4.0)</f>
        <v>4</v>
      </c>
      <c r="E135" s="2">
        <f>IFERROR(__xludf.DUMMYFUNCTION("""COMPUTED_VALUE"""),95.0)</f>
        <v>95</v>
      </c>
      <c r="F135" s="2">
        <f>IFERROR(__xludf.DUMMYFUNCTION("""COMPUTED_VALUE"""),1.0)</f>
        <v>1</v>
      </c>
      <c r="G135" s="2">
        <f>IFERROR(__xludf.DUMMYFUNCTION("""COMPUTED_VALUE"""),9.0)</f>
        <v>9</v>
      </c>
      <c r="H135" s="2" t="str">
        <f>IFERROR(__xludf.DUMMYFUNCTION("""COMPUTED_VALUE"""),"Specpr.")</f>
        <v>Specpr.</v>
      </c>
      <c r="I135" s="2" t="str">
        <f>IFERROR(__xludf.DUMMYFUNCTION("""COMPUTED_VALUE"""),"Brick-Panel")</f>
        <v>Brick-Panel</v>
      </c>
      <c r="J135" s="2" t="str">
        <f>IFERROR(__xludf.DUMMYFUNCTION("""COMPUTED_VALUE"""),"All amenities")</f>
        <v>All amenities</v>
      </c>
      <c r="K135" s="2">
        <f>IFERROR(__xludf.DUMMYFUNCTION("""COMPUTED_VALUE"""),85000.0)</f>
        <v>85000</v>
      </c>
      <c r="L135" s="2">
        <f>IFERROR(__xludf.DUMMYFUNCTION("""COMPUTED_VALUE"""),56.9788671)</f>
        <v>56.9788671</v>
      </c>
      <c r="M135" s="2">
        <f>IFERROR(__xludf.DUMMYFUNCTION("""COMPUTED_VALUE"""),24.1774824079002)</f>
        <v>24.17748241</v>
      </c>
    </row>
    <row r="136">
      <c r="A136" s="2" t="str">
        <f>IFERROR(__xludf.DUMMYFUNCTION("""COMPUTED_VALUE"""),"For rent")</f>
        <v>For rent</v>
      </c>
      <c r="B136" s="2" t="str">
        <f>IFERROR(__xludf.DUMMYFUNCTION("""COMPUTED_VALUE"""),"Ziepniekkalns")</f>
        <v>Ziepniekkalns</v>
      </c>
      <c r="C136" s="2" t="str">
        <f>IFERROR(__xludf.DUMMYFUNCTION("""COMPUTED_VALUE"""),"Vadakstes 1")</f>
        <v>Vadakstes 1</v>
      </c>
      <c r="D136" s="2">
        <f>IFERROR(__xludf.DUMMYFUNCTION("""COMPUTED_VALUE"""),2.0)</f>
        <v>2</v>
      </c>
      <c r="E136" s="2">
        <f>IFERROR(__xludf.DUMMYFUNCTION("""COMPUTED_VALUE"""),47.0)</f>
        <v>47</v>
      </c>
      <c r="F136" s="2">
        <f>IFERROR(__xludf.DUMMYFUNCTION("""COMPUTED_VALUE"""),1.0)</f>
        <v>1</v>
      </c>
      <c r="G136" s="2">
        <f>IFERROR(__xludf.DUMMYFUNCTION("""COMPUTED_VALUE"""),1.0)</f>
        <v>1</v>
      </c>
      <c r="H136" s="2" t="str">
        <f>IFERROR(__xludf.DUMMYFUNCTION("""COMPUTED_VALUE"""),"Priv. m.")</f>
        <v>Priv. m.</v>
      </c>
      <c r="I136" s="2" t="str">
        <f>IFERROR(__xludf.DUMMYFUNCTION("""COMPUTED_VALUE"""),"Masonry")</f>
        <v>Masonry</v>
      </c>
      <c r="J136" s="2" t="str">
        <f>IFERROR(__xludf.DUMMYFUNCTION("""COMPUTED_VALUE"""),"All amenities")</f>
        <v>All amenities</v>
      </c>
      <c r="K136" s="2">
        <f>IFERROR(__xludf.DUMMYFUNCTION("""COMPUTED_VALUE"""),450.0)</f>
        <v>450</v>
      </c>
      <c r="L136" s="2">
        <f>IFERROR(__xludf.DUMMYFUNCTION("""COMPUTED_VALUE"""),56.9135113)</f>
        <v>56.9135113</v>
      </c>
      <c r="M136" s="2">
        <f>IFERROR(__xludf.DUMMYFUNCTION("""COMPUTED_VALUE"""),24.094025)</f>
        <v>24.094025</v>
      </c>
    </row>
    <row r="137">
      <c r="A137" s="2" t="str">
        <f>IFERROR(__xludf.DUMMYFUNCTION("""COMPUTED_VALUE"""),"For sale")</f>
        <v>For sale</v>
      </c>
      <c r="B137" s="2" t="str">
        <f>IFERROR(__xludf.DUMMYFUNCTION("""COMPUTED_VALUE"""),"Dzegužkalns")</f>
        <v>Dzegužkalns</v>
      </c>
      <c r="C137" s="2" t="str">
        <f>IFERROR(__xludf.DUMMYFUNCTION("""COMPUTED_VALUE"""),"Jaunsaules 18")</f>
        <v>Jaunsaules 18</v>
      </c>
      <c r="D137" s="2">
        <f>IFERROR(__xludf.DUMMYFUNCTION("""COMPUTED_VALUE"""),2.0)</f>
        <v>2</v>
      </c>
      <c r="E137" s="2">
        <f>IFERROR(__xludf.DUMMYFUNCTION("""COMPUTED_VALUE"""),48.0)</f>
        <v>48</v>
      </c>
      <c r="F137" s="2">
        <f>IFERROR(__xludf.DUMMYFUNCTION("""COMPUTED_VALUE"""),2.0)</f>
        <v>2</v>
      </c>
      <c r="G137" s="2">
        <f>IFERROR(__xludf.DUMMYFUNCTION("""COMPUTED_VALUE"""),5.0)</f>
        <v>5</v>
      </c>
      <c r="H137" s="2" t="str">
        <f>IFERROR(__xludf.DUMMYFUNCTION("""COMPUTED_VALUE"""),"LT proj.")</f>
        <v>LT proj.</v>
      </c>
      <c r="I137" s="2" t="str">
        <f>IFERROR(__xludf.DUMMYFUNCTION("""COMPUTED_VALUE"""),"Panel")</f>
        <v>Panel</v>
      </c>
      <c r="J137" s="2" t="str">
        <f>IFERROR(__xludf.DUMMYFUNCTION("""COMPUTED_VALUE"""),"All amenities")</f>
        <v>All amenities</v>
      </c>
      <c r="K137" s="2">
        <f>IFERROR(__xludf.DUMMYFUNCTION("""COMPUTED_VALUE"""),42000.0)</f>
        <v>42000</v>
      </c>
      <c r="L137" s="2">
        <f>IFERROR(__xludf.DUMMYFUNCTION("""COMPUTED_VALUE"""),56.9547666499999)</f>
        <v>56.95476665</v>
      </c>
      <c r="M137" s="2">
        <f>IFERROR(__xludf.DUMMYFUNCTION("""COMPUTED_VALUE"""),24.0479287499999)</f>
        <v>24.04792875</v>
      </c>
    </row>
    <row r="138">
      <c r="A138" s="2" t="str">
        <f>IFERROR(__xludf.DUMMYFUNCTION("""COMPUTED_VALUE"""),"For rent")</f>
        <v>For rent</v>
      </c>
      <c r="B138" s="2" t="str">
        <f>IFERROR(__xludf.DUMMYFUNCTION("""COMPUTED_VALUE"""),"Pļavnieki")</f>
        <v>Pļavnieki</v>
      </c>
      <c r="C138" s="2" t="str">
        <f>IFERROR(__xludf.DUMMYFUNCTION("""COMPUTED_VALUE"""),"Ilūkstes 39")</f>
        <v>Ilūkstes 39</v>
      </c>
      <c r="D138" s="2">
        <f>IFERROR(__xludf.DUMMYFUNCTION("""COMPUTED_VALUE"""),1.0)</f>
        <v>1</v>
      </c>
      <c r="E138" s="2">
        <f>IFERROR(__xludf.DUMMYFUNCTION("""COMPUTED_VALUE"""),40.0)</f>
        <v>40</v>
      </c>
      <c r="F138" s="2">
        <f>IFERROR(__xludf.DUMMYFUNCTION("""COMPUTED_VALUE"""),3.0)</f>
        <v>3</v>
      </c>
      <c r="G138" s="2">
        <f>IFERROR(__xludf.DUMMYFUNCTION("""COMPUTED_VALUE"""),5.0)</f>
        <v>5</v>
      </c>
      <c r="H138" s="2" t="str">
        <f>IFERROR(__xludf.DUMMYFUNCTION("""COMPUTED_VALUE"""),"Specpr.")</f>
        <v>Specpr.</v>
      </c>
      <c r="I138" s="2" t="str">
        <f>IFERROR(__xludf.DUMMYFUNCTION("""COMPUTED_VALUE"""),"Brick-Panel")</f>
        <v>Brick-Panel</v>
      </c>
      <c r="J138" s="2" t="str">
        <f>IFERROR(__xludf.DUMMYFUNCTION("""COMPUTED_VALUE"""),"All amenities")</f>
        <v>All amenities</v>
      </c>
      <c r="K138" s="2">
        <f>IFERROR(__xludf.DUMMYFUNCTION("""COMPUTED_VALUE"""),300.0)</f>
        <v>300</v>
      </c>
      <c r="L138" s="2">
        <f>IFERROR(__xludf.DUMMYFUNCTION("""COMPUTED_VALUE"""),56.93801605)</f>
        <v>56.93801605</v>
      </c>
      <c r="M138" s="2">
        <f>IFERROR(__xludf.DUMMYFUNCTION("""COMPUTED_VALUE"""),24.1944185410887)</f>
        <v>24.19441854</v>
      </c>
    </row>
    <row r="139">
      <c r="A139" s="2" t="str">
        <f>IFERROR(__xludf.DUMMYFUNCTION("""COMPUTED_VALUE"""),"For rent")</f>
        <v>For rent</v>
      </c>
      <c r="B139" s="2" t="str">
        <f>IFERROR(__xludf.DUMMYFUNCTION("""COMPUTED_VALUE"""),"centrs")</f>
        <v>centrs</v>
      </c>
      <c r="C139" s="2" t="str">
        <f>IFERROR(__xludf.DUMMYFUNCTION("""COMPUTED_VALUE"""),"Grostonas 17")</f>
        <v>Grostonas 17</v>
      </c>
      <c r="D139" s="2">
        <f>IFERROR(__xludf.DUMMYFUNCTION("""COMPUTED_VALUE"""),3.0)</f>
        <v>3</v>
      </c>
      <c r="E139" s="2">
        <f>IFERROR(__xludf.DUMMYFUNCTION("""COMPUTED_VALUE"""),88.0)</f>
        <v>88</v>
      </c>
      <c r="F139" s="2">
        <f>IFERROR(__xludf.DUMMYFUNCTION("""COMPUTED_VALUE"""),7.0)</f>
        <v>7</v>
      </c>
      <c r="G139" s="2">
        <f>IFERROR(__xludf.DUMMYFUNCTION("""COMPUTED_VALUE"""),7.0)</f>
        <v>7</v>
      </c>
      <c r="H139" s="2" t="str">
        <f>IFERROR(__xludf.DUMMYFUNCTION("""COMPUTED_VALUE"""),"Jaun.")</f>
        <v>Jaun.</v>
      </c>
      <c r="I139" s="2" t="str">
        <f>IFERROR(__xludf.DUMMYFUNCTION("""COMPUTED_VALUE"""),"Brick-Panel")</f>
        <v>Brick-Panel</v>
      </c>
      <c r="J139" s="2" t="str">
        <f>IFERROR(__xludf.DUMMYFUNCTION("""COMPUTED_VALUE"""),"All amenities")</f>
        <v>All amenities</v>
      </c>
      <c r="K139" s="2">
        <f>IFERROR(__xludf.DUMMYFUNCTION("""COMPUTED_VALUE"""),990.0)</f>
        <v>990</v>
      </c>
      <c r="L139" s="2">
        <f>IFERROR(__xludf.DUMMYFUNCTION("""COMPUTED_VALUE"""),56.96998705)</f>
        <v>56.96998705</v>
      </c>
      <c r="M139" s="2">
        <f>IFERROR(__xludf.DUMMYFUNCTION("""COMPUTED_VALUE"""),24.1242108827278)</f>
        <v>24.12421088</v>
      </c>
    </row>
    <row r="140">
      <c r="A140" s="2" t="str">
        <f>IFERROR(__xludf.DUMMYFUNCTION("""COMPUTED_VALUE"""),"For rent")</f>
        <v>For rent</v>
      </c>
      <c r="B140" s="2" t="str">
        <f>IFERROR(__xludf.DUMMYFUNCTION("""COMPUTED_VALUE"""),"centrs")</f>
        <v>centrs</v>
      </c>
      <c r="C140" s="2" t="str">
        <f>IFERROR(__xludf.DUMMYFUNCTION("""COMPUTED_VALUE"""),"Brīvības 115")</f>
        <v>Brīvības 115</v>
      </c>
      <c r="D140" s="2">
        <f>IFERROR(__xludf.DUMMYFUNCTION("""COMPUTED_VALUE"""),1.0)</f>
        <v>1</v>
      </c>
      <c r="E140" s="2">
        <f>IFERROR(__xludf.DUMMYFUNCTION("""COMPUTED_VALUE"""),28.0)</f>
        <v>28</v>
      </c>
      <c r="F140" s="2">
        <f>IFERROR(__xludf.DUMMYFUNCTION("""COMPUTED_VALUE"""),2.0)</f>
        <v>2</v>
      </c>
      <c r="G140" s="2">
        <f>IFERROR(__xludf.DUMMYFUNCTION("""COMPUTED_VALUE"""),3.0)</f>
        <v>3</v>
      </c>
      <c r="H140" s="2" t="str">
        <f>IFERROR(__xludf.DUMMYFUNCTION("""COMPUTED_VALUE"""),"P. kara")</f>
        <v>P. kara</v>
      </c>
      <c r="I140" s="2" t="str">
        <f>IFERROR(__xludf.DUMMYFUNCTION("""COMPUTED_VALUE"""),"Masonry")</f>
        <v>Masonry</v>
      </c>
      <c r="J140" s="2" t="str">
        <f>IFERROR(__xludf.DUMMYFUNCTION("""COMPUTED_VALUE"""),"All amenities")</f>
        <v>All amenities</v>
      </c>
      <c r="K140" s="2">
        <f>IFERROR(__xludf.DUMMYFUNCTION("""COMPUTED_VALUE"""),220.0)</f>
        <v>220</v>
      </c>
      <c r="L140" s="2">
        <f>IFERROR(__xludf.DUMMYFUNCTION("""COMPUTED_VALUE"""),56.9629663)</f>
        <v>56.9629663</v>
      </c>
      <c r="M140" s="2">
        <f>IFERROR(__xludf.DUMMYFUNCTION("""COMPUTED_VALUE"""),24.13562495)</f>
        <v>24.13562495</v>
      </c>
    </row>
    <row r="141">
      <c r="A141" s="2" t="str">
        <f>IFERROR(__xludf.DUMMYFUNCTION("""COMPUTED_VALUE"""),"For rent")</f>
        <v>For rent</v>
      </c>
      <c r="B141" s="2" t="str">
        <f>IFERROR(__xludf.DUMMYFUNCTION("""COMPUTED_VALUE"""),"centrs")</f>
        <v>centrs</v>
      </c>
      <c r="C141" s="2" t="str">
        <f>IFERROR(__xludf.DUMMYFUNCTION("""COMPUTED_VALUE"""),"Sapieru 3b")</f>
        <v>Sapieru 3b</v>
      </c>
      <c r="D141" s="2">
        <f>IFERROR(__xludf.DUMMYFUNCTION("""COMPUTED_VALUE"""),1.0)</f>
        <v>1</v>
      </c>
      <c r="E141" s="2">
        <f>IFERROR(__xludf.DUMMYFUNCTION("""COMPUTED_VALUE"""),21.0)</f>
        <v>21</v>
      </c>
      <c r="F141" s="2">
        <f>IFERROR(__xludf.DUMMYFUNCTION("""COMPUTED_VALUE"""),3.0)</f>
        <v>3</v>
      </c>
      <c r="G141" s="2">
        <f>IFERROR(__xludf.DUMMYFUNCTION("""COMPUTED_VALUE"""),5.0)</f>
        <v>5</v>
      </c>
      <c r="H141" s="2" t="str">
        <f>IFERROR(__xludf.DUMMYFUNCTION("""COMPUTED_VALUE"""),"Jaun.")</f>
        <v>Jaun.</v>
      </c>
      <c r="I141" s="2" t="str">
        <f>IFERROR(__xludf.DUMMYFUNCTION("""COMPUTED_VALUE"""),"Panel")</f>
        <v>Panel</v>
      </c>
      <c r="J141" s="2" t="str">
        <f>IFERROR(__xludf.DUMMYFUNCTION("""COMPUTED_VALUE"""),"All amenities")</f>
        <v>All amenities</v>
      </c>
      <c r="K141" s="2">
        <f>IFERROR(__xludf.DUMMYFUNCTION("""COMPUTED_VALUE"""),340.0)</f>
        <v>340</v>
      </c>
      <c r="L141" s="2">
        <f>IFERROR(__xludf.DUMMYFUNCTION("""COMPUTED_VALUE"""),56.9630577)</f>
        <v>56.9630577</v>
      </c>
      <c r="M141" s="2">
        <f>IFERROR(__xludf.DUMMYFUNCTION("""COMPUTED_VALUE"""),24.1531056)</f>
        <v>24.1531056</v>
      </c>
    </row>
    <row r="142">
      <c r="A142" s="2" t="str">
        <f>IFERROR(__xludf.DUMMYFUNCTION("""COMPUTED_VALUE"""),"For sale")</f>
        <v>For sale</v>
      </c>
      <c r="B142" s="2" t="str">
        <f>IFERROR(__xludf.DUMMYFUNCTION("""COMPUTED_VALUE"""),"Pļavnieki")</f>
        <v>Pļavnieki</v>
      </c>
      <c r="C142" s="2" t="str">
        <f>IFERROR(__xludf.DUMMYFUNCTION("""COMPUTED_VALUE"""),"Jasmuižas 13")</f>
        <v>Jasmuižas 13</v>
      </c>
      <c r="D142" s="2">
        <f>IFERROR(__xludf.DUMMYFUNCTION("""COMPUTED_VALUE"""),4.0)</f>
        <v>4</v>
      </c>
      <c r="E142" s="2">
        <f>IFERROR(__xludf.DUMMYFUNCTION("""COMPUTED_VALUE"""),75.0)</f>
        <v>75</v>
      </c>
      <c r="F142" s="2">
        <f>IFERROR(__xludf.DUMMYFUNCTION("""COMPUTED_VALUE"""),3.0)</f>
        <v>3</v>
      </c>
      <c r="G142" s="2">
        <f>IFERROR(__xludf.DUMMYFUNCTION("""COMPUTED_VALUE"""),8.0)</f>
        <v>8</v>
      </c>
      <c r="H142" s="2">
        <f>IFERROR(__xludf.DUMMYFUNCTION("""COMPUTED_VALUE"""),467.0)</f>
        <v>467</v>
      </c>
      <c r="I142" s="2" t="str">
        <f>IFERROR(__xludf.DUMMYFUNCTION("""COMPUTED_VALUE"""),"Panel")</f>
        <v>Panel</v>
      </c>
      <c r="J142" s="2" t="str">
        <f>IFERROR(__xludf.DUMMYFUNCTION("""COMPUTED_VALUE"""),"All amenities")</f>
        <v>All amenities</v>
      </c>
      <c r="K142" s="2">
        <f>IFERROR(__xludf.DUMMYFUNCTION("""COMPUTED_VALUE"""),69950.0)</f>
        <v>69950</v>
      </c>
      <c r="L142" s="2">
        <f>IFERROR(__xludf.DUMMYFUNCTION("""COMPUTED_VALUE"""),56.9367253)</f>
        <v>56.9367253</v>
      </c>
      <c r="M142" s="2">
        <f>IFERROR(__xludf.DUMMYFUNCTION("""COMPUTED_VALUE"""),24.2129281)</f>
        <v>24.2129281</v>
      </c>
    </row>
    <row r="143">
      <c r="A143" s="2" t="str">
        <f>IFERROR(__xludf.DUMMYFUNCTION("""COMPUTED_VALUE"""),"For rent")</f>
        <v>For rent</v>
      </c>
      <c r="B143" s="2" t="str">
        <f>IFERROR(__xludf.DUMMYFUNCTION("""COMPUTED_VALUE"""),"Pļavnieki")</f>
        <v>Pļavnieki</v>
      </c>
      <c r="C143" s="2" t="str">
        <f>IFERROR(__xludf.DUMMYFUNCTION("""COMPUTED_VALUE"""),"Jasmuižas 24")</f>
        <v>Jasmuižas 24</v>
      </c>
      <c r="D143" s="2">
        <f>IFERROR(__xludf.DUMMYFUNCTION("""COMPUTED_VALUE"""),1.0)</f>
        <v>1</v>
      </c>
      <c r="E143" s="2">
        <f>IFERROR(__xludf.DUMMYFUNCTION("""COMPUTED_VALUE"""),22.0)</f>
        <v>22</v>
      </c>
      <c r="F143" s="2">
        <f>IFERROR(__xludf.DUMMYFUNCTION("""COMPUTED_VALUE"""),1.0)</f>
        <v>1</v>
      </c>
      <c r="G143" s="2">
        <f>IFERROR(__xludf.DUMMYFUNCTION("""COMPUTED_VALUE"""),3.0)</f>
        <v>3</v>
      </c>
      <c r="H143" s="2" t="str">
        <f>IFERROR(__xludf.DUMMYFUNCTION("""COMPUTED_VALUE"""),"Jaun.")</f>
        <v>Jaun.</v>
      </c>
      <c r="I143" s="2" t="str">
        <f>IFERROR(__xludf.DUMMYFUNCTION("""COMPUTED_VALUE"""),"Panel")</f>
        <v>Panel</v>
      </c>
      <c r="J143" s="2" t="str">
        <f>IFERROR(__xludf.DUMMYFUNCTION("""COMPUTED_VALUE"""),"All amenities")</f>
        <v>All amenities</v>
      </c>
      <c r="K143" s="2">
        <f>IFERROR(__xludf.DUMMYFUNCTION("""COMPUTED_VALUE"""),235.0)</f>
        <v>235</v>
      </c>
      <c r="L143" s="2">
        <f>IFERROR(__xludf.DUMMYFUNCTION("""COMPUTED_VALUE"""),56.93702645)</f>
        <v>56.93702645</v>
      </c>
      <c r="M143" s="2">
        <f>IFERROR(__xludf.DUMMYFUNCTION("""COMPUTED_VALUE"""),24.2153165101088)</f>
        <v>24.21531651</v>
      </c>
    </row>
    <row r="144">
      <c r="A144" s="2" t="str">
        <f>IFERROR(__xludf.DUMMYFUNCTION("""COMPUTED_VALUE"""),"For rent")</f>
        <v>For rent</v>
      </c>
      <c r="B144" s="2" t="str">
        <f>IFERROR(__xludf.DUMMYFUNCTION("""COMPUTED_VALUE"""),"centrs")</f>
        <v>centrs</v>
      </c>
      <c r="C144" s="2" t="str">
        <f>IFERROR(__xludf.DUMMYFUNCTION("""COMPUTED_VALUE"""),"Tērbatas 78")</f>
        <v>Tērbatas 78</v>
      </c>
      <c r="D144" s="2">
        <f>IFERROR(__xludf.DUMMYFUNCTION("""COMPUTED_VALUE"""),1.0)</f>
        <v>1</v>
      </c>
      <c r="E144" s="2">
        <f>IFERROR(__xludf.DUMMYFUNCTION("""COMPUTED_VALUE"""),33.0)</f>
        <v>33</v>
      </c>
      <c r="F144" s="2">
        <f>IFERROR(__xludf.DUMMYFUNCTION("""COMPUTED_VALUE"""),2.0)</f>
        <v>2</v>
      </c>
      <c r="G144" s="2">
        <f>IFERROR(__xludf.DUMMYFUNCTION("""COMPUTED_VALUE"""),5.0)</f>
        <v>5</v>
      </c>
      <c r="H144" s="2" t="str">
        <f>IFERROR(__xludf.DUMMYFUNCTION("""COMPUTED_VALUE"""),"P. kara")</f>
        <v>P. kara</v>
      </c>
      <c r="I144" s="2" t="str">
        <f>IFERROR(__xludf.DUMMYFUNCTION("""COMPUTED_VALUE"""),"Masonry")</f>
        <v>Masonry</v>
      </c>
      <c r="J144" s="2" t="str">
        <f>IFERROR(__xludf.DUMMYFUNCTION("""COMPUTED_VALUE"""),"All amenities")</f>
        <v>All amenities</v>
      </c>
      <c r="K144" s="2">
        <f>IFERROR(__xludf.DUMMYFUNCTION("""COMPUTED_VALUE"""),315.0)</f>
        <v>315</v>
      </c>
      <c r="L144" s="2">
        <f>IFERROR(__xludf.DUMMYFUNCTION("""COMPUTED_VALUE"""),56.9611541)</f>
        <v>56.9611541</v>
      </c>
      <c r="M144" s="2">
        <f>IFERROR(__xludf.DUMMYFUNCTION("""COMPUTED_VALUE"""),24.1376555)</f>
        <v>24.1376555</v>
      </c>
    </row>
    <row r="145">
      <c r="A145" s="2" t="str">
        <f>IFERROR(__xludf.DUMMYFUNCTION("""COMPUTED_VALUE"""),"For sale")</f>
        <v>For sale</v>
      </c>
      <c r="B145" s="2" t="str">
        <f>IFERROR(__xludf.DUMMYFUNCTION("""COMPUTED_VALUE"""),"Ziepniekkalns")</f>
        <v>Ziepniekkalns</v>
      </c>
      <c r="C145" s="2" t="str">
        <f>IFERROR(__xludf.DUMMYFUNCTION("""COMPUTED_VALUE"""),"Bērzlapu 2")</f>
        <v>Bērzlapu 2</v>
      </c>
      <c r="D145" s="2">
        <f>IFERROR(__xludf.DUMMYFUNCTION("""COMPUTED_VALUE"""),2.0)</f>
        <v>2</v>
      </c>
      <c r="E145" s="2">
        <f>IFERROR(__xludf.DUMMYFUNCTION("""COMPUTED_VALUE"""),57.0)</f>
        <v>57</v>
      </c>
      <c r="F145" s="2">
        <f>IFERROR(__xludf.DUMMYFUNCTION("""COMPUTED_VALUE"""),3.0)</f>
        <v>3</v>
      </c>
      <c r="G145" s="2">
        <f>IFERROR(__xludf.DUMMYFUNCTION("""COMPUTED_VALUE"""),16.0)</f>
        <v>16</v>
      </c>
      <c r="H145" s="2">
        <f>IFERROR(__xludf.DUMMYFUNCTION("""COMPUTED_VALUE"""),104.0)</f>
        <v>104</v>
      </c>
      <c r="I145" s="2" t="str">
        <f>IFERROR(__xludf.DUMMYFUNCTION("""COMPUTED_VALUE"""),"Panel")</f>
        <v>Panel</v>
      </c>
      <c r="J145" s="2" t="str">
        <f>IFERROR(__xludf.DUMMYFUNCTION("""COMPUTED_VALUE"""),"All amenities")</f>
        <v>All amenities</v>
      </c>
      <c r="K145" s="2">
        <f>IFERROR(__xludf.DUMMYFUNCTION("""COMPUTED_VALUE"""),70000.0)</f>
        <v>70000</v>
      </c>
      <c r="L145" s="2">
        <f>IFERROR(__xludf.DUMMYFUNCTION("""COMPUTED_VALUE"""),56.9052096)</f>
        <v>56.9052096</v>
      </c>
      <c r="M145" s="2">
        <f>IFERROR(__xludf.DUMMYFUNCTION("""COMPUTED_VALUE"""),24.0845534508617)</f>
        <v>24.08455345</v>
      </c>
    </row>
    <row r="146">
      <c r="A146" s="2" t="str">
        <f>IFERROR(__xludf.DUMMYFUNCTION("""COMPUTED_VALUE"""),"For sale")</f>
        <v>For sale</v>
      </c>
      <c r="B146" s="2" t="str">
        <f>IFERROR(__xludf.DUMMYFUNCTION("""COMPUTED_VALUE"""),"Čiekurkalns")</f>
        <v>Čiekurkalns</v>
      </c>
      <c r="C146" s="2" t="str">
        <f>IFERROR(__xludf.DUMMYFUNCTION("""COMPUTED_VALUE"""),"Čiekurkalna 5. šķ l. 1")</f>
        <v>Čiekurkalna 5. šķ l. 1</v>
      </c>
      <c r="D146" s="2">
        <f>IFERROR(__xludf.DUMMYFUNCTION("""COMPUTED_VALUE"""),1.0)</f>
        <v>1</v>
      </c>
      <c r="E146" s="2">
        <f>IFERROR(__xludf.DUMMYFUNCTION("""COMPUTED_VALUE"""),29.6)</f>
        <v>29.6</v>
      </c>
      <c r="F146" s="2">
        <f>IFERROR(__xludf.DUMMYFUNCTION("""COMPUTED_VALUE"""),2.0)</f>
        <v>2</v>
      </c>
      <c r="G146" s="2">
        <f>IFERROR(__xludf.DUMMYFUNCTION("""COMPUTED_VALUE"""),2.0)</f>
        <v>2</v>
      </c>
      <c r="H146" s="2" t="str">
        <f>IFERROR(__xludf.DUMMYFUNCTION("""COMPUTED_VALUE"""),"Priv. m.")</f>
        <v>Priv. m.</v>
      </c>
      <c r="I146" s="2" t="str">
        <f>IFERROR(__xludf.DUMMYFUNCTION("""COMPUTED_VALUE"""),"Wood")</f>
        <v>Wood</v>
      </c>
      <c r="J146" s="2" t="str">
        <f>IFERROR(__xludf.DUMMYFUNCTION("""COMPUTED_VALUE"""),"All amenities")</f>
        <v>All amenities</v>
      </c>
      <c r="K146" s="2">
        <f>IFERROR(__xludf.DUMMYFUNCTION("""COMPUTED_VALUE"""),22000.0)</f>
        <v>22000</v>
      </c>
      <c r="L146" s="2" t="str">
        <f>IFERROR(__xludf.DUMMYFUNCTION("""COMPUTED_VALUE"""),"NaN")</f>
        <v>NaN</v>
      </c>
      <c r="M146" s="2" t="str">
        <f>IFERROR(__xludf.DUMMYFUNCTION("""COMPUTED_VALUE"""),"NaN")</f>
        <v>NaN</v>
      </c>
    </row>
    <row r="147">
      <c r="A147" s="2" t="str">
        <f>IFERROR(__xludf.DUMMYFUNCTION("""COMPUTED_VALUE"""),"For rent")</f>
        <v>For rent</v>
      </c>
      <c r="B147" s="2" t="str">
        <f>IFERROR(__xludf.DUMMYFUNCTION("""COMPUTED_VALUE"""),"Zolitūde")</f>
        <v>Zolitūde</v>
      </c>
      <c r="C147" s="2" t="str">
        <f>IFERROR(__xludf.DUMMYFUNCTION("""COMPUTED_VALUE"""),"Gramzdas 80")</f>
        <v>Gramzdas 80</v>
      </c>
      <c r="D147" s="2">
        <f>IFERROR(__xludf.DUMMYFUNCTION("""COMPUTED_VALUE"""),2.0)</f>
        <v>2</v>
      </c>
      <c r="E147" s="2">
        <f>IFERROR(__xludf.DUMMYFUNCTION("""COMPUTED_VALUE"""),55.0)</f>
        <v>55</v>
      </c>
      <c r="F147" s="2">
        <f>IFERROR(__xludf.DUMMYFUNCTION("""COMPUTED_VALUE"""),1.0)</f>
        <v>1</v>
      </c>
      <c r="G147" s="2">
        <f>IFERROR(__xludf.DUMMYFUNCTION("""COMPUTED_VALUE"""),4.0)</f>
        <v>4</v>
      </c>
      <c r="H147" s="2" t="str">
        <f>IFERROR(__xludf.DUMMYFUNCTION("""COMPUTED_VALUE"""),"Jaun.")</f>
        <v>Jaun.</v>
      </c>
      <c r="I147" s="2" t="str">
        <f>IFERROR(__xludf.DUMMYFUNCTION("""COMPUTED_VALUE"""),"Panel")</f>
        <v>Panel</v>
      </c>
      <c r="J147" s="2" t="str">
        <f>IFERROR(__xludf.DUMMYFUNCTION("""COMPUTED_VALUE"""),"All amenities")</f>
        <v>All amenities</v>
      </c>
      <c r="K147" s="2">
        <f>IFERROR(__xludf.DUMMYFUNCTION("""COMPUTED_VALUE"""),500.0)</f>
        <v>500</v>
      </c>
      <c r="L147" s="2">
        <f>IFERROR(__xludf.DUMMYFUNCTION("""COMPUTED_VALUE"""),56.94145735)</f>
        <v>56.94145735</v>
      </c>
      <c r="M147" s="2">
        <f>IFERROR(__xludf.DUMMYFUNCTION("""COMPUTED_VALUE"""),24.0030188392346)</f>
        <v>24.00301884</v>
      </c>
    </row>
    <row r="148">
      <c r="A148" s="2" t="str">
        <f>IFERROR(__xludf.DUMMYFUNCTION("""COMPUTED_VALUE"""),"For rent")</f>
        <v>For rent</v>
      </c>
      <c r="B148" s="2" t="str">
        <f>IFERROR(__xludf.DUMMYFUNCTION("""COMPUTED_VALUE"""),"Iļģuciems")</f>
        <v>Iļģuciems</v>
      </c>
      <c r="C148" s="2" t="str">
        <f>IFERROR(__xludf.DUMMYFUNCTION("""COMPUTED_VALUE"""),"Baltā 17")</f>
        <v>Baltā 17</v>
      </c>
      <c r="D148" s="2">
        <f>IFERROR(__xludf.DUMMYFUNCTION("""COMPUTED_VALUE"""),3.0)</f>
        <v>3</v>
      </c>
      <c r="E148" s="2">
        <f>IFERROR(__xludf.DUMMYFUNCTION("""COMPUTED_VALUE"""),62.0)</f>
        <v>62</v>
      </c>
      <c r="F148" s="2">
        <f>IFERROR(__xludf.DUMMYFUNCTION("""COMPUTED_VALUE"""),1.0)</f>
        <v>1</v>
      </c>
      <c r="G148" s="2">
        <f>IFERROR(__xludf.DUMMYFUNCTION("""COMPUTED_VALUE"""),5.0)</f>
        <v>5</v>
      </c>
      <c r="H148" s="2" t="str">
        <f>IFERROR(__xludf.DUMMYFUNCTION("""COMPUTED_VALUE"""),"LT proj.")</f>
        <v>LT proj.</v>
      </c>
      <c r="I148" s="2" t="str">
        <f>IFERROR(__xludf.DUMMYFUNCTION("""COMPUTED_VALUE"""),"Panel")</f>
        <v>Panel</v>
      </c>
      <c r="J148" s="2" t="str">
        <f>IFERROR(__xludf.DUMMYFUNCTION("""COMPUTED_VALUE"""),"All amenities")</f>
        <v>All amenities</v>
      </c>
      <c r="K148" s="2">
        <f>IFERROR(__xludf.DUMMYFUNCTION("""COMPUTED_VALUE"""),350.0)</f>
        <v>350</v>
      </c>
      <c r="L148" s="2">
        <f>IFERROR(__xludf.DUMMYFUNCTION("""COMPUTED_VALUE"""),56.9699771)</f>
        <v>56.9699771</v>
      </c>
      <c r="M148" s="2">
        <f>IFERROR(__xludf.DUMMYFUNCTION("""COMPUTED_VALUE"""),24.0655410145407)</f>
        <v>24.06554101</v>
      </c>
    </row>
    <row r="149">
      <c r="A149" s="2" t="str">
        <f>IFERROR(__xludf.DUMMYFUNCTION("""COMPUTED_VALUE"""),"For sale")</f>
        <v>For sale</v>
      </c>
      <c r="B149" s="2" t="str">
        <f>IFERROR(__xludf.DUMMYFUNCTION("""COMPUTED_VALUE"""),"Mežciems")</f>
        <v>Mežciems</v>
      </c>
      <c r="C149" s="2" t="str">
        <f>IFERROR(__xludf.DUMMYFUNCTION("""COMPUTED_VALUE"""),"Celmu 5")</f>
        <v>Celmu 5</v>
      </c>
      <c r="D149" s="2">
        <f>IFERROR(__xludf.DUMMYFUNCTION("""COMPUTED_VALUE"""),2.0)</f>
        <v>2</v>
      </c>
      <c r="E149" s="2">
        <f>IFERROR(__xludf.DUMMYFUNCTION("""COMPUTED_VALUE"""),50.0)</f>
        <v>50</v>
      </c>
      <c r="F149" s="2">
        <f>IFERROR(__xludf.DUMMYFUNCTION("""COMPUTED_VALUE"""),3.0)</f>
        <v>3</v>
      </c>
      <c r="G149" s="2">
        <f>IFERROR(__xludf.DUMMYFUNCTION("""COMPUTED_VALUE"""),5.0)</f>
        <v>5</v>
      </c>
      <c r="H149" s="2" t="str">
        <f>IFERROR(__xludf.DUMMYFUNCTION("""COMPUTED_VALUE"""),"LT proj.")</f>
        <v>LT proj.</v>
      </c>
      <c r="I149" s="2" t="str">
        <f>IFERROR(__xludf.DUMMYFUNCTION("""COMPUTED_VALUE"""),"Panel")</f>
        <v>Panel</v>
      </c>
      <c r="J149" s="2" t="str">
        <f>IFERROR(__xludf.DUMMYFUNCTION("""COMPUTED_VALUE"""),"All amenities")</f>
        <v>All amenities</v>
      </c>
      <c r="K149" s="2">
        <f>IFERROR(__xludf.DUMMYFUNCTION("""COMPUTED_VALUE"""),49800.0)</f>
        <v>49800</v>
      </c>
      <c r="L149" s="2">
        <f>IFERROR(__xludf.DUMMYFUNCTION("""COMPUTED_VALUE"""),56.9736358)</f>
        <v>56.9736358</v>
      </c>
      <c r="M149" s="2">
        <f>IFERROR(__xludf.DUMMYFUNCTION("""COMPUTED_VALUE"""),24.2335309150293)</f>
        <v>24.23353092</v>
      </c>
    </row>
    <row r="150">
      <c r="A150" s="2" t="str">
        <f>IFERROR(__xludf.DUMMYFUNCTION("""COMPUTED_VALUE"""),"For sale")</f>
        <v>For sale</v>
      </c>
      <c r="B150" s="2" t="str">
        <f>IFERROR(__xludf.DUMMYFUNCTION("""COMPUTED_VALUE"""),"centrs")</f>
        <v>centrs</v>
      </c>
      <c r="C150" s="2" t="str">
        <f>IFERROR(__xludf.DUMMYFUNCTION("""COMPUTED_VALUE"""),"Brīvības iela 136")</f>
        <v>Brīvības iela 136</v>
      </c>
      <c r="D150" s="2">
        <f>IFERROR(__xludf.DUMMYFUNCTION("""COMPUTED_VALUE"""),2.0)</f>
        <v>2</v>
      </c>
      <c r="E150" s="2">
        <f>IFERROR(__xludf.DUMMYFUNCTION("""COMPUTED_VALUE"""),43.0)</f>
        <v>43</v>
      </c>
      <c r="F150" s="2">
        <f>IFERROR(__xludf.DUMMYFUNCTION("""COMPUTED_VALUE"""),1.0)</f>
        <v>1</v>
      </c>
      <c r="G150" s="2">
        <f>IFERROR(__xludf.DUMMYFUNCTION("""COMPUTED_VALUE"""),5.0)</f>
        <v>5</v>
      </c>
      <c r="H150" s="2" t="str">
        <f>IFERROR(__xludf.DUMMYFUNCTION("""COMPUTED_VALUE"""),"P. kara")</f>
        <v>P. kara</v>
      </c>
      <c r="I150" s="2" t="str">
        <f>IFERROR(__xludf.DUMMYFUNCTION("""COMPUTED_VALUE"""),"Masonry")</f>
        <v>Masonry</v>
      </c>
      <c r="J150" s="2" t="str">
        <f>IFERROR(__xludf.DUMMYFUNCTION("""COMPUTED_VALUE"""),"All amenities")</f>
        <v>All amenities</v>
      </c>
      <c r="K150" s="2">
        <f>IFERROR(__xludf.DUMMYFUNCTION("""COMPUTED_VALUE"""),48000.0)</f>
        <v>48000</v>
      </c>
      <c r="L150" s="2">
        <f>IFERROR(__xludf.DUMMYFUNCTION("""COMPUTED_VALUE"""),56.9636061)</f>
        <v>56.9636061</v>
      </c>
      <c r="M150" s="2">
        <f>IFERROR(__xludf.DUMMYFUNCTION("""COMPUTED_VALUE"""),24.1388658)</f>
        <v>24.1388658</v>
      </c>
    </row>
    <row r="151">
      <c r="A151" s="2" t="str">
        <f>IFERROR(__xludf.DUMMYFUNCTION("""COMPUTED_VALUE"""),"For rent")</f>
        <v>For rent</v>
      </c>
      <c r="B151" s="2" t="str">
        <f>IFERROR(__xludf.DUMMYFUNCTION("""COMPUTED_VALUE"""),"Ķengarags")</f>
        <v>Ķengarags</v>
      </c>
      <c r="C151" s="2" t="str">
        <f>IFERROR(__xludf.DUMMYFUNCTION("""COMPUTED_VALUE"""),"Maskavas 381/7")</f>
        <v>Maskavas 381/7</v>
      </c>
      <c r="D151" s="2">
        <f>IFERROR(__xludf.DUMMYFUNCTION("""COMPUTED_VALUE"""),2.0)</f>
        <v>2</v>
      </c>
      <c r="E151" s="2">
        <f>IFERROR(__xludf.DUMMYFUNCTION("""COMPUTED_VALUE"""),49.0)</f>
        <v>49</v>
      </c>
      <c r="F151" s="2">
        <f>IFERROR(__xludf.DUMMYFUNCTION("""COMPUTED_VALUE"""),3.0)</f>
        <v>3</v>
      </c>
      <c r="G151" s="2">
        <f>IFERROR(__xludf.DUMMYFUNCTION("""COMPUTED_VALUE"""),3.0)</f>
        <v>3</v>
      </c>
      <c r="H151" s="2" t="str">
        <f>IFERROR(__xludf.DUMMYFUNCTION("""COMPUTED_VALUE"""),"Staļina")</f>
        <v>Staļina</v>
      </c>
      <c r="I151" s="2" t="str">
        <f>IFERROR(__xludf.DUMMYFUNCTION("""COMPUTED_VALUE"""),"Brick")</f>
        <v>Brick</v>
      </c>
      <c r="J151" s="2" t="str">
        <f>IFERROR(__xludf.DUMMYFUNCTION("""COMPUTED_VALUE"""),"All amenities")</f>
        <v>All amenities</v>
      </c>
      <c r="K151" s="2">
        <f>IFERROR(__xludf.DUMMYFUNCTION("""COMPUTED_VALUE"""),240.0)</f>
        <v>240</v>
      </c>
      <c r="L151" s="2">
        <f>IFERROR(__xludf.DUMMYFUNCTION("""COMPUTED_VALUE"""),56.9445851)</f>
        <v>56.9445851</v>
      </c>
      <c r="M151" s="2">
        <f>IFERROR(__xludf.DUMMYFUNCTION("""COMPUTED_VALUE"""),24.1127805007715)</f>
        <v>24.1127805</v>
      </c>
    </row>
    <row r="152">
      <c r="A152" s="2" t="str">
        <f>IFERROR(__xludf.DUMMYFUNCTION("""COMPUTED_VALUE"""),"For rent")</f>
        <v>For rent</v>
      </c>
      <c r="B152" s="2" t="str">
        <f>IFERROR(__xludf.DUMMYFUNCTION("""COMPUTED_VALUE"""),"Mežciems")</f>
        <v>Mežciems</v>
      </c>
      <c r="C152" s="2" t="str">
        <f>IFERROR(__xludf.DUMMYFUNCTION("""COMPUTED_VALUE"""),"Hipokrāta 41")</f>
        <v>Hipokrāta 41</v>
      </c>
      <c r="D152" s="2">
        <f>IFERROR(__xludf.DUMMYFUNCTION("""COMPUTED_VALUE"""),1.0)</f>
        <v>1</v>
      </c>
      <c r="E152" s="2">
        <f>IFERROR(__xludf.DUMMYFUNCTION("""COMPUTED_VALUE"""),32.0)</f>
        <v>32</v>
      </c>
      <c r="F152" s="2">
        <f>IFERROR(__xludf.DUMMYFUNCTION("""COMPUTED_VALUE"""),8.0)</f>
        <v>8</v>
      </c>
      <c r="G152" s="2">
        <f>IFERROR(__xludf.DUMMYFUNCTION("""COMPUTED_VALUE"""),9.0)</f>
        <v>9</v>
      </c>
      <c r="H152" s="2">
        <f>IFERROR(__xludf.DUMMYFUNCTION("""COMPUTED_VALUE"""),602.0)</f>
        <v>602</v>
      </c>
      <c r="I152" s="2" t="str">
        <f>IFERROR(__xludf.DUMMYFUNCTION("""COMPUTED_VALUE"""),"Panel")</f>
        <v>Panel</v>
      </c>
      <c r="J152" s="2" t="str">
        <f>IFERROR(__xludf.DUMMYFUNCTION("""COMPUTED_VALUE"""),"All amenities")</f>
        <v>All amenities</v>
      </c>
      <c r="K152" s="2">
        <f>IFERROR(__xludf.DUMMYFUNCTION("""COMPUTED_VALUE"""),260.0)</f>
        <v>260</v>
      </c>
      <c r="L152" s="2">
        <f>IFERROR(__xludf.DUMMYFUNCTION("""COMPUTED_VALUE"""),56.9596666)</f>
        <v>56.9596666</v>
      </c>
      <c r="M152" s="2">
        <f>IFERROR(__xludf.DUMMYFUNCTION("""COMPUTED_VALUE"""),24.2364782978591)</f>
        <v>24.2364783</v>
      </c>
    </row>
    <row r="153">
      <c r="A153" s="2" t="str">
        <f>IFERROR(__xludf.DUMMYFUNCTION("""COMPUTED_VALUE"""),"For rent")</f>
        <v>For rent</v>
      </c>
      <c r="B153" s="2" t="str">
        <f>IFERROR(__xludf.DUMMYFUNCTION("""COMPUTED_VALUE"""),"Purvciems")</f>
        <v>Purvciems</v>
      </c>
      <c r="C153" s="2" t="str">
        <f>IFERROR(__xludf.DUMMYFUNCTION("""COMPUTED_VALUE"""),"Andromedas g. 12")</f>
        <v>Andromedas g. 12</v>
      </c>
      <c r="D153" s="2">
        <f>IFERROR(__xludf.DUMMYFUNCTION("""COMPUTED_VALUE"""),2.0)</f>
        <v>2</v>
      </c>
      <c r="E153" s="2">
        <f>IFERROR(__xludf.DUMMYFUNCTION("""COMPUTED_VALUE"""),51.0)</f>
        <v>51</v>
      </c>
      <c r="F153" s="2">
        <f>IFERROR(__xludf.DUMMYFUNCTION("""COMPUTED_VALUE"""),3.0)</f>
        <v>3</v>
      </c>
      <c r="G153" s="2">
        <f>IFERROR(__xludf.DUMMYFUNCTION("""COMPUTED_VALUE"""),5.0)</f>
        <v>5</v>
      </c>
      <c r="H153" s="2" t="str">
        <f>IFERROR(__xludf.DUMMYFUNCTION("""COMPUTED_VALUE"""),"LT proj.")</f>
        <v>LT proj.</v>
      </c>
      <c r="I153" s="2" t="str">
        <f>IFERROR(__xludf.DUMMYFUNCTION("""COMPUTED_VALUE"""),"Panel")</f>
        <v>Panel</v>
      </c>
      <c r="J153" s="2" t="str">
        <f>IFERROR(__xludf.DUMMYFUNCTION("""COMPUTED_VALUE"""),"All amenities")</f>
        <v>All amenities</v>
      </c>
      <c r="K153" s="2">
        <f>IFERROR(__xludf.DUMMYFUNCTION("""COMPUTED_VALUE"""),300.0)</f>
        <v>300</v>
      </c>
      <c r="L153" s="2">
        <f>IFERROR(__xludf.DUMMYFUNCTION("""COMPUTED_VALUE"""),56.9604259)</f>
        <v>56.9604259</v>
      </c>
      <c r="M153" s="2">
        <f>IFERROR(__xludf.DUMMYFUNCTION("""COMPUTED_VALUE"""),24.201209)</f>
        <v>24.201209</v>
      </c>
    </row>
    <row r="154">
      <c r="A154" s="2" t="str">
        <f>IFERROR(__xludf.DUMMYFUNCTION("""COMPUTED_VALUE"""),"For rent")</f>
        <v>For rent</v>
      </c>
      <c r="B154" s="2" t="str">
        <f>IFERROR(__xludf.DUMMYFUNCTION("""COMPUTED_VALUE"""),"Āgenskalns")</f>
        <v>Āgenskalns</v>
      </c>
      <c r="C154" s="2" t="str">
        <f>IFERROR(__xludf.DUMMYFUNCTION("""COMPUTED_VALUE"""),"Mūkusalas 29")</f>
        <v>Mūkusalas 29</v>
      </c>
      <c r="D154" s="2">
        <f>IFERROR(__xludf.DUMMYFUNCTION("""COMPUTED_VALUE"""),2.0)</f>
        <v>2</v>
      </c>
      <c r="E154" s="2">
        <f>IFERROR(__xludf.DUMMYFUNCTION("""COMPUTED_VALUE"""),79.0)</f>
        <v>79</v>
      </c>
      <c r="F154" s="2">
        <f>IFERROR(__xludf.DUMMYFUNCTION("""COMPUTED_VALUE"""),4.0)</f>
        <v>4</v>
      </c>
      <c r="G154" s="2">
        <f>IFERROR(__xludf.DUMMYFUNCTION("""COMPUTED_VALUE"""),4.0)</f>
        <v>4</v>
      </c>
      <c r="H154" s="2" t="str">
        <f>IFERROR(__xludf.DUMMYFUNCTION("""COMPUTED_VALUE"""),"Jaun.")</f>
        <v>Jaun.</v>
      </c>
      <c r="I154" s="2" t="str">
        <f>IFERROR(__xludf.DUMMYFUNCTION("""COMPUTED_VALUE"""),"Masonry")</f>
        <v>Masonry</v>
      </c>
      <c r="J154" s="2" t="str">
        <f>IFERROR(__xludf.DUMMYFUNCTION("""COMPUTED_VALUE"""),"All amenities")</f>
        <v>All amenities</v>
      </c>
      <c r="K154" s="2">
        <f>IFERROR(__xludf.DUMMYFUNCTION("""COMPUTED_VALUE"""),850.0)</f>
        <v>850</v>
      </c>
      <c r="L154" s="2">
        <f>IFERROR(__xludf.DUMMYFUNCTION("""COMPUTED_VALUE"""),56.93693955)</f>
        <v>56.93693955</v>
      </c>
      <c r="M154" s="2">
        <f>IFERROR(__xludf.DUMMYFUNCTION("""COMPUTED_VALUE"""),24.1019323631236)</f>
        <v>24.10193236</v>
      </c>
    </row>
    <row r="155">
      <c r="A155" s="2" t="str">
        <f>IFERROR(__xludf.DUMMYFUNCTION("""COMPUTED_VALUE"""),"For rent")</f>
        <v>For rent</v>
      </c>
      <c r="B155" s="2" t="str">
        <f>IFERROR(__xludf.DUMMYFUNCTION("""COMPUTED_VALUE"""),"Āgenskalns")</f>
        <v>Āgenskalns</v>
      </c>
      <c r="C155" s="2" t="str">
        <f>IFERROR(__xludf.DUMMYFUNCTION("""COMPUTED_VALUE"""),"Talsu 9")</f>
        <v>Talsu 9</v>
      </c>
      <c r="D155" s="2">
        <f>IFERROR(__xludf.DUMMYFUNCTION("""COMPUTED_VALUE"""),2.0)</f>
        <v>2</v>
      </c>
      <c r="E155" s="2">
        <f>IFERROR(__xludf.DUMMYFUNCTION("""COMPUTED_VALUE"""),44.0)</f>
        <v>44</v>
      </c>
      <c r="F155" s="2">
        <f>IFERROR(__xludf.DUMMYFUNCTION("""COMPUTED_VALUE"""),3.0)</f>
        <v>3</v>
      </c>
      <c r="G155" s="2">
        <f>IFERROR(__xludf.DUMMYFUNCTION("""COMPUTED_VALUE"""),6.0)</f>
        <v>6</v>
      </c>
      <c r="H155" s="2" t="str">
        <f>IFERROR(__xludf.DUMMYFUNCTION("""COMPUTED_VALUE"""),"P. kara")</f>
        <v>P. kara</v>
      </c>
      <c r="I155" s="2" t="str">
        <f>IFERROR(__xludf.DUMMYFUNCTION("""COMPUTED_VALUE"""),"Masonry")</f>
        <v>Masonry</v>
      </c>
      <c r="J155" s="2" t="str">
        <f>IFERROR(__xludf.DUMMYFUNCTION("""COMPUTED_VALUE"""),"Partial amenities")</f>
        <v>Partial amenities</v>
      </c>
      <c r="K155" s="2">
        <f>IFERROR(__xludf.DUMMYFUNCTION("""COMPUTED_VALUE"""),280.0)</f>
        <v>280</v>
      </c>
      <c r="L155" s="2">
        <f>IFERROR(__xludf.DUMMYFUNCTION("""COMPUTED_VALUE"""),56.9383464)</f>
        <v>56.9383464</v>
      </c>
      <c r="M155" s="2">
        <f>IFERROR(__xludf.DUMMYFUNCTION("""COMPUTED_VALUE"""),24.071392)</f>
        <v>24.071392</v>
      </c>
    </row>
    <row r="156">
      <c r="A156" s="2" t="str">
        <f>IFERROR(__xludf.DUMMYFUNCTION("""COMPUTED_VALUE"""),"For rent")</f>
        <v>For rent</v>
      </c>
      <c r="B156" s="2" t="str">
        <f>IFERROR(__xludf.DUMMYFUNCTION("""COMPUTED_VALUE"""),"Āgenskalns")</f>
        <v>Āgenskalns</v>
      </c>
      <c r="C156" s="2" t="str">
        <f>IFERROR(__xludf.DUMMYFUNCTION("""COMPUTED_VALUE"""),"Kalnciema 20")</f>
        <v>Kalnciema 20</v>
      </c>
      <c r="D156" s="2">
        <f>IFERROR(__xludf.DUMMYFUNCTION("""COMPUTED_VALUE"""),1.0)</f>
        <v>1</v>
      </c>
      <c r="E156" s="2">
        <f>IFERROR(__xludf.DUMMYFUNCTION("""COMPUTED_VALUE"""),36.0)</f>
        <v>36</v>
      </c>
      <c r="F156" s="2">
        <f>IFERROR(__xludf.DUMMYFUNCTION("""COMPUTED_VALUE"""),2.0)</f>
        <v>2</v>
      </c>
      <c r="G156" s="2">
        <f>IFERROR(__xludf.DUMMYFUNCTION("""COMPUTED_VALUE"""),2.0)</f>
        <v>2</v>
      </c>
      <c r="H156" s="2" t="str">
        <f>IFERROR(__xludf.DUMMYFUNCTION("""COMPUTED_VALUE"""),"P. kara")</f>
        <v>P. kara</v>
      </c>
      <c r="I156" s="2" t="str">
        <f>IFERROR(__xludf.DUMMYFUNCTION("""COMPUTED_VALUE"""),"Brick")</f>
        <v>Brick</v>
      </c>
      <c r="J156" s="2" t="str">
        <f>IFERROR(__xludf.DUMMYFUNCTION("""COMPUTED_VALUE"""),"All amenities")</f>
        <v>All amenities</v>
      </c>
      <c r="K156" s="2">
        <f>IFERROR(__xludf.DUMMYFUNCTION("""COMPUTED_VALUE"""),250.0)</f>
        <v>250</v>
      </c>
      <c r="L156" s="2">
        <f>IFERROR(__xludf.DUMMYFUNCTION("""COMPUTED_VALUE"""),56.9384531)</f>
        <v>56.9384531</v>
      </c>
      <c r="M156" s="2">
        <f>IFERROR(__xludf.DUMMYFUNCTION("""COMPUTED_VALUE"""),24.0507266)</f>
        <v>24.0507266</v>
      </c>
    </row>
    <row r="157">
      <c r="A157" s="2" t="str">
        <f>IFERROR(__xludf.DUMMYFUNCTION("""COMPUTED_VALUE"""),"For rent")</f>
        <v>For rent</v>
      </c>
      <c r="B157" s="2" t="str">
        <f>IFERROR(__xludf.DUMMYFUNCTION("""COMPUTED_VALUE"""),"centrs")</f>
        <v>centrs</v>
      </c>
      <c r="C157" s="2" t="str">
        <f>IFERROR(__xludf.DUMMYFUNCTION("""COMPUTED_VALUE"""),"Sadovņikova 39a")</f>
        <v>Sadovņikova 39a</v>
      </c>
      <c r="D157" s="2">
        <f>IFERROR(__xludf.DUMMYFUNCTION("""COMPUTED_VALUE"""),1.0)</f>
        <v>1</v>
      </c>
      <c r="E157" s="2">
        <f>IFERROR(__xludf.DUMMYFUNCTION("""COMPUTED_VALUE"""),30.0)</f>
        <v>30</v>
      </c>
      <c r="F157" s="2">
        <f>IFERROR(__xludf.DUMMYFUNCTION("""COMPUTED_VALUE"""),3.0)</f>
        <v>3</v>
      </c>
      <c r="G157" s="2">
        <f>IFERROR(__xludf.DUMMYFUNCTION("""COMPUTED_VALUE"""),5.0)</f>
        <v>5</v>
      </c>
      <c r="H157" s="2" t="str">
        <f>IFERROR(__xludf.DUMMYFUNCTION("""COMPUTED_VALUE"""),"P. kara")</f>
        <v>P. kara</v>
      </c>
      <c r="I157" s="2" t="str">
        <f>IFERROR(__xludf.DUMMYFUNCTION("""COMPUTED_VALUE"""),"Brick")</f>
        <v>Brick</v>
      </c>
      <c r="J157" s="2" t="str">
        <f>IFERROR(__xludf.DUMMYFUNCTION("""COMPUTED_VALUE"""),"All amenities")</f>
        <v>All amenities</v>
      </c>
      <c r="K157" s="2">
        <f>IFERROR(__xludf.DUMMYFUNCTION("""COMPUTED_VALUE"""),260.0)</f>
        <v>260</v>
      </c>
      <c r="L157" s="2">
        <f>IFERROR(__xludf.DUMMYFUNCTION("""COMPUTED_VALUE"""),56.9420237)</f>
        <v>56.9420237</v>
      </c>
      <c r="M157" s="2">
        <f>IFERROR(__xludf.DUMMYFUNCTION("""COMPUTED_VALUE"""),24.1354202416193)</f>
        <v>24.13542024</v>
      </c>
    </row>
    <row r="158">
      <c r="A158" s="2" t="str">
        <f>IFERROR(__xludf.DUMMYFUNCTION("""COMPUTED_VALUE"""),"For sale")</f>
        <v>For sale</v>
      </c>
      <c r="B158" s="2" t="str">
        <f>IFERROR(__xludf.DUMMYFUNCTION("""COMPUTED_VALUE"""),"Dārzciems")</f>
        <v>Dārzciems</v>
      </c>
      <c r="C158" s="2" t="str">
        <f>IFERROR(__xludf.DUMMYFUNCTION("""COMPUTED_VALUE"""),"Stopiņu 12")</f>
        <v>Stopiņu 12</v>
      </c>
      <c r="D158" s="2">
        <f>IFERROR(__xludf.DUMMYFUNCTION("""COMPUTED_VALUE"""),1.0)</f>
        <v>1</v>
      </c>
      <c r="E158" s="2">
        <f>IFERROR(__xludf.DUMMYFUNCTION("""COMPUTED_VALUE"""),37.0)</f>
        <v>37</v>
      </c>
      <c r="F158" s="2">
        <f>IFERROR(__xludf.DUMMYFUNCTION("""COMPUTED_VALUE"""),1.0)</f>
        <v>1</v>
      </c>
      <c r="G158" s="2">
        <f>IFERROR(__xludf.DUMMYFUNCTION("""COMPUTED_VALUE"""),1.0)</f>
        <v>1</v>
      </c>
      <c r="H158" s="2" t="str">
        <f>IFERROR(__xludf.DUMMYFUNCTION("""COMPUTED_VALUE"""),"Priv. m.")</f>
        <v>Priv. m.</v>
      </c>
      <c r="I158" s="2" t="str">
        <f>IFERROR(__xludf.DUMMYFUNCTION("""COMPUTED_VALUE"""),"Brick")</f>
        <v>Brick</v>
      </c>
      <c r="J158" s="2" t="str">
        <f>IFERROR(__xludf.DUMMYFUNCTION("""COMPUTED_VALUE"""),"All amenities")</f>
        <v>All amenities</v>
      </c>
      <c r="K158" s="2">
        <f>IFERROR(__xludf.DUMMYFUNCTION("""COMPUTED_VALUE"""),22000.0)</f>
        <v>22000</v>
      </c>
      <c r="L158" s="2">
        <f>IFERROR(__xludf.DUMMYFUNCTION("""COMPUTED_VALUE"""),56.9485324)</f>
        <v>56.9485324</v>
      </c>
      <c r="M158" s="2">
        <f>IFERROR(__xludf.DUMMYFUNCTION("""COMPUTED_VALUE"""),24.1730688)</f>
        <v>24.1730688</v>
      </c>
    </row>
    <row r="159">
      <c r="A159" s="2" t="str">
        <f>IFERROR(__xludf.DUMMYFUNCTION("""COMPUTED_VALUE"""),"For rent")</f>
        <v>For rent</v>
      </c>
      <c r="B159" s="2" t="str">
        <f>IFERROR(__xludf.DUMMYFUNCTION("""COMPUTED_VALUE"""),"centrs")</f>
        <v>centrs</v>
      </c>
      <c r="C159" s="2" t="str">
        <f>IFERROR(__xludf.DUMMYFUNCTION("""COMPUTED_VALUE"""),"Vesetas 30")</f>
        <v>Vesetas 30</v>
      </c>
      <c r="D159" s="2">
        <f>IFERROR(__xludf.DUMMYFUNCTION("""COMPUTED_VALUE"""),2.0)</f>
        <v>2</v>
      </c>
      <c r="E159" s="2">
        <f>IFERROR(__xludf.DUMMYFUNCTION("""COMPUTED_VALUE"""),42.0)</f>
        <v>42</v>
      </c>
      <c r="F159" s="2">
        <f>IFERROR(__xludf.DUMMYFUNCTION("""COMPUTED_VALUE"""),4.0)</f>
        <v>4</v>
      </c>
      <c r="G159" s="2">
        <f>IFERROR(__xludf.DUMMYFUNCTION("""COMPUTED_VALUE"""),6.0)</f>
        <v>6</v>
      </c>
      <c r="H159" s="2" t="str">
        <f>IFERROR(__xludf.DUMMYFUNCTION("""COMPUTED_VALUE"""),"Hrušč.")</f>
        <v>Hrušč.</v>
      </c>
      <c r="I159" s="2" t="str">
        <f>IFERROR(__xludf.DUMMYFUNCTION("""COMPUTED_VALUE"""),"Brick")</f>
        <v>Brick</v>
      </c>
      <c r="J159" s="2" t="str">
        <f>IFERROR(__xludf.DUMMYFUNCTION("""COMPUTED_VALUE"""),"All amenities")</f>
        <v>All amenities</v>
      </c>
      <c r="K159" s="2">
        <f>IFERROR(__xludf.DUMMYFUNCTION("""COMPUTED_VALUE"""),275.0)</f>
        <v>275</v>
      </c>
      <c r="L159" s="2">
        <f>IFERROR(__xludf.DUMMYFUNCTION("""COMPUTED_VALUE"""),56.97172205)</f>
        <v>56.97172205</v>
      </c>
      <c r="M159" s="2">
        <f>IFERROR(__xludf.DUMMYFUNCTION("""COMPUTED_VALUE"""),24.1301309)</f>
        <v>24.1301309</v>
      </c>
    </row>
    <row r="160">
      <c r="A160" s="2" t="str">
        <f>IFERROR(__xludf.DUMMYFUNCTION("""COMPUTED_VALUE"""),"For rent")</f>
        <v>For rent</v>
      </c>
      <c r="B160" s="2" t="str">
        <f>IFERROR(__xludf.DUMMYFUNCTION("""COMPUTED_VALUE"""),"centrs")</f>
        <v>centrs</v>
      </c>
      <c r="C160" s="2" t="str">
        <f>IFERROR(__xludf.DUMMYFUNCTION("""COMPUTED_VALUE"""),"Sadovņikova 21")</f>
        <v>Sadovņikova 21</v>
      </c>
      <c r="D160" s="2">
        <f>IFERROR(__xludf.DUMMYFUNCTION("""COMPUTED_VALUE"""),1.0)</f>
        <v>1</v>
      </c>
      <c r="E160" s="2">
        <f>IFERROR(__xludf.DUMMYFUNCTION("""COMPUTED_VALUE"""),40.0)</f>
        <v>40</v>
      </c>
      <c r="F160" s="2">
        <f>IFERROR(__xludf.DUMMYFUNCTION("""COMPUTED_VALUE"""),2.0)</f>
        <v>2</v>
      </c>
      <c r="G160" s="2">
        <f>IFERROR(__xludf.DUMMYFUNCTION("""COMPUTED_VALUE"""),4.0)</f>
        <v>4</v>
      </c>
      <c r="H160" s="2" t="str">
        <f>IFERROR(__xludf.DUMMYFUNCTION("""COMPUTED_VALUE"""),"P. kara")</f>
        <v>P. kara</v>
      </c>
      <c r="I160" s="2" t="str">
        <f>IFERROR(__xludf.DUMMYFUNCTION("""COMPUTED_VALUE"""),"Brick")</f>
        <v>Brick</v>
      </c>
      <c r="J160" s="2" t="str">
        <f>IFERROR(__xludf.DUMMYFUNCTION("""COMPUTED_VALUE"""),"All amenities")</f>
        <v>All amenities</v>
      </c>
      <c r="K160" s="2">
        <f>IFERROR(__xludf.DUMMYFUNCTION("""COMPUTED_VALUE"""),240.0)</f>
        <v>240</v>
      </c>
      <c r="L160" s="2">
        <f>IFERROR(__xludf.DUMMYFUNCTION("""COMPUTED_VALUE"""),56.9421434)</f>
        <v>56.9421434</v>
      </c>
      <c r="M160" s="2">
        <f>IFERROR(__xludf.DUMMYFUNCTION("""COMPUTED_VALUE"""),24.1326836)</f>
        <v>24.1326836</v>
      </c>
    </row>
    <row r="161">
      <c r="A161" s="2" t="str">
        <f>IFERROR(__xludf.DUMMYFUNCTION("""COMPUTED_VALUE"""),"For sale")</f>
        <v>For sale</v>
      </c>
      <c r="B161" s="2" t="str">
        <f>IFERROR(__xludf.DUMMYFUNCTION("""COMPUTED_VALUE"""),"centrs")</f>
        <v>centrs</v>
      </c>
      <c r="C161" s="2" t="str">
        <f>IFERROR(__xludf.DUMMYFUNCTION("""COMPUTED_VALUE"""),"Vārnu 8")</f>
        <v>Vārnu 8</v>
      </c>
      <c r="D161" s="2">
        <f>IFERROR(__xludf.DUMMYFUNCTION("""COMPUTED_VALUE"""),2.0)</f>
        <v>2</v>
      </c>
      <c r="E161" s="2">
        <f>IFERROR(__xludf.DUMMYFUNCTION("""COMPUTED_VALUE"""),56.0)</f>
        <v>56</v>
      </c>
      <c r="F161" s="2">
        <f>IFERROR(__xludf.DUMMYFUNCTION("""COMPUTED_VALUE"""),1.0)</f>
        <v>1</v>
      </c>
      <c r="G161" s="2">
        <f>IFERROR(__xludf.DUMMYFUNCTION("""COMPUTED_VALUE"""),6.0)</f>
        <v>6</v>
      </c>
      <c r="H161" s="2" t="str">
        <f>IFERROR(__xludf.DUMMYFUNCTION("""COMPUTED_VALUE"""),"P. kara")</f>
        <v>P. kara</v>
      </c>
      <c r="I161" s="2" t="str">
        <f>IFERROR(__xludf.DUMMYFUNCTION("""COMPUTED_VALUE"""),"Brick")</f>
        <v>Brick</v>
      </c>
      <c r="J161" s="2" t="str">
        <f>IFERROR(__xludf.DUMMYFUNCTION("""COMPUTED_VALUE"""),"All amenities")</f>
        <v>All amenities</v>
      </c>
      <c r="K161" s="2">
        <f>IFERROR(__xludf.DUMMYFUNCTION("""COMPUTED_VALUE"""),78800.0)</f>
        <v>78800</v>
      </c>
      <c r="L161" s="2">
        <f>IFERROR(__xludf.DUMMYFUNCTION("""COMPUTED_VALUE"""),56.95811035)</f>
        <v>56.95811035</v>
      </c>
      <c r="M161" s="2">
        <f>IFERROR(__xludf.DUMMYFUNCTION("""COMPUTED_VALUE"""),24.1487611651785)</f>
        <v>24.14876117</v>
      </c>
    </row>
    <row r="162">
      <c r="A162" s="2" t="str">
        <f>IFERROR(__xludf.DUMMYFUNCTION("""COMPUTED_VALUE"""),"For rent")</f>
        <v>For rent</v>
      </c>
      <c r="B162" s="2" t="str">
        <f>IFERROR(__xludf.DUMMYFUNCTION("""COMPUTED_VALUE"""),"centrs")</f>
        <v>centrs</v>
      </c>
      <c r="C162" s="2" t="str">
        <f>IFERROR(__xludf.DUMMYFUNCTION("""COMPUTED_VALUE"""),"Klusā 21")</f>
        <v>Klusā 21</v>
      </c>
      <c r="D162" s="2">
        <f>IFERROR(__xludf.DUMMYFUNCTION("""COMPUTED_VALUE"""),1.0)</f>
        <v>1</v>
      </c>
      <c r="E162" s="2">
        <f>IFERROR(__xludf.DUMMYFUNCTION("""COMPUTED_VALUE"""),24.0)</f>
        <v>24</v>
      </c>
      <c r="F162" s="2">
        <f>IFERROR(__xludf.DUMMYFUNCTION("""COMPUTED_VALUE"""),2.0)</f>
        <v>2</v>
      </c>
      <c r="G162" s="2">
        <f>IFERROR(__xludf.DUMMYFUNCTION("""COMPUTED_VALUE"""),5.0)</f>
        <v>5</v>
      </c>
      <c r="H162" s="2" t="str">
        <f>IFERROR(__xludf.DUMMYFUNCTION("""COMPUTED_VALUE"""),"Renov.")</f>
        <v>Renov.</v>
      </c>
      <c r="I162" s="2" t="str">
        <f>IFERROR(__xludf.DUMMYFUNCTION("""COMPUTED_VALUE"""),"Brick-Panel")</f>
        <v>Brick-Panel</v>
      </c>
      <c r="J162" s="2" t="str">
        <f>IFERROR(__xludf.DUMMYFUNCTION("""COMPUTED_VALUE"""),"All amenities")</f>
        <v>All amenities</v>
      </c>
      <c r="K162" s="2">
        <f>IFERROR(__xludf.DUMMYFUNCTION("""COMPUTED_VALUE"""),250.0)</f>
        <v>250</v>
      </c>
      <c r="L162" s="2">
        <f>IFERROR(__xludf.DUMMYFUNCTION("""COMPUTED_VALUE"""),56.9758898)</f>
        <v>56.9758898</v>
      </c>
      <c r="M162" s="2">
        <f>IFERROR(__xludf.DUMMYFUNCTION("""COMPUTED_VALUE"""),24.1453913835109)</f>
        <v>24.14539138</v>
      </c>
    </row>
    <row r="163">
      <c r="A163" s="2" t="str">
        <f>IFERROR(__xludf.DUMMYFUNCTION("""COMPUTED_VALUE"""),"For rent")</f>
        <v>For rent</v>
      </c>
      <c r="B163" s="2" t="str">
        <f>IFERROR(__xludf.DUMMYFUNCTION("""COMPUTED_VALUE"""),"Bolderāja")</f>
        <v>Bolderāja</v>
      </c>
      <c r="C163" s="2" t="str">
        <f>IFERROR(__xludf.DUMMYFUNCTION("""COMPUTED_VALUE"""),"Lemešu 9")</f>
        <v>Lemešu 9</v>
      </c>
      <c r="D163" s="2">
        <f>IFERROR(__xludf.DUMMYFUNCTION("""COMPUTED_VALUE"""),1.0)</f>
        <v>1</v>
      </c>
      <c r="E163" s="2">
        <f>IFERROR(__xludf.DUMMYFUNCTION("""COMPUTED_VALUE"""),34.0)</f>
        <v>34</v>
      </c>
      <c r="F163" s="2">
        <f>IFERROR(__xludf.DUMMYFUNCTION("""COMPUTED_VALUE"""),1.0)</f>
        <v>1</v>
      </c>
      <c r="G163" s="2">
        <f>IFERROR(__xludf.DUMMYFUNCTION("""COMPUTED_VALUE"""),9.0)</f>
        <v>9</v>
      </c>
      <c r="H163" s="2">
        <f>IFERROR(__xludf.DUMMYFUNCTION("""COMPUTED_VALUE"""),602.0)</f>
        <v>602</v>
      </c>
      <c r="I163" s="2" t="str">
        <f>IFERROR(__xludf.DUMMYFUNCTION("""COMPUTED_VALUE"""),"Panel")</f>
        <v>Panel</v>
      </c>
      <c r="J163" s="2" t="str">
        <f>IFERROR(__xludf.DUMMYFUNCTION("""COMPUTED_VALUE"""),"All amenities")</f>
        <v>All amenities</v>
      </c>
      <c r="K163" s="2">
        <f>IFERROR(__xludf.DUMMYFUNCTION("""COMPUTED_VALUE"""),190.0)</f>
        <v>190</v>
      </c>
      <c r="L163" s="2">
        <f>IFERROR(__xludf.DUMMYFUNCTION("""COMPUTED_VALUE"""),57.0333528)</f>
        <v>57.0333528</v>
      </c>
      <c r="M163" s="2">
        <f>IFERROR(__xludf.DUMMYFUNCTION("""COMPUTED_VALUE"""),24.0553772495031)</f>
        <v>24.05537725</v>
      </c>
    </row>
    <row r="164">
      <c r="A164" s="2" t="str">
        <f>IFERROR(__xludf.DUMMYFUNCTION("""COMPUTED_VALUE"""),"For sale")</f>
        <v>For sale</v>
      </c>
      <c r="B164" s="2" t="str">
        <f>IFERROR(__xludf.DUMMYFUNCTION("""COMPUTED_VALUE"""),"Vecrīga")</f>
        <v>Vecrīga</v>
      </c>
      <c r="C164" s="2" t="str">
        <f>IFERROR(__xludf.DUMMYFUNCTION("""COMPUTED_VALUE"""),"Kungu 25")</f>
        <v>Kungu 25</v>
      </c>
      <c r="D164" s="2">
        <f>IFERROR(__xludf.DUMMYFUNCTION("""COMPUTED_VALUE"""),3.0)</f>
        <v>3</v>
      </c>
      <c r="E164" s="2">
        <f>IFERROR(__xludf.DUMMYFUNCTION("""COMPUTED_VALUE"""),138.0)</f>
        <v>138</v>
      </c>
      <c r="F164" s="2">
        <f>IFERROR(__xludf.DUMMYFUNCTION("""COMPUTED_VALUE"""),3.0)</f>
        <v>3</v>
      </c>
      <c r="G164" s="2">
        <f>IFERROR(__xludf.DUMMYFUNCTION("""COMPUTED_VALUE"""),6.0)</f>
        <v>6</v>
      </c>
      <c r="H164" s="2" t="str">
        <f>IFERROR(__xludf.DUMMYFUNCTION("""COMPUTED_VALUE"""),"Jaun.")</f>
        <v>Jaun.</v>
      </c>
      <c r="I164" s="2" t="str">
        <f>IFERROR(__xludf.DUMMYFUNCTION("""COMPUTED_VALUE"""),"Masonry")</f>
        <v>Masonry</v>
      </c>
      <c r="J164" s="2" t="str">
        <f>IFERROR(__xludf.DUMMYFUNCTION("""COMPUTED_VALUE"""),"All amenities")</f>
        <v>All amenities</v>
      </c>
      <c r="K164" s="2">
        <f>IFERROR(__xludf.DUMMYFUNCTION("""COMPUTED_VALUE"""),275000.0)</f>
        <v>275000</v>
      </c>
      <c r="L164" s="2">
        <f>IFERROR(__xludf.DUMMYFUNCTION("""COMPUTED_VALUE"""),56.9453381999999)</f>
        <v>56.9453382</v>
      </c>
      <c r="M164" s="2">
        <f>IFERROR(__xludf.DUMMYFUNCTION("""COMPUTED_VALUE"""),24.1094639533088)</f>
        <v>24.10946395</v>
      </c>
    </row>
    <row r="165">
      <c r="A165" s="2" t="str">
        <f>IFERROR(__xludf.DUMMYFUNCTION("""COMPUTED_VALUE"""),"For rent")</f>
        <v>For rent</v>
      </c>
      <c r="B165" s="2" t="str">
        <f>IFERROR(__xludf.DUMMYFUNCTION("""COMPUTED_VALUE"""),"Ķengarags")</f>
        <v>Ķengarags</v>
      </c>
      <c r="C165" s="2" t="str">
        <f>IFERROR(__xludf.DUMMYFUNCTION("""COMPUTED_VALUE"""),"Maskavas 313")</f>
        <v>Maskavas 313</v>
      </c>
      <c r="D165" s="2">
        <f>IFERROR(__xludf.DUMMYFUNCTION("""COMPUTED_VALUE"""),1.0)</f>
        <v>1</v>
      </c>
      <c r="E165" s="2">
        <f>IFERROR(__xludf.DUMMYFUNCTION("""COMPUTED_VALUE"""),38.0)</f>
        <v>38</v>
      </c>
      <c r="F165" s="2">
        <f>IFERROR(__xludf.DUMMYFUNCTION("""COMPUTED_VALUE"""),8.0)</f>
        <v>8</v>
      </c>
      <c r="G165" s="2">
        <f>IFERROR(__xludf.DUMMYFUNCTION("""COMPUTED_VALUE"""),12.0)</f>
        <v>12</v>
      </c>
      <c r="H165" s="2" t="str">
        <f>IFERROR(__xludf.DUMMYFUNCTION("""COMPUTED_VALUE"""),"Čehu pr.")</f>
        <v>Čehu pr.</v>
      </c>
      <c r="I165" s="2" t="str">
        <f>IFERROR(__xludf.DUMMYFUNCTION("""COMPUTED_VALUE"""),"Brick")</f>
        <v>Brick</v>
      </c>
      <c r="J165" s="2" t="str">
        <f>IFERROR(__xludf.DUMMYFUNCTION("""COMPUTED_VALUE"""),"All amenities")</f>
        <v>All amenities</v>
      </c>
      <c r="K165" s="2">
        <f>IFERROR(__xludf.DUMMYFUNCTION("""COMPUTED_VALUE"""),200.0)</f>
        <v>200</v>
      </c>
      <c r="L165" s="2">
        <f>IFERROR(__xludf.DUMMYFUNCTION("""COMPUTED_VALUE"""),56.8597884)</f>
        <v>56.8597884</v>
      </c>
      <c r="M165" s="2">
        <f>IFERROR(__xludf.DUMMYFUNCTION("""COMPUTED_VALUE"""),24.3083417)</f>
        <v>24.3083417</v>
      </c>
    </row>
    <row r="166">
      <c r="A166" s="2" t="str">
        <f>IFERROR(__xludf.DUMMYFUNCTION("""COMPUTED_VALUE"""),"For sale")</f>
        <v>For sale</v>
      </c>
      <c r="B166" s="2" t="str">
        <f>IFERROR(__xludf.DUMMYFUNCTION("""COMPUTED_VALUE"""),"Zolitūde")</f>
        <v>Zolitūde</v>
      </c>
      <c r="C166" s="2" t="str">
        <f>IFERROR(__xludf.DUMMYFUNCTION("""COMPUTED_VALUE"""),"Priedaines 13")</f>
        <v>Priedaines 13</v>
      </c>
      <c r="D166" s="2">
        <f>IFERROR(__xludf.DUMMYFUNCTION("""COMPUTED_VALUE"""),1.0)</f>
        <v>1</v>
      </c>
      <c r="E166" s="2">
        <f>IFERROR(__xludf.DUMMYFUNCTION("""COMPUTED_VALUE"""),56.0)</f>
        <v>56</v>
      </c>
      <c r="F166" s="2">
        <f>IFERROR(__xludf.DUMMYFUNCTION("""COMPUTED_VALUE"""),1.0)</f>
        <v>1</v>
      </c>
      <c r="G166" s="2">
        <f>IFERROR(__xludf.DUMMYFUNCTION("""COMPUTED_VALUE"""),4.0)</f>
        <v>4</v>
      </c>
      <c r="H166" s="2" t="str">
        <f>IFERROR(__xludf.DUMMYFUNCTION("""COMPUTED_VALUE"""),"Jaun.")</f>
        <v>Jaun.</v>
      </c>
      <c r="I166" s="2" t="str">
        <f>IFERROR(__xludf.DUMMYFUNCTION("""COMPUTED_VALUE"""),"Brick-Panel")</f>
        <v>Brick-Panel</v>
      </c>
      <c r="J166" s="2" t="str">
        <f>IFERROR(__xludf.DUMMYFUNCTION("""COMPUTED_VALUE"""),"All amenities")</f>
        <v>All amenities</v>
      </c>
      <c r="K166" s="2">
        <f>IFERROR(__xludf.DUMMYFUNCTION("""COMPUTED_VALUE"""),78000.0)</f>
        <v>78000</v>
      </c>
      <c r="L166" s="2">
        <f>IFERROR(__xludf.DUMMYFUNCTION("""COMPUTED_VALUE"""),56.9425813)</f>
        <v>56.9425813</v>
      </c>
      <c r="M166" s="2">
        <f>IFERROR(__xludf.DUMMYFUNCTION("""COMPUTED_VALUE"""),24.0156589752924)</f>
        <v>24.01565898</v>
      </c>
    </row>
    <row r="167">
      <c r="A167" s="2" t="str">
        <f>IFERROR(__xludf.DUMMYFUNCTION("""COMPUTED_VALUE"""),"For rent")</f>
        <v>For rent</v>
      </c>
      <c r="B167" s="2" t="str">
        <f>IFERROR(__xludf.DUMMYFUNCTION("""COMPUTED_VALUE"""),"centrs")</f>
        <v>centrs</v>
      </c>
      <c r="C167" s="2" t="str">
        <f>IFERROR(__xludf.DUMMYFUNCTION("""COMPUTED_VALUE"""),"Teātra 2")</f>
        <v>Teātra 2</v>
      </c>
      <c r="D167" s="2">
        <f>IFERROR(__xludf.DUMMYFUNCTION("""COMPUTED_VALUE"""),3.0)</f>
        <v>3</v>
      </c>
      <c r="E167" s="2">
        <f>IFERROR(__xludf.DUMMYFUNCTION("""COMPUTED_VALUE"""),98.0)</f>
        <v>98</v>
      </c>
      <c r="F167" s="2">
        <f>IFERROR(__xludf.DUMMYFUNCTION("""COMPUTED_VALUE"""),4.0)</f>
        <v>4</v>
      </c>
      <c r="G167" s="2">
        <f>IFERROR(__xludf.DUMMYFUNCTION("""COMPUTED_VALUE"""),6.0)</f>
        <v>6</v>
      </c>
      <c r="H167" s="2" t="str">
        <f>IFERROR(__xludf.DUMMYFUNCTION("""COMPUTED_VALUE"""),"Jaun.")</f>
        <v>Jaun.</v>
      </c>
      <c r="I167" s="2" t="str">
        <f>IFERROR(__xludf.DUMMYFUNCTION("""COMPUTED_VALUE"""),"Brick")</f>
        <v>Brick</v>
      </c>
      <c r="J167" s="2" t="str">
        <f>IFERROR(__xludf.DUMMYFUNCTION("""COMPUTED_VALUE"""),"All amenities")</f>
        <v>All amenities</v>
      </c>
      <c r="K167" s="2">
        <f>IFERROR(__xludf.DUMMYFUNCTION("""COMPUTED_VALUE"""),1100.0)</f>
        <v>1100</v>
      </c>
      <c r="L167" s="2">
        <f>IFERROR(__xludf.DUMMYFUNCTION("""COMPUTED_VALUE"""),56.9481417)</f>
        <v>56.9481417</v>
      </c>
      <c r="M167" s="2">
        <f>IFERROR(__xludf.DUMMYFUNCTION("""COMPUTED_VALUE"""),24.1115806)</f>
        <v>24.1115806</v>
      </c>
    </row>
    <row r="168">
      <c r="A168" s="2" t="str">
        <f>IFERROR(__xludf.DUMMYFUNCTION("""COMPUTED_VALUE"""),"For rent")</f>
        <v>For rent</v>
      </c>
      <c r="B168" s="2" t="str">
        <f>IFERROR(__xludf.DUMMYFUNCTION("""COMPUTED_VALUE"""),"Vecrīga")</f>
        <v>Vecrīga</v>
      </c>
      <c r="C168" s="2" t="str">
        <f>IFERROR(__xludf.DUMMYFUNCTION("""COMPUTED_VALUE"""),"Teātra 2")</f>
        <v>Teātra 2</v>
      </c>
      <c r="D168" s="2">
        <f>IFERROR(__xludf.DUMMYFUNCTION("""COMPUTED_VALUE"""),3.0)</f>
        <v>3</v>
      </c>
      <c r="E168" s="2">
        <f>IFERROR(__xludf.DUMMYFUNCTION("""COMPUTED_VALUE"""),98.0)</f>
        <v>98</v>
      </c>
      <c r="F168" s="2">
        <f>IFERROR(__xludf.DUMMYFUNCTION("""COMPUTED_VALUE"""),4.0)</f>
        <v>4</v>
      </c>
      <c r="G168" s="2">
        <f>IFERROR(__xludf.DUMMYFUNCTION("""COMPUTED_VALUE"""),6.0)</f>
        <v>6</v>
      </c>
      <c r="H168" s="2" t="str">
        <f>IFERROR(__xludf.DUMMYFUNCTION("""COMPUTED_VALUE"""),"Jaun.")</f>
        <v>Jaun.</v>
      </c>
      <c r="I168" s="2" t="str">
        <f>IFERROR(__xludf.DUMMYFUNCTION("""COMPUTED_VALUE"""),"Brick")</f>
        <v>Brick</v>
      </c>
      <c r="J168" s="2" t="str">
        <f>IFERROR(__xludf.DUMMYFUNCTION("""COMPUTED_VALUE"""),"All amenities")</f>
        <v>All amenities</v>
      </c>
      <c r="K168" s="2">
        <f>IFERROR(__xludf.DUMMYFUNCTION("""COMPUTED_VALUE"""),1100.0)</f>
        <v>1100</v>
      </c>
      <c r="L168" s="2">
        <f>IFERROR(__xludf.DUMMYFUNCTION("""COMPUTED_VALUE"""),56.9481417)</f>
        <v>56.9481417</v>
      </c>
      <c r="M168" s="2">
        <f>IFERROR(__xludf.DUMMYFUNCTION("""COMPUTED_VALUE"""),24.1115806)</f>
        <v>24.1115806</v>
      </c>
    </row>
    <row r="169">
      <c r="A169" s="2" t="str">
        <f>IFERROR(__xludf.DUMMYFUNCTION("""COMPUTED_VALUE"""),"For rent")</f>
        <v>For rent</v>
      </c>
      <c r="B169" s="2" t="str">
        <f>IFERROR(__xludf.DUMMYFUNCTION("""COMPUTED_VALUE"""),"Āgenskalns")</f>
        <v>Āgenskalns</v>
      </c>
      <c r="C169" s="2" t="str">
        <f>IFERROR(__xludf.DUMMYFUNCTION("""COMPUTED_VALUE"""),"Valguma 35")</f>
        <v>Valguma 35</v>
      </c>
      <c r="D169" s="2">
        <f>IFERROR(__xludf.DUMMYFUNCTION("""COMPUTED_VALUE"""),2.0)</f>
        <v>2</v>
      </c>
      <c r="E169" s="2">
        <f>IFERROR(__xludf.DUMMYFUNCTION("""COMPUTED_VALUE"""),40.0)</f>
        <v>40</v>
      </c>
      <c r="F169" s="2">
        <f>IFERROR(__xludf.DUMMYFUNCTION("""COMPUTED_VALUE"""),1.0)</f>
        <v>1</v>
      </c>
      <c r="G169" s="2">
        <f>IFERROR(__xludf.DUMMYFUNCTION("""COMPUTED_VALUE"""),5.0)</f>
        <v>5</v>
      </c>
      <c r="H169" s="2" t="str">
        <f>IFERROR(__xludf.DUMMYFUNCTION("""COMPUTED_VALUE"""),"Staļina")</f>
        <v>Staļina</v>
      </c>
      <c r="I169" s="2" t="str">
        <f>IFERROR(__xludf.DUMMYFUNCTION("""COMPUTED_VALUE"""),"Brick")</f>
        <v>Brick</v>
      </c>
      <c r="J169" s="2" t="str">
        <f>IFERROR(__xludf.DUMMYFUNCTION("""COMPUTED_VALUE"""),"All amenities")</f>
        <v>All amenities</v>
      </c>
      <c r="K169" s="2">
        <f>IFERROR(__xludf.DUMMYFUNCTION("""COMPUTED_VALUE"""),390.0)</f>
        <v>390</v>
      </c>
      <c r="L169" s="2">
        <f>IFERROR(__xludf.DUMMYFUNCTION("""COMPUTED_VALUE"""),56.94349035)</f>
        <v>56.94349035</v>
      </c>
      <c r="M169" s="2">
        <f>IFERROR(__xludf.DUMMYFUNCTION("""COMPUTED_VALUE"""),24.0904439555017)</f>
        <v>24.09044396</v>
      </c>
    </row>
    <row r="170">
      <c r="A170" s="2" t="str">
        <f>IFERROR(__xludf.DUMMYFUNCTION("""COMPUTED_VALUE"""),"For rent")</f>
        <v>For rent</v>
      </c>
      <c r="B170" s="2" t="str">
        <f>IFERROR(__xludf.DUMMYFUNCTION("""COMPUTED_VALUE"""),"centrs")</f>
        <v>centrs</v>
      </c>
      <c r="C170" s="2" t="str">
        <f>IFERROR(__xludf.DUMMYFUNCTION("""COMPUTED_VALUE"""),"Lugažu 14")</f>
        <v>Lugažu 14</v>
      </c>
      <c r="D170" s="2">
        <f>IFERROR(__xludf.DUMMYFUNCTION("""COMPUTED_VALUE"""),1.0)</f>
        <v>1</v>
      </c>
      <c r="E170" s="2">
        <f>IFERROR(__xludf.DUMMYFUNCTION("""COMPUTED_VALUE"""),30.0)</f>
        <v>30</v>
      </c>
      <c r="F170" s="2">
        <f>IFERROR(__xludf.DUMMYFUNCTION("""COMPUTED_VALUE"""),1.0)</f>
        <v>1</v>
      </c>
      <c r="G170" s="2">
        <f>IFERROR(__xludf.DUMMYFUNCTION("""COMPUTED_VALUE"""),3.0)</f>
        <v>3</v>
      </c>
      <c r="H170" s="2" t="str">
        <f>IFERROR(__xludf.DUMMYFUNCTION("""COMPUTED_VALUE"""),"Staļina")</f>
        <v>Staļina</v>
      </c>
      <c r="I170" s="2" t="str">
        <f>IFERROR(__xludf.DUMMYFUNCTION("""COMPUTED_VALUE"""),"Brick")</f>
        <v>Brick</v>
      </c>
      <c r="J170" s="2" t="str">
        <f>IFERROR(__xludf.DUMMYFUNCTION("""COMPUTED_VALUE"""),"All amenities")</f>
        <v>All amenities</v>
      </c>
      <c r="K170" s="2">
        <f>IFERROR(__xludf.DUMMYFUNCTION("""COMPUTED_VALUE"""),270.0)</f>
        <v>270</v>
      </c>
      <c r="L170" s="2">
        <f>IFERROR(__xludf.DUMMYFUNCTION("""COMPUTED_VALUE"""),56.97501495)</f>
        <v>56.97501495</v>
      </c>
      <c r="M170" s="2">
        <f>IFERROR(__xludf.DUMMYFUNCTION("""COMPUTED_VALUE"""),24.1066446092479)</f>
        <v>24.10664461</v>
      </c>
    </row>
    <row r="171">
      <c r="A171" s="2" t="str">
        <f>IFERROR(__xludf.DUMMYFUNCTION("""COMPUTED_VALUE"""),"For rent")</f>
        <v>For rent</v>
      </c>
      <c r="B171" s="2" t="str">
        <f>IFERROR(__xludf.DUMMYFUNCTION("""COMPUTED_VALUE"""),"Imanta")</f>
        <v>Imanta</v>
      </c>
      <c r="C171" s="2" t="str">
        <f>IFERROR(__xludf.DUMMYFUNCTION("""COMPUTED_VALUE"""),"Kurzemes pr. 2")</f>
        <v>Kurzemes pr. 2</v>
      </c>
      <c r="D171" s="2">
        <f>IFERROR(__xludf.DUMMYFUNCTION("""COMPUTED_VALUE"""),1.0)</f>
        <v>1</v>
      </c>
      <c r="E171" s="2">
        <f>IFERROR(__xludf.DUMMYFUNCTION("""COMPUTED_VALUE"""),28.0)</f>
        <v>28</v>
      </c>
      <c r="F171" s="2">
        <f>IFERROR(__xludf.DUMMYFUNCTION("""COMPUTED_VALUE"""),1.0)</f>
        <v>1</v>
      </c>
      <c r="G171" s="2">
        <f>IFERROR(__xludf.DUMMYFUNCTION("""COMPUTED_VALUE"""),4.0)</f>
        <v>4</v>
      </c>
      <c r="H171" s="2">
        <f>IFERROR(__xludf.DUMMYFUNCTION("""COMPUTED_VALUE"""),602.0)</f>
        <v>602</v>
      </c>
      <c r="I171" s="2" t="str">
        <f>IFERROR(__xludf.DUMMYFUNCTION("""COMPUTED_VALUE"""),"Brick-Panel")</f>
        <v>Brick-Panel</v>
      </c>
      <c r="J171" s="2" t="str">
        <f>IFERROR(__xludf.DUMMYFUNCTION("""COMPUTED_VALUE"""),"All amenities")</f>
        <v>All amenities</v>
      </c>
      <c r="K171" s="2">
        <f>IFERROR(__xludf.DUMMYFUNCTION("""COMPUTED_VALUE"""),220.0)</f>
        <v>220</v>
      </c>
      <c r="L171" s="2" t="str">
        <f>IFERROR(__xludf.DUMMYFUNCTION("""COMPUTED_VALUE"""),"NaN")</f>
        <v>NaN</v>
      </c>
      <c r="M171" s="2" t="str">
        <f>IFERROR(__xludf.DUMMYFUNCTION("""COMPUTED_VALUE"""),"NaN")</f>
        <v>NaN</v>
      </c>
    </row>
    <row r="172">
      <c r="A172" s="2" t="str">
        <f>IFERROR(__xludf.DUMMYFUNCTION("""COMPUTED_VALUE"""),"For sale")</f>
        <v>For sale</v>
      </c>
      <c r="B172" s="2" t="str">
        <f>IFERROR(__xludf.DUMMYFUNCTION("""COMPUTED_VALUE"""),"Daugavgrīva")</f>
        <v>Daugavgrīva</v>
      </c>
      <c r="C172" s="2" t="str">
        <f>IFERROR(__xludf.DUMMYFUNCTION("""COMPUTED_VALUE"""),"Lēpju 13")</f>
        <v>Lēpju 13</v>
      </c>
      <c r="D172" s="2">
        <f>IFERROR(__xludf.DUMMYFUNCTION("""COMPUTED_VALUE"""),2.0)</f>
        <v>2</v>
      </c>
      <c r="E172" s="2">
        <f>IFERROR(__xludf.DUMMYFUNCTION("""COMPUTED_VALUE"""),54.0)</f>
        <v>54</v>
      </c>
      <c r="F172" s="2">
        <f>IFERROR(__xludf.DUMMYFUNCTION("""COMPUTED_VALUE"""),3.0)</f>
        <v>3</v>
      </c>
      <c r="G172" s="2">
        <f>IFERROR(__xludf.DUMMYFUNCTION("""COMPUTED_VALUE"""),5.0)</f>
        <v>5</v>
      </c>
      <c r="H172" s="2">
        <f>IFERROR(__xludf.DUMMYFUNCTION("""COMPUTED_VALUE"""),103.0)</f>
        <v>103</v>
      </c>
      <c r="I172" s="2" t="str">
        <f>IFERROR(__xludf.DUMMYFUNCTION("""COMPUTED_VALUE"""),"Brick-Panel")</f>
        <v>Brick-Panel</v>
      </c>
      <c r="J172" s="2" t="str">
        <f>IFERROR(__xludf.DUMMYFUNCTION("""COMPUTED_VALUE"""),"All amenities")</f>
        <v>All amenities</v>
      </c>
      <c r="K172" s="2">
        <f>IFERROR(__xludf.DUMMYFUNCTION("""COMPUTED_VALUE"""),34000.0)</f>
        <v>34000</v>
      </c>
      <c r="L172" s="2">
        <f>IFERROR(__xludf.DUMMYFUNCTION("""COMPUTED_VALUE"""),57.038959)</f>
        <v>57.038959</v>
      </c>
      <c r="M172" s="2">
        <f>IFERROR(__xludf.DUMMYFUNCTION("""COMPUTED_VALUE"""),24.0220548389577)</f>
        <v>24.02205484</v>
      </c>
    </row>
    <row r="173">
      <c r="A173" s="2" t="str">
        <f>IFERROR(__xludf.DUMMYFUNCTION("""COMPUTED_VALUE"""),"For sale")</f>
        <v>For sale</v>
      </c>
      <c r="B173" s="2" t="str">
        <f>IFERROR(__xludf.DUMMYFUNCTION("""COMPUTED_VALUE"""),"Bieriņi")</f>
        <v>Bieriņi</v>
      </c>
      <c r="C173" s="2" t="str">
        <f>IFERROR(__xludf.DUMMYFUNCTION("""COMPUTED_VALUE"""),"Spirgus 4")</f>
        <v>Spirgus 4</v>
      </c>
      <c r="D173" s="2">
        <f>IFERROR(__xludf.DUMMYFUNCTION("""COMPUTED_VALUE"""),2.0)</f>
        <v>2</v>
      </c>
      <c r="E173" s="2">
        <f>IFERROR(__xludf.DUMMYFUNCTION("""COMPUTED_VALUE"""),47.0)</f>
        <v>47</v>
      </c>
      <c r="F173" s="2">
        <f>IFERROR(__xludf.DUMMYFUNCTION("""COMPUTED_VALUE"""),2.0)</f>
        <v>2</v>
      </c>
      <c r="G173" s="2">
        <f>IFERROR(__xludf.DUMMYFUNCTION("""COMPUTED_VALUE"""),2.0)</f>
        <v>2</v>
      </c>
      <c r="H173" s="2" t="str">
        <f>IFERROR(__xludf.DUMMYFUNCTION("""COMPUTED_VALUE"""),"Renov.")</f>
        <v>Renov.</v>
      </c>
      <c r="I173" s="2" t="str">
        <f>IFERROR(__xludf.DUMMYFUNCTION("""COMPUTED_VALUE"""),"Wood")</f>
        <v>Wood</v>
      </c>
      <c r="J173" s="2" t="str">
        <f>IFERROR(__xludf.DUMMYFUNCTION("""COMPUTED_VALUE"""),"All amenities")</f>
        <v>All amenities</v>
      </c>
      <c r="K173" s="2">
        <f>IFERROR(__xludf.DUMMYFUNCTION("""COMPUTED_VALUE"""),75000.0)</f>
        <v>75000</v>
      </c>
      <c r="L173" s="2">
        <f>IFERROR(__xludf.DUMMYFUNCTION("""COMPUTED_VALUE"""),56.9214827)</f>
        <v>56.9214827</v>
      </c>
      <c r="M173" s="2">
        <f>IFERROR(__xludf.DUMMYFUNCTION("""COMPUTED_VALUE"""),24.0696882)</f>
        <v>24.0696882</v>
      </c>
    </row>
    <row r="174">
      <c r="A174" s="2" t="str">
        <f>IFERROR(__xludf.DUMMYFUNCTION("""COMPUTED_VALUE"""),"For rent")</f>
        <v>For rent</v>
      </c>
      <c r="B174" s="2" t="str">
        <f>IFERROR(__xludf.DUMMYFUNCTION("""COMPUTED_VALUE"""),"centrs")</f>
        <v>centrs</v>
      </c>
      <c r="C174" s="2" t="str">
        <f>IFERROR(__xludf.DUMMYFUNCTION("""COMPUTED_VALUE"""),"Klijānu 12")</f>
        <v>Klijānu 12</v>
      </c>
      <c r="D174" s="2">
        <f>IFERROR(__xludf.DUMMYFUNCTION("""COMPUTED_VALUE"""),2.0)</f>
        <v>2</v>
      </c>
      <c r="E174" s="2">
        <f>IFERROR(__xludf.DUMMYFUNCTION("""COMPUTED_VALUE"""),32.0)</f>
        <v>32</v>
      </c>
      <c r="F174" s="2">
        <f>IFERROR(__xludf.DUMMYFUNCTION("""COMPUTED_VALUE"""),1.0)</f>
        <v>1</v>
      </c>
      <c r="G174" s="2">
        <f>IFERROR(__xludf.DUMMYFUNCTION("""COMPUTED_VALUE"""),3.0)</f>
        <v>3</v>
      </c>
      <c r="H174" s="2" t="str">
        <f>IFERROR(__xludf.DUMMYFUNCTION("""COMPUTED_VALUE"""),"Jaun.")</f>
        <v>Jaun.</v>
      </c>
      <c r="I174" s="2" t="str">
        <f>IFERROR(__xludf.DUMMYFUNCTION("""COMPUTED_VALUE"""),"Brick")</f>
        <v>Brick</v>
      </c>
      <c r="J174" s="2" t="str">
        <f>IFERROR(__xludf.DUMMYFUNCTION("""COMPUTED_VALUE"""),"All amenities")</f>
        <v>All amenities</v>
      </c>
      <c r="K174" s="2">
        <f>IFERROR(__xludf.DUMMYFUNCTION("""COMPUTED_VALUE"""),27.0)</f>
        <v>27</v>
      </c>
      <c r="L174" s="2">
        <f>IFERROR(__xludf.DUMMYFUNCTION("""COMPUTED_VALUE"""),56.9731957)</f>
        <v>56.9731957</v>
      </c>
      <c r="M174" s="2">
        <f>IFERROR(__xludf.DUMMYFUNCTION("""COMPUTED_VALUE"""),24.1490465)</f>
        <v>24.1490465</v>
      </c>
    </row>
    <row r="175">
      <c r="A175" s="2" t="str">
        <f>IFERROR(__xludf.DUMMYFUNCTION("""COMPUTED_VALUE"""),"For rent")</f>
        <v>For rent</v>
      </c>
      <c r="B175" s="2" t="str">
        <f>IFERROR(__xludf.DUMMYFUNCTION("""COMPUTED_VALUE"""),"centrs")</f>
        <v>centrs</v>
      </c>
      <c r="C175" s="2" t="str">
        <f>IFERROR(__xludf.DUMMYFUNCTION("""COMPUTED_VALUE"""),"Vesetas 26")</f>
        <v>Vesetas 26</v>
      </c>
      <c r="D175" s="2">
        <f>IFERROR(__xludf.DUMMYFUNCTION("""COMPUTED_VALUE"""),2.0)</f>
        <v>2</v>
      </c>
      <c r="E175" s="2">
        <f>IFERROR(__xludf.DUMMYFUNCTION("""COMPUTED_VALUE"""),43.0)</f>
        <v>43</v>
      </c>
      <c r="F175" s="2">
        <f>IFERROR(__xludf.DUMMYFUNCTION("""COMPUTED_VALUE"""),4.0)</f>
        <v>4</v>
      </c>
      <c r="G175" s="2">
        <f>IFERROR(__xludf.DUMMYFUNCTION("""COMPUTED_VALUE"""),9.0)</f>
        <v>9</v>
      </c>
      <c r="H175" s="2" t="str">
        <f>IFERROR(__xludf.DUMMYFUNCTION("""COMPUTED_VALUE"""),"Jaun.")</f>
        <v>Jaun.</v>
      </c>
      <c r="I175" s="2" t="str">
        <f>IFERROR(__xludf.DUMMYFUNCTION("""COMPUTED_VALUE"""),"Panel-Brick")</f>
        <v>Panel-Brick</v>
      </c>
      <c r="J175" s="2" t="str">
        <f>IFERROR(__xludf.DUMMYFUNCTION("""COMPUTED_VALUE"""),"All amenities")</f>
        <v>All amenities</v>
      </c>
      <c r="K175" s="2">
        <f>IFERROR(__xludf.DUMMYFUNCTION("""COMPUTED_VALUE"""),50.0)</f>
        <v>50</v>
      </c>
      <c r="L175" s="2">
        <f>IFERROR(__xludf.DUMMYFUNCTION("""COMPUTED_VALUE"""),56.9628209)</f>
        <v>56.9628209</v>
      </c>
      <c r="M175" s="2">
        <f>IFERROR(__xludf.DUMMYFUNCTION("""COMPUTED_VALUE"""),24.1203782)</f>
        <v>24.1203782</v>
      </c>
    </row>
    <row r="176">
      <c r="A176" s="2" t="str">
        <f>IFERROR(__xludf.DUMMYFUNCTION("""COMPUTED_VALUE"""),"For rent")</f>
        <v>For rent</v>
      </c>
      <c r="B176" s="2" t="str">
        <f>IFERROR(__xludf.DUMMYFUNCTION("""COMPUTED_VALUE"""),"centrs")</f>
        <v>centrs</v>
      </c>
      <c r="C176" s="2" t="str">
        <f>IFERROR(__xludf.DUMMYFUNCTION("""COMPUTED_VALUE"""),"Bruņinieku 72")</f>
        <v>Bruņinieku 72</v>
      </c>
      <c r="D176" s="2">
        <f>IFERROR(__xludf.DUMMYFUNCTION("""COMPUTED_VALUE"""),1.0)</f>
        <v>1</v>
      </c>
      <c r="E176" s="2">
        <f>IFERROR(__xludf.DUMMYFUNCTION("""COMPUTED_VALUE"""),49.0)</f>
        <v>49</v>
      </c>
      <c r="F176" s="2">
        <f>IFERROR(__xludf.DUMMYFUNCTION("""COMPUTED_VALUE"""),3.0)</f>
        <v>3</v>
      </c>
      <c r="G176" s="2">
        <f>IFERROR(__xludf.DUMMYFUNCTION("""COMPUTED_VALUE"""),3.0)</f>
        <v>3</v>
      </c>
      <c r="H176" s="2" t="str">
        <f>IFERROR(__xludf.DUMMYFUNCTION("""COMPUTED_VALUE"""),"Jaun.")</f>
        <v>Jaun.</v>
      </c>
      <c r="I176" s="2" t="str">
        <f>IFERROR(__xludf.DUMMYFUNCTION("""COMPUTED_VALUE"""),"Masonry")</f>
        <v>Masonry</v>
      </c>
      <c r="J176" s="2" t="str">
        <f>IFERROR(__xludf.DUMMYFUNCTION("""COMPUTED_VALUE"""),"All amenities")</f>
        <v>All amenities</v>
      </c>
      <c r="K176" s="2">
        <f>IFERROR(__xludf.DUMMYFUNCTION("""COMPUTED_VALUE"""),550.0)</f>
        <v>550</v>
      </c>
      <c r="L176" s="2">
        <f>IFERROR(__xludf.DUMMYFUNCTION("""COMPUTED_VALUE"""),56.9524426)</f>
        <v>56.9524426</v>
      </c>
      <c r="M176" s="2">
        <f>IFERROR(__xludf.DUMMYFUNCTION("""COMPUTED_VALUE"""),24.1387559142138)</f>
        <v>24.13875591</v>
      </c>
    </row>
    <row r="177">
      <c r="A177" s="2" t="str">
        <f>IFERROR(__xludf.DUMMYFUNCTION("""COMPUTED_VALUE"""),"For rent")</f>
        <v>For rent</v>
      </c>
      <c r="B177" s="2" t="str">
        <f>IFERROR(__xludf.DUMMYFUNCTION("""COMPUTED_VALUE"""),"Dārzciems")</f>
        <v>Dārzciems</v>
      </c>
      <c r="C177" s="2" t="str">
        <f>IFERROR(__xludf.DUMMYFUNCTION("""COMPUTED_VALUE"""),"Nīcgales 52")</f>
        <v>Nīcgales 52</v>
      </c>
      <c r="D177" s="2">
        <f>IFERROR(__xludf.DUMMYFUNCTION("""COMPUTED_VALUE"""),1.0)</f>
        <v>1</v>
      </c>
      <c r="E177" s="2">
        <f>IFERROR(__xludf.DUMMYFUNCTION("""COMPUTED_VALUE"""),35.0)</f>
        <v>35</v>
      </c>
      <c r="F177" s="2">
        <f>IFERROR(__xludf.DUMMYFUNCTION("""COMPUTED_VALUE"""),2.0)</f>
        <v>2</v>
      </c>
      <c r="G177" s="2">
        <f>IFERROR(__xludf.DUMMYFUNCTION("""COMPUTED_VALUE"""),5.0)</f>
        <v>5</v>
      </c>
      <c r="H177" s="2">
        <f>IFERROR(__xludf.DUMMYFUNCTION("""COMPUTED_VALUE"""),103.0)</f>
        <v>103</v>
      </c>
      <c r="I177" s="2" t="str">
        <f>IFERROR(__xludf.DUMMYFUNCTION("""COMPUTED_VALUE"""),"Brick")</f>
        <v>Brick</v>
      </c>
      <c r="J177" s="2" t="str">
        <f>IFERROR(__xludf.DUMMYFUNCTION("""COMPUTED_VALUE"""),"All amenities")</f>
        <v>All amenities</v>
      </c>
      <c r="K177" s="2">
        <f>IFERROR(__xludf.DUMMYFUNCTION("""COMPUTED_VALUE"""),250.0)</f>
        <v>250</v>
      </c>
      <c r="L177" s="2">
        <f>IFERROR(__xludf.DUMMYFUNCTION("""COMPUTED_VALUE"""),56.9505884)</f>
        <v>56.9505884</v>
      </c>
      <c r="M177" s="2">
        <f>IFERROR(__xludf.DUMMYFUNCTION("""COMPUTED_VALUE"""),24.1734239)</f>
        <v>24.1734239</v>
      </c>
    </row>
    <row r="178">
      <c r="A178" s="2" t="str">
        <f>IFERROR(__xludf.DUMMYFUNCTION("""COMPUTED_VALUE"""),"For rent")</f>
        <v>For rent</v>
      </c>
      <c r="B178" s="2" t="str">
        <f>IFERROR(__xludf.DUMMYFUNCTION("""COMPUTED_VALUE"""),"Purvciems")</f>
        <v>Purvciems</v>
      </c>
      <c r="C178" s="2" t="str">
        <f>IFERROR(__xludf.DUMMYFUNCTION("""COMPUTED_VALUE"""),"Nīcgales 52")</f>
        <v>Nīcgales 52</v>
      </c>
      <c r="D178" s="2">
        <f>IFERROR(__xludf.DUMMYFUNCTION("""COMPUTED_VALUE"""),1.0)</f>
        <v>1</v>
      </c>
      <c r="E178" s="2">
        <f>IFERROR(__xludf.DUMMYFUNCTION("""COMPUTED_VALUE"""),35.0)</f>
        <v>35</v>
      </c>
      <c r="F178" s="2">
        <f>IFERROR(__xludf.DUMMYFUNCTION("""COMPUTED_VALUE"""),2.0)</f>
        <v>2</v>
      </c>
      <c r="G178" s="2">
        <f>IFERROR(__xludf.DUMMYFUNCTION("""COMPUTED_VALUE"""),5.0)</f>
        <v>5</v>
      </c>
      <c r="H178" s="2">
        <f>IFERROR(__xludf.DUMMYFUNCTION("""COMPUTED_VALUE"""),103.0)</f>
        <v>103</v>
      </c>
      <c r="I178" s="2" t="str">
        <f>IFERROR(__xludf.DUMMYFUNCTION("""COMPUTED_VALUE"""),"Brick")</f>
        <v>Brick</v>
      </c>
      <c r="J178" s="2" t="str">
        <f>IFERROR(__xludf.DUMMYFUNCTION("""COMPUTED_VALUE"""),"All amenities")</f>
        <v>All amenities</v>
      </c>
      <c r="K178" s="2">
        <f>IFERROR(__xludf.DUMMYFUNCTION("""COMPUTED_VALUE"""),250.0)</f>
        <v>250</v>
      </c>
      <c r="L178" s="2">
        <f>IFERROR(__xludf.DUMMYFUNCTION("""COMPUTED_VALUE"""),56.9505884)</f>
        <v>56.9505884</v>
      </c>
      <c r="M178" s="2">
        <f>IFERROR(__xludf.DUMMYFUNCTION("""COMPUTED_VALUE"""),24.1734239)</f>
        <v>24.1734239</v>
      </c>
    </row>
    <row r="179">
      <c r="A179" s="2" t="str">
        <f>IFERROR(__xludf.DUMMYFUNCTION("""COMPUTED_VALUE"""),"For sale")</f>
        <v>For sale</v>
      </c>
      <c r="B179" s="2" t="str">
        <f>IFERROR(__xludf.DUMMYFUNCTION("""COMPUTED_VALUE"""),"Purvciems")</f>
        <v>Purvciems</v>
      </c>
      <c r="C179" s="2" t="str">
        <f>IFERROR(__xludf.DUMMYFUNCTION("""COMPUTED_VALUE"""),"Nīcgales 4")</f>
        <v>Nīcgales 4</v>
      </c>
      <c r="D179" s="2">
        <f>IFERROR(__xludf.DUMMYFUNCTION("""COMPUTED_VALUE"""),2.0)</f>
        <v>2</v>
      </c>
      <c r="E179" s="2">
        <f>IFERROR(__xludf.DUMMYFUNCTION("""COMPUTED_VALUE"""),50.0)</f>
        <v>50</v>
      </c>
      <c r="F179" s="2">
        <f>IFERROR(__xludf.DUMMYFUNCTION("""COMPUTED_VALUE"""),4.0)</f>
        <v>4</v>
      </c>
      <c r="G179" s="2">
        <f>IFERROR(__xludf.DUMMYFUNCTION("""COMPUTED_VALUE"""),9.0)</f>
        <v>9</v>
      </c>
      <c r="H179" s="2">
        <f>IFERROR(__xludf.DUMMYFUNCTION("""COMPUTED_VALUE"""),602.0)</f>
        <v>602</v>
      </c>
      <c r="I179" s="2" t="str">
        <f>IFERROR(__xludf.DUMMYFUNCTION("""COMPUTED_VALUE"""),"Panel")</f>
        <v>Panel</v>
      </c>
      <c r="J179" s="2" t="str">
        <f>IFERROR(__xludf.DUMMYFUNCTION("""COMPUTED_VALUE"""),"All amenities")</f>
        <v>All amenities</v>
      </c>
      <c r="K179" s="2">
        <f>IFERROR(__xludf.DUMMYFUNCTION("""COMPUTED_VALUE"""),59500.0)</f>
        <v>59500</v>
      </c>
      <c r="L179" s="2">
        <f>IFERROR(__xludf.DUMMYFUNCTION("""COMPUTED_VALUE"""),56.95855255)</f>
        <v>56.95855255</v>
      </c>
      <c r="M179" s="2">
        <f>IFERROR(__xludf.DUMMYFUNCTION("""COMPUTED_VALUE"""),24.1753163275791)</f>
        <v>24.17531633</v>
      </c>
    </row>
    <row r="180">
      <c r="A180" s="2" t="str">
        <f>IFERROR(__xludf.DUMMYFUNCTION("""COMPUTED_VALUE"""),"For rent")</f>
        <v>For rent</v>
      </c>
      <c r="B180" s="2" t="str">
        <f>IFERROR(__xludf.DUMMYFUNCTION("""COMPUTED_VALUE"""),"centrs")</f>
        <v>centrs</v>
      </c>
      <c r="C180" s="2" t="str">
        <f>IFERROR(__xludf.DUMMYFUNCTION("""COMPUTED_VALUE"""),"Dzirnavu 6")</f>
        <v>Dzirnavu 6</v>
      </c>
      <c r="D180" s="2">
        <f>IFERROR(__xludf.DUMMYFUNCTION("""COMPUTED_VALUE"""),3.0)</f>
        <v>3</v>
      </c>
      <c r="E180" s="2">
        <f>IFERROR(__xludf.DUMMYFUNCTION("""COMPUTED_VALUE"""),60.0)</f>
        <v>60</v>
      </c>
      <c r="F180" s="2">
        <f>IFERROR(__xludf.DUMMYFUNCTION("""COMPUTED_VALUE"""),3.0)</f>
        <v>3</v>
      </c>
      <c r="G180" s="2">
        <f>IFERROR(__xludf.DUMMYFUNCTION("""COMPUTED_VALUE"""),5.0)</f>
        <v>5</v>
      </c>
      <c r="H180" s="2" t="str">
        <f>IFERROR(__xludf.DUMMYFUNCTION("""COMPUTED_VALUE"""),"Renov.")</f>
        <v>Renov.</v>
      </c>
      <c r="I180" s="2" t="str">
        <f>IFERROR(__xludf.DUMMYFUNCTION("""COMPUTED_VALUE"""),"Masonry")</f>
        <v>Masonry</v>
      </c>
      <c r="J180" s="2" t="str">
        <f>IFERROR(__xludf.DUMMYFUNCTION("""COMPUTED_VALUE"""),"All amenities")</f>
        <v>All amenities</v>
      </c>
      <c r="K180" s="2">
        <f>IFERROR(__xludf.DUMMYFUNCTION("""COMPUTED_VALUE"""),700.0)</f>
        <v>700</v>
      </c>
      <c r="L180" s="2">
        <f>IFERROR(__xludf.DUMMYFUNCTION("""COMPUTED_VALUE"""),56.9612002)</f>
        <v>56.9612002</v>
      </c>
      <c r="M180" s="2">
        <f>IFERROR(__xludf.DUMMYFUNCTION("""COMPUTED_VALUE"""),24.1075394109907)</f>
        <v>24.10753941</v>
      </c>
    </row>
    <row r="181">
      <c r="A181" s="2" t="str">
        <f>IFERROR(__xludf.DUMMYFUNCTION("""COMPUTED_VALUE"""),"For sale")</f>
        <v>For sale</v>
      </c>
      <c r="B181" s="2" t="str">
        <f>IFERROR(__xludf.DUMMYFUNCTION("""COMPUTED_VALUE"""),"Mežaparks")</f>
        <v>Mežaparks</v>
      </c>
      <c r="C181" s="2" t="str">
        <f>IFERROR(__xludf.DUMMYFUNCTION("""COMPUTED_VALUE"""),"Viestura pr. 16")</f>
        <v>Viestura pr. 16</v>
      </c>
      <c r="D181" s="2">
        <f>IFERROR(__xludf.DUMMYFUNCTION("""COMPUTED_VALUE"""),3.0)</f>
        <v>3</v>
      </c>
      <c r="E181" s="2">
        <f>IFERROR(__xludf.DUMMYFUNCTION("""COMPUTED_VALUE"""),60.0)</f>
        <v>60</v>
      </c>
      <c r="F181" s="2">
        <f>IFERROR(__xludf.DUMMYFUNCTION("""COMPUTED_VALUE"""),3.0)</f>
        <v>3</v>
      </c>
      <c r="G181" s="2">
        <f>IFERROR(__xludf.DUMMYFUNCTION("""COMPUTED_VALUE"""),9.0)</f>
        <v>9</v>
      </c>
      <c r="H181" s="2">
        <f>IFERROR(__xludf.DUMMYFUNCTION("""COMPUTED_VALUE"""),467.0)</f>
        <v>467</v>
      </c>
      <c r="I181" s="2" t="str">
        <f>IFERROR(__xludf.DUMMYFUNCTION("""COMPUTED_VALUE"""),"Panel")</f>
        <v>Panel</v>
      </c>
      <c r="J181" s="2" t="str">
        <f>IFERROR(__xludf.DUMMYFUNCTION("""COMPUTED_VALUE"""),"All amenities")</f>
        <v>All amenities</v>
      </c>
      <c r="K181" s="2">
        <f>IFERROR(__xludf.DUMMYFUNCTION("""COMPUTED_VALUE"""),65000.0)</f>
        <v>65000</v>
      </c>
      <c r="L181" s="2" t="str">
        <f>IFERROR(__xludf.DUMMYFUNCTION("""COMPUTED_VALUE"""),"NaN")</f>
        <v>NaN</v>
      </c>
      <c r="M181" s="2" t="str">
        <f>IFERROR(__xludf.DUMMYFUNCTION("""COMPUTED_VALUE"""),"NaN")</f>
        <v>NaN</v>
      </c>
    </row>
    <row r="182">
      <c r="A182" s="2" t="str">
        <f>IFERROR(__xludf.DUMMYFUNCTION("""COMPUTED_VALUE"""),"For rent")</f>
        <v>For rent</v>
      </c>
      <c r="B182" s="2" t="str">
        <f>IFERROR(__xludf.DUMMYFUNCTION("""COMPUTED_VALUE"""),"centrs")</f>
        <v>centrs</v>
      </c>
      <c r="C182" s="2" t="str">
        <f>IFERROR(__xludf.DUMMYFUNCTION("""COMPUTED_VALUE"""),"Barona 28")</f>
        <v>Barona 28</v>
      </c>
      <c r="D182" s="2">
        <f>IFERROR(__xludf.DUMMYFUNCTION("""COMPUTED_VALUE"""),3.0)</f>
        <v>3</v>
      </c>
      <c r="E182" s="2">
        <f>IFERROR(__xludf.DUMMYFUNCTION("""COMPUTED_VALUE"""),93.0)</f>
        <v>93</v>
      </c>
      <c r="F182" s="2">
        <f>IFERROR(__xludf.DUMMYFUNCTION("""COMPUTED_VALUE"""),5.0)</f>
        <v>5</v>
      </c>
      <c r="G182" s="2">
        <f>IFERROR(__xludf.DUMMYFUNCTION("""COMPUTED_VALUE"""),5.0)</f>
        <v>5</v>
      </c>
      <c r="H182" s="2" t="str">
        <f>IFERROR(__xludf.DUMMYFUNCTION("""COMPUTED_VALUE"""),"P. kara")</f>
        <v>P. kara</v>
      </c>
      <c r="I182" s="2" t="str">
        <f>IFERROR(__xludf.DUMMYFUNCTION("""COMPUTED_VALUE"""),"Masonry")</f>
        <v>Masonry</v>
      </c>
      <c r="J182" s="2" t="str">
        <f>IFERROR(__xludf.DUMMYFUNCTION("""COMPUTED_VALUE"""),"All amenities")</f>
        <v>All amenities</v>
      </c>
      <c r="K182" s="2">
        <f>IFERROR(__xludf.DUMMYFUNCTION("""COMPUTED_VALUE"""),465.0)</f>
        <v>465</v>
      </c>
      <c r="L182" s="2">
        <f>IFERROR(__xludf.DUMMYFUNCTION("""COMPUTED_VALUE"""),56.952144)</f>
        <v>56.952144</v>
      </c>
      <c r="M182" s="2">
        <f>IFERROR(__xludf.DUMMYFUNCTION("""COMPUTED_VALUE"""),24.1234383)</f>
        <v>24.1234383</v>
      </c>
    </row>
    <row r="183">
      <c r="A183" s="2" t="str">
        <f>IFERROR(__xludf.DUMMYFUNCTION("""COMPUTED_VALUE"""),"For rent")</f>
        <v>For rent</v>
      </c>
      <c r="B183" s="2" t="str">
        <f>IFERROR(__xludf.DUMMYFUNCTION("""COMPUTED_VALUE"""),"centrs")</f>
        <v>centrs</v>
      </c>
      <c r="C183" s="2" t="str">
        <f>IFERROR(__xludf.DUMMYFUNCTION("""COMPUTED_VALUE"""),"Lāčplēša 70")</f>
        <v>Lāčplēša 70</v>
      </c>
      <c r="D183" s="2">
        <f>IFERROR(__xludf.DUMMYFUNCTION("""COMPUTED_VALUE"""),3.0)</f>
        <v>3</v>
      </c>
      <c r="E183" s="2">
        <f>IFERROR(__xludf.DUMMYFUNCTION("""COMPUTED_VALUE"""),85.0)</f>
        <v>85</v>
      </c>
      <c r="F183" s="2">
        <f>IFERROR(__xludf.DUMMYFUNCTION("""COMPUTED_VALUE"""),3.0)</f>
        <v>3</v>
      </c>
      <c r="G183" s="2">
        <f>IFERROR(__xludf.DUMMYFUNCTION("""COMPUTED_VALUE"""),5.0)</f>
        <v>5</v>
      </c>
      <c r="H183" s="2" t="str">
        <f>IFERROR(__xludf.DUMMYFUNCTION("""COMPUTED_VALUE"""),"P. kara")</f>
        <v>P. kara</v>
      </c>
      <c r="I183" s="2" t="str">
        <f>IFERROR(__xludf.DUMMYFUNCTION("""COMPUTED_VALUE"""),"Brick")</f>
        <v>Brick</v>
      </c>
      <c r="J183" s="2" t="str">
        <f>IFERROR(__xludf.DUMMYFUNCTION("""COMPUTED_VALUE"""),"All amenities")</f>
        <v>All amenities</v>
      </c>
      <c r="K183" s="2">
        <f>IFERROR(__xludf.DUMMYFUNCTION("""COMPUTED_VALUE"""),600.0)</f>
        <v>600</v>
      </c>
      <c r="L183" s="2">
        <f>IFERROR(__xludf.DUMMYFUNCTION("""COMPUTED_VALUE"""),56.9505257)</f>
        <v>56.9505257</v>
      </c>
      <c r="M183" s="2">
        <f>IFERROR(__xludf.DUMMYFUNCTION("""COMPUTED_VALUE"""),24.1319905)</f>
        <v>24.1319905</v>
      </c>
    </row>
    <row r="184">
      <c r="A184" s="2" t="str">
        <f>IFERROR(__xludf.DUMMYFUNCTION("""COMPUTED_VALUE"""),"For rent")</f>
        <v>For rent</v>
      </c>
      <c r="B184" s="2" t="str">
        <f>IFERROR(__xludf.DUMMYFUNCTION("""COMPUTED_VALUE"""),"Jugla")</f>
        <v>Jugla</v>
      </c>
      <c r="C184" s="2" t="str">
        <f>IFERROR(__xludf.DUMMYFUNCTION("""COMPUTED_VALUE"""),"Brīvības gatve 365")</f>
        <v>Brīvības gatve 365</v>
      </c>
      <c r="D184" s="2">
        <f>IFERROR(__xludf.DUMMYFUNCTION("""COMPUTED_VALUE"""),2.0)</f>
        <v>2</v>
      </c>
      <c r="E184" s="2">
        <f>IFERROR(__xludf.DUMMYFUNCTION("""COMPUTED_VALUE"""),40.0)</f>
        <v>40</v>
      </c>
      <c r="F184" s="2">
        <f>IFERROR(__xludf.DUMMYFUNCTION("""COMPUTED_VALUE"""),1.0)</f>
        <v>1</v>
      </c>
      <c r="G184" s="2">
        <f>IFERROR(__xludf.DUMMYFUNCTION("""COMPUTED_VALUE"""),5.0)</f>
        <v>5</v>
      </c>
      <c r="H184" s="2" t="str">
        <f>IFERROR(__xludf.DUMMYFUNCTION("""COMPUTED_VALUE"""),"Hrušč.")</f>
        <v>Hrušč.</v>
      </c>
      <c r="I184" s="2" t="str">
        <f>IFERROR(__xludf.DUMMYFUNCTION("""COMPUTED_VALUE"""),"Brick")</f>
        <v>Brick</v>
      </c>
      <c r="J184" s="2" t="str">
        <f>IFERROR(__xludf.DUMMYFUNCTION("""COMPUTED_VALUE"""),"All amenities")</f>
        <v>All amenities</v>
      </c>
      <c r="K184" s="2">
        <f>IFERROR(__xludf.DUMMYFUNCTION("""COMPUTED_VALUE"""),280.0)</f>
        <v>280</v>
      </c>
      <c r="L184" s="2">
        <f>IFERROR(__xludf.DUMMYFUNCTION("""COMPUTED_VALUE"""),56.98777415)</f>
        <v>56.98777415</v>
      </c>
      <c r="M184" s="2">
        <f>IFERROR(__xludf.DUMMYFUNCTION("""COMPUTED_VALUE"""),24.21901805)</f>
        <v>24.21901805</v>
      </c>
    </row>
    <row r="185">
      <c r="A185" s="2" t="str">
        <f>IFERROR(__xludf.DUMMYFUNCTION("""COMPUTED_VALUE"""),"For sale")</f>
        <v>For sale</v>
      </c>
      <c r="B185" s="2" t="str">
        <f>IFERROR(__xludf.DUMMYFUNCTION("""COMPUTED_VALUE"""),"centrs")</f>
        <v>centrs</v>
      </c>
      <c r="C185" s="2" t="str">
        <f>IFERROR(__xludf.DUMMYFUNCTION("""COMPUTED_VALUE"""),"Birznieka-Upīša 18a")</f>
        <v>Birznieka-Upīša 18a</v>
      </c>
      <c r="D185" s="2">
        <f>IFERROR(__xludf.DUMMYFUNCTION("""COMPUTED_VALUE"""),3.0)</f>
        <v>3</v>
      </c>
      <c r="E185" s="2">
        <f>IFERROR(__xludf.DUMMYFUNCTION("""COMPUTED_VALUE"""),70.0)</f>
        <v>70</v>
      </c>
      <c r="F185" s="2">
        <f>IFERROR(__xludf.DUMMYFUNCTION("""COMPUTED_VALUE"""),3.0)</f>
        <v>3</v>
      </c>
      <c r="G185" s="2">
        <f>IFERROR(__xludf.DUMMYFUNCTION("""COMPUTED_VALUE"""),7.0)</f>
        <v>7</v>
      </c>
      <c r="H185" s="2" t="str">
        <f>IFERROR(__xludf.DUMMYFUNCTION("""COMPUTED_VALUE"""),"Renov.")</f>
        <v>Renov.</v>
      </c>
      <c r="I185" s="2" t="str">
        <f>IFERROR(__xludf.DUMMYFUNCTION("""COMPUTED_VALUE"""),"Masonry")</f>
        <v>Masonry</v>
      </c>
      <c r="J185" s="2" t="str">
        <f>IFERROR(__xludf.DUMMYFUNCTION("""COMPUTED_VALUE"""),"All amenities")</f>
        <v>All amenities</v>
      </c>
      <c r="K185" s="2">
        <f>IFERROR(__xludf.DUMMYFUNCTION("""COMPUTED_VALUE"""),155000.0)</f>
        <v>155000</v>
      </c>
      <c r="L185" s="2">
        <f>IFERROR(__xludf.DUMMYFUNCTION("""COMPUTED_VALUE"""),56.9491897)</f>
        <v>56.9491897</v>
      </c>
      <c r="M185" s="2">
        <f>IFERROR(__xludf.DUMMYFUNCTION("""COMPUTED_VALUE"""),24.1285)</f>
        <v>24.1285</v>
      </c>
    </row>
    <row r="186">
      <c r="A186" s="2" t="str">
        <f>IFERROR(__xludf.DUMMYFUNCTION("""COMPUTED_VALUE"""),"For sale")</f>
        <v>For sale</v>
      </c>
      <c r="B186" s="2" t="str">
        <f>IFERROR(__xludf.DUMMYFUNCTION("""COMPUTED_VALUE"""),"centrs")</f>
        <v>centrs</v>
      </c>
      <c r="C186" s="2" t="str">
        <f>IFERROR(__xludf.DUMMYFUNCTION("""COMPUTED_VALUE"""),"Rūdolfa 1")</f>
        <v>Rūdolfa 1</v>
      </c>
      <c r="D186" s="2">
        <f>IFERROR(__xludf.DUMMYFUNCTION("""COMPUTED_VALUE"""),1.0)</f>
        <v>1</v>
      </c>
      <c r="E186" s="2">
        <f>IFERROR(__xludf.DUMMYFUNCTION("""COMPUTED_VALUE"""),30.0)</f>
        <v>30</v>
      </c>
      <c r="F186" s="2">
        <f>IFERROR(__xludf.DUMMYFUNCTION("""COMPUTED_VALUE"""),3.0)</f>
        <v>3</v>
      </c>
      <c r="G186" s="2">
        <f>IFERROR(__xludf.DUMMYFUNCTION("""COMPUTED_VALUE"""),6.0)</f>
        <v>6</v>
      </c>
      <c r="H186" s="2" t="str">
        <f>IFERROR(__xludf.DUMMYFUNCTION("""COMPUTED_VALUE"""),"P. kara")</f>
        <v>P. kara</v>
      </c>
      <c r="I186" s="2" t="str">
        <f>IFERROR(__xludf.DUMMYFUNCTION("""COMPUTED_VALUE"""),"Brick")</f>
        <v>Brick</v>
      </c>
      <c r="J186" s="2" t="str">
        <f>IFERROR(__xludf.DUMMYFUNCTION("""COMPUTED_VALUE"""),"All amenities")</f>
        <v>All amenities</v>
      </c>
      <c r="K186" s="2">
        <f>IFERROR(__xludf.DUMMYFUNCTION("""COMPUTED_VALUE"""),58000.0)</f>
        <v>58000</v>
      </c>
      <c r="L186" s="2">
        <f>IFERROR(__xludf.DUMMYFUNCTION("""COMPUTED_VALUE"""),56.9620223999999)</f>
        <v>56.9620224</v>
      </c>
      <c r="M186" s="2">
        <f>IFERROR(__xludf.DUMMYFUNCTION("""COMPUTED_VALUE"""),24.1521939477261)</f>
        <v>24.15219395</v>
      </c>
    </row>
    <row r="187">
      <c r="A187" s="2" t="str">
        <f>IFERROR(__xludf.DUMMYFUNCTION("""COMPUTED_VALUE"""),"For rent")</f>
        <v>For rent</v>
      </c>
      <c r="B187" s="2" t="str">
        <f>IFERROR(__xludf.DUMMYFUNCTION("""COMPUTED_VALUE"""),"centrs")</f>
        <v>centrs</v>
      </c>
      <c r="C187" s="2" t="str">
        <f>IFERROR(__xludf.DUMMYFUNCTION("""COMPUTED_VALUE"""),"Tomsona 30")</f>
        <v>Tomsona 30</v>
      </c>
      <c r="D187" s="2">
        <f>IFERROR(__xludf.DUMMYFUNCTION("""COMPUTED_VALUE"""),2.0)</f>
        <v>2</v>
      </c>
      <c r="E187" s="2">
        <f>IFERROR(__xludf.DUMMYFUNCTION("""COMPUTED_VALUE"""),55.0)</f>
        <v>55</v>
      </c>
      <c r="F187" s="2">
        <f>IFERROR(__xludf.DUMMYFUNCTION("""COMPUTED_VALUE"""),5.0)</f>
        <v>5</v>
      </c>
      <c r="G187" s="2">
        <f>IFERROR(__xludf.DUMMYFUNCTION("""COMPUTED_VALUE"""),9.0)</f>
        <v>9</v>
      </c>
      <c r="H187" s="2" t="str">
        <f>IFERROR(__xludf.DUMMYFUNCTION("""COMPUTED_VALUE"""),"Jaun.")</f>
        <v>Jaun.</v>
      </c>
      <c r="I187" s="2" t="str">
        <f>IFERROR(__xludf.DUMMYFUNCTION("""COMPUTED_VALUE"""),"Panel")</f>
        <v>Panel</v>
      </c>
      <c r="J187" s="2" t="str">
        <f>IFERROR(__xludf.DUMMYFUNCTION("""COMPUTED_VALUE"""),"All amenities")</f>
        <v>All amenities</v>
      </c>
      <c r="K187" s="2">
        <f>IFERROR(__xludf.DUMMYFUNCTION("""COMPUTED_VALUE"""),500.0)</f>
        <v>500</v>
      </c>
      <c r="L187" s="2">
        <f>IFERROR(__xludf.DUMMYFUNCTION("""COMPUTED_VALUE"""),56.9665863)</f>
        <v>56.9665863</v>
      </c>
      <c r="M187" s="2">
        <f>IFERROR(__xludf.DUMMYFUNCTION("""COMPUTED_VALUE"""),24.1282258)</f>
        <v>24.1282258</v>
      </c>
    </row>
    <row r="188">
      <c r="A188" s="2" t="str">
        <f>IFERROR(__xludf.DUMMYFUNCTION("""COMPUTED_VALUE"""),"For rent")</f>
        <v>For rent</v>
      </c>
      <c r="B188" s="2" t="str">
        <f>IFERROR(__xludf.DUMMYFUNCTION("""COMPUTED_VALUE"""),"Jugla")</f>
        <v>Jugla</v>
      </c>
      <c r="C188" s="2" t="str">
        <f>IFERROR(__xludf.DUMMYFUNCTION("""COMPUTED_VALUE"""),"Brīvības gatve 405/1")</f>
        <v>Brīvības gatve 405/1</v>
      </c>
      <c r="D188" s="2">
        <f>IFERROR(__xludf.DUMMYFUNCTION("""COMPUTED_VALUE"""),2.0)</f>
        <v>2</v>
      </c>
      <c r="E188" s="2">
        <f>IFERROR(__xludf.DUMMYFUNCTION("""COMPUTED_VALUE"""),46.0)</f>
        <v>46</v>
      </c>
      <c r="F188" s="2">
        <f>IFERROR(__xludf.DUMMYFUNCTION("""COMPUTED_VALUE"""),2.0)</f>
        <v>2</v>
      </c>
      <c r="G188" s="2">
        <f>IFERROR(__xludf.DUMMYFUNCTION("""COMPUTED_VALUE"""),5.0)</f>
        <v>5</v>
      </c>
      <c r="H188" s="2" t="str">
        <f>IFERROR(__xludf.DUMMYFUNCTION("""COMPUTED_VALUE"""),"Hrušč.")</f>
        <v>Hrušč.</v>
      </c>
      <c r="I188" s="2" t="str">
        <f>IFERROR(__xludf.DUMMYFUNCTION("""COMPUTED_VALUE"""),"Brick")</f>
        <v>Brick</v>
      </c>
      <c r="J188" s="2" t="str">
        <f>IFERROR(__xludf.DUMMYFUNCTION("""COMPUTED_VALUE"""),"All amenities")</f>
        <v>All amenities</v>
      </c>
      <c r="K188" s="2">
        <f>IFERROR(__xludf.DUMMYFUNCTION("""COMPUTED_VALUE"""),340.0)</f>
        <v>340</v>
      </c>
      <c r="L188" s="2">
        <f>IFERROR(__xludf.DUMMYFUNCTION("""COMPUTED_VALUE"""),56.9730973)</f>
        <v>56.9730973</v>
      </c>
      <c r="M188" s="2">
        <f>IFERROR(__xludf.DUMMYFUNCTION("""COMPUTED_VALUE"""),24.1660728)</f>
        <v>24.1660728</v>
      </c>
    </row>
    <row r="189">
      <c r="A189" s="2" t="str">
        <f>IFERROR(__xludf.DUMMYFUNCTION("""COMPUTED_VALUE"""),"For sale")</f>
        <v>For sale</v>
      </c>
      <c r="B189" s="2" t="str">
        <f>IFERROR(__xludf.DUMMYFUNCTION("""COMPUTED_VALUE"""),"Berģi")</f>
        <v>Berģi</v>
      </c>
      <c r="C189" s="2" t="str">
        <f>IFERROR(__xludf.DUMMYFUNCTION("""COMPUTED_VALUE"""),"Berģu 17")</f>
        <v>Berģu 17</v>
      </c>
      <c r="D189" s="2">
        <f>IFERROR(__xludf.DUMMYFUNCTION("""COMPUTED_VALUE"""),2.0)</f>
        <v>2</v>
      </c>
      <c r="E189" s="2">
        <f>IFERROR(__xludf.DUMMYFUNCTION("""COMPUTED_VALUE"""),51.0)</f>
        <v>51</v>
      </c>
      <c r="F189" s="2">
        <f>IFERROR(__xludf.DUMMYFUNCTION("""COMPUTED_VALUE"""),1.0)</f>
        <v>1</v>
      </c>
      <c r="G189" s="2">
        <f>IFERROR(__xludf.DUMMYFUNCTION("""COMPUTED_VALUE"""),2.0)</f>
        <v>2</v>
      </c>
      <c r="H189" s="2" t="str">
        <f>IFERROR(__xludf.DUMMYFUNCTION("""COMPUTED_VALUE"""),"Jaun.")</f>
        <v>Jaun.</v>
      </c>
      <c r="I189" s="2" t="str">
        <f>IFERROR(__xludf.DUMMYFUNCTION("""COMPUTED_VALUE"""),"Masonry")</f>
        <v>Masonry</v>
      </c>
      <c r="J189" s="2" t="str">
        <f>IFERROR(__xludf.DUMMYFUNCTION("""COMPUTED_VALUE"""),"All amenities")</f>
        <v>All amenities</v>
      </c>
      <c r="K189" s="2">
        <f>IFERROR(__xludf.DUMMYFUNCTION("""COMPUTED_VALUE"""),75900.0)</f>
        <v>75900</v>
      </c>
      <c r="L189" s="2">
        <f>IFERROR(__xludf.DUMMYFUNCTION("""COMPUTED_VALUE"""),56.9997624)</f>
        <v>56.9997624</v>
      </c>
      <c r="M189" s="2">
        <f>IFERROR(__xludf.DUMMYFUNCTION("""COMPUTED_VALUE"""),24.2761911)</f>
        <v>24.2761911</v>
      </c>
    </row>
    <row r="190">
      <c r="A190" s="2" t="str">
        <f>IFERROR(__xludf.DUMMYFUNCTION("""COMPUTED_VALUE"""),"For sale")</f>
        <v>For sale</v>
      </c>
      <c r="B190" s="2" t="str">
        <f>IFERROR(__xludf.DUMMYFUNCTION("""COMPUTED_VALUE"""),"Dzegužkalns")</f>
        <v>Dzegužkalns</v>
      </c>
      <c r="C190" s="2" t="str">
        <f>IFERROR(__xludf.DUMMYFUNCTION("""COMPUTED_VALUE"""),"Lielezeres 10")</f>
        <v>Lielezeres 10</v>
      </c>
      <c r="D190" s="2">
        <f>IFERROR(__xludf.DUMMYFUNCTION("""COMPUTED_VALUE"""),3.0)</f>
        <v>3</v>
      </c>
      <c r="E190" s="2">
        <f>IFERROR(__xludf.DUMMYFUNCTION("""COMPUTED_VALUE"""),65.0)</f>
        <v>65</v>
      </c>
      <c r="F190" s="2">
        <f>IFERROR(__xludf.DUMMYFUNCTION("""COMPUTED_VALUE"""),5.0)</f>
        <v>5</v>
      </c>
      <c r="G190" s="2">
        <f>IFERROR(__xludf.DUMMYFUNCTION("""COMPUTED_VALUE"""),5.0)</f>
        <v>5</v>
      </c>
      <c r="H190" s="2" t="str">
        <f>IFERROR(__xludf.DUMMYFUNCTION("""COMPUTED_VALUE"""),"Jaun.")</f>
        <v>Jaun.</v>
      </c>
      <c r="I190" s="2" t="str">
        <f>IFERROR(__xludf.DUMMYFUNCTION("""COMPUTED_VALUE"""),"Masonry")</f>
        <v>Masonry</v>
      </c>
      <c r="J190" s="2" t="str">
        <f>IFERROR(__xludf.DUMMYFUNCTION("""COMPUTED_VALUE"""),"All amenities")</f>
        <v>All amenities</v>
      </c>
      <c r="K190" s="2">
        <f>IFERROR(__xludf.DUMMYFUNCTION("""COMPUTED_VALUE"""),94000.0)</f>
        <v>94000</v>
      </c>
      <c r="L190" s="2">
        <f>IFERROR(__xludf.DUMMYFUNCTION("""COMPUTED_VALUE"""),56.95924805)</f>
        <v>56.95924805</v>
      </c>
      <c r="M190" s="2">
        <f>IFERROR(__xludf.DUMMYFUNCTION("""COMPUTED_VALUE"""),24.055202274196)</f>
        <v>24.05520227</v>
      </c>
    </row>
    <row r="191">
      <c r="A191" s="2" t="str">
        <f>IFERROR(__xludf.DUMMYFUNCTION("""COMPUTED_VALUE"""),"For sale")</f>
        <v>For sale</v>
      </c>
      <c r="B191" s="2" t="str">
        <f>IFERROR(__xludf.DUMMYFUNCTION("""COMPUTED_VALUE"""),"Dzegužkalns")</f>
        <v>Dzegužkalns</v>
      </c>
      <c r="C191" s="2" t="str">
        <f>IFERROR(__xludf.DUMMYFUNCTION("""COMPUTED_VALUE"""),"Lielezeres 10")</f>
        <v>Lielezeres 10</v>
      </c>
      <c r="D191" s="2">
        <f>IFERROR(__xludf.DUMMYFUNCTION("""COMPUTED_VALUE"""),3.0)</f>
        <v>3</v>
      </c>
      <c r="E191" s="2">
        <f>IFERROR(__xludf.DUMMYFUNCTION("""COMPUTED_VALUE"""),62.0)</f>
        <v>62</v>
      </c>
      <c r="F191" s="2">
        <f>IFERROR(__xludf.DUMMYFUNCTION("""COMPUTED_VALUE"""),5.0)</f>
        <v>5</v>
      </c>
      <c r="G191" s="2">
        <f>IFERROR(__xludf.DUMMYFUNCTION("""COMPUTED_VALUE"""),5.0)</f>
        <v>5</v>
      </c>
      <c r="H191" s="2" t="str">
        <f>IFERROR(__xludf.DUMMYFUNCTION("""COMPUTED_VALUE"""),"Jaun.")</f>
        <v>Jaun.</v>
      </c>
      <c r="I191" s="2" t="str">
        <f>IFERROR(__xludf.DUMMYFUNCTION("""COMPUTED_VALUE"""),"Masonry")</f>
        <v>Masonry</v>
      </c>
      <c r="J191" s="2" t="str">
        <f>IFERROR(__xludf.DUMMYFUNCTION("""COMPUTED_VALUE"""),"All amenities")</f>
        <v>All amenities</v>
      </c>
      <c r="K191" s="2">
        <f>IFERROR(__xludf.DUMMYFUNCTION("""COMPUTED_VALUE"""),93150.0)</f>
        <v>93150</v>
      </c>
      <c r="L191" s="2">
        <f>IFERROR(__xludf.DUMMYFUNCTION("""COMPUTED_VALUE"""),56.95924805)</f>
        <v>56.95924805</v>
      </c>
      <c r="M191" s="2">
        <f>IFERROR(__xludf.DUMMYFUNCTION("""COMPUTED_VALUE"""),24.055202274196)</f>
        <v>24.05520227</v>
      </c>
    </row>
    <row r="192">
      <c r="A192" s="2" t="str">
        <f>IFERROR(__xludf.DUMMYFUNCTION("""COMPUTED_VALUE"""),"For sale")</f>
        <v>For sale</v>
      </c>
      <c r="B192" s="2" t="str">
        <f>IFERROR(__xludf.DUMMYFUNCTION("""COMPUTED_VALUE"""),"Dzegužkalns")</f>
        <v>Dzegužkalns</v>
      </c>
      <c r="C192" s="2" t="str">
        <f>IFERROR(__xludf.DUMMYFUNCTION("""COMPUTED_VALUE"""),"Lielezeres 10")</f>
        <v>Lielezeres 10</v>
      </c>
      <c r="D192" s="2">
        <f>IFERROR(__xludf.DUMMYFUNCTION("""COMPUTED_VALUE"""),3.0)</f>
        <v>3</v>
      </c>
      <c r="E192" s="2">
        <f>IFERROR(__xludf.DUMMYFUNCTION("""COMPUTED_VALUE"""),85.0)</f>
        <v>85</v>
      </c>
      <c r="F192" s="2">
        <f>IFERROR(__xludf.DUMMYFUNCTION("""COMPUTED_VALUE"""),5.0)</f>
        <v>5</v>
      </c>
      <c r="G192" s="2">
        <f>IFERROR(__xludf.DUMMYFUNCTION("""COMPUTED_VALUE"""),5.0)</f>
        <v>5</v>
      </c>
      <c r="H192" s="2" t="str">
        <f>IFERROR(__xludf.DUMMYFUNCTION("""COMPUTED_VALUE"""),"Jaun.")</f>
        <v>Jaun.</v>
      </c>
      <c r="I192" s="2" t="str">
        <f>IFERROR(__xludf.DUMMYFUNCTION("""COMPUTED_VALUE"""),"Masonry")</f>
        <v>Masonry</v>
      </c>
      <c r="J192" s="2" t="str">
        <f>IFERROR(__xludf.DUMMYFUNCTION("""COMPUTED_VALUE"""),"All amenities")</f>
        <v>All amenities</v>
      </c>
      <c r="K192" s="2">
        <f>IFERROR(__xludf.DUMMYFUNCTION("""COMPUTED_VALUE"""),117000.0)</f>
        <v>117000</v>
      </c>
      <c r="L192" s="2">
        <f>IFERROR(__xludf.DUMMYFUNCTION("""COMPUTED_VALUE"""),56.95924805)</f>
        <v>56.95924805</v>
      </c>
      <c r="M192" s="2">
        <f>IFERROR(__xludf.DUMMYFUNCTION("""COMPUTED_VALUE"""),24.055202274196)</f>
        <v>24.05520227</v>
      </c>
    </row>
    <row r="193">
      <c r="A193" s="2" t="str">
        <f>IFERROR(__xludf.DUMMYFUNCTION("""COMPUTED_VALUE"""),"For sale")</f>
        <v>For sale</v>
      </c>
      <c r="B193" s="2" t="str">
        <f>IFERROR(__xludf.DUMMYFUNCTION("""COMPUTED_VALUE"""),"Dzegužkalns")</f>
        <v>Dzegužkalns</v>
      </c>
      <c r="C193" s="2" t="str">
        <f>IFERROR(__xludf.DUMMYFUNCTION("""COMPUTED_VALUE"""),"Lielezeres 10")</f>
        <v>Lielezeres 10</v>
      </c>
      <c r="D193" s="2">
        <f>IFERROR(__xludf.DUMMYFUNCTION("""COMPUTED_VALUE"""),2.0)</f>
        <v>2</v>
      </c>
      <c r="E193" s="2">
        <f>IFERROR(__xludf.DUMMYFUNCTION("""COMPUTED_VALUE"""),58.0)</f>
        <v>58</v>
      </c>
      <c r="F193" s="2">
        <f>IFERROR(__xludf.DUMMYFUNCTION("""COMPUTED_VALUE"""),5.0)</f>
        <v>5</v>
      </c>
      <c r="G193" s="2">
        <f>IFERROR(__xludf.DUMMYFUNCTION("""COMPUTED_VALUE"""),5.0)</f>
        <v>5</v>
      </c>
      <c r="H193" s="2" t="str">
        <f>IFERROR(__xludf.DUMMYFUNCTION("""COMPUTED_VALUE"""),"Jaun.")</f>
        <v>Jaun.</v>
      </c>
      <c r="I193" s="2" t="str">
        <f>IFERROR(__xludf.DUMMYFUNCTION("""COMPUTED_VALUE"""),"Masonry")</f>
        <v>Masonry</v>
      </c>
      <c r="J193" s="2" t="str">
        <f>IFERROR(__xludf.DUMMYFUNCTION("""COMPUTED_VALUE"""),"All amenities")</f>
        <v>All amenities</v>
      </c>
      <c r="K193" s="2">
        <f>IFERROR(__xludf.DUMMYFUNCTION("""COMPUTED_VALUE"""),87000.0)</f>
        <v>87000</v>
      </c>
      <c r="L193" s="2">
        <f>IFERROR(__xludf.DUMMYFUNCTION("""COMPUTED_VALUE"""),56.95924805)</f>
        <v>56.95924805</v>
      </c>
      <c r="M193" s="2">
        <f>IFERROR(__xludf.DUMMYFUNCTION("""COMPUTED_VALUE"""),24.055202274196)</f>
        <v>24.05520227</v>
      </c>
    </row>
    <row r="194">
      <c r="A194" s="2" t="str">
        <f>IFERROR(__xludf.DUMMYFUNCTION("""COMPUTED_VALUE"""),"For rent")</f>
        <v>For rent</v>
      </c>
      <c r="B194" s="2" t="str">
        <f>IFERROR(__xludf.DUMMYFUNCTION("""COMPUTED_VALUE"""),"Ziepniekkalns")</f>
        <v>Ziepniekkalns</v>
      </c>
      <c r="C194" s="2" t="str">
        <f>IFERROR(__xludf.DUMMYFUNCTION("""COMPUTED_VALUE"""),"Ozolciema 18")</f>
        <v>Ozolciema 18</v>
      </c>
      <c r="D194" s="2">
        <f>IFERROR(__xludf.DUMMYFUNCTION("""COMPUTED_VALUE"""),2.0)</f>
        <v>2</v>
      </c>
      <c r="E194" s="2">
        <f>IFERROR(__xludf.DUMMYFUNCTION("""COMPUTED_VALUE"""),58.0)</f>
        <v>58</v>
      </c>
      <c r="F194" s="2">
        <f>IFERROR(__xludf.DUMMYFUNCTION("""COMPUTED_VALUE"""),8.0)</f>
        <v>8</v>
      </c>
      <c r="G194" s="2">
        <f>IFERROR(__xludf.DUMMYFUNCTION("""COMPUTED_VALUE"""),9.0)</f>
        <v>9</v>
      </c>
      <c r="H194" s="2">
        <f>IFERROR(__xludf.DUMMYFUNCTION("""COMPUTED_VALUE"""),119.0)</f>
        <v>119</v>
      </c>
      <c r="I194" s="2" t="str">
        <f>IFERROR(__xludf.DUMMYFUNCTION("""COMPUTED_VALUE"""),"Panel")</f>
        <v>Panel</v>
      </c>
      <c r="J194" s="2" t="str">
        <f>IFERROR(__xludf.DUMMYFUNCTION("""COMPUTED_VALUE"""),"All amenities")</f>
        <v>All amenities</v>
      </c>
      <c r="K194" s="2">
        <f>IFERROR(__xludf.DUMMYFUNCTION("""COMPUTED_VALUE"""),265.0)</f>
        <v>265</v>
      </c>
      <c r="L194" s="2">
        <f>IFERROR(__xludf.DUMMYFUNCTION("""COMPUTED_VALUE"""),56.89859735)</f>
        <v>56.89859735</v>
      </c>
      <c r="M194" s="2">
        <f>IFERROR(__xludf.DUMMYFUNCTION("""COMPUTED_VALUE"""),24.0876707999998)</f>
        <v>24.0876708</v>
      </c>
    </row>
    <row r="195">
      <c r="A195" s="2" t="str">
        <f>IFERROR(__xludf.DUMMYFUNCTION("""COMPUTED_VALUE"""),"For sale")</f>
        <v>For sale</v>
      </c>
      <c r="B195" s="2" t="str">
        <f>IFERROR(__xludf.DUMMYFUNCTION("""COMPUTED_VALUE"""),"centrs")</f>
        <v>centrs</v>
      </c>
      <c r="C195" s="2" t="str">
        <f>IFERROR(__xludf.DUMMYFUNCTION("""COMPUTED_VALUE"""),"Lugažu 14")</f>
        <v>Lugažu 14</v>
      </c>
      <c r="D195" s="2">
        <f>IFERROR(__xludf.DUMMYFUNCTION("""COMPUTED_VALUE"""),1.0)</f>
        <v>1</v>
      </c>
      <c r="E195" s="2">
        <f>IFERROR(__xludf.DUMMYFUNCTION("""COMPUTED_VALUE"""),24.0)</f>
        <v>24</v>
      </c>
      <c r="F195" s="2">
        <f>IFERROR(__xludf.DUMMYFUNCTION("""COMPUTED_VALUE"""),3.0)</f>
        <v>3</v>
      </c>
      <c r="G195" s="2">
        <f>IFERROR(__xludf.DUMMYFUNCTION("""COMPUTED_VALUE"""),3.0)</f>
        <v>3</v>
      </c>
      <c r="H195" s="2" t="str">
        <f>IFERROR(__xludf.DUMMYFUNCTION("""COMPUTED_VALUE"""),"Staļina")</f>
        <v>Staļina</v>
      </c>
      <c r="I195" s="2" t="str">
        <f>IFERROR(__xludf.DUMMYFUNCTION("""COMPUTED_VALUE"""),"Brick")</f>
        <v>Brick</v>
      </c>
      <c r="J195" s="2" t="str">
        <f>IFERROR(__xludf.DUMMYFUNCTION("""COMPUTED_VALUE"""),"All amenities")</f>
        <v>All amenities</v>
      </c>
      <c r="K195" s="2">
        <f>IFERROR(__xludf.DUMMYFUNCTION("""COMPUTED_VALUE"""),22500.0)</f>
        <v>22500</v>
      </c>
      <c r="L195" s="2">
        <f>IFERROR(__xludf.DUMMYFUNCTION("""COMPUTED_VALUE"""),56.97501495)</f>
        <v>56.97501495</v>
      </c>
      <c r="M195" s="2">
        <f>IFERROR(__xludf.DUMMYFUNCTION("""COMPUTED_VALUE"""),24.1066446092479)</f>
        <v>24.10664461</v>
      </c>
    </row>
    <row r="196">
      <c r="A196" s="2" t="str">
        <f>IFERROR(__xludf.DUMMYFUNCTION("""COMPUTED_VALUE"""),"For rent")</f>
        <v>For rent</v>
      </c>
      <c r="B196" s="2" t="str">
        <f>IFERROR(__xludf.DUMMYFUNCTION("""COMPUTED_VALUE"""),"Ziepniekkalns")</f>
        <v>Ziepniekkalns</v>
      </c>
      <c r="C196" s="2" t="str">
        <f>IFERROR(__xludf.DUMMYFUNCTION("""COMPUTED_VALUE"""),"Graudu 13")</f>
        <v>Graudu 13</v>
      </c>
      <c r="D196" s="2">
        <f>IFERROR(__xludf.DUMMYFUNCTION("""COMPUTED_VALUE"""),4.0)</f>
        <v>4</v>
      </c>
      <c r="E196" s="2">
        <f>IFERROR(__xludf.DUMMYFUNCTION("""COMPUTED_VALUE"""),223.0)</f>
        <v>223</v>
      </c>
      <c r="F196" s="2">
        <f>IFERROR(__xludf.DUMMYFUNCTION("""COMPUTED_VALUE"""),2.0)</f>
        <v>2</v>
      </c>
      <c r="G196" s="2">
        <f>IFERROR(__xludf.DUMMYFUNCTION("""COMPUTED_VALUE"""),2.0)</f>
        <v>2</v>
      </c>
      <c r="H196" s="2" t="str">
        <f>IFERROR(__xludf.DUMMYFUNCTION("""COMPUTED_VALUE"""),"Priv. m.")</f>
        <v>Priv. m.</v>
      </c>
      <c r="I196" s="2" t="str">
        <f>IFERROR(__xludf.DUMMYFUNCTION("""COMPUTED_VALUE"""),"Brick-Panel")</f>
        <v>Brick-Panel</v>
      </c>
      <c r="J196" s="2" t="str">
        <f>IFERROR(__xludf.DUMMYFUNCTION("""COMPUTED_VALUE"""),"All amenities")</f>
        <v>All amenities</v>
      </c>
      <c r="K196" s="2">
        <f>IFERROR(__xludf.DUMMYFUNCTION("""COMPUTED_VALUE"""),1000.0)</f>
        <v>1000</v>
      </c>
      <c r="L196" s="2">
        <f>IFERROR(__xludf.DUMMYFUNCTION("""COMPUTED_VALUE"""),56.9088093)</f>
        <v>56.9088093</v>
      </c>
      <c r="M196" s="2">
        <f>IFERROR(__xludf.DUMMYFUNCTION("""COMPUTED_VALUE"""),24.0913836)</f>
        <v>24.0913836</v>
      </c>
    </row>
    <row r="197">
      <c r="A197" s="2" t="str">
        <f>IFERROR(__xludf.DUMMYFUNCTION("""COMPUTED_VALUE"""),"For sale")</f>
        <v>For sale</v>
      </c>
      <c r="B197" s="2" t="str">
        <f>IFERROR(__xludf.DUMMYFUNCTION("""COMPUTED_VALUE"""),"centrs")</f>
        <v>centrs</v>
      </c>
      <c r="C197" s="2" t="str">
        <f>IFERROR(__xludf.DUMMYFUNCTION("""COMPUTED_VALUE"""),"Klijānu 6")</f>
        <v>Klijānu 6</v>
      </c>
      <c r="D197" s="2">
        <f>IFERROR(__xludf.DUMMYFUNCTION("""COMPUTED_VALUE"""),3.0)</f>
        <v>3</v>
      </c>
      <c r="E197" s="2">
        <f>IFERROR(__xludf.DUMMYFUNCTION("""COMPUTED_VALUE"""),52.0)</f>
        <v>52</v>
      </c>
      <c r="F197" s="2">
        <f>IFERROR(__xludf.DUMMYFUNCTION("""COMPUTED_VALUE"""),6.0)</f>
        <v>6</v>
      </c>
      <c r="G197" s="2">
        <f>IFERROR(__xludf.DUMMYFUNCTION("""COMPUTED_VALUE"""),9.0)</f>
        <v>9</v>
      </c>
      <c r="H197" s="2" t="str">
        <f>IFERROR(__xludf.DUMMYFUNCTION("""COMPUTED_VALUE"""),"Jaun.")</f>
        <v>Jaun.</v>
      </c>
      <c r="I197" s="2" t="str">
        <f>IFERROR(__xludf.DUMMYFUNCTION("""COMPUTED_VALUE"""),"Panel-Brick")</f>
        <v>Panel-Brick</v>
      </c>
      <c r="J197" s="2" t="str">
        <f>IFERROR(__xludf.DUMMYFUNCTION("""COMPUTED_VALUE"""),"All amenities")</f>
        <v>All amenities</v>
      </c>
      <c r="K197" s="2">
        <f>IFERROR(__xludf.DUMMYFUNCTION("""COMPUTED_VALUE"""),79800.0)</f>
        <v>79800</v>
      </c>
      <c r="L197" s="2">
        <f>IFERROR(__xludf.DUMMYFUNCTION("""COMPUTED_VALUE"""),56.9726557)</f>
        <v>56.9726557</v>
      </c>
      <c r="M197" s="2">
        <f>IFERROR(__xludf.DUMMYFUNCTION("""COMPUTED_VALUE"""),24.1493117212851)</f>
        <v>24.14931172</v>
      </c>
    </row>
    <row r="198">
      <c r="A198" s="2" t="str">
        <f>IFERROR(__xludf.DUMMYFUNCTION("""COMPUTED_VALUE"""),"For rent")</f>
        <v>For rent</v>
      </c>
      <c r="B198" s="2" t="str">
        <f>IFERROR(__xludf.DUMMYFUNCTION("""COMPUTED_VALUE"""),"centrs")</f>
        <v>centrs</v>
      </c>
      <c r="C198" s="2" t="str">
        <f>IFERROR(__xludf.DUMMYFUNCTION("""COMPUTED_VALUE"""),"Lāčplēša 77")</f>
        <v>Lāčplēša 77</v>
      </c>
      <c r="D198" s="2">
        <f>IFERROR(__xludf.DUMMYFUNCTION("""COMPUTED_VALUE"""),1.0)</f>
        <v>1</v>
      </c>
      <c r="E198" s="2">
        <f>IFERROR(__xludf.DUMMYFUNCTION("""COMPUTED_VALUE"""),31.0)</f>
        <v>31</v>
      </c>
      <c r="F198" s="2">
        <f>IFERROR(__xludf.DUMMYFUNCTION("""COMPUTED_VALUE"""),2.0)</f>
        <v>2</v>
      </c>
      <c r="G198" s="2">
        <f>IFERROR(__xludf.DUMMYFUNCTION("""COMPUTED_VALUE"""),2.0)</f>
        <v>2</v>
      </c>
      <c r="H198" s="2" t="str">
        <f>IFERROR(__xludf.DUMMYFUNCTION("""COMPUTED_VALUE"""),"P. kara")</f>
        <v>P. kara</v>
      </c>
      <c r="I198" s="2" t="str">
        <f>IFERROR(__xludf.DUMMYFUNCTION("""COMPUTED_VALUE"""),"Wood")</f>
        <v>Wood</v>
      </c>
      <c r="J198" s="2" t="str">
        <f>IFERROR(__xludf.DUMMYFUNCTION("""COMPUTED_VALUE"""),"All amenities")</f>
        <v>All amenities</v>
      </c>
      <c r="K198" s="2">
        <f>IFERROR(__xludf.DUMMYFUNCTION("""COMPUTED_VALUE"""),220.0)</f>
        <v>220</v>
      </c>
      <c r="L198" s="2">
        <f>IFERROR(__xludf.DUMMYFUNCTION("""COMPUTED_VALUE"""),56.9496929999999)</f>
        <v>56.949693</v>
      </c>
      <c r="M198" s="2">
        <f>IFERROR(__xludf.DUMMYFUNCTION("""COMPUTED_VALUE"""),24.1332233674463)</f>
        <v>24.13322337</v>
      </c>
    </row>
    <row r="199">
      <c r="A199" s="2" t="str">
        <f>IFERROR(__xludf.DUMMYFUNCTION("""COMPUTED_VALUE"""),"For rent")</f>
        <v>For rent</v>
      </c>
      <c r="B199" s="2" t="str">
        <f>IFERROR(__xludf.DUMMYFUNCTION("""COMPUTED_VALUE"""),"Čiekurkalns")</f>
        <v>Čiekurkalns</v>
      </c>
      <c r="C199" s="2" t="str">
        <f>IFERROR(__xludf.DUMMYFUNCTION("""COMPUTED_VALUE"""),"Čiekurkalna 2. l. 1")</f>
        <v>Čiekurkalna 2. l. 1</v>
      </c>
      <c r="D199" s="2">
        <f>IFERROR(__xludf.DUMMYFUNCTION("""COMPUTED_VALUE"""),1.0)</f>
        <v>1</v>
      </c>
      <c r="E199" s="2">
        <f>IFERROR(__xludf.DUMMYFUNCTION("""COMPUTED_VALUE"""),23.0)</f>
        <v>23</v>
      </c>
      <c r="F199" s="2">
        <f>IFERROR(__xludf.DUMMYFUNCTION("""COMPUTED_VALUE"""),1.0)</f>
        <v>1</v>
      </c>
      <c r="G199" s="2">
        <f>IFERROR(__xludf.DUMMYFUNCTION("""COMPUTED_VALUE"""),2.0)</f>
        <v>2</v>
      </c>
      <c r="H199" s="2" t="str">
        <f>IFERROR(__xludf.DUMMYFUNCTION("""COMPUTED_VALUE"""),"P. kara")</f>
        <v>P. kara</v>
      </c>
      <c r="I199" s="2" t="str">
        <f>IFERROR(__xludf.DUMMYFUNCTION("""COMPUTED_VALUE"""),"Masonry")</f>
        <v>Masonry</v>
      </c>
      <c r="J199" s="2" t="str">
        <f>IFERROR(__xludf.DUMMYFUNCTION("""COMPUTED_VALUE"""),"All amenities")</f>
        <v>All amenities</v>
      </c>
      <c r="K199" s="2">
        <f>IFERROR(__xludf.DUMMYFUNCTION("""COMPUTED_VALUE"""),270.0)</f>
        <v>270</v>
      </c>
      <c r="L199" s="2" t="str">
        <f>IFERROR(__xludf.DUMMYFUNCTION("""COMPUTED_VALUE"""),"NaN")</f>
        <v>NaN</v>
      </c>
      <c r="M199" s="2" t="str">
        <f>IFERROR(__xludf.DUMMYFUNCTION("""COMPUTED_VALUE"""),"NaN")</f>
        <v>NaN</v>
      </c>
    </row>
    <row r="200">
      <c r="A200" s="2" t="str">
        <f>IFERROR(__xludf.DUMMYFUNCTION("""COMPUTED_VALUE"""),"For rent")</f>
        <v>For rent</v>
      </c>
      <c r="B200" s="2" t="str">
        <f>IFERROR(__xludf.DUMMYFUNCTION("""COMPUTED_VALUE"""),"centrs")</f>
        <v>centrs</v>
      </c>
      <c r="C200" s="2" t="str">
        <f>IFERROR(__xludf.DUMMYFUNCTION("""COMPUTED_VALUE"""),"Pulkv. Brieža 21")</f>
        <v>Pulkv. Brieža 21</v>
      </c>
      <c r="D200" s="2">
        <f>IFERROR(__xludf.DUMMYFUNCTION("""COMPUTED_VALUE"""),2.0)</f>
        <v>2</v>
      </c>
      <c r="E200" s="2">
        <f>IFERROR(__xludf.DUMMYFUNCTION("""COMPUTED_VALUE"""),83.0)</f>
        <v>83</v>
      </c>
      <c r="F200" s="2">
        <f>IFERROR(__xludf.DUMMYFUNCTION("""COMPUTED_VALUE"""),3.0)</f>
        <v>3</v>
      </c>
      <c r="G200" s="2">
        <f>IFERROR(__xludf.DUMMYFUNCTION("""COMPUTED_VALUE"""),7.0)</f>
        <v>7</v>
      </c>
      <c r="H200" s="2" t="str">
        <f>IFERROR(__xludf.DUMMYFUNCTION("""COMPUTED_VALUE"""),"Jaun.")</f>
        <v>Jaun.</v>
      </c>
      <c r="I200" s="2" t="str">
        <f>IFERROR(__xludf.DUMMYFUNCTION("""COMPUTED_VALUE"""),"Panel")</f>
        <v>Panel</v>
      </c>
      <c r="J200" s="2" t="str">
        <f>IFERROR(__xludf.DUMMYFUNCTION("""COMPUTED_VALUE"""),"All amenities")</f>
        <v>All amenities</v>
      </c>
      <c r="K200" s="2">
        <f>IFERROR(__xludf.DUMMYFUNCTION("""COMPUTED_VALUE"""),950.0)</f>
        <v>950</v>
      </c>
      <c r="L200" s="2" t="str">
        <f>IFERROR(__xludf.DUMMYFUNCTION("""COMPUTED_VALUE"""),"NaN")</f>
        <v>NaN</v>
      </c>
      <c r="M200" s="2" t="str">
        <f>IFERROR(__xludf.DUMMYFUNCTION("""COMPUTED_VALUE"""),"NaN")</f>
        <v>NaN</v>
      </c>
    </row>
    <row r="201">
      <c r="A201" s="2" t="str">
        <f>IFERROR(__xludf.DUMMYFUNCTION("""COMPUTED_VALUE"""),"For sale")</f>
        <v>For sale</v>
      </c>
      <c r="B201" s="2" t="str">
        <f>IFERROR(__xludf.DUMMYFUNCTION("""COMPUTED_VALUE"""),"Purvciems")</f>
        <v>Purvciems</v>
      </c>
      <c r="C201" s="2" t="str">
        <f>IFERROR(__xludf.DUMMYFUNCTION("""COMPUTED_VALUE"""),"Ieriķu 33")</f>
        <v>Ieriķu 33</v>
      </c>
      <c r="D201" s="2">
        <f>IFERROR(__xludf.DUMMYFUNCTION("""COMPUTED_VALUE"""),3.0)</f>
        <v>3</v>
      </c>
      <c r="E201" s="2">
        <f>IFERROR(__xludf.DUMMYFUNCTION("""COMPUTED_VALUE"""),60.0)</f>
        <v>60</v>
      </c>
      <c r="F201" s="2">
        <f>IFERROR(__xludf.DUMMYFUNCTION("""COMPUTED_VALUE"""),5.0)</f>
        <v>5</v>
      </c>
      <c r="G201" s="2">
        <f>IFERROR(__xludf.DUMMYFUNCTION("""COMPUTED_VALUE"""),5.0)</f>
        <v>5</v>
      </c>
      <c r="H201" s="2" t="str">
        <f>IFERROR(__xludf.DUMMYFUNCTION("""COMPUTED_VALUE"""),"LT proj.")</f>
        <v>LT proj.</v>
      </c>
      <c r="I201" s="2" t="str">
        <f>IFERROR(__xludf.DUMMYFUNCTION("""COMPUTED_VALUE"""),"Panel")</f>
        <v>Panel</v>
      </c>
      <c r="J201" s="2" t="str">
        <f>IFERROR(__xludf.DUMMYFUNCTION("""COMPUTED_VALUE"""),"All amenities")</f>
        <v>All amenities</v>
      </c>
      <c r="K201" s="2">
        <f>IFERROR(__xludf.DUMMYFUNCTION("""COMPUTED_VALUE"""),55499.0)</f>
        <v>55499</v>
      </c>
      <c r="L201" s="2">
        <f>IFERROR(__xludf.DUMMYFUNCTION("""COMPUTED_VALUE"""),56.96662215)</f>
        <v>56.96662215</v>
      </c>
      <c r="M201" s="2">
        <f>IFERROR(__xludf.DUMMYFUNCTION("""COMPUTED_VALUE"""),24.1786685253711)</f>
        <v>24.17866853</v>
      </c>
    </row>
    <row r="202">
      <c r="A202" s="2" t="str">
        <f>IFERROR(__xludf.DUMMYFUNCTION("""COMPUTED_VALUE"""),"For sale")</f>
        <v>For sale</v>
      </c>
      <c r="B202" s="2" t="str">
        <f>IFERROR(__xludf.DUMMYFUNCTION("""COMPUTED_VALUE"""),"Ķengarags")</f>
        <v>Ķengarags</v>
      </c>
      <c r="C202" s="2" t="str">
        <f>IFERROR(__xludf.DUMMYFUNCTION("""COMPUTED_VALUE"""),"Maskavas 250/6")</f>
        <v>Maskavas 250/6</v>
      </c>
      <c r="D202" s="2">
        <f>IFERROR(__xludf.DUMMYFUNCTION("""COMPUTED_VALUE"""),3.0)</f>
        <v>3</v>
      </c>
      <c r="E202" s="2">
        <f>IFERROR(__xludf.DUMMYFUNCTION("""COMPUTED_VALUE"""),60.0)</f>
        <v>60</v>
      </c>
      <c r="F202" s="2">
        <f>IFERROR(__xludf.DUMMYFUNCTION("""COMPUTED_VALUE"""),2.0)</f>
        <v>2</v>
      </c>
      <c r="G202" s="2">
        <f>IFERROR(__xludf.DUMMYFUNCTION("""COMPUTED_VALUE"""),5.0)</f>
        <v>5</v>
      </c>
      <c r="H202" s="2" t="str">
        <f>IFERROR(__xludf.DUMMYFUNCTION("""COMPUTED_VALUE"""),"LT proj.")</f>
        <v>LT proj.</v>
      </c>
      <c r="I202" s="2" t="str">
        <f>IFERROR(__xludf.DUMMYFUNCTION("""COMPUTED_VALUE"""),"Panel")</f>
        <v>Panel</v>
      </c>
      <c r="J202" s="2" t="str">
        <f>IFERROR(__xludf.DUMMYFUNCTION("""COMPUTED_VALUE"""),"All amenities")</f>
        <v>All amenities</v>
      </c>
      <c r="K202" s="2">
        <f>IFERROR(__xludf.DUMMYFUNCTION("""COMPUTED_VALUE"""),40000.0)</f>
        <v>40000</v>
      </c>
      <c r="L202" s="2">
        <f>IFERROR(__xludf.DUMMYFUNCTION("""COMPUTED_VALUE"""),56.887204)</f>
        <v>56.887204</v>
      </c>
      <c r="M202" s="2">
        <f>IFERROR(__xludf.DUMMYFUNCTION("""COMPUTED_VALUE"""),24.2335864)</f>
        <v>24.2335864</v>
      </c>
    </row>
    <row r="203">
      <c r="A203" s="2" t="str">
        <f>IFERROR(__xludf.DUMMYFUNCTION("""COMPUTED_VALUE"""),"For sale")</f>
        <v>For sale</v>
      </c>
      <c r="B203" s="2" t="str">
        <f>IFERROR(__xludf.DUMMYFUNCTION("""COMPUTED_VALUE"""),"Ķengarags")</f>
        <v>Ķengarags</v>
      </c>
      <c r="C203" s="2" t="str">
        <f>IFERROR(__xludf.DUMMYFUNCTION("""COMPUTED_VALUE"""),"Lokomotīves 88")</f>
        <v>Lokomotīves 88</v>
      </c>
      <c r="D203" s="2">
        <f>IFERROR(__xludf.DUMMYFUNCTION("""COMPUTED_VALUE"""),3.0)</f>
        <v>3</v>
      </c>
      <c r="E203" s="2">
        <f>IFERROR(__xludf.DUMMYFUNCTION("""COMPUTED_VALUE"""),61.0)</f>
        <v>61</v>
      </c>
      <c r="F203" s="2">
        <f>IFERROR(__xludf.DUMMYFUNCTION("""COMPUTED_VALUE"""),4.0)</f>
        <v>4</v>
      </c>
      <c r="G203" s="2">
        <f>IFERROR(__xludf.DUMMYFUNCTION("""COMPUTED_VALUE"""),5.0)</f>
        <v>5</v>
      </c>
      <c r="H203" s="2" t="str">
        <f>IFERROR(__xludf.DUMMYFUNCTION("""COMPUTED_VALUE"""),"LT proj.")</f>
        <v>LT proj.</v>
      </c>
      <c r="I203" s="2" t="str">
        <f>IFERROR(__xludf.DUMMYFUNCTION("""COMPUTED_VALUE"""),"Panel")</f>
        <v>Panel</v>
      </c>
      <c r="J203" s="2" t="str">
        <f>IFERROR(__xludf.DUMMYFUNCTION("""COMPUTED_VALUE"""),"All amenities")</f>
        <v>All amenities</v>
      </c>
      <c r="K203" s="2">
        <f>IFERROR(__xludf.DUMMYFUNCTION("""COMPUTED_VALUE"""),49200.0)</f>
        <v>49200</v>
      </c>
      <c r="L203" s="2">
        <f>IFERROR(__xludf.DUMMYFUNCTION("""COMPUTED_VALUE"""),56.9019341)</f>
        <v>56.9019341</v>
      </c>
      <c r="M203" s="2">
        <f>IFERROR(__xludf.DUMMYFUNCTION("""COMPUTED_VALUE"""),24.2138427278084)</f>
        <v>24.21384273</v>
      </c>
    </row>
    <row r="204">
      <c r="A204" s="2" t="str">
        <f>IFERROR(__xludf.DUMMYFUNCTION("""COMPUTED_VALUE"""),"For rent")</f>
        <v>For rent</v>
      </c>
      <c r="B204" s="2" t="str">
        <f>IFERROR(__xludf.DUMMYFUNCTION("""COMPUTED_VALUE"""),"Purvciems")</f>
        <v>Purvciems</v>
      </c>
      <c r="C204" s="2" t="str">
        <f>IFERROR(__xludf.DUMMYFUNCTION("""COMPUTED_VALUE"""),"Dzelzavas 53")</f>
        <v>Dzelzavas 53</v>
      </c>
      <c r="D204" s="2">
        <f>IFERROR(__xludf.DUMMYFUNCTION("""COMPUTED_VALUE"""),1.0)</f>
        <v>1</v>
      </c>
      <c r="E204" s="2">
        <f>IFERROR(__xludf.DUMMYFUNCTION("""COMPUTED_VALUE"""),34.0)</f>
        <v>34</v>
      </c>
      <c r="F204" s="2">
        <f>IFERROR(__xludf.DUMMYFUNCTION("""COMPUTED_VALUE"""),5.0)</f>
        <v>5</v>
      </c>
      <c r="G204" s="2">
        <f>IFERROR(__xludf.DUMMYFUNCTION("""COMPUTED_VALUE"""),9.0)</f>
        <v>9</v>
      </c>
      <c r="H204" s="2">
        <f>IFERROR(__xludf.DUMMYFUNCTION("""COMPUTED_VALUE"""),467.0)</f>
        <v>467</v>
      </c>
      <c r="I204" s="2" t="str">
        <f>IFERROR(__xludf.DUMMYFUNCTION("""COMPUTED_VALUE"""),"Panel")</f>
        <v>Panel</v>
      </c>
      <c r="J204" s="2" t="str">
        <f>IFERROR(__xludf.DUMMYFUNCTION("""COMPUTED_VALUE"""),"All amenities")</f>
        <v>All amenities</v>
      </c>
      <c r="K204" s="2">
        <f>IFERROR(__xludf.DUMMYFUNCTION("""COMPUTED_VALUE"""),260.0)</f>
        <v>260</v>
      </c>
      <c r="L204" s="2">
        <f>IFERROR(__xludf.DUMMYFUNCTION("""COMPUTED_VALUE"""),56.9571336)</f>
        <v>56.9571336</v>
      </c>
      <c r="M204" s="2">
        <f>IFERROR(__xludf.DUMMYFUNCTION("""COMPUTED_VALUE"""),24.1909674)</f>
        <v>24.1909674</v>
      </c>
    </row>
    <row r="205">
      <c r="A205" s="2" t="str">
        <f>IFERROR(__xludf.DUMMYFUNCTION("""COMPUTED_VALUE"""),"For sale")</f>
        <v>For sale</v>
      </c>
      <c r="B205" s="2" t="str">
        <f>IFERROR(__xludf.DUMMYFUNCTION("""COMPUTED_VALUE"""),"Mežciems")</f>
        <v>Mežciems</v>
      </c>
      <c r="C205" s="2" t="str">
        <f>IFERROR(__xludf.DUMMYFUNCTION("""COMPUTED_VALUE"""),"Kaivas 50/1")</f>
        <v>Kaivas 50/1</v>
      </c>
      <c r="D205" s="2">
        <f>IFERROR(__xludf.DUMMYFUNCTION("""COMPUTED_VALUE"""),3.0)</f>
        <v>3</v>
      </c>
      <c r="E205" s="2">
        <f>IFERROR(__xludf.DUMMYFUNCTION("""COMPUTED_VALUE"""),74.0)</f>
        <v>74</v>
      </c>
      <c r="F205" s="2">
        <f>IFERROR(__xludf.DUMMYFUNCTION("""COMPUTED_VALUE"""),1.0)</f>
        <v>1</v>
      </c>
      <c r="G205" s="2">
        <f>IFERROR(__xludf.DUMMYFUNCTION("""COMPUTED_VALUE"""),5.0)</f>
        <v>5</v>
      </c>
      <c r="H205" s="2" t="str">
        <f>IFERROR(__xludf.DUMMYFUNCTION("""COMPUTED_VALUE"""),"Jaun.")</f>
        <v>Jaun.</v>
      </c>
      <c r="I205" s="2" t="str">
        <f>IFERROR(__xludf.DUMMYFUNCTION("""COMPUTED_VALUE"""),"Brick-Panel")</f>
        <v>Brick-Panel</v>
      </c>
      <c r="J205" s="2" t="str">
        <f>IFERROR(__xludf.DUMMYFUNCTION("""COMPUTED_VALUE"""),"All amenities")</f>
        <v>All amenities</v>
      </c>
      <c r="K205" s="2">
        <f>IFERROR(__xludf.DUMMYFUNCTION("""COMPUTED_VALUE"""),92750.0)</f>
        <v>92750</v>
      </c>
      <c r="L205" s="2">
        <f>IFERROR(__xludf.DUMMYFUNCTION("""COMPUTED_VALUE"""),56.9541725)</f>
        <v>56.9541725</v>
      </c>
      <c r="M205" s="2">
        <f>IFERROR(__xludf.DUMMYFUNCTION("""COMPUTED_VALUE"""),24.2443253)</f>
        <v>24.2443253</v>
      </c>
    </row>
    <row r="206">
      <c r="A206" s="2" t="str">
        <f>IFERROR(__xludf.DUMMYFUNCTION("""COMPUTED_VALUE"""),"For sale")</f>
        <v>For sale</v>
      </c>
      <c r="B206" s="2" t="str">
        <f>IFERROR(__xludf.DUMMYFUNCTION("""COMPUTED_VALUE"""),"Mežciems")</f>
        <v>Mežciems</v>
      </c>
      <c r="C206" s="2" t="str">
        <f>IFERROR(__xludf.DUMMYFUNCTION("""COMPUTED_VALUE"""),"Kaivas 50/1")</f>
        <v>Kaivas 50/1</v>
      </c>
      <c r="D206" s="2">
        <f>IFERROR(__xludf.DUMMYFUNCTION("""COMPUTED_VALUE"""),4.0)</f>
        <v>4</v>
      </c>
      <c r="E206" s="2">
        <f>IFERROR(__xludf.DUMMYFUNCTION("""COMPUTED_VALUE"""),113.0)</f>
        <v>113</v>
      </c>
      <c r="F206" s="2">
        <f>IFERROR(__xludf.DUMMYFUNCTION("""COMPUTED_VALUE"""),3.0)</f>
        <v>3</v>
      </c>
      <c r="G206" s="2">
        <f>IFERROR(__xludf.DUMMYFUNCTION("""COMPUTED_VALUE"""),5.0)</f>
        <v>5</v>
      </c>
      <c r="H206" s="2" t="str">
        <f>IFERROR(__xludf.DUMMYFUNCTION("""COMPUTED_VALUE"""),"Jaun.")</f>
        <v>Jaun.</v>
      </c>
      <c r="I206" s="2" t="str">
        <f>IFERROR(__xludf.DUMMYFUNCTION("""COMPUTED_VALUE"""),"Brick-Panel")</f>
        <v>Brick-Panel</v>
      </c>
      <c r="J206" s="2" t="str">
        <f>IFERROR(__xludf.DUMMYFUNCTION("""COMPUTED_VALUE"""),"All amenities")</f>
        <v>All amenities</v>
      </c>
      <c r="K206" s="2">
        <f>IFERROR(__xludf.DUMMYFUNCTION("""COMPUTED_VALUE"""),141375.0)</f>
        <v>141375</v>
      </c>
      <c r="L206" s="2">
        <f>IFERROR(__xludf.DUMMYFUNCTION("""COMPUTED_VALUE"""),56.9541725)</f>
        <v>56.9541725</v>
      </c>
      <c r="M206" s="2">
        <f>IFERROR(__xludf.DUMMYFUNCTION("""COMPUTED_VALUE"""),24.2443253)</f>
        <v>24.2443253</v>
      </c>
    </row>
    <row r="207">
      <c r="A207" s="2" t="str">
        <f>IFERROR(__xludf.DUMMYFUNCTION("""COMPUTED_VALUE"""),"For sale")</f>
        <v>For sale</v>
      </c>
      <c r="B207" s="2" t="str">
        <f>IFERROR(__xludf.DUMMYFUNCTION("""COMPUTED_VALUE"""),"centrs")</f>
        <v>centrs</v>
      </c>
      <c r="C207" s="2" t="str">
        <f>IFERROR(__xludf.DUMMYFUNCTION("""COMPUTED_VALUE"""),"Valdemāra 37")</f>
        <v>Valdemāra 37</v>
      </c>
      <c r="D207" s="2">
        <f>IFERROR(__xludf.DUMMYFUNCTION("""COMPUTED_VALUE"""),3.0)</f>
        <v>3</v>
      </c>
      <c r="E207" s="2">
        <f>IFERROR(__xludf.DUMMYFUNCTION("""COMPUTED_VALUE"""),78.0)</f>
        <v>78</v>
      </c>
      <c r="F207" s="2">
        <f>IFERROR(__xludf.DUMMYFUNCTION("""COMPUTED_VALUE"""),4.0)</f>
        <v>4</v>
      </c>
      <c r="G207" s="2">
        <f>IFERROR(__xludf.DUMMYFUNCTION("""COMPUTED_VALUE"""),6.0)</f>
        <v>6</v>
      </c>
      <c r="H207" s="2" t="str">
        <f>IFERROR(__xludf.DUMMYFUNCTION("""COMPUTED_VALUE"""),"Renov.")</f>
        <v>Renov.</v>
      </c>
      <c r="I207" s="2" t="str">
        <f>IFERROR(__xludf.DUMMYFUNCTION("""COMPUTED_VALUE"""),"Masonry")</f>
        <v>Masonry</v>
      </c>
      <c r="J207" s="2" t="str">
        <f>IFERROR(__xludf.DUMMYFUNCTION("""COMPUTED_VALUE"""),"All amenities")</f>
        <v>All amenities</v>
      </c>
      <c r="K207" s="2">
        <f>IFERROR(__xludf.DUMMYFUNCTION("""COMPUTED_VALUE"""),159732.0)</f>
        <v>159732</v>
      </c>
      <c r="L207" s="2">
        <f>IFERROR(__xludf.DUMMYFUNCTION("""COMPUTED_VALUE"""),56.958482)</f>
        <v>56.958482</v>
      </c>
      <c r="M207" s="2">
        <f>IFERROR(__xludf.DUMMYFUNCTION("""COMPUTED_VALUE"""),24.116859)</f>
        <v>24.116859</v>
      </c>
    </row>
    <row r="208">
      <c r="A208" s="2" t="str">
        <f>IFERROR(__xludf.DUMMYFUNCTION("""COMPUTED_VALUE"""),"For rent")</f>
        <v>For rent</v>
      </c>
      <c r="B208" s="2" t="str">
        <f>IFERROR(__xludf.DUMMYFUNCTION("""COMPUTED_VALUE"""),"centrs")</f>
        <v>centrs</v>
      </c>
      <c r="C208" s="2" t="str">
        <f>IFERROR(__xludf.DUMMYFUNCTION("""COMPUTED_VALUE"""),"Stabu 94")</f>
        <v>Stabu 94</v>
      </c>
      <c r="D208" s="2">
        <f>IFERROR(__xludf.DUMMYFUNCTION("""COMPUTED_VALUE"""),3.0)</f>
        <v>3</v>
      </c>
      <c r="E208" s="2">
        <f>IFERROR(__xludf.DUMMYFUNCTION("""COMPUTED_VALUE"""),97.0)</f>
        <v>97</v>
      </c>
      <c r="F208" s="2">
        <f>IFERROR(__xludf.DUMMYFUNCTION("""COMPUTED_VALUE"""),6.0)</f>
        <v>6</v>
      </c>
      <c r="G208" s="2">
        <f>IFERROR(__xludf.DUMMYFUNCTION("""COMPUTED_VALUE"""),6.0)</f>
        <v>6</v>
      </c>
      <c r="H208" s="2" t="str">
        <f>IFERROR(__xludf.DUMMYFUNCTION("""COMPUTED_VALUE"""),"Renov.")</f>
        <v>Renov.</v>
      </c>
      <c r="I208" s="2" t="str">
        <f>IFERROR(__xludf.DUMMYFUNCTION("""COMPUTED_VALUE"""),"Masonry")</f>
        <v>Masonry</v>
      </c>
      <c r="J208" s="2" t="str">
        <f>IFERROR(__xludf.DUMMYFUNCTION("""COMPUTED_VALUE"""),"All amenities")</f>
        <v>All amenities</v>
      </c>
      <c r="K208" s="2">
        <f>IFERROR(__xludf.DUMMYFUNCTION("""COMPUTED_VALUE"""),700.0)</f>
        <v>700</v>
      </c>
      <c r="L208" s="2">
        <f>IFERROR(__xludf.DUMMYFUNCTION("""COMPUTED_VALUE"""),56.9499165)</f>
        <v>56.9499165</v>
      </c>
      <c r="M208" s="2">
        <f>IFERROR(__xludf.DUMMYFUNCTION("""COMPUTED_VALUE"""),24.1412986122923)</f>
        <v>24.14129861</v>
      </c>
    </row>
    <row r="209">
      <c r="A209" s="2" t="str">
        <f>IFERROR(__xludf.DUMMYFUNCTION("""COMPUTED_VALUE"""),"For sale")</f>
        <v>For sale</v>
      </c>
      <c r="B209" s="2" t="str">
        <f>IFERROR(__xludf.DUMMYFUNCTION("""COMPUTED_VALUE"""),"Pļavnieki")</f>
        <v>Pļavnieki</v>
      </c>
      <c r="C209" s="2" t="str">
        <f>IFERROR(__xludf.DUMMYFUNCTION("""COMPUTED_VALUE"""),"Dzeņu 8")</f>
        <v>Dzeņu 8</v>
      </c>
      <c r="D209" s="2">
        <f>IFERROR(__xludf.DUMMYFUNCTION("""COMPUTED_VALUE"""),1.0)</f>
        <v>1</v>
      </c>
      <c r="E209" s="2">
        <f>IFERROR(__xludf.DUMMYFUNCTION("""COMPUTED_VALUE"""),41.0)</f>
        <v>41</v>
      </c>
      <c r="F209" s="2">
        <f>IFERROR(__xludf.DUMMYFUNCTION("""COMPUTED_VALUE"""),3.0)</f>
        <v>3</v>
      </c>
      <c r="G209" s="2">
        <f>IFERROR(__xludf.DUMMYFUNCTION("""COMPUTED_VALUE"""),5.0)</f>
        <v>5</v>
      </c>
      <c r="H209" s="2" t="str">
        <f>IFERROR(__xludf.DUMMYFUNCTION("""COMPUTED_VALUE"""),"M. ģim.")</f>
        <v>M. ģim.</v>
      </c>
      <c r="I209" s="2" t="str">
        <f>IFERROR(__xludf.DUMMYFUNCTION("""COMPUTED_VALUE"""),"Panel")</f>
        <v>Panel</v>
      </c>
      <c r="J209" s="2" t="str">
        <f>IFERROR(__xludf.DUMMYFUNCTION("""COMPUTED_VALUE"""),"All amenities")</f>
        <v>All amenities</v>
      </c>
      <c r="K209" s="2">
        <f>IFERROR(__xludf.DUMMYFUNCTION("""COMPUTED_VALUE"""),30500.0)</f>
        <v>30500</v>
      </c>
      <c r="L209" s="2">
        <f>IFERROR(__xludf.DUMMYFUNCTION("""COMPUTED_VALUE"""),56.9396024)</f>
        <v>56.9396024</v>
      </c>
      <c r="M209" s="2">
        <f>IFERROR(__xludf.DUMMYFUNCTION("""COMPUTED_VALUE"""),24.21101315)</f>
        <v>24.21101315</v>
      </c>
    </row>
    <row r="210">
      <c r="A210" s="2" t="str">
        <f>IFERROR(__xludf.DUMMYFUNCTION("""COMPUTED_VALUE"""),"For rent")</f>
        <v>For rent</v>
      </c>
      <c r="B210" s="2" t="str">
        <f>IFERROR(__xludf.DUMMYFUNCTION("""COMPUTED_VALUE"""),"Sarkandaugava")</f>
        <v>Sarkandaugava</v>
      </c>
      <c r="C210" s="2" t="str">
        <f>IFERROR(__xludf.DUMMYFUNCTION("""COMPUTED_VALUE"""),"Ganību d. 31b")</f>
        <v>Ganību d. 31b</v>
      </c>
      <c r="D210" s="2">
        <f>IFERROR(__xludf.DUMMYFUNCTION("""COMPUTED_VALUE"""),2.0)</f>
        <v>2</v>
      </c>
      <c r="E210" s="2">
        <f>IFERROR(__xludf.DUMMYFUNCTION("""COMPUTED_VALUE"""),39.0)</f>
        <v>39</v>
      </c>
      <c r="F210" s="2">
        <f>IFERROR(__xludf.DUMMYFUNCTION("""COMPUTED_VALUE"""),2.0)</f>
        <v>2</v>
      </c>
      <c r="G210" s="2">
        <f>IFERROR(__xludf.DUMMYFUNCTION("""COMPUTED_VALUE"""),5.0)</f>
        <v>5</v>
      </c>
      <c r="H210" s="2" t="str">
        <f>IFERROR(__xludf.DUMMYFUNCTION("""COMPUTED_VALUE"""),"Specpr.")</f>
        <v>Specpr.</v>
      </c>
      <c r="I210" s="2" t="str">
        <f>IFERROR(__xludf.DUMMYFUNCTION("""COMPUTED_VALUE"""),"Brick-Panel")</f>
        <v>Brick-Panel</v>
      </c>
      <c r="J210" s="2" t="str">
        <f>IFERROR(__xludf.DUMMYFUNCTION("""COMPUTED_VALUE"""),"All amenities")</f>
        <v>All amenities</v>
      </c>
      <c r="K210" s="2">
        <f>IFERROR(__xludf.DUMMYFUNCTION("""COMPUTED_VALUE"""),350.0)</f>
        <v>350</v>
      </c>
      <c r="L210" s="2" t="str">
        <f>IFERROR(__xludf.DUMMYFUNCTION("""COMPUTED_VALUE"""),"NaN")</f>
        <v>NaN</v>
      </c>
      <c r="M210" s="2" t="str">
        <f>IFERROR(__xludf.DUMMYFUNCTION("""COMPUTED_VALUE"""),"NaN")</f>
        <v>NaN</v>
      </c>
    </row>
    <row r="211">
      <c r="A211" s="2" t="str">
        <f>IFERROR(__xludf.DUMMYFUNCTION("""COMPUTED_VALUE"""),"For rent")</f>
        <v>For rent</v>
      </c>
      <c r="B211" s="2" t="str">
        <f>IFERROR(__xludf.DUMMYFUNCTION("""COMPUTED_VALUE"""),"Sarkandaugava")</f>
        <v>Sarkandaugava</v>
      </c>
      <c r="C211" s="2" t="str">
        <f>IFERROR(__xludf.DUMMYFUNCTION("""COMPUTED_VALUE"""),"Ganību d. 31b")</f>
        <v>Ganību d. 31b</v>
      </c>
      <c r="D211" s="2">
        <f>IFERROR(__xludf.DUMMYFUNCTION("""COMPUTED_VALUE"""),1.0)</f>
        <v>1</v>
      </c>
      <c r="E211" s="2">
        <f>IFERROR(__xludf.DUMMYFUNCTION("""COMPUTED_VALUE"""),30.0)</f>
        <v>30</v>
      </c>
      <c r="F211" s="2">
        <f>IFERROR(__xludf.DUMMYFUNCTION("""COMPUTED_VALUE"""),4.0)</f>
        <v>4</v>
      </c>
      <c r="G211" s="2">
        <f>IFERROR(__xludf.DUMMYFUNCTION("""COMPUTED_VALUE"""),5.0)</f>
        <v>5</v>
      </c>
      <c r="H211" s="2" t="str">
        <f>IFERROR(__xludf.DUMMYFUNCTION("""COMPUTED_VALUE"""),"Renov.")</f>
        <v>Renov.</v>
      </c>
      <c r="I211" s="2" t="str">
        <f>IFERROR(__xludf.DUMMYFUNCTION("""COMPUTED_VALUE"""),"Brick-Panel")</f>
        <v>Brick-Panel</v>
      </c>
      <c r="J211" s="2" t="str">
        <f>IFERROR(__xludf.DUMMYFUNCTION("""COMPUTED_VALUE"""),"All amenities")</f>
        <v>All amenities</v>
      </c>
      <c r="K211" s="2">
        <f>IFERROR(__xludf.DUMMYFUNCTION("""COMPUTED_VALUE"""),260.0)</f>
        <v>260</v>
      </c>
      <c r="L211" s="2" t="str">
        <f>IFERROR(__xludf.DUMMYFUNCTION("""COMPUTED_VALUE"""),"NaN")</f>
        <v>NaN</v>
      </c>
      <c r="M211" s="2" t="str">
        <f>IFERROR(__xludf.DUMMYFUNCTION("""COMPUTED_VALUE"""),"NaN")</f>
        <v>NaN</v>
      </c>
    </row>
    <row r="212">
      <c r="A212" s="2" t="str">
        <f>IFERROR(__xludf.DUMMYFUNCTION("""COMPUTED_VALUE"""),"For sale")</f>
        <v>For sale</v>
      </c>
      <c r="B212" s="2" t="str">
        <f>IFERROR(__xludf.DUMMYFUNCTION("""COMPUTED_VALUE"""),"centrs")</f>
        <v>centrs</v>
      </c>
      <c r="C212" s="2" t="str">
        <f>IFERROR(__xludf.DUMMYFUNCTION("""COMPUTED_VALUE"""),"Blaumaņa 12")</f>
        <v>Blaumaņa 12</v>
      </c>
      <c r="D212" s="2">
        <f>IFERROR(__xludf.DUMMYFUNCTION("""COMPUTED_VALUE"""),3.0)</f>
        <v>3</v>
      </c>
      <c r="E212" s="2">
        <f>IFERROR(__xludf.DUMMYFUNCTION("""COMPUTED_VALUE"""),63.2)</f>
        <v>63.2</v>
      </c>
      <c r="F212" s="2">
        <f>IFERROR(__xludf.DUMMYFUNCTION("""COMPUTED_VALUE"""),2.0)</f>
        <v>2</v>
      </c>
      <c r="G212" s="2">
        <f>IFERROR(__xludf.DUMMYFUNCTION("""COMPUTED_VALUE"""),6.0)</f>
        <v>6</v>
      </c>
      <c r="H212" s="2" t="str">
        <f>IFERROR(__xludf.DUMMYFUNCTION("""COMPUTED_VALUE"""),"Renov.")</f>
        <v>Renov.</v>
      </c>
      <c r="I212" s="2" t="str">
        <f>IFERROR(__xludf.DUMMYFUNCTION("""COMPUTED_VALUE"""),"Masonry")</f>
        <v>Masonry</v>
      </c>
      <c r="J212" s="2" t="str">
        <f>IFERROR(__xludf.DUMMYFUNCTION("""COMPUTED_VALUE"""),"All amenities")</f>
        <v>All amenities</v>
      </c>
      <c r="K212" s="2">
        <f>IFERROR(__xludf.DUMMYFUNCTION("""COMPUTED_VALUE"""),164320.0)</f>
        <v>164320</v>
      </c>
      <c r="L212" s="2">
        <f>IFERROR(__xludf.DUMMYFUNCTION("""COMPUTED_VALUE"""),56.9548306)</f>
        <v>56.9548306</v>
      </c>
      <c r="M212" s="2">
        <f>IFERROR(__xludf.DUMMYFUNCTION("""COMPUTED_VALUE"""),24.1221141)</f>
        <v>24.1221141</v>
      </c>
    </row>
    <row r="213">
      <c r="A213" s="2" t="str">
        <f>IFERROR(__xludf.DUMMYFUNCTION("""COMPUTED_VALUE"""),"For sale")</f>
        <v>For sale</v>
      </c>
      <c r="B213" s="2" t="str">
        <f>IFERROR(__xludf.DUMMYFUNCTION("""COMPUTED_VALUE"""),"Zolitūde")</f>
        <v>Zolitūde</v>
      </c>
      <c r="C213" s="2" t="str">
        <f>IFERROR(__xludf.DUMMYFUNCTION("""COMPUTED_VALUE"""),"Anniņmuižas 2 b")</f>
        <v>Anniņmuižas 2 b</v>
      </c>
      <c r="D213" s="2">
        <f>IFERROR(__xludf.DUMMYFUNCTION("""COMPUTED_VALUE"""),4.0)</f>
        <v>4</v>
      </c>
      <c r="E213" s="2">
        <f>IFERROR(__xludf.DUMMYFUNCTION("""COMPUTED_VALUE"""),91.0)</f>
        <v>91</v>
      </c>
      <c r="F213" s="2">
        <f>IFERROR(__xludf.DUMMYFUNCTION("""COMPUTED_VALUE"""),1.0)</f>
        <v>1</v>
      </c>
      <c r="G213" s="2">
        <f>IFERROR(__xludf.DUMMYFUNCTION("""COMPUTED_VALUE"""),9.0)</f>
        <v>9</v>
      </c>
      <c r="H213" s="2">
        <f>IFERROR(__xludf.DUMMYFUNCTION("""COMPUTED_VALUE"""),119.0)</f>
        <v>119</v>
      </c>
      <c r="I213" s="2" t="str">
        <f>IFERROR(__xludf.DUMMYFUNCTION("""COMPUTED_VALUE"""),"Panel")</f>
        <v>Panel</v>
      </c>
      <c r="J213" s="2" t="str">
        <f>IFERROR(__xludf.DUMMYFUNCTION("""COMPUTED_VALUE"""),"All amenities")</f>
        <v>All amenities</v>
      </c>
      <c r="K213" s="2">
        <f>IFERROR(__xludf.DUMMYFUNCTION("""COMPUTED_VALUE"""),79500.0)</f>
        <v>79500</v>
      </c>
      <c r="L213" s="2">
        <f>IFERROR(__xludf.DUMMYFUNCTION("""COMPUTED_VALUE"""),56.9575957)</f>
        <v>56.9575957</v>
      </c>
      <c r="M213" s="2">
        <f>IFERROR(__xludf.DUMMYFUNCTION("""COMPUTED_VALUE"""),24.0238997)</f>
        <v>24.0238997</v>
      </c>
    </row>
    <row r="214">
      <c r="A214" s="2" t="str">
        <f>IFERROR(__xludf.DUMMYFUNCTION("""COMPUTED_VALUE"""),"For sale")</f>
        <v>For sale</v>
      </c>
      <c r="B214" s="2" t="str">
        <f>IFERROR(__xludf.DUMMYFUNCTION("""COMPUTED_VALUE"""),"Purvciems")</f>
        <v>Purvciems</v>
      </c>
      <c r="C214" s="2" t="str">
        <f>IFERROR(__xludf.DUMMYFUNCTION("""COMPUTED_VALUE"""),"Ūnijas 32")</f>
        <v>Ūnijas 32</v>
      </c>
      <c r="D214" s="2">
        <f>IFERROR(__xludf.DUMMYFUNCTION("""COMPUTED_VALUE"""),1.0)</f>
        <v>1</v>
      </c>
      <c r="E214" s="2">
        <f>IFERROR(__xludf.DUMMYFUNCTION("""COMPUTED_VALUE"""),13.0)</f>
        <v>13</v>
      </c>
      <c r="F214" s="2">
        <f>IFERROR(__xludf.DUMMYFUNCTION("""COMPUTED_VALUE"""),1.0)</f>
        <v>1</v>
      </c>
      <c r="G214" s="2">
        <f>IFERROR(__xludf.DUMMYFUNCTION("""COMPUTED_VALUE"""),2.0)</f>
        <v>2</v>
      </c>
      <c r="H214" s="2" t="str">
        <f>IFERROR(__xludf.DUMMYFUNCTION("""COMPUTED_VALUE"""),"P. kara")</f>
        <v>P. kara</v>
      </c>
      <c r="I214" s="2" t="str">
        <f>IFERROR(__xludf.DUMMYFUNCTION("""COMPUTED_VALUE"""),"Wood")</f>
        <v>Wood</v>
      </c>
      <c r="J214" s="2" t="str">
        <f>IFERROR(__xludf.DUMMYFUNCTION("""COMPUTED_VALUE"""),"All amenities")</f>
        <v>All amenities</v>
      </c>
      <c r="K214" s="2">
        <f>IFERROR(__xludf.DUMMYFUNCTION("""COMPUTED_VALUE"""),12500.0)</f>
        <v>12500</v>
      </c>
      <c r="L214" s="2">
        <f>IFERROR(__xludf.DUMMYFUNCTION("""COMPUTED_VALUE"""),56.9668361)</f>
        <v>56.9668361</v>
      </c>
      <c r="M214" s="2">
        <f>IFERROR(__xludf.DUMMYFUNCTION("""COMPUTED_VALUE"""),24.1732945)</f>
        <v>24.1732945</v>
      </c>
    </row>
    <row r="215">
      <c r="A215" s="2" t="str">
        <f>IFERROR(__xludf.DUMMYFUNCTION("""COMPUTED_VALUE"""),"For rent")</f>
        <v>For rent</v>
      </c>
      <c r="B215" s="2" t="str">
        <f>IFERROR(__xludf.DUMMYFUNCTION("""COMPUTED_VALUE"""),"Mežaparks")</f>
        <v>Mežaparks</v>
      </c>
      <c r="C215" s="2" t="str">
        <f>IFERROR(__xludf.DUMMYFUNCTION("""COMPUTED_VALUE"""),"Viestura pr. 37")</f>
        <v>Viestura pr. 37</v>
      </c>
      <c r="D215" s="2">
        <f>IFERROR(__xludf.DUMMYFUNCTION("""COMPUTED_VALUE"""),1.0)</f>
        <v>1</v>
      </c>
      <c r="E215" s="2">
        <f>IFERROR(__xludf.DUMMYFUNCTION("""COMPUTED_VALUE"""),35.0)</f>
        <v>35</v>
      </c>
      <c r="F215" s="2">
        <f>IFERROR(__xludf.DUMMYFUNCTION("""COMPUTED_VALUE"""),3.0)</f>
        <v>3</v>
      </c>
      <c r="G215" s="2">
        <f>IFERROR(__xludf.DUMMYFUNCTION("""COMPUTED_VALUE"""),17.0)</f>
        <v>17</v>
      </c>
      <c r="H215" s="2" t="str">
        <f>IFERROR(__xludf.DUMMYFUNCTION("""COMPUTED_VALUE"""),"Specpr.")</f>
        <v>Specpr.</v>
      </c>
      <c r="I215" s="2" t="str">
        <f>IFERROR(__xludf.DUMMYFUNCTION("""COMPUTED_VALUE"""),"Brick-Panel")</f>
        <v>Brick-Panel</v>
      </c>
      <c r="J215" s="2" t="str">
        <f>IFERROR(__xludf.DUMMYFUNCTION("""COMPUTED_VALUE"""),"All amenities")</f>
        <v>All amenities</v>
      </c>
      <c r="K215" s="2">
        <f>IFERROR(__xludf.DUMMYFUNCTION("""COMPUTED_VALUE"""),250.0)</f>
        <v>250</v>
      </c>
      <c r="L215" s="2" t="str">
        <f>IFERROR(__xludf.DUMMYFUNCTION("""COMPUTED_VALUE"""),"NaN")</f>
        <v>NaN</v>
      </c>
      <c r="M215" s="2" t="str">
        <f>IFERROR(__xludf.DUMMYFUNCTION("""COMPUTED_VALUE"""),"NaN")</f>
        <v>NaN</v>
      </c>
    </row>
    <row r="216">
      <c r="A216" s="2" t="str">
        <f>IFERROR(__xludf.DUMMYFUNCTION("""COMPUTED_VALUE"""),"For rent")</f>
        <v>For rent</v>
      </c>
      <c r="B216" s="2" t="str">
        <f>IFERROR(__xludf.DUMMYFUNCTION("""COMPUTED_VALUE"""),"centrs")</f>
        <v>centrs</v>
      </c>
      <c r="C216" s="2" t="str">
        <f>IFERROR(__xludf.DUMMYFUNCTION("""COMPUTED_VALUE"""),"Marijas 20")</f>
        <v>Marijas 20</v>
      </c>
      <c r="D216" s="2">
        <f>IFERROR(__xludf.DUMMYFUNCTION("""COMPUTED_VALUE"""),4.0)</f>
        <v>4</v>
      </c>
      <c r="E216" s="2">
        <f>IFERROR(__xludf.DUMMYFUNCTION("""COMPUTED_VALUE"""),114.0)</f>
        <v>114</v>
      </c>
      <c r="F216" s="2">
        <f>IFERROR(__xludf.DUMMYFUNCTION("""COMPUTED_VALUE"""),4.0)</f>
        <v>4</v>
      </c>
      <c r="G216" s="2">
        <f>IFERROR(__xludf.DUMMYFUNCTION("""COMPUTED_VALUE"""),5.0)</f>
        <v>5</v>
      </c>
      <c r="H216" s="2" t="str">
        <f>IFERROR(__xludf.DUMMYFUNCTION("""COMPUTED_VALUE"""),"P. kara")</f>
        <v>P. kara</v>
      </c>
      <c r="I216" s="2" t="str">
        <f>IFERROR(__xludf.DUMMYFUNCTION("""COMPUTED_VALUE"""),"Masonry")</f>
        <v>Masonry</v>
      </c>
      <c r="J216" s="2" t="str">
        <f>IFERROR(__xludf.DUMMYFUNCTION("""COMPUTED_VALUE"""),"All amenities")</f>
        <v>All amenities</v>
      </c>
      <c r="K216" s="2">
        <f>IFERROR(__xludf.DUMMYFUNCTION("""COMPUTED_VALUE"""),250.0)</f>
        <v>250</v>
      </c>
      <c r="L216" s="2">
        <f>IFERROR(__xludf.DUMMYFUNCTION("""COMPUTED_VALUE"""),56.9507818)</f>
        <v>56.9507818</v>
      </c>
      <c r="M216" s="2">
        <f>IFERROR(__xludf.DUMMYFUNCTION("""COMPUTED_VALUE"""),24.1261795)</f>
        <v>24.1261795</v>
      </c>
    </row>
    <row r="217">
      <c r="A217" s="2" t="str">
        <f>IFERROR(__xludf.DUMMYFUNCTION("""COMPUTED_VALUE"""),"For rent")</f>
        <v>For rent</v>
      </c>
      <c r="B217" s="2" t="str">
        <f>IFERROR(__xludf.DUMMYFUNCTION("""COMPUTED_VALUE"""),"Ziepniekkalns")</f>
        <v>Ziepniekkalns</v>
      </c>
      <c r="C217" s="2" t="str">
        <f>IFERROR(__xludf.DUMMYFUNCTION("""COMPUTED_VALUE"""),"Ozolciema 24")</f>
        <v>Ozolciema 24</v>
      </c>
      <c r="D217" s="2">
        <f>IFERROR(__xludf.DUMMYFUNCTION("""COMPUTED_VALUE"""),1.0)</f>
        <v>1</v>
      </c>
      <c r="E217" s="2">
        <f>IFERROR(__xludf.DUMMYFUNCTION("""COMPUTED_VALUE"""),43.0)</f>
        <v>43</v>
      </c>
      <c r="F217" s="2">
        <f>IFERROR(__xludf.DUMMYFUNCTION("""COMPUTED_VALUE"""),3.0)</f>
        <v>3</v>
      </c>
      <c r="G217" s="2">
        <f>IFERROR(__xludf.DUMMYFUNCTION("""COMPUTED_VALUE"""),10.0)</f>
        <v>10</v>
      </c>
      <c r="H217" s="2">
        <f>IFERROR(__xludf.DUMMYFUNCTION("""COMPUTED_VALUE"""),119.0)</f>
        <v>119</v>
      </c>
      <c r="I217" s="2" t="str">
        <f>IFERROR(__xludf.DUMMYFUNCTION("""COMPUTED_VALUE"""),"Brick-Panel")</f>
        <v>Brick-Panel</v>
      </c>
      <c r="J217" s="2" t="str">
        <f>IFERROR(__xludf.DUMMYFUNCTION("""COMPUTED_VALUE"""),"All amenities")</f>
        <v>All amenities</v>
      </c>
      <c r="K217" s="2">
        <f>IFERROR(__xludf.DUMMYFUNCTION("""COMPUTED_VALUE"""),270.0)</f>
        <v>270</v>
      </c>
      <c r="L217" s="2">
        <f>IFERROR(__xludf.DUMMYFUNCTION("""COMPUTED_VALUE"""),56.8993098499999)</f>
        <v>56.89930985</v>
      </c>
      <c r="M217" s="2">
        <f>IFERROR(__xludf.DUMMYFUNCTION("""COMPUTED_VALUE"""),24.0889960683413)</f>
        <v>24.08899607</v>
      </c>
    </row>
    <row r="218">
      <c r="A218" s="2" t="str">
        <f>IFERROR(__xludf.DUMMYFUNCTION("""COMPUTED_VALUE"""),"For rent")</f>
        <v>For rent</v>
      </c>
      <c r="B218" s="2" t="str">
        <f>IFERROR(__xludf.DUMMYFUNCTION("""COMPUTED_VALUE"""),"Mežciems")</f>
        <v>Mežciems</v>
      </c>
      <c r="C218" s="2" t="str">
        <f>IFERROR(__xludf.DUMMYFUNCTION("""COMPUTED_VALUE"""),"Hipokrāta 13")</f>
        <v>Hipokrāta 13</v>
      </c>
      <c r="D218" s="2">
        <f>IFERROR(__xludf.DUMMYFUNCTION("""COMPUTED_VALUE"""),1.0)</f>
        <v>1</v>
      </c>
      <c r="E218" s="2">
        <f>IFERROR(__xludf.DUMMYFUNCTION("""COMPUTED_VALUE"""),45.0)</f>
        <v>45</v>
      </c>
      <c r="F218" s="2">
        <f>IFERROR(__xludf.DUMMYFUNCTION("""COMPUTED_VALUE"""),3.0)</f>
        <v>3</v>
      </c>
      <c r="G218" s="2">
        <f>IFERROR(__xludf.DUMMYFUNCTION("""COMPUTED_VALUE"""),16.0)</f>
        <v>16</v>
      </c>
      <c r="H218" s="2">
        <f>IFERROR(__xludf.DUMMYFUNCTION("""COMPUTED_VALUE"""),104.0)</f>
        <v>104</v>
      </c>
      <c r="I218" s="2" t="str">
        <f>IFERROR(__xludf.DUMMYFUNCTION("""COMPUTED_VALUE"""),"Brick-Panel")</f>
        <v>Brick-Panel</v>
      </c>
      <c r="J218" s="2" t="str">
        <f>IFERROR(__xludf.DUMMYFUNCTION("""COMPUTED_VALUE"""),"All amenities")</f>
        <v>All amenities</v>
      </c>
      <c r="K218" s="2">
        <f>IFERROR(__xludf.DUMMYFUNCTION("""COMPUTED_VALUE"""),300.0)</f>
        <v>300</v>
      </c>
      <c r="L218" s="2">
        <f>IFERROR(__xludf.DUMMYFUNCTION("""COMPUTED_VALUE"""),56.96683855)</f>
        <v>56.96683855</v>
      </c>
      <c r="M218" s="2">
        <f>IFERROR(__xludf.DUMMYFUNCTION("""COMPUTED_VALUE"""),24.2370466931952)</f>
        <v>24.23704669</v>
      </c>
    </row>
    <row r="219">
      <c r="A219" s="2" t="str">
        <f>IFERROR(__xludf.DUMMYFUNCTION("""COMPUTED_VALUE"""),"For rent")</f>
        <v>For rent</v>
      </c>
      <c r="B219" s="2" t="str">
        <f>IFERROR(__xludf.DUMMYFUNCTION("""COMPUTED_VALUE"""),"Pļavnieki")</f>
        <v>Pļavnieki</v>
      </c>
      <c r="C219" s="2" t="str">
        <f>IFERROR(__xludf.DUMMYFUNCTION("""COMPUTED_VALUE"""),"Dzeņu 8")</f>
        <v>Dzeņu 8</v>
      </c>
      <c r="D219" s="2">
        <f>IFERROR(__xludf.DUMMYFUNCTION("""COMPUTED_VALUE"""),1.0)</f>
        <v>1</v>
      </c>
      <c r="E219" s="2">
        <f>IFERROR(__xludf.DUMMYFUNCTION("""COMPUTED_VALUE"""),40.0)</f>
        <v>40</v>
      </c>
      <c r="F219" s="2">
        <f>IFERROR(__xludf.DUMMYFUNCTION("""COMPUTED_VALUE"""),4.0)</f>
        <v>4</v>
      </c>
      <c r="G219" s="2">
        <f>IFERROR(__xludf.DUMMYFUNCTION("""COMPUTED_VALUE"""),5.0)</f>
        <v>5</v>
      </c>
      <c r="H219" s="2" t="str">
        <f>IFERROR(__xludf.DUMMYFUNCTION("""COMPUTED_VALUE"""),"M. ģim.")</f>
        <v>M. ģim.</v>
      </c>
      <c r="I219" s="2" t="str">
        <f>IFERROR(__xludf.DUMMYFUNCTION("""COMPUTED_VALUE"""),"Panel")</f>
        <v>Panel</v>
      </c>
      <c r="J219" s="2" t="str">
        <f>IFERROR(__xludf.DUMMYFUNCTION("""COMPUTED_VALUE"""),"All amenities")</f>
        <v>All amenities</v>
      </c>
      <c r="K219" s="2">
        <f>IFERROR(__xludf.DUMMYFUNCTION("""COMPUTED_VALUE"""),260.0)</f>
        <v>260</v>
      </c>
      <c r="L219" s="2">
        <f>IFERROR(__xludf.DUMMYFUNCTION("""COMPUTED_VALUE"""),56.9396024)</f>
        <v>56.9396024</v>
      </c>
      <c r="M219" s="2">
        <f>IFERROR(__xludf.DUMMYFUNCTION("""COMPUTED_VALUE"""),24.21101315)</f>
        <v>24.21101315</v>
      </c>
    </row>
    <row r="220">
      <c r="A220" s="2" t="str">
        <f>IFERROR(__xludf.DUMMYFUNCTION("""COMPUTED_VALUE"""),"For sale")</f>
        <v>For sale</v>
      </c>
      <c r="B220" s="2" t="str">
        <f>IFERROR(__xludf.DUMMYFUNCTION("""COMPUTED_VALUE"""),"Ķengarags")</f>
        <v>Ķengarags</v>
      </c>
      <c r="C220" s="2" t="str">
        <f>IFERROR(__xludf.DUMMYFUNCTION("""COMPUTED_VALUE"""),"Lokomotīves 46")</f>
        <v>Lokomotīves 46</v>
      </c>
      <c r="D220" s="2">
        <f>IFERROR(__xludf.DUMMYFUNCTION("""COMPUTED_VALUE"""),2.0)</f>
        <v>2</v>
      </c>
      <c r="E220" s="2">
        <f>IFERROR(__xludf.DUMMYFUNCTION("""COMPUTED_VALUE"""),39.0)</f>
        <v>39</v>
      </c>
      <c r="F220" s="2">
        <f>IFERROR(__xludf.DUMMYFUNCTION("""COMPUTED_VALUE"""),2.0)</f>
        <v>2</v>
      </c>
      <c r="G220" s="2">
        <f>IFERROR(__xludf.DUMMYFUNCTION("""COMPUTED_VALUE"""),5.0)</f>
        <v>5</v>
      </c>
      <c r="H220" s="2" t="str">
        <f>IFERROR(__xludf.DUMMYFUNCTION("""COMPUTED_VALUE"""),"LT proj.")</f>
        <v>LT proj.</v>
      </c>
      <c r="I220" s="2" t="str">
        <f>IFERROR(__xludf.DUMMYFUNCTION("""COMPUTED_VALUE"""),"Brick-Panel")</f>
        <v>Brick-Panel</v>
      </c>
      <c r="J220" s="2" t="str">
        <f>IFERROR(__xludf.DUMMYFUNCTION("""COMPUTED_VALUE"""),"All amenities")</f>
        <v>All amenities</v>
      </c>
      <c r="K220" s="2">
        <f>IFERROR(__xludf.DUMMYFUNCTION("""COMPUTED_VALUE"""),30000.0)</f>
        <v>30000</v>
      </c>
      <c r="L220" s="2">
        <f>IFERROR(__xludf.DUMMYFUNCTION("""COMPUTED_VALUE"""),56.90929355)</f>
        <v>56.90929355</v>
      </c>
      <c r="M220" s="2">
        <f>IFERROR(__xludf.DUMMYFUNCTION("""COMPUTED_VALUE"""),24.2002345827173)</f>
        <v>24.20023458</v>
      </c>
    </row>
    <row r="221">
      <c r="A221" s="2" t="str">
        <f>IFERROR(__xludf.DUMMYFUNCTION("""COMPUTED_VALUE"""),"For rent")</f>
        <v>For rent</v>
      </c>
      <c r="B221" s="2" t="str">
        <f>IFERROR(__xludf.DUMMYFUNCTION("""COMPUTED_VALUE"""),"Ziepniekkalns")</f>
        <v>Ziepniekkalns</v>
      </c>
      <c r="C221" s="2" t="str">
        <f>IFERROR(__xludf.DUMMYFUNCTION("""COMPUTED_VALUE"""),"Valdeķu 62")</f>
        <v>Valdeķu 62</v>
      </c>
      <c r="D221" s="2">
        <f>IFERROR(__xludf.DUMMYFUNCTION("""COMPUTED_VALUE"""),1.0)</f>
        <v>1</v>
      </c>
      <c r="E221" s="2">
        <f>IFERROR(__xludf.DUMMYFUNCTION("""COMPUTED_VALUE"""),38.0)</f>
        <v>38</v>
      </c>
      <c r="F221" s="2">
        <f>IFERROR(__xludf.DUMMYFUNCTION("""COMPUTED_VALUE"""),3.0)</f>
        <v>3</v>
      </c>
      <c r="G221" s="2">
        <f>IFERROR(__xludf.DUMMYFUNCTION("""COMPUTED_VALUE"""),9.0)</f>
        <v>9</v>
      </c>
      <c r="H221" s="2" t="str">
        <f>IFERROR(__xludf.DUMMYFUNCTION("""COMPUTED_VALUE"""),"Specpr.")</f>
        <v>Specpr.</v>
      </c>
      <c r="I221" s="2" t="str">
        <f>IFERROR(__xludf.DUMMYFUNCTION("""COMPUTED_VALUE"""),"Brick")</f>
        <v>Brick</v>
      </c>
      <c r="J221" s="2" t="str">
        <f>IFERROR(__xludf.DUMMYFUNCTION("""COMPUTED_VALUE"""),"All amenities")</f>
        <v>All amenities</v>
      </c>
      <c r="K221" s="2">
        <f>IFERROR(__xludf.DUMMYFUNCTION("""COMPUTED_VALUE"""),350.0)</f>
        <v>350</v>
      </c>
      <c r="L221" s="2">
        <f>IFERROR(__xludf.DUMMYFUNCTION("""COMPUTED_VALUE"""),56.90102635)</f>
        <v>56.90102635</v>
      </c>
      <c r="M221" s="2">
        <f>IFERROR(__xludf.DUMMYFUNCTION("""COMPUTED_VALUE"""),24.0939941127903)</f>
        <v>24.09399411</v>
      </c>
    </row>
    <row r="222">
      <c r="A222" s="2" t="str">
        <f>IFERROR(__xludf.DUMMYFUNCTION("""COMPUTED_VALUE"""),"For rent")</f>
        <v>For rent</v>
      </c>
      <c r="B222" s="2" t="str">
        <f>IFERROR(__xludf.DUMMYFUNCTION("""COMPUTED_VALUE"""),"centrs")</f>
        <v>centrs</v>
      </c>
      <c r="C222" s="2" t="str">
        <f>IFERROR(__xludf.DUMMYFUNCTION("""COMPUTED_VALUE"""),"Cēsu 41")</f>
        <v>Cēsu 41</v>
      </c>
      <c r="D222" s="2">
        <f>IFERROR(__xludf.DUMMYFUNCTION("""COMPUTED_VALUE"""),2.0)</f>
        <v>2</v>
      </c>
      <c r="E222" s="2">
        <f>IFERROR(__xludf.DUMMYFUNCTION("""COMPUTED_VALUE"""),40.0)</f>
        <v>40</v>
      </c>
      <c r="F222" s="2">
        <f>IFERROR(__xludf.DUMMYFUNCTION("""COMPUTED_VALUE"""),2.0)</f>
        <v>2</v>
      </c>
      <c r="G222" s="2">
        <f>IFERROR(__xludf.DUMMYFUNCTION("""COMPUTED_VALUE"""),2.0)</f>
        <v>2</v>
      </c>
      <c r="H222" s="2" t="str">
        <f>IFERROR(__xludf.DUMMYFUNCTION("""COMPUTED_VALUE"""),"P. kara")</f>
        <v>P. kara</v>
      </c>
      <c r="I222" s="2" t="str">
        <f>IFERROR(__xludf.DUMMYFUNCTION("""COMPUTED_VALUE"""),"Wood")</f>
        <v>Wood</v>
      </c>
      <c r="J222" s="2" t="str">
        <f>IFERROR(__xludf.DUMMYFUNCTION("""COMPUTED_VALUE"""),"All amenities")</f>
        <v>All amenities</v>
      </c>
      <c r="K222" s="2">
        <f>IFERROR(__xludf.DUMMYFUNCTION("""COMPUTED_VALUE"""),280.0)</f>
        <v>280</v>
      </c>
      <c r="L222" s="2">
        <f>IFERROR(__xludf.DUMMYFUNCTION("""COMPUTED_VALUE"""),56.96656595)</f>
        <v>56.96656595</v>
      </c>
      <c r="M222" s="2">
        <f>IFERROR(__xludf.DUMMYFUNCTION("""COMPUTED_VALUE"""),24.1436439)</f>
        <v>24.1436439</v>
      </c>
    </row>
    <row r="223">
      <c r="A223" s="2" t="str">
        <f>IFERROR(__xludf.DUMMYFUNCTION("""COMPUTED_VALUE"""),"For rent")</f>
        <v>For rent</v>
      </c>
      <c r="B223" s="2" t="str">
        <f>IFERROR(__xludf.DUMMYFUNCTION("""COMPUTED_VALUE"""),"Purvciems")</f>
        <v>Purvciems</v>
      </c>
      <c r="C223" s="2" t="str">
        <f>IFERROR(__xludf.DUMMYFUNCTION("""COMPUTED_VALUE"""),"Dudajeva g. 5")</f>
        <v>Dudajeva g. 5</v>
      </c>
      <c r="D223" s="2">
        <f>IFERROR(__xludf.DUMMYFUNCTION("""COMPUTED_VALUE"""),1.0)</f>
        <v>1</v>
      </c>
      <c r="E223" s="2">
        <f>IFERROR(__xludf.DUMMYFUNCTION("""COMPUTED_VALUE"""),28.0)</f>
        <v>28</v>
      </c>
      <c r="F223" s="2">
        <f>IFERROR(__xludf.DUMMYFUNCTION("""COMPUTED_VALUE"""),3.0)</f>
        <v>3</v>
      </c>
      <c r="G223" s="2">
        <f>IFERROR(__xludf.DUMMYFUNCTION("""COMPUTED_VALUE"""),5.0)</f>
        <v>5</v>
      </c>
      <c r="H223" s="2" t="str">
        <f>IFERROR(__xludf.DUMMYFUNCTION("""COMPUTED_VALUE"""),"LT proj.")</f>
        <v>LT proj.</v>
      </c>
      <c r="I223" s="2" t="str">
        <f>IFERROR(__xludf.DUMMYFUNCTION("""COMPUTED_VALUE"""),"Brick-Panel")</f>
        <v>Brick-Panel</v>
      </c>
      <c r="J223" s="2" t="str">
        <f>IFERROR(__xludf.DUMMYFUNCTION("""COMPUTED_VALUE"""),"All amenities")</f>
        <v>All amenities</v>
      </c>
      <c r="K223" s="2">
        <f>IFERROR(__xludf.DUMMYFUNCTION("""COMPUTED_VALUE"""),235.0)</f>
        <v>235</v>
      </c>
      <c r="L223" s="2">
        <f>IFERROR(__xludf.DUMMYFUNCTION("""COMPUTED_VALUE"""),56.9570069)</f>
        <v>56.9570069</v>
      </c>
      <c r="M223" s="2">
        <f>IFERROR(__xludf.DUMMYFUNCTION("""COMPUTED_VALUE"""),24.1987368)</f>
        <v>24.1987368</v>
      </c>
    </row>
    <row r="224">
      <c r="A224" s="2" t="str">
        <f>IFERROR(__xludf.DUMMYFUNCTION("""COMPUTED_VALUE"""),"For sale")</f>
        <v>For sale</v>
      </c>
      <c r="B224" s="2" t="str">
        <f>IFERROR(__xludf.DUMMYFUNCTION("""COMPUTED_VALUE"""),"Brekši")</f>
        <v>Brekši</v>
      </c>
      <c r="C224" s="2" t="str">
        <f>IFERROR(__xludf.DUMMYFUNCTION("""COMPUTED_VALUE"""),"Biķernieku 218")</f>
        <v>Biķernieku 218</v>
      </c>
      <c r="D224" s="2">
        <f>IFERROR(__xludf.DUMMYFUNCTION("""COMPUTED_VALUE"""),3.0)</f>
        <v>3</v>
      </c>
      <c r="E224" s="2">
        <f>IFERROR(__xludf.DUMMYFUNCTION("""COMPUTED_VALUE"""),66.0)</f>
        <v>66</v>
      </c>
      <c r="F224" s="2">
        <f>IFERROR(__xludf.DUMMYFUNCTION("""COMPUTED_VALUE"""),2.0)</f>
        <v>2</v>
      </c>
      <c r="G224" s="2">
        <f>IFERROR(__xludf.DUMMYFUNCTION("""COMPUTED_VALUE"""),5.0)</f>
        <v>5</v>
      </c>
      <c r="H224" s="2">
        <f>IFERROR(__xludf.DUMMYFUNCTION("""COMPUTED_VALUE"""),103.0)</f>
        <v>103</v>
      </c>
      <c r="I224" s="2" t="str">
        <f>IFERROR(__xludf.DUMMYFUNCTION("""COMPUTED_VALUE"""),"Brick-Panel")</f>
        <v>Brick-Panel</v>
      </c>
      <c r="J224" s="2" t="str">
        <f>IFERROR(__xludf.DUMMYFUNCTION("""COMPUTED_VALUE"""),"All amenities")</f>
        <v>All amenities</v>
      </c>
      <c r="K224" s="2">
        <f>IFERROR(__xludf.DUMMYFUNCTION("""COMPUTED_VALUE"""),43000.0)</f>
        <v>43000</v>
      </c>
      <c r="L224" s="2">
        <f>IFERROR(__xludf.DUMMYFUNCTION("""COMPUTED_VALUE"""),56.95765645)</f>
        <v>56.95765645</v>
      </c>
      <c r="M224" s="2">
        <f>IFERROR(__xludf.DUMMYFUNCTION("""COMPUTED_VALUE"""),24.2911644248424)</f>
        <v>24.29116442</v>
      </c>
    </row>
    <row r="225">
      <c r="A225" s="2" t="str">
        <f>IFERROR(__xludf.DUMMYFUNCTION("""COMPUTED_VALUE"""),"For sale")</f>
        <v>For sale</v>
      </c>
      <c r="B225" s="2" t="str">
        <f>IFERROR(__xludf.DUMMYFUNCTION("""COMPUTED_VALUE"""),"Jugla")</f>
        <v>Jugla</v>
      </c>
      <c r="C225" s="2" t="str">
        <f>IFERROR(__xludf.DUMMYFUNCTION("""COMPUTED_VALUE"""),"Silciema 5")</f>
        <v>Silciema 5</v>
      </c>
      <c r="D225" s="2">
        <f>IFERROR(__xludf.DUMMYFUNCTION("""COMPUTED_VALUE"""),3.0)</f>
        <v>3</v>
      </c>
      <c r="E225" s="2">
        <f>IFERROR(__xludf.DUMMYFUNCTION("""COMPUTED_VALUE"""),58.0)</f>
        <v>58</v>
      </c>
      <c r="F225" s="2">
        <f>IFERROR(__xludf.DUMMYFUNCTION("""COMPUTED_VALUE"""),2.0)</f>
        <v>2</v>
      </c>
      <c r="G225" s="2">
        <f>IFERROR(__xludf.DUMMYFUNCTION("""COMPUTED_VALUE"""),5.0)</f>
        <v>5</v>
      </c>
      <c r="H225" s="2" t="str">
        <f>IFERROR(__xludf.DUMMYFUNCTION("""COMPUTED_VALUE"""),"Hrušč.")</f>
        <v>Hrušč.</v>
      </c>
      <c r="I225" s="2" t="str">
        <f>IFERROR(__xludf.DUMMYFUNCTION("""COMPUTED_VALUE"""),"Panel")</f>
        <v>Panel</v>
      </c>
      <c r="J225" s="2" t="str">
        <f>IFERROR(__xludf.DUMMYFUNCTION("""COMPUTED_VALUE"""),"All amenities")</f>
        <v>All amenities</v>
      </c>
      <c r="K225" s="2">
        <f>IFERROR(__xludf.DUMMYFUNCTION("""COMPUTED_VALUE"""),45000.0)</f>
        <v>45000</v>
      </c>
      <c r="L225" s="2">
        <f>IFERROR(__xludf.DUMMYFUNCTION("""COMPUTED_VALUE"""),56.9882535)</f>
        <v>56.9882535</v>
      </c>
      <c r="M225" s="2">
        <f>IFERROR(__xludf.DUMMYFUNCTION("""COMPUTED_VALUE"""),24.2378954328869)</f>
        <v>24.23789543</v>
      </c>
    </row>
    <row r="226">
      <c r="A226" s="2" t="str">
        <f>IFERROR(__xludf.DUMMYFUNCTION("""COMPUTED_VALUE"""),"For rent")</f>
        <v>For rent</v>
      </c>
      <c r="B226" s="2" t="str">
        <f>IFERROR(__xludf.DUMMYFUNCTION("""COMPUTED_VALUE"""),"centrs")</f>
        <v>centrs</v>
      </c>
      <c r="C226" s="2" t="str">
        <f>IFERROR(__xludf.DUMMYFUNCTION("""COMPUTED_VALUE"""),"Klijānu 6")</f>
        <v>Klijānu 6</v>
      </c>
      <c r="D226" s="2">
        <f>IFERROR(__xludf.DUMMYFUNCTION("""COMPUTED_VALUE"""),1.0)</f>
        <v>1</v>
      </c>
      <c r="E226" s="2">
        <f>IFERROR(__xludf.DUMMYFUNCTION("""COMPUTED_VALUE"""),14.0)</f>
        <v>14</v>
      </c>
      <c r="F226" s="2">
        <f>IFERROR(__xludf.DUMMYFUNCTION("""COMPUTED_VALUE"""),5.0)</f>
        <v>5</v>
      </c>
      <c r="G226" s="2">
        <f>IFERROR(__xludf.DUMMYFUNCTION("""COMPUTED_VALUE"""),9.0)</f>
        <v>9</v>
      </c>
      <c r="H226" s="2" t="str">
        <f>IFERROR(__xludf.DUMMYFUNCTION("""COMPUTED_VALUE"""),"Jaun.")</f>
        <v>Jaun.</v>
      </c>
      <c r="I226" s="2" t="str">
        <f>IFERROR(__xludf.DUMMYFUNCTION("""COMPUTED_VALUE"""),"Panel-Brick")</f>
        <v>Panel-Brick</v>
      </c>
      <c r="J226" s="2" t="str">
        <f>IFERROR(__xludf.DUMMYFUNCTION("""COMPUTED_VALUE"""),"All amenities")</f>
        <v>All amenities</v>
      </c>
      <c r="K226" s="2">
        <f>IFERROR(__xludf.DUMMYFUNCTION("""COMPUTED_VALUE"""),199.0)</f>
        <v>199</v>
      </c>
      <c r="L226" s="2">
        <f>IFERROR(__xludf.DUMMYFUNCTION("""COMPUTED_VALUE"""),56.9726557)</f>
        <v>56.9726557</v>
      </c>
      <c r="M226" s="2">
        <f>IFERROR(__xludf.DUMMYFUNCTION("""COMPUTED_VALUE"""),24.1493117212851)</f>
        <v>24.14931172</v>
      </c>
    </row>
    <row r="227">
      <c r="A227" s="2" t="str">
        <f>IFERROR(__xludf.DUMMYFUNCTION("""COMPUTED_VALUE"""),"For sale")</f>
        <v>For sale</v>
      </c>
      <c r="B227" s="2" t="str">
        <f>IFERROR(__xludf.DUMMYFUNCTION("""COMPUTED_VALUE"""),"centrs")</f>
        <v>centrs</v>
      </c>
      <c r="C227" s="2" t="str">
        <f>IFERROR(__xludf.DUMMYFUNCTION("""COMPUTED_VALUE"""),"Pērnavas 43")</f>
        <v>Pērnavas 43</v>
      </c>
      <c r="D227" s="2">
        <f>IFERROR(__xludf.DUMMYFUNCTION("""COMPUTED_VALUE"""),3.0)</f>
        <v>3</v>
      </c>
      <c r="E227" s="2">
        <f>IFERROR(__xludf.DUMMYFUNCTION("""COMPUTED_VALUE"""),54.0)</f>
        <v>54</v>
      </c>
      <c r="F227" s="2">
        <f>IFERROR(__xludf.DUMMYFUNCTION("""COMPUTED_VALUE"""),3.0)</f>
        <v>3</v>
      </c>
      <c r="G227" s="2">
        <f>IFERROR(__xludf.DUMMYFUNCTION("""COMPUTED_VALUE"""),6.0)</f>
        <v>6</v>
      </c>
      <c r="H227" s="2" t="str">
        <f>IFERROR(__xludf.DUMMYFUNCTION("""COMPUTED_VALUE"""),"P. kara")</f>
        <v>P. kara</v>
      </c>
      <c r="I227" s="2" t="str">
        <f>IFERROR(__xludf.DUMMYFUNCTION("""COMPUTED_VALUE"""),"Brick")</f>
        <v>Brick</v>
      </c>
      <c r="J227" s="2" t="str">
        <f>IFERROR(__xludf.DUMMYFUNCTION("""COMPUTED_VALUE"""),"Partial amenities")</f>
        <v>Partial amenities</v>
      </c>
      <c r="K227" s="2">
        <f>IFERROR(__xludf.DUMMYFUNCTION("""COMPUTED_VALUE"""),51300.0)</f>
        <v>51300</v>
      </c>
      <c r="L227" s="2">
        <f>IFERROR(__xludf.DUMMYFUNCTION("""COMPUTED_VALUE"""),56.954919)</f>
        <v>56.954919</v>
      </c>
      <c r="M227" s="2">
        <f>IFERROR(__xludf.DUMMYFUNCTION("""COMPUTED_VALUE"""),24.1536554)</f>
        <v>24.1536554</v>
      </c>
    </row>
    <row r="228">
      <c r="A228" s="2" t="str">
        <f>IFERROR(__xludf.DUMMYFUNCTION("""COMPUTED_VALUE"""),"For sale")</f>
        <v>For sale</v>
      </c>
      <c r="B228" s="2" t="str">
        <f>IFERROR(__xludf.DUMMYFUNCTION("""COMPUTED_VALUE"""),"Mežciems")</f>
        <v>Mežciems</v>
      </c>
      <c r="C228" s="2" t="str">
        <f>IFERROR(__xludf.DUMMYFUNCTION("""COMPUTED_VALUE"""),"Kaivas 50/1")</f>
        <v>Kaivas 50/1</v>
      </c>
      <c r="D228" s="2">
        <f>IFERROR(__xludf.DUMMYFUNCTION("""COMPUTED_VALUE"""),2.0)</f>
        <v>2</v>
      </c>
      <c r="E228" s="2">
        <f>IFERROR(__xludf.DUMMYFUNCTION("""COMPUTED_VALUE"""),64.0)</f>
        <v>64</v>
      </c>
      <c r="F228" s="2">
        <f>IFERROR(__xludf.DUMMYFUNCTION("""COMPUTED_VALUE"""),2.0)</f>
        <v>2</v>
      </c>
      <c r="G228" s="2">
        <f>IFERROR(__xludf.DUMMYFUNCTION("""COMPUTED_VALUE"""),5.0)</f>
        <v>5</v>
      </c>
      <c r="H228" s="2" t="str">
        <f>IFERROR(__xludf.DUMMYFUNCTION("""COMPUTED_VALUE"""),"Jaun.")</f>
        <v>Jaun.</v>
      </c>
      <c r="I228" s="2" t="str">
        <f>IFERROR(__xludf.DUMMYFUNCTION("""COMPUTED_VALUE"""),"Brick-Panel")</f>
        <v>Brick-Panel</v>
      </c>
      <c r="J228" s="2" t="str">
        <f>IFERROR(__xludf.DUMMYFUNCTION("""COMPUTED_VALUE"""),"All amenities")</f>
        <v>All amenities</v>
      </c>
      <c r="K228" s="2">
        <f>IFERROR(__xludf.DUMMYFUNCTION("""COMPUTED_VALUE"""),79500.0)</f>
        <v>79500</v>
      </c>
      <c r="L228" s="2">
        <f>IFERROR(__xludf.DUMMYFUNCTION("""COMPUTED_VALUE"""),56.9541725)</f>
        <v>56.9541725</v>
      </c>
      <c r="M228" s="2">
        <f>IFERROR(__xludf.DUMMYFUNCTION("""COMPUTED_VALUE"""),24.2443253)</f>
        <v>24.2443253</v>
      </c>
    </row>
    <row r="229">
      <c r="A229" s="2" t="str">
        <f>IFERROR(__xludf.DUMMYFUNCTION("""COMPUTED_VALUE"""),"For rent")</f>
        <v>For rent</v>
      </c>
      <c r="B229" s="2" t="str">
        <f>IFERROR(__xludf.DUMMYFUNCTION("""COMPUTED_VALUE"""),"centrs")</f>
        <v>centrs</v>
      </c>
      <c r="C229" s="2" t="str">
        <f>IFERROR(__xludf.DUMMYFUNCTION("""COMPUTED_VALUE"""),"Matīsa 41")</f>
        <v>Matīsa 41</v>
      </c>
      <c r="D229" s="2">
        <f>IFERROR(__xludf.DUMMYFUNCTION("""COMPUTED_VALUE"""),1.0)</f>
        <v>1</v>
      </c>
      <c r="E229" s="2">
        <f>IFERROR(__xludf.DUMMYFUNCTION("""COMPUTED_VALUE"""),22.0)</f>
        <v>22</v>
      </c>
      <c r="F229" s="2">
        <f>IFERROR(__xludf.DUMMYFUNCTION("""COMPUTED_VALUE"""),1.0)</f>
        <v>1</v>
      </c>
      <c r="G229" s="2">
        <f>IFERROR(__xludf.DUMMYFUNCTION("""COMPUTED_VALUE"""),2.0)</f>
        <v>2</v>
      </c>
      <c r="H229" s="2" t="str">
        <f>IFERROR(__xludf.DUMMYFUNCTION("""COMPUTED_VALUE"""),"Jaun.")</f>
        <v>Jaun.</v>
      </c>
      <c r="I229" s="2" t="str">
        <f>IFERROR(__xludf.DUMMYFUNCTION("""COMPUTED_VALUE"""),"Wood")</f>
        <v>Wood</v>
      </c>
      <c r="J229" s="2" t="str">
        <f>IFERROR(__xludf.DUMMYFUNCTION("""COMPUTED_VALUE"""),"All amenities")</f>
        <v>All amenities</v>
      </c>
      <c r="K229" s="2">
        <f>IFERROR(__xludf.DUMMYFUNCTION("""COMPUTED_VALUE"""),30.0)</f>
        <v>30</v>
      </c>
      <c r="L229" s="2">
        <f>IFERROR(__xludf.DUMMYFUNCTION("""COMPUTED_VALUE"""),56.9554529)</f>
        <v>56.9554529</v>
      </c>
      <c r="M229" s="2">
        <f>IFERROR(__xludf.DUMMYFUNCTION("""COMPUTED_VALUE"""),24.1371051)</f>
        <v>24.1371051</v>
      </c>
    </row>
    <row r="230">
      <c r="A230" s="2" t="str">
        <f>IFERROR(__xludf.DUMMYFUNCTION("""COMPUTED_VALUE"""),"For rent")</f>
        <v>For rent</v>
      </c>
      <c r="B230" s="2" t="str">
        <f>IFERROR(__xludf.DUMMYFUNCTION("""COMPUTED_VALUE"""),"centrs")</f>
        <v>centrs</v>
      </c>
      <c r="C230" s="2" t="str">
        <f>IFERROR(__xludf.DUMMYFUNCTION("""COMPUTED_VALUE"""),"Matīsa 46")</f>
        <v>Matīsa 46</v>
      </c>
      <c r="D230" s="2">
        <f>IFERROR(__xludf.DUMMYFUNCTION("""COMPUTED_VALUE"""),1.0)</f>
        <v>1</v>
      </c>
      <c r="E230" s="2">
        <f>IFERROR(__xludf.DUMMYFUNCTION("""COMPUTED_VALUE"""),17.0)</f>
        <v>17</v>
      </c>
      <c r="F230" s="2">
        <f>IFERROR(__xludf.DUMMYFUNCTION("""COMPUTED_VALUE"""),3.0)</f>
        <v>3</v>
      </c>
      <c r="G230" s="2">
        <f>IFERROR(__xludf.DUMMYFUNCTION("""COMPUTED_VALUE"""),5.0)</f>
        <v>5</v>
      </c>
      <c r="H230" s="2" t="str">
        <f>IFERROR(__xludf.DUMMYFUNCTION("""COMPUTED_VALUE"""),"Jaun.")</f>
        <v>Jaun.</v>
      </c>
      <c r="I230" s="2" t="str">
        <f>IFERROR(__xludf.DUMMYFUNCTION("""COMPUTED_VALUE"""),"Masonry")</f>
        <v>Masonry</v>
      </c>
      <c r="J230" s="2" t="str">
        <f>IFERROR(__xludf.DUMMYFUNCTION("""COMPUTED_VALUE"""),"All amenities")</f>
        <v>All amenities</v>
      </c>
      <c r="K230" s="2">
        <f>IFERROR(__xludf.DUMMYFUNCTION("""COMPUTED_VALUE"""),25.0)</f>
        <v>25</v>
      </c>
      <c r="L230" s="2">
        <f>IFERROR(__xludf.DUMMYFUNCTION("""COMPUTED_VALUE"""),56.9549083)</f>
        <v>56.9549083</v>
      </c>
      <c r="M230" s="2">
        <f>IFERROR(__xludf.DUMMYFUNCTION("""COMPUTED_VALUE"""),24.1376122)</f>
        <v>24.1376122</v>
      </c>
    </row>
    <row r="231">
      <c r="A231" s="2" t="str">
        <f>IFERROR(__xludf.DUMMYFUNCTION("""COMPUTED_VALUE"""),"For rent")</f>
        <v>For rent</v>
      </c>
      <c r="B231" s="2" t="str">
        <f>IFERROR(__xludf.DUMMYFUNCTION("""COMPUTED_VALUE"""),"Iļģuciems")</f>
        <v>Iļģuciems</v>
      </c>
      <c r="C231" s="2" t="str">
        <f>IFERROR(__xludf.DUMMYFUNCTION("""COMPUTED_VALUE"""),"Motoru 3")</f>
        <v>Motoru 3</v>
      </c>
      <c r="D231" s="2">
        <f>IFERROR(__xludf.DUMMYFUNCTION("""COMPUTED_VALUE"""),1.0)</f>
        <v>1</v>
      </c>
      <c r="E231" s="2">
        <f>IFERROR(__xludf.DUMMYFUNCTION("""COMPUTED_VALUE"""),25.0)</f>
        <v>25</v>
      </c>
      <c r="F231" s="2">
        <f>IFERROR(__xludf.DUMMYFUNCTION("""COMPUTED_VALUE"""),5.0)</f>
        <v>5</v>
      </c>
      <c r="G231" s="2">
        <f>IFERROR(__xludf.DUMMYFUNCTION("""COMPUTED_VALUE"""),5.0)</f>
        <v>5</v>
      </c>
      <c r="H231" s="2" t="str">
        <f>IFERROR(__xludf.DUMMYFUNCTION("""COMPUTED_VALUE"""),"M. ģim.")</f>
        <v>M. ģim.</v>
      </c>
      <c r="I231" s="2" t="str">
        <f>IFERROR(__xludf.DUMMYFUNCTION("""COMPUTED_VALUE"""),"Brick")</f>
        <v>Brick</v>
      </c>
      <c r="J231" s="2" t="str">
        <f>IFERROR(__xludf.DUMMYFUNCTION("""COMPUTED_VALUE"""),"All amenities")</f>
        <v>All amenities</v>
      </c>
      <c r="K231" s="2">
        <f>IFERROR(__xludf.DUMMYFUNCTION("""COMPUTED_VALUE"""),230.0)</f>
        <v>230</v>
      </c>
      <c r="L231" s="2">
        <f>IFERROR(__xludf.DUMMYFUNCTION("""COMPUTED_VALUE"""),56.96949175)</f>
        <v>56.96949175</v>
      </c>
      <c r="M231" s="2">
        <f>IFERROR(__xludf.DUMMYFUNCTION("""COMPUTED_VALUE"""),24.0680992583519)</f>
        <v>24.06809926</v>
      </c>
    </row>
    <row r="232">
      <c r="A232" s="2" t="str">
        <f>IFERROR(__xludf.DUMMYFUNCTION("""COMPUTED_VALUE"""),"For rent")</f>
        <v>For rent</v>
      </c>
      <c r="B232" s="2" t="str">
        <f>IFERROR(__xludf.DUMMYFUNCTION("""COMPUTED_VALUE"""),"centrs")</f>
        <v>centrs</v>
      </c>
      <c r="C232" s="2" t="str">
        <f>IFERROR(__xludf.DUMMYFUNCTION("""COMPUTED_VALUE"""),"Barona 24/26")</f>
        <v>Barona 24/26</v>
      </c>
      <c r="D232" s="2">
        <f>IFERROR(__xludf.DUMMYFUNCTION("""COMPUTED_VALUE"""),1.0)</f>
        <v>1</v>
      </c>
      <c r="E232" s="2">
        <f>IFERROR(__xludf.DUMMYFUNCTION("""COMPUTED_VALUE"""),22.0)</f>
        <v>22</v>
      </c>
      <c r="F232" s="2">
        <f>IFERROR(__xludf.DUMMYFUNCTION("""COMPUTED_VALUE"""),6.0)</f>
        <v>6</v>
      </c>
      <c r="G232" s="2">
        <f>IFERROR(__xludf.DUMMYFUNCTION("""COMPUTED_VALUE"""),6.0)</f>
        <v>6</v>
      </c>
      <c r="H232" s="2" t="str">
        <f>IFERROR(__xludf.DUMMYFUNCTION("""COMPUTED_VALUE"""),"Renov.")</f>
        <v>Renov.</v>
      </c>
      <c r="I232" s="2" t="str">
        <f>IFERROR(__xludf.DUMMYFUNCTION("""COMPUTED_VALUE"""),"Masonry")</f>
        <v>Masonry</v>
      </c>
      <c r="J232" s="2" t="str">
        <f>IFERROR(__xludf.DUMMYFUNCTION("""COMPUTED_VALUE"""),"All amenities")</f>
        <v>All amenities</v>
      </c>
      <c r="K232" s="2">
        <f>IFERROR(__xludf.DUMMYFUNCTION("""COMPUTED_VALUE"""),480.0)</f>
        <v>480</v>
      </c>
      <c r="L232" s="2">
        <f>IFERROR(__xludf.DUMMYFUNCTION("""COMPUTED_VALUE"""),56.95161295)</f>
        <v>56.95161295</v>
      </c>
      <c r="M232" s="2">
        <f>IFERROR(__xludf.DUMMYFUNCTION("""COMPUTED_VALUE"""),24.1224571478615)</f>
        <v>24.12245715</v>
      </c>
    </row>
    <row r="233">
      <c r="A233" s="2" t="str">
        <f>IFERROR(__xludf.DUMMYFUNCTION("""COMPUTED_VALUE"""),"For rent")</f>
        <v>For rent</v>
      </c>
      <c r="B233" s="2" t="str">
        <f>IFERROR(__xludf.DUMMYFUNCTION("""COMPUTED_VALUE"""),"Ziepniekkalns")</f>
        <v>Ziepniekkalns</v>
      </c>
      <c r="C233" s="2" t="str">
        <f>IFERROR(__xludf.DUMMYFUNCTION("""COMPUTED_VALUE"""),"Ozolciema 30")</f>
        <v>Ozolciema 30</v>
      </c>
      <c r="D233" s="2">
        <f>IFERROR(__xludf.DUMMYFUNCTION("""COMPUTED_VALUE"""),1.0)</f>
        <v>1</v>
      </c>
      <c r="E233" s="2">
        <f>IFERROR(__xludf.DUMMYFUNCTION("""COMPUTED_VALUE"""),40.0)</f>
        <v>40</v>
      </c>
      <c r="F233" s="2">
        <f>IFERROR(__xludf.DUMMYFUNCTION("""COMPUTED_VALUE"""),6.0)</f>
        <v>6</v>
      </c>
      <c r="G233" s="2">
        <f>IFERROR(__xludf.DUMMYFUNCTION("""COMPUTED_VALUE"""),9.0)</f>
        <v>9</v>
      </c>
      <c r="H233" s="2" t="str">
        <f>IFERROR(__xludf.DUMMYFUNCTION("""COMPUTED_VALUE"""),"M. ģim.")</f>
        <v>M. ģim.</v>
      </c>
      <c r="I233" s="2" t="str">
        <f>IFERROR(__xludf.DUMMYFUNCTION("""COMPUTED_VALUE"""),"Panel")</f>
        <v>Panel</v>
      </c>
      <c r="J233" s="2" t="str">
        <f>IFERROR(__xludf.DUMMYFUNCTION("""COMPUTED_VALUE"""),"All amenities")</f>
        <v>All amenities</v>
      </c>
      <c r="K233" s="2">
        <f>IFERROR(__xludf.DUMMYFUNCTION("""COMPUTED_VALUE"""),280.0)</f>
        <v>280</v>
      </c>
      <c r="L233" s="2">
        <f>IFERROR(__xludf.DUMMYFUNCTION("""COMPUTED_VALUE"""),56.89981695)</f>
        <v>56.89981695</v>
      </c>
      <c r="M233" s="2">
        <f>IFERROR(__xludf.DUMMYFUNCTION("""COMPUTED_VALUE"""),24.0965337335385)</f>
        <v>24.09653373</v>
      </c>
    </row>
    <row r="234">
      <c r="A234" s="2" t="str">
        <f>IFERROR(__xludf.DUMMYFUNCTION("""COMPUTED_VALUE"""),"For sale")</f>
        <v>For sale</v>
      </c>
      <c r="B234" s="2" t="str">
        <f>IFERROR(__xludf.DUMMYFUNCTION("""COMPUTED_VALUE"""),"centrs")</f>
        <v>centrs</v>
      </c>
      <c r="C234" s="2" t="str">
        <f>IFERROR(__xludf.DUMMYFUNCTION("""COMPUTED_VALUE"""),"Zvaigžņu 24")</f>
        <v>Zvaigžņu 24</v>
      </c>
      <c r="D234" s="2">
        <f>IFERROR(__xludf.DUMMYFUNCTION("""COMPUTED_VALUE"""),2.0)</f>
        <v>2</v>
      </c>
      <c r="E234" s="2">
        <f>IFERROR(__xludf.DUMMYFUNCTION("""COMPUTED_VALUE"""),29.0)</f>
        <v>29</v>
      </c>
      <c r="F234" s="2">
        <f>IFERROR(__xludf.DUMMYFUNCTION("""COMPUTED_VALUE"""),3.0)</f>
        <v>3</v>
      </c>
      <c r="G234" s="2">
        <f>IFERROR(__xludf.DUMMYFUNCTION("""COMPUTED_VALUE"""),7.0)</f>
        <v>7</v>
      </c>
      <c r="H234" s="2" t="str">
        <f>IFERROR(__xludf.DUMMYFUNCTION("""COMPUTED_VALUE"""),"P. kara")</f>
        <v>P. kara</v>
      </c>
      <c r="I234" s="2" t="str">
        <f>IFERROR(__xludf.DUMMYFUNCTION("""COMPUTED_VALUE"""),"Masonry")</f>
        <v>Masonry</v>
      </c>
      <c r="J234" s="2" t="str">
        <f>IFERROR(__xludf.DUMMYFUNCTION("""COMPUTED_VALUE"""),"All amenities")</f>
        <v>All amenities</v>
      </c>
      <c r="K234" s="2">
        <f>IFERROR(__xludf.DUMMYFUNCTION("""COMPUTED_VALUE"""),44900.0)</f>
        <v>44900</v>
      </c>
      <c r="L234" s="2">
        <f>IFERROR(__xludf.DUMMYFUNCTION("""COMPUTED_VALUE"""),56.9607411)</f>
        <v>56.9607411</v>
      </c>
      <c r="M234" s="2">
        <f>IFERROR(__xludf.DUMMYFUNCTION("""COMPUTED_VALUE"""),24.1497716)</f>
        <v>24.1497716</v>
      </c>
    </row>
    <row r="235">
      <c r="A235" s="2" t="str">
        <f>IFERROR(__xludf.DUMMYFUNCTION("""COMPUTED_VALUE"""),"For sale")</f>
        <v>For sale</v>
      </c>
      <c r="B235" s="2" t="str">
        <f>IFERROR(__xludf.DUMMYFUNCTION("""COMPUTED_VALUE"""),"centrs")</f>
        <v>centrs</v>
      </c>
      <c r="C235" s="2" t="str">
        <f>IFERROR(__xludf.DUMMYFUNCTION("""COMPUTED_VALUE"""),"Valdemāra 37")</f>
        <v>Valdemāra 37</v>
      </c>
      <c r="D235" s="2">
        <f>IFERROR(__xludf.DUMMYFUNCTION("""COMPUTED_VALUE"""),3.0)</f>
        <v>3</v>
      </c>
      <c r="E235" s="2">
        <f>IFERROR(__xludf.DUMMYFUNCTION("""COMPUTED_VALUE"""),78.0)</f>
        <v>78</v>
      </c>
      <c r="F235" s="2">
        <f>IFERROR(__xludf.DUMMYFUNCTION("""COMPUTED_VALUE"""),4.0)</f>
        <v>4</v>
      </c>
      <c r="G235" s="2">
        <f>IFERROR(__xludf.DUMMYFUNCTION("""COMPUTED_VALUE"""),6.0)</f>
        <v>6</v>
      </c>
      <c r="H235" s="2" t="str">
        <f>IFERROR(__xludf.DUMMYFUNCTION("""COMPUTED_VALUE"""),"Renov.")</f>
        <v>Renov.</v>
      </c>
      <c r="I235" s="2" t="str">
        <f>IFERROR(__xludf.DUMMYFUNCTION("""COMPUTED_VALUE"""),"Masonry")</f>
        <v>Masonry</v>
      </c>
      <c r="J235" s="2" t="str">
        <f>IFERROR(__xludf.DUMMYFUNCTION("""COMPUTED_VALUE"""),"All amenities")</f>
        <v>All amenities</v>
      </c>
      <c r="K235" s="2">
        <f>IFERROR(__xludf.DUMMYFUNCTION("""COMPUTED_VALUE"""),159732.0)</f>
        <v>159732</v>
      </c>
      <c r="L235" s="2">
        <f>IFERROR(__xludf.DUMMYFUNCTION("""COMPUTED_VALUE"""),56.958482)</f>
        <v>56.958482</v>
      </c>
      <c r="M235" s="2">
        <f>IFERROR(__xludf.DUMMYFUNCTION("""COMPUTED_VALUE"""),24.116859)</f>
        <v>24.116859</v>
      </c>
    </row>
    <row r="236">
      <c r="A236" s="2" t="str">
        <f>IFERROR(__xludf.DUMMYFUNCTION("""COMPUTED_VALUE"""),"For sale")</f>
        <v>For sale</v>
      </c>
      <c r="B236" s="2" t="str">
        <f>IFERROR(__xludf.DUMMYFUNCTION("""COMPUTED_VALUE"""),"Teika")</f>
        <v>Teika</v>
      </c>
      <c r="C236" s="2" t="str">
        <f>IFERROR(__xludf.DUMMYFUNCTION("""COMPUTED_VALUE"""),"Bērzpils 1")</f>
        <v>Bērzpils 1</v>
      </c>
      <c r="D236" s="2">
        <f>IFERROR(__xludf.DUMMYFUNCTION("""COMPUTED_VALUE"""),2.0)</f>
        <v>2</v>
      </c>
      <c r="E236" s="2">
        <f>IFERROR(__xludf.DUMMYFUNCTION("""COMPUTED_VALUE"""),45.0)</f>
        <v>45</v>
      </c>
      <c r="F236" s="2">
        <f>IFERROR(__xludf.DUMMYFUNCTION("""COMPUTED_VALUE"""),1.0)</f>
        <v>1</v>
      </c>
      <c r="G236" s="2">
        <f>IFERROR(__xludf.DUMMYFUNCTION("""COMPUTED_VALUE"""),5.0)</f>
        <v>5</v>
      </c>
      <c r="H236" s="2" t="str">
        <f>IFERROR(__xludf.DUMMYFUNCTION("""COMPUTED_VALUE"""),"Hrušč.")</f>
        <v>Hrušč.</v>
      </c>
      <c r="I236" s="2" t="str">
        <f>IFERROR(__xludf.DUMMYFUNCTION("""COMPUTED_VALUE"""),"Brick")</f>
        <v>Brick</v>
      </c>
      <c r="J236" s="2" t="str">
        <f>IFERROR(__xludf.DUMMYFUNCTION("""COMPUTED_VALUE"""),"All amenities")</f>
        <v>All amenities</v>
      </c>
      <c r="K236" s="2">
        <f>IFERROR(__xludf.DUMMYFUNCTION("""COMPUTED_VALUE"""),37000.0)</f>
        <v>37000</v>
      </c>
      <c r="L236" s="2">
        <f>IFERROR(__xludf.DUMMYFUNCTION("""COMPUTED_VALUE"""),56.97918625)</f>
        <v>56.97918625</v>
      </c>
      <c r="M236" s="2">
        <f>IFERROR(__xludf.DUMMYFUNCTION("""COMPUTED_VALUE"""),24.1706639381423)</f>
        <v>24.17066394</v>
      </c>
    </row>
    <row r="237">
      <c r="A237" s="2" t="str">
        <f>IFERROR(__xludf.DUMMYFUNCTION("""COMPUTED_VALUE"""),"For sale")</f>
        <v>For sale</v>
      </c>
      <c r="B237" s="2" t="str">
        <f>IFERROR(__xludf.DUMMYFUNCTION("""COMPUTED_VALUE"""),"Mežciems")</f>
        <v>Mežciems</v>
      </c>
      <c r="C237" s="2" t="str">
        <f>IFERROR(__xludf.DUMMYFUNCTION("""COMPUTED_VALUE"""),"Hipokrāta 17")</f>
        <v>Hipokrāta 17</v>
      </c>
      <c r="D237" s="2">
        <f>IFERROR(__xludf.DUMMYFUNCTION("""COMPUTED_VALUE"""),3.0)</f>
        <v>3</v>
      </c>
      <c r="E237" s="2">
        <f>IFERROR(__xludf.DUMMYFUNCTION("""COMPUTED_VALUE"""),62.0)</f>
        <v>62</v>
      </c>
      <c r="F237" s="2">
        <f>IFERROR(__xludf.DUMMYFUNCTION("""COMPUTED_VALUE"""),6.0)</f>
        <v>6</v>
      </c>
      <c r="G237" s="2">
        <f>IFERROR(__xludf.DUMMYFUNCTION("""COMPUTED_VALUE"""),9.0)</f>
        <v>9</v>
      </c>
      <c r="H237" s="2">
        <f>IFERROR(__xludf.DUMMYFUNCTION("""COMPUTED_VALUE"""),602.0)</f>
        <v>602</v>
      </c>
      <c r="I237" s="2" t="str">
        <f>IFERROR(__xludf.DUMMYFUNCTION("""COMPUTED_VALUE"""),"Panel")</f>
        <v>Panel</v>
      </c>
      <c r="J237" s="2" t="str">
        <f>IFERROR(__xludf.DUMMYFUNCTION("""COMPUTED_VALUE"""),"All amenities")</f>
        <v>All amenities</v>
      </c>
      <c r="K237" s="2">
        <f>IFERROR(__xludf.DUMMYFUNCTION("""COMPUTED_VALUE"""),61000.0)</f>
        <v>61000</v>
      </c>
      <c r="L237" s="2">
        <f>IFERROR(__xludf.DUMMYFUNCTION("""COMPUTED_VALUE"""),56.96614945)</f>
        <v>56.96614945</v>
      </c>
      <c r="M237" s="2">
        <f>IFERROR(__xludf.DUMMYFUNCTION("""COMPUTED_VALUE"""),24.2373330786018)</f>
        <v>24.23733308</v>
      </c>
    </row>
    <row r="238">
      <c r="A238" s="2" t="str">
        <f>IFERROR(__xludf.DUMMYFUNCTION("""COMPUTED_VALUE"""),"For rent")</f>
        <v>For rent</v>
      </c>
      <c r="B238" s="2" t="str">
        <f>IFERROR(__xludf.DUMMYFUNCTION("""COMPUTED_VALUE"""),"centrs")</f>
        <v>centrs</v>
      </c>
      <c r="C238" s="2" t="str">
        <f>IFERROR(__xludf.DUMMYFUNCTION("""COMPUTED_VALUE"""),"Cēsu 5")</f>
        <v>Cēsu 5</v>
      </c>
      <c r="D238" s="2">
        <f>IFERROR(__xludf.DUMMYFUNCTION("""COMPUTED_VALUE"""),2.0)</f>
        <v>2</v>
      </c>
      <c r="E238" s="2">
        <f>IFERROR(__xludf.DUMMYFUNCTION("""COMPUTED_VALUE"""),48.0)</f>
        <v>48</v>
      </c>
      <c r="F238" s="2">
        <f>IFERROR(__xludf.DUMMYFUNCTION("""COMPUTED_VALUE"""),3.0)</f>
        <v>3</v>
      </c>
      <c r="G238" s="2">
        <f>IFERROR(__xludf.DUMMYFUNCTION("""COMPUTED_VALUE"""),6.0)</f>
        <v>6</v>
      </c>
      <c r="H238" s="2" t="str">
        <f>IFERROR(__xludf.DUMMYFUNCTION("""COMPUTED_VALUE"""),"P. kara")</f>
        <v>P. kara</v>
      </c>
      <c r="I238" s="2" t="str">
        <f>IFERROR(__xludf.DUMMYFUNCTION("""COMPUTED_VALUE"""),"Masonry")</f>
        <v>Masonry</v>
      </c>
      <c r="J238" s="2" t="str">
        <f>IFERROR(__xludf.DUMMYFUNCTION("""COMPUTED_VALUE"""),"All amenities")</f>
        <v>All amenities</v>
      </c>
      <c r="K238" s="2">
        <f>IFERROR(__xludf.DUMMYFUNCTION("""COMPUTED_VALUE"""),450.0)</f>
        <v>450</v>
      </c>
      <c r="L238" s="2">
        <f>IFERROR(__xludf.DUMMYFUNCTION("""COMPUTED_VALUE"""),56.9642651)</f>
        <v>56.9642651</v>
      </c>
      <c r="M238" s="2">
        <f>IFERROR(__xludf.DUMMYFUNCTION("""COMPUTED_VALUE"""),24.1370086)</f>
        <v>24.1370086</v>
      </c>
    </row>
    <row r="239">
      <c r="A239" s="2" t="str">
        <f>IFERROR(__xludf.DUMMYFUNCTION("""COMPUTED_VALUE"""),"For rent")</f>
        <v>For rent</v>
      </c>
      <c r="B239" s="2" t="str">
        <f>IFERROR(__xludf.DUMMYFUNCTION("""COMPUTED_VALUE"""),"centrs")</f>
        <v>centrs</v>
      </c>
      <c r="C239" s="2" t="str">
        <f>IFERROR(__xludf.DUMMYFUNCTION("""COMPUTED_VALUE"""),"Valdemāra 53")</f>
        <v>Valdemāra 53</v>
      </c>
      <c r="D239" s="2">
        <f>IFERROR(__xludf.DUMMYFUNCTION("""COMPUTED_VALUE"""),1.0)</f>
        <v>1</v>
      </c>
      <c r="E239" s="2">
        <f>IFERROR(__xludf.DUMMYFUNCTION("""COMPUTED_VALUE"""),19.0)</f>
        <v>19</v>
      </c>
      <c r="F239" s="2">
        <f>IFERROR(__xludf.DUMMYFUNCTION("""COMPUTED_VALUE"""),3.0)</f>
        <v>3</v>
      </c>
      <c r="G239" s="2">
        <f>IFERROR(__xludf.DUMMYFUNCTION("""COMPUTED_VALUE"""),5.0)</f>
        <v>5</v>
      </c>
      <c r="H239" s="2" t="str">
        <f>IFERROR(__xludf.DUMMYFUNCTION("""COMPUTED_VALUE"""),"P. kara")</f>
        <v>P. kara</v>
      </c>
      <c r="I239" s="2" t="str">
        <f>IFERROR(__xludf.DUMMYFUNCTION("""COMPUTED_VALUE"""),"Masonry")</f>
        <v>Masonry</v>
      </c>
      <c r="J239" s="2" t="str">
        <f>IFERROR(__xludf.DUMMYFUNCTION("""COMPUTED_VALUE"""),"All amenities")</f>
        <v>All amenities</v>
      </c>
      <c r="K239" s="2">
        <f>IFERROR(__xludf.DUMMYFUNCTION("""COMPUTED_VALUE"""),120.0)</f>
        <v>120</v>
      </c>
      <c r="L239" s="2">
        <f>IFERROR(__xludf.DUMMYFUNCTION("""COMPUTED_VALUE"""),56.9596205)</f>
        <v>56.9596205</v>
      </c>
      <c r="M239" s="2">
        <f>IFERROR(__xludf.DUMMYFUNCTION("""COMPUTED_VALUE"""),24.1190117)</f>
        <v>24.1190117</v>
      </c>
    </row>
    <row r="240">
      <c r="A240" s="2" t="str">
        <f>IFERROR(__xludf.DUMMYFUNCTION("""COMPUTED_VALUE"""),"For sale")</f>
        <v>For sale</v>
      </c>
      <c r="B240" s="2" t="str">
        <f>IFERROR(__xludf.DUMMYFUNCTION("""COMPUTED_VALUE"""),"Āgenskalns")</f>
        <v>Āgenskalns</v>
      </c>
      <c r="C240" s="2" t="str">
        <f>IFERROR(__xludf.DUMMYFUNCTION("""COMPUTED_VALUE"""),"Kuldīgas 10")</f>
        <v>Kuldīgas 10</v>
      </c>
      <c r="D240" s="2">
        <f>IFERROR(__xludf.DUMMYFUNCTION("""COMPUTED_VALUE"""),1.0)</f>
        <v>1</v>
      </c>
      <c r="E240" s="2">
        <f>IFERROR(__xludf.DUMMYFUNCTION("""COMPUTED_VALUE"""),21.0)</f>
        <v>21</v>
      </c>
      <c r="F240" s="2">
        <f>IFERROR(__xludf.DUMMYFUNCTION("""COMPUTED_VALUE"""),2.0)</f>
        <v>2</v>
      </c>
      <c r="G240" s="2">
        <f>IFERROR(__xludf.DUMMYFUNCTION("""COMPUTED_VALUE"""),2.0)</f>
        <v>2</v>
      </c>
      <c r="H240" s="2" t="str">
        <f>IFERROR(__xludf.DUMMYFUNCTION("""COMPUTED_VALUE"""),"Specpr.")</f>
        <v>Specpr.</v>
      </c>
      <c r="I240" s="2" t="str">
        <f>IFERROR(__xludf.DUMMYFUNCTION("""COMPUTED_VALUE"""),"Wood")</f>
        <v>Wood</v>
      </c>
      <c r="J240" s="2" t="str">
        <f>IFERROR(__xludf.DUMMYFUNCTION("""COMPUTED_VALUE"""),"Partial amenities")</f>
        <v>Partial amenities</v>
      </c>
      <c r="K240" s="2">
        <f>IFERROR(__xludf.DUMMYFUNCTION("""COMPUTED_VALUE"""),11700.0)</f>
        <v>11700</v>
      </c>
      <c r="L240" s="2">
        <f>IFERROR(__xludf.DUMMYFUNCTION("""COMPUTED_VALUE"""),56.9517628)</f>
        <v>56.9517628</v>
      </c>
      <c r="M240" s="2">
        <f>IFERROR(__xludf.DUMMYFUNCTION("""COMPUTED_VALUE"""),24.0673487092408)</f>
        <v>24.06734871</v>
      </c>
    </row>
    <row r="241">
      <c r="A241" s="2" t="str">
        <f>IFERROR(__xludf.DUMMYFUNCTION("""COMPUTED_VALUE"""),"For rent")</f>
        <v>For rent</v>
      </c>
      <c r="B241" s="2" t="str">
        <f>IFERROR(__xludf.DUMMYFUNCTION("""COMPUTED_VALUE"""),"Āgenskalns")</f>
        <v>Āgenskalns</v>
      </c>
      <c r="C241" s="2" t="str">
        <f>IFERROR(__xludf.DUMMYFUNCTION("""COMPUTED_VALUE"""),"Tukuma 3")</f>
        <v>Tukuma 3</v>
      </c>
      <c r="D241" s="2">
        <f>IFERROR(__xludf.DUMMYFUNCTION("""COMPUTED_VALUE"""),1.0)</f>
        <v>1</v>
      </c>
      <c r="E241" s="2">
        <f>IFERROR(__xludf.DUMMYFUNCTION("""COMPUTED_VALUE"""),24.0)</f>
        <v>24</v>
      </c>
      <c r="F241" s="2">
        <f>IFERROR(__xludf.DUMMYFUNCTION("""COMPUTED_VALUE"""),2.0)</f>
        <v>2</v>
      </c>
      <c r="G241" s="2">
        <f>IFERROR(__xludf.DUMMYFUNCTION("""COMPUTED_VALUE"""),3.0)</f>
        <v>3</v>
      </c>
      <c r="H241" s="2" t="str">
        <f>IFERROR(__xludf.DUMMYFUNCTION("""COMPUTED_VALUE"""),"P. kara")</f>
        <v>P. kara</v>
      </c>
      <c r="I241" s="2" t="str">
        <f>IFERROR(__xludf.DUMMYFUNCTION("""COMPUTED_VALUE"""),"Panel-Brick")</f>
        <v>Panel-Brick</v>
      </c>
      <c r="J241" s="2" t="str">
        <f>IFERROR(__xludf.DUMMYFUNCTION("""COMPUTED_VALUE"""),"All amenities")</f>
        <v>All amenities</v>
      </c>
      <c r="K241" s="2">
        <f>IFERROR(__xludf.DUMMYFUNCTION("""COMPUTED_VALUE"""),200.0)</f>
        <v>200</v>
      </c>
      <c r="L241" s="2">
        <f>IFERROR(__xludf.DUMMYFUNCTION("""COMPUTED_VALUE"""),56.6975599)</f>
        <v>56.6975599</v>
      </c>
      <c r="M241" s="2">
        <f>IFERROR(__xludf.DUMMYFUNCTION("""COMPUTED_VALUE"""),23.1472299)</f>
        <v>23.1472299</v>
      </c>
    </row>
    <row r="242">
      <c r="A242" s="2" t="str">
        <f>IFERROR(__xludf.DUMMYFUNCTION("""COMPUTED_VALUE"""),"For sale")</f>
        <v>For sale</v>
      </c>
      <c r="B242" s="2" t="str">
        <f>IFERROR(__xludf.DUMMYFUNCTION("""COMPUTED_VALUE"""),"Teika")</f>
        <v>Teika</v>
      </c>
      <c r="C242" s="2" t="str">
        <f>IFERROR(__xludf.DUMMYFUNCTION("""COMPUTED_VALUE"""),"Apes 5")</f>
        <v>Apes 5</v>
      </c>
      <c r="D242" s="2">
        <f>IFERROR(__xludf.DUMMYFUNCTION("""COMPUTED_VALUE"""),2.0)</f>
        <v>2</v>
      </c>
      <c r="E242" s="2">
        <f>IFERROR(__xludf.DUMMYFUNCTION("""COMPUTED_VALUE"""),46.0)</f>
        <v>46</v>
      </c>
      <c r="F242" s="2">
        <f>IFERROR(__xludf.DUMMYFUNCTION("""COMPUTED_VALUE"""),1.0)</f>
        <v>1</v>
      </c>
      <c r="G242" s="2">
        <f>IFERROR(__xludf.DUMMYFUNCTION("""COMPUTED_VALUE"""),5.0)</f>
        <v>5</v>
      </c>
      <c r="H242" s="2" t="str">
        <f>IFERROR(__xludf.DUMMYFUNCTION("""COMPUTED_VALUE"""),"Specpr.")</f>
        <v>Specpr.</v>
      </c>
      <c r="I242" s="2" t="str">
        <f>IFERROR(__xludf.DUMMYFUNCTION("""COMPUTED_VALUE"""),"Brick")</f>
        <v>Brick</v>
      </c>
      <c r="J242" s="2" t="str">
        <f>IFERROR(__xludf.DUMMYFUNCTION("""COMPUTED_VALUE"""),"All amenities")</f>
        <v>All amenities</v>
      </c>
      <c r="K242" s="2">
        <f>IFERROR(__xludf.DUMMYFUNCTION("""COMPUTED_VALUE"""),44300.0)</f>
        <v>44300</v>
      </c>
      <c r="L242" s="2">
        <f>IFERROR(__xludf.DUMMYFUNCTION("""COMPUTED_VALUE"""),56.9774920499999)</f>
        <v>56.97749205</v>
      </c>
      <c r="M242" s="2">
        <f>IFERROR(__xludf.DUMMYFUNCTION("""COMPUTED_VALUE"""),24.1744972362906)</f>
        <v>24.17449724</v>
      </c>
    </row>
    <row r="243">
      <c r="A243" s="2" t="str">
        <f>IFERROR(__xludf.DUMMYFUNCTION("""COMPUTED_VALUE"""),"For sale")</f>
        <v>For sale</v>
      </c>
      <c r="B243" s="2" t="str">
        <f>IFERROR(__xludf.DUMMYFUNCTION("""COMPUTED_VALUE"""),"Āgenskalns")</f>
        <v>Āgenskalns</v>
      </c>
      <c r="C243" s="2" t="str">
        <f>IFERROR(__xludf.DUMMYFUNCTION("""COMPUTED_VALUE"""),"Gregora 8")</f>
        <v>Gregora 8</v>
      </c>
      <c r="D243" s="2">
        <f>IFERROR(__xludf.DUMMYFUNCTION("""COMPUTED_VALUE"""),1.0)</f>
        <v>1</v>
      </c>
      <c r="E243" s="2">
        <f>IFERROR(__xludf.DUMMYFUNCTION("""COMPUTED_VALUE"""),33.0)</f>
        <v>33</v>
      </c>
      <c r="F243" s="2">
        <f>IFERROR(__xludf.DUMMYFUNCTION("""COMPUTED_VALUE"""),5.0)</f>
        <v>5</v>
      </c>
      <c r="G243" s="2">
        <f>IFERROR(__xludf.DUMMYFUNCTION("""COMPUTED_VALUE"""),9.0)</f>
        <v>9</v>
      </c>
      <c r="H243" s="2">
        <f>IFERROR(__xludf.DUMMYFUNCTION("""COMPUTED_VALUE"""),467.0)</f>
        <v>467</v>
      </c>
      <c r="I243" s="2" t="str">
        <f>IFERROR(__xludf.DUMMYFUNCTION("""COMPUTED_VALUE"""),"Panel")</f>
        <v>Panel</v>
      </c>
      <c r="J243" s="2" t="str">
        <f>IFERROR(__xludf.DUMMYFUNCTION("""COMPUTED_VALUE"""),"All amenities")</f>
        <v>All amenities</v>
      </c>
      <c r="K243" s="2">
        <f>IFERROR(__xludf.DUMMYFUNCTION("""COMPUTED_VALUE"""),38000.0)</f>
        <v>38000</v>
      </c>
      <c r="L243" s="2">
        <f>IFERROR(__xludf.DUMMYFUNCTION("""COMPUTED_VALUE"""),56.9452815)</f>
        <v>56.9452815</v>
      </c>
      <c r="M243" s="2">
        <f>IFERROR(__xludf.DUMMYFUNCTION("""COMPUTED_VALUE"""),24.0512495673782)</f>
        <v>24.05124957</v>
      </c>
    </row>
    <row r="244">
      <c r="A244" s="2" t="str">
        <f>IFERROR(__xludf.DUMMYFUNCTION("""COMPUTED_VALUE"""),"For sale")</f>
        <v>For sale</v>
      </c>
      <c r="B244" s="2" t="str">
        <f>IFERROR(__xludf.DUMMYFUNCTION("""COMPUTED_VALUE"""),"Dzegužkalns")</f>
        <v>Dzegužkalns</v>
      </c>
      <c r="C244" s="2" t="str">
        <f>IFERROR(__xludf.DUMMYFUNCTION("""COMPUTED_VALUE"""),"Daugavgrīvas 74a")</f>
        <v>Daugavgrīvas 74a</v>
      </c>
      <c r="D244" s="2">
        <f>IFERROR(__xludf.DUMMYFUNCTION("""COMPUTED_VALUE"""),1.0)</f>
        <v>1</v>
      </c>
      <c r="E244" s="2">
        <f>IFERROR(__xludf.DUMMYFUNCTION("""COMPUTED_VALUE"""),21.0)</f>
        <v>21</v>
      </c>
      <c r="F244" s="2">
        <f>IFERROR(__xludf.DUMMYFUNCTION("""COMPUTED_VALUE"""),7.0)</f>
        <v>7</v>
      </c>
      <c r="G244" s="2">
        <f>IFERROR(__xludf.DUMMYFUNCTION("""COMPUTED_VALUE"""),9.0)</f>
        <v>9</v>
      </c>
      <c r="H244" s="2" t="str">
        <f>IFERROR(__xludf.DUMMYFUNCTION("""COMPUTED_VALUE"""),"Specpr.")</f>
        <v>Specpr.</v>
      </c>
      <c r="I244" s="2" t="str">
        <f>IFERROR(__xludf.DUMMYFUNCTION("""COMPUTED_VALUE"""),"Brick")</f>
        <v>Brick</v>
      </c>
      <c r="J244" s="2" t="str">
        <f>IFERROR(__xludf.DUMMYFUNCTION("""COMPUTED_VALUE"""),"All amenities")</f>
        <v>All amenities</v>
      </c>
      <c r="K244" s="2">
        <f>IFERROR(__xludf.DUMMYFUNCTION("""COMPUTED_VALUE"""),27500.0)</f>
        <v>27500</v>
      </c>
      <c r="L244" s="2">
        <f>IFERROR(__xludf.DUMMYFUNCTION("""COMPUTED_VALUE"""),56.9584548499999)</f>
        <v>56.95845485</v>
      </c>
      <c r="M244" s="2">
        <f>IFERROR(__xludf.DUMMYFUNCTION("""COMPUTED_VALUE"""),24.0693919093666)</f>
        <v>24.06939191</v>
      </c>
    </row>
    <row r="245">
      <c r="A245" s="2" t="str">
        <f>IFERROR(__xludf.DUMMYFUNCTION("""COMPUTED_VALUE"""),"For sale")</f>
        <v>For sale</v>
      </c>
      <c r="B245" s="2" t="str">
        <f>IFERROR(__xludf.DUMMYFUNCTION("""COMPUTED_VALUE"""),"Ziepniekkalns")</f>
        <v>Ziepniekkalns</v>
      </c>
      <c r="C245" s="2" t="str">
        <f>IFERROR(__xludf.DUMMYFUNCTION("""COMPUTED_VALUE"""),"Ozolciema 32")</f>
        <v>Ozolciema 32</v>
      </c>
      <c r="D245" s="2">
        <f>IFERROR(__xludf.DUMMYFUNCTION("""COMPUTED_VALUE"""),1.0)</f>
        <v>1</v>
      </c>
      <c r="E245" s="2">
        <f>IFERROR(__xludf.DUMMYFUNCTION("""COMPUTED_VALUE"""),32.0)</f>
        <v>32</v>
      </c>
      <c r="F245" s="2">
        <f>IFERROR(__xludf.DUMMYFUNCTION("""COMPUTED_VALUE"""),9.0)</f>
        <v>9</v>
      </c>
      <c r="G245" s="2">
        <f>IFERROR(__xludf.DUMMYFUNCTION("""COMPUTED_VALUE"""),9.0)</f>
        <v>9</v>
      </c>
      <c r="H245" s="2">
        <f>IFERROR(__xludf.DUMMYFUNCTION("""COMPUTED_VALUE"""),602.0)</f>
        <v>602</v>
      </c>
      <c r="I245" s="2" t="str">
        <f>IFERROR(__xludf.DUMMYFUNCTION("""COMPUTED_VALUE"""),"Panel")</f>
        <v>Panel</v>
      </c>
      <c r="J245" s="2" t="str">
        <f>IFERROR(__xludf.DUMMYFUNCTION("""COMPUTED_VALUE"""),"All amenities")</f>
        <v>All amenities</v>
      </c>
      <c r="K245" s="2">
        <f>IFERROR(__xludf.DUMMYFUNCTION("""COMPUTED_VALUE"""),32500.0)</f>
        <v>32500</v>
      </c>
      <c r="L245" s="2">
        <f>IFERROR(__xludf.DUMMYFUNCTION("""COMPUTED_VALUE"""),56.89979805)</f>
        <v>56.89979805</v>
      </c>
      <c r="M245" s="2">
        <f>IFERROR(__xludf.DUMMYFUNCTION("""COMPUTED_VALUE"""),24.09835015)</f>
        <v>24.09835015</v>
      </c>
    </row>
    <row r="246">
      <c r="A246" s="2" t="str">
        <f>IFERROR(__xludf.DUMMYFUNCTION("""COMPUTED_VALUE"""),"For sale")</f>
        <v>For sale</v>
      </c>
      <c r="B246" s="2" t="str">
        <f>IFERROR(__xludf.DUMMYFUNCTION("""COMPUTED_VALUE"""),"Purvciems")</f>
        <v>Purvciems</v>
      </c>
      <c r="C246" s="2" t="str">
        <f>IFERROR(__xludf.DUMMYFUNCTION("""COMPUTED_VALUE"""),"Ilūkstes 467")</f>
        <v>Ilūkstes 467</v>
      </c>
      <c r="D246" s="2">
        <f>IFERROR(__xludf.DUMMYFUNCTION("""COMPUTED_VALUE"""),1.0)</f>
        <v>1</v>
      </c>
      <c r="E246" s="2">
        <f>IFERROR(__xludf.DUMMYFUNCTION("""COMPUTED_VALUE"""),32.0)</f>
        <v>32</v>
      </c>
      <c r="F246" s="2">
        <f>IFERROR(__xludf.DUMMYFUNCTION("""COMPUTED_VALUE"""),4.0)</f>
        <v>4</v>
      </c>
      <c r="G246" s="2">
        <f>IFERROR(__xludf.DUMMYFUNCTION("""COMPUTED_VALUE"""),9.0)</f>
        <v>9</v>
      </c>
      <c r="H246" s="2">
        <f>IFERROR(__xludf.DUMMYFUNCTION("""COMPUTED_VALUE"""),467.0)</f>
        <v>467</v>
      </c>
      <c r="I246" s="2" t="str">
        <f>IFERROR(__xludf.DUMMYFUNCTION("""COMPUTED_VALUE"""),"Panel")</f>
        <v>Panel</v>
      </c>
      <c r="J246" s="2" t="str">
        <f>IFERROR(__xludf.DUMMYFUNCTION("""COMPUTED_VALUE"""),"All amenities")</f>
        <v>All amenities</v>
      </c>
      <c r="K246" s="2">
        <f>IFERROR(__xludf.DUMMYFUNCTION("""COMPUTED_VALUE"""),32000.0)</f>
        <v>32000</v>
      </c>
      <c r="L246" s="2">
        <f>IFERROR(__xludf.DUMMYFUNCTION("""COMPUTED_VALUE"""),56.9405867)</f>
        <v>56.9405867</v>
      </c>
      <c r="M246" s="2">
        <f>IFERROR(__xludf.DUMMYFUNCTION("""COMPUTED_VALUE"""),24.1951866)</f>
        <v>24.1951866</v>
      </c>
    </row>
    <row r="247">
      <c r="A247" s="2" t="str">
        <f>IFERROR(__xludf.DUMMYFUNCTION("""COMPUTED_VALUE"""),"For sale")</f>
        <v>For sale</v>
      </c>
      <c r="B247" s="2" t="str">
        <f>IFERROR(__xludf.DUMMYFUNCTION("""COMPUTED_VALUE"""),"Purvciems")</f>
        <v>Purvciems</v>
      </c>
      <c r="C247" s="2" t="str">
        <f>IFERROR(__xludf.DUMMYFUNCTION("""COMPUTED_VALUE"""),"Dzelzavas 79")</f>
        <v>Dzelzavas 79</v>
      </c>
      <c r="D247" s="2">
        <f>IFERROR(__xludf.DUMMYFUNCTION("""COMPUTED_VALUE"""),4.0)</f>
        <v>4</v>
      </c>
      <c r="E247" s="2">
        <f>IFERROR(__xludf.DUMMYFUNCTION("""COMPUTED_VALUE"""),75.0)</f>
        <v>75</v>
      </c>
      <c r="F247" s="2">
        <f>IFERROR(__xludf.DUMMYFUNCTION("""COMPUTED_VALUE"""),6.0)</f>
        <v>6</v>
      </c>
      <c r="G247" s="2">
        <f>IFERROR(__xludf.DUMMYFUNCTION("""COMPUTED_VALUE"""),9.0)</f>
        <v>9</v>
      </c>
      <c r="H247" s="2">
        <f>IFERROR(__xludf.DUMMYFUNCTION("""COMPUTED_VALUE"""),467.0)</f>
        <v>467</v>
      </c>
      <c r="I247" s="2" t="str">
        <f>IFERROR(__xludf.DUMMYFUNCTION("""COMPUTED_VALUE"""),"Panel")</f>
        <v>Panel</v>
      </c>
      <c r="J247" s="2" t="str">
        <f>IFERROR(__xludf.DUMMYFUNCTION("""COMPUTED_VALUE"""),"All amenities")</f>
        <v>All amenities</v>
      </c>
      <c r="K247" s="2">
        <f>IFERROR(__xludf.DUMMYFUNCTION("""COMPUTED_VALUE"""),65000.0)</f>
        <v>65000</v>
      </c>
      <c r="L247" s="2">
        <f>IFERROR(__xludf.DUMMYFUNCTION("""COMPUTED_VALUE"""),56.95684165)</f>
        <v>56.95684165</v>
      </c>
      <c r="M247" s="2">
        <f>IFERROR(__xludf.DUMMYFUNCTION("""COMPUTED_VALUE"""),24.20051235)</f>
        <v>24.20051235</v>
      </c>
    </row>
    <row r="248">
      <c r="A248" s="2" t="str">
        <f>IFERROR(__xludf.DUMMYFUNCTION("""COMPUTED_VALUE"""),"For rent")</f>
        <v>For rent</v>
      </c>
      <c r="B248" s="2" t="str">
        <f>IFERROR(__xludf.DUMMYFUNCTION("""COMPUTED_VALUE"""),"Pļavnieki")</f>
        <v>Pļavnieki</v>
      </c>
      <c r="C248" s="2" t="str">
        <f>IFERROR(__xludf.DUMMYFUNCTION("""COMPUTED_VALUE"""),"Salnas 34")</f>
        <v>Salnas 34</v>
      </c>
      <c r="D248" s="2">
        <f>IFERROR(__xludf.DUMMYFUNCTION("""COMPUTED_VALUE"""),2.0)</f>
        <v>2</v>
      </c>
      <c r="E248" s="2">
        <f>IFERROR(__xludf.DUMMYFUNCTION("""COMPUTED_VALUE"""),48.0)</f>
        <v>48</v>
      </c>
      <c r="F248" s="2">
        <f>IFERROR(__xludf.DUMMYFUNCTION("""COMPUTED_VALUE"""),2.0)</f>
        <v>2</v>
      </c>
      <c r="G248" s="2">
        <f>IFERROR(__xludf.DUMMYFUNCTION("""COMPUTED_VALUE"""),9.0)</f>
        <v>9</v>
      </c>
      <c r="H248" s="2">
        <f>IFERROR(__xludf.DUMMYFUNCTION("""COMPUTED_VALUE"""),602.0)</f>
        <v>602</v>
      </c>
      <c r="I248" s="2" t="str">
        <f>IFERROR(__xludf.DUMMYFUNCTION("""COMPUTED_VALUE"""),"Panel")</f>
        <v>Panel</v>
      </c>
      <c r="J248" s="2" t="str">
        <f>IFERROR(__xludf.DUMMYFUNCTION("""COMPUTED_VALUE"""),"All amenities")</f>
        <v>All amenities</v>
      </c>
      <c r="K248" s="2">
        <f>IFERROR(__xludf.DUMMYFUNCTION("""COMPUTED_VALUE"""),230.0)</f>
        <v>230</v>
      </c>
      <c r="L248" s="2">
        <f>IFERROR(__xludf.DUMMYFUNCTION("""COMPUTED_VALUE"""),56.94177975)</f>
        <v>56.94177975</v>
      </c>
      <c r="M248" s="2">
        <f>IFERROR(__xludf.DUMMYFUNCTION("""COMPUTED_VALUE"""),24.2291887859803)</f>
        <v>24.22918879</v>
      </c>
    </row>
    <row r="249">
      <c r="A249" s="2" t="str">
        <f>IFERROR(__xludf.DUMMYFUNCTION("""COMPUTED_VALUE"""),"For sale")</f>
        <v>For sale</v>
      </c>
      <c r="B249" s="2" t="str">
        <f>IFERROR(__xludf.DUMMYFUNCTION("""COMPUTED_VALUE"""),"Ziepniekkalns")</f>
        <v>Ziepniekkalns</v>
      </c>
      <c r="C249" s="2" t="str">
        <f>IFERROR(__xludf.DUMMYFUNCTION("""COMPUTED_VALUE"""),"Līvciema 9")</f>
        <v>Līvciema 9</v>
      </c>
      <c r="D249" s="2">
        <f>IFERROR(__xludf.DUMMYFUNCTION("""COMPUTED_VALUE"""),3.0)</f>
        <v>3</v>
      </c>
      <c r="E249" s="2">
        <f>IFERROR(__xludf.DUMMYFUNCTION("""COMPUTED_VALUE"""),75.0)</f>
        <v>75</v>
      </c>
      <c r="F249" s="2">
        <f>IFERROR(__xludf.DUMMYFUNCTION("""COMPUTED_VALUE"""),3.0)</f>
        <v>3</v>
      </c>
      <c r="G249" s="2">
        <f>IFERROR(__xludf.DUMMYFUNCTION("""COMPUTED_VALUE"""),7.0)</f>
        <v>7</v>
      </c>
      <c r="H249" s="2" t="str">
        <f>IFERROR(__xludf.DUMMYFUNCTION("""COMPUTED_VALUE"""),"Specpr.")</f>
        <v>Specpr.</v>
      </c>
      <c r="I249" s="2" t="str">
        <f>IFERROR(__xludf.DUMMYFUNCTION("""COMPUTED_VALUE"""),"Panel")</f>
        <v>Panel</v>
      </c>
      <c r="J249" s="2" t="str">
        <f>IFERROR(__xludf.DUMMYFUNCTION("""COMPUTED_VALUE"""),"All amenities")</f>
        <v>All amenities</v>
      </c>
      <c r="K249" s="2">
        <f>IFERROR(__xludf.DUMMYFUNCTION("""COMPUTED_VALUE"""),78000.0)</f>
        <v>78000</v>
      </c>
      <c r="L249" s="2">
        <f>IFERROR(__xludf.DUMMYFUNCTION("""COMPUTED_VALUE"""),56.90957185)</f>
        <v>56.90957185</v>
      </c>
      <c r="M249" s="2">
        <f>IFERROR(__xludf.DUMMYFUNCTION("""COMPUTED_VALUE"""),24.097641602805)</f>
        <v>24.0976416</v>
      </c>
    </row>
    <row r="250">
      <c r="A250" s="2" t="str">
        <f>IFERROR(__xludf.DUMMYFUNCTION("""COMPUTED_VALUE"""),"For sale")</f>
        <v>For sale</v>
      </c>
      <c r="B250" s="2" t="str">
        <f>IFERROR(__xludf.DUMMYFUNCTION("""COMPUTED_VALUE"""),"Āgenskalns")</f>
        <v>Āgenskalns</v>
      </c>
      <c r="C250" s="2" t="str">
        <f>IFERROR(__xludf.DUMMYFUNCTION("""COMPUTED_VALUE"""),"Kuldīgas 10")</f>
        <v>Kuldīgas 10</v>
      </c>
      <c r="D250" s="2">
        <f>IFERROR(__xludf.DUMMYFUNCTION("""COMPUTED_VALUE"""),1.0)</f>
        <v>1</v>
      </c>
      <c r="E250" s="2">
        <f>IFERROR(__xludf.DUMMYFUNCTION("""COMPUTED_VALUE"""),17.0)</f>
        <v>17</v>
      </c>
      <c r="F250" s="2">
        <f>IFERROR(__xludf.DUMMYFUNCTION("""COMPUTED_VALUE"""),2.0)</f>
        <v>2</v>
      </c>
      <c r="G250" s="2">
        <f>IFERROR(__xludf.DUMMYFUNCTION("""COMPUTED_VALUE"""),2.0)</f>
        <v>2</v>
      </c>
      <c r="H250" s="2" t="str">
        <f>IFERROR(__xludf.DUMMYFUNCTION("""COMPUTED_VALUE"""),"Specpr.")</f>
        <v>Specpr.</v>
      </c>
      <c r="I250" s="2" t="str">
        <f>IFERROR(__xludf.DUMMYFUNCTION("""COMPUTED_VALUE"""),"Wood")</f>
        <v>Wood</v>
      </c>
      <c r="J250" s="2" t="str">
        <f>IFERROR(__xludf.DUMMYFUNCTION("""COMPUTED_VALUE"""),"Partial amenities")</f>
        <v>Partial amenities</v>
      </c>
      <c r="K250" s="2">
        <f>IFERROR(__xludf.DUMMYFUNCTION("""COMPUTED_VALUE"""),10000.0)</f>
        <v>10000</v>
      </c>
      <c r="L250" s="2">
        <f>IFERROR(__xludf.DUMMYFUNCTION("""COMPUTED_VALUE"""),56.9517628)</f>
        <v>56.9517628</v>
      </c>
      <c r="M250" s="2">
        <f>IFERROR(__xludf.DUMMYFUNCTION("""COMPUTED_VALUE"""),24.0673487092408)</f>
        <v>24.06734871</v>
      </c>
    </row>
    <row r="251">
      <c r="A251" s="2" t="str">
        <f>IFERROR(__xludf.DUMMYFUNCTION("""COMPUTED_VALUE"""),"For rent")</f>
        <v>For rent</v>
      </c>
      <c r="B251" s="2" t="str">
        <f>IFERROR(__xludf.DUMMYFUNCTION("""COMPUTED_VALUE"""),"centrs")</f>
        <v>centrs</v>
      </c>
      <c r="C251" s="2" t="str">
        <f>IFERROR(__xludf.DUMMYFUNCTION("""COMPUTED_VALUE"""),"Lāčplēša 123")</f>
        <v>Lāčplēša 123</v>
      </c>
      <c r="D251" s="2">
        <f>IFERROR(__xludf.DUMMYFUNCTION("""COMPUTED_VALUE"""),3.0)</f>
        <v>3</v>
      </c>
      <c r="E251" s="2">
        <f>IFERROR(__xludf.DUMMYFUNCTION("""COMPUTED_VALUE"""),57.0)</f>
        <v>57</v>
      </c>
      <c r="F251" s="2">
        <f>IFERROR(__xludf.DUMMYFUNCTION("""COMPUTED_VALUE"""),6.0)</f>
        <v>6</v>
      </c>
      <c r="G251" s="2">
        <f>IFERROR(__xludf.DUMMYFUNCTION("""COMPUTED_VALUE"""),6.0)</f>
        <v>6</v>
      </c>
      <c r="H251" s="2" t="str">
        <f>IFERROR(__xludf.DUMMYFUNCTION("""COMPUTED_VALUE"""),"Jaun.")</f>
        <v>Jaun.</v>
      </c>
      <c r="I251" s="2" t="str">
        <f>IFERROR(__xludf.DUMMYFUNCTION("""COMPUTED_VALUE"""),"Masonry")</f>
        <v>Masonry</v>
      </c>
      <c r="J251" s="2" t="str">
        <f>IFERROR(__xludf.DUMMYFUNCTION("""COMPUTED_VALUE"""),"All amenities")</f>
        <v>All amenities</v>
      </c>
      <c r="K251" s="2">
        <f>IFERROR(__xludf.DUMMYFUNCTION("""COMPUTED_VALUE"""),670.0)</f>
        <v>670</v>
      </c>
      <c r="L251" s="2">
        <f>IFERROR(__xludf.DUMMYFUNCTION("""COMPUTED_VALUE"""),56.9439656)</f>
        <v>56.9439656</v>
      </c>
      <c r="M251" s="2">
        <f>IFERROR(__xludf.DUMMYFUNCTION("""COMPUTED_VALUE"""),24.1329895)</f>
        <v>24.1329895</v>
      </c>
    </row>
    <row r="252">
      <c r="A252" s="2" t="str">
        <f>IFERROR(__xludf.DUMMYFUNCTION("""COMPUTED_VALUE"""),"For rent")</f>
        <v>For rent</v>
      </c>
      <c r="B252" s="2" t="str">
        <f>IFERROR(__xludf.DUMMYFUNCTION("""COMPUTED_VALUE"""),"Teika")</f>
        <v>Teika</v>
      </c>
      <c r="C252" s="2" t="str">
        <f>IFERROR(__xludf.DUMMYFUNCTION("""COMPUTED_VALUE"""),"Burtnieku 35")</f>
        <v>Burtnieku 35</v>
      </c>
      <c r="D252" s="2">
        <f>IFERROR(__xludf.DUMMYFUNCTION("""COMPUTED_VALUE"""),1.0)</f>
        <v>1</v>
      </c>
      <c r="E252" s="2">
        <f>IFERROR(__xludf.DUMMYFUNCTION("""COMPUTED_VALUE"""),18.0)</f>
        <v>18</v>
      </c>
      <c r="F252" s="2">
        <f>IFERROR(__xludf.DUMMYFUNCTION("""COMPUTED_VALUE"""),3.0)</f>
        <v>3</v>
      </c>
      <c r="G252" s="2">
        <f>IFERROR(__xludf.DUMMYFUNCTION("""COMPUTED_VALUE"""),5.0)</f>
        <v>5</v>
      </c>
      <c r="H252" s="2" t="str">
        <f>IFERROR(__xludf.DUMMYFUNCTION("""COMPUTED_VALUE"""),"M. ģim.")</f>
        <v>M. ģim.</v>
      </c>
      <c r="I252" s="2" t="str">
        <f>IFERROR(__xludf.DUMMYFUNCTION("""COMPUTED_VALUE"""),"Brick")</f>
        <v>Brick</v>
      </c>
      <c r="J252" s="2" t="str">
        <f>IFERROR(__xludf.DUMMYFUNCTION("""COMPUTED_VALUE"""),"All amenities")</f>
        <v>All amenities</v>
      </c>
      <c r="K252" s="2">
        <f>IFERROR(__xludf.DUMMYFUNCTION("""COMPUTED_VALUE"""),200.0)</f>
        <v>200</v>
      </c>
      <c r="L252" s="2">
        <f>IFERROR(__xludf.DUMMYFUNCTION("""COMPUTED_VALUE"""),56.96760975)</f>
        <v>56.96760975</v>
      </c>
      <c r="M252" s="2">
        <f>IFERROR(__xludf.DUMMYFUNCTION("""COMPUTED_VALUE"""),24.1813539003571)</f>
        <v>24.1813539</v>
      </c>
    </row>
    <row r="253">
      <c r="A253" s="2" t="str">
        <f>IFERROR(__xludf.DUMMYFUNCTION("""COMPUTED_VALUE"""),"For sale")</f>
        <v>For sale</v>
      </c>
      <c r="B253" s="2" t="str">
        <f>IFERROR(__xludf.DUMMYFUNCTION("""COMPUTED_VALUE"""),"centrs")</f>
        <v>centrs</v>
      </c>
      <c r="C253" s="2" t="str">
        <f>IFERROR(__xludf.DUMMYFUNCTION("""COMPUTED_VALUE"""),"Tomsona 23")</f>
        <v>Tomsona 23</v>
      </c>
      <c r="D253" s="2">
        <f>IFERROR(__xludf.DUMMYFUNCTION("""COMPUTED_VALUE"""),3.0)</f>
        <v>3</v>
      </c>
      <c r="E253" s="2">
        <f>IFERROR(__xludf.DUMMYFUNCTION("""COMPUTED_VALUE"""),58.0)</f>
        <v>58</v>
      </c>
      <c r="F253" s="2">
        <f>IFERROR(__xludf.DUMMYFUNCTION("""COMPUTED_VALUE"""),2.0)</f>
        <v>2</v>
      </c>
      <c r="G253" s="2">
        <f>IFERROR(__xludf.DUMMYFUNCTION("""COMPUTED_VALUE"""),5.0)</f>
        <v>5</v>
      </c>
      <c r="H253" s="2" t="str">
        <f>IFERROR(__xludf.DUMMYFUNCTION("""COMPUTED_VALUE"""),"Hrušč.")</f>
        <v>Hrušč.</v>
      </c>
      <c r="I253" s="2" t="str">
        <f>IFERROR(__xludf.DUMMYFUNCTION("""COMPUTED_VALUE"""),"Brick")</f>
        <v>Brick</v>
      </c>
      <c r="J253" s="2" t="str">
        <f>IFERROR(__xludf.DUMMYFUNCTION("""COMPUTED_VALUE"""),"All amenities")</f>
        <v>All amenities</v>
      </c>
      <c r="K253" s="2">
        <f>IFERROR(__xludf.DUMMYFUNCTION("""COMPUTED_VALUE"""),73000.0)</f>
        <v>73000</v>
      </c>
      <c r="L253" s="2">
        <f>IFERROR(__xludf.DUMMYFUNCTION("""COMPUTED_VALUE"""),56.96530735)</f>
        <v>56.96530735</v>
      </c>
      <c r="M253" s="2">
        <f>IFERROR(__xludf.DUMMYFUNCTION("""COMPUTED_VALUE"""),24.1262578927701)</f>
        <v>24.12625789</v>
      </c>
    </row>
    <row r="254">
      <c r="A254" s="2" t="str">
        <f>IFERROR(__xludf.DUMMYFUNCTION("""COMPUTED_VALUE"""),"For sale")</f>
        <v>For sale</v>
      </c>
      <c r="B254" s="2" t="str">
        <f>IFERROR(__xludf.DUMMYFUNCTION("""COMPUTED_VALUE"""),"Imanta")</f>
        <v>Imanta</v>
      </c>
      <c r="C254" s="2" t="str">
        <f>IFERROR(__xludf.DUMMYFUNCTION("""COMPUTED_VALUE"""),"Kurzemes pr. 68")</f>
        <v>Kurzemes pr. 68</v>
      </c>
      <c r="D254" s="2">
        <f>IFERROR(__xludf.DUMMYFUNCTION("""COMPUTED_VALUE"""),2.0)</f>
        <v>2</v>
      </c>
      <c r="E254" s="2">
        <f>IFERROR(__xludf.DUMMYFUNCTION("""COMPUTED_VALUE"""),39.0)</f>
        <v>39</v>
      </c>
      <c r="F254" s="2">
        <f>IFERROR(__xludf.DUMMYFUNCTION("""COMPUTED_VALUE"""),3.0)</f>
        <v>3</v>
      </c>
      <c r="G254" s="2">
        <f>IFERROR(__xludf.DUMMYFUNCTION("""COMPUTED_VALUE"""),5.0)</f>
        <v>5</v>
      </c>
      <c r="H254" s="2" t="str">
        <f>IFERROR(__xludf.DUMMYFUNCTION("""COMPUTED_VALUE"""),"LT proj.")</f>
        <v>LT proj.</v>
      </c>
      <c r="I254" s="2" t="str">
        <f>IFERROR(__xludf.DUMMYFUNCTION("""COMPUTED_VALUE"""),"Panel")</f>
        <v>Panel</v>
      </c>
      <c r="J254" s="2" t="str">
        <f>IFERROR(__xludf.DUMMYFUNCTION("""COMPUTED_VALUE"""),"All amenities")</f>
        <v>All amenities</v>
      </c>
      <c r="K254" s="2">
        <f>IFERROR(__xludf.DUMMYFUNCTION("""COMPUTED_VALUE"""),34900.0)</f>
        <v>34900</v>
      </c>
      <c r="L254" s="2">
        <f>IFERROR(__xludf.DUMMYFUNCTION("""COMPUTED_VALUE"""),56.9567829)</f>
        <v>56.9567829</v>
      </c>
      <c r="M254" s="2">
        <f>IFERROR(__xludf.DUMMYFUNCTION("""COMPUTED_VALUE"""),24.0344957)</f>
        <v>24.0344957</v>
      </c>
    </row>
    <row r="255">
      <c r="A255" s="2" t="str">
        <f>IFERROR(__xludf.DUMMYFUNCTION("""COMPUTED_VALUE"""),"For rent")</f>
        <v>For rent</v>
      </c>
      <c r="B255" s="2" t="str">
        <f>IFERROR(__xludf.DUMMYFUNCTION("""COMPUTED_VALUE"""),"centrs")</f>
        <v>centrs</v>
      </c>
      <c r="C255" s="2" t="str">
        <f>IFERROR(__xludf.DUMMYFUNCTION("""COMPUTED_VALUE"""),"Tērbatas 26")</f>
        <v>Tērbatas 26</v>
      </c>
      <c r="D255" s="2">
        <f>IFERROR(__xludf.DUMMYFUNCTION("""COMPUTED_VALUE"""),2.0)</f>
        <v>2</v>
      </c>
      <c r="E255" s="2">
        <f>IFERROR(__xludf.DUMMYFUNCTION("""COMPUTED_VALUE"""),52.0)</f>
        <v>52</v>
      </c>
      <c r="F255" s="2">
        <f>IFERROR(__xludf.DUMMYFUNCTION("""COMPUTED_VALUE"""),4.0)</f>
        <v>4</v>
      </c>
      <c r="G255" s="2">
        <f>IFERROR(__xludf.DUMMYFUNCTION("""COMPUTED_VALUE"""),4.0)</f>
        <v>4</v>
      </c>
      <c r="H255" s="2" t="str">
        <f>IFERROR(__xludf.DUMMYFUNCTION("""COMPUTED_VALUE"""),"P. kara")</f>
        <v>P. kara</v>
      </c>
      <c r="I255" s="2" t="str">
        <f>IFERROR(__xludf.DUMMYFUNCTION("""COMPUTED_VALUE"""),"Brick")</f>
        <v>Brick</v>
      </c>
      <c r="J255" s="2" t="str">
        <f>IFERROR(__xludf.DUMMYFUNCTION("""COMPUTED_VALUE"""),"All amenities")</f>
        <v>All amenities</v>
      </c>
      <c r="K255" s="2">
        <f>IFERROR(__xludf.DUMMYFUNCTION("""COMPUTED_VALUE"""),400.0)</f>
        <v>400</v>
      </c>
      <c r="L255" s="2">
        <f>IFERROR(__xludf.DUMMYFUNCTION("""COMPUTED_VALUE"""),56.9545197)</f>
        <v>56.9545197</v>
      </c>
      <c r="M255" s="2">
        <f>IFERROR(__xludf.DUMMYFUNCTION("""COMPUTED_VALUE"""),24.1232518)</f>
        <v>24.1232518</v>
      </c>
    </row>
    <row r="256">
      <c r="A256" s="2" t="str">
        <f>IFERROR(__xludf.DUMMYFUNCTION("""COMPUTED_VALUE"""),"For sale")</f>
        <v>For sale</v>
      </c>
      <c r="B256" s="2" t="str">
        <f>IFERROR(__xludf.DUMMYFUNCTION("""COMPUTED_VALUE"""),"Iļģuciems")</f>
        <v>Iļģuciems</v>
      </c>
      <c r="C256" s="2" t="str">
        <f>IFERROR(__xludf.DUMMYFUNCTION("""COMPUTED_VALUE"""),"Lilijas 22")</f>
        <v>Lilijas 22</v>
      </c>
      <c r="D256" s="2">
        <f>IFERROR(__xludf.DUMMYFUNCTION("""COMPUTED_VALUE"""),3.0)</f>
        <v>3</v>
      </c>
      <c r="E256" s="2">
        <f>IFERROR(__xludf.DUMMYFUNCTION("""COMPUTED_VALUE"""),84.0)</f>
        <v>84</v>
      </c>
      <c r="F256" s="2">
        <f>IFERROR(__xludf.DUMMYFUNCTION("""COMPUTED_VALUE"""),2.0)</f>
        <v>2</v>
      </c>
      <c r="G256" s="2">
        <f>IFERROR(__xludf.DUMMYFUNCTION("""COMPUTED_VALUE"""),4.0)</f>
        <v>4</v>
      </c>
      <c r="H256" s="2" t="str">
        <f>IFERROR(__xludf.DUMMYFUNCTION("""COMPUTED_VALUE"""),"Jaun.")</f>
        <v>Jaun.</v>
      </c>
      <c r="I256" s="2" t="str">
        <f>IFERROR(__xludf.DUMMYFUNCTION("""COMPUTED_VALUE"""),"Brick-Panel")</f>
        <v>Brick-Panel</v>
      </c>
      <c r="J256" s="2" t="str">
        <f>IFERROR(__xludf.DUMMYFUNCTION("""COMPUTED_VALUE"""),"All amenities")</f>
        <v>All amenities</v>
      </c>
      <c r="K256" s="2">
        <f>IFERROR(__xludf.DUMMYFUNCTION("""COMPUTED_VALUE"""),145000.0)</f>
        <v>145000</v>
      </c>
      <c r="L256" s="2">
        <f>IFERROR(__xludf.DUMMYFUNCTION("""COMPUTED_VALUE"""),56.9650403499999)</f>
        <v>56.96504035</v>
      </c>
      <c r="M256" s="2">
        <f>IFERROR(__xludf.DUMMYFUNCTION("""COMPUTED_VALUE"""),24.0617817917367)</f>
        <v>24.06178179</v>
      </c>
    </row>
    <row r="257">
      <c r="A257" s="2" t="str">
        <f>IFERROR(__xludf.DUMMYFUNCTION("""COMPUTED_VALUE"""),"For sale")</f>
        <v>For sale</v>
      </c>
      <c r="B257" s="2" t="str">
        <f>IFERROR(__xludf.DUMMYFUNCTION("""COMPUTED_VALUE"""),"Imanta")</f>
        <v>Imanta</v>
      </c>
      <c r="C257" s="2" t="str">
        <f>IFERROR(__xludf.DUMMYFUNCTION("""COMPUTED_VALUE"""),"Dumbrāja 18")</f>
        <v>Dumbrāja 18</v>
      </c>
      <c r="D257" s="2">
        <f>IFERROR(__xludf.DUMMYFUNCTION("""COMPUTED_VALUE"""),3.0)</f>
        <v>3</v>
      </c>
      <c r="E257" s="2">
        <f>IFERROR(__xludf.DUMMYFUNCTION("""COMPUTED_VALUE"""),68.0)</f>
        <v>68</v>
      </c>
      <c r="F257" s="2">
        <f>IFERROR(__xludf.DUMMYFUNCTION("""COMPUTED_VALUE"""),3.0)</f>
        <v>3</v>
      </c>
      <c r="G257" s="2">
        <f>IFERROR(__xludf.DUMMYFUNCTION("""COMPUTED_VALUE"""),4.0)</f>
        <v>4</v>
      </c>
      <c r="H257" s="2" t="str">
        <f>IFERROR(__xludf.DUMMYFUNCTION("""COMPUTED_VALUE"""),"Jaun.")</f>
        <v>Jaun.</v>
      </c>
      <c r="I257" s="2" t="str">
        <f>IFERROR(__xludf.DUMMYFUNCTION("""COMPUTED_VALUE"""),"Panel-Brick")</f>
        <v>Panel-Brick</v>
      </c>
      <c r="J257" s="2" t="str">
        <f>IFERROR(__xludf.DUMMYFUNCTION("""COMPUTED_VALUE"""),"All amenities")</f>
        <v>All amenities</v>
      </c>
      <c r="K257" s="2">
        <f>IFERROR(__xludf.DUMMYFUNCTION("""COMPUTED_VALUE"""),110000.0)</f>
        <v>110000</v>
      </c>
      <c r="L257" s="2">
        <f>IFERROR(__xludf.DUMMYFUNCTION("""COMPUTED_VALUE"""),56.95698695)</f>
        <v>56.95698695</v>
      </c>
      <c r="M257" s="2">
        <f>IFERROR(__xludf.DUMMYFUNCTION("""COMPUTED_VALUE"""),24.0186127580713)</f>
        <v>24.01861276</v>
      </c>
    </row>
    <row r="258">
      <c r="A258" s="2" t="str">
        <f>IFERROR(__xludf.DUMMYFUNCTION("""COMPUTED_VALUE"""),"For sale")</f>
        <v>For sale</v>
      </c>
      <c r="B258" s="2" t="str">
        <f>IFERROR(__xludf.DUMMYFUNCTION("""COMPUTED_VALUE"""),"Iļģuciems")</f>
        <v>Iļģuciems</v>
      </c>
      <c r="C258" s="2" t="str">
        <f>IFERROR(__xludf.DUMMYFUNCTION("""COMPUTED_VALUE"""),"Saulgožu 19")</f>
        <v>Saulgožu 19</v>
      </c>
      <c r="D258" s="2">
        <f>IFERROR(__xludf.DUMMYFUNCTION("""COMPUTED_VALUE"""),2.0)</f>
        <v>2</v>
      </c>
      <c r="E258" s="2">
        <f>IFERROR(__xludf.DUMMYFUNCTION("""COMPUTED_VALUE"""),43.0)</f>
        <v>43</v>
      </c>
      <c r="F258" s="2">
        <f>IFERROR(__xludf.DUMMYFUNCTION("""COMPUTED_VALUE"""),3.0)</f>
        <v>3</v>
      </c>
      <c r="G258" s="2">
        <f>IFERROR(__xludf.DUMMYFUNCTION("""COMPUTED_VALUE"""),5.0)</f>
        <v>5</v>
      </c>
      <c r="H258" s="2" t="str">
        <f>IFERROR(__xludf.DUMMYFUNCTION("""COMPUTED_VALUE"""),"Hrušč.")</f>
        <v>Hrušč.</v>
      </c>
      <c r="I258" s="2" t="str">
        <f>IFERROR(__xludf.DUMMYFUNCTION("""COMPUTED_VALUE"""),"Masonry")</f>
        <v>Masonry</v>
      </c>
      <c r="J258" s="2" t="str">
        <f>IFERROR(__xludf.DUMMYFUNCTION("""COMPUTED_VALUE"""),"All amenities")</f>
        <v>All amenities</v>
      </c>
      <c r="K258" s="2">
        <f>IFERROR(__xludf.DUMMYFUNCTION("""COMPUTED_VALUE"""),35000.0)</f>
        <v>35000</v>
      </c>
      <c r="L258" s="2">
        <f>IFERROR(__xludf.DUMMYFUNCTION("""COMPUTED_VALUE"""),56.9678207)</f>
        <v>56.9678207</v>
      </c>
      <c r="M258" s="2">
        <f>IFERROR(__xludf.DUMMYFUNCTION("""COMPUTED_VALUE"""),24.0484273830414)</f>
        <v>24.04842738</v>
      </c>
    </row>
    <row r="259">
      <c r="A259" s="2" t="str">
        <f>IFERROR(__xludf.DUMMYFUNCTION("""COMPUTED_VALUE"""),"For sale")</f>
        <v>For sale</v>
      </c>
      <c r="B259" s="2" t="str">
        <f>IFERROR(__xludf.DUMMYFUNCTION("""COMPUTED_VALUE"""),"centrs")</f>
        <v>centrs</v>
      </c>
      <c r="C259" s="2" t="str">
        <f>IFERROR(__xludf.DUMMYFUNCTION("""COMPUTED_VALUE"""),"Ganu 4")</f>
        <v>Ganu 4</v>
      </c>
      <c r="D259" s="2">
        <f>IFERROR(__xludf.DUMMYFUNCTION("""COMPUTED_VALUE"""),5.0)</f>
        <v>5</v>
      </c>
      <c r="E259" s="2">
        <f>IFERROR(__xludf.DUMMYFUNCTION("""COMPUTED_VALUE"""),145.0)</f>
        <v>145</v>
      </c>
      <c r="F259" s="2">
        <f>IFERROR(__xludf.DUMMYFUNCTION("""COMPUTED_VALUE"""),4.0)</f>
        <v>4</v>
      </c>
      <c r="G259" s="2">
        <f>IFERROR(__xludf.DUMMYFUNCTION("""COMPUTED_VALUE"""),5.0)</f>
        <v>5</v>
      </c>
      <c r="H259" s="2" t="str">
        <f>IFERROR(__xludf.DUMMYFUNCTION("""COMPUTED_VALUE"""),"P. kara")</f>
        <v>P. kara</v>
      </c>
      <c r="I259" s="2" t="str">
        <f>IFERROR(__xludf.DUMMYFUNCTION("""COMPUTED_VALUE"""),"Masonry")</f>
        <v>Masonry</v>
      </c>
      <c r="J259" s="2" t="str">
        <f>IFERROR(__xludf.DUMMYFUNCTION("""COMPUTED_VALUE"""),"All amenities")</f>
        <v>All amenities</v>
      </c>
      <c r="K259" s="2">
        <f>IFERROR(__xludf.DUMMYFUNCTION("""COMPUTED_VALUE"""),220000.0)</f>
        <v>220000</v>
      </c>
      <c r="L259" s="2">
        <f>IFERROR(__xludf.DUMMYFUNCTION("""COMPUTED_VALUE"""),56.9614591499999)</f>
        <v>56.96145915</v>
      </c>
      <c r="M259" s="2">
        <f>IFERROR(__xludf.DUMMYFUNCTION("""COMPUTED_VALUE"""),24.1092928040999)</f>
        <v>24.1092928</v>
      </c>
    </row>
    <row r="260">
      <c r="A260" s="2" t="str">
        <f>IFERROR(__xludf.DUMMYFUNCTION("""COMPUTED_VALUE"""),"For sale")</f>
        <v>For sale</v>
      </c>
      <c r="B260" s="2" t="str">
        <f>IFERROR(__xludf.DUMMYFUNCTION("""COMPUTED_VALUE"""),"Krasta r-ns")</f>
        <v>Krasta r-ns</v>
      </c>
      <c r="C260" s="2" t="str">
        <f>IFERROR(__xludf.DUMMYFUNCTION("""COMPUTED_VALUE"""),"Rītupes 28")</f>
        <v>Rītupes 28</v>
      </c>
      <c r="D260" s="2">
        <f>IFERROR(__xludf.DUMMYFUNCTION("""COMPUTED_VALUE"""),3.0)</f>
        <v>3</v>
      </c>
      <c r="E260" s="2">
        <f>IFERROR(__xludf.DUMMYFUNCTION("""COMPUTED_VALUE"""),59.0)</f>
        <v>59</v>
      </c>
      <c r="F260" s="2">
        <f>IFERROR(__xludf.DUMMYFUNCTION("""COMPUTED_VALUE"""),9.0)</f>
        <v>9</v>
      </c>
      <c r="G260" s="2">
        <f>IFERROR(__xludf.DUMMYFUNCTION("""COMPUTED_VALUE"""),9.0)</f>
        <v>9</v>
      </c>
      <c r="H260" s="2">
        <f>IFERROR(__xludf.DUMMYFUNCTION("""COMPUTED_VALUE"""),467.0)</f>
        <v>467</v>
      </c>
      <c r="I260" s="2" t="str">
        <f>IFERROR(__xludf.DUMMYFUNCTION("""COMPUTED_VALUE"""),"Panel")</f>
        <v>Panel</v>
      </c>
      <c r="J260" s="2" t="str">
        <f>IFERROR(__xludf.DUMMYFUNCTION("""COMPUTED_VALUE"""),"All amenities")</f>
        <v>All amenities</v>
      </c>
      <c r="K260" s="2">
        <f>IFERROR(__xludf.DUMMYFUNCTION("""COMPUTED_VALUE"""),58500.0)</f>
        <v>58500</v>
      </c>
      <c r="L260" s="2">
        <f>IFERROR(__xludf.DUMMYFUNCTION("""COMPUTED_VALUE"""),56.9281595)</f>
        <v>56.9281595</v>
      </c>
      <c r="M260" s="2">
        <f>IFERROR(__xludf.DUMMYFUNCTION("""COMPUTED_VALUE"""),24.1723166)</f>
        <v>24.1723166</v>
      </c>
    </row>
    <row r="261">
      <c r="A261" s="2" t="str">
        <f>IFERROR(__xludf.DUMMYFUNCTION("""COMPUTED_VALUE"""),"For sale")</f>
        <v>For sale</v>
      </c>
      <c r="B261" s="2" t="str">
        <f>IFERROR(__xludf.DUMMYFUNCTION("""COMPUTED_VALUE"""),"Sarkandaugava")</f>
        <v>Sarkandaugava</v>
      </c>
      <c r="C261" s="2" t="str">
        <f>IFERROR(__xludf.DUMMYFUNCTION("""COMPUTED_VALUE"""),"Sofijas 4")</f>
        <v>Sofijas 4</v>
      </c>
      <c r="D261" s="2">
        <f>IFERROR(__xludf.DUMMYFUNCTION("""COMPUTED_VALUE"""),1.0)</f>
        <v>1</v>
      </c>
      <c r="E261" s="2">
        <f>IFERROR(__xludf.DUMMYFUNCTION("""COMPUTED_VALUE"""),26.0)</f>
        <v>26</v>
      </c>
      <c r="F261" s="2">
        <f>IFERROR(__xludf.DUMMYFUNCTION("""COMPUTED_VALUE"""),2.0)</f>
        <v>2</v>
      </c>
      <c r="G261" s="2">
        <f>IFERROR(__xludf.DUMMYFUNCTION("""COMPUTED_VALUE"""),5.0)</f>
        <v>5</v>
      </c>
      <c r="H261" s="2" t="str">
        <f>IFERROR(__xludf.DUMMYFUNCTION("""COMPUTED_VALUE"""),"Hrušč.")</f>
        <v>Hrušč.</v>
      </c>
      <c r="I261" s="2" t="str">
        <f>IFERROR(__xludf.DUMMYFUNCTION("""COMPUTED_VALUE"""),"Brick")</f>
        <v>Brick</v>
      </c>
      <c r="J261" s="2" t="str">
        <f>IFERROR(__xludf.DUMMYFUNCTION("""COMPUTED_VALUE"""),"All amenities")</f>
        <v>All amenities</v>
      </c>
      <c r="K261" s="2">
        <f>IFERROR(__xludf.DUMMYFUNCTION("""COMPUTED_VALUE"""),29800.0)</f>
        <v>29800</v>
      </c>
      <c r="L261" s="2">
        <f>IFERROR(__xludf.DUMMYFUNCTION("""COMPUTED_VALUE"""),56.99858605)</f>
        <v>56.99858605</v>
      </c>
      <c r="M261" s="2">
        <f>IFERROR(__xludf.DUMMYFUNCTION("""COMPUTED_VALUE"""),24.1208792392751)</f>
        <v>24.12087924</v>
      </c>
    </row>
    <row r="262">
      <c r="A262" s="2" t="str">
        <f>IFERROR(__xludf.DUMMYFUNCTION("""COMPUTED_VALUE"""),"For sale")</f>
        <v>For sale</v>
      </c>
      <c r="B262" s="2" t="str">
        <f>IFERROR(__xludf.DUMMYFUNCTION("""COMPUTED_VALUE"""),"Iļģuciems")</f>
        <v>Iļģuciems</v>
      </c>
      <c r="C262" s="2" t="str">
        <f>IFERROR(__xludf.DUMMYFUNCTION("""COMPUTED_VALUE"""),"Motoru 7")</f>
        <v>Motoru 7</v>
      </c>
      <c r="D262" s="2">
        <f>IFERROR(__xludf.DUMMYFUNCTION("""COMPUTED_VALUE"""),1.0)</f>
        <v>1</v>
      </c>
      <c r="E262" s="2">
        <f>IFERROR(__xludf.DUMMYFUNCTION("""COMPUTED_VALUE"""),27.0)</f>
        <v>27</v>
      </c>
      <c r="F262" s="2">
        <f>IFERROR(__xludf.DUMMYFUNCTION("""COMPUTED_VALUE"""),1.0)</f>
        <v>1</v>
      </c>
      <c r="G262" s="2">
        <f>IFERROR(__xludf.DUMMYFUNCTION("""COMPUTED_VALUE"""),5.0)</f>
        <v>5</v>
      </c>
      <c r="H262" s="2" t="str">
        <f>IFERROR(__xludf.DUMMYFUNCTION("""COMPUTED_VALUE"""),"LT proj.")</f>
        <v>LT proj.</v>
      </c>
      <c r="I262" s="2" t="str">
        <f>IFERROR(__xludf.DUMMYFUNCTION("""COMPUTED_VALUE"""),"Panel")</f>
        <v>Panel</v>
      </c>
      <c r="J262" s="2" t="str">
        <f>IFERROR(__xludf.DUMMYFUNCTION("""COMPUTED_VALUE"""),"All amenities")</f>
        <v>All amenities</v>
      </c>
      <c r="K262" s="2">
        <f>IFERROR(__xludf.DUMMYFUNCTION("""COMPUTED_VALUE"""),32000.0)</f>
        <v>32000</v>
      </c>
      <c r="L262" s="2">
        <f>IFERROR(__xludf.DUMMYFUNCTION("""COMPUTED_VALUE"""),56.97008835)</f>
        <v>56.97008835</v>
      </c>
      <c r="M262" s="2">
        <f>IFERROR(__xludf.DUMMYFUNCTION("""COMPUTED_VALUE"""),24.0668175830755)</f>
        <v>24.06681758</v>
      </c>
    </row>
    <row r="263">
      <c r="A263" s="2" t="str">
        <f>IFERROR(__xludf.DUMMYFUNCTION("""COMPUTED_VALUE"""),"For rent")</f>
        <v>For rent</v>
      </c>
      <c r="B263" s="2" t="str">
        <f>IFERROR(__xludf.DUMMYFUNCTION("""COMPUTED_VALUE"""),"Mangaļi")</f>
        <v>Mangaļi</v>
      </c>
      <c r="C263" s="2" t="str">
        <f>IFERROR(__xludf.DUMMYFUNCTION("""COMPUTED_VALUE"""),"Carnikavas 3c")</f>
        <v>Carnikavas 3c</v>
      </c>
      <c r="D263" s="2">
        <f>IFERROR(__xludf.DUMMYFUNCTION("""COMPUTED_VALUE"""),1.0)</f>
        <v>1</v>
      </c>
      <c r="E263" s="2">
        <f>IFERROR(__xludf.DUMMYFUNCTION("""COMPUTED_VALUE"""),24.0)</f>
        <v>24</v>
      </c>
      <c r="F263" s="2">
        <f>IFERROR(__xludf.DUMMYFUNCTION("""COMPUTED_VALUE"""),1.0)</f>
        <v>1</v>
      </c>
      <c r="G263" s="2">
        <f>IFERROR(__xludf.DUMMYFUNCTION("""COMPUTED_VALUE"""),1.0)</f>
        <v>1</v>
      </c>
      <c r="H263" s="2" t="str">
        <f>IFERROR(__xludf.DUMMYFUNCTION("""COMPUTED_VALUE"""),"Specpr.")</f>
        <v>Specpr.</v>
      </c>
      <c r="I263" s="2" t="str">
        <f>IFERROR(__xludf.DUMMYFUNCTION("""COMPUTED_VALUE"""),"Brick")</f>
        <v>Brick</v>
      </c>
      <c r="J263" s="2" t="str">
        <f>IFERROR(__xludf.DUMMYFUNCTION("""COMPUTED_VALUE"""),"All amenities")</f>
        <v>All amenities</v>
      </c>
      <c r="K263" s="2">
        <f>IFERROR(__xludf.DUMMYFUNCTION("""COMPUTED_VALUE"""),195.0)</f>
        <v>195</v>
      </c>
      <c r="L263" s="2">
        <f>IFERROR(__xludf.DUMMYFUNCTION("""COMPUTED_VALUE"""),57.0237089)</f>
        <v>57.0237089</v>
      </c>
      <c r="M263" s="2">
        <f>IFERROR(__xludf.DUMMYFUNCTION("""COMPUTED_VALUE"""),24.1281801)</f>
        <v>24.1281801</v>
      </c>
    </row>
    <row r="264">
      <c r="A264" s="2" t="str">
        <f>IFERROR(__xludf.DUMMYFUNCTION("""COMPUTED_VALUE"""),"For rent")</f>
        <v>For rent</v>
      </c>
      <c r="B264" s="2" t="str">
        <f>IFERROR(__xludf.DUMMYFUNCTION("""COMPUTED_VALUE"""),"Zolitūde")</f>
        <v>Zolitūde</v>
      </c>
      <c r="C264" s="2" t="str">
        <f>IFERROR(__xludf.DUMMYFUNCTION("""COMPUTED_VALUE"""),"Gramzdas 19")</f>
        <v>Gramzdas 19</v>
      </c>
      <c r="D264" s="2">
        <f>IFERROR(__xludf.DUMMYFUNCTION("""COMPUTED_VALUE"""),2.0)</f>
        <v>2</v>
      </c>
      <c r="E264" s="2">
        <f>IFERROR(__xludf.DUMMYFUNCTION("""COMPUTED_VALUE"""),60.0)</f>
        <v>60</v>
      </c>
      <c r="F264" s="2">
        <f>IFERROR(__xludf.DUMMYFUNCTION("""COMPUTED_VALUE"""),9.0)</f>
        <v>9</v>
      </c>
      <c r="G264" s="2">
        <f>IFERROR(__xludf.DUMMYFUNCTION("""COMPUTED_VALUE"""),5.0)</f>
        <v>5</v>
      </c>
      <c r="H264" s="2">
        <f>IFERROR(__xludf.DUMMYFUNCTION("""COMPUTED_VALUE"""),119.0)</f>
        <v>119</v>
      </c>
      <c r="I264" s="2" t="str">
        <f>IFERROR(__xludf.DUMMYFUNCTION("""COMPUTED_VALUE"""),"Panel")</f>
        <v>Panel</v>
      </c>
      <c r="J264" s="2" t="str">
        <f>IFERROR(__xludf.DUMMYFUNCTION("""COMPUTED_VALUE"""),"All amenities")</f>
        <v>All amenities</v>
      </c>
      <c r="K264" s="2">
        <f>IFERROR(__xludf.DUMMYFUNCTION("""COMPUTED_VALUE"""),300.0)</f>
        <v>300</v>
      </c>
      <c r="L264" s="2">
        <f>IFERROR(__xludf.DUMMYFUNCTION("""COMPUTED_VALUE"""),56.94351315)</f>
        <v>56.94351315</v>
      </c>
      <c r="M264" s="2">
        <f>IFERROR(__xludf.DUMMYFUNCTION("""COMPUTED_VALUE"""),24.0076244266968)</f>
        <v>24.00762443</v>
      </c>
    </row>
    <row r="265">
      <c r="A265" s="2" t="str">
        <f>IFERROR(__xludf.DUMMYFUNCTION("""COMPUTED_VALUE"""),"For sale")</f>
        <v>For sale</v>
      </c>
      <c r="B265" s="2" t="str">
        <f>IFERROR(__xludf.DUMMYFUNCTION("""COMPUTED_VALUE"""),"Daugavgrīva")</f>
        <v>Daugavgrīva</v>
      </c>
      <c r="C265" s="2" t="str">
        <f>IFERROR(__xludf.DUMMYFUNCTION("""COMPUTED_VALUE"""),"Birzes 42")</f>
        <v>Birzes 42</v>
      </c>
      <c r="D265" s="2">
        <f>IFERROR(__xludf.DUMMYFUNCTION("""COMPUTED_VALUE"""),2.0)</f>
        <v>2</v>
      </c>
      <c r="E265" s="2">
        <f>IFERROR(__xludf.DUMMYFUNCTION("""COMPUTED_VALUE"""),53.0)</f>
        <v>53</v>
      </c>
      <c r="F265" s="2">
        <f>IFERROR(__xludf.DUMMYFUNCTION("""COMPUTED_VALUE"""),5.0)</f>
        <v>5</v>
      </c>
      <c r="G265" s="2">
        <f>IFERROR(__xludf.DUMMYFUNCTION("""COMPUTED_VALUE"""),5.0)</f>
        <v>5</v>
      </c>
      <c r="H265" s="2">
        <f>IFERROR(__xludf.DUMMYFUNCTION("""COMPUTED_VALUE"""),103.0)</f>
        <v>103</v>
      </c>
      <c r="I265" s="2" t="str">
        <f>IFERROR(__xludf.DUMMYFUNCTION("""COMPUTED_VALUE"""),"Brick-Panel")</f>
        <v>Brick-Panel</v>
      </c>
      <c r="J265" s="2" t="str">
        <f>IFERROR(__xludf.DUMMYFUNCTION("""COMPUTED_VALUE"""),"All amenities")</f>
        <v>All amenities</v>
      </c>
      <c r="K265" s="2">
        <f>IFERROR(__xludf.DUMMYFUNCTION("""COMPUTED_VALUE"""),34980.0)</f>
        <v>34980</v>
      </c>
      <c r="L265" s="2">
        <f>IFERROR(__xludf.DUMMYFUNCTION("""COMPUTED_VALUE"""),57.03644015)</f>
        <v>57.03644015</v>
      </c>
      <c r="M265" s="2">
        <f>IFERROR(__xludf.DUMMYFUNCTION("""COMPUTED_VALUE"""),24.0276650247552)</f>
        <v>24.02766502</v>
      </c>
    </row>
    <row r="266">
      <c r="A266" s="2" t="str">
        <f>IFERROR(__xludf.DUMMYFUNCTION("""COMPUTED_VALUE"""),"For sale")</f>
        <v>For sale</v>
      </c>
      <c r="B266" s="2" t="str">
        <f>IFERROR(__xludf.DUMMYFUNCTION("""COMPUTED_VALUE"""),"Mežciems")</f>
        <v>Mežciems</v>
      </c>
      <c r="C266" s="2" t="str">
        <f>IFERROR(__xludf.DUMMYFUNCTION("""COMPUTED_VALUE"""),"Hipokrāta 11")</f>
        <v>Hipokrāta 11</v>
      </c>
      <c r="D266" s="2">
        <f>IFERROR(__xludf.DUMMYFUNCTION("""COMPUTED_VALUE"""),1.0)</f>
        <v>1</v>
      </c>
      <c r="E266" s="2">
        <f>IFERROR(__xludf.DUMMYFUNCTION("""COMPUTED_VALUE"""),46.0)</f>
        <v>46</v>
      </c>
      <c r="F266" s="2">
        <f>IFERROR(__xludf.DUMMYFUNCTION("""COMPUTED_VALUE"""),8.0)</f>
        <v>8</v>
      </c>
      <c r="G266" s="2">
        <f>IFERROR(__xludf.DUMMYFUNCTION("""COMPUTED_VALUE"""),16.0)</f>
        <v>16</v>
      </c>
      <c r="H266" s="2">
        <f>IFERROR(__xludf.DUMMYFUNCTION("""COMPUTED_VALUE"""),104.0)</f>
        <v>104</v>
      </c>
      <c r="I266" s="2" t="str">
        <f>IFERROR(__xludf.DUMMYFUNCTION("""COMPUTED_VALUE"""),"Panel")</f>
        <v>Panel</v>
      </c>
      <c r="J266" s="2" t="str">
        <f>IFERROR(__xludf.DUMMYFUNCTION("""COMPUTED_VALUE"""),"All amenities")</f>
        <v>All amenities</v>
      </c>
      <c r="K266" s="2">
        <f>IFERROR(__xludf.DUMMYFUNCTION("""COMPUTED_VALUE"""),45000.0)</f>
        <v>45000</v>
      </c>
      <c r="L266" s="2">
        <f>IFERROR(__xludf.DUMMYFUNCTION("""COMPUTED_VALUE"""),56.9671489)</f>
        <v>56.9671489</v>
      </c>
      <c r="M266" s="2">
        <f>IFERROR(__xludf.DUMMYFUNCTION("""COMPUTED_VALUE"""),24.2375509025527)</f>
        <v>24.2375509</v>
      </c>
    </row>
    <row r="267">
      <c r="A267" s="2" t="str">
        <f>IFERROR(__xludf.DUMMYFUNCTION("""COMPUTED_VALUE"""),"For rent")</f>
        <v>For rent</v>
      </c>
      <c r="B267" s="2" t="str">
        <f>IFERROR(__xludf.DUMMYFUNCTION("""COMPUTED_VALUE"""),"centrs")</f>
        <v>centrs</v>
      </c>
      <c r="C267" s="2" t="str">
        <f>IFERROR(__xludf.DUMMYFUNCTION("""COMPUTED_VALUE"""),"Maskavas 50")</f>
        <v>Maskavas 50</v>
      </c>
      <c r="D267" s="2">
        <f>IFERROR(__xludf.DUMMYFUNCTION("""COMPUTED_VALUE"""),3.0)</f>
        <v>3</v>
      </c>
      <c r="E267" s="2">
        <f>IFERROR(__xludf.DUMMYFUNCTION("""COMPUTED_VALUE"""),70.0)</f>
        <v>70</v>
      </c>
      <c r="F267" s="2">
        <f>IFERROR(__xludf.DUMMYFUNCTION("""COMPUTED_VALUE"""),2.0)</f>
        <v>2</v>
      </c>
      <c r="G267" s="2">
        <f>IFERROR(__xludf.DUMMYFUNCTION("""COMPUTED_VALUE"""),3.0)</f>
        <v>3</v>
      </c>
      <c r="H267" s="2" t="str">
        <f>IFERROR(__xludf.DUMMYFUNCTION("""COMPUTED_VALUE"""),"P. kara")</f>
        <v>P. kara</v>
      </c>
      <c r="I267" s="2" t="str">
        <f>IFERROR(__xludf.DUMMYFUNCTION("""COMPUTED_VALUE"""),"Masonry")</f>
        <v>Masonry</v>
      </c>
      <c r="J267" s="2" t="str">
        <f>IFERROR(__xludf.DUMMYFUNCTION("""COMPUTED_VALUE"""),"All amenities")</f>
        <v>All amenities</v>
      </c>
      <c r="K267" s="2">
        <f>IFERROR(__xludf.DUMMYFUNCTION("""COMPUTED_VALUE"""),410.0)</f>
        <v>410</v>
      </c>
      <c r="L267" s="2">
        <f>IFERROR(__xludf.DUMMYFUNCTION("""COMPUTED_VALUE"""),56.8597884)</f>
        <v>56.8597884</v>
      </c>
      <c r="M267" s="2">
        <f>IFERROR(__xludf.DUMMYFUNCTION("""COMPUTED_VALUE"""),24.3083417)</f>
        <v>24.3083417</v>
      </c>
    </row>
    <row r="268">
      <c r="A268" s="2" t="str">
        <f>IFERROR(__xludf.DUMMYFUNCTION("""COMPUTED_VALUE"""),"For sale")</f>
        <v>For sale</v>
      </c>
      <c r="B268" s="2" t="str">
        <f>IFERROR(__xludf.DUMMYFUNCTION("""COMPUTED_VALUE"""),"centrs")</f>
        <v>centrs</v>
      </c>
      <c r="C268" s="2" t="str">
        <f>IFERROR(__xludf.DUMMYFUNCTION("""COMPUTED_VALUE"""),"Barona 25")</f>
        <v>Barona 25</v>
      </c>
      <c r="D268" s="2">
        <f>IFERROR(__xludf.DUMMYFUNCTION("""COMPUTED_VALUE"""),4.0)</f>
        <v>4</v>
      </c>
      <c r="E268" s="2">
        <f>IFERROR(__xludf.DUMMYFUNCTION("""COMPUTED_VALUE"""),99.0)</f>
        <v>99</v>
      </c>
      <c r="F268" s="2">
        <f>IFERROR(__xludf.DUMMYFUNCTION("""COMPUTED_VALUE"""),6.0)</f>
        <v>6</v>
      </c>
      <c r="G268" s="2">
        <f>IFERROR(__xludf.DUMMYFUNCTION("""COMPUTED_VALUE"""),6.0)</f>
        <v>6</v>
      </c>
      <c r="H268" s="2" t="str">
        <f>IFERROR(__xludf.DUMMYFUNCTION("""COMPUTED_VALUE"""),"P. kara")</f>
        <v>P. kara</v>
      </c>
      <c r="I268" s="2" t="str">
        <f>IFERROR(__xludf.DUMMYFUNCTION("""COMPUTED_VALUE"""),"Brick")</f>
        <v>Brick</v>
      </c>
      <c r="J268" s="2" t="str">
        <f>IFERROR(__xludf.DUMMYFUNCTION("""COMPUTED_VALUE"""),"Partial amenities")</f>
        <v>Partial amenities</v>
      </c>
      <c r="K268" s="2">
        <f>IFERROR(__xludf.DUMMYFUNCTION("""COMPUTED_VALUE"""),95000.0)</f>
        <v>95000</v>
      </c>
      <c r="L268" s="2">
        <f>IFERROR(__xludf.DUMMYFUNCTION("""COMPUTED_VALUE"""),56.9527504)</f>
        <v>56.9527504</v>
      </c>
      <c r="M268" s="2">
        <f>IFERROR(__xludf.DUMMYFUNCTION("""COMPUTED_VALUE"""),24.124026)</f>
        <v>24.124026</v>
      </c>
    </row>
    <row r="269">
      <c r="A269" s="2" t="str">
        <f>IFERROR(__xludf.DUMMYFUNCTION("""COMPUTED_VALUE"""),"For rent")</f>
        <v>For rent</v>
      </c>
      <c r="B269" s="2" t="str">
        <f>IFERROR(__xludf.DUMMYFUNCTION("""COMPUTED_VALUE"""),"centrs")</f>
        <v>centrs</v>
      </c>
      <c r="C269" s="2" t="str">
        <f>IFERROR(__xludf.DUMMYFUNCTION("""COMPUTED_VALUE"""),"Matīsa 85")</f>
        <v>Matīsa 85</v>
      </c>
      <c r="D269" s="2">
        <f>IFERROR(__xludf.DUMMYFUNCTION("""COMPUTED_VALUE"""),2.0)</f>
        <v>2</v>
      </c>
      <c r="E269" s="2">
        <f>IFERROR(__xludf.DUMMYFUNCTION("""COMPUTED_VALUE"""),48.0)</f>
        <v>48</v>
      </c>
      <c r="F269" s="2">
        <f>IFERROR(__xludf.DUMMYFUNCTION("""COMPUTED_VALUE"""),1.0)</f>
        <v>1</v>
      </c>
      <c r="G269" s="2">
        <f>IFERROR(__xludf.DUMMYFUNCTION("""COMPUTED_VALUE"""),4.0)</f>
        <v>4</v>
      </c>
      <c r="H269" s="2" t="str">
        <f>IFERROR(__xludf.DUMMYFUNCTION("""COMPUTED_VALUE"""),"P. kara")</f>
        <v>P. kara</v>
      </c>
      <c r="I269" s="2" t="str">
        <f>IFERROR(__xludf.DUMMYFUNCTION("""COMPUTED_VALUE"""),"Masonry")</f>
        <v>Masonry</v>
      </c>
      <c r="J269" s="2" t="str">
        <f>IFERROR(__xludf.DUMMYFUNCTION("""COMPUTED_VALUE"""),"All amenities")</f>
        <v>All amenities</v>
      </c>
      <c r="K269" s="2">
        <f>IFERROR(__xludf.DUMMYFUNCTION("""COMPUTED_VALUE"""),450.0)</f>
        <v>450</v>
      </c>
      <c r="L269" s="2">
        <f>IFERROR(__xludf.DUMMYFUNCTION("""COMPUTED_VALUE"""),56.9526541)</f>
        <v>56.9526541</v>
      </c>
      <c r="M269" s="2">
        <f>IFERROR(__xludf.DUMMYFUNCTION("""COMPUTED_VALUE"""),24.1433157)</f>
        <v>24.1433157</v>
      </c>
    </row>
    <row r="270">
      <c r="A270" s="2" t="str">
        <f>IFERROR(__xludf.DUMMYFUNCTION("""COMPUTED_VALUE"""),"For rent")</f>
        <v>For rent</v>
      </c>
      <c r="B270" s="2" t="str">
        <f>IFERROR(__xludf.DUMMYFUNCTION("""COMPUTED_VALUE"""),"Ķengarags")</f>
        <v>Ķengarags</v>
      </c>
      <c r="C270" s="2" t="str">
        <f>IFERROR(__xludf.DUMMYFUNCTION("""COMPUTED_VALUE"""),"Krustpils 123a")</f>
        <v>Krustpils 123a</v>
      </c>
      <c r="D270" s="2">
        <f>IFERROR(__xludf.DUMMYFUNCTION("""COMPUTED_VALUE"""),1.0)</f>
        <v>1</v>
      </c>
      <c r="E270" s="2">
        <f>IFERROR(__xludf.DUMMYFUNCTION("""COMPUTED_VALUE"""),19.0)</f>
        <v>19</v>
      </c>
      <c r="F270" s="2">
        <f>IFERROR(__xludf.DUMMYFUNCTION("""COMPUTED_VALUE"""),1.0)</f>
        <v>1</v>
      </c>
      <c r="G270" s="2">
        <f>IFERROR(__xludf.DUMMYFUNCTION("""COMPUTED_VALUE"""),1.0)</f>
        <v>1</v>
      </c>
      <c r="H270" s="2" t="str">
        <f>IFERROR(__xludf.DUMMYFUNCTION("""COMPUTED_VALUE"""),"Renov.")</f>
        <v>Renov.</v>
      </c>
      <c r="I270" s="2" t="str">
        <f>IFERROR(__xludf.DUMMYFUNCTION("""COMPUTED_VALUE"""),"Brick")</f>
        <v>Brick</v>
      </c>
      <c r="J270" s="2" t="str">
        <f>IFERROR(__xludf.DUMMYFUNCTION("""COMPUTED_VALUE"""),"All amenities")</f>
        <v>All amenities</v>
      </c>
      <c r="K270" s="2">
        <f>IFERROR(__xludf.DUMMYFUNCTION("""COMPUTED_VALUE"""),192.0)</f>
        <v>192</v>
      </c>
      <c r="L270" s="2">
        <f>IFERROR(__xludf.DUMMYFUNCTION("""COMPUTED_VALUE"""),56.9293636)</f>
        <v>56.9293636</v>
      </c>
      <c r="M270" s="2">
        <f>IFERROR(__xludf.DUMMYFUNCTION("""COMPUTED_VALUE"""),24.1835723)</f>
        <v>24.1835723</v>
      </c>
    </row>
    <row r="271">
      <c r="A271" s="2" t="str">
        <f>IFERROR(__xludf.DUMMYFUNCTION("""COMPUTED_VALUE"""),"For sale")</f>
        <v>For sale</v>
      </c>
      <c r="B271" s="2" t="str">
        <f>IFERROR(__xludf.DUMMYFUNCTION("""COMPUTED_VALUE"""),"Purvciems")</f>
        <v>Purvciems</v>
      </c>
      <c r="C271" s="2" t="str">
        <f>IFERROR(__xludf.DUMMYFUNCTION("""COMPUTED_VALUE"""),"Purvciema 13")</f>
        <v>Purvciema 13</v>
      </c>
      <c r="D271" s="2">
        <f>IFERROR(__xludf.DUMMYFUNCTION("""COMPUTED_VALUE"""),1.0)</f>
        <v>1</v>
      </c>
      <c r="E271" s="2">
        <f>IFERROR(__xludf.DUMMYFUNCTION("""COMPUTED_VALUE"""),46.0)</f>
        <v>46</v>
      </c>
      <c r="F271" s="2">
        <f>IFERROR(__xludf.DUMMYFUNCTION("""COMPUTED_VALUE"""),8.0)</f>
        <v>8</v>
      </c>
      <c r="G271" s="2">
        <f>IFERROR(__xludf.DUMMYFUNCTION("""COMPUTED_VALUE"""),12.0)</f>
        <v>12</v>
      </c>
      <c r="H271" s="2">
        <f>IFERROR(__xludf.DUMMYFUNCTION("""COMPUTED_VALUE"""),104.0)</f>
        <v>104</v>
      </c>
      <c r="I271" s="2" t="str">
        <f>IFERROR(__xludf.DUMMYFUNCTION("""COMPUTED_VALUE"""),"Panel")</f>
        <v>Panel</v>
      </c>
      <c r="J271" s="2" t="str">
        <f>IFERROR(__xludf.DUMMYFUNCTION("""COMPUTED_VALUE"""),"All amenities")</f>
        <v>All amenities</v>
      </c>
      <c r="K271" s="2">
        <f>IFERROR(__xludf.DUMMYFUNCTION("""COMPUTED_VALUE"""),52000.0)</f>
        <v>52000</v>
      </c>
      <c r="L271" s="2">
        <f>IFERROR(__xludf.DUMMYFUNCTION("""COMPUTED_VALUE"""),56.95341415)</f>
        <v>56.95341415</v>
      </c>
      <c r="M271" s="2">
        <f>IFERROR(__xludf.DUMMYFUNCTION("""COMPUTED_VALUE"""),24.1672841)</f>
        <v>24.1672841</v>
      </c>
    </row>
    <row r="272">
      <c r="A272" s="2" t="str">
        <f>IFERROR(__xludf.DUMMYFUNCTION("""COMPUTED_VALUE"""),"For rent")</f>
        <v>For rent</v>
      </c>
      <c r="B272" s="2" t="str">
        <f>IFERROR(__xludf.DUMMYFUNCTION("""COMPUTED_VALUE"""),"Imanta")</f>
        <v>Imanta</v>
      </c>
      <c r="C272" s="2" t="str">
        <f>IFERROR(__xludf.DUMMYFUNCTION("""COMPUTED_VALUE"""),"Kurzemes pr. 148")</f>
        <v>Kurzemes pr. 148</v>
      </c>
      <c r="D272" s="2">
        <f>IFERROR(__xludf.DUMMYFUNCTION("""COMPUTED_VALUE"""),1.0)</f>
        <v>1</v>
      </c>
      <c r="E272" s="2">
        <f>IFERROR(__xludf.DUMMYFUNCTION("""COMPUTED_VALUE"""),33.0)</f>
        <v>33</v>
      </c>
      <c r="F272" s="2">
        <f>IFERROR(__xludf.DUMMYFUNCTION("""COMPUTED_VALUE"""),7.0)</f>
        <v>7</v>
      </c>
      <c r="G272" s="2">
        <f>IFERROR(__xludf.DUMMYFUNCTION("""COMPUTED_VALUE"""),9.0)</f>
        <v>9</v>
      </c>
      <c r="H272" s="2">
        <f>IFERROR(__xludf.DUMMYFUNCTION("""COMPUTED_VALUE"""),602.0)</f>
        <v>602</v>
      </c>
      <c r="I272" s="2" t="str">
        <f>IFERROR(__xludf.DUMMYFUNCTION("""COMPUTED_VALUE"""),"Panel")</f>
        <v>Panel</v>
      </c>
      <c r="J272" s="2" t="str">
        <f>IFERROR(__xludf.DUMMYFUNCTION("""COMPUTED_VALUE"""),"All amenities")</f>
        <v>All amenities</v>
      </c>
      <c r="K272" s="2">
        <f>IFERROR(__xludf.DUMMYFUNCTION("""COMPUTED_VALUE"""),240.0)</f>
        <v>240</v>
      </c>
      <c r="L272" s="2" t="str">
        <f>IFERROR(__xludf.DUMMYFUNCTION("""COMPUTED_VALUE"""),"NaN")</f>
        <v>NaN</v>
      </c>
      <c r="M272" s="2" t="str">
        <f>IFERROR(__xludf.DUMMYFUNCTION("""COMPUTED_VALUE"""),"NaN")</f>
        <v>NaN</v>
      </c>
    </row>
    <row r="273">
      <c r="A273" s="2" t="str">
        <f>IFERROR(__xludf.DUMMYFUNCTION("""COMPUTED_VALUE"""),"For rent")</f>
        <v>For rent</v>
      </c>
      <c r="B273" s="2" t="str">
        <f>IFERROR(__xludf.DUMMYFUNCTION("""COMPUTED_VALUE"""),"Imanta")</f>
        <v>Imanta</v>
      </c>
      <c r="C273" s="2" t="str">
        <f>IFERROR(__xludf.DUMMYFUNCTION("""COMPUTED_VALUE"""),"Dubultu 20")</f>
        <v>Dubultu 20</v>
      </c>
      <c r="D273" s="2">
        <f>IFERROR(__xludf.DUMMYFUNCTION("""COMPUTED_VALUE"""),2.0)</f>
        <v>2</v>
      </c>
      <c r="E273" s="2">
        <f>IFERROR(__xludf.DUMMYFUNCTION("""COMPUTED_VALUE"""),39.0)</f>
        <v>39</v>
      </c>
      <c r="F273" s="2">
        <f>IFERROR(__xludf.DUMMYFUNCTION("""COMPUTED_VALUE"""),3.0)</f>
        <v>3</v>
      </c>
      <c r="G273" s="2">
        <f>IFERROR(__xludf.DUMMYFUNCTION("""COMPUTED_VALUE"""),5.0)</f>
        <v>5</v>
      </c>
      <c r="H273" s="2" t="str">
        <f>IFERROR(__xludf.DUMMYFUNCTION("""COMPUTED_VALUE"""),"LT proj.")</f>
        <v>LT proj.</v>
      </c>
      <c r="I273" s="2" t="str">
        <f>IFERROR(__xludf.DUMMYFUNCTION("""COMPUTED_VALUE"""),"Panel")</f>
        <v>Panel</v>
      </c>
      <c r="J273" s="2" t="str">
        <f>IFERROR(__xludf.DUMMYFUNCTION("""COMPUTED_VALUE"""),"All amenities")</f>
        <v>All amenities</v>
      </c>
      <c r="K273" s="2">
        <f>IFERROR(__xludf.DUMMYFUNCTION("""COMPUTED_VALUE"""),230.0)</f>
        <v>230</v>
      </c>
      <c r="L273" s="2">
        <f>IFERROR(__xludf.DUMMYFUNCTION("""COMPUTED_VALUE"""),56.95841805)</f>
        <v>56.95841805</v>
      </c>
      <c r="M273" s="2">
        <f>IFERROR(__xludf.DUMMYFUNCTION("""COMPUTED_VALUE"""),24.0059629092062)</f>
        <v>24.00596291</v>
      </c>
    </row>
    <row r="274">
      <c r="A274" s="2" t="str">
        <f>IFERROR(__xludf.DUMMYFUNCTION("""COMPUTED_VALUE"""),"For sale")</f>
        <v>For sale</v>
      </c>
      <c r="B274" s="2" t="str">
        <f>IFERROR(__xludf.DUMMYFUNCTION("""COMPUTED_VALUE"""),"centrs")</f>
        <v>centrs</v>
      </c>
      <c r="C274" s="2" t="str">
        <f>IFERROR(__xludf.DUMMYFUNCTION("""COMPUTED_VALUE"""),"Avotu 4")</f>
        <v>Avotu 4</v>
      </c>
      <c r="D274" s="2">
        <f>IFERROR(__xludf.DUMMYFUNCTION("""COMPUTED_VALUE"""),1.0)</f>
        <v>1</v>
      </c>
      <c r="E274" s="2">
        <f>IFERROR(__xludf.DUMMYFUNCTION("""COMPUTED_VALUE"""),23.0)</f>
        <v>23</v>
      </c>
      <c r="F274" s="2">
        <f>IFERROR(__xludf.DUMMYFUNCTION("""COMPUTED_VALUE"""),2.0)</f>
        <v>2</v>
      </c>
      <c r="G274" s="2">
        <f>IFERROR(__xludf.DUMMYFUNCTION("""COMPUTED_VALUE"""),5.0)</f>
        <v>5</v>
      </c>
      <c r="H274" s="2" t="str">
        <f>IFERROR(__xludf.DUMMYFUNCTION("""COMPUTED_VALUE"""),"Renov.")</f>
        <v>Renov.</v>
      </c>
      <c r="I274" s="2" t="str">
        <f>IFERROR(__xludf.DUMMYFUNCTION("""COMPUTED_VALUE"""),"Masonry")</f>
        <v>Masonry</v>
      </c>
      <c r="J274" s="2" t="str">
        <f>IFERROR(__xludf.DUMMYFUNCTION("""COMPUTED_VALUE"""),"All amenities")</f>
        <v>All amenities</v>
      </c>
      <c r="K274" s="2">
        <f>IFERROR(__xludf.DUMMYFUNCTION("""COMPUTED_VALUE"""),38500.0)</f>
        <v>38500</v>
      </c>
      <c r="L274" s="2">
        <f>IFERROR(__xludf.DUMMYFUNCTION("""COMPUTED_VALUE"""),56.9508163)</f>
        <v>56.9508163</v>
      </c>
      <c r="M274" s="2">
        <f>IFERROR(__xludf.DUMMYFUNCTION("""COMPUTED_VALUE"""),24.1271389)</f>
        <v>24.1271389</v>
      </c>
    </row>
    <row r="275">
      <c r="A275" s="2" t="str">
        <f>IFERROR(__xludf.DUMMYFUNCTION("""COMPUTED_VALUE"""),"For sale")</f>
        <v>For sale</v>
      </c>
      <c r="B275" s="2" t="str">
        <f>IFERROR(__xludf.DUMMYFUNCTION("""COMPUTED_VALUE"""),"Vecmīlgrāvis")</f>
        <v>Vecmīlgrāvis</v>
      </c>
      <c r="C275" s="2" t="str">
        <f>IFERROR(__xludf.DUMMYFUNCTION("""COMPUTED_VALUE"""),"Melīdas 1/15")</f>
        <v>Melīdas 1/15</v>
      </c>
      <c r="D275" s="2">
        <f>IFERROR(__xludf.DUMMYFUNCTION("""COMPUTED_VALUE"""),2.0)</f>
        <v>2</v>
      </c>
      <c r="E275" s="2">
        <f>IFERROR(__xludf.DUMMYFUNCTION("""COMPUTED_VALUE"""),52.0)</f>
        <v>52</v>
      </c>
      <c r="F275" s="2">
        <f>IFERROR(__xludf.DUMMYFUNCTION("""COMPUTED_VALUE"""),5.0)</f>
        <v>5</v>
      </c>
      <c r="G275" s="2">
        <f>IFERROR(__xludf.DUMMYFUNCTION("""COMPUTED_VALUE"""),5.0)</f>
        <v>5</v>
      </c>
      <c r="H275" s="2" t="str">
        <f>IFERROR(__xludf.DUMMYFUNCTION("""COMPUTED_VALUE"""),"LT proj.")</f>
        <v>LT proj.</v>
      </c>
      <c r="I275" s="2" t="str">
        <f>IFERROR(__xludf.DUMMYFUNCTION("""COMPUTED_VALUE"""),"Panel")</f>
        <v>Panel</v>
      </c>
      <c r="J275" s="2" t="str">
        <f>IFERROR(__xludf.DUMMYFUNCTION("""COMPUTED_VALUE"""),"All amenities")</f>
        <v>All amenities</v>
      </c>
      <c r="K275" s="2">
        <f>IFERROR(__xludf.DUMMYFUNCTION("""COMPUTED_VALUE"""),33000.0)</f>
        <v>33000</v>
      </c>
      <c r="L275" s="2">
        <f>IFERROR(__xludf.DUMMYFUNCTION("""COMPUTED_VALUE"""),57.0326345)</f>
        <v>57.0326345</v>
      </c>
      <c r="M275" s="2">
        <f>IFERROR(__xludf.DUMMYFUNCTION("""COMPUTED_VALUE"""),24.1122608)</f>
        <v>24.1122608</v>
      </c>
    </row>
    <row r="276">
      <c r="A276" s="2" t="str">
        <f>IFERROR(__xludf.DUMMYFUNCTION("""COMPUTED_VALUE"""),"For sale")</f>
        <v>For sale</v>
      </c>
      <c r="B276" s="2" t="str">
        <f>IFERROR(__xludf.DUMMYFUNCTION("""COMPUTED_VALUE"""),"centrs")</f>
        <v>centrs</v>
      </c>
      <c r="C276" s="2" t="str">
        <f>IFERROR(__xludf.DUMMYFUNCTION("""COMPUTED_VALUE"""),"Avotu 4")</f>
        <v>Avotu 4</v>
      </c>
      <c r="D276" s="2">
        <f>IFERROR(__xludf.DUMMYFUNCTION("""COMPUTED_VALUE"""),2.0)</f>
        <v>2</v>
      </c>
      <c r="E276" s="2">
        <f>IFERROR(__xludf.DUMMYFUNCTION("""COMPUTED_VALUE"""),41.0)</f>
        <v>41</v>
      </c>
      <c r="F276" s="2">
        <f>IFERROR(__xludf.DUMMYFUNCTION("""COMPUTED_VALUE"""),2.0)</f>
        <v>2</v>
      </c>
      <c r="G276" s="2">
        <f>IFERROR(__xludf.DUMMYFUNCTION("""COMPUTED_VALUE"""),5.0)</f>
        <v>5</v>
      </c>
      <c r="H276" s="2" t="str">
        <f>IFERROR(__xludf.DUMMYFUNCTION("""COMPUTED_VALUE"""),"Renov.")</f>
        <v>Renov.</v>
      </c>
      <c r="I276" s="2" t="str">
        <f>IFERROR(__xludf.DUMMYFUNCTION("""COMPUTED_VALUE"""),"Brick")</f>
        <v>Brick</v>
      </c>
      <c r="J276" s="2" t="str">
        <f>IFERROR(__xludf.DUMMYFUNCTION("""COMPUTED_VALUE"""),"All amenities")</f>
        <v>All amenities</v>
      </c>
      <c r="K276" s="2">
        <f>IFERROR(__xludf.DUMMYFUNCTION("""COMPUTED_VALUE"""),53500.0)</f>
        <v>53500</v>
      </c>
      <c r="L276" s="2">
        <f>IFERROR(__xludf.DUMMYFUNCTION("""COMPUTED_VALUE"""),56.9508163)</f>
        <v>56.9508163</v>
      </c>
      <c r="M276" s="2">
        <f>IFERROR(__xludf.DUMMYFUNCTION("""COMPUTED_VALUE"""),24.1271389)</f>
        <v>24.1271389</v>
      </c>
    </row>
    <row r="277">
      <c r="A277" s="2" t="str">
        <f>IFERROR(__xludf.DUMMYFUNCTION("""COMPUTED_VALUE"""),"For rent")</f>
        <v>For rent</v>
      </c>
      <c r="B277" s="2" t="str">
        <f>IFERROR(__xludf.DUMMYFUNCTION("""COMPUTED_VALUE"""),"centrs")</f>
        <v>centrs</v>
      </c>
      <c r="C277" s="2" t="str">
        <f>IFERROR(__xludf.DUMMYFUNCTION("""COMPUTED_VALUE"""),"Stabu 102")</f>
        <v>Stabu 102</v>
      </c>
      <c r="D277" s="2">
        <f>IFERROR(__xludf.DUMMYFUNCTION("""COMPUTED_VALUE"""),1.0)</f>
        <v>1</v>
      </c>
      <c r="E277" s="2">
        <f>IFERROR(__xludf.DUMMYFUNCTION("""COMPUTED_VALUE"""),12.0)</f>
        <v>12</v>
      </c>
      <c r="F277" s="2">
        <f>IFERROR(__xludf.DUMMYFUNCTION("""COMPUTED_VALUE"""),5.0)</f>
        <v>5</v>
      </c>
      <c r="G277" s="2">
        <f>IFERROR(__xludf.DUMMYFUNCTION("""COMPUTED_VALUE"""),5.0)</f>
        <v>5</v>
      </c>
      <c r="H277" s="2" t="str">
        <f>IFERROR(__xludf.DUMMYFUNCTION("""COMPUTED_VALUE"""),"P. kara")</f>
        <v>P. kara</v>
      </c>
      <c r="I277" s="2" t="str">
        <f>IFERROR(__xludf.DUMMYFUNCTION("""COMPUTED_VALUE"""),"Brick")</f>
        <v>Brick</v>
      </c>
      <c r="J277" s="2" t="str">
        <f>IFERROR(__xludf.DUMMYFUNCTION("""COMPUTED_VALUE"""),"All amenities")</f>
        <v>All amenities</v>
      </c>
      <c r="K277" s="2">
        <f>IFERROR(__xludf.DUMMYFUNCTION("""COMPUTED_VALUE"""),115.0)</f>
        <v>115</v>
      </c>
      <c r="L277" s="2">
        <f>IFERROR(__xludf.DUMMYFUNCTION("""COMPUTED_VALUE"""),56.94937815)</f>
        <v>56.94937815</v>
      </c>
      <c r="M277" s="2">
        <f>IFERROR(__xludf.DUMMYFUNCTION("""COMPUTED_VALUE"""),24.1424140182867)</f>
        <v>24.14241402</v>
      </c>
    </row>
    <row r="278">
      <c r="A278" s="2" t="str">
        <f>IFERROR(__xludf.DUMMYFUNCTION("""COMPUTED_VALUE"""),"For rent")</f>
        <v>For rent</v>
      </c>
      <c r="B278" s="2" t="str">
        <f>IFERROR(__xludf.DUMMYFUNCTION("""COMPUTED_VALUE"""),"Jugla")</f>
        <v>Jugla</v>
      </c>
      <c r="C278" s="2" t="str">
        <f>IFERROR(__xludf.DUMMYFUNCTION("""COMPUTED_VALUE"""),"Juglas 3")</f>
        <v>Juglas 3</v>
      </c>
      <c r="D278" s="2">
        <f>IFERROR(__xludf.DUMMYFUNCTION("""COMPUTED_VALUE"""),1.0)</f>
        <v>1</v>
      </c>
      <c r="E278" s="2">
        <f>IFERROR(__xludf.DUMMYFUNCTION("""COMPUTED_VALUE"""),38.0)</f>
        <v>38</v>
      </c>
      <c r="F278" s="2">
        <f>IFERROR(__xludf.DUMMYFUNCTION("""COMPUTED_VALUE"""),8.0)</f>
        <v>8</v>
      </c>
      <c r="G278" s="2">
        <f>IFERROR(__xludf.DUMMYFUNCTION("""COMPUTED_VALUE"""),12.0)</f>
        <v>12</v>
      </c>
      <c r="H278" s="2" t="str">
        <f>IFERROR(__xludf.DUMMYFUNCTION("""COMPUTED_VALUE"""),"Specpr.")</f>
        <v>Specpr.</v>
      </c>
      <c r="I278" s="2" t="str">
        <f>IFERROR(__xludf.DUMMYFUNCTION("""COMPUTED_VALUE"""),"Brick")</f>
        <v>Brick</v>
      </c>
      <c r="J278" s="2" t="str">
        <f>IFERROR(__xludf.DUMMYFUNCTION("""COMPUTED_VALUE"""),"All amenities")</f>
        <v>All amenities</v>
      </c>
      <c r="K278" s="2">
        <f>IFERROR(__xludf.DUMMYFUNCTION("""COMPUTED_VALUE"""),180.0)</f>
        <v>180</v>
      </c>
      <c r="L278" s="2">
        <f>IFERROR(__xludf.DUMMYFUNCTION("""COMPUTED_VALUE"""),56.98820105)</f>
        <v>56.98820105</v>
      </c>
      <c r="M278" s="2">
        <f>IFERROR(__xludf.DUMMYFUNCTION("""COMPUTED_VALUE"""),24.2432239392002)</f>
        <v>24.24322394</v>
      </c>
    </row>
    <row r="279">
      <c r="A279" s="2" t="str">
        <f>IFERROR(__xludf.DUMMYFUNCTION("""COMPUTED_VALUE"""),"For rent")</f>
        <v>For rent</v>
      </c>
      <c r="B279" s="2" t="str">
        <f>IFERROR(__xludf.DUMMYFUNCTION("""COMPUTED_VALUE"""),"Āgenskalns")</f>
        <v>Āgenskalns</v>
      </c>
      <c r="C279" s="2" t="str">
        <f>IFERROR(__xludf.DUMMYFUNCTION("""COMPUTED_VALUE"""),"Valentīna 16")</f>
        <v>Valentīna 16</v>
      </c>
      <c r="D279" s="2">
        <f>IFERROR(__xludf.DUMMYFUNCTION("""COMPUTED_VALUE"""),3.0)</f>
        <v>3</v>
      </c>
      <c r="E279" s="2">
        <f>IFERROR(__xludf.DUMMYFUNCTION("""COMPUTED_VALUE"""),70.0)</f>
        <v>70</v>
      </c>
      <c r="F279" s="2">
        <f>IFERROR(__xludf.DUMMYFUNCTION("""COMPUTED_VALUE"""),1.0)</f>
        <v>1</v>
      </c>
      <c r="G279" s="2">
        <f>IFERROR(__xludf.DUMMYFUNCTION("""COMPUTED_VALUE"""),1.0)</f>
        <v>1</v>
      </c>
      <c r="H279" s="2" t="str">
        <f>IFERROR(__xludf.DUMMYFUNCTION("""COMPUTED_VALUE"""),"Jaun.")</f>
        <v>Jaun.</v>
      </c>
      <c r="I279" s="2" t="str">
        <f>IFERROR(__xludf.DUMMYFUNCTION("""COMPUTED_VALUE"""),"Brick")</f>
        <v>Brick</v>
      </c>
      <c r="J279" s="2" t="str">
        <f>IFERROR(__xludf.DUMMYFUNCTION("""COMPUTED_VALUE"""),"All amenities")</f>
        <v>All amenities</v>
      </c>
      <c r="K279" s="2">
        <f>IFERROR(__xludf.DUMMYFUNCTION("""COMPUTED_VALUE"""),735.0)</f>
        <v>735</v>
      </c>
      <c r="L279" s="2">
        <f>IFERROR(__xludf.DUMMYFUNCTION("""COMPUTED_VALUE"""),56.94107515)</f>
        <v>56.94107515</v>
      </c>
      <c r="M279" s="2">
        <f>IFERROR(__xludf.DUMMYFUNCTION("""COMPUTED_VALUE"""),24.0537289468904)</f>
        <v>24.05372895</v>
      </c>
    </row>
    <row r="280">
      <c r="A280" s="2" t="str">
        <f>IFERROR(__xludf.DUMMYFUNCTION("""COMPUTED_VALUE"""),"For rent")</f>
        <v>For rent</v>
      </c>
      <c r="B280" s="2" t="str">
        <f>IFERROR(__xludf.DUMMYFUNCTION("""COMPUTED_VALUE"""),"Imanta")</f>
        <v>Imanta</v>
      </c>
      <c r="C280" s="2" t="str">
        <f>IFERROR(__xludf.DUMMYFUNCTION("""COMPUTED_VALUE"""),"Anniņmuižas iela 28")</f>
        <v>Anniņmuižas iela 28</v>
      </c>
      <c r="D280" s="2">
        <f>IFERROR(__xludf.DUMMYFUNCTION("""COMPUTED_VALUE"""),2.0)</f>
        <v>2</v>
      </c>
      <c r="E280" s="2">
        <f>IFERROR(__xludf.DUMMYFUNCTION("""COMPUTED_VALUE"""),60.0)</f>
        <v>60</v>
      </c>
      <c r="F280" s="2">
        <f>IFERROR(__xludf.DUMMYFUNCTION("""COMPUTED_VALUE"""),11.0)</f>
        <v>11</v>
      </c>
      <c r="G280" s="2">
        <f>IFERROR(__xludf.DUMMYFUNCTION("""COMPUTED_VALUE"""),16.0)</f>
        <v>16</v>
      </c>
      <c r="H280" s="2" t="str">
        <f>IFERROR(__xludf.DUMMYFUNCTION("""COMPUTED_VALUE"""),"Specpr.")</f>
        <v>Specpr.</v>
      </c>
      <c r="I280" s="2" t="str">
        <f>IFERROR(__xludf.DUMMYFUNCTION("""COMPUTED_VALUE"""),"Brick")</f>
        <v>Brick</v>
      </c>
      <c r="J280" s="2" t="str">
        <f>IFERROR(__xludf.DUMMYFUNCTION("""COMPUTED_VALUE"""),"All amenities")</f>
        <v>All amenities</v>
      </c>
      <c r="K280" s="2">
        <f>IFERROR(__xludf.DUMMYFUNCTION("""COMPUTED_VALUE"""),330.0)</f>
        <v>330</v>
      </c>
      <c r="L280" s="2">
        <f>IFERROR(__xludf.DUMMYFUNCTION("""COMPUTED_VALUE"""),56.9494099)</f>
        <v>56.9494099</v>
      </c>
      <c r="M280" s="2">
        <f>IFERROR(__xludf.DUMMYFUNCTION("""COMPUTED_VALUE"""),24.0102727)</f>
        <v>24.0102727</v>
      </c>
    </row>
    <row r="281">
      <c r="A281" s="2" t="str">
        <f>IFERROR(__xludf.DUMMYFUNCTION("""COMPUTED_VALUE"""),"For sale")</f>
        <v>For sale</v>
      </c>
      <c r="B281" s="2" t="str">
        <f>IFERROR(__xludf.DUMMYFUNCTION("""COMPUTED_VALUE"""),"Purvciems")</f>
        <v>Purvciems</v>
      </c>
      <c r="C281" s="2" t="str">
        <f>IFERROR(__xludf.DUMMYFUNCTION("""COMPUTED_VALUE"""),"Nīcgales 21")</f>
        <v>Nīcgales 21</v>
      </c>
      <c r="D281" s="2">
        <f>IFERROR(__xludf.DUMMYFUNCTION("""COMPUTED_VALUE"""),3.0)</f>
        <v>3</v>
      </c>
      <c r="E281" s="2">
        <f>IFERROR(__xludf.DUMMYFUNCTION("""COMPUTED_VALUE"""),59.0)</f>
        <v>59</v>
      </c>
      <c r="F281" s="2">
        <f>IFERROR(__xludf.DUMMYFUNCTION("""COMPUTED_VALUE"""),1.0)</f>
        <v>1</v>
      </c>
      <c r="G281" s="2">
        <f>IFERROR(__xludf.DUMMYFUNCTION("""COMPUTED_VALUE"""),5.0)</f>
        <v>5</v>
      </c>
      <c r="H281" s="2" t="str">
        <f>IFERROR(__xludf.DUMMYFUNCTION("""COMPUTED_VALUE"""),"LT proj.")</f>
        <v>LT proj.</v>
      </c>
      <c r="I281" s="2" t="str">
        <f>IFERROR(__xludf.DUMMYFUNCTION("""COMPUTED_VALUE"""),"Panel")</f>
        <v>Panel</v>
      </c>
      <c r="J281" s="2" t="str">
        <f>IFERROR(__xludf.DUMMYFUNCTION("""COMPUTED_VALUE"""),"All amenities")</f>
        <v>All amenities</v>
      </c>
      <c r="K281" s="2">
        <f>IFERROR(__xludf.DUMMYFUNCTION("""COMPUTED_VALUE"""),53500.0)</f>
        <v>53500</v>
      </c>
      <c r="L281" s="2">
        <f>IFERROR(__xludf.DUMMYFUNCTION("""COMPUTED_VALUE"""),56.95508155)</f>
        <v>56.95508155</v>
      </c>
      <c r="M281" s="2">
        <f>IFERROR(__xludf.DUMMYFUNCTION("""COMPUTED_VALUE"""),24.1768222238815)</f>
        <v>24.17682222</v>
      </c>
    </row>
    <row r="282">
      <c r="A282" s="2" t="str">
        <f>IFERROR(__xludf.DUMMYFUNCTION("""COMPUTED_VALUE"""),"For sale")</f>
        <v>For sale</v>
      </c>
      <c r="B282" s="2" t="str">
        <f>IFERROR(__xludf.DUMMYFUNCTION("""COMPUTED_VALUE"""),"Imanta")</f>
        <v>Imanta</v>
      </c>
      <c r="C282" s="2" t="str">
        <f>IFERROR(__xludf.DUMMYFUNCTION("""COMPUTED_VALUE"""),"Kleistu 8")</f>
        <v>Kleistu 8</v>
      </c>
      <c r="D282" s="2">
        <f>IFERROR(__xludf.DUMMYFUNCTION("""COMPUTED_VALUE"""),3.0)</f>
        <v>3</v>
      </c>
      <c r="E282" s="2">
        <f>IFERROR(__xludf.DUMMYFUNCTION("""COMPUTED_VALUE"""),67.0)</f>
        <v>67</v>
      </c>
      <c r="F282" s="2">
        <f>IFERROR(__xludf.DUMMYFUNCTION("""COMPUTED_VALUE"""),2.0)</f>
        <v>2</v>
      </c>
      <c r="G282" s="2">
        <f>IFERROR(__xludf.DUMMYFUNCTION("""COMPUTED_VALUE"""),5.0)</f>
        <v>5</v>
      </c>
      <c r="H282" s="2" t="str">
        <f>IFERROR(__xludf.DUMMYFUNCTION("""COMPUTED_VALUE"""),"LT proj.")</f>
        <v>LT proj.</v>
      </c>
      <c r="I282" s="2" t="str">
        <f>IFERROR(__xludf.DUMMYFUNCTION("""COMPUTED_VALUE"""),"Panel")</f>
        <v>Panel</v>
      </c>
      <c r="J282" s="2" t="str">
        <f>IFERROR(__xludf.DUMMYFUNCTION("""COMPUTED_VALUE"""),"Partial amenities")</f>
        <v>Partial amenities</v>
      </c>
      <c r="K282" s="2">
        <f>IFERROR(__xludf.DUMMYFUNCTION("""COMPUTED_VALUE"""),58000.0)</f>
        <v>58000</v>
      </c>
      <c r="L282" s="2">
        <f>IFERROR(__xludf.DUMMYFUNCTION("""COMPUTED_VALUE"""),56.9605689499999)</f>
        <v>56.96056895</v>
      </c>
      <c r="M282" s="2">
        <f>IFERROR(__xludf.DUMMYFUNCTION("""COMPUTED_VALUE"""),24.0228425)</f>
        <v>24.0228425</v>
      </c>
    </row>
    <row r="283">
      <c r="A283" s="2" t="str">
        <f>IFERROR(__xludf.DUMMYFUNCTION("""COMPUTED_VALUE"""),"For sale")</f>
        <v>For sale</v>
      </c>
      <c r="B283" s="2" t="str">
        <f>IFERROR(__xludf.DUMMYFUNCTION("""COMPUTED_VALUE"""),"centrs")</f>
        <v>centrs</v>
      </c>
      <c r="C283" s="2" t="str">
        <f>IFERROR(__xludf.DUMMYFUNCTION("""COMPUTED_VALUE"""),"Stabu 18a")</f>
        <v>Stabu 18a</v>
      </c>
      <c r="D283" s="2">
        <f>IFERROR(__xludf.DUMMYFUNCTION("""COMPUTED_VALUE"""),4.0)</f>
        <v>4</v>
      </c>
      <c r="E283" s="2">
        <f>IFERROR(__xludf.DUMMYFUNCTION("""COMPUTED_VALUE"""),138.0)</f>
        <v>138</v>
      </c>
      <c r="F283" s="2">
        <f>IFERROR(__xludf.DUMMYFUNCTION("""COMPUTED_VALUE"""),3.0)</f>
        <v>3</v>
      </c>
      <c r="G283" s="2">
        <f>IFERROR(__xludf.DUMMYFUNCTION("""COMPUTED_VALUE"""),5.0)</f>
        <v>5</v>
      </c>
      <c r="H283" s="2" t="str">
        <f>IFERROR(__xludf.DUMMYFUNCTION("""COMPUTED_VALUE"""),"P. kara")</f>
        <v>P. kara</v>
      </c>
      <c r="I283" s="2" t="str">
        <f>IFERROR(__xludf.DUMMYFUNCTION("""COMPUTED_VALUE"""),"Masonry")</f>
        <v>Masonry</v>
      </c>
      <c r="J283" s="2" t="str">
        <f>IFERROR(__xludf.DUMMYFUNCTION("""COMPUTED_VALUE"""),"All amenities")</f>
        <v>All amenities</v>
      </c>
      <c r="K283" s="2">
        <f>IFERROR(__xludf.DUMMYFUNCTION("""COMPUTED_VALUE"""),199000.0)</f>
        <v>199000</v>
      </c>
      <c r="L283" s="2">
        <f>IFERROR(__xludf.DUMMYFUNCTION("""COMPUTED_VALUE"""),56.9599606)</f>
        <v>56.9599606</v>
      </c>
      <c r="M283" s="2">
        <f>IFERROR(__xludf.DUMMYFUNCTION("""COMPUTED_VALUE"""),24.1209763)</f>
        <v>24.1209763</v>
      </c>
    </row>
    <row r="284">
      <c r="A284" s="2" t="str">
        <f>IFERROR(__xludf.DUMMYFUNCTION("""COMPUTED_VALUE"""),"For sale")</f>
        <v>For sale</v>
      </c>
      <c r="B284" s="2" t="str">
        <f>IFERROR(__xludf.DUMMYFUNCTION("""COMPUTED_VALUE"""),"centrs")</f>
        <v>centrs</v>
      </c>
      <c r="C284" s="2" t="str">
        <f>IFERROR(__xludf.DUMMYFUNCTION("""COMPUTED_VALUE"""),"Barona 14")</f>
        <v>Barona 14</v>
      </c>
      <c r="D284" s="2">
        <f>IFERROR(__xludf.DUMMYFUNCTION("""COMPUTED_VALUE"""),2.0)</f>
        <v>2</v>
      </c>
      <c r="E284" s="2">
        <f>IFERROR(__xludf.DUMMYFUNCTION("""COMPUTED_VALUE"""),47.0)</f>
        <v>47</v>
      </c>
      <c r="F284" s="2">
        <f>IFERROR(__xludf.DUMMYFUNCTION("""COMPUTED_VALUE"""),2.0)</f>
        <v>2</v>
      </c>
      <c r="G284" s="2">
        <f>IFERROR(__xludf.DUMMYFUNCTION("""COMPUTED_VALUE"""),5.0)</f>
        <v>5</v>
      </c>
      <c r="H284" s="2" t="str">
        <f>IFERROR(__xludf.DUMMYFUNCTION("""COMPUTED_VALUE"""),"Renov.")</f>
        <v>Renov.</v>
      </c>
      <c r="I284" s="2" t="str">
        <f>IFERROR(__xludf.DUMMYFUNCTION("""COMPUTED_VALUE"""),"Masonry")</f>
        <v>Masonry</v>
      </c>
      <c r="J284" s="2" t="str">
        <f>IFERROR(__xludf.DUMMYFUNCTION("""COMPUTED_VALUE"""),"All amenities")</f>
        <v>All amenities</v>
      </c>
      <c r="K284" s="2">
        <f>IFERROR(__xludf.DUMMYFUNCTION("""COMPUTED_VALUE"""),147000.0)</f>
        <v>147000</v>
      </c>
      <c r="L284" s="2">
        <f>IFERROR(__xludf.DUMMYFUNCTION("""COMPUTED_VALUE"""),56.9506147)</f>
        <v>56.9506147</v>
      </c>
      <c r="M284" s="2">
        <f>IFERROR(__xludf.DUMMYFUNCTION("""COMPUTED_VALUE"""),24.1212313)</f>
        <v>24.1212313</v>
      </c>
    </row>
    <row r="285">
      <c r="A285" s="2" t="str">
        <f>IFERROR(__xludf.DUMMYFUNCTION("""COMPUTED_VALUE"""),"For sale")</f>
        <v>For sale</v>
      </c>
      <c r="B285" s="2" t="str">
        <f>IFERROR(__xludf.DUMMYFUNCTION("""COMPUTED_VALUE"""),"Āgenskalns")</f>
        <v>Āgenskalns</v>
      </c>
      <c r="C285" s="2" t="str">
        <f>IFERROR(__xludf.DUMMYFUNCTION("""COMPUTED_VALUE"""),"Slokas 13a")</f>
        <v>Slokas 13a</v>
      </c>
      <c r="D285" s="2">
        <f>IFERROR(__xludf.DUMMYFUNCTION("""COMPUTED_VALUE"""),4.0)</f>
        <v>4</v>
      </c>
      <c r="E285" s="2">
        <f>IFERROR(__xludf.DUMMYFUNCTION("""COMPUTED_VALUE"""),88.0)</f>
        <v>88</v>
      </c>
      <c r="F285" s="2">
        <f>IFERROR(__xludf.DUMMYFUNCTION("""COMPUTED_VALUE"""),2.0)</f>
        <v>2</v>
      </c>
      <c r="G285" s="2">
        <f>IFERROR(__xludf.DUMMYFUNCTION("""COMPUTED_VALUE"""),4.0)</f>
        <v>4</v>
      </c>
      <c r="H285" s="2" t="str">
        <f>IFERROR(__xludf.DUMMYFUNCTION("""COMPUTED_VALUE"""),"P. kara")</f>
        <v>P. kara</v>
      </c>
      <c r="I285" s="2" t="str">
        <f>IFERROR(__xludf.DUMMYFUNCTION("""COMPUTED_VALUE"""),"Brick")</f>
        <v>Brick</v>
      </c>
      <c r="J285" s="2" t="str">
        <f>IFERROR(__xludf.DUMMYFUNCTION("""COMPUTED_VALUE"""),"All amenities")</f>
        <v>All amenities</v>
      </c>
      <c r="K285" s="2">
        <f>IFERROR(__xludf.DUMMYFUNCTION("""COMPUTED_VALUE"""),105000.0)</f>
        <v>105000</v>
      </c>
      <c r="L285" s="2">
        <f>IFERROR(__xludf.DUMMYFUNCTION("""COMPUTED_VALUE"""),56.944822)</f>
        <v>56.944822</v>
      </c>
      <c r="M285" s="2">
        <f>IFERROR(__xludf.DUMMYFUNCTION("""COMPUTED_VALUE"""),24.0748749853437)</f>
        <v>24.07487499</v>
      </c>
    </row>
    <row r="286">
      <c r="A286" s="2" t="str">
        <f>IFERROR(__xludf.DUMMYFUNCTION("""COMPUTED_VALUE"""),"For rent")</f>
        <v>For rent</v>
      </c>
      <c r="B286" s="2" t="str">
        <f>IFERROR(__xludf.DUMMYFUNCTION("""COMPUTED_VALUE"""),"Āgenskalns")</f>
        <v>Āgenskalns</v>
      </c>
      <c r="C286" s="2" t="str">
        <f>IFERROR(__xludf.DUMMYFUNCTION("""COMPUTED_VALUE"""),"Talsu 42")</f>
        <v>Talsu 42</v>
      </c>
      <c r="D286" s="2">
        <f>IFERROR(__xludf.DUMMYFUNCTION("""COMPUTED_VALUE"""),1.0)</f>
        <v>1</v>
      </c>
      <c r="E286" s="2">
        <f>IFERROR(__xludf.DUMMYFUNCTION("""COMPUTED_VALUE"""),25.0)</f>
        <v>25</v>
      </c>
      <c r="F286" s="2">
        <f>IFERROR(__xludf.DUMMYFUNCTION("""COMPUTED_VALUE"""),3.0)</f>
        <v>3</v>
      </c>
      <c r="G286" s="2">
        <f>IFERROR(__xludf.DUMMYFUNCTION("""COMPUTED_VALUE"""),5.0)</f>
        <v>5</v>
      </c>
      <c r="H286" s="2" t="str">
        <f>IFERROR(__xludf.DUMMYFUNCTION("""COMPUTED_VALUE"""),"P. kara")</f>
        <v>P. kara</v>
      </c>
      <c r="I286" s="2" t="str">
        <f>IFERROR(__xludf.DUMMYFUNCTION("""COMPUTED_VALUE"""),"Masonry")</f>
        <v>Masonry</v>
      </c>
      <c r="J286" s="2" t="str">
        <f>IFERROR(__xludf.DUMMYFUNCTION("""COMPUTED_VALUE"""),"Partial amenities")</f>
        <v>Partial amenities</v>
      </c>
      <c r="K286" s="2">
        <f>IFERROR(__xludf.DUMMYFUNCTION("""COMPUTED_VALUE"""),200.0)</f>
        <v>200</v>
      </c>
      <c r="L286" s="2">
        <f>IFERROR(__xludf.DUMMYFUNCTION("""COMPUTED_VALUE"""),56.9376655)</f>
        <v>56.9376655</v>
      </c>
      <c r="M286" s="2">
        <f>IFERROR(__xludf.DUMMYFUNCTION("""COMPUTED_VALUE"""),24.0718085)</f>
        <v>24.0718085</v>
      </c>
    </row>
    <row r="287">
      <c r="A287" s="2" t="str">
        <f>IFERROR(__xludf.DUMMYFUNCTION("""COMPUTED_VALUE"""),"For sale")</f>
        <v>For sale</v>
      </c>
      <c r="B287" s="2" t="str">
        <f>IFERROR(__xludf.DUMMYFUNCTION("""COMPUTED_VALUE"""),"Pļavnieki")</f>
        <v>Pļavnieki</v>
      </c>
      <c r="C287" s="2" t="str">
        <f>IFERROR(__xludf.DUMMYFUNCTION("""COMPUTED_VALUE"""),"Saharova 27")</f>
        <v>Saharova 27</v>
      </c>
      <c r="D287" s="2">
        <f>IFERROR(__xludf.DUMMYFUNCTION("""COMPUTED_VALUE"""),3.0)</f>
        <v>3</v>
      </c>
      <c r="E287" s="2">
        <f>IFERROR(__xludf.DUMMYFUNCTION("""COMPUTED_VALUE"""),73.0)</f>
        <v>73</v>
      </c>
      <c r="F287" s="2">
        <f>IFERROR(__xludf.DUMMYFUNCTION("""COMPUTED_VALUE"""),4.0)</f>
        <v>4</v>
      </c>
      <c r="G287" s="2">
        <f>IFERROR(__xludf.DUMMYFUNCTION("""COMPUTED_VALUE"""),16.0)</f>
        <v>16</v>
      </c>
      <c r="H287" s="2" t="str">
        <f>IFERROR(__xludf.DUMMYFUNCTION("""COMPUTED_VALUE"""),"Specpr.")</f>
        <v>Specpr.</v>
      </c>
      <c r="I287" s="2" t="str">
        <f>IFERROR(__xludf.DUMMYFUNCTION("""COMPUTED_VALUE"""),"Masonry")</f>
        <v>Masonry</v>
      </c>
      <c r="J287" s="2" t="str">
        <f>IFERROR(__xludf.DUMMYFUNCTION("""COMPUTED_VALUE"""),"All amenities")</f>
        <v>All amenities</v>
      </c>
      <c r="K287" s="2">
        <f>IFERROR(__xludf.DUMMYFUNCTION("""COMPUTED_VALUE"""),89000.0)</f>
        <v>89000</v>
      </c>
      <c r="L287" s="2">
        <f>IFERROR(__xludf.DUMMYFUNCTION("""COMPUTED_VALUE"""),56.9413857)</f>
        <v>56.9413857</v>
      </c>
      <c r="M287" s="2">
        <f>IFERROR(__xludf.DUMMYFUNCTION("""COMPUTED_VALUE"""),24.2040933)</f>
        <v>24.2040933</v>
      </c>
    </row>
    <row r="288">
      <c r="A288" s="2" t="str">
        <f>IFERROR(__xludf.DUMMYFUNCTION("""COMPUTED_VALUE"""),"For sale")</f>
        <v>For sale</v>
      </c>
      <c r="B288" s="2" t="str">
        <f>IFERROR(__xludf.DUMMYFUNCTION("""COMPUTED_VALUE"""),"centrs")</f>
        <v>centrs</v>
      </c>
      <c r="C288" s="2" t="str">
        <f>IFERROR(__xludf.DUMMYFUNCTION("""COMPUTED_VALUE"""),"Artilērijas 35b")</f>
        <v>Artilērijas 35b</v>
      </c>
      <c r="D288" s="2">
        <f>IFERROR(__xludf.DUMMYFUNCTION("""COMPUTED_VALUE"""),3.0)</f>
        <v>3</v>
      </c>
      <c r="E288" s="2">
        <f>IFERROR(__xludf.DUMMYFUNCTION("""COMPUTED_VALUE"""),73.0)</f>
        <v>73</v>
      </c>
      <c r="F288" s="2">
        <f>IFERROR(__xludf.DUMMYFUNCTION("""COMPUTED_VALUE"""),4.0)</f>
        <v>4</v>
      </c>
      <c r="G288" s="2">
        <f>IFERROR(__xludf.DUMMYFUNCTION("""COMPUTED_VALUE"""),4.0)</f>
        <v>4</v>
      </c>
      <c r="H288" s="2" t="str">
        <f>IFERROR(__xludf.DUMMYFUNCTION("""COMPUTED_VALUE"""),"Renov.")</f>
        <v>Renov.</v>
      </c>
      <c r="I288" s="2" t="str">
        <f>IFERROR(__xludf.DUMMYFUNCTION("""COMPUTED_VALUE"""),"Masonry")</f>
        <v>Masonry</v>
      </c>
      <c r="J288" s="2" t="str">
        <f>IFERROR(__xludf.DUMMYFUNCTION("""COMPUTED_VALUE"""),"All amenities")</f>
        <v>All amenities</v>
      </c>
      <c r="K288" s="2">
        <f>IFERROR(__xludf.DUMMYFUNCTION("""COMPUTED_VALUE"""),135000.0)</f>
        <v>135000</v>
      </c>
      <c r="L288" s="2">
        <f>IFERROR(__xludf.DUMMYFUNCTION("""COMPUTED_VALUE"""),56.9607774)</f>
        <v>56.9607774</v>
      </c>
      <c r="M288" s="2">
        <f>IFERROR(__xludf.DUMMYFUNCTION("""COMPUTED_VALUE"""),24.1360568)</f>
        <v>24.1360568</v>
      </c>
    </row>
    <row r="289">
      <c r="A289" s="2" t="str">
        <f>IFERROR(__xludf.DUMMYFUNCTION("""COMPUTED_VALUE"""),"For sale")</f>
        <v>For sale</v>
      </c>
      <c r="B289" s="2" t="str">
        <f>IFERROR(__xludf.DUMMYFUNCTION("""COMPUTED_VALUE"""),"centrs")</f>
        <v>centrs</v>
      </c>
      <c r="C289" s="2" t="str">
        <f>IFERROR(__xludf.DUMMYFUNCTION("""COMPUTED_VALUE"""),"Artilērijas 35b")</f>
        <v>Artilērijas 35b</v>
      </c>
      <c r="D289" s="2">
        <f>IFERROR(__xludf.DUMMYFUNCTION("""COMPUTED_VALUE"""),2.0)</f>
        <v>2</v>
      </c>
      <c r="E289" s="2">
        <f>IFERROR(__xludf.DUMMYFUNCTION("""COMPUTED_VALUE"""),52.0)</f>
        <v>52</v>
      </c>
      <c r="F289" s="2">
        <f>IFERROR(__xludf.DUMMYFUNCTION("""COMPUTED_VALUE"""),3.0)</f>
        <v>3</v>
      </c>
      <c r="G289" s="2">
        <f>IFERROR(__xludf.DUMMYFUNCTION("""COMPUTED_VALUE"""),4.0)</f>
        <v>4</v>
      </c>
      <c r="H289" s="2" t="str">
        <f>IFERROR(__xludf.DUMMYFUNCTION("""COMPUTED_VALUE"""),"Renov.")</f>
        <v>Renov.</v>
      </c>
      <c r="I289" s="2" t="str">
        <f>IFERROR(__xludf.DUMMYFUNCTION("""COMPUTED_VALUE"""),"Masonry")</f>
        <v>Masonry</v>
      </c>
      <c r="J289" s="2" t="str">
        <f>IFERROR(__xludf.DUMMYFUNCTION("""COMPUTED_VALUE"""),"All amenities")</f>
        <v>All amenities</v>
      </c>
      <c r="K289" s="2">
        <f>IFERROR(__xludf.DUMMYFUNCTION("""COMPUTED_VALUE"""),90000.0)</f>
        <v>90000</v>
      </c>
      <c r="L289" s="2">
        <f>IFERROR(__xludf.DUMMYFUNCTION("""COMPUTED_VALUE"""),56.9607774)</f>
        <v>56.9607774</v>
      </c>
      <c r="M289" s="2">
        <f>IFERROR(__xludf.DUMMYFUNCTION("""COMPUTED_VALUE"""),24.1360568)</f>
        <v>24.1360568</v>
      </c>
    </row>
    <row r="290">
      <c r="A290" s="2" t="str">
        <f>IFERROR(__xludf.DUMMYFUNCTION("""COMPUTED_VALUE"""),"For rent")</f>
        <v>For rent</v>
      </c>
      <c r="B290" s="2" t="str">
        <f>IFERROR(__xludf.DUMMYFUNCTION("""COMPUTED_VALUE"""),"Ziepniekkalns")</f>
        <v>Ziepniekkalns</v>
      </c>
      <c r="C290" s="2" t="str">
        <f>IFERROR(__xludf.DUMMYFUNCTION("""COMPUTED_VALUE"""),"Ozolciema 21/1")</f>
        <v>Ozolciema 21/1</v>
      </c>
      <c r="D290" s="2">
        <f>IFERROR(__xludf.DUMMYFUNCTION("""COMPUTED_VALUE"""),2.0)</f>
        <v>2</v>
      </c>
      <c r="E290" s="2">
        <f>IFERROR(__xludf.DUMMYFUNCTION("""COMPUTED_VALUE"""),55.0)</f>
        <v>55</v>
      </c>
      <c r="F290" s="2">
        <f>IFERROR(__xludf.DUMMYFUNCTION("""COMPUTED_VALUE"""),10.0)</f>
        <v>10</v>
      </c>
      <c r="G290" s="2">
        <f>IFERROR(__xludf.DUMMYFUNCTION("""COMPUTED_VALUE"""),10.0)</f>
        <v>10</v>
      </c>
      <c r="H290" s="2">
        <f>IFERROR(__xludf.DUMMYFUNCTION("""COMPUTED_VALUE"""),119.0)</f>
        <v>119</v>
      </c>
      <c r="I290" s="2" t="str">
        <f>IFERROR(__xludf.DUMMYFUNCTION("""COMPUTED_VALUE"""),"Panel-Brick")</f>
        <v>Panel-Brick</v>
      </c>
      <c r="J290" s="2" t="str">
        <f>IFERROR(__xludf.DUMMYFUNCTION("""COMPUTED_VALUE"""),"All amenities")</f>
        <v>All amenities</v>
      </c>
      <c r="K290" s="2">
        <f>IFERROR(__xludf.DUMMYFUNCTION("""COMPUTED_VALUE"""),330.0)</f>
        <v>330</v>
      </c>
      <c r="L290" s="2">
        <f>IFERROR(__xludf.DUMMYFUNCTION("""COMPUTED_VALUE"""),56.8990307)</f>
        <v>56.8990307</v>
      </c>
      <c r="M290" s="2">
        <f>IFERROR(__xludf.DUMMYFUNCTION("""COMPUTED_VALUE"""),24.0785989)</f>
        <v>24.0785989</v>
      </c>
    </row>
    <row r="291">
      <c r="A291" s="2" t="str">
        <f>IFERROR(__xludf.DUMMYFUNCTION("""COMPUTED_VALUE"""),"For sale")</f>
        <v>For sale</v>
      </c>
      <c r="B291" s="2" t="str">
        <f>IFERROR(__xludf.DUMMYFUNCTION("""COMPUTED_VALUE"""),"Imanta")</f>
        <v>Imanta</v>
      </c>
      <c r="C291" s="2" t="str">
        <f>IFERROR(__xludf.DUMMYFUNCTION("""COMPUTED_VALUE"""),"Vīksnes 21")</f>
        <v>Vīksnes 21</v>
      </c>
      <c r="D291" s="2">
        <f>IFERROR(__xludf.DUMMYFUNCTION("""COMPUTED_VALUE"""),4.0)</f>
        <v>4</v>
      </c>
      <c r="E291" s="2">
        <f>IFERROR(__xludf.DUMMYFUNCTION("""COMPUTED_VALUE"""),125.0)</f>
        <v>125</v>
      </c>
      <c r="F291" s="2">
        <f>IFERROR(__xludf.DUMMYFUNCTION("""COMPUTED_VALUE"""),5.0)</f>
        <v>5</v>
      </c>
      <c r="G291" s="2">
        <f>IFERROR(__xludf.DUMMYFUNCTION("""COMPUTED_VALUE"""),7.0)</f>
        <v>7</v>
      </c>
      <c r="H291" s="2" t="str">
        <f>IFERROR(__xludf.DUMMYFUNCTION("""COMPUTED_VALUE"""),"Jaun.")</f>
        <v>Jaun.</v>
      </c>
      <c r="I291" s="2" t="str">
        <f>IFERROR(__xludf.DUMMYFUNCTION("""COMPUTED_VALUE"""),"Brick-Panel")</f>
        <v>Brick-Panel</v>
      </c>
      <c r="J291" s="2" t="str">
        <f>IFERROR(__xludf.DUMMYFUNCTION("""COMPUTED_VALUE"""),"All amenities")</f>
        <v>All amenities</v>
      </c>
      <c r="K291" s="2">
        <f>IFERROR(__xludf.DUMMYFUNCTION("""COMPUTED_VALUE"""),210000.0)</f>
        <v>210000</v>
      </c>
      <c r="L291" s="2">
        <f>IFERROR(__xludf.DUMMYFUNCTION("""COMPUTED_VALUE"""),56.95789295)</f>
        <v>56.95789295</v>
      </c>
      <c r="M291" s="2">
        <f>IFERROR(__xludf.DUMMYFUNCTION("""COMPUTED_VALUE"""),24.0010354704442)</f>
        <v>24.00103547</v>
      </c>
    </row>
    <row r="292">
      <c r="A292" s="2" t="str">
        <f>IFERROR(__xludf.DUMMYFUNCTION("""COMPUTED_VALUE"""),"For sale")</f>
        <v>For sale</v>
      </c>
      <c r="B292" s="2" t="str">
        <f>IFERROR(__xludf.DUMMYFUNCTION("""COMPUTED_VALUE"""),"Pļavnieki")</f>
        <v>Pļavnieki</v>
      </c>
      <c r="C292" s="2" t="str">
        <f>IFERROR(__xludf.DUMMYFUNCTION("""COMPUTED_VALUE"""),"Slāvu 13")</f>
        <v>Slāvu 13</v>
      </c>
      <c r="D292" s="2">
        <f>IFERROR(__xludf.DUMMYFUNCTION("""COMPUTED_VALUE"""),3.0)</f>
        <v>3</v>
      </c>
      <c r="E292" s="2">
        <f>IFERROR(__xludf.DUMMYFUNCTION("""COMPUTED_VALUE"""),67.0)</f>
        <v>67</v>
      </c>
      <c r="F292" s="2">
        <f>IFERROR(__xludf.DUMMYFUNCTION("""COMPUTED_VALUE"""),7.0)</f>
        <v>7</v>
      </c>
      <c r="G292" s="2">
        <f>IFERROR(__xludf.DUMMYFUNCTION("""COMPUTED_VALUE"""),9.0)</f>
        <v>9</v>
      </c>
      <c r="H292" s="2">
        <f>IFERROR(__xludf.DUMMYFUNCTION("""COMPUTED_VALUE"""),602.0)</f>
        <v>602</v>
      </c>
      <c r="I292" s="2" t="str">
        <f>IFERROR(__xludf.DUMMYFUNCTION("""COMPUTED_VALUE"""),"Brick-Panel")</f>
        <v>Brick-Panel</v>
      </c>
      <c r="J292" s="2" t="str">
        <f>IFERROR(__xludf.DUMMYFUNCTION("""COMPUTED_VALUE"""),"All amenities")</f>
        <v>All amenities</v>
      </c>
      <c r="K292" s="2">
        <f>IFERROR(__xludf.DUMMYFUNCTION("""COMPUTED_VALUE"""),65000.0)</f>
        <v>65000</v>
      </c>
      <c r="L292" s="2">
        <f>IFERROR(__xludf.DUMMYFUNCTION("""COMPUTED_VALUE"""),56.9307254)</f>
        <v>56.9307254</v>
      </c>
      <c r="M292" s="2">
        <f>IFERROR(__xludf.DUMMYFUNCTION("""COMPUTED_VALUE"""),24.181101)</f>
        <v>24.181101</v>
      </c>
    </row>
    <row r="293">
      <c r="A293" s="2" t="str">
        <f>IFERROR(__xludf.DUMMYFUNCTION("""COMPUTED_VALUE"""),"For rent")</f>
        <v>For rent</v>
      </c>
      <c r="B293" s="2" t="str">
        <f>IFERROR(__xludf.DUMMYFUNCTION("""COMPUTED_VALUE"""),"centrs")</f>
        <v>centrs</v>
      </c>
      <c r="C293" s="2" t="str">
        <f>IFERROR(__xludf.DUMMYFUNCTION("""COMPUTED_VALUE"""),"Grēcinieku 24")</f>
        <v>Grēcinieku 24</v>
      </c>
      <c r="D293" s="2">
        <f>IFERROR(__xludf.DUMMYFUNCTION("""COMPUTED_VALUE"""),3.0)</f>
        <v>3</v>
      </c>
      <c r="E293" s="2">
        <f>IFERROR(__xludf.DUMMYFUNCTION("""COMPUTED_VALUE"""),142.0)</f>
        <v>142</v>
      </c>
      <c r="F293" s="2">
        <f>IFERROR(__xludf.DUMMYFUNCTION("""COMPUTED_VALUE"""),4.0)</f>
        <v>4</v>
      </c>
      <c r="G293" s="2">
        <f>IFERROR(__xludf.DUMMYFUNCTION("""COMPUTED_VALUE"""),7.0)</f>
        <v>7</v>
      </c>
      <c r="H293" s="2" t="str">
        <f>IFERROR(__xludf.DUMMYFUNCTION("""COMPUTED_VALUE"""),"P. kara")</f>
        <v>P. kara</v>
      </c>
      <c r="I293" s="2" t="str">
        <f>IFERROR(__xludf.DUMMYFUNCTION("""COMPUTED_VALUE"""),"Brick-Panel")</f>
        <v>Brick-Panel</v>
      </c>
      <c r="J293" s="2" t="str">
        <f>IFERROR(__xludf.DUMMYFUNCTION("""COMPUTED_VALUE"""),"All amenities")</f>
        <v>All amenities</v>
      </c>
      <c r="K293" s="2">
        <f>IFERROR(__xludf.DUMMYFUNCTION("""COMPUTED_VALUE"""),1450.0)</f>
        <v>1450</v>
      </c>
      <c r="L293" s="2">
        <f>IFERROR(__xludf.DUMMYFUNCTION("""COMPUTED_VALUE"""),56.9466833)</f>
        <v>56.9466833</v>
      </c>
      <c r="M293" s="2">
        <f>IFERROR(__xludf.DUMMYFUNCTION("""COMPUTED_VALUE"""),24.1077134)</f>
        <v>24.1077134</v>
      </c>
    </row>
    <row r="294">
      <c r="A294" s="2" t="str">
        <f>IFERROR(__xludf.DUMMYFUNCTION("""COMPUTED_VALUE"""),"For rent")</f>
        <v>For rent</v>
      </c>
      <c r="B294" s="2" t="str">
        <f>IFERROR(__xludf.DUMMYFUNCTION("""COMPUTED_VALUE"""),"centrs")</f>
        <v>centrs</v>
      </c>
      <c r="C294" s="2" t="str">
        <f>IFERROR(__xludf.DUMMYFUNCTION("""COMPUTED_VALUE"""),"Čaka 33")</f>
        <v>Čaka 33</v>
      </c>
      <c r="D294" s="2">
        <f>IFERROR(__xludf.DUMMYFUNCTION("""COMPUTED_VALUE"""),2.0)</f>
        <v>2</v>
      </c>
      <c r="E294" s="2">
        <f>IFERROR(__xludf.DUMMYFUNCTION("""COMPUTED_VALUE"""),40.0)</f>
        <v>40</v>
      </c>
      <c r="F294" s="2">
        <f>IFERROR(__xludf.DUMMYFUNCTION("""COMPUTED_VALUE"""),4.0)</f>
        <v>4</v>
      </c>
      <c r="G294" s="2">
        <f>IFERROR(__xludf.DUMMYFUNCTION("""COMPUTED_VALUE"""),6.0)</f>
        <v>6</v>
      </c>
      <c r="H294" s="2" t="str">
        <f>IFERROR(__xludf.DUMMYFUNCTION("""COMPUTED_VALUE"""),"P. kara")</f>
        <v>P. kara</v>
      </c>
      <c r="I294" s="2" t="str">
        <f>IFERROR(__xludf.DUMMYFUNCTION("""COMPUTED_VALUE"""),"Brick")</f>
        <v>Brick</v>
      </c>
      <c r="J294" s="2" t="str">
        <f>IFERROR(__xludf.DUMMYFUNCTION("""COMPUTED_VALUE"""),"All amenities")</f>
        <v>All amenities</v>
      </c>
      <c r="K294" s="2">
        <f>IFERROR(__xludf.DUMMYFUNCTION("""COMPUTED_VALUE"""),395.0)</f>
        <v>395</v>
      </c>
      <c r="L294" s="2">
        <f>IFERROR(__xludf.DUMMYFUNCTION("""COMPUTED_VALUE"""),56.9521436)</f>
        <v>56.9521436</v>
      </c>
      <c r="M294" s="2">
        <f>IFERROR(__xludf.DUMMYFUNCTION("""COMPUTED_VALUE"""),24.1276865)</f>
        <v>24.1276865</v>
      </c>
    </row>
    <row r="295">
      <c r="A295" s="2" t="str">
        <f>IFERROR(__xludf.DUMMYFUNCTION("""COMPUTED_VALUE"""),"For rent")</f>
        <v>For rent</v>
      </c>
      <c r="B295" s="2" t="str">
        <f>IFERROR(__xludf.DUMMYFUNCTION("""COMPUTED_VALUE"""),"Mangaļi")</f>
        <v>Mangaļi</v>
      </c>
      <c r="C295" s="2" t="str">
        <f>IFERROR(__xludf.DUMMYFUNCTION("""COMPUTED_VALUE"""),"Viestura pr. 22")</f>
        <v>Viestura pr. 22</v>
      </c>
      <c r="D295" s="2">
        <f>IFERROR(__xludf.DUMMYFUNCTION("""COMPUTED_VALUE"""),2.0)</f>
        <v>2</v>
      </c>
      <c r="E295" s="2">
        <f>IFERROR(__xludf.DUMMYFUNCTION("""COMPUTED_VALUE"""),48.0)</f>
        <v>48</v>
      </c>
      <c r="F295" s="2">
        <f>IFERROR(__xludf.DUMMYFUNCTION("""COMPUTED_VALUE"""),3.0)</f>
        <v>3</v>
      </c>
      <c r="G295" s="2">
        <f>IFERROR(__xludf.DUMMYFUNCTION("""COMPUTED_VALUE"""),4.0)</f>
        <v>4</v>
      </c>
      <c r="H295" s="2" t="str">
        <f>IFERROR(__xludf.DUMMYFUNCTION("""COMPUTED_VALUE"""),"Specpr.")</f>
        <v>Specpr.</v>
      </c>
      <c r="I295" s="2" t="str">
        <f>IFERROR(__xludf.DUMMYFUNCTION("""COMPUTED_VALUE"""),"Brick")</f>
        <v>Brick</v>
      </c>
      <c r="J295" s="2" t="str">
        <f>IFERROR(__xludf.DUMMYFUNCTION("""COMPUTED_VALUE"""),"All amenities")</f>
        <v>All amenities</v>
      </c>
      <c r="K295" s="2">
        <f>IFERROR(__xludf.DUMMYFUNCTION("""COMPUTED_VALUE"""),330.0)</f>
        <v>330</v>
      </c>
      <c r="L295" s="2" t="str">
        <f>IFERROR(__xludf.DUMMYFUNCTION("""COMPUTED_VALUE"""),"NaN")</f>
        <v>NaN</v>
      </c>
      <c r="M295" s="2" t="str">
        <f>IFERROR(__xludf.DUMMYFUNCTION("""COMPUTED_VALUE"""),"NaN")</f>
        <v>NaN</v>
      </c>
    </row>
    <row r="296">
      <c r="A296" s="2" t="str">
        <f>IFERROR(__xludf.DUMMYFUNCTION("""COMPUTED_VALUE"""),"For rent")</f>
        <v>For rent</v>
      </c>
      <c r="B296" s="2" t="str">
        <f>IFERROR(__xludf.DUMMYFUNCTION("""COMPUTED_VALUE"""),"centrs")</f>
        <v>centrs</v>
      </c>
      <c r="C296" s="2" t="str">
        <f>IFERROR(__xludf.DUMMYFUNCTION("""COMPUTED_VALUE"""),"Upes 2a")</f>
        <v>Upes 2a</v>
      </c>
      <c r="D296" s="2">
        <f>IFERROR(__xludf.DUMMYFUNCTION("""COMPUTED_VALUE"""),1.0)</f>
        <v>1</v>
      </c>
      <c r="E296" s="2">
        <f>IFERROR(__xludf.DUMMYFUNCTION("""COMPUTED_VALUE"""),34.0)</f>
        <v>34</v>
      </c>
      <c r="F296" s="2">
        <f>IFERROR(__xludf.DUMMYFUNCTION("""COMPUTED_VALUE"""),5.0)</f>
        <v>5</v>
      </c>
      <c r="G296" s="2">
        <f>IFERROR(__xludf.DUMMYFUNCTION("""COMPUTED_VALUE"""),5.0)</f>
        <v>5</v>
      </c>
      <c r="H296" s="2" t="str">
        <f>IFERROR(__xludf.DUMMYFUNCTION("""COMPUTED_VALUE"""),"Specpr.")</f>
        <v>Specpr.</v>
      </c>
      <c r="I296" s="2" t="str">
        <f>IFERROR(__xludf.DUMMYFUNCTION("""COMPUTED_VALUE"""),"Panel-Brick")</f>
        <v>Panel-Brick</v>
      </c>
      <c r="J296" s="2" t="str">
        <f>IFERROR(__xludf.DUMMYFUNCTION("""COMPUTED_VALUE"""),"All amenities")</f>
        <v>All amenities</v>
      </c>
      <c r="K296" s="2">
        <f>IFERROR(__xludf.DUMMYFUNCTION("""COMPUTED_VALUE"""),300.0)</f>
        <v>300</v>
      </c>
      <c r="L296" s="2">
        <f>IFERROR(__xludf.DUMMYFUNCTION("""COMPUTED_VALUE"""),56.97594855)</f>
        <v>56.97594855</v>
      </c>
      <c r="M296" s="2">
        <f>IFERROR(__xludf.DUMMYFUNCTION("""COMPUTED_VALUE"""),24.1376721961127)</f>
        <v>24.1376722</v>
      </c>
    </row>
    <row r="297">
      <c r="A297" s="2" t="str">
        <f>IFERROR(__xludf.DUMMYFUNCTION("""COMPUTED_VALUE"""),"For rent")</f>
        <v>For rent</v>
      </c>
      <c r="B297" s="2" t="str">
        <f>IFERROR(__xludf.DUMMYFUNCTION("""COMPUTED_VALUE"""),"centrs")</f>
        <v>centrs</v>
      </c>
      <c r="C297" s="2" t="str">
        <f>IFERROR(__xludf.DUMMYFUNCTION("""COMPUTED_VALUE"""),"Brīvības 103")</f>
        <v>Brīvības 103</v>
      </c>
      <c r="D297" s="2" t="str">
        <f>IFERROR(__xludf.DUMMYFUNCTION("""COMPUTED_VALUE"""),"Citi")</f>
        <v>Citi</v>
      </c>
      <c r="E297" s="2">
        <f>IFERROR(__xludf.DUMMYFUNCTION("""COMPUTED_VALUE"""),300.0)</f>
        <v>300</v>
      </c>
      <c r="F297" s="2">
        <f>IFERROR(__xludf.DUMMYFUNCTION("""COMPUTED_VALUE"""),4.0)</f>
        <v>4</v>
      </c>
      <c r="G297" s="2">
        <f>IFERROR(__xludf.DUMMYFUNCTION("""COMPUTED_VALUE"""),5.0)</f>
        <v>5</v>
      </c>
      <c r="H297" s="2" t="str">
        <f>IFERROR(__xludf.DUMMYFUNCTION("""COMPUTED_VALUE"""),"Specpr.")</f>
        <v>Specpr.</v>
      </c>
      <c r="I297" s="2" t="str">
        <f>IFERROR(__xludf.DUMMYFUNCTION("""COMPUTED_VALUE"""),"Masonry")</f>
        <v>Masonry</v>
      </c>
      <c r="J297" s="2" t="str">
        <f>IFERROR(__xludf.DUMMYFUNCTION("""COMPUTED_VALUE"""),"All amenities")</f>
        <v>All amenities</v>
      </c>
      <c r="K297" s="2">
        <f>IFERROR(__xludf.DUMMYFUNCTION("""COMPUTED_VALUE"""),350.0)</f>
        <v>350</v>
      </c>
      <c r="L297" s="2">
        <f>IFERROR(__xludf.DUMMYFUNCTION("""COMPUTED_VALUE"""),56.9614331)</f>
        <v>56.9614331</v>
      </c>
      <c r="M297" s="2">
        <f>IFERROR(__xludf.DUMMYFUNCTION("""COMPUTED_VALUE"""),24.1331108)</f>
        <v>24.1331108</v>
      </c>
    </row>
    <row r="298">
      <c r="A298" s="2" t="str">
        <f>IFERROR(__xludf.DUMMYFUNCTION("""COMPUTED_VALUE"""),"For sale")</f>
        <v>For sale</v>
      </c>
      <c r="B298" s="2" t="str">
        <f>IFERROR(__xludf.DUMMYFUNCTION("""COMPUTED_VALUE"""),"Brekši")</f>
        <v>Brekši</v>
      </c>
      <c r="C298" s="2" t="str">
        <f>IFERROR(__xludf.DUMMYFUNCTION("""COMPUTED_VALUE"""),"Juglasciema b. 54")</f>
        <v>Juglasciema b. 54</v>
      </c>
      <c r="D298" s="2">
        <f>IFERROR(__xludf.DUMMYFUNCTION("""COMPUTED_VALUE"""),2.0)</f>
        <v>2</v>
      </c>
      <c r="E298" s="2">
        <f>IFERROR(__xludf.DUMMYFUNCTION("""COMPUTED_VALUE"""),56.0)</f>
        <v>56</v>
      </c>
      <c r="F298" s="2">
        <f>IFERROR(__xludf.DUMMYFUNCTION("""COMPUTED_VALUE"""),2.0)</f>
        <v>2</v>
      </c>
      <c r="G298" s="2">
        <f>IFERROR(__xludf.DUMMYFUNCTION("""COMPUTED_VALUE"""),2.0)</f>
        <v>2</v>
      </c>
      <c r="H298" s="2" t="str">
        <f>IFERROR(__xludf.DUMMYFUNCTION("""COMPUTED_VALUE"""),"Jaun.")</f>
        <v>Jaun.</v>
      </c>
      <c r="I298" s="2" t="str">
        <f>IFERROR(__xludf.DUMMYFUNCTION("""COMPUTED_VALUE"""),"Masonry")</f>
        <v>Masonry</v>
      </c>
      <c r="J298" s="2" t="str">
        <f>IFERROR(__xludf.DUMMYFUNCTION("""COMPUTED_VALUE"""),"All amenities")</f>
        <v>All amenities</v>
      </c>
      <c r="K298" s="2">
        <f>IFERROR(__xludf.DUMMYFUNCTION("""COMPUTED_VALUE"""),83800.0)</f>
        <v>83800</v>
      </c>
      <c r="L298" s="2">
        <f>IFERROR(__xludf.DUMMYFUNCTION("""COMPUTED_VALUE"""),56.971791)</f>
        <v>56.971791</v>
      </c>
      <c r="M298" s="2">
        <f>IFERROR(__xludf.DUMMYFUNCTION("""COMPUTED_VALUE"""),24.3179227)</f>
        <v>24.3179227</v>
      </c>
    </row>
    <row r="299">
      <c r="A299" s="2" t="str">
        <f>IFERROR(__xludf.DUMMYFUNCTION("""COMPUTED_VALUE"""),"For rent")</f>
        <v>For rent</v>
      </c>
      <c r="B299" s="2" t="str">
        <f>IFERROR(__xludf.DUMMYFUNCTION("""COMPUTED_VALUE"""),"Āgenskalns")</f>
        <v>Āgenskalns</v>
      </c>
      <c r="C299" s="2" t="str">
        <f>IFERROR(__xludf.DUMMYFUNCTION("""COMPUTED_VALUE"""),"Raņķa d. 34")</f>
        <v>Raņķa d. 34</v>
      </c>
      <c r="D299" s="2">
        <f>IFERROR(__xludf.DUMMYFUNCTION("""COMPUTED_VALUE"""),3.0)</f>
        <v>3</v>
      </c>
      <c r="E299" s="2">
        <f>IFERROR(__xludf.DUMMYFUNCTION("""COMPUTED_VALUE"""),109.0)</f>
        <v>109</v>
      </c>
      <c r="F299" s="2">
        <f>IFERROR(__xludf.DUMMYFUNCTION("""COMPUTED_VALUE"""),8.0)</f>
        <v>8</v>
      </c>
      <c r="G299" s="2">
        <f>IFERROR(__xludf.DUMMYFUNCTION("""COMPUTED_VALUE"""),23.0)</f>
        <v>23</v>
      </c>
      <c r="H299" s="2" t="str">
        <f>IFERROR(__xludf.DUMMYFUNCTION("""COMPUTED_VALUE"""),"Jaun.")</f>
        <v>Jaun.</v>
      </c>
      <c r="I299" s="2" t="str">
        <f>IFERROR(__xludf.DUMMYFUNCTION("""COMPUTED_VALUE"""),"Panel")</f>
        <v>Panel</v>
      </c>
      <c r="J299" s="2" t="str">
        <f>IFERROR(__xludf.DUMMYFUNCTION("""COMPUTED_VALUE"""),"All amenities")</f>
        <v>All amenities</v>
      </c>
      <c r="K299" s="2">
        <f>IFERROR(__xludf.DUMMYFUNCTION("""COMPUTED_VALUE"""),1200.0)</f>
        <v>1200</v>
      </c>
      <c r="L299" s="2">
        <f>IFERROR(__xludf.DUMMYFUNCTION("""COMPUTED_VALUE"""),56.9483074)</f>
        <v>56.9483074</v>
      </c>
      <c r="M299" s="2">
        <f>IFERROR(__xludf.DUMMYFUNCTION("""COMPUTED_VALUE"""),24.0801468)</f>
        <v>24.0801468</v>
      </c>
    </row>
    <row r="300">
      <c r="A300" s="2" t="str">
        <f>IFERROR(__xludf.DUMMYFUNCTION("""COMPUTED_VALUE"""),"For rent")</f>
        <v>For rent</v>
      </c>
      <c r="B300" s="2" t="str">
        <f>IFERROR(__xludf.DUMMYFUNCTION("""COMPUTED_VALUE"""),"Ķīpsala")</f>
        <v>Ķīpsala</v>
      </c>
      <c r="C300" s="2" t="str">
        <f>IFERROR(__xludf.DUMMYFUNCTION("""COMPUTED_VALUE"""),"Ogļu 32")</f>
        <v>Ogļu 32</v>
      </c>
      <c r="D300" s="2">
        <f>IFERROR(__xludf.DUMMYFUNCTION("""COMPUTED_VALUE"""),3.0)</f>
        <v>3</v>
      </c>
      <c r="E300" s="2">
        <f>IFERROR(__xludf.DUMMYFUNCTION("""COMPUTED_VALUE"""),80.0)</f>
        <v>80</v>
      </c>
      <c r="F300" s="2">
        <f>IFERROR(__xludf.DUMMYFUNCTION("""COMPUTED_VALUE"""),1.0)</f>
        <v>1</v>
      </c>
      <c r="G300" s="2">
        <f>IFERROR(__xludf.DUMMYFUNCTION("""COMPUTED_VALUE"""),4.0)</f>
        <v>4</v>
      </c>
      <c r="H300" s="2" t="str">
        <f>IFERROR(__xludf.DUMMYFUNCTION("""COMPUTED_VALUE"""),"Renov.")</f>
        <v>Renov.</v>
      </c>
      <c r="I300" s="2" t="str">
        <f>IFERROR(__xludf.DUMMYFUNCTION("""COMPUTED_VALUE"""),"Masonry")</f>
        <v>Masonry</v>
      </c>
      <c r="J300" s="2" t="str">
        <f>IFERROR(__xludf.DUMMYFUNCTION("""COMPUTED_VALUE"""),"All amenities")</f>
        <v>All amenities</v>
      </c>
      <c r="K300" s="2">
        <f>IFERROR(__xludf.DUMMYFUNCTION("""COMPUTED_VALUE"""),1200.0)</f>
        <v>1200</v>
      </c>
      <c r="L300" s="2">
        <f>IFERROR(__xludf.DUMMYFUNCTION("""COMPUTED_VALUE"""),56.9608406)</f>
        <v>56.9608406</v>
      </c>
      <c r="M300" s="2">
        <f>IFERROR(__xludf.DUMMYFUNCTION("""COMPUTED_VALUE"""),24.0817647913357)</f>
        <v>24.08176479</v>
      </c>
    </row>
    <row r="301">
      <c r="A301" s="2" t="str">
        <f>IFERROR(__xludf.DUMMYFUNCTION("""COMPUTED_VALUE"""),"For sale")</f>
        <v>For sale</v>
      </c>
      <c r="B301" s="2" t="str">
        <f>IFERROR(__xludf.DUMMYFUNCTION("""COMPUTED_VALUE"""),"Ķīpsala")</f>
        <v>Ķīpsala</v>
      </c>
      <c r="C301" s="2" t="str">
        <f>IFERROR(__xludf.DUMMYFUNCTION("""COMPUTED_VALUE"""),"Ogļu 30")</f>
        <v>Ogļu 30</v>
      </c>
      <c r="D301" s="2">
        <f>IFERROR(__xludf.DUMMYFUNCTION("""COMPUTED_VALUE"""),3.0)</f>
        <v>3</v>
      </c>
      <c r="E301" s="2">
        <f>IFERROR(__xludf.DUMMYFUNCTION("""COMPUTED_VALUE"""),104.0)</f>
        <v>104</v>
      </c>
      <c r="F301" s="2">
        <f>IFERROR(__xludf.DUMMYFUNCTION("""COMPUTED_VALUE"""),2.0)</f>
        <v>2</v>
      </c>
      <c r="G301" s="2">
        <f>IFERROR(__xludf.DUMMYFUNCTION("""COMPUTED_VALUE"""),2.0)</f>
        <v>2</v>
      </c>
      <c r="H301" s="2" t="str">
        <f>IFERROR(__xludf.DUMMYFUNCTION("""COMPUTED_VALUE"""),"Jaun.")</f>
        <v>Jaun.</v>
      </c>
      <c r="I301" s="2" t="str">
        <f>IFERROR(__xludf.DUMMYFUNCTION("""COMPUTED_VALUE"""),"Masonry")</f>
        <v>Masonry</v>
      </c>
      <c r="J301" s="2" t="str">
        <f>IFERROR(__xludf.DUMMYFUNCTION("""COMPUTED_VALUE"""),"All amenities")</f>
        <v>All amenities</v>
      </c>
      <c r="K301" s="2">
        <f>IFERROR(__xludf.DUMMYFUNCTION("""COMPUTED_VALUE"""),320000.0)</f>
        <v>320000</v>
      </c>
      <c r="L301" s="2">
        <f>IFERROR(__xludf.DUMMYFUNCTION("""COMPUTED_VALUE"""),56.9606804)</f>
        <v>56.9606804</v>
      </c>
      <c r="M301" s="2">
        <f>IFERROR(__xludf.DUMMYFUNCTION("""COMPUTED_VALUE"""),24.0818363627676)</f>
        <v>24.08183636</v>
      </c>
    </row>
    <row r="302">
      <c r="A302" s="2" t="str">
        <f>IFERROR(__xludf.DUMMYFUNCTION("""COMPUTED_VALUE"""),"For rent")</f>
        <v>For rent</v>
      </c>
      <c r="B302" s="2" t="str">
        <f>IFERROR(__xludf.DUMMYFUNCTION("""COMPUTED_VALUE"""),"centrs")</f>
        <v>centrs</v>
      </c>
      <c r="C302" s="2" t="str">
        <f>IFERROR(__xludf.DUMMYFUNCTION("""COMPUTED_VALUE"""),"Stabu 16")</f>
        <v>Stabu 16</v>
      </c>
      <c r="D302" s="2">
        <f>IFERROR(__xludf.DUMMYFUNCTION("""COMPUTED_VALUE"""),5.0)</f>
        <v>5</v>
      </c>
      <c r="E302" s="2">
        <f>IFERROR(__xludf.DUMMYFUNCTION("""COMPUTED_VALUE"""),250.0)</f>
        <v>250</v>
      </c>
      <c r="F302" s="2">
        <f>IFERROR(__xludf.DUMMYFUNCTION("""COMPUTED_VALUE"""),4.0)</f>
        <v>4</v>
      </c>
      <c r="G302" s="2">
        <f>IFERROR(__xludf.DUMMYFUNCTION("""COMPUTED_VALUE"""),6.0)</f>
        <v>6</v>
      </c>
      <c r="H302" s="2" t="str">
        <f>IFERROR(__xludf.DUMMYFUNCTION("""COMPUTED_VALUE"""),"Renov.")</f>
        <v>Renov.</v>
      </c>
      <c r="I302" s="2" t="str">
        <f>IFERROR(__xludf.DUMMYFUNCTION("""COMPUTED_VALUE"""),"Masonry")</f>
        <v>Masonry</v>
      </c>
      <c r="J302" s="2" t="str">
        <f>IFERROR(__xludf.DUMMYFUNCTION("""COMPUTED_VALUE"""),"All amenities")</f>
        <v>All amenities</v>
      </c>
      <c r="K302" s="2">
        <f>IFERROR(__xludf.DUMMYFUNCTION("""COMPUTED_VALUE"""),2500.0)</f>
        <v>2500</v>
      </c>
      <c r="L302" s="2">
        <f>IFERROR(__xludf.DUMMYFUNCTION("""COMPUTED_VALUE"""),56.9575648999999)</f>
        <v>56.9575649</v>
      </c>
      <c r="M302" s="2">
        <f>IFERROR(__xludf.DUMMYFUNCTION("""COMPUTED_VALUE"""),24.1253999790613)</f>
        <v>24.12539998</v>
      </c>
    </row>
    <row r="303">
      <c r="A303" s="2" t="str">
        <f>IFERROR(__xludf.DUMMYFUNCTION("""COMPUTED_VALUE"""),"For sale")</f>
        <v>For sale</v>
      </c>
      <c r="B303" s="2" t="str">
        <f>IFERROR(__xludf.DUMMYFUNCTION("""COMPUTED_VALUE"""),"centrs")</f>
        <v>centrs</v>
      </c>
      <c r="C303" s="2" t="str">
        <f>IFERROR(__xludf.DUMMYFUNCTION("""COMPUTED_VALUE"""),"Blaumaņa 21")</f>
        <v>Blaumaņa 21</v>
      </c>
      <c r="D303" s="2">
        <f>IFERROR(__xludf.DUMMYFUNCTION("""COMPUTED_VALUE"""),2.0)</f>
        <v>2</v>
      </c>
      <c r="E303" s="2">
        <f>IFERROR(__xludf.DUMMYFUNCTION("""COMPUTED_VALUE"""),80.0)</f>
        <v>80</v>
      </c>
      <c r="F303" s="2">
        <f>IFERROR(__xludf.DUMMYFUNCTION("""COMPUTED_VALUE"""),1.0)</f>
        <v>1</v>
      </c>
      <c r="G303" s="2">
        <f>IFERROR(__xludf.DUMMYFUNCTION("""COMPUTED_VALUE"""),7.0)</f>
        <v>7</v>
      </c>
      <c r="H303" s="2" t="str">
        <f>IFERROR(__xludf.DUMMYFUNCTION("""COMPUTED_VALUE"""),"P. kara")</f>
        <v>P. kara</v>
      </c>
      <c r="I303" s="2" t="str">
        <f>IFERROR(__xludf.DUMMYFUNCTION("""COMPUTED_VALUE"""),"Masonry")</f>
        <v>Masonry</v>
      </c>
      <c r="J303" s="2" t="str">
        <f>IFERROR(__xludf.DUMMYFUNCTION("""COMPUTED_VALUE"""),"All amenities")</f>
        <v>All amenities</v>
      </c>
      <c r="K303" s="2">
        <f>IFERROR(__xludf.DUMMYFUNCTION("""COMPUTED_VALUE"""),141000.0)</f>
        <v>141000</v>
      </c>
      <c r="L303" s="2">
        <f>IFERROR(__xludf.DUMMYFUNCTION("""COMPUTED_VALUE"""),56.95264935)</f>
        <v>56.95264935</v>
      </c>
      <c r="M303" s="2">
        <f>IFERROR(__xludf.DUMMYFUNCTION("""COMPUTED_VALUE"""),24.1259069611911)</f>
        <v>24.12590696</v>
      </c>
    </row>
    <row r="304">
      <c r="A304" s="2" t="str">
        <f>IFERROR(__xludf.DUMMYFUNCTION("""COMPUTED_VALUE"""),"For sale")</f>
        <v>For sale</v>
      </c>
      <c r="B304" s="2" t="str">
        <f>IFERROR(__xludf.DUMMYFUNCTION("""COMPUTED_VALUE"""),"centrs")</f>
        <v>centrs</v>
      </c>
      <c r="C304" s="2" t="str">
        <f>IFERROR(__xludf.DUMMYFUNCTION("""COMPUTED_VALUE"""),"Šarlotes 7")</f>
        <v>Šarlotes 7</v>
      </c>
      <c r="D304" s="2">
        <f>IFERROR(__xludf.DUMMYFUNCTION("""COMPUTED_VALUE"""),2.0)</f>
        <v>2</v>
      </c>
      <c r="E304" s="2">
        <f>IFERROR(__xludf.DUMMYFUNCTION("""COMPUTED_VALUE"""),33.0)</f>
        <v>33</v>
      </c>
      <c r="F304" s="2">
        <f>IFERROR(__xludf.DUMMYFUNCTION("""COMPUTED_VALUE"""),3.0)</f>
        <v>3</v>
      </c>
      <c r="G304" s="2">
        <f>IFERROR(__xludf.DUMMYFUNCTION("""COMPUTED_VALUE"""),7.0)</f>
        <v>7</v>
      </c>
      <c r="H304" s="2" t="str">
        <f>IFERROR(__xludf.DUMMYFUNCTION("""COMPUTED_VALUE"""),"Jaun.")</f>
        <v>Jaun.</v>
      </c>
      <c r="I304" s="2" t="str">
        <f>IFERROR(__xludf.DUMMYFUNCTION("""COMPUTED_VALUE"""),"Brick-Panel")</f>
        <v>Brick-Panel</v>
      </c>
      <c r="J304" s="2" t="str">
        <f>IFERROR(__xludf.DUMMYFUNCTION("""COMPUTED_VALUE"""),"All amenities")</f>
        <v>All amenities</v>
      </c>
      <c r="K304" s="2">
        <f>IFERROR(__xludf.DUMMYFUNCTION("""COMPUTED_VALUE"""),80000.0)</f>
        <v>80000</v>
      </c>
      <c r="L304" s="2">
        <f>IFERROR(__xludf.DUMMYFUNCTION("""COMPUTED_VALUE"""),56.9645861)</f>
        <v>56.9645861</v>
      </c>
      <c r="M304" s="2">
        <f>IFERROR(__xludf.DUMMYFUNCTION("""COMPUTED_VALUE"""),24.1286325)</f>
        <v>24.1286325</v>
      </c>
    </row>
    <row r="305">
      <c r="A305" s="2" t="str">
        <f>IFERROR(__xludf.DUMMYFUNCTION("""COMPUTED_VALUE"""),"For sale")</f>
        <v>For sale</v>
      </c>
      <c r="B305" s="2" t="str">
        <f>IFERROR(__xludf.DUMMYFUNCTION("""COMPUTED_VALUE"""),"centrs")</f>
        <v>centrs</v>
      </c>
      <c r="C305" s="2" t="str">
        <f>IFERROR(__xludf.DUMMYFUNCTION("""COMPUTED_VALUE"""),"Zvaigžņu 24")</f>
        <v>Zvaigžņu 24</v>
      </c>
      <c r="D305" s="2">
        <f>IFERROR(__xludf.DUMMYFUNCTION("""COMPUTED_VALUE"""),3.0)</f>
        <v>3</v>
      </c>
      <c r="E305" s="2">
        <f>IFERROR(__xludf.DUMMYFUNCTION("""COMPUTED_VALUE"""),72.4)</f>
        <v>72.4</v>
      </c>
      <c r="F305" s="2">
        <f>IFERROR(__xludf.DUMMYFUNCTION("""COMPUTED_VALUE"""),2.0)</f>
        <v>2</v>
      </c>
      <c r="G305" s="2">
        <f>IFERROR(__xludf.DUMMYFUNCTION("""COMPUTED_VALUE"""),6.0)</f>
        <v>6</v>
      </c>
      <c r="H305" s="2" t="str">
        <f>IFERROR(__xludf.DUMMYFUNCTION("""COMPUTED_VALUE"""),"Specpr.")</f>
        <v>Specpr.</v>
      </c>
      <c r="I305" s="2" t="str">
        <f>IFERROR(__xludf.DUMMYFUNCTION("""COMPUTED_VALUE"""),"Brick")</f>
        <v>Brick</v>
      </c>
      <c r="J305" s="2" t="str">
        <f>IFERROR(__xludf.DUMMYFUNCTION("""COMPUTED_VALUE"""),"All amenities")</f>
        <v>All amenities</v>
      </c>
      <c r="K305" s="2">
        <f>IFERROR(__xludf.DUMMYFUNCTION("""COMPUTED_VALUE"""),85000.0)</f>
        <v>85000</v>
      </c>
      <c r="L305" s="2">
        <f>IFERROR(__xludf.DUMMYFUNCTION("""COMPUTED_VALUE"""),56.9607411)</f>
        <v>56.9607411</v>
      </c>
      <c r="M305" s="2">
        <f>IFERROR(__xludf.DUMMYFUNCTION("""COMPUTED_VALUE"""),24.1497716)</f>
        <v>24.1497716</v>
      </c>
    </row>
    <row r="306">
      <c r="A306" s="2" t="str">
        <f>IFERROR(__xludf.DUMMYFUNCTION("""COMPUTED_VALUE"""),"For rent")</f>
        <v>For rent</v>
      </c>
      <c r="B306" s="2" t="str">
        <f>IFERROR(__xludf.DUMMYFUNCTION("""COMPUTED_VALUE"""),"centrs")</f>
        <v>centrs</v>
      </c>
      <c r="C306" s="2" t="str">
        <f>IFERROR(__xludf.DUMMYFUNCTION("""COMPUTED_VALUE"""),"Rūpniecības 22")</f>
        <v>Rūpniecības 22</v>
      </c>
      <c r="D306" s="2">
        <f>IFERROR(__xludf.DUMMYFUNCTION("""COMPUTED_VALUE"""),3.0)</f>
        <v>3</v>
      </c>
      <c r="E306" s="2">
        <f>IFERROR(__xludf.DUMMYFUNCTION("""COMPUTED_VALUE"""),98.0)</f>
        <v>98</v>
      </c>
      <c r="F306" s="2">
        <f>IFERROR(__xludf.DUMMYFUNCTION("""COMPUTED_VALUE"""),6.0)</f>
        <v>6</v>
      </c>
      <c r="G306" s="2">
        <f>IFERROR(__xludf.DUMMYFUNCTION("""COMPUTED_VALUE"""),7.0)</f>
        <v>7</v>
      </c>
      <c r="H306" s="2" t="str">
        <f>IFERROR(__xludf.DUMMYFUNCTION("""COMPUTED_VALUE"""),"Specpr.")</f>
        <v>Specpr.</v>
      </c>
      <c r="I306" s="2" t="str">
        <f>IFERROR(__xludf.DUMMYFUNCTION("""COMPUTED_VALUE"""),"Brick")</f>
        <v>Brick</v>
      </c>
      <c r="J306" s="2" t="str">
        <f>IFERROR(__xludf.DUMMYFUNCTION("""COMPUTED_VALUE"""),"All amenities")</f>
        <v>All amenities</v>
      </c>
      <c r="K306" s="2">
        <f>IFERROR(__xludf.DUMMYFUNCTION("""COMPUTED_VALUE"""),750.0)</f>
        <v>750</v>
      </c>
      <c r="L306" s="2">
        <f>IFERROR(__xludf.DUMMYFUNCTION("""COMPUTED_VALUE"""),56.96134855)</f>
        <v>56.96134855</v>
      </c>
      <c r="M306" s="2">
        <f>IFERROR(__xludf.DUMMYFUNCTION("""COMPUTED_VALUE"""),24.1036355661932)</f>
        <v>24.10363557</v>
      </c>
    </row>
    <row r="307">
      <c r="A307" s="2" t="str">
        <f>IFERROR(__xludf.DUMMYFUNCTION("""COMPUTED_VALUE"""),"For rent")</f>
        <v>For rent</v>
      </c>
      <c r="B307" s="2" t="str">
        <f>IFERROR(__xludf.DUMMYFUNCTION("""COMPUTED_VALUE"""),"Jugla")</f>
        <v>Jugla</v>
      </c>
      <c r="C307" s="2" t="str">
        <f>IFERROR(__xludf.DUMMYFUNCTION("""COMPUTED_VALUE"""),"Vidzemes al. 1")</f>
        <v>Vidzemes al. 1</v>
      </c>
      <c r="D307" s="2">
        <f>IFERROR(__xludf.DUMMYFUNCTION("""COMPUTED_VALUE"""),2.0)</f>
        <v>2</v>
      </c>
      <c r="E307" s="2">
        <f>IFERROR(__xludf.DUMMYFUNCTION("""COMPUTED_VALUE"""),48.0)</f>
        <v>48</v>
      </c>
      <c r="F307" s="2">
        <f>IFERROR(__xludf.DUMMYFUNCTION("""COMPUTED_VALUE"""),8.0)</f>
        <v>8</v>
      </c>
      <c r="G307" s="2">
        <f>IFERROR(__xludf.DUMMYFUNCTION("""COMPUTED_VALUE"""),12.0)</f>
        <v>12</v>
      </c>
      <c r="H307" s="2" t="str">
        <f>IFERROR(__xludf.DUMMYFUNCTION("""COMPUTED_VALUE"""),"Čehu pr.")</f>
        <v>Čehu pr.</v>
      </c>
      <c r="I307" s="2" t="str">
        <f>IFERROR(__xludf.DUMMYFUNCTION("""COMPUTED_VALUE"""),"Brick-Panel")</f>
        <v>Brick-Panel</v>
      </c>
      <c r="J307" s="2" t="str">
        <f>IFERROR(__xludf.DUMMYFUNCTION("""COMPUTED_VALUE"""),"All amenities")</f>
        <v>All amenities</v>
      </c>
      <c r="K307" s="2">
        <f>IFERROR(__xludf.DUMMYFUNCTION("""COMPUTED_VALUE"""),320.0)</f>
        <v>320</v>
      </c>
      <c r="L307" s="2">
        <f>IFERROR(__xludf.DUMMYFUNCTION("""COMPUTED_VALUE"""),56.99359675)</f>
        <v>56.99359675</v>
      </c>
      <c r="M307" s="2">
        <f>IFERROR(__xludf.DUMMYFUNCTION("""COMPUTED_VALUE"""),24.2428441662371)</f>
        <v>24.24284417</v>
      </c>
    </row>
    <row r="308">
      <c r="A308" s="2" t="str">
        <f>IFERROR(__xludf.DUMMYFUNCTION("""COMPUTED_VALUE"""),"For rent")</f>
        <v>For rent</v>
      </c>
      <c r="B308" s="2" t="str">
        <f>IFERROR(__xludf.DUMMYFUNCTION("""COMPUTED_VALUE"""),"centrs")</f>
        <v>centrs</v>
      </c>
      <c r="C308" s="2" t="str">
        <f>IFERROR(__xludf.DUMMYFUNCTION("""COMPUTED_VALUE"""),"Krāsotāju 6")</f>
        <v>Krāsotāju 6</v>
      </c>
      <c r="D308" s="2">
        <f>IFERROR(__xludf.DUMMYFUNCTION("""COMPUTED_VALUE"""),3.0)</f>
        <v>3</v>
      </c>
      <c r="E308" s="2">
        <f>IFERROR(__xludf.DUMMYFUNCTION("""COMPUTED_VALUE"""),95.0)</f>
        <v>95</v>
      </c>
      <c r="F308" s="2">
        <f>IFERROR(__xludf.DUMMYFUNCTION("""COMPUTED_VALUE"""),4.0)</f>
        <v>4</v>
      </c>
      <c r="G308" s="2">
        <f>IFERROR(__xludf.DUMMYFUNCTION("""COMPUTED_VALUE"""),5.0)</f>
        <v>5</v>
      </c>
      <c r="H308" s="2" t="str">
        <f>IFERROR(__xludf.DUMMYFUNCTION("""COMPUTED_VALUE"""),"Jaun.")</f>
        <v>Jaun.</v>
      </c>
      <c r="I308" s="2" t="str">
        <f>IFERROR(__xludf.DUMMYFUNCTION("""COMPUTED_VALUE"""),"Masonry")</f>
        <v>Masonry</v>
      </c>
      <c r="J308" s="2" t="str">
        <f>IFERROR(__xludf.DUMMYFUNCTION("""COMPUTED_VALUE"""),"All amenities")</f>
        <v>All amenities</v>
      </c>
      <c r="K308" s="2">
        <f>IFERROR(__xludf.DUMMYFUNCTION("""COMPUTED_VALUE"""),550.0)</f>
        <v>550</v>
      </c>
      <c r="L308" s="2">
        <f>IFERROR(__xludf.DUMMYFUNCTION("""COMPUTED_VALUE"""),56.9539111499999)</f>
        <v>56.95391115</v>
      </c>
      <c r="M308" s="2">
        <f>IFERROR(__xludf.DUMMYFUNCTION("""COMPUTED_VALUE"""),24.1431538999999)</f>
        <v>24.1431539</v>
      </c>
    </row>
    <row r="309">
      <c r="A309" s="2" t="str">
        <f>IFERROR(__xludf.DUMMYFUNCTION("""COMPUTED_VALUE"""),"For sale")</f>
        <v>For sale</v>
      </c>
      <c r="B309" s="2" t="str">
        <f>IFERROR(__xludf.DUMMYFUNCTION("""COMPUTED_VALUE"""),"centrs")</f>
        <v>centrs</v>
      </c>
      <c r="C309" s="2" t="str">
        <f>IFERROR(__xludf.DUMMYFUNCTION("""COMPUTED_VALUE"""),"Elizabetes 57a")</f>
        <v>Elizabetes 57a</v>
      </c>
      <c r="D309" s="2">
        <f>IFERROR(__xludf.DUMMYFUNCTION("""COMPUTED_VALUE"""),3.0)</f>
        <v>3</v>
      </c>
      <c r="E309" s="2">
        <f>IFERROR(__xludf.DUMMYFUNCTION("""COMPUTED_VALUE"""),167.0)</f>
        <v>167</v>
      </c>
      <c r="F309" s="2">
        <f>IFERROR(__xludf.DUMMYFUNCTION("""COMPUTED_VALUE"""),1.0)</f>
        <v>1</v>
      </c>
      <c r="G309" s="2">
        <f>IFERROR(__xludf.DUMMYFUNCTION("""COMPUTED_VALUE"""),7.0)</f>
        <v>7</v>
      </c>
      <c r="H309" s="2" t="str">
        <f>IFERROR(__xludf.DUMMYFUNCTION("""COMPUTED_VALUE"""),"Renov.")</f>
        <v>Renov.</v>
      </c>
      <c r="I309" s="2" t="str">
        <f>IFERROR(__xludf.DUMMYFUNCTION("""COMPUTED_VALUE"""),"Brick-Panel")</f>
        <v>Brick-Panel</v>
      </c>
      <c r="J309" s="2" t="str">
        <f>IFERROR(__xludf.DUMMYFUNCTION("""COMPUTED_VALUE"""),"Without amenities")</f>
        <v>Without amenities</v>
      </c>
      <c r="K309" s="2">
        <f>IFERROR(__xludf.DUMMYFUNCTION("""COMPUTED_VALUE"""),19999.0)</f>
        <v>19999</v>
      </c>
      <c r="L309" s="2">
        <f>IFERROR(__xludf.DUMMYFUNCTION("""COMPUTED_VALUE"""),56.9540264)</f>
        <v>56.9540264</v>
      </c>
      <c r="M309" s="2">
        <f>IFERROR(__xludf.DUMMYFUNCTION("""COMPUTED_VALUE"""),24.1191334866356)</f>
        <v>24.11913349</v>
      </c>
    </row>
    <row r="310">
      <c r="A310" s="2" t="str">
        <f>IFERROR(__xludf.DUMMYFUNCTION("""COMPUTED_VALUE"""),"For sale")</f>
        <v>For sale</v>
      </c>
      <c r="B310" s="2" t="str">
        <f>IFERROR(__xludf.DUMMYFUNCTION("""COMPUTED_VALUE"""),"Jugla")</f>
        <v>Jugla</v>
      </c>
      <c r="C310" s="2" t="str">
        <f>IFERROR(__xludf.DUMMYFUNCTION("""COMPUTED_VALUE"""),"Juglas 23-18")</f>
        <v>Juglas 23-18</v>
      </c>
      <c r="D310" s="2">
        <f>IFERROR(__xludf.DUMMYFUNCTION("""COMPUTED_VALUE"""),2.0)</f>
        <v>2</v>
      </c>
      <c r="E310" s="2">
        <f>IFERROR(__xludf.DUMMYFUNCTION("""COMPUTED_VALUE"""),45.0)</f>
        <v>45</v>
      </c>
      <c r="F310" s="2">
        <f>IFERROR(__xludf.DUMMYFUNCTION("""COMPUTED_VALUE"""),5.0)</f>
        <v>5</v>
      </c>
      <c r="G310" s="2">
        <f>IFERROR(__xludf.DUMMYFUNCTION("""COMPUTED_VALUE"""),5.0)</f>
        <v>5</v>
      </c>
      <c r="H310" s="2" t="str">
        <f>IFERROR(__xludf.DUMMYFUNCTION("""COMPUTED_VALUE"""),"Hrušč.")</f>
        <v>Hrušč.</v>
      </c>
      <c r="I310" s="2" t="str">
        <f>IFERROR(__xludf.DUMMYFUNCTION("""COMPUTED_VALUE"""),"Panel")</f>
        <v>Panel</v>
      </c>
      <c r="J310" s="2" t="str">
        <f>IFERROR(__xludf.DUMMYFUNCTION("""COMPUTED_VALUE"""),"All amenities")</f>
        <v>All amenities</v>
      </c>
      <c r="K310" s="2">
        <f>IFERROR(__xludf.DUMMYFUNCTION("""COMPUTED_VALUE"""),29999.0)</f>
        <v>29999</v>
      </c>
      <c r="L310" s="2">
        <f>IFERROR(__xludf.DUMMYFUNCTION("""COMPUTED_VALUE"""),56.9761694)</f>
        <v>56.9761694</v>
      </c>
      <c r="M310" s="2">
        <f>IFERROR(__xludf.DUMMYFUNCTION("""COMPUTED_VALUE"""),24.2544503)</f>
        <v>24.2544503</v>
      </c>
    </row>
    <row r="311">
      <c r="A311" s="2" t="str">
        <f>IFERROR(__xludf.DUMMYFUNCTION("""COMPUTED_VALUE"""),"For rent")</f>
        <v>For rent</v>
      </c>
      <c r="B311" s="2" t="str">
        <f>IFERROR(__xludf.DUMMYFUNCTION("""COMPUTED_VALUE"""),"centrs")</f>
        <v>centrs</v>
      </c>
      <c r="C311" s="2" t="str">
        <f>IFERROR(__xludf.DUMMYFUNCTION("""COMPUTED_VALUE"""),"Sadovņikova 47")</f>
        <v>Sadovņikova 47</v>
      </c>
      <c r="D311" s="2">
        <f>IFERROR(__xludf.DUMMYFUNCTION("""COMPUTED_VALUE"""),1.0)</f>
        <v>1</v>
      </c>
      <c r="E311" s="2">
        <f>IFERROR(__xludf.DUMMYFUNCTION("""COMPUTED_VALUE"""),19.0)</f>
        <v>19</v>
      </c>
      <c r="F311" s="2">
        <f>IFERROR(__xludf.DUMMYFUNCTION("""COMPUTED_VALUE"""),3.0)</f>
        <v>3</v>
      </c>
      <c r="G311" s="2">
        <f>IFERROR(__xludf.DUMMYFUNCTION("""COMPUTED_VALUE"""),5.0)</f>
        <v>5</v>
      </c>
      <c r="H311" s="2" t="str">
        <f>IFERROR(__xludf.DUMMYFUNCTION("""COMPUTED_VALUE"""),"P. kara")</f>
        <v>P. kara</v>
      </c>
      <c r="I311" s="2" t="str">
        <f>IFERROR(__xludf.DUMMYFUNCTION("""COMPUTED_VALUE"""),"Brick")</f>
        <v>Brick</v>
      </c>
      <c r="J311" s="2" t="str">
        <f>IFERROR(__xludf.DUMMYFUNCTION("""COMPUTED_VALUE"""),"Partial amenities")</f>
        <v>Partial amenities</v>
      </c>
      <c r="K311" s="2">
        <f>IFERROR(__xludf.DUMMYFUNCTION("""COMPUTED_VALUE"""),180.0)</f>
        <v>180</v>
      </c>
      <c r="L311" s="2">
        <f>IFERROR(__xludf.DUMMYFUNCTION("""COMPUTED_VALUE"""),56.9408555)</f>
        <v>56.9408555</v>
      </c>
      <c r="M311" s="2">
        <f>IFERROR(__xludf.DUMMYFUNCTION("""COMPUTED_VALUE"""),24.1364923)</f>
        <v>24.1364923</v>
      </c>
    </row>
    <row r="312">
      <c r="A312" s="2" t="str">
        <f>IFERROR(__xludf.DUMMYFUNCTION("""COMPUTED_VALUE"""),"For rent")</f>
        <v>For rent</v>
      </c>
      <c r="B312" s="2" t="str">
        <f>IFERROR(__xludf.DUMMYFUNCTION("""COMPUTED_VALUE"""),"Krasta r-ns")</f>
        <v>Krasta r-ns</v>
      </c>
      <c r="C312" s="2" t="str">
        <f>IFERROR(__xludf.DUMMYFUNCTION("""COMPUTED_VALUE"""),"Salacas 1")</f>
        <v>Salacas 1</v>
      </c>
      <c r="D312" s="2">
        <f>IFERROR(__xludf.DUMMYFUNCTION("""COMPUTED_VALUE"""),1.0)</f>
        <v>1</v>
      </c>
      <c r="E312" s="2">
        <f>IFERROR(__xludf.DUMMYFUNCTION("""COMPUTED_VALUE"""),36.0)</f>
        <v>36</v>
      </c>
      <c r="F312" s="2">
        <f>IFERROR(__xludf.DUMMYFUNCTION("""COMPUTED_VALUE"""),3.0)</f>
        <v>3</v>
      </c>
      <c r="G312" s="2">
        <f>IFERROR(__xludf.DUMMYFUNCTION("""COMPUTED_VALUE"""),4.0)</f>
        <v>4</v>
      </c>
      <c r="H312" s="2" t="str">
        <f>IFERROR(__xludf.DUMMYFUNCTION("""COMPUTED_VALUE"""),"Renov.")</f>
        <v>Renov.</v>
      </c>
      <c r="I312" s="2" t="str">
        <f>IFERROR(__xludf.DUMMYFUNCTION("""COMPUTED_VALUE"""),"Brick-Panel")</f>
        <v>Brick-Panel</v>
      </c>
      <c r="J312" s="2" t="str">
        <f>IFERROR(__xludf.DUMMYFUNCTION("""COMPUTED_VALUE"""),"All amenities")</f>
        <v>All amenities</v>
      </c>
      <c r="K312" s="2">
        <f>IFERROR(__xludf.DUMMYFUNCTION("""COMPUTED_VALUE"""),55.0)</f>
        <v>55</v>
      </c>
      <c r="L312" s="2">
        <f>IFERROR(__xludf.DUMMYFUNCTION("""COMPUTED_VALUE"""),56.93045135)</f>
        <v>56.93045135</v>
      </c>
      <c r="M312" s="2">
        <f>IFERROR(__xludf.DUMMYFUNCTION("""COMPUTED_VALUE"""),24.1685884402146)</f>
        <v>24.16858844</v>
      </c>
    </row>
    <row r="313">
      <c r="A313" s="2" t="str">
        <f>IFERROR(__xludf.DUMMYFUNCTION("""COMPUTED_VALUE"""),"For rent")</f>
        <v>For rent</v>
      </c>
      <c r="B313" s="2" t="str">
        <f>IFERROR(__xludf.DUMMYFUNCTION("""COMPUTED_VALUE"""),"Krasta r-ns")</f>
        <v>Krasta r-ns</v>
      </c>
      <c r="C313" s="2" t="str">
        <f>IFERROR(__xludf.DUMMYFUNCTION("""COMPUTED_VALUE"""),"Salacas 1")</f>
        <v>Salacas 1</v>
      </c>
      <c r="D313" s="2">
        <f>IFERROR(__xludf.DUMMYFUNCTION("""COMPUTED_VALUE"""),1.0)</f>
        <v>1</v>
      </c>
      <c r="E313" s="2">
        <f>IFERROR(__xludf.DUMMYFUNCTION("""COMPUTED_VALUE"""),23.0)</f>
        <v>23</v>
      </c>
      <c r="F313" s="2">
        <f>IFERROR(__xludf.DUMMYFUNCTION("""COMPUTED_VALUE"""),1.0)</f>
        <v>1</v>
      </c>
      <c r="G313" s="2">
        <f>IFERROR(__xludf.DUMMYFUNCTION("""COMPUTED_VALUE"""),4.0)</f>
        <v>4</v>
      </c>
      <c r="H313" s="2" t="str">
        <f>IFERROR(__xludf.DUMMYFUNCTION("""COMPUTED_VALUE"""),"Renov.")</f>
        <v>Renov.</v>
      </c>
      <c r="I313" s="2" t="str">
        <f>IFERROR(__xludf.DUMMYFUNCTION("""COMPUTED_VALUE"""),"Brick")</f>
        <v>Brick</v>
      </c>
      <c r="J313" s="2" t="str">
        <f>IFERROR(__xludf.DUMMYFUNCTION("""COMPUTED_VALUE"""),"All amenities")</f>
        <v>All amenities</v>
      </c>
      <c r="K313" s="2">
        <f>IFERROR(__xludf.DUMMYFUNCTION("""COMPUTED_VALUE"""),220.0)</f>
        <v>220</v>
      </c>
      <c r="L313" s="2">
        <f>IFERROR(__xludf.DUMMYFUNCTION("""COMPUTED_VALUE"""),56.93045135)</f>
        <v>56.93045135</v>
      </c>
      <c r="M313" s="2">
        <f>IFERROR(__xludf.DUMMYFUNCTION("""COMPUTED_VALUE"""),24.1685884402146)</f>
        <v>24.16858844</v>
      </c>
    </row>
    <row r="314">
      <c r="A314" s="2" t="str">
        <f>IFERROR(__xludf.DUMMYFUNCTION("""COMPUTED_VALUE"""),"For sale")</f>
        <v>For sale</v>
      </c>
      <c r="B314" s="2" t="str">
        <f>IFERROR(__xludf.DUMMYFUNCTION("""COMPUTED_VALUE"""),"centrs")</f>
        <v>centrs</v>
      </c>
      <c r="C314" s="2" t="str">
        <f>IFERROR(__xludf.DUMMYFUNCTION("""COMPUTED_VALUE"""),"Birznieka-Upīša 10")</f>
        <v>Birznieka-Upīša 10</v>
      </c>
      <c r="D314" s="2">
        <f>IFERROR(__xludf.DUMMYFUNCTION("""COMPUTED_VALUE"""),3.0)</f>
        <v>3</v>
      </c>
      <c r="E314" s="2">
        <f>IFERROR(__xludf.DUMMYFUNCTION("""COMPUTED_VALUE"""),71.0)</f>
        <v>71</v>
      </c>
      <c r="F314" s="2">
        <f>IFERROR(__xludf.DUMMYFUNCTION("""COMPUTED_VALUE"""),2.0)</f>
        <v>2</v>
      </c>
      <c r="G314" s="2">
        <f>IFERROR(__xludf.DUMMYFUNCTION("""COMPUTED_VALUE"""),5.0)</f>
        <v>5</v>
      </c>
      <c r="H314" s="2" t="str">
        <f>IFERROR(__xludf.DUMMYFUNCTION("""COMPUTED_VALUE"""),"Renov.")</f>
        <v>Renov.</v>
      </c>
      <c r="I314" s="2" t="str">
        <f>IFERROR(__xludf.DUMMYFUNCTION("""COMPUTED_VALUE"""),"Masonry")</f>
        <v>Masonry</v>
      </c>
      <c r="J314" s="2" t="str">
        <f>IFERROR(__xludf.DUMMYFUNCTION("""COMPUTED_VALUE"""),"All amenities")</f>
        <v>All amenities</v>
      </c>
      <c r="K314" s="2">
        <f>IFERROR(__xludf.DUMMYFUNCTION("""COMPUTED_VALUE"""),159750.0)</f>
        <v>159750</v>
      </c>
      <c r="L314" s="2">
        <f>IFERROR(__xludf.DUMMYFUNCTION("""COMPUTED_VALUE"""),56.9488745)</f>
        <v>56.9488745</v>
      </c>
      <c r="M314" s="2">
        <f>IFERROR(__xludf.DUMMYFUNCTION("""COMPUTED_VALUE"""),24.1266027446091)</f>
        <v>24.12660274</v>
      </c>
    </row>
    <row r="315">
      <c r="A315" s="2" t="str">
        <f>IFERROR(__xludf.DUMMYFUNCTION("""COMPUTED_VALUE"""),"For rent")</f>
        <v>For rent</v>
      </c>
      <c r="B315" s="2" t="str">
        <f>IFERROR(__xludf.DUMMYFUNCTION("""COMPUTED_VALUE"""),"Āgenskalns")</f>
        <v>Āgenskalns</v>
      </c>
      <c r="C315" s="2" t="str">
        <f>IFERROR(__xludf.DUMMYFUNCTION("""COMPUTED_VALUE"""),"Mūkusalas 25")</f>
        <v>Mūkusalas 25</v>
      </c>
      <c r="D315" s="2">
        <f>IFERROR(__xludf.DUMMYFUNCTION("""COMPUTED_VALUE"""),2.0)</f>
        <v>2</v>
      </c>
      <c r="E315" s="2">
        <f>IFERROR(__xludf.DUMMYFUNCTION("""COMPUTED_VALUE"""),49.0)</f>
        <v>49</v>
      </c>
      <c r="F315" s="2">
        <f>IFERROR(__xludf.DUMMYFUNCTION("""COMPUTED_VALUE"""),3.0)</f>
        <v>3</v>
      </c>
      <c r="G315" s="2">
        <f>IFERROR(__xludf.DUMMYFUNCTION("""COMPUTED_VALUE"""),6.0)</f>
        <v>6</v>
      </c>
      <c r="H315" s="2" t="str">
        <f>IFERROR(__xludf.DUMMYFUNCTION("""COMPUTED_VALUE"""),"Jaun.")</f>
        <v>Jaun.</v>
      </c>
      <c r="I315" s="2" t="str">
        <f>IFERROR(__xludf.DUMMYFUNCTION("""COMPUTED_VALUE"""),"Panel-Brick")</f>
        <v>Panel-Brick</v>
      </c>
      <c r="J315" s="2" t="str">
        <f>IFERROR(__xludf.DUMMYFUNCTION("""COMPUTED_VALUE"""),"All amenities")</f>
        <v>All amenities</v>
      </c>
      <c r="K315" s="2">
        <f>IFERROR(__xludf.DUMMYFUNCTION("""COMPUTED_VALUE"""),650.0)</f>
        <v>650</v>
      </c>
      <c r="L315" s="2">
        <f>IFERROR(__xludf.DUMMYFUNCTION("""COMPUTED_VALUE"""),56.9374039)</f>
        <v>56.9374039</v>
      </c>
      <c r="M315" s="2">
        <f>IFERROR(__xludf.DUMMYFUNCTION("""COMPUTED_VALUE"""),24.101176263114)</f>
        <v>24.10117626</v>
      </c>
    </row>
    <row r="316">
      <c r="A316" s="2" t="str">
        <f>IFERROR(__xludf.DUMMYFUNCTION("""COMPUTED_VALUE"""),"For sale")</f>
        <v>For sale</v>
      </c>
      <c r="B316" s="2" t="str">
        <f>IFERROR(__xludf.DUMMYFUNCTION("""COMPUTED_VALUE"""),"Vecrīga")</f>
        <v>Vecrīga</v>
      </c>
      <c r="C316" s="2" t="str">
        <f>IFERROR(__xludf.DUMMYFUNCTION("""COMPUTED_VALUE"""),"Peitavas 5")</f>
        <v>Peitavas 5</v>
      </c>
      <c r="D316" s="2">
        <f>IFERROR(__xludf.DUMMYFUNCTION("""COMPUTED_VALUE"""),3.0)</f>
        <v>3</v>
      </c>
      <c r="E316" s="2">
        <f>IFERROR(__xludf.DUMMYFUNCTION("""COMPUTED_VALUE"""),91.0)</f>
        <v>91</v>
      </c>
      <c r="F316" s="2">
        <f>IFERROR(__xludf.DUMMYFUNCTION("""COMPUTED_VALUE"""),3.0)</f>
        <v>3</v>
      </c>
      <c r="G316" s="2">
        <f>IFERROR(__xludf.DUMMYFUNCTION("""COMPUTED_VALUE"""),5.0)</f>
        <v>5</v>
      </c>
      <c r="H316" s="2" t="str">
        <f>IFERROR(__xludf.DUMMYFUNCTION("""COMPUTED_VALUE"""),"P. kara")</f>
        <v>P. kara</v>
      </c>
      <c r="I316" s="2" t="str">
        <f>IFERROR(__xludf.DUMMYFUNCTION("""COMPUTED_VALUE"""),"Masonry")</f>
        <v>Masonry</v>
      </c>
      <c r="J316" s="2" t="str">
        <f>IFERROR(__xludf.DUMMYFUNCTION("""COMPUTED_VALUE"""),"All amenities")</f>
        <v>All amenities</v>
      </c>
      <c r="K316" s="2">
        <f>IFERROR(__xludf.DUMMYFUNCTION("""COMPUTED_VALUE"""),164000.0)</f>
        <v>164000</v>
      </c>
      <c r="L316" s="2">
        <f>IFERROR(__xludf.DUMMYFUNCTION("""COMPUTED_VALUE"""),56.9462191)</f>
        <v>56.9462191</v>
      </c>
      <c r="M316" s="2">
        <f>IFERROR(__xludf.DUMMYFUNCTION("""COMPUTED_VALUE"""),24.1099153)</f>
        <v>24.1099153</v>
      </c>
    </row>
    <row r="317">
      <c r="A317" s="2" t="str">
        <f>IFERROR(__xludf.DUMMYFUNCTION("""COMPUTED_VALUE"""),"For sale")</f>
        <v>For sale</v>
      </c>
      <c r="B317" s="2" t="str">
        <f>IFERROR(__xludf.DUMMYFUNCTION("""COMPUTED_VALUE"""),"Imanta")</f>
        <v>Imanta</v>
      </c>
      <c r="C317" s="2" t="str">
        <f>IFERROR(__xludf.DUMMYFUNCTION("""COMPUTED_VALUE"""),"Dammes 13")</f>
        <v>Dammes 13</v>
      </c>
      <c r="D317" s="2">
        <f>IFERROR(__xludf.DUMMYFUNCTION("""COMPUTED_VALUE"""),2.0)</f>
        <v>2</v>
      </c>
      <c r="E317" s="2">
        <f>IFERROR(__xludf.DUMMYFUNCTION("""COMPUTED_VALUE"""),50.0)</f>
        <v>50</v>
      </c>
      <c r="F317" s="2">
        <f>IFERROR(__xludf.DUMMYFUNCTION("""COMPUTED_VALUE"""),1.0)</f>
        <v>1</v>
      </c>
      <c r="G317" s="2">
        <f>IFERROR(__xludf.DUMMYFUNCTION("""COMPUTED_VALUE"""),9.0)</f>
        <v>9</v>
      </c>
      <c r="H317" s="2">
        <f>IFERROR(__xludf.DUMMYFUNCTION("""COMPUTED_VALUE"""),602.0)</f>
        <v>602</v>
      </c>
      <c r="I317" s="2" t="str">
        <f>IFERROR(__xludf.DUMMYFUNCTION("""COMPUTED_VALUE"""),"Panel")</f>
        <v>Panel</v>
      </c>
      <c r="J317" s="2" t="str">
        <f>IFERROR(__xludf.DUMMYFUNCTION("""COMPUTED_VALUE"""),"All amenities")</f>
        <v>All amenities</v>
      </c>
      <c r="K317" s="2">
        <f>IFERROR(__xludf.DUMMYFUNCTION("""COMPUTED_VALUE"""),41700.0)</f>
        <v>41700</v>
      </c>
      <c r="L317" s="2">
        <f>IFERROR(__xludf.DUMMYFUNCTION("""COMPUTED_VALUE"""),56.9618014)</f>
        <v>56.9618014</v>
      </c>
      <c r="M317" s="2">
        <f>IFERROR(__xludf.DUMMYFUNCTION("""COMPUTED_VALUE"""),24.0106912730601)</f>
        <v>24.01069127</v>
      </c>
    </row>
    <row r="318">
      <c r="A318" s="2" t="str">
        <f>IFERROR(__xludf.DUMMYFUNCTION("""COMPUTED_VALUE"""),"For sale")</f>
        <v>For sale</v>
      </c>
      <c r="B318" s="2" t="str">
        <f>IFERROR(__xludf.DUMMYFUNCTION("""COMPUTED_VALUE"""),"Zolitūde")</f>
        <v>Zolitūde</v>
      </c>
      <c r="C318" s="2" t="str">
        <f>IFERROR(__xludf.DUMMYFUNCTION("""COMPUTED_VALUE"""),"Gramzdas 80")</f>
        <v>Gramzdas 80</v>
      </c>
      <c r="D318" s="2">
        <f>IFERROR(__xludf.DUMMYFUNCTION("""COMPUTED_VALUE"""),4.0)</f>
        <v>4</v>
      </c>
      <c r="E318" s="2">
        <f>IFERROR(__xludf.DUMMYFUNCTION("""COMPUTED_VALUE"""),176.0)</f>
        <v>176</v>
      </c>
      <c r="F318" s="2">
        <f>IFERROR(__xludf.DUMMYFUNCTION("""COMPUTED_VALUE"""),4.0)</f>
        <v>4</v>
      </c>
      <c r="G318" s="2">
        <f>IFERROR(__xludf.DUMMYFUNCTION("""COMPUTED_VALUE"""),4.0)</f>
        <v>4</v>
      </c>
      <c r="H318" s="2" t="str">
        <f>IFERROR(__xludf.DUMMYFUNCTION("""COMPUTED_VALUE"""),"Jaun.")</f>
        <v>Jaun.</v>
      </c>
      <c r="I318" s="2" t="str">
        <f>IFERROR(__xludf.DUMMYFUNCTION("""COMPUTED_VALUE"""),"Brick-Panel")</f>
        <v>Brick-Panel</v>
      </c>
      <c r="J318" s="2" t="str">
        <f>IFERROR(__xludf.DUMMYFUNCTION("""COMPUTED_VALUE"""),"All amenities")</f>
        <v>All amenities</v>
      </c>
      <c r="K318" s="2">
        <f>IFERROR(__xludf.DUMMYFUNCTION("""COMPUTED_VALUE"""),168000.0)</f>
        <v>168000</v>
      </c>
      <c r="L318" s="2">
        <f>IFERROR(__xludf.DUMMYFUNCTION("""COMPUTED_VALUE"""),56.94145735)</f>
        <v>56.94145735</v>
      </c>
      <c r="M318" s="2">
        <f>IFERROR(__xludf.DUMMYFUNCTION("""COMPUTED_VALUE"""),24.0030188392346)</f>
        <v>24.00301884</v>
      </c>
    </row>
    <row r="319">
      <c r="A319" s="2" t="str">
        <f>IFERROR(__xludf.DUMMYFUNCTION("""COMPUTED_VALUE"""),"For rent")</f>
        <v>For rent</v>
      </c>
      <c r="B319" s="2" t="str">
        <f>IFERROR(__xludf.DUMMYFUNCTION("""COMPUTED_VALUE"""),"centrs")</f>
        <v>centrs</v>
      </c>
      <c r="C319" s="2" t="str">
        <f>IFERROR(__xludf.DUMMYFUNCTION("""COMPUTED_VALUE"""),"Terēzes 8")</f>
        <v>Terēzes 8</v>
      </c>
      <c r="D319" s="2">
        <f>IFERROR(__xludf.DUMMYFUNCTION("""COMPUTED_VALUE"""),1.0)</f>
        <v>1</v>
      </c>
      <c r="E319" s="2">
        <f>IFERROR(__xludf.DUMMYFUNCTION("""COMPUTED_VALUE"""),28.0)</f>
        <v>28</v>
      </c>
      <c r="F319" s="2">
        <f>IFERROR(__xludf.DUMMYFUNCTION("""COMPUTED_VALUE"""),2.0)</f>
        <v>2</v>
      </c>
      <c r="G319" s="2">
        <f>IFERROR(__xludf.DUMMYFUNCTION("""COMPUTED_VALUE"""),5.0)</f>
        <v>5</v>
      </c>
      <c r="H319" s="2" t="str">
        <f>IFERROR(__xludf.DUMMYFUNCTION("""COMPUTED_VALUE"""),"Renov.")</f>
        <v>Renov.</v>
      </c>
      <c r="I319" s="2" t="str">
        <f>IFERROR(__xludf.DUMMYFUNCTION("""COMPUTED_VALUE"""),"Brick")</f>
        <v>Brick</v>
      </c>
      <c r="J319" s="2" t="str">
        <f>IFERROR(__xludf.DUMMYFUNCTION("""COMPUTED_VALUE"""),"All amenities")</f>
        <v>All amenities</v>
      </c>
      <c r="K319" s="2">
        <f>IFERROR(__xludf.DUMMYFUNCTION("""COMPUTED_VALUE"""),260.0)</f>
        <v>260</v>
      </c>
      <c r="L319" s="2">
        <f>IFERROR(__xludf.DUMMYFUNCTION("""COMPUTED_VALUE"""),56.9619582)</f>
        <v>56.9619582</v>
      </c>
      <c r="M319" s="2">
        <f>IFERROR(__xludf.DUMMYFUNCTION("""COMPUTED_VALUE"""),24.1500928445067)</f>
        <v>24.15009284</v>
      </c>
    </row>
    <row r="320">
      <c r="A320" s="2" t="str">
        <f>IFERROR(__xludf.DUMMYFUNCTION("""COMPUTED_VALUE"""),"For sale")</f>
        <v>For sale</v>
      </c>
      <c r="B320" s="2" t="str">
        <f>IFERROR(__xludf.DUMMYFUNCTION("""COMPUTED_VALUE"""),"centrs")</f>
        <v>centrs</v>
      </c>
      <c r="C320" s="2" t="str">
        <f>IFERROR(__xludf.DUMMYFUNCTION("""COMPUTED_VALUE"""),"Bruņinieku 68a")</f>
        <v>Bruņinieku 68a</v>
      </c>
      <c r="D320" s="2">
        <f>IFERROR(__xludf.DUMMYFUNCTION("""COMPUTED_VALUE"""),2.0)</f>
        <v>2</v>
      </c>
      <c r="E320" s="2">
        <f>IFERROR(__xludf.DUMMYFUNCTION("""COMPUTED_VALUE"""),45.0)</f>
        <v>45</v>
      </c>
      <c r="F320" s="2">
        <f>IFERROR(__xludf.DUMMYFUNCTION("""COMPUTED_VALUE"""),2.0)</f>
        <v>2</v>
      </c>
      <c r="G320" s="2">
        <f>IFERROR(__xludf.DUMMYFUNCTION("""COMPUTED_VALUE"""),4.0)</f>
        <v>4</v>
      </c>
      <c r="H320" s="2" t="str">
        <f>IFERROR(__xludf.DUMMYFUNCTION("""COMPUTED_VALUE"""),"P. kara")</f>
        <v>P. kara</v>
      </c>
      <c r="I320" s="2" t="str">
        <f>IFERROR(__xludf.DUMMYFUNCTION("""COMPUTED_VALUE"""),"Brick")</f>
        <v>Brick</v>
      </c>
      <c r="J320" s="2" t="str">
        <f>IFERROR(__xludf.DUMMYFUNCTION("""COMPUTED_VALUE"""),"All amenities")</f>
        <v>All amenities</v>
      </c>
      <c r="K320" s="2">
        <f>IFERROR(__xludf.DUMMYFUNCTION("""COMPUTED_VALUE"""),43500.0)</f>
        <v>43500</v>
      </c>
      <c r="L320" s="2">
        <f>IFERROR(__xludf.DUMMYFUNCTION("""COMPUTED_VALUE"""),56.952567)</f>
        <v>56.952567</v>
      </c>
      <c r="M320" s="2">
        <f>IFERROR(__xludf.DUMMYFUNCTION("""COMPUTED_VALUE"""),24.1378884)</f>
        <v>24.1378884</v>
      </c>
    </row>
    <row r="321">
      <c r="A321" s="2" t="str">
        <f>IFERROR(__xludf.DUMMYFUNCTION("""COMPUTED_VALUE"""),"For rent")</f>
        <v>For rent</v>
      </c>
      <c r="B321" s="2" t="str">
        <f>IFERROR(__xludf.DUMMYFUNCTION("""COMPUTED_VALUE"""),"Imanta")</f>
        <v>Imanta</v>
      </c>
      <c r="C321" s="2" t="str">
        <f>IFERROR(__xludf.DUMMYFUNCTION("""COMPUTED_VALUE"""),"Anniņmuižas bulvāris 41")</f>
        <v>Anniņmuižas bulvāris 41</v>
      </c>
      <c r="D321" s="2">
        <f>IFERROR(__xludf.DUMMYFUNCTION("""COMPUTED_VALUE"""),3.0)</f>
        <v>3</v>
      </c>
      <c r="E321" s="2">
        <f>IFERROR(__xludf.DUMMYFUNCTION("""COMPUTED_VALUE"""),95.0)</f>
        <v>95</v>
      </c>
      <c r="F321" s="2">
        <f>IFERROR(__xludf.DUMMYFUNCTION("""COMPUTED_VALUE"""),18.0)</f>
        <v>18</v>
      </c>
      <c r="G321" s="2">
        <f>IFERROR(__xludf.DUMMYFUNCTION("""COMPUTED_VALUE"""),24.0)</f>
        <v>24</v>
      </c>
      <c r="H321" s="2" t="str">
        <f>IFERROR(__xludf.DUMMYFUNCTION("""COMPUTED_VALUE"""),"Jaun.")</f>
        <v>Jaun.</v>
      </c>
      <c r="I321" s="2" t="str">
        <f>IFERROR(__xludf.DUMMYFUNCTION("""COMPUTED_VALUE"""),"Panel-Brick")</f>
        <v>Panel-Brick</v>
      </c>
      <c r="J321" s="2" t="str">
        <f>IFERROR(__xludf.DUMMYFUNCTION("""COMPUTED_VALUE"""),"All amenities")</f>
        <v>All amenities</v>
      </c>
      <c r="K321" s="2">
        <f>IFERROR(__xludf.DUMMYFUNCTION("""COMPUTED_VALUE"""),550.0)</f>
        <v>550</v>
      </c>
      <c r="L321" s="2">
        <f>IFERROR(__xludf.DUMMYFUNCTION("""COMPUTED_VALUE"""),56.95959205)</f>
        <v>56.95959205</v>
      </c>
      <c r="M321" s="2">
        <f>IFERROR(__xludf.DUMMYFUNCTION("""COMPUTED_VALUE"""),24.0147522499219)</f>
        <v>24.01475225</v>
      </c>
    </row>
    <row r="322">
      <c r="A322" s="2" t="str">
        <f>IFERROR(__xludf.DUMMYFUNCTION("""COMPUTED_VALUE"""),"For rent")</f>
        <v>For rent</v>
      </c>
      <c r="B322" s="2" t="str">
        <f>IFERROR(__xludf.DUMMYFUNCTION("""COMPUTED_VALUE"""),"Imanta")</f>
        <v>Imanta</v>
      </c>
      <c r="C322" s="2" t="str">
        <f>IFERROR(__xludf.DUMMYFUNCTION("""COMPUTED_VALUE"""),"Anniņmuižas bulvāris 41")</f>
        <v>Anniņmuižas bulvāris 41</v>
      </c>
      <c r="D322" s="2">
        <f>IFERROR(__xludf.DUMMYFUNCTION("""COMPUTED_VALUE"""),3.0)</f>
        <v>3</v>
      </c>
      <c r="E322" s="2">
        <f>IFERROR(__xludf.DUMMYFUNCTION("""COMPUTED_VALUE"""),96.0)</f>
        <v>96</v>
      </c>
      <c r="F322" s="2">
        <f>IFERROR(__xludf.DUMMYFUNCTION("""COMPUTED_VALUE"""),6.0)</f>
        <v>6</v>
      </c>
      <c r="G322" s="2">
        <f>IFERROR(__xludf.DUMMYFUNCTION("""COMPUTED_VALUE"""),24.0)</f>
        <v>24</v>
      </c>
      <c r="H322" s="2" t="str">
        <f>IFERROR(__xludf.DUMMYFUNCTION("""COMPUTED_VALUE"""),"Jaun.")</f>
        <v>Jaun.</v>
      </c>
      <c r="I322" s="2" t="str">
        <f>IFERROR(__xludf.DUMMYFUNCTION("""COMPUTED_VALUE"""),"Panel-Brick")</f>
        <v>Panel-Brick</v>
      </c>
      <c r="J322" s="2" t="str">
        <f>IFERROR(__xludf.DUMMYFUNCTION("""COMPUTED_VALUE"""),"All amenities")</f>
        <v>All amenities</v>
      </c>
      <c r="K322" s="2">
        <f>IFERROR(__xludf.DUMMYFUNCTION("""COMPUTED_VALUE"""),550.0)</f>
        <v>550</v>
      </c>
      <c r="L322" s="2">
        <f>IFERROR(__xludf.DUMMYFUNCTION("""COMPUTED_VALUE"""),56.95959205)</f>
        <v>56.95959205</v>
      </c>
      <c r="M322" s="2">
        <f>IFERROR(__xludf.DUMMYFUNCTION("""COMPUTED_VALUE"""),24.0147522499219)</f>
        <v>24.01475225</v>
      </c>
    </row>
    <row r="323">
      <c r="A323" s="2" t="str">
        <f>IFERROR(__xludf.DUMMYFUNCTION("""COMPUTED_VALUE"""),"For sale")</f>
        <v>For sale</v>
      </c>
      <c r="B323" s="2" t="str">
        <f>IFERROR(__xludf.DUMMYFUNCTION("""COMPUTED_VALUE"""),"Āgenskalns")</f>
        <v>Āgenskalns</v>
      </c>
      <c r="C323" s="2" t="str">
        <f>IFERROR(__xludf.DUMMYFUNCTION("""COMPUTED_VALUE"""),"Mūkusalas 25")</f>
        <v>Mūkusalas 25</v>
      </c>
      <c r="D323" s="2">
        <f>IFERROR(__xludf.DUMMYFUNCTION("""COMPUTED_VALUE"""),4.0)</f>
        <v>4</v>
      </c>
      <c r="E323" s="2">
        <f>IFERROR(__xludf.DUMMYFUNCTION("""COMPUTED_VALUE"""),170.0)</f>
        <v>170</v>
      </c>
      <c r="F323" s="2">
        <f>IFERROR(__xludf.DUMMYFUNCTION("""COMPUTED_VALUE"""),5.0)</f>
        <v>5</v>
      </c>
      <c r="G323" s="2">
        <f>IFERROR(__xludf.DUMMYFUNCTION("""COMPUTED_VALUE"""),6.0)</f>
        <v>6</v>
      </c>
      <c r="H323" s="2" t="str">
        <f>IFERROR(__xludf.DUMMYFUNCTION("""COMPUTED_VALUE"""),"Jaun.")</f>
        <v>Jaun.</v>
      </c>
      <c r="I323" s="2" t="str">
        <f>IFERROR(__xludf.DUMMYFUNCTION("""COMPUTED_VALUE"""),"Masonry")</f>
        <v>Masonry</v>
      </c>
      <c r="J323" s="2" t="str">
        <f>IFERROR(__xludf.DUMMYFUNCTION("""COMPUTED_VALUE"""),"All amenities")</f>
        <v>All amenities</v>
      </c>
      <c r="K323" s="2">
        <f>IFERROR(__xludf.DUMMYFUNCTION("""COMPUTED_VALUE"""),270000.0)</f>
        <v>270000</v>
      </c>
      <c r="L323" s="2">
        <f>IFERROR(__xludf.DUMMYFUNCTION("""COMPUTED_VALUE"""),56.9374039)</f>
        <v>56.9374039</v>
      </c>
      <c r="M323" s="2">
        <f>IFERROR(__xludf.DUMMYFUNCTION("""COMPUTED_VALUE"""),24.101176263114)</f>
        <v>24.10117626</v>
      </c>
    </row>
    <row r="324">
      <c r="A324" s="2" t="str">
        <f>IFERROR(__xludf.DUMMYFUNCTION("""COMPUTED_VALUE"""),"For sale")</f>
        <v>For sale</v>
      </c>
      <c r="B324" s="2" t="str">
        <f>IFERROR(__xludf.DUMMYFUNCTION("""COMPUTED_VALUE"""),"Purvciems")</f>
        <v>Purvciems</v>
      </c>
      <c r="C324" s="2" t="str">
        <f>IFERROR(__xludf.DUMMYFUNCTION("""COMPUTED_VALUE"""),"Pūces 45")</f>
        <v>Pūces 45</v>
      </c>
      <c r="D324" s="2">
        <f>IFERROR(__xludf.DUMMYFUNCTION("""COMPUTED_VALUE"""),3.0)</f>
        <v>3</v>
      </c>
      <c r="E324" s="2">
        <f>IFERROR(__xludf.DUMMYFUNCTION("""COMPUTED_VALUE"""),95.0)</f>
        <v>95</v>
      </c>
      <c r="F324" s="2">
        <f>IFERROR(__xludf.DUMMYFUNCTION("""COMPUTED_VALUE"""),6.0)</f>
        <v>6</v>
      </c>
      <c r="G324" s="2">
        <f>IFERROR(__xludf.DUMMYFUNCTION("""COMPUTED_VALUE"""),7.0)</f>
        <v>7</v>
      </c>
      <c r="H324" s="2" t="str">
        <f>IFERROR(__xludf.DUMMYFUNCTION("""COMPUTED_VALUE"""),"Jaun.")</f>
        <v>Jaun.</v>
      </c>
      <c r="I324" s="2" t="str">
        <f>IFERROR(__xludf.DUMMYFUNCTION("""COMPUTED_VALUE"""),"Masonry")</f>
        <v>Masonry</v>
      </c>
      <c r="J324" s="2" t="str">
        <f>IFERROR(__xludf.DUMMYFUNCTION("""COMPUTED_VALUE"""),"All amenities")</f>
        <v>All amenities</v>
      </c>
      <c r="K324" s="2">
        <f>IFERROR(__xludf.DUMMYFUNCTION("""COMPUTED_VALUE"""),148000.0)</f>
        <v>148000</v>
      </c>
      <c r="L324" s="2">
        <f>IFERROR(__xludf.DUMMYFUNCTION("""COMPUTED_VALUE"""),56.9527285)</f>
        <v>56.9527285</v>
      </c>
      <c r="M324" s="2">
        <f>IFERROR(__xludf.DUMMYFUNCTION("""COMPUTED_VALUE"""),24.1907987106043)</f>
        <v>24.19079871</v>
      </c>
    </row>
    <row r="325">
      <c r="A325" s="2" t="str">
        <f>IFERROR(__xludf.DUMMYFUNCTION("""COMPUTED_VALUE"""),"For rent")</f>
        <v>For rent</v>
      </c>
      <c r="B325" s="2" t="str">
        <f>IFERROR(__xludf.DUMMYFUNCTION("""COMPUTED_VALUE"""),"Maskavas priekšpilsēta")</f>
        <v>Maskavas priekšpilsēta</v>
      </c>
      <c r="C325" s="2" t="str">
        <f>IFERROR(__xludf.DUMMYFUNCTION("""COMPUTED_VALUE"""),"Daugavpils 8")</f>
        <v>Daugavpils 8</v>
      </c>
      <c r="D325" s="2">
        <f>IFERROR(__xludf.DUMMYFUNCTION("""COMPUTED_VALUE"""),1.0)</f>
        <v>1</v>
      </c>
      <c r="E325" s="2">
        <f>IFERROR(__xludf.DUMMYFUNCTION("""COMPUTED_VALUE"""),15.0)</f>
        <v>15</v>
      </c>
      <c r="F325" s="2">
        <f>IFERROR(__xludf.DUMMYFUNCTION("""COMPUTED_VALUE"""),1.0)</f>
        <v>1</v>
      </c>
      <c r="G325" s="2">
        <f>IFERROR(__xludf.DUMMYFUNCTION("""COMPUTED_VALUE"""),2.0)</f>
        <v>2</v>
      </c>
      <c r="H325" s="2" t="str">
        <f>IFERROR(__xludf.DUMMYFUNCTION("""COMPUTED_VALUE"""),"P. kara")</f>
        <v>P. kara</v>
      </c>
      <c r="I325" s="2" t="str">
        <f>IFERROR(__xludf.DUMMYFUNCTION("""COMPUTED_VALUE"""),"Wood")</f>
        <v>Wood</v>
      </c>
      <c r="J325" s="2" t="str">
        <f>IFERROR(__xludf.DUMMYFUNCTION("""COMPUTED_VALUE"""),"All amenities")</f>
        <v>All amenities</v>
      </c>
      <c r="K325" s="2">
        <f>IFERROR(__xludf.DUMMYFUNCTION("""COMPUTED_VALUE"""),150.0)</f>
        <v>150</v>
      </c>
      <c r="L325" s="2">
        <f>IFERROR(__xludf.DUMMYFUNCTION("""COMPUTED_VALUE"""),56.9398925)</f>
        <v>56.9398925</v>
      </c>
      <c r="M325" s="2">
        <f>IFERROR(__xludf.DUMMYFUNCTION("""COMPUTED_VALUE"""),24.1414198548449)</f>
        <v>24.14141985</v>
      </c>
    </row>
    <row r="326">
      <c r="A326" s="2" t="str">
        <f>IFERROR(__xludf.DUMMYFUNCTION("""COMPUTED_VALUE"""),"For rent")</f>
        <v>For rent</v>
      </c>
      <c r="B326" s="2" t="str">
        <f>IFERROR(__xludf.DUMMYFUNCTION("""COMPUTED_VALUE"""),"Iļģuciems")</f>
        <v>Iļģuciems</v>
      </c>
      <c r="C326" s="2" t="str">
        <f>IFERROR(__xludf.DUMMYFUNCTION("""COMPUTED_VALUE"""),"Stūres 2")</f>
        <v>Stūres 2</v>
      </c>
      <c r="D326" s="2">
        <f>IFERROR(__xludf.DUMMYFUNCTION("""COMPUTED_VALUE"""),1.0)</f>
        <v>1</v>
      </c>
      <c r="E326" s="2">
        <f>IFERROR(__xludf.DUMMYFUNCTION("""COMPUTED_VALUE"""),18.0)</f>
        <v>18</v>
      </c>
      <c r="F326" s="2">
        <f>IFERROR(__xludf.DUMMYFUNCTION("""COMPUTED_VALUE"""),2.0)</f>
        <v>2</v>
      </c>
      <c r="G326" s="2">
        <f>IFERROR(__xludf.DUMMYFUNCTION("""COMPUTED_VALUE"""),5.0)</f>
        <v>5</v>
      </c>
      <c r="H326" s="2" t="str">
        <f>IFERROR(__xludf.DUMMYFUNCTION("""COMPUTED_VALUE"""),"M. ģim.")</f>
        <v>M. ģim.</v>
      </c>
      <c r="I326" s="2" t="str">
        <f>IFERROR(__xludf.DUMMYFUNCTION("""COMPUTED_VALUE"""),"Panel")</f>
        <v>Panel</v>
      </c>
      <c r="J326" s="2" t="str">
        <f>IFERROR(__xludf.DUMMYFUNCTION("""COMPUTED_VALUE"""),"Partial amenities")</f>
        <v>Partial amenities</v>
      </c>
      <c r="K326" s="2">
        <f>IFERROR(__xludf.DUMMYFUNCTION("""COMPUTED_VALUE"""),70.0)</f>
        <v>70</v>
      </c>
      <c r="L326" s="2">
        <f>IFERROR(__xludf.DUMMYFUNCTION("""COMPUTED_VALUE"""),56.9692203)</f>
        <v>56.9692203</v>
      </c>
      <c r="M326" s="2">
        <f>IFERROR(__xludf.DUMMYFUNCTION("""COMPUTED_VALUE"""),24.0694937318141)</f>
        <v>24.06949373</v>
      </c>
    </row>
    <row r="327">
      <c r="A327" s="2" t="str">
        <f>IFERROR(__xludf.DUMMYFUNCTION("""COMPUTED_VALUE"""),"For sale")</f>
        <v>For sale</v>
      </c>
      <c r="B327" s="2" t="str">
        <f>IFERROR(__xludf.DUMMYFUNCTION("""COMPUTED_VALUE"""),"centrs")</f>
        <v>centrs</v>
      </c>
      <c r="C327" s="2" t="str">
        <f>IFERROR(__xludf.DUMMYFUNCTION("""COMPUTED_VALUE"""),"Ausekļa 8")</f>
        <v>Ausekļa 8</v>
      </c>
      <c r="D327" s="2">
        <f>IFERROR(__xludf.DUMMYFUNCTION("""COMPUTED_VALUE"""),2.0)</f>
        <v>2</v>
      </c>
      <c r="E327" s="2">
        <f>IFERROR(__xludf.DUMMYFUNCTION("""COMPUTED_VALUE"""),53.0)</f>
        <v>53</v>
      </c>
      <c r="F327" s="2">
        <f>IFERROR(__xludf.DUMMYFUNCTION("""COMPUTED_VALUE"""),5.0)</f>
        <v>5</v>
      </c>
      <c r="G327" s="2">
        <f>IFERROR(__xludf.DUMMYFUNCTION("""COMPUTED_VALUE"""),6.0)</f>
        <v>6</v>
      </c>
      <c r="H327" s="2" t="str">
        <f>IFERROR(__xludf.DUMMYFUNCTION("""COMPUTED_VALUE"""),"Specpr.")</f>
        <v>Specpr.</v>
      </c>
      <c r="I327" s="2" t="str">
        <f>IFERROR(__xludf.DUMMYFUNCTION("""COMPUTED_VALUE"""),"Brick-Panel")</f>
        <v>Brick-Panel</v>
      </c>
      <c r="J327" s="2" t="str">
        <f>IFERROR(__xludf.DUMMYFUNCTION("""COMPUTED_VALUE"""),"All amenities")</f>
        <v>All amenities</v>
      </c>
      <c r="K327" s="2">
        <f>IFERROR(__xludf.DUMMYFUNCTION("""COMPUTED_VALUE"""),107000.0)</f>
        <v>107000</v>
      </c>
      <c r="L327" s="2">
        <f>IFERROR(__xludf.DUMMYFUNCTION("""COMPUTED_VALUE"""),56.9606806)</f>
        <v>56.9606806</v>
      </c>
      <c r="M327" s="2">
        <f>IFERROR(__xludf.DUMMYFUNCTION("""COMPUTED_VALUE"""),24.1003622)</f>
        <v>24.1003622</v>
      </c>
    </row>
    <row r="328">
      <c r="A328" s="2" t="str">
        <f>IFERROR(__xludf.DUMMYFUNCTION("""COMPUTED_VALUE"""),"For sale")</f>
        <v>For sale</v>
      </c>
      <c r="B328" s="2" t="str">
        <f>IFERROR(__xludf.DUMMYFUNCTION("""COMPUTED_VALUE"""),"Ziepniekkalns")</f>
        <v>Ziepniekkalns</v>
      </c>
      <c r="C328" s="2" t="str">
        <f>IFERROR(__xludf.DUMMYFUNCTION("""COMPUTED_VALUE"""),"Graudu 29")</f>
        <v>Graudu 29</v>
      </c>
      <c r="D328" s="2">
        <f>IFERROR(__xludf.DUMMYFUNCTION("""COMPUTED_VALUE"""),4.0)</f>
        <v>4</v>
      </c>
      <c r="E328" s="2">
        <f>IFERROR(__xludf.DUMMYFUNCTION("""COMPUTED_VALUE"""),109.0)</f>
        <v>109</v>
      </c>
      <c r="F328" s="2">
        <f>IFERROR(__xludf.DUMMYFUNCTION("""COMPUTED_VALUE"""),3.0)</f>
        <v>3</v>
      </c>
      <c r="G328" s="2">
        <f>IFERROR(__xludf.DUMMYFUNCTION("""COMPUTED_VALUE"""),4.0)</f>
        <v>4</v>
      </c>
      <c r="H328" s="2" t="str">
        <f>IFERROR(__xludf.DUMMYFUNCTION("""COMPUTED_VALUE"""),"Jaun.")</f>
        <v>Jaun.</v>
      </c>
      <c r="I328" s="2" t="str">
        <f>IFERROR(__xludf.DUMMYFUNCTION("""COMPUTED_VALUE"""),"Masonry")</f>
        <v>Masonry</v>
      </c>
      <c r="J328" s="2" t="str">
        <f>IFERROR(__xludf.DUMMYFUNCTION("""COMPUTED_VALUE"""),"All amenities")</f>
        <v>All amenities</v>
      </c>
      <c r="K328" s="2">
        <f>IFERROR(__xludf.DUMMYFUNCTION("""COMPUTED_VALUE"""),185300.0)</f>
        <v>185300</v>
      </c>
      <c r="L328" s="2">
        <f>IFERROR(__xludf.DUMMYFUNCTION("""COMPUTED_VALUE"""),56.91000915)</f>
        <v>56.91000915</v>
      </c>
      <c r="M328" s="2">
        <f>IFERROR(__xludf.DUMMYFUNCTION("""COMPUTED_VALUE"""),24.0991443013819)</f>
        <v>24.0991443</v>
      </c>
    </row>
    <row r="329">
      <c r="A329" s="2" t="str">
        <f>IFERROR(__xludf.DUMMYFUNCTION("""COMPUTED_VALUE"""),"For sale")</f>
        <v>For sale</v>
      </c>
      <c r="B329" s="2" t="str">
        <f>IFERROR(__xludf.DUMMYFUNCTION("""COMPUTED_VALUE"""),"Āgenskalns")</f>
        <v>Āgenskalns</v>
      </c>
      <c r="C329" s="2" t="str">
        <f>IFERROR(__xludf.DUMMYFUNCTION("""COMPUTED_VALUE"""),"Lielirbes 13")</f>
        <v>Lielirbes 13</v>
      </c>
      <c r="D329" s="2">
        <f>IFERROR(__xludf.DUMMYFUNCTION("""COMPUTED_VALUE"""),2.0)</f>
        <v>2</v>
      </c>
      <c r="E329" s="2">
        <f>IFERROR(__xludf.DUMMYFUNCTION("""COMPUTED_VALUE"""),67.0)</f>
        <v>67</v>
      </c>
      <c r="F329" s="2">
        <f>IFERROR(__xludf.DUMMYFUNCTION("""COMPUTED_VALUE"""),9.0)</f>
        <v>9</v>
      </c>
      <c r="G329" s="2">
        <f>IFERROR(__xludf.DUMMYFUNCTION("""COMPUTED_VALUE"""),30.0)</f>
        <v>30</v>
      </c>
      <c r="H329" s="2" t="str">
        <f>IFERROR(__xludf.DUMMYFUNCTION("""COMPUTED_VALUE"""),"Jaun.")</f>
        <v>Jaun.</v>
      </c>
      <c r="I329" s="2" t="str">
        <f>IFERROR(__xludf.DUMMYFUNCTION("""COMPUTED_VALUE"""),"Masonry")</f>
        <v>Masonry</v>
      </c>
      <c r="J329" s="2" t="str">
        <f>IFERROR(__xludf.DUMMYFUNCTION("""COMPUTED_VALUE"""),"All amenities")</f>
        <v>All amenities</v>
      </c>
      <c r="K329" s="2">
        <f>IFERROR(__xludf.DUMMYFUNCTION("""COMPUTED_VALUE"""),99875.0)</f>
        <v>99875</v>
      </c>
      <c r="L329" s="2">
        <f>IFERROR(__xludf.DUMMYFUNCTION("""COMPUTED_VALUE"""),56.9334996)</f>
        <v>56.9334996</v>
      </c>
      <c r="M329" s="2">
        <f>IFERROR(__xludf.DUMMYFUNCTION("""COMPUTED_VALUE"""),24.0424848)</f>
        <v>24.0424848</v>
      </c>
    </row>
    <row r="330">
      <c r="A330" s="2" t="str">
        <f>IFERROR(__xludf.DUMMYFUNCTION("""COMPUTED_VALUE"""),"For sale")</f>
        <v>For sale</v>
      </c>
      <c r="B330" s="2" t="str">
        <f>IFERROR(__xludf.DUMMYFUNCTION("""COMPUTED_VALUE"""),"centrs")</f>
        <v>centrs</v>
      </c>
      <c r="C330" s="2" t="str">
        <f>IFERROR(__xludf.DUMMYFUNCTION("""COMPUTED_VALUE"""),"11. novembra krastm. 11")</f>
        <v>11. novembra krastm. 11</v>
      </c>
      <c r="D330" s="2">
        <f>IFERROR(__xludf.DUMMYFUNCTION("""COMPUTED_VALUE"""),4.0)</f>
        <v>4</v>
      </c>
      <c r="E330" s="2">
        <f>IFERROR(__xludf.DUMMYFUNCTION("""COMPUTED_VALUE"""),170.0)</f>
        <v>170</v>
      </c>
      <c r="F330" s="2">
        <f>IFERROR(__xludf.DUMMYFUNCTION("""COMPUTED_VALUE"""),5.0)</f>
        <v>5</v>
      </c>
      <c r="G330" s="2">
        <f>IFERROR(__xludf.DUMMYFUNCTION("""COMPUTED_VALUE"""),6.0)</f>
        <v>6</v>
      </c>
      <c r="H330" s="2" t="str">
        <f>IFERROR(__xludf.DUMMYFUNCTION("""COMPUTED_VALUE"""),"Jaun.")</f>
        <v>Jaun.</v>
      </c>
      <c r="I330" s="2" t="str">
        <f>IFERROR(__xludf.DUMMYFUNCTION("""COMPUTED_VALUE"""),"Masonry")</f>
        <v>Masonry</v>
      </c>
      <c r="J330" s="2" t="str">
        <f>IFERROR(__xludf.DUMMYFUNCTION("""COMPUTED_VALUE"""),"All amenities")</f>
        <v>All amenities</v>
      </c>
      <c r="K330" s="2">
        <f>IFERROR(__xludf.DUMMYFUNCTION("""COMPUTED_VALUE"""),270000.0)</f>
        <v>270000</v>
      </c>
      <c r="L330" s="2" t="str">
        <f>IFERROR(__xludf.DUMMYFUNCTION("""COMPUTED_VALUE"""),"NaN")</f>
        <v>NaN</v>
      </c>
      <c r="M330" s="2" t="str">
        <f>IFERROR(__xludf.DUMMYFUNCTION("""COMPUTED_VALUE"""),"NaN")</f>
        <v>NaN</v>
      </c>
    </row>
    <row r="331">
      <c r="A331" s="2" t="str">
        <f>IFERROR(__xludf.DUMMYFUNCTION("""COMPUTED_VALUE"""),"For sale")</f>
        <v>For sale</v>
      </c>
      <c r="B331" s="2" t="str">
        <f>IFERROR(__xludf.DUMMYFUNCTION("""COMPUTED_VALUE"""),"centrs")</f>
        <v>centrs</v>
      </c>
      <c r="C331" s="2" t="str">
        <f>IFERROR(__xludf.DUMMYFUNCTION("""COMPUTED_VALUE"""),"Avotu 4")</f>
        <v>Avotu 4</v>
      </c>
      <c r="D331" s="2">
        <f>IFERROR(__xludf.DUMMYFUNCTION("""COMPUTED_VALUE"""),2.0)</f>
        <v>2</v>
      </c>
      <c r="E331" s="2">
        <f>IFERROR(__xludf.DUMMYFUNCTION("""COMPUTED_VALUE"""),34.8)</f>
        <v>34.8</v>
      </c>
      <c r="F331" s="2">
        <f>IFERROR(__xludf.DUMMYFUNCTION("""COMPUTED_VALUE"""),2.0)</f>
        <v>2</v>
      </c>
      <c r="G331" s="2">
        <f>IFERROR(__xludf.DUMMYFUNCTION("""COMPUTED_VALUE"""),5.0)</f>
        <v>5</v>
      </c>
      <c r="H331" s="2" t="str">
        <f>IFERROR(__xludf.DUMMYFUNCTION("""COMPUTED_VALUE"""),"Renov.")</f>
        <v>Renov.</v>
      </c>
      <c r="I331" s="2" t="str">
        <f>IFERROR(__xludf.DUMMYFUNCTION("""COMPUTED_VALUE"""),"Masonry")</f>
        <v>Masonry</v>
      </c>
      <c r="J331" s="2" t="str">
        <f>IFERROR(__xludf.DUMMYFUNCTION("""COMPUTED_VALUE"""),"All amenities")</f>
        <v>All amenities</v>
      </c>
      <c r="K331" s="2">
        <f>IFERROR(__xludf.DUMMYFUNCTION("""COMPUTED_VALUE"""),59000.0)</f>
        <v>59000</v>
      </c>
      <c r="L331" s="2">
        <f>IFERROR(__xludf.DUMMYFUNCTION("""COMPUTED_VALUE"""),56.9508163)</f>
        <v>56.9508163</v>
      </c>
      <c r="M331" s="2">
        <f>IFERROR(__xludf.DUMMYFUNCTION("""COMPUTED_VALUE"""),24.1271389)</f>
        <v>24.1271389</v>
      </c>
    </row>
    <row r="332">
      <c r="A332" s="2" t="str">
        <f>IFERROR(__xludf.DUMMYFUNCTION("""COMPUTED_VALUE"""),"For rent")</f>
        <v>For rent</v>
      </c>
      <c r="B332" s="2" t="str">
        <f>IFERROR(__xludf.DUMMYFUNCTION("""COMPUTED_VALUE"""),"Mežciems")</f>
        <v>Mežciems</v>
      </c>
      <c r="C332" s="2" t="str">
        <f>IFERROR(__xludf.DUMMYFUNCTION("""COMPUTED_VALUE"""),"Kaivas 50")</f>
        <v>Kaivas 50</v>
      </c>
      <c r="D332" s="2">
        <f>IFERROR(__xludf.DUMMYFUNCTION("""COMPUTED_VALUE"""),1.0)</f>
        <v>1</v>
      </c>
      <c r="E332" s="2">
        <f>IFERROR(__xludf.DUMMYFUNCTION("""COMPUTED_VALUE"""),35.0)</f>
        <v>35</v>
      </c>
      <c r="F332" s="2">
        <f>IFERROR(__xludf.DUMMYFUNCTION("""COMPUTED_VALUE"""),5.0)</f>
        <v>5</v>
      </c>
      <c r="G332" s="2">
        <f>IFERROR(__xludf.DUMMYFUNCTION("""COMPUTED_VALUE"""),5.0)</f>
        <v>5</v>
      </c>
      <c r="H332" s="2" t="str">
        <f>IFERROR(__xludf.DUMMYFUNCTION("""COMPUTED_VALUE"""),"Jaun.")</f>
        <v>Jaun.</v>
      </c>
      <c r="I332" s="2" t="str">
        <f>IFERROR(__xludf.DUMMYFUNCTION("""COMPUTED_VALUE"""),"Panel-Brick")</f>
        <v>Panel-Brick</v>
      </c>
      <c r="J332" s="2" t="str">
        <f>IFERROR(__xludf.DUMMYFUNCTION("""COMPUTED_VALUE"""),"All amenities")</f>
        <v>All amenities</v>
      </c>
      <c r="K332" s="2">
        <f>IFERROR(__xludf.DUMMYFUNCTION("""COMPUTED_VALUE"""),300.0)</f>
        <v>300</v>
      </c>
      <c r="L332" s="2">
        <f>IFERROR(__xludf.DUMMYFUNCTION("""COMPUTED_VALUE"""),56.95546705)</f>
        <v>56.95546705</v>
      </c>
      <c r="M332" s="2">
        <f>IFERROR(__xludf.DUMMYFUNCTION("""COMPUTED_VALUE"""),24.24181865)</f>
        <v>24.24181865</v>
      </c>
    </row>
    <row r="333">
      <c r="A333" s="2" t="str">
        <f>IFERROR(__xludf.DUMMYFUNCTION("""COMPUTED_VALUE"""),"For rent")</f>
        <v>For rent</v>
      </c>
      <c r="B333" s="2" t="str">
        <f>IFERROR(__xludf.DUMMYFUNCTION("""COMPUTED_VALUE"""),"Bolderāja")</f>
        <v>Bolderāja</v>
      </c>
      <c r="C333" s="2" t="str">
        <f>IFERROR(__xludf.DUMMYFUNCTION("""COMPUTED_VALUE"""),"Gobas 29")</f>
        <v>Gobas 29</v>
      </c>
      <c r="D333" s="2">
        <f>IFERROR(__xludf.DUMMYFUNCTION("""COMPUTED_VALUE"""),2.0)</f>
        <v>2</v>
      </c>
      <c r="E333" s="2">
        <f>IFERROR(__xludf.DUMMYFUNCTION("""COMPUTED_VALUE"""),60.0)</f>
        <v>60</v>
      </c>
      <c r="F333" s="2">
        <f>IFERROR(__xludf.DUMMYFUNCTION("""COMPUTED_VALUE"""),4.0)</f>
        <v>4</v>
      </c>
      <c r="G333" s="2">
        <f>IFERROR(__xludf.DUMMYFUNCTION("""COMPUTED_VALUE"""),5.0)</f>
        <v>5</v>
      </c>
      <c r="H333" s="2" t="str">
        <f>IFERROR(__xludf.DUMMYFUNCTION("""COMPUTED_VALUE"""),"Specpr.")</f>
        <v>Specpr.</v>
      </c>
      <c r="I333" s="2" t="str">
        <f>IFERROR(__xludf.DUMMYFUNCTION("""COMPUTED_VALUE"""),"Brick")</f>
        <v>Brick</v>
      </c>
      <c r="J333" s="2" t="str">
        <f>IFERROR(__xludf.DUMMYFUNCTION("""COMPUTED_VALUE"""),"All amenities")</f>
        <v>All amenities</v>
      </c>
      <c r="K333" s="2">
        <f>IFERROR(__xludf.DUMMYFUNCTION("""COMPUTED_VALUE"""),220.0)</f>
        <v>220</v>
      </c>
      <c r="L333" s="2">
        <f>IFERROR(__xludf.DUMMYFUNCTION("""COMPUTED_VALUE"""),57.03086935)</f>
        <v>57.03086935</v>
      </c>
      <c r="M333" s="2">
        <f>IFERROR(__xludf.DUMMYFUNCTION("""COMPUTED_VALUE"""),24.053887004109)</f>
        <v>24.053887</v>
      </c>
    </row>
    <row r="334">
      <c r="A334" s="2" t="str">
        <f>IFERROR(__xludf.DUMMYFUNCTION("""COMPUTED_VALUE"""),"For sale")</f>
        <v>For sale</v>
      </c>
      <c r="B334" s="2" t="str">
        <f>IFERROR(__xludf.DUMMYFUNCTION("""COMPUTED_VALUE"""),"centrs")</f>
        <v>centrs</v>
      </c>
      <c r="C334" s="2" t="str">
        <f>IFERROR(__xludf.DUMMYFUNCTION("""COMPUTED_VALUE"""),"Barona 14")</f>
        <v>Barona 14</v>
      </c>
      <c r="D334" s="2">
        <f>IFERROR(__xludf.DUMMYFUNCTION("""COMPUTED_VALUE"""),2.0)</f>
        <v>2</v>
      </c>
      <c r="E334" s="2">
        <f>IFERROR(__xludf.DUMMYFUNCTION("""COMPUTED_VALUE"""),40.3)</f>
        <v>40.3</v>
      </c>
      <c r="F334" s="2">
        <f>IFERROR(__xludf.DUMMYFUNCTION("""COMPUTED_VALUE"""),5.0)</f>
        <v>5</v>
      </c>
      <c r="G334" s="2">
        <f>IFERROR(__xludf.DUMMYFUNCTION("""COMPUTED_VALUE"""),5.0)</f>
        <v>5</v>
      </c>
      <c r="H334" s="2" t="str">
        <f>IFERROR(__xludf.DUMMYFUNCTION("""COMPUTED_VALUE"""),"Renov.")</f>
        <v>Renov.</v>
      </c>
      <c r="I334" s="2" t="str">
        <f>IFERROR(__xludf.DUMMYFUNCTION("""COMPUTED_VALUE"""),"Masonry")</f>
        <v>Masonry</v>
      </c>
      <c r="J334" s="2" t="str">
        <f>IFERROR(__xludf.DUMMYFUNCTION("""COMPUTED_VALUE"""),"All amenities")</f>
        <v>All amenities</v>
      </c>
      <c r="K334" s="2">
        <f>IFERROR(__xludf.DUMMYFUNCTION("""COMPUTED_VALUE"""),79000.0)</f>
        <v>79000</v>
      </c>
      <c r="L334" s="2">
        <f>IFERROR(__xludf.DUMMYFUNCTION("""COMPUTED_VALUE"""),56.9506147)</f>
        <v>56.9506147</v>
      </c>
      <c r="M334" s="2">
        <f>IFERROR(__xludf.DUMMYFUNCTION("""COMPUTED_VALUE"""),24.1212313)</f>
        <v>24.1212313</v>
      </c>
    </row>
    <row r="335">
      <c r="A335" s="2" t="str">
        <f>IFERROR(__xludf.DUMMYFUNCTION("""COMPUTED_VALUE"""),"For sale")</f>
        <v>For sale</v>
      </c>
      <c r="B335" s="2" t="str">
        <f>IFERROR(__xludf.DUMMYFUNCTION("""COMPUTED_VALUE"""),"centrs")</f>
        <v>centrs</v>
      </c>
      <c r="C335" s="2" t="str">
        <f>IFERROR(__xludf.DUMMYFUNCTION("""COMPUTED_VALUE"""),"Barona 14")</f>
        <v>Barona 14</v>
      </c>
      <c r="D335" s="2">
        <f>IFERROR(__xludf.DUMMYFUNCTION("""COMPUTED_VALUE"""),2.0)</f>
        <v>2</v>
      </c>
      <c r="E335" s="2">
        <f>IFERROR(__xludf.DUMMYFUNCTION("""COMPUTED_VALUE"""),35.0)</f>
        <v>35</v>
      </c>
      <c r="F335" s="2">
        <f>IFERROR(__xludf.DUMMYFUNCTION("""COMPUTED_VALUE"""),4.0)</f>
        <v>4</v>
      </c>
      <c r="G335" s="2">
        <f>IFERROR(__xludf.DUMMYFUNCTION("""COMPUTED_VALUE"""),5.0)</f>
        <v>5</v>
      </c>
      <c r="H335" s="2" t="str">
        <f>IFERROR(__xludf.DUMMYFUNCTION("""COMPUTED_VALUE"""),"Renov.")</f>
        <v>Renov.</v>
      </c>
      <c r="I335" s="2" t="str">
        <f>IFERROR(__xludf.DUMMYFUNCTION("""COMPUTED_VALUE"""),"Masonry")</f>
        <v>Masonry</v>
      </c>
      <c r="J335" s="2" t="str">
        <f>IFERROR(__xludf.DUMMYFUNCTION("""COMPUTED_VALUE"""),"All amenities")</f>
        <v>All amenities</v>
      </c>
      <c r="K335" s="2">
        <f>IFERROR(__xludf.DUMMYFUNCTION("""COMPUTED_VALUE"""),69000.0)</f>
        <v>69000</v>
      </c>
      <c r="L335" s="2">
        <f>IFERROR(__xludf.DUMMYFUNCTION("""COMPUTED_VALUE"""),56.9506147)</f>
        <v>56.9506147</v>
      </c>
      <c r="M335" s="2">
        <f>IFERROR(__xludf.DUMMYFUNCTION("""COMPUTED_VALUE"""),24.1212313)</f>
        <v>24.1212313</v>
      </c>
    </row>
    <row r="336">
      <c r="A336" s="2" t="str">
        <f>IFERROR(__xludf.DUMMYFUNCTION("""COMPUTED_VALUE"""),"For sale")</f>
        <v>For sale</v>
      </c>
      <c r="B336" s="2" t="str">
        <f>IFERROR(__xludf.DUMMYFUNCTION("""COMPUTED_VALUE"""),"Āgenskalns")</f>
        <v>Āgenskalns</v>
      </c>
      <c r="C336" s="2" t="str">
        <f>IFERROR(__xludf.DUMMYFUNCTION("""COMPUTED_VALUE"""),"Kalnciema 57")</f>
        <v>Kalnciema 57</v>
      </c>
      <c r="D336" s="2">
        <f>IFERROR(__xludf.DUMMYFUNCTION("""COMPUTED_VALUE"""),2.0)</f>
        <v>2</v>
      </c>
      <c r="E336" s="2">
        <f>IFERROR(__xludf.DUMMYFUNCTION("""COMPUTED_VALUE"""),52.0)</f>
        <v>52</v>
      </c>
      <c r="F336" s="2">
        <f>IFERROR(__xludf.DUMMYFUNCTION("""COMPUTED_VALUE"""),4.0)</f>
        <v>4</v>
      </c>
      <c r="G336" s="2">
        <f>IFERROR(__xludf.DUMMYFUNCTION("""COMPUTED_VALUE"""),4.0)</f>
        <v>4</v>
      </c>
      <c r="H336" s="2" t="str">
        <f>IFERROR(__xludf.DUMMYFUNCTION("""COMPUTED_VALUE"""),"Staļina")</f>
        <v>Staļina</v>
      </c>
      <c r="I336" s="2" t="str">
        <f>IFERROR(__xludf.DUMMYFUNCTION("""COMPUTED_VALUE"""),"Masonry")</f>
        <v>Masonry</v>
      </c>
      <c r="J336" s="2" t="str">
        <f>IFERROR(__xludf.DUMMYFUNCTION("""COMPUTED_VALUE"""),"All amenities")</f>
        <v>All amenities</v>
      </c>
      <c r="K336" s="2">
        <f>IFERROR(__xludf.DUMMYFUNCTION("""COMPUTED_VALUE"""),55000.0)</f>
        <v>55000</v>
      </c>
      <c r="L336" s="2">
        <f>IFERROR(__xludf.DUMMYFUNCTION("""COMPUTED_VALUE"""),56.94119075)</f>
        <v>56.94119075</v>
      </c>
      <c r="M336" s="2">
        <f>IFERROR(__xludf.DUMMYFUNCTION("""COMPUTED_VALUE"""),24.0586801411692)</f>
        <v>24.05868014</v>
      </c>
    </row>
    <row r="337">
      <c r="A337" s="2" t="str">
        <f>IFERROR(__xludf.DUMMYFUNCTION("""COMPUTED_VALUE"""),"For sale")</f>
        <v>For sale</v>
      </c>
      <c r="B337" s="2" t="str">
        <f>IFERROR(__xludf.DUMMYFUNCTION("""COMPUTED_VALUE"""),"Vecrīga")</f>
        <v>Vecrīga</v>
      </c>
      <c r="C337" s="2" t="str">
        <f>IFERROR(__xludf.DUMMYFUNCTION("""COMPUTED_VALUE"""),"Laipu 6")</f>
        <v>Laipu 6</v>
      </c>
      <c r="D337" s="2">
        <f>IFERROR(__xludf.DUMMYFUNCTION("""COMPUTED_VALUE"""),1.0)</f>
        <v>1</v>
      </c>
      <c r="E337" s="2">
        <f>IFERROR(__xludf.DUMMYFUNCTION("""COMPUTED_VALUE"""),25.0)</f>
        <v>25</v>
      </c>
      <c r="F337" s="2">
        <f>IFERROR(__xludf.DUMMYFUNCTION("""COMPUTED_VALUE"""),3.0)</f>
        <v>3</v>
      </c>
      <c r="G337" s="2">
        <f>IFERROR(__xludf.DUMMYFUNCTION("""COMPUTED_VALUE"""),5.0)</f>
        <v>5</v>
      </c>
      <c r="H337" s="2" t="str">
        <f>IFERROR(__xludf.DUMMYFUNCTION("""COMPUTED_VALUE"""),"P. kara")</f>
        <v>P. kara</v>
      </c>
      <c r="I337" s="2" t="str">
        <f>IFERROR(__xludf.DUMMYFUNCTION("""COMPUTED_VALUE"""),"Masonry")</f>
        <v>Masonry</v>
      </c>
      <c r="J337" s="2" t="str">
        <f>IFERROR(__xludf.DUMMYFUNCTION("""COMPUTED_VALUE"""),"All amenities")</f>
        <v>All amenities</v>
      </c>
      <c r="K337" s="2">
        <f>IFERROR(__xludf.DUMMYFUNCTION("""COMPUTED_VALUE"""),82500.0)</f>
        <v>82500</v>
      </c>
      <c r="L337" s="2">
        <f>IFERROR(__xludf.DUMMYFUNCTION("""COMPUTED_VALUE"""),56.9490258)</f>
        <v>56.9490258</v>
      </c>
      <c r="M337" s="2">
        <f>IFERROR(__xludf.DUMMYFUNCTION("""COMPUTED_VALUE"""),24.1082352486735)</f>
        <v>24.10823525</v>
      </c>
    </row>
    <row r="338">
      <c r="A338" s="2" t="str">
        <f>IFERROR(__xludf.DUMMYFUNCTION("""COMPUTED_VALUE"""),"For rent")</f>
        <v>For rent</v>
      </c>
      <c r="B338" s="2" t="str">
        <f>IFERROR(__xludf.DUMMYFUNCTION("""COMPUTED_VALUE"""),"centrs")</f>
        <v>centrs</v>
      </c>
      <c r="C338" s="2" t="str">
        <f>IFERROR(__xludf.DUMMYFUNCTION("""COMPUTED_VALUE"""),"Čaka 143")</f>
        <v>Čaka 143</v>
      </c>
      <c r="D338" s="2">
        <f>IFERROR(__xludf.DUMMYFUNCTION("""COMPUTED_VALUE"""),3.0)</f>
        <v>3</v>
      </c>
      <c r="E338" s="2">
        <f>IFERROR(__xludf.DUMMYFUNCTION("""COMPUTED_VALUE"""),75.0)</f>
        <v>75</v>
      </c>
      <c r="F338" s="2">
        <f>IFERROR(__xludf.DUMMYFUNCTION("""COMPUTED_VALUE"""),4.0)</f>
        <v>4</v>
      </c>
      <c r="G338" s="2">
        <f>IFERROR(__xludf.DUMMYFUNCTION("""COMPUTED_VALUE"""),5.0)</f>
        <v>5</v>
      </c>
      <c r="H338" s="2" t="str">
        <f>IFERROR(__xludf.DUMMYFUNCTION("""COMPUTED_VALUE"""),"P. kara")</f>
        <v>P. kara</v>
      </c>
      <c r="I338" s="2" t="str">
        <f>IFERROR(__xludf.DUMMYFUNCTION("""COMPUTED_VALUE"""),"Masonry")</f>
        <v>Masonry</v>
      </c>
      <c r="J338" s="2" t="str">
        <f>IFERROR(__xludf.DUMMYFUNCTION("""COMPUTED_VALUE"""),"Partial amenities")</f>
        <v>Partial amenities</v>
      </c>
      <c r="K338" s="2">
        <f>IFERROR(__xludf.DUMMYFUNCTION("""COMPUTED_VALUE"""),480.0)</f>
        <v>480</v>
      </c>
      <c r="L338" s="2">
        <f>IFERROR(__xludf.DUMMYFUNCTION("""COMPUTED_VALUE"""),56.9643579)</f>
        <v>56.9643579</v>
      </c>
      <c r="M338" s="2">
        <f>IFERROR(__xludf.DUMMYFUNCTION("""COMPUTED_VALUE"""),24.1513733)</f>
        <v>24.1513733</v>
      </c>
    </row>
    <row r="339">
      <c r="A339" s="2" t="str">
        <f>IFERROR(__xludf.DUMMYFUNCTION("""COMPUTED_VALUE"""),"For rent")</f>
        <v>For rent</v>
      </c>
      <c r="B339" s="2" t="str">
        <f>IFERROR(__xludf.DUMMYFUNCTION("""COMPUTED_VALUE"""),"Ziepniekkalns")</f>
        <v>Ziepniekkalns</v>
      </c>
      <c r="C339" s="2" t="str">
        <f>IFERROR(__xludf.DUMMYFUNCTION("""COMPUTED_VALUE"""),"Ozolciema 12/2")</f>
        <v>Ozolciema 12/2</v>
      </c>
      <c r="D339" s="2">
        <f>IFERROR(__xludf.DUMMYFUNCTION("""COMPUTED_VALUE"""),2.0)</f>
        <v>2</v>
      </c>
      <c r="E339" s="2">
        <f>IFERROR(__xludf.DUMMYFUNCTION("""COMPUTED_VALUE"""),59.0)</f>
        <v>59</v>
      </c>
      <c r="F339" s="2">
        <f>IFERROR(__xludf.DUMMYFUNCTION("""COMPUTED_VALUE"""),9.0)</f>
        <v>9</v>
      </c>
      <c r="G339" s="2">
        <f>IFERROR(__xludf.DUMMYFUNCTION("""COMPUTED_VALUE"""),9.0)</f>
        <v>9</v>
      </c>
      <c r="H339" s="2">
        <f>IFERROR(__xludf.DUMMYFUNCTION("""COMPUTED_VALUE"""),119.0)</f>
        <v>119</v>
      </c>
      <c r="I339" s="2" t="str">
        <f>IFERROR(__xludf.DUMMYFUNCTION("""COMPUTED_VALUE"""),"Panel")</f>
        <v>Panel</v>
      </c>
      <c r="J339" s="2" t="str">
        <f>IFERROR(__xludf.DUMMYFUNCTION("""COMPUTED_VALUE"""),"All amenities")</f>
        <v>All amenities</v>
      </c>
      <c r="K339" s="2">
        <f>IFERROR(__xludf.DUMMYFUNCTION("""COMPUTED_VALUE"""),320.0)</f>
        <v>320</v>
      </c>
      <c r="L339" s="2">
        <f>IFERROR(__xludf.DUMMYFUNCTION("""COMPUTED_VALUE"""),56.8990307)</f>
        <v>56.8990307</v>
      </c>
      <c r="M339" s="2">
        <f>IFERROR(__xludf.DUMMYFUNCTION("""COMPUTED_VALUE"""),24.0785989)</f>
        <v>24.0785989</v>
      </c>
    </row>
    <row r="340">
      <c r="A340" s="2" t="str">
        <f>IFERROR(__xludf.DUMMYFUNCTION("""COMPUTED_VALUE"""),"For sale")</f>
        <v>For sale</v>
      </c>
      <c r="B340" s="2" t="str">
        <f>IFERROR(__xludf.DUMMYFUNCTION("""COMPUTED_VALUE"""),"centrs")</f>
        <v>centrs</v>
      </c>
      <c r="C340" s="2" t="str">
        <f>IFERROR(__xludf.DUMMYFUNCTION("""COMPUTED_VALUE"""),"Lugažu 4")</f>
        <v>Lugažu 4</v>
      </c>
      <c r="D340" s="2">
        <f>IFERROR(__xludf.DUMMYFUNCTION("""COMPUTED_VALUE"""),2.0)</f>
        <v>2</v>
      </c>
      <c r="E340" s="2">
        <f>IFERROR(__xludf.DUMMYFUNCTION("""COMPUTED_VALUE"""),45.0)</f>
        <v>45</v>
      </c>
      <c r="F340" s="2">
        <f>IFERROR(__xludf.DUMMYFUNCTION("""COMPUTED_VALUE"""),1.0)</f>
        <v>1</v>
      </c>
      <c r="G340" s="2">
        <f>IFERROR(__xludf.DUMMYFUNCTION("""COMPUTED_VALUE"""),5.0)</f>
        <v>5</v>
      </c>
      <c r="H340" s="2" t="str">
        <f>IFERROR(__xludf.DUMMYFUNCTION("""COMPUTED_VALUE"""),"LT proj.")</f>
        <v>LT proj.</v>
      </c>
      <c r="I340" s="2" t="str">
        <f>IFERROR(__xludf.DUMMYFUNCTION("""COMPUTED_VALUE"""),"Panel")</f>
        <v>Panel</v>
      </c>
      <c r="J340" s="2" t="str">
        <f>IFERROR(__xludf.DUMMYFUNCTION("""COMPUTED_VALUE"""),"All amenities")</f>
        <v>All amenities</v>
      </c>
      <c r="K340" s="2">
        <f>IFERROR(__xludf.DUMMYFUNCTION("""COMPUTED_VALUE"""),49500.0)</f>
        <v>49500</v>
      </c>
      <c r="L340" s="2">
        <f>IFERROR(__xludf.DUMMYFUNCTION("""COMPUTED_VALUE"""),56.9747517499999)</f>
        <v>56.97475175</v>
      </c>
      <c r="M340" s="2">
        <f>IFERROR(__xludf.DUMMYFUNCTION("""COMPUTED_VALUE"""),24.1091794)</f>
        <v>24.1091794</v>
      </c>
    </row>
    <row r="341">
      <c r="A341" s="2" t="str">
        <f>IFERROR(__xludf.DUMMYFUNCTION("""COMPUTED_VALUE"""),"For rent")</f>
        <v>For rent</v>
      </c>
      <c r="B341" s="2" t="str">
        <f>IFERROR(__xludf.DUMMYFUNCTION("""COMPUTED_VALUE"""),"Ķengarags")</f>
        <v>Ķengarags</v>
      </c>
      <c r="C341" s="2" t="str">
        <f>IFERROR(__xludf.DUMMYFUNCTION("""COMPUTED_VALUE"""),"Prūšu 15")</f>
        <v>Prūšu 15</v>
      </c>
      <c r="D341" s="2">
        <f>IFERROR(__xludf.DUMMYFUNCTION("""COMPUTED_VALUE"""),2.0)</f>
        <v>2</v>
      </c>
      <c r="E341" s="2">
        <f>IFERROR(__xludf.DUMMYFUNCTION("""COMPUTED_VALUE"""),39.0)</f>
        <v>39</v>
      </c>
      <c r="F341" s="2">
        <f>IFERROR(__xludf.DUMMYFUNCTION("""COMPUTED_VALUE"""),3.0)</f>
        <v>3</v>
      </c>
      <c r="G341" s="2">
        <f>IFERROR(__xludf.DUMMYFUNCTION("""COMPUTED_VALUE"""),5.0)</f>
        <v>5</v>
      </c>
      <c r="H341" s="2" t="str">
        <f>IFERROR(__xludf.DUMMYFUNCTION("""COMPUTED_VALUE"""),"LT proj.")</f>
        <v>LT proj.</v>
      </c>
      <c r="I341" s="2" t="str">
        <f>IFERROR(__xludf.DUMMYFUNCTION("""COMPUTED_VALUE"""),"Panel")</f>
        <v>Panel</v>
      </c>
      <c r="J341" s="2" t="str">
        <f>IFERROR(__xludf.DUMMYFUNCTION("""COMPUTED_VALUE"""),"All amenities")</f>
        <v>All amenities</v>
      </c>
      <c r="K341" s="2">
        <f>IFERROR(__xludf.DUMMYFUNCTION("""COMPUTED_VALUE"""),220.0)</f>
        <v>220</v>
      </c>
      <c r="L341" s="2">
        <f>IFERROR(__xludf.DUMMYFUNCTION("""COMPUTED_VALUE"""),56.9132013)</f>
        <v>56.9132013</v>
      </c>
      <c r="M341" s="2">
        <f>IFERROR(__xludf.DUMMYFUNCTION("""COMPUTED_VALUE"""),24.18990145)</f>
        <v>24.18990145</v>
      </c>
    </row>
    <row r="342">
      <c r="A342" s="2" t="str">
        <f>IFERROR(__xludf.DUMMYFUNCTION("""COMPUTED_VALUE"""),"For rent")</f>
        <v>For rent</v>
      </c>
      <c r="B342" s="2" t="str">
        <f>IFERROR(__xludf.DUMMYFUNCTION("""COMPUTED_VALUE"""),"Iļģuciems")</f>
        <v>Iļģuciems</v>
      </c>
      <c r="C342" s="2" t="str">
        <f>IFERROR(__xludf.DUMMYFUNCTION("""COMPUTED_VALUE"""),"Lilijas 9")</f>
        <v>Lilijas 9</v>
      </c>
      <c r="D342" s="2">
        <f>IFERROR(__xludf.DUMMYFUNCTION("""COMPUTED_VALUE"""),3.0)</f>
        <v>3</v>
      </c>
      <c r="E342" s="2">
        <f>IFERROR(__xludf.DUMMYFUNCTION("""COMPUTED_VALUE"""),54.0)</f>
        <v>54</v>
      </c>
      <c r="F342" s="2">
        <f>IFERROR(__xludf.DUMMYFUNCTION("""COMPUTED_VALUE"""),4.0)</f>
        <v>4</v>
      </c>
      <c r="G342" s="2">
        <f>IFERROR(__xludf.DUMMYFUNCTION("""COMPUTED_VALUE"""),5.0)</f>
        <v>5</v>
      </c>
      <c r="H342" s="2" t="str">
        <f>IFERROR(__xludf.DUMMYFUNCTION("""COMPUTED_VALUE"""),"Hrušč.")</f>
        <v>Hrušč.</v>
      </c>
      <c r="I342" s="2" t="str">
        <f>IFERROR(__xludf.DUMMYFUNCTION("""COMPUTED_VALUE"""),"Brick")</f>
        <v>Brick</v>
      </c>
      <c r="J342" s="2" t="str">
        <f>IFERROR(__xludf.DUMMYFUNCTION("""COMPUTED_VALUE"""),"All amenities")</f>
        <v>All amenities</v>
      </c>
      <c r="K342" s="2">
        <f>IFERROR(__xludf.DUMMYFUNCTION("""COMPUTED_VALUE"""),400.0)</f>
        <v>400</v>
      </c>
      <c r="L342" s="2">
        <f>IFERROR(__xludf.DUMMYFUNCTION("""COMPUTED_VALUE"""),56.9643785)</f>
        <v>56.9643785</v>
      </c>
      <c r="M342" s="2">
        <f>IFERROR(__xludf.DUMMYFUNCTION("""COMPUTED_VALUE"""),24.0675921)</f>
        <v>24.0675921</v>
      </c>
    </row>
    <row r="343">
      <c r="A343" s="2" t="str">
        <f>IFERROR(__xludf.DUMMYFUNCTION("""COMPUTED_VALUE"""),"For sale")</f>
        <v>For sale</v>
      </c>
      <c r="B343" s="2" t="str">
        <f>IFERROR(__xludf.DUMMYFUNCTION("""COMPUTED_VALUE"""),"centrs")</f>
        <v>centrs</v>
      </c>
      <c r="C343" s="2" t="str">
        <f>IFERROR(__xludf.DUMMYFUNCTION("""COMPUTED_VALUE"""),"Brīvības 30")</f>
        <v>Brīvības 30</v>
      </c>
      <c r="D343" s="2">
        <f>IFERROR(__xludf.DUMMYFUNCTION("""COMPUTED_VALUE"""),3.0)</f>
        <v>3</v>
      </c>
      <c r="E343" s="2">
        <f>IFERROR(__xludf.DUMMYFUNCTION("""COMPUTED_VALUE"""),82.0)</f>
        <v>82</v>
      </c>
      <c r="F343" s="2">
        <f>IFERROR(__xludf.DUMMYFUNCTION("""COMPUTED_VALUE"""),4.0)</f>
        <v>4</v>
      </c>
      <c r="G343" s="2">
        <f>IFERROR(__xludf.DUMMYFUNCTION("""COMPUTED_VALUE"""),4.0)</f>
        <v>4</v>
      </c>
      <c r="H343" s="2" t="str">
        <f>IFERROR(__xludf.DUMMYFUNCTION("""COMPUTED_VALUE"""),"P. kara")</f>
        <v>P. kara</v>
      </c>
      <c r="I343" s="2" t="str">
        <f>IFERROR(__xludf.DUMMYFUNCTION("""COMPUTED_VALUE"""),"Masonry")</f>
        <v>Masonry</v>
      </c>
      <c r="J343" s="2" t="str">
        <f>IFERROR(__xludf.DUMMYFUNCTION("""COMPUTED_VALUE"""),"All amenities")</f>
        <v>All amenities</v>
      </c>
      <c r="K343" s="2">
        <f>IFERROR(__xludf.DUMMYFUNCTION("""COMPUTED_VALUE"""),170000.0)</f>
        <v>170000</v>
      </c>
      <c r="L343" s="2">
        <f>IFERROR(__xludf.DUMMYFUNCTION("""COMPUTED_VALUE"""),56.9520463)</f>
        <v>56.9520463</v>
      </c>
      <c r="M343" s="2">
        <f>IFERROR(__xludf.DUMMYFUNCTION("""COMPUTED_VALUE"""),24.11476)</f>
        <v>24.11476</v>
      </c>
    </row>
    <row r="344">
      <c r="A344" s="2" t="str">
        <f>IFERROR(__xludf.DUMMYFUNCTION("""COMPUTED_VALUE"""),"For sale")</f>
        <v>For sale</v>
      </c>
      <c r="B344" s="2" t="str">
        <f>IFERROR(__xludf.DUMMYFUNCTION("""COMPUTED_VALUE"""),"Vecrīga")</f>
        <v>Vecrīga</v>
      </c>
      <c r="C344" s="2" t="str">
        <f>IFERROR(__xludf.DUMMYFUNCTION("""COMPUTED_VALUE"""),"Laipu 6")</f>
        <v>Laipu 6</v>
      </c>
      <c r="D344" s="2">
        <f>IFERROR(__xludf.DUMMYFUNCTION("""COMPUTED_VALUE"""),2.0)</f>
        <v>2</v>
      </c>
      <c r="E344" s="2">
        <f>IFERROR(__xludf.DUMMYFUNCTION("""COMPUTED_VALUE"""),48.0)</f>
        <v>48</v>
      </c>
      <c r="F344" s="2">
        <f>IFERROR(__xludf.DUMMYFUNCTION("""COMPUTED_VALUE"""),2.0)</f>
        <v>2</v>
      </c>
      <c r="G344" s="2">
        <f>IFERROR(__xludf.DUMMYFUNCTION("""COMPUTED_VALUE"""),4.0)</f>
        <v>4</v>
      </c>
      <c r="H344" s="2" t="str">
        <f>IFERROR(__xludf.DUMMYFUNCTION("""COMPUTED_VALUE"""),"Renov.")</f>
        <v>Renov.</v>
      </c>
      <c r="I344" s="2" t="str">
        <f>IFERROR(__xludf.DUMMYFUNCTION("""COMPUTED_VALUE"""),"Masonry")</f>
        <v>Masonry</v>
      </c>
      <c r="J344" s="2" t="str">
        <f>IFERROR(__xludf.DUMMYFUNCTION("""COMPUTED_VALUE"""),"All amenities")</f>
        <v>All amenities</v>
      </c>
      <c r="K344" s="2">
        <f>IFERROR(__xludf.DUMMYFUNCTION("""COMPUTED_VALUE"""),130000.0)</f>
        <v>130000</v>
      </c>
      <c r="L344" s="2">
        <f>IFERROR(__xludf.DUMMYFUNCTION("""COMPUTED_VALUE"""),56.9490258)</f>
        <v>56.9490258</v>
      </c>
      <c r="M344" s="2">
        <f>IFERROR(__xludf.DUMMYFUNCTION("""COMPUTED_VALUE"""),24.1082352486735)</f>
        <v>24.10823525</v>
      </c>
    </row>
    <row r="345">
      <c r="A345" s="2" t="str">
        <f>IFERROR(__xludf.DUMMYFUNCTION("""COMPUTED_VALUE"""),"For rent")</f>
        <v>For rent</v>
      </c>
      <c r="B345" s="2" t="str">
        <f>IFERROR(__xludf.DUMMYFUNCTION("""COMPUTED_VALUE"""),"centrs")</f>
        <v>centrs</v>
      </c>
      <c r="C345" s="2" t="str">
        <f>IFERROR(__xludf.DUMMYFUNCTION("""COMPUTED_VALUE"""),"Kalniņa 6")</f>
        <v>Kalniņa 6</v>
      </c>
      <c r="D345" s="2">
        <f>IFERROR(__xludf.DUMMYFUNCTION("""COMPUTED_VALUE"""),1.0)</f>
        <v>1</v>
      </c>
      <c r="E345" s="2">
        <f>IFERROR(__xludf.DUMMYFUNCTION("""COMPUTED_VALUE"""),56.0)</f>
        <v>56</v>
      </c>
      <c r="F345" s="2">
        <f>IFERROR(__xludf.DUMMYFUNCTION("""COMPUTED_VALUE"""),1.0)</f>
        <v>1</v>
      </c>
      <c r="G345" s="2">
        <f>IFERROR(__xludf.DUMMYFUNCTION("""COMPUTED_VALUE"""),5.0)</f>
        <v>5</v>
      </c>
      <c r="H345" s="2" t="str">
        <f>IFERROR(__xludf.DUMMYFUNCTION("""COMPUTED_VALUE"""),"Renov.")</f>
        <v>Renov.</v>
      </c>
      <c r="I345" s="2" t="str">
        <f>IFERROR(__xludf.DUMMYFUNCTION("""COMPUTED_VALUE"""),"Masonry")</f>
        <v>Masonry</v>
      </c>
      <c r="J345" s="2" t="str">
        <f>IFERROR(__xludf.DUMMYFUNCTION("""COMPUTED_VALUE"""),"All amenities")</f>
        <v>All amenities</v>
      </c>
      <c r="K345" s="2">
        <f>IFERROR(__xludf.DUMMYFUNCTION("""COMPUTED_VALUE"""),50.0)</f>
        <v>50</v>
      </c>
      <c r="L345" s="2">
        <f>IFERROR(__xludf.DUMMYFUNCTION("""COMPUTED_VALUE"""),56.9496478)</f>
        <v>56.9496478</v>
      </c>
      <c r="M345" s="2">
        <f>IFERROR(__xludf.DUMMYFUNCTION("""COMPUTED_VALUE"""),24.1208218)</f>
        <v>24.1208218</v>
      </c>
    </row>
    <row r="346">
      <c r="A346" s="2" t="str">
        <f>IFERROR(__xludf.DUMMYFUNCTION("""COMPUTED_VALUE"""),"For sale")</f>
        <v>For sale</v>
      </c>
      <c r="B346" s="2" t="str">
        <f>IFERROR(__xludf.DUMMYFUNCTION("""COMPUTED_VALUE"""),"Bolderāja")</f>
        <v>Bolderāja</v>
      </c>
      <c r="C346" s="2" t="str">
        <f>IFERROR(__xludf.DUMMYFUNCTION("""COMPUTED_VALUE"""),"Gobas 28")</f>
        <v>Gobas 28</v>
      </c>
      <c r="D346" s="2">
        <f>IFERROR(__xludf.DUMMYFUNCTION("""COMPUTED_VALUE"""),3.0)</f>
        <v>3</v>
      </c>
      <c r="E346" s="2">
        <f>IFERROR(__xludf.DUMMYFUNCTION("""COMPUTED_VALUE"""),67.0)</f>
        <v>67</v>
      </c>
      <c r="F346" s="2">
        <f>IFERROR(__xludf.DUMMYFUNCTION("""COMPUTED_VALUE"""),5.0)</f>
        <v>5</v>
      </c>
      <c r="G346" s="2">
        <f>IFERROR(__xludf.DUMMYFUNCTION("""COMPUTED_VALUE"""),5.0)</f>
        <v>5</v>
      </c>
      <c r="H346" s="2">
        <f>IFERROR(__xludf.DUMMYFUNCTION("""COMPUTED_VALUE"""),103.0)</f>
        <v>103</v>
      </c>
      <c r="I346" s="2" t="str">
        <f>IFERROR(__xludf.DUMMYFUNCTION("""COMPUTED_VALUE"""),"Brick-Panel")</f>
        <v>Brick-Panel</v>
      </c>
      <c r="J346" s="2" t="str">
        <f>IFERROR(__xludf.DUMMYFUNCTION("""COMPUTED_VALUE"""),"All amenities")</f>
        <v>All amenities</v>
      </c>
      <c r="K346" s="2">
        <f>IFERROR(__xludf.DUMMYFUNCTION("""COMPUTED_VALUE"""),49900.0)</f>
        <v>49900</v>
      </c>
      <c r="L346" s="2">
        <f>IFERROR(__xludf.DUMMYFUNCTION("""COMPUTED_VALUE"""),57.02771755)</f>
        <v>57.02771755</v>
      </c>
      <c r="M346" s="2">
        <f>IFERROR(__xludf.DUMMYFUNCTION("""COMPUTED_VALUE"""),24.0558009797261)</f>
        <v>24.05580098</v>
      </c>
    </row>
    <row r="347">
      <c r="A347" s="2" t="str">
        <f>IFERROR(__xludf.DUMMYFUNCTION("""COMPUTED_VALUE"""),"For sale")</f>
        <v>For sale</v>
      </c>
      <c r="B347" s="2" t="str">
        <f>IFERROR(__xludf.DUMMYFUNCTION("""COMPUTED_VALUE"""),"Ķengarags")</f>
        <v>Ķengarags</v>
      </c>
      <c r="C347" s="2" t="str">
        <f>IFERROR(__xludf.DUMMYFUNCTION("""COMPUTED_VALUE"""),"Maskavas 238")</f>
        <v>Maskavas 238</v>
      </c>
      <c r="D347" s="2">
        <f>IFERROR(__xludf.DUMMYFUNCTION("""COMPUTED_VALUE"""),4.0)</f>
        <v>4</v>
      </c>
      <c r="E347" s="2">
        <f>IFERROR(__xludf.DUMMYFUNCTION("""COMPUTED_VALUE"""),140.0)</f>
        <v>140</v>
      </c>
      <c r="F347" s="2">
        <f>IFERROR(__xludf.DUMMYFUNCTION("""COMPUTED_VALUE"""),2.0)</f>
        <v>2</v>
      </c>
      <c r="G347" s="2">
        <f>IFERROR(__xludf.DUMMYFUNCTION("""COMPUTED_VALUE"""),7.0)</f>
        <v>7</v>
      </c>
      <c r="H347" s="2" t="str">
        <f>IFERROR(__xludf.DUMMYFUNCTION("""COMPUTED_VALUE"""),"Jaun.")</f>
        <v>Jaun.</v>
      </c>
      <c r="I347" s="2" t="str">
        <f>IFERROR(__xludf.DUMMYFUNCTION("""COMPUTED_VALUE"""),"Brick-Panel")</f>
        <v>Brick-Panel</v>
      </c>
      <c r="J347" s="2" t="str">
        <f>IFERROR(__xludf.DUMMYFUNCTION("""COMPUTED_VALUE"""),"All amenities")</f>
        <v>All amenities</v>
      </c>
      <c r="K347" s="2">
        <f>IFERROR(__xludf.DUMMYFUNCTION("""COMPUTED_VALUE"""),155000.0)</f>
        <v>155000</v>
      </c>
      <c r="L347" s="2">
        <f>IFERROR(__xludf.DUMMYFUNCTION("""COMPUTED_VALUE"""),56.8597884)</f>
        <v>56.8597884</v>
      </c>
      <c r="M347" s="2">
        <f>IFERROR(__xludf.DUMMYFUNCTION("""COMPUTED_VALUE"""),24.3083417)</f>
        <v>24.3083417</v>
      </c>
    </row>
    <row r="348">
      <c r="A348" s="2" t="str">
        <f>IFERROR(__xludf.DUMMYFUNCTION("""COMPUTED_VALUE"""),"For sale")</f>
        <v>For sale</v>
      </c>
      <c r="B348" s="2" t="str">
        <f>IFERROR(__xludf.DUMMYFUNCTION("""COMPUTED_VALUE"""),"Krasta r-ns")</f>
        <v>Krasta r-ns</v>
      </c>
      <c r="C348" s="2" t="str">
        <f>IFERROR(__xludf.DUMMYFUNCTION("""COMPUTED_VALUE"""),"Ogres 5")</f>
        <v>Ogres 5</v>
      </c>
      <c r="D348" s="2">
        <f>IFERROR(__xludf.DUMMYFUNCTION("""COMPUTED_VALUE"""),4.0)</f>
        <v>4</v>
      </c>
      <c r="E348" s="2">
        <f>IFERROR(__xludf.DUMMYFUNCTION("""COMPUTED_VALUE"""),140.0)</f>
        <v>140</v>
      </c>
      <c r="F348" s="2">
        <f>IFERROR(__xludf.DUMMYFUNCTION("""COMPUTED_VALUE"""),2.0)</f>
        <v>2</v>
      </c>
      <c r="G348" s="2">
        <f>IFERROR(__xludf.DUMMYFUNCTION("""COMPUTED_VALUE"""),7.0)</f>
        <v>7</v>
      </c>
      <c r="H348" s="2" t="str">
        <f>IFERROR(__xludf.DUMMYFUNCTION("""COMPUTED_VALUE"""),"Jaun.")</f>
        <v>Jaun.</v>
      </c>
      <c r="I348" s="2" t="str">
        <f>IFERROR(__xludf.DUMMYFUNCTION("""COMPUTED_VALUE"""),"Brick-Panel")</f>
        <v>Brick-Panel</v>
      </c>
      <c r="J348" s="2" t="str">
        <f>IFERROR(__xludf.DUMMYFUNCTION("""COMPUTED_VALUE"""),"All amenities")</f>
        <v>All amenities</v>
      </c>
      <c r="K348" s="2">
        <f>IFERROR(__xludf.DUMMYFUNCTION("""COMPUTED_VALUE"""),155000.0)</f>
        <v>155000</v>
      </c>
      <c r="L348" s="2">
        <f>IFERROR(__xludf.DUMMYFUNCTION("""COMPUTED_VALUE"""),56.92735995)</f>
        <v>56.92735995</v>
      </c>
      <c r="M348" s="2">
        <f>IFERROR(__xludf.DUMMYFUNCTION("""COMPUTED_VALUE"""),24.1646236652287)</f>
        <v>24.16462367</v>
      </c>
    </row>
    <row r="349">
      <c r="A349" s="2" t="str">
        <f>IFERROR(__xludf.DUMMYFUNCTION("""COMPUTED_VALUE"""),"For sale")</f>
        <v>For sale</v>
      </c>
      <c r="B349" s="2" t="str">
        <f>IFERROR(__xludf.DUMMYFUNCTION("""COMPUTED_VALUE"""),"Jugla")</f>
        <v>Jugla</v>
      </c>
      <c r="C349" s="2" t="str">
        <f>IFERROR(__xludf.DUMMYFUNCTION("""COMPUTED_VALUE"""),"Kvēles 15/15")</f>
        <v>Kvēles 15/15</v>
      </c>
      <c r="D349" s="2">
        <f>IFERROR(__xludf.DUMMYFUNCTION("""COMPUTED_VALUE"""),3.0)</f>
        <v>3</v>
      </c>
      <c r="E349" s="2">
        <f>IFERROR(__xludf.DUMMYFUNCTION("""COMPUTED_VALUE"""),59.0)</f>
        <v>59</v>
      </c>
      <c r="F349" s="2">
        <f>IFERROR(__xludf.DUMMYFUNCTION("""COMPUTED_VALUE"""),3.0)</f>
        <v>3</v>
      </c>
      <c r="G349" s="2">
        <f>IFERROR(__xludf.DUMMYFUNCTION("""COMPUTED_VALUE"""),5.0)</f>
        <v>5</v>
      </c>
      <c r="H349" s="2" t="str">
        <f>IFERROR(__xludf.DUMMYFUNCTION("""COMPUTED_VALUE"""),"LT proj.")</f>
        <v>LT proj.</v>
      </c>
      <c r="I349" s="2" t="str">
        <f>IFERROR(__xludf.DUMMYFUNCTION("""COMPUTED_VALUE"""),"Panel")</f>
        <v>Panel</v>
      </c>
      <c r="J349" s="2" t="str">
        <f>IFERROR(__xludf.DUMMYFUNCTION("""COMPUTED_VALUE"""),"All amenities")</f>
        <v>All amenities</v>
      </c>
      <c r="K349" s="2">
        <f>IFERROR(__xludf.DUMMYFUNCTION("""COMPUTED_VALUE"""),62000.0)</f>
        <v>62000</v>
      </c>
      <c r="L349" s="2">
        <f>IFERROR(__xludf.DUMMYFUNCTION("""COMPUTED_VALUE"""),56.9816726)</f>
        <v>56.9816726</v>
      </c>
      <c r="M349" s="2">
        <f>IFERROR(__xludf.DUMMYFUNCTION("""COMPUTED_VALUE"""),24.2465564)</f>
        <v>24.2465564</v>
      </c>
    </row>
    <row r="350">
      <c r="A350" s="2" t="str">
        <f>IFERROR(__xludf.DUMMYFUNCTION("""COMPUTED_VALUE"""),"For rent")</f>
        <v>For rent</v>
      </c>
      <c r="B350" s="2" t="str">
        <f>IFERROR(__xludf.DUMMYFUNCTION("""COMPUTED_VALUE"""),"Purvciems")</f>
        <v>Purvciems</v>
      </c>
      <c r="C350" s="2" t="str">
        <f>IFERROR(__xludf.DUMMYFUNCTION("""COMPUTED_VALUE"""),"Stirnu 53")</f>
        <v>Stirnu 53</v>
      </c>
      <c r="D350" s="2">
        <f>IFERROR(__xludf.DUMMYFUNCTION("""COMPUTED_VALUE"""),1.0)</f>
        <v>1</v>
      </c>
      <c r="E350" s="2">
        <f>IFERROR(__xludf.DUMMYFUNCTION("""COMPUTED_VALUE"""),30.0)</f>
        <v>30</v>
      </c>
      <c r="F350" s="2">
        <f>IFERROR(__xludf.DUMMYFUNCTION("""COMPUTED_VALUE"""),3.0)</f>
        <v>3</v>
      </c>
      <c r="G350" s="2">
        <f>IFERROR(__xludf.DUMMYFUNCTION("""COMPUTED_VALUE"""),5.0)</f>
        <v>5</v>
      </c>
      <c r="H350" s="2" t="str">
        <f>IFERROR(__xludf.DUMMYFUNCTION("""COMPUTED_VALUE"""),"LT proj.")</f>
        <v>LT proj.</v>
      </c>
      <c r="I350" s="2" t="str">
        <f>IFERROR(__xludf.DUMMYFUNCTION("""COMPUTED_VALUE"""),"Panel")</f>
        <v>Panel</v>
      </c>
      <c r="J350" s="2" t="str">
        <f>IFERROR(__xludf.DUMMYFUNCTION("""COMPUTED_VALUE"""),"All amenities")</f>
        <v>All amenities</v>
      </c>
      <c r="K350" s="2">
        <f>IFERROR(__xludf.DUMMYFUNCTION("""COMPUTED_VALUE"""),300.0)</f>
        <v>300</v>
      </c>
      <c r="L350" s="2">
        <f>IFERROR(__xludf.DUMMYFUNCTION("""COMPUTED_VALUE"""),56.9636426)</f>
        <v>56.9636426</v>
      </c>
      <c r="M350" s="2">
        <f>IFERROR(__xludf.DUMMYFUNCTION("""COMPUTED_VALUE"""),24.1936547658469)</f>
        <v>24.19365477</v>
      </c>
    </row>
    <row r="351">
      <c r="A351" s="2" t="str">
        <f>IFERROR(__xludf.DUMMYFUNCTION("""COMPUTED_VALUE"""),"For rent")</f>
        <v>For rent</v>
      </c>
      <c r="B351" s="2" t="str">
        <f>IFERROR(__xludf.DUMMYFUNCTION("""COMPUTED_VALUE"""),"centrs")</f>
        <v>centrs</v>
      </c>
      <c r="C351" s="2" t="str">
        <f>IFERROR(__xludf.DUMMYFUNCTION("""COMPUTED_VALUE"""),"Stabu 15")</f>
        <v>Stabu 15</v>
      </c>
      <c r="D351" s="2">
        <f>IFERROR(__xludf.DUMMYFUNCTION("""COMPUTED_VALUE"""),2.0)</f>
        <v>2</v>
      </c>
      <c r="E351" s="2">
        <f>IFERROR(__xludf.DUMMYFUNCTION("""COMPUTED_VALUE"""),55.0)</f>
        <v>55</v>
      </c>
      <c r="F351" s="2">
        <f>IFERROR(__xludf.DUMMYFUNCTION("""COMPUTED_VALUE"""),2.0)</f>
        <v>2</v>
      </c>
      <c r="G351" s="2">
        <f>IFERROR(__xludf.DUMMYFUNCTION("""COMPUTED_VALUE"""),5.0)</f>
        <v>5</v>
      </c>
      <c r="H351" s="2" t="str">
        <f>IFERROR(__xludf.DUMMYFUNCTION("""COMPUTED_VALUE"""),"Staļina")</f>
        <v>Staļina</v>
      </c>
      <c r="I351" s="2" t="str">
        <f>IFERROR(__xludf.DUMMYFUNCTION("""COMPUTED_VALUE"""),"Brick")</f>
        <v>Brick</v>
      </c>
      <c r="J351" s="2" t="str">
        <f>IFERROR(__xludf.DUMMYFUNCTION("""COMPUTED_VALUE"""),"All amenities")</f>
        <v>All amenities</v>
      </c>
      <c r="K351" s="2">
        <f>IFERROR(__xludf.DUMMYFUNCTION("""COMPUTED_VALUE"""),520.0)</f>
        <v>520</v>
      </c>
      <c r="L351" s="2">
        <f>IFERROR(__xludf.DUMMYFUNCTION("""COMPUTED_VALUE"""),56.9587074)</f>
        <v>56.9587074</v>
      </c>
      <c r="M351" s="2">
        <f>IFERROR(__xludf.DUMMYFUNCTION("""COMPUTED_VALUE"""),24.1237749)</f>
        <v>24.1237749</v>
      </c>
    </row>
    <row r="352">
      <c r="A352" s="2" t="str">
        <f>IFERROR(__xludf.DUMMYFUNCTION("""COMPUTED_VALUE"""),"For rent")</f>
        <v>For rent</v>
      </c>
      <c r="B352" s="2" t="str">
        <f>IFERROR(__xludf.DUMMYFUNCTION("""COMPUTED_VALUE"""),"centrs")</f>
        <v>centrs</v>
      </c>
      <c r="C352" s="2" t="str">
        <f>IFERROR(__xludf.DUMMYFUNCTION("""COMPUTED_VALUE"""),"Matīsa 69a")</f>
        <v>Matīsa 69a</v>
      </c>
      <c r="D352" s="2">
        <f>IFERROR(__xludf.DUMMYFUNCTION("""COMPUTED_VALUE"""),2.0)</f>
        <v>2</v>
      </c>
      <c r="E352" s="2">
        <f>IFERROR(__xludf.DUMMYFUNCTION("""COMPUTED_VALUE"""),62.0)</f>
        <v>62</v>
      </c>
      <c r="F352" s="2">
        <f>IFERROR(__xludf.DUMMYFUNCTION("""COMPUTED_VALUE"""),4.0)</f>
        <v>4</v>
      </c>
      <c r="G352" s="2">
        <f>IFERROR(__xludf.DUMMYFUNCTION("""COMPUTED_VALUE"""),7.0)</f>
        <v>7</v>
      </c>
      <c r="H352" s="2" t="str">
        <f>IFERROR(__xludf.DUMMYFUNCTION("""COMPUTED_VALUE"""),"Jaun.")</f>
        <v>Jaun.</v>
      </c>
      <c r="I352" s="2" t="str">
        <f>IFERROR(__xludf.DUMMYFUNCTION("""COMPUTED_VALUE"""),"Brick")</f>
        <v>Brick</v>
      </c>
      <c r="J352" s="2" t="str">
        <f>IFERROR(__xludf.DUMMYFUNCTION("""COMPUTED_VALUE"""),"All amenities")</f>
        <v>All amenities</v>
      </c>
      <c r="K352" s="2">
        <f>IFERROR(__xludf.DUMMYFUNCTION("""COMPUTED_VALUE"""),650.0)</f>
        <v>650</v>
      </c>
      <c r="L352" s="2">
        <f>IFERROR(__xludf.DUMMYFUNCTION("""COMPUTED_VALUE"""),56.9581178)</f>
        <v>56.9581178</v>
      </c>
      <c r="M352" s="2">
        <f>IFERROR(__xludf.DUMMYFUNCTION("""COMPUTED_VALUE"""),24.1311146)</f>
        <v>24.1311146</v>
      </c>
    </row>
    <row r="353">
      <c r="A353" s="2" t="str">
        <f>IFERROR(__xludf.DUMMYFUNCTION("""COMPUTED_VALUE"""),"For sale")</f>
        <v>For sale</v>
      </c>
      <c r="B353" s="2" t="str">
        <f>IFERROR(__xludf.DUMMYFUNCTION("""COMPUTED_VALUE"""),"centrs")</f>
        <v>centrs</v>
      </c>
      <c r="C353" s="2" t="str">
        <f>IFERROR(__xludf.DUMMYFUNCTION("""COMPUTED_VALUE"""),"Lāčplēša 125")</f>
        <v>Lāčplēša 125</v>
      </c>
      <c r="D353" s="2">
        <f>IFERROR(__xludf.DUMMYFUNCTION("""COMPUTED_VALUE"""),1.0)</f>
        <v>1</v>
      </c>
      <c r="E353" s="2">
        <f>IFERROR(__xludf.DUMMYFUNCTION("""COMPUTED_VALUE"""),32.0)</f>
        <v>32</v>
      </c>
      <c r="F353" s="2">
        <f>IFERROR(__xludf.DUMMYFUNCTION("""COMPUTED_VALUE"""),4.0)</f>
        <v>4</v>
      </c>
      <c r="G353" s="2">
        <f>IFERROR(__xludf.DUMMYFUNCTION("""COMPUTED_VALUE"""),5.0)</f>
        <v>5</v>
      </c>
      <c r="H353" s="2" t="str">
        <f>IFERROR(__xludf.DUMMYFUNCTION("""COMPUTED_VALUE"""),"Renov.")</f>
        <v>Renov.</v>
      </c>
      <c r="I353" s="2" t="str">
        <f>IFERROR(__xludf.DUMMYFUNCTION("""COMPUTED_VALUE"""),"Brick")</f>
        <v>Brick</v>
      </c>
      <c r="J353" s="2" t="str">
        <f>IFERROR(__xludf.DUMMYFUNCTION("""COMPUTED_VALUE"""),"All amenities")</f>
        <v>All amenities</v>
      </c>
      <c r="K353" s="2">
        <f>IFERROR(__xludf.DUMMYFUNCTION("""COMPUTED_VALUE"""),34900.0)</f>
        <v>34900</v>
      </c>
      <c r="L353" s="2">
        <f>IFERROR(__xludf.DUMMYFUNCTION("""COMPUTED_VALUE"""),56.9439002)</f>
        <v>56.9439002</v>
      </c>
      <c r="M353" s="2">
        <f>IFERROR(__xludf.DUMMYFUNCTION("""COMPUTED_VALUE"""),24.1325617)</f>
        <v>24.1325617</v>
      </c>
    </row>
    <row r="354">
      <c r="A354" s="2" t="str">
        <f>IFERROR(__xludf.DUMMYFUNCTION("""COMPUTED_VALUE"""),"For sale")</f>
        <v>For sale</v>
      </c>
      <c r="B354" s="2" t="str">
        <f>IFERROR(__xludf.DUMMYFUNCTION("""COMPUTED_VALUE"""),"Vecmīlgrāvis")</f>
        <v>Vecmīlgrāvis</v>
      </c>
      <c r="C354" s="2" t="str">
        <f>IFERROR(__xludf.DUMMYFUNCTION("""COMPUTED_VALUE"""),"Sniega 2")</f>
        <v>Sniega 2</v>
      </c>
      <c r="D354" s="2">
        <f>IFERROR(__xludf.DUMMYFUNCTION("""COMPUTED_VALUE"""),3.0)</f>
        <v>3</v>
      </c>
      <c r="E354" s="2">
        <f>IFERROR(__xludf.DUMMYFUNCTION("""COMPUTED_VALUE"""),55.0)</f>
        <v>55</v>
      </c>
      <c r="F354" s="2">
        <f>IFERROR(__xludf.DUMMYFUNCTION("""COMPUTED_VALUE"""),5.0)</f>
        <v>5</v>
      </c>
      <c r="G354" s="2">
        <f>IFERROR(__xludf.DUMMYFUNCTION("""COMPUTED_VALUE"""),5.0)</f>
        <v>5</v>
      </c>
      <c r="H354" s="2" t="str">
        <f>IFERROR(__xludf.DUMMYFUNCTION("""COMPUTED_VALUE"""),"LT proj.")</f>
        <v>LT proj.</v>
      </c>
      <c r="I354" s="2" t="str">
        <f>IFERROR(__xludf.DUMMYFUNCTION("""COMPUTED_VALUE"""),"Panel")</f>
        <v>Panel</v>
      </c>
      <c r="J354" s="2" t="str">
        <f>IFERROR(__xludf.DUMMYFUNCTION("""COMPUTED_VALUE"""),"All amenities")</f>
        <v>All amenities</v>
      </c>
      <c r="K354" s="2">
        <f>IFERROR(__xludf.DUMMYFUNCTION("""COMPUTED_VALUE"""),43000.0)</f>
        <v>43000</v>
      </c>
      <c r="L354" s="2">
        <f>IFERROR(__xludf.DUMMYFUNCTION("""COMPUTED_VALUE"""),57.0337701)</f>
        <v>57.0337701</v>
      </c>
      <c r="M354" s="2">
        <f>IFERROR(__xludf.DUMMYFUNCTION("""COMPUTED_VALUE"""),24.09840055)</f>
        <v>24.09840055</v>
      </c>
    </row>
    <row r="355">
      <c r="A355" s="2" t="str">
        <f>IFERROR(__xludf.DUMMYFUNCTION("""COMPUTED_VALUE"""),"For sale")</f>
        <v>For sale</v>
      </c>
      <c r="B355" s="2" t="str">
        <f>IFERROR(__xludf.DUMMYFUNCTION("""COMPUTED_VALUE"""),"centrs")</f>
        <v>centrs</v>
      </c>
      <c r="C355" s="2" t="str">
        <f>IFERROR(__xludf.DUMMYFUNCTION("""COMPUTED_VALUE"""),"Tērbatas 60")</f>
        <v>Tērbatas 60</v>
      </c>
      <c r="D355" s="2">
        <f>IFERROR(__xludf.DUMMYFUNCTION("""COMPUTED_VALUE"""),4.0)</f>
        <v>4</v>
      </c>
      <c r="E355" s="2">
        <f>IFERROR(__xludf.DUMMYFUNCTION("""COMPUTED_VALUE"""),94.0)</f>
        <v>94</v>
      </c>
      <c r="F355" s="2">
        <f>IFERROR(__xludf.DUMMYFUNCTION("""COMPUTED_VALUE"""),4.0)</f>
        <v>4</v>
      </c>
      <c r="G355" s="2">
        <f>IFERROR(__xludf.DUMMYFUNCTION("""COMPUTED_VALUE"""),5.0)</f>
        <v>5</v>
      </c>
      <c r="H355" s="2" t="str">
        <f>IFERROR(__xludf.DUMMYFUNCTION("""COMPUTED_VALUE"""),"P. kara")</f>
        <v>P. kara</v>
      </c>
      <c r="I355" s="2" t="str">
        <f>IFERROR(__xludf.DUMMYFUNCTION("""COMPUTED_VALUE"""),"Masonry")</f>
        <v>Masonry</v>
      </c>
      <c r="J355" s="2" t="str">
        <f>IFERROR(__xludf.DUMMYFUNCTION("""COMPUTED_VALUE"""),"All amenities")</f>
        <v>All amenities</v>
      </c>
      <c r="K355" s="2">
        <f>IFERROR(__xludf.DUMMYFUNCTION("""COMPUTED_VALUE"""),115000.0)</f>
        <v>115000</v>
      </c>
      <c r="L355" s="2">
        <f>IFERROR(__xludf.DUMMYFUNCTION("""COMPUTED_VALUE"""),56.9561495)</f>
        <v>56.9561495</v>
      </c>
      <c r="M355" s="2">
        <f>IFERROR(__xludf.DUMMYFUNCTION("""COMPUTED_VALUE"""),24.1264378)</f>
        <v>24.1264378</v>
      </c>
    </row>
    <row r="356">
      <c r="A356" s="2" t="str">
        <f>IFERROR(__xludf.DUMMYFUNCTION("""COMPUTED_VALUE"""),"For sale")</f>
        <v>For sale</v>
      </c>
      <c r="B356" s="2" t="str">
        <f>IFERROR(__xludf.DUMMYFUNCTION("""COMPUTED_VALUE"""),"Maskavas priekšpilsēta")</f>
        <v>Maskavas priekšpilsēta</v>
      </c>
      <c r="C356" s="2" t="str">
        <f>IFERROR(__xludf.DUMMYFUNCTION("""COMPUTED_VALUE"""),"Daugavpils 76")</f>
        <v>Daugavpils 76</v>
      </c>
      <c r="D356" s="2">
        <f>IFERROR(__xludf.DUMMYFUNCTION("""COMPUTED_VALUE"""),1.0)</f>
        <v>1</v>
      </c>
      <c r="E356" s="2">
        <f>IFERROR(__xludf.DUMMYFUNCTION("""COMPUTED_VALUE"""),25.0)</f>
        <v>25</v>
      </c>
      <c r="F356" s="2">
        <f>IFERROR(__xludf.DUMMYFUNCTION("""COMPUTED_VALUE"""),6.0)</f>
        <v>6</v>
      </c>
      <c r="G356" s="2">
        <f>IFERROR(__xludf.DUMMYFUNCTION("""COMPUTED_VALUE"""),5.0)</f>
        <v>5</v>
      </c>
      <c r="H356" s="2" t="str">
        <f>IFERROR(__xludf.DUMMYFUNCTION("""COMPUTED_VALUE"""),"P. kara")</f>
        <v>P. kara</v>
      </c>
      <c r="I356" s="2" t="str">
        <f>IFERROR(__xludf.DUMMYFUNCTION("""COMPUTED_VALUE"""),"Brick")</f>
        <v>Brick</v>
      </c>
      <c r="J356" s="2" t="str">
        <f>IFERROR(__xludf.DUMMYFUNCTION("""COMPUTED_VALUE"""),"All amenities")</f>
        <v>All amenities</v>
      </c>
      <c r="K356" s="2">
        <f>IFERROR(__xludf.DUMMYFUNCTION("""COMPUTED_VALUE"""),23000.0)</f>
        <v>23000</v>
      </c>
      <c r="L356" s="2">
        <f>IFERROR(__xludf.DUMMYFUNCTION("""COMPUTED_VALUE"""),56.9464308999999)</f>
        <v>56.9464309</v>
      </c>
      <c r="M356" s="2">
        <f>IFERROR(__xludf.DUMMYFUNCTION("""COMPUTED_VALUE"""),24.1413962131361)</f>
        <v>24.14139621</v>
      </c>
    </row>
    <row r="357">
      <c r="A357" s="2" t="str">
        <f>IFERROR(__xludf.DUMMYFUNCTION("""COMPUTED_VALUE"""),"For sale")</f>
        <v>For sale</v>
      </c>
      <c r="B357" s="2" t="str">
        <f>IFERROR(__xludf.DUMMYFUNCTION("""COMPUTED_VALUE"""),"centrs")</f>
        <v>centrs</v>
      </c>
      <c r="C357" s="2" t="str">
        <f>IFERROR(__xludf.DUMMYFUNCTION("""COMPUTED_VALUE"""),"Blaumaņa 9")</f>
        <v>Blaumaņa 9</v>
      </c>
      <c r="D357" s="2">
        <f>IFERROR(__xludf.DUMMYFUNCTION("""COMPUTED_VALUE"""),4.0)</f>
        <v>4</v>
      </c>
      <c r="E357" s="2">
        <f>IFERROR(__xludf.DUMMYFUNCTION("""COMPUTED_VALUE"""),105.0)</f>
        <v>105</v>
      </c>
      <c r="F357" s="2">
        <f>IFERROR(__xludf.DUMMYFUNCTION("""COMPUTED_VALUE"""),4.0)</f>
        <v>4</v>
      </c>
      <c r="G357" s="2">
        <f>IFERROR(__xludf.DUMMYFUNCTION("""COMPUTED_VALUE"""),6.0)</f>
        <v>6</v>
      </c>
      <c r="H357" s="2" t="str">
        <f>IFERROR(__xludf.DUMMYFUNCTION("""COMPUTED_VALUE"""),"Renov.")</f>
        <v>Renov.</v>
      </c>
      <c r="I357" s="2" t="str">
        <f>IFERROR(__xludf.DUMMYFUNCTION("""COMPUTED_VALUE"""),"Masonry")</f>
        <v>Masonry</v>
      </c>
      <c r="J357" s="2" t="str">
        <f>IFERROR(__xludf.DUMMYFUNCTION("""COMPUTED_VALUE"""),"All amenities")</f>
        <v>All amenities</v>
      </c>
      <c r="K357" s="2">
        <f>IFERROR(__xludf.DUMMYFUNCTION("""COMPUTED_VALUE"""),129360.0)</f>
        <v>129360</v>
      </c>
      <c r="L357" s="2">
        <f>IFERROR(__xludf.DUMMYFUNCTION("""COMPUTED_VALUE"""),56.9539256)</f>
        <v>56.9539256</v>
      </c>
      <c r="M357" s="2">
        <f>IFERROR(__xludf.DUMMYFUNCTION("""COMPUTED_VALUE"""),24.1237609)</f>
        <v>24.1237609</v>
      </c>
    </row>
    <row r="358">
      <c r="A358" s="2" t="str">
        <f>IFERROR(__xludf.DUMMYFUNCTION("""COMPUTED_VALUE"""),"For sale")</f>
        <v>For sale</v>
      </c>
      <c r="B358" s="2" t="str">
        <f>IFERROR(__xludf.DUMMYFUNCTION("""COMPUTED_VALUE"""),"centrs")</f>
        <v>centrs</v>
      </c>
      <c r="C358" s="2" t="str">
        <f>IFERROR(__xludf.DUMMYFUNCTION("""COMPUTED_VALUE"""),"Blaumaņa 9")</f>
        <v>Blaumaņa 9</v>
      </c>
      <c r="D358" s="2" t="str">
        <f>IFERROR(__xludf.DUMMYFUNCTION("""COMPUTED_VALUE"""),"Citi")</f>
        <v>Citi</v>
      </c>
      <c r="E358" s="2">
        <f>IFERROR(__xludf.DUMMYFUNCTION("""COMPUTED_VALUE"""),287.0)</f>
        <v>287</v>
      </c>
      <c r="F358" s="2">
        <f>IFERROR(__xludf.DUMMYFUNCTION("""COMPUTED_VALUE"""),5.0)</f>
        <v>5</v>
      </c>
      <c r="G358" s="2">
        <f>IFERROR(__xludf.DUMMYFUNCTION("""COMPUTED_VALUE"""),6.0)</f>
        <v>6</v>
      </c>
      <c r="H358" s="2" t="str">
        <f>IFERROR(__xludf.DUMMYFUNCTION("""COMPUTED_VALUE"""),"Renov.")</f>
        <v>Renov.</v>
      </c>
      <c r="I358" s="2" t="str">
        <f>IFERROR(__xludf.DUMMYFUNCTION("""COMPUTED_VALUE"""),"Brick")</f>
        <v>Brick</v>
      </c>
      <c r="J358" s="2" t="str">
        <f>IFERROR(__xludf.DUMMYFUNCTION("""COMPUTED_VALUE"""),"All amenities")</f>
        <v>All amenities</v>
      </c>
      <c r="K358" s="2">
        <f>IFERROR(__xludf.DUMMYFUNCTION("""COMPUTED_VALUE"""),298544.0)</f>
        <v>298544</v>
      </c>
      <c r="L358" s="2">
        <f>IFERROR(__xludf.DUMMYFUNCTION("""COMPUTED_VALUE"""),56.9539256)</f>
        <v>56.9539256</v>
      </c>
      <c r="M358" s="2">
        <f>IFERROR(__xludf.DUMMYFUNCTION("""COMPUTED_VALUE"""),24.1237609)</f>
        <v>24.1237609</v>
      </c>
    </row>
    <row r="359">
      <c r="A359" s="2" t="str">
        <f>IFERROR(__xludf.DUMMYFUNCTION("""COMPUTED_VALUE"""),"For sale")</f>
        <v>For sale</v>
      </c>
      <c r="B359" s="2" t="str">
        <f>IFERROR(__xludf.DUMMYFUNCTION("""COMPUTED_VALUE"""),"Pļavnieki")</f>
        <v>Pļavnieki</v>
      </c>
      <c r="C359" s="2" t="str">
        <f>IFERROR(__xludf.DUMMYFUNCTION("""COMPUTED_VALUE"""),"Ilūkstes 41")</f>
        <v>Ilūkstes 41</v>
      </c>
      <c r="D359" s="2">
        <f>IFERROR(__xludf.DUMMYFUNCTION("""COMPUTED_VALUE"""),2.0)</f>
        <v>2</v>
      </c>
      <c r="E359" s="2">
        <f>IFERROR(__xludf.DUMMYFUNCTION("""COMPUTED_VALUE"""),60.0)</f>
        <v>60</v>
      </c>
      <c r="F359" s="2">
        <f>IFERROR(__xludf.DUMMYFUNCTION("""COMPUTED_VALUE"""),2.0)</f>
        <v>2</v>
      </c>
      <c r="G359" s="2">
        <f>IFERROR(__xludf.DUMMYFUNCTION("""COMPUTED_VALUE"""),2.0)</f>
        <v>2</v>
      </c>
      <c r="H359" s="2" t="str">
        <f>IFERROR(__xludf.DUMMYFUNCTION("""COMPUTED_VALUE"""),"Priv. m.")</f>
        <v>Priv. m.</v>
      </c>
      <c r="I359" s="2" t="str">
        <f>IFERROR(__xludf.DUMMYFUNCTION("""COMPUTED_VALUE"""),"Masonry")</f>
        <v>Masonry</v>
      </c>
      <c r="J359" s="2" t="str">
        <f>IFERROR(__xludf.DUMMYFUNCTION("""COMPUTED_VALUE"""),"All amenities")</f>
        <v>All amenities</v>
      </c>
      <c r="K359" s="2">
        <f>IFERROR(__xludf.DUMMYFUNCTION("""COMPUTED_VALUE"""),45000.0)</f>
        <v>45000</v>
      </c>
      <c r="L359" s="2">
        <f>IFERROR(__xludf.DUMMYFUNCTION("""COMPUTED_VALUE"""),56.9385731499999)</f>
        <v>56.93857315</v>
      </c>
      <c r="M359" s="2">
        <f>IFERROR(__xludf.DUMMYFUNCTION("""COMPUTED_VALUE"""),24.19441621579)</f>
        <v>24.19441622</v>
      </c>
    </row>
    <row r="360">
      <c r="A360" s="2" t="str">
        <f>IFERROR(__xludf.DUMMYFUNCTION("""COMPUTED_VALUE"""),"For sale")</f>
        <v>For sale</v>
      </c>
      <c r="B360" s="2" t="str">
        <f>IFERROR(__xludf.DUMMYFUNCTION("""COMPUTED_VALUE"""),"centrs")</f>
        <v>centrs</v>
      </c>
      <c r="C360" s="2" t="str">
        <f>IFERROR(__xludf.DUMMYFUNCTION("""COMPUTED_VALUE"""),"Blaumaņa 9")</f>
        <v>Blaumaņa 9</v>
      </c>
      <c r="D360" s="2">
        <f>IFERROR(__xludf.DUMMYFUNCTION("""COMPUTED_VALUE"""),1.0)</f>
        <v>1</v>
      </c>
      <c r="E360" s="2">
        <f>IFERROR(__xludf.DUMMYFUNCTION("""COMPUTED_VALUE"""),33.0)</f>
        <v>33</v>
      </c>
      <c r="F360" s="2">
        <f>IFERROR(__xludf.DUMMYFUNCTION("""COMPUTED_VALUE"""),1.0)</f>
        <v>1</v>
      </c>
      <c r="G360" s="2">
        <f>IFERROR(__xludf.DUMMYFUNCTION("""COMPUTED_VALUE"""),6.0)</f>
        <v>6</v>
      </c>
      <c r="H360" s="2" t="str">
        <f>IFERROR(__xludf.DUMMYFUNCTION("""COMPUTED_VALUE"""),"Renov.")</f>
        <v>Renov.</v>
      </c>
      <c r="I360" s="2" t="str">
        <f>IFERROR(__xludf.DUMMYFUNCTION("""COMPUTED_VALUE"""),"Masonry")</f>
        <v>Masonry</v>
      </c>
      <c r="J360" s="2" t="str">
        <f>IFERROR(__xludf.DUMMYFUNCTION("""COMPUTED_VALUE"""),"All amenities")</f>
        <v>All amenities</v>
      </c>
      <c r="K360" s="2">
        <f>IFERROR(__xludf.DUMMYFUNCTION("""COMPUTED_VALUE"""),43956.0)</f>
        <v>43956</v>
      </c>
      <c r="L360" s="2">
        <f>IFERROR(__xludf.DUMMYFUNCTION("""COMPUTED_VALUE"""),56.9539256)</f>
        <v>56.9539256</v>
      </c>
      <c r="M360" s="2">
        <f>IFERROR(__xludf.DUMMYFUNCTION("""COMPUTED_VALUE"""),24.1237609)</f>
        <v>24.1237609</v>
      </c>
    </row>
    <row r="361">
      <c r="A361" s="2" t="str">
        <f>IFERROR(__xludf.DUMMYFUNCTION("""COMPUTED_VALUE"""),"For sale")</f>
        <v>For sale</v>
      </c>
      <c r="B361" s="2" t="str">
        <f>IFERROR(__xludf.DUMMYFUNCTION("""COMPUTED_VALUE"""),"centrs")</f>
        <v>centrs</v>
      </c>
      <c r="C361" s="2" t="str">
        <f>IFERROR(__xludf.DUMMYFUNCTION("""COMPUTED_VALUE"""),"Avotu 4")</f>
        <v>Avotu 4</v>
      </c>
      <c r="D361" s="2">
        <f>IFERROR(__xludf.DUMMYFUNCTION("""COMPUTED_VALUE"""),1.0)</f>
        <v>1</v>
      </c>
      <c r="E361" s="2">
        <f>IFERROR(__xludf.DUMMYFUNCTION("""COMPUTED_VALUE"""),21.0)</f>
        <v>21</v>
      </c>
      <c r="F361" s="2">
        <f>IFERROR(__xludf.DUMMYFUNCTION("""COMPUTED_VALUE"""),2.0)</f>
        <v>2</v>
      </c>
      <c r="G361" s="2">
        <f>IFERROR(__xludf.DUMMYFUNCTION("""COMPUTED_VALUE"""),5.0)</f>
        <v>5</v>
      </c>
      <c r="H361" s="2" t="str">
        <f>IFERROR(__xludf.DUMMYFUNCTION("""COMPUTED_VALUE"""),"Renov.")</f>
        <v>Renov.</v>
      </c>
      <c r="I361" s="2" t="str">
        <f>IFERROR(__xludf.DUMMYFUNCTION("""COMPUTED_VALUE"""),"Masonry")</f>
        <v>Masonry</v>
      </c>
      <c r="J361" s="2" t="str">
        <f>IFERROR(__xludf.DUMMYFUNCTION("""COMPUTED_VALUE"""),"All amenities")</f>
        <v>All amenities</v>
      </c>
      <c r="K361" s="2">
        <f>IFERROR(__xludf.DUMMYFUNCTION("""COMPUTED_VALUE"""),37500.0)</f>
        <v>37500</v>
      </c>
      <c r="L361" s="2">
        <f>IFERROR(__xludf.DUMMYFUNCTION("""COMPUTED_VALUE"""),56.9508163)</f>
        <v>56.9508163</v>
      </c>
      <c r="M361" s="2">
        <f>IFERROR(__xludf.DUMMYFUNCTION("""COMPUTED_VALUE"""),24.1271389)</f>
        <v>24.1271389</v>
      </c>
    </row>
    <row r="362">
      <c r="A362" s="2" t="str">
        <f>IFERROR(__xludf.DUMMYFUNCTION("""COMPUTED_VALUE"""),"For sale")</f>
        <v>For sale</v>
      </c>
      <c r="B362" s="2" t="str">
        <f>IFERROR(__xludf.DUMMYFUNCTION("""COMPUTED_VALUE"""),"Ziepniekkalns")</f>
        <v>Ziepniekkalns</v>
      </c>
      <c r="C362" s="2" t="str">
        <f>IFERROR(__xludf.DUMMYFUNCTION("""COMPUTED_VALUE"""),"Ozolciema 18")</f>
        <v>Ozolciema 18</v>
      </c>
      <c r="D362" s="2">
        <f>IFERROR(__xludf.DUMMYFUNCTION("""COMPUTED_VALUE"""),1.0)</f>
        <v>1</v>
      </c>
      <c r="E362" s="2">
        <f>IFERROR(__xludf.DUMMYFUNCTION("""COMPUTED_VALUE"""),46.0)</f>
        <v>46</v>
      </c>
      <c r="F362" s="2">
        <f>IFERROR(__xludf.DUMMYFUNCTION("""COMPUTED_VALUE"""),2.0)</f>
        <v>2</v>
      </c>
      <c r="G362" s="2">
        <f>IFERROR(__xludf.DUMMYFUNCTION("""COMPUTED_VALUE"""),9.0)</f>
        <v>9</v>
      </c>
      <c r="H362" s="2">
        <f>IFERROR(__xludf.DUMMYFUNCTION("""COMPUTED_VALUE"""),119.0)</f>
        <v>119</v>
      </c>
      <c r="I362" s="2" t="str">
        <f>IFERROR(__xludf.DUMMYFUNCTION("""COMPUTED_VALUE"""),"Panel")</f>
        <v>Panel</v>
      </c>
      <c r="J362" s="2" t="str">
        <f>IFERROR(__xludf.DUMMYFUNCTION("""COMPUTED_VALUE"""),"All amenities")</f>
        <v>All amenities</v>
      </c>
      <c r="K362" s="2">
        <f>IFERROR(__xludf.DUMMYFUNCTION("""COMPUTED_VALUE"""),45000.0)</f>
        <v>45000</v>
      </c>
      <c r="L362" s="2">
        <f>IFERROR(__xludf.DUMMYFUNCTION("""COMPUTED_VALUE"""),56.89859735)</f>
        <v>56.89859735</v>
      </c>
      <c r="M362" s="2">
        <f>IFERROR(__xludf.DUMMYFUNCTION("""COMPUTED_VALUE"""),24.0876707999998)</f>
        <v>24.0876708</v>
      </c>
    </row>
    <row r="363">
      <c r="A363" s="2" t="str">
        <f>IFERROR(__xludf.DUMMYFUNCTION("""COMPUTED_VALUE"""),"For rent")</f>
        <v>For rent</v>
      </c>
      <c r="B363" s="2" t="str">
        <f>IFERROR(__xludf.DUMMYFUNCTION("""COMPUTED_VALUE"""),"Iļģuciems")</f>
        <v>Iļģuciems</v>
      </c>
      <c r="C363" s="2" t="str">
        <f>IFERROR(__xludf.DUMMYFUNCTION("""COMPUTED_VALUE"""),"Sniķeres 24")</f>
        <v>Sniķeres 24</v>
      </c>
      <c r="D363" s="2">
        <f>IFERROR(__xludf.DUMMYFUNCTION("""COMPUTED_VALUE"""),1.0)</f>
        <v>1</v>
      </c>
      <c r="E363" s="2">
        <f>IFERROR(__xludf.DUMMYFUNCTION("""COMPUTED_VALUE"""),27.0)</f>
        <v>27</v>
      </c>
      <c r="F363" s="2">
        <f>IFERROR(__xludf.DUMMYFUNCTION("""COMPUTED_VALUE"""),1.0)</f>
        <v>1</v>
      </c>
      <c r="G363" s="2">
        <f>IFERROR(__xludf.DUMMYFUNCTION("""COMPUTED_VALUE"""),1.0)</f>
        <v>1</v>
      </c>
      <c r="H363" s="2" t="str">
        <f>IFERROR(__xludf.DUMMYFUNCTION("""COMPUTED_VALUE"""),"Priv. m.")</f>
        <v>Priv. m.</v>
      </c>
      <c r="I363" s="2" t="str">
        <f>IFERROR(__xludf.DUMMYFUNCTION("""COMPUTED_VALUE"""),"Wood")</f>
        <v>Wood</v>
      </c>
      <c r="J363" s="2" t="str">
        <f>IFERROR(__xludf.DUMMYFUNCTION("""COMPUTED_VALUE"""),"All amenities")</f>
        <v>All amenities</v>
      </c>
      <c r="K363" s="2">
        <f>IFERROR(__xludf.DUMMYFUNCTION("""COMPUTED_VALUE"""),25.0)</f>
        <v>25</v>
      </c>
      <c r="L363" s="2">
        <f>IFERROR(__xludf.DUMMYFUNCTION("""COMPUTED_VALUE"""),56.96885415)</f>
        <v>56.96885415</v>
      </c>
      <c r="M363" s="2">
        <f>IFERROR(__xludf.DUMMYFUNCTION("""COMPUTED_VALUE"""),24.04099955)</f>
        <v>24.04099955</v>
      </c>
    </row>
    <row r="364">
      <c r="A364" s="2" t="str">
        <f>IFERROR(__xludf.DUMMYFUNCTION("""COMPUTED_VALUE"""),"For sale")</f>
        <v>For sale</v>
      </c>
      <c r="B364" s="2" t="str">
        <f>IFERROR(__xludf.DUMMYFUNCTION("""COMPUTED_VALUE"""),"centrs")</f>
        <v>centrs</v>
      </c>
      <c r="C364" s="2" t="str">
        <f>IFERROR(__xludf.DUMMYFUNCTION("""COMPUTED_VALUE"""),"Blaumaņa 9")</f>
        <v>Blaumaņa 9</v>
      </c>
      <c r="D364" s="2">
        <f>IFERROR(__xludf.DUMMYFUNCTION("""COMPUTED_VALUE"""),4.0)</f>
        <v>4</v>
      </c>
      <c r="E364" s="2">
        <f>IFERROR(__xludf.DUMMYFUNCTION("""COMPUTED_VALUE"""),74.0)</f>
        <v>74</v>
      </c>
      <c r="F364" s="2">
        <f>IFERROR(__xludf.DUMMYFUNCTION("""COMPUTED_VALUE"""),1.0)</f>
        <v>1</v>
      </c>
      <c r="G364" s="2">
        <f>IFERROR(__xludf.DUMMYFUNCTION("""COMPUTED_VALUE"""),6.0)</f>
        <v>6</v>
      </c>
      <c r="H364" s="2" t="str">
        <f>IFERROR(__xludf.DUMMYFUNCTION("""COMPUTED_VALUE"""),"Renov.")</f>
        <v>Renov.</v>
      </c>
      <c r="I364" s="2" t="str">
        <f>IFERROR(__xludf.DUMMYFUNCTION("""COMPUTED_VALUE"""),"Masonry")</f>
        <v>Masonry</v>
      </c>
      <c r="J364" s="2" t="str">
        <f>IFERROR(__xludf.DUMMYFUNCTION("""COMPUTED_VALUE"""),"All amenities")</f>
        <v>All amenities</v>
      </c>
      <c r="K364" s="2">
        <f>IFERROR(__xludf.DUMMYFUNCTION("""COMPUTED_VALUE"""),87961.0)</f>
        <v>87961</v>
      </c>
      <c r="L364" s="2">
        <f>IFERROR(__xludf.DUMMYFUNCTION("""COMPUTED_VALUE"""),56.9539256)</f>
        <v>56.9539256</v>
      </c>
      <c r="M364" s="2">
        <f>IFERROR(__xludf.DUMMYFUNCTION("""COMPUTED_VALUE"""),24.1237609)</f>
        <v>24.1237609</v>
      </c>
    </row>
    <row r="365">
      <c r="A365" s="2" t="str">
        <f>IFERROR(__xludf.DUMMYFUNCTION("""COMPUTED_VALUE"""),"For rent")</f>
        <v>For rent</v>
      </c>
      <c r="B365" s="2" t="str">
        <f>IFERROR(__xludf.DUMMYFUNCTION("""COMPUTED_VALUE"""),"centrs")</f>
        <v>centrs</v>
      </c>
      <c r="C365" s="2" t="str">
        <f>IFERROR(__xludf.DUMMYFUNCTION("""COMPUTED_VALUE"""),"Ģertrūdes 50")</f>
        <v>Ģertrūdes 50</v>
      </c>
      <c r="D365" s="2">
        <f>IFERROR(__xludf.DUMMYFUNCTION("""COMPUTED_VALUE"""),2.0)</f>
        <v>2</v>
      </c>
      <c r="E365" s="2">
        <f>IFERROR(__xludf.DUMMYFUNCTION("""COMPUTED_VALUE"""),45.0)</f>
        <v>45</v>
      </c>
      <c r="F365" s="2">
        <f>IFERROR(__xludf.DUMMYFUNCTION("""COMPUTED_VALUE"""),6.0)</f>
        <v>6</v>
      </c>
      <c r="G365" s="2">
        <f>IFERROR(__xludf.DUMMYFUNCTION("""COMPUTED_VALUE"""),6.0)</f>
        <v>6</v>
      </c>
      <c r="H365" s="2" t="str">
        <f>IFERROR(__xludf.DUMMYFUNCTION("""COMPUTED_VALUE"""),"P. kara")</f>
        <v>P. kara</v>
      </c>
      <c r="I365" s="2" t="str">
        <f>IFERROR(__xludf.DUMMYFUNCTION("""COMPUTED_VALUE"""),"Masonry")</f>
        <v>Masonry</v>
      </c>
      <c r="J365" s="2" t="str">
        <f>IFERROR(__xludf.DUMMYFUNCTION("""COMPUTED_VALUE"""),"All amenities")</f>
        <v>All amenities</v>
      </c>
      <c r="K365" s="2">
        <f>IFERROR(__xludf.DUMMYFUNCTION("""COMPUTED_VALUE"""),470.0)</f>
        <v>470</v>
      </c>
      <c r="L365" s="2">
        <f>IFERROR(__xludf.DUMMYFUNCTION("""COMPUTED_VALUE"""),56.9524681)</f>
        <v>56.9524681</v>
      </c>
      <c r="M365" s="2">
        <f>IFERROR(__xludf.DUMMYFUNCTION("""COMPUTED_VALUE"""),24.1310843043399)</f>
        <v>24.1310843</v>
      </c>
    </row>
    <row r="366">
      <c r="A366" s="2" t="str">
        <f>IFERROR(__xludf.DUMMYFUNCTION("""COMPUTED_VALUE"""),"For sale")</f>
        <v>For sale</v>
      </c>
      <c r="B366" s="2" t="str">
        <f>IFERROR(__xludf.DUMMYFUNCTION("""COMPUTED_VALUE"""),"Šķirotava")</f>
        <v>Šķirotava</v>
      </c>
      <c r="C366" s="2" t="str">
        <f>IFERROR(__xludf.DUMMYFUNCTION("""COMPUTED_VALUE"""),"Gravas 17")</f>
        <v>Gravas 17</v>
      </c>
      <c r="D366" s="2">
        <f>IFERROR(__xludf.DUMMYFUNCTION("""COMPUTED_VALUE"""),2.0)</f>
        <v>2</v>
      </c>
      <c r="E366" s="2">
        <f>IFERROR(__xludf.DUMMYFUNCTION("""COMPUTED_VALUE"""),44.0)</f>
        <v>44</v>
      </c>
      <c r="F366" s="2">
        <f>IFERROR(__xludf.DUMMYFUNCTION("""COMPUTED_VALUE"""),4.0)</f>
        <v>4</v>
      </c>
      <c r="G366" s="2">
        <f>IFERROR(__xludf.DUMMYFUNCTION("""COMPUTED_VALUE"""),5.0)</f>
        <v>5</v>
      </c>
      <c r="H366" s="2" t="str">
        <f>IFERROR(__xludf.DUMMYFUNCTION("""COMPUTED_VALUE"""),"Jaun.")</f>
        <v>Jaun.</v>
      </c>
      <c r="I366" s="2" t="str">
        <f>IFERROR(__xludf.DUMMYFUNCTION("""COMPUTED_VALUE"""),"Panel-Brick")</f>
        <v>Panel-Brick</v>
      </c>
      <c r="J366" s="2" t="str">
        <f>IFERROR(__xludf.DUMMYFUNCTION("""COMPUTED_VALUE"""),"All amenities")</f>
        <v>All amenities</v>
      </c>
      <c r="K366" s="2">
        <f>IFERROR(__xludf.DUMMYFUNCTION("""COMPUTED_VALUE"""),53000.0)</f>
        <v>53000</v>
      </c>
      <c r="L366" s="2">
        <f>IFERROR(__xludf.DUMMYFUNCTION("""COMPUTED_VALUE"""),56.9051508999999)</f>
        <v>56.9051509</v>
      </c>
      <c r="M366" s="2">
        <f>IFERROR(__xludf.DUMMYFUNCTION("""COMPUTED_VALUE"""),24.2295887977555)</f>
        <v>24.2295888</v>
      </c>
    </row>
    <row r="367">
      <c r="A367" s="2" t="str">
        <f>IFERROR(__xludf.DUMMYFUNCTION("""COMPUTED_VALUE"""),"For rent")</f>
        <v>For rent</v>
      </c>
      <c r="B367" s="2" t="str">
        <f>IFERROR(__xludf.DUMMYFUNCTION("""COMPUTED_VALUE"""),"Bolderāja")</f>
        <v>Bolderāja</v>
      </c>
      <c r="C367" s="2" t="str">
        <f>IFERROR(__xludf.DUMMYFUNCTION("""COMPUTED_VALUE"""),"Dolomīta 2")</f>
        <v>Dolomīta 2</v>
      </c>
      <c r="D367" s="2">
        <f>IFERROR(__xludf.DUMMYFUNCTION("""COMPUTED_VALUE"""),1.0)</f>
        <v>1</v>
      </c>
      <c r="E367" s="2">
        <f>IFERROR(__xludf.DUMMYFUNCTION("""COMPUTED_VALUE"""),32.0)</f>
        <v>32</v>
      </c>
      <c r="F367" s="2">
        <f>IFERROR(__xludf.DUMMYFUNCTION("""COMPUTED_VALUE"""),5.0)</f>
        <v>5</v>
      </c>
      <c r="G367" s="2">
        <f>IFERROR(__xludf.DUMMYFUNCTION("""COMPUTED_VALUE"""),5.0)</f>
        <v>5</v>
      </c>
      <c r="H367" s="2" t="str">
        <f>IFERROR(__xludf.DUMMYFUNCTION("""COMPUTED_VALUE"""),"Hrušč.")</f>
        <v>Hrušč.</v>
      </c>
      <c r="I367" s="2" t="str">
        <f>IFERROR(__xludf.DUMMYFUNCTION("""COMPUTED_VALUE"""),"Brick")</f>
        <v>Brick</v>
      </c>
      <c r="J367" s="2" t="str">
        <f>IFERROR(__xludf.DUMMYFUNCTION("""COMPUTED_VALUE"""),"All amenities")</f>
        <v>All amenities</v>
      </c>
      <c r="K367" s="2">
        <f>IFERROR(__xludf.DUMMYFUNCTION("""COMPUTED_VALUE"""),190.0)</f>
        <v>190</v>
      </c>
      <c r="L367" s="2">
        <f>IFERROR(__xludf.DUMMYFUNCTION("""COMPUTED_VALUE"""),57.0264399)</f>
        <v>57.0264399</v>
      </c>
      <c r="M367" s="2">
        <f>IFERROR(__xludf.DUMMYFUNCTION("""COMPUTED_VALUE"""),24.0391971)</f>
        <v>24.0391971</v>
      </c>
    </row>
    <row r="368">
      <c r="A368" s="2" t="str">
        <f>IFERROR(__xludf.DUMMYFUNCTION("""COMPUTED_VALUE"""),"For rent")</f>
        <v>For rent</v>
      </c>
      <c r="B368" s="2" t="str">
        <f>IFERROR(__xludf.DUMMYFUNCTION("""COMPUTED_VALUE"""),"Bolderāja")</f>
        <v>Bolderāja</v>
      </c>
      <c r="C368" s="2" t="str">
        <f>IFERROR(__xludf.DUMMYFUNCTION("""COMPUTED_VALUE"""),"Stagaru 4")</f>
        <v>Stagaru 4</v>
      </c>
      <c r="D368" s="2">
        <f>IFERROR(__xludf.DUMMYFUNCTION("""COMPUTED_VALUE"""),1.0)</f>
        <v>1</v>
      </c>
      <c r="E368" s="2">
        <f>IFERROR(__xludf.DUMMYFUNCTION("""COMPUTED_VALUE"""),38.0)</f>
        <v>38</v>
      </c>
      <c r="F368" s="2">
        <f>IFERROR(__xludf.DUMMYFUNCTION("""COMPUTED_VALUE"""),4.0)</f>
        <v>4</v>
      </c>
      <c r="G368" s="2">
        <f>IFERROR(__xludf.DUMMYFUNCTION("""COMPUTED_VALUE"""),5.0)</f>
        <v>5</v>
      </c>
      <c r="H368" s="2" t="str">
        <f>IFERROR(__xludf.DUMMYFUNCTION("""COMPUTED_VALUE"""),"M. ģim.")</f>
        <v>M. ģim.</v>
      </c>
      <c r="I368" s="2" t="str">
        <f>IFERROR(__xludf.DUMMYFUNCTION("""COMPUTED_VALUE"""),"Brick-Panel")</f>
        <v>Brick-Panel</v>
      </c>
      <c r="J368" s="2" t="str">
        <f>IFERROR(__xludf.DUMMYFUNCTION("""COMPUTED_VALUE"""),"Partial amenities")</f>
        <v>Partial amenities</v>
      </c>
      <c r="K368" s="2">
        <f>IFERROR(__xludf.DUMMYFUNCTION("""COMPUTED_VALUE"""),140.0)</f>
        <v>140</v>
      </c>
      <c r="L368" s="2">
        <f>IFERROR(__xludf.DUMMYFUNCTION("""COMPUTED_VALUE"""),57.02965155)</f>
        <v>57.02965155</v>
      </c>
      <c r="M368" s="2">
        <f>IFERROR(__xludf.DUMMYFUNCTION("""COMPUTED_VALUE"""),24.0359751945236)</f>
        <v>24.03597519</v>
      </c>
    </row>
    <row r="369">
      <c r="A369" s="2" t="str">
        <f>IFERROR(__xludf.DUMMYFUNCTION("""COMPUTED_VALUE"""),"For rent")</f>
        <v>For rent</v>
      </c>
      <c r="B369" s="2" t="str">
        <f>IFERROR(__xludf.DUMMYFUNCTION("""COMPUTED_VALUE"""),"Kundziņsala")</f>
        <v>Kundziņsala</v>
      </c>
      <c r="C369" s="2" t="str">
        <f>IFERROR(__xludf.DUMMYFUNCTION("""COMPUTED_VALUE"""),"Kundziņsalas 8. šķ. l. 3")</f>
        <v>Kundziņsalas 8. šķ. l. 3</v>
      </c>
      <c r="D369" s="2">
        <f>IFERROR(__xludf.DUMMYFUNCTION("""COMPUTED_VALUE"""),1.0)</f>
        <v>1</v>
      </c>
      <c r="E369" s="2">
        <f>IFERROR(__xludf.DUMMYFUNCTION("""COMPUTED_VALUE"""),32.0)</f>
        <v>32</v>
      </c>
      <c r="F369" s="2">
        <f>IFERROR(__xludf.DUMMYFUNCTION("""COMPUTED_VALUE"""),1.0)</f>
        <v>1</v>
      </c>
      <c r="G369" s="2">
        <f>IFERROR(__xludf.DUMMYFUNCTION("""COMPUTED_VALUE"""),2.0)</f>
        <v>2</v>
      </c>
      <c r="H369" s="2" t="str">
        <f>IFERROR(__xludf.DUMMYFUNCTION("""COMPUTED_VALUE"""),"P. kara")</f>
        <v>P. kara</v>
      </c>
      <c r="I369" s="2" t="str">
        <f>IFERROR(__xludf.DUMMYFUNCTION("""COMPUTED_VALUE"""),"Masonry")</f>
        <v>Masonry</v>
      </c>
      <c r="J369" s="2" t="str">
        <f>IFERROR(__xludf.DUMMYFUNCTION("""COMPUTED_VALUE"""),"All amenities")</f>
        <v>All amenities</v>
      </c>
      <c r="K369" s="2">
        <f>IFERROR(__xludf.DUMMYFUNCTION("""COMPUTED_VALUE"""),250.0)</f>
        <v>250</v>
      </c>
      <c r="L369" s="2" t="str">
        <f>IFERROR(__xludf.DUMMYFUNCTION("""COMPUTED_VALUE"""),"NaN")</f>
        <v>NaN</v>
      </c>
      <c r="M369" s="2" t="str">
        <f>IFERROR(__xludf.DUMMYFUNCTION("""COMPUTED_VALUE"""),"NaN")</f>
        <v>NaN</v>
      </c>
    </row>
    <row r="370">
      <c r="A370" s="2" t="str">
        <f>IFERROR(__xludf.DUMMYFUNCTION("""COMPUTED_VALUE"""),"For rent")</f>
        <v>For rent</v>
      </c>
      <c r="B370" s="2" t="str">
        <f>IFERROR(__xludf.DUMMYFUNCTION("""COMPUTED_VALUE"""),"Mežciems")</f>
        <v>Mežciems</v>
      </c>
      <c r="C370" s="2" t="str">
        <f>IFERROR(__xludf.DUMMYFUNCTION("""COMPUTED_VALUE"""),"Mežciema 23")</f>
        <v>Mežciema 23</v>
      </c>
      <c r="D370" s="2">
        <f>IFERROR(__xludf.DUMMYFUNCTION("""COMPUTED_VALUE"""),1.0)</f>
        <v>1</v>
      </c>
      <c r="E370" s="2">
        <f>IFERROR(__xludf.DUMMYFUNCTION("""COMPUTED_VALUE"""),49.0)</f>
        <v>49</v>
      </c>
      <c r="F370" s="2">
        <f>IFERROR(__xludf.DUMMYFUNCTION("""COMPUTED_VALUE"""),2.0)</f>
        <v>2</v>
      </c>
      <c r="G370" s="2">
        <f>IFERROR(__xludf.DUMMYFUNCTION("""COMPUTED_VALUE"""),16.0)</f>
        <v>16</v>
      </c>
      <c r="H370" s="2">
        <f>IFERROR(__xludf.DUMMYFUNCTION("""COMPUTED_VALUE"""),104.0)</f>
        <v>104</v>
      </c>
      <c r="I370" s="2" t="str">
        <f>IFERROR(__xludf.DUMMYFUNCTION("""COMPUTED_VALUE"""),"Panel")</f>
        <v>Panel</v>
      </c>
      <c r="J370" s="2" t="str">
        <f>IFERROR(__xludf.DUMMYFUNCTION("""COMPUTED_VALUE"""),"All amenities")</f>
        <v>All amenities</v>
      </c>
      <c r="K370" s="2">
        <f>IFERROR(__xludf.DUMMYFUNCTION("""COMPUTED_VALUE"""),280.0)</f>
        <v>280</v>
      </c>
      <c r="L370" s="2">
        <f>IFERROR(__xludf.DUMMYFUNCTION("""COMPUTED_VALUE"""),56.971605)</f>
        <v>56.971605</v>
      </c>
      <c r="M370" s="2">
        <f>IFERROR(__xludf.DUMMYFUNCTION("""COMPUTED_VALUE"""),24.2340818)</f>
        <v>24.2340818</v>
      </c>
    </row>
    <row r="371">
      <c r="A371" s="2" t="str">
        <f>IFERROR(__xludf.DUMMYFUNCTION("""COMPUTED_VALUE"""),"For rent")</f>
        <v>For rent</v>
      </c>
      <c r="B371" s="2" t="str">
        <f>IFERROR(__xludf.DUMMYFUNCTION("""COMPUTED_VALUE"""),"Grīziņkalns")</f>
        <v>Grīziņkalns</v>
      </c>
      <c r="C371" s="2" t="str">
        <f>IFERROR(__xludf.DUMMYFUNCTION("""COMPUTED_VALUE"""),"Alauksta 9")</f>
        <v>Alauksta 9</v>
      </c>
      <c r="D371" s="2">
        <f>IFERROR(__xludf.DUMMYFUNCTION("""COMPUTED_VALUE"""),1.0)</f>
        <v>1</v>
      </c>
      <c r="E371" s="2">
        <f>IFERROR(__xludf.DUMMYFUNCTION("""COMPUTED_VALUE"""),45.0)</f>
        <v>45</v>
      </c>
      <c r="F371" s="2">
        <f>IFERROR(__xludf.DUMMYFUNCTION("""COMPUTED_VALUE"""),4.0)</f>
        <v>4</v>
      </c>
      <c r="G371" s="2">
        <f>IFERROR(__xludf.DUMMYFUNCTION("""COMPUTED_VALUE"""),6.0)</f>
        <v>6</v>
      </c>
      <c r="H371" s="2" t="str">
        <f>IFERROR(__xludf.DUMMYFUNCTION("""COMPUTED_VALUE"""),"Jaun.")</f>
        <v>Jaun.</v>
      </c>
      <c r="I371" s="2" t="str">
        <f>IFERROR(__xludf.DUMMYFUNCTION("""COMPUTED_VALUE"""),"Brick-Panel")</f>
        <v>Brick-Panel</v>
      </c>
      <c r="J371" s="2" t="str">
        <f>IFERROR(__xludf.DUMMYFUNCTION("""COMPUTED_VALUE"""),"All amenities")</f>
        <v>All amenities</v>
      </c>
      <c r="K371" s="2">
        <f>IFERROR(__xludf.DUMMYFUNCTION("""COMPUTED_VALUE"""),400.0)</f>
        <v>400</v>
      </c>
      <c r="L371" s="2">
        <f>IFERROR(__xludf.DUMMYFUNCTION("""COMPUTED_VALUE"""),56.9610476)</f>
        <v>56.9610476</v>
      </c>
      <c r="M371" s="2">
        <f>IFERROR(__xludf.DUMMYFUNCTION("""COMPUTED_VALUE"""),24.1493694905674)</f>
        <v>24.14936949</v>
      </c>
    </row>
    <row r="372">
      <c r="A372" s="2" t="str">
        <f>IFERROR(__xludf.DUMMYFUNCTION("""COMPUTED_VALUE"""),"For sale")</f>
        <v>For sale</v>
      </c>
      <c r="B372" s="2" t="str">
        <f>IFERROR(__xludf.DUMMYFUNCTION("""COMPUTED_VALUE"""),"Āgenskalns")</f>
        <v>Āgenskalns</v>
      </c>
      <c r="C372" s="2" t="str">
        <f>IFERROR(__xludf.DUMMYFUNCTION("""COMPUTED_VALUE"""),"Kuldīgas 45")</f>
        <v>Kuldīgas 45</v>
      </c>
      <c r="D372" s="2">
        <f>IFERROR(__xludf.DUMMYFUNCTION("""COMPUTED_VALUE"""),1.0)</f>
        <v>1</v>
      </c>
      <c r="E372" s="2">
        <f>IFERROR(__xludf.DUMMYFUNCTION("""COMPUTED_VALUE"""),20.0)</f>
        <v>20</v>
      </c>
      <c r="F372" s="2">
        <f>IFERROR(__xludf.DUMMYFUNCTION("""COMPUTED_VALUE"""),2.0)</f>
        <v>2</v>
      </c>
      <c r="G372" s="2">
        <f>IFERROR(__xludf.DUMMYFUNCTION("""COMPUTED_VALUE"""),3.0)</f>
        <v>3</v>
      </c>
      <c r="H372" s="2" t="str">
        <f>IFERROR(__xludf.DUMMYFUNCTION("""COMPUTED_VALUE"""),"P. kara")</f>
        <v>P. kara</v>
      </c>
      <c r="I372" s="2" t="str">
        <f>IFERROR(__xludf.DUMMYFUNCTION("""COMPUTED_VALUE"""),"Wood")</f>
        <v>Wood</v>
      </c>
      <c r="J372" s="2" t="str">
        <f>IFERROR(__xludf.DUMMYFUNCTION("""COMPUTED_VALUE"""),"All amenities")</f>
        <v>All amenities</v>
      </c>
      <c r="K372" s="2">
        <f>IFERROR(__xludf.DUMMYFUNCTION("""COMPUTED_VALUE"""),14500.0)</f>
        <v>14500</v>
      </c>
      <c r="L372" s="2">
        <f>IFERROR(__xludf.DUMMYFUNCTION("""COMPUTED_VALUE"""),56.94521285)</f>
        <v>56.94521285</v>
      </c>
      <c r="M372" s="2">
        <f>IFERROR(__xludf.DUMMYFUNCTION("""COMPUTED_VALUE"""),24.0558636462604)</f>
        <v>24.05586365</v>
      </c>
    </row>
    <row r="373">
      <c r="A373" s="2" t="str">
        <f>IFERROR(__xludf.DUMMYFUNCTION("""COMPUTED_VALUE"""),"For sale")</f>
        <v>For sale</v>
      </c>
      <c r="B373" s="2" t="str">
        <f>IFERROR(__xludf.DUMMYFUNCTION("""COMPUTED_VALUE"""),"Daugavgrīva")</f>
        <v>Daugavgrīva</v>
      </c>
      <c r="C373" s="2" t="str">
        <f>IFERROR(__xludf.DUMMYFUNCTION("""COMPUTED_VALUE"""),"Parādes 22")</f>
        <v>Parādes 22</v>
      </c>
      <c r="D373" s="2">
        <f>IFERROR(__xludf.DUMMYFUNCTION("""COMPUTED_VALUE"""),2.0)</f>
        <v>2</v>
      </c>
      <c r="E373" s="2">
        <f>IFERROR(__xludf.DUMMYFUNCTION("""COMPUTED_VALUE"""),41.0)</f>
        <v>41</v>
      </c>
      <c r="F373" s="2">
        <f>IFERROR(__xludf.DUMMYFUNCTION("""COMPUTED_VALUE"""),3.0)</f>
        <v>3</v>
      </c>
      <c r="G373" s="2">
        <f>IFERROR(__xludf.DUMMYFUNCTION("""COMPUTED_VALUE"""),5.0)</f>
        <v>5</v>
      </c>
      <c r="H373" s="2" t="str">
        <f>IFERROR(__xludf.DUMMYFUNCTION("""COMPUTED_VALUE"""),"Hrušč.")</f>
        <v>Hrušč.</v>
      </c>
      <c r="I373" s="2" t="str">
        <f>IFERROR(__xludf.DUMMYFUNCTION("""COMPUTED_VALUE"""),"Masonry")</f>
        <v>Masonry</v>
      </c>
      <c r="J373" s="2" t="str">
        <f>IFERROR(__xludf.DUMMYFUNCTION("""COMPUTED_VALUE"""),"All amenities")</f>
        <v>All amenities</v>
      </c>
      <c r="K373" s="2">
        <f>IFERROR(__xludf.DUMMYFUNCTION("""COMPUTED_VALUE"""),41900.0)</f>
        <v>41900</v>
      </c>
      <c r="L373" s="2">
        <f>IFERROR(__xludf.DUMMYFUNCTION("""COMPUTED_VALUE"""),57.03948115)</f>
        <v>57.03948115</v>
      </c>
      <c r="M373" s="2">
        <f>IFERROR(__xludf.DUMMYFUNCTION("""COMPUTED_VALUE"""),24.0254633)</f>
        <v>24.0254633</v>
      </c>
    </row>
    <row r="374">
      <c r="A374" s="2" t="str">
        <f>IFERROR(__xludf.DUMMYFUNCTION("""COMPUTED_VALUE"""),"For rent")</f>
        <v>For rent</v>
      </c>
      <c r="B374" s="2" t="str">
        <f>IFERROR(__xludf.DUMMYFUNCTION("""COMPUTED_VALUE"""),"centrs")</f>
        <v>centrs</v>
      </c>
      <c r="C374" s="2" t="str">
        <f>IFERROR(__xludf.DUMMYFUNCTION("""COMPUTED_VALUE"""),"Ģertrūdes 81")</f>
        <v>Ģertrūdes 81</v>
      </c>
      <c r="D374" s="2">
        <f>IFERROR(__xludf.DUMMYFUNCTION("""COMPUTED_VALUE"""),1.0)</f>
        <v>1</v>
      </c>
      <c r="E374" s="2">
        <f>IFERROR(__xludf.DUMMYFUNCTION("""COMPUTED_VALUE"""),45.0)</f>
        <v>45</v>
      </c>
      <c r="F374" s="2">
        <f>IFERROR(__xludf.DUMMYFUNCTION("""COMPUTED_VALUE"""),2.0)</f>
        <v>2</v>
      </c>
      <c r="G374" s="2">
        <f>IFERROR(__xludf.DUMMYFUNCTION("""COMPUTED_VALUE"""),3.0)</f>
        <v>3</v>
      </c>
      <c r="H374" s="2" t="str">
        <f>IFERROR(__xludf.DUMMYFUNCTION("""COMPUTED_VALUE"""),"Jaun.")</f>
        <v>Jaun.</v>
      </c>
      <c r="I374" s="2" t="str">
        <f>IFERROR(__xludf.DUMMYFUNCTION("""COMPUTED_VALUE"""),"Brick")</f>
        <v>Brick</v>
      </c>
      <c r="J374" s="2" t="str">
        <f>IFERROR(__xludf.DUMMYFUNCTION("""COMPUTED_VALUE"""),"All amenities")</f>
        <v>All amenities</v>
      </c>
      <c r="K374" s="2">
        <f>IFERROR(__xludf.DUMMYFUNCTION("""COMPUTED_VALUE"""),380.0)</f>
        <v>380</v>
      </c>
      <c r="L374" s="2">
        <f>IFERROR(__xludf.DUMMYFUNCTION("""COMPUTED_VALUE"""),56.9509613)</f>
        <v>56.9509613</v>
      </c>
      <c r="M374" s="2">
        <f>IFERROR(__xludf.DUMMYFUNCTION("""COMPUTED_VALUE"""),24.1346071)</f>
        <v>24.1346071</v>
      </c>
    </row>
    <row r="375">
      <c r="A375" s="2" t="str">
        <f>IFERROR(__xludf.DUMMYFUNCTION("""COMPUTED_VALUE"""),"For rent")</f>
        <v>For rent</v>
      </c>
      <c r="B375" s="2" t="str">
        <f>IFERROR(__xludf.DUMMYFUNCTION("""COMPUTED_VALUE"""),"Āgenskalns")</f>
        <v>Āgenskalns</v>
      </c>
      <c r="C375" s="2" t="str">
        <f>IFERROR(__xludf.DUMMYFUNCTION("""COMPUTED_VALUE"""),"Lielirbes 13")</f>
        <v>Lielirbes 13</v>
      </c>
      <c r="D375" s="2">
        <f>IFERROR(__xludf.DUMMYFUNCTION("""COMPUTED_VALUE"""),3.0)</f>
        <v>3</v>
      </c>
      <c r="E375" s="2">
        <f>IFERROR(__xludf.DUMMYFUNCTION("""COMPUTED_VALUE"""),90.0)</f>
        <v>90</v>
      </c>
      <c r="F375" s="2">
        <f>IFERROR(__xludf.DUMMYFUNCTION("""COMPUTED_VALUE"""),15.0)</f>
        <v>15</v>
      </c>
      <c r="G375" s="2">
        <f>IFERROR(__xludf.DUMMYFUNCTION("""COMPUTED_VALUE"""),30.0)</f>
        <v>30</v>
      </c>
      <c r="H375" s="2" t="str">
        <f>IFERROR(__xludf.DUMMYFUNCTION("""COMPUTED_VALUE"""),"Jaun.")</f>
        <v>Jaun.</v>
      </c>
      <c r="I375" s="2" t="str">
        <f>IFERROR(__xludf.DUMMYFUNCTION("""COMPUTED_VALUE"""),"Masonry")</f>
        <v>Masonry</v>
      </c>
      <c r="J375" s="2" t="str">
        <f>IFERROR(__xludf.DUMMYFUNCTION("""COMPUTED_VALUE"""),"All amenities")</f>
        <v>All amenities</v>
      </c>
      <c r="K375" s="2">
        <f>IFERROR(__xludf.DUMMYFUNCTION("""COMPUTED_VALUE"""),650.0)</f>
        <v>650</v>
      </c>
      <c r="L375" s="2">
        <f>IFERROR(__xludf.DUMMYFUNCTION("""COMPUTED_VALUE"""),56.9334996)</f>
        <v>56.9334996</v>
      </c>
      <c r="M375" s="2">
        <f>IFERROR(__xludf.DUMMYFUNCTION("""COMPUTED_VALUE"""),24.0424848)</f>
        <v>24.0424848</v>
      </c>
    </row>
    <row r="376">
      <c r="A376" s="2" t="str">
        <f>IFERROR(__xludf.DUMMYFUNCTION("""COMPUTED_VALUE"""),"For sale")</f>
        <v>For sale</v>
      </c>
      <c r="B376" s="2" t="str">
        <f>IFERROR(__xludf.DUMMYFUNCTION("""COMPUTED_VALUE"""),"centrs")</f>
        <v>centrs</v>
      </c>
      <c r="C376" s="2" t="str">
        <f>IFERROR(__xludf.DUMMYFUNCTION("""COMPUTED_VALUE"""),"Brīvības iela 165")</f>
        <v>Brīvības iela 165</v>
      </c>
      <c r="D376" s="2">
        <f>IFERROR(__xludf.DUMMYFUNCTION("""COMPUTED_VALUE"""),2.0)</f>
        <v>2</v>
      </c>
      <c r="E376" s="2">
        <f>IFERROR(__xludf.DUMMYFUNCTION("""COMPUTED_VALUE"""),61.0)</f>
        <v>61</v>
      </c>
      <c r="F376" s="2">
        <f>IFERROR(__xludf.DUMMYFUNCTION("""COMPUTED_VALUE"""),3.0)</f>
        <v>3</v>
      </c>
      <c r="G376" s="2">
        <f>IFERROR(__xludf.DUMMYFUNCTION("""COMPUTED_VALUE"""),5.0)</f>
        <v>5</v>
      </c>
      <c r="H376" s="2" t="str">
        <f>IFERROR(__xludf.DUMMYFUNCTION("""COMPUTED_VALUE"""),"Staļina")</f>
        <v>Staļina</v>
      </c>
      <c r="I376" s="2" t="str">
        <f>IFERROR(__xludf.DUMMYFUNCTION("""COMPUTED_VALUE"""),"Masonry")</f>
        <v>Masonry</v>
      </c>
      <c r="J376" s="2" t="str">
        <f>IFERROR(__xludf.DUMMYFUNCTION("""COMPUTED_VALUE"""),"All amenities")</f>
        <v>All amenities</v>
      </c>
      <c r="K376" s="2">
        <f>IFERROR(__xludf.DUMMYFUNCTION("""COMPUTED_VALUE"""),80000.0)</f>
        <v>80000</v>
      </c>
      <c r="L376" s="2">
        <f>IFERROR(__xludf.DUMMYFUNCTION("""COMPUTED_VALUE"""),56.96689285)</f>
        <v>56.96689285</v>
      </c>
      <c r="M376" s="2">
        <f>IFERROR(__xludf.DUMMYFUNCTION("""COMPUTED_VALUE"""),24.1462163385714)</f>
        <v>24.14621634</v>
      </c>
    </row>
    <row r="377">
      <c r="A377" s="2" t="str">
        <f>IFERROR(__xludf.DUMMYFUNCTION("""COMPUTED_VALUE"""),"For sale")</f>
        <v>For sale</v>
      </c>
      <c r="B377" s="2" t="str">
        <f>IFERROR(__xludf.DUMMYFUNCTION("""COMPUTED_VALUE"""),"Teika")</f>
        <v>Teika</v>
      </c>
      <c r="C377" s="2" t="str">
        <f>IFERROR(__xludf.DUMMYFUNCTION("""COMPUTED_VALUE"""),"Ķeguma 43")</f>
        <v>Ķeguma 43</v>
      </c>
      <c r="D377" s="2">
        <f>IFERROR(__xludf.DUMMYFUNCTION("""COMPUTED_VALUE"""),1.0)</f>
        <v>1</v>
      </c>
      <c r="E377" s="2">
        <f>IFERROR(__xludf.DUMMYFUNCTION("""COMPUTED_VALUE"""),43.0)</f>
        <v>43</v>
      </c>
      <c r="F377" s="2">
        <f>IFERROR(__xludf.DUMMYFUNCTION("""COMPUTED_VALUE"""),3.0)</f>
        <v>3</v>
      </c>
      <c r="G377" s="2">
        <f>IFERROR(__xludf.DUMMYFUNCTION("""COMPUTED_VALUE"""),5.0)</f>
        <v>5</v>
      </c>
      <c r="H377" s="2" t="str">
        <f>IFERROR(__xludf.DUMMYFUNCTION("""COMPUTED_VALUE"""),"M. ģim.")</f>
        <v>M. ģim.</v>
      </c>
      <c r="I377" s="2" t="str">
        <f>IFERROR(__xludf.DUMMYFUNCTION("""COMPUTED_VALUE"""),"Panel")</f>
        <v>Panel</v>
      </c>
      <c r="J377" s="2" t="str">
        <f>IFERROR(__xludf.DUMMYFUNCTION("""COMPUTED_VALUE"""),"All amenities")</f>
        <v>All amenities</v>
      </c>
      <c r="K377" s="2">
        <f>IFERROR(__xludf.DUMMYFUNCTION("""COMPUTED_VALUE"""),46200.0)</f>
        <v>46200</v>
      </c>
      <c r="L377" s="2">
        <f>IFERROR(__xludf.DUMMYFUNCTION("""COMPUTED_VALUE"""),56.96378645)</f>
        <v>56.96378645</v>
      </c>
      <c r="M377" s="2">
        <f>IFERROR(__xludf.DUMMYFUNCTION("""COMPUTED_VALUE"""),24.1961874494858)</f>
        <v>24.19618745</v>
      </c>
    </row>
    <row r="378">
      <c r="A378" s="2" t="str">
        <f>IFERROR(__xludf.DUMMYFUNCTION("""COMPUTED_VALUE"""),"For sale")</f>
        <v>For sale</v>
      </c>
      <c r="B378" s="2" t="str">
        <f>IFERROR(__xludf.DUMMYFUNCTION("""COMPUTED_VALUE"""),"Ziepniekkalns")</f>
        <v>Ziepniekkalns</v>
      </c>
      <c r="C378" s="2" t="str">
        <f>IFERROR(__xludf.DUMMYFUNCTION("""COMPUTED_VALUE"""),"Ozolciema 48")</f>
        <v>Ozolciema 48</v>
      </c>
      <c r="D378" s="2">
        <f>IFERROR(__xludf.DUMMYFUNCTION("""COMPUTED_VALUE"""),1.0)</f>
        <v>1</v>
      </c>
      <c r="E378" s="2">
        <f>IFERROR(__xludf.DUMMYFUNCTION("""COMPUTED_VALUE"""),45.0)</f>
        <v>45</v>
      </c>
      <c r="F378" s="2">
        <f>IFERROR(__xludf.DUMMYFUNCTION("""COMPUTED_VALUE"""),3.0)</f>
        <v>3</v>
      </c>
      <c r="G378" s="2">
        <f>IFERROR(__xludf.DUMMYFUNCTION("""COMPUTED_VALUE"""),9.0)</f>
        <v>9</v>
      </c>
      <c r="H378" s="2" t="str">
        <f>IFERROR(__xludf.DUMMYFUNCTION("""COMPUTED_VALUE"""),"M. ģim.")</f>
        <v>M. ģim.</v>
      </c>
      <c r="I378" s="2" t="str">
        <f>IFERROR(__xludf.DUMMYFUNCTION("""COMPUTED_VALUE"""),"Panel")</f>
        <v>Panel</v>
      </c>
      <c r="J378" s="2" t="str">
        <f>IFERROR(__xludf.DUMMYFUNCTION("""COMPUTED_VALUE"""),"All amenities")</f>
        <v>All amenities</v>
      </c>
      <c r="K378" s="2">
        <f>IFERROR(__xludf.DUMMYFUNCTION("""COMPUTED_VALUE"""),40700.0)</f>
        <v>40700</v>
      </c>
      <c r="L378" s="2">
        <f>IFERROR(__xludf.DUMMYFUNCTION("""COMPUTED_VALUE"""),56.9004870499999)</f>
        <v>56.90048705</v>
      </c>
      <c r="M378" s="2">
        <f>IFERROR(__xludf.DUMMYFUNCTION("""COMPUTED_VALUE"""),24.1006074257664)</f>
        <v>24.10060743</v>
      </c>
    </row>
    <row r="379">
      <c r="A379" s="2" t="str">
        <f>IFERROR(__xludf.DUMMYFUNCTION("""COMPUTED_VALUE"""),"For sale")</f>
        <v>For sale</v>
      </c>
      <c r="B379" s="2" t="str">
        <f>IFERROR(__xludf.DUMMYFUNCTION("""COMPUTED_VALUE"""),"centrs")</f>
        <v>centrs</v>
      </c>
      <c r="C379" s="2" t="str">
        <f>IFERROR(__xludf.DUMMYFUNCTION("""COMPUTED_VALUE"""),"Stabu 46")</f>
        <v>Stabu 46</v>
      </c>
      <c r="D379" s="2">
        <f>IFERROR(__xludf.DUMMYFUNCTION("""COMPUTED_VALUE"""),3.0)</f>
        <v>3</v>
      </c>
      <c r="E379" s="2">
        <f>IFERROR(__xludf.DUMMYFUNCTION("""COMPUTED_VALUE"""),74.0)</f>
        <v>74</v>
      </c>
      <c r="F379" s="2">
        <f>IFERROR(__xludf.DUMMYFUNCTION("""COMPUTED_VALUE"""),3.0)</f>
        <v>3</v>
      </c>
      <c r="G379" s="2">
        <f>IFERROR(__xludf.DUMMYFUNCTION("""COMPUTED_VALUE"""),6.0)</f>
        <v>6</v>
      </c>
      <c r="H379" s="2" t="str">
        <f>IFERROR(__xludf.DUMMYFUNCTION("""COMPUTED_VALUE"""),"P. kara")</f>
        <v>P. kara</v>
      </c>
      <c r="I379" s="2" t="str">
        <f>IFERROR(__xludf.DUMMYFUNCTION("""COMPUTED_VALUE"""),"Masonry")</f>
        <v>Masonry</v>
      </c>
      <c r="J379" s="2" t="str">
        <f>IFERROR(__xludf.DUMMYFUNCTION("""COMPUTED_VALUE"""),"All amenities")</f>
        <v>All amenities</v>
      </c>
      <c r="K379" s="2">
        <f>IFERROR(__xludf.DUMMYFUNCTION("""COMPUTED_VALUE"""),135000.0)</f>
        <v>135000</v>
      </c>
      <c r="L379" s="2">
        <f>IFERROR(__xludf.DUMMYFUNCTION("""COMPUTED_VALUE"""),56.9543322)</f>
        <v>56.9543322</v>
      </c>
      <c r="M379" s="2">
        <f>IFERROR(__xludf.DUMMYFUNCTION("""COMPUTED_VALUE"""),24.1313043698515)</f>
        <v>24.13130437</v>
      </c>
    </row>
    <row r="380">
      <c r="A380" s="2" t="str">
        <f>IFERROR(__xludf.DUMMYFUNCTION("""COMPUTED_VALUE"""),"For sale")</f>
        <v>For sale</v>
      </c>
      <c r="B380" s="2" t="str">
        <f>IFERROR(__xludf.DUMMYFUNCTION("""COMPUTED_VALUE"""),"centrs")</f>
        <v>centrs</v>
      </c>
      <c r="C380" s="2" t="str">
        <f>IFERROR(__xludf.DUMMYFUNCTION("""COMPUTED_VALUE"""),"Artilērijas 3")</f>
        <v>Artilērijas 3</v>
      </c>
      <c r="D380" s="2">
        <f>IFERROR(__xludf.DUMMYFUNCTION("""COMPUTED_VALUE"""),2.0)</f>
        <v>2</v>
      </c>
      <c r="E380" s="2">
        <f>IFERROR(__xludf.DUMMYFUNCTION("""COMPUTED_VALUE"""),46.0)</f>
        <v>46</v>
      </c>
      <c r="F380" s="2">
        <f>IFERROR(__xludf.DUMMYFUNCTION("""COMPUTED_VALUE"""),3.0)</f>
        <v>3</v>
      </c>
      <c r="G380" s="2">
        <f>IFERROR(__xludf.DUMMYFUNCTION("""COMPUTED_VALUE"""),5.0)</f>
        <v>5</v>
      </c>
      <c r="H380" s="2" t="str">
        <f>IFERROR(__xludf.DUMMYFUNCTION("""COMPUTED_VALUE"""),"P. kara")</f>
        <v>P. kara</v>
      </c>
      <c r="I380" s="2" t="str">
        <f>IFERROR(__xludf.DUMMYFUNCTION("""COMPUTED_VALUE"""),"Masonry")</f>
        <v>Masonry</v>
      </c>
      <c r="J380" s="2" t="str">
        <f>IFERROR(__xludf.DUMMYFUNCTION("""COMPUTED_VALUE"""),"All amenities")</f>
        <v>All amenities</v>
      </c>
      <c r="K380" s="2">
        <f>IFERROR(__xludf.DUMMYFUNCTION("""COMPUTED_VALUE"""),49000.0)</f>
        <v>49000</v>
      </c>
      <c r="L380" s="2">
        <f>IFERROR(__xludf.DUMMYFUNCTION("""COMPUTED_VALUE"""),56.96127015)</f>
        <v>56.96127015</v>
      </c>
      <c r="M380" s="2">
        <f>IFERROR(__xludf.DUMMYFUNCTION("""COMPUTED_VALUE"""),24.1354219163123)</f>
        <v>24.13542192</v>
      </c>
    </row>
    <row r="381">
      <c r="A381" s="2" t="str">
        <f>IFERROR(__xludf.DUMMYFUNCTION("""COMPUTED_VALUE"""),"For rent")</f>
        <v>For rent</v>
      </c>
      <c r="B381" s="2" t="str">
        <f>IFERROR(__xludf.DUMMYFUNCTION("""COMPUTED_VALUE"""),"centrs")</f>
        <v>centrs</v>
      </c>
      <c r="C381" s="2" t="str">
        <f>IFERROR(__xludf.DUMMYFUNCTION("""COMPUTED_VALUE"""),"Blaumaņa 56")</f>
        <v>Blaumaņa 56</v>
      </c>
      <c r="D381" s="2">
        <f>IFERROR(__xludf.DUMMYFUNCTION("""COMPUTED_VALUE"""),2.0)</f>
        <v>2</v>
      </c>
      <c r="E381" s="2">
        <f>IFERROR(__xludf.DUMMYFUNCTION("""COMPUTED_VALUE"""),64.0)</f>
        <v>64</v>
      </c>
      <c r="F381" s="2">
        <f>IFERROR(__xludf.DUMMYFUNCTION("""COMPUTED_VALUE"""),5.0)</f>
        <v>5</v>
      </c>
      <c r="G381" s="2">
        <f>IFERROR(__xludf.DUMMYFUNCTION("""COMPUTED_VALUE"""),6.0)</f>
        <v>6</v>
      </c>
      <c r="H381" s="2" t="str">
        <f>IFERROR(__xludf.DUMMYFUNCTION("""COMPUTED_VALUE"""),"P. kara")</f>
        <v>P. kara</v>
      </c>
      <c r="I381" s="2" t="str">
        <f>IFERROR(__xludf.DUMMYFUNCTION("""COMPUTED_VALUE"""),"Masonry")</f>
        <v>Masonry</v>
      </c>
      <c r="J381" s="2" t="str">
        <f>IFERROR(__xludf.DUMMYFUNCTION("""COMPUTED_VALUE"""),"All amenities")</f>
        <v>All amenities</v>
      </c>
      <c r="K381" s="2">
        <f>IFERROR(__xludf.DUMMYFUNCTION("""COMPUTED_VALUE"""),450.0)</f>
        <v>450</v>
      </c>
      <c r="L381" s="2">
        <f>IFERROR(__xludf.DUMMYFUNCTION("""COMPUTED_VALUE"""),56.9554547)</f>
        <v>56.9554547</v>
      </c>
      <c r="M381" s="2">
        <f>IFERROR(__xludf.DUMMYFUNCTION("""COMPUTED_VALUE"""),24.1216183)</f>
        <v>24.1216183</v>
      </c>
    </row>
    <row r="382">
      <c r="A382" s="2" t="str">
        <f>IFERROR(__xludf.DUMMYFUNCTION("""COMPUTED_VALUE"""),"For rent")</f>
        <v>For rent</v>
      </c>
      <c r="B382" s="2" t="str">
        <f>IFERROR(__xludf.DUMMYFUNCTION("""COMPUTED_VALUE"""),"Ziepniekkalns")</f>
        <v>Ziepniekkalns</v>
      </c>
      <c r="C382" s="2" t="str">
        <f>IFERROR(__xludf.DUMMYFUNCTION("""COMPUTED_VALUE"""),"Stērstu 22")</f>
        <v>Stērstu 22</v>
      </c>
      <c r="D382" s="2">
        <f>IFERROR(__xludf.DUMMYFUNCTION("""COMPUTED_VALUE"""),2.0)</f>
        <v>2</v>
      </c>
      <c r="E382" s="2">
        <f>IFERROR(__xludf.DUMMYFUNCTION("""COMPUTED_VALUE"""),40.0)</f>
        <v>40</v>
      </c>
      <c r="F382" s="2">
        <f>IFERROR(__xludf.DUMMYFUNCTION("""COMPUTED_VALUE"""),1.0)</f>
        <v>1</v>
      </c>
      <c r="G382" s="2">
        <f>IFERROR(__xludf.DUMMYFUNCTION("""COMPUTED_VALUE"""),2.0)</f>
        <v>2</v>
      </c>
      <c r="H382" s="2" t="str">
        <f>IFERROR(__xludf.DUMMYFUNCTION("""COMPUTED_VALUE"""),"Specpr.")</f>
        <v>Specpr.</v>
      </c>
      <c r="I382" s="2" t="str">
        <f>IFERROR(__xludf.DUMMYFUNCTION("""COMPUTED_VALUE"""),"Masonry")</f>
        <v>Masonry</v>
      </c>
      <c r="J382" s="2" t="str">
        <f>IFERROR(__xludf.DUMMYFUNCTION("""COMPUTED_VALUE"""),"Partial amenities")</f>
        <v>Partial amenities</v>
      </c>
      <c r="K382" s="2">
        <f>IFERROR(__xludf.DUMMYFUNCTION("""COMPUTED_VALUE"""),220.0)</f>
        <v>220</v>
      </c>
      <c r="L382" s="2">
        <f>IFERROR(__xludf.DUMMYFUNCTION("""COMPUTED_VALUE"""),56.9135917)</f>
        <v>56.9135917</v>
      </c>
      <c r="M382" s="2">
        <f>IFERROR(__xludf.DUMMYFUNCTION("""COMPUTED_VALUE"""),24.1141275)</f>
        <v>24.1141275</v>
      </c>
    </row>
    <row r="383">
      <c r="A383" s="2" t="str">
        <f>IFERROR(__xludf.DUMMYFUNCTION("""COMPUTED_VALUE"""),"For rent")</f>
        <v>For rent</v>
      </c>
      <c r="B383" s="2" t="str">
        <f>IFERROR(__xludf.DUMMYFUNCTION("""COMPUTED_VALUE"""),"centrs")</f>
        <v>centrs</v>
      </c>
      <c r="C383" s="2" t="str">
        <f>IFERROR(__xludf.DUMMYFUNCTION("""COMPUTED_VALUE"""),"Miera 93")</f>
        <v>Miera 93</v>
      </c>
      <c r="D383" s="2">
        <f>IFERROR(__xludf.DUMMYFUNCTION("""COMPUTED_VALUE"""),3.0)</f>
        <v>3</v>
      </c>
      <c r="E383" s="2">
        <f>IFERROR(__xludf.DUMMYFUNCTION("""COMPUTED_VALUE"""),89.0)</f>
        <v>89</v>
      </c>
      <c r="F383" s="2">
        <f>IFERROR(__xludf.DUMMYFUNCTION("""COMPUTED_VALUE"""),6.0)</f>
        <v>6</v>
      </c>
      <c r="G383" s="2">
        <f>IFERROR(__xludf.DUMMYFUNCTION("""COMPUTED_VALUE"""),6.0)</f>
        <v>6</v>
      </c>
      <c r="H383" s="2" t="str">
        <f>IFERROR(__xludf.DUMMYFUNCTION("""COMPUTED_VALUE"""),"Jaun.")</f>
        <v>Jaun.</v>
      </c>
      <c r="I383" s="2" t="str">
        <f>IFERROR(__xludf.DUMMYFUNCTION("""COMPUTED_VALUE"""),"Panel")</f>
        <v>Panel</v>
      </c>
      <c r="J383" s="2" t="str">
        <f>IFERROR(__xludf.DUMMYFUNCTION("""COMPUTED_VALUE"""),"All amenities")</f>
        <v>All amenities</v>
      </c>
      <c r="K383" s="2">
        <f>IFERROR(__xludf.DUMMYFUNCTION("""COMPUTED_VALUE"""),750.0)</f>
        <v>750</v>
      </c>
      <c r="L383" s="2">
        <f>IFERROR(__xludf.DUMMYFUNCTION("""COMPUTED_VALUE"""),56.9704076)</f>
        <v>56.9704076</v>
      </c>
      <c r="M383" s="2">
        <f>IFERROR(__xludf.DUMMYFUNCTION("""COMPUTED_VALUE"""),24.1377874)</f>
        <v>24.1377874</v>
      </c>
    </row>
    <row r="384">
      <c r="A384" s="2" t="str">
        <f>IFERROR(__xludf.DUMMYFUNCTION("""COMPUTED_VALUE"""),"For sale")</f>
        <v>For sale</v>
      </c>
      <c r="B384" s="2" t="str">
        <f>IFERROR(__xludf.DUMMYFUNCTION("""COMPUTED_VALUE"""),"centrs")</f>
        <v>centrs</v>
      </c>
      <c r="C384" s="2" t="str">
        <f>IFERROR(__xludf.DUMMYFUNCTION("""COMPUTED_VALUE"""),"Kalniņa 1")</f>
        <v>Kalniņa 1</v>
      </c>
      <c r="D384" s="2">
        <f>IFERROR(__xludf.DUMMYFUNCTION("""COMPUTED_VALUE"""),1.0)</f>
        <v>1</v>
      </c>
      <c r="E384" s="2">
        <f>IFERROR(__xludf.DUMMYFUNCTION("""COMPUTED_VALUE"""),27.0)</f>
        <v>27</v>
      </c>
      <c r="F384" s="2">
        <f>IFERROR(__xludf.DUMMYFUNCTION("""COMPUTED_VALUE"""),5.0)</f>
        <v>5</v>
      </c>
      <c r="G384" s="2">
        <f>IFERROR(__xludf.DUMMYFUNCTION("""COMPUTED_VALUE"""),5.0)</f>
        <v>5</v>
      </c>
      <c r="H384" s="2" t="str">
        <f>IFERROR(__xludf.DUMMYFUNCTION("""COMPUTED_VALUE"""),"Renov.")</f>
        <v>Renov.</v>
      </c>
      <c r="I384" s="2" t="str">
        <f>IFERROR(__xludf.DUMMYFUNCTION("""COMPUTED_VALUE"""),"Masonry")</f>
        <v>Masonry</v>
      </c>
      <c r="J384" s="2" t="str">
        <f>IFERROR(__xludf.DUMMYFUNCTION("""COMPUTED_VALUE"""),"All amenities")</f>
        <v>All amenities</v>
      </c>
      <c r="K384" s="2">
        <f>IFERROR(__xludf.DUMMYFUNCTION("""COMPUTED_VALUE"""),59990.0)</f>
        <v>59990</v>
      </c>
      <c r="L384" s="2">
        <f>IFERROR(__xludf.DUMMYFUNCTION("""COMPUTED_VALUE"""),56.949246)</f>
        <v>56.949246</v>
      </c>
      <c r="M384" s="2">
        <f>IFERROR(__xludf.DUMMYFUNCTION("""COMPUTED_VALUE"""),24.1208219161591)</f>
        <v>24.12082192</v>
      </c>
    </row>
    <row r="385">
      <c r="A385" s="2" t="str">
        <f>IFERROR(__xludf.DUMMYFUNCTION("""COMPUTED_VALUE"""),"For sale")</f>
        <v>For sale</v>
      </c>
      <c r="B385" s="2" t="str">
        <f>IFERROR(__xludf.DUMMYFUNCTION("""COMPUTED_VALUE"""),"centrs")</f>
        <v>centrs</v>
      </c>
      <c r="C385" s="2" t="str">
        <f>IFERROR(__xludf.DUMMYFUNCTION("""COMPUTED_VALUE"""),"Ganību d. 13")</f>
        <v>Ganību d. 13</v>
      </c>
      <c r="D385" s="2">
        <f>IFERROR(__xludf.DUMMYFUNCTION("""COMPUTED_VALUE"""),2.0)</f>
        <v>2</v>
      </c>
      <c r="E385" s="2">
        <f>IFERROR(__xludf.DUMMYFUNCTION("""COMPUTED_VALUE"""),46.0)</f>
        <v>46</v>
      </c>
      <c r="F385" s="2">
        <f>IFERROR(__xludf.DUMMYFUNCTION("""COMPUTED_VALUE"""),5.0)</f>
        <v>5</v>
      </c>
      <c r="G385" s="2">
        <f>IFERROR(__xludf.DUMMYFUNCTION("""COMPUTED_VALUE"""),5.0)</f>
        <v>5</v>
      </c>
      <c r="H385" s="2">
        <f>IFERROR(__xludf.DUMMYFUNCTION("""COMPUTED_VALUE"""),103.0)</f>
        <v>103</v>
      </c>
      <c r="I385" s="2" t="str">
        <f>IFERROR(__xludf.DUMMYFUNCTION("""COMPUTED_VALUE"""),"Brick-Panel")</f>
        <v>Brick-Panel</v>
      </c>
      <c r="J385" s="2" t="str">
        <f>IFERROR(__xludf.DUMMYFUNCTION("""COMPUTED_VALUE"""),"All amenities")</f>
        <v>All amenities</v>
      </c>
      <c r="K385" s="2">
        <f>IFERROR(__xludf.DUMMYFUNCTION("""COMPUTED_VALUE"""),56800.0)</f>
        <v>56800</v>
      </c>
      <c r="L385" s="2">
        <f>IFERROR(__xludf.DUMMYFUNCTION("""COMPUTED_VALUE"""),56.9928319)</f>
        <v>56.9928319</v>
      </c>
      <c r="M385" s="2">
        <f>IFERROR(__xludf.DUMMYFUNCTION("""COMPUTED_VALUE"""),24.1224521)</f>
        <v>24.1224521</v>
      </c>
    </row>
    <row r="386">
      <c r="A386" s="2" t="str">
        <f>IFERROR(__xludf.DUMMYFUNCTION("""COMPUTED_VALUE"""),"For rent")</f>
        <v>For rent</v>
      </c>
      <c r="B386" s="2" t="str">
        <f>IFERROR(__xludf.DUMMYFUNCTION("""COMPUTED_VALUE"""),"Teika")</f>
        <v>Teika</v>
      </c>
      <c r="C386" s="2" t="str">
        <f>IFERROR(__xludf.DUMMYFUNCTION("""COMPUTED_VALUE"""),"Brīvības gatve 404")</f>
        <v>Brīvības gatve 404</v>
      </c>
      <c r="D386" s="2">
        <f>IFERROR(__xludf.DUMMYFUNCTION("""COMPUTED_VALUE"""),1.0)</f>
        <v>1</v>
      </c>
      <c r="E386" s="2">
        <f>IFERROR(__xludf.DUMMYFUNCTION("""COMPUTED_VALUE"""),30.0)</f>
        <v>30</v>
      </c>
      <c r="F386" s="2">
        <f>IFERROR(__xludf.DUMMYFUNCTION("""COMPUTED_VALUE"""),2.0)</f>
        <v>2</v>
      </c>
      <c r="G386" s="2">
        <f>IFERROR(__xludf.DUMMYFUNCTION("""COMPUTED_VALUE"""),12.0)</f>
        <v>12</v>
      </c>
      <c r="H386" s="2" t="str">
        <f>IFERROR(__xludf.DUMMYFUNCTION("""COMPUTED_VALUE"""),"Čehu pr.")</f>
        <v>Čehu pr.</v>
      </c>
      <c r="I386" s="2" t="str">
        <f>IFERROR(__xludf.DUMMYFUNCTION("""COMPUTED_VALUE"""),"Brick")</f>
        <v>Brick</v>
      </c>
      <c r="J386" s="2" t="str">
        <f>IFERROR(__xludf.DUMMYFUNCTION("""COMPUTED_VALUE"""),"All amenities")</f>
        <v>All amenities</v>
      </c>
      <c r="K386" s="2">
        <f>IFERROR(__xludf.DUMMYFUNCTION("""COMPUTED_VALUE"""),300.0)</f>
        <v>300</v>
      </c>
      <c r="L386" s="2">
        <f>IFERROR(__xludf.DUMMYFUNCTION("""COMPUTED_VALUE"""),56.987477)</f>
        <v>56.987477</v>
      </c>
      <c r="M386" s="2">
        <f>IFERROR(__xludf.DUMMYFUNCTION("""COMPUTED_VALUE"""),24.2280819)</f>
        <v>24.2280819</v>
      </c>
    </row>
    <row r="387">
      <c r="A387" s="2" t="str">
        <f>IFERROR(__xludf.DUMMYFUNCTION("""COMPUTED_VALUE"""),"For rent")</f>
        <v>For rent</v>
      </c>
      <c r="B387" s="2" t="str">
        <f>IFERROR(__xludf.DUMMYFUNCTION("""COMPUTED_VALUE"""),"Jugla")</f>
        <v>Jugla</v>
      </c>
      <c r="C387" s="2" t="str">
        <f>IFERROR(__xludf.DUMMYFUNCTION("""COMPUTED_VALUE"""),"Brīvības gatve 404")</f>
        <v>Brīvības gatve 404</v>
      </c>
      <c r="D387" s="2">
        <f>IFERROR(__xludf.DUMMYFUNCTION("""COMPUTED_VALUE"""),1.0)</f>
        <v>1</v>
      </c>
      <c r="E387" s="2">
        <f>IFERROR(__xludf.DUMMYFUNCTION("""COMPUTED_VALUE"""),30.0)</f>
        <v>30</v>
      </c>
      <c r="F387" s="2">
        <f>IFERROR(__xludf.DUMMYFUNCTION("""COMPUTED_VALUE"""),2.0)</f>
        <v>2</v>
      </c>
      <c r="G387" s="2">
        <f>IFERROR(__xludf.DUMMYFUNCTION("""COMPUTED_VALUE"""),12.0)</f>
        <v>12</v>
      </c>
      <c r="H387" s="2" t="str">
        <f>IFERROR(__xludf.DUMMYFUNCTION("""COMPUTED_VALUE"""),"Čehu pr.")</f>
        <v>Čehu pr.</v>
      </c>
      <c r="I387" s="2" t="str">
        <f>IFERROR(__xludf.DUMMYFUNCTION("""COMPUTED_VALUE"""),"Brick")</f>
        <v>Brick</v>
      </c>
      <c r="J387" s="2" t="str">
        <f>IFERROR(__xludf.DUMMYFUNCTION("""COMPUTED_VALUE"""),"All amenities")</f>
        <v>All amenities</v>
      </c>
      <c r="K387" s="2">
        <f>IFERROR(__xludf.DUMMYFUNCTION("""COMPUTED_VALUE"""),300.0)</f>
        <v>300</v>
      </c>
      <c r="L387" s="2">
        <f>IFERROR(__xludf.DUMMYFUNCTION("""COMPUTED_VALUE"""),56.987477)</f>
        <v>56.987477</v>
      </c>
      <c r="M387" s="2">
        <f>IFERROR(__xludf.DUMMYFUNCTION("""COMPUTED_VALUE"""),24.2280819)</f>
        <v>24.2280819</v>
      </c>
    </row>
    <row r="388">
      <c r="A388" s="2" t="str">
        <f>IFERROR(__xludf.DUMMYFUNCTION("""COMPUTED_VALUE"""),"For rent")</f>
        <v>For rent</v>
      </c>
      <c r="B388" s="2" t="str">
        <f>IFERROR(__xludf.DUMMYFUNCTION("""COMPUTED_VALUE"""),"centrs")</f>
        <v>centrs</v>
      </c>
      <c r="C388" s="2" t="str">
        <f>IFERROR(__xludf.DUMMYFUNCTION("""COMPUTED_VALUE"""),"Čaka 59")</f>
        <v>Čaka 59</v>
      </c>
      <c r="D388" s="2">
        <f>IFERROR(__xludf.DUMMYFUNCTION("""COMPUTED_VALUE"""),3.0)</f>
        <v>3</v>
      </c>
      <c r="E388" s="2">
        <f>IFERROR(__xludf.DUMMYFUNCTION("""COMPUTED_VALUE"""),85.0)</f>
        <v>85</v>
      </c>
      <c r="F388" s="2">
        <f>IFERROR(__xludf.DUMMYFUNCTION("""COMPUTED_VALUE"""),5.0)</f>
        <v>5</v>
      </c>
      <c r="G388" s="2">
        <f>IFERROR(__xludf.DUMMYFUNCTION("""COMPUTED_VALUE"""),5.0)</f>
        <v>5</v>
      </c>
      <c r="H388" s="2" t="str">
        <f>IFERROR(__xludf.DUMMYFUNCTION("""COMPUTED_VALUE"""),"P. kara")</f>
        <v>P. kara</v>
      </c>
      <c r="I388" s="2" t="str">
        <f>IFERROR(__xludf.DUMMYFUNCTION("""COMPUTED_VALUE"""),"Brick")</f>
        <v>Brick</v>
      </c>
      <c r="J388" s="2" t="str">
        <f>IFERROR(__xludf.DUMMYFUNCTION("""COMPUTED_VALUE"""),"All amenities")</f>
        <v>All amenities</v>
      </c>
      <c r="K388" s="2">
        <f>IFERROR(__xludf.DUMMYFUNCTION("""COMPUTED_VALUE"""),500.0)</f>
        <v>500</v>
      </c>
      <c r="L388" s="2">
        <f>IFERROR(__xludf.DUMMYFUNCTION("""COMPUTED_VALUE"""),56.9553389)</f>
        <v>56.9553389</v>
      </c>
      <c r="M388" s="2">
        <f>IFERROR(__xludf.DUMMYFUNCTION("""COMPUTED_VALUE"""),24.1342842)</f>
        <v>24.1342842</v>
      </c>
    </row>
    <row r="389">
      <c r="A389" s="2" t="str">
        <f>IFERROR(__xludf.DUMMYFUNCTION("""COMPUTED_VALUE"""),"For sale")</f>
        <v>For sale</v>
      </c>
      <c r="B389" s="2" t="str">
        <f>IFERROR(__xludf.DUMMYFUNCTION("""COMPUTED_VALUE"""),"Mežciems")</f>
        <v>Mežciems</v>
      </c>
      <c r="C389" s="2" t="str">
        <f>IFERROR(__xludf.DUMMYFUNCTION("""COMPUTED_VALUE"""),"Biķernieku 242")</f>
        <v>Biķernieku 242</v>
      </c>
      <c r="D389" s="2">
        <f>IFERROR(__xludf.DUMMYFUNCTION("""COMPUTED_VALUE"""),2.0)</f>
        <v>2</v>
      </c>
      <c r="E389" s="2">
        <f>IFERROR(__xludf.DUMMYFUNCTION("""COMPUTED_VALUE"""),42.0)</f>
        <v>42</v>
      </c>
      <c r="F389" s="2">
        <f>IFERROR(__xludf.DUMMYFUNCTION("""COMPUTED_VALUE"""),2.0)</f>
        <v>2</v>
      </c>
      <c r="G389" s="2">
        <f>IFERROR(__xludf.DUMMYFUNCTION("""COMPUTED_VALUE"""),2.0)</f>
        <v>2</v>
      </c>
      <c r="H389" s="2" t="str">
        <f>IFERROR(__xludf.DUMMYFUNCTION("""COMPUTED_VALUE"""),"P. kara")</f>
        <v>P. kara</v>
      </c>
      <c r="I389" s="2" t="str">
        <f>IFERROR(__xludf.DUMMYFUNCTION("""COMPUTED_VALUE"""),"Wood")</f>
        <v>Wood</v>
      </c>
      <c r="J389" s="2" t="str">
        <f>IFERROR(__xludf.DUMMYFUNCTION("""COMPUTED_VALUE"""),"All amenities")</f>
        <v>All amenities</v>
      </c>
      <c r="K389" s="2">
        <f>IFERROR(__xludf.DUMMYFUNCTION("""COMPUTED_VALUE"""),37500.0)</f>
        <v>37500</v>
      </c>
      <c r="L389" s="2">
        <f>IFERROR(__xludf.DUMMYFUNCTION("""COMPUTED_VALUE"""),56.9593644)</f>
        <v>56.9593644</v>
      </c>
      <c r="M389" s="2">
        <f>IFERROR(__xludf.DUMMYFUNCTION("""COMPUTED_VALUE"""),24.2981696499999)</f>
        <v>24.29816965</v>
      </c>
    </row>
    <row r="390">
      <c r="A390" s="2" t="str">
        <f>IFERROR(__xludf.DUMMYFUNCTION("""COMPUTED_VALUE"""),"For sale")</f>
        <v>For sale</v>
      </c>
      <c r="B390" s="2" t="str">
        <f>IFERROR(__xludf.DUMMYFUNCTION("""COMPUTED_VALUE"""),"Teika")</f>
        <v>Teika</v>
      </c>
      <c r="C390" s="2" t="str">
        <f>IFERROR(__xludf.DUMMYFUNCTION("""COMPUTED_VALUE"""),"Brīvības gatve 209")</f>
        <v>Brīvības gatve 209</v>
      </c>
      <c r="D390" s="2">
        <f>IFERROR(__xludf.DUMMYFUNCTION("""COMPUTED_VALUE"""),4.0)</f>
        <v>4</v>
      </c>
      <c r="E390" s="2">
        <f>IFERROR(__xludf.DUMMYFUNCTION("""COMPUTED_VALUE"""),117.0)</f>
        <v>117</v>
      </c>
      <c r="F390" s="2">
        <f>IFERROR(__xludf.DUMMYFUNCTION("""COMPUTED_VALUE"""),5.0)</f>
        <v>5</v>
      </c>
      <c r="G390" s="2">
        <f>IFERROR(__xludf.DUMMYFUNCTION("""COMPUTED_VALUE"""),5.0)</f>
        <v>5</v>
      </c>
      <c r="H390" s="2" t="str">
        <f>IFERROR(__xludf.DUMMYFUNCTION("""COMPUTED_VALUE"""),"P. kara")</f>
        <v>P. kara</v>
      </c>
      <c r="I390" s="2" t="str">
        <f>IFERROR(__xludf.DUMMYFUNCTION("""COMPUTED_VALUE"""),"Brick")</f>
        <v>Brick</v>
      </c>
      <c r="J390" s="2" t="str">
        <f>IFERROR(__xludf.DUMMYFUNCTION("""COMPUTED_VALUE"""),"All amenities")</f>
        <v>All amenities</v>
      </c>
      <c r="K390" s="2">
        <f>IFERROR(__xludf.DUMMYFUNCTION("""COMPUTED_VALUE"""),82000.0)</f>
        <v>82000</v>
      </c>
      <c r="L390" s="2">
        <f>IFERROR(__xludf.DUMMYFUNCTION("""COMPUTED_VALUE"""),56.9745276)</f>
        <v>56.9745276</v>
      </c>
      <c r="M390" s="2">
        <f>IFERROR(__xludf.DUMMYFUNCTION("""COMPUTED_VALUE"""),24.1701148972973)</f>
        <v>24.1701149</v>
      </c>
    </row>
    <row r="391">
      <c r="A391" s="2" t="str">
        <f>IFERROR(__xludf.DUMMYFUNCTION("""COMPUTED_VALUE"""),"For rent")</f>
        <v>For rent</v>
      </c>
      <c r="B391" s="2" t="str">
        <f>IFERROR(__xludf.DUMMYFUNCTION("""COMPUTED_VALUE"""),"Zolitūde")</f>
        <v>Zolitūde</v>
      </c>
      <c r="C391" s="2" t="str">
        <f>IFERROR(__xludf.DUMMYFUNCTION("""COMPUTED_VALUE"""),"Augšzemes 5")</f>
        <v>Augšzemes 5</v>
      </c>
      <c r="D391" s="2">
        <f>IFERROR(__xludf.DUMMYFUNCTION("""COMPUTED_VALUE"""),2.0)</f>
        <v>2</v>
      </c>
      <c r="E391" s="2">
        <f>IFERROR(__xludf.DUMMYFUNCTION("""COMPUTED_VALUE"""),57.0)</f>
        <v>57</v>
      </c>
      <c r="F391" s="2">
        <f>IFERROR(__xludf.DUMMYFUNCTION("""COMPUTED_VALUE"""),3.0)</f>
        <v>3</v>
      </c>
      <c r="G391" s="2">
        <f>IFERROR(__xludf.DUMMYFUNCTION("""COMPUTED_VALUE"""),4.0)</f>
        <v>4</v>
      </c>
      <c r="H391" s="2" t="str">
        <f>IFERROR(__xludf.DUMMYFUNCTION("""COMPUTED_VALUE"""),"Jaun.")</f>
        <v>Jaun.</v>
      </c>
      <c r="I391" s="2" t="str">
        <f>IFERROR(__xludf.DUMMYFUNCTION("""COMPUTED_VALUE"""),"Panel")</f>
        <v>Panel</v>
      </c>
      <c r="J391" s="2" t="str">
        <f>IFERROR(__xludf.DUMMYFUNCTION("""COMPUTED_VALUE"""),"All amenities")</f>
        <v>All amenities</v>
      </c>
      <c r="K391" s="2">
        <f>IFERROR(__xludf.DUMMYFUNCTION("""COMPUTED_VALUE"""),550.0)</f>
        <v>550</v>
      </c>
      <c r="L391" s="2">
        <f>IFERROR(__xludf.DUMMYFUNCTION("""COMPUTED_VALUE"""),56.94414285)</f>
        <v>56.94414285</v>
      </c>
      <c r="M391" s="2">
        <f>IFERROR(__xludf.DUMMYFUNCTION("""COMPUTED_VALUE"""),24.0235054261404)</f>
        <v>24.02350543</v>
      </c>
    </row>
    <row r="392">
      <c r="A392" s="2" t="str">
        <f>IFERROR(__xludf.DUMMYFUNCTION("""COMPUTED_VALUE"""),"For sale")</f>
        <v>For sale</v>
      </c>
      <c r="B392" s="2" t="str">
        <f>IFERROR(__xludf.DUMMYFUNCTION("""COMPUTED_VALUE"""),"Klīversala")</f>
        <v>Klīversala</v>
      </c>
      <c r="C392" s="2" t="str">
        <f>IFERROR(__xludf.DUMMYFUNCTION("""COMPUTED_VALUE"""),"Kuģu 26")</f>
        <v>Kuģu 26</v>
      </c>
      <c r="D392" s="2">
        <f>IFERROR(__xludf.DUMMYFUNCTION("""COMPUTED_VALUE"""),3.0)</f>
        <v>3</v>
      </c>
      <c r="E392" s="2">
        <f>IFERROR(__xludf.DUMMYFUNCTION("""COMPUTED_VALUE"""),60.0)</f>
        <v>60</v>
      </c>
      <c r="F392" s="2">
        <f>IFERROR(__xludf.DUMMYFUNCTION("""COMPUTED_VALUE"""),3.0)</f>
        <v>3</v>
      </c>
      <c r="G392" s="2">
        <f>IFERROR(__xludf.DUMMYFUNCTION("""COMPUTED_VALUE"""),5.0)</f>
        <v>5</v>
      </c>
      <c r="H392" s="2" t="str">
        <f>IFERROR(__xludf.DUMMYFUNCTION("""COMPUTED_VALUE"""),"Jaun.")</f>
        <v>Jaun.</v>
      </c>
      <c r="I392" s="2" t="str">
        <f>IFERROR(__xludf.DUMMYFUNCTION("""COMPUTED_VALUE"""),"Brick-Panel")</f>
        <v>Brick-Panel</v>
      </c>
      <c r="J392" s="2" t="str">
        <f>IFERROR(__xludf.DUMMYFUNCTION("""COMPUTED_VALUE"""),"All amenities")</f>
        <v>All amenities</v>
      </c>
      <c r="K392" s="2">
        <f>IFERROR(__xludf.DUMMYFUNCTION("""COMPUTED_VALUE"""),120000.0)</f>
        <v>120000</v>
      </c>
      <c r="L392" s="2">
        <f>IFERROR(__xludf.DUMMYFUNCTION("""COMPUTED_VALUE"""),56.94553165)</f>
        <v>56.94553165</v>
      </c>
      <c r="M392" s="2">
        <f>IFERROR(__xludf.DUMMYFUNCTION("""COMPUTED_VALUE"""),24.092327378378)</f>
        <v>24.09232738</v>
      </c>
    </row>
    <row r="393">
      <c r="A393" s="2" t="str">
        <f>IFERROR(__xludf.DUMMYFUNCTION("""COMPUTED_VALUE"""),"For rent")</f>
        <v>For rent</v>
      </c>
      <c r="B393" s="2" t="str">
        <f>IFERROR(__xludf.DUMMYFUNCTION("""COMPUTED_VALUE"""),"centrs")</f>
        <v>centrs</v>
      </c>
      <c r="C393" s="2" t="str">
        <f>IFERROR(__xludf.DUMMYFUNCTION("""COMPUTED_VALUE"""),"Čaka 143")</f>
        <v>Čaka 143</v>
      </c>
      <c r="D393" s="2">
        <f>IFERROR(__xludf.DUMMYFUNCTION("""COMPUTED_VALUE"""),2.0)</f>
        <v>2</v>
      </c>
      <c r="E393" s="2">
        <f>IFERROR(__xludf.DUMMYFUNCTION("""COMPUTED_VALUE"""),58.0)</f>
        <v>58</v>
      </c>
      <c r="F393" s="2">
        <f>IFERROR(__xludf.DUMMYFUNCTION("""COMPUTED_VALUE"""),4.0)</f>
        <v>4</v>
      </c>
      <c r="G393" s="2">
        <f>IFERROR(__xludf.DUMMYFUNCTION("""COMPUTED_VALUE"""),5.0)</f>
        <v>5</v>
      </c>
      <c r="H393" s="2" t="str">
        <f>IFERROR(__xludf.DUMMYFUNCTION("""COMPUTED_VALUE"""),"P. kara")</f>
        <v>P. kara</v>
      </c>
      <c r="I393" s="2" t="str">
        <f>IFERROR(__xludf.DUMMYFUNCTION("""COMPUTED_VALUE"""),"Brick-Panel")</f>
        <v>Brick-Panel</v>
      </c>
      <c r="J393" s="2" t="str">
        <f>IFERROR(__xludf.DUMMYFUNCTION("""COMPUTED_VALUE"""),"All amenities")</f>
        <v>All amenities</v>
      </c>
      <c r="K393" s="2">
        <f>IFERROR(__xludf.DUMMYFUNCTION("""COMPUTED_VALUE"""),425.0)</f>
        <v>425</v>
      </c>
      <c r="L393" s="2">
        <f>IFERROR(__xludf.DUMMYFUNCTION("""COMPUTED_VALUE"""),56.9643579)</f>
        <v>56.9643579</v>
      </c>
      <c r="M393" s="2">
        <f>IFERROR(__xludf.DUMMYFUNCTION("""COMPUTED_VALUE"""),24.1513733)</f>
        <v>24.1513733</v>
      </c>
    </row>
    <row r="394">
      <c r="A394" s="2" t="str">
        <f>IFERROR(__xludf.DUMMYFUNCTION("""COMPUTED_VALUE"""),"For sale")</f>
        <v>For sale</v>
      </c>
      <c r="B394" s="2" t="str">
        <f>IFERROR(__xludf.DUMMYFUNCTION("""COMPUTED_VALUE"""),"centrs")</f>
        <v>centrs</v>
      </c>
      <c r="C394" s="2" t="str">
        <f>IFERROR(__xludf.DUMMYFUNCTION("""COMPUTED_VALUE"""),"Zvaigžņu 31")</f>
        <v>Zvaigžņu 31</v>
      </c>
      <c r="D394" s="2">
        <f>IFERROR(__xludf.DUMMYFUNCTION("""COMPUTED_VALUE"""),1.0)</f>
        <v>1</v>
      </c>
      <c r="E394" s="2">
        <f>IFERROR(__xludf.DUMMYFUNCTION("""COMPUTED_VALUE"""),20.0)</f>
        <v>20</v>
      </c>
      <c r="F394" s="2">
        <f>IFERROR(__xludf.DUMMYFUNCTION("""COMPUTED_VALUE"""),1.0)</f>
        <v>1</v>
      </c>
      <c r="G394" s="2">
        <f>IFERROR(__xludf.DUMMYFUNCTION("""COMPUTED_VALUE"""),2.0)</f>
        <v>2</v>
      </c>
      <c r="H394" s="2" t="str">
        <f>IFERROR(__xludf.DUMMYFUNCTION("""COMPUTED_VALUE"""),"P. kara")</f>
        <v>P. kara</v>
      </c>
      <c r="I394" s="2" t="str">
        <f>IFERROR(__xludf.DUMMYFUNCTION("""COMPUTED_VALUE"""),"Masonry")</f>
        <v>Masonry</v>
      </c>
      <c r="J394" s="2" t="str">
        <f>IFERROR(__xludf.DUMMYFUNCTION("""COMPUTED_VALUE"""),"Partial amenities")</f>
        <v>Partial amenities</v>
      </c>
      <c r="K394" s="2">
        <f>IFERROR(__xludf.DUMMYFUNCTION("""COMPUTED_VALUE"""),8100.0)</f>
        <v>8100</v>
      </c>
      <c r="L394" s="2">
        <f>IFERROR(__xludf.DUMMYFUNCTION("""COMPUTED_VALUE"""),56.961717)</f>
        <v>56.961717</v>
      </c>
      <c r="M394" s="2">
        <f>IFERROR(__xludf.DUMMYFUNCTION("""COMPUTED_VALUE"""),24.1506497631578)</f>
        <v>24.15064976</v>
      </c>
    </row>
    <row r="395">
      <c r="A395" s="2" t="str">
        <f>IFERROR(__xludf.DUMMYFUNCTION("""COMPUTED_VALUE"""),"For sale")</f>
        <v>For sale</v>
      </c>
      <c r="B395" s="2" t="str">
        <f>IFERROR(__xludf.DUMMYFUNCTION("""COMPUTED_VALUE"""),"centrs")</f>
        <v>centrs</v>
      </c>
      <c r="C395" s="2" t="str">
        <f>IFERROR(__xludf.DUMMYFUNCTION("""COMPUTED_VALUE"""),"Blaumaņa 8")</f>
        <v>Blaumaņa 8</v>
      </c>
      <c r="D395" s="2">
        <f>IFERROR(__xludf.DUMMYFUNCTION("""COMPUTED_VALUE"""),3.0)</f>
        <v>3</v>
      </c>
      <c r="E395" s="2">
        <f>IFERROR(__xludf.DUMMYFUNCTION("""COMPUTED_VALUE"""),107.0)</f>
        <v>107</v>
      </c>
      <c r="F395" s="2">
        <f>IFERROR(__xludf.DUMMYFUNCTION("""COMPUTED_VALUE"""),5.0)</f>
        <v>5</v>
      </c>
      <c r="G395" s="2">
        <f>IFERROR(__xludf.DUMMYFUNCTION("""COMPUTED_VALUE"""),5.0)</f>
        <v>5</v>
      </c>
      <c r="H395" s="2" t="str">
        <f>IFERROR(__xludf.DUMMYFUNCTION("""COMPUTED_VALUE"""),"P. kara")</f>
        <v>P. kara</v>
      </c>
      <c r="I395" s="2" t="str">
        <f>IFERROR(__xludf.DUMMYFUNCTION("""COMPUTED_VALUE"""),"Brick")</f>
        <v>Brick</v>
      </c>
      <c r="J395" s="2" t="str">
        <f>IFERROR(__xludf.DUMMYFUNCTION("""COMPUTED_VALUE"""),"All amenities")</f>
        <v>All amenities</v>
      </c>
      <c r="K395" s="2">
        <f>IFERROR(__xludf.DUMMYFUNCTION("""COMPUTED_VALUE"""),265000.0)</f>
        <v>265000</v>
      </c>
      <c r="L395" s="2">
        <f>IFERROR(__xludf.DUMMYFUNCTION("""COMPUTED_VALUE"""),56.95523395)</f>
        <v>56.95523395</v>
      </c>
      <c r="M395" s="2">
        <f>IFERROR(__xludf.DUMMYFUNCTION("""COMPUTED_VALUE"""),24.1215599922982)</f>
        <v>24.12155999</v>
      </c>
    </row>
    <row r="396">
      <c r="A396" s="2" t="str">
        <f>IFERROR(__xludf.DUMMYFUNCTION("""COMPUTED_VALUE"""),"For sale")</f>
        <v>For sale</v>
      </c>
      <c r="B396" s="2" t="str">
        <f>IFERROR(__xludf.DUMMYFUNCTION("""COMPUTED_VALUE"""),"Iļģuciems")</f>
        <v>Iļģuciems</v>
      </c>
      <c r="C396" s="2" t="str">
        <f>IFERROR(__xludf.DUMMYFUNCTION("""COMPUTED_VALUE"""),"Reņģes 70 k2")</f>
        <v>Reņģes 70 k2</v>
      </c>
      <c r="D396" s="2">
        <f>IFERROR(__xludf.DUMMYFUNCTION("""COMPUTED_VALUE"""),2.0)</f>
        <v>2</v>
      </c>
      <c r="E396" s="2">
        <f>IFERROR(__xludf.DUMMYFUNCTION("""COMPUTED_VALUE"""),45.0)</f>
        <v>45</v>
      </c>
      <c r="F396" s="2">
        <f>IFERROR(__xludf.DUMMYFUNCTION("""COMPUTED_VALUE"""),1.0)</f>
        <v>1</v>
      </c>
      <c r="G396" s="2">
        <f>IFERROR(__xludf.DUMMYFUNCTION("""COMPUTED_VALUE"""),3.0)</f>
        <v>3</v>
      </c>
      <c r="H396" s="2" t="str">
        <f>IFERROR(__xludf.DUMMYFUNCTION("""COMPUTED_VALUE"""),"Hrušč.")</f>
        <v>Hrušč.</v>
      </c>
      <c r="I396" s="2" t="str">
        <f>IFERROR(__xludf.DUMMYFUNCTION("""COMPUTED_VALUE"""),"Brick")</f>
        <v>Brick</v>
      </c>
      <c r="J396" s="2" t="str">
        <f>IFERROR(__xludf.DUMMYFUNCTION("""COMPUTED_VALUE"""),"All amenities")</f>
        <v>All amenities</v>
      </c>
      <c r="K396" s="2">
        <f>IFERROR(__xludf.DUMMYFUNCTION("""COMPUTED_VALUE"""),36000.0)</f>
        <v>36000</v>
      </c>
      <c r="L396" s="2">
        <f>IFERROR(__xludf.DUMMYFUNCTION("""COMPUTED_VALUE"""),56.9657966)</f>
        <v>56.9657966</v>
      </c>
      <c r="M396" s="2">
        <f>IFERROR(__xludf.DUMMYFUNCTION("""COMPUTED_VALUE"""),24.0629937)</f>
        <v>24.0629937</v>
      </c>
    </row>
    <row r="397">
      <c r="A397" s="2" t="str">
        <f>IFERROR(__xludf.DUMMYFUNCTION("""COMPUTED_VALUE"""),"For rent")</f>
        <v>For rent</v>
      </c>
      <c r="B397" s="2" t="str">
        <f>IFERROR(__xludf.DUMMYFUNCTION("""COMPUTED_VALUE"""),"Maskavas priekšpilsēta")</f>
        <v>Maskavas priekšpilsēta</v>
      </c>
      <c r="C397" s="2" t="str">
        <f>IFERROR(__xludf.DUMMYFUNCTION("""COMPUTED_VALUE"""),"Jēkabpils 9")</f>
        <v>Jēkabpils 9</v>
      </c>
      <c r="D397" s="2">
        <f>IFERROR(__xludf.DUMMYFUNCTION("""COMPUTED_VALUE"""),1.0)</f>
        <v>1</v>
      </c>
      <c r="E397" s="2">
        <f>IFERROR(__xludf.DUMMYFUNCTION("""COMPUTED_VALUE"""),25.0)</f>
        <v>25</v>
      </c>
      <c r="F397" s="2">
        <f>IFERROR(__xludf.DUMMYFUNCTION("""COMPUTED_VALUE"""),3.0)</f>
        <v>3</v>
      </c>
      <c r="G397" s="2">
        <f>IFERROR(__xludf.DUMMYFUNCTION("""COMPUTED_VALUE"""),3.0)</f>
        <v>3</v>
      </c>
      <c r="H397" s="2" t="str">
        <f>IFERROR(__xludf.DUMMYFUNCTION("""COMPUTED_VALUE"""),"Renov.")</f>
        <v>Renov.</v>
      </c>
      <c r="I397" s="2" t="str">
        <f>IFERROR(__xludf.DUMMYFUNCTION("""COMPUTED_VALUE"""),"Masonry")</f>
        <v>Masonry</v>
      </c>
      <c r="J397" s="2" t="str">
        <f>IFERROR(__xludf.DUMMYFUNCTION("""COMPUTED_VALUE"""),"All amenities")</f>
        <v>All amenities</v>
      </c>
      <c r="K397" s="2">
        <f>IFERROR(__xludf.DUMMYFUNCTION("""COMPUTED_VALUE"""),290.0)</f>
        <v>290</v>
      </c>
      <c r="L397" s="2">
        <f>IFERROR(__xludf.DUMMYFUNCTION("""COMPUTED_VALUE"""),56.94284855)</f>
        <v>56.94284855</v>
      </c>
      <c r="M397" s="2">
        <f>IFERROR(__xludf.DUMMYFUNCTION("""COMPUTED_VALUE"""),24.1337531531518)</f>
        <v>24.13375315</v>
      </c>
    </row>
    <row r="398">
      <c r="A398" s="2" t="str">
        <f>IFERROR(__xludf.DUMMYFUNCTION("""COMPUTED_VALUE"""),"For rent")</f>
        <v>For rent</v>
      </c>
      <c r="B398" s="2" t="str">
        <f>IFERROR(__xludf.DUMMYFUNCTION("""COMPUTED_VALUE"""),"Mežciems")</f>
        <v>Mežciems</v>
      </c>
      <c r="C398" s="2" t="str">
        <f>IFERROR(__xludf.DUMMYFUNCTION("""COMPUTED_VALUE"""),"Hipokrāta 11")</f>
        <v>Hipokrāta 11</v>
      </c>
      <c r="D398" s="2">
        <f>IFERROR(__xludf.DUMMYFUNCTION("""COMPUTED_VALUE"""),1.0)</f>
        <v>1</v>
      </c>
      <c r="E398" s="2">
        <f>IFERROR(__xludf.DUMMYFUNCTION("""COMPUTED_VALUE"""),45.0)</f>
        <v>45</v>
      </c>
      <c r="F398" s="2">
        <f>IFERROR(__xludf.DUMMYFUNCTION("""COMPUTED_VALUE"""),12.0)</f>
        <v>12</v>
      </c>
      <c r="G398" s="2">
        <f>IFERROR(__xludf.DUMMYFUNCTION("""COMPUTED_VALUE"""),16.0)</f>
        <v>16</v>
      </c>
      <c r="H398" s="2">
        <f>IFERROR(__xludf.DUMMYFUNCTION("""COMPUTED_VALUE"""),104.0)</f>
        <v>104</v>
      </c>
      <c r="I398" s="2" t="str">
        <f>IFERROR(__xludf.DUMMYFUNCTION("""COMPUTED_VALUE"""),"Panel")</f>
        <v>Panel</v>
      </c>
      <c r="J398" s="2" t="str">
        <f>IFERROR(__xludf.DUMMYFUNCTION("""COMPUTED_VALUE"""),"All amenities")</f>
        <v>All amenities</v>
      </c>
      <c r="K398" s="2">
        <f>IFERROR(__xludf.DUMMYFUNCTION("""COMPUTED_VALUE"""),270.0)</f>
        <v>270</v>
      </c>
      <c r="L398" s="2">
        <f>IFERROR(__xludf.DUMMYFUNCTION("""COMPUTED_VALUE"""),56.9671489)</f>
        <v>56.9671489</v>
      </c>
      <c r="M398" s="2">
        <f>IFERROR(__xludf.DUMMYFUNCTION("""COMPUTED_VALUE"""),24.2375509025527)</f>
        <v>24.2375509</v>
      </c>
    </row>
    <row r="399">
      <c r="A399" s="2" t="str">
        <f>IFERROR(__xludf.DUMMYFUNCTION("""COMPUTED_VALUE"""),"For rent")</f>
        <v>For rent</v>
      </c>
      <c r="B399" s="2" t="str">
        <f>IFERROR(__xludf.DUMMYFUNCTION("""COMPUTED_VALUE"""),"Zolitūde")</f>
        <v>Zolitūde</v>
      </c>
      <c r="C399" s="2" t="str">
        <f>IFERROR(__xludf.DUMMYFUNCTION("""COMPUTED_VALUE"""),"Ruses 26")</f>
        <v>Ruses 26</v>
      </c>
      <c r="D399" s="2">
        <f>IFERROR(__xludf.DUMMYFUNCTION("""COMPUTED_VALUE"""),3.0)</f>
        <v>3</v>
      </c>
      <c r="E399" s="2">
        <f>IFERROR(__xludf.DUMMYFUNCTION("""COMPUTED_VALUE"""),77.0)</f>
        <v>77</v>
      </c>
      <c r="F399" s="2">
        <f>IFERROR(__xludf.DUMMYFUNCTION("""COMPUTED_VALUE"""),2.0)</f>
        <v>2</v>
      </c>
      <c r="G399" s="2">
        <f>IFERROR(__xludf.DUMMYFUNCTION("""COMPUTED_VALUE"""),9.0)</f>
        <v>9</v>
      </c>
      <c r="H399" s="2">
        <f>IFERROR(__xludf.DUMMYFUNCTION("""COMPUTED_VALUE"""),119.0)</f>
        <v>119</v>
      </c>
      <c r="I399" s="2" t="str">
        <f>IFERROR(__xludf.DUMMYFUNCTION("""COMPUTED_VALUE"""),"Panel")</f>
        <v>Panel</v>
      </c>
      <c r="J399" s="2" t="str">
        <f>IFERROR(__xludf.DUMMYFUNCTION("""COMPUTED_VALUE"""),"All amenities")</f>
        <v>All amenities</v>
      </c>
      <c r="K399" s="2">
        <f>IFERROR(__xludf.DUMMYFUNCTION("""COMPUTED_VALUE"""),420.0)</f>
        <v>420</v>
      </c>
      <c r="L399" s="2">
        <f>IFERROR(__xludf.DUMMYFUNCTION("""COMPUTED_VALUE"""),56.9454805)</f>
        <v>56.9454805</v>
      </c>
      <c r="M399" s="2">
        <f>IFERROR(__xludf.DUMMYFUNCTION("""COMPUTED_VALUE"""),24.0097101)</f>
        <v>24.0097101</v>
      </c>
    </row>
    <row r="400">
      <c r="A400" s="2" t="str">
        <f>IFERROR(__xludf.DUMMYFUNCTION("""COMPUTED_VALUE"""),"For sale")</f>
        <v>For sale</v>
      </c>
      <c r="B400" s="2" t="str">
        <f>IFERROR(__xludf.DUMMYFUNCTION("""COMPUTED_VALUE"""),"Dzegužkalns")</f>
        <v>Dzegužkalns</v>
      </c>
      <c r="C400" s="2" t="str">
        <f>IFERROR(__xludf.DUMMYFUNCTION("""COMPUTED_VALUE"""),"Dzegužu 1")</f>
        <v>Dzegužu 1</v>
      </c>
      <c r="D400" s="2">
        <f>IFERROR(__xludf.DUMMYFUNCTION("""COMPUTED_VALUE"""),2.0)</f>
        <v>2</v>
      </c>
      <c r="E400" s="2">
        <f>IFERROR(__xludf.DUMMYFUNCTION("""COMPUTED_VALUE"""),41.0)</f>
        <v>41</v>
      </c>
      <c r="F400" s="2">
        <f>IFERROR(__xludf.DUMMYFUNCTION("""COMPUTED_VALUE"""),3.0)</f>
        <v>3</v>
      </c>
      <c r="G400" s="2">
        <f>IFERROR(__xludf.DUMMYFUNCTION("""COMPUTED_VALUE"""),3.0)</f>
        <v>3</v>
      </c>
      <c r="H400" s="2" t="str">
        <f>IFERROR(__xludf.DUMMYFUNCTION("""COMPUTED_VALUE"""),"Hrušč.")</f>
        <v>Hrušč.</v>
      </c>
      <c r="I400" s="2" t="str">
        <f>IFERROR(__xludf.DUMMYFUNCTION("""COMPUTED_VALUE"""),"Masonry")</f>
        <v>Masonry</v>
      </c>
      <c r="J400" s="2" t="str">
        <f>IFERROR(__xludf.DUMMYFUNCTION("""COMPUTED_VALUE"""),"All amenities")</f>
        <v>All amenities</v>
      </c>
      <c r="K400" s="2">
        <f>IFERROR(__xludf.DUMMYFUNCTION("""COMPUTED_VALUE"""),38000.0)</f>
        <v>38000</v>
      </c>
      <c r="L400" s="2">
        <f>IFERROR(__xludf.DUMMYFUNCTION("""COMPUTED_VALUE"""),56.95863035)</f>
        <v>56.95863035</v>
      </c>
      <c r="M400" s="2">
        <f>IFERROR(__xludf.DUMMYFUNCTION("""COMPUTED_VALUE"""),24.0622605031773)</f>
        <v>24.0622605</v>
      </c>
    </row>
    <row r="401">
      <c r="A401" s="2" t="str">
        <f>IFERROR(__xludf.DUMMYFUNCTION("""COMPUTED_VALUE"""),"For sale")</f>
        <v>For sale</v>
      </c>
      <c r="B401" s="2" t="str">
        <f>IFERROR(__xludf.DUMMYFUNCTION("""COMPUTED_VALUE"""),"Ziepniekkalns")</f>
        <v>Ziepniekkalns</v>
      </c>
      <c r="C401" s="2" t="str">
        <f>IFERROR(__xludf.DUMMYFUNCTION("""COMPUTED_VALUE"""),"Komētas 18")</f>
        <v>Komētas 18</v>
      </c>
      <c r="D401" s="2">
        <f>IFERROR(__xludf.DUMMYFUNCTION("""COMPUTED_VALUE"""),4.0)</f>
        <v>4</v>
      </c>
      <c r="E401" s="2">
        <f>IFERROR(__xludf.DUMMYFUNCTION("""COMPUTED_VALUE"""),140.0)</f>
        <v>140</v>
      </c>
      <c r="F401" s="2">
        <f>IFERROR(__xludf.DUMMYFUNCTION("""COMPUTED_VALUE"""),4.0)</f>
        <v>4</v>
      </c>
      <c r="G401" s="2">
        <f>IFERROR(__xludf.DUMMYFUNCTION("""COMPUTED_VALUE"""),4.0)</f>
        <v>4</v>
      </c>
      <c r="H401" s="2" t="str">
        <f>IFERROR(__xludf.DUMMYFUNCTION("""COMPUTED_VALUE"""),"Jaun.")</f>
        <v>Jaun.</v>
      </c>
      <c r="I401" s="2" t="str">
        <f>IFERROR(__xludf.DUMMYFUNCTION("""COMPUTED_VALUE"""),"Panel")</f>
        <v>Panel</v>
      </c>
      <c r="J401" s="2" t="str">
        <f>IFERROR(__xludf.DUMMYFUNCTION("""COMPUTED_VALUE"""),"All amenities")</f>
        <v>All amenities</v>
      </c>
      <c r="K401" s="2">
        <f>IFERROR(__xludf.DUMMYFUNCTION("""COMPUTED_VALUE"""),228000.0)</f>
        <v>228000</v>
      </c>
      <c r="L401" s="2">
        <f>IFERROR(__xludf.DUMMYFUNCTION("""COMPUTED_VALUE"""),56.91406475)</f>
        <v>56.91406475</v>
      </c>
      <c r="M401" s="2">
        <f>IFERROR(__xludf.DUMMYFUNCTION("""COMPUTED_VALUE"""),24.1267306207389)</f>
        <v>24.12673062</v>
      </c>
    </row>
    <row r="402">
      <c r="A402" s="2" t="str">
        <f>IFERROR(__xludf.DUMMYFUNCTION("""COMPUTED_VALUE"""),"For sale")</f>
        <v>For sale</v>
      </c>
      <c r="B402" s="2" t="str">
        <f>IFERROR(__xludf.DUMMYFUNCTION("""COMPUTED_VALUE"""),"centrs")</f>
        <v>centrs</v>
      </c>
      <c r="C402" s="2" t="str">
        <f>IFERROR(__xludf.DUMMYFUNCTION("""COMPUTED_VALUE"""),"Čaka 52/2")</f>
        <v>Čaka 52/2</v>
      </c>
      <c r="D402" s="2">
        <f>IFERROR(__xludf.DUMMYFUNCTION("""COMPUTED_VALUE"""),4.0)</f>
        <v>4</v>
      </c>
      <c r="E402" s="2">
        <f>IFERROR(__xludf.DUMMYFUNCTION("""COMPUTED_VALUE"""),137.0)</f>
        <v>137</v>
      </c>
      <c r="F402" s="2">
        <f>IFERROR(__xludf.DUMMYFUNCTION("""COMPUTED_VALUE"""),3.0)</f>
        <v>3</v>
      </c>
      <c r="G402" s="2">
        <f>IFERROR(__xludf.DUMMYFUNCTION("""COMPUTED_VALUE"""),5.0)</f>
        <v>5</v>
      </c>
      <c r="H402" s="2" t="str">
        <f>IFERROR(__xludf.DUMMYFUNCTION("""COMPUTED_VALUE"""),"P. kara")</f>
        <v>P. kara</v>
      </c>
      <c r="I402" s="2" t="str">
        <f>IFERROR(__xludf.DUMMYFUNCTION("""COMPUTED_VALUE"""),"Masonry")</f>
        <v>Masonry</v>
      </c>
      <c r="J402" s="2" t="str">
        <f>IFERROR(__xludf.DUMMYFUNCTION("""COMPUTED_VALUE"""),"All amenities")</f>
        <v>All amenities</v>
      </c>
      <c r="K402" s="2">
        <f>IFERROR(__xludf.DUMMYFUNCTION("""COMPUTED_VALUE"""),149000.0)</f>
        <v>149000</v>
      </c>
      <c r="L402" s="2">
        <f>IFERROR(__xludf.DUMMYFUNCTION("""COMPUTED_VALUE"""),56.9626863)</f>
        <v>56.9626863</v>
      </c>
      <c r="M402" s="2">
        <f>IFERROR(__xludf.DUMMYFUNCTION("""COMPUTED_VALUE"""),24.1480584)</f>
        <v>24.1480584</v>
      </c>
    </row>
    <row r="403">
      <c r="A403" s="2" t="str">
        <f>IFERROR(__xludf.DUMMYFUNCTION("""COMPUTED_VALUE"""),"For sale")</f>
        <v>For sale</v>
      </c>
      <c r="B403" s="2" t="str">
        <f>IFERROR(__xludf.DUMMYFUNCTION("""COMPUTED_VALUE"""),"Pļavnieki")</f>
        <v>Pļavnieki</v>
      </c>
      <c r="C403" s="2" t="str">
        <f>IFERROR(__xludf.DUMMYFUNCTION("""COMPUTED_VALUE"""),"Jasmuižas 22")</f>
        <v>Jasmuižas 22</v>
      </c>
      <c r="D403" s="2">
        <f>IFERROR(__xludf.DUMMYFUNCTION("""COMPUTED_VALUE"""),4.0)</f>
        <v>4</v>
      </c>
      <c r="E403" s="2">
        <f>IFERROR(__xludf.DUMMYFUNCTION("""COMPUTED_VALUE"""),118.0)</f>
        <v>118</v>
      </c>
      <c r="F403" s="2">
        <f>IFERROR(__xludf.DUMMYFUNCTION("""COMPUTED_VALUE"""),1.0)</f>
        <v>1</v>
      </c>
      <c r="G403" s="2">
        <f>IFERROR(__xludf.DUMMYFUNCTION("""COMPUTED_VALUE"""),3.0)</f>
        <v>3</v>
      </c>
      <c r="H403" s="2" t="str">
        <f>IFERROR(__xludf.DUMMYFUNCTION("""COMPUTED_VALUE"""),"Jaun.")</f>
        <v>Jaun.</v>
      </c>
      <c r="I403" s="2" t="str">
        <f>IFERROR(__xludf.DUMMYFUNCTION("""COMPUTED_VALUE"""),"Brick-Panel")</f>
        <v>Brick-Panel</v>
      </c>
      <c r="J403" s="2" t="str">
        <f>IFERROR(__xludf.DUMMYFUNCTION("""COMPUTED_VALUE"""),"All amenities")</f>
        <v>All amenities</v>
      </c>
      <c r="K403" s="2">
        <f>IFERROR(__xludf.DUMMYFUNCTION("""COMPUTED_VALUE"""),199000.0)</f>
        <v>199000</v>
      </c>
      <c r="L403" s="2">
        <f>IFERROR(__xludf.DUMMYFUNCTION("""COMPUTED_VALUE"""),56.93715885)</f>
        <v>56.93715885</v>
      </c>
      <c r="M403" s="2">
        <f>IFERROR(__xludf.DUMMYFUNCTION("""COMPUTED_VALUE"""),24.2146330429204)</f>
        <v>24.21463304</v>
      </c>
    </row>
    <row r="404">
      <c r="A404" s="2" t="str">
        <f>IFERROR(__xludf.DUMMYFUNCTION("""COMPUTED_VALUE"""),"For rent")</f>
        <v>For rent</v>
      </c>
      <c r="B404" s="2" t="str">
        <f>IFERROR(__xludf.DUMMYFUNCTION("""COMPUTED_VALUE"""),"centrs")</f>
        <v>centrs</v>
      </c>
      <c r="C404" s="2" t="str">
        <f>IFERROR(__xludf.DUMMYFUNCTION("""COMPUTED_VALUE"""),"Matīsa 35")</f>
        <v>Matīsa 35</v>
      </c>
      <c r="D404" s="2">
        <f>IFERROR(__xludf.DUMMYFUNCTION("""COMPUTED_VALUE"""),3.0)</f>
        <v>3</v>
      </c>
      <c r="E404" s="2">
        <f>IFERROR(__xludf.DUMMYFUNCTION("""COMPUTED_VALUE"""),63.0)</f>
        <v>63</v>
      </c>
      <c r="F404" s="2">
        <f>IFERROR(__xludf.DUMMYFUNCTION("""COMPUTED_VALUE"""),3.0)</f>
        <v>3</v>
      </c>
      <c r="G404" s="2">
        <f>IFERROR(__xludf.DUMMYFUNCTION("""COMPUTED_VALUE"""),5.0)</f>
        <v>5</v>
      </c>
      <c r="H404" s="2" t="str">
        <f>IFERROR(__xludf.DUMMYFUNCTION("""COMPUTED_VALUE"""),"Renov.")</f>
        <v>Renov.</v>
      </c>
      <c r="I404" s="2" t="str">
        <f>IFERROR(__xludf.DUMMYFUNCTION("""COMPUTED_VALUE"""),"Masonry")</f>
        <v>Masonry</v>
      </c>
      <c r="J404" s="2" t="str">
        <f>IFERROR(__xludf.DUMMYFUNCTION("""COMPUTED_VALUE"""),"All amenities")</f>
        <v>All amenities</v>
      </c>
      <c r="K404" s="2">
        <f>IFERROR(__xludf.DUMMYFUNCTION("""COMPUTED_VALUE"""),630.0)</f>
        <v>630</v>
      </c>
      <c r="L404" s="2">
        <f>IFERROR(__xludf.DUMMYFUNCTION("""COMPUTED_VALUE"""),56.95629175)</f>
        <v>56.95629175</v>
      </c>
      <c r="M404" s="2">
        <f>IFERROR(__xludf.DUMMYFUNCTION("""COMPUTED_VALUE"""),24.1353545508412)</f>
        <v>24.13535455</v>
      </c>
    </row>
    <row r="405">
      <c r="A405" s="2" t="str">
        <f>IFERROR(__xludf.DUMMYFUNCTION("""COMPUTED_VALUE"""),"For sale")</f>
        <v>For sale</v>
      </c>
      <c r="B405" s="2" t="str">
        <f>IFERROR(__xludf.DUMMYFUNCTION("""COMPUTED_VALUE"""),"Ķengarags")</f>
        <v>Ķengarags</v>
      </c>
      <c r="C405" s="2" t="str">
        <f>IFERROR(__xludf.DUMMYFUNCTION("""COMPUTED_VALUE"""),"Salaspils 16b")</f>
        <v>Salaspils 16b</v>
      </c>
      <c r="D405" s="2">
        <f>IFERROR(__xludf.DUMMYFUNCTION("""COMPUTED_VALUE"""),3.0)</f>
        <v>3</v>
      </c>
      <c r="E405" s="2">
        <f>IFERROR(__xludf.DUMMYFUNCTION("""COMPUTED_VALUE"""),75.0)</f>
        <v>75</v>
      </c>
      <c r="F405" s="2">
        <f>IFERROR(__xludf.DUMMYFUNCTION("""COMPUTED_VALUE"""),6.0)</f>
        <v>6</v>
      </c>
      <c r="G405" s="2">
        <f>IFERROR(__xludf.DUMMYFUNCTION("""COMPUTED_VALUE"""),12.0)</f>
        <v>12</v>
      </c>
      <c r="H405" s="2" t="str">
        <f>IFERROR(__xludf.DUMMYFUNCTION("""COMPUTED_VALUE"""),"Čehu pr.")</f>
        <v>Čehu pr.</v>
      </c>
      <c r="I405" s="2" t="str">
        <f>IFERROR(__xludf.DUMMYFUNCTION("""COMPUTED_VALUE"""),"Brick")</f>
        <v>Brick</v>
      </c>
      <c r="J405" s="2" t="str">
        <f>IFERROR(__xludf.DUMMYFUNCTION("""COMPUTED_VALUE"""),"All amenities")</f>
        <v>All amenities</v>
      </c>
      <c r="K405" s="2">
        <f>IFERROR(__xludf.DUMMYFUNCTION("""COMPUTED_VALUE"""),67000.0)</f>
        <v>67000</v>
      </c>
      <c r="L405" s="2">
        <f>IFERROR(__xludf.DUMMYFUNCTION("""COMPUTED_VALUE"""),56.9194196499999)</f>
        <v>56.91941965</v>
      </c>
      <c r="M405" s="2">
        <f>IFERROR(__xludf.DUMMYFUNCTION("""COMPUTED_VALUE"""),24.1838668481569)</f>
        <v>24.18386685</v>
      </c>
    </row>
    <row r="406">
      <c r="A406" s="2" t="str">
        <f>IFERROR(__xludf.DUMMYFUNCTION("""COMPUTED_VALUE"""),"For sale")</f>
        <v>For sale</v>
      </c>
      <c r="B406" s="2" t="str">
        <f>IFERROR(__xludf.DUMMYFUNCTION("""COMPUTED_VALUE"""),"Vecrīga")</f>
        <v>Vecrīga</v>
      </c>
      <c r="C406" s="2" t="str">
        <f>IFERROR(__xludf.DUMMYFUNCTION("""COMPUTED_VALUE"""),"Mārstaļu 16")</f>
        <v>Mārstaļu 16</v>
      </c>
      <c r="D406" s="2">
        <f>IFERROR(__xludf.DUMMYFUNCTION("""COMPUTED_VALUE"""),3.0)</f>
        <v>3</v>
      </c>
      <c r="E406" s="2">
        <f>IFERROR(__xludf.DUMMYFUNCTION("""COMPUTED_VALUE"""),101.0)</f>
        <v>101</v>
      </c>
      <c r="F406" s="2">
        <f>IFERROR(__xludf.DUMMYFUNCTION("""COMPUTED_VALUE"""),3.0)</f>
        <v>3</v>
      </c>
      <c r="G406" s="2">
        <f>IFERROR(__xludf.DUMMYFUNCTION("""COMPUTED_VALUE"""),6.0)</f>
        <v>6</v>
      </c>
      <c r="H406" s="2" t="str">
        <f>IFERROR(__xludf.DUMMYFUNCTION("""COMPUTED_VALUE"""),"Renov.")</f>
        <v>Renov.</v>
      </c>
      <c r="I406" s="2" t="str">
        <f>IFERROR(__xludf.DUMMYFUNCTION("""COMPUTED_VALUE"""),"Masonry")</f>
        <v>Masonry</v>
      </c>
      <c r="J406" s="2" t="str">
        <f>IFERROR(__xludf.DUMMYFUNCTION("""COMPUTED_VALUE"""),"All amenities")</f>
        <v>All amenities</v>
      </c>
      <c r="K406" s="2">
        <f>IFERROR(__xludf.DUMMYFUNCTION("""COMPUTED_VALUE"""),220000.0)</f>
        <v>220000</v>
      </c>
      <c r="L406" s="2">
        <f>IFERROR(__xludf.DUMMYFUNCTION("""COMPUTED_VALUE"""),56.9451747)</f>
        <v>56.9451747</v>
      </c>
      <c r="M406" s="2">
        <f>IFERROR(__xludf.DUMMYFUNCTION("""COMPUTED_VALUE"""),24.1075711)</f>
        <v>24.1075711</v>
      </c>
    </row>
    <row r="407">
      <c r="A407" s="2" t="str">
        <f>IFERROR(__xludf.DUMMYFUNCTION("""COMPUTED_VALUE"""),"For sale")</f>
        <v>For sale</v>
      </c>
      <c r="B407" s="2" t="str">
        <f>IFERROR(__xludf.DUMMYFUNCTION("""COMPUTED_VALUE"""),"centrs")</f>
        <v>centrs</v>
      </c>
      <c r="C407" s="2" t="str">
        <f>IFERROR(__xludf.DUMMYFUNCTION("""COMPUTED_VALUE"""),"Barona 60")</f>
        <v>Barona 60</v>
      </c>
      <c r="D407" s="2">
        <f>IFERROR(__xludf.DUMMYFUNCTION("""COMPUTED_VALUE"""),1.0)</f>
        <v>1</v>
      </c>
      <c r="E407" s="2">
        <f>IFERROR(__xludf.DUMMYFUNCTION("""COMPUTED_VALUE"""),43.0)</f>
        <v>43</v>
      </c>
      <c r="F407" s="2">
        <f>IFERROR(__xludf.DUMMYFUNCTION("""COMPUTED_VALUE"""),3.0)</f>
        <v>3</v>
      </c>
      <c r="G407" s="2">
        <f>IFERROR(__xludf.DUMMYFUNCTION("""COMPUTED_VALUE"""),3.0)</f>
        <v>3</v>
      </c>
      <c r="H407" s="2" t="str">
        <f>IFERROR(__xludf.DUMMYFUNCTION("""COMPUTED_VALUE"""),"P. kara")</f>
        <v>P. kara</v>
      </c>
      <c r="I407" s="2" t="str">
        <f>IFERROR(__xludf.DUMMYFUNCTION("""COMPUTED_VALUE"""),"Wood")</f>
        <v>Wood</v>
      </c>
      <c r="J407" s="2" t="str">
        <f>IFERROR(__xludf.DUMMYFUNCTION("""COMPUTED_VALUE"""),"All amenities")</f>
        <v>All amenities</v>
      </c>
      <c r="K407" s="2">
        <f>IFERROR(__xludf.DUMMYFUNCTION("""COMPUTED_VALUE"""),45000.0)</f>
        <v>45000</v>
      </c>
      <c r="L407" s="2">
        <f>IFERROR(__xludf.DUMMYFUNCTION("""COMPUTED_VALUE"""),56.9550189)</f>
        <v>56.9550189</v>
      </c>
      <c r="M407" s="2">
        <f>IFERROR(__xludf.DUMMYFUNCTION("""COMPUTED_VALUE"""),24.1293006)</f>
        <v>24.1293006</v>
      </c>
    </row>
    <row r="408">
      <c r="A408" s="2" t="str">
        <f>IFERROR(__xludf.DUMMYFUNCTION("""COMPUTED_VALUE"""),"For rent")</f>
        <v>For rent</v>
      </c>
      <c r="B408" s="2" t="str">
        <f>IFERROR(__xludf.DUMMYFUNCTION("""COMPUTED_VALUE"""),"Ķengarags")</f>
        <v>Ķengarags</v>
      </c>
      <c r="C408" s="2" t="str">
        <f>IFERROR(__xludf.DUMMYFUNCTION("""COMPUTED_VALUE"""),"Aviācijas 23")</f>
        <v>Aviācijas 23</v>
      </c>
      <c r="D408" s="2">
        <f>IFERROR(__xludf.DUMMYFUNCTION("""COMPUTED_VALUE"""),1.0)</f>
        <v>1</v>
      </c>
      <c r="E408" s="2">
        <f>IFERROR(__xludf.DUMMYFUNCTION("""COMPUTED_VALUE"""),35.0)</f>
        <v>35</v>
      </c>
      <c r="F408" s="2">
        <f>IFERROR(__xludf.DUMMYFUNCTION("""COMPUTED_VALUE"""),6.0)</f>
        <v>6</v>
      </c>
      <c r="G408" s="2">
        <f>IFERROR(__xludf.DUMMYFUNCTION("""COMPUTED_VALUE"""),12.0)</f>
        <v>12</v>
      </c>
      <c r="H408" s="2" t="str">
        <f>IFERROR(__xludf.DUMMYFUNCTION("""COMPUTED_VALUE"""),"LT proj.")</f>
        <v>LT proj.</v>
      </c>
      <c r="I408" s="2" t="str">
        <f>IFERROR(__xludf.DUMMYFUNCTION("""COMPUTED_VALUE"""),"Brick")</f>
        <v>Brick</v>
      </c>
      <c r="J408" s="2" t="str">
        <f>IFERROR(__xludf.DUMMYFUNCTION("""COMPUTED_VALUE"""),"All amenities")</f>
        <v>All amenities</v>
      </c>
      <c r="K408" s="2">
        <f>IFERROR(__xludf.DUMMYFUNCTION("""COMPUTED_VALUE"""),190.0)</f>
        <v>190</v>
      </c>
      <c r="L408" s="2">
        <f>IFERROR(__xludf.DUMMYFUNCTION("""COMPUTED_VALUE"""),56.9039208)</f>
        <v>56.9039208</v>
      </c>
      <c r="M408" s="2">
        <f>IFERROR(__xludf.DUMMYFUNCTION("""COMPUTED_VALUE"""),24.2003814814285)</f>
        <v>24.20038148</v>
      </c>
    </row>
    <row r="409">
      <c r="A409" s="2" t="str">
        <f>IFERROR(__xludf.DUMMYFUNCTION("""COMPUTED_VALUE"""),"For rent")</f>
        <v>For rent</v>
      </c>
      <c r="B409" s="2" t="str">
        <f>IFERROR(__xludf.DUMMYFUNCTION("""COMPUTED_VALUE"""),"Teika")</f>
        <v>Teika</v>
      </c>
      <c r="C409" s="2" t="str">
        <f>IFERROR(__xludf.DUMMYFUNCTION("""COMPUTED_VALUE"""),"Zemgala gatve 52")</f>
        <v>Zemgala gatve 52</v>
      </c>
      <c r="D409" s="2">
        <f>IFERROR(__xludf.DUMMYFUNCTION("""COMPUTED_VALUE"""),3.0)</f>
        <v>3</v>
      </c>
      <c r="E409" s="2">
        <f>IFERROR(__xludf.DUMMYFUNCTION("""COMPUTED_VALUE"""),55.0)</f>
        <v>55</v>
      </c>
      <c r="F409" s="2">
        <f>IFERROR(__xludf.DUMMYFUNCTION("""COMPUTED_VALUE"""),1.0)</f>
        <v>1</v>
      </c>
      <c r="G409" s="2">
        <f>IFERROR(__xludf.DUMMYFUNCTION("""COMPUTED_VALUE"""),1.0)</f>
        <v>1</v>
      </c>
      <c r="H409" s="2" t="str">
        <f>IFERROR(__xludf.DUMMYFUNCTION("""COMPUTED_VALUE"""),"Priv. m.")</f>
        <v>Priv. m.</v>
      </c>
      <c r="I409" s="2" t="str">
        <f>IFERROR(__xludf.DUMMYFUNCTION("""COMPUTED_VALUE"""),"Masonry")</f>
        <v>Masonry</v>
      </c>
      <c r="J409" s="2" t="str">
        <f>IFERROR(__xludf.DUMMYFUNCTION("""COMPUTED_VALUE"""),"All amenities")</f>
        <v>All amenities</v>
      </c>
      <c r="K409" s="2">
        <f>IFERROR(__xludf.DUMMYFUNCTION("""COMPUTED_VALUE"""),500.0)</f>
        <v>500</v>
      </c>
      <c r="L409" s="2">
        <f>IFERROR(__xludf.DUMMYFUNCTION("""COMPUTED_VALUE"""),56.9713309)</f>
        <v>56.9713309</v>
      </c>
      <c r="M409" s="2">
        <f>IFERROR(__xludf.DUMMYFUNCTION("""COMPUTED_VALUE"""),24.1683435028215)</f>
        <v>24.1683435</v>
      </c>
    </row>
    <row r="410">
      <c r="A410" s="2" t="str">
        <f>IFERROR(__xludf.DUMMYFUNCTION("""COMPUTED_VALUE"""),"For rent")</f>
        <v>For rent</v>
      </c>
      <c r="B410" s="2" t="str">
        <f>IFERROR(__xludf.DUMMYFUNCTION("""COMPUTED_VALUE"""),"Jugla")</f>
        <v>Jugla</v>
      </c>
      <c r="C410" s="2" t="str">
        <f>IFERROR(__xludf.DUMMYFUNCTION("""COMPUTED_VALUE"""),"Vangažu 11")</f>
        <v>Vangažu 11</v>
      </c>
      <c r="D410" s="2">
        <f>IFERROR(__xludf.DUMMYFUNCTION("""COMPUTED_VALUE"""),1.0)</f>
        <v>1</v>
      </c>
      <c r="E410" s="2">
        <f>IFERROR(__xludf.DUMMYFUNCTION("""COMPUTED_VALUE"""),32.0)</f>
        <v>32</v>
      </c>
      <c r="F410" s="2">
        <f>IFERROR(__xludf.DUMMYFUNCTION("""COMPUTED_VALUE"""),4.0)</f>
        <v>4</v>
      </c>
      <c r="G410" s="2">
        <f>IFERROR(__xludf.DUMMYFUNCTION("""COMPUTED_VALUE"""),12.0)</f>
        <v>12</v>
      </c>
      <c r="H410" s="2" t="str">
        <f>IFERROR(__xludf.DUMMYFUNCTION("""COMPUTED_VALUE"""),"M. ģim.")</f>
        <v>M. ģim.</v>
      </c>
      <c r="I410" s="2" t="str">
        <f>IFERROR(__xludf.DUMMYFUNCTION("""COMPUTED_VALUE"""),"Brick")</f>
        <v>Brick</v>
      </c>
      <c r="J410" s="2" t="str">
        <f>IFERROR(__xludf.DUMMYFUNCTION("""COMPUTED_VALUE"""),"All amenities")</f>
        <v>All amenities</v>
      </c>
      <c r="K410" s="2">
        <f>IFERROR(__xludf.DUMMYFUNCTION("""COMPUTED_VALUE"""),250.0)</f>
        <v>250</v>
      </c>
      <c r="L410" s="2">
        <f>IFERROR(__xludf.DUMMYFUNCTION("""COMPUTED_VALUE"""),56.9871471999999)</f>
        <v>56.9871472</v>
      </c>
      <c r="M410" s="2">
        <f>IFERROR(__xludf.DUMMYFUNCTION("""COMPUTED_VALUE"""),24.2286390546237)</f>
        <v>24.22863905</v>
      </c>
    </row>
    <row r="411">
      <c r="A411" s="2" t="str">
        <f>IFERROR(__xludf.DUMMYFUNCTION("""COMPUTED_VALUE"""),"For sale")</f>
        <v>For sale</v>
      </c>
      <c r="B411" s="2" t="str">
        <f>IFERROR(__xludf.DUMMYFUNCTION("""COMPUTED_VALUE"""),"Maskavas priekšpilsēta")</f>
        <v>Maskavas priekšpilsēta</v>
      </c>
      <c r="C411" s="2" t="str">
        <f>IFERROR(__xludf.DUMMYFUNCTION("""COMPUTED_VALUE"""),"Daugavpils 8")</f>
        <v>Daugavpils 8</v>
      </c>
      <c r="D411" s="2">
        <f>IFERROR(__xludf.DUMMYFUNCTION("""COMPUTED_VALUE"""),4.0)</f>
        <v>4</v>
      </c>
      <c r="E411" s="2">
        <f>IFERROR(__xludf.DUMMYFUNCTION("""COMPUTED_VALUE"""),95.0)</f>
        <v>95</v>
      </c>
      <c r="F411" s="2">
        <f>IFERROR(__xludf.DUMMYFUNCTION("""COMPUTED_VALUE"""),1.0)</f>
        <v>1</v>
      </c>
      <c r="G411" s="2">
        <f>IFERROR(__xludf.DUMMYFUNCTION("""COMPUTED_VALUE"""),2.0)</f>
        <v>2</v>
      </c>
      <c r="H411" s="2" t="str">
        <f>IFERROR(__xludf.DUMMYFUNCTION("""COMPUTED_VALUE"""),"Specpr.")</f>
        <v>Specpr.</v>
      </c>
      <c r="I411" s="2" t="str">
        <f>IFERROR(__xludf.DUMMYFUNCTION("""COMPUTED_VALUE"""),"Wood")</f>
        <v>Wood</v>
      </c>
      <c r="J411" s="2" t="str">
        <f>IFERROR(__xludf.DUMMYFUNCTION("""COMPUTED_VALUE"""),"All amenities")</f>
        <v>All amenities</v>
      </c>
      <c r="K411" s="2">
        <f>IFERROR(__xludf.DUMMYFUNCTION("""COMPUTED_VALUE"""),29790.0)</f>
        <v>29790</v>
      </c>
      <c r="L411" s="2">
        <f>IFERROR(__xludf.DUMMYFUNCTION("""COMPUTED_VALUE"""),56.9398925)</f>
        <v>56.9398925</v>
      </c>
      <c r="M411" s="2">
        <f>IFERROR(__xludf.DUMMYFUNCTION("""COMPUTED_VALUE"""),24.1414198548449)</f>
        <v>24.14141985</v>
      </c>
    </row>
    <row r="412">
      <c r="A412" s="2" t="str">
        <f>IFERROR(__xludf.DUMMYFUNCTION("""COMPUTED_VALUE"""),"For sale")</f>
        <v>For sale</v>
      </c>
      <c r="B412" s="2" t="str">
        <f>IFERROR(__xludf.DUMMYFUNCTION("""COMPUTED_VALUE"""),"Āgenskalns")</f>
        <v>Āgenskalns</v>
      </c>
      <c r="C412" s="2" t="str">
        <f>IFERROR(__xludf.DUMMYFUNCTION("""COMPUTED_VALUE"""),"Melnsila 14")</f>
        <v>Melnsila 14</v>
      </c>
      <c r="D412" s="2">
        <f>IFERROR(__xludf.DUMMYFUNCTION("""COMPUTED_VALUE"""),3.0)</f>
        <v>3</v>
      </c>
      <c r="E412" s="2">
        <f>IFERROR(__xludf.DUMMYFUNCTION("""COMPUTED_VALUE"""),64.0)</f>
        <v>64</v>
      </c>
      <c r="F412" s="2">
        <f>IFERROR(__xludf.DUMMYFUNCTION("""COMPUTED_VALUE"""),2.0)</f>
        <v>2</v>
      </c>
      <c r="G412" s="2">
        <f>IFERROR(__xludf.DUMMYFUNCTION("""COMPUTED_VALUE"""),4.0)</f>
        <v>4</v>
      </c>
      <c r="H412" s="2" t="str">
        <f>IFERROR(__xludf.DUMMYFUNCTION("""COMPUTED_VALUE"""),"Renov.")</f>
        <v>Renov.</v>
      </c>
      <c r="I412" s="2" t="str">
        <f>IFERROR(__xludf.DUMMYFUNCTION("""COMPUTED_VALUE"""),"Wood")</f>
        <v>Wood</v>
      </c>
      <c r="J412" s="2" t="str">
        <f>IFERROR(__xludf.DUMMYFUNCTION("""COMPUTED_VALUE"""),"All amenities")</f>
        <v>All amenities</v>
      </c>
      <c r="K412" s="2">
        <f>IFERROR(__xludf.DUMMYFUNCTION("""COMPUTED_VALUE"""),102000.0)</f>
        <v>102000</v>
      </c>
      <c r="L412" s="2">
        <f>IFERROR(__xludf.DUMMYFUNCTION("""COMPUTED_VALUE"""),56.94402935)</f>
        <v>56.94402935</v>
      </c>
      <c r="M412" s="2">
        <f>IFERROR(__xludf.DUMMYFUNCTION("""COMPUTED_VALUE"""),24.0666393160705)</f>
        <v>24.06663932</v>
      </c>
    </row>
    <row r="413">
      <c r="A413" s="2" t="str">
        <f>IFERROR(__xludf.DUMMYFUNCTION("""COMPUTED_VALUE"""),"For sale")</f>
        <v>For sale</v>
      </c>
      <c r="B413" s="2" t="str">
        <f>IFERROR(__xludf.DUMMYFUNCTION("""COMPUTED_VALUE"""),"Purvciems")</f>
        <v>Purvciems</v>
      </c>
      <c r="C413" s="2" t="str">
        <f>IFERROR(__xludf.DUMMYFUNCTION("""COMPUTED_VALUE"""),"Ilūkstes 109")</f>
        <v>Ilūkstes 109</v>
      </c>
      <c r="D413" s="2">
        <f>IFERROR(__xludf.DUMMYFUNCTION("""COMPUTED_VALUE"""),1.0)</f>
        <v>1</v>
      </c>
      <c r="E413" s="2">
        <f>IFERROR(__xludf.DUMMYFUNCTION("""COMPUTED_VALUE"""),37.0)</f>
        <v>37</v>
      </c>
      <c r="F413" s="2">
        <f>IFERROR(__xludf.DUMMYFUNCTION("""COMPUTED_VALUE"""),1.0)</f>
        <v>1</v>
      </c>
      <c r="G413" s="2">
        <f>IFERROR(__xludf.DUMMYFUNCTION("""COMPUTED_VALUE"""),9.0)</f>
        <v>9</v>
      </c>
      <c r="H413" s="2">
        <f>IFERROR(__xludf.DUMMYFUNCTION("""COMPUTED_VALUE"""),467.0)</f>
        <v>467</v>
      </c>
      <c r="I413" s="2" t="str">
        <f>IFERROR(__xludf.DUMMYFUNCTION("""COMPUTED_VALUE"""),"Panel")</f>
        <v>Panel</v>
      </c>
      <c r="J413" s="2" t="str">
        <f>IFERROR(__xludf.DUMMYFUNCTION("""COMPUTED_VALUE"""),"All amenities")</f>
        <v>All amenities</v>
      </c>
      <c r="K413" s="2">
        <f>IFERROR(__xludf.DUMMYFUNCTION("""COMPUTED_VALUE"""),32000.0)</f>
        <v>32000</v>
      </c>
      <c r="L413" s="2">
        <f>IFERROR(__xludf.DUMMYFUNCTION("""COMPUTED_VALUE"""),56.9543563)</f>
        <v>56.9543563</v>
      </c>
      <c r="M413" s="2">
        <f>IFERROR(__xludf.DUMMYFUNCTION("""COMPUTED_VALUE"""),24.19854765)</f>
        <v>24.19854765</v>
      </c>
    </row>
    <row r="414">
      <c r="A414" s="2" t="str">
        <f>IFERROR(__xludf.DUMMYFUNCTION("""COMPUTED_VALUE"""),"For rent")</f>
        <v>For rent</v>
      </c>
      <c r="B414" s="2" t="str">
        <f>IFERROR(__xludf.DUMMYFUNCTION("""COMPUTED_VALUE"""),"centrs")</f>
        <v>centrs</v>
      </c>
      <c r="C414" s="2" t="str">
        <f>IFERROR(__xludf.DUMMYFUNCTION("""COMPUTED_VALUE"""),"Lāčplēša 18")</f>
        <v>Lāčplēša 18</v>
      </c>
      <c r="D414" s="2">
        <f>IFERROR(__xludf.DUMMYFUNCTION("""COMPUTED_VALUE"""),1.0)</f>
        <v>1</v>
      </c>
      <c r="E414" s="2">
        <f>IFERROR(__xludf.DUMMYFUNCTION("""COMPUTED_VALUE"""),25.0)</f>
        <v>25</v>
      </c>
      <c r="F414" s="2">
        <f>IFERROR(__xludf.DUMMYFUNCTION("""COMPUTED_VALUE"""),5.0)</f>
        <v>5</v>
      </c>
      <c r="G414" s="2">
        <f>IFERROR(__xludf.DUMMYFUNCTION("""COMPUTED_VALUE"""),5.0)</f>
        <v>5</v>
      </c>
      <c r="H414" s="2" t="str">
        <f>IFERROR(__xludf.DUMMYFUNCTION("""COMPUTED_VALUE"""),"P. kara")</f>
        <v>P. kara</v>
      </c>
      <c r="I414" s="2" t="str">
        <f>IFERROR(__xludf.DUMMYFUNCTION("""COMPUTED_VALUE"""),"Masonry")</f>
        <v>Masonry</v>
      </c>
      <c r="J414" s="2" t="str">
        <f>IFERROR(__xludf.DUMMYFUNCTION("""COMPUTED_VALUE"""),"All amenities")</f>
        <v>All amenities</v>
      </c>
      <c r="K414" s="2">
        <f>IFERROR(__xludf.DUMMYFUNCTION("""COMPUTED_VALUE"""),600.0)</f>
        <v>600</v>
      </c>
      <c r="L414" s="2">
        <f>IFERROR(__xludf.DUMMYFUNCTION("""COMPUTED_VALUE"""),56.95538345)</f>
        <v>56.95538345</v>
      </c>
      <c r="M414" s="2">
        <f>IFERROR(__xludf.DUMMYFUNCTION("""COMPUTED_VALUE"""),24.122809649188)</f>
        <v>24.12280965</v>
      </c>
    </row>
    <row r="415">
      <c r="A415" s="2" t="str">
        <f>IFERROR(__xludf.DUMMYFUNCTION("""COMPUTED_VALUE"""),"For sale")</f>
        <v>For sale</v>
      </c>
      <c r="B415" s="2" t="str">
        <f>IFERROR(__xludf.DUMMYFUNCTION("""COMPUTED_VALUE"""),"Pļavnieki")</f>
        <v>Pļavnieki</v>
      </c>
      <c r="C415" s="2" t="str">
        <f>IFERROR(__xludf.DUMMYFUNCTION("""COMPUTED_VALUE"""),"Pavasara g. 1")</f>
        <v>Pavasara g. 1</v>
      </c>
      <c r="D415" s="2">
        <f>IFERROR(__xludf.DUMMYFUNCTION("""COMPUTED_VALUE"""),3.0)</f>
        <v>3</v>
      </c>
      <c r="E415" s="2">
        <f>IFERROR(__xludf.DUMMYFUNCTION("""COMPUTED_VALUE"""),63.0)</f>
        <v>63</v>
      </c>
      <c r="F415" s="2">
        <f>IFERROR(__xludf.DUMMYFUNCTION("""COMPUTED_VALUE"""),2.0)</f>
        <v>2</v>
      </c>
      <c r="G415" s="2">
        <f>IFERROR(__xludf.DUMMYFUNCTION("""COMPUTED_VALUE"""),9.0)</f>
        <v>9</v>
      </c>
      <c r="H415" s="2">
        <f>IFERROR(__xludf.DUMMYFUNCTION("""COMPUTED_VALUE"""),602.0)</f>
        <v>602</v>
      </c>
      <c r="I415" s="2" t="str">
        <f>IFERROR(__xludf.DUMMYFUNCTION("""COMPUTED_VALUE"""),"Panel")</f>
        <v>Panel</v>
      </c>
      <c r="J415" s="2" t="str">
        <f>IFERROR(__xludf.DUMMYFUNCTION("""COMPUTED_VALUE"""),"All amenities")</f>
        <v>All amenities</v>
      </c>
      <c r="K415" s="2">
        <f>IFERROR(__xludf.DUMMYFUNCTION("""COMPUTED_VALUE"""),67500.0)</f>
        <v>67500</v>
      </c>
      <c r="L415" s="2">
        <f>IFERROR(__xludf.DUMMYFUNCTION("""COMPUTED_VALUE"""),56.9346184)</f>
        <v>56.9346184</v>
      </c>
      <c r="M415" s="2">
        <f>IFERROR(__xludf.DUMMYFUNCTION("""COMPUTED_VALUE"""),24.1980807)</f>
        <v>24.1980807</v>
      </c>
    </row>
    <row r="416">
      <c r="A416" s="2" t="str">
        <f>IFERROR(__xludf.DUMMYFUNCTION("""COMPUTED_VALUE"""),"For sale")</f>
        <v>For sale</v>
      </c>
      <c r="B416" s="2" t="str">
        <f>IFERROR(__xludf.DUMMYFUNCTION("""COMPUTED_VALUE"""),"Imanta")</f>
        <v>Imanta</v>
      </c>
      <c r="C416" s="2" t="str">
        <f>IFERROR(__xludf.DUMMYFUNCTION("""COMPUTED_VALUE"""),"Dammes 4")</f>
        <v>Dammes 4</v>
      </c>
      <c r="D416" s="2">
        <f>IFERROR(__xludf.DUMMYFUNCTION("""COMPUTED_VALUE"""),2.0)</f>
        <v>2</v>
      </c>
      <c r="E416" s="2">
        <f>IFERROR(__xludf.DUMMYFUNCTION("""COMPUTED_VALUE"""),49.0)</f>
        <v>49</v>
      </c>
      <c r="F416" s="2">
        <f>IFERROR(__xludf.DUMMYFUNCTION("""COMPUTED_VALUE"""),2.0)</f>
        <v>2</v>
      </c>
      <c r="G416" s="2">
        <f>IFERROR(__xludf.DUMMYFUNCTION("""COMPUTED_VALUE"""),9.0)</f>
        <v>9</v>
      </c>
      <c r="H416" s="2">
        <f>IFERROR(__xludf.DUMMYFUNCTION("""COMPUTED_VALUE"""),602.0)</f>
        <v>602</v>
      </c>
      <c r="I416" s="2" t="str">
        <f>IFERROR(__xludf.DUMMYFUNCTION("""COMPUTED_VALUE"""),"Panel")</f>
        <v>Panel</v>
      </c>
      <c r="J416" s="2" t="str">
        <f>IFERROR(__xludf.DUMMYFUNCTION("""COMPUTED_VALUE"""),"All amenities")</f>
        <v>All amenities</v>
      </c>
      <c r="K416" s="2">
        <f>IFERROR(__xludf.DUMMYFUNCTION("""COMPUTED_VALUE"""),50000.0)</f>
        <v>50000</v>
      </c>
      <c r="L416" s="2">
        <f>IFERROR(__xludf.DUMMYFUNCTION("""COMPUTED_VALUE"""),56.96173835)</f>
        <v>56.96173835</v>
      </c>
      <c r="M416" s="2">
        <f>IFERROR(__xludf.DUMMYFUNCTION("""COMPUTED_VALUE"""),24.01580175)</f>
        <v>24.01580175</v>
      </c>
    </row>
    <row r="417">
      <c r="A417" s="2" t="str">
        <f>IFERROR(__xludf.DUMMYFUNCTION("""COMPUTED_VALUE"""),"For sale")</f>
        <v>For sale</v>
      </c>
      <c r="B417" s="2" t="str">
        <f>IFERROR(__xludf.DUMMYFUNCTION("""COMPUTED_VALUE"""),"Iļģuciems")</f>
        <v>Iļģuciems</v>
      </c>
      <c r="C417" s="2" t="str">
        <f>IFERROR(__xludf.DUMMYFUNCTION("""COMPUTED_VALUE"""),"Daugavgrīvas 55")</f>
        <v>Daugavgrīvas 55</v>
      </c>
      <c r="D417" s="2">
        <f>IFERROR(__xludf.DUMMYFUNCTION("""COMPUTED_VALUE"""),3.0)</f>
        <v>3</v>
      </c>
      <c r="E417" s="2">
        <f>IFERROR(__xludf.DUMMYFUNCTION("""COMPUTED_VALUE"""),48.0)</f>
        <v>48</v>
      </c>
      <c r="F417" s="2">
        <f>IFERROR(__xludf.DUMMYFUNCTION("""COMPUTED_VALUE"""),1.0)</f>
        <v>1</v>
      </c>
      <c r="G417" s="2">
        <f>IFERROR(__xludf.DUMMYFUNCTION("""COMPUTED_VALUE"""),2.0)</f>
        <v>2</v>
      </c>
      <c r="H417" s="2" t="str">
        <f>IFERROR(__xludf.DUMMYFUNCTION("""COMPUTED_VALUE"""),"P. kara")</f>
        <v>P. kara</v>
      </c>
      <c r="I417" s="2" t="str">
        <f>IFERROR(__xludf.DUMMYFUNCTION("""COMPUTED_VALUE"""),"Wood")</f>
        <v>Wood</v>
      </c>
      <c r="J417" s="2" t="str">
        <f>IFERROR(__xludf.DUMMYFUNCTION("""COMPUTED_VALUE"""),"Partial amenities")</f>
        <v>Partial amenities</v>
      </c>
      <c r="K417" s="2">
        <f>IFERROR(__xludf.DUMMYFUNCTION("""COMPUTED_VALUE"""),32000.0)</f>
        <v>32000</v>
      </c>
      <c r="L417" s="2">
        <f>IFERROR(__xludf.DUMMYFUNCTION("""COMPUTED_VALUE"""),56.9581357)</f>
        <v>56.9581357</v>
      </c>
      <c r="M417" s="2">
        <f>IFERROR(__xludf.DUMMYFUNCTION("""COMPUTED_VALUE"""),24.0711634602382)</f>
        <v>24.07116346</v>
      </c>
    </row>
    <row r="418">
      <c r="A418" s="2" t="str">
        <f>IFERROR(__xludf.DUMMYFUNCTION("""COMPUTED_VALUE"""),"For rent")</f>
        <v>For rent</v>
      </c>
      <c r="B418" s="2" t="str">
        <f>IFERROR(__xludf.DUMMYFUNCTION("""COMPUTED_VALUE"""),"Ķengarags")</f>
        <v>Ķengarags</v>
      </c>
      <c r="C418" s="2" t="str">
        <f>IFERROR(__xludf.DUMMYFUNCTION("""COMPUTED_VALUE"""),"Pelnu 2")</f>
        <v>Pelnu 2</v>
      </c>
      <c r="D418" s="2">
        <f>IFERROR(__xludf.DUMMYFUNCTION("""COMPUTED_VALUE"""),2.0)</f>
        <v>2</v>
      </c>
      <c r="E418" s="2">
        <f>IFERROR(__xludf.DUMMYFUNCTION("""COMPUTED_VALUE"""),49.0)</f>
        <v>49</v>
      </c>
      <c r="F418" s="2">
        <f>IFERROR(__xludf.DUMMYFUNCTION("""COMPUTED_VALUE"""),5.0)</f>
        <v>5</v>
      </c>
      <c r="G418" s="2">
        <f>IFERROR(__xludf.DUMMYFUNCTION("""COMPUTED_VALUE"""),5.0)</f>
        <v>5</v>
      </c>
      <c r="H418" s="2" t="str">
        <f>IFERROR(__xludf.DUMMYFUNCTION("""COMPUTED_VALUE"""),"LT proj.")</f>
        <v>LT proj.</v>
      </c>
      <c r="I418" s="2" t="str">
        <f>IFERROR(__xludf.DUMMYFUNCTION("""COMPUTED_VALUE"""),"Brick-Panel")</f>
        <v>Brick-Panel</v>
      </c>
      <c r="J418" s="2" t="str">
        <f>IFERROR(__xludf.DUMMYFUNCTION("""COMPUTED_VALUE"""),"All amenities")</f>
        <v>All amenities</v>
      </c>
      <c r="K418" s="2">
        <f>IFERROR(__xludf.DUMMYFUNCTION("""COMPUTED_VALUE"""),250.0)</f>
        <v>250</v>
      </c>
      <c r="L418" s="2">
        <f>IFERROR(__xludf.DUMMYFUNCTION("""COMPUTED_VALUE"""),56.9074647)</f>
        <v>56.9074647</v>
      </c>
      <c r="M418" s="2">
        <f>IFERROR(__xludf.DUMMYFUNCTION("""COMPUTED_VALUE"""),24.2003979499999)</f>
        <v>24.20039795</v>
      </c>
    </row>
    <row r="419">
      <c r="A419" s="2" t="str">
        <f>IFERROR(__xludf.DUMMYFUNCTION("""COMPUTED_VALUE"""),"For sale")</f>
        <v>For sale</v>
      </c>
      <c r="B419" s="2" t="str">
        <f>IFERROR(__xludf.DUMMYFUNCTION("""COMPUTED_VALUE"""),"Bolderāja")</f>
        <v>Bolderāja</v>
      </c>
      <c r="C419" s="2" t="str">
        <f>IFERROR(__xludf.DUMMYFUNCTION("""COMPUTED_VALUE"""),"Mežrozīšu 5")</f>
        <v>Mežrozīšu 5</v>
      </c>
      <c r="D419" s="2">
        <f>IFERROR(__xludf.DUMMYFUNCTION("""COMPUTED_VALUE"""),2.0)</f>
        <v>2</v>
      </c>
      <c r="E419" s="2">
        <f>IFERROR(__xludf.DUMMYFUNCTION("""COMPUTED_VALUE"""),37.0)</f>
        <v>37</v>
      </c>
      <c r="F419" s="2">
        <f>IFERROR(__xludf.DUMMYFUNCTION("""COMPUTED_VALUE"""),1.0)</f>
        <v>1</v>
      </c>
      <c r="G419" s="2">
        <f>IFERROR(__xludf.DUMMYFUNCTION("""COMPUTED_VALUE"""),2.0)</f>
        <v>2</v>
      </c>
      <c r="H419" s="2" t="str">
        <f>IFERROR(__xludf.DUMMYFUNCTION("""COMPUTED_VALUE"""),"Specpr.")</f>
        <v>Specpr.</v>
      </c>
      <c r="I419" s="2" t="str">
        <f>IFERROR(__xludf.DUMMYFUNCTION("""COMPUTED_VALUE"""),"Wood")</f>
        <v>Wood</v>
      </c>
      <c r="J419" s="2" t="str">
        <f>IFERROR(__xludf.DUMMYFUNCTION("""COMPUTED_VALUE"""),"Partial amenities")</f>
        <v>Partial amenities</v>
      </c>
      <c r="K419" s="2">
        <f>IFERROR(__xludf.DUMMYFUNCTION("""COMPUTED_VALUE"""),12980.0)</f>
        <v>12980</v>
      </c>
      <c r="L419" s="2">
        <f>IFERROR(__xludf.DUMMYFUNCTION("""COMPUTED_VALUE"""),57.031881)</f>
        <v>57.031881</v>
      </c>
      <c r="M419" s="2">
        <f>IFERROR(__xludf.DUMMYFUNCTION("""COMPUTED_VALUE"""),24.0465146)</f>
        <v>24.0465146</v>
      </c>
    </row>
    <row r="420">
      <c r="A420" s="2" t="str">
        <f>IFERROR(__xludf.DUMMYFUNCTION("""COMPUTED_VALUE"""),"For sale")</f>
        <v>For sale</v>
      </c>
      <c r="B420" s="2" t="str">
        <f>IFERROR(__xludf.DUMMYFUNCTION("""COMPUTED_VALUE"""),"Jaunciems")</f>
        <v>Jaunciems</v>
      </c>
      <c r="C420" s="2" t="str">
        <f>IFERROR(__xludf.DUMMYFUNCTION("""COMPUTED_VALUE"""),"Jaunciema g. 167")</f>
        <v>Jaunciema g. 167</v>
      </c>
      <c r="D420" s="2">
        <f>IFERROR(__xludf.DUMMYFUNCTION("""COMPUTED_VALUE"""),1.0)</f>
        <v>1</v>
      </c>
      <c r="E420" s="2">
        <f>IFERROR(__xludf.DUMMYFUNCTION("""COMPUTED_VALUE"""),24.0)</f>
        <v>24</v>
      </c>
      <c r="F420" s="2">
        <f>IFERROR(__xludf.DUMMYFUNCTION("""COMPUTED_VALUE"""),1.0)</f>
        <v>1</v>
      </c>
      <c r="G420" s="2">
        <f>IFERROR(__xludf.DUMMYFUNCTION("""COMPUTED_VALUE"""),2.0)</f>
        <v>2</v>
      </c>
      <c r="H420" s="2" t="str">
        <f>IFERROR(__xludf.DUMMYFUNCTION("""COMPUTED_VALUE"""),"P. kara")</f>
        <v>P. kara</v>
      </c>
      <c r="I420" s="2" t="str">
        <f>IFERROR(__xludf.DUMMYFUNCTION("""COMPUTED_VALUE"""),"Wood")</f>
        <v>Wood</v>
      </c>
      <c r="J420" s="2" t="str">
        <f>IFERROR(__xludf.DUMMYFUNCTION("""COMPUTED_VALUE"""),"Partial amenities")</f>
        <v>Partial amenities</v>
      </c>
      <c r="K420" s="2">
        <f>IFERROR(__xludf.DUMMYFUNCTION("""COMPUTED_VALUE"""),7380.0)</f>
        <v>7380</v>
      </c>
      <c r="L420" s="2">
        <f>IFERROR(__xludf.DUMMYFUNCTION("""COMPUTED_VALUE"""),57.0400852)</f>
        <v>57.0400852</v>
      </c>
      <c r="M420" s="2">
        <f>IFERROR(__xludf.DUMMYFUNCTION("""COMPUTED_VALUE"""),24.1123471)</f>
        <v>24.1123471</v>
      </c>
    </row>
    <row r="421">
      <c r="A421" s="2" t="str">
        <f>IFERROR(__xludf.DUMMYFUNCTION("""COMPUTED_VALUE"""),"For rent")</f>
        <v>For rent</v>
      </c>
      <c r="B421" s="2" t="str">
        <f>IFERROR(__xludf.DUMMYFUNCTION("""COMPUTED_VALUE"""),"Zolitūde")</f>
        <v>Zolitūde</v>
      </c>
      <c r="C421" s="2" t="str">
        <f>IFERROR(__xludf.DUMMYFUNCTION("""COMPUTED_VALUE"""),"Rostokas 4")</f>
        <v>Rostokas 4</v>
      </c>
      <c r="D421" s="2">
        <f>IFERROR(__xludf.DUMMYFUNCTION("""COMPUTED_VALUE"""),2.0)</f>
        <v>2</v>
      </c>
      <c r="E421" s="2">
        <f>IFERROR(__xludf.DUMMYFUNCTION("""COMPUTED_VALUE"""),58.0)</f>
        <v>58</v>
      </c>
      <c r="F421" s="2">
        <f>IFERROR(__xludf.DUMMYFUNCTION("""COMPUTED_VALUE"""),2.0)</f>
        <v>2</v>
      </c>
      <c r="G421" s="2">
        <f>IFERROR(__xludf.DUMMYFUNCTION("""COMPUTED_VALUE"""),9.0)</f>
        <v>9</v>
      </c>
      <c r="H421" s="2">
        <f>IFERROR(__xludf.DUMMYFUNCTION("""COMPUTED_VALUE"""),119.0)</f>
        <v>119</v>
      </c>
      <c r="I421" s="2" t="str">
        <f>IFERROR(__xludf.DUMMYFUNCTION("""COMPUTED_VALUE"""),"Panel")</f>
        <v>Panel</v>
      </c>
      <c r="J421" s="2" t="str">
        <f>IFERROR(__xludf.DUMMYFUNCTION("""COMPUTED_VALUE"""),"All amenities")</f>
        <v>All amenities</v>
      </c>
      <c r="K421" s="2">
        <f>IFERROR(__xludf.DUMMYFUNCTION("""COMPUTED_VALUE"""),280.0)</f>
        <v>280</v>
      </c>
      <c r="L421" s="2">
        <f>IFERROR(__xludf.DUMMYFUNCTION("""COMPUTED_VALUE"""),54.1436099999999)</f>
        <v>54.14361</v>
      </c>
      <c r="M421" s="2">
        <f>IFERROR(__xludf.DUMMYFUNCTION("""COMPUTED_VALUE"""),12.05044145)</f>
        <v>12.05044145</v>
      </c>
    </row>
    <row r="422">
      <c r="A422" s="2" t="str">
        <f>IFERROR(__xludf.DUMMYFUNCTION("""COMPUTED_VALUE"""),"For sale")</f>
        <v>For sale</v>
      </c>
      <c r="B422" s="2" t="str">
        <f>IFERROR(__xludf.DUMMYFUNCTION("""COMPUTED_VALUE"""),"Dzegužkalns")</f>
        <v>Dzegužkalns</v>
      </c>
      <c r="C422" s="2" t="str">
        <f>IFERROR(__xludf.DUMMYFUNCTION("""COMPUTED_VALUE"""),"Kuldīgas 10")</f>
        <v>Kuldīgas 10</v>
      </c>
      <c r="D422" s="2">
        <f>IFERROR(__xludf.DUMMYFUNCTION("""COMPUTED_VALUE"""),1.0)</f>
        <v>1</v>
      </c>
      <c r="E422" s="2">
        <f>IFERROR(__xludf.DUMMYFUNCTION("""COMPUTED_VALUE"""),18.0)</f>
        <v>18</v>
      </c>
      <c r="F422" s="2">
        <f>IFERROR(__xludf.DUMMYFUNCTION("""COMPUTED_VALUE"""),2.0)</f>
        <v>2</v>
      </c>
      <c r="G422" s="2">
        <f>IFERROR(__xludf.DUMMYFUNCTION("""COMPUTED_VALUE"""),2.0)</f>
        <v>2</v>
      </c>
      <c r="H422" s="2" t="str">
        <f>IFERROR(__xludf.DUMMYFUNCTION("""COMPUTED_VALUE"""),"Specpr.")</f>
        <v>Specpr.</v>
      </c>
      <c r="I422" s="2" t="str">
        <f>IFERROR(__xludf.DUMMYFUNCTION("""COMPUTED_VALUE"""),"Wood")</f>
        <v>Wood</v>
      </c>
      <c r="J422" s="2" t="str">
        <f>IFERROR(__xludf.DUMMYFUNCTION("""COMPUTED_VALUE"""),"Partial amenities")</f>
        <v>Partial amenities</v>
      </c>
      <c r="K422" s="2">
        <f>IFERROR(__xludf.DUMMYFUNCTION("""COMPUTED_VALUE"""),11590.0)</f>
        <v>11590</v>
      </c>
      <c r="L422" s="2">
        <f>IFERROR(__xludf.DUMMYFUNCTION("""COMPUTED_VALUE"""),56.9517628)</f>
        <v>56.9517628</v>
      </c>
      <c r="M422" s="2">
        <f>IFERROR(__xludf.DUMMYFUNCTION("""COMPUTED_VALUE"""),24.0673487092408)</f>
        <v>24.06734871</v>
      </c>
    </row>
    <row r="423">
      <c r="A423" s="2" t="str">
        <f>IFERROR(__xludf.DUMMYFUNCTION("""COMPUTED_VALUE"""),"For sale")</f>
        <v>For sale</v>
      </c>
      <c r="B423" s="2" t="str">
        <f>IFERROR(__xludf.DUMMYFUNCTION("""COMPUTED_VALUE"""),"Iļģuciems")</f>
        <v>Iļģuciems</v>
      </c>
      <c r="C423" s="2" t="str">
        <f>IFERROR(__xludf.DUMMYFUNCTION("""COMPUTED_VALUE"""),"Viļņas 3")</f>
        <v>Viļņas 3</v>
      </c>
      <c r="D423" s="2">
        <f>IFERROR(__xludf.DUMMYFUNCTION("""COMPUTED_VALUE"""),1.0)</f>
        <v>1</v>
      </c>
      <c r="E423" s="2">
        <f>IFERROR(__xludf.DUMMYFUNCTION("""COMPUTED_VALUE"""),52.0)</f>
        <v>52</v>
      </c>
      <c r="F423" s="2">
        <f>IFERROR(__xludf.DUMMYFUNCTION("""COMPUTED_VALUE"""),2.0)</f>
        <v>2</v>
      </c>
      <c r="G423" s="2">
        <f>IFERROR(__xludf.DUMMYFUNCTION("""COMPUTED_VALUE"""),2.0)</f>
        <v>2</v>
      </c>
      <c r="H423" s="2" t="str">
        <f>IFERROR(__xludf.DUMMYFUNCTION("""COMPUTED_VALUE"""),"P. kara")</f>
        <v>P. kara</v>
      </c>
      <c r="I423" s="2" t="str">
        <f>IFERROR(__xludf.DUMMYFUNCTION("""COMPUTED_VALUE"""),"Wood")</f>
        <v>Wood</v>
      </c>
      <c r="J423" s="2" t="str">
        <f>IFERROR(__xludf.DUMMYFUNCTION("""COMPUTED_VALUE"""),"Partial amenities")</f>
        <v>Partial amenities</v>
      </c>
      <c r="K423" s="2">
        <f>IFERROR(__xludf.DUMMYFUNCTION("""COMPUTED_VALUE"""),14690.0)</f>
        <v>14690</v>
      </c>
      <c r="L423" s="2">
        <f>IFERROR(__xludf.DUMMYFUNCTION("""COMPUTED_VALUE"""),56.96260805)</f>
        <v>56.96260805</v>
      </c>
      <c r="M423" s="2">
        <f>IFERROR(__xludf.DUMMYFUNCTION("""COMPUTED_VALUE"""),24.0659372)</f>
        <v>24.0659372</v>
      </c>
    </row>
    <row r="424">
      <c r="A424" s="2" t="str">
        <f>IFERROR(__xludf.DUMMYFUNCTION("""COMPUTED_VALUE"""),"For sale")</f>
        <v>For sale</v>
      </c>
      <c r="B424" s="2" t="str">
        <f>IFERROR(__xludf.DUMMYFUNCTION("""COMPUTED_VALUE"""),"Sarkandaugava")</f>
        <v>Sarkandaugava</v>
      </c>
      <c r="C424" s="2" t="str">
        <f>IFERROR(__xludf.DUMMYFUNCTION("""COMPUTED_VALUE"""),"Ceļinieku 12")</f>
        <v>Ceļinieku 12</v>
      </c>
      <c r="D424" s="2">
        <f>IFERROR(__xludf.DUMMYFUNCTION("""COMPUTED_VALUE"""),1.0)</f>
        <v>1</v>
      </c>
      <c r="E424" s="2">
        <f>IFERROR(__xludf.DUMMYFUNCTION("""COMPUTED_VALUE"""),15.0)</f>
        <v>15</v>
      </c>
      <c r="F424" s="2">
        <f>IFERROR(__xludf.DUMMYFUNCTION("""COMPUTED_VALUE"""),2.0)</f>
        <v>2</v>
      </c>
      <c r="G424" s="2">
        <f>IFERROR(__xludf.DUMMYFUNCTION("""COMPUTED_VALUE"""),3.0)</f>
        <v>3</v>
      </c>
      <c r="H424" s="2" t="str">
        <f>IFERROR(__xludf.DUMMYFUNCTION("""COMPUTED_VALUE"""),"P. kara")</f>
        <v>P. kara</v>
      </c>
      <c r="I424" s="2" t="str">
        <f>IFERROR(__xludf.DUMMYFUNCTION("""COMPUTED_VALUE"""),"Masonry")</f>
        <v>Masonry</v>
      </c>
      <c r="J424" s="2" t="str">
        <f>IFERROR(__xludf.DUMMYFUNCTION("""COMPUTED_VALUE"""),"Partial amenities")</f>
        <v>Partial amenities</v>
      </c>
      <c r="K424" s="2">
        <f>IFERROR(__xludf.DUMMYFUNCTION("""COMPUTED_VALUE"""),5360.0)</f>
        <v>5360</v>
      </c>
      <c r="L424" s="2">
        <f>IFERROR(__xludf.DUMMYFUNCTION("""COMPUTED_VALUE"""),56.99682205)</f>
        <v>56.99682205</v>
      </c>
      <c r="M424" s="2">
        <f>IFERROR(__xludf.DUMMYFUNCTION("""COMPUTED_VALUE"""),24.1280636132716)</f>
        <v>24.12806361</v>
      </c>
    </row>
    <row r="425">
      <c r="A425" s="2" t="str">
        <f>IFERROR(__xludf.DUMMYFUNCTION("""COMPUTED_VALUE"""),"For sale")</f>
        <v>For sale</v>
      </c>
      <c r="B425" s="2" t="str">
        <f>IFERROR(__xludf.DUMMYFUNCTION("""COMPUTED_VALUE"""),"Vecmīlgrāvis")</f>
        <v>Vecmīlgrāvis</v>
      </c>
      <c r="C425" s="2" t="str">
        <f>IFERROR(__xludf.DUMMYFUNCTION("""COMPUTED_VALUE"""),"Meldru 6")</f>
        <v>Meldru 6</v>
      </c>
      <c r="D425" s="2">
        <f>IFERROR(__xludf.DUMMYFUNCTION("""COMPUTED_VALUE"""),2.0)</f>
        <v>2</v>
      </c>
      <c r="E425" s="2">
        <f>IFERROR(__xludf.DUMMYFUNCTION("""COMPUTED_VALUE"""),43.0)</f>
        <v>43</v>
      </c>
      <c r="F425" s="2">
        <f>IFERROR(__xludf.DUMMYFUNCTION("""COMPUTED_VALUE"""),2.0)</f>
        <v>2</v>
      </c>
      <c r="G425" s="2">
        <f>IFERROR(__xludf.DUMMYFUNCTION("""COMPUTED_VALUE"""),5.0)</f>
        <v>5</v>
      </c>
      <c r="H425" s="2" t="str">
        <f>IFERROR(__xludf.DUMMYFUNCTION("""COMPUTED_VALUE"""),"Hrušč.")</f>
        <v>Hrušč.</v>
      </c>
      <c r="I425" s="2" t="str">
        <f>IFERROR(__xludf.DUMMYFUNCTION("""COMPUTED_VALUE"""),"Brick")</f>
        <v>Brick</v>
      </c>
      <c r="J425" s="2" t="str">
        <f>IFERROR(__xludf.DUMMYFUNCTION("""COMPUTED_VALUE"""),"All amenities")</f>
        <v>All amenities</v>
      </c>
      <c r="K425" s="2">
        <f>IFERROR(__xludf.DUMMYFUNCTION("""COMPUTED_VALUE"""),26500.0)</f>
        <v>26500</v>
      </c>
      <c r="L425" s="2">
        <f>IFERROR(__xludf.DUMMYFUNCTION("""COMPUTED_VALUE"""),57.02846205)</f>
        <v>57.02846205</v>
      </c>
      <c r="M425" s="2">
        <f>IFERROR(__xludf.DUMMYFUNCTION("""COMPUTED_VALUE"""),24.1020912732192)</f>
        <v>24.10209127</v>
      </c>
    </row>
    <row r="426">
      <c r="A426" s="2" t="str">
        <f>IFERROR(__xludf.DUMMYFUNCTION("""COMPUTED_VALUE"""),"For sale")</f>
        <v>For sale</v>
      </c>
      <c r="B426" s="2" t="str">
        <f>IFERROR(__xludf.DUMMYFUNCTION("""COMPUTED_VALUE"""),"Torņakalns")</f>
        <v>Torņakalns</v>
      </c>
      <c r="C426" s="2" t="str">
        <f>IFERROR(__xludf.DUMMYFUNCTION("""COMPUTED_VALUE"""),"Konrāda 9")</f>
        <v>Konrāda 9</v>
      </c>
      <c r="D426" s="2">
        <f>IFERROR(__xludf.DUMMYFUNCTION("""COMPUTED_VALUE"""),3.0)</f>
        <v>3</v>
      </c>
      <c r="E426" s="2">
        <f>IFERROR(__xludf.DUMMYFUNCTION("""COMPUTED_VALUE"""),41.0)</f>
        <v>41</v>
      </c>
      <c r="F426" s="2">
        <f>IFERROR(__xludf.DUMMYFUNCTION("""COMPUTED_VALUE"""),2.0)</f>
        <v>2</v>
      </c>
      <c r="G426" s="2">
        <f>IFERROR(__xludf.DUMMYFUNCTION("""COMPUTED_VALUE"""),2.0)</f>
        <v>2</v>
      </c>
      <c r="H426" s="2" t="str">
        <f>IFERROR(__xludf.DUMMYFUNCTION("""COMPUTED_VALUE"""),"P. kara")</f>
        <v>P. kara</v>
      </c>
      <c r="I426" s="2" t="str">
        <f>IFERROR(__xludf.DUMMYFUNCTION("""COMPUTED_VALUE"""),"Wood")</f>
        <v>Wood</v>
      </c>
      <c r="J426" s="2" t="str">
        <f>IFERROR(__xludf.DUMMYFUNCTION("""COMPUTED_VALUE"""),"Partial amenities")</f>
        <v>Partial amenities</v>
      </c>
      <c r="K426" s="2">
        <f>IFERROR(__xludf.DUMMYFUNCTION("""COMPUTED_VALUE"""),24890.0)</f>
        <v>24890</v>
      </c>
      <c r="L426" s="2">
        <f>IFERROR(__xludf.DUMMYFUNCTION("""COMPUTED_VALUE"""),56.92624755)</f>
        <v>56.92624755</v>
      </c>
      <c r="M426" s="2">
        <f>IFERROR(__xludf.DUMMYFUNCTION("""COMPUTED_VALUE"""),24.0963098078538)</f>
        <v>24.09630981</v>
      </c>
    </row>
    <row r="427">
      <c r="A427" s="2" t="str">
        <f>IFERROR(__xludf.DUMMYFUNCTION("""COMPUTED_VALUE"""),"For sale")</f>
        <v>For sale</v>
      </c>
      <c r="B427" s="2" t="str">
        <f>IFERROR(__xludf.DUMMYFUNCTION("""COMPUTED_VALUE"""),"Šķirotava")</f>
        <v>Šķirotava</v>
      </c>
      <c r="C427" s="2" t="str">
        <f>IFERROR(__xludf.DUMMYFUNCTION("""COMPUTED_VALUE"""),"Malēju 4a")</f>
        <v>Malēju 4a</v>
      </c>
      <c r="D427" s="2">
        <f>IFERROR(__xludf.DUMMYFUNCTION("""COMPUTED_VALUE"""),1.0)</f>
        <v>1</v>
      </c>
      <c r="E427" s="2">
        <f>IFERROR(__xludf.DUMMYFUNCTION("""COMPUTED_VALUE"""),18.0)</f>
        <v>18</v>
      </c>
      <c r="F427" s="2">
        <f>IFERROR(__xludf.DUMMYFUNCTION("""COMPUTED_VALUE"""),3.0)</f>
        <v>3</v>
      </c>
      <c r="G427" s="2">
        <f>IFERROR(__xludf.DUMMYFUNCTION("""COMPUTED_VALUE"""),4.0)</f>
        <v>4</v>
      </c>
      <c r="H427" s="2" t="str">
        <f>IFERROR(__xludf.DUMMYFUNCTION("""COMPUTED_VALUE"""),"Specpr.")</f>
        <v>Specpr.</v>
      </c>
      <c r="I427" s="2" t="str">
        <f>IFERROR(__xludf.DUMMYFUNCTION("""COMPUTED_VALUE"""),"Brick")</f>
        <v>Brick</v>
      </c>
      <c r="J427" s="2" t="str">
        <f>IFERROR(__xludf.DUMMYFUNCTION("""COMPUTED_VALUE"""),"All amenities")</f>
        <v>All amenities</v>
      </c>
      <c r="K427" s="2">
        <f>IFERROR(__xludf.DUMMYFUNCTION("""COMPUTED_VALUE"""),6490.0)</f>
        <v>6490</v>
      </c>
      <c r="L427" s="2">
        <f>IFERROR(__xludf.DUMMYFUNCTION("""COMPUTED_VALUE"""),56.90687475)</f>
        <v>56.90687475</v>
      </c>
      <c r="M427" s="2">
        <f>IFERROR(__xludf.DUMMYFUNCTION("""COMPUTED_VALUE"""),24.2209157822299)</f>
        <v>24.22091578</v>
      </c>
    </row>
    <row r="428">
      <c r="A428" s="2" t="str">
        <f>IFERROR(__xludf.DUMMYFUNCTION("""COMPUTED_VALUE"""),"For sale")</f>
        <v>For sale</v>
      </c>
      <c r="B428" s="2" t="str">
        <f>IFERROR(__xludf.DUMMYFUNCTION("""COMPUTED_VALUE"""),"Vecmīlgrāvis")</f>
        <v>Vecmīlgrāvis</v>
      </c>
      <c r="C428" s="2" t="str">
        <f>IFERROR(__xludf.DUMMYFUNCTION("""COMPUTED_VALUE"""),"Mildas 4a")</f>
        <v>Mildas 4a</v>
      </c>
      <c r="D428" s="2">
        <f>IFERROR(__xludf.DUMMYFUNCTION("""COMPUTED_VALUE"""),2.0)</f>
        <v>2</v>
      </c>
      <c r="E428" s="2">
        <f>IFERROR(__xludf.DUMMYFUNCTION("""COMPUTED_VALUE"""),46.0)</f>
        <v>46</v>
      </c>
      <c r="F428" s="2">
        <f>IFERROR(__xludf.DUMMYFUNCTION("""COMPUTED_VALUE"""),1.0)</f>
        <v>1</v>
      </c>
      <c r="G428" s="2">
        <f>IFERROR(__xludf.DUMMYFUNCTION("""COMPUTED_VALUE"""),2.0)</f>
        <v>2</v>
      </c>
      <c r="H428" s="2" t="str">
        <f>IFERROR(__xludf.DUMMYFUNCTION("""COMPUTED_VALUE"""),"Staļina")</f>
        <v>Staļina</v>
      </c>
      <c r="I428" s="2" t="str">
        <f>IFERROR(__xludf.DUMMYFUNCTION("""COMPUTED_VALUE"""),"Masonry")</f>
        <v>Masonry</v>
      </c>
      <c r="J428" s="2" t="str">
        <f>IFERROR(__xludf.DUMMYFUNCTION("""COMPUTED_VALUE"""),"All amenities")</f>
        <v>All amenities</v>
      </c>
      <c r="K428" s="2">
        <f>IFERROR(__xludf.DUMMYFUNCTION("""COMPUTED_VALUE"""),18900.0)</f>
        <v>18900</v>
      </c>
      <c r="L428" s="2">
        <f>IFERROR(__xludf.DUMMYFUNCTION("""COMPUTED_VALUE"""),57.02687935)</f>
        <v>57.02687935</v>
      </c>
      <c r="M428" s="2">
        <f>IFERROR(__xludf.DUMMYFUNCTION("""COMPUTED_VALUE"""),24.1111013)</f>
        <v>24.1111013</v>
      </c>
    </row>
    <row r="429">
      <c r="A429" s="2" t="str">
        <f>IFERROR(__xludf.DUMMYFUNCTION("""COMPUTED_VALUE"""),"For rent")</f>
        <v>For rent</v>
      </c>
      <c r="B429" s="2" t="str">
        <f>IFERROR(__xludf.DUMMYFUNCTION("""COMPUTED_VALUE"""),"centrs")</f>
        <v>centrs</v>
      </c>
      <c r="C429" s="2" t="str">
        <f>IFERROR(__xludf.DUMMYFUNCTION("""COMPUTED_VALUE"""),"Barona 21")</f>
        <v>Barona 21</v>
      </c>
      <c r="D429" s="2">
        <f>IFERROR(__xludf.DUMMYFUNCTION("""COMPUTED_VALUE"""),2.0)</f>
        <v>2</v>
      </c>
      <c r="E429" s="2">
        <f>IFERROR(__xludf.DUMMYFUNCTION("""COMPUTED_VALUE"""),50.0)</f>
        <v>50</v>
      </c>
      <c r="F429" s="2">
        <f>IFERROR(__xludf.DUMMYFUNCTION("""COMPUTED_VALUE"""),4.0)</f>
        <v>4</v>
      </c>
      <c r="G429" s="2">
        <f>IFERROR(__xludf.DUMMYFUNCTION("""COMPUTED_VALUE"""),4.0)</f>
        <v>4</v>
      </c>
      <c r="H429" s="2" t="str">
        <f>IFERROR(__xludf.DUMMYFUNCTION("""COMPUTED_VALUE"""),"P. kara")</f>
        <v>P. kara</v>
      </c>
      <c r="I429" s="2" t="str">
        <f>IFERROR(__xludf.DUMMYFUNCTION("""COMPUTED_VALUE"""),"Brick")</f>
        <v>Brick</v>
      </c>
      <c r="J429" s="2" t="str">
        <f>IFERROR(__xludf.DUMMYFUNCTION("""COMPUTED_VALUE"""),"All amenities")</f>
        <v>All amenities</v>
      </c>
      <c r="K429" s="2">
        <f>IFERROR(__xludf.DUMMYFUNCTION("""COMPUTED_VALUE"""),430.0)</f>
        <v>430</v>
      </c>
      <c r="L429" s="2">
        <f>IFERROR(__xludf.DUMMYFUNCTION("""COMPUTED_VALUE"""),56.9525712)</f>
        <v>56.9525712</v>
      </c>
      <c r="M429" s="2">
        <f>IFERROR(__xludf.DUMMYFUNCTION("""COMPUTED_VALUE"""),24.1236797)</f>
        <v>24.1236797</v>
      </c>
    </row>
    <row r="430">
      <c r="A430" s="2" t="str">
        <f>IFERROR(__xludf.DUMMYFUNCTION("""COMPUTED_VALUE"""),"For rent")</f>
        <v>For rent</v>
      </c>
      <c r="B430" s="2" t="str">
        <f>IFERROR(__xludf.DUMMYFUNCTION("""COMPUTED_VALUE"""),"Pļavnieki")</f>
        <v>Pļavnieki</v>
      </c>
      <c r="C430" s="2" t="str">
        <f>IFERROR(__xludf.DUMMYFUNCTION("""COMPUTED_VALUE"""),"Saharova 7")</f>
        <v>Saharova 7</v>
      </c>
      <c r="D430" s="2">
        <f>IFERROR(__xludf.DUMMYFUNCTION("""COMPUTED_VALUE"""),1.0)</f>
        <v>1</v>
      </c>
      <c r="E430" s="2">
        <f>IFERROR(__xludf.DUMMYFUNCTION("""COMPUTED_VALUE"""),43.0)</f>
        <v>43</v>
      </c>
      <c r="F430" s="2">
        <f>IFERROR(__xludf.DUMMYFUNCTION("""COMPUTED_VALUE"""),6.0)</f>
        <v>6</v>
      </c>
      <c r="G430" s="2">
        <f>IFERROR(__xludf.DUMMYFUNCTION("""COMPUTED_VALUE"""),9.0)</f>
        <v>9</v>
      </c>
      <c r="H430" s="2" t="str">
        <f>IFERROR(__xludf.DUMMYFUNCTION("""COMPUTED_VALUE"""),"M. ģim.")</f>
        <v>M. ģim.</v>
      </c>
      <c r="I430" s="2" t="str">
        <f>IFERROR(__xludf.DUMMYFUNCTION("""COMPUTED_VALUE"""),"Panel")</f>
        <v>Panel</v>
      </c>
      <c r="J430" s="2" t="str">
        <f>IFERROR(__xludf.DUMMYFUNCTION("""COMPUTED_VALUE"""),"All amenities")</f>
        <v>All amenities</v>
      </c>
      <c r="K430" s="2">
        <f>IFERROR(__xludf.DUMMYFUNCTION("""COMPUTED_VALUE"""),270.0)</f>
        <v>270</v>
      </c>
      <c r="L430" s="2">
        <f>IFERROR(__xludf.DUMMYFUNCTION("""COMPUTED_VALUE"""),56.93515745)</f>
        <v>56.93515745</v>
      </c>
      <c r="M430" s="2">
        <f>IFERROR(__xludf.DUMMYFUNCTION("""COMPUTED_VALUE"""),24.200200711641)</f>
        <v>24.20020071</v>
      </c>
    </row>
    <row r="431">
      <c r="A431" s="2" t="str">
        <f>IFERROR(__xludf.DUMMYFUNCTION("""COMPUTED_VALUE"""),"For sale")</f>
        <v>For sale</v>
      </c>
      <c r="B431" s="2" t="str">
        <f>IFERROR(__xludf.DUMMYFUNCTION("""COMPUTED_VALUE"""),"Ziepniekkalns")</f>
        <v>Ziepniekkalns</v>
      </c>
      <c r="C431" s="2" t="str">
        <f>IFERROR(__xludf.DUMMYFUNCTION("""COMPUTED_VALUE"""),"Valdeķu 53")</f>
        <v>Valdeķu 53</v>
      </c>
      <c r="D431" s="2">
        <f>IFERROR(__xludf.DUMMYFUNCTION("""COMPUTED_VALUE"""),3.0)</f>
        <v>3</v>
      </c>
      <c r="E431" s="2">
        <f>IFERROR(__xludf.DUMMYFUNCTION("""COMPUTED_VALUE"""),75.0)</f>
        <v>75</v>
      </c>
      <c r="F431" s="2">
        <f>IFERROR(__xludf.DUMMYFUNCTION("""COMPUTED_VALUE"""),9.0)</f>
        <v>9</v>
      </c>
      <c r="G431" s="2">
        <f>IFERROR(__xludf.DUMMYFUNCTION("""COMPUTED_VALUE"""),10.0)</f>
        <v>10</v>
      </c>
      <c r="H431" s="2">
        <f>IFERROR(__xludf.DUMMYFUNCTION("""COMPUTED_VALUE"""),119.0)</f>
        <v>119</v>
      </c>
      <c r="I431" s="2" t="str">
        <f>IFERROR(__xludf.DUMMYFUNCTION("""COMPUTED_VALUE"""),"Panel")</f>
        <v>Panel</v>
      </c>
      <c r="J431" s="2" t="str">
        <f>IFERROR(__xludf.DUMMYFUNCTION("""COMPUTED_VALUE"""),"Without amenities")</f>
        <v>Without amenities</v>
      </c>
      <c r="K431" s="2">
        <f>IFERROR(__xludf.DUMMYFUNCTION("""COMPUTED_VALUE"""),70000.0)</f>
        <v>70000</v>
      </c>
      <c r="L431" s="2">
        <f>IFERROR(__xludf.DUMMYFUNCTION("""COMPUTED_VALUE"""),56.90154795)</f>
        <v>56.90154795</v>
      </c>
      <c r="M431" s="2">
        <f>IFERROR(__xludf.DUMMYFUNCTION("""COMPUTED_VALUE"""),24.0924674073424)</f>
        <v>24.09246741</v>
      </c>
    </row>
    <row r="432">
      <c r="A432" s="2" t="str">
        <f>IFERROR(__xludf.DUMMYFUNCTION("""COMPUTED_VALUE"""),"For sale")</f>
        <v>For sale</v>
      </c>
      <c r="B432" s="2" t="str">
        <f>IFERROR(__xludf.DUMMYFUNCTION("""COMPUTED_VALUE"""),"Vecmīlgrāvis")</f>
        <v>Vecmīlgrāvis</v>
      </c>
      <c r="C432" s="2" t="str">
        <f>IFERROR(__xludf.DUMMYFUNCTION("""COMPUTED_VALUE"""),"Emmas 28")</f>
        <v>Emmas 28</v>
      </c>
      <c r="D432" s="2">
        <f>IFERROR(__xludf.DUMMYFUNCTION("""COMPUTED_VALUE"""),2.0)</f>
        <v>2</v>
      </c>
      <c r="E432" s="2">
        <f>IFERROR(__xludf.DUMMYFUNCTION("""COMPUTED_VALUE"""),36.0)</f>
        <v>36</v>
      </c>
      <c r="F432" s="2">
        <f>IFERROR(__xludf.DUMMYFUNCTION("""COMPUTED_VALUE"""),3.0)</f>
        <v>3</v>
      </c>
      <c r="G432" s="2">
        <f>IFERROR(__xludf.DUMMYFUNCTION("""COMPUTED_VALUE"""),4.0)</f>
        <v>4</v>
      </c>
      <c r="H432" s="2" t="str">
        <f>IFERROR(__xludf.DUMMYFUNCTION("""COMPUTED_VALUE"""),"Jaun.")</f>
        <v>Jaun.</v>
      </c>
      <c r="I432" s="2" t="str">
        <f>IFERROR(__xludf.DUMMYFUNCTION("""COMPUTED_VALUE"""),"Brick-Panel")</f>
        <v>Brick-Panel</v>
      </c>
      <c r="J432" s="2" t="str">
        <f>IFERROR(__xludf.DUMMYFUNCTION("""COMPUTED_VALUE"""),"All amenities")</f>
        <v>All amenities</v>
      </c>
      <c r="K432" s="2">
        <f>IFERROR(__xludf.DUMMYFUNCTION("""COMPUTED_VALUE"""),43500.0)</f>
        <v>43500</v>
      </c>
      <c r="L432" s="2">
        <f>IFERROR(__xludf.DUMMYFUNCTION("""COMPUTED_VALUE"""),57.03179875)</f>
        <v>57.03179875</v>
      </c>
      <c r="M432" s="2">
        <f>IFERROR(__xludf.DUMMYFUNCTION("""COMPUTED_VALUE"""),24.1166644346289)</f>
        <v>24.11666443</v>
      </c>
    </row>
    <row r="433">
      <c r="A433" s="2" t="str">
        <f>IFERROR(__xludf.DUMMYFUNCTION("""COMPUTED_VALUE"""),"For sale")</f>
        <v>For sale</v>
      </c>
      <c r="B433" s="2" t="str">
        <f>IFERROR(__xludf.DUMMYFUNCTION("""COMPUTED_VALUE"""),"Maskavas priekšpilsēta")</f>
        <v>Maskavas priekšpilsēta</v>
      </c>
      <c r="C433" s="2" t="str">
        <f>IFERROR(__xludf.DUMMYFUNCTION("""COMPUTED_VALUE"""),"Jersikas 37")</f>
        <v>Jersikas 37</v>
      </c>
      <c r="D433" s="2">
        <f>IFERROR(__xludf.DUMMYFUNCTION("""COMPUTED_VALUE"""),1.0)</f>
        <v>1</v>
      </c>
      <c r="E433" s="2">
        <f>IFERROR(__xludf.DUMMYFUNCTION("""COMPUTED_VALUE"""),39.0)</f>
        <v>39</v>
      </c>
      <c r="F433" s="2">
        <f>IFERROR(__xludf.DUMMYFUNCTION("""COMPUTED_VALUE"""),2.0)</f>
        <v>2</v>
      </c>
      <c r="G433" s="2">
        <f>IFERROR(__xludf.DUMMYFUNCTION("""COMPUTED_VALUE"""),4.0)</f>
        <v>4</v>
      </c>
      <c r="H433" s="2" t="str">
        <f>IFERROR(__xludf.DUMMYFUNCTION("""COMPUTED_VALUE"""),"P. kara")</f>
        <v>P. kara</v>
      </c>
      <c r="I433" s="2" t="str">
        <f>IFERROR(__xludf.DUMMYFUNCTION("""COMPUTED_VALUE"""),"Masonry")</f>
        <v>Masonry</v>
      </c>
      <c r="J433" s="2" t="str">
        <f>IFERROR(__xludf.DUMMYFUNCTION("""COMPUTED_VALUE"""),"All amenities")</f>
        <v>All amenities</v>
      </c>
      <c r="K433" s="2">
        <f>IFERROR(__xludf.DUMMYFUNCTION("""COMPUTED_VALUE"""),41000.0)</f>
        <v>41000</v>
      </c>
      <c r="L433" s="2">
        <f>IFERROR(__xludf.DUMMYFUNCTION("""COMPUTED_VALUE"""),56.9386536)</f>
        <v>56.9386536</v>
      </c>
      <c r="M433" s="2">
        <f>IFERROR(__xludf.DUMMYFUNCTION("""COMPUTED_VALUE"""),24.1474099932537)</f>
        <v>24.14740999</v>
      </c>
    </row>
    <row r="434">
      <c r="A434" s="2" t="str">
        <f>IFERROR(__xludf.DUMMYFUNCTION("""COMPUTED_VALUE"""),"For rent")</f>
        <v>For rent</v>
      </c>
      <c r="B434" s="2" t="str">
        <f>IFERROR(__xludf.DUMMYFUNCTION("""COMPUTED_VALUE"""),"Maskavas priekšpilsēta")</f>
        <v>Maskavas priekšpilsēta</v>
      </c>
      <c r="C434" s="2" t="str">
        <f>IFERROR(__xludf.DUMMYFUNCTION("""COMPUTED_VALUE"""),"Maskavas 68")</f>
        <v>Maskavas 68</v>
      </c>
      <c r="D434" s="2">
        <f>IFERROR(__xludf.DUMMYFUNCTION("""COMPUTED_VALUE"""),1.0)</f>
        <v>1</v>
      </c>
      <c r="E434" s="2">
        <f>IFERROR(__xludf.DUMMYFUNCTION("""COMPUTED_VALUE"""),25.0)</f>
        <v>25</v>
      </c>
      <c r="F434" s="2">
        <f>IFERROR(__xludf.DUMMYFUNCTION("""COMPUTED_VALUE"""),4.0)</f>
        <v>4</v>
      </c>
      <c r="G434" s="2">
        <f>IFERROR(__xludf.DUMMYFUNCTION("""COMPUTED_VALUE"""),6.0)</f>
        <v>6</v>
      </c>
      <c r="H434" s="2" t="str">
        <f>IFERROR(__xludf.DUMMYFUNCTION("""COMPUTED_VALUE"""),"P. kara")</f>
        <v>P. kara</v>
      </c>
      <c r="I434" s="2" t="str">
        <f>IFERROR(__xludf.DUMMYFUNCTION("""COMPUTED_VALUE"""),"Masonry")</f>
        <v>Masonry</v>
      </c>
      <c r="J434" s="2" t="str">
        <f>IFERROR(__xludf.DUMMYFUNCTION("""COMPUTED_VALUE"""),"Partial amenities")</f>
        <v>Partial amenities</v>
      </c>
      <c r="K434" s="2">
        <f>IFERROR(__xludf.DUMMYFUNCTION("""COMPUTED_VALUE"""),125.0)</f>
        <v>125</v>
      </c>
      <c r="L434" s="2">
        <f>IFERROR(__xludf.DUMMYFUNCTION("""COMPUTED_VALUE"""),56.8597884)</f>
        <v>56.8597884</v>
      </c>
      <c r="M434" s="2">
        <f>IFERROR(__xludf.DUMMYFUNCTION("""COMPUTED_VALUE"""),24.3083417)</f>
        <v>24.3083417</v>
      </c>
    </row>
    <row r="435">
      <c r="A435" s="2" t="str">
        <f>IFERROR(__xludf.DUMMYFUNCTION("""COMPUTED_VALUE"""),"For sale")</f>
        <v>For sale</v>
      </c>
      <c r="B435" s="2" t="str">
        <f>IFERROR(__xludf.DUMMYFUNCTION("""COMPUTED_VALUE"""),"centrs")</f>
        <v>centrs</v>
      </c>
      <c r="C435" s="2" t="str">
        <f>IFERROR(__xludf.DUMMYFUNCTION("""COMPUTED_VALUE"""),"Hospitāļu 38")</f>
        <v>Hospitāļu 38</v>
      </c>
      <c r="D435" s="2">
        <f>IFERROR(__xludf.DUMMYFUNCTION("""COMPUTED_VALUE"""),4.0)</f>
        <v>4</v>
      </c>
      <c r="E435" s="2">
        <f>IFERROR(__xludf.DUMMYFUNCTION("""COMPUTED_VALUE"""),139.0)</f>
        <v>139</v>
      </c>
      <c r="F435" s="2">
        <f>IFERROR(__xludf.DUMMYFUNCTION("""COMPUTED_VALUE"""),6.0)</f>
        <v>6</v>
      </c>
      <c r="G435" s="2">
        <f>IFERROR(__xludf.DUMMYFUNCTION("""COMPUTED_VALUE"""),6.0)</f>
        <v>6</v>
      </c>
      <c r="H435" s="2" t="str">
        <f>IFERROR(__xludf.DUMMYFUNCTION("""COMPUTED_VALUE"""),"Renov.")</f>
        <v>Renov.</v>
      </c>
      <c r="I435" s="2" t="str">
        <f>IFERROR(__xludf.DUMMYFUNCTION("""COMPUTED_VALUE"""),"Masonry")</f>
        <v>Masonry</v>
      </c>
      <c r="J435" s="2" t="str">
        <f>IFERROR(__xludf.DUMMYFUNCTION("""COMPUTED_VALUE"""),"All amenities")</f>
        <v>All amenities</v>
      </c>
      <c r="K435" s="2">
        <f>IFERROR(__xludf.DUMMYFUNCTION("""COMPUTED_VALUE"""),259000.0)</f>
        <v>259000</v>
      </c>
      <c r="L435" s="2">
        <f>IFERROR(__xludf.DUMMYFUNCTION("""COMPUTED_VALUE"""),56.9750706)</f>
        <v>56.9750706</v>
      </c>
      <c r="M435" s="2">
        <f>IFERROR(__xludf.DUMMYFUNCTION("""COMPUTED_VALUE"""),24.138670758867)</f>
        <v>24.13867076</v>
      </c>
    </row>
    <row r="436">
      <c r="A436" s="2" t="str">
        <f>IFERROR(__xludf.DUMMYFUNCTION("""COMPUTED_VALUE"""),"For sale")</f>
        <v>For sale</v>
      </c>
      <c r="B436" s="2" t="str">
        <f>IFERROR(__xludf.DUMMYFUNCTION("""COMPUTED_VALUE"""),"centrs")</f>
        <v>centrs</v>
      </c>
      <c r="C436" s="2" t="str">
        <f>IFERROR(__xludf.DUMMYFUNCTION("""COMPUTED_VALUE"""),"Blaumaņa 12")</f>
        <v>Blaumaņa 12</v>
      </c>
      <c r="D436" s="2">
        <f>IFERROR(__xludf.DUMMYFUNCTION("""COMPUTED_VALUE"""),2.0)</f>
        <v>2</v>
      </c>
      <c r="E436" s="2">
        <f>IFERROR(__xludf.DUMMYFUNCTION("""COMPUTED_VALUE"""),43.0)</f>
        <v>43</v>
      </c>
      <c r="F436" s="2">
        <f>IFERROR(__xludf.DUMMYFUNCTION("""COMPUTED_VALUE"""),1.0)</f>
        <v>1</v>
      </c>
      <c r="G436" s="2">
        <f>IFERROR(__xludf.DUMMYFUNCTION("""COMPUTED_VALUE"""),6.0)</f>
        <v>6</v>
      </c>
      <c r="H436" s="2" t="str">
        <f>IFERROR(__xludf.DUMMYFUNCTION("""COMPUTED_VALUE"""),"Renov.")</f>
        <v>Renov.</v>
      </c>
      <c r="I436" s="2" t="str">
        <f>IFERROR(__xludf.DUMMYFUNCTION("""COMPUTED_VALUE"""),"Masonry")</f>
        <v>Masonry</v>
      </c>
      <c r="J436" s="2" t="str">
        <f>IFERROR(__xludf.DUMMYFUNCTION("""COMPUTED_VALUE"""),"All amenities")</f>
        <v>All amenities</v>
      </c>
      <c r="K436" s="2">
        <f>IFERROR(__xludf.DUMMYFUNCTION("""COMPUTED_VALUE"""),104370.0)</f>
        <v>104370</v>
      </c>
      <c r="L436" s="2">
        <f>IFERROR(__xludf.DUMMYFUNCTION("""COMPUTED_VALUE"""),56.9548306)</f>
        <v>56.9548306</v>
      </c>
      <c r="M436" s="2">
        <f>IFERROR(__xludf.DUMMYFUNCTION("""COMPUTED_VALUE"""),24.1221141)</f>
        <v>24.1221141</v>
      </c>
    </row>
    <row r="437">
      <c r="A437" s="2" t="str">
        <f>IFERROR(__xludf.DUMMYFUNCTION("""COMPUTED_VALUE"""),"For sale")</f>
        <v>For sale</v>
      </c>
      <c r="B437" s="2" t="str">
        <f>IFERROR(__xludf.DUMMYFUNCTION("""COMPUTED_VALUE"""),"Ziepniekkalns")</f>
        <v>Ziepniekkalns</v>
      </c>
      <c r="C437" s="2" t="str">
        <f>IFERROR(__xludf.DUMMYFUNCTION("""COMPUTED_VALUE"""),"Valdeķu 54")</f>
        <v>Valdeķu 54</v>
      </c>
      <c r="D437" s="2">
        <f>IFERROR(__xludf.DUMMYFUNCTION("""COMPUTED_VALUE"""),2.0)</f>
        <v>2</v>
      </c>
      <c r="E437" s="2">
        <f>IFERROR(__xludf.DUMMYFUNCTION("""COMPUTED_VALUE"""),50.0)</f>
        <v>50</v>
      </c>
      <c r="F437" s="2">
        <f>IFERROR(__xludf.DUMMYFUNCTION("""COMPUTED_VALUE"""),1.0)</f>
        <v>1</v>
      </c>
      <c r="G437" s="2">
        <f>IFERROR(__xludf.DUMMYFUNCTION("""COMPUTED_VALUE"""),9.0)</f>
        <v>9</v>
      </c>
      <c r="H437" s="2">
        <f>IFERROR(__xludf.DUMMYFUNCTION("""COMPUTED_VALUE"""),602.0)</f>
        <v>602</v>
      </c>
      <c r="I437" s="2" t="str">
        <f>IFERROR(__xludf.DUMMYFUNCTION("""COMPUTED_VALUE"""),"Panel")</f>
        <v>Panel</v>
      </c>
      <c r="J437" s="2" t="str">
        <f>IFERROR(__xludf.DUMMYFUNCTION("""COMPUTED_VALUE"""),"All amenities")</f>
        <v>All amenities</v>
      </c>
      <c r="K437" s="2">
        <f>IFERROR(__xludf.DUMMYFUNCTION("""COMPUTED_VALUE"""),45000.0)</f>
        <v>45000</v>
      </c>
      <c r="L437" s="2">
        <f>IFERROR(__xludf.DUMMYFUNCTION("""COMPUTED_VALUE"""),56.9094064)</f>
        <v>56.9094064</v>
      </c>
      <c r="M437" s="2">
        <f>IFERROR(__xludf.DUMMYFUNCTION("""COMPUTED_VALUE"""),24.0954157)</f>
        <v>24.0954157</v>
      </c>
    </row>
    <row r="438">
      <c r="A438" s="2" t="str">
        <f>IFERROR(__xludf.DUMMYFUNCTION("""COMPUTED_VALUE"""),"For sale")</f>
        <v>For sale</v>
      </c>
      <c r="B438" s="2" t="str">
        <f>IFERROR(__xludf.DUMMYFUNCTION("""COMPUTED_VALUE"""),"Ķengarags")</f>
        <v>Ķengarags</v>
      </c>
      <c r="C438" s="2" t="str">
        <f>IFERROR(__xludf.DUMMYFUNCTION("""COMPUTED_VALUE"""),"Maskavas 256")</f>
        <v>Maskavas 256</v>
      </c>
      <c r="D438" s="2">
        <f>IFERROR(__xludf.DUMMYFUNCTION("""COMPUTED_VALUE"""),3.0)</f>
        <v>3</v>
      </c>
      <c r="E438" s="2">
        <f>IFERROR(__xludf.DUMMYFUNCTION("""COMPUTED_VALUE"""),60.0)</f>
        <v>60</v>
      </c>
      <c r="F438" s="2">
        <f>IFERROR(__xludf.DUMMYFUNCTION("""COMPUTED_VALUE"""),5.0)</f>
        <v>5</v>
      </c>
      <c r="G438" s="2">
        <f>IFERROR(__xludf.DUMMYFUNCTION("""COMPUTED_VALUE"""),5.0)</f>
        <v>5</v>
      </c>
      <c r="H438" s="2" t="str">
        <f>IFERROR(__xludf.DUMMYFUNCTION("""COMPUTED_VALUE"""),"LT proj.")</f>
        <v>LT proj.</v>
      </c>
      <c r="I438" s="2" t="str">
        <f>IFERROR(__xludf.DUMMYFUNCTION("""COMPUTED_VALUE"""),"Panel")</f>
        <v>Panel</v>
      </c>
      <c r="J438" s="2" t="str">
        <f>IFERROR(__xludf.DUMMYFUNCTION("""COMPUTED_VALUE"""),"All amenities")</f>
        <v>All amenities</v>
      </c>
      <c r="K438" s="2">
        <f>IFERROR(__xludf.DUMMYFUNCTION("""COMPUTED_VALUE"""),54500.0)</f>
        <v>54500</v>
      </c>
      <c r="L438" s="2">
        <f>IFERROR(__xludf.DUMMYFUNCTION("""COMPUTED_VALUE"""),56.8597884)</f>
        <v>56.8597884</v>
      </c>
      <c r="M438" s="2">
        <f>IFERROR(__xludf.DUMMYFUNCTION("""COMPUTED_VALUE"""),24.3083417)</f>
        <v>24.3083417</v>
      </c>
    </row>
    <row r="439">
      <c r="A439" s="2" t="str">
        <f>IFERROR(__xludf.DUMMYFUNCTION("""COMPUTED_VALUE"""),"For sale")</f>
        <v>For sale</v>
      </c>
      <c r="B439" s="2" t="str">
        <f>IFERROR(__xludf.DUMMYFUNCTION("""COMPUTED_VALUE"""),"Vecrīga")</f>
        <v>Vecrīga</v>
      </c>
      <c r="C439" s="2" t="str">
        <f>IFERROR(__xludf.DUMMYFUNCTION("""COMPUTED_VALUE"""),"Vāgnera 12")</f>
        <v>Vāgnera 12</v>
      </c>
      <c r="D439" s="2">
        <f>IFERROR(__xludf.DUMMYFUNCTION("""COMPUTED_VALUE"""),2.0)</f>
        <v>2</v>
      </c>
      <c r="E439" s="2">
        <f>IFERROR(__xludf.DUMMYFUNCTION("""COMPUTED_VALUE"""),34.0)</f>
        <v>34</v>
      </c>
      <c r="F439" s="2">
        <f>IFERROR(__xludf.DUMMYFUNCTION("""COMPUTED_VALUE"""),3.0)</f>
        <v>3</v>
      </c>
      <c r="G439" s="2">
        <f>IFERROR(__xludf.DUMMYFUNCTION("""COMPUTED_VALUE"""),4.0)</f>
        <v>4</v>
      </c>
      <c r="H439" s="2" t="str">
        <f>IFERROR(__xludf.DUMMYFUNCTION("""COMPUTED_VALUE"""),"P. kara")</f>
        <v>P. kara</v>
      </c>
      <c r="I439" s="2" t="str">
        <f>IFERROR(__xludf.DUMMYFUNCTION("""COMPUTED_VALUE"""),"Masonry")</f>
        <v>Masonry</v>
      </c>
      <c r="J439" s="2" t="str">
        <f>IFERROR(__xludf.DUMMYFUNCTION("""COMPUTED_VALUE"""),"All amenities")</f>
        <v>All amenities</v>
      </c>
      <c r="K439" s="2">
        <f>IFERROR(__xludf.DUMMYFUNCTION("""COMPUTED_VALUE"""),59900.0)</f>
        <v>59900</v>
      </c>
      <c r="L439" s="2">
        <f>IFERROR(__xludf.DUMMYFUNCTION("""COMPUTED_VALUE"""),56.94881585)</f>
        <v>56.94881585</v>
      </c>
      <c r="M439" s="2">
        <f>IFERROR(__xludf.DUMMYFUNCTION("""COMPUTED_VALUE"""),24.1114738591085)</f>
        <v>24.11147386</v>
      </c>
    </row>
    <row r="440">
      <c r="A440" s="2" t="str">
        <f>IFERROR(__xludf.DUMMYFUNCTION("""COMPUTED_VALUE"""),"For sale")</f>
        <v>For sale</v>
      </c>
      <c r="B440" s="2" t="str">
        <f>IFERROR(__xludf.DUMMYFUNCTION("""COMPUTED_VALUE"""),"Jugla")</f>
        <v>Jugla</v>
      </c>
      <c r="C440" s="2" t="str">
        <f>IFERROR(__xludf.DUMMYFUNCTION("""COMPUTED_VALUE"""),"Ciemupes 1")</f>
        <v>Ciemupes 1</v>
      </c>
      <c r="D440" s="2">
        <f>IFERROR(__xludf.DUMMYFUNCTION("""COMPUTED_VALUE"""),5.0)</f>
        <v>5</v>
      </c>
      <c r="E440" s="2">
        <f>IFERROR(__xludf.DUMMYFUNCTION("""COMPUTED_VALUE"""),217.0)</f>
        <v>217</v>
      </c>
      <c r="F440" s="2">
        <f>IFERROR(__xludf.DUMMYFUNCTION("""COMPUTED_VALUE"""),9.0)</f>
        <v>9</v>
      </c>
      <c r="G440" s="2">
        <f>IFERROR(__xludf.DUMMYFUNCTION("""COMPUTED_VALUE"""),10.0)</f>
        <v>10</v>
      </c>
      <c r="H440" s="2" t="str">
        <f>IFERROR(__xludf.DUMMYFUNCTION("""COMPUTED_VALUE"""),"Jaun.")</f>
        <v>Jaun.</v>
      </c>
      <c r="I440" s="2" t="str">
        <f>IFERROR(__xludf.DUMMYFUNCTION("""COMPUTED_VALUE"""),"Panel-Brick")</f>
        <v>Panel-Brick</v>
      </c>
      <c r="J440" s="2" t="str">
        <f>IFERROR(__xludf.DUMMYFUNCTION("""COMPUTED_VALUE"""),"All amenities")</f>
        <v>All amenities</v>
      </c>
      <c r="K440" s="2">
        <f>IFERROR(__xludf.DUMMYFUNCTION("""COMPUTED_VALUE"""),175000.0)</f>
        <v>175000</v>
      </c>
      <c r="L440" s="2">
        <f>IFERROR(__xludf.DUMMYFUNCTION("""COMPUTED_VALUE"""),56.9879952999999)</f>
        <v>56.9879953</v>
      </c>
      <c r="M440" s="2">
        <f>IFERROR(__xludf.DUMMYFUNCTION("""COMPUTED_VALUE"""),24.2461035663916)</f>
        <v>24.24610357</v>
      </c>
    </row>
    <row r="441">
      <c r="A441" s="2" t="str">
        <f>IFERROR(__xludf.DUMMYFUNCTION("""COMPUTED_VALUE"""),"For rent")</f>
        <v>For rent</v>
      </c>
      <c r="B441" s="2" t="str">
        <f>IFERROR(__xludf.DUMMYFUNCTION("""COMPUTED_VALUE"""),"centrs")</f>
        <v>centrs</v>
      </c>
      <c r="C441" s="2" t="str">
        <f>IFERROR(__xludf.DUMMYFUNCTION("""COMPUTED_VALUE"""),"Stabu 111")</f>
        <v>Stabu 111</v>
      </c>
      <c r="D441" s="2">
        <f>IFERROR(__xludf.DUMMYFUNCTION("""COMPUTED_VALUE"""),1.0)</f>
        <v>1</v>
      </c>
      <c r="E441" s="2">
        <f>IFERROR(__xludf.DUMMYFUNCTION("""COMPUTED_VALUE"""),30.0)</f>
        <v>30</v>
      </c>
      <c r="F441" s="2">
        <f>IFERROR(__xludf.DUMMYFUNCTION("""COMPUTED_VALUE"""),1.0)</f>
        <v>1</v>
      </c>
      <c r="G441" s="2">
        <f>IFERROR(__xludf.DUMMYFUNCTION("""COMPUTED_VALUE"""),5.0)</f>
        <v>5</v>
      </c>
      <c r="H441" s="2" t="str">
        <f>IFERROR(__xludf.DUMMYFUNCTION("""COMPUTED_VALUE"""),"P. kara")</f>
        <v>P. kara</v>
      </c>
      <c r="I441" s="2" t="str">
        <f>IFERROR(__xludf.DUMMYFUNCTION("""COMPUTED_VALUE"""),"Brick")</f>
        <v>Brick</v>
      </c>
      <c r="J441" s="2" t="str">
        <f>IFERROR(__xludf.DUMMYFUNCTION("""COMPUTED_VALUE"""),"All amenities")</f>
        <v>All amenities</v>
      </c>
      <c r="K441" s="2">
        <f>IFERROR(__xludf.DUMMYFUNCTION("""COMPUTED_VALUE"""),300.0)</f>
        <v>300</v>
      </c>
      <c r="L441" s="2">
        <f>IFERROR(__xludf.DUMMYFUNCTION("""COMPUTED_VALUE"""),56.9496783999999)</f>
        <v>56.9496784</v>
      </c>
      <c r="M441" s="2">
        <f>IFERROR(__xludf.DUMMYFUNCTION("""COMPUTED_VALUE"""),24.142522262001)</f>
        <v>24.14252226</v>
      </c>
    </row>
    <row r="442">
      <c r="A442" s="2" t="str">
        <f>IFERROR(__xludf.DUMMYFUNCTION("""COMPUTED_VALUE"""),"For rent")</f>
        <v>For rent</v>
      </c>
      <c r="B442" s="2" t="str">
        <f>IFERROR(__xludf.DUMMYFUNCTION("""COMPUTED_VALUE"""),"Sarkandaugava")</f>
        <v>Sarkandaugava</v>
      </c>
      <c r="C442" s="2" t="str">
        <f>IFERROR(__xludf.DUMMYFUNCTION("""COMPUTED_VALUE"""),"Hāpsalas 1/1")</f>
        <v>Hāpsalas 1/1</v>
      </c>
      <c r="D442" s="2">
        <f>IFERROR(__xludf.DUMMYFUNCTION("""COMPUTED_VALUE"""),2.0)</f>
        <v>2</v>
      </c>
      <c r="E442" s="2">
        <f>IFERROR(__xludf.DUMMYFUNCTION("""COMPUTED_VALUE"""),64.0)</f>
        <v>64</v>
      </c>
      <c r="F442" s="2">
        <f>IFERROR(__xludf.DUMMYFUNCTION("""COMPUTED_VALUE"""),2.0)</f>
        <v>2</v>
      </c>
      <c r="G442" s="2">
        <f>IFERROR(__xludf.DUMMYFUNCTION("""COMPUTED_VALUE"""),5.0)</f>
        <v>5</v>
      </c>
      <c r="H442" s="2" t="str">
        <f>IFERROR(__xludf.DUMMYFUNCTION("""COMPUTED_VALUE"""),"Jaun.")</f>
        <v>Jaun.</v>
      </c>
      <c r="I442" s="2" t="str">
        <f>IFERROR(__xludf.DUMMYFUNCTION("""COMPUTED_VALUE"""),"Brick-Panel")</f>
        <v>Brick-Panel</v>
      </c>
      <c r="J442" s="2" t="str">
        <f>IFERROR(__xludf.DUMMYFUNCTION("""COMPUTED_VALUE"""),"All amenities")</f>
        <v>All amenities</v>
      </c>
      <c r="K442" s="2">
        <f>IFERROR(__xludf.DUMMYFUNCTION("""COMPUTED_VALUE"""),450.0)</f>
        <v>450</v>
      </c>
      <c r="L442" s="2">
        <f>IFERROR(__xludf.DUMMYFUNCTION("""COMPUTED_VALUE"""),57.0002634)</f>
        <v>57.0002634</v>
      </c>
      <c r="M442" s="2">
        <f>IFERROR(__xludf.DUMMYFUNCTION("""COMPUTED_VALUE"""),24.121861)</f>
        <v>24.121861</v>
      </c>
    </row>
    <row r="443">
      <c r="A443" s="2" t="str">
        <f>IFERROR(__xludf.DUMMYFUNCTION("""COMPUTED_VALUE"""),"For sale")</f>
        <v>For sale</v>
      </c>
      <c r="B443" s="2" t="str">
        <f>IFERROR(__xludf.DUMMYFUNCTION("""COMPUTED_VALUE"""),"Šķirotava")</f>
        <v>Šķirotava</v>
      </c>
      <c r="C443" s="2" t="str">
        <f>IFERROR(__xludf.DUMMYFUNCTION("""COMPUTED_VALUE"""),"Sila 2")</f>
        <v>Sila 2</v>
      </c>
      <c r="D443" s="2">
        <f>IFERROR(__xludf.DUMMYFUNCTION("""COMPUTED_VALUE"""),3.0)</f>
        <v>3</v>
      </c>
      <c r="E443" s="2">
        <f>IFERROR(__xludf.DUMMYFUNCTION("""COMPUTED_VALUE"""),52.0)</f>
        <v>52</v>
      </c>
      <c r="F443" s="2">
        <f>IFERROR(__xludf.DUMMYFUNCTION("""COMPUTED_VALUE"""),1.0)</f>
        <v>1</v>
      </c>
      <c r="G443" s="2">
        <f>IFERROR(__xludf.DUMMYFUNCTION("""COMPUTED_VALUE"""),2.0)</f>
        <v>2</v>
      </c>
      <c r="H443" s="2" t="str">
        <f>IFERROR(__xludf.DUMMYFUNCTION("""COMPUTED_VALUE"""),"Specpr.")</f>
        <v>Specpr.</v>
      </c>
      <c r="I443" s="2" t="str">
        <f>IFERROR(__xludf.DUMMYFUNCTION("""COMPUTED_VALUE"""),"Wood")</f>
        <v>Wood</v>
      </c>
      <c r="J443" s="2" t="str">
        <f>IFERROR(__xludf.DUMMYFUNCTION("""COMPUTED_VALUE"""),"Partial amenities")</f>
        <v>Partial amenities</v>
      </c>
      <c r="K443" s="2">
        <f>IFERROR(__xludf.DUMMYFUNCTION("""COMPUTED_VALUE"""),14980.0)</f>
        <v>14980</v>
      </c>
      <c r="L443" s="2">
        <f>IFERROR(__xludf.DUMMYFUNCTION("""COMPUTED_VALUE"""),56.9077347)</f>
        <v>56.9077347</v>
      </c>
      <c r="M443" s="2">
        <f>IFERROR(__xludf.DUMMYFUNCTION("""COMPUTED_VALUE"""),24.2226369)</f>
        <v>24.2226369</v>
      </c>
    </row>
    <row r="444">
      <c r="A444" s="2" t="str">
        <f>IFERROR(__xludf.DUMMYFUNCTION("""COMPUTED_VALUE"""),"For sale")</f>
        <v>For sale</v>
      </c>
      <c r="B444" s="2" t="str">
        <f>IFERROR(__xludf.DUMMYFUNCTION("""COMPUTED_VALUE"""),"Ziepniekkalns")</f>
        <v>Ziepniekkalns</v>
      </c>
      <c r="C444" s="2" t="str">
        <f>IFERROR(__xludf.DUMMYFUNCTION("""COMPUTED_VALUE"""),"Bauskas 135")</f>
        <v>Bauskas 135</v>
      </c>
      <c r="D444" s="2">
        <f>IFERROR(__xludf.DUMMYFUNCTION("""COMPUTED_VALUE"""),1.0)</f>
        <v>1</v>
      </c>
      <c r="E444" s="2">
        <f>IFERROR(__xludf.DUMMYFUNCTION("""COMPUTED_VALUE"""),20.0)</f>
        <v>20</v>
      </c>
      <c r="F444" s="2">
        <f>IFERROR(__xludf.DUMMYFUNCTION("""COMPUTED_VALUE"""),2.0)</f>
        <v>2</v>
      </c>
      <c r="G444" s="2">
        <f>IFERROR(__xludf.DUMMYFUNCTION("""COMPUTED_VALUE"""),2.0)</f>
        <v>2</v>
      </c>
      <c r="H444" s="2" t="str">
        <f>IFERROR(__xludf.DUMMYFUNCTION("""COMPUTED_VALUE"""),"P. kara")</f>
        <v>P. kara</v>
      </c>
      <c r="I444" s="2" t="str">
        <f>IFERROR(__xludf.DUMMYFUNCTION("""COMPUTED_VALUE"""),"Wood")</f>
        <v>Wood</v>
      </c>
      <c r="J444" s="2" t="str">
        <f>IFERROR(__xludf.DUMMYFUNCTION("""COMPUTED_VALUE"""),"Partial amenities")</f>
        <v>Partial amenities</v>
      </c>
      <c r="K444" s="2">
        <f>IFERROR(__xludf.DUMMYFUNCTION("""COMPUTED_VALUE"""),7380.0)</f>
        <v>7380</v>
      </c>
      <c r="L444" s="2">
        <f>IFERROR(__xludf.DUMMYFUNCTION("""COMPUTED_VALUE"""),56.9141787)</f>
        <v>56.9141787</v>
      </c>
      <c r="M444" s="2">
        <f>IFERROR(__xludf.DUMMYFUNCTION("""COMPUTED_VALUE"""),24.1217522)</f>
        <v>24.1217522</v>
      </c>
    </row>
    <row r="445">
      <c r="A445" s="2" t="str">
        <f>IFERROR(__xludf.DUMMYFUNCTION("""COMPUTED_VALUE"""),"For sale")</f>
        <v>For sale</v>
      </c>
      <c r="B445" s="2" t="str">
        <f>IFERROR(__xludf.DUMMYFUNCTION("""COMPUTED_VALUE"""),"centrs")</f>
        <v>centrs</v>
      </c>
      <c r="C445" s="2" t="str">
        <f>IFERROR(__xludf.DUMMYFUNCTION("""COMPUTED_VALUE"""),"Maskavas 108")</f>
        <v>Maskavas 108</v>
      </c>
      <c r="D445" s="2">
        <f>IFERROR(__xludf.DUMMYFUNCTION("""COMPUTED_VALUE"""),2.0)</f>
        <v>2</v>
      </c>
      <c r="E445" s="2">
        <f>IFERROR(__xludf.DUMMYFUNCTION("""COMPUTED_VALUE"""),100.0)</f>
        <v>100</v>
      </c>
      <c r="F445" s="2">
        <f>IFERROR(__xludf.DUMMYFUNCTION("""COMPUTED_VALUE"""),1.0)</f>
        <v>1</v>
      </c>
      <c r="G445" s="2">
        <f>IFERROR(__xludf.DUMMYFUNCTION("""COMPUTED_VALUE"""),2.0)</f>
        <v>2</v>
      </c>
      <c r="H445" s="2" t="str">
        <f>IFERROR(__xludf.DUMMYFUNCTION("""COMPUTED_VALUE"""),"P. kara")</f>
        <v>P. kara</v>
      </c>
      <c r="I445" s="2" t="str">
        <f>IFERROR(__xludf.DUMMYFUNCTION("""COMPUTED_VALUE"""),"Brick")</f>
        <v>Brick</v>
      </c>
      <c r="J445" s="2" t="str">
        <f>IFERROR(__xludf.DUMMYFUNCTION("""COMPUTED_VALUE"""),"Partial amenities")</f>
        <v>Partial amenities</v>
      </c>
      <c r="K445" s="2">
        <f>IFERROR(__xludf.DUMMYFUNCTION("""COMPUTED_VALUE"""),15890.0)</f>
        <v>15890</v>
      </c>
      <c r="L445" s="2">
        <f>IFERROR(__xludf.DUMMYFUNCTION("""COMPUTED_VALUE"""),56.8597884)</f>
        <v>56.8597884</v>
      </c>
      <c r="M445" s="2">
        <f>IFERROR(__xludf.DUMMYFUNCTION("""COMPUTED_VALUE"""),24.3083417)</f>
        <v>24.3083417</v>
      </c>
    </row>
    <row r="446">
      <c r="A446" s="2" t="str">
        <f>IFERROR(__xludf.DUMMYFUNCTION("""COMPUTED_VALUE"""),"For sale")</f>
        <v>For sale</v>
      </c>
      <c r="B446" s="2" t="str">
        <f>IFERROR(__xludf.DUMMYFUNCTION("""COMPUTED_VALUE"""),"Šķirotava")</f>
        <v>Šķirotava</v>
      </c>
      <c r="C446" s="2" t="str">
        <f>IFERROR(__xludf.DUMMYFUNCTION("""COMPUTED_VALUE"""),"Malēju 4a")</f>
        <v>Malēju 4a</v>
      </c>
      <c r="D446" s="2">
        <f>IFERROR(__xludf.DUMMYFUNCTION("""COMPUTED_VALUE"""),2.0)</f>
        <v>2</v>
      </c>
      <c r="E446" s="2">
        <f>IFERROR(__xludf.DUMMYFUNCTION("""COMPUTED_VALUE"""),37.0)</f>
        <v>37</v>
      </c>
      <c r="F446" s="2">
        <f>IFERROR(__xludf.DUMMYFUNCTION("""COMPUTED_VALUE"""),4.0)</f>
        <v>4</v>
      </c>
      <c r="G446" s="2">
        <f>IFERROR(__xludf.DUMMYFUNCTION("""COMPUTED_VALUE"""),4.0)</f>
        <v>4</v>
      </c>
      <c r="H446" s="2" t="str">
        <f>IFERROR(__xludf.DUMMYFUNCTION("""COMPUTED_VALUE"""),"M. ģim.")</f>
        <v>M. ģim.</v>
      </c>
      <c r="I446" s="2" t="str">
        <f>IFERROR(__xludf.DUMMYFUNCTION("""COMPUTED_VALUE"""),"Brick")</f>
        <v>Brick</v>
      </c>
      <c r="J446" s="2" t="str">
        <f>IFERROR(__xludf.DUMMYFUNCTION("""COMPUTED_VALUE"""),"All amenities")</f>
        <v>All amenities</v>
      </c>
      <c r="K446" s="2">
        <f>IFERROR(__xludf.DUMMYFUNCTION("""COMPUTED_VALUE"""),12890.0)</f>
        <v>12890</v>
      </c>
      <c r="L446" s="2">
        <f>IFERROR(__xludf.DUMMYFUNCTION("""COMPUTED_VALUE"""),56.90687475)</f>
        <v>56.90687475</v>
      </c>
      <c r="M446" s="2">
        <f>IFERROR(__xludf.DUMMYFUNCTION("""COMPUTED_VALUE"""),24.2209157822299)</f>
        <v>24.22091578</v>
      </c>
    </row>
    <row r="447">
      <c r="A447" s="2" t="str">
        <f>IFERROR(__xludf.DUMMYFUNCTION("""COMPUTED_VALUE"""),"For sale")</f>
        <v>For sale</v>
      </c>
      <c r="B447" s="2" t="str">
        <f>IFERROR(__xludf.DUMMYFUNCTION("""COMPUTED_VALUE"""),"centrs")</f>
        <v>centrs</v>
      </c>
      <c r="C447" s="2" t="str">
        <f>IFERROR(__xludf.DUMMYFUNCTION("""COMPUTED_VALUE"""),"Duntes 24a")</f>
        <v>Duntes 24a</v>
      </c>
      <c r="D447" s="2">
        <f>IFERROR(__xludf.DUMMYFUNCTION("""COMPUTED_VALUE"""),1.0)</f>
        <v>1</v>
      </c>
      <c r="E447" s="2">
        <f>IFERROR(__xludf.DUMMYFUNCTION("""COMPUTED_VALUE"""),24.0)</f>
        <v>24</v>
      </c>
      <c r="F447" s="2">
        <f>IFERROR(__xludf.DUMMYFUNCTION("""COMPUTED_VALUE"""),2.0)</f>
        <v>2</v>
      </c>
      <c r="G447" s="2">
        <f>IFERROR(__xludf.DUMMYFUNCTION("""COMPUTED_VALUE"""),2.0)</f>
        <v>2</v>
      </c>
      <c r="H447" s="2" t="str">
        <f>IFERROR(__xludf.DUMMYFUNCTION("""COMPUTED_VALUE"""),"P. kara")</f>
        <v>P. kara</v>
      </c>
      <c r="I447" s="2" t="str">
        <f>IFERROR(__xludf.DUMMYFUNCTION("""COMPUTED_VALUE"""),"Brick")</f>
        <v>Brick</v>
      </c>
      <c r="J447" s="2" t="str">
        <f>IFERROR(__xludf.DUMMYFUNCTION("""COMPUTED_VALUE"""),"All amenities")</f>
        <v>All amenities</v>
      </c>
      <c r="K447" s="2">
        <f>IFERROR(__xludf.DUMMYFUNCTION("""COMPUTED_VALUE"""),9870.0)</f>
        <v>9870</v>
      </c>
      <c r="L447" s="2">
        <f>IFERROR(__xludf.DUMMYFUNCTION("""COMPUTED_VALUE"""),56.976516)</f>
        <v>56.976516</v>
      </c>
      <c r="M447" s="2">
        <f>IFERROR(__xludf.DUMMYFUNCTION("""COMPUTED_VALUE"""),24.1354853)</f>
        <v>24.1354853</v>
      </c>
    </row>
    <row r="448">
      <c r="A448" s="2" t="str">
        <f>IFERROR(__xludf.DUMMYFUNCTION("""COMPUTED_VALUE"""),"For sale")</f>
        <v>For sale</v>
      </c>
      <c r="B448" s="2" t="str">
        <f>IFERROR(__xludf.DUMMYFUNCTION("""COMPUTED_VALUE"""),"Maskavas priekšpilsēta")</f>
        <v>Maskavas priekšpilsēta</v>
      </c>
      <c r="C448" s="2" t="str">
        <f>IFERROR(__xludf.DUMMYFUNCTION("""COMPUTED_VALUE"""),"Daugavpils 8")</f>
        <v>Daugavpils 8</v>
      </c>
      <c r="D448" s="2">
        <f>IFERROR(__xludf.DUMMYFUNCTION("""COMPUTED_VALUE"""),1.0)</f>
        <v>1</v>
      </c>
      <c r="E448" s="2">
        <f>IFERROR(__xludf.DUMMYFUNCTION("""COMPUTED_VALUE"""),24.0)</f>
        <v>24</v>
      </c>
      <c r="F448" s="2">
        <f>IFERROR(__xludf.DUMMYFUNCTION("""COMPUTED_VALUE"""),1.0)</f>
        <v>1</v>
      </c>
      <c r="G448" s="2">
        <f>IFERROR(__xludf.DUMMYFUNCTION("""COMPUTED_VALUE"""),3.0)</f>
        <v>3</v>
      </c>
      <c r="H448" s="2" t="str">
        <f>IFERROR(__xludf.DUMMYFUNCTION("""COMPUTED_VALUE"""),"P. kara")</f>
        <v>P. kara</v>
      </c>
      <c r="I448" s="2" t="str">
        <f>IFERROR(__xludf.DUMMYFUNCTION("""COMPUTED_VALUE"""),"Wood")</f>
        <v>Wood</v>
      </c>
      <c r="J448" s="2" t="str">
        <f>IFERROR(__xludf.DUMMYFUNCTION("""COMPUTED_VALUE"""),"All amenities")</f>
        <v>All amenities</v>
      </c>
      <c r="K448" s="2">
        <f>IFERROR(__xludf.DUMMYFUNCTION("""COMPUTED_VALUE"""),10890.0)</f>
        <v>10890</v>
      </c>
      <c r="L448" s="2">
        <f>IFERROR(__xludf.DUMMYFUNCTION("""COMPUTED_VALUE"""),56.9398925)</f>
        <v>56.9398925</v>
      </c>
      <c r="M448" s="2">
        <f>IFERROR(__xludf.DUMMYFUNCTION("""COMPUTED_VALUE"""),24.1414198548449)</f>
        <v>24.14141985</v>
      </c>
    </row>
    <row r="449">
      <c r="A449" s="2" t="str">
        <f>IFERROR(__xludf.DUMMYFUNCTION("""COMPUTED_VALUE"""),"For sale")</f>
        <v>For sale</v>
      </c>
      <c r="B449" s="2" t="str">
        <f>IFERROR(__xludf.DUMMYFUNCTION("""COMPUTED_VALUE"""),"centrs")</f>
        <v>centrs</v>
      </c>
      <c r="C449" s="2" t="str">
        <f>IFERROR(__xludf.DUMMYFUNCTION("""COMPUTED_VALUE"""),"Valmieras 32")</f>
        <v>Valmieras 32</v>
      </c>
      <c r="D449" s="2">
        <f>IFERROR(__xludf.DUMMYFUNCTION("""COMPUTED_VALUE"""),1.0)</f>
        <v>1</v>
      </c>
      <c r="E449" s="2">
        <f>IFERROR(__xludf.DUMMYFUNCTION("""COMPUTED_VALUE"""),18.0)</f>
        <v>18</v>
      </c>
      <c r="F449" s="2">
        <f>IFERROR(__xludf.DUMMYFUNCTION("""COMPUTED_VALUE"""),1.0)</f>
        <v>1</v>
      </c>
      <c r="G449" s="2">
        <f>IFERROR(__xludf.DUMMYFUNCTION("""COMPUTED_VALUE"""),2.0)</f>
        <v>2</v>
      </c>
      <c r="H449" s="2" t="str">
        <f>IFERROR(__xludf.DUMMYFUNCTION("""COMPUTED_VALUE"""),"Staļina")</f>
        <v>Staļina</v>
      </c>
      <c r="I449" s="2" t="str">
        <f>IFERROR(__xludf.DUMMYFUNCTION("""COMPUTED_VALUE"""),"Wood")</f>
        <v>Wood</v>
      </c>
      <c r="J449" s="2" t="str">
        <f>IFERROR(__xludf.DUMMYFUNCTION("""COMPUTED_VALUE"""),"Partial amenities")</f>
        <v>Partial amenities</v>
      </c>
      <c r="K449" s="2">
        <f>IFERROR(__xludf.DUMMYFUNCTION("""COMPUTED_VALUE"""),14500.0)</f>
        <v>14500</v>
      </c>
      <c r="L449" s="2">
        <f>IFERROR(__xludf.DUMMYFUNCTION("""COMPUTED_VALUE"""),56.95275325)</f>
        <v>56.95275325</v>
      </c>
      <c r="M449" s="2">
        <f>IFERROR(__xludf.DUMMYFUNCTION("""COMPUTED_VALUE"""),24.1516129451998)</f>
        <v>24.15161295</v>
      </c>
    </row>
    <row r="450">
      <c r="A450" s="2" t="str">
        <f>IFERROR(__xludf.DUMMYFUNCTION("""COMPUTED_VALUE"""),"For sale")</f>
        <v>For sale</v>
      </c>
      <c r="B450" s="2" t="str">
        <f>IFERROR(__xludf.DUMMYFUNCTION("""COMPUTED_VALUE"""),"Imanta")</f>
        <v>Imanta</v>
      </c>
      <c r="C450" s="2" t="str">
        <f>IFERROR(__xludf.DUMMYFUNCTION("""COMPUTED_VALUE"""),"Dammes 36")</f>
        <v>Dammes 36</v>
      </c>
      <c r="D450" s="2">
        <f>IFERROR(__xludf.DUMMYFUNCTION("""COMPUTED_VALUE"""),2.0)</f>
        <v>2</v>
      </c>
      <c r="E450" s="2">
        <f>IFERROR(__xludf.DUMMYFUNCTION("""COMPUTED_VALUE"""),50.0)</f>
        <v>50</v>
      </c>
      <c r="F450" s="2">
        <f>IFERROR(__xludf.DUMMYFUNCTION("""COMPUTED_VALUE"""),3.0)</f>
        <v>3</v>
      </c>
      <c r="G450" s="2">
        <f>IFERROR(__xludf.DUMMYFUNCTION("""COMPUTED_VALUE"""),9.0)</f>
        <v>9</v>
      </c>
      <c r="H450" s="2">
        <f>IFERROR(__xludf.DUMMYFUNCTION("""COMPUTED_VALUE"""),602.0)</f>
        <v>602</v>
      </c>
      <c r="I450" s="2" t="str">
        <f>IFERROR(__xludf.DUMMYFUNCTION("""COMPUTED_VALUE"""),"Panel")</f>
        <v>Panel</v>
      </c>
      <c r="J450" s="2" t="str">
        <f>IFERROR(__xludf.DUMMYFUNCTION("""COMPUTED_VALUE"""),"All amenities")</f>
        <v>All amenities</v>
      </c>
      <c r="K450" s="2">
        <f>IFERROR(__xludf.DUMMYFUNCTION("""COMPUTED_VALUE"""),53500.0)</f>
        <v>53500</v>
      </c>
      <c r="L450" s="2">
        <f>IFERROR(__xludf.DUMMYFUNCTION("""COMPUTED_VALUE"""),56.9656328)</f>
        <v>56.9656328</v>
      </c>
      <c r="M450" s="2">
        <f>IFERROR(__xludf.DUMMYFUNCTION("""COMPUTED_VALUE"""),24.0112176797367)</f>
        <v>24.01121768</v>
      </c>
    </row>
    <row r="451">
      <c r="A451" s="2" t="str">
        <f>IFERROR(__xludf.DUMMYFUNCTION("""COMPUTED_VALUE"""),"For rent")</f>
        <v>For rent</v>
      </c>
      <c r="B451" s="2" t="str">
        <f>IFERROR(__xludf.DUMMYFUNCTION("""COMPUTED_VALUE"""),"centrs")</f>
        <v>centrs</v>
      </c>
      <c r="C451" s="2" t="str">
        <f>IFERROR(__xludf.DUMMYFUNCTION("""COMPUTED_VALUE"""),"Tomsona 42")</f>
        <v>Tomsona 42</v>
      </c>
      <c r="D451" s="2">
        <f>IFERROR(__xludf.DUMMYFUNCTION("""COMPUTED_VALUE"""),1.0)</f>
        <v>1</v>
      </c>
      <c r="E451" s="2">
        <f>IFERROR(__xludf.DUMMYFUNCTION("""COMPUTED_VALUE"""),30.0)</f>
        <v>30</v>
      </c>
      <c r="F451" s="2">
        <f>IFERROR(__xludf.DUMMYFUNCTION("""COMPUTED_VALUE"""),1.0)</f>
        <v>1</v>
      </c>
      <c r="G451" s="2">
        <f>IFERROR(__xludf.DUMMYFUNCTION("""COMPUTED_VALUE"""),5.0)</f>
        <v>5</v>
      </c>
      <c r="H451" s="2" t="str">
        <f>IFERROR(__xludf.DUMMYFUNCTION("""COMPUTED_VALUE"""),"Hrušč.")</f>
        <v>Hrušč.</v>
      </c>
      <c r="I451" s="2" t="str">
        <f>IFERROR(__xludf.DUMMYFUNCTION("""COMPUTED_VALUE"""),"Brick")</f>
        <v>Brick</v>
      </c>
      <c r="J451" s="2" t="str">
        <f>IFERROR(__xludf.DUMMYFUNCTION("""COMPUTED_VALUE"""),"All amenities")</f>
        <v>All amenities</v>
      </c>
      <c r="K451" s="2">
        <f>IFERROR(__xludf.DUMMYFUNCTION("""COMPUTED_VALUE"""),260.0)</f>
        <v>260</v>
      </c>
      <c r="L451" s="2">
        <f>IFERROR(__xludf.DUMMYFUNCTION("""COMPUTED_VALUE"""),56.96867625)</f>
        <v>56.96867625</v>
      </c>
      <c r="M451" s="2">
        <f>IFERROR(__xludf.DUMMYFUNCTION("""COMPUTED_VALUE"""),24.13004095)</f>
        <v>24.13004095</v>
      </c>
    </row>
    <row r="452">
      <c r="A452" s="2" t="str">
        <f>IFERROR(__xludf.DUMMYFUNCTION("""COMPUTED_VALUE"""),"For sale")</f>
        <v>For sale</v>
      </c>
      <c r="B452" s="2" t="str">
        <f>IFERROR(__xludf.DUMMYFUNCTION("""COMPUTED_VALUE"""),"Torņakalns")</f>
        <v>Torņakalns</v>
      </c>
      <c r="C452" s="2" t="str">
        <f>IFERROR(__xludf.DUMMYFUNCTION("""COMPUTED_VALUE"""),"Altonavas 19")</f>
        <v>Altonavas 19</v>
      </c>
      <c r="D452" s="2">
        <f>IFERROR(__xludf.DUMMYFUNCTION("""COMPUTED_VALUE"""),1.0)</f>
        <v>1</v>
      </c>
      <c r="E452" s="2">
        <f>IFERROR(__xludf.DUMMYFUNCTION("""COMPUTED_VALUE"""),17.0)</f>
        <v>17</v>
      </c>
      <c r="F452" s="2">
        <f>IFERROR(__xludf.DUMMYFUNCTION("""COMPUTED_VALUE"""),1.0)</f>
        <v>1</v>
      </c>
      <c r="G452" s="2">
        <f>IFERROR(__xludf.DUMMYFUNCTION("""COMPUTED_VALUE"""),2.0)</f>
        <v>2</v>
      </c>
      <c r="H452" s="2" t="str">
        <f>IFERROR(__xludf.DUMMYFUNCTION("""COMPUTED_VALUE"""),"Specpr.")</f>
        <v>Specpr.</v>
      </c>
      <c r="I452" s="2" t="str">
        <f>IFERROR(__xludf.DUMMYFUNCTION("""COMPUTED_VALUE"""),"Panel")</f>
        <v>Panel</v>
      </c>
      <c r="J452" s="2" t="str">
        <f>IFERROR(__xludf.DUMMYFUNCTION("""COMPUTED_VALUE"""),"All amenities")</f>
        <v>All amenities</v>
      </c>
      <c r="K452" s="2">
        <f>IFERROR(__xludf.DUMMYFUNCTION("""COMPUTED_VALUE"""),13500.0)</f>
        <v>13500</v>
      </c>
      <c r="L452" s="2">
        <f>IFERROR(__xludf.DUMMYFUNCTION("""COMPUTED_VALUE"""),56.9258216)</f>
        <v>56.9258216</v>
      </c>
      <c r="M452" s="2">
        <f>IFERROR(__xludf.DUMMYFUNCTION("""COMPUTED_VALUE"""),24.0821144)</f>
        <v>24.0821144</v>
      </c>
    </row>
    <row r="453">
      <c r="A453" s="2" t="str">
        <f>IFERROR(__xludf.DUMMYFUNCTION("""COMPUTED_VALUE"""),"For rent")</f>
        <v>For rent</v>
      </c>
      <c r="B453" s="2" t="str">
        <f>IFERROR(__xludf.DUMMYFUNCTION("""COMPUTED_VALUE"""),"Sarkandaugava")</f>
        <v>Sarkandaugava</v>
      </c>
      <c r="C453" s="2" t="str">
        <f>IFERROR(__xludf.DUMMYFUNCTION("""COMPUTED_VALUE"""),"Viestura pr. 43")</f>
        <v>Viestura pr. 43</v>
      </c>
      <c r="D453" s="2">
        <f>IFERROR(__xludf.DUMMYFUNCTION("""COMPUTED_VALUE"""),1.0)</f>
        <v>1</v>
      </c>
      <c r="E453" s="2">
        <f>IFERROR(__xludf.DUMMYFUNCTION("""COMPUTED_VALUE"""),35.0)</f>
        <v>35</v>
      </c>
      <c r="F453" s="2">
        <f>IFERROR(__xludf.DUMMYFUNCTION("""COMPUTED_VALUE"""),2.0)</f>
        <v>2</v>
      </c>
      <c r="G453" s="2">
        <f>IFERROR(__xludf.DUMMYFUNCTION("""COMPUTED_VALUE"""),9.0)</f>
        <v>9</v>
      </c>
      <c r="H453" s="2" t="str">
        <f>IFERROR(__xludf.DUMMYFUNCTION("""COMPUTED_VALUE"""),"Specpr.")</f>
        <v>Specpr.</v>
      </c>
      <c r="I453" s="2" t="str">
        <f>IFERROR(__xludf.DUMMYFUNCTION("""COMPUTED_VALUE"""),"Brick")</f>
        <v>Brick</v>
      </c>
      <c r="J453" s="2" t="str">
        <f>IFERROR(__xludf.DUMMYFUNCTION("""COMPUTED_VALUE"""),"All amenities")</f>
        <v>All amenities</v>
      </c>
      <c r="K453" s="2">
        <f>IFERROR(__xludf.DUMMYFUNCTION("""COMPUTED_VALUE"""),280.0)</f>
        <v>280</v>
      </c>
      <c r="L453" s="2" t="str">
        <f>IFERROR(__xludf.DUMMYFUNCTION("""COMPUTED_VALUE"""),"NaN")</f>
        <v>NaN</v>
      </c>
      <c r="M453" s="2" t="str">
        <f>IFERROR(__xludf.DUMMYFUNCTION("""COMPUTED_VALUE"""),"NaN")</f>
        <v>NaN</v>
      </c>
    </row>
    <row r="454">
      <c r="A454" s="2" t="str">
        <f>IFERROR(__xludf.DUMMYFUNCTION("""COMPUTED_VALUE"""),"For sale")</f>
        <v>For sale</v>
      </c>
      <c r="B454" s="2" t="str">
        <f>IFERROR(__xludf.DUMMYFUNCTION("""COMPUTED_VALUE"""),"centrs")</f>
        <v>centrs</v>
      </c>
      <c r="C454" s="2" t="str">
        <f>IFERROR(__xludf.DUMMYFUNCTION("""COMPUTED_VALUE"""),"Valdemāra 23")</f>
        <v>Valdemāra 23</v>
      </c>
      <c r="D454" s="2">
        <f>IFERROR(__xludf.DUMMYFUNCTION("""COMPUTED_VALUE"""),4.0)</f>
        <v>4</v>
      </c>
      <c r="E454" s="2">
        <f>IFERROR(__xludf.DUMMYFUNCTION("""COMPUTED_VALUE"""),102.0)</f>
        <v>102</v>
      </c>
      <c r="F454" s="2">
        <f>IFERROR(__xludf.DUMMYFUNCTION("""COMPUTED_VALUE"""),1.0)</f>
        <v>1</v>
      </c>
      <c r="G454" s="2">
        <f>IFERROR(__xludf.DUMMYFUNCTION("""COMPUTED_VALUE"""),6.0)</f>
        <v>6</v>
      </c>
      <c r="H454" s="2" t="str">
        <f>IFERROR(__xludf.DUMMYFUNCTION("""COMPUTED_VALUE"""),"Renov.")</f>
        <v>Renov.</v>
      </c>
      <c r="I454" s="2" t="str">
        <f>IFERROR(__xludf.DUMMYFUNCTION("""COMPUTED_VALUE"""),"Masonry")</f>
        <v>Masonry</v>
      </c>
      <c r="J454" s="2" t="str">
        <f>IFERROR(__xludf.DUMMYFUNCTION("""COMPUTED_VALUE"""),"All amenities")</f>
        <v>All amenities</v>
      </c>
      <c r="K454" s="2">
        <f>IFERROR(__xludf.DUMMYFUNCTION("""COMPUTED_VALUE"""),250000.0)</f>
        <v>250000</v>
      </c>
      <c r="L454" s="2">
        <f>IFERROR(__xludf.DUMMYFUNCTION("""COMPUTED_VALUE"""),56.9570587)</f>
        <v>56.9570587</v>
      </c>
      <c r="M454" s="2">
        <f>IFERROR(__xludf.DUMMYFUNCTION("""COMPUTED_VALUE"""),24.1144353)</f>
        <v>24.1144353</v>
      </c>
    </row>
    <row r="455">
      <c r="A455" s="2" t="str">
        <f>IFERROR(__xludf.DUMMYFUNCTION("""COMPUTED_VALUE"""),"For sale")</f>
        <v>For sale</v>
      </c>
      <c r="B455" s="2" t="str">
        <f>IFERROR(__xludf.DUMMYFUNCTION("""COMPUTED_VALUE"""),"centrs")</f>
        <v>centrs</v>
      </c>
      <c r="C455" s="2" t="str">
        <f>IFERROR(__xludf.DUMMYFUNCTION("""COMPUTED_VALUE"""),"Lāčplēša 11")</f>
        <v>Lāčplēša 11</v>
      </c>
      <c r="D455" s="2">
        <f>IFERROR(__xludf.DUMMYFUNCTION("""COMPUTED_VALUE"""),3.0)</f>
        <v>3</v>
      </c>
      <c r="E455" s="2">
        <f>IFERROR(__xludf.DUMMYFUNCTION("""COMPUTED_VALUE"""),106.0)</f>
        <v>106</v>
      </c>
      <c r="F455" s="2">
        <f>IFERROR(__xludf.DUMMYFUNCTION("""COMPUTED_VALUE"""),6.0)</f>
        <v>6</v>
      </c>
      <c r="G455" s="2">
        <f>IFERROR(__xludf.DUMMYFUNCTION("""COMPUTED_VALUE"""),7.0)</f>
        <v>7</v>
      </c>
      <c r="H455" s="2" t="str">
        <f>IFERROR(__xludf.DUMMYFUNCTION("""COMPUTED_VALUE"""),"Jaun.")</f>
        <v>Jaun.</v>
      </c>
      <c r="I455" s="2" t="str">
        <f>IFERROR(__xludf.DUMMYFUNCTION("""COMPUTED_VALUE"""),"Panel-Brick")</f>
        <v>Panel-Brick</v>
      </c>
      <c r="J455" s="2" t="str">
        <f>IFERROR(__xludf.DUMMYFUNCTION("""COMPUTED_VALUE"""),"All amenities")</f>
        <v>All amenities</v>
      </c>
      <c r="K455" s="2">
        <f>IFERROR(__xludf.DUMMYFUNCTION("""COMPUTED_VALUE"""),492560.0)</f>
        <v>492560</v>
      </c>
      <c r="L455" s="2">
        <f>IFERROR(__xludf.DUMMYFUNCTION("""COMPUTED_VALUE"""),56.950124)</f>
        <v>56.950124</v>
      </c>
      <c r="M455" s="2">
        <f>IFERROR(__xludf.DUMMYFUNCTION("""COMPUTED_VALUE"""),24.1325244)</f>
        <v>24.1325244</v>
      </c>
    </row>
    <row r="456">
      <c r="A456" s="2" t="str">
        <f>IFERROR(__xludf.DUMMYFUNCTION("""COMPUTED_VALUE"""),"For sale")</f>
        <v>For sale</v>
      </c>
      <c r="B456" s="2" t="str">
        <f>IFERROR(__xludf.DUMMYFUNCTION("""COMPUTED_VALUE"""),"Mežaparks")</f>
        <v>Mežaparks</v>
      </c>
      <c r="C456" s="2" t="str">
        <f>IFERROR(__xludf.DUMMYFUNCTION("""COMPUTED_VALUE"""),"Ezermalas 13")</f>
        <v>Ezermalas 13</v>
      </c>
      <c r="D456" s="2">
        <f>IFERROR(__xludf.DUMMYFUNCTION("""COMPUTED_VALUE"""),2.0)</f>
        <v>2</v>
      </c>
      <c r="E456" s="2">
        <f>IFERROR(__xludf.DUMMYFUNCTION("""COMPUTED_VALUE"""),72.0)</f>
        <v>72</v>
      </c>
      <c r="F456" s="2">
        <f>IFERROR(__xludf.DUMMYFUNCTION("""COMPUTED_VALUE"""),2.0)</f>
        <v>2</v>
      </c>
      <c r="G456" s="2">
        <f>IFERROR(__xludf.DUMMYFUNCTION("""COMPUTED_VALUE"""),5.0)</f>
        <v>5</v>
      </c>
      <c r="H456" s="2" t="str">
        <f>IFERROR(__xludf.DUMMYFUNCTION("""COMPUTED_VALUE"""),"Jaun.")</f>
        <v>Jaun.</v>
      </c>
      <c r="I456" s="2" t="str">
        <f>IFERROR(__xludf.DUMMYFUNCTION("""COMPUTED_VALUE"""),"Brick-Panel")</f>
        <v>Brick-Panel</v>
      </c>
      <c r="J456" s="2" t="str">
        <f>IFERROR(__xludf.DUMMYFUNCTION("""COMPUTED_VALUE"""),"All amenities")</f>
        <v>All amenities</v>
      </c>
      <c r="K456" s="2">
        <f>IFERROR(__xludf.DUMMYFUNCTION("""COMPUTED_VALUE"""),129000.0)</f>
        <v>129000</v>
      </c>
      <c r="L456" s="2">
        <f>IFERROR(__xludf.DUMMYFUNCTION("""COMPUTED_VALUE"""),56.99733515)</f>
        <v>56.99733515</v>
      </c>
      <c r="M456" s="2">
        <f>IFERROR(__xludf.DUMMYFUNCTION("""COMPUTED_VALUE"""),24.1704467)</f>
        <v>24.1704467</v>
      </c>
    </row>
    <row r="457">
      <c r="A457" s="2" t="str">
        <f>IFERROR(__xludf.DUMMYFUNCTION("""COMPUTED_VALUE"""),"For rent")</f>
        <v>For rent</v>
      </c>
      <c r="B457" s="2" t="str">
        <f>IFERROR(__xludf.DUMMYFUNCTION("""COMPUTED_VALUE"""),"centrs")</f>
        <v>centrs</v>
      </c>
      <c r="C457" s="2" t="str">
        <f>IFERROR(__xludf.DUMMYFUNCTION("""COMPUTED_VALUE"""),"Skolas 38")</f>
        <v>Skolas 38</v>
      </c>
      <c r="D457" s="2">
        <f>IFERROR(__xludf.DUMMYFUNCTION("""COMPUTED_VALUE"""),4.0)</f>
        <v>4</v>
      </c>
      <c r="E457" s="2">
        <f>IFERROR(__xludf.DUMMYFUNCTION("""COMPUTED_VALUE"""),190.0)</f>
        <v>190</v>
      </c>
      <c r="F457" s="2">
        <f>IFERROR(__xludf.DUMMYFUNCTION("""COMPUTED_VALUE"""),7.0)</f>
        <v>7</v>
      </c>
      <c r="G457" s="2">
        <f>IFERROR(__xludf.DUMMYFUNCTION("""COMPUTED_VALUE"""),7.0)</f>
        <v>7</v>
      </c>
      <c r="H457" s="2" t="str">
        <f>IFERROR(__xludf.DUMMYFUNCTION("""COMPUTED_VALUE"""),"Renov.")</f>
        <v>Renov.</v>
      </c>
      <c r="I457" s="2" t="str">
        <f>IFERROR(__xludf.DUMMYFUNCTION("""COMPUTED_VALUE"""),"Masonry")</f>
        <v>Masonry</v>
      </c>
      <c r="J457" s="2" t="str">
        <f>IFERROR(__xludf.DUMMYFUNCTION("""COMPUTED_VALUE"""),"All amenities")</f>
        <v>All amenities</v>
      </c>
      <c r="K457" s="2">
        <f>IFERROR(__xludf.DUMMYFUNCTION("""COMPUTED_VALUE"""),900.0)</f>
        <v>900</v>
      </c>
      <c r="L457" s="2">
        <f>IFERROR(__xludf.DUMMYFUNCTION("""COMPUTED_VALUE"""),48.2969502)</f>
        <v>48.2969502</v>
      </c>
      <c r="M457" s="2">
        <f>IFERROR(__xludf.DUMMYFUNCTION("""COMPUTED_VALUE"""),-100.7081938)</f>
        <v>-100.7081938</v>
      </c>
    </row>
    <row r="458">
      <c r="A458" s="2" t="str">
        <f>IFERROR(__xludf.DUMMYFUNCTION("""COMPUTED_VALUE"""),"For rent")</f>
        <v>For rent</v>
      </c>
      <c r="B458" s="2" t="str">
        <f>IFERROR(__xludf.DUMMYFUNCTION("""COMPUTED_VALUE"""),"centrs")</f>
        <v>centrs</v>
      </c>
      <c r="C458" s="2" t="str">
        <f>IFERROR(__xludf.DUMMYFUNCTION("""COMPUTED_VALUE"""),"Lienes 14")</f>
        <v>Lienes 14</v>
      </c>
      <c r="D458" s="2">
        <f>IFERROR(__xludf.DUMMYFUNCTION("""COMPUTED_VALUE"""),1.0)</f>
        <v>1</v>
      </c>
      <c r="E458" s="2">
        <f>IFERROR(__xludf.DUMMYFUNCTION("""COMPUTED_VALUE"""),30.0)</f>
        <v>30</v>
      </c>
      <c r="F458" s="2">
        <f>IFERROR(__xludf.DUMMYFUNCTION("""COMPUTED_VALUE"""),2.0)</f>
        <v>2</v>
      </c>
      <c r="G458" s="2">
        <f>IFERROR(__xludf.DUMMYFUNCTION("""COMPUTED_VALUE"""),3.0)</f>
        <v>3</v>
      </c>
      <c r="H458" s="2" t="str">
        <f>IFERROR(__xludf.DUMMYFUNCTION("""COMPUTED_VALUE"""),"P. kara")</f>
        <v>P. kara</v>
      </c>
      <c r="I458" s="2" t="str">
        <f>IFERROR(__xludf.DUMMYFUNCTION("""COMPUTED_VALUE"""),"Brick")</f>
        <v>Brick</v>
      </c>
      <c r="J458" s="2" t="str">
        <f>IFERROR(__xludf.DUMMYFUNCTION("""COMPUTED_VALUE"""),"All amenities")</f>
        <v>All amenities</v>
      </c>
      <c r="K458" s="2">
        <f>IFERROR(__xludf.DUMMYFUNCTION("""COMPUTED_VALUE"""),160.0)</f>
        <v>160</v>
      </c>
      <c r="L458" s="2">
        <f>IFERROR(__xludf.DUMMYFUNCTION("""COMPUTED_VALUE"""),56.95251535)</f>
        <v>56.95251535</v>
      </c>
      <c r="M458" s="2">
        <f>IFERROR(__xludf.DUMMYFUNCTION("""COMPUTED_VALUE"""),24.1479281197337)</f>
        <v>24.14792812</v>
      </c>
    </row>
    <row r="459">
      <c r="A459" s="2" t="str">
        <f>IFERROR(__xludf.DUMMYFUNCTION("""COMPUTED_VALUE"""),"For sale")</f>
        <v>For sale</v>
      </c>
      <c r="B459" s="2" t="str">
        <f>IFERROR(__xludf.DUMMYFUNCTION("""COMPUTED_VALUE"""),"Āgenskalns")</f>
        <v>Āgenskalns</v>
      </c>
      <c r="C459" s="2" t="str">
        <f>IFERROR(__xludf.DUMMYFUNCTION("""COMPUTED_VALUE"""),"Mūkusalas 29")</f>
        <v>Mūkusalas 29</v>
      </c>
      <c r="D459" s="2">
        <f>IFERROR(__xludf.DUMMYFUNCTION("""COMPUTED_VALUE"""),3.0)</f>
        <v>3</v>
      </c>
      <c r="E459" s="2">
        <f>IFERROR(__xludf.DUMMYFUNCTION("""COMPUTED_VALUE"""),210.0)</f>
        <v>210</v>
      </c>
      <c r="F459" s="2">
        <f>IFERROR(__xludf.DUMMYFUNCTION("""COMPUTED_VALUE"""),2.0)</f>
        <v>2</v>
      </c>
      <c r="G459" s="2">
        <f>IFERROR(__xludf.DUMMYFUNCTION("""COMPUTED_VALUE"""),4.0)</f>
        <v>4</v>
      </c>
      <c r="H459" s="2" t="str">
        <f>IFERROR(__xludf.DUMMYFUNCTION("""COMPUTED_VALUE"""),"Jaun.")</f>
        <v>Jaun.</v>
      </c>
      <c r="I459" s="2" t="str">
        <f>IFERROR(__xludf.DUMMYFUNCTION("""COMPUTED_VALUE"""),"Masonry")</f>
        <v>Masonry</v>
      </c>
      <c r="J459" s="2" t="str">
        <f>IFERROR(__xludf.DUMMYFUNCTION("""COMPUTED_VALUE"""),"All amenities")</f>
        <v>All amenities</v>
      </c>
      <c r="K459" s="2">
        <f>IFERROR(__xludf.DUMMYFUNCTION("""COMPUTED_VALUE"""),250000.0)</f>
        <v>250000</v>
      </c>
      <c r="L459" s="2">
        <f>IFERROR(__xludf.DUMMYFUNCTION("""COMPUTED_VALUE"""),56.93693955)</f>
        <v>56.93693955</v>
      </c>
      <c r="M459" s="2">
        <f>IFERROR(__xludf.DUMMYFUNCTION("""COMPUTED_VALUE"""),24.1019323631236)</f>
        <v>24.10193236</v>
      </c>
    </row>
    <row r="460">
      <c r="A460" s="2" t="str">
        <f>IFERROR(__xludf.DUMMYFUNCTION("""COMPUTED_VALUE"""),"For rent")</f>
        <v>For rent</v>
      </c>
      <c r="B460" s="2" t="str">
        <f>IFERROR(__xludf.DUMMYFUNCTION("""COMPUTED_VALUE"""),"centrs")</f>
        <v>centrs</v>
      </c>
      <c r="C460" s="2" t="str">
        <f>IFERROR(__xludf.DUMMYFUNCTION("""COMPUTED_VALUE"""),"Birznieka-Upīša 13")</f>
        <v>Birznieka-Upīša 13</v>
      </c>
      <c r="D460" s="2">
        <f>IFERROR(__xludf.DUMMYFUNCTION("""COMPUTED_VALUE"""),2.0)</f>
        <v>2</v>
      </c>
      <c r="E460" s="2">
        <f>IFERROR(__xludf.DUMMYFUNCTION("""COMPUTED_VALUE"""),55.0)</f>
        <v>55</v>
      </c>
      <c r="F460" s="2">
        <f>IFERROR(__xludf.DUMMYFUNCTION("""COMPUTED_VALUE"""),2.0)</f>
        <v>2</v>
      </c>
      <c r="G460" s="2">
        <f>IFERROR(__xludf.DUMMYFUNCTION("""COMPUTED_VALUE"""),5.0)</f>
        <v>5</v>
      </c>
      <c r="H460" s="2" t="str">
        <f>IFERROR(__xludf.DUMMYFUNCTION("""COMPUTED_VALUE"""),"Jaun.")</f>
        <v>Jaun.</v>
      </c>
      <c r="I460" s="2" t="str">
        <f>IFERROR(__xludf.DUMMYFUNCTION("""COMPUTED_VALUE"""),"Masonry")</f>
        <v>Masonry</v>
      </c>
      <c r="J460" s="2" t="str">
        <f>IFERROR(__xludf.DUMMYFUNCTION("""COMPUTED_VALUE"""),"All amenities")</f>
        <v>All amenities</v>
      </c>
      <c r="K460" s="2">
        <f>IFERROR(__xludf.DUMMYFUNCTION("""COMPUTED_VALUE"""),700.0)</f>
        <v>700</v>
      </c>
      <c r="L460" s="2">
        <f>IFERROR(__xludf.DUMMYFUNCTION("""COMPUTED_VALUE"""),56.9493295)</f>
        <v>56.9493295</v>
      </c>
      <c r="M460" s="2">
        <f>IFERROR(__xludf.DUMMYFUNCTION("""COMPUTED_VALUE"""),24.1264892056074)</f>
        <v>24.12648921</v>
      </c>
    </row>
    <row r="461">
      <c r="A461" s="2" t="str">
        <f>IFERROR(__xludf.DUMMYFUNCTION("""COMPUTED_VALUE"""),"For rent")</f>
        <v>For rent</v>
      </c>
      <c r="B461" s="2" t="str">
        <f>IFERROR(__xludf.DUMMYFUNCTION("""COMPUTED_VALUE"""),"centrs")</f>
        <v>centrs</v>
      </c>
      <c r="C461" s="2" t="str">
        <f>IFERROR(__xludf.DUMMYFUNCTION("""COMPUTED_VALUE"""),"Barona 17")</f>
        <v>Barona 17</v>
      </c>
      <c r="D461" s="2">
        <f>IFERROR(__xludf.DUMMYFUNCTION("""COMPUTED_VALUE"""),1.0)</f>
        <v>1</v>
      </c>
      <c r="E461" s="2">
        <f>IFERROR(__xludf.DUMMYFUNCTION("""COMPUTED_VALUE"""),18.0)</f>
        <v>18</v>
      </c>
      <c r="F461" s="2">
        <f>IFERROR(__xludf.DUMMYFUNCTION("""COMPUTED_VALUE"""),5.0)</f>
        <v>5</v>
      </c>
      <c r="G461" s="2">
        <f>IFERROR(__xludf.DUMMYFUNCTION("""COMPUTED_VALUE"""),5.0)</f>
        <v>5</v>
      </c>
      <c r="H461" s="2" t="str">
        <f>IFERROR(__xludf.DUMMYFUNCTION("""COMPUTED_VALUE"""),"P. kara")</f>
        <v>P. kara</v>
      </c>
      <c r="I461" s="2" t="str">
        <f>IFERROR(__xludf.DUMMYFUNCTION("""COMPUTED_VALUE"""),"Masonry")</f>
        <v>Masonry</v>
      </c>
      <c r="J461" s="2" t="str">
        <f>IFERROR(__xludf.DUMMYFUNCTION("""COMPUTED_VALUE"""),"All amenities")</f>
        <v>All amenities</v>
      </c>
      <c r="K461" s="2">
        <f>IFERROR(__xludf.DUMMYFUNCTION("""COMPUTED_VALUE"""),280.0)</f>
        <v>280</v>
      </c>
      <c r="L461" s="2">
        <f>IFERROR(__xludf.DUMMYFUNCTION("""COMPUTED_VALUE"""),56.9522968)</f>
        <v>56.9522968</v>
      </c>
      <c r="M461" s="2">
        <f>IFERROR(__xludf.DUMMYFUNCTION("""COMPUTED_VALUE"""),24.1231507)</f>
        <v>24.1231507</v>
      </c>
    </row>
    <row r="462">
      <c r="A462" s="2" t="str">
        <f>IFERROR(__xludf.DUMMYFUNCTION("""COMPUTED_VALUE"""),"For rent")</f>
        <v>For rent</v>
      </c>
      <c r="B462" s="2" t="str">
        <f>IFERROR(__xludf.DUMMYFUNCTION("""COMPUTED_VALUE"""),"Purvciems")</f>
        <v>Purvciems</v>
      </c>
      <c r="C462" s="2" t="str">
        <f>IFERROR(__xludf.DUMMYFUNCTION("""COMPUTED_VALUE"""),"Dzelzavas 76")</f>
        <v>Dzelzavas 76</v>
      </c>
      <c r="D462" s="2">
        <f>IFERROR(__xludf.DUMMYFUNCTION("""COMPUTED_VALUE"""),2.0)</f>
        <v>2</v>
      </c>
      <c r="E462" s="2">
        <f>IFERROR(__xludf.DUMMYFUNCTION("""COMPUTED_VALUE"""),50.0)</f>
        <v>50</v>
      </c>
      <c r="F462" s="2">
        <f>IFERROR(__xludf.DUMMYFUNCTION("""COMPUTED_VALUE"""),3.0)</f>
        <v>3</v>
      </c>
      <c r="G462" s="2">
        <f>IFERROR(__xludf.DUMMYFUNCTION("""COMPUTED_VALUE"""),9.0)</f>
        <v>9</v>
      </c>
      <c r="H462" s="2">
        <f>IFERROR(__xludf.DUMMYFUNCTION("""COMPUTED_VALUE"""),602.0)</f>
        <v>602</v>
      </c>
      <c r="I462" s="2" t="str">
        <f>IFERROR(__xludf.DUMMYFUNCTION("""COMPUTED_VALUE"""),"Panel")</f>
        <v>Panel</v>
      </c>
      <c r="J462" s="2" t="str">
        <f>IFERROR(__xludf.DUMMYFUNCTION("""COMPUTED_VALUE"""),"All amenities")</f>
        <v>All amenities</v>
      </c>
      <c r="K462" s="2">
        <f>IFERROR(__xludf.DUMMYFUNCTION("""COMPUTED_VALUE"""),280.0)</f>
        <v>280</v>
      </c>
      <c r="L462" s="2">
        <f>IFERROR(__xludf.DUMMYFUNCTION("""COMPUTED_VALUE"""),56.9550112)</f>
        <v>56.9550112</v>
      </c>
      <c r="M462" s="2">
        <f>IFERROR(__xludf.DUMMYFUNCTION("""COMPUTED_VALUE"""),24.1985621)</f>
        <v>24.1985621</v>
      </c>
    </row>
    <row r="463">
      <c r="A463" s="2" t="str">
        <f>IFERROR(__xludf.DUMMYFUNCTION("""COMPUTED_VALUE"""),"For rent")</f>
        <v>For rent</v>
      </c>
      <c r="B463" s="2" t="str">
        <f>IFERROR(__xludf.DUMMYFUNCTION("""COMPUTED_VALUE"""),"Purvciems")</f>
        <v>Purvciems</v>
      </c>
      <c r="C463" s="2" t="str">
        <f>IFERROR(__xludf.DUMMYFUNCTION("""COMPUTED_VALUE"""),"Dudajeva g. 5")</f>
        <v>Dudajeva g. 5</v>
      </c>
      <c r="D463" s="2">
        <f>IFERROR(__xludf.DUMMYFUNCTION("""COMPUTED_VALUE"""),1.0)</f>
        <v>1</v>
      </c>
      <c r="E463" s="2">
        <f>IFERROR(__xludf.DUMMYFUNCTION("""COMPUTED_VALUE"""),28.0)</f>
        <v>28</v>
      </c>
      <c r="F463" s="2">
        <f>IFERROR(__xludf.DUMMYFUNCTION("""COMPUTED_VALUE"""),4.0)</f>
        <v>4</v>
      </c>
      <c r="G463" s="2">
        <f>IFERROR(__xludf.DUMMYFUNCTION("""COMPUTED_VALUE"""),5.0)</f>
        <v>5</v>
      </c>
      <c r="H463" s="2" t="str">
        <f>IFERROR(__xludf.DUMMYFUNCTION("""COMPUTED_VALUE"""),"LT proj.")</f>
        <v>LT proj.</v>
      </c>
      <c r="I463" s="2" t="str">
        <f>IFERROR(__xludf.DUMMYFUNCTION("""COMPUTED_VALUE"""),"Panel")</f>
        <v>Panel</v>
      </c>
      <c r="J463" s="2" t="str">
        <f>IFERROR(__xludf.DUMMYFUNCTION("""COMPUTED_VALUE"""),"All amenities")</f>
        <v>All amenities</v>
      </c>
      <c r="K463" s="2">
        <f>IFERROR(__xludf.DUMMYFUNCTION("""COMPUTED_VALUE"""),215.0)</f>
        <v>215</v>
      </c>
      <c r="L463" s="2">
        <f>IFERROR(__xludf.DUMMYFUNCTION("""COMPUTED_VALUE"""),56.9570069)</f>
        <v>56.9570069</v>
      </c>
      <c r="M463" s="2">
        <f>IFERROR(__xludf.DUMMYFUNCTION("""COMPUTED_VALUE"""),24.1987368)</f>
        <v>24.1987368</v>
      </c>
    </row>
    <row r="464">
      <c r="A464" s="2" t="str">
        <f>IFERROR(__xludf.DUMMYFUNCTION("""COMPUTED_VALUE"""),"For sale")</f>
        <v>For sale</v>
      </c>
      <c r="B464" s="2" t="str">
        <f>IFERROR(__xludf.DUMMYFUNCTION("""COMPUTED_VALUE"""),"Ķengarags")</f>
        <v>Ķengarags</v>
      </c>
      <c r="C464" s="2" t="str">
        <f>IFERROR(__xludf.DUMMYFUNCTION("""COMPUTED_VALUE"""),"Maskavas 419")</f>
        <v>Maskavas 419</v>
      </c>
      <c r="D464" s="2">
        <f>IFERROR(__xludf.DUMMYFUNCTION("""COMPUTED_VALUE"""),2.0)</f>
        <v>2</v>
      </c>
      <c r="E464" s="2">
        <f>IFERROR(__xludf.DUMMYFUNCTION("""COMPUTED_VALUE"""),47.0)</f>
        <v>47</v>
      </c>
      <c r="F464" s="2">
        <f>IFERROR(__xludf.DUMMYFUNCTION("""COMPUTED_VALUE"""),2.0)</f>
        <v>2</v>
      </c>
      <c r="G464" s="2">
        <f>IFERROR(__xludf.DUMMYFUNCTION("""COMPUTED_VALUE"""),5.0)</f>
        <v>5</v>
      </c>
      <c r="H464" s="2" t="str">
        <f>IFERROR(__xludf.DUMMYFUNCTION("""COMPUTED_VALUE"""),"LT proj.")</f>
        <v>LT proj.</v>
      </c>
      <c r="I464" s="2" t="str">
        <f>IFERROR(__xludf.DUMMYFUNCTION("""COMPUTED_VALUE"""),"Panel")</f>
        <v>Panel</v>
      </c>
      <c r="J464" s="2" t="str">
        <f>IFERROR(__xludf.DUMMYFUNCTION("""COMPUTED_VALUE"""),"All amenities")</f>
        <v>All amenities</v>
      </c>
      <c r="K464" s="2">
        <f>IFERROR(__xludf.DUMMYFUNCTION("""COMPUTED_VALUE"""),43000.0)</f>
        <v>43000</v>
      </c>
      <c r="L464" s="2">
        <f>IFERROR(__xludf.DUMMYFUNCTION("""COMPUTED_VALUE"""),56.8988685)</f>
        <v>56.8988685</v>
      </c>
      <c r="M464" s="2">
        <f>IFERROR(__xludf.DUMMYFUNCTION("""COMPUTED_VALUE"""),24.207307251669)</f>
        <v>24.20730725</v>
      </c>
    </row>
    <row r="465">
      <c r="A465" s="2" t="str">
        <f>IFERROR(__xludf.DUMMYFUNCTION("""COMPUTED_VALUE"""),"For rent")</f>
        <v>For rent</v>
      </c>
      <c r="B465" s="2" t="str">
        <f>IFERROR(__xludf.DUMMYFUNCTION("""COMPUTED_VALUE"""),"Pļavnieki")</f>
        <v>Pļavnieki</v>
      </c>
      <c r="C465" s="2" t="str">
        <f>IFERROR(__xludf.DUMMYFUNCTION("""COMPUTED_VALUE"""),"Pļavnieku 9")</f>
        <v>Pļavnieku 9</v>
      </c>
      <c r="D465" s="2">
        <f>IFERROR(__xludf.DUMMYFUNCTION("""COMPUTED_VALUE"""),1.0)</f>
        <v>1</v>
      </c>
      <c r="E465" s="2">
        <f>IFERROR(__xludf.DUMMYFUNCTION("""COMPUTED_VALUE"""),46.0)</f>
        <v>46</v>
      </c>
      <c r="F465" s="2">
        <f>IFERROR(__xludf.DUMMYFUNCTION("""COMPUTED_VALUE"""),7.0)</f>
        <v>7</v>
      </c>
      <c r="G465" s="2">
        <f>IFERROR(__xludf.DUMMYFUNCTION("""COMPUTED_VALUE"""),9.0)</f>
        <v>9</v>
      </c>
      <c r="H465" s="2" t="str">
        <f>IFERROR(__xludf.DUMMYFUNCTION("""COMPUTED_VALUE"""),"Jaun.")</f>
        <v>Jaun.</v>
      </c>
      <c r="I465" s="2" t="str">
        <f>IFERROR(__xludf.DUMMYFUNCTION("""COMPUTED_VALUE"""),"Brick-Panel")</f>
        <v>Brick-Panel</v>
      </c>
      <c r="J465" s="2" t="str">
        <f>IFERROR(__xludf.DUMMYFUNCTION("""COMPUTED_VALUE"""),"All amenities")</f>
        <v>All amenities</v>
      </c>
      <c r="K465" s="2">
        <f>IFERROR(__xludf.DUMMYFUNCTION("""COMPUTED_VALUE"""),350.0)</f>
        <v>350</v>
      </c>
      <c r="L465" s="2">
        <f>IFERROR(__xludf.DUMMYFUNCTION("""COMPUTED_VALUE"""),56.94203495)</f>
        <v>56.94203495</v>
      </c>
      <c r="M465" s="2">
        <f>IFERROR(__xludf.DUMMYFUNCTION("""COMPUTED_VALUE"""),24.2127513651119)</f>
        <v>24.21275137</v>
      </c>
    </row>
    <row r="466">
      <c r="A466" s="2" t="str">
        <f>IFERROR(__xludf.DUMMYFUNCTION("""COMPUTED_VALUE"""),"For rent")</f>
        <v>For rent</v>
      </c>
      <c r="B466" s="2" t="str">
        <f>IFERROR(__xludf.DUMMYFUNCTION("""COMPUTED_VALUE"""),"Pļavnieki")</f>
        <v>Pļavnieki</v>
      </c>
      <c r="C466" s="2" t="str">
        <f>IFERROR(__xludf.DUMMYFUNCTION("""COMPUTED_VALUE"""),"Grestes 2")</f>
        <v>Grestes 2</v>
      </c>
      <c r="D466" s="2">
        <f>IFERROR(__xludf.DUMMYFUNCTION("""COMPUTED_VALUE"""),1.0)</f>
        <v>1</v>
      </c>
      <c r="E466" s="2">
        <f>IFERROR(__xludf.DUMMYFUNCTION("""COMPUTED_VALUE"""),31.0)</f>
        <v>31</v>
      </c>
      <c r="F466" s="2">
        <f>IFERROR(__xludf.DUMMYFUNCTION("""COMPUTED_VALUE"""),6.0)</f>
        <v>6</v>
      </c>
      <c r="G466" s="2">
        <f>IFERROR(__xludf.DUMMYFUNCTION("""COMPUTED_VALUE"""),9.0)</f>
        <v>9</v>
      </c>
      <c r="H466" s="2">
        <f>IFERROR(__xludf.DUMMYFUNCTION("""COMPUTED_VALUE"""),602.0)</f>
        <v>602</v>
      </c>
      <c r="I466" s="2" t="str">
        <f>IFERROR(__xludf.DUMMYFUNCTION("""COMPUTED_VALUE"""),"Panel")</f>
        <v>Panel</v>
      </c>
      <c r="J466" s="2" t="str">
        <f>IFERROR(__xludf.DUMMYFUNCTION("""COMPUTED_VALUE"""),"All amenities")</f>
        <v>All amenities</v>
      </c>
      <c r="K466" s="2">
        <f>IFERROR(__xludf.DUMMYFUNCTION("""COMPUTED_VALUE"""),285.0)</f>
        <v>285</v>
      </c>
      <c r="L466" s="2">
        <f>IFERROR(__xludf.DUMMYFUNCTION("""COMPUTED_VALUE"""),56.93666555)</f>
        <v>56.93666555</v>
      </c>
      <c r="M466" s="2">
        <f>IFERROR(__xludf.DUMMYFUNCTION("""COMPUTED_VALUE"""),24.20536485)</f>
        <v>24.20536485</v>
      </c>
    </row>
    <row r="467">
      <c r="A467" s="2" t="str">
        <f>IFERROR(__xludf.DUMMYFUNCTION("""COMPUTED_VALUE"""),"For sale")</f>
        <v>For sale</v>
      </c>
      <c r="B467" s="2" t="str">
        <f>IFERROR(__xludf.DUMMYFUNCTION("""COMPUTED_VALUE"""),"Ķengarags")</f>
        <v>Ķengarags</v>
      </c>
      <c r="C467" s="2" t="str">
        <f>IFERROR(__xludf.DUMMYFUNCTION("""COMPUTED_VALUE"""),"Salaspils 12/3")</f>
        <v>Salaspils 12/3</v>
      </c>
      <c r="D467" s="2">
        <f>IFERROR(__xludf.DUMMYFUNCTION("""COMPUTED_VALUE"""),2.0)</f>
        <v>2</v>
      </c>
      <c r="E467" s="2">
        <f>IFERROR(__xludf.DUMMYFUNCTION("""COMPUTED_VALUE"""),48.0)</f>
        <v>48</v>
      </c>
      <c r="F467" s="2">
        <f>IFERROR(__xludf.DUMMYFUNCTION("""COMPUTED_VALUE"""),3.0)</f>
        <v>3</v>
      </c>
      <c r="G467" s="2">
        <f>IFERROR(__xludf.DUMMYFUNCTION("""COMPUTED_VALUE"""),5.0)</f>
        <v>5</v>
      </c>
      <c r="H467" s="2" t="str">
        <f>IFERROR(__xludf.DUMMYFUNCTION("""COMPUTED_VALUE"""),"LT proj.")</f>
        <v>LT proj.</v>
      </c>
      <c r="I467" s="2" t="str">
        <f>IFERROR(__xludf.DUMMYFUNCTION("""COMPUTED_VALUE"""),"Panel")</f>
        <v>Panel</v>
      </c>
      <c r="J467" s="2" t="str">
        <f>IFERROR(__xludf.DUMMYFUNCTION("""COMPUTED_VALUE"""),"All amenities")</f>
        <v>All amenities</v>
      </c>
      <c r="K467" s="2">
        <f>IFERROR(__xludf.DUMMYFUNCTION("""COMPUTED_VALUE"""),42500.0)</f>
        <v>42500</v>
      </c>
      <c r="L467" s="2">
        <f>IFERROR(__xludf.DUMMYFUNCTION("""COMPUTED_VALUE"""),56.8597884)</f>
        <v>56.8597884</v>
      </c>
      <c r="M467" s="2">
        <f>IFERROR(__xludf.DUMMYFUNCTION("""COMPUTED_VALUE"""),24.3083417)</f>
        <v>24.3083417</v>
      </c>
    </row>
    <row r="468">
      <c r="A468" s="2" t="str">
        <f>IFERROR(__xludf.DUMMYFUNCTION("""COMPUTED_VALUE"""),"For rent")</f>
        <v>For rent</v>
      </c>
      <c r="B468" s="2" t="str">
        <f>IFERROR(__xludf.DUMMYFUNCTION("""COMPUTED_VALUE"""),"Ziepniekkalns")</f>
        <v>Ziepniekkalns</v>
      </c>
      <c r="C468" s="2" t="str">
        <f>IFERROR(__xludf.DUMMYFUNCTION("""COMPUTED_VALUE"""),"Īslīces 14")</f>
        <v>Īslīces 14</v>
      </c>
      <c r="D468" s="2">
        <f>IFERROR(__xludf.DUMMYFUNCTION("""COMPUTED_VALUE"""),1.0)</f>
        <v>1</v>
      </c>
      <c r="E468" s="2">
        <f>IFERROR(__xludf.DUMMYFUNCTION("""COMPUTED_VALUE"""),29.0)</f>
        <v>29</v>
      </c>
      <c r="F468" s="2">
        <f>IFERROR(__xludf.DUMMYFUNCTION("""COMPUTED_VALUE"""),2.0)</f>
        <v>2</v>
      </c>
      <c r="G468" s="2">
        <f>IFERROR(__xludf.DUMMYFUNCTION("""COMPUTED_VALUE"""),12.0)</f>
        <v>12</v>
      </c>
      <c r="H468" s="2" t="str">
        <f>IFERROR(__xludf.DUMMYFUNCTION("""COMPUTED_VALUE"""),"M. ģim.")</f>
        <v>M. ģim.</v>
      </c>
      <c r="I468" s="2" t="str">
        <f>IFERROR(__xludf.DUMMYFUNCTION("""COMPUTED_VALUE"""),"Brick")</f>
        <v>Brick</v>
      </c>
      <c r="J468" s="2" t="str">
        <f>IFERROR(__xludf.DUMMYFUNCTION("""COMPUTED_VALUE"""),"All amenities")</f>
        <v>All amenities</v>
      </c>
      <c r="K468" s="2">
        <f>IFERROR(__xludf.DUMMYFUNCTION("""COMPUTED_VALUE"""),220.0)</f>
        <v>220</v>
      </c>
      <c r="L468" s="2">
        <f>IFERROR(__xludf.DUMMYFUNCTION("""COMPUTED_VALUE"""),56.9001589)</f>
        <v>56.9001589</v>
      </c>
      <c r="M468" s="2">
        <f>IFERROR(__xludf.DUMMYFUNCTION("""COMPUTED_VALUE"""),24.0825136321712)</f>
        <v>24.08251363</v>
      </c>
    </row>
    <row r="469">
      <c r="A469" s="2" t="str">
        <f>IFERROR(__xludf.DUMMYFUNCTION("""COMPUTED_VALUE"""),"For rent")</f>
        <v>For rent</v>
      </c>
      <c r="B469" s="2" t="str">
        <f>IFERROR(__xludf.DUMMYFUNCTION("""COMPUTED_VALUE"""),"Torņakalns")</f>
        <v>Torņakalns</v>
      </c>
      <c r="C469" s="2" t="str">
        <f>IFERROR(__xludf.DUMMYFUNCTION("""COMPUTED_VALUE"""),"Jelgavas 63")</f>
        <v>Jelgavas 63</v>
      </c>
      <c r="D469" s="2">
        <f>IFERROR(__xludf.DUMMYFUNCTION("""COMPUTED_VALUE"""),2.0)</f>
        <v>2</v>
      </c>
      <c r="E469" s="2">
        <f>IFERROR(__xludf.DUMMYFUNCTION("""COMPUTED_VALUE"""),57.0)</f>
        <v>57</v>
      </c>
      <c r="F469" s="2">
        <f>IFERROR(__xludf.DUMMYFUNCTION("""COMPUTED_VALUE"""),6.0)</f>
        <v>6</v>
      </c>
      <c r="G469" s="2">
        <f>IFERROR(__xludf.DUMMYFUNCTION("""COMPUTED_VALUE"""),6.0)</f>
        <v>6</v>
      </c>
      <c r="H469" s="2" t="str">
        <f>IFERROR(__xludf.DUMMYFUNCTION("""COMPUTED_VALUE"""),"Jaun.")</f>
        <v>Jaun.</v>
      </c>
      <c r="I469" s="2" t="str">
        <f>IFERROR(__xludf.DUMMYFUNCTION("""COMPUTED_VALUE"""),"Brick-Panel")</f>
        <v>Brick-Panel</v>
      </c>
      <c r="J469" s="2" t="str">
        <f>IFERROR(__xludf.DUMMYFUNCTION("""COMPUTED_VALUE"""),"All amenities")</f>
        <v>All amenities</v>
      </c>
      <c r="K469" s="2">
        <f>IFERROR(__xludf.DUMMYFUNCTION("""COMPUTED_VALUE"""),400.0)</f>
        <v>400</v>
      </c>
      <c r="L469" s="2">
        <f>IFERROR(__xludf.DUMMYFUNCTION("""COMPUTED_VALUE"""),56.9273343)</f>
        <v>56.9273343</v>
      </c>
      <c r="M469" s="2">
        <f>IFERROR(__xludf.DUMMYFUNCTION("""COMPUTED_VALUE"""),24.0927797020755)</f>
        <v>24.0927797</v>
      </c>
    </row>
    <row r="470">
      <c r="A470" s="2" t="str">
        <f>IFERROR(__xludf.DUMMYFUNCTION("""COMPUTED_VALUE"""),"For rent")</f>
        <v>For rent</v>
      </c>
      <c r="B470" s="2" t="str">
        <f>IFERROR(__xludf.DUMMYFUNCTION("""COMPUTED_VALUE"""),"Iļģuciems")</f>
        <v>Iļģuciems</v>
      </c>
      <c r="C470" s="2" t="str">
        <f>IFERROR(__xludf.DUMMYFUNCTION("""COMPUTED_VALUE"""),"Stūres 2")</f>
        <v>Stūres 2</v>
      </c>
      <c r="D470" s="2">
        <f>IFERROR(__xludf.DUMMYFUNCTION("""COMPUTED_VALUE"""),1.0)</f>
        <v>1</v>
      </c>
      <c r="E470" s="2">
        <f>IFERROR(__xludf.DUMMYFUNCTION("""COMPUTED_VALUE"""),18.0)</f>
        <v>18</v>
      </c>
      <c r="F470" s="2">
        <f>IFERROR(__xludf.DUMMYFUNCTION("""COMPUTED_VALUE"""),5.0)</f>
        <v>5</v>
      </c>
      <c r="G470" s="2">
        <f>IFERROR(__xludf.DUMMYFUNCTION("""COMPUTED_VALUE"""),5.0)</f>
        <v>5</v>
      </c>
      <c r="H470" s="2" t="str">
        <f>IFERROR(__xludf.DUMMYFUNCTION("""COMPUTED_VALUE"""),"M. ģim.")</f>
        <v>M. ģim.</v>
      </c>
      <c r="I470" s="2" t="str">
        <f>IFERROR(__xludf.DUMMYFUNCTION("""COMPUTED_VALUE"""),"Brick")</f>
        <v>Brick</v>
      </c>
      <c r="J470" s="2" t="str">
        <f>IFERROR(__xludf.DUMMYFUNCTION("""COMPUTED_VALUE"""),"All amenities")</f>
        <v>All amenities</v>
      </c>
      <c r="K470" s="2">
        <f>IFERROR(__xludf.DUMMYFUNCTION("""COMPUTED_VALUE"""),100.0)</f>
        <v>100</v>
      </c>
      <c r="L470" s="2">
        <f>IFERROR(__xludf.DUMMYFUNCTION("""COMPUTED_VALUE"""),56.9692203)</f>
        <v>56.9692203</v>
      </c>
      <c r="M470" s="2">
        <f>IFERROR(__xludf.DUMMYFUNCTION("""COMPUTED_VALUE"""),24.0694937318141)</f>
        <v>24.06949373</v>
      </c>
    </row>
    <row r="471">
      <c r="A471" s="2" t="str">
        <f>IFERROR(__xludf.DUMMYFUNCTION("""COMPUTED_VALUE"""),"For rent")</f>
        <v>For rent</v>
      </c>
      <c r="B471" s="2" t="str">
        <f>IFERROR(__xludf.DUMMYFUNCTION("""COMPUTED_VALUE"""),"Zolitūde")</f>
        <v>Zolitūde</v>
      </c>
      <c r="C471" s="2" t="str">
        <f>IFERROR(__xludf.DUMMYFUNCTION("""COMPUTED_VALUE"""),"Gramzdas 80")</f>
        <v>Gramzdas 80</v>
      </c>
      <c r="D471" s="2">
        <f>IFERROR(__xludf.DUMMYFUNCTION("""COMPUTED_VALUE"""),1.0)</f>
        <v>1</v>
      </c>
      <c r="E471" s="2">
        <f>IFERROR(__xludf.DUMMYFUNCTION("""COMPUTED_VALUE"""),55.0)</f>
        <v>55</v>
      </c>
      <c r="F471" s="2">
        <f>IFERROR(__xludf.DUMMYFUNCTION("""COMPUTED_VALUE"""),1.0)</f>
        <v>1</v>
      </c>
      <c r="G471" s="2">
        <f>IFERROR(__xludf.DUMMYFUNCTION("""COMPUTED_VALUE"""),4.0)</f>
        <v>4</v>
      </c>
      <c r="H471" s="2" t="str">
        <f>IFERROR(__xludf.DUMMYFUNCTION("""COMPUTED_VALUE"""),"Jaun.")</f>
        <v>Jaun.</v>
      </c>
      <c r="I471" s="2" t="str">
        <f>IFERROR(__xludf.DUMMYFUNCTION("""COMPUTED_VALUE"""),"Panel")</f>
        <v>Panel</v>
      </c>
      <c r="J471" s="2" t="str">
        <f>IFERROR(__xludf.DUMMYFUNCTION("""COMPUTED_VALUE"""),"All amenities")</f>
        <v>All amenities</v>
      </c>
      <c r="K471" s="2">
        <f>IFERROR(__xludf.DUMMYFUNCTION("""COMPUTED_VALUE"""),175.0)</f>
        <v>175</v>
      </c>
      <c r="L471" s="2">
        <f>IFERROR(__xludf.DUMMYFUNCTION("""COMPUTED_VALUE"""),56.94145735)</f>
        <v>56.94145735</v>
      </c>
      <c r="M471" s="2">
        <f>IFERROR(__xludf.DUMMYFUNCTION("""COMPUTED_VALUE"""),24.0030188392346)</f>
        <v>24.00301884</v>
      </c>
    </row>
    <row r="472">
      <c r="A472" s="2" t="str">
        <f>IFERROR(__xludf.DUMMYFUNCTION("""COMPUTED_VALUE"""),"For sale")</f>
        <v>For sale</v>
      </c>
      <c r="B472" s="2" t="str">
        <f>IFERROR(__xludf.DUMMYFUNCTION("""COMPUTED_VALUE"""),"Purvciems")</f>
        <v>Purvciems</v>
      </c>
      <c r="C472" s="2" t="str">
        <f>IFERROR(__xludf.DUMMYFUNCTION("""COMPUTED_VALUE"""),"Burtnieku 33")</f>
        <v>Burtnieku 33</v>
      </c>
      <c r="D472" s="2">
        <f>IFERROR(__xludf.DUMMYFUNCTION("""COMPUTED_VALUE"""),1.0)</f>
        <v>1</v>
      </c>
      <c r="E472" s="2">
        <f>IFERROR(__xludf.DUMMYFUNCTION("""COMPUTED_VALUE"""),18.0)</f>
        <v>18</v>
      </c>
      <c r="F472" s="2">
        <f>IFERROR(__xludf.DUMMYFUNCTION("""COMPUTED_VALUE"""),5.0)</f>
        <v>5</v>
      </c>
      <c r="G472" s="2">
        <f>IFERROR(__xludf.DUMMYFUNCTION("""COMPUTED_VALUE"""),5.0)</f>
        <v>5</v>
      </c>
      <c r="H472" s="2" t="str">
        <f>IFERROR(__xludf.DUMMYFUNCTION("""COMPUTED_VALUE"""),"Specpr.")</f>
        <v>Specpr.</v>
      </c>
      <c r="I472" s="2" t="str">
        <f>IFERROR(__xludf.DUMMYFUNCTION("""COMPUTED_VALUE"""),"Panel-Brick")</f>
        <v>Panel-Brick</v>
      </c>
      <c r="J472" s="2" t="str">
        <f>IFERROR(__xludf.DUMMYFUNCTION("""COMPUTED_VALUE"""),"Partial amenities")</f>
        <v>Partial amenities</v>
      </c>
      <c r="K472" s="2">
        <f>IFERROR(__xludf.DUMMYFUNCTION("""COMPUTED_VALUE"""),12000.0)</f>
        <v>12000</v>
      </c>
      <c r="L472" s="2">
        <f>IFERROR(__xludf.DUMMYFUNCTION("""COMPUTED_VALUE"""),56.9685701)</f>
        <v>56.9685701</v>
      </c>
      <c r="M472" s="2">
        <f>IFERROR(__xludf.DUMMYFUNCTION("""COMPUTED_VALUE"""),24.1819824)</f>
        <v>24.1819824</v>
      </c>
    </row>
    <row r="473">
      <c r="A473" s="2" t="str">
        <f>IFERROR(__xludf.DUMMYFUNCTION("""COMPUTED_VALUE"""),"For sale")</f>
        <v>For sale</v>
      </c>
      <c r="B473" s="2" t="str">
        <f>IFERROR(__xludf.DUMMYFUNCTION("""COMPUTED_VALUE"""),"centrs")</f>
        <v>centrs</v>
      </c>
      <c r="C473" s="2" t="str">
        <f>IFERROR(__xludf.DUMMYFUNCTION("""COMPUTED_VALUE"""),"Katrīnas d. 24/3")</f>
        <v>Katrīnas d. 24/3</v>
      </c>
      <c r="D473" s="2">
        <f>IFERROR(__xludf.DUMMYFUNCTION("""COMPUTED_VALUE"""),2.0)</f>
        <v>2</v>
      </c>
      <c r="E473" s="2">
        <f>IFERROR(__xludf.DUMMYFUNCTION("""COMPUTED_VALUE"""),46.0)</f>
        <v>46</v>
      </c>
      <c r="F473" s="2">
        <f>IFERROR(__xludf.DUMMYFUNCTION("""COMPUTED_VALUE"""),1.0)</f>
        <v>1</v>
      </c>
      <c r="G473" s="2">
        <f>IFERROR(__xludf.DUMMYFUNCTION("""COMPUTED_VALUE"""),2.0)</f>
        <v>2</v>
      </c>
      <c r="H473" s="2" t="str">
        <f>IFERROR(__xludf.DUMMYFUNCTION("""COMPUTED_VALUE"""),"Staļina")</f>
        <v>Staļina</v>
      </c>
      <c r="I473" s="2" t="str">
        <f>IFERROR(__xludf.DUMMYFUNCTION("""COMPUTED_VALUE"""),"Brick")</f>
        <v>Brick</v>
      </c>
      <c r="J473" s="2" t="str">
        <f>IFERROR(__xludf.DUMMYFUNCTION("""COMPUTED_VALUE"""),"All amenities")</f>
        <v>All amenities</v>
      </c>
      <c r="K473" s="2">
        <f>IFERROR(__xludf.DUMMYFUNCTION("""COMPUTED_VALUE"""),40000.0)</f>
        <v>40000</v>
      </c>
      <c r="L473" s="2" t="str">
        <f>IFERROR(__xludf.DUMMYFUNCTION("""COMPUTED_VALUE"""),"NaN")</f>
        <v>NaN</v>
      </c>
      <c r="M473" s="2" t="str">
        <f>IFERROR(__xludf.DUMMYFUNCTION("""COMPUTED_VALUE"""),"NaN")</f>
        <v>NaN</v>
      </c>
    </row>
    <row r="474">
      <c r="A474" s="2" t="str">
        <f>IFERROR(__xludf.DUMMYFUNCTION("""COMPUTED_VALUE"""),"For rent")</f>
        <v>For rent</v>
      </c>
      <c r="B474" s="2" t="str">
        <f>IFERROR(__xludf.DUMMYFUNCTION("""COMPUTED_VALUE"""),"centrs")</f>
        <v>centrs</v>
      </c>
      <c r="C474" s="2" t="str">
        <f>IFERROR(__xludf.DUMMYFUNCTION("""COMPUTED_VALUE"""),"Bruņinieku 115")</f>
        <v>Bruņinieku 115</v>
      </c>
      <c r="D474" s="2">
        <f>IFERROR(__xludf.DUMMYFUNCTION("""COMPUTED_VALUE"""),1.0)</f>
        <v>1</v>
      </c>
      <c r="E474" s="2">
        <f>IFERROR(__xludf.DUMMYFUNCTION("""COMPUTED_VALUE"""),22.0)</f>
        <v>22</v>
      </c>
      <c r="F474" s="2">
        <f>IFERROR(__xludf.DUMMYFUNCTION("""COMPUTED_VALUE"""),1.0)</f>
        <v>1</v>
      </c>
      <c r="G474" s="2">
        <f>IFERROR(__xludf.DUMMYFUNCTION("""COMPUTED_VALUE"""),4.0)</f>
        <v>4</v>
      </c>
      <c r="H474" s="2" t="str">
        <f>IFERROR(__xludf.DUMMYFUNCTION("""COMPUTED_VALUE"""),"Renov.")</f>
        <v>Renov.</v>
      </c>
      <c r="I474" s="2" t="str">
        <f>IFERROR(__xludf.DUMMYFUNCTION("""COMPUTED_VALUE"""),"Masonry")</f>
        <v>Masonry</v>
      </c>
      <c r="J474" s="2" t="str">
        <f>IFERROR(__xludf.DUMMYFUNCTION("""COMPUTED_VALUE"""),"All amenities")</f>
        <v>All amenities</v>
      </c>
      <c r="K474" s="2">
        <f>IFERROR(__xludf.DUMMYFUNCTION("""COMPUTED_VALUE"""),250.0)</f>
        <v>250</v>
      </c>
      <c r="L474" s="2">
        <f>IFERROR(__xludf.DUMMYFUNCTION("""COMPUTED_VALUE"""),56.949971)</f>
        <v>56.949971</v>
      </c>
      <c r="M474" s="2">
        <f>IFERROR(__xludf.DUMMYFUNCTION("""COMPUTED_VALUE"""),24.1441423352317)</f>
        <v>24.14414234</v>
      </c>
    </row>
    <row r="475">
      <c r="A475" s="2" t="str">
        <f>IFERROR(__xludf.DUMMYFUNCTION("""COMPUTED_VALUE"""),"For rent")</f>
        <v>For rent</v>
      </c>
      <c r="B475" s="2" t="str">
        <f>IFERROR(__xludf.DUMMYFUNCTION("""COMPUTED_VALUE"""),"Sarkandaugava")</f>
        <v>Sarkandaugava</v>
      </c>
      <c r="C475" s="2" t="str">
        <f>IFERROR(__xludf.DUMMYFUNCTION("""COMPUTED_VALUE"""),"Tilta 4")</f>
        <v>Tilta 4</v>
      </c>
      <c r="D475" s="2">
        <f>IFERROR(__xludf.DUMMYFUNCTION("""COMPUTED_VALUE"""),1.0)</f>
        <v>1</v>
      </c>
      <c r="E475" s="2">
        <f>IFERROR(__xludf.DUMMYFUNCTION("""COMPUTED_VALUE"""),38.0)</f>
        <v>38</v>
      </c>
      <c r="F475" s="2">
        <f>IFERROR(__xludf.DUMMYFUNCTION("""COMPUTED_VALUE"""),4.0)</f>
        <v>4</v>
      </c>
      <c r="G475" s="2">
        <f>IFERROR(__xludf.DUMMYFUNCTION("""COMPUTED_VALUE"""),4.0)</f>
        <v>4</v>
      </c>
      <c r="H475" s="2" t="str">
        <f>IFERROR(__xludf.DUMMYFUNCTION("""COMPUTED_VALUE"""),"P. kara")</f>
        <v>P. kara</v>
      </c>
      <c r="I475" s="2" t="str">
        <f>IFERROR(__xludf.DUMMYFUNCTION("""COMPUTED_VALUE"""),"Masonry")</f>
        <v>Masonry</v>
      </c>
      <c r="J475" s="2" t="str">
        <f>IFERROR(__xludf.DUMMYFUNCTION("""COMPUTED_VALUE"""),"All amenities")</f>
        <v>All amenities</v>
      </c>
      <c r="K475" s="2">
        <f>IFERROR(__xludf.DUMMYFUNCTION("""COMPUTED_VALUE"""),300.0)</f>
        <v>300</v>
      </c>
      <c r="L475" s="2">
        <f>IFERROR(__xludf.DUMMYFUNCTION("""COMPUTED_VALUE"""),56.99330265)</f>
        <v>56.99330265</v>
      </c>
      <c r="M475" s="2">
        <f>IFERROR(__xludf.DUMMYFUNCTION("""COMPUTED_VALUE"""),24.1239600297848)</f>
        <v>24.12396003</v>
      </c>
    </row>
    <row r="476">
      <c r="A476" s="2" t="str">
        <f>IFERROR(__xludf.DUMMYFUNCTION("""COMPUTED_VALUE"""),"For rent")</f>
        <v>For rent</v>
      </c>
      <c r="B476" s="2" t="str">
        <f>IFERROR(__xludf.DUMMYFUNCTION("""COMPUTED_VALUE"""),"Maskavas priekšpilsēta")</f>
        <v>Maskavas priekšpilsēta</v>
      </c>
      <c r="C476" s="2" t="str">
        <f>IFERROR(__xludf.DUMMYFUNCTION("""COMPUTED_VALUE"""),"Viļānu 6")</f>
        <v>Viļānu 6</v>
      </c>
      <c r="D476" s="2">
        <f>IFERROR(__xludf.DUMMYFUNCTION("""COMPUTED_VALUE"""),1.0)</f>
        <v>1</v>
      </c>
      <c r="E476" s="2">
        <f>IFERROR(__xludf.DUMMYFUNCTION("""COMPUTED_VALUE"""),37.0)</f>
        <v>37</v>
      </c>
      <c r="F476" s="2">
        <f>IFERROR(__xludf.DUMMYFUNCTION("""COMPUTED_VALUE"""),5.0)</f>
        <v>5</v>
      </c>
      <c r="G476" s="2">
        <f>IFERROR(__xludf.DUMMYFUNCTION("""COMPUTED_VALUE"""),5.0)</f>
        <v>5</v>
      </c>
      <c r="H476" s="2" t="str">
        <f>IFERROR(__xludf.DUMMYFUNCTION("""COMPUTED_VALUE"""),"LT proj.")</f>
        <v>LT proj.</v>
      </c>
      <c r="I476" s="2" t="str">
        <f>IFERROR(__xludf.DUMMYFUNCTION("""COMPUTED_VALUE"""),"Panel")</f>
        <v>Panel</v>
      </c>
      <c r="J476" s="2" t="str">
        <f>IFERROR(__xludf.DUMMYFUNCTION("""COMPUTED_VALUE"""),"All amenities")</f>
        <v>All amenities</v>
      </c>
      <c r="K476" s="2">
        <f>IFERROR(__xludf.DUMMYFUNCTION("""COMPUTED_VALUE"""),280.0)</f>
        <v>280</v>
      </c>
      <c r="L476" s="2">
        <f>IFERROR(__xludf.DUMMYFUNCTION("""COMPUTED_VALUE"""),56.9397657)</f>
        <v>56.9397657</v>
      </c>
      <c r="M476" s="2">
        <f>IFERROR(__xludf.DUMMYFUNCTION("""COMPUTED_VALUE"""),24.1531645)</f>
        <v>24.1531645</v>
      </c>
    </row>
    <row r="477">
      <c r="A477" s="2" t="str">
        <f>IFERROR(__xludf.DUMMYFUNCTION("""COMPUTED_VALUE"""),"For rent")</f>
        <v>For rent</v>
      </c>
      <c r="B477" s="2" t="str">
        <f>IFERROR(__xludf.DUMMYFUNCTION("""COMPUTED_VALUE"""),"centrs")</f>
        <v>centrs</v>
      </c>
      <c r="C477" s="2" t="str">
        <f>IFERROR(__xludf.DUMMYFUNCTION("""COMPUTED_VALUE"""),"Marijas 16")</f>
        <v>Marijas 16</v>
      </c>
      <c r="D477" s="2">
        <f>IFERROR(__xludf.DUMMYFUNCTION("""COMPUTED_VALUE"""),4.0)</f>
        <v>4</v>
      </c>
      <c r="E477" s="2">
        <f>IFERROR(__xludf.DUMMYFUNCTION("""COMPUTED_VALUE"""),104.0)</f>
        <v>104</v>
      </c>
      <c r="F477" s="2">
        <f>IFERROR(__xludf.DUMMYFUNCTION("""COMPUTED_VALUE"""),4.0)</f>
        <v>4</v>
      </c>
      <c r="G477" s="2">
        <f>IFERROR(__xludf.DUMMYFUNCTION("""COMPUTED_VALUE"""),6.0)</f>
        <v>6</v>
      </c>
      <c r="H477" s="2" t="str">
        <f>IFERROR(__xludf.DUMMYFUNCTION("""COMPUTED_VALUE"""),"Renov.")</f>
        <v>Renov.</v>
      </c>
      <c r="I477" s="2" t="str">
        <f>IFERROR(__xludf.DUMMYFUNCTION("""COMPUTED_VALUE"""),"Masonry")</f>
        <v>Masonry</v>
      </c>
      <c r="J477" s="2" t="str">
        <f>IFERROR(__xludf.DUMMYFUNCTION("""COMPUTED_VALUE"""),"All amenities")</f>
        <v>All amenities</v>
      </c>
      <c r="K477" s="2">
        <f>IFERROR(__xludf.DUMMYFUNCTION("""COMPUTED_VALUE"""),850.0)</f>
        <v>850</v>
      </c>
      <c r="L477" s="2">
        <f>IFERROR(__xludf.DUMMYFUNCTION("""COMPUTED_VALUE"""),56.9505796)</f>
        <v>56.9505796</v>
      </c>
      <c r="M477" s="2">
        <f>IFERROR(__xludf.DUMMYFUNCTION("""COMPUTED_VALUE"""),24.1255938)</f>
        <v>24.1255938</v>
      </c>
    </row>
    <row r="478">
      <c r="A478" s="2" t="str">
        <f>IFERROR(__xludf.DUMMYFUNCTION("""COMPUTED_VALUE"""),"For sale")</f>
        <v>For sale</v>
      </c>
      <c r="B478" s="2" t="str">
        <f>IFERROR(__xludf.DUMMYFUNCTION("""COMPUTED_VALUE"""),"Pļavnieki")</f>
        <v>Pļavnieki</v>
      </c>
      <c r="C478" s="2" t="str">
        <f>IFERROR(__xludf.DUMMYFUNCTION("""COMPUTED_VALUE"""),"Rudens 9")</f>
        <v>Rudens 9</v>
      </c>
      <c r="D478" s="2">
        <f>IFERROR(__xludf.DUMMYFUNCTION("""COMPUTED_VALUE"""),2.0)</f>
        <v>2</v>
      </c>
      <c r="E478" s="2">
        <f>IFERROR(__xludf.DUMMYFUNCTION("""COMPUTED_VALUE"""),51.0)</f>
        <v>51</v>
      </c>
      <c r="F478" s="2">
        <f>IFERROR(__xludf.DUMMYFUNCTION("""COMPUTED_VALUE"""),2.0)</f>
        <v>2</v>
      </c>
      <c r="G478" s="2">
        <f>IFERROR(__xludf.DUMMYFUNCTION("""COMPUTED_VALUE"""),9.0)</f>
        <v>9</v>
      </c>
      <c r="H478" s="2">
        <f>IFERROR(__xludf.DUMMYFUNCTION("""COMPUTED_VALUE"""),602.0)</f>
        <v>602</v>
      </c>
      <c r="I478" s="2" t="str">
        <f>IFERROR(__xludf.DUMMYFUNCTION("""COMPUTED_VALUE"""),"Panel")</f>
        <v>Panel</v>
      </c>
      <c r="J478" s="2" t="str">
        <f>IFERROR(__xludf.DUMMYFUNCTION("""COMPUTED_VALUE"""),"All amenities")</f>
        <v>All amenities</v>
      </c>
      <c r="K478" s="2">
        <f>IFERROR(__xludf.DUMMYFUNCTION("""COMPUTED_VALUE"""),54000.0)</f>
        <v>54000</v>
      </c>
      <c r="L478" s="2">
        <f>IFERROR(__xludf.DUMMYFUNCTION("""COMPUTED_VALUE"""),56.9385506499999)</f>
        <v>56.93855065</v>
      </c>
      <c r="M478" s="2">
        <f>IFERROR(__xludf.DUMMYFUNCTION("""COMPUTED_VALUE"""),24.201576660629)</f>
        <v>24.20157666</v>
      </c>
    </row>
    <row r="479">
      <c r="A479" s="2" t="str">
        <f>IFERROR(__xludf.DUMMYFUNCTION("""COMPUTED_VALUE"""),"For sale")</f>
        <v>For sale</v>
      </c>
      <c r="B479" s="2" t="str">
        <f>IFERROR(__xludf.DUMMYFUNCTION("""COMPUTED_VALUE"""),"Ziepniekkalns")</f>
        <v>Ziepniekkalns</v>
      </c>
      <c r="C479" s="2" t="str">
        <f>IFERROR(__xludf.DUMMYFUNCTION("""COMPUTED_VALUE"""),"Komētas 26")</f>
        <v>Komētas 26</v>
      </c>
      <c r="D479" s="2">
        <f>IFERROR(__xludf.DUMMYFUNCTION("""COMPUTED_VALUE"""),3.0)</f>
        <v>3</v>
      </c>
      <c r="E479" s="2">
        <f>IFERROR(__xludf.DUMMYFUNCTION("""COMPUTED_VALUE"""),77.0)</f>
        <v>77</v>
      </c>
      <c r="F479" s="2">
        <f>IFERROR(__xludf.DUMMYFUNCTION("""COMPUTED_VALUE"""),1.0)</f>
        <v>1</v>
      </c>
      <c r="G479" s="2">
        <f>IFERROR(__xludf.DUMMYFUNCTION("""COMPUTED_VALUE"""),4.0)</f>
        <v>4</v>
      </c>
      <c r="H479" s="2" t="str">
        <f>IFERROR(__xludf.DUMMYFUNCTION("""COMPUTED_VALUE"""),"Jaun.")</f>
        <v>Jaun.</v>
      </c>
      <c r="I479" s="2" t="str">
        <f>IFERROR(__xludf.DUMMYFUNCTION("""COMPUTED_VALUE"""),"Panel")</f>
        <v>Panel</v>
      </c>
      <c r="J479" s="2" t="str">
        <f>IFERROR(__xludf.DUMMYFUNCTION("""COMPUTED_VALUE"""),"All amenities")</f>
        <v>All amenities</v>
      </c>
      <c r="K479" s="2">
        <f>IFERROR(__xludf.DUMMYFUNCTION("""COMPUTED_VALUE"""),109000.0)</f>
        <v>109000</v>
      </c>
      <c r="L479" s="2">
        <f>IFERROR(__xludf.DUMMYFUNCTION("""COMPUTED_VALUE"""),56.914968)</f>
        <v>56.914968</v>
      </c>
      <c r="M479" s="2">
        <f>IFERROR(__xludf.DUMMYFUNCTION("""COMPUTED_VALUE"""),24.12289)</f>
        <v>24.12289</v>
      </c>
    </row>
    <row r="480">
      <c r="A480" s="2" t="str">
        <f>IFERROR(__xludf.DUMMYFUNCTION("""COMPUTED_VALUE"""),"For sale")</f>
        <v>For sale</v>
      </c>
      <c r="B480" s="2" t="str">
        <f>IFERROR(__xludf.DUMMYFUNCTION("""COMPUTED_VALUE"""),"Ziepniekkalns")</f>
        <v>Ziepniekkalns</v>
      </c>
      <c r="C480" s="2" t="str">
        <f>IFERROR(__xludf.DUMMYFUNCTION("""COMPUTED_VALUE"""),"Komētas 32")</f>
        <v>Komētas 32</v>
      </c>
      <c r="D480" s="2">
        <f>IFERROR(__xludf.DUMMYFUNCTION("""COMPUTED_VALUE"""),2.0)</f>
        <v>2</v>
      </c>
      <c r="E480" s="2">
        <f>IFERROR(__xludf.DUMMYFUNCTION("""COMPUTED_VALUE"""),65.0)</f>
        <v>65</v>
      </c>
      <c r="F480" s="2">
        <f>IFERROR(__xludf.DUMMYFUNCTION("""COMPUTED_VALUE"""),1.0)</f>
        <v>1</v>
      </c>
      <c r="G480" s="2">
        <f>IFERROR(__xludf.DUMMYFUNCTION("""COMPUTED_VALUE"""),4.0)</f>
        <v>4</v>
      </c>
      <c r="H480" s="2" t="str">
        <f>IFERROR(__xludf.DUMMYFUNCTION("""COMPUTED_VALUE"""),"Jaun.")</f>
        <v>Jaun.</v>
      </c>
      <c r="I480" s="2" t="str">
        <f>IFERROR(__xludf.DUMMYFUNCTION("""COMPUTED_VALUE"""),"Panel")</f>
        <v>Panel</v>
      </c>
      <c r="J480" s="2" t="str">
        <f>IFERROR(__xludf.DUMMYFUNCTION("""COMPUTED_VALUE"""),"All amenities")</f>
        <v>All amenities</v>
      </c>
      <c r="K480" s="2">
        <f>IFERROR(__xludf.DUMMYFUNCTION("""COMPUTED_VALUE"""),89000.0)</f>
        <v>89000</v>
      </c>
      <c r="L480" s="2">
        <f>IFERROR(__xludf.DUMMYFUNCTION("""COMPUTED_VALUE"""),56.914968)</f>
        <v>56.914968</v>
      </c>
      <c r="M480" s="2">
        <f>IFERROR(__xludf.DUMMYFUNCTION("""COMPUTED_VALUE"""),24.12289)</f>
        <v>24.12289</v>
      </c>
    </row>
    <row r="481">
      <c r="A481" s="2" t="str">
        <f>IFERROR(__xludf.DUMMYFUNCTION("""COMPUTED_VALUE"""),"For sale")</f>
        <v>For sale</v>
      </c>
      <c r="B481" s="2" t="str">
        <f>IFERROR(__xludf.DUMMYFUNCTION("""COMPUTED_VALUE"""),"Zasulauks")</f>
        <v>Zasulauks</v>
      </c>
      <c r="C481" s="2" t="str">
        <f>IFERROR(__xludf.DUMMYFUNCTION("""COMPUTED_VALUE"""),"Tapešu 23")</f>
        <v>Tapešu 23</v>
      </c>
      <c r="D481" s="2">
        <f>IFERROR(__xludf.DUMMYFUNCTION("""COMPUTED_VALUE"""),2.0)</f>
        <v>2</v>
      </c>
      <c r="E481" s="2">
        <f>IFERROR(__xludf.DUMMYFUNCTION("""COMPUTED_VALUE"""),38.0)</f>
        <v>38</v>
      </c>
      <c r="F481" s="2">
        <f>IFERROR(__xludf.DUMMYFUNCTION("""COMPUTED_VALUE"""),2.0)</f>
        <v>2</v>
      </c>
      <c r="G481" s="2">
        <f>IFERROR(__xludf.DUMMYFUNCTION("""COMPUTED_VALUE"""),5.0)</f>
        <v>5</v>
      </c>
      <c r="H481" s="2" t="str">
        <f>IFERROR(__xludf.DUMMYFUNCTION("""COMPUTED_VALUE"""),"Specpr.")</f>
        <v>Specpr.</v>
      </c>
      <c r="I481" s="2" t="str">
        <f>IFERROR(__xludf.DUMMYFUNCTION("""COMPUTED_VALUE"""),"Brick")</f>
        <v>Brick</v>
      </c>
      <c r="J481" s="2" t="str">
        <f>IFERROR(__xludf.DUMMYFUNCTION("""COMPUTED_VALUE"""),"All amenities")</f>
        <v>All amenities</v>
      </c>
      <c r="K481" s="2">
        <f>IFERROR(__xludf.DUMMYFUNCTION("""COMPUTED_VALUE"""),41000.0)</f>
        <v>41000</v>
      </c>
      <c r="L481" s="2">
        <f>IFERROR(__xludf.DUMMYFUNCTION("""COMPUTED_VALUE"""),56.9483586)</f>
        <v>56.9483586</v>
      </c>
      <c r="M481" s="2">
        <f>IFERROR(__xludf.DUMMYFUNCTION("""COMPUTED_VALUE"""),24.0478995119403)</f>
        <v>24.04789951</v>
      </c>
    </row>
    <row r="482">
      <c r="A482" s="2" t="str">
        <f>IFERROR(__xludf.DUMMYFUNCTION("""COMPUTED_VALUE"""),"For sale")</f>
        <v>For sale</v>
      </c>
      <c r="B482" s="2" t="str">
        <f>IFERROR(__xludf.DUMMYFUNCTION("""COMPUTED_VALUE"""),"Zolitūde")</f>
        <v>Zolitūde</v>
      </c>
      <c r="C482" s="2" t="str">
        <f>IFERROR(__xludf.DUMMYFUNCTION("""COMPUTED_VALUE"""),"Bieziņa 3")</f>
        <v>Bieziņa 3</v>
      </c>
      <c r="D482" s="2">
        <f>IFERROR(__xludf.DUMMYFUNCTION("""COMPUTED_VALUE"""),2.0)</f>
        <v>2</v>
      </c>
      <c r="E482" s="2">
        <f>IFERROR(__xludf.DUMMYFUNCTION("""COMPUTED_VALUE"""),58.0)</f>
        <v>58</v>
      </c>
      <c r="F482" s="2">
        <f>IFERROR(__xludf.DUMMYFUNCTION("""COMPUTED_VALUE"""),9.0)</f>
        <v>9</v>
      </c>
      <c r="G482" s="2">
        <f>IFERROR(__xludf.DUMMYFUNCTION("""COMPUTED_VALUE"""),10.0)</f>
        <v>10</v>
      </c>
      <c r="H482" s="2">
        <f>IFERROR(__xludf.DUMMYFUNCTION("""COMPUTED_VALUE"""),119.0)</f>
        <v>119</v>
      </c>
      <c r="I482" s="2" t="str">
        <f>IFERROR(__xludf.DUMMYFUNCTION("""COMPUTED_VALUE"""),"Panel")</f>
        <v>Panel</v>
      </c>
      <c r="J482" s="2" t="str">
        <f>IFERROR(__xludf.DUMMYFUNCTION("""COMPUTED_VALUE"""),"All amenities")</f>
        <v>All amenities</v>
      </c>
      <c r="K482" s="2">
        <f>IFERROR(__xludf.DUMMYFUNCTION("""COMPUTED_VALUE"""),50000.0)</f>
        <v>50000</v>
      </c>
      <c r="L482" s="2">
        <f>IFERROR(__xludf.DUMMYFUNCTION("""COMPUTED_VALUE"""),56.94454425)</f>
        <v>56.94454425</v>
      </c>
      <c r="M482" s="2">
        <f>IFERROR(__xludf.DUMMYFUNCTION("""COMPUTED_VALUE"""),24.0173908499999)</f>
        <v>24.01739085</v>
      </c>
    </row>
    <row r="483">
      <c r="A483" s="2" t="str">
        <f>IFERROR(__xludf.DUMMYFUNCTION("""COMPUTED_VALUE"""),"For sale")</f>
        <v>For sale</v>
      </c>
      <c r="B483" s="2" t="str">
        <f>IFERROR(__xludf.DUMMYFUNCTION("""COMPUTED_VALUE"""),"Imanta")</f>
        <v>Imanta</v>
      </c>
      <c r="C483" s="2" t="str">
        <f>IFERROR(__xludf.DUMMYFUNCTION("""COMPUTED_VALUE"""),"Anniņmuižas bulvāris 38")</f>
        <v>Anniņmuižas bulvāris 38</v>
      </c>
      <c r="D483" s="2">
        <f>IFERROR(__xludf.DUMMYFUNCTION("""COMPUTED_VALUE"""),3.0)</f>
        <v>3</v>
      </c>
      <c r="E483" s="2">
        <f>IFERROR(__xludf.DUMMYFUNCTION("""COMPUTED_VALUE"""),101.0)</f>
        <v>101</v>
      </c>
      <c r="F483" s="2">
        <f>IFERROR(__xludf.DUMMYFUNCTION("""COMPUTED_VALUE"""),4.0)</f>
        <v>4</v>
      </c>
      <c r="G483" s="2">
        <f>IFERROR(__xludf.DUMMYFUNCTION("""COMPUTED_VALUE"""),18.0)</f>
        <v>18</v>
      </c>
      <c r="H483" s="2" t="str">
        <f>IFERROR(__xludf.DUMMYFUNCTION("""COMPUTED_VALUE"""),"Jaun.")</f>
        <v>Jaun.</v>
      </c>
      <c r="I483" s="2" t="str">
        <f>IFERROR(__xludf.DUMMYFUNCTION("""COMPUTED_VALUE"""),"Brick-Panel")</f>
        <v>Brick-Panel</v>
      </c>
      <c r="J483" s="2" t="str">
        <f>IFERROR(__xludf.DUMMYFUNCTION("""COMPUTED_VALUE"""),"All amenities")</f>
        <v>All amenities</v>
      </c>
      <c r="K483" s="2">
        <f>IFERROR(__xludf.DUMMYFUNCTION("""COMPUTED_VALUE"""),128000.0)</f>
        <v>128000</v>
      </c>
      <c r="L483" s="2">
        <f>IFERROR(__xludf.DUMMYFUNCTION("""COMPUTED_VALUE"""),56.96112105)</f>
        <v>56.96112105</v>
      </c>
      <c r="M483" s="2">
        <f>IFERROR(__xludf.DUMMYFUNCTION("""COMPUTED_VALUE"""),24.01821679525)</f>
        <v>24.0182168</v>
      </c>
    </row>
    <row r="484">
      <c r="A484" s="2" t="str">
        <f>IFERROR(__xludf.DUMMYFUNCTION("""COMPUTED_VALUE"""),"For sale")</f>
        <v>For sale</v>
      </c>
      <c r="B484" s="2" t="str">
        <f>IFERROR(__xludf.DUMMYFUNCTION("""COMPUTED_VALUE"""),"Maskavas priekšpilsēta")</f>
        <v>Maskavas priekšpilsēta</v>
      </c>
      <c r="C484" s="2" t="str">
        <f>IFERROR(__xludf.DUMMYFUNCTION("""COMPUTED_VALUE"""),"Rēznas 5")</f>
        <v>Rēznas 5</v>
      </c>
      <c r="D484" s="2">
        <f>IFERROR(__xludf.DUMMYFUNCTION("""COMPUTED_VALUE"""),4.0)</f>
        <v>4</v>
      </c>
      <c r="E484" s="2">
        <f>IFERROR(__xludf.DUMMYFUNCTION("""COMPUTED_VALUE"""),130.0)</f>
        <v>130</v>
      </c>
      <c r="F484" s="2">
        <f>IFERROR(__xludf.DUMMYFUNCTION("""COMPUTED_VALUE"""),1.0)</f>
        <v>1</v>
      </c>
      <c r="G484" s="2">
        <f>IFERROR(__xludf.DUMMYFUNCTION("""COMPUTED_VALUE"""),5.0)</f>
        <v>5</v>
      </c>
      <c r="H484" s="2" t="str">
        <f>IFERROR(__xludf.DUMMYFUNCTION("""COMPUTED_VALUE"""),"Staļina")</f>
        <v>Staļina</v>
      </c>
      <c r="I484" s="2" t="str">
        <f>IFERROR(__xludf.DUMMYFUNCTION("""COMPUTED_VALUE"""),"Masonry")</f>
        <v>Masonry</v>
      </c>
      <c r="J484" s="2" t="str">
        <f>IFERROR(__xludf.DUMMYFUNCTION("""COMPUTED_VALUE"""),"All amenities")</f>
        <v>All amenities</v>
      </c>
      <c r="K484" s="2">
        <f>IFERROR(__xludf.DUMMYFUNCTION("""COMPUTED_VALUE"""),104000.0)</f>
        <v>104000</v>
      </c>
      <c r="L484" s="2">
        <f>IFERROR(__xludf.DUMMYFUNCTION("""COMPUTED_VALUE"""),56.9360312)</f>
        <v>56.9360312</v>
      </c>
      <c r="M484" s="2">
        <f>IFERROR(__xludf.DUMMYFUNCTION("""COMPUTED_VALUE"""),24.1617323)</f>
        <v>24.1617323</v>
      </c>
    </row>
    <row r="485">
      <c r="A485" s="2" t="str">
        <f>IFERROR(__xludf.DUMMYFUNCTION("""COMPUTED_VALUE"""),"For sale")</f>
        <v>For sale</v>
      </c>
      <c r="B485" s="2" t="str">
        <f>IFERROR(__xludf.DUMMYFUNCTION("""COMPUTED_VALUE"""),"Iļģuciems")</f>
        <v>Iļģuciems</v>
      </c>
      <c r="C485" s="2" t="str">
        <f>IFERROR(__xludf.DUMMYFUNCTION("""COMPUTED_VALUE"""),"Reņģes 2a")</f>
        <v>Reņģes 2a</v>
      </c>
      <c r="D485" s="2">
        <f>IFERROR(__xludf.DUMMYFUNCTION("""COMPUTED_VALUE"""),1.0)</f>
        <v>1</v>
      </c>
      <c r="E485" s="2">
        <f>IFERROR(__xludf.DUMMYFUNCTION("""COMPUTED_VALUE"""),27.0)</f>
        <v>27</v>
      </c>
      <c r="F485" s="2">
        <f>IFERROR(__xludf.DUMMYFUNCTION("""COMPUTED_VALUE"""),5.0)</f>
        <v>5</v>
      </c>
      <c r="G485" s="2">
        <f>IFERROR(__xludf.DUMMYFUNCTION("""COMPUTED_VALUE"""),5.0)</f>
        <v>5</v>
      </c>
      <c r="H485" s="2" t="str">
        <f>IFERROR(__xludf.DUMMYFUNCTION("""COMPUTED_VALUE"""),"LT proj.")</f>
        <v>LT proj.</v>
      </c>
      <c r="I485" s="2" t="str">
        <f>IFERROR(__xludf.DUMMYFUNCTION("""COMPUTED_VALUE"""),"Panel")</f>
        <v>Panel</v>
      </c>
      <c r="J485" s="2" t="str">
        <f>IFERROR(__xludf.DUMMYFUNCTION("""COMPUTED_VALUE"""),"All amenities")</f>
        <v>All amenities</v>
      </c>
      <c r="K485" s="2">
        <f>IFERROR(__xludf.DUMMYFUNCTION("""COMPUTED_VALUE"""),28000.0)</f>
        <v>28000</v>
      </c>
      <c r="L485" s="2">
        <f>IFERROR(__xludf.DUMMYFUNCTION("""COMPUTED_VALUE"""),56.96535115)</f>
        <v>56.96535115</v>
      </c>
      <c r="M485" s="2">
        <f>IFERROR(__xludf.DUMMYFUNCTION("""COMPUTED_VALUE"""),24.0616848)</f>
        <v>24.0616848</v>
      </c>
    </row>
    <row r="486">
      <c r="A486" s="2" t="str">
        <f>IFERROR(__xludf.DUMMYFUNCTION("""COMPUTED_VALUE"""),"For rent")</f>
        <v>For rent</v>
      </c>
      <c r="B486" s="2" t="str">
        <f>IFERROR(__xludf.DUMMYFUNCTION("""COMPUTED_VALUE"""),"Āgenskalns")</f>
        <v>Āgenskalns</v>
      </c>
      <c r="C486" s="2" t="str">
        <f>IFERROR(__xludf.DUMMYFUNCTION("""COMPUTED_VALUE"""),"Nometņu 62")</f>
        <v>Nometņu 62</v>
      </c>
      <c r="D486" s="2">
        <f>IFERROR(__xludf.DUMMYFUNCTION("""COMPUTED_VALUE"""),1.0)</f>
        <v>1</v>
      </c>
      <c r="E486" s="2">
        <f>IFERROR(__xludf.DUMMYFUNCTION("""COMPUTED_VALUE"""),20.0)</f>
        <v>20</v>
      </c>
      <c r="F486" s="2">
        <f>IFERROR(__xludf.DUMMYFUNCTION("""COMPUTED_VALUE"""),1.0)</f>
        <v>1</v>
      </c>
      <c r="G486" s="2">
        <f>IFERROR(__xludf.DUMMYFUNCTION("""COMPUTED_VALUE"""),1.0)</f>
        <v>1</v>
      </c>
      <c r="H486" s="2" t="str">
        <f>IFERROR(__xludf.DUMMYFUNCTION("""COMPUTED_VALUE"""),"Priv. m.")</f>
        <v>Priv. m.</v>
      </c>
      <c r="I486" s="2" t="str">
        <f>IFERROR(__xludf.DUMMYFUNCTION("""COMPUTED_VALUE"""),"Wood")</f>
        <v>Wood</v>
      </c>
      <c r="J486" s="2" t="str">
        <f>IFERROR(__xludf.DUMMYFUNCTION("""COMPUTED_VALUE"""),"All amenities")</f>
        <v>All amenities</v>
      </c>
      <c r="K486" s="2">
        <f>IFERROR(__xludf.DUMMYFUNCTION("""COMPUTED_VALUE"""),260.0)</f>
        <v>260</v>
      </c>
      <c r="L486" s="2">
        <f>IFERROR(__xludf.DUMMYFUNCTION("""COMPUTED_VALUE"""),56.9366902)</f>
        <v>56.9366902</v>
      </c>
      <c r="M486" s="2">
        <f>IFERROR(__xludf.DUMMYFUNCTION("""COMPUTED_VALUE"""),24.0713339889391)</f>
        <v>24.07133399</v>
      </c>
    </row>
    <row r="487">
      <c r="A487" s="2" t="str">
        <f>IFERROR(__xludf.DUMMYFUNCTION("""COMPUTED_VALUE"""),"For sale")</f>
        <v>For sale</v>
      </c>
      <c r="B487" s="2" t="str">
        <f>IFERROR(__xludf.DUMMYFUNCTION("""COMPUTED_VALUE"""),"Purvciems")</f>
        <v>Purvciems</v>
      </c>
      <c r="C487" s="2" t="str">
        <f>IFERROR(__xludf.DUMMYFUNCTION("""COMPUTED_VALUE"""),"Marsa g. 10")</f>
        <v>Marsa g. 10</v>
      </c>
      <c r="D487" s="2">
        <f>IFERROR(__xludf.DUMMYFUNCTION("""COMPUTED_VALUE"""),3.0)</f>
        <v>3</v>
      </c>
      <c r="E487" s="2">
        <f>IFERROR(__xludf.DUMMYFUNCTION("""COMPUTED_VALUE"""),66.0)</f>
        <v>66</v>
      </c>
      <c r="F487" s="2">
        <f>IFERROR(__xludf.DUMMYFUNCTION("""COMPUTED_VALUE"""),1.0)</f>
        <v>1</v>
      </c>
      <c r="G487" s="2">
        <f>IFERROR(__xludf.DUMMYFUNCTION("""COMPUTED_VALUE"""),5.0)</f>
        <v>5</v>
      </c>
      <c r="H487" s="2" t="str">
        <f>IFERROR(__xludf.DUMMYFUNCTION("""COMPUTED_VALUE"""),"LT proj.")</f>
        <v>LT proj.</v>
      </c>
      <c r="I487" s="2" t="str">
        <f>IFERROR(__xludf.DUMMYFUNCTION("""COMPUTED_VALUE"""),"Panel")</f>
        <v>Panel</v>
      </c>
      <c r="J487" s="2" t="str">
        <f>IFERROR(__xludf.DUMMYFUNCTION("""COMPUTED_VALUE"""),"All amenities")</f>
        <v>All amenities</v>
      </c>
      <c r="K487" s="2">
        <f>IFERROR(__xludf.DUMMYFUNCTION("""COMPUTED_VALUE"""),53000.0)</f>
        <v>53000</v>
      </c>
      <c r="L487" s="2">
        <f>IFERROR(__xludf.DUMMYFUNCTION("""COMPUTED_VALUE"""),56.9518384)</f>
        <v>56.9518384</v>
      </c>
      <c r="M487" s="2">
        <f>IFERROR(__xludf.DUMMYFUNCTION("""COMPUTED_VALUE"""),24.1999196)</f>
        <v>24.1999196</v>
      </c>
    </row>
    <row r="488">
      <c r="A488" s="2" t="str">
        <f>IFERROR(__xludf.DUMMYFUNCTION("""COMPUTED_VALUE"""),"For rent")</f>
        <v>For rent</v>
      </c>
      <c r="B488" s="2" t="str">
        <f>IFERROR(__xludf.DUMMYFUNCTION("""COMPUTED_VALUE"""),"centrs")</f>
        <v>centrs</v>
      </c>
      <c r="C488" s="2" t="str">
        <f>IFERROR(__xludf.DUMMYFUNCTION("""COMPUTED_VALUE"""),"Lāčplēša 98")</f>
        <v>Lāčplēša 98</v>
      </c>
      <c r="D488" s="2">
        <f>IFERROR(__xludf.DUMMYFUNCTION("""COMPUTED_VALUE"""),1.0)</f>
        <v>1</v>
      </c>
      <c r="E488" s="2">
        <f>IFERROR(__xludf.DUMMYFUNCTION("""COMPUTED_VALUE"""),20.0)</f>
        <v>20</v>
      </c>
      <c r="F488" s="2">
        <f>IFERROR(__xludf.DUMMYFUNCTION("""COMPUTED_VALUE"""),4.0)</f>
        <v>4</v>
      </c>
      <c r="G488" s="2">
        <f>IFERROR(__xludf.DUMMYFUNCTION("""COMPUTED_VALUE"""),6.0)</f>
        <v>6</v>
      </c>
      <c r="H488" s="2" t="str">
        <f>IFERROR(__xludf.DUMMYFUNCTION("""COMPUTED_VALUE"""),"Renov.")</f>
        <v>Renov.</v>
      </c>
      <c r="I488" s="2" t="str">
        <f>IFERROR(__xludf.DUMMYFUNCTION("""COMPUTED_VALUE"""),"Brick-Panel")</f>
        <v>Brick-Panel</v>
      </c>
      <c r="J488" s="2" t="str">
        <f>IFERROR(__xludf.DUMMYFUNCTION("""COMPUTED_VALUE"""),"All amenities")</f>
        <v>All amenities</v>
      </c>
      <c r="K488" s="2">
        <f>IFERROR(__xludf.DUMMYFUNCTION("""COMPUTED_VALUE"""),120.0)</f>
        <v>120</v>
      </c>
      <c r="L488" s="2">
        <f>IFERROR(__xludf.DUMMYFUNCTION("""COMPUTED_VALUE"""),56.94440235)</f>
        <v>56.94440235</v>
      </c>
      <c r="M488" s="2">
        <f>IFERROR(__xludf.DUMMYFUNCTION("""COMPUTED_VALUE"""),24.1323630232783)</f>
        <v>24.13236302</v>
      </c>
    </row>
    <row r="489">
      <c r="A489" s="2" t="str">
        <f>IFERROR(__xludf.DUMMYFUNCTION("""COMPUTED_VALUE"""),"For rent")</f>
        <v>For rent</v>
      </c>
      <c r="B489" s="2" t="str">
        <f>IFERROR(__xludf.DUMMYFUNCTION("""COMPUTED_VALUE"""),"Maskavas priekšpilsēta")</f>
        <v>Maskavas priekšpilsēta</v>
      </c>
      <c r="C489" s="2" t="str">
        <f>IFERROR(__xludf.DUMMYFUNCTION("""COMPUTED_VALUE"""),"Maskavas 180")</f>
        <v>Maskavas 180</v>
      </c>
      <c r="D489" s="2">
        <f>IFERROR(__xludf.DUMMYFUNCTION("""COMPUTED_VALUE"""),1.0)</f>
        <v>1</v>
      </c>
      <c r="E489" s="2">
        <f>IFERROR(__xludf.DUMMYFUNCTION("""COMPUTED_VALUE"""),40.0)</f>
        <v>40</v>
      </c>
      <c r="F489" s="2">
        <f>IFERROR(__xludf.DUMMYFUNCTION("""COMPUTED_VALUE"""),1.0)</f>
        <v>1</v>
      </c>
      <c r="G489" s="2">
        <f>IFERROR(__xludf.DUMMYFUNCTION("""COMPUTED_VALUE"""),5.0)</f>
        <v>5</v>
      </c>
      <c r="H489" s="2" t="str">
        <f>IFERROR(__xludf.DUMMYFUNCTION("""COMPUTED_VALUE"""),"Specpr.")</f>
        <v>Specpr.</v>
      </c>
      <c r="I489" s="2" t="str">
        <f>IFERROR(__xludf.DUMMYFUNCTION("""COMPUTED_VALUE"""),"Brick")</f>
        <v>Brick</v>
      </c>
      <c r="J489" s="2" t="str">
        <f>IFERROR(__xludf.DUMMYFUNCTION("""COMPUTED_VALUE"""),"All amenities")</f>
        <v>All amenities</v>
      </c>
      <c r="K489" s="2">
        <f>IFERROR(__xludf.DUMMYFUNCTION("""COMPUTED_VALUE"""),240.0)</f>
        <v>240</v>
      </c>
      <c r="L489" s="2">
        <f>IFERROR(__xludf.DUMMYFUNCTION("""COMPUTED_VALUE"""),56.8597884)</f>
        <v>56.8597884</v>
      </c>
      <c r="M489" s="2">
        <f>IFERROR(__xludf.DUMMYFUNCTION("""COMPUTED_VALUE"""),24.3083417)</f>
        <v>24.3083417</v>
      </c>
    </row>
    <row r="490">
      <c r="A490" s="2" t="str">
        <f>IFERROR(__xludf.DUMMYFUNCTION("""COMPUTED_VALUE"""),"For sale")</f>
        <v>For sale</v>
      </c>
      <c r="B490" s="2" t="str">
        <f>IFERROR(__xludf.DUMMYFUNCTION("""COMPUTED_VALUE"""),"Mangaļsala")</f>
        <v>Mangaļsala</v>
      </c>
      <c r="C490" s="2" t="str">
        <f>IFERROR(__xludf.DUMMYFUNCTION("""COMPUTED_VALUE"""),"Bākas 19")</f>
        <v>Bākas 19</v>
      </c>
      <c r="D490" s="2">
        <f>IFERROR(__xludf.DUMMYFUNCTION("""COMPUTED_VALUE"""),2.0)</f>
        <v>2</v>
      </c>
      <c r="E490" s="2">
        <f>IFERROR(__xludf.DUMMYFUNCTION("""COMPUTED_VALUE"""),54.0)</f>
        <v>54</v>
      </c>
      <c r="F490" s="2">
        <f>IFERROR(__xludf.DUMMYFUNCTION("""COMPUTED_VALUE"""),2.0)</f>
        <v>2</v>
      </c>
      <c r="G490" s="2">
        <f>IFERROR(__xludf.DUMMYFUNCTION("""COMPUTED_VALUE"""),4.0)</f>
        <v>4</v>
      </c>
      <c r="H490" s="2" t="str">
        <f>IFERROR(__xludf.DUMMYFUNCTION("""COMPUTED_VALUE"""),"Specpr.")</f>
        <v>Specpr.</v>
      </c>
      <c r="I490" s="2" t="str">
        <f>IFERROR(__xludf.DUMMYFUNCTION("""COMPUTED_VALUE"""),"Brick-Panel")</f>
        <v>Brick-Panel</v>
      </c>
      <c r="J490" s="2" t="str">
        <f>IFERROR(__xludf.DUMMYFUNCTION("""COMPUTED_VALUE"""),"All amenities")</f>
        <v>All amenities</v>
      </c>
      <c r="K490" s="2">
        <f>IFERROR(__xludf.DUMMYFUNCTION("""COMPUTED_VALUE"""),38000.0)</f>
        <v>38000</v>
      </c>
      <c r="L490" s="2">
        <f>IFERROR(__xludf.DUMMYFUNCTION("""COMPUTED_VALUE"""),57.0528275)</f>
        <v>57.0528275</v>
      </c>
      <c r="M490" s="2">
        <f>IFERROR(__xludf.DUMMYFUNCTION("""COMPUTED_VALUE"""),24.0695082)</f>
        <v>24.0695082</v>
      </c>
    </row>
    <row r="491">
      <c r="A491" s="2" t="str">
        <f>IFERROR(__xludf.DUMMYFUNCTION("""COMPUTED_VALUE"""),"For rent")</f>
        <v>For rent</v>
      </c>
      <c r="B491" s="2" t="str">
        <f>IFERROR(__xludf.DUMMYFUNCTION("""COMPUTED_VALUE"""),"Grīziņkalns")</f>
        <v>Grīziņkalns</v>
      </c>
      <c r="C491" s="2" t="str">
        <f>IFERROR(__xludf.DUMMYFUNCTION("""COMPUTED_VALUE"""),"Alauksta 9")</f>
        <v>Alauksta 9</v>
      </c>
      <c r="D491" s="2">
        <f>IFERROR(__xludf.DUMMYFUNCTION("""COMPUTED_VALUE"""),3.0)</f>
        <v>3</v>
      </c>
      <c r="E491" s="2">
        <f>IFERROR(__xludf.DUMMYFUNCTION("""COMPUTED_VALUE"""),109.0)</f>
        <v>109</v>
      </c>
      <c r="F491" s="2">
        <f>IFERROR(__xludf.DUMMYFUNCTION("""COMPUTED_VALUE"""),6.0)</f>
        <v>6</v>
      </c>
      <c r="G491" s="2">
        <f>IFERROR(__xludf.DUMMYFUNCTION("""COMPUTED_VALUE"""),6.0)</f>
        <v>6</v>
      </c>
      <c r="H491" s="2" t="str">
        <f>IFERROR(__xludf.DUMMYFUNCTION("""COMPUTED_VALUE"""),"Jaun.")</f>
        <v>Jaun.</v>
      </c>
      <c r="I491" s="2" t="str">
        <f>IFERROR(__xludf.DUMMYFUNCTION("""COMPUTED_VALUE"""),"Brick-Panel")</f>
        <v>Brick-Panel</v>
      </c>
      <c r="J491" s="2" t="str">
        <f>IFERROR(__xludf.DUMMYFUNCTION("""COMPUTED_VALUE"""),"All amenities")</f>
        <v>All amenities</v>
      </c>
      <c r="K491" s="2">
        <f>IFERROR(__xludf.DUMMYFUNCTION("""COMPUTED_VALUE"""),650.0)</f>
        <v>650</v>
      </c>
      <c r="L491" s="2">
        <f>IFERROR(__xludf.DUMMYFUNCTION("""COMPUTED_VALUE"""),56.9610476)</f>
        <v>56.9610476</v>
      </c>
      <c r="M491" s="2">
        <f>IFERROR(__xludf.DUMMYFUNCTION("""COMPUTED_VALUE"""),24.1493694905674)</f>
        <v>24.14936949</v>
      </c>
    </row>
    <row r="492">
      <c r="A492" s="2" t="str">
        <f>IFERROR(__xludf.DUMMYFUNCTION("""COMPUTED_VALUE"""),"For sale")</f>
        <v>For sale</v>
      </c>
      <c r="B492" s="2" t="str">
        <f>IFERROR(__xludf.DUMMYFUNCTION("""COMPUTED_VALUE"""),"centrs")</f>
        <v>centrs</v>
      </c>
      <c r="C492" s="2" t="str">
        <f>IFERROR(__xludf.DUMMYFUNCTION("""COMPUTED_VALUE"""),"Alauksta 9")</f>
        <v>Alauksta 9</v>
      </c>
      <c r="D492" s="2">
        <f>IFERROR(__xludf.DUMMYFUNCTION("""COMPUTED_VALUE"""),4.0)</f>
        <v>4</v>
      </c>
      <c r="E492" s="2">
        <f>IFERROR(__xludf.DUMMYFUNCTION("""COMPUTED_VALUE"""),169.9)</f>
        <v>169.9</v>
      </c>
      <c r="F492" s="2">
        <f>IFERROR(__xludf.DUMMYFUNCTION("""COMPUTED_VALUE"""),6.0)</f>
        <v>6</v>
      </c>
      <c r="G492" s="2">
        <f>IFERROR(__xludf.DUMMYFUNCTION("""COMPUTED_VALUE"""),6.0)</f>
        <v>6</v>
      </c>
      <c r="H492" s="2" t="str">
        <f>IFERROR(__xludf.DUMMYFUNCTION("""COMPUTED_VALUE"""),"Jaun.")</f>
        <v>Jaun.</v>
      </c>
      <c r="I492" s="2" t="str">
        <f>IFERROR(__xludf.DUMMYFUNCTION("""COMPUTED_VALUE"""),"Brick-Panel")</f>
        <v>Brick-Panel</v>
      </c>
      <c r="J492" s="2" t="str">
        <f>IFERROR(__xludf.DUMMYFUNCTION("""COMPUTED_VALUE"""),"All amenities")</f>
        <v>All amenities</v>
      </c>
      <c r="K492" s="2">
        <f>IFERROR(__xludf.DUMMYFUNCTION("""COMPUTED_VALUE"""),185000.0)</f>
        <v>185000</v>
      </c>
      <c r="L492" s="2">
        <f>IFERROR(__xludf.DUMMYFUNCTION("""COMPUTED_VALUE"""),56.9610476)</f>
        <v>56.9610476</v>
      </c>
      <c r="M492" s="2">
        <f>IFERROR(__xludf.DUMMYFUNCTION("""COMPUTED_VALUE"""),24.1493694905674)</f>
        <v>24.14936949</v>
      </c>
    </row>
    <row r="493">
      <c r="A493" s="2" t="str">
        <f>IFERROR(__xludf.DUMMYFUNCTION("""COMPUTED_VALUE"""),"For sale")</f>
        <v>For sale</v>
      </c>
      <c r="B493" s="2" t="str">
        <f>IFERROR(__xludf.DUMMYFUNCTION("""COMPUTED_VALUE"""),"Iļģuciems")</f>
        <v>Iļģuciems</v>
      </c>
      <c r="C493" s="2" t="str">
        <f>IFERROR(__xludf.DUMMYFUNCTION("""COMPUTED_VALUE"""),"Vaidelotes 26")</f>
        <v>Vaidelotes 26</v>
      </c>
      <c r="D493" s="2">
        <f>IFERROR(__xludf.DUMMYFUNCTION("""COMPUTED_VALUE"""),1.0)</f>
        <v>1</v>
      </c>
      <c r="E493" s="2">
        <f>IFERROR(__xludf.DUMMYFUNCTION("""COMPUTED_VALUE"""),30.0)</f>
        <v>30</v>
      </c>
      <c r="F493" s="2">
        <f>IFERROR(__xludf.DUMMYFUNCTION("""COMPUTED_VALUE"""),1.0)</f>
        <v>1</v>
      </c>
      <c r="G493" s="2">
        <f>IFERROR(__xludf.DUMMYFUNCTION("""COMPUTED_VALUE"""),5.0)</f>
        <v>5</v>
      </c>
      <c r="H493" s="2" t="str">
        <f>IFERROR(__xludf.DUMMYFUNCTION("""COMPUTED_VALUE"""),"Hrušč.")</f>
        <v>Hrušč.</v>
      </c>
      <c r="I493" s="2" t="str">
        <f>IFERROR(__xludf.DUMMYFUNCTION("""COMPUTED_VALUE"""),"Brick")</f>
        <v>Brick</v>
      </c>
      <c r="J493" s="2" t="str">
        <f>IFERROR(__xludf.DUMMYFUNCTION("""COMPUTED_VALUE"""),"Partial amenities")</f>
        <v>Partial amenities</v>
      </c>
      <c r="K493" s="2">
        <f>IFERROR(__xludf.DUMMYFUNCTION("""COMPUTED_VALUE"""),25000.0)</f>
        <v>25000</v>
      </c>
      <c r="L493" s="2">
        <f>IFERROR(__xludf.DUMMYFUNCTION("""COMPUTED_VALUE"""),56.9664898)</f>
        <v>56.9664898</v>
      </c>
      <c r="M493" s="2">
        <f>IFERROR(__xludf.DUMMYFUNCTION("""COMPUTED_VALUE"""),24.0486124)</f>
        <v>24.0486124</v>
      </c>
    </row>
    <row r="494">
      <c r="A494" s="2" t="str">
        <f>IFERROR(__xludf.DUMMYFUNCTION("""COMPUTED_VALUE"""),"For rent")</f>
        <v>For rent</v>
      </c>
      <c r="B494" s="2" t="str">
        <f>IFERROR(__xludf.DUMMYFUNCTION("""COMPUTED_VALUE"""),"Purvciems")</f>
        <v>Purvciems</v>
      </c>
      <c r="C494" s="2" t="str">
        <f>IFERROR(__xludf.DUMMYFUNCTION("""COMPUTED_VALUE"""),"Ķeguma 43")</f>
        <v>Ķeguma 43</v>
      </c>
      <c r="D494" s="2">
        <f>IFERROR(__xludf.DUMMYFUNCTION("""COMPUTED_VALUE"""),1.0)</f>
        <v>1</v>
      </c>
      <c r="E494" s="2">
        <f>IFERROR(__xludf.DUMMYFUNCTION("""COMPUTED_VALUE"""),40.0)</f>
        <v>40</v>
      </c>
      <c r="F494" s="2">
        <f>IFERROR(__xludf.DUMMYFUNCTION("""COMPUTED_VALUE"""),5.0)</f>
        <v>5</v>
      </c>
      <c r="G494" s="2">
        <f>IFERROR(__xludf.DUMMYFUNCTION("""COMPUTED_VALUE"""),5.0)</f>
        <v>5</v>
      </c>
      <c r="H494" s="2" t="str">
        <f>IFERROR(__xludf.DUMMYFUNCTION("""COMPUTED_VALUE"""),"M. ģim.")</f>
        <v>M. ģim.</v>
      </c>
      <c r="I494" s="2" t="str">
        <f>IFERROR(__xludf.DUMMYFUNCTION("""COMPUTED_VALUE"""),"Panel")</f>
        <v>Panel</v>
      </c>
      <c r="J494" s="2" t="str">
        <f>IFERROR(__xludf.DUMMYFUNCTION("""COMPUTED_VALUE"""),"All amenities")</f>
        <v>All amenities</v>
      </c>
      <c r="K494" s="2">
        <f>IFERROR(__xludf.DUMMYFUNCTION("""COMPUTED_VALUE"""),220.0)</f>
        <v>220</v>
      </c>
      <c r="L494" s="2">
        <f>IFERROR(__xludf.DUMMYFUNCTION("""COMPUTED_VALUE"""),56.96378645)</f>
        <v>56.96378645</v>
      </c>
      <c r="M494" s="2">
        <f>IFERROR(__xludf.DUMMYFUNCTION("""COMPUTED_VALUE"""),24.1961874494858)</f>
        <v>24.19618745</v>
      </c>
    </row>
    <row r="495">
      <c r="A495" s="2" t="str">
        <f>IFERROR(__xludf.DUMMYFUNCTION("""COMPUTED_VALUE"""),"For sale")</f>
        <v>For sale</v>
      </c>
      <c r="B495" s="2" t="str">
        <f>IFERROR(__xludf.DUMMYFUNCTION("""COMPUTED_VALUE"""),"Maskavas priekšpilsēta")</f>
        <v>Maskavas priekšpilsēta</v>
      </c>
      <c r="C495" s="2" t="str">
        <f>IFERROR(__xludf.DUMMYFUNCTION("""COMPUTED_VALUE"""),"Krāslavas 7")</f>
        <v>Krāslavas 7</v>
      </c>
      <c r="D495" s="2">
        <f>IFERROR(__xludf.DUMMYFUNCTION("""COMPUTED_VALUE"""),3.0)</f>
        <v>3</v>
      </c>
      <c r="E495" s="2">
        <f>IFERROR(__xludf.DUMMYFUNCTION("""COMPUTED_VALUE"""),74.0)</f>
        <v>74</v>
      </c>
      <c r="F495" s="2">
        <f>IFERROR(__xludf.DUMMYFUNCTION("""COMPUTED_VALUE"""),4.0)</f>
        <v>4</v>
      </c>
      <c r="G495" s="2">
        <f>IFERROR(__xludf.DUMMYFUNCTION("""COMPUTED_VALUE"""),5.0)</f>
        <v>5</v>
      </c>
      <c r="H495" s="2" t="str">
        <f>IFERROR(__xludf.DUMMYFUNCTION("""COMPUTED_VALUE"""),"P. kara")</f>
        <v>P. kara</v>
      </c>
      <c r="I495" s="2" t="str">
        <f>IFERROR(__xludf.DUMMYFUNCTION("""COMPUTED_VALUE"""),"Masonry")</f>
        <v>Masonry</v>
      </c>
      <c r="J495" s="2" t="str">
        <f>IFERROR(__xludf.DUMMYFUNCTION("""COMPUTED_VALUE"""),"All amenities")</f>
        <v>All amenities</v>
      </c>
      <c r="K495" s="2">
        <f>IFERROR(__xludf.DUMMYFUNCTION("""COMPUTED_VALUE"""),80000.0)</f>
        <v>80000</v>
      </c>
      <c r="L495" s="2">
        <f>IFERROR(__xludf.DUMMYFUNCTION("""COMPUTED_VALUE"""),56.9431965)</f>
        <v>56.9431965</v>
      </c>
      <c r="M495" s="2">
        <f>IFERROR(__xludf.DUMMYFUNCTION("""COMPUTED_VALUE"""),24.1341844)</f>
        <v>24.1341844</v>
      </c>
    </row>
    <row r="496">
      <c r="A496" s="2" t="str">
        <f>IFERROR(__xludf.DUMMYFUNCTION("""COMPUTED_VALUE"""),"For sale")</f>
        <v>For sale</v>
      </c>
      <c r="B496" s="2" t="str">
        <f>IFERROR(__xludf.DUMMYFUNCTION("""COMPUTED_VALUE"""),"centrs")</f>
        <v>centrs</v>
      </c>
      <c r="C496" s="2" t="str">
        <f>IFERROR(__xludf.DUMMYFUNCTION("""COMPUTED_VALUE"""),"Skārņu 25")</f>
        <v>Skārņu 25</v>
      </c>
      <c r="D496" s="2">
        <f>IFERROR(__xludf.DUMMYFUNCTION("""COMPUTED_VALUE"""),2.0)</f>
        <v>2</v>
      </c>
      <c r="E496" s="2">
        <f>IFERROR(__xludf.DUMMYFUNCTION("""COMPUTED_VALUE"""),45.0)</f>
        <v>45</v>
      </c>
      <c r="F496" s="2">
        <f>IFERROR(__xludf.DUMMYFUNCTION("""COMPUTED_VALUE"""),3.0)</f>
        <v>3</v>
      </c>
      <c r="G496" s="2">
        <f>IFERROR(__xludf.DUMMYFUNCTION("""COMPUTED_VALUE"""),5.0)</f>
        <v>5</v>
      </c>
      <c r="H496" s="2" t="str">
        <f>IFERROR(__xludf.DUMMYFUNCTION("""COMPUTED_VALUE"""),"Specpr.")</f>
        <v>Specpr.</v>
      </c>
      <c r="I496" s="2" t="str">
        <f>IFERROR(__xludf.DUMMYFUNCTION("""COMPUTED_VALUE"""),"Brick")</f>
        <v>Brick</v>
      </c>
      <c r="J496" s="2" t="str">
        <f>IFERROR(__xludf.DUMMYFUNCTION("""COMPUTED_VALUE"""),"All amenities")</f>
        <v>All amenities</v>
      </c>
      <c r="K496" s="2">
        <f>IFERROR(__xludf.DUMMYFUNCTION("""COMPUTED_VALUE"""),87000.0)</f>
        <v>87000</v>
      </c>
      <c r="L496" s="2">
        <f>IFERROR(__xludf.DUMMYFUNCTION("""COMPUTED_VALUE"""),56.9473175)</f>
        <v>56.9473175</v>
      </c>
      <c r="M496" s="2">
        <f>IFERROR(__xludf.DUMMYFUNCTION("""COMPUTED_VALUE"""),24.1105898)</f>
        <v>24.1105898</v>
      </c>
    </row>
    <row r="497">
      <c r="A497" s="2" t="str">
        <f>IFERROR(__xludf.DUMMYFUNCTION("""COMPUTED_VALUE"""),"For rent")</f>
        <v>For rent</v>
      </c>
      <c r="B497" s="2" t="str">
        <f>IFERROR(__xludf.DUMMYFUNCTION("""COMPUTED_VALUE"""),"centrs")</f>
        <v>centrs</v>
      </c>
      <c r="C497" s="2" t="str">
        <f>IFERROR(__xludf.DUMMYFUNCTION("""COMPUTED_VALUE"""),"Marijas 16")</f>
        <v>Marijas 16</v>
      </c>
      <c r="D497" s="2">
        <f>IFERROR(__xludf.DUMMYFUNCTION("""COMPUTED_VALUE"""),2.0)</f>
        <v>2</v>
      </c>
      <c r="E497" s="2">
        <f>IFERROR(__xludf.DUMMYFUNCTION("""COMPUTED_VALUE"""),48.0)</f>
        <v>48</v>
      </c>
      <c r="F497" s="2">
        <f>IFERROR(__xludf.DUMMYFUNCTION("""COMPUTED_VALUE"""),3.0)</f>
        <v>3</v>
      </c>
      <c r="G497" s="2">
        <f>IFERROR(__xludf.DUMMYFUNCTION("""COMPUTED_VALUE"""),6.0)</f>
        <v>6</v>
      </c>
      <c r="H497" s="2" t="str">
        <f>IFERROR(__xludf.DUMMYFUNCTION("""COMPUTED_VALUE"""),"P. kara")</f>
        <v>P. kara</v>
      </c>
      <c r="I497" s="2" t="str">
        <f>IFERROR(__xludf.DUMMYFUNCTION("""COMPUTED_VALUE"""),"Brick")</f>
        <v>Brick</v>
      </c>
      <c r="J497" s="2" t="str">
        <f>IFERROR(__xludf.DUMMYFUNCTION("""COMPUTED_VALUE"""),"All amenities")</f>
        <v>All amenities</v>
      </c>
      <c r="K497" s="2">
        <f>IFERROR(__xludf.DUMMYFUNCTION("""COMPUTED_VALUE"""),600.0)</f>
        <v>600</v>
      </c>
      <c r="L497" s="2">
        <f>IFERROR(__xludf.DUMMYFUNCTION("""COMPUTED_VALUE"""),56.9505796)</f>
        <v>56.9505796</v>
      </c>
      <c r="M497" s="2">
        <f>IFERROR(__xludf.DUMMYFUNCTION("""COMPUTED_VALUE"""),24.1255938)</f>
        <v>24.1255938</v>
      </c>
    </row>
    <row r="498">
      <c r="A498" s="2" t="str">
        <f>IFERROR(__xludf.DUMMYFUNCTION("""COMPUTED_VALUE"""),"For sale")</f>
        <v>For sale</v>
      </c>
      <c r="B498" s="2" t="str">
        <f>IFERROR(__xludf.DUMMYFUNCTION("""COMPUTED_VALUE"""),"Vecrīga")</f>
        <v>Vecrīga</v>
      </c>
      <c r="C498" s="2" t="str">
        <f>IFERROR(__xludf.DUMMYFUNCTION("""COMPUTED_VALUE"""),"Kungu 25")</f>
        <v>Kungu 25</v>
      </c>
      <c r="D498" s="2">
        <f>IFERROR(__xludf.DUMMYFUNCTION("""COMPUTED_VALUE"""),5.0)</f>
        <v>5</v>
      </c>
      <c r="E498" s="2">
        <f>IFERROR(__xludf.DUMMYFUNCTION("""COMPUTED_VALUE"""),247.0)</f>
        <v>247</v>
      </c>
      <c r="F498" s="2">
        <f>IFERROR(__xludf.DUMMYFUNCTION("""COMPUTED_VALUE"""),4.0)</f>
        <v>4</v>
      </c>
      <c r="G498" s="2">
        <f>IFERROR(__xludf.DUMMYFUNCTION("""COMPUTED_VALUE"""),6.0)</f>
        <v>6</v>
      </c>
      <c r="H498" s="2" t="str">
        <f>IFERROR(__xludf.DUMMYFUNCTION("""COMPUTED_VALUE"""),"Specpr.")</f>
        <v>Specpr.</v>
      </c>
      <c r="I498" s="2" t="str">
        <f>IFERROR(__xludf.DUMMYFUNCTION("""COMPUTED_VALUE"""),"Panel")</f>
        <v>Panel</v>
      </c>
      <c r="J498" s="2" t="str">
        <f>IFERROR(__xludf.DUMMYFUNCTION("""COMPUTED_VALUE"""),"All amenities")</f>
        <v>All amenities</v>
      </c>
      <c r="K498" s="2">
        <f>IFERROR(__xludf.DUMMYFUNCTION("""COMPUTED_VALUE"""),399990.0)</f>
        <v>399990</v>
      </c>
      <c r="L498" s="2">
        <f>IFERROR(__xludf.DUMMYFUNCTION("""COMPUTED_VALUE"""),56.9453381999999)</f>
        <v>56.9453382</v>
      </c>
      <c r="M498" s="2">
        <f>IFERROR(__xludf.DUMMYFUNCTION("""COMPUTED_VALUE"""),24.1094639533088)</f>
        <v>24.10946395</v>
      </c>
    </row>
    <row r="499">
      <c r="A499" s="2" t="str">
        <f>IFERROR(__xludf.DUMMYFUNCTION("""COMPUTED_VALUE"""),"For sale")</f>
        <v>For sale</v>
      </c>
      <c r="B499" s="2" t="str">
        <f>IFERROR(__xludf.DUMMYFUNCTION("""COMPUTED_VALUE"""),"Vecrīga")</f>
        <v>Vecrīga</v>
      </c>
      <c r="C499" s="2" t="str">
        <f>IFERROR(__xludf.DUMMYFUNCTION("""COMPUTED_VALUE"""),"Kungu 25")</f>
        <v>Kungu 25</v>
      </c>
      <c r="D499" s="2">
        <f>IFERROR(__xludf.DUMMYFUNCTION("""COMPUTED_VALUE"""),4.0)</f>
        <v>4</v>
      </c>
      <c r="E499" s="2">
        <f>IFERROR(__xludf.DUMMYFUNCTION("""COMPUTED_VALUE"""),164.0)</f>
        <v>164</v>
      </c>
      <c r="F499" s="2">
        <f>IFERROR(__xludf.DUMMYFUNCTION("""COMPUTED_VALUE"""),6.0)</f>
        <v>6</v>
      </c>
      <c r="G499" s="2">
        <f>IFERROR(__xludf.DUMMYFUNCTION("""COMPUTED_VALUE"""),6.0)</f>
        <v>6</v>
      </c>
      <c r="H499" s="2" t="str">
        <f>IFERROR(__xludf.DUMMYFUNCTION("""COMPUTED_VALUE"""),"Specpr.")</f>
        <v>Specpr.</v>
      </c>
      <c r="I499" s="2" t="str">
        <f>IFERROR(__xludf.DUMMYFUNCTION("""COMPUTED_VALUE"""),"Panel")</f>
        <v>Panel</v>
      </c>
      <c r="J499" s="2" t="str">
        <f>IFERROR(__xludf.DUMMYFUNCTION("""COMPUTED_VALUE"""),"All amenities")</f>
        <v>All amenities</v>
      </c>
      <c r="K499" s="2">
        <f>IFERROR(__xludf.DUMMYFUNCTION("""COMPUTED_VALUE"""),269990.0)</f>
        <v>269990</v>
      </c>
      <c r="L499" s="2">
        <f>IFERROR(__xludf.DUMMYFUNCTION("""COMPUTED_VALUE"""),56.9453381999999)</f>
        <v>56.9453382</v>
      </c>
      <c r="M499" s="2">
        <f>IFERROR(__xludf.DUMMYFUNCTION("""COMPUTED_VALUE"""),24.1094639533088)</f>
        <v>24.10946395</v>
      </c>
    </row>
    <row r="500">
      <c r="A500" s="2" t="str">
        <f>IFERROR(__xludf.DUMMYFUNCTION("""COMPUTED_VALUE"""),"For sale")</f>
        <v>For sale</v>
      </c>
      <c r="B500" s="2" t="str">
        <f>IFERROR(__xludf.DUMMYFUNCTION("""COMPUTED_VALUE"""),"Vecrīga")</f>
        <v>Vecrīga</v>
      </c>
      <c r="C500" s="2" t="str">
        <f>IFERROR(__xludf.DUMMYFUNCTION("""COMPUTED_VALUE"""),"Kungu 25")</f>
        <v>Kungu 25</v>
      </c>
      <c r="D500" s="2" t="str">
        <f>IFERROR(__xludf.DUMMYFUNCTION("""COMPUTED_VALUE"""),"Citi")</f>
        <v>Citi</v>
      </c>
      <c r="E500" s="2">
        <f>IFERROR(__xludf.DUMMYFUNCTION("""COMPUTED_VALUE"""),330.0)</f>
        <v>330</v>
      </c>
      <c r="F500" s="2">
        <f>IFERROR(__xludf.DUMMYFUNCTION("""COMPUTED_VALUE"""),5.0)</f>
        <v>5</v>
      </c>
      <c r="G500" s="2">
        <f>IFERROR(__xludf.DUMMYFUNCTION("""COMPUTED_VALUE"""),6.0)</f>
        <v>6</v>
      </c>
      <c r="H500" s="2" t="str">
        <f>IFERROR(__xludf.DUMMYFUNCTION("""COMPUTED_VALUE"""),"Specpr.")</f>
        <v>Specpr.</v>
      </c>
      <c r="I500" s="2" t="str">
        <f>IFERROR(__xludf.DUMMYFUNCTION("""COMPUTED_VALUE"""),"Panel")</f>
        <v>Panel</v>
      </c>
      <c r="J500" s="2" t="str">
        <f>IFERROR(__xludf.DUMMYFUNCTION("""COMPUTED_VALUE"""),"All amenities")</f>
        <v>All amenities</v>
      </c>
      <c r="K500" s="2">
        <f>IFERROR(__xludf.DUMMYFUNCTION("""COMPUTED_VALUE"""),474990.0)</f>
        <v>474990</v>
      </c>
      <c r="L500" s="2">
        <f>IFERROR(__xludf.DUMMYFUNCTION("""COMPUTED_VALUE"""),56.9453381999999)</f>
        <v>56.9453382</v>
      </c>
      <c r="M500" s="2">
        <f>IFERROR(__xludf.DUMMYFUNCTION("""COMPUTED_VALUE"""),24.1094639533088)</f>
        <v>24.10946395</v>
      </c>
    </row>
    <row r="501">
      <c r="A501" s="2" t="str">
        <f>IFERROR(__xludf.DUMMYFUNCTION("""COMPUTED_VALUE"""),"For sale")</f>
        <v>For sale</v>
      </c>
      <c r="B501" s="2" t="str">
        <f>IFERROR(__xludf.DUMMYFUNCTION("""COMPUTED_VALUE"""),"Vecrīga")</f>
        <v>Vecrīga</v>
      </c>
      <c r="C501" s="2" t="str">
        <f>IFERROR(__xludf.DUMMYFUNCTION("""COMPUTED_VALUE"""),"Kungu 25")</f>
        <v>Kungu 25</v>
      </c>
      <c r="D501" s="2">
        <f>IFERROR(__xludf.DUMMYFUNCTION("""COMPUTED_VALUE"""),4.0)</f>
        <v>4</v>
      </c>
      <c r="E501" s="2">
        <f>IFERROR(__xludf.DUMMYFUNCTION("""COMPUTED_VALUE"""),132.0)</f>
        <v>132</v>
      </c>
      <c r="F501" s="2">
        <f>IFERROR(__xludf.DUMMYFUNCTION("""COMPUTED_VALUE"""),4.0)</f>
        <v>4</v>
      </c>
      <c r="G501" s="2">
        <f>IFERROR(__xludf.DUMMYFUNCTION("""COMPUTED_VALUE"""),6.0)</f>
        <v>6</v>
      </c>
      <c r="H501" s="2" t="str">
        <f>IFERROR(__xludf.DUMMYFUNCTION("""COMPUTED_VALUE"""),"Specpr.")</f>
        <v>Specpr.</v>
      </c>
      <c r="I501" s="2" t="str">
        <f>IFERROR(__xludf.DUMMYFUNCTION("""COMPUTED_VALUE"""),"Panel")</f>
        <v>Panel</v>
      </c>
      <c r="J501" s="2" t="str">
        <f>IFERROR(__xludf.DUMMYFUNCTION("""COMPUTED_VALUE"""),"All amenities")</f>
        <v>All amenities</v>
      </c>
      <c r="K501" s="2">
        <f>IFERROR(__xludf.DUMMYFUNCTION("""COMPUTED_VALUE"""),209990.0)</f>
        <v>209990</v>
      </c>
      <c r="L501" s="2">
        <f>IFERROR(__xludf.DUMMYFUNCTION("""COMPUTED_VALUE"""),56.9453381999999)</f>
        <v>56.9453382</v>
      </c>
      <c r="M501" s="2">
        <f>IFERROR(__xludf.DUMMYFUNCTION("""COMPUTED_VALUE"""),24.1094639533088)</f>
        <v>24.10946395</v>
      </c>
    </row>
    <row r="502">
      <c r="A502" s="2" t="str">
        <f>IFERROR(__xludf.DUMMYFUNCTION("""COMPUTED_VALUE"""),"For sale")</f>
        <v>For sale</v>
      </c>
      <c r="B502" s="2" t="str">
        <f>IFERROR(__xludf.DUMMYFUNCTION("""COMPUTED_VALUE"""),"centrs")</f>
        <v>centrs</v>
      </c>
      <c r="C502" s="2" t="str">
        <f>IFERROR(__xludf.DUMMYFUNCTION("""COMPUTED_VALUE"""),"Alberta 7")</f>
        <v>Alberta 7</v>
      </c>
      <c r="D502" s="2">
        <f>IFERROR(__xludf.DUMMYFUNCTION("""COMPUTED_VALUE"""),6.0)</f>
        <v>6</v>
      </c>
      <c r="E502" s="2">
        <f>IFERROR(__xludf.DUMMYFUNCTION("""COMPUTED_VALUE"""),168.0)</f>
        <v>168</v>
      </c>
      <c r="F502" s="2">
        <f>IFERROR(__xludf.DUMMYFUNCTION("""COMPUTED_VALUE"""),2.0)</f>
        <v>2</v>
      </c>
      <c r="G502" s="2">
        <f>IFERROR(__xludf.DUMMYFUNCTION("""COMPUTED_VALUE"""),5.0)</f>
        <v>5</v>
      </c>
      <c r="H502" s="2" t="str">
        <f>IFERROR(__xludf.DUMMYFUNCTION("""COMPUTED_VALUE"""),"P. kara")</f>
        <v>P. kara</v>
      </c>
      <c r="I502" s="2" t="str">
        <f>IFERROR(__xludf.DUMMYFUNCTION("""COMPUTED_VALUE"""),"Masonry")</f>
        <v>Masonry</v>
      </c>
      <c r="J502" s="2" t="str">
        <f>IFERROR(__xludf.DUMMYFUNCTION("""COMPUTED_VALUE"""),"All amenities")</f>
        <v>All amenities</v>
      </c>
      <c r="K502" s="2">
        <f>IFERROR(__xludf.DUMMYFUNCTION("""COMPUTED_VALUE"""),310800.0)</f>
        <v>310800</v>
      </c>
      <c r="L502" s="2">
        <f>IFERROR(__xludf.DUMMYFUNCTION("""COMPUTED_VALUE"""),56.95892215)</f>
        <v>56.95892215</v>
      </c>
      <c r="M502" s="2">
        <f>IFERROR(__xludf.DUMMYFUNCTION("""COMPUTED_VALUE"""),24.1096105097308)</f>
        <v>24.10961051</v>
      </c>
    </row>
    <row r="503">
      <c r="A503" s="2" t="str">
        <f>IFERROR(__xludf.DUMMYFUNCTION("""COMPUTED_VALUE"""),"For sale")</f>
        <v>For sale</v>
      </c>
      <c r="B503" s="2" t="str">
        <f>IFERROR(__xludf.DUMMYFUNCTION("""COMPUTED_VALUE"""),"Āgenskalns")</f>
        <v>Āgenskalns</v>
      </c>
      <c r="C503" s="2" t="str">
        <f>IFERROR(__xludf.DUMMYFUNCTION("""COMPUTED_VALUE"""),"Uzvaras bulv. 2/4a")</f>
        <v>Uzvaras bulv. 2/4a</v>
      </c>
      <c r="D503" s="2">
        <f>IFERROR(__xludf.DUMMYFUNCTION("""COMPUTED_VALUE"""),2.0)</f>
        <v>2</v>
      </c>
      <c r="E503" s="2">
        <f>IFERROR(__xludf.DUMMYFUNCTION("""COMPUTED_VALUE"""),52.0)</f>
        <v>52</v>
      </c>
      <c r="F503" s="2">
        <f>IFERROR(__xludf.DUMMYFUNCTION("""COMPUTED_VALUE"""),2.0)</f>
        <v>2</v>
      </c>
      <c r="G503" s="2">
        <f>IFERROR(__xludf.DUMMYFUNCTION("""COMPUTED_VALUE"""),2.0)</f>
        <v>2</v>
      </c>
      <c r="H503" s="2" t="str">
        <f>IFERROR(__xludf.DUMMYFUNCTION("""COMPUTED_VALUE"""),"P. kara")</f>
        <v>P. kara</v>
      </c>
      <c r="I503" s="2" t="str">
        <f>IFERROR(__xludf.DUMMYFUNCTION("""COMPUTED_VALUE"""),"Brick")</f>
        <v>Brick</v>
      </c>
      <c r="J503" s="2" t="str">
        <f>IFERROR(__xludf.DUMMYFUNCTION("""COMPUTED_VALUE"""),"Partial amenities")</f>
        <v>Partial amenities</v>
      </c>
      <c r="K503" s="2">
        <f>IFERROR(__xludf.DUMMYFUNCTION("""COMPUTED_VALUE"""),39900.0)</f>
        <v>39900</v>
      </c>
      <c r="L503" s="2" t="str">
        <f>IFERROR(__xludf.DUMMYFUNCTION("""COMPUTED_VALUE"""),"NaN")</f>
        <v>NaN</v>
      </c>
      <c r="M503" s="2" t="str">
        <f>IFERROR(__xludf.DUMMYFUNCTION("""COMPUTED_VALUE"""),"NaN")</f>
        <v>NaN</v>
      </c>
    </row>
    <row r="504">
      <c r="A504" s="2" t="str">
        <f>IFERROR(__xludf.DUMMYFUNCTION("""COMPUTED_VALUE"""),"For sale")</f>
        <v>For sale</v>
      </c>
      <c r="B504" s="2" t="str">
        <f>IFERROR(__xludf.DUMMYFUNCTION("""COMPUTED_VALUE"""),"Zolitūde")</f>
        <v>Zolitūde</v>
      </c>
      <c r="C504" s="2" t="str">
        <f>IFERROR(__xludf.DUMMYFUNCTION("""COMPUTED_VALUE"""),"Priedaines 13")</f>
        <v>Priedaines 13</v>
      </c>
      <c r="D504" s="2">
        <f>IFERROR(__xludf.DUMMYFUNCTION("""COMPUTED_VALUE"""),4.0)</f>
        <v>4</v>
      </c>
      <c r="E504" s="2">
        <f>IFERROR(__xludf.DUMMYFUNCTION("""COMPUTED_VALUE"""),184.0)</f>
        <v>184</v>
      </c>
      <c r="F504" s="2">
        <f>IFERROR(__xludf.DUMMYFUNCTION("""COMPUTED_VALUE"""),5.0)</f>
        <v>5</v>
      </c>
      <c r="G504" s="2">
        <f>IFERROR(__xludf.DUMMYFUNCTION("""COMPUTED_VALUE"""),5.0)</f>
        <v>5</v>
      </c>
      <c r="H504" s="2" t="str">
        <f>IFERROR(__xludf.DUMMYFUNCTION("""COMPUTED_VALUE"""),"Jaun.")</f>
        <v>Jaun.</v>
      </c>
      <c r="I504" s="2" t="str">
        <f>IFERROR(__xludf.DUMMYFUNCTION("""COMPUTED_VALUE"""),"Panel-Brick")</f>
        <v>Panel-Brick</v>
      </c>
      <c r="J504" s="2" t="str">
        <f>IFERROR(__xludf.DUMMYFUNCTION("""COMPUTED_VALUE"""),"All amenities")</f>
        <v>All amenities</v>
      </c>
      <c r="K504" s="2">
        <f>IFERROR(__xludf.DUMMYFUNCTION("""COMPUTED_VALUE"""),172000.0)</f>
        <v>172000</v>
      </c>
      <c r="L504" s="2">
        <f>IFERROR(__xludf.DUMMYFUNCTION("""COMPUTED_VALUE"""),56.9425813)</f>
        <v>56.9425813</v>
      </c>
      <c r="M504" s="2">
        <f>IFERROR(__xludf.DUMMYFUNCTION("""COMPUTED_VALUE"""),24.0156589752924)</f>
        <v>24.01565898</v>
      </c>
    </row>
    <row r="505">
      <c r="A505" s="2" t="str">
        <f>IFERROR(__xludf.DUMMYFUNCTION("""COMPUTED_VALUE"""),"For sale")</f>
        <v>For sale</v>
      </c>
      <c r="B505" s="2" t="str">
        <f>IFERROR(__xludf.DUMMYFUNCTION("""COMPUTED_VALUE"""),"Āgenskalns")</f>
        <v>Āgenskalns</v>
      </c>
      <c r="C505" s="2" t="str">
        <f>IFERROR(__xludf.DUMMYFUNCTION("""COMPUTED_VALUE"""),"Vīlipa 8")</f>
        <v>Vīlipa 8</v>
      </c>
      <c r="D505" s="2">
        <f>IFERROR(__xludf.DUMMYFUNCTION("""COMPUTED_VALUE"""),2.0)</f>
        <v>2</v>
      </c>
      <c r="E505" s="2">
        <f>IFERROR(__xludf.DUMMYFUNCTION("""COMPUTED_VALUE"""),50.0)</f>
        <v>50</v>
      </c>
      <c r="F505" s="2">
        <f>IFERROR(__xludf.DUMMYFUNCTION("""COMPUTED_VALUE"""),3.0)</f>
        <v>3</v>
      </c>
      <c r="G505" s="2">
        <f>IFERROR(__xludf.DUMMYFUNCTION("""COMPUTED_VALUE"""),9.0)</f>
        <v>9</v>
      </c>
      <c r="H505" s="2">
        <f>IFERROR(__xludf.DUMMYFUNCTION("""COMPUTED_VALUE"""),467.0)</f>
        <v>467</v>
      </c>
      <c r="I505" s="2" t="str">
        <f>IFERROR(__xludf.DUMMYFUNCTION("""COMPUTED_VALUE"""),"Panel")</f>
        <v>Panel</v>
      </c>
      <c r="J505" s="2" t="str">
        <f>IFERROR(__xludf.DUMMYFUNCTION("""COMPUTED_VALUE"""),"All amenities")</f>
        <v>All amenities</v>
      </c>
      <c r="K505" s="2">
        <f>IFERROR(__xludf.DUMMYFUNCTION("""COMPUTED_VALUE"""),55000.0)</f>
        <v>55000</v>
      </c>
      <c r="L505" s="2">
        <f>IFERROR(__xludf.DUMMYFUNCTION("""COMPUTED_VALUE"""),56.9478021)</f>
        <v>56.9478021</v>
      </c>
      <c r="M505" s="2">
        <f>IFERROR(__xludf.DUMMYFUNCTION("""COMPUTED_VALUE"""),24.058226716862)</f>
        <v>24.05822672</v>
      </c>
    </row>
    <row r="506">
      <c r="A506" s="2" t="str">
        <f>IFERROR(__xludf.DUMMYFUNCTION("""COMPUTED_VALUE"""),"For sale")</f>
        <v>For sale</v>
      </c>
      <c r="B506" s="2" t="str">
        <f>IFERROR(__xludf.DUMMYFUNCTION("""COMPUTED_VALUE"""),"Torņakalns")</f>
        <v>Torņakalns</v>
      </c>
      <c r="C506" s="2" t="str">
        <f>IFERROR(__xludf.DUMMYFUNCTION("""COMPUTED_VALUE"""),"Jelgavas 63")</f>
        <v>Jelgavas 63</v>
      </c>
      <c r="D506" s="2">
        <f>IFERROR(__xludf.DUMMYFUNCTION("""COMPUTED_VALUE"""),2.0)</f>
        <v>2</v>
      </c>
      <c r="E506" s="2">
        <f>IFERROR(__xludf.DUMMYFUNCTION("""COMPUTED_VALUE"""),47.0)</f>
        <v>47</v>
      </c>
      <c r="F506" s="2">
        <f>IFERROR(__xludf.DUMMYFUNCTION("""COMPUTED_VALUE"""),3.0)</f>
        <v>3</v>
      </c>
      <c r="G506" s="2">
        <f>IFERROR(__xludf.DUMMYFUNCTION("""COMPUTED_VALUE"""),6.0)</f>
        <v>6</v>
      </c>
      <c r="H506" s="2" t="str">
        <f>IFERROR(__xludf.DUMMYFUNCTION("""COMPUTED_VALUE"""),"Jaun.")</f>
        <v>Jaun.</v>
      </c>
      <c r="I506" s="2" t="str">
        <f>IFERROR(__xludf.DUMMYFUNCTION("""COMPUTED_VALUE"""),"Panel-Brick")</f>
        <v>Panel-Brick</v>
      </c>
      <c r="J506" s="2" t="str">
        <f>IFERROR(__xludf.DUMMYFUNCTION("""COMPUTED_VALUE"""),"All amenities")</f>
        <v>All amenities</v>
      </c>
      <c r="K506" s="2">
        <f>IFERROR(__xludf.DUMMYFUNCTION("""COMPUTED_VALUE"""),68000.0)</f>
        <v>68000</v>
      </c>
      <c r="L506" s="2">
        <f>IFERROR(__xludf.DUMMYFUNCTION("""COMPUTED_VALUE"""),56.9273343)</f>
        <v>56.9273343</v>
      </c>
      <c r="M506" s="2">
        <f>IFERROR(__xludf.DUMMYFUNCTION("""COMPUTED_VALUE"""),24.0927797020755)</f>
        <v>24.0927797</v>
      </c>
    </row>
    <row r="507">
      <c r="A507" s="2" t="str">
        <f>IFERROR(__xludf.DUMMYFUNCTION("""COMPUTED_VALUE"""),"For sale")</f>
        <v>For sale</v>
      </c>
      <c r="B507" s="2" t="str">
        <f>IFERROR(__xludf.DUMMYFUNCTION("""COMPUTED_VALUE"""),"Teika")</f>
        <v>Teika</v>
      </c>
      <c r="C507" s="2" t="str">
        <f>IFERROR(__xludf.DUMMYFUNCTION("""COMPUTED_VALUE"""),"Palmu 13")</f>
        <v>Palmu 13</v>
      </c>
      <c r="D507" s="2">
        <f>IFERROR(__xludf.DUMMYFUNCTION("""COMPUTED_VALUE"""),2.0)</f>
        <v>2</v>
      </c>
      <c r="E507" s="2">
        <f>IFERROR(__xludf.DUMMYFUNCTION("""COMPUTED_VALUE"""),48.0)</f>
        <v>48</v>
      </c>
      <c r="F507" s="2">
        <f>IFERROR(__xludf.DUMMYFUNCTION("""COMPUTED_VALUE"""),1.0)</f>
        <v>1</v>
      </c>
      <c r="G507" s="2">
        <f>IFERROR(__xludf.DUMMYFUNCTION("""COMPUTED_VALUE"""),2.0)</f>
        <v>2</v>
      </c>
      <c r="H507" s="2" t="str">
        <f>IFERROR(__xludf.DUMMYFUNCTION("""COMPUTED_VALUE"""),"P. kara")</f>
        <v>P. kara</v>
      </c>
      <c r="I507" s="2" t="str">
        <f>IFERROR(__xludf.DUMMYFUNCTION("""COMPUTED_VALUE"""),"Brick")</f>
        <v>Brick</v>
      </c>
      <c r="J507" s="2" t="str">
        <f>IFERROR(__xludf.DUMMYFUNCTION("""COMPUTED_VALUE"""),"All amenities")</f>
        <v>All amenities</v>
      </c>
      <c r="K507" s="2">
        <f>IFERROR(__xludf.DUMMYFUNCTION("""COMPUTED_VALUE"""),54000.0)</f>
        <v>54000</v>
      </c>
      <c r="L507" s="2">
        <f>IFERROR(__xludf.DUMMYFUNCTION("""COMPUTED_VALUE"""),56.9807317)</f>
        <v>56.9807317</v>
      </c>
      <c r="M507" s="2">
        <f>IFERROR(__xludf.DUMMYFUNCTION("""COMPUTED_VALUE"""),24.1792871648999)</f>
        <v>24.17928716</v>
      </c>
    </row>
    <row r="508">
      <c r="A508" s="2" t="str">
        <f>IFERROR(__xludf.DUMMYFUNCTION("""COMPUTED_VALUE"""),"For sale")</f>
        <v>For sale</v>
      </c>
      <c r="B508" s="2" t="str">
        <f>IFERROR(__xludf.DUMMYFUNCTION("""COMPUTED_VALUE"""),"Iļģuciems")</f>
        <v>Iļģuciems</v>
      </c>
      <c r="C508" s="2" t="str">
        <f>IFERROR(__xludf.DUMMYFUNCTION("""COMPUTED_VALUE"""),"Reņģes 5")</f>
        <v>Reņģes 5</v>
      </c>
      <c r="D508" s="2">
        <f>IFERROR(__xludf.DUMMYFUNCTION("""COMPUTED_VALUE"""),2.0)</f>
        <v>2</v>
      </c>
      <c r="E508" s="2">
        <f>IFERROR(__xludf.DUMMYFUNCTION("""COMPUTED_VALUE"""),50.0)</f>
        <v>50</v>
      </c>
      <c r="F508" s="2">
        <f>IFERROR(__xludf.DUMMYFUNCTION("""COMPUTED_VALUE"""),2.0)</f>
        <v>2</v>
      </c>
      <c r="G508" s="2">
        <f>IFERROR(__xludf.DUMMYFUNCTION("""COMPUTED_VALUE"""),3.0)</f>
        <v>3</v>
      </c>
      <c r="H508" s="2" t="str">
        <f>IFERROR(__xludf.DUMMYFUNCTION("""COMPUTED_VALUE"""),"Staļina")</f>
        <v>Staļina</v>
      </c>
      <c r="I508" s="2" t="str">
        <f>IFERROR(__xludf.DUMMYFUNCTION("""COMPUTED_VALUE"""),"Brick")</f>
        <v>Brick</v>
      </c>
      <c r="J508" s="2" t="str">
        <f>IFERROR(__xludf.DUMMYFUNCTION("""COMPUTED_VALUE"""),"All amenities")</f>
        <v>All amenities</v>
      </c>
      <c r="K508" s="2">
        <f>IFERROR(__xludf.DUMMYFUNCTION("""COMPUTED_VALUE"""),42000.0)</f>
        <v>42000</v>
      </c>
      <c r="L508" s="2">
        <f>IFERROR(__xludf.DUMMYFUNCTION("""COMPUTED_VALUE"""),56.9661155999999)</f>
        <v>56.9661156</v>
      </c>
      <c r="M508" s="2">
        <f>IFERROR(__xludf.DUMMYFUNCTION("""COMPUTED_VALUE"""),24.0633048760373)</f>
        <v>24.06330488</v>
      </c>
    </row>
    <row r="509">
      <c r="A509" s="2" t="str">
        <f>IFERROR(__xludf.DUMMYFUNCTION("""COMPUTED_VALUE"""),"For sale")</f>
        <v>For sale</v>
      </c>
      <c r="B509" s="2" t="str">
        <f>IFERROR(__xludf.DUMMYFUNCTION("""COMPUTED_VALUE"""),"Iļģuciems")</f>
        <v>Iļģuciems</v>
      </c>
      <c r="C509" s="2" t="str">
        <f>IFERROR(__xludf.DUMMYFUNCTION("""COMPUTED_VALUE"""),"Buļļu 42a")</f>
        <v>Buļļu 42a</v>
      </c>
      <c r="D509" s="2">
        <f>IFERROR(__xludf.DUMMYFUNCTION("""COMPUTED_VALUE"""),1.0)</f>
        <v>1</v>
      </c>
      <c r="E509" s="2">
        <f>IFERROR(__xludf.DUMMYFUNCTION("""COMPUTED_VALUE"""),45.0)</f>
        <v>45</v>
      </c>
      <c r="F509" s="2">
        <f>IFERROR(__xludf.DUMMYFUNCTION("""COMPUTED_VALUE"""),5.0)</f>
        <v>5</v>
      </c>
      <c r="G509" s="2">
        <f>IFERROR(__xludf.DUMMYFUNCTION("""COMPUTED_VALUE"""),9.0)</f>
        <v>9</v>
      </c>
      <c r="H509" s="2">
        <f>IFERROR(__xludf.DUMMYFUNCTION("""COMPUTED_VALUE"""),119.0)</f>
        <v>119</v>
      </c>
      <c r="I509" s="2" t="str">
        <f>IFERROR(__xludf.DUMMYFUNCTION("""COMPUTED_VALUE"""),"Panel")</f>
        <v>Panel</v>
      </c>
      <c r="J509" s="2" t="str">
        <f>IFERROR(__xludf.DUMMYFUNCTION("""COMPUTED_VALUE"""),"All amenities")</f>
        <v>All amenities</v>
      </c>
      <c r="K509" s="2">
        <f>IFERROR(__xludf.DUMMYFUNCTION("""COMPUTED_VALUE"""),47800.0)</f>
        <v>47800</v>
      </c>
      <c r="L509" s="2">
        <f>IFERROR(__xludf.DUMMYFUNCTION("""COMPUTED_VALUE"""),56.9682471)</f>
        <v>56.9682471</v>
      </c>
      <c r="M509" s="2">
        <f>IFERROR(__xludf.DUMMYFUNCTION("""COMPUTED_VALUE"""),24.0497274)</f>
        <v>24.0497274</v>
      </c>
    </row>
    <row r="510">
      <c r="A510" s="2" t="str">
        <f>IFERROR(__xludf.DUMMYFUNCTION("""COMPUTED_VALUE"""),"For sale")</f>
        <v>For sale</v>
      </c>
      <c r="B510" s="2" t="str">
        <f>IFERROR(__xludf.DUMMYFUNCTION("""COMPUTED_VALUE"""),"Purvciems")</f>
        <v>Purvciems</v>
      </c>
      <c r="C510" s="2" t="str">
        <f>IFERROR(__xludf.DUMMYFUNCTION("""COMPUTED_VALUE"""),"Stirnu 43")</f>
        <v>Stirnu 43</v>
      </c>
      <c r="D510" s="2">
        <f>IFERROR(__xludf.DUMMYFUNCTION("""COMPUTED_VALUE"""),3.0)</f>
        <v>3</v>
      </c>
      <c r="E510" s="2">
        <f>IFERROR(__xludf.DUMMYFUNCTION("""COMPUTED_VALUE"""),59.0)</f>
        <v>59</v>
      </c>
      <c r="F510" s="2">
        <f>IFERROR(__xludf.DUMMYFUNCTION("""COMPUTED_VALUE"""),1.0)</f>
        <v>1</v>
      </c>
      <c r="G510" s="2">
        <f>IFERROR(__xludf.DUMMYFUNCTION("""COMPUTED_VALUE"""),5.0)</f>
        <v>5</v>
      </c>
      <c r="H510" s="2" t="str">
        <f>IFERROR(__xludf.DUMMYFUNCTION("""COMPUTED_VALUE"""),"LT proj.")</f>
        <v>LT proj.</v>
      </c>
      <c r="I510" s="2" t="str">
        <f>IFERROR(__xludf.DUMMYFUNCTION("""COMPUTED_VALUE"""),"Panel")</f>
        <v>Panel</v>
      </c>
      <c r="J510" s="2" t="str">
        <f>IFERROR(__xludf.DUMMYFUNCTION("""COMPUTED_VALUE"""),"All amenities")</f>
        <v>All amenities</v>
      </c>
      <c r="K510" s="2">
        <f>IFERROR(__xludf.DUMMYFUNCTION("""COMPUTED_VALUE"""),45500.0)</f>
        <v>45500</v>
      </c>
      <c r="L510" s="2">
        <f>IFERROR(__xludf.DUMMYFUNCTION("""COMPUTED_VALUE"""),56.9621302)</f>
        <v>56.9621302</v>
      </c>
      <c r="M510" s="2">
        <f>IFERROR(__xludf.DUMMYFUNCTION("""COMPUTED_VALUE"""),24.1879413147568)</f>
        <v>24.18794131</v>
      </c>
    </row>
    <row r="511">
      <c r="A511" s="2" t="str">
        <f>IFERROR(__xludf.DUMMYFUNCTION("""COMPUTED_VALUE"""),"For rent")</f>
        <v>For rent</v>
      </c>
      <c r="B511" s="2" t="str">
        <f>IFERROR(__xludf.DUMMYFUNCTION("""COMPUTED_VALUE"""),"centrs")</f>
        <v>centrs</v>
      </c>
      <c r="C511" s="2" t="str">
        <f>IFERROR(__xludf.DUMMYFUNCTION("""COMPUTED_VALUE"""),"Rūpniecības 20")</f>
        <v>Rūpniecības 20</v>
      </c>
      <c r="D511" s="2">
        <f>IFERROR(__xludf.DUMMYFUNCTION("""COMPUTED_VALUE"""),3.0)</f>
        <v>3</v>
      </c>
      <c r="E511" s="2">
        <f>IFERROR(__xludf.DUMMYFUNCTION("""COMPUTED_VALUE"""),89.0)</f>
        <v>89</v>
      </c>
      <c r="F511" s="2">
        <f>IFERROR(__xludf.DUMMYFUNCTION("""COMPUTED_VALUE"""),2.0)</f>
        <v>2</v>
      </c>
      <c r="G511" s="2">
        <f>IFERROR(__xludf.DUMMYFUNCTION("""COMPUTED_VALUE"""),4.0)</f>
        <v>4</v>
      </c>
      <c r="H511" s="2" t="str">
        <f>IFERROR(__xludf.DUMMYFUNCTION("""COMPUTED_VALUE"""),"Renov.")</f>
        <v>Renov.</v>
      </c>
      <c r="I511" s="2" t="str">
        <f>IFERROR(__xludf.DUMMYFUNCTION("""COMPUTED_VALUE"""),"Brick")</f>
        <v>Brick</v>
      </c>
      <c r="J511" s="2" t="str">
        <f>IFERROR(__xludf.DUMMYFUNCTION("""COMPUTED_VALUE"""),"All amenities")</f>
        <v>All amenities</v>
      </c>
      <c r="K511" s="2">
        <f>IFERROR(__xludf.DUMMYFUNCTION("""COMPUTED_VALUE"""),950.0)</f>
        <v>950</v>
      </c>
      <c r="L511" s="2">
        <f>IFERROR(__xludf.DUMMYFUNCTION("""COMPUTED_VALUE"""),56.9612223)</f>
        <v>56.9612223</v>
      </c>
      <c r="M511" s="2">
        <f>IFERROR(__xludf.DUMMYFUNCTION("""COMPUTED_VALUE"""),24.1042036001522)</f>
        <v>24.1042036</v>
      </c>
    </row>
    <row r="512">
      <c r="A512" s="2" t="str">
        <f>IFERROR(__xludf.DUMMYFUNCTION("""COMPUTED_VALUE"""),"For sale")</f>
        <v>For sale</v>
      </c>
      <c r="B512" s="2" t="str">
        <f>IFERROR(__xludf.DUMMYFUNCTION("""COMPUTED_VALUE"""),"Šampēteris-Pleskodāle")</f>
        <v>Šampēteris-Pleskodāle</v>
      </c>
      <c r="C512" s="2" t="str">
        <f>IFERROR(__xludf.DUMMYFUNCTION("""COMPUTED_VALUE"""),"Stendes 5")</f>
        <v>Stendes 5</v>
      </c>
      <c r="D512" s="2">
        <f>IFERROR(__xludf.DUMMYFUNCTION("""COMPUTED_VALUE"""),2.0)</f>
        <v>2</v>
      </c>
      <c r="E512" s="2">
        <f>IFERROR(__xludf.DUMMYFUNCTION("""COMPUTED_VALUE"""),72.0)</f>
        <v>72</v>
      </c>
      <c r="F512" s="2">
        <f>IFERROR(__xludf.DUMMYFUNCTION("""COMPUTED_VALUE"""),1.0)</f>
        <v>1</v>
      </c>
      <c r="G512" s="2">
        <f>IFERROR(__xludf.DUMMYFUNCTION("""COMPUTED_VALUE"""),5.0)</f>
        <v>5</v>
      </c>
      <c r="H512" s="2" t="str">
        <f>IFERROR(__xludf.DUMMYFUNCTION("""COMPUTED_VALUE"""),"Jaun.")</f>
        <v>Jaun.</v>
      </c>
      <c r="I512" s="2" t="str">
        <f>IFERROR(__xludf.DUMMYFUNCTION("""COMPUTED_VALUE"""),"Panel")</f>
        <v>Panel</v>
      </c>
      <c r="J512" s="2" t="str">
        <f>IFERROR(__xludf.DUMMYFUNCTION("""COMPUTED_VALUE"""),"All amenities")</f>
        <v>All amenities</v>
      </c>
      <c r="K512" s="2">
        <f>IFERROR(__xludf.DUMMYFUNCTION("""COMPUTED_VALUE"""),145000.0)</f>
        <v>145000</v>
      </c>
      <c r="L512" s="2">
        <f>IFERROR(__xludf.DUMMYFUNCTION("""COMPUTED_VALUE"""),56.9399149)</f>
        <v>56.9399149</v>
      </c>
      <c r="M512" s="2">
        <f>IFERROR(__xludf.DUMMYFUNCTION("""COMPUTED_VALUE"""),24.0365127)</f>
        <v>24.0365127</v>
      </c>
    </row>
    <row r="513">
      <c r="A513" s="2" t="str">
        <f>IFERROR(__xludf.DUMMYFUNCTION("""COMPUTED_VALUE"""),"For sale")</f>
        <v>For sale</v>
      </c>
      <c r="B513" s="2" t="str">
        <f>IFERROR(__xludf.DUMMYFUNCTION("""COMPUTED_VALUE"""),"Purvciems")</f>
        <v>Purvciems</v>
      </c>
      <c r="C513" s="2" t="str">
        <f>IFERROR(__xludf.DUMMYFUNCTION("""COMPUTED_VALUE"""),"Madonas 25")</f>
        <v>Madonas 25</v>
      </c>
      <c r="D513" s="2">
        <f>IFERROR(__xludf.DUMMYFUNCTION("""COMPUTED_VALUE"""),4.0)</f>
        <v>4</v>
      </c>
      <c r="E513" s="2">
        <f>IFERROR(__xludf.DUMMYFUNCTION("""COMPUTED_VALUE"""),93.0)</f>
        <v>93</v>
      </c>
      <c r="F513" s="2">
        <f>IFERROR(__xludf.DUMMYFUNCTION("""COMPUTED_VALUE"""),6.0)</f>
        <v>6</v>
      </c>
      <c r="G513" s="2">
        <f>IFERROR(__xludf.DUMMYFUNCTION("""COMPUTED_VALUE"""),9.0)</f>
        <v>9</v>
      </c>
      <c r="H513" s="2">
        <f>IFERROR(__xludf.DUMMYFUNCTION("""COMPUTED_VALUE"""),119.0)</f>
        <v>119</v>
      </c>
      <c r="I513" s="2" t="str">
        <f>IFERROR(__xludf.DUMMYFUNCTION("""COMPUTED_VALUE"""),"Panel")</f>
        <v>Panel</v>
      </c>
      <c r="J513" s="2" t="str">
        <f>IFERROR(__xludf.DUMMYFUNCTION("""COMPUTED_VALUE"""),"All amenities")</f>
        <v>All amenities</v>
      </c>
      <c r="K513" s="2">
        <f>IFERROR(__xludf.DUMMYFUNCTION("""COMPUTED_VALUE"""),95000.0)</f>
        <v>95000</v>
      </c>
      <c r="L513" s="2">
        <f>IFERROR(__xludf.DUMMYFUNCTION("""COMPUTED_VALUE"""),56.960424)</f>
        <v>56.960424</v>
      </c>
      <c r="M513" s="2">
        <f>IFERROR(__xludf.DUMMYFUNCTION("""COMPUTED_VALUE"""),24.1732897)</f>
        <v>24.1732897</v>
      </c>
    </row>
    <row r="514">
      <c r="A514" s="2" t="str">
        <f>IFERROR(__xludf.DUMMYFUNCTION("""COMPUTED_VALUE"""),"For sale")</f>
        <v>For sale</v>
      </c>
      <c r="B514" s="2" t="str">
        <f>IFERROR(__xludf.DUMMYFUNCTION("""COMPUTED_VALUE"""),"Purvciems")</f>
        <v>Purvciems</v>
      </c>
      <c r="C514" s="2" t="str">
        <f>IFERROR(__xludf.DUMMYFUNCTION("""COMPUTED_VALUE"""),"Dzelzavas 74k1")</f>
        <v>Dzelzavas 74k1</v>
      </c>
      <c r="D514" s="2">
        <f>IFERROR(__xludf.DUMMYFUNCTION("""COMPUTED_VALUE"""),3.0)</f>
        <v>3</v>
      </c>
      <c r="E514" s="2">
        <f>IFERROR(__xludf.DUMMYFUNCTION("""COMPUTED_VALUE"""),73.8)</f>
        <v>73.8</v>
      </c>
      <c r="F514" s="2">
        <f>IFERROR(__xludf.DUMMYFUNCTION("""COMPUTED_VALUE"""),7.0)</f>
        <v>7</v>
      </c>
      <c r="G514" s="2">
        <f>IFERROR(__xludf.DUMMYFUNCTION("""COMPUTED_VALUE"""),11.0)</f>
        <v>11</v>
      </c>
      <c r="H514" s="2" t="str">
        <f>IFERROR(__xludf.DUMMYFUNCTION("""COMPUTED_VALUE"""),"Jaun.")</f>
        <v>Jaun.</v>
      </c>
      <c r="I514" s="2" t="str">
        <f>IFERROR(__xludf.DUMMYFUNCTION("""COMPUTED_VALUE"""),"Masonry")</f>
        <v>Masonry</v>
      </c>
      <c r="J514" s="2" t="str">
        <f>IFERROR(__xludf.DUMMYFUNCTION("""COMPUTED_VALUE"""),"All amenities")</f>
        <v>All amenities</v>
      </c>
      <c r="K514" s="2">
        <f>IFERROR(__xludf.DUMMYFUNCTION("""COMPUTED_VALUE"""),109500.0)</f>
        <v>109500</v>
      </c>
      <c r="L514" s="2">
        <f>IFERROR(__xludf.DUMMYFUNCTION("""COMPUTED_VALUE"""),56.9652534)</f>
        <v>56.9652534</v>
      </c>
      <c r="M514" s="2">
        <f>IFERROR(__xludf.DUMMYFUNCTION("""COMPUTED_VALUE"""),24.1656139)</f>
        <v>24.1656139</v>
      </c>
    </row>
    <row r="515">
      <c r="A515" s="2" t="str">
        <f>IFERROR(__xludf.DUMMYFUNCTION("""COMPUTED_VALUE"""),"For sale")</f>
        <v>For sale</v>
      </c>
      <c r="B515" s="2" t="str">
        <f>IFERROR(__xludf.DUMMYFUNCTION("""COMPUTED_VALUE"""),"Ķīpsala")</f>
        <v>Ķīpsala</v>
      </c>
      <c r="C515" s="2" t="str">
        <f>IFERROR(__xludf.DUMMYFUNCTION("""COMPUTED_VALUE"""),"Balasta d. 72")</f>
        <v>Balasta d. 72</v>
      </c>
      <c r="D515" s="2">
        <f>IFERROR(__xludf.DUMMYFUNCTION("""COMPUTED_VALUE"""),3.0)</f>
        <v>3</v>
      </c>
      <c r="E515" s="2">
        <f>IFERROR(__xludf.DUMMYFUNCTION("""COMPUTED_VALUE"""),122.0)</f>
        <v>122</v>
      </c>
      <c r="F515" s="2">
        <f>IFERROR(__xludf.DUMMYFUNCTION("""COMPUTED_VALUE"""),1.0)</f>
        <v>1</v>
      </c>
      <c r="G515" s="2">
        <f>IFERROR(__xludf.DUMMYFUNCTION("""COMPUTED_VALUE"""),3.0)</f>
        <v>3</v>
      </c>
      <c r="H515" s="2" t="str">
        <f>IFERROR(__xludf.DUMMYFUNCTION("""COMPUTED_VALUE"""),"Jaun.")</f>
        <v>Jaun.</v>
      </c>
      <c r="I515" s="2" t="str">
        <f>IFERROR(__xludf.DUMMYFUNCTION("""COMPUTED_VALUE"""),"Masonry")</f>
        <v>Masonry</v>
      </c>
      <c r="J515" s="2" t="str">
        <f>IFERROR(__xludf.DUMMYFUNCTION("""COMPUTED_VALUE"""),"All amenities")</f>
        <v>All amenities</v>
      </c>
      <c r="K515" s="2">
        <f>IFERROR(__xludf.DUMMYFUNCTION("""COMPUTED_VALUE"""),262000.0)</f>
        <v>262000</v>
      </c>
      <c r="L515" s="2">
        <f>IFERROR(__xludf.DUMMYFUNCTION("""COMPUTED_VALUE"""),56.9489344)</f>
        <v>56.9489344</v>
      </c>
      <c r="M515" s="2">
        <f>IFERROR(__xludf.DUMMYFUNCTION("""COMPUTED_VALUE"""),24.0882804)</f>
        <v>24.0882804</v>
      </c>
    </row>
    <row r="516">
      <c r="A516" s="2" t="str">
        <f>IFERROR(__xludf.DUMMYFUNCTION("""COMPUTED_VALUE"""),"For rent")</f>
        <v>For rent</v>
      </c>
      <c r="B516" s="2" t="str">
        <f>IFERROR(__xludf.DUMMYFUNCTION("""COMPUTED_VALUE"""),"Teika")</f>
        <v>Teika</v>
      </c>
      <c r="C516" s="2" t="str">
        <f>IFERROR(__xludf.DUMMYFUNCTION("""COMPUTED_VALUE"""),"Stārķu 2")</f>
        <v>Stārķu 2</v>
      </c>
      <c r="D516" s="2">
        <f>IFERROR(__xludf.DUMMYFUNCTION("""COMPUTED_VALUE"""),2.0)</f>
        <v>2</v>
      </c>
      <c r="E516" s="2">
        <f>IFERROR(__xludf.DUMMYFUNCTION("""COMPUTED_VALUE"""),45.0)</f>
        <v>45</v>
      </c>
      <c r="F516" s="2">
        <f>IFERROR(__xludf.DUMMYFUNCTION("""COMPUTED_VALUE"""),1.0)</f>
        <v>1</v>
      </c>
      <c r="G516" s="2">
        <f>IFERROR(__xludf.DUMMYFUNCTION("""COMPUTED_VALUE"""),5.0)</f>
        <v>5</v>
      </c>
      <c r="H516" s="2" t="str">
        <f>IFERROR(__xludf.DUMMYFUNCTION("""COMPUTED_VALUE"""),"Jaun.")</f>
        <v>Jaun.</v>
      </c>
      <c r="I516" s="2" t="str">
        <f>IFERROR(__xludf.DUMMYFUNCTION("""COMPUTED_VALUE"""),"Panel")</f>
        <v>Panel</v>
      </c>
      <c r="J516" s="2" t="str">
        <f>IFERROR(__xludf.DUMMYFUNCTION("""COMPUTED_VALUE"""),"All amenities")</f>
        <v>All amenities</v>
      </c>
      <c r="K516" s="2">
        <f>IFERROR(__xludf.DUMMYFUNCTION("""COMPUTED_VALUE"""),500.0)</f>
        <v>500</v>
      </c>
      <c r="L516" s="2">
        <f>IFERROR(__xludf.DUMMYFUNCTION("""COMPUTED_VALUE"""),56.9669209)</f>
        <v>56.9669209</v>
      </c>
      <c r="M516" s="2">
        <f>IFERROR(__xludf.DUMMYFUNCTION("""COMPUTED_VALUE"""),24.1689894)</f>
        <v>24.1689894</v>
      </c>
    </row>
    <row r="517">
      <c r="A517" s="2" t="str">
        <f>IFERROR(__xludf.DUMMYFUNCTION("""COMPUTED_VALUE"""),"For sale")</f>
        <v>For sale</v>
      </c>
      <c r="B517" s="2" t="str">
        <f>IFERROR(__xludf.DUMMYFUNCTION("""COMPUTED_VALUE"""),"Dārzciems")</f>
        <v>Dārzciems</v>
      </c>
      <c r="C517" s="2" t="str">
        <f>IFERROR(__xludf.DUMMYFUNCTION("""COMPUTED_VALUE"""),"Sesku 11")</f>
        <v>Sesku 11</v>
      </c>
      <c r="D517" s="2">
        <f>IFERROR(__xludf.DUMMYFUNCTION("""COMPUTED_VALUE"""),1.0)</f>
        <v>1</v>
      </c>
      <c r="E517" s="2">
        <f>IFERROR(__xludf.DUMMYFUNCTION("""COMPUTED_VALUE"""),42.0)</f>
        <v>42</v>
      </c>
      <c r="F517" s="2">
        <f>IFERROR(__xludf.DUMMYFUNCTION("""COMPUTED_VALUE"""),5.0)</f>
        <v>5</v>
      </c>
      <c r="G517" s="2">
        <f>IFERROR(__xludf.DUMMYFUNCTION("""COMPUTED_VALUE"""),5.0)</f>
        <v>5</v>
      </c>
      <c r="H517" s="2" t="str">
        <f>IFERROR(__xludf.DUMMYFUNCTION("""COMPUTED_VALUE"""),"M. ģim.")</f>
        <v>M. ģim.</v>
      </c>
      <c r="I517" s="2" t="str">
        <f>IFERROR(__xludf.DUMMYFUNCTION("""COMPUTED_VALUE"""),"Panel")</f>
        <v>Panel</v>
      </c>
      <c r="J517" s="2" t="str">
        <f>IFERROR(__xludf.DUMMYFUNCTION("""COMPUTED_VALUE"""),"All amenities")</f>
        <v>All amenities</v>
      </c>
      <c r="K517" s="2">
        <f>IFERROR(__xludf.DUMMYFUNCTION("""COMPUTED_VALUE"""),31000.0)</f>
        <v>31000</v>
      </c>
      <c r="L517" s="2">
        <f>IFERROR(__xludf.DUMMYFUNCTION("""COMPUTED_VALUE"""),56.9454164)</f>
        <v>56.9454164</v>
      </c>
      <c r="M517" s="2">
        <f>IFERROR(__xludf.DUMMYFUNCTION("""COMPUTED_VALUE"""),24.1772939679068)</f>
        <v>24.17729397</v>
      </c>
    </row>
    <row r="518">
      <c r="A518" s="2" t="str">
        <f>IFERROR(__xludf.DUMMYFUNCTION("""COMPUTED_VALUE"""),"For rent")</f>
        <v>For rent</v>
      </c>
      <c r="B518" s="2" t="str">
        <f>IFERROR(__xludf.DUMMYFUNCTION("""COMPUTED_VALUE"""),"Imanta")</f>
        <v>Imanta</v>
      </c>
      <c r="C518" s="2" t="str">
        <f>IFERROR(__xludf.DUMMYFUNCTION("""COMPUTED_VALUE"""),"Kurzemes pr. 112")</f>
        <v>Kurzemes pr. 112</v>
      </c>
      <c r="D518" s="2">
        <f>IFERROR(__xludf.DUMMYFUNCTION("""COMPUTED_VALUE"""),1.0)</f>
        <v>1</v>
      </c>
      <c r="E518" s="2">
        <f>IFERROR(__xludf.DUMMYFUNCTION("""COMPUTED_VALUE"""),27.0)</f>
        <v>27</v>
      </c>
      <c r="F518" s="2">
        <f>IFERROR(__xludf.DUMMYFUNCTION("""COMPUTED_VALUE"""),4.0)</f>
        <v>4</v>
      </c>
      <c r="G518" s="2">
        <f>IFERROR(__xludf.DUMMYFUNCTION("""COMPUTED_VALUE"""),5.0)</f>
        <v>5</v>
      </c>
      <c r="H518" s="2" t="str">
        <f>IFERROR(__xludf.DUMMYFUNCTION("""COMPUTED_VALUE"""),"LT proj.")</f>
        <v>LT proj.</v>
      </c>
      <c r="I518" s="2" t="str">
        <f>IFERROR(__xludf.DUMMYFUNCTION("""COMPUTED_VALUE"""),"Panel")</f>
        <v>Panel</v>
      </c>
      <c r="J518" s="2" t="str">
        <f>IFERROR(__xludf.DUMMYFUNCTION("""COMPUTED_VALUE"""),"All amenities")</f>
        <v>All amenities</v>
      </c>
      <c r="K518" s="2">
        <f>IFERROR(__xludf.DUMMYFUNCTION("""COMPUTED_VALUE"""),230.0)</f>
        <v>230</v>
      </c>
      <c r="L518" s="2" t="str">
        <f>IFERROR(__xludf.DUMMYFUNCTION("""COMPUTED_VALUE"""),"NaN")</f>
        <v>NaN</v>
      </c>
      <c r="M518" s="2" t="str">
        <f>IFERROR(__xludf.DUMMYFUNCTION("""COMPUTED_VALUE"""),"NaN")</f>
        <v>NaN</v>
      </c>
    </row>
    <row r="519">
      <c r="A519" s="2" t="str">
        <f>IFERROR(__xludf.DUMMYFUNCTION("""COMPUTED_VALUE"""),"For sale")</f>
        <v>For sale</v>
      </c>
      <c r="B519" s="2" t="str">
        <f>IFERROR(__xludf.DUMMYFUNCTION("""COMPUTED_VALUE"""),"Iļģuciems")</f>
        <v>Iļģuciems</v>
      </c>
      <c r="C519" s="2" t="str">
        <f>IFERROR(__xludf.DUMMYFUNCTION("""COMPUTED_VALUE"""),"Baltā 22/1")</f>
        <v>Baltā 22/1</v>
      </c>
      <c r="D519" s="2">
        <f>IFERROR(__xludf.DUMMYFUNCTION("""COMPUTED_VALUE"""),3.0)</f>
        <v>3</v>
      </c>
      <c r="E519" s="2">
        <f>IFERROR(__xludf.DUMMYFUNCTION("""COMPUTED_VALUE"""),65.0)</f>
        <v>65</v>
      </c>
      <c r="F519" s="2">
        <f>IFERROR(__xludf.DUMMYFUNCTION("""COMPUTED_VALUE"""),3.0)</f>
        <v>3</v>
      </c>
      <c r="G519" s="2">
        <f>IFERROR(__xludf.DUMMYFUNCTION("""COMPUTED_VALUE"""),5.0)</f>
        <v>5</v>
      </c>
      <c r="H519" s="2">
        <f>IFERROR(__xludf.DUMMYFUNCTION("""COMPUTED_VALUE"""),103.0)</f>
        <v>103</v>
      </c>
      <c r="I519" s="2" t="str">
        <f>IFERROR(__xludf.DUMMYFUNCTION("""COMPUTED_VALUE"""),"Brick-Panel")</f>
        <v>Brick-Panel</v>
      </c>
      <c r="J519" s="2" t="str">
        <f>IFERROR(__xludf.DUMMYFUNCTION("""COMPUTED_VALUE"""),"All amenities")</f>
        <v>All amenities</v>
      </c>
      <c r="K519" s="2">
        <f>IFERROR(__xludf.DUMMYFUNCTION("""COMPUTED_VALUE"""),70000.0)</f>
        <v>70000</v>
      </c>
      <c r="L519" s="2">
        <f>IFERROR(__xludf.DUMMYFUNCTION("""COMPUTED_VALUE"""),56.9653645)</f>
        <v>56.9653645</v>
      </c>
      <c r="M519" s="2">
        <f>IFERROR(__xludf.DUMMYFUNCTION("""COMPUTED_VALUE"""),24.0697389)</f>
        <v>24.0697389</v>
      </c>
    </row>
    <row r="520">
      <c r="A520" s="2" t="str">
        <f>IFERROR(__xludf.DUMMYFUNCTION("""COMPUTED_VALUE"""),"For sale")</f>
        <v>For sale</v>
      </c>
      <c r="B520" s="2" t="str">
        <f>IFERROR(__xludf.DUMMYFUNCTION("""COMPUTED_VALUE"""),"Vecmīlgrāvis")</f>
        <v>Vecmīlgrāvis</v>
      </c>
      <c r="C520" s="2" t="str">
        <f>IFERROR(__xludf.DUMMYFUNCTION("""COMPUTED_VALUE"""),"Meldru 6")</f>
        <v>Meldru 6</v>
      </c>
      <c r="D520" s="2">
        <f>IFERROR(__xludf.DUMMYFUNCTION("""COMPUTED_VALUE"""),2.0)</f>
        <v>2</v>
      </c>
      <c r="E520" s="2">
        <f>IFERROR(__xludf.DUMMYFUNCTION("""COMPUTED_VALUE"""),43.0)</f>
        <v>43</v>
      </c>
      <c r="F520" s="2">
        <f>IFERROR(__xludf.DUMMYFUNCTION("""COMPUTED_VALUE"""),5.0)</f>
        <v>5</v>
      </c>
      <c r="G520" s="2">
        <f>IFERROR(__xludf.DUMMYFUNCTION("""COMPUTED_VALUE"""),4.0)</f>
        <v>4</v>
      </c>
      <c r="H520" s="2" t="str">
        <f>IFERROR(__xludf.DUMMYFUNCTION("""COMPUTED_VALUE"""),"Hrušč.")</f>
        <v>Hrušč.</v>
      </c>
      <c r="I520" s="2" t="str">
        <f>IFERROR(__xludf.DUMMYFUNCTION("""COMPUTED_VALUE"""),"Brick")</f>
        <v>Brick</v>
      </c>
      <c r="J520" s="2" t="str">
        <f>IFERROR(__xludf.DUMMYFUNCTION("""COMPUTED_VALUE"""),"All amenities")</f>
        <v>All amenities</v>
      </c>
      <c r="K520" s="2">
        <f>IFERROR(__xludf.DUMMYFUNCTION("""COMPUTED_VALUE"""),30000.0)</f>
        <v>30000</v>
      </c>
      <c r="L520" s="2">
        <f>IFERROR(__xludf.DUMMYFUNCTION("""COMPUTED_VALUE"""),57.02846205)</f>
        <v>57.02846205</v>
      </c>
      <c r="M520" s="2">
        <f>IFERROR(__xludf.DUMMYFUNCTION("""COMPUTED_VALUE"""),24.1020912732192)</f>
        <v>24.10209127</v>
      </c>
    </row>
    <row r="521">
      <c r="A521" s="2" t="str">
        <f>IFERROR(__xludf.DUMMYFUNCTION("""COMPUTED_VALUE"""),"For sale")</f>
        <v>For sale</v>
      </c>
      <c r="B521" s="2" t="str">
        <f>IFERROR(__xludf.DUMMYFUNCTION("""COMPUTED_VALUE"""),"Ķengarags")</f>
        <v>Ķengarags</v>
      </c>
      <c r="C521" s="2" t="str">
        <f>IFERROR(__xludf.DUMMYFUNCTION("""COMPUTED_VALUE"""),"Aglonas 12")</f>
        <v>Aglonas 12</v>
      </c>
      <c r="D521" s="2">
        <f>IFERROR(__xludf.DUMMYFUNCTION("""COMPUTED_VALUE"""),3.0)</f>
        <v>3</v>
      </c>
      <c r="E521" s="2">
        <f>IFERROR(__xludf.DUMMYFUNCTION("""COMPUTED_VALUE"""),60.0)</f>
        <v>60</v>
      </c>
      <c r="F521" s="2">
        <f>IFERROR(__xludf.DUMMYFUNCTION("""COMPUTED_VALUE"""),1.0)</f>
        <v>1</v>
      </c>
      <c r="G521" s="2">
        <f>IFERROR(__xludf.DUMMYFUNCTION("""COMPUTED_VALUE"""),5.0)</f>
        <v>5</v>
      </c>
      <c r="H521" s="2" t="str">
        <f>IFERROR(__xludf.DUMMYFUNCTION("""COMPUTED_VALUE"""),"Hrušč.")</f>
        <v>Hrušč.</v>
      </c>
      <c r="I521" s="2" t="str">
        <f>IFERROR(__xludf.DUMMYFUNCTION("""COMPUTED_VALUE"""),"Panel")</f>
        <v>Panel</v>
      </c>
      <c r="J521" s="2" t="str">
        <f>IFERROR(__xludf.DUMMYFUNCTION("""COMPUTED_VALUE"""),"All amenities")</f>
        <v>All amenities</v>
      </c>
      <c r="K521" s="2">
        <f>IFERROR(__xludf.DUMMYFUNCTION("""COMPUTED_VALUE"""),54000.0)</f>
        <v>54000</v>
      </c>
      <c r="L521" s="2">
        <f>IFERROR(__xludf.DUMMYFUNCTION("""COMPUTED_VALUE"""),56.91125405)</f>
        <v>56.91125405</v>
      </c>
      <c r="M521" s="2">
        <f>IFERROR(__xludf.DUMMYFUNCTION("""COMPUTED_VALUE"""),24.185960870958)</f>
        <v>24.18596087</v>
      </c>
    </row>
    <row r="522">
      <c r="A522" s="2" t="str">
        <f>IFERROR(__xludf.DUMMYFUNCTION("""COMPUTED_VALUE"""),"For rent")</f>
        <v>For rent</v>
      </c>
      <c r="B522" s="2" t="str">
        <f>IFERROR(__xludf.DUMMYFUNCTION("""COMPUTED_VALUE"""),"centrs")</f>
        <v>centrs</v>
      </c>
      <c r="C522" s="2" t="str">
        <f>IFERROR(__xludf.DUMMYFUNCTION("""COMPUTED_VALUE"""),"Vīlandes 10")</f>
        <v>Vīlandes 10</v>
      </c>
      <c r="D522" s="2">
        <f>IFERROR(__xludf.DUMMYFUNCTION("""COMPUTED_VALUE"""),3.0)</f>
        <v>3</v>
      </c>
      <c r="E522" s="2">
        <f>IFERROR(__xludf.DUMMYFUNCTION("""COMPUTED_VALUE"""),135.0)</f>
        <v>135</v>
      </c>
      <c r="F522" s="2">
        <f>IFERROR(__xludf.DUMMYFUNCTION("""COMPUTED_VALUE"""),5.0)</f>
        <v>5</v>
      </c>
      <c r="G522" s="2">
        <f>IFERROR(__xludf.DUMMYFUNCTION("""COMPUTED_VALUE"""),5.0)</f>
        <v>5</v>
      </c>
      <c r="H522" s="2" t="str">
        <f>IFERROR(__xludf.DUMMYFUNCTION("""COMPUTED_VALUE"""),"Renov.")</f>
        <v>Renov.</v>
      </c>
      <c r="I522" s="2" t="str">
        <f>IFERROR(__xludf.DUMMYFUNCTION("""COMPUTED_VALUE"""),"Brick")</f>
        <v>Brick</v>
      </c>
      <c r="J522" s="2" t="str">
        <f>IFERROR(__xludf.DUMMYFUNCTION("""COMPUTED_VALUE"""),"All amenities")</f>
        <v>All amenities</v>
      </c>
      <c r="K522" s="2">
        <f>IFERROR(__xludf.DUMMYFUNCTION("""COMPUTED_VALUE"""),1000.0)</f>
        <v>1000</v>
      </c>
      <c r="L522" s="2">
        <f>IFERROR(__xludf.DUMMYFUNCTION("""COMPUTED_VALUE"""),56.9603826)</f>
        <v>56.9603826</v>
      </c>
      <c r="M522" s="2">
        <f>IFERROR(__xludf.DUMMYFUNCTION("""COMPUTED_VALUE"""),24.1022820415013)</f>
        <v>24.10228204</v>
      </c>
    </row>
    <row r="523">
      <c r="A523" s="2" t="str">
        <f>IFERROR(__xludf.DUMMYFUNCTION("""COMPUTED_VALUE"""),"For rent")</f>
        <v>For rent</v>
      </c>
      <c r="B523" s="2" t="str">
        <f>IFERROR(__xludf.DUMMYFUNCTION("""COMPUTED_VALUE"""),"centrs")</f>
        <v>centrs</v>
      </c>
      <c r="C523" s="2" t="str">
        <f>IFERROR(__xludf.DUMMYFUNCTION("""COMPUTED_VALUE"""),"Stabu 71")</f>
        <v>Stabu 71</v>
      </c>
      <c r="D523" s="2">
        <f>IFERROR(__xludf.DUMMYFUNCTION("""COMPUTED_VALUE"""),2.0)</f>
        <v>2</v>
      </c>
      <c r="E523" s="2">
        <f>IFERROR(__xludf.DUMMYFUNCTION("""COMPUTED_VALUE"""),47.0)</f>
        <v>47</v>
      </c>
      <c r="F523" s="2">
        <f>IFERROR(__xludf.DUMMYFUNCTION("""COMPUTED_VALUE"""),3.0)</f>
        <v>3</v>
      </c>
      <c r="G523" s="2">
        <f>IFERROR(__xludf.DUMMYFUNCTION("""COMPUTED_VALUE"""),5.0)</f>
        <v>5</v>
      </c>
      <c r="H523" s="2" t="str">
        <f>IFERROR(__xludf.DUMMYFUNCTION("""COMPUTED_VALUE"""),"P. kara")</f>
        <v>P. kara</v>
      </c>
      <c r="I523" s="2" t="str">
        <f>IFERROR(__xludf.DUMMYFUNCTION("""COMPUTED_VALUE"""),"Masonry")</f>
        <v>Masonry</v>
      </c>
      <c r="J523" s="2" t="str">
        <f>IFERROR(__xludf.DUMMYFUNCTION("""COMPUTED_VALUE"""),"All amenities")</f>
        <v>All amenities</v>
      </c>
      <c r="K523" s="2">
        <f>IFERROR(__xludf.DUMMYFUNCTION("""COMPUTED_VALUE"""),450.0)</f>
        <v>450</v>
      </c>
      <c r="L523" s="2">
        <f>IFERROR(__xludf.DUMMYFUNCTION("""COMPUTED_VALUE"""),56.9527003)</f>
        <v>56.9527003</v>
      </c>
      <c r="M523" s="2">
        <f>IFERROR(__xludf.DUMMYFUNCTION("""COMPUTED_VALUE"""),24.136204)</f>
        <v>24.136204</v>
      </c>
    </row>
    <row r="524">
      <c r="A524" s="2" t="str">
        <f>IFERROR(__xludf.DUMMYFUNCTION("""COMPUTED_VALUE"""),"For rent")</f>
        <v>For rent</v>
      </c>
      <c r="B524" s="2" t="str">
        <f>IFERROR(__xludf.DUMMYFUNCTION("""COMPUTED_VALUE"""),"Purvciems")</f>
        <v>Purvciems</v>
      </c>
      <c r="C524" s="2" t="str">
        <f>IFERROR(__xludf.DUMMYFUNCTION("""COMPUTED_VALUE"""),"Burtnieku 35")</f>
        <v>Burtnieku 35</v>
      </c>
      <c r="D524" s="2">
        <f>IFERROR(__xludf.DUMMYFUNCTION("""COMPUTED_VALUE"""),1.0)</f>
        <v>1</v>
      </c>
      <c r="E524" s="2">
        <f>IFERROR(__xludf.DUMMYFUNCTION("""COMPUTED_VALUE"""),18.0)</f>
        <v>18</v>
      </c>
      <c r="F524" s="2">
        <f>IFERROR(__xludf.DUMMYFUNCTION("""COMPUTED_VALUE"""),2.0)</f>
        <v>2</v>
      </c>
      <c r="G524" s="2">
        <f>IFERROR(__xludf.DUMMYFUNCTION("""COMPUTED_VALUE"""),4.0)</f>
        <v>4</v>
      </c>
      <c r="H524" s="2" t="str">
        <f>IFERROR(__xludf.DUMMYFUNCTION("""COMPUTED_VALUE"""),"Specpr.")</f>
        <v>Specpr.</v>
      </c>
      <c r="I524" s="2" t="str">
        <f>IFERROR(__xludf.DUMMYFUNCTION("""COMPUTED_VALUE"""),"Brick")</f>
        <v>Brick</v>
      </c>
      <c r="J524" s="2" t="str">
        <f>IFERROR(__xludf.DUMMYFUNCTION("""COMPUTED_VALUE"""),"All amenities")</f>
        <v>All amenities</v>
      </c>
      <c r="K524" s="2">
        <f>IFERROR(__xludf.DUMMYFUNCTION("""COMPUTED_VALUE"""),200.0)</f>
        <v>200</v>
      </c>
      <c r="L524" s="2">
        <f>IFERROR(__xludf.DUMMYFUNCTION("""COMPUTED_VALUE"""),56.96760975)</f>
        <v>56.96760975</v>
      </c>
      <c r="M524" s="2">
        <f>IFERROR(__xludf.DUMMYFUNCTION("""COMPUTED_VALUE"""),24.1813539003571)</f>
        <v>24.1813539</v>
      </c>
    </row>
    <row r="525">
      <c r="A525" s="2" t="str">
        <f>IFERROR(__xludf.DUMMYFUNCTION("""COMPUTED_VALUE"""),"For rent")</f>
        <v>For rent</v>
      </c>
      <c r="B525" s="2" t="str">
        <f>IFERROR(__xludf.DUMMYFUNCTION("""COMPUTED_VALUE"""),"centrs")</f>
        <v>centrs</v>
      </c>
      <c r="C525" s="2" t="str">
        <f>IFERROR(__xludf.DUMMYFUNCTION("""COMPUTED_VALUE"""),"Brīvības iela 139")</f>
        <v>Brīvības iela 139</v>
      </c>
      <c r="D525" s="2">
        <f>IFERROR(__xludf.DUMMYFUNCTION("""COMPUTED_VALUE"""),3.0)</f>
        <v>3</v>
      </c>
      <c r="E525" s="2">
        <f>IFERROR(__xludf.DUMMYFUNCTION("""COMPUTED_VALUE"""),200.0)</f>
        <v>200</v>
      </c>
      <c r="F525" s="2">
        <f>IFERROR(__xludf.DUMMYFUNCTION("""COMPUTED_VALUE"""),2.0)</f>
        <v>2</v>
      </c>
      <c r="G525" s="2">
        <f>IFERROR(__xludf.DUMMYFUNCTION("""COMPUTED_VALUE"""),5.0)</f>
        <v>5</v>
      </c>
      <c r="H525" s="2" t="str">
        <f>IFERROR(__xludf.DUMMYFUNCTION("""COMPUTED_VALUE"""),"Renov.")</f>
        <v>Renov.</v>
      </c>
      <c r="I525" s="2" t="str">
        <f>IFERROR(__xludf.DUMMYFUNCTION("""COMPUTED_VALUE"""),"Brick")</f>
        <v>Brick</v>
      </c>
      <c r="J525" s="2" t="str">
        <f>IFERROR(__xludf.DUMMYFUNCTION("""COMPUTED_VALUE"""),"All amenities")</f>
        <v>All amenities</v>
      </c>
      <c r="K525" s="2">
        <f>IFERROR(__xludf.DUMMYFUNCTION("""COMPUTED_VALUE"""),2500.0)</f>
        <v>2500</v>
      </c>
      <c r="L525" s="2">
        <f>IFERROR(__xludf.DUMMYFUNCTION("""COMPUTED_VALUE"""),56.9650488)</f>
        <v>56.9650488</v>
      </c>
      <c r="M525" s="2">
        <f>IFERROR(__xludf.DUMMYFUNCTION("""COMPUTED_VALUE"""),24.1412185789765)</f>
        <v>24.14121858</v>
      </c>
    </row>
    <row r="526">
      <c r="A526" s="2" t="str">
        <f>IFERROR(__xludf.DUMMYFUNCTION("""COMPUTED_VALUE"""),"For sale")</f>
        <v>For sale</v>
      </c>
      <c r="B526" s="2" t="str">
        <f>IFERROR(__xludf.DUMMYFUNCTION("""COMPUTED_VALUE"""),"centrs")</f>
        <v>centrs</v>
      </c>
      <c r="C526" s="2" t="str">
        <f>IFERROR(__xludf.DUMMYFUNCTION("""COMPUTED_VALUE"""),"Vīlandes 5")</f>
        <v>Vīlandes 5</v>
      </c>
      <c r="D526" s="2">
        <f>IFERROR(__xludf.DUMMYFUNCTION("""COMPUTED_VALUE"""),5.0)</f>
        <v>5</v>
      </c>
      <c r="E526" s="2">
        <f>IFERROR(__xludf.DUMMYFUNCTION("""COMPUTED_VALUE"""),225.0)</f>
        <v>225</v>
      </c>
      <c r="F526" s="2">
        <f>IFERROR(__xludf.DUMMYFUNCTION("""COMPUTED_VALUE"""),5.0)</f>
        <v>5</v>
      </c>
      <c r="G526" s="2">
        <f>IFERROR(__xludf.DUMMYFUNCTION("""COMPUTED_VALUE"""),6.0)</f>
        <v>6</v>
      </c>
      <c r="H526" s="2" t="str">
        <f>IFERROR(__xludf.DUMMYFUNCTION("""COMPUTED_VALUE"""),"P. kara")</f>
        <v>P. kara</v>
      </c>
      <c r="I526" s="2" t="str">
        <f>IFERROR(__xludf.DUMMYFUNCTION("""COMPUTED_VALUE"""),"Masonry")</f>
        <v>Masonry</v>
      </c>
      <c r="J526" s="2" t="str">
        <f>IFERROR(__xludf.DUMMYFUNCTION("""COMPUTED_VALUE"""),"All amenities")</f>
        <v>All amenities</v>
      </c>
      <c r="K526" s="2">
        <f>IFERROR(__xludf.DUMMYFUNCTION("""COMPUTED_VALUE"""),258000.0)</f>
        <v>258000</v>
      </c>
      <c r="L526" s="2">
        <f>IFERROR(__xludf.DUMMYFUNCTION("""COMPUTED_VALUE"""),56.9599631)</f>
        <v>56.9599631</v>
      </c>
      <c r="M526" s="2">
        <f>IFERROR(__xludf.DUMMYFUNCTION("""COMPUTED_VALUE"""),24.1017027)</f>
        <v>24.1017027</v>
      </c>
    </row>
    <row r="527">
      <c r="A527" s="2" t="str">
        <f>IFERROR(__xludf.DUMMYFUNCTION("""COMPUTED_VALUE"""),"For rent")</f>
        <v>For rent</v>
      </c>
      <c r="B527" s="2" t="str">
        <f>IFERROR(__xludf.DUMMYFUNCTION("""COMPUTED_VALUE"""),"centrs")</f>
        <v>centrs</v>
      </c>
      <c r="C527" s="2" t="str">
        <f>IFERROR(__xludf.DUMMYFUNCTION("""COMPUTED_VALUE"""),"Marijas 16")</f>
        <v>Marijas 16</v>
      </c>
      <c r="D527" s="2">
        <f>IFERROR(__xludf.DUMMYFUNCTION("""COMPUTED_VALUE"""),2.0)</f>
        <v>2</v>
      </c>
      <c r="E527" s="2">
        <f>IFERROR(__xludf.DUMMYFUNCTION("""COMPUTED_VALUE"""),32.0)</f>
        <v>32</v>
      </c>
      <c r="F527" s="2">
        <f>IFERROR(__xludf.DUMMYFUNCTION("""COMPUTED_VALUE"""),4.0)</f>
        <v>4</v>
      </c>
      <c r="G527" s="2">
        <f>IFERROR(__xludf.DUMMYFUNCTION("""COMPUTED_VALUE"""),6.0)</f>
        <v>6</v>
      </c>
      <c r="H527" s="2" t="str">
        <f>IFERROR(__xludf.DUMMYFUNCTION("""COMPUTED_VALUE"""),"Renov.")</f>
        <v>Renov.</v>
      </c>
      <c r="I527" s="2" t="str">
        <f>IFERROR(__xludf.DUMMYFUNCTION("""COMPUTED_VALUE"""),"Brick")</f>
        <v>Brick</v>
      </c>
      <c r="J527" s="2" t="str">
        <f>IFERROR(__xludf.DUMMYFUNCTION("""COMPUTED_VALUE"""),"All amenities")</f>
        <v>All amenities</v>
      </c>
      <c r="K527" s="2">
        <f>IFERROR(__xludf.DUMMYFUNCTION("""COMPUTED_VALUE"""),410.0)</f>
        <v>410</v>
      </c>
      <c r="L527" s="2">
        <f>IFERROR(__xludf.DUMMYFUNCTION("""COMPUTED_VALUE"""),56.9505796)</f>
        <v>56.9505796</v>
      </c>
      <c r="M527" s="2">
        <f>IFERROR(__xludf.DUMMYFUNCTION("""COMPUTED_VALUE"""),24.1255938)</f>
        <v>24.1255938</v>
      </c>
    </row>
    <row r="528">
      <c r="A528" s="2" t="str">
        <f>IFERROR(__xludf.DUMMYFUNCTION("""COMPUTED_VALUE"""),"For rent")</f>
        <v>For rent</v>
      </c>
      <c r="B528" s="2" t="str">
        <f>IFERROR(__xludf.DUMMYFUNCTION("""COMPUTED_VALUE"""),"Dzegužkalns")</f>
        <v>Dzegužkalns</v>
      </c>
      <c r="C528" s="2" t="str">
        <f>IFERROR(__xludf.DUMMYFUNCTION("""COMPUTED_VALUE"""),"Jaunsaules 5")</f>
        <v>Jaunsaules 5</v>
      </c>
      <c r="D528" s="2">
        <f>IFERROR(__xludf.DUMMYFUNCTION("""COMPUTED_VALUE"""),1.0)</f>
        <v>1</v>
      </c>
      <c r="E528" s="2">
        <f>IFERROR(__xludf.DUMMYFUNCTION("""COMPUTED_VALUE"""),18.0)</f>
        <v>18</v>
      </c>
      <c r="F528" s="2">
        <f>IFERROR(__xludf.DUMMYFUNCTION("""COMPUTED_VALUE"""),2.0)</f>
        <v>2</v>
      </c>
      <c r="G528" s="2">
        <f>IFERROR(__xludf.DUMMYFUNCTION("""COMPUTED_VALUE"""),5.0)</f>
        <v>5</v>
      </c>
      <c r="H528" s="2" t="str">
        <f>IFERROR(__xludf.DUMMYFUNCTION("""COMPUTED_VALUE"""),"LT proj.")</f>
        <v>LT proj.</v>
      </c>
      <c r="I528" s="2" t="str">
        <f>IFERROR(__xludf.DUMMYFUNCTION("""COMPUTED_VALUE"""),"Panel")</f>
        <v>Panel</v>
      </c>
      <c r="J528" s="2" t="str">
        <f>IFERROR(__xludf.DUMMYFUNCTION("""COMPUTED_VALUE"""),"All amenities")</f>
        <v>All amenities</v>
      </c>
      <c r="K528" s="2">
        <f>IFERROR(__xludf.DUMMYFUNCTION("""COMPUTED_VALUE"""),165.0)</f>
        <v>165</v>
      </c>
      <c r="L528" s="2">
        <f>IFERROR(__xludf.DUMMYFUNCTION("""COMPUTED_VALUE"""),56.9552306)</f>
        <v>56.9552306</v>
      </c>
      <c r="M528" s="2">
        <f>IFERROR(__xludf.DUMMYFUNCTION("""COMPUTED_VALUE"""),24.0495776507563)</f>
        <v>24.04957765</v>
      </c>
    </row>
    <row r="529">
      <c r="A529" s="2" t="str">
        <f>IFERROR(__xludf.DUMMYFUNCTION("""COMPUTED_VALUE"""),"For rent")</f>
        <v>For rent</v>
      </c>
      <c r="B529" s="2" t="str">
        <f>IFERROR(__xludf.DUMMYFUNCTION("""COMPUTED_VALUE"""),"centrs")</f>
        <v>centrs</v>
      </c>
      <c r="C529" s="2" t="str">
        <f>IFERROR(__xludf.DUMMYFUNCTION("""COMPUTED_VALUE"""),"Rūpniecības 5")</f>
        <v>Rūpniecības 5</v>
      </c>
      <c r="D529" s="2">
        <f>IFERROR(__xludf.DUMMYFUNCTION("""COMPUTED_VALUE"""),2.0)</f>
        <v>2</v>
      </c>
      <c r="E529" s="2">
        <f>IFERROR(__xludf.DUMMYFUNCTION("""COMPUTED_VALUE"""),120.0)</f>
        <v>120</v>
      </c>
      <c r="F529" s="2">
        <f>IFERROR(__xludf.DUMMYFUNCTION("""COMPUTED_VALUE"""),5.0)</f>
        <v>5</v>
      </c>
      <c r="G529" s="2">
        <f>IFERROR(__xludf.DUMMYFUNCTION("""COMPUTED_VALUE"""),5.0)</f>
        <v>5</v>
      </c>
      <c r="H529" s="2" t="str">
        <f>IFERROR(__xludf.DUMMYFUNCTION("""COMPUTED_VALUE"""),"Renov.")</f>
        <v>Renov.</v>
      </c>
      <c r="I529" s="2" t="str">
        <f>IFERROR(__xludf.DUMMYFUNCTION("""COMPUTED_VALUE"""),"Masonry")</f>
        <v>Masonry</v>
      </c>
      <c r="J529" s="2" t="str">
        <f>IFERROR(__xludf.DUMMYFUNCTION("""COMPUTED_VALUE"""),"All amenities")</f>
        <v>All amenities</v>
      </c>
      <c r="K529" s="2">
        <f>IFERROR(__xludf.DUMMYFUNCTION("""COMPUTED_VALUE"""),820.0)</f>
        <v>820</v>
      </c>
      <c r="L529" s="2">
        <f>IFERROR(__xludf.DUMMYFUNCTION("""COMPUTED_VALUE"""),56.9596778)</f>
        <v>56.9596778</v>
      </c>
      <c r="M529" s="2">
        <f>IFERROR(__xludf.DUMMYFUNCTION("""COMPUTED_VALUE"""),24.1027358)</f>
        <v>24.1027358</v>
      </c>
    </row>
    <row r="530">
      <c r="A530" s="2" t="str">
        <f>IFERROR(__xludf.DUMMYFUNCTION("""COMPUTED_VALUE"""),"For rent")</f>
        <v>For rent</v>
      </c>
      <c r="B530" s="2" t="str">
        <f>IFERROR(__xludf.DUMMYFUNCTION("""COMPUTED_VALUE"""),"Mežciems")</f>
        <v>Mežciems</v>
      </c>
      <c r="C530" s="2" t="str">
        <f>IFERROR(__xludf.DUMMYFUNCTION("""COMPUTED_VALUE"""),"Mežciema 44")</f>
        <v>Mežciema 44</v>
      </c>
      <c r="D530" s="2">
        <f>IFERROR(__xludf.DUMMYFUNCTION("""COMPUTED_VALUE"""),2.0)</f>
        <v>2</v>
      </c>
      <c r="E530" s="2">
        <f>IFERROR(__xludf.DUMMYFUNCTION("""COMPUTED_VALUE"""),49.0)</f>
        <v>49</v>
      </c>
      <c r="F530" s="2">
        <f>IFERROR(__xludf.DUMMYFUNCTION("""COMPUTED_VALUE"""),5.0)</f>
        <v>5</v>
      </c>
      <c r="G530" s="2">
        <f>IFERROR(__xludf.DUMMYFUNCTION("""COMPUTED_VALUE"""),5.0)</f>
        <v>5</v>
      </c>
      <c r="H530" s="2" t="str">
        <f>IFERROR(__xludf.DUMMYFUNCTION("""COMPUTED_VALUE"""),"LT proj.")</f>
        <v>LT proj.</v>
      </c>
      <c r="I530" s="2" t="str">
        <f>IFERROR(__xludf.DUMMYFUNCTION("""COMPUTED_VALUE"""),"Panel")</f>
        <v>Panel</v>
      </c>
      <c r="J530" s="2" t="str">
        <f>IFERROR(__xludf.DUMMYFUNCTION("""COMPUTED_VALUE"""),"All amenities")</f>
        <v>All amenities</v>
      </c>
      <c r="K530" s="2">
        <f>IFERROR(__xludf.DUMMYFUNCTION("""COMPUTED_VALUE"""),380.0)</f>
        <v>380</v>
      </c>
      <c r="L530" s="2">
        <f>IFERROR(__xludf.DUMMYFUNCTION("""COMPUTED_VALUE"""),56.97328935)</f>
        <v>56.97328935</v>
      </c>
      <c r="M530" s="2">
        <f>IFERROR(__xludf.DUMMYFUNCTION("""COMPUTED_VALUE"""),24.2379904057654)</f>
        <v>24.23799041</v>
      </c>
    </row>
    <row r="531">
      <c r="A531" s="2" t="str">
        <f>IFERROR(__xludf.DUMMYFUNCTION("""COMPUTED_VALUE"""),"For sale")</f>
        <v>For sale</v>
      </c>
      <c r="B531" s="2" t="str">
        <f>IFERROR(__xludf.DUMMYFUNCTION("""COMPUTED_VALUE"""),"centrs")</f>
        <v>centrs</v>
      </c>
      <c r="C531" s="2" t="str">
        <f>IFERROR(__xludf.DUMMYFUNCTION("""COMPUTED_VALUE"""),"Tērbatas 59/61")</f>
        <v>Tērbatas 59/61</v>
      </c>
      <c r="D531" s="2">
        <f>IFERROR(__xludf.DUMMYFUNCTION("""COMPUTED_VALUE"""),4.0)</f>
        <v>4</v>
      </c>
      <c r="E531" s="2">
        <f>IFERROR(__xludf.DUMMYFUNCTION("""COMPUTED_VALUE"""),97.0)</f>
        <v>97</v>
      </c>
      <c r="F531" s="2">
        <f>IFERROR(__xludf.DUMMYFUNCTION("""COMPUTED_VALUE"""),6.0)</f>
        <v>6</v>
      </c>
      <c r="G531" s="2">
        <f>IFERROR(__xludf.DUMMYFUNCTION("""COMPUTED_VALUE"""),6.0)</f>
        <v>6</v>
      </c>
      <c r="H531" s="2" t="str">
        <f>IFERROR(__xludf.DUMMYFUNCTION("""COMPUTED_VALUE"""),"Renov.")</f>
        <v>Renov.</v>
      </c>
      <c r="I531" s="2" t="str">
        <f>IFERROR(__xludf.DUMMYFUNCTION("""COMPUTED_VALUE"""),"Masonry")</f>
        <v>Masonry</v>
      </c>
      <c r="J531" s="2" t="str">
        <f>IFERROR(__xludf.DUMMYFUNCTION("""COMPUTED_VALUE"""),"All amenities")</f>
        <v>All amenities</v>
      </c>
      <c r="K531" s="2">
        <f>IFERROR(__xludf.DUMMYFUNCTION("""COMPUTED_VALUE"""),145350.0)</f>
        <v>145350</v>
      </c>
      <c r="L531" s="2">
        <f>IFERROR(__xludf.DUMMYFUNCTION("""COMPUTED_VALUE"""),56.9578128)</f>
        <v>56.9578128</v>
      </c>
      <c r="M531" s="2">
        <f>IFERROR(__xludf.DUMMYFUNCTION("""COMPUTED_VALUE"""),24.1300556)</f>
        <v>24.1300556</v>
      </c>
    </row>
    <row r="532">
      <c r="A532" s="2" t="str">
        <f>IFERROR(__xludf.DUMMYFUNCTION("""COMPUTED_VALUE"""),"For sale")</f>
        <v>For sale</v>
      </c>
      <c r="B532" s="2" t="str">
        <f>IFERROR(__xludf.DUMMYFUNCTION("""COMPUTED_VALUE"""),"Bolderāja")</f>
        <v>Bolderāja</v>
      </c>
      <c r="C532" s="2" t="str">
        <f>IFERROR(__xludf.DUMMYFUNCTION("""COMPUTED_VALUE"""),"Gobas 29")</f>
        <v>Gobas 29</v>
      </c>
      <c r="D532" s="2">
        <f>IFERROR(__xludf.DUMMYFUNCTION("""COMPUTED_VALUE"""),2.0)</f>
        <v>2</v>
      </c>
      <c r="E532" s="2">
        <f>IFERROR(__xludf.DUMMYFUNCTION("""COMPUTED_VALUE"""),60.0)</f>
        <v>60</v>
      </c>
      <c r="F532" s="2">
        <f>IFERROR(__xludf.DUMMYFUNCTION("""COMPUTED_VALUE"""),4.0)</f>
        <v>4</v>
      </c>
      <c r="G532" s="2">
        <f>IFERROR(__xludf.DUMMYFUNCTION("""COMPUTED_VALUE"""),5.0)</f>
        <v>5</v>
      </c>
      <c r="H532" s="2" t="str">
        <f>IFERROR(__xludf.DUMMYFUNCTION("""COMPUTED_VALUE"""),"Specpr.")</f>
        <v>Specpr.</v>
      </c>
      <c r="I532" s="2" t="str">
        <f>IFERROR(__xludf.DUMMYFUNCTION("""COMPUTED_VALUE"""),"Brick")</f>
        <v>Brick</v>
      </c>
      <c r="J532" s="2" t="str">
        <f>IFERROR(__xludf.DUMMYFUNCTION("""COMPUTED_VALUE"""),"All amenities")</f>
        <v>All amenities</v>
      </c>
      <c r="K532" s="2">
        <f>IFERROR(__xludf.DUMMYFUNCTION("""COMPUTED_VALUE"""),40000.0)</f>
        <v>40000</v>
      </c>
      <c r="L532" s="2">
        <f>IFERROR(__xludf.DUMMYFUNCTION("""COMPUTED_VALUE"""),57.03086935)</f>
        <v>57.03086935</v>
      </c>
      <c r="M532" s="2">
        <f>IFERROR(__xludf.DUMMYFUNCTION("""COMPUTED_VALUE"""),24.053887004109)</f>
        <v>24.053887</v>
      </c>
    </row>
    <row r="533">
      <c r="A533" s="2" t="str">
        <f>IFERROR(__xludf.DUMMYFUNCTION("""COMPUTED_VALUE"""),"For sale")</f>
        <v>For sale</v>
      </c>
      <c r="B533" s="2" t="str">
        <f>IFERROR(__xludf.DUMMYFUNCTION("""COMPUTED_VALUE"""),"Purvciems")</f>
        <v>Purvciems</v>
      </c>
      <c r="C533" s="2" t="str">
        <f>IFERROR(__xludf.DUMMYFUNCTION("""COMPUTED_VALUE"""),"Stirnu 36")</f>
        <v>Stirnu 36</v>
      </c>
      <c r="D533" s="2">
        <f>IFERROR(__xludf.DUMMYFUNCTION("""COMPUTED_VALUE"""),2.0)</f>
        <v>2</v>
      </c>
      <c r="E533" s="2">
        <f>IFERROR(__xludf.DUMMYFUNCTION("""COMPUTED_VALUE"""),45.0)</f>
        <v>45</v>
      </c>
      <c r="F533" s="2">
        <f>IFERROR(__xludf.DUMMYFUNCTION("""COMPUTED_VALUE"""),5.0)</f>
        <v>5</v>
      </c>
      <c r="G533" s="2">
        <f>IFERROR(__xludf.DUMMYFUNCTION("""COMPUTED_VALUE"""),5.0)</f>
        <v>5</v>
      </c>
      <c r="H533" s="2" t="str">
        <f>IFERROR(__xludf.DUMMYFUNCTION("""COMPUTED_VALUE"""),"LT proj.")</f>
        <v>LT proj.</v>
      </c>
      <c r="I533" s="2" t="str">
        <f>IFERROR(__xludf.DUMMYFUNCTION("""COMPUTED_VALUE"""),"Panel")</f>
        <v>Panel</v>
      </c>
      <c r="J533" s="2" t="str">
        <f>IFERROR(__xludf.DUMMYFUNCTION("""COMPUTED_VALUE"""),"All amenities")</f>
        <v>All amenities</v>
      </c>
      <c r="K533" s="2">
        <f>IFERROR(__xludf.DUMMYFUNCTION("""COMPUTED_VALUE"""),43500.0)</f>
        <v>43500</v>
      </c>
      <c r="L533" s="2">
        <f>IFERROR(__xludf.DUMMYFUNCTION("""COMPUTED_VALUE"""),56.9609027)</f>
        <v>56.9609027</v>
      </c>
      <c r="M533" s="2">
        <f>IFERROR(__xludf.DUMMYFUNCTION("""COMPUTED_VALUE"""),24.19103095)</f>
        <v>24.19103095</v>
      </c>
    </row>
    <row r="534">
      <c r="A534" s="2" t="str">
        <f>IFERROR(__xludf.DUMMYFUNCTION("""COMPUTED_VALUE"""),"For sale")</f>
        <v>For sale</v>
      </c>
      <c r="B534" s="2" t="str">
        <f>IFERROR(__xludf.DUMMYFUNCTION("""COMPUTED_VALUE"""),"centrs")</f>
        <v>centrs</v>
      </c>
      <c r="C534" s="2" t="str">
        <f>IFERROR(__xludf.DUMMYFUNCTION("""COMPUTED_VALUE"""),"Blaumaņa 12")</f>
        <v>Blaumaņa 12</v>
      </c>
      <c r="D534" s="2">
        <f>IFERROR(__xludf.DUMMYFUNCTION("""COMPUTED_VALUE"""),2.0)</f>
        <v>2</v>
      </c>
      <c r="E534" s="2">
        <f>IFERROR(__xludf.DUMMYFUNCTION("""COMPUTED_VALUE"""),58.3)</f>
        <v>58.3</v>
      </c>
      <c r="F534" s="2">
        <f>IFERROR(__xludf.DUMMYFUNCTION("""COMPUTED_VALUE"""),6.0)</f>
        <v>6</v>
      </c>
      <c r="G534" s="2">
        <f>IFERROR(__xludf.DUMMYFUNCTION("""COMPUTED_VALUE"""),6.0)</f>
        <v>6</v>
      </c>
      <c r="H534" s="2" t="str">
        <f>IFERROR(__xludf.DUMMYFUNCTION("""COMPUTED_VALUE"""),"Renov.")</f>
        <v>Renov.</v>
      </c>
      <c r="I534" s="2" t="str">
        <f>IFERROR(__xludf.DUMMYFUNCTION("""COMPUTED_VALUE"""),"Masonry")</f>
        <v>Masonry</v>
      </c>
      <c r="J534" s="2" t="str">
        <f>IFERROR(__xludf.DUMMYFUNCTION("""COMPUTED_VALUE"""),"All amenities")</f>
        <v>All amenities</v>
      </c>
      <c r="K534" s="2">
        <f>IFERROR(__xludf.DUMMYFUNCTION("""COMPUTED_VALUE"""),169070.0)</f>
        <v>169070</v>
      </c>
      <c r="L534" s="2">
        <f>IFERROR(__xludf.DUMMYFUNCTION("""COMPUTED_VALUE"""),56.9548306)</f>
        <v>56.9548306</v>
      </c>
      <c r="M534" s="2">
        <f>IFERROR(__xludf.DUMMYFUNCTION("""COMPUTED_VALUE"""),24.1221141)</f>
        <v>24.1221141</v>
      </c>
    </row>
    <row r="535">
      <c r="A535" s="2" t="str">
        <f>IFERROR(__xludf.DUMMYFUNCTION("""COMPUTED_VALUE"""),"For rent")</f>
        <v>For rent</v>
      </c>
      <c r="B535" s="2" t="str">
        <f>IFERROR(__xludf.DUMMYFUNCTION("""COMPUTED_VALUE"""),"centrs")</f>
        <v>centrs</v>
      </c>
      <c r="C535" s="2" t="str">
        <f>IFERROR(__xludf.DUMMYFUNCTION("""COMPUTED_VALUE"""),"Klijānu 6")</f>
        <v>Klijānu 6</v>
      </c>
      <c r="D535" s="2">
        <f>IFERROR(__xludf.DUMMYFUNCTION("""COMPUTED_VALUE"""),3.0)</f>
        <v>3</v>
      </c>
      <c r="E535" s="2">
        <f>IFERROR(__xludf.DUMMYFUNCTION("""COMPUTED_VALUE"""),79.0)</f>
        <v>79</v>
      </c>
      <c r="F535" s="2">
        <f>IFERROR(__xludf.DUMMYFUNCTION("""COMPUTED_VALUE"""),7.0)</f>
        <v>7</v>
      </c>
      <c r="G535" s="2">
        <f>IFERROR(__xludf.DUMMYFUNCTION("""COMPUTED_VALUE"""),9.0)</f>
        <v>9</v>
      </c>
      <c r="H535" s="2" t="str">
        <f>IFERROR(__xludf.DUMMYFUNCTION("""COMPUTED_VALUE"""),"Jaun.")</f>
        <v>Jaun.</v>
      </c>
      <c r="I535" s="2" t="str">
        <f>IFERROR(__xludf.DUMMYFUNCTION("""COMPUTED_VALUE"""),"Masonry")</f>
        <v>Masonry</v>
      </c>
      <c r="J535" s="2" t="str">
        <f>IFERROR(__xludf.DUMMYFUNCTION("""COMPUTED_VALUE"""),"All amenities")</f>
        <v>All amenities</v>
      </c>
      <c r="K535" s="2">
        <f>IFERROR(__xludf.DUMMYFUNCTION("""COMPUTED_VALUE"""),850.0)</f>
        <v>850</v>
      </c>
      <c r="L535" s="2">
        <f>IFERROR(__xludf.DUMMYFUNCTION("""COMPUTED_VALUE"""),56.9726557)</f>
        <v>56.9726557</v>
      </c>
      <c r="M535" s="2">
        <f>IFERROR(__xludf.DUMMYFUNCTION("""COMPUTED_VALUE"""),24.1493117212851)</f>
        <v>24.14931172</v>
      </c>
    </row>
    <row r="536">
      <c r="A536" s="2" t="str">
        <f>IFERROR(__xludf.DUMMYFUNCTION("""COMPUTED_VALUE"""),"For rent")</f>
        <v>For rent</v>
      </c>
      <c r="B536" s="2" t="str">
        <f>IFERROR(__xludf.DUMMYFUNCTION("""COMPUTED_VALUE"""),"Mežciems")</f>
        <v>Mežciems</v>
      </c>
      <c r="C536" s="2" t="str">
        <f>IFERROR(__xludf.DUMMYFUNCTION("""COMPUTED_VALUE"""),"Kaivas 74b")</f>
        <v>Kaivas 74b</v>
      </c>
      <c r="D536" s="2">
        <f>IFERROR(__xludf.DUMMYFUNCTION("""COMPUTED_VALUE"""),3.0)</f>
        <v>3</v>
      </c>
      <c r="E536" s="2">
        <f>IFERROR(__xludf.DUMMYFUNCTION("""COMPUTED_VALUE"""),70.0)</f>
        <v>70</v>
      </c>
      <c r="F536" s="2">
        <f>IFERROR(__xludf.DUMMYFUNCTION("""COMPUTED_VALUE"""),1.0)</f>
        <v>1</v>
      </c>
      <c r="G536" s="2">
        <f>IFERROR(__xludf.DUMMYFUNCTION("""COMPUTED_VALUE"""),5.0)</f>
        <v>5</v>
      </c>
      <c r="H536" s="2" t="str">
        <f>IFERROR(__xludf.DUMMYFUNCTION("""COMPUTED_VALUE"""),"Jaun.")</f>
        <v>Jaun.</v>
      </c>
      <c r="I536" s="2" t="str">
        <f>IFERROR(__xludf.DUMMYFUNCTION("""COMPUTED_VALUE"""),"Masonry")</f>
        <v>Masonry</v>
      </c>
      <c r="J536" s="2" t="str">
        <f>IFERROR(__xludf.DUMMYFUNCTION("""COMPUTED_VALUE"""),"All amenities")</f>
        <v>All amenities</v>
      </c>
      <c r="K536" s="2">
        <f>IFERROR(__xludf.DUMMYFUNCTION("""COMPUTED_VALUE"""),470.0)</f>
        <v>470</v>
      </c>
      <c r="L536" s="2">
        <f>IFERROR(__xludf.DUMMYFUNCTION("""COMPUTED_VALUE"""),56.9541725)</f>
        <v>56.9541725</v>
      </c>
      <c r="M536" s="2">
        <f>IFERROR(__xludf.DUMMYFUNCTION("""COMPUTED_VALUE"""),24.2443253)</f>
        <v>24.2443253</v>
      </c>
    </row>
    <row r="537">
      <c r="A537" s="2" t="str">
        <f>IFERROR(__xludf.DUMMYFUNCTION("""COMPUTED_VALUE"""),"For rent")</f>
        <v>For rent</v>
      </c>
      <c r="B537" s="2" t="str">
        <f>IFERROR(__xludf.DUMMYFUNCTION("""COMPUTED_VALUE"""),"Mežciems")</f>
        <v>Mežciems</v>
      </c>
      <c r="C537" s="2" t="str">
        <f>IFERROR(__xludf.DUMMYFUNCTION("""COMPUTED_VALUE"""),"Kaivas 50-94b")</f>
        <v>Kaivas 50-94b</v>
      </c>
      <c r="D537" s="2">
        <f>IFERROR(__xludf.DUMMYFUNCTION("""COMPUTED_VALUE"""),1.0)</f>
        <v>1</v>
      </c>
      <c r="E537" s="2">
        <f>IFERROR(__xludf.DUMMYFUNCTION("""COMPUTED_VALUE"""),39.0)</f>
        <v>39</v>
      </c>
      <c r="F537" s="2">
        <f>IFERROR(__xludf.DUMMYFUNCTION("""COMPUTED_VALUE"""),1.0)</f>
        <v>1</v>
      </c>
      <c r="G537" s="2">
        <f>IFERROR(__xludf.DUMMYFUNCTION("""COMPUTED_VALUE"""),5.0)</f>
        <v>5</v>
      </c>
      <c r="H537" s="2" t="str">
        <f>IFERROR(__xludf.DUMMYFUNCTION("""COMPUTED_VALUE"""),"Jaun.")</f>
        <v>Jaun.</v>
      </c>
      <c r="I537" s="2" t="str">
        <f>IFERROR(__xludf.DUMMYFUNCTION("""COMPUTED_VALUE"""),"Masonry")</f>
        <v>Masonry</v>
      </c>
      <c r="J537" s="2" t="str">
        <f>IFERROR(__xludf.DUMMYFUNCTION("""COMPUTED_VALUE"""),"All amenities")</f>
        <v>All amenities</v>
      </c>
      <c r="K537" s="2">
        <f>IFERROR(__xludf.DUMMYFUNCTION("""COMPUTED_VALUE"""),310.0)</f>
        <v>310</v>
      </c>
      <c r="L537" s="2" t="str">
        <f>IFERROR(__xludf.DUMMYFUNCTION("""COMPUTED_VALUE"""),"NaN")</f>
        <v>NaN</v>
      </c>
      <c r="M537" s="2" t="str">
        <f>IFERROR(__xludf.DUMMYFUNCTION("""COMPUTED_VALUE"""),"NaN")</f>
        <v>NaN</v>
      </c>
    </row>
    <row r="538">
      <c r="A538" s="2" t="str">
        <f>IFERROR(__xludf.DUMMYFUNCTION("""COMPUTED_VALUE"""),"For rent")</f>
        <v>For rent</v>
      </c>
      <c r="B538" s="2" t="str">
        <f>IFERROR(__xludf.DUMMYFUNCTION("""COMPUTED_VALUE"""),"Zolitūde")</f>
        <v>Zolitūde</v>
      </c>
      <c r="C538" s="2" t="str">
        <f>IFERROR(__xludf.DUMMYFUNCTION("""COMPUTED_VALUE"""),"Zolitūdes 47")</f>
        <v>Zolitūdes 47</v>
      </c>
      <c r="D538" s="2">
        <f>IFERROR(__xludf.DUMMYFUNCTION("""COMPUTED_VALUE"""),1.0)</f>
        <v>1</v>
      </c>
      <c r="E538" s="2">
        <f>IFERROR(__xludf.DUMMYFUNCTION("""COMPUTED_VALUE"""),45.0)</f>
        <v>45</v>
      </c>
      <c r="F538" s="2">
        <f>IFERROR(__xludf.DUMMYFUNCTION("""COMPUTED_VALUE"""),9.0)</f>
        <v>9</v>
      </c>
      <c r="G538" s="2">
        <f>IFERROR(__xludf.DUMMYFUNCTION("""COMPUTED_VALUE"""),8.0)</f>
        <v>8</v>
      </c>
      <c r="H538" s="2">
        <f>IFERROR(__xludf.DUMMYFUNCTION("""COMPUTED_VALUE"""),119.0)</f>
        <v>119</v>
      </c>
      <c r="I538" s="2" t="str">
        <f>IFERROR(__xludf.DUMMYFUNCTION("""COMPUTED_VALUE"""),"Panel")</f>
        <v>Panel</v>
      </c>
      <c r="J538" s="2" t="str">
        <f>IFERROR(__xludf.DUMMYFUNCTION("""COMPUTED_VALUE"""),"All amenities")</f>
        <v>All amenities</v>
      </c>
      <c r="K538" s="2">
        <f>IFERROR(__xludf.DUMMYFUNCTION("""COMPUTED_VALUE"""),260.0)</f>
        <v>260</v>
      </c>
      <c r="L538" s="2">
        <f>IFERROR(__xludf.DUMMYFUNCTION("""COMPUTED_VALUE"""),56.948018)</f>
        <v>56.948018</v>
      </c>
      <c r="M538" s="2">
        <f>IFERROR(__xludf.DUMMYFUNCTION("""COMPUTED_VALUE"""),23.9994782564605)</f>
        <v>23.99947826</v>
      </c>
    </row>
    <row r="539">
      <c r="A539" s="2" t="str">
        <f>IFERROR(__xludf.DUMMYFUNCTION("""COMPUTED_VALUE"""),"For rent")</f>
        <v>For rent</v>
      </c>
      <c r="B539" s="2" t="str">
        <f>IFERROR(__xludf.DUMMYFUNCTION("""COMPUTED_VALUE"""),"centrs")</f>
        <v>centrs</v>
      </c>
      <c r="C539" s="2" t="str">
        <f>IFERROR(__xludf.DUMMYFUNCTION("""COMPUTED_VALUE"""),"Jeruzalemes 5")</f>
        <v>Jeruzalemes 5</v>
      </c>
      <c r="D539" s="2">
        <f>IFERROR(__xludf.DUMMYFUNCTION("""COMPUTED_VALUE"""),2.0)</f>
        <v>2</v>
      </c>
      <c r="E539" s="2">
        <f>IFERROR(__xludf.DUMMYFUNCTION("""COMPUTED_VALUE"""),67.0)</f>
        <v>67</v>
      </c>
      <c r="F539" s="2">
        <f>IFERROR(__xludf.DUMMYFUNCTION("""COMPUTED_VALUE"""),2.0)</f>
        <v>2</v>
      </c>
      <c r="G539" s="2">
        <f>IFERROR(__xludf.DUMMYFUNCTION("""COMPUTED_VALUE"""),6.0)</f>
        <v>6</v>
      </c>
      <c r="H539" s="2" t="str">
        <f>IFERROR(__xludf.DUMMYFUNCTION("""COMPUTED_VALUE"""),"Jaun.")</f>
        <v>Jaun.</v>
      </c>
      <c r="I539" s="2" t="str">
        <f>IFERROR(__xludf.DUMMYFUNCTION("""COMPUTED_VALUE"""),"Panel-Brick")</f>
        <v>Panel-Brick</v>
      </c>
      <c r="J539" s="2" t="str">
        <f>IFERROR(__xludf.DUMMYFUNCTION("""COMPUTED_VALUE"""),"All amenities")</f>
        <v>All amenities</v>
      </c>
      <c r="K539" s="2">
        <f>IFERROR(__xludf.DUMMYFUNCTION("""COMPUTED_VALUE"""),60.0)</f>
        <v>60</v>
      </c>
      <c r="L539" s="2">
        <f>IFERROR(__xludf.DUMMYFUNCTION("""COMPUTED_VALUE"""),56.9579333)</f>
        <v>56.9579333</v>
      </c>
      <c r="M539" s="2">
        <f>IFERROR(__xludf.DUMMYFUNCTION("""COMPUTED_VALUE"""),24.113967)</f>
        <v>24.113967</v>
      </c>
    </row>
    <row r="540">
      <c r="A540" s="2" t="str">
        <f>IFERROR(__xludf.DUMMYFUNCTION("""COMPUTED_VALUE"""),"For sale")</f>
        <v>For sale</v>
      </c>
      <c r="B540" s="2" t="str">
        <f>IFERROR(__xludf.DUMMYFUNCTION("""COMPUTED_VALUE"""),"Imanta")</f>
        <v>Imanta</v>
      </c>
      <c r="C540" s="2" t="str">
        <f>IFERROR(__xludf.DUMMYFUNCTION("""COMPUTED_VALUE"""),"Dubultu 4")</f>
        <v>Dubultu 4</v>
      </c>
      <c r="D540" s="2">
        <f>IFERROR(__xludf.DUMMYFUNCTION("""COMPUTED_VALUE"""),3.0)</f>
        <v>3</v>
      </c>
      <c r="E540" s="2">
        <f>IFERROR(__xludf.DUMMYFUNCTION("""COMPUTED_VALUE"""),55.0)</f>
        <v>55</v>
      </c>
      <c r="F540" s="2">
        <f>IFERROR(__xludf.DUMMYFUNCTION("""COMPUTED_VALUE"""),5.0)</f>
        <v>5</v>
      </c>
      <c r="G540" s="2">
        <f>IFERROR(__xludf.DUMMYFUNCTION("""COMPUTED_VALUE"""),5.0)</f>
        <v>5</v>
      </c>
      <c r="H540" s="2" t="str">
        <f>IFERROR(__xludf.DUMMYFUNCTION("""COMPUTED_VALUE"""),"LT proj.")</f>
        <v>LT proj.</v>
      </c>
      <c r="I540" s="2" t="str">
        <f>IFERROR(__xludf.DUMMYFUNCTION("""COMPUTED_VALUE"""),"Panel")</f>
        <v>Panel</v>
      </c>
      <c r="J540" s="2" t="str">
        <f>IFERROR(__xludf.DUMMYFUNCTION("""COMPUTED_VALUE"""),"All amenities")</f>
        <v>All amenities</v>
      </c>
      <c r="K540" s="2">
        <f>IFERROR(__xludf.DUMMYFUNCTION("""COMPUTED_VALUE"""),53500.0)</f>
        <v>53500</v>
      </c>
      <c r="L540" s="2">
        <f>IFERROR(__xludf.DUMMYFUNCTION("""COMPUTED_VALUE"""),56.9552879)</f>
        <v>56.9552879</v>
      </c>
      <c r="M540" s="2">
        <f>IFERROR(__xludf.DUMMYFUNCTION("""COMPUTED_VALUE"""),24.0052372230516)</f>
        <v>24.00523722</v>
      </c>
    </row>
    <row r="541">
      <c r="A541" s="2" t="str">
        <f>IFERROR(__xludf.DUMMYFUNCTION("""COMPUTED_VALUE"""),"For rent")</f>
        <v>For rent</v>
      </c>
      <c r="B541" s="2" t="str">
        <f>IFERROR(__xludf.DUMMYFUNCTION("""COMPUTED_VALUE"""),"centrs")</f>
        <v>centrs</v>
      </c>
      <c r="C541" s="2" t="str">
        <f>IFERROR(__xludf.DUMMYFUNCTION("""COMPUTED_VALUE"""),"Čaka 117/1")</f>
        <v>Čaka 117/1</v>
      </c>
      <c r="D541" s="2">
        <f>IFERROR(__xludf.DUMMYFUNCTION("""COMPUTED_VALUE"""),3.0)</f>
        <v>3</v>
      </c>
      <c r="E541" s="2">
        <f>IFERROR(__xludf.DUMMYFUNCTION("""COMPUTED_VALUE"""),75.0)</f>
        <v>75</v>
      </c>
      <c r="F541" s="2">
        <f>IFERROR(__xludf.DUMMYFUNCTION("""COMPUTED_VALUE"""),6.0)</f>
        <v>6</v>
      </c>
      <c r="G541" s="2">
        <f>IFERROR(__xludf.DUMMYFUNCTION("""COMPUTED_VALUE"""),6.0)</f>
        <v>6</v>
      </c>
      <c r="H541" s="2" t="str">
        <f>IFERROR(__xludf.DUMMYFUNCTION("""COMPUTED_VALUE"""),"Renov.")</f>
        <v>Renov.</v>
      </c>
      <c r="I541" s="2" t="str">
        <f>IFERROR(__xludf.DUMMYFUNCTION("""COMPUTED_VALUE"""),"Masonry")</f>
        <v>Masonry</v>
      </c>
      <c r="J541" s="2" t="str">
        <f>IFERROR(__xludf.DUMMYFUNCTION("""COMPUTED_VALUE"""),"All amenities")</f>
        <v>All amenities</v>
      </c>
      <c r="K541" s="2">
        <f>IFERROR(__xludf.DUMMYFUNCTION("""COMPUTED_VALUE"""),700.0)</f>
        <v>700</v>
      </c>
      <c r="L541" s="2">
        <f>IFERROR(__xludf.DUMMYFUNCTION("""COMPUTED_VALUE"""),56.9626863)</f>
        <v>56.9626863</v>
      </c>
      <c r="M541" s="2">
        <f>IFERROR(__xludf.DUMMYFUNCTION("""COMPUTED_VALUE"""),24.1480584)</f>
        <v>24.1480584</v>
      </c>
    </row>
    <row r="542">
      <c r="A542" s="2" t="str">
        <f>IFERROR(__xludf.DUMMYFUNCTION("""COMPUTED_VALUE"""),"For sale")</f>
        <v>For sale</v>
      </c>
      <c r="B542" s="2" t="str">
        <f>IFERROR(__xludf.DUMMYFUNCTION("""COMPUTED_VALUE"""),"Daugavgrīva")</f>
        <v>Daugavgrīva</v>
      </c>
      <c r="C542" s="2" t="str">
        <f>IFERROR(__xludf.DUMMYFUNCTION("""COMPUTED_VALUE"""),"Birzes 46")</f>
        <v>Birzes 46</v>
      </c>
      <c r="D542" s="2">
        <f>IFERROR(__xludf.DUMMYFUNCTION("""COMPUTED_VALUE"""),3.0)</f>
        <v>3</v>
      </c>
      <c r="E542" s="2">
        <f>IFERROR(__xludf.DUMMYFUNCTION("""COMPUTED_VALUE"""),71.7)</f>
        <v>71.7</v>
      </c>
      <c r="F542" s="2">
        <f>IFERROR(__xludf.DUMMYFUNCTION("""COMPUTED_VALUE"""),2.0)</f>
        <v>2</v>
      </c>
      <c r="G542" s="2">
        <f>IFERROR(__xludf.DUMMYFUNCTION("""COMPUTED_VALUE"""),5.0)</f>
        <v>5</v>
      </c>
      <c r="H542" s="2">
        <f>IFERROR(__xludf.DUMMYFUNCTION("""COMPUTED_VALUE"""),103.0)</f>
        <v>103</v>
      </c>
      <c r="I542" s="2" t="str">
        <f>IFERROR(__xludf.DUMMYFUNCTION("""COMPUTED_VALUE"""),"Brick")</f>
        <v>Brick</v>
      </c>
      <c r="J542" s="2" t="str">
        <f>IFERROR(__xludf.DUMMYFUNCTION("""COMPUTED_VALUE"""),"All amenities")</f>
        <v>All amenities</v>
      </c>
      <c r="K542" s="2">
        <f>IFERROR(__xludf.DUMMYFUNCTION("""COMPUTED_VALUE"""),48000.0)</f>
        <v>48000</v>
      </c>
      <c r="L542" s="2">
        <f>IFERROR(__xludf.DUMMYFUNCTION("""COMPUTED_VALUE"""),57.03601395)</f>
        <v>57.03601395</v>
      </c>
      <c r="M542" s="2">
        <f>IFERROR(__xludf.DUMMYFUNCTION("""COMPUTED_VALUE"""),24.0249072640026)</f>
        <v>24.02490726</v>
      </c>
    </row>
    <row r="543">
      <c r="A543" s="2" t="str">
        <f>IFERROR(__xludf.DUMMYFUNCTION("""COMPUTED_VALUE"""),"For rent")</f>
        <v>For rent</v>
      </c>
      <c r="B543" s="2" t="str">
        <f>IFERROR(__xludf.DUMMYFUNCTION("""COMPUTED_VALUE"""),"Vecrīga")</f>
        <v>Vecrīga</v>
      </c>
      <c r="C543" s="2" t="str">
        <f>IFERROR(__xludf.DUMMYFUNCTION("""COMPUTED_VALUE"""),"Peitavas 5")</f>
        <v>Peitavas 5</v>
      </c>
      <c r="D543" s="2">
        <f>IFERROR(__xludf.DUMMYFUNCTION("""COMPUTED_VALUE"""),3.0)</f>
        <v>3</v>
      </c>
      <c r="E543" s="2">
        <f>IFERROR(__xludf.DUMMYFUNCTION("""COMPUTED_VALUE"""),78.0)</f>
        <v>78</v>
      </c>
      <c r="F543" s="2">
        <f>IFERROR(__xludf.DUMMYFUNCTION("""COMPUTED_VALUE"""),5.0)</f>
        <v>5</v>
      </c>
      <c r="G543" s="2">
        <f>IFERROR(__xludf.DUMMYFUNCTION("""COMPUTED_VALUE"""),5.0)</f>
        <v>5</v>
      </c>
      <c r="H543" s="2" t="str">
        <f>IFERROR(__xludf.DUMMYFUNCTION("""COMPUTED_VALUE"""),"Renov.")</f>
        <v>Renov.</v>
      </c>
      <c r="I543" s="2" t="str">
        <f>IFERROR(__xludf.DUMMYFUNCTION("""COMPUTED_VALUE"""),"Brick")</f>
        <v>Brick</v>
      </c>
      <c r="J543" s="2" t="str">
        <f>IFERROR(__xludf.DUMMYFUNCTION("""COMPUTED_VALUE"""),"All amenities")</f>
        <v>All amenities</v>
      </c>
      <c r="K543" s="2">
        <f>IFERROR(__xludf.DUMMYFUNCTION("""COMPUTED_VALUE"""),700.0)</f>
        <v>700</v>
      </c>
      <c r="L543" s="2">
        <f>IFERROR(__xludf.DUMMYFUNCTION("""COMPUTED_VALUE"""),56.9462191)</f>
        <v>56.9462191</v>
      </c>
      <c r="M543" s="2">
        <f>IFERROR(__xludf.DUMMYFUNCTION("""COMPUTED_VALUE"""),24.1099153)</f>
        <v>24.1099153</v>
      </c>
    </row>
    <row r="544">
      <c r="A544" s="2" t="str">
        <f>IFERROR(__xludf.DUMMYFUNCTION("""COMPUTED_VALUE"""),"For sale")</f>
        <v>For sale</v>
      </c>
      <c r="B544" s="2" t="str">
        <f>IFERROR(__xludf.DUMMYFUNCTION("""COMPUTED_VALUE"""),"centrs")</f>
        <v>centrs</v>
      </c>
      <c r="C544" s="2" t="str">
        <f>IFERROR(__xludf.DUMMYFUNCTION("""COMPUTED_VALUE"""),"Skanstes 29a")</f>
        <v>Skanstes 29a</v>
      </c>
      <c r="D544" s="2">
        <f>IFERROR(__xludf.DUMMYFUNCTION("""COMPUTED_VALUE"""),5.0)</f>
        <v>5</v>
      </c>
      <c r="E544" s="2">
        <f>IFERROR(__xludf.DUMMYFUNCTION("""COMPUTED_VALUE"""),167.0)</f>
        <v>167</v>
      </c>
      <c r="F544" s="2">
        <f>IFERROR(__xludf.DUMMYFUNCTION("""COMPUTED_VALUE"""),21.0)</f>
        <v>21</v>
      </c>
      <c r="G544" s="2">
        <f>IFERROR(__xludf.DUMMYFUNCTION("""COMPUTED_VALUE"""),24.0)</f>
        <v>24</v>
      </c>
      <c r="H544" s="2" t="str">
        <f>IFERROR(__xludf.DUMMYFUNCTION("""COMPUTED_VALUE"""),"Jaun.")</f>
        <v>Jaun.</v>
      </c>
      <c r="I544" s="2" t="str">
        <f>IFERROR(__xludf.DUMMYFUNCTION("""COMPUTED_VALUE"""),"Panel-Brick")</f>
        <v>Panel-Brick</v>
      </c>
      <c r="J544" s="2" t="str">
        <f>IFERROR(__xludf.DUMMYFUNCTION("""COMPUTED_VALUE"""),"All amenities")</f>
        <v>All amenities</v>
      </c>
      <c r="K544" s="2">
        <f>IFERROR(__xludf.DUMMYFUNCTION("""COMPUTED_VALUE"""),299000.0)</f>
        <v>299000</v>
      </c>
      <c r="L544" s="2">
        <f>IFERROR(__xludf.DUMMYFUNCTION("""COMPUTED_VALUE"""),56.9722229)</f>
        <v>56.9722229</v>
      </c>
      <c r="M544" s="2">
        <f>IFERROR(__xludf.DUMMYFUNCTION("""COMPUTED_VALUE"""),24.1239787042266)</f>
        <v>24.1239787</v>
      </c>
    </row>
    <row r="545">
      <c r="A545" s="2" t="str">
        <f>IFERROR(__xludf.DUMMYFUNCTION("""COMPUTED_VALUE"""),"For sale")</f>
        <v>For sale</v>
      </c>
      <c r="B545" s="2" t="str">
        <f>IFERROR(__xludf.DUMMYFUNCTION("""COMPUTED_VALUE"""),"centrs")</f>
        <v>centrs</v>
      </c>
      <c r="C545" s="2" t="str">
        <f>IFERROR(__xludf.DUMMYFUNCTION("""COMPUTED_VALUE"""),"Maskavas 57")</f>
        <v>Maskavas 57</v>
      </c>
      <c r="D545" s="2">
        <f>IFERROR(__xludf.DUMMYFUNCTION("""COMPUTED_VALUE"""),2.0)</f>
        <v>2</v>
      </c>
      <c r="E545" s="2">
        <f>IFERROR(__xludf.DUMMYFUNCTION("""COMPUTED_VALUE"""),68.0)</f>
        <v>68</v>
      </c>
      <c r="F545" s="2">
        <f>IFERROR(__xludf.DUMMYFUNCTION("""COMPUTED_VALUE"""),3.0)</f>
        <v>3</v>
      </c>
      <c r="G545" s="2">
        <f>IFERROR(__xludf.DUMMYFUNCTION("""COMPUTED_VALUE"""),3.0)</f>
        <v>3</v>
      </c>
      <c r="H545" s="2" t="str">
        <f>IFERROR(__xludf.DUMMYFUNCTION("""COMPUTED_VALUE"""),"P. kara")</f>
        <v>P. kara</v>
      </c>
      <c r="I545" s="2" t="str">
        <f>IFERROR(__xludf.DUMMYFUNCTION("""COMPUTED_VALUE"""),"Masonry")</f>
        <v>Masonry</v>
      </c>
      <c r="J545" s="2" t="str">
        <f>IFERROR(__xludf.DUMMYFUNCTION("""COMPUTED_VALUE"""),"All amenities")</f>
        <v>All amenities</v>
      </c>
      <c r="K545" s="2">
        <f>IFERROR(__xludf.DUMMYFUNCTION("""COMPUTED_VALUE"""),64500.0)</f>
        <v>64500</v>
      </c>
      <c r="L545" s="2">
        <f>IFERROR(__xludf.DUMMYFUNCTION("""COMPUTED_VALUE"""),56.9397075499999)</f>
        <v>56.93970755</v>
      </c>
      <c r="M545" s="2">
        <f>IFERROR(__xludf.DUMMYFUNCTION("""COMPUTED_VALUE"""),24.1324545438518)</f>
        <v>24.13245454</v>
      </c>
    </row>
    <row r="546">
      <c r="A546" s="2" t="str">
        <f>IFERROR(__xludf.DUMMYFUNCTION("""COMPUTED_VALUE"""),"For rent")</f>
        <v>For rent</v>
      </c>
      <c r="B546" s="2" t="str">
        <f>IFERROR(__xludf.DUMMYFUNCTION("""COMPUTED_VALUE"""),"Teika")</f>
        <v>Teika</v>
      </c>
      <c r="C546" s="2" t="str">
        <f>IFERROR(__xludf.DUMMYFUNCTION("""COMPUTED_VALUE"""),"Bajāru 7")</f>
        <v>Bajāru 7</v>
      </c>
      <c r="D546" s="2">
        <f>IFERROR(__xludf.DUMMYFUNCTION("""COMPUTED_VALUE"""),3.0)</f>
        <v>3</v>
      </c>
      <c r="E546" s="2">
        <f>IFERROR(__xludf.DUMMYFUNCTION("""COMPUTED_VALUE"""),58.0)</f>
        <v>58</v>
      </c>
      <c r="F546" s="2">
        <f>IFERROR(__xludf.DUMMYFUNCTION("""COMPUTED_VALUE"""),2.0)</f>
        <v>2</v>
      </c>
      <c r="G546" s="2">
        <f>IFERROR(__xludf.DUMMYFUNCTION("""COMPUTED_VALUE"""),2.0)</f>
        <v>2</v>
      </c>
      <c r="H546" s="2" t="str">
        <f>IFERROR(__xludf.DUMMYFUNCTION("""COMPUTED_VALUE"""),"Jaun.")</f>
        <v>Jaun.</v>
      </c>
      <c r="I546" s="2" t="str">
        <f>IFERROR(__xludf.DUMMYFUNCTION("""COMPUTED_VALUE"""),"Brick")</f>
        <v>Brick</v>
      </c>
      <c r="J546" s="2" t="str">
        <f>IFERROR(__xludf.DUMMYFUNCTION("""COMPUTED_VALUE"""),"All amenities")</f>
        <v>All amenities</v>
      </c>
      <c r="K546" s="2">
        <f>IFERROR(__xludf.DUMMYFUNCTION("""COMPUTED_VALUE"""),630.0)</f>
        <v>630</v>
      </c>
      <c r="L546" s="2">
        <f>IFERROR(__xludf.DUMMYFUNCTION("""COMPUTED_VALUE"""),56.97216595)</f>
        <v>56.97216595</v>
      </c>
      <c r="M546" s="2">
        <f>IFERROR(__xludf.DUMMYFUNCTION("""COMPUTED_VALUE"""),24.18026665)</f>
        <v>24.18026665</v>
      </c>
    </row>
    <row r="547">
      <c r="A547" s="2" t="str">
        <f>IFERROR(__xludf.DUMMYFUNCTION("""COMPUTED_VALUE"""),"For rent")</f>
        <v>For rent</v>
      </c>
      <c r="B547" s="2" t="str">
        <f>IFERROR(__xludf.DUMMYFUNCTION("""COMPUTED_VALUE"""),"Zolitūde")</f>
        <v>Zolitūde</v>
      </c>
      <c r="C547" s="2" t="str">
        <f>IFERROR(__xludf.DUMMYFUNCTION("""COMPUTED_VALUE"""),"Gramzdas 82")</f>
        <v>Gramzdas 82</v>
      </c>
      <c r="D547" s="2">
        <f>IFERROR(__xludf.DUMMYFUNCTION("""COMPUTED_VALUE"""),1.0)</f>
        <v>1</v>
      </c>
      <c r="E547" s="2">
        <f>IFERROR(__xludf.DUMMYFUNCTION("""COMPUTED_VALUE"""),55.0)</f>
        <v>55</v>
      </c>
      <c r="F547" s="2">
        <f>IFERROR(__xludf.DUMMYFUNCTION("""COMPUTED_VALUE"""),1.0)</f>
        <v>1</v>
      </c>
      <c r="G547" s="2">
        <f>IFERROR(__xludf.DUMMYFUNCTION("""COMPUTED_VALUE"""),4.0)</f>
        <v>4</v>
      </c>
      <c r="H547" s="2" t="str">
        <f>IFERROR(__xludf.DUMMYFUNCTION("""COMPUTED_VALUE"""),"Jaun.")</f>
        <v>Jaun.</v>
      </c>
      <c r="I547" s="2" t="str">
        <f>IFERROR(__xludf.DUMMYFUNCTION("""COMPUTED_VALUE"""),"Brick-Panel")</f>
        <v>Brick-Panel</v>
      </c>
      <c r="J547" s="2" t="str">
        <f>IFERROR(__xludf.DUMMYFUNCTION("""COMPUTED_VALUE"""),"All amenities")</f>
        <v>All amenities</v>
      </c>
      <c r="K547" s="2">
        <f>IFERROR(__xludf.DUMMYFUNCTION("""COMPUTED_VALUE"""),350.0)</f>
        <v>350</v>
      </c>
      <c r="L547" s="2">
        <f>IFERROR(__xludf.DUMMYFUNCTION("""COMPUTED_VALUE"""),56.9408962)</f>
        <v>56.9408962</v>
      </c>
      <c r="M547" s="2">
        <f>IFERROR(__xludf.DUMMYFUNCTION("""COMPUTED_VALUE"""),24.0041068352535)</f>
        <v>24.00410684</v>
      </c>
    </row>
    <row r="548">
      <c r="A548" s="2" t="str">
        <f>IFERROR(__xludf.DUMMYFUNCTION("""COMPUTED_VALUE"""),"For sale")</f>
        <v>For sale</v>
      </c>
      <c r="B548" s="2" t="str">
        <f>IFERROR(__xludf.DUMMYFUNCTION("""COMPUTED_VALUE"""),"Ziepniekkalns")</f>
        <v>Ziepniekkalns</v>
      </c>
      <c r="C548" s="2" t="str">
        <f>IFERROR(__xludf.DUMMYFUNCTION("""COMPUTED_VALUE"""),"Valdeķu 50/1")</f>
        <v>Valdeķu 50/1</v>
      </c>
      <c r="D548" s="2">
        <f>IFERROR(__xludf.DUMMYFUNCTION("""COMPUTED_VALUE"""),3.0)</f>
        <v>3</v>
      </c>
      <c r="E548" s="2">
        <f>IFERROR(__xludf.DUMMYFUNCTION("""COMPUTED_VALUE"""),64.0)</f>
        <v>64</v>
      </c>
      <c r="F548" s="2">
        <f>IFERROR(__xludf.DUMMYFUNCTION("""COMPUTED_VALUE"""),8.0)</f>
        <v>8</v>
      </c>
      <c r="G548" s="2">
        <f>IFERROR(__xludf.DUMMYFUNCTION("""COMPUTED_VALUE"""),9.0)</f>
        <v>9</v>
      </c>
      <c r="H548" s="2">
        <f>IFERROR(__xludf.DUMMYFUNCTION("""COMPUTED_VALUE"""),602.0)</f>
        <v>602</v>
      </c>
      <c r="I548" s="2" t="str">
        <f>IFERROR(__xludf.DUMMYFUNCTION("""COMPUTED_VALUE"""),"Panel")</f>
        <v>Panel</v>
      </c>
      <c r="J548" s="2" t="str">
        <f>IFERROR(__xludf.DUMMYFUNCTION("""COMPUTED_VALUE"""),"All amenities")</f>
        <v>All amenities</v>
      </c>
      <c r="K548" s="2">
        <f>IFERROR(__xludf.DUMMYFUNCTION("""COMPUTED_VALUE"""),72300.0)</f>
        <v>72300</v>
      </c>
      <c r="L548" s="2">
        <f>IFERROR(__xludf.DUMMYFUNCTION("""COMPUTED_VALUE"""),56.9150015)</f>
        <v>56.9150015</v>
      </c>
      <c r="M548" s="2">
        <f>IFERROR(__xludf.DUMMYFUNCTION("""COMPUTED_VALUE"""),24.0967059)</f>
        <v>24.0967059</v>
      </c>
    </row>
    <row r="549">
      <c r="A549" s="2" t="str">
        <f>IFERROR(__xludf.DUMMYFUNCTION("""COMPUTED_VALUE"""),"For rent")</f>
        <v>For rent</v>
      </c>
      <c r="B549" s="2" t="str">
        <f>IFERROR(__xludf.DUMMYFUNCTION("""COMPUTED_VALUE"""),"centrs")</f>
        <v>centrs</v>
      </c>
      <c r="C549" s="2" t="str">
        <f>IFERROR(__xludf.DUMMYFUNCTION("""COMPUTED_VALUE"""),"Gogoļa 7")</f>
        <v>Gogoļa 7</v>
      </c>
      <c r="D549" s="2">
        <f>IFERROR(__xludf.DUMMYFUNCTION("""COMPUTED_VALUE"""),2.0)</f>
        <v>2</v>
      </c>
      <c r="E549" s="2">
        <f>IFERROR(__xludf.DUMMYFUNCTION("""COMPUTED_VALUE"""),60.0)</f>
        <v>60</v>
      </c>
      <c r="F549" s="2">
        <f>IFERROR(__xludf.DUMMYFUNCTION("""COMPUTED_VALUE"""),4.0)</f>
        <v>4</v>
      </c>
      <c r="G549" s="2">
        <f>IFERROR(__xludf.DUMMYFUNCTION("""COMPUTED_VALUE"""),4.0)</f>
        <v>4</v>
      </c>
      <c r="H549" s="2" t="str">
        <f>IFERROR(__xludf.DUMMYFUNCTION("""COMPUTED_VALUE"""),"P. kara")</f>
        <v>P. kara</v>
      </c>
      <c r="I549" s="2" t="str">
        <f>IFERROR(__xludf.DUMMYFUNCTION("""COMPUTED_VALUE"""),"Masonry")</f>
        <v>Masonry</v>
      </c>
      <c r="J549" s="2" t="str">
        <f>IFERROR(__xludf.DUMMYFUNCTION("""COMPUTED_VALUE"""),"All amenities")</f>
        <v>All amenities</v>
      </c>
      <c r="K549" s="2">
        <f>IFERROR(__xludf.DUMMYFUNCTION("""COMPUTED_VALUE"""),390.0)</f>
        <v>390</v>
      </c>
      <c r="L549" s="2">
        <f>IFERROR(__xludf.DUMMYFUNCTION("""COMPUTED_VALUE"""),56.9444276)</f>
        <v>56.9444276</v>
      </c>
      <c r="M549" s="2">
        <f>IFERROR(__xludf.DUMMYFUNCTION("""COMPUTED_VALUE"""),24.1218628399213)</f>
        <v>24.12186284</v>
      </c>
    </row>
    <row r="550">
      <c r="A550" s="2" t="str">
        <f>IFERROR(__xludf.DUMMYFUNCTION("""COMPUTED_VALUE"""),"For rent")</f>
        <v>For rent</v>
      </c>
      <c r="B550" s="2" t="str">
        <f>IFERROR(__xludf.DUMMYFUNCTION("""COMPUTED_VALUE"""),"centrs")</f>
        <v>centrs</v>
      </c>
      <c r="C550" s="2" t="str">
        <f>IFERROR(__xludf.DUMMYFUNCTION("""COMPUTED_VALUE"""),"Pulkv. Brieža 7")</f>
        <v>Pulkv. Brieža 7</v>
      </c>
      <c r="D550" s="2">
        <f>IFERROR(__xludf.DUMMYFUNCTION("""COMPUTED_VALUE"""),3.0)</f>
        <v>3</v>
      </c>
      <c r="E550" s="2">
        <f>IFERROR(__xludf.DUMMYFUNCTION("""COMPUTED_VALUE"""),100.0)</f>
        <v>100</v>
      </c>
      <c r="F550" s="2">
        <f>IFERROR(__xludf.DUMMYFUNCTION("""COMPUTED_VALUE"""),2.0)</f>
        <v>2</v>
      </c>
      <c r="G550" s="2">
        <f>IFERROR(__xludf.DUMMYFUNCTION("""COMPUTED_VALUE"""),6.0)</f>
        <v>6</v>
      </c>
      <c r="H550" s="2" t="str">
        <f>IFERROR(__xludf.DUMMYFUNCTION("""COMPUTED_VALUE"""),"Renov.")</f>
        <v>Renov.</v>
      </c>
      <c r="I550" s="2" t="str">
        <f>IFERROR(__xludf.DUMMYFUNCTION("""COMPUTED_VALUE"""),"Brick-Panel")</f>
        <v>Brick-Panel</v>
      </c>
      <c r="J550" s="2" t="str">
        <f>IFERROR(__xludf.DUMMYFUNCTION("""COMPUTED_VALUE"""),"All amenities")</f>
        <v>All amenities</v>
      </c>
      <c r="K550" s="2">
        <f>IFERROR(__xludf.DUMMYFUNCTION("""COMPUTED_VALUE"""),1000.0)</f>
        <v>1000</v>
      </c>
      <c r="L550" s="2" t="str">
        <f>IFERROR(__xludf.DUMMYFUNCTION("""COMPUTED_VALUE"""),"NaN")</f>
        <v>NaN</v>
      </c>
      <c r="M550" s="2" t="str">
        <f>IFERROR(__xludf.DUMMYFUNCTION("""COMPUTED_VALUE"""),"NaN")</f>
        <v>NaN</v>
      </c>
    </row>
    <row r="551">
      <c r="A551" s="2" t="str">
        <f>IFERROR(__xludf.DUMMYFUNCTION("""COMPUTED_VALUE"""),"For sale")</f>
        <v>For sale</v>
      </c>
      <c r="B551" s="2" t="str">
        <f>IFERROR(__xludf.DUMMYFUNCTION("""COMPUTED_VALUE"""),"Dārzciems")</f>
        <v>Dārzciems</v>
      </c>
      <c r="C551" s="2" t="str">
        <f>IFERROR(__xludf.DUMMYFUNCTION("""COMPUTED_VALUE"""),"Sesku 7/1")</f>
        <v>Sesku 7/1</v>
      </c>
      <c r="D551" s="2">
        <f>IFERROR(__xludf.DUMMYFUNCTION("""COMPUTED_VALUE"""),1.0)</f>
        <v>1</v>
      </c>
      <c r="E551" s="2">
        <f>IFERROR(__xludf.DUMMYFUNCTION("""COMPUTED_VALUE"""),42.0)</f>
        <v>42</v>
      </c>
      <c r="F551" s="2">
        <f>IFERROR(__xludf.DUMMYFUNCTION("""COMPUTED_VALUE"""),2.0)</f>
        <v>2</v>
      </c>
      <c r="G551" s="2">
        <f>IFERROR(__xludf.DUMMYFUNCTION("""COMPUTED_VALUE"""),5.0)</f>
        <v>5</v>
      </c>
      <c r="H551" s="2" t="str">
        <f>IFERROR(__xludf.DUMMYFUNCTION("""COMPUTED_VALUE"""),"M. ģim.")</f>
        <v>M. ģim.</v>
      </c>
      <c r="I551" s="2" t="str">
        <f>IFERROR(__xludf.DUMMYFUNCTION("""COMPUTED_VALUE"""),"Panel")</f>
        <v>Panel</v>
      </c>
      <c r="J551" s="2" t="str">
        <f>IFERROR(__xludf.DUMMYFUNCTION("""COMPUTED_VALUE"""),"All amenities")</f>
        <v>All amenities</v>
      </c>
      <c r="K551" s="2">
        <f>IFERROR(__xludf.DUMMYFUNCTION("""COMPUTED_VALUE"""),33000.0)</f>
        <v>33000</v>
      </c>
      <c r="L551" s="2">
        <f>IFERROR(__xludf.DUMMYFUNCTION("""COMPUTED_VALUE"""),56.944418)</f>
        <v>56.944418</v>
      </c>
      <c r="M551" s="2">
        <f>IFERROR(__xludf.DUMMYFUNCTION("""COMPUTED_VALUE"""),24.1719745)</f>
        <v>24.1719745</v>
      </c>
    </row>
    <row r="552">
      <c r="A552" s="2" t="str">
        <f>IFERROR(__xludf.DUMMYFUNCTION("""COMPUTED_VALUE"""),"For rent")</f>
        <v>For rent</v>
      </c>
      <c r="B552" s="2" t="str">
        <f>IFERROR(__xludf.DUMMYFUNCTION("""COMPUTED_VALUE"""),"Daugavgrīva")</f>
        <v>Daugavgrīva</v>
      </c>
      <c r="C552" s="2" t="str">
        <f>IFERROR(__xludf.DUMMYFUNCTION("""COMPUTED_VALUE"""),"Flotes 8")</f>
        <v>Flotes 8</v>
      </c>
      <c r="D552" s="2">
        <f>IFERROR(__xludf.DUMMYFUNCTION("""COMPUTED_VALUE"""),1.0)</f>
        <v>1</v>
      </c>
      <c r="E552" s="2">
        <f>IFERROR(__xludf.DUMMYFUNCTION("""COMPUTED_VALUE"""),25.0)</f>
        <v>25</v>
      </c>
      <c r="F552" s="2">
        <f>IFERROR(__xludf.DUMMYFUNCTION("""COMPUTED_VALUE"""),2.0)</f>
        <v>2</v>
      </c>
      <c r="G552" s="2">
        <f>IFERROR(__xludf.DUMMYFUNCTION("""COMPUTED_VALUE"""),2.0)</f>
        <v>2</v>
      </c>
      <c r="H552" s="2" t="str">
        <f>IFERROR(__xludf.DUMMYFUNCTION("""COMPUTED_VALUE"""),"Renov.")</f>
        <v>Renov.</v>
      </c>
      <c r="I552" s="2" t="str">
        <f>IFERROR(__xludf.DUMMYFUNCTION("""COMPUTED_VALUE"""),"Brick")</f>
        <v>Brick</v>
      </c>
      <c r="J552" s="2" t="str">
        <f>IFERROR(__xludf.DUMMYFUNCTION("""COMPUTED_VALUE"""),"All amenities")</f>
        <v>All amenities</v>
      </c>
      <c r="K552" s="2">
        <f>IFERROR(__xludf.DUMMYFUNCTION("""COMPUTED_VALUE"""),180.0)</f>
        <v>180</v>
      </c>
      <c r="L552" s="2">
        <f>IFERROR(__xludf.DUMMYFUNCTION("""COMPUTED_VALUE"""),57.0426738)</f>
        <v>57.0426738</v>
      </c>
      <c r="M552" s="2">
        <f>IFERROR(__xludf.DUMMYFUNCTION("""COMPUTED_VALUE"""),24.0360848)</f>
        <v>24.0360848</v>
      </c>
    </row>
    <row r="553">
      <c r="A553" s="2" t="str">
        <f>IFERROR(__xludf.DUMMYFUNCTION("""COMPUTED_VALUE"""),"For sale")</f>
        <v>For sale</v>
      </c>
      <c r="B553" s="2" t="str">
        <f>IFERROR(__xludf.DUMMYFUNCTION("""COMPUTED_VALUE"""),"Vecmīlgrāvis")</f>
        <v>Vecmīlgrāvis</v>
      </c>
      <c r="C553" s="2" t="str">
        <f>IFERROR(__xludf.DUMMYFUNCTION("""COMPUTED_VALUE"""),"Rinkas 3")</f>
        <v>Rinkas 3</v>
      </c>
      <c r="D553" s="2">
        <f>IFERROR(__xludf.DUMMYFUNCTION("""COMPUTED_VALUE"""),3.0)</f>
        <v>3</v>
      </c>
      <c r="E553" s="2">
        <f>IFERROR(__xludf.DUMMYFUNCTION("""COMPUTED_VALUE"""),67.0)</f>
        <v>67</v>
      </c>
      <c r="F553" s="2">
        <f>IFERROR(__xludf.DUMMYFUNCTION("""COMPUTED_VALUE"""),1.0)</f>
        <v>1</v>
      </c>
      <c r="G553" s="2">
        <f>IFERROR(__xludf.DUMMYFUNCTION("""COMPUTED_VALUE"""),5.0)</f>
        <v>5</v>
      </c>
      <c r="H553" s="2" t="str">
        <f>IFERROR(__xludf.DUMMYFUNCTION("""COMPUTED_VALUE"""),"LT proj.")</f>
        <v>LT proj.</v>
      </c>
      <c r="I553" s="2" t="str">
        <f>IFERROR(__xludf.DUMMYFUNCTION("""COMPUTED_VALUE"""),"Panel")</f>
        <v>Panel</v>
      </c>
      <c r="J553" s="2" t="str">
        <f>IFERROR(__xludf.DUMMYFUNCTION("""COMPUTED_VALUE"""),"All amenities")</f>
        <v>All amenities</v>
      </c>
      <c r="K553" s="2">
        <f>IFERROR(__xludf.DUMMYFUNCTION("""COMPUTED_VALUE"""),58300.0)</f>
        <v>58300</v>
      </c>
      <c r="L553" s="2">
        <f>IFERROR(__xludf.DUMMYFUNCTION("""COMPUTED_VALUE"""),57.03222745)</f>
        <v>57.03222745</v>
      </c>
      <c r="M553" s="2">
        <f>IFERROR(__xludf.DUMMYFUNCTION("""COMPUTED_VALUE"""),24.1013700915502)</f>
        <v>24.10137009</v>
      </c>
    </row>
    <row r="554">
      <c r="A554" s="2" t="str">
        <f>IFERROR(__xludf.DUMMYFUNCTION("""COMPUTED_VALUE"""),"For rent")</f>
        <v>For rent</v>
      </c>
      <c r="B554" s="2" t="str">
        <f>IFERROR(__xludf.DUMMYFUNCTION("""COMPUTED_VALUE"""),"Jugla")</f>
        <v>Jugla</v>
      </c>
      <c r="C554" s="2" t="str">
        <f>IFERROR(__xludf.DUMMYFUNCTION("""COMPUTED_VALUE"""),"Veldres 7")</f>
        <v>Veldres 7</v>
      </c>
      <c r="D554" s="2">
        <f>IFERROR(__xludf.DUMMYFUNCTION("""COMPUTED_VALUE"""),2.0)</f>
        <v>2</v>
      </c>
      <c r="E554" s="2">
        <f>IFERROR(__xludf.DUMMYFUNCTION("""COMPUTED_VALUE"""),45.0)</f>
        <v>45</v>
      </c>
      <c r="F554" s="2">
        <f>IFERROR(__xludf.DUMMYFUNCTION("""COMPUTED_VALUE"""),3.0)</f>
        <v>3</v>
      </c>
      <c r="G554" s="2">
        <f>IFERROR(__xludf.DUMMYFUNCTION("""COMPUTED_VALUE"""),5.0)</f>
        <v>5</v>
      </c>
      <c r="H554" s="2" t="str">
        <f>IFERROR(__xludf.DUMMYFUNCTION("""COMPUTED_VALUE"""),"Hrušč.")</f>
        <v>Hrušč.</v>
      </c>
      <c r="I554" s="2" t="str">
        <f>IFERROR(__xludf.DUMMYFUNCTION("""COMPUTED_VALUE"""),"Panel")</f>
        <v>Panel</v>
      </c>
      <c r="J554" s="2" t="str">
        <f>IFERROR(__xludf.DUMMYFUNCTION("""COMPUTED_VALUE"""),"All amenities")</f>
        <v>All amenities</v>
      </c>
      <c r="K554" s="2">
        <f>IFERROR(__xludf.DUMMYFUNCTION("""COMPUTED_VALUE"""),300.0)</f>
        <v>300</v>
      </c>
      <c r="L554" s="2">
        <f>IFERROR(__xludf.DUMMYFUNCTION("""COMPUTED_VALUE"""),56.9759193)</f>
        <v>56.9759193</v>
      </c>
      <c r="M554" s="2">
        <f>IFERROR(__xludf.DUMMYFUNCTION("""COMPUTED_VALUE"""),24.2453697464297)</f>
        <v>24.24536975</v>
      </c>
    </row>
    <row r="555">
      <c r="A555" s="2" t="str">
        <f>IFERROR(__xludf.DUMMYFUNCTION("""COMPUTED_VALUE"""),"For rent")</f>
        <v>For rent</v>
      </c>
      <c r="B555" s="2" t="str">
        <f>IFERROR(__xludf.DUMMYFUNCTION("""COMPUTED_VALUE"""),"centrs")</f>
        <v>centrs</v>
      </c>
      <c r="C555" s="2" t="str">
        <f>IFERROR(__xludf.DUMMYFUNCTION("""COMPUTED_VALUE"""),"Sadovņikova 25")</f>
        <v>Sadovņikova 25</v>
      </c>
      <c r="D555" s="2">
        <f>IFERROR(__xludf.DUMMYFUNCTION("""COMPUTED_VALUE"""),2.0)</f>
        <v>2</v>
      </c>
      <c r="E555" s="2">
        <f>IFERROR(__xludf.DUMMYFUNCTION("""COMPUTED_VALUE"""),67.0)</f>
        <v>67</v>
      </c>
      <c r="F555" s="2">
        <f>IFERROR(__xludf.DUMMYFUNCTION("""COMPUTED_VALUE"""),3.0)</f>
        <v>3</v>
      </c>
      <c r="G555" s="2">
        <f>IFERROR(__xludf.DUMMYFUNCTION("""COMPUTED_VALUE"""),5.0)</f>
        <v>5</v>
      </c>
      <c r="H555" s="2" t="str">
        <f>IFERROR(__xludf.DUMMYFUNCTION("""COMPUTED_VALUE"""),"Jaun.")</f>
        <v>Jaun.</v>
      </c>
      <c r="I555" s="2" t="str">
        <f>IFERROR(__xludf.DUMMYFUNCTION("""COMPUTED_VALUE"""),"Panel-Brick")</f>
        <v>Panel-Brick</v>
      </c>
      <c r="J555" s="2" t="str">
        <f>IFERROR(__xludf.DUMMYFUNCTION("""COMPUTED_VALUE"""),"All amenities")</f>
        <v>All amenities</v>
      </c>
      <c r="K555" s="2">
        <f>IFERROR(__xludf.DUMMYFUNCTION("""COMPUTED_VALUE"""),35.0)</f>
        <v>35</v>
      </c>
      <c r="L555" s="2">
        <f>IFERROR(__xludf.DUMMYFUNCTION("""COMPUTED_VALUE"""),56.9408555)</f>
        <v>56.9408555</v>
      </c>
      <c r="M555" s="2">
        <f>IFERROR(__xludf.DUMMYFUNCTION("""COMPUTED_VALUE"""),24.1364923)</f>
        <v>24.1364923</v>
      </c>
    </row>
    <row r="556">
      <c r="A556" s="2" t="str">
        <f>IFERROR(__xludf.DUMMYFUNCTION("""COMPUTED_VALUE"""),"For sale")</f>
        <v>For sale</v>
      </c>
      <c r="B556" s="2" t="str">
        <f>IFERROR(__xludf.DUMMYFUNCTION("""COMPUTED_VALUE"""),"Ķengarags")</f>
        <v>Ķengarags</v>
      </c>
      <c r="C556" s="2" t="str">
        <f>IFERROR(__xludf.DUMMYFUNCTION("""COMPUTED_VALUE"""),"Salaspils 18/4")</f>
        <v>Salaspils 18/4</v>
      </c>
      <c r="D556" s="2">
        <f>IFERROR(__xludf.DUMMYFUNCTION("""COMPUTED_VALUE"""),2.0)</f>
        <v>2</v>
      </c>
      <c r="E556" s="2">
        <f>IFERROR(__xludf.DUMMYFUNCTION("""COMPUTED_VALUE"""),45.0)</f>
        <v>45</v>
      </c>
      <c r="F556" s="2">
        <f>IFERROR(__xludf.DUMMYFUNCTION("""COMPUTED_VALUE"""),4.0)</f>
        <v>4</v>
      </c>
      <c r="G556" s="2">
        <f>IFERROR(__xludf.DUMMYFUNCTION("""COMPUTED_VALUE"""),5.0)</f>
        <v>5</v>
      </c>
      <c r="H556" s="2" t="str">
        <f>IFERROR(__xludf.DUMMYFUNCTION("""COMPUTED_VALUE"""),"LT proj.")</f>
        <v>LT proj.</v>
      </c>
      <c r="I556" s="2" t="str">
        <f>IFERROR(__xludf.DUMMYFUNCTION("""COMPUTED_VALUE"""),"Panel")</f>
        <v>Panel</v>
      </c>
      <c r="J556" s="2" t="str">
        <f>IFERROR(__xludf.DUMMYFUNCTION("""COMPUTED_VALUE"""),"All amenities")</f>
        <v>All amenities</v>
      </c>
      <c r="K556" s="2">
        <f>IFERROR(__xludf.DUMMYFUNCTION("""COMPUTED_VALUE"""),49000.0)</f>
        <v>49000</v>
      </c>
      <c r="L556" s="2">
        <f>IFERROR(__xludf.DUMMYFUNCTION("""COMPUTED_VALUE"""),56.9267343)</f>
        <v>56.9267343</v>
      </c>
      <c r="M556" s="2">
        <f>IFERROR(__xludf.DUMMYFUNCTION("""COMPUTED_VALUE"""),24.1753303)</f>
        <v>24.1753303</v>
      </c>
    </row>
    <row r="557">
      <c r="A557" s="2" t="str">
        <f>IFERROR(__xludf.DUMMYFUNCTION("""COMPUTED_VALUE"""),"For sale")</f>
        <v>For sale</v>
      </c>
      <c r="B557" s="2" t="str">
        <f>IFERROR(__xludf.DUMMYFUNCTION("""COMPUTED_VALUE"""),"centrs")</f>
        <v>centrs</v>
      </c>
      <c r="C557" s="2" t="str">
        <f>IFERROR(__xludf.DUMMYFUNCTION("""COMPUTED_VALUE"""),"Blaumaņa 36")</f>
        <v>Blaumaņa 36</v>
      </c>
      <c r="D557" s="2" t="str">
        <f>IFERROR(__xludf.DUMMYFUNCTION("""COMPUTED_VALUE"""),"Citi")</f>
        <v>Citi</v>
      </c>
      <c r="E557" s="2">
        <f>IFERROR(__xludf.DUMMYFUNCTION("""COMPUTED_VALUE"""),190.0)</f>
        <v>190</v>
      </c>
      <c r="F557" s="2">
        <f>IFERROR(__xludf.DUMMYFUNCTION("""COMPUTED_VALUE"""),4.0)</f>
        <v>4</v>
      </c>
      <c r="G557" s="2">
        <f>IFERROR(__xludf.DUMMYFUNCTION("""COMPUTED_VALUE"""),5.0)</f>
        <v>5</v>
      </c>
      <c r="H557" s="2" t="str">
        <f>IFERROR(__xludf.DUMMYFUNCTION("""COMPUTED_VALUE"""),"P. kara")</f>
        <v>P. kara</v>
      </c>
      <c r="I557" s="2" t="str">
        <f>IFERROR(__xludf.DUMMYFUNCTION("""COMPUTED_VALUE"""),"Brick")</f>
        <v>Brick</v>
      </c>
      <c r="J557" s="2" t="str">
        <f>IFERROR(__xludf.DUMMYFUNCTION("""COMPUTED_VALUE"""),"All amenities")</f>
        <v>All amenities</v>
      </c>
      <c r="K557" s="2">
        <f>IFERROR(__xludf.DUMMYFUNCTION("""COMPUTED_VALUE"""),350000.0)</f>
        <v>350000</v>
      </c>
      <c r="L557" s="2">
        <f>IFERROR(__xludf.DUMMYFUNCTION("""COMPUTED_VALUE"""),56.95172905)</f>
        <v>56.95172905</v>
      </c>
      <c r="M557" s="2">
        <f>IFERROR(__xludf.DUMMYFUNCTION("""COMPUTED_VALUE"""),24.1258148944244)</f>
        <v>24.12581489</v>
      </c>
    </row>
    <row r="558">
      <c r="A558" s="2" t="str">
        <f>IFERROR(__xludf.DUMMYFUNCTION("""COMPUTED_VALUE"""),"For rent")</f>
        <v>For rent</v>
      </c>
      <c r="B558" s="2" t="str">
        <f>IFERROR(__xludf.DUMMYFUNCTION("""COMPUTED_VALUE"""),"centrs")</f>
        <v>centrs</v>
      </c>
      <c r="C558" s="2" t="str">
        <f>IFERROR(__xludf.DUMMYFUNCTION("""COMPUTED_VALUE"""),"Tomsona 30")</f>
        <v>Tomsona 30</v>
      </c>
      <c r="D558" s="2">
        <f>IFERROR(__xludf.DUMMYFUNCTION("""COMPUTED_VALUE"""),2.0)</f>
        <v>2</v>
      </c>
      <c r="E558" s="2">
        <f>IFERROR(__xludf.DUMMYFUNCTION("""COMPUTED_VALUE"""),81.0)</f>
        <v>81</v>
      </c>
      <c r="F558" s="2">
        <f>IFERROR(__xludf.DUMMYFUNCTION("""COMPUTED_VALUE"""),2.0)</f>
        <v>2</v>
      </c>
      <c r="G558" s="2">
        <f>IFERROR(__xludf.DUMMYFUNCTION("""COMPUTED_VALUE"""),9.0)</f>
        <v>9</v>
      </c>
      <c r="H558" s="2" t="str">
        <f>IFERROR(__xludf.DUMMYFUNCTION("""COMPUTED_VALUE"""),"Jaun.")</f>
        <v>Jaun.</v>
      </c>
      <c r="I558" s="2" t="str">
        <f>IFERROR(__xludf.DUMMYFUNCTION("""COMPUTED_VALUE"""),"Brick-Panel")</f>
        <v>Brick-Panel</v>
      </c>
      <c r="J558" s="2" t="str">
        <f>IFERROR(__xludf.DUMMYFUNCTION("""COMPUTED_VALUE"""),"All amenities")</f>
        <v>All amenities</v>
      </c>
      <c r="K558" s="2">
        <f>IFERROR(__xludf.DUMMYFUNCTION("""COMPUTED_VALUE"""),650.0)</f>
        <v>650</v>
      </c>
      <c r="L558" s="2">
        <f>IFERROR(__xludf.DUMMYFUNCTION("""COMPUTED_VALUE"""),56.9665863)</f>
        <v>56.9665863</v>
      </c>
      <c r="M558" s="2">
        <f>IFERROR(__xludf.DUMMYFUNCTION("""COMPUTED_VALUE"""),24.1282258)</f>
        <v>24.1282258</v>
      </c>
    </row>
    <row r="559">
      <c r="A559" s="2" t="str">
        <f>IFERROR(__xludf.DUMMYFUNCTION("""COMPUTED_VALUE"""),"For rent")</f>
        <v>For rent</v>
      </c>
      <c r="B559" s="2" t="str">
        <f>IFERROR(__xludf.DUMMYFUNCTION("""COMPUTED_VALUE"""),"Imanta")</f>
        <v>Imanta</v>
      </c>
      <c r="C559" s="2" t="str">
        <f>IFERROR(__xludf.DUMMYFUNCTION("""COMPUTED_VALUE"""),"Kurzemes pr. 122")</f>
        <v>Kurzemes pr. 122</v>
      </c>
      <c r="D559" s="2">
        <f>IFERROR(__xludf.DUMMYFUNCTION("""COMPUTED_VALUE"""),1.0)</f>
        <v>1</v>
      </c>
      <c r="E559" s="2">
        <f>IFERROR(__xludf.DUMMYFUNCTION("""COMPUTED_VALUE"""),37.0)</f>
        <v>37</v>
      </c>
      <c r="F559" s="2">
        <f>IFERROR(__xludf.DUMMYFUNCTION("""COMPUTED_VALUE"""),9.0)</f>
        <v>9</v>
      </c>
      <c r="G559" s="2">
        <f>IFERROR(__xludf.DUMMYFUNCTION("""COMPUTED_VALUE"""),9.0)</f>
        <v>9</v>
      </c>
      <c r="H559" s="2">
        <f>IFERROR(__xludf.DUMMYFUNCTION("""COMPUTED_VALUE"""),602.0)</f>
        <v>602</v>
      </c>
      <c r="I559" s="2" t="str">
        <f>IFERROR(__xludf.DUMMYFUNCTION("""COMPUTED_VALUE"""),"Panel")</f>
        <v>Panel</v>
      </c>
      <c r="J559" s="2" t="str">
        <f>IFERROR(__xludf.DUMMYFUNCTION("""COMPUTED_VALUE"""),"All amenities")</f>
        <v>All amenities</v>
      </c>
      <c r="K559" s="2">
        <f>IFERROR(__xludf.DUMMYFUNCTION("""COMPUTED_VALUE"""),250.0)</f>
        <v>250</v>
      </c>
      <c r="L559" s="2" t="str">
        <f>IFERROR(__xludf.DUMMYFUNCTION("""COMPUTED_VALUE"""),"NaN")</f>
        <v>NaN</v>
      </c>
      <c r="M559" s="2" t="str">
        <f>IFERROR(__xludf.DUMMYFUNCTION("""COMPUTED_VALUE"""),"NaN")</f>
        <v>NaN</v>
      </c>
    </row>
    <row r="560">
      <c r="A560" s="2" t="str">
        <f>IFERROR(__xludf.DUMMYFUNCTION("""COMPUTED_VALUE"""),"For rent")</f>
        <v>For rent</v>
      </c>
      <c r="B560" s="2" t="str">
        <f>IFERROR(__xludf.DUMMYFUNCTION("""COMPUTED_VALUE"""),"centrs")</f>
        <v>centrs</v>
      </c>
      <c r="C560" s="2" t="str">
        <f>IFERROR(__xludf.DUMMYFUNCTION("""COMPUTED_VALUE"""),"Barona 24/26")</f>
        <v>Barona 24/26</v>
      </c>
      <c r="D560" s="2">
        <f>IFERROR(__xludf.DUMMYFUNCTION("""COMPUTED_VALUE"""),1.0)</f>
        <v>1</v>
      </c>
      <c r="E560" s="2">
        <f>IFERROR(__xludf.DUMMYFUNCTION("""COMPUTED_VALUE"""),20.0)</f>
        <v>20</v>
      </c>
      <c r="F560" s="2">
        <f>IFERROR(__xludf.DUMMYFUNCTION("""COMPUTED_VALUE"""),2.0)</f>
        <v>2</v>
      </c>
      <c r="G560" s="2">
        <f>IFERROR(__xludf.DUMMYFUNCTION("""COMPUTED_VALUE"""),6.0)</f>
        <v>6</v>
      </c>
      <c r="H560" s="2" t="str">
        <f>IFERROR(__xludf.DUMMYFUNCTION("""COMPUTED_VALUE"""),"Jaun.")</f>
        <v>Jaun.</v>
      </c>
      <c r="I560" s="2" t="str">
        <f>IFERROR(__xludf.DUMMYFUNCTION("""COMPUTED_VALUE"""),"Brick-Panel")</f>
        <v>Brick-Panel</v>
      </c>
      <c r="J560" s="2" t="str">
        <f>IFERROR(__xludf.DUMMYFUNCTION("""COMPUTED_VALUE"""),"All amenities")</f>
        <v>All amenities</v>
      </c>
      <c r="K560" s="2">
        <f>IFERROR(__xludf.DUMMYFUNCTION("""COMPUTED_VALUE"""),370.0)</f>
        <v>370</v>
      </c>
      <c r="L560" s="2">
        <f>IFERROR(__xludf.DUMMYFUNCTION("""COMPUTED_VALUE"""),56.95161295)</f>
        <v>56.95161295</v>
      </c>
      <c r="M560" s="2">
        <f>IFERROR(__xludf.DUMMYFUNCTION("""COMPUTED_VALUE"""),24.1224571478615)</f>
        <v>24.12245715</v>
      </c>
    </row>
    <row r="561">
      <c r="A561" s="2" t="str">
        <f>IFERROR(__xludf.DUMMYFUNCTION("""COMPUTED_VALUE"""),"For rent")</f>
        <v>For rent</v>
      </c>
      <c r="B561" s="2" t="str">
        <f>IFERROR(__xludf.DUMMYFUNCTION("""COMPUTED_VALUE"""),"Pļavnieki")</f>
        <v>Pļavnieki</v>
      </c>
      <c r="C561" s="2" t="str">
        <f>IFERROR(__xludf.DUMMYFUNCTION("""COMPUTED_VALUE"""),"Ulbrokas 12")</f>
        <v>Ulbrokas 12</v>
      </c>
      <c r="D561" s="2">
        <f>IFERROR(__xludf.DUMMYFUNCTION("""COMPUTED_VALUE"""),2.0)</f>
        <v>2</v>
      </c>
      <c r="E561" s="2">
        <f>IFERROR(__xludf.DUMMYFUNCTION("""COMPUTED_VALUE"""),61.0)</f>
        <v>61</v>
      </c>
      <c r="F561" s="2">
        <f>IFERROR(__xludf.DUMMYFUNCTION("""COMPUTED_VALUE"""),6.0)</f>
        <v>6</v>
      </c>
      <c r="G561" s="2">
        <f>IFERROR(__xludf.DUMMYFUNCTION("""COMPUTED_VALUE"""),8.0)</f>
        <v>8</v>
      </c>
      <c r="H561" s="2" t="str">
        <f>IFERROR(__xludf.DUMMYFUNCTION("""COMPUTED_VALUE"""),"Jaun.")</f>
        <v>Jaun.</v>
      </c>
      <c r="I561" s="2" t="str">
        <f>IFERROR(__xludf.DUMMYFUNCTION("""COMPUTED_VALUE"""),"Brick")</f>
        <v>Brick</v>
      </c>
      <c r="J561" s="2" t="str">
        <f>IFERROR(__xludf.DUMMYFUNCTION("""COMPUTED_VALUE"""),"All amenities")</f>
        <v>All amenities</v>
      </c>
      <c r="K561" s="2">
        <f>IFERROR(__xludf.DUMMYFUNCTION("""COMPUTED_VALUE"""),390.0)</f>
        <v>390</v>
      </c>
      <c r="L561" s="2">
        <f>IFERROR(__xludf.DUMMYFUNCTION("""COMPUTED_VALUE"""),56.94122905)</f>
        <v>56.94122905</v>
      </c>
      <c r="M561" s="2">
        <f>IFERROR(__xludf.DUMMYFUNCTION("""COMPUTED_VALUE"""),24.2174231674689)</f>
        <v>24.21742317</v>
      </c>
    </row>
    <row r="562">
      <c r="A562" s="2" t="str">
        <f>IFERROR(__xludf.DUMMYFUNCTION("""COMPUTED_VALUE"""),"For rent")</f>
        <v>For rent</v>
      </c>
      <c r="B562" s="2" t="str">
        <f>IFERROR(__xludf.DUMMYFUNCTION("""COMPUTED_VALUE"""),"centrs")</f>
        <v>centrs</v>
      </c>
      <c r="C562" s="2" t="str">
        <f>IFERROR(__xludf.DUMMYFUNCTION("""COMPUTED_VALUE"""),"Barona 21")</f>
        <v>Barona 21</v>
      </c>
      <c r="D562" s="2">
        <f>IFERROR(__xludf.DUMMYFUNCTION("""COMPUTED_VALUE"""),1.0)</f>
        <v>1</v>
      </c>
      <c r="E562" s="2">
        <f>IFERROR(__xludf.DUMMYFUNCTION("""COMPUTED_VALUE"""),40.0)</f>
        <v>40</v>
      </c>
      <c r="F562" s="2">
        <f>IFERROR(__xludf.DUMMYFUNCTION("""COMPUTED_VALUE"""),4.0)</f>
        <v>4</v>
      </c>
      <c r="G562" s="2">
        <f>IFERROR(__xludf.DUMMYFUNCTION("""COMPUTED_VALUE"""),5.0)</f>
        <v>5</v>
      </c>
      <c r="H562" s="2" t="str">
        <f>IFERROR(__xludf.DUMMYFUNCTION("""COMPUTED_VALUE"""),"P. kara")</f>
        <v>P. kara</v>
      </c>
      <c r="I562" s="2" t="str">
        <f>IFERROR(__xludf.DUMMYFUNCTION("""COMPUTED_VALUE"""),"Masonry")</f>
        <v>Masonry</v>
      </c>
      <c r="J562" s="2" t="str">
        <f>IFERROR(__xludf.DUMMYFUNCTION("""COMPUTED_VALUE"""),"All amenities")</f>
        <v>All amenities</v>
      </c>
      <c r="K562" s="2">
        <f>IFERROR(__xludf.DUMMYFUNCTION("""COMPUTED_VALUE"""),25.0)</f>
        <v>25</v>
      </c>
      <c r="L562" s="2">
        <f>IFERROR(__xludf.DUMMYFUNCTION("""COMPUTED_VALUE"""),56.9525712)</f>
        <v>56.9525712</v>
      </c>
      <c r="M562" s="2">
        <f>IFERROR(__xludf.DUMMYFUNCTION("""COMPUTED_VALUE"""),24.1236797)</f>
        <v>24.1236797</v>
      </c>
    </row>
    <row r="563">
      <c r="A563" s="2" t="str">
        <f>IFERROR(__xludf.DUMMYFUNCTION("""COMPUTED_VALUE"""),"For rent")</f>
        <v>For rent</v>
      </c>
      <c r="B563" s="2" t="str">
        <f>IFERROR(__xludf.DUMMYFUNCTION("""COMPUTED_VALUE"""),"centrs")</f>
        <v>centrs</v>
      </c>
      <c r="C563" s="2" t="str">
        <f>IFERROR(__xludf.DUMMYFUNCTION("""COMPUTED_VALUE"""),"Antonijas 22")</f>
        <v>Antonijas 22</v>
      </c>
      <c r="D563" s="2">
        <f>IFERROR(__xludf.DUMMYFUNCTION("""COMPUTED_VALUE"""),2.0)</f>
        <v>2</v>
      </c>
      <c r="E563" s="2">
        <f>IFERROR(__xludf.DUMMYFUNCTION("""COMPUTED_VALUE"""),88.0)</f>
        <v>88</v>
      </c>
      <c r="F563" s="2">
        <f>IFERROR(__xludf.DUMMYFUNCTION("""COMPUTED_VALUE"""),5.0)</f>
        <v>5</v>
      </c>
      <c r="G563" s="2">
        <f>IFERROR(__xludf.DUMMYFUNCTION("""COMPUTED_VALUE"""),6.0)</f>
        <v>6</v>
      </c>
      <c r="H563" s="2" t="str">
        <f>IFERROR(__xludf.DUMMYFUNCTION("""COMPUTED_VALUE"""),"Renov.")</f>
        <v>Renov.</v>
      </c>
      <c r="I563" s="2" t="str">
        <f>IFERROR(__xludf.DUMMYFUNCTION("""COMPUTED_VALUE"""),"Masonry")</f>
        <v>Masonry</v>
      </c>
      <c r="J563" s="2" t="str">
        <f>IFERROR(__xludf.DUMMYFUNCTION("""COMPUTED_VALUE"""),"All amenities")</f>
        <v>All amenities</v>
      </c>
      <c r="K563" s="2">
        <f>IFERROR(__xludf.DUMMYFUNCTION("""COMPUTED_VALUE"""),550.0)</f>
        <v>550</v>
      </c>
      <c r="L563" s="2">
        <f>IFERROR(__xludf.DUMMYFUNCTION("""COMPUTED_VALUE"""),56.9601368)</f>
        <v>56.9601368</v>
      </c>
      <c r="M563" s="2">
        <f>IFERROR(__xludf.DUMMYFUNCTION("""COMPUTED_VALUE"""),24.1142701)</f>
        <v>24.1142701</v>
      </c>
    </row>
    <row r="564">
      <c r="A564" s="2" t="str">
        <f>IFERROR(__xludf.DUMMYFUNCTION("""COMPUTED_VALUE"""),"For sale")</f>
        <v>For sale</v>
      </c>
      <c r="B564" s="2" t="str">
        <f>IFERROR(__xludf.DUMMYFUNCTION("""COMPUTED_VALUE"""),"Ziepniekkalns")</f>
        <v>Ziepniekkalns</v>
      </c>
      <c r="C564" s="2" t="str">
        <f>IFERROR(__xludf.DUMMYFUNCTION("""COMPUTED_VALUE"""),"Līvciema 9/1")</f>
        <v>Līvciema 9/1</v>
      </c>
      <c r="D564" s="2">
        <f>IFERROR(__xludf.DUMMYFUNCTION("""COMPUTED_VALUE"""),3.0)</f>
        <v>3</v>
      </c>
      <c r="E564" s="2">
        <f>IFERROR(__xludf.DUMMYFUNCTION("""COMPUTED_VALUE"""),76.0)</f>
        <v>76</v>
      </c>
      <c r="F564" s="2">
        <f>IFERROR(__xludf.DUMMYFUNCTION("""COMPUTED_VALUE"""),5.0)</f>
        <v>5</v>
      </c>
      <c r="G564" s="2">
        <f>IFERROR(__xludf.DUMMYFUNCTION("""COMPUTED_VALUE"""),7.0)</f>
        <v>7</v>
      </c>
      <c r="H564" s="2" t="str">
        <f>IFERROR(__xludf.DUMMYFUNCTION("""COMPUTED_VALUE"""),"Specpr.")</f>
        <v>Specpr.</v>
      </c>
      <c r="I564" s="2" t="str">
        <f>IFERROR(__xludf.DUMMYFUNCTION("""COMPUTED_VALUE"""),"Panel")</f>
        <v>Panel</v>
      </c>
      <c r="J564" s="2" t="str">
        <f>IFERROR(__xludf.DUMMYFUNCTION("""COMPUTED_VALUE"""),"All amenities")</f>
        <v>All amenities</v>
      </c>
      <c r="K564" s="2">
        <f>IFERROR(__xludf.DUMMYFUNCTION("""COMPUTED_VALUE"""),71915.0)</f>
        <v>71915</v>
      </c>
      <c r="L564" s="2">
        <f>IFERROR(__xludf.DUMMYFUNCTION("""COMPUTED_VALUE"""),56.9019124)</f>
        <v>56.9019124</v>
      </c>
      <c r="M564" s="2">
        <f>IFERROR(__xludf.DUMMYFUNCTION("""COMPUTED_VALUE"""),24.1024598)</f>
        <v>24.1024598</v>
      </c>
    </row>
    <row r="565">
      <c r="A565" s="2" t="str">
        <f>IFERROR(__xludf.DUMMYFUNCTION("""COMPUTED_VALUE"""),"For rent")</f>
        <v>For rent</v>
      </c>
      <c r="B565" s="2" t="str">
        <f>IFERROR(__xludf.DUMMYFUNCTION("""COMPUTED_VALUE"""),"Iļģuciems")</f>
        <v>Iļģuciems</v>
      </c>
      <c r="C565" s="2" t="str">
        <f>IFERROR(__xludf.DUMMYFUNCTION("""COMPUTED_VALUE"""),"Lidoņu 3a")</f>
        <v>Lidoņu 3a</v>
      </c>
      <c r="D565" s="2">
        <f>IFERROR(__xludf.DUMMYFUNCTION("""COMPUTED_VALUE"""),2.0)</f>
        <v>2</v>
      </c>
      <c r="E565" s="2">
        <f>IFERROR(__xludf.DUMMYFUNCTION("""COMPUTED_VALUE"""),50.0)</f>
        <v>50</v>
      </c>
      <c r="F565" s="2">
        <f>IFERROR(__xludf.DUMMYFUNCTION("""COMPUTED_VALUE"""),3.0)</f>
        <v>3</v>
      </c>
      <c r="G565" s="2">
        <f>IFERROR(__xludf.DUMMYFUNCTION("""COMPUTED_VALUE"""),5.0)</f>
        <v>5</v>
      </c>
      <c r="H565" s="2" t="str">
        <f>IFERROR(__xludf.DUMMYFUNCTION("""COMPUTED_VALUE"""),"LT proj.")</f>
        <v>LT proj.</v>
      </c>
      <c r="I565" s="2" t="str">
        <f>IFERROR(__xludf.DUMMYFUNCTION("""COMPUTED_VALUE"""),"Panel")</f>
        <v>Panel</v>
      </c>
      <c r="J565" s="2" t="str">
        <f>IFERROR(__xludf.DUMMYFUNCTION("""COMPUTED_VALUE"""),"All amenities")</f>
        <v>All amenities</v>
      </c>
      <c r="K565" s="2">
        <f>IFERROR(__xludf.DUMMYFUNCTION("""COMPUTED_VALUE"""),300.0)</f>
        <v>300</v>
      </c>
      <c r="L565" s="2">
        <f>IFERROR(__xludf.DUMMYFUNCTION("""COMPUTED_VALUE"""),56.97140105)</f>
        <v>56.97140105</v>
      </c>
      <c r="M565" s="2">
        <f>IFERROR(__xludf.DUMMYFUNCTION("""COMPUTED_VALUE"""),24.0707010799226)</f>
        <v>24.07070108</v>
      </c>
    </row>
    <row r="566">
      <c r="A566" s="2" t="str">
        <f>IFERROR(__xludf.DUMMYFUNCTION("""COMPUTED_VALUE"""),"For rent")</f>
        <v>For rent</v>
      </c>
      <c r="B566" s="2" t="str">
        <f>IFERROR(__xludf.DUMMYFUNCTION("""COMPUTED_VALUE"""),"Grīziņkalns")</f>
        <v>Grīziņkalns</v>
      </c>
      <c r="C566" s="2" t="str">
        <f>IFERROR(__xludf.DUMMYFUNCTION("""COMPUTED_VALUE"""),"Alauksta 21")</f>
        <v>Alauksta 21</v>
      </c>
      <c r="D566" s="2">
        <f>IFERROR(__xludf.DUMMYFUNCTION("""COMPUTED_VALUE"""),1.0)</f>
        <v>1</v>
      </c>
      <c r="E566" s="2">
        <f>IFERROR(__xludf.DUMMYFUNCTION("""COMPUTED_VALUE"""),30.0)</f>
        <v>30</v>
      </c>
      <c r="F566" s="2">
        <f>IFERROR(__xludf.DUMMYFUNCTION("""COMPUTED_VALUE"""),2.0)</f>
        <v>2</v>
      </c>
      <c r="G566" s="2">
        <f>IFERROR(__xludf.DUMMYFUNCTION("""COMPUTED_VALUE"""),5.0)</f>
        <v>5</v>
      </c>
      <c r="H566" s="2" t="str">
        <f>IFERROR(__xludf.DUMMYFUNCTION("""COMPUTED_VALUE"""),"P. kara")</f>
        <v>P. kara</v>
      </c>
      <c r="I566" s="2" t="str">
        <f>IFERROR(__xludf.DUMMYFUNCTION("""COMPUTED_VALUE"""),"Brick")</f>
        <v>Brick</v>
      </c>
      <c r="J566" s="2" t="str">
        <f>IFERROR(__xludf.DUMMYFUNCTION("""COMPUTED_VALUE"""),"All amenities")</f>
        <v>All amenities</v>
      </c>
      <c r="K566" s="2">
        <f>IFERROR(__xludf.DUMMYFUNCTION("""COMPUTED_VALUE"""),220.0)</f>
        <v>220</v>
      </c>
      <c r="L566" s="2">
        <f>IFERROR(__xludf.DUMMYFUNCTION("""COMPUTED_VALUE"""),56.9598967)</f>
        <v>56.9598967</v>
      </c>
      <c r="M566" s="2">
        <f>IFERROR(__xludf.DUMMYFUNCTION("""COMPUTED_VALUE"""),24.1516983)</f>
        <v>24.1516983</v>
      </c>
    </row>
    <row r="567">
      <c r="A567" s="2" t="str">
        <f>IFERROR(__xludf.DUMMYFUNCTION("""COMPUTED_VALUE"""),"For sale")</f>
        <v>For sale</v>
      </c>
      <c r="B567" s="2" t="str">
        <f>IFERROR(__xludf.DUMMYFUNCTION("""COMPUTED_VALUE"""),"centrs")</f>
        <v>centrs</v>
      </c>
      <c r="C567" s="2" t="str">
        <f>IFERROR(__xludf.DUMMYFUNCTION("""COMPUTED_VALUE"""),"Šarlotes 7")</f>
        <v>Šarlotes 7</v>
      </c>
      <c r="D567" s="2">
        <f>IFERROR(__xludf.DUMMYFUNCTION("""COMPUTED_VALUE"""),2.0)</f>
        <v>2</v>
      </c>
      <c r="E567" s="2">
        <f>IFERROR(__xludf.DUMMYFUNCTION("""COMPUTED_VALUE"""),33.0)</f>
        <v>33</v>
      </c>
      <c r="F567" s="2">
        <f>IFERROR(__xludf.DUMMYFUNCTION("""COMPUTED_VALUE"""),3.0)</f>
        <v>3</v>
      </c>
      <c r="G567" s="2">
        <f>IFERROR(__xludf.DUMMYFUNCTION("""COMPUTED_VALUE"""),6.0)</f>
        <v>6</v>
      </c>
      <c r="H567" s="2" t="str">
        <f>IFERROR(__xludf.DUMMYFUNCTION("""COMPUTED_VALUE"""),"Jaun.")</f>
        <v>Jaun.</v>
      </c>
      <c r="I567" s="2" t="str">
        <f>IFERROR(__xludf.DUMMYFUNCTION("""COMPUTED_VALUE"""),"Masonry")</f>
        <v>Masonry</v>
      </c>
      <c r="J567" s="2" t="str">
        <f>IFERROR(__xludf.DUMMYFUNCTION("""COMPUTED_VALUE"""),"Partial amenities")</f>
        <v>Partial amenities</v>
      </c>
      <c r="K567" s="2">
        <f>IFERROR(__xludf.DUMMYFUNCTION("""COMPUTED_VALUE"""),80000.0)</f>
        <v>80000</v>
      </c>
      <c r="L567" s="2">
        <f>IFERROR(__xludf.DUMMYFUNCTION("""COMPUTED_VALUE"""),56.9645861)</f>
        <v>56.9645861</v>
      </c>
      <c r="M567" s="2">
        <f>IFERROR(__xludf.DUMMYFUNCTION("""COMPUTED_VALUE"""),24.1286325)</f>
        <v>24.1286325</v>
      </c>
    </row>
    <row r="568">
      <c r="A568" s="2" t="str">
        <f>IFERROR(__xludf.DUMMYFUNCTION("""COMPUTED_VALUE"""),"For sale")</f>
        <v>For sale</v>
      </c>
      <c r="B568" s="2" t="str">
        <f>IFERROR(__xludf.DUMMYFUNCTION("""COMPUTED_VALUE"""),"Jugla")</f>
        <v>Jugla</v>
      </c>
      <c r="C568" s="2" t="str">
        <f>IFERROR(__xludf.DUMMYFUNCTION("""COMPUTED_VALUE"""),"Bākūžu 13a")</f>
        <v>Bākūžu 13a</v>
      </c>
      <c r="D568" s="2">
        <f>IFERROR(__xludf.DUMMYFUNCTION("""COMPUTED_VALUE"""),4.0)</f>
        <v>4</v>
      </c>
      <c r="E568" s="2">
        <f>IFERROR(__xludf.DUMMYFUNCTION("""COMPUTED_VALUE"""),96.1)</f>
        <v>96.1</v>
      </c>
      <c r="F568" s="2">
        <f>IFERROR(__xludf.DUMMYFUNCTION("""COMPUTED_VALUE"""),1.0)</f>
        <v>1</v>
      </c>
      <c r="G568" s="2">
        <f>IFERROR(__xludf.DUMMYFUNCTION("""COMPUTED_VALUE"""),3.0)</f>
        <v>3</v>
      </c>
      <c r="H568" s="2" t="str">
        <f>IFERROR(__xludf.DUMMYFUNCTION("""COMPUTED_VALUE"""),"Renov.")</f>
        <v>Renov.</v>
      </c>
      <c r="I568" s="2" t="str">
        <f>IFERROR(__xludf.DUMMYFUNCTION("""COMPUTED_VALUE"""),"Masonry")</f>
        <v>Masonry</v>
      </c>
      <c r="J568" s="2" t="str">
        <f>IFERROR(__xludf.DUMMYFUNCTION("""COMPUTED_VALUE"""),"All amenities")</f>
        <v>All amenities</v>
      </c>
      <c r="K568" s="2">
        <f>IFERROR(__xludf.DUMMYFUNCTION("""COMPUTED_VALUE"""),150000.0)</f>
        <v>150000</v>
      </c>
      <c r="L568" s="2">
        <f>IFERROR(__xludf.DUMMYFUNCTION("""COMPUTED_VALUE"""),56.9876991)</f>
        <v>56.9876991</v>
      </c>
      <c r="M568" s="2">
        <f>IFERROR(__xludf.DUMMYFUNCTION("""COMPUTED_VALUE"""),24.2350567)</f>
        <v>24.2350567</v>
      </c>
    </row>
    <row r="569">
      <c r="A569" s="2" t="str">
        <f>IFERROR(__xludf.DUMMYFUNCTION("""COMPUTED_VALUE"""),"For sale")</f>
        <v>For sale</v>
      </c>
      <c r="B569" s="2" t="str">
        <f>IFERROR(__xludf.DUMMYFUNCTION("""COMPUTED_VALUE"""),"Purvciems")</f>
        <v>Purvciems</v>
      </c>
      <c r="C569" s="2" t="str">
        <f>IFERROR(__xludf.DUMMYFUNCTION("""COMPUTED_VALUE"""),"Ūnijas 76a")</f>
        <v>Ūnijas 76a</v>
      </c>
      <c r="D569" s="2">
        <f>IFERROR(__xludf.DUMMYFUNCTION("""COMPUTED_VALUE"""),3.0)</f>
        <v>3</v>
      </c>
      <c r="E569" s="2">
        <f>IFERROR(__xludf.DUMMYFUNCTION("""COMPUTED_VALUE"""),62.0)</f>
        <v>62</v>
      </c>
      <c r="F569" s="2">
        <f>IFERROR(__xludf.DUMMYFUNCTION("""COMPUTED_VALUE"""),5.0)</f>
        <v>5</v>
      </c>
      <c r="G569" s="2">
        <f>IFERROR(__xludf.DUMMYFUNCTION("""COMPUTED_VALUE"""),5.0)</f>
        <v>5</v>
      </c>
      <c r="H569" s="2" t="str">
        <f>IFERROR(__xludf.DUMMYFUNCTION("""COMPUTED_VALUE"""),"LT proj.")</f>
        <v>LT proj.</v>
      </c>
      <c r="I569" s="2" t="str">
        <f>IFERROR(__xludf.DUMMYFUNCTION("""COMPUTED_VALUE"""),"Panel")</f>
        <v>Panel</v>
      </c>
      <c r="J569" s="2" t="str">
        <f>IFERROR(__xludf.DUMMYFUNCTION("""COMPUTED_VALUE"""),"Partial amenities")</f>
        <v>Partial amenities</v>
      </c>
      <c r="K569" s="2">
        <f>IFERROR(__xludf.DUMMYFUNCTION("""COMPUTED_VALUE"""),68000.0)</f>
        <v>68000</v>
      </c>
      <c r="L569" s="2">
        <f>IFERROR(__xludf.DUMMYFUNCTION("""COMPUTED_VALUE"""),56.9606510499999)</f>
        <v>56.96065105</v>
      </c>
      <c r="M569" s="2">
        <f>IFERROR(__xludf.DUMMYFUNCTION("""COMPUTED_VALUE"""),24.1833327739692)</f>
        <v>24.18333277</v>
      </c>
    </row>
    <row r="570">
      <c r="A570" s="2" t="str">
        <f>IFERROR(__xludf.DUMMYFUNCTION("""COMPUTED_VALUE"""),"For sale")</f>
        <v>For sale</v>
      </c>
      <c r="B570" s="2" t="str">
        <f>IFERROR(__xludf.DUMMYFUNCTION("""COMPUTED_VALUE"""),"Teika")</f>
        <v>Teika</v>
      </c>
      <c r="C570" s="2" t="str">
        <f>IFERROR(__xludf.DUMMYFUNCTION("""COMPUTED_VALUE"""),"Brīvības gatve 229")</f>
        <v>Brīvības gatve 229</v>
      </c>
      <c r="D570" s="2">
        <f>IFERROR(__xludf.DUMMYFUNCTION("""COMPUTED_VALUE"""),2.0)</f>
        <v>2</v>
      </c>
      <c r="E570" s="2">
        <f>IFERROR(__xludf.DUMMYFUNCTION("""COMPUTED_VALUE"""),42.0)</f>
        <v>42</v>
      </c>
      <c r="F570" s="2">
        <f>IFERROR(__xludf.DUMMYFUNCTION("""COMPUTED_VALUE"""),5.0)</f>
        <v>5</v>
      </c>
      <c r="G570" s="2">
        <f>IFERROR(__xludf.DUMMYFUNCTION("""COMPUTED_VALUE"""),5.0)</f>
        <v>5</v>
      </c>
      <c r="H570" s="2" t="str">
        <f>IFERROR(__xludf.DUMMYFUNCTION("""COMPUTED_VALUE"""),"Hrušč.")</f>
        <v>Hrušč.</v>
      </c>
      <c r="I570" s="2" t="str">
        <f>IFERROR(__xludf.DUMMYFUNCTION("""COMPUTED_VALUE"""),"Brick")</f>
        <v>Brick</v>
      </c>
      <c r="J570" s="2" t="str">
        <f>IFERROR(__xludf.DUMMYFUNCTION("""COMPUTED_VALUE"""),"All amenities")</f>
        <v>All amenities</v>
      </c>
      <c r="K570" s="2">
        <f>IFERROR(__xludf.DUMMYFUNCTION("""COMPUTED_VALUE"""),50000.0)</f>
        <v>50000</v>
      </c>
      <c r="L570" s="2">
        <f>IFERROR(__xludf.DUMMYFUNCTION("""COMPUTED_VALUE"""),56.9761938)</f>
        <v>56.9761938</v>
      </c>
      <c r="M570" s="2">
        <f>IFERROR(__xludf.DUMMYFUNCTION("""COMPUTED_VALUE"""),24.1755336999999)</f>
        <v>24.1755337</v>
      </c>
    </row>
    <row r="571">
      <c r="A571" s="2" t="str">
        <f>IFERROR(__xludf.DUMMYFUNCTION("""COMPUTED_VALUE"""),"For rent")</f>
        <v>For rent</v>
      </c>
      <c r="B571" s="2" t="str">
        <f>IFERROR(__xludf.DUMMYFUNCTION("""COMPUTED_VALUE"""),"centrs")</f>
        <v>centrs</v>
      </c>
      <c r="C571" s="2" t="str">
        <f>IFERROR(__xludf.DUMMYFUNCTION("""COMPUTED_VALUE"""),"Pērnavas 7")</f>
        <v>Pērnavas 7</v>
      </c>
      <c r="D571" s="2">
        <f>IFERROR(__xludf.DUMMYFUNCTION("""COMPUTED_VALUE"""),3.0)</f>
        <v>3</v>
      </c>
      <c r="E571" s="2">
        <f>IFERROR(__xludf.DUMMYFUNCTION("""COMPUTED_VALUE"""),75.5)</f>
        <v>75.5</v>
      </c>
      <c r="F571" s="2">
        <f>IFERROR(__xludf.DUMMYFUNCTION("""COMPUTED_VALUE"""),6.0)</f>
        <v>6</v>
      </c>
      <c r="G571" s="2">
        <f>IFERROR(__xludf.DUMMYFUNCTION("""COMPUTED_VALUE"""),6.0)</f>
        <v>6</v>
      </c>
      <c r="H571" s="2" t="str">
        <f>IFERROR(__xludf.DUMMYFUNCTION("""COMPUTED_VALUE"""),"Renov.")</f>
        <v>Renov.</v>
      </c>
      <c r="I571" s="2" t="str">
        <f>IFERROR(__xludf.DUMMYFUNCTION("""COMPUTED_VALUE"""),"Masonry")</f>
        <v>Masonry</v>
      </c>
      <c r="J571" s="2" t="str">
        <f>IFERROR(__xludf.DUMMYFUNCTION("""COMPUTED_VALUE"""),"All amenities")</f>
        <v>All amenities</v>
      </c>
      <c r="K571" s="2">
        <f>IFERROR(__xludf.DUMMYFUNCTION("""COMPUTED_VALUE"""),550.0)</f>
        <v>550</v>
      </c>
      <c r="L571" s="2">
        <f>IFERROR(__xludf.DUMMYFUNCTION("""COMPUTED_VALUE"""),56.96431685)</f>
        <v>56.96431685</v>
      </c>
      <c r="M571" s="2">
        <f>IFERROR(__xludf.DUMMYFUNCTION("""COMPUTED_VALUE"""),24.1504795202315)</f>
        <v>24.15047952</v>
      </c>
    </row>
    <row r="572">
      <c r="A572" s="2" t="str">
        <f>IFERROR(__xludf.DUMMYFUNCTION("""COMPUTED_VALUE"""),"For sale")</f>
        <v>For sale</v>
      </c>
      <c r="B572" s="2" t="str">
        <f>IFERROR(__xludf.DUMMYFUNCTION("""COMPUTED_VALUE"""),"centrs")</f>
        <v>centrs</v>
      </c>
      <c r="C572" s="2" t="str">
        <f>IFERROR(__xludf.DUMMYFUNCTION("""COMPUTED_VALUE"""),"Ģertrūdes 69/71")</f>
        <v>Ģertrūdes 69/71</v>
      </c>
      <c r="D572" s="2">
        <f>IFERROR(__xludf.DUMMYFUNCTION("""COMPUTED_VALUE"""),3.0)</f>
        <v>3</v>
      </c>
      <c r="E572" s="2">
        <f>IFERROR(__xludf.DUMMYFUNCTION("""COMPUTED_VALUE"""),83.0)</f>
        <v>83</v>
      </c>
      <c r="F572" s="2">
        <f>IFERROR(__xludf.DUMMYFUNCTION("""COMPUTED_VALUE"""),3.0)</f>
        <v>3</v>
      </c>
      <c r="G572" s="2">
        <f>IFERROR(__xludf.DUMMYFUNCTION("""COMPUTED_VALUE"""),6.0)</f>
        <v>6</v>
      </c>
      <c r="H572" s="2" t="str">
        <f>IFERROR(__xludf.DUMMYFUNCTION("""COMPUTED_VALUE"""),"P. kara")</f>
        <v>P. kara</v>
      </c>
      <c r="I572" s="2" t="str">
        <f>IFERROR(__xludf.DUMMYFUNCTION("""COMPUTED_VALUE"""),"Masonry")</f>
        <v>Masonry</v>
      </c>
      <c r="J572" s="2" t="str">
        <f>IFERROR(__xludf.DUMMYFUNCTION("""COMPUTED_VALUE"""),"All amenities")</f>
        <v>All amenities</v>
      </c>
      <c r="K572" s="2">
        <f>IFERROR(__xludf.DUMMYFUNCTION("""COMPUTED_VALUE"""),112000.0)</f>
        <v>112000</v>
      </c>
      <c r="L572" s="2">
        <f>IFERROR(__xludf.DUMMYFUNCTION("""COMPUTED_VALUE"""),56.9582325)</f>
        <v>56.9582325</v>
      </c>
      <c r="M572" s="2">
        <f>IFERROR(__xludf.DUMMYFUNCTION("""COMPUTED_VALUE"""),24.1215352)</f>
        <v>24.1215352</v>
      </c>
    </row>
    <row r="573">
      <c r="A573" s="2" t="str">
        <f>IFERROR(__xludf.DUMMYFUNCTION("""COMPUTED_VALUE"""),"For sale")</f>
        <v>For sale</v>
      </c>
      <c r="B573" s="2" t="str">
        <f>IFERROR(__xludf.DUMMYFUNCTION("""COMPUTED_VALUE"""),"centrs")</f>
        <v>centrs</v>
      </c>
      <c r="C573" s="2" t="str">
        <f>IFERROR(__xludf.DUMMYFUNCTION("""COMPUTED_VALUE"""),"11. novembra krastm. 121")</f>
        <v>11. novembra krastm. 121</v>
      </c>
      <c r="D573" s="2">
        <f>IFERROR(__xludf.DUMMYFUNCTION("""COMPUTED_VALUE"""),2.0)</f>
        <v>2</v>
      </c>
      <c r="E573" s="2">
        <f>IFERROR(__xludf.DUMMYFUNCTION("""COMPUTED_VALUE"""),51.0)</f>
        <v>51</v>
      </c>
      <c r="F573" s="2">
        <f>IFERROR(__xludf.DUMMYFUNCTION("""COMPUTED_VALUE"""),3.0)</f>
        <v>3</v>
      </c>
      <c r="G573" s="2">
        <f>IFERROR(__xludf.DUMMYFUNCTION("""COMPUTED_VALUE"""),6.0)</f>
        <v>6</v>
      </c>
      <c r="H573" s="2" t="str">
        <f>IFERROR(__xludf.DUMMYFUNCTION("""COMPUTED_VALUE"""),"Jaun.")</f>
        <v>Jaun.</v>
      </c>
      <c r="I573" s="2" t="str">
        <f>IFERROR(__xludf.DUMMYFUNCTION("""COMPUTED_VALUE"""),"Masonry")</f>
        <v>Masonry</v>
      </c>
      <c r="J573" s="2" t="str">
        <f>IFERROR(__xludf.DUMMYFUNCTION("""COMPUTED_VALUE"""),"All amenities")</f>
        <v>All amenities</v>
      </c>
      <c r="K573" s="2">
        <f>IFERROR(__xludf.DUMMYFUNCTION("""COMPUTED_VALUE"""),110000.0)</f>
        <v>110000</v>
      </c>
      <c r="L573" s="2" t="str">
        <f>IFERROR(__xludf.DUMMYFUNCTION("""COMPUTED_VALUE"""),"NaN")</f>
        <v>NaN</v>
      </c>
      <c r="M573" s="2" t="str">
        <f>IFERROR(__xludf.DUMMYFUNCTION("""COMPUTED_VALUE"""),"NaN")</f>
        <v>NaN</v>
      </c>
    </row>
    <row r="574">
      <c r="A574" s="2" t="str">
        <f>IFERROR(__xludf.DUMMYFUNCTION("""COMPUTED_VALUE"""),"For sale")</f>
        <v>For sale</v>
      </c>
      <c r="B574" s="2" t="str">
        <f>IFERROR(__xludf.DUMMYFUNCTION("""COMPUTED_VALUE"""),"Ziepniekkalns")</f>
        <v>Ziepniekkalns</v>
      </c>
      <c r="C574" s="2" t="str">
        <f>IFERROR(__xludf.DUMMYFUNCTION("""COMPUTED_VALUE"""),"Valdeķu 54/4")</f>
        <v>Valdeķu 54/4</v>
      </c>
      <c r="D574" s="2">
        <f>IFERROR(__xludf.DUMMYFUNCTION("""COMPUTED_VALUE"""),1.0)</f>
        <v>1</v>
      </c>
      <c r="E574" s="2">
        <f>IFERROR(__xludf.DUMMYFUNCTION("""COMPUTED_VALUE"""),32.0)</f>
        <v>32</v>
      </c>
      <c r="F574" s="2">
        <f>IFERROR(__xludf.DUMMYFUNCTION("""COMPUTED_VALUE"""),7.0)</f>
        <v>7</v>
      </c>
      <c r="G574" s="2">
        <f>IFERROR(__xludf.DUMMYFUNCTION("""COMPUTED_VALUE"""),9.0)</f>
        <v>9</v>
      </c>
      <c r="H574" s="2">
        <f>IFERROR(__xludf.DUMMYFUNCTION("""COMPUTED_VALUE"""),602.0)</f>
        <v>602</v>
      </c>
      <c r="I574" s="2" t="str">
        <f>IFERROR(__xludf.DUMMYFUNCTION("""COMPUTED_VALUE"""),"Panel")</f>
        <v>Panel</v>
      </c>
      <c r="J574" s="2" t="str">
        <f>IFERROR(__xludf.DUMMYFUNCTION("""COMPUTED_VALUE"""),"All amenities")</f>
        <v>All amenities</v>
      </c>
      <c r="K574" s="2">
        <f>IFERROR(__xludf.DUMMYFUNCTION("""COMPUTED_VALUE"""),33000.0)</f>
        <v>33000</v>
      </c>
      <c r="L574" s="2">
        <f>IFERROR(__xludf.DUMMYFUNCTION("""COMPUTED_VALUE"""),56.9150015)</f>
        <v>56.9150015</v>
      </c>
      <c r="M574" s="2">
        <f>IFERROR(__xludf.DUMMYFUNCTION("""COMPUTED_VALUE"""),24.0967059)</f>
        <v>24.0967059</v>
      </c>
    </row>
    <row r="575">
      <c r="A575" s="2" t="str">
        <f>IFERROR(__xludf.DUMMYFUNCTION("""COMPUTED_VALUE"""),"For sale")</f>
        <v>For sale</v>
      </c>
      <c r="B575" s="2" t="str">
        <f>IFERROR(__xludf.DUMMYFUNCTION("""COMPUTED_VALUE"""),"Purvciems")</f>
        <v>Purvciems</v>
      </c>
      <c r="C575" s="2" t="str">
        <f>IFERROR(__xludf.DUMMYFUNCTION("""COMPUTED_VALUE"""),"Ilūkstes 101/1")</f>
        <v>Ilūkstes 101/1</v>
      </c>
      <c r="D575" s="2">
        <f>IFERROR(__xludf.DUMMYFUNCTION("""COMPUTED_VALUE"""),1.0)</f>
        <v>1</v>
      </c>
      <c r="E575" s="2">
        <f>IFERROR(__xludf.DUMMYFUNCTION("""COMPUTED_VALUE"""),37.0)</f>
        <v>37</v>
      </c>
      <c r="F575" s="2">
        <f>IFERROR(__xludf.DUMMYFUNCTION("""COMPUTED_VALUE"""),5.0)</f>
        <v>5</v>
      </c>
      <c r="G575" s="2">
        <f>IFERROR(__xludf.DUMMYFUNCTION("""COMPUTED_VALUE"""),5.0)</f>
        <v>5</v>
      </c>
      <c r="H575" s="2">
        <f>IFERROR(__xludf.DUMMYFUNCTION("""COMPUTED_VALUE"""),103.0)</f>
        <v>103</v>
      </c>
      <c r="I575" s="2" t="str">
        <f>IFERROR(__xludf.DUMMYFUNCTION("""COMPUTED_VALUE"""),"Brick-Panel")</f>
        <v>Brick-Panel</v>
      </c>
      <c r="J575" s="2" t="str">
        <f>IFERROR(__xludf.DUMMYFUNCTION("""COMPUTED_VALUE"""),"All amenities")</f>
        <v>All amenities</v>
      </c>
      <c r="K575" s="2">
        <f>IFERROR(__xludf.DUMMYFUNCTION("""COMPUTED_VALUE"""),28990.0)</f>
        <v>28990</v>
      </c>
      <c r="L575" s="2">
        <f>IFERROR(__xludf.DUMMYFUNCTION("""COMPUTED_VALUE"""),56.9405867)</f>
        <v>56.9405867</v>
      </c>
      <c r="M575" s="2">
        <f>IFERROR(__xludf.DUMMYFUNCTION("""COMPUTED_VALUE"""),24.1951866)</f>
        <v>24.1951866</v>
      </c>
    </row>
    <row r="576">
      <c r="A576" s="2" t="str">
        <f>IFERROR(__xludf.DUMMYFUNCTION("""COMPUTED_VALUE"""),"For sale")</f>
        <v>For sale</v>
      </c>
      <c r="B576" s="2" t="str">
        <f>IFERROR(__xludf.DUMMYFUNCTION("""COMPUTED_VALUE"""),"Dārzciems")</f>
        <v>Dārzciems</v>
      </c>
      <c r="C576" s="2" t="str">
        <f>IFERROR(__xludf.DUMMYFUNCTION("""COMPUTED_VALUE"""),"Nīcgales 46")</f>
        <v>Nīcgales 46</v>
      </c>
      <c r="D576" s="2">
        <f>IFERROR(__xludf.DUMMYFUNCTION("""COMPUTED_VALUE"""),2.0)</f>
        <v>2</v>
      </c>
      <c r="E576" s="2">
        <f>IFERROR(__xludf.DUMMYFUNCTION("""COMPUTED_VALUE"""),51.0)</f>
        <v>51</v>
      </c>
      <c r="F576" s="2">
        <f>IFERROR(__xludf.DUMMYFUNCTION("""COMPUTED_VALUE"""),9.0)</f>
        <v>9</v>
      </c>
      <c r="G576" s="2">
        <f>IFERROR(__xludf.DUMMYFUNCTION("""COMPUTED_VALUE"""),2.0)</f>
        <v>2</v>
      </c>
      <c r="H576" s="2">
        <f>IFERROR(__xludf.DUMMYFUNCTION("""COMPUTED_VALUE"""),602.0)</f>
        <v>602</v>
      </c>
      <c r="I576" s="2" t="str">
        <f>IFERROR(__xludf.DUMMYFUNCTION("""COMPUTED_VALUE"""),"Panel")</f>
        <v>Panel</v>
      </c>
      <c r="J576" s="2" t="str">
        <f>IFERROR(__xludf.DUMMYFUNCTION("""COMPUTED_VALUE"""),"All amenities")</f>
        <v>All amenities</v>
      </c>
      <c r="K576" s="2">
        <f>IFERROR(__xludf.DUMMYFUNCTION("""COMPUTED_VALUE"""),49000.0)</f>
        <v>49000</v>
      </c>
      <c r="L576" s="2">
        <f>IFERROR(__xludf.DUMMYFUNCTION("""COMPUTED_VALUE"""),56.945342)</f>
        <v>56.945342</v>
      </c>
      <c r="M576" s="2">
        <f>IFERROR(__xludf.DUMMYFUNCTION("""COMPUTED_VALUE"""),24.1709469488025)</f>
        <v>24.17094695</v>
      </c>
    </row>
    <row r="577">
      <c r="A577" s="2" t="str">
        <f>IFERROR(__xludf.DUMMYFUNCTION("""COMPUTED_VALUE"""),"For rent")</f>
        <v>For rent</v>
      </c>
      <c r="B577" s="2" t="str">
        <f>IFERROR(__xludf.DUMMYFUNCTION("""COMPUTED_VALUE"""),"centrs")</f>
        <v>centrs</v>
      </c>
      <c r="C577" s="2" t="str">
        <f>IFERROR(__xludf.DUMMYFUNCTION("""COMPUTED_VALUE"""),"Pērnavas 39")</f>
        <v>Pērnavas 39</v>
      </c>
      <c r="D577" s="2">
        <f>IFERROR(__xludf.DUMMYFUNCTION("""COMPUTED_VALUE"""),1.0)</f>
        <v>1</v>
      </c>
      <c r="E577" s="2">
        <f>IFERROR(__xludf.DUMMYFUNCTION("""COMPUTED_VALUE"""),25.0)</f>
        <v>25</v>
      </c>
      <c r="F577" s="2">
        <f>IFERROR(__xludf.DUMMYFUNCTION("""COMPUTED_VALUE"""),5.0)</f>
        <v>5</v>
      </c>
      <c r="G577" s="2">
        <f>IFERROR(__xludf.DUMMYFUNCTION("""COMPUTED_VALUE"""),6.0)</f>
        <v>6</v>
      </c>
      <c r="H577" s="2" t="str">
        <f>IFERROR(__xludf.DUMMYFUNCTION("""COMPUTED_VALUE"""),"P. kara")</f>
        <v>P. kara</v>
      </c>
      <c r="I577" s="2" t="str">
        <f>IFERROR(__xludf.DUMMYFUNCTION("""COMPUTED_VALUE"""),"Brick")</f>
        <v>Brick</v>
      </c>
      <c r="J577" s="2" t="str">
        <f>IFERROR(__xludf.DUMMYFUNCTION("""COMPUTED_VALUE"""),"All amenities")</f>
        <v>All amenities</v>
      </c>
      <c r="K577" s="2">
        <f>IFERROR(__xludf.DUMMYFUNCTION("""COMPUTED_VALUE"""),200.0)</f>
        <v>200</v>
      </c>
      <c r="L577" s="2">
        <f>IFERROR(__xludf.DUMMYFUNCTION("""COMPUTED_VALUE"""),56.9555074999999)</f>
        <v>56.9555075</v>
      </c>
      <c r="M577" s="2">
        <f>IFERROR(__xludf.DUMMYFUNCTION("""COMPUTED_VALUE"""),24.1534989394562)</f>
        <v>24.15349894</v>
      </c>
    </row>
    <row r="578">
      <c r="A578" s="2" t="str">
        <f>IFERROR(__xludf.DUMMYFUNCTION("""COMPUTED_VALUE"""),"For rent")</f>
        <v>For rent</v>
      </c>
      <c r="B578" s="2" t="str">
        <f>IFERROR(__xludf.DUMMYFUNCTION("""COMPUTED_VALUE"""),"centrs")</f>
        <v>centrs</v>
      </c>
      <c r="C578" s="2" t="str">
        <f>IFERROR(__xludf.DUMMYFUNCTION("""COMPUTED_VALUE"""),"Ģertrūdes 99k2")</f>
        <v>Ģertrūdes 99k2</v>
      </c>
      <c r="D578" s="2">
        <f>IFERROR(__xludf.DUMMYFUNCTION("""COMPUTED_VALUE"""),2.0)</f>
        <v>2</v>
      </c>
      <c r="E578" s="2">
        <f>IFERROR(__xludf.DUMMYFUNCTION("""COMPUTED_VALUE"""),30.0)</f>
        <v>30</v>
      </c>
      <c r="F578" s="2">
        <f>IFERROR(__xludf.DUMMYFUNCTION("""COMPUTED_VALUE"""),3.0)</f>
        <v>3</v>
      </c>
      <c r="G578" s="2">
        <f>IFERROR(__xludf.DUMMYFUNCTION("""COMPUTED_VALUE"""),5.0)</f>
        <v>5</v>
      </c>
      <c r="H578" s="2" t="str">
        <f>IFERROR(__xludf.DUMMYFUNCTION("""COMPUTED_VALUE"""),"P. kara")</f>
        <v>P. kara</v>
      </c>
      <c r="I578" s="2" t="str">
        <f>IFERROR(__xludf.DUMMYFUNCTION("""COMPUTED_VALUE"""),"Masonry")</f>
        <v>Masonry</v>
      </c>
      <c r="J578" s="2" t="str">
        <f>IFERROR(__xludf.DUMMYFUNCTION("""COMPUTED_VALUE"""),"Partial amenities")</f>
        <v>Partial amenities</v>
      </c>
      <c r="K578" s="2">
        <f>IFERROR(__xludf.DUMMYFUNCTION("""COMPUTED_VALUE"""),350.0)</f>
        <v>350</v>
      </c>
      <c r="L578" s="2">
        <f>IFERROR(__xludf.DUMMYFUNCTION("""COMPUTED_VALUE"""),56.9582325)</f>
        <v>56.9582325</v>
      </c>
      <c r="M578" s="2">
        <f>IFERROR(__xludf.DUMMYFUNCTION("""COMPUTED_VALUE"""),24.1215352)</f>
        <v>24.1215352</v>
      </c>
    </row>
    <row r="579">
      <c r="A579" s="2" t="str">
        <f>IFERROR(__xludf.DUMMYFUNCTION("""COMPUTED_VALUE"""),"For sale")</f>
        <v>For sale</v>
      </c>
      <c r="B579" s="2" t="str">
        <f>IFERROR(__xludf.DUMMYFUNCTION("""COMPUTED_VALUE"""),"centrs")</f>
        <v>centrs</v>
      </c>
      <c r="C579" s="2" t="str">
        <f>IFERROR(__xludf.DUMMYFUNCTION("""COMPUTED_VALUE"""),"Asara 12/5")</f>
        <v>Asara 12/5</v>
      </c>
      <c r="D579" s="2">
        <f>IFERROR(__xludf.DUMMYFUNCTION("""COMPUTED_VALUE"""),4.0)</f>
        <v>4</v>
      </c>
      <c r="E579" s="2">
        <f>IFERROR(__xludf.DUMMYFUNCTION("""COMPUTED_VALUE"""),107.0)</f>
        <v>107</v>
      </c>
      <c r="F579" s="2">
        <f>IFERROR(__xludf.DUMMYFUNCTION("""COMPUTED_VALUE"""),1.0)</f>
        <v>1</v>
      </c>
      <c r="G579" s="2">
        <f>IFERROR(__xludf.DUMMYFUNCTION("""COMPUTED_VALUE"""),5.0)</f>
        <v>5</v>
      </c>
      <c r="H579" s="2" t="str">
        <f>IFERROR(__xludf.DUMMYFUNCTION("""COMPUTED_VALUE"""),"Renov.")</f>
        <v>Renov.</v>
      </c>
      <c r="I579" s="2" t="str">
        <f>IFERROR(__xludf.DUMMYFUNCTION("""COMPUTED_VALUE"""),"Wood")</f>
        <v>Wood</v>
      </c>
      <c r="J579" s="2" t="str">
        <f>IFERROR(__xludf.DUMMYFUNCTION("""COMPUTED_VALUE"""),"All amenities")</f>
        <v>All amenities</v>
      </c>
      <c r="K579" s="2">
        <f>IFERROR(__xludf.DUMMYFUNCTION("""COMPUTED_VALUE"""),200000.0)</f>
        <v>200000</v>
      </c>
      <c r="L579" s="2">
        <f>IFERROR(__xludf.DUMMYFUNCTION("""COMPUTED_VALUE"""),56.956506)</f>
        <v>56.956506</v>
      </c>
      <c r="M579" s="2">
        <f>IFERROR(__xludf.DUMMYFUNCTION("""COMPUTED_VALUE"""),24.1531491)</f>
        <v>24.1531491</v>
      </c>
    </row>
    <row r="580">
      <c r="A580" s="2" t="str">
        <f>IFERROR(__xludf.DUMMYFUNCTION("""COMPUTED_VALUE"""),"For sale")</f>
        <v>For sale</v>
      </c>
      <c r="B580" s="2" t="str">
        <f>IFERROR(__xludf.DUMMYFUNCTION("""COMPUTED_VALUE"""),"Ķengarags")</f>
        <v>Ķengarags</v>
      </c>
      <c r="C580" s="2" t="str">
        <f>IFERROR(__xludf.DUMMYFUNCTION("""COMPUTED_VALUE"""),"Maskavas 268/2")</f>
        <v>Maskavas 268/2</v>
      </c>
      <c r="D580" s="2">
        <f>IFERROR(__xludf.DUMMYFUNCTION("""COMPUTED_VALUE"""),2.0)</f>
        <v>2</v>
      </c>
      <c r="E580" s="2">
        <f>IFERROR(__xludf.DUMMYFUNCTION("""COMPUTED_VALUE"""),47.0)</f>
        <v>47</v>
      </c>
      <c r="F580" s="2">
        <f>IFERROR(__xludf.DUMMYFUNCTION("""COMPUTED_VALUE"""),5.0)</f>
        <v>5</v>
      </c>
      <c r="G580" s="2">
        <f>IFERROR(__xludf.DUMMYFUNCTION("""COMPUTED_VALUE"""),5.0)</f>
        <v>5</v>
      </c>
      <c r="H580" s="2" t="str">
        <f>IFERROR(__xludf.DUMMYFUNCTION("""COMPUTED_VALUE"""),"LT proj.")</f>
        <v>LT proj.</v>
      </c>
      <c r="I580" s="2" t="str">
        <f>IFERROR(__xludf.DUMMYFUNCTION("""COMPUTED_VALUE"""),"Panel")</f>
        <v>Panel</v>
      </c>
      <c r="J580" s="2" t="str">
        <f>IFERROR(__xludf.DUMMYFUNCTION("""COMPUTED_VALUE"""),"All amenities")</f>
        <v>All amenities</v>
      </c>
      <c r="K580" s="2">
        <f>IFERROR(__xludf.DUMMYFUNCTION("""COMPUTED_VALUE"""),49500.0)</f>
        <v>49500</v>
      </c>
      <c r="L580" s="2">
        <f>IFERROR(__xludf.DUMMYFUNCTION("""COMPUTED_VALUE"""),56.94476985)</f>
        <v>56.94476985</v>
      </c>
      <c r="M580" s="2">
        <f>IFERROR(__xludf.DUMMYFUNCTION("""COMPUTED_VALUE"""),24.1133461730018)</f>
        <v>24.11334617</v>
      </c>
    </row>
    <row r="581">
      <c r="A581" s="2" t="str">
        <f>IFERROR(__xludf.DUMMYFUNCTION("""COMPUTED_VALUE"""),"For rent")</f>
        <v>For rent</v>
      </c>
      <c r="B581" s="2" t="str">
        <f>IFERROR(__xludf.DUMMYFUNCTION("""COMPUTED_VALUE"""),"centrs")</f>
        <v>centrs</v>
      </c>
      <c r="C581" s="2" t="str">
        <f>IFERROR(__xludf.DUMMYFUNCTION("""COMPUTED_VALUE"""),"Ģertrūdes 22")</f>
        <v>Ģertrūdes 22</v>
      </c>
      <c r="D581" s="2">
        <f>IFERROR(__xludf.DUMMYFUNCTION("""COMPUTED_VALUE"""),2.0)</f>
        <v>2</v>
      </c>
      <c r="E581" s="2">
        <f>IFERROR(__xludf.DUMMYFUNCTION("""COMPUTED_VALUE"""),60.0)</f>
        <v>60</v>
      </c>
      <c r="F581" s="2">
        <f>IFERROR(__xludf.DUMMYFUNCTION("""COMPUTED_VALUE"""),5.0)</f>
        <v>5</v>
      </c>
      <c r="G581" s="2">
        <f>IFERROR(__xludf.DUMMYFUNCTION("""COMPUTED_VALUE"""),5.0)</f>
        <v>5</v>
      </c>
      <c r="H581" s="2" t="str">
        <f>IFERROR(__xludf.DUMMYFUNCTION("""COMPUTED_VALUE"""),"Renov.")</f>
        <v>Renov.</v>
      </c>
      <c r="I581" s="2" t="str">
        <f>IFERROR(__xludf.DUMMYFUNCTION("""COMPUTED_VALUE"""),"Brick")</f>
        <v>Brick</v>
      </c>
      <c r="J581" s="2" t="str">
        <f>IFERROR(__xludf.DUMMYFUNCTION("""COMPUTED_VALUE"""),"All amenities")</f>
        <v>All amenities</v>
      </c>
      <c r="K581" s="2">
        <f>IFERROR(__xludf.DUMMYFUNCTION("""COMPUTED_VALUE"""),550.0)</f>
        <v>550</v>
      </c>
      <c r="L581" s="2">
        <f>IFERROR(__xludf.DUMMYFUNCTION("""COMPUTED_VALUE"""),56.9560762)</f>
        <v>56.9560762</v>
      </c>
      <c r="M581" s="2">
        <f>IFERROR(__xludf.DUMMYFUNCTION("""COMPUTED_VALUE"""),24.1245704936982)</f>
        <v>24.12457049</v>
      </c>
    </row>
    <row r="582">
      <c r="A582" s="2" t="str">
        <f>IFERROR(__xludf.DUMMYFUNCTION("""COMPUTED_VALUE"""),"For rent")</f>
        <v>For rent</v>
      </c>
      <c r="B582" s="2" t="str">
        <f>IFERROR(__xludf.DUMMYFUNCTION("""COMPUTED_VALUE"""),"centrs")</f>
        <v>centrs</v>
      </c>
      <c r="C582" s="2" t="str">
        <f>IFERROR(__xludf.DUMMYFUNCTION("""COMPUTED_VALUE"""),"Čaka 156")</f>
        <v>Čaka 156</v>
      </c>
      <c r="D582" s="2">
        <f>IFERROR(__xludf.DUMMYFUNCTION("""COMPUTED_VALUE"""),1.0)</f>
        <v>1</v>
      </c>
      <c r="E582" s="2">
        <f>IFERROR(__xludf.DUMMYFUNCTION("""COMPUTED_VALUE"""),33.0)</f>
        <v>33</v>
      </c>
      <c r="F582" s="2">
        <f>IFERROR(__xludf.DUMMYFUNCTION("""COMPUTED_VALUE"""),5.0)</f>
        <v>5</v>
      </c>
      <c r="G582" s="2">
        <f>IFERROR(__xludf.DUMMYFUNCTION("""COMPUTED_VALUE"""),6.0)</f>
        <v>6</v>
      </c>
      <c r="H582" s="2" t="str">
        <f>IFERROR(__xludf.DUMMYFUNCTION("""COMPUTED_VALUE"""),"P. kara")</f>
        <v>P. kara</v>
      </c>
      <c r="I582" s="2" t="str">
        <f>IFERROR(__xludf.DUMMYFUNCTION("""COMPUTED_VALUE"""),"Masonry")</f>
        <v>Masonry</v>
      </c>
      <c r="J582" s="2" t="str">
        <f>IFERROR(__xludf.DUMMYFUNCTION("""COMPUTED_VALUE"""),"All amenities")</f>
        <v>All amenities</v>
      </c>
      <c r="K582" s="2">
        <f>IFERROR(__xludf.DUMMYFUNCTION("""COMPUTED_VALUE"""),180.0)</f>
        <v>180</v>
      </c>
      <c r="L582" s="2">
        <f>IFERROR(__xludf.DUMMYFUNCTION("""COMPUTED_VALUE"""),56.96369115)</f>
        <v>56.96369115</v>
      </c>
      <c r="M582" s="2">
        <f>IFERROR(__xludf.DUMMYFUNCTION("""COMPUTED_VALUE"""),24.1518237736013)</f>
        <v>24.15182377</v>
      </c>
    </row>
    <row r="583">
      <c r="A583" s="2" t="str">
        <f>IFERROR(__xludf.DUMMYFUNCTION("""COMPUTED_VALUE"""),"For sale")</f>
        <v>For sale</v>
      </c>
      <c r="B583" s="2" t="str">
        <f>IFERROR(__xludf.DUMMYFUNCTION("""COMPUTED_VALUE"""),"centrs")</f>
        <v>centrs</v>
      </c>
      <c r="C583" s="2" t="str">
        <f>IFERROR(__xludf.DUMMYFUNCTION("""COMPUTED_VALUE"""),"Valdemāra 37")</f>
        <v>Valdemāra 37</v>
      </c>
      <c r="D583" s="2">
        <f>IFERROR(__xludf.DUMMYFUNCTION("""COMPUTED_VALUE"""),3.0)</f>
        <v>3</v>
      </c>
      <c r="E583" s="2">
        <f>IFERROR(__xludf.DUMMYFUNCTION("""COMPUTED_VALUE"""),78.0)</f>
        <v>78</v>
      </c>
      <c r="F583" s="2">
        <f>IFERROR(__xludf.DUMMYFUNCTION("""COMPUTED_VALUE"""),4.0)</f>
        <v>4</v>
      </c>
      <c r="G583" s="2">
        <f>IFERROR(__xludf.DUMMYFUNCTION("""COMPUTED_VALUE"""),6.0)</f>
        <v>6</v>
      </c>
      <c r="H583" s="2" t="str">
        <f>IFERROR(__xludf.DUMMYFUNCTION("""COMPUTED_VALUE"""),"Renov.")</f>
        <v>Renov.</v>
      </c>
      <c r="I583" s="2" t="str">
        <f>IFERROR(__xludf.DUMMYFUNCTION("""COMPUTED_VALUE"""),"Masonry")</f>
        <v>Masonry</v>
      </c>
      <c r="J583" s="2" t="str">
        <f>IFERROR(__xludf.DUMMYFUNCTION("""COMPUTED_VALUE"""),"All amenities")</f>
        <v>All amenities</v>
      </c>
      <c r="K583" s="2">
        <f>IFERROR(__xludf.DUMMYFUNCTION("""COMPUTED_VALUE"""),159732.0)</f>
        <v>159732</v>
      </c>
      <c r="L583" s="2">
        <f>IFERROR(__xludf.DUMMYFUNCTION("""COMPUTED_VALUE"""),56.958482)</f>
        <v>56.958482</v>
      </c>
      <c r="M583" s="2">
        <f>IFERROR(__xludf.DUMMYFUNCTION("""COMPUTED_VALUE"""),24.116859)</f>
        <v>24.116859</v>
      </c>
    </row>
    <row r="584">
      <c r="A584" s="2" t="str">
        <f>IFERROR(__xludf.DUMMYFUNCTION("""COMPUTED_VALUE"""),"For rent")</f>
        <v>For rent</v>
      </c>
      <c r="B584" s="2" t="str">
        <f>IFERROR(__xludf.DUMMYFUNCTION("""COMPUTED_VALUE"""),"centrs")</f>
        <v>centrs</v>
      </c>
      <c r="C584" s="2" t="str">
        <f>IFERROR(__xludf.DUMMYFUNCTION("""COMPUTED_VALUE"""),"Krāsotāju 2")</f>
        <v>Krāsotāju 2</v>
      </c>
      <c r="D584" s="2">
        <f>IFERROR(__xludf.DUMMYFUNCTION("""COMPUTED_VALUE"""),4.0)</f>
        <v>4</v>
      </c>
      <c r="E584" s="2">
        <f>IFERROR(__xludf.DUMMYFUNCTION("""COMPUTED_VALUE"""),75.0)</f>
        <v>75</v>
      </c>
      <c r="F584" s="2">
        <f>IFERROR(__xludf.DUMMYFUNCTION("""COMPUTED_VALUE"""),1.0)</f>
        <v>1</v>
      </c>
      <c r="G584" s="2">
        <f>IFERROR(__xludf.DUMMYFUNCTION("""COMPUTED_VALUE"""),2.0)</f>
        <v>2</v>
      </c>
      <c r="H584" s="2" t="str">
        <f>IFERROR(__xludf.DUMMYFUNCTION("""COMPUTED_VALUE"""),"P. kara")</f>
        <v>P. kara</v>
      </c>
      <c r="I584" s="2" t="str">
        <f>IFERROR(__xludf.DUMMYFUNCTION("""COMPUTED_VALUE"""),"Wood")</f>
        <v>Wood</v>
      </c>
      <c r="J584" s="2" t="str">
        <f>IFERROR(__xludf.DUMMYFUNCTION("""COMPUTED_VALUE"""),"All amenities")</f>
        <v>All amenities</v>
      </c>
      <c r="K584" s="2">
        <f>IFERROR(__xludf.DUMMYFUNCTION("""COMPUTED_VALUE"""),450.0)</f>
        <v>450</v>
      </c>
      <c r="L584" s="2">
        <f>IFERROR(__xludf.DUMMYFUNCTION("""COMPUTED_VALUE"""),56.953572)</f>
        <v>56.953572</v>
      </c>
      <c r="M584" s="2">
        <f>IFERROR(__xludf.DUMMYFUNCTION("""COMPUTED_VALUE"""),24.1425821788061)</f>
        <v>24.14258218</v>
      </c>
    </row>
    <row r="585">
      <c r="A585" s="2" t="str">
        <f>IFERROR(__xludf.DUMMYFUNCTION("""COMPUTED_VALUE"""),"For sale")</f>
        <v>For sale</v>
      </c>
      <c r="B585" s="2" t="str">
        <f>IFERROR(__xludf.DUMMYFUNCTION("""COMPUTED_VALUE"""),"centrs")</f>
        <v>centrs</v>
      </c>
      <c r="C585" s="2" t="str">
        <f>IFERROR(__xludf.DUMMYFUNCTION("""COMPUTED_VALUE"""),"Duntes 28")</f>
        <v>Duntes 28</v>
      </c>
      <c r="D585" s="2">
        <f>IFERROR(__xludf.DUMMYFUNCTION("""COMPUTED_VALUE"""),2.0)</f>
        <v>2</v>
      </c>
      <c r="E585" s="2">
        <f>IFERROR(__xludf.DUMMYFUNCTION("""COMPUTED_VALUE"""),52.0)</f>
        <v>52</v>
      </c>
      <c r="F585" s="2">
        <f>IFERROR(__xludf.DUMMYFUNCTION("""COMPUTED_VALUE"""),9.0)</f>
        <v>9</v>
      </c>
      <c r="G585" s="2">
        <f>IFERROR(__xludf.DUMMYFUNCTION("""COMPUTED_VALUE"""),16.0)</f>
        <v>16</v>
      </c>
      <c r="H585" s="2" t="str">
        <f>IFERROR(__xludf.DUMMYFUNCTION("""COMPUTED_VALUE"""),"Jaun.")</f>
        <v>Jaun.</v>
      </c>
      <c r="I585" s="2" t="str">
        <f>IFERROR(__xludf.DUMMYFUNCTION("""COMPUTED_VALUE"""),"Masonry")</f>
        <v>Masonry</v>
      </c>
      <c r="J585" s="2" t="str">
        <f>IFERROR(__xludf.DUMMYFUNCTION("""COMPUTED_VALUE"""),"All amenities")</f>
        <v>All amenities</v>
      </c>
      <c r="K585" s="2">
        <f>IFERROR(__xludf.DUMMYFUNCTION("""COMPUTED_VALUE"""),80000.0)</f>
        <v>80000</v>
      </c>
      <c r="L585" s="2">
        <f>IFERROR(__xludf.DUMMYFUNCTION("""COMPUTED_VALUE"""),56.9880909)</f>
        <v>56.9880909</v>
      </c>
      <c r="M585" s="2">
        <f>IFERROR(__xludf.DUMMYFUNCTION("""COMPUTED_VALUE"""),24.1338907618534)</f>
        <v>24.13389076</v>
      </c>
    </row>
    <row r="586">
      <c r="A586" s="2" t="str">
        <f>IFERROR(__xludf.DUMMYFUNCTION("""COMPUTED_VALUE"""),"For sale")</f>
        <v>For sale</v>
      </c>
      <c r="B586" s="2" t="str">
        <f>IFERROR(__xludf.DUMMYFUNCTION("""COMPUTED_VALUE"""),"Iļģuciems")</f>
        <v>Iļģuciems</v>
      </c>
      <c r="C586" s="2" t="str">
        <f>IFERROR(__xludf.DUMMYFUNCTION("""COMPUTED_VALUE"""),"Riekstu 11")</f>
        <v>Riekstu 11</v>
      </c>
      <c r="D586" s="2">
        <f>IFERROR(__xludf.DUMMYFUNCTION("""COMPUTED_VALUE"""),4.0)</f>
        <v>4</v>
      </c>
      <c r="E586" s="2">
        <f>IFERROR(__xludf.DUMMYFUNCTION("""COMPUTED_VALUE"""),96.0)</f>
        <v>96</v>
      </c>
      <c r="F586" s="2">
        <f>IFERROR(__xludf.DUMMYFUNCTION("""COMPUTED_VALUE"""),4.0)</f>
        <v>4</v>
      </c>
      <c r="G586" s="2">
        <f>IFERROR(__xludf.DUMMYFUNCTION("""COMPUTED_VALUE"""),5.0)</f>
        <v>5</v>
      </c>
      <c r="H586" s="2" t="str">
        <f>IFERROR(__xludf.DUMMYFUNCTION("""COMPUTED_VALUE"""),"Jaun.")</f>
        <v>Jaun.</v>
      </c>
      <c r="I586" s="2" t="str">
        <f>IFERROR(__xludf.DUMMYFUNCTION("""COMPUTED_VALUE"""),"Masonry")</f>
        <v>Masonry</v>
      </c>
      <c r="J586" s="2" t="str">
        <f>IFERROR(__xludf.DUMMYFUNCTION("""COMPUTED_VALUE"""),"All amenities")</f>
        <v>All amenities</v>
      </c>
      <c r="K586" s="2">
        <f>IFERROR(__xludf.DUMMYFUNCTION("""COMPUTED_VALUE"""),129500.0)</f>
        <v>129500</v>
      </c>
      <c r="L586" s="2">
        <f>IFERROR(__xludf.DUMMYFUNCTION("""COMPUTED_VALUE"""),56.96791915)</f>
        <v>56.96791915</v>
      </c>
      <c r="M586" s="2">
        <f>IFERROR(__xludf.DUMMYFUNCTION("""COMPUTED_VALUE"""),24.0636401732876)</f>
        <v>24.06364017</v>
      </c>
    </row>
    <row r="587">
      <c r="A587" s="2" t="str">
        <f>IFERROR(__xludf.DUMMYFUNCTION("""COMPUTED_VALUE"""),"For sale")</f>
        <v>For sale</v>
      </c>
      <c r="B587" s="2" t="str">
        <f>IFERROR(__xludf.DUMMYFUNCTION("""COMPUTED_VALUE"""),"Ķengarags")</f>
        <v>Ķengarags</v>
      </c>
      <c r="C587" s="2" t="str">
        <f>IFERROR(__xludf.DUMMYFUNCTION("""COMPUTED_VALUE"""),"Maltas 21")</f>
        <v>Maltas 21</v>
      </c>
      <c r="D587" s="2">
        <f>IFERROR(__xludf.DUMMYFUNCTION("""COMPUTED_VALUE"""),2.0)</f>
        <v>2</v>
      </c>
      <c r="E587" s="2">
        <f>IFERROR(__xludf.DUMMYFUNCTION("""COMPUTED_VALUE"""),49.0)</f>
        <v>49</v>
      </c>
      <c r="F587" s="2">
        <f>IFERROR(__xludf.DUMMYFUNCTION("""COMPUTED_VALUE"""),1.0)</f>
        <v>1</v>
      </c>
      <c r="G587" s="2">
        <f>IFERROR(__xludf.DUMMYFUNCTION("""COMPUTED_VALUE"""),5.0)</f>
        <v>5</v>
      </c>
      <c r="H587" s="2" t="str">
        <f>IFERROR(__xludf.DUMMYFUNCTION("""COMPUTED_VALUE"""),"LT proj.")</f>
        <v>LT proj.</v>
      </c>
      <c r="I587" s="2" t="str">
        <f>IFERROR(__xludf.DUMMYFUNCTION("""COMPUTED_VALUE"""),"Panel")</f>
        <v>Panel</v>
      </c>
      <c r="J587" s="2" t="str">
        <f>IFERROR(__xludf.DUMMYFUNCTION("""COMPUTED_VALUE"""),"All amenities")</f>
        <v>All amenities</v>
      </c>
      <c r="K587" s="2">
        <f>IFERROR(__xludf.DUMMYFUNCTION("""COMPUTED_VALUE"""),39500.0)</f>
        <v>39500</v>
      </c>
      <c r="L587" s="2">
        <f>IFERROR(__xludf.DUMMYFUNCTION("""COMPUTED_VALUE"""),56.909529)</f>
        <v>56.909529</v>
      </c>
      <c r="M587" s="2">
        <f>IFERROR(__xludf.DUMMYFUNCTION("""COMPUTED_VALUE"""),24.1862380633367)</f>
        <v>24.18623806</v>
      </c>
    </row>
    <row r="588">
      <c r="A588" s="2" t="str">
        <f>IFERROR(__xludf.DUMMYFUNCTION("""COMPUTED_VALUE"""),"For sale")</f>
        <v>For sale</v>
      </c>
      <c r="B588" s="2" t="str">
        <f>IFERROR(__xludf.DUMMYFUNCTION("""COMPUTED_VALUE"""),"centrs")</f>
        <v>centrs</v>
      </c>
      <c r="C588" s="2" t="str">
        <f>IFERROR(__xludf.DUMMYFUNCTION("""COMPUTED_VALUE"""),"Brīvības iela 162k2")</f>
        <v>Brīvības iela 162k2</v>
      </c>
      <c r="D588" s="2">
        <f>IFERROR(__xludf.DUMMYFUNCTION("""COMPUTED_VALUE"""),3.0)</f>
        <v>3</v>
      </c>
      <c r="E588" s="2">
        <f>IFERROR(__xludf.DUMMYFUNCTION("""COMPUTED_VALUE"""),68.0)</f>
        <v>68</v>
      </c>
      <c r="F588" s="2">
        <f>IFERROR(__xludf.DUMMYFUNCTION("""COMPUTED_VALUE"""),3.0)</f>
        <v>3</v>
      </c>
      <c r="G588" s="2">
        <f>IFERROR(__xludf.DUMMYFUNCTION("""COMPUTED_VALUE"""),7.0)</f>
        <v>7</v>
      </c>
      <c r="H588" s="2" t="str">
        <f>IFERROR(__xludf.DUMMYFUNCTION("""COMPUTED_VALUE"""),"Jaun.")</f>
        <v>Jaun.</v>
      </c>
      <c r="I588" s="2" t="str">
        <f>IFERROR(__xludf.DUMMYFUNCTION("""COMPUTED_VALUE"""),"Panel")</f>
        <v>Panel</v>
      </c>
      <c r="J588" s="2" t="str">
        <f>IFERROR(__xludf.DUMMYFUNCTION("""COMPUTED_VALUE"""),"All amenities")</f>
        <v>All amenities</v>
      </c>
      <c r="K588" s="2">
        <f>IFERROR(__xludf.DUMMYFUNCTION("""COMPUTED_VALUE"""),77950.0)</f>
        <v>77950</v>
      </c>
      <c r="L588" s="2">
        <f>IFERROR(__xludf.DUMMYFUNCTION("""COMPUTED_VALUE"""),56.9670038)</f>
        <v>56.9670038</v>
      </c>
      <c r="M588" s="2">
        <f>IFERROR(__xludf.DUMMYFUNCTION("""COMPUTED_VALUE"""),24.1471279)</f>
        <v>24.1471279</v>
      </c>
    </row>
    <row r="589">
      <c r="A589" s="2" t="str">
        <f>IFERROR(__xludf.DUMMYFUNCTION("""COMPUTED_VALUE"""),"For rent")</f>
        <v>For rent</v>
      </c>
      <c r="B589" s="2" t="str">
        <f>IFERROR(__xludf.DUMMYFUNCTION("""COMPUTED_VALUE"""),"Jugla")</f>
        <v>Jugla</v>
      </c>
      <c r="C589" s="2" t="str">
        <f>IFERROR(__xludf.DUMMYFUNCTION("""COMPUTED_VALUE"""),"Brīvības gatve 391")</f>
        <v>Brīvības gatve 391</v>
      </c>
      <c r="D589" s="2">
        <f>IFERROR(__xludf.DUMMYFUNCTION("""COMPUTED_VALUE"""),2.0)</f>
        <v>2</v>
      </c>
      <c r="E589" s="2">
        <f>IFERROR(__xludf.DUMMYFUNCTION("""COMPUTED_VALUE"""),44.0)</f>
        <v>44</v>
      </c>
      <c r="F589" s="2">
        <f>IFERROR(__xludf.DUMMYFUNCTION("""COMPUTED_VALUE"""),4.0)</f>
        <v>4</v>
      </c>
      <c r="G589" s="2">
        <f>IFERROR(__xludf.DUMMYFUNCTION("""COMPUTED_VALUE"""),5.0)</f>
        <v>5</v>
      </c>
      <c r="H589" s="2" t="str">
        <f>IFERROR(__xludf.DUMMYFUNCTION("""COMPUTED_VALUE"""),"Hrušč.")</f>
        <v>Hrušč.</v>
      </c>
      <c r="I589" s="2" t="str">
        <f>IFERROR(__xludf.DUMMYFUNCTION("""COMPUTED_VALUE"""),"Brick")</f>
        <v>Brick</v>
      </c>
      <c r="J589" s="2" t="str">
        <f>IFERROR(__xludf.DUMMYFUNCTION("""COMPUTED_VALUE"""),"All amenities")</f>
        <v>All amenities</v>
      </c>
      <c r="K589" s="2">
        <f>IFERROR(__xludf.DUMMYFUNCTION("""COMPUTED_VALUE"""),300.0)</f>
        <v>300</v>
      </c>
      <c r="L589" s="2">
        <f>IFERROR(__xludf.DUMMYFUNCTION("""COMPUTED_VALUE"""),56.9882018499999)</f>
        <v>56.98820185</v>
      </c>
      <c r="M589" s="2">
        <f>IFERROR(__xludf.DUMMYFUNCTION("""COMPUTED_VALUE"""),24.2256484936398)</f>
        <v>24.22564849</v>
      </c>
    </row>
    <row r="590">
      <c r="A590" s="2" t="str">
        <f>IFERROR(__xludf.DUMMYFUNCTION("""COMPUTED_VALUE"""),"For rent")</f>
        <v>For rent</v>
      </c>
      <c r="B590" s="2" t="str">
        <f>IFERROR(__xludf.DUMMYFUNCTION("""COMPUTED_VALUE"""),"centrs")</f>
        <v>centrs</v>
      </c>
      <c r="C590" s="2" t="str">
        <f>IFERROR(__xludf.DUMMYFUNCTION("""COMPUTED_VALUE"""),"Brīvības 162/2")</f>
        <v>Brīvības 162/2</v>
      </c>
      <c r="D590" s="2">
        <f>IFERROR(__xludf.DUMMYFUNCTION("""COMPUTED_VALUE"""),2.0)</f>
        <v>2</v>
      </c>
      <c r="E590" s="2">
        <f>IFERROR(__xludf.DUMMYFUNCTION("""COMPUTED_VALUE"""),43.0)</f>
        <v>43</v>
      </c>
      <c r="F590" s="2">
        <f>IFERROR(__xludf.DUMMYFUNCTION("""COMPUTED_VALUE"""),8.0)</f>
        <v>8</v>
      </c>
      <c r="G590" s="2">
        <f>IFERROR(__xludf.DUMMYFUNCTION("""COMPUTED_VALUE"""),8.0)</f>
        <v>8</v>
      </c>
      <c r="H590" s="2" t="str">
        <f>IFERROR(__xludf.DUMMYFUNCTION("""COMPUTED_VALUE"""),"Specpr.")</f>
        <v>Specpr.</v>
      </c>
      <c r="I590" s="2" t="str">
        <f>IFERROR(__xludf.DUMMYFUNCTION("""COMPUTED_VALUE"""),"Brick")</f>
        <v>Brick</v>
      </c>
      <c r="J590" s="2" t="str">
        <f>IFERROR(__xludf.DUMMYFUNCTION("""COMPUTED_VALUE"""),"All amenities")</f>
        <v>All amenities</v>
      </c>
      <c r="K590" s="2">
        <f>IFERROR(__xludf.DUMMYFUNCTION("""COMPUTED_VALUE"""),350.0)</f>
        <v>350</v>
      </c>
      <c r="L590" s="2">
        <f>IFERROR(__xludf.DUMMYFUNCTION("""COMPUTED_VALUE"""),56.9695565)</f>
        <v>56.9695565</v>
      </c>
      <c r="M590" s="2">
        <f>IFERROR(__xludf.DUMMYFUNCTION("""COMPUTED_VALUE"""),24.1547355)</f>
        <v>24.1547355</v>
      </c>
    </row>
    <row r="591">
      <c r="A591" s="2" t="str">
        <f>IFERROR(__xludf.DUMMYFUNCTION("""COMPUTED_VALUE"""),"For rent")</f>
        <v>For rent</v>
      </c>
      <c r="B591" s="2" t="str">
        <f>IFERROR(__xludf.DUMMYFUNCTION("""COMPUTED_VALUE"""),"Pļavnieki")</f>
        <v>Pļavnieki</v>
      </c>
      <c r="C591" s="2" t="str">
        <f>IFERROR(__xludf.DUMMYFUNCTION("""COMPUTED_VALUE"""),"Pavasara g. 2")</f>
        <v>Pavasara g. 2</v>
      </c>
      <c r="D591" s="2">
        <f>IFERROR(__xludf.DUMMYFUNCTION("""COMPUTED_VALUE"""),1.0)</f>
        <v>1</v>
      </c>
      <c r="E591" s="2">
        <f>IFERROR(__xludf.DUMMYFUNCTION("""COMPUTED_VALUE"""),35.0)</f>
        <v>35</v>
      </c>
      <c r="F591" s="2">
        <f>IFERROR(__xludf.DUMMYFUNCTION("""COMPUTED_VALUE"""),6.0)</f>
        <v>6</v>
      </c>
      <c r="G591" s="2">
        <f>IFERROR(__xludf.DUMMYFUNCTION("""COMPUTED_VALUE"""),9.0)</f>
        <v>9</v>
      </c>
      <c r="H591" s="2">
        <f>IFERROR(__xludf.DUMMYFUNCTION("""COMPUTED_VALUE"""),602.0)</f>
        <v>602</v>
      </c>
      <c r="I591" s="2" t="str">
        <f>IFERROR(__xludf.DUMMYFUNCTION("""COMPUTED_VALUE"""),"Panel")</f>
        <v>Panel</v>
      </c>
      <c r="J591" s="2" t="str">
        <f>IFERROR(__xludf.DUMMYFUNCTION("""COMPUTED_VALUE"""),"All amenities")</f>
        <v>All amenities</v>
      </c>
      <c r="K591" s="2">
        <f>IFERROR(__xludf.DUMMYFUNCTION("""COMPUTED_VALUE"""),250.0)</f>
        <v>250</v>
      </c>
      <c r="L591" s="2">
        <f>IFERROR(__xludf.DUMMYFUNCTION("""COMPUTED_VALUE"""),56.9346184)</f>
        <v>56.9346184</v>
      </c>
      <c r="M591" s="2">
        <f>IFERROR(__xludf.DUMMYFUNCTION("""COMPUTED_VALUE"""),24.1980807)</f>
        <v>24.1980807</v>
      </c>
    </row>
    <row r="592">
      <c r="A592" s="2" t="str">
        <f>IFERROR(__xludf.DUMMYFUNCTION("""COMPUTED_VALUE"""),"For sale")</f>
        <v>For sale</v>
      </c>
      <c r="B592" s="2" t="str">
        <f>IFERROR(__xludf.DUMMYFUNCTION("""COMPUTED_VALUE"""),"Mežciems")</f>
        <v>Mežciems</v>
      </c>
      <c r="C592" s="2" t="str">
        <f>IFERROR(__xludf.DUMMYFUNCTION("""COMPUTED_VALUE"""),"Biķernieku 218")</f>
        <v>Biķernieku 218</v>
      </c>
      <c r="D592" s="2">
        <f>IFERROR(__xludf.DUMMYFUNCTION("""COMPUTED_VALUE"""),2.0)</f>
        <v>2</v>
      </c>
      <c r="E592" s="2">
        <f>IFERROR(__xludf.DUMMYFUNCTION("""COMPUTED_VALUE"""),53.0)</f>
        <v>53</v>
      </c>
      <c r="F592" s="2">
        <f>IFERROR(__xludf.DUMMYFUNCTION("""COMPUTED_VALUE"""),4.0)</f>
        <v>4</v>
      </c>
      <c r="G592" s="2">
        <f>IFERROR(__xludf.DUMMYFUNCTION("""COMPUTED_VALUE"""),5.0)</f>
        <v>5</v>
      </c>
      <c r="H592" s="2">
        <f>IFERROR(__xludf.DUMMYFUNCTION("""COMPUTED_VALUE"""),103.0)</f>
        <v>103</v>
      </c>
      <c r="I592" s="2" t="str">
        <f>IFERROR(__xludf.DUMMYFUNCTION("""COMPUTED_VALUE"""),"Brick")</f>
        <v>Brick</v>
      </c>
      <c r="J592" s="2" t="str">
        <f>IFERROR(__xludf.DUMMYFUNCTION("""COMPUTED_VALUE"""),"All amenities")</f>
        <v>All amenities</v>
      </c>
      <c r="K592" s="2">
        <f>IFERROR(__xludf.DUMMYFUNCTION("""COMPUTED_VALUE"""),53500.0)</f>
        <v>53500</v>
      </c>
      <c r="L592" s="2">
        <f>IFERROR(__xludf.DUMMYFUNCTION("""COMPUTED_VALUE"""),56.95765645)</f>
        <v>56.95765645</v>
      </c>
      <c r="M592" s="2">
        <f>IFERROR(__xludf.DUMMYFUNCTION("""COMPUTED_VALUE"""),24.2911644248424)</f>
        <v>24.29116442</v>
      </c>
    </row>
    <row r="593">
      <c r="A593" s="2" t="str">
        <f>IFERROR(__xludf.DUMMYFUNCTION("""COMPUTED_VALUE"""),"For rent")</f>
        <v>For rent</v>
      </c>
      <c r="B593" s="2" t="str">
        <f>IFERROR(__xludf.DUMMYFUNCTION("""COMPUTED_VALUE"""),"Jugla")</f>
        <v>Jugla</v>
      </c>
      <c r="C593" s="2" t="str">
        <f>IFERROR(__xludf.DUMMYFUNCTION("""COMPUTED_VALUE"""),"Brīvības gatve 388")</f>
        <v>Brīvības gatve 388</v>
      </c>
      <c r="D593" s="2">
        <f>IFERROR(__xludf.DUMMYFUNCTION("""COMPUTED_VALUE"""),1.0)</f>
        <v>1</v>
      </c>
      <c r="E593" s="2">
        <f>IFERROR(__xludf.DUMMYFUNCTION("""COMPUTED_VALUE"""),34.0)</f>
        <v>34</v>
      </c>
      <c r="F593" s="2">
        <f>IFERROR(__xludf.DUMMYFUNCTION("""COMPUTED_VALUE"""),4.0)</f>
        <v>4</v>
      </c>
      <c r="G593" s="2">
        <f>IFERROR(__xludf.DUMMYFUNCTION("""COMPUTED_VALUE"""),12.0)</f>
        <v>12</v>
      </c>
      <c r="H593" s="2" t="str">
        <f>IFERROR(__xludf.DUMMYFUNCTION("""COMPUTED_VALUE"""),"M. ģim.")</f>
        <v>M. ģim.</v>
      </c>
      <c r="I593" s="2" t="str">
        <f>IFERROR(__xludf.DUMMYFUNCTION("""COMPUTED_VALUE"""),"Brick-Panel")</f>
        <v>Brick-Panel</v>
      </c>
      <c r="J593" s="2" t="str">
        <f>IFERROR(__xludf.DUMMYFUNCTION("""COMPUTED_VALUE"""),"All amenities")</f>
        <v>All amenities</v>
      </c>
      <c r="K593" s="2">
        <f>IFERROR(__xludf.DUMMYFUNCTION("""COMPUTED_VALUE"""),200.0)</f>
        <v>200</v>
      </c>
      <c r="L593" s="2">
        <f>IFERROR(__xludf.DUMMYFUNCTION("""COMPUTED_VALUE"""),56.9868158)</f>
        <v>56.9868158</v>
      </c>
      <c r="M593" s="2">
        <f>IFERROR(__xludf.DUMMYFUNCTION("""COMPUTED_VALUE"""),24.2220345)</f>
        <v>24.2220345</v>
      </c>
    </row>
    <row r="594">
      <c r="A594" s="2" t="str">
        <f>IFERROR(__xludf.DUMMYFUNCTION("""COMPUTED_VALUE"""),"For sale")</f>
        <v>For sale</v>
      </c>
      <c r="B594" s="2" t="str">
        <f>IFERROR(__xludf.DUMMYFUNCTION("""COMPUTED_VALUE"""),"centrs")</f>
        <v>centrs</v>
      </c>
      <c r="C594" s="2" t="str">
        <f>IFERROR(__xludf.DUMMYFUNCTION("""COMPUTED_VALUE"""),"Indrānu 3")</f>
        <v>Indrānu 3</v>
      </c>
      <c r="D594" s="2">
        <f>IFERROR(__xludf.DUMMYFUNCTION("""COMPUTED_VALUE"""),3.0)</f>
        <v>3</v>
      </c>
      <c r="E594" s="2">
        <f>IFERROR(__xludf.DUMMYFUNCTION("""COMPUTED_VALUE"""),76.0)</f>
        <v>76</v>
      </c>
      <c r="F594" s="2">
        <f>IFERROR(__xludf.DUMMYFUNCTION("""COMPUTED_VALUE"""),1.0)</f>
        <v>1</v>
      </c>
      <c r="G594" s="2">
        <f>IFERROR(__xludf.DUMMYFUNCTION("""COMPUTED_VALUE"""),4.0)</f>
        <v>4</v>
      </c>
      <c r="H594" s="2" t="str">
        <f>IFERROR(__xludf.DUMMYFUNCTION("""COMPUTED_VALUE"""),"P. kara")</f>
        <v>P. kara</v>
      </c>
      <c r="I594" s="2" t="str">
        <f>IFERROR(__xludf.DUMMYFUNCTION("""COMPUTED_VALUE"""),"Masonry")</f>
        <v>Masonry</v>
      </c>
      <c r="J594" s="2" t="str">
        <f>IFERROR(__xludf.DUMMYFUNCTION("""COMPUTED_VALUE"""),"All amenities")</f>
        <v>All amenities</v>
      </c>
      <c r="K594" s="2">
        <f>IFERROR(__xludf.DUMMYFUNCTION("""COMPUTED_VALUE"""),102000.0)</f>
        <v>102000</v>
      </c>
      <c r="L594" s="2">
        <f>IFERROR(__xludf.DUMMYFUNCTION("""COMPUTED_VALUE"""),56.9679518)</f>
        <v>56.9679518</v>
      </c>
      <c r="M594" s="2">
        <f>IFERROR(__xludf.DUMMYFUNCTION("""COMPUTED_VALUE"""),24.1473581975706)</f>
        <v>24.1473582</v>
      </c>
    </row>
    <row r="595">
      <c r="A595" s="2" t="str">
        <f>IFERROR(__xludf.DUMMYFUNCTION("""COMPUTED_VALUE"""),"For rent")</f>
        <v>For rent</v>
      </c>
      <c r="B595" s="2" t="str">
        <f>IFERROR(__xludf.DUMMYFUNCTION("""COMPUTED_VALUE"""),"Vecrīga")</f>
        <v>Vecrīga</v>
      </c>
      <c r="C595" s="2" t="str">
        <f>IFERROR(__xludf.DUMMYFUNCTION("""COMPUTED_VALUE"""),"Peitavas 5")</f>
        <v>Peitavas 5</v>
      </c>
      <c r="D595" s="2">
        <f>IFERROR(__xludf.DUMMYFUNCTION("""COMPUTED_VALUE"""),3.0)</f>
        <v>3</v>
      </c>
      <c r="E595" s="2">
        <f>IFERROR(__xludf.DUMMYFUNCTION("""COMPUTED_VALUE"""),110.0)</f>
        <v>110</v>
      </c>
      <c r="F595" s="2">
        <f>IFERROR(__xludf.DUMMYFUNCTION("""COMPUTED_VALUE"""),3.0)</f>
        <v>3</v>
      </c>
      <c r="G595" s="2">
        <f>IFERROR(__xludf.DUMMYFUNCTION("""COMPUTED_VALUE"""),5.0)</f>
        <v>5</v>
      </c>
      <c r="H595" s="2" t="str">
        <f>IFERROR(__xludf.DUMMYFUNCTION("""COMPUTED_VALUE"""),"Renov.")</f>
        <v>Renov.</v>
      </c>
      <c r="I595" s="2" t="str">
        <f>IFERROR(__xludf.DUMMYFUNCTION("""COMPUTED_VALUE"""),"Masonry")</f>
        <v>Masonry</v>
      </c>
      <c r="J595" s="2" t="str">
        <f>IFERROR(__xludf.DUMMYFUNCTION("""COMPUTED_VALUE"""),"All amenities")</f>
        <v>All amenities</v>
      </c>
      <c r="K595" s="2">
        <f>IFERROR(__xludf.DUMMYFUNCTION("""COMPUTED_VALUE"""),600.0)</f>
        <v>600</v>
      </c>
      <c r="L595" s="2">
        <f>IFERROR(__xludf.DUMMYFUNCTION("""COMPUTED_VALUE"""),56.9462191)</f>
        <v>56.9462191</v>
      </c>
      <c r="M595" s="2">
        <f>IFERROR(__xludf.DUMMYFUNCTION("""COMPUTED_VALUE"""),24.1099153)</f>
        <v>24.1099153</v>
      </c>
    </row>
    <row r="596">
      <c r="A596" s="2" t="str">
        <f>IFERROR(__xludf.DUMMYFUNCTION("""COMPUTED_VALUE"""),"For sale")</f>
        <v>For sale</v>
      </c>
      <c r="B596" s="2" t="str">
        <f>IFERROR(__xludf.DUMMYFUNCTION("""COMPUTED_VALUE"""),"Mežciems")</f>
        <v>Mežciems</v>
      </c>
      <c r="C596" s="2" t="str">
        <f>IFERROR(__xludf.DUMMYFUNCTION("""COMPUTED_VALUE"""),"Eizenšteina 79")</f>
        <v>Eizenšteina 79</v>
      </c>
      <c r="D596" s="2">
        <f>IFERROR(__xludf.DUMMYFUNCTION("""COMPUTED_VALUE"""),3.0)</f>
        <v>3</v>
      </c>
      <c r="E596" s="2">
        <f>IFERROR(__xludf.DUMMYFUNCTION("""COMPUTED_VALUE"""),63.0)</f>
        <v>63</v>
      </c>
      <c r="F596" s="2">
        <f>IFERROR(__xludf.DUMMYFUNCTION("""COMPUTED_VALUE"""),4.0)</f>
        <v>4</v>
      </c>
      <c r="G596" s="2">
        <f>IFERROR(__xludf.DUMMYFUNCTION("""COMPUTED_VALUE"""),9.0)</f>
        <v>9</v>
      </c>
      <c r="H596" s="2">
        <f>IFERROR(__xludf.DUMMYFUNCTION("""COMPUTED_VALUE"""),602.0)</f>
        <v>602</v>
      </c>
      <c r="I596" s="2" t="str">
        <f>IFERROR(__xludf.DUMMYFUNCTION("""COMPUTED_VALUE"""),"Panel")</f>
        <v>Panel</v>
      </c>
      <c r="J596" s="2" t="str">
        <f>IFERROR(__xludf.DUMMYFUNCTION("""COMPUTED_VALUE"""),"All amenities")</f>
        <v>All amenities</v>
      </c>
      <c r="K596" s="2">
        <f>IFERROR(__xludf.DUMMYFUNCTION("""COMPUTED_VALUE"""),65000.0)</f>
        <v>65000</v>
      </c>
      <c r="L596" s="2">
        <f>IFERROR(__xludf.DUMMYFUNCTION("""COMPUTED_VALUE"""),56.9613221)</f>
        <v>56.9613221</v>
      </c>
      <c r="M596" s="2">
        <f>IFERROR(__xludf.DUMMYFUNCTION("""COMPUTED_VALUE"""),24.2342410751615)</f>
        <v>24.23424108</v>
      </c>
    </row>
    <row r="597">
      <c r="A597" s="2" t="str">
        <f>IFERROR(__xludf.DUMMYFUNCTION("""COMPUTED_VALUE"""),"For sale")</f>
        <v>For sale</v>
      </c>
      <c r="B597" s="2" t="str">
        <f>IFERROR(__xludf.DUMMYFUNCTION("""COMPUTED_VALUE"""),"centrs")</f>
        <v>centrs</v>
      </c>
      <c r="C597" s="2" t="str">
        <f>IFERROR(__xludf.DUMMYFUNCTION("""COMPUTED_VALUE"""),"Pētersalas 2")</f>
        <v>Pētersalas 2</v>
      </c>
      <c r="D597" s="2">
        <f>IFERROR(__xludf.DUMMYFUNCTION("""COMPUTED_VALUE"""),3.0)</f>
        <v>3</v>
      </c>
      <c r="E597" s="2">
        <f>IFERROR(__xludf.DUMMYFUNCTION("""COMPUTED_VALUE"""),79.0)</f>
        <v>79</v>
      </c>
      <c r="F597" s="2">
        <f>IFERROR(__xludf.DUMMYFUNCTION("""COMPUTED_VALUE"""),2.0)</f>
        <v>2</v>
      </c>
      <c r="G597" s="2">
        <f>IFERROR(__xludf.DUMMYFUNCTION("""COMPUTED_VALUE"""),5.0)</f>
        <v>5</v>
      </c>
      <c r="H597" s="2" t="str">
        <f>IFERROR(__xludf.DUMMYFUNCTION("""COMPUTED_VALUE"""),"P. kara")</f>
        <v>P. kara</v>
      </c>
      <c r="I597" s="2" t="str">
        <f>IFERROR(__xludf.DUMMYFUNCTION("""COMPUTED_VALUE"""),"Brick")</f>
        <v>Brick</v>
      </c>
      <c r="J597" s="2" t="str">
        <f>IFERROR(__xludf.DUMMYFUNCTION("""COMPUTED_VALUE"""),"All amenities")</f>
        <v>All amenities</v>
      </c>
      <c r="K597" s="2">
        <f>IFERROR(__xludf.DUMMYFUNCTION("""COMPUTED_VALUE"""),110600.0)</f>
        <v>110600</v>
      </c>
      <c r="L597" s="2">
        <f>IFERROR(__xludf.DUMMYFUNCTION("""COMPUTED_VALUE"""),56.9678993)</f>
        <v>56.9678993</v>
      </c>
      <c r="M597" s="2">
        <f>IFERROR(__xludf.DUMMYFUNCTION("""COMPUTED_VALUE"""),24.1050379341528)</f>
        <v>24.10503793</v>
      </c>
    </row>
    <row r="598">
      <c r="A598" s="2" t="str">
        <f>IFERROR(__xludf.DUMMYFUNCTION("""COMPUTED_VALUE"""),"For sale")</f>
        <v>For sale</v>
      </c>
      <c r="B598" s="2" t="str">
        <f>IFERROR(__xludf.DUMMYFUNCTION("""COMPUTED_VALUE"""),"Imanta")</f>
        <v>Imanta</v>
      </c>
      <c r="C598" s="2" t="str">
        <f>IFERROR(__xludf.DUMMYFUNCTION("""COMPUTED_VALUE"""),"Slokas 217")</f>
        <v>Slokas 217</v>
      </c>
      <c r="D598" s="2">
        <f>IFERROR(__xludf.DUMMYFUNCTION("""COMPUTED_VALUE"""),3.0)</f>
        <v>3</v>
      </c>
      <c r="E598" s="2">
        <f>IFERROR(__xludf.DUMMYFUNCTION("""COMPUTED_VALUE"""),54.0)</f>
        <v>54</v>
      </c>
      <c r="F598" s="2">
        <f>IFERROR(__xludf.DUMMYFUNCTION("""COMPUTED_VALUE"""),5.0)</f>
        <v>5</v>
      </c>
      <c r="G598" s="2">
        <f>IFERROR(__xludf.DUMMYFUNCTION("""COMPUTED_VALUE"""),5.0)</f>
        <v>5</v>
      </c>
      <c r="H598" s="2" t="str">
        <f>IFERROR(__xludf.DUMMYFUNCTION("""COMPUTED_VALUE"""),"LT proj.")</f>
        <v>LT proj.</v>
      </c>
      <c r="I598" s="2" t="str">
        <f>IFERROR(__xludf.DUMMYFUNCTION("""COMPUTED_VALUE"""),"Panel")</f>
        <v>Panel</v>
      </c>
      <c r="J598" s="2" t="str">
        <f>IFERROR(__xludf.DUMMYFUNCTION("""COMPUTED_VALUE"""),"All amenities")</f>
        <v>All amenities</v>
      </c>
      <c r="K598" s="2">
        <f>IFERROR(__xludf.DUMMYFUNCTION("""COMPUTED_VALUE"""),39000.0)</f>
        <v>39000</v>
      </c>
      <c r="L598" s="2">
        <f>IFERROR(__xludf.DUMMYFUNCTION("""COMPUTED_VALUE"""),56.962357)</f>
        <v>56.962357</v>
      </c>
      <c r="M598" s="2">
        <f>IFERROR(__xludf.DUMMYFUNCTION("""COMPUTED_VALUE"""),24.0022200499999)</f>
        <v>24.00222005</v>
      </c>
    </row>
    <row r="599">
      <c r="A599" s="2" t="str">
        <f>IFERROR(__xludf.DUMMYFUNCTION("""COMPUTED_VALUE"""),"For rent")</f>
        <v>For rent</v>
      </c>
      <c r="B599" s="2" t="str">
        <f>IFERROR(__xludf.DUMMYFUNCTION("""COMPUTED_VALUE"""),"Vecrīga")</f>
        <v>Vecrīga</v>
      </c>
      <c r="C599" s="2" t="str">
        <f>IFERROR(__xludf.DUMMYFUNCTION("""COMPUTED_VALUE"""),"Vāgnera 12")</f>
        <v>Vāgnera 12</v>
      </c>
      <c r="D599" s="2">
        <f>IFERROR(__xludf.DUMMYFUNCTION("""COMPUTED_VALUE"""),2.0)</f>
        <v>2</v>
      </c>
      <c r="E599" s="2">
        <f>IFERROR(__xludf.DUMMYFUNCTION("""COMPUTED_VALUE"""),35.0)</f>
        <v>35</v>
      </c>
      <c r="F599" s="2">
        <f>IFERROR(__xludf.DUMMYFUNCTION("""COMPUTED_VALUE"""),3.0)</f>
        <v>3</v>
      </c>
      <c r="G599" s="2">
        <f>IFERROR(__xludf.DUMMYFUNCTION("""COMPUTED_VALUE"""),4.0)</f>
        <v>4</v>
      </c>
      <c r="H599" s="2" t="str">
        <f>IFERROR(__xludf.DUMMYFUNCTION("""COMPUTED_VALUE"""),"Renov.")</f>
        <v>Renov.</v>
      </c>
      <c r="I599" s="2" t="str">
        <f>IFERROR(__xludf.DUMMYFUNCTION("""COMPUTED_VALUE"""),"Masonry")</f>
        <v>Masonry</v>
      </c>
      <c r="J599" s="2" t="str">
        <f>IFERROR(__xludf.DUMMYFUNCTION("""COMPUTED_VALUE"""),"All amenities")</f>
        <v>All amenities</v>
      </c>
      <c r="K599" s="2">
        <f>IFERROR(__xludf.DUMMYFUNCTION("""COMPUTED_VALUE"""),400.0)</f>
        <v>400</v>
      </c>
      <c r="L599" s="2">
        <f>IFERROR(__xludf.DUMMYFUNCTION("""COMPUTED_VALUE"""),56.94881585)</f>
        <v>56.94881585</v>
      </c>
      <c r="M599" s="2">
        <f>IFERROR(__xludf.DUMMYFUNCTION("""COMPUTED_VALUE"""),24.1114738591085)</f>
        <v>24.11147386</v>
      </c>
    </row>
    <row r="600">
      <c r="A600" s="2" t="str">
        <f>IFERROR(__xludf.DUMMYFUNCTION("""COMPUTED_VALUE"""),"For rent")</f>
        <v>For rent</v>
      </c>
      <c r="B600" s="2" t="str">
        <f>IFERROR(__xludf.DUMMYFUNCTION("""COMPUTED_VALUE"""),"centrs")</f>
        <v>centrs</v>
      </c>
      <c r="C600" s="2" t="str">
        <f>IFERROR(__xludf.DUMMYFUNCTION("""COMPUTED_VALUE"""),"Pulkv. Brieža 7")</f>
        <v>Pulkv. Brieža 7</v>
      </c>
      <c r="D600" s="2">
        <f>IFERROR(__xludf.DUMMYFUNCTION("""COMPUTED_VALUE"""),2.0)</f>
        <v>2</v>
      </c>
      <c r="E600" s="2">
        <f>IFERROR(__xludf.DUMMYFUNCTION("""COMPUTED_VALUE"""),81.0)</f>
        <v>81</v>
      </c>
      <c r="F600" s="2">
        <f>IFERROR(__xludf.DUMMYFUNCTION("""COMPUTED_VALUE"""),5.0)</f>
        <v>5</v>
      </c>
      <c r="G600" s="2">
        <f>IFERROR(__xludf.DUMMYFUNCTION("""COMPUTED_VALUE"""),5.0)</f>
        <v>5</v>
      </c>
      <c r="H600" s="2" t="str">
        <f>IFERROR(__xludf.DUMMYFUNCTION("""COMPUTED_VALUE"""),"Renov.")</f>
        <v>Renov.</v>
      </c>
      <c r="I600" s="2" t="str">
        <f>IFERROR(__xludf.DUMMYFUNCTION("""COMPUTED_VALUE"""),"Masonry")</f>
        <v>Masonry</v>
      </c>
      <c r="J600" s="2" t="str">
        <f>IFERROR(__xludf.DUMMYFUNCTION("""COMPUTED_VALUE"""),"All amenities")</f>
        <v>All amenities</v>
      </c>
      <c r="K600" s="2">
        <f>IFERROR(__xludf.DUMMYFUNCTION("""COMPUTED_VALUE"""),650.0)</f>
        <v>650</v>
      </c>
      <c r="L600" s="2" t="str">
        <f>IFERROR(__xludf.DUMMYFUNCTION("""COMPUTED_VALUE"""),"NaN")</f>
        <v>NaN</v>
      </c>
      <c r="M600" s="2" t="str">
        <f>IFERROR(__xludf.DUMMYFUNCTION("""COMPUTED_VALUE"""),"NaN")</f>
        <v>NaN</v>
      </c>
    </row>
    <row r="601">
      <c r="A601" s="2" t="str">
        <f>IFERROR(__xludf.DUMMYFUNCTION("""COMPUTED_VALUE"""),"For rent")</f>
        <v>For rent</v>
      </c>
      <c r="B601" s="2" t="str">
        <f>IFERROR(__xludf.DUMMYFUNCTION("""COMPUTED_VALUE"""),"centrs")</f>
        <v>centrs</v>
      </c>
      <c r="C601" s="2" t="str">
        <f>IFERROR(__xludf.DUMMYFUNCTION("""COMPUTED_VALUE"""),"Lāčplēša 119")</f>
        <v>Lāčplēša 119</v>
      </c>
      <c r="D601" s="2">
        <f>IFERROR(__xludf.DUMMYFUNCTION("""COMPUTED_VALUE"""),1.0)</f>
        <v>1</v>
      </c>
      <c r="E601" s="2">
        <f>IFERROR(__xludf.DUMMYFUNCTION("""COMPUTED_VALUE"""),16.0)</f>
        <v>16</v>
      </c>
      <c r="F601" s="2">
        <f>IFERROR(__xludf.DUMMYFUNCTION("""COMPUTED_VALUE"""),1.0)</f>
        <v>1</v>
      </c>
      <c r="G601" s="2">
        <f>IFERROR(__xludf.DUMMYFUNCTION("""COMPUTED_VALUE"""),5.0)</f>
        <v>5</v>
      </c>
      <c r="H601" s="2" t="str">
        <f>IFERROR(__xludf.DUMMYFUNCTION("""COMPUTED_VALUE"""),"Specpr.")</f>
        <v>Specpr.</v>
      </c>
      <c r="I601" s="2" t="str">
        <f>IFERROR(__xludf.DUMMYFUNCTION("""COMPUTED_VALUE"""),"Brick")</f>
        <v>Brick</v>
      </c>
      <c r="J601" s="2" t="str">
        <f>IFERROR(__xludf.DUMMYFUNCTION("""COMPUTED_VALUE"""),"All amenities")</f>
        <v>All amenities</v>
      </c>
      <c r="K601" s="2">
        <f>IFERROR(__xludf.DUMMYFUNCTION("""COMPUTED_VALUE"""),17.0)</f>
        <v>17</v>
      </c>
      <c r="L601" s="2">
        <f>IFERROR(__xludf.DUMMYFUNCTION("""COMPUTED_VALUE"""),56.944767)</f>
        <v>56.944767</v>
      </c>
      <c r="M601" s="2">
        <f>IFERROR(__xludf.DUMMYFUNCTION("""COMPUTED_VALUE"""),24.1333294499999)</f>
        <v>24.13332945</v>
      </c>
    </row>
    <row r="602">
      <c r="A602" s="2" t="str">
        <f>IFERROR(__xludf.DUMMYFUNCTION("""COMPUTED_VALUE"""),"For sale")</f>
        <v>For sale</v>
      </c>
      <c r="B602" s="2" t="str">
        <f>IFERROR(__xludf.DUMMYFUNCTION("""COMPUTED_VALUE"""),"Iļģuciems")</f>
        <v>Iļģuciems</v>
      </c>
      <c r="C602" s="2" t="str">
        <f>IFERROR(__xludf.DUMMYFUNCTION("""COMPUTED_VALUE"""),"Palangas 1")</f>
        <v>Palangas 1</v>
      </c>
      <c r="D602" s="2">
        <f>IFERROR(__xludf.DUMMYFUNCTION("""COMPUTED_VALUE"""),2.0)</f>
        <v>2</v>
      </c>
      <c r="E602" s="2">
        <f>IFERROR(__xludf.DUMMYFUNCTION("""COMPUTED_VALUE"""),51.0)</f>
        <v>51</v>
      </c>
      <c r="F602" s="2">
        <f>IFERROR(__xludf.DUMMYFUNCTION("""COMPUTED_VALUE"""),5.0)</f>
        <v>5</v>
      </c>
      <c r="G602" s="2">
        <f>IFERROR(__xludf.DUMMYFUNCTION("""COMPUTED_VALUE"""),5.0)</f>
        <v>5</v>
      </c>
      <c r="H602" s="2" t="str">
        <f>IFERROR(__xludf.DUMMYFUNCTION("""COMPUTED_VALUE"""),"LT proj.")</f>
        <v>LT proj.</v>
      </c>
      <c r="I602" s="2" t="str">
        <f>IFERROR(__xludf.DUMMYFUNCTION("""COMPUTED_VALUE"""),"Brick-Panel")</f>
        <v>Brick-Panel</v>
      </c>
      <c r="J602" s="2" t="str">
        <f>IFERROR(__xludf.DUMMYFUNCTION("""COMPUTED_VALUE"""),"All amenities")</f>
        <v>All amenities</v>
      </c>
      <c r="K602" s="2">
        <f>IFERROR(__xludf.DUMMYFUNCTION("""COMPUTED_VALUE"""),42000.0)</f>
        <v>42000</v>
      </c>
      <c r="L602" s="2">
        <f>IFERROR(__xludf.DUMMYFUNCTION("""COMPUTED_VALUE"""),56.9694761)</f>
        <v>56.9694761</v>
      </c>
      <c r="M602" s="2">
        <f>IFERROR(__xludf.DUMMYFUNCTION("""COMPUTED_VALUE"""),24.0541638042451)</f>
        <v>24.0541638</v>
      </c>
    </row>
    <row r="603">
      <c r="A603" s="2" t="str">
        <f>IFERROR(__xludf.DUMMYFUNCTION("""COMPUTED_VALUE"""),"For sale")</f>
        <v>For sale</v>
      </c>
      <c r="B603" s="2" t="str">
        <f>IFERROR(__xludf.DUMMYFUNCTION("""COMPUTED_VALUE"""),"Pļavnieki")</f>
        <v>Pļavnieki</v>
      </c>
      <c r="C603" s="2" t="str">
        <f>IFERROR(__xludf.DUMMYFUNCTION("""COMPUTED_VALUE"""),"Keldiša 28")</f>
        <v>Keldiša 28</v>
      </c>
      <c r="D603" s="2">
        <f>IFERROR(__xludf.DUMMYFUNCTION("""COMPUTED_VALUE"""),2.0)</f>
        <v>2</v>
      </c>
      <c r="E603" s="2">
        <f>IFERROR(__xludf.DUMMYFUNCTION("""COMPUTED_VALUE"""),51.0)</f>
        <v>51</v>
      </c>
      <c r="F603" s="2">
        <f>IFERROR(__xludf.DUMMYFUNCTION("""COMPUTED_VALUE"""),8.0)</f>
        <v>8</v>
      </c>
      <c r="G603" s="2">
        <f>IFERROR(__xludf.DUMMYFUNCTION("""COMPUTED_VALUE"""),9.0)</f>
        <v>9</v>
      </c>
      <c r="H603" s="2">
        <f>IFERROR(__xludf.DUMMYFUNCTION("""COMPUTED_VALUE"""),602.0)</f>
        <v>602</v>
      </c>
      <c r="I603" s="2" t="str">
        <f>IFERROR(__xludf.DUMMYFUNCTION("""COMPUTED_VALUE"""),"Panel")</f>
        <v>Panel</v>
      </c>
      <c r="J603" s="2" t="str">
        <f>IFERROR(__xludf.DUMMYFUNCTION("""COMPUTED_VALUE"""),"All amenities")</f>
        <v>All amenities</v>
      </c>
      <c r="K603" s="2">
        <f>IFERROR(__xludf.DUMMYFUNCTION("""COMPUTED_VALUE"""),43300.0)</f>
        <v>43300</v>
      </c>
      <c r="L603" s="2">
        <f>IFERROR(__xludf.DUMMYFUNCTION("""COMPUTED_VALUE"""),56.9382367)</f>
        <v>56.9382367</v>
      </c>
      <c r="M603" s="2">
        <f>IFERROR(__xludf.DUMMYFUNCTION("""COMPUTED_VALUE"""),24.210029700258)</f>
        <v>24.2100297</v>
      </c>
    </row>
    <row r="604">
      <c r="A604" s="2" t="str">
        <f>IFERROR(__xludf.DUMMYFUNCTION("""COMPUTED_VALUE"""),"For sale")</f>
        <v>For sale</v>
      </c>
      <c r="B604" s="2" t="str">
        <f>IFERROR(__xludf.DUMMYFUNCTION("""COMPUTED_VALUE"""),"centrs")</f>
        <v>centrs</v>
      </c>
      <c r="C604" s="2" t="str">
        <f>IFERROR(__xludf.DUMMYFUNCTION("""COMPUTED_VALUE"""),"Tērbatas 16/18")</f>
        <v>Tērbatas 16/18</v>
      </c>
      <c r="D604" s="2">
        <f>IFERROR(__xludf.DUMMYFUNCTION("""COMPUTED_VALUE"""),4.0)</f>
        <v>4</v>
      </c>
      <c r="E604" s="2">
        <f>IFERROR(__xludf.DUMMYFUNCTION("""COMPUTED_VALUE"""),122.0)</f>
        <v>122</v>
      </c>
      <c r="F604" s="2">
        <f>IFERROR(__xludf.DUMMYFUNCTION("""COMPUTED_VALUE"""),5.0)</f>
        <v>5</v>
      </c>
      <c r="G604" s="2">
        <f>IFERROR(__xludf.DUMMYFUNCTION("""COMPUTED_VALUE"""),5.0)</f>
        <v>5</v>
      </c>
      <c r="H604" s="2" t="str">
        <f>IFERROR(__xludf.DUMMYFUNCTION("""COMPUTED_VALUE"""),"P. kara")</f>
        <v>P. kara</v>
      </c>
      <c r="I604" s="2" t="str">
        <f>IFERROR(__xludf.DUMMYFUNCTION("""COMPUTED_VALUE"""),"Brick")</f>
        <v>Brick</v>
      </c>
      <c r="J604" s="2" t="str">
        <f>IFERROR(__xludf.DUMMYFUNCTION("""COMPUTED_VALUE"""),"All amenities")</f>
        <v>All amenities</v>
      </c>
      <c r="K604" s="2">
        <f>IFERROR(__xludf.DUMMYFUNCTION("""COMPUTED_VALUE"""),225000.0)</f>
        <v>225000</v>
      </c>
      <c r="L604" s="2">
        <f>IFERROR(__xludf.DUMMYFUNCTION("""COMPUTED_VALUE"""),56.9539113)</f>
        <v>56.9539113</v>
      </c>
      <c r="M604" s="2">
        <f>IFERROR(__xludf.DUMMYFUNCTION("""COMPUTED_VALUE"""),24.1220605)</f>
        <v>24.1220605</v>
      </c>
    </row>
    <row r="605">
      <c r="A605" s="2" t="str">
        <f>IFERROR(__xludf.DUMMYFUNCTION("""COMPUTED_VALUE"""),"For sale")</f>
        <v>For sale</v>
      </c>
      <c r="B605" s="2" t="str">
        <f>IFERROR(__xludf.DUMMYFUNCTION("""COMPUTED_VALUE"""),"centrs")</f>
        <v>centrs</v>
      </c>
      <c r="C605" s="2" t="str">
        <f>IFERROR(__xludf.DUMMYFUNCTION("""COMPUTED_VALUE"""),"Ģertrūdes 113")</f>
        <v>Ģertrūdes 113</v>
      </c>
      <c r="D605" s="2">
        <f>IFERROR(__xludf.DUMMYFUNCTION("""COMPUTED_VALUE"""),3.0)</f>
        <v>3</v>
      </c>
      <c r="E605" s="2">
        <f>IFERROR(__xludf.DUMMYFUNCTION("""COMPUTED_VALUE"""),71.0)</f>
        <v>71</v>
      </c>
      <c r="F605" s="2">
        <f>IFERROR(__xludf.DUMMYFUNCTION("""COMPUTED_VALUE"""),6.0)</f>
        <v>6</v>
      </c>
      <c r="G605" s="2">
        <f>IFERROR(__xludf.DUMMYFUNCTION("""COMPUTED_VALUE"""),6.0)</f>
        <v>6</v>
      </c>
      <c r="H605" s="2" t="str">
        <f>IFERROR(__xludf.DUMMYFUNCTION("""COMPUTED_VALUE"""),"P. kara")</f>
        <v>P. kara</v>
      </c>
      <c r="I605" s="2" t="str">
        <f>IFERROR(__xludf.DUMMYFUNCTION("""COMPUTED_VALUE"""),"Masonry")</f>
        <v>Masonry</v>
      </c>
      <c r="J605" s="2" t="str">
        <f>IFERROR(__xludf.DUMMYFUNCTION("""COMPUTED_VALUE"""),"All amenities")</f>
        <v>All amenities</v>
      </c>
      <c r="K605" s="2">
        <f>IFERROR(__xludf.DUMMYFUNCTION("""COMPUTED_VALUE"""),92800.0)</f>
        <v>92800</v>
      </c>
      <c r="L605" s="2">
        <f>IFERROR(__xludf.DUMMYFUNCTION("""COMPUTED_VALUE"""),56.9488564)</f>
        <v>56.9488564</v>
      </c>
      <c r="M605" s="2">
        <f>IFERROR(__xludf.DUMMYFUNCTION("""COMPUTED_VALUE"""),24.1384970339502)</f>
        <v>24.13849703</v>
      </c>
    </row>
    <row r="606">
      <c r="A606" s="2" t="str">
        <f>IFERROR(__xludf.DUMMYFUNCTION("""COMPUTED_VALUE"""),"For sale")</f>
        <v>For sale</v>
      </c>
      <c r="B606" s="2" t="str">
        <f>IFERROR(__xludf.DUMMYFUNCTION("""COMPUTED_VALUE"""),"centrs")</f>
        <v>centrs</v>
      </c>
      <c r="C606" s="2" t="str">
        <f>IFERROR(__xludf.DUMMYFUNCTION("""COMPUTED_VALUE"""),"Ģertrūdes 113")</f>
        <v>Ģertrūdes 113</v>
      </c>
      <c r="D606" s="2">
        <f>IFERROR(__xludf.DUMMYFUNCTION("""COMPUTED_VALUE"""),2.0)</f>
        <v>2</v>
      </c>
      <c r="E606" s="2">
        <f>IFERROR(__xludf.DUMMYFUNCTION("""COMPUTED_VALUE"""),42.0)</f>
        <v>42</v>
      </c>
      <c r="F606" s="2">
        <f>IFERROR(__xludf.DUMMYFUNCTION("""COMPUTED_VALUE"""),6.0)</f>
        <v>6</v>
      </c>
      <c r="G606" s="2">
        <f>IFERROR(__xludf.DUMMYFUNCTION("""COMPUTED_VALUE"""),6.0)</f>
        <v>6</v>
      </c>
      <c r="H606" s="2" t="str">
        <f>IFERROR(__xludf.DUMMYFUNCTION("""COMPUTED_VALUE"""),"P. kara")</f>
        <v>P. kara</v>
      </c>
      <c r="I606" s="2" t="str">
        <f>IFERROR(__xludf.DUMMYFUNCTION("""COMPUTED_VALUE"""),"Masonry")</f>
        <v>Masonry</v>
      </c>
      <c r="J606" s="2" t="str">
        <f>IFERROR(__xludf.DUMMYFUNCTION("""COMPUTED_VALUE"""),"All amenities")</f>
        <v>All amenities</v>
      </c>
      <c r="K606" s="2">
        <f>IFERROR(__xludf.DUMMYFUNCTION("""COMPUTED_VALUE"""),57800.0)</f>
        <v>57800</v>
      </c>
      <c r="L606" s="2">
        <f>IFERROR(__xludf.DUMMYFUNCTION("""COMPUTED_VALUE"""),56.9488564)</f>
        <v>56.9488564</v>
      </c>
      <c r="M606" s="2">
        <f>IFERROR(__xludf.DUMMYFUNCTION("""COMPUTED_VALUE"""),24.1384970339502)</f>
        <v>24.13849703</v>
      </c>
    </row>
    <row r="607">
      <c r="A607" s="2" t="str">
        <f>IFERROR(__xludf.DUMMYFUNCTION("""COMPUTED_VALUE"""),"For rent")</f>
        <v>For rent</v>
      </c>
      <c r="B607" s="2" t="str">
        <f>IFERROR(__xludf.DUMMYFUNCTION("""COMPUTED_VALUE"""),"Āgenskalns")</f>
        <v>Āgenskalns</v>
      </c>
      <c r="C607" s="2" t="str">
        <f>IFERROR(__xludf.DUMMYFUNCTION("""COMPUTED_VALUE"""),"Baložu 5")</f>
        <v>Baložu 5</v>
      </c>
      <c r="D607" s="2">
        <f>IFERROR(__xludf.DUMMYFUNCTION("""COMPUTED_VALUE"""),4.0)</f>
        <v>4</v>
      </c>
      <c r="E607" s="2">
        <f>IFERROR(__xludf.DUMMYFUNCTION("""COMPUTED_VALUE"""),112.0)</f>
        <v>112</v>
      </c>
      <c r="F607" s="2">
        <f>IFERROR(__xludf.DUMMYFUNCTION("""COMPUTED_VALUE"""),3.0)</f>
        <v>3</v>
      </c>
      <c r="G607" s="2">
        <f>IFERROR(__xludf.DUMMYFUNCTION("""COMPUTED_VALUE"""),3.0)</f>
        <v>3</v>
      </c>
      <c r="H607" s="2" t="str">
        <f>IFERROR(__xludf.DUMMYFUNCTION("""COMPUTED_VALUE"""),"Priv. m.")</f>
        <v>Priv. m.</v>
      </c>
      <c r="I607" s="2" t="str">
        <f>IFERROR(__xludf.DUMMYFUNCTION("""COMPUTED_VALUE"""),"Brick")</f>
        <v>Brick</v>
      </c>
      <c r="J607" s="2" t="str">
        <f>IFERROR(__xludf.DUMMYFUNCTION("""COMPUTED_VALUE"""),"All amenities")</f>
        <v>All amenities</v>
      </c>
      <c r="K607" s="2">
        <f>IFERROR(__xludf.DUMMYFUNCTION("""COMPUTED_VALUE"""),1200.0)</f>
        <v>1200</v>
      </c>
      <c r="L607" s="2">
        <f>IFERROR(__xludf.DUMMYFUNCTION("""COMPUTED_VALUE"""),56.94372935)</f>
        <v>56.94372935</v>
      </c>
      <c r="M607" s="2">
        <f>IFERROR(__xludf.DUMMYFUNCTION("""COMPUTED_VALUE"""),24.0751603975824)</f>
        <v>24.0751604</v>
      </c>
    </row>
    <row r="608">
      <c r="A608" s="2" t="str">
        <f>IFERROR(__xludf.DUMMYFUNCTION("""COMPUTED_VALUE"""),"For rent")</f>
        <v>For rent</v>
      </c>
      <c r="B608" s="2" t="str">
        <f>IFERROR(__xludf.DUMMYFUNCTION("""COMPUTED_VALUE"""),"Ķīpsala")</f>
        <v>Ķīpsala</v>
      </c>
      <c r="C608" s="2" t="str">
        <f>IFERROR(__xludf.DUMMYFUNCTION("""COMPUTED_VALUE"""),"Ķīpsalas 4")</f>
        <v>Ķīpsalas 4</v>
      </c>
      <c r="D608" s="2">
        <f>IFERROR(__xludf.DUMMYFUNCTION("""COMPUTED_VALUE"""),2.0)</f>
        <v>2</v>
      </c>
      <c r="E608" s="2">
        <f>IFERROR(__xludf.DUMMYFUNCTION("""COMPUTED_VALUE"""),52.0)</f>
        <v>52</v>
      </c>
      <c r="F608" s="2">
        <f>IFERROR(__xludf.DUMMYFUNCTION("""COMPUTED_VALUE"""),3.0)</f>
        <v>3</v>
      </c>
      <c r="G608" s="2">
        <f>IFERROR(__xludf.DUMMYFUNCTION("""COMPUTED_VALUE"""),4.0)</f>
        <v>4</v>
      </c>
      <c r="H608" s="2" t="str">
        <f>IFERROR(__xludf.DUMMYFUNCTION("""COMPUTED_VALUE"""),"Jaun.")</f>
        <v>Jaun.</v>
      </c>
      <c r="I608" s="2" t="str">
        <f>IFERROR(__xludf.DUMMYFUNCTION("""COMPUTED_VALUE"""),"Masonry")</f>
        <v>Masonry</v>
      </c>
      <c r="J608" s="2" t="str">
        <f>IFERROR(__xludf.DUMMYFUNCTION("""COMPUTED_VALUE"""),"All amenities")</f>
        <v>All amenities</v>
      </c>
      <c r="K608" s="2">
        <f>IFERROR(__xludf.DUMMYFUNCTION("""COMPUTED_VALUE"""),650.0)</f>
        <v>650</v>
      </c>
      <c r="L608" s="2">
        <f>IFERROR(__xludf.DUMMYFUNCTION("""COMPUTED_VALUE"""),56.951881)</f>
        <v>56.951881</v>
      </c>
      <c r="M608" s="2">
        <f>IFERROR(__xludf.DUMMYFUNCTION("""COMPUTED_VALUE"""),24.0837662708383)</f>
        <v>24.08376627</v>
      </c>
    </row>
    <row r="609">
      <c r="A609" s="2" t="str">
        <f>IFERROR(__xludf.DUMMYFUNCTION("""COMPUTED_VALUE"""),"For sale")</f>
        <v>For sale</v>
      </c>
      <c r="B609" s="2" t="str">
        <f>IFERROR(__xludf.DUMMYFUNCTION("""COMPUTED_VALUE"""),"Ķengarags")</f>
        <v>Ķengarags</v>
      </c>
      <c r="C609" s="2" t="str">
        <f>IFERROR(__xludf.DUMMYFUNCTION("""COMPUTED_VALUE"""),"Višķu 11")</f>
        <v>Višķu 11</v>
      </c>
      <c r="D609" s="2">
        <f>IFERROR(__xludf.DUMMYFUNCTION("""COMPUTED_VALUE"""),1.0)</f>
        <v>1</v>
      </c>
      <c r="E609" s="2">
        <f>IFERROR(__xludf.DUMMYFUNCTION("""COMPUTED_VALUE"""),33.0)</f>
        <v>33</v>
      </c>
      <c r="F609" s="2">
        <f>IFERROR(__xludf.DUMMYFUNCTION("""COMPUTED_VALUE"""),4.0)</f>
        <v>4</v>
      </c>
      <c r="G609" s="2">
        <f>IFERROR(__xludf.DUMMYFUNCTION("""COMPUTED_VALUE"""),5.0)</f>
        <v>5</v>
      </c>
      <c r="H609" s="2" t="str">
        <f>IFERROR(__xludf.DUMMYFUNCTION("""COMPUTED_VALUE"""),"LT proj.")</f>
        <v>LT proj.</v>
      </c>
      <c r="I609" s="2" t="str">
        <f>IFERROR(__xludf.DUMMYFUNCTION("""COMPUTED_VALUE"""),"Panel")</f>
        <v>Panel</v>
      </c>
      <c r="J609" s="2" t="str">
        <f>IFERROR(__xludf.DUMMYFUNCTION("""COMPUTED_VALUE"""),"All amenities")</f>
        <v>All amenities</v>
      </c>
      <c r="K609" s="2">
        <f>IFERROR(__xludf.DUMMYFUNCTION("""COMPUTED_VALUE"""),34000.0)</f>
        <v>34000</v>
      </c>
      <c r="L609" s="2">
        <f>IFERROR(__xludf.DUMMYFUNCTION("""COMPUTED_VALUE"""),56.89938885)</f>
        <v>56.89938885</v>
      </c>
      <c r="M609" s="2">
        <f>IFERROR(__xludf.DUMMYFUNCTION("""COMPUTED_VALUE"""),24.21369425)</f>
        <v>24.21369425</v>
      </c>
    </row>
    <row r="610">
      <c r="A610" s="2" t="str">
        <f>IFERROR(__xludf.DUMMYFUNCTION("""COMPUTED_VALUE"""),"For sale")</f>
        <v>For sale</v>
      </c>
      <c r="B610" s="2" t="str">
        <f>IFERROR(__xludf.DUMMYFUNCTION("""COMPUTED_VALUE"""),"Ķengarags")</f>
        <v>Ķengarags</v>
      </c>
      <c r="C610" s="2" t="str">
        <f>IFERROR(__xludf.DUMMYFUNCTION("""COMPUTED_VALUE"""),"Salaspils 12 k5")</f>
        <v>Salaspils 12 k5</v>
      </c>
      <c r="D610" s="2">
        <f>IFERROR(__xludf.DUMMYFUNCTION("""COMPUTED_VALUE"""),1.0)</f>
        <v>1</v>
      </c>
      <c r="E610" s="2">
        <f>IFERROR(__xludf.DUMMYFUNCTION("""COMPUTED_VALUE"""),33.0)</f>
        <v>33</v>
      </c>
      <c r="F610" s="2">
        <f>IFERROR(__xludf.DUMMYFUNCTION("""COMPUTED_VALUE"""),3.0)</f>
        <v>3</v>
      </c>
      <c r="G610" s="2">
        <f>IFERROR(__xludf.DUMMYFUNCTION("""COMPUTED_VALUE"""),5.0)</f>
        <v>5</v>
      </c>
      <c r="H610" s="2" t="str">
        <f>IFERROR(__xludf.DUMMYFUNCTION("""COMPUTED_VALUE"""),"LT proj.")</f>
        <v>LT proj.</v>
      </c>
      <c r="I610" s="2" t="str">
        <f>IFERROR(__xludf.DUMMYFUNCTION("""COMPUTED_VALUE"""),"Panel")</f>
        <v>Panel</v>
      </c>
      <c r="J610" s="2" t="str">
        <f>IFERROR(__xludf.DUMMYFUNCTION("""COMPUTED_VALUE"""),"All amenities")</f>
        <v>All amenities</v>
      </c>
      <c r="K610" s="2">
        <f>IFERROR(__xludf.DUMMYFUNCTION("""COMPUTED_VALUE"""),34000.0)</f>
        <v>34000</v>
      </c>
      <c r="L610" s="2">
        <f>IFERROR(__xludf.DUMMYFUNCTION("""COMPUTED_VALUE"""),56.9267343)</f>
        <v>56.9267343</v>
      </c>
      <c r="M610" s="2">
        <f>IFERROR(__xludf.DUMMYFUNCTION("""COMPUTED_VALUE"""),24.1753303)</f>
        <v>24.1753303</v>
      </c>
    </row>
    <row r="611">
      <c r="A611" s="2" t="str">
        <f>IFERROR(__xludf.DUMMYFUNCTION("""COMPUTED_VALUE"""),"For sale")</f>
        <v>For sale</v>
      </c>
      <c r="B611" s="2" t="str">
        <f>IFERROR(__xludf.DUMMYFUNCTION("""COMPUTED_VALUE"""),"Sarkandaugava")</f>
        <v>Sarkandaugava</v>
      </c>
      <c r="C611" s="2" t="str">
        <f>IFERROR(__xludf.DUMMYFUNCTION("""COMPUTED_VALUE"""),"Sarkandaugavas 31")</f>
        <v>Sarkandaugavas 31</v>
      </c>
      <c r="D611" s="2">
        <f>IFERROR(__xludf.DUMMYFUNCTION("""COMPUTED_VALUE"""),3.0)</f>
        <v>3</v>
      </c>
      <c r="E611" s="2">
        <f>IFERROR(__xludf.DUMMYFUNCTION("""COMPUTED_VALUE"""),74.2)</f>
        <v>74.2</v>
      </c>
      <c r="F611" s="2">
        <f>IFERROR(__xludf.DUMMYFUNCTION("""COMPUTED_VALUE"""),9.0)</f>
        <v>9</v>
      </c>
      <c r="G611" s="2">
        <f>IFERROR(__xludf.DUMMYFUNCTION("""COMPUTED_VALUE"""),9.0)</f>
        <v>9</v>
      </c>
      <c r="H611" s="2" t="str">
        <f>IFERROR(__xludf.DUMMYFUNCTION("""COMPUTED_VALUE"""),"Specpr.")</f>
        <v>Specpr.</v>
      </c>
      <c r="I611" s="2" t="str">
        <f>IFERROR(__xludf.DUMMYFUNCTION("""COMPUTED_VALUE"""),"Brick-Panel")</f>
        <v>Brick-Panel</v>
      </c>
      <c r="J611" s="2" t="str">
        <f>IFERROR(__xludf.DUMMYFUNCTION("""COMPUTED_VALUE"""),"All amenities")</f>
        <v>All amenities</v>
      </c>
      <c r="K611" s="2">
        <f>IFERROR(__xludf.DUMMYFUNCTION("""COMPUTED_VALUE"""),79000.0)</f>
        <v>79000</v>
      </c>
      <c r="L611" s="2">
        <f>IFERROR(__xludf.DUMMYFUNCTION("""COMPUTED_VALUE"""),57.0024532)</f>
        <v>57.0024532</v>
      </c>
      <c r="M611" s="2">
        <f>IFERROR(__xludf.DUMMYFUNCTION("""COMPUTED_VALUE"""),24.1228943565491)</f>
        <v>24.12289436</v>
      </c>
    </row>
    <row r="612">
      <c r="A612" s="2" t="str">
        <f>IFERROR(__xludf.DUMMYFUNCTION("""COMPUTED_VALUE"""),"For sale")</f>
        <v>For sale</v>
      </c>
      <c r="B612" s="2" t="str">
        <f>IFERROR(__xludf.DUMMYFUNCTION("""COMPUTED_VALUE"""),"Ķengarags")</f>
        <v>Ķengarags</v>
      </c>
      <c r="C612" s="2" t="str">
        <f>IFERROR(__xludf.DUMMYFUNCTION("""COMPUTED_VALUE"""),"Maltas 15")</f>
        <v>Maltas 15</v>
      </c>
      <c r="D612" s="2">
        <f>IFERROR(__xludf.DUMMYFUNCTION("""COMPUTED_VALUE"""),3.0)</f>
        <v>3</v>
      </c>
      <c r="E612" s="2">
        <f>IFERROR(__xludf.DUMMYFUNCTION("""COMPUTED_VALUE"""),61.0)</f>
        <v>61</v>
      </c>
      <c r="F612" s="2">
        <f>IFERROR(__xludf.DUMMYFUNCTION("""COMPUTED_VALUE"""),4.0)</f>
        <v>4</v>
      </c>
      <c r="G612" s="2">
        <f>IFERROR(__xludf.DUMMYFUNCTION("""COMPUTED_VALUE"""),5.0)</f>
        <v>5</v>
      </c>
      <c r="H612" s="2" t="str">
        <f>IFERROR(__xludf.DUMMYFUNCTION("""COMPUTED_VALUE"""),"LT proj.")</f>
        <v>LT proj.</v>
      </c>
      <c r="I612" s="2" t="str">
        <f>IFERROR(__xludf.DUMMYFUNCTION("""COMPUTED_VALUE"""),"Panel")</f>
        <v>Panel</v>
      </c>
      <c r="J612" s="2" t="str">
        <f>IFERROR(__xludf.DUMMYFUNCTION("""COMPUTED_VALUE"""),"All amenities")</f>
        <v>All amenities</v>
      </c>
      <c r="K612" s="2">
        <f>IFERROR(__xludf.DUMMYFUNCTION("""COMPUTED_VALUE"""),58000.0)</f>
        <v>58000</v>
      </c>
      <c r="L612" s="2">
        <f>IFERROR(__xludf.DUMMYFUNCTION("""COMPUTED_VALUE"""),56.9106275)</f>
        <v>56.9106275</v>
      </c>
      <c r="M612" s="2">
        <f>IFERROR(__xludf.DUMMYFUNCTION("""COMPUTED_VALUE"""),24.1836694706489)</f>
        <v>24.18366947</v>
      </c>
    </row>
    <row r="613">
      <c r="A613" s="2" t="str">
        <f>IFERROR(__xludf.DUMMYFUNCTION("""COMPUTED_VALUE"""),"For rent")</f>
        <v>For rent</v>
      </c>
      <c r="B613" s="2" t="str">
        <f>IFERROR(__xludf.DUMMYFUNCTION("""COMPUTED_VALUE"""),"Ziepniekkalns")</f>
        <v>Ziepniekkalns</v>
      </c>
      <c r="C613" s="2" t="str">
        <f>IFERROR(__xludf.DUMMYFUNCTION("""COMPUTED_VALUE"""),"Ozolciema 38")</f>
        <v>Ozolciema 38</v>
      </c>
      <c r="D613" s="2">
        <f>IFERROR(__xludf.DUMMYFUNCTION("""COMPUTED_VALUE"""),1.0)</f>
        <v>1</v>
      </c>
      <c r="E613" s="2">
        <f>IFERROR(__xludf.DUMMYFUNCTION("""COMPUTED_VALUE"""),44.0)</f>
        <v>44</v>
      </c>
      <c r="F613" s="2">
        <f>IFERROR(__xludf.DUMMYFUNCTION("""COMPUTED_VALUE"""),2.0)</f>
        <v>2</v>
      </c>
      <c r="G613" s="2">
        <f>IFERROR(__xludf.DUMMYFUNCTION("""COMPUTED_VALUE"""),9.0)</f>
        <v>9</v>
      </c>
      <c r="H613" s="2">
        <f>IFERROR(__xludf.DUMMYFUNCTION("""COMPUTED_VALUE"""),119.0)</f>
        <v>119</v>
      </c>
      <c r="I613" s="2" t="str">
        <f>IFERROR(__xludf.DUMMYFUNCTION("""COMPUTED_VALUE"""),"Panel")</f>
        <v>Panel</v>
      </c>
      <c r="J613" s="2" t="str">
        <f>IFERROR(__xludf.DUMMYFUNCTION("""COMPUTED_VALUE"""),"All amenities")</f>
        <v>All amenities</v>
      </c>
      <c r="K613" s="2">
        <f>IFERROR(__xludf.DUMMYFUNCTION("""COMPUTED_VALUE"""),350.0)</f>
        <v>350</v>
      </c>
      <c r="L613" s="2">
        <f>IFERROR(__xludf.DUMMYFUNCTION("""COMPUTED_VALUE"""),56.9012723)</f>
        <v>56.9012723</v>
      </c>
      <c r="M613" s="2">
        <f>IFERROR(__xludf.DUMMYFUNCTION("""COMPUTED_VALUE"""),24.0976674049173)</f>
        <v>24.0976674</v>
      </c>
    </row>
    <row r="614">
      <c r="A614" s="2" t="str">
        <f>IFERROR(__xludf.DUMMYFUNCTION("""COMPUTED_VALUE"""),"For sale")</f>
        <v>For sale</v>
      </c>
      <c r="B614" s="2" t="str">
        <f>IFERROR(__xludf.DUMMYFUNCTION("""COMPUTED_VALUE"""),"Imanta")</f>
        <v>Imanta</v>
      </c>
      <c r="C614" s="2" t="str">
        <f>IFERROR(__xludf.DUMMYFUNCTION("""COMPUTED_VALUE"""),"Kleistu 8")</f>
        <v>Kleistu 8</v>
      </c>
      <c r="D614" s="2">
        <f>IFERROR(__xludf.DUMMYFUNCTION("""COMPUTED_VALUE"""),3.0)</f>
        <v>3</v>
      </c>
      <c r="E614" s="2">
        <f>IFERROR(__xludf.DUMMYFUNCTION("""COMPUTED_VALUE"""),54.0)</f>
        <v>54</v>
      </c>
      <c r="F614" s="2">
        <f>IFERROR(__xludf.DUMMYFUNCTION("""COMPUTED_VALUE"""),4.0)</f>
        <v>4</v>
      </c>
      <c r="G614" s="2">
        <f>IFERROR(__xludf.DUMMYFUNCTION("""COMPUTED_VALUE"""),5.0)</f>
        <v>5</v>
      </c>
      <c r="H614" s="2" t="str">
        <f>IFERROR(__xludf.DUMMYFUNCTION("""COMPUTED_VALUE"""),"LT proj.")</f>
        <v>LT proj.</v>
      </c>
      <c r="I614" s="2" t="str">
        <f>IFERROR(__xludf.DUMMYFUNCTION("""COMPUTED_VALUE"""),"Panel")</f>
        <v>Panel</v>
      </c>
      <c r="J614" s="2" t="str">
        <f>IFERROR(__xludf.DUMMYFUNCTION("""COMPUTED_VALUE"""),"All amenities")</f>
        <v>All amenities</v>
      </c>
      <c r="K614" s="2">
        <f>IFERROR(__xludf.DUMMYFUNCTION("""COMPUTED_VALUE"""),68000.0)</f>
        <v>68000</v>
      </c>
      <c r="L614" s="2">
        <f>IFERROR(__xludf.DUMMYFUNCTION("""COMPUTED_VALUE"""),56.9605689499999)</f>
        <v>56.96056895</v>
      </c>
      <c r="M614" s="2">
        <f>IFERROR(__xludf.DUMMYFUNCTION("""COMPUTED_VALUE"""),24.0228425)</f>
        <v>24.0228425</v>
      </c>
    </row>
    <row r="615">
      <c r="A615" s="2" t="str">
        <f>IFERROR(__xludf.DUMMYFUNCTION("""COMPUTED_VALUE"""),"For sale")</f>
        <v>For sale</v>
      </c>
      <c r="B615" s="2" t="str">
        <f>IFERROR(__xludf.DUMMYFUNCTION("""COMPUTED_VALUE"""),"Purvciems")</f>
        <v>Purvciems</v>
      </c>
      <c r="C615" s="2" t="str">
        <f>IFERROR(__xludf.DUMMYFUNCTION("""COMPUTED_VALUE"""),"Stirnu 37")</f>
        <v>Stirnu 37</v>
      </c>
      <c r="D615" s="2">
        <f>IFERROR(__xludf.DUMMYFUNCTION("""COMPUTED_VALUE"""),1.0)</f>
        <v>1</v>
      </c>
      <c r="E615" s="2">
        <f>IFERROR(__xludf.DUMMYFUNCTION("""COMPUTED_VALUE"""),36.0)</f>
        <v>36</v>
      </c>
      <c r="F615" s="2">
        <f>IFERROR(__xludf.DUMMYFUNCTION("""COMPUTED_VALUE"""),5.0)</f>
        <v>5</v>
      </c>
      <c r="G615" s="2">
        <f>IFERROR(__xludf.DUMMYFUNCTION("""COMPUTED_VALUE"""),9.0)</f>
        <v>9</v>
      </c>
      <c r="H615" s="2">
        <f>IFERROR(__xludf.DUMMYFUNCTION("""COMPUTED_VALUE"""),602.0)</f>
        <v>602</v>
      </c>
      <c r="I615" s="2" t="str">
        <f>IFERROR(__xludf.DUMMYFUNCTION("""COMPUTED_VALUE"""),"Panel")</f>
        <v>Panel</v>
      </c>
      <c r="J615" s="2" t="str">
        <f>IFERROR(__xludf.DUMMYFUNCTION("""COMPUTED_VALUE"""),"All amenities")</f>
        <v>All amenities</v>
      </c>
      <c r="K615" s="2">
        <f>IFERROR(__xludf.DUMMYFUNCTION("""COMPUTED_VALUE"""),35000.0)</f>
        <v>35000</v>
      </c>
      <c r="L615" s="2">
        <f>IFERROR(__xludf.DUMMYFUNCTION("""COMPUTED_VALUE"""),56.961607)</f>
        <v>56.961607</v>
      </c>
      <c r="M615" s="2">
        <f>IFERROR(__xludf.DUMMYFUNCTION("""COMPUTED_VALUE"""),24.1871335021826)</f>
        <v>24.1871335</v>
      </c>
    </row>
    <row r="616">
      <c r="A616" s="2" t="str">
        <f>IFERROR(__xludf.DUMMYFUNCTION("""COMPUTED_VALUE"""),"For rent")</f>
        <v>For rent</v>
      </c>
      <c r="B616" s="2" t="str">
        <f>IFERROR(__xludf.DUMMYFUNCTION("""COMPUTED_VALUE"""),"centrs")</f>
        <v>centrs</v>
      </c>
      <c r="C616" s="2" t="str">
        <f>IFERROR(__xludf.DUMMYFUNCTION("""COMPUTED_VALUE"""),"Lāčplēša 98")</f>
        <v>Lāčplēša 98</v>
      </c>
      <c r="D616" s="2">
        <f>IFERROR(__xludf.DUMMYFUNCTION("""COMPUTED_VALUE"""),1.0)</f>
        <v>1</v>
      </c>
      <c r="E616" s="2">
        <f>IFERROR(__xludf.DUMMYFUNCTION("""COMPUTED_VALUE"""),20.0)</f>
        <v>20</v>
      </c>
      <c r="F616" s="2">
        <f>IFERROR(__xludf.DUMMYFUNCTION("""COMPUTED_VALUE"""),3.0)</f>
        <v>3</v>
      </c>
      <c r="G616" s="2">
        <f>IFERROR(__xludf.DUMMYFUNCTION("""COMPUTED_VALUE"""),5.0)</f>
        <v>5</v>
      </c>
      <c r="H616" s="2" t="str">
        <f>IFERROR(__xludf.DUMMYFUNCTION("""COMPUTED_VALUE"""),"Renov.")</f>
        <v>Renov.</v>
      </c>
      <c r="I616" s="2" t="str">
        <f>IFERROR(__xludf.DUMMYFUNCTION("""COMPUTED_VALUE"""),"Brick-Panel")</f>
        <v>Brick-Panel</v>
      </c>
      <c r="J616" s="2" t="str">
        <f>IFERROR(__xludf.DUMMYFUNCTION("""COMPUTED_VALUE"""),"All amenities")</f>
        <v>All amenities</v>
      </c>
      <c r="K616" s="2">
        <f>IFERROR(__xludf.DUMMYFUNCTION("""COMPUTED_VALUE"""),235.0)</f>
        <v>235</v>
      </c>
      <c r="L616" s="2">
        <f>IFERROR(__xludf.DUMMYFUNCTION("""COMPUTED_VALUE"""),56.94440235)</f>
        <v>56.94440235</v>
      </c>
      <c r="M616" s="2">
        <f>IFERROR(__xludf.DUMMYFUNCTION("""COMPUTED_VALUE"""),24.1323630232783)</f>
        <v>24.13236302</v>
      </c>
    </row>
    <row r="617">
      <c r="A617" s="2" t="str">
        <f>IFERROR(__xludf.DUMMYFUNCTION("""COMPUTED_VALUE"""),"For rent")</f>
        <v>For rent</v>
      </c>
      <c r="B617" s="2" t="str">
        <f>IFERROR(__xludf.DUMMYFUNCTION("""COMPUTED_VALUE"""),"Pļavnieki")</f>
        <v>Pļavnieki</v>
      </c>
      <c r="C617" s="2" t="str">
        <f>IFERROR(__xludf.DUMMYFUNCTION("""COMPUTED_VALUE"""),"Salnas 21")</f>
        <v>Salnas 21</v>
      </c>
      <c r="D617" s="2">
        <f>IFERROR(__xludf.DUMMYFUNCTION("""COMPUTED_VALUE"""),2.0)</f>
        <v>2</v>
      </c>
      <c r="E617" s="2">
        <f>IFERROR(__xludf.DUMMYFUNCTION("""COMPUTED_VALUE"""),43.0)</f>
        <v>43</v>
      </c>
      <c r="F617" s="2">
        <f>IFERROR(__xludf.DUMMYFUNCTION("""COMPUTED_VALUE"""),1.0)</f>
        <v>1</v>
      </c>
      <c r="G617" s="2">
        <f>IFERROR(__xludf.DUMMYFUNCTION("""COMPUTED_VALUE"""),9.0)</f>
        <v>9</v>
      </c>
      <c r="H617" s="2" t="str">
        <f>IFERROR(__xludf.DUMMYFUNCTION("""COMPUTED_VALUE"""),"Jaun.")</f>
        <v>Jaun.</v>
      </c>
      <c r="I617" s="2" t="str">
        <f>IFERROR(__xludf.DUMMYFUNCTION("""COMPUTED_VALUE"""),"Brick-Panel")</f>
        <v>Brick-Panel</v>
      </c>
      <c r="J617" s="2" t="str">
        <f>IFERROR(__xludf.DUMMYFUNCTION("""COMPUTED_VALUE"""),"All amenities")</f>
        <v>All amenities</v>
      </c>
      <c r="K617" s="2">
        <f>IFERROR(__xludf.DUMMYFUNCTION("""COMPUTED_VALUE"""),360.0)</f>
        <v>360</v>
      </c>
      <c r="L617" s="2">
        <f>IFERROR(__xludf.DUMMYFUNCTION("""COMPUTED_VALUE"""),56.942327)</f>
        <v>56.942327</v>
      </c>
      <c r="M617" s="2">
        <f>IFERROR(__xludf.DUMMYFUNCTION("""COMPUTED_VALUE"""),24.2300928779978)</f>
        <v>24.23009288</v>
      </c>
    </row>
    <row r="618">
      <c r="A618" s="2" t="str">
        <f>IFERROR(__xludf.DUMMYFUNCTION("""COMPUTED_VALUE"""),"For rent")</f>
        <v>For rent</v>
      </c>
      <c r="B618" s="2" t="str">
        <f>IFERROR(__xludf.DUMMYFUNCTION("""COMPUTED_VALUE"""),"centrs")</f>
        <v>centrs</v>
      </c>
      <c r="C618" s="2" t="str">
        <f>IFERROR(__xludf.DUMMYFUNCTION("""COMPUTED_VALUE"""),"Matīsa 109")</f>
        <v>Matīsa 109</v>
      </c>
      <c r="D618" s="2">
        <f>IFERROR(__xludf.DUMMYFUNCTION("""COMPUTED_VALUE"""),3.0)</f>
        <v>3</v>
      </c>
      <c r="E618" s="2">
        <f>IFERROR(__xludf.DUMMYFUNCTION("""COMPUTED_VALUE"""),88.0)</f>
        <v>88</v>
      </c>
      <c r="F618" s="2">
        <f>IFERROR(__xludf.DUMMYFUNCTION("""COMPUTED_VALUE"""),5.0)</f>
        <v>5</v>
      </c>
      <c r="G618" s="2">
        <f>IFERROR(__xludf.DUMMYFUNCTION("""COMPUTED_VALUE"""),5.0)</f>
        <v>5</v>
      </c>
      <c r="H618" s="2" t="str">
        <f>IFERROR(__xludf.DUMMYFUNCTION("""COMPUTED_VALUE"""),"Renov.")</f>
        <v>Renov.</v>
      </c>
      <c r="I618" s="2" t="str">
        <f>IFERROR(__xludf.DUMMYFUNCTION("""COMPUTED_VALUE"""),"Brick")</f>
        <v>Brick</v>
      </c>
      <c r="J618" s="2" t="str">
        <f>IFERROR(__xludf.DUMMYFUNCTION("""COMPUTED_VALUE"""),"All amenities")</f>
        <v>All amenities</v>
      </c>
      <c r="K618" s="2">
        <f>IFERROR(__xludf.DUMMYFUNCTION("""COMPUTED_VALUE"""),400.0)</f>
        <v>400</v>
      </c>
      <c r="L618" s="2">
        <f>IFERROR(__xludf.DUMMYFUNCTION("""COMPUTED_VALUE"""),56.9581178)</f>
        <v>56.9581178</v>
      </c>
      <c r="M618" s="2">
        <f>IFERROR(__xludf.DUMMYFUNCTION("""COMPUTED_VALUE"""),24.1311146)</f>
        <v>24.1311146</v>
      </c>
    </row>
    <row r="619">
      <c r="A619" s="2" t="str">
        <f>IFERROR(__xludf.DUMMYFUNCTION("""COMPUTED_VALUE"""),"For rent")</f>
        <v>For rent</v>
      </c>
      <c r="B619" s="2" t="str">
        <f>IFERROR(__xludf.DUMMYFUNCTION("""COMPUTED_VALUE"""),"Dzegužkalns")</f>
        <v>Dzegužkalns</v>
      </c>
      <c r="C619" s="2" t="str">
        <f>IFERROR(__xludf.DUMMYFUNCTION("""COMPUTED_VALUE"""),"Ķiršu 4")</f>
        <v>Ķiršu 4</v>
      </c>
      <c r="D619" s="2">
        <f>IFERROR(__xludf.DUMMYFUNCTION("""COMPUTED_VALUE"""),2.0)</f>
        <v>2</v>
      </c>
      <c r="E619" s="2">
        <f>IFERROR(__xludf.DUMMYFUNCTION("""COMPUTED_VALUE"""),25.0)</f>
        <v>25</v>
      </c>
      <c r="F619" s="2">
        <f>IFERROR(__xludf.DUMMYFUNCTION("""COMPUTED_VALUE"""),1.0)</f>
        <v>1</v>
      </c>
      <c r="G619" s="2">
        <f>IFERROR(__xludf.DUMMYFUNCTION("""COMPUTED_VALUE"""),2.0)</f>
        <v>2</v>
      </c>
      <c r="H619" s="2" t="str">
        <f>IFERROR(__xludf.DUMMYFUNCTION("""COMPUTED_VALUE"""),"P. kara")</f>
        <v>P. kara</v>
      </c>
      <c r="I619" s="2" t="str">
        <f>IFERROR(__xludf.DUMMYFUNCTION("""COMPUTED_VALUE"""),"Masonry")</f>
        <v>Masonry</v>
      </c>
      <c r="J619" s="2" t="str">
        <f>IFERROR(__xludf.DUMMYFUNCTION("""COMPUTED_VALUE"""),"All amenities")</f>
        <v>All amenities</v>
      </c>
      <c r="K619" s="2">
        <f>IFERROR(__xludf.DUMMYFUNCTION("""COMPUTED_VALUE"""),250.0)</f>
        <v>250</v>
      </c>
      <c r="L619" s="2">
        <f>IFERROR(__xludf.DUMMYFUNCTION("""COMPUTED_VALUE"""),56.9553112499999)</f>
        <v>56.95531125</v>
      </c>
      <c r="M619" s="2">
        <f>IFERROR(__xludf.DUMMYFUNCTION("""COMPUTED_VALUE"""),24.0577105016377)</f>
        <v>24.0577105</v>
      </c>
    </row>
    <row r="620">
      <c r="A620" s="2" t="str">
        <f>IFERROR(__xludf.DUMMYFUNCTION("""COMPUTED_VALUE"""),"For rent")</f>
        <v>For rent</v>
      </c>
      <c r="B620" s="2" t="str">
        <f>IFERROR(__xludf.DUMMYFUNCTION("""COMPUTED_VALUE"""),"Ziepniekkalns")</f>
        <v>Ziepniekkalns</v>
      </c>
      <c r="C620" s="2" t="str">
        <f>IFERROR(__xludf.DUMMYFUNCTION("""COMPUTED_VALUE"""),"Sērenes 4")</f>
        <v>Sērenes 4</v>
      </c>
      <c r="D620" s="2">
        <f>IFERROR(__xludf.DUMMYFUNCTION("""COMPUTED_VALUE"""),3.0)</f>
        <v>3</v>
      </c>
      <c r="E620" s="2">
        <f>IFERROR(__xludf.DUMMYFUNCTION("""COMPUTED_VALUE"""),75.0)</f>
        <v>75</v>
      </c>
      <c r="F620" s="2">
        <f>IFERROR(__xludf.DUMMYFUNCTION("""COMPUTED_VALUE"""),2.0)</f>
        <v>2</v>
      </c>
      <c r="G620" s="2">
        <f>IFERROR(__xludf.DUMMYFUNCTION("""COMPUTED_VALUE"""),16.0)</f>
        <v>16</v>
      </c>
      <c r="H620" s="2">
        <f>IFERROR(__xludf.DUMMYFUNCTION("""COMPUTED_VALUE"""),104.0)</f>
        <v>104</v>
      </c>
      <c r="I620" s="2" t="str">
        <f>IFERROR(__xludf.DUMMYFUNCTION("""COMPUTED_VALUE"""),"Panel")</f>
        <v>Panel</v>
      </c>
      <c r="J620" s="2" t="str">
        <f>IFERROR(__xludf.DUMMYFUNCTION("""COMPUTED_VALUE"""),"All amenities")</f>
        <v>All amenities</v>
      </c>
      <c r="K620" s="2">
        <f>IFERROR(__xludf.DUMMYFUNCTION("""COMPUTED_VALUE"""),350.0)</f>
        <v>350</v>
      </c>
      <c r="L620" s="2">
        <f>IFERROR(__xludf.DUMMYFUNCTION("""COMPUTED_VALUE"""),56.90479835)</f>
        <v>56.90479835</v>
      </c>
      <c r="M620" s="2">
        <f>IFERROR(__xludf.DUMMYFUNCTION("""COMPUTED_VALUE"""),24.0840152657105)</f>
        <v>24.08401527</v>
      </c>
    </row>
    <row r="621">
      <c r="A621" s="2" t="str">
        <f>IFERROR(__xludf.DUMMYFUNCTION("""COMPUTED_VALUE"""),"For sale")</f>
        <v>For sale</v>
      </c>
      <c r="B621" s="2" t="str">
        <f>IFERROR(__xludf.DUMMYFUNCTION("""COMPUTED_VALUE"""),"Pļavnieki")</f>
        <v>Pļavnieki</v>
      </c>
      <c r="C621" s="2" t="str">
        <f>IFERROR(__xludf.DUMMYFUNCTION("""COMPUTED_VALUE"""),"Salnas 24")</f>
        <v>Salnas 24</v>
      </c>
      <c r="D621" s="2">
        <f>IFERROR(__xludf.DUMMYFUNCTION("""COMPUTED_VALUE"""),1.0)</f>
        <v>1</v>
      </c>
      <c r="E621" s="2">
        <f>IFERROR(__xludf.DUMMYFUNCTION("""COMPUTED_VALUE"""),39.0)</f>
        <v>39</v>
      </c>
      <c r="F621" s="2">
        <f>IFERROR(__xludf.DUMMYFUNCTION("""COMPUTED_VALUE"""),2.0)</f>
        <v>2</v>
      </c>
      <c r="G621" s="2">
        <f>IFERROR(__xludf.DUMMYFUNCTION("""COMPUTED_VALUE"""),5.0)</f>
        <v>5</v>
      </c>
      <c r="H621" s="2" t="str">
        <f>IFERROR(__xludf.DUMMYFUNCTION("""COMPUTED_VALUE"""),"M. ģim.")</f>
        <v>M. ģim.</v>
      </c>
      <c r="I621" s="2" t="str">
        <f>IFERROR(__xludf.DUMMYFUNCTION("""COMPUTED_VALUE"""),"Panel")</f>
        <v>Panel</v>
      </c>
      <c r="J621" s="2" t="str">
        <f>IFERROR(__xludf.DUMMYFUNCTION("""COMPUTED_VALUE"""),"All amenities")</f>
        <v>All amenities</v>
      </c>
      <c r="K621" s="2">
        <f>IFERROR(__xludf.DUMMYFUNCTION("""COMPUTED_VALUE"""),31900.0)</f>
        <v>31900</v>
      </c>
      <c r="L621" s="2">
        <f>IFERROR(__xludf.DUMMYFUNCTION("""COMPUTED_VALUE"""),56.94167865)</f>
        <v>56.94167865</v>
      </c>
      <c r="M621" s="2">
        <f>IFERROR(__xludf.DUMMYFUNCTION("""COMPUTED_VALUE"""),24.22621375)</f>
        <v>24.22621375</v>
      </c>
    </row>
    <row r="622">
      <c r="A622" s="2" t="str">
        <f>IFERROR(__xludf.DUMMYFUNCTION("""COMPUTED_VALUE"""),"For rent")</f>
        <v>For rent</v>
      </c>
      <c r="B622" s="2" t="str">
        <f>IFERROR(__xludf.DUMMYFUNCTION("""COMPUTED_VALUE"""),"centrs")</f>
        <v>centrs</v>
      </c>
      <c r="C622" s="2" t="str">
        <f>IFERROR(__xludf.DUMMYFUNCTION("""COMPUTED_VALUE"""),"Zaubes 9")</f>
        <v>Zaubes 9</v>
      </c>
      <c r="D622" s="2">
        <f>IFERROR(__xludf.DUMMYFUNCTION("""COMPUTED_VALUE"""),3.0)</f>
        <v>3</v>
      </c>
      <c r="E622" s="2">
        <f>IFERROR(__xludf.DUMMYFUNCTION("""COMPUTED_VALUE"""),95.0)</f>
        <v>95</v>
      </c>
      <c r="F622" s="2">
        <f>IFERROR(__xludf.DUMMYFUNCTION("""COMPUTED_VALUE"""),3.0)</f>
        <v>3</v>
      </c>
      <c r="G622" s="2">
        <f>IFERROR(__xludf.DUMMYFUNCTION("""COMPUTED_VALUE"""),6.0)</f>
        <v>6</v>
      </c>
      <c r="H622" s="2" t="str">
        <f>IFERROR(__xludf.DUMMYFUNCTION("""COMPUTED_VALUE"""),"Jaun.")</f>
        <v>Jaun.</v>
      </c>
      <c r="I622" s="2" t="str">
        <f>IFERROR(__xludf.DUMMYFUNCTION("""COMPUTED_VALUE"""),"Masonry")</f>
        <v>Masonry</v>
      </c>
      <c r="J622" s="2" t="str">
        <f>IFERROR(__xludf.DUMMYFUNCTION("""COMPUTED_VALUE"""),"All amenities")</f>
        <v>All amenities</v>
      </c>
      <c r="K622" s="2">
        <f>IFERROR(__xludf.DUMMYFUNCTION("""COMPUTED_VALUE"""),1050.0)</f>
        <v>1050</v>
      </c>
      <c r="L622" s="2">
        <f>IFERROR(__xludf.DUMMYFUNCTION("""COMPUTED_VALUE"""),56.9634565)</f>
        <v>56.9634565</v>
      </c>
      <c r="M622" s="2">
        <f>IFERROR(__xludf.DUMMYFUNCTION("""COMPUTED_VALUE"""),24.121914876333)</f>
        <v>24.12191488</v>
      </c>
    </row>
    <row r="623">
      <c r="A623" s="2" t="str">
        <f>IFERROR(__xludf.DUMMYFUNCTION("""COMPUTED_VALUE"""),"For rent")</f>
        <v>For rent</v>
      </c>
      <c r="B623" s="2" t="str">
        <f>IFERROR(__xludf.DUMMYFUNCTION("""COMPUTED_VALUE"""),"Purvciems")</f>
        <v>Purvciems</v>
      </c>
      <c r="C623" s="2" t="str">
        <f>IFERROR(__xludf.DUMMYFUNCTION("""COMPUTED_VALUE"""),"Vairoga 32")</f>
        <v>Vairoga 32</v>
      </c>
      <c r="D623" s="2">
        <f>IFERROR(__xludf.DUMMYFUNCTION("""COMPUTED_VALUE"""),3.0)</f>
        <v>3</v>
      </c>
      <c r="E623" s="2">
        <f>IFERROR(__xludf.DUMMYFUNCTION("""COMPUTED_VALUE"""),52.0)</f>
        <v>52</v>
      </c>
      <c r="F623" s="2">
        <f>IFERROR(__xludf.DUMMYFUNCTION("""COMPUTED_VALUE"""),3.0)</f>
        <v>3</v>
      </c>
      <c r="G623" s="2">
        <f>IFERROR(__xludf.DUMMYFUNCTION("""COMPUTED_VALUE"""),3.0)</f>
        <v>3</v>
      </c>
      <c r="H623" s="2" t="str">
        <f>IFERROR(__xludf.DUMMYFUNCTION("""COMPUTED_VALUE"""),"Jaun.")</f>
        <v>Jaun.</v>
      </c>
      <c r="I623" s="2" t="str">
        <f>IFERROR(__xludf.DUMMYFUNCTION("""COMPUTED_VALUE"""),"Masonry")</f>
        <v>Masonry</v>
      </c>
      <c r="J623" s="2" t="str">
        <f>IFERROR(__xludf.DUMMYFUNCTION("""COMPUTED_VALUE"""),"All amenities")</f>
        <v>All amenities</v>
      </c>
      <c r="K623" s="2">
        <f>IFERROR(__xludf.DUMMYFUNCTION("""COMPUTED_VALUE"""),520.0)</f>
        <v>520</v>
      </c>
      <c r="L623" s="2">
        <f>IFERROR(__xludf.DUMMYFUNCTION("""COMPUTED_VALUE"""),56.9690716)</f>
        <v>56.9690716</v>
      </c>
      <c r="M623" s="2">
        <f>IFERROR(__xludf.DUMMYFUNCTION("""COMPUTED_VALUE"""),24.1716498860135)</f>
        <v>24.17164989</v>
      </c>
    </row>
    <row r="624">
      <c r="A624" s="2" t="str">
        <f>IFERROR(__xludf.DUMMYFUNCTION("""COMPUTED_VALUE"""),"For sale")</f>
        <v>For sale</v>
      </c>
      <c r="B624" s="2" t="str">
        <f>IFERROR(__xludf.DUMMYFUNCTION("""COMPUTED_VALUE"""),"Ķengarags")</f>
        <v>Ķengarags</v>
      </c>
      <c r="C624" s="2" t="str">
        <f>IFERROR(__xludf.DUMMYFUNCTION("""COMPUTED_VALUE"""),"Maskavas 268")</f>
        <v>Maskavas 268</v>
      </c>
      <c r="D624" s="2">
        <f>IFERROR(__xludf.DUMMYFUNCTION("""COMPUTED_VALUE"""),2.0)</f>
        <v>2</v>
      </c>
      <c r="E624" s="2">
        <f>IFERROR(__xludf.DUMMYFUNCTION("""COMPUTED_VALUE"""),48.0)</f>
        <v>48</v>
      </c>
      <c r="F624" s="2">
        <f>IFERROR(__xludf.DUMMYFUNCTION("""COMPUTED_VALUE"""),3.0)</f>
        <v>3</v>
      </c>
      <c r="G624" s="2">
        <f>IFERROR(__xludf.DUMMYFUNCTION("""COMPUTED_VALUE"""),5.0)</f>
        <v>5</v>
      </c>
      <c r="H624" s="2" t="str">
        <f>IFERROR(__xludf.DUMMYFUNCTION("""COMPUTED_VALUE"""),"LT proj.")</f>
        <v>LT proj.</v>
      </c>
      <c r="I624" s="2" t="str">
        <f>IFERROR(__xludf.DUMMYFUNCTION("""COMPUTED_VALUE"""),"Panel")</f>
        <v>Panel</v>
      </c>
      <c r="J624" s="2" t="str">
        <f>IFERROR(__xludf.DUMMYFUNCTION("""COMPUTED_VALUE"""),"All amenities")</f>
        <v>All amenities</v>
      </c>
      <c r="K624" s="2">
        <f>IFERROR(__xludf.DUMMYFUNCTION("""COMPUTED_VALUE"""),43500.0)</f>
        <v>43500</v>
      </c>
      <c r="L624" s="2">
        <f>IFERROR(__xludf.DUMMYFUNCTION("""COMPUTED_VALUE"""),56.8597884)</f>
        <v>56.8597884</v>
      </c>
      <c r="M624" s="2">
        <f>IFERROR(__xludf.DUMMYFUNCTION("""COMPUTED_VALUE"""),24.3083417)</f>
        <v>24.3083417</v>
      </c>
    </row>
    <row r="625">
      <c r="A625" s="2" t="str">
        <f>IFERROR(__xludf.DUMMYFUNCTION("""COMPUTED_VALUE"""),"For sale")</f>
        <v>For sale</v>
      </c>
      <c r="B625" s="2" t="str">
        <f>IFERROR(__xludf.DUMMYFUNCTION("""COMPUTED_VALUE"""),"Vecmīlgrāvis")</f>
        <v>Vecmīlgrāvis</v>
      </c>
      <c r="C625" s="2" t="str">
        <f>IFERROR(__xludf.DUMMYFUNCTION("""COMPUTED_VALUE"""),"Staru 21")</f>
        <v>Staru 21</v>
      </c>
      <c r="D625" s="2">
        <f>IFERROR(__xludf.DUMMYFUNCTION("""COMPUTED_VALUE"""),3.0)</f>
        <v>3</v>
      </c>
      <c r="E625" s="2">
        <f>IFERROR(__xludf.DUMMYFUNCTION("""COMPUTED_VALUE"""),68.0)</f>
        <v>68</v>
      </c>
      <c r="F625" s="2">
        <f>IFERROR(__xludf.DUMMYFUNCTION("""COMPUTED_VALUE"""),4.0)</f>
        <v>4</v>
      </c>
      <c r="G625" s="2">
        <f>IFERROR(__xludf.DUMMYFUNCTION("""COMPUTED_VALUE"""),5.0)</f>
        <v>5</v>
      </c>
      <c r="H625" s="2" t="str">
        <f>IFERROR(__xludf.DUMMYFUNCTION("""COMPUTED_VALUE"""),"LT proj.")</f>
        <v>LT proj.</v>
      </c>
      <c r="I625" s="2" t="str">
        <f>IFERROR(__xludf.DUMMYFUNCTION("""COMPUTED_VALUE"""),"Panel")</f>
        <v>Panel</v>
      </c>
      <c r="J625" s="2" t="str">
        <f>IFERROR(__xludf.DUMMYFUNCTION("""COMPUTED_VALUE"""),"All amenities")</f>
        <v>All amenities</v>
      </c>
      <c r="K625" s="2">
        <f>IFERROR(__xludf.DUMMYFUNCTION("""COMPUTED_VALUE"""),43900.0)</f>
        <v>43900</v>
      </c>
      <c r="L625" s="2">
        <f>IFERROR(__xludf.DUMMYFUNCTION("""COMPUTED_VALUE"""),57.0336091)</f>
        <v>57.0336091</v>
      </c>
      <c r="M625" s="2">
        <f>IFERROR(__xludf.DUMMYFUNCTION("""COMPUTED_VALUE"""),24.099216029556)</f>
        <v>24.09921603</v>
      </c>
    </row>
    <row r="626">
      <c r="A626" s="2" t="str">
        <f>IFERROR(__xludf.DUMMYFUNCTION("""COMPUTED_VALUE"""),"For sale")</f>
        <v>For sale</v>
      </c>
      <c r="B626" s="2" t="str">
        <f>IFERROR(__xludf.DUMMYFUNCTION("""COMPUTED_VALUE"""),"Pļavnieki")</f>
        <v>Pļavnieki</v>
      </c>
      <c r="C626" s="2" t="str">
        <f>IFERROR(__xludf.DUMMYFUNCTION("""COMPUTED_VALUE"""),"Zemes 9")</f>
        <v>Zemes 9</v>
      </c>
      <c r="D626" s="2">
        <f>IFERROR(__xludf.DUMMYFUNCTION("""COMPUTED_VALUE"""),1.0)</f>
        <v>1</v>
      </c>
      <c r="E626" s="2">
        <f>IFERROR(__xludf.DUMMYFUNCTION("""COMPUTED_VALUE"""),38.5)</f>
        <v>38.5</v>
      </c>
      <c r="F626" s="2">
        <f>IFERROR(__xludf.DUMMYFUNCTION("""COMPUTED_VALUE"""),2.0)</f>
        <v>2</v>
      </c>
      <c r="G626" s="2">
        <f>IFERROR(__xludf.DUMMYFUNCTION("""COMPUTED_VALUE"""),9.0)</f>
        <v>9</v>
      </c>
      <c r="H626" s="2" t="str">
        <f>IFERROR(__xludf.DUMMYFUNCTION("""COMPUTED_VALUE"""),"M. ģim.")</f>
        <v>M. ģim.</v>
      </c>
      <c r="I626" s="2" t="str">
        <f>IFERROR(__xludf.DUMMYFUNCTION("""COMPUTED_VALUE"""),"Panel")</f>
        <v>Panel</v>
      </c>
      <c r="J626" s="2" t="str">
        <f>IFERROR(__xludf.DUMMYFUNCTION("""COMPUTED_VALUE"""),"All amenities")</f>
        <v>All amenities</v>
      </c>
      <c r="K626" s="2">
        <f>IFERROR(__xludf.DUMMYFUNCTION("""COMPUTED_VALUE"""),31000.0)</f>
        <v>31000</v>
      </c>
      <c r="L626" s="2">
        <f>IFERROR(__xludf.DUMMYFUNCTION("""COMPUTED_VALUE"""),56.9422955)</f>
        <v>56.9422955</v>
      </c>
      <c r="M626" s="2">
        <f>IFERROR(__xludf.DUMMYFUNCTION("""COMPUTED_VALUE"""),24.1998859564754)</f>
        <v>24.19988596</v>
      </c>
    </row>
    <row r="627">
      <c r="A627" s="2" t="str">
        <f>IFERROR(__xludf.DUMMYFUNCTION("""COMPUTED_VALUE"""),"For rent")</f>
        <v>For rent</v>
      </c>
      <c r="B627" s="2" t="str">
        <f>IFERROR(__xludf.DUMMYFUNCTION("""COMPUTED_VALUE"""),"Vecmīlgrāvis")</f>
        <v>Vecmīlgrāvis</v>
      </c>
      <c r="C627" s="2" t="str">
        <f>IFERROR(__xludf.DUMMYFUNCTION("""COMPUTED_VALUE"""),"Kāvu 4")</f>
        <v>Kāvu 4</v>
      </c>
      <c r="D627" s="2">
        <f>IFERROR(__xludf.DUMMYFUNCTION("""COMPUTED_VALUE"""),1.0)</f>
        <v>1</v>
      </c>
      <c r="E627" s="2">
        <f>IFERROR(__xludf.DUMMYFUNCTION("""COMPUTED_VALUE"""),30.0)</f>
        <v>30</v>
      </c>
      <c r="F627" s="2">
        <f>IFERROR(__xludf.DUMMYFUNCTION("""COMPUTED_VALUE"""),5.0)</f>
        <v>5</v>
      </c>
      <c r="G627" s="2">
        <f>IFERROR(__xludf.DUMMYFUNCTION("""COMPUTED_VALUE"""),5.0)</f>
        <v>5</v>
      </c>
      <c r="H627" s="2" t="str">
        <f>IFERROR(__xludf.DUMMYFUNCTION("""COMPUTED_VALUE"""),"LT proj.")</f>
        <v>LT proj.</v>
      </c>
      <c r="I627" s="2" t="str">
        <f>IFERROR(__xludf.DUMMYFUNCTION("""COMPUTED_VALUE"""),"Panel")</f>
        <v>Panel</v>
      </c>
      <c r="J627" s="2" t="str">
        <f>IFERROR(__xludf.DUMMYFUNCTION("""COMPUTED_VALUE"""),"All amenities")</f>
        <v>All amenities</v>
      </c>
      <c r="K627" s="2">
        <f>IFERROR(__xludf.DUMMYFUNCTION("""COMPUTED_VALUE"""),200.0)</f>
        <v>200</v>
      </c>
      <c r="L627" s="2">
        <f>IFERROR(__xludf.DUMMYFUNCTION("""COMPUTED_VALUE"""),57.0331188)</f>
        <v>57.0331188</v>
      </c>
      <c r="M627" s="2">
        <f>IFERROR(__xludf.DUMMYFUNCTION("""COMPUTED_VALUE"""),24.1004593277761)</f>
        <v>24.10045933</v>
      </c>
    </row>
    <row r="628">
      <c r="A628" s="2" t="str">
        <f>IFERROR(__xludf.DUMMYFUNCTION("""COMPUTED_VALUE"""),"For sale")</f>
        <v>For sale</v>
      </c>
      <c r="B628" s="2" t="str">
        <f>IFERROR(__xludf.DUMMYFUNCTION("""COMPUTED_VALUE"""),"Purvciems")</f>
        <v>Purvciems</v>
      </c>
      <c r="C628" s="2" t="str">
        <f>IFERROR(__xludf.DUMMYFUNCTION("""COMPUTED_VALUE"""),"Ūnijas 64")</f>
        <v>Ūnijas 64</v>
      </c>
      <c r="D628" s="2">
        <f>IFERROR(__xludf.DUMMYFUNCTION("""COMPUTED_VALUE"""),3.0)</f>
        <v>3</v>
      </c>
      <c r="E628" s="2">
        <f>IFERROR(__xludf.DUMMYFUNCTION("""COMPUTED_VALUE"""),61.0)</f>
        <v>61</v>
      </c>
      <c r="F628" s="2">
        <f>IFERROR(__xludf.DUMMYFUNCTION("""COMPUTED_VALUE"""),4.0)</f>
        <v>4</v>
      </c>
      <c r="G628" s="2">
        <f>IFERROR(__xludf.DUMMYFUNCTION("""COMPUTED_VALUE"""),5.0)</f>
        <v>5</v>
      </c>
      <c r="H628" s="2" t="str">
        <f>IFERROR(__xludf.DUMMYFUNCTION("""COMPUTED_VALUE"""),"LT proj.")</f>
        <v>LT proj.</v>
      </c>
      <c r="I628" s="2" t="str">
        <f>IFERROR(__xludf.DUMMYFUNCTION("""COMPUTED_VALUE"""),"Panel")</f>
        <v>Panel</v>
      </c>
      <c r="J628" s="2" t="str">
        <f>IFERROR(__xludf.DUMMYFUNCTION("""COMPUTED_VALUE"""),"All amenities")</f>
        <v>All amenities</v>
      </c>
      <c r="K628" s="2">
        <f>IFERROR(__xludf.DUMMYFUNCTION("""COMPUTED_VALUE"""),67500.0)</f>
        <v>67500</v>
      </c>
      <c r="L628" s="2">
        <f>IFERROR(__xludf.DUMMYFUNCTION("""COMPUTED_VALUE"""),56.9624113499999)</f>
        <v>56.96241135</v>
      </c>
      <c r="M628" s="2">
        <f>IFERROR(__xludf.DUMMYFUNCTION("""COMPUTED_VALUE"""),24.1796926217775)</f>
        <v>24.17969262</v>
      </c>
    </row>
    <row r="629">
      <c r="A629" s="2" t="str">
        <f>IFERROR(__xludf.DUMMYFUNCTION("""COMPUTED_VALUE"""),"For sale")</f>
        <v>For sale</v>
      </c>
      <c r="B629" s="2" t="str">
        <f>IFERROR(__xludf.DUMMYFUNCTION("""COMPUTED_VALUE"""),"Imanta")</f>
        <v>Imanta</v>
      </c>
      <c r="C629" s="2" t="str">
        <f>IFERROR(__xludf.DUMMYFUNCTION("""COMPUTED_VALUE"""),"Kurzemes pr. 86")</f>
        <v>Kurzemes pr. 86</v>
      </c>
      <c r="D629" s="2">
        <f>IFERROR(__xludf.DUMMYFUNCTION("""COMPUTED_VALUE"""),3.0)</f>
        <v>3</v>
      </c>
      <c r="E629" s="2">
        <f>IFERROR(__xludf.DUMMYFUNCTION("""COMPUTED_VALUE"""),68.0)</f>
        <v>68</v>
      </c>
      <c r="F629" s="2">
        <f>IFERROR(__xludf.DUMMYFUNCTION("""COMPUTED_VALUE"""),1.0)</f>
        <v>1</v>
      </c>
      <c r="G629" s="2">
        <f>IFERROR(__xludf.DUMMYFUNCTION("""COMPUTED_VALUE"""),9.0)</f>
        <v>9</v>
      </c>
      <c r="H629" s="2">
        <f>IFERROR(__xludf.DUMMYFUNCTION("""COMPUTED_VALUE"""),602.0)</f>
        <v>602</v>
      </c>
      <c r="I629" s="2" t="str">
        <f>IFERROR(__xludf.DUMMYFUNCTION("""COMPUTED_VALUE"""),"Panel")</f>
        <v>Panel</v>
      </c>
      <c r="J629" s="2" t="str">
        <f>IFERROR(__xludf.DUMMYFUNCTION("""COMPUTED_VALUE"""),"All amenities")</f>
        <v>All amenities</v>
      </c>
      <c r="K629" s="2">
        <f>IFERROR(__xludf.DUMMYFUNCTION("""COMPUTED_VALUE"""),62000.0)</f>
        <v>62000</v>
      </c>
      <c r="L629" s="2" t="str">
        <f>IFERROR(__xludf.DUMMYFUNCTION("""COMPUTED_VALUE"""),"NaN")</f>
        <v>NaN</v>
      </c>
      <c r="M629" s="2" t="str">
        <f>IFERROR(__xludf.DUMMYFUNCTION("""COMPUTED_VALUE"""),"NaN")</f>
        <v>NaN</v>
      </c>
    </row>
    <row r="630">
      <c r="A630" s="2" t="str">
        <f>IFERROR(__xludf.DUMMYFUNCTION("""COMPUTED_VALUE"""),"For sale")</f>
        <v>For sale</v>
      </c>
      <c r="B630" s="2" t="str">
        <f>IFERROR(__xludf.DUMMYFUNCTION("""COMPUTED_VALUE"""),"Sarkandaugava")</f>
        <v>Sarkandaugava</v>
      </c>
      <c r="C630" s="2" t="str">
        <f>IFERROR(__xludf.DUMMYFUNCTION("""COMPUTED_VALUE"""),"Patversmes 30/2")</f>
        <v>Patversmes 30/2</v>
      </c>
      <c r="D630" s="2">
        <f>IFERROR(__xludf.DUMMYFUNCTION("""COMPUTED_VALUE"""),2.0)</f>
        <v>2</v>
      </c>
      <c r="E630" s="2">
        <f>IFERROR(__xludf.DUMMYFUNCTION("""COMPUTED_VALUE"""),72.0)</f>
        <v>72</v>
      </c>
      <c r="F630" s="2">
        <f>IFERROR(__xludf.DUMMYFUNCTION("""COMPUTED_VALUE"""),3.0)</f>
        <v>3</v>
      </c>
      <c r="G630" s="2">
        <f>IFERROR(__xludf.DUMMYFUNCTION("""COMPUTED_VALUE"""),4.0)</f>
        <v>4</v>
      </c>
      <c r="H630" s="2" t="str">
        <f>IFERROR(__xludf.DUMMYFUNCTION("""COMPUTED_VALUE"""),"Staļina")</f>
        <v>Staļina</v>
      </c>
      <c r="I630" s="2" t="str">
        <f>IFERROR(__xludf.DUMMYFUNCTION("""COMPUTED_VALUE"""),"Brick")</f>
        <v>Brick</v>
      </c>
      <c r="J630" s="2" t="str">
        <f>IFERROR(__xludf.DUMMYFUNCTION("""COMPUTED_VALUE"""),"All amenities")</f>
        <v>All amenities</v>
      </c>
      <c r="K630" s="2">
        <f>IFERROR(__xludf.DUMMYFUNCTION("""COMPUTED_VALUE"""),68500.0)</f>
        <v>68500</v>
      </c>
      <c r="L630" s="2">
        <f>IFERROR(__xludf.DUMMYFUNCTION("""COMPUTED_VALUE"""),56.990941)</f>
        <v>56.990941</v>
      </c>
      <c r="M630" s="2">
        <f>IFERROR(__xludf.DUMMYFUNCTION("""COMPUTED_VALUE"""),24.1329725)</f>
        <v>24.1329725</v>
      </c>
    </row>
    <row r="631">
      <c r="A631" s="2" t="str">
        <f>IFERROR(__xludf.DUMMYFUNCTION("""COMPUTED_VALUE"""),"For rent")</f>
        <v>For rent</v>
      </c>
      <c r="B631" s="2" t="str">
        <f>IFERROR(__xludf.DUMMYFUNCTION("""COMPUTED_VALUE"""),"centrs")</f>
        <v>centrs</v>
      </c>
      <c r="C631" s="2" t="str">
        <f>IFERROR(__xludf.DUMMYFUNCTION("""COMPUTED_VALUE"""),"Brīvības 72")</f>
        <v>Brīvības 72</v>
      </c>
      <c r="D631" s="2">
        <f>IFERROR(__xludf.DUMMYFUNCTION("""COMPUTED_VALUE"""),2.0)</f>
        <v>2</v>
      </c>
      <c r="E631" s="2">
        <f>IFERROR(__xludf.DUMMYFUNCTION("""COMPUTED_VALUE"""),85.0)</f>
        <v>85</v>
      </c>
      <c r="F631" s="2">
        <f>IFERROR(__xludf.DUMMYFUNCTION("""COMPUTED_VALUE"""),3.0)</f>
        <v>3</v>
      </c>
      <c r="G631" s="2">
        <f>IFERROR(__xludf.DUMMYFUNCTION("""COMPUTED_VALUE"""),6.0)</f>
        <v>6</v>
      </c>
      <c r="H631" s="2" t="str">
        <f>IFERROR(__xludf.DUMMYFUNCTION("""COMPUTED_VALUE"""),"P. kara")</f>
        <v>P. kara</v>
      </c>
      <c r="I631" s="2" t="str">
        <f>IFERROR(__xludf.DUMMYFUNCTION("""COMPUTED_VALUE"""),"Masonry")</f>
        <v>Masonry</v>
      </c>
      <c r="J631" s="2" t="str">
        <f>IFERROR(__xludf.DUMMYFUNCTION("""COMPUTED_VALUE"""),"All amenities")</f>
        <v>All amenities</v>
      </c>
      <c r="K631" s="2">
        <f>IFERROR(__xludf.DUMMYFUNCTION("""COMPUTED_VALUE"""),500.0)</f>
        <v>500</v>
      </c>
      <c r="L631" s="2">
        <f>IFERROR(__xludf.DUMMYFUNCTION("""COMPUTED_VALUE"""),56.957785)</f>
        <v>56.957785</v>
      </c>
      <c r="M631" s="2">
        <f>IFERROR(__xludf.DUMMYFUNCTION("""COMPUTED_VALUE"""),24.1241849)</f>
        <v>24.1241849</v>
      </c>
    </row>
    <row r="632">
      <c r="A632" s="2" t="str">
        <f>IFERROR(__xludf.DUMMYFUNCTION("""COMPUTED_VALUE"""),"For sale")</f>
        <v>For sale</v>
      </c>
      <c r="B632" s="2" t="str">
        <f>IFERROR(__xludf.DUMMYFUNCTION("""COMPUTED_VALUE"""),"Pļavnieki")</f>
        <v>Pļavnieki</v>
      </c>
      <c r="C632" s="2" t="str">
        <f>IFERROR(__xludf.DUMMYFUNCTION("""COMPUTED_VALUE"""),"Jasmuižas 10")</f>
        <v>Jasmuižas 10</v>
      </c>
      <c r="D632" s="2">
        <f>IFERROR(__xludf.DUMMYFUNCTION("""COMPUTED_VALUE"""),2.0)</f>
        <v>2</v>
      </c>
      <c r="E632" s="2">
        <f>IFERROR(__xludf.DUMMYFUNCTION("""COMPUTED_VALUE"""),50.0)</f>
        <v>50</v>
      </c>
      <c r="F632" s="2">
        <f>IFERROR(__xludf.DUMMYFUNCTION("""COMPUTED_VALUE"""),4.0)</f>
        <v>4</v>
      </c>
      <c r="G632" s="2">
        <f>IFERROR(__xludf.DUMMYFUNCTION("""COMPUTED_VALUE"""),9.0)</f>
        <v>9</v>
      </c>
      <c r="H632" s="2">
        <f>IFERROR(__xludf.DUMMYFUNCTION("""COMPUTED_VALUE"""),602.0)</f>
        <v>602</v>
      </c>
      <c r="I632" s="2" t="str">
        <f>IFERROR(__xludf.DUMMYFUNCTION("""COMPUTED_VALUE"""),"Panel")</f>
        <v>Panel</v>
      </c>
      <c r="J632" s="2" t="str">
        <f>IFERROR(__xludf.DUMMYFUNCTION("""COMPUTED_VALUE"""),"All amenities")</f>
        <v>All amenities</v>
      </c>
      <c r="K632" s="2">
        <f>IFERROR(__xludf.DUMMYFUNCTION("""COMPUTED_VALUE"""),60000.0)</f>
        <v>60000</v>
      </c>
      <c r="L632" s="2">
        <f>IFERROR(__xludf.DUMMYFUNCTION("""COMPUTED_VALUE"""),56.9362783)</f>
        <v>56.9362783</v>
      </c>
      <c r="M632" s="2">
        <f>IFERROR(__xludf.DUMMYFUNCTION("""COMPUTED_VALUE"""),24.2110749)</f>
        <v>24.2110749</v>
      </c>
    </row>
    <row r="633">
      <c r="A633" s="2" t="str">
        <f>IFERROR(__xludf.DUMMYFUNCTION("""COMPUTED_VALUE"""),"For rent")</f>
        <v>For rent</v>
      </c>
      <c r="B633" s="2" t="str">
        <f>IFERROR(__xludf.DUMMYFUNCTION("""COMPUTED_VALUE"""),"centrs")</f>
        <v>centrs</v>
      </c>
      <c r="C633" s="2" t="str">
        <f>IFERROR(__xludf.DUMMYFUNCTION("""COMPUTED_VALUE"""),"Strēlnieku 7")</f>
        <v>Strēlnieku 7</v>
      </c>
      <c r="D633" s="2">
        <f>IFERROR(__xludf.DUMMYFUNCTION("""COMPUTED_VALUE"""),2.0)</f>
        <v>2</v>
      </c>
      <c r="E633" s="2">
        <f>IFERROR(__xludf.DUMMYFUNCTION("""COMPUTED_VALUE"""),57.0)</f>
        <v>57</v>
      </c>
      <c r="F633" s="2">
        <f>IFERROR(__xludf.DUMMYFUNCTION("""COMPUTED_VALUE"""),5.0)</f>
        <v>5</v>
      </c>
      <c r="G633" s="2">
        <f>IFERROR(__xludf.DUMMYFUNCTION("""COMPUTED_VALUE"""),7.0)</f>
        <v>7</v>
      </c>
      <c r="H633" s="2" t="str">
        <f>IFERROR(__xludf.DUMMYFUNCTION("""COMPUTED_VALUE"""),"Jaun.")</f>
        <v>Jaun.</v>
      </c>
      <c r="I633" s="2" t="str">
        <f>IFERROR(__xludf.DUMMYFUNCTION("""COMPUTED_VALUE"""),"Panel-Brick")</f>
        <v>Panel-Brick</v>
      </c>
      <c r="J633" s="2" t="str">
        <f>IFERROR(__xludf.DUMMYFUNCTION("""COMPUTED_VALUE"""),"All amenities")</f>
        <v>All amenities</v>
      </c>
      <c r="K633" s="2">
        <f>IFERROR(__xludf.DUMMYFUNCTION("""COMPUTED_VALUE"""),750.0)</f>
        <v>750</v>
      </c>
      <c r="L633" s="2">
        <f>IFERROR(__xludf.DUMMYFUNCTION("""COMPUTED_VALUE"""),56.9596279)</f>
        <v>56.9596279</v>
      </c>
      <c r="M633" s="2">
        <f>IFERROR(__xludf.DUMMYFUNCTION("""COMPUTED_VALUE"""),24.1079909)</f>
        <v>24.1079909</v>
      </c>
    </row>
    <row r="634">
      <c r="A634" s="2" t="str">
        <f>IFERROR(__xludf.DUMMYFUNCTION("""COMPUTED_VALUE"""),"For sale")</f>
        <v>For sale</v>
      </c>
      <c r="B634" s="2" t="str">
        <f>IFERROR(__xludf.DUMMYFUNCTION("""COMPUTED_VALUE"""),"Bolderāja")</f>
        <v>Bolderāja</v>
      </c>
      <c r="C634" s="2" t="str">
        <f>IFERROR(__xludf.DUMMYFUNCTION("""COMPUTED_VALUE"""),"Stagaru 4")</f>
        <v>Stagaru 4</v>
      </c>
      <c r="D634" s="2">
        <f>IFERROR(__xludf.DUMMYFUNCTION("""COMPUTED_VALUE"""),2.0)</f>
        <v>2</v>
      </c>
      <c r="E634" s="2">
        <f>IFERROR(__xludf.DUMMYFUNCTION("""COMPUTED_VALUE"""),51.0)</f>
        <v>51</v>
      </c>
      <c r="F634" s="2">
        <f>IFERROR(__xludf.DUMMYFUNCTION("""COMPUTED_VALUE"""),3.0)</f>
        <v>3</v>
      </c>
      <c r="G634" s="2">
        <f>IFERROR(__xludf.DUMMYFUNCTION("""COMPUTED_VALUE"""),5.0)</f>
        <v>5</v>
      </c>
      <c r="H634" s="2">
        <f>IFERROR(__xludf.DUMMYFUNCTION("""COMPUTED_VALUE"""),103.0)</f>
        <v>103</v>
      </c>
      <c r="I634" s="2" t="str">
        <f>IFERROR(__xludf.DUMMYFUNCTION("""COMPUTED_VALUE"""),"Panel")</f>
        <v>Panel</v>
      </c>
      <c r="J634" s="2" t="str">
        <f>IFERROR(__xludf.DUMMYFUNCTION("""COMPUTED_VALUE"""),"All amenities")</f>
        <v>All amenities</v>
      </c>
      <c r="K634" s="2">
        <f>IFERROR(__xludf.DUMMYFUNCTION("""COMPUTED_VALUE"""),34000.0)</f>
        <v>34000</v>
      </c>
      <c r="L634" s="2">
        <f>IFERROR(__xludf.DUMMYFUNCTION("""COMPUTED_VALUE"""),57.02965155)</f>
        <v>57.02965155</v>
      </c>
      <c r="M634" s="2">
        <f>IFERROR(__xludf.DUMMYFUNCTION("""COMPUTED_VALUE"""),24.0359751945236)</f>
        <v>24.03597519</v>
      </c>
    </row>
    <row r="635">
      <c r="A635" s="2" t="str">
        <f>IFERROR(__xludf.DUMMYFUNCTION("""COMPUTED_VALUE"""),"For rent")</f>
        <v>For rent</v>
      </c>
      <c r="B635" s="2" t="str">
        <f>IFERROR(__xludf.DUMMYFUNCTION("""COMPUTED_VALUE"""),"centrs")</f>
        <v>centrs</v>
      </c>
      <c r="C635" s="2" t="str">
        <f>IFERROR(__xludf.DUMMYFUNCTION("""COMPUTED_VALUE"""),"Pulkv. Brieža 3")</f>
        <v>Pulkv. Brieža 3</v>
      </c>
      <c r="D635" s="2">
        <f>IFERROR(__xludf.DUMMYFUNCTION("""COMPUTED_VALUE"""),2.0)</f>
        <v>2</v>
      </c>
      <c r="E635" s="2">
        <f>IFERROR(__xludf.DUMMYFUNCTION("""COMPUTED_VALUE"""),49.0)</f>
        <v>49</v>
      </c>
      <c r="F635" s="2">
        <f>IFERROR(__xludf.DUMMYFUNCTION("""COMPUTED_VALUE"""),3.0)</f>
        <v>3</v>
      </c>
      <c r="G635" s="2">
        <f>IFERROR(__xludf.DUMMYFUNCTION("""COMPUTED_VALUE"""),5.0)</f>
        <v>5</v>
      </c>
      <c r="H635" s="2" t="str">
        <f>IFERROR(__xludf.DUMMYFUNCTION("""COMPUTED_VALUE"""),"P. kara")</f>
        <v>P. kara</v>
      </c>
      <c r="I635" s="2" t="str">
        <f>IFERROR(__xludf.DUMMYFUNCTION("""COMPUTED_VALUE"""),"Masonry")</f>
        <v>Masonry</v>
      </c>
      <c r="J635" s="2" t="str">
        <f>IFERROR(__xludf.DUMMYFUNCTION("""COMPUTED_VALUE"""),"All amenities")</f>
        <v>All amenities</v>
      </c>
      <c r="K635" s="2">
        <f>IFERROR(__xludf.DUMMYFUNCTION("""COMPUTED_VALUE"""),400.0)</f>
        <v>400</v>
      </c>
      <c r="L635" s="2" t="str">
        <f>IFERROR(__xludf.DUMMYFUNCTION("""COMPUTED_VALUE"""),"NaN")</f>
        <v>NaN</v>
      </c>
      <c r="M635" s="2" t="str">
        <f>IFERROR(__xludf.DUMMYFUNCTION("""COMPUTED_VALUE"""),"NaN")</f>
        <v>NaN</v>
      </c>
    </row>
    <row r="636">
      <c r="A636" s="2" t="str">
        <f>IFERROR(__xludf.DUMMYFUNCTION("""COMPUTED_VALUE"""),"For rent")</f>
        <v>For rent</v>
      </c>
      <c r="B636" s="2" t="str">
        <f>IFERROR(__xludf.DUMMYFUNCTION("""COMPUTED_VALUE"""),"centrs")</f>
        <v>centrs</v>
      </c>
      <c r="C636" s="2" t="str">
        <f>IFERROR(__xludf.DUMMYFUNCTION("""COMPUTED_VALUE"""),"Skolas 36")</f>
        <v>Skolas 36</v>
      </c>
      <c r="D636" s="2">
        <f>IFERROR(__xludf.DUMMYFUNCTION("""COMPUTED_VALUE"""),2.0)</f>
        <v>2</v>
      </c>
      <c r="E636" s="2">
        <f>IFERROR(__xludf.DUMMYFUNCTION("""COMPUTED_VALUE"""),52.0)</f>
        <v>52</v>
      </c>
      <c r="F636" s="2">
        <f>IFERROR(__xludf.DUMMYFUNCTION("""COMPUTED_VALUE"""),3.0)</f>
        <v>3</v>
      </c>
      <c r="G636" s="2">
        <f>IFERROR(__xludf.DUMMYFUNCTION("""COMPUTED_VALUE"""),4.0)</f>
        <v>4</v>
      </c>
      <c r="H636" s="2" t="str">
        <f>IFERROR(__xludf.DUMMYFUNCTION("""COMPUTED_VALUE"""),"P. kara")</f>
        <v>P. kara</v>
      </c>
      <c r="I636" s="2" t="str">
        <f>IFERROR(__xludf.DUMMYFUNCTION("""COMPUTED_VALUE"""),"Brick")</f>
        <v>Brick</v>
      </c>
      <c r="J636" s="2" t="str">
        <f>IFERROR(__xludf.DUMMYFUNCTION("""COMPUTED_VALUE"""),"All amenities")</f>
        <v>All amenities</v>
      </c>
      <c r="K636" s="2">
        <f>IFERROR(__xludf.DUMMYFUNCTION("""COMPUTED_VALUE"""),700.0)</f>
        <v>700</v>
      </c>
      <c r="L636" s="2">
        <f>IFERROR(__xludf.DUMMYFUNCTION("""COMPUTED_VALUE"""),48.2969502)</f>
        <v>48.2969502</v>
      </c>
      <c r="M636" s="2">
        <f>IFERROR(__xludf.DUMMYFUNCTION("""COMPUTED_VALUE"""),-100.7081938)</f>
        <v>-100.7081938</v>
      </c>
    </row>
    <row r="637">
      <c r="A637" s="2" t="str">
        <f>IFERROR(__xludf.DUMMYFUNCTION("""COMPUTED_VALUE"""),"For sale")</f>
        <v>For sale</v>
      </c>
      <c r="B637" s="2" t="str">
        <f>IFERROR(__xludf.DUMMYFUNCTION("""COMPUTED_VALUE"""),"Āgenskalns")</f>
        <v>Āgenskalns</v>
      </c>
      <c r="C637" s="2" t="str">
        <f>IFERROR(__xludf.DUMMYFUNCTION("""COMPUTED_VALUE"""),"Kuldīgas 32")</f>
        <v>Kuldīgas 32</v>
      </c>
      <c r="D637" s="2">
        <f>IFERROR(__xludf.DUMMYFUNCTION("""COMPUTED_VALUE"""),2.0)</f>
        <v>2</v>
      </c>
      <c r="E637" s="2">
        <f>IFERROR(__xludf.DUMMYFUNCTION("""COMPUTED_VALUE"""),50.0)</f>
        <v>50</v>
      </c>
      <c r="F637" s="2">
        <f>IFERROR(__xludf.DUMMYFUNCTION("""COMPUTED_VALUE"""),2.0)</f>
        <v>2</v>
      </c>
      <c r="G637" s="2">
        <f>IFERROR(__xludf.DUMMYFUNCTION("""COMPUTED_VALUE"""),4.0)</f>
        <v>4</v>
      </c>
      <c r="H637" s="2" t="str">
        <f>IFERROR(__xludf.DUMMYFUNCTION("""COMPUTED_VALUE"""),"Renov.")</f>
        <v>Renov.</v>
      </c>
      <c r="I637" s="2" t="str">
        <f>IFERROR(__xludf.DUMMYFUNCTION("""COMPUTED_VALUE"""),"Masonry")</f>
        <v>Masonry</v>
      </c>
      <c r="J637" s="2" t="str">
        <f>IFERROR(__xludf.DUMMYFUNCTION("""COMPUTED_VALUE"""),"All amenities")</f>
        <v>All amenities</v>
      </c>
      <c r="K637" s="2">
        <f>IFERROR(__xludf.DUMMYFUNCTION("""COMPUTED_VALUE"""),64480.0)</f>
        <v>64480</v>
      </c>
      <c r="L637" s="2">
        <f>IFERROR(__xludf.DUMMYFUNCTION("""COMPUTED_VALUE"""),56.9474705)</f>
        <v>56.9474705</v>
      </c>
      <c r="M637" s="2">
        <f>IFERROR(__xludf.DUMMYFUNCTION("""COMPUTED_VALUE"""),24.0604076)</f>
        <v>24.0604076</v>
      </c>
    </row>
    <row r="638">
      <c r="A638" s="2" t="str">
        <f>IFERROR(__xludf.DUMMYFUNCTION("""COMPUTED_VALUE"""),"For rent")</f>
        <v>For rent</v>
      </c>
      <c r="B638" s="2" t="str">
        <f>IFERROR(__xludf.DUMMYFUNCTION("""COMPUTED_VALUE"""),"Iļģuciems")</f>
        <v>Iļģuciems</v>
      </c>
      <c r="C638" s="2" t="str">
        <f>IFERROR(__xludf.DUMMYFUNCTION("""COMPUTED_VALUE"""),"Kurzemes pr. 58")</f>
        <v>Kurzemes pr. 58</v>
      </c>
      <c r="D638" s="2">
        <f>IFERROR(__xludf.DUMMYFUNCTION("""COMPUTED_VALUE"""),2.0)</f>
        <v>2</v>
      </c>
      <c r="E638" s="2">
        <f>IFERROR(__xludf.DUMMYFUNCTION("""COMPUTED_VALUE"""),50.0)</f>
        <v>50</v>
      </c>
      <c r="F638" s="2">
        <f>IFERROR(__xludf.DUMMYFUNCTION("""COMPUTED_VALUE"""),4.0)</f>
        <v>4</v>
      </c>
      <c r="G638" s="2">
        <f>IFERROR(__xludf.DUMMYFUNCTION("""COMPUTED_VALUE"""),5.0)</f>
        <v>5</v>
      </c>
      <c r="H638" s="2" t="str">
        <f>IFERROR(__xludf.DUMMYFUNCTION("""COMPUTED_VALUE"""),"LT proj.")</f>
        <v>LT proj.</v>
      </c>
      <c r="I638" s="2" t="str">
        <f>IFERROR(__xludf.DUMMYFUNCTION("""COMPUTED_VALUE"""),"Panel")</f>
        <v>Panel</v>
      </c>
      <c r="J638" s="2" t="str">
        <f>IFERROR(__xludf.DUMMYFUNCTION("""COMPUTED_VALUE"""),"All amenities")</f>
        <v>All amenities</v>
      </c>
      <c r="K638" s="2">
        <f>IFERROR(__xludf.DUMMYFUNCTION("""COMPUTED_VALUE"""),350.0)</f>
        <v>350</v>
      </c>
      <c r="L638" s="2">
        <f>IFERROR(__xludf.DUMMYFUNCTION("""COMPUTED_VALUE"""),56.9567829)</f>
        <v>56.9567829</v>
      </c>
      <c r="M638" s="2">
        <f>IFERROR(__xludf.DUMMYFUNCTION("""COMPUTED_VALUE"""),24.0344957)</f>
        <v>24.0344957</v>
      </c>
    </row>
    <row r="639">
      <c r="A639" s="2" t="str">
        <f>IFERROR(__xludf.DUMMYFUNCTION("""COMPUTED_VALUE"""),"For sale")</f>
        <v>For sale</v>
      </c>
      <c r="B639" s="2" t="str">
        <f>IFERROR(__xludf.DUMMYFUNCTION("""COMPUTED_VALUE"""),"Šampēteris-Pleskodāle")</f>
        <v>Šampēteris-Pleskodāle</v>
      </c>
      <c r="C639" s="2" t="str">
        <f>IFERROR(__xludf.DUMMYFUNCTION("""COMPUTED_VALUE"""),"Volguntes 27")</f>
        <v>Volguntes 27</v>
      </c>
      <c r="D639" s="2">
        <f>IFERROR(__xludf.DUMMYFUNCTION("""COMPUTED_VALUE"""),1.0)</f>
        <v>1</v>
      </c>
      <c r="E639" s="2">
        <f>IFERROR(__xludf.DUMMYFUNCTION("""COMPUTED_VALUE"""),31.0)</f>
        <v>31</v>
      </c>
      <c r="F639" s="2">
        <f>IFERROR(__xludf.DUMMYFUNCTION("""COMPUTED_VALUE"""),5.0)</f>
        <v>5</v>
      </c>
      <c r="G639" s="2">
        <f>IFERROR(__xludf.DUMMYFUNCTION("""COMPUTED_VALUE"""),5.0)</f>
        <v>5</v>
      </c>
      <c r="H639" s="2" t="str">
        <f>IFERROR(__xludf.DUMMYFUNCTION("""COMPUTED_VALUE"""),"Hrušč.")</f>
        <v>Hrušč.</v>
      </c>
      <c r="I639" s="2" t="str">
        <f>IFERROR(__xludf.DUMMYFUNCTION("""COMPUTED_VALUE"""),"Brick")</f>
        <v>Brick</v>
      </c>
      <c r="J639" s="2" t="str">
        <f>IFERROR(__xludf.DUMMYFUNCTION("""COMPUTED_VALUE"""),"All amenities")</f>
        <v>All amenities</v>
      </c>
      <c r="K639" s="2">
        <f>IFERROR(__xludf.DUMMYFUNCTION("""COMPUTED_VALUE"""),33000.0)</f>
        <v>33000</v>
      </c>
      <c r="L639" s="2">
        <f>IFERROR(__xludf.DUMMYFUNCTION("""COMPUTED_VALUE"""),56.93731855)</f>
        <v>56.93731855</v>
      </c>
      <c r="M639" s="2">
        <f>IFERROR(__xludf.DUMMYFUNCTION("""COMPUTED_VALUE"""),24.0414634146547)</f>
        <v>24.04146341</v>
      </c>
    </row>
    <row r="640">
      <c r="A640" s="2" t="str">
        <f>IFERROR(__xludf.DUMMYFUNCTION("""COMPUTED_VALUE"""),"For rent")</f>
        <v>For rent</v>
      </c>
      <c r="B640" s="2" t="str">
        <f>IFERROR(__xludf.DUMMYFUNCTION("""COMPUTED_VALUE"""),"centrs")</f>
        <v>centrs</v>
      </c>
      <c r="C640" s="2" t="str">
        <f>IFERROR(__xludf.DUMMYFUNCTION("""COMPUTED_VALUE"""),"Dzirnavu 130")</f>
        <v>Dzirnavu 130</v>
      </c>
      <c r="D640" s="2">
        <f>IFERROR(__xludf.DUMMYFUNCTION("""COMPUTED_VALUE"""),2.0)</f>
        <v>2</v>
      </c>
      <c r="E640" s="2">
        <f>IFERROR(__xludf.DUMMYFUNCTION("""COMPUTED_VALUE"""),53.0)</f>
        <v>53</v>
      </c>
      <c r="F640" s="2">
        <f>IFERROR(__xludf.DUMMYFUNCTION("""COMPUTED_VALUE"""),1.0)</f>
        <v>1</v>
      </c>
      <c r="G640" s="2">
        <f>IFERROR(__xludf.DUMMYFUNCTION("""COMPUTED_VALUE"""),2.0)</f>
        <v>2</v>
      </c>
      <c r="H640" s="2" t="str">
        <f>IFERROR(__xludf.DUMMYFUNCTION("""COMPUTED_VALUE"""),"P. kara")</f>
        <v>P. kara</v>
      </c>
      <c r="I640" s="2" t="str">
        <f>IFERROR(__xludf.DUMMYFUNCTION("""COMPUTED_VALUE"""),"Wood")</f>
        <v>Wood</v>
      </c>
      <c r="J640" s="2" t="str">
        <f>IFERROR(__xludf.DUMMYFUNCTION("""COMPUTED_VALUE"""),"Partial amenities")</f>
        <v>Partial amenities</v>
      </c>
      <c r="K640" s="2">
        <f>IFERROR(__xludf.DUMMYFUNCTION("""COMPUTED_VALUE"""),250.0)</f>
        <v>250</v>
      </c>
      <c r="L640" s="2">
        <f>IFERROR(__xludf.DUMMYFUNCTION("""COMPUTED_VALUE"""),56.9443854)</f>
        <v>56.9443854</v>
      </c>
      <c r="M640" s="2">
        <f>IFERROR(__xludf.DUMMYFUNCTION("""COMPUTED_VALUE"""),24.1264321)</f>
        <v>24.1264321</v>
      </c>
    </row>
    <row r="641">
      <c r="A641" s="2" t="str">
        <f>IFERROR(__xludf.DUMMYFUNCTION("""COMPUTED_VALUE"""),"For rent")</f>
        <v>For rent</v>
      </c>
      <c r="B641" s="2" t="str">
        <f>IFERROR(__xludf.DUMMYFUNCTION("""COMPUTED_VALUE"""),"centrs")</f>
        <v>centrs</v>
      </c>
      <c r="C641" s="2" t="str">
        <f>IFERROR(__xludf.DUMMYFUNCTION("""COMPUTED_VALUE"""),"Alberta 9")</f>
        <v>Alberta 9</v>
      </c>
      <c r="D641" s="2">
        <f>IFERROR(__xludf.DUMMYFUNCTION("""COMPUTED_VALUE"""),2.0)</f>
        <v>2</v>
      </c>
      <c r="E641" s="2">
        <f>IFERROR(__xludf.DUMMYFUNCTION("""COMPUTED_VALUE"""),56.0)</f>
        <v>56</v>
      </c>
      <c r="F641" s="2">
        <f>IFERROR(__xludf.DUMMYFUNCTION("""COMPUTED_VALUE"""),1.0)</f>
        <v>1</v>
      </c>
      <c r="G641" s="2">
        <f>IFERROR(__xludf.DUMMYFUNCTION("""COMPUTED_VALUE"""),6.0)</f>
        <v>6</v>
      </c>
      <c r="H641" s="2" t="str">
        <f>IFERROR(__xludf.DUMMYFUNCTION("""COMPUTED_VALUE"""),"Renov.")</f>
        <v>Renov.</v>
      </c>
      <c r="I641" s="2" t="str">
        <f>IFERROR(__xludf.DUMMYFUNCTION("""COMPUTED_VALUE"""),"Masonry")</f>
        <v>Masonry</v>
      </c>
      <c r="J641" s="2" t="str">
        <f>IFERROR(__xludf.DUMMYFUNCTION("""COMPUTED_VALUE"""),"All amenities")</f>
        <v>All amenities</v>
      </c>
      <c r="K641" s="2">
        <f>IFERROR(__xludf.DUMMYFUNCTION("""COMPUTED_VALUE"""),590.0)</f>
        <v>590</v>
      </c>
      <c r="L641" s="2">
        <f>IFERROR(__xludf.DUMMYFUNCTION("""COMPUTED_VALUE"""),56.9590141)</f>
        <v>56.9590141</v>
      </c>
      <c r="M641" s="2">
        <f>IFERROR(__xludf.DUMMYFUNCTION("""COMPUTED_VALUE"""),24.1091630445939)</f>
        <v>24.10916304</v>
      </c>
    </row>
    <row r="642">
      <c r="A642" s="2" t="str">
        <f>IFERROR(__xludf.DUMMYFUNCTION("""COMPUTED_VALUE"""),"For sale")</f>
        <v>For sale</v>
      </c>
      <c r="B642" s="2" t="str">
        <f>IFERROR(__xludf.DUMMYFUNCTION("""COMPUTED_VALUE"""),"Krasta r-ns")</f>
        <v>Krasta r-ns</v>
      </c>
      <c r="C642" s="2" t="str">
        <f>IFERROR(__xludf.DUMMYFUNCTION("""COMPUTED_VALUE"""),"Maskavas 224")</f>
        <v>Maskavas 224</v>
      </c>
      <c r="D642" s="2">
        <f>IFERROR(__xludf.DUMMYFUNCTION("""COMPUTED_VALUE"""),2.0)</f>
        <v>2</v>
      </c>
      <c r="E642" s="2">
        <f>IFERROR(__xludf.DUMMYFUNCTION("""COMPUTED_VALUE"""),50.0)</f>
        <v>50</v>
      </c>
      <c r="F642" s="2">
        <f>IFERROR(__xludf.DUMMYFUNCTION("""COMPUTED_VALUE"""),9.0)</f>
        <v>9</v>
      </c>
      <c r="G642" s="2">
        <f>IFERROR(__xludf.DUMMYFUNCTION("""COMPUTED_VALUE"""),9.0)</f>
        <v>9</v>
      </c>
      <c r="H642" s="2">
        <f>IFERROR(__xludf.DUMMYFUNCTION("""COMPUTED_VALUE"""),467.0)</f>
        <v>467</v>
      </c>
      <c r="I642" s="2" t="str">
        <f>IFERROR(__xludf.DUMMYFUNCTION("""COMPUTED_VALUE"""),"Panel-Brick")</f>
        <v>Panel-Brick</v>
      </c>
      <c r="J642" s="2" t="str">
        <f>IFERROR(__xludf.DUMMYFUNCTION("""COMPUTED_VALUE"""),"All amenities")</f>
        <v>All amenities</v>
      </c>
      <c r="K642" s="2">
        <f>IFERROR(__xludf.DUMMYFUNCTION("""COMPUTED_VALUE"""),58000.0)</f>
        <v>58000</v>
      </c>
      <c r="L642" s="2">
        <f>IFERROR(__xludf.DUMMYFUNCTION("""COMPUTED_VALUE"""),56.8597884)</f>
        <v>56.8597884</v>
      </c>
      <c r="M642" s="2">
        <f>IFERROR(__xludf.DUMMYFUNCTION("""COMPUTED_VALUE"""),24.3083417)</f>
        <v>24.3083417</v>
      </c>
    </row>
    <row r="643">
      <c r="A643" s="2" t="str">
        <f>IFERROR(__xludf.DUMMYFUNCTION("""COMPUTED_VALUE"""),"For rent")</f>
        <v>For rent</v>
      </c>
      <c r="B643" s="2" t="str">
        <f>IFERROR(__xludf.DUMMYFUNCTION("""COMPUTED_VALUE"""),"centrs")</f>
        <v>centrs</v>
      </c>
      <c r="C643" s="2" t="str">
        <f>IFERROR(__xludf.DUMMYFUNCTION("""COMPUTED_VALUE"""),"Brīvības 59")</f>
        <v>Brīvības 59</v>
      </c>
      <c r="D643" s="2">
        <f>IFERROR(__xludf.DUMMYFUNCTION("""COMPUTED_VALUE"""),1.0)</f>
        <v>1</v>
      </c>
      <c r="E643" s="2">
        <f>IFERROR(__xludf.DUMMYFUNCTION("""COMPUTED_VALUE"""),40.0)</f>
        <v>40</v>
      </c>
      <c r="F643" s="2">
        <f>IFERROR(__xludf.DUMMYFUNCTION("""COMPUTED_VALUE"""),6.0)</f>
        <v>6</v>
      </c>
      <c r="G643" s="2">
        <f>IFERROR(__xludf.DUMMYFUNCTION("""COMPUTED_VALUE"""),6.0)</f>
        <v>6</v>
      </c>
      <c r="H643" s="2" t="str">
        <f>IFERROR(__xludf.DUMMYFUNCTION("""COMPUTED_VALUE"""),"P. kara")</f>
        <v>P. kara</v>
      </c>
      <c r="I643" s="2" t="str">
        <f>IFERROR(__xludf.DUMMYFUNCTION("""COMPUTED_VALUE"""),"Masonry")</f>
        <v>Masonry</v>
      </c>
      <c r="J643" s="2" t="str">
        <f>IFERROR(__xludf.DUMMYFUNCTION("""COMPUTED_VALUE"""),"All amenities")</f>
        <v>All amenities</v>
      </c>
      <c r="K643" s="2">
        <f>IFERROR(__xludf.DUMMYFUNCTION("""COMPUTED_VALUE"""),520.0)</f>
        <v>520</v>
      </c>
      <c r="L643" s="2">
        <f>IFERROR(__xludf.DUMMYFUNCTION("""COMPUTED_VALUE"""),56.95798105)</f>
        <v>56.95798105</v>
      </c>
      <c r="M643" s="2">
        <f>IFERROR(__xludf.DUMMYFUNCTION("""COMPUTED_VALUE"""),24.1233944812084)</f>
        <v>24.12339448</v>
      </c>
    </row>
    <row r="644">
      <c r="A644" s="2" t="str">
        <f>IFERROR(__xludf.DUMMYFUNCTION("""COMPUTED_VALUE"""),"For sale")</f>
        <v>For sale</v>
      </c>
      <c r="B644" s="2" t="str">
        <f>IFERROR(__xludf.DUMMYFUNCTION("""COMPUTED_VALUE"""),"Bolderāja")</f>
        <v>Bolderāja</v>
      </c>
      <c r="C644" s="2" t="str">
        <f>IFERROR(__xludf.DUMMYFUNCTION("""COMPUTED_VALUE"""),"Lielupes 1")</f>
        <v>Lielupes 1</v>
      </c>
      <c r="D644" s="2">
        <f>IFERROR(__xludf.DUMMYFUNCTION("""COMPUTED_VALUE"""),2.0)</f>
        <v>2</v>
      </c>
      <c r="E644" s="2">
        <f>IFERROR(__xludf.DUMMYFUNCTION("""COMPUTED_VALUE"""),59.0)</f>
        <v>59</v>
      </c>
      <c r="F644" s="2">
        <f>IFERROR(__xludf.DUMMYFUNCTION("""COMPUTED_VALUE"""),2.0)</f>
        <v>2</v>
      </c>
      <c r="G644" s="2">
        <f>IFERROR(__xludf.DUMMYFUNCTION("""COMPUTED_VALUE"""),2.0)</f>
        <v>2</v>
      </c>
      <c r="H644" s="2" t="str">
        <f>IFERROR(__xludf.DUMMYFUNCTION("""COMPUTED_VALUE"""),"Staļina")</f>
        <v>Staļina</v>
      </c>
      <c r="I644" s="2" t="str">
        <f>IFERROR(__xludf.DUMMYFUNCTION("""COMPUTED_VALUE"""),"Brick")</f>
        <v>Brick</v>
      </c>
      <c r="J644" s="2" t="str">
        <f>IFERROR(__xludf.DUMMYFUNCTION("""COMPUTED_VALUE"""),"All amenities")</f>
        <v>All amenities</v>
      </c>
      <c r="K644" s="2">
        <f>IFERROR(__xludf.DUMMYFUNCTION("""COMPUTED_VALUE"""),38999.0)</f>
        <v>38999</v>
      </c>
      <c r="L644" s="2">
        <f>IFERROR(__xludf.DUMMYFUNCTION("""COMPUTED_VALUE"""),57.0386355)</f>
        <v>57.0386355</v>
      </c>
      <c r="M644" s="2">
        <f>IFERROR(__xludf.DUMMYFUNCTION("""COMPUTED_VALUE"""),24.0464749)</f>
        <v>24.0464749</v>
      </c>
    </row>
    <row r="645">
      <c r="A645" s="2" t="str">
        <f>IFERROR(__xludf.DUMMYFUNCTION("""COMPUTED_VALUE"""),"For rent")</f>
        <v>For rent</v>
      </c>
      <c r="B645" s="2" t="str">
        <f>IFERROR(__xludf.DUMMYFUNCTION("""COMPUTED_VALUE"""),"centrs")</f>
        <v>centrs</v>
      </c>
      <c r="C645" s="2" t="str">
        <f>IFERROR(__xludf.DUMMYFUNCTION("""COMPUTED_VALUE"""),"Lenču 2")</f>
        <v>Lenču 2</v>
      </c>
      <c r="D645" s="2">
        <f>IFERROR(__xludf.DUMMYFUNCTION("""COMPUTED_VALUE"""),2.0)</f>
        <v>2</v>
      </c>
      <c r="E645" s="2">
        <f>IFERROR(__xludf.DUMMYFUNCTION("""COMPUTED_VALUE"""),45.0)</f>
        <v>45</v>
      </c>
      <c r="F645" s="2">
        <f>IFERROR(__xludf.DUMMYFUNCTION("""COMPUTED_VALUE"""),1.0)</f>
        <v>1</v>
      </c>
      <c r="G645" s="2">
        <f>IFERROR(__xludf.DUMMYFUNCTION("""COMPUTED_VALUE"""),6.0)</f>
        <v>6</v>
      </c>
      <c r="H645" s="2" t="str">
        <f>IFERROR(__xludf.DUMMYFUNCTION("""COMPUTED_VALUE"""),"P. kara")</f>
        <v>P. kara</v>
      </c>
      <c r="I645" s="2" t="str">
        <f>IFERROR(__xludf.DUMMYFUNCTION("""COMPUTED_VALUE"""),"Masonry")</f>
        <v>Masonry</v>
      </c>
      <c r="J645" s="2" t="str">
        <f>IFERROR(__xludf.DUMMYFUNCTION("""COMPUTED_VALUE"""),"All amenities")</f>
        <v>All amenities</v>
      </c>
      <c r="K645" s="2">
        <f>IFERROR(__xludf.DUMMYFUNCTION("""COMPUTED_VALUE"""),500.0)</f>
        <v>500</v>
      </c>
      <c r="L645" s="2">
        <f>IFERROR(__xludf.DUMMYFUNCTION("""COMPUTED_VALUE"""),56.9616145)</f>
        <v>56.9616145</v>
      </c>
      <c r="M645" s="2">
        <f>IFERROR(__xludf.DUMMYFUNCTION("""COMPUTED_VALUE"""),24.1100341)</f>
        <v>24.1100341</v>
      </c>
    </row>
    <row r="646">
      <c r="A646" s="2" t="str">
        <f>IFERROR(__xludf.DUMMYFUNCTION("""COMPUTED_VALUE"""),"For rent")</f>
        <v>For rent</v>
      </c>
      <c r="B646" s="2" t="str">
        <f>IFERROR(__xludf.DUMMYFUNCTION("""COMPUTED_VALUE"""),"centrs")</f>
        <v>centrs</v>
      </c>
      <c r="C646" s="2" t="str">
        <f>IFERROR(__xludf.DUMMYFUNCTION("""COMPUTED_VALUE"""),"Valdemāra 75")</f>
        <v>Valdemāra 75</v>
      </c>
      <c r="D646" s="2">
        <f>IFERROR(__xludf.DUMMYFUNCTION("""COMPUTED_VALUE"""),2.0)</f>
        <v>2</v>
      </c>
      <c r="E646" s="2">
        <f>IFERROR(__xludf.DUMMYFUNCTION("""COMPUTED_VALUE"""),82.0)</f>
        <v>82</v>
      </c>
      <c r="F646" s="2">
        <f>IFERROR(__xludf.DUMMYFUNCTION("""COMPUTED_VALUE"""),6.0)</f>
        <v>6</v>
      </c>
      <c r="G646" s="2">
        <f>IFERROR(__xludf.DUMMYFUNCTION("""COMPUTED_VALUE"""),6.0)</f>
        <v>6</v>
      </c>
      <c r="H646" s="2" t="str">
        <f>IFERROR(__xludf.DUMMYFUNCTION("""COMPUTED_VALUE"""),"P. kara")</f>
        <v>P. kara</v>
      </c>
      <c r="I646" s="2" t="str">
        <f>IFERROR(__xludf.DUMMYFUNCTION("""COMPUTED_VALUE"""),"Masonry")</f>
        <v>Masonry</v>
      </c>
      <c r="J646" s="2" t="str">
        <f>IFERROR(__xludf.DUMMYFUNCTION("""COMPUTED_VALUE"""),"All amenities")</f>
        <v>All amenities</v>
      </c>
      <c r="K646" s="2">
        <f>IFERROR(__xludf.DUMMYFUNCTION("""COMPUTED_VALUE"""),670.0)</f>
        <v>670</v>
      </c>
      <c r="L646" s="2">
        <f>IFERROR(__xludf.DUMMYFUNCTION("""COMPUTED_VALUE"""),56.9625239)</f>
        <v>56.9625239</v>
      </c>
      <c r="M646" s="2">
        <f>IFERROR(__xludf.DUMMYFUNCTION("""COMPUTED_VALUE"""),24.1239015)</f>
        <v>24.1239015</v>
      </c>
    </row>
    <row r="647">
      <c r="A647" s="2" t="str">
        <f>IFERROR(__xludf.DUMMYFUNCTION("""COMPUTED_VALUE"""),"For sale")</f>
        <v>For sale</v>
      </c>
      <c r="B647" s="2" t="str">
        <f>IFERROR(__xludf.DUMMYFUNCTION("""COMPUTED_VALUE"""),"Dārzciems")</f>
        <v>Dārzciems</v>
      </c>
      <c r="C647" s="2" t="str">
        <f>IFERROR(__xludf.DUMMYFUNCTION("""COMPUTED_VALUE"""),"Strautu 27")</f>
        <v>Strautu 27</v>
      </c>
      <c r="D647" s="2">
        <f>IFERROR(__xludf.DUMMYFUNCTION("""COMPUTED_VALUE"""),1.0)</f>
        <v>1</v>
      </c>
      <c r="E647" s="2">
        <f>IFERROR(__xludf.DUMMYFUNCTION("""COMPUTED_VALUE"""),39.0)</f>
        <v>39</v>
      </c>
      <c r="F647" s="2">
        <f>IFERROR(__xludf.DUMMYFUNCTION("""COMPUTED_VALUE"""),3.0)</f>
        <v>3</v>
      </c>
      <c r="G647" s="2">
        <f>IFERROR(__xludf.DUMMYFUNCTION("""COMPUTED_VALUE"""),5.0)</f>
        <v>5</v>
      </c>
      <c r="H647" s="2" t="str">
        <f>IFERROR(__xludf.DUMMYFUNCTION("""COMPUTED_VALUE"""),"M. ģim.")</f>
        <v>M. ģim.</v>
      </c>
      <c r="I647" s="2" t="str">
        <f>IFERROR(__xludf.DUMMYFUNCTION("""COMPUTED_VALUE"""),"Panel")</f>
        <v>Panel</v>
      </c>
      <c r="J647" s="2" t="str">
        <f>IFERROR(__xludf.DUMMYFUNCTION("""COMPUTED_VALUE"""),"All amenities")</f>
        <v>All amenities</v>
      </c>
      <c r="K647" s="2">
        <f>IFERROR(__xludf.DUMMYFUNCTION("""COMPUTED_VALUE"""),30500.0)</f>
        <v>30500</v>
      </c>
      <c r="L647" s="2">
        <f>IFERROR(__xludf.DUMMYFUNCTION("""COMPUTED_VALUE"""),56.9405505)</f>
        <v>56.9405505</v>
      </c>
      <c r="M647" s="2">
        <f>IFERROR(__xludf.DUMMYFUNCTION("""COMPUTED_VALUE"""),24.1882362649725)</f>
        <v>24.18823626</v>
      </c>
    </row>
    <row r="648">
      <c r="A648" s="2" t="str">
        <f>IFERROR(__xludf.DUMMYFUNCTION("""COMPUTED_VALUE"""),"For rent")</f>
        <v>For rent</v>
      </c>
      <c r="B648" s="2" t="str">
        <f>IFERROR(__xludf.DUMMYFUNCTION("""COMPUTED_VALUE"""),"centrs")</f>
        <v>centrs</v>
      </c>
      <c r="C648" s="2" t="str">
        <f>IFERROR(__xludf.DUMMYFUNCTION("""COMPUTED_VALUE"""),"Barona 63")</f>
        <v>Barona 63</v>
      </c>
      <c r="D648" s="2">
        <f>IFERROR(__xludf.DUMMYFUNCTION("""COMPUTED_VALUE"""),2.0)</f>
        <v>2</v>
      </c>
      <c r="E648" s="2">
        <f>IFERROR(__xludf.DUMMYFUNCTION("""COMPUTED_VALUE"""),60.0)</f>
        <v>60</v>
      </c>
      <c r="F648" s="2">
        <f>IFERROR(__xludf.DUMMYFUNCTION("""COMPUTED_VALUE"""),2.0)</f>
        <v>2</v>
      </c>
      <c r="G648" s="2">
        <f>IFERROR(__xludf.DUMMYFUNCTION("""COMPUTED_VALUE"""),5.0)</f>
        <v>5</v>
      </c>
      <c r="H648" s="2" t="str">
        <f>IFERROR(__xludf.DUMMYFUNCTION("""COMPUTED_VALUE"""),"Renov.")</f>
        <v>Renov.</v>
      </c>
      <c r="I648" s="2" t="str">
        <f>IFERROR(__xludf.DUMMYFUNCTION("""COMPUTED_VALUE"""),"Masonry")</f>
        <v>Masonry</v>
      </c>
      <c r="J648" s="2" t="str">
        <f>IFERROR(__xludf.DUMMYFUNCTION("""COMPUTED_VALUE"""),"All amenities")</f>
        <v>All amenities</v>
      </c>
      <c r="K648" s="2">
        <f>IFERROR(__xludf.DUMMYFUNCTION("""COMPUTED_VALUE"""),400.0)</f>
        <v>400</v>
      </c>
      <c r="L648" s="2">
        <f>IFERROR(__xludf.DUMMYFUNCTION("""COMPUTED_VALUE"""),56.95713205)</f>
        <v>56.95713205</v>
      </c>
      <c r="M648" s="2">
        <f>IFERROR(__xludf.DUMMYFUNCTION("""COMPUTED_VALUE"""),24.1327591319781)</f>
        <v>24.13275913</v>
      </c>
    </row>
    <row r="649">
      <c r="A649" s="2" t="str">
        <f>IFERROR(__xludf.DUMMYFUNCTION("""COMPUTED_VALUE"""),"For rent")</f>
        <v>For rent</v>
      </c>
      <c r="B649" s="2" t="str">
        <f>IFERROR(__xludf.DUMMYFUNCTION("""COMPUTED_VALUE"""),"Āgenskalns")</f>
        <v>Āgenskalns</v>
      </c>
      <c r="C649" s="2" t="str">
        <f>IFERROR(__xludf.DUMMYFUNCTION("""COMPUTED_VALUE"""),"Kandavas 8")</f>
        <v>Kandavas 8</v>
      </c>
      <c r="D649" s="2">
        <f>IFERROR(__xludf.DUMMYFUNCTION("""COMPUTED_VALUE"""),1.0)</f>
        <v>1</v>
      </c>
      <c r="E649" s="2">
        <f>IFERROR(__xludf.DUMMYFUNCTION("""COMPUTED_VALUE"""),34.0)</f>
        <v>34</v>
      </c>
      <c r="F649" s="2">
        <f>IFERROR(__xludf.DUMMYFUNCTION("""COMPUTED_VALUE"""),4.0)</f>
        <v>4</v>
      </c>
      <c r="G649" s="2">
        <f>IFERROR(__xludf.DUMMYFUNCTION("""COMPUTED_VALUE"""),5.0)</f>
        <v>5</v>
      </c>
      <c r="H649" s="2">
        <f>IFERROR(__xludf.DUMMYFUNCTION("""COMPUTED_VALUE"""),103.0)</f>
        <v>103</v>
      </c>
      <c r="I649" s="2" t="str">
        <f>IFERROR(__xludf.DUMMYFUNCTION("""COMPUTED_VALUE"""),"Brick-Panel")</f>
        <v>Brick-Panel</v>
      </c>
      <c r="J649" s="2" t="str">
        <f>IFERROR(__xludf.DUMMYFUNCTION("""COMPUTED_VALUE"""),"All amenities")</f>
        <v>All amenities</v>
      </c>
      <c r="K649" s="2">
        <f>IFERROR(__xludf.DUMMYFUNCTION("""COMPUTED_VALUE"""),260.0)</f>
        <v>260</v>
      </c>
      <c r="L649" s="2">
        <f>IFERROR(__xludf.DUMMYFUNCTION("""COMPUTED_VALUE"""),56.9488968)</f>
        <v>56.9488968</v>
      </c>
      <c r="M649" s="2">
        <f>IFERROR(__xludf.DUMMYFUNCTION("""COMPUTED_VALUE"""),24.0505506480272)</f>
        <v>24.05055065</v>
      </c>
    </row>
    <row r="650">
      <c r="A650" s="2" t="str">
        <f>IFERROR(__xludf.DUMMYFUNCTION("""COMPUTED_VALUE"""),"For sale")</f>
        <v>For sale</v>
      </c>
      <c r="B650" s="2" t="str">
        <f>IFERROR(__xludf.DUMMYFUNCTION("""COMPUTED_VALUE"""),"Pļavnieki")</f>
        <v>Pļavnieki</v>
      </c>
      <c r="C650" s="2" t="str">
        <f>IFERROR(__xludf.DUMMYFUNCTION("""COMPUTED_VALUE"""),"Pavasara g. 1")</f>
        <v>Pavasara g. 1</v>
      </c>
      <c r="D650" s="2">
        <f>IFERROR(__xludf.DUMMYFUNCTION("""COMPUTED_VALUE"""),4.0)</f>
        <v>4</v>
      </c>
      <c r="E650" s="2">
        <f>IFERROR(__xludf.DUMMYFUNCTION("""COMPUTED_VALUE"""),79.0)</f>
        <v>79</v>
      </c>
      <c r="F650" s="2">
        <f>IFERROR(__xludf.DUMMYFUNCTION("""COMPUTED_VALUE"""),4.0)</f>
        <v>4</v>
      </c>
      <c r="G650" s="2">
        <f>IFERROR(__xludf.DUMMYFUNCTION("""COMPUTED_VALUE"""),9.0)</f>
        <v>9</v>
      </c>
      <c r="H650" s="2">
        <f>IFERROR(__xludf.DUMMYFUNCTION("""COMPUTED_VALUE"""),602.0)</f>
        <v>602</v>
      </c>
      <c r="I650" s="2" t="str">
        <f>IFERROR(__xludf.DUMMYFUNCTION("""COMPUTED_VALUE"""),"Panel")</f>
        <v>Panel</v>
      </c>
      <c r="J650" s="2" t="str">
        <f>IFERROR(__xludf.DUMMYFUNCTION("""COMPUTED_VALUE"""),"All amenities")</f>
        <v>All amenities</v>
      </c>
      <c r="K650" s="2">
        <f>IFERROR(__xludf.DUMMYFUNCTION("""COMPUTED_VALUE"""),74500.0)</f>
        <v>74500</v>
      </c>
      <c r="L650" s="2">
        <f>IFERROR(__xludf.DUMMYFUNCTION("""COMPUTED_VALUE"""),56.9346184)</f>
        <v>56.9346184</v>
      </c>
      <c r="M650" s="2">
        <f>IFERROR(__xludf.DUMMYFUNCTION("""COMPUTED_VALUE"""),24.1980807)</f>
        <v>24.1980807</v>
      </c>
    </row>
    <row r="651">
      <c r="A651" s="2" t="str">
        <f>IFERROR(__xludf.DUMMYFUNCTION("""COMPUTED_VALUE"""),"For rent")</f>
        <v>For rent</v>
      </c>
      <c r="B651" s="2" t="str">
        <f>IFERROR(__xludf.DUMMYFUNCTION("""COMPUTED_VALUE"""),"Pļavnieki")</f>
        <v>Pļavnieki</v>
      </c>
      <c r="C651" s="2" t="str">
        <f>IFERROR(__xludf.DUMMYFUNCTION("""COMPUTED_VALUE"""),"J. Vācieša 2")</f>
        <v>J. Vācieša 2</v>
      </c>
      <c r="D651" s="2">
        <f>IFERROR(__xludf.DUMMYFUNCTION("""COMPUTED_VALUE"""),1.0)</f>
        <v>1</v>
      </c>
      <c r="E651" s="2">
        <f>IFERROR(__xludf.DUMMYFUNCTION("""COMPUTED_VALUE"""),67.0)</f>
        <v>67</v>
      </c>
      <c r="F651" s="2">
        <f>IFERROR(__xludf.DUMMYFUNCTION("""COMPUTED_VALUE"""),1.0)</f>
        <v>1</v>
      </c>
      <c r="G651" s="2">
        <f>IFERROR(__xludf.DUMMYFUNCTION("""COMPUTED_VALUE"""),16.0)</f>
        <v>16</v>
      </c>
      <c r="H651" s="2" t="str">
        <f>IFERROR(__xludf.DUMMYFUNCTION("""COMPUTED_VALUE"""),"Specpr.")</f>
        <v>Specpr.</v>
      </c>
      <c r="I651" s="2" t="str">
        <f>IFERROR(__xludf.DUMMYFUNCTION("""COMPUTED_VALUE"""),"Brick-Panel")</f>
        <v>Brick-Panel</v>
      </c>
      <c r="J651" s="2" t="str">
        <f>IFERROR(__xludf.DUMMYFUNCTION("""COMPUTED_VALUE"""),"All amenities")</f>
        <v>All amenities</v>
      </c>
      <c r="K651" s="2">
        <f>IFERROR(__xludf.DUMMYFUNCTION("""COMPUTED_VALUE"""),180.0)</f>
        <v>180</v>
      </c>
      <c r="L651" s="2" t="str">
        <f>IFERROR(__xludf.DUMMYFUNCTION("""COMPUTED_VALUE"""),"NaN")</f>
        <v>NaN</v>
      </c>
      <c r="M651" s="2" t="str">
        <f>IFERROR(__xludf.DUMMYFUNCTION("""COMPUTED_VALUE"""),"NaN")</f>
        <v>NaN</v>
      </c>
    </row>
    <row r="652">
      <c r="A652" s="2" t="str">
        <f>IFERROR(__xludf.DUMMYFUNCTION("""COMPUTED_VALUE"""),"For rent")</f>
        <v>For rent</v>
      </c>
      <c r="B652" s="2" t="str">
        <f>IFERROR(__xludf.DUMMYFUNCTION("""COMPUTED_VALUE"""),"centrs")</f>
        <v>centrs</v>
      </c>
      <c r="C652" s="2" t="str">
        <f>IFERROR(__xludf.DUMMYFUNCTION("""COMPUTED_VALUE"""),"Lāčplēša 14")</f>
        <v>Lāčplēša 14</v>
      </c>
      <c r="D652" s="2">
        <f>IFERROR(__xludf.DUMMYFUNCTION("""COMPUTED_VALUE"""),4.0)</f>
        <v>4</v>
      </c>
      <c r="E652" s="2">
        <f>IFERROR(__xludf.DUMMYFUNCTION("""COMPUTED_VALUE"""),96.0)</f>
        <v>96</v>
      </c>
      <c r="F652" s="2">
        <f>IFERROR(__xludf.DUMMYFUNCTION("""COMPUTED_VALUE"""),5.0)</f>
        <v>5</v>
      </c>
      <c r="G652" s="2">
        <f>IFERROR(__xludf.DUMMYFUNCTION("""COMPUTED_VALUE"""),6.0)</f>
        <v>6</v>
      </c>
      <c r="H652" s="2" t="str">
        <f>IFERROR(__xludf.DUMMYFUNCTION("""COMPUTED_VALUE"""),"P. kara")</f>
        <v>P. kara</v>
      </c>
      <c r="I652" s="2" t="str">
        <f>IFERROR(__xludf.DUMMYFUNCTION("""COMPUTED_VALUE"""),"Masonry")</f>
        <v>Masonry</v>
      </c>
      <c r="J652" s="2" t="str">
        <f>IFERROR(__xludf.DUMMYFUNCTION("""COMPUTED_VALUE"""),"All amenities")</f>
        <v>All amenities</v>
      </c>
      <c r="K652" s="2">
        <f>IFERROR(__xludf.DUMMYFUNCTION("""COMPUTED_VALUE"""),650.0)</f>
        <v>650</v>
      </c>
      <c r="L652" s="2">
        <f>IFERROR(__xludf.DUMMYFUNCTION("""COMPUTED_VALUE"""),56.9557312)</f>
        <v>56.9557312</v>
      </c>
      <c r="M652" s="2">
        <f>IFERROR(__xludf.DUMMYFUNCTION("""COMPUTED_VALUE"""),24.1222604)</f>
        <v>24.1222604</v>
      </c>
    </row>
    <row r="653">
      <c r="A653" s="2" t="str">
        <f>IFERROR(__xludf.DUMMYFUNCTION("""COMPUTED_VALUE"""),"For rent")</f>
        <v>For rent</v>
      </c>
      <c r="B653" s="2" t="str">
        <f>IFERROR(__xludf.DUMMYFUNCTION("""COMPUTED_VALUE"""),"Āgenskalns")</f>
        <v>Āgenskalns</v>
      </c>
      <c r="C653" s="2" t="str">
        <f>IFERROR(__xludf.DUMMYFUNCTION("""COMPUTED_VALUE"""),"Jūrmalas g. 7")</f>
        <v>Jūrmalas g. 7</v>
      </c>
      <c r="D653" s="2">
        <f>IFERROR(__xludf.DUMMYFUNCTION("""COMPUTED_VALUE"""),3.0)</f>
        <v>3</v>
      </c>
      <c r="E653" s="2">
        <f>IFERROR(__xludf.DUMMYFUNCTION("""COMPUTED_VALUE"""),55.0)</f>
        <v>55</v>
      </c>
      <c r="F653" s="2">
        <f>IFERROR(__xludf.DUMMYFUNCTION("""COMPUTED_VALUE"""),5.0)</f>
        <v>5</v>
      </c>
      <c r="G653" s="2">
        <f>IFERROR(__xludf.DUMMYFUNCTION("""COMPUTED_VALUE"""),5.0)</f>
        <v>5</v>
      </c>
      <c r="H653" s="2" t="str">
        <f>IFERROR(__xludf.DUMMYFUNCTION("""COMPUTED_VALUE"""),"LT proj.")</f>
        <v>LT proj.</v>
      </c>
      <c r="I653" s="2" t="str">
        <f>IFERROR(__xludf.DUMMYFUNCTION("""COMPUTED_VALUE"""),"Panel")</f>
        <v>Panel</v>
      </c>
      <c r="J653" s="2" t="str">
        <f>IFERROR(__xludf.DUMMYFUNCTION("""COMPUTED_VALUE"""),"All amenities")</f>
        <v>All amenities</v>
      </c>
      <c r="K653" s="2">
        <f>IFERROR(__xludf.DUMMYFUNCTION("""COMPUTED_VALUE"""),380.0)</f>
        <v>380</v>
      </c>
      <c r="L653" s="2">
        <f>IFERROR(__xludf.DUMMYFUNCTION("""COMPUTED_VALUE"""),56.9521874)</f>
        <v>56.9521874</v>
      </c>
      <c r="M653" s="2">
        <f>IFERROR(__xludf.DUMMYFUNCTION("""COMPUTED_VALUE"""),24.0276936)</f>
        <v>24.0276936</v>
      </c>
    </row>
    <row r="654">
      <c r="A654" s="2" t="str">
        <f>IFERROR(__xludf.DUMMYFUNCTION("""COMPUTED_VALUE"""),"For sale")</f>
        <v>For sale</v>
      </c>
      <c r="B654" s="2" t="str">
        <f>IFERROR(__xludf.DUMMYFUNCTION("""COMPUTED_VALUE"""),"Dzegužkalns")</f>
        <v>Dzegužkalns</v>
      </c>
      <c r="C654" s="2" t="str">
        <f>IFERROR(__xludf.DUMMYFUNCTION("""COMPUTED_VALUE"""),"Dzirciema 71")</f>
        <v>Dzirciema 71</v>
      </c>
      <c r="D654" s="2">
        <f>IFERROR(__xludf.DUMMYFUNCTION("""COMPUTED_VALUE"""),2.0)</f>
        <v>2</v>
      </c>
      <c r="E654" s="2">
        <f>IFERROR(__xludf.DUMMYFUNCTION("""COMPUTED_VALUE"""),49.0)</f>
        <v>49</v>
      </c>
      <c r="F654" s="2">
        <f>IFERROR(__xludf.DUMMYFUNCTION("""COMPUTED_VALUE"""),2.0)</f>
        <v>2</v>
      </c>
      <c r="G654" s="2">
        <f>IFERROR(__xludf.DUMMYFUNCTION("""COMPUTED_VALUE"""),9.0)</f>
        <v>9</v>
      </c>
      <c r="H654" s="2">
        <f>IFERROR(__xludf.DUMMYFUNCTION("""COMPUTED_VALUE"""),602.0)</f>
        <v>602</v>
      </c>
      <c r="I654" s="2" t="str">
        <f>IFERROR(__xludf.DUMMYFUNCTION("""COMPUTED_VALUE"""),"Panel")</f>
        <v>Panel</v>
      </c>
      <c r="J654" s="2" t="str">
        <f>IFERROR(__xludf.DUMMYFUNCTION("""COMPUTED_VALUE"""),"All amenities")</f>
        <v>All amenities</v>
      </c>
      <c r="K654" s="2">
        <f>IFERROR(__xludf.DUMMYFUNCTION("""COMPUTED_VALUE"""),50000.0)</f>
        <v>50000</v>
      </c>
      <c r="L654" s="2">
        <f>IFERROR(__xludf.DUMMYFUNCTION("""COMPUTED_VALUE"""),56.96512045)</f>
        <v>56.96512045</v>
      </c>
      <c r="M654" s="2">
        <f>IFERROR(__xludf.DUMMYFUNCTION("""COMPUTED_VALUE"""),24.0549828893368)</f>
        <v>24.05498289</v>
      </c>
    </row>
    <row r="655">
      <c r="A655" s="2" t="str">
        <f>IFERROR(__xludf.DUMMYFUNCTION("""COMPUTED_VALUE"""),"For rent")</f>
        <v>For rent</v>
      </c>
      <c r="B655" s="2" t="str">
        <f>IFERROR(__xludf.DUMMYFUNCTION("""COMPUTED_VALUE"""),"Pļavnieki")</f>
        <v>Pļavnieki</v>
      </c>
      <c r="C655" s="2" t="str">
        <f>IFERROR(__xludf.DUMMYFUNCTION("""COMPUTED_VALUE"""),"Saharova 15")</f>
        <v>Saharova 15</v>
      </c>
      <c r="D655" s="2">
        <f>IFERROR(__xludf.DUMMYFUNCTION("""COMPUTED_VALUE"""),1.0)</f>
        <v>1</v>
      </c>
      <c r="E655" s="2">
        <f>IFERROR(__xludf.DUMMYFUNCTION("""COMPUTED_VALUE"""),49.0)</f>
        <v>49</v>
      </c>
      <c r="F655" s="2">
        <f>IFERROR(__xludf.DUMMYFUNCTION("""COMPUTED_VALUE"""),10.0)</f>
        <v>10</v>
      </c>
      <c r="G655" s="2">
        <f>IFERROR(__xludf.DUMMYFUNCTION("""COMPUTED_VALUE"""),12.0)</f>
        <v>12</v>
      </c>
      <c r="H655" s="2">
        <f>IFERROR(__xludf.DUMMYFUNCTION("""COMPUTED_VALUE"""),104.0)</f>
        <v>104</v>
      </c>
      <c r="I655" s="2" t="str">
        <f>IFERROR(__xludf.DUMMYFUNCTION("""COMPUTED_VALUE"""),"Panel")</f>
        <v>Panel</v>
      </c>
      <c r="J655" s="2" t="str">
        <f>IFERROR(__xludf.DUMMYFUNCTION("""COMPUTED_VALUE"""),"All amenities")</f>
        <v>All amenities</v>
      </c>
      <c r="K655" s="2">
        <f>IFERROR(__xludf.DUMMYFUNCTION("""COMPUTED_VALUE"""),300.0)</f>
        <v>300</v>
      </c>
      <c r="L655" s="2">
        <f>IFERROR(__xludf.DUMMYFUNCTION("""COMPUTED_VALUE"""),56.93679455)</f>
        <v>56.93679455</v>
      </c>
      <c r="M655" s="2">
        <f>IFERROR(__xludf.DUMMYFUNCTION("""COMPUTED_VALUE"""),24.2018369722633)</f>
        <v>24.20183697</v>
      </c>
    </row>
    <row r="656">
      <c r="A656" s="2" t="str">
        <f>IFERROR(__xludf.DUMMYFUNCTION("""COMPUTED_VALUE"""),"For rent")</f>
        <v>For rent</v>
      </c>
      <c r="B656" s="2" t="str">
        <f>IFERROR(__xludf.DUMMYFUNCTION("""COMPUTED_VALUE"""),"centrs")</f>
        <v>centrs</v>
      </c>
      <c r="C656" s="2" t="str">
        <f>IFERROR(__xludf.DUMMYFUNCTION("""COMPUTED_VALUE"""),"Elizabetes 10")</f>
        <v>Elizabetes 10</v>
      </c>
      <c r="D656" s="2">
        <f>IFERROR(__xludf.DUMMYFUNCTION("""COMPUTED_VALUE"""),2.0)</f>
        <v>2</v>
      </c>
      <c r="E656" s="2">
        <f>IFERROR(__xludf.DUMMYFUNCTION("""COMPUTED_VALUE"""),52.0)</f>
        <v>52</v>
      </c>
      <c r="F656" s="2">
        <f>IFERROR(__xludf.DUMMYFUNCTION("""COMPUTED_VALUE"""),2.0)</f>
        <v>2</v>
      </c>
      <c r="G656" s="2">
        <f>IFERROR(__xludf.DUMMYFUNCTION("""COMPUTED_VALUE"""),5.0)</f>
        <v>5</v>
      </c>
      <c r="H656" s="2" t="str">
        <f>IFERROR(__xludf.DUMMYFUNCTION("""COMPUTED_VALUE"""),"P. kara")</f>
        <v>P. kara</v>
      </c>
      <c r="I656" s="2" t="str">
        <f>IFERROR(__xludf.DUMMYFUNCTION("""COMPUTED_VALUE"""),"Masonry")</f>
        <v>Masonry</v>
      </c>
      <c r="J656" s="2" t="str">
        <f>IFERROR(__xludf.DUMMYFUNCTION("""COMPUTED_VALUE"""),"All amenities")</f>
        <v>All amenities</v>
      </c>
      <c r="K656" s="2">
        <f>IFERROR(__xludf.DUMMYFUNCTION("""COMPUTED_VALUE"""),420.0)</f>
        <v>420</v>
      </c>
      <c r="L656" s="2">
        <f>IFERROR(__xludf.DUMMYFUNCTION("""COMPUTED_VALUE"""),56.9578232)</f>
        <v>56.9578232</v>
      </c>
      <c r="M656" s="2">
        <f>IFERROR(__xludf.DUMMYFUNCTION("""COMPUTED_VALUE"""),24.1106167)</f>
        <v>24.1106167</v>
      </c>
    </row>
    <row r="657">
      <c r="A657" s="2" t="str">
        <f>IFERROR(__xludf.DUMMYFUNCTION("""COMPUTED_VALUE"""),"For rent")</f>
        <v>For rent</v>
      </c>
      <c r="B657" s="2" t="str">
        <f>IFERROR(__xludf.DUMMYFUNCTION("""COMPUTED_VALUE"""),"Ķengarags")</f>
        <v>Ķengarags</v>
      </c>
      <c r="C657" s="2" t="str">
        <f>IFERROR(__xludf.DUMMYFUNCTION("""COMPUTED_VALUE"""),"Maskavas 261")</f>
        <v>Maskavas 261</v>
      </c>
      <c r="D657" s="2">
        <f>IFERROR(__xludf.DUMMYFUNCTION("""COMPUTED_VALUE"""),1.0)</f>
        <v>1</v>
      </c>
      <c r="E657" s="2">
        <f>IFERROR(__xludf.DUMMYFUNCTION("""COMPUTED_VALUE"""),19.0)</f>
        <v>19</v>
      </c>
      <c r="F657" s="2">
        <f>IFERROR(__xludf.DUMMYFUNCTION("""COMPUTED_VALUE"""),5.0)</f>
        <v>5</v>
      </c>
      <c r="G657" s="2">
        <f>IFERROR(__xludf.DUMMYFUNCTION("""COMPUTED_VALUE"""),5.0)</f>
        <v>5</v>
      </c>
      <c r="H657" s="2" t="str">
        <f>IFERROR(__xludf.DUMMYFUNCTION("""COMPUTED_VALUE"""),"Renov.")</f>
        <v>Renov.</v>
      </c>
      <c r="I657" s="2" t="str">
        <f>IFERROR(__xludf.DUMMYFUNCTION("""COMPUTED_VALUE"""),"Brick")</f>
        <v>Brick</v>
      </c>
      <c r="J657" s="2" t="str">
        <f>IFERROR(__xludf.DUMMYFUNCTION("""COMPUTED_VALUE"""),"All amenities")</f>
        <v>All amenities</v>
      </c>
      <c r="K657" s="2">
        <f>IFERROR(__xludf.DUMMYFUNCTION("""COMPUTED_VALUE"""),260.0)</f>
        <v>260</v>
      </c>
      <c r="L657" s="2">
        <f>IFERROR(__xludf.DUMMYFUNCTION("""COMPUTED_VALUE"""),56.8597884)</f>
        <v>56.8597884</v>
      </c>
      <c r="M657" s="2">
        <f>IFERROR(__xludf.DUMMYFUNCTION("""COMPUTED_VALUE"""),24.3083417)</f>
        <v>24.3083417</v>
      </c>
    </row>
    <row r="658">
      <c r="A658" s="2" t="str">
        <f>IFERROR(__xludf.DUMMYFUNCTION("""COMPUTED_VALUE"""),"For rent")</f>
        <v>For rent</v>
      </c>
      <c r="B658" s="2" t="str">
        <f>IFERROR(__xludf.DUMMYFUNCTION("""COMPUTED_VALUE"""),"Āgenskalns")</f>
        <v>Āgenskalns</v>
      </c>
      <c r="C658" s="2" t="str">
        <f>IFERROR(__xludf.DUMMYFUNCTION("""COMPUTED_VALUE"""),"Mūkusalas 29")</f>
        <v>Mūkusalas 29</v>
      </c>
      <c r="D658" s="2">
        <f>IFERROR(__xludf.DUMMYFUNCTION("""COMPUTED_VALUE"""),2.0)</f>
        <v>2</v>
      </c>
      <c r="E658" s="2">
        <f>IFERROR(__xludf.DUMMYFUNCTION("""COMPUTED_VALUE"""),61.0)</f>
        <v>61</v>
      </c>
      <c r="F658" s="2">
        <f>IFERROR(__xludf.DUMMYFUNCTION("""COMPUTED_VALUE"""),4.0)</f>
        <v>4</v>
      </c>
      <c r="G658" s="2">
        <f>IFERROR(__xludf.DUMMYFUNCTION("""COMPUTED_VALUE"""),4.0)</f>
        <v>4</v>
      </c>
      <c r="H658" s="2" t="str">
        <f>IFERROR(__xludf.DUMMYFUNCTION("""COMPUTED_VALUE"""),"Jaun.")</f>
        <v>Jaun.</v>
      </c>
      <c r="I658" s="2" t="str">
        <f>IFERROR(__xludf.DUMMYFUNCTION("""COMPUTED_VALUE"""),"Masonry")</f>
        <v>Masonry</v>
      </c>
      <c r="J658" s="2" t="str">
        <f>IFERROR(__xludf.DUMMYFUNCTION("""COMPUTED_VALUE"""),"All amenities")</f>
        <v>All amenities</v>
      </c>
      <c r="K658" s="2">
        <f>IFERROR(__xludf.DUMMYFUNCTION("""COMPUTED_VALUE"""),750.0)</f>
        <v>750</v>
      </c>
      <c r="L658" s="2">
        <f>IFERROR(__xludf.DUMMYFUNCTION("""COMPUTED_VALUE"""),56.93693955)</f>
        <v>56.93693955</v>
      </c>
      <c r="M658" s="2">
        <f>IFERROR(__xludf.DUMMYFUNCTION("""COMPUTED_VALUE"""),24.1019323631236)</f>
        <v>24.10193236</v>
      </c>
    </row>
    <row r="659">
      <c r="A659" s="2" t="str">
        <f>IFERROR(__xludf.DUMMYFUNCTION("""COMPUTED_VALUE"""),"For rent")</f>
        <v>For rent</v>
      </c>
      <c r="B659" s="2" t="str">
        <f>IFERROR(__xludf.DUMMYFUNCTION("""COMPUTED_VALUE"""),"centrs")</f>
        <v>centrs</v>
      </c>
      <c r="C659" s="2" t="str">
        <f>IFERROR(__xludf.DUMMYFUNCTION("""COMPUTED_VALUE"""),"Ausekļa 11")</f>
        <v>Ausekļa 11</v>
      </c>
      <c r="D659" s="2">
        <f>IFERROR(__xludf.DUMMYFUNCTION("""COMPUTED_VALUE"""),4.0)</f>
        <v>4</v>
      </c>
      <c r="E659" s="2">
        <f>IFERROR(__xludf.DUMMYFUNCTION("""COMPUTED_VALUE"""),145.0)</f>
        <v>145</v>
      </c>
      <c r="F659" s="2">
        <f>IFERROR(__xludf.DUMMYFUNCTION("""COMPUTED_VALUE"""),5.0)</f>
        <v>5</v>
      </c>
      <c r="G659" s="2">
        <f>IFERROR(__xludf.DUMMYFUNCTION("""COMPUTED_VALUE"""),6.0)</f>
        <v>6</v>
      </c>
      <c r="H659" s="2" t="str">
        <f>IFERROR(__xludf.DUMMYFUNCTION("""COMPUTED_VALUE"""),"P. kara")</f>
        <v>P. kara</v>
      </c>
      <c r="I659" s="2" t="str">
        <f>IFERROR(__xludf.DUMMYFUNCTION("""COMPUTED_VALUE"""),"Masonry")</f>
        <v>Masonry</v>
      </c>
      <c r="J659" s="2" t="str">
        <f>IFERROR(__xludf.DUMMYFUNCTION("""COMPUTED_VALUE"""),"All amenities")</f>
        <v>All amenities</v>
      </c>
      <c r="K659" s="2">
        <f>IFERROR(__xludf.DUMMYFUNCTION("""COMPUTED_VALUE"""),1200.0)</f>
        <v>1200</v>
      </c>
      <c r="L659" s="2">
        <f>IFERROR(__xludf.DUMMYFUNCTION("""COMPUTED_VALUE"""),56.9617633)</f>
        <v>56.9617633</v>
      </c>
      <c r="M659" s="2">
        <f>IFERROR(__xludf.DUMMYFUNCTION("""COMPUTED_VALUE"""),24.0998906442974)</f>
        <v>24.09989064</v>
      </c>
    </row>
    <row r="660">
      <c r="A660" s="2" t="str">
        <f>IFERROR(__xludf.DUMMYFUNCTION("""COMPUTED_VALUE"""),"For sale")</f>
        <v>For sale</v>
      </c>
      <c r="B660" s="2" t="str">
        <f>IFERROR(__xludf.DUMMYFUNCTION("""COMPUTED_VALUE"""),"Purvciems")</f>
        <v>Purvciems</v>
      </c>
      <c r="C660" s="2" t="str">
        <f>IFERROR(__xludf.DUMMYFUNCTION("""COMPUTED_VALUE"""),"Madonas 2")</f>
        <v>Madonas 2</v>
      </c>
      <c r="D660" s="2">
        <f>IFERROR(__xludf.DUMMYFUNCTION("""COMPUTED_VALUE"""),2.0)</f>
        <v>2</v>
      </c>
      <c r="E660" s="2">
        <f>IFERROR(__xludf.DUMMYFUNCTION("""COMPUTED_VALUE"""),48.0)</f>
        <v>48</v>
      </c>
      <c r="F660" s="2">
        <f>IFERROR(__xludf.DUMMYFUNCTION("""COMPUTED_VALUE"""),4.0)</f>
        <v>4</v>
      </c>
      <c r="G660" s="2">
        <f>IFERROR(__xludf.DUMMYFUNCTION("""COMPUTED_VALUE"""),5.0)</f>
        <v>5</v>
      </c>
      <c r="H660" s="2" t="str">
        <f>IFERROR(__xludf.DUMMYFUNCTION("""COMPUTED_VALUE"""),"Jaun.")</f>
        <v>Jaun.</v>
      </c>
      <c r="I660" s="2" t="str">
        <f>IFERROR(__xludf.DUMMYFUNCTION("""COMPUTED_VALUE"""),"Panel")</f>
        <v>Panel</v>
      </c>
      <c r="J660" s="2" t="str">
        <f>IFERROR(__xludf.DUMMYFUNCTION("""COMPUTED_VALUE"""),"All amenities")</f>
        <v>All amenities</v>
      </c>
      <c r="K660" s="2">
        <f>IFERROR(__xludf.DUMMYFUNCTION("""COMPUTED_VALUE"""),87000.0)</f>
        <v>87000</v>
      </c>
      <c r="L660" s="2">
        <f>IFERROR(__xludf.DUMMYFUNCTION("""COMPUTED_VALUE"""),56.9594410499999)</f>
        <v>56.95944105</v>
      </c>
      <c r="M660" s="2">
        <f>IFERROR(__xludf.DUMMYFUNCTION("""COMPUTED_VALUE"""),24.1666360443777)</f>
        <v>24.16663604</v>
      </c>
    </row>
    <row r="661">
      <c r="A661" s="2" t="str">
        <f>IFERROR(__xludf.DUMMYFUNCTION("""COMPUTED_VALUE"""),"For sale")</f>
        <v>For sale</v>
      </c>
      <c r="B661" s="2" t="str">
        <f>IFERROR(__xludf.DUMMYFUNCTION("""COMPUTED_VALUE"""),"Iļģuciems")</f>
        <v>Iļģuciems</v>
      </c>
      <c r="C661" s="2" t="str">
        <f>IFERROR(__xludf.DUMMYFUNCTION("""COMPUTED_VALUE"""),"Palangas 7")</f>
        <v>Palangas 7</v>
      </c>
      <c r="D661" s="2">
        <f>IFERROR(__xludf.DUMMYFUNCTION("""COMPUTED_VALUE"""),2.0)</f>
        <v>2</v>
      </c>
      <c r="E661" s="2">
        <f>IFERROR(__xludf.DUMMYFUNCTION("""COMPUTED_VALUE"""),49.0)</f>
        <v>49</v>
      </c>
      <c r="F661" s="2">
        <f>IFERROR(__xludf.DUMMYFUNCTION("""COMPUTED_VALUE"""),2.0)</f>
        <v>2</v>
      </c>
      <c r="G661" s="2">
        <f>IFERROR(__xludf.DUMMYFUNCTION("""COMPUTED_VALUE"""),5.0)</f>
        <v>5</v>
      </c>
      <c r="H661" s="2" t="str">
        <f>IFERROR(__xludf.DUMMYFUNCTION("""COMPUTED_VALUE"""),"LT proj.")</f>
        <v>LT proj.</v>
      </c>
      <c r="I661" s="2" t="str">
        <f>IFERROR(__xludf.DUMMYFUNCTION("""COMPUTED_VALUE"""),"Panel")</f>
        <v>Panel</v>
      </c>
      <c r="J661" s="2" t="str">
        <f>IFERROR(__xludf.DUMMYFUNCTION("""COMPUTED_VALUE"""),"All amenities")</f>
        <v>All amenities</v>
      </c>
      <c r="K661" s="2">
        <f>IFERROR(__xludf.DUMMYFUNCTION("""COMPUTED_VALUE"""),45000.0)</f>
        <v>45000</v>
      </c>
      <c r="L661" s="2">
        <f>IFERROR(__xludf.DUMMYFUNCTION("""COMPUTED_VALUE"""),56.970867)</f>
        <v>56.970867</v>
      </c>
      <c r="M661" s="2">
        <f>IFERROR(__xludf.DUMMYFUNCTION("""COMPUTED_VALUE"""),24.0538758814468)</f>
        <v>24.05387588</v>
      </c>
    </row>
    <row r="662">
      <c r="A662" s="2" t="str">
        <f>IFERROR(__xludf.DUMMYFUNCTION("""COMPUTED_VALUE"""),"For sale")</f>
        <v>For sale</v>
      </c>
      <c r="B662" s="2" t="str">
        <f>IFERROR(__xludf.DUMMYFUNCTION("""COMPUTED_VALUE"""),"Ķengarags")</f>
        <v>Ķengarags</v>
      </c>
      <c r="C662" s="2" t="str">
        <f>IFERROR(__xludf.DUMMYFUNCTION("""COMPUTED_VALUE"""),"Maskavas 291")</f>
        <v>Maskavas 291</v>
      </c>
      <c r="D662" s="2">
        <f>IFERROR(__xludf.DUMMYFUNCTION("""COMPUTED_VALUE"""),3.0)</f>
        <v>3</v>
      </c>
      <c r="E662" s="2">
        <f>IFERROR(__xludf.DUMMYFUNCTION("""COMPUTED_VALUE"""),62.0)</f>
        <v>62</v>
      </c>
      <c r="F662" s="2">
        <f>IFERROR(__xludf.DUMMYFUNCTION("""COMPUTED_VALUE"""),3.0)</f>
        <v>3</v>
      </c>
      <c r="G662" s="2">
        <f>IFERROR(__xludf.DUMMYFUNCTION("""COMPUTED_VALUE"""),5.0)</f>
        <v>5</v>
      </c>
      <c r="H662" s="2" t="str">
        <f>IFERROR(__xludf.DUMMYFUNCTION("""COMPUTED_VALUE"""),"LT proj.")</f>
        <v>LT proj.</v>
      </c>
      <c r="I662" s="2" t="str">
        <f>IFERROR(__xludf.DUMMYFUNCTION("""COMPUTED_VALUE"""),"Panel")</f>
        <v>Panel</v>
      </c>
      <c r="J662" s="2" t="str">
        <f>IFERROR(__xludf.DUMMYFUNCTION("""COMPUTED_VALUE"""),"All amenities")</f>
        <v>All amenities</v>
      </c>
      <c r="K662" s="2">
        <f>IFERROR(__xludf.DUMMYFUNCTION("""COMPUTED_VALUE"""),53900.0)</f>
        <v>53900</v>
      </c>
      <c r="L662" s="2">
        <f>IFERROR(__xludf.DUMMYFUNCTION("""COMPUTED_VALUE"""),56.9168339)</f>
        <v>56.9168339</v>
      </c>
      <c r="M662" s="2">
        <f>IFERROR(__xludf.DUMMYFUNCTION("""COMPUTED_VALUE"""),24.17698295)</f>
        <v>24.17698295</v>
      </c>
    </row>
    <row r="663">
      <c r="A663" s="2" t="str">
        <f>IFERROR(__xludf.DUMMYFUNCTION("""COMPUTED_VALUE"""),"For sale")</f>
        <v>For sale</v>
      </c>
      <c r="B663" s="2" t="str">
        <f>IFERROR(__xludf.DUMMYFUNCTION("""COMPUTED_VALUE"""),"Teika")</f>
        <v>Teika</v>
      </c>
      <c r="C663" s="2" t="str">
        <f>IFERROR(__xludf.DUMMYFUNCTION("""COMPUTED_VALUE"""),"Brīvības gatve 228")</f>
        <v>Brīvības gatve 228</v>
      </c>
      <c r="D663" s="2">
        <f>IFERROR(__xludf.DUMMYFUNCTION("""COMPUTED_VALUE"""),2.0)</f>
        <v>2</v>
      </c>
      <c r="E663" s="2">
        <f>IFERROR(__xludf.DUMMYFUNCTION("""COMPUTED_VALUE"""),56.0)</f>
        <v>56</v>
      </c>
      <c r="F663" s="2">
        <f>IFERROR(__xludf.DUMMYFUNCTION("""COMPUTED_VALUE"""),3.0)</f>
        <v>3</v>
      </c>
      <c r="G663" s="2">
        <f>IFERROR(__xludf.DUMMYFUNCTION("""COMPUTED_VALUE"""),4.0)</f>
        <v>4</v>
      </c>
      <c r="H663" s="2" t="str">
        <f>IFERROR(__xludf.DUMMYFUNCTION("""COMPUTED_VALUE"""),"Staļina")</f>
        <v>Staļina</v>
      </c>
      <c r="I663" s="2" t="str">
        <f>IFERROR(__xludf.DUMMYFUNCTION("""COMPUTED_VALUE"""),"Masonry")</f>
        <v>Masonry</v>
      </c>
      <c r="J663" s="2" t="str">
        <f>IFERROR(__xludf.DUMMYFUNCTION("""COMPUTED_VALUE"""),"All amenities")</f>
        <v>All amenities</v>
      </c>
      <c r="K663" s="2">
        <f>IFERROR(__xludf.DUMMYFUNCTION("""COMPUTED_VALUE"""),75000.0)</f>
        <v>75000</v>
      </c>
      <c r="L663" s="2">
        <f>IFERROR(__xludf.DUMMYFUNCTION("""COMPUTED_VALUE"""),56.9725209)</f>
        <v>56.9725209</v>
      </c>
      <c r="M663" s="2">
        <f>IFERROR(__xludf.DUMMYFUNCTION("""COMPUTED_VALUE"""),24.1654296)</f>
        <v>24.1654296</v>
      </c>
    </row>
    <row r="664">
      <c r="A664" s="2" t="str">
        <f>IFERROR(__xludf.DUMMYFUNCTION("""COMPUTED_VALUE"""),"For rent")</f>
        <v>For rent</v>
      </c>
      <c r="B664" s="2" t="str">
        <f>IFERROR(__xludf.DUMMYFUNCTION("""COMPUTED_VALUE"""),"Vecrīga")</f>
        <v>Vecrīga</v>
      </c>
      <c r="C664" s="2" t="str">
        <f>IFERROR(__xludf.DUMMYFUNCTION("""COMPUTED_VALUE"""),"Kalēju 74")</f>
        <v>Kalēju 74</v>
      </c>
      <c r="D664" s="2">
        <f>IFERROR(__xludf.DUMMYFUNCTION("""COMPUTED_VALUE"""),2.0)</f>
        <v>2</v>
      </c>
      <c r="E664" s="2">
        <f>IFERROR(__xludf.DUMMYFUNCTION("""COMPUTED_VALUE"""),72.0)</f>
        <v>72</v>
      </c>
      <c r="F664" s="2">
        <f>IFERROR(__xludf.DUMMYFUNCTION("""COMPUTED_VALUE"""),4.0)</f>
        <v>4</v>
      </c>
      <c r="G664" s="2">
        <f>IFERROR(__xludf.DUMMYFUNCTION("""COMPUTED_VALUE"""),7.0)</f>
        <v>7</v>
      </c>
      <c r="H664" s="2" t="str">
        <f>IFERROR(__xludf.DUMMYFUNCTION("""COMPUTED_VALUE"""),"Jaun.")</f>
        <v>Jaun.</v>
      </c>
      <c r="I664" s="2" t="str">
        <f>IFERROR(__xludf.DUMMYFUNCTION("""COMPUTED_VALUE"""),"Panel")</f>
        <v>Panel</v>
      </c>
      <c r="J664" s="2" t="str">
        <f>IFERROR(__xludf.DUMMYFUNCTION("""COMPUTED_VALUE"""),"All amenities")</f>
        <v>All amenities</v>
      </c>
      <c r="K664" s="2">
        <f>IFERROR(__xludf.DUMMYFUNCTION("""COMPUTED_VALUE"""),650.0)</f>
        <v>650</v>
      </c>
      <c r="L664" s="2">
        <f>IFERROR(__xludf.DUMMYFUNCTION("""COMPUTED_VALUE"""),56.945456)</f>
        <v>56.945456</v>
      </c>
      <c r="M664" s="2">
        <f>IFERROR(__xludf.DUMMYFUNCTION("""COMPUTED_VALUE"""),24.1115799)</f>
        <v>24.1115799</v>
      </c>
    </row>
    <row r="665">
      <c r="A665" s="2" t="str">
        <f>IFERROR(__xludf.DUMMYFUNCTION("""COMPUTED_VALUE"""),"For rent")</f>
        <v>For rent</v>
      </c>
      <c r="B665" s="2" t="str">
        <f>IFERROR(__xludf.DUMMYFUNCTION("""COMPUTED_VALUE"""),"Jugla")</f>
        <v>Jugla</v>
      </c>
      <c r="C665" s="2" t="str">
        <f>IFERROR(__xludf.DUMMYFUNCTION("""COMPUTED_VALUE"""),"Ciemupes 2")</f>
        <v>Ciemupes 2</v>
      </c>
      <c r="D665" s="2">
        <f>IFERROR(__xludf.DUMMYFUNCTION("""COMPUTED_VALUE"""),3.0)</f>
        <v>3</v>
      </c>
      <c r="E665" s="2">
        <f>IFERROR(__xludf.DUMMYFUNCTION("""COMPUTED_VALUE"""),130.0)</f>
        <v>130</v>
      </c>
      <c r="F665" s="2">
        <f>IFERROR(__xludf.DUMMYFUNCTION("""COMPUTED_VALUE"""),9.0)</f>
        <v>9</v>
      </c>
      <c r="G665" s="2">
        <f>IFERROR(__xludf.DUMMYFUNCTION("""COMPUTED_VALUE"""),9.0)</f>
        <v>9</v>
      </c>
      <c r="H665" s="2" t="str">
        <f>IFERROR(__xludf.DUMMYFUNCTION("""COMPUTED_VALUE"""),"Jaun.")</f>
        <v>Jaun.</v>
      </c>
      <c r="I665" s="2" t="str">
        <f>IFERROR(__xludf.DUMMYFUNCTION("""COMPUTED_VALUE"""),"Brick-Panel")</f>
        <v>Brick-Panel</v>
      </c>
      <c r="J665" s="2" t="str">
        <f>IFERROR(__xludf.DUMMYFUNCTION("""COMPUTED_VALUE"""),"All amenities")</f>
        <v>All amenities</v>
      </c>
      <c r="K665" s="2">
        <f>IFERROR(__xludf.DUMMYFUNCTION("""COMPUTED_VALUE"""),690.0)</f>
        <v>690</v>
      </c>
      <c r="L665" s="2">
        <f>IFERROR(__xludf.DUMMYFUNCTION("""COMPUTED_VALUE"""),56.9872927)</f>
        <v>56.9872927</v>
      </c>
      <c r="M665" s="2">
        <f>IFERROR(__xludf.DUMMYFUNCTION("""COMPUTED_VALUE"""),24.2472637777653)</f>
        <v>24.24726378</v>
      </c>
    </row>
    <row r="666">
      <c r="A666" s="2" t="str">
        <f>IFERROR(__xludf.DUMMYFUNCTION("""COMPUTED_VALUE"""),"For sale")</f>
        <v>For sale</v>
      </c>
      <c r="B666" s="2" t="str">
        <f>IFERROR(__xludf.DUMMYFUNCTION("""COMPUTED_VALUE"""),"Vecmīlgrāvis")</f>
        <v>Vecmīlgrāvis</v>
      </c>
      <c r="C666" s="2" t="str">
        <f>IFERROR(__xludf.DUMMYFUNCTION("""COMPUTED_VALUE"""),"Kāvu 10")</f>
        <v>Kāvu 10</v>
      </c>
      <c r="D666" s="2">
        <f>IFERROR(__xludf.DUMMYFUNCTION("""COMPUTED_VALUE"""),2.0)</f>
        <v>2</v>
      </c>
      <c r="E666" s="2">
        <f>IFERROR(__xludf.DUMMYFUNCTION("""COMPUTED_VALUE"""),50.0)</f>
        <v>50</v>
      </c>
      <c r="F666" s="2">
        <f>IFERROR(__xludf.DUMMYFUNCTION("""COMPUTED_VALUE"""),1.0)</f>
        <v>1</v>
      </c>
      <c r="G666" s="2">
        <f>IFERROR(__xludf.DUMMYFUNCTION("""COMPUTED_VALUE"""),5.0)</f>
        <v>5</v>
      </c>
      <c r="H666" s="2" t="str">
        <f>IFERROR(__xludf.DUMMYFUNCTION("""COMPUTED_VALUE"""),"LT proj.")</f>
        <v>LT proj.</v>
      </c>
      <c r="I666" s="2" t="str">
        <f>IFERROR(__xludf.DUMMYFUNCTION("""COMPUTED_VALUE"""),"Panel")</f>
        <v>Panel</v>
      </c>
      <c r="J666" s="2" t="str">
        <f>IFERROR(__xludf.DUMMYFUNCTION("""COMPUTED_VALUE"""),"All amenities")</f>
        <v>All amenities</v>
      </c>
      <c r="K666" s="2">
        <f>IFERROR(__xludf.DUMMYFUNCTION("""COMPUTED_VALUE"""),38500.0)</f>
        <v>38500</v>
      </c>
      <c r="L666" s="2">
        <f>IFERROR(__xludf.DUMMYFUNCTION("""COMPUTED_VALUE"""),57.0338716499999)</f>
        <v>57.03387165</v>
      </c>
      <c r="M666" s="2">
        <f>IFERROR(__xludf.DUMMYFUNCTION("""COMPUTED_VALUE"""),24.1016223840699)</f>
        <v>24.10162238</v>
      </c>
    </row>
    <row r="667">
      <c r="A667" s="2" t="str">
        <f>IFERROR(__xludf.DUMMYFUNCTION("""COMPUTED_VALUE"""),"For rent")</f>
        <v>For rent</v>
      </c>
      <c r="B667" s="2" t="str">
        <f>IFERROR(__xludf.DUMMYFUNCTION("""COMPUTED_VALUE"""),"Maskavas priekšpilsēta")</f>
        <v>Maskavas priekšpilsēta</v>
      </c>
      <c r="C667" s="2" t="str">
        <f>IFERROR(__xludf.DUMMYFUNCTION("""COMPUTED_VALUE"""),"Maskavas 146")</f>
        <v>Maskavas 146</v>
      </c>
      <c r="D667" s="2">
        <f>IFERROR(__xludf.DUMMYFUNCTION("""COMPUTED_VALUE"""),1.0)</f>
        <v>1</v>
      </c>
      <c r="E667" s="2">
        <f>IFERROR(__xludf.DUMMYFUNCTION("""COMPUTED_VALUE"""),20.0)</f>
        <v>20</v>
      </c>
      <c r="F667" s="2">
        <f>IFERROR(__xludf.DUMMYFUNCTION("""COMPUTED_VALUE"""),1.0)</f>
        <v>1</v>
      </c>
      <c r="G667" s="2">
        <f>IFERROR(__xludf.DUMMYFUNCTION("""COMPUTED_VALUE"""),5.0)</f>
        <v>5</v>
      </c>
      <c r="H667" s="2" t="str">
        <f>IFERROR(__xludf.DUMMYFUNCTION("""COMPUTED_VALUE"""),"Renov.")</f>
        <v>Renov.</v>
      </c>
      <c r="I667" s="2" t="str">
        <f>IFERROR(__xludf.DUMMYFUNCTION("""COMPUTED_VALUE"""),"Brick")</f>
        <v>Brick</v>
      </c>
      <c r="J667" s="2" t="str">
        <f>IFERROR(__xludf.DUMMYFUNCTION("""COMPUTED_VALUE"""),"All amenities")</f>
        <v>All amenities</v>
      </c>
      <c r="K667" s="2">
        <f>IFERROR(__xludf.DUMMYFUNCTION("""COMPUTED_VALUE"""),260.0)</f>
        <v>260</v>
      </c>
      <c r="L667" s="2">
        <f>IFERROR(__xludf.DUMMYFUNCTION("""COMPUTED_VALUE"""),56.8597884)</f>
        <v>56.8597884</v>
      </c>
      <c r="M667" s="2">
        <f>IFERROR(__xludf.DUMMYFUNCTION("""COMPUTED_VALUE"""),24.3083417)</f>
        <v>24.3083417</v>
      </c>
    </row>
    <row r="668">
      <c r="A668" s="2" t="str">
        <f>IFERROR(__xludf.DUMMYFUNCTION("""COMPUTED_VALUE"""),"For sale")</f>
        <v>For sale</v>
      </c>
      <c r="B668" s="2" t="str">
        <f>IFERROR(__xludf.DUMMYFUNCTION("""COMPUTED_VALUE"""),"centrs")</f>
        <v>centrs</v>
      </c>
      <c r="C668" s="2" t="str">
        <f>IFERROR(__xludf.DUMMYFUNCTION("""COMPUTED_VALUE"""),"Ģertrūdes 99")</f>
        <v>Ģertrūdes 99</v>
      </c>
      <c r="D668" s="2">
        <f>IFERROR(__xludf.DUMMYFUNCTION("""COMPUTED_VALUE"""),2.0)</f>
        <v>2</v>
      </c>
      <c r="E668" s="2">
        <f>IFERROR(__xludf.DUMMYFUNCTION("""COMPUTED_VALUE"""),46.0)</f>
        <v>46</v>
      </c>
      <c r="F668" s="2">
        <f>IFERROR(__xludf.DUMMYFUNCTION("""COMPUTED_VALUE"""),2.0)</f>
        <v>2</v>
      </c>
      <c r="G668" s="2">
        <f>IFERROR(__xludf.DUMMYFUNCTION("""COMPUTED_VALUE"""),6.0)</f>
        <v>6</v>
      </c>
      <c r="H668" s="2" t="str">
        <f>IFERROR(__xludf.DUMMYFUNCTION("""COMPUTED_VALUE"""),"Renov.")</f>
        <v>Renov.</v>
      </c>
      <c r="I668" s="2" t="str">
        <f>IFERROR(__xludf.DUMMYFUNCTION("""COMPUTED_VALUE"""),"Masonry")</f>
        <v>Masonry</v>
      </c>
      <c r="J668" s="2" t="str">
        <f>IFERROR(__xludf.DUMMYFUNCTION("""COMPUTED_VALUE"""),"All amenities")</f>
        <v>All amenities</v>
      </c>
      <c r="K668" s="2">
        <f>IFERROR(__xludf.DUMMYFUNCTION("""COMPUTED_VALUE"""),99029.0)</f>
        <v>99029</v>
      </c>
      <c r="L668" s="2">
        <f>IFERROR(__xludf.DUMMYFUNCTION("""COMPUTED_VALUE"""),56.94999685)</f>
        <v>56.94999685</v>
      </c>
      <c r="M668" s="2">
        <f>IFERROR(__xludf.DUMMYFUNCTION("""COMPUTED_VALUE"""),24.1364139006283)</f>
        <v>24.1364139</v>
      </c>
    </row>
    <row r="669">
      <c r="A669" s="2" t="str">
        <f>IFERROR(__xludf.DUMMYFUNCTION("""COMPUTED_VALUE"""),"For sale")</f>
        <v>For sale</v>
      </c>
      <c r="B669" s="2" t="str">
        <f>IFERROR(__xludf.DUMMYFUNCTION("""COMPUTED_VALUE"""),"Vecrīga")</f>
        <v>Vecrīga</v>
      </c>
      <c r="C669" s="2" t="str">
        <f>IFERROR(__xludf.DUMMYFUNCTION("""COMPUTED_VALUE"""),"13. janvāra 33")</f>
        <v>13. janvāra 33</v>
      </c>
      <c r="D669" s="2">
        <f>IFERROR(__xludf.DUMMYFUNCTION("""COMPUTED_VALUE"""),3.0)</f>
        <v>3</v>
      </c>
      <c r="E669" s="2">
        <f>IFERROR(__xludf.DUMMYFUNCTION("""COMPUTED_VALUE"""),82.0)</f>
        <v>82</v>
      </c>
      <c r="F669" s="2">
        <f>IFERROR(__xludf.DUMMYFUNCTION("""COMPUTED_VALUE"""),2.0)</f>
        <v>2</v>
      </c>
      <c r="G669" s="2">
        <f>IFERROR(__xludf.DUMMYFUNCTION("""COMPUTED_VALUE"""),4.0)</f>
        <v>4</v>
      </c>
      <c r="H669" s="2" t="str">
        <f>IFERROR(__xludf.DUMMYFUNCTION("""COMPUTED_VALUE"""),"P. kara")</f>
        <v>P. kara</v>
      </c>
      <c r="I669" s="2" t="str">
        <f>IFERROR(__xludf.DUMMYFUNCTION("""COMPUTED_VALUE"""),"Brick")</f>
        <v>Brick</v>
      </c>
      <c r="J669" s="2" t="str">
        <f>IFERROR(__xludf.DUMMYFUNCTION("""COMPUTED_VALUE"""),"All amenities")</f>
        <v>All amenities</v>
      </c>
      <c r="K669" s="2">
        <f>IFERROR(__xludf.DUMMYFUNCTION("""COMPUTED_VALUE"""),124000.0)</f>
        <v>124000</v>
      </c>
      <c r="L669" s="2">
        <f>IFERROR(__xludf.DUMMYFUNCTION("""COMPUTED_VALUE"""),56.94451965)</f>
        <v>56.94451965</v>
      </c>
      <c r="M669" s="2">
        <f>IFERROR(__xludf.DUMMYFUNCTION("""COMPUTED_VALUE"""),24.1097848172545)</f>
        <v>24.10978482</v>
      </c>
    </row>
    <row r="670">
      <c r="A670" s="2" t="str">
        <f>IFERROR(__xludf.DUMMYFUNCTION("""COMPUTED_VALUE"""),"For sale")</f>
        <v>For sale</v>
      </c>
      <c r="B670" s="2" t="str">
        <f>IFERROR(__xludf.DUMMYFUNCTION("""COMPUTED_VALUE"""),"centrs")</f>
        <v>centrs</v>
      </c>
      <c r="C670" s="2" t="str">
        <f>IFERROR(__xludf.DUMMYFUNCTION("""COMPUTED_VALUE"""),"Miera 105")</f>
        <v>Miera 105</v>
      </c>
      <c r="D670" s="2">
        <f>IFERROR(__xludf.DUMMYFUNCTION("""COMPUTED_VALUE"""),2.0)</f>
        <v>2</v>
      </c>
      <c r="E670" s="2">
        <f>IFERROR(__xludf.DUMMYFUNCTION("""COMPUTED_VALUE"""),46.5)</f>
        <v>46.5</v>
      </c>
      <c r="F670" s="2">
        <f>IFERROR(__xludf.DUMMYFUNCTION("""COMPUTED_VALUE"""),6.0)</f>
        <v>6</v>
      </c>
      <c r="G670" s="2">
        <f>IFERROR(__xludf.DUMMYFUNCTION("""COMPUTED_VALUE"""),6.0)</f>
        <v>6</v>
      </c>
      <c r="H670" s="2" t="str">
        <f>IFERROR(__xludf.DUMMYFUNCTION("""COMPUTED_VALUE"""),"Renov.")</f>
        <v>Renov.</v>
      </c>
      <c r="I670" s="2" t="str">
        <f>IFERROR(__xludf.DUMMYFUNCTION("""COMPUTED_VALUE"""),"Masonry")</f>
        <v>Masonry</v>
      </c>
      <c r="J670" s="2" t="str">
        <f>IFERROR(__xludf.DUMMYFUNCTION("""COMPUTED_VALUE"""),"All amenities")</f>
        <v>All amenities</v>
      </c>
      <c r="K670" s="2">
        <f>IFERROR(__xludf.DUMMYFUNCTION("""COMPUTED_VALUE"""),81400.0)</f>
        <v>81400</v>
      </c>
      <c r="L670" s="2">
        <f>IFERROR(__xludf.DUMMYFUNCTION("""COMPUTED_VALUE"""),56.9665763)</f>
        <v>56.9665763</v>
      </c>
      <c r="M670" s="2">
        <f>IFERROR(__xludf.DUMMYFUNCTION("""COMPUTED_VALUE"""),24.1337504)</f>
        <v>24.1337504</v>
      </c>
    </row>
    <row r="671">
      <c r="A671" s="2" t="str">
        <f>IFERROR(__xludf.DUMMYFUNCTION("""COMPUTED_VALUE"""),"For sale")</f>
        <v>For sale</v>
      </c>
      <c r="B671" s="2" t="str">
        <f>IFERROR(__xludf.DUMMYFUNCTION("""COMPUTED_VALUE"""),"Purvciems")</f>
        <v>Purvciems</v>
      </c>
      <c r="C671" s="2" t="str">
        <f>IFERROR(__xludf.DUMMYFUNCTION("""COMPUTED_VALUE"""),"Ilūkstes 103/3")</f>
        <v>Ilūkstes 103/3</v>
      </c>
      <c r="D671" s="2">
        <f>IFERROR(__xludf.DUMMYFUNCTION("""COMPUTED_VALUE"""),2.0)</f>
        <v>2</v>
      </c>
      <c r="E671" s="2">
        <f>IFERROR(__xludf.DUMMYFUNCTION("""COMPUTED_VALUE"""),49.0)</f>
        <v>49</v>
      </c>
      <c r="F671" s="2">
        <f>IFERROR(__xludf.DUMMYFUNCTION("""COMPUTED_VALUE"""),7.0)</f>
        <v>7</v>
      </c>
      <c r="G671" s="2">
        <f>IFERROR(__xludf.DUMMYFUNCTION("""COMPUTED_VALUE"""),9.0)</f>
        <v>9</v>
      </c>
      <c r="H671" s="2">
        <f>IFERROR(__xludf.DUMMYFUNCTION("""COMPUTED_VALUE"""),467.0)</f>
        <v>467</v>
      </c>
      <c r="I671" s="2" t="str">
        <f>IFERROR(__xludf.DUMMYFUNCTION("""COMPUTED_VALUE"""),"Panel")</f>
        <v>Panel</v>
      </c>
      <c r="J671" s="2" t="str">
        <f>IFERROR(__xludf.DUMMYFUNCTION("""COMPUTED_VALUE"""),"All amenities")</f>
        <v>All amenities</v>
      </c>
      <c r="K671" s="2">
        <f>IFERROR(__xludf.DUMMYFUNCTION("""COMPUTED_VALUE"""),60500.0)</f>
        <v>60500</v>
      </c>
      <c r="L671" s="2">
        <f>IFERROR(__xludf.DUMMYFUNCTION("""COMPUTED_VALUE"""),56.9346287)</f>
        <v>56.9346287</v>
      </c>
      <c r="M671" s="2">
        <f>IFERROR(__xludf.DUMMYFUNCTION("""COMPUTED_VALUE"""),24.195207)</f>
        <v>24.195207</v>
      </c>
    </row>
    <row r="672">
      <c r="A672" s="2" t="str">
        <f>IFERROR(__xludf.DUMMYFUNCTION("""COMPUTED_VALUE"""),"For rent")</f>
        <v>For rent</v>
      </c>
      <c r="B672" s="2" t="str">
        <f>IFERROR(__xludf.DUMMYFUNCTION("""COMPUTED_VALUE"""),"centrs")</f>
        <v>centrs</v>
      </c>
      <c r="C672" s="2" t="str">
        <f>IFERROR(__xludf.DUMMYFUNCTION("""COMPUTED_VALUE"""),"Stabu 46")</f>
        <v>Stabu 46</v>
      </c>
      <c r="D672" s="2">
        <f>IFERROR(__xludf.DUMMYFUNCTION("""COMPUTED_VALUE"""),1.0)</f>
        <v>1</v>
      </c>
      <c r="E672" s="2">
        <f>IFERROR(__xludf.DUMMYFUNCTION("""COMPUTED_VALUE"""),14.0)</f>
        <v>14</v>
      </c>
      <c r="F672" s="2">
        <f>IFERROR(__xludf.DUMMYFUNCTION("""COMPUTED_VALUE"""),5.0)</f>
        <v>5</v>
      </c>
      <c r="G672" s="2">
        <f>IFERROR(__xludf.DUMMYFUNCTION("""COMPUTED_VALUE"""),6.0)</f>
        <v>6</v>
      </c>
      <c r="H672" s="2" t="str">
        <f>IFERROR(__xludf.DUMMYFUNCTION("""COMPUTED_VALUE"""),"P. kara")</f>
        <v>P. kara</v>
      </c>
      <c r="I672" s="2" t="str">
        <f>IFERROR(__xludf.DUMMYFUNCTION("""COMPUTED_VALUE"""),"Masonry")</f>
        <v>Masonry</v>
      </c>
      <c r="J672" s="2" t="str">
        <f>IFERROR(__xludf.DUMMYFUNCTION("""COMPUTED_VALUE"""),"All amenities")</f>
        <v>All amenities</v>
      </c>
      <c r="K672" s="2">
        <f>IFERROR(__xludf.DUMMYFUNCTION("""COMPUTED_VALUE"""),150.0)</f>
        <v>150</v>
      </c>
      <c r="L672" s="2">
        <f>IFERROR(__xludf.DUMMYFUNCTION("""COMPUTED_VALUE"""),56.9543322)</f>
        <v>56.9543322</v>
      </c>
      <c r="M672" s="2">
        <f>IFERROR(__xludf.DUMMYFUNCTION("""COMPUTED_VALUE"""),24.1313043698515)</f>
        <v>24.13130437</v>
      </c>
    </row>
    <row r="673">
      <c r="A673" s="2" t="str">
        <f>IFERROR(__xludf.DUMMYFUNCTION("""COMPUTED_VALUE"""),"For sale")</f>
        <v>For sale</v>
      </c>
      <c r="B673" s="2" t="str">
        <f>IFERROR(__xludf.DUMMYFUNCTION("""COMPUTED_VALUE"""),"centrs")</f>
        <v>centrs</v>
      </c>
      <c r="C673" s="2" t="str">
        <f>IFERROR(__xludf.DUMMYFUNCTION("""COMPUTED_VALUE"""),"Elku 4")</f>
        <v>Elku 4</v>
      </c>
      <c r="D673" s="2">
        <f>IFERROR(__xludf.DUMMYFUNCTION("""COMPUTED_VALUE"""),3.0)</f>
        <v>3</v>
      </c>
      <c r="E673" s="2">
        <f>IFERROR(__xludf.DUMMYFUNCTION("""COMPUTED_VALUE"""),108.0)</f>
        <v>108</v>
      </c>
      <c r="F673" s="2">
        <f>IFERROR(__xludf.DUMMYFUNCTION("""COMPUTED_VALUE"""),6.0)</f>
        <v>6</v>
      </c>
      <c r="G673" s="2">
        <f>IFERROR(__xludf.DUMMYFUNCTION("""COMPUTED_VALUE"""),6.0)</f>
        <v>6</v>
      </c>
      <c r="H673" s="2" t="str">
        <f>IFERROR(__xludf.DUMMYFUNCTION("""COMPUTED_VALUE"""),"Renov.")</f>
        <v>Renov.</v>
      </c>
      <c r="I673" s="2" t="str">
        <f>IFERROR(__xludf.DUMMYFUNCTION("""COMPUTED_VALUE"""),"Brick")</f>
        <v>Brick</v>
      </c>
      <c r="J673" s="2" t="str">
        <f>IFERROR(__xludf.DUMMYFUNCTION("""COMPUTED_VALUE"""),"All amenities")</f>
        <v>All amenities</v>
      </c>
      <c r="K673" s="2">
        <f>IFERROR(__xludf.DUMMYFUNCTION("""COMPUTED_VALUE"""),169000.0)</f>
        <v>169000</v>
      </c>
      <c r="L673" s="2">
        <f>IFERROR(__xludf.DUMMYFUNCTION("""COMPUTED_VALUE"""),56.96741145)</f>
        <v>56.96741145</v>
      </c>
      <c r="M673" s="2">
        <f>IFERROR(__xludf.DUMMYFUNCTION("""COMPUTED_VALUE"""),24.1444746789804)</f>
        <v>24.14447468</v>
      </c>
    </row>
    <row r="674">
      <c r="A674" s="2" t="str">
        <f>IFERROR(__xludf.DUMMYFUNCTION("""COMPUTED_VALUE"""),"For sale")</f>
        <v>For sale</v>
      </c>
      <c r="B674" s="2" t="str">
        <f>IFERROR(__xludf.DUMMYFUNCTION("""COMPUTED_VALUE"""),"Imanta")</f>
        <v>Imanta</v>
      </c>
      <c r="C674" s="2" t="str">
        <f>IFERROR(__xludf.DUMMYFUNCTION("""COMPUTED_VALUE"""),"Kleistu 11-1")</f>
        <v>Kleistu 11-1</v>
      </c>
      <c r="D674" s="2">
        <f>IFERROR(__xludf.DUMMYFUNCTION("""COMPUTED_VALUE"""),3.0)</f>
        <v>3</v>
      </c>
      <c r="E674" s="2">
        <f>IFERROR(__xludf.DUMMYFUNCTION("""COMPUTED_VALUE"""),74.0)</f>
        <v>74</v>
      </c>
      <c r="F674" s="2">
        <f>IFERROR(__xludf.DUMMYFUNCTION("""COMPUTED_VALUE"""),6.0)</f>
        <v>6</v>
      </c>
      <c r="G674" s="2">
        <f>IFERROR(__xludf.DUMMYFUNCTION("""COMPUTED_VALUE"""),12.0)</f>
        <v>12</v>
      </c>
      <c r="H674" s="2" t="str">
        <f>IFERROR(__xludf.DUMMYFUNCTION("""COMPUTED_VALUE"""),"Jaun.")</f>
        <v>Jaun.</v>
      </c>
      <c r="I674" s="2" t="str">
        <f>IFERROR(__xludf.DUMMYFUNCTION("""COMPUTED_VALUE"""),"Panel")</f>
        <v>Panel</v>
      </c>
      <c r="J674" s="2" t="str">
        <f>IFERROR(__xludf.DUMMYFUNCTION("""COMPUTED_VALUE"""),"All amenities")</f>
        <v>All amenities</v>
      </c>
      <c r="K674" s="2">
        <f>IFERROR(__xludf.DUMMYFUNCTION("""COMPUTED_VALUE"""),115000.0)</f>
        <v>115000</v>
      </c>
      <c r="L674" s="2">
        <f>IFERROR(__xludf.DUMMYFUNCTION("""COMPUTED_VALUE"""),56.9675737)</f>
        <v>56.9675737</v>
      </c>
      <c r="M674" s="2">
        <f>IFERROR(__xludf.DUMMYFUNCTION("""COMPUTED_VALUE"""),24.0276706)</f>
        <v>24.0276706</v>
      </c>
    </row>
    <row r="675">
      <c r="A675" s="2" t="str">
        <f>IFERROR(__xludf.DUMMYFUNCTION("""COMPUTED_VALUE"""),"For sale")</f>
        <v>For sale</v>
      </c>
      <c r="B675" s="2" t="str">
        <f>IFERROR(__xludf.DUMMYFUNCTION("""COMPUTED_VALUE"""),"centrs")</f>
        <v>centrs</v>
      </c>
      <c r="C675" s="2" t="str">
        <f>IFERROR(__xludf.DUMMYFUNCTION("""COMPUTED_VALUE"""),"Valdemāra 106")</f>
        <v>Valdemāra 106</v>
      </c>
      <c r="D675" s="2">
        <f>IFERROR(__xludf.DUMMYFUNCTION("""COMPUTED_VALUE"""),3.0)</f>
        <v>3</v>
      </c>
      <c r="E675" s="2">
        <f>IFERROR(__xludf.DUMMYFUNCTION("""COMPUTED_VALUE"""),76.0)</f>
        <v>76</v>
      </c>
      <c r="F675" s="2">
        <f>IFERROR(__xludf.DUMMYFUNCTION("""COMPUTED_VALUE"""),1.0)</f>
        <v>1</v>
      </c>
      <c r="G675" s="2">
        <f>IFERROR(__xludf.DUMMYFUNCTION("""COMPUTED_VALUE"""),5.0)</f>
        <v>5</v>
      </c>
      <c r="H675" s="2" t="str">
        <f>IFERROR(__xludf.DUMMYFUNCTION("""COMPUTED_VALUE"""),"Staļina")</f>
        <v>Staļina</v>
      </c>
      <c r="I675" s="2" t="str">
        <f>IFERROR(__xludf.DUMMYFUNCTION("""COMPUTED_VALUE"""),"Masonry")</f>
        <v>Masonry</v>
      </c>
      <c r="J675" s="2" t="str">
        <f>IFERROR(__xludf.DUMMYFUNCTION("""COMPUTED_VALUE"""),"All amenities")</f>
        <v>All amenities</v>
      </c>
      <c r="K675" s="2">
        <f>IFERROR(__xludf.DUMMYFUNCTION("""COMPUTED_VALUE"""),129000.0)</f>
        <v>129000</v>
      </c>
      <c r="L675" s="2">
        <f>IFERROR(__xludf.DUMMYFUNCTION("""COMPUTED_VALUE"""),56.9717941)</f>
        <v>56.9717941</v>
      </c>
      <c r="M675" s="2">
        <f>IFERROR(__xludf.DUMMYFUNCTION("""COMPUTED_VALUE"""),24.134779)</f>
        <v>24.134779</v>
      </c>
    </row>
    <row r="676">
      <c r="A676" s="2" t="str">
        <f>IFERROR(__xludf.DUMMYFUNCTION("""COMPUTED_VALUE"""),"For rent")</f>
        <v>For rent</v>
      </c>
      <c r="B676" s="2" t="str">
        <f>IFERROR(__xludf.DUMMYFUNCTION("""COMPUTED_VALUE"""),"Teika")</f>
        <v>Teika</v>
      </c>
      <c r="C676" s="2" t="str">
        <f>IFERROR(__xludf.DUMMYFUNCTION("""COMPUTED_VALUE"""),"Ūnijas 36")</f>
        <v>Ūnijas 36</v>
      </c>
      <c r="D676" s="2">
        <f>IFERROR(__xludf.DUMMYFUNCTION("""COMPUTED_VALUE"""),1.0)</f>
        <v>1</v>
      </c>
      <c r="E676" s="2">
        <f>IFERROR(__xludf.DUMMYFUNCTION("""COMPUTED_VALUE"""),20.0)</f>
        <v>20</v>
      </c>
      <c r="F676" s="2">
        <f>IFERROR(__xludf.DUMMYFUNCTION("""COMPUTED_VALUE"""),1.0)</f>
        <v>1</v>
      </c>
      <c r="G676" s="2">
        <f>IFERROR(__xludf.DUMMYFUNCTION("""COMPUTED_VALUE"""),5.0)</f>
        <v>5</v>
      </c>
      <c r="H676" s="2">
        <f>IFERROR(__xludf.DUMMYFUNCTION("""COMPUTED_VALUE"""),103.0)</f>
        <v>103</v>
      </c>
      <c r="I676" s="2" t="str">
        <f>IFERROR(__xludf.DUMMYFUNCTION("""COMPUTED_VALUE"""),"Brick-Panel")</f>
        <v>Brick-Panel</v>
      </c>
      <c r="J676" s="2" t="str">
        <f>IFERROR(__xludf.DUMMYFUNCTION("""COMPUTED_VALUE"""),"All amenities")</f>
        <v>All amenities</v>
      </c>
      <c r="K676" s="2">
        <f>IFERROR(__xludf.DUMMYFUNCTION("""COMPUTED_VALUE"""),160.0)</f>
        <v>160</v>
      </c>
      <c r="L676" s="2">
        <f>IFERROR(__xludf.DUMMYFUNCTION("""COMPUTED_VALUE"""),56.96655575)</f>
        <v>56.96655575</v>
      </c>
      <c r="M676" s="2">
        <f>IFERROR(__xludf.DUMMYFUNCTION("""COMPUTED_VALUE"""),24.1741245533356)</f>
        <v>24.17412455</v>
      </c>
    </row>
    <row r="677">
      <c r="A677" s="2" t="str">
        <f>IFERROR(__xludf.DUMMYFUNCTION("""COMPUTED_VALUE"""),"For sale")</f>
        <v>For sale</v>
      </c>
      <c r="B677" s="2" t="str">
        <f>IFERROR(__xludf.DUMMYFUNCTION("""COMPUTED_VALUE"""),"Imanta")</f>
        <v>Imanta</v>
      </c>
      <c r="C677" s="2" t="str">
        <f>IFERROR(__xludf.DUMMYFUNCTION("""COMPUTED_VALUE"""),"Dammes 25")</f>
        <v>Dammes 25</v>
      </c>
      <c r="D677" s="2">
        <f>IFERROR(__xludf.DUMMYFUNCTION("""COMPUTED_VALUE"""),2.0)</f>
        <v>2</v>
      </c>
      <c r="E677" s="2">
        <f>IFERROR(__xludf.DUMMYFUNCTION("""COMPUTED_VALUE"""),50.0)</f>
        <v>50</v>
      </c>
      <c r="F677" s="2">
        <f>IFERROR(__xludf.DUMMYFUNCTION("""COMPUTED_VALUE"""),8.0)</f>
        <v>8</v>
      </c>
      <c r="G677" s="2">
        <f>IFERROR(__xludf.DUMMYFUNCTION("""COMPUTED_VALUE"""),9.0)</f>
        <v>9</v>
      </c>
      <c r="H677" s="2">
        <f>IFERROR(__xludf.DUMMYFUNCTION("""COMPUTED_VALUE"""),602.0)</f>
        <v>602</v>
      </c>
      <c r="I677" s="2" t="str">
        <f>IFERROR(__xludf.DUMMYFUNCTION("""COMPUTED_VALUE"""),"Panel")</f>
        <v>Panel</v>
      </c>
      <c r="J677" s="2" t="str">
        <f>IFERROR(__xludf.DUMMYFUNCTION("""COMPUTED_VALUE"""),"All amenities")</f>
        <v>All amenities</v>
      </c>
      <c r="K677" s="2">
        <f>IFERROR(__xludf.DUMMYFUNCTION("""COMPUTED_VALUE"""),54000.0)</f>
        <v>54000</v>
      </c>
      <c r="L677" s="2">
        <f>IFERROR(__xludf.DUMMYFUNCTION("""COMPUTED_VALUE"""),56.96414355)</f>
        <v>56.96414355</v>
      </c>
      <c r="M677" s="2">
        <f>IFERROR(__xludf.DUMMYFUNCTION("""COMPUTED_VALUE"""),24.0080729754834)</f>
        <v>24.00807298</v>
      </c>
    </row>
    <row r="678">
      <c r="A678" s="2" t="str">
        <f>IFERROR(__xludf.DUMMYFUNCTION("""COMPUTED_VALUE"""),"For sale")</f>
        <v>For sale</v>
      </c>
      <c r="B678" s="2" t="str">
        <f>IFERROR(__xludf.DUMMYFUNCTION("""COMPUTED_VALUE"""),"centrs")</f>
        <v>centrs</v>
      </c>
      <c r="C678" s="2" t="str">
        <f>IFERROR(__xludf.DUMMYFUNCTION("""COMPUTED_VALUE"""),"Baznīcas 35")</f>
        <v>Baznīcas 35</v>
      </c>
      <c r="D678" s="2">
        <f>IFERROR(__xludf.DUMMYFUNCTION("""COMPUTED_VALUE"""),4.0)</f>
        <v>4</v>
      </c>
      <c r="E678" s="2">
        <f>IFERROR(__xludf.DUMMYFUNCTION("""COMPUTED_VALUE"""),171.0)</f>
        <v>171</v>
      </c>
      <c r="F678" s="2">
        <f>IFERROR(__xludf.DUMMYFUNCTION("""COMPUTED_VALUE"""),4.0)</f>
        <v>4</v>
      </c>
      <c r="G678" s="2">
        <f>IFERROR(__xludf.DUMMYFUNCTION("""COMPUTED_VALUE"""),6.0)</f>
        <v>6</v>
      </c>
      <c r="H678" s="2" t="str">
        <f>IFERROR(__xludf.DUMMYFUNCTION("""COMPUTED_VALUE"""),"P. kara")</f>
        <v>P. kara</v>
      </c>
      <c r="I678" s="2" t="str">
        <f>IFERROR(__xludf.DUMMYFUNCTION("""COMPUTED_VALUE"""),"Masonry")</f>
        <v>Masonry</v>
      </c>
      <c r="J678" s="2" t="str">
        <f>IFERROR(__xludf.DUMMYFUNCTION("""COMPUTED_VALUE"""),"All amenities")</f>
        <v>All amenities</v>
      </c>
      <c r="K678" s="2">
        <f>IFERROR(__xludf.DUMMYFUNCTION("""COMPUTED_VALUE"""),385000.0)</f>
        <v>385000</v>
      </c>
      <c r="L678" s="2">
        <f>IFERROR(__xludf.DUMMYFUNCTION("""COMPUTED_VALUE"""),56.9584801)</f>
        <v>56.9584801</v>
      </c>
      <c r="M678" s="2">
        <f>IFERROR(__xludf.DUMMYFUNCTION("""COMPUTED_VALUE"""),24.1222427)</f>
        <v>24.1222427</v>
      </c>
    </row>
    <row r="679">
      <c r="A679" s="2" t="str">
        <f>IFERROR(__xludf.DUMMYFUNCTION("""COMPUTED_VALUE"""),"For sale")</f>
        <v>For sale</v>
      </c>
      <c r="B679" s="2" t="str">
        <f>IFERROR(__xludf.DUMMYFUNCTION("""COMPUTED_VALUE"""),"Čiekurkalns")</f>
        <v>Čiekurkalns</v>
      </c>
      <c r="C679" s="2" t="str">
        <f>IFERROR(__xludf.DUMMYFUNCTION("""COMPUTED_VALUE"""),"Rusova 9")</f>
        <v>Rusova 9</v>
      </c>
      <c r="D679" s="2">
        <f>IFERROR(__xludf.DUMMYFUNCTION("""COMPUTED_VALUE"""),3.0)</f>
        <v>3</v>
      </c>
      <c r="E679" s="2">
        <f>IFERROR(__xludf.DUMMYFUNCTION("""COMPUTED_VALUE"""),68.0)</f>
        <v>68</v>
      </c>
      <c r="F679" s="2">
        <f>IFERROR(__xludf.DUMMYFUNCTION("""COMPUTED_VALUE"""),2.0)</f>
        <v>2</v>
      </c>
      <c r="G679" s="2">
        <f>IFERROR(__xludf.DUMMYFUNCTION("""COMPUTED_VALUE"""),7.0)</f>
        <v>7</v>
      </c>
      <c r="H679" s="2" t="str">
        <f>IFERROR(__xludf.DUMMYFUNCTION("""COMPUTED_VALUE"""),"Jaun.")</f>
        <v>Jaun.</v>
      </c>
      <c r="I679" s="2" t="str">
        <f>IFERROR(__xludf.DUMMYFUNCTION("""COMPUTED_VALUE"""),"Panel")</f>
        <v>Panel</v>
      </c>
      <c r="J679" s="2" t="str">
        <f>IFERROR(__xludf.DUMMYFUNCTION("""COMPUTED_VALUE"""),"All amenities")</f>
        <v>All amenities</v>
      </c>
      <c r="K679" s="2">
        <f>IFERROR(__xludf.DUMMYFUNCTION("""COMPUTED_VALUE"""),118000.0)</f>
        <v>118000</v>
      </c>
      <c r="L679" s="2">
        <f>IFERROR(__xludf.DUMMYFUNCTION("""COMPUTED_VALUE"""),56.98909155)</f>
        <v>56.98909155</v>
      </c>
      <c r="M679" s="2">
        <f>IFERROR(__xludf.DUMMYFUNCTION("""COMPUTED_VALUE"""),24.1703344302515)</f>
        <v>24.17033443</v>
      </c>
    </row>
    <row r="680">
      <c r="A680" s="2" t="str">
        <f>IFERROR(__xludf.DUMMYFUNCTION("""COMPUTED_VALUE"""),"For sale")</f>
        <v>For sale</v>
      </c>
      <c r="B680" s="2" t="str">
        <f>IFERROR(__xludf.DUMMYFUNCTION("""COMPUTED_VALUE"""),"centrs")</f>
        <v>centrs</v>
      </c>
      <c r="C680" s="2" t="str">
        <f>IFERROR(__xludf.DUMMYFUNCTION("""COMPUTED_VALUE"""),"Matīsa 82")</f>
        <v>Matīsa 82</v>
      </c>
      <c r="D680" s="2">
        <f>IFERROR(__xludf.DUMMYFUNCTION("""COMPUTED_VALUE"""),1.0)</f>
        <v>1</v>
      </c>
      <c r="E680" s="2">
        <f>IFERROR(__xludf.DUMMYFUNCTION("""COMPUTED_VALUE"""),22.0)</f>
        <v>22</v>
      </c>
      <c r="F680" s="2">
        <f>IFERROR(__xludf.DUMMYFUNCTION("""COMPUTED_VALUE"""),2.0)</f>
        <v>2</v>
      </c>
      <c r="G680" s="2">
        <f>IFERROR(__xludf.DUMMYFUNCTION("""COMPUTED_VALUE"""),2.0)</f>
        <v>2</v>
      </c>
      <c r="H680" s="2" t="str">
        <f>IFERROR(__xludf.DUMMYFUNCTION("""COMPUTED_VALUE"""),"P. kara")</f>
        <v>P. kara</v>
      </c>
      <c r="I680" s="2" t="str">
        <f>IFERROR(__xludf.DUMMYFUNCTION("""COMPUTED_VALUE"""),"Wood")</f>
        <v>Wood</v>
      </c>
      <c r="J680" s="2" t="str">
        <f>IFERROR(__xludf.DUMMYFUNCTION("""COMPUTED_VALUE"""),"All amenities")</f>
        <v>All amenities</v>
      </c>
      <c r="K680" s="2">
        <f>IFERROR(__xludf.DUMMYFUNCTION("""COMPUTED_VALUE"""),7900.0)</f>
        <v>7900</v>
      </c>
      <c r="L680" s="2">
        <f>IFERROR(__xludf.DUMMYFUNCTION("""COMPUTED_VALUE"""),56.95092055)</f>
        <v>56.95092055</v>
      </c>
      <c r="M680" s="2">
        <f>IFERROR(__xludf.DUMMYFUNCTION("""COMPUTED_VALUE"""),24.1461248193206)</f>
        <v>24.14612482</v>
      </c>
    </row>
    <row r="681">
      <c r="A681" s="2" t="str">
        <f>IFERROR(__xludf.DUMMYFUNCTION("""COMPUTED_VALUE"""),"For rent")</f>
        <v>For rent</v>
      </c>
      <c r="B681" s="2" t="str">
        <f>IFERROR(__xludf.DUMMYFUNCTION("""COMPUTED_VALUE"""),"Āgenskalns")</f>
        <v>Āgenskalns</v>
      </c>
      <c r="C681" s="2" t="str">
        <f>IFERROR(__xludf.DUMMYFUNCTION("""COMPUTED_VALUE"""),"Mūkusalas 25")</f>
        <v>Mūkusalas 25</v>
      </c>
      <c r="D681" s="2">
        <f>IFERROR(__xludf.DUMMYFUNCTION("""COMPUTED_VALUE"""),1.0)</f>
        <v>1</v>
      </c>
      <c r="E681" s="2">
        <f>IFERROR(__xludf.DUMMYFUNCTION("""COMPUTED_VALUE"""),35.6)</f>
        <v>35.6</v>
      </c>
      <c r="F681" s="2">
        <f>IFERROR(__xludf.DUMMYFUNCTION("""COMPUTED_VALUE"""),4.0)</f>
        <v>4</v>
      </c>
      <c r="G681" s="2">
        <f>IFERROR(__xludf.DUMMYFUNCTION("""COMPUTED_VALUE"""),6.0)</f>
        <v>6</v>
      </c>
      <c r="H681" s="2" t="str">
        <f>IFERROR(__xludf.DUMMYFUNCTION("""COMPUTED_VALUE"""),"Jaun.")</f>
        <v>Jaun.</v>
      </c>
      <c r="I681" s="2" t="str">
        <f>IFERROR(__xludf.DUMMYFUNCTION("""COMPUTED_VALUE"""),"Masonry")</f>
        <v>Masonry</v>
      </c>
      <c r="J681" s="2" t="str">
        <f>IFERROR(__xludf.DUMMYFUNCTION("""COMPUTED_VALUE"""),"All amenities")</f>
        <v>All amenities</v>
      </c>
      <c r="K681" s="2">
        <f>IFERROR(__xludf.DUMMYFUNCTION("""COMPUTED_VALUE"""),550.0)</f>
        <v>550</v>
      </c>
      <c r="L681" s="2">
        <f>IFERROR(__xludf.DUMMYFUNCTION("""COMPUTED_VALUE"""),56.9374039)</f>
        <v>56.9374039</v>
      </c>
      <c r="M681" s="2">
        <f>IFERROR(__xludf.DUMMYFUNCTION("""COMPUTED_VALUE"""),24.101176263114)</f>
        <v>24.10117626</v>
      </c>
    </row>
    <row r="682">
      <c r="A682" s="2" t="str">
        <f>IFERROR(__xludf.DUMMYFUNCTION("""COMPUTED_VALUE"""),"For sale")</f>
        <v>For sale</v>
      </c>
      <c r="B682" s="2" t="str">
        <f>IFERROR(__xludf.DUMMYFUNCTION("""COMPUTED_VALUE"""),"Teika")</f>
        <v>Teika</v>
      </c>
      <c r="C682" s="2" t="str">
        <f>IFERROR(__xludf.DUMMYFUNCTION("""COMPUTED_VALUE"""),"Burtnieku 33")</f>
        <v>Burtnieku 33</v>
      </c>
      <c r="D682" s="2">
        <f>IFERROR(__xludf.DUMMYFUNCTION("""COMPUTED_VALUE"""),1.0)</f>
        <v>1</v>
      </c>
      <c r="E682" s="2">
        <f>IFERROR(__xludf.DUMMYFUNCTION("""COMPUTED_VALUE"""),19.0)</f>
        <v>19</v>
      </c>
      <c r="F682" s="2">
        <f>IFERROR(__xludf.DUMMYFUNCTION("""COMPUTED_VALUE"""),3.0)</f>
        <v>3</v>
      </c>
      <c r="G682" s="2">
        <f>IFERROR(__xludf.DUMMYFUNCTION("""COMPUTED_VALUE"""),5.0)</f>
        <v>5</v>
      </c>
      <c r="H682" s="2" t="str">
        <f>IFERROR(__xludf.DUMMYFUNCTION("""COMPUTED_VALUE"""),"M. ģim.")</f>
        <v>M. ģim.</v>
      </c>
      <c r="I682" s="2" t="str">
        <f>IFERROR(__xludf.DUMMYFUNCTION("""COMPUTED_VALUE"""),"Brick")</f>
        <v>Brick</v>
      </c>
      <c r="J682" s="2" t="str">
        <f>IFERROR(__xludf.DUMMYFUNCTION("""COMPUTED_VALUE"""),"All amenities")</f>
        <v>All amenities</v>
      </c>
      <c r="K682" s="2">
        <f>IFERROR(__xludf.DUMMYFUNCTION("""COMPUTED_VALUE"""),19900.0)</f>
        <v>19900</v>
      </c>
      <c r="L682" s="2">
        <f>IFERROR(__xludf.DUMMYFUNCTION("""COMPUTED_VALUE"""),56.9685701)</f>
        <v>56.9685701</v>
      </c>
      <c r="M682" s="2">
        <f>IFERROR(__xludf.DUMMYFUNCTION("""COMPUTED_VALUE"""),24.1819824)</f>
        <v>24.1819824</v>
      </c>
    </row>
    <row r="683">
      <c r="A683" s="2" t="str">
        <f>IFERROR(__xludf.DUMMYFUNCTION("""COMPUTED_VALUE"""),"For rent")</f>
        <v>For rent</v>
      </c>
      <c r="B683" s="2" t="str">
        <f>IFERROR(__xludf.DUMMYFUNCTION("""COMPUTED_VALUE"""),"Mangaļi")</f>
        <v>Mangaļi</v>
      </c>
      <c r="C683" s="2" t="str">
        <f>IFERROR(__xludf.DUMMYFUNCTION("""COMPUTED_VALUE"""),"Ezera 18")</f>
        <v>Ezera 18</v>
      </c>
      <c r="D683" s="2">
        <f>IFERROR(__xludf.DUMMYFUNCTION("""COMPUTED_VALUE"""),1.0)</f>
        <v>1</v>
      </c>
      <c r="E683" s="2">
        <f>IFERROR(__xludf.DUMMYFUNCTION("""COMPUTED_VALUE"""),35.0)</f>
        <v>35</v>
      </c>
      <c r="F683" s="2">
        <f>IFERROR(__xludf.DUMMYFUNCTION("""COMPUTED_VALUE"""),2.0)</f>
        <v>2</v>
      </c>
      <c r="G683" s="2">
        <f>IFERROR(__xludf.DUMMYFUNCTION("""COMPUTED_VALUE"""),3.0)</f>
        <v>3</v>
      </c>
      <c r="H683" s="2" t="str">
        <f>IFERROR(__xludf.DUMMYFUNCTION("""COMPUTED_VALUE"""),"Specpr.")</f>
        <v>Specpr.</v>
      </c>
      <c r="I683" s="2" t="str">
        <f>IFERROR(__xludf.DUMMYFUNCTION("""COMPUTED_VALUE"""),"Brick")</f>
        <v>Brick</v>
      </c>
      <c r="J683" s="2" t="str">
        <f>IFERROR(__xludf.DUMMYFUNCTION("""COMPUTED_VALUE"""),"All amenities")</f>
        <v>All amenities</v>
      </c>
      <c r="K683" s="2">
        <f>IFERROR(__xludf.DUMMYFUNCTION("""COMPUTED_VALUE"""),230.0)</f>
        <v>230</v>
      </c>
      <c r="L683" s="2">
        <f>IFERROR(__xludf.DUMMYFUNCTION("""COMPUTED_VALUE"""),57.02365495)</f>
        <v>57.02365495</v>
      </c>
      <c r="M683" s="2">
        <f>IFERROR(__xludf.DUMMYFUNCTION("""COMPUTED_VALUE"""),24.1330612)</f>
        <v>24.1330612</v>
      </c>
    </row>
    <row r="684">
      <c r="A684" s="2" t="str">
        <f>IFERROR(__xludf.DUMMYFUNCTION("""COMPUTED_VALUE"""),"For sale")</f>
        <v>For sale</v>
      </c>
      <c r="B684" s="2" t="str">
        <f>IFERROR(__xludf.DUMMYFUNCTION("""COMPUTED_VALUE"""),"Sarkandaugava")</f>
        <v>Sarkandaugava</v>
      </c>
      <c r="C684" s="2" t="str">
        <f>IFERROR(__xludf.DUMMYFUNCTION("""COMPUTED_VALUE"""),"Hāpsalas 1k3")</f>
        <v>Hāpsalas 1k3</v>
      </c>
      <c r="D684" s="2">
        <f>IFERROR(__xludf.DUMMYFUNCTION("""COMPUTED_VALUE"""),3.0)</f>
        <v>3</v>
      </c>
      <c r="E684" s="2">
        <f>IFERROR(__xludf.DUMMYFUNCTION("""COMPUTED_VALUE"""),76.0)</f>
        <v>76</v>
      </c>
      <c r="F684" s="2">
        <f>IFERROR(__xludf.DUMMYFUNCTION("""COMPUTED_VALUE"""),5.0)</f>
        <v>5</v>
      </c>
      <c r="G684" s="2">
        <f>IFERROR(__xludf.DUMMYFUNCTION("""COMPUTED_VALUE"""),5.0)</f>
        <v>5</v>
      </c>
      <c r="H684" s="2" t="str">
        <f>IFERROR(__xludf.DUMMYFUNCTION("""COMPUTED_VALUE"""),"Specpr.")</f>
        <v>Specpr.</v>
      </c>
      <c r="I684" s="2" t="str">
        <f>IFERROR(__xludf.DUMMYFUNCTION("""COMPUTED_VALUE"""),"Brick")</f>
        <v>Brick</v>
      </c>
      <c r="J684" s="2" t="str">
        <f>IFERROR(__xludf.DUMMYFUNCTION("""COMPUTED_VALUE"""),"All amenities")</f>
        <v>All amenities</v>
      </c>
      <c r="K684" s="2">
        <f>IFERROR(__xludf.DUMMYFUNCTION("""COMPUTED_VALUE"""),62000.0)</f>
        <v>62000</v>
      </c>
      <c r="L684" s="2">
        <f>IFERROR(__xludf.DUMMYFUNCTION("""COMPUTED_VALUE"""),57.0002634)</f>
        <v>57.0002634</v>
      </c>
      <c r="M684" s="2">
        <f>IFERROR(__xludf.DUMMYFUNCTION("""COMPUTED_VALUE"""),24.121861)</f>
        <v>24.121861</v>
      </c>
    </row>
    <row r="685">
      <c r="A685" s="2" t="str">
        <f>IFERROR(__xludf.DUMMYFUNCTION("""COMPUTED_VALUE"""),"For sale")</f>
        <v>For sale</v>
      </c>
      <c r="B685" s="2" t="str">
        <f>IFERROR(__xludf.DUMMYFUNCTION("""COMPUTED_VALUE"""),"Šampēteris-Pleskodāle")</f>
        <v>Šampēteris-Pleskodāle</v>
      </c>
      <c r="C685" s="2" t="str">
        <f>IFERROR(__xludf.DUMMYFUNCTION("""COMPUTED_VALUE"""),"Volguntes 17a")</f>
        <v>Volguntes 17a</v>
      </c>
      <c r="D685" s="2">
        <f>IFERROR(__xludf.DUMMYFUNCTION("""COMPUTED_VALUE"""),1.0)</f>
        <v>1</v>
      </c>
      <c r="E685" s="2">
        <f>IFERROR(__xludf.DUMMYFUNCTION("""COMPUTED_VALUE"""),25.0)</f>
        <v>25</v>
      </c>
      <c r="F685" s="2">
        <f>IFERROR(__xludf.DUMMYFUNCTION("""COMPUTED_VALUE"""),2.0)</f>
        <v>2</v>
      </c>
      <c r="G685" s="2">
        <f>IFERROR(__xludf.DUMMYFUNCTION("""COMPUTED_VALUE"""),2.0)</f>
        <v>2</v>
      </c>
      <c r="H685" s="2" t="str">
        <f>IFERROR(__xludf.DUMMYFUNCTION("""COMPUTED_VALUE"""),"P. kara")</f>
        <v>P. kara</v>
      </c>
      <c r="I685" s="2" t="str">
        <f>IFERROR(__xludf.DUMMYFUNCTION("""COMPUTED_VALUE"""),"Wood")</f>
        <v>Wood</v>
      </c>
      <c r="J685" s="2" t="str">
        <f>IFERROR(__xludf.DUMMYFUNCTION("""COMPUTED_VALUE"""),"All amenities")</f>
        <v>All amenities</v>
      </c>
      <c r="K685" s="2">
        <f>IFERROR(__xludf.DUMMYFUNCTION("""COMPUTED_VALUE"""),12000.0)</f>
        <v>12000</v>
      </c>
      <c r="L685" s="2">
        <f>IFERROR(__xludf.DUMMYFUNCTION("""COMPUTED_VALUE"""),56.938759)</f>
        <v>56.938759</v>
      </c>
      <c r="M685" s="2">
        <f>IFERROR(__xludf.DUMMYFUNCTION("""COMPUTED_VALUE"""),24.0439698)</f>
        <v>24.0439698</v>
      </c>
    </row>
    <row r="686">
      <c r="A686" s="2" t="str">
        <f>IFERROR(__xludf.DUMMYFUNCTION("""COMPUTED_VALUE"""),"For sale")</f>
        <v>For sale</v>
      </c>
      <c r="B686" s="2" t="str">
        <f>IFERROR(__xludf.DUMMYFUNCTION("""COMPUTED_VALUE"""),"Imanta")</f>
        <v>Imanta</v>
      </c>
      <c r="C686" s="2" t="str">
        <f>IFERROR(__xludf.DUMMYFUNCTION("""COMPUTED_VALUE"""),"Anniņmuižas bulvāris 38")</f>
        <v>Anniņmuižas bulvāris 38</v>
      </c>
      <c r="D686" s="2">
        <f>IFERROR(__xludf.DUMMYFUNCTION("""COMPUTED_VALUE"""),2.0)</f>
        <v>2</v>
      </c>
      <c r="E686" s="2">
        <f>IFERROR(__xludf.DUMMYFUNCTION("""COMPUTED_VALUE"""),67.0)</f>
        <v>67</v>
      </c>
      <c r="F686" s="2">
        <f>IFERROR(__xludf.DUMMYFUNCTION("""COMPUTED_VALUE"""),5.0)</f>
        <v>5</v>
      </c>
      <c r="G686" s="2">
        <f>IFERROR(__xludf.DUMMYFUNCTION("""COMPUTED_VALUE"""),18.0)</f>
        <v>18</v>
      </c>
      <c r="H686" s="2" t="str">
        <f>IFERROR(__xludf.DUMMYFUNCTION("""COMPUTED_VALUE"""),"Jaun.")</f>
        <v>Jaun.</v>
      </c>
      <c r="I686" s="2" t="str">
        <f>IFERROR(__xludf.DUMMYFUNCTION("""COMPUTED_VALUE"""),"Panel")</f>
        <v>Panel</v>
      </c>
      <c r="J686" s="2" t="str">
        <f>IFERROR(__xludf.DUMMYFUNCTION("""COMPUTED_VALUE"""),"All amenities")</f>
        <v>All amenities</v>
      </c>
      <c r="K686" s="2">
        <f>IFERROR(__xludf.DUMMYFUNCTION("""COMPUTED_VALUE"""),89900.0)</f>
        <v>89900</v>
      </c>
      <c r="L686" s="2">
        <f>IFERROR(__xludf.DUMMYFUNCTION("""COMPUTED_VALUE"""),56.96112105)</f>
        <v>56.96112105</v>
      </c>
      <c r="M686" s="2">
        <f>IFERROR(__xludf.DUMMYFUNCTION("""COMPUTED_VALUE"""),24.01821679525)</f>
        <v>24.0182168</v>
      </c>
    </row>
    <row r="687">
      <c r="A687" s="2" t="str">
        <f>IFERROR(__xludf.DUMMYFUNCTION("""COMPUTED_VALUE"""),"For sale")</f>
        <v>For sale</v>
      </c>
      <c r="B687" s="2" t="str">
        <f>IFERROR(__xludf.DUMMYFUNCTION("""COMPUTED_VALUE"""),"Iļģuciems")</f>
        <v>Iļģuciems</v>
      </c>
      <c r="C687" s="2" t="str">
        <f>IFERROR(__xludf.DUMMYFUNCTION("""COMPUTED_VALUE"""),"Stūres 2")</f>
        <v>Stūres 2</v>
      </c>
      <c r="D687" s="2">
        <f>IFERROR(__xludf.DUMMYFUNCTION("""COMPUTED_VALUE"""),1.0)</f>
        <v>1</v>
      </c>
      <c r="E687" s="2">
        <f>IFERROR(__xludf.DUMMYFUNCTION("""COMPUTED_VALUE"""),18.0)</f>
        <v>18</v>
      </c>
      <c r="F687" s="2">
        <f>IFERROR(__xludf.DUMMYFUNCTION("""COMPUTED_VALUE"""),5.0)</f>
        <v>5</v>
      </c>
      <c r="G687" s="2">
        <f>IFERROR(__xludf.DUMMYFUNCTION("""COMPUTED_VALUE"""),5.0)</f>
        <v>5</v>
      </c>
      <c r="H687" s="2" t="str">
        <f>IFERROR(__xludf.DUMMYFUNCTION("""COMPUTED_VALUE"""),"M. ģim.")</f>
        <v>M. ģim.</v>
      </c>
      <c r="I687" s="2" t="str">
        <f>IFERROR(__xludf.DUMMYFUNCTION("""COMPUTED_VALUE"""),"Brick")</f>
        <v>Brick</v>
      </c>
      <c r="J687" s="2" t="str">
        <f>IFERROR(__xludf.DUMMYFUNCTION("""COMPUTED_VALUE"""),"All amenities")</f>
        <v>All amenities</v>
      </c>
      <c r="K687" s="2">
        <f>IFERROR(__xludf.DUMMYFUNCTION("""COMPUTED_VALUE"""),11800.0)</f>
        <v>11800</v>
      </c>
      <c r="L687" s="2">
        <f>IFERROR(__xludf.DUMMYFUNCTION("""COMPUTED_VALUE"""),56.9692203)</f>
        <v>56.9692203</v>
      </c>
      <c r="M687" s="2">
        <f>IFERROR(__xludf.DUMMYFUNCTION("""COMPUTED_VALUE"""),24.0694937318141)</f>
        <v>24.06949373</v>
      </c>
    </row>
    <row r="688">
      <c r="A688" s="2" t="str">
        <f>IFERROR(__xludf.DUMMYFUNCTION("""COMPUTED_VALUE"""),"For rent")</f>
        <v>For rent</v>
      </c>
      <c r="B688" s="2" t="str">
        <f>IFERROR(__xludf.DUMMYFUNCTION("""COMPUTED_VALUE"""),"centrs")</f>
        <v>centrs</v>
      </c>
      <c r="C688" s="2" t="str">
        <f>IFERROR(__xludf.DUMMYFUNCTION("""COMPUTED_VALUE"""),"Ģertrūdes 107")</f>
        <v>Ģertrūdes 107</v>
      </c>
      <c r="D688" s="2">
        <f>IFERROR(__xludf.DUMMYFUNCTION("""COMPUTED_VALUE"""),1.0)</f>
        <v>1</v>
      </c>
      <c r="E688" s="2">
        <f>IFERROR(__xludf.DUMMYFUNCTION("""COMPUTED_VALUE"""),15.0)</f>
        <v>15</v>
      </c>
      <c r="F688" s="2">
        <f>IFERROR(__xludf.DUMMYFUNCTION("""COMPUTED_VALUE"""),4.0)</f>
        <v>4</v>
      </c>
      <c r="G688" s="2">
        <f>IFERROR(__xludf.DUMMYFUNCTION("""COMPUTED_VALUE"""),5.0)</f>
        <v>5</v>
      </c>
      <c r="H688" s="2" t="str">
        <f>IFERROR(__xludf.DUMMYFUNCTION("""COMPUTED_VALUE"""),"P. kara")</f>
        <v>P. kara</v>
      </c>
      <c r="I688" s="2" t="str">
        <f>IFERROR(__xludf.DUMMYFUNCTION("""COMPUTED_VALUE"""),"Masonry")</f>
        <v>Masonry</v>
      </c>
      <c r="J688" s="2" t="str">
        <f>IFERROR(__xludf.DUMMYFUNCTION("""COMPUTED_VALUE"""),"All amenities")</f>
        <v>All amenities</v>
      </c>
      <c r="K688" s="2">
        <f>IFERROR(__xludf.DUMMYFUNCTION("""COMPUTED_VALUE"""),130.0)</f>
        <v>130</v>
      </c>
      <c r="L688" s="2">
        <f>IFERROR(__xludf.DUMMYFUNCTION("""COMPUTED_VALUE"""),56.94970365)</f>
        <v>56.94970365</v>
      </c>
      <c r="M688" s="2">
        <f>IFERROR(__xludf.DUMMYFUNCTION("""COMPUTED_VALUE"""),24.1381836611306)</f>
        <v>24.13818366</v>
      </c>
    </row>
    <row r="689">
      <c r="A689" s="2" t="str">
        <f>IFERROR(__xludf.DUMMYFUNCTION("""COMPUTED_VALUE"""),"For sale")</f>
        <v>For sale</v>
      </c>
      <c r="B689" s="2" t="str">
        <f>IFERROR(__xludf.DUMMYFUNCTION("""COMPUTED_VALUE"""),"Purvciems")</f>
        <v>Purvciems</v>
      </c>
      <c r="C689" s="2" t="str">
        <f>IFERROR(__xludf.DUMMYFUNCTION("""COMPUTED_VALUE"""),"Vaidavas 2")</f>
        <v>Vaidavas 2</v>
      </c>
      <c r="D689" s="2">
        <f>IFERROR(__xludf.DUMMYFUNCTION("""COMPUTED_VALUE"""),2.0)</f>
        <v>2</v>
      </c>
      <c r="E689" s="2">
        <f>IFERROR(__xludf.DUMMYFUNCTION("""COMPUTED_VALUE"""),43.0)</f>
        <v>43</v>
      </c>
      <c r="F689" s="2">
        <f>IFERROR(__xludf.DUMMYFUNCTION("""COMPUTED_VALUE"""),1.0)</f>
        <v>1</v>
      </c>
      <c r="G689" s="2">
        <f>IFERROR(__xludf.DUMMYFUNCTION("""COMPUTED_VALUE"""),5.0)</f>
        <v>5</v>
      </c>
      <c r="H689" s="2" t="str">
        <f>IFERROR(__xludf.DUMMYFUNCTION("""COMPUTED_VALUE"""),"Hrušč.")</f>
        <v>Hrušč.</v>
      </c>
      <c r="I689" s="2" t="str">
        <f>IFERROR(__xludf.DUMMYFUNCTION("""COMPUTED_VALUE"""),"Masonry")</f>
        <v>Masonry</v>
      </c>
      <c r="J689" s="2" t="str">
        <f>IFERROR(__xludf.DUMMYFUNCTION("""COMPUTED_VALUE"""),"All amenities")</f>
        <v>All amenities</v>
      </c>
      <c r="K689" s="2">
        <f>IFERROR(__xludf.DUMMYFUNCTION("""COMPUTED_VALUE"""),43999.0)</f>
        <v>43999</v>
      </c>
      <c r="L689" s="2">
        <f>IFERROR(__xludf.DUMMYFUNCTION("""COMPUTED_VALUE"""),56.9651176499999)</f>
        <v>56.96511765</v>
      </c>
      <c r="M689" s="2">
        <f>IFERROR(__xludf.DUMMYFUNCTION("""COMPUTED_VALUE"""),24.1760481976948)</f>
        <v>24.1760482</v>
      </c>
    </row>
    <row r="690">
      <c r="A690" s="2" t="str">
        <f>IFERROR(__xludf.DUMMYFUNCTION("""COMPUTED_VALUE"""),"For sale")</f>
        <v>For sale</v>
      </c>
      <c r="B690" s="2" t="str">
        <f>IFERROR(__xludf.DUMMYFUNCTION("""COMPUTED_VALUE"""),"Ķengarags")</f>
        <v>Ķengarags</v>
      </c>
      <c r="C690" s="2" t="str">
        <f>IFERROR(__xludf.DUMMYFUNCTION("""COMPUTED_VALUE"""),"Lokomotīves 48")</f>
        <v>Lokomotīves 48</v>
      </c>
      <c r="D690" s="2">
        <f>IFERROR(__xludf.DUMMYFUNCTION("""COMPUTED_VALUE"""),2.0)</f>
        <v>2</v>
      </c>
      <c r="E690" s="2">
        <f>IFERROR(__xludf.DUMMYFUNCTION("""COMPUTED_VALUE"""),38.2)</f>
        <v>38.2</v>
      </c>
      <c r="F690" s="2">
        <f>IFERROR(__xludf.DUMMYFUNCTION("""COMPUTED_VALUE"""),2.0)</f>
        <v>2</v>
      </c>
      <c r="G690" s="2">
        <f>IFERROR(__xludf.DUMMYFUNCTION("""COMPUTED_VALUE"""),5.0)</f>
        <v>5</v>
      </c>
      <c r="H690" s="2" t="str">
        <f>IFERROR(__xludf.DUMMYFUNCTION("""COMPUTED_VALUE"""),"LT proj.")</f>
        <v>LT proj.</v>
      </c>
      <c r="I690" s="2" t="str">
        <f>IFERROR(__xludf.DUMMYFUNCTION("""COMPUTED_VALUE"""),"Panel")</f>
        <v>Panel</v>
      </c>
      <c r="J690" s="2" t="str">
        <f>IFERROR(__xludf.DUMMYFUNCTION("""COMPUTED_VALUE"""),"All amenities")</f>
        <v>All amenities</v>
      </c>
      <c r="K690" s="2">
        <f>IFERROR(__xludf.DUMMYFUNCTION("""COMPUTED_VALUE"""),36900.0)</f>
        <v>36900</v>
      </c>
      <c r="L690" s="2">
        <f>IFERROR(__xludf.DUMMYFUNCTION("""COMPUTED_VALUE"""),56.90837855)</f>
        <v>56.90837855</v>
      </c>
      <c r="M690" s="2">
        <f>IFERROR(__xludf.DUMMYFUNCTION("""COMPUTED_VALUE"""),24.20066605)</f>
        <v>24.20066605</v>
      </c>
    </row>
    <row r="691">
      <c r="A691" s="2" t="str">
        <f>IFERROR(__xludf.DUMMYFUNCTION("""COMPUTED_VALUE"""),"For rent")</f>
        <v>For rent</v>
      </c>
      <c r="B691" s="2" t="str">
        <f>IFERROR(__xludf.DUMMYFUNCTION("""COMPUTED_VALUE"""),"Čiekurkalns")</f>
        <v>Čiekurkalns</v>
      </c>
      <c r="C691" s="2" t="str">
        <f>IFERROR(__xludf.DUMMYFUNCTION("""COMPUTED_VALUE"""),"Čiekurkalna 1. l. 65")</f>
        <v>Čiekurkalna 1. l. 65</v>
      </c>
      <c r="D691" s="2">
        <f>IFERROR(__xludf.DUMMYFUNCTION("""COMPUTED_VALUE"""),3.0)</f>
        <v>3</v>
      </c>
      <c r="E691" s="2">
        <f>IFERROR(__xludf.DUMMYFUNCTION("""COMPUTED_VALUE"""),40.0)</f>
        <v>40</v>
      </c>
      <c r="F691" s="2">
        <f>IFERROR(__xludf.DUMMYFUNCTION("""COMPUTED_VALUE"""),2.0)</f>
        <v>2</v>
      </c>
      <c r="G691" s="2">
        <f>IFERROR(__xludf.DUMMYFUNCTION("""COMPUTED_VALUE"""),2.0)</f>
        <v>2</v>
      </c>
      <c r="H691" s="2" t="str">
        <f>IFERROR(__xludf.DUMMYFUNCTION("""COMPUTED_VALUE"""),"P. kara")</f>
        <v>P. kara</v>
      </c>
      <c r="I691" s="2" t="str">
        <f>IFERROR(__xludf.DUMMYFUNCTION("""COMPUTED_VALUE"""),"Wood")</f>
        <v>Wood</v>
      </c>
      <c r="J691" s="2" t="str">
        <f>IFERROR(__xludf.DUMMYFUNCTION("""COMPUTED_VALUE"""),"Partial amenities")</f>
        <v>Partial amenities</v>
      </c>
      <c r="K691" s="2">
        <f>IFERROR(__xludf.DUMMYFUNCTION("""COMPUTED_VALUE"""),120.0)</f>
        <v>120</v>
      </c>
      <c r="L691" s="2" t="str">
        <f>IFERROR(__xludf.DUMMYFUNCTION("""COMPUTED_VALUE"""),"NaN")</f>
        <v>NaN</v>
      </c>
      <c r="M691" s="2" t="str">
        <f>IFERROR(__xludf.DUMMYFUNCTION("""COMPUTED_VALUE"""),"NaN")</f>
        <v>NaN</v>
      </c>
    </row>
    <row r="692">
      <c r="A692" s="2" t="str">
        <f>IFERROR(__xludf.DUMMYFUNCTION("""COMPUTED_VALUE"""),"For sale")</f>
        <v>For sale</v>
      </c>
      <c r="B692" s="2" t="str">
        <f>IFERROR(__xludf.DUMMYFUNCTION("""COMPUTED_VALUE"""),"Pļavnieki")</f>
        <v>Pļavnieki</v>
      </c>
      <c r="C692" s="2" t="str">
        <f>IFERROR(__xludf.DUMMYFUNCTION("""COMPUTED_VALUE"""),"J. Vācieša 6")</f>
        <v>J. Vācieša 6</v>
      </c>
      <c r="D692" s="2">
        <f>IFERROR(__xludf.DUMMYFUNCTION("""COMPUTED_VALUE"""),4.0)</f>
        <v>4</v>
      </c>
      <c r="E692" s="2">
        <f>IFERROR(__xludf.DUMMYFUNCTION("""COMPUTED_VALUE"""),78.0)</f>
        <v>78</v>
      </c>
      <c r="F692" s="2">
        <f>IFERROR(__xludf.DUMMYFUNCTION("""COMPUTED_VALUE"""),9.0)</f>
        <v>9</v>
      </c>
      <c r="G692" s="2">
        <f>IFERROR(__xludf.DUMMYFUNCTION("""COMPUTED_VALUE"""),9.0)</f>
        <v>9</v>
      </c>
      <c r="H692" s="2">
        <f>IFERROR(__xludf.DUMMYFUNCTION("""COMPUTED_VALUE"""),467.0)</f>
        <v>467</v>
      </c>
      <c r="I692" s="2" t="str">
        <f>IFERROR(__xludf.DUMMYFUNCTION("""COMPUTED_VALUE"""),"Panel")</f>
        <v>Panel</v>
      </c>
      <c r="J692" s="2" t="str">
        <f>IFERROR(__xludf.DUMMYFUNCTION("""COMPUTED_VALUE"""),"All amenities")</f>
        <v>All amenities</v>
      </c>
      <c r="K692" s="2">
        <f>IFERROR(__xludf.DUMMYFUNCTION("""COMPUTED_VALUE"""),73000.0)</f>
        <v>73000</v>
      </c>
      <c r="L692" s="2" t="str">
        <f>IFERROR(__xludf.DUMMYFUNCTION("""COMPUTED_VALUE"""),"NaN")</f>
        <v>NaN</v>
      </c>
      <c r="M692" s="2" t="str">
        <f>IFERROR(__xludf.DUMMYFUNCTION("""COMPUTED_VALUE"""),"NaN")</f>
        <v>NaN</v>
      </c>
    </row>
    <row r="693">
      <c r="A693" s="2" t="str">
        <f>IFERROR(__xludf.DUMMYFUNCTION("""COMPUTED_VALUE"""),"For sale")</f>
        <v>For sale</v>
      </c>
      <c r="B693" s="2" t="str">
        <f>IFERROR(__xludf.DUMMYFUNCTION("""COMPUTED_VALUE"""),"Āgenskalns")</f>
        <v>Āgenskalns</v>
      </c>
      <c r="C693" s="2" t="str">
        <f>IFERROR(__xludf.DUMMYFUNCTION("""COMPUTED_VALUE"""),"Mārtiņa 8")</f>
        <v>Mārtiņa 8</v>
      </c>
      <c r="D693" s="2">
        <f>IFERROR(__xludf.DUMMYFUNCTION("""COMPUTED_VALUE"""),3.0)</f>
        <v>3</v>
      </c>
      <c r="E693" s="2">
        <f>IFERROR(__xludf.DUMMYFUNCTION("""COMPUTED_VALUE"""),77.0)</f>
        <v>77</v>
      </c>
      <c r="F693" s="2">
        <f>IFERROR(__xludf.DUMMYFUNCTION("""COMPUTED_VALUE"""),4.0)</f>
        <v>4</v>
      </c>
      <c r="G693" s="2">
        <f>IFERROR(__xludf.DUMMYFUNCTION("""COMPUTED_VALUE"""),7.0)</f>
        <v>7</v>
      </c>
      <c r="H693" s="2" t="str">
        <f>IFERROR(__xludf.DUMMYFUNCTION("""COMPUTED_VALUE"""),"Renov.")</f>
        <v>Renov.</v>
      </c>
      <c r="I693" s="2" t="str">
        <f>IFERROR(__xludf.DUMMYFUNCTION("""COMPUTED_VALUE"""),"Masonry")</f>
        <v>Masonry</v>
      </c>
      <c r="J693" s="2" t="str">
        <f>IFERROR(__xludf.DUMMYFUNCTION("""COMPUTED_VALUE"""),"All amenities")</f>
        <v>All amenities</v>
      </c>
      <c r="K693" s="2">
        <f>IFERROR(__xludf.DUMMYFUNCTION("""COMPUTED_VALUE"""),115000.0)</f>
        <v>115000</v>
      </c>
      <c r="L693" s="2">
        <f>IFERROR(__xludf.DUMMYFUNCTION("""COMPUTED_VALUE"""),56.947906)</f>
        <v>56.947906</v>
      </c>
      <c r="M693" s="2">
        <f>IFERROR(__xludf.DUMMYFUNCTION("""COMPUTED_VALUE"""),24.070950274442)</f>
        <v>24.07095027</v>
      </c>
    </row>
    <row r="694">
      <c r="A694" s="2" t="str">
        <f>IFERROR(__xludf.DUMMYFUNCTION("""COMPUTED_VALUE"""),"For sale")</f>
        <v>For sale</v>
      </c>
      <c r="B694" s="2" t="str">
        <f>IFERROR(__xludf.DUMMYFUNCTION("""COMPUTED_VALUE"""),"Sarkandaugava")</f>
        <v>Sarkandaugava</v>
      </c>
      <c r="C694" s="2" t="str">
        <f>IFERROR(__xludf.DUMMYFUNCTION("""COMPUTED_VALUE"""),"Patversmes 5")</f>
        <v>Patversmes 5</v>
      </c>
      <c r="D694" s="2">
        <f>IFERROR(__xludf.DUMMYFUNCTION("""COMPUTED_VALUE"""),1.0)</f>
        <v>1</v>
      </c>
      <c r="E694" s="2">
        <f>IFERROR(__xludf.DUMMYFUNCTION("""COMPUTED_VALUE"""),33.0)</f>
        <v>33</v>
      </c>
      <c r="F694" s="2">
        <f>IFERROR(__xludf.DUMMYFUNCTION("""COMPUTED_VALUE"""),1.0)</f>
        <v>1</v>
      </c>
      <c r="G694" s="2">
        <f>IFERROR(__xludf.DUMMYFUNCTION("""COMPUTED_VALUE"""),3.0)</f>
        <v>3</v>
      </c>
      <c r="H694" s="2" t="str">
        <f>IFERROR(__xludf.DUMMYFUNCTION("""COMPUTED_VALUE"""),"P. kara")</f>
        <v>P. kara</v>
      </c>
      <c r="I694" s="2" t="str">
        <f>IFERROR(__xludf.DUMMYFUNCTION("""COMPUTED_VALUE"""),"Masonry")</f>
        <v>Masonry</v>
      </c>
      <c r="J694" s="2" t="str">
        <f>IFERROR(__xludf.DUMMYFUNCTION("""COMPUTED_VALUE"""),"All amenities")</f>
        <v>All amenities</v>
      </c>
      <c r="K694" s="2">
        <f>IFERROR(__xludf.DUMMYFUNCTION("""COMPUTED_VALUE"""),32900.0)</f>
        <v>32900</v>
      </c>
      <c r="L694" s="2">
        <f>IFERROR(__xludf.DUMMYFUNCTION("""COMPUTED_VALUE"""),56.9940614)</f>
        <v>56.9940614</v>
      </c>
      <c r="M694" s="2">
        <f>IFERROR(__xludf.DUMMYFUNCTION("""COMPUTED_VALUE"""),24.1281800964357)</f>
        <v>24.1281801</v>
      </c>
    </row>
    <row r="695">
      <c r="A695" s="2" t="str">
        <f>IFERROR(__xludf.DUMMYFUNCTION("""COMPUTED_VALUE"""),"For sale")</f>
        <v>For sale</v>
      </c>
      <c r="B695" s="2" t="str">
        <f>IFERROR(__xludf.DUMMYFUNCTION("""COMPUTED_VALUE"""),"Pļavnieki")</f>
        <v>Pļavnieki</v>
      </c>
      <c r="C695" s="2" t="str">
        <f>IFERROR(__xludf.DUMMYFUNCTION("""COMPUTED_VALUE"""),"Pavasara g. 5")</f>
        <v>Pavasara g. 5</v>
      </c>
      <c r="D695" s="2">
        <f>IFERROR(__xludf.DUMMYFUNCTION("""COMPUTED_VALUE"""),2.0)</f>
        <v>2</v>
      </c>
      <c r="E695" s="2">
        <f>IFERROR(__xludf.DUMMYFUNCTION("""COMPUTED_VALUE"""),50.0)</f>
        <v>50</v>
      </c>
      <c r="F695" s="2">
        <f>IFERROR(__xludf.DUMMYFUNCTION("""COMPUTED_VALUE"""),2.0)</f>
        <v>2</v>
      </c>
      <c r="G695" s="2">
        <f>IFERROR(__xludf.DUMMYFUNCTION("""COMPUTED_VALUE"""),9.0)</f>
        <v>9</v>
      </c>
      <c r="H695" s="2">
        <f>IFERROR(__xludf.DUMMYFUNCTION("""COMPUTED_VALUE"""),602.0)</f>
        <v>602</v>
      </c>
      <c r="I695" s="2" t="str">
        <f>IFERROR(__xludf.DUMMYFUNCTION("""COMPUTED_VALUE"""),"Panel")</f>
        <v>Panel</v>
      </c>
      <c r="J695" s="2" t="str">
        <f>IFERROR(__xludf.DUMMYFUNCTION("""COMPUTED_VALUE"""),"All amenities")</f>
        <v>All amenities</v>
      </c>
      <c r="K695" s="2">
        <f>IFERROR(__xludf.DUMMYFUNCTION("""COMPUTED_VALUE"""),54000.0)</f>
        <v>54000</v>
      </c>
      <c r="L695" s="2">
        <f>IFERROR(__xludf.DUMMYFUNCTION("""COMPUTED_VALUE"""),56.9346184)</f>
        <v>56.9346184</v>
      </c>
      <c r="M695" s="2">
        <f>IFERROR(__xludf.DUMMYFUNCTION("""COMPUTED_VALUE"""),24.1980807)</f>
        <v>24.1980807</v>
      </c>
    </row>
    <row r="696">
      <c r="A696" s="2" t="str">
        <f>IFERROR(__xludf.DUMMYFUNCTION("""COMPUTED_VALUE"""),"For sale")</f>
        <v>For sale</v>
      </c>
      <c r="B696" s="2" t="str">
        <f>IFERROR(__xludf.DUMMYFUNCTION("""COMPUTED_VALUE"""),"centrs")</f>
        <v>centrs</v>
      </c>
      <c r="C696" s="2" t="str">
        <f>IFERROR(__xludf.DUMMYFUNCTION("""COMPUTED_VALUE"""),"Brīvības iela 161")</f>
        <v>Brīvības iela 161</v>
      </c>
      <c r="D696" s="2">
        <f>IFERROR(__xludf.DUMMYFUNCTION("""COMPUTED_VALUE"""),2.0)</f>
        <v>2</v>
      </c>
      <c r="E696" s="2">
        <f>IFERROR(__xludf.DUMMYFUNCTION("""COMPUTED_VALUE"""),40.0)</f>
        <v>40</v>
      </c>
      <c r="F696" s="2">
        <f>IFERROR(__xludf.DUMMYFUNCTION("""COMPUTED_VALUE"""),4.0)</f>
        <v>4</v>
      </c>
      <c r="G696" s="2">
        <f>IFERROR(__xludf.DUMMYFUNCTION("""COMPUTED_VALUE"""),5.0)</f>
        <v>5</v>
      </c>
      <c r="H696" s="2" t="str">
        <f>IFERROR(__xludf.DUMMYFUNCTION("""COMPUTED_VALUE"""),"Renov.")</f>
        <v>Renov.</v>
      </c>
      <c r="I696" s="2" t="str">
        <f>IFERROR(__xludf.DUMMYFUNCTION("""COMPUTED_VALUE"""),"Masonry")</f>
        <v>Masonry</v>
      </c>
      <c r="J696" s="2" t="str">
        <f>IFERROR(__xludf.DUMMYFUNCTION("""COMPUTED_VALUE"""),"All amenities")</f>
        <v>All amenities</v>
      </c>
      <c r="K696" s="2">
        <f>IFERROR(__xludf.DUMMYFUNCTION("""COMPUTED_VALUE"""),98000.0)</f>
        <v>98000</v>
      </c>
      <c r="L696" s="2">
        <f>IFERROR(__xludf.DUMMYFUNCTION("""COMPUTED_VALUE"""),56.9667357999999)</f>
        <v>56.9667358</v>
      </c>
      <c r="M696" s="2">
        <f>IFERROR(__xludf.DUMMYFUNCTION("""COMPUTED_VALUE"""),24.1456351053152)</f>
        <v>24.14563511</v>
      </c>
    </row>
    <row r="697">
      <c r="A697" s="2" t="str">
        <f>IFERROR(__xludf.DUMMYFUNCTION("""COMPUTED_VALUE"""),"For rent")</f>
        <v>For rent</v>
      </c>
      <c r="B697" s="2" t="str">
        <f>IFERROR(__xludf.DUMMYFUNCTION("""COMPUTED_VALUE"""),"centrs")</f>
        <v>centrs</v>
      </c>
      <c r="C697" s="2" t="str">
        <f>IFERROR(__xludf.DUMMYFUNCTION("""COMPUTED_VALUE"""),"Bruņinieku 115a")</f>
        <v>Bruņinieku 115a</v>
      </c>
      <c r="D697" s="2">
        <f>IFERROR(__xludf.DUMMYFUNCTION("""COMPUTED_VALUE"""),1.0)</f>
        <v>1</v>
      </c>
      <c r="E697" s="2">
        <f>IFERROR(__xludf.DUMMYFUNCTION("""COMPUTED_VALUE"""),20.0)</f>
        <v>20</v>
      </c>
      <c r="F697" s="2">
        <f>IFERROR(__xludf.DUMMYFUNCTION("""COMPUTED_VALUE"""),4.0)</f>
        <v>4</v>
      </c>
      <c r="G697" s="2">
        <f>IFERROR(__xludf.DUMMYFUNCTION("""COMPUTED_VALUE"""),5.0)</f>
        <v>5</v>
      </c>
      <c r="H697" s="2" t="str">
        <f>IFERROR(__xludf.DUMMYFUNCTION("""COMPUTED_VALUE"""),"P. kara")</f>
        <v>P. kara</v>
      </c>
      <c r="I697" s="2" t="str">
        <f>IFERROR(__xludf.DUMMYFUNCTION("""COMPUTED_VALUE"""),"Masonry")</f>
        <v>Masonry</v>
      </c>
      <c r="J697" s="2" t="str">
        <f>IFERROR(__xludf.DUMMYFUNCTION("""COMPUTED_VALUE"""),"Partial amenities")</f>
        <v>Partial amenities</v>
      </c>
      <c r="K697" s="2">
        <f>IFERROR(__xludf.DUMMYFUNCTION("""COMPUTED_VALUE"""),155.0)</f>
        <v>155</v>
      </c>
      <c r="L697" s="2">
        <f>IFERROR(__xludf.DUMMYFUNCTION("""COMPUTED_VALUE"""),56.9501202)</f>
        <v>56.9501202</v>
      </c>
      <c r="M697" s="2">
        <f>IFERROR(__xludf.DUMMYFUNCTION("""COMPUTED_VALUE"""),24.1443988)</f>
        <v>24.1443988</v>
      </c>
    </row>
    <row r="698">
      <c r="A698" s="2" t="str">
        <f>IFERROR(__xludf.DUMMYFUNCTION("""COMPUTED_VALUE"""),"For sale")</f>
        <v>For sale</v>
      </c>
      <c r="B698" s="2" t="str">
        <f>IFERROR(__xludf.DUMMYFUNCTION("""COMPUTED_VALUE"""),"Purvciems")</f>
        <v>Purvciems</v>
      </c>
      <c r="C698" s="2" t="str">
        <f>IFERROR(__xludf.DUMMYFUNCTION("""COMPUTED_VALUE"""),"Ilūkstes 56")</f>
        <v>Ilūkstes 56</v>
      </c>
      <c r="D698" s="2">
        <f>IFERROR(__xludf.DUMMYFUNCTION("""COMPUTED_VALUE"""),3.0)</f>
        <v>3</v>
      </c>
      <c r="E698" s="2">
        <f>IFERROR(__xludf.DUMMYFUNCTION("""COMPUTED_VALUE"""),66.0)</f>
        <v>66</v>
      </c>
      <c r="F698" s="2">
        <f>IFERROR(__xludf.DUMMYFUNCTION("""COMPUTED_VALUE"""),2.0)</f>
        <v>2</v>
      </c>
      <c r="G698" s="2">
        <f>IFERROR(__xludf.DUMMYFUNCTION("""COMPUTED_VALUE"""),5.0)</f>
        <v>5</v>
      </c>
      <c r="H698" s="2" t="str">
        <f>IFERROR(__xludf.DUMMYFUNCTION("""COMPUTED_VALUE"""),"LT proj.")</f>
        <v>LT proj.</v>
      </c>
      <c r="I698" s="2" t="str">
        <f>IFERROR(__xludf.DUMMYFUNCTION("""COMPUTED_VALUE"""),"Panel")</f>
        <v>Panel</v>
      </c>
      <c r="J698" s="2" t="str">
        <f>IFERROR(__xludf.DUMMYFUNCTION("""COMPUTED_VALUE"""),"All amenities")</f>
        <v>All amenities</v>
      </c>
      <c r="K698" s="2">
        <f>IFERROR(__xludf.DUMMYFUNCTION("""COMPUTED_VALUE"""),81900.0)</f>
        <v>81900</v>
      </c>
      <c r="L698" s="2">
        <f>IFERROR(__xludf.DUMMYFUNCTION("""COMPUTED_VALUE"""),56.9509491)</f>
        <v>56.9509491</v>
      </c>
      <c r="M698" s="2">
        <f>IFERROR(__xludf.DUMMYFUNCTION("""COMPUTED_VALUE"""),24.1989595887157)</f>
        <v>24.19895959</v>
      </c>
    </row>
    <row r="699">
      <c r="A699" s="2" t="str">
        <f>IFERROR(__xludf.DUMMYFUNCTION("""COMPUTED_VALUE"""),"For rent")</f>
        <v>For rent</v>
      </c>
      <c r="B699" s="2" t="str">
        <f>IFERROR(__xludf.DUMMYFUNCTION("""COMPUTED_VALUE"""),"centrs")</f>
        <v>centrs</v>
      </c>
      <c r="C699" s="2" t="str">
        <f>IFERROR(__xludf.DUMMYFUNCTION("""COMPUTED_VALUE"""),"Klusā 20")</f>
        <v>Klusā 20</v>
      </c>
      <c r="D699" s="2">
        <f>IFERROR(__xludf.DUMMYFUNCTION("""COMPUTED_VALUE"""),1.0)</f>
        <v>1</v>
      </c>
      <c r="E699" s="2">
        <f>IFERROR(__xludf.DUMMYFUNCTION("""COMPUTED_VALUE"""),28.0)</f>
        <v>28</v>
      </c>
      <c r="F699" s="2">
        <f>IFERROR(__xludf.DUMMYFUNCTION("""COMPUTED_VALUE"""),3.0)</f>
        <v>3</v>
      </c>
      <c r="G699" s="2">
        <f>IFERROR(__xludf.DUMMYFUNCTION("""COMPUTED_VALUE"""),9.0)</f>
        <v>9</v>
      </c>
      <c r="H699" s="2" t="str">
        <f>IFERROR(__xludf.DUMMYFUNCTION("""COMPUTED_VALUE"""),"Jaun.")</f>
        <v>Jaun.</v>
      </c>
      <c r="I699" s="2" t="str">
        <f>IFERROR(__xludf.DUMMYFUNCTION("""COMPUTED_VALUE"""),"Masonry")</f>
        <v>Masonry</v>
      </c>
      <c r="J699" s="2" t="str">
        <f>IFERROR(__xludf.DUMMYFUNCTION("""COMPUTED_VALUE"""),"All amenities")</f>
        <v>All amenities</v>
      </c>
      <c r="K699" s="2">
        <f>IFERROR(__xludf.DUMMYFUNCTION("""COMPUTED_VALUE"""),30.0)</f>
        <v>30</v>
      </c>
      <c r="L699" s="2">
        <f>IFERROR(__xludf.DUMMYFUNCTION("""COMPUTED_VALUE"""),56.97650505)</f>
        <v>56.97650505</v>
      </c>
      <c r="M699" s="2">
        <f>IFERROR(__xludf.DUMMYFUNCTION("""COMPUTED_VALUE"""),24.1464958357009)</f>
        <v>24.14649584</v>
      </c>
    </row>
    <row r="700">
      <c r="A700" s="2" t="str">
        <f>IFERROR(__xludf.DUMMYFUNCTION("""COMPUTED_VALUE"""),"For sale")</f>
        <v>For sale</v>
      </c>
      <c r="B700" s="2" t="str">
        <f>IFERROR(__xludf.DUMMYFUNCTION("""COMPUTED_VALUE"""),"Zolitūde")</f>
        <v>Zolitūde</v>
      </c>
      <c r="C700" s="2" t="str">
        <f>IFERROR(__xludf.DUMMYFUNCTION("""COMPUTED_VALUE"""),"Ruses 26")</f>
        <v>Ruses 26</v>
      </c>
      <c r="D700" s="2">
        <f>IFERROR(__xludf.DUMMYFUNCTION("""COMPUTED_VALUE"""),2.0)</f>
        <v>2</v>
      </c>
      <c r="E700" s="2">
        <f>IFERROR(__xludf.DUMMYFUNCTION("""COMPUTED_VALUE"""),61.0)</f>
        <v>61</v>
      </c>
      <c r="F700" s="2">
        <f>IFERROR(__xludf.DUMMYFUNCTION("""COMPUTED_VALUE"""),1.0)</f>
        <v>1</v>
      </c>
      <c r="G700" s="2">
        <f>IFERROR(__xludf.DUMMYFUNCTION("""COMPUTED_VALUE"""),9.0)</f>
        <v>9</v>
      </c>
      <c r="H700" s="2">
        <f>IFERROR(__xludf.DUMMYFUNCTION("""COMPUTED_VALUE"""),119.0)</f>
        <v>119</v>
      </c>
      <c r="I700" s="2" t="str">
        <f>IFERROR(__xludf.DUMMYFUNCTION("""COMPUTED_VALUE"""),"Panel")</f>
        <v>Panel</v>
      </c>
      <c r="J700" s="2" t="str">
        <f>IFERROR(__xludf.DUMMYFUNCTION("""COMPUTED_VALUE"""),"All amenities")</f>
        <v>All amenities</v>
      </c>
      <c r="K700" s="2">
        <f>IFERROR(__xludf.DUMMYFUNCTION("""COMPUTED_VALUE"""),70000.0)</f>
        <v>70000</v>
      </c>
      <c r="L700" s="2">
        <f>IFERROR(__xludf.DUMMYFUNCTION("""COMPUTED_VALUE"""),56.9454805)</f>
        <v>56.9454805</v>
      </c>
      <c r="M700" s="2">
        <f>IFERROR(__xludf.DUMMYFUNCTION("""COMPUTED_VALUE"""),24.0097101)</f>
        <v>24.0097101</v>
      </c>
    </row>
    <row r="701">
      <c r="A701" s="2" t="str">
        <f>IFERROR(__xludf.DUMMYFUNCTION("""COMPUTED_VALUE"""),"For sale")</f>
        <v>For sale</v>
      </c>
      <c r="B701" s="2" t="str">
        <f>IFERROR(__xludf.DUMMYFUNCTION("""COMPUTED_VALUE"""),"Ziepniekkalns")</f>
        <v>Ziepniekkalns</v>
      </c>
      <c r="C701" s="2" t="str">
        <f>IFERROR(__xludf.DUMMYFUNCTION("""COMPUTED_VALUE"""),"Īslīces 3")</f>
        <v>Īslīces 3</v>
      </c>
      <c r="D701" s="2">
        <f>IFERROR(__xludf.DUMMYFUNCTION("""COMPUTED_VALUE"""),3.0)</f>
        <v>3</v>
      </c>
      <c r="E701" s="2">
        <f>IFERROR(__xludf.DUMMYFUNCTION("""COMPUTED_VALUE"""),75.0)</f>
        <v>75</v>
      </c>
      <c r="F701" s="2">
        <f>IFERROR(__xludf.DUMMYFUNCTION("""COMPUTED_VALUE"""),7.0)</f>
        <v>7</v>
      </c>
      <c r="G701" s="2">
        <f>IFERROR(__xludf.DUMMYFUNCTION("""COMPUTED_VALUE"""),9.0)</f>
        <v>9</v>
      </c>
      <c r="H701" s="2">
        <f>IFERROR(__xludf.DUMMYFUNCTION("""COMPUTED_VALUE"""),119.0)</f>
        <v>119</v>
      </c>
      <c r="I701" s="2" t="str">
        <f>IFERROR(__xludf.DUMMYFUNCTION("""COMPUTED_VALUE"""),"Panel")</f>
        <v>Panel</v>
      </c>
      <c r="J701" s="2" t="str">
        <f>IFERROR(__xludf.DUMMYFUNCTION("""COMPUTED_VALUE"""),"All amenities")</f>
        <v>All amenities</v>
      </c>
      <c r="K701" s="2">
        <f>IFERROR(__xludf.DUMMYFUNCTION("""COMPUTED_VALUE"""),75000.0)</f>
        <v>75000</v>
      </c>
      <c r="L701" s="2">
        <f>IFERROR(__xludf.DUMMYFUNCTION("""COMPUTED_VALUE"""),56.9004074)</f>
        <v>56.9004074</v>
      </c>
      <c r="M701" s="2">
        <f>IFERROR(__xludf.DUMMYFUNCTION("""COMPUTED_VALUE"""),24.0837422885217)</f>
        <v>24.08374229</v>
      </c>
    </row>
    <row r="702">
      <c r="A702" s="2" t="str">
        <f>IFERROR(__xludf.DUMMYFUNCTION("""COMPUTED_VALUE"""),"For rent")</f>
        <v>For rent</v>
      </c>
      <c r="B702" s="2" t="str">
        <f>IFERROR(__xludf.DUMMYFUNCTION("""COMPUTED_VALUE"""),"Torņakalns")</f>
        <v>Torņakalns</v>
      </c>
      <c r="C702" s="2" t="str">
        <f>IFERROR(__xludf.DUMMYFUNCTION("""COMPUTED_VALUE"""),"Ludviķa 3")</f>
        <v>Ludviķa 3</v>
      </c>
      <c r="D702" s="2">
        <f>IFERROR(__xludf.DUMMYFUNCTION("""COMPUTED_VALUE"""),1.0)</f>
        <v>1</v>
      </c>
      <c r="E702" s="2">
        <f>IFERROR(__xludf.DUMMYFUNCTION("""COMPUTED_VALUE"""),37.0)</f>
        <v>37</v>
      </c>
      <c r="F702" s="2">
        <f>IFERROR(__xludf.DUMMYFUNCTION("""COMPUTED_VALUE"""),1.0)</f>
        <v>1</v>
      </c>
      <c r="G702" s="2">
        <f>IFERROR(__xludf.DUMMYFUNCTION("""COMPUTED_VALUE"""),1.0)</f>
        <v>1</v>
      </c>
      <c r="H702" s="2" t="str">
        <f>IFERROR(__xludf.DUMMYFUNCTION("""COMPUTED_VALUE"""),"Staļina")</f>
        <v>Staļina</v>
      </c>
      <c r="I702" s="2" t="str">
        <f>IFERROR(__xludf.DUMMYFUNCTION("""COMPUTED_VALUE"""),"Wood")</f>
        <v>Wood</v>
      </c>
      <c r="J702" s="2" t="str">
        <f>IFERROR(__xludf.DUMMYFUNCTION("""COMPUTED_VALUE"""),"Partial amenities")</f>
        <v>Partial amenities</v>
      </c>
      <c r="K702" s="2">
        <f>IFERROR(__xludf.DUMMYFUNCTION("""COMPUTED_VALUE"""),170.0)</f>
        <v>170</v>
      </c>
      <c r="L702" s="2">
        <f>IFERROR(__xludf.DUMMYFUNCTION("""COMPUTED_VALUE"""),56.92553455)</f>
        <v>56.92553455</v>
      </c>
      <c r="M702" s="2">
        <f>IFERROR(__xludf.DUMMYFUNCTION("""COMPUTED_VALUE"""),24.0956731584611)</f>
        <v>24.09567316</v>
      </c>
    </row>
    <row r="703">
      <c r="A703" s="2" t="str">
        <f>IFERROR(__xludf.DUMMYFUNCTION("""COMPUTED_VALUE"""),"For sale")</f>
        <v>For sale</v>
      </c>
      <c r="B703" s="2" t="str">
        <f>IFERROR(__xludf.DUMMYFUNCTION("""COMPUTED_VALUE"""),"Zolitūde")</f>
        <v>Zolitūde</v>
      </c>
      <c r="C703" s="2" t="str">
        <f>IFERROR(__xludf.DUMMYFUNCTION("""COMPUTED_VALUE"""),"Rostokas 38")</f>
        <v>Rostokas 38</v>
      </c>
      <c r="D703" s="2">
        <f>IFERROR(__xludf.DUMMYFUNCTION("""COMPUTED_VALUE"""),3.0)</f>
        <v>3</v>
      </c>
      <c r="E703" s="2">
        <f>IFERROR(__xludf.DUMMYFUNCTION("""COMPUTED_VALUE"""),78.0)</f>
        <v>78</v>
      </c>
      <c r="F703" s="2">
        <f>IFERROR(__xludf.DUMMYFUNCTION("""COMPUTED_VALUE"""),2.0)</f>
        <v>2</v>
      </c>
      <c r="G703" s="2">
        <f>IFERROR(__xludf.DUMMYFUNCTION("""COMPUTED_VALUE"""),7.0)</f>
        <v>7</v>
      </c>
      <c r="H703" s="2">
        <f>IFERROR(__xludf.DUMMYFUNCTION("""COMPUTED_VALUE"""),119.0)</f>
        <v>119</v>
      </c>
      <c r="I703" s="2" t="str">
        <f>IFERROR(__xludf.DUMMYFUNCTION("""COMPUTED_VALUE"""),"Panel")</f>
        <v>Panel</v>
      </c>
      <c r="J703" s="2" t="str">
        <f>IFERROR(__xludf.DUMMYFUNCTION("""COMPUTED_VALUE"""),"All amenities")</f>
        <v>All amenities</v>
      </c>
      <c r="K703" s="2">
        <f>IFERROR(__xludf.DUMMYFUNCTION("""COMPUTED_VALUE"""),86000.0)</f>
        <v>86000</v>
      </c>
      <c r="L703" s="2">
        <f>IFERROR(__xludf.DUMMYFUNCTION("""COMPUTED_VALUE"""),54.1436099999999)</f>
        <v>54.14361</v>
      </c>
      <c r="M703" s="2">
        <f>IFERROR(__xludf.DUMMYFUNCTION("""COMPUTED_VALUE"""),12.05044145)</f>
        <v>12.05044145</v>
      </c>
    </row>
    <row r="704">
      <c r="A704" s="2" t="str">
        <f>IFERROR(__xludf.DUMMYFUNCTION("""COMPUTED_VALUE"""),"For sale")</f>
        <v>For sale</v>
      </c>
      <c r="B704" s="2" t="str">
        <f>IFERROR(__xludf.DUMMYFUNCTION("""COMPUTED_VALUE"""),"Imanta")</f>
        <v>Imanta</v>
      </c>
      <c r="C704" s="2" t="str">
        <f>IFERROR(__xludf.DUMMYFUNCTION("""COMPUTED_VALUE"""),"Kurzemes pr. 68")</f>
        <v>Kurzemes pr. 68</v>
      </c>
      <c r="D704" s="2">
        <f>IFERROR(__xludf.DUMMYFUNCTION("""COMPUTED_VALUE"""),3.0)</f>
        <v>3</v>
      </c>
      <c r="E704" s="2">
        <f>IFERROR(__xludf.DUMMYFUNCTION("""COMPUTED_VALUE"""),62.0)</f>
        <v>62</v>
      </c>
      <c r="F704" s="2">
        <f>IFERROR(__xludf.DUMMYFUNCTION("""COMPUTED_VALUE"""),4.0)</f>
        <v>4</v>
      </c>
      <c r="G704" s="2">
        <f>IFERROR(__xludf.DUMMYFUNCTION("""COMPUTED_VALUE"""),5.0)</f>
        <v>5</v>
      </c>
      <c r="H704" s="2" t="str">
        <f>IFERROR(__xludf.DUMMYFUNCTION("""COMPUTED_VALUE"""),"LT proj.")</f>
        <v>LT proj.</v>
      </c>
      <c r="I704" s="2" t="str">
        <f>IFERROR(__xludf.DUMMYFUNCTION("""COMPUTED_VALUE"""),"Panel")</f>
        <v>Panel</v>
      </c>
      <c r="J704" s="2" t="str">
        <f>IFERROR(__xludf.DUMMYFUNCTION("""COMPUTED_VALUE"""),"All amenities")</f>
        <v>All amenities</v>
      </c>
      <c r="K704" s="2">
        <f>IFERROR(__xludf.DUMMYFUNCTION("""COMPUTED_VALUE"""),47000.0)</f>
        <v>47000</v>
      </c>
      <c r="L704" s="2">
        <f>IFERROR(__xludf.DUMMYFUNCTION("""COMPUTED_VALUE"""),56.9567829)</f>
        <v>56.9567829</v>
      </c>
      <c r="M704" s="2">
        <f>IFERROR(__xludf.DUMMYFUNCTION("""COMPUTED_VALUE"""),24.0344957)</f>
        <v>24.0344957</v>
      </c>
    </row>
    <row r="705">
      <c r="A705" s="2" t="str">
        <f>IFERROR(__xludf.DUMMYFUNCTION("""COMPUTED_VALUE"""),"For sale")</f>
        <v>For sale</v>
      </c>
      <c r="B705" s="2" t="str">
        <f>IFERROR(__xludf.DUMMYFUNCTION("""COMPUTED_VALUE"""),"centrs")</f>
        <v>centrs</v>
      </c>
      <c r="C705" s="2" t="str">
        <f>IFERROR(__xludf.DUMMYFUNCTION("""COMPUTED_VALUE"""),"Marijas 16")</f>
        <v>Marijas 16</v>
      </c>
      <c r="D705" s="2">
        <f>IFERROR(__xludf.DUMMYFUNCTION("""COMPUTED_VALUE"""),4.0)</f>
        <v>4</v>
      </c>
      <c r="E705" s="2">
        <f>IFERROR(__xludf.DUMMYFUNCTION("""COMPUTED_VALUE"""),100.0)</f>
        <v>100</v>
      </c>
      <c r="F705" s="2">
        <f>IFERROR(__xludf.DUMMYFUNCTION("""COMPUTED_VALUE"""),6.0)</f>
        <v>6</v>
      </c>
      <c r="G705" s="2">
        <f>IFERROR(__xludf.DUMMYFUNCTION("""COMPUTED_VALUE"""),7.0)</f>
        <v>7</v>
      </c>
      <c r="H705" s="2" t="str">
        <f>IFERROR(__xludf.DUMMYFUNCTION("""COMPUTED_VALUE"""),"P. kara")</f>
        <v>P. kara</v>
      </c>
      <c r="I705" s="2" t="str">
        <f>IFERROR(__xludf.DUMMYFUNCTION("""COMPUTED_VALUE"""),"Masonry")</f>
        <v>Masonry</v>
      </c>
      <c r="J705" s="2" t="str">
        <f>IFERROR(__xludf.DUMMYFUNCTION("""COMPUTED_VALUE"""),"All amenities")</f>
        <v>All amenities</v>
      </c>
      <c r="K705" s="2">
        <f>IFERROR(__xludf.DUMMYFUNCTION("""COMPUTED_VALUE"""),165000.0)</f>
        <v>165000</v>
      </c>
      <c r="L705" s="2">
        <f>IFERROR(__xludf.DUMMYFUNCTION("""COMPUTED_VALUE"""),56.9505796)</f>
        <v>56.9505796</v>
      </c>
      <c r="M705" s="2">
        <f>IFERROR(__xludf.DUMMYFUNCTION("""COMPUTED_VALUE"""),24.1255938)</f>
        <v>24.1255938</v>
      </c>
    </row>
    <row r="706">
      <c r="A706" s="2" t="str">
        <f>IFERROR(__xludf.DUMMYFUNCTION("""COMPUTED_VALUE"""),"For sale")</f>
        <v>For sale</v>
      </c>
      <c r="B706" s="2" t="str">
        <f>IFERROR(__xludf.DUMMYFUNCTION("""COMPUTED_VALUE"""),"Purvciems")</f>
        <v>Purvciems</v>
      </c>
      <c r="C706" s="2" t="str">
        <f>IFERROR(__xludf.DUMMYFUNCTION("""COMPUTED_VALUE"""),"Dudajeva g. 13")</f>
        <v>Dudajeva g. 13</v>
      </c>
      <c r="D706" s="2">
        <f>IFERROR(__xludf.DUMMYFUNCTION("""COMPUTED_VALUE"""),1.0)</f>
        <v>1</v>
      </c>
      <c r="E706" s="2">
        <f>IFERROR(__xludf.DUMMYFUNCTION("""COMPUTED_VALUE"""),28.0)</f>
        <v>28</v>
      </c>
      <c r="F706" s="2">
        <f>IFERROR(__xludf.DUMMYFUNCTION("""COMPUTED_VALUE"""),5.0)</f>
        <v>5</v>
      </c>
      <c r="G706" s="2">
        <f>IFERROR(__xludf.DUMMYFUNCTION("""COMPUTED_VALUE"""),5.0)</f>
        <v>5</v>
      </c>
      <c r="H706" s="2" t="str">
        <f>IFERROR(__xludf.DUMMYFUNCTION("""COMPUTED_VALUE"""),"LT proj.")</f>
        <v>LT proj.</v>
      </c>
      <c r="I706" s="2" t="str">
        <f>IFERROR(__xludf.DUMMYFUNCTION("""COMPUTED_VALUE"""),"Panel")</f>
        <v>Panel</v>
      </c>
      <c r="J706" s="2" t="str">
        <f>IFERROR(__xludf.DUMMYFUNCTION("""COMPUTED_VALUE"""),"All amenities")</f>
        <v>All amenities</v>
      </c>
      <c r="K706" s="2">
        <f>IFERROR(__xludf.DUMMYFUNCTION("""COMPUTED_VALUE"""),27800.0)</f>
        <v>27800</v>
      </c>
      <c r="L706" s="2">
        <f>IFERROR(__xludf.DUMMYFUNCTION("""COMPUTED_VALUE"""),56.9570069)</f>
        <v>56.9570069</v>
      </c>
      <c r="M706" s="2">
        <f>IFERROR(__xludf.DUMMYFUNCTION("""COMPUTED_VALUE"""),24.1987368)</f>
        <v>24.1987368</v>
      </c>
    </row>
    <row r="707">
      <c r="A707" s="2" t="str">
        <f>IFERROR(__xludf.DUMMYFUNCTION("""COMPUTED_VALUE"""),"For sale")</f>
        <v>For sale</v>
      </c>
      <c r="B707" s="2" t="str">
        <f>IFERROR(__xludf.DUMMYFUNCTION("""COMPUTED_VALUE"""),"Purvciems")</f>
        <v>Purvciems</v>
      </c>
      <c r="C707" s="2" t="str">
        <f>IFERROR(__xludf.DUMMYFUNCTION("""COMPUTED_VALUE"""),"Viršu 3")</f>
        <v>Viršu 3</v>
      </c>
      <c r="D707" s="2">
        <f>IFERROR(__xludf.DUMMYFUNCTION("""COMPUTED_VALUE"""),3.0)</f>
        <v>3</v>
      </c>
      <c r="E707" s="2">
        <f>IFERROR(__xludf.DUMMYFUNCTION("""COMPUTED_VALUE"""),79.0)</f>
        <v>79</v>
      </c>
      <c r="F707" s="2">
        <f>IFERROR(__xludf.DUMMYFUNCTION("""COMPUTED_VALUE"""),9.0)</f>
        <v>9</v>
      </c>
      <c r="G707" s="2">
        <f>IFERROR(__xludf.DUMMYFUNCTION("""COMPUTED_VALUE"""),9.0)</f>
        <v>9</v>
      </c>
      <c r="H707" s="2">
        <f>IFERROR(__xludf.DUMMYFUNCTION("""COMPUTED_VALUE"""),119.0)</f>
        <v>119</v>
      </c>
      <c r="I707" s="2" t="str">
        <f>IFERROR(__xludf.DUMMYFUNCTION("""COMPUTED_VALUE"""),"Panel")</f>
        <v>Panel</v>
      </c>
      <c r="J707" s="2" t="str">
        <f>IFERROR(__xludf.DUMMYFUNCTION("""COMPUTED_VALUE"""),"All amenities")</f>
        <v>All amenities</v>
      </c>
      <c r="K707" s="2">
        <f>IFERROR(__xludf.DUMMYFUNCTION("""COMPUTED_VALUE"""),80000.0)</f>
        <v>80000</v>
      </c>
      <c r="L707" s="2">
        <f>IFERROR(__xludf.DUMMYFUNCTION("""COMPUTED_VALUE"""),56.9521256999999)</f>
        <v>56.9521257</v>
      </c>
      <c r="M707" s="2">
        <f>IFERROR(__xludf.DUMMYFUNCTION("""COMPUTED_VALUE"""),24.1761138)</f>
        <v>24.1761138</v>
      </c>
    </row>
    <row r="708">
      <c r="A708" s="2" t="str">
        <f>IFERROR(__xludf.DUMMYFUNCTION("""COMPUTED_VALUE"""),"For sale")</f>
        <v>For sale</v>
      </c>
      <c r="B708" s="2" t="str">
        <f>IFERROR(__xludf.DUMMYFUNCTION("""COMPUTED_VALUE"""),"Mežciems")</f>
        <v>Mežciems</v>
      </c>
      <c r="C708" s="2" t="str">
        <f>IFERROR(__xludf.DUMMYFUNCTION("""COMPUTED_VALUE"""),"Hipokrāta 47")</f>
        <v>Hipokrāta 47</v>
      </c>
      <c r="D708" s="2">
        <f>IFERROR(__xludf.DUMMYFUNCTION("""COMPUTED_VALUE"""),3.0)</f>
        <v>3</v>
      </c>
      <c r="E708" s="2">
        <f>IFERROR(__xludf.DUMMYFUNCTION("""COMPUTED_VALUE"""),64.0)</f>
        <v>64</v>
      </c>
      <c r="F708" s="2">
        <f>IFERROR(__xludf.DUMMYFUNCTION("""COMPUTED_VALUE"""),5.0)</f>
        <v>5</v>
      </c>
      <c r="G708" s="2">
        <f>IFERROR(__xludf.DUMMYFUNCTION("""COMPUTED_VALUE"""),9.0)</f>
        <v>9</v>
      </c>
      <c r="H708" s="2">
        <f>IFERROR(__xludf.DUMMYFUNCTION("""COMPUTED_VALUE"""),602.0)</f>
        <v>602</v>
      </c>
      <c r="I708" s="2" t="str">
        <f>IFERROR(__xludf.DUMMYFUNCTION("""COMPUTED_VALUE"""),"Panel")</f>
        <v>Panel</v>
      </c>
      <c r="J708" s="2" t="str">
        <f>IFERROR(__xludf.DUMMYFUNCTION("""COMPUTED_VALUE"""),"All amenities")</f>
        <v>All amenities</v>
      </c>
      <c r="K708" s="2">
        <f>IFERROR(__xludf.DUMMYFUNCTION("""COMPUTED_VALUE"""),67000.0)</f>
        <v>67000</v>
      </c>
      <c r="L708" s="2">
        <f>IFERROR(__xludf.DUMMYFUNCTION("""COMPUTED_VALUE"""),56.9613825499999)</f>
        <v>56.96138255</v>
      </c>
      <c r="M708" s="2">
        <f>IFERROR(__xludf.DUMMYFUNCTION("""COMPUTED_VALUE"""),24.2356197499999)</f>
        <v>24.23561975</v>
      </c>
    </row>
    <row r="709">
      <c r="A709" s="2" t="str">
        <f>IFERROR(__xludf.DUMMYFUNCTION("""COMPUTED_VALUE"""),"For sale")</f>
        <v>For sale</v>
      </c>
      <c r="B709" s="2" t="str">
        <f>IFERROR(__xludf.DUMMYFUNCTION("""COMPUTED_VALUE"""),"Mežciems")</f>
        <v>Mežciems</v>
      </c>
      <c r="C709" s="2" t="str">
        <f>IFERROR(__xludf.DUMMYFUNCTION("""COMPUTED_VALUE"""),"Kaivas 50")</f>
        <v>Kaivas 50</v>
      </c>
      <c r="D709" s="2">
        <f>IFERROR(__xludf.DUMMYFUNCTION("""COMPUTED_VALUE"""),2.0)</f>
        <v>2</v>
      </c>
      <c r="E709" s="2">
        <f>IFERROR(__xludf.DUMMYFUNCTION("""COMPUTED_VALUE"""),55.0)</f>
        <v>55</v>
      </c>
      <c r="F709" s="2">
        <f>IFERROR(__xludf.DUMMYFUNCTION("""COMPUTED_VALUE"""),3.0)</f>
        <v>3</v>
      </c>
      <c r="G709" s="2">
        <f>IFERROR(__xludf.DUMMYFUNCTION("""COMPUTED_VALUE"""),5.0)</f>
        <v>5</v>
      </c>
      <c r="H709" s="2" t="str">
        <f>IFERROR(__xludf.DUMMYFUNCTION("""COMPUTED_VALUE"""),"Specpr.")</f>
        <v>Specpr.</v>
      </c>
      <c r="I709" s="2" t="str">
        <f>IFERROR(__xludf.DUMMYFUNCTION("""COMPUTED_VALUE"""),"Panel")</f>
        <v>Panel</v>
      </c>
      <c r="J709" s="2" t="str">
        <f>IFERROR(__xludf.DUMMYFUNCTION("""COMPUTED_VALUE"""),"All amenities")</f>
        <v>All amenities</v>
      </c>
      <c r="K709" s="2">
        <f>IFERROR(__xludf.DUMMYFUNCTION("""COMPUTED_VALUE"""),77900.0)</f>
        <v>77900</v>
      </c>
      <c r="L709" s="2">
        <f>IFERROR(__xludf.DUMMYFUNCTION("""COMPUTED_VALUE"""),56.95546705)</f>
        <v>56.95546705</v>
      </c>
      <c r="M709" s="2">
        <f>IFERROR(__xludf.DUMMYFUNCTION("""COMPUTED_VALUE"""),24.24181865)</f>
        <v>24.24181865</v>
      </c>
    </row>
    <row r="710">
      <c r="A710" s="2" t="str">
        <f>IFERROR(__xludf.DUMMYFUNCTION("""COMPUTED_VALUE"""),"For sale")</f>
        <v>For sale</v>
      </c>
      <c r="B710" s="2" t="str">
        <f>IFERROR(__xludf.DUMMYFUNCTION("""COMPUTED_VALUE"""),"Ķengarags")</f>
        <v>Ķengarags</v>
      </c>
      <c r="C710" s="2" t="str">
        <f>IFERROR(__xludf.DUMMYFUNCTION("""COMPUTED_VALUE"""),"Lokomotīves 88")</f>
        <v>Lokomotīves 88</v>
      </c>
      <c r="D710" s="2">
        <f>IFERROR(__xludf.DUMMYFUNCTION("""COMPUTED_VALUE"""),2.0)</f>
        <v>2</v>
      </c>
      <c r="E710" s="2">
        <f>IFERROR(__xludf.DUMMYFUNCTION("""COMPUTED_VALUE"""),50.0)</f>
        <v>50</v>
      </c>
      <c r="F710" s="2">
        <f>IFERROR(__xludf.DUMMYFUNCTION("""COMPUTED_VALUE"""),5.0)</f>
        <v>5</v>
      </c>
      <c r="G710" s="2">
        <f>IFERROR(__xludf.DUMMYFUNCTION("""COMPUTED_VALUE"""),5.0)</f>
        <v>5</v>
      </c>
      <c r="H710" s="2" t="str">
        <f>IFERROR(__xludf.DUMMYFUNCTION("""COMPUTED_VALUE"""),"LT proj.")</f>
        <v>LT proj.</v>
      </c>
      <c r="I710" s="2" t="str">
        <f>IFERROR(__xludf.DUMMYFUNCTION("""COMPUTED_VALUE"""),"Panel")</f>
        <v>Panel</v>
      </c>
      <c r="J710" s="2" t="str">
        <f>IFERROR(__xludf.DUMMYFUNCTION("""COMPUTED_VALUE"""),"All amenities")</f>
        <v>All amenities</v>
      </c>
      <c r="K710" s="2">
        <f>IFERROR(__xludf.DUMMYFUNCTION("""COMPUTED_VALUE"""),52000.0)</f>
        <v>52000</v>
      </c>
      <c r="L710" s="2">
        <f>IFERROR(__xludf.DUMMYFUNCTION("""COMPUTED_VALUE"""),56.9019341)</f>
        <v>56.9019341</v>
      </c>
      <c r="M710" s="2">
        <f>IFERROR(__xludf.DUMMYFUNCTION("""COMPUTED_VALUE"""),24.2138427278084)</f>
        <v>24.21384273</v>
      </c>
    </row>
    <row r="711">
      <c r="A711" s="2" t="str">
        <f>IFERROR(__xludf.DUMMYFUNCTION("""COMPUTED_VALUE"""),"For sale")</f>
        <v>For sale</v>
      </c>
      <c r="B711" s="2" t="str">
        <f>IFERROR(__xludf.DUMMYFUNCTION("""COMPUTED_VALUE"""),"Dārzciems")</f>
        <v>Dārzciems</v>
      </c>
      <c r="C711" s="2" t="str">
        <f>IFERROR(__xludf.DUMMYFUNCTION("""COMPUTED_VALUE"""),"Zeltiņu 11")</f>
        <v>Zeltiņu 11</v>
      </c>
      <c r="D711" s="2">
        <f>IFERROR(__xludf.DUMMYFUNCTION("""COMPUTED_VALUE"""),1.0)</f>
        <v>1</v>
      </c>
      <c r="E711" s="2">
        <f>IFERROR(__xludf.DUMMYFUNCTION("""COMPUTED_VALUE"""),35.0)</f>
        <v>35</v>
      </c>
      <c r="F711" s="2">
        <f>IFERROR(__xludf.DUMMYFUNCTION("""COMPUTED_VALUE"""),4.0)</f>
        <v>4</v>
      </c>
      <c r="G711" s="2">
        <f>IFERROR(__xludf.DUMMYFUNCTION("""COMPUTED_VALUE"""),5.0)</f>
        <v>5</v>
      </c>
      <c r="H711" s="2">
        <f>IFERROR(__xludf.DUMMYFUNCTION("""COMPUTED_VALUE"""),103.0)</f>
        <v>103</v>
      </c>
      <c r="I711" s="2" t="str">
        <f>IFERROR(__xludf.DUMMYFUNCTION("""COMPUTED_VALUE"""),"Brick")</f>
        <v>Brick</v>
      </c>
      <c r="J711" s="2" t="str">
        <f>IFERROR(__xludf.DUMMYFUNCTION("""COMPUTED_VALUE"""),"All amenities")</f>
        <v>All amenities</v>
      </c>
      <c r="K711" s="2">
        <f>IFERROR(__xludf.DUMMYFUNCTION("""COMPUTED_VALUE"""),42900.0)</f>
        <v>42900</v>
      </c>
      <c r="L711" s="2">
        <f>IFERROR(__xludf.DUMMYFUNCTION("""COMPUTED_VALUE"""),56.9482182)</f>
        <v>56.9482182</v>
      </c>
      <c r="M711" s="2">
        <f>IFERROR(__xludf.DUMMYFUNCTION("""COMPUTED_VALUE"""),24.1684585966139)</f>
        <v>24.1684586</v>
      </c>
    </row>
    <row r="712">
      <c r="A712" s="2" t="str">
        <f>IFERROR(__xludf.DUMMYFUNCTION("""COMPUTED_VALUE"""),"For sale")</f>
        <v>For sale</v>
      </c>
      <c r="B712" s="2" t="str">
        <f>IFERROR(__xludf.DUMMYFUNCTION("""COMPUTED_VALUE"""),"Torņakalns")</f>
        <v>Torņakalns</v>
      </c>
      <c r="C712" s="2" t="str">
        <f>IFERROR(__xludf.DUMMYFUNCTION("""COMPUTED_VALUE"""),"Jelgavas 63 k-3")</f>
        <v>Jelgavas 63 k-3</v>
      </c>
      <c r="D712" s="2">
        <f>IFERROR(__xludf.DUMMYFUNCTION("""COMPUTED_VALUE"""),2.0)</f>
        <v>2</v>
      </c>
      <c r="E712" s="2">
        <f>IFERROR(__xludf.DUMMYFUNCTION("""COMPUTED_VALUE"""),36.6)</f>
        <v>36.6</v>
      </c>
      <c r="F712" s="2">
        <f>IFERROR(__xludf.DUMMYFUNCTION("""COMPUTED_VALUE"""),1.0)</f>
        <v>1</v>
      </c>
      <c r="G712" s="2">
        <f>IFERROR(__xludf.DUMMYFUNCTION("""COMPUTED_VALUE"""),6.0)</f>
        <v>6</v>
      </c>
      <c r="H712" s="2" t="str">
        <f>IFERROR(__xludf.DUMMYFUNCTION("""COMPUTED_VALUE"""),"Jaun.")</f>
        <v>Jaun.</v>
      </c>
      <c r="I712" s="2" t="str">
        <f>IFERROR(__xludf.DUMMYFUNCTION("""COMPUTED_VALUE"""),"Panel-Brick")</f>
        <v>Panel-Brick</v>
      </c>
      <c r="J712" s="2" t="str">
        <f>IFERROR(__xludf.DUMMYFUNCTION("""COMPUTED_VALUE"""),"All amenities")</f>
        <v>All amenities</v>
      </c>
      <c r="K712" s="2">
        <f>IFERROR(__xludf.DUMMYFUNCTION("""COMPUTED_VALUE"""),60000.0)</f>
        <v>60000</v>
      </c>
      <c r="L712" s="2">
        <f>IFERROR(__xludf.DUMMYFUNCTION("""COMPUTED_VALUE"""),56.9280239)</f>
        <v>56.9280239</v>
      </c>
      <c r="M712" s="2">
        <f>IFERROR(__xludf.DUMMYFUNCTION("""COMPUTED_VALUE"""),24.0932253718371)</f>
        <v>24.09322537</v>
      </c>
    </row>
    <row r="713">
      <c r="A713" s="2" t="str">
        <f>IFERROR(__xludf.DUMMYFUNCTION("""COMPUTED_VALUE"""),"For rent")</f>
        <v>For rent</v>
      </c>
      <c r="B713" s="2" t="str">
        <f>IFERROR(__xludf.DUMMYFUNCTION("""COMPUTED_VALUE"""),"Maskavas priekšpilsēta")</f>
        <v>Maskavas priekšpilsēta</v>
      </c>
      <c r="C713" s="2" t="str">
        <f>IFERROR(__xludf.DUMMYFUNCTION("""COMPUTED_VALUE"""),"Kalna 11")</f>
        <v>Kalna 11</v>
      </c>
      <c r="D713" s="2">
        <f>IFERROR(__xludf.DUMMYFUNCTION("""COMPUTED_VALUE"""),2.0)</f>
        <v>2</v>
      </c>
      <c r="E713" s="2">
        <f>IFERROR(__xludf.DUMMYFUNCTION("""COMPUTED_VALUE"""),32.0)</f>
        <v>32</v>
      </c>
      <c r="F713" s="2">
        <f>IFERROR(__xludf.DUMMYFUNCTION("""COMPUTED_VALUE"""),3.0)</f>
        <v>3</v>
      </c>
      <c r="G713" s="2">
        <f>IFERROR(__xludf.DUMMYFUNCTION("""COMPUTED_VALUE"""),3.0)</f>
        <v>3</v>
      </c>
      <c r="H713" s="2" t="str">
        <f>IFERROR(__xludf.DUMMYFUNCTION("""COMPUTED_VALUE"""),"P. kara")</f>
        <v>P. kara</v>
      </c>
      <c r="I713" s="2" t="str">
        <f>IFERROR(__xludf.DUMMYFUNCTION("""COMPUTED_VALUE"""),"Masonry")</f>
        <v>Masonry</v>
      </c>
      <c r="J713" s="2" t="str">
        <f>IFERROR(__xludf.DUMMYFUNCTION("""COMPUTED_VALUE"""),"All amenities")</f>
        <v>All amenities</v>
      </c>
      <c r="K713" s="2">
        <f>IFERROR(__xludf.DUMMYFUNCTION("""COMPUTED_VALUE"""),250.0)</f>
        <v>250</v>
      </c>
      <c r="L713" s="2">
        <f>IFERROR(__xludf.DUMMYFUNCTION("""COMPUTED_VALUE"""),56.9422440999999)</f>
        <v>56.9422441</v>
      </c>
      <c r="M713" s="2">
        <f>IFERROR(__xludf.DUMMYFUNCTION("""COMPUTED_VALUE"""),24.143329801068)</f>
        <v>24.1433298</v>
      </c>
    </row>
    <row r="714">
      <c r="A714" s="2" t="str">
        <f>IFERROR(__xludf.DUMMYFUNCTION("""COMPUTED_VALUE"""),"For rent")</f>
        <v>For rent</v>
      </c>
      <c r="B714" s="2" t="str">
        <f>IFERROR(__xludf.DUMMYFUNCTION("""COMPUTED_VALUE"""),"centrs")</f>
        <v>centrs</v>
      </c>
      <c r="C714" s="2" t="str">
        <f>IFERROR(__xludf.DUMMYFUNCTION("""COMPUTED_VALUE"""),"Marijas 16")</f>
        <v>Marijas 16</v>
      </c>
      <c r="D714" s="2">
        <f>IFERROR(__xludf.DUMMYFUNCTION("""COMPUTED_VALUE"""),2.0)</f>
        <v>2</v>
      </c>
      <c r="E714" s="2">
        <f>IFERROR(__xludf.DUMMYFUNCTION("""COMPUTED_VALUE"""),50.0)</f>
        <v>50</v>
      </c>
      <c r="F714" s="2">
        <f>IFERROR(__xludf.DUMMYFUNCTION("""COMPUTED_VALUE"""),3.0)</f>
        <v>3</v>
      </c>
      <c r="G714" s="2">
        <f>IFERROR(__xludf.DUMMYFUNCTION("""COMPUTED_VALUE"""),6.0)</f>
        <v>6</v>
      </c>
      <c r="H714" s="2" t="str">
        <f>IFERROR(__xludf.DUMMYFUNCTION("""COMPUTED_VALUE"""),"P. kara")</f>
        <v>P. kara</v>
      </c>
      <c r="I714" s="2" t="str">
        <f>IFERROR(__xludf.DUMMYFUNCTION("""COMPUTED_VALUE"""),"Brick")</f>
        <v>Brick</v>
      </c>
      <c r="J714" s="2" t="str">
        <f>IFERROR(__xludf.DUMMYFUNCTION("""COMPUTED_VALUE"""),"All amenities")</f>
        <v>All amenities</v>
      </c>
      <c r="K714" s="2">
        <f>IFERROR(__xludf.DUMMYFUNCTION("""COMPUTED_VALUE"""),600.0)</f>
        <v>600</v>
      </c>
      <c r="L714" s="2">
        <f>IFERROR(__xludf.DUMMYFUNCTION("""COMPUTED_VALUE"""),56.9505796)</f>
        <v>56.9505796</v>
      </c>
      <c r="M714" s="2">
        <f>IFERROR(__xludf.DUMMYFUNCTION("""COMPUTED_VALUE"""),24.1255938)</f>
        <v>24.1255938</v>
      </c>
    </row>
    <row r="715">
      <c r="A715" s="2" t="str">
        <f>IFERROR(__xludf.DUMMYFUNCTION("""COMPUTED_VALUE"""),"For sale")</f>
        <v>For sale</v>
      </c>
      <c r="B715" s="2" t="str">
        <f>IFERROR(__xludf.DUMMYFUNCTION("""COMPUTED_VALUE"""),"Jugla")</f>
        <v>Jugla</v>
      </c>
      <c r="C715" s="2" t="str">
        <f>IFERROR(__xludf.DUMMYFUNCTION("""COMPUTED_VALUE"""),"Juglas 10")</f>
        <v>Juglas 10</v>
      </c>
      <c r="D715" s="2">
        <f>IFERROR(__xludf.DUMMYFUNCTION("""COMPUTED_VALUE"""),3.0)</f>
        <v>3</v>
      </c>
      <c r="E715" s="2">
        <f>IFERROR(__xludf.DUMMYFUNCTION("""COMPUTED_VALUE"""),111.4)</f>
        <v>111.4</v>
      </c>
      <c r="F715" s="2">
        <f>IFERROR(__xludf.DUMMYFUNCTION("""COMPUTED_VALUE"""),2.0)</f>
        <v>2</v>
      </c>
      <c r="G715" s="2">
        <f>IFERROR(__xludf.DUMMYFUNCTION("""COMPUTED_VALUE"""),9.0)</f>
        <v>9</v>
      </c>
      <c r="H715" s="2" t="str">
        <f>IFERROR(__xludf.DUMMYFUNCTION("""COMPUTED_VALUE"""),"Jaun.")</f>
        <v>Jaun.</v>
      </c>
      <c r="I715" s="2" t="str">
        <f>IFERROR(__xludf.DUMMYFUNCTION("""COMPUTED_VALUE"""),"Panel-Brick")</f>
        <v>Panel-Brick</v>
      </c>
      <c r="J715" s="2" t="str">
        <f>IFERROR(__xludf.DUMMYFUNCTION("""COMPUTED_VALUE"""),"All amenities")</f>
        <v>All amenities</v>
      </c>
      <c r="K715" s="2">
        <f>IFERROR(__xludf.DUMMYFUNCTION("""COMPUTED_VALUE"""),164500.0)</f>
        <v>164500</v>
      </c>
      <c r="L715" s="2">
        <f>IFERROR(__xludf.DUMMYFUNCTION("""COMPUTED_VALUE"""),56.9865865)</f>
        <v>56.9865865</v>
      </c>
      <c r="M715" s="2">
        <f>IFERROR(__xludf.DUMMYFUNCTION("""COMPUTED_VALUE"""),24.2472562883399)</f>
        <v>24.24725629</v>
      </c>
    </row>
    <row r="716">
      <c r="A716" s="2" t="str">
        <f>IFERROR(__xludf.DUMMYFUNCTION("""COMPUTED_VALUE"""),"For sale")</f>
        <v>For sale</v>
      </c>
      <c r="B716" s="2" t="str">
        <f>IFERROR(__xludf.DUMMYFUNCTION("""COMPUTED_VALUE"""),"centrs")</f>
        <v>centrs</v>
      </c>
      <c r="C716" s="2" t="str">
        <f>IFERROR(__xludf.DUMMYFUNCTION("""COMPUTED_VALUE"""),"Brīvības bulvāris 241")</f>
        <v>Brīvības bulvāris 241</v>
      </c>
      <c r="D716" s="2">
        <f>IFERROR(__xludf.DUMMYFUNCTION("""COMPUTED_VALUE"""),3.0)</f>
        <v>3</v>
      </c>
      <c r="E716" s="2">
        <f>IFERROR(__xludf.DUMMYFUNCTION("""COMPUTED_VALUE"""),68.0)</f>
        <v>68</v>
      </c>
      <c r="F716" s="2">
        <f>IFERROR(__xludf.DUMMYFUNCTION("""COMPUTED_VALUE"""),3.0)</f>
        <v>3</v>
      </c>
      <c r="G716" s="2">
        <f>IFERROR(__xludf.DUMMYFUNCTION("""COMPUTED_VALUE"""),5.0)</f>
        <v>5</v>
      </c>
      <c r="H716" s="2" t="str">
        <f>IFERROR(__xludf.DUMMYFUNCTION("""COMPUTED_VALUE"""),"Specpr.")</f>
        <v>Specpr.</v>
      </c>
      <c r="I716" s="2" t="str">
        <f>IFERROR(__xludf.DUMMYFUNCTION("""COMPUTED_VALUE"""),"Brick-Panel")</f>
        <v>Brick-Panel</v>
      </c>
      <c r="J716" s="2" t="str">
        <f>IFERROR(__xludf.DUMMYFUNCTION("""COMPUTED_VALUE"""),"All amenities")</f>
        <v>All amenities</v>
      </c>
      <c r="K716" s="2">
        <f>IFERROR(__xludf.DUMMYFUNCTION("""COMPUTED_VALUE"""),60000.0)</f>
        <v>60000</v>
      </c>
      <c r="L716" s="2">
        <f>IFERROR(__xludf.DUMMYFUNCTION("""COMPUTED_VALUE"""),56.9526754)</f>
        <v>56.9526754</v>
      </c>
      <c r="M716" s="2">
        <f>IFERROR(__xludf.DUMMYFUNCTION("""COMPUTED_VALUE"""),24.1155509)</f>
        <v>24.1155509</v>
      </c>
    </row>
    <row r="717">
      <c r="A717" s="2" t="str">
        <f>IFERROR(__xludf.DUMMYFUNCTION("""COMPUTED_VALUE"""),"For rent")</f>
        <v>For rent</v>
      </c>
      <c r="B717" s="2" t="str">
        <f>IFERROR(__xludf.DUMMYFUNCTION("""COMPUTED_VALUE"""),"Iļģuciems")</f>
        <v>Iļģuciems</v>
      </c>
      <c r="C717" s="2" t="str">
        <f>IFERROR(__xludf.DUMMYFUNCTION("""COMPUTED_VALUE"""),"Kreslera 1")</f>
        <v>Kreslera 1</v>
      </c>
      <c r="D717" s="2">
        <f>IFERROR(__xludf.DUMMYFUNCTION("""COMPUTED_VALUE"""),1.0)</f>
        <v>1</v>
      </c>
      <c r="E717" s="2">
        <f>IFERROR(__xludf.DUMMYFUNCTION("""COMPUTED_VALUE"""),32.0)</f>
        <v>32</v>
      </c>
      <c r="F717" s="2">
        <f>IFERROR(__xludf.DUMMYFUNCTION("""COMPUTED_VALUE"""),1.0)</f>
        <v>1</v>
      </c>
      <c r="G717" s="2">
        <f>IFERROR(__xludf.DUMMYFUNCTION("""COMPUTED_VALUE"""),2.0)</f>
        <v>2</v>
      </c>
      <c r="H717" s="2" t="str">
        <f>IFERROR(__xludf.DUMMYFUNCTION("""COMPUTED_VALUE"""),"M. ģim.")</f>
        <v>M. ģim.</v>
      </c>
      <c r="I717" s="2" t="str">
        <f>IFERROR(__xludf.DUMMYFUNCTION("""COMPUTED_VALUE"""),"Brick")</f>
        <v>Brick</v>
      </c>
      <c r="J717" s="2" t="str">
        <f>IFERROR(__xludf.DUMMYFUNCTION("""COMPUTED_VALUE"""),"All amenities")</f>
        <v>All amenities</v>
      </c>
      <c r="K717" s="2">
        <f>IFERROR(__xludf.DUMMYFUNCTION("""COMPUTED_VALUE"""),200.0)</f>
        <v>200</v>
      </c>
      <c r="L717" s="2">
        <f>IFERROR(__xludf.DUMMYFUNCTION("""COMPUTED_VALUE"""),56.96337905)</f>
        <v>56.96337905</v>
      </c>
      <c r="M717" s="2">
        <f>IFERROR(__xludf.DUMMYFUNCTION("""COMPUTED_VALUE"""),24.0651286264855)</f>
        <v>24.06512863</v>
      </c>
    </row>
    <row r="718">
      <c r="A718" s="2" t="str">
        <f>IFERROR(__xludf.DUMMYFUNCTION("""COMPUTED_VALUE"""),"For sale")</f>
        <v>For sale</v>
      </c>
      <c r="B718" s="2" t="str">
        <f>IFERROR(__xludf.DUMMYFUNCTION("""COMPUTED_VALUE"""),"Ķengarags")</f>
        <v>Ķengarags</v>
      </c>
      <c r="C718" s="2" t="str">
        <f>IFERROR(__xludf.DUMMYFUNCTION("""COMPUTED_VALUE"""),"Lokomotīves 48")</f>
        <v>Lokomotīves 48</v>
      </c>
      <c r="D718" s="2">
        <f>IFERROR(__xludf.DUMMYFUNCTION("""COMPUTED_VALUE"""),2.0)</f>
        <v>2</v>
      </c>
      <c r="E718" s="2">
        <f>IFERROR(__xludf.DUMMYFUNCTION("""COMPUTED_VALUE"""),38.0)</f>
        <v>38</v>
      </c>
      <c r="F718" s="2">
        <f>IFERROR(__xludf.DUMMYFUNCTION("""COMPUTED_VALUE"""),2.0)</f>
        <v>2</v>
      </c>
      <c r="G718" s="2">
        <f>IFERROR(__xludf.DUMMYFUNCTION("""COMPUTED_VALUE"""),5.0)</f>
        <v>5</v>
      </c>
      <c r="H718" s="2" t="str">
        <f>IFERROR(__xludf.DUMMYFUNCTION("""COMPUTED_VALUE"""),"LT proj.")</f>
        <v>LT proj.</v>
      </c>
      <c r="I718" s="2" t="str">
        <f>IFERROR(__xludf.DUMMYFUNCTION("""COMPUTED_VALUE"""),"Panel")</f>
        <v>Panel</v>
      </c>
      <c r="J718" s="2" t="str">
        <f>IFERROR(__xludf.DUMMYFUNCTION("""COMPUTED_VALUE"""),"All amenities")</f>
        <v>All amenities</v>
      </c>
      <c r="K718" s="2">
        <f>IFERROR(__xludf.DUMMYFUNCTION("""COMPUTED_VALUE"""),36900.0)</f>
        <v>36900</v>
      </c>
      <c r="L718" s="2">
        <f>IFERROR(__xludf.DUMMYFUNCTION("""COMPUTED_VALUE"""),56.90837855)</f>
        <v>56.90837855</v>
      </c>
      <c r="M718" s="2">
        <f>IFERROR(__xludf.DUMMYFUNCTION("""COMPUTED_VALUE"""),24.20066605)</f>
        <v>24.20066605</v>
      </c>
    </row>
    <row r="719">
      <c r="A719" s="2" t="str">
        <f>IFERROR(__xludf.DUMMYFUNCTION("""COMPUTED_VALUE"""),"For sale")</f>
        <v>For sale</v>
      </c>
      <c r="B719" s="2" t="str">
        <f>IFERROR(__xludf.DUMMYFUNCTION("""COMPUTED_VALUE"""),"Imanta")</f>
        <v>Imanta</v>
      </c>
      <c r="C719" s="2" t="str">
        <f>IFERROR(__xludf.DUMMYFUNCTION("""COMPUTED_VALUE"""),"Kurzemes pr. 94")</f>
        <v>Kurzemes pr. 94</v>
      </c>
      <c r="D719" s="2">
        <f>IFERROR(__xludf.DUMMYFUNCTION("""COMPUTED_VALUE"""),2.0)</f>
        <v>2</v>
      </c>
      <c r="E719" s="2">
        <f>IFERROR(__xludf.DUMMYFUNCTION("""COMPUTED_VALUE"""),53.0)</f>
        <v>53</v>
      </c>
      <c r="F719" s="2">
        <f>IFERROR(__xludf.DUMMYFUNCTION("""COMPUTED_VALUE"""),6.0)</f>
        <v>6</v>
      </c>
      <c r="G719" s="2">
        <f>IFERROR(__xludf.DUMMYFUNCTION("""COMPUTED_VALUE"""),9.0)</f>
        <v>9</v>
      </c>
      <c r="H719" s="2">
        <f>IFERROR(__xludf.DUMMYFUNCTION("""COMPUTED_VALUE"""),602.0)</f>
        <v>602</v>
      </c>
      <c r="I719" s="2" t="str">
        <f>IFERROR(__xludf.DUMMYFUNCTION("""COMPUTED_VALUE"""),"Panel")</f>
        <v>Panel</v>
      </c>
      <c r="J719" s="2" t="str">
        <f>IFERROR(__xludf.DUMMYFUNCTION("""COMPUTED_VALUE"""),"All amenities")</f>
        <v>All amenities</v>
      </c>
      <c r="K719" s="2">
        <f>IFERROR(__xludf.DUMMYFUNCTION("""COMPUTED_VALUE"""),54300.0)</f>
        <v>54300</v>
      </c>
      <c r="L719" s="2" t="str">
        <f>IFERROR(__xludf.DUMMYFUNCTION("""COMPUTED_VALUE"""),"NaN")</f>
        <v>NaN</v>
      </c>
      <c r="M719" s="2" t="str">
        <f>IFERROR(__xludf.DUMMYFUNCTION("""COMPUTED_VALUE"""),"NaN")</f>
        <v>NaN</v>
      </c>
    </row>
    <row r="720">
      <c r="A720" s="2" t="str">
        <f>IFERROR(__xludf.DUMMYFUNCTION("""COMPUTED_VALUE"""),"For rent")</f>
        <v>For rent</v>
      </c>
      <c r="B720" s="2" t="str">
        <f>IFERROR(__xludf.DUMMYFUNCTION("""COMPUTED_VALUE"""),"centrs")</f>
        <v>centrs</v>
      </c>
      <c r="C720" s="2" t="str">
        <f>IFERROR(__xludf.DUMMYFUNCTION("""COMPUTED_VALUE"""),"Barona 76")</f>
        <v>Barona 76</v>
      </c>
      <c r="D720" s="2">
        <f>IFERROR(__xludf.DUMMYFUNCTION("""COMPUTED_VALUE"""),3.0)</f>
        <v>3</v>
      </c>
      <c r="E720" s="2">
        <f>IFERROR(__xludf.DUMMYFUNCTION("""COMPUTED_VALUE"""),71.0)</f>
        <v>71</v>
      </c>
      <c r="F720" s="2">
        <f>IFERROR(__xludf.DUMMYFUNCTION("""COMPUTED_VALUE"""),6.0)</f>
        <v>6</v>
      </c>
      <c r="G720" s="2">
        <f>IFERROR(__xludf.DUMMYFUNCTION("""COMPUTED_VALUE"""),6.0)</f>
        <v>6</v>
      </c>
      <c r="H720" s="2" t="str">
        <f>IFERROR(__xludf.DUMMYFUNCTION("""COMPUTED_VALUE"""),"Renov.")</f>
        <v>Renov.</v>
      </c>
      <c r="I720" s="2" t="str">
        <f>IFERROR(__xludf.DUMMYFUNCTION("""COMPUTED_VALUE"""),"Masonry")</f>
        <v>Masonry</v>
      </c>
      <c r="J720" s="2" t="str">
        <f>IFERROR(__xludf.DUMMYFUNCTION("""COMPUTED_VALUE"""),"All amenities")</f>
        <v>All amenities</v>
      </c>
      <c r="K720" s="2">
        <f>IFERROR(__xludf.DUMMYFUNCTION("""COMPUTED_VALUE"""),725.0)</f>
        <v>725</v>
      </c>
      <c r="L720" s="2">
        <f>IFERROR(__xludf.DUMMYFUNCTION("""COMPUTED_VALUE"""),56.95643795)</f>
        <v>56.95643795</v>
      </c>
      <c r="M720" s="2">
        <f>IFERROR(__xludf.DUMMYFUNCTION("""COMPUTED_VALUE"""),24.1325729821556)</f>
        <v>24.13257298</v>
      </c>
    </row>
    <row r="721">
      <c r="A721" s="2" t="str">
        <f>IFERROR(__xludf.DUMMYFUNCTION("""COMPUTED_VALUE"""),"For sale")</f>
        <v>For sale</v>
      </c>
      <c r="B721" s="2" t="str">
        <f>IFERROR(__xludf.DUMMYFUNCTION("""COMPUTED_VALUE"""),"centrs")</f>
        <v>centrs</v>
      </c>
      <c r="C721" s="2" t="str">
        <f>IFERROR(__xludf.DUMMYFUNCTION("""COMPUTED_VALUE"""),"Katrīnas d. 16a")</f>
        <v>Katrīnas d. 16a</v>
      </c>
      <c r="D721" s="2">
        <f>IFERROR(__xludf.DUMMYFUNCTION("""COMPUTED_VALUE"""),2.0)</f>
        <v>2</v>
      </c>
      <c r="E721" s="2">
        <f>IFERROR(__xludf.DUMMYFUNCTION("""COMPUTED_VALUE"""),41.9)</f>
        <v>41.9</v>
      </c>
      <c r="F721" s="2">
        <f>IFERROR(__xludf.DUMMYFUNCTION("""COMPUTED_VALUE"""),3.0)</f>
        <v>3</v>
      </c>
      <c r="G721" s="2">
        <f>IFERROR(__xludf.DUMMYFUNCTION("""COMPUTED_VALUE"""),5.0)</f>
        <v>5</v>
      </c>
      <c r="H721" s="2" t="str">
        <f>IFERROR(__xludf.DUMMYFUNCTION("""COMPUTED_VALUE"""),"Hrušč.")</f>
        <v>Hrušč.</v>
      </c>
      <c r="I721" s="2" t="str">
        <f>IFERROR(__xludf.DUMMYFUNCTION("""COMPUTED_VALUE"""),"Brick")</f>
        <v>Brick</v>
      </c>
      <c r="J721" s="2" t="str">
        <f>IFERROR(__xludf.DUMMYFUNCTION("""COMPUTED_VALUE"""),"All amenities")</f>
        <v>All amenities</v>
      </c>
      <c r="K721" s="2">
        <f>IFERROR(__xludf.DUMMYFUNCTION("""COMPUTED_VALUE"""),62500.0)</f>
        <v>62500</v>
      </c>
      <c r="L721" s="2">
        <f>IFERROR(__xludf.DUMMYFUNCTION("""COMPUTED_VALUE"""),56.9716816)</f>
        <v>56.9716816</v>
      </c>
      <c r="M721" s="2">
        <f>IFERROR(__xludf.DUMMYFUNCTION("""COMPUTED_VALUE"""),24.1021951)</f>
        <v>24.1021951</v>
      </c>
    </row>
    <row r="722">
      <c r="A722" s="2" t="str">
        <f>IFERROR(__xludf.DUMMYFUNCTION("""COMPUTED_VALUE"""),"For sale")</f>
        <v>For sale</v>
      </c>
      <c r="B722" s="2" t="str">
        <f>IFERROR(__xludf.DUMMYFUNCTION("""COMPUTED_VALUE"""),"Purvciems")</f>
        <v>Purvciems</v>
      </c>
      <c r="C722" s="2" t="str">
        <f>IFERROR(__xludf.DUMMYFUNCTION("""COMPUTED_VALUE"""),"Staiceles 15")</f>
        <v>Staiceles 15</v>
      </c>
      <c r="D722" s="2">
        <f>IFERROR(__xludf.DUMMYFUNCTION("""COMPUTED_VALUE"""),2.0)</f>
        <v>2</v>
      </c>
      <c r="E722" s="2">
        <f>IFERROR(__xludf.DUMMYFUNCTION("""COMPUTED_VALUE"""),50.0)</f>
        <v>50</v>
      </c>
      <c r="F722" s="2">
        <f>IFERROR(__xludf.DUMMYFUNCTION("""COMPUTED_VALUE"""),6.0)</f>
        <v>6</v>
      </c>
      <c r="G722" s="2">
        <f>IFERROR(__xludf.DUMMYFUNCTION("""COMPUTED_VALUE"""),9.0)</f>
        <v>9</v>
      </c>
      <c r="H722" s="2">
        <f>IFERROR(__xludf.DUMMYFUNCTION("""COMPUTED_VALUE"""),602.0)</f>
        <v>602</v>
      </c>
      <c r="I722" s="2" t="str">
        <f>IFERROR(__xludf.DUMMYFUNCTION("""COMPUTED_VALUE"""),"Panel")</f>
        <v>Panel</v>
      </c>
      <c r="J722" s="2" t="str">
        <f>IFERROR(__xludf.DUMMYFUNCTION("""COMPUTED_VALUE"""),"All amenities")</f>
        <v>All amenities</v>
      </c>
      <c r="K722" s="2">
        <f>IFERROR(__xludf.DUMMYFUNCTION("""COMPUTED_VALUE"""),54000.0)</f>
        <v>54000</v>
      </c>
      <c r="L722" s="2">
        <f>IFERROR(__xludf.DUMMYFUNCTION("""COMPUTED_VALUE"""),56.95828335)</f>
        <v>56.95828335</v>
      </c>
      <c r="M722" s="2">
        <f>IFERROR(__xludf.DUMMYFUNCTION("""COMPUTED_VALUE"""),24.1729105268554)</f>
        <v>24.17291053</v>
      </c>
    </row>
    <row r="723">
      <c r="A723" s="2" t="str">
        <f>IFERROR(__xludf.DUMMYFUNCTION("""COMPUTED_VALUE"""),"For sale")</f>
        <v>For sale</v>
      </c>
      <c r="B723" s="2" t="str">
        <f>IFERROR(__xludf.DUMMYFUNCTION("""COMPUTED_VALUE"""),"Purvciems")</f>
        <v>Purvciems</v>
      </c>
      <c r="C723" s="2" t="str">
        <f>IFERROR(__xludf.DUMMYFUNCTION("""COMPUTED_VALUE"""),"Stirnu 1")</f>
        <v>Stirnu 1</v>
      </c>
      <c r="D723" s="2">
        <f>IFERROR(__xludf.DUMMYFUNCTION("""COMPUTED_VALUE"""),2.0)</f>
        <v>2</v>
      </c>
      <c r="E723" s="2">
        <f>IFERROR(__xludf.DUMMYFUNCTION("""COMPUTED_VALUE"""),52.0)</f>
        <v>52</v>
      </c>
      <c r="F723" s="2">
        <f>IFERROR(__xludf.DUMMYFUNCTION("""COMPUTED_VALUE"""),4.0)</f>
        <v>4</v>
      </c>
      <c r="G723" s="2">
        <f>IFERROR(__xludf.DUMMYFUNCTION("""COMPUTED_VALUE"""),9.0)</f>
        <v>9</v>
      </c>
      <c r="H723" s="2" t="str">
        <f>IFERROR(__xludf.DUMMYFUNCTION("""COMPUTED_VALUE"""),"Jaun.")</f>
        <v>Jaun.</v>
      </c>
      <c r="I723" s="2" t="str">
        <f>IFERROR(__xludf.DUMMYFUNCTION("""COMPUTED_VALUE"""),"Masonry")</f>
        <v>Masonry</v>
      </c>
      <c r="J723" s="2" t="str">
        <f>IFERROR(__xludf.DUMMYFUNCTION("""COMPUTED_VALUE"""),"All amenities")</f>
        <v>All amenities</v>
      </c>
      <c r="K723" s="2">
        <f>IFERROR(__xludf.DUMMYFUNCTION("""COMPUTED_VALUE"""),85000.0)</f>
        <v>85000</v>
      </c>
      <c r="L723" s="2">
        <f>IFERROR(__xludf.DUMMYFUNCTION("""COMPUTED_VALUE"""),56.9509836999999)</f>
        <v>56.9509837</v>
      </c>
      <c r="M723" s="2">
        <f>IFERROR(__xludf.DUMMYFUNCTION("""COMPUTED_VALUE"""),24.1833731423407)</f>
        <v>24.18337314</v>
      </c>
    </row>
    <row r="724">
      <c r="A724" s="2" t="str">
        <f>IFERROR(__xludf.DUMMYFUNCTION("""COMPUTED_VALUE"""),"For rent")</f>
        <v>For rent</v>
      </c>
      <c r="B724" s="2" t="str">
        <f>IFERROR(__xludf.DUMMYFUNCTION("""COMPUTED_VALUE"""),"centrs")</f>
        <v>centrs</v>
      </c>
      <c r="C724" s="2" t="str">
        <f>IFERROR(__xludf.DUMMYFUNCTION("""COMPUTED_VALUE"""),"Klusā 9")</f>
        <v>Klusā 9</v>
      </c>
      <c r="D724" s="2">
        <f>IFERROR(__xludf.DUMMYFUNCTION("""COMPUTED_VALUE"""),2.0)</f>
        <v>2</v>
      </c>
      <c r="E724" s="2">
        <f>IFERROR(__xludf.DUMMYFUNCTION("""COMPUTED_VALUE"""),50.0)</f>
        <v>50</v>
      </c>
      <c r="F724" s="2">
        <f>IFERROR(__xludf.DUMMYFUNCTION("""COMPUTED_VALUE"""),1.0)</f>
        <v>1</v>
      </c>
      <c r="G724" s="2">
        <f>IFERROR(__xludf.DUMMYFUNCTION("""COMPUTED_VALUE"""),5.0)</f>
        <v>5</v>
      </c>
      <c r="H724" s="2" t="str">
        <f>IFERROR(__xludf.DUMMYFUNCTION("""COMPUTED_VALUE"""),"Specpr.")</f>
        <v>Specpr.</v>
      </c>
      <c r="I724" s="2" t="str">
        <f>IFERROR(__xludf.DUMMYFUNCTION("""COMPUTED_VALUE"""),"Brick")</f>
        <v>Brick</v>
      </c>
      <c r="J724" s="2" t="str">
        <f>IFERROR(__xludf.DUMMYFUNCTION("""COMPUTED_VALUE"""),"All amenities")</f>
        <v>All amenities</v>
      </c>
      <c r="K724" s="2">
        <f>IFERROR(__xludf.DUMMYFUNCTION("""COMPUTED_VALUE"""),26.0)</f>
        <v>26</v>
      </c>
      <c r="L724" s="2">
        <f>IFERROR(__xludf.DUMMYFUNCTION("""COMPUTED_VALUE"""),56.9745784499999)</f>
        <v>56.97457845</v>
      </c>
      <c r="M724" s="2">
        <f>IFERROR(__xludf.DUMMYFUNCTION("""COMPUTED_VALUE"""),24.1442816140894)</f>
        <v>24.14428161</v>
      </c>
    </row>
    <row r="725">
      <c r="A725" s="2" t="str">
        <f>IFERROR(__xludf.DUMMYFUNCTION("""COMPUTED_VALUE"""),"For sale")</f>
        <v>For sale</v>
      </c>
      <c r="B725" s="2" t="str">
        <f>IFERROR(__xludf.DUMMYFUNCTION("""COMPUTED_VALUE"""),"Daugavgrīva")</f>
        <v>Daugavgrīva</v>
      </c>
      <c r="C725" s="2" t="str">
        <f>IFERROR(__xludf.DUMMYFUNCTION("""COMPUTED_VALUE"""),"Plēksnes 6")</f>
        <v>Plēksnes 6</v>
      </c>
      <c r="D725" s="2">
        <f>IFERROR(__xludf.DUMMYFUNCTION("""COMPUTED_VALUE"""),1.0)</f>
        <v>1</v>
      </c>
      <c r="E725" s="2">
        <f>IFERROR(__xludf.DUMMYFUNCTION("""COMPUTED_VALUE"""),32.0)</f>
        <v>32</v>
      </c>
      <c r="F725" s="2">
        <f>IFERROR(__xludf.DUMMYFUNCTION("""COMPUTED_VALUE"""),5.0)</f>
        <v>5</v>
      </c>
      <c r="G725" s="2">
        <f>IFERROR(__xludf.DUMMYFUNCTION("""COMPUTED_VALUE"""),5.0)</f>
        <v>5</v>
      </c>
      <c r="H725" s="2" t="str">
        <f>IFERROR(__xludf.DUMMYFUNCTION("""COMPUTED_VALUE"""),"M. ģim.")</f>
        <v>M. ģim.</v>
      </c>
      <c r="I725" s="2" t="str">
        <f>IFERROR(__xludf.DUMMYFUNCTION("""COMPUTED_VALUE"""),"Brick-Panel")</f>
        <v>Brick-Panel</v>
      </c>
      <c r="J725" s="2" t="str">
        <f>IFERROR(__xludf.DUMMYFUNCTION("""COMPUTED_VALUE"""),"All amenities")</f>
        <v>All amenities</v>
      </c>
      <c r="K725" s="2">
        <f>IFERROR(__xludf.DUMMYFUNCTION("""COMPUTED_VALUE"""),24700.0)</f>
        <v>24700</v>
      </c>
      <c r="L725" s="2">
        <f>IFERROR(__xludf.DUMMYFUNCTION("""COMPUTED_VALUE"""),57.0402147)</f>
        <v>57.0402147</v>
      </c>
      <c r="M725" s="2">
        <f>IFERROR(__xludf.DUMMYFUNCTION("""COMPUTED_VALUE"""),24.031457377538)</f>
        <v>24.03145738</v>
      </c>
    </row>
    <row r="726">
      <c r="A726" s="2" t="str">
        <f>IFERROR(__xludf.DUMMYFUNCTION("""COMPUTED_VALUE"""),"For rent")</f>
        <v>For rent</v>
      </c>
      <c r="B726" s="2" t="str">
        <f>IFERROR(__xludf.DUMMYFUNCTION("""COMPUTED_VALUE"""),"centrs")</f>
        <v>centrs</v>
      </c>
      <c r="C726" s="2" t="str">
        <f>IFERROR(__xludf.DUMMYFUNCTION("""COMPUTED_VALUE"""),"Baznīcas 7")</f>
        <v>Baznīcas 7</v>
      </c>
      <c r="D726" s="2">
        <f>IFERROR(__xludf.DUMMYFUNCTION("""COMPUTED_VALUE"""),1.0)</f>
        <v>1</v>
      </c>
      <c r="E726" s="2">
        <f>IFERROR(__xludf.DUMMYFUNCTION("""COMPUTED_VALUE"""),10.0)</f>
        <v>10</v>
      </c>
      <c r="F726" s="2">
        <f>IFERROR(__xludf.DUMMYFUNCTION("""COMPUTED_VALUE"""),6.0)</f>
        <v>6</v>
      </c>
      <c r="G726" s="2">
        <f>IFERROR(__xludf.DUMMYFUNCTION("""COMPUTED_VALUE"""),6.0)</f>
        <v>6</v>
      </c>
      <c r="H726" s="2" t="str">
        <f>IFERROR(__xludf.DUMMYFUNCTION("""COMPUTED_VALUE"""),"P. kara")</f>
        <v>P. kara</v>
      </c>
      <c r="I726" s="2" t="str">
        <f>IFERROR(__xludf.DUMMYFUNCTION("""COMPUTED_VALUE"""),"Masonry")</f>
        <v>Masonry</v>
      </c>
      <c r="J726" s="2" t="str">
        <f>IFERROR(__xludf.DUMMYFUNCTION("""COMPUTED_VALUE"""),"All amenities")</f>
        <v>All amenities</v>
      </c>
      <c r="K726" s="2">
        <f>IFERROR(__xludf.DUMMYFUNCTION("""COMPUTED_VALUE"""),190.0)</f>
        <v>190</v>
      </c>
      <c r="L726" s="2">
        <f>IFERROR(__xludf.DUMMYFUNCTION("""COMPUTED_VALUE"""),56.95594065)</f>
        <v>56.95594065</v>
      </c>
      <c r="M726" s="2">
        <f>IFERROR(__xludf.DUMMYFUNCTION("""COMPUTED_VALUE"""),24.117723500918)</f>
        <v>24.1177235</v>
      </c>
    </row>
    <row r="727">
      <c r="A727" s="2" t="str">
        <f>IFERROR(__xludf.DUMMYFUNCTION("""COMPUTED_VALUE"""),"For rent")</f>
        <v>For rent</v>
      </c>
      <c r="B727" s="2" t="str">
        <f>IFERROR(__xludf.DUMMYFUNCTION("""COMPUTED_VALUE"""),"Dzegužkalns")</f>
        <v>Dzegužkalns</v>
      </c>
      <c r="C727" s="2" t="str">
        <f>IFERROR(__xludf.DUMMYFUNCTION("""COMPUTED_VALUE"""),"Daugavgrīvas 56")</f>
        <v>Daugavgrīvas 56</v>
      </c>
      <c r="D727" s="2">
        <f>IFERROR(__xludf.DUMMYFUNCTION("""COMPUTED_VALUE"""),3.0)</f>
        <v>3</v>
      </c>
      <c r="E727" s="2">
        <f>IFERROR(__xludf.DUMMYFUNCTION("""COMPUTED_VALUE"""),57.0)</f>
        <v>57</v>
      </c>
      <c r="F727" s="2">
        <f>IFERROR(__xludf.DUMMYFUNCTION("""COMPUTED_VALUE"""),1.0)</f>
        <v>1</v>
      </c>
      <c r="G727" s="2">
        <f>IFERROR(__xludf.DUMMYFUNCTION("""COMPUTED_VALUE"""),9.0)</f>
        <v>9</v>
      </c>
      <c r="H727" s="2">
        <f>IFERROR(__xludf.DUMMYFUNCTION("""COMPUTED_VALUE"""),467.0)</f>
        <v>467</v>
      </c>
      <c r="I727" s="2" t="str">
        <f>IFERROR(__xludf.DUMMYFUNCTION("""COMPUTED_VALUE"""),"Panel")</f>
        <v>Panel</v>
      </c>
      <c r="J727" s="2" t="str">
        <f>IFERROR(__xludf.DUMMYFUNCTION("""COMPUTED_VALUE"""),"All amenities")</f>
        <v>All amenities</v>
      </c>
      <c r="K727" s="2">
        <f>IFERROR(__xludf.DUMMYFUNCTION("""COMPUTED_VALUE"""),350.0)</f>
        <v>350</v>
      </c>
      <c r="L727" s="2">
        <f>IFERROR(__xludf.DUMMYFUNCTION("""COMPUTED_VALUE"""),56.9556152)</f>
        <v>56.9556152</v>
      </c>
      <c r="M727" s="2">
        <f>IFERROR(__xludf.DUMMYFUNCTION("""COMPUTED_VALUE"""),24.0691683057669)</f>
        <v>24.06916831</v>
      </c>
    </row>
    <row r="728">
      <c r="A728" s="2" t="str">
        <f>IFERROR(__xludf.DUMMYFUNCTION("""COMPUTED_VALUE"""),"For rent")</f>
        <v>For rent</v>
      </c>
      <c r="B728" s="2" t="str">
        <f>IFERROR(__xludf.DUMMYFUNCTION("""COMPUTED_VALUE"""),"Iļģuciems")</f>
        <v>Iļģuciems</v>
      </c>
      <c r="C728" s="2" t="str">
        <f>IFERROR(__xludf.DUMMYFUNCTION("""COMPUTED_VALUE"""),"Daugavgrīvas 56")</f>
        <v>Daugavgrīvas 56</v>
      </c>
      <c r="D728" s="2">
        <f>IFERROR(__xludf.DUMMYFUNCTION("""COMPUTED_VALUE"""),3.0)</f>
        <v>3</v>
      </c>
      <c r="E728" s="2">
        <f>IFERROR(__xludf.DUMMYFUNCTION("""COMPUTED_VALUE"""),57.0)</f>
        <v>57</v>
      </c>
      <c r="F728" s="2">
        <f>IFERROR(__xludf.DUMMYFUNCTION("""COMPUTED_VALUE"""),1.0)</f>
        <v>1</v>
      </c>
      <c r="G728" s="2">
        <f>IFERROR(__xludf.DUMMYFUNCTION("""COMPUTED_VALUE"""),9.0)</f>
        <v>9</v>
      </c>
      <c r="H728" s="2">
        <f>IFERROR(__xludf.DUMMYFUNCTION("""COMPUTED_VALUE"""),467.0)</f>
        <v>467</v>
      </c>
      <c r="I728" s="2" t="str">
        <f>IFERROR(__xludf.DUMMYFUNCTION("""COMPUTED_VALUE"""),"Panel")</f>
        <v>Panel</v>
      </c>
      <c r="J728" s="2" t="str">
        <f>IFERROR(__xludf.DUMMYFUNCTION("""COMPUTED_VALUE"""),"All amenities")</f>
        <v>All amenities</v>
      </c>
      <c r="K728" s="2">
        <f>IFERROR(__xludf.DUMMYFUNCTION("""COMPUTED_VALUE"""),350.0)</f>
        <v>350</v>
      </c>
      <c r="L728" s="2">
        <f>IFERROR(__xludf.DUMMYFUNCTION("""COMPUTED_VALUE"""),56.9556152)</f>
        <v>56.9556152</v>
      </c>
      <c r="M728" s="2">
        <f>IFERROR(__xludf.DUMMYFUNCTION("""COMPUTED_VALUE"""),24.0691683057669)</f>
        <v>24.06916831</v>
      </c>
    </row>
    <row r="729">
      <c r="A729" s="2" t="str">
        <f>IFERROR(__xludf.DUMMYFUNCTION("""COMPUTED_VALUE"""),"For rent")</f>
        <v>For rent</v>
      </c>
      <c r="B729" s="2" t="str">
        <f>IFERROR(__xludf.DUMMYFUNCTION("""COMPUTED_VALUE"""),"Teika")</f>
        <v>Teika</v>
      </c>
      <c r="C729" s="2" t="str">
        <f>IFERROR(__xludf.DUMMYFUNCTION("""COMPUTED_VALUE"""),"Ropažu 22")</f>
        <v>Ropažu 22</v>
      </c>
      <c r="D729" s="2">
        <f>IFERROR(__xludf.DUMMYFUNCTION("""COMPUTED_VALUE"""),2.0)</f>
        <v>2</v>
      </c>
      <c r="E729" s="2">
        <f>IFERROR(__xludf.DUMMYFUNCTION("""COMPUTED_VALUE"""),42.0)</f>
        <v>42</v>
      </c>
      <c r="F729" s="2">
        <f>IFERROR(__xludf.DUMMYFUNCTION("""COMPUTED_VALUE"""),4.0)</f>
        <v>4</v>
      </c>
      <c r="G729" s="2">
        <f>IFERROR(__xludf.DUMMYFUNCTION("""COMPUTED_VALUE"""),5.0)</f>
        <v>5</v>
      </c>
      <c r="H729" s="2" t="str">
        <f>IFERROR(__xludf.DUMMYFUNCTION("""COMPUTED_VALUE"""),"Hrušč.")</f>
        <v>Hrušč.</v>
      </c>
      <c r="I729" s="2" t="str">
        <f>IFERROR(__xludf.DUMMYFUNCTION("""COMPUTED_VALUE"""),"Brick")</f>
        <v>Brick</v>
      </c>
      <c r="J729" s="2" t="str">
        <f>IFERROR(__xludf.DUMMYFUNCTION("""COMPUTED_VALUE"""),"All amenities")</f>
        <v>All amenities</v>
      </c>
      <c r="K729" s="2">
        <f>IFERROR(__xludf.DUMMYFUNCTION("""COMPUTED_VALUE"""),320.0)</f>
        <v>320</v>
      </c>
      <c r="L729" s="2">
        <f>IFERROR(__xludf.DUMMYFUNCTION("""COMPUTED_VALUE"""),56.9776761)</f>
        <v>56.9776761</v>
      </c>
      <c r="M729" s="2">
        <f>IFERROR(__xludf.DUMMYFUNCTION("""COMPUTED_VALUE"""),24.1719745)</f>
        <v>24.1719745</v>
      </c>
    </row>
    <row r="730">
      <c r="A730" s="2" t="str">
        <f>IFERROR(__xludf.DUMMYFUNCTION("""COMPUTED_VALUE"""),"For rent")</f>
        <v>For rent</v>
      </c>
      <c r="B730" s="2" t="str">
        <f>IFERROR(__xludf.DUMMYFUNCTION("""COMPUTED_VALUE"""),"centrs")</f>
        <v>centrs</v>
      </c>
      <c r="C730" s="2" t="str">
        <f>IFERROR(__xludf.DUMMYFUNCTION("""COMPUTED_VALUE"""),"Stabu 49a")</f>
        <v>Stabu 49a</v>
      </c>
      <c r="D730" s="2">
        <f>IFERROR(__xludf.DUMMYFUNCTION("""COMPUTED_VALUE"""),2.0)</f>
        <v>2</v>
      </c>
      <c r="E730" s="2">
        <f>IFERROR(__xludf.DUMMYFUNCTION("""COMPUTED_VALUE"""),46.0)</f>
        <v>46</v>
      </c>
      <c r="F730" s="2">
        <f>IFERROR(__xludf.DUMMYFUNCTION("""COMPUTED_VALUE"""),3.0)</f>
        <v>3</v>
      </c>
      <c r="G730" s="2">
        <f>IFERROR(__xludf.DUMMYFUNCTION("""COMPUTED_VALUE"""),5.0)</f>
        <v>5</v>
      </c>
      <c r="H730" s="2" t="str">
        <f>IFERROR(__xludf.DUMMYFUNCTION("""COMPUTED_VALUE"""),"P. kara")</f>
        <v>P. kara</v>
      </c>
      <c r="I730" s="2" t="str">
        <f>IFERROR(__xludf.DUMMYFUNCTION("""COMPUTED_VALUE"""),"Masonry")</f>
        <v>Masonry</v>
      </c>
      <c r="J730" s="2" t="str">
        <f>IFERROR(__xludf.DUMMYFUNCTION("""COMPUTED_VALUE"""),"All amenities")</f>
        <v>All amenities</v>
      </c>
      <c r="K730" s="2">
        <f>IFERROR(__xludf.DUMMYFUNCTION("""COMPUTED_VALUE"""),19.0)</f>
        <v>19</v>
      </c>
      <c r="L730" s="2">
        <f>IFERROR(__xludf.DUMMYFUNCTION("""COMPUTED_VALUE"""),56.95468425)</f>
        <v>56.95468425</v>
      </c>
      <c r="M730" s="2">
        <f>IFERROR(__xludf.DUMMYFUNCTION("""COMPUTED_VALUE"""),24.1322506039386)</f>
        <v>24.1322506</v>
      </c>
    </row>
    <row r="731">
      <c r="A731" s="2" t="str">
        <f>IFERROR(__xludf.DUMMYFUNCTION("""COMPUTED_VALUE"""),"For rent")</f>
        <v>For rent</v>
      </c>
      <c r="B731" s="2" t="str">
        <f>IFERROR(__xludf.DUMMYFUNCTION("""COMPUTED_VALUE"""),"Ziepniekkalns")</f>
        <v>Ziepniekkalns</v>
      </c>
      <c r="C731" s="2" t="str">
        <f>IFERROR(__xludf.DUMMYFUNCTION("""COMPUTED_VALUE"""),"Valdeķu 54/5")</f>
        <v>Valdeķu 54/5</v>
      </c>
      <c r="D731" s="2">
        <f>IFERROR(__xludf.DUMMYFUNCTION("""COMPUTED_VALUE"""),1.0)</f>
        <v>1</v>
      </c>
      <c r="E731" s="2">
        <f>IFERROR(__xludf.DUMMYFUNCTION("""COMPUTED_VALUE"""),32.0)</f>
        <v>32</v>
      </c>
      <c r="F731" s="2">
        <f>IFERROR(__xludf.DUMMYFUNCTION("""COMPUTED_VALUE"""),5.0)</f>
        <v>5</v>
      </c>
      <c r="G731" s="2">
        <f>IFERROR(__xludf.DUMMYFUNCTION("""COMPUTED_VALUE"""),9.0)</f>
        <v>9</v>
      </c>
      <c r="H731" s="2">
        <f>IFERROR(__xludf.DUMMYFUNCTION("""COMPUTED_VALUE"""),602.0)</f>
        <v>602</v>
      </c>
      <c r="I731" s="2" t="str">
        <f>IFERROR(__xludf.DUMMYFUNCTION("""COMPUTED_VALUE"""),"Panel")</f>
        <v>Panel</v>
      </c>
      <c r="J731" s="2" t="str">
        <f>IFERROR(__xludf.DUMMYFUNCTION("""COMPUTED_VALUE"""),"All amenities")</f>
        <v>All amenities</v>
      </c>
      <c r="K731" s="2">
        <f>IFERROR(__xludf.DUMMYFUNCTION("""COMPUTED_VALUE"""),230.0)</f>
        <v>230</v>
      </c>
      <c r="L731" s="2">
        <f>IFERROR(__xludf.DUMMYFUNCTION("""COMPUTED_VALUE"""),56.9000607)</f>
        <v>56.9000607</v>
      </c>
      <c r="M731" s="2">
        <f>IFERROR(__xludf.DUMMYFUNCTION("""COMPUTED_VALUE"""),24.0925604)</f>
        <v>24.0925604</v>
      </c>
    </row>
    <row r="732">
      <c r="A732" s="2" t="str">
        <f>IFERROR(__xludf.DUMMYFUNCTION("""COMPUTED_VALUE"""),"For sale")</f>
        <v>For sale</v>
      </c>
      <c r="B732" s="2" t="str">
        <f>IFERROR(__xludf.DUMMYFUNCTION("""COMPUTED_VALUE"""),"Āgenskalns")</f>
        <v>Āgenskalns</v>
      </c>
      <c r="C732" s="2" t="str">
        <f>IFERROR(__xludf.DUMMYFUNCTION("""COMPUTED_VALUE"""),"Kalnciema 42")</f>
        <v>Kalnciema 42</v>
      </c>
      <c r="D732" s="2">
        <f>IFERROR(__xludf.DUMMYFUNCTION("""COMPUTED_VALUE"""),5.0)</f>
        <v>5</v>
      </c>
      <c r="E732" s="2">
        <f>IFERROR(__xludf.DUMMYFUNCTION("""COMPUTED_VALUE"""),91.0)</f>
        <v>91</v>
      </c>
      <c r="F732" s="2">
        <f>IFERROR(__xludf.DUMMYFUNCTION("""COMPUTED_VALUE"""),2.0)</f>
        <v>2</v>
      </c>
      <c r="G732" s="2">
        <f>IFERROR(__xludf.DUMMYFUNCTION("""COMPUTED_VALUE"""),4.0)</f>
        <v>4</v>
      </c>
      <c r="H732" s="2" t="str">
        <f>IFERROR(__xludf.DUMMYFUNCTION("""COMPUTED_VALUE"""),"P. kara")</f>
        <v>P. kara</v>
      </c>
      <c r="I732" s="2" t="str">
        <f>IFERROR(__xludf.DUMMYFUNCTION("""COMPUTED_VALUE"""),"Brick")</f>
        <v>Brick</v>
      </c>
      <c r="J732" s="2" t="str">
        <f>IFERROR(__xludf.DUMMYFUNCTION("""COMPUTED_VALUE"""),"All amenities")</f>
        <v>All amenities</v>
      </c>
      <c r="K732" s="2">
        <f>IFERROR(__xludf.DUMMYFUNCTION("""COMPUTED_VALUE"""),132000.0)</f>
        <v>132000</v>
      </c>
      <c r="L732" s="2">
        <f>IFERROR(__xludf.DUMMYFUNCTION("""COMPUTED_VALUE"""),56.94206255)</f>
        <v>56.94206255</v>
      </c>
      <c r="M732" s="2">
        <f>IFERROR(__xludf.DUMMYFUNCTION("""COMPUTED_VALUE"""),24.0642753752361)</f>
        <v>24.06427538</v>
      </c>
    </row>
    <row r="733">
      <c r="A733" s="2" t="str">
        <f>IFERROR(__xludf.DUMMYFUNCTION("""COMPUTED_VALUE"""),"For rent")</f>
        <v>For rent</v>
      </c>
      <c r="B733" s="2" t="str">
        <f>IFERROR(__xludf.DUMMYFUNCTION("""COMPUTED_VALUE"""),"Iļģuciems")</f>
        <v>Iļģuciems</v>
      </c>
      <c r="C733" s="2" t="str">
        <f>IFERROR(__xludf.DUMMYFUNCTION("""COMPUTED_VALUE"""),"Iļģuciema 5")</f>
        <v>Iļģuciema 5</v>
      </c>
      <c r="D733" s="2">
        <f>IFERROR(__xludf.DUMMYFUNCTION("""COMPUTED_VALUE"""),3.0)</f>
        <v>3</v>
      </c>
      <c r="E733" s="2">
        <f>IFERROR(__xludf.DUMMYFUNCTION("""COMPUTED_VALUE"""),52.0)</f>
        <v>52</v>
      </c>
      <c r="F733" s="2">
        <f>IFERROR(__xludf.DUMMYFUNCTION("""COMPUTED_VALUE"""),1.0)</f>
        <v>1</v>
      </c>
      <c r="G733" s="2">
        <f>IFERROR(__xludf.DUMMYFUNCTION("""COMPUTED_VALUE"""),2.0)</f>
        <v>2</v>
      </c>
      <c r="H733" s="2" t="str">
        <f>IFERROR(__xludf.DUMMYFUNCTION("""COMPUTED_VALUE"""),"P. kara")</f>
        <v>P. kara</v>
      </c>
      <c r="I733" s="2" t="str">
        <f>IFERROR(__xludf.DUMMYFUNCTION("""COMPUTED_VALUE"""),"Wood")</f>
        <v>Wood</v>
      </c>
      <c r="J733" s="2" t="str">
        <f>IFERROR(__xludf.DUMMYFUNCTION("""COMPUTED_VALUE"""),"Partial amenities")</f>
        <v>Partial amenities</v>
      </c>
      <c r="K733" s="2">
        <f>IFERROR(__xludf.DUMMYFUNCTION("""COMPUTED_VALUE"""),240.0)</f>
        <v>240</v>
      </c>
      <c r="L733" s="2">
        <f>IFERROR(__xludf.DUMMYFUNCTION("""COMPUTED_VALUE"""),56.9624472999999)</f>
        <v>56.9624473</v>
      </c>
      <c r="M733" s="2">
        <f>IFERROR(__xludf.DUMMYFUNCTION("""COMPUTED_VALUE"""),24.0527606999999)</f>
        <v>24.0527607</v>
      </c>
    </row>
    <row r="734">
      <c r="A734" s="2" t="str">
        <f>IFERROR(__xludf.DUMMYFUNCTION("""COMPUTED_VALUE"""),"For sale")</f>
        <v>For sale</v>
      </c>
      <c r="B734" s="2" t="str">
        <f>IFERROR(__xludf.DUMMYFUNCTION("""COMPUTED_VALUE"""),"Pļavnieki")</f>
        <v>Pļavnieki</v>
      </c>
      <c r="C734" s="2" t="str">
        <f>IFERROR(__xludf.DUMMYFUNCTION("""COMPUTED_VALUE"""),"Ulbrokas 22")</f>
        <v>Ulbrokas 22</v>
      </c>
      <c r="D734" s="2">
        <f>IFERROR(__xludf.DUMMYFUNCTION("""COMPUTED_VALUE"""),1.0)</f>
        <v>1</v>
      </c>
      <c r="E734" s="2">
        <f>IFERROR(__xludf.DUMMYFUNCTION("""COMPUTED_VALUE"""),32.0)</f>
        <v>32</v>
      </c>
      <c r="F734" s="2">
        <f>IFERROR(__xludf.DUMMYFUNCTION("""COMPUTED_VALUE"""),4.0)</f>
        <v>4</v>
      </c>
      <c r="G734" s="2">
        <f>IFERROR(__xludf.DUMMYFUNCTION("""COMPUTED_VALUE"""),9.0)</f>
        <v>9</v>
      </c>
      <c r="H734" s="2">
        <f>IFERROR(__xludf.DUMMYFUNCTION("""COMPUTED_VALUE"""),602.0)</f>
        <v>602</v>
      </c>
      <c r="I734" s="2" t="str">
        <f>IFERROR(__xludf.DUMMYFUNCTION("""COMPUTED_VALUE"""),"Panel")</f>
        <v>Panel</v>
      </c>
      <c r="J734" s="2" t="str">
        <f>IFERROR(__xludf.DUMMYFUNCTION("""COMPUTED_VALUE"""),"All amenities")</f>
        <v>All amenities</v>
      </c>
      <c r="K734" s="2">
        <f>IFERROR(__xludf.DUMMYFUNCTION("""COMPUTED_VALUE"""),35500.0)</f>
        <v>35500</v>
      </c>
      <c r="L734" s="2">
        <f>IFERROR(__xludf.DUMMYFUNCTION("""COMPUTED_VALUE"""),56.9440729)</f>
        <v>56.9440729</v>
      </c>
      <c r="M734" s="2">
        <f>IFERROR(__xludf.DUMMYFUNCTION("""COMPUTED_VALUE"""),24.2177392125913)</f>
        <v>24.21773921</v>
      </c>
    </row>
    <row r="735">
      <c r="A735" s="2" t="str">
        <f>IFERROR(__xludf.DUMMYFUNCTION("""COMPUTED_VALUE"""),"For rent")</f>
        <v>For rent</v>
      </c>
      <c r="B735" s="2" t="str">
        <f>IFERROR(__xludf.DUMMYFUNCTION("""COMPUTED_VALUE"""),"Iļģuciems")</f>
        <v>Iļģuciems</v>
      </c>
      <c r="C735" s="2" t="str">
        <f>IFERROR(__xludf.DUMMYFUNCTION("""COMPUTED_VALUE"""),"Skujenes 13")</f>
        <v>Skujenes 13</v>
      </c>
      <c r="D735" s="2">
        <f>IFERROR(__xludf.DUMMYFUNCTION("""COMPUTED_VALUE"""),2.0)</f>
        <v>2</v>
      </c>
      <c r="E735" s="2">
        <f>IFERROR(__xludf.DUMMYFUNCTION("""COMPUTED_VALUE"""),46.0)</f>
        <v>46</v>
      </c>
      <c r="F735" s="2">
        <f>IFERROR(__xludf.DUMMYFUNCTION("""COMPUTED_VALUE"""),5.0)</f>
        <v>5</v>
      </c>
      <c r="G735" s="2">
        <f>IFERROR(__xludf.DUMMYFUNCTION("""COMPUTED_VALUE"""),5.0)</f>
        <v>5</v>
      </c>
      <c r="H735" s="2" t="str">
        <f>IFERROR(__xludf.DUMMYFUNCTION("""COMPUTED_VALUE"""),"Hrušč.")</f>
        <v>Hrušč.</v>
      </c>
      <c r="I735" s="2" t="str">
        <f>IFERROR(__xludf.DUMMYFUNCTION("""COMPUTED_VALUE"""),"Panel")</f>
        <v>Panel</v>
      </c>
      <c r="J735" s="2" t="str">
        <f>IFERROR(__xludf.DUMMYFUNCTION("""COMPUTED_VALUE"""),"All amenities")</f>
        <v>All amenities</v>
      </c>
      <c r="K735" s="2">
        <f>IFERROR(__xludf.DUMMYFUNCTION("""COMPUTED_VALUE"""),300.0)</f>
        <v>300</v>
      </c>
      <c r="L735" s="2">
        <f>IFERROR(__xludf.DUMMYFUNCTION("""COMPUTED_VALUE"""),56.96306045)</f>
        <v>56.96306045</v>
      </c>
      <c r="M735" s="2">
        <f>IFERROR(__xludf.DUMMYFUNCTION("""COMPUTED_VALUE"""),24.0479363756081)</f>
        <v>24.04793638</v>
      </c>
    </row>
    <row r="736">
      <c r="A736" s="2" t="str">
        <f>IFERROR(__xludf.DUMMYFUNCTION("""COMPUTED_VALUE"""),"For sale")</f>
        <v>For sale</v>
      </c>
      <c r="B736" s="2" t="str">
        <f>IFERROR(__xludf.DUMMYFUNCTION("""COMPUTED_VALUE"""),"Teika")</f>
        <v>Teika</v>
      </c>
      <c r="C736" s="2" t="str">
        <f>IFERROR(__xludf.DUMMYFUNCTION("""COMPUTED_VALUE"""),"Caunes 17")</f>
        <v>Caunes 17</v>
      </c>
      <c r="D736" s="2">
        <f>IFERROR(__xludf.DUMMYFUNCTION("""COMPUTED_VALUE"""),2.0)</f>
        <v>2</v>
      </c>
      <c r="E736" s="2">
        <f>IFERROR(__xludf.DUMMYFUNCTION("""COMPUTED_VALUE"""),47.0)</f>
        <v>47</v>
      </c>
      <c r="F736" s="2">
        <f>IFERROR(__xludf.DUMMYFUNCTION("""COMPUTED_VALUE"""),3.0)</f>
        <v>3</v>
      </c>
      <c r="G736" s="2">
        <f>IFERROR(__xludf.DUMMYFUNCTION("""COMPUTED_VALUE"""),5.0)</f>
        <v>5</v>
      </c>
      <c r="H736" s="2" t="str">
        <f>IFERROR(__xludf.DUMMYFUNCTION("""COMPUTED_VALUE"""),"Hrušč.")</f>
        <v>Hrušč.</v>
      </c>
      <c r="I736" s="2" t="str">
        <f>IFERROR(__xludf.DUMMYFUNCTION("""COMPUTED_VALUE"""),"Brick")</f>
        <v>Brick</v>
      </c>
      <c r="J736" s="2" t="str">
        <f>IFERROR(__xludf.DUMMYFUNCTION("""COMPUTED_VALUE"""),"All amenities")</f>
        <v>All amenities</v>
      </c>
      <c r="K736" s="2">
        <f>IFERROR(__xludf.DUMMYFUNCTION("""COMPUTED_VALUE"""),59500.0)</f>
        <v>59500</v>
      </c>
      <c r="L736" s="2">
        <f>IFERROR(__xludf.DUMMYFUNCTION("""COMPUTED_VALUE"""),56.98156)</f>
        <v>56.98156</v>
      </c>
      <c r="M736" s="2">
        <f>IFERROR(__xludf.DUMMYFUNCTION("""COMPUTED_VALUE"""),24.1908887)</f>
        <v>24.1908887</v>
      </c>
    </row>
    <row r="737">
      <c r="A737" s="2" t="str">
        <f>IFERROR(__xludf.DUMMYFUNCTION("""COMPUTED_VALUE"""),"For rent")</f>
        <v>For rent</v>
      </c>
      <c r="B737" s="2" t="str">
        <f>IFERROR(__xludf.DUMMYFUNCTION("""COMPUTED_VALUE"""),"centrs")</f>
        <v>centrs</v>
      </c>
      <c r="C737" s="2" t="str">
        <f>IFERROR(__xludf.DUMMYFUNCTION("""COMPUTED_VALUE"""),"Brīvības iela 170")</f>
        <v>Brīvības iela 170</v>
      </c>
      <c r="D737" s="2">
        <f>IFERROR(__xludf.DUMMYFUNCTION("""COMPUTED_VALUE"""),2.0)</f>
        <v>2</v>
      </c>
      <c r="E737" s="2">
        <f>IFERROR(__xludf.DUMMYFUNCTION("""COMPUTED_VALUE"""),51.0)</f>
        <v>51</v>
      </c>
      <c r="F737" s="2">
        <f>IFERROR(__xludf.DUMMYFUNCTION("""COMPUTED_VALUE"""),2.0)</f>
        <v>2</v>
      </c>
      <c r="G737" s="2">
        <f>IFERROR(__xludf.DUMMYFUNCTION("""COMPUTED_VALUE"""),6.0)</f>
        <v>6</v>
      </c>
      <c r="H737" s="2" t="str">
        <f>IFERROR(__xludf.DUMMYFUNCTION("""COMPUTED_VALUE"""),"P. kara")</f>
        <v>P. kara</v>
      </c>
      <c r="I737" s="2" t="str">
        <f>IFERROR(__xludf.DUMMYFUNCTION("""COMPUTED_VALUE"""),"Masonry")</f>
        <v>Masonry</v>
      </c>
      <c r="J737" s="2" t="str">
        <f>IFERROR(__xludf.DUMMYFUNCTION("""COMPUTED_VALUE"""),"All amenities")</f>
        <v>All amenities</v>
      </c>
      <c r="K737" s="2">
        <f>IFERROR(__xludf.DUMMYFUNCTION("""COMPUTED_VALUE"""),340.0)</f>
        <v>340</v>
      </c>
      <c r="L737" s="2">
        <f>IFERROR(__xludf.DUMMYFUNCTION("""COMPUTED_VALUE"""),56.965966)</f>
        <v>56.965966</v>
      </c>
      <c r="M737" s="2">
        <f>IFERROR(__xludf.DUMMYFUNCTION("""COMPUTED_VALUE"""),24.1445041)</f>
        <v>24.1445041</v>
      </c>
    </row>
    <row r="738">
      <c r="A738" s="2" t="str">
        <f>IFERROR(__xludf.DUMMYFUNCTION("""COMPUTED_VALUE"""),"For rent")</f>
        <v>For rent</v>
      </c>
      <c r="B738" s="2" t="str">
        <f>IFERROR(__xludf.DUMMYFUNCTION("""COMPUTED_VALUE"""),"centrs")</f>
        <v>centrs</v>
      </c>
      <c r="C738" s="2" t="str">
        <f>IFERROR(__xludf.DUMMYFUNCTION("""COMPUTED_VALUE"""),"Brīvības 92/94")</f>
        <v>Brīvības 92/94</v>
      </c>
      <c r="D738" s="2">
        <f>IFERROR(__xludf.DUMMYFUNCTION("""COMPUTED_VALUE"""),2.0)</f>
        <v>2</v>
      </c>
      <c r="E738" s="2">
        <f>IFERROR(__xludf.DUMMYFUNCTION("""COMPUTED_VALUE"""),60.0)</f>
        <v>60</v>
      </c>
      <c r="F738" s="2">
        <f>IFERROR(__xludf.DUMMYFUNCTION("""COMPUTED_VALUE"""),2.0)</f>
        <v>2</v>
      </c>
      <c r="G738" s="2">
        <f>IFERROR(__xludf.DUMMYFUNCTION("""COMPUTED_VALUE"""),5.0)</f>
        <v>5</v>
      </c>
      <c r="H738" s="2" t="str">
        <f>IFERROR(__xludf.DUMMYFUNCTION("""COMPUTED_VALUE"""),"Hrušč.")</f>
        <v>Hrušč.</v>
      </c>
      <c r="I738" s="2" t="str">
        <f>IFERROR(__xludf.DUMMYFUNCTION("""COMPUTED_VALUE"""),"Brick")</f>
        <v>Brick</v>
      </c>
      <c r="J738" s="2" t="str">
        <f>IFERROR(__xludf.DUMMYFUNCTION("""COMPUTED_VALUE"""),"All amenities")</f>
        <v>All amenities</v>
      </c>
      <c r="K738" s="2">
        <f>IFERROR(__xludf.DUMMYFUNCTION("""COMPUTED_VALUE"""),690.0)</f>
        <v>690</v>
      </c>
      <c r="L738" s="2">
        <f>IFERROR(__xludf.DUMMYFUNCTION("""COMPUTED_VALUE"""),56.9604576)</f>
        <v>56.9604576</v>
      </c>
      <c r="M738" s="2">
        <f>IFERROR(__xludf.DUMMYFUNCTION("""COMPUTED_VALUE"""),24.1316378)</f>
        <v>24.1316378</v>
      </c>
    </row>
    <row r="739">
      <c r="A739" s="2" t="str">
        <f>IFERROR(__xludf.DUMMYFUNCTION("""COMPUTED_VALUE"""),"For sale")</f>
        <v>For sale</v>
      </c>
      <c r="B739" s="2" t="str">
        <f>IFERROR(__xludf.DUMMYFUNCTION("""COMPUTED_VALUE"""),"Teika")</f>
        <v>Teika</v>
      </c>
      <c r="C739" s="2" t="str">
        <f>IFERROR(__xludf.DUMMYFUNCTION("""COMPUTED_VALUE"""),"Raunas 19")</f>
        <v>Raunas 19</v>
      </c>
      <c r="D739" s="2">
        <f>IFERROR(__xludf.DUMMYFUNCTION("""COMPUTED_VALUE"""),3.0)</f>
        <v>3</v>
      </c>
      <c r="E739" s="2">
        <f>IFERROR(__xludf.DUMMYFUNCTION("""COMPUTED_VALUE"""),72.0)</f>
        <v>72</v>
      </c>
      <c r="F739" s="2">
        <f>IFERROR(__xludf.DUMMYFUNCTION("""COMPUTED_VALUE"""),3.0)</f>
        <v>3</v>
      </c>
      <c r="G739" s="2">
        <f>IFERROR(__xludf.DUMMYFUNCTION("""COMPUTED_VALUE"""),5.0)</f>
        <v>5</v>
      </c>
      <c r="H739" s="2">
        <f>IFERROR(__xludf.DUMMYFUNCTION("""COMPUTED_VALUE"""),103.0)</f>
        <v>103</v>
      </c>
      <c r="I739" s="2" t="str">
        <f>IFERROR(__xludf.DUMMYFUNCTION("""COMPUTED_VALUE"""),"Brick-Panel")</f>
        <v>Brick-Panel</v>
      </c>
      <c r="J739" s="2" t="str">
        <f>IFERROR(__xludf.DUMMYFUNCTION("""COMPUTED_VALUE"""),"All amenities")</f>
        <v>All amenities</v>
      </c>
      <c r="K739" s="2">
        <f>IFERROR(__xludf.DUMMYFUNCTION("""COMPUTED_VALUE"""),76000.0)</f>
        <v>76000</v>
      </c>
      <c r="L739" s="2">
        <f>IFERROR(__xludf.DUMMYFUNCTION("""COMPUTED_VALUE"""),56.96893685)</f>
        <v>56.96893685</v>
      </c>
      <c r="M739" s="2">
        <f>IFERROR(__xludf.DUMMYFUNCTION("""COMPUTED_VALUE"""),24.1736180973848)</f>
        <v>24.1736181</v>
      </c>
    </row>
    <row r="740">
      <c r="A740" s="2" t="str">
        <f>IFERROR(__xludf.DUMMYFUNCTION("""COMPUTED_VALUE"""),"For sale")</f>
        <v>For sale</v>
      </c>
      <c r="B740" s="2" t="str">
        <f>IFERROR(__xludf.DUMMYFUNCTION("""COMPUTED_VALUE"""),"Dārzciems")</f>
        <v>Dārzciems</v>
      </c>
      <c r="C740" s="2" t="str">
        <f>IFERROR(__xludf.DUMMYFUNCTION("""COMPUTED_VALUE"""),"Rumbulas 1")</f>
        <v>Rumbulas 1</v>
      </c>
      <c r="D740" s="2">
        <f>IFERROR(__xludf.DUMMYFUNCTION("""COMPUTED_VALUE"""),1.0)</f>
        <v>1</v>
      </c>
      <c r="E740" s="2">
        <f>IFERROR(__xludf.DUMMYFUNCTION("""COMPUTED_VALUE"""),42.0)</f>
        <v>42</v>
      </c>
      <c r="F740" s="2">
        <f>IFERROR(__xludf.DUMMYFUNCTION("""COMPUTED_VALUE"""),5.0)</f>
        <v>5</v>
      </c>
      <c r="G740" s="2">
        <f>IFERROR(__xludf.DUMMYFUNCTION("""COMPUTED_VALUE"""),5.0)</f>
        <v>5</v>
      </c>
      <c r="H740" s="2" t="str">
        <f>IFERROR(__xludf.DUMMYFUNCTION("""COMPUTED_VALUE"""),"M. ģim.")</f>
        <v>M. ģim.</v>
      </c>
      <c r="I740" s="2" t="str">
        <f>IFERROR(__xludf.DUMMYFUNCTION("""COMPUTED_VALUE"""),"Brick")</f>
        <v>Brick</v>
      </c>
      <c r="J740" s="2" t="str">
        <f>IFERROR(__xludf.DUMMYFUNCTION("""COMPUTED_VALUE"""),"All amenities")</f>
        <v>All amenities</v>
      </c>
      <c r="K740" s="2">
        <f>IFERROR(__xludf.DUMMYFUNCTION("""COMPUTED_VALUE"""),27000.0)</f>
        <v>27000</v>
      </c>
      <c r="L740" s="2">
        <f>IFERROR(__xludf.DUMMYFUNCTION("""COMPUTED_VALUE"""),56.94363395)</f>
        <v>56.94363395</v>
      </c>
      <c r="M740" s="2">
        <f>IFERROR(__xludf.DUMMYFUNCTION("""COMPUTED_VALUE"""),24.1717644188876)</f>
        <v>24.17176442</v>
      </c>
    </row>
    <row r="741">
      <c r="A741" s="2" t="str">
        <f>IFERROR(__xludf.DUMMYFUNCTION("""COMPUTED_VALUE"""),"For rent")</f>
        <v>For rent</v>
      </c>
      <c r="B741" s="2" t="str">
        <f>IFERROR(__xludf.DUMMYFUNCTION("""COMPUTED_VALUE"""),"Dzegužkalns")</f>
        <v>Dzegužkalns</v>
      </c>
      <c r="C741" s="2" t="str">
        <f>IFERROR(__xludf.DUMMYFUNCTION("""COMPUTED_VALUE"""),"Kreslera 1/5")</f>
        <v>Kreslera 1/5</v>
      </c>
      <c r="D741" s="2">
        <f>IFERROR(__xludf.DUMMYFUNCTION("""COMPUTED_VALUE"""),2.0)</f>
        <v>2</v>
      </c>
      <c r="E741" s="2">
        <f>IFERROR(__xludf.DUMMYFUNCTION("""COMPUTED_VALUE"""),46.0)</f>
        <v>46</v>
      </c>
      <c r="F741" s="2">
        <f>IFERROR(__xludf.DUMMYFUNCTION("""COMPUTED_VALUE"""),2.0)</f>
        <v>2</v>
      </c>
      <c r="G741" s="2">
        <f>IFERROR(__xludf.DUMMYFUNCTION("""COMPUTED_VALUE"""),2.0)</f>
        <v>2</v>
      </c>
      <c r="H741" s="2" t="str">
        <f>IFERROR(__xludf.DUMMYFUNCTION("""COMPUTED_VALUE"""),"Hrušč.")</f>
        <v>Hrušč.</v>
      </c>
      <c r="I741" s="2" t="str">
        <f>IFERROR(__xludf.DUMMYFUNCTION("""COMPUTED_VALUE"""),"Brick")</f>
        <v>Brick</v>
      </c>
      <c r="J741" s="2" t="str">
        <f>IFERROR(__xludf.DUMMYFUNCTION("""COMPUTED_VALUE"""),"All amenities")</f>
        <v>All amenities</v>
      </c>
      <c r="K741" s="2">
        <f>IFERROR(__xludf.DUMMYFUNCTION("""COMPUTED_VALUE"""),250.0)</f>
        <v>250</v>
      </c>
      <c r="L741" s="2">
        <f>IFERROR(__xludf.DUMMYFUNCTION("""COMPUTED_VALUE"""),56.9644458)</f>
        <v>56.9644458</v>
      </c>
      <c r="M741" s="2">
        <f>IFERROR(__xludf.DUMMYFUNCTION("""COMPUTED_VALUE"""),24.0640075)</f>
        <v>24.0640075</v>
      </c>
    </row>
    <row r="742">
      <c r="A742" s="2" t="str">
        <f>IFERROR(__xludf.DUMMYFUNCTION("""COMPUTED_VALUE"""),"For sale")</f>
        <v>For sale</v>
      </c>
      <c r="B742" s="2" t="str">
        <f>IFERROR(__xludf.DUMMYFUNCTION("""COMPUTED_VALUE"""),"centrs")</f>
        <v>centrs</v>
      </c>
      <c r="C742" s="2" t="str">
        <f>IFERROR(__xludf.DUMMYFUNCTION("""COMPUTED_VALUE"""),"Tērbatas 41/43")</f>
        <v>Tērbatas 41/43</v>
      </c>
      <c r="D742" s="2">
        <f>IFERROR(__xludf.DUMMYFUNCTION("""COMPUTED_VALUE"""),3.0)</f>
        <v>3</v>
      </c>
      <c r="E742" s="2">
        <f>IFERROR(__xludf.DUMMYFUNCTION("""COMPUTED_VALUE"""),87.0)</f>
        <v>87</v>
      </c>
      <c r="F742" s="2">
        <f>IFERROR(__xludf.DUMMYFUNCTION("""COMPUTED_VALUE"""),4.0)</f>
        <v>4</v>
      </c>
      <c r="G742" s="2">
        <f>IFERROR(__xludf.DUMMYFUNCTION("""COMPUTED_VALUE"""),5.0)</f>
        <v>5</v>
      </c>
      <c r="H742" s="2" t="str">
        <f>IFERROR(__xludf.DUMMYFUNCTION("""COMPUTED_VALUE"""),"P. kara")</f>
        <v>P. kara</v>
      </c>
      <c r="I742" s="2" t="str">
        <f>IFERROR(__xludf.DUMMYFUNCTION("""COMPUTED_VALUE"""),"Brick")</f>
        <v>Brick</v>
      </c>
      <c r="J742" s="2" t="str">
        <f>IFERROR(__xludf.DUMMYFUNCTION("""COMPUTED_VALUE"""),"All amenities")</f>
        <v>All amenities</v>
      </c>
      <c r="K742" s="2">
        <f>IFERROR(__xludf.DUMMYFUNCTION("""COMPUTED_VALUE"""),142000.0)</f>
        <v>142000</v>
      </c>
      <c r="L742" s="2">
        <f>IFERROR(__xludf.DUMMYFUNCTION("""COMPUTED_VALUE"""),56.9557759)</f>
        <v>56.9557759</v>
      </c>
      <c r="M742" s="2">
        <f>IFERROR(__xludf.DUMMYFUNCTION("""COMPUTED_VALUE"""),24.1253193)</f>
        <v>24.1253193</v>
      </c>
    </row>
    <row r="743">
      <c r="A743" s="2" t="str">
        <f>IFERROR(__xludf.DUMMYFUNCTION("""COMPUTED_VALUE"""),"For rent")</f>
        <v>For rent</v>
      </c>
      <c r="B743" s="2" t="str">
        <f>IFERROR(__xludf.DUMMYFUNCTION("""COMPUTED_VALUE"""),"centrs")</f>
        <v>centrs</v>
      </c>
      <c r="C743" s="2" t="str">
        <f>IFERROR(__xludf.DUMMYFUNCTION("""COMPUTED_VALUE"""),"13. janvāra 21")</f>
        <v>13. janvāra 21</v>
      </c>
      <c r="D743" s="2">
        <f>IFERROR(__xludf.DUMMYFUNCTION("""COMPUTED_VALUE"""),1.0)</f>
        <v>1</v>
      </c>
      <c r="E743" s="2">
        <f>IFERROR(__xludf.DUMMYFUNCTION("""COMPUTED_VALUE"""),58.0)</f>
        <v>58</v>
      </c>
      <c r="F743" s="2">
        <f>IFERROR(__xludf.DUMMYFUNCTION("""COMPUTED_VALUE"""),6.0)</f>
        <v>6</v>
      </c>
      <c r="G743" s="2">
        <f>IFERROR(__xludf.DUMMYFUNCTION("""COMPUTED_VALUE"""),7.0)</f>
        <v>7</v>
      </c>
      <c r="H743" s="2" t="str">
        <f>IFERROR(__xludf.DUMMYFUNCTION("""COMPUTED_VALUE"""),"Jaun.")</f>
        <v>Jaun.</v>
      </c>
      <c r="I743" s="2" t="str">
        <f>IFERROR(__xludf.DUMMYFUNCTION("""COMPUTED_VALUE"""),"Panel")</f>
        <v>Panel</v>
      </c>
      <c r="J743" s="2" t="str">
        <f>IFERROR(__xludf.DUMMYFUNCTION("""COMPUTED_VALUE"""),"All amenities")</f>
        <v>All amenities</v>
      </c>
      <c r="K743" s="2">
        <f>IFERROR(__xludf.DUMMYFUNCTION("""COMPUTED_VALUE"""),800.0)</f>
        <v>800</v>
      </c>
      <c r="L743" s="2">
        <f>IFERROR(__xludf.DUMMYFUNCTION("""COMPUTED_VALUE"""),56.9443781)</f>
        <v>56.9443781</v>
      </c>
      <c r="M743" s="2">
        <f>IFERROR(__xludf.DUMMYFUNCTION("""COMPUTED_VALUE"""),24.1105085)</f>
        <v>24.1105085</v>
      </c>
    </row>
    <row r="744">
      <c r="A744" s="2" t="str">
        <f>IFERROR(__xludf.DUMMYFUNCTION("""COMPUTED_VALUE"""),"For sale")</f>
        <v>For sale</v>
      </c>
      <c r="B744" s="2" t="str">
        <f>IFERROR(__xludf.DUMMYFUNCTION("""COMPUTED_VALUE"""),"centrs")</f>
        <v>centrs</v>
      </c>
      <c r="C744" s="2" t="str">
        <f>IFERROR(__xludf.DUMMYFUNCTION("""COMPUTED_VALUE"""),"Blaumaņa 12")</f>
        <v>Blaumaņa 12</v>
      </c>
      <c r="D744" s="2">
        <f>IFERROR(__xludf.DUMMYFUNCTION("""COMPUTED_VALUE"""),1.0)</f>
        <v>1</v>
      </c>
      <c r="E744" s="2">
        <f>IFERROR(__xludf.DUMMYFUNCTION("""COMPUTED_VALUE"""),36.6)</f>
        <v>36.6</v>
      </c>
      <c r="F744" s="2">
        <f>IFERROR(__xludf.DUMMYFUNCTION("""COMPUTED_VALUE"""),6.0)</f>
        <v>6</v>
      </c>
      <c r="G744" s="2">
        <f>IFERROR(__xludf.DUMMYFUNCTION("""COMPUTED_VALUE"""),7.0)</f>
        <v>7</v>
      </c>
      <c r="H744" s="2" t="str">
        <f>IFERROR(__xludf.DUMMYFUNCTION("""COMPUTED_VALUE"""),"Renov.")</f>
        <v>Renov.</v>
      </c>
      <c r="I744" s="2" t="str">
        <f>IFERROR(__xludf.DUMMYFUNCTION("""COMPUTED_VALUE"""),"Masonry")</f>
        <v>Masonry</v>
      </c>
      <c r="J744" s="2" t="str">
        <f>IFERROR(__xludf.DUMMYFUNCTION("""COMPUTED_VALUE"""),"All amenities")</f>
        <v>All amenities</v>
      </c>
      <c r="K744" s="2">
        <f>IFERROR(__xludf.DUMMYFUNCTION("""COMPUTED_VALUE"""),102480.0)</f>
        <v>102480</v>
      </c>
      <c r="L744" s="2">
        <f>IFERROR(__xludf.DUMMYFUNCTION("""COMPUTED_VALUE"""),56.9548306)</f>
        <v>56.9548306</v>
      </c>
      <c r="M744" s="2">
        <f>IFERROR(__xludf.DUMMYFUNCTION("""COMPUTED_VALUE"""),24.1221141)</f>
        <v>24.1221141</v>
      </c>
    </row>
    <row r="745">
      <c r="A745" s="2" t="str">
        <f>IFERROR(__xludf.DUMMYFUNCTION("""COMPUTED_VALUE"""),"For rent")</f>
        <v>For rent</v>
      </c>
      <c r="B745" s="2" t="str">
        <f>IFERROR(__xludf.DUMMYFUNCTION("""COMPUTED_VALUE"""),"Purvciems")</f>
        <v>Purvciems</v>
      </c>
      <c r="C745" s="2" t="str">
        <f>IFERROR(__xludf.DUMMYFUNCTION("""COMPUTED_VALUE"""),"Deglava 7")</f>
        <v>Deglava 7</v>
      </c>
      <c r="D745" s="2">
        <f>IFERROR(__xludf.DUMMYFUNCTION("""COMPUTED_VALUE"""),1.0)</f>
        <v>1</v>
      </c>
      <c r="E745" s="2">
        <f>IFERROR(__xludf.DUMMYFUNCTION("""COMPUTED_VALUE"""),46.0)</f>
        <v>46</v>
      </c>
      <c r="F745" s="2">
        <f>IFERROR(__xludf.DUMMYFUNCTION("""COMPUTED_VALUE"""),5.0)</f>
        <v>5</v>
      </c>
      <c r="G745" s="2">
        <f>IFERROR(__xludf.DUMMYFUNCTION("""COMPUTED_VALUE"""),6.0)</f>
        <v>6</v>
      </c>
      <c r="H745" s="2" t="str">
        <f>IFERROR(__xludf.DUMMYFUNCTION("""COMPUTED_VALUE"""),"Jaun.")</f>
        <v>Jaun.</v>
      </c>
      <c r="I745" s="2" t="str">
        <f>IFERROR(__xludf.DUMMYFUNCTION("""COMPUTED_VALUE"""),"Brick-Panel")</f>
        <v>Brick-Panel</v>
      </c>
      <c r="J745" s="2" t="str">
        <f>IFERROR(__xludf.DUMMYFUNCTION("""COMPUTED_VALUE"""),"All amenities")</f>
        <v>All amenities</v>
      </c>
      <c r="K745" s="2">
        <f>IFERROR(__xludf.DUMMYFUNCTION("""COMPUTED_VALUE"""),27.0)</f>
        <v>27</v>
      </c>
      <c r="L745" s="2">
        <f>IFERROR(__xludf.DUMMYFUNCTION("""COMPUTED_VALUE"""),56.95377445)</f>
        <v>56.95377445</v>
      </c>
      <c r="M745" s="2">
        <f>IFERROR(__xludf.DUMMYFUNCTION("""COMPUTED_VALUE"""),24.1541478038837)</f>
        <v>24.1541478</v>
      </c>
    </row>
    <row r="746">
      <c r="A746" s="2" t="str">
        <f>IFERROR(__xludf.DUMMYFUNCTION("""COMPUTED_VALUE"""),"For sale")</f>
        <v>For sale</v>
      </c>
      <c r="B746" s="2" t="str">
        <f>IFERROR(__xludf.DUMMYFUNCTION("""COMPUTED_VALUE"""),"Zolitūde")</f>
        <v>Zolitūde</v>
      </c>
      <c r="C746" s="2" t="str">
        <f>IFERROR(__xludf.DUMMYFUNCTION("""COMPUTED_VALUE"""),"Ruses 16")</f>
        <v>Ruses 16</v>
      </c>
      <c r="D746" s="2">
        <f>IFERROR(__xludf.DUMMYFUNCTION("""COMPUTED_VALUE"""),4.0)</f>
        <v>4</v>
      </c>
      <c r="E746" s="2">
        <f>IFERROR(__xludf.DUMMYFUNCTION("""COMPUTED_VALUE"""),95.0)</f>
        <v>95</v>
      </c>
      <c r="F746" s="2">
        <f>IFERROR(__xludf.DUMMYFUNCTION("""COMPUTED_VALUE"""),6.0)</f>
        <v>6</v>
      </c>
      <c r="G746" s="2">
        <f>IFERROR(__xludf.DUMMYFUNCTION("""COMPUTED_VALUE"""),9.0)</f>
        <v>9</v>
      </c>
      <c r="H746" s="2">
        <f>IFERROR(__xludf.DUMMYFUNCTION("""COMPUTED_VALUE"""),119.0)</f>
        <v>119</v>
      </c>
      <c r="I746" s="2" t="str">
        <f>IFERROR(__xludf.DUMMYFUNCTION("""COMPUTED_VALUE"""),"Panel")</f>
        <v>Panel</v>
      </c>
      <c r="J746" s="2" t="str">
        <f>IFERROR(__xludf.DUMMYFUNCTION("""COMPUTED_VALUE"""),"All amenities")</f>
        <v>All amenities</v>
      </c>
      <c r="K746" s="2">
        <f>IFERROR(__xludf.DUMMYFUNCTION("""COMPUTED_VALUE"""),91000.0)</f>
        <v>91000</v>
      </c>
      <c r="L746" s="2">
        <f>IFERROR(__xludf.DUMMYFUNCTION("""COMPUTED_VALUE"""),56.94627775)</f>
        <v>56.94627775</v>
      </c>
      <c r="M746" s="2">
        <f>IFERROR(__xludf.DUMMYFUNCTION("""COMPUTED_VALUE"""),24.0038639173023)</f>
        <v>24.00386392</v>
      </c>
    </row>
    <row r="747">
      <c r="A747" s="2" t="str">
        <f>IFERROR(__xludf.DUMMYFUNCTION("""COMPUTED_VALUE"""),"For sale")</f>
        <v>For sale</v>
      </c>
      <c r="B747" s="2" t="str">
        <f>IFERROR(__xludf.DUMMYFUNCTION("""COMPUTED_VALUE"""),"Sarkandaugava")</f>
        <v>Sarkandaugava</v>
      </c>
      <c r="C747" s="2" t="str">
        <f>IFERROR(__xludf.DUMMYFUNCTION("""COMPUTED_VALUE"""),"Hāpsalas 5")</f>
        <v>Hāpsalas 5</v>
      </c>
      <c r="D747" s="2">
        <f>IFERROR(__xludf.DUMMYFUNCTION("""COMPUTED_VALUE"""),1.0)</f>
        <v>1</v>
      </c>
      <c r="E747" s="2">
        <f>IFERROR(__xludf.DUMMYFUNCTION("""COMPUTED_VALUE"""),18.0)</f>
        <v>18</v>
      </c>
      <c r="F747" s="2">
        <f>IFERROR(__xludf.DUMMYFUNCTION("""COMPUTED_VALUE"""),3.0)</f>
        <v>3</v>
      </c>
      <c r="G747" s="2">
        <f>IFERROR(__xludf.DUMMYFUNCTION("""COMPUTED_VALUE"""),5.0)</f>
        <v>5</v>
      </c>
      <c r="H747" s="2" t="str">
        <f>IFERROR(__xludf.DUMMYFUNCTION("""COMPUTED_VALUE"""),"Specpr.")</f>
        <v>Specpr.</v>
      </c>
      <c r="I747" s="2" t="str">
        <f>IFERROR(__xludf.DUMMYFUNCTION("""COMPUTED_VALUE"""),"Brick-Panel")</f>
        <v>Brick-Panel</v>
      </c>
      <c r="J747" s="2" t="str">
        <f>IFERROR(__xludf.DUMMYFUNCTION("""COMPUTED_VALUE"""),"Partial amenities")</f>
        <v>Partial amenities</v>
      </c>
      <c r="K747" s="2">
        <f>IFERROR(__xludf.DUMMYFUNCTION("""COMPUTED_VALUE"""),11000.0)</f>
        <v>11000</v>
      </c>
      <c r="L747" s="2">
        <f>IFERROR(__xludf.DUMMYFUNCTION("""COMPUTED_VALUE"""),57.000974)</f>
        <v>57.000974</v>
      </c>
      <c r="M747" s="2">
        <f>IFERROR(__xludf.DUMMYFUNCTION("""COMPUTED_VALUE"""),24.12127055)</f>
        <v>24.12127055</v>
      </c>
    </row>
    <row r="748">
      <c r="A748" s="2" t="str">
        <f>IFERROR(__xludf.DUMMYFUNCTION("""COMPUTED_VALUE"""),"For sale")</f>
        <v>For sale</v>
      </c>
      <c r="B748" s="2" t="str">
        <f>IFERROR(__xludf.DUMMYFUNCTION("""COMPUTED_VALUE"""),"Iļģuciems")</f>
        <v>Iļģuciems</v>
      </c>
      <c r="C748" s="2" t="str">
        <f>IFERROR(__xludf.DUMMYFUNCTION("""COMPUTED_VALUE"""),"Daugavgrīvas 132")</f>
        <v>Daugavgrīvas 132</v>
      </c>
      <c r="D748" s="2">
        <f>IFERROR(__xludf.DUMMYFUNCTION("""COMPUTED_VALUE"""),2.0)</f>
        <v>2</v>
      </c>
      <c r="E748" s="2">
        <f>IFERROR(__xludf.DUMMYFUNCTION("""COMPUTED_VALUE"""),51.0)</f>
        <v>51</v>
      </c>
      <c r="F748" s="2">
        <f>IFERROR(__xludf.DUMMYFUNCTION("""COMPUTED_VALUE"""),3.0)</f>
        <v>3</v>
      </c>
      <c r="G748" s="2">
        <f>IFERROR(__xludf.DUMMYFUNCTION("""COMPUTED_VALUE"""),5.0)</f>
        <v>5</v>
      </c>
      <c r="H748" s="2" t="str">
        <f>IFERROR(__xludf.DUMMYFUNCTION("""COMPUTED_VALUE"""),"Staļina")</f>
        <v>Staļina</v>
      </c>
      <c r="I748" s="2" t="str">
        <f>IFERROR(__xludf.DUMMYFUNCTION("""COMPUTED_VALUE"""),"Brick")</f>
        <v>Brick</v>
      </c>
      <c r="J748" s="2" t="str">
        <f>IFERROR(__xludf.DUMMYFUNCTION("""COMPUTED_VALUE"""),"All amenities")</f>
        <v>All amenities</v>
      </c>
      <c r="K748" s="2">
        <f>IFERROR(__xludf.DUMMYFUNCTION("""COMPUTED_VALUE"""),66000.0)</f>
        <v>66000</v>
      </c>
      <c r="L748" s="2">
        <f>IFERROR(__xludf.DUMMYFUNCTION("""COMPUTED_VALUE"""),56.96895055)</f>
        <v>56.96895055</v>
      </c>
      <c r="M748" s="2">
        <f>IFERROR(__xludf.DUMMYFUNCTION("""COMPUTED_VALUE"""),24.0712510907992)</f>
        <v>24.07125109</v>
      </c>
    </row>
    <row r="749">
      <c r="A749" s="2" t="str">
        <f>IFERROR(__xludf.DUMMYFUNCTION("""COMPUTED_VALUE"""),"For sale")</f>
        <v>For sale</v>
      </c>
      <c r="B749" s="2" t="str">
        <f>IFERROR(__xludf.DUMMYFUNCTION("""COMPUTED_VALUE"""),"Āgenskalns")</f>
        <v>Āgenskalns</v>
      </c>
      <c r="C749" s="2" t="str">
        <f>IFERROR(__xludf.DUMMYFUNCTION("""COMPUTED_VALUE"""),"Rododendru 14")</f>
        <v>Rododendru 14</v>
      </c>
      <c r="D749" s="2">
        <f>IFERROR(__xludf.DUMMYFUNCTION("""COMPUTED_VALUE"""),3.0)</f>
        <v>3</v>
      </c>
      <c r="E749" s="2">
        <f>IFERROR(__xludf.DUMMYFUNCTION("""COMPUTED_VALUE"""),54.0)</f>
        <v>54</v>
      </c>
      <c r="F749" s="2">
        <f>IFERROR(__xludf.DUMMYFUNCTION("""COMPUTED_VALUE"""),3.0)</f>
        <v>3</v>
      </c>
      <c r="G749" s="2">
        <f>IFERROR(__xludf.DUMMYFUNCTION("""COMPUTED_VALUE"""),5.0)</f>
        <v>5</v>
      </c>
      <c r="H749" s="2" t="str">
        <f>IFERROR(__xludf.DUMMYFUNCTION("""COMPUTED_VALUE"""),"Specpr.")</f>
        <v>Specpr.</v>
      </c>
      <c r="I749" s="2" t="str">
        <f>IFERROR(__xludf.DUMMYFUNCTION("""COMPUTED_VALUE"""),"Brick")</f>
        <v>Brick</v>
      </c>
      <c r="J749" s="2" t="str">
        <f>IFERROR(__xludf.DUMMYFUNCTION("""COMPUTED_VALUE"""),"All amenities")</f>
        <v>All amenities</v>
      </c>
      <c r="K749" s="2">
        <f>IFERROR(__xludf.DUMMYFUNCTION("""COMPUTED_VALUE"""),59000.0)</f>
        <v>59000</v>
      </c>
      <c r="L749" s="2">
        <f>IFERROR(__xludf.DUMMYFUNCTION("""COMPUTED_VALUE"""),56.9482215)</f>
        <v>56.9482215</v>
      </c>
      <c r="M749" s="2">
        <f>IFERROR(__xludf.DUMMYFUNCTION("""COMPUTED_VALUE"""),24.0498008499999)</f>
        <v>24.04980085</v>
      </c>
    </row>
    <row r="750">
      <c r="A750" s="2" t="str">
        <f>IFERROR(__xludf.DUMMYFUNCTION("""COMPUTED_VALUE"""),"For sale")</f>
        <v>For sale</v>
      </c>
      <c r="B750" s="2" t="str">
        <f>IFERROR(__xludf.DUMMYFUNCTION("""COMPUTED_VALUE"""),"Vecmīlgrāvis")</f>
        <v>Vecmīlgrāvis</v>
      </c>
      <c r="C750" s="2" t="str">
        <f>IFERROR(__xludf.DUMMYFUNCTION("""COMPUTED_VALUE"""),"Baltāsbaznīcas 23")</f>
        <v>Baltāsbaznīcas 23</v>
      </c>
      <c r="D750" s="2">
        <f>IFERROR(__xludf.DUMMYFUNCTION("""COMPUTED_VALUE"""),1.0)</f>
        <v>1</v>
      </c>
      <c r="E750" s="2">
        <f>IFERROR(__xludf.DUMMYFUNCTION("""COMPUTED_VALUE"""),24.0)</f>
        <v>24</v>
      </c>
      <c r="F750" s="2">
        <f>IFERROR(__xludf.DUMMYFUNCTION("""COMPUTED_VALUE"""),4.0)</f>
        <v>4</v>
      </c>
      <c r="G750" s="2">
        <f>IFERROR(__xludf.DUMMYFUNCTION("""COMPUTED_VALUE"""),4.0)</f>
        <v>4</v>
      </c>
      <c r="H750" s="2" t="str">
        <f>IFERROR(__xludf.DUMMYFUNCTION("""COMPUTED_VALUE"""),"Hrušč.")</f>
        <v>Hrušč.</v>
      </c>
      <c r="I750" s="2" t="str">
        <f>IFERROR(__xludf.DUMMYFUNCTION("""COMPUTED_VALUE"""),"Brick")</f>
        <v>Brick</v>
      </c>
      <c r="J750" s="2" t="str">
        <f>IFERROR(__xludf.DUMMYFUNCTION("""COMPUTED_VALUE"""),"All amenities")</f>
        <v>All amenities</v>
      </c>
      <c r="K750" s="2">
        <f>IFERROR(__xludf.DUMMYFUNCTION("""COMPUTED_VALUE"""),20700.0)</f>
        <v>20700</v>
      </c>
      <c r="L750" s="2">
        <f>IFERROR(__xludf.DUMMYFUNCTION("""COMPUTED_VALUE"""),57.0359712)</f>
        <v>57.0359712</v>
      </c>
      <c r="M750" s="2">
        <f>IFERROR(__xludf.DUMMYFUNCTION("""COMPUTED_VALUE"""),24.092222)</f>
        <v>24.092222</v>
      </c>
    </row>
    <row r="751">
      <c r="A751" s="2" t="str">
        <f>IFERROR(__xludf.DUMMYFUNCTION("""COMPUTED_VALUE"""),"For rent")</f>
        <v>For rent</v>
      </c>
      <c r="B751" s="2" t="str">
        <f>IFERROR(__xludf.DUMMYFUNCTION("""COMPUTED_VALUE"""),"Purvciems")</f>
        <v>Purvciems</v>
      </c>
      <c r="C751" s="2" t="str">
        <f>IFERROR(__xludf.DUMMYFUNCTION("""COMPUTED_VALUE"""),"Marsa g. 6")</f>
        <v>Marsa g. 6</v>
      </c>
      <c r="D751" s="2">
        <f>IFERROR(__xludf.DUMMYFUNCTION("""COMPUTED_VALUE"""),2.0)</f>
        <v>2</v>
      </c>
      <c r="E751" s="2">
        <f>IFERROR(__xludf.DUMMYFUNCTION("""COMPUTED_VALUE"""),50.0)</f>
        <v>50</v>
      </c>
      <c r="F751" s="2">
        <f>IFERROR(__xludf.DUMMYFUNCTION("""COMPUTED_VALUE"""),1.0)</f>
        <v>1</v>
      </c>
      <c r="G751" s="2">
        <f>IFERROR(__xludf.DUMMYFUNCTION("""COMPUTED_VALUE"""),5.0)</f>
        <v>5</v>
      </c>
      <c r="H751" s="2" t="str">
        <f>IFERROR(__xludf.DUMMYFUNCTION("""COMPUTED_VALUE"""),"LT proj.")</f>
        <v>LT proj.</v>
      </c>
      <c r="I751" s="2" t="str">
        <f>IFERROR(__xludf.DUMMYFUNCTION("""COMPUTED_VALUE"""),"Panel")</f>
        <v>Panel</v>
      </c>
      <c r="J751" s="2" t="str">
        <f>IFERROR(__xludf.DUMMYFUNCTION("""COMPUTED_VALUE"""),"All amenities")</f>
        <v>All amenities</v>
      </c>
      <c r="K751" s="2">
        <f>IFERROR(__xludf.DUMMYFUNCTION("""COMPUTED_VALUE"""),350.0)</f>
        <v>350</v>
      </c>
      <c r="L751" s="2">
        <f>IFERROR(__xludf.DUMMYFUNCTION("""COMPUTED_VALUE"""),56.9518384)</f>
        <v>56.9518384</v>
      </c>
      <c r="M751" s="2">
        <f>IFERROR(__xludf.DUMMYFUNCTION("""COMPUTED_VALUE"""),24.1999196)</f>
        <v>24.1999196</v>
      </c>
    </row>
    <row r="752">
      <c r="A752" s="2" t="str">
        <f>IFERROR(__xludf.DUMMYFUNCTION("""COMPUTED_VALUE"""),"For rent")</f>
        <v>For rent</v>
      </c>
      <c r="B752" s="2" t="str">
        <f>IFERROR(__xludf.DUMMYFUNCTION("""COMPUTED_VALUE"""),"centrs")</f>
        <v>centrs</v>
      </c>
      <c r="C752" s="2" t="str">
        <f>IFERROR(__xludf.DUMMYFUNCTION("""COMPUTED_VALUE"""),"Elizabetes 9")</f>
        <v>Elizabetes 9</v>
      </c>
      <c r="D752" s="2">
        <f>IFERROR(__xludf.DUMMYFUNCTION("""COMPUTED_VALUE"""),2.0)</f>
        <v>2</v>
      </c>
      <c r="E752" s="2">
        <f>IFERROR(__xludf.DUMMYFUNCTION("""COMPUTED_VALUE"""),57.0)</f>
        <v>57</v>
      </c>
      <c r="F752" s="2">
        <f>IFERROR(__xludf.DUMMYFUNCTION("""COMPUTED_VALUE"""),2.0)</f>
        <v>2</v>
      </c>
      <c r="G752" s="2">
        <f>IFERROR(__xludf.DUMMYFUNCTION("""COMPUTED_VALUE"""),5.0)</f>
        <v>5</v>
      </c>
      <c r="H752" s="2" t="str">
        <f>IFERROR(__xludf.DUMMYFUNCTION("""COMPUTED_VALUE"""),"P. kara")</f>
        <v>P. kara</v>
      </c>
      <c r="I752" s="2" t="str">
        <f>IFERROR(__xludf.DUMMYFUNCTION("""COMPUTED_VALUE"""),"Masonry")</f>
        <v>Masonry</v>
      </c>
      <c r="J752" s="2" t="str">
        <f>IFERROR(__xludf.DUMMYFUNCTION("""COMPUTED_VALUE"""),"All amenities")</f>
        <v>All amenities</v>
      </c>
      <c r="K752" s="2">
        <f>IFERROR(__xludf.DUMMYFUNCTION("""COMPUTED_VALUE"""),500.0)</f>
        <v>500</v>
      </c>
      <c r="L752" s="2">
        <f>IFERROR(__xludf.DUMMYFUNCTION("""COMPUTED_VALUE"""),56.9592539)</f>
        <v>56.9592539</v>
      </c>
      <c r="M752" s="2">
        <f>IFERROR(__xludf.DUMMYFUNCTION("""COMPUTED_VALUE"""),24.100972)</f>
        <v>24.100972</v>
      </c>
    </row>
    <row r="753">
      <c r="A753" s="2" t="str">
        <f>IFERROR(__xludf.DUMMYFUNCTION("""COMPUTED_VALUE"""),"For rent")</f>
        <v>For rent</v>
      </c>
      <c r="B753" s="2" t="str">
        <f>IFERROR(__xludf.DUMMYFUNCTION("""COMPUTED_VALUE"""),"Jugla")</f>
        <v>Jugla</v>
      </c>
      <c r="C753" s="2" t="str">
        <f>IFERROR(__xludf.DUMMYFUNCTION("""COMPUTED_VALUE"""),"Juglas 12")</f>
        <v>Juglas 12</v>
      </c>
      <c r="D753" s="2">
        <f>IFERROR(__xludf.DUMMYFUNCTION("""COMPUTED_VALUE"""),2.0)</f>
        <v>2</v>
      </c>
      <c r="E753" s="2">
        <f>IFERROR(__xludf.DUMMYFUNCTION("""COMPUTED_VALUE"""),60.0)</f>
        <v>60</v>
      </c>
      <c r="F753" s="2">
        <f>IFERROR(__xludf.DUMMYFUNCTION("""COMPUTED_VALUE"""),12.0)</f>
        <v>12</v>
      </c>
      <c r="G753" s="2">
        <f>IFERROR(__xludf.DUMMYFUNCTION("""COMPUTED_VALUE"""),12.0)</f>
        <v>12</v>
      </c>
      <c r="H753" s="2">
        <f>IFERROR(__xludf.DUMMYFUNCTION("""COMPUTED_VALUE"""),104.0)</f>
        <v>104</v>
      </c>
      <c r="I753" s="2" t="str">
        <f>IFERROR(__xludf.DUMMYFUNCTION("""COMPUTED_VALUE"""),"Brick-Panel")</f>
        <v>Brick-Panel</v>
      </c>
      <c r="J753" s="2" t="str">
        <f>IFERROR(__xludf.DUMMYFUNCTION("""COMPUTED_VALUE"""),"All amenities")</f>
        <v>All amenities</v>
      </c>
      <c r="K753" s="2">
        <f>IFERROR(__xludf.DUMMYFUNCTION("""COMPUTED_VALUE"""),330.0)</f>
        <v>330</v>
      </c>
      <c r="L753" s="2">
        <f>IFERROR(__xludf.DUMMYFUNCTION("""COMPUTED_VALUE"""),56.9847727)</f>
        <v>56.9847727</v>
      </c>
      <c r="M753" s="2">
        <f>IFERROR(__xludf.DUMMYFUNCTION("""COMPUTED_VALUE"""),24.2491213725003)</f>
        <v>24.24912137</v>
      </c>
    </row>
    <row r="754">
      <c r="A754" s="2" t="str">
        <f>IFERROR(__xludf.DUMMYFUNCTION("""COMPUTED_VALUE"""),"For rent")</f>
        <v>For rent</v>
      </c>
      <c r="B754" s="2" t="str">
        <f>IFERROR(__xludf.DUMMYFUNCTION("""COMPUTED_VALUE"""),"centrs")</f>
        <v>centrs</v>
      </c>
      <c r="C754" s="2" t="str">
        <f>IFERROR(__xludf.DUMMYFUNCTION("""COMPUTED_VALUE"""),"Pērnavas 14")</f>
        <v>Pērnavas 14</v>
      </c>
      <c r="D754" s="2">
        <f>IFERROR(__xludf.DUMMYFUNCTION("""COMPUTED_VALUE"""),2.0)</f>
        <v>2</v>
      </c>
      <c r="E754" s="2">
        <f>IFERROR(__xludf.DUMMYFUNCTION("""COMPUTED_VALUE"""),42.0)</f>
        <v>42</v>
      </c>
      <c r="F754" s="2">
        <f>IFERROR(__xludf.DUMMYFUNCTION("""COMPUTED_VALUE"""),4.0)</f>
        <v>4</v>
      </c>
      <c r="G754" s="2">
        <f>IFERROR(__xludf.DUMMYFUNCTION("""COMPUTED_VALUE"""),5.0)</f>
        <v>5</v>
      </c>
      <c r="H754" s="2" t="str">
        <f>IFERROR(__xludf.DUMMYFUNCTION("""COMPUTED_VALUE"""),"Hrušč.")</f>
        <v>Hrušč.</v>
      </c>
      <c r="I754" s="2" t="str">
        <f>IFERROR(__xludf.DUMMYFUNCTION("""COMPUTED_VALUE"""),"Brick")</f>
        <v>Brick</v>
      </c>
      <c r="J754" s="2" t="str">
        <f>IFERROR(__xludf.DUMMYFUNCTION("""COMPUTED_VALUE"""),"All amenities")</f>
        <v>All amenities</v>
      </c>
      <c r="K754" s="2">
        <f>IFERROR(__xludf.DUMMYFUNCTION("""COMPUTED_VALUE"""),340.0)</f>
        <v>340</v>
      </c>
      <c r="L754" s="2">
        <f>IFERROR(__xludf.DUMMYFUNCTION("""COMPUTED_VALUE"""),56.9639569)</f>
        <v>56.9639569</v>
      </c>
      <c r="M754" s="2">
        <f>IFERROR(__xludf.DUMMYFUNCTION("""COMPUTED_VALUE"""),24.14978065)</f>
        <v>24.14978065</v>
      </c>
    </row>
    <row r="755">
      <c r="A755" s="2" t="str">
        <f>IFERROR(__xludf.DUMMYFUNCTION("""COMPUTED_VALUE"""),"For sale")</f>
        <v>For sale</v>
      </c>
      <c r="B755" s="2" t="str">
        <f>IFERROR(__xludf.DUMMYFUNCTION("""COMPUTED_VALUE"""),"centrs")</f>
        <v>centrs</v>
      </c>
      <c r="C755" s="2" t="str">
        <f>IFERROR(__xludf.DUMMYFUNCTION("""COMPUTED_VALUE"""),"Dzirnavu 18")</f>
        <v>Dzirnavu 18</v>
      </c>
      <c r="D755" s="2">
        <f>IFERROR(__xludf.DUMMYFUNCTION("""COMPUTED_VALUE"""),3.0)</f>
        <v>3</v>
      </c>
      <c r="E755" s="2">
        <f>IFERROR(__xludf.DUMMYFUNCTION("""COMPUTED_VALUE"""),60.0)</f>
        <v>60</v>
      </c>
      <c r="F755" s="2">
        <f>IFERROR(__xludf.DUMMYFUNCTION("""COMPUTED_VALUE"""),2.0)</f>
        <v>2</v>
      </c>
      <c r="G755" s="2">
        <f>IFERROR(__xludf.DUMMYFUNCTION("""COMPUTED_VALUE"""),4.0)</f>
        <v>4</v>
      </c>
      <c r="H755" s="2" t="str">
        <f>IFERROR(__xludf.DUMMYFUNCTION("""COMPUTED_VALUE"""),"P. kara")</f>
        <v>P. kara</v>
      </c>
      <c r="I755" s="2" t="str">
        <f>IFERROR(__xludf.DUMMYFUNCTION("""COMPUTED_VALUE"""),"Masonry")</f>
        <v>Masonry</v>
      </c>
      <c r="J755" s="2" t="str">
        <f>IFERROR(__xludf.DUMMYFUNCTION("""COMPUTED_VALUE"""),"All amenities")</f>
        <v>All amenities</v>
      </c>
      <c r="K755" s="2">
        <f>IFERROR(__xludf.DUMMYFUNCTION("""COMPUTED_VALUE"""),119000.0)</f>
        <v>119000</v>
      </c>
      <c r="L755" s="2">
        <f>IFERROR(__xludf.DUMMYFUNCTION("""COMPUTED_VALUE"""),56.9599049)</f>
        <v>56.9599049</v>
      </c>
      <c r="M755" s="2">
        <f>IFERROR(__xludf.DUMMYFUNCTION("""COMPUTED_VALUE"""),24.1100557075465)</f>
        <v>24.11005571</v>
      </c>
    </row>
    <row r="756">
      <c r="A756" s="2" t="str">
        <f>IFERROR(__xludf.DUMMYFUNCTION("""COMPUTED_VALUE"""),"For rent")</f>
        <v>For rent</v>
      </c>
      <c r="B756" s="2" t="str">
        <f>IFERROR(__xludf.DUMMYFUNCTION("""COMPUTED_VALUE"""),"Ziepniekkalns")</f>
        <v>Ziepniekkalns</v>
      </c>
      <c r="C756" s="2" t="str">
        <f>IFERROR(__xludf.DUMMYFUNCTION("""COMPUTED_VALUE"""),"Ozolciema 8")</f>
        <v>Ozolciema 8</v>
      </c>
      <c r="D756" s="2">
        <f>IFERROR(__xludf.DUMMYFUNCTION("""COMPUTED_VALUE"""),1.0)</f>
        <v>1</v>
      </c>
      <c r="E756" s="2">
        <f>IFERROR(__xludf.DUMMYFUNCTION("""COMPUTED_VALUE"""),32.0)</f>
        <v>32</v>
      </c>
      <c r="F756" s="2">
        <f>IFERROR(__xludf.DUMMYFUNCTION("""COMPUTED_VALUE"""),1.0)</f>
        <v>1</v>
      </c>
      <c r="G756" s="2">
        <f>IFERROR(__xludf.DUMMYFUNCTION("""COMPUTED_VALUE"""),9.0)</f>
        <v>9</v>
      </c>
      <c r="H756" s="2" t="str">
        <f>IFERROR(__xludf.DUMMYFUNCTION("""COMPUTED_VALUE"""),"Specpr.")</f>
        <v>Specpr.</v>
      </c>
      <c r="I756" s="2" t="str">
        <f>IFERROR(__xludf.DUMMYFUNCTION("""COMPUTED_VALUE"""),"Brick")</f>
        <v>Brick</v>
      </c>
      <c r="J756" s="2" t="str">
        <f>IFERROR(__xludf.DUMMYFUNCTION("""COMPUTED_VALUE"""),"All amenities")</f>
        <v>All amenities</v>
      </c>
      <c r="K756" s="2">
        <f>IFERROR(__xludf.DUMMYFUNCTION("""COMPUTED_VALUE"""),220.0)</f>
        <v>220</v>
      </c>
      <c r="L756" s="2">
        <f>IFERROR(__xludf.DUMMYFUNCTION("""COMPUTED_VALUE"""),56.8989409)</f>
        <v>56.8989409</v>
      </c>
      <c r="M756" s="2">
        <f>IFERROR(__xludf.DUMMYFUNCTION("""COMPUTED_VALUE"""),24.0833892577372)</f>
        <v>24.08338926</v>
      </c>
    </row>
    <row r="757">
      <c r="A757" s="2" t="str">
        <f>IFERROR(__xludf.DUMMYFUNCTION("""COMPUTED_VALUE"""),"For sale")</f>
        <v>For sale</v>
      </c>
      <c r="B757" s="2" t="str">
        <f>IFERROR(__xludf.DUMMYFUNCTION("""COMPUTED_VALUE"""),"centrs")</f>
        <v>centrs</v>
      </c>
      <c r="C757" s="2" t="str">
        <f>IFERROR(__xludf.DUMMYFUNCTION("""COMPUTED_VALUE"""),"Raiņa bulv. 31")</f>
        <v>Raiņa bulv. 31</v>
      </c>
      <c r="D757" s="2">
        <f>IFERROR(__xludf.DUMMYFUNCTION("""COMPUTED_VALUE"""),5.0)</f>
        <v>5</v>
      </c>
      <c r="E757" s="2">
        <f>IFERROR(__xludf.DUMMYFUNCTION("""COMPUTED_VALUE"""),154.0)</f>
        <v>154</v>
      </c>
      <c r="F757" s="2">
        <f>IFERROR(__xludf.DUMMYFUNCTION("""COMPUTED_VALUE"""),2.0)</f>
        <v>2</v>
      </c>
      <c r="G757" s="2">
        <f>IFERROR(__xludf.DUMMYFUNCTION("""COMPUTED_VALUE"""),5.0)</f>
        <v>5</v>
      </c>
      <c r="H757" s="2" t="str">
        <f>IFERROR(__xludf.DUMMYFUNCTION("""COMPUTED_VALUE"""),"P. kara")</f>
        <v>P. kara</v>
      </c>
      <c r="I757" s="2" t="str">
        <f>IFERROR(__xludf.DUMMYFUNCTION("""COMPUTED_VALUE"""),"Brick")</f>
        <v>Brick</v>
      </c>
      <c r="J757" s="2" t="str">
        <f>IFERROR(__xludf.DUMMYFUNCTION("""COMPUTED_VALUE"""),"All amenities")</f>
        <v>All amenities</v>
      </c>
      <c r="K757" s="2">
        <f>IFERROR(__xludf.DUMMYFUNCTION("""COMPUTED_VALUE"""),333000.0)</f>
        <v>333000</v>
      </c>
      <c r="L757" s="2" t="str">
        <f>IFERROR(__xludf.DUMMYFUNCTION("""COMPUTED_VALUE"""),"NaN")</f>
        <v>NaN</v>
      </c>
      <c r="M757" s="2" t="str">
        <f>IFERROR(__xludf.DUMMYFUNCTION("""COMPUTED_VALUE"""),"NaN")</f>
        <v>NaN</v>
      </c>
    </row>
    <row r="758">
      <c r="A758" s="2" t="str">
        <f>IFERROR(__xludf.DUMMYFUNCTION("""COMPUTED_VALUE"""),"For rent")</f>
        <v>For rent</v>
      </c>
      <c r="B758" s="2" t="str">
        <f>IFERROR(__xludf.DUMMYFUNCTION("""COMPUTED_VALUE"""),"Bolderāja")</f>
        <v>Bolderāja</v>
      </c>
      <c r="C758" s="2" t="str">
        <f>IFERROR(__xludf.DUMMYFUNCTION("""COMPUTED_VALUE"""),"Lemešu 7")</f>
        <v>Lemešu 7</v>
      </c>
      <c r="D758" s="2">
        <f>IFERROR(__xludf.DUMMYFUNCTION("""COMPUTED_VALUE"""),2.0)</f>
        <v>2</v>
      </c>
      <c r="E758" s="2">
        <f>IFERROR(__xludf.DUMMYFUNCTION("""COMPUTED_VALUE"""),50.0)</f>
        <v>50</v>
      </c>
      <c r="F758" s="2">
        <f>IFERROR(__xludf.DUMMYFUNCTION("""COMPUTED_VALUE"""),6.0)</f>
        <v>6</v>
      </c>
      <c r="G758" s="2">
        <f>IFERROR(__xludf.DUMMYFUNCTION("""COMPUTED_VALUE"""),9.0)</f>
        <v>9</v>
      </c>
      <c r="H758" s="2">
        <f>IFERROR(__xludf.DUMMYFUNCTION("""COMPUTED_VALUE"""),602.0)</f>
        <v>602</v>
      </c>
      <c r="I758" s="2" t="str">
        <f>IFERROR(__xludf.DUMMYFUNCTION("""COMPUTED_VALUE"""),"Panel")</f>
        <v>Panel</v>
      </c>
      <c r="J758" s="2" t="str">
        <f>IFERROR(__xludf.DUMMYFUNCTION("""COMPUTED_VALUE"""),"All amenities")</f>
        <v>All amenities</v>
      </c>
      <c r="K758" s="2">
        <f>IFERROR(__xludf.DUMMYFUNCTION("""COMPUTED_VALUE"""),220.0)</f>
        <v>220</v>
      </c>
      <c r="L758" s="2">
        <f>IFERROR(__xludf.DUMMYFUNCTION("""COMPUTED_VALUE"""),57.0327107)</f>
        <v>57.0327107</v>
      </c>
      <c r="M758" s="2">
        <f>IFERROR(__xludf.DUMMYFUNCTION("""COMPUTED_VALUE"""),24.0550827)</f>
        <v>24.0550827</v>
      </c>
    </row>
    <row r="759">
      <c r="A759" s="2" t="str">
        <f>IFERROR(__xludf.DUMMYFUNCTION("""COMPUTED_VALUE"""),"For sale")</f>
        <v>For sale</v>
      </c>
      <c r="B759" s="2" t="str">
        <f>IFERROR(__xludf.DUMMYFUNCTION("""COMPUTED_VALUE"""),"Ziepniekkalns")</f>
        <v>Ziepniekkalns</v>
      </c>
      <c r="C759" s="2" t="str">
        <f>IFERROR(__xludf.DUMMYFUNCTION("""COMPUTED_VALUE"""),"Mālu 7")</f>
        <v>Mālu 7</v>
      </c>
      <c r="D759" s="2">
        <f>IFERROR(__xludf.DUMMYFUNCTION("""COMPUTED_VALUE"""),2.0)</f>
        <v>2</v>
      </c>
      <c r="E759" s="2">
        <f>IFERROR(__xludf.DUMMYFUNCTION("""COMPUTED_VALUE"""),54.0)</f>
        <v>54</v>
      </c>
      <c r="F759" s="2">
        <f>IFERROR(__xludf.DUMMYFUNCTION("""COMPUTED_VALUE"""),4.0)</f>
        <v>4</v>
      </c>
      <c r="G759" s="2">
        <f>IFERROR(__xludf.DUMMYFUNCTION("""COMPUTED_VALUE"""),6.0)</f>
        <v>6</v>
      </c>
      <c r="H759" s="2" t="str">
        <f>IFERROR(__xludf.DUMMYFUNCTION("""COMPUTED_VALUE"""),"Specpr.")</f>
        <v>Specpr.</v>
      </c>
      <c r="I759" s="2" t="str">
        <f>IFERROR(__xludf.DUMMYFUNCTION("""COMPUTED_VALUE"""),"Brick")</f>
        <v>Brick</v>
      </c>
      <c r="J759" s="2" t="str">
        <f>IFERROR(__xludf.DUMMYFUNCTION("""COMPUTED_VALUE"""),"All amenities")</f>
        <v>All amenities</v>
      </c>
      <c r="K759" s="2">
        <f>IFERROR(__xludf.DUMMYFUNCTION("""COMPUTED_VALUE"""),65000.0)</f>
        <v>65000</v>
      </c>
      <c r="L759" s="2">
        <f>IFERROR(__xludf.DUMMYFUNCTION("""COMPUTED_VALUE"""),56.9125204)</f>
        <v>56.9125204</v>
      </c>
      <c r="M759" s="2">
        <f>IFERROR(__xludf.DUMMYFUNCTION("""COMPUTED_VALUE"""),24.1026835316779)</f>
        <v>24.10268353</v>
      </c>
    </row>
    <row r="760">
      <c r="A760" s="2" t="str">
        <f>IFERROR(__xludf.DUMMYFUNCTION("""COMPUTED_VALUE"""),"For rent")</f>
        <v>For rent</v>
      </c>
      <c r="B760" s="2" t="str">
        <f>IFERROR(__xludf.DUMMYFUNCTION("""COMPUTED_VALUE"""),"centrs")</f>
        <v>centrs</v>
      </c>
      <c r="C760" s="2" t="str">
        <f>IFERROR(__xludf.DUMMYFUNCTION("""COMPUTED_VALUE"""),"Ģertrūdes 129")</f>
        <v>Ģertrūdes 129</v>
      </c>
      <c r="D760" s="2">
        <f>IFERROR(__xludf.DUMMYFUNCTION("""COMPUTED_VALUE"""),2.0)</f>
        <v>2</v>
      </c>
      <c r="E760" s="2">
        <f>IFERROR(__xludf.DUMMYFUNCTION("""COMPUTED_VALUE"""),37.0)</f>
        <v>37</v>
      </c>
      <c r="F760" s="2">
        <f>IFERROR(__xludf.DUMMYFUNCTION("""COMPUTED_VALUE"""),4.0)</f>
        <v>4</v>
      </c>
      <c r="G760" s="2">
        <f>IFERROR(__xludf.DUMMYFUNCTION("""COMPUTED_VALUE"""),5.0)</f>
        <v>5</v>
      </c>
      <c r="H760" s="2" t="str">
        <f>IFERROR(__xludf.DUMMYFUNCTION("""COMPUTED_VALUE"""),"Renov.")</f>
        <v>Renov.</v>
      </c>
      <c r="I760" s="2" t="str">
        <f>IFERROR(__xludf.DUMMYFUNCTION("""COMPUTED_VALUE"""),"Brick")</f>
        <v>Brick</v>
      </c>
      <c r="J760" s="2" t="str">
        <f>IFERROR(__xludf.DUMMYFUNCTION("""COMPUTED_VALUE"""),"All amenities")</f>
        <v>All amenities</v>
      </c>
      <c r="K760" s="2">
        <f>IFERROR(__xludf.DUMMYFUNCTION("""COMPUTED_VALUE"""),35.0)</f>
        <v>35</v>
      </c>
      <c r="L760" s="2">
        <f>IFERROR(__xludf.DUMMYFUNCTION("""COMPUTED_VALUE"""),56.9477411)</f>
        <v>56.9477411</v>
      </c>
      <c r="M760" s="2">
        <f>IFERROR(__xludf.DUMMYFUNCTION("""COMPUTED_VALUE"""),24.1417055671983)</f>
        <v>24.14170557</v>
      </c>
    </row>
    <row r="761">
      <c r="A761" s="2" t="str">
        <f>IFERROR(__xludf.DUMMYFUNCTION("""COMPUTED_VALUE"""),"For rent")</f>
        <v>For rent</v>
      </c>
      <c r="B761" s="2" t="str">
        <f>IFERROR(__xludf.DUMMYFUNCTION("""COMPUTED_VALUE"""),"Imanta")</f>
        <v>Imanta</v>
      </c>
      <c r="C761" s="2" t="str">
        <f>IFERROR(__xludf.DUMMYFUNCTION("""COMPUTED_VALUE"""),"Anniņmuižas bulvāris 38")</f>
        <v>Anniņmuižas bulvāris 38</v>
      </c>
      <c r="D761" s="2">
        <f>IFERROR(__xludf.DUMMYFUNCTION("""COMPUTED_VALUE"""),1.0)</f>
        <v>1</v>
      </c>
      <c r="E761" s="2">
        <f>IFERROR(__xludf.DUMMYFUNCTION("""COMPUTED_VALUE"""),52.0)</f>
        <v>52</v>
      </c>
      <c r="F761" s="2">
        <f>IFERROR(__xludf.DUMMYFUNCTION("""COMPUTED_VALUE"""),6.0)</f>
        <v>6</v>
      </c>
      <c r="G761" s="2">
        <f>IFERROR(__xludf.DUMMYFUNCTION("""COMPUTED_VALUE"""),15.0)</f>
        <v>15</v>
      </c>
      <c r="H761" s="2" t="str">
        <f>IFERROR(__xludf.DUMMYFUNCTION("""COMPUTED_VALUE"""),"Jaun.")</f>
        <v>Jaun.</v>
      </c>
      <c r="I761" s="2" t="str">
        <f>IFERROR(__xludf.DUMMYFUNCTION("""COMPUTED_VALUE"""),"Brick-Panel")</f>
        <v>Brick-Panel</v>
      </c>
      <c r="J761" s="2" t="str">
        <f>IFERROR(__xludf.DUMMYFUNCTION("""COMPUTED_VALUE"""),"All amenities")</f>
        <v>All amenities</v>
      </c>
      <c r="K761" s="2">
        <f>IFERROR(__xludf.DUMMYFUNCTION("""COMPUTED_VALUE"""),390.0)</f>
        <v>390</v>
      </c>
      <c r="L761" s="2">
        <f>IFERROR(__xludf.DUMMYFUNCTION("""COMPUTED_VALUE"""),56.96112105)</f>
        <v>56.96112105</v>
      </c>
      <c r="M761" s="2">
        <f>IFERROR(__xludf.DUMMYFUNCTION("""COMPUTED_VALUE"""),24.01821679525)</f>
        <v>24.0182168</v>
      </c>
    </row>
    <row r="762">
      <c r="A762" s="2" t="str">
        <f>IFERROR(__xludf.DUMMYFUNCTION("""COMPUTED_VALUE"""),"For rent")</f>
        <v>For rent</v>
      </c>
      <c r="B762" s="2" t="str">
        <f>IFERROR(__xludf.DUMMYFUNCTION("""COMPUTED_VALUE"""),"Sarkandaugava")</f>
        <v>Sarkandaugava</v>
      </c>
      <c r="C762" s="2" t="str">
        <f>IFERROR(__xludf.DUMMYFUNCTION("""COMPUTED_VALUE"""),"Pededzes 4")</f>
        <v>Pededzes 4</v>
      </c>
      <c r="D762" s="2">
        <f>IFERROR(__xludf.DUMMYFUNCTION("""COMPUTED_VALUE"""),2.0)</f>
        <v>2</v>
      </c>
      <c r="E762" s="2">
        <f>IFERROR(__xludf.DUMMYFUNCTION("""COMPUTED_VALUE"""),42.0)</f>
        <v>42</v>
      </c>
      <c r="F762" s="2">
        <f>IFERROR(__xludf.DUMMYFUNCTION("""COMPUTED_VALUE"""),3.0)</f>
        <v>3</v>
      </c>
      <c r="G762" s="2">
        <f>IFERROR(__xludf.DUMMYFUNCTION("""COMPUTED_VALUE"""),5.0)</f>
        <v>5</v>
      </c>
      <c r="H762" s="2" t="str">
        <f>IFERROR(__xludf.DUMMYFUNCTION("""COMPUTED_VALUE"""),"Hrušč.")</f>
        <v>Hrušč.</v>
      </c>
      <c r="I762" s="2" t="str">
        <f>IFERROR(__xludf.DUMMYFUNCTION("""COMPUTED_VALUE"""),"Brick")</f>
        <v>Brick</v>
      </c>
      <c r="J762" s="2" t="str">
        <f>IFERROR(__xludf.DUMMYFUNCTION("""COMPUTED_VALUE"""),"All amenities")</f>
        <v>All amenities</v>
      </c>
      <c r="K762" s="2">
        <f>IFERROR(__xludf.DUMMYFUNCTION("""COMPUTED_VALUE"""),240.0)</f>
        <v>240</v>
      </c>
      <c r="L762" s="2">
        <f>IFERROR(__xludf.DUMMYFUNCTION("""COMPUTED_VALUE"""),56.9879162)</f>
        <v>56.9879162</v>
      </c>
      <c r="M762" s="2">
        <f>IFERROR(__xludf.DUMMYFUNCTION("""COMPUTED_VALUE"""),24.1350144)</f>
        <v>24.1350144</v>
      </c>
    </row>
    <row r="763">
      <c r="A763" s="2" t="str">
        <f>IFERROR(__xludf.DUMMYFUNCTION("""COMPUTED_VALUE"""),"For sale")</f>
        <v>For sale</v>
      </c>
      <c r="B763" s="2" t="str">
        <f>IFERROR(__xludf.DUMMYFUNCTION("""COMPUTED_VALUE"""),"Ziepniekkalns")</f>
        <v>Ziepniekkalns</v>
      </c>
      <c r="C763" s="2" t="str">
        <f>IFERROR(__xludf.DUMMYFUNCTION("""COMPUTED_VALUE"""),"Ozolciema 52")</f>
        <v>Ozolciema 52</v>
      </c>
      <c r="D763" s="2">
        <f>IFERROR(__xludf.DUMMYFUNCTION("""COMPUTED_VALUE"""),1.0)</f>
        <v>1</v>
      </c>
      <c r="E763" s="2">
        <f>IFERROR(__xludf.DUMMYFUNCTION("""COMPUTED_VALUE"""),40.0)</f>
        <v>40</v>
      </c>
      <c r="F763" s="2">
        <f>IFERROR(__xludf.DUMMYFUNCTION("""COMPUTED_VALUE"""),1.0)</f>
        <v>1</v>
      </c>
      <c r="G763" s="2">
        <f>IFERROR(__xludf.DUMMYFUNCTION("""COMPUTED_VALUE"""),9.0)</f>
        <v>9</v>
      </c>
      <c r="H763" s="2" t="str">
        <f>IFERROR(__xludf.DUMMYFUNCTION("""COMPUTED_VALUE"""),"M. ģim.")</f>
        <v>M. ģim.</v>
      </c>
      <c r="I763" s="2" t="str">
        <f>IFERROR(__xludf.DUMMYFUNCTION("""COMPUTED_VALUE"""),"Panel")</f>
        <v>Panel</v>
      </c>
      <c r="J763" s="2" t="str">
        <f>IFERROR(__xludf.DUMMYFUNCTION("""COMPUTED_VALUE"""),"All amenities")</f>
        <v>All amenities</v>
      </c>
      <c r="K763" s="2">
        <f>IFERROR(__xludf.DUMMYFUNCTION("""COMPUTED_VALUE"""),37000.0)</f>
        <v>37000</v>
      </c>
      <c r="L763" s="2">
        <f>IFERROR(__xludf.DUMMYFUNCTION("""COMPUTED_VALUE"""),56.9010095999999)</f>
        <v>56.9010096</v>
      </c>
      <c r="M763" s="2">
        <f>IFERROR(__xludf.DUMMYFUNCTION("""COMPUTED_VALUE"""),24.0999756383549)</f>
        <v>24.09997564</v>
      </c>
    </row>
    <row r="764">
      <c r="A764" s="2" t="str">
        <f>IFERROR(__xludf.DUMMYFUNCTION("""COMPUTED_VALUE"""),"For sale")</f>
        <v>For sale</v>
      </c>
      <c r="B764" s="2" t="str">
        <f>IFERROR(__xludf.DUMMYFUNCTION("""COMPUTED_VALUE"""),"Vecmīlgrāvis")</f>
        <v>Vecmīlgrāvis</v>
      </c>
      <c r="C764" s="2" t="str">
        <f>IFERROR(__xludf.DUMMYFUNCTION("""COMPUTED_VALUE"""),"Dombrovska 41")</f>
        <v>Dombrovska 41</v>
      </c>
      <c r="D764" s="2">
        <f>IFERROR(__xludf.DUMMYFUNCTION("""COMPUTED_VALUE"""),3.0)</f>
        <v>3</v>
      </c>
      <c r="E764" s="2">
        <f>IFERROR(__xludf.DUMMYFUNCTION("""COMPUTED_VALUE"""),63.0)</f>
        <v>63</v>
      </c>
      <c r="F764" s="2">
        <f>IFERROR(__xludf.DUMMYFUNCTION("""COMPUTED_VALUE"""),5.0)</f>
        <v>5</v>
      </c>
      <c r="G764" s="2">
        <f>IFERROR(__xludf.DUMMYFUNCTION("""COMPUTED_VALUE"""),9.0)</f>
        <v>9</v>
      </c>
      <c r="H764" s="2">
        <f>IFERROR(__xludf.DUMMYFUNCTION("""COMPUTED_VALUE"""),602.0)</f>
        <v>602</v>
      </c>
      <c r="I764" s="2" t="str">
        <f>IFERROR(__xludf.DUMMYFUNCTION("""COMPUTED_VALUE"""),"Panel")</f>
        <v>Panel</v>
      </c>
      <c r="J764" s="2" t="str">
        <f>IFERROR(__xludf.DUMMYFUNCTION("""COMPUTED_VALUE"""),"All amenities")</f>
        <v>All amenities</v>
      </c>
      <c r="K764" s="2">
        <f>IFERROR(__xludf.DUMMYFUNCTION("""COMPUTED_VALUE"""),60000.0)</f>
        <v>60000</v>
      </c>
      <c r="L764" s="2">
        <f>IFERROR(__xludf.DUMMYFUNCTION("""COMPUTED_VALUE"""),57.0336529)</f>
        <v>57.0336529</v>
      </c>
      <c r="M764" s="2">
        <f>IFERROR(__xludf.DUMMYFUNCTION("""COMPUTED_VALUE"""),24.1036270773076)</f>
        <v>24.10362708</v>
      </c>
    </row>
    <row r="765">
      <c r="A765" s="2" t="str">
        <f>IFERROR(__xludf.DUMMYFUNCTION("""COMPUTED_VALUE"""),"For rent")</f>
        <v>For rent</v>
      </c>
      <c r="B765" s="2" t="str">
        <f>IFERROR(__xludf.DUMMYFUNCTION("""COMPUTED_VALUE"""),"centrs")</f>
        <v>centrs</v>
      </c>
      <c r="C765" s="2" t="str">
        <f>IFERROR(__xludf.DUMMYFUNCTION("""COMPUTED_VALUE"""),"Lāčplēša 16")</f>
        <v>Lāčplēša 16</v>
      </c>
      <c r="D765" s="2">
        <f>IFERROR(__xludf.DUMMYFUNCTION("""COMPUTED_VALUE"""),1.0)</f>
        <v>1</v>
      </c>
      <c r="E765" s="2">
        <f>IFERROR(__xludf.DUMMYFUNCTION("""COMPUTED_VALUE"""),20.0)</f>
        <v>20</v>
      </c>
      <c r="F765" s="2">
        <f>IFERROR(__xludf.DUMMYFUNCTION("""COMPUTED_VALUE"""),5.0)</f>
        <v>5</v>
      </c>
      <c r="G765" s="2">
        <f>IFERROR(__xludf.DUMMYFUNCTION("""COMPUTED_VALUE"""),6.0)</f>
        <v>6</v>
      </c>
      <c r="H765" s="2" t="str">
        <f>IFERROR(__xludf.DUMMYFUNCTION("""COMPUTED_VALUE"""),"P. kara")</f>
        <v>P. kara</v>
      </c>
      <c r="I765" s="2" t="str">
        <f>IFERROR(__xludf.DUMMYFUNCTION("""COMPUTED_VALUE"""),"Masonry")</f>
        <v>Masonry</v>
      </c>
      <c r="J765" s="2" t="str">
        <f>IFERROR(__xludf.DUMMYFUNCTION("""COMPUTED_VALUE"""),"All amenities")</f>
        <v>All amenities</v>
      </c>
      <c r="K765" s="2">
        <f>IFERROR(__xludf.DUMMYFUNCTION("""COMPUTED_VALUE"""),140.0)</f>
        <v>140</v>
      </c>
      <c r="L765" s="2">
        <f>IFERROR(__xludf.DUMMYFUNCTION("""COMPUTED_VALUE"""),56.95556745)</f>
        <v>56.95556745</v>
      </c>
      <c r="M765" s="2">
        <f>IFERROR(__xludf.DUMMYFUNCTION("""COMPUTED_VALUE"""),24.1224418671428)</f>
        <v>24.12244187</v>
      </c>
    </row>
    <row r="766">
      <c r="A766" s="2" t="str">
        <f>IFERROR(__xludf.DUMMYFUNCTION("""COMPUTED_VALUE"""),"For sale")</f>
        <v>For sale</v>
      </c>
      <c r="B766" s="2" t="str">
        <f>IFERROR(__xludf.DUMMYFUNCTION("""COMPUTED_VALUE"""),"Zolitūde")</f>
        <v>Zolitūde</v>
      </c>
      <c r="C766" s="2" t="str">
        <f>IFERROR(__xludf.DUMMYFUNCTION("""COMPUTED_VALUE"""),"Skrīnes 2")</f>
        <v>Skrīnes 2</v>
      </c>
      <c r="D766" s="2">
        <f>IFERROR(__xludf.DUMMYFUNCTION("""COMPUTED_VALUE"""),2.0)</f>
        <v>2</v>
      </c>
      <c r="E766" s="2">
        <f>IFERROR(__xludf.DUMMYFUNCTION("""COMPUTED_VALUE"""),60.0)</f>
        <v>60</v>
      </c>
      <c r="F766" s="2">
        <f>IFERROR(__xludf.DUMMYFUNCTION("""COMPUTED_VALUE"""),2.0)</f>
        <v>2</v>
      </c>
      <c r="G766" s="2">
        <f>IFERROR(__xludf.DUMMYFUNCTION("""COMPUTED_VALUE"""),3.0)</f>
        <v>3</v>
      </c>
      <c r="H766" s="2" t="str">
        <f>IFERROR(__xludf.DUMMYFUNCTION("""COMPUTED_VALUE"""),"Jaun.")</f>
        <v>Jaun.</v>
      </c>
      <c r="I766" s="2" t="str">
        <f>IFERROR(__xludf.DUMMYFUNCTION("""COMPUTED_VALUE"""),"Panel-Brick")</f>
        <v>Panel-Brick</v>
      </c>
      <c r="J766" s="2" t="str">
        <f>IFERROR(__xludf.DUMMYFUNCTION("""COMPUTED_VALUE"""),"All amenities")</f>
        <v>All amenities</v>
      </c>
      <c r="K766" s="2">
        <f>IFERROR(__xludf.DUMMYFUNCTION("""COMPUTED_VALUE"""),97010.0)</f>
        <v>97010</v>
      </c>
      <c r="L766" s="2">
        <f>IFERROR(__xludf.DUMMYFUNCTION("""COMPUTED_VALUE"""),56.9421021)</f>
        <v>56.9421021</v>
      </c>
      <c r="M766" s="2">
        <f>IFERROR(__xludf.DUMMYFUNCTION("""COMPUTED_VALUE"""),24.0243648)</f>
        <v>24.0243648</v>
      </c>
    </row>
    <row r="767">
      <c r="A767" s="2" t="str">
        <f>IFERROR(__xludf.DUMMYFUNCTION("""COMPUTED_VALUE"""),"For rent")</f>
        <v>For rent</v>
      </c>
      <c r="B767" s="2" t="str">
        <f>IFERROR(__xludf.DUMMYFUNCTION("""COMPUTED_VALUE"""),"Šampēteris-Pleskodāle")</f>
        <v>Šampēteris-Pleskodāle</v>
      </c>
      <c r="C767" s="2" t="str">
        <f>IFERROR(__xludf.DUMMYFUNCTION("""COMPUTED_VALUE"""),"Lielirbes 11")</f>
        <v>Lielirbes 11</v>
      </c>
      <c r="D767" s="2">
        <f>IFERROR(__xludf.DUMMYFUNCTION("""COMPUTED_VALUE"""),3.0)</f>
        <v>3</v>
      </c>
      <c r="E767" s="2">
        <f>IFERROR(__xludf.DUMMYFUNCTION("""COMPUTED_VALUE"""),92.0)</f>
        <v>92</v>
      </c>
      <c r="F767" s="2">
        <f>IFERROR(__xludf.DUMMYFUNCTION("""COMPUTED_VALUE"""),12.0)</f>
        <v>12</v>
      </c>
      <c r="G767" s="2">
        <f>IFERROR(__xludf.DUMMYFUNCTION("""COMPUTED_VALUE"""),25.0)</f>
        <v>25</v>
      </c>
      <c r="H767" s="2" t="str">
        <f>IFERROR(__xludf.DUMMYFUNCTION("""COMPUTED_VALUE"""),"Jaun.")</f>
        <v>Jaun.</v>
      </c>
      <c r="I767" s="2" t="str">
        <f>IFERROR(__xludf.DUMMYFUNCTION("""COMPUTED_VALUE"""),"Brick-Panel")</f>
        <v>Brick-Panel</v>
      </c>
      <c r="J767" s="2" t="str">
        <f>IFERROR(__xludf.DUMMYFUNCTION("""COMPUTED_VALUE"""),"All amenities")</f>
        <v>All amenities</v>
      </c>
      <c r="K767" s="2">
        <f>IFERROR(__xludf.DUMMYFUNCTION("""COMPUTED_VALUE"""),650.0)</f>
        <v>650</v>
      </c>
      <c r="L767" s="2">
        <f>IFERROR(__xludf.DUMMYFUNCTION("""COMPUTED_VALUE"""),56.9340645)</f>
        <v>56.9340645</v>
      </c>
      <c r="M767" s="2">
        <f>IFERROR(__xludf.DUMMYFUNCTION("""COMPUTED_VALUE"""),24.0436381)</f>
        <v>24.0436381</v>
      </c>
    </row>
    <row r="768">
      <c r="A768" s="2" t="str">
        <f>IFERROR(__xludf.DUMMYFUNCTION("""COMPUTED_VALUE"""),"For sale")</f>
        <v>For sale</v>
      </c>
      <c r="B768" s="2" t="str">
        <f>IFERROR(__xludf.DUMMYFUNCTION("""COMPUTED_VALUE"""),"Zolitūde")</f>
        <v>Zolitūde</v>
      </c>
      <c r="C768" s="2" t="str">
        <f>IFERROR(__xludf.DUMMYFUNCTION("""COMPUTED_VALUE"""),"Ruses 26")</f>
        <v>Ruses 26</v>
      </c>
      <c r="D768" s="2">
        <f>IFERROR(__xludf.DUMMYFUNCTION("""COMPUTED_VALUE"""),2.0)</f>
        <v>2</v>
      </c>
      <c r="E768" s="2">
        <f>IFERROR(__xludf.DUMMYFUNCTION("""COMPUTED_VALUE"""),58.0)</f>
        <v>58</v>
      </c>
      <c r="F768" s="2">
        <f>IFERROR(__xludf.DUMMYFUNCTION("""COMPUTED_VALUE"""),8.0)</f>
        <v>8</v>
      </c>
      <c r="G768" s="2">
        <f>IFERROR(__xludf.DUMMYFUNCTION("""COMPUTED_VALUE"""),9.0)</f>
        <v>9</v>
      </c>
      <c r="H768" s="2">
        <f>IFERROR(__xludf.DUMMYFUNCTION("""COMPUTED_VALUE"""),119.0)</f>
        <v>119</v>
      </c>
      <c r="I768" s="2" t="str">
        <f>IFERROR(__xludf.DUMMYFUNCTION("""COMPUTED_VALUE"""),"Panel")</f>
        <v>Panel</v>
      </c>
      <c r="J768" s="2" t="str">
        <f>IFERROR(__xludf.DUMMYFUNCTION("""COMPUTED_VALUE"""),"All amenities")</f>
        <v>All amenities</v>
      </c>
      <c r="K768" s="2">
        <f>IFERROR(__xludf.DUMMYFUNCTION("""COMPUTED_VALUE"""),53800.0)</f>
        <v>53800</v>
      </c>
      <c r="L768" s="2">
        <f>IFERROR(__xludf.DUMMYFUNCTION("""COMPUTED_VALUE"""),56.9454805)</f>
        <v>56.9454805</v>
      </c>
      <c r="M768" s="2">
        <f>IFERROR(__xludf.DUMMYFUNCTION("""COMPUTED_VALUE"""),24.0097101)</f>
        <v>24.0097101</v>
      </c>
    </row>
    <row r="769">
      <c r="A769" s="2" t="str">
        <f>IFERROR(__xludf.DUMMYFUNCTION("""COMPUTED_VALUE"""),"For sale")</f>
        <v>For sale</v>
      </c>
      <c r="B769" s="2" t="str">
        <f>IFERROR(__xludf.DUMMYFUNCTION("""COMPUTED_VALUE"""),"Ķengarags")</f>
        <v>Ķengarags</v>
      </c>
      <c r="C769" s="2" t="str">
        <f>IFERROR(__xludf.DUMMYFUNCTION("""COMPUTED_VALUE"""),"Maskavas 250/8")</f>
        <v>Maskavas 250/8</v>
      </c>
      <c r="D769" s="2">
        <f>IFERROR(__xludf.DUMMYFUNCTION("""COMPUTED_VALUE"""),1.0)</f>
        <v>1</v>
      </c>
      <c r="E769" s="2">
        <f>IFERROR(__xludf.DUMMYFUNCTION("""COMPUTED_VALUE"""),30.0)</f>
        <v>30</v>
      </c>
      <c r="F769" s="2">
        <f>IFERROR(__xludf.DUMMYFUNCTION("""COMPUTED_VALUE"""),4.0)</f>
        <v>4</v>
      </c>
      <c r="G769" s="2">
        <f>IFERROR(__xludf.DUMMYFUNCTION("""COMPUTED_VALUE"""),5.0)</f>
        <v>5</v>
      </c>
      <c r="H769" s="2" t="str">
        <f>IFERROR(__xludf.DUMMYFUNCTION("""COMPUTED_VALUE"""),"LT proj.")</f>
        <v>LT proj.</v>
      </c>
      <c r="I769" s="2" t="str">
        <f>IFERROR(__xludf.DUMMYFUNCTION("""COMPUTED_VALUE"""),"Panel")</f>
        <v>Panel</v>
      </c>
      <c r="J769" s="2" t="str">
        <f>IFERROR(__xludf.DUMMYFUNCTION("""COMPUTED_VALUE"""),"All amenities")</f>
        <v>All amenities</v>
      </c>
      <c r="K769" s="2">
        <f>IFERROR(__xludf.DUMMYFUNCTION("""COMPUTED_VALUE"""),27900.0)</f>
        <v>27900</v>
      </c>
      <c r="L769" s="2">
        <f>IFERROR(__xludf.DUMMYFUNCTION("""COMPUTED_VALUE"""),56.94454165)</f>
        <v>56.94454165</v>
      </c>
      <c r="M769" s="2">
        <f>IFERROR(__xludf.DUMMYFUNCTION("""COMPUTED_VALUE"""),24.1126738322132)</f>
        <v>24.11267383</v>
      </c>
    </row>
    <row r="770">
      <c r="A770" s="2" t="str">
        <f>IFERROR(__xludf.DUMMYFUNCTION("""COMPUTED_VALUE"""),"For sale")</f>
        <v>For sale</v>
      </c>
      <c r="B770" s="2" t="str">
        <f>IFERROR(__xludf.DUMMYFUNCTION("""COMPUTED_VALUE"""),"Purvciems")</f>
        <v>Purvciems</v>
      </c>
      <c r="C770" s="2" t="str">
        <f>IFERROR(__xludf.DUMMYFUNCTION("""COMPUTED_VALUE"""),"Nīcgales 4")</f>
        <v>Nīcgales 4</v>
      </c>
      <c r="D770" s="2">
        <f>IFERROR(__xludf.DUMMYFUNCTION("""COMPUTED_VALUE"""),4.0)</f>
        <v>4</v>
      </c>
      <c r="E770" s="2">
        <f>IFERROR(__xludf.DUMMYFUNCTION("""COMPUTED_VALUE"""),75.0)</f>
        <v>75</v>
      </c>
      <c r="F770" s="2">
        <f>IFERROR(__xludf.DUMMYFUNCTION("""COMPUTED_VALUE"""),6.0)</f>
        <v>6</v>
      </c>
      <c r="G770" s="2">
        <f>IFERROR(__xludf.DUMMYFUNCTION("""COMPUTED_VALUE"""),9.0)</f>
        <v>9</v>
      </c>
      <c r="H770" s="2">
        <f>IFERROR(__xludf.DUMMYFUNCTION("""COMPUTED_VALUE"""),467.0)</f>
        <v>467</v>
      </c>
      <c r="I770" s="2" t="str">
        <f>IFERROR(__xludf.DUMMYFUNCTION("""COMPUTED_VALUE"""),"Panel")</f>
        <v>Panel</v>
      </c>
      <c r="J770" s="2" t="str">
        <f>IFERROR(__xludf.DUMMYFUNCTION("""COMPUTED_VALUE"""),"All amenities")</f>
        <v>All amenities</v>
      </c>
      <c r="K770" s="2">
        <f>IFERROR(__xludf.DUMMYFUNCTION("""COMPUTED_VALUE"""),69900.0)</f>
        <v>69900</v>
      </c>
      <c r="L770" s="2">
        <f>IFERROR(__xludf.DUMMYFUNCTION("""COMPUTED_VALUE"""),56.95855255)</f>
        <v>56.95855255</v>
      </c>
      <c r="M770" s="2">
        <f>IFERROR(__xludf.DUMMYFUNCTION("""COMPUTED_VALUE"""),24.1753163275791)</f>
        <v>24.17531633</v>
      </c>
    </row>
    <row r="771">
      <c r="A771" s="2" t="str">
        <f>IFERROR(__xludf.DUMMYFUNCTION("""COMPUTED_VALUE"""),"For rent")</f>
        <v>For rent</v>
      </c>
      <c r="B771" s="2" t="str">
        <f>IFERROR(__xludf.DUMMYFUNCTION("""COMPUTED_VALUE"""),"centrs")</f>
        <v>centrs</v>
      </c>
      <c r="C771" s="2" t="str">
        <f>IFERROR(__xludf.DUMMYFUNCTION("""COMPUTED_VALUE"""),"Sapieru 3b")</f>
        <v>Sapieru 3b</v>
      </c>
      <c r="D771" s="2">
        <f>IFERROR(__xludf.DUMMYFUNCTION("""COMPUTED_VALUE"""),1.0)</f>
        <v>1</v>
      </c>
      <c r="E771" s="2">
        <f>IFERROR(__xludf.DUMMYFUNCTION("""COMPUTED_VALUE"""),26.0)</f>
        <v>26</v>
      </c>
      <c r="F771" s="2">
        <f>IFERROR(__xludf.DUMMYFUNCTION("""COMPUTED_VALUE"""),4.0)</f>
        <v>4</v>
      </c>
      <c r="G771" s="2">
        <f>IFERROR(__xludf.DUMMYFUNCTION("""COMPUTED_VALUE"""),5.0)</f>
        <v>5</v>
      </c>
      <c r="H771" s="2" t="str">
        <f>IFERROR(__xludf.DUMMYFUNCTION("""COMPUTED_VALUE"""),"Renov.")</f>
        <v>Renov.</v>
      </c>
      <c r="I771" s="2" t="str">
        <f>IFERROR(__xludf.DUMMYFUNCTION("""COMPUTED_VALUE"""),"Brick")</f>
        <v>Brick</v>
      </c>
      <c r="J771" s="2" t="str">
        <f>IFERROR(__xludf.DUMMYFUNCTION("""COMPUTED_VALUE"""),"All amenities")</f>
        <v>All amenities</v>
      </c>
      <c r="K771" s="2">
        <f>IFERROR(__xludf.DUMMYFUNCTION("""COMPUTED_VALUE"""),330.0)</f>
        <v>330</v>
      </c>
      <c r="L771" s="2">
        <f>IFERROR(__xludf.DUMMYFUNCTION("""COMPUTED_VALUE"""),56.9630577)</f>
        <v>56.9630577</v>
      </c>
      <c r="M771" s="2">
        <f>IFERROR(__xludf.DUMMYFUNCTION("""COMPUTED_VALUE"""),24.1531056)</f>
        <v>24.1531056</v>
      </c>
    </row>
    <row r="772">
      <c r="A772" s="2" t="str">
        <f>IFERROR(__xludf.DUMMYFUNCTION("""COMPUTED_VALUE"""),"For rent")</f>
        <v>For rent</v>
      </c>
      <c r="B772" s="2" t="str">
        <f>IFERROR(__xludf.DUMMYFUNCTION("""COMPUTED_VALUE"""),"centrs")</f>
        <v>centrs</v>
      </c>
      <c r="C772" s="2" t="str">
        <f>IFERROR(__xludf.DUMMYFUNCTION("""COMPUTED_VALUE"""),"Tērbatas 41")</f>
        <v>Tērbatas 41</v>
      </c>
      <c r="D772" s="2">
        <f>IFERROR(__xludf.DUMMYFUNCTION("""COMPUTED_VALUE"""),1.0)</f>
        <v>1</v>
      </c>
      <c r="E772" s="2">
        <f>IFERROR(__xludf.DUMMYFUNCTION("""COMPUTED_VALUE"""),20.0)</f>
        <v>20</v>
      </c>
      <c r="F772" s="2">
        <f>IFERROR(__xludf.DUMMYFUNCTION("""COMPUTED_VALUE"""),1.0)</f>
        <v>1</v>
      </c>
      <c r="G772" s="2">
        <f>IFERROR(__xludf.DUMMYFUNCTION("""COMPUTED_VALUE"""),5.0)</f>
        <v>5</v>
      </c>
      <c r="H772" s="2" t="str">
        <f>IFERROR(__xludf.DUMMYFUNCTION("""COMPUTED_VALUE"""),"P. kara")</f>
        <v>P. kara</v>
      </c>
      <c r="I772" s="2" t="str">
        <f>IFERROR(__xludf.DUMMYFUNCTION("""COMPUTED_VALUE"""),"Masonry")</f>
        <v>Masonry</v>
      </c>
      <c r="J772" s="2" t="str">
        <f>IFERROR(__xludf.DUMMYFUNCTION("""COMPUTED_VALUE"""),"All amenities")</f>
        <v>All amenities</v>
      </c>
      <c r="K772" s="2">
        <f>IFERROR(__xludf.DUMMYFUNCTION("""COMPUTED_VALUE"""),295.0)</f>
        <v>295</v>
      </c>
      <c r="L772" s="2">
        <f>IFERROR(__xludf.DUMMYFUNCTION("""COMPUTED_VALUE"""),56.9557759)</f>
        <v>56.9557759</v>
      </c>
      <c r="M772" s="2">
        <f>IFERROR(__xludf.DUMMYFUNCTION("""COMPUTED_VALUE"""),24.1253193)</f>
        <v>24.1253193</v>
      </c>
    </row>
    <row r="773">
      <c r="A773" s="2" t="str">
        <f>IFERROR(__xludf.DUMMYFUNCTION("""COMPUTED_VALUE"""),"For sale")</f>
        <v>For sale</v>
      </c>
      <c r="B773" s="2" t="str">
        <f>IFERROR(__xludf.DUMMYFUNCTION("""COMPUTED_VALUE"""),"Teika")</f>
        <v>Teika</v>
      </c>
      <c r="C773" s="2" t="str">
        <f>IFERROR(__xludf.DUMMYFUNCTION("""COMPUTED_VALUE"""),"Raunas 19")</f>
        <v>Raunas 19</v>
      </c>
      <c r="D773" s="2">
        <f>IFERROR(__xludf.DUMMYFUNCTION("""COMPUTED_VALUE"""),3.0)</f>
        <v>3</v>
      </c>
      <c r="E773" s="2">
        <f>IFERROR(__xludf.DUMMYFUNCTION("""COMPUTED_VALUE"""),72.0)</f>
        <v>72</v>
      </c>
      <c r="F773" s="2">
        <f>IFERROR(__xludf.DUMMYFUNCTION("""COMPUTED_VALUE"""),3.0)</f>
        <v>3</v>
      </c>
      <c r="G773" s="2">
        <f>IFERROR(__xludf.DUMMYFUNCTION("""COMPUTED_VALUE"""),5.0)</f>
        <v>5</v>
      </c>
      <c r="H773" s="2">
        <f>IFERROR(__xludf.DUMMYFUNCTION("""COMPUTED_VALUE"""),103.0)</f>
        <v>103</v>
      </c>
      <c r="I773" s="2" t="str">
        <f>IFERROR(__xludf.DUMMYFUNCTION("""COMPUTED_VALUE"""),"Brick-Panel")</f>
        <v>Brick-Panel</v>
      </c>
      <c r="J773" s="2" t="str">
        <f>IFERROR(__xludf.DUMMYFUNCTION("""COMPUTED_VALUE"""),"All amenities")</f>
        <v>All amenities</v>
      </c>
      <c r="K773" s="2">
        <f>IFERROR(__xludf.DUMMYFUNCTION("""COMPUTED_VALUE"""),76000.0)</f>
        <v>76000</v>
      </c>
      <c r="L773" s="2">
        <f>IFERROR(__xludf.DUMMYFUNCTION("""COMPUTED_VALUE"""),56.96893685)</f>
        <v>56.96893685</v>
      </c>
      <c r="M773" s="2">
        <f>IFERROR(__xludf.DUMMYFUNCTION("""COMPUTED_VALUE"""),24.1736180973848)</f>
        <v>24.1736181</v>
      </c>
    </row>
    <row r="774">
      <c r="A774" s="2" t="str">
        <f>IFERROR(__xludf.DUMMYFUNCTION("""COMPUTED_VALUE"""),"For rent")</f>
        <v>For rent</v>
      </c>
      <c r="B774" s="2" t="str">
        <f>IFERROR(__xludf.DUMMYFUNCTION("""COMPUTED_VALUE"""),"Zolitūde")</f>
        <v>Zolitūde</v>
      </c>
      <c r="C774" s="2" t="str">
        <f>IFERROR(__xludf.DUMMYFUNCTION("""COMPUTED_VALUE"""),"Gramzdas 80")</f>
        <v>Gramzdas 80</v>
      </c>
      <c r="D774" s="2">
        <f>IFERROR(__xludf.DUMMYFUNCTION("""COMPUTED_VALUE"""),2.0)</f>
        <v>2</v>
      </c>
      <c r="E774" s="2">
        <f>IFERROR(__xludf.DUMMYFUNCTION("""COMPUTED_VALUE"""),72.0)</f>
        <v>72</v>
      </c>
      <c r="F774" s="2">
        <f>IFERROR(__xludf.DUMMYFUNCTION("""COMPUTED_VALUE"""),2.0)</f>
        <v>2</v>
      </c>
      <c r="G774" s="2">
        <f>IFERROR(__xludf.DUMMYFUNCTION("""COMPUTED_VALUE"""),4.0)</f>
        <v>4</v>
      </c>
      <c r="H774" s="2" t="str">
        <f>IFERROR(__xludf.DUMMYFUNCTION("""COMPUTED_VALUE"""),"Jaun.")</f>
        <v>Jaun.</v>
      </c>
      <c r="I774" s="2" t="str">
        <f>IFERROR(__xludf.DUMMYFUNCTION("""COMPUTED_VALUE"""),"Panel-Brick")</f>
        <v>Panel-Brick</v>
      </c>
      <c r="J774" s="2" t="str">
        <f>IFERROR(__xludf.DUMMYFUNCTION("""COMPUTED_VALUE"""),"All amenities")</f>
        <v>All amenities</v>
      </c>
      <c r="K774" s="2">
        <f>IFERROR(__xludf.DUMMYFUNCTION("""COMPUTED_VALUE"""),500.0)</f>
        <v>500</v>
      </c>
      <c r="L774" s="2">
        <f>IFERROR(__xludf.DUMMYFUNCTION("""COMPUTED_VALUE"""),56.94145735)</f>
        <v>56.94145735</v>
      </c>
      <c r="M774" s="2">
        <f>IFERROR(__xludf.DUMMYFUNCTION("""COMPUTED_VALUE"""),24.0030188392346)</f>
        <v>24.00301884</v>
      </c>
    </row>
    <row r="775">
      <c r="A775" s="2" t="str">
        <f>IFERROR(__xludf.DUMMYFUNCTION("""COMPUTED_VALUE"""),"For sale")</f>
        <v>For sale</v>
      </c>
      <c r="B775" s="2" t="str">
        <f>IFERROR(__xludf.DUMMYFUNCTION("""COMPUTED_VALUE"""),"Purvciems")</f>
        <v>Purvciems</v>
      </c>
      <c r="C775" s="2" t="str">
        <f>IFERROR(__xludf.DUMMYFUNCTION("""COMPUTED_VALUE"""),"Zvaigznāja g. 4")</f>
        <v>Zvaigznāja g. 4</v>
      </c>
      <c r="D775" s="2">
        <f>IFERROR(__xludf.DUMMYFUNCTION("""COMPUTED_VALUE"""),3.0)</f>
        <v>3</v>
      </c>
      <c r="E775" s="2">
        <f>IFERROR(__xludf.DUMMYFUNCTION("""COMPUTED_VALUE"""),55.0)</f>
        <v>55</v>
      </c>
      <c r="F775" s="2">
        <f>IFERROR(__xludf.DUMMYFUNCTION("""COMPUTED_VALUE"""),5.0)</f>
        <v>5</v>
      </c>
      <c r="G775" s="2">
        <f>IFERROR(__xludf.DUMMYFUNCTION("""COMPUTED_VALUE"""),5.0)</f>
        <v>5</v>
      </c>
      <c r="H775" s="2" t="str">
        <f>IFERROR(__xludf.DUMMYFUNCTION("""COMPUTED_VALUE"""),"LT proj.")</f>
        <v>LT proj.</v>
      </c>
      <c r="I775" s="2" t="str">
        <f>IFERROR(__xludf.DUMMYFUNCTION("""COMPUTED_VALUE"""),"Panel")</f>
        <v>Panel</v>
      </c>
      <c r="J775" s="2" t="str">
        <f>IFERROR(__xludf.DUMMYFUNCTION("""COMPUTED_VALUE"""),"All amenities")</f>
        <v>All amenities</v>
      </c>
      <c r="K775" s="2">
        <f>IFERROR(__xludf.DUMMYFUNCTION("""COMPUTED_VALUE"""),51000.0)</f>
        <v>51000</v>
      </c>
      <c r="L775" s="2">
        <f>IFERROR(__xludf.DUMMYFUNCTION("""COMPUTED_VALUE"""),56.9527936)</f>
        <v>56.9527936</v>
      </c>
      <c r="M775" s="2">
        <f>IFERROR(__xludf.DUMMYFUNCTION("""COMPUTED_VALUE"""),24.2063812)</f>
        <v>24.2063812</v>
      </c>
    </row>
    <row r="776">
      <c r="A776" s="2" t="str">
        <f>IFERROR(__xludf.DUMMYFUNCTION("""COMPUTED_VALUE"""),"For sale")</f>
        <v>For sale</v>
      </c>
      <c r="B776" s="2" t="str">
        <f>IFERROR(__xludf.DUMMYFUNCTION("""COMPUTED_VALUE"""),"Vecmīlgrāvis")</f>
        <v>Vecmīlgrāvis</v>
      </c>
      <c r="C776" s="2" t="str">
        <f>IFERROR(__xludf.DUMMYFUNCTION("""COMPUTED_VALUE"""),"Melīdas 11")</f>
        <v>Melīdas 11</v>
      </c>
      <c r="D776" s="2">
        <f>IFERROR(__xludf.DUMMYFUNCTION("""COMPUTED_VALUE"""),3.0)</f>
        <v>3</v>
      </c>
      <c r="E776" s="2">
        <f>IFERROR(__xludf.DUMMYFUNCTION("""COMPUTED_VALUE"""),60.0)</f>
        <v>60</v>
      </c>
      <c r="F776" s="2">
        <f>IFERROR(__xludf.DUMMYFUNCTION("""COMPUTED_VALUE"""),6.0)</f>
        <v>6</v>
      </c>
      <c r="G776" s="2">
        <f>IFERROR(__xludf.DUMMYFUNCTION("""COMPUTED_VALUE"""),9.0)</f>
        <v>9</v>
      </c>
      <c r="H776" s="2">
        <f>IFERROR(__xludf.DUMMYFUNCTION("""COMPUTED_VALUE"""),467.0)</f>
        <v>467</v>
      </c>
      <c r="I776" s="2" t="str">
        <f>IFERROR(__xludf.DUMMYFUNCTION("""COMPUTED_VALUE"""),"Panel")</f>
        <v>Panel</v>
      </c>
      <c r="J776" s="2" t="str">
        <f>IFERROR(__xludf.DUMMYFUNCTION("""COMPUTED_VALUE"""),"All amenities")</f>
        <v>All amenities</v>
      </c>
      <c r="K776" s="2">
        <f>IFERROR(__xludf.DUMMYFUNCTION("""COMPUTED_VALUE"""),60500.0)</f>
        <v>60500</v>
      </c>
      <c r="L776" s="2">
        <f>IFERROR(__xludf.DUMMYFUNCTION("""COMPUTED_VALUE"""),57.0318969)</f>
        <v>57.0318969</v>
      </c>
      <c r="M776" s="2">
        <f>IFERROR(__xludf.DUMMYFUNCTION("""COMPUTED_VALUE"""),24.1109505)</f>
        <v>24.1109505</v>
      </c>
    </row>
    <row r="777">
      <c r="A777" s="2" t="str">
        <f>IFERROR(__xludf.DUMMYFUNCTION("""COMPUTED_VALUE"""),"For sale")</f>
        <v>For sale</v>
      </c>
      <c r="B777" s="2" t="str">
        <f>IFERROR(__xludf.DUMMYFUNCTION("""COMPUTED_VALUE"""),"Dārzciems")</f>
        <v>Dārzciems</v>
      </c>
      <c r="C777" s="2" t="str">
        <f>IFERROR(__xludf.DUMMYFUNCTION("""COMPUTED_VALUE"""),"Stopiņu 18")</f>
        <v>Stopiņu 18</v>
      </c>
      <c r="D777" s="2">
        <f>IFERROR(__xludf.DUMMYFUNCTION("""COMPUTED_VALUE"""),2.0)</f>
        <v>2</v>
      </c>
      <c r="E777" s="2">
        <f>IFERROR(__xludf.DUMMYFUNCTION("""COMPUTED_VALUE"""),57.0)</f>
        <v>57</v>
      </c>
      <c r="F777" s="2">
        <f>IFERROR(__xludf.DUMMYFUNCTION("""COMPUTED_VALUE"""),2.0)</f>
        <v>2</v>
      </c>
      <c r="G777" s="2">
        <f>IFERROR(__xludf.DUMMYFUNCTION("""COMPUTED_VALUE"""),2.0)</f>
        <v>2</v>
      </c>
      <c r="H777" s="2" t="str">
        <f>IFERROR(__xludf.DUMMYFUNCTION("""COMPUTED_VALUE"""),"P. kara")</f>
        <v>P. kara</v>
      </c>
      <c r="I777" s="2" t="str">
        <f>IFERROR(__xludf.DUMMYFUNCTION("""COMPUTED_VALUE"""),"Wood")</f>
        <v>Wood</v>
      </c>
      <c r="J777" s="2" t="str">
        <f>IFERROR(__xludf.DUMMYFUNCTION("""COMPUTED_VALUE"""),"Partial amenities")</f>
        <v>Partial amenities</v>
      </c>
      <c r="K777" s="2">
        <f>IFERROR(__xludf.DUMMYFUNCTION("""COMPUTED_VALUE"""),18000.0)</f>
        <v>18000</v>
      </c>
      <c r="L777" s="2">
        <f>IFERROR(__xludf.DUMMYFUNCTION("""COMPUTED_VALUE"""),56.94880765)</f>
        <v>56.94880765</v>
      </c>
      <c r="M777" s="2">
        <f>IFERROR(__xludf.DUMMYFUNCTION("""COMPUTED_VALUE"""),24.1707285664922)</f>
        <v>24.17072857</v>
      </c>
    </row>
    <row r="778">
      <c r="A778" s="2" t="str">
        <f>IFERROR(__xludf.DUMMYFUNCTION("""COMPUTED_VALUE"""),"For sale")</f>
        <v>For sale</v>
      </c>
      <c r="B778" s="2" t="str">
        <f>IFERROR(__xludf.DUMMYFUNCTION("""COMPUTED_VALUE"""),"Ziepniekkalns")</f>
        <v>Ziepniekkalns</v>
      </c>
      <c r="C778" s="2" t="str">
        <f>IFERROR(__xludf.DUMMYFUNCTION("""COMPUTED_VALUE"""),"Valdeķu 18")</f>
        <v>Valdeķu 18</v>
      </c>
      <c r="D778" s="2">
        <f>IFERROR(__xludf.DUMMYFUNCTION("""COMPUTED_VALUE"""),1.0)</f>
        <v>1</v>
      </c>
      <c r="E778" s="2">
        <f>IFERROR(__xludf.DUMMYFUNCTION("""COMPUTED_VALUE"""),42.0)</f>
        <v>42</v>
      </c>
      <c r="F778" s="2">
        <f>IFERROR(__xludf.DUMMYFUNCTION("""COMPUTED_VALUE"""),3.0)</f>
        <v>3</v>
      </c>
      <c r="G778" s="2">
        <f>IFERROR(__xludf.DUMMYFUNCTION("""COMPUTED_VALUE"""),5.0)</f>
        <v>5</v>
      </c>
      <c r="H778" s="2" t="str">
        <f>IFERROR(__xludf.DUMMYFUNCTION("""COMPUTED_VALUE"""),"M. ģim.")</f>
        <v>M. ģim.</v>
      </c>
      <c r="I778" s="2" t="str">
        <f>IFERROR(__xludf.DUMMYFUNCTION("""COMPUTED_VALUE"""),"Panel")</f>
        <v>Panel</v>
      </c>
      <c r="J778" s="2" t="str">
        <f>IFERROR(__xludf.DUMMYFUNCTION("""COMPUTED_VALUE"""),"All amenities")</f>
        <v>All amenities</v>
      </c>
      <c r="K778" s="2">
        <f>IFERROR(__xludf.DUMMYFUNCTION("""COMPUTED_VALUE"""),33000.0)</f>
        <v>33000</v>
      </c>
      <c r="L778" s="2">
        <f>IFERROR(__xludf.DUMMYFUNCTION("""COMPUTED_VALUE"""),56.9094064)</f>
        <v>56.9094064</v>
      </c>
      <c r="M778" s="2">
        <f>IFERROR(__xludf.DUMMYFUNCTION("""COMPUTED_VALUE"""),24.0954157)</f>
        <v>24.0954157</v>
      </c>
    </row>
    <row r="779">
      <c r="A779" s="2" t="str">
        <f>IFERROR(__xludf.DUMMYFUNCTION("""COMPUTED_VALUE"""),"For sale")</f>
        <v>For sale</v>
      </c>
      <c r="B779" s="2" t="str">
        <f>IFERROR(__xludf.DUMMYFUNCTION("""COMPUTED_VALUE"""),"centrs")</f>
        <v>centrs</v>
      </c>
      <c r="C779" s="2" t="str">
        <f>IFERROR(__xludf.DUMMYFUNCTION("""COMPUTED_VALUE"""),"Barona 24/26")</f>
        <v>Barona 24/26</v>
      </c>
      <c r="D779" s="2">
        <f>IFERROR(__xludf.DUMMYFUNCTION("""COMPUTED_VALUE"""),2.0)</f>
        <v>2</v>
      </c>
      <c r="E779" s="2">
        <f>IFERROR(__xludf.DUMMYFUNCTION("""COMPUTED_VALUE"""),51.0)</f>
        <v>51</v>
      </c>
      <c r="F779" s="2">
        <f>IFERROR(__xludf.DUMMYFUNCTION("""COMPUTED_VALUE"""),3.0)</f>
        <v>3</v>
      </c>
      <c r="G779" s="2">
        <f>IFERROR(__xludf.DUMMYFUNCTION("""COMPUTED_VALUE"""),6.0)</f>
        <v>6</v>
      </c>
      <c r="H779" s="2" t="str">
        <f>IFERROR(__xludf.DUMMYFUNCTION("""COMPUTED_VALUE"""),"Renov.")</f>
        <v>Renov.</v>
      </c>
      <c r="I779" s="2" t="str">
        <f>IFERROR(__xludf.DUMMYFUNCTION("""COMPUTED_VALUE"""),"Masonry")</f>
        <v>Masonry</v>
      </c>
      <c r="J779" s="2" t="str">
        <f>IFERROR(__xludf.DUMMYFUNCTION("""COMPUTED_VALUE"""),"All amenities")</f>
        <v>All amenities</v>
      </c>
      <c r="K779" s="2">
        <f>IFERROR(__xludf.DUMMYFUNCTION("""COMPUTED_VALUE"""),155000.0)</f>
        <v>155000</v>
      </c>
      <c r="L779" s="2">
        <f>IFERROR(__xludf.DUMMYFUNCTION("""COMPUTED_VALUE"""),56.95161295)</f>
        <v>56.95161295</v>
      </c>
      <c r="M779" s="2">
        <f>IFERROR(__xludf.DUMMYFUNCTION("""COMPUTED_VALUE"""),24.1224571478615)</f>
        <v>24.12245715</v>
      </c>
    </row>
    <row r="780">
      <c r="A780" s="2" t="str">
        <f>IFERROR(__xludf.DUMMYFUNCTION("""COMPUTED_VALUE"""),"For sale")</f>
        <v>For sale</v>
      </c>
      <c r="B780" s="2" t="str">
        <f>IFERROR(__xludf.DUMMYFUNCTION("""COMPUTED_VALUE"""),"Pļavnieki")</f>
        <v>Pļavnieki</v>
      </c>
      <c r="C780" s="2" t="str">
        <f>IFERROR(__xludf.DUMMYFUNCTION("""COMPUTED_VALUE"""),"Ilūkstes 12")</f>
        <v>Ilūkstes 12</v>
      </c>
      <c r="D780" s="2">
        <f>IFERROR(__xludf.DUMMYFUNCTION("""COMPUTED_VALUE"""),5.0)</f>
        <v>5</v>
      </c>
      <c r="E780" s="2">
        <f>IFERROR(__xludf.DUMMYFUNCTION("""COMPUTED_VALUE"""),90.0)</f>
        <v>90</v>
      </c>
      <c r="F780" s="2">
        <f>IFERROR(__xludf.DUMMYFUNCTION("""COMPUTED_VALUE"""),1.0)</f>
        <v>1</v>
      </c>
      <c r="G780" s="2">
        <f>IFERROR(__xludf.DUMMYFUNCTION("""COMPUTED_VALUE"""),9.0)</f>
        <v>9</v>
      </c>
      <c r="H780" s="2">
        <f>IFERROR(__xludf.DUMMYFUNCTION("""COMPUTED_VALUE"""),602.0)</f>
        <v>602</v>
      </c>
      <c r="I780" s="2" t="str">
        <f>IFERROR(__xludf.DUMMYFUNCTION("""COMPUTED_VALUE"""),"Panel")</f>
        <v>Panel</v>
      </c>
      <c r="J780" s="2" t="str">
        <f>IFERROR(__xludf.DUMMYFUNCTION("""COMPUTED_VALUE"""),"All amenities")</f>
        <v>All amenities</v>
      </c>
      <c r="K780" s="2">
        <f>IFERROR(__xludf.DUMMYFUNCTION("""COMPUTED_VALUE"""),73900.0)</f>
        <v>73900</v>
      </c>
      <c r="L780" s="2">
        <f>IFERROR(__xludf.DUMMYFUNCTION("""COMPUTED_VALUE"""),56.93717765)</f>
        <v>56.93717765</v>
      </c>
      <c r="M780" s="2">
        <f>IFERROR(__xludf.DUMMYFUNCTION("""COMPUTED_VALUE"""),24.1958051764437)</f>
        <v>24.19580518</v>
      </c>
    </row>
    <row r="781">
      <c r="A781" s="2" t="str">
        <f>IFERROR(__xludf.DUMMYFUNCTION("""COMPUTED_VALUE"""),"For sale")</f>
        <v>For sale</v>
      </c>
      <c r="B781" s="2" t="str">
        <f>IFERROR(__xludf.DUMMYFUNCTION("""COMPUTED_VALUE"""),"Purvciems")</f>
        <v>Purvciems</v>
      </c>
      <c r="C781" s="2" t="str">
        <f>IFERROR(__xludf.DUMMYFUNCTION("""COMPUTED_VALUE"""),"Kalsnavas 2e")</f>
        <v>Kalsnavas 2e</v>
      </c>
      <c r="D781" s="2">
        <f>IFERROR(__xludf.DUMMYFUNCTION("""COMPUTED_VALUE"""),2.0)</f>
        <v>2</v>
      </c>
      <c r="E781" s="2">
        <f>IFERROR(__xludf.DUMMYFUNCTION("""COMPUTED_VALUE"""),59.0)</f>
        <v>59</v>
      </c>
      <c r="F781" s="2">
        <f>IFERROR(__xludf.DUMMYFUNCTION("""COMPUTED_VALUE"""),5.0)</f>
        <v>5</v>
      </c>
      <c r="G781" s="2">
        <f>IFERROR(__xludf.DUMMYFUNCTION("""COMPUTED_VALUE"""),9.0)</f>
        <v>9</v>
      </c>
      <c r="H781" s="2">
        <f>IFERROR(__xludf.DUMMYFUNCTION("""COMPUTED_VALUE"""),119.0)</f>
        <v>119</v>
      </c>
      <c r="I781" s="2" t="str">
        <f>IFERROR(__xludf.DUMMYFUNCTION("""COMPUTED_VALUE"""),"Panel")</f>
        <v>Panel</v>
      </c>
      <c r="J781" s="2" t="str">
        <f>IFERROR(__xludf.DUMMYFUNCTION("""COMPUTED_VALUE"""),"All amenities")</f>
        <v>All amenities</v>
      </c>
      <c r="K781" s="2">
        <f>IFERROR(__xludf.DUMMYFUNCTION("""COMPUTED_VALUE"""),59700.0)</f>
        <v>59700</v>
      </c>
      <c r="L781" s="2">
        <f>IFERROR(__xludf.DUMMYFUNCTION("""COMPUTED_VALUE"""),56.95456995)</f>
        <v>56.95456995</v>
      </c>
      <c r="M781" s="2">
        <f>IFERROR(__xludf.DUMMYFUNCTION("""COMPUTED_VALUE"""),24.1682567862995)</f>
        <v>24.16825679</v>
      </c>
    </row>
    <row r="782">
      <c r="A782" s="2" t="str">
        <f>IFERROR(__xludf.DUMMYFUNCTION("""COMPUTED_VALUE"""),"For sale")</f>
        <v>For sale</v>
      </c>
      <c r="B782" s="2" t="str">
        <f>IFERROR(__xludf.DUMMYFUNCTION("""COMPUTED_VALUE"""),"centrs")</f>
        <v>centrs</v>
      </c>
      <c r="C782" s="2" t="str">
        <f>IFERROR(__xludf.DUMMYFUNCTION("""COMPUTED_VALUE"""),"Kalniņa 8")</f>
        <v>Kalniņa 8</v>
      </c>
      <c r="D782" s="2">
        <f>IFERROR(__xludf.DUMMYFUNCTION("""COMPUTED_VALUE"""),4.0)</f>
        <v>4</v>
      </c>
      <c r="E782" s="2">
        <f>IFERROR(__xludf.DUMMYFUNCTION("""COMPUTED_VALUE"""),113.0)</f>
        <v>113</v>
      </c>
      <c r="F782" s="2">
        <f>IFERROR(__xludf.DUMMYFUNCTION("""COMPUTED_VALUE"""),3.0)</f>
        <v>3</v>
      </c>
      <c r="G782" s="2">
        <f>IFERROR(__xludf.DUMMYFUNCTION("""COMPUTED_VALUE"""),5.0)</f>
        <v>5</v>
      </c>
      <c r="H782" s="2" t="str">
        <f>IFERROR(__xludf.DUMMYFUNCTION("""COMPUTED_VALUE"""),"P. kara")</f>
        <v>P. kara</v>
      </c>
      <c r="I782" s="2" t="str">
        <f>IFERROR(__xludf.DUMMYFUNCTION("""COMPUTED_VALUE"""),"Masonry")</f>
        <v>Masonry</v>
      </c>
      <c r="J782" s="2" t="str">
        <f>IFERROR(__xludf.DUMMYFUNCTION("""COMPUTED_VALUE"""),"All amenities")</f>
        <v>All amenities</v>
      </c>
      <c r="K782" s="2">
        <f>IFERROR(__xludf.DUMMYFUNCTION("""COMPUTED_VALUE"""),200000.0)</f>
        <v>200000</v>
      </c>
      <c r="L782" s="2">
        <f>IFERROR(__xludf.DUMMYFUNCTION("""COMPUTED_VALUE"""),56.949924)</f>
        <v>56.949924</v>
      </c>
      <c r="M782" s="2">
        <f>IFERROR(__xludf.DUMMYFUNCTION("""COMPUTED_VALUE"""),24.1206586)</f>
        <v>24.1206586</v>
      </c>
    </row>
    <row r="783">
      <c r="A783" s="2" t="str">
        <f>IFERROR(__xludf.DUMMYFUNCTION("""COMPUTED_VALUE"""),"For rent")</f>
        <v>For rent</v>
      </c>
      <c r="B783" s="2" t="str">
        <f>IFERROR(__xludf.DUMMYFUNCTION("""COMPUTED_VALUE"""),"centrs")</f>
        <v>centrs</v>
      </c>
      <c r="C783" s="2" t="str">
        <f>IFERROR(__xludf.DUMMYFUNCTION("""COMPUTED_VALUE"""),"Matīsa 81")</f>
        <v>Matīsa 81</v>
      </c>
      <c r="D783" s="2">
        <f>IFERROR(__xludf.DUMMYFUNCTION("""COMPUTED_VALUE"""),1.0)</f>
        <v>1</v>
      </c>
      <c r="E783" s="2">
        <f>IFERROR(__xludf.DUMMYFUNCTION("""COMPUTED_VALUE"""),25.0)</f>
        <v>25</v>
      </c>
      <c r="F783" s="2">
        <f>IFERROR(__xludf.DUMMYFUNCTION("""COMPUTED_VALUE"""),2.0)</f>
        <v>2</v>
      </c>
      <c r="G783" s="2">
        <f>IFERROR(__xludf.DUMMYFUNCTION("""COMPUTED_VALUE"""),2.0)</f>
        <v>2</v>
      </c>
      <c r="H783" s="2" t="str">
        <f>IFERROR(__xludf.DUMMYFUNCTION("""COMPUTED_VALUE"""),"P. kara")</f>
        <v>P. kara</v>
      </c>
      <c r="I783" s="2" t="str">
        <f>IFERROR(__xludf.DUMMYFUNCTION("""COMPUTED_VALUE"""),"Masonry")</f>
        <v>Masonry</v>
      </c>
      <c r="J783" s="2" t="str">
        <f>IFERROR(__xludf.DUMMYFUNCTION("""COMPUTED_VALUE"""),"All amenities")</f>
        <v>All amenities</v>
      </c>
      <c r="K783" s="2">
        <f>IFERROR(__xludf.DUMMYFUNCTION("""COMPUTED_VALUE"""),280.0)</f>
        <v>280</v>
      </c>
      <c r="L783" s="2">
        <f>IFERROR(__xludf.DUMMYFUNCTION("""COMPUTED_VALUE"""),56.9531103)</f>
        <v>56.9531103</v>
      </c>
      <c r="M783" s="2">
        <f>IFERROR(__xludf.DUMMYFUNCTION("""COMPUTED_VALUE"""),24.1420699)</f>
        <v>24.1420699</v>
      </c>
    </row>
    <row r="784">
      <c r="A784" s="2" t="str">
        <f>IFERROR(__xludf.DUMMYFUNCTION("""COMPUTED_VALUE"""),"For rent")</f>
        <v>For rent</v>
      </c>
      <c r="B784" s="2" t="str">
        <f>IFERROR(__xludf.DUMMYFUNCTION("""COMPUTED_VALUE"""),"Sarkandaugava")</f>
        <v>Sarkandaugava</v>
      </c>
      <c r="C784" s="2" t="str">
        <f>IFERROR(__xludf.DUMMYFUNCTION("""COMPUTED_VALUE"""),"Tvaika 16")</f>
        <v>Tvaika 16</v>
      </c>
      <c r="D784" s="2">
        <f>IFERROR(__xludf.DUMMYFUNCTION("""COMPUTED_VALUE"""),2.0)</f>
        <v>2</v>
      </c>
      <c r="E784" s="2">
        <f>IFERROR(__xludf.DUMMYFUNCTION("""COMPUTED_VALUE"""),35.0)</f>
        <v>35</v>
      </c>
      <c r="F784" s="2">
        <f>IFERROR(__xludf.DUMMYFUNCTION("""COMPUTED_VALUE"""),3.0)</f>
        <v>3</v>
      </c>
      <c r="G784" s="2">
        <f>IFERROR(__xludf.DUMMYFUNCTION("""COMPUTED_VALUE"""),5.0)</f>
        <v>5</v>
      </c>
      <c r="H784" s="2" t="str">
        <f>IFERROR(__xludf.DUMMYFUNCTION("""COMPUTED_VALUE"""),"Hrušč.")</f>
        <v>Hrušč.</v>
      </c>
      <c r="I784" s="2" t="str">
        <f>IFERROR(__xludf.DUMMYFUNCTION("""COMPUTED_VALUE"""),"Brick")</f>
        <v>Brick</v>
      </c>
      <c r="J784" s="2" t="str">
        <f>IFERROR(__xludf.DUMMYFUNCTION("""COMPUTED_VALUE"""),"All amenities")</f>
        <v>All amenities</v>
      </c>
      <c r="K784" s="2">
        <f>IFERROR(__xludf.DUMMYFUNCTION("""COMPUTED_VALUE"""),220.0)</f>
        <v>220</v>
      </c>
      <c r="L784" s="2">
        <f>IFERROR(__xludf.DUMMYFUNCTION("""COMPUTED_VALUE"""),57.000045)</f>
        <v>57.000045</v>
      </c>
      <c r="M784" s="2">
        <f>IFERROR(__xludf.DUMMYFUNCTION("""COMPUTED_VALUE"""),24.1184874917004)</f>
        <v>24.11848749</v>
      </c>
    </row>
    <row r="785">
      <c r="A785" s="2" t="str">
        <f>IFERROR(__xludf.DUMMYFUNCTION("""COMPUTED_VALUE"""),"For sale")</f>
        <v>For sale</v>
      </c>
      <c r="B785" s="2" t="str">
        <f>IFERROR(__xludf.DUMMYFUNCTION("""COMPUTED_VALUE"""),"Daugavgrīva")</f>
        <v>Daugavgrīva</v>
      </c>
      <c r="C785" s="2" t="str">
        <f>IFERROR(__xludf.DUMMYFUNCTION("""COMPUTED_VALUE"""),"Parādes 2")</f>
        <v>Parādes 2</v>
      </c>
      <c r="D785" s="2">
        <f>IFERROR(__xludf.DUMMYFUNCTION("""COMPUTED_VALUE"""),3.0)</f>
        <v>3</v>
      </c>
      <c r="E785" s="2">
        <f>IFERROR(__xludf.DUMMYFUNCTION("""COMPUTED_VALUE"""),67.0)</f>
        <v>67</v>
      </c>
      <c r="F785" s="2">
        <f>IFERROR(__xludf.DUMMYFUNCTION("""COMPUTED_VALUE"""),1.0)</f>
        <v>1</v>
      </c>
      <c r="G785" s="2">
        <f>IFERROR(__xludf.DUMMYFUNCTION("""COMPUTED_VALUE"""),5.0)</f>
        <v>5</v>
      </c>
      <c r="H785" s="2">
        <f>IFERROR(__xludf.DUMMYFUNCTION("""COMPUTED_VALUE"""),103.0)</f>
        <v>103</v>
      </c>
      <c r="I785" s="2" t="str">
        <f>IFERROR(__xludf.DUMMYFUNCTION("""COMPUTED_VALUE"""),"Panel-Brick")</f>
        <v>Panel-Brick</v>
      </c>
      <c r="J785" s="2" t="str">
        <f>IFERROR(__xludf.DUMMYFUNCTION("""COMPUTED_VALUE"""),"All amenities")</f>
        <v>All amenities</v>
      </c>
      <c r="K785" s="2">
        <f>IFERROR(__xludf.DUMMYFUNCTION("""COMPUTED_VALUE"""),50000.0)</f>
        <v>50000</v>
      </c>
      <c r="L785" s="2">
        <f>IFERROR(__xludf.DUMMYFUNCTION("""COMPUTED_VALUE"""),57.04328605)</f>
        <v>57.04328605</v>
      </c>
      <c r="M785" s="2">
        <f>IFERROR(__xludf.DUMMYFUNCTION("""COMPUTED_VALUE"""),24.0335953499999)</f>
        <v>24.03359535</v>
      </c>
    </row>
    <row r="786">
      <c r="A786" s="2" t="str">
        <f>IFERROR(__xludf.DUMMYFUNCTION("""COMPUTED_VALUE"""),"For sale")</f>
        <v>For sale</v>
      </c>
      <c r="B786" s="2" t="str">
        <f>IFERROR(__xludf.DUMMYFUNCTION("""COMPUTED_VALUE"""),"Čiekurkalns")</f>
        <v>Čiekurkalns</v>
      </c>
      <c r="C786" s="2" t="str">
        <f>IFERROR(__xludf.DUMMYFUNCTION("""COMPUTED_VALUE"""),"Čiekurkalna 3. šķ l. 28e")</f>
        <v>Čiekurkalna 3. šķ l. 28e</v>
      </c>
      <c r="D786" s="2">
        <f>IFERROR(__xludf.DUMMYFUNCTION("""COMPUTED_VALUE"""),2.0)</f>
        <v>2</v>
      </c>
      <c r="E786" s="2">
        <f>IFERROR(__xludf.DUMMYFUNCTION("""COMPUTED_VALUE"""),50.0)</f>
        <v>50</v>
      </c>
      <c r="F786" s="2">
        <f>IFERROR(__xludf.DUMMYFUNCTION("""COMPUTED_VALUE"""),2.0)</f>
        <v>2</v>
      </c>
      <c r="G786" s="2">
        <f>IFERROR(__xludf.DUMMYFUNCTION("""COMPUTED_VALUE"""),3.0)</f>
        <v>3</v>
      </c>
      <c r="H786" s="2" t="str">
        <f>IFERROR(__xludf.DUMMYFUNCTION("""COMPUTED_VALUE"""),"Hrušč.")</f>
        <v>Hrušč.</v>
      </c>
      <c r="I786" s="2" t="str">
        <f>IFERROR(__xludf.DUMMYFUNCTION("""COMPUTED_VALUE"""),"Masonry")</f>
        <v>Masonry</v>
      </c>
      <c r="J786" s="2" t="str">
        <f>IFERROR(__xludf.DUMMYFUNCTION("""COMPUTED_VALUE"""),"All amenities")</f>
        <v>All amenities</v>
      </c>
      <c r="K786" s="2">
        <f>IFERROR(__xludf.DUMMYFUNCTION("""COMPUTED_VALUE"""),45900.0)</f>
        <v>45900</v>
      </c>
      <c r="L786" s="2" t="str">
        <f>IFERROR(__xludf.DUMMYFUNCTION("""COMPUTED_VALUE"""),"NaN")</f>
        <v>NaN</v>
      </c>
      <c r="M786" s="2" t="str">
        <f>IFERROR(__xludf.DUMMYFUNCTION("""COMPUTED_VALUE"""),"NaN")</f>
        <v>NaN</v>
      </c>
    </row>
    <row r="787">
      <c r="A787" s="2" t="str">
        <f>IFERROR(__xludf.DUMMYFUNCTION("""COMPUTED_VALUE"""),"For sale")</f>
        <v>For sale</v>
      </c>
      <c r="B787" s="2" t="str">
        <f>IFERROR(__xludf.DUMMYFUNCTION("""COMPUTED_VALUE"""),"centrs")</f>
        <v>centrs</v>
      </c>
      <c r="C787" s="2" t="str">
        <f>IFERROR(__xludf.DUMMYFUNCTION("""COMPUTED_VALUE"""),"Ganību d. 15")</f>
        <v>Ganību d. 15</v>
      </c>
      <c r="D787" s="2">
        <f>IFERROR(__xludf.DUMMYFUNCTION("""COMPUTED_VALUE"""),2.0)</f>
        <v>2</v>
      </c>
      <c r="E787" s="2">
        <f>IFERROR(__xludf.DUMMYFUNCTION("""COMPUTED_VALUE"""),41.0)</f>
        <v>41</v>
      </c>
      <c r="F787" s="2">
        <f>IFERROR(__xludf.DUMMYFUNCTION("""COMPUTED_VALUE"""),1.0)</f>
        <v>1</v>
      </c>
      <c r="G787" s="2">
        <f>IFERROR(__xludf.DUMMYFUNCTION("""COMPUTED_VALUE"""),3.0)</f>
        <v>3</v>
      </c>
      <c r="H787" s="2" t="str">
        <f>IFERROR(__xludf.DUMMYFUNCTION("""COMPUTED_VALUE"""),"P. kara")</f>
        <v>P. kara</v>
      </c>
      <c r="I787" s="2" t="str">
        <f>IFERROR(__xludf.DUMMYFUNCTION("""COMPUTED_VALUE"""),"Masonry")</f>
        <v>Masonry</v>
      </c>
      <c r="J787" s="2" t="str">
        <f>IFERROR(__xludf.DUMMYFUNCTION("""COMPUTED_VALUE"""),"All amenities")</f>
        <v>All amenities</v>
      </c>
      <c r="K787" s="2">
        <f>IFERROR(__xludf.DUMMYFUNCTION("""COMPUTED_VALUE"""),58900.0)</f>
        <v>58900</v>
      </c>
      <c r="L787" s="2">
        <f>IFERROR(__xludf.DUMMYFUNCTION("""COMPUTED_VALUE"""),56.9928319)</f>
        <v>56.9928319</v>
      </c>
      <c r="M787" s="2">
        <f>IFERROR(__xludf.DUMMYFUNCTION("""COMPUTED_VALUE"""),24.1224521)</f>
        <v>24.1224521</v>
      </c>
    </row>
    <row r="788">
      <c r="A788" s="2" t="str">
        <f>IFERROR(__xludf.DUMMYFUNCTION("""COMPUTED_VALUE"""),"For sale")</f>
        <v>For sale</v>
      </c>
      <c r="B788" s="2" t="str">
        <f>IFERROR(__xludf.DUMMYFUNCTION("""COMPUTED_VALUE"""),"centrs")</f>
        <v>centrs</v>
      </c>
      <c r="C788" s="2" t="str">
        <f>IFERROR(__xludf.DUMMYFUNCTION("""COMPUTED_VALUE"""),"Valdemāra 95")</f>
        <v>Valdemāra 95</v>
      </c>
      <c r="D788" s="2">
        <f>IFERROR(__xludf.DUMMYFUNCTION("""COMPUTED_VALUE"""),3.0)</f>
        <v>3</v>
      </c>
      <c r="E788" s="2">
        <f>IFERROR(__xludf.DUMMYFUNCTION("""COMPUTED_VALUE"""),79.0)</f>
        <v>79</v>
      </c>
      <c r="F788" s="2">
        <f>IFERROR(__xludf.DUMMYFUNCTION("""COMPUTED_VALUE"""),5.0)</f>
        <v>5</v>
      </c>
      <c r="G788" s="2">
        <f>IFERROR(__xludf.DUMMYFUNCTION("""COMPUTED_VALUE"""),5.0)</f>
        <v>5</v>
      </c>
      <c r="H788" s="2" t="str">
        <f>IFERROR(__xludf.DUMMYFUNCTION("""COMPUTED_VALUE"""),"Staļina")</f>
        <v>Staļina</v>
      </c>
      <c r="I788" s="2" t="str">
        <f>IFERROR(__xludf.DUMMYFUNCTION("""COMPUTED_VALUE"""),"Masonry")</f>
        <v>Masonry</v>
      </c>
      <c r="J788" s="2" t="str">
        <f>IFERROR(__xludf.DUMMYFUNCTION("""COMPUTED_VALUE"""),"All amenities")</f>
        <v>All amenities</v>
      </c>
      <c r="K788" s="2">
        <f>IFERROR(__xludf.DUMMYFUNCTION("""COMPUTED_VALUE"""),95800.0)</f>
        <v>95800</v>
      </c>
      <c r="L788" s="2">
        <f>IFERROR(__xludf.DUMMYFUNCTION("""COMPUTED_VALUE"""),56.9642554)</f>
        <v>56.9642554</v>
      </c>
      <c r="M788" s="2">
        <f>IFERROR(__xludf.DUMMYFUNCTION("""COMPUTED_VALUE"""),24.1265442589108)</f>
        <v>24.12654426</v>
      </c>
    </row>
    <row r="789">
      <c r="A789" s="2" t="str">
        <f>IFERROR(__xludf.DUMMYFUNCTION("""COMPUTED_VALUE"""),"For rent")</f>
        <v>For rent</v>
      </c>
      <c r="B789" s="2" t="str">
        <f>IFERROR(__xludf.DUMMYFUNCTION("""COMPUTED_VALUE"""),"Pļavnieki")</f>
        <v>Pļavnieki</v>
      </c>
      <c r="C789" s="2" t="str">
        <f>IFERROR(__xludf.DUMMYFUNCTION("""COMPUTED_VALUE"""),"Zemes 3")</f>
        <v>Zemes 3</v>
      </c>
      <c r="D789" s="2">
        <f>IFERROR(__xludf.DUMMYFUNCTION("""COMPUTED_VALUE"""),1.0)</f>
        <v>1</v>
      </c>
      <c r="E789" s="2">
        <f>IFERROR(__xludf.DUMMYFUNCTION("""COMPUTED_VALUE"""),14.0)</f>
        <v>14</v>
      </c>
      <c r="F789" s="2">
        <f>IFERROR(__xludf.DUMMYFUNCTION("""COMPUTED_VALUE"""),2.0)</f>
        <v>2</v>
      </c>
      <c r="G789" s="2">
        <f>IFERROR(__xludf.DUMMYFUNCTION("""COMPUTED_VALUE"""),9.0)</f>
        <v>9</v>
      </c>
      <c r="H789" s="2">
        <f>IFERROR(__xludf.DUMMYFUNCTION("""COMPUTED_VALUE"""),602.0)</f>
        <v>602</v>
      </c>
      <c r="I789" s="2" t="str">
        <f>IFERROR(__xludf.DUMMYFUNCTION("""COMPUTED_VALUE"""),"Panel")</f>
        <v>Panel</v>
      </c>
      <c r="J789" s="2" t="str">
        <f>IFERROR(__xludf.DUMMYFUNCTION("""COMPUTED_VALUE"""),"All amenities")</f>
        <v>All amenities</v>
      </c>
      <c r="K789" s="2">
        <f>IFERROR(__xludf.DUMMYFUNCTION("""COMPUTED_VALUE"""),135.0)</f>
        <v>135</v>
      </c>
      <c r="L789" s="2">
        <f>IFERROR(__xludf.DUMMYFUNCTION("""COMPUTED_VALUE"""),56.942271)</f>
        <v>56.942271</v>
      </c>
      <c r="M789" s="2">
        <f>IFERROR(__xludf.DUMMYFUNCTION("""COMPUTED_VALUE"""),24.1972067778583)</f>
        <v>24.19720678</v>
      </c>
    </row>
    <row r="790">
      <c r="A790" s="2" t="str">
        <f>IFERROR(__xludf.DUMMYFUNCTION("""COMPUTED_VALUE"""),"For rent")</f>
        <v>For rent</v>
      </c>
      <c r="B790" s="2" t="str">
        <f>IFERROR(__xludf.DUMMYFUNCTION("""COMPUTED_VALUE"""),"Imanta")</f>
        <v>Imanta</v>
      </c>
      <c r="C790" s="2" t="str">
        <f>IFERROR(__xludf.DUMMYFUNCTION("""COMPUTED_VALUE"""),"Progresa 31")</f>
        <v>Progresa 31</v>
      </c>
      <c r="D790" s="2">
        <f>IFERROR(__xludf.DUMMYFUNCTION("""COMPUTED_VALUE"""),1.0)</f>
        <v>1</v>
      </c>
      <c r="E790" s="2">
        <f>IFERROR(__xludf.DUMMYFUNCTION("""COMPUTED_VALUE"""),22.0)</f>
        <v>22</v>
      </c>
      <c r="F790" s="2">
        <f>IFERROR(__xludf.DUMMYFUNCTION("""COMPUTED_VALUE"""),2.0)</f>
        <v>2</v>
      </c>
      <c r="G790" s="2">
        <f>IFERROR(__xludf.DUMMYFUNCTION("""COMPUTED_VALUE"""),2.0)</f>
        <v>2</v>
      </c>
      <c r="H790" s="2" t="str">
        <f>IFERROR(__xludf.DUMMYFUNCTION("""COMPUTED_VALUE"""),"Priv. m.")</f>
        <v>Priv. m.</v>
      </c>
      <c r="I790" s="2" t="str">
        <f>IFERROR(__xludf.DUMMYFUNCTION("""COMPUTED_VALUE"""),"Brick")</f>
        <v>Brick</v>
      </c>
      <c r="J790" s="2" t="str">
        <f>IFERROR(__xludf.DUMMYFUNCTION("""COMPUTED_VALUE"""),"All amenities")</f>
        <v>All amenities</v>
      </c>
      <c r="K790" s="2">
        <f>IFERROR(__xludf.DUMMYFUNCTION("""COMPUTED_VALUE"""),250.0)</f>
        <v>250</v>
      </c>
      <c r="L790" s="2">
        <f>IFERROR(__xludf.DUMMYFUNCTION("""COMPUTED_VALUE"""),56.95768705)</f>
        <v>56.95768705</v>
      </c>
      <c r="M790" s="2">
        <f>IFERROR(__xludf.DUMMYFUNCTION("""COMPUTED_VALUE"""),24.0324805)</f>
        <v>24.0324805</v>
      </c>
    </row>
    <row r="791">
      <c r="A791" s="2" t="str">
        <f>IFERROR(__xludf.DUMMYFUNCTION("""COMPUTED_VALUE"""),"For rent")</f>
        <v>For rent</v>
      </c>
      <c r="B791" s="2" t="str">
        <f>IFERROR(__xludf.DUMMYFUNCTION("""COMPUTED_VALUE"""),"Torņakalns")</f>
        <v>Torņakalns</v>
      </c>
      <c r="C791" s="2" t="str">
        <f>IFERROR(__xludf.DUMMYFUNCTION("""COMPUTED_VALUE"""),"Vaiņodes 24a")</f>
        <v>Vaiņodes 24a</v>
      </c>
      <c r="D791" s="2">
        <f>IFERROR(__xludf.DUMMYFUNCTION("""COMPUTED_VALUE"""),2.0)</f>
        <v>2</v>
      </c>
      <c r="E791" s="2">
        <f>IFERROR(__xludf.DUMMYFUNCTION("""COMPUTED_VALUE"""),36.0)</f>
        <v>36</v>
      </c>
      <c r="F791" s="2">
        <f>IFERROR(__xludf.DUMMYFUNCTION("""COMPUTED_VALUE"""),4.0)</f>
        <v>4</v>
      </c>
      <c r="G791" s="2">
        <f>IFERROR(__xludf.DUMMYFUNCTION("""COMPUTED_VALUE"""),5.0)</f>
        <v>5</v>
      </c>
      <c r="H791" s="2" t="str">
        <f>IFERROR(__xludf.DUMMYFUNCTION("""COMPUTED_VALUE"""),"LT proj.")</f>
        <v>LT proj.</v>
      </c>
      <c r="I791" s="2" t="str">
        <f>IFERROR(__xludf.DUMMYFUNCTION("""COMPUTED_VALUE"""),"Panel")</f>
        <v>Panel</v>
      </c>
      <c r="J791" s="2" t="str">
        <f>IFERROR(__xludf.DUMMYFUNCTION("""COMPUTED_VALUE"""),"Partial amenities")</f>
        <v>Partial amenities</v>
      </c>
      <c r="K791" s="2">
        <f>IFERROR(__xludf.DUMMYFUNCTION("""COMPUTED_VALUE"""),295.0)</f>
        <v>295</v>
      </c>
      <c r="L791" s="2">
        <f>IFERROR(__xludf.DUMMYFUNCTION("""COMPUTED_VALUE"""),56.9146722)</f>
        <v>56.9146722</v>
      </c>
      <c r="M791" s="2">
        <f>IFERROR(__xludf.DUMMYFUNCTION("""COMPUTED_VALUE"""),24.0918129)</f>
        <v>24.0918129</v>
      </c>
    </row>
    <row r="792">
      <c r="A792" s="2" t="str">
        <f>IFERROR(__xludf.DUMMYFUNCTION("""COMPUTED_VALUE"""),"For sale")</f>
        <v>For sale</v>
      </c>
      <c r="B792" s="2" t="str">
        <f>IFERROR(__xludf.DUMMYFUNCTION("""COMPUTED_VALUE"""),"Mežciems")</f>
        <v>Mežciems</v>
      </c>
      <c r="C792" s="2" t="str">
        <f>IFERROR(__xludf.DUMMYFUNCTION("""COMPUTED_VALUE"""),"Hipokrāta 33")</f>
        <v>Hipokrāta 33</v>
      </c>
      <c r="D792" s="2">
        <f>IFERROR(__xludf.DUMMYFUNCTION("""COMPUTED_VALUE"""),4.0)</f>
        <v>4</v>
      </c>
      <c r="E792" s="2">
        <f>IFERROR(__xludf.DUMMYFUNCTION("""COMPUTED_VALUE"""),77.0)</f>
        <v>77</v>
      </c>
      <c r="F792" s="2">
        <f>IFERROR(__xludf.DUMMYFUNCTION("""COMPUTED_VALUE"""),5.0)</f>
        <v>5</v>
      </c>
      <c r="G792" s="2">
        <f>IFERROR(__xludf.DUMMYFUNCTION("""COMPUTED_VALUE"""),9.0)</f>
        <v>9</v>
      </c>
      <c r="H792" s="2">
        <f>IFERROR(__xludf.DUMMYFUNCTION("""COMPUTED_VALUE"""),602.0)</f>
        <v>602</v>
      </c>
      <c r="I792" s="2" t="str">
        <f>IFERROR(__xludf.DUMMYFUNCTION("""COMPUTED_VALUE"""),"Panel")</f>
        <v>Panel</v>
      </c>
      <c r="J792" s="2" t="str">
        <f>IFERROR(__xludf.DUMMYFUNCTION("""COMPUTED_VALUE"""),"All amenities")</f>
        <v>All amenities</v>
      </c>
      <c r="K792" s="2">
        <f>IFERROR(__xludf.DUMMYFUNCTION("""COMPUTED_VALUE"""),75000.0)</f>
        <v>75000</v>
      </c>
      <c r="L792" s="2">
        <f>IFERROR(__xludf.DUMMYFUNCTION("""COMPUTED_VALUE"""),56.960931)</f>
        <v>56.960931</v>
      </c>
      <c r="M792" s="2">
        <f>IFERROR(__xludf.DUMMYFUNCTION("""COMPUTED_VALUE"""),24.2364975524553)</f>
        <v>24.23649755</v>
      </c>
    </row>
    <row r="793">
      <c r="A793" s="2" t="str">
        <f>IFERROR(__xludf.DUMMYFUNCTION("""COMPUTED_VALUE"""),"For sale")</f>
        <v>For sale</v>
      </c>
      <c r="B793" s="2" t="str">
        <f>IFERROR(__xludf.DUMMYFUNCTION("""COMPUTED_VALUE"""),"centrs")</f>
        <v>centrs</v>
      </c>
      <c r="C793" s="2" t="str">
        <f>IFERROR(__xludf.DUMMYFUNCTION("""COMPUTED_VALUE"""),"Tomsona 4")</f>
        <v>Tomsona 4</v>
      </c>
      <c r="D793" s="2">
        <f>IFERROR(__xludf.DUMMYFUNCTION("""COMPUTED_VALUE"""),2.0)</f>
        <v>2</v>
      </c>
      <c r="E793" s="2">
        <f>IFERROR(__xludf.DUMMYFUNCTION("""COMPUTED_VALUE"""),37.0)</f>
        <v>37</v>
      </c>
      <c r="F793" s="2">
        <f>IFERROR(__xludf.DUMMYFUNCTION("""COMPUTED_VALUE"""),1.0)</f>
        <v>1</v>
      </c>
      <c r="G793" s="2">
        <f>IFERROR(__xludf.DUMMYFUNCTION("""COMPUTED_VALUE"""),6.0)</f>
        <v>6</v>
      </c>
      <c r="H793" s="2" t="str">
        <f>IFERROR(__xludf.DUMMYFUNCTION("""COMPUTED_VALUE"""),"Renov.")</f>
        <v>Renov.</v>
      </c>
      <c r="I793" s="2" t="str">
        <f>IFERROR(__xludf.DUMMYFUNCTION("""COMPUTED_VALUE"""),"Masonry")</f>
        <v>Masonry</v>
      </c>
      <c r="J793" s="2" t="str">
        <f>IFERROR(__xludf.DUMMYFUNCTION("""COMPUTED_VALUE"""),"All amenities")</f>
        <v>All amenities</v>
      </c>
      <c r="K793" s="2">
        <f>IFERROR(__xludf.DUMMYFUNCTION("""COMPUTED_VALUE"""),45000.0)</f>
        <v>45000</v>
      </c>
      <c r="L793" s="2">
        <f>IFERROR(__xludf.DUMMYFUNCTION("""COMPUTED_VALUE"""),56.96362585)</f>
        <v>56.96362585</v>
      </c>
      <c r="M793" s="2">
        <f>IFERROR(__xludf.DUMMYFUNCTION("""COMPUTED_VALUE"""),24.1243187075168)</f>
        <v>24.12431871</v>
      </c>
    </row>
    <row r="794">
      <c r="A794" s="2" t="str">
        <f>IFERROR(__xludf.DUMMYFUNCTION("""COMPUTED_VALUE"""),"For rent")</f>
        <v>For rent</v>
      </c>
      <c r="B794" s="2" t="str">
        <f>IFERROR(__xludf.DUMMYFUNCTION("""COMPUTED_VALUE"""),"centrs")</f>
        <v>centrs</v>
      </c>
      <c r="C794" s="2" t="str">
        <f>IFERROR(__xludf.DUMMYFUNCTION("""COMPUTED_VALUE"""),"Miera 105")</f>
        <v>Miera 105</v>
      </c>
      <c r="D794" s="2">
        <f>IFERROR(__xludf.DUMMYFUNCTION("""COMPUTED_VALUE"""),2.0)</f>
        <v>2</v>
      </c>
      <c r="E794" s="2">
        <f>IFERROR(__xludf.DUMMYFUNCTION("""COMPUTED_VALUE"""),46.0)</f>
        <v>46</v>
      </c>
      <c r="F794" s="2">
        <f>IFERROR(__xludf.DUMMYFUNCTION("""COMPUTED_VALUE"""),2.0)</f>
        <v>2</v>
      </c>
      <c r="G794" s="2">
        <f>IFERROR(__xludf.DUMMYFUNCTION("""COMPUTED_VALUE"""),6.0)</f>
        <v>6</v>
      </c>
      <c r="H794" s="2" t="str">
        <f>IFERROR(__xludf.DUMMYFUNCTION("""COMPUTED_VALUE"""),"Renov.")</f>
        <v>Renov.</v>
      </c>
      <c r="I794" s="2" t="str">
        <f>IFERROR(__xludf.DUMMYFUNCTION("""COMPUTED_VALUE"""),"Masonry")</f>
        <v>Masonry</v>
      </c>
      <c r="J794" s="2" t="str">
        <f>IFERROR(__xludf.DUMMYFUNCTION("""COMPUTED_VALUE"""),"All amenities")</f>
        <v>All amenities</v>
      </c>
      <c r="K794" s="2">
        <f>IFERROR(__xludf.DUMMYFUNCTION("""COMPUTED_VALUE"""),450.0)</f>
        <v>450</v>
      </c>
      <c r="L794" s="2">
        <f>IFERROR(__xludf.DUMMYFUNCTION("""COMPUTED_VALUE"""),56.9665763)</f>
        <v>56.9665763</v>
      </c>
      <c r="M794" s="2">
        <f>IFERROR(__xludf.DUMMYFUNCTION("""COMPUTED_VALUE"""),24.1337504)</f>
        <v>24.1337504</v>
      </c>
    </row>
    <row r="795">
      <c r="A795" s="2" t="str">
        <f>IFERROR(__xludf.DUMMYFUNCTION("""COMPUTED_VALUE"""),"For sale")</f>
        <v>For sale</v>
      </c>
      <c r="B795" s="2" t="str">
        <f>IFERROR(__xludf.DUMMYFUNCTION("""COMPUTED_VALUE"""),"centrs")</f>
        <v>centrs</v>
      </c>
      <c r="C795" s="2" t="str">
        <f>IFERROR(__xludf.DUMMYFUNCTION("""COMPUTED_VALUE"""),"Blaumaņa 12")</f>
        <v>Blaumaņa 12</v>
      </c>
      <c r="D795" s="2">
        <f>IFERROR(__xludf.DUMMYFUNCTION("""COMPUTED_VALUE"""),3.0)</f>
        <v>3</v>
      </c>
      <c r="E795" s="2">
        <f>IFERROR(__xludf.DUMMYFUNCTION("""COMPUTED_VALUE"""),77.0)</f>
        <v>77</v>
      </c>
      <c r="F795" s="2">
        <f>IFERROR(__xludf.DUMMYFUNCTION("""COMPUTED_VALUE"""),4.0)</f>
        <v>4</v>
      </c>
      <c r="G795" s="2">
        <f>IFERROR(__xludf.DUMMYFUNCTION("""COMPUTED_VALUE"""),6.0)</f>
        <v>6</v>
      </c>
      <c r="H795" s="2" t="str">
        <f>IFERROR(__xludf.DUMMYFUNCTION("""COMPUTED_VALUE"""),"Renov.")</f>
        <v>Renov.</v>
      </c>
      <c r="I795" s="2" t="str">
        <f>IFERROR(__xludf.DUMMYFUNCTION("""COMPUTED_VALUE"""),"Masonry")</f>
        <v>Masonry</v>
      </c>
      <c r="J795" s="2" t="str">
        <f>IFERROR(__xludf.DUMMYFUNCTION("""COMPUTED_VALUE"""),"All amenities")</f>
        <v>All amenities</v>
      </c>
      <c r="K795" s="2">
        <f>IFERROR(__xludf.DUMMYFUNCTION("""COMPUTED_VALUE"""),198223.0)</f>
        <v>198223</v>
      </c>
      <c r="L795" s="2">
        <f>IFERROR(__xludf.DUMMYFUNCTION("""COMPUTED_VALUE"""),56.9548306)</f>
        <v>56.9548306</v>
      </c>
      <c r="M795" s="2">
        <f>IFERROR(__xludf.DUMMYFUNCTION("""COMPUTED_VALUE"""),24.1221141)</f>
        <v>24.1221141</v>
      </c>
    </row>
    <row r="796">
      <c r="A796" s="2" t="str">
        <f>IFERROR(__xludf.DUMMYFUNCTION("""COMPUTED_VALUE"""),"For sale")</f>
        <v>For sale</v>
      </c>
      <c r="B796" s="2" t="str">
        <f>IFERROR(__xludf.DUMMYFUNCTION("""COMPUTED_VALUE"""),"centrs")</f>
        <v>centrs</v>
      </c>
      <c r="C796" s="2" t="str">
        <f>IFERROR(__xludf.DUMMYFUNCTION("""COMPUTED_VALUE"""),"Miera 105")</f>
        <v>Miera 105</v>
      </c>
      <c r="D796" s="2">
        <f>IFERROR(__xludf.DUMMYFUNCTION("""COMPUTED_VALUE"""),3.0)</f>
        <v>3</v>
      </c>
      <c r="E796" s="2">
        <f>IFERROR(__xludf.DUMMYFUNCTION("""COMPUTED_VALUE"""),71.6)</f>
        <v>71.6</v>
      </c>
      <c r="F796" s="2">
        <f>IFERROR(__xludf.DUMMYFUNCTION("""COMPUTED_VALUE"""),6.0)</f>
        <v>6</v>
      </c>
      <c r="G796" s="2">
        <f>IFERROR(__xludf.DUMMYFUNCTION("""COMPUTED_VALUE"""),6.0)</f>
        <v>6</v>
      </c>
      <c r="H796" s="2" t="str">
        <f>IFERROR(__xludf.DUMMYFUNCTION("""COMPUTED_VALUE"""),"Renov.")</f>
        <v>Renov.</v>
      </c>
      <c r="I796" s="2" t="str">
        <f>IFERROR(__xludf.DUMMYFUNCTION("""COMPUTED_VALUE"""),"Masonry")</f>
        <v>Masonry</v>
      </c>
      <c r="J796" s="2" t="str">
        <f>IFERROR(__xludf.DUMMYFUNCTION("""COMPUTED_VALUE"""),"All amenities")</f>
        <v>All amenities</v>
      </c>
      <c r="K796" s="2">
        <f>IFERROR(__xludf.DUMMYFUNCTION("""COMPUTED_VALUE"""),130300.0)</f>
        <v>130300</v>
      </c>
      <c r="L796" s="2">
        <f>IFERROR(__xludf.DUMMYFUNCTION("""COMPUTED_VALUE"""),56.9665763)</f>
        <v>56.9665763</v>
      </c>
      <c r="M796" s="2">
        <f>IFERROR(__xludf.DUMMYFUNCTION("""COMPUTED_VALUE"""),24.1337504)</f>
        <v>24.1337504</v>
      </c>
    </row>
    <row r="797">
      <c r="A797" s="2" t="str">
        <f>IFERROR(__xludf.DUMMYFUNCTION("""COMPUTED_VALUE"""),"For rent")</f>
        <v>For rent</v>
      </c>
      <c r="B797" s="2" t="str">
        <f>IFERROR(__xludf.DUMMYFUNCTION("""COMPUTED_VALUE"""),"Imanta")</f>
        <v>Imanta</v>
      </c>
      <c r="C797" s="2" t="str">
        <f>IFERROR(__xludf.DUMMYFUNCTION("""COMPUTED_VALUE"""),"Kleistu 179")</f>
        <v>Kleistu 179</v>
      </c>
      <c r="D797" s="2">
        <f>IFERROR(__xludf.DUMMYFUNCTION("""COMPUTED_VALUE"""),1.0)</f>
        <v>1</v>
      </c>
      <c r="E797" s="2">
        <f>IFERROR(__xludf.DUMMYFUNCTION("""COMPUTED_VALUE"""),27.0)</f>
        <v>27</v>
      </c>
      <c r="F797" s="2">
        <f>IFERROR(__xludf.DUMMYFUNCTION("""COMPUTED_VALUE"""),1.0)</f>
        <v>1</v>
      </c>
      <c r="G797" s="2">
        <f>IFERROR(__xludf.DUMMYFUNCTION("""COMPUTED_VALUE"""),5.0)</f>
        <v>5</v>
      </c>
      <c r="H797" s="2" t="str">
        <f>IFERROR(__xludf.DUMMYFUNCTION("""COMPUTED_VALUE"""),"LT proj.")</f>
        <v>LT proj.</v>
      </c>
      <c r="I797" s="2" t="str">
        <f>IFERROR(__xludf.DUMMYFUNCTION("""COMPUTED_VALUE"""),"Panel")</f>
        <v>Panel</v>
      </c>
      <c r="J797" s="2" t="str">
        <f>IFERROR(__xludf.DUMMYFUNCTION("""COMPUTED_VALUE"""),"All amenities")</f>
        <v>All amenities</v>
      </c>
      <c r="K797" s="2">
        <f>IFERROR(__xludf.DUMMYFUNCTION("""COMPUTED_VALUE"""),220.0)</f>
        <v>220</v>
      </c>
      <c r="L797" s="2">
        <f>IFERROR(__xludf.DUMMYFUNCTION("""COMPUTED_VALUE"""),56.9675737)</f>
        <v>56.9675737</v>
      </c>
      <c r="M797" s="2">
        <f>IFERROR(__xludf.DUMMYFUNCTION("""COMPUTED_VALUE"""),24.0276706)</f>
        <v>24.0276706</v>
      </c>
    </row>
    <row r="798">
      <c r="A798" s="2" t="str">
        <f>IFERROR(__xludf.DUMMYFUNCTION("""COMPUTED_VALUE"""),"For rent")</f>
        <v>For rent</v>
      </c>
      <c r="B798" s="2" t="str">
        <f>IFERROR(__xludf.DUMMYFUNCTION("""COMPUTED_VALUE"""),"Āgenskalns")</f>
        <v>Āgenskalns</v>
      </c>
      <c r="C798" s="2" t="str">
        <f>IFERROR(__xludf.DUMMYFUNCTION("""COMPUTED_VALUE"""),"Kuģu 22")</f>
        <v>Kuģu 22</v>
      </c>
      <c r="D798" s="2">
        <f>IFERROR(__xludf.DUMMYFUNCTION("""COMPUTED_VALUE"""),2.0)</f>
        <v>2</v>
      </c>
      <c r="E798" s="2">
        <f>IFERROR(__xludf.DUMMYFUNCTION("""COMPUTED_VALUE"""),45.0)</f>
        <v>45</v>
      </c>
      <c r="F798" s="2">
        <f>IFERROR(__xludf.DUMMYFUNCTION("""COMPUTED_VALUE"""),5.0)</f>
        <v>5</v>
      </c>
      <c r="G798" s="2">
        <f>IFERROR(__xludf.DUMMYFUNCTION("""COMPUTED_VALUE"""),6.0)</f>
        <v>6</v>
      </c>
      <c r="H798" s="2" t="str">
        <f>IFERROR(__xludf.DUMMYFUNCTION("""COMPUTED_VALUE"""),"Hrušč.")</f>
        <v>Hrušč.</v>
      </c>
      <c r="I798" s="2" t="str">
        <f>IFERROR(__xludf.DUMMYFUNCTION("""COMPUTED_VALUE"""),"Brick")</f>
        <v>Brick</v>
      </c>
      <c r="J798" s="2" t="str">
        <f>IFERROR(__xludf.DUMMYFUNCTION("""COMPUTED_VALUE"""),"All amenities")</f>
        <v>All amenities</v>
      </c>
      <c r="K798" s="2">
        <f>IFERROR(__xludf.DUMMYFUNCTION("""COMPUTED_VALUE"""),450.0)</f>
        <v>450</v>
      </c>
      <c r="L798" s="2">
        <f>IFERROR(__xludf.DUMMYFUNCTION("""COMPUTED_VALUE"""),56.9425516999999)</f>
        <v>56.9425517</v>
      </c>
      <c r="M798" s="2">
        <f>IFERROR(__xludf.DUMMYFUNCTION("""COMPUTED_VALUE"""),24.0948875747729)</f>
        <v>24.09488757</v>
      </c>
    </row>
    <row r="799">
      <c r="A799" s="2" t="str">
        <f>IFERROR(__xludf.DUMMYFUNCTION("""COMPUTED_VALUE"""),"For sale")</f>
        <v>For sale</v>
      </c>
      <c r="B799" s="2" t="str">
        <f>IFERROR(__xludf.DUMMYFUNCTION("""COMPUTED_VALUE"""),"Ķengarags")</f>
        <v>Ķengarags</v>
      </c>
      <c r="C799" s="2" t="str">
        <f>IFERROR(__xludf.DUMMYFUNCTION("""COMPUTED_VALUE"""),"Krustpils 73/4")</f>
        <v>Krustpils 73/4</v>
      </c>
      <c r="D799" s="2">
        <f>IFERROR(__xludf.DUMMYFUNCTION("""COMPUTED_VALUE"""),1.0)</f>
        <v>1</v>
      </c>
      <c r="E799" s="2">
        <f>IFERROR(__xludf.DUMMYFUNCTION("""COMPUTED_VALUE"""),17.0)</f>
        <v>17</v>
      </c>
      <c r="F799" s="2">
        <f>IFERROR(__xludf.DUMMYFUNCTION("""COMPUTED_VALUE"""),3.0)</f>
        <v>3</v>
      </c>
      <c r="G799" s="2">
        <f>IFERROR(__xludf.DUMMYFUNCTION("""COMPUTED_VALUE"""),3.0)</f>
        <v>3</v>
      </c>
      <c r="H799" s="2" t="str">
        <f>IFERROR(__xludf.DUMMYFUNCTION("""COMPUTED_VALUE"""),"M. ģim.")</f>
        <v>M. ģim.</v>
      </c>
      <c r="I799" s="2" t="str">
        <f>IFERROR(__xludf.DUMMYFUNCTION("""COMPUTED_VALUE"""),"Brick")</f>
        <v>Brick</v>
      </c>
      <c r="J799" s="2" t="str">
        <f>IFERROR(__xludf.DUMMYFUNCTION("""COMPUTED_VALUE"""),"All amenities")</f>
        <v>All amenities</v>
      </c>
      <c r="K799" s="2">
        <f>IFERROR(__xludf.DUMMYFUNCTION("""COMPUTED_VALUE"""),15500.0)</f>
        <v>15500</v>
      </c>
      <c r="L799" s="2">
        <f>IFERROR(__xludf.DUMMYFUNCTION("""COMPUTED_VALUE"""),56.9293636)</f>
        <v>56.9293636</v>
      </c>
      <c r="M799" s="2">
        <f>IFERROR(__xludf.DUMMYFUNCTION("""COMPUTED_VALUE"""),24.1835723)</f>
        <v>24.1835723</v>
      </c>
    </row>
    <row r="800">
      <c r="A800" s="2" t="str">
        <f>IFERROR(__xludf.DUMMYFUNCTION("""COMPUTED_VALUE"""),"For sale")</f>
        <v>For sale</v>
      </c>
      <c r="B800" s="2" t="str">
        <f>IFERROR(__xludf.DUMMYFUNCTION("""COMPUTED_VALUE"""),"centrs")</f>
        <v>centrs</v>
      </c>
      <c r="C800" s="2" t="str">
        <f>IFERROR(__xludf.DUMMYFUNCTION("""COMPUTED_VALUE"""),"Brīvības iela 76")</f>
        <v>Brīvības iela 76</v>
      </c>
      <c r="D800" s="2">
        <f>IFERROR(__xludf.DUMMYFUNCTION("""COMPUTED_VALUE"""),4.0)</f>
        <v>4</v>
      </c>
      <c r="E800" s="2">
        <f>IFERROR(__xludf.DUMMYFUNCTION("""COMPUTED_VALUE"""),146.0)</f>
        <v>146</v>
      </c>
      <c r="F800" s="2">
        <f>IFERROR(__xludf.DUMMYFUNCTION("""COMPUTED_VALUE"""),6.0)</f>
        <v>6</v>
      </c>
      <c r="G800" s="2">
        <f>IFERROR(__xludf.DUMMYFUNCTION("""COMPUTED_VALUE"""),6.0)</f>
        <v>6</v>
      </c>
      <c r="H800" s="2" t="str">
        <f>IFERROR(__xludf.DUMMYFUNCTION("""COMPUTED_VALUE"""),"P. kara")</f>
        <v>P. kara</v>
      </c>
      <c r="I800" s="2" t="str">
        <f>IFERROR(__xludf.DUMMYFUNCTION("""COMPUTED_VALUE"""),"Masonry")</f>
        <v>Masonry</v>
      </c>
      <c r="J800" s="2" t="str">
        <f>IFERROR(__xludf.DUMMYFUNCTION("""COMPUTED_VALUE"""),"All amenities")</f>
        <v>All amenities</v>
      </c>
      <c r="K800" s="2">
        <f>IFERROR(__xludf.DUMMYFUNCTION("""COMPUTED_VALUE"""),270000.0)</f>
        <v>270000</v>
      </c>
      <c r="L800" s="2">
        <f>IFERROR(__xludf.DUMMYFUNCTION("""COMPUTED_VALUE"""),56.9583571)</f>
        <v>56.9583571</v>
      </c>
      <c r="M800" s="2">
        <f>IFERROR(__xludf.DUMMYFUNCTION("""COMPUTED_VALUE"""),24.1252547)</f>
        <v>24.1252547</v>
      </c>
    </row>
    <row r="801">
      <c r="A801" s="2" t="str">
        <f>IFERROR(__xludf.DUMMYFUNCTION("""COMPUTED_VALUE"""),"For sale")</f>
        <v>For sale</v>
      </c>
      <c r="B801" s="2" t="str">
        <f>IFERROR(__xludf.DUMMYFUNCTION("""COMPUTED_VALUE"""),"Imanta")</f>
        <v>Imanta</v>
      </c>
      <c r="C801" s="2" t="str">
        <f>IFERROR(__xludf.DUMMYFUNCTION("""COMPUTED_VALUE"""),"Anniņmuižas bulvāris 38")</f>
        <v>Anniņmuižas bulvāris 38</v>
      </c>
      <c r="D801" s="2">
        <f>IFERROR(__xludf.DUMMYFUNCTION("""COMPUTED_VALUE"""),2.0)</f>
        <v>2</v>
      </c>
      <c r="E801" s="2">
        <f>IFERROR(__xludf.DUMMYFUNCTION("""COMPUTED_VALUE"""),64.0)</f>
        <v>64</v>
      </c>
      <c r="F801" s="2">
        <f>IFERROR(__xludf.DUMMYFUNCTION("""COMPUTED_VALUE"""),10.0)</f>
        <v>10</v>
      </c>
      <c r="G801" s="2">
        <f>IFERROR(__xludf.DUMMYFUNCTION("""COMPUTED_VALUE"""),18.0)</f>
        <v>18</v>
      </c>
      <c r="H801" s="2" t="str">
        <f>IFERROR(__xludf.DUMMYFUNCTION("""COMPUTED_VALUE"""),"Jaun.")</f>
        <v>Jaun.</v>
      </c>
      <c r="I801" s="2" t="str">
        <f>IFERROR(__xludf.DUMMYFUNCTION("""COMPUTED_VALUE"""),"Panel")</f>
        <v>Panel</v>
      </c>
      <c r="J801" s="2" t="str">
        <f>IFERROR(__xludf.DUMMYFUNCTION("""COMPUTED_VALUE"""),"All amenities")</f>
        <v>All amenities</v>
      </c>
      <c r="K801" s="2">
        <f>IFERROR(__xludf.DUMMYFUNCTION("""COMPUTED_VALUE"""),95000.0)</f>
        <v>95000</v>
      </c>
      <c r="L801" s="2">
        <f>IFERROR(__xludf.DUMMYFUNCTION("""COMPUTED_VALUE"""),56.96112105)</f>
        <v>56.96112105</v>
      </c>
      <c r="M801" s="2">
        <f>IFERROR(__xludf.DUMMYFUNCTION("""COMPUTED_VALUE"""),24.01821679525)</f>
        <v>24.0182168</v>
      </c>
    </row>
    <row r="802">
      <c r="A802" s="2" t="str">
        <f>IFERROR(__xludf.DUMMYFUNCTION("""COMPUTED_VALUE"""),"For sale")</f>
        <v>For sale</v>
      </c>
      <c r="B802" s="2" t="str">
        <f>IFERROR(__xludf.DUMMYFUNCTION("""COMPUTED_VALUE"""),"Purvciems")</f>
        <v>Purvciems</v>
      </c>
      <c r="C802" s="2" t="str">
        <f>IFERROR(__xludf.DUMMYFUNCTION("""COMPUTED_VALUE"""),"Viršu 11")</f>
        <v>Viršu 11</v>
      </c>
      <c r="D802" s="2">
        <f>IFERROR(__xludf.DUMMYFUNCTION("""COMPUTED_VALUE"""),2.0)</f>
        <v>2</v>
      </c>
      <c r="E802" s="2">
        <f>IFERROR(__xludf.DUMMYFUNCTION("""COMPUTED_VALUE"""),46.0)</f>
        <v>46</v>
      </c>
      <c r="F802" s="2">
        <f>IFERROR(__xludf.DUMMYFUNCTION("""COMPUTED_VALUE"""),6.0)</f>
        <v>6</v>
      </c>
      <c r="G802" s="2">
        <f>IFERROR(__xludf.DUMMYFUNCTION("""COMPUTED_VALUE"""),9.0)</f>
        <v>9</v>
      </c>
      <c r="H802" s="2">
        <f>IFERROR(__xludf.DUMMYFUNCTION("""COMPUTED_VALUE"""),119.0)</f>
        <v>119</v>
      </c>
      <c r="I802" s="2" t="str">
        <f>IFERROR(__xludf.DUMMYFUNCTION("""COMPUTED_VALUE"""),"Panel")</f>
        <v>Panel</v>
      </c>
      <c r="J802" s="2" t="str">
        <f>IFERROR(__xludf.DUMMYFUNCTION("""COMPUTED_VALUE"""),"All amenities")</f>
        <v>All amenities</v>
      </c>
      <c r="K802" s="2">
        <f>IFERROR(__xludf.DUMMYFUNCTION("""COMPUTED_VALUE"""),53000.0)</f>
        <v>53000</v>
      </c>
      <c r="L802" s="2">
        <f>IFERROR(__xludf.DUMMYFUNCTION("""COMPUTED_VALUE"""),56.9517249)</f>
        <v>56.9517249</v>
      </c>
      <c r="M802" s="2">
        <f>IFERROR(__xludf.DUMMYFUNCTION("""COMPUTED_VALUE"""),24.1804546101438)</f>
        <v>24.18045461</v>
      </c>
    </row>
    <row r="803">
      <c r="A803" s="2" t="str">
        <f>IFERROR(__xludf.DUMMYFUNCTION("""COMPUTED_VALUE"""),"For sale")</f>
        <v>For sale</v>
      </c>
      <c r="B803" s="2" t="str">
        <f>IFERROR(__xludf.DUMMYFUNCTION("""COMPUTED_VALUE"""),"Vecrīga")</f>
        <v>Vecrīga</v>
      </c>
      <c r="C803" s="2" t="str">
        <f>IFERROR(__xludf.DUMMYFUNCTION("""COMPUTED_VALUE"""),"13. janvāra 33")</f>
        <v>13. janvāra 33</v>
      </c>
      <c r="D803" s="2">
        <f>IFERROR(__xludf.DUMMYFUNCTION("""COMPUTED_VALUE"""),1.0)</f>
        <v>1</v>
      </c>
      <c r="E803" s="2">
        <f>IFERROR(__xludf.DUMMYFUNCTION("""COMPUTED_VALUE"""),45.0)</f>
        <v>45</v>
      </c>
      <c r="F803" s="2">
        <f>IFERROR(__xludf.DUMMYFUNCTION("""COMPUTED_VALUE"""),3.0)</f>
        <v>3</v>
      </c>
      <c r="G803" s="2">
        <f>IFERROR(__xludf.DUMMYFUNCTION("""COMPUTED_VALUE"""),4.0)</f>
        <v>4</v>
      </c>
      <c r="H803" s="2" t="str">
        <f>IFERROR(__xludf.DUMMYFUNCTION("""COMPUTED_VALUE"""),"Renov.")</f>
        <v>Renov.</v>
      </c>
      <c r="I803" s="2" t="str">
        <f>IFERROR(__xludf.DUMMYFUNCTION("""COMPUTED_VALUE"""),"Masonry")</f>
        <v>Masonry</v>
      </c>
      <c r="J803" s="2" t="str">
        <f>IFERROR(__xludf.DUMMYFUNCTION("""COMPUTED_VALUE"""),"All amenities")</f>
        <v>All amenities</v>
      </c>
      <c r="K803" s="2">
        <f>IFERROR(__xludf.DUMMYFUNCTION("""COMPUTED_VALUE"""),105000.0)</f>
        <v>105000</v>
      </c>
      <c r="L803" s="2">
        <f>IFERROR(__xludf.DUMMYFUNCTION("""COMPUTED_VALUE"""),56.94451965)</f>
        <v>56.94451965</v>
      </c>
      <c r="M803" s="2">
        <f>IFERROR(__xludf.DUMMYFUNCTION("""COMPUTED_VALUE"""),24.1097848172545)</f>
        <v>24.10978482</v>
      </c>
    </row>
    <row r="804">
      <c r="A804" s="2" t="str">
        <f>IFERROR(__xludf.DUMMYFUNCTION("""COMPUTED_VALUE"""),"For sale")</f>
        <v>For sale</v>
      </c>
      <c r="B804" s="2" t="str">
        <f>IFERROR(__xludf.DUMMYFUNCTION("""COMPUTED_VALUE"""),"Vecrīga")</f>
        <v>Vecrīga</v>
      </c>
      <c r="C804" s="2" t="str">
        <f>IFERROR(__xludf.DUMMYFUNCTION("""COMPUTED_VALUE"""),"13. janvāra 33")</f>
        <v>13. janvāra 33</v>
      </c>
      <c r="D804" s="2">
        <f>IFERROR(__xludf.DUMMYFUNCTION("""COMPUTED_VALUE"""),1.0)</f>
        <v>1</v>
      </c>
      <c r="E804" s="2">
        <f>IFERROR(__xludf.DUMMYFUNCTION("""COMPUTED_VALUE"""),40.0)</f>
        <v>40</v>
      </c>
      <c r="F804" s="2">
        <f>IFERROR(__xludf.DUMMYFUNCTION("""COMPUTED_VALUE"""),3.0)</f>
        <v>3</v>
      </c>
      <c r="G804" s="2">
        <f>IFERROR(__xludf.DUMMYFUNCTION("""COMPUTED_VALUE"""),4.0)</f>
        <v>4</v>
      </c>
      <c r="H804" s="2" t="str">
        <f>IFERROR(__xludf.DUMMYFUNCTION("""COMPUTED_VALUE"""),"Renov.")</f>
        <v>Renov.</v>
      </c>
      <c r="I804" s="2" t="str">
        <f>IFERROR(__xludf.DUMMYFUNCTION("""COMPUTED_VALUE"""),"Masonry")</f>
        <v>Masonry</v>
      </c>
      <c r="J804" s="2" t="str">
        <f>IFERROR(__xludf.DUMMYFUNCTION("""COMPUTED_VALUE"""),"All amenities")</f>
        <v>All amenities</v>
      </c>
      <c r="K804" s="2">
        <f>IFERROR(__xludf.DUMMYFUNCTION("""COMPUTED_VALUE"""),110000.0)</f>
        <v>110000</v>
      </c>
      <c r="L804" s="2">
        <f>IFERROR(__xludf.DUMMYFUNCTION("""COMPUTED_VALUE"""),56.94451965)</f>
        <v>56.94451965</v>
      </c>
      <c r="M804" s="2">
        <f>IFERROR(__xludf.DUMMYFUNCTION("""COMPUTED_VALUE"""),24.1097848172545)</f>
        <v>24.10978482</v>
      </c>
    </row>
    <row r="805">
      <c r="A805" s="2" t="str">
        <f>IFERROR(__xludf.DUMMYFUNCTION("""COMPUTED_VALUE"""),"For sale")</f>
        <v>For sale</v>
      </c>
      <c r="B805" s="2" t="str">
        <f>IFERROR(__xludf.DUMMYFUNCTION("""COMPUTED_VALUE"""),"centrs")</f>
        <v>centrs</v>
      </c>
      <c r="C805" s="2" t="str">
        <f>IFERROR(__xludf.DUMMYFUNCTION("""COMPUTED_VALUE"""),"Blaumaņa 12")</f>
        <v>Blaumaņa 12</v>
      </c>
      <c r="D805" s="2">
        <f>IFERROR(__xludf.DUMMYFUNCTION("""COMPUTED_VALUE"""),3.0)</f>
        <v>3</v>
      </c>
      <c r="E805" s="2">
        <f>IFERROR(__xludf.DUMMYFUNCTION("""COMPUTED_VALUE"""),64.2)</f>
        <v>64.2</v>
      </c>
      <c r="F805" s="2">
        <f>IFERROR(__xludf.DUMMYFUNCTION("""COMPUTED_VALUE"""),4.0)</f>
        <v>4</v>
      </c>
      <c r="G805" s="2">
        <f>IFERROR(__xludf.DUMMYFUNCTION("""COMPUTED_VALUE"""),6.0)</f>
        <v>6</v>
      </c>
      <c r="H805" s="2" t="str">
        <f>IFERROR(__xludf.DUMMYFUNCTION("""COMPUTED_VALUE"""),"Renov.")</f>
        <v>Renov.</v>
      </c>
      <c r="I805" s="2" t="str">
        <f>IFERROR(__xludf.DUMMYFUNCTION("""COMPUTED_VALUE"""),"Masonry")</f>
        <v>Masonry</v>
      </c>
      <c r="J805" s="2" t="str">
        <f>IFERROR(__xludf.DUMMYFUNCTION("""COMPUTED_VALUE"""),"All amenities")</f>
        <v>All amenities</v>
      </c>
      <c r="K805" s="2">
        <f>IFERROR(__xludf.DUMMYFUNCTION("""COMPUTED_VALUE"""),152475.0)</f>
        <v>152475</v>
      </c>
      <c r="L805" s="2">
        <f>IFERROR(__xludf.DUMMYFUNCTION("""COMPUTED_VALUE"""),56.9548306)</f>
        <v>56.9548306</v>
      </c>
      <c r="M805" s="2">
        <f>IFERROR(__xludf.DUMMYFUNCTION("""COMPUTED_VALUE"""),24.1221141)</f>
        <v>24.1221141</v>
      </c>
    </row>
    <row r="806">
      <c r="A806" s="2" t="str">
        <f>IFERROR(__xludf.DUMMYFUNCTION("""COMPUTED_VALUE"""),"For sale")</f>
        <v>For sale</v>
      </c>
      <c r="B806" s="2" t="str">
        <f>IFERROR(__xludf.DUMMYFUNCTION("""COMPUTED_VALUE"""),"Sarkandaugava")</f>
        <v>Sarkandaugava</v>
      </c>
      <c r="C806" s="2" t="str">
        <f>IFERROR(__xludf.DUMMYFUNCTION("""COMPUTED_VALUE"""),"Viestura pr. 55")</f>
        <v>Viestura pr. 55</v>
      </c>
      <c r="D806" s="2">
        <f>IFERROR(__xludf.DUMMYFUNCTION("""COMPUTED_VALUE"""),3.0)</f>
        <v>3</v>
      </c>
      <c r="E806" s="2">
        <f>IFERROR(__xludf.DUMMYFUNCTION("""COMPUTED_VALUE"""),63.0)</f>
        <v>63</v>
      </c>
      <c r="F806" s="2">
        <f>IFERROR(__xludf.DUMMYFUNCTION("""COMPUTED_VALUE"""),2.0)</f>
        <v>2</v>
      </c>
      <c r="G806" s="2">
        <f>IFERROR(__xludf.DUMMYFUNCTION("""COMPUTED_VALUE"""),9.0)</f>
        <v>9</v>
      </c>
      <c r="H806" s="2" t="str">
        <f>IFERROR(__xludf.DUMMYFUNCTION("""COMPUTED_VALUE"""),"Specpr.")</f>
        <v>Specpr.</v>
      </c>
      <c r="I806" s="2" t="str">
        <f>IFERROR(__xludf.DUMMYFUNCTION("""COMPUTED_VALUE"""),"Brick")</f>
        <v>Brick</v>
      </c>
      <c r="J806" s="2" t="str">
        <f>IFERROR(__xludf.DUMMYFUNCTION("""COMPUTED_VALUE"""),"All amenities")</f>
        <v>All amenities</v>
      </c>
      <c r="K806" s="2">
        <f>IFERROR(__xludf.DUMMYFUNCTION("""COMPUTED_VALUE"""),48000.0)</f>
        <v>48000</v>
      </c>
      <c r="L806" s="2">
        <f>IFERROR(__xludf.DUMMYFUNCTION("""COMPUTED_VALUE"""),56.9984366)</f>
        <v>56.9984366</v>
      </c>
      <c r="M806" s="2">
        <f>IFERROR(__xludf.DUMMYFUNCTION("""COMPUTED_VALUE"""),24.1328951)</f>
        <v>24.1328951</v>
      </c>
    </row>
    <row r="807">
      <c r="A807" s="2" t="str">
        <f>IFERROR(__xludf.DUMMYFUNCTION("""COMPUTED_VALUE"""),"For rent")</f>
        <v>For rent</v>
      </c>
      <c r="B807" s="2" t="str">
        <f>IFERROR(__xludf.DUMMYFUNCTION("""COMPUTED_VALUE"""),"centrs")</f>
        <v>centrs</v>
      </c>
      <c r="C807" s="2" t="str">
        <f>IFERROR(__xludf.DUMMYFUNCTION("""COMPUTED_VALUE"""),"Republikas laukums 3")</f>
        <v>Republikas laukums 3</v>
      </c>
      <c r="D807" s="2">
        <f>IFERROR(__xludf.DUMMYFUNCTION("""COMPUTED_VALUE"""),2.0)</f>
        <v>2</v>
      </c>
      <c r="E807" s="2">
        <f>IFERROR(__xludf.DUMMYFUNCTION("""COMPUTED_VALUE"""),56.0)</f>
        <v>56</v>
      </c>
      <c r="F807" s="2">
        <f>IFERROR(__xludf.DUMMYFUNCTION("""COMPUTED_VALUE"""),2.0)</f>
        <v>2</v>
      </c>
      <c r="G807" s="2">
        <f>IFERROR(__xludf.DUMMYFUNCTION("""COMPUTED_VALUE"""),7.0)</f>
        <v>7</v>
      </c>
      <c r="H807" s="2" t="str">
        <f>IFERROR(__xludf.DUMMYFUNCTION("""COMPUTED_VALUE"""),"Jaun.")</f>
        <v>Jaun.</v>
      </c>
      <c r="I807" s="2" t="str">
        <f>IFERROR(__xludf.DUMMYFUNCTION("""COMPUTED_VALUE"""),"Masonry")</f>
        <v>Masonry</v>
      </c>
      <c r="J807" s="2" t="str">
        <f>IFERROR(__xludf.DUMMYFUNCTION("""COMPUTED_VALUE"""),"All amenities")</f>
        <v>All amenities</v>
      </c>
      <c r="K807" s="2">
        <f>IFERROR(__xludf.DUMMYFUNCTION("""COMPUTED_VALUE"""),43.0)</f>
        <v>43</v>
      </c>
      <c r="L807" s="2">
        <f>IFERROR(__xludf.DUMMYFUNCTION("""COMPUTED_VALUE"""),56.9552522)</f>
        <v>56.9552522</v>
      </c>
      <c r="M807" s="2">
        <f>IFERROR(__xludf.DUMMYFUNCTION("""COMPUTED_VALUE"""),24.0999991251943)</f>
        <v>24.09999913</v>
      </c>
    </row>
    <row r="808">
      <c r="A808" s="2" t="str">
        <f>IFERROR(__xludf.DUMMYFUNCTION("""COMPUTED_VALUE"""),"For sale")</f>
        <v>For sale</v>
      </c>
      <c r="B808" s="2" t="str">
        <f>IFERROR(__xludf.DUMMYFUNCTION("""COMPUTED_VALUE"""),"Jugla")</f>
        <v>Jugla</v>
      </c>
      <c r="C808" s="2" t="str">
        <f>IFERROR(__xludf.DUMMYFUNCTION("""COMPUTED_VALUE"""),"Vangažu 15")</f>
        <v>Vangažu 15</v>
      </c>
      <c r="D808" s="2">
        <f>IFERROR(__xludf.DUMMYFUNCTION("""COMPUTED_VALUE"""),1.0)</f>
        <v>1</v>
      </c>
      <c r="E808" s="2">
        <f>IFERROR(__xludf.DUMMYFUNCTION("""COMPUTED_VALUE"""),37.0)</f>
        <v>37</v>
      </c>
      <c r="F808" s="2">
        <f>IFERROR(__xludf.DUMMYFUNCTION("""COMPUTED_VALUE"""),8.0)</f>
        <v>8</v>
      </c>
      <c r="G808" s="2">
        <f>IFERROR(__xludf.DUMMYFUNCTION("""COMPUTED_VALUE"""),12.0)</f>
        <v>12</v>
      </c>
      <c r="H808" s="2" t="str">
        <f>IFERROR(__xludf.DUMMYFUNCTION("""COMPUTED_VALUE"""),"Specpr.")</f>
        <v>Specpr.</v>
      </c>
      <c r="I808" s="2" t="str">
        <f>IFERROR(__xludf.DUMMYFUNCTION("""COMPUTED_VALUE"""),"Brick-Panel")</f>
        <v>Brick-Panel</v>
      </c>
      <c r="J808" s="2" t="str">
        <f>IFERROR(__xludf.DUMMYFUNCTION("""COMPUTED_VALUE"""),"All amenities")</f>
        <v>All amenities</v>
      </c>
      <c r="K808" s="2">
        <f>IFERROR(__xludf.DUMMYFUNCTION("""COMPUTED_VALUE"""),49000.0)</f>
        <v>49000</v>
      </c>
      <c r="L808" s="2">
        <f>IFERROR(__xludf.DUMMYFUNCTION("""COMPUTED_VALUE"""),56.9872837)</f>
        <v>56.9872837</v>
      </c>
      <c r="M808" s="2">
        <f>IFERROR(__xludf.DUMMYFUNCTION("""COMPUTED_VALUE"""),24.2298159546237)</f>
        <v>24.22981595</v>
      </c>
    </row>
    <row r="809">
      <c r="A809" s="2" t="str">
        <f>IFERROR(__xludf.DUMMYFUNCTION("""COMPUTED_VALUE"""),"For sale")</f>
        <v>For sale</v>
      </c>
      <c r="B809" s="2" t="str">
        <f>IFERROR(__xludf.DUMMYFUNCTION("""COMPUTED_VALUE"""),"Pļavnieki")</f>
        <v>Pļavnieki</v>
      </c>
      <c r="C809" s="2" t="str">
        <f>IFERROR(__xludf.DUMMYFUNCTION("""COMPUTED_VALUE"""),"Deglava 106")</f>
        <v>Deglava 106</v>
      </c>
      <c r="D809" s="2">
        <f>IFERROR(__xludf.DUMMYFUNCTION("""COMPUTED_VALUE"""),2.0)</f>
        <v>2</v>
      </c>
      <c r="E809" s="2">
        <f>IFERROR(__xludf.DUMMYFUNCTION("""COMPUTED_VALUE"""),62.0)</f>
        <v>62</v>
      </c>
      <c r="F809" s="2">
        <f>IFERROR(__xludf.DUMMYFUNCTION("""COMPUTED_VALUE"""),2.0)</f>
        <v>2</v>
      </c>
      <c r="G809" s="2">
        <f>IFERROR(__xludf.DUMMYFUNCTION("""COMPUTED_VALUE"""),9.0)</f>
        <v>9</v>
      </c>
      <c r="H809" s="2">
        <f>IFERROR(__xludf.DUMMYFUNCTION("""COMPUTED_VALUE"""),119.0)</f>
        <v>119</v>
      </c>
      <c r="I809" s="2" t="str">
        <f>IFERROR(__xludf.DUMMYFUNCTION("""COMPUTED_VALUE"""),"Panel")</f>
        <v>Panel</v>
      </c>
      <c r="J809" s="2" t="str">
        <f>IFERROR(__xludf.DUMMYFUNCTION("""COMPUTED_VALUE"""),"All amenities")</f>
        <v>All amenities</v>
      </c>
      <c r="K809" s="2">
        <f>IFERROR(__xludf.DUMMYFUNCTION("""COMPUTED_VALUE"""),54900.0)</f>
        <v>54900</v>
      </c>
      <c r="L809" s="2">
        <f>IFERROR(__xludf.DUMMYFUNCTION("""COMPUTED_VALUE"""),56.94796725)</f>
        <v>56.94796725</v>
      </c>
      <c r="M809" s="2">
        <f>IFERROR(__xludf.DUMMYFUNCTION("""COMPUTED_VALUE"""),24.1898659253875)</f>
        <v>24.18986593</v>
      </c>
    </row>
    <row r="810">
      <c r="A810" s="2" t="str">
        <f>IFERROR(__xludf.DUMMYFUNCTION("""COMPUTED_VALUE"""),"For sale")</f>
        <v>For sale</v>
      </c>
      <c r="B810" s="2" t="str">
        <f>IFERROR(__xludf.DUMMYFUNCTION("""COMPUTED_VALUE"""),"Āgenskalns")</f>
        <v>Āgenskalns</v>
      </c>
      <c r="C810" s="2" t="str">
        <f>IFERROR(__xludf.DUMMYFUNCTION("""COMPUTED_VALUE"""),"M. Nometņu 85")</f>
        <v>M. Nometņu 85</v>
      </c>
      <c r="D810" s="2" t="str">
        <f>IFERROR(__xludf.DUMMYFUNCTION("""COMPUTED_VALUE"""),"Citi")</f>
        <v>Citi</v>
      </c>
      <c r="E810" s="2">
        <f>IFERROR(__xludf.DUMMYFUNCTION("""COMPUTED_VALUE"""),207.0)</f>
        <v>207</v>
      </c>
      <c r="F810" s="2">
        <f>IFERROR(__xludf.DUMMYFUNCTION("""COMPUTED_VALUE"""),2.0)</f>
        <v>2</v>
      </c>
      <c r="G810" s="2">
        <f>IFERROR(__xludf.DUMMYFUNCTION("""COMPUTED_VALUE"""),2.0)</f>
        <v>2</v>
      </c>
      <c r="H810" s="2" t="str">
        <f>IFERROR(__xludf.DUMMYFUNCTION("""COMPUTED_VALUE"""),"P. kara")</f>
        <v>P. kara</v>
      </c>
      <c r="I810" s="2" t="str">
        <f>IFERROR(__xludf.DUMMYFUNCTION("""COMPUTED_VALUE"""),"Wood")</f>
        <v>Wood</v>
      </c>
      <c r="J810" s="2" t="str">
        <f>IFERROR(__xludf.DUMMYFUNCTION("""COMPUTED_VALUE"""),"All amenities")</f>
        <v>All amenities</v>
      </c>
      <c r="K810" s="2">
        <f>IFERROR(__xludf.DUMMYFUNCTION("""COMPUTED_VALUE"""),79000.0)</f>
        <v>79000</v>
      </c>
      <c r="L810" s="2">
        <f>IFERROR(__xludf.DUMMYFUNCTION("""COMPUTED_VALUE"""),56.93779065)</f>
        <v>56.93779065</v>
      </c>
      <c r="M810" s="2">
        <f>IFERROR(__xludf.DUMMYFUNCTION("""COMPUTED_VALUE"""),24.0555894763957)</f>
        <v>24.05558948</v>
      </c>
    </row>
    <row r="811">
      <c r="A811" s="2" t="str">
        <f>IFERROR(__xludf.DUMMYFUNCTION("""COMPUTED_VALUE"""),"For sale")</f>
        <v>For sale</v>
      </c>
      <c r="B811" s="2" t="str">
        <f>IFERROR(__xludf.DUMMYFUNCTION("""COMPUTED_VALUE"""),"Maskavas priekšpilsēta")</f>
        <v>Maskavas priekšpilsēta</v>
      </c>
      <c r="C811" s="2" t="str">
        <f>IFERROR(__xludf.DUMMYFUNCTION("""COMPUTED_VALUE"""),"Maskavas 95")</f>
        <v>Maskavas 95</v>
      </c>
      <c r="D811" s="2">
        <f>IFERROR(__xludf.DUMMYFUNCTION("""COMPUTED_VALUE"""),1.0)</f>
        <v>1</v>
      </c>
      <c r="E811" s="2">
        <f>IFERROR(__xludf.DUMMYFUNCTION("""COMPUTED_VALUE"""),31.0)</f>
        <v>31</v>
      </c>
      <c r="F811" s="2">
        <f>IFERROR(__xludf.DUMMYFUNCTION("""COMPUTED_VALUE"""),4.0)</f>
        <v>4</v>
      </c>
      <c r="G811" s="2">
        <f>IFERROR(__xludf.DUMMYFUNCTION("""COMPUTED_VALUE"""),5.0)</f>
        <v>5</v>
      </c>
      <c r="H811" s="2" t="str">
        <f>IFERROR(__xludf.DUMMYFUNCTION("""COMPUTED_VALUE"""),"P. kara")</f>
        <v>P. kara</v>
      </c>
      <c r="I811" s="2" t="str">
        <f>IFERROR(__xludf.DUMMYFUNCTION("""COMPUTED_VALUE"""),"Panel")</f>
        <v>Panel</v>
      </c>
      <c r="J811" s="2" t="str">
        <f>IFERROR(__xludf.DUMMYFUNCTION("""COMPUTED_VALUE"""),"Partial amenities")</f>
        <v>Partial amenities</v>
      </c>
      <c r="K811" s="2">
        <f>IFERROR(__xludf.DUMMYFUNCTION("""COMPUTED_VALUE"""),17900.0)</f>
        <v>17900</v>
      </c>
      <c r="L811" s="2">
        <f>IFERROR(__xludf.DUMMYFUNCTION("""COMPUTED_VALUE"""),56.8597884)</f>
        <v>56.8597884</v>
      </c>
      <c r="M811" s="2">
        <f>IFERROR(__xludf.DUMMYFUNCTION("""COMPUTED_VALUE"""),24.3083417)</f>
        <v>24.3083417</v>
      </c>
    </row>
    <row r="812">
      <c r="A812" s="2" t="str">
        <f>IFERROR(__xludf.DUMMYFUNCTION("""COMPUTED_VALUE"""),"For sale")</f>
        <v>For sale</v>
      </c>
      <c r="B812" s="2" t="str">
        <f>IFERROR(__xludf.DUMMYFUNCTION("""COMPUTED_VALUE"""),"centrs")</f>
        <v>centrs</v>
      </c>
      <c r="C812" s="2" t="str">
        <f>IFERROR(__xludf.DUMMYFUNCTION("""COMPUTED_VALUE"""),"Ieroču 2")</f>
        <v>Ieroču 2</v>
      </c>
      <c r="D812" s="2">
        <f>IFERROR(__xludf.DUMMYFUNCTION("""COMPUTED_VALUE"""),1.0)</f>
        <v>1</v>
      </c>
      <c r="E812" s="2">
        <f>IFERROR(__xludf.DUMMYFUNCTION("""COMPUTED_VALUE"""),29.0)</f>
        <v>29</v>
      </c>
      <c r="F812" s="2">
        <f>IFERROR(__xludf.DUMMYFUNCTION("""COMPUTED_VALUE"""),4.0)</f>
        <v>4</v>
      </c>
      <c r="G812" s="2">
        <f>IFERROR(__xludf.DUMMYFUNCTION("""COMPUTED_VALUE"""),4.0)</f>
        <v>4</v>
      </c>
      <c r="H812" s="2" t="str">
        <f>IFERROR(__xludf.DUMMYFUNCTION("""COMPUTED_VALUE"""),"Hrušč.")</f>
        <v>Hrušč.</v>
      </c>
      <c r="I812" s="2" t="str">
        <f>IFERROR(__xludf.DUMMYFUNCTION("""COMPUTED_VALUE"""),"Brick")</f>
        <v>Brick</v>
      </c>
      <c r="J812" s="2" t="str">
        <f>IFERROR(__xludf.DUMMYFUNCTION("""COMPUTED_VALUE"""),"All amenities")</f>
        <v>All amenities</v>
      </c>
      <c r="K812" s="2">
        <f>IFERROR(__xludf.DUMMYFUNCTION("""COMPUTED_VALUE"""),35000.0)</f>
        <v>35000</v>
      </c>
      <c r="L812" s="2">
        <f>IFERROR(__xludf.DUMMYFUNCTION("""COMPUTED_VALUE"""),56.9753736)</f>
        <v>56.9753736</v>
      </c>
      <c r="M812" s="2">
        <f>IFERROR(__xludf.DUMMYFUNCTION("""COMPUTED_VALUE"""),24.13914420351)</f>
        <v>24.1391442</v>
      </c>
    </row>
    <row r="813">
      <c r="A813" s="2" t="str">
        <f>IFERROR(__xludf.DUMMYFUNCTION("""COMPUTED_VALUE"""),"For sale")</f>
        <v>For sale</v>
      </c>
      <c r="B813" s="2" t="str">
        <f>IFERROR(__xludf.DUMMYFUNCTION("""COMPUTED_VALUE"""),"Purvciems")</f>
        <v>Purvciems</v>
      </c>
      <c r="C813" s="2" t="str">
        <f>IFERROR(__xludf.DUMMYFUNCTION("""COMPUTED_VALUE"""),"Burtnieku 36a")</f>
        <v>Burtnieku 36a</v>
      </c>
      <c r="D813" s="2">
        <f>IFERROR(__xludf.DUMMYFUNCTION("""COMPUTED_VALUE"""),3.0)</f>
        <v>3</v>
      </c>
      <c r="E813" s="2">
        <f>IFERROR(__xludf.DUMMYFUNCTION("""COMPUTED_VALUE"""),78.0)</f>
        <v>78</v>
      </c>
      <c r="F813" s="2">
        <f>IFERROR(__xludf.DUMMYFUNCTION("""COMPUTED_VALUE"""),2.0)</f>
        <v>2</v>
      </c>
      <c r="G813" s="2">
        <f>IFERROR(__xludf.DUMMYFUNCTION("""COMPUTED_VALUE"""),5.0)</f>
        <v>5</v>
      </c>
      <c r="H813" s="2" t="str">
        <f>IFERROR(__xludf.DUMMYFUNCTION("""COMPUTED_VALUE"""),"Jaun.")</f>
        <v>Jaun.</v>
      </c>
      <c r="I813" s="2" t="str">
        <f>IFERROR(__xludf.DUMMYFUNCTION("""COMPUTED_VALUE"""),"Panel")</f>
        <v>Panel</v>
      </c>
      <c r="J813" s="2" t="str">
        <f>IFERROR(__xludf.DUMMYFUNCTION("""COMPUTED_VALUE"""),"All amenities")</f>
        <v>All amenities</v>
      </c>
      <c r="K813" s="2">
        <f>IFERROR(__xludf.DUMMYFUNCTION("""COMPUTED_VALUE"""),103000.0)</f>
        <v>103000</v>
      </c>
      <c r="L813" s="2">
        <f>IFERROR(__xludf.DUMMYFUNCTION("""COMPUTED_VALUE"""),56.9670442)</f>
        <v>56.9670442</v>
      </c>
      <c r="M813" s="2">
        <f>IFERROR(__xludf.DUMMYFUNCTION("""COMPUTED_VALUE"""),24.1820249)</f>
        <v>24.1820249</v>
      </c>
    </row>
    <row r="814">
      <c r="A814" s="2" t="str">
        <f>IFERROR(__xludf.DUMMYFUNCTION("""COMPUTED_VALUE"""),"For sale")</f>
        <v>For sale</v>
      </c>
      <c r="B814" s="2" t="str">
        <f>IFERROR(__xludf.DUMMYFUNCTION("""COMPUTED_VALUE"""),"Sarkandaugava")</f>
        <v>Sarkandaugava</v>
      </c>
      <c r="C814" s="2" t="str">
        <f>IFERROR(__xludf.DUMMYFUNCTION("""COMPUTED_VALUE"""),"Tvaika 50")</f>
        <v>Tvaika 50</v>
      </c>
      <c r="D814" s="2">
        <f>IFERROR(__xludf.DUMMYFUNCTION("""COMPUTED_VALUE"""),1.0)</f>
        <v>1</v>
      </c>
      <c r="E814" s="2">
        <f>IFERROR(__xludf.DUMMYFUNCTION("""COMPUTED_VALUE"""),26.0)</f>
        <v>26</v>
      </c>
      <c r="F814" s="2">
        <f>IFERROR(__xludf.DUMMYFUNCTION("""COMPUTED_VALUE"""),5.0)</f>
        <v>5</v>
      </c>
      <c r="G814" s="2">
        <f>IFERROR(__xludf.DUMMYFUNCTION("""COMPUTED_VALUE"""),5.0)</f>
        <v>5</v>
      </c>
      <c r="H814" s="2" t="str">
        <f>IFERROR(__xludf.DUMMYFUNCTION("""COMPUTED_VALUE"""),"Hrušč.")</f>
        <v>Hrušč.</v>
      </c>
      <c r="I814" s="2" t="str">
        <f>IFERROR(__xludf.DUMMYFUNCTION("""COMPUTED_VALUE"""),"Brick")</f>
        <v>Brick</v>
      </c>
      <c r="J814" s="2" t="str">
        <f>IFERROR(__xludf.DUMMYFUNCTION("""COMPUTED_VALUE"""),"All amenities")</f>
        <v>All amenities</v>
      </c>
      <c r="K814" s="2">
        <f>IFERROR(__xludf.DUMMYFUNCTION("""COMPUTED_VALUE"""),26500.0)</f>
        <v>26500</v>
      </c>
      <c r="L814" s="2">
        <f>IFERROR(__xludf.DUMMYFUNCTION("""COMPUTED_VALUE"""),57.0069729)</f>
        <v>57.0069729</v>
      </c>
      <c r="M814" s="2">
        <f>IFERROR(__xludf.DUMMYFUNCTION("""COMPUTED_VALUE"""),24.1217233156297)</f>
        <v>24.12172332</v>
      </c>
    </row>
    <row r="815">
      <c r="A815" s="2" t="str">
        <f>IFERROR(__xludf.DUMMYFUNCTION("""COMPUTED_VALUE"""),"For sale")</f>
        <v>For sale</v>
      </c>
      <c r="B815" s="2" t="str">
        <f>IFERROR(__xludf.DUMMYFUNCTION("""COMPUTED_VALUE"""),"centrs")</f>
        <v>centrs</v>
      </c>
      <c r="C815" s="2" t="str">
        <f>IFERROR(__xludf.DUMMYFUNCTION("""COMPUTED_VALUE"""),"Valdemāra 73")</f>
        <v>Valdemāra 73</v>
      </c>
      <c r="D815" s="2">
        <f>IFERROR(__xludf.DUMMYFUNCTION("""COMPUTED_VALUE"""),3.0)</f>
        <v>3</v>
      </c>
      <c r="E815" s="2">
        <f>IFERROR(__xludf.DUMMYFUNCTION("""COMPUTED_VALUE"""),80.0)</f>
        <v>80</v>
      </c>
      <c r="F815" s="2">
        <f>IFERROR(__xludf.DUMMYFUNCTION("""COMPUTED_VALUE"""),3.0)</f>
        <v>3</v>
      </c>
      <c r="G815" s="2">
        <f>IFERROR(__xludf.DUMMYFUNCTION("""COMPUTED_VALUE"""),6.0)</f>
        <v>6</v>
      </c>
      <c r="H815" s="2" t="str">
        <f>IFERROR(__xludf.DUMMYFUNCTION("""COMPUTED_VALUE"""),"P. kara")</f>
        <v>P. kara</v>
      </c>
      <c r="I815" s="2" t="str">
        <f>IFERROR(__xludf.DUMMYFUNCTION("""COMPUTED_VALUE"""),"Masonry")</f>
        <v>Masonry</v>
      </c>
      <c r="J815" s="2" t="str">
        <f>IFERROR(__xludf.DUMMYFUNCTION("""COMPUTED_VALUE"""),"All amenities")</f>
        <v>All amenities</v>
      </c>
      <c r="K815" s="2">
        <f>IFERROR(__xludf.DUMMYFUNCTION("""COMPUTED_VALUE"""),175000.0)</f>
        <v>175000</v>
      </c>
      <c r="L815" s="2">
        <f>IFERROR(__xludf.DUMMYFUNCTION("""COMPUTED_VALUE"""),56.9622133)</f>
        <v>56.9622133</v>
      </c>
      <c r="M815" s="2">
        <f>IFERROR(__xludf.DUMMYFUNCTION("""COMPUTED_VALUE"""),24.1233217)</f>
        <v>24.1233217</v>
      </c>
    </row>
    <row r="816">
      <c r="A816" s="2" t="str">
        <f>IFERROR(__xludf.DUMMYFUNCTION("""COMPUTED_VALUE"""),"For sale")</f>
        <v>For sale</v>
      </c>
      <c r="B816" s="2" t="str">
        <f>IFERROR(__xludf.DUMMYFUNCTION("""COMPUTED_VALUE"""),"Āgenskalns")</f>
        <v>Āgenskalns</v>
      </c>
      <c r="C816" s="2" t="str">
        <f>IFERROR(__xludf.DUMMYFUNCTION("""COMPUTED_VALUE"""),"Augļu 11")</f>
        <v>Augļu 11</v>
      </c>
      <c r="D816" s="2">
        <f>IFERROR(__xludf.DUMMYFUNCTION("""COMPUTED_VALUE"""),3.0)</f>
        <v>3</v>
      </c>
      <c r="E816" s="2">
        <f>IFERROR(__xludf.DUMMYFUNCTION("""COMPUTED_VALUE"""),67.0)</f>
        <v>67</v>
      </c>
      <c r="F816" s="2">
        <f>IFERROR(__xludf.DUMMYFUNCTION("""COMPUTED_VALUE"""),1.0)</f>
        <v>1</v>
      </c>
      <c r="G816" s="2">
        <f>IFERROR(__xludf.DUMMYFUNCTION("""COMPUTED_VALUE"""),5.0)</f>
        <v>5</v>
      </c>
      <c r="H816" s="2">
        <f>IFERROR(__xludf.DUMMYFUNCTION("""COMPUTED_VALUE"""),103.0)</f>
        <v>103</v>
      </c>
      <c r="I816" s="2" t="str">
        <f>IFERROR(__xludf.DUMMYFUNCTION("""COMPUTED_VALUE"""),"Brick-Panel")</f>
        <v>Brick-Panel</v>
      </c>
      <c r="J816" s="2" t="str">
        <f>IFERROR(__xludf.DUMMYFUNCTION("""COMPUTED_VALUE"""),"All amenities")</f>
        <v>All amenities</v>
      </c>
      <c r="K816" s="2">
        <f>IFERROR(__xludf.DUMMYFUNCTION("""COMPUTED_VALUE"""),79000.0)</f>
        <v>79000</v>
      </c>
      <c r="L816" s="2">
        <f>IFERROR(__xludf.DUMMYFUNCTION("""COMPUTED_VALUE"""),56.93821515)</f>
        <v>56.93821515</v>
      </c>
      <c r="M816" s="2">
        <f>IFERROR(__xludf.DUMMYFUNCTION("""COMPUTED_VALUE"""),24.0795537546748)</f>
        <v>24.07955375</v>
      </c>
    </row>
    <row r="817">
      <c r="A817" s="2" t="str">
        <f>IFERROR(__xludf.DUMMYFUNCTION("""COMPUTED_VALUE"""),"For rent")</f>
        <v>For rent</v>
      </c>
      <c r="B817" s="2" t="str">
        <f>IFERROR(__xludf.DUMMYFUNCTION("""COMPUTED_VALUE"""),"centrs")</f>
        <v>centrs</v>
      </c>
      <c r="C817" s="2" t="str">
        <f>IFERROR(__xludf.DUMMYFUNCTION("""COMPUTED_VALUE"""),"Pērnavas 4")</f>
        <v>Pērnavas 4</v>
      </c>
      <c r="D817" s="2">
        <f>IFERROR(__xludf.DUMMYFUNCTION("""COMPUTED_VALUE"""),3.0)</f>
        <v>3</v>
      </c>
      <c r="E817" s="2">
        <f>IFERROR(__xludf.DUMMYFUNCTION("""COMPUTED_VALUE"""),60.0)</f>
        <v>60</v>
      </c>
      <c r="F817" s="2">
        <f>IFERROR(__xludf.DUMMYFUNCTION("""COMPUTED_VALUE"""),1.0)</f>
        <v>1</v>
      </c>
      <c r="G817" s="2">
        <f>IFERROR(__xludf.DUMMYFUNCTION("""COMPUTED_VALUE"""),3.0)</f>
        <v>3</v>
      </c>
      <c r="H817" s="2" t="str">
        <f>IFERROR(__xludf.DUMMYFUNCTION("""COMPUTED_VALUE"""),"P. kara")</f>
        <v>P. kara</v>
      </c>
      <c r="I817" s="2" t="str">
        <f>IFERROR(__xludf.DUMMYFUNCTION("""COMPUTED_VALUE"""),"Masonry")</f>
        <v>Masonry</v>
      </c>
      <c r="J817" s="2" t="str">
        <f>IFERROR(__xludf.DUMMYFUNCTION("""COMPUTED_VALUE"""),"All amenities")</f>
        <v>All amenities</v>
      </c>
      <c r="K817" s="2">
        <f>IFERROR(__xludf.DUMMYFUNCTION("""COMPUTED_VALUE"""),400.0)</f>
        <v>400</v>
      </c>
      <c r="L817" s="2">
        <f>IFERROR(__xludf.DUMMYFUNCTION("""COMPUTED_VALUE"""),56.9663436999999)</f>
        <v>56.9663437</v>
      </c>
      <c r="M817" s="2">
        <f>IFERROR(__xludf.DUMMYFUNCTION("""COMPUTED_VALUE"""),24.1476783629466)</f>
        <v>24.14767836</v>
      </c>
    </row>
    <row r="818">
      <c r="A818" s="2" t="str">
        <f>IFERROR(__xludf.DUMMYFUNCTION("""COMPUTED_VALUE"""),"For rent")</f>
        <v>For rent</v>
      </c>
      <c r="B818" s="2" t="str">
        <f>IFERROR(__xludf.DUMMYFUNCTION("""COMPUTED_VALUE"""),"Āgenskalns")</f>
        <v>Āgenskalns</v>
      </c>
      <c r="C818" s="2" t="str">
        <f>IFERROR(__xludf.DUMMYFUNCTION("""COMPUTED_VALUE"""),"Mūkusalas 29")</f>
        <v>Mūkusalas 29</v>
      </c>
      <c r="D818" s="2">
        <f>IFERROR(__xludf.DUMMYFUNCTION("""COMPUTED_VALUE"""),2.0)</f>
        <v>2</v>
      </c>
      <c r="E818" s="2">
        <f>IFERROR(__xludf.DUMMYFUNCTION("""COMPUTED_VALUE"""),52.1)</f>
        <v>52.1</v>
      </c>
      <c r="F818" s="2">
        <f>IFERROR(__xludf.DUMMYFUNCTION("""COMPUTED_VALUE"""),2.0)</f>
        <v>2</v>
      </c>
      <c r="G818" s="2">
        <f>IFERROR(__xludf.DUMMYFUNCTION("""COMPUTED_VALUE"""),4.0)</f>
        <v>4</v>
      </c>
      <c r="H818" s="2" t="str">
        <f>IFERROR(__xludf.DUMMYFUNCTION("""COMPUTED_VALUE"""),"Jaun.")</f>
        <v>Jaun.</v>
      </c>
      <c r="I818" s="2" t="str">
        <f>IFERROR(__xludf.DUMMYFUNCTION("""COMPUTED_VALUE"""),"Masonry")</f>
        <v>Masonry</v>
      </c>
      <c r="J818" s="2" t="str">
        <f>IFERROR(__xludf.DUMMYFUNCTION("""COMPUTED_VALUE"""),"All amenities")</f>
        <v>All amenities</v>
      </c>
      <c r="K818" s="2">
        <f>IFERROR(__xludf.DUMMYFUNCTION("""COMPUTED_VALUE"""),650.0)</f>
        <v>650</v>
      </c>
      <c r="L818" s="2">
        <f>IFERROR(__xludf.DUMMYFUNCTION("""COMPUTED_VALUE"""),56.93693955)</f>
        <v>56.93693955</v>
      </c>
      <c r="M818" s="2">
        <f>IFERROR(__xludf.DUMMYFUNCTION("""COMPUTED_VALUE"""),24.1019323631236)</f>
        <v>24.10193236</v>
      </c>
    </row>
    <row r="819">
      <c r="A819" s="2" t="str">
        <f>IFERROR(__xludf.DUMMYFUNCTION("""COMPUTED_VALUE"""),"For rent")</f>
        <v>For rent</v>
      </c>
      <c r="B819" s="2" t="str">
        <f>IFERROR(__xludf.DUMMYFUNCTION("""COMPUTED_VALUE"""),"Šampēteris-Pleskodāle")</f>
        <v>Šampēteris-Pleskodāle</v>
      </c>
      <c r="C819" s="2" t="str">
        <f>IFERROR(__xludf.DUMMYFUNCTION("""COMPUTED_VALUE"""),"Lielirbes 13")</f>
        <v>Lielirbes 13</v>
      </c>
      <c r="D819" s="2">
        <f>IFERROR(__xludf.DUMMYFUNCTION("""COMPUTED_VALUE"""),3.0)</f>
        <v>3</v>
      </c>
      <c r="E819" s="2">
        <f>IFERROR(__xludf.DUMMYFUNCTION("""COMPUTED_VALUE"""),90.0)</f>
        <v>90</v>
      </c>
      <c r="F819" s="2">
        <f>IFERROR(__xludf.DUMMYFUNCTION("""COMPUTED_VALUE"""),5.0)</f>
        <v>5</v>
      </c>
      <c r="G819" s="2">
        <f>IFERROR(__xludf.DUMMYFUNCTION("""COMPUTED_VALUE"""),30.0)</f>
        <v>30</v>
      </c>
      <c r="H819" s="2" t="str">
        <f>IFERROR(__xludf.DUMMYFUNCTION("""COMPUTED_VALUE"""),"Jaun.")</f>
        <v>Jaun.</v>
      </c>
      <c r="I819" s="2" t="str">
        <f>IFERROR(__xludf.DUMMYFUNCTION("""COMPUTED_VALUE"""),"Masonry")</f>
        <v>Masonry</v>
      </c>
      <c r="J819" s="2" t="str">
        <f>IFERROR(__xludf.DUMMYFUNCTION("""COMPUTED_VALUE"""),"All amenities")</f>
        <v>All amenities</v>
      </c>
      <c r="K819" s="2">
        <f>IFERROR(__xludf.DUMMYFUNCTION("""COMPUTED_VALUE"""),650.0)</f>
        <v>650</v>
      </c>
      <c r="L819" s="2">
        <f>IFERROR(__xludf.DUMMYFUNCTION("""COMPUTED_VALUE"""),56.9334996)</f>
        <v>56.9334996</v>
      </c>
      <c r="M819" s="2">
        <f>IFERROR(__xludf.DUMMYFUNCTION("""COMPUTED_VALUE"""),24.0424848)</f>
        <v>24.0424848</v>
      </c>
    </row>
    <row r="820">
      <c r="A820" s="2" t="str">
        <f>IFERROR(__xludf.DUMMYFUNCTION("""COMPUTED_VALUE"""),"For rent")</f>
        <v>For rent</v>
      </c>
      <c r="B820" s="2" t="str">
        <f>IFERROR(__xludf.DUMMYFUNCTION("""COMPUTED_VALUE"""),"Āgenskalns")</f>
        <v>Āgenskalns</v>
      </c>
      <c r="C820" s="2" t="str">
        <f>IFERROR(__xludf.DUMMYFUNCTION("""COMPUTED_VALUE"""),"Lielirbes 13")</f>
        <v>Lielirbes 13</v>
      </c>
      <c r="D820" s="2">
        <f>IFERROR(__xludf.DUMMYFUNCTION("""COMPUTED_VALUE"""),3.0)</f>
        <v>3</v>
      </c>
      <c r="E820" s="2">
        <f>IFERROR(__xludf.DUMMYFUNCTION("""COMPUTED_VALUE"""),90.0)</f>
        <v>90</v>
      </c>
      <c r="F820" s="2">
        <f>IFERROR(__xludf.DUMMYFUNCTION("""COMPUTED_VALUE"""),5.0)</f>
        <v>5</v>
      </c>
      <c r="G820" s="2">
        <f>IFERROR(__xludf.DUMMYFUNCTION("""COMPUTED_VALUE"""),30.0)</f>
        <v>30</v>
      </c>
      <c r="H820" s="2" t="str">
        <f>IFERROR(__xludf.DUMMYFUNCTION("""COMPUTED_VALUE"""),"Jaun.")</f>
        <v>Jaun.</v>
      </c>
      <c r="I820" s="2" t="str">
        <f>IFERROR(__xludf.DUMMYFUNCTION("""COMPUTED_VALUE"""),"Masonry")</f>
        <v>Masonry</v>
      </c>
      <c r="J820" s="2" t="str">
        <f>IFERROR(__xludf.DUMMYFUNCTION("""COMPUTED_VALUE"""),"All amenities")</f>
        <v>All amenities</v>
      </c>
      <c r="K820" s="2">
        <f>IFERROR(__xludf.DUMMYFUNCTION("""COMPUTED_VALUE"""),650.0)</f>
        <v>650</v>
      </c>
      <c r="L820" s="2">
        <f>IFERROR(__xludf.DUMMYFUNCTION("""COMPUTED_VALUE"""),56.9334996)</f>
        <v>56.9334996</v>
      </c>
      <c r="M820" s="2">
        <f>IFERROR(__xludf.DUMMYFUNCTION("""COMPUTED_VALUE"""),24.0424848)</f>
        <v>24.0424848</v>
      </c>
    </row>
    <row r="821">
      <c r="A821" s="2" t="str">
        <f>IFERROR(__xludf.DUMMYFUNCTION("""COMPUTED_VALUE"""),"For sale")</f>
        <v>For sale</v>
      </c>
      <c r="B821" s="2" t="str">
        <f>IFERROR(__xludf.DUMMYFUNCTION("""COMPUTED_VALUE"""),"Vecrīga")</f>
        <v>Vecrīga</v>
      </c>
      <c r="C821" s="2" t="str">
        <f>IFERROR(__xludf.DUMMYFUNCTION("""COMPUTED_VALUE"""),"Kungu 25")</f>
        <v>Kungu 25</v>
      </c>
      <c r="D821" s="2">
        <f>IFERROR(__xludf.DUMMYFUNCTION("""COMPUTED_VALUE"""),2.0)</f>
        <v>2</v>
      </c>
      <c r="E821" s="2">
        <f>IFERROR(__xludf.DUMMYFUNCTION("""COMPUTED_VALUE"""),41.0)</f>
        <v>41</v>
      </c>
      <c r="F821" s="2">
        <f>IFERROR(__xludf.DUMMYFUNCTION("""COMPUTED_VALUE"""),2.0)</f>
        <v>2</v>
      </c>
      <c r="G821" s="2">
        <f>IFERROR(__xludf.DUMMYFUNCTION("""COMPUTED_VALUE"""),6.0)</f>
        <v>6</v>
      </c>
      <c r="H821" s="2" t="str">
        <f>IFERROR(__xludf.DUMMYFUNCTION("""COMPUTED_VALUE"""),"Specpr.")</f>
        <v>Specpr.</v>
      </c>
      <c r="I821" s="2" t="str">
        <f>IFERROR(__xludf.DUMMYFUNCTION("""COMPUTED_VALUE"""),"Panel")</f>
        <v>Panel</v>
      </c>
      <c r="J821" s="2" t="str">
        <f>IFERROR(__xludf.DUMMYFUNCTION("""COMPUTED_VALUE"""),"All amenities")</f>
        <v>All amenities</v>
      </c>
      <c r="K821" s="2">
        <f>IFERROR(__xludf.DUMMYFUNCTION("""COMPUTED_VALUE"""),92990.0)</f>
        <v>92990</v>
      </c>
      <c r="L821" s="2">
        <f>IFERROR(__xludf.DUMMYFUNCTION("""COMPUTED_VALUE"""),56.9453381999999)</f>
        <v>56.9453382</v>
      </c>
      <c r="M821" s="2">
        <f>IFERROR(__xludf.DUMMYFUNCTION("""COMPUTED_VALUE"""),24.1094639533088)</f>
        <v>24.10946395</v>
      </c>
    </row>
    <row r="822">
      <c r="A822" s="2" t="str">
        <f>IFERROR(__xludf.DUMMYFUNCTION("""COMPUTED_VALUE"""),"For sale")</f>
        <v>For sale</v>
      </c>
      <c r="B822" s="2" t="str">
        <f>IFERROR(__xludf.DUMMYFUNCTION("""COMPUTED_VALUE"""),"Vecrīga")</f>
        <v>Vecrīga</v>
      </c>
      <c r="C822" s="2" t="str">
        <f>IFERROR(__xludf.DUMMYFUNCTION("""COMPUTED_VALUE"""),"Kungu 25")</f>
        <v>Kungu 25</v>
      </c>
      <c r="D822" s="2">
        <f>IFERROR(__xludf.DUMMYFUNCTION("""COMPUTED_VALUE"""),1.0)</f>
        <v>1</v>
      </c>
      <c r="E822" s="2">
        <f>IFERROR(__xludf.DUMMYFUNCTION("""COMPUTED_VALUE"""),23.0)</f>
        <v>23</v>
      </c>
      <c r="F822" s="2">
        <f>IFERROR(__xludf.DUMMYFUNCTION("""COMPUTED_VALUE"""),2.0)</f>
        <v>2</v>
      </c>
      <c r="G822" s="2">
        <f>IFERROR(__xludf.DUMMYFUNCTION("""COMPUTED_VALUE"""),6.0)</f>
        <v>6</v>
      </c>
      <c r="H822" s="2" t="str">
        <f>IFERROR(__xludf.DUMMYFUNCTION("""COMPUTED_VALUE"""),"Specpr.")</f>
        <v>Specpr.</v>
      </c>
      <c r="I822" s="2" t="str">
        <f>IFERROR(__xludf.DUMMYFUNCTION("""COMPUTED_VALUE"""),"Panel")</f>
        <v>Panel</v>
      </c>
      <c r="J822" s="2" t="str">
        <f>IFERROR(__xludf.DUMMYFUNCTION("""COMPUTED_VALUE"""),"All amenities")</f>
        <v>All amenities</v>
      </c>
      <c r="K822" s="2">
        <f>IFERROR(__xludf.DUMMYFUNCTION("""COMPUTED_VALUE"""),49990.0)</f>
        <v>49990</v>
      </c>
      <c r="L822" s="2">
        <f>IFERROR(__xludf.DUMMYFUNCTION("""COMPUTED_VALUE"""),56.9453381999999)</f>
        <v>56.9453382</v>
      </c>
      <c r="M822" s="2">
        <f>IFERROR(__xludf.DUMMYFUNCTION("""COMPUTED_VALUE"""),24.1094639533088)</f>
        <v>24.10946395</v>
      </c>
    </row>
    <row r="823">
      <c r="A823" s="2" t="str">
        <f>IFERROR(__xludf.DUMMYFUNCTION("""COMPUTED_VALUE"""),"For sale")</f>
        <v>For sale</v>
      </c>
      <c r="B823" s="2" t="str">
        <f>IFERROR(__xludf.DUMMYFUNCTION("""COMPUTED_VALUE"""),"Purvciems")</f>
        <v>Purvciems</v>
      </c>
      <c r="C823" s="2" t="str">
        <f>IFERROR(__xludf.DUMMYFUNCTION("""COMPUTED_VALUE"""),"Dudajeva g. 11")</f>
        <v>Dudajeva g. 11</v>
      </c>
      <c r="D823" s="2">
        <f>IFERROR(__xludf.DUMMYFUNCTION("""COMPUTED_VALUE"""),3.0)</f>
        <v>3</v>
      </c>
      <c r="E823" s="2">
        <f>IFERROR(__xludf.DUMMYFUNCTION("""COMPUTED_VALUE"""),64.0)</f>
        <v>64</v>
      </c>
      <c r="F823" s="2">
        <f>IFERROR(__xludf.DUMMYFUNCTION("""COMPUTED_VALUE"""),5.0)</f>
        <v>5</v>
      </c>
      <c r="G823" s="2">
        <f>IFERROR(__xludf.DUMMYFUNCTION("""COMPUTED_VALUE"""),5.0)</f>
        <v>5</v>
      </c>
      <c r="H823" s="2" t="str">
        <f>IFERROR(__xludf.DUMMYFUNCTION("""COMPUTED_VALUE"""),"LT proj.")</f>
        <v>LT proj.</v>
      </c>
      <c r="I823" s="2" t="str">
        <f>IFERROR(__xludf.DUMMYFUNCTION("""COMPUTED_VALUE"""),"Panel")</f>
        <v>Panel</v>
      </c>
      <c r="J823" s="2" t="str">
        <f>IFERROR(__xludf.DUMMYFUNCTION("""COMPUTED_VALUE"""),"All amenities")</f>
        <v>All amenities</v>
      </c>
      <c r="K823" s="2">
        <f>IFERROR(__xludf.DUMMYFUNCTION("""COMPUTED_VALUE"""),48300.0)</f>
        <v>48300</v>
      </c>
      <c r="L823" s="2">
        <f>IFERROR(__xludf.DUMMYFUNCTION("""COMPUTED_VALUE"""),56.9570069)</f>
        <v>56.9570069</v>
      </c>
      <c r="M823" s="2">
        <f>IFERROR(__xludf.DUMMYFUNCTION("""COMPUTED_VALUE"""),24.1987368)</f>
        <v>24.1987368</v>
      </c>
    </row>
    <row r="824">
      <c r="A824" s="2" t="str">
        <f>IFERROR(__xludf.DUMMYFUNCTION("""COMPUTED_VALUE"""),"For sale")</f>
        <v>For sale</v>
      </c>
      <c r="B824" s="2" t="str">
        <f>IFERROR(__xludf.DUMMYFUNCTION("""COMPUTED_VALUE"""),"Vecrīga")</f>
        <v>Vecrīga</v>
      </c>
      <c r="C824" s="2" t="str">
        <f>IFERROR(__xludf.DUMMYFUNCTION("""COMPUTED_VALUE"""),"Kungu 25")</f>
        <v>Kungu 25</v>
      </c>
      <c r="D824" s="2">
        <f>IFERROR(__xludf.DUMMYFUNCTION("""COMPUTED_VALUE"""),1.0)</f>
        <v>1</v>
      </c>
      <c r="E824" s="2">
        <f>IFERROR(__xludf.DUMMYFUNCTION("""COMPUTED_VALUE"""),28.0)</f>
        <v>28</v>
      </c>
      <c r="F824" s="2">
        <f>IFERROR(__xludf.DUMMYFUNCTION("""COMPUTED_VALUE"""),6.0)</f>
        <v>6</v>
      </c>
      <c r="G824" s="2">
        <f>IFERROR(__xludf.DUMMYFUNCTION("""COMPUTED_VALUE"""),6.0)</f>
        <v>6</v>
      </c>
      <c r="H824" s="2" t="str">
        <f>IFERROR(__xludf.DUMMYFUNCTION("""COMPUTED_VALUE"""),"Specpr.")</f>
        <v>Specpr.</v>
      </c>
      <c r="I824" s="2" t="str">
        <f>IFERROR(__xludf.DUMMYFUNCTION("""COMPUTED_VALUE"""),"Panel")</f>
        <v>Panel</v>
      </c>
      <c r="J824" s="2" t="str">
        <f>IFERROR(__xludf.DUMMYFUNCTION("""COMPUTED_VALUE"""),"All amenities")</f>
        <v>All amenities</v>
      </c>
      <c r="K824" s="2">
        <f>IFERROR(__xludf.DUMMYFUNCTION("""COMPUTED_VALUE"""),61990.0)</f>
        <v>61990</v>
      </c>
      <c r="L824" s="2">
        <f>IFERROR(__xludf.DUMMYFUNCTION("""COMPUTED_VALUE"""),56.9453381999999)</f>
        <v>56.9453382</v>
      </c>
      <c r="M824" s="2">
        <f>IFERROR(__xludf.DUMMYFUNCTION("""COMPUTED_VALUE"""),24.1094639533088)</f>
        <v>24.10946395</v>
      </c>
    </row>
    <row r="825">
      <c r="A825" s="2" t="str">
        <f>IFERROR(__xludf.DUMMYFUNCTION("""COMPUTED_VALUE"""),"For sale")</f>
        <v>For sale</v>
      </c>
      <c r="B825" s="2" t="str">
        <f>IFERROR(__xludf.DUMMYFUNCTION("""COMPUTED_VALUE"""),"Vecrīga")</f>
        <v>Vecrīga</v>
      </c>
      <c r="C825" s="2" t="str">
        <f>IFERROR(__xludf.DUMMYFUNCTION("""COMPUTED_VALUE"""),"Kungu 25")</f>
        <v>Kungu 25</v>
      </c>
      <c r="D825" s="2">
        <f>IFERROR(__xludf.DUMMYFUNCTION("""COMPUTED_VALUE"""),1.0)</f>
        <v>1</v>
      </c>
      <c r="E825" s="2">
        <f>IFERROR(__xludf.DUMMYFUNCTION("""COMPUTED_VALUE"""),24.0)</f>
        <v>24</v>
      </c>
      <c r="F825" s="2">
        <f>IFERROR(__xludf.DUMMYFUNCTION("""COMPUTED_VALUE"""),2.0)</f>
        <v>2</v>
      </c>
      <c r="G825" s="2">
        <f>IFERROR(__xludf.DUMMYFUNCTION("""COMPUTED_VALUE"""),6.0)</f>
        <v>6</v>
      </c>
      <c r="H825" s="2" t="str">
        <f>IFERROR(__xludf.DUMMYFUNCTION("""COMPUTED_VALUE"""),"Specpr.")</f>
        <v>Specpr.</v>
      </c>
      <c r="I825" s="2" t="str">
        <f>IFERROR(__xludf.DUMMYFUNCTION("""COMPUTED_VALUE"""),"Panel")</f>
        <v>Panel</v>
      </c>
      <c r="J825" s="2" t="str">
        <f>IFERROR(__xludf.DUMMYFUNCTION("""COMPUTED_VALUE"""),"All amenities")</f>
        <v>All amenities</v>
      </c>
      <c r="K825" s="2">
        <f>IFERROR(__xludf.DUMMYFUNCTION("""COMPUTED_VALUE"""),51990.0)</f>
        <v>51990</v>
      </c>
      <c r="L825" s="2">
        <f>IFERROR(__xludf.DUMMYFUNCTION("""COMPUTED_VALUE"""),56.9453381999999)</f>
        <v>56.9453382</v>
      </c>
      <c r="M825" s="2">
        <f>IFERROR(__xludf.DUMMYFUNCTION("""COMPUTED_VALUE"""),24.1094639533088)</f>
        <v>24.10946395</v>
      </c>
    </row>
    <row r="826">
      <c r="A826" s="2" t="str">
        <f>IFERROR(__xludf.DUMMYFUNCTION("""COMPUTED_VALUE"""),"For sale")</f>
        <v>For sale</v>
      </c>
      <c r="B826" s="2" t="str">
        <f>IFERROR(__xludf.DUMMYFUNCTION("""COMPUTED_VALUE"""),"Vecrīga")</f>
        <v>Vecrīga</v>
      </c>
      <c r="C826" s="2" t="str">
        <f>IFERROR(__xludf.DUMMYFUNCTION("""COMPUTED_VALUE"""),"Kungu 25")</f>
        <v>Kungu 25</v>
      </c>
      <c r="D826" s="2">
        <f>IFERROR(__xludf.DUMMYFUNCTION("""COMPUTED_VALUE"""),1.0)</f>
        <v>1</v>
      </c>
      <c r="E826" s="2">
        <f>IFERROR(__xludf.DUMMYFUNCTION("""COMPUTED_VALUE"""),23.0)</f>
        <v>23</v>
      </c>
      <c r="F826" s="2">
        <f>IFERROR(__xludf.DUMMYFUNCTION("""COMPUTED_VALUE"""),2.0)</f>
        <v>2</v>
      </c>
      <c r="G826" s="2">
        <f>IFERROR(__xludf.DUMMYFUNCTION("""COMPUTED_VALUE"""),6.0)</f>
        <v>6</v>
      </c>
      <c r="H826" s="2" t="str">
        <f>IFERROR(__xludf.DUMMYFUNCTION("""COMPUTED_VALUE"""),"Specpr.")</f>
        <v>Specpr.</v>
      </c>
      <c r="I826" s="2" t="str">
        <f>IFERROR(__xludf.DUMMYFUNCTION("""COMPUTED_VALUE"""),"Panel")</f>
        <v>Panel</v>
      </c>
      <c r="J826" s="2" t="str">
        <f>IFERROR(__xludf.DUMMYFUNCTION("""COMPUTED_VALUE"""),"All amenities")</f>
        <v>All amenities</v>
      </c>
      <c r="K826" s="2">
        <f>IFERROR(__xludf.DUMMYFUNCTION("""COMPUTED_VALUE"""),50990.0)</f>
        <v>50990</v>
      </c>
      <c r="L826" s="2">
        <f>IFERROR(__xludf.DUMMYFUNCTION("""COMPUTED_VALUE"""),56.9453381999999)</f>
        <v>56.9453382</v>
      </c>
      <c r="M826" s="2">
        <f>IFERROR(__xludf.DUMMYFUNCTION("""COMPUTED_VALUE"""),24.1094639533088)</f>
        <v>24.10946395</v>
      </c>
    </row>
    <row r="827">
      <c r="A827" s="2" t="str">
        <f>IFERROR(__xludf.DUMMYFUNCTION("""COMPUTED_VALUE"""),"For sale")</f>
        <v>For sale</v>
      </c>
      <c r="B827" s="2" t="str">
        <f>IFERROR(__xludf.DUMMYFUNCTION("""COMPUTED_VALUE"""),"Vecrīga")</f>
        <v>Vecrīga</v>
      </c>
      <c r="C827" s="2" t="str">
        <f>IFERROR(__xludf.DUMMYFUNCTION("""COMPUTED_VALUE"""),"Kungu 25")</f>
        <v>Kungu 25</v>
      </c>
      <c r="D827" s="2">
        <f>IFERROR(__xludf.DUMMYFUNCTION("""COMPUTED_VALUE"""),3.0)</f>
        <v>3</v>
      </c>
      <c r="E827" s="2">
        <f>IFERROR(__xludf.DUMMYFUNCTION("""COMPUTED_VALUE"""),55.0)</f>
        <v>55</v>
      </c>
      <c r="F827" s="2">
        <f>IFERROR(__xludf.DUMMYFUNCTION("""COMPUTED_VALUE"""),3.0)</f>
        <v>3</v>
      </c>
      <c r="G827" s="2">
        <f>IFERROR(__xludf.DUMMYFUNCTION("""COMPUTED_VALUE"""),6.0)</f>
        <v>6</v>
      </c>
      <c r="H827" s="2" t="str">
        <f>IFERROR(__xludf.DUMMYFUNCTION("""COMPUTED_VALUE"""),"Specpr.")</f>
        <v>Specpr.</v>
      </c>
      <c r="I827" s="2" t="str">
        <f>IFERROR(__xludf.DUMMYFUNCTION("""COMPUTED_VALUE"""),"Panel")</f>
        <v>Panel</v>
      </c>
      <c r="J827" s="2" t="str">
        <f>IFERROR(__xludf.DUMMYFUNCTION("""COMPUTED_VALUE"""),"All amenities")</f>
        <v>All amenities</v>
      </c>
      <c r="K827" s="2">
        <f>IFERROR(__xludf.DUMMYFUNCTION("""COMPUTED_VALUE"""),124990.0)</f>
        <v>124990</v>
      </c>
      <c r="L827" s="2">
        <f>IFERROR(__xludf.DUMMYFUNCTION("""COMPUTED_VALUE"""),56.9453381999999)</f>
        <v>56.9453382</v>
      </c>
      <c r="M827" s="2">
        <f>IFERROR(__xludf.DUMMYFUNCTION("""COMPUTED_VALUE"""),24.1094639533088)</f>
        <v>24.10946395</v>
      </c>
    </row>
    <row r="828">
      <c r="A828" s="2" t="str">
        <f>IFERROR(__xludf.DUMMYFUNCTION("""COMPUTED_VALUE"""),"For sale")</f>
        <v>For sale</v>
      </c>
      <c r="B828" s="2" t="str">
        <f>IFERROR(__xludf.DUMMYFUNCTION("""COMPUTED_VALUE"""),"Vecrīga")</f>
        <v>Vecrīga</v>
      </c>
      <c r="C828" s="2" t="str">
        <f>IFERROR(__xludf.DUMMYFUNCTION("""COMPUTED_VALUE"""),"Kungu 25")</f>
        <v>Kungu 25</v>
      </c>
      <c r="D828" s="2">
        <f>IFERROR(__xludf.DUMMYFUNCTION("""COMPUTED_VALUE"""),3.0)</f>
        <v>3</v>
      </c>
      <c r="E828" s="2">
        <f>IFERROR(__xludf.DUMMYFUNCTION("""COMPUTED_VALUE"""),91.0)</f>
        <v>91</v>
      </c>
      <c r="F828" s="2">
        <f>IFERROR(__xludf.DUMMYFUNCTION("""COMPUTED_VALUE"""),6.0)</f>
        <v>6</v>
      </c>
      <c r="G828" s="2">
        <f>IFERROR(__xludf.DUMMYFUNCTION("""COMPUTED_VALUE"""),6.0)</f>
        <v>6</v>
      </c>
      <c r="H828" s="2" t="str">
        <f>IFERROR(__xludf.DUMMYFUNCTION("""COMPUTED_VALUE"""),"Specpr.")</f>
        <v>Specpr.</v>
      </c>
      <c r="I828" s="2" t="str">
        <f>IFERROR(__xludf.DUMMYFUNCTION("""COMPUTED_VALUE"""),"Panel")</f>
        <v>Panel</v>
      </c>
      <c r="J828" s="2" t="str">
        <f>IFERROR(__xludf.DUMMYFUNCTION("""COMPUTED_VALUE"""),"All amenities")</f>
        <v>All amenities</v>
      </c>
      <c r="K828" s="2">
        <f>IFERROR(__xludf.DUMMYFUNCTION("""COMPUTED_VALUE"""),139990.0)</f>
        <v>139990</v>
      </c>
      <c r="L828" s="2">
        <f>IFERROR(__xludf.DUMMYFUNCTION("""COMPUTED_VALUE"""),56.9453381999999)</f>
        <v>56.9453382</v>
      </c>
      <c r="M828" s="2">
        <f>IFERROR(__xludf.DUMMYFUNCTION("""COMPUTED_VALUE"""),24.1094639533088)</f>
        <v>24.10946395</v>
      </c>
    </row>
    <row r="829">
      <c r="A829" s="2" t="str">
        <f>IFERROR(__xludf.DUMMYFUNCTION("""COMPUTED_VALUE"""),"For sale")</f>
        <v>For sale</v>
      </c>
      <c r="B829" s="2" t="str">
        <f>IFERROR(__xludf.DUMMYFUNCTION("""COMPUTED_VALUE"""),"Purvciems")</f>
        <v>Purvciems</v>
      </c>
      <c r="C829" s="2" t="str">
        <f>IFERROR(__xludf.DUMMYFUNCTION("""COMPUTED_VALUE"""),"Stirnu 14")</f>
        <v>Stirnu 14</v>
      </c>
      <c r="D829" s="2">
        <f>IFERROR(__xludf.DUMMYFUNCTION("""COMPUTED_VALUE"""),1.0)</f>
        <v>1</v>
      </c>
      <c r="E829" s="2">
        <f>IFERROR(__xludf.DUMMYFUNCTION("""COMPUTED_VALUE"""),39.0)</f>
        <v>39</v>
      </c>
      <c r="F829" s="2">
        <f>IFERROR(__xludf.DUMMYFUNCTION("""COMPUTED_VALUE"""),1.0)</f>
        <v>1</v>
      </c>
      <c r="G829" s="2">
        <f>IFERROR(__xludf.DUMMYFUNCTION("""COMPUTED_VALUE"""),5.0)</f>
        <v>5</v>
      </c>
      <c r="H829" s="2" t="str">
        <f>IFERROR(__xludf.DUMMYFUNCTION("""COMPUTED_VALUE"""),"M. ģim.")</f>
        <v>M. ģim.</v>
      </c>
      <c r="I829" s="2" t="str">
        <f>IFERROR(__xludf.DUMMYFUNCTION("""COMPUTED_VALUE"""),"Panel")</f>
        <v>Panel</v>
      </c>
      <c r="J829" s="2" t="str">
        <f>IFERROR(__xludf.DUMMYFUNCTION("""COMPUTED_VALUE"""),"All amenities")</f>
        <v>All amenities</v>
      </c>
      <c r="K829" s="2">
        <f>IFERROR(__xludf.DUMMYFUNCTION("""COMPUTED_VALUE"""),30500.0)</f>
        <v>30500</v>
      </c>
      <c r="L829" s="2">
        <f>IFERROR(__xludf.DUMMYFUNCTION("""COMPUTED_VALUE"""),56.95362445)</f>
        <v>56.95362445</v>
      </c>
      <c r="M829" s="2">
        <f>IFERROR(__xludf.DUMMYFUNCTION("""COMPUTED_VALUE"""),24.18336245)</f>
        <v>24.18336245</v>
      </c>
    </row>
    <row r="830">
      <c r="A830" s="2" t="str">
        <f>IFERROR(__xludf.DUMMYFUNCTION("""COMPUTED_VALUE"""),"For sale")</f>
        <v>For sale</v>
      </c>
      <c r="B830" s="2" t="str">
        <f>IFERROR(__xludf.DUMMYFUNCTION("""COMPUTED_VALUE"""),"Purvciems")</f>
        <v>Purvciems</v>
      </c>
      <c r="C830" s="2" t="str">
        <f>IFERROR(__xludf.DUMMYFUNCTION("""COMPUTED_VALUE"""),"Stirnu 22")</f>
        <v>Stirnu 22</v>
      </c>
      <c r="D830" s="2">
        <f>IFERROR(__xludf.DUMMYFUNCTION("""COMPUTED_VALUE"""),1.0)</f>
        <v>1</v>
      </c>
      <c r="E830" s="2">
        <f>IFERROR(__xludf.DUMMYFUNCTION("""COMPUTED_VALUE"""),37.0)</f>
        <v>37</v>
      </c>
      <c r="F830" s="2">
        <f>IFERROR(__xludf.DUMMYFUNCTION("""COMPUTED_VALUE"""),4.0)</f>
        <v>4</v>
      </c>
      <c r="G830" s="2">
        <f>IFERROR(__xludf.DUMMYFUNCTION("""COMPUTED_VALUE"""),5.0)</f>
        <v>5</v>
      </c>
      <c r="H830" s="2" t="str">
        <f>IFERROR(__xludf.DUMMYFUNCTION("""COMPUTED_VALUE"""),"Specpr.")</f>
        <v>Specpr.</v>
      </c>
      <c r="I830" s="2" t="str">
        <f>IFERROR(__xludf.DUMMYFUNCTION("""COMPUTED_VALUE"""),"Brick")</f>
        <v>Brick</v>
      </c>
      <c r="J830" s="2" t="str">
        <f>IFERROR(__xludf.DUMMYFUNCTION("""COMPUTED_VALUE"""),"All amenities")</f>
        <v>All amenities</v>
      </c>
      <c r="K830" s="2">
        <f>IFERROR(__xludf.DUMMYFUNCTION("""COMPUTED_VALUE"""),32700.0)</f>
        <v>32700</v>
      </c>
      <c r="L830" s="2">
        <f>IFERROR(__xludf.DUMMYFUNCTION("""COMPUTED_VALUE"""),56.9561795)</f>
        <v>56.9561795</v>
      </c>
      <c r="M830" s="2">
        <f>IFERROR(__xludf.DUMMYFUNCTION("""COMPUTED_VALUE"""),24.1835724)</f>
        <v>24.1835724</v>
      </c>
    </row>
    <row r="831">
      <c r="A831" s="2" t="str">
        <f>IFERROR(__xludf.DUMMYFUNCTION("""COMPUTED_VALUE"""),"For rent")</f>
        <v>For rent</v>
      </c>
      <c r="B831" s="2" t="str">
        <f>IFERROR(__xludf.DUMMYFUNCTION("""COMPUTED_VALUE"""),"centrs")</f>
        <v>centrs</v>
      </c>
      <c r="C831" s="2" t="str">
        <f>IFERROR(__xludf.DUMMYFUNCTION("""COMPUTED_VALUE"""),"Elijas 20")</f>
        <v>Elijas 20</v>
      </c>
      <c r="D831" s="2">
        <f>IFERROR(__xludf.DUMMYFUNCTION("""COMPUTED_VALUE"""),1.0)</f>
        <v>1</v>
      </c>
      <c r="E831" s="2">
        <f>IFERROR(__xludf.DUMMYFUNCTION("""COMPUTED_VALUE"""),40.0)</f>
        <v>40</v>
      </c>
      <c r="F831" s="2">
        <f>IFERROR(__xludf.DUMMYFUNCTION("""COMPUTED_VALUE"""),1.0)</f>
        <v>1</v>
      </c>
      <c r="G831" s="2">
        <f>IFERROR(__xludf.DUMMYFUNCTION("""COMPUTED_VALUE"""),5.0)</f>
        <v>5</v>
      </c>
      <c r="H831" s="2" t="str">
        <f>IFERROR(__xludf.DUMMYFUNCTION("""COMPUTED_VALUE"""),"P. kara")</f>
        <v>P. kara</v>
      </c>
      <c r="I831" s="2" t="str">
        <f>IFERROR(__xludf.DUMMYFUNCTION("""COMPUTED_VALUE"""),"Brick")</f>
        <v>Brick</v>
      </c>
      <c r="J831" s="2" t="str">
        <f>IFERROR(__xludf.DUMMYFUNCTION("""COMPUTED_VALUE"""),"All amenities")</f>
        <v>All amenities</v>
      </c>
      <c r="K831" s="2">
        <f>IFERROR(__xludf.DUMMYFUNCTION("""COMPUTED_VALUE"""),25.0)</f>
        <v>25</v>
      </c>
      <c r="L831" s="2">
        <f>IFERROR(__xludf.DUMMYFUNCTION("""COMPUTED_VALUE"""),56.9411476)</f>
        <v>56.9411476</v>
      </c>
      <c r="M831" s="2">
        <f>IFERROR(__xludf.DUMMYFUNCTION("""COMPUTED_VALUE"""),24.1242481)</f>
        <v>24.1242481</v>
      </c>
    </row>
    <row r="832">
      <c r="A832" s="2" t="str">
        <f>IFERROR(__xludf.DUMMYFUNCTION("""COMPUTED_VALUE"""),"For sale")</f>
        <v>For sale</v>
      </c>
      <c r="B832" s="2" t="str">
        <f>IFERROR(__xludf.DUMMYFUNCTION("""COMPUTED_VALUE"""),"Vecmīlgrāvis")</f>
        <v>Vecmīlgrāvis</v>
      </c>
      <c r="C832" s="2" t="str">
        <f>IFERROR(__xludf.DUMMYFUNCTION("""COMPUTED_VALUE"""),"Meldru 24")</f>
        <v>Meldru 24</v>
      </c>
      <c r="D832" s="2">
        <f>IFERROR(__xludf.DUMMYFUNCTION("""COMPUTED_VALUE"""),2.0)</f>
        <v>2</v>
      </c>
      <c r="E832" s="2">
        <f>IFERROR(__xludf.DUMMYFUNCTION("""COMPUTED_VALUE"""),50.0)</f>
        <v>50</v>
      </c>
      <c r="F832" s="2">
        <f>IFERROR(__xludf.DUMMYFUNCTION("""COMPUTED_VALUE"""),3.0)</f>
        <v>3</v>
      </c>
      <c r="G832" s="2">
        <f>IFERROR(__xludf.DUMMYFUNCTION("""COMPUTED_VALUE"""),5.0)</f>
        <v>5</v>
      </c>
      <c r="H832" s="2" t="str">
        <f>IFERROR(__xludf.DUMMYFUNCTION("""COMPUTED_VALUE"""),"LT proj.")</f>
        <v>LT proj.</v>
      </c>
      <c r="I832" s="2" t="str">
        <f>IFERROR(__xludf.DUMMYFUNCTION("""COMPUTED_VALUE"""),"Panel")</f>
        <v>Panel</v>
      </c>
      <c r="J832" s="2" t="str">
        <f>IFERROR(__xludf.DUMMYFUNCTION("""COMPUTED_VALUE"""),"All amenities")</f>
        <v>All amenities</v>
      </c>
      <c r="K832" s="2">
        <f>IFERROR(__xludf.DUMMYFUNCTION("""COMPUTED_VALUE"""),37900.0)</f>
        <v>37900</v>
      </c>
      <c r="L832" s="2">
        <f>IFERROR(__xludf.DUMMYFUNCTION("""COMPUTED_VALUE"""),57.03262235)</f>
        <v>57.03262235</v>
      </c>
      <c r="M832" s="2">
        <f>IFERROR(__xludf.DUMMYFUNCTION("""COMPUTED_VALUE"""),24.0954070297358)</f>
        <v>24.09540703</v>
      </c>
    </row>
    <row r="833">
      <c r="A833" s="2" t="str">
        <f>IFERROR(__xludf.DUMMYFUNCTION("""COMPUTED_VALUE"""),"For sale")</f>
        <v>For sale</v>
      </c>
      <c r="B833" s="2" t="str">
        <f>IFERROR(__xludf.DUMMYFUNCTION("""COMPUTED_VALUE"""),"Imanta")</f>
        <v>Imanta</v>
      </c>
      <c r="C833" s="2" t="str">
        <f>IFERROR(__xludf.DUMMYFUNCTION("""COMPUTED_VALUE"""),"Slokas 185")</f>
        <v>Slokas 185</v>
      </c>
      <c r="D833" s="2">
        <f>IFERROR(__xludf.DUMMYFUNCTION("""COMPUTED_VALUE"""),3.0)</f>
        <v>3</v>
      </c>
      <c r="E833" s="2">
        <f>IFERROR(__xludf.DUMMYFUNCTION("""COMPUTED_VALUE"""),66.0)</f>
        <v>66</v>
      </c>
      <c r="F833" s="2">
        <f>IFERROR(__xludf.DUMMYFUNCTION("""COMPUTED_VALUE"""),5.0)</f>
        <v>5</v>
      </c>
      <c r="G833" s="2">
        <f>IFERROR(__xludf.DUMMYFUNCTION("""COMPUTED_VALUE"""),5.0)</f>
        <v>5</v>
      </c>
      <c r="H833" s="2" t="str">
        <f>IFERROR(__xludf.DUMMYFUNCTION("""COMPUTED_VALUE"""),"LT proj.")</f>
        <v>LT proj.</v>
      </c>
      <c r="I833" s="2" t="str">
        <f>IFERROR(__xludf.DUMMYFUNCTION("""COMPUTED_VALUE"""),"Panel")</f>
        <v>Panel</v>
      </c>
      <c r="J833" s="2" t="str">
        <f>IFERROR(__xludf.DUMMYFUNCTION("""COMPUTED_VALUE"""),"All amenities")</f>
        <v>All amenities</v>
      </c>
      <c r="K833" s="2">
        <f>IFERROR(__xludf.DUMMYFUNCTION("""COMPUTED_VALUE"""),55300.0)</f>
        <v>55300</v>
      </c>
      <c r="L833" s="2">
        <f>IFERROR(__xludf.DUMMYFUNCTION("""COMPUTED_VALUE"""),56.9631071999999)</f>
        <v>56.9631072</v>
      </c>
      <c r="M833" s="2">
        <f>IFERROR(__xludf.DUMMYFUNCTION("""COMPUTED_VALUE"""),24.0188057517847)</f>
        <v>24.01880575</v>
      </c>
    </row>
    <row r="834">
      <c r="A834" s="2" t="str">
        <f>IFERROR(__xludf.DUMMYFUNCTION("""COMPUTED_VALUE"""),"For rent")</f>
        <v>For rent</v>
      </c>
      <c r="B834" s="2" t="str">
        <f>IFERROR(__xludf.DUMMYFUNCTION("""COMPUTED_VALUE"""),"Ķengarags")</f>
        <v>Ķengarags</v>
      </c>
      <c r="C834" s="2" t="str">
        <f>IFERROR(__xludf.DUMMYFUNCTION("""COMPUTED_VALUE"""),"Ikšķiles 16")</f>
        <v>Ikšķiles 16</v>
      </c>
      <c r="D834" s="2">
        <f>IFERROR(__xludf.DUMMYFUNCTION("""COMPUTED_VALUE"""),1.0)</f>
        <v>1</v>
      </c>
      <c r="E834" s="2">
        <f>IFERROR(__xludf.DUMMYFUNCTION("""COMPUTED_VALUE"""),16.0)</f>
        <v>16</v>
      </c>
      <c r="F834" s="2">
        <f>IFERROR(__xludf.DUMMYFUNCTION("""COMPUTED_VALUE"""),4.0)</f>
        <v>4</v>
      </c>
      <c r="G834" s="2">
        <f>IFERROR(__xludf.DUMMYFUNCTION("""COMPUTED_VALUE"""),5.0)</f>
        <v>5</v>
      </c>
      <c r="H834" s="2" t="str">
        <f>IFERROR(__xludf.DUMMYFUNCTION("""COMPUTED_VALUE"""),"LT proj.")</f>
        <v>LT proj.</v>
      </c>
      <c r="I834" s="2" t="str">
        <f>IFERROR(__xludf.DUMMYFUNCTION("""COMPUTED_VALUE"""),"Panel")</f>
        <v>Panel</v>
      </c>
      <c r="J834" s="2" t="str">
        <f>IFERROR(__xludf.DUMMYFUNCTION("""COMPUTED_VALUE"""),"All amenities")</f>
        <v>All amenities</v>
      </c>
      <c r="K834" s="2">
        <f>IFERROR(__xludf.DUMMYFUNCTION("""COMPUTED_VALUE"""),160.0)</f>
        <v>160</v>
      </c>
      <c r="L834" s="2">
        <f>IFERROR(__xludf.DUMMYFUNCTION("""COMPUTED_VALUE"""),56.9025774499999)</f>
        <v>56.90257745</v>
      </c>
      <c r="M834" s="2">
        <f>IFERROR(__xludf.DUMMYFUNCTION("""COMPUTED_VALUE"""),24.2100652572056)</f>
        <v>24.21006526</v>
      </c>
    </row>
    <row r="835">
      <c r="A835" s="2" t="str">
        <f>IFERROR(__xludf.DUMMYFUNCTION("""COMPUTED_VALUE"""),"For sale")</f>
        <v>For sale</v>
      </c>
      <c r="B835" s="2" t="str">
        <f>IFERROR(__xludf.DUMMYFUNCTION("""COMPUTED_VALUE"""),"Dzegužkalns")</f>
        <v>Dzegužkalns</v>
      </c>
      <c r="C835" s="2" t="str">
        <f>IFERROR(__xludf.DUMMYFUNCTION("""COMPUTED_VALUE"""),"Dzirciema 1")</f>
        <v>Dzirciema 1</v>
      </c>
      <c r="D835" s="2">
        <f>IFERROR(__xludf.DUMMYFUNCTION("""COMPUTED_VALUE"""),2.0)</f>
        <v>2</v>
      </c>
      <c r="E835" s="2">
        <f>IFERROR(__xludf.DUMMYFUNCTION("""COMPUTED_VALUE"""),53.0)</f>
        <v>53</v>
      </c>
      <c r="F835" s="2">
        <f>IFERROR(__xludf.DUMMYFUNCTION("""COMPUTED_VALUE"""),1.0)</f>
        <v>1</v>
      </c>
      <c r="G835" s="2">
        <f>IFERROR(__xludf.DUMMYFUNCTION("""COMPUTED_VALUE"""),5.0)</f>
        <v>5</v>
      </c>
      <c r="H835" s="2">
        <f>IFERROR(__xludf.DUMMYFUNCTION("""COMPUTED_VALUE"""),103.0)</f>
        <v>103</v>
      </c>
      <c r="I835" s="2" t="str">
        <f>IFERROR(__xludf.DUMMYFUNCTION("""COMPUTED_VALUE"""),"Brick-Panel")</f>
        <v>Brick-Panel</v>
      </c>
      <c r="J835" s="2" t="str">
        <f>IFERROR(__xludf.DUMMYFUNCTION("""COMPUTED_VALUE"""),"All amenities")</f>
        <v>All amenities</v>
      </c>
      <c r="K835" s="2">
        <f>IFERROR(__xludf.DUMMYFUNCTION("""COMPUTED_VALUE"""),64000.0)</f>
        <v>64000</v>
      </c>
      <c r="L835" s="2">
        <f>IFERROR(__xludf.DUMMYFUNCTION("""COMPUTED_VALUE"""),56.9494653)</f>
        <v>56.9494653</v>
      </c>
      <c r="M835" s="2">
        <f>IFERROR(__xludf.DUMMYFUNCTION("""COMPUTED_VALUE"""),24.0535387911323)</f>
        <v>24.05353879</v>
      </c>
    </row>
    <row r="836">
      <c r="A836" s="2" t="str">
        <f>IFERROR(__xludf.DUMMYFUNCTION("""COMPUTED_VALUE"""),"For sale")</f>
        <v>For sale</v>
      </c>
      <c r="B836" s="2" t="str">
        <f>IFERROR(__xludf.DUMMYFUNCTION("""COMPUTED_VALUE"""),"Purvciems")</f>
        <v>Purvciems</v>
      </c>
      <c r="C836" s="2" t="str">
        <f>IFERROR(__xludf.DUMMYFUNCTION("""COMPUTED_VALUE"""),"Raunas 35")</f>
        <v>Raunas 35</v>
      </c>
      <c r="D836" s="2">
        <f>IFERROR(__xludf.DUMMYFUNCTION("""COMPUTED_VALUE"""),2.0)</f>
        <v>2</v>
      </c>
      <c r="E836" s="2">
        <f>IFERROR(__xludf.DUMMYFUNCTION("""COMPUTED_VALUE"""),44.0)</f>
        <v>44</v>
      </c>
      <c r="F836" s="2">
        <f>IFERROR(__xludf.DUMMYFUNCTION("""COMPUTED_VALUE"""),2.0)</f>
        <v>2</v>
      </c>
      <c r="G836" s="2">
        <f>IFERROR(__xludf.DUMMYFUNCTION("""COMPUTED_VALUE"""),5.0)</f>
        <v>5</v>
      </c>
      <c r="H836" s="2" t="str">
        <f>IFERROR(__xludf.DUMMYFUNCTION("""COMPUTED_VALUE"""),"Hrušč.")</f>
        <v>Hrušč.</v>
      </c>
      <c r="I836" s="2" t="str">
        <f>IFERROR(__xludf.DUMMYFUNCTION("""COMPUTED_VALUE"""),"Brick")</f>
        <v>Brick</v>
      </c>
      <c r="J836" s="2" t="str">
        <f>IFERROR(__xludf.DUMMYFUNCTION("""COMPUTED_VALUE"""),"All amenities")</f>
        <v>All amenities</v>
      </c>
      <c r="K836" s="2">
        <f>IFERROR(__xludf.DUMMYFUNCTION("""COMPUTED_VALUE"""),50000.0)</f>
        <v>50000</v>
      </c>
      <c r="L836" s="2">
        <f>IFERROR(__xludf.DUMMYFUNCTION("""COMPUTED_VALUE"""),56.9684301)</f>
        <v>56.9684301</v>
      </c>
      <c r="M836" s="2">
        <f>IFERROR(__xludf.DUMMYFUNCTION("""COMPUTED_VALUE"""),24.1789939590232)</f>
        <v>24.17899396</v>
      </c>
    </row>
    <row r="837">
      <c r="A837" s="2" t="str">
        <f>IFERROR(__xludf.DUMMYFUNCTION("""COMPUTED_VALUE"""),"For sale")</f>
        <v>For sale</v>
      </c>
      <c r="B837" s="2" t="str">
        <f>IFERROR(__xludf.DUMMYFUNCTION("""COMPUTED_VALUE"""),"Ķengarags")</f>
        <v>Ķengarags</v>
      </c>
      <c r="C837" s="2" t="str">
        <f>IFERROR(__xludf.DUMMYFUNCTION("""COMPUTED_VALUE"""),"Maskavas 321")</f>
        <v>Maskavas 321</v>
      </c>
      <c r="D837" s="2">
        <f>IFERROR(__xludf.DUMMYFUNCTION("""COMPUTED_VALUE"""),2.0)</f>
        <v>2</v>
      </c>
      <c r="E837" s="2">
        <f>IFERROR(__xludf.DUMMYFUNCTION("""COMPUTED_VALUE"""),49.0)</f>
        <v>49</v>
      </c>
      <c r="F837" s="2">
        <f>IFERROR(__xludf.DUMMYFUNCTION("""COMPUTED_VALUE"""),1.0)</f>
        <v>1</v>
      </c>
      <c r="G837" s="2">
        <f>IFERROR(__xludf.DUMMYFUNCTION("""COMPUTED_VALUE"""),5.0)</f>
        <v>5</v>
      </c>
      <c r="H837" s="2" t="str">
        <f>IFERROR(__xludf.DUMMYFUNCTION("""COMPUTED_VALUE"""),"LT proj.")</f>
        <v>LT proj.</v>
      </c>
      <c r="I837" s="2" t="str">
        <f>IFERROR(__xludf.DUMMYFUNCTION("""COMPUTED_VALUE"""),"Panel")</f>
        <v>Panel</v>
      </c>
      <c r="J837" s="2" t="str">
        <f>IFERROR(__xludf.DUMMYFUNCTION("""COMPUTED_VALUE"""),"All amenities")</f>
        <v>All amenities</v>
      </c>
      <c r="K837" s="2">
        <f>IFERROR(__xludf.DUMMYFUNCTION("""COMPUTED_VALUE"""),46700.0)</f>
        <v>46700</v>
      </c>
      <c r="L837" s="2">
        <f>IFERROR(__xludf.DUMMYFUNCTION("""COMPUTED_VALUE"""),56.8597884)</f>
        <v>56.8597884</v>
      </c>
      <c r="M837" s="2">
        <f>IFERROR(__xludf.DUMMYFUNCTION("""COMPUTED_VALUE"""),24.3083417)</f>
        <v>24.3083417</v>
      </c>
    </row>
    <row r="838">
      <c r="A838" s="2" t="str">
        <f>IFERROR(__xludf.DUMMYFUNCTION("""COMPUTED_VALUE"""),"For rent")</f>
        <v>For rent</v>
      </c>
      <c r="B838" s="2" t="str">
        <f>IFERROR(__xludf.DUMMYFUNCTION("""COMPUTED_VALUE"""),"Jugla")</f>
        <v>Jugla</v>
      </c>
      <c r="C838" s="2" t="str">
        <f>IFERROR(__xludf.DUMMYFUNCTION("""COMPUTED_VALUE"""),"Vidzemes al. 1")</f>
        <v>Vidzemes al. 1</v>
      </c>
      <c r="D838" s="2">
        <f>IFERROR(__xludf.DUMMYFUNCTION("""COMPUTED_VALUE"""),1.0)</f>
        <v>1</v>
      </c>
      <c r="E838" s="2">
        <f>IFERROR(__xludf.DUMMYFUNCTION("""COMPUTED_VALUE"""),35.0)</f>
        <v>35</v>
      </c>
      <c r="F838" s="2">
        <f>IFERROR(__xludf.DUMMYFUNCTION("""COMPUTED_VALUE"""),3.0)</f>
        <v>3</v>
      </c>
      <c r="G838" s="2">
        <f>IFERROR(__xludf.DUMMYFUNCTION("""COMPUTED_VALUE"""),9.0)</f>
        <v>9</v>
      </c>
      <c r="H838" s="2" t="str">
        <f>IFERROR(__xludf.DUMMYFUNCTION("""COMPUTED_VALUE"""),"Čehu pr.")</f>
        <v>Čehu pr.</v>
      </c>
      <c r="I838" s="2" t="str">
        <f>IFERROR(__xludf.DUMMYFUNCTION("""COMPUTED_VALUE"""),"Brick-Panel")</f>
        <v>Brick-Panel</v>
      </c>
      <c r="J838" s="2" t="str">
        <f>IFERROR(__xludf.DUMMYFUNCTION("""COMPUTED_VALUE"""),"All amenities")</f>
        <v>All amenities</v>
      </c>
      <c r="K838" s="2">
        <f>IFERROR(__xludf.DUMMYFUNCTION("""COMPUTED_VALUE"""),265.0)</f>
        <v>265</v>
      </c>
      <c r="L838" s="2">
        <f>IFERROR(__xludf.DUMMYFUNCTION("""COMPUTED_VALUE"""),56.99359675)</f>
        <v>56.99359675</v>
      </c>
      <c r="M838" s="2">
        <f>IFERROR(__xludf.DUMMYFUNCTION("""COMPUTED_VALUE"""),24.2428441662371)</f>
        <v>24.24284417</v>
      </c>
    </row>
    <row r="839">
      <c r="A839" s="2" t="str">
        <f>IFERROR(__xludf.DUMMYFUNCTION("""COMPUTED_VALUE"""),"For sale")</f>
        <v>For sale</v>
      </c>
      <c r="B839" s="2" t="str">
        <f>IFERROR(__xludf.DUMMYFUNCTION("""COMPUTED_VALUE"""),"Vecmīlgrāvis")</f>
        <v>Vecmīlgrāvis</v>
      </c>
      <c r="C839" s="2" t="str">
        <f>IFERROR(__xludf.DUMMYFUNCTION("""COMPUTED_VALUE"""),"Emmas 3a")</f>
        <v>Emmas 3a</v>
      </c>
      <c r="D839" s="2">
        <f>IFERROR(__xludf.DUMMYFUNCTION("""COMPUTED_VALUE"""),2.0)</f>
        <v>2</v>
      </c>
      <c r="E839" s="2">
        <f>IFERROR(__xludf.DUMMYFUNCTION("""COMPUTED_VALUE"""),49.0)</f>
        <v>49</v>
      </c>
      <c r="F839" s="2">
        <f>IFERROR(__xludf.DUMMYFUNCTION("""COMPUTED_VALUE"""),2.0)</f>
        <v>2</v>
      </c>
      <c r="G839" s="2">
        <f>IFERROR(__xludf.DUMMYFUNCTION("""COMPUTED_VALUE"""),5.0)</f>
        <v>5</v>
      </c>
      <c r="H839" s="2" t="str">
        <f>IFERROR(__xludf.DUMMYFUNCTION("""COMPUTED_VALUE"""),"Specpr.")</f>
        <v>Specpr.</v>
      </c>
      <c r="I839" s="2" t="str">
        <f>IFERROR(__xludf.DUMMYFUNCTION("""COMPUTED_VALUE"""),"Brick")</f>
        <v>Brick</v>
      </c>
      <c r="J839" s="2" t="str">
        <f>IFERROR(__xludf.DUMMYFUNCTION("""COMPUTED_VALUE"""),"All amenities")</f>
        <v>All amenities</v>
      </c>
      <c r="K839" s="2">
        <f>IFERROR(__xludf.DUMMYFUNCTION("""COMPUTED_VALUE"""),32000.0)</f>
        <v>32000</v>
      </c>
      <c r="L839" s="2">
        <f>IFERROR(__xludf.DUMMYFUNCTION("""COMPUTED_VALUE"""),57.02896645)</f>
        <v>57.02896645</v>
      </c>
      <c r="M839" s="2">
        <f>IFERROR(__xludf.DUMMYFUNCTION("""COMPUTED_VALUE"""),24.10663595)</f>
        <v>24.10663595</v>
      </c>
    </row>
    <row r="840">
      <c r="A840" s="2" t="str">
        <f>IFERROR(__xludf.DUMMYFUNCTION("""COMPUTED_VALUE"""),"For sale")</f>
        <v>For sale</v>
      </c>
      <c r="B840" s="2" t="str">
        <f>IFERROR(__xludf.DUMMYFUNCTION("""COMPUTED_VALUE"""),"centrs")</f>
        <v>centrs</v>
      </c>
      <c r="C840" s="2" t="str">
        <f>IFERROR(__xludf.DUMMYFUNCTION("""COMPUTED_VALUE"""),"Rūpniecības 44")</f>
        <v>Rūpniecības 44</v>
      </c>
      <c r="D840" s="2">
        <f>IFERROR(__xludf.DUMMYFUNCTION("""COMPUTED_VALUE"""),3.0)</f>
        <v>3</v>
      </c>
      <c r="E840" s="2">
        <f>IFERROR(__xludf.DUMMYFUNCTION("""COMPUTED_VALUE"""),81.0)</f>
        <v>81</v>
      </c>
      <c r="F840" s="2">
        <f>IFERROR(__xludf.DUMMYFUNCTION("""COMPUTED_VALUE"""),7.0)</f>
        <v>7</v>
      </c>
      <c r="G840" s="2">
        <f>IFERROR(__xludf.DUMMYFUNCTION("""COMPUTED_VALUE"""),8.0)</f>
        <v>8</v>
      </c>
      <c r="H840" s="2" t="str">
        <f>IFERROR(__xludf.DUMMYFUNCTION("""COMPUTED_VALUE"""),"Jaun.")</f>
        <v>Jaun.</v>
      </c>
      <c r="I840" s="2" t="str">
        <f>IFERROR(__xludf.DUMMYFUNCTION("""COMPUTED_VALUE"""),"Brick-Panel")</f>
        <v>Brick-Panel</v>
      </c>
      <c r="J840" s="2" t="str">
        <f>IFERROR(__xludf.DUMMYFUNCTION("""COMPUTED_VALUE"""),"All amenities")</f>
        <v>All amenities</v>
      </c>
      <c r="K840" s="2">
        <f>IFERROR(__xludf.DUMMYFUNCTION("""COMPUTED_VALUE"""),185000.0)</f>
        <v>185000</v>
      </c>
      <c r="L840" s="2">
        <f>IFERROR(__xludf.DUMMYFUNCTION("""COMPUTED_VALUE"""),56.9663651)</f>
        <v>56.9663651</v>
      </c>
      <c r="M840" s="2">
        <f>IFERROR(__xludf.DUMMYFUNCTION("""COMPUTED_VALUE"""),24.1051126038627)</f>
        <v>24.1051126</v>
      </c>
    </row>
    <row r="841">
      <c r="A841" s="2" t="str">
        <f>IFERROR(__xludf.DUMMYFUNCTION("""COMPUTED_VALUE"""),"For rent")</f>
        <v>For rent</v>
      </c>
      <c r="B841" s="2" t="str">
        <f>IFERROR(__xludf.DUMMYFUNCTION("""COMPUTED_VALUE"""),"Purvciems")</f>
        <v>Purvciems</v>
      </c>
      <c r="C841" s="2" t="str">
        <f>IFERROR(__xludf.DUMMYFUNCTION("""COMPUTED_VALUE"""),"Kastrānes 1 k-2")</f>
        <v>Kastrānes 1 k-2</v>
      </c>
      <c r="D841" s="2">
        <f>IFERROR(__xludf.DUMMYFUNCTION("""COMPUTED_VALUE"""),1.0)</f>
        <v>1</v>
      </c>
      <c r="E841" s="2">
        <f>IFERROR(__xludf.DUMMYFUNCTION("""COMPUTED_VALUE"""),16.0)</f>
        <v>16</v>
      </c>
      <c r="F841" s="2">
        <f>IFERROR(__xludf.DUMMYFUNCTION("""COMPUTED_VALUE"""),1.0)</f>
        <v>1</v>
      </c>
      <c r="G841" s="2">
        <f>IFERROR(__xludf.DUMMYFUNCTION("""COMPUTED_VALUE"""),5.0)</f>
        <v>5</v>
      </c>
      <c r="H841" s="2" t="str">
        <f>IFERROR(__xludf.DUMMYFUNCTION("""COMPUTED_VALUE"""),"Renov.")</f>
        <v>Renov.</v>
      </c>
      <c r="I841" s="2" t="str">
        <f>IFERROR(__xludf.DUMMYFUNCTION("""COMPUTED_VALUE"""),"Brick-Panel")</f>
        <v>Brick-Panel</v>
      </c>
      <c r="J841" s="2" t="str">
        <f>IFERROR(__xludf.DUMMYFUNCTION("""COMPUTED_VALUE"""),"All amenities")</f>
        <v>All amenities</v>
      </c>
      <c r="K841" s="2">
        <f>IFERROR(__xludf.DUMMYFUNCTION("""COMPUTED_VALUE"""),230.0)</f>
        <v>230</v>
      </c>
      <c r="L841" s="2">
        <f>IFERROR(__xludf.DUMMYFUNCTION("""COMPUTED_VALUE"""),56.9693455)</f>
        <v>56.9693455</v>
      </c>
      <c r="M841" s="2">
        <f>IFERROR(__xludf.DUMMYFUNCTION("""COMPUTED_VALUE"""),24.17841515)</f>
        <v>24.17841515</v>
      </c>
    </row>
    <row r="842">
      <c r="A842" s="2" t="str">
        <f>IFERROR(__xludf.DUMMYFUNCTION("""COMPUTED_VALUE"""),"For sale")</f>
        <v>For sale</v>
      </c>
      <c r="B842" s="2" t="str">
        <f>IFERROR(__xludf.DUMMYFUNCTION("""COMPUTED_VALUE"""),"Šampēteris-Pleskodāle")</f>
        <v>Šampēteris-Pleskodāle</v>
      </c>
      <c r="C842" s="2" t="str">
        <f>IFERROR(__xludf.DUMMYFUNCTION("""COMPUTED_VALUE"""),"Mikus 20")</f>
        <v>Mikus 20</v>
      </c>
      <c r="D842" s="2">
        <f>IFERROR(__xludf.DUMMYFUNCTION("""COMPUTED_VALUE"""),3.0)</f>
        <v>3</v>
      </c>
      <c r="E842" s="2">
        <f>IFERROR(__xludf.DUMMYFUNCTION("""COMPUTED_VALUE"""),53.0)</f>
        <v>53</v>
      </c>
      <c r="F842" s="2">
        <f>IFERROR(__xludf.DUMMYFUNCTION("""COMPUTED_VALUE"""),1.0)</f>
        <v>1</v>
      </c>
      <c r="G842" s="2">
        <f>IFERROR(__xludf.DUMMYFUNCTION("""COMPUTED_VALUE"""),2.0)</f>
        <v>2</v>
      </c>
      <c r="H842" s="2" t="str">
        <f>IFERROR(__xludf.DUMMYFUNCTION("""COMPUTED_VALUE"""),"Priv. m.")</f>
        <v>Priv. m.</v>
      </c>
      <c r="I842" s="2" t="str">
        <f>IFERROR(__xludf.DUMMYFUNCTION("""COMPUTED_VALUE"""),"Brick")</f>
        <v>Brick</v>
      </c>
      <c r="J842" s="2" t="str">
        <f>IFERROR(__xludf.DUMMYFUNCTION("""COMPUTED_VALUE"""),"Partial amenities")</f>
        <v>Partial amenities</v>
      </c>
      <c r="K842" s="2">
        <f>IFERROR(__xludf.DUMMYFUNCTION("""COMPUTED_VALUE"""),59000.0)</f>
        <v>59000</v>
      </c>
      <c r="L842" s="2">
        <f>IFERROR(__xludf.DUMMYFUNCTION("""COMPUTED_VALUE"""),56.93985415)</f>
        <v>56.93985415</v>
      </c>
      <c r="M842" s="2">
        <f>IFERROR(__xludf.DUMMYFUNCTION("""COMPUTED_VALUE"""),24.024615574015)</f>
        <v>24.02461557</v>
      </c>
    </row>
    <row r="843">
      <c r="A843" s="2" t="str">
        <f>IFERROR(__xludf.DUMMYFUNCTION("""COMPUTED_VALUE"""),"For rent")</f>
        <v>For rent</v>
      </c>
      <c r="B843" s="2" t="str">
        <f>IFERROR(__xludf.DUMMYFUNCTION("""COMPUTED_VALUE"""),"Vecmīlgrāvis")</f>
        <v>Vecmīlgrāvis</v>
      </c>
      <c r="C843" s="2" t="str">
        <f>IFERROR(__xludf.DUMMYFUNCTION("""COMPUTED_VALUE"""),"Emmas 28")</f>
        <v>Emmas 28</v>
      </c>
      <c r="D843" s="2">
        <f>IFERROR(__xludf.DUMMYFUNCTION("""COMPUTED_VALUE"""),2.0)</f>
        <v>2</v>
      </c>
      <c r="E843" s="2">
        <f>IFERROR(__xludf.DUMMYFUNCTION("""COMPUTED_VALUE"""),37.0)</f>
        <v>37</v>
      </c>
      <c r="F843" s="2">
        <f>IFERROR(__xludf.DUMMYFUNCTION("""COMPUTED_VALUE"""),4.0)</f>
        <v>4</v>
      </c>
      <c r="G843" s="2">
        <f>IFERROR(__xludf.DUMMYFUNCTION("""COMPUTED_VALUE"""),4.0)</f>
        <v>4</v>
      </c>
      <c r="H843" s="2" t="str">
        <f>IFERROR(__xludf.DUMMYFUNCTION("""COMPUTED_VALUE"""),"Staļina")</f>
        <v>Staļina</v>
      </c>
      <c r="I843" s="2" t="str">
        <f>IFERROR(__xludf.DUMMYFUNCTION("""COMPUTED_VALUE"""),"Brick")</f>
        <v>Brick</v>
      </c>
      <c r="J843" s="2" t="str">
        <f>IFERROR(__xludf.DUMMYFUNCTION("""COMPUTED_VALUE"""),"All amenities")</f>
        <v>All amenities</v>
      </c>
      <c r="K843" s="2">
        <f>IFERROR(__xludf.DUMMYFUNCTION("""COMPUTED_VALUE"""),310.0)</f>
        <v>310</v>
      </c>
      <c r="L843" s="2">
        <f>IFERROR(__xludf.DUMMYFUNCTION("""COMPUTED_VALUE"""),57.03179875)</f>
        <v>57.03179875</v>
      </c>
      <c r="M843" s="2">
        <f>IFERROR(__xludf.DUMMYFUNCTION("""COMPUTED_VALUE"""),24.1166644346289)</f>
        <v>24.11666443</v>
      </c>
    </row>
    <row r="844">
      <c r="A844" s="2" t="str">
        <f>IFERROR(__xludf.DUMMYFUNCTION("""COMPUTED_VALUE"""),"For sale")</f>
        <v>For sale</v>
      </c>
      <c r="B844" s="2" t="str">
        <f>IFERROR(__xludf.DUMMYFUNCTION("""COMPUTED_VALUE"""),"Bukulti")</f>
        <v>Bukulti</v>
      </c>
      <c r="C844" s="2" t="str">
        <f>IFERROR(__xludf.DUMMYFUNCTION("""COMPUTED_VALUE"""),"Ādažu 11")</f>
        <v>Ādažu 11</v>
      </c>
      <c r="D844" s="2">
        <f>IFERROR(__xludf.DUMMYFUNCTION("""COMPUTED_VALUE"""),3.0)</f>
        <v>3</v>
      </c>
      <c r="E844" s="2">
        <f>IFERROR(__xludf.DUMMYFUNCTION("""COMPUTED_VALUE"""),148.0)</f>
        <v>148</v>
      </c>
      <c r="F844" s="2">
        <f>IFERROR(__xludf.DUMMYFUNCTION("""COMPUTED_VALUE"""),3.0)</f>
        <v>3</v>
      </c>
      <c r="G844" s="2">
        <f>IFERROR(__xludf.DUMMYFUNCTION("""COMPUTED_VALUE"""),3.0)</f>
        <v>3</v>
      </c>
      <c r="H844" s="2" t="str">
        <f>IFERROR(__xludf.DUMMYFUNCTION("""COMPUTED_VALUE"""),"Jaun.")</f>
        <v>Jaun.</v>
      </c>
      <c r="I844" s="2" t="str">
        <f>IFERROR(__xludf.DUMMYFUNCTION("""COMPUTED_VALUE"""),"Panel-Brick")</f>
        <v>Panel-Brick</v>
      </c>
      <c r="J844" s="2" t="str">
        <f>IFERROR(__xludf.DUMMYFUNCTION("""COMPUTED_VALUE"""),"All amenities")</f>
        <v>All amenities</v>
      </c>
      <c r="K844" s="2">
        <f>IFERROR(__xludf.DUMMYFUNCTION("""COMPUTED_VALUE"""),210000.0)</f>
        <v>210000</v>
      </c>
      <c r="L844" s="2">
        <f>IFERROR(__xludf.DUMMYFUNCTION("""COMPUTED_VALUE"""),57.0212347)</f>
        <v>57.0212347</v>
      </c>
      <c r="M844" s="2">
        <f>IFERROR(__xludf.DUMMYFUNCTION("""COMPUTED_VALUE"""),24.129702)</f>
        <v>24.129702</v>
      </c>
    </row>
    <row r="845">
      <c r="A845" s="2" t="str">
        <f>IFERROR(__xludf.DUMMYFUNCTION("""COMPUTED_VALUE"""),"For sale")</f>
        <v>For sale</v>
      </c>
      <c r="B845" s="2" t="str">
        <f>IFERROR(__xludf.DUMMYFUNCTION("""COMPUTED_VALUE"""),"centrs")</f>
        <v>centrs</v>
      </c>
      <c r="C845" s="2" t="str">
        <f>IFERROR(__xludf.DUMMYFUNCTION("""COMPUTED_VALUE"""),"Pērnavas 10")</f>
        <v>Pērnavas 10</v>
      </c>
      <c r="D845" s="2">
        <f>IFERROR(__xludf.DUMMYFUNCTION("""COMPUTED_VALUE"""),3.0)</f>
        <v>3</v>
      </c>
      <c r="E845" s="2">
        <f>IFERROR(__xludf.DUMMYFUNCTION("""COMPUTED_VALUE"""),80.0)</f>
        <v>80</v>
      </c>
      <c r="F845" s="2">
        <f>IFERROR(__xludf.DUMMYFUNCTION("""COMPUTED_VALUE"""),5.0)</f>
        <v>5</v>
      </c>
      <c r="G845" s="2">
        <f>IFERROR(__xludf.DUMMYFUNCTION("""COMPUTED_VALUE"""),5.0)</f>
        <v>5</v>
      </c>
      <c r="H845" s="2" t="str">
        <f>IFERROR(__xludf.DUMMYFUNCTION("""COMPUTED_VALUE"""),"Staļina")</f>
        <v>Staļina</v>
      </c>
      <c r="I845" s="2" t="str">
        <f>IFERROR(__xludf.DUMMYFUNCTION("""COMPUTED_VALUE"""),"Brick-Panel")</f>
        <v>Brick-Panel</v>
      </c>
      <c r="J845" s="2" t="str">
        <f>IFERROR(__xludf.DUMMYFUNCTION("""COMPUTED_VALUE"""),"All amenities")</f>
        <v>All amenities</v>
      </c>
      <c r="K845" s="2">
        <f>IFERROR(__xludf.DUMMYFUNCTION("""COMPUTED_VALUE"""),128000.0)</f>
        <v>128000</v>
      </c>
      <c r="L845" s="2">
        <f>IFERROR(__xludf.DUMMYFUNCTION("""COMPUTED_VALUE"""),56.9647239)</f>
        <v>56.9647239</v>
      </c>
      <c r="M845" s="2">
        <f>IFERROR(__xludf.DUMMYFUNCTION("""COMPUTED_VALUE"""),24.1477109)</f>
        <v>24.1477109</v>
      </c>
    </row>
    <row r="846">
      <c r="A846" s="2" t="str">
        <f>IFERROR(__xludf.DUMMYFUNCTION("""COMPUTED_VALUE"""),"For sale")</f>
        <v>For sale</v>
      </c>
      <c r="B846" s="2" t="str">
        <f>IFERROR(__xludf.DUMMYFUNCTION("""COMPUTED_VALUE"""),"centrs")</f>
        <v>centrs</v>
      </c>
      <c r="C846" s="2" t="str">
        <f>IFERROR(__xludf.DUMMYFUNCTION("""COMPUTED_VALUE"""),"Avotu 2")</f>
        <v>Avotu 2</v>
      </c>
      <c r="D846" s="2">
        <f>IFERROR(__xludf.DUMMYFUNCTION("""COMPUTED_VALUE"""),6.0)</f>
        <v>6</v>
      </c>
      <c r="E846" s="2">
        <f>IFERROR(__xludf.DUMMYFUNCTION("""COMPUTED_VALUE"""),138.0)</f>
        <v>138</v>
      </c>
      <c r="F846" s="2">
        <f>IFERROR(__xludf.DUMMYFUNCTION("""COMPUTED_VALUE"""),6.0)</f>
        <v>6</v>
      </c>
      <c r="G846" s="2">
        <f>IFERROR(__xludf.DUMMYFUNCTION("""COMPUTED_VALUE"""),7.0)</f>
        <v>7</v>
      </c>
      <c r="H846" s="2" t="str">
        <f>IFERROR(__xludf.DUMMYFUNCTION("""COMPUTED_VALUE"""),"P. kara")</f>
        <v>P. kara</v>
      </c>
      <c r="I846" s="2" t="str">
        <f>IFERROR(__xludf.DUMMYFUNCTION("""COMPUTED_VALUE"""),"Brick")</f>
        <v>Brick</v>
      </c>
      <c r="J846" s="2" t="str">
        <f>IFERROR(__xludf.DUMMYFUNCTION("""COMPUTED_VALUE"""),"All amenities")</f>
        <v>All amenities</v>
      </c>
      <c r="K846" s="2">
        <f>IFERROR(__xludf.DUMMYFUNCTION("""COMPUTED_VALUE"""),115000.0)</f>
        <v>115000</v>
      </c>
      <c r="L846" s="2">
        <f>IFERROR(__xludf.DUMMYFUNCTION("""COMPUTED_VALUE"""),56.9509144999999)</f>
        <v>56.9509145</v>
      </c>
      <c r="M846" s="2">
        <f>IFERROR(__xludf.DUMMYFUNCTION("""COMPUTED_VALUE"""),24.1268450442253)</f>
        <v>24.12684504</v>
      </c>
    </row>
    <row r="847">
      <c r="A847" s="2" t="str">
        <f>IFERROR(__xludf.DUMMYFUNCTION("""COMPUTED_VALUE"""),"For sale")</f>
        <v>For sale</v>
      </c>
      <c r="B847" s="2" t="str">
        <f>IFERROR(__xludf.DUMMYFUNCTION("""COMPUTED_VALUE"""),"centrs")</f>
        <v>centrs</v>
      </c>
      <c r="C847" s="2" t="str">
        <f>IFERROR(__xludf.DUMMYFUNCTION("""COMPUTED_VALUE"""),"M. Matīsa 3")</f>
        <v>M. Matīsa 3</v>
      </c>
      <c r="D847" s="2">
        <f>IFERROR(__xludf.DUMMYFUNCTION("""COMPUTED_VALUE"""),1.0)</f>
        <v>1</v>
      </c>
      <c r="E847" s="2">
        <f>IFERROR(__xludf.DUMMYFUNCTION("""COMPUTED_VALUE"""),22.0)</f>
        <v>22</v>
      </c>
      <c r="F847" s="2">
        <f>IFERROR(__xludf.DUMMYFUNCTION("""COMPUTED_VALUE"""),1.0)</f>
        <v>1</v>
      </c>
      <c r="G847" s="2">
        <f>IFERROR(__xludf.DUMMYFUNCTION("""COMPUTED_VALUE"""),5.0)</f>
        <v>5</v>
      </c>
      <c r="H847" s="2" t="str">
        <f>IFERROR(__xludf.DUMMYFUNCTION("""COMPUTED_VALUE"""),"P. kara")</f>
        <v>P. kara</v>
      </c>
      <c r="I847" s="2" t="str">
        <f>IFERROR(__xludf.DUMMYFUNCTION("""COMPUTED_VALUE"""),"Brick")</f>
        <v>Brick</v>
      </c>
      <c r="J847" s="2" t="str">
        <f>IFERROR(__xludf.DUMMYFUNCTION("""COMPUTED_VALUE"""),"All amenities")</f>
        <v>All amenities</v>
      </c>
      <c r="K847" s="2">
        <f>IFERROR(__xludf.DUMMYFUNCTION("""COMPUTED_VALUE"""),18800.0)</f>
        <v>18800</v>
      </c>
      <c r="L847" s="2">
        <f>IFERROR(__xludf.DUMMYFUNCTION("""COMPUTED_VALUE"""),56.9437711)</f>
        <v>56.9437711</v>
      </c>
      <c r="M847" s="2">
        <f>IFERROR(__xludf.DUMMYFUNCTION("""COMPUTED_VALUE"""),24.1581326570728)</f>
        <v>24.15813266</v>
      </c>
    </row>
    <row r="848">
      <c r="A848" s="2" t="str">
        <f>IFERROR(__xludf.DUMMYFUNCTION("""COMPUTED_VALUE"""),"For sale")</f>
        <v>For sale</v>
      </c>
      <c r="B848" s="2" t="str">
        <f>IFERROR(__xludf.DUMMYFUNCTION("""COMPUTED_VALUE"""),"Purvciems")</f>
        <v>Purvciems</v>
      </c>
      <c r="C848" s="2" t="str">
        <f>IFERROR(__xludf.DUMMYFUNCTION("""COMPUTED_VALUE"""),"Dzelzavas 88")</f>
        <v>Dzelzavas 88</v>
      </c>
      <c r="D848" s="2">
        <f>IFERROR(__xludf.DUMMYFUNCTION("""COMPUTED_VALUE"""),2.0)</f>
        <v>2</v>
      </c>
      <c r="E848" s="2">
        <f>IFERROR(__xludf.DUMMYFUNCTION("""COMPUTED_VALUE"""),51.0)</f>
        <v>51</v>
      </c>
      <c r="F848" s="2">
        <f>IFERROR(__xludf.DUMMYFUNCTION("""COMPUTED_VALUE"""),3.0)</f>
        <v>3</v>
      </c>
      <c r="G848" s="2">
        <f>IFERROR(__xludf.DUMMYFUNCTION("""COMPUTED_VALUE"""),5.0)</f>
        <v>5</v>
      </c>
      <c r="H848" s="2" t="str">
        <f>IFERROR(__xludf.DUMMYFUNCTION("""COMPUTED_VALUE"""),"LT proj.")</f>
        <v>LT proj.</v>
      </c>
      <c r="I848" s="2" t="str">
        <f>IFERROR(__xludf.DUMMYFUNCTION("""COMPUTED_VALUE"""),"Panel")</f>
        <v>Panel</v>
      </c>
      <c r="J848" s="2" t="str">
        <f>IFERROR(__xludf.DUMMYFUNCTION("""COMPUTED_VALUE"""),"All amenities")</f>
        <v>All amenities</v>
      </c>
      <c r="K848" s="2">
        <f>IFERROR(__xludf.DUMMYFUNCTION("""COMPUTED_VALUE"""),49000.0)</f>
        <v>49000</v>
      </c>
      <c r="L848" s="2">
        <f>IFERROR(__xludf.DUMMYFUNCTION("""COMPUTED_VALUE"""),56.9539408)</f>
        <v>56.9539408</v>
      </c>
      <c r="M848" s="2">
        <f>IFERROR(__xludf.DUMMYFUNCTION("""COMPUTED_VALUE"""),24.2063672950924)</f>
        <v>24.2063673</v>
      </c>
    </row>
    <row r="849">
      <c r="A849" s="2" t="str">
        <f>IFERROR(__xludf.DUMMYFUNCTION("""COMPUTED_VALUE"""),"For sale")</f>
        <v>For sale</v>
      </c>
      <c r="B849" s="2" t="str">
        <f>IFERROR(__xludf.DUMMYFUNCTION("""COMPUTED_VALUE"""),"Purvciems")</f>
        <v>Purvciems</v>
      </c>
      <c r="C849" s="2" t="str">
        <f>IFERROR(__xludf.DUMMYFUNCTION("""COMPUTED_VALUE"""),"Ieriķu 32")</f>
        <v>Ieriķu 32</v>
      </c>
      <c r="D849" s="2">
        <f>IFERROR(__xludf.DUMMYFUNCTION("""COMPUTED_VALUE"""),3.0)</f>
        <v>3</v>
      </c>
      <c r="E849" s="2">
        <f>IFERROR(__xludf.DUMMYFUNCTION("""COMPUTED_VALUE"""),59.0)</f>
        <v>59</v>
      </c>
      <c r="F849" s="2">
        <f>IFERROR(__xludf.DUMMYFUNCTION("""COMPUTED_VALUE"""),4.0)</f>
        <v>4</v>
      </c>
      <c r="G849" s="2">
        <f>IFERROR(__xludf.DUMMYFUNCTION("""COMPUTED_VALUE"""),5.0)</f>
        <v>5</v>
      </c>
      <c r="H849" s="2" t="str">
        <f>IFERROR(__xludf.DUMMYFUNCTION("""COMPUTED_VALUE"""),"Specpr.")</f>
        <v>Specpr.</v>
      </c>
      <c r="I849" s="2" t="str">
        <f>IFERROR(__xludf.DUMMYFUNCTION("""COMPUTED_VALUE"""),"Brick")</f>
        <v>Brick</v>
      </c>
      <c r="J849" s="2" t="str">
        <f>IFERROR(__xludf.DUMMYFUNCTION("""COMPUTED_VALUE"""),"All amenities")</f>
        <v>All amenities</v>
      </c>
      <c r="K849" s="2">
        <f>IFERROR(__xludf.DUMMYFUNCTION("""COMPUTED_VALUE"""),64000.0)</f>
        <v>64000</v>
      </c>
      <c r="L849" s="2">
        <f>IFERROR(__xludf.DUMMYFUNCTION("""COMPUTED_VALUE"""),56.96450485)</f>
        <v>56.96450485</v>
      </c>
      <c r="M849" s="2">
        <f>IFERROR(__xludf.DUMMYFUNCTION("""COMPUTED_VALUE"""),24.1721578595744)</f>
        <v>24.17215786</v>
      </c>
    </row>
    <row r="850">
      <c r="A850" s="2" t="str">
        <f>IFERROR(__xludf.DUMMYFUNCTION("""COMPUTED_VALUE"""),"For sale")</f>
        <v>For sale</v>
      </c>
      <c r="B850" s="2" t="str">
        <f>IFERROR(__xludf.DUMMYFUNCTION("""COMPUTED_VALUE"""),"centrs")</f>
        <v>centrs</v>
      </c>
      <c r="C850" s="2" t="str">
        <f>IFERROR(__xludf.DUMMYFUNCTION("""COMPUTED_VALUE"""),"Čaka 36")</f>
        <v>Čaka 36</v>
      </c>
      <c r="D850" s="2">
        <f>IFERROR(__xludf.DUMMYFUNCTION("""COMPUTED_VALUE"""),1.0)</f>
        <v>1</v>
      </c>
      <c r="E850" s="2">
        <f>IFERROR(__xludf.DUMMYFUNCTION("""COMPUTED_VALUE"""),33.0)</f>
        <v>33</v>
      </c>
      <c r="F850" s="2">
        <f>IFERROR(__xludf.DUMMYFUNCTION("""COMPUTED_VALUE"""),5.0)</f>
        <v>5</v>
      </c>
      <c r="G850" s="2">
        <f>IFERROR(__xludf.DUMMYFUNCTION("""COMPUTED_VALUE"""),5.0)</f>
        <v>5</v>
      </c>
      <c r="H850" s="2" t="str">
        <f>IFERROR(__xludf.DUMMYFUNCTION("""COMPUTED_VALUE"""),"P. kara")</f>
        <v>P. kara</v>
      </c>
      <c r="I850" s="2" t="str">
        <f>IFERROR(__xludf.DUMMYFUNCTION("""COMPUTED_VALUE"""),"Masonry")</f>
        <v>Masonry</v>
      </c>
      <c r="J850" s="2" t="str">
        <f>IFERROR(__xludf.DUMMYFUNCTION("""COMPUTED_VALUE"""),"All amenities")</f>
        <v>All amenities</v>
      </c>
      <c r="K850" s="2">
        <f>IFERROR(__xludf.DUMMYFUNCTION("""COMPUTED_VALUE"""),48285.0)</f>
        <v>48285</v>
      </c>
      <c r="L850" s="2">
        <f>IFERROR(__xludf.DUMMYFUNCTION("""COMPUTED_VALUE"""),56.952698)</f>
        <v>56.952698</v>
      </c>
      <c r="M850" s="2">
        <f>IFERROR(__xludf.DUMMYFUNCTION("""COMPUTED_VALUE"""),24.1299733)</f>
        <v>24.1299733</v>
      </c>
    </row>
    <row r="851">
      <c r="A851" s="2" t="str">
        <f>IFERROR(__xludf.DUMMYFUNCTION("""COMPUTED_VALUE"""),"For sale")</f>
        <v>For sale</v>
      </c>
      <c r="B851" s="2" t="str">
        <f>IFERROR(__xludf.DUMMYFUNCTION("""COMPUTED_VALUE"""),"Mežciems")</f>
        <v>Mežciems</v>
      </c>
      <c r="C851" s="2" t="str">
        <f>IFERROR(__xludf.DUMMYFUNCTION("""COMPUTED_VALUE"""),"Biķernieku 160")</f>
        <v>Biķernieku 160</v>
      </c>
      <c r="D851" s="2">
        <f>IFERROR(__xludf.DUMMYFUNCTION("""COMPUTED_VALUE"""),2.0)</f>
        <v>2</v>
      </c>
      <c r="E851" s="2">
        <f>IFERROR(__xludf.DUMMYFUNCTION("""COMPUTED_VALUE"""),58.0)</f>
        <v>58</v>
      </c>
      <c r="F851" s="2">
        <f>IFERROR(__xludf.DUMMYFUNCTION("""COMPUTED_VALUE"""),3.0)</f>
        <v>3</v>
      </c>
      <c r="G851" s="2">
        <f>IFERROR(__xludf.DUMMYFUNCTION("""COMPUTED_VALUE"""),5.0)</f>
        <v>5</v>
      </c>
      <c r="H851" s="2" t="str">
        <f>IFERROR(__xludf.DUMMYFUNCTION("""COMPUTED_VALUE"""),"Jaun.")</f>
        <v>Jaun.</v>
      </c>
      <c r="I851" s="2" t="str">
        <f>IFERROR(__xludf.DUMMYFUNCTION("""COMPUTED_VALUE"""),"Panel")</f>
        <v>Panel</v>
      </c>
      <c r="J851" s="2" t="str">
        <f>IFERROR(__xludf.DUMMYFUNCTION("""COMPUTED_VALUE"""),"All amenities")</f>
        <v>All amenities</v>
      </c>
      <c r="K851" s="2">
        <f>IFERROR(__xludf.DUMMYFUNCTION("""COMPUTED_VALUE"""),96000.0)</f>
        <v>96000</v>
      </c>
      <c r="L851" s="2">
        <f>IFERROR(__xludf.DUMMYFUNCTION("""COMPUTED_VALUE"""),56.9569585)</f>
        <v>56.9569585</v>
      </c>
      <c r="M851" s="2">
        <f>IFERROR(__xludf.DUMMYFUNCTION("""COMPUTED_VALUE"""),24.2536804)</f>
        <v>24.2536804</v>
      </c>
    </row>
    <row r="852">
      <c r="A852" s="2" t="str">
        <f>IFERROR(__xludf.DUMMYFUNCTION("""COMPUTED_VALUE"""),"For rent")</f>
        <v>For rent</v>
      </c>
      <c r="B852" s="2" t="str">
        <f>IFERROR(__xludf.DUMMYFUNCTION("""COMPUTED_VALUE"""),"centrs")</f>
        <v>centrs</v>
      </c>
      <c r="C852" s="2" t="str">
        <f>IFERROR(__xludf.DUMMYFUNCTION("""COMPUTED_VALUE"""),"Maskavas 146")</f>
        <v>Maskavas 146</v>
      </c>
      <c r="D852" s="2">
        <f>IFERROR(__xludf.DUMMYFUNCTION("""COMPUTED_VALUE"""),2.0)</f>
        <v>2</v>
      </c>
      <c r="E852" s="2">
        <f>IFERROR(__xludf.DUMMYFUNCTION("""COMPUTED_VALUE"""),28.0)</f>
        <v>28</v>
      </c>
      <c r="F852" s="2">
        <f>IFERROR(__xludf.DUMMYFUNCTION("""COMPUTED_VALUE"""),4.0)</f>
        <v>4</v>
      </c>
      <c r="G852" s="2">
        <f>IFERROR(__xludf.DUMMYFUNCTION("""COMPUTED_VALUE"""),5.0)</f>
        <v>5</v>
      </c>
      <c r="H852" s="2" t="str">
        <f>IFERROR(__xludf.DUMMYFUNCTION("""COMPUTED_VALUE"""),"Renov.")</f>
        <v>Renov.</v>
      </c>
      <c r="I852" s="2" t="str">
        <f>IFERROR(__xludf.DUMMYFUNCTION("""COMPUTED_VALUE"""),"Masonry")</f>
        <v>Masonry</v>
      </c>
      <c r="J852" s="2" t="str">
        <f>IFERROR(__xludf.DUMMYFUNCTION("""COMPUTED_VALUE"""),"All amenities")</f>
        <v>All amenities</v>
      </c>
      <c r="K852" s="2">
        <f>IFERROR(__xludf.DUMMYFUNCTION("""COMPUTED_VALUE"""),280.0)</f>
        <v>280</v>
      </c>
      <c r="L852" s="2">
        <f>IFERROR(__xludf.DUMMYFUNCTION("""COMPUTED_VALUE"""),56.8597884)</f>
        <v>56.8597884</v>
      </c>
      <c r="M852" s="2">
        <f>IFERROR(__xludf.DUMMYFUNCTION("""COMPUTED_VALUE"""),24.3083417)</f>
        <v>24.3083417</v>
      </c>
    </row>
    <row r="853">
      <c r="A853" s="2" t="str">
        <f>IFERROR(__xludf.DUMMYFUNCTION("""COMPUTED_VALUE"""),"For sale")</f>
        <v>For sale</v>
      </c>
      <c r="B853" s="2" t="str">
        <f>IFERROR(__xludf.DUMMYFUNCTION("""COMPUTED_VALUE"""),"centrs")</f>
        <v>centrs</v>
      </c>
      <c r="C853" s="2" t="str">
        <f>IFERROR(__xludf.DUMMYFUNCTION("""COMPUTED_VALUE"""),"Čaka 36")</f>
        <v>Čaka 36</v>
      </c>
      <c r="D853" s="2">
        <f>IFERROR(__xludf.DUMMYFUNCTION("""COMPUTED_VALUE"""),1.0)</f>
        <v>1</v>
      </c>
      <c r="E853" s="2">
        <f>IFERROR(__xludf.DUMMYFUNCTION("""COMPUTED_VALUE"""),48.0)</f>
        <v>48</v>
      </c>
      <c r="F853" s="2">
        <f>IFERROR(__xludf.DUMMYFUNCTION("""COMPUTED_VALUE"""),5.0)</f>
        <v>5</v>
      </c>
      <c r="G853" s="2">
        <f>IFERROR(__xludf.DUMMYFUNCTION("""COMPUTED_VALUE"""),5.0)</f>
        <v>5</v>
      </c>
      <c r="H853" s="2" t="str">
        <f>IFERROR(__xludf.DUMMYFUNCTION("""COMPUTED_VALUE"""),"P. kara")</f>
        <v>P. kara</v>
      </c>
      <c r="I853" s="2" t="str">
        <f>IFERROR(__xludf.DUMMYFUNCTION("""COMPUTED_VALUE"""),"Masonry")</f>
        <v>Masonry</v>
      </c>
      <c r="J853" s="2" t="str">
        <f>IFERROR(__xludf.DUMMYFUNCTION("""COMPUTED_VALUE"""),"All amenities")</f>
        <v>All amenities</v>
      </c>
      <c r="K853" s="2">
        <f>IFERROR(__xludf.DUMMYFUNCTION("""COMPUTED_VALUE"""),69600.0)</f>
        <v>69600</v>
      </c>
      <c r="L853" s="2">
        <f>IFERROR(__xludf.DUMMYFUNCTION("""COMPUTED_VALUE"""),56.952698)</f>
        <v>56.952698</v>
      </c>
      <c r="M853" s="2">
        <f>IFERROR(__xludf.DUMMYFUNCTION("""COMPUTED_VALUE"""),24.1299733)</f>
        <v>24.1299733</v>
      </c>
    </row>
    <row r="854">
      <c r="A854" s="2" t="str">
        <f>IFERROR(__xludf.DUMMYFUNCTION("""COMPUTED_VALUE"""),"For sale")</f>
        <v>For sale</v>
      </c>
      <c r="B854" s="2" t="str">
        <f>IFERROR(__xludf.DUMMYFUNCTION("""COMPUTED_VALUE"""),"centrs")</f>
        <v>centrs</v>
      </c>
      <c r="C854" s="2" t="str">
        <f>IFERROR(__xludf.DUMMYFUNCTION("""COMPUTED_VALUE"""),"Čaka 36")</f>
        <v>Čaka 36</v>
      </c>
      <c r="D854" s="2">
        <f>IFERROR(__xludf.DUMMYFUNCTION("""COMPUTED_VALUE"""),2.0)</f>
        <v>2</v>
      </c>
      <c r="E854" s="2">
        <f>IFERROR(__xludf.DUMMYFUNCTION("""COMPUTED_VALUE"""),54.0)</f>
        <v>54</v>
      </c>
      <c r="F854" s="2">
        <f>IFERROR(__xludf.DUMMYFUNCTION("""COMPUTED_VALUE"""),1.0)</f>
        <v>1</v>
      </c>
      <c r="G854" s="2">
        <f>IFERROR(__xludf.DUMMYFUNCTION("""COMPUTED_VALUE"""),5.0)</f>
        <v>5</v>
      </c>
      <c r="H854" s="2" t="str">
        <f>IFERROR(__xludf.DUMMYFUNCTION("""COMPUTED_VALUE"""),"P. kara")</f>
        <v>P. kara</v>
      </c>
      <c r="I854" s="2" t="str">
        <f>IFERROR(__xludf.DUMMYFUNCTION("""COMPUTED_VALUE"""),"Masonry")</f>
        <v>Masonry</v>
      </c>
      <c r="J854" s="2" t="str">
        <f>IFERROR(__xludf.DUMMYFUNCTION("""COMPUTED_VALUE"""),"All amenities")</f>
        <v>All amenities</v>
      </c>
      <c r="K854" s="2">
        <f>IFERROR(__xludf.DUMMYFUNCTION("""COMPUTED_VALUE"""),72495.0)</f>
        <v>72495</v>
      </c>
      <c r="L854" s="2">
        <f>IFERROR(__xludf.DUMMYFUNCTION("""COMPUTED_VALUE"""),56.952698)</f>
        <v>56.952698</v>
      </c>
      <c r="M854" s="2">
        <f>IFERROR(__xludf.DUMMYFUNCTION("""COMPUTED_VALUE"""),24.1299733)</f>
        <v>24.1299733</v>
      </c>
    </row>
    <row r="855">
      <c r="A855" s="2" t="str">
        <f>IFERROR(__xludf.DUMMYFUNCTION("""COMPUTED_VALUE"""),"For rent")</f>
        <v>For rent</v>
      </c>
      <c r="B855" s="2" t="str">
        <f>IFERROR(__xludf.DUMMYFUNCTION("""COMPUTED_VALUE"""),"Krasta r-ns")</f>
        <v>Krasta r-ns</v>
      </c>
      <c r="C855" s="2" t="str">
        <f>IFERROR(__xludf.DUMMYFUNCTION("""COMPUTED_VALUE"""),"Ogres 14")</f>
        <v>Ogres 14</v>
      </c>
      <c r="D855" s="2">
        <f>IFERROR(__xludf.DUMMYFUNCTION("""COMPUTED_VALUE"""),2.0)</f>
        <v>2</v>
      </c>
      <c r="E855" s="2">
        <f>IFERROR(__xludf.DUMMYFUNCTION("""COMPUTED_VALUE"""),52.0)</f>
        <v>52</v>
      </c>
      <c r="F855" s="2">
        <f>IFERROR(__xludf.DUMMYFUNCTION("""COMPUTED_VALUE"""),5.0)</f>
        <v>5</v>
      </c>
      <c r="G855" s="2">
        <f>IFERROR(__xludf.DUMMYFUNCTION("""COMPUTED_VALUE"""),9.0)</f>
        <v>9</v>
      </c>
      <c r="H855" s="2">
        <f>IFERROR(__xludf.DUMMYFUNCTION("""COMPUTED_VALUE"""),467.0)</f>
        <v>467</v>
      </c>
      <c r="I855" s="2" t="str">
        <f>IFERROR(__xludf.DUMMYFUNCTION("""COMPUTED_VALUE"""),"Panel")</f>
        <v>Panel</v>
      </c>
      <c r="J855" s="2" t="str">
        <f>IFERROR(__xludf.DUMMYFUNCTION("""COMPUTED_VALUE"""),"All amenities")</f>
        <v>All amenities</v>
      </c>
      <c r="K855" s="2">
        <f>IFERROR(__xludf.DUMMYFUNCTION("""COMPUTED_VALUE"""),300.0)</f>
        <v>300</v>
      </c>
      <c r="L855" s="2">
        <f>IFERROR(__xludf.DUMMYFUNCTION("""COMPUTED_VALUE"""),56.9246777)</f>
        <v>56.9246777</v>
      </c>
      <c r="M855" s="2">
        <f>IFERROR(__xludf.DUMMYFUNCTION("""COMPUTED_VALUE"""),24.1654225379032)</f>
        <v>24.16542254</v>
      </c>
    </row>
    <row r="856">
      <c r="A856" s="2" t="str">
        <f>IFERROR(__xludf.DUMMYFUNCTION("""COMPUTED_VALUE"""),"For sale")</f>
        <v>For sale</v>
      </c>
      <c r="B856" s="2" t="str">
        <f>IFERROR(__xludf.DUMMYFUNCTION("""COMPUTED_VALUE"""),"Mežciems")</f>
        <v>Mežciems</v>
      </c>
      <c r="C856" s="2" t="str">
        <f>IFERROR(__xludf.DUMMYFUNCTION("""COMPUTED_VALUE"""),"Biķernieku 128 k-2")</f>
        <v>Biķernieku 128 k-2</v>
      </c>
      <c r="D856" s="2">
        <f>IFERROR(__xludf.DUMMYFUNCTION("""COMPUTED_VALUE"""),4.0)</f>
        <v>4</v>
      </c>
      <c r="E856" s="2">
        <f>IFERROR(__xludf.DUMMYFUNCTION("""COMPUTED_VALUE"""),139.0)</f>
        <v>139</v>
      </c>
      <c r="F856" s="2">
        <f>IFERROR(__xludf.DUMMYFUNCTION("""COMPUTED_VALUE"""),4.0)</f>
        <v>4</v>
      </c>
      <c r="G856" s="2">
        <f>IFERROR(__xludf.DUMMYFUNCTION("""COMPUTED_VALUE"""),4.0)</f>
        <v>4</v>
      </c>
      <c r="H856" s="2" t="str">
        <f>IFERROR(__xludf.DUMMYFUNCTION("""COMPUTED_VALUE"""),"Jaun.")</f>
        <v>Jaun.</v>
      </c>
      <c r="I856" s="2" t="str">
        <f>IFERROR(__xludf.DUMMYFUNCTION("""COMPUTED_VALUE"""),"Panel")</f>
        <v>Panel</v>
      </c>
      <c r="J856" s="2" t="str">
        <f>IFERROR(__xludf.DUMMYFUNCTION("""COMPUTED_VALUE"""),"All amenities")</f>
        <v>All amenities</v>
      </c>
      <c r="K856" s="2">
        <f>IFERROR(__xludf.DUMMYFUNCTION("""COMPUTED_VALUE"""),199500.0)</f>
        <v>199500</v>
      </c>
      <c r="L856" s="2" t="str">
        <f>IFERROR(__xludf.DUMMYFUNCTION("""COMPUTED_VALUE"""),"NaN")</f>
        <v>NaN</v>
      </c>
      <c r="M856" s="2" t="str">
        <f>IFERROR(__xludf.DUMMYFUNCTION("""COMPUTED_VALUE"""),"NaN")</f>
        <v>NaN</v>
      </c>
    </row>
    <row r="857">
      <c r="A857" s="2" t="str">
        <f>IFERROR(__xludf.DUMMYFUNCTION("""COMPUTED_VALUE"""),"For sale")</f>
        <v>For sale</v>
      </c>
      <c r="B857" s="2" t="str">
        <f>IFERROR(__xludf.DUMMYFUNCTION("""COMPUTED_VALUE"""),"Grīziņkalns")</f>
        <v>Grīziņkalns</v>
      </c>
      <c r="C857" s="2" t="str">
        <f>IFERROR(__xludf.DUMMYFUNCTION("""COMPUTED_VALUE"""),"Vārnu 11a")</f>
        <v>Vārnu 11a</v>
      </c>
      <c r="D857" s="2">
        <f>IFERROR(__xludf.DUMMYFUNCTION("""COMPUTED_VALUE"""),2.0)</f>
        <v>2</v>
      </c>
      <c r="E857" s="2">
        <f>IFERROR(__xludf.DUMMYFUNCTION("""COMPUTED_VALUE"""),40.0)</f>
        <v>40</v>
      </c>
      <c r="F857" s="2">
        <f>IFERROR(__xludf.DUMMYFUNCTION("""COMPUTED_VALUE"""),1.0)</f>
        <v>1</v>
      </c>
      <c r="G857" s="2">
        <f>IFERROR(__xludf.DUMMYFUNCTION("""COMPUTED_VALUE"""),4.0)</f>
        <v>4</v>
      </c>
      <c r="H857" s="2" t="str">
        <f>IFERROR(__xludf.DUMMYFUNCTION("""COMPUTED_VALUE"""),"P. kara")</f>
        <v>P. kara</v>
      </c>
      <c r="I857" s="2" t="str">
        <f>IFERROR(__xludf.DUMMYFUNCTION("""COMPUTED_VALUE"""),"Masonry")</f>
        <v>Masonry</v>
      </c>
      <c r="J857" s="2" t="str">
        <f>IFERROR(__xludf.DUMMYFUNCTION("""COMPUTED_VALUE"""),"All amenities")</f>
        <v>All amenities</v>
      </c>
      <c r="K857" s="2">
        <f>IFERROR(__xludf.DUMMYFUNCTION("""COMPUTED_VALUE"""),37000.0)</f>
        <v>37000</v>
      </c>
      <c r="L857" s="2">
        <f>IFERROR(__xludf.DUMMYFUNCTION("""COMPUTED_VALUE"""),56.9588801999999)</f>
        <v>56.9588802</v>
      </c>
      <c r="M857" s="2">
        <f>IFERROR(__xludf.DUMMYFUNCTION("""COMPUTED_VALUE"""),24.1494258336194)</f>
        <v>24.14942583</v>
      </c>
    </row>
    <row r="858">
      <c r="A858" s="2" t="str">
        <f>IFERROR(__xludf.DUMMYFUNCTION("""COMPUTED_VALUE"""),"For sale")</f>
        <v>For sale</v>
      </c>
      <c r="B858" s="2" t="str">
        <f>IFERROR(__xludf.DUMMYFUNCTION("""COMPUTED_VALUE"""),"centrs")</f>
        <v>centrs</v>
      </c>
      <c r="C858" s="2" t="str">
        <f>IFERROR(__xludf.DUMMYFUNCTION("""COMPUTED_VALUE"""),"Nītaures 3")</f>
        <v>Nītaures 3</v>
      </c>
      <c r="D858" s="2">
        <f>IFERROR(__xludf.DUMMYFUNCTION("""COMPUTED_VALUE"""),3.0)</f>
        <v>3</v>
      </c>
      <c r="E858" s="2">
        <f>IFERROR(__xludf.DUMMYFUNCTION("""COMPUTED_VALUE"""),101.0)</f>
        <v>101</v>
      </c>
      <c r="F858" s="2">
        <f>IFERROR(__xludf.DUMMYFUNCTION("""COMPUTED_VALUE"""),3.0)</f>
        <v>3</v>
      </c>
      <c r="G858" s="2">
        <f>IFERROR(__xludf.DUMMYFUNCTION("""COMPUTED_VALUE"""),7.0)</f>
        <v>7</v>
      </c>
      <c r="H858" s="2" t="str">
        <f>IFERROR(__xludf.DUMMYFUNCTION("""COMPUTED_VALUE"""),"Jaun.")</f>
        <v>Jaun.</v>
      </c>
      <c r="I858" s="2" t="str">
        <f>IFERROR(__xludf.DUMMYFUNCTION("""COMPUTED_VALUE"""),"Masonry")</f>
        <v>Masonry</v>
      </c>
      <c r="J858" s="2" t="str">
        <f>IFERROR(__xludf.DUMMYFUNCTION("""COMPUTED_VALUE"""),"All amenities")</f>
        <v>All amenities</v>
      </c>
      <c r="K858" s="2">
        <f>IFERROR(__xludf.DUMMYFUNCTION("""COMPUTED_VALUE"""),170000.0)</f>
        <v>170000</v>
      </c>
      <c r="L858" s="2">
        <f>IFERROR(__xludf.DUMMYFUNCTION("""COMPUTED_VALUE"""),56.9636145)</f>
        <v>56.9636145</v>
      </c>
      <c r="M858" s="2">
        <f>IFERROR(__xludf.DUMMYFUNCTION("""COMPUTED_VALUE"""),24.1235099089866)</f>
        <v>24.12350991</v>
      </c>
    </row>
    <row r="859">
      <c r="A859" s="2" t="str">
        <f>IFERROR(__xludf.DUMMYFUNCTION("""COMPUTED_VALUE"""),"For rent")</f>
        <v>For rent</v>
      </c>
      <c r="B859" s="2" t="str">
        <f>IFERROR(__xludf.DUMMYFUNCTION("""COMPUTED_VALUE"""),"Pļavnieki")</f>
        <v>Pļavnieki</v>
      </c>
      <c r="C859" s="2" t="str">
        <f>IFERROR(__xludf.DUMMYFUNCTION("""COMPUTED_VALUE"""),"Saharova 7")</f>
        <v>Saharova 7</v>
      </c>
      <c r="D859" s="2">
        <f>IFERROR(__xludf.DUMMYFUNCTION("""COMPUTED_VALUE"""),1.0)</f>
        <v>1</v>
      </c>
      <c r="E859" s="2">
        <f>IFERROR(__xludf.DUMMYFUNCTION("""COMPUTED_VALUE"""),40.0)</f>
        <v>40</v>
      </c>
      <c r="F859" s="2">
        <f>IFERROR(__xludf.DUMMYFUNCTION("""COMPUTED_VALUE"""),6.0)</f>
        <v>6</v>
      </c>
      <c r="G859" s="2">
        <f>IFERROR(__xludf.DUMMYFUNCTION("""COMPUTED_VALUE"""),9.0)</f>
        <v>9</v>
      </c>
      <c r="H859" s="2" t="str">
        <f>IFERROR(__xludf.DUMMYFUNCTION("""COMPUTED_VALUE"""),"M. ģim.")</f>
        <v>M. ģim.</v>
      </c>
      <c r="I859" s="2" t="str">
        <f>IFERROR(__xludf.DUMMYFUNCTION("""COMPUTED_VALUE"""),"Panel")</f>
        <v>Panel</v>
      </c>
      <c r="J859" s="2" t="str">
        <f>IFERROR(__xludf.DUMMYFUNCTION("""COMPUTED_VALUE"""),"All amenities")</f>
        <v>All amenities</v>
      </c>
      <c r="K859" s="2">
        <f>IFERROR(__xludf.DUMMYFUNCTION("""COMPUTED_VALUE"""),270.0)</f>
        <v>270</v>
      </c>
      <c r="L859" s="2">
        <f>IFERROR(__xludf.DUMMYFUNCTION("""COMPUTED_VALUE"""),56.93515745)</f>
        <v>56.93515745</v>
      </c>
      <c r="M859" s="2">
        <f>IFERROR(__xludf.DUMMYFUNCTION("""COMPUTED_VALUE"""),24.200200711641)</f>
        <v>24.20020071</v>
      </c>
    </row>
    <row r="860">
      <c r="A860" s="2" t="str">
        <f>IFERROR(__xludf.DUMMYFUNCTION("""COMPUTED_VALUE"""),"For sale")</f>
        <v>For sale</v>
      </c>
      <c r="B860" s="2" t="str">
        <f>IFERROR(__xludf.DUMMYFUNCTION("""COMPUTED_VALUE"""),"Čiekurkalns")</f>
        <v>Čiekurkalns</v>
      </c>
      <c r="C860" s="2" t="str">
        <f>IFERROR(__xludf.DUMMYFUNCTION("""COMPUTED_VALUE"""),"Čiekurkalna 3. šķ l. 2a")</f>
        <v>Čiekurkalna 3. šķ l. 2a</v>
      </c>
      <c r="D860" s="2">
        <f>IFERROR(__xludf.DUMMYFUNCTION("""COMPUTED_VALUE"""),1.0)</f>
        <v>1</v>
      </c>
      <c r="E860" s="2">
        <f>IFERROR(__xludf.DUMMYFUNCTION("""COMPUTED_VALUE"""),24.0)</f>
        <v>24</v>
      </c>
      <c r="F860" s="2">
        <f>IFERROR(__xludf.DUMMYFUNCTION("""COMPUTED_VALUE"""),2.0)</f>
        <v>2</v>
      </c>
      <c r="G860" s="2">
        <f>IFERROR(__xludf.DUMMYFUNCTION("""COMPUTED_VALUE"""),2.0)</f>
        <v>2</v>
      </c>
      <c r="H860" s="2" t="str">
        <f>IFERROR(__xludf.DUMMYFUNCTION("""COMPUTED_VALUE"""),"P. kara")</f>
        <v>P. kara</v>
      </c>
      <c r="I860" s="2" t="str">
        <f>IFERROR(__xludf.DUMMYFUNCTION("""COMPUTED_VALUE"""),"Wood")</f>
        <v>Wood</v>
      </c>
      <c r="J860" s="2" t="str">
        <f>IFERROR(__xludf.DUMMYFUNCTION("""COMPUTED_VALUE"""),"Partial amenities")</f>
        <v>Partial amenities</v>
      </c>
      <c r="K860" s="2">
        <f>IFERROR(__xludf.DUMMYFUNCTION("""COMPUTED_VALUE"""),15999.0)</f>
        <v>15999</v>
      </c>
      <c r="L860" s="2" t="str">
        <f>IFERROR(__xludf.DUMMYFUNCTION("""COMPUTED_VALUE"""),"NaN")</f>
        <v>NaN</v>
      </c>
      <c r="M860" s="2" t="str">
        <f>IFERROR(__xludf.DUMMYFUNCTION("""COMPUTED_VALUE"""),"NaN")</f>
        <v>NaN</v>
      </c>
    </row>
    <row r="861">
      <c r="A861" s="2" t="str">
        <f>IFERROR(__xludf.DUMMYFUNCTION("""COMPUTED_VALUE"""),"For sale")</f>
        <v>For sale</v>
      </c>
      <c r="B861" s="2" t="str">
        <f>IFERROR(__xludf.DUMMYFUNCTION("""COMPUTED_VALUE"""),"Bolderāja")</f>
        <v>Bolderāja</v>
      </c>
      <c r="C861" s="2" t="str">
        <f>IFERROR(__xludf.DUMMYFUNCTION("""COMPUTED_VALUE"""),"Lemešu 15")</f>
        <v>Lemešu 15</v>
      </c>
      <c r="D861" s="2">
        <f>IFERROR(__xludf.DUMMYFUNCTION("""COMPUTED_VALUE"""),2.0)</f>
        <v>2</v>
      </c>
      <c r="E861" s="2">
        <f>IFERROR(__xludf.DUMMYFUNCTION("""COMPUTED_VALUE"""),49.0)</f>
        <v>49</v>
      </c>
      <c r="F861" s="2">
        <f>IFERROR(__xludf.DUMMYFUNCTION("""COMPUTED_VALUE"""),4.0)</f>
        <v>4</v>
      </c>
      <c r="G861" s="2">
        <f>IFERROR(__xludf.DUMMYFUNCTION("""COMPUTED_VALUE"""),5.0)</f>
        <v>5</v>
      </c>
      <c r="H861" s="2" t="str">
        <f>IFERROR(__xludf.DUMMYFUNCTION("""COMPUTED_VALUE"""),"LT proj.")</f>
        <v>LT proj.</v>
      </c>
      <c r="I861" s="2" t="str">
        <f>IFERROR(__xludf.DUMMYFUNCTION("""COMPUTED_VALUE"""),"Panel")</f>
        <v>Panel</v>
      </c>
      <c r="J861" s="2" t="str">
        <f>IFERROR(__xludf.DUMMYFUNCTION("""COMPUTED_VALUE"""),"All amenities")</f>
        <v>All amenities</v>
      </c>
      <c r="K861" s="2">
        <f>IFERROR(__xludf.DUMMYFUNCTION("""COMPUTED_VALUE"""),45000.0)</f>
        <v>45000</v>
      </c>
      <c r="L861" s="2">
        <f>IFERROR(__xludf.DUMMYFUNCTION("""COMPUTED_VALUE"""),57.0322403)</f>
        <v>57.0322403</v>
      </c>
      <c r="M861" s="2">
        <f>IFERROR(__xludf.DUMMYFUNCTION("""COMPUTED_VALUE"""),24.05322685)</f>
        <v>24.05322685</v>
      </c>
    </row>
    <row r="862">
      <c r="A862" s="2" t="str">
        <f>IFERROR(__xludf.DUMMYFUNCTION("""COMPUTED_VALUE"""),"For sale")</f>
        <v>For sale</v>
      </c>
      <c r="B862" s="2" t="str">
        <f>IFERROR(__xludf.DUMMYFUNCTION("""COMPUTED_VALUE"""),"centrs")</f>
        <v>centrs</v>
      </c>
      <c r="C862" s="2" t="str">
        <f>IFERROR(__xludf.DUMMYFUNCTION("""COMPUTED_VALUE"""),"Čaka 68")</f>
        <v>Čaka 68</v>
      </c>
      <c r="D862" s="2">
        <f>IFERROR(__xludf.DUMMYFUNCTION("""COMPUTED_VALUE"""),3.0)</f>
        <v>3</v>
      </c>
      <c r="E862" s="2">
        <f>IFERROR(__xludf.DUMMYFUNCTION("""COMPUTED_VALUE"""),58.0)</f>
        <v>58</v>
      </c>
      <c r="F862" s="2">
        <f>IFERROR(__xludf.DUMMYFUNCTION("""COMPUTED_VALUE"""),2.0)</f>
        <v>2</v>
      </c>
      <c r="G862" s="2">
        <f>IFERROR(__xludf.DUMMYFUNCTION("""COMPUTED_VALUE"""),6.0)</f>
        <v>6</v>
      </c>
      <c r="H862" s="2" t="str">
        <f>IFERROR(__xludf.DUMMYFUNCTION("""COMPUTED_VALUE"""),"Specpr.")</f>
        <v>Specpr.</v>
      </c>
      <c r="I862" s="2" t="str">
        <f>IFERROR(__xludf.DUMMYFUNCTION("""COMPUTED_VALUE"""),"Brick")</f>
        <v>Brick</v>
      </c>
      <c r="J862" s="2" t="str">
        <f>IFERROR(__xludf.DUMMYFUNCTION("""COMPUTED_VALUE"""),"All amenities")</f>
        <v>All amenities</v>
      </c>
      <c r="K862" s="2">
        <f>IFERROR(__xludf.DUMMYFUNCTION("""COMPUTED_VALUE"""),82000.0)</f>
        <v>82000</v>
      </c>
      <c r="L862" s="2">
        <f>IFERROR(__xludf.DUMMYFUNCTION("""COMPUTED_VALUE"""),56.9555119)</f>
        <v>56.9555119</v>
      </c>
      <c r="M862" s="2">
        <f>IFERROR(__xludf.DUMMYFUNCTION("""COMPUTED_VALUE"""),24.1352351)</f>
        <v>24.1352351</v>
      </c>
    </row>
    <row r="863">
      <c r="A863" s="2" t="str">
        <f>IFERROR(__xludf.DUMMYFUNCTION("""COMPUTED_VALUE"""),"For rent")</f>
        <v>For rent</v>
      </c>
      <c r="B863" s="2" t="str">
        <f>IFERROR(__xludf.DUMMYFUNCTION("""COMPUTED_VALUE"""),"Mežaparks")</f>
        <v>Mežaparks</v>
      </c>
      <c r="C863" s="2" t="str">
        <f>IFERROR(__xludf.DUMMYFUNCTION("""COMPUTED_VALUE"""),"Sudrabu Edžus 13")</f>
        <v>Sudrabu Edžus 13</v>
      </c>
      <c r="D863" s="2">
        <f>IFERROR(__xludf.DUMMYFUNCTION("""COMPUTED_VALUE"""),4.0)</f>
        <v>4</v>
      </c>
      <c r="E863" s="2">
        <f>IFERROR(__xludf.DUMMYFUNCTION("""COMPUTED_VALUE"""),125.0)</f>
        <v>125</v>
      </c>
      <c r="F863" s="2">
        <f>IFERROR(__xludf.DUMMYFUNCTION("""COMPUTED_VALUE"""),2.0)</f>
        <v>2</v>
      </c>
      <c r="G863" s="2">
        <f>IFERROR(__xludf.DUMMYFUNCTION("""COMPUTED_VALUE"""),2.0)</f>
        <v>2</v>
      </c>
      <c r="H863" s="2" t="str">
        <f>IFERROR(__xludf.DUMMYFUNCTION("""COMPUTED_VALUE"""),"P. kara")</f>
        <v>P. kara</v>
      </c>
      <c r="I863" s="2" t="str">
        <f>IFERROR(__xludf.DUMMYFUNCTION("""COMPUTED_VALUE"""),"Wood")</f>
        <v>Wood</v>
      </c>
      <c r="J863" s="2" t="str">
        <f>IFERROR(__xludf.DUMMYFUNCTION("""COMPUTED_VALUE"""),"All amenities")</f>
        <v>All amenities</v>
      </c>
      <c r="K863" s="2">
        <f>IFERROR(__xludf.DUMMYFUNCTION("""COMPUTED_VALUE"""),900.0)</f>
        <v>900</v>
      </c>
      <c r="L863" s="2">
        <f>IFERROR(__xludf.DUMMYFUNCTION("""COMPUTED_VALUE"""),56.99749235)</f>
        <v>56.99749235</v>
      </c>
      <c r="M863" s="2">
        <f>IFERROR(__xludf.DUMMYFUNCTION("""COMPUTED_VALUE"""),24.1675664508232)</f>
        <v>24.16756645</v>
      </c>
    </row>
    <row r="864">
      <c r="A864" s="2" t="str">
        <f>IFERROR(__xludf.DUMMYFUNCTION("""COMPUTED_VALUE"""),"For rent")</f>
        <v>For rent</v>
      </c>
      <c r="B864" s="2" t="str">
        <f>IFERROR(__xludf.DUMMYFUNCTION("""COMPUTED_VALUE"""),"centrs")</f>
        <v>centrs</v>
      </c>
      <c r="C864" s="2" t="str">
        <f>IFERROR(__xludf.DUMMYFUNCTION("""COMPUTED_VALUE"""),"Brīvības iela 68")</f>
        <v>Brīvības iela 68</v>
      </c>
      <c r="D864" s="2">
        <f>IFERROR(__xludf.DUMMYFUNCTION("""COMPUTED_VALUE"""),1.0)</f>
        <v>1</v>
      </c>
      <c r="E864" s="2">
        <f>IFERROR(__xludf.DUMMYFUNCTION("""COMPUTED_VALUE"""),18.0)</f>
        <v>18</v>
      </c>
      <c r="F864" s="2">
        <f>IFERROR(__xludf.DUMMYFUNCTION("""COMPUTED_VALUE"""),4.0)</f>
        <v>4</v>
      </c>
      <c r="G864" s="2">
        <f>IFERROR(__xludf.DUMMYFUNCTION("""COMPUTED_VALUE"""),6.0)</f>
        <v>6</v>
      </c>
      <c r="H864" s="2" t="str">
        <f>IFERROR(__xludf.DUMMYFUNCTION("""COMPUTED_VALUE"""),"Renov.")</f>
        <v>Renov.</v>
      </c>
      <c r="I864" s="2" t="str">
        <f>IFERROR(__xludf.DUMMYFUNCTION("""COMPUTED_VALUE"""),"Masonry")</f>
        <v>Masonry</v>
      </c>
      <c r="J864" s="2" t="str">
        <f>IFERROR(__xludf.DUMMYFUNCTION("""COMPUTED_VALUE"""),"All amenities")</f>
        <v>All amenities</v>
      </c>
      <c r="K864" s="2">
        <f>IFERROR(__xludf.DUMMYFUNCTION("""COMPUTED_VALUE"""),300.0)</f>
        <v>300</v>
      </c>
      <c r="L864" s="2">
        <f>IFERROR(__xludf.DUMMYFUNCTION("""COMPUTED_VALUE"""),56.9572634)</f>
        <v>56.9572634</v>
      </c>
      <c r="M864" s="2">
        <f>IFERROR(__xludf.DUMMYFUNCTION("""COMPUTED_VALUE"""),24.1232688)</f>
        <v>24.1232688</v>
      </c>
    </row>
    <row r="865">
      <c r="A865" s="2" t="str">
        <f>IFERROR(__xludf.DUMMYFUNCTION("""COMPUTED_VALUE"""),"For rent")</f>
        <v>For rent</v>
      </c>
      <c r="B865" s="2" t="str">
        <f>IFERROR(__xludf.DUMMYFUNCTION("""COMPUTED_VALUE"""),"Vecrīga")</f>
        <v>Vecrīga</v>
      </c>
      <c r="C865" s="2" t="str">
        <f>IFERROR(__xludf.DUMMYFUNCTION("""COMPUTED_VALUE"""),"Vaļņu 8")</f>
        <v>Vaļņu 8</v>
      </c>
      <c r="D865" s="2">
        <f>IFERROR(__xludf.DUMMYFUNCTION("""COMPUTED_VALUE"""),3.0)</f>
        <v>3</v>
      </c>
      <c r="E865" s="2">
        <f>IFERROR(__xludf.DUMMYFUNCTION("""COMPUTED_VALUE"""),100.0)</f>
        <v>100</v>
      </c>
      <c r="F865" s="2">
        <f>IFERROR(__xludf.DUMMYFUNCTION("""COMPUTED_VALUE"""),3.0)</f>
        <v>3</v>
      </c>
      <c r="G865" s="2">
        <f>IFERROR(__xludf.DUMMYFUNCTION("""COMPUTED_VALUE"""),5.0)</f>
        <v>5</v>
      </c>
      <c r="H865" s="2" t="str">
        <f>IFERROR(__xludf.DUMMYFUNCTION("""COMPUTED_VALUE"""),"P. kara")</f>
        <v>P. kara</v>
      </c>
      <c r="I865" s="2" t="str">
        <f>IFERROR(__xludf.DUMMYFUNCTION("""COMPUTED_VALUE"""),"Masonry")</f>
        <v>Masonry</v>
      </c>
      <c r="J865" s="2" t="str">
        <f>IFERROR(__xludf.DUMMYFUNCTION("""COMPUTED_VALUE"""),"All amenities")</f>
        <v>All amenities</v>
      </c>
      <c r="K865" s="2">
        <f>IFERROR(__xludf.DUMMYFUNCTION("""COMPUTED_VALUE"""),760.0)</f>
        <v>760</v>
      </c>
      <c r="L865" s="2">
        <f>IFERROR(__xludf.DUMMYFUNCTION("""COMPUTED_VALUE"""),56.9505804)</f>
        <v>56.9505804</v>
      </c>
      <c r="M865" s="2">
        <f>IFERROR(__xludf.DUMMYFUNCTION("""COMPUTED_VALUE"""),24.1100756)</f>
        <v>24.1100756</v>
      </c>
    </row>
    <row r="866">
      <c r="A866" s="2" t="str">
        <f>IFERROR(__xludf.DUMMYFUNCTION("""COMPUTED_VALUE"""),"For sale")</f>
        <v>For sale</v>
      </c>
      <c r="B866" s="2" t="str">
        <f>IFERROR(__xludf.DUMMYFUNCTION("""COMPUTED_VALUE"""),"Purvciems")</f>
        <v>Purvciems</v>
      </c>
      <c r="C866" s="2" t="str">
        <f>IFERROR(__xludf.DUMMYFUNCTION("""COMPUTED_VALUE"""),"Dzelzavas 93")</f>
        <v>Dzelzavas 93</v>
      </c>
      <c r="D866" s="2">
        <f>IFERROR(__xludf.DUMMYFUNCTION("""COMPUTED_VALUE"""),3.0)</f>
        <v>3</v>
      </c>
      <c r="E866" s="2">
        <f>IFERROR(__xludf.DUMMYFUNCTION("""COMPUTED_VALUE"""),60.0)</f>
        <v>60</v>
      </c>
      <c r="F866" s="2">
        <f>IFERROR(__xludf.DUMMYFUNCTION("""COMPUTED_VALUE"""),3.0)</f>
        <v>3</v>
      </c>
      <c r="G866" s="2">
        <f>IFERROR(__xludf.DUMMYFUNCTION("""COMPUTED_VALUE"""),5.0)</f>
        <v>5</v>
      </c>
      <c r="H866" s="2" t="str">
        <f>IFERROR(__xludf.DUMMYFUNCTION("""COMPUTED_VALUE"""),"LT proj.")</f>
        <v>LT proj.</v>
      </c>
      <c r="I866" s="2" t="str">
        <f>IFERROR(__xludf.DUMMYFUNCTION("""COMPUTED_VALUE"""),"Panel")</f>
        <v>Panel</v>
      </c>
      <c r="J866" s="2" t="str">
        <f>IFERROR(__xludf.DUMMYFUNCTION("""COMPUTED_VALUE"""),"All amenities")</f>
        <v>All amenities</v>
      </c>
      <c r="K866" s="2">
        <f>IFERROR(__xludf.DUMMYFUNCTION("""COMPUTED_VALUE"""),52000.0)</f>
        <v>52000</v>
      </c>
      <c r="L866" s="2">
        <f>IFERROR(__xludf.DUMMYFUNCTION("""COMPUTED_VALUE"""),56.9554841)</f>
        <v>56.9554841</v>
      </c>
      <c r="M866" s="2">
        <f>IFERROR(__xludf.DUMMYFUNCTION("""COMPUTED_VALUE"""),24.2021393392559)</f>
        <v>24.20213934</v>
      </c>
    </row>
    <row r="867">
      <c r="A867" s="2" t="str">
        <f>IFERROR(__xludf.DUMMYFUNCTION("""COMPUTED_VALUE"""),"For sale")</f>
        <v>For sale</v>
      </c>
      <c r="B867" s="2" t="str">
        <f>IFERROR(__xludf.DUMMYFUNCTION("""COMPUTED_VALUE"""),"Vecmīlgrāvis")</f>
        <v>Vecmīlgrāvis</v>
      </c>
      <c r="C867" s="2" t="str">
        <f>IFERROR(__xludf.DUMMYFUNCTION("""COMPUTED_VALUE"""),"Edžiņa g. 7")</f>
        <v>Edžiņa g. 7</v>
      </c>
      <c r="D867" s="2">
        <f>IFERROR(__xludf.DUMMYFUNCTION("""COMPUTED_VALUE"""),3.0)</f>
        <v>3</v>
      </c>
      <c r="E867" s="2">
        <f>IFERROR(__xludf.DUMMYFUNCTION("""COMPUTED_VALUE"""),56.0)</f>
        <v>56</v>
      </c>
      <c r="F867" s="2">
        <f>IFERROR(__xludf.DUMMYFUNCTION("""COMPUTED_VALUE"""),1.0)</f>
        <v>1</v>
      </c>
      <c r="G867" s="2">
        <f>IFERROR(__xludf.DUMMYFUNCTION("""COMPUTED_VALUE"""),5.0)</f>
        <v>5</v>
      </c>
      <c r="H867" s="2" t="str">
        <f>IFERROR(__xludf.DUMMYFUNCTION("""COMPUTED_VALUE"""),"LT proj.")</f>
        <v>LT proj.</v>
      </c>
      <c r="I867" s="2" t="str">
        <f>IFERROR(__xludf.DUMMYFUNCTION("""COMPUTED_VALUE"""),"Panel")</f>
        <v>Panel</v>
      </c>
      <c r="J867" s="2" t="str">
        <f>IFERROR(__xludf.DUMMYFUNCTION("""COMPUTED_VALUE"""),"All amenities")</f>
        <v>All amenities</v>
      </c>
      <c r="K867" s="2">
        <f>IFERROR(__xludf.DUMMYFUNCTION("""COMPUTED_VALUE"""),35000.0)</f>
        <v>35000</v>
      </c>
      <c r="L867" s="2">
        <f>IFERROR(__xludf.DUMMYFUNCTION("""COMPUTED_VALUE"""),57.0316748)</f>
        <v>57.0316748</v>
      </c>
      <c r="M867" s="2">
        <f>IFERROR(__xludf.DUMMYFUNCTION("""COMPUTED_VALUE"""),24.1063938)</f>
        <v>24.1063938</v>
      </c>
    </row>
    <row r="868">
      <c r="A868" s="2" t="str">
        <f>IFERROR(__xludf.DUMMYFUNCTION("""COMPUTED_VALUE"""),"For sale")</f>
        <v>For sale</v>
      </c>
      <c r="B868" s="2" t="str">
        <f>IFERROR(__xludf.DUMMYFUNCTION("""COMPUTED_VALUE"""),"Ķengarags")</f>
        <v>Ķengarags</v>
      </c>
      <c r="C868" s="2" t="str">
        <f>IFERROR(__xludf.DUMMYFUNCTION("""COMPUTED_VALUE"""),"Maskavas 254")</f>
        <v>Maskavas 254</v>
      </c>
      <c r="D868" s="2">
        <f>IFERROR(__xludf.DUMMYFUNCTION("""COMPUTED_VALUE"""),3.0)</f>
        <v>3</v>
      </c>
      <c r="E868" s="2">
        <f>IFERROR(__xludf.DUMMYFUNCTION("""COMPUTED_VALUE"""),60.0)</f>
        <v>60</v>
      </c>
      <c r="F868" s="2">
        <f>IFERROR(__xludf.DUMMYFUNCTION("""COMPUTED_VALUE"""),2.0)</f>
        <v>2</v>
      </c>
      <c r="G868" s="2">
        <f>IFERROR(__xludf.DUMMYFUNCTION("""COMPUTED_VALUE"""),5.0)</f>
        <v>5</v>
      </c>
      <c r="H868" s="2" t="str">
        <f>IFERROR(__xludf.DUMMYFUNCTION("""COMPUTED_VALUE"""),"LT proj.")</f>
        <v>LT proj.</v>
      </c>
      <c r="I868" s="2" t="str">
        <f>IFERROR(__xludf.DUMMYFUNCTION("""COMPUTED_VALUE"""),"Panel")</f>
        <v>Panel</v>
      </c>
      <c r="J868" s="2" t="str">
        <f>IFERROR(__xludf.DUMMYFUNCTION("""COMPUTED_VALUE"""),"All amenities")</f>
        <v>All amenities</v>
      </c>
      <c r="K868" s="2">
        <f>IFERROR(__xludf.DUMMYFUNCTION("""COMPUTED_VALUE"""),51000.0)</f>
        <v>51000</v>
      </c>
      <c r="L868" s="2">
        <f>IFERROR(__xludf.DUMMYFUNCTION("""COMPUTED_VALUE"""),56.91162465)</f>
        <v>56.91162465</v>
      </c>
      <c r="M868" s="2">
        <f>IFERROR(__xludf.DUMMYFUNCTION("""COMPUTED_VALUE"""),24.1743748269825)</f>
        <v>24.17437483</v>
      </c>
    </row>
    <row r="869">
      <c r="A869" s="2" t="str">
        <f>IFERROR(__xludf.DUMMYFUNCTION("""COMPUTED_VALUE"""),"For sale")</f>
        <v>For sale</v>
      </c>
      <c r="B869" s="2" t="str">
        <f>IFERROR(__xludf.DUMMYFUNCTION("""COMPUTED_VALUE"""),"Vecmīlgrāvis")</f>
        <v>Vecmīlgrāvis</v>
      </c>
      <c r="C869" s="2" t="str">
        <f>IFERROR(__xludf.DUMMYFUNCTION("""COMPUTED_VALUE"""),"Kreimeņu 3")</f>
        <v>Kreimeņu 3</v>
      </c>
      <c r="D869" s="2">
        <f>IFERROR(__xludf.DUMMYFUNCTION("""COMPUTED_VALUE"""),2.0)</f>
        <v>2</v>
      </c>
      <c r="E869" s="2">
        <f>IFERROR(__xludf.DUMMYFUNCTION("""COMPUTED_VALUE"""),56.0)</f>
        <v>56</v>
      </c>
      <c r="F869" s="2">
        <f>IFERROR(__xludf.DUMMYFUNCTION("""COMPUTED_VALUE"""),1.0)</f>
        <v>1</v>
      </c>
      <c r="G869" s="2">
        <f>IFERROR(__xludf.DUMMYFUNCTION("""COMPUTED_VALUE"""),5.0)</f>
        <v>5</v>
      </c>
      <c r="H869" s="2">
        <f>IFERROR(__xludf.DUMMYFUNCTION("""COMPUTED_VALUE"""),103.0)</f>
        <v>103</v>
      </c>
      <c r="I869" s="2" t="str">
        <f>IFERROR(__xludf.DUMMYFUNCTION("""COMPUTED_VALUE"""),"Brick-Panel")</f>
        <v>Brick-Panel</v>
      </c>
      <c r="J869" s="2" t="str">
        <f>IFERROR(__xludf.DUMMYFUNCTION("""COMPUTED_VALUE"""),"All amenities")</f>
        <v>All amenities</v>
      </c>
      <c r="K869" s="2">
        <f>IFERROR(__xludf.DUMMYFUNCTION("""COMPUTED_VALUE"""),43500.0)</f>
        <v>43500</v>
      </c>
      <c r="L869" s="2">
        <f>IFERROR(__xludf.DUMMYFUNCTION("""COMPUTED_VALUE"""),57.03464345)</f>
        <v>57.03464345</v>
      </c>
      <c r="M869" s="2">
        <f>IFERROR(__xludf.DUMMYFUNCTION("""COMPUTED_VALUE"""),24.0893187989955)</f>
        <v>24.0893188</v>
      </c>
    </row>
    <row r="870">
      <c r="A870" s="2" t="str">
        <f>IFERROR(__xludf.DUMMYFUNCTION("""COMPUTED_VALUE"""),"For rent")</f>
        <v>For rent</v>
      </c>
      <c r="B870" s="2" t="str">
        <f>IFERROR(__xludf.DUMMYFUNCTION("""COMPUTED_VALUE"""),"centrs")</f>
        <v>centrs</v>
      </c>
      <c r="C870" s="2" t="str">
        <f>IFERROR(__xludf.DUMMYFUNCTION("""COMPUTED_VALUE"""),"Valkas 4")</f>
        <v>Valkas 4</v>
      </c>
      <c r="D870" s="2">
        <f>IFERROR(__xludf.DUMMYFUNCTION("""COMPUTED_VALUE"""),2.0)</f>
        <v>2</v>
      </c>
      <c r="E870" s="2">
        <f>IFERROR(__xludf.DUMMYFUNCTION("""COMPUTED_VALUE"""),63.0)</f>
        <v>63</v>
      </c>
      <c r="F870" s="2">
        <f>IFERROR(__xludf.DUMMYFUNCTION("""COMPUTED_VALUE"""),2.0)</f>
        <v>2</v>
      </c>
      <c r="G870" s="2">
        <f>IFERROR(__xludf.DUMMYFUNCTION("""COMPUTED_VALUE"""),5.0)</f>
        <v>5</v>
      </c>
      <c r="H870" s="2" t="str">
        <f>IFERROR(__xludf.DUMMYFUNCTION("""COMPUTED_VALUE"""),"Jaun.")</f>
        <v>Jaun.</v>
      </c>
      <c r="I870" s="2" t="str">
        <f>IFERROR(__xludf.DUMMYFUNCTION("""COMPUTED_VALUE"""),"Masonry")</f>
        <v>Masonry</v>
      </c>
      <c r="J870" s="2" t="str">
        <f>IFERROR(__xludf.DUMMYFUNCTION("""COMPUTED_VALUE"""),"All amenities")</f>
        <v>All amenities</v>
      </c>
      <c r="K870" s="2">
        <f>IFERROR(__xludf.DUMMYFUNCTION("""COMPUTED_VALUE"""),1100.0)</f>
        <v>1100</v>
      </c>
      <c r="L870" s="2">
        <f>IFERROR(__xludf.DUMMYFUNCTION("""COMPUTED_VALUE"""),56.9622671)</f>
        <v>56.9622671</v>
      </c>
      <c r="M870" s="2">
        <f>IFERROR(__xludf.DUMMYFUNCTION("""COMPUTED_VALUE"""),24.102416)</f>
        <v>24.102416</v>
      </c>
    </row>
    <row r="871">
      <c r="A871" s="2" t="str">
        <f>IFERROR(__xludf.DUMMYFUNCTION("""COMPUTED_VALUE"""),"For sale")</f>
        <v>For sale</v>
      </c>
      <c r="B871" s="2" t="str">
        <f>IFERROR(__xludf.DUMMYFUNCTION("""COMPUTED_VALUE"""),"Berģi")</f>
        <v>Berģi</v>
      </c>
      <c r="C871" s="2" t="str">
        <f>IFERROR(__xludf.DUMMYFUNCTION("""COMPUTED_VALUE"""),"Berģu 9")</f>
        <v>Berģu 9</v>
      </c>
      <c r="D871" s="2">
        <f>IFERROR(__xludf.DUMMYFUNCTION("""COMPUTED_VALUE"""),2.0)</f>
        <v>2</v>
      </c>
      <c r="E871" s="2">
        <f>IFERROR(__xludf.DUMMYFUNCTION("""COMPUTED_VALUE"""),36.2)</f>
        <v>36.2</v>
      </c>
      <c r="F871" s="2">
        <f>IFERROR(__xludf.DUMMYFUNCTION("""COMPUTED_VALUE"""),3.0)</f>
        <v>3</v>
      </c>
      <c r="G871" s="2">
        <f>IFERROR(__xludf.DUMMYFUNCTION("""COMPUTED_VALUE"""),4.0)</f>
        <v>4</v>
      </c>
      <c r="H871" s="2" t="str">
        <f>IFERROR(__xludf.DUMMYFUNCTION("""COMPUTED_VALUE"""),"Hrušč.")</f>
        <v>Hrušč.</v>
      </c>
      <c r="I871" s="2" t="str">
        <f>IFERROR(__xludf.DUMMYFUNCTION("""COMPUTED_VALUE"""),"Brick")</f>
        <v>Brick</v>
      </c>
      <c r="J871" s="2" t="str">
        <f>IFERROR(__xludf.DUMMYFUNCTION("""COMPUTED_VALUE"""),"All amenities")</f>
        <v>All amenities</v>
      </c>
      <c r="K871" s="2">
        <f>IFERROR(__xludf.DUMMYFUNCTION("""COMPUTED_VALUE"""),32900.0)</f>
        <v>32900</v>
      </c>
      <c r="L871" s="2">
        <f>IFERROR(__xludf.DUMMYFUNCTION("""COMPUTED_VALUE"""),56.99786715)</f>
        <v>56.99786715</v>
      </c>
      <c r="M871" s="2">
        <f>IFERROR(__xludf.DUMMYFUNCTION("""COMPUTED_VALUE"""),24.2773415269943)</f>
        <v>24.27734153</v>
      </c>
    </row>
    <row r="872">
      <c r="A872" s="2" t="str">
        <f>IFERROR(__xludf.DUMMYFUNCTION("""COMPUTED_VALUE"""),"For sale")</f>
        <v>For sale</v>
      </c>
      <c r="B872" s="2" t="str">
        <f>IFERROR(__xludf.DUMMYFUNCTION("""COMPUTED_VALUE"""),"Āgenskalns")</f>
        <v>Āgenskalns</v>
      </c>
      <c r="C872" s="2" t="str">
        <f>IFERROR(__xludf.DUMMYFUNCTION("""COMPUTED_VALUE"""),"Zeļļu 5")</f>
        <v>Zeļļu 5</v>
      </c>
      <c r="D872" s="2">
        <f>IFERROR(__xludf.DUMMYFUNCTION("""COMPUTED_VALUE"""),3.0)</f>
        <v>3</v>
      </c>
      <c r="E872" s="2">
        <f>IFERROR(__xludf.DUMMYFUNCTION("""COMPUTED_VALUE"""),79.0)</f>
        <v>79</v>
      </c>
      <c r="F872" s="2">
        <f>IFERROR(__xludf.DUMMYFUNCTION("""COMPUTED_VALUE"""),1.0)</f>
        <v>1</v>
      </c>
      <c r="G872" s="2">
        <f>IFERROR(__xludf.DUMMYFUNCTION("""COMPUTED_VALUE"""),4.0)</f>
        <v>4</v>
      </c>
      <c r="H872" s="2" t="str">
        <f>IFERROR(__xludf.DUMMYFUNCTION("""COMPUTED_VALUE"""),"P. kara")</f>
        <v>P. kara</v>
      </c>
      <c r="I872" s="2" t="str">
        <f>IFERROR(__xludf.DUMMYFUNCTION("""COMPUTED_VALUE"""),"Brick")</f>
        <v>Brick</v>
      </c>
      <c r="J872" s="2" t="str">
        <f>IFERROR(__xludf.DUMMYFUNCTION("""COMPUTED_VALUE"""),"All amenities")</f>
        <v>All amenities</v>
      </c>
      <c r="K872" s="2">
        <f>IFERROR(__xludf.DUMMYFUNCTION("""COMPUTED_VALUE"""),74500.0)</f>
        <v>74500</v>
      </c>
      <c r="L872" s="2">
        <f>IFERROR(__xludf.DUMMYFUNCTION("""COMPUTED_VALUE"""),56.93527355)</f>
        <v>56.93527355</v>
      </c>
      <c r="M872" s="2">
        <f>IFERROR(__xludf.DUMMYFUNCTION("""COMPUTED_VALUE"""),24.0732667791174)</f>
        <v>24.07326678</v>
      </c>
    </row>
    <row r="873">
      <c r="A873" s="2" t="str">
        <f>IFERROR(__xludf.DUMMYFUNCTION("""COMPUTED_VALUE"""),"For rent")</f>
        <v>For rent</v>
      </c>
      <c r="B873" s="2" t="str">
        <f>IFERROR(__xludf.DUMMYFUNCTION("""COMPUTED_VALUE"""),"Ķīpsala")</f>
        <v>Ķīpsala</v>
      </c>
      <c r="C873" s="2" t="str">
        <f>IFERROR(__xludf.DUMMYFUNCTION("""COMPUTED_VALUE"""),"Balasta d. 72")</f>
        <v>Balasta d. 72</v>
      </c>
      <c r="D873" s="2">
        <f>IFERROR(__xludf.DUMMYFUNCTION("""COMPUTED_VALUE"""),3.0)</f>
        <v>3</v>
      </c>
      <c r="E873" s="2">
        <f>IFERROR(__xludf.DUMMYFUNCTION("""COMPUTED_VALUE"""),116.0)</f>
        <v>116</v>
      </c>
      <c r="F873" s="2">
        <f>IFERROR(__xludf.DUMMYFUNCTION("""COMPUTED_VALUE"""),2.0)</f>
        <v>2</v>
      </c>
      <c r="G873" s="2">
        <f>IFERROR(__xludf.DUMMYFUNCTION("""COMPUTED_VALUE"""),5.0)</f>
        <v>5</v>
      </c>
      <c r="H873" s="2" t="str">
        <f>IFERROR(__xludf.DUMMYFUNCTION("""COMPUTED_VALUE"""),"Renov.")</f>
        <v>Renov.</v>
      </c>
      <c r="I873" s="2" t="str">
        <f>IFERROR(__xludf.DUMMYFUNCTION("""COMPUTED_VALUE"""),"Masonry")</f>
        <v>Masonry</v>
      </c>
      <c r="J873" s="2" t="str">
        <f>IFERROR(__xludf.DUMMYFUNCTION("""COMPUTED_VALUE"""),"All amenities")</f>
        <v>All amenities</v>
      </c>
      <c r="K873" s="2">
        <f>IFERROR(__xludf.DUMMYFUNCTION("""COMPUTED_VALUE"""),1800.0)</f>
        <v>1800</v>
      </c>
      <c r="L873" s="2">
        <f>IFERROR(__xludf.DUMMYFUNCTION("""COMPUTED_VALUE"""),56.9489344)</f>
        <v>56.9489344</v>
      </c>
      <c r="M873" s="2">
        <f>IFERROR(__xludf.DUMMYFUNCTION("""COMPUTED_VALUE"""),24.0882804)</f>
        <v>24.0882804</v>
      </c>
    </row>
    <row r="874">
      <c r="A874" s="2" t="str">
        <f>IFERROR(__xludf.DUMMYFUNCTION("""COMPUTED_VALUE"""),"For rent")</f>
        <v>For rent</v>
      </c>
      <c r="B874" s="2" t="str">
        <f>IFERROR(__xludf.DUMMYFUNCTION("""COMPUTED_VALUE"""),"Ķīpsala")</f>
        <v>Ķīpsala</v>
      </c>
      <c r="C874" s="2" t="str">
        <f>IFERROR(__xludf.DUMMYFUNCTION("""COMPUTED_VALUE"""),"M. Balasta d. 72")</f>
        <v>M. Balasta d. 72</v>
      </c>
      <c r="D874" s="2">
        <f>IFERROR(__xludf.DUMMYFUNCTION("""COMPUTED_VALUE"""),2.0)</f>
        <v>2</v>
      </c>
      <c r="E874" s="2">
        <f>IFERROR(__xludf.DUMMYFUNCTION("""COMPUTED_VALUE"""),122.0)</f>
        <v>122</v>
      </c>
      <c r="F874" s="2">
        <f>IFERROR(__xludf.DUMMYFUNCTION("""COMPUTED_VALUE"""),2.0)</f>
        <v>2</v>
      </c>
      <c r="G874" s="2">
        <f>IFERROR(__xludf.DUMMYFUNCTION("""COMPUTED_VALUE"""),3.0)</f>
        <v>3</v>
      </c>
      <c r="H874" s="2" t="str">
        <f>IFERROR(__xludf.DUMMYFUNCTION("""COMPUTED_VALUE"""),"Renov.")</f>
        <v>Renov.</v>
      </c>
      <c r="I874" s="2" t="str">
        <f>IFERROR(__xludf.DUMMYFUNCTION("""COMPUTED_VALUE"""),"Masonry")</f>
        <v>Masonry</v>
      </c>
      <c r="J874" s="2" t="str">
        <f>IFERROR(__xludf.DUMMYFUNCTION("""COMPUTED_VALUE"""),"All amenities")</f>
        <v>All amenities</v>
      </c>
      <c r="K874" s="2">
        <f>IFERROR(__xludf.DUMMYFUNCTION("""COMPUTED_VALUE"""),1600.0)</f>
        <v>1600</v>
      </c>
      <c r="L874" s="2" t="str">
        <f>IFERROR(__xludf.DUMMYFUNCTION("""COMPUTED_VALUE"""),"NaN")</f>
        <v>NaN</v>
      </c>
      <c r="M874" s="2" t="str">
        <f>IFERROR(__xludf.DUMMYFUNCTION("""COMPUTED_VALUE"""),"NaN")</f>
        <v>NaN</v>
      </c>
    </row>
    <row r="875">
      <c r="A875" s="2" t="str">
        <f>IFERROR(__xludf.DUMMYFUNCTION("""COMPUTED_VALUE"""),"For rent")</f>
        <v>For rent</v>
      </c>
      <c r="B875" s="2" t="str">
        <f>IFERROR(__xludf.DUMMYFUNCTION("""COMPUTED_VALUE"""),"Imanta")</f>
        <v>Imanta</v>
      </c>
      <c r="C875" s="2" t="str">
        <f>IFERROR(__xludf.DUMMYFUNCTION("""COMPUTED_VALUE"""),"M. Krūmu 1")</f>
        <v>M. Krūmu 1</v>
      </c>
      <c r="D875" s="2">
        <f>IFERROR(__xludf.DUMMYFUNCTION("""COMPUTED_VALUE"""),3.0)</f>
        <v>3</v>
      </c>
      <c r="E875" s="2">
        <f>IFERROR(__xludf.DUMMYFUNCTION("""COMPUTED_VALUE"""),69.0)</f>
        <v>69</v>
      </c>
      <c r="F875" s="2">
        <f>IFERROR(__xludf.DUMMYFUNCTION("""COMPUTED_VALUE"""),5.0)</f>
        <v>5</v>
      </c>
      <c r="G875" s="2">
        <f>IFERROR(__xludf.DUMMYFUNCTION("""COMPUTED_VALUE"""),5.0)</f>
        <v>5</v>
      </c>
      <c r="H875" s="2" t="str">
        <f>IFERROR(__xludf.DUMMYFUNCTION("""COMPUTED_VALUE"""),"LT proj.")</f>
        <v>LT proj.</v>
      </c>
      <c r="I875" s="2" t="str">
        <f>IFERROR(__xludf.DUMMYFUNCTION("""COMPUTED_VALUE"""),"Panel")</f>
        <v>Panel</v>
      </c>
      <c r="J875" s="2" t="str">
        <f>IFERROR(__xludf.DUMMYFUNCTION("""COMPUTED_VALUE"""),"All amenities")</f>
        <v>All amenities</v>
      </c>
      <c r="K875" s="2">
        <f>IFERROR(__xludf.DUMMYFUNCTION("""COMPUTED_VALUE"""),320.0)</f>
        <v>320</v>
      </c>
      <c r="L875" s="2">
        <f>IFERROR(__xludf.DUMMYFUNCTION("""COMPUTED_VALUE"""),56.9572544)</f>
        <v>56.9572544</v>
      </c>
      <c r="M875" s="2">
        <f>IFERROR(__xludf.DUMMYFUNCTION("""COMPUTED_VALUE"""),24.0022051476818)</f>
        <v>24.00220515</v>
      </c>
    </row>
    <row r="876">
      <c r="A876" s="2" t="str">
        <f>IFERROR(__xludf.DUMMYFUNCTION("""COMPUTED_VALUE"""),"For sale")</f>
        <v>For sale</v>
      </c>
      <c r="B876" s="2" t="str">
        <f>IFERROR(__xludf.DUMMYFUNCTION("""COMPUTED_VALUE"""),"Ķengarags")</f>
        <v>Ķengarags</v>
      </c>
      <c r="C876" s="2" t="str">
        <f>IFERROR(__xludf.DUMMYFUNCTION("""COMPUTED_VALUE"""),"Prūšu 4")</f>
        <v>Prūšu 4</v>
      </c>
      <c r="D876" s="2">
        <f>IFERROR(__xludf.DUMMYFUNCTION("""COMPUTED_VALUE"""),3.0)</f>
        <v>3</v>
      </c>
      <c r="E876" s="2">
        <f>IFERROR(__xludf.DUMMYFUNCTION("""COMPUTED_VALUE"""),63.0)</f>
        <v>63</v>
      </c>
      <c r="F876" s="2">
        <f>IFERROR(__xludf.DUMMYFUNCTION("""COMPUTED_VALUE"""),5.0)</f>
        <v>5</v>
      </c>
      <c r="G876" s="2">
        <f>IFERROR(__xludf.DUMMYFUNCTION("""COMPUTED_VALUE"""),5.0)</f>
        <v>5</v>
      </c>
      <c r="H876" s="2" t="str">
        <f>IFERROR(__xludf.DUMMYFUNCTION("""COMPUTED_VALUE"""),"Jaun.")</f>
        <v>Jaun.</v>
      </c>
      <c r="I876" s="2" t="str">
        <f>IFERROR(__xludf.DUMMYFUNCTION("""COMPUTED_VALUE"""),"Panel")</f>
        <v>Panel</v>
      </c>
      <c r="J876" s="2" t="str">
        <f>IFERROR(__xludf.DUMMYFUNCTION("""COMPUTED_VALUE"""),"All amenities")</f>
        <v>All amenities</v>
      </c>
      <c r="K876" s="2">
        <f>IFERROR(__xludf.DUMMYFUNCTION("""COMPUTED_VALUE"""),76494.0)</f>
        <v>76494</v>
      </c>
      <c r="L876" s="2">
        <f>IFERROR(__xludf.DUMMYFUNCTION("""COMPUTED_VALUE"""),56.9146747)</f>
        <v>56.9146747</v>
      </c>
      <c r="M876" s="2">
        <f>IFERROR(__xludf.DUMMYFUNCTION("""COMPUTED_VALUE"""),24.1815079346418)</f>
        <v>24.18150793</v>
      </c>
    </row>
    <row r="877">
      <c r="A877" s="2" t="str">
        <f>IFERROR(__xludf.DUMMYFUNCTION("""COMPUTED_VALUE"""),"For sale")</f>
        <v>For sale</v>
      </c>
      <c r="B877" s="2" t="str">
        <f>IFERROR(__xludf.DUMMYFUNCTION("""COMPUTED_VALUE"""),"centrs")</f>
        <v>centrs</v>
      </c>
      <c r="C877" s="2" t="str">
        <f>IFERROR(__xludf.DUMMYFUNCTION("""COMPUTED_VALUE"""),"Indrānu 8")</f>
        <v>Indrānu 8</v>
      </c>
      <c r="D877" s="2">
        <f>IFERROR(__xludf.DUMMYFUNCTION("""COMPUTED_VALUE"""),2.0)</f>
        <v>2</v>
      </c>
      <c r="E877" s="2">
        <f>IFERROR(__xludf.DUMMYFUNCTION("""COMPUTED_VALUE"""),56.0)</f>
        <v>56</v>
      </c>
      <c r="F877" s="2">
        <f>IFERROR(__xludf.DUMMYFUNCTION("""COMPUTED_VALUE"""),2.0)</f>
        <v>2</v>
      </c>
      <c r="G877" s="2">
        <f>IFERROR(__xludf.DUMMYFUNCTION("""COMPUTED_VALUE"""),6.0)</f>
        <v>6</v>
      </c>
      <c r="H877" s="2" t="str">
        <f>IFERROR(__xludf.DUMMYFUNCTION("""COMPUTED_VALUE"""),"Jaun.")</f>
        <v>Jaun.</v>
      </c>
      <c r="I877" s="2" t="str">
        <f>IFERROR(__xludf.DUMMYFUNCTION("""COMPUTED_VALUE"""),"Brick-Panel")</f>
        <v>Brick-Panel</v>
      </c>
      <c r="J877" s="2" t="str">
        <f>IFERROR(__xludf.DUMMYFUNCTION("""COMPUTED_VALUE"""),"All amenities")</f>
        <v>All amenities</v>
      </c>
      <c r="K877" s="2">
        <f>IFERROR(__xludf.DUMMYFUNCTION("""COMPUTED_VALUE"""),108000.0)</f>
        <v>108000</v>
      </c>
      <c r="L877" s="2">
        <f>IFERROR(__xludf.DUMMYFUNCTION("""COMPUTED_VALUE"""),56.9684979)</f>
        <v>56.9684979</v>
      </c>
      <c r="M877" s="2">
        <f>IFERROR(__xludf.DUMMYFUNCTION("""COMPUTED_VALUE"""),24.1467035)</f>
        <v>24.1467035</v>
      </c>
    </row>
    <row r="878">
      <c r="A878" s="2" t="str">
        <f>IFERROR(__xludf.DUMMYFUNCTION("""COMPUTED_VALUE"""),"For sale")</f>
        <v>For sale</v>
      </c>
      <c r="B878" s="2" t="str">
        <f>IFERROR(__xludf.DUMMYFUNCTION("""COMPUTED_VALUE"""),"Ziepniekkalns")</f>
        <v>Ziepniekkalns</v>
      </c>
      <c r="C878" s="2" t="str">
        <f>IFERROR(__xludf.DUMMYFUNCTION("""COMPUTED_VALUE"""),"Līvciema 43")</f>
        <v>Līvciema 43</v>
      </c>
      <c r="D878" s="2">
        <f>IFERROR(__xludf.DUMMYFUNCTION("""COMPUTED_VALUE"""),2.0)</f>
        <v>2</v>
      </c>
      <c r="E878" s="2">
        <f>IFERROR(__xludf.DUMMYFUNCTION("""COMPUTED_VALUE"""),41.0)</f>
        <v>41</v>
      </c>
      <c r="F878" s="2">
        <f>IFERROR(__xludf.DUMMYFUNCTION("""COMPUTED_VALUE"""),2.0)</f>
        <v>2</v>
      </c>
      <c r="G878" s="2">
        <f>IFERROR(__xludf.DUMMYFUNCTION("""COMPUTED_VALUE"""),5.0)</f>
        <v>5</v>
      </c>
      <c r="H878" s="2" t="str">
        <f>IFERROR(__xludf.DUMMYFUNCTION("""COMPUTED_VALUE"""),"Hrušč.")</f>
        <v>Hrušč.</v>
      </c>
      <c r="I878" s="2" t="str">
        <f>IFERROR(__xludf.DUMMYFUNCTION("""COMPUTED_VALUE"""),"Brick")</f>
        <v>Brick</v>
      </c>
      <c r="J878" s="2" t="str">
        <f>IFERROR(__xludf.DUMMYFUNCTION("""COMPUTED_VALUE"""),"All amenities")</f>
        <v>All amenities</v>
      </c>
      <c r="K878" s="2">
        <f>IFERROR(__xludf.DUMMYFUNCTION("""COMPUTED_VALUE"""),40000.0)</f>
        <v>40000</v>
      </c>
      <c r="L878" s="2">
        <f>IFERROR(__xludf.DUMMYFUNCTION("""COMPUTED_VALUE"""),56.90509875)</f>
        <v>56.90509875</v>
      </c>
      <c r="M878" s="2">
        <f>IFERROR(__xludf.DUMMYFUNCTION("""COMPUTED_VALUE"""),24.102703178381)</f>
        <v>24.10270318</v>
      </c>
    </row>
    <row r="879">
      <c r="A879" s="2" t="str">
        <f>IFERROR(__xludf.DUMMYFUNCTION("""COMPUTED_VALUE"""),"For sale")</f>
        <v>For sale</v>
      </c>
      <c r="B879" s="2" t="str">
        <f>IFERROR(__xludf.DUMMYFUNCTION("""COMPUTED_VALUE"""),"Vecmīlgrāvis")</f>
        <v>Vecmīlgrāvis</v>
      </c>
      <c r="C879" s="2" t="str">
        <f>IFERROR(__xludf.DUMMYFUNCTION("""COMPUTED_VALUE"""),"Sniega 2")</f>
        <v>Sniega 2</v>
      </c>
      <c r="D879" s="2">
        <f>IFERROR(__xludf.DUMMYFUNCTION("""COMPUTED_VALUE"""),1.0)</f>
        <v>1</v>
      </c>
      <c r="E879" s="2">
        <f>IFERROR(__xludf.DUMMYFUNCTION("""COMPUTED_VALUE"""),28.0)</f>
        <v>28</v>
      </c>
      <c r="F879" s="2">
        <f>IFERROR(__xludf.DUMMYFUNCTION("""COMPUTED_VALUE"""),5.0)</f>
        <v>5</v>
      </c>
      <c r="G879" s="2">
        <f>IFERROR(__xludf.DUMMYFUNCTION("""COMPUTED_VALUE"""),5.0)</f>
        <v>5</v>
      </c>
      <c r="H879" s="2" t="str">
        <f>IFERROR(__xludf.DUMMYFUNCTION("""COMPUTED_VALUE"""),"LT proj.")</f>
        <v>LT proj.</v>
      </c>
      <c r="I879" s="2" t="str">
        <f>IFERROR(__xludf.DUMMYFUNCTION("""COMPUTED_VALUE"""),"Panel")</f>
        <v>Panel</v>
      </c>
      <c r="J879" s="2" t="str">
        <f>IFERROR(__xludf.DUMMYFUNCTION("""COMPUTED_VALUE"""),"All amenities")</f>
        <v>All amenities</v>
      </c>
      <c r="K879" s="2">
        <f>IFERROR(__xludf.DUMMYFUNCTION("""COMPUTED_VALUE"""),31900.0)</f>
        <v>31900</v>
      </c>
      <c r="L879" s="2">
        <f>IFERROR(__xludf.DUMMYFUNCTION("""COMPUTED_VALUE"""),57.0337701)</f>
        <v>57.0337701</v>
      </c>
      <c r="M879" s="2">
        <f>IFERROR(__xludf.DUMMYFUNCTION("""COMPUTED_VALUE"""),24.09840055)</f>
        <v>24.09840055</v>
      </c>
    </row>
    <row r="880">
      <c r="A880" s="2" t="str">
        <f>IFERROR(__xludf.DUMMYFUNCTION("""COMPUTED_VALUE"""),"For sale")</f>
        <v>For sale</v>
      </c>
      <c r="B880" s="2" t="str">
        <f>IFERROR(__xludf.DUMMYFUNCTION("""COMPUTED_VALUE"""),"Ķengarags")</f>
        <v>Ķengarags</v>
      </c>
      <c r="C880" s="2" t="str">
        <f>IFERROR(__xludf.DUMMYFUNCTION("""COMPUTED_VALUE"""),"Maltas 15")</f>
        <v>Maltas 15</v>
      </c>
      <c r="D880" s="2">
        <f>IFERROR(__xludf.DUMMYFUNCTION("""COMPUTED_VALUE"""),3.0)</f>
        <v>3</v>
      </c>
      <c r="E880" s="2">
        <f>IFERROR(__xludf.DUMMYFUNCTION("""COMPUTED_VALUE"""),59.0)</f>
        <v>59</v>
      </c>
      <c r="F880" s="2">
        <f>IFERROR(__xludf.DUMMYFUNCTION("""COMPUTED_VALUE"""),1.0)</f>
        <v>1</v>
      </c>
      <c r="G880" s="2">
        <f>IFERROR(__xludf.DUMMYFUNCTION("""COMPUTED_VALUE"""),5.0)</f>
        <v>5</v>
      </c>
      <c r="H880" s="2" t="str">
        <f>IFERROR(__xludf.DUMMYFUNCTION("""COMPUTED_VALUE"""),"LT proj.")</f>
        <v>LT proj.</v>
      </c>
      <c r="I880" s="2" t="str">
        <f>IFERROR(__xludf.DUMMYFUNCTION("""COMPUTED_VALUE"""),"Panel")</f>
        <v>Panel</v>
      </c>
      <c r="J880" s="2" t="str">
        <f>IFERROR(__xludf.DUMMYFUNCTION("""COMPUTED_VALUE"""),"All amenities")</f>
        <v>All amenities</v>
      </c>
      <c r="K880" s="2">
        <f>IFERROR(__xludf.DUMMYFUNCTION("""COMPUTED_VALUE"""),44988.0)</f>
        <v>44988</v>
      </c>
      <c r="L880" s="2">
        <f>IFERROR(__xludf.DUMMYFUNCTION("""COMPUTED_VALUE"""),56.9106275)</f>
        <v>56.9106275</v>
      </c>
      <c r="M880" s="2">
        <f>IFERROR(__xludf.DUMMYFUNCTION("""COMPUTED_VALUE"""),24.1836694706489)</f>
        <v>24.18366947</v>
      </c>
    </row>
    <row r="881">
      <c r="A881" s="2" t="str">
        <f>IFERROR(__xludf.DUMMYFUNCTION("""COMPUTED_VALUE"""),"For sale")</f>
        <v>For sale</v>
      </c>
      <c r="B881" s="2" t="str">
        <f>IFERROR(__xludf.DUMMYFUNCTION("""COMPUTED_VALUE"""),"Ķengarags")</f>
        <v>Ķengarags</v>
      </c>
      <c r="C881" s="2" t="str">
        <f>IFERROR(__xludf.DUMMYFUNCTION("""COMPUTED_VALUE"""),"Maltas 29")</f>
        <v>Maltas 29</v>
      </c>
      <c r="D881" s="2">
        <f>IFERROR(__xludf.DUMMYFUNCTION("""COMPUTED_VALUE"""),3.0)</f>
        <v>3</v>
      </c>
      <c r="E881" s="2">
        <f>IFERROR(__xludf.DUMMYFUNCTION("""COMPUTED_VALUE"""),59.0)</f>
        <v>59</v>
      </c>
      <c r="F881" s="2">
        <f>IFERROR(__xludf.DUMMYFUNCTION("""COMPUTED_VALUE"""),1.0)</f>
        <v>1</v>
      </c>
      <c r="G881" s="2">
        <f>IFERROR(__xludf.DUMMYFUNCTION("""COMPUTED_VALUE"""),5.0)</f>
        <v>5</v>
      </c>
      <c r="H881" s="2" t="str">
        <f>IFERROR(__xludf.DUMMYFUNCTION("""COMPUTED_VALUE"""),"LT proj.")</f>
        <v>LT proj.</v>
      </c>
      <c r="I881" s="2" t="str">
        <f>IFERROR(__xludf.DUMMYFUNCTION("""COMPUTED_VALUE"""),"Panel")</f>
        <v>Panel</v>
      </c>
      <c r="J881" s="2" t="str">
        <f>IFERROR(__xludf.DUMMYFUNCTION("""COMPUTED_VALUE"""),"All amenities")</f>
        <v>All amenities</v>
      </c>
      <c r="K881" s="2">
        <f>IFERROR(__xludf.DUMMYFUNCTION("""COMPUTED_VALUE"""),45500.0)</f>
        <v>45500</v>
      </c>
      <c r="L881" s="2">
        <f>IFERROR(__xludf.DUMMYFUNCTION("""COMPUTED_VALUE"""),56.9045511)</f>
        <v>56.9045511</v>
      </c>
      <c r="M881" s="2">
        <f>IFERROR(__xludf.DUMMYFUNCTION("""COMPUTED_VALUE"""),24.1941032)</f>
        <v>24.1941032</v>
      </c>
    </row>
    <row r="882">
      <c r="A882" s="2" t="str">
        <f>IFERROR(__xludf.DUMMYFUNCTION("""COMPUTED_VALUE"""),"For sale")</f>
        <v>For sale</v>
      </c>
      <c r="B882" s="2" t="str">
        <f>IFERROR(__xludf.DUMMYFUNCTION("""COMPUTED_VALUE"""),"centrs")</f>
        <v>centrs</v>
      </c>
      <c r="C882" s="2" t="str">
        <f>IFERROR(__xludf.DUMMYFUNCTION("""COMPUTED_VALUE"""),"Lienes 27")</f>
        <v>Lienes 27</v>
      </c>
      <c r="D882" s="2">
        <f>IFERROR(__xludf.DUMMYFUNCTION("""COMPUTED_VALUE"""),1.0)</f>
        <v>1</v>
      </c>
      <c r="E882" s="2">
        <f>IFERROR(__xludf.DUMMYFUNCTION("""COMPUTED_VALUE"""),24.0)</f>
        <v>24</v>
      </c>
      <c r="F882" s="2">
        <f>IFERROR(__xludf.DUMMYFUNCTION("""COMPUTED_VALUE"""),1.0)</f>
        <v>1</v>
      </c>
      <c r="G882" s="2">
        <f>IFERROR(__xludf.DUMMYFUNCTION("""COMPUTED_VALUE"""),2.0)</f>
        <v>2</v>
      </c>
      <c r="H882" s="2" t="str">
        <f>IFERROR(__xludf.DUMMYFUNCTION("""COMPUTED_VALUE"""),"P. kara")</f>
        <v>P. kara</v>
      </c>
      <c r="I882" s="2" t="str">
        <f>IFERROR(__xludf.DUMMYFUNCTION("""COMPUTED_VALUE"""),"Masonry")</f>
        <v>Masonry</v>
      </c>
      <c r="J882" s="2" t="str">
        <f>IFERROR(__xludf.DUMMYFUNCTION("""COMPUTED_VALUE"""),"All amenities")</f>
        <v>All amenities</v>
      </c>
      <c r="K882" s="2">
        <f>IFERROR(__xludf.DUMMYFUNCTION("""COMPUTED_VALUE"""),25000.0)</f>
        <v>25000</v>
      </c>
      <c r="L882" s="2">
        <f>IFERROR(__xludf.DUMMYFUNCTION("""COMPUTED_VALUE"""),56.95185735)</f>
        <v>56.95185735</v>
      </c>
      <c r="M882" s="2">
        <f>IFERROR(__xludf.DUMMYFUNCTION("""COMPUTED_VALUE"""),24.1500680721728)</f>
        <v>24.15006807</v>
      </c>
    </row>
    <row r="883">
      <c r="A883" s="2" t="str">
        <f>IFERROR(__xludf.DUMMYFUNCTION("""COMPUTED_VALUE"""),"For rent")</f>
        <v>For rent</v>
      </c>
      <c r="B883" s="2" t="str">
        <f>IFERROR(__xludf.DUMMYFUNCTION("""COMPUTED_VALUE"""),"Ziepniekkalns")</f>
        <v>Ziepniekkalns</v>
      </c>
      <c r="C883" s="2" t="str">
        <f>IFERROR(__xludf.DUMMYFUNCTION("""COMPUTED_VALUE"""),"Ozolciema 20/1")</f>
        <v>Ozolciema 20/1</v>
      </c>
      <c r="D883" s="2">
        <f>IFERROR(__xludf.DUMMYFUNCTION("""COMPUTED_VALUE"""),1.0)</f>
        <v>1</v>
      </c>
      <c r="E883" s="2">
        <f>IFERROR(__xludf.DUMMYFUNCTION("""COMPUTED_VALUE"""),20.0)</f>
        <v>20</v>
      </c>
      <c r="F883" s="2">
        <f>IFERROR(__xludf.DUMMYFUNCTION("""COMPUTED_VALUE"""),2.0)</f>
        <v>2</v>
      </c>
      <c r="G883" s="2">
        <f>IFERROR(__xludf.DUMMYFUNCTION("""COMPUTED_VALUE"""),10.0)</f>
        <v>10</v>
      </c>
      <c r="H883" s="2">
        <f>IFERROR(__xludf.DUMMYFUNCTION("""COMPUTED_VALUE"""),119.0)</f>
        <v>119</v>
      </c>
      <c r="I883" s="2" t="str">
        <f>IFERROR(__xludf.DUMMYFUNCTION("""COMPUTED_VALUE"""),"Panel-Brick")</f>
        <v>Panel-Brick</v>
      </c>
      <c r="J883" s="2" t="str">
        <f>IFERROR(__xludf.DUMMYFUNCTION("""COMPUTED_VALUE"""),"All amenities")</f>
        <v>All amenities</v>
      </c>
      <c r="K883" s="2">
        <f>IFERROR(__xludf.DUMMYFUNCTION("""COMPUTED_VALUE"""),165.0)</f>
        <v>165</v>
      </c>
      <c r="L883" s="2">
        <f>IFERROR(__xludf.DUMMYFUNCTION("""COMPUTED_VALUE"""),56.8990307)</f>
        <v>56.8990307</v>
      </c>
      <c r="M883" s="2">
        <f>IFERROR(__xludf.DUMMYFUNCTION("""COMPUTED_VALUE"""),24.0785989)</f>
        <v>24.0785989</v>
      </c>
    </row>
    <row r="884">
      <c r="A884" s="2" t="str">
        <f>IFERROR(__xludf.DUMMYFUNCTION("""COMPUTED_VALUE"""),"For rent")</f>
        <v>For rent</v>
      </c>
      <c r="B884" s="2" t="str">
        <f>IFERROR(__xludf.DUMMYFUNCTION("""COMPUTED_VALUE"""),"Zolitūde")</f>
        <v>Zolitūde</v>
      </c>
      <c r="C884" s="2" t="str">
        <f>IFERROR(__xludf.DUMMYFUNCTION("""COMPUTED_VALUE"""),"Anniņmuižas 40")</f>
        <v>Anniņmuižas 40</v>
      </c>
      <c r="D884" s="2">
        <f>IFERROR(__xludf.DUMMYFUNCTION("""COMPUTED_VALUE"""),2.0)</f>
        <v>2</v>
      </c>
      <c r="E884" s="2">
        <f>IFERROR(__xludf.DUMMYFUNCTION("""COMPUTED_VALUE"""),55.0)</f>
        <v>55</v>
      </c>
      <c r="F884" s="2">
        <f>IFERROR(__xludf.DUMMYFUNCTION("""COMPUTED_VALUE"""),4.0)</f>
        <v>4</v>
      </c>
      <c r="G884" s="2">
        <f>IFERROR(__xludf.DUMMYFUNCTION("""COMPUTED_VALUE"""),5.0)</f>
        <v>5</v>
      </c>
      <c r="H884" s="2" t="str">
        <f>IFERROR(__xludf.DUMMYFUNCTION("""COMPUTED_VALUE"""),"LT proj.")</f>
        <v>LT proj.</v>
      </c>
      <c r="I884" s="2" t="str">
        <f>IFERROR(__xludf.DUMMYFUNCTION("""COMPUTED_VALUE"""),"Panel")</f>
        <v>Panel</v>
      </c>
      <c r="J884" s="2" t="str">
        <f>IFERROR(__xludf.DUMMYFUNCTION("""COMPUTED_VALUE"""),"All amenities")</f>
        <v>All amenities</v>
      </c>
      <c r="K884" s="2">
        <f>IFERROR(__xludf.DUMMYFUNCTION("""COMPUTED_VALUE"""),300.0)</f>
        <v>300</v>
      </c>
      <c r="L884" s="2">
        <f>IFERROR(__xludf.DUMMYFUNCTION("""COMPUTED_VALUE"""),56.9607245499999)</f>
        <v>56.96072455</v>
      </c>
      <c r="M884" s="2">
        <f>IFERROR(__xludf.DUMMYFUNCTION("""COMPUTED_VALUE"""),24.0094253366925)</f>
        <v>24.00942534</v>
      </c>
    </row>
    <row r="885">
      <c r="A885" s="2" t="str">
        <f>IFERROR(__xludf.DUMMYFUNCTION("""COMPUTED_VALUE"""),"For sale")</f>
        <v>For sale</v>
      </c>
      <c r="B885" s="2" t="str">
        <f>IFERROR(__xludf.DUMMYFUNCTION("""COMPUTED_VALUE"""),"centrs")</f>
        <v>centrs</v>
      </c>
      <c r="C885" s="2" t="str">
        <f>IFERROR(__xludf.DUMMYFUNCTION("""COMPUTED_VALUE"""),"Katrīnas 21")</f>
        <v>Katrīnas 21</v>
      </c>
      <c r="D885" s="2">
        <f>IFERROR(__xludf.DUMMYFUNCTION("""COMPUTED_VALUE"""),2.0)</f>
        <v>2</v>
      </c>
      <c r="E885" s="2">
        <f>IFERROR(__xludf.DUMMYFUNCTION("""COMPUTED_VALUE"""),50.0)</f>
        <v>50</v>
      </c>
      <c r="F885" s="2">
        <f>IFERROR(__xludf.DUMMYFUNCTION("""COMPUTED_VALUE"""),1.0)</f>
        <v>1</v>
      </c>
      <c r="G885" s="2">
        <f>IFERROR(__xludf.DUMMYFUNCTION("""COMPUTED_VALUE"""),3.0)</f>
        <v>3</v>
      </c>
      <c r="H885" s="2" t="str">
        <f>IFERROR(__xludf.DUMMYFUNCTION("""COMPUTED_VALUE"""),"P. kara")</f>
        <v>P. kara</v>
      </c>
      <c r="I885" s="2" t="str">
        <f>IFERROR(__xludf.DUMMYFUNCTION("""COMPUTED_VALUE"""),"Brick")</f>
        <v>Brick</v>
      </c>
      <c r="J885" s="2" t="str">
        <f>IFERROR(__xludf.DUMMYFUNCTION("""COMPUTED_VALUE"""),"All amenities")</f>
        <v>All amenities</v>
      </c>
      <c r="K885" s="2">
        <f>IFERROR(__xludf.DUMMYFUNCTION("""COMPUTED_VALUE"""),34000.0)</f>
        <v>34000</v>
      </c>
      <c r="L885" s="2">
        <f>IFERROR(__xludf.DUMMYFUNCTION("""COMPUTED_VALUE"""),56.97128295)</f>
        <v>56.97128295</v>
      </c>
      <c r="M885" s="2">
        <f>IFERROR(__xludf.DUMMYFUNCTION("""COMPUTED_VALUE"""),24.1016402184023)</f>
        <v>24.10164022</v>
      </c>
    </row>
    <row r="886">
      <c r="A886" s="2" t="str">
        <f>IFERROR(__xludf.DUMMYFUNCTION("""COMPUTED_VALUE"""),"For rent")</f>
        <v>For rent</v>
      </c>
      <c r="B886" s="2" t="str">
        <f>IFERROR(__xludf.DUMMYFUNCTION("""COMPUTED_VALUE"""),"centrs")</f>
        <v>centrs</v>
      </c>
      <c r="C886" s="2" t="str">
        <f>IFERROR(__xludf.DUMMYFUNCTION("""COMPUTED_VALUE"""),"Miera 101")</f>
        <v>Miera 101</v>
      </c>
      <c r="D886" s="2">
        <f>IFERROR(__xludf.DUMMYFUNCTION("""COMPUTED_VALUE"""),2.0)</f>
        <v>2</v>
      </c>
      <c r="E886" s="2">
        <f>IFERROR(__xludf.DUMMYFUNCTION("""COMPUTED_VALUE"""),45.0)</f>
        <v>45</v>
      </c>
      <c r="F886" s="2">
        <f>IFERROR(__xludf.DUMMYFUNCTION("""COMPUTED_VALUE"""),4.0)</f>
        <v>4</v>
      </c>
      <c r="G886" s="2">
        <f>IFERROR(__xludf.DUMMYFUNCTION("""COMPUTED_VALUE"""),5.0)</f>
        <v>5</v>
      </c>
      <c r="H886" s="2" t="str">
        <f>IFERROR(__xludf.DUMMYFUNCTION("""COMPUTED_VALUE"""),"P. kara")</f>
        <v>P. kara</v>
      </c>
      <c r="I886" s="2" t="str">
        <f>IFERROR(__xludf.DUMMYFUNCTION("""COMPUTED_VALUE"""),"Masonry")</f>
        <v>Masonry</v>
      </c>
      <c r="J886" s="2" t="str">
        <f>IFERROR(__xludf.DUMMYFUNCTION("""COMPUTED_VALUE"""),"All amenities")</f>
        <v>All amenities</v>
      </c>
      <c r="K886" s="2">
        <f>IFERROR(__xludf.DUMMYFUNCTION("""COMPUTED_VALUE"""),400.0)</f>
        <v>400</v>
      </c>
      <c r="L886" s="2">
        <f>IFERROR(__xludf.DUMMYFUNCTION("""COMPUTED_VALUE"""),56.9665763)</f>
        <v>56.9665763</v>
      </c>
      <c r="M886" s="2">
        <f>IFERROR(__xludf.DUMMYFUNCTION("""COMPUTED_VALUE"""),24.1337504)</f>
        <v>24.1337504</v>
      </c>
    </row>
    <row r="887">
      <c r="A887" s="2" t="str">
        <f>IFERROR(__xludf.DUMMYFUNCTION("""COMPUTED_VALUE"""),"For rent")</f>
        <v>For rent</v>
      </c>
      <c r="B887" s="2" t="str">
        <f>IFERROR(__xludf.DUMMYFUNCTION("""COMPUTED_VALUE"""),"centrs")</f>
        <v>centrs</v>
      </c>
      <c r="C887" s="2" t="str">
        <f>IFERROR(__xludf.DUMMYFUNCTION("""COMPUTED_VALUE"""),"Ģertrūdes 93")</f>
        <v>Ģertrūdes 93</v>
      </c>
      <c r="D887" s="2">
        <f>IFERROR(__xludf.DUMMYFUNCTION("""COMPUTED_VALUE"""),1.0)</f>
        <v>1</v>
      </c>
      <c r="E887" s="2">
        <f>IFERROR(__xludf.DUMMYFUNCTION("""COMPUTED_VALUE"""),26.0)</f>
        <v>26</v>
      </c>
      <c r="F887" s="2">
        <f>IFERROR(__xludf.DUMMYFUNCTION("""COMPUTED_VALUE"""),1.0)</f>
        <v>1</v>
      </c>
      <c r="G887" s="2">
        <f>IFERROR(__xludf.DUMMYFUNCTION("""COMPUTED_VALUE"""),5.0)</f>
        <v>5</v>
      </c>
      <c r="H887" s="2" t="str">
        <f>IFERROR(__xludf.DUMMYFUNCTION("""COMPUTED_VALUE"""),"P. kara")</f>
        <v>P. kara</v>
      </c>
      <c r="I887" s="2" t="str">
        <f>IFERROR(__xludf.DUMMYFUNCTION("""COMPUTED_VALUE"""),"Brick-Panel")</f>
        <v>Brick-Panel</v>
      </c>
      <c r="J887" s="2" t="str">
        <f>IFERROR(__xludf.DUMMYFUNCTION("""COMPUTED_VALUE"""),"All amenities")</f>
        <v>All amenities</v>
      </c>
      <c r="K887" s="2">
        <f>IFERROR(__xludf.DUMMYFUNCTION("""COMPUTED_VALUE"""),260.0)</f>
        <v>260</v>
      </c>
      <c r="L887" s="2">
        <f>IFERROR(__xludf.DUMMYFUNCTION("""COMPUTED_VALUE"""),56.95032385)</f>
        <v>56.95032385</v>
      </c>
      <c r="M887" s="2">
        <f>IFERROR(__xludf.DUMMYFUNCTION("""COMPUTED_VALUE"""),24.1359676740232)</f>
        <v>24.13596767</v>
      </c>
    </row>
    <row r="888">
      <c r="A888" s="2" t="str">
        <f>IFERROR(__xludf.DUMMYFUNCTION("""COMPUTED_VALUE"""),"For sale")</f>
        <v>For sale</v>
      </c>
      <c r="B888" s="2" t="str">
        <f>IFERROR(__xludf.DUMMYFUNCTION("""COMPUTED_VALUE"""),"centrs")</f>
        <v>centrs</v>
      </c>
      <c r="C888" s="2" t="str">
        <f>IFERROR(__xludf.DUMMYFUNCTION("""COMPUTED_VALUE"""),"Barona 14")</f>
        <v>Barona 14</v>
      </c>
      <c r="D888" s="2">
        <f>IFERROR(__xludf.DUMMYFUNCTION("""COMPUTED_VALUE"""),4.0)</f>
        <v>4</v>
      </c>
      <c r="E888" s="2">
        <f>IFERROR(__xludf.DUMMYFUNCTION("""COMPUTED_VALUE"""),155.0)</f>
        <v>155</v>
      </c>
      <c r="F888" s="2">
        <f>IFERROR(__xludf.DUMMYFUNCTION("""COMPUTED_VALUE"""),2.0)</f>
        <v>2</v>
      </c>
      <c r="G888" s="2">
        <f>IFERROR(__xludf.DUMMYFUNCTION("""COMPUTED_VALUE"""),5.0)</f>
        <v>5</v>
      </c>
      <c r="H888" s="2" t="str">
        <f>IFERROR(__xludf.DUMMYFUNCTION("""COMPUTED_VALUE"""),"Renov.")</f>
        <v>Renov.</v>
      </c>
      <c r="I888" s="2" t="str">
        <f>IFERROR(__xludf.DUMMYFUNCTION("""COMPUTED_VALUE"""),"Masonry")</f>
        <v>Masonry</v>
      </c>
      <c r="J888" s="2" t="str">
        <f>IFERROR(__xludf.DUMMYFUNCTION("""COMPUTED_VALUE"""),"All amenities")</f>
        <v>All amenities</v>
      </c>
      <c r="K888" s="2">
        <f>IFERROR(__xludf.DUMMYFUNCTION("""COMPUTED_VALUE"""),434000.0)</f>
        <v>434000</v>
      </c>
      <c r="L888" s="2">
        <f>IFERROR(__xludf.DUMMYFUNCTION("""COMPUTED_VALUE"""),56.9506147)</f>
        <v>56.9506147</v>
      </c>
      <c r="M888" s="2">
        <f>IFERROR(__xludf.DUMMYFUNCTION("""COMPUTED_VALUE"""),24.1212313)</f>
        <v>24.1212313</v>
      </c>
    </row>
    <row r="889">
      <c r="A889" s="2" t="str">
        <f>IFERROR(__xludf.DUMMYFUNCTION("""COMPUTED_VALUE"""),"For rent")</f>
        <v>For rent</v>
      </c>
      <c r="B889" s="2" t="str">
        <f>IFERROR(__xludf.DUMMYFUNCTION("""COMPUTED_VALUE"""),"centrs")</f>
        <v>centrs</v>
      </c>
      <c r="C889" s="2" t="str">
        <f>IFERROR(__xludf.DUMMYFUNCTION("""COMPUTED_VALUE"""),"Lāčplēša 35")</f>
        <v>Lāčplēša 35</v>
      </c>
      <c r="D889" s="2">
        <f>IFERROR(__xludf.DUMMYFUNCTION("""COMPUTED_VALUE"""),1.0)</f>
        <v>1</v>
      </c>
      <c r="E889" s="2">
        <f>IFERROR(__xludf.DUMMYFUNCTION("""COMPUTED_VALUE"""),24.0)</f>
        <v>24</v>
      </c>
      <c r="F889" s="2">
        <f>IFERROR(__xludf.DUMMYFUNCTION("""COMPUTED_VALUE"""),3.0)</f>
        <v>3</v>
      </c>
      <c r="G889" s="2">
        <f>IFERROR(__xludf.DUMMYFUNCTION("""COMPUTED_VALUE"""),6.0)</f>
        <v>6</v>
      </c>
      <c r="H889" s="2" t="str">
        <f>IFERROR(__xludf.DUMMYFUNCTION("""COMPUTED_VALUE"""),"P. kara")</f>
        <v>P. kara</v>
      </c>
      <c r="I889" s="2" t="str">
        <f>IFERROR(__xludf.DUMMYFUNCTION("""COMPUTED_VALUE"""),"Masonry")</f>
        <v>Masonry</v>
      </c>
      <c r="J889" s="2" t="str">
        <f>IFERROR(__xludf.DUMMYFUNCTION("""COMPUTED_VALUE"""),"All amenities")</f>
        <v>All amenities</v>
      </c>
      <c r="K889" s="2">
        <f>IFERROR(__xludf.DUMMYFUNCTION("""COMPUTED_VALUE"""),125.0)</f>
        <v>125</v>
      </c>
      <c r="L889" s="2">
        <f>IFERROR(__xludf.DUMMYFUNCTION("""COMPUTED_VALUE"""),56.9535179)</f>
        <v>56.9535179</v>
      </c>
      <c r="M889" s="2">
        <f>IFERROR(__xludf.DUMMYFUNCTION("""COMPUTED_VALUE"""),24.127078)</f>
        <v>24.127078</v>
      </c>
    </row>
    <row r="890">
      <c r="A890" s="2" t="str">
        <f>IFERROR(__xludf.DUMMYFUNCTION("""COMPUTED_VALUE"""),"For sale")</f>
        <v>For sale</v>
      </c>
      <c r="B890" s="2" t="str">
        <f>IFERROR(__xludf.DUMMYFUNCTION("""COMPUTED_VALUE"""),"Purvciems")</f>
        <v>Purvciems</v>
      </c>
      <c r="C890" s="2" t="str">
        <f>IFERROR(__xludf.DUMMYFUNCTION("""COMPUTED_VALUE"""),"Ilūkstes 107")</f>
        <v>Ilūkstes 107</v>
      </c>
      <c r="D890" s="2">
        <f>IFERROR(__xludf.DUMMYFUNCTION("""COMPUTED_VALUE"""),2.0)</f>
        <v>2</v>
      </c>
      <c r="E890" s="2">
        <f>IFERROR(__xludf.DUMMYFUNCTION("""COMPUTED_VALUE"""),49.0)</f>
        <v>49</v>
      </c>
      <c r="F890" s="2">
        <f>IFERROR(__xludf.DUMMYFUNCTION("""COMPUTED_VALUE"""),5.0)</f>
        <v>5</v>
      </c>
      <c r="G890" s="2">
        <f>IFERROR(__xludf.DUMMYFUNCTION("""COMPUTED_VALUE"""),9.0)</f>
        <v>9</v>
      </c>
      <c r="H890" s="2">
        <f>IFERROR(__xludf.DUMMYFUNCTION("""COMPUTED_VALUE"""),467.0)</f>
        <v>467</v>
      </c>
      <c r="I890" s="2" t="str">
        <f>IFERROR(__xludf.DUMMYFUNCTION("""COMPUTED_VALUE"""),"Panel")</f>
        <v>Panel</v>
      </c>
      <c r="J890" s="2" t="str">
        <f>IFERROR(__xludf.DUMMYFUNCTION("""COMPUTED_VALUE"""),"All amenities")</f>
        <v>All amenities</v>
      </c>
      <c r="K890" s="2">
        <f>IFERROR(__xludf.DUMMYFUNCTION("""COMPUTED_VALUE"""),45000.0)</f>
        <v>45000</v>
      </c>
      <c r="L890" s="2">
        <f>IFERROR(__xludf.DUMMYFUNCTION("""COMPUTED_VALUE"""),56.95369015)</f>
        <v>56.95369015</v>
      </c>
      <c r="M890" s="2">
        <f>IFERROR(__xludf.DUMMYFUNCTION("""COMPUTED_VALUE"""),24.1977413)</f>
        <v>24.1977413</v>
      </c>
    </row>
    <row r="891">
      <c r="A891" s="2" t="str">
        <f>IFERROR(__xludf.DUMMYFUNCTION("""COMPUTED_VALUE"""),"For rent")</f>
        <v>For rent</v>
      </c>
      <c r="B891" s="2" t="str">
        <f>IFERROR(__xludf.DUMMYFUNCTION("""COMPUTED_VALUE"""),"centrs")</f>
        <v>centrs</v>
      </c>
      <c r="C891" s="2" t="str">
        <f>IFERROR(__xludf.DUMMYFUNCTION("""COMPUTED_VALUE"""),"Mālpils 2")</f>
        <v>Mālpils 2</v>
      </c>
      <c r="D891" s="2">
        <f>IFERROR(__xludf.DUMMYFUNCTION("""COMPUTED_VALUE"""),2.0)</f>
        <v>2</v>
      </c>
      <c r="E891" s="2">
        <f>IFERROR(__xludf.DUMMYFUNCTION("""COMPUTED_VALUE"""),42.0)</f>
        <v>42</v>
      </c>
      <c r="F891" s="2">
        <f>IFERROR(__xludf.DUMMYFUNCTION("""COMPUTED_VALUE"""),4.0)</f>
        <v>4</v>
      </c>
      <c r="G891" s="2">
        <f>IFERROR(__xludf.DUMMYFUNCTION("""COMPUTED_VALUE"""),5.0)</f>
        <v>5</v>
      </c>
      <c r="H891" s="2" t="str">
        <f>IFERROR(__xludf.DUMMYFUNCTION("""COMPUTED_VALUE"""),"Hrušč.")</f>
        <v>Hrušč.</v>
      </c>
      <c r="I891" s="2" t="str">
        <f>IFERROR(__xludf.DUMMYFUNCTION("""COMPUTED_VALUE"""),"Brick")</f>
        <v>Brick</v>
      </c>
      <c r="J891" s="2" t="str">
        <f>IFERROR(__xludf.DUMMYFUNCTION("""COMPUTED_VALUE"""),"All amenities")</f>
        <v>All amenities</v>
      </c>
      <c r="K891" s="2">
        <f>IFERROR(__xludf.DUMMYFUNCTION("""COMPUTED_VALUE"""),330.0)</f>
        <v>330</v>
      </c>
      <c r="L891" s="2">
        <f>IFERROR(__xludf.DUMMYFUNCTION("""COMPUTED_VALUE"""),56.9668224)</f>
        <v>56.9668224</v>
      </c>
      <c r="M891" s="2">
        <f>IFERROR(__xludf.DUMMYFUNCTION("""COMPUTED_VALUE"""),24.1269540267332)</f>
        <v>24.12695403</v>
      </c>
    </row>
    <row r="892">
      <c r="A892" s="2" t="str">
        <f>IFERROR(__xludf.DUMMYFUNCTION("""COMPUTED_VALUE"""),"For rent")</f>
        <v>For rent</v>
      </c>
      <c r="B892" s="2" t="str">
        <f>IFERROR(__xludf.DUMMYFUNCTION("""COMPUTED_VALUE"""),"Maskavas priekšpilsēta")</f>
        <v>Maskavas priekšpilsēta</v>
      </c>
      <c r="C892" s="2" t="str">
        <f>IFERROR(__xludf.DUMMYFUNCTION("""COMPUTED_VALUE"""),"Lomonosova 2")</f>
        <v>Lomonosova 2</v>
      </c>
      <c r="D892" s="2">
        <f>IFERROR(__xludf.DUMMYFUNCTION("""COMPUTED_VALUE"""),1.0)</f>
        <v>1</v>
      </c>
      <c r="E892" s="2">
        <f>IFERROR(__xludf.DUMMYFUNCTION("""COMPUTED_VALUE"""),32.0)</f>
        <v>32</v>
      </c>
      <c r="F892" s="2">
        <f>IFERROR(__xludf.DUMMYFUNCTION("""COMPUTED_VALUE"""),2.0)</f>
        <v>2</v>
      </c>
      <c r="G892" s="2">
        <f>IFERROR(__xludf.DUMMYFUNCTION("""COMPUTED_VALUE"""),4.0)</f>
        <v>4</v>
      </c>
      <c r="H892" s="2" t="str">
        <f>IFERROR(__xludf.DUMMYFUNCTION("""COMPUTED_VALUE"""),"Staļina")</f>
        <v>Staļina</v>
      </c>
      <c r="I892" s="2" t="str">
        <f>IFERROR(__xludf.DUMMYFUNCTION("""COMPUTED_VALUE"""),"Masonry")</f>
        <v>Masonry</v>
      </c>
      <c r="J892" s="2" t="str">
        <f>IFERROR(__xludf.DUMMYFUNCTION("""COMPUTED_VALUE"""),"All amenities")</f>
        <v>All amenities</v>
      </c>
      <c r="K892" s="2">
        <f>IFERROR(__xludf.DUMMYFUNCTION("""COMPUTED_VALUE"""),25.0)</f>
        <v>25</v>
      </c>
      <c r="L892" s="2">
        <f>IFERROR(__xludf.DUMMYFUNCTION("""COMPUTED_VALUE"""),56.9383325999999)</f>
        <v>56.9383326</v>
      </c>
      <c r="M892" s="2">
        <f>IFERROR(__xludf.DUMMYFUNCTION("""COMPUTED_VALUE"""),24.1558851119791)</f>
        <v>24.15588511</v>
      </c>
    </row>
    <row r="893">
      <c r="A893" s="2" t="str">
        <f>IFERROR(__xludf.DUMMYFUNCTION("""COMPUTED_VALUE"""),"For sale")</f>
        <v>For sale</v>
      </c>
      <c r="B893" s="2" t="str">
        <f>IFERROR(__xludf.DUMMYFUNCTION("""COMPUTED_VALUE"""),"Ķengarags")</f>
        <v>Ķengarags</v>
      </c>
      <c r="C893" s="2" t="str">
        <f>IFERROR(__xludf.DUMMYFUNCTION("""COMPUTED_VALUE"""),"Krustpils 62")</f>
        <v>Krustpils 62</v>
      </c>
      <c r="D893" s="2">
        <f>IFERROR(__xludf.DUMMYFUNCTION("""COMPUTED_VALUE"""),2.0)</f>
        <v>2</v>
      </c>
      <c r="E893" s="2">
        <f>IFERROR(__xludf.DUMMYFUNCTION("""COMPUTED_VALUE"""),47.0)</f>
        <v>47</v>
      </c>
      <c r="F893" s="2">
        <f>IFERROR(__xludf.DUMMYFUNCTION("""COMPUTED_VALUE"""),1.0)</f>
        <v>1</v>
      </c>
      <c r="G893" s="2">
        <f>IFERROR(__xludf.DUMMYFUNCTION("""COMPUTED_VALUE"""),3.0)</f>
        <v>3</v>
      </c>
      <c r="H893" s="2" t="str">
        <f>IFERROR(__xludf.DUMMYFUNCTION("""COMPUTED_VALUE"""),"Staļina")</f>
        <v>Staļina</v>
      </c>
      <c r="I893" s="2" t="str">
        <f>IFERROR(__xludf.DUMMYFUNCTION("""COMPUTED_VALUE"""),"Brick")</f>
        <v>Brick</v>
      </c>
      <c r="J893" s="2" t="str">
        <f>IFERROR(__xludf.DUMMYFUNCTION("""COMPUTED_VALUE"""),"All amenities")</f>
        <v>All amenities</v>
      </c>
      <c r="K893" s="2">
        <f>IFERROR(__xludf.DUMMYFUNCTION("""COMPUTED_VALUE"""),47800.0)</f>
        <v>47800</v>
      </c>
      <c r="L893" s="2">
        <f>IFERROR(__xludf.DUMMYFUNCTION("""COMPUTED_VALUE"""),56.8955665)</f>
        <v>56.8955665</v>
      </c>
      <c r="M893" s="2">
        <f>IFERROR(__xludf.DUMMYFUNCTION("""COMPUTED_VALUE"""),24.2254419760312)</f>
        <v>24.22544198</v>
      </c>
    </row>
    <row r="894">
      <c r="A894" s="2" t="str">
        <f>IFERROR(__xludf.DUMMYFUNCTION("""COMPUTED_VALUE"""),"For sale")</f>
        <v>For sale</v>
      </c>
      <c r="B894" s="2" t="str">
        <f>IFERROR(__xludf.DUMMYFUNCTION("""COMPUTED_VALUE"""),"Purvciems")</f>
        <v>Purvciems</v>
      </c>
      <c r="C894" s="2" t="str">
        <f>IFERROR(__xludf.DUMMYFUNCTION("""COMPUTED_VALUE"""),"Deglava 106")</f>
        <v>Deglava 106</v>
      </c>
      <c r="D894" s="2">
        <f>IFERROR(__xludf.DUMMYFUNCTION("""COMPUTED_VALUE"""),2.0)</f>
        <v>2</v>
      </c>
      <c r="E894" s="2">
        <f>IFERROR(__xludf.DUMMYFUNCTION("""COMPUTED_VALUE"""),62.0)</f>
        <v>62</v>
      </c>
      <c r="F894" s="2">
        <f>IFERROR(__xludf.DUMMYFUNCTION("""COMPUTED_VALUE"""),2.0)</f>
        <v>2</v>
      </c>
      <c r="G894" s="2">
        <f>IFERROR(__xludf.DUMMYFUNCTION("""COMPUTED_VALUE"""),9.0)</f>
        <v>9</v>
      </c>
      <c r="H894" s="2">
        <f>IFERROR(__xludf.DUMMYFUNCTION("""COMPUTED_VALUE"""),119.0)</f>
        <v>119</v>
      </c>
      <c r="I894" s="2" t="str">
        <f>IFERROR(__xludf.DUMMYFUNCTION("""COMPUTED_VALUE"""),"Panel")</f>
        <v>Panel</v>
      </c>
      <c r="J894" s="2" t="str">
        <f>IFERROR(__xludf.DUMMYFUNCTION("""COMPUTED_VALUE"""),"All amenities")</f>
        <v>All amenities</v>
      </c>
      <c r="K894" s="2">
        <f>IFERROR(__xludf.DUMMYFUNCTION("""COMPUTED_VALUE"""),54900.0)</f>
        <v>54900</v>
      </c>
      <c r="L894" s="2">
        <f>IFERROR(__xludf.DUMMYFUNCTION("""COMPUTED_VALUE"""),56.94796725)</f>
        <v>56.94796725</v>
      </c>
      <c r="M894" s="2">
        <f>IFERROR(__xludf.DUMMYFUNCTION("""COMPUTED_VALUE"""),24.1898659253875)</f>
        <v>24.18986593</v>
      </c>
    </row>
    <row r="895">
      <c r="A895" s="2" t="str">
        <f>IFERROR(__xludf.DUMMYFUNCTION("""COMPUTED_VALUE"""),"For rent")</f>
        <v>For rent</v>
      </c>
      <c r="B895" s="2" t="str">
        <f>IFERROR(__xludf.DUMMYFUNCTION("""COMPUTED_VALUE"""),"centrs")</f>
        <v>centrs</v>
      </c>
      <c r="C895" s="2" t="str">
        <f>IFERROR(__xludf.DUMMYFUNCTION("""COMPUTED_VALUE"""),"Valdemāra 20")</f>
        <v>Valdemāra 20</v>
      </c>
      <c r="D895" s="2">
        <f>IFERROR(__xludf.DUMMYFUNCTION("""COMPUTED_VALUE"""),3.0)</f>
        <v>3</v>
      </c>
      <c r="E895" s="2">
        <f>IFERROR(__xludf.DUMMYFUNCTION("""COMPUTED_VALUE"""),131.0)</f>
        <v>131</v>
      </c>
      <c r="F895" s="2">
        <f>IFERROR(__xludf.DUMMYFUNCTION("""COMPUTED_VALUE"""),5.0)</f>
        <v>5</v>
      </c>
      <c r="G895" s="2">
        <f>IFERROR(__xludf.DUMMYFUNCTION("""COMPUTED_VALUE"""),5.0)</f>
        <v>5</v>
      </c>
      <c r="H895" s="2" t="str">
        <f>IFERROR(__xludf.DUMMYFUNCTION("""COMPUTED_VALUE"""),"P. kara")</f>
        <v>P. kara</v>
      </c>
      <c r="I895" s="2" t="str">
        <f>IFERROR(__xludf.DUMMYFUNCTION("""COMPUTED_VALUE"""),"Masonry")</f>
        <v>Masonry</v>
      </c>
      <c r="J895" s="2" t="str">
        <f>IFERROR(__xludf.DUMMYFUNCTION("""COMPUTED_VALUE"""),"All amenities")</f>
        <v>All amenities</v>
      </c>
      <c r="K895" s="2">
        <f>IFERROR(__xludf.DUMMYFUNCTION("""COMPUTED_VALUE"""),1200.0)</f>
        <v>1200</v>
      </c>
      <c r="L895" s="2">
        <f>IFERROR(__xludf.DUMMYFUNCTION("""COMPUTED_VALUE"""),56.95770095)</f>
        <v>56.95770095</v>
      </c>
      <c r="M895" s="2">
        <f>IFERROR(__xludf.DUMMYFUNCTION("""COMPUTED_VALUE"""),24.1164613891111)</f>
        <v>24.11646139</v>
      </c>
    </row>
    <row r="896">
      <c r="A896" s="2" t="str">
        <f>IFERROR(__xludf.DUMMYFUNCTION("""COMPUTED_VALUE"""),"For rent")</f>
        <v>For rent</v>
      </c>
      <c r="B896" s="2" t="str">
        <f>IFERROR(__xludf.DUMMYFUNCTION("""COMPUTED_VALUE"""),"centrs")</f>
        <v>centrs</v>
      </c>
      <c r="C896" s="2" t="str">
        <f>IFERROR(__xludf.DUMMYFUNCTION("""COMPUTED_VALUE"""),"Vīlandes 2")</f>
        <v>Vīlandes 2</v>
      </c>
      <c r="D896" s="2">
        <f>IFERROR(__xludf.DUMMYFUNCTION("""COMPUTED_VALUE"""),2.0)</f>
        <v>2</v>
      </c>
      <c r="E896" s="2">
        <f>IFERROR(__xludf.DUMMYFUNCTION("""COMPUTED_VALUE"""),61.0)</f>
        <v>61</v>
      </c>
      <c r="F896" s="2">
        <f>IFERROR(__xludf.DUMMYFUNCTION("""COMPUTED_VALUE"""),5.0)</f>
        <v>5</v>
      </c>
      <c r="G896" s="2">
        <f>IFERROR(__xludf.DUMMYFUNCTION("""COMPUTED_VALUE"""),5.0)</f>
        <v>5</v>
      </c>
      <c r="H896" s="2" t="str">
        <f>IFERROR(__xludf.DUMMYFUNCTION("""COMPUTED_VALUE"""),"Renov.")</f>
        <v>Renov.</v>
      </c>
      <c r="I896" s="2" t="str">
        <f>IFERROR(__xludf.DUMMYFUNCTION("""COMPUTED_VALUE"""),"Masonry")</f>
        <v>Masonry</v>
      </c>
      <c r="J896" s="2" t="str">
        <f>IFERROR(__xludf.DUMMYFUNCTION("""COMPUTED_VALUE"""),"All amenities")</f>
        <v>All amenities</v>
      </c>
      <c r="K896" s="2">
        <f>IFERROR(__xludf.DUMMYFUNCTION("""COMPUTED_VALUE"""),700.0)</f>
        <v>700</v>
      </c>
      <c r="L896" s="2">
        <f>IFERROR(__xludf.DUMMYFUNCTION("""COMPUTED_VALUE"""),56.95920965)</f>
        <v>56.95920965</v>
      </c>
      <c r="M896" s="2">
        <f>IFERROR(__xludf.DUMMYFUNCTION("""COMPUTED_VALUE"""),24.1021573943853)</f>
        <v>24.10215739</v>
      </c>
    </row>
    <row r="897">
      <c r="A897" s="2" t="str">
        <f>IFERROR(__xludf.DUMMYFUNCTION("""COMPUTED_VALUE"""),"For rent")</f>
        <v>For rent</v>
      </c>
      <c r="B897" s="2" t="str">
        <f>IFERROR(__xludf.DUMMYFUNCTION("""COMPUTED_VALUE"""),"centrs")</f>
        <v>centrs</v>
      </c>
      <c r="C897" s="2" t="str">
        <f>IFERROR(__xludf.DUMMYFUNCTION("""COMPUTED_VALUE"""),"Rūpniecības 21")</f>
        <v>Rūpniecības 21</v>
      </c>
      <c r="D897" s="2">
        <f>IFERROR(__xludf.DUMMYFUNCTION("""COMPUTED_VALUE"""),5.0)</f>
        <v>5</v>
      </c>
      <c r="E897" s="2">
        <f>IFERROR(__xludf.DUMMYFUNCTION("""COMPUTED_VALUE"""),161.0)</f>
        <v>161</v>
      </c>
      <c r="F897" s="2">
        <f>IFERROR(__xludf.DUMMYFUNCTION("""COMPUTED_VALUE"""),5.0)</f>
        <v>5</v>
      </c>
      <c r="G897" s="2">
        <f>IFERROR(__xludf.DUMMYFUNCTION("""COMPUTED_VALUE"""),5.0)</f>
        <v>5</v>
      </c>
      <c r="H897" s="2" t="str">
        <f>IFERROR(__xludf.DUMMYFUNCTION("""COMPUTED_VALUE"""),"Jaun.")</f>
        <v>Jaun.</v>
      </c>
      <c r="I897" s="2" t="str">
        <f>IFERROR(__xludf.DUMMYFUNCTION("""COMPUTED_VALUE"""),"Masonry")</f>
        <v>Masonry</v>
      </c>
      <c r="J897" s="2" t="str">
        <f>IFERROR(__xludf.DUMMYFUNCTION("""COMPUTED_VALUE"""),"All amenities")</f>
        <v>All amenities</v>
      </c>
      <c r="K897" s="2">
        <f>IFERROR(__xludf.DUMMYFUNCTION("""COMPUTED_VALUE"""),2200.0)</f>
        <v>2200</v>
      </c>
      <c r="L897" s="2">
        <f>IFERROR(__xludf.DUMMYFUNCTION("""COMPUTED_VALUE"""),56.9660465)</f>
        <v>56.9660465</v>
      </c>
      <c r="M897" s="2">
        <f>IFERROR(__xludf.DUMMYFUNCTION("""COMPUTED_VALUE"""),24.1019662)</f>
        <v>24.1019662</v>
      </c>
    </row>
    <row r="898">
      <c r="A898" s="2" t="str">
        <f>IFERROR(__xludf.DUMMYFUNCTION("""COMPUTED_VALUE"""),"For rent")</f>
        <v>For rent</v>
      </c>
      <c r="B898" s="2" t="str">
        <f>IFERROR(__xludf.DUMMYFUNCTION("""COMPUTED_VALUE"""),"Čiekurkalns")</f>
        <v>Čiekurkalns</v>
      </c>
      <c r="C898" s="2" t="str">
        <f>IFERROR(__xludf.DUMMYFUNCTION("""COMPUTED_VALUE"""),"Čiekurkalna 1. l. 28")</f>
        <v>Čiekurkalna 1. l. 28</v>
      </c>
      <c r="D898" s="2">
        <f>IFERROR(__xludf.DUMMYFUNCTION("""COMPUTED_VALUE"""),2.0)</f>
        <v>2</v>
      </c>
      <c r="E898" s="2">
        <f>IFERROR(__xludf.DUMMYFUNCTION("""COMPUTED_VALUE"""),57.0)</f>
        <v>57</v>
      </c>
      <c r="F898" s="2">
        <f>IFERROR(__xludf.DUMMYFUNCTION("""COMPUTED_VALUE"""),3.0)</f>
        <v>3</v>
      </c>
      <c r="G898" s="2">
        <f>IFERROR(__xludf.DUMMYFUNCTION("""COMPUTED_VALUE"""),3.0)</f>
        <v>3</v>
      </c>
      <c r="H898" s="2" t="str">
        <f>IFERROR(__xludf.DUMMYFUNCTION("""COMPUTED_VALUE"""),"P. kara")</f>
        <v>P. kara</v>
      </c>
      <c r="I898" s="2" t="str">
        <f>IFERROR(__xludf.DUMMYFUNCTION("""COMPUTED_VALUE"""),"Brick")</f>
        <v>Brick</v>
      </c>
      <c r="J898" s="2" t="str">
        <f>IFERROR(__xludf.DUMMYFUNCTION("""COMPUTED_VALUE"""),"Partial amenities")</f>
        <v>Partial amenities</v>
      </c>
      <c r="K898" s="2">
        <f>IFERROR(__xludf.DUMMYFUNCTION("""COMPUTED_VALUE"""),300.0)</f>
        <v>300</v>
      </c>
      <c r="L898" s="2" t="str">
        <f>IFERROR(__xludf.DUMMYFUNCTION("""COMPUTED_VALUE"""),"NaN")</f>
        <v>NaN</v>
      </c>
      <c r="M898" s="2" t="str">
        <f>IFERROR(__xludf.DUMMYFUNCTION("""COMPUTED_VALUE"""),"NaN")</f>
        <v>NaN</v>
      </c>
    </row>
    <row r="899">
      <c r="A899" s="2" t="str">
        <f>IFERROR(__xludf.DUMMYFUNCTION("""COMPUTED_VALUE"""),"For sale")</f>
        <v>For sale</v>
      </c>
      <c r="B899" s="2" t="str">
        <f>IFERROR(__xludf.DUMMYFUNCTION("""COMPUTED_VALUE"""),"centrs")</f>
        <v>centrs</v>
      </c>
      <c r="C899" s="2" t="str">
        <f>IFERROR(__xludf.DUMMYFUNCTION("""COMPUTED_VALUE"""),"Valdemāra 77")</f>
        <v>Valdemāra 77</v>
      </c>
      <c r="D899" s="2">
        <f>IFERROR(__xludf.DUMMYFUNCTION("""COMPUTED_VALUE"""),2.0)</f>
        <v>2</v>
      </c>
      <c r="E899" s="2">
        <f>IFERROR(__xludf.DUMMYFUNCTION("""COMPUTED_VALUE"""),55.0)</f>
        <v>55</v>
      </c>
      <c r="F899" s="2">
        <f>IFERROR(__xludf.DUMMYFUNCTION("""COMPUTED_VALUE"""),3.0)</f>
        <v>3</v>
      </c>
      <c r="G899" s="2">
        <f>IFERROR(__xludf.DUMMYFUNCTION("""COMPUTED_VALUE"""),5.0)</f>
        <v>5</v>
      </c>
      <c r="H899" s="2" t="str">
        <f>IFERROR(__xludf.DUMMYFUNCTION("""COMPUTED_VALUE"""),"P. kara")</f>
        <v>P. kara</v>
      </c>
      <c r="I899" s="2" t="str">
        <f>IFERROR(__xludf.DUMMYFUNCTION("""COMPUTED_VALUE"""),"Masonry")</f>
        <v>Masonry</v>
      </c>
      <c r="J899" s="2" t="str">
        <f>IFERROR(__xludf.DUMMYFUNCTION("""COMPUTED_VALUE"""),"All amenities")</f>
        <v>All amenities</v>
      </c>
      <c r="K899" s="2">
        <f>IFERROR(__xludf.DUMMYFUNCTION("""COMPUTED_VALUE"""),118000.0)</f>
        <v>118000</v>
      </c>
      <c r="L899" s="2">
        <f>IFERROR(__xludf.DUMMYFUNCTION("""COMPUTED_VALUE"""),56.9626669)</f>
        <v>56.9626669</v>
      </c>
      <c r="M899" s="2">
        <f>IFERROR(__xludf.DUMMYFUNCTION("""COMPUTED_VALUE"""),24.1240534)</f>
        <v>24.1240534</v>
      </c>
    </row>
    <row r="900">
      <c r="A900" s="2" t="str">
        <f>IFERROR(__xludf.DUMMYFUNCTION("""COMPUTED_VALUE"""),"For rent")</f>
        <v>For rent</v>
      </c>
      <c r="B900" s="2" t="str">
        <f>IFERROR(__xludf.DUMMYFUNCTION("""COMPUTED_VALUE"""),"centrs")</f>
        <v>centrs</v>
      </c>
      <c r="C900" s="2" t="str">
        <f>IFERROR(__xludf.DUMMYFUNCTION("""COMPUTED_VALUE"""),"Klusā 18")</f>
        <v>Klusā 18</v>
      </c>
      <c r="D900" s="2">
        <f>IFERROR(__xludf.DUMMYFUNCTION("""COMPUTED_VALUE"""),1.0)</f>
        <v>1</v>
      </c>
      <c r="E900" s="2">
        <f>IFERROR(__xludf.DUMMYFUNCTION("""COMPUTED_VALUE"""),16.0)</f>
        <v>16</v>
      </c>
      <c r="F900" s="2">
        <f>IFERROR(__xludf.DUMMYFUNCTION("""COMPUTED_VALUE"""),4.0)</f>
        <v>4</v>
      </c>
      <c r="G900" s="2">
        <f>IFERROR(__xludf.DUMMYFUNCTION("""COMPUTED_VALUE"""),9.0)</f>
        <v>9</v>
      </c>
      <c r="H900" s="2" t="str">
        <f>IFERROR(__xludf.DUMMYFUNCTION("""COMPUTED_VALUE"""),"Renov.")</f>
        <v>Renov.</v>
      </c>
      <c r="I900" s="2" t="str">
        <f>IFERROR(__xludf.DUMMYFUNCTION("""COMPUTED_VALUE"""),"Brick-Panel")</f>
        <v>Brick-Panel</v>
      </c>
      <c r="J900" s="2" t="str">
        <f>IFERROR(__xludf.DUMMYFUNCTION("""COMPUTED_VALUE"""),"All amenities")</f>
        <v>All amenities</v>
      </c>
      <c r="K900" s="2">
        <f>IFERROR(__xludf.DUMMYFUNCTION("""COMPUTED_VALUE"""),230.0)</f>
        <v>230</v>
      </c>
      <c r="L900" s="2">
        <f>IFERROR(__xludf.DUMMYFUNCTION("""COMPUTED_VALUE"""),56.9762119)</f>
        <v>56.9762119</v>
      </c>
      <c r="M900" s="2">
        <f>IFERROR(__xludf.DUMMYFUNCTION("""COMPUTED_VALUE"""),24.1462619497695)</f>
        <v>24.14626195</v>
      </c>
    </row>
    <row r="901">
      <c r="A901" s="2" t="str">
        <f>IFERROR(__xludf.DUMMYFUNCTION("""COMPUTED_VALUE"""),"For sale")</f>
        <v>For sale</v>
      </c>
      <c r="B901" s="2" t="str">
        <f>IFERROR(__xludf.DUMMYFUNCTION("""COMPUTED_VALUE"""),"centrs")</f>
        <v>centrs</v>
      </c>
      <c r="C901" s="2" t="str">
        <f>IFERROR(__xludf.DUMMYFUNCTION("""COMPUTED_VALUE"""),"Tomsona 42")</f>
        <v>Tomsona 42</v>
      </c>
      <c r="D901" s="2">
        <f>IFERROR(__xludf.DUMMYFUNCTION("""COMPUTED_VALUE"""),3.0)</f>
        <v>3</v>
      </c>
      <c r="E901" s="2">
        <f>IFERROR(__xludf.DUMMYFUNCTION("""COMPUTED_VALUE"""),54.0)</f>
        <v>54</v>
      </c>
      <c r="F901" s="2">
        <f>IFERROR(__xludf.DUMMYFUNCTION("""COMPUTED_VALUE"""),5.0)</f>
        <v>5</v>
      </c>
      <c r="G901" s="2">
        <f>IFERROR(__xludf.DUMMYFUNCTION("""COMPUTED_VALUE"""),5.0)</f>
        <v>5</v>
      </c>
      <c r="H901" s="2" t="str">
        <f>IFERROR(__xludf.DUMMYFUNCTION("""COMPUTED_VALUE"""),"Hrušč.")</f>
        <v>Hrušč.</v>
      </c>
      <c r="I901" s="2" t="str">
        <f>IFERROR(__xludf.DUMMYFUNCTION("""COMPUTED_VALUE"""),"Brick")</f>
        <v>Brick</v>
      </c>
      <c r="J901" s="2" t="str">
        <f>IFERROR(__xludf.DUMMYFUNCTION("""COMPUTED_VALUE"""),"All amenities")</f>
        <v>All amenities</v>
      </c>
      <c r="K901" s="2">
        <f>IFERROR(__xludf.DUMMYFUNCTION("""COMPUTED_VALUE"""),70000.0)</f>
        <v>70000</v>
      </c>
      <c r="L901" s="2">
        <f>IFERROR(__xludf.DUMMYFUNCTION("""COMPUTED_VALUE"""),56.96867625)</f>
        <v>56.96867625</v>
      </c>
      <c r="M901" s="2">
        <f>IFERROR(__xludf.DUMMYFUNCTION("""COMPUTED_VALUE"""),24.13004095)</f>
        <v>24.13004095</v>
      </c>
    </row>
    <row r="902">
      <c r="A902" s="2" t="str">
        <f>IFERROR(__xludf.DUMMYFUNCTION("""COMPUTED_VALUE"""),"For rent")</f>
        <v>For rent</v>
      </c>
      <c r="B902" s="2" t="str">
        <f>IFERROR(__xludf.DUMMYFUNCTION("""COMPUTED_VALUE"""),"centrs")</f>
        <v>centrs</v>
      </c>
      <c r="C902" s="2" t="str">
        <f>IFERROR(__xludf.DUMMYFUNCTION("""COMPUTED_VALUE"""),"Elizabetes 2a")</f>
        <v>Elizabetes 2a</v>
      </c>
      <c r="D902" s="2">
        <f>IFERROR(__xludf.DUMMYFUNCTION("""COMPUTED_VALUE"""),4.0)</f>
        <v>4</v>
      </c>
      <c r="E902" s="2">
        <f>IFERROR(__xludf.DUMMYFUNCTION("""COMPUTED_VALUE"""),95.0)</f>
        <v>95</v>
      </c>
      <c r="F902" s="2">
        <f>IFERROR(__xludf.DUMMYFUNCTION("""COMPUTED_VALUE"""),3.0)</f>
        <v>3</v>
      </c>
      <c r="G902" s="2">
        <f>IFERROR(__xludf.DUMMYFUNCTION("""COMPUTED_VALUE"""),5.0)</f>
        <v>5</v>
      </c>
      <c r="H902" s="2" t="str">
        <f>IFERROR(__xludf.DUMMYFUNCTION("""COMPUTED_VALUE"""),"P. kara")</f>
        <v>P. kara</v>
      </c>
      <c r="I902" s="2" t="str">
        <f>IFERROR(__xludf.DUMMYFUNCTION("""COMPUTED_VALUE"""),"Brick")</f>
        <v>Brick</v>
      </c>
      <c r="J902" s="2" t="str">
        <f>IFERROR(__xludf.DUMMYFUNCTION("""COMPUTED_VALUE"""),"All amenities")</f>
        <v>All amenities</v>
      </c>
      <c r="K902" s="2">
        <f>IFERROR(__xludf.DUMMYFUNCTION("""COMPUTED_VALUE"""),600.0)</f>
        <v>600</v>
      </c>
      <c r="L902" s="2">
        <f>IFERROR(__xludf.DUMMYFUNCTION("""COMPUTED_VALUE"""),56.9581254)</f>
        <v>56.9581254</v>
      </c>
      <c r="M902" s="2">
        <f>IFERROR(__xludf.DUMMYFUNCTION("""COMPUTED_VALUE"""),24.108049781514)</f>
        <v>24.10804978</v>
      </c>
    </row>
    <row r="903">
      <c r="A903" s="2" t="str">
        <f>IFERROR(__xludf.DUMMYFUNCTION("""COMPUTED_VALUE"""),"For rent")</f>
        <v>For rent</v>
      </c>
      <c r="B903" s="2" t="str">
        <f>IFERROR(__xludf.DUMMYFUNCTION("""COMPUTED_VALUE"""),"Ķengarags")</f>
        <v>Ķengarags</v>
      </c>
      <c r="C903" s="2" t="str">
        <f>IFERROR(__xludf.DUMMYFUNCTION("""COMPUTED_VALUE"""),"Maskavas 315")</f>
        <v>Maskavas 315</v>
      </c>
      <c r="D903" s="2">
        <f>IFERROR(__xludf.DUMMYFUNCTION("""COMPUTED_VALUE"""),1.0)</f>
        <v>1</v>
      </c>
      <c r="E903" s="2">
        <f>IFERROR(__xludf.DUMMYFUNCTION("""COMPUTED_VALUE"""),35.0)</f>
        <v>35</v>
      </c>
      <c r="F903" s="2">
        <f>IFERROR(__xludf.DUMMYFUNCTION("""COMPUTED_VALUE"""),1.0)</f>
        <v>1</v>
      </c>
      <c r="G903" s="2">
        <f>IFERROR(__xludf.DUMMYFUNCTION("""COMPUTED_VALUE"""),12.0)</f>
        <v>12</v>
      </c>
      <c r="H903" s="2" t="str">
        <f>IFERROR(__xludf.DUMMYFUNCTION("""COMPUTED_VALUE"""),"Čehu pr.")</f>
        <v>Čehu pr.</v>
      </c>
      <c r="I903" s="2" t="str">
        <f>IFERROR(__xludf.DUMMYFUNCTION("""COMPUTED_VALUE"""),"Brick")</f>
        <v>Brick</v>
      </c>
      <c r="J903" s="2" t="str">
        <f>IFERROR(__xludf.DUMMYFUNCTION("""COMPUTED_VALUE"""),"All amenities")</f>
        <v>All amenities</v>
      </c>
      <c r="K903" s="2">
        <f>IFERROR(__xludf.DUMMYFUNCTION("""COMPUTED_VALUE"""),250.0)</f>
        <v>250</v>
      </c>
      <c r="L903" s="2">
        <f>IFERROR(__xludf.DUMMYFUNCTION("""COMPUTED_VALUE"""),56.8597884)</f>
        <v>56.8597884</v>
      </c>
      <c r="M903" s="2">
        <f>IFERROR(__xludf.DUMMYFUNCTION("""COMPUTED_VALUE"""),24.3083417)</f>
        <v>24.3083417</v>
      </c>
    </row>
    <row r="904">
      <c r="A904" s="2" t="str">
        <f>IFERROR(__xludf.DUMMYFUNCTION("""COMPUTED_VALUE"""),"For sale")</f>
        <v>For sale</v>
      </c>
      <c r="B904" s="2" t="str">
        <f>IFERROR(__xludf.DUMMYFUNCTION("""COMPUTED_VALUE"""),"Purvciems")</f>
        <v>Purvciems</v>
      </c>
      <c r="C904" s="2" t="str">
        <f>IFERROR(__xludf.DUMMYFUNCTION("""COMPUTED_VALUE"""),"Ilūkstes 42")</f>
        <v>Ilūkstes 42</v>
      </c>
      <c r="D904" s="2">
        <f>IFERROR(__xludf.DUMMYFUNCTION("""COMPUTED_VALUE"""),3.0)</f>
        <v>3</v>
      </c>
      <c r="E904" s="2">
        <f>IFERROR(__xludf.DUMMYFUNCTION("""COMPUTED_VALUE"""),83.0)</f>
        <v>83</v>
      </c>
      <c r="F904" s="2">
        <f>IFERROR(__xludf.DUMMYFUNCTION("""COMPUTED_VALUE"""),8.0)</f>
        <v>8</v>
      </c>
      <c r="G904" s="2">
        <f>IFERROR(__xludf.DUMMYFUNCTION("""COMPUTED_VALUE"""),9.0)</f>
        <v>9</v>
      </c>
      <c r="H904" s="2">
        <f>IFERROR(__xludf.DUMMYFUNCTION("""COMPUTED_VALUE"""),119.0)</f>
        <v>119</v>
      </c>
      <c r="I904" s="2" t="str">
        <f>IFERROR(__xludf.DUMMYFUNCTION("""COMPUTED_VALUE"""),"Panel")</f>
        <v>Panel</v>
      </c>
      <c r="J904" s="2" t="str">
        <f>IFERROR(__xludf.DUMMYFUNCTION("""COMPUTED_VALUE"""),"All amenities")</f>
        <v>All amenities</v>
      </c>
      <c r="K904" s="2">
        <f>IFERROR(__xludf.DUMMYFUNCTION("""COMPUTED_VALUE"""),73500.0)</f>
        <v>73500</v>
      </c>
      <c r="L904" s="2">
        <f>IFERROR(__xludf.DUMMYFUNCTION("""COMPUTED_VALUE"""),56.9486850499999)</f>
        <v>56.94868505</v>
      </c>
      <c r="M904" s="2">
        <f>IFERROR(__xludf.DUMMYFUNCTION("""COMPUTED_VALUE"""),24.19807115)</f>
        <v>24.19807115</v>
      </c>
    </row>
    <row r="905">
      <c r="A905" s="2" t="str">
        <f>IFERROR(__xludf.DUMMYFUNCTION("""COMPUTED_VALUE"""),"For sale")</f>
        <v>For sale</v>
      </c>
      <c r="B905" s="2" t="str">
        <f>IFERROR(__xludf.DUMMYFUNCTION("""COMPUTED_VALUE"""),"Imanta")</f>
        <v>Imanta</v>
      </c>
      <c r="C905" s="2" t="str">
        <f>IFERROR(__xludf.DUMMYFUNCTION("""COMPUTED_VALUE"""),"M. Krūmu 10")</f>
        <v>M. Krūmu 10</v>
      </c>
      <c r="D905" s="2">
        <f>IFERROR(__xludf.DUMMYFUNCTION("""COMPUTED_VALUE"""),2.0)</f>
        <v>2</v>
      </c>
      <c r="E905" s="2">
        <f>IFERROR(__xludf.DUMMYFUNCTION("""COMPUTED_VALUE"""),50.0)</f>
        <v>50</v>
      </c>
      <c r="F905" s="2">
        <f>IFERROR(__xludf.DUMMYFUNCTION("""COMPUTED_VALUE"""),3.0)</f>
        <v>3</v>
      </c>
      <c r="G905" s="2">
        <f>IFERROR(__xludf.DUMMYFUNCTION("""COMPUTED_VALUE"""),9.0)</f>
        <v>9</v>
      </c>
      <c r="H905" s="2">
        <f>IFERROR(__xludf.DUMMYFUNCTION("""COMPUTED_VALUE"""),602.0)</f>
        <v>602</v>
      </c>
      <c r="I905" s="2" t="str">
        <f>IFERROR(__xludf.DUMMYFUNCTION("""COMPUTED_VALUE"""),"Panel")</f>
        <v>Panel</v>
      </c>
      <c r="J905" s="2" t="str">
        <f>IFERROR(__xludf.DUMMYFUNCTION("""COMPUTED_VALUE"""),"All amenities")</f>
        <v>All amenities</v>
      </c>
      <c r="K905" s="2">
        <f>IFERROR(__xludf.DUMMYFUNCTION("""COMPUTED_VALUE"""),53500.0)</f>
        <v>53500</v>
      </c>
      <c r="L905" s="2">
        <f>IFERROR(__xludf.DUMMYFUNCTION("""COMPUTED_VALUE"""),56.95924615)</f>
        <v>56.95924615</v>
      </c>
      <c r="M905" s="2">
        <f>IFERROR(__xludf.DUMMYFUNCTION("""COMPUTED_VALUE"""),24.0038878)</f>
        <v>24.0038878</v>
      </c>
    </row>
    <row r="906">
      <c r="A906" s="2" t="str">
        <f>IFERROR(__xludf.DUMMYFUNCTION("""COMPUTED_VALUE"""),"For rent")</f>
        <v>For rent</v>
      </c>
      <c r="B906" s="2" t="str">
        <f>IFERROR(__xludf.DUMMYFUNCTION("""COMPUTED_VALUE"""),"Āgenskalns")</f>
        <v>Āgenskalns</v>
      </c>
      <c r="C906" s="2" t="str">
        <f>IFERROR(__xludf.DUMMYFUNCTION("""COMPUTED_VALUE"""),"Vīlipa 12")</f>
        <v>Vīlipa 12</v>
      </c>
      <c r="D906" s="2">
        <f>IFERROR(__xludf.DUMMYFUNCTION("""COMPUTED_VALUE"""),1.0)</f>
        <v>1</v>
      </c>
      <c r="E906" s="2">
        <f>IFERROR(__xludf.DUMMYFUNCTION("""COMPUTED_VALUE"""),49.0)</f>
        <v>49</v>
      </c>
      <c r="F906" s="2">
        <f>IFERROR(__xludf.DUMMYFUNCTION("""COMPUTED_VALUE"""),3.0)</f>
        <v>3</v>
      </c>
      <c r="G906" s="2">
        <f>IFERROR(__xludf.DUMMYFUNCTION("""COMPUTED_VALUE"""),7.0)</f>
        <v>7</v>
      </c>
      <c r="H906" s="2" t="str">
        <f>IFERROR(__xludf.DUMMYFUNCTION("""COMPUTED_VALUE"""),"Jaun.")</f>
        <v>Jaun.</v>
      </c>
      <c r="I906" s="2" t="str">
        <f>IFERROR(__xludf.DUMMYFUNCTION("""COMPUTED_VALUE"""),"Panel-Brick")</f>
        <v>Panel-Brick</v>
      </c>
      <c r="J906" s="2" t="str">
        <f>IFERROR(__xludf.DUMMYFUNCTION("""COMPUTED_VALUE"""),"All amenities")</f>
        <v>All amenities</v>
      </c>
      <c r="K906" s="2">
        <f>IFERROR(__xludf.DUMMYFUNCTION("""COMPUTED_VALUE"""),290.0)</f>
        <v>290</v>
      </c>
      <c r="L906" s="2">
        <f>IFERROR(__xludf.DUMMYFUNCTION("""COMPUTED_VALUE"""),56.94825305)</f>
        <v>56.94825305</v>
      </c>
      <c r="M906" s="2">
        <f>IFERROR(__xludf.DUMMYFUNCTION("""COMPUTED_VALUE"""),24.0553285635443)</f>
        <v>24.05532856</v>
      </c>
    </row>
    <row r="907">
      <c r="A907" s="2" t="str">
        <f>IFERROR(__xludf.DUMMYFUNCTION("""COMPUTED_VALUE"""),"For rent")</f>
        <v>For rent</v>
      </c>
      <c r="B907" s="2" t="str">
        <f>IFERROR(__xludf.DUMMYFUNCTION("""COMPUTED_VALUE"""),"Imanta")</f>
        <v>Imanta</v>
      </c>
      <c r="C907" s="2" t="str">
        <f>IFERROR(__xludf.DUMMYFUNCTION("""COMPUTED_VALUE"""),"Rigondas g. 3")</f>
        <v>Rigondas g. 3</v>
      </c>
      <c r="D907" s="2">
        <f>IFERROR(__xludf.DUMMYFUNCTION("""COMPUTED_VALUE"""),2.0)</f>
        <v>2</v>
      </c>
      <c r="E907" s="2">
        <f>IFERROR(__xludf.DUMMYFUNCTION("""COMPUTED_VALUE"""),46.0)</f>
        <v>46</v>
      </c>
      <c r="F907" s="2">
        <f>IFERROR(__xludf.DUMMYFUNCTION("""COMPUTED_VALUE"""),6.0)</f>
        <v>6</v>
      </c>
      <c r="G907" s="2">
        <f>IFERROR(__xludf.DUMMYFUNCTION("""COMPUTED_VALUE"""),12.0)</f>
        <v>12</v>
      </c>
      <c r="H907" s="2" t="str">
        <f>IFERROR(__xludf.DUMMYFUNCTION("""COMPUTED_VALUE"""),"Čehu pr.")</f>
        <v>Čehu pr.</v>
      </c>
      <c r="I907" s="2" t="str">
        <f>IFERROR(__xludf.DUMMYFUNCTION("""COMPUTED_VALUE"""),"Brick-Panel")</f>
        <v>Brick-Panel</v>
      </c>
      <c r="J907" s="2" t="str">
        <f>IFERROR(__xludf.DUMMYFUNCTION("""COMPUTED_VALUE"""),"All amenities")</f>
        <v>All amenities</v>
      </c>
      <c r="K907" s="2">
        <f>IFERROR(__xludf.DUMMYFUNCTION("""COMPUTED_VALUE"""),450.0)</f>
        <v>450</v>
      </c>
      <c r="L907" s="2">
        <f>IFERROR(__xludf.DUMMYFUNCTION("""COMPUTED_VALUE"""),56.9648157)</f>
        <v>56.9648157</v>
      </c>
      <c r="M907" s="2">
        <f>IFERROR(__xludf.DUMMYFUNCTION("""COMPUTED_VALUE"""),24.0190534)</f>
        <v>24.0190534</v>
      </c>
    </row>
    <row r="908">
      <c r="A908" s="2" t="str">
        <f>IFERROR(__xludf.DUMMYFUNCTION("""COMPUTED_VALUE"""),"For rent")</f>
        <v>For rent</v>
      </c>
      <c r="B908" s="2" t="str">
        <f>IFERROR(__xludf.DUMMYFUNCTION("""COMPUTED_VALUE"""),"Jugla")</f>
        <v>Jugla</v>
      </c>
      <c r="C908" s="2" t="str">
        <f>IFERROR(__xludf.DUMMYFUNCTION("""COMPUTED_VALUE"""),"Ūdeļu 29")</f>
        <v>Ūdeļu 29</v>
      </c>
      <c r="D908" s="2">
        <f>IFERROR(__xludf.DUMMYFUNCTION("""COMPUTED_VALUE"""),2.0)</f>
        <v>2</v>
      </c>
      <c r="E908" s="2">
        <f>IFERROR(__xludf.DUMMYFUNCTION("""COMPUTED_VALUE"""),47.0)</f>
        <v>47</v>
      </c>
      <c r="F908" s="2">
        <f>IFERROR(__xludf.DUMMYFUNCTION("""COMPUTED_VALUE"""),5.0)</f>
        <v>5</v>
      </c>
      <c r="G908" s="2">
        <f>IFERROR(__xludf.DUMMYFUNCTION("""COMPUTED_VALUE"""),5.0)</f>
        <v>5</v>
      </c>
      <c r="H908" s="2">
        <f>IFERROR(__xludf.DUMMYFUNCTION("""COMPUTED_VALUE"""),103.0)</f>
        <v>103</v>
      </c>
      <c r="I908" s="2" t="str">
        <f>IFERROR(__xludf.DUMMYFUNCTION("""COMPUTED_VALUE"""),"Brick-Panel")</f>
        <v>Brick-Panel</v>
      </c>
      <c r="J908" s="2" t="str">
        <f>IFERROR(__xludf.DUMMYFUNCTION("""COMPUTED_VALUE"""),"All amenities")</f>
        <v>All amenities</v>
      </c>
      <c r="K908" s="2">
        <f>IFERROR(__xludf.DUMMYFUNCTION("""COMPUTED_VALUE"""),300.0)</f>
        <v>300</v>
      </c>
      <c r="L908" s="2">
        <f>IFERROR(__xludf.DUMMYFUNCTION("""COMPUTED_VALUE"""),56.9768119)</f>
        <v>56.9768119</v>
      </c>
      <c r="M908" s="2">
        <f>IFERROR(__xludf.DUMMYFUNCTION("""COMPUTED_VALUE"""),24.2640040549247)</f>
        <v>24.26400405</v>
      </c>
    </row>
    <row r="909">
      <c r="A909" s="2" t="str">
        <f>IFERROR(__xludf.DUMMYFUNCTION("""COMPUTED_VALUE"""),"For sale")</f>
        <v>For sale</v>
      </c>
      <c r="B909" s="2" t="str">
        <f>IFERROR(__xludf.DUMMYFUNCTION("""COMPUTED_VALUE"""),"centrs")</f>
        <v>centrs</v>
      </c>
      <c r="C909" s="2" t="str">
        <f>IFERROR(__xludf.DUMMYFUNCTION("""COMPUTED_VALUE"""),"Klusā 18")</f>
        <v>Klusā 18</v>
      </c>
      <c r="D909" s="2">
        <f>IFERROR(__xludf.DUMMYFUNCTION("""COMPUTED_VALUE"""),3.0)</f>
        <v>3</v>
      </c>
      <c r="E909" s="2">
        <f>IFERROR(__xludf.DUMMYFUNCTION("""COMPUTED_VALUE"""),47.0)</f>
        <v>47</v>
      </c>
      <c r="F909" s="2">
        <f>IFERROR(__xludf.DUMMYFUNCTION("""COMPUTED_VALUE"""),9.0)</f>
        <v>9</v>
      </c>
      <c r="G909" s="2">
        <f>IFERROR(__xludf.DUMMYFUNCTION("""COMPUTED_VALUE"""),9.0)</f>
        <v>9</v>
      </c>
      <c r="H909" s="2" t="str">
        <f>IFERROR(__xludf.DUMMYFUNCTION("""COMPUTED_VALUE"""),"Renov.")</f>
        <v>Renov.</v>
      </c>
      <c r="I909" s="2" t="str">
        <f>IFERROR(__xludf.DUMMYFUNCTION("""COMPUTED_VALUE"""),"Masonry")</f>
        <v>Masonry</v>
      </c>
      <c r="J909" s="2" t="str">
        <f>IFERROR(__xludf.DUMMYFUNCTION("""COMPUTED_VALUE"""),"All amenities")</f>
        <v>All amenities</v>
      </c>
      <c r="K909" s="2">
        <f>IFERROR(__xludf.DUMMYFUNCTION("""COMPUTED_VALUE"""),97000.0)</f>
        <v>97000</v>
      </c>
      <c r="L909" s="2">
        <f>IFERROR(__xludf.DUMMYFUNCTION("""COMPUTED_VALUE"""),56.9762119)</f>
        <v>56.9762119</v>
      </c>
      <c r="M909" s="2">
        <f>IFERROR(__xludf.DUMMYFUNCTION("""COMPUTED_VALUE"""),24.1462619497695)</f>
        <v>24.14626195</v>
      </c>
    </row>
    <row r="910">
      <c r="A910" s="2" t="str">
        <f>IFERROR(__xludf.DUMMYFUNCTION("""COMPUTED_VALUE"""),"For sale")</f>
        <v>For sale</v>
      </c>
      <c r="B910" s="2" t="str">
        <f>IFERROR(__xludf.DUMMYFUNCTION("""COMPUTED_VALUE"""),"centrs")</f>
        <v>centrs</v>
      </c>
      <c r="C910" s="2" t="str">
        <f>IFERROR(__xludf.DUMMYFUNCTION("""COMPUTED_VALUE"""),"Hospitāļu 7")</f>
        <v>Hospitāļu 7</v>
      </c>
      <c r="D910" s="2">
        <f>IFERROR(__xludf.DUMMYFUNCTION("""COMPUTED_VALUE"""),1.0)</f>
        <v>1</v>
      </c>
      <c r="E910" s="2">
        <f>IFERROR(__xludf.DUMMYFUNCTION("""COMPUTED_VALUE"""),35.0)</f>
        <v>35</v>
      </c>
      <c r="F910" s="2">
        <f>IFERROR(__xludf.DUMMYFUNCTION("""COMPUTED_VALUE"""),2.0)</f>
        <v>2</v>
      </c>
      <c r="G910" s="2">
        <f>IFERROR(__xludf.DUMMYFUNCTION("""COMPUTED_VALUE"""),5.0)</f>
        <v>5</v>
      </c>
      <c r="H910" s="2" t="str">
        <f>IFERROR(__xludf.DUMMYFUNCTION("""COMPUTED_VALUE"""),"Specpr.")</f>
        <v>Specpr.</v>
      </c>
      <c r="I910" s="2" t="str">
        <f>IFERROR(__xludf.DUMMYFUNCTION("""COMPUTED_VALUE"""),"Brick-Panel")</f>
        <v>Brick-Panel</v>
      </c>
      <c r="J910" s="2" t="str">
        <f>IFERROR(__xludf.DUMMYFUNCTION("""COMPUTED_VALUE"""),"All amenities")</f>
        <v>All amenities</v>
      </c>
      <c r="K910" s="2">
        <f>IFERROR(__xludf.DUMMYFUNCTION("""COMPUTED_VALUE"""),44900.0)</f>
        <v>44900</v>
      </c>
      <c r="L910" s="2">
        <f>IFERROR(__xludf.DUMMYFUNCTION("""COMPUTED_VALUE"""),56.9702595)</f>
        <v>56.9702595</v>
      </c>
      <c r="M910" s="2">
        <f>IFERROR(__xludf.DUMMYFUNCTION("""COMPUTED_VALUE"""),24.1355050276166)</f>
        <v>24.13550503</v>
      </c>
    </row>
    <row r="911">
      <c r="A911" s="2" t="str">
        <f>IFERROR(__xludf.DUMMYFUNCTION("""COMPUTED_VALUE"""),"For sale")</f>
        <v>For sale</v>
      </c>
      <c r="B911" s="2" t="str">
        <f>IFERROR(__xludf.DUMMYFUNCTION("""COMPUTED_VALUE"""),"Dzegužkalns")</f>
        <v>Dzegužkalns</v>
      </c>
      <c r="C911" s="2" t="str">
        <f>IFERROR(__xludf.DUMMYFUNCTION("""COMPUTED_VALUE"""),"Dzirciema 71")</f>
        <v>Dzirciema 71</v>
      </c>
      <c r="D911" s="2">
        <f>IFERROR(__xludf.DUMMYFUNCTION("""COMPUTED_VALUE"""),2.0)</f>
        <v>2</v>
      </c>
      <c r="E911" s="2">
        <f>IFERROR(__xludf.DUMMYFUNCTION("""COMPUTED_VALUE"""),51.0)</f>
        <v>51</v>
      </c>
      <c r="F911" s="2">
        <f>IFERROR(__xludf.DUMMYFUNCTION("""COMPUTED_VALUE"""),7.0)</f>
        <v>7</v>
      </c>
      <c r="G911" s="2">
        <f>IFERROR(__xludf.DUMMYFUNCTION("""COMPUTED_VALUE"""),9.0)</f>
        <v>9</v>
      </c>
      <c r="H911" s="2">
        <f>IFERROR(__xludf.DUMMYFUNCTION("""COMPUTED_VALUE"""),602.0)</f>
        <v>602</v>
      </c>
      <c r="I911" s="2" t="str">
        <f>IFERROR(__xludf.DUMMYFUNCTION("""COMPUTED_VALUE"""),"Panel")</f>
        <v>Panel</v>
      </c>
      <c r="J911" s="2" t="str">
        <f>IFERROR(__xludf.DUMMYFUNCTION("""COMPUTED_VALUE"""),"All amenities")</f>
        <v>All amenities</v>
      </c>
      <c r="K911" s="2">
        <f>IFERROR(__xludf.DUMMYFUNCTION("""COMPUTED_VALUE"""),42900.0)</f>
        <v>42900</v>
      </c>
      <c r="L911" s="2">
        <f>IFERROR(__xludf.DUMMYFUNCTION("""COMPUTED_VALUE"""),56.96512045)</f>
        <v>56.96512045</v>
      </c>
      <c r="M911" s="2">
        <f>IFERROR(__xludf.DUMMYFUNCTION("""COMPUTED_VALUE"""),24.0549828893368)</f>
        <v>24.05498289</v>
      </c>
    </row>
    <row r="912">
      <c r="A912" s="2" t="str">
        <f>IFERROR(__xludf.DUMMYFUNCTION("""COMPUTED_VALUE"""),"For sale")</f>
        <v>For sale</v>
      </c>
      <c r="B912" s="2" t="str">
        <f>IFERROR(__xludf.DUMMYFUNCTION("""COMPUTED_VALUE"""),"Zolitūde")</f>
        <v>Zolitūde</v>
      </c>
      <c r="C912" s="2" t="str">
        <f>IFERROR(__xludf.DUMMYFUNCTION("""COMPUTED_VALUE"""),"Rostokas 56")</f>
        <v>Rostokas 56</v>
      </c>
      <c r="D912" s="2">
        <f>IFERROR(__xludf.DUMMYFUNCTION("""COMPUTED_VALUE"""),2.0)</f>
        <v>2</v>
      </c>
      <c r="E912" s="2">
        <f>IFERROR(__xludf.DUMMYFUNCTION("""COMPUTED_VALUE"""),51.0)</f>
        <v>51</v>
      </c>
      <c r="F912" s="2">
        <f>IFERROR(__xludf.DUMMYFUNCTION("""COMPUTED_VALUE"""),1.0)</f>
        <v>1</v>
      </c>
      <c r="G912" s="2">
        <f>IFERROR(__xludf.DUMMYFUNCTION("""COMPUTED_VALUE"""),9.0)</f>
        <v>9</v>
      </c>
      <c r="H912" s="2">
        <f>IFERROR(__xludf.DUMMYFUNCTION("""COMPUTED_VALUE"""),119.0)</f>
        <v>119</v>
      </c>
      <c r="I912" s="2" t="str">
        <f>IFERROR(__xludf.DUMMYFUNCTION("""COMPUTED_VALUE"""),"Panel")</f>
        <v>Panel</v>
      </c>
      <c r="J912" s="2" t="str">
        <f>IFERROR(__xludf.DUMMYFUNCTION("""COMPUTED_VALUE"""),"All amenities")</f>
        <v>All amenities</v>
      </c>
      <c r="K912" s="2">
        <f>IFERROR(__xludf.DUMMYFUNCTION("""COMPUTED_VALUE"""),51000.0)</f>
        <v>51000</v>
      </c>
      <c r="L912" s="2">
        <f>IFERROR(__xludf.DUMMYFUNCTION("""COMPUTED_VALUE"""),54.1436099999999)</f>
        <v>54.14361</v>
      </c>
      <c r="M912" s="2">
        <f>IFERROR(__xludf.DUMMYFUNCTION("""COMPUTED_VALUE"""),12.05044145)</f>
        <v>12.05044145</v>
      </c>
    </row>
    <row r="913">
      <c r="A913" s="2" t="str">
        <f>IFERROR(__xludf.DUMMYFUNCTION("""COMPUTED_VALUE"""),"For rent")</f>
        <v>For rent</v>
      </c>
      <c r="B913" s="2" t="str">
        <f>IFERROR(__xludf.DUMMYFUNCTION("""COMPUTED_VALUE"""),"Bolderāja")</f>
        <v>Bolderāja</v>
      </c>
      <c r="C913" s="2" t="str">
        <f>IFERROR(__xludf.DUMMYFUNCTION("""COMPUTED_VALUE"""),"Platā 22")</f>
        <v>Platā 22</v>
      </c>
      <c r="D913" s="2">
        <f>IFERROR(__xludf.DUMMYFUNCTION("""COMPUTED_VALUE"""),1.0)</f>
        <v>1</v>
      </c>
      <c r="E913" s="2">
        <f>IFERROR(__xludf.DUMMYFUNCTION("""COMPUTED_VALUE"""),40.0)</f>
        <v>40</v>
      </c>
      <c r="F913" s="2">
        <f>IFERROR(__xludf.DUMMYFUNCTION("""COMPUTED_VALUE"""),7.0)</f>
        <v>7</v>
      </c>
      <c r="G913" s="2">
        <f>IFERROR(__xludf.DUMMYFUNCTION("""COMPUTED_VALUE"""),9.0)</f>
        <v>9</v>
      </c>
      <c r="H913" s="2" t="str">
        <f>IFERROR(__xludf.DUMMYFUNCTION("""COMPUTED_VALUE"""),"Specpr.")</f>
        <v>Specpr.</v>
      </c>
      <c r="I913" s="2" t="str">
        <f>IFERROR(__xludf.DUMMYFUNCTION("""COMPUTED_VALUE"""),"Brick")</f>
        <v>Brick</v>
      </c>
      <c r="J913" s="2" t="str">
        <f>IFERROR(__xludf.DUMMYFUNCTION("""COMPUTED_VALUE"""),"All amenities")</f>
        <v>All amenities</v>
      </c>
      <c r="K913" s="2">
        <f>IFERROR(__xludf.DUMMYFUNCTION("""COMPUTED_VALUE"""),250.0)</f>
        <v>250</v>
      </c>
      <c r="L913" s="2">
        <f>IFERROR(__xludf.DUMMYFUNCTION("""COMPUTED_VALUE"""),57.0280131)</f>
        <v>57.0280131</v>
      </c>
      <c r="M913" s="2">
        <f>IFERROR(__xludf.DUMMYFUNCTION("""COMPUTED_VALUE"""),24.0412216)</f>
        <v>24.0412216</v>
      </c>
    </row>
    <row r="914">
      <c r="A914" s="2" t="str">
        <f>IFERROR(__xludf.DUMMYFUNCTION("""COMPUTED_VALUE"""),"For sale")</f>
        <v>For sale</v>
      </c>
      <c r="B914" s="2" t="str">
        <f>IFERROR(__xludf.DUMMYFUNCTION("""COMPUTED_VALUE"""),"Ķengarags")</f>
        <v>Ķengarags</v>
      </c>
      <c r="C914" s="2" t="str">
        <f>IFERROR(__xludf.DUMMYFUNCTION("""COMPUTED_VALUE"""),"Višķu 13")</f>
        <v>Višķu 13</v>
      </c>
      <c r="D914" s="2">
        <f>IFERROR(__xludf.DUMMYFUNCTION("""COMPUTED_VALUE"""),1.0)</f>
        <v>1</v>
      </c>
      <c r="E914" s="2">
        <f>IFERROR(__xludf.DUMMYFUNCTION("""COMPUTED_VALUE"""),31.0)</f>
        <v>31</v>
      </c>
      <c r="F914" s="2">
        <f>IFERROR(__xludf.DUMMYFUNCTION("""COMPUTED_VALUE"""),2.0)</f>
        <v>2</v>
      </c>
      <c r="G914" s="2">
        <f>IFERROR(__xludf.DUMMYFUNCTION("""COMPUTED_VALUE"""),5.0)</f>
        <v>5</v>
      </c>
      <c r="H914" s="2" t="str">
        <f>IFERROR(__xludf.DUMMYFUNCTION("""COMPUTED_VALUE"""),"LT proj.")</f>
        <v>LT proj.</v>
      </c>
      <c r="I914" s="2" t="str">
        <f>IFERROR(__xludf.DUMMYFUNCTION("""COMPUTED_VALUE"""),"Panel")</f>
        <v>Panel</v>
      </c>
      <c r="J914" s="2" t="str">
        <f>IFERROR(__xludf.DUMMYFUNCTION("""COMPUTED_VALUE"""),"All amenities")</f>
        <v>All amenities</v>
      </c>
      <c r="K914" s="2">
        <f>IFERROR(__xludf.DUMMYFUNCTION("""COMPUTED_VALUE"""),33550.0)</f>
        <v>33550</v>
      </c>
      <c r="L914" s="2">
        <f>IFERROR(__xludf.DUMMYFUNCTION("""COMPUTED_VALUE"""),56.8999122)</f>
        <v>56.8999122</v>
      </c>
      <c r="M914" s="2">
        <f>IFERROR(__xludf.DUMMYFUNCTION("""COMPUTED_VALUE"""),24.2124101)</f>
        <v>24.2124101</v>
      </c>
    </row>
    <row r="915">
      <c r="A915" s="2" t="str">
        <f>IFERROR(__xludf.DUMMYFUNCTION("""COMPUTED_VALUE"""),"For sale")</f>
        <v>For sale</v>
      </c>
      <c r="B915" s="2" t="str">
        <f>IFERROR(__xludf.DUMMYFUNCTION("""COMPUTED_VALUE"""),"Jugla")</f>
        <v>Jugla</v>
      </c>
      <c r="C915" s="2" t="str">
        <f>IFERROR(__xludf.DUMMYFUNCTION("""COMPUTED_VALUE"""),"Lorupes 4")</f>
        <v>Lorupes 4</v>
      </c>
      <c r="D915" s="2">
        <f>IFERROR(__xludf.DUMMYFUNCTION("""COMPUTED_VALUE"""),1.0)</f>
        <v>1</v>
      </c>
      <c r="E915" s="2">
        <f>IFERROR(__xludf.DUMMYFUNCTION("""COMPUTED_VALUE"""),28.0)</f>
        <v>28</v>
      </c>
      <c r="F915" s="2">
        <f>IFERROR(__xludf.DUMMYFUNCTION("""COMPUTED_VALUE"""),1.0)</f>
        <v>1</v>
      </c>
      <c r="G915" s="2">
        <f>IFERROR(__xludf.DUMMYFUNCTION("""COMPUTED_VALUE"""),2.0)</f>
        <v>2</v>
      </c>
      <c r="H915" s="2" t="str">
        <f>IFERROR(__xludf.DUMMYFUNCTION("""COMPUTED_VALUE"""),"Hrušč.")</f>
        <v>Hrušč.</v>
      </c>
      <c r="I915" s="2" t="str">
        <f>IFERROR(__xludf.DUMMYFUNCTION("""COMPUTED_VALUE"""),"Brick")</f>
        <v>Brick</v>
      </c>
      <c r="J915" s="2" t="str">
        <f>IFERROR(__xludf.DUMMYFUNCTION("""COMPUTED_VALUE"""),"All amenities")</f>
        <v>All amenities</v>
      </c>
      <c r="K915" s="2">
        <f>IFERROR(__xludf.DUMMYFUNCTION("""COMPUTED_VALUE"""),21990.0)</f>
        <v>21990</v>
      </c>
      <c r="L915" s="2">
        <f>IFERROR(__xludf.DUMMYFUNCTION("""COMPUTED_VALUE"""),56.97533275)</f>
        <v>56.97533275</v>
      </c>
      <c r="M915" s="2">
        <f>IFERROR(__xludf.DUMMYFUNCTION("""COMPUTED_VALUE"""),24.2650674)</f>
        <v>24.2650674</v>
      </c>
    </row>
    <row r="916">
      <c r="A916" s="2" t="str">
        <f>IFERROR(__xludf.DUMMYFUNCTION("""COMPUTED_VALUE"""),"For sale")</f>
        <v>For sale</v>
      </c>
      <c r="B916" s="2" t="str">
        <f>IFERROR(__xludf.DUMMYFUNCTION("""COMPUTED_VALUE"""),"centrs")</f>
        <v>centrs</v>
      </c>
      <c r="C916" s="2" t="str">
        <f>IFERROR(__xludf.DUMMYFUNCTION("""COMPUTED_VALUE"""),"Valdemāra 77")</f>
        <v>Valdemāra 77</v>
      </c>
      <c r="D916" s="2">
        <f>IFERROR(__xludf.DUMMYFUNCTION("""COMPUTED_VALUE"""),3.0)</f>
        <v>3</v>
      </c>
      <c r="E916" s="2">
        <f>IFERROR(__xludf.DUMMYFUNCTION("""COMPUTED_VALUE"""),181.0)</f>
        <v>181</v>
      </c>
      <c r="F916" s="2">
        <f>IFERROR(__xludf.DUMMYFUNCTION("""COMPUTED_VALUE"""),5.0)</f>
        <v>5</v>
      </c>
      <c r="G916" s="2">
        <f>IFERROR(__xludf.DUMMYFUNCTION("""COMPUTED_VALUE"""),6.0)</f>
        <v>6</v>
      </c>
      <c r="H916" s="2" t="str">
        <f>IFERROR(__xludf.DUMMYFUNCTION("""COMPUTED_VALUE"""),"P. kara")</f>
        <v>P. kara</v>
      </c>
      <c r="I916" s="2" t="str">
        <f>IFERROR(__xludf.DUMMYFUNCTION("""COMPUTED_VALUE"""),"Masonry")</f>
        <v>Masonry</v>
      </c>
      <c r="J916" s="2" t="str">
        <f>IFERROR(__xludf.DUMMYFUNCTION("""COMPUTED_VALUE"""),"All amenities")</f>
        <v>All amenities</v>
      </c>
      <c r="K916" s="2">
        <f>IFERROR(__xludf.DUMMYFUNCTION("""COMPUTED_VALUE"""),169000.0)</f>
        <v>169000</v>
      </c>
      <c r="L916" s="2">
        <f>IFERROR(__xludf.DUMMYFUNCTION("""COMPUTED_VALUE"""),56.9626669)</f>
        <v>56.9626669</v>
      </c>
      <c r="M916" s="2">
        <f>IFERROR(__xludf.DUMMYFUNCTION("""COMPUTED_VALUE"""),24.1240534)</f>
        <v>24.1240534</v>
      </c>
    </row>
    <row r="917">
      <c r="A917" s="2" t="str">
        <f>IFERROR(__xludf.DUMMYFUNCTION("""COMPUTED_VALUE"""),"For sale")</f>
        <v>For sale</v>
      </c>
      <c r="B917" s="2" t="str">
        <f>IFERROR(__xludf.DUMMYFUNCTION("""COMPUTED_VALUE"""),"centrs")</f>
        <v>centrs</v>
      </c>
      <c r="C917" s="2" t="str">
        <f>IFERROR(__xludf.DUMMYFUNCTION("""COMPUTED_VALUE"""),"Miera 5")</f>
        <v>Miera 5</v>
      </c>
      <c r="D917" s="2">
        <f>IFERROR(__xludf.DUMMYFUNCTION("""COMPUTED_VALUE"""),2.0)</f>
        <v>2</v>
      </c>
      <c r="E917" s="2">
        <f>IFERROR(__xludf.DUMMYFUNCTION("""COMPUTED_VALUE"""),65.5)</f>
        <v>65.5</v>
      </c>
      <c r="F917" s="2">
        <f>IFERROR(__xludf.DUMMYFUNCTION("""COMPUTED_VALUE"""),2.0)</f>
        <v>2</v>
      </c>
      <c r="G917" s="2">
        <f>IFERROR(__xludf.DUMMYFUNCTION("""COMPUTED_VALUE"""),6.0)</f>
        <v>6</v>
      </c>
      <c r="H917" s="2" t="str">
        <f>IFERROR(__xludf.DUMMYFUNCTION("""COMPUTED_VALUE"""),"P. kara")</f>
        <v>P. kara</v>
      </c>
      <c r="I917" s="2" t="str">
        <f>IFERROR(__xludf.DUMMYFUNCTION("""COMPUTED_VALUE"""),"Masonry")</f>
        <v>Masonry</v>
      </c>
      <c r="J917" s="2" t="str">
        <f>IFERROR(__xludf.DUMMYFUNCTION("""COMPUTED_VALUE"""),"All amenities")</f>
        <v>All amenities</v>
      </c>
      <c r="K917" s="2">
        <f>IFERROR(__xludf.DUMMYFUNCTION("""COMPUTED_VALUE"""),101525.0)</f>
        <v>101525</v>
      </c>
      <c r="L917" s="2">
        <f>IFERROR(__xludf.DUMMYFUNCTION("""COMPUTED_VALUE"""),56.9665763)</f>
        <v>56.9665763</v>
      </c>
      <c r="M917" s="2">
        <f>IFERROR(__xludf.DUMMYFUNCTION("""COMPUTED_VALUE"""),24.1337504)</f>
        <v>24.1337504</v>
      </c>
    </row>
    <row r="918">
      <c r="A918" s="2" t="str">
        <f>IFERROR(__xludf.DUMMYFUNCTION("""COMPUTED_VALUE"""),"For rent")</f>
        <v>For rent</v>
      </c>
      <c r="B918" s="2" t="str">
        <f>IFERROR(__xludf.DUMMYFUNCTION("""COMPUTED_VALUE"""),"centrs")</f>
        <v>centrs</v>
      </c>
      <c r="C918" s="2" t="str">
        <f>IFERROR(__xludf.DUMMYFUNCTION("""COMPUTED_VALUE"""),"Bruņinieku 8")</f>
        <v>Bruņinieku 8</v>
      </c>
      <c r="D918" s="2">
        <f>IFERROR(__xludf.DUMMYFUNCTION("""COMPUTED_VALUE"""),3.0)</f>
        <v>3</v>
      </c>
      <c r="E918" s="2">
        <f>IFERROR(__xludf.DUMMYFUNCTION("""COMPUTED_VALUE"""),113.0)</f>
        <v>113</v>
      </c>
      <c r="F918" s="2">
        <f>IFERROR(__xludf.DUMMYFUNCTION("""COMPUTED_VALUE"""),5.0)</f>
        <v>5</v>
      </c>
      <c r="G918" s="2">
        <f>IFERROR(__xludf.DUMMYFUNCTION("""COMPUTED_VALUE"""),5.0)</f>
        <v>5</v>
      </c>
      <c r="H918" s="2" t="str">
        <f>IFERROR(__xludf.DUMMYFUNCTION("""COMPUTED_VALUE"""),"P. kara")</f>
        <v>P. kara</v>
      </c>
      <c r="I918" s="2" t="str">
        <f>IFERROR(__xludf.DUMMYFUNCTION("""COMPUTED_VALUE"""),"Masonry")</f>
        <v>Masonry</v>
      </c>
      <c r="J918" s="2" t="str">
        <f>IFERROR(__xludf.DUMMYFUNCTION("""COMPUTED_VALUE"""),"All amenities")</f>
        <v>All amenities</v>
      </c>
      <c r="K918" s="2">
        <f>IFERROR(__xludf.DUMMYFUNCTION("""COMPUTED_VALUE"""),750.0)</f>
        <v>750</v>
      </c>
      <c r="L918" s="2">
        <f>IFERROR(__xludf.DUMMYFUNCTION("""COMPUTED_VALUE"""),56.959662)</f>
        <v>56.959662</v>
      </c>
      <c r="M918" s="2">
        <f>IFERROR(__xludf.DUMMYFUNCTION("""COMPUTED_VALUE"""),24.1249341)</f>
        <v>24.1249341</v>
      </c>
    </row>
    <row r="919">
      <c r="A919" s="2" t="str">
        <f>IFERROR(__xludf.DUMMYFUNCTION("""COMPUTED_VALUE"""),"For sale")</f>
        <v>For sale</v>
      </c>
      <c r="B919" s="2" t="str">
        <f>IFERROR(__xludf.DUMMYFUNCTION("""COMPUTED_VALUE"""),"centrs")</f>
        <v>centrs</v>
      </c>
      <c r="C919" s="2" t="str">
        <f>IFERROR(__xludf.DUMMYFUNCTION("""COMPUTED_VALUE"""),"Barona 30")</f>
        <v>Barona 30</v>
      </c>
      <c r="D919" s="2">
        <f>IFERROR(__xludf.DUMMYFUNCTION("""COMPUTED_VALUE"""),2.0)</f>
        <v>2</v>
      </c>
      <c r="E919" s="2">
        <f>IFERROR(__xludf.DUMMYFUNCTION("""COMPUTED_VALUE"""),55.0)</f>
        <v>55</v>
      </c>
      <c r="F919" s="2">
        <f>IFERROR(__xludf.DUMMYFUNCTION("""COMPUTED_VALUE"""),2.0)</f>
        <v>2</v>
      </c>
      <c r="G919" s="2">
        <f>IFERROR(__xludf.DUMMYFUNCTION("""COMPUTED_VALUE"""),7.0)</f>
        <v>7</v>
      </c>
      <c r="H919" s="2" t="str">
        <f>IFERROR(__xludf.DUMMYFUNCTION("""COMPUTED_VALUE"""),"Renov.")</f>
        <v>Renov.</v>
      </c>
      <c r="I919" s="2" t="str">
        <f>IFERROR(__xludf.DUMMYFUNCTION("""COMPUTED_VALUE"""),"Masonry")</f>
        <v>Masonry</v>
      </c>
      <c r="J919" s="2" t="str">
        <f>IFERROR(__xludf.DUMMYFUNCTION("""COMPUTED_VALUE"""),"All amenities")</f>
        <v>All amenities</v>
      </c>
      <c r="K919" s="2">
        <f>IFERROR(__xludf.DUMMYFUNCTION("""COMPUTED_VALUE"""),153500.0)</f>
        <v>153500</v>
      </c>
      <c r="L919" s="2">
        <f>IFERROR(__xludf.DUMMYFUNCTION("""COMPUTED_VALUE"""),56.9523528)</f>
        <v>56.9523528</v>
      </c>
      <c r="M919" s="2">
        <f>IFERROR(__xludf.DUMMYFUNCTION("""COMPUTED_VALUE"""),24.1238417)</f>
        <v>24.1238417</v>
      </c>
    </row>
    <row r="920">
      <c r="A920" s="2" t="str">
        <f>IFERROR(__xludf.DUMMYFUNCTION("""COMPUTED_VALUE"""),"For sale")</f>
        <v>For sale</v>
      </c>
      <c r="B920" s="2" t="str">
        <f>IFERROR(__xludf.DUMMYFUNCTION("""COMPUTED_VALUE"""),"centrs")</f>
        <v>centrs</v>
      </c>
      <c r="C920" s="2" t="str">
        <f>IFERROR(__xludf.DUMMYFUNCTION("""COMPUTED_VALUE"""),"Cēsu 43")</f>
        <v>Cēsu 43</v>
      </c>
      <c r="D920" s="2">
        <f>IFERROR(__xludf.DUMMYFUNCTION("""COMPUTED_VALUE"""),2.0)</f>
        <v>2</v>
      </c>
      <c r="E920" s="2">
        <f>IFERROR(__xludf.DUMMYFUNCTION("""COMPUTED_VALUE"""),64.0)</f>
        <v>64</v>
      </c>
      <c r="F920" s="2">
        <f>IFERROR(__xludf.DUMMYFUNCTION("""COMPUTED_VALUE"""),1.0)</f>
        <v>1</v>
      </c>
      <c r="G920" s="2">
        <f>IFERROR(__xludf.DUMMYFUNCTION("""COMPUTED_VALUE"""),5.0)</f>
        <v>5</v>
      </c>
      <c r="H920" s="2" t="str">
        <f>IFERROR(__xludf.DUMMYFUNCTION("""COMPUTED_VALUE"""),"P. kara")</f>
        <v>P. kara</v>
      </c>
      <c r="I920" s="2" t="str">
        <f>IFERROR(__xludf.DUMMYFUNCTION("""COMPUTED_VALUE"""),"Masonry")</f>
        <v>Masonry</v>
      </c>
      <c r="J920" s="2" t="str">
        <f>IFERROR(__xludf.DUMMYFUNCTION("""COMPUTED_VALUE"""),"All amenities")</f>
        <v>All amenities</v>
      </c>
      <c r="K920" s="2">
        <f>IFERROR(__xludf.DUMMYFUNCTION("""COMPUTED_VALUE"""),70000.0)</f>
        <v>70000</v>
      </c>
      <c r="L920" s="2">
        <f>IFERROR(__xludf.DUMMYFUNCTION("""COMPUTED_VALUE"""),56.9663395)</f>
        <v>56.9663395</v>
      </c>
      <c r="M920" s="2">
        <f>IFERROR(__xludf.DUMMYFUNCTION("""COMPUTED_VALUE"""),24.1442451)</f>
        <v>24.1442451</v>
      </c>
    </row>
    <row r="921">
      <c r="A921" s="2" t="str">
        <f>IFERROR(__xludf.DUMMYFUNCTION("""COMPUTED_VALUE"""),"For rent")</f>
        <v>For rent</v>
      </c>
      <c r="B921" s="2" t="str">
        <f>IFERROR(__xludf.DUMMYFUNCTION("""COMPUTED_VALUE"""),"centrs")</f>
        <v>centrs</v>
      </c>
      <c r="C921" s="2" t="str">
        <f>IFERROR(__xludf.DUMMYFUNCTION("""COMPUTED_VALUE"""),"Barona 63")</f>
        <v>Barona 63</v>
      </c>
      <c r="D921" s="2">
        <f>IFERROR(__xludf.DUMMYFUNCTION("""COMPUTED_VALUE"""),2.0)</f>
        <v>2</v>
      </c>
      <c r="E921" s="2">
        <f>IFERROR(__xludf.DUMMYFUNCTION("""COMPUTED_VALUE"""),59.0)</f>
        <v>59</v>
      </c>
      <c r="F921" s="2">
        <f>IFERROR(__xludf.DUMMYFUNCTION("""COMPUTED_VALUE"""),2.0)</f>
        <v>2</v>
      </c>
      <c r="G921" s="2">
        <f>IFERROR(__xludf.DUMMYFUNCTION("""COMPUTED_VALUE"""),6.0)</f>
        <v>6</v>
      </c>
      <c r="H921" s="2" t="str">
        <f>IFERROR(__xludf.DUMMYFUNCTION("""COMPUTED_VALUE"""),"P. kara")</f>
        <v>P. kara</v>
      </c>
      <c r="I921" s="2" t="str">
        <f>IFERROR(__xludf.DUMMYFUNCTION("""COMPUTED_VALUE"""),"Masonry")</f>
        <v>Masonry</v>
      </c>
      <c r="J921" s="2" t="str">
        <f>IFERROR(__xludf.DUMMYFUNCTION("""COMPUTED_VALUE"""),"All amenities")</f>
        <v>All amenities</v>
      </c>
      <c r="K921" s="2">
        <f>IFERROR(__xludf.DUMMYFUNCTION("""COMPUTED_VALUE"""),400.0)</f>
        <v>400</v>
      </c>
      <c r="L921" s="2">
        <f>IFERROR(__xludf.DUMMYFUNCTION("""COMPUTED_VALUE"""),56.95713205)</f>
        <v>56.95713205</v>
      </c>
      <c r="M921" s="2">
        <f>IFERROR(__xludf.DUMMYFUNCTION("""COMPUTED_VALUE"""),24.1327591319781)</f>
        <v>24.13275913</v>
      </c>
    </row>
    <row r="922">
      <c r="A922" s="2" t="str">
        <f>IFERROR(__xludf.DUMMYFUNCTION("""COMPUTED_VALUE"""),"For sale")</f>
        <v>For sale</v>
      </c>
      <c r="B922" s="2" t="str">
        <f>IFERROR(__xludf.DUMMYFUNCTION("""COMPUTED_VALUE"""),"centrs")</f>
        <v>centrs</v>
      </c>
      <c r="C922" s="2" t="str">
        <f>IFERROR(__xludf.DUMMYFUNCTION("""COMPUTED_VALUE"""),"Eksporta 6")</f>
        <v>Eksporta 6</v>
      </c>
      <c r="D922" s="2">
        <f>IFERROR(__xludf.DUMMYFUNCTION("""COMPUTED_VALUE"""),5.0)</f>
        <v>5</v>
      </c>
      <c r="E922" s="2">
        <f>IFERROR(__xludf.DUMMYFUNCTION("""COMPUTED_VALUE"""),132.0)</f>
        <v>132</v>
      </c>
      <c r="F922" s="2">
        <f>IFERROR(__xludf.DUMMYFUNCTION("""COMPUTED_VALUE"""),3.0)</f>
        <v>3</v>
      </c>
      <c r="G922" s="2">
        <f>IFERROR(__xludf.DUMMYFUNCTION("""COMPUTED_VALUE"""),5.0)</f>
        <v>5</v>
      </c>
      <c r="H922" s="2" t="str">
        <f>IFERROR(__xludf.DUMMYFUNCTION("""COMPUTED_VALUE"""),"Renov.")</f>
        <v>Renov.</v>
      </c>
      <c r="I922" s="2" t="str">
        <f>IFERROR(__xludf.DUMMYFUNCTION("""COMPUTED_VALUE"""),"Masonry")</f>
        <v>Masonry</v>
      </c>
      <c r="J922" s="2" t="str">
        <f>IFERROR(__xludf.DUMMYFUNCTION("""COMPUTED_VALUE"""),"All amenities")</f>
        <v>All amenities</v>
      </c>
      <c r="K922" s="2">
        <f>IFERROR(__xludf.DUMMYFUNCTION("""COMPUTED_VALUE"""),164900.0)</f>
        <v>164900</v>
      </c>
      <c r="L922" s="2">
        <f>IFERROR(__xludf.DUMMYFUNCTION("""COMPUTED_VALUE"""),56.956763)</f>
        <v>56.956763</v>
      </c>
      <c r="M922" s="2">
        <f>IFERROR(__xludf.DUMMYFUNCTION("""COMPUTED_VALUE"""),24.0954531)</f>
        <v>24.0954531</v>
      </c>
    </row>
    <row r="923">
      <c r="A923" s="2" t="str">
        <f>IFERROR(__xludf.DUMMYFUNCTION("""COMPUTED_VALUE"""),"For sale")</f>
        <v>For sale</v>
      </c>
      <c r="B923" s="2" t="str">
        <f>IFERROR(__xludf.DUMMYFUNCTION("""COMPUTED_VALUE"""),"centrs")</f>
        <v>centrs</v>
      </c>
      <c r="C923" s="2" t="str">
        <f>IFERROR(__xludf.DUMMYFUNCTION("""COMPUTED_VALUE"""),"Birznieka-Upīša 13")</f>
        <v>Birznieka-Upīša 13</v>
      </c>
      <c r="D923" s="2">
        <f>IFERROR(__xludf.DUMMYFUNCTION("""COMPUTED_VALUE"""),3.0)</f>
        <v>3</v>
      </c>
      <c r="E923" s="2">
        <f>IFERROR(__xludf.DUMMYFUNCTION("""COMPUTED_VALUE"""),79.4)</f>
        <v>79.4</v>
      </c>
      <c r="F923" s="2">
        <f>IFERROR(__xludf.DUMMYFUNCTION("""COMPUTED_VALUE"""),2.0)</f>
        <v>2</v>
      </c>
      <c r="G923" s="2">
        <f>IFERROR(__xludf.DUMMYFUNCTION("""COMPUTED_VALUE"""),7.0)</f>
        <v>7</v>
      </c>
      <c r="H923" s="2" t="str">
        <f>IFERROR(__xludf.DUMMYFUNCTION("""COMPUTED_VALUE"""),"Jaun.")</f>
        <v>Jaun.</v>
      </c>
      <c r="I923" s="2" t="str">
        <f>IFERROR(__xludf.DUMMYFUNCTION("""COMPUTED_VALUE"""),"Panel-Brick")</f>
        <v>Panel-Brick</v>
      </c>
      <c r="J923" s="2" t="str">
        <f>IFERROR(__xludf.DUMMYFUNCTION("""COMPUTED_VALUE"""),"All amenities")</f>
        <v>All amenities</v>
      </c>
      <c r="K923" s="2">
        <f>IFERROR(__xludf.DUMMYFUNCTION("""COMPUTED_VALUE"""),218000.0)</f>
        <v>218000</v>
      </c>
      <c r="L923" s="2">
        <f>IFERROR(__xludf.DUMMYFUNCTION("""COMPUTED_VALUE"""),56.9493295)</f>
        <v>56.9493295</v>
      </c>
      <c r="M923" s="2">
        <f>IFERROR(__xludf.DUMMYFUNCTION("""COMPUTED_VALUE"""),24.1264892056074)</f>
        <v>24.12648921</v>
      </c>
    </row>
    <row r="924">
      <c r="A924" s="2" t="str">
        <f>IFERROR(__xludf.DUMMYFUNCTION("""COMPUTED_VALUE"""),"For sale")</f>
        <v>For sale</v>
      </c>
      <c r="B924" s="2" t="str">
        <f>IFERROR(__xludf.DUMMYFUNCTION("""COMPUTED_VALUE"""),"Imanta")</f>
        <v>Imanta</v>
      </c>
      <c r="C924" s="2" t="str">
        <f>IFERROR(__xludf.DUMMYFUNCTION("""COMPUTED_VALUE"""),"Dammes 31")</f>
        <v>Dammes 31</v>
      </c>
      <c r="D924" s="2">
        <f>IFERROR(__xludf.DUMMYFUNCTION("""COMPUTED_VALUE"""),3.0)</f>
        <v>3</v>
      </c>
      <c r="E924" s="2">
        <f>IFERROR(__xludf.DUMMYFUNCTION("""COMPUTED_VALUE"""),62.0)</f>
        <v>62</v>
      </c>
      <c r="F924" s="2">
        <f>IFERROR(__xludf.DUMMYFUNCTION("""COMPUTED_VALUE"""),9.0)</f>
        <v>9</v>
      </c>
      <c r="G924" s="2">
        <f>IFERROR(__xludf.DUMMYFUNCTION("""COMPUTED_VALUE"""),9.0)</f>
        <v>9</v>
      </c>
      <c r="H924" s="2">
        <f>IFERROR(__xludf.DUMMYFUNCTION("""COMPUTED_VALUE"""),602.0)</f>
        <v>602</v>
      </c>
      <c r="I924" s="2" t="str">
        <f>IFERROR(__xludf.DUMMYFUNCTION("""COMPUTED_VALUE"""),"Panel")</f>
        <v>Panel</v>
      </c>
      <c r="J924" s="2" t="str">
        <f>IFERROR(__xludf.DUMMYFUNCTION("""COMPUTED_VALUE"""),"All amenities")</f>
        <v>All amenities</v>
      </c>
      <c r="K924" s="2">
        <f>IFERROR(__xludf.DUMMYFUNCTION("""COMPUTED_VALUE"""),61500.0)</f>
        <v>61500</v>
      </c>
      <c r="L924" s="2">
        <f>IFERROR(__xludf.DUMMYFUNCTION("""COMPUTED_VALUE"""),56.96469885)</f>
        <v>56.96469885</v>
      </c>
      <c r="M924" s="2">
        <f>IFERROR(__xludf.DUMMYFUNCTION("""COMPUTED_VALUE"""),24.0075821758969)</f>
        <v>24.00758218</v>
      </c>
    </row>
    <row r="925">
      <c r="A925" s="2" t="str">
        <f>IFERROR(__xludf.DUMMYFUNCTION("""COMPUTED_VALUE"""),"For sale")</f>
        <v>For sale</v>
      </c>
      <c r="B925" s="2" t="str">
        <f>IFERROR(__xludf.DUMMYFUNCTION("""COMPUTED_VALUE"""),"Sarkandaugava")</f>
        <v>Sarkandaugava</v>
      </c>
      <c r="C925" s="2" t="str">
        <f>IFERROR(__xludf.DUMMYFUNCTION("""COMPUTED_VALUE"""),"Tilta 24")</f>
        <v>Tilta 24</v>
      </c>
      <c r="D925" s="2">
        <f>IFERROR(__xludf.DUMMYFUNCTION("""COMPUTED_VALUE"""),1.0)</f>
        <v>1</v>
      </c>
      <c r="E925" s="2">
        <f>IFERROR(__xludf.DUMMYFUNCTION("""COMPUTED_VALUE"""),33.0)</f>
        <v>33</v>
      </c>
      <c r="F925" s="2">
        <f>IFERROR(__xludf.DUMMYFUNCTION("""COMPUTED_VALUE"""),1.0)</f>
        <v>1</v>
      </c>
      <c r="G925" s="2">
        <f>IFERROR(__xludf.DUMMYFUNCTION("""COMPUTED_VALUE"""),5.0)</f>
        <v>5</v>
      </c>
      <c r="H925" s="2" t="str">
        <f>IFERROR(__xludf.DUMMYFUNCTION("""COMPUTED_VALUE"""),"P. kara")</f>
        <v>P. kara</v>
      </c>
      <c r="I925" s="2" t="str">
        <f>IFERROR(__xludf.DUMMYFUNCTION("""COMPUTED_VALUE"""),"Masonry")</f>
        <v>Masonry</v>
      </c>
      <c r="J925" s="2" t="str">
        <f>IFERROR(__xludf.DUMMYFUNCTION("""COMPUTED_VALUE"""),"All amenities")</f>
        <v>All amenities</v>
      </c>
      <c r="K925" s="2">
        <f>IFERROR(__xludf.DUMMYFUNCTION("""COMPUTED_VALUE"""),26000.0)</f>
        <v>26000</v>
      </c>
      <c r="L925" s="2">
        <f>IFERROR(__xludf.DUMMYFUNCTION("""COMPUTED_VALUE"""),56.9949274)</f>
        <v>56.9949274</v>
      </c>
      <c r="M925" s="2">
        <f>IFERROR(__xludf.DUMMYFUNCTION("""COMPUTED_VALUE"""),24.1286523133185)</f>
        <v>24.12865231</v>
      </c>
    </row>
    <row r="926">
      <c r="A926" s="2" t="str">
        <f>IFERROR(__xludf.DUMMYFUNCTION("""COMPUTED_VALUE"""),"For sale")</f>
        <v>For sale</v>
      </c>
      <c r="B926" s="2" t="str">
        <f>IFERROR(__xludf.DUMMYFUNCTION("""COMPUTED_VALUE"""),"Imanta")</f>
        <v>Imanta</v>
      </c>
      <c r="C926" s="2" t="str">
        <f>IFERROR(__xludf.DUMMYFUNCTION("""COMPUTED_VALUE"""),"Vīksnes 29a")</f>
        <v>Vīksnes 29a</v>
      </c>
      <c r="D926" s="2">
        <f>IFERROR(__xludf.DUMMYFUNCTION("""COMPUTED_VALUE"""),3.0)</f>
        <v>3</v>
      </c>
      <c r="E926" s="2">
        <f>IFERROR(__xludf.DUMMYFUNCTION("""COMPUTED_VALUE"""),63.0)</f>
        <v>63</v>
      </c>
      <c r="F926" s="2">
        <f>IFERROR(__xludf.DUMMYFUNCTION("""COMPUTED_VALUE"""),1.0)</f>
        <v>1</v>
      </c>
      <c r="G926" s="2">
        <f>IFERROR(__xludf.DUMMYFUNCTION("""COMPUTED_VALUE"""),9.0)</f>
        <v>9</v>
      </c>
      <c r="H926" s="2">
        <f>IFERROR(__xludf.DUMMYFUNCTION("""COMPUTED_VALUE"""),602.0)</f>
        <v>602</v>
      </c>
      <c r="I926" s="2" t="str">
        <f>IFERROR(__xludf.DUMMYFUNCTION("""COMPUTED_VALUE"""),"Panel")</f>
        <v>Panel</v>
      </c>
      <c r="J926" s="2" t="str">
        <f>IFERROR(__xludf.DUMMYFUNCTION("""COMPUTED_VALUE"""),"All amenities")</f>
        <v>All amenities</v>
      </c>
      <c r="K926" s="2">
        <f>IFERROR(__xludf.DUMMYFUNCTION("""COMPUTED_VALUE"""),65500.0)</f>
        <v>65500</v>
      </c>
      <c r="L926" s="2">
        <f>IFERROR(__xludf.DUMMYFUNCTION("""COMPUTED_VALUE"""),56.9590376)</f>
        <v>56.9590376</v>
      </c>
      <c r="M926" s="2">
        <f>IFERROR(__xludf.DUMMYFUNCTION("""COMPUTED_VALUE"""),24.0026967627373)</f>
        <v>24.00269676</v>
      </c>
    </row>
    <row r="927">
      <c r="A927" s="2" t="str">
        <f>IFERROR(__xludf.DUMMYFUNCTION("""COMPUTED_VALUE"""),"For rent")</f>
        <v>For rent</v>
      </c>
      <c r="B927" s="2" t="str">
        <f>IFERROR(__xludf.DUMMYFUNCTION("""COMPUTED_VALUE"""),"Čiekurkalns")</f>
        <v>Čiekurkalns</v>
      </c>
      <c r="C927" s="2" t="str">
        <f>IFERROR(__xludf.DUMMYFUNCTION("""COMPUTED_VALUE"""),"Čiekurkalna 2. l. 61")</f>
        <v>Čiekurkalna 2. l. 61</v>
      </c>
      <c r="D927" s="2">
        <f>IFERROR(__xludf.DUMMYFUNCTION("""COMPUTED_VALUE"""),1.0)</f>
        <v>1</v>
      </c>
      <c r="E927" s="2">
        <f>IFERROR(__xludf.DUMMYFUNCTION("""COMPUTED_VALUE"""),21.0)</f>
        <v>21</v>
      </c>
      <c r="F927" s="2">
        <f>IFERROR(__xludf.DUMMYFUNCTION("""COMPUTED_VALUE"""),2.0)</f>
        <v>2</v>
      </c>
      <c r="G927" s="2">
        <f>IFERROR(__xludf.DUMMYFUNCTION("""COMPUTED_VALUE"""),4.0)</f>
        <v>4</v>
      </c>
      <c r="H927" s="2" t="str">
        <f>IFERROR(__xludf.DUMMYFUNCTION("""COMPUTED_VALUE"""),"P. kara")</f>
        <v>P. kara</v>
      </c>
      <c r="I927" s="2" t="str">
        <f>IFERROR(__xludf.DUMMYFUNCTION("""COMPUTED_VALUE"""),"Brick")</f>
        <v>Brick</v>
      </c>
      <c r="J927" s="2" t="str">
        <f>IFERROR(__xludf.DUMMYFUNCTION("""COMPUTED_VALUE"""),"All amenities")</f>
        <v>All amenities</v>
      </c>
      <c r="K927" s="2">
        <f>IFERROR(__xludf.DUMMYFUNCTION("""COMPUTED_VALUE"""),190.0)</f>
        <v>190</v>
      </c>
      <c r="L927" s="2" t="str">
        <f>IFERROR(__xludf.DUMMYFUNCTION("""COMPUTED_VALUE"""),"NaN")</f>
        <v>NaN</v>
      </c>
      <c r="M927" s="2" t="str">
        <f>IFERROR(__xludf.DUMMYFUNCTION("""COMPUTED_VALUE"""),"NaN")</f>
        <v>NaN</v>
      </c>
    </row>
    <row r="928">
      <c r="A928" s="2" t="str">
        <f>IFERROR(__xludf.DUMMYFUNCTION("""COMPUTED_VALUE"""),"For sale")</f>
        <v>For sale</v>
      </c>
      <c r="B928" s="2" t="str">
        <f>IFERROR(__xludf.DUMMYFUNCTION("""COMPUTED_VALUE"""),"centrs")</f>
        <v>centrs</v>
      </c>
      <c r="C928" s="2" t="str">
        <f>IFERROR(__xludf.DUMMYFUNCTION("""COMPUTED_VALUE"""),"Tomsona 9")</f>
        <v>Tomsona 9</v>
      </c>
      <c r="D928" s="2">
        <f>IFERROR(__xludf.DUMMYFUNCTION("""COMPUTED_VALUE"""),3.0)</f>
        <v>3</v>
      </c>
      <c r="E928" s="2">
        <f>IFERROR(__xludf.DUMMYFUNCTION("""COMPUTED_VALUE"""),128.0)</f>
        <v>128</v>
      </c>
      <c r="F928" s="2">
        <f>IFERROR(__xludf.DUMMYFUNCTION("""COMPUTED_VALUE"""),5.0)</f>
        <v>5</v>
      </c>
      <c r="G928" s="2">
        <f>IFERROR(__xludf.DUMMYFUNCTION("""COMPUTED_VALUE"""),6.0)</f>
        <v>6</v>
      </c>
      <c r="H928" s="2" t="str">
        <f>IFERROR(__xludf.DUMMYFUNCTION("""COMPUTED_VALUE"""),"Jaun.")</f>
        <v>Jaun.</v>
      </c>
      <c r="I928" s="2" t="str">
        <f>IFERROR(__xludf.DUMMYFUNCTION("""COMPUTED_VALUE"""),"Panel-Brick")</f>
        <v>Panel-Brick</v>
      </c>
      <c r="J928" s="2" t="str">
        <f>IFERROR(__xludf.DUMMYFUNCTION("""COMPUTED_VALUE"""),"All amenities")</f>
        <v>All amenities</v>
      </c>
      <c r="K928" s="2">
        <f>IFERROR(__xludf.DUMMYFUNCTION("""COMPUTED_VALUE"""),198000.0)</f>
        <v>198000</v>
      </c>
      <c r="L928" s="2">
        <f>IFERROR(__xludf.DUMMYFUNCTION("""COMPUTED_VALUE"""),56.96428355)</f>
        <v>56.96428355</v>
      </c>
      <c r="M928" s="2">
        <f>IFERROR(__xludf.DUMMYFUNCTION("""COMPUTED_VALUE"""),24.124554147986)</f>
        <v>24.12455415</v>
      </c>
    </row>
    <row r="929">
      <c r="A929" s="2" t="str">
        <f>IFERROR(__xludf.DUMMYFUNCTION("""COMPUTED_VALUE"""),"For sale")</f>
        <v>For sale</v>
      </c>
      <c r="B929" s="2" t="str">
        <f>IFERROR(__xludf.DUMMYFUNCTION("""COMPUTED_VALUE"""),"Mežaparks")</f>
        <v>Mežaparks</v>
      </c>
      <c r="C929" s="2" t="str">
        <f>IFERROR(__xludf.DUMMYFUNCTION("""COMPUTED_VALUE"""),"Ezermalas 13")</f>
        <v>Ezermalas 13</v>
      </c>
      <c r="D929" s="2">
        <f>IFERROR(__xludf.DUMMYFUNCTION("""COMPUTED_VALUE"""),3.0)</f>
        <v>3</v>
      </c>
      <c r="E929" s="2">
        <f>IFERROR(__xludf.DUMMYFUNCTION("""COMPUTED_VALUE"""),95.0)</f>
        <v>95</v>
      </c>
      <c r="F929" s="2">
        <f>IFERROR(__xludf.DUMMYFUNCTION("""COMPUTED_VALUE"""),3.0)</f>
        <v>3</v>
      </c>
      <c r="G929" s="2">
        <f>IFERROR(__xludf.DUMMYFUNCTION("""COMPUTED_VALUE"""),5.0)</f>
        <v>5</v>
      </c>
      <c r="H929" s="2" t="str">
        <f>IFERROR(__xludf.DUMMYFUNCTION("""COMPUTED_VALUE"""),"Specpr.")</f>
        <v>Specpr.</v>
      </c>
      <c r="I929" s="2" t="str">
        <f>IFERROR(__xludf.DUMMYFUNCTION("""COMPUTED_VALUE"""),"Brick-Panel")</f>
        <v>Brick-Panel</v>
      </c>
      <c r="J929" s="2" t="str">
        <f>IFERROR(__xludf.DUMMYFUNCTION("""COMPUTED_VALUE"""),"All amenities")</f>
        <v>All amenities</v>
      </c>
      <c r="K929" s="2">
        <f>IFERROR(__xludf.DUMMYFUNCTION("""COMPUTED_VALUE"""),144000.0)</f>
        <v>144000</v>
      </c>
      <c r="L929" s="2">
        <f>IFERROR(__xludf.DUMMYFUNCTION("""COMPUTED_VALUE"""),56.99733515)</f>
        <v>56.99733515</v>
      </c>
      <c r="M929" s="2">
        <f>IFERROR(__xludf.DUMMYFUNCTION("""COMPUTED_VALUE"""),24.1704467)</f>
        <v>24.1704467</v>
      </c>
    </row>
    <row r="930">
      <c r="A930" s="2" t="str">
        <f>IFERROR(__xludf.DUMMYFUNCTION("""COMPUTED_VALUE"""),"For sale")</f>
        <v>For sale</v>
      </c>
      <c r="B930" s="2" t="str">
        <f>IFERROR(__xludf.DUMMYFUNCTION("""COMPUTED_VALUE"""),"Purvciems")</f>
        <v>Purvciems</v>
      </c>
      <c r="C930" s="2" t="str">
        <f>IFERROR(__xludf.DUMMYFUNCTION("""COMPUTED_VALUE"""),"Viršu 3")</f>
        <v>Viršu 3</v>
      </c>
      <c r="D930" s="2">
        <f>IFERROR(__xludf.DUMMYFUNCTION("""COMPUTED_VALUE"""),3.0)</f>
        <v>3</v>
      </c>
      <c r="E930" s="2">
        <f>IFERROR(__xludf.DUMMYFUNCTION("""COMPUTED_VALUE"""),76.0)</f>
        <v>76</v>
      </c>
      <c r="F930" s="2">
        <f>IFERROR(__xludf.DUMMYFUNCTION("""COMPUTED_VALUE"""),6.0)</f>
        <v>6</v>
      </c>
      <c r="G930" s="2">
        <f>IFERROR(__xludf.DUMMYFUNCTION("""COMPUTED_VALUE"""),9.0)</f>
        <v>9</v>
      </c>
      <c r="H930" s="2">
        <f>IFERROR(__xludf.DUMMYFUNCTION("""COMPUTED_VALUE"""),119.0)</f>
        <v>119</v>
      </c>
      <c r="I930" s="2" t="str">
        <f>IFERROR(__xludf.DUMMYFUNCTION("""COMPUTED_VALUE"""),"Panel")</f>
        <v>Panel</v>
      </c>
      <c r="J930" s="2" t="str">
        <f>IFERROR(__xludf.DUMMYFUNCTION("""COMPUTED_VALUE"""),"All amenities")</f>
        <v>All amenities</v>
      </c>
      <c r="K930" s="2">
        <f>IFERROR(__xludf.DUMMYFUNCTION("""COMPUTED_VALUE"""),92700.0)</f>
        <v>92700</v>
      </c>
      <c r="L930" s="2">
        <f>IFERROR(__xludf.DUMMYFUNCTION("""COMPUTED_VALUE"""),56.9521256999999)</f>
        <v>56.9521257</v>
      </c>
      <c r="M930" s="2">
        <f>IFERROR(__xludf.DUMMYFUNCTION("""COMPUTED_VALUE"""),24.1761138)</f>
        <v>24.1761138</v>
      </c>
    </row>
    <row r="931">
      <c r="A931" s="2" t="str">
        <f>IFERROR(__xludf.DUMMYFUNCTION("""COMPUTED_VALUE"""),"For sale")</f>
        <v>For sale</v>
      </c>
      <c r="B931" s="2" t="str">
        <f>IFERROR(__xludf.DUMMYFUNCTION("""COMPUTED_VALUE"""),"Bieriņi")</f>
        <v>Bieriņi</v>
      </c>
      <c r="C931" s="2" t="str">
        <f>IFERROR(__xludf.DUMMYFUNCTION("""COMPUTED_VALUE"""),"Kantora 85/1")</f>
        <v>Kantora 85/1</v>
      </c>
      <c r="D931" s="2">
        <f>IFERROR(__xludf.DUMMYFUNCTION("""COMPUTED_VALUE"""),3.0)</f>
        <v>3</v>
      </c>
      <c r="E931" s="2">
        <f>IFERROR(__xludf.DUMMYFUNCTION("""COMPUTED_VALUE"""),77.0)</f>
        <v>77</v>
      </c>
      <c r="F931" s="2">
        <f>IFERROR(__xludf.DUMMYFUNCTION("""COMPUTED_VALUE"""),2.0)</f>
        <v>2</v>
      </c>
      <c r="G931" s="2">
        <f>IFERROR(__xludf.DUMMYFUNCTION("""COMPUTED_VALUE"""),3.0)</f>
        <v>3</v>
      </c>
      <c r="H931" s="2" t="str">
        <f>IFERROR(__xludf.DUMMYFUNCTION("""COMPUTED_VALUE"""),"Jaun.")</f>
        <v>Jaun.</v>
      </c>
      <c r="I931" s="2" t="str">
        <f>IFERROR(__xludf.DUMMYFUNCTION("""COMPUTED_VALUE"""),"Brick")</f>
        <v>Brick</v>
      </c>
      <c r="J931" s="2" t="str">
        <f>IFERROR(__xludf.DUMMYFUNCTION("""COMPUTED_VALUE"""),"All amenities")</f>
        <v>All amenities</v>
      </c>
      <c r="K931" s="2">
        <f>IFERROR(__xludf.DUMMYFUNCTION("""COMPUTED_VALUE"""),127500.0)</f>
        <v>127500</v>
      </c>
      <c r="L931" s="2">
        <f>IFERROR(__xludf.DUMMYFUNCTION("""COMPUTED_VALUE"""),56.9197056)</f>
        <v>56.9197056</v>
      </c>
      <c r="M931" s="2">
        <f>IFERROR(__xludf.DUMMYFUNCTION("""COMPUTED_VALUE"""),24.058748)</f>
        <v>24.058748</v>
      </c>
    </row>
    <row r="932">
      <c r="A932" s="2" t="str">
        <f>IFERROR(__xludf.DUMMYFUNCTION("""COMPUTED_VALUE"""),"For sale")</f>
        <v>For sale</v>
      </c>
      <c r="B932" s="2" t="str">
        <f>IFERROR(__xludf.DUMMYFUNCTION("""COMPUTED_VALUE"""),"Ķīpsala")</f>
        <v>Ķīpsala</v>
      </c>
      <c r="C932" s="2" t="str">
        <f>IFERROR(__xludf.DUMMYFUNCTION("""COMPUTED_VALUE"""),"Balasta d. 72")</f>
        <v>Balasta d. 72</v>
      </c>
      <c r="D932" s="2">
        <f>IFERROR(__xludf.DUMMYFUNCTION("""COMPUTED_VALUE"""),2.0)</f>
        <v>2</v>
      </c>
      <c r="E932" s="2">
        <f>IFERROR(__xludf.DUMMYFUNCTION("""COMPUTED_VALUE"""),89.0)</f>
        <v>89</v>
      </c>
      <c r="F932" s="2">
        <f>IFERROR(__xludf.DUMMYFUNCTION("""COMPUTED_VALUE"""),4.0)</f>
        <v>4</v>
      </c>
      <c r="G932" s="2">
        <f>IFERROR(__xludf.DUMMYFUNCTION("""COMPUTED_VALUE"""),4.0)</f>
        <v>4</v>
      </c>
      <c r="H932" s="2" t="str">
        <f>IFERROR(__xludf.DUMMYFUNCTION("""COMPUTED_VALUE"""),"Jaun.")</f>
        <v>Jaun.</v>
      </c>
      <c r="I932" s="2" t="str">
        <f>IFERROR(__xludf.DUMMYFUNCTION("""COMPUTED_VALUE"""),"Brick")</f>
        <v>Brick</v>
      </c>
      <c r="J932" s="2" t="str">
        <f>IFERROR(__xludf.DUMMYFUNCTION("""COMPUTED_VALUE"""),"All amenities")</f>
        <v>All amenities</v>
      </c>
      <c r="K932" s="2">
        <f>IFERROR(__xludf.DUMMYFUNCTION("""COMPUTED_VALUE"""),230000.0)</f>
        <v>230000</v>
      </c>
      <c r="L932" s="2">
        <f>IFERROR(__xludf.DUMMYFUNCTION("""COMPUTED_VALUE"""),56.9489344)</f>
        <v>56.9489344</v>
      </c>
      <c r="M932" s="2">
        <f>IFERROR(__xludf.DUMMYFUNCTION("""COMPUTED_VALUE"""),24.0882804)</f>
        <v>24.0882804</v>
      </c>
    </row>
    <row r="933">
      <c r="A933" s="2" t="str">
        <f>IFERROR(__xludf.DUMMYFUNCTION("""COMPUTED_VALUE"""),"For sale")</f>
        <v>For sale</v>
      </c>
      <c r="B933" s="2" t="str">
        <f>IFERROR(__xludf.DUMMYFUNCTION("""COMPUTED_VALUE"""),"Dzegužkalns")</f>
        <v>Dzegužkalns</v>
      </c>
      <c r="C933" s="2" t="str">
        <f>IFERROR(__xludf.DUMMYFUNCTION("""COMPUTED_VALUE"""),"Saldus 2a")</f>
        <v>Saldus 2a</v>
      </c>
      <c r="D933" s="2">
        <f>IFERROR(__xludf.DUMMYFUNCTION("""COMPUTED_VALUE"""),2.0)</f>
        <v>2</v>
      </c>
      <c r="E933" s="2">
        <f>IFERROR(__xludf.DUMMYFUNCTION("""COMPUTED_VALUE"""),48.0)</f>
        <v>48</v>
      </c>
      <c r="F933" s="2">
        <f>IFERROR(__xludf.DUMMYFUNCTION("""COMPUTED_VALUE"""),2.0)</f>
        <v>2</v>
      </c>
      <c r="G933" s="2">
        <f>IFERROR(__xludf.DUMMYFUNCTION("""COMPUTED_VALUE"""),3.0)</f>
        <v>3</v>
      </c>
      <c r="H933" s="2" t="str">
        <f>IFERROR(__xludf.DUMMYFUNCTION("""COMPUTED_VALUE"""),"Hrušč.")</f>
        <v>Hrušč.</v>
      </c>
      <c r="I933" s="2" t="str">
        <f>IFERROR(__xludf.DUMMYFUNCTION("""COMPUTED_VALUE"""),"Brick")</f>
        <v>Brick</v>
      </c>
      <c r="J933" s="2" t="str">
        <f>IFERROR(__xludf.DUMMYFUNCTION("""COMPUTED_VALUE"""),"All amenities")</f>
        <v>All amenities</v>
      </c>
      <c r="K933" s="2">
        <f>IFERROR(__xludf.DUMMYFUNCTION("""COMPUTED_VALUE"""),33500.0)</f>
        <v>33500</v>
      </c>
      <c r="L933" s="2">
        <f>IFERROR(__xludf.DUMMYFUNCTION("""COMPUTED_VALUE"""),56.96206215)</f>
        <v>56.96206215</v>
      </c>
      <c r="M933" s="2">
        <f>IFERROR(__xludf.DUMMYFUNCTION("""COMPUTED_VALUE"""),24.0652242412257)</f>
        <v>24.06522424</v>
      </c>
    </row>
    <row r="934">
      <c r="A934" s="2" t="str">
        <f>IFERROR(__xludf.DUMMYFUNCTION("""COMPUTED_VALUE"""),"For rent")</f>
        <v>For rent</v>
      </c>
      <c r="B934" s="2" t="str">
        <f>IFERROR(__xludf.DUMMYFUNCTION("""COMPUTED_VALUE"""),"Bolderāja")</f>
        <v>Bolderāja</v>
      </c>
      <c r="C934" s="2" t="str">
        <f>IFERROR(__xludf.DUMMYFUNCTION("""COMPUTED_VALUE"""),"Lielupes 68")</f>
        <v>Lielupes 68</v>
      </c>
      <c r="D934" s="2">
        <f>IFERROR(__xludf.DUMMYFUNCTION("""COMPUTED_VALUE"""),2.0)</f>
        <v>2</v>
      </c>
      <c r="E934" s="2">
        <f>IFERROR(__xludf.DUMMYFUNCTION("""COMPUTED_VALUE"""),48.0)</f>
        <v>48</v>
      </c>
      <c r="F934" s="2">
        <f>IFERROR(__xludf.DUMMYFUNCTION("""COMPUTED_VALUE"""),5.0)</f>
        <v>5</v>
      </c>
      <c r="G934" s="2">
        <f>IFERROR(__xludf.DUMMYFUNCTION("""COMPUTED_VALUE"""),5.0)</f>
        <v>5</v>
      </c>
      <c r="H934" s="2" t="str">
        <f>IFERROR(__xludf.DUMMYFUNCTION("""COMPUTED_VALUE"""),"LT proj.")</f>
        <v>LT proj.</v>
      </c>
      <c r="I934" s="2" t="str">
        <f>IFERROR(__xludf.DUMMYFUNCTION("""COMPUTED_VALUE"""),"Panel")</f>
        <v>Panel</v>
      </c>
      <c r="J934" s="2" t="str">
        <f>IFERROR(__xludf.DUMMYFUNCTION("""COMPUTED_VALUE"""),"All amenities")</f>
        <v>All amenities</v>
      </c>
      <c r="K934" s="2">
        <f>IFERROR(__xludf.DUMMYFUNCTION("""COMPUTED_VALUE"""),220.0)</f>
        <v>220</v>
      </c>
      <c r="L934" s="2">
        <f>IFERROR(__xludf.DUMMYFUNCTION("""COMPUTED_VALUE"""),57.03099005)</f>
        <v>57.03099005</v>
      </c>
      <c r="M934" s="2">
        <f>IFERROR(__xludf.DUMMYFUNCTION("""COMPUTED_VALUE"""),24.0574072)</f>
        <v>24.0574072</v>
      </c>
    </row>
    <row r="935">
      <c r="A935" s="2" t="str">
        <f>IFERROR(__xludf.DUMMYFUNCTION("""COMPUTED_VALUE"""),"For sale")</f>
        <v>For sale</v>
      </c>
      <c r="B935" s="2" t="str">
        <f>IFERROR(__xludf.DUMMYFUNCTION("""COMPUTED_VALUE"""),"Ziepniekkalns")</f>
        <v>Ziepniekkalns</v>
      </c>
      <c r="C935" s="2" t="str">
        <f>IFERROR(__xludf.DUMMYFUNCTION("""COMPUTED_VALUE"""),"Ozolciema 48")</f>
        <v>Ozolciema 48</v>
      </c>
      <c r="D935" s="2">
        <f>IFERROR(__xludf.DUMMYFUNCTION("""COMPUTED_VALUE"""),1.0)</f>
        <v>1</v>
      </c>
      <c r="E935" s="2">
        <f>IFERROR(__xludf.DUMMYFUNCTION("""COMPUTED_VALUE"""),44.0)</f>
        <v>44</v>
      </c>
      <c r="F935" s="2">
        <f>IFERROR(__xludf.DUMMYFUNCTION("""COMPUTED_VALUE"""),7.0)</f>
        <v>7</v>
      </c>
      <c r="G935" s="2">
        <f>IFERROR(__xludf.DUMMYFUNCTION("""COMPUTED_VALUE"""),9.0)</f>
        <v>9</v>
      </c>
      <c r="H935" s="2" t="str">
        <f>IFERROR(__xludf.DUMMYFUNCTION("""COMPUTED_VALUE"""),"M. ģim.")</f>
        <v>M. ģim.</v>
      </c>
      <c r="I935" s="2" t="str">
        <f>IFERROR(__xludf.DUMMYFUNCTION("""COMPUTED_VALUE"""),"Panel")</f>
        <v>Panel</v>
      </c>
      <c r="J935" s="2" t="str">
        <f>IFERROR(__xludf.DUMMYFUNCTION("""COMPUTED_VALUE"""),"All amenities")</f>
        <v>All amenities</v>
      </c>
      <c r="K935" s="2">
        <f>IFERROR(__xludf.DUMMYFUNCTION("""COMPUTED_VALUE"""),34450.0)</f>
        <v>34450</v>
      </c>
      <c r="L935" s="2">
        <f>IFERROR(__xludf.DUMMYFUNCTION("""COMPUTED_VALUE"""),56.9004870499999)</f>
        <v>56.90048705</v>
      </c>
      <c r="M935" s="2">
        <f>IFERROR(__xludf.DUMMYFUNCTION("""COMPUTED_VALUE"""),24.1006074257664)</f>
        <v>24.10060743</v>
      </c>
    </row>
    <row r="936">
      <c r="A936" s="2" t="str">
        <f>IFERROR(__xludf.DUMMYFUNCTION("""COMPUTED_VALUE"""),"For sale")</f>
        <v>For sale</v>
      </c>
      <c r="B936" s="2" t="str">
        <f>IFERROR(__xludf.DUMMYFUNCTION("""COMPUTED_VALUE"""),"Mežciems")</f>
        <v>Mežciems</v>
      </c>
      <c r="C936" s="2" t="str">
        <f>IFERROR(__xludf.DUMMYFUNCTION("""COMPUTED_VALUE"""),"Kaivas 29")</f>
        <v>Kaivas 29</v>
      </c>
      <c r="D936" s="2">
        <f>IFERROR(__xludf.DUMMYFUNCTION("""COMPUTED_VALUE"""),3.0)</f>
        <v>3</v>
      </c>
      <c r="E936" s="2">
        <f>IFERROR(__xludf.DUMMYFUNCTION("""COMPUTED_VALUE"""),80.0)</f>
        <v>80</v>
      </c>
      <c r="F936" s="2">
        <f>IFERROR(__xludf.DUMMYFUNCTION("""COMPUTED_VALUE"""),4.0)</f>
        <v>4</v>
      </c>
      <c r="G936" s="2">
        <f>IFERROR(__xludf.DUMMYFUNCTION("""COMPUTED_VALUE"""),4.0)</f>
        <v>4</v>
      </c>
      <c r="H936" s="2" t="str">
        <f>IFERROR(__xludf.DUMMYFUNCTION("""COMPUTED_VALUE"""),"Jaun.")</f>
        <v>Jaun.</v>
      </c>
      <c r="I936" s="2" t="str">
        <f>IFERROR(__xludf.DUMMYFUNCTION("""COMPUTED_VALUE"""),"Panel")</f>
        <v>Panel</v>
      </c>
      <c r="J936" s="2" t="str">
        <f>IFERROR(__xludf.DUMMYFUNCTION("""COMPUTED_VALUE"""),"All amenities")</f>
        <v>All amenities</v>
      </c>
      <c r="K936" s="2">
        <f>IFERROR(__xludf.DUMMYFUNCTION("""COMPUTED_VALUE"""),139000.0)</f>
        <v>139000</v>
      </c>
      <c r="L936" s="2">
        <f>IFERROR(__xludf.DUMMYFUNCTION("""COMPUTED_VALUE"""),56.9503372)</f>
        <v>56.9503372</v>
      </c>
      <c r="M936" s="2">
        <f>IFERROR(__xludf.DUMMYFUNCTION("""COMPUTED_VALUE"""),24.2445141015604)</f>
        <v>24.2445141</v>
      </c>
    </row>
    <row r="937">
      <c r="A937" s="2" t="str">
        <f>IFERROR(__xludf.DUMMYFUNCTION("""COMPUTED_VALUE"""),"For sale")</f>
        <v>For sale</v>
      </c>
      <c r="B937" s="2" t="str">
        <f>IFERROR(__xludf.DUMMYFUNCTION("""COMPUTED_VALUE"""),"Imanta")</f>
        <v>Imanta</v>
      </c>
      <c r="C937" s="2" t="str">
        <f>IFERROR(__xludf.DUMMYFUNCTION("""COMPUTED_VALUE"""),"Kleistu 18")</f>
        <v>Kleistu 18</v>
      </c>
      <c r="D937" s="2">
        <f>IFERROR(__xludf.DUMMYFUNCTION("""COMPUTED_VALUE"""),3.0)</f>
        <v>3</v>
      </c>
      <c r="E937" s="2">
        <f>IFERROR(__xludf.DUMMYFUNCTION("""COMPUTED_VALUE"""),60.0)</f>
        <v>60</v>
      </c>
      <c r="F937" s="2">
        <f>IFERROR(__xludf.DUMMYFUNCTION("""COMPUTED_VALUE"""),5.0)</f>
        <v>5</v>
      </c>
      <c r="G937" s="2">
        <f>IFERROR(__xludf.DUMMYFUNCTION("""COMPUTED_VALUE"""),5.0)</f>
        <v>5</v>
      </c>
      <c r="H937" s="2" t="str">
        <f>IFERROR(__xludf.DUMMYFUNCTION("""COMPUTED_VALUE"""),"LT proj.")</f>
        <v>LT proj.</v>
      </c>
      <c r="I937" s="2" t="str">
        <f>IFERROR(__xludf.DUMMYFUNCTION("""COMPUTED_VALUE"""),"Panel")</f>
        <v>Panel</v>
      </c>
      <c r="J937" s="2" t="str">
        <f>IFERROR(__xludf.DUMMYFUNCTION("""COMPUTED_VALUE"""),"All amenities")</f>
        <v>All amenities</v>
      </c>
      <c r="K937" s="2">
        <f>IFERROR(__xludf.DUMMYFUNCTION("""COMPUTED_VALUE"""),51900.0)</f>
        <v>51900</v>
      </c>
      <c r="L937" s="2">
        <f>IFERROR(__xludf.DUMMYFUNCTION("""COMPUTED_VALUE"""),56.9639239)</f>
        <v>56.9639239</v>
      </c>
      <c r="M937" s="2">
        <f>IFERROR(__xludf.DUMMYFUNCTION("""COMPUTED_VALUE"""),24.0250927)</f>
        <v>24.0250927</v>
      </c>
    </row>
    <row r="938">
      <c r="A938" s="2" t="str">
        <f>IFERROR(__xludf.DUMMYFUNCTION("""COMPUTED_VALUE"""),"For rent")</f>
        <v>For rent</v>
      </c>
      <c r="B938" s="2" t="str">
        <f>IFERROR(__xludf.DUMMYFUNCTION("""COMPUTED_VALUE"""),"centrs")</f>
        <v>centrs</v>
      </c>
      <c r="C938" s="2" t="str">
        <f>IFERROR(__xludf.DUMMYFUNCTION("""COMPUTED_VALUE"""),"Jeruzalemes 10")</f>
        <v>Jeruzalemes 10</v>
      </c>
      <c r="D938" s="2">
        <f>IFERROR(__xludf.DUMMYFUNCTION("""COMPUTED_VALUE"""),3.0)</f>
        <v>3</v>
      </c>
      <c r="E938" s="2">
        <f>IFERROR(__xludf.DUMMYFUNCTION("""COMPUTED_VALUE"""),125.0)</f>
        <v>125</v>
      </c>
      <c r="F938" s="2">
        <f>IFERROR(__xludf.DUMMYFUNCTION("""COMPUTED_VALUE"""),5.0)</f>
        <v>5</v>
      </c>
      <c r="G938" s="2">
        <f>IFERROR(__xludf.DUMMYFUNCTION("""COMPUTED_VALUE"""),2.0)</f>
        <v>2</v>
      </c>
      <c r="H938" s="2" t="str">
        <f>IFERROR(__xludf.DUMMYFUNCTION("""COMPUTED_VALUE"""),"Jaun.")</f>
        <v>Jaun.</v>
      </c>
      <c r="I938" s="2" t="str">
        <f>IFERROR(__xludf.DUMMYFUNCTION("""COMPUTED_VALUE"""),"Panel")</f>
        <v>Panel</v>
      </c>
      <c r="J938" s="2" t="str">
        <f>IFERROR(__xludf.DUMMYFUNCTION("""COMPUTED_VALUE"""),"All amenities")</f>
        <v>All amenities</v>
      </c>
      <c r="K938" s="2">
        <f>IFERROR(__xludf.DUMMYFUNCTION("""COMPUTED_VALUE"""),1350.0)</f>
        <v>1350</v>
      </c>
      <c r="L938" s="2">
        <f>IFERROR(__xludf.DUMMYFUNCTION("""COMPUTED_VALUE"""),56.9578148)</f>
        <v>56.9578148</v>
      </c>
      <c r="M938" s="2">
        <f>IFERROR(__xludf.DUMMYFUNCTION("""COMPUTED_VALUE"""),24.1142082)</f>
        <v>24.1142082</v>
      </c>
    </row>
    <row r="939">
      <c r="A939" s="2" t="str">
        <f>IFERROR(__xludf.DUMMYFUNCTION("""COMPUTED_VALUE"""),"For sale")</f>
        <v>For sale</v>
      </c>
      <c r="B939" s="2" t="str">
        <f>IFERROR(__xludf.DUMMYFUNCTION("""COMPUTED_VALUE"""),"Pļavnieki")</f>
        <v>Pļavnieki</v>
      </c>
      <c r="C939" s="2" t="str">
        <f>IFERROR(__xludf.DUMMYFUNCTION("""COMPUTED_VALUE"""),"Slāvu 13 k-2")</f>
        <v>Slāvu 13 k-2</v>
      </c>
      <c r="D939" s="2">
        <f>IFERROR(__xludf.DUMMYFUNCTION("""COMPUTED_VALUE"""),2.0)</f>
        <v>2</v>
      </c>
      <c r="E939" s="2">
        <f>IFERROR(__xludf.DUMMYFUNCTION("""COMPUTED_VALUE"""),51.0)</f>
        <v>51</v>
      </c>
      <c r="F939" s="2">
        <f>IFERROR(__xludf.DUMMYFUNCTION("""COMPUTED_VALUE"""),2.0)</f>
        <v>2</v>
      </c>
      <c r="G939" s="2">
        <f>IFERROR(__xludf.DUMMYFUNCTION("""COMPUTED_VALUE"""),9.0)</f>
        <v>9</v>
      </c>
      <c r="H939" s="2">
        <f>IFERROR(__xludf.DUMMYFUNCTION("""COMPUTED_VALUE"""),602.0)</f>
        <v>602</v>
      </c>
      <c r="I939" s="2" t="str">
        <f>IFERROR(__xludf.DUMMYFUNCTION("""COMPUTED_VALUE"""),"Panel")</f>
        <v>Panel</v>
      </c>
      <c r="J939" s="2" t="str">
        <f>IFERROR(__xludf.DUMMYFUNCTION("""COMPUTED_VALUE"""),"All amenities")</f>
        <v>All amenities</v>
      </c>
      <c r="K939" s="2">
        <f>IFERROR(__xludf.DUMMYFUNCTION("""COMPUTED_VALUE"""),57850.0)</f>
        <v>57850</v>
      </c>
      <c r="L939" s="2" t="str">
        <f>IFERROR(__xludf.DUMMYFUNCTION("""COMPUTED_VALUE"""),"NaN")</f>
        <v>NaN</v>
      </c>
      <c r="M939" s="2" t="str">
        <f>IFERROR(__xludf.DUMMYFUNCTION("""COMPUTED_VALUE"""),"NaN")</f>
        <v>NaN</v>
      </c>
    </row>
    <row r="940">
      <c r="A940" s="2" t="str">
        <f>IFERROR(__xludf.DUMMYFUNCTION("""COMPUTED_VALUE"""),"For sale")</f>
        <v>For sale</v>
      </c>
      <c r="B940" s="2" t="str">
        <f>IFERROR(__xludf.DUMMYFUNCTION("""COMPUTED_VALUE"""),"Jugla")</f>
        <v>Jugla</v>
      </c>
      <c r="C940" s="2" t="str">
        <f>IFERROR(__xludf.DUMMYFUNCTION("""COMPUTED_VALUE"""),"Vangažu 26")</f>
        <v>Vangažu 26</v>
      </c>
      <c r="D940" s="2">
        <f>IFERROR(__xludf.DUMMYFUNCTION("""COMPUTED_VALUE"""),3.0)</f>
        <v>3</v>
      </c>
      <c r="E940" s="2">
        <f>IFERROR(__xludf.DUMMYFUNCTION("""COMPUTED_VALUE"""),74.0)</f>
        <v>74</v>
      </c>
      <c r="F940" s="2">
        <f>IFERROR(__xludf.DUMMYFUNCTION("""COMPUTED_VALUE"""),11.0)</f>
        <v>11</v>
      </c>
      <c r="G940" s="2">
        <f>IFERROR(__xludf.DUMMYFUNCTION("""COMPUTED_VALUE"""),12.0)</f>
        <v>12</v>
      </c>
      <c r="H940" s="2" t="str">
        <f>IFERROR(__xludf.DUMMYFUNCTION("""COMPUTED_VALUE"""),"Čehu pr.")</f>
        <v>Čehu pr.</v>
      </c>
      <c r="I940" s="2" t="str">
        <f>IFERROR(__xludf.DUMMYFUNCTION("""COMPUTED_VALUE"""),"Brick")</f>
        <v>Brick</v>
      </c>
      <c r="J940" s="2" t="str">
        <f>IFERROR(__xludf.DUMMYFUNCTION("""COMPUTED_VALUE"""),"All amenities")</f>
        <v>All amenities</v>
      </c>
      <c r="K940" s="2">
        <f>IFERROR(__xludf.DUMMYFUNCTION("""COMPUTED_VALUE"""),87000.0)</f>
        <v>87000</v>
      </c>
      <c r="L940" s="2">
        <f>IFERROR(__xludf.DUMMYFUNCTION("""COMPUTED_VALUE"""),56.98611335)</f>
        <v>56.98611335</v>
      </c>
      <c r="M940" s="2">
        <f>IFERROR(__xludf.DUMMYFUNCTION("""COMPUTED_VALUE"""),24.2271377668153)</f>
        <v>24.22713777</v>
      </c>
    </row>
    <row r="941">
      <c r="A941" s="2" t="str">
        <f>IFERROR(__xludf.DUMMYFUNCTION("""COMPUTED_VALUE"""),"For sale")</f>
        <v>For sale</v>
      </c>
      <c r="B941" s="2" t="str">
        <f>IFERROR(__xludf.DUMMYFUNCTION("""COMPUTED_VALUE"""),"Sarkandaugava")</f>
        <v>Sarkandaugava</v>
      </c>
      <c r="C941" s="2" t="str">
        <f>IFERROR(__xludf.DUMMYFUNCTION("""COMPUTED_VALUE"""),"Hāpsalas 21")</f>
        <v>Hāpsalas 21</v>
      </c>
      <c r="D941" s="2">
        <f>IFERROR(__xludf.DUMMYFUNCTION("""COMPUTED_VALUE"""),1.0)</f>
        <v>1</v>
      </c>
      <c r="E941" s="2">
        <f>IFERROR(__xludf.DUMMYFUNCTION("""COMPUTED_VALUE"""),24.0)</f>
        <v>24</v>
      </c>
      <c r="F941" s="2">
        <f>IFERROR(__xludf.DUMMYFUNCTION("""COMPUTED_VALUE"""),2.0)</f>
        <v>2</v>
      </c>
      <c r="G941" s="2">
        <f>IFERROR(__xludf.DUMMYFUNCTION("""COMPUTED_VALUE"""),2.0)</f>
        <v>2</v>
      </c>
      <c r="H941" s="2" t="str">
        <f>IFERROR(__xludf.DUMMYFUNCTION("""COMPUTED_VALUE"""),"P. kara")</f>
        <v>P. kara</v>
      </c>
      <c r="I941" s="2" t="str">
        <f>IFERROR(__xludf.DUMMYFUNCTION("""COMPUTED_VALUE"""),"Brick")</f>
        <v>Brick</v>
      </c>
      <c r="J941" s="2" t="str">
        <f>IFERROR(__xludf.DUMMYFUNCTION("""COMPUTED_VALUE"""),"Partial amenities")</f>
        <v>Partial amenities</v>
      </c>
      <c r="K941" s="2">
        <f>IFERROR(__xludf.DUMMYFUNCTION("""COMPUTED_VALUE"""),7900.0)</f>
        <v>7900</v>
      </c>
      <c r="L941" s="2">
        <f>IFERROR(__xludf.DUMMYFUNCTION("""COMPUTED_VALUE"""),57.00301175)</f>
        <v>57.00301175</v>
      </c>
      <c r="M941" s="2">
        <f>IFERROR(__xludf.DUMMYFUNCTION("""COMPUTED_VALUE"""),24.120898893399)</f>
        <v>24.12089889</v>
      </c>
    </row>
    <row r="942">
      <c r="A942" s="2" t="str">
        <f>IFERROR(__xludf.DUMMYFUNCTION("""COMPUTED_VALUE"""),"For sale")</f>
        <v>For sale</v>
      </c>
      <c r="B942" s="2" t="str">
        <f>IFERROR(__xludf.DUMMYFUNCTION("""COMPUTED_VALUE"""),"Voleri")</f>
        <v>Voleri</v>
      </c>
      <c r="C942" s="2" t="str">
        <f>IFERROR(__xludf.DUMMYFUNCTION("""COMPUTED_VALUE"""),"Daugavgrīvas š. 1b")</f>
        <v>Daugavgrīvas š. 1b</v>
      </c>
      <c r="D942" s="2">
        <f>IFERROR(__xludf.DUMMYFUNCTION("""COMPUTED_VALUE"""),1.0)</f>
        <v>1</v>
      </c>
      <c r="E942" s="2">
        <f>IFERROR(__xludf.DUMMYFUNCTION("""COMPUTED_VALUE"""),28.0)</f>
        <v>28</v>
      </c>
      <c r="F942" s="2">
        <f>IFERROR(__xludf.DUMMYFUNCTION("""COMPUTED_VALUE"""),1.0)</f>
        <v>1</v>
      </c>
      <c r="G942" s="2">
        <f>IFERROR(__xludf.DUMMYFUNCTION("""COMPUTED_VALUE"""),3.0)</f>
        <v>3</v>
      </c>
      <c r="H942" s="2" t="str">
        <f>IFERROR(__xludf.DUMMYFUNCTION("""COMPUTED_VALUE"""),"Specpr.")</f>
        <v>Specpr.</v>
      </c>
      <c r="I942" s="2" t="str">
        <f>IFERROR(__xludf.DUMMYFUNCTION("""COMPUTED_VALUE"""),"Masonry")</f>
        <v>Masonry</v>
      </c>
      <c r="J942" s="2" t="str">
        <f>IFERROR(__xludf.DUMMYFUNCTION("""COMPUTED_VALUE"""),"Partial amenities")</f>
        <v>Partial amenities</v>
      </c>
      <c r="K942" s="2">
        <f>IFERROR(__xludf.DUMMYFUNCTION("""COMPUTED_VALUE"""),17500.0)</f>
        <v>17500</v>
      </c>
      <c r="L942" s="2" t="str">
        <f>IFERROR(__xludf.DUMMYFUNCTION("""COMPUTED_VALUE"""),"NaN")</f>
        <v>NaN</v>
      </c>
      <c r="M942" s="2" t="str">
        <f>IFERROR(__xludf.DUMMYFUNCTION("""COMPUTED_VALUE"""),"NaN")</f>
        <v>NaN</v>
      </c>
    </row>
    <row r="943">
      <c r="A943" s="2" t="str">
        <f>IFERROR(__xludf.DUMMYFUNCTION("""COMPUTED_VALUE"""),"For sale")</f>
        <v>For sale</v>
      </c>
      <c r="B943" s="2" t="str">
        <f>IFERROR(__xludf.DUMMYFUNCTION("""COMPUTED_VALUE"""),"Pļavnieki")</f>
        <v>Pļavnieki</v>
      </c>
      <c r="C943" s="2" t="str">
        <f>IFERROR(__xludf.DUMMYFUNCTION("""COMPUTED_VALUE"""),"Pļavnieku 3")</f>
        <v>Pļavnieku 3</v>
      </c>
      <c r="D943" s="2">
        <f>IFERROR(__xludf.DUMMYFUNCTION("""COMPUTED_VALUE"""),2.0)</f>
        <v>2</v>
      </c>
      <c r="E943" s="2">
        <f>IFERROR(__xludf.DUMMYFUNCTION("""COMPUTED_VALUE"""),51.0)</f>
        <v>51</v>
      </c>
      <c r="F943" s="2">
        <f>IFERROR(__xludf.DUMMYFUNCTION("""COMPUTED_VALUE"""),3.0)</f>
        <v>3</v>
      </c>
      <c r="G943" s="2">
        <f>IFERROR(__xludf.DUMMYFUNCTION("""COMPUTED_VALUE"""),9.0)</f>
        <v>9</v>
      </c>
      <c r="H943" s="2">
        <f>IFERROR(__xludf.DUMMYFUNCTION("""COMPUTED_VALUE"""),602.0)</f>
        <v>602</v>
      </c>
      <c r="I943" s="2" t="str">
        <f>IFERROR(__xludf.DUMMYFUNCTION("""COMPUTED_VALUE"""),"Panel")</f>
        <v>Panel</v>
      </c>
      <c r="J943" s="2" t="str">
        <f>IFERROR(__xludf.DUMMYFUNCTION("""COMPUTED_VALUE"""),"All amenities")</f>
        <v>All amenities</v>
      </c>
      <c r="K943" s="2">
        <f>IFERROR(__xludf.DUMMYFUNCTION("""COMPUTED_VALUE"""),59500.0)</f>
        <v>59500</v>
      </c>
      <c r="L943" s="2">
        <f>IFERROR(__xludf.DUMMYFUNCTION("""COMPUTED_VALUE"""),56.9427642)</f>
        <v>56.9427642</v>
      </c>
      <c r="M943" s="2">
        <f>IFERROR(__xludf.DUMMYFUNCTION("""COMPUTED_VALUE"""),24.2090708)</f>
        <v>24.2090708</v>
      </c>
    </row>
    <row r="944">
      <c r="A944" s="2" t="str">
        <f>IFERROR(__xludf.DUMMYFUNCTION("""COMPUTED_VALUE"""),"For rent")</f>
        <v>For rent</v>
      </c>
      <c r="B944" s="2" t="str">
        <f>IFERROR(__xludf.DUMMYFUNCTION("""COMPUTED_VALUE"""),"Zolitūde")</f>
        <v>Zolitūde</v>
      </c>
      <c r="C944" s="2" t="str">
        <f>IFERROR(__xludf.DUMMYFUNCTION("""COMPUTED_VALUE"""),"Anniņmuižas 20")</f>
        <v>Anniņmuižas 20</v>
      </c>
      <c r="D944" s="2">
        <f>IFERROR(__xludf.DUMMYFUNCTION("""COMPUTED_VALUE"""),4.0)</f>
        <v>4</v>
      </c>
      <c r="E944" s="2">
        <f>IFERROR(__xludf.DUMMYFUNCTION("""COMPUTED_VALUE"""),104.0)</f>
        <v>104</v>
      </c>
      <c r="F944" s="2">
        <f>IFERROR(__xludf.DUMMYFUNCTION("""COMPUTED_VALUE"""),4.0)</f>
        <v>4</v>
      </c>
      <c r="G944" s="2">
        <f>IFERROR(__xludf.DUMMYFUNCTION("""COMPUTED_VALUE"""),6.0)</f>
        <v>6</v>
      </c>
      <c r="H944" s="2" t="str">
        <f>IFERROR(__xludf.DUMMYFUNCTION("""COMPUTED_VALUE"""),"Jaun.")</f>
        <v>Jaun.</v>
      </c>
      <c r="I944" s="2" t="str">
        <f>IFERROR(__xludf.DUMMYFUNCTION("""COMPUTED_VALUE"""),"Panel")</f>
        <v>Panel</v>
      </c>
      <c r="J944" s="2" t="str">
        <f>IFERROR(__xludf.DUMMYFUNCTION("""COMPUTED_VALUE"""),"All amenities")</f>
        <v>All amenities</v>
      </c>
      <c r="K944" s="2">
        <f>IFERROR(__xludf.DUMMYFUNCTION("""COMPUTED_VALUE"""),628.0)</f>
        <v>628</v>
      </c>
      <c r="L944" s="2">
        <f>IFERROR(__xludf.DUMMYFUNCTION("""COMPUTED_VALUE"""),56.94280435)</f>
        <v>56.94280435</v>
      </c>
      <c r="M944" s="2">
        <f>IFERROR(__xludf.DUMMYFUNCTION("""COMPUTED_VALUE"""),24.0172291938734)</f>
        <v>24.01722919</v>
      </c>
    </row>
    <row r="945">
      <c r="A945" s="2" t="str">
        <f>IFERROR(__xludf.DUMMYFUNCTION("""COMPUTED_VALUE"""),"For rent")</f>
        <v>For rent</v>
      </c>
      <c r="B945" s="2" t="str">
        <f>IFERROR(__xludf.DUMMYFUNCTION("""COMPUTED_VALUE"""),"centrs")</f>
        <v>centrs</v>
      </c>
      <c r="C945" s="2" t="str">
        <f>IFERROR(__xludf.DUMMYFUNCTION("""COMPUTED_VALUE"""),"Dzirnavu 63")</f>
        <v>Dzirnavu 63</v>
      </c>
      <c r="D945" s="2">
        <f>IFERROR(__xludf.DUMMYFUNCTION("""COMPUTED_VALUE"""),2.0)</f>
        <v>2</v>
      </c>
      <c r="E945" s="2">
        <f>IFERROR(__xludf.DUMMYFUNCTION("""COMPUTED_VALUE"""),52.4)</f>
        <v>52.4</v>
      </c>
      <c r="F945" s="2">
        <f>IFERROR(__xludf.DUMMYFUNCTION("""COMPUTED_VALUE"""),4.0)</f>
        <v>4</v>
      </c>
      <c r="G945" s="2">
        <f>IFERROR(__xludf.DUMMYFUNCTION("""COMPUTED_VALUE"""),6.0)</f>
        <v>6</v>
      </c>
      <c r="H945" s="2" t="str">
        <f>IFERROR(__xludf.DUMMYFUNCTION("""COMPUTED_VALUE"""),"P. kara")</f>
        <v>P. kara</v>
      </c>
      <c r="I945" s="2" t="str">
        <f>IFERROR(__xludf.DUMMYFUNCTION("""COMPUTED_VALUE"""),"Masonry")</f>
        <v>Masonry</v>
      </c>
      <c r="J945" s="2" t="str">
        <f>IFERROR(__xludf.DUMMYFUNCTION("""COMPUTED_VALUE"""),"All amenities")</f>
        <v>All amenities</v>
      </c>
      <c r="K945" s="2">
        <f>IFERROR(__xludf.DUMMYFUNCTION("""COMPUTED_VALUE"""),900.0)</f>
        <v>900</v>
      </c>
      <c r="L945" s="2">
        <f>IFERROR(__xludf.DUMMYFUNCTION("""COMPUTED_VALUE"""),56.9548743)</f>
        <v>56.9548743</v>
      </c>
      <c r="M945" s="2">
        <f>IFERROR(__xludf.DUMMYFUNCTION("""COMPUTED_VALUE"""),24.120069)</f>
        <v>24.120069</v>
      </c>
    </row>
    <row r="946">
      <c r="A946" s="2" t="str">
        <f>IFERROR(__xludf.DUMMYFUNCTION("""COMPUTED_VALUE"""),"For rent")</f>
        <v>For rent</v>
      </c>
      <c r="B946" s="2" t="str">
        <f>IFERROR(__xludf.DUMMYFUNCTION("""COMPUTED_VALUE"""),"centrs")</f>
        <v>centrs</v>
      </c>
      <c r="C946" s="2" t="str">
        <f>IFERROR(__xludf.DUMMYFUNCTION("""COMPUTED_VALUE"""),"Rūpniecības 21 k-1")</f>
        <v>Rūpniecības 21 k-1</v>
      </c>
      <c r="D946" s="2">
        <f>IFERROR(__xludf.DUMMYFUNCTION("""COMPUTED_VALUE"""),2.0)</f>
        <v>2</v>
      </c>
      <c r="E946" s="2">
        <f>IFERROR(__xludf.DUMMYFUNCTION("""COMPUTED_VALUE"""),75.0)</f>
        <v>75</v>
      </c>
      <c r="F946" s="2">
        <f>IFERROR(__xludf.DUMMYFUNCTION("""COMPUTED_VALUE"""),3.0)</f>
        <v>3</v>
      </c>
      <c r="G946" s="2">
        <f>IFERROR(__xludf.DUMMYFUNCTION("""COMPUTED_VALUE"""),6.0)</f>
        <v>6</v>
      </c>
      <c r="H946" s="2" t="str">
        <f>IFERROR(__xludf.DUMMYFUNCTION("""COMPUTED_VALUE"""),"Jaun.")</f>
        <v>Jaun.</v>
      </c>
      <c r="I946" s="2" t="str">
        <f>IFERROR(__xludf.DUMMYFUNCTION("""COMPUTED_VALUE"""),"Panel")</f>
        <v>Panel</v>
      </c>
      <c r="J946" s="2" t="str">
        <f>IFERROR(__xludf.DUMMYFUNCTION("""COMPUTED_VALUE"""),"All amenities")</f>
        <v>All amenities</v>
      </c>
      <c r="K946" s="2">
        <f>IFERROR(__xludf.DUMMYFUNCTION("""COMPUTED_VALUE"""),850.0)</f>
        <v>850</v>
      </c>
      <c r="L946" s="2" t="str">
        <f>IFERROR(__xludf.DUMMYFUNCTION("""COMPUTED_VALUE"""),"NaN")</f>
        <v>NaN</v>
      </c>
      <c r="M946" s="2" t="str">
        <f>IFERROR(__xludf.DUMMYFUNCTION("""COMPUTED_VALUE"""),"NaN")</f>
        <v>NaN</v>
      </c>
    </row>
    <row r="947">
      <c r="A947" s="2" t="str">
        <f>IFERROR(__xludf.DUMMYFUNCTION("""COMPUTED_VALUE"""),"For sale")</f>
        <v>For sale</v>
      </c>
      <c r="B947" s="2" t="str">
        <f>IFERROR(__xludf.DUMMYFUNCTION("""COMPUTED_VALUE"""),"Zolitūde")</f>
        <v>Zolitūde</v>
      </c>
      <c r="C947" s="2" t="str">
        <f>IFERROR(__xludf.DUMMYFUNCTION("""COMPUTED_VALUE"""),"Gramzdas 80")</f>
        <v>Gramzdas 80</v>
      </c>
      <c r="D947" s="2">
        <f>IFERROR(__xludf.DUMMYFUNCTION("""COMPUTED_VALUE"""),3.0)</f>
        <v>3</v>
      </c>
      <c r="E947" s="2">
        <f>IFERROR(__xludf.DUMMYFUNCTION("""COMPUTED_VALUE"""),109.0)</f>
        <v>109</v>
      </c>
      <c r="F947" s="2">
        <f>IFERROR(__xludf.DUMMYFUNCTION("""COMPUTED_VALUE"""),1.0)</f>
        <v>1</v>
      </c>
      <c r="G947" s="2">
        <f>IFERROR(__xludf.DUMMYFUNCTION("""COMPUTED_VALUE"""),4.0)</f>
        <v>4</v>
      </c>
      <c r="H947" s="2" t="str">
        <f>IFERROR(__xludf.DUMMYFUNCTION("""COMPUTED_VALUE"""),"Jaun.")</f>
        <v>Jaun.</v>
      </c>
      <c r="I947" s="2" t="str">
        <f>IFERROR(__xludf.DUMMYFUNCTION("""COMPUTED_VALUE"""),"Brick-Panel")</f>
        <v>Brick-Panel</v>
      </c>
      <c r="J947" s="2" t="str">
        <f>IFERROR(__xludf.DUMMYFUNCTION("""COMPUTED_VALUE"""),"All amenities")</f>
        <v>All amenities</v>
      </c>
      <c r="K947" s="2">
        <f>IFERROR(__xludf.DUMMYFUNCTION("""COMPUTED_VALUE"""),142000.0)</f>
        <v>142000</v>
      </c>
      <c r="L947" s="2">
        <f>IFERROR(__xludf.DUMMYFUNCTION("""COMPUTED_VALUE"""),56.94145735)</f>
        <v>56.94145735</v>
      </c>
      <c r="M947" s="2">
        <f>IFERROR(__xludf.DUMMYFUNCTION("""COMPUTED_VALUE"""),24.0030188392346)</f>
        <v>24.00301884</v>
      </c>
    </row>
    <row r="948">
      <c r="A948" s="2" t="str">
        <f>IFERROR(__xludf.DUMMYFUNCTION("""COMPUTED_VALUE"""),"For sale")</f>
        <v>For sale</v>
      </c>
      <c r="B948" s="2" t="str">
        <f>IFERROR(__xludf.DUMMYFUNCTION("""COMPUTED_VALUE"""),"Grīziņkalns")</f>
        <v>Grīziņkalns</v>
      </c>
      <c r="C948" s="2" t="str">
        <f>IFERROR(__xludf.DUMMYFUNCTION("""COMPUTED_VALUE"""),"Zvaigžņu 13c")</f>
        <v>Zvaigžņu 13c</v>
      </c>
      <c r="D948" s="2">
        <f>IFERROR(__xludf.DUMMYFUNCTION("""COMPUTED_VALUE"""),1.0)</f>
        <v>1</v>
      </c>
      <c r="E948" s="2">
        <f>IFERROR(__xludf.DUMMYFUNCTION("""COMPUTED_VALUE"""),27.0)</f>
        <v>27</v>
      </c>
      <c r="F948" s="2">
        <f>IFERROR(__xludf.DUMMYFUNCTION("""COMPUTED_VALUE"""),2.0)</f>
        <v>2</v>
      </c>
      <c r="G948" s="2">
        <f>IFERROR(__xludf.DUMMYFUNCTION("""COMPUTED_VALUE"""),5.0)</f>
        <v>5</v>
      </c>
      <c r="H948" s="2" t="str">
        <f>IFERROR(__xludf.DUMMYFUNCTION("""COMPUTED_VALUE"""),"P. kara")</f>
        <v>P. kara</v>
      </c>
      <c r="I948" s="2" t="str">
        <f>IFERROR(__xludf.DUMMYFUNCTION("""COMPUTED_VALUE"""),"Brick")</f>
        <v>Brick</v>
      </c>
      <c r="J948" s="2" t="str">
        <f>IFERROR(__xludf.DUMMYFUNCTION("""COMPUTED_VALUE"""),"All amenities")</f>
        <v>All amenities</v>
      </c>
      <c r="K948" s="2">
        <f>IFERROR(__xludf.DUMMYFUNCTION("""COMPUTED_VALUE"""),22500.0)</f>
        <v>22500</v>
      </c>
      <c r="L948" s="2">
        <f>IFERROR(__xludf.DUMMYFUNCTION("""COMPUTED_VALUE"""),56.960182)</f>
        <v>56.960182</v>
      </c>
      <c r="M948" s="2">
        <f>IFERROR(__xludf.DUMMYFUNCTION("""COMPUTED_VALUE"""),24.1473114)</f>
        <v>24.1473114</v>
      </c>
    </row>
    <row r="949">
      <c r="A949" s="2" t="str">
        <f>IFERROR(__xludf.DUMMYFUNCTION("""COMPUTED_VALUE"""),"For sale")</f>
        <v>For sale</v>
      </c>
      <c r="B949" s="2" t="str">
        <f>IFERROR(__xludf.DUMMYFUNCTION("""COMPUTED_VALUE"""),"Vecrīga")</f>
        <v>Vecrīga</v>
      </c>
      <c r="C949" s="2" t="str">
        <f>IFERROR(__xludf.DUMMYFUNCTION("""COMPUTED_VALUE"""),"13. janvāra 33")</f>
        <v>13. janvāra 33</v>
      </c>
      <c r="D949" s="2">
        <f>IFERROR(__xludf.DUMMYFUNCTION("""COMPUTED_VALUE"""),3.0)</f>
        <v>3</v>
      </c>
      <c r="E949" s="2">
        <f>IFERROR(__xludf.DUMMYFUNCTION("""COMPUTED_VALUE"""),125.0)</f>
        <v>125</v>
      </c>
      <c r="F949" s="2">
        <f>IFERROR(__xludf.DUMMYFUNCTION("""COMPUTED_VALUE"""),3.0)</f>
        <v>3</v>
      </c>
      <c r="G949" s="2">
        <f>IFERROR(__xludf.DUMMYFUNCTION("""COMPUTED_VALUE"""),4.0)</f>
        <v>4</v>
      </c>
      <c r="H949" s="2" t="str">
        <f>IFERROR(__xludf.DUMMYFUNCTION("""COMPUTED_VALUE"""),"Renov.")</f>
        <v>Renov.</v>
      </c>
      <c r="I949" s="2" t="str">
        <f>IFERROR(__xludf.DUMMYFUNCTION("""COMPUTED_VALUE"""),"Masonry")</f>
        <v>Masonry</v>
      </c>
      <c r="J949" s="2" t="str">
        <f>IFERROR(__xludf.DUMMYFUNCTION("""COMPUTED_VALUE"""),"All amenities")</f>
        <v>All amenities</v>
      </c>
      <c r="K949" s="2">
        <f>IFERROR(__xludf.DUMMYFUNCTION("""COMPUTED_VALUE"""),300000.0)</f>
        <v>300000</v>
      </c>
      <c r="L949" s="2">
        <f>IFERROR(__xludf.DUMMYFUNCTION("""COMPUTED_VALUE"""),56.94451965)</f>
        <v>56.94451965</v>
      </c>
      <c r="M949" s="2">
        <f>IFERROR(__xludf.DUMMYFUNCTION("""COMPUTED_VALUE"""),24.1097848172545)</f>
        <v>24.10978482</v>
      </c>
    </row>
    <row r="950">
      <c r="A950" s="2" t="str">
        <f>IFERROR(__xludf.DUMMYFUNCTION("""COMPUTED_VALUE"""),"For sale")</f>
        <v>For sale</v>
      </c>
      <c r="B950" s="2" t="str">
        <f>IFERROR(__xludf.DUMMYFUNCTION("""COMPUTED_VALUE"""),"Bolderāja")</f>
        <v>Bolderāja</v>
      </c>
      <c r="C950" s="2" t="str">
        <f>IFERROR(__xludf.DUMMYFUNCTION("""COMPUTED_VALUE"""),"Gobas 32")</f>
        <v>Gobas 32</v>
      </c>
      <c r="D950" s="2">
        <f>IFERROR(__xludf.DUMMYFUNCTION("""COMPUTED_VALUE"""),1.0)</f>
        <v>1</v>
      </c>
      <c r="E950" s="2">
        <f>IFERROR(__xludf.DUMMYFUNCTION("""COMPUTED_VALUE"""),34.0)</f>
        <v>34</v>
      </c>
      <c r="F950" s="2">
        <f>IFERROR(__xludf.DUMMYFUNCTION("""COMPUTED_VALUE"""),2.0)</f>
        <v>2</v>
      </c>
      <c r="G950" s="2">
        <f>IFERROR(__xludf.DUMMYFUNCTION("""COMPUTED_VALUE"""),5.0)</f>
        <v>5</v>
      </c>
      <c r="H950" s="2">
        <f>IFERROR(__xludf.DUMMYFUNCTION("""COMPUTED_VALUE"""),103.0)</f>
        <v>103</v>
      </c>
      <c r="I950" s="2" t="str">
        <f>IFERROR(__xludf.DUMMYFUNCTION("""COMPUTED_VALUE"""),"Brick-Panel")</f>
        <v>Brick-Panel</v>
      </c>
      <c r="J950" s="2" t="str">
        <f>IFERROR(__xludf.DUMMYFUNCTION("""COMPUTED_VALUE"""),"All amenities")</f>
        <v>All amenities</v>
      </c>
      <c r="K950" s="2">
        <f>IFERROR(__xludf.DUMMYFUNCTION("""COMPUTED_VALUE"""),25000.0)</f>
        <v>25000</v>
      </c>
      <c r="L950" s="2">
        <f>IFERROR(__xludf.DUMMYFUNCTION("""COMPUTED_VALUE"""),57.0285047)</f>
        <v>57.0285047</v>
      </c>
      <c r="M950" s="2">
        <f>IFERROR(__xludf.DUMMYFUNCTION("""COMPUTED_VALUE"""),24.0544534)</f>
        <v>24.0544534</v>
      </c>
    </row>
    <row r="951">
      <c r="A951" s="2" t="str">
        <f>IFERROR(__xludf.DUMMYFUNCTION("""COMPUTED_VALUE"""),"For sale")</f>
        <v>For sale</v>
      </c>
      <c r="B951" s="2" t="str">
        <f>IFERROR(__xludf.DUMMYFUNCTION("""COMPUTED_VALUE"""),"centrs")</f>
        <v>centrs</v>
      </c>
      <c r="C951" s="2" t="str">
        <f>IFERROR(__xludf.DUMMYFUNCTION("""COMPUTED_VALUE"""),"Barona 36")</f>
        <v>Barona 36</v>
      </c>
      <c r="D951" s="2">
        <f>IFERROR(__xludf.DUMMYFUNCTION("""COMPUTED_VALUE"""),3.0)</f>
        <v>3</v>
      </c>
      <c r="E951" s="2">
        <f>IFERROR(__xludf.DUMMYFUNCTION("""COMPUTED_VALUE"""),82.0)</f>
        <v>82</v>
      </c>
      <c r="F951" s="2">
        <f>IFERROR(__xludf.DUMMYFUNCTION("""COMPUTED_VALUE"""),6.0)</f>
        <v>6</v>
      </c>
      <c r="G951" s="2">
        <f>IFERROR(__xludf.DUMMYFUNCTION("""COMPUTED_VALUE"""),7.0)</f>
        <v>7</v>
      </c>
      <c r="H951" s="2" t="str">
        <f>IFERROR(__xludf.DUMMYFUNCTION("""COMPUTED_VALUE"""),"Renov.")</f>
        <v>Renov.</v>
      </c>
      <c r="I951" s="2" t="str">
        <f>IFERROR(__xludf.DUMMYFUNCTION("""COMPUTED_VALUE"""),"Masonry")</f>
        <v>Masonry</v>
      </c>
      <c r="J951" s="2" t="str">
        <f>IFERROR(__xludf.DUMMYFUNCTION("""COMPUTED_VALUE"""),"All amenities")</f>
        <v>All amenities</v>
      </c>
      <c r="K951" s="2">
        <f>IFERROR(__xludf.DUMMYFUNCTION("""COMPUTED_VALUE"""),153000.0)</f>
        <v>153000</v>
      </c>
      <c r="L951" s="2">
        <f>IFERROR(__xludf.DUMMYFUNCTION("""COMPUTED_VALUE"""),56.9531436)</f>
        <v>56.9531436</v>
      </c>
      <c r="M951" s="2">
        <f>IFERROR(__xludf.DUMMYFUNCTION("""COMPUTED_VALUE"""),24.1255034)</f>
        <v>24.1255034</v>
      </c>
    </row>
    <row r="952">
      <c r="A952" s="2" t="str">
        <f>IFERROR(__xludf.DUMMYFUNCTION("""COMPUTED_VALUE"""),"For sale")</f>
        <v>For sale</v>
      </c>
      <c r="B952" s="2" t="str">
        <f>IFERROR(__xludf.DUMMYFUNCTION("""COMPUTED_VALUE"""),"Iļģuciems")</f>
        <v>Iļģuciems</v>
      </c>
      <c r="C952" s="2" t="str">
        <f>IFERROR(__xludf.DUMMYFUNCTION("""COMPUTED_VALUE"""),"Garā 33")</f>
        <v>Garā 33</v>
      </c>
      <c r="D952" s="2">
        <f>IFERROR(__xludf.DUMMYFUNCTION("""COMPUTED_VALUE"""),3.0)</f>
        <v>3</v>
      </c>
      <c r="E952" s="2">
        <f>IFERROR(__xludf.DUMMYFUNCTION("""COMPUTED_VALUE"""),54.0)</f>
        <v>54</v>
      </c>
      <c r="F952" s="2">
        <f>IFERROR(__xludf.DUMMYFUNCTION("""COMPUTED_VALUE"""),3.0)</f>
        <v>3</v>
      </c>
      <c r="G952" s="2">
        <f>IFERROR(__xludf.DUMMYFUNCTION("""COMPUTED_VALUE"""),5.0)</f>
        <v>5</v>
      </c>
      <c r="H952" s="2" t="str">
        <f>IFERROR(__xludf.DUMMYFUNCTION("""COMPUTED_VALUE"""),"LT proj.")</f>
        <v>LT proj.</v>
      </c>
      <c r="I952" s="2" t="str">
        <f>IFERROR(__xludf.DUMMYFUNCTION("""COMPUTED_VALUE"""),"Panel")</f>
        <v>Panel</v>
      </c>
      <c r="J952" s="2" t="str">
        <f>IFERROR(__xludf.DUMMYFUNCTION("""COMPUTED_VALUE"""),"All amenities")</f>
        <v>All amenities</v>
      </c>
      <c r="K952" s="2">
        <f>IFERROR(__xludf.DUMMYFUNCTION("""COMPUTED_VALUE"""),45000.0)</f>
        <v>45000</v>
      </c>
      <c r="L952" s="2">
        <f>IFERROR(__xludf.DUMMYFUNCTION("""COMPUTED_VALUE"""),56.96963375)</f>
        <v>56.96963375</v>
      </c>
      <c r="M952" s="2">
        <f>IFERROR(__xludf.DUMMYFUNCTION("""COMPUTED_VALUE"""),24.0521403832597)</f>
        <v>24.05214038</v>
      </c>
    </row>
    <row r="953">
      <c r="A953" s="2" t="str">
        <f>IFERROR(__xludf.DUMMYFUNCTION("""COMPUTED_VALUE"""),"For rent")</f>
        <v>For rent</v>
      </c>
      <c r="B953" s="2" t="str">
        <f>IFERROR(__xludf.DUMMYFUNCTION("""COMPUTED_VALUE"""),"Purvciems")</f>
        <v>Purvciems</v>
      </c>
      <c r="C953" s="2" t="str">
        <f>IFERROR(__xludf.DUMMYFUNCTION("""COMPUTED_VALUE"""),"Purvciema 50")</f>
        <v>Purvciema 50</v>
      </c>
      <c r="D953" s="2">
        <f>IFERROR(__xludf.DUMMYFUNCTION("""COMPUTED_VALUE"""),1.0)</f>
        <v>1</v>
      </c>
      <c r="E953" s="2">
        <f>IFERROR(__xludf.DUMMYFUNCTION("""COMPUTED_VALUE"""),48.0)</f>
        <v>48</v>
      </c>
      <c r="F953" s="2">
        <f>IFERROR(__xludf.DUMMYFUNCTION("""COMPUTED_VALUE"""),2.0)</f>
        <v>2</v>
      </c>
      <c r="G953" s="2">
        <f>IFERROR(__xludf.DUMMYFUNCTION("""COMPUTED_VALUE"""),5.0)</f>
        <v>5</v>
      </c>
      <c r="H953" s="2" t="str">
        <f>IFERROR(__xludf.DUMMYFUNCTION("""COMPUTED_VALUE"""),"M. ģim.")</f>
        <v>M. ģim.</v>
      </c>
      <c r="I953" s="2" t="str">
        <f>IFERROR(__xludf.DUMMYFUNCTION("""COMPUTED_VALUE"""),"Panel")</f>
        <v>Panel</v>
      </c>
      <c r="J953" s="2" t="str">
        <f>IFERROR(__xludf.DUMMYFUNCTION("""COMPUTED_VALUE"""),"All amenities")</f>
        <v>All amenities</v>
      </c>
      <c r="K953" s="2">
        <f>IFERROR(__xludf.DUMMYFUNCTION("""COMPUTED_VALUE"""),25.0)</f>
        <v>25</v>
      </c>
      <c r="L953" s="2">
        <f>IFERROR(__xludf.DUMMYFUNCTION("""COMPUTED_VALUE"""),56.9545273)</f>
        <v>56.9545273</v>
      </c>
      <c r="M953" s="2">
        <f>IFERROR(__xludf.DUMMYFUNCTION("""COMPUTED_VALUE"""),24.1855791270517)</f>
        <v>24.18557913</v>
      </c>
    </row>
    <row r="954">
      <c r="A954" s="2" t="str">
        <f>IFERROR(__xludf.DUMMYFUNCTION("""COMPUTED_VALUE"""),"For sale")</f>
        <v>For sale</v>
      </c>
      <c r="B954" s="2" t="str">
        <f>IFERROR(__xludf.DUMMYFUNCTION("""COMPUTED_VALUE"""),"centrs")</f>
        <v>centrs</v>
      </c>
      <c r="C954" s="2" t="str">
        <f>IFERROR(__xludf.DUMMYFUNCTION("""COMPUTED_VALUE"""),"Pulkv. Brieža 35")</f>
        <v>Pulkv. Brieža 35</v>
      </c>
      <c r="D954" s="2">
        <f>IFERROR(__xludf.DUMMYFUNCTION("""COMPUTED_VALUE"""),1.0)</f>
        <v>1</v>
      </c>
      <c r="E954" s="2">
        <f>IFERROR(__xludf.DUMMYFUNCTION("""COMPUTED_VALUE"""),37.0)</f>
        <v>37</v>
      </c>
      <c r="F954" s="2">
        <f>IFERROR(__xludf.DUMMYFUNCTION("""COMPUTED_VALUE"""),6.0)</f>
        <v>6</v>
      </c>
      <c r="G954" s="2">
        <f>IFERROR(__xludf.DUMMYFUNCTION("""COMPUTED_VALUE"""),7.0)</f>
        <v>7</v>
      </c>
      <c r="H954" s="2" t="str">
        <f>IFERROR(__xludf.DUMMYFUNCTION("""COMPUTED_VALUE"""),"Jaun.")</f>
        <v>Jaun.</v>
      </c>
      <c r="I954" s="2" t="str">
        <f>IFERROR(__xludf.DUMMYFUNCTION("""COMPUTED_VALUE"""),"Masonry")</f>
        <v>Masonry</v>
      </c>
      <c r="J954" s="2" t="str">
        <f>IFERROR(__xludf.DUMMYFUNCTION("""COMPUTED_VALUE"""),"All amenities")</f>
        <v>All amenities</v>
      </c>
      <c r="K954" s="2">
        <f>IFERROR(__xludf.DUMMYFUNCTION("""COMPUTED_VALUE"""),84000.0)</f>
        <v>84000</v>
      </c>
      <c r="L954" s="2" t="str">
        <f>IFERROR(__xludf.DUMMYFUNCTION("""COMPUTED_VALUE"""),"NaN")</f>
        <v>NaN</v>
      </c>
      <c r="M954" s="2" t="str">
        <f>IFERROR(__xludf.DUMMYFUNCTION("""COMPUTED_VALUE"""),"NaN")</f>
        <v>NaN</v>
      </c>
    </row>
    <row r="955">
      <c r="A955" s="2" t="str">
        <f>IFERROR(__xludf.DUMMYFUNCTION("""COMPUTED_VALUE"""),"For sale")</f>
        <v>For sale</v>
      </c>
      <c r="B955" s="2" t="str">
        <f>IFERROR(__xludf.DUMMYFUNCTION("""COMPUTED_VALUE"""),"Purvciems")</f>
        <v>Purvciems</v>
      </c>
      <c r="C955" s="2" t="str">
        <f>IFERROR(__xludf.DUMMYFUNCTION("""COMPUTED_VALUE"""),"Raunas 37/2")</f>
        <v>Raunas 37/2</v>
      </c>
      <c r="D955" s="2">
        <f>IFERROR(__xludf.DUMMYFUNCTION("""COMPUTED_VALUE"""),2.0)</f>
        <v>2</v>
      </c>
      <c r="E955" s="2">
        <f>IFERROR(__xludf.DUMMYFUNCTION("""COMPUTED_VALUE"""),43.0)</f>
        <v>43</v>
      </c>
      <c r="F955" s="2">
        <f>IFERROR(__xludf.DUMMYFUNCTION("""COMPUTED_VALUE"""),4.0)</f>
        <v>4</v>
      </c>
      <c r="G955" s="2">
        <f>IFERROR(__xludf.DUMMYFUNCTION("""COMPUTED_VALUE"""),5.0)</f>
        <v>5</v>
      </c>
      <c r="H955" s="2" t="str">
        <f>IFERROR(__xludf.DUMMYFUNCTION("""COMPUTED_VALUE"""),"Hrušč.")</f>
        <v>Hrušč.</v>
      </c>
      <c r="I955" s="2" t="str">
        <f>IFERROR(__xludf.DUMMYFUNCTION("""COMPUTED_VALUE"""),"Brick")</f>
        <v>Brick</v>
      </c>
      <c r="J955" s="2" t="str">
        <f>IFERROR(__xludf.DUMMYFUNCTION("""COMPUTED_VALUE"""),"All amenities")</f>
        <v>All amenities</v>
      </c>
      <c r="K955" s="2">
        <f>IFERROR(__xludf.DUMMYFUNCTION("""COMPUTED_VALUE"""),41500.0)</f>
        <v>41500</v>
      </c>
      <c r="L955" s="2">
        <f>IFERROR(__xludf.DUMMYFUNCTION("""COMPUTED_VALUE"""),56.9676199)</f>
        <v>56.9676199</v>
      </c>
      <c r="M955" s="2">
        <f>IFERROR(__xludf.DUMMYFUNCTION("""COMPUTED_VALUE"""),24.1852575)</f>
        <v>24.1852575</v>
      </c>
    </row>
    <row r="956">
      <c r="A956" s="2" t="str">
        <f>IFERROR(__xludf.DUMMYFUNCTION("""COMPUTED_VALUE"""),"For rent")</f>
        <v>For rent</v>
      </c>
      <c r="B956" s="2" t="str">
        <f>IFERROR(__xludf.DUMMYFUNCTION("""COMPUTED_VALUE"""),"Torņakalns")</f>
        <v>Torņakalns</v>
      </c>
      <c r="C956" s="2" t="str">
        <f>IFERROR(__xludf.DUMMYFUNCTION("""COMPUTED_VALUE"""),"Jelgavas 63")</f>
        <v>Jelgavas 63</v>
      </c>
      <c r="D956" s="2">
        <f>IFERROR(__xludf.DUMMYFUNCTION("""COMPUTED_VALUE"""),2.0)</f>
        <v>2</v>
      </c>
      <c r="E956" s="2">
        <f>IFERROR(__xludf.DUMMYFUNCTION("""COMPUTED_VALUE"""),38.0)</f>
        <v>38</v>
      </c>
      <c r="F956" s="2">
        <f>IFERROR(__xludf.DUMMYFUNCTION("""COMPUTED_VALUE"""),4.0)</f>
        <v>4</v>
      </c>
      <c r="G956" s="2">
        <f>IFERROR(__xludf.DUMMYFUNCTION("""COMPUTED_VALUE"""),6.0)</f>
        <v>6</v>
      </c>
      <c r="H956" s="2" t="str">
        <f>IFERROR(__xludf.DUMMYFUNCTION("""COMPUTED_VALUE"""),"Jaun.")</f>
        <v>Jaun.</v>
      </c>
      <c r="I956" s="2" t="str">
        <f>IFERROR(__xludf.DUMMYFUNCTION("""COMPUTED_VALUE"""),"Brick-Panel")</f>
        <v>Brick-Panel</v>
      </c>
      <c r="J956" s="2" t="str">
        <f>IFERROR(__xludf.DUMMYFUNCTION("""COMPUTED_VALUE"""),"All amenities")</f>
        <v>All amenities</v>
      </c>
      <c r="K956" s="2">
        <f>IFERROR(__xludf.DUMMYFUNCTION("""COMPUTED_VALUE"""),330.0)</f>
        <v>330</v>
      </c>
      <c r="L956" s="2">
        <f>IFERROR(__xludf.DUMMYFUNCTION("""COMPUTED_VALUE"""),56.9273343)</f>
        <v>56.9273343</v>
      </c>
      <c r="M956" s="2">
        <f>IFERROR(__xludf.DUMMYFUNCTION("""COMPUTED_VALUE"""),24.0927797020755)</f>
        <v>24.0927797</v>
      </c>
    </row>
    <row r="957">
      <c r="A957" s="2" t="str">
        <f>IFERROR(__xludf.DUMMYFUNCTION("""COMPUTED_VALUE"""),"For sale")</f>
        <v>For sale</v>
      </c>
      <c r="B957" s="2" t="str">
        <f>IFERROR(__xludf.DUMMYFUNCTION("""COMPUTED_VALUE"""),"Āgenskalns")</f>
        <v>Āgenskalns</v>
      </c>
      <c r="C957" s="2" t="str">
        <f>IFERROR(__xludf.DUMMYFUNCTION("""COMPUTED_VALUE"""),"Kristapa 16")</f>
        <v>Kristapa 16</v>
      </c>
      <c r="D957" s="2">
        <f>IFERROR(__xludf.DUMMYFUNCTION("""COMPUTED_VALUE"""),2.0)</f>
        <v>2</v>
      </c>
      <c r="E957" s="2">
        <f>IFERROR(__xludf.DUMMYFUNCTION("""COMPUTED_VALUE"""),42.0)</f>
        <v>42</v>
      </c>
      <c r="F957" s="2">
        <f>IFERROR(__xludf.DUMMYFUNCTION("""COMPUTED_VALUE"""),2.0)</f>
        <v>2</v>
      </c>
      <c r="G957" s="2">
        <f>IFERROR(__xludf.DUMMYFUNCTION("""COMPUTED_VALUE"""),5.0)</f>
        <v>5</v>
      </c>
      <c r="H957" s="2" t="str">
        <f>IFERROR(__xludf.DUMMYFUNCTION("""COMPUTED_VALUE"""),"Hrušč.")</f>
        <v>Hrušč.</v>
      </c>
      <c r="I957" s="2" t="str">
        <f>IFERROR(__xludf.DUMMYFUNCTION("""COMPUTED_VALUE"""),"Brick")</f>
        <v>Brick</v>
      </c>
      <c r="J957" s="2" t="str">
        <f>IFERROR(__xludf.DUMMYFUNCTION("""COMPUTED_VALUE"""),"All amenities")</f>
        <v>All amenities</v>
      </c>
      <c r="K957" s="2">
        <f>IFERROR(__xludf.DUMMYFUNCTION("""COMPUTED_VALUE"""),51500.0)</f>
        <v>51500</v>
      </c>
      <c r="L957" s="2">
        <f>IFERROR(__xludf.DUMMYFUNCTION("""COMPUTED_VALUE"""),56.9438277999999)</f>
        <v>56.9438278</v>
      </c>
      <c r="M957" s="2">
        <f>IFERROR(__xludf.DUMMYFUNCTION("""COMPUTED_VALUE"""),24.062819336917)</f>
        <v>24.06281934</v>
      </c>
    </row>
    <row r="958">
      <c r="A958" s="2" t="str">
        <f>IFERROR(__xludf.DUMMYFUNCTION("""COMPUTED_VALUE"""),"For rent")</f>
        <v>For rent</v>
      </c>
      <c r="B958" s="2" t="str">
        <f>IFERROR(__xludf.DUMMYFUNCTION("""COMPUTED_VALUE"""),"centrs")</f>
        <v>centrs</v>
      </c>
      <c r="C958" s="2" t="str">
        <f>IFERROR(__xludf.DUMMYFUNCTION("""COMPUTED_VALUE"""),"Tērbatas 59/61")</f>
        <v>Tērbatas 59/61</v>
      </c>
      <c r="D958" s="2">
        <f>IFERROR(__xludf.DUMMYFUNCTION("""COMPUTED_VALUE"""),2.0)</f>
        <v>2</v>
      </c>
      <c r="E958" s="2">
        <f>IFERROR(__xludf.DUMMYFUNCTION("""COMPUTED_VALUE"""),48.0)</f>
        <v>48</v>
      </c>
      <c r="F958" s="2">
        <f>IFERROR(__xludf.DUMMYFUNCTION("""COMPUTED_VALUE"""),2.0)</f>
        <v>2</v>
      </c>
      <c r="G958" s="2">
        <f>IFERROR(__xludf.DUMMYFUNCTION("""COMPUTED_VALUE"""),6.0)</f>
        <v>6</v>
      </c>
      <c r="H958" s="2" t="str">
        <f>IFERROR(__xludf.DUMMYFUNCTION("""COMPUTED_VALUE"""),"Renov.")</f>
        <v>Renov.</v>
      </c>
      <c r="I958" s="2" t="str">
        <f>IFERROR(__xludf.DUMMYFUNCTION("""COMPUTED_VALUE"""),"Brick")</f>
        <v>Brick</v>
      </c>
      <c r="J958" s="2" t="str">
        <f>IFERROR(__xludf.DUMMYFUNCTION("""COMPUTED_VALUE"""),"All amenities")</f>
        <v>All amenities</v>
      </c>
      <c r="K958" s="2">
        <f>IFERROR(__xludf.DUMMYFUNCTION("""COMPUTED_VALUE"""),680.0)</f>
        <v>680</v>
      </c>
      <c r="L958" s="2">
        <f>IFERROR(__xludf.DUMMYFUNCTION("""COMPUTED_VALUE"""),56.9578128)</f>
        <v>56.9578128</v>
      </c>
      <c r="M958" s="2">
        <f>IFERROR(__xludf.DUMMYFUNCTION("""COMPUTED_VALUE"""),24.1300556)</f>
        <v>24.1300556</v>
      </c>
    </row>
    <row r="959">
      <c r="A959" s="2" t="str">
        <f>IFERROR(__xludf.DUMMYFUNCTION("""COMPUTED_VALUE"""),"For rent")</f>
        <v>For rent</v>
      </c>
      <c r="B959" s="2" t="str">
        <f>IFERROR(__xludf.DUMMYFUNCTION("""COMPUTED_VALUE"""),"centrs")</f>
        <v>centrs</v>
      </c>
      <c r="C959" s="2" t="str">
        <f>IFERROR(__xludf.DUMMYFUNCTION("""COMPUTED_VALUE"""),"Rūpniecības 44")</f>
        <v>Rūpniecības 44</v>
      </c>
      <c r="D959" s="2">
        <f>IFERROR(__xludf.DUMMYFUNCTION("""COMPUTED_VALUE"""),3.0)</f>
        <v>3</v>
      </c>
      <c r="E959" s="2">
        <f>IFERROR(__xludf.DUMMYFUNCTION("""COMPUTED_VALUE"""),83.0)</f>
        <v>83</v>
      </c>
      <c r="F959" s="2">
        <f>IFERROR(__xludf.DUMMYFUNCTION("""COMPUTED_VALUE"""),4.0)</f>
        <v>4</v>
      </c>
      <c r="G959" s="2">
        <f>IFERROR(__xludf.DUMMYFUNCTION("""COMPUTED_VALUE"""),7.0)</f>
        <v>7</v>
      </c>
      <c r="H959" s="2" t="str">
        <f>IFERROR(__xludf.DUMMYFUNCTION("""COMPUTED_VALUE"""),"Jaun.")</f>
        <v>Jaun.</v>
      </c>
      <c r="I959" s="2" t="str">
        <f>IFERROR(__xludf.DUMMYFUNCTION("""COMPUTED_VALUE"""),"Panel")</f>
        <v>Panel</v>
      </c>
      <c r="J959" s="2" t="str">
        <f>IFERROR(__xludf.DUMMYFUNCTION("""COMPUTED_VALUE"""),"All amenities")</f>
        <v>All amenities</v>
      </c>
      <c r="K959" s="2">
        <f>IFERROR(__xludf.DUMMYFUNCTION("""COMPUTED_VALUE"""),1100.0)</f>
        <v>1100</v>
      </c>
      <c r="L959" s="2">
        <f>IFERROR(__xludf.DUMMYFUNCTION("""COMPUTED_VALUE"""),56.9663651)</f>
        <v>56.9663651</v>
      </c>
      <c r="M959" s="2">
        <f>IFERROR(__xludf.DUMMYFUNCTION("""COMPUTED_VALUE"""),24.1051126038627)</f>
        <v>24.1051126</v>
      </c>
    </row>
    <row r="960">
      <c r="A960" s="2" t="str">
        <f>IFERROR(__xludf.DUMMYFUNCTION("""COMPUTED_VALUE"""),"For sale")</f>
        <v>For sale</v>
      </c>
      <c r="B960" s="2" t="str">
        <f>IFERROR(__xludf.DUMMYFUNCTION("""COMPUTED_VALUE"""),"Mežaparks")</f>
        <v>Mežaparks</v>
      </c>
      <c r="C960" s="2" t="str">
        <f>IFERROR(__xludf.DUMMYFUNCTION("""COMPUTED_VALUE"""),"Talejas 6")</f>
        <v>Talejas 6</v>
      </c>
      <c r="D960" s="2">
        <f>IFERROR(__xludf.DUMMYFUNCTION("""COMPUTED_VALUE"""),1.0)</f>
        <v>1</v>
      </c>
      <c r="E960" s="2">
        <f>IFERROR(__xludf.DUMMYFUNCTION("""COMPUTED_VALUE"""),32.0)</f>
        <v>32</v>
      </c>
      <c r="F960" s="2">
        <f>IFERROR(__xludf.DUMMYFUNCTION("""COMPUTED_VALUE"""),9.0)</f>
        <v>9</v>
      </c>
      <c r="G960" s="2">
        <f>IFERROR(__xludf.DUMMYFUNCTION("""COMPUTED_VALUE"""),9.0)</f>
        <v>9</v>
      </c>
      <c r="H960" s="2" t="str">
        <f>IFERROR(__xludf.DUMMYFUNCTION("""COMPUTED_VALUE"""),"Jaun.")</f>
        <v>Jaun.</v>
      </c>
      <c r="I960" s="2" t="str">
        <f>IFERROR(__xludf.DUMMYFUNCTION("""COMPUTED_VALUE"""),"Panel")</f>
        <v>Panel</v>
      </c>
      <c r="J960" s="2" t="str">
        <f>IFERROR(__xludf.DUMMYFUNCTION("""COMPUTED_VALUE"""),"All amenities")</f>
        <v>All amenities</v>
      </c>
      <c r="K960" s="2">
        <f>IFERROR(__xludf.DUMMYFUNCTION("""COMPUTED_VALUE"""),75000.0)</f>
        <v>75000</v>
      </c>
      <c r="L960" s="2">
        <f>IFERROR(__xludf.DUMMYFUNCTION("""COMPUTED_VALUE"""),56.9896239)</f>
        <v>56.9896239</v>
      </c>
      <c r="M960" s="2">
        <f>IFERROR(__xludf.DUMMYFUNCTION("""COMPUTED_VALUE"""),24.1745597)</f>
        <v>24.1745597</v>
      </c>
    </row>
    <row r="961">
      <c r="A961" s="2" t="str">
        <f>IFERROR(__xludf.DUMMYFUNCTION("""COMPUTED_VALUE"""),"For sale")</f>
        <v>For sale</v>
      </c>
      <c r="B961" s="2" t="str">
        <f>IFERROR(__xludf.DUMMYFUNCTION("""COMPUTED_VALUE"""),"centrs")</f>
        <v>centrs</v>
      </c>
      <c r="C961" s="2" t="str">
        <f>IFERROR(__xludf.DUMMYFUNCTION("""COMPUTED_VALUE"""),"Rūpniecības 44")</f>
        <v>Rūpniecības 44</v>
      </c>
      <c r="D961" s="2">
        <f>IFERROR(__xludf.DUMMYFUNCTION("""COMPUTED_VALUE"""),3.0)</f>
        <v>3</v>
      </c>
      <c r="E961" s="2">
        <f>IFERROR(__xludf.DUMMYFUNCTION("""COMPUTED_VALUE"""),83.0)</f>
        <v>83</v>
      </c>
      <c r="F961" s="2">
        <f>IFERROR(__xludf.DUMMYFUNCTION("""COMPUTED_VALUE"""),4.0)</f>
        <v>4</v>
      </c>
      <c r="G961" s="2">
        <f>IFERROR(__xludf.DUMMYFUNCTION("""COMPUTED_VALUE"""),7.0)</f>
        <v>7</v>
      </c>
      <c r="H961" s="2" t="str">
        <f>IFERROR(__xludf.DUMMYFUNCTION("""COMPUTED_VALUE"""),"Jaun.")</f>
        <v>Jaun.</v>
      </c>
      <c r="I961" s="2" t="str">
        <f>IFERROR(__xludf.DUMMYFUNCTION("""COMPUTED_VALUE"""),"Panel")</f>
        <v>Panel</v>
      </c>
      <c r="J961" s="2" t="str">
        <f>IFERROR(__xludf.DUMMYFUNCTION("""COMPUTED_VALUE"""),"All amenities")</f>
        <v>All amenities</v>
      </c>
      <c r="K961" s="2">
        <f>IFERROR(__xludf.DUMMYFUNCTION("""COMPUTED_VALUE"""),225000.0)</f>
        <v>225000</v>
      </c>
      <c r="L961" s="2">
        <f>IFERROR(__xludf.DUMMYFUNCTION("""COMPUTED_VALUE"""),56.9663651)</f>
        <v>56.9663651</v>
      </c>
      <c r="M961" s="2">
        <f>IFERROR(__xludf.DUMMYFUNCTION("""COMPUTED_VALUE"""),24.1051126038627)</f>
        <v>24.1051126</v>
      </c>
    </row>
    <row r="962">
      <c r="A962" s="2" t="str">
        <f>IFERROR(__xludf.DUMMYFUNCTION("""COMPUTED_VALUE"""),"For rent")</f>
        <v>For rent</v>
      </c>
      <c r="B962" s="2" t="str">
        <f>IFERROR(__xludf.DUMMYFUNCTION("""COMPUTED_VALUE"""),"Āgenskalns")</f>
        <v>Āgenskalns</v>
      </c>
      <c r="C962" s="2" t="str">
        <f>IFERROR(__xludf.DUMMYFUNCTION("""COMPUTED_VALUE"""),"Zeļļu 13")</f>
        <v>Zeļļu 13</v>
      </c>
      <c r="D962" s="2">
        <f>IFERROR(__xludf.DUMMYFUNCTION("""COMPUTED_VALUE"""),2.0)</f>
        <v>2</v>
      </c>
      <c r="E962" s="2">
        <f>IFERROR(__xludf.DUMMYFUNCTION("""COMPUTED_VALUE"""),50.0)</f>
        <v>50</v>
      </c>
      <c r="F962" s="2">
        <f>IFERROR(__xludf.DUMMYFUNCTION("""COMPUTED_VALUE"""),2.0)</f>
        <v>2</v>
      </c>
      <c r="G962" s="2">
        <f>IFERROR(__xludf.DUMMYFUNCTION("""COMPUTED_VALUE"""),3.0)</f>
        <v>3</v>
      </c>
      <c r="H962" s="2" t="str">
        <f>IFERROR(__xludf.DUMMYFUNCTION("""COMPUTED_VALUE"""),"P. kara")</f>
        <v>P. kara</v>
      </c>
      <c r="I962" s="2" t="str">
        <f>IFERROR(__xludf.DUMMYFUNCTION("""COMPUTED_VALUE"""),"Wood")</f>
        <v>Wood</v>
      </c>
      <c r="J962" s="2" t="str">
        <f>IFERROR(__xludf.DUMMYFUNCTION("""COMPUTED_VALUE"""),"All amenities")</f>
        <v>All amenities</v>
      </c>
      <c r="K962" s="2">
        <f>IFERROR(__xludf.DUMMYFUNCTION("""COMPUTED_VALUE"""),500.0)</f>
        <v>500</v>
      </c>
      <c r="L962" s="2">
        <f>IFERROR(__xludf.DUMMYFUNCTION("""COMPUTED_VALUE"""),56.93524705)</f>
        <v>56.93524705</v>
      </c>
      <c r="M962" s="2">
        <f>IFERROR(__xludf.DUMMYFUNCTION("""COMPUTED_VALUE"""),24.0750776309247)</f>
        <v>24.07507763</v>
      </c>
    </row>
    <row r="963">
      <c r="A963" s="2" t="str">
        <f>IFERROR(__xludf.DUMMYFUNCTION("""COMPUTED_VALUE"""),"For rent")</f>
        <v>For rent</v>
      </c>
      <c r="B963" s="2" t="str">
        <f>IFERROR(__xludf.DUMMYFUNCTION("""COMPUTED_VALUE"""),"Šampēteris-Pleskodāle")</f>
        <v>Šampēteris-Pleskodāle</v>
      </c>
      <c r="C963" s="2" t="str">
        <f>IFERROR(__xludf.DUMMYFUNCTION("""COMPUTED_VALUE"""),"Volguntes 33a")</f>
        <v>Volguntes 33a</v>
      </c>
      <c r="D963" s="2">
        <f>IFERROR(__xludf.DUMMYFUNCTION("""COMPUTED_VALUE"""),1.0)</f>
        <v>1</v>
      </c>
      <c r="E963" s="2">
        <f>IFERROR(__xludf.DUMMYFUNCTION("""COMPUTED_VALUE"""),32.0)</f>
        <v>32</v>
      </c>
      <c r="F963" s="2">
        <f>IFERROR(__xludf.DUMMYFUNCTION("""COMPUTED_VALUE"""),2.0)</f>
        <v>2</v>
      </c>
      <c r="G963" s="2">
        <f>IFERROR(__xludf.DUMMYFUNCTION("""COMPUTED_VALUE"""),3.0)</f>
        <v>3</v>
      </c>
      <c r="H963" s="2" t="str">
        <f>IFERROR(__xludf.DUMMYFUNCTION("""COMPUTED_VALUE"""),"P. kara")</f>
        <v>P. kara</v>
      </c>
      <c r="I963" s="2" t="str">
        <f>IFERROR(__xludf.DUMMYFUNCTION("""COMPUTED_VALUE"""),"Masonry")</f>
        <v>Masonry</v>
      </c>
      <c r="J963" s="2" t="str">
        <f>IFERROR(__xludf.DUMMYFUNCTION("""COMPUTED_VALUE"""),"All amenities")</f>
        <v>All amenities</v>
      </c>
      <c r="K963" s="2">
        <f>IFERROR(__xludf.DUMMYFUNCTION("""COMPUTED_VALUE"""),300.0)</f>
        <v>300</v>
      </c>
      <c r="L963" s="2">
        <f>IFERROR(__xludf.DUMMYFUNCTION("""COMPUTED_VALUE"""),56.93649025)</f>
        <v>56.93649025</v>
      </c>
      <c r="M963" s="2">
        <f>IFERROR(__xludf.DUMMYFUNCTION("""COMPUTED_VALUE"""),24.0367786839242)</f>
        <v>24.03677868</v>
      </c>
    </row>
    <row r="964">
      <c r="A964" s="2" t="str">
        <f>IFERROR(__xludf.DUMMYFUNCTION("""COMPUTED_VALUE"""),"For rent")</f>
        <v>For rent</v>
      </c>
      <c r="B964" s="2" t="str">
        <f>IFERROR(__xludf.DUMMYFUNCTION("""COMPUTED_VALUE"""),"centrs")</f>
        <v>centrs</v>
      </c>
      <c r="C964" s="2" t="str">
        <f>IFERROR(__xludf.DUMMYFUNCTION("""COMPUTED_VALUE"""),"Bruņinieku 60")</f>
        <v>Bruņinieku 60</v>
      </c>
      <c r="D964" s="2">
        <f>IFERROR(__xludf.DUMMYFUNCTION("""COMPUTED_VALUE"""),2.0)</f>
        <v>2</v>
      </c>
      <c r="E964" s="2">
        <f>IFERROR(__xludf.DUMMYFUNCTION("""COMPUTED_VALUE"""),50.0)</f>
        <v>50</v>
      </c>
      <c r="F964" s="2">
        <f>IFERROR(__xludf.DUMMYFUNCTION("""COMPUTED_VALUE"""),5.0)</f>
        <v>5</v>
      </c>
      <c r="G964" s="2">
        <f>IFERROR(__xludf.DUMMYFUNCTION("""COMPUTED_VALUE"""),6.0)</f>
        <v>6</v>
      </c>
      <c r="H964" s="2" t="str">
        <f>IFERROR(__xludf.DUMMYFUNCTION("""COMPUTED_VALUE"""),"P. kara")</f>
        <v>P. kara</v>
      </c>
      <c r="I964" s="2" t="str">
        <f>IFERROR(__xludf.DUMMYFUNCTION("""COMPUTED_VALUE"""),"Brick")</f>
        <v>Brick</v>
      </c>
      <c r="J964" s="2" t="str">
        <f>IFERROR(__xludf.DUMMYFUNCTION("""COMPUTED_VALUE"""),"All amenities")</f>
        <v>All amenities</v>
      </c>
      <c r="K964" s="2">
        <f>IFERROR(__xludf.DUMMYFUNCTION("""COMPUTED_VALUE"""),480.0)</f>
        <v>480</v>
      </c>
      <c r="L964" s="2">
        <f>IFERROR(__xludf.DUMMYFUNCTION("""COMPUTED_VALUE"""),56.953316)</f>
        <v>56.953316</v>
      </c>
      <c r="M964" s="2">
        <f>IFERROR(__xludf.DUMMYFUNCTION("""COMPUTED_VALUE"""),24.1370407)</f>
        <v>24.1370407</v>
      </c>
    </row>
    <row r="965">
      <c r="A965" s="2" t="str">
        <f>IFERROR(__xludf.DUMMYFUNCTION("""COMPUTED_VALUE"""),"For sale")</f>
        <v>For sale</v>
      </c>
      <c r="B965" s="2" t="str">
        <f>IFERROR(__xludf.DUMMYFUNCTION("""COMPUTED_VALUE"""),"centrs")</f>
        <v>centrs</v>
      </c>
      <c r="C965" s="2" t="str">
        <f>IFERROR(__xludf.DUMMYFUNCTION("""COMPUTED_VALUE"""),"Miera 5")</f>
        <v>Miera 5</v>
      </c>
      <c r="D965" s="2">
        <f>IFERROR(__xludf.DUMMYFUNCTION("""COMPUTED_VALUE"""),2.0)</f>
        <v>2</v>
      </c>
      <c r="E965" s="2">
        <f>IFERROR(__xludf.DUMMYFUNCTION("""COMPUTED_VALUE"""),59.0)</f>
        <v>59</v>
      </c>
      <c r="F965" s="2">
        <f>IFERROR(__xludf.DUMMYFUNCTION("""COMPUTED_VALUE"""),2.0)</f>
        <v>2</v>
      </c>
      <c r="G965" s="2">
        <f>IFERROR(__xludf.DUMMYFUNCTION("""COMPUTED_VALUE"""),6.0)</f>
        <v>6</v>
      </c>
      <c r="H965" s="2" t="str">
        <f>IFERROR(__xludf.DUMMYFUNCTION("""COMPUTED_VALUE"""),"P. kara")</f>
        <v>P. kara</v>
      </c>
      <c r="I965" s="2" t="str">
        <f>IFERROR(__xludf.DUMMYFUNCTION("""COMPUTED_VALUE"""),"Masonry")</f>
        <v>Masonry</v>
      </c>
      <c r="J965" s="2" t="str">
        <f>IFERROR(__xludf.DUMMYFUNCTION("""COMPUTED_VALUE"""),"All amenities")</f>
        <v>All amenities</v>
      </c>
      <c r="K965" s="2">
        <f>IFERROR(__xludf.DUMMYFUNCTION("""COMPUTED_VALUE"""),89100.0)</f>
        <v>89100</v>
      </c>
      <c r="L965" s="2">
        <f>IFERROR(__xludf.DUMMYFUNCTION("""COMPUTED_VALUE"""),56.9665763)</f>
        <v>56.9665763</v>
      </c>
      <c r="M965" s="2">
        <f>IFERROR(__xludf.DUMMYFUNCTION("""COMPUTED_VALUE"""),24.1337504)</f>
        <v>24.1337504</v>
      </c>
    </row>
    <row r="966">
      <c r="A966" s="2" t="str">
        <f>IFERROR(__xludf.DUMMYFUNCTION("""COMPUTED_VALUE"""),"For sale")</f>
        <v>For sale</v>
      </c>
      <c r="B966" s="2" t="str">
        <f>IFERROR(__xludf.DUMMYFUNCTION("""COMPUTED_VALUE"""),"Dārzciems")</f>
        <v>Dārzciems</v>
      </c>
      <c r="C966" s="2" t="str">
        <f>IFERROR(__xludf.DUMMYFUNCTION("""COMPUTED_VALUE"""),"Strautu 23")</f>
        <v>Strautu 23</v>
      </c>
      <c r="D966" s="2">
        <f>IFERROR(__xludf.DUMMYFUNCTION("""COMPUTED_VALUE"""),1.0)</f>
        <v>1</v>
      </c>
      <c r="E966" s="2">
        <f>IFERROR(__xludf.DUMMYFUNCTION("""COMPUTED_VALUE"""),42.3)</f>
        <v>42.3</v>
      </c>
      <c r="F966" s="2">
        <f>IFERROR(__xludf.DUMMYFUNCTION("""COMPUTED_VALUE"""),3.0)</f>
        <v>3</v>
      </c>
      <c r="G966" s="2">
        <f>IFERROR(__xludf.DUMMYFUNCTION("""COMPUTED_VALUE"""),5.0)</f>
        <v>5</v>
      </c>
      <c r="H966" s="2" t="str">
        <f>IFERROR(__xludf.DUMMYFUNCTION("""COMPUTED_VALUE"""),"M. ģim.")</f>
        <v>M. ģim.</v>
      </c>
      <c r="I966" s="2" t="str">
        <f>IFERROR(__xludf.DUMMYFUNCTION("""COMPUTED_VALUE"""),"Brick")</f>
        <v>Brick</v>
      </c>
      <c r="J966" s="2" t="str">
        <f>IFERROR(__xludf.DUMMYFUNCTION("""COMPUTED_VALUE"""),"All amenities")</f>
        <v>All amenities</v>
      </c>
      <c r="K966" s="2">
        <f>IFERROR(__xludf.DUMMYFUNCTION("""COMPUTED_VALUE"""),33500.0)</f>
        <v>33500</v>
      </c>
      <c r="L966" s="2">
        <f>IFERROR(__xludf.DUMMYFUNCTION("""COMPUTED_VALUE"""),56.94016)</f>
        <v>56.94016</v>
      </c>
      <c r="M966" s="2">
        <f>IFERROR(__xludf.DUMMYFUNCTION("""COMPUTED_VALUE"""),24.186816783778)</f>
        <v>24.18681678</v>
      </c>
    </row>
    <row r="967">
      <c r="A967" s="2" t="str">
        <f>IFERROR(__xludf.DUMMYFUNCTION("""COMPUTED_VALUE"""),"For sale")</f>
        <v>For sale</v>
      </c>
      <c r="B967" s="2" t="str">
        <f>IFERROR(__xludf.DUMMYFUNCTION("""COMPUTED_VALUE"""),"Teika")</f>
        <v>Teika</v>
      </c>
      <c r="C967" s="2" t="str">
        <f>IFERROR(__xludf.DUMMYFUNCTION("""COMPUTED_VALUE"""),"Ropažu 49")</f>
        <v>Ropažu 49</v>
      </c>
      <c r="D967" s="2">
        <f>IFERROR(__xludf.DUMMYFUNCTION("""COMPUTED_VALUE"""),5.0)</f>
        <v>5</v>
      </c>
      <c r="E967" s="2">
        <f>IFERROR(__xludf.DUMMYFUNCTION("""COMPUTED_VALUE"""),142.0)</f>
        <v>142</v>
      </c>
      <c r="F967" s="2">
        <f>IFERROR(__xludf.DUMMYFUNCTION("""COMPUTED_VALUE"""),2.0)</f>
        <v>2</v>
      </c>
      <c r="G967" s="2">
        <f>IFERROR(__xludf.DUMMYFUNCTION("""COMPUTED_VALUE"""),7.0)</f>
        <v>7</v>
      </c>
      <c r="H967" s="2" t="str">
        <f>IFERROR(__xludf.DUMMYFUNCTION("""COMPUTED_VALUE"""),"Specpr.")</f>
        <v>Specpr.</v>
      </c>
      <c r="I967" s="2" t="str">
        <f>IFERROR(__xludf.DUMMYFUNCTION("""COMPUTED_VALUE"""),"Brick")</f>
        <v>Brick</v>
      </c>
      <c r="J967" s="2" t="str">
        <f>IFERROR(__xludf.DUMMYFUNCTION("""COMPUTED_VALUE"""),"All amenities")</f>
        <v>All amenities</v>
      </c>
      <c r="K967" s="2">
        <f>IFERROR(__xludf.DUMMYFUNCTION("""COMPUTED_VALUE"""),132000.0)</f>
        <v>132000</v>
      </c>
      <c r="L967" s="2">
        <f>IFERROR(__xludf.DUMMYFUNCTION("""COMPUTED_VALUE"""),56.980215)</f>
        <v>56.980215</v>
      </c>
      <c r="M967" s="2">
        <f>IFERROR(__xludf.DUMMYFUNCTION("""COMPUTED_VALUE"""),24.1809352080702)</f>
        <v>24.18093521</v>
      </c>
    </row>
    <row r="968">
      <c r="A968" s="2" t="str">
        <f>IFERROR(__xludf.DUMMYFUNCTION("""COMPUTED_VALUE"""),"For sale")</f>
        <v>For sale</v>
      </c>
      <c r="B968" s="2" t="str">
        <f>IFERROR(__xludf.DUMMYFUNCTION("""COMPUTED_VALUE"""),"centrs")</f>
        <v>centrs</v>
      </c>
      <c r="C968" s="2" t="str">
        <f>IFERROR(__xludf.DUMMYFUNCTION("""COMPUTED_VALUE"""),"Birznieka-Upīša 10")</f>
        <v>Birznieka-Upīša 10</v>
      </c>
      <c r="D968" s="2">
        <f>IFERROR(__xludf.DUMMYFUNCTION("""COMPUTED_VALUE"""),2.0)</f>
        <v>2</v>
      </c>
      <c r="E968" s="2">
        <f>IFERROR(__xludf.DUMMYFUNCTION("""COMPUTED_VALUE"""),32.0)</f>
        <v>32</v>
      </c>
      <c r="F968" s="2">
        <f>IFERROR(__xludf.DUMMYFUNCTION("""COMPUTED_VALUE"""),1.0)</f>
        <v>1</v>
      </c>
      <c r="G968" s="2">
        <f>IFERROR(__xludf.DUMMYFUNCTION("""COMPUTED_VALUE"""),6.0)</f>
        <v>6</v>
      </c>
      <c r="H968" s="2" t="str">
        <f>IFERROR(__xludf.DUMMYFUNCTION("""COMPUTED_VALUE"""),"Renov.")</f>
        <v>Renov.</v>
      </c>
      <c r="I968" s="2" t="str">
        <f>IFERROR(__xludf.DUMMYFUNCTION("""COMPUTED_VALUE"""),"Masonry")</f>
        <v>Masonry</v>
      </c>
      <c r="J968" s="2" t="str">
        <f>IFERROR(__xludf.DUMMYFUNCTION("""COMPUTED_VALUE"""),"All amenities")</f>
        <v>All amenities</v>
      </c>
      <c r="K968" s="2">
        <f>IFERROR(__xludf.DUMMYFUNCTION("""COMPUTED_VALUE"""),76800.0)</f>
        <v>76800</v>
      </c>
      <c r="L968" s="2">
        <f>IFERROR(__xludf.DUMMYFUNCTION("""COMPUTED_VALUE"""),56.9488745)</f>
        <v>56.9488745</v>
      </c>
      <c r="M968" s="2">
        <f>IFERROR(__xludf.DUMMYFUNCTION("""COMPUTED_VALUE"""),24.1266027446091)</f>
        <v>24.12660274</v>
      </c>
    </row>
    <row r="969">
      <c r="A969" s="2" t="str">
        <f>IFERROR(__xludf.DUMMYFUNCTION("""COMPUTED_VALUE"""),"For sale")</f>
        <v>For sale</v>
      </c>
      <c r="B969" s="2" t="str">
        <f>IFERROR(__xludf.DUMMYFUNCTION("""COMPUTED_VALUE"""),"Imanta")</f>
        <v>Imanta</v>
      </c>
      <c r="C969" s="2" t="str">
        <f>IFERROR(__xludf.DUMMYFUNCTION("""COMPUTED_VALUE"""),"Jūrmalas g. 59")</f>
        <v>Jūrmalas g. 59</v>
      </c>
      <c r="D969" s="2">
        <f>IFERROR(__xludf.DUMMYFUNCTION("""COMPUTED_VALUE"""),1.0)</f>
        <v>1</v>
      </c>
      <c r="E969" s="2">
        <f>IFERROR(__xludf.DUMMYFUNCTION("""COMPUTED_VALUE"""),46.0)</f>
        <v>46</v>
      </c>
      <c r="F969" s="2">
        <f>IFERROR(__xludf.DUMMYFUNCTION("""COMPUTED_VALUE"""),8.0)</f>
        <v>8</v>
      </c>
      <c r="G969" s="2">
        <f>IFERROR(__xludf.DUMMYFUNCTION("""COMPUTED_VALUE"""),12.0)</f>
        <v>12</v>
      </c>
      <c r="H969" s="2">
        <f>IFERROR(__xludf.DUMMYFUNCTION("""COMPUTED_VALUE"""),104.0)</f>
        <v>104</v>
      </c>
      <c r="I969" s="2" t="str">
        <f>IFERROR(__xludf.DUMMYFUNCTION("""COMPUTED_VALUE"""),"Panel")</f>
        <v>Panel</v>
      </c>
      <c r="J969" s="2" t="str">
        <f>IFERROR(__xludf.DUMMYFUNCTION("""COMPUTED_VALUE"""),"All amenities")</f>
        <v>All amenities</v>
      </c>
      <c r="K969" s="2">
        <f>IFERROR(__xludf.DUMMYFUNCTION("""COMPUTED_VALUE"""),46000.0)</f>
        <v>46000</v>
      </c>
      <c r="L969" s="2">
        <f>IFERROR(__xludf.DUMMYFUNCTION("""COMPUTED_VALUE"""),56.952975)</f>
        <v>56.952975</v>
      </c>
      <c r="M969" s="2">
        <f>IFERROR(__xludf.DUMMYFUNCTION("""COMPUTED_VALUE"""),24.0166971)</f>
        <v>24.0166971</v>
      </c>
    </row>
    <row r="970">
      <c r="A970" s="2" t="str">
        <f>IFERROR(__xludf.DUMMYFUNCTION("""COMPUTED_VALUE"""),"For sale")</f>
        <v>For sale</v>
      </c>
      <c r="B970" s="2" t="str">
        <f>IFERROR(__xludf.DUMMYFUNCTION("""COMPUTED_VALUE"""),"Ziepniekkalns")</f>
        <v>Ziepniekkalns</v>
      </c>
      <c r="C970" s="2" t="str">
        <f>IFERROR(__xludf.DUMMYFUNCTION("""COMPUTED_VALUE"""),"Valdeķu 50 k-2")</f>
        <v>Valdeķu 50 k-2</v>
      </c>
      <c r="D970" s="2">
        <f>IFERROR(__xludf.DUMMYFUNCTION("""COMPUTED_VALUE"""),1.0)</f>
        <v>1</v>
      </c>
      <c r="E970" s="2">
        <f>IFERROR(__xludf.DUMMYFUNCTION("""COMPUTED_VALUE"""),32.0)</f>
        <v>32</v>
      </c>
      <c r="F970" s="2">
        <f>IFERROR(__xludf.DUMMYFUNCTION("""COMPUTED_VALUE"""),2.0)</f>
        <v>2</v>
      </c>
      <c r="G970" s="2">
        <f>IFERROR(__xludf.DUMMYFUNCTION("""COMPUTED_VALUE"""),9.0)</f>
        <v>9</v>
      </c>
      <c r="H970" s="2">
        <f>IFERROR(__xludf.DUMMYFUNCTION("""COMPUTED_VALUE"""),602.0)</f>
        <v>602</v>
      </c>
      <c r="I970" s="2" t="str">
        <f>IFERROR(__xludf.DUMMYFUNCTION("""COMPUTED_VALUE"""),"Brick-Panel")</f>
        <v>Brick-Panel</v>
      </c>
      <c r="J970" s="2" t="str">
        <f>IFERROR(__xludf.DUMMYFUNCTION("""COMPUTED_VALUE"""),"All amenities")</f>
        <v>All amenities</v>
      </c>
      <c r="K970" s="2">
        <f>IFERROR(__xludf.DUMMYFUNCTION("""COMPUTED_VALUE"""),34500.0)</f>
        <v>34500</v>
      </c>
      <c r="L970" s="2" t="str">
        <f>IFERROR(__xludf.DUMMYFUNCTION("""COMPUTED_VALUE"""),"NaN")</f>
        <v>NaN</v>
      </c>
      <c r="M970" s="2" t="str">
        <f>IFERROR(__xludf.DUMMYFUNCTION("""COMPUTED_VALUE"""),"NaN")</f>
        <v>NaN</v>
      </c>
    </row>
    <row r="971">
      <c r="A971" s="2" t="str">
        <f>IFERROR(__xludf.DUMMYFUNCTION("""COMPUTED_VALUE"""),"For rent")</f>
        <v>For rent</v>
      </c>
      <c r="B971" s="2" t="str">
        <f>IFERROR(__xludf.DUMMYFUNCTION("""COMPUTED_VALUE"""),"Čiekurkalns")</f>
        <v>Čiekurkalns</v>
      </c>
      <c r="C971" s="2" t="str">
        <f>IFERROR(__xludf.DUMMYFUNCTION("""COMPUTED_VALUE"""),"Čiekurkalna 6. šķ l. 21")</f>
        <v>Čiekurkalna 6. šķ l. 21</v>
      </c>
      <c r="D971" s="2">
        <f>IFERROR(__xludf.DUMMYFUNCTION("""COMPUTED_VALUE"""),2.0)</f>
        <v>2</v>
      </c>
      <c r="E971" s="2">
        <f>IFERROR(__xludf.DUMMYFUNCTION("""COMPUTED_VALUE"""),60.0)</f>
        <v>60</v>
      </c>
      <c r="F971" s="2">
        <f>IFERROR(__xludf.DUMMYFUNCTION("""COMPUTED_VALUE"""),1.0)</f>
        <v>1</v>
      </c>
      <c r="G971" s="2">
        <f>IFERROR(__xludf.DUMMYFUNCTION("""COMPUTED_VALUE"""),1.0)</f>
        <v>1</v>
      </c>
      <c r="H971" s="2" t="str">
        <f>IFERROR(__xludf.DUMMYFUNCTION("""COMPUTED_VALUE"""),"Priv. m.")</f>
        <v>Priv. m.</v>
      </c>
      <c r="I971" s="2" t="str">
        <f>IFERROR(__xludf.DUMMYFUNCTION("""COMPUTED_VALUE"""),"Wood")</f>
        <v>Wood</v>
      </c>
      <c r="J971" s="2" t="str">
        <f>IFERROR(__xludf.DUMMYFUNCTION("""COMPUTED_VALUE"""),"All amenities")</f>
        <v>All amenities</v>
      </c>
      <c r="K971" s="2">
        <f>IFERROR(__xludf.DUMMYFUNCTION("""COMPUTED_VALUE"""),600.0)</f>
        <v>600</v>
      </c>
      <c r="L971" s="2" t="str">
        <f>IFERROR(__xludf.DUMMYFUNCTION("""COMPUTED_VALUE"""),"NaN")</f>
        <v>NaN</v>
      </c>
      <c r="M971" s="2" t="str">
        <f>IFERROR(__xludf.DUMMYFUNCTION("""COMPUTED_VALUE"""),"NaN")</f>
        <v>NaN</v>
      </c>
    </row>
    <row r="972">
      <c r="A972" s="2" t="str">
        <f>IFERROR(__xludf.DUMMYFUNCTION("""COMPUTED_VALUE"""),"For rent")</f>
        <v>For rent</v>
      </c>
      <c r="B972" s="2" t="str">
        <f>IFERROR(__xludf.DUMMYFUNCTION("""COMPUTED_VALUE"""),"Sarkandaugava")</f>
        <v>Sarkandaugava</v>
      </c>
      <c r="C972" s="2" t="str">
        <f>IFERROR(__xludf.DUMMYFUNCTION("""COMPUTED_VALUE"""),"Ziemeļu 17")</f>
        <v>Ziemeļu 17</v>
      </c>
      <c r="D972" s="2">
        <f>IFERROR(__xludf.DUMMYFUNCTION("""COMPUTED_VALUE"""),1.0)</f>
        <v>1</v>
      </c>
      <c r="E972" s="2">
        <f>IFERROR(__xludf.DUMMYFUNCTION("""COMPUTED_VALUE"""),26.0)</f>
        <v>26</v>
      </c>
      <c r="F972" s="2">
        <f>IFERROR(__xludf.DUMMYFUNCTION("""COMPUTED_VALUE"""),4.0)</f>
        <v>4</v>
      </c>
      <c r="G972" s="2">
        <f>IFERROR(__xludf.DUMMYFUNCTION("""COMPUTED_VALUE"""),4.0)</f>
        <v>4</v>
      </c>
      <c r="H972" s="2" t="str">
        <f>IFERROR(__xludf.DUMMYFUNCTION("""COMPUTED_VALUE"""),"P. kara")</f>
        <v>P. kara</v>
      </c>
      <c r="I972" s="2" t="str">
        <f>IFERROR(__xludf.DUMMYFUNCTION("""COMPUTED_VALUE"""),"Brick")</f>
        <v>Brick</v>
      </c>
      <c r="J972" s="2" t="str">
        <f>IFERROR(__xludf.DUMMYFUNCTION("""COMPUTED_VALUE"""),"Partial amenities")</f>
        <v>Partial amenities</v>
      </c>
      <c r="K972" s="2">
        <f>IFERROR(__xludf.DUMMYFUNCTION("""COMPUTED_VALUE"""),150.0)</f>
        <v>150</v>
      </c>
      <c r="L972" s="2">
        <f>IFERROR(__xludf.DUMMYFUNCTION("""COMPUTED_VALUE"""),57.0018786)</f>
        <v>57.0018786</v>
      </c>
      <c r="M972" s="2">
        <f>IFERROR(__xludf.DUMMYFUNCTION("""COMPUTED_VALUE"""),24.119843)</f>
        <v>24.119843</v>
      </c>
    </row>
    <row r="973">
      <c r="A973" s="2" t="str">
        <f>IFERROR(__xludf.DUMMYFUNCTION("""COMPUTED_VALUE"""),"For sale")</f>
        <v>For sale</v>
      </c>
      <c r="B973" s="2" t="str">
        <f>IFERROR(__xludf.DUMMYFUNCTION("""COMPUTED_VALUE"""),"Ziepniekkalns")</f>
        <v>Ziepniekkalns</v>
      </c>
      <c r="C973" s="2" t="str">
        <f>IFERROR(__xludf.DUMMYFUNCTION("""COMPUTED_VALUE"""),"Ozolciema 22")</f>
        <v>Ozolciema 22</v>
      </c>
      <c r="D973" s="2">
        <f>IFERROR(__xludf.DUMMYFUNCTION("""COMPUTED_VALUE"""),3.0)</f>
        <v>3</v>
      </c>
      <c r="E973" s="2">
        <f>IFERROR(__xludf.DUMMYFUNCTION("""COMPUTED_VALUE"""),79.0)</f>
        <v>79</v>
      </c>
      <c r="F973" s="2">
        <f>IFERROR(__xludf.DUMMYFUNCTION("""COMPUTED_VALUE"""),8.0)</f>
        <v>8</v>
      </c>
      <c r="G973" s="2">
        <f>IFERROR(__xludf.DUMMYFUNCTION("""COMPUTED_VALUE"""),10.0)</f>
        <v>10</v>
      </c>
      <c r="H973" s="2">
        <f>IFERROR(__xludf.DUMMYFUNCTION("""COMPUTED_VALUE"""),119.0)</f>
        <v>119</v>
      </c>
      <c r="I973" s="2" t="str">
        <f>IFERROR(__xludf.DUMMYFUNCTION("""COMPUTED_VALUE"""),"Panel")</f>
        <v>Panel</v>
      </c>
      <c r="J973" s="2" t="str">
        <f>IFERROR(__xludf.DUMMYFUNCTION("""COMPUTED_VALUE"""),"All amenities")</f>
        <v>All amenities</v>
      </c>
      <c r="K973" s="2">
        <f>IFERROR(__xludf.DUMMYFUNCTION("""COMPUTED_VALUE"""),74000.0)</f>
        <v>74000</v>
      </c>
      <c r="L973" s="2">
        <f>IFERROR(__xludf.DUMMYFUNCTION("""COMPUTED_VALUE"""),56.8994354999999)</f>
        <v>56.8994355</v>
      </c>
      <c r="M973" s="2">
        <f>IFERROR(__xludf.DUMMYFUNCTION("""COMPUTED_VALUE"""),24.0875683127701)</f>
        <v>24.08756831</v>
      </c>
    </row>
    <row r="974">
      <c r="A974" s="2" t="str">
        <f>IFERROR(__xludf.DUMMYFUNCTION("""COMPUTED_VALUE"""),"For rent")</f>
        <v>For rent</v>
      </c>
      <c r="B974" s="2" t="str">
        <f>IFERROR(__xludf.DUMMYFUNCTION("""COMPUTED_VALUE"""),"Āgenskalns")</f>
        <v>Āgenskalns</v>
      </c>
      <c r="C974" s="2" t="str">
        <f>IFERROR(__xludf.DUMMYFUNCTION("""COMPUTED_VALUE"""),"Ormaņu 25")</f>
        <v>Ormaņu 25</v>
      </c>
      <c r="D974" s="2">
        <f>IFERROR(__xludf.DUMMYFUNCTION("""COMPUTED_VALUE"""),3.0)</f>
        <v>3</v>
      </c>
      <c r="E974" s="2">
        <f>IFERROR(__xludf.DUMMYFUNCTION("""COMPUTED_VALUE"""),85.0)</f>
        <v>85</v>
      </c>
      <c r="F974" s="2">
        <f>IFERROR(__xludf.DUMMYFUNCTION("""COMPUTED_VALUE"""),2.0)</f>
        <v>2</v>
      </c>
      <c r="G974" s="2">
        <f>IFERROR(__xludf.DUMMYFUNCTION("""COMPUTED_VALUE"""),3.0)</f>
        <v>3</v>
      </c>
      <c r="H974" s="2" t="str">
        <f>IFERROR(__xludf.DUMMYFUNCTION("""COMPUTED_VALUE"""),"Jaun.")</f>
        <v>Jaun.</v>
      </c>
      <c r="I974" s="2" t="str">
        <f>IFERROR(__xludf.DUMMYFUNCTION("""COMPUTED_VALUE"""),"Masonry")</f>
        <v>Masonry</v>
      </c>
      <c r="J974" s="2" t="str">
        <f>IFERROR(__xludf.DUMMYFUNCTION("""COMPUTED_VALUE"""),"All amenities")</f>
        <v>All amenities</v>
      </c>
      <c r="K974" s="2">
        <f>IFERROR(__xludf.DUMMYFUNCTION("""COMPUTED_VALUE"""),850.0)</f>
        <v>850</v>
      </c>
      <c r="L974" s="2">
        <f>IFERROR(__xludf.DUMMYFUNCTION("""COMPUTED_VALUE"""),56.9393754)</f>
        <v>56.9393754</v>
      </c>
      <c r="M974" s="2">
        <f>IFERROR(__xludf.DUMMYFUNCTION("""COMPUTED_VALUE"""),24.0705981)</f>
        <v>24.0705981</v>
      </c>
    </row>
    <row r="975">
      <c r="A975" s="2" t="str">
        <f>IFERROR(__xludf.DUMMYFUNCTION("""COMPUTED_VALUE"""),"For rent")</f>
        <v>For rent</v>
      </c>
      <c r="B975" s="2" t="str">
        <f>IFERROR(__xludf.DUMMYFUNCTION("""COMPUTED_VALUE"""),"Āgenskalns")</f>
        <v>Āgenskalns</v>
      </c>
      <c r="C975" s="2" t="str">
        <f>IFERROR(__xludf.DUMMYFUNCTION("""COMPUTED_VALUE"""),"Ormaņu 25")</f>
        <v>Ormaņu 25</v>
      </c>
      <c r="D975" s="2">
        <f>IFERROR(__xludf.DUMMYFUNCTION("""COMPUTED_VALUE"""),3.0)</f>
        <v>3</v>
      </c>
      <c r="E975" s="2">
        <f>IFERROR(__xludf.DUMMYFUNCTION("""COMPUTED_VALUE"""),71.0)</f>
        <v>71</v>
      </c>
      <c r="F975" s="2">
        <f>IFERROR(__xludf.DUMMYFUNCTION("""COMPUTED_VALUE"""),3.0)</f>
        <v>3</v>
      </c>
      <c r="G975" s="2">
        <f>IFERROR(__xludf.DUMMYFUNCTION("""COMPUTED_VALUE"""),3.0)</f>
        <v>3</v>
      </c>
      <c r="H975" s="2" t="str">
        <f>IFERROR(__xludf.DUMMYFUNCTION("""COMPUTED_VALUE"""),"Jaun.")</f>
        <v>Jaun.</v>
      </c>
      <c r="I975" s="2" t="str">
        <f>IFERROR(__xludf.DUMMYFUNCTION("""COMPUTED_VALUE"""),"Masonry")</f>
        <v>Masonry</v>
      </c>
      <c r="J975" s="2" t="str">
        <f>IFERROR(__xludf.DUMMYFUNCTION("""COMPUTED_VALUE"""),"All amenities")</f>
        <v>All amenities</v>
      </c>
      <c r="K975" s="2">
        <f>IFERROR(__xludf.DUMMYFUNCTION("""COMPUTED_VALUE"""),710.0)</f>
        <v>710</v>
      </c>
      <c r="L975" s="2">
        <f>IFERROR(__xludf.DUMMYFUNCTION("""COMPUTED_VALUE"""),56.9393754)</f>
        <v>56.9393754</v>
      </c>
      <c r="M975" s="2">
        <f>IFERROR(__xludf.DUMMYFUNCTION("""COMPUTED_VALUE"""),24.0705981)</f>
        <v>24.0705981</v>
      </c>
    </row>
    <row r="976">
      <c r="A976" s="2" t="str">
        <f>IFERROR(__xludf.DUMMYFUNCTION("""COMPUTED_VALUE"""),"For rent")</f>
        <v>For rent</v>
      </c>
      <c r="B976" s="2" t="str">
        <f>IFERROR(__xludf.DUMMYFUNCTION("""COMPUTED_VALUE"""),"centrs")</f>
        <v>centrs</v>
      </c>
      <c r="C976" s="2" t="str">
        <f>IFERROR(__xludf.DUMMYFUNCTION("""COMPUTED_VALUE"""),"Vagonu 22")</f>
        <v>Vagonu 22</v>
      </c>
      <c r="D976" s="2">
        <f>IFERROR(__xludf.DUMMYFUNCTION("""COMPUTED_VALUE"""),1.0)</f>
        <v>1</v>
      </c>
      <c r="E976" s="2">
        <f>IFERROR(__xludf.DUMMYFUNCTION("""COMPUTED_VALUE"""),33.0)</f>
        <v>33</v>
      </c>
      <c r="F976" s="2">
        <f>IFERROR(__xludf.DUMMYFUNCTION("""COMPUTED_VALUE"""),2.0)</f>
        <v>2</v>
      </c>
      <c r="G976" s="2">
        <f>IFERROR(__xludf.DUMMYFUNCTION("""COMPUTED_VALUE"""),5.0)</f>
        <v>5</v>
      </c>
      <c r="H976" s="2" t="str">
        <f>IFERROR(__xludf.DUMMYFUNCTION("""COMPUTED_VALUE"""),"Renov.")</f>
        <v>Renov.</v>
      </c>
      <c r="I976" s="2" t="str">
        <f>IFERROR(__xludf.DUMMYFUNCTION("""COMPUTED_VALUE"""),"Masonry")</f>
        <v>Masonry</v>
      </c>
      <c r="J976" s="2" t="str">
        <f>IFERROR(__xludf.DUMMYFUNCTION("""COMPUTED_VALUE"""),"All amenities")</f>
        <v>All amenities</v>
      </c>
      <c r="K976" s="2">
        <f>IFERROR(__xludf.DUMMYFUNCTION("""COMPUTED_VALUE"""),49.0)</f>
        <v>49</v>
      </c>
      <c r="L976" s="2">
        <f>IFERROR(__xludf.DUMMYFUNCTION("""COMPUTED_VALUE"""),56.94863315)</f>
        <v>56.94863315</v>
      </c>
      <c r="M976" s="2">
        <f>IFERROR(__xludf.DUMMYFUNCTION("""COMPUTED_VALUE"""),24.1500322)</f>
        <v>24.1500322</v>
      </c>
    </row>
    <row r="977">
      <c r="A977" s="2" t="str">
        <f>IFERROR(__xludf.DUMMYFUNCTION("""COMPUTED_VALUE"""),"For rent")</f>
        <v>For rent</v>
      </c>
      <c r="B977" s="2" t="str">
        <f>IFERROR(__xludf.DUMMYFUNCTION("""COMPUTED_VALUE"""),"centrs")</f>
        <v>centrs</v>
      </c>
      <c r="C977" s="2" t="str">
        <f>IFERROR(__xludf.DUMMYFUNCTION("""COMPUTED_VALUE"""),"Matīsa 100")</f>
        <v>Matīsa 100</v>
      </c>
      <c r="D977" s="2">
        <f>IFERROR(__xludf.DUMMYFUNCTION("""COMPUTED_VALUE"""),1.0)</f>
        <v>1</v>
      </c>
      <c r="E977" s="2">
        <f>IFERROR(__xludf.DUMMYFUNCTION("""COMPUTED_VALUE"""),30.0)</f>
        <v>30</v>
      </c>
      <c r="F977" s="2">
        <f>IFERROR(__xludf.DUMMYFUNCTION("""COMPUTED_VALUE"""),4.0)</f>
        <v>4</v>
      </c>
      <c r="G977" s="2">
        <f>IFERROR(__xludf.DUMMYFUNCTION("""COMPUTED_VALUE"""),5.0)</f>
        <v>5</v>
      </c>
      <c r="H977" s="2" t="str">
        <f>IFERROR(__xludf.DUMMYFUNCTION("""COMPUTED_VALUE"""),"Renov.")</f>
        <v>Renov.</v>
      </c>
      <c r="I977" s="2" t="str">
        <f>IFERROR(__xludf.DUMMYFUNCTION("""COMPUTED_VALUE"""),"Brick")</f>
        <v>Brick</v>
      </c>
      <c r="J977" s="2" t="str">
        <f>IFERROR(__xludf.DUMMYFUNCTION("""COMPUTED_VALUE"""),"All amenities")</f>
        <v>All amenities</v>
      </c>
      <c r="K977" s="2">
        <f>IFERROR(__xludf.DUMMYFUNCTION("""COMPUTED_VALUE"""),30.0)</f>
        <v>30</v>
      </c>
      <c r="L977" s="2">
        <f>IFERROR(__xludf.DUMMYFUNCTION("""COMPUTED_VALUE"""),56.948925)</f>
        <v>56.948925</v>
      </c>
      <c r="M977" s="2">
        <f>IFERROR(__xludf.DUMMYFUNCTION("""COMPUTED_VALUE"""),24.1500222)</f>
        <v>24.1500222</v>
      </c>
    </row>
    <row r="978">
      <c r="A978" s="2" t="str">
        <f>IFERROR(__xludf.DUMMYFUNCTION("""COMPUTED_VALUE"""),"For sale")</f>
        <v>For sale</v>
      </c>
      <c r="B978" s="2" t="str">
        <f>IFERROR(__xludf.DUMMYFUNCTION("""COMPUTED_VALUE"""),"centrs")</f>
        <v>centrs</v>
      </c>
      <c r="C978" s="2" t="str">
        <f>IFERROR(__xludf.DUMMYFUNCTION("""COMPUTED_VALUE"""),"Elizabetes 21a")</f>
        <v>Elizabetes 21a</v>
      </c>
      <c r="D978" s="2">
        <f>IFERROR(__xludf.DUMMYFUNCTION("""COMPUTED_VALUE"""),4.0)</f>
        <v>4</v>
      </c>
      <c r="E978" s="2">
        <f>IFERROR(__xludf.DUMMYFUNCTION("""COMPUTED_VALUE"""),127.0)</f>
        <v>127</v>
      </c>
      <c r="F978" s="2">
        <f>IFERROR(__xludf.DUMMYFUNCTION("""COMPUTED_VALUE"""),2.0)</f>
        <v>2</v>
      </c>
      <c r="G978" s="2">
        <f>IFERROR(__xludf.DUMMYFUNCTION("""COMPUTED_VALUE"""),5.0)</f>
        <v>5</v>
      </c>
      <c r="H978" s="2" t="str">
        <f>IFERROR(__xludf.DUMMYFUNCTION("""COMPUTED_VALUE"""),"Renov.")</f>
        <v>Renov.</v>
      </c>
      <c r="I978" s="2" t="str">
        <f>IFERROR(__xludf.DUMMYFUNCTION("""COMPUTED_VALUE"""),"Masonry")</f>
        <v>Masonry</v>
      </c>
      <c r="J978" s="2" t="str">
        <f>IFERROR(__xludf.DUMMYFUNCTION("""COMPUTED_VALUE"""),"All amenities")</f>
        <v>All amenities</v>
      </c>
      <c r="K978" s="2">
        <f>IFERROR(__xludf.DUMMYFUNCTION("""COMPUTED_VALUE"""),400000.0)</f>
        <v>400000</v>
      </c>
      <c r="L978" s="2">
        <f>IFERROR(__xludf.DUMMYFUNCTION("""COMPUTED_VALUE"""),56.9586159)</f>
        <v>56.9586159</v>
      </c>
      <c r="M978" s="2">
        <f>IFERROR(__xludf.DUMMYFUNCTION("""COMPUTED_VALUE"""),24.1066665512393)</f>
        <v>24.10666655</v>
      </c>
    </row>
    <row r="979">
      <c r="A979" s="2" t="str">
        <f>IFERROR(__xludf.DUMMYFUNCTION("""COMPUTED_VALUE"""),"For rent")</f>
        <v>For rent</v>
      </c>
      <c r="B979" s="2" t="str">
        <f>IFERROR(__xludf.DUMMYFUNCTION("""COMPUTED_VALUE"""),"centrs")</f>
        <v>centrs</v>
      </c>
      <c r="C979" s="2" t="str">
        <f>IFERROR(__xludf.DUMMYFUNCTION("""COMPUTED_VALUE"""),"Vesetas 12")</f>
        <v>Vesetas 12</v>
      </c>
      <c r="D979" s="2">
        <f>IFERROR(__xludf.DUMMYFUNCTION("""COMPUTED_VALUE"""),3.0)</f>
        <v>3</v>
      </c>
      <c r="E979" s="2">
        <f>IFERROR(__xludf.DUMMYFUNCTION("""COMPUTED_VALUE"""),78.0)</f>
        <v>78</v>
      </c>
      <c r="F979" s="2">
        <f>IFERROR(__xludf.DUMMYFUNCTION("""COMPUTED_VALUE"""),6.0)</f>
        <v>6</v>
      </c>
      <c r="G979" s="2">
        <f>IFERROR(__xludf.DUMMYFUNCTION("""COMPUTED_VALUE"""),6.0)</f>
        <v>6</v>
      </c>
      <c r="H979" s="2" t="str">
        <f>IFERROR(__xludf.DUMMYFUNCTION("""COMPUTED_VALUE"""),"Specpr.")</f>
        <v>Specpr.</v>
      </c>
      <c r="I979" s="2" t="str">
        <f>IFERROR(__xludf.DUMMYFUNCTION("""COMPUTED_VALUE"""),"Brick")</f>
        <v>Brick</v>
      </c>
      <c r="J979" s="2" t="str">
        <f>IFERROR(__xludf.DUMMYFUNCTION("""COMPUTED_VALUE"""),"All amenities")</f>
        <v>All amenities</v>
      </c>
      <c r="K979" s="2">
        <f>IFERROR(__xludf.DUMMYFUNCTION("""COMPUTED_VALUE"""),560.0)</f>
        <v>560</v>
      </c>
      <c r="L979" s="2">
        <f>IFERROR(__xludf.DUMMYFUNCTION("""COMPUTED_VALUE"""),56.9651396)</f>
        <v>56.9651396</v>
      </c>
      <c r="M979" s="2">
        <f>IFERROR(__xludf.DUMMYFUNCTION("""COMPUTED_VALUE"""),24.1250890722437)</f>
        <v>24.12508907</v>
      </c>
    </row>
    <row r="980">
      <c r="A980" s="2" t="str">
        <f>IFERROR(__xludf.DUMMYFUNCTION("""COMPUTED_VALUE"""),"For sale")</f>
        <v>For sale</v>
      </c>
      <c r="B980" s="2" t="str">
        <f>IFERROR(__xludf.DUMMYFUNCTION("""COMPUTED_VALUE"""),"Vecmīlgrāvis")</f>
        <v>Vecmīlgrāvis</v>
      </c>
      <c r="C980" s="2" t="str">
        <f>IFERROR(__xludf.DUMMYFUNCTION("""COMPUTED_VALUE"""),"Ziemeļblāzmas 42")</f>
        <v>Ziemeļblāzmas 42</v>
      </c>
      <c r="D980" s="2">
        <f>IFERROR(__xludf.DUMMYFUNCTION("""COMPUTED_VALUE"""),2.0)</f>
        <v>2</v>
      </c>
      <c r="E980" s="2">
        <f>IFERROR(__xludf.DUMMYFUNCTION("""COMPUTED_VALUE"""),50.0)</f>
        <v>50</v>
      </c>
      <c r="F980" s="2">
        <f>IFERROR(__xludf.DUMMYFUNCTION("""COMPUTED_VALUE"""),2.0)</f>
        <v>2</v>
      </c>
      <c r="G980" s="2">
        <f>IFERROR(__xludf.DUMMYFUNCTION("""COMPUTED_VALUE"""),9.0)</f>
        <v>9</v>
      </c>
      <c r="H980" s="2">
        <f>IFERROR(__xludf.DUMMYFUNCTION("""COMPUTED_VALUE"""),602.0)</f>
        <v>602</v>
      </c>
      <c r="I980" s="2" t="str">
        <f>IFERROR(__xludf.DUMMYFUNCTION("""COMPUTED_VALUE"""),"Panel")</f>
        <v>Panel</v>
      </c>
      <c r="J980" s="2" t="str">
        <f>IFERROR(__xludf.DUMMYFUNCTION("""COMPUTED_VALUE"""),"All amenities")</f>
        <v>All amenities</v>
      </c>
      <c r="K980" s="2">
        <f>IFERROR(__xludf.DUMMYFUNCTION("""COMPUTED_VALUE"""),51000.0)</f>
        <v>51000</v>
      </c>
      <c r="L980" s="2">
        <f>IFERROR(__xludf.DUMMYFUNCTION("""COMPUTED_VALUE"""),57.0381193)</f>
        <v>57.0381193</v>
      </c>
      <c r="M980" s="2">
        <f>IFERROR(__xludf.DUMMYFUNCTION("""COMPUTED_VALUE"""),24.0976149363578)</f>
        <v>24.09761494</v>
      </c>
    </row>
    <row r="981">
      <c r="A981" s="2" t="str">
        <f>IFERROR(__xludf.DUMMYFUNCTION("""COMPUTED_VALUE"""),"For rent")</f>
        <v>For rent</v>
      </c>
      <c r="B981" s="2" t="str">
        <f>IFERROR(__xludf.DUMMYFUNCTION("""COMPUTED_VALUE"""),"Purvciems")</f>
        <v>Purvciems</v>
      </c>
      <c r="C981" s="2" t="str">
        <f>IFERROR(__xludf.DUMMYFUNCTION("""COMPUTED_VALUE"""),"Deglava 54")</f>
        <v>Deglava 54</v>
      </c>
      <c r="D981" s="2">
        <f>IFERROR(__xludf.DUMMYFUNCTION("""COMPUTED_VALUE"""),1.0)</f>
        <v>1</v>
      </c>
      <c r="E981" s="2">
        <f>IFERROR(__xludf.DUMMYFUNCTION("""COMPUTED_VALUE"""),30.0)</f>
        <v>30</v>
      </c>
      <c r="F981" s="2">
        <f>IFERROR(__xludf.DUMMYFUNCTION("""COMPUTED_VALUE"""),2.0)</f>
        <v>2</v>
      </c>
      <c r="G981" s="2">
        <f>IFERROR(__xludf.DUMMYFUNCTION("""COMPUTED_VALUE"""),2.0)</f>
        <v>2</v>
      </c>
      <c r="H981" s="2" t="str">
        <f>IFERROR(__xludf.DUMMYFUNCTION("""COMPUTED_VALUE"""),"Priv. m.")</f>
        <v>Priv. m.</v>
      </c>
      <c r="I981" s="2" t="str">
        <f>IFERROR(__xludf.DUMMYFUNCTION("""COMPUTED_VALUE"""),"Wood")</f>
        <v>Wood</v>
      </c>
      <c r="J981" s="2" t="str">
        <f>IFERROR(__xludf.DUMMYFUNCTION("""COMPUTED_VALUE"""),"All amenities")</f>
        <v>All amenities</v>
      </c>
      <c r="K981" s="2">
        <f>IFERROR(__xludf.DUMMYFUNCTION("""COMPUTED_VALUE"""),180.0)</f>
        <v>180</v>
      </c>
      <c r="L981" s="2">
        <f>IFERROR(__xludf.DUMMYFUNCTION("""COMPUTED_VALUE"""),56.953682)</f>
        <v>56.953682</v>
      </c>
      <c r="M981" s="2">
        <f>IFERROR(__xludf.DUMMYFUNCTION("""COMPUTED_VALUE"""),24.1521483)</f>
        <v>24.1521483</v>
      </c>
    </row>
    <row r="982">
      <c r="A982" s="2" t="str">
        <f>IFERROR(__xludf.DUMMYFUNCTION("""COMPUTED_VALUE"""),"For sale")</f>
        <v>For sale</v>
      </c>
      <c r="B982" s="2" t="str">
        <f>IFERROR(__xludf.DUMMYFUNCTION("""COMPUTED_VALUE"""),"centrs")</f>
        <v>centrs</v>
      </c>
      <c r="C982" s="2" t="str">
        <f>IFERROR(__xludf.DUMMYFUNCTION("""COMPUTED_VALUE"""),"Briāna 4")</f>
        <v>Briāna 4</v>
      </c>
      <c r="D982" s="2">
        <f>IFERROR(__xludf.DUMMYFUNCTION("""COMPUTED_VALUE"""),2.0)</f>
        <v>2</v>
      </c>
      <c r="E982" s="2">
        <f>IFERROR(__xludf.DUMMYFUNCTION("""COMPUTED_VALUE"""),52.4)</f>
        <v>52.4</v>
      </c>
      <c r="F982" s="2">
        <f>IFERROR(__xludf.DUMMYFUNCTION("""COMPUTED_VALUE"""),1.0)</f>
        <v>1</v>
      </c>
      <c r="G982" s="2">
        <f>IFERROR(__xludf.DUMMYFUNCTION("""COMPUTED_VALUE"""),5.0)</f>
        <v>5</v>
      </c>
      <c r="H982" s="2" t="str">
        <f>IFERROR(__xludf.DUMMYFUNCTION("""COMPUTED_VALUE"""),"Renov.")</f>
        <v>Renov.</v>
      </c>
      <c r="I982" s="2" t="str">
        <f>IFERROR(__xludf.DUMMYFUNCTION("""COMPUTED_VALUE"""),"Masonry")</f>
        <v>Masonry</v>
      </c>
      <c r="J982" s="2" t="str">
        <f>IFERROR(__xludf.DUMMYFUNCTION("""COMPUTED_VALUE"""),"All amenities")</f>
        <v>All amenities</v>
      </c>
      <c r="K982" s="2">
        <f>IFERROR(__xludf.DUMMYFUNCTION("""COMPUTED_VALUE"""),86460.0)</f>
        <v>86460</v>
      </c>
      <c r="L982" s="2">
        <f>IFERROR(__xludf.DUMMYFUNCTION("""COMPUTED_VALUE"""),56.9629058)</f>
        <v>56.9629058</v>
      </c>
      <c r="M982" s="2">
        <f>IFERROR(__xludf.DUMMYFUNCTION("""COMPUTED_VALUE"""),24.1284176030358)</f>
        <v>24.1284176</v>
      </c>
    </row>
    <row r="983">
      <c r="A983" s="2" t="str">
        <f>IFERROR(__xludf.DUMMYFUNCTION("""COMPUTED_VALUE"""),"For rent")</f>
        <v>For rent</v>
      </c>
      <c r="B983" s="2" t="str">
        <f>IFERROR(__xludf.DUMMYFUNCTION("""COMPUTED_VALUE"""),"centrs")</f>
        <v>centrs</v>
      </c>
      <c r="C983" s="2" t="str">
        <f>IFERROR(__xludf.DUMMYFUNCTION("""COMPUTED_VALUE"""),"Rūpniecības 44")</f>
        <v>Rūpniecības 44</v>
      </c>
      <c r="D983" s="2">
        <f>IFERROR(__xludf.DUMMYFUNCTION("""COMPUTED_VALUE"""),3.0)</f>
        <v>3</v>
      </c>
      <c r="E983" s="2">
        <f>IFERROR(__xludf.DUMMYFUNCTION("""COMPUTED_VALUE"""),111.3)</f>
        <v>111.3</v>
      </c>
      <c r="F983" s="2">
        <f>IFERROR(__xludf.DUMMYFUNCTION("""COMPUTED_VALUE"""),2.0)</f>
        <v>2</v>
      </c>
      <c r="G983" s="2">
        <f>IFERROR(__xludf.DUMMYFUNCTION("""COMPUTED_VALUE"""),5.0)</f>
        <v>5</v>
      </c>
      <c r="H983" s="2" t="str">
        <f>IFERROR(__xludf.DUMMYFUNCTION("""COMPUTED_VALUE"""),"Jaun.")</f>
        <v>Jaun.</v>
      </c>
      <c r="I983" s="2" t="str">
        <f>IFERROR(__xludf.DUMMYFUNCTION("""COMPUTED_VALUE"""),"Brick-Panel")</f>
        <v>Brick-Panel</v>
      </c>
      <c r="J983" s="2" t="str">
        <f>IFERROR(__xludf.DUMMYFUNCTION("""COMPUTED_VALUE"""),"All amenities")</f>
        <v>All amenities</v>
      </c>
      <c r="K983" s="2">
        <f>IFERROR(__xludf.DUMMYFUNCTION("""COMPUTED_VALUE"""),1000.0)</f>
        <v>1000</v>
      </c>
      <c r="L983" s="2">
        <f>IFERROR(__xludf.DUMMYFUNCTION("""COMPUTED_VALUE"""),56.9663651)</f>
        <v>56.9663651</v>
      </c>
      <c r="M983" s="2">
        <f>IFERROR(__xludf.DUMMYFUNCTION("""COMPUTED_VALUE"""),24.1051126038627)</f>
        <v>24.1051126</v>
      </c>
    </row>
    <row r="984">
      <c r="A984" s="2" t="str">
        <f>IFERROR(__xludf.DUMMYFUNCTION("""COMPUTED_VALUE"""),"For sale")</f>
        <v>For sale</v>
      </c>
      <c r="B984" s="2" t="str">
        <f>IFERROR(__xludf.DUMMYFUNCTION("""COMPUTED_VALUE"""),"Dārzciems")</f>
        <v>Dārzciems</v>
      </c>
      <c r="C984" s="2" t="str">
        <f>IFERROR(__xludf.DUMMYFUNCTION("""COMPUTED_VALUE"""),"Zeltiņu 45")</f>
        <v>Zeltiņu 45</v>
      </c>
      <c r="D984" s="2">
        <f>IFERROR(__xludf.DUMMYFUNCTION("""COMPUTED_VALUE"""),2.0)</f>
        <v>2</v>
      </c>
      <c r="E984" s="2">
        <f>IFERROR(__xludf.DUMMYFUNCTION("""COMPUTED_VALUE"""),45.0)</f>
        <v>45</v>
      </c>
      <c r="F984" s="2">
        <f>IFERROR(__xludf.DUMMYFUNCTION("""COMPUTED_VALUE"""),2.0)</f>
        <v>2</v>
      </c>
      <c r="G984" s="2">
        <f>IFERROR(__xludf.DUMMYFUNCTION("""COMPUTED_VALUE"""),2.0)</f>
        <v>2</v>
      </c>
      <c r="H984" s="2" t="str">
        <f>IFERROR(__xludf.DUMMYFUNCTION("""COMPUTED_VALUE"""),"Staļina")</f>
        <v>Staļina</v>
      </c>
      <c r="I984" s="2" t="str">
        <f>IFERROR(__xludf.DUMMYFUNCTION("""COMPUTED_VALUE"""),"Brick")</f>
        <v>Brick</v>
      </c>
      <c r="J984" s="2" t="str">
        <f>IFERROR(__xludf.DUMMYFUNCTION("""COMPUTED_VALUE"""),"All amenities")</f>
        <v>All amenities</v>
      </c>
      <c r="K984" s="2">
        <f>IFERROR(__xludf.DUMMYFUNCTION("""COMPUTED_VALUE"""),39500.0)</f>
        <v>39500</v>
      </c>
      <c r="L984" s="2">
        <f>IFERROR(__xludf.DUMMYFUNCTION("""COMPUTED_VALUE"""),56.9465912)</f>
        <v>56.9465912</v>
      </c>
      <c r="M984" s="2">
        <f>IFERROR(__xludf.DUMMYFUNCTION("""COMPUTED_VALUE"""),24.17507065)</f>
        <v>24.17507065</v>
      </c>
    </row>
    <row r="985">
      <c r="A985" s="2" t="str">
        <f>IFERROR(__xludf.DUMMYFUNCTION("""COMPUTED_VALUE"""),"For sale")</f>
        <v>For sale</v>
      </c>
      <c r="B985" s="2" t="str">
        <f>IFERROR(__xludf.DUMMYFUNCTION("""COMPUTED_VALUE"""),"centrs")</f>
        <v>centrs</v>
      </c>
      <c r="C985" s="2" t="str">
        <f>IFERROR(__xludf.DUMMYFUNCTION("""COMPUTED_VALUE"""),"Blaumaņa 12")</f>
        <v>Blaumaņa 12</v>
      </c>
      <c r="D985" s="2">
        <f>IFERROR(__xludf.DUMMYFUNCTION("""COMPUTED_VALUE"""),3.0)</f>
        <v>3</v>
      </c>
      <c r="E985" s="2">
        <f>IFERROR(__xludf.DUMMYFUNCTION("""COMPUTED_VALUE"""),66.0)</f>
        <v>66</v>
      </c>
      <c r="F985" s="2">
        <f>IFERROR(__xludf.DUMMYFUNCTION("""COMPUTED_VALUE"""),3.0)</f>
        <v>3</v>
      </c>
      <c r="G985" s="2">
        <f>IFERROR(__xludf.DUMMYFUNCTION("""COMPUTED_VALUE"""),6.0)</f>
        <v>6</v>
      </c>
      <c r="H985" s="2" t="str">
        <f>IFERROR(__xludf.DUMMYFUNCTION("""COMPUTED_VALUE"""),"Renov.")</f>
        <v>Renov.</v>
      </c>
      <c r="I985" s="2" t="str">
        <f>IFERROR(__xludf.DUMMYFUNCTION("""COMPUTED_VALUE"""),"Masonry")</f>
        <v>Masonry</v>
      </c>
      <c r="J985" s="2" t="str">
        <f>IFERROR(__xludf.DUMMYFUNCTION("""COMPUTED_VALUE"""),"All amenities")</f>
        <v>All amenities</v>
      </c>
      <c r="K985" s="2">
        <f>IFERROR(__xludf.DUMMYFUNCTION("""COMPUTED_VALUE"""),178200.0)</f>
        <v>178200</v>
      </c>
      <c r="L985" s="2">
        <f>IFERROR(__xludf.DUMMYFUNCTION("""COMPUTED_VALUE"""),56.9548306)</f>
        <v>56.9548306</v>
      </c>
      <c r="M985" s="2">
        <f>IFERROR(__xludf.DUMMYFUNCTION("""COMPUTED_VALUE"""),24.1221141)</f>
        <v>24.1221141</v>
      </c>
    </row>
    <row r="986">
      <c r="A986" s="2" t="str">
        <f>IFERROR(__xludf.DUMMYFUNCTION("""COMPUTED_VALUE"""),"For rent")</f>
        <v>For rent</v>
      </c>
      <c r="B986" s="2" t="str">
        <f>IFERROR(__xludf.DUMMYFUNCTION("""COMPUTED_VALUE"""),"centrs")</f>
        <v>centrs</v>
      </c>
      <c r="C986" s="2" t="str">
        <f>IFERROR(__xludf.DUMMYFUNCTION("""COMPUTED_VALUE"""),"Barona 13")</f>
        <v>Barona 13</v>
      </c>
      <c r="D986" s="2">
        <f>IFERROR(__xludf.DUMMYFUNCTION("""COMPUTED_VALUE"""),3.0)</f>
        <v>3</v>
      </c>
      <c r="E986" s="2">
        <f>IFERROR(__xludf.DUMMYFUNCTION("""COMPUTED_VALUE"""),73.0)</f>
        <v>73</v>
      </c>
      <c r="F986" s="2">
        <f>IFERROR(__xludf.DUMMYFUNCTION("""COMPUTED_VALUE"""),5.0)</f>
        <v>5</v>
      </c>
      <c r="G986" s="2">
        <f>IFERROR(__xludf.DUMMYFUNCTION("""COMPUTED_VALUE"""),6.0)</f>
        <v>6</v>
      </c>
      <c r="H986" s="2" t="str">
        <f>IFERROR(__xludf.DUMMYFUNCTION("""COMPUTED_VALUE"""),"Renov.")</f>
        <v>Renov.</v>
      </c>
      <c r="I986" s="2" t="str">
        <f>IFERROR(__xludf.DUMMYFUNCTION("""COMPUTED_VALUE"""),"Masonry")</f>
        <v>Masonry</v>
      </c>
      <c r="J986" s="2" t="str">
        <f>IFERROR(__xludf.DUMMYFUNCTION("""COMPUTED_VALUE"""),"All amenities")</f>
        <v>All amenities</v>
      </c>
      <c r="K986" s="2">
        <f>IFERROR(__xludf.DUMMYFUNCTION("""COMPUTED_VALUE"""),890.0)</f>
        <v>890</v>
      </c>
      <c r="L986" s="2">
        <f>IFERROR(__xludf.DUMMYFUNCTION("""COMPUTED_VALUE"""),56.9521532)</f>
        <v>56.9521532</v>
      </c>
      <c r="M986" s="2">
        <f>IFERROR(__xludf.DUMMYFUNCTION("""COMPUTED_VALUE"""),24.1228046)</f>
        <v>24.1228046</v>
      </c>
    </row>
    <row r="987">
      <c r="A987" s="2" t="str">
        <f>IFERROR(__xludf.DUMMYFUNCTION("""COMPUTED_VALUE"""),"For rent")</f>
        <v>For rent</v>
      </c>
      <c r="B987" s="2" t="str">
        <f>IFERROR(__xludf.DUMMYFUNCTION("""COMPUTED_VALUE"""),"Vecrīga")</f>
        <v>Vecrīga</v>
      </c>
      <c r="C987" s="2" t="str">
        <f>IFERROR(__xludf.DUMMYFUNCTION("""COMPUTED_VALUE"""),"Meistaru 6")</f>
        <v>Meistaru 6</v>
      </c>
      <c r="D987" s="2">
        <f>IFERROR(__xludf.DUMMYFUNCTION("""COMPUTED_VALUE"""),3.0)</f>
        <v>3</v>
      </c>
      <c r="E987" s="2">
        <f>IFERROR(__xludf.DUMMYFUNCTION("""COMPUTED_VALUE"""),74.0)</f>
        <v>74</v>
      </c>
      <c r="F987" s="2">
        <f>IFERROR(__xludf.DUMMYFUNCTION("""COMPUTED_VALUE"""),3.0)</f>
        <v>3</v>
      </c>
      <c r="G987" s="2">
        <f>IFERROR(__xludf.DUMMYFUNCTION("""COMPUTED_VALUE"""),5.0)</f>
        <v>5</v>
      </c>
      <c r="H987" s="2" t="str">
        <f>IFERROR(__xludf.DUMMYFUNCTION("""COMPUTED_VALUE"""),"P. kara")</f>
        <v>P. kara</v>
      </c>
      <c r="I987" s="2" t="str">
        <f>IFERROR(__xludf.DUMMYFUNCTION("""COMPUTED_VALUE"""),"Masonry")</f>
        <v>Masonry</v>
      </c>
      <c r="J987" s="2" t="str">
        <f>IFERROR(__xludf.DUMMYFUNCTION("""COMPUTED_VALUE"""),"All amenities")</f>
        <v>All amenities</v>
      </c>
      <c r="K987" s="2">
        <f>IFERROR(__xludf.DUMMYFUNCTION("""COMPUTED_VALUE"""),700.0)</f>
        <v>700</v>
      </c>
      <c r="L987" s="2">
        <f>IFERROR(__xludf.DUMMYFUNCTION("""COMPUTED_VALUE"""),56.9504522)</f>
        <v>56.9504522</v>
      </c>
      <c r="M987" s="2">
        <f>IFERROR(__xludf.DUMMYFUNCTION("""COMPUTED_VALUE"""),24.1089579)</f>
        <v>24.1089579</v>
      </c>
    </row>
    <row r="988">
      <c r="A988" s="2" t="str">
        <f>IFERROR(__xludf.DUMMYFUNCTION("""COMPUTED_VALUE"""),"For rent")</f>
        <v>For rent</v>
      </c>
      <c r="B988" s="2" t="str">
        <f>IFERROR(__xludf.DUMMYFUNCTION("""COMPUTED_VALUE"""),"Imanta")</f>
        <v>Imanta</v>
      </c>
      <c r="C988" s="2" t="str">
        <f>IFERROR(__xludf.DUMMYFUNCTION("""COMPUTED_VALUE"""),"Kurzemes pr. 32")</f>
        <v>Kurzemes pr. 32</v>
      </c>
      <c r="D988" s="2">
        <f>IFERROR(__xludf.DUMMYFUNCTION("""COMPUTED_VALUE"""),1.0)</f>
        <v>1</v>
      </c>
      <c r="E988" s="2">
        <f>IFERROR(__xludf.DUMMYFUNCTION("""COMPUTED_VALUE"""),39.0)</f>
        <v>39</v>
      </c>
      <c r="F988" s="2">
        <f>IFERROR(__xludf.DUMMYFUNCTION("""COMPUTED_VALUE"""),3.0)</f>
        <v>3</v>
      </c>
      <c r="G988" s="2">
        <f>IFERROR(__xludf.DUMMYFUNCTION("""COMPUTED_VALUE"""),5.0)</f>
        <v>5</v>
      </c>
      <c r="H988" s="2" t="str">
        <f>IFERROR(__xludf.DUMMYFUNCTION("""COMPUTED_VALUE"""),"LT proj.")</f>
        <v>LT proj.</v>
      </c>
      <c r="I988" s="2" t="str">
        <f>IFERROR(__xludf.DUMMYFUNCTION("""COMPUTED_VALUE"""),"Panel")</f>
        <v>Panel</v>
      </c>
      <c r="J988" s="2" t="str">
        <f>IFERROR(__xludf.DUMMYFUNCTION("""COMPUTED_VALUE"""),"All amenities")</f>
        <v>All amenities</v>
      </c>
      <c r="K988" s="2">
        <f>IFERROR(__xludf.DUMMYFUNCTION("""COMPUTED_VALUE"""),300.0)</f>
        <v>300</v>
      </c>
      <c r="L988" s="2" t="str">
        <f>IFERROR(__xludf.DUMMYFUNCTION("""COMPUTED_VALUE"""),"NaN")</f>
        <v>NaN</v>
      </c>
      <c r="M988" s="2" t="str">
        <f>IFERROR(__xludf.DUMMYFUNCTION("""COMPUTED_VALUE"""),"NaN")</f>
        <v>NaN</v>
      </c>
    </row>
    <row r="989">
      <c r="A989" s="2" t="str">
        <f>IFERROR(__xludf.DUMMYFUNCTION("""COMPUTED_VALUE"""),"For rent")</f>
        <v>For rent</v>
      </c>
      <c r="B989" s="2" t="str">
        <f>IFERROR(__xludf.DUMMYFUNCTION("""COMPUTED_VALUE"""),"Iļģuciems")</f>
        <v>Iļģuciems</v>
      </c>
      <c r="C989" s="2" t="str">
        <f>IFERROR(__xludf.DUMMYFUNCTION("""COMPUTED_VALUE"""),"Spilves 25")</f>
        <v>Spilves 25</v>
      </c>
      <c r="D989" s="2">
        <f>IFERROR(__xludf.DUMMYFUNCTION("""COMPUTED_VALUE"""),1.0)</f>
        <v>1</v>
      </c>
      <c r="E989" s="2">
        <f>IFERROR(__xludf.DUMMYFUNCTION("""COMPUTED_VALUE"""),49.0)</f>
        <v>49</v>
      </c>
      <c r="F989" s="2">
        <f>IFERROR(__xludf.DUMMYFUNCTION("""COMPUTED_VALUE"""),12.0)</f>
        <v>12</v>
      </c>
      <c r="G989" s="2">
        <f>IFERROR(__xludf.DUMMYFUNCTION("""COMPUTED_VALUE"""),14.0)</f>
        <v>14</v>
      </c>
      <c r="H989" s="2" t="str">
        <f>IFERROR(__xludf.DUMMYFUNCTION("""COMPUTED_VALUE"""),"Specpr.")</f>
        <v>Specpr.</v>
      </c>
      <c r="I989" s="2" t="str">
        <f>IFERROR(__xludf.DUMMYFUNCTION("""COMPUTED_VALUE"""),"Panel-Brick")</f>
        <v>Panel-Brick</v>
      </c>
      <c r="J989" s="2" t="str">
        <f>IFERROR(__xludf.DUMMYFUNCTION("""COMPUTED_VALUE"""),"All amenities")</f>
        <v>All amenities</v>
      </c>
      <c r="K989" s="2">
        <f>IFERROR(__xludf.DUMMYFUNCTION("""COMPUTED_VALUE"""),300.0)</f>
        <v>300</v>
      </c>
      <c r="L989" s="2">
        <f>IFERROR(__xludf.DUMMYFUNCTION("""COMPUTED_VALUE"""),56.9724222)</f>
        <v>56.9724222</v>
      </c>
      <c r="M989" s="2">
        <f>IFERROR(__xludf.DUMMYFUNCTION("""COMPUTED_VALUE"""),24.0568750500824)</f>
        <v>24.05687505</v>
      </c>
    </row>
    <row r="990">
      <c r="A990" s="2" t="str">
        <f>IFERROR(__xludf.DUMMYFUNCTION("""COMPUTED_VALUE"""),"For sale")</f>
        <v>For sale</v>
      </c>
      <c r="B990" s="2" t="str">
        <f>IFERROR(__xludf.DUMMYFUNCTION("""COMPUTED_VALUE"""),"centrs")</f>
        <v>centrs</v>
      </c>
      <c r="C990" s="2" t="str">
        <f>IFERROR(__xludf.DUMMYFUNCTION("""COMPUTED_VALUE"""),"Rūdolfa 1")</f>
        <v>Rūdolfa 1</v>
      </c>
      <c r="D990" s="2">
        <f>IFERROR(__xludf.DUMMYFUNCTION("""COMPUTED_VALUE"""),1.0)</f>
        <v>1</v>
      </c>
      <c r="E990" s="2">
        <f>IFERROR(__xludf.DUMMYFUNCTION("""COMPUTED_VALUE"""),26.0)</f>
        <v>26</v>
      </c>
      <c r="F990" s="2">
        <f>IFERROR(__xludf.DUMMYFUNCTION("""COMPUTED_VALUE"""),5.0)</f>
        <v>5</v>
      </c>
      <c r="G990" s="2">
        <f>IFERROR(__xludf.DUMMYFUNCTION("""COMPUTED_VALUE"""),6.0)</f>
        <v>6</v>
      </c>
      <c r="H990" s="2" t="str">
        <f>IFERROR(__xludf.DUMMYFUNCTION("""COMPUTED_VALUE"""),"P. kara")</f>
        <v>P. kara</v>
      </c>
      <c r="I990" s="2" t="str">
        <f>IFERROR(__xludf.DUMMYFUNCTION("""COMPUTED_VALUE"""),"Brick")</f>
        <v>Brick</v>
      </c>
      <c r="J990" s="2" t="str">
        <f>IFERROR(__xludf.DUMMYFUNCTION("""COMPUTED_VALUE"""),"All amenities")</f>
        <v>All amenities</v>
      </c>
      <c r="K990" s="2">
        <f>IFERROR(__xludf.DUMMYFUNCTION("""COMPUTED_VALUE"""),45000.0)</f>
        <v>45000</v>
      </c>
      <c r="L990" s="2">
        <f>IFERROR(__xludf.DUMMYFUNCTION("""COMPUTED_VALUE"""),56.9620223999999)</f>
        <v>56.9620224</v>
      </c>
      <c r="M990" s="2">
        <f>IFERROR(__xludf.DUMMYFUNCTION("""COMPUTED_VALUE"""),24.1521939477261)</f>
        <v>24.15219395</v>
      </c>
    </row>
    <row r="991">
      <c r="A991" s="2" t="str">
        <f>IFERROR(__xludf.DUMMYFUNCTION("""COMPUTED_VALUE"""),"For rent")</f>
        <v>For rent</v>
      </c>
      <c r="B991" s="2" t="str">
        <f>IFERROR(__xludf.DUMMYFUNCTION("""COMPUTED_VALUE"""),"centrs")</f>
        <v>centrs</v>
      </c>
      <c r="C991" s="2" t="str">
        <f>IFERROR(__xludf.DUMMYFUNCTION("""COMPUTED_VALUE"""),"Tomsona 32")</f>
        <v>Tomsona 32</v>
      </c>
      <c r="D991" s="2">
        <f>IFERROR(__xludf.DUMMYFUNCTION("""COMPUTED_VALUE"""),1.0)</f>
        <v>1</v>
      </c>
      <c r="E991" s="2">
        <f>IFERROR(__xludf.DUMMYFUNCTION("""COMPUTED_VALUE"""),25.0)</f>
        <v>25</v>
      </c>
      <c r="F991" s="2">
        <f>IFERROR(__xludf.DUMMYFUNCTION("""COMPUTED_VALUE"""),3.0)</f>
        <v>3</v>
      </c>
      <c r="G991" s="2">
        <f>IFERROR(__xludf.DUMMYFUNCTION("""COMPUTED_VALUE"""),5.0)</f>
        <v>5</v>
      </c>
      <c r="H991" s="2" t="str">
        <f>IFERROR(__xludf.DUMMYFUNCTION("""COMPUTED_VALUE"""),"Hrušč.")</f>
        <v>Hrušč.</v>
      </c>
      <c r="I991" s="2" t="str">
        <f>IFERROR(__xludf.DUMMYFUNCTION("""COMPUTED_VALUE"""),"Brick")</f>
        <v>Brick</v>
      </c>
      <c r="J991" s="2" t="str">
        <f>IFERROR(__xludf.DUMMYFUNCTION("""COMPUTED_VALUE"""),"All amenities")</f>
        <v>All amenities</v>
      </c>
      <c r="K991" s="2">
        <f>IFERROR(__xludf.DUMMYFUNCTION("""COMPUTED_VALUE"""),290.0)</f>
        <v>290</v>
      </c>
      <c r="L991" s="2">
        <f>IFERROR(__xludf.DUMMYFUNCTION("""COMPUTED_VALUE"""),56.9669526499999)</f>
        <v>56.96695265</v>
      </c>
      <c r="M991" s="2">
        <f>IFERROR(__xludf.DUMMYFUNCTION("""COMPUTED_VALUE"""),24.128620594539)</f>
        <v>24.12862059</v>
      </c>
    </row>
    <row r="992">
      <c r="A992" s="2" t="str">
        <f>IFERROR(__xludf.DUMMYFUNCTION("""COMPUTED_VALUE"""),"For sale")</f>
        <v>For sale</v>
      </c>
      <c r="B992" s="2" t="str">
        <f>IFERROR(__xludf.DUMMYFUNCTION("""COMPUTED_VALUE"""),"Purvciems")</f>
        <v>Purvciems</v>
      </c>
      <c r="C992" s="2" t="str">
        <f>IFERROR(__xludf.DUMMYFUNCTION("""COMPUTED_VALUE"""),"Dzelzavas 68")</f>
        <v>Dzelzavas 68</v>
      </c>
      <c r="D992" s="2">
        <f>IFERROR(__xludf.DUMMYFUNCTION("""COMPUTED_VALUE"""),2.0)</f>
        <v>2</v>
      </c>
      <c r="E992" s="2">
        <f>IFERROR(__xludf.DUMMYFUNCTION("""COMPUTED_VALUE"""),56.0)</f>
        <v>56</v>
      </c>
      <c r="F992" s="2">
        <f>IFERROR(__xludf.DUMMYFUNCTION("""COMPUTED_VALUE"""),15.0)</f>
        <v>15</v>
      </c>
      <c r="G992" s="2">
        <f>IFERROR(__xludf.DUMMYFUNCTION("""COMPUTED_VALUE"""),15.0)</f>
        <v>15</v>
      </c>
      <c r="H992" s="2" t="str">
        <f>IFERROR(__xludf.DUMMYFUNCTION("""COMPUTED_VALUE"""),"Specpr.")</f>
        <v>Specpr.</v>
      </c>
      <c r="I992" s="2" t="str">
        <f>IFERROR(__xludf.DUMMYFUNCTION("""COMPUTED_VALUE"""),"Panel")</f>
        <v>Panel</v>
      </c>
      <c r="J992" s="2" t="str">
        <f>IFERROR(__xludf.DUMMYFUNCTION("""COMPUTED_VALUE"""),"All amenities")</f>
        <v>All amenities</v>
      </c>
      <c r="K992" s="2">
        <f>IFERROR(__xludf.DUMMYFUNCTION("""COMPUTED_VALUE"""),72600.0)</f>
        <v>72600</v>
      </c>
      <c r="L992" s="2">
        <f>IFERROR(__xludf.DUMMYFUNCTION("""COMPUTED_VALUE"""),56.95650225)</f>
        <v>56.95650225</v>
      </c>
      <c r="M992" s="2">
        <f>IFERROR(__xludf.DUMMYFUNCTION("""COMPUTED_VALUE"""),24.1867783069729)</f>
        <v>24.18677831</v>
      </c>
    </row>
    <row r="993">
      <c r="A993" s="2" t="str">
        <f>IFERROR(__xludf.DUMMYFUNCTION("""COMPUTED_VALUE"""),"For sale")</f>
        <v>For sale</v>
      </c>
      <c r="B993" s="2" t="str">
        <f>IFERROR(__xludf.DUMMYFUNCTION("""COMPUTED_VALUE"""),"Ķengarags")</f>
        <v>Ķengarags</v>
      </c>
      <c r="C993" s="2" t="str">
        <f>IFERROR(__xludf.DUMMYFUNCTION("""COMPUTED_VALUE"""),"Maskavas 250 k-3")</f>
        <v>Maskavas 250 k-3</v>
      </c>
      <c r="D993" s="2">
        <f>IFERROR(__xludf.DUMMYFUNCTION("""COMPUTED_VALUE"""),1.0)</f>
        <v>1</v>
      </c>
      <c r="E993" s="2">
        <f>IFERROR(__xludf.DUMMYFUNCTION("""COMPUTED_VALUE"""),30.0)</f>
        <v>30</v>
      </c>
      <c r="F993" s="2">
        <f>IFERROR(__xludf.DUMMYFUNCTION("""COMPUTED_VALUE"""),2.0)</f>
        <v>2</v>
      </c>
      <c r="G993" s="2">
        <f>IFERROR(__xludf.DUMMYFUNCTION("""COMPUTED_VALUE"""),5.0)</f>
        <v>5</v>
      </c>
      <c r="H993" s="2" t="str">
        <f>IFERROR(__xludf.DUMMYFUNCTION("""COMPUTED_VALUE"""),"Hrušč.")</f>
        <v>Hrušč.</v>
      </c>
      <c r="I993" s="2" t="str">
        <f>IFERROR(__xludf.DUMMYFUNCTION("""COMPUTED_VALUE"""),"Brick")</f>
        <v>Brick</v>
      </c>
      <c r="J993" s="2" t="str">
        <f>IFERROR(__xludf.DUMMYFUNCTION("""COMPUTED_VALUE"""),"All amenities")</f>
        <v>All amenities</v>
      </c>
      <c r="K993" s="2">
        <f>IFERROR(__xludf.DUMMYFUNCTION("""COMPUTED_VALUE"""),30000.0)</f>
        <v>30000</v>
      </c>
      <c r="L993" s="2">
        <f>IFERROR(__xludf.DUMMYFUNCTION("""COMPUTED_VALUE"""),56.91595235)</f>
        <v>56.91595235</v>
      </c>
      <c r="M993" s="2">
        <f>IFERROR(__xludf.DUMMYFUNCTION("""COMPUTED_VALUE"""),24.174059774919)</f>
        <v>24.17405977</v>
      </c>
    </row>
    <row r="994">
      <c r="A994" s="2" t="str">
        <f>IFERROR(__xludf.DUMMYFUNCTION("""COMPUTED_VALUE"""),"For rent")</f>
        <v>For rent</v>
      </c>
      <c r="B994" s="2" t="str">
        <f>IFERROR(__xludf.DUMMYFUNCTION("""COMPUTED_VALUE"""),"centrs")</f>
        <v>centrs</v>
      </c>
      <c r="C994" s="2" t="str">
        <f>IFERROR(__xludf.DUMMYFUNCTION("""COMPUTED_VALUE"""),"Lāčplēša 13")</f>
        <v>Lāčplēša 13</v>
      </c>
      <c r="D994" s="2">
        <f>IFERROR(__xludf.DUMMYFUNCTION("""COMPUTED_VALUE"""),1.0)</f>
        <v>1</v>
      </c>
      <c r="E994" s="2">
        <f>IFERROR(__xludf.DUMMYFUNCTION("""COMPUTED_VALUE"""),19.0)</f>
        <v>19</v>
      </c>
      <c r="F994" s="2">
        <f>IFERROR(__xludf.DUMMYFUNCTION("""COMPUTED_VALUE"""),4.0)</f>
        <v>4</v>
      </c>
      <c r="G994" s="2">
        <f>IFERROR(__xludf.DUMMYFUNCTION("""COMPUTED_VALUE"""),6.0)</f>
        <v>6</v>
      </c>
      <c r="H994" s="2" t="str">
        <f>IFERROR(__xludf.DUMMYFUNCTION("""COMPUTED_VALUE"""),"Renov.")</f>
        <v>Renov.</v>
      </c>
      <c r="I994" s="2" t="str">
        <f>IFERROR(__xludf.DUMMYFUNCTION("""COMPUTED_VALUE"""),"Brick-Panel")</f>
        <v>Brick-Panel</v>
      </c>
      <c r="J994" s="2" t="str">
        <f>IFERROR(__xludf.DUMMYFUNCTION("""COMPUTED_VALUE"""),"All amenities")</f>
        <v>All amenities</v>
      </c>
      <c r="K994" s="2">
        <f>IFERROR(__xludf.DUMMYFUNCTION("""COMPUTED_VALUE"""),460.0)</f>
        <v>460</v>
      </c>
      <c r="L994" s="2">
        <f>IFERROR(__xludf.DUMMYFUNCTION("""COMPUTED_VALUE"""),56.9567777)</f>
        <v>56.9567777</v>
      </c>
      <c r="M994" s="2">
        <f>IFERROR(__xludf.DUMMYFUNCTION("""COMPUTED_VALUE"""),24.1207762)</f>
        <v>24.1207762</v>
      </c>
    </row>
    <row r="995">
      <c r="A995" s="2" t="str">
        <f>IFERROR(__xludf.DUMMYFUNCTION("""COMPUTED_VALUE"""),"For sale")</f>
        <v>For sale</v>
      </c>
      <c r="B995" s="2" t="str">
        <f>IFERROR(__xludf.DUMMYFUNCTION("""COMPUTED_VALUE"""),"Imanta")</f>
        <v>Imanta</v>
      </c>
      <c r="C995" s="2" t="str">
        <f>IFERROR(__xludf.DUMMYFUNCTION("""COMPUTED_VALUE"""),"Kurzemes pr. 18")</f>
        <v>Kurzemes pr. 18</v>
      </c>
      <c r="D995" s="2">
        <f>IFERROR(__xludf.DUMMYFUNCTION("""COMPUTED_VALUE"""),2.0)</f>
        <v>2</v>
      </c>
      <c r="E995" s="2">
        <f>IFERROR(__xludf.DUMMYFUNCTION("""COMPUTED_VALUE"""),46.0)</f>
        <v>46</v>
      </c>
      <c r="F995" s="2">
        <f>IFERROR(__xludf.DUMMYFUNCTION("""COMPUTED_VALUE"""),4.0)</f>
        <v>4</v>
      </c>
      <c r="G995" s="2">
        <f>IFERROR(__xludf.DUMMYFUNCTION("""COMPUTED_VALUE"""),5.0)</f>
        <v>5</v>
      </c>
      <c r="H995" s="2" t="str">
        <f>IFERROR(__xludf.DUMMYFUNCTION("""COMPUTED_VALUE"""),"Specpr.")</f>
        <v>Specpr.</v>
      </c>
      <c r="I995" s="2" t="str">
        <f>IFERROR(__xludf.DUMMYFUNCTION("""COMPUTED_VALUE"""),"Panel-Brick")</f>
        <v>Panel-Brick</v>
      </c>
      <c r="J995" s="2" t="str">
        <f>IFERROR(__xludf.DUMMYFUNCTION("""COMPUTED_VALUE"""),"All amenities")</f>
        <v>All amenities</v>
      </c>
      <c r="K995" s="2">
        <f>IFERROR(__xludf.DUMMYFUNCTION("""COMPUTED_VALUE"""),56999.0)</f>
        <v>56999</v>
      </c>
      <c r="L995" s="2" t="str">
        <f>IFERROR(__xludf.DUMMYFUNCTION("""COMPUTED_VALUE"""),"NaN")</f>
        <v>NaN</v>
      </c>
      <c r="M995" s="2" t="str">
        <f>IFERROR(__xludf.DUMMYFUNCTION("""COMPUTED_VALUE"""),"NaN")</f>
        <v>NaN</v>
      </c>
    </row>
    <row r="996">
      <c r="A996" s="2" t="str">
        <f>IFERROR(__xludf.DUMMYFUNCTION("""COMPUTED_VALUE"""),"For rent")</f>
        <v>For rent</v>
      </c>
      <c r="B996" s="2" t="str">
        <f>IFERROR(__xludf.DUMMYFUNCTION("""COMPUTED_VALUE"""),"Teika")</f>
        <v>Teika</v>
      </c>
      <c r="C996" s="2" t="str">
        <f>IFERROR(__xludf.DUMMYFUNCTION("""COMPUTED_VALUE"""),"Šmerļa 3")</f>
        <v>Šmerļa 3</v>
      </c>
      <c r="D996" s="2">
        <f>IFERROR(__xludf.DUMMYFUNCTION("""COMPUTED_VALUE"""),1.0)</f>
        <v>1</v>
      </c>
      <c r="E996" s="2">
        <f>IFERROR(__xludf.DUMMYFUNCTION("""COMPUTED_VALUE"""),20.0)</f>
        <v>20</v>
      </c>
      <c r="F996" s="2">
        <f>IFERROR(__xludf.DUMMYFUNCTION("""COMPUTED_VALUE"""),1.0)</f>
        <v>1</v>
      </c>
      <c r="G996" s="2">
        <f>IFERROR(__xludf.DUMMYFUNCTION("""COMPUTED_VALUE"""),2.0)</f>
        <v>2</v>
      </c>
      <c r="H996" s="2" t="str">
        <f>IFERROR(__xludf.DUMMYFUNCTION("""COMPUTED_VALUE"""),"Staļina")</f>
        <v>Staļina</v>
      </c>
      <c r="I996" s="2" t="str">
        <f>IFERROR(__xludf.DUMMYFUNCTION("""COMPUTED_VALUE"""),"Brick")</f>
        <v>Brick</v>
      </c>
      <c r="J996" s="2" t="str">
        <f>IFERROR(__xludf.DUMMYFUNCTION("""COMPUTED_VALUE"""),"All amenities")</f>
        <v>All amenities</v>
      </c>
      <c r="K996" s="2">
        <f>IFERROR(__xludf.DUMMYFUNCTION("""COMPUTED_VALUE"""),280.0)</f>
        <v>280</v>
      </c>
      <c r="L996" s="2">
        <f>IFERROR(__xludf.DUMMYFUNCTION("""COMPUTED_VALUE"""),56.97964)</f>
        <v>56.97964</v>
      </c>
      <c r="M996" s="2">
        <f>IFERROR(__xludf.DUMMYFUNCTION("""COMPUTED_VALUE"""),24.2112916)</f>
        <v>24.2112916</v>
      </c>
    </row>
    <row r="997">
      <c r="A997" s="2" t="str">
        <f>IFERROR(__xludf.DUMMYFUNCTION("""COMPUTED_VALUE"""),"For sale")</f>
        <v>For sale</v>
      </c>
      <c r="B997" s="2" t="str">
        <f>IFERROR(__xludf.DUMMYFUNCTION("""COMPUTED_VALUE"""),"centrs")</f>
        <v>centrs</v>
      </c>
      <c r="C997" s="2" t="str">
        <f>IFERROR(__xludf.DUMMYFUNCTION("""COMPUTED_VALUE"""),"Brīvības iela 82")</f>
        <v>Brīvības iela 82</v>
      </c>
      <c r="D997" s="2">
        <f>IFERROR(__xludf.DUMMYFUNCTION("""COMPUTED_VALUE"""),4.0)</f>
        <v>4</v>
      </c>
      <c r="E997" s="2">
        <f>IFERROR(__xludf.DUMMYFUNCTION("""COMPUTED_VALUE"""),139.0)</f>
        <v>139</v>
      </c>
      <c r="F997" s="2">
        <f>IFERROR(__xludf.DUMMYFUNCTION("""COMPUTED_VALUE"""),6.0)</f>
        <v>6</v>
      </c>
      <c r="G997" s="2">
        <f>IFERROR(__xludf.DUMMYFUNCTION("""COMPUTED_VALUE"""),7.0)</f>
        <v>7</v>
      </c>
      <c r="H997" s="2" t="str">
        <f>IFERROR(__xludf.DUMMYFUNCTION("""COMPUTED_VALUE"""),"Renov.")</f>
        <v>Renov.</v>
      </c>
      <c r="I997" s="2" t="str">
        <f>IFERROR(__xludf.DUMMYFUNCTION("""COMPUTED_VALUE"""),"Masonry")</f>
        <v>Masonry</v>
      </c>
      <c r="J997" s="2" t="str">
        <f>IFERROR(__xludf.DUMMYFUNCTION("""COMPUTED_VALUE"""),"All amenities")</f>
        <v>All amenities</v>
      </c>
      <c r="K997" s="2">
        <f>IFERROR(__xludf.DUMMYFUNCTION("""COMPUTED_VALUE"""),144000.0)</f>
        <v>144000</v>
      </c>
      <c r="L997" s="2">
        <f>IFERROR(__xludf.DUMMYFUNCTION("""COMPUTED_VALUE"""),56.9591645)</f>
        <v>56.9591645</v>
      </c>
      <c r="M997" s="2">
        <f>IFERROR(__xludf.DUMMYFUNCTION("""COMPUTED_VALUE"""),24.1274612)</f>
        <v>24.1274612</v>
      </c>
    </row>
    <row r="998">
      <c r="A998" s="2" t="str">
        <f>IFERROR(__xludf.DUMMYFUNCTION("""COMPUTED_VALUE"""),"For sale")</f>
        <v>For sale</v>
      </c>
      <c r="B998" s="2" t="str">
        <f>IFERROR(__xludf.DUMMYFUNCTION("""COMPUTED_VALUE"""),"Vecrīga")</f>
        <v>Vecrīga</v>
      </c>
      <c r="C998" s="2" t="str">
        <f>IFERROR(__xludf.DUMMYFUNCTION("""COMPUTED_VALUE"""),"Jēkaba 26/28")</f>
        <v>Jēkaba 26/28</v>
      </c>
      <c r="D998" s="2">
        <f>IFERROR(__xludf.DUMMYFUNCTION("""COMPUTED_VALUE"""),1.0)</f>
        <v>1</v>
      </c>
      <c r="E998" s="2">
        <f>IFERROR(__xludf.DUMMYFUNCTION("""COMPUTED_VALUE"""),52.0)</f>
        <v>52</v>
      </c>
      <c r="F998" s="2">
        <f>IFERROR(__xludf.DUMMYFUNCTION("""COMPUTED_VALUE"""),5.0)</f>
        <v>5</v>
      </c>
      <c r="G998" s="2">
        <f>IFERROR(__xludf.DUMMYFUNCTION("""COMPUTED_VALUE"""),5.0)</f>
        <v>5</v>
      </c>
      <c r="H998" s="2" t="str">
        <f>IFERROR(__xludf.DUMMYFUNCTION("""COMPUTED_VALUE"""),"P. kara")</f>
        <v>P. kara</v>
      </c>
      <c r="I998" s="2" t="str">
        <f>IFERROR(__xludf.DUMMYFUNCTION("""COMPUTED_VALUE"""),"Masonry")</f>
        <v>Masonry</v>
      </c>
      <c r="J998" s="2" t="str">
        <f>IFERROR(__xludf.DUMMYFUNCTION("""COMPUTED_VALUE"""),"All amenities")</f>
        <v>All amenities</v>
      </c>
      <c r="K998" s="2">
        <f>IFERROR(__xludf.DUMMYFUNCTION("""COMPUTED_VALUE"""),115000.0)</f>
        <v>115000</v>
      </c>
      <c r="L998" s="2">
        <f>IFERROR(__xludf.DUMMYFUNCTION("""COMPUTED_VALUE"""),56.952698)</f>
        <v>56.952698</v>
      </c>
      <c r="M998" s="2">
        <f>IFERROR(__xludf.DUMMYFUNCTION("""COMPUTED_VALUE"""),24.1051471)</f>
        <v>24.1051471</v>
      </c>
    </row>
    <row r="999">
      <c r="A999" s="2" t="str">
        <f>IFERROR(__xludf.DUMMYFUNCTION("""COMPUTED_VALUE"""),"For sale")</f>
        <v>For sale</v>
      </c>
      <c r="B999" s="2" t="str">
        <f>IFERROR(__xludf.DUMMYFUNCTION("""COMPUTED_VALUE"""),"Dzegužkalns")</f>
        <v>Dzegužkalns</v>
      </c>
      <c r="C999" s="2" t="str">
        <f>IFERROR(__xludf.DUMMYFUNCTION("""COMPUTED_VALUE"""),"Iecavas 1")</f>
        <v>Iecavas 1</v>
      </c>
      <c r="D999" s="2">
        <f>IFERROR(__xludf.DUMMYFUNCTION("""COMPUTED_VALUE"""),2.0)</f>
        <v>2</v>
      </c>
      <c r="E999" s="2">
        <f>IFERROR(__xludf.DUMMYFUNCTION("""COMPUTED_VALUE"""),59.0)</f>
        <v>59</v>
      </c>
      <c r="F999" s="2">
        <f>IFERROR(__xludf.DUMMYFUNCTION("""COMPUTED_VALUE"""),4.0)</f>
        <v>4</v>
      </c>
      <c r="G999" s="2">
        <f>IFERROR(__xludf.DUMMYFUNCTION("""COMPUTED_VALUE"""),5.0)</f>
        <v>5</v>
      </c>
      <c r="H999" s="2" t="str">
        <f>IFERROR(__xludf.DUMMYFUNCTION("""COMPUTED_VALUE"""),"Jaun.")</f>
        <v>Jaun.</v>
      </c>
      <c r="I999" s="2" t="str">
        <f>IFERROR(__xludf.DUMMYFUNCTION("""COMPUTED_VALUE"""),"Panel-Brick")</f>
        <v>Panel-Brick</v>
      </c>
      <c r="J999" s="2" t="str">
        <f>IFERROR(__xludf.DUMMYFUNCTION("""COMPUTED_VALUE"""),"All amenities")</f>
        <v>All amenities</v>
      </c>
      <c r="K999" s="2">
        <f>IFERROR(__xludf.DUMMYFUNCTION("""COMPUTED_VALUE"""),105850.0)</f>
        <v>105850</v>
      </c>
      <c r="L999" s="2">
        <f>IFERROR(__xludf.DUMMYFUNCTION("""COMPUTED_VALUE"""),56.9555587)</f>
        <v>56.9555587</v>
      </c>
      <c r="M999" s="2">
        <f>IFERROR(__xludf.DUMMYFUNCTION("""COMPUTED_VALUE"""),24.0506800260781)</f>
        <v>24.05068003</v>
      </c>
    </row>
    <row r="1000">
      <c r="A1000" s="2" t="str">
        <f>IFERROR(__xludf.DUMMYFUNCTION("""COMPUTED_VALUE"""),"For rent")</f>
        <v>For rent</v>
      </c>
      <c r="B1000" s="2" t="str">
        <f>IFERROR(__xludf.DUMMYFUNCTION("""COMPUTED_VALUE"""),"centrs")</f>
        <v>centrs</v>
      </c>
      <c r="C1000" s="2" t="str">
        <f>IFERROR(__xludf.DUMMYFUNCTION("""COMPUTED_VALUE"""),"Tērbatas 78")</f>
        <v>Tērbatas 78</v>
      </c>
      <c r="D1000" s="2">
        <f>IFERROR(__xludf.DUMMYFUNCTION("""COMPUTED_VALUE"""),3.0)</f>
        <v>3</v>
      </c>
      <c r="E1000" s="2">
        <f>IFERROR(__xludf.DUMMYFUNCTION("""COMPUTED_VALUE"""),70.0)</f>
        <v>70</v>
      </c>
      <c r="F1000" s="2">
        <f>IFERROR(__xludf.DUMMYFUNCTION("""COMPUTED_VALUE"""),5.0)</f>
        <v>5</v>
      </c>
      <c r="G1000" s="2">
        <f>IFERROR(__xludf.DUMMYFUNCTION("""COMPUTED_VALUE"""),5.0)</f>
        <v>5</v>
      </c>
      <c r="H1000" s="2" t="str">
        <f>IFERROR(__xludf.DUMMYFUNCTION("""COMPUTED_VALUE"""),"P. kara")</f>
        <v>P. kara</v>
      </c>
      <c r="I1000" s="2" t="str">
        <f>IFERROR(__xludf.DUMMYFUNCTION("""COMPUTED_VALUE"""),"Masonry")</f>
        <v>Masonry</v>
      </c>
      <c r="J1000" s="2" t="str">
        <f>IFERROR(__xludf.DUMMYFUNCTION("""COMPUTED_VALUE"""),"All amenities")</f>
        <v>All amenities</v>
      </c>
      <c r="K1000" s="2">
        <f>IFERROR(__xludf.DUMMYFUNCTION("""COMPUTED_VALUE"""),470.0)</f>
        <v>470</v>
      </c>
      <c r="L1000" s="2">
        <f>IFERROR(__xludf.DUMMYFUNCTION("""COMPUTED_VALUE"""),56.9611541)</f>
        <v>56.9611541</v>
      </c>
      <c r="M1000" s="2">
        <f>IFERROR(__xludf.DUMMYFUNCTION("""COMPUTED_VALUE"""),24.1376555)</f>
        <v>24.1376555</v>
      </c>
    </row>
    <row r="1001">
      <c r="A1001" s="2" t="str">
        <f>IFERROR(__xludf.DUMMYFUNCTION("""COMPUTED_VALUE"""),"For sale")</f>
        <v>For sale</v>
      </c>
      <c r="B1001" s="2" t="str">
        <f>IFERROR(__xludf.DUMMYFUNCTION("""COMPUTED_VALUE"""),"Ziepniekkalns")</f>
        <v>Ziepniekkalns</v>
      </c>
      <c r="C1001" s="2" t="str">
        <f>IFERROR(__xludf.DUMMYFUNCTION("""COMPUTED_VALUE"""),"Valdeķu 65")</f>
        <v>Valdeķu 65</v>
      </c>
      <c r="D1001" s="2">
        <f>IFERROR(__xludf.DUMMYFUNCTION("""COMPUTED_VALUE"""),6.0)</f>
        <v>6</v>
      </c>
      <c r="E1001" s="2">
        <f>IFERROR(__xludf.DUMMYFUNCTION("""COMPUTED_VALUE"""),142.4)</f>
        <v>142.4</v>
      </c>
      <c r="F1001" s="2">
        <f>IFERROR(__xludf.DUMMYFUNCTION("""COMPUTED_VALUE"""),2.0)</f>
        <v>2</v>
      </c>
      <c r="G1001" s="2">
        <f>IFERROR(__xludf.DUMMYFUNCTION("""COMPUTED_VALUE"""),10.0)</f>
        <v>10</v>
      </c>
      <c r="H1001" s="2">
        <f>IFERROR(__xludf.DUMMYFUNCTION("""COMPUTED_VALUE"""),119.0)</f>
        <v>119</v>
      </c>
      <c r="I1001" s="2" t="str">
        <f>IFERROR(__xludf.DUMMYFUNCTION("""COMPUTED_VALUE"""),"Panel")</f>
        <v>Panel</v>
      </c>
      <c r="J1001" s="2" t="str">
        <f>IFERROR(__xludf.DUMMYFUNCTION("""COMPUTED_VALUE"""),"All amenities")</f>
        <v>All amenities</v>
      </c>
      <c r="K1001" s="2">
        <f>IFERROR(__xludf.DUMMYFUNCTION("""COMPUTED_VALUE"""),115000.0)</f>
        <v>115000</v>
      </c>
      <c r="L1001" s="2">
        <f>IFERROR(__xludf.DUMMYFUNCTION("""COMPUTED_VALUE"""),56.8993612)</f>
        <v>56.8993612</v>
      </c>
      <c r="M1001" s="2">
        <f>IFERROR(__xludf.DUMMYFUNCTION("""COMPUTED_VALUE"""),24.09128585)</f>
        <v>24.09128585</v>
      </c>
    </row>
    <row r="1002">
      <c r="A1002" s="2" t="str">
        <f>IFERROR(__xludf.DUMMYFUNCTION("""COMPUTED_VALUE"""),"For rent")</f>
        <v>For rent</v>
      </c>
      <c r="B1002" s="2" t="str">
        <f>IFERROR(__xludf.DUMMYFUNCTION("""COMPUTED_VALUE"""),"Mežciems")</f>
        <v>Mežciems</v>
      </c>
      <c r="C1002" s="2" t="str">
        <f>IFERROR(__xludf.DUMMYFUNCTION("""COMPUTED_VALUE"""),"Kaivas 50/4")</f>
        <v>Kaivas 50/4</v>
      </c>
      <c r="D1002" s="2">
        <f>IFERROR(__xludf.DUMMYFUNCTION("""COMPUTED_VALUE"""),2.0)</f>
        <v>2</v>
      </c>
      <c r="E1002" s="2">
        <f>IFERROR(__xludf.DUMMYFUNCTION("""COMPUTED_VALUE"""),63.0)</f>
        <v>63</v>
      </c>
      <c r="F1002" s="2">
        <f>IFERROR(__xludf.DUMMYFUNCTION("""COMPUTED_VALUE"""),3.0)</f>
        <v>3</v>
      </c>
      <c r="G1002" s="2">
        <f>IFERROR(__xludf.DUMMYFUNCTION("""COMPUTED_VALUE"""),5.0)</f>
        <v>5</v>
      </c>
      <c r="H1002" s="2" t="str">
        <f>IFERROR(__xludf.DUMMYFUNCTION("""COMPUTED_VALUE"""),"Jaun.")</f>
        <v>Jaun.</v>
      </c>
      <c r="I1002" s="2" t="str">
        <f>IFERROR(__xludf.DUMMYFUNCTION("""COMPUTED_VALUE"""),"Panel")</f>
        <v>Panel</v>
      </c>
      <c r="J1002" s="2" t="str">
        <f>IFERROR(__xludf.DUMMYFUNCTION("""COMPUTED_VALUE"""),"All amenities")</f>
        <v>All amenities</v>
      </c>
      <c r="K1002" s="2">
        <f>IFERROR(__xludf.DUMMYFUNCTION("""COMPUTED_VALUE"""),430.0)</f>
        <v>430</v>
      </c>
      <c r="L1002" s="2">
        <f>IFERROR(__xludf.DUMMYFUNCTION("""COMPUTED_VALUE"""),56.9541725)</f>
        <v>56.9541725</v>
      </c>
      <c r="M1002" s="2">
        <f>IFERROR(__xludf.DUMMYFUNCTION("""COMPUTED_VALUE"""),24.2443253)</f>
        <v>24.2443253</v>
      </c>
    </row>
    <row r="1003">
      <c r="A1003" s="2" t="str">
        <f>IFERROR(__xludf.DUMMYFUNCTION("""COMPUTED_VALUE"""),"For rent")</f>
        <v>For rent</v>
      </c>
      <c r="B1003" s="2" t="str">
        <f>IFERROR(__xludf.DUMMYFUNCTION("""COMPUTED_VALUE"""),"Pļavnieki")</f>
        <v>Pļavnieki</v>
      </c>
      <c r="C1003" s="2" t="str">
        <f>IFERROR(__xludf.DUMMYFUNCTION("""COMPUTED_VALUE"""),"Ilūkstes 4")</f>
        <v>Ilūkstes 4</v>
      </c>
      <c r="D1003" s="2">
        <f>IFERROR(__xludf.DUMMYFUNCTION("""COMPUTED_VALUE"""),1.0)</f>
        <v>1</v>
      </c>
      <c r="E1003" s="2">
        <f>IFERROR(__xludf.DUMMYFUNCTION("""COMPUTED_VALUE"""),45.0)</f>
        <v>45</v>
      </c>
      <c r="F1003" s="2">
        <f>IFERROR(__xludf.DUMMYFUNCTION("""COMPUTED_VALUE"""),6.0)</f>
        <v>6</v>
      </c>
      <c r="G1003" s="2">
        <f>IFERROR(__xludf.DUMMYFUNCTION("""COMPUTED_VALUE"""),9.0)</f>
        <v>9</v>
      </c>
      <c r="H1003" s="2" t="str">
        <f>IFERROR(__xludf.DUMMYFUNCTION("""COMPUTED_VALUE"""),"M. ģim.")</f>
        <v>M. ģim.</v>
      </c>
      <c r="I1003" s="2" t="str">
        <f>IFERROR(__xludf.DUMMYFUNCTION("""COMPUTED_VALUE"""),"Panel")</f>
        <v>Panel</v>
      </c>
      <c r="J1003" s="2" t="str">
        <f>IFERROR(__xludf.DUMMYFUNCTION("""COMPUTED_VALUE"""),"All amenities")</f>
        <v>All amenities</v>
      </c>
      <c r="K1003" s="2">
        <f>IFERROR(__xludf.DUMMYFUNCTION("""COMPUTED_VALUE"""),220.0)</f>
        <v>220</v>
      </c>
      <c r="L1003" s="2">
        <f>IFERROR(__xludf.DUMMYFUNCTION("""COMPUTED_VALUE"""),56.93391825)</f>
        <v>56.93391825</v>
      </c>
      <c r="M1003" s="2">
        <f>IFERROR(__xludf.DUMMYFUNCTION("""COMPUTED_VALUE"""),24.1961130586527)</f>
        <v>24.19611306</v>
      </c>
    </row>
    <row r="1004">
      <c r="A1004" s="2" t="str">
        <f>IFERROR(__xludf.DUMMYFUNCTION("""COMPUTED_VALUE"""),"For sale")</f>
        <v>For sale</v>
      </c>
      <c r="B1004" s="2" t="str">
        <f>IFERROR(__xludf.DUMMYFUNCTION("""COMPUTED_VALUE"""),"Ziepniekkalns")</f>
        <v>Ziepniekkalns</v>
      </c>
      <c r="C1004" s="2" t="str">
        <f>IFERROR(__xludf.DUMMYFUNCTION("""COMPUTED_VALUE"""),"Putnu 31")</f>
        <v>Putnu 31</v>
      </c>
      <c r="D1004" s="2">
        <f>IFERROR(__xludf.DUMMYFUNCTION("""COMPUTED_VALUE"""),3.0)</f>
        <v>3</v>
      </c>
      <c r="E1004" s="2">
        <f>IFERROR(__xludf.DUMMYFUNCTION("""COMPUTED_VALUE"""),79.0)</f>
        <v>79</v>
      </c>
      <c r="F1004" s="2">
        <f>IFERROR(__xludf.DUMMYFUNCTION("""COMPUTED_VALUE"""),1.0)</f>
        <v>1</v>
      </c>
      <c r="G1004" s="2">
        <f>IFERROR(__xludf.DUMMYFUNCTION("""COMPUTED_VALUE"""),6.0)</f>
        <v>6</v>
      </c>
      <c r="H1004" s="2" t="str">
        <f>IFERROR(__xludf.DUMMYFUNCTION("""COMPUTED_VALUE"""),"Jaun.")</f>
        <v>Jaun.</v>
      </c>
      <c r="I1004" s="2" t="str">
        <f>IFERROR(__xludf.DUMMYFUNCTION("""COMPUTED_VALUE"""),"Panel")</f>
        <v>Panel</v>
      </c>
      <c r="J1004" s="2" t="str">
        <f>IFERROR(__xludf.DUMMYFUNCTION("""COMPUTED_VALUE"""),"All amenities")</f>
        <v>All amenities</v>
      </c>
      <c r="K1004" s="2">
        <f>IFERROR(__xludf.DUMMYFUNCTION("""COMPUTED_VALUE"""),119000.0)</f>
        <v>119000</v>
      </c>
      <c r="L1004" s="2">
        <f>IFERROR(__xludf.DUMMYFUNCTION("""COMPUTED_VALUE"""),56.912242)</f>
        <v>56.912242</v>
      </c>
      <c r="M1004" s="2">
        <f>IFERROR(__xludf.DUMMYFUNCTION("""COMPUTED_VALUE"""),24.1087866)</f>
        <v>24.1087866</v>
      </c>
    </row>
    <row r="1005">
      <c r="A1005" s="2" t="str">
        <f>IFERROR(__xludf.DUMMYFUNCTION("""COMPUTED_VALUE"""),"For rent")</f>
        <v>For rent</v>
      </c>
      <c r="B1005" s="2" t="str">
        <f>IFERROR(__xludf.DUMMYFUNCTION("""COMPUTED_VALUE"""),"Mežciems")</f>
        <v>Mežciems</v>
      </c>
      <c r="C1005" s="2" t="str">
        <f>IFERROR(__xludf.DUMMYFUNCTION("""COMPUTED_VALUE"""),"Biķernieku 21")</f>
        <v>Biķernieku 21</v>
      </c>
      <c r="D1005" s="2">
        <f>IFERROR(__xludf.DUMMYFUNCTION("""COMPUTED_VALUE"""),2.0)</f>
        <v>2</v>
      </c>
      <c r="E1005" s="2">
        <f>IFERROR(__xludf.DUMMYFUNCTION("""COMPUTED_VALUE"""),54.0)</f>
        <v>54</v>
      </c>
      <c r="F1005" s="2">
        <f>IFERROR(__xludf.DUMMYFUNCTION("""COMPUTED_VALUE"""),3.0)</f>
        <v>3</v>
      </c>
      <c r="G1005" s="2">
        <f>IFERROR(__xludf.DUMMYFUNCTION("""COMPUTED_VALUE"""),4.0)</f>
        <v>4</v>
      </c>
      <c r="H1005" s="2" t="str">
        <f>IFERROR(__xludf.DUMMYFUNCTION("""COMPUTED_VALUE"""),"Jaun.")</f>
        <v>Jaun.</v>
      </c>
      <c r="I1005" s="2" t="str">
        <f>IFERROR(__xludf.DUMMYFUNCTION("""COMPUTED_VALUE"""),"Panel")</f>
        <v>Panel</v>
      </c>
      <c r="J1005" s="2" t="str">
        <f>IFERROR(__xludf.DUMMYFUNCTION("""COMPUTED_VALUE"""),"All amenities")</f>
        <v>All amenities</v>
      </c>
      <c r="K1005" s="2">
        <f>IFERROR(__xludf.DUMMYFUNCTION("""COMPUTED_VALUE"""),450.0)</f>
        <v>450</v>
      </c>
      <c r="L1005" s="2">
        <f>IFERROR(__xludf.DUMMYFUNCTION("""COMPUTED_VALUE"""),56.9712661)</f>
        <v>56.9712661</v>
      </c>
      <c r="M1005" s="2">
        <f>IFERROR(__xludf.DUMMYFUNCTION("""COMPUTED_VALUE"""),24.1724707)</f>
        <v>24.1724707</v>
      </c>
    </row>
    <row r="1006">
      <c r="A1006" s="2" t="str">
        <f>IFERROR(__xludf.DUMMYFUNCTION("""COMPUTED_VALUE"""),"For sale")</f>
        <v>For sale</v>
      </c>
      <c r="B1006" s="2" t="str">
        <f>IFERROR(__xludf.DUMMYFUNCTION("""COMPUTED_VALUE"""),"Purvciems")</f>
        <v>Purvciems</v>
      </c>
      <c r="C1006" s="2" t="str">
        <f>IFERROR(__xludf.DUMMYFUNCTION("""COMPUTED_VALUE"""),"Zvaigznāja g. 3")</f>
        <v>Zvaigznāja g. 3</v>
      </c>
      <c r="D1006" s="2">
        <f>IFERROR(__xludf.DUMMYFUNCTION("""COMPUTED_VALUE"""),2.0)</f>
        <v>2</v>
      </c>
      <c r="E1006" s="2">
        <f>IFERROR(__xludf.DUMMYFUNCTION("""COMPUTED_VALUE"""),51.0)</f>
        <v>51</v>
      </c>
      <c r="F1006" s="2">
        <f>IFERROR(__xludf.DUMMYFUNCTION("""COMPUTED_VALUE"""),3.0)</f>
        <v>3</v>
      </c>
      <c r="G1006" s="2">
        <f>IFERROR(__xludf.DUMMYFUNCTION("""COMPUTED_VALUE"""),5.0)</f>
        <v>5</v>
      </c>
      <c r="H1006" s="2" t="str">
        <f>IFERROR(__xludf.DUMMYFUNCTION("""COMPUTED_VALUE"""),"LT proj.")</f>
        <v>LT proj.</v>
      </c>
      <c r="I1006" s="2" t="str">
        <f>IFERROR(__xludf.DUMMYFUNCTION("""COMPUTED_VALUE"""),"Panel")</f>
        <v>Panel</v>
      </c>
      <c r="J1006" s="2" t="str">
        <f>IFERROR(__xludf.DUMMYFUNCTION("""COMPUTED_VALUE"""),"All amenities")</f>
        <v>All amenities</v>
      </c>
      <c r="K1006" s="2">
        <f>IFERROR(__xludf.DUMMYFUNCTION("""COMPUTED_VALUE"""),58000.0)</f>
        <v>58000</v>
      </c>
      <c r="L1006" s="2">
        <f>IFERROR(__xludf.DUMMYFUNCTION("""COMPUTED_VALUE"""),56.9527936)</f>
        <v>56.9527936</v>
      </c>
      <c r="M1006" s="2">
        <f>IFERROR(__xludf.DUMMYFUNCTION("""COMPUTED_VALUE"""),24.2063812)</f>
        <v>24.2063812</v>
      </c>
    </row>
    <row r="1007">
      <c r="A1007" s="2" t="str">
        <f>IFERROR(__xludf.DUMMYFUNCTION("""COMPUTED_VALUE"""),"For sale")</f>
        <v>For sale</v>
      </c>
      <c r="B1007" s="2" t="str">
        <f>IFERROR(__xludf.DUMMYFUNCTION("""COMPUTED_VALUE"""),"Purvciems")</f>
        <v>Purvciems</v>
      </c>
      <c r="C1007" s="2" t="str">
        <f>IFERROR(__xludf.DUMMYFUNCTION("""COMPUTED_VALUE"""),"Deglava 61")</f>
        <v>Deglava 61</v>
      </c>
      <c r="D1007" s="2">
        <f>IFERROR(__xludf.DUMMYFUNCTION("""COMPUTED_VALUE"""),4.0)</f>
        <v>4</v>
      </c>
      <c r="E1007" s="2">
        <f>IFERROR(__xludf.DUMMYFUNCTION("""COMPUTED_VALUE"""),91.0)</f>
        <v>91</v>
      </c>
      <c r="F1007" s="2">
        <f>IFERROR(__xludf.DUMMYFUNCTION("""COMPUTED_VALUE"""),3.0)</f>
        <v>3</v>
      </c>
      <c r="G1007" s="2">
        <f>IFERROR(__xludf.DUMMYFUNCTION("""COMPUTED_VALUE"""),9.0)</f>
        <v>9</v>
      </c>
      <c r="H1007" s="2">
        <f>IFERROR(__xludf.DUMMYFUNCTION("""COMPUTED_VALUE"""),119.0)</f>
        <v>119</v>
      </c>
      <c r="I1007" s="2" t="str">
        <f>IFERROR(__xludf.DUMMYFUNCTION("""COMPUTED_VALUE"""),"Panel")</f>
        <v>Panel</v>
      </c>
      <c r="J1007" s="2" t="str">
        <f>IFERROR(__xludf.DUMMYFUNCTION("""COMPUTED_VALUE"""),"All amenities")</f>
        <v>All amenities</v>
      </c>
      <c r="K1007" s="2">
        <f>IFERROR(__xludf.DUMMYFUNCTION("""COMPUTED_VALUE"""),91000.0)</f>
        <v>91000</v>
      </c>
      <c r="L1007" s="2">
        <f>IFERROR(__xludf.DUMMYFUNCTION("""COMPUTED_VALUE"""),56.9509836)</f>
        <v>56.9509836</v>
      </c>
      <c r="M1007" s="2">
        <f>IFERROR(__xludf.DUMMYFUNCTION("""COMPUTED_VALUE"""),24.1816357245661)</f>
        <v>24.18163572</v>
      </c>
    </row>
    <row r="1008">
      <c r="A1008" s="2" t="str">
        <f>IFERROR(__xludf.DUMMYFUNCTION("""COMPUTED_VALUE"""),"For rent")</f>
        <v>For rent</v>
      </c>
      <c r="B1008" s="2" t="str">
        <f>IFERROR(__xludf.DUMMYFUNCTION("""COMPUTED_VALUE"""),"centrs")</f>
        <v>centrs</v>
      </c>
      <c r="C1008" s="2" t="str">
        <f>IFERROR(__xludf.DUMMYFUNCTION("""COMPUTED_VALUE"""),"Maskavas 16")</f>
        <v>Maskavas 16</v>
      </c>
      <c r="D1008" s="2">
        <f>IFERROR(__xludf.DUMMYFUNCTION("""COMPUTED_VALUE"""),6.0)</f>
        <v>6</v>
      </c>
      <c r="E1008" s="2">
        <f>IFERROR(__xludf.DUMMYFUNCTION("""COMPUTED_VALUE"""),160.0)</f>
        <v>160</v>
      </c>
      <c r="F1008" s="2">
        <f>IFERROR(__xludf.DUMMYFUNCTION("""COMPUTED_VALUE"""),5.0)</f>
        <v>5</v>
      </c>
      <c r="G1008" s="2">
        <f>IFERROR(__xludf.DUMMYFUNCTION("""COMPUTED_VALUE"""),6.0)</f>
        <v>6</v>
      </c>
      <c r="H1008" s="2" t="str">
        <f>IFERROR(__xludf.DUMMYFUNCTION("""COMPUTED_VALUE"""),"Jaun.")</f>
        <v>Jaun.</v>
      </c>
      <c r="I1008" s="2" t="str">
        <f>IFERROR(__xludf.DUMMYFUNCTION("""COMPUTED_VALUE"""),"Brick-Panel")</f>
        <v>Brick-Panel</v>
      </c>
      <c r="J1008" s="2" t="str">
        <f>IFERROR(__xludf.DUMMYFUNCTION("""COMPUTED_VALUE"""),"All amenities")</f>
        <v>All amenities</v>
      </c>
      <c r="K1008" s="2">
        <f>IFERROR(__xludf.DUMMYFUNCTION("""COMPUTED_VALUE"""),1500.0)</f>
        <v>1500</v>
      </c>
      <c r="L1008" s="2">
        <f>IFERROR(__xludf.DUMMYFUNCTION("""COMPUTED_VALUE"""),56.8597884)</f>
        <v>56.8597884</v>
      </c>
      <c r="M1008" s="2">
        <f>IFERROR(__xludf.DUMMYFUNCTION("""COMPUTED_VALUE"""),24.3083417)</f>
        <v>24.3083417</v>
      </c>
    </row>
    <row r="1009">
      <c r="A1009" s="2" t="str">
        <f>IFERROR(__xludf.DUMMYFUNCTION("""COMPUTED_VALUE"""),"For rent")</f>
        <v>For rent</v>
      </c>
      <c r="B1009" s="2" t="str">
        <f>IFERROR(__xludf.DUMMYFUNCTION("""COMPUTED_VALUE"""),"centrs")</f>
        <v>centrs</v>
      </c>
      <c r="C1009" s="2" t="str">
        <f>IFERROR(__xludf.DUMMYFUNCTION("""COMPUTED_VALUE"""),"Skolas 36")</f>
        <v>Skolas 36</v>
      </c>
      <c r="D1009" s="2">
        <f>IFERROR(__xludf.DUMMYFUNCTION("""COMPUTED_VALUE"""),2.0)</f>
        <v>2</v>
      </c>
      <c r="E1009" s="2">
        <f>IFERROR(__xludf.DUMMYFUNCTION("""COMPUTED_VALUE"""),75.0)</f>
        <v>75</v>
      </c>
      <c r="F1009" s="2">
        <f>IFERROR(__xludf.DUMMYFUNCTION("""COMPUTED_VALUE"""),4.0)</f>
        <v>4</v>
      </c>
      <c r="G1009" s="2">
        <f>IFERROR(__xludf.DUMMYFUNCTION("""COMPUTED_VALUE"""),4.0)</f>
        <v>4</v>
      </c>
      <c r="H1009" s="2" t="str">
        <f>IFERROR(__xludf.DUMMYFUNCTION("""COMPUTED_VALUE"""),"Renov.")</f>
        <v>Renov.</v>
      </c>
      <c r="I1009" s="2" t="str">
        <f>IFERROR(__xludf.DUMMYFUNCTION("""COMPUTED_VALUE"""),"Brick-Panel")</f>
        <v>Brick-Panel</v>
      </c>
      <c r="J1009" s="2" t="str">
        <f>IFERROR(__xludf.DUMMYFUNCTION("""COMPUTED_VALUE"""),"All amenities")</f>
        <v>All amenities</v>
      </c>
      <c r="K1009" s="2">
        <f>IFERROR(__xludf.DUMMYFUNCTION("""COMPUTED_VALUE"""),420.0)</f>
        <v>420</v>
      </c>
      <c r="L1009" s="2">
        <f>IFERROR(__xludf.DUMMYFUNCTION("""COMPUTED_VALUE"""),48.2969502)</f>
        <v>48.2969502</v>
      </c>
      <c r="M1009" s="2">
        <f>IFERROR(__xludf.DUMMYFUNCTION("""COMPUTED_VALUE"""),-100.7081938)</f>
        <v>-100.7081938</v>
      </c>
    </row>
    <row r="1010">
      <c r="A1010" s="2" t="str">
        <f>IFERROR(__xludf.DUMMYFUNCTION("""COMPUTED_VALUE"""),"For rent")</f>
        <v>For rent</v>
      </c>
      <c r="B1010" s="2" t="str">
        <f>IFERROR(__xludf.DUMMYFUNCTION("""COMPUTED_VALUE"""),"Pļavnieki")</f>
        <v>Pļavnieki</v>
      </c>
      <c r="C1010" s="2" t="str">
        <f>IFERROR(__xludf.DUMMYFUNCTION("""COMPUTED_VALUE"""),"Ilūkstes 8")</f>
        <v>Ilūkstes 8</v>
      </c>
      <c r="D1010" s="2">
        <f>IFERROR(__xludf.DUMMYFUNCTION("""COMPUTED_VALUE"""),2.0)</f>
        <v>2</v>
      </c>
      <c r="E1010" s="2">
        <f>IFERROR(__xludf.DUMMYFUNCTION("""COMPUTED_VALUE"""),52.0)</f>
        <v>52</v>
      </c>
      <c r="F1010" s="2">
        <f>IFERROR(__xludf.DUMMYFUNCTION("""COMPUTED_VALUE"""),5.0)</f>
        <v>5</v>
      </c>
      <c r="G1010" s="2">
        <f>IFERROR(__xludf.DUMMYFUNCTION("""COMPUTED_VALUE"""),9.0)</f>
        <v>9</v>
      </c>
      <c r="H1010" s="2">
        <f>IFERROR(__xludf.DUMMYFUNCTION("""COMPUTED_VALUE"""),602.0)</f>
        <v>602</v>
      </c>
      <c r="I1010" s="2" t="str">
        <f>IFERROR(__xludf.DUMMYFUNCTION("""COMPUTED_VALUE"""),"Panel")</f>
        <v>Panel</v>
      </c>
      <c r="J1010" s="2" t="str">
        <f>IFERROR(__xludf.DUMMYFUNCTION("""COMPUTED_VALUE"""),"All amenities")</f>
        <v>All amenities</v>
      </c>
      <c r="K1010" s="2">
        <f>IFERROR(__xludf.DUMMYFUNCTION("""COMPUTED_VALUE"""),300.0)</f>
        <v>300</v>
      </c>
      <c r="L1010" s="2">
        <f>IFERROR(__xludf.DUMMYFUNCTION("""COMPUTED_VALUE"""),56.93542815)</f>
        <v>56.93542815</v>
      </c>
      <c r="M1010" s="2">
        <f>IFERROR(__xludf.DUMMYFUNCTION("""COMPUTED_VALUE"""),24.1960007080426)</f>
        <v>24.19600071</v>
      </c>
    </row>
    <row r="1011">
      <c r="A1011" s="2" t="str">
        <f>IFERROR(__xludf.DUMMYFUNCTION("""COMPUTED_VALUE"""),"For sale")</f>
        <v>For sale</v>
      </c>
      <c r="B1011" s="2" t="str">
        <f>IFERROR(__xludf.DUMMYFUNCTION("""COMPUTED_VALUE"""),"centrs")</f>
        <v>centrs</v>
      </c>
      <c r="C1011" s="2" t="str">
        <f>IFERROR(__xludf.DUMMYFUNCTION("""COMPUTED_VALUE"""),"Miera 86")</f>
        <v>Miera 86</v>
      </c>
      <c r="D1011" s="2">
        <f>IFERROR(__xludf.DUMMYFUNCTION("""COMPUTED_VALUE"""),2.0)</f>
        <v>2</v>
      </c>
      <c r="E1011" s="2">
        <f>IFERROR(__xludf.DUMMYFUNCTION("""COMPUTED_VALUE"""),43.0)</f>
        <v>43</v>
      </c>
      <c r="F1011" s="2">
        <f>IFERROR(__xludf.DUMMYFUNCTION("""COMPUTED_VALUE"""),1.0)</f>
        <v>1</v>
      </c>
      <c r="G1011" s="2">
        <f>IFERROR(__xludf.DUMMYFUNCTION("""COMPUTED_VALUE"""),6.0)</f>
        <v>6</v>
      </c>
      <c r="H1011" s="2" t="str">
        <f>IFERROR(__xludf.DUMMYFUNCTION("""COMPUTED_VALUE"""),"Renov.")</f>
        <v>Renov.</v>
      </c>
      <c r="I1011" s="2" t="str">
        <f>IFERROR(__xludf.DUMMYFUNCTION("""COMPUTED_VALUE"""),"Brick")</f>
        <v>Brick</v>
      </c>
      <c r="J1011" s="2" t="str">
        <f>IFERROR(__xludf.DUMMYFUNCTION("""COMPUTED_VALUE"""),"All amenities")</f>
        <v>All amenities</v>
      </c>
      <c r="K1011" s="2">
        <f>IFERROR(__xludf.DUMMYFUNCTION("""COMPUTED_VALUE"""),62000.0)</f>
        <v>62000</v>
      </c>
      <c r="L1011" s="2">
        <f>IFERROR(__xludf.DUMMYFUNCTION("""COMPUTED_VALUE"""),56.9665763)</f>
        <v>56.9665763</v>
      </c>
      <c r="M1011" s="2">
        <f>IFERROR(__xludf.DUMMYFUNCTION("""COMPUTED_VALUE"""),24.1337504)</f>
        <v>24.1337504</v>
      </c>
    </row>
    <row r="1012">
      <c r="A1012" s="2" t="str">
        <f>IFERROR(__xludf.DUMMYFUNCTION("""COMPUTED_VALUE"""),"For sale")</f>
        <v>For sale</v>
      </c>
      <c r="B1012" s="2" t="str">
        <f>IFERROR(__xludf.DUMMYFUNCTION("""COMPUTED_VALUE"""),"Pļavnieki")</f>
        <v>Pļavnieki</v>
      </c>
      <c r="C1012" s="2" t="str">
        <f>IFERROR(__xludf.DUMMYFUNCTION("""COMPUTED_VALUE"""),"Salnas 16")</f>
        <v>Salnas 16</v>
      </c>
      <c r="D1012" s="2">
        <f>IFERROR(__xludf.DUMMYFUNCTION("""COMPUTED_VALUE"""),2.0)</f>
        <v>2</v>
      </c>
      <c r="E1012" s="2">
        <f>IFERROR(__xludf.DUMMYFUNCTION("""COMPUTED_VALUE"""),50.0)</f>
        <v>50</v>
      </c>
      <c r="F1012" s="2">
        <f>IFERROR(__xludf.DUMMYFUNCTION("""COMPUTED_VALUE"""),3.0)</f>
        <v>3</v>
      </c>
      <c r="G1012" s="2">
        <f>IFERROR(__xludf.DUMMYFUNCTION("""COMPUTED_VALUE"""),9.0)</f>
        <v>9</v>
      </c>
      <c r="H1012" s="2">
        <f>IFERROR(__xludf.DUMMYFUNCTION("""COMPUTED_VALUE"""),602.0)</f>
        <v>602</v>
      </c>
      <c r="I1012" s="2" t="str">
        <f>IFERROR(__xludf.DUMMYFUNCTION("""COMPUTED_VALUE"""),"Panel")</f>
        <v>Panel</v>
      </c>
      <c r="J1012" s="2" t="str">
        <f>IFERROR(__xludf.DUMMYFUNCTION("""COMPUTED_VALUE"""),"All amenities")</f>
        <v>All amenities</v>
      </c>
      <c r="K1012" s="2">
        <f>IFERROR(__xludf.DUMMYFUNCTION("""COMPUTED_VALUE"""),51000.0)</f>
        <v>51000</v>
      </c>
      <c r="L1012" s="2">
        <f>IFERROR(__xludf.DUMMYFUNCTION("""COMPUTED_VALUE"""),56.94222435)</f>
        <v>56.94222435</v>
      </c>
      <c r="M1012" s="2">
        <f>IFERROR(__xludf.DUMMYFUNCTION("""COMPUTED_VALUE"""),24.224370755513)</f>
        <v>24.22437076</v>
      </c>
    </row>
    <row r="1013">
      <c r="A1013" s="2" t="str">
        <f>IFERROR(__xludf.DUMMYFUNCTION("""COMPUTED_VALUE"""),"For rent")</f>
        <v>For rent</v>
      </c>
      <c r="B1013" s="2" t="str">
        <f>IFERROR(__xludf.DUMMYFUNCTION("""COMPUTED_VALUE"""),"Ziepniekkalns")</f>
        <v>Ziepniekkalns</v>
      </c>
      <c r="C1013" s="2" t="str">
        <f>IFERROR(__xludf.DUMMYFUNCTION("""COMPUTED_VALUE"""),"Bruknas 12")</f>
        <v>Bruknas 12</v>
      </c>
      <c r="D1013" s="2">
        <f>IFERROR(__xludf.DUMMYFUNCTION("""COMPUTED_VALUE"""),2.0)</f>
        <v>2</v>
      </c>
      <c r="E1013" s="2">
        <f>IFERROR(__xludf.DUMMYFUNCTION("""COMPUTED_VALUE"""),51.0)</f>
        <v>51</v>
      </c>
      <c r="F1013" s="2">
        <f>IFERROR(__xludf.DUMMYFUNCTION("""COMPUTED_VALUE"""),1.0)</f>
        <v>1</v>
      </c>
      <c r="G1013" s="2">
        <f>IFERROR(__xludf.DUMMYFUNCTION("""COMPUTED_VALUE"""),10.0)</f>
        <v>10</v>
      </c>
      <c r="H1013" s="2">
        <f>IFERROR(__xludf.DUMMYFUNCTION("""COMPUTED_VALUE"""),119.0)</f>
        <v>119</v>
      </c>
      <c r="I1013" s="2" t="str">
        <f>IFERROR(__xludf.DUMMYFUNCTION("""COMPUTED_VALUE"""),"Panel")</f>
        <v>Panel</v>
      </c>
      <c r="J1013" s="2" t="str">
        <f>IFERROR(__xludf.DUMMYFUNCTION("""COMPUTED_VALUE"""),"All amenities")</f>
        <v>All amenities</v>
      </c>
      <c r="K1013" s="2">
        <f>IFERROR(__xludf.DUMMYFUNCTION("""COMPUTED_VALUE"""),330.0)</f>
        <v>330</v>
      </c>
      <c r="L1013" s="2">
        <f>IFERROR(__xludf.DUMMYFUNCTION("""COMPUTED_VALUE"""),56.90217635)</f>
        <v>56.90217635</v>
      </c>
      <c r="M1013" s="2">
        <f>IFERROR(__xludf.DUMMYFUNCTION("""COMPUTED_VALUE"""),24.0878581485374)</f>
        <v>24.08785815</v>
      </c>
    </row>
    <row r="1014">
      <c r="A1014" s="2" t="str">
        <f>IFERROR(__xludf.DUMMYFUNCTION("""COMPUTED_VALUE"""),"For rent")</f>
        <v>For rent</v>
      </c>
      <c r="B1014" s="2" t="str">
        <f>IFERROR(__xludf.DUMMYFUNCTION("""COMPUTED_VALUE"""),"Krasta r-ns")</f>
        <v>Krasta r-ns</v>
      </c>
      <c r="C1014" s="2" t="str">
        <f>IFERROR(__xludf.DUMMYFUNCTION("""COMPUTED_VALUE"""),"Zilupes 16")</f>
        <v>Zilupes 16</v>
      </c>
      <c r="D1014" s="2">
        <f>IFERROR(__xludf.DUMMYFUNCTION("""COMPUTED_VALUE"""),2.0)</f>
        <v>2</v>
      </c>
      <c r="E1014" s="2">
        <f>IFERROR(__xludf.DUMMYFUNCTION("""COMPUTED_VALUE"""),49.0)</f>
        <v>49</v>
      </c>
      <c r="F1014" s="2">
        <f>IFERROR(__xludf.DUMMYFUNCTION("""COMPUTED_VALUE"""),9.0)</f>
        <v>9</v>
      </c>
      <c r="G1014" s="2">
        <f>IFERROR(__xludf.DUMMYFUNCTION("""COMPUTED_VALUE"""),9.0)</f>
        <v>9</v>
      </c>
      <c r="H1014" s="2">
        <f>IFERROR(__xludf.DUMMYFUNCTION("""COMPUTED_VALUE"""),467.0)</f>
        <v>467</v>
      </c>
      <c r="I1014" s="2" t="str">
        <f>IFERROR(__xludf.DUMMYFUNCTION("""COMPUTED_VALUE"""),"Panel")</f>
        <v>Panel</v>
      </c>
      <c r="J1014" s="2" t="str">
        <f>IFERROR(__xludf.DUMMYFUNCTION("""COMPUTED_VALUE"""),"All amenities")</f>
        <v>All amenities</v>
      </c>
      <c r="K1014" s="2">
        <f>IFERROR(__xludf.DUMMYFUNCTION("""COMPUTED_VALUE"""),250.0)</f>
        <v>250</v>
      </c>
      <c r="L1014" s="2">
        <f>IFERROR(__xludf.DUMMYFUNCTION("""COMPUTED_VALUE"""),56.92559925)</f>
        <v>56.92559925</v>
      </c>
      <c r="M1014" s="2">
        <f>IFERROR(__xludf.DUMMYFUNCTION("""COMPUTED_VALUE"""),24.1699725366643)</f>
        <v>24.16997254</v>
      </c>
    </row>
    <row r="1015">
      <c r="A1015" s="2" t="str">
        <f>IFERROR(__xludf.DUMMYFUNCTION("""COMPUTED_VALUE"""),"For sale")</f>
        <v>For sale</v>
      </c>
      <c r="B1015" s="2" t="str">
        <f>IFERROR(__xludf.DUMMYFUNCTION("""COMPUTED_VALUE"""),"Torņakalns")</f>
        <v>Torņakalns</v>
      </c>
      <c r="C1015" s="2" t="str">
        <f>IFERROR(__xludf.DUMMYFUNCTION("""COMPUTED_VALUE"""),"Pastendes 13")</f>
        <v>Pastendes 13</v>
      </c>
      <c r="D1015" s="2">
        <f>IFERROR(__xludf.DUMMYFUNCTION("""COMPUTED_VALUE"""),1.0)</f>
        <v>1</v>
      </c>
      <c r="E1015" s="2">
        <f>IFERROR(__xludf.DUMMYFUNCTION("""COMPUTED_VALUE"""),27.0)</f>
        <v>27</v>
      </c>
      <c r="F1015" s="2">
        <f>IFERROR(__xludf.DUMMYFUNCTION("""COMPUTED_VALUE"""),1.0)</f>
        <v>1</v>
      </c>
      <c r="G1015" s="2">
        <f>IFERROR(__xludf.DUMMYFUNCTION("""COMPUTED_VALUE"""),2.0)</f>
        <v>2</v>
      </c>
      <c r="H1015" s="2" t="str">
        <f>IFERROR(__xludf.DUMMYFUNCTION("""COMPUTED_VALUE"""),"Specpr.")</f>
        <v>Specpr.</v>
      </c>
      <c r="I1015" s="2" t="str">
        <f>IFERROR(__xludf.DUMMYFUNCTION("""COMPUTED_VALUE"""),"Wood")</f>
        <v>Wood</v>
      </c>
      <c r="J1015" s="2" t="str">
        <f>IFERROR(__xludf.DUMMYFUNCTION("""COMPUTED_VALUE"""),"Partial amenities")</f>
        <v>Partial amenities</v>
      </c>
      <c r="K1015" s="2">
        <f>IFERROR(__xludf.DUMMYFUNCTION("""COMPUTED_VALUE"""),17000.0)</f>
        <v>17000</v>
      </c>
      <c r="L1015" s="2">
        <f>IFERROR(__xludf.DUMMYFUNCTION("""COMPUTED_VALUE"""),56.91345935)</f>
        <v>56.91345935</v>
      </c>
      <c r="M1015" s="2">
        <f>IFERROR(__xludf.DUMMYFUNCTION("""COMPUTED_VALUE"""),24.0886548221875)</f>
        <v>24.08865482</v>
      </c>
    </row>
    <row r="1016">
      <c r="A1016" s="2" t="str">
        <f>IFERROR(__xludf.DUMMYFUNCTION("""COMPUTED_VALUE"""),"For sale")</f>
        <v>For sale</v>
      </c>
      <c r="B1016" s="2" t="str">
        <f>IFERROR(__xludf.DUMMYFUNCTION("""COMPUTED_VALUE"""),"Pļavnieki")</f>
        <v>Pļavnieki</v>
      </c>
      <c r="C1016" s="2" t="str">
        <f>IFERROR(__xludf.DUMMYFUNCTION("""COMPUTED_VALUE"""),"Tīnūžu 10")</f>
        <v>Tīnūžu 10</v>
      </c>
      <c r="D1016" s="2">
        <f>IFERROR(__xludf.DUMMYFUNCTION("""COMPUTED_VALUE"""),3.0)</f>
        <v>3</v>
      </c>
      <c r="E1016" s="2">
        <f>IFERROR(__xludf.DUMMYFUNCTION("""COMPUTED_VALUE"""),65.0)</f>
        <v>65</v>
      </c>
      <c r="F1016" s="2">
        <f>IFERROR(__xludf.DUMMYFUNCTION("""COMPUTED_VALUE"""),3.0)</f>
        <v>3</v>
      </c>
      <c r="G1016" s="2">
        <f>IFERROR(__xludf.DUMMYFUNCTION("""COMPUTED_VALUE"""),9.0)</f>
        <v>9</v>
      </c>
      <c r="H1016" s="2">
        <f>IFERROR(__xludf.DUMMYFUNCTION("""COMPUTED_VALUE"""),602.0)</f>
        <v>602</v>
      </c>
      <c r="I1016" s="2" t="str">
        <f>IFERROR(__xludf.DUMMYFUNCTION("""COMPUTED_VALUE"""),"Panel")</f>
        <v>Panel</v>
      </c>
      <c r="J1016" s="2" t="str">
        <f>IFERROR(__xludf.DUMMYFUNCTION("""COMPUTED_VALUE"""),"All amenities")</f>
        <v>All amenities</v>
      </c>
      <c r="K1016" s="2">
        <f>IFERROR(__xludf.DUMMYFUNCTION("""COMPUTED_VALUE"""),54000.0)</f>
        <v>54000</v>
      </c>
      <c r="L1016" s="2">
        <f>IFERROR(__xludf.DUMMYFUNCTION("""COMPUTED_VALUE"""),56.9342176)</f>
        <v>56.9342176</v>
      </c>
      <c r="M1016" s="2">
        <f>IFERROR(__xludf.DUMMYFUNCTION("""COMPUTED_VALUE"""),24.2070676596876)</f>
        <v>24.20706766</v>
      </c>
    </row>
    <row r="1017">
      <c r="A1017" s="2" t="str">
        <f>IFERROR(__xludf.DUMMYFUNCTION("""COMPUTED_VALUE"""),"For sale")</f>
        <v>For sale</v>
      </c>
      <c r="B1017" s="2" t="str">
        <f>IFERROR(__xludf.DUMMYFUNCTION("""COMPUTED_VALUE"""),"Iļģuciems")</f>
        <v>Iļģuciems</v>
      </c>
      <c r="C1017" s="2" t="str">
        <f>IFERROR(__xludf.DUMMYFUNCTION("""COMPUTED_VALUE"""),"Stūres 9")</f>
        <v>Stūres 9</v>
      </c>
      <c r="D1017" s="2">
        <f>IFERROR(__xludf.DUMMYFUNCTION("""COMPUTED_VALUE"""),3.0)</f>
        <v>3</v>
      </c>
      <c r="E1017" s="2">
        <f>IFERROR(__xludf.DUMMYFUNCTION("""COMPUTED_VALUE"""),70.0)</f>
        <v>70</v>
      </c>
      <c r="F1017" s="2">
        <f>IFERROR(__xludf.DUMMYFUNCTION("""COMPUTED_VALUE"""),4.0)</f>
        <v>4</v>
      </c>
      <c r="G1017" s="2">
        <f>IFERROR(__xludf.DUMMYFUNCTION("""COMPUTED_VALUE"""),5.0)</f>
        <v>5</v>
      </c>
      <c r="H1017" s="2" t="str">
        <f>IFERROR(__xludf.DUMMYFUNCTION("""COMPUTED_VALUE"""),"LT proj.")</f>
        <v>LT proj.</v>
      </c>
      <c r="I1017" s="2" t="str">
        <f>IFERROR(__xludf.DUMMYFUNCTION("""COMPUTED_VALUE"""),"Panel")</f>
        <v>Panel</v>
      </c>
      <c r="J1017" s="2" t="str">
        <f>IFERROR(__xludf.DUMMYFUNCTION("""COMPUTED_VALUE"""),"All amenities")</f>
        <v>All amenities</v>
      </c>
      <c r="K1017" s="2">
        <f>IFERROR(__xludf.DUMMYFUNCTION("""COMPUTED_VALUE"""),58200.0)</f>
        <v>58200</v>
      </c>
      <c r="L1017" s="2">
        <f>IFERROR(__xludf.DUMMYFUNCTION("""COMPUTED_VALUE"""),56.9713644)</f>
        <v>56.9713644</v>
      </c>
      <c r="M1017" s="2">
        <f>IFERROR(__xludf.DUMMYFUNCTION("""COMPUTED_VALUE"""),24.0688642775663)</f>
        <v>24.06886428</v>
      </c>
    </row>
    <row r="1018">
      <c r="A1018" s="2" t="str">
        <f>IFERROR(__xludf.DUMMYFUNCTION("""COMPUTED_VALUE"""),"For sale")</f>
        <v>For sale</v>
      </c>
      <c r="B1018" s="2" t="str">
        <f>IFERROR(__xludf.DUMMYFUNCTION("""COMPUTED_VALUE"""),"centrs")</f>
        <v>centrs</v>
      </c>
      <c r="C1018" s="2" t="str">
        <f>IFERROR(__xludf.DUMMYFUNCTION("""COMPUTED_VALUE"""),"Katrīnas d. 20a")</f>
        <v>Katrīnas d. 20a</v>
      </c>
      <c r="D1018" s="2">
        <f>IFERROR(__xludf.DUMMYFUNCTION("""COMPUTED_VALUE"""),2.0)</f>
        <v>2</v>
      </c>
      <c r="E1018" s="2">
        <f>IFERROR(__xludf.DUMMYFUNCTION("""COMPUTED_VALUE"""),50.0)</f>
        <v>50</v>
      </c>
      <c r="F1018" s="2">
        <f>IFERROR(__xludf.DUMMYFUNCTION("""COMPUTED_VALUE"""),3.0)</f>
        <v>3</v>
      </c>
      <c r="G1018" s="2">
        <f>IFERROR(__xludf.DUMMYFUNCTION("""COMPUTED_VALUE"""),4.0)</f>
        <v>4</v>
      </c>
      <c r="H1018" s="2" t="str">
        <f>IFERROR(__xludf.DUMMYFUNCTION("""COMPUTED_VALUE"""),"P. kara")</f>
        <v>P. kara</v>
      </c>
      <c r="I1018" s="2" t="str">
        <f>IFERROR(__xludf.DUMMYFUNCTION("""COMPUTED_VALUE"""),"Masonry")</f>
        <v>Masonry</v>
      </c>
      <c r="J1018" s="2" t="str">
        <f>IFERROR(__xludf.DUMMYFUNCTION("""COMPUTED_VALUE"""),"All amenities")</f>
        <v>All amenities</v>
      </c>
      <c r="K1018" s="2">
        <f>IFERROR(__xludf.DUMMYFUNCTION("""COMPUTED_VALUE"""),48000.0)</f>
        <v>48000</v>
      </c>
      <c r="L1018" s="2" t="str">
        <f>IFERROR(__xludf.DUMMYFUNCTION("""COMPUTED_VALUE"""),"NaN")</f>
        <v>NaN</v>
      </c>
      <c r="M1018" s="2" t="str">
        <f>IFERROR(__xludf.DUMMYFUNCTION("""COMPUTED_VALUE"""),"NaN")</f>
        <v>NaN</v>
      </c>
    </row>
    <row r="1019">
      <c r="A1019" s="2" t="str">
        <f>IFERROR(__xludf.DUMMYFUNCTION("""COMPUTED_VALUE"""),"For sale")</f>
        <v>For sale</v>
      </c>
      <c r="B1019" s="2" t="str">
        <f>IFERROR(__xludf.DUMMYFUNCTION("""COMPUTED_VALUE"""),"Zasulauks")</f>
        <v>Zasulauks</v>
      </c>
      <c r="C1019" s="2" t="str">
        <f>IFERROR(__xludf.DUMMYFUNCTION("""COMPUTED_VALUE"""),"Valentīna 16 k-2")</f>
        <v>Valentīna 16 k-2</v>
      </c>
      <c r="D1019" s="2">
        <f>IFERROR(__xludf.DUMMYFUNCTION("""COMPUTED_VALUE"""),3.0)</f>
        <v>3</v>
      </c>
      <c r="E1019" s="2">
        <f>IFERROR(__xludf.DUMMYFUNCTION("""COMPUTED_VALUE"""),79.0)</f>
        <v>79</v>
      </c>
      <c r="F1019" s="2">
        <f>IFERROR(__xludf.DUMMYFUNCTION("""COMPUTED_VALUE"""),1.0)</f>
        <v>1</v>
      </c>
      <c r="G1019" s="2">
        <f>IFERROR(__xludf.DUMMYFUNCTION("""COMPUTED_VALUE"""),4.0)</f>
        <v>4</v>
      </c>
      <c r="H1019" s="2" t="str">
        <f>IFERROR(__xludf.DUMMYFUNCTION("""COMPUTED_VALUE"""),"P. kara")</f>
        <v>P. kara</v>
      </c>
      <c r="I1019" s="2" t="str">
        <f>IFERROR(__xludf.DUMMYFUNCTION("""COMPUTED_VALUE"""),"Masonry")</f>
        <v>Masonry</v>
      </c>
      <c r="J1019" s="2" t="str">
        <f>IFERROR(__xludf.DUMMYFUNCTION("""COMPUTED_VALUE"""),"All amenities")</f>
        <v>All amenities</v>
      </c>
      <c r="K1019" s="2">
        <f>IFERROR(__xludf.DUMMYFUNCTION("""COMPUTED_VALUE"""),147000.0)</f>
        <v>147000</v>
      </c>
      <c r="L1019" s="2" t="str">
        <f>IFERROR(__xludf.DUMMYFUNCTION("""COMPUTED_VALUE"""),"NaN")</f>
        <v>NaN</v>
      </c>
      <c r="M1019" s="2" t="str">
        <f>IFERROR(__xludf.DUMMYFUNCTION("""COMPUTED_VALUE"""),"NaN")</f>
        <v>NaN</v>
      </c>
    </row>
    <row r="1020">
      <c r="A1020" s="2" t="str">
        <f>IFERROR(__xludf.DUMMYFUNCTION("""COMPUTED_VALUE"""),"For rent")</f>
        <v>For rent</v>
      </c>
      <c r="B1020" s="2" t="str">
        <f>IFERROR(__xludf.DUMMYFUNCTION("""COMPUTED_VALUE"""),"Teika")</f>
        <v>Teika</v>
      </c>
      <c r="C1020" s="2" t="str">
        <f>IFERROR(__xludf.DUMMYFUNCTION("""COMPUTED_VALUE"""),"Biķernieku 12")</f>
        <v>Biķernieku 12</v>
      </c>
      <c r="D1020" s="2">
        <f>IFERROR(__xludf.DUMMYFUNCTION("""COMPUTED_VALUE"""),1.0)</f>
        <v>1</v>
      </c>
      <c r="E1020" s="2">
        <f>IFERROR(__xludf.DUMMYFUNCTION("""COMPUTED_VALUE"""),27.0)</f>
        <v>27</v>
      </c>
      <c r="F1020" s="2">
        <f>IFERROR(__xludf.DUMMYFUNCTION("""COMPUTED_VALUE"""),2.0)</f>
        <v>2</v>
      </c>
      <c r="G1020" s="2">
        <f>IFERROR(__xludf.DUMMYFUNCTION("""COMPUTED_VALUE"""),5.0)</f>
        <v>5</v>
      </c>
      <c r="H1020" s="2" t="str">
        <f>IFERROR(__xludf.DUMMYFUNCTION("""COMPUTED_VALUE"""),"Hrušč.")</f>
        <v>Hrušč.</v>
      </c>
      <c r="I1020" s="2" t="str">
        <f>IFERROR(__xludf.DUMMYFUNCTION("""COMPUTED_VALUE"""),"Brick")</f>
        <v>Brick</v>
      </c>
      <c r="J1020" s="2" t="str">
        <f>IFERROR(__xludf.DUMMYFUNCTION("""COMPUTED_VALUE"""),"All amenities")</f>
        <v>All amenities</v>
      </c>
      <c r="K1020" s="2">
        <f>IFERROR(__xludf.DUMMYFUNCTION("""COMPUTED_VALUE"""),280.0)</f>
        <v>280</v>
      </c>
      <c r="L1020" s="2">
        <f>IFERROR(__xludf.DUMMYFUNCTION("""COMPUTED_VALUE"""),56.9709132)</f>
        <v>56.9709132</v>
      </c>
      <c r="M1020" s="2">
        <f>IFERROR(__xludf.DUMMYFUNCTION("""COMPUTED_VALUE"""),24.1778261)</f>
        <v>24.1778261</v>
      </c>
    </row>
    <row r="1021">
      <c r="A1021" s="2" t="str">
        <f>IFERROR(__xludf.DUMMYFUNCTION("""COMPUTED_VALUE"""),"For sale")</f>
        <v>For sale</v>
      </c>
      <c r="B1021" s="2" t="str">
        <f>IFERROR(__xludf.DUMMYFUNCTION("""COMPUTED_VALUE"""),"centrs")</f>
        <v>centrs</v>
      </c>
      <c r="C1021" s="2" t="str">
        <f>IFERROR(__xludf.DUMMYFUNCTION("""COMPUTED_VALUE"""),"Miera 97")</f>
        <v>Miera 97</v>
      </c>
      <c r="D1021" s="2">
        <f>IFERROR(__xludf.DUMMYFUNCTION("""COMPUTED_VALUE"""),1.0)</f>
        <v>1</v>
      </c>
      <c r="E1021" s="2">
        <f>IFERROR(__xludf.DUMMYFUNCTION("""COMPUTED_VALUE"""),30.0)</f>
        <v>30</v>
      </c>
      <c r="F1021" s="2">
        <f>IFERROR(__xludf.DUMMYFUNCTION("""COMPUTED_VALUE"""),1.0)</f>
        <v>1</v>
      </c>
      <c r="G1021" s="2">
        <f>IFERROR(__xludf.DUMMYFUNCTION("""COMPUTED_VALUE"""),5.0)</f>
        <v>5</v>
      </c>
      <c r="H1021" s="2" t="str">
        <f>IFERROR(__xludf.DUMMYFUNCTION("""COMPUTED_VALUE"""),"Hrušč.")</f>
        <v>Hrušč.</v>
      </c>
      <c r="I1021" s="2" t="str">
        <f>IFERROR(__xludf.DUMMYFUNCTION("""COMPUTED_VALUE"""),"Brick")</f>
        <v>Brick</v>
      </c>
      <c r="J1021" s="2" t="str">
        <f>IFERROR(__xludf.DUMMYFUNCTION("""COMPUTED_VALUE"""),"All amenities")</f>
        <v>All amenities</v>
      </c>
      <c r="K1021" s="2">
        <f>IFERROR(__xludf.DUMMYFUNCTION("""COMPUTED_VALUE"""),35500.0)</f>
        <v>35500</v>
      </c>
      <c r="L1021" s="2">
        <f>IFERROR(__xludf.DUMMYFUNCTION("""COMPUTED_VALUE"""),56.9665763)</f>
        <v>56.9665763</v>
      </c>
      <c r="M1021" s="2">
        <f>IFERROR(__xludf.DUMMYFUNCTION("""COMPUTED_VALUE"""),24.1337504)</f>
        <v>24.1337504</v>
      </c>
    </row>
    <row r="1022">
      <c r="A1022" s="2" t="str">
        <f>IFERROR(__xludf.DUMMYFUNCTION("""COMPUTED_VALUE"""),"For sale")</f>
        <v>For sale</v>
      </c>
      <c r="B1022" s="2" t="str">
        <f>IFERROR(__xludf.DUMMYFUNCTION("""COMPUTED_VALUE"""),"Ziepniekkalns")</f>
        <v>Ziepniekkalns</v>
      </c>
      <c r="C1022" s="2" t="str">
        <f>IFERROR(__xludf.DUMMYFUNCTION("""COMPUTED_VALUE"""),"Vienības g. 186a")</f>
        <v>Vienības g. 186a</v>
      </c>
      <c r="D1022" s="2">
        <f>IFERROR(__xludf.DUMMYFUNCTION("""COMPUTED_VALUE"""),2.0)</f>
        <v>2</v>
      </c>
      <c r="E1022" s="2">
        <f>IFERROR(__xludf.DUMMYFUNCTION("""COMPUTED_VALUE"""),86.0)</f>
        <v>86</v>
      </c>
      <c r="F1022" s="2">
        <f>IFERROR(__xludf.DUMMYFUNCTION("""COMPUTED_VALUE"""),5.0)</f>
        <v>5</v>
      </c>
      <c r="G1022" s="2">
        <f>IFERROR(__xludf.DUMMYFUNCTION("""COMPUTED_VALUE"""),5.0)</f>
        <v>5</v>
      </c>
      <c r="H1022" s="2" t="str">
        <f>IFERROR(__xludf.DUMMYFUNCTION("""COMPUTED_VALUE"""),"Jaun.")</f>
        <v>Jaun.</v>
      </c>
      <c r="I1022" s="2" t="str">
        <f>IFERROR(__xludf.DUMMYFUNCTION("""COMPUTED_VALUE"""),"Panel")</f>
        <v>Panel</v>
      </c>
      <c r="J1022" s="2" t="str">
        <f>IFERROR(__xludf.DUMMYFUNCTION("""COMPUTED_VALUE"""),"All amenities")</f>
        <v>All amenities</v>
      </c>
      <c r="K1022" s="2">
        <f>IFERROR(__xludf.DUMMYFUNCTION("""COMPUTED_VALUE"""),125000.0)</f>
        <v>125000</v>
      </c>
      <c r="L1022" s="2">
        <f>IFERROR(__xludf.DUMMYFUNCTION("""COMPUTED_VALUE"""),56.9012048)</f>
        <v>56.9012048</v>
      </c>
      <c r="M1022" s="2">
        <f>IFERROR(__xludf.DUMMYFUNCTION("""COMPUTED_VALUE"""),24.0807190319399)</f>
        <v>24.08071903</v>
      </c>
    </row>
    <row r="1023">
      <c r="A1023" s="2" t="str">
        <f>IFERROR(__xludf.DUMMYFUNCTION("""COMPUTED_VALUE"""),"For sale")</f>
        <v>For sale</v>
      </c>
      <c r="B1023" s="2" t="str">
        <f>IFERROR(__xludf.DUMMYFUNCTION("""COMPUTED_VALUE"""),"centrs")</f>
        <v>centrs</v>
      </c>
      <c r="C1023" s="2" t="str">
        <f>IFERROR(__xludf.DUMMYFUNCTION("""COMPUTED_VALUE"""),"Kalniņa 6")</f>
        <v>Kalniņa 6</v>
      </c>
      <c r="D1023" s="2">
        <f>IFERROR(__xludf.DUMMYFUNCTION("""COMPUTED_VALUE"""),3.0)</f>
        <v>3</v>
      </c>
      <c r="E1023" s="2">
        <f>IFERROR(__xludf.DUMMYFUNCTION("""COMPUTED_VALUE"""),68.0)</f>
        <v>68</v>
      </c>
      <c r="F1023" s="2">
        <f>IFERROR(__xludf.DUMMYFUNCTION("""COMPUTED_VALUE"""),5.0)</f>
        <v>5</v>
      </c>
      <c r="G1023" s="2">
        <f>IFERROR(__xludf.DUMMYFUNCTION("""COMPUTED_VALUE"""),5.0)</f>
        <v>5</v>
      </c>
      <c r="H1023" s="2" t="str">
        <f>IFERROR(__xludf.DUMMYFUNCTION("""COMPUTED_VALUE"""),"Renov.")</f>
        <v>Renov.</v>
      </c>
      <c r="I1023" s="2" t="str">
        <f>IFERROR(__xludf.DUMMYFUNCTION("""COMPUTED_VALUE"""),"Masonry")</f>
        <v>Masonry</v>
      </c>
      <c r="J1023" s="2" t="str">
        <f>IFERROR(__xludf.DUMMYFUNCTION("""COMPUTED_VALUE"""),"All amenities")</f>
        <v>All amenities</v>
      </c>
      <c r="K1023" s="2">
        <f>IFERROR(__xludf.DUMMYFUNCTION("""COMPUTED_VALUE"""),260000.0)</f>
        <v>260000</v>
      </c>
      <c r="L1023" s="2">
        <f>IFERROR(__xludf.DUMMYFUNCTION("""COMPUTED_VALUE"""),56.9496478)</f>
        <v>56.9496478</v>
      </c>
      <c r="M1023" s="2">
        <f>IFERROR(__xludf.DUMMYFUNCTION("""COMPUTED_VALUE"""),24.1208218)</f>
        <v>24.1208218</v>
      </c>
    </row>
    <row r="1024">
      <c r="A1024" s="2" t="str">
        <f>IFERROR(__xludf.DUMMYFUNCTION("""COMPUTED_VALUE"""),"For sale")</f>
        <v>For sale</v>
      </c>
      <c r="B1024" s="2" t="str">
        <f>IFERROR(__xludf.DUMMYFUNCTION("""COMPUTED_VALUE"""),"Mežaparks")</f>
        <v>Mežaparks</v>
      </c>
      <c r="C1024" s="2" t="str">
        <f>IFERROR(__xludf.DUMMYFUNCTION("""COMPUTED_VALUE"""),"Ķempes 9")</f>
        <v>Ķempes 9</v>
      </c>
      <c r="D1024" s="2">
        <f>IFERROR(__xludf.DUMMYFUNCTION("""COMPUTED_VALUE"""),3.0)</f>
        <v>3</v>
      </c>
      <c r="E1024" s="2">
        <f>IFERROR(__xludf.DUMMYFUNCTION("""COMPUTED_VALUE"""),72.0)</f>
        <v>72</v>
      </c>
      <c r="F1024" s="2">
        <f>IFERROR(__xludf.DUMMYFUNCTION("""COMPUTED_VALUE"""),5.0)</f>
        <v>5</v>
      </c>
      <c r="G1024" s="2">
        <f>IFERROR(__xludf.DUMMYFUNCTION("""COMPUTED_VALUE"""),12.0)</f>
        <v>12</v>
      </c>
      <c r="H1024" s="2" t="str">
        <f>IFERROR(__xludf.DUMMYFUNCTION("""COMPUTED_VALUE"""),"Specpr.")</f>
        <v>Specpr.</v>
      </c>
      <c r="I1024" s="2" t="str">
        <f>IFERROR(__xludf.DUMMYFUNCTION("""COMPUTED_VALUE"""),"Brick")</f>
        <v>Brick</v>
      </c>
      <c r="J1024" s="2" t="str">
        <f>IFERROR(__xludf.DUMMYFUNCTION("""COMPUTED_VALUE"""),"All amenities")</f>
        <v>All amenities</v>
      </c>
      <c r="K1024" s="2">
        <f>IFERROR(__xludf.DUMMYFUNCTION("""COMPUTED_VALUE"""),116000.0)</f>
        <v>116000</v>
      </c>
      <c r="L1024" s="2">
        <f>IFERROR(__xludf.DUMMYFUNCTION("""COMPUTED_VALUE"""),56.9950137)</f>
        <v>56.9950137</v>
      </c>
      <c r="M1024" s="2">
        <f>IFERROR(__xludf.DUMMYFUNCTION("""COMPUTED_VALUE"""),24.1694642419121)</f>
        <v>24.16946424</v>
      </c>
    </row>
    <row r="1025">
      <c r="A1025" s="2" t="str">
        <f>IFERROR(__xludf.DUMMYFUNCTION("""COMPUTED_VALUE"""),"For rent")</f>
        <v>For rent</v>
      </c>
      <c r="B1025" s="2" t="str">
        <f>IFERROR(__xludf.DUMMYFUNCTION("""COMPUTED_VALUE"""),"centrs")</f>
        <v>centrs</v>
      </c>
      <c r="C1025" s="2" t="str">
        <f>IFERROR(__xludf.DUMMYFUNCTION("""COMPUTED_VALUE"""),"Elizabetes 9")</f>
        <v>Elizabetes 9</v>
      </c>
      <c r="D1025" s="2">
        <f>IFERROR(__xludf.DUMMYFUNCTION("""COMPUTED_VALUE"""),2.0)</f>
        <v>2</v>
      </c>
      <c r="E1025" s="2">
        <f>IFERROR(__xludf.DUMMYFUNCTION("""COMPUTED_VALUE"""),33.0)</f>
        <v>33</v>
      </c>
      <c r="F1025" s="2">
        <f>IFERROR(__xludf.DUMMYFUNCTION("""COMPUTED_VALUE"""),5.0)</f>
        <v>5</v>
      </c>
      <c r="G1025" s="2">
        <f>IFERROR(__xludf.DUMMYFUNCTION("""COMPUTED_VALUE"""),5.0)</f>
        <v>5</v>
      </c>
      <c r="H1025" s="2" t="str">
        <f>IFERROR(__xludf.DUMMYFUNCTION("""COMPUTED_VALUE"""),"P. kara")</f>
        <v>P. kara</v>
      </c>
      <c r="I1025" s="2" t="str">
        <f>IFERROR(__xludf.DUMMYFUNCTION("""COMPUTED_VALUE"""),"Masonry")</f>
        <v>Masonry</v>
      </c>
      <c r="J1025" s="2" t="str">
        <f>IFERROR(__xludf.DUMMYFUNCTION("""COMPUTED_VALUE"""),"All amenities")</f>
        <v>All amenities</v>
      </c>
      <c r="K1025" s="2">
        <f>IFERROR(__xludf.DUMMYFUNCTION("""COMPUTED_VALUE"""),525.0)</f>
        <v>525</v>
      </c>
      <c r="L1025" s="2">
        <f>IFERROR(__xludf.DUMMYFUNCTION("""COMPUTED_VALUE"""),56.9592539)</f>
        <v>56.9592539</v>
      </c>
      <c r="M1025" s="2">
        <f>IFERROR(__xludf.DUMMYFUNCTION("""COMPUTED_VALUE"""),24.100972)</f>
        <v>24.100972</v>
      </c>
    </row>
    <row r="1026">
      <c r="A1026" s="2" t="str">
        <f>IFERROR(__xludf.DUMMYFUNCTION("""COMPUTED_VALUE"""),"For rent")</f>
        <v>For rent</v>
      </c>
      <c r="B1026" s="2" t="str">
        <f>IFERROR(__xludf.DUMMYFUNCTION("""COMPUTED_VALUE"""),"Dzegužkalns")</f>
        <v>Dzegužkalns</v>
      </c>
      <c r="C1026" s="2" t="str">
        <f>IFERROR(__xludf.DUMMYFUNCTION("""COMPUTED_VALUE"""),"Ūdens 12")</f>
        <v>Ūdens 12</v>
      </c>
      <c r="D1026" s="2">
        <f>IFERROR(__xludf.DUMMYFUNCTION("""COMPUTED_VALUE"""),2.0)</f>
        <v>2</v>
      </c>
      <c r="E1026" s="2">
        <f>IFERROR(__xludf.DUMMYFUNCTION("""COMPUTED_VALUE"""),118.0)</f>
        <v>118</v>
      </c>
      <c r="F1026" s="2">
        <f>IFERROR(__xludf.DUMMYFUNCTION("""COMPUTED_VALUE"""),5.0)</f>
        <v>5</v>
      </c>
      <c r="G1026" s="2">
        <f>IFERROR(__xludf.DUMMYFUNCTION("""COMPUTED_VALUE"""),5.0)</f>
        <v>5</v>
      </c>
      <c r="H1026" s="2" t="str">
        <f>IFERROR(__xludf.DUMMYFUNCTION("""COMPUTED_VALUE"""),"Specpr.")</f>
        <v>Specpr.</v>
      </c>
      <c r="I1026" s="2" t="str">
        <f>IFERROR(__xludf.DUMMYFUNCTION("""COMPUTED_VALUE"""),"Brick-Panel")</f>
        <v>Brick-Panel</v>
      </c>
      <c r="J1026" s="2" t="str">
        <f>IFERROR(__xludf.DUMMYFUNCTION("""COMPUTED_VALUE"""),"All amenities")</f>
        <v>All amenities</v>
      </c>
      <c r="K1026" s="2">
        <f>IFERROR(__xludf.DUMMYFUNCTION("""COMPUTED_VALUE"""),820.0)</f>
        <v>820</v>
      </c>
      <c r="L1026" s="2">
        <f>IFERROR(__xludf.DUMMYFUNCTION("""COMPUTED_VALUE"""),56.95518535)</f>
        <v>56.95518535</v>
      </c>
      <c r="M1026" s="2">
        <f>IFERROR(__xludf.DUMMYFUNCTION("""COMPUTED_VALUE"""),24.0724323050318)</f>
        <v>24.07243231</v>
      </c>
    </row>
    <row r="1027">
      <c r="A1027" s="2" t="str">
        <f>IFERROR(__xludf.DUMMYFUNCTION("""COMPUTED_VALUE"""),"For sale")</f>
        <v>For sale</v>
      </c>
      <c r="B1027" s="2" t="str">
        <f>IFERROR(__xludf.DUMMYFUNCTION("""COMPUTED_VALUE"""),"Ziepniekkalns")</f>
        <v>Ziepniekkalns</v>
      </c>
      <c r="C1027" s="2" t="str">
        <f>IFERROR(__xludf.DUMMYFUNCTION("""COMPUTED_VALUE"""),"Bruknas 14")</f>
        <v>Bruknas 14</v>
      </c>
      <c r="D1027" s="2">
        <f>IFERROR(__xludf.DUMMYFUNCTION("""COMPUTED_VALUE"""),3.0)</f>
        <v>3</v>
      </c>
      <c r="E1027" s="2">
        <f>IFERROR(__xludf.DUMMYFUNCTION("""COMPUTED_VALUE"""),77.0)</f>
        <v>77</v>
      </c>
      <c r="F1027" s="2">
        <f>IFERROR(__xludf.DUMMYFUNCTION("""COMPUTED_VALUE"""),1.0)</f>
        <v>1</v>
      </c>
      <c r="G1027" s="2">
        <f>IFERROR(__xludf.DUMMYFUNCTION("""COMPUTED_VALUE"""),10.0)</f>
        <v>10</v>
      </c>
      <c r="H1027" s="2">
        <f>IFERROR(__xludf.DUMMYFUNCTION("""COMPUTED_VALUE"""),119.0)</f>
        <v>119</v>
      </c>
      <c r="I1027" s="2" t="str">
        <f>IFERROR(__xludf.DUMMYFUNCTION("""COMPUTED_VALUE"""),"Panel")</f>
        <v>Panel</v>
      </c>
      <c r="J1027" s="2" t="str">
        <f>IFERROR(__xludf.DUMMYFUNCTION("""COMPUTED_VALUE"""),"All amenities")</f>
        <v>All amenities</v>
      </c>
      <c r="K1027" s="2">
        <f>IFERROR(__xludf.DUMMYFUNCTION("""COMPUTED_VALUE"""),72700.0)</f>
        <v>72700</v>
      </c>
      <c r="L1027" s="2">
        <f>IFERROR(__xludf.DUMMYFUNCTION("""COMPUTED_VALUE"""),56.9019142)</f>
        <v>56.9019142</v>
      </c>
      <c r="M1027" s="2">
        <f>IFERROR(__xludf.DUMMYFUNCTION("""COMPUTED_VALUE"""),24.0888405495968)</f>
        <v>24.08884055</v>
      </c>
    </row>
    <row r="1028">
      <c r="A1028" s="2" t="str">
        <f>IFERROR(__xludf.DUMMYFUNCTION("""COMPUTED_VALUE"""),"For sale")</f>
        <v>For sale</v>
      </c>
      <c r="B1028" s="2" t="str">
        <f>IFERROR(__xludf.DUMMYFUNCTION("""COMPUTED_VALUE"""),"Dzegužkalns")</f>
        <v>Dzegužkalns</v>
      </c>
      <c r="C1028" s="2" t="str">
        <f>IFERROR(__xludf.DUMMYFUNCTION("""COMPUTED_VALUE"""),"Embūtes 22")</f>
        <v>Embūtes 22</v>
      </c>
      <c r="D1028" s="2">
        <f>IFERROR(__xludf.DUMMYFUNCTION("""COMPUTED_VALUE"""),3.0)</f>
        <v>3</v>
      </c>
      <c r="E1028" s="2">
        <f>IFERROR(__xludf.DUMMYFUNCTION("""COMPUTED_VALUE"""),82.0)</f>
        <v>82</v>
      </c>
      <c r="F1028" s="2">
        <f>IFERROR(__xludf.DUMMYFUNCTION("""COMPUTED_VALUE"""),1.0)</f>
        <v>1</v>
      </c>
      <c r="G1028" s="2">
        <f>IFERROR(__xludf.DUMMYFUNCTION("""COMPUTED_VALUE"""),2.0)</f>
        <v>2</v>
      </c>
      <c r="H1028" s="2" t="str">
        <f>IFERROR(__xludf.DUMMYFUNCTION("""COMPUTED_VALUE"""),"Priv. m.")</f>
        <v>Priv. m.</v>
      </c>
      <c r="I1028" s="2" t="str">
        <f>IFERROR(__xludf.DUMMYFUNCTION("""COMPUTED_VALUE"""),"Wood")</f>
        <v>Wood</v>
      </c>
      <c r="J1028" s="2" t="str">
        <f>IFERROR(__xludf.DUMMYFUNCTION("""COMPUTED_VALUE"""),"Partial amenities")</f>
        <v>Partial amenities</v>
      </c>
      <c r="K1028" s="2">
        <f>IFERROR(__xludf.DUMMYFUNCTION("""COMPUTED_VALUE"""),31000.0)</f>
        <v>31000</v>
      </c>
      <c r="L1028" s="2">
        <f>IFERROR(__xludf.DUMMYFUNCTION("""COMPUTED_VALUE"""),56.9641714499999)</f>
        <v>56.96417145</v>
      </c>
      <c r="M1028" s="2">
        <f>IFERROR(__xludf.DUMMYFUNCTION("""COMPUTED_VALUE"""),24.0692936)</f>
        <v>24.0692936</v>
      </c>
    </row>
    <row r="1029">
      <c r="A1029" s="2" t="str">
        <f>IFERROR(__xludf.DUMMYFUNCTION("""COMPUTED_VALUE"""),"For sale")</f>
        <v>For sale</v>
      </c>
      <c r="B1029" s="2" t="str">
        <f>IFERROR(__xludf.DUMMYFUNCTION("""COMPUTED_VALUE"""),"centrs")</f>
        <v>centrs</v>
      </c>
      <c r="C1029" s="2" t="str">
        <f>IFERROR(__xludf.DUMMYFUNCTION("""COMPUTED_VALUE"""),"Cēsu 8")</f>
        <v>Cēsu 8</v>
      </c>
      <c r="D1029" s="2">
        <f>IFERROR(__xludf.DUMMYFUNCTION("""COMPUTED_VALUE"""),3.0)</f>
        <v>3</v>
      </c>
      <c r="E1029" s="2">
        <f>IFERROR(__xludf.DUMMYFUNCTION("""COMPUTED_VALUE"""),87.0)</f>
        <v>87</v>
      </c>
      <c r="F1029" s="2">
        <f>IFERROR(__xludf.DUMMYFUNCTION("""COMPUTED_VALUE"""),4.0)</f>
        <v>4</v>
      </c>
      <c r="G1029" s="2">
        <f>IFERROR(__xludf.DUMMYFUNCTION("""COMPUTED_VALUE"""),6.0)</f>
        <v>6</v>
      </c>
      <c r="H1029" s="2" t="str">
        <f>IFERROR(__xludf.DUMMYFUNCTION("""COMPUTED_VALUE"""),"P. kara")</f>
        <v>P. kara</v>
      </c>
      <c r="I1029" s="2" t="str">
        <f>IFERROR(__xludf.DUMMYFUNCTION("""COMPUTED_VALUE"""),"Masonry")</f>
        <v>Masonry</v>
      </c>
      <c r="J1029" s="2" t="str">
        <f>IFERROR(__xludf.DUMMYFUNCTION("""COMPUTED_VALUE"""),"All amenities")</f>
        <v>All amenities</v>
      </c>
      <c r="K1029" s="2">
        <f>IFERROR(__xludf.DUMMYFUNCTION("""COMPUTED_VALUE"""),135000.0)</f>
        <v>135000</v>
      </c>
      <c r="L1029" s="2">
        <f>IFERROR(__xludf.DUMMYFUNCTION("""COMPUTED_VALUE"""),56.96408475)</f>
        <v>56.96408475</v>
      </c>
      <c r="M1029" s="2">
        <f>IFERROR(__xludf.DUMMYFUNCTION("""COMPUTED_VALUE"""),24.1380633301973)</f>
        <v>24.13806333</v>
      </c>
    </row>
    <row r="1030">
      <c r="A1030" s="2" t="str">
        <f>IFERROR(__xludf.DUMMYFUNCTION("""COMPUTED_VALUE"""),"For sale")</f>
        <v>For sale</v>
      </c>
      <c r="B1030" s="2" t="str">
        <f>IFERROR(__xludf.DUMMYFUNCTION("""COMPUTED_VALUE"""),"Maskavas priekšpilsēta")</f>
        <v>Maskavas priekšpilsēta</v>
      </c>
      <c r="C1030" s="2" t="str">
        <f>IFERROR(__xludf.DUMMYFUNCTION("""COMPUTED_VALUE"""),"Jēkabpils 16")</f>
        <v>Jēkabpils 16</v>
      </c>
      <c r="D1030" s="2">
        <f>IFERROR(__xludf.DUMMYFUNCTION("""COMPUTED_VALUE"""),1.0)</f>
        <v>1</v>
      </c>
      <c r="E1030" s="2">
        <f>IFERROR(__xludf.DUMMYFUNCTION("""COMPUTED_VALUE"""),31.0)</f>
        <v>31</v>
      </c>
      <c r="F1030" s="2">
        <f>IFERROR(__xludf.DUMMYFUNCTION("""COMPUTED_VALUE"""),2.0)</f>
        <v>2</v>
      </c>
      <c r="G1030" s="2">
        <f>IFERROR(__xludf.DUMMYFUNCTION("""COMPUTED_VALUE"""),3.0)</f>
        <v>3</v>
      </c>
      <c r="H1030" s="2" t="str">
        <f>IFERROR(__xludf.DUMMYFUNCTION("""COMPUTED_VALUE"""),"P. kara")</f>
        <v>P. kara</v>
      </c>
      <c r="I1030" s="2" t="str">
        <f>IFERROR(__xludf.DUMMYFUNCTION("""COMPUTED_VALUE"""),"Brick")</f>
        <v>Brick</v>
      </c>
      <c r="J1030" s="2" t="str">
        <f>IFERROR(__xludf.DUMMYFUNCTION("""COMPUTED_VALUE"""),"All amenities")</f>
        <v>All amenities</v>
      </c>
      <c r="K1030" s="2">
        <f>IFERROR(__xludf.DUMMYFUNCTION("""COMPUTED_VALUE"""),24750.0)</f>
        <v>24750</v>
      </c>
      <c r="L1030" s="2">
        <f>IFERROR(__xludf.DUMMYFUNCTION("""COMPUTED_VALUE"""),56.9444497)</f>
        <v>56.9444497</v>
      </c>
      <c r="M1030" s="2">
        <f>IFERROR(__xludf.DUMMYFUNCTION("""COMPUTED_VALUE"""),24.141638)</f>
        <v>24.141638</v>
      </c>
    </row>
    <row r="1031">
      <c r="A1031" s="2" t="str">
        <f>IFERROR(__xludf.DUMMYFUNCTION("""COMPUTED_VALUE"""),"For sale")</f>
        <v>For sale</v>
      </c>
      <c r="B1031" s="2" t="str">
        <f>IFERROR(__xludf.DUMMYFUNCTION("""COMPUTED_VALUE"""),"Purvciems")</f>
        <v>Purvciems</v>
      </c>
      <c r="C1031" s="2" t="str">
        <f>IFERROR(__xludf.DUMMYFUNCTION("""COMPUTED_VALUE"""),"Stirnu 22")</f>
        <v>Stirnu 22</v>
      </c>
      <c r="D1031" s="2">
        <f>IFERROR(__xludf.DUMMYFUNCTION("""COMPUTED_VALUE"""),2.0)</f>
        <v>2</v>
      </c>
      <c r="E1031" s="2">
        <f>IFERROR(__xludf.DUMMYFUNCTION("""COMPUTED_VALUE"""),38.0)</f>
        <v>38</v>
      </c>
      <c r="F1031" s="2">
        <f>IFERROR(__xludf.DUMMYFUNCTION("""COMPUTED_VALUE"""),2.0)</f>
        <v>2</v>
      </c>
      <c r="G1031" s="2">
        <f>IFERROR(__xludf.DUMMYFUNCTION("""COMPUTED_VALUE"""),5.0)</f>
        <v>5</v>
      </c>
      <c r="H1031" s="2" t="str">
        <f>IFERROR(__xludf.DUMMYFUNCTION("""COMPUTED_VALUE"""),"Specpr.")</f>
        <v>Specpr.</v>
      </c>
      <c r="I1031" s="2" t="str">
        <f>IFERROR(__xludf.DUMMYFUNCTION("""COMPUTED_VALUE"""),"Brick-Panel")</f>
        <v>Brick-Panel</v>
      </c>
      <c r="J1031" s="2" t="str">
        <f>IFERROR(__xludf.DUMMYFUNCTION("""COMPUTED_VALUE"""),"All amenities")</f>
        <v>All amenities</v>
      </c>
      <c r="K1031" s="2">
        <f>IFERROR(__xludf.DUMMYFUNCTION("""COMPUTED_VALUE"""),27300.0)</f>
        <v>27300</v>
      </c>
      <c r="L1031" s="2">
        <f>IFERROR(__xludf.DUMMYFUNCTION("""COMPUTED_VALUE"""),56.9561795)</f>
        <v>56.9561795</v>
      </c>
      <c r="M1031" s="2">
        <f>IFERROR(__xludf.DUMMYFUNCTION("""COMPUTED_VALUE"""),24.1835724)</f>
        <v>24.1835724</v>
      </c>
    </row>
    <row r="1032">
      <c r="A1032" s="2" t="str">
        <f>IFERROR(__xludf.DUMMYFUNCTION("""COMPUTED_VALUE"""),"For sale")</f>
        <v>For sale</v>
      </c>
      <c r="B1032" s="2" t="str">
        <f>IFERROR(__xludf.DUMMYFUNCTION("""COMPUTED_VALUE"""),"centrs")</f>
        <v>centrs</v>
      </c>
      <c r="C1032" s="2" t="str">
        <f>IFERROR(__xludf.DUMMYFUNCTION("""COMPUTED_VALUE"""),"Blaumaņa 12")</f>
        <v>Blaumaņa 12</v>
      </c>
      <c r="D1032" s="2">
        <f>IFERROR(__xludf.DUMMYFUNCTION("""COMPUTED_VALUE"""),1.0)</f>
        <v>1</v>
      </c>
      <c r="E1032" s="2">
        <f>IFERROR(__xludf.DUMMYFUNCTION("""COMPUTED_VALUE"""),35.0)</f>
        <v>35</v>
      </c>
      <c r="F1032" s="2">
        <f>IFERROR(__xludf.DUMMYFUNCTION("""COMPUTED_VALUE"""),2.0)</f>
        <v>2</v>
      </c>
      <c r="G1032" s="2">
        <f>IFERROR(__xludf.DUMMYFUNCTION("""COMPUTED_VALUE"""),7.0)</f>
        <v>7</v>
      </c>
      <c r="H1032" s="2" t="str">
        <f>IFERROR(__xludf.DUMMYFUNCTION("""COMPUTED_VALUE"""),"Renov.")</f>
        <v>Renov.</v>
      </c>
      <c r="I1032" s="2" t="str">
        <f>IFERROR(__xludf.DUMMYFUNCTION("""COMPUTED_VALUE"""),"Masonry")</f>
        <v>Masonry</v>
      </c>
      <c r="J1032" s="2" t="str">
        <f>IFERROR(__xludf.DUMMYFUNCTION("""COMPUTED_VALUE"""),"All amenities")</f>
        <v>All amenities</v>
      </c>
      <c r="K1032" s="2">
        <f>IFERROR(__xludf.DUMMYFUNCTION("""COMPUTED_VALUE"""),79580.0)</f>
        <v>79580</v>
      </c>
      <c r="L1032" s="2">
        <f>IFERROR(__xludf.DUMMYFUNCTION("""COMPUTED_VALUE"""),56.9548306)</f>
        <v>56.9548306</v>
      </c>
      <c r="M1032" s="2">
        <f>IFERROR(__xludf.DUMMYFUNCTION("""COMPUTED_VALUE"""),24.1221141)</f>
        <v>24.1221141</v>
      </c>
    </row>
    <row r="1033">
      <c r="A1033" s="2" t="str">
        <f>IFERROR(__xludf.DUMMYFUNCTION("""COMPUTED_VALUE"""),"For sale")</f>
        <v>For sale</v>
      </c>
      <c r="B1033" s="2" t="str">
        <f>IFERROR(__xludf.DUMMYFUNCTION("""COMPUTED_VALUE"""),"Āgenskalns")</f>
        <v>Āgenskalns</v>
      </c>
      <c r="C1033" s="2" t="str">
        <f>IFERROR(__xludf.DUMMYFUNCTION("""COMPUTED_VALUE"""),"Kalnciema 106")</f>
        <v>Kalnciema 106</v>
      </c>
      <c r="D1033" s="2">
        <f>IFERROR(__xludf.DUMMYFUNCTION("""COMPUTED_VALUE"""),1.0)</f>
        <v>1</v>
      </c>
      <c r="E1033" s="2">
        <f>IFERROR(__xludf.DUMMYFUNCTION("""COMPUTED_VALUE"""),36.0)</f>
        <v>36</v>
      </c>
      <c r="F1033" s="2">
        <f>IFERROR(__xludf.DUMMYFUNCTION("""COMPUTED_VALUE"""),5.0)</f>
        <v>5</v>
      </c>
      <c r="G1033" s="2">
        <f>IFERROR(__xludf.DUMMYFUNCTION("""COMPUTED_VALUE"""),5.0)</f>
        <v>5</v>
      </c>
      <c r="H1033" s="2">
        <f>IFERROR(__xludf.DUMMYFUNCTION("""COMPUTED_VALUE"""),103.0)</f>
        <v>103</v>
      </c>
      <c r="I1033" s="2" t="str">
        <f>IFERROR(__xludf.DUMMYFUNCTION("""COMPUTED_VALUE"""),"Brick-Panel")</f>
        <v>Brick-Panel</v>
      </c>
      <c r="J1033" s="2" t="str">
        <f>IFERROR(__xludf.DUMMYFUNCTION("""COMPUTED_VALUE"""),"All amenities")</f>
        <v>All amenities</v>
      </c>
      <c r="K1033" s="2">
        <f>IFERROR(__xludf.DUMMYFUNCTION("""COMPUTED_VALUE"""),32000.0)</f>
        <v>32000</v>
      </c>
      <c r="L1033" s="2">
        <f>IFERROR(__xludf.DUMMYFUNCTION("""COMPUTED_VALUE"""),56.9361374)</f>
        <v>56.9361374</v>
      </c>
      <c r="M1033" s="2">
        <f>IFERROR(__xludf.DUMMYFUNCTION("""COMPUTED_VALUE"""),24.0430556735773)</f>
        <v>24.04305567</v>
      </c>
    </row>
    <row r="1034">
      <c r="A1034" s="2" t="str">
        <f>IFERROR(__xludf.DUMMYFUNCTION("""COMPUTED_VALUE"""),"For rent")</f>
        <v>For rent</v>
      </c>
      <c r="B1034" s="2" t="str">
        <f>IFERROR(__xludf.DUMMYFUNCTION("""COMPUTED_VALUE"""),"centrs")</f>
        <v>centrs</v>
      </c>
      <c r="C1034" s="2" t="str">
        <f>IFERROR(__xludf.DUMMYFUNCTION("""COMPUTED_VALUE"""),"Tallinas 54")</f>
        <v>Tallinas 54</v>
      </c>
      <c r="D1034" s="2">
        <f>IFERROR(__xludf.DUMMYFUNCTION("""COMPUTED_VALUE"""),2.0)</f>
        <v>2</v>
      </c>
      <c r="E1034" s="2">
        <f>IFERROR(__xludf.DUMMYFUNCTION("""COMPUTED_VALUE"""),40.0)</f>
        <v>40</v>
      </c>
      <c r="F1034" s="2">
        <f>IFERROR(__xludf.DUMMYFUNCTION("""COMPUTED_VALUE"""),5.0)</f>
        <v>5</v>
      </c>
      <c r="G1034" s="2">
        <f>IFERROR(__xludf.DUMMYFUNCTION("""COMPUTED_VALUE"""),6.0)</f>
        <v>6</v>
      </c>
      <c r="H1034" s="2" t="str">
        <f>IFERROR(__xludf.DUMMYFUNCTION("""COMPUTED_VALUE"""),"P. kara")</f>
        <v>P. kara</v>
      </c>
      <c r="I1034" s="2" t="str">
        <f>IFERROR(__xludf.DUMMYFUNCTION("""COMPUTED_VALUE"""),"Brick")</f>
        <v>Brick</v>
      </c>
      <c r="J1034" s="2" t="str">
        <f>IFERROR(__xludf.DUMMYFUNCTION("""COMPUTED_VALUE"""),"All amenities")</f>
        <v>All amenities</v>
      </c>
      <c r="K1034" s="2">
        <f>IFERROR(__xludf.DUMMYFUNCTION("""COMPUTED_VALUE"""),170.0)</f>
        <v>170</v>
      </c>
      <c r="L1034" s="2">
        <f>IFERROR(__xludf.DUMMYFUNCTION("""COMPUTED_VALUE"""),56.9590412)</f>
        <v>56.9590412</v>
      </c>
      <c r="M1034" s="2">
        <f>IFERROR(__xludf.DUMMYFUNCTION("""COMPUTED_VALUE"""),24.1434632)</f>
        <v>24.1434632</v>
      </c>
    </row>
    <row r="1035">
      <c r="A1035" s="2" t="str">
        <f>IFERROR(__xludf.DUMMYFUNCTION("""COMPUTED_VALUE"""),"For sale")</f>
        <v>For sale</v>
      </c>
      <c r="B1035" s="2" t="str">
        <f>IFERROR(__xludf.DUMMYFUNCTION("""COMPUTED_VALUE"""),"Pļavnieki")</f>
        <v>Pļavnieki</v>
      </c>
      <c r="C1035" s="2" t="str">
        <f>IFERROR(__xludf.DUMMYFUNCTION("""COMPUTED_VALUE"""),"Zemes 13")</f>
        <v>Zemes 13</v>
      </c>
      <c r="D1035" s="2">
        <f>IFERROR(__xludf.DUMMYFUNCTION("""COMPUTED_VALUE"""),1.0)</f>
        <v>1</v>
      </c>
      <c r="E1035" s="2">
        <f>IFERROR(__xludf.DUMMYFUNCTION("""COMPUTED_VALUE"""),44.0)</f>
        <v>44</v>
      </c>
      <c r="F1035" s="2">
        <f>IFERROR(__xludf.DUMMYFUNCTION("""COMPUTED_VALUE"""),9.0)</f>
        <v>9</v>
      </c>
      <c r="G1035" s="2">
        <f>IFERROR(__xludf.DUMMYFUNCTION("""COMPUTED_VALUE"""),9.0)</f>
        <v>9</v>
      </c>
      <c r="H1035" s="2" t="str">
        <f>IFERROR(__xludf.DUMMYFUNCTION("""COMPUTED_VALUE"""),"M. ģim.")</f>
        <v>M. ģim.</v>
      </c>
      <c r="I1035" s="2" t="str">
        <f>IFERROR(__xludf.DUMMYFUNCTION("""COMPUTED_VALUE"""),"Panel")</f>
        <v>Panel</v>
      </c>
      <c r="J1035" s="2" t="str">
        <f>IFERROR(__xludf.DUMMYFUNCTION("""COMPUTED_VALUE"""),"All amenities")</f>
        <v>All amenities</v>
      </c>
      <c r="K1035" s="2">
        <f>IFERROR(__xludf.DUMMYFUNCTION("""COMPUTED_VALUE"""),31000.0)</f>
        <v>31000</v>
      </c>
      <c r="L1035" s="2">
        <f>IFERROR(__xludf.DUMMYFUNCTION("""COMPUTED_VALUE"""),56.9421256)</f>
        <v>56.9421256</v>
      </c>
      <c r="M1035" s="2">
        <f>IFERROR(__xludf.DUMMYFUNCTION("""COMPUTED_VALUE"""),24.201118155484)</f>
        <v>24.20111816</v>
      </c>
    </row>
    <row r="1036">
      <c r="A1036" s="2" t="str">
        <f>IFERROR(__xludf.DUMMYFUNCTION("""COMPUTED_VALUE"""),"For sale")</f>
        <v>For sale</v>
      </c>
      <c r="B1036" s="2" t="str">
        <f>IFERROR(__xludf.DUMMYFUNCTION("""COMPUTED_VALUE"""),"centrs")</f>
        <v>centrs</v>
      </c>
      <c r="C1036" s="2" t="str">
        <f>IFERROR(__xludf.DUMMYFUNCTION("""COMPUTED_VALUE"""),"Tomsona 2")</f>
        <v>Tomsona 2</v>
      </c>
      <c r="D1036" s="2">
        <f>IFERROR(__xludf.DUMMYFUNCTION("""COMPUTED_VALUE"""),3.0)</f>
        <v>3</v>
      </c>
      <c r="E1036" s="2">
        <f>IFERROR(__xludf.DUMMYFUNCTION("""COMPUTED_VALUE"""),94.0)</f>
        <v>94</v>
      </c>
      <c r="F1036" s="2">
        <f>IFERROR(__xludf.DUMMYFUNCTION("""COMPUTED_VALUE"""),4.0)</f>
        <v>4</v>
      </c>
      <c r="G1036" s="2">
        <f>IFERROR(__xludf.DUMMYFUNCTION("""COMPUTED_VALUE"""),5.0)</f>
        <v>5</v>
      </c>
      <c r="H1036" s="2" t="str">
        <f>IFERROR(__xludf.DUMMYFUNCTION("""COMPUTED_VALUE"""),"P. kara")</f>
        <v>P. kara</v>
      </c>
      <c r="I1036" s="2" t="str">
        <f>IFERROR(__xludf.DUMMYFUNCTION("""COMPUTED_VALUE"""),"Masonry")</f>
        <v>Masonry</v>
      </c>
      <c r="J1036" s="2" t="str">
        <f>IFERROR(__xludf.DUMMYFUNCTION("""COMPUTED_VALUE"""),"All amenities")</f>
        <v>All amenities</v>
      </c>
      <c r="K1036" s="2">
        <f>IFERROR(__xludf.DUMMYFUNCTION("""COMPUTED_VALUE"""),210000.0)</f>
        <v>210000</v>
      </c>
      <c r="L1036" s="2">
        <f>IFERROR(__xludf.DUMMYFUNCTION("""COMPUTED_VALUE"""),56.96346405)</f>
        <v>56.96346405</v>
      </c>
      <c r="M1036" s="2">
        <f>IFERROR(__xludf.DUMMYFUNCTION("""COMPUTED_VALUE"""),24.1240559778693)</f>
        <v>24.12405598</v>
      </c>
    </row>
    <row r="1037">
      <c r="A1037" s="2" t="str">
        <f>IFERROR(__xludf.DUMMYFUNCTION("""COMPUTED_VALUE"""),"For rent")</f>
        <v>For rent</v>
      </c>
      <c r="B1037" s="2" t="str">
        <f>IFERROR(__xludf.DUMMYFUNCTION("""COMPUTED_VALUE"""),"centrs")</f>
        <v>centrs</v>
      </c>
      <c r="C1037" s="2" t="str">
        <f>IFERROR(__xludf.DUMMYFUNCTION("""COMPUTED_VALUE"""),"Dzirnavu 132")</f>
        <v>Dzirnavu 132</v>
      </c>
      <c r="D1037" s="2">
        <f>IFERROR(__xludf.DUMMYFUNCTION("""COMPUTED_VALUE"""),2.0)</f>
        <v>2</v>
      </c>
      <c r="E1037" s="2">
        <f>IFERROR(__xludf.DUMMYFUNCTION("""COMPUTED_VALUE"""),52.0)</f>
        <v>52</v>
      </c>
      <c r="F1037" s="2">
        <f>IFERROR(__xludf.DUMMYFUNCTION("""COMPUTED_VALUE"""),2.0)</f>
        <v>2</v>
      </c>
      <c r="G1037" s="2">
        <f>IFERROR(__xludf.DUMMYFUNCTION("""COMPUTED_VALUE"""),5.0)</f>
        <v>5</v>
      </c>
      <c r="H1037" s="2" t="str">
        <f>IFERROR(__xludf.DUMMYFUNCTION("""COMPUTED_VALUE"""),"P. kara")</f>
        <v>P. kara</v>
      </c>
      <c r="I1037" s="2" t="str">
        <f>IFERROR(__xludf.DUMMYFUNCTION("""COMPUTED_VALUE"""),"Masonry")</f>
        <v>Masonry</v>
      </c>
      <c r="J1037" s="2" t="str">
        <f>IFERROR(__xludf.DUMMYFUNCTION("""COMPUTED_VALUE"""),"All amenities")</f>
        <v>All amenities</v>
      </c>
      <c r="K1037" s="2">
        <f>IFERROR(__xludf.DUMMYFUNCTION("""COMPUTED_VALUE"""),380.0)</f>
        <v>380</v>
      </c>
      <c r="L1037" s="2">
        <f>IFERROR(__xludf.DUMMYFUNCTION("""COMPUTED_VALUE"""),56.9406658)</f>
        <v>56.9406658</v>
      </c>
      <c r="M1037" s="2">
        <f>IFERROR(__xludf.DUMMYFUNCTION("""COMPUTED_VALUE"""),24.1245029)</f>
        <v>24.1245029</v>
      </c>
    </row>
    <row r="1038">
      <c r="A1038" s="2" t="str">
        <f>IFERROR(__xludf.DUMMYFUNCTION("""COMPUTED_VALUE"""),"For sale")</f>
        <v>For sale</v>
      </c>
      <c r="B1038" s="2" t="str">
        <f>IFERROR(__xludf.DUMMYFUNCTION("""COMPUTED_VALUE"""),"Zolitūde")</f>
        <v>Zolitūde</v>
      </c>
      <c r="C1038" s="2" t="str">
        <f>IFERROR(__xludf.DUMMYFUNCTION("""COMPUTED_VALUE"""),"Anniņmuižas 13")</f>
        <v>Anniņmuižas 13</v>
      </c>
      <c r="D1038" s="2">
        <f>IFERROR(__xludf.DUMMYFUNCTION("""COMPUTED_VALUE"""),4.0)</f>
        <v>4</v>
      </c>
      <c r="E1038" s="2">
        <f>IFERROR(__xludf.DUMMYFUNCTION("""COMPUTED_VALUE"""),149.0)</f>
        <v>149</v>
      </c>
      <c r="F1038" s="2">
        <f>IFERROR(__xludf.DUMMYFUNCTION("""COMPUTED_VALUE"""),12.0)</f>
        <v>12</v>
      </c>
      <c r="G1038" s="2">
        <f>IFERROR(__xludf.DUMMYFUNCTION("""COMPUTED_VALUE"""),12.0)</f>
        <v>12</v>
      </c>
      <c r="H1038" s="2" t="str">
        <f>IFERROR(__xludf.DUMMYFUNCTION("""COMPUTED_VALUE"""),"Specpr.")</f>
        <v>Specpr.</v>
      </c>
      <c r="I1038" s="2" t="str">
        <f>IFERROR(__xludf.DUMMYFUNCTION("""COMPUTED_VALUE"""),"Brick-Panel")</f>
        <v>Brick-Panel</v>
      </c>
      <c r="J1038" s="2" t="str">
        <f>IFERROR(__xludf.DUMMYFUNCTION("""COMPUTED_VALUE"""),"All amenities")</f>
        <v>All amenities</v>
      </c>
      <c r="K1038" s="2">
        <f>IFERROR(__xludf.DUMMYFUNCTION("""COMPUTED_VALUE"""),260000.0)</f>
        <v>260000</v>
      </c>
      <c r="L1038" s="2">
        <f>IFERROR(__xludf.DUMMYFUNCTION("""COMPUTED_VALUE"""),56.94568225)</f>
        <v>56.94568225</v>
      </c>
      <c r="M1038" s="2">
        <f>IFERROR(__xludf.DUMMYFUNCTION("""COMPUTED_VALUE"""),24.0146821801241)</f>
        <v>24.01468218</v>
      </c>
    </row>
    <row r="1039">
      <c r="A1039" s="2" t="str">
        <f>IFERROR(__xludf.DUMMYFUNCTION("""COMPUTED_VALUE"""),"For sale")</f>
        <v>For sale</v>
      </c>
      <c r="B1039" s="2" t="str">
        <f>IFERROR(__xludf.DUMMYFUNCTION("""COMPUTED_VALUE"""),"Maskavas priekšpilsēta")</f>
        <v>Maskavas priekšpilsēta</v>
      </c>
      <c r="C1039" s="2" t="str">
        <f>IFERROR(__xludf.DUMMYFUNCTION("""COMPUTED_VALUE"""),"Rēznas 10b")</f>
        <v>Rēznas 10b</v>
      </c>
      <c r="D1039" s="2">
        <f>IFERROR(__xludf.DUMMYFUNCTION("""COMPUTED_VALUE"""),2.0)</f>
        <v>2</v>
      </c>
      <c r="E1039" s="2">
        <f>IFERROR(__xludf.DUMMYFUNCTION("""COMPUTED_VALUE"""),37.0)</f>
        <v>37</v>
      </c>
      <c r="F1039" s="2">
        <f>IFERROR(__xludf.DUMMYFUNCTION("""COMPUTED_VALUE"""),5.0)</f>
        <v>5</v>
      </c>
      <c r="G1039" s="2">
        <f>IFERROR(__xludf.DUMMYFUNCTION("""COMPUTED_VALUE"""),5.0)</f>
        <v>5</v>
      </c>
      <c r="H1039" s="2" t="str">
        <f>IFERROR(__xludf.DUMMYFUNCTION("""COMPUTED_VALUE"""),"Hrušč.")</f>
        <v>Hrušč.</v>
      </c>
      <c r="I1039" s="2" t="str">
        <f>IFERROR(__xludf.DUMMYFUNCTION("""COMPUTED_VALUE"""),"Brick")</f>
        <v>Brick</v>
      </c>
      <c r="J1039" s="2" t="str">
        <f>IFERROR(__xludf.DUMMYFUNCTION("""COMPUTED_VALUE"""),"All amenities")</f>
        <v>All amenities</v>
      </c>
      <c r="K1039" s="2">
        <f>IFERROR(__xludf.DUMMYFUNCTION("""COMPUTED_VALUE"""),41000.0)</f>
        <v>41000</v>
      </c>
      <c r="L1039" s="2">
        <f>IFERROR(__xludf.DUMMYFUNCTION("""COMPUTED_VALUE"""),56.93595085)</f>
        <v>56.93595085</v>
      </c>
      <c r="M1039" s="2">
        <f>IFERROR(__xludf.DUMMYFUNCTION("""COMPUTED_VALUE"""),24.1632293376647)</f>
        <v>24.16322934</v>
      </c>
    </row>
    <row r="1040">
      <c r="A1040" s="2" t="str">
        <f>IFERROR(__xludf.DUMMYFUNCTION("""COMPUTED_VALUE"""),"For sale")</f>
        <v>For sale</v>
      </c>
      <c r="B1040" s="2" t="str">
        <f>IFERROR(__xludf.DUMMYFUNCTION("""COMPUTED_VALUE"""),"Imanta")</f>
        <v>Imanta</v>
      </c>
      <c r="C1040" s="2" t="str">
        <f>IFERROR(__xludf.DUMMYFUNCTION("""COMPUTED_VALUE"""),"Anniņmuižas bulvāris 38")</f>
        <v>Anniņmuižas bulvāris 38</v>
      </c>
      <c r="D1040" s="2">
        <f>IFERROR(__xludf.DUMMYFUNCTION("""COMPUTED_VALUE"""),3.0)</f>
        <v>3</v>
      </c>
      <c r="E1040" s="2">
        <f>IFERROR(__xludf.DUMMYFUNCTION("""COMPUTED_VALUE"""),81.8)</f>
        <v>81.8</v>
      </c>
      <c r="F1040" s="2">
        <f>IFERROR(__xludf.DUMMYFUNCTION("""COMPUTED_VALUE"""),5.0)</f>
        <v>5</v>
      </c>
      <c r="G1040" s="2">
        <f>IFERROR(__xludf.DUMMYFUNCTION("""COMPUTED_VALUE"""),18.0)</f>
        <v>18</v>
      </c>
      <c r="H1040" s="2" t="str">
        <f>IFERROR(__xludf.DUMMYFUNCTION("""COMPUTED_VALUE"""),"Jaun.")</f>
        <v>Jaun.</v>
      </c>
      <c r="I1040" s="2" t="str">
        <f>IFERROR(__xludf.DUMMYFUNCTION("""COMPUTED_VALUE"""),"Brick-Panel")</f>
        <v>Brick-Panel</v>
      </c>
      <c r="J1040" s="2" t="str">
        <f>IFERROR(__xludf.DUMMYFUNCTION("""COMPUTED_VALUE"""),"All amenities")</f>
        <v>All amenities</v>
      </c>
      <c r="K1040" s="2">
        <f>IFERROR(__xludf.DUMMYFUNCTION("""COMPUTED_VALUE"""),117000.0)</f>
        <v>117000</v>
      </c>
      <c r="L1040" s="2">
        <f>IFERROR(__xludf.DUMMYFUNCTION("""COMPUTED_VALUE"""),56.96112105)</f>
        <v>56.96112105</v>
      </c>
      <c r="M1040" s="2">
        <f>IFERROR(__xludf.DUMMYFUNCTION("""COMPUTED_VALUE"""),24.01821679525)</f>
        <v>24.0182168</v>
      </c>
    </row>
    <row r="1041">
      <c r="A1041" s="2" t="str">
        <f>IFERROR(__xludf.DUMMYFUNCTION("""COMPUTED_VALUE"""),"For sale")</f>
        <v>For sale</v>
      </c>
      <c r="B1041" s="2" t="str">
        <f>IFERROR(__xludf.DUMMYFUNCTION("""COMPUTED_VALUE"""),"Ķengarags")</f>
        <v>Ķengarags</v>
      </c>
      <c r="C1041" s="2" t="str">
        <f>IFERROR(__xludf.DUMMYFUNCTION("""COMPUTED_VALUE"""),"Prūšu 21/2")</f>
        <v>Prūšu 21/2</v>
      </c>
      <c r="D1041" s="2">
        <f>IFERROR(__xludf.DUMMYFUNCTION("""COMPUTED_VALUE"""),1.0)</f>
        <v>1</v>
      </c>
      <c r="E1041" s="2">
        <f>IFERROR(__xludf.DUMMYFUNCTION("""COMPUTED_VALUE"""),13.0)</f>
        <v>13</v>
      </c>
      <c r="F1041" s="2">
        <f>IFERROR(__xludf.DUMMYFUNCTION("""COMPUTED_VALUE"""),3.0)</f>
        <v>3</v>
      </c>
      <c r="G1041" s="2">
        <f>IFERROR(__xludf.DUMMYFUNCTION("""COMPUTED_VALUE"""),4.0)</f>
        <v>4</v>
      </c>
      <c r="H1041" s="2" t="str">
        <f>IFERROR(__xludf.DUMMYFUNCTION("""COMPUTED_VALUE"""),"Specpr.")</f>
        <v>Specpr.</v>
      </c>
      <c r="I1041" s="2" t="str">
        <f>IFERROR(__xludf.DUMMYFUNCTION("""COMPUTED_VALUE"""),"Brick")</f>
        <v>Brick</v>
      </c>
      <c r="J1041" s="2" t="str">
        <f>IFERROR(__xludf.DUMMYFUNCTION("""COMPUTED_VALUE"""),"All amenities")</f>
        <v>All amenities</v>
      </c>
      <c r="K1041" s="2">
        <f>IFERROR(__xludf.DUMMYFUNCTION("""COMPUTED_VALUE"""),19500.0)</f>
        <v>19500</v>
      </c>
      <c r="L1041" s="2">
        <f>IFERROR(__xludf.DUMMYFUNCTION("""COMPUTED_VALUE"""),56.9150027)</f>
        <v>56.9150027</v>
      </c>
      <c r="M1041" s="2">
        <f>IFERROR(__xludf.DUMMYFUNCTION("""COMPUTED_VALUE"""),24.1755593)</f>
        <v>24.1755593</v>
      </c>
    </row>
    <row r="1042">
      <c r="A1042" s="2" t="str">
        <f>IFERROR(__xludf.DUMMYFUNCTION("""COMPUTED_VALUE"""),"For rent")</f>
        <v>For rent</v>
      </c>
      <c r="B1042" s="2" t="str">
        <f>IFERROR(__xludf.DUMMYFUNCTION("""COMPUTED_VALUE"""),"Teika")</f>
        <v>Teika</v>
      </c>
      <c r="C1042" s="2" t="str">
        <f>IFERROR(__xludf.DUMMYFUNCTION("""COMPUTED_VALUE"""),"Zemgaļu 99")</f>
        <v>Zemgaļu 99</v>
      </c>
      <c r="D1042" s="2">
        <f>IFERROR(__xludf.DUMMYFUNCTION("""COMPUTED_VALUE"""),1.0)</f>
        <v>1</v>
      </c>
      <c r="E1042" s="2">
        <f>IFERROR(__xludf.DUMMYFUNCTION("""COMPUTED_VALUE"""),40.0)</f>
        <v>40</v>
      </c>
      <c r="F1042" s="2">
        <f>IFERROR(__xludf.DUMMYFUNCTION("""COMPUTED_VALUE"""),1.0)</f>
        <v>1</v>
      </c>
      <c r="G1042" s="2">
        <f>IFERROR(__xludf.DUMMYFUNCTION("""COMPUTED_VALUE"""),1.0)</f>
        <v>1</v>
      </c>
      <c r="H1042" s="2" t="str">
        <f>IFERROR(__xludf.DUMMYFUNCTION("""COMPUTED_VALUE"""),"Specpr.")</f>
        <v>Specpr.</v>
      </c>
      <c r="I1042" s="2" t="str">
        <f>IFERROR(__xludf.DUMMYFUNCTION("""COMPUTED_VALUE"""),"Brick")</f>
        <v>Brick</v>
      </c>
      <c r="J1042" s="2" t="str">
        <f>IFERROR(__xludf.DUMMYFUNCTION("""COMPUTED_VALUE"""),"All amenities")</f>
        <v>All amenities</v>
      </c>
      <c r="K1042" s="2">
        <f>IFERROR(__xludf.DUMMYFUNCTION("""COMPUTED_VALUE"""),285.0)</f>
        <v>285</v>
      </c>
      <c r="L1042" s="2">
        <f>IFERROR(__xludf.DUMMYFUNCTION("""COMPUTED_VALUE"""),56.9779257)</f>
        <v>56.9779257</v>
      </c>
      <c r="M1042" s="2">
        <f>IFERROR(__xludf.DUMMYFUNCTION("""COMPUTED_VALUE"""),24.1866059)</f>
        <v>24.1866059</v>
      </c>
    </row>
    <row r="1043">
      <c r="A1043" s="2" t="str">
        <f>IFERROR(__xludf.DUMMYFUNCTION("""COMPUTED_VALUE"""),"For sale")</f>
        <v>For sale</v>
      </c>
      <c r="B1043" s="2" t="str">
        <f>IFERROR(__xludf.DUMMYFUNCTION("""COMPUTED_VALUE"""),"centrs")</f>
        <v>centrs</v>
      </c>
      <c r="C1043" s="2" t="str">
        <f>IFERROR(__xludf.DUMMYFUNCTION("""COMPUTED_VALUE"""),"Hospitāļu 23")</f>
        <v>Hospitāļu 23</v>
      </c>
      <c r="D1043" s="2">
        <f>IFERROR(__xludf.DUMMYFUNCTION("""COMPUTED_VALUE"""),5.0)</f>
        <v>5</v>
      </c>
      <c r="E1043" s="2">
        <f>IFERROR(__xludf.DUMMYFUNCTION("""COMPUTED_VALUE"""),214.0)</f>
        <v>214</v>
      </c>
      <c r="F1043" s="2">
        <f>IFERROR(__xludf.DUMMYFUNCTION("""COMPUTED_VALUE"""),5.0)</f>
        <v>5</v>
      </c>
      <c r="G1043" s="2">
        <f>IFERROR(__xludf.DUMMYFUNCTION("""COMPUTED_VALUE"""),8.0)</f>
        <v>8</v>
      </c>
      <c r="H1043" s="2" t="str">
        <f>IFERROR(__xludf.DUMMYFUNCTION("""COMPUTED_VALUE"""),"Jaun.")</f>
        <v>Jaun.</v>
      </c>
      <c r="I1043" s="2" t="str">
        <f>IFERROR(__xludf.DUMMYFUNCTION("""COMPUTED_VALUE"""),"Masonry")</f>
        <v>Masonry</v>
      </c>
      <c r="J1043" s="2" t="str">
        <f>IFERROR(__xludf.DUMMYFUNCTION("""COMPUTED_VALUE"""),"All amenities")</f>
        <v>All amenities</v>
      </c>
      <c r="K1043" s="2">
        <f>IFERROR(__xludf.DUMMYFUNCTION("""COMPUTED_VALUE"""),439000.0)</f>
        <v>439000</v>
      </c>
      <c r="L1043" s="2">
        <f>IFERROR(__xludf.DUMMYFUNCTION("""COMPUTED_VALUE"""),56.97150655)</f>
        <v>56.97150655</v>
      </c>
      <c r="M1043" s="2">
        <f>IFERROR(__xludf.DUMMYFUNCTION("""COMPUTED_VALUE"""),24.136440612366)</f>
        <v>24.13644061</v>
      </c>
    </row>
    <row r="1044">
      <c r="A1044" s="2" t="str">
        <f>IFERROR(__xludf.DUMMYFUNCTION("""COMPUTED_VALUE"""),"For rent")</f>
        <v>For rent</v>
      </c>
      <c r="B1044" s="2" t="str">
        <f>IFERROR(__xludf.DUMMYFUNCTION("""COMPUTED_VALUE"""),"centrs")</f>
        <v>centrs</v>
      </c>
      <c r="C1044" s="2" t="str">
        <f>IFERROR(__xludf.DUMMYFUNCTION("""COMPUTED_VALUE"""),"Lāčplēša 62")</f>
        <v>Lāčplēša 62</v>
      </c>
      <c r="D1044" s="2">
        <f>IFERROR(__xludf.DUMMYFUNCTION("""COMPUTED_VALUE"""),2.0)</f>
        <v>2</v>
      </c>
      <c r="E1044" s="2">
        <f>IFERROR(__xludf.DUMMYFUNCTION("""COMPUTED_VALUE"""),56.0)</f>
        <v>56</v>
      </c>
      <c r="F1044" s="2">
        <f>IFERROR(__xludf.DUMMYFUNCTION("""COMPUTED_VALUE"""),2.0)</f>
        <v>2</v>
      </c>
      <c r="G1044" s="2">
        <f>IFERROR(__xludf.DUMMYFUNCTION("""COMPUTED_VALUE"""),6.0)</f>
        <v>6</v>
      </c>
      <c r="H1044" s="2" t="str">
        <f>IFERROR(__xludf.DUMMYFUNCTION("""COMPUTED_VALUE"""),"P. kara")</f>
        <v>P. kara</v>
      </c>
      <c r="I1044" s="2" t="str">
        <f>IFERROR(__xludf.DUMMYFUNCTION("""COMPUTED_VALUE"""),"Brick")</f>
        <v>Brick</v>
      </c>
      <c r="J1044" s="2" t="str">
        <f>IFERROR(__xludf.DUMMYFUNCTION("""COMPUTED_VALUE"""),"All amenities")</f>
        <v>All amenities</v>
      </c>
      <c r="K1044" s="2">
        <f>IFERROR(__xludf.DUMMYFUNCTION("""COMPUTED_VALUE"""),450.0)</f>
        <v>450</v>
      </c>
      <c r="L1044" s="2">
        <f>IFERROR(__xludf.DUMMYFUNCTION("""COMPUTED_VALUE"""),56.9510949)</f>
        <v>56.9510949</v>
      </c>
      <c r="M1044" s="2">
        <f>IFERROR(__xludf.DUMMYFUNCTION("""COMPUTED_VALUE"""),24.1313031)</f>
        <v>24.1313031</v>
      </c>
    </row>
    <row r="1045">
      <c r="A1045" s="2" t="str">
        <f>IFERROR(__xludf.DUMMYFUNCTION("""COMPUTED_VALUE"""),"For rent")</f>
        <v>For rent</v>
      </c>
      <c r="B1045" s="2" t="str">
        <f>IFERROR(__xludf.DUMMYFUNCTION("""COMPUTED_VALUE"""),"centrs")</f>
        <v>centrs</v>
      </c>
      <c r="C1045" s="2" t="str">
        <f>IFERROR(__xludf.DUMMYFUNCTION("""COMPUTED_VALUE"""),"Hospitāļu 7a")</f>
        <v>Hospitāļu 7a</v>
      </c>
      <c r="D1045" s="2">
        <f>IFERROR(__xludf.DUMMYFUNCTION("""COMPUTED_VALUE"""),1.0)</f>
        <v>1</v>
      </c>
      <c r="E1045" s="2">
        <f>IFERROR(__xludf.DUMMYFUNCTION("""COMPUTED_VALUE"""),37.0)</f>
        <v>37</v>
      </c>
      <c r="F1045" s="2">
        <f>IFERROR(__xludf.DUMMYFUNCTION("""COMPUTED_VALUE"""),2.0)</f>
        <v>2</v>
      </c>
      <c r="G1045" s="2">
        <f>IFERROR(__xludf.DUMMYFUNCTION("""COMPUTED_VALUE"""),3.0)</f>
        <v>3</v>
      </c>
      <c r="H1045" s="2" t="str">
        <f>IFERROR(__xludf.DUMMYFUNCTION("""COMPUTED_VALUE"""),"Renov.")</f>
        <v>Renov.</v>
      </c>
      <c r="I1045" s="2" t="str">
        <f>IFERROR(__xludf.DUMMYFUNCTION("""COMPUTED_VALUE"""),"Wood")</f>
        <v>Wood</v>
      </c>
      <c r="J1045" s="2" t="str">
        <f>IFERROR(__xludf.DUMMYFUNCTION("""COMPUTED_VALUE"""),"All amenities")</f>
        <v>All amenities</v>
      </c>
      <c r="K1045" s="2">
        <f>IFERROR(__xludf.DUMMYFUNCTION("""COMPUTED_VALUE"""),380.0)</f>
        <v>380</v>
      </c>
      <c r="L1045" s="2">
        <f>IFERROR(__xludf.DUMMYFUNCTION("""COMPUTED_VALUE"""),56.9698143)</f>
        <v>56.9698143</v>
      </c>
      <c r="M1045" s="2">
        <f>IFERROR(__xludf.DUMMYFUNCTION("""COMPUTED_VALUE"""),24.1358191)</f>
        <v>24.1358191</v>
      </c>
    </row>
    <row r="1046">
      <c r="A1046" s="2" t="str">
        <f>IFERROR(__xludf.DUMMYFUNCTION("""COMPUTED_VALUE"""),"For sale")</f>
        <v>For sale</v>
      </c>
      <c r="B1046" s="2" t="str">
        <f>IFERROR(__xludf.DUMMYFUNCTION("""COMPUTED_VALUE"""),"Āgenskalns")</f>
        <v>Āgenskalns</v>
      </c>
      <c r="C1046" s="2" t="str">
        <f>IFERROR(__xludf.DUMMYFUNCTION("""COMPUTED_VALUE"""),"Sabiles 8")</f>
        <v>Sabiles 8</v>
      </c>
      <c r="D1046" s="2">
        <f>IFERROR(__xludf.DUMMYFUNCTION("""COMPUTED_VALUE"""),2.0)</f>
        <v>2</v>
      </c>
      <c r="E1046" s="2">
        <f>IFERROR(__xludf.DUMMYFUNCTION("""COMPUTED_VALUE"""),71.0)</f>
        <v>71</v>
      </c>
      <c r="F1046" s="2">
        <f>IFERROR(__xludf.DUMMYFUNCTION("""COMPUTED_VALUE"""),1.0)</f>
        <v>1</v>
      </c>
      <c r="G1046" s="2">
        <f>IFERROR(__xludf.DUMMYFUNCTION("""COMPUTED_VALUE"""),3.0)</f>
        <v>3</v>
      </c>
      <c r="H1046" s="2" t="str">
        <f>IFERROR(__xludf.DUMMYFUNCTION("""COMPUTED_VALUE"""),"Jaun.")</f>
        <v>Jaun.</v>
      </c>
      <c r="I1046" s="2" t="str">
        <f>IFERROR(__xludf.DUMMYFUNCTION("""COMPUTED_VALUE"""),"Masonry")</f>
        <v>Masonry</v>
      </c>
      <c r="J1046" s="2" t="str">
        <f>IFERROR(__xludf.DUMMYFUNCTION("""COMPUTED_VALUE"""),"All amenities")</f>
        <v>All amenities</v>
      </c>
      <c r="K1046" s="2">
        <f>IFERROR(__xludf.DUMMYFUNCTION("""COMPUTED_VALUE"""),105100.0)</f>
        <v>105100</v>
      </c>
      <c r="L1046" s="2">
        <f>IFERROR(__xludf.DUMMYFUNCTION("""COMPUTED_VALUE"""),56.9394528)</f>
        <v>56.9394528</v>
      </c>
      <c r="M1046" s="2">
        <f>IFERROR(__xludf.DUMMYFUNCTION("""COMPUTED_VALUE"""),24.0668604)</f>
        <v>24.0668604</v>
      </c>
    </row>
    <row r="1047">
      <c r="A1047" s="2" t="str">
        <f>IFERROR(__xludf.DUMMYFUNCTION("""COMPUTED_VALUE"""),"For rent")</f>
        <v>For rent</v>
      </c>
      <c r="B1047" s="2" t="str">
        <f>IFERROR(__xludf.DUMMYFUNCTION("""COMPUTED_VALUE"""),"Āgenskalns")</f>
        <v>Āgenskalns</v>
      </c>
      <c r="C1047" s="2" t="str">
        <f>IFERROR(__xludf.DUMMYFUNCTION("""COMPUTED_VALUE"""),"Baldones 28")</f>
        <v>Baldones 28</v>
      </c>
      <c r="D1047" s="2">
        <f>IFERROR(__xludf.DUMMYFUNCTION("""COMPUTED_VALUE"""),2.0)</f>
        <v>2</v>
      </c>
      <c r="E1047" s="2">
        <f>IFERROR(__xludf.DUMMYFUNCTION("""COMPUTED_VALUE"""),45.0)</f>
        <v>45</v>
      </c>
      <c r="F1047" s="2">
        <f>IFERROR(__xludf.DUMMYFUNCTION("""COMPUTED_VALUE"""),4.0)</f>
        <v>4</v>
      </c>
      <c r="G1047" s="2">
        <f>IFERROR(__xludf.DUMMYFUNCTION("""COMPUTED_VALUE"""),5.0)</f>
        <v>5</v>
      </c>
      <c r="H1047" s="2" t="str">
        <f>IFERROR(__xludf.DUMMYFUNCTION("""COMPUTED_VALUE"""),"LT proj.")</f>
        <v>LT proj.</v>
      </c>
      <c r="I1047" s="2" t="str">
        <f>IFERROR(__xludf.DUMMYFUNCTION("""COMPUTED_VALUE"""),"Panel")</f>
        <v>Panel</v>
      </c>
      <c r="J1047" s="2" t="str">
        <f>IFERROR(__xludf.DUMMYFUNCTION("""COMPUTED_VALUE"""),"All amenities")</f>
        <v>All amenities</v>
      </c>
      <c r="K1047" s="2">
        <f>IFERROR(__xludf.DUMMYFUNCTION("""COMPUTED_VALUE"""),330.0)</f>
        <v>330</v>
      </c>
      <c r="L1047" s="2">
        <f>IFERROR(__xludf.DUMMYFUNCTION("""COMPUTED_VALUE"""),56.9451143)</f>
        <v>56.9451143</v>
      </c>
      <c r="M1047" s="2">
        <f>IFERROR(__xludf.DUMMYFUNCTION("""COMPUTED_VALUE"""),24.0582627)</f>
        <v>24.0582627</v>
      </c>
    </row>
    <row r="1048">
      <c r="A1048" s="2" t="str">
        <f>IFERROR(__xludf.DUMMYFUNCTION("""COMPUTED_VALUE"""),"For rent")</f>
        <v>For rent</v>
      </c>
      <c r="B1048" s="2" t="str">
        <f>IFERROR(__xludf.DUMMYFUNCTION("""COMPUTED_VALUE"""),"centrs")</f>
        <v>centrs</v>
      </c>
      <c r="C1048" s="2" t="str">
        <f>IFERROR(__xludf.DUMMYFUNCTION("""COMPUTED_VALUE"""),"Čaka 132")</f>
        <v>Čaka 132</v>
      </c>
      <c r="D1048" s="2">
        <f>IFERROR(__xludf.DUMMYFUNCTION("""COMPUTED_VALUE"""),1.0)</f>
        <v>1</v>
      </c>
      <c r="E1048" s="2">
        <f>IFERROR(__xludf.DUMMYFUNCTION("""COMPUTED_VALUE"""),36.0)</f>
        <v>36</v>
      </c>
      <c r="F1048" s="2">
        <f>IFERROR(__xludf.DUMMYFUNCTION("""COMPUTED_VALUE"""),1.0)</f>
        <v>1</v>
      </c>
      <c r="G1048" s="2">
        <f>IFERROR(__xludf.DUMMYFUNCTION("""COMPUTED_VALUE"""),5.0)</f>
        <v>5</v>
      </c>
      <c r="H1048" s="2" t="str">
        <f>IFERROR(__xludf.DUMMYFUNCTION("""COMPUTED_VALUE"""),"P. kara")</f>
        <v>P. kara</v>
      </c>
      <c r="I1048" s="2" t="str">
        <f>IFERROR(__xludf.DUMMYFUNCTION("""COMPUTED_VALUE"""),"Masonry")</f>
        <v>Masonry</v>
      </c>
      <c r="J1048" s="2" t="str">
        <f>IFERROR(__xludf.DUMMYFUNCTION("""COMPUTED_VALUE"""),"All amenities")</f>
        <v>All amenities</v>
      </c>
      <c r="K1048" s="2">
        <f>IFERROR(__xludf.DUMMYFUNCTION("""COMPUTED_VALUE"""),350.0)</f>
        <v>350</v>
      </c>
      <c r="L1048" s="2">
        <f>IFERROR(__xludf.DUMMYFUNCTION("""COMPUTED_VALUE"""),56.9615696)</f>
        <v>56.9615696</v>
      </c>
      <c r="M1048" s="2">
        <f>IFERROR(__xludf.DUMMYFUNCTION("""COMPUTED_VALUE"""),24.1466121)</f>
        <v>24.1466121</v>
      </c>
    </row>
    <row r="1049">
      <c r="A1049" s="2" t="str">
        <f>IFERROR(__xludf.DUMMYFUNCTION("""COMPUTED_VALUE"""),"For rent")</f>
        <v>For rent</v>
      </c>
      <c r="B1049" s="2" t="str">
        <f>IFERROR(__xludf.DUMMYFUNCTION("""COMPUTED_VALUE"""),"centrs")</f>
        <v>centrs</v>
      </c>
      <c r="C1049" s="2" t="str">
        <f>IFERROR(__xludf.DUMMYFUNCTION("""COMPUTED_VALUE"""),"Rūpniecības 9")</f>
        <v>Rūpniecības 9</v>
      </c>
      <c r="D1049" s="2">
        <f>IFERROR(__xludf.DUMMYFUNCTION("""COMPUTED_VALUE"""),3.0)</f>
        <v>3</v>
      </c>
      <c r="E1049" s="2">
        <f>IFERROR(__xludf.DUMMYFUNCTION("""COMPUTED_VALUE"""),83.0)</f>
        <v>83</v>
      </c>
      <c r="F1049" s="2">
        <f>IFERROR(__xludf.DUMMYFUNCTION("""COMPUTED_VALUE"""),5.0)</f>
        <v>5</v>
      </c>
      <c r="G1049" s="2">
        <f>IFERROR(__xludf.DUMMYFUNCTION("""COMPUTED_VALUE"""),5.0)</f>
        <v>5</v>
      </c>
      <c r="H1049" s="2" t="str">
        <f>IFERROR(__xludf.DUMMYFUNCTION("""COMPUTED_VALUE"""),"P. kara")</f>
        <v>P. kara</v>
      </c>
      <c r="I1049" s="2" t="str">
        <f>IFERROR(__xludf.DUMMYFUNCTION("""COMPUTED_VALUE"""),"Masonry")</f>
        <v>Masonry</v>
      </c>
      <c r="J1049" s="2" t="str">
        <f>IFERROR(__xludf.DUMMYFUNCTION("""COMPUTED_VALUE"""),"All amenities")</f>
        <v>All amenities</v>
      </c>
      <c r="K1049" s="2">
        <f>IFERROR(__xludf.DUMMYFUNCTION("""COMPUTED_VALUE"""),750.0)</f>
        <v>750</v>
      </c>
      <c r="L1049" s="2">
        <f>IFERROR(__xludf.DUMMYFUNCTION("""COMPUTED_VALUE"""),56.9605878)</f>
        <v>56.9605878</v>
      </c>
      <c r="M1049" s="2">
        <f>IFERROR(__xludf.DUMMYFUNCTION("""COMPUTED_VALUE"""),24.1029241)</f>
        <v>24.1029241</v>
      </c>
    </row>
    <row r="1050">
      <c r="A1050" s="2" t="str">
        <f>IFERROR(__xludf.DUMMYFUNCTION("""COMPUTED_VALUE"""),"For rent")</f>
        <v>For rent</v>
      </c>
      <c r="B1050" s="2" t="str">
        <f>IFERROR(__xludf.DUMMYFUNCTION("""COMPUTED_VALUE"""),"centrs")</f>
        <v>centrs</v>
      </c>
      <c r="C1050" s="2" t="str">
        <f>IFERROR(__xludf.DUMMYFUNCTION("""COMPUTED_VALUE"""),"Klusā 18")</f>
        <v>Klusā 18</v>
      </c>
      <c r="D1050" s="2">
        <f>IFERROR(__xludf.DUMMYFUNCTION("""COMPUTED_VALUE"""),1.0)</f>
        <v>1</v>
      </c>
      <c r="E1050" s="2">
        <f>IFERROR(__xludf.DUMMYFUNCTION("""COMPUTED_VALUE"""),38.0)</f>
        <v>38</v>
      </c>
      <c r="F1050" s="2">
        <f>IFERROR(__xludf.DUMMYFUNCTION("""COMPUTED_VALUE"""),3.0)</f>
        <v>3</v>
      </c>
      <c r="G1050" s="2">
        <f>IFERROR(__xludf.DUMMYFUNCTION("""COMPUTED_VALUE"""),9.0)</f>
        <v>9</v>
      </c>
      <c r="H1050" s="2" t="str">
        <f>IFERROR(__xludf.DUMMYFUNCTION("""COMPUTED_VALUE"""),"Jaun.")</f>
        <v>Jaun.</v>
      </c>
      <c r="I1050" s="2" t="str">
        <f>IFERROR(__xludf.DUMMYFUNCTION("""COMPUTED_VALUE"""),"Panel")</f>
        <v>Panel</v>
      </c>
      <c r="J1050" s="2" t="str">
        <f>IFERROR(__xludf.DUMMYFUNCTION("""COMPUTED_VALUE"""),"All amenities")</f>
        <v>All amenities</v>
      </c>
      <c r="K1050" s="2">
        <f>IFERROR(__xludf.DUMMYFUNCTION("""COMPUTED_VALUE"""),270.0)</f>
        <v>270</v>
      </c>
      <c r="L1050" s="2">
        <f>IFERROR(__xludf.DUMMYFUNCTION("""COMPUTED_VALUE"""),56.9762119)</f>
        <v>56.9762119</v>
      </c>
      <c r="M1050" s="2">
        <f>IFERROR(__xludf.DUMMYFUNCTION("""COMPUTED_VALUE"""),24.1462619497695)</f>
        <v>24.14626195</v>
      </c>
    </row>
    <row r="1051">
      <c r="A1051" s="2" t="str">
        <f>IFERROR(__xludf.DUMMYFUNCTION("""COMPUTED_VALUE"""),"For sale")</f>
        <v>For sale</v>
      </c>
      <c r="B1051" s="2" t="str">
        <f>IFERROR(__xludf.DUMMYFUNCTION("""COMPUTED_VALUE"""),"Dzegužkalns")</f>
        <v>Dzegužkalns</v>
      </c>
      <c r="C1051" s="2" t="str">
        <f>IFERROR(__xludf.DUMMYFUNCTION("""COMPUTED_VALUE"""),"Dzirciema 7/1")</f>
        <v>Dzirciema 7/1</v>
      </c>
      <c r="D1051" s="2">
        <f>IFERROR(__xludf.DUMMYFUNCTION("""COMPUTED_VALUE"""),2.0)</f>
        <v>2</v>
      </c>
      <c r="E1051" s="2">
        <f>IFERROR(__xludf.DUMMYFUNCTION("""COMPUTED_VALUE"""),50.0)</f>
        <v>50</v>
      </c>
      <c r="F1051" s="2">
        <f>IFERROR(__xludf.DUMMYFUNCTION("""COMPUTED_VALUE"""),2.0)</f>
        <v>2</v>
      </c>
      <c r="G1051" s="2">
        <f>IFERROR(__xludf.DUMMYFUNCTION("""COMPUTED_VALUE"""),5.0)</f>
        <v>5</v>
      </c>
      <c r="H1051" s="2" t="str">
        <f>IFERROR(__xludf.DUMMYFUNCTION("""COMPUTED_VALUE"""),"LT proj.")</f>
        <v>LT proj.</v>
      </c>
      <c r="I1051" s="2" t="str">
        <f>IFERROR(__xludf.DUMMYFUNCTION("""COMPUTED_VALUE"""),"Panel")</f>
        <v>Panel</v>
      </c>
      <c r="J1051" s="2" t="str">
        <f>IFERROR(__xludf.DUMMYFUNCTION("""COMPUTED_VALUE"""),"All amenities")</f>
        <v>All amenities</v>
      </c>
      <c r="K1051" s="2">
        <f>IFERROR(__xludf.DUMMYFUNCTION("""COMPUTED_VALUE"""),55000.0)</f>
        <v>55000</v>
      </c>
      <c r="L1051" s="2">
        <f>IFERROR(__xludf.DUMMYFUNCTION("""COMPUTED_VALUE"""),56.9514449)</f>
        <v>56.9514449</v>
      </c>
      <c r="M1051" s="2">
        <f>IFERROR(__xludf.DUMMYFUNCTION("""COMPUTED_VALUE"""),24.0540069)</f>
        <v>24.0540069</v>
      </c>
    </row>
    <row r="1052">
      <c r="A1052" s="2" t="str">
        <f>IFERROR(__xludf.DUMMYFUNCTION("""COMPUTED_VALUE"""),"For rent")</f>
        <v>For rent</v>
      </c>
      <c r="B1052" s="2" t="str">
        <f>IFERROR(__xludf.DUMMYFUNCTION("""COMPUTED_VALUE"""),"Čiekurkalns")</f>
        <v>Čiekurkalns</v>
      </c>
      <c r="C1052" s="2" t="str">
        <f>IFERROR(__xludf.DUMMYFUNCTION("""COMPUTED_VALUE"""),"Čiekurkalna 3. šķ l. 25")</f>
        <v>Čiekurkalna 3. šķ l. 25</v>
      </c>
      <c r="D1052" s="2">
        <f>IFERROR(__xludf.DUMMYFUNCTION("""COMPUTED_VALUE"""),3.0)</f>
        <v>3</v>
      </c>
      <c r="E1052" s="2">
        <f>IFERROR(__xludf.DUMMYFUNCTION("""COMPUTED_VALUE"""),70.0)</f>
        <v>70</v>
      </c>
      <c r="F1052" s="2">
        <f>IFERROR(__xludf.DUMMYFUNCTION("""COMPUTED_VALUE"""),2.0)</f>
        <v>2</v>
      </c>
      <c r="G1052" s="2">
        <f>IFERROR(__xludf.DUMMYFUNCTION("""COMPUTED_VALUE"""),9.0)</f>
        <v>9</v>
      </c>
      <c r="H1052" s="2" t="str">
        <f>IFERROR(__xludf.DUMMYFUNCTION("""COMPUTED_VALUE"""),"Specpr.")</f>
        <v>Specpr.</v>
      </c>
      <c r="I1052" s="2" t="str">
        <f>IFERROR(__xludf.DUMMYFUNCTION("""COMPUTED_VALUE"""),"Brick-Panel")</f>
        <v>Brick-Panel</v>
      </c>
      <c r="J1052" s="2" t="str">
        <f>IFERROR(__xludf.DUMMYFUNCTION("""COMPUTED_VALUE"""),"All amenities")</f>
        <v>All amenities</v>
      </c>
      <c r="K1052" s="2">
        <f>IFERROR(__xludf.DUMMYFUNCTION("""COMPUTED_VALUE"""),500.0)</f>
        <v>500</v>
      </c>
      <c r="L1052" s="2" t="str">
        <f>IFERROR(__xludf.DUMMYFUNCTION("""COMPUTED_VALUE"""),"NaN")</f>
        <v>NaN</v>
      </c>
      <c r="M1052" s="2" t="str">
        <f>IFERROR(__xludf.DUMMYFUNCTION("""COMPUTED_VALUE"""),"NaN")</f>
        <v>NaN</v>
      </c>
    </row>
    <row r="1053">
      <c r="A1053" s="2" t="str">
        <f>IFERROR(__xludf.DUMMYFUNCTION("""COMPUTED_VALUE"""),"For sale")</f>
        <v>For sale</v>
      </c>
      <c r="B1053" s="2" t="str">
        <f>IFERROR(__xludf.DUMMYFUNCTION("""COMPUTED_VALUE"""),"Purvciems")</f>
        <v>Purvciems</v>
      </c>
      <c r="C1053" s="2" t="str">
        <f>IFERROR(__xludf.DUMMYFUNCTION("""COMPUTED_VALUE"""),"Pūces 19")</f>
        <v>Pūces 19</v>
      </c>
      <c r="D1053" s="2">
        <f>IFERROR(__xludf.DUMMYFUNCTION("""COMPUTED_VALUE"""),2.0)</f>
        <v>2</v>
      </c>
      <c r="E1053" s="2">
        <f>IFERROR(__xludf.DUMMYFUNCTION("""COMPUTED_VALUE"""),45.0)</f>
        <v>45</v>
      </c>
      <c r="F1053" s="2">
        <f>IFERROR(__xludf.DUMMYFUNCTION("""COMPUTED_VALUE"""),3.0)</f>
        <v>3</v>
      </c>
      <c r="G1053" s="2">
        <f>IFERROR(__xludf.DUMMYFUNCTION("""COMPUTED_VALUE"""),5.0)</f>
        <v>5</v>
      </c>
      <c r="H1053" s="2" t="str">
        <f>IFERROR(__xludf.DUMMYFUNCTION("""COMPUTED_VALUE"""),"Jaun.")</f>
        <v>Jaun.</v>
      </c>
      <c r="I1053" s="2" t="str">
        <f>IFERROR(__xludf.DUMMYFUNCTION("""COMPUTED_VALUE"""),"Masonry")</f>
        <v>Masonry</v>
      </c>
      <c r="J1053" s="2" t="str">
        <f>IFERROR(__xludf.DUMMYFUNCTION("""COMPUTED_VALUE"""),"All amenities")</f>
        <v>All amenities</v>
      </c>
      <c r="K1053" s="2">
        <f>IFERROR(__xludf.DUMMYFUNCTION("""COMPUTED_VALUE"""),85000.0)</f>
        <v>85000</v>
      </c>
      <c r="L1053" s="2">
        <f>IFERROR(__xludf.DUMMYFUNCTION("""COMPUTED_VALUE"""),56.95632235)</f>
        <v>56.95632235</v>
      </c>
      <c r="M1053" s="2">
        <f>IFERROR(__xludf.DUMMYFUNCTION("""COMPUTED_VALUE"""),24.1859785589656)</f>
        <v>24.18597856</v>
      </c>
    </row>
    <row r="1054">
      <c r="A1054" s="2" t="str">
        <f>IFERROR(__xludf.DUMMYFUNCTION("""COMPUTED_VALUE"""),"For sale")</f>
        <v>For sale</v>
      </c>
      <c r="B1054" s="2" t="str">
        <f>IFERROR(__xludf.DUMMYFUNCTION("""COMPUTED_VALUE"""),"Āgenskalns")</f>
        <v>Āgenskalns</v>
      </c>
      <c r="C1054" s="2" t="str">
        <f>IFERROR(__xludf.DUMMYFUNCTION("""COMPUTED_VALUE"""),"Valentīna 16")</f>
        <v>Valentīna 16</v>
      </c>
      <c r="D1054" s="2">
        <f>IFERROR(__xludf.DUMMYFUNCTION("""COMPUTED_VALUE"""),3.0)</f>
        <v>3</v>
      </c>
      <c r="E1054" s="2">
        <f>IFERROR(__xludf.DUMMYFUNCTION("""COMPUTED_VALUE"""),124.0)</f>
        <v>124</v>
      </c>
      <c r="F1054" s="2">
        <f>IFERROR(__xludf.DUMMYFUNCTION("""COMPUTED_VALUE"""),1.0)</f>
        <v>1</v>
      </c>
      <c r="G1054" s="2">
        <f>IFERROR(__xludf.DUMMYFUNCTION("""COMPUTED_VALUE"""),1.0)</f>
        <v>1</v>
      </c>
      <c r="H1054" s="2" t="str">
        <f>IFERROR(__xludf.DUMMYFUNCTION("""COMPUTED_VALUE"""),"Jaun.")</f>
        <v>Jaun.</v>
      </c>
      <c r="I1054" s="2" t="str">
        <f>IFERROR(__xludf.DUMMYFUNCTION("""COMPUTED_VALUE"""),"Masonry")</f>
        <v>Masonry</v>
      </c>
      <c r="J1054" s="2" t="str">
        <f>IFERROR(__xludf.DUMMYFUNCTION("""COMPUTED_VALUE"""),"All amenities")</f>
        <v>All amenities</v>
      </c>
      <c r="K1054" s="2">
        <f>IFERROR(__xludf.DUMMYFUNCTION("""COMPUTED_VALUE"""),147000.0)</f>
        <v>147000</v>
      </c>
      <c r="L1054" s="2">
        <f>IFERROR(__xludf.DUMMYFUNCTION("""COMPUTED_VALUE"""),56.94107515)</f>
        <v>56.94107515</v>
      </c>
      <c r="M1054" s="2">
        <f>IFERROR(__xludf.DUMMYFUNCTION("""COMPUTED_VALUE"""),24.0537289468904)</f>
        <v>24.05372895</v>
      </c>
    </row>
    <row r="1055">
      <c r="A1055" s="2" t="str">
        <f>IFERROR(__xludf.DUMMYFUNCTION("""COMPUTED_VALUE"""),"For sale")</f>
        <v>For sale</v>
      </c>
      <c r="B1055" s="2" t="str">
        <f>IFERROR(__xludf.DUMMYFUNCTION("""COMPUTED_VALUE"""),"Purvciems")</f>
        <v>Purvciems</v>
      </c>
      <c r="C1055" s="2" t="str">
        <f>IFERROR(__xludf.DUMMYFUNCTION("""COMPUTED_VALUE"""),"Stirnu 20")</f>
        <v>Stirnu 20</v>
      </c>
      <c r="D1055" s="2">
        <f>IFERROR(__xludf.DUMMYFUNCTION("""COMPUTED_VALUE"""),3.0)</f>
        <v>3</v>
      </c>
      <c r="E1055" s="2">
        <f>IFERROR(__xludf.DUMMYFUNCTION("""COMPUTED_VALUE"""),79.0)</f>
        <v>79</v>
      </c>
      <c r="F1055" s="2">
        <f>IFERROR(__xludf.DUMMYFUNCTION("""COMPUTED_VALUE"""),1.0)</f>
        <v>1</v>
      </c>
      <c r="G1055" s="2">
        <f>IFERROR(__xludf.DUMMYFUNCTION("""COMPUTED_VALUE"""),4.0)</f>
        <v>4</v>
      </c>
      <c r="H1055" s="2" t="str">
        <f>IFERROR(__xludf.DUMMYFUNCTION("""COMPUTED_VALUE"""),"Jaun.")</f>
        <v>Jaun.</v>
      </c>
      <c r="I1055" s="2" t="str">
        <f>IFERROR(__xludf.DUMMYFUNCTION("""COMPUTED_VALUE"""),"Masonry")</f>
        <v>Masonry</v>
      </c>
      <c r="J1055" s="2" t="str">
        <f>IFERROR(__xludf.DUMMYFUNCTION("""COMPUTED_VALUE"""),"All amenities")</f>
        <v>All amenities</v>
      </c>
      <c r="K1055" s="2">
        <f>IFERROR(__xludf.DUMMYFUNCTION("""COMPUTED_VALUE"""),142000.0)</f>
        <v>142000</v>
      </c>
      <c r="L1055" s="2">
        <f>IFERROR(__xludf.DUMMYFUNCTION("""COMPUTED_VALUE"""),56.9650621)</f>
        <v>56.9650621</v>
      </c>
      <c r="M1055" s="2">
        <f>IFERROR(__xludf.DUMMYFUNCTION("""COMPUTED_VALUE"""),24.1952933)</f>
        <v>24.1952933</v>
      </c>
    </row>
    <row r="1056">
      <c r="A1056" s="2" t="str">
        <f>IFERROR(__xludf.DUMMYFUNCTION("""COMPUTED_VALUE"""),"For sale")</f>
        <v>For sale</v>
      </c>
      <c r="B1056" s="2" t="str">
        <f>IFERROR(__xludf.DUMMYFUNCTION("""COMPUTED_VALUE"""),"Purvciems")</f>
        <v>Purvciems</v>
      </c>
      <c r="C1056" s="2" t="str">
        <f>IFERROR(__xludf.DUMMYFUNCTION("""COMPUTED_VALUE"""),"Pūces 19")</f>
        <v>Pūces 19</v>
      </c>
      <c r="D1056" s="2">
        <f>IFERROR(__xludf.DUMMYFUNCTION("""COMPUTED_VALUE"""),3.0)</f>
        <v>3</v>
      </c>
      <c r="E1056" s="2">
        <f>IFERROR(__xludf.DUMMYFUNCTION("""COMPUTED_VALUE"""),65.0)</f>
        <v>65</v>
      </c>
      <c r="F1056" s="2">
        <f>IFERROR(__xludf.DUMMYFUNCTION("""COMPUTED_VALUE"""),4.0)</f>
        <v>4</v>
      </c>
      <c r="G1056" s="2">
        <f>IFERROR(__xludf.DUMMYFUNCTION("""COMPUTED_VALUE"""),5.0)</f>
        <v>5</v>
      </c>
      <c r="H1056" s="2" t="str">
        <f>IFERROR(__xludf.DUMMYFUNCTION("""COMPUTED_VALUE"""),"Jaun.")</f>
        <v>Jaun.</v>
      </c>
      <c r="I1056" s="2" t="str">
        <f>IFERROR(__xludf.DUMMYFUNCTION("""COMPUTED_VALUE"""),"Masonry")</f>
        <v>Masonry</v>
      </c>
      <c r="J1056" s="2" t="str">
        <f>IFERROR(__xludf.DUMMYFUNCTION("""COMPUTED_VALUE"""),"All amenities")</f>
        <v>All amenities</v>
      </c>
      <c r="K1056" s="2">
        <f>IFERROR(__xludf.DUMMYFUNCTION("""COMPUTED_VALUE"""),116000.0)</f>
        <v>116000</v>
      </c>
      <c r="L1056" s="2">
        <f>IFERROR(__xludf.DUMMYFUNCTION("""COMPUTED_VALUE"""),56.95632235)</f>
        <v>56.95632235</v>
      </c>
      <c r="M1056" s="2">
        <f>IFERROR(__xludf.DUMMYFUNCTION("""COMPUTED_VALUE"""),24.1859785589656)</f>
        <v>24.18597856</v>
      </c>
    </row>
    <row r="1057">
      <c r="A1057" s="2" t="str">
        <f>IFERROR(__xludf.DUMMYFUNCTION("""COMPUTED_VALUE"""),"For sale")</f>
        <v>For sale</v>
      </c>
      <c r="B1057" s="2" t="str">
        <f>IFERROR(__xludf.DUMMYFUNCTION("""COMPUTED_VALUE"""),"centrs")</f>
        <v>centrs</v>
      </c>
      <c r="C1057" s="2" t="str">
        <f>IFERROR(__xludf.DUMMYFUNCTION("""COMPUTED_VALUE"""),"Strēlnieku 13")</f>
        <v>Strēlnieku 13</v>
      </c>
      <c r="D1057" s="2">
        <f>IFERROR(__xludf.DUMMYFUNCTION("""COMPUTED_VALUE"""),3.0)</f>
        <v>3</v>
      </c>
      <c r="E1057" s="2">
        <f>IFERROR(__xludf.DUMMYFUNCTION("""COMPUTED_VALUE"""),73.0)</f>
        <v>73</v>
      </c>
      <c r="F1057" s="2">
        <f>IFERROR(__xludf.DUMMYFUNCTION("""COMPUTED_VALUE"""),5.0)</f>
        <v>5</v>
      </c>
      <c r="G1057" s="2">
        <f>IFERROR(__xludf.DUMMYFUNCTION("""COMPUTED_VALUE"""),5.0)</f>
        <v>5</v>
      </c>
      <c r="H1057" s="2" t="str">
        <f>IFERROR(__xludf.DUMMYFUNCTION("""COMPUTED_VALUE"""),"Renov.")</f>
        <v>Renov.</v>
      </c>
      <c r="I1057" s="2" t="str">
        <f>IFERROR(__xludf.DUMMYFUNCTION("""COMPUTED_VALUE"""),"Brick")</f>
        <v>Brick</v>
      </c>
      <c r="J1057" s="2" t="str">
        <f>IFERROR(__xludf.DUMMYFUNCTION("""COMPUTED_VALUE"""),"All amenities")</f>
        <v>All amenities</v>
      </c>
      <c r="K1057" s="2">
        <f>IFERROR(__xludf.DUMMYFUNCTION("""COMPUTED_VALUE"""),162000.0)</f>
        <v>162000</v>
      </c>
      <c r="L1057" s="2">
        <f>IFERROR(__xludf.DUMMYFUNCTION("""COMPUTED_VALUE"""),56.9589644)</f>
        <v>56.9589644</v>
      </c>
      <c r="M1057" s="2">
        <f>IFERROR(__xludf.DUMMYFUNCTION("""COMPUTED_VALUE"""),24.1081412)</f>
        <v>24.1081412</v>
      </c>
    </row>
    <row r="1058">
      <c r="A1058" s="2" t="str">
        <f>IFERROR(__xludf.DUMMYFUNCTION("""COMPUTED_VALUE"""),"For sale")</f>
        <v>For sale</v>
      </c>
      <c r="B1058" s="2" t="str">
        <f>IFERROR(__xludf.DUMMYFUNCTION("""COMPUTED_VALUE"""),"Grīziņkalns")</f>
        <v>Grīziņkalns</v>
      </c>
      <c r="C1058" s="2" t="str">
        <f>IFERROR(__xludf.DUMMYFUNCTION("""COMPUTED_VALUE"""),"Pērnavas 39")</f>
        <v>Pērnavas 39</v>
      </c>
      <c r="D1058" s="2">
        <f>IFERROR(__xludf.DUMMYFUNCTION("""COMPUTED_VALUE"""),2.0)</f>
        <v>2</v>
      </c>
      <c r="E1058" s="2">
        <f>IFERROR(__xludf.DUMMYFUNCTION("""COMPUTED_VALUE"""),34.0)</f>
        <v>34</v>
      </c>
      <c r="F1058" s="2">
        <f>IFERROR(__xludf.DUMMYFUNCTION("""COMPUTED_VALUE"""),2.0)</f>
        <v>2</v>
      </c>
      <c r="G1058" s="2">
        <f>IFERROR(__xludf.DUMMYFUNCTION("""COMPUTED_VALUE"""),5.0)</f>
        <v>5</v>
      </c>
      <c r="H1058" s="2" t="str">
        <f>IFERROR(__xludf.DUMMYFUNCTION("""COMPUTED_VALUE"""),"P. kara")</f>
        <v>P. kara</v>
      </c>
      <c r="I1058" s="2" t="str">
        <f>IFERROR(__xludf.DUMMYFUNCTION("""COMPUTED_VALUE"""),"Masonry")</f>
        <v>Masonry</v>
      </c>
      <c r="J1058" s="2" t="str">
        <f>IFERROR(__xludf.DUMMYFUNCTION("""COMPUTED_VALUE"""),"Partial amenities")</f>
        <v>Partial amenities</v>
      </c>
      <c r="K1058" s="2">
        <f>IFERROR(__xludf.DUMMYFUNCTION("""COMPUTED_VALUE"""),30000.0)</f>
        <v>30000</v>
      </c>
      <c r="L1058" s="2">
        <f>IFERROR(__xludf.DUMMYFUNCTION("""COMPUTED_VALUE"""),56.9555074999999)</f>
        <v>56.9555075</v>
      </c>
      <c r="M1058" s="2">
        <f>IFERROR(__xludf.DUMMYFUNCTION("""COMPUTED_VALUE"""),24.1534989394562)</f>
        <v>24.15349894</v>
      </c>
    </row>
    <row r="1059">
      <c r="A1059" s="2" t="str">
        <f>IFERROR(__xludf.DUMMYFUNCTION("""COMPUTED_VALUE"""),"For sale")</f>
        <v>For sale</v>
      </c>
      <c r="B1059" s="2" t="str">
        <f>IFERROR(__xludf.DUMMYFUNCTION("""COMPUTED_VALUE"""),"Ķengarags")</f>
        <v>Ķengarags</v>
      </c>
      <c r="C1059" s="2" t="str">
        <f>IFERROR(__xludf.DUMMYFUNCTION("""COMPUTED_VALUE"""),"Maskavas 415")</f>
        <v>Maskavas 415</v>
      </c>
      <c r="D1059" s="2">
        <f>IFERROR(__xludf.DUMMYFUNCTION("""COMPUTED_VALUE"""),3.0)</f>
        <v>3</v>
      </c>
      <c r="E1059" s="2">
        <f>IFERROR(__xludf.DUMMYFUNCTION("""COMPUTED_VALUE"""),60.0)</f>
        <v>60</v>
      </c>
      <c r="F1059" s="2">
        <f>IFERROR(__xludf.DUMMYFUNCTION("""COMPUTED_VALUE"""),5.0)</f>
        <v>5</v>
      </c>
      <c r="G1059" s="2">
        <f>IFERROR(__xludf.DUMMYFUNCTION("""COMPUTED_VALUE"""),9.0)</f>
        <v>9</v>
      </c>
      <c r="H1059" s="2">
        <f>IFERROR(__xludf.DUMMYFUNCTION("""COMPUTED_VALUE"""),467.0)</f>
        <v>467</v>
      </c>
      <c r="I1059" s="2" t="str">
        <f>IFERROR(__xludf.DUMMYFUNCTION("""COMPUTED_VALUE"""),"Panel")</f>
        <v>Panel</v>
      </c>
      <c r="J1059" s="2" t="str">
        <f>IFERROR(__xludf.DUMMYFUNCTION("""COMPUTED_VALUE"""),"All amenities")</f>
        <v>All amenities</v>
      </c>
      <c r="K1059" s="2">
        <f>IFERROR(__xludf.DUMMYFUNCTION("""COMPUTED_VALUE"""),57800.0)</f>
        <v>57800</v>
      </c>
      <c r="L1059" s="2">
        <f>IFERROR(__xludf.DUMMYFUNCTION("""COMPUTED_VALUE"""),56.8597884)</f>
        <v>56.8597884</v>
      </c>
      <c r="M1059" s="2">
        <f>IFERROR(__xludf.DUMMYFUNCTION("""COMPUTED_VALUE"""),24.3083417)</f>
        <v>24.3083417</v>
      </c>
    </row>
    <row r="1060">
      <c r="A1060" s="2" t="str">
        <f>IFERROR(__xludf.DUMMYFUNCTION("""COMPUTED_VALUE"""),"For rent")</f>
        <v>For rent</v>
      </c>
      <c r="B1060" s="2" t="str">
        <f>IFERROR(__xludf.DUMMYFUNCTION("""COMPUTED_VALUE"""),"Ziepniekkalns")</f>
        <v>Ziepniekkalns</v>
      </c>
      <c r="C1060" s="2" t="str">
        <f>IFERROR(__xludf.DUMMYFUNCTION("""COMPUTED_VALUE"""),"Īslīces 1")</f>
        <v>Īslīces 1</v>
      </c>
      <c r="D1060" s="2">
        <f>IFERROR(__xludf.DUMMYFUNCTION("""COMPUTED_VALUE"""),4.0)</f>
        <v>4</v>
      </c>
      <c r="E1060" s="2">
        <f>IFERROR(__xludf.DUMMYFUNCTION("""COMPUTED_VALUE"""),89.0)</f>
        <v>89</v>
      </c>
      <c r="F1060" s="2">
        <f>IFERROR(__xludf.DUMMYFUNCTION("""COMPUTED_VALUE"""),10.0)</f>
        <v>10</v>
      </c>
      <c r="G1060" s="2">
        <f>IFERROR(__xludf.DUMMYFUNCTION("""COMPUTED_VALUE"""),12.0)</f>
        <v>12</v>
      </c>
      <c r="H1060" s="2">
        <f>IFERROR(__xludf.DUMMYFUNCTION("""COMPUTED_VALUE"""),119.0)</f>
        <v>119</v>
      </c>
      <c r="I1060" s="2" t="str">
        <f>IFERROR(__xludf.DUMMYFUNCTION("""COMPUTED_VALUE"""),"Panel-Brick")</f>
        <v>Panel-Brick</v>
      </c>
      <c r="J1060" s="2" t="str">
        <f>IFERROR(__xludf.DUMMYFUNCTION("""COMPUTED_VALUE"""),"All amenities")</f>
        <v>All amenities</v>
      </c>
      <c r="K1060" s="2">
        <f>IFERROR(__xludf.DUMMYFUNCTION("""COMPUTED_VALUE"""),360.0)</f>
        <v>360</v>
      </c>
      <c r="L1060" s="2">
        <f>IFERROR(__xludf.DUMMYFUNCTION("""COMPUTED_VALUE"""),56.90158855)</f>
        <v>56.90158855</v>
      </c>
      <c r="M1060" s="2">
        <f>IFERROR(__xludf.DUMMYFUNCTION("""COMPUTED_VALUE"""),24.0846961606636)</f>
        <v>24.08469616</v>
      </c>
    </row>
    <row r="1061">
      <c r="A1061" s="2" t="str">
        <f>IFERROR(__xludf.DUMMYFUNCTION("""COMPUTED_VALUE"""),"For sale")</f>
        <v>For sale</v>
      </c>
      <c r="B1061" s="2" t="str">
        <f>IFERROR(__xludf.DUMMYFUNCTION("""COMPUTED_VALUE"""),"Purvciems")</f>
        <v>Purvciems</v>
      </c>
      <c r="C1061" s="2" t="str">
        <f>IFERROR(__xludf.DUMMYFUNCTION("""COMPUTED_VALUE"""),"Dzelzavas 37")</f>
        <v>Dzelzavas 37</v>
      </c>
      <c r="D1061" s="2">
        <f>IFERROR(__xludf.DUMMYFUNCTION("""COMPUTED_VALUE"""),2.0)</f>
        <v>2</v>
      </c>
      <c r="E1061" s="2">
        <f>IFERROR(__xludf.DUMMYFUNCTION("""COMPUTED_VALUE"""),49.0)</f>
        <v>49</v>
      </c>
      <c r="F1061" s="2">
        <f>IFERROR(__xludf.DUMMYFUNCTION("""COMPUTED_VALUE"""),4.0)</f>
        <v>4</v>
      </c>
      <c r="G1061" s="2">
        <f>IFERROR(__xludf.DUMMYFUNCTION("""COMPUTED_VALUE"""),9.0)</f>
        <v>9</v>
      </c>
      <c r="H1061" s="2">
        <f>IFERROR(__xludf.DUMMYFUNCTION("""COMPUTED_VALUE"""),602.0)</f>
        <v>602</v>
      </c>
      <c r="I1061" s="2" t="str">
        <f>IFERROR(__xludf.DUMMYFUNCTION("""COMPUTED_VALUE"""),"Panel")</f>
        <v>Panel</v>
      </c>
      <c r="J1061" s="2" t="str">
        <f>IFERROR(__xludf.DUMMYFUNCTION("""COMPUTED_VALUE"""),"All amenities")</f>
        <v>All amenities</v>
      </c>
      <c r="K1061" s="2">
        <f>IFERROR(__xludf.DUMMYFUNCTION("""COMPUTED_VALUE"""),55300.0)</f>
        <v>55300</v>
      </c>
      <c r="L1061" s="2">
        <f>IFERROR(__xludf.DUMMYFUNCTION("""COMPUTED_VALUE"""),56.95922675)</f>
        <v>56.95922675</v>
      </c>
      <c r="M1061" s="2">
        <f>IFERROR(__xludf.DUMMYFUNCTION("""COMPUTED_VALUE"""),24.1820870162061)</f>
        <v>24.18208702</v>
      </c>
    </row>
    <row r="1062">
      <c r="A1062" s="2" t="str">
        <f>IFERROR(__xludf.DUMMYFUNCTION("""COMPUTED_VALUE"""),"For rent")</f>
        <v>For rent</v>
      </c>
      <c r="B1062" s="2" t="str">
        <f>IFERROR(__xludf.DUMMYFUNCTION("""COMPUTED_VALUE"""),"Imanta")</f>
        <v>Imanta</v>
      </c>
      <c r="C1062" s="2" t="str">
        <f>IFERROR(__xludf.DUMMYFUNCTION("""COMPUTED_VALUE"""),"Anniņmuižas bulvāris 38")</f>
        <v>Anniņmuižas bulvāris 38</v>
      </c>
      <c r="D1062" s="2">
        <f>IFERROR(__xludf.DUMMYFUNCTION("""COMPUTED_VALUE"""),2.0)</f>
        <v>2</v>
      </c>
      <c r="E1062" s="2">
        <f>IFERROR(__xludf.DUMMYFUNCTION("""COMPUTED_VALUE"""),51.0)</f>
        <v>51</v>
      </c>
      <c r="F1062" s="2">
        <f>IFERROR(__xludf.DUMMYFUNCTION("""COMPUTED_VALUE"""),1.0)</f>
        <v>1</v>
      </c>
      <c r="G1062" s="2">
        <f>IFERROR(__xludf.DUMMYFUNCTION("""COMPUTED_VALUE"""),17.0)</f>
        <v>17</v>
      </c>
      <c r="H1062" s="2" t="str">
        <f>IFERROR(__xludf.DUMMYFUNCTION("""COMPUTED_VALUE"""),"Jaun.")</f>
        <v>Jaun.</v>
      </c>
      <c r="I1062" s="2" t="str">
        <f>IFERROR(__xludf.DUMMYFUNCTION("""COMPUTED_VALUE"""),"Panel")</f>
        <v>Panel</v>
      </c>
      <c r="J1062" s="2" t="str">
        <f>IFERROR(__xludf.DUMMYFUNCTION("""COMPUTED_VALUE"""),"All amenities")</f>
        <v>All amenities</v>
      </c>
      <c r="K1062" s="2">
        <f>IFERROR(__xludf.DUMMYFUNCTION("""COMPUTED_VALUE"""),470.0)</f>
        <v>470</v>
      </c>
      <c r="L1062" s="2">
        <f>IFERROR(__xludf.DUMMYFUNCTION("""COMPUTED_VALUE"""),56.96112105)</f>
        <v>56.96112105</v>
      </c>
      <c r="M1062" s="2">
        <f>IFERROR(__xludf.DUMMYFUNCTION("""COMPUTED_VALUE"""),24.01821679525)</f>
        <v>24.0182168</v>
      </c>
    </row>
    <row r="1063">
      <c r="A1063" s="2" t="str">
        <f>IFERROR(__xludf.DUMMYFUNCTION("""COMPUTED_VALUE"""),"For sale")</f>
        <v>For sale</v>
      </c>
      <c r="B1063" s="2" t="str">
        <f>IFERROR(__xludf.DUMMYFUNCTION("""COMPUTED_VALUE"""),"Purvciems")</f>
        <v>Purvciems</v>
      </c>
      <c r="C1063" s="2" t="str">
        <f>IFERROR(__xludf.DUMMYFUNCTION("""COMPUTED_VALUE"""),"Stirnu 33")</f>
        <v>Stirnu 33</v>
      </c>
      <c r="D1063" s="2">
        <f>IFERROR(__xludf.DUMMYFUNCTION("""COMPUTED_VALUE"""),2.0)</f>
        <v>2</v>
      </c>
      <c r="E1063" s="2">
        <f>IFERROR(__xludf.DUMMYFUNCTION("""COMPUTED_VALUE"""),48.0)</f>
        <v>48</v>
      </c>
      <c r="F1063" s="2">
        <f>IFERROR(__xludf.DUMMYFUNCTION("""COMPUTED_VALUE"""),3.0)</f>
        <v>3</v>
      </c>
      <c r="G1063" s="2">
        <f>IFERROR(__xludf.DUMMYFUNCTION("""COMPUTED_VALUE"""),9.0)</f>
        <v>9</v>
      </c>
      <c r="H1063" s="2">
        <f>IFERROR(__xludf.DUMMYFUNCTION("""COMPUTED_VALUE"""),602.0)</f>
        <v>602</v>
      </c>
      <c r="I1063" s="2" t="str">
        <f>IFERROR(__xludf.DUMMYFUNCTION("""COMPUTED_VALUE"""),"Panel")</f>
        <v>Panel</v>
      </c>
      <c r="J1063" s="2" t="str">
        <f>IFERROR(__xludf.DUMMYFUNCTION("""COMPUTED_VALUE"""),"All amenities")</f>
        <v>All amenities</v>
      </c>
      <c r="K1063" s="2">
        <f>IFERROR(__xludf.DUMMYFUNCTION("""COMPUTED_VALUE"""),55000.0)</f>
        <v>55000</v>
      </c>
      <c r="L1063" s="2">
        <f>IFERROR(__xludf.DUMMYFUNCTION("""COMPUTED_VALUE"""),56.9600729)</f>
        <v>56.9600729</v>
      </c>
      <c r="M1063" s="2">
        <f>IFERROR(__xludf.DUMMYFUNCTION("""COMPUTED_VALUE"""),24.1860928710293)</f>
        <v>24.18609287</v>
      </c>
    </row>
    <row r="1064">
      <c r="A1064" s="2" t="str">
        <f>IFERROR(__xludf.DUMMYFUNCTION("""COMPUTED_VALUE"""),"For sale")</f>
        <v>For sale</v>
      </c>
      <c r="B1064" s="2" t="str">
        <f>IFERROR(__xludf.DUMMYFUNCTION("""COMPUTED_VALUE"""),"Purvciems")</f>
        <v>Purvciems</v>
      </c>
      <c r="C1064" s="2" t="str">
        <f>IFERROR(__xludf.DUMMYFUNCTION("""COMPUTED_VALUE"""),"Ilūkstes 101")</f>
        <v>Ilūkstes 101</v>
      </c>
      <c r="D1064" s="2">
        <f>IFERROR(__xludf.DUMMYFUNCTION("""COMPUTED_VALUE"""),1.0)</f>
        <v>1</v>
      </c>
      <c r="E1064" s="2">
        <f>IFERROR(__xludf.DUMMYFUNCTION("""COMPUTED_VALUE"""),37.0)</f>
        <v>37</v>
      </c>
      <c r="F1064" s="2">
        <f>IFERROR(__xludf.DUMMYFUNCTION("""COMPUTED_VALUE"""),3.0)</f>
        <v>3</v>
      </c>
      <c r="G1064" s="2">
        <f>IFERROR(__xludf.DUMMYFUNCTION("""COMPUTED_VALUE"""),5.0)</f>
        <v>5</v>
      </c>
      <c r="H1064" s="2">
        <f>IFERROR(__xludf.DUMMYFUNCTION("""COMPUTED_VALUE"""),103.0)</f>
        <v>103</v>
      </c>
      <c r="I1064" s="2" t="str">
        <f>IFERROR(__xludf.DUMMYFUNCTION("""COMPUTED_VALUE"""),"Brick")</f>
        <v>Brick</v>
      </c>
      <c r="J1064" s="2" t="str">
        <f>IFERROR(__xludf.DUMMYFUNCTION("""COMPUTED_VALUE"""),"All amenities")</f>
        <v>All amenities</v>
      </c>
      <c r="K1064" s="2">
        <f>IFERROR(__xludf.DUMMYFUNCTION("""COMPUTED_VALUE"""),33000.0)</f>
        <v>33000</v>
      </c>
      <c r="L1064" s="2">
        <f>IFERROR(__xludf.DUMMYFUNCTION("""COMPUTED_VALUE"""),56.9521699)</f>
        <v>56.9521699</v>
      </c>
      <c r="M1064" s="2">
        <f>IFERROR(__xludf.DUMMYFUNCTION("""COMPUTED_VALUE"""),24.1956952983417)</f>
        <v>24.1956953</v>
      </c>
    </row>
    <row r="1065">
      <c r="A1065" s="2" t="str">
        <f>IFERROR(__xludf.DUMMYFUNCTION("""COMPUTED_VALUE"""),"For sale")</f>
        <v>For sale</v>
      </c>
      <c r="B1065" s="2" t="str">
        <f>IFERROR(__xludf.DUMMYFUNCTION("""COMPUTED_VALUE"""),"Pļavnieki")</f>
        <v>Pļavnieki</v>
      </c>
      <c r="C1065" s="2" t="str">
        <f>IFERROR(__xludf.DUMMYFUNCTION("""COMPUTED_VALUE"""),"Zemes 9")</f>
        <v>Zemes 9</v>
      </c>
      <c r="D1065" s="2">
        <f>IFERROR(__xludf.DUMMYFUNCTION("""COMPUTED_VALUE"""),1.0)</f>
        <v>1</v>
      </c>
      <c r="E1065" s="2">
        <f>IFERROR(__xludf.DUMMYFUNCTION("""COMPUTED_VALUE"""),41.0)</f>
        <v>41</v>
      </c>
      <c r="F1065" s="2">
        <f>IFERROR(__xludf.DUMMYFUNCTION("""COMPUTED_VALUE"""),3.0)</f>
        <v>3</v>
      </c>
      <c r="G1065" s="2">
        <f>IFERROR(__xludf.DUMMYFUNCTION("""COMPUTED_VALUE"""),9.0)</f>
        <v>9</v>
      </c>
      <c r="H1065" s="2" t="str">
        <f>IFERROR(__xludf.DUMMYFUNCTION("""COMPUTED_VALUE"""),"M. ģim.")</f>
        <v>M. ģim.</v>
      </c>
      <c r="I1065" s="2" t="str">
        <f>IFERROR(__xludf.DUMMYFUNCTION("""COMPUTED_VALUE"""),"Panel")</f>
        <v>Panel</v>
      </c>
      <c r="J1065" s="2" t="str">
        <f>IFERROR(__xludf.DUMMYFUNCTION("""COMPUTED_VALUE"""),"All amenities")</f>
        <v>All amenities</v>
      </c>
      <c r="K1065" s="2">
        <f>IFERROR(__xludf.DUMMYFUNCTION("""COMPUTED_VALUE"""),28800.0)</f>
        <v>28800</v>
      </c>
      <c r="L1065" s="2">
        <f>IFERROR(__xludf.DUMMYFUNCTION("""COMPUTED_VALUE"""),56.9422955)</f>
        <v>56.9422955</v>
      </c>
      <c r="M1065" s="2">
        <f>IFERROR(__xludf.DUMMYFUNCTION("""COMPUTED_VALUE"""),24.1998859564754)</f>
        <v>24.19988596</v>
      </c>
    </row>
    <row r="1066">
      <c r="A1066" s="2" t="str">
        <f>IFERROR(__xludf.DUMMYFUNCTION("""COMPUTED_VALUE"""),"For sale")</f>
        <v>For sale</v>
      </c>
      <c r="B1066" s="2" t="str">
        <f>IFERROR(__xludf.DUMMYFUNCTION("""COMPUTED_VALUE"""),"centrs")</f>
        <v>centrs</v>
      </c>
      <c r="C1066" s="2" t="str">
        <f>IFERROR(__xludf.DUMMYFUNCTION("""COMPUTED_VALUE"""),"Duntes 1")</f>
        <v>Duntes 1</v>
      </c>
      <c r="D1066" s="2">
        <f>IFERROR(__xludf.DUMMYFUNCTION("""COMPUTED_VALUE"""),2.0)</f>
        <v>2</v>
      </c>
      <c r="E1066" s="2">
        <f>IFERROR(__xludf.DUMMYFUNCTION("""COMPUTED_VALUE"""),55.0)</f>
        <v>55</v>
      </c>
      <c r="F1066" s="2">
        <f>IFERROR(__xludf.DUMMYFUNCTION("""COMPUTED_VALUE"""),1.0)</f>
        <v>1</v>
      </c>
      <c r="G1066" s="2">
        <f>IFERROR(__xludf.DUMMYFUNCTION("""COMPUTED_VALUE"""),3.0)</f>
        <v>3</v>
      </c>
      <c r="H1066" s="2" t="str">
        <f>IFERROR(__xludf.DUMMYFUNCTION("""COMPUTED_VALUE"""),"P. kara")</f>
        <v>P. kara</v>
      </c>
      <c r="I1066" s="2" t="str">
        <f>IFERROR(__xludf.DUMMYFUNCTION("""COMPUTED_VALUE"""),"Brick-Panel")</f>
        <v>Brick-Panel</v>
      </c>
      <c r="J1066" s="2" t="str">
        <f>IFERROR(__xludf.DUMMYFUNCTION("""COMPUTED_VALUE"""),"All amenities")</f>
        <v>All amenities</v>
      </c>
      <c r="K1066" s="2">
        <f>IFERROR(__xludf.DUMMYFUNCTION("""COMPUTED_VALUE"""),69000.0)</f>
        <v>69000</v>
      </c>
      <c r="L1066" s="2">
        <f>IFERROR(__xludf.DUMMYFUNCTION("""COMPUTED_VALUE"""),56.97634575)</f>
        <v>56.97634575</v>
      </c>
      <c r="M1066" s="2">
        <f>IFERROR(__xludf.DUMMYFUNCTION("""COMPUTED_VALUE"""),24.1348427681944)</f>
        <v>24.13484277</v>
      </c>
    </row>
    <row r="1067">
      <c r="A1067" s="2" t="str">
        <f>IFERROR(__xludf.DUMMYFUNCTION("""COMPUTED_VALUE"""),"For sale")</f>
        <v>For sale</v>
      </c>
      <c r="B1067" s="2" t="str">
        <f>IFERROR(__xludf.DUMMYFUNCTION("""COMPUTED_VALUE"""),"centrs")</f>
        <v>centrs</v>
      </c>
      <c r="C1067" s="2" t="str">
        <f>IFERROR(__xludf.DUMMYFUNCTION("""COMPUTED_VALUE"""),"Ieroču 10")</f>
        <v>Ieroču 10</v>
      </c>
      <c r="D1067" s="2">
        <f>IFERROR(__xludf.DUMMYFUNCTION("""COMPUTED_VALUE"""),1.0)</f>
        <v>1</v>
      </c>
      <c r="E1067" s="2">
        <f>IFERROR(__xludf.DUMMYFUNCTION("""COMPUTED_VALUE"""),26.0)</f>
        <v>26</v>
      </c>
      <c r="F1067" s="2">
        <f>IFERROR(__xludf.DUMMYFUNCTION("""COMPUTED_VALUE"""),1.0)</f>
        <v>1</v>
      </c>
      <c r="G1067" s="2">
        <f>IFERROR(__xludf.DUMMYFUNCTION("""COMPUTED_VALUE"""),5.0)</f>
        <v>5</v>
      </c>
      <c r="H1067" s="2" t="str">
        <f>IFERROR(__xludf.DUMMYFUNCTION("""COMPUTED_VALUE"""),"P. kara")</f>
        <v>P. kara</v>
      </c>
      <c r="I1067" s="2" t="str">
        <f>IFERROR(__xludf.DUMMYFUNCTION("""COMPUTED_VALUE"""),"Brick")</f>
        <v>Brick</v>
      </c>
      <c r="J1067" s="2" t="str">
        <f>IFERROR(__xludf.DUMMYFUNCTION("""COMPUTED_VALUE"""),"All amenities")</f>
        <v>All amenities</v>
      </c>
      <c r="K1067" s="2">
        <f>IFERROR(__xludf.DUMMYFUNCTION("""COMPUTED_VALUE"""),25000.0)</f>
        <v>25000</v>
      </c>
      <c r="L1067" s="2">
        <f>IFERROR(__xludf.DUMMYFUNCTION("""COMPUTED_VALUE"""),56.9750877)</f>
        <v>56.9750877</v>
      </c>
      <c r="M1067" s="2">
        <f>IFERROR(__xludf.DUMMYFUNCTION("""COMPUTED_VALUE"""),24.1405774754441)</f>
        <v>24.14057748</v>
      </c>
    </row>
    <row r="1068">
      <c r="A1068" s="2" t="str">
        <f>IFERROR(__xludf.DUMMYFUNCTION("""COMPUTED_VALUE"""),"For rent")</f>
        <v>For rent</v>
      </c>
      <c r="B1068" s="2" t="str">
        <f>IFERROR(__xludf.DUMMYFUNCTION("""COMPUTED_VALUE"""),"Imanta")</f>
        <v>Imanta</v>
      </c>
      <c r="C1068" s="2" t="str">
        <f>IFERROR(__xludf.DUMMYFUNCTION("""COMPUTED_VALUE"""),"Anniņmuižas iela 38")</f>
        <v>Anniņmuižas iela 38</v>
      </c>
      <c r="D1068" s="2">
        <f>IFERROR(__xludf.DUMMYFUNCTION("""COMPUTED_VALUE"""),2.0)</f>
        <v>2</v>
      </c>
      <c r="E1068" s="2">
        <f>IFERROR(__xludf.DUMMYFUNCTION("""COMPUTED_VALUE"""),60.0)</f>
        <v>60</v>
      </c>
      <c r="F1068" s="2">
        <f>IFERROR(__xludf.DUMMYFUNCTION("""COMPUTED_VALUE"""),10.0)</f>
        <v>10</v>
      </c>
      <c r="G1068" s="2">
        <f>IFERROR(__xludf.DUMMYFUNCTION("""COMPUTED_VALUE"""),16.0)</f>
        <v>16</v>
      </c>
      <c r="H1068" s="2" t="str">
        <f>IFERROR(__xludf.DUMMYFUNCTION("""COMPUTED_VALUE"""),"Jaun.")</f>
        <v>Jaun.</v>
      </c>
      <c r="I1068" s="2" t="str">
        <f>IFERROR(__xludf.DUMMYFUNCTION("""COMPUTED_VALUE"""),"Panel")</f>
        <v>Panel</v>
      </c>
      <c r="J1068" s="2" t="str">
        <f>IFERROR(__xludf.DUMMYFUNCTION("""COMPUTED_VALUE"""),"All amenities")</f>
        <v>All amenities</v>
      </c>
      <c r="K1068" s="2">
        <f>IFERROR(__xludf.DUMMYFUNCTION("""COMPUTED_VALUE"""),490.0)</f>
        <v>490</v>
      </c>
      <c r="L1068" s="2">
        <f>IFERROR(__xludf.DUMMYFUNCTION("""COMPUTED_VALUE"""),56.9494099)</f>
        <v>56.9494099</v>
      </c>
      <c r="M1068" s="2">
        <f>IFERROR(__xludf.DUMMYFUNCTION("""COMPUTED_VALUE"""),24.0102727)</f>
        <v>24.0102727</v>
      </c>
    </row>
    <row r="1069">
      <c r="A1069" s="2" t="str">
        <f>IFERROR(__xludf.DUMMYFUNCTION("""COMPUTED_VALUE"""),"For rent")</f>
        <v>For rent</v>
      </c>
      <c r="B1069" s="2" t="str">
        <f>IFERROR(__xludf.DUMMYFUNCTION("""COMPUTED_VALUE"""),"Mežaparks")</f>
        <v>Mežaparks</v>
      </c>
      <c r="C1069" s="2" t="str">
        <f>IFERROR(__xludf.DUMMYFUNCTION("""COMPUTED_VALUE"""),"Visbijas pr. 45")</f>
        <v>Visbijas pr. 45</v>
      </c>
      <c r="D1069" s="2">
        <f>IFERROR(__xludf.DUMMYFUNCTION("""COMPUTED_VALUE"""),3.0)</f>
        <v>3</v>
      </c>
      <c r="E1069" s="2">
        <f>IFERROR(__xludf.DUMMYFUNCTION("""COMPUTED_VALUE"""),95.0)</f>
        <v>95</v>
      </c>
      <c r="F1069" s="2">
        <f>IFERROR(__xludf.DUMMYFUNCTION("""COMPUTED_VALUE"""),2.0)</f>
        <v>2</v>
      </c>
      <c r="G1069" s="2">
        <f>IFERROR(__xludf.DUMMYFUNCTION("""COMPUTED_VALUE"""),3.0)</f>
        <v>3</v>
      </c>
      <c r="H1069" s="2" t="str">
        <f>IFERROR(__xludf.DUMMYFUNCTION("""COMPUTED_VALUE"""),"Jaun.")</f>
        <v>Jaun.</v>
      </c>
      <c r="I1069" s="2" t="str">
        <f>IFERROR(__xludf.DUMMYFUNCTION("""COMPUTED_VALUE"""),"Panel")</f>
        <v>Panel</v>
      </c>
      <c r="J1069" s="2" t="str">
        <f>IFERROR(__xludf.DUMMYFUNCTION("""COMPUTED_VALUE"""),"All amenities")</f>
        <v>All amenities</v>
      </c>
      <c r="K1069" s="2">
        <f>IFERROR(__xludf.DUMMYFUNCTION("""COMPUTED_VALUE"""),1100.0)</f>
        <v>1100</v>
      </c>
      <c r="L1069" s="2" t="str">
        <f>IFERROR(__xludf.DUMMYFUNCTION("""COMPUTED_VALUE"""),"NaN")</f>
        <v>NaN</v>
      </c>
      <c r="M1069" s="2" t="str">
        <f>IFERROR(__xludf.DUMMYFUNCTION("""COMPUTED_VALUE"""),"NaN")</f>
        <v>NaN</v>
      </c>
    </row>
    <row r="1070">
      <c r="A1070" s="2" t="str">
        <f>IFERROR(__xludf.DUMMYFUNCTION("""COMPUTED_VALUE"""),"For rent")</f>
        <v>For rent</v>
      </c>
      <c r="B1070" s="2" t="str">
        <f>IFERROR(__xludf.DUMMYFUNCTION("""COMPUTED_VALUE"""),"centrs")</f>
        <v>centrs</v>
      </c>
      <c r="C1070" s="2" t="str">
        <f>IFERROR(__xludf.DUMMYFUNCTION("""COMPUTED_VALUE"""),"Jeruzalemes 5")</f>
        <v>Jeruzalemes 5</v>
      </c>
      <c r="D1070" s="2">
        <f>IFERROR(__xludf.DUMMYFUNCTION("""COMPUTED_VALUE"""),2.0)</f>
        <v>2</v>
      </c>
      <c r="E1070" s="2">
        <f>IFERROR(__xludf.DUMMYFUNCTION("""COMPUTED_VALUE"""),60.0)</f>
        <v>60</v>
      </c>
      <c r="F1070" s="2">
        <f>IFERROR(__xludf.DUMMYFUNCTION("""COMPUTED_VALUE"""),3.0)</f>
        <v>3</v>
      </c>
      <c r="G1070" s="2">
        <f>IFERROR(__xludf.DUMMYFUNCTION("""COMPUTED_VALUE"""),4.0)</f>
        <v>4</v>
      </c>
      <c r="H1070" s="2" t="str">
        <f>IFERROR(__xludf.DUMMYFUNCTION("""COMPUTED_VALUE"""),"Jaun.")</f>
        <v>Jaun.</v>
      </c>
      <c r="I1070" s="2" t="str">
        <f>IFERROR(__xludf.DUMMYFUNCTION("""COMPUTED_VALUE"""),"Panel-Brick")</f>
        <v>Panel-Brick</v>
      </c>
      <c r="J1070" s="2" t="str">
        <f>IFERROR(__xludf.DUMMYFUNCTION("""COMPUTED_VALUE"""),"All amenities")</f>
        <v>All amenities</v>
      </c>
      <c r="K1070" s="2">
        <f>IFERROR(__xludf.DUMMYFUNCTION("""COMPUTED_VALUE"""),60.0)</f>
        <v>60</v>
      </c>
      <c r="L1070" s="2">
        <f>IFERROR(__xludf.DUMMYFUNCTION("""COMPUTED_VALUE"""),56.9579333)</f>
        <v>56.9579333</v>
      </c>
      <c r="M1070" s="2">
        <f>IFERROR(__xludf.DUMMYFUNCTION("""COMPUTED_VALUE"""),24.113967)</f>
        <v>24.113967</v>
      </c>
    </row>
    <row r="1071">
      <c r="A1071" s="2" t="str">
        <f>IFERROR(__xludf.DUMMYFUNCTION("""COMPUTED_VALUE"""),"For sale")</f>
        <v>For sale</v>
      </c>
      <c r="B1071" s="2" t="str">
        <f>IFERROR(__xludf.DUMMYFUNCTION("""COMPUTED_VALUE"""),"Mežaparks")</f>
        <v>Mežaparks</v>
      </c>
      <c r="C1071" s="2" t="str">
        <f>IFERROR(__xludf.DUMMYFUNCTION("""COMPUTED_VALUE"""),"Viestura pr. 51")</f>
        <v>Viestura pr. 51</v>
      </c>
      <c r="D1071" s="2">
        <f>IFERROR(__xludf.DUMMYFUNCTION("""COMPUTED_VALUE"""),1.0)</f>
        <v>1</v>
      </c>
      <c r="E1071" s="2">
        <f>IFERROR(__xludf.DUMMYFUNCTION("""COMPUTED_VALUE"""),35.0)</f>
        <v>35</v>
      </c>
      <c r="F1071" s="2">
        <f>IFERROR(__xludf.DUMMYFUNCTION("""COMPUTED_VALUE"""),5.0)</f>
        <v>5</v>
      </c>
      <c r="G1071" s="2">
        <f>IFERROR(__xludf.DUMMYFUNCTION("""COMPUTED_VALUE"""),9.0)</f>
        <v>9</v>
      </c>
      <c r="H1071" s="2" t="str">
        <f>IFERROR(__xludf.DUMMYFUNCTION("""COMPUTED_VALUE"""),"Specpr.")</f>
        <v>Specpr.</v>
      </c>
      <c r="I1071" s="2" t="str">
        <f>IFERROR(__xludf.DUMMYFUNCTION("""COMPUTED_VALUE"""),"Brick")</f>
        <v>Brick</v>
      </c>
      <c r="J1071" s="2" t="str">
        <f>IFERROR(__xludf.DUMMYFUNCTION("""COMPUTED_VALUE"""),"All amenities")</f>
        <v>All amenities</v>
      </c>
      <c r="K1071" s="2">
        <f>IFERROR(__xludf.DUMMYFUNCTION("""COMPUTED_VALUE"""),27990.0)</f>
        <v>27990</v>
      </c>
      <c r="L1071" s="2" t="str">
        <f>IFERROR(__xludf.DUMMYFUNCTION("""COMPUTED_VALUE"""),"NaN")</f>
        <v>NaN</v>
      </c>
      <c r="M1071" s="2" t="str">
        <f>IFERROR(__xludf.DUMMYFUNCTION("""COMPUTED_VALUE"""),"NaN")</f>
        <v>NaN</v>
      </c>
    </row>
    <row r="1072">
      <c r="A1072" s="2" t="str">
        <f>IFERROR(__xludf.DUMMYFUNCTION("""COMPUTED_VALUE"""),"For sale")</f>
        <v>For sale</v>
      </c>
      <c r="B1072" s="2" t="str">
        <f>IFERROR(__xludf.DUMMYFUNCTION("""COMPUTED_VALUE"""),"Imanta")</f>
        <v>Imanta</v>
      </c>
      <c r="C1072" s="2" t="str">
        <f>IFERROR(__xludf.DUMMYFUNCTION("""COMPUTED_VALUE"""),"Kurzemes pr. 6")</f>
        <v>Kurzemes pr. 6</v>
      </c>
      <c r="D1072" s="2">
        <f>IFERROR(__xludf.DUMMYFUNCTION("""COMPUTED_VALUE"""),3.0)</f>
        <v>3</v>
      </c>
      <c r="E1072" s="2">
        <f>IFERROR(__xludf.DUMMYFUNCTION("""COMPUTED_VALUE"""),60.0)</f>
        <v>60</v>
      </c>
      <c r="F1072" s="2">
        <f>IFERROR(__xludf.DUMMYFUNCTION("""COMPUTED_VALUE"""),4.0)</f>
        <v>4</v>
      </c>
      <c r="G1072" s="2">
        <f>IFERROR(__xludf.DUMMYFUNCTION("""COMPUTED_VALUE"""),5.0)</f>
        <v>5</v>
      </c>
      <c r="H1072" s="2" t="str">
        <f>IFERROR(__xludf.DUMMYFUNCTION("""COMPUTED_VALUE"""),"LT proj.")</f>
        <v>LT proj.</v>
      </c>
      <c r="I1072" s="2" t="str">
        <f>IFERROR(__xludf.DUMMYFUNCTION("""COMPUTED_VALUE"""),"Panel")</f>
        <v>Panel</v>
      </c>
      <c r="J1072" s="2" t="str">
        <f>IFERROR(__xludf.DUMMYFUNCTION("""COMPUTED_VALUE"""),"All amenities")</f>
        <v>All amenities</v>
      </c>
      <c r="K1072" s="2">
        <f>IFERROR(__xludf.DUMMYFUNCTION("""COMPUTED_VALUE"""),51000.0)</f>
        <v>51000</v>
      </c>
      <c r="L1072" s="2" t="str">
        <f>IFERROR(__xludf.DUMMYFUNCTION("""COMPUTED_VALUE"""),"NaN")</f>
        <v>NaN</v>
      </c>
      <c r="M1072" s="2" t="str">
        <f>IFERROR(__xludf.DUMMYFUNCTION("""COMPUTED_VALUE"""),"NaN")</f>
        <v>NaN</v>
      </c>
    </row>
    <row r="1073">
      <c r="A1073" s="2" t="str">
        <f>IFERROR(__xludf.DUMMYFUNCTION("""COMPUTED_VALUE"""),"For sale")</f>
        <v>For sale</v>
      </c>
      <c r="B1073" s="2" t="str">
        <f>IFERROR(__xludf.DUMMYFUNCTION("""COMPUTED_VALUE"""),"Daugavgrīva")</f>
        <v>Daugavgrīva</v>
      </c>
      <c r="C1073" s="2" t="str">
        <f>IFERROR(__xludf.DUMMYFUNCTION("""COMPUTED_VALUE"""),"Lēpju 5")</f>
        <v>Lēpju 5</v>
      </c>
      <c r="D1073" s="2">
        <f>IFERROR(__xludf.DUMMYFUNCTION("""COMPUTED_VALUE"""),2.0)</f>
        <v>2</v>
      </c>
      <c r="E1073" s="2">
        <f>IFERROR(__xludf.DUMMYFUNCTION("""COMPUTED_VALUE"""),46.0)</f>
        <v>46</v>
      </c>
      <c r="F1073" s="2">
        <f>IFERROR(__xludf.DUMMYFUNCTION("""COMPUTED_VALUE"""),2.0)</f>
        <v>2</v>
      </c>
      <c r="G1073" s="2">
        <f>IFERROR(__xludf.DUMMYFUNCTION("""COMPUTED_VALUE"""),5.0)</f>
        <v>5</v>
      </c>
      <c r="H1073" s="2" t="str">
        <f>IFERROR(__xludf.DUMMYFUNCTION("""COMPUTED_VALUE"""),"Specpr.")</f>
        <v>Specpr.</v>
      </c>
      <c r="I1073" s="2" t="str">
        <f>IFERROR(__xludf.DUMMYFUNCTION("""COMPUTED_VALUE"""),"Brick")</f>
        <v>Brick</v>
      </c>
      <c r="J1073" s="2" t="str">
        <f>IFERROR(__xludf.DUMMYFUNCTION("""COMPUTED_VALUE"""),"All amenities")</f>
        <v>All amenities</v>
      </c>
      <c r="K1073" s="2">
        <f>IFERROR(__xludf.DUMMYFUNCTION("""COMPUTED_VALUE"""),36000.0)</f>
        <v>36000</v>
      </c>
      <c r="L1073" s="2">
        <f>IFERROR(__xludf.DUMMYFUNCTION("""COMPUTED_VALUE"""),57.04141455)</f>
        <v>57.04141455</v>
      </c>
      <c r="M1073" s="2">
        <f>IFERROR(__xludf.DUMMYFUNCTION("""COMPUTED_VALUE"""),24.02751815)</f>
        <v>24.02751815</v>
      </c>
    </row>
    <row r="1074">
      <c r="A1074" s="2" t="str">
        <f>IFERROR(__xludf.DUMMYFUNCTION("""COMPUTED_VALUE"""),"For sale")</f>
        <v>For sale</v>
      </c>
      <c r="B1074" s="2" t="str">
        <f>IFERROR(__xludf.DUMMYFUNCTION("""COMPUTED_VALUE"""),"Ziepniekkalns")</f>
        <v>Ziepniekkalns</v>
      </c>
      <c r="C1074" s="2" t="str">
        <f>IFERROR(__xludf.DUMMYFUNCTION("""COMPUTED_VALUE"""),"Kaplavas 5")</f>
        <v>Kaplavas 5</v>
      </c>
      <c r="D1074" s="2">
        <f>IFERROR(__xludf.DUMMYFUNCTION("""COMPUTED_VALUE"""),3.0)</f>
        <v>3</v>
      </c>
      <c r="E1074" s="2">
        <f>IFERROR(__xludf.DUMMYFUNCTION("""COMPUTED_VALUE"""),99.0)</f>
        <v>99</v>
      </c>
      <c r="F1074" s="2">
        <f>IFERROR(__xludf.DUMMYFUNCTION("""COMPUTED_VALUE"""),4.0)</f>
        <v>4</v>
      </c>
      <c r="G1074" s="2">
        <f>IFERROR(__xludf.DUMMYFUNCTION("""COMPUTED_VALUE"""),6.0)</f>
        <v>6</v>
      </c>
      <c r="H1074" s="2" t="str">
        <f>IFERROR(__xludf.DUMMYFUNCTION("""COMPUTED_VALUE"""),"Jaun.")</f>
        <v>Jaun.</v>
      </c>
      <c r="I1074" s="2" t="str">
        <f>IFERROR(__xludf.DUMMYFUNCTION("""COMPUTED_VALUE"""),"Panel")</f>
        <v>Panel</v>
      </c>
      <c r="J1074" s="2" t="str">
        <f>IFERROR(__xludf.DUMMYFUNCTION("""COMPUTED_VALUE"""),"All amenities")</f>
        <v>All amenities</v>
      </c>
      <c r="K1074" s="2">
        <f>IFERROR(__xludf.DUMMYFUNCTION("""COMPUTED_VALUE"""),128000.0)</f>
        <v>128000</v>
      </c>
      <c r="L1074" s="2">
        <f>IFERROR(__xludf.DUMMYFUNCTION("""COMPUTED_VALUE"""),56.90846935)</f>
        <v>56.90846935</v>
      </c>
      <c r="M1074" s="2">
        <f>IFERROR(__xludf.DUMMYFUNCTION("""COMPUTED_VALUE"""),24.0786774128357)</f>
        <v>24.07867741</v>
      </c>
    </row>
    <row r="1075">
      <c r="A1075" s="2" t="str">
        <f>IFERROR(__xludf.DUMMYFUNCTION("""COMPUTED_VALUE"""),"For sale")</f>
        <v>For sale</v>
      </c>
      <c r="B1075" s="2" t="str">
        <f>IFERROR(__xludf.DUMMYFUNCTION("""COMPUTED_VALUE"""),"centrs")</f>
        <v>centrs</v>
      </c>
      <c r="C1075" s="2" t="str">
        <f>IFERROR(__xludf.DUMMYFUNCTION("""COMPUTED_VALUE"""),"M. Piena 8")</f>
        <v>M. Piena 8</v>
      </c>
      <c r="D1075" s="2">
        <f>IFERROR(__xludf.DUMMYFUNCTION("""COMPUTED_VALUE"""),3.0)</f>
        <v>3</v>
      </c>
      <c r="E1075" s="2">
        <f>IFERROR(__xludf.DUMMYFUNCTION("""COMPUTED_VALUE"""),51.0)</f>
        <v>51</v>
      </c>
      <c r="F1075" s="2">
        <f>IFERROR(__xludf.DUMMYFUNCTION("""COMPUTED_VALUE"""),4.0)</f>
        <v>4</v>
      </c>
      <c r="G1075" s="2">
        <f>IFERROR(__xludf.DUMMYFUNCTION("""COMPUTED_VALUE"""),4.0)</f>
        <v>4</v>
      </c>
      <c r="H1075" s="2" t="str">
        <f>IFERROR(__xludf.DUMMYFUNCTION("""COMPUTED_VALUE"""),"Renov.")</f>
        <v>Renov.</v>
      </c>
      <c r="I1075" s="2" t="str">
        <f>IFERROR(__xludf.DUMMYFUNCTION("""COMPUTED_VALUE"""),"Masonry")</f>
        <v>Masonry</v>
      </c>
      <c r="J1075" s="2" t="str">
        <f>IFERROR(__xludf.DUMMYFUNCTION("""COMPUTED_VALUE"""),"All amenities")</f>
        <v>All amenities</v>
      </c>
      <c r="K1075" s="2">
        <f>IFERROR(__xludf.DUMMYFUNCTION("""COMPUTED_VALUE"""),95000.0)</f>
        <v>95000</v>
      </c>
      <c r="L1075" s="2">
        <f>IFERROR(__xludf.DUMMYFUNCTION("""COMPUTED_VALUE"""),56.9701058)</f>
        <v>56.9701058</v>
      </c>
      <c r="M1075" s="2">
        <f>IFERROR(__xludf.DUMMYFUNCTION("""COMPUTED_VALUE"""),24.1047657)</f>
        <v>24.1047657</v>
      </c>
    </row>
    <row r="1076">
      <c r="A1076" s="2" t="str">
        <f>IFERROR(__xludf.DUMMYFUNCTION("""COMPUTED_VALUE"""),"For sale")</f>
        <v>For sale</v>
      </c>
      <c r="B1076" s="2" t="str">
        <f>IFERROR(__xludf.DUMMYFUNCTION("""COMPUTED_VALUE"""),"centrs")</f>
        <v>centrs</v>
      </c>
      <c r="C1076" s="2" t="str">
        <f>IFERROR(__xludf.DUMMYFUNCTION("""COMPUTED_VALUE"""),"Alūksnes 2")</f>
        <v>Alūksnes 2</v>
      </c>
      <c r="D1076" s="2">
        <f>IFERROR(__xludf.DUMMYFUNCTION("""COMPUTED_VALUE"""),2.0)</f>
        <v>2</v>
      </c>
      <c r="E1076" s="2">
        <f>IFERROR(__xludf.DUMMYFUNCTION("""COMPUTED_VALUE"""),48.0)</f>
        <v>48</v>
      </c>
      <c r="F1076" s="2">
        <f>IFERROR(__xludf.DUMMYFUNCTION("""COMPUTED_VALUE"""),3.0)</f>
        <v>3</v>
      </c>
      <c r="G1076" s="2">
        <f>IFERROR(__xludf.DUMMYFUNCTION("""COMPUTED_VALUE"""),5.0)</f>
        <v>5</v>
      </c>
      <c r="H1076" s="2" t="str">
        <f>IFERROR(__xludf.DUMMYFUNCTION("""COMPUTED_VALUE"""),"Specpr.")</f>
        <v>Specpr.</v>
      </c>
      <c r="I1076" s="2" t="str">
        <f>IFERROR(__xludf.DUMMYFUNCTION("""COMPUTED_VALUE"""),"Masonry")</f>
        <v>Masonry</v>
      </c>
      <c r="J1076" s="2" t="str">
        <f>IFERROR(__xludf.DUMMYFUNCTION("""COMPUTED_VALUE"""),"All amenities")</f>
        <v>All amenities</v>
      </c>
      <c r="K1076" s="2">
        <f>IFERROR(__xludf.DUMMYFUNCTION("""COMPUTED_VALUE"""),68000.0)</f>
        <v>68000</v>
      </c>
      <c r="L1076" s="2">
        <f>IFERROR(__xludf.DUMMYFUNCTION("""COMPUTED_VALUE"""),56.96925335)</f>
        <v>56.96925335</v>
      </c>
      <c r="M1076" s="2">
        <f>IFERROR(__xludf.DUMMYFUNCTION("""COMPUTED_VALUE"""),24.0988693972666)</f>
        <v>24.0988694</v>
      </c>
    </row>
    <row r="1077">
      <c r="A1077" s="2" t="str">
        <f>IFERROR(__xludf.DUMMYFUNCTION("""COMPUTED_VALUE"""),"For sale")</f>
        <v>For sale</v>
      </c>
      <c r="B1077" s="2" t="str">
        <f>IFERROR(__xludf.DUMMYFUNCTION("""COMPUTED_VALUE"""),"Imanta")</f>
        <v>Imanta</v>
      </c>
      <c r="C1077" s="2" t="str">
        <f>IFERROR(__xludf.DUMMYFUNCTION("""COMPUTED_VALUE"""),"Kurzemes pr. 92")</f>
        <v>Kurzemes pr. 92</v>
      </c>
      <c r="D1077" s="2">
        <f>IFERROR(__xludf.DUMMYFUNCTION("""COMPUTED_VALUE"""),2.0)</f>
        <v>2</v>
      </c>
      <c r="E1077" s="2">
        <f>IFERROR(__xludf.DUMMYFUNCTION("""COMPUTED_VALUE"""),50.0)</f>
        <v>50</v>
      </c>
      <c r="F1077" s="2">
        <f>IFERROR(__xludf.DUMMYFUNCTION("""COMPUTED_VALUE"""),1.0)</f>
        <v>1</v>
      </c>
      <c r="G1077" s="2">
        <f>IFERROR(__xludf.DUMMYFUNCTION("""COMPUTED_VALUE"""),5.0)</f>
        <v>5</v>
      </c>
      <c r="H1077" s="2" t="str">
        <f>IFERROR(__xludf.DUMMYFUNCTION("""COMPUTED_VALUE"""),"LT proj.")</f>
        <v>LT proj.</v>
      </c>
      <c r="I1077" s="2" t="str">
        <f>IFERROR(__xludf.DUMMYFUNCTION("""COMPUTED_VALUE"""),"Panel-Brick")</f>
        <v>Panel-Brick</v>
      </c>
      <c r="J1077" s="2" t="str">
        <f>IFERROR(__xludf.DUMMYFUNCTION("""COMPUTED_VALUE"""),"All amenities")</f>
        <v>All amenities</v>
      </c>
      <c r="K1077" s="2">
        <f>IFERROR(__xludf.DUMMYFUNCTION("""COMPUTED_VALUE"""),40800.0)</f>
        <v>40800</v>
      </c>
      <c r="L1077" s="2" t="str">
        <f>IFERROR(__xludf.DUMMYFUNCTION("""COMPUTED_VALUE"""),"NaN")</f>
        <v>NaN</v>
      </c>
      <c r="M1077" s="2" t="str">
        <f>IFERROR(__xludf.DUMMYFUNCTION("""COMPUTED_VALUE"""),"NaN")</f>
        <v>NaN</v>
      </c>
    </row>
    <row r="1078">
      <c r="A1078" s="2" t="str">
        <f>IFERROR(__xludf.DUMMYFUNCTION("""COMPUTED_VALUE"""),"For sale")</f>
        <v>For sale</v>
      </c>
      <c r="B1078" s="2" t="str">
        <f>IFERROR(__xludf.DUMMYFUNCTION("""COMPUTED_VALUE"""),"Ziepniekkalns")</f>
        <v>Ziepniekkalns</v>
      </c>
      <c r="C1078" s="2" t="str">
        <f>IFERROR(__xludf.DUMMYFUNCTION("""COMPUTED_VALUE"""),"Ozolciema 40a")</f>
        <v>Ozolciema 40a</v>
      </c>
      <c r="D1078" s="2">
        <f>IFERROR(__xludf.DUMMYFUNCTION("""COMPUTED_VALUE"""),2.0)</f>
        <v>2</v>
      </c>
      <c r="E1078" s="2">
        <f>IFERROR(__xludf.DUMMYFUNCTION("""COMPUTED_VALUE"""),49.0)</f>
        <v>49</v>
      </c>
      <c r="F1078" s="2">
        <f>IFERROR(__xludf.DUMMYFUNCTION("""COMPUTED_VALUE"""),6.0)</f>
        <v>6</v>
      </c>
      <c r="G1078" s="2">
        <f>IFERROR(__xludf.DUMMYFUNCTION("""COMPUTED_VALUE"""),11.0)</f>
        <v>11</v>
      </c>
      <c r="H1078" s="2" t="str">
        <f>IFERROR(__xludf.DUMMYFUNCTION("""COMPUTED_VALUE"""),"Specpr.")</f>
        <v>Specpr.</v>
      </c>
      <c r="I1078" s="2" t="str">
        <f>IFERROR(__xludf.DUMMYFUNCTION("""COMPUTED_VALUE"""),"Brick-Panel")</f>
        <v>Brick-Panel</v>
      </c>
      <c r="J1078" s="2" t="str">
        <f>IFERROR(__xludf.DUMMYFUNCTION("""COMPUTED_VALUE"""),"All amenities")</f>
        <v>All amenities</v>
      </c>
      <c r="K1078" s="2">
        <f>IFERROR(__xludf.DUMMYFUNCTION("""COMPUTED_VALUE"""),63000.0)</f>
        <v>63000</v>
      </c>
      <c r="L1078" s="2">
        <f>IFERROR(__xludf.DUMMYFUNCTION("""COMPUTED_VALUE"""),56.90189495)</f>
        <v>56.90189495</v>
      </c>
      <c r="M1078" s="2">
        <f>IFERROR(__xludf.DUMMYFUNCTION("""COMPUTED_VALUE"""),24.0964581699151)</f>
        <v>24.09645817</v>
      </c>
    </row>
    <row r="1079">
      <c r="A1079" s="2" t="str">
        <f>IFERROR(__xludf.DUMMYFUNCTION("""COMPUTED_VALUE"""),"For sale")</f>
        <v>For sale</v>
      </c>
      <c r="B1079" s="2" t="str">
        <f>IFERROR(__xludf.DUMMYFUNCTION("""COMPUTED_VALUE"""),"Pļavnieki")</f>
        <v>Pļavnieki</v>
      </c>
      <c r="C1079" s="2" t="str">
        <f>IFERROR(__xludf.DUMMYFUNCTION("""COMPUTED_VALUE"""),"Pļavnieku 5")</f>
        <v>Pļavnieku 5</v>
      </c>
      <c r="D1079" s="2">
        <f>IFERROR(__xludf.DUMMYFUNCTION("""COMPUTED_VALUE"""),2.0)</f>
        <v>2</v>
      </c>
      <c r="E1079" s="2">
        <f>IFERROR(__xludf.DUMMYFUNCTION("""COMPUTED_VALUE"""),51.0)</f>
        <v>51</v>
      </c>
      <c r="F1079" s="2">
        <f>IFERROR(__xludf.DUMMYFUNCTION("""COMPUTED_VALUE"""),6.0)</f>
        <v>6</v>
      </c>
      <c r="G1079" s="2">
        <f>IFERROR(__xludf.DUMMYFUNCTION("""COMPUTED_VALUE"""),9.0)</f>
        <v>9</v>
      </c>
      <c r="H1079" s="2">
        <f>IFERROR(__xludf.DUMMYFUNCTION("""COMPUTED_VALUE"""),602.0)</f>
        <v>602</v>
      </c>
      <c r="I1079" s="2" t="str">
        <f>IFERROR(__xludf.DUMMYFUNCTION("""COMPUTED_VALUE"""),"Panel")</f>
        <v>Panel</v>
      </c>
      <c r="J1079" s="2" t="str">
        <f>IFERROR(__xludf.DUMMYFUNCTION("""COMPUTED_VALUE"""),"All amenities")</f>
        <v>All amenities</v>
      </c>
      <c r="K1079" s="2">
        <f>IFERROR(__xludf.DUMMYFUNCTION("""COMPUTED_VALUE"""),54000.0)</f>
        <v>54000</v>
      </c>
      <c r="L1079" s="2">
        <f>IFERROR(__xludf.DUMMYFUNCTION("""COMPUTED_VALUE"""),56.94249375)</f>
        <v>56.94249375</v>
      </c>
      <c r="M1079" s="2">
        <f>IFERROR(__xludf.DUMMYFUNCTION("""COMPUTED_VALUE"""),24.2107276360446)</f>
        <v>24.21072764</v>
      </c>
    </row>
    <row r="1080">
      <c r="A1080" s="2" t="str">
        <f>IFERROR(__xludf.DUMMYFUNCTION("""COMPUTED_VALUE"""),"For rent")</f>
        <v>For rent</v>
      </c>
      <c r="B1080" s="2" t="str">
        <f>IFERROR(__xludf.DUMMYFUNCTION("""COMPUTED_VALUE"""),"Iļģuciems")</f>
        <v>Iļģuciems</v>
      </c>
      <c r="C1080" s="2" t="str">
        <f>IFERROR(__xludf.DUMMYFUNCTION("""COMPUTED_VALUE"""),"Lilijas 18")</f>
        <v>Lilijas 18</v>
      </c>
      <c r="D1080" s="2">
        <f>IFERROR(__xludf.DUMMYFUNCTION("""COMPUTED_VALUE"""),2.0)</f>
        <v>2</v>
      </c>
      <c r="E1080" s="2">
        <f>IFERROR(__xludf.DUMMYFUNCTION("""COMPUTED_VALUE"""),56.0)</f>
        <v>56</v>
      </c>
      <c r="F1080" s="2">
        <f>IFERROR(__xludf.DUMMYFUNCTION("""COMPUTED_VALUE"""),2.0)</f>
        <v>2</v>
      </c>
      <c r="G1080" s="2">
        <f>IFERROR(__xludf.DUMMYFUNCTION("""COMPUTED_VALUE"""),3.0)</f>
        <v>3</v>
      </c>
      <c r="H1080" s="2" t="str">
        <f>IFERROR(__xludf.DUMMYFUNCTION("""COMPUTED_VALUE"""),"Renov.")</f>
        <v>Renov.</v>
      </c>
      <c r="I1080" s="2" t="str">
        <f>IFERROR(__xludf.DUMMYFUNCTION("""COMPUTED_VALUE"""),"Masonry")</f>
        <v>Masonry</v>
      </c>
      <c r="J1080" s="2" t="str">
        <f>IFERROR(__xludf.DUMMYFUNCTION("""COMPUTED_VALUE"""),"All amenities")</f>
        <v>All amenities</v>
      </c>
      <c r="K1080" s="2">
        <f>IFERROR(__xludf.DUMMYFUNCTION("""COMPUTED_VALUE"""),330.0)</f>
        <v>330</v>
      </c>
      <c r="L1080" s="2">
        <f>IFERROR(__xludf.DUMMYFUNCTION("""COMPUTED_VALUE"""),56.9649868)</f>
        <v>56.9649868</v>
      </c>
      <c r="M1080" s="2">
        <f>IFERROR(__xludf.DUMMYFUNCTION("""COMPUTED_VALUE"""),24.0634798)</f>
        <v>24.0634798</v>
      </c>
    </row>
    <row r="1081">
      <c r="A1081" s="2" t="str">
        <f>IFERROR(__xludf.DUMMYFUNCTION("""COMPUTED_VALUE"""),"For sale")</f>
        <v>For sale</v>
      </c>
      <c r="B1081" s="2" t="str">
        <f>IFERROR(__xludf.DUMMYFUNCTION("""COMPUTED_VALUE"""),"Mežaparks")</f>
        <v>Mežaparks</v>
      </c>
      <c r="C1081" s="2" t="str">
        <f>IFERROR(__xludf.DUMMYFUNCTION("""COMPUTED_VALUE"""),"Visbijas pr. 45")</f>
        <v>Visbijas pr. 45</v>
      </c>
      <c r="D1081" s="2">
        <f>IFERROR(__xludf.DUMMYFUNCTION("""COMPUTED_VALUE"""),3.0)</f>
        <v>3</v>
      </c>
      <c r="E1081" s="2">
        <f>IFERROR(__xludf.DUMMYFUNCTION("""COMPUTED_VALUE"""),82.0)</f>
        <v>82</v>
      </c>
      <c r="F1081" s="2">
        <f>IFERROR(__xludf.DUMMYFUNCTION("""COMPUTED_VALUE"""),2.0)</f>
        <v>2</v>
      </c>
      <c r="G1081" s="2">
        <f>IFERROR(__xludf.DUMMYFUNCTION("""COMPUTED_VALUE"""),3.0)</f>
        <v>3</v>
      </c>
      <c r="H1081" s="2" t="str">
        <f>IFERROR(__xludf.DUMMYFUNCTION("""COMPUTED_VALUE"""),"Jaun.")</f>
        <v>Jaun.</v>
      </c>
      <c r="I1081" s="2" t="str">
        <f>IFERROR(__xludf.DUMMYFUNCTION("""COMPUTED_VALUE"""),"Masonry")</f>
        <v>Masonry</v>
      </c>
      <c r="J1081" s="2" t="str">
        <f>IFERROR(__xludf.DUMMYFUNCTION("""COMPUTED_VALUE"""),"All amenities")</f>
        <v>All amenities</v>
      </c>
      <c r="K1081" s="2">
        <f>IFERROR(__xludf.DUMMYFUNCTION("""COMPUTED_VALUE"""),190000.0)</f>
        <v>190000</v>
      </c>
      <c r="L1081" s="2" t="str">
        <f>IFERROR(__xludf.DUMMYFUNCTION("""COMPUTED_VALUE"""),"NaN")</f>
        <v>NaN</v>
      </c>
      <c r="M1081" s="2" t="str">
        <f>IFERROR(__xludf.DUMMYFUNCTION("""COMPUTED_VALUE"""),"NaN")</f>
        <v>NaN</v>
      </c>
    </row>
    <row r="1082">
      <c r="A1082" s="2" t="str">
        <f>IFERROR(__xludf.DUMMYFUNCTION("""COMPUTED_VALUE"""),"For rent")</f>
        <v>For rent</v>
      </c>
      <c r="B1082" s="2" t="str">
        <f>IFERROR(__xludf.DUMMYFUNCTION("""COMPUTED_VALUE"""),"Ķengarags")</f>
        <v>Ķengarags</v>
      </c>
      <c r="C1082" s="2" t="str">
        <f>IFERROR(__xludf.DUMMYFUNCTION("""COMPUTED_VALUE"""),"Maskavas 273")</f>
        <v>Maskavas 273</v>
      </c>
      <c r="D1082" s="2">
        <f>IFERROR(__xludf.DUMMYFUNCTION("""COMPUTED_VALUE"""),1.0)</f>
        <v>1</v>
      </c>
      <c r="E1082" s="2">
        <f>IFERROR(__xludf.DUMMYFUNCTION("""COMPUTED_VALUE"""),31.0)</f>
        <v>31</v>
      </c>
      <c r="F1082" s="2">
        <f>IFERROR(__xludf.DUMMYFUNCTION("""COMPUTED_VALUE"""),4.0)</f>
        <v>4</v>
      </c>
      <c r="G1082" s="2">
        <f>IFERROR(__xludf.DUMMYFUNCTION("""COMPUTED_VALUE"""),5.0)</f>
        <v>5</v>
      </c>
      <c r="H1082" s="2" t="str">
        <f>IFERROR(__xludf.DUMMYFUNCTION("""COMPUTED_VALUE"""),"LT proj.")</f>
        <v>LT proj.</v>
      </c>
      <c r="I1082" s="2" t="str">
        <f>IFERROR(__xludf.DUMMYFUNCTION("""COMPUTED_VALUE"""),"Panel")</f>
        <v>Panel</v>
      </c>
      <c r="J1082" s="2" t="str">
        <f>IFERROR(__xludf.DUMMYFUNCTION("""COMPUTED_VALUE"""),"All amenities")</f>
        <v>All amenities</v>
      </c>
      <c r="K1082" s="2">
        <f>IFERROR(__xludf.DUMMYFUNCTION("""COMPUTED_VALUE"""),250.0)</f>
        <v>250</v>
      </c>
      <c r="L1082" s="2">
        <f>IFERROR(__xludf.DUMMYFUNCTION("""COMPUTED_VALUE"""),56.8597884)</f>
        <v>56.8597884</v>
      </c>
      <c r="M1082" s="2">
        <f>IFERROR(__xludf.DUMMYFUNCTION("""COMPUTED_VALUE"""),24.3083417)</f>
        <v>24.3083417</v>
      </c>
    </row>
    <row r="1083">
      <c r="A1083" s="2" t="str">
        <f>IFERROR(__xludf.DUMMYFUNCTION("""COMPUTED_VALUE"""),"For sale")</f>
        <v>For sale</v>
      </c>
      <c r="B1083" s="2" t="str">
        <f>IFERROR(__xludf.DUMMYFUNCTION("""COMPUTED_VALUE"""),"Imanta")</f>
        <v>Imanta</v>
      </c>
      <c r="C1083" s="2" t="str">
        <f>IFERROR(__xludf.DUMMYFUNCTION("""COMPUTED_VALUE"""),"Kurzemes pr. 94")</f>
        <v>Kurzemes pr. 94</v>
      </c>
      <c r="D1083" s="2">
        <f>IFERROR(__xludf.DUMMYFUNCTION("""COMPUTED_VALUE"""),3.0)</f>
        <v>3</v>
      </c>
      <c r="E1083" s="2">
        <f>IFERROR(__xludf.DUMMYFUNCTION("""COMPUTED_VALUE"""),62.0)</f>
        <v>62</v>
      </c>
      <c r="F1083" s="2">
        <f>IFERROR(__xludf.DUMMYFUNCTION("""COMPUTED_VALUE"""),3.0)</f>
        <v>3</v>
      </c>
      <c r="G1083" s="2">
        <f>IFERROR(__xludf.DUMMYFUNCTION("""COMPUTED_VALUE"""),9.0)</f>
        <v>9</v>
      </c>
      <c r="H1083" s="2">
        <f>IFERROR(__xludf.DUMMYFUNCTION("""COMPUTED_VALUE"""),602.0)</f>
        <v>602</v>
      </c>
      <c r="I1083" s="2" t="str">
        <f>IFERROR(__xludf.DUMMYFUNCTION("""COMPUTED_VALUE"""),"Panel")</f>
        <v>Panel</v>
      </c>
      <c r="J1083" s="2" t="str">
        <f>IFERROR(__xludf.DUMMYFUNCTION("""COMPUTED_VALUE"""),"Without amenities")</f>
        <v>Without amenities</v>
      </c>
      <c r="K1083" s="2">
        <f>IFERROR(__xludf.DUMMYFUNCTION("""COMPUTED_VALUE"""),54990.0)</f>
        <v>54990</v>
      </c>
      <c r="L1083" s="2" t="str">
        <f>IFERROR(__xludf.DUMMYFUNCTION("""COMPUTED_VALUE"""),"NaN")</f>
        <v>NaN</v>
      </c>
      <c r="M1083" s="2" t="str">
        <f>IFERROR(__xludf.DUMMYFUNCTION("""COMPUTED_VALUE"""),"NaN")</f>
        <v>NaN</v>
      </c>
    </row>
    <row r="1084">
      <c r="A1084" s="2" t="str">
        <f>IFERROR(__xludf.DUMMYFUNCTION("""COMPUTED_VALUE"""),"For rent")</f>
        <v>For rent</v>
      </c>
      <c r="B1084" s="2" t="str">
        <f>IFERROR(__xludf.DUMMYFUNCTION("""COMPUTED_VALUE"""),"Āgenskalns")</f>
        <v>Āgenskalns</v>
      </c>
      <c r="C1084" s="2" t="str">
        <f>IFERROR(__xludf.DUMMYFUNCTION("""COMPUTED_VALUE"""),"Ventspils 7")</f>
        <v>Ventspils 7</v>
      </c>
      <c r="D1084" s="2">
        <f>IFERROR(__xludf.DUMMYFUNCTION("""COMPUTED_VALUE"""),1.0)</f>
        <v>1</v>
      </c>
      <c r="E1084" s="2">
        <f>IFERROR(__xludf.DUMMYFUNCTION("""COMPUTED_VALUE"""),27.0)</f>
        <v>27</v>
      </c>
      <c r="F1084" s="2">
        <f>IFERROR(__xludf.DUMMYFUNCTION("""COMPUTED_VALUE"""),2.0)</f>
        <v>2</v>
      </c>
      <c r="G1084" s="2">
        <f>IFERROR(__xludf.DUMMYFUNCTION("""COMPUTED_VALUE"""),5.0)</f>
        <v>5</v>
      </c>
      <c r="H1084" s="2" t="str">
        <f>IFERROR(__xludf.DUMMYFUNCTION("""COMPUTED_VALUE"""),"P. kara")</f>
        <v>P. kara</v>
      </c>
      <c r="I1084" s="2" t="str">
        <f>IFERROR(__xludf.DUMMYFUNCTION("""COMPUTED_VALUE"""),"Brick")</f>
        <v>Brick</v>
      </c>
      <c r="J1084" s="2" t="str">
        <f>IFERROR(__xludf.DUMMYFUNCTION("""COMPUTED_VALUE"""),"All amenities")</f>
        <v>All amenities</v>
      </c>
      <c r="K1084" s="2">
        <f>IFERROR(__xludf.DUMMYFUNCTION("""COMPUTED_VALUE"""),240.0)</f>
        <v>240</v>
      </c>
      <c r="L1084" s="2">
        <f>IFERROR(__xludf.DUMMYFUNCTION("""COMPUTED_VALUE"""),56.9492021)</f>
        <v>56.9492021</v>
      </c>
      <c r="M1084" s="2">
        <f>IFERROR(__xludf.DUMMYFUNCTION("""COMPUTED_VALUE"""),23.9587415)</f>
        <v>23.9587415</v>
      </c>
    </row>
    <row r="1085">
      <c r="A1085" s="2" t="str">
        <f>IFERROR(__xludf.DUMMYFUNCTION("""COMPUTED_VALUE"""),"For rent")</f>
        <v>For rent</v>
      </c>
      <c r="B1085" s="2" t="str">
        <f>IFERROR(__xludf.DUMMYFUNCTION("""COMPUTED_VALUE"""),"Āgenskalns")</f>
        <v>Āgenskalns</v>
      </c>
      <c r="C1085" s="2" t="str">
        <f>IFERROR(__xludf.DUMMYFUNCTION("""COMPUTED_VALUE"""),"Lapu 29")</f>
        <v>Lapu 29</v>
      </c>
      <c r="D1085" s="2">
        <f>IFERROR(__xludf.DUMMYFUNCTION("""COMPUTED_VALUE"""),3.0)</f>
        <v>3</v>
      </c>
      <c r="E1085" s="2">
        <f>IFERROR(__xludf.DUMMYFUNCTION("""COMPUTED_VALUE"""),70.0)</f>
        <v>70</v>
      </c>
      <c r="F1085" s="2">
        <f>IFERROR(__xludf.DUMMYFUNCTION("""COMPUTED_VALUE"""),3.0)</f>
        <v>3</v>
      </c>
      <c r="G1085" s="2">
        <f>IFERROR(__xludf.DUMMYFUNCTION("""COMPUTED_VALUE"""),3.0)</f>
        <v>3</v>
      </c>
      <c r="H1085" s="2" t="str">
        <f>IFERROR(__xludf.DUMMYFUNCTION("""COMPUTED_VALUE"""),"P. kara")</f>
        <v>P. kara</v>
      </c>
      <c r="I1085" s="2" t="str">
        <f>IFERROR(__xludf.DUMMYFUNCTION("""COMPUTED_VALUE"""),"Masonry")</f>
        <v>Masonry</v>
      </c>
      <c r="J1085" s="2" t="str">
        <f>IFERROR(__xludf.DUMMYFUNCTION("""COMPUTED_VALUE"""),"All amenities")</f>
        <v>All amenities</v>
      </c>
      <c r="K1085" s="2">
        <f>IFERROR(__xludf.DUMMYFUNCTION("""COMPUTED_VALUE"""),350.0)</f>
        <v>350</v>
      </c>
      <c r="L1085" s="2">
        <f>IFERROR(__xludf.DUMMYFUNCTION("""COMPUTED_VALUE"""),56.9389794)</f>
        <v>56.9389794</v>
      </c>
      <c r="M1085" s="2">
        <f>IFERROR(__xludf.DUMMYFUNCTION("""COMPUTED_VALUE"""),24.0718928)</f>
        <v>24.0718928</v>
      </c>
    </row>
    <row r="1086">
      <c r="A1086" s="2" t="str">
        <f>IFERROR(__xludf.DUMMYFUNCTION("""COMPUTED_VALUE"""),"For sale")</f>
        <v>For sale</v>
      </c>
      <c r="B1086" s="2" t="str">
        <f>IFERROR(__xludf.DUMMYFUNCTION("""COMPUTED_VALUE"""),"Ziepniekkalns")</f>
        <v>Ziepniekkalns</v>
      </c>
      <c r="C1086" s="2" t="str">
        <f>IFERROR(__xludf.DUMMYFUNCTION("""COMPUTED_VALUE"""),"Komētas 34")</f>
        <v>Komētas 34</v>
      </c>
      <c r="D1086" s="2">
        <f>IFERROR(__xludf.DUMMYFUNCTION("""COMPUTED_VALUE"""),4.0)</f>
        <v>4</v>
      </c>
      <c r="E1086" s="2">
        <f>IFERROR(__xludf.DUMMYFUNCTION("""COMPUTED_VALUE"""),141.0)</f>
        <v>141</v>
      </c>
      <c r="F1086" s="2">
        <f>IFERROR(__xludf.DUMMYFUNCTION("""COMPUTED_VALUE"""),4.0)</f>
        <v>4</v>
      </c>
      <c r="G1086" s="2">
        <f>IFERROR(__xludf.DUMMYFUNCTION("""COMPUTED_VALUE"""),4.0)</f>
        <v>4</v>
      </c>
      <c r="H1086" s="2" t="str">
        <f>IFERROR(__xludf.DUMMYFUNCTION("""COMPUTED_VALUE"""),"Jaun.")</f>
        <v>Jaun.</v>
      </c>
      <c r="I1086" s="2" t="str">
        <f>IFERROR(__xludf.DUMMYFUNCTION("""COMPUTED_VALUE"""),"Panel")</f>
        <v>Panel</v>
      </c>
      <c r="J1086" s="2" t="str">
        <f>IFERROR(__xludf.DUMMYFUNCTION("""COMPUTED_VALUE"""),"All amenities")</f>
        <v>All amenities</v>
      </c>
      <c r="K1086" s="2">
        <f>IFERROR(__xludf.DUMMYFUNCTION("""COMPUTED_VALUE"""),199950.0)</f>
        <v>199950</v>
      </c>
      <c r="L1086" s="2">
        <f>IFERROR(__xludf.DUMMYFUNCTION("""COMPUTED_VALUE"""),56.914968)</f>
        <v>56.914968</v>
      </c>
      <c r="M1086" s="2">
        <f>IFERROR(__xludf.DUMMYFUNCTION("""COMPUTED_VALUE"""),24.12289)</f>
        <v>24.12289</v>
      </c>
    </row>
    <row r="1087">
      <c r="A1087" s="2" t="str">
        <f>IFERROR(__xludf.DUMMYFUNCTION("""COMPUTED_VALUE"""),"For sale")</f>
        <v>For sale</v>
      </c>
      <c r="B1087" s="2" t="str">
        <f>IFERROR(__xludf.DUMMYFUNCTION("""COMPUTED_VALUE"""),"centrs")</f>
        <v>centrs</v>
      </c>
      <c r="C1087" s="2" t="str">
        <f>IFERROR(__xludf.DUMMYFUNCTION("""COMPUTED_VALUE"""),"Brīvības iela 168")</f>
        <v>Brīvības iela 168</v>
      </c>
      <c r="D1087" s="2">
        <f>IFERROR(__xludf.DUMMYFUNCTION("""COMPUTED_VALUE"""),4.0)</f>
        <v>4</v>
      </c>
      <c r="E1087" s="2">
        <f>IFERROR(__xludf.DUMMYFUNCTION("""COMPUTED_VALUE"""),172.0)</f>
        <v>172</v>
      </c>
      <c r="F1087" s="2">
        <f>IFERROR(__xludf.DUMMYFUNCTION("""COMPUTED_VALUE"""),6.0)</f>
        <v>6</v>
      </c>
      <c r="G1087" s="2">
        <f>IFERROR(__xludf.DUMMYFUNCTION("""COMPUTED_VALUE"""),7.0)</f>
        <v>7</v>
      </c>
      <c r="H1087" s="2" t="str">
        <f>IFERROR(__xludf.DUMMYFUNCTION("""COMPUTED_VALUE"""),"Specpr.")</f>
        <v>Specpr.</v>
      </c>
      <c r="I1087" s="2" t="str">
        <f>IFERROR(__xludf.DUMMYFUNCTION("""COMPUTED_VALUE"""),"Panel-Brick")</f>
        <v>Panel-Brick</v>
      </c>
      <c r="J1087" s="2" t="str">
        <f>IFERROR(__xludf.DUMMYFUNCTION("""COMPUTED_VALUE"""),"All amenities")</f>
        <v>All amenities</v>
      </c>
      <c r="K1087" s="2">
        <f>IFERROR(__xludf.DUMMYFUNCTION("""COMPUTED_VALUE"""),247000.0)</f>
        <v>247000</v>
      </c>
      <c r="L1087" s="2">
        <f>IFERROR(__xludf.DUMMYFUNCTION("""COMPUTED_VALUE"""),56.96580055)</f>
        <v>56.96580055</v>
      </c>
      <c r="M1087" s="2">
        <f>IFERROR(__xludf.DUMMYFUNCTION("""COMPUTED_VALUE"""),24.1442060150006)</f>
        <v>24.14420602</v>
      </c>
    </row>
    <row r="1088">
      <c r="A1088" s="2" t="str">
        <f>IFERROR(__xludf.DUMMYFUNCTION("""COMPUTED_VALUE"""),"For sale")</f>
        <v>For sale</v>
      </c>
      <c r="B1088" s="2" t="str">
        <f>IFERROR(__xludf.DUMMYFUNCTION("""COMPUTED_VALUE"""),"Ziepniekkalns")</f>
        <v>Ziepniekkalns</v>
      </c>
      <c r="C1088" s="2" t="str">
        <f>IFERROR(__xludf.DUMMYFUNCTION("""COMPUTED_VALUE"""),"Valdeķu 17")</f>
        <v>Valdeķu 17</v>
      </c>
      <c r="D1088" s="2">
        <f>IFERROR(__xludf.DUMMYFUNCTION("""COMPUTED_VALUE"""),2.0)</f>
        <v>2</v>
      </c>
      <c r="E1088" s="2">
        <f>IFERROR(__xludf.DUMMYFUNCTION("""COMPUTED_VALUE"""),49.0)</f>
        <v>49</v>
      </c>
      <c r="F1088" s="2">
        <f>IFERROR(__xludf.DUMMYFUNCTION("""COMPUTED_VALUE"""),3.0)</f>
        <v>3</v>
      </c>
      <c r="G1088" s="2">
        <f>IFERROR(__xludf.DUMMYFUNCTION("""COMPUTED_VALUE"""),5.0)</f>
        <v>5</v>
      </c>
      <c r="H1088" s="2" t="str">
        <f>IFERROR(__xludf.DUMMYFUNCTION("""COMPUTED_VALUE"""),"Specpr.")</f>
        <v>Specpr.</v>
      </c>
      <c r="I1088" s="2" t="str">
        <f>IFERROR(__xludf.DUMMYFUNCTION("""COMPUTED_VALUE"""),"Brick")</f>
        <v>Brick</v>
      </c>
      <c r="J1088" s="2" t="str">
        <f>IFERROR(__xludf.DUMMYFUNCTION("""COMPUTED_VALUE"""),"All amenities")</f>
        <v>All amenities</v>
      </c>
      <c r="K1088" s="2">
        <f>IFERROR(__xludf.DUMMYFUNCTION("""COMPUTED_VALUE"""),47000.0)</f>
        <v>47000</v>
      </c>
      <c r="L1088" s="2">
        <f>IFERROR(__xludf.DUMMYFUNCTION("""COMPUTED_VALUE"""),56.9145946)</f>
        <v>56.9145946</v>
      </c>
      <c r="M1088" s="2">
        <f>IFERROR(__xludf.DUMMYFUNCTION("""COMPUTED_VALUE"""),24.09608455)</f>
        <v>24.09608455</v>
      </c>
    </row>
    <row r="1089">
      <c r="A1089" s="2" t="str">
        <f>IFERROR(__xludf.DUMMYFUNCTION("""COMPUTED_VALUE"""),"For rent")</f>
        <v>For rent</v>
      </c>
      <c r="B1089" s="2" t="str">
        <f>IFERROR(__xludf.DUMMYFUNCTION("""COMPUTED_VALUE"""),"centrs")</f>
        <v>centrs</v>
      </c>
      <c r="C1089" s="2" t="str">
        <f>IFERROR(__xludf.DUMMYFUNCTION("""COMPUTED_VALUE"""),"Matīsa 137")</f>
        <v>Matīsa 137</v>
      </c>
      <c r="D1089" s="2">
        <f>IFERROR(__xludf.DUMMYFUNCTION("""COMPUTED_VALUE"""),1.0)</f>
        <v>1</v>
      </c>
      <c r="E1089" s="2">
        <f>IFERROR(__xludf.DUMMYFUNCTION("""COMPUTED_VALUE"""),25.0)</f>
        <v>25</v>
      </c>
      <c r="F1089" s="2">
        <f>IFERROR(__xludf.DUMMYFUNCTION("""COMPUTED_VALUE"""),4.0)</f>
        <v>4</v>
      </c>
      <c r="G1089" s="2">
        <f>IFERROR(__xludf.DUMMYFUNCTION("""COMPUTED_VALUE"""),4.0)</f>
        <v>4</v>
      </c>
      <c r="H1089" s="2" t="str">
        <f>IFERROR(__xludf.DUMMYFUNCTION("""COMPUTED_VALUE"""),"P. kara")</f>
        <v>P. kara</v>
      </c>
      <c r="I1089" s="2" t="str">
        <f>IFERROR(__xludf.DUMMYFUNCTION("""COMPUTED_VALUE"""),"Masonry")</f>
        <v>Masonry</v>
      </c>
      <c r="J1089" s="2" t="str">
        <f>IFERROR(__xludf.DUMMYFUNCTION("""COMPUTED_VALUE"""),"Partial amenities")</f>
        <v>Partial amenities</v>
      </c>
      <c r="K1089" s="2">
        <f>IFERROR(__xludf.DUMMYFUNCTION("""COMPUTED_VALUE"""),110.0)</f>
        <v>110</v>
      </c>
      <c r="L1089" s="2">
        <f>IFERROR(__xludf.DUMMYFUNCTION("""COMPUTED_VALUE"""),56.94852645)</f>
        <v>56.94852645</v>
      </c>
      <c r="M1089" s="2">
        <f>IFERROR(__xludf.DUMMYFUNCTION("""COMPUTED_VALUE"""),24.1519268353779)</f>
        <v>24.15192684</v>
      </c>
    </row>
    <row r="1090">
      <c r="A1090" s="2" t="str">
        <f>IFERROR(__xludf.DUMMYFUNCTION("""COMPUTED_VALUE"""),"For sale")</f>
        <v>For sale</v>
      </c>
      <c r="B1090" s="2" t="str">
        <f>IFERROR(__xludf.DUMMYFUNCTION("""COMPUTED_VALUE"""),"Āgenskalns")</f>
        <v>Āgenskalns</v>
      </c>
      <c r="C1090" s="2" t="str">
        <f>IFERROR(__xludf.DUMMYFUNCTION("""COMPUTED_VALUE"""),"Tapešu 23")</f>
        <v>Tapešu 23</v>
      </c>
      <c r="D1090" s="2">
        <f>IFERROR(__xludf.DUMMYFUNCTION("""COMPUTED_VALUE"""),2.0)</f>
        <v>2</v>
      </c>
      <c r="E1090" s="2">
        <f>IFERROR(__xludf.DUMMYFUNCTION("""COMPUTED_VALUE"""),49.0)</f>
        <v>49</v>
      </c>
      <c r="F1090" s="2">
        <f>IFERROR(__xludf.DUMMYFUNCTION("""COMPUTED_VALUE"""),4.0)</f>
        <v>4</v>
      </c>
      <c r="G1090" s="2">
        <f>IFERROR(__xludf.DUMMYFUNCTION("""COMPUTED_VALUE"""),5.0)</f>
        <v>5</v>
      </c>
      <c r="H1090" s="2" t="str">
        <f>IFERROR(__xludf.DUMMYFUNCTION("""COMPUTED_VALUE"""),"LT proj.")</f>
        <v>LT proj.</v>
      </c>
      <c r="I1090" s="2" t="str">
        <f>IFERROR(__xludf.DUMMYFUNCTION("""COMPUTED_VALUE"""),"Brick")</f>
        <v>Brick</v>
      </c>
      <c r="J1090" s="2" t="str">
        <f>IFERROR(__xludf.DUMMYFUNCTION("""COMPUTED_VALUE"""),"All amenities")</f>
        <v>All amenities</v>
      </c>
      <c r="K1090" s="2">
        <f>IFERROR(__xludf.DUMMYFUNCTION("""COMPUTED_VALUE"""),38000.0)</f>
        <v>38000</v>
      </c>
      <c r="L1090" s="2">
        <f>IFERROR(__xludf.DUMMYFUNCTION("""COMPUTED_VALUE"""),56.9483586)</f>
        <v>56.9483586</v>
      </c>
      <c r="M1090" s="2">
        <f>IFERROR(__xludf.DUMMYFUNCTION("""COMPUTED_VALUE"""),24.0478995119403)</f>
        <v>24.04789951</v>
      </c>
    </row>
    <row r="1091">
      <c r="A1091" s="2" t="str">
        <f>IFERROR(__xludf.DUMMYFUNCTION("""COMPUTED_VALUE"""),"For sale")</f>
        <v>For sale</v>
      </c>
      <c r="B1091" s="2" t="str">
        <f>IFERROR(__xludf.DUMMYFUNCTION("""COMPUTED_VALUE"""),"centrs")</f>
        <v>centrs</v>
      </c>
      <c r="C1091" s="2" t="str">
        <f>IFERROR(__xludf.DUMMYFUNCTION("""COMPUTED_VALUE"""),"Klijānu 16")</f>
        <v>Klijānu 16</v>
      </c>
      <c r="D1091" s="2">
        <f>IFERROR(__xludf.DUMMYFUNCTION("""COMPUTED_VALUE"""),3.0)</f>
        <v>3</v>
      </c>
      <c r="E1091" s="2">
        <f>IFERROR(__xludf.DUMMYFUNCTION("""COMPUTED_VALUE"""),79.0)</f>
        <v>79</v>
      </c>
      <c r="F1091" s="2">
        <f>IFERROR(__xludf.DUMMYFUNCTION("""COMPUTED_VALUE"""),7.0)</f>
        <v>7</v>
      </c>
      <c r="G1091" s="2">
        <f>IFERROR(__xludf.DUMMYFUNCTION("""COMPUTED_VALUE"""),9.0)</f>
        <v>9</v>
      </c>
      <c r="H1091" s="2" t="str">
        <f>IFERROR(__xludf.DUMMYFUNCTION("""COMPUTED_VALUE"""),"Jaun.")</f>
        <v>Jaun.</v>
      </c>
      <c r="I1091" s="2" t="str">
        <f>IFERROR(__xludf.DUMMYFUNCTION("""COMPUTED_VALUE"""),"Masonry")</f>
        <v>Masonry</v>
      </c>
      <c r="J1091" s="2" t="str">
        <f>IFERROR(__xludf.DUMMYFUNCTION("""COMPUTED_VALUE"""),"All amenities")</f>
        <v>All amenities</v>
      </c>
      <c r="K1091" s="2">
        <f>IFERROR(__xludf.DUMMYFUNCTION("""COMPUTED_VALUE"""),150000.0)</f>
        <v>150000</v>
      </c>
      <c r="L1091" s="2">
        <f>IFERROR(__xludf.DUMMYFUNCTION("""COMPUTED_VALUE"""),56.9742195)</f>
        <v>56.9742195</v>
      </c>
      <c r="M1091" s="2">
        <f>IFERROR(__xludf.DUMMYFUNCTION("""COMPUTED_VALUE"""),24.1483510382088)</f>
        <v>24.14835104</v>
      </c>
    </row>
    <row r="1092">
      <c r="A1092" s="2" t="str">
        <f>IFERROR(__xludf.DUMMYFUNCTION("""COMPUTED_VALUE"""),"For sale")</f>
        <v>For sale</v>
      </c>
      <c r="B1092" s="2" t="str">
        <f>IFERROR(__xludf.DUMMYFUNCTION("""COMPUTED_VALUE"""),"Purvciems")</f>
        <v>Purvciems</v>
      </c>
      <c r="C1092" s="2" t="str">
        <f>IFERROR(__xludf.DUMMYFUNCTION("""COMPUTED_VALUE"""),"Staiceles 1")</f>
        <v>Staiceles 1</v>
      </c>
      <c r="D1092" s="2">
        <f>IFERROR(__xludf.DUMMYFUNCTION("""COMPUTED_VALUE"""),3.0)</f>
        <v>3</v>
      </c>
      <c r="E1092" s="2">
        <f>IFERROR(__xludf.DUMMYFUNCTION("""COMPUTED_VALUE"""),64.0)</f>
        <v>64</v>
      </c>
      <c r="F1092" s="2">
        <f>IFERROR(__xludf.DUMMYFUNCTION("""COMPUTED_VALUE"""),5.0)</f>
        <v>5</v>
      </c>
      <c r="G1092" s="2">
        <f>IFERROR(__xludf.DUMMYFUNCTION("""COMPUTED_VALUE"""),9.0)</f>
        <v>9</v>
      </c>
      <c r="H1092" s="2">
        <f>IFERROR(__xludf.DUMMYFUNCTION("""COMPUTED_VALUE"""),602.0)</f>
        <v>602</v>
      </c>
      <c r="I1092" s="2" t="str">
        <f>IFERROR(__xludf.DUMMYFUNCTION("""COMPUTED_VALUE"""),"Panel")</f>
        <v>Panel</v>
      </c>
      <c r="J1092" s="2" t="str">
        <f>IFERROR(__xludf.DUMMYFUNCTION("""COMPUTED_VALUE"""),"All amenities")</f>
        <v>All amenities</v>
      </c>
      <c r="K1092" s="2">
        <f>IFERROR(__xludf.DUMMYFUNCTION("""COMPUTED_VALUE"""),76000.0)</f>
        <v>76000</v>
      </c>
      <c r="L1092" s="2">
        <f>IFERROR(__xludf.DUMMYFUNCTION("""COMPUTED_VALUE"""),56.9586743)</f>
        <v>56.9586743</v>
      </c>
      <c r="M1092" s="2">
        <f>IFERROR(__xludf.DUMMYFUNCTION("""COMPUTED_VALUE"""),24.1667047999999)</f>
        <v>24.1667048</v>
      </c>
    </row>
    <row r="1093">
      <c r="A1093" s="2" t="str">
        <f>IFERROR(__xludf.DUMMYFUNCTION("""COMPUTED_VALUE"""),"For sale")</f>
        <v>For sale</v>
      </c>
      <c r="B1093" s="2" t="str">
        <f>IFERROR(__xludf.DUMMYFUNCTION("""COMPUTED_VALUE"""),"Ziepniekkalns")</f>
        <v>Ziepniekkalns</v>
      </c>
      <c r="C1093" s="2" t="str">
        <f>IFERROR(__xludf.DUMMYFUNCTION("""COMPUTED_VALUE"""),"Ozolciema 28")</f>
        <v>Ozolciema 28</v>
      </c>
      <c r="D1093" s="2">
        <f>IFERROR(__xludf.DUMMYFUNCTION("""COMPUTED_VALUE"""),1.0)</f>
        <v>1</v>
      </c>
      <c r="E1093" s="2">
        <f>IFERROR(__xludf.DUMMYFUNCTION("""COMPUTED_VALUE"""),35.0)</f>
        <v>35</v>
      </c>
      <c r="F1093" s="2">
        <f>IFERROR(__xludf.DUMMYFUNCTION("""COMPUTED_VALUE"""),7.0)</f>
        <v>7</v>
      </c>
      <c r="G1093" s="2">
        <f>IFERROR(__xludf.DUMMYFUNCTION("""COMPUTED_VALUE"""),9.0)</f>
        <v>9</v>
      </c>
      <c r="H1093" s="2">
        <f>IFERROR(__xludf.DUMMYFUNCTION("""COMPUTED_VALUE"""),602.0)</f>
        <v>602</v>
      </c>
      <c r="I1093" s="2" t="str">
        <f>IFERROR(__xludf.DUMMYFUNCTION("""COMPUTED_VALUE"""),"Panel")</f>
        <v>Panel</v>
      </c>
      <c r="J1093" s="2" t="str">
        <f>IFERROR(__xludf.DUMMYFUNCTION("""COMPUTED_VALUE"""),"All amenities")</f>
        <v>All amenities</v>
      </c>
      <c r="K1093" s="2">
        <f>IFERROR(__xludf.DUMMYFUNCTION("""COMPUTED_VALUE"""),38000.0)</f>
        <v>38000</v>
      </c>
      <c r="L1093" s="2">
        <f>IFERROR(__xludf.DUMMYFUNCTION("""COMPUTED_VALUE"""),56.8993493499999)</f>
        <v>56.89934935</v>
      </c>
      <c r="M1093" s="2">
        <f>IFERROR(__xludf.DUMMYFUNCTION("""COMPUTED_VALUE"""),24.0964171406999)</f>
        <v>24.09641714</v>
      </c>
    </row>
    <row r="1094">
      <c r="A1094" s="2" t="str">
        <f>IFERROR(__xludf.DUMMYFUNCTION("""COMPUTED_VALUE"""),"For sale")</f>
        <v>For sale</v>
      </c>
      <c r="B1094" s="2" t="str">
        <f>IFERROR(__xludf.DUMMYFUNCTION("""COMPUTED_VALUE"""),"Vecmīlgrāvis")</f>
        <v>Vecmīlgrāvis</v>
      </c>
      <c r="C1094" s="2" t="str">
        <f>IFERROR(__xludf.DUMMYFUNCTION("""COMPUTED_VALUE"""),"Rinkas 1/1")</f>
        <v>Rinkas 1/1</v>
      </c>
      <c r="D1094" s="2">
        <f>IFERROR(__xludf.DUMMYFUNCTION("""COMPUTED_VALUE"""),2.0)</f>
        <v>2</v>
      </c>
      <c r="E1094" s="2">
        <f>IFERROR(__xludf.DUMMYFUNCTION("""COMPUTED_VALUE"""),50.0)</f>
        <v>50</v>
      </c>
      <c r="F1094" s="2">
        <f>IFERROR(__xludf.DUMMYFUNCTION("""COMPUTED_VALUE"""),5.0)</f>
        <v>5</v>
      </c>
      <c r="G1094" s="2">
        <f>IFERROR(__xludf.DUMMYFUNCTION("""COMPUTED_VALUE"""),5.0)</f>
        <v>5</v>
      </c>
      <c r="H1094" s="2" t="str">
        <f>IFERROR(__xludf.DUMMYFUNCTION("""COMPUTED_VALUE"""),"LT proj.")</f>
        <v>LT proj.</v>
      </c>
      <c r="I1094" s="2" t="str">
        <f>IFERROR(__xludf.DUMMYFUNCTION("""COMPUTED_VALUE"""),"Panel")</f>
        <v>Panel</v>
      </c>
      <c r="J1094" s="2" t="str">
        <f>IFERROR(__xludf.DUMMYFUNCTION("""COMPUTED_VALUE"""),"All amenities")</f>
        <v>All amenities</v>
      </c>
      <c r="K1094" s="2">
        <f>IFERROR(__xludf.DUMMYFUNCTION("""COMPUTED_VALUE"""),32000.0)</f>
        <v>32000</v>
      </c>
      <c r="L1094" s="2">
        <f>IFERROR(__xludf.DUMMYFUNCTION("""COMPUTED_VALUE"""),57.031977)</f>
        <v>57.031977</v>
      </c>
      <c r="M1094" s="2">
        <f>IFERROR(__xludf.DUMMYFUNCTION("""COMPUTED_VALUE"""),24.1014613)</f>
        <v>24.1014613</v>
      </c>
    </row>
    <row r="1095">
      <c r="A1095" s="2" t="str">
        <f>IFERROR(__xludf.DUMMYFUNCTION("""COMPUTED_VALUE"""),"For rent")</f>
        <v>For rent</v>
      </c>
      <c r="B1095" s="2" t="str">
        <f>IFERROR(__xludf.DUMMYFUNCTION("""COMPUTED_VALUE"""),"Āgenskalns")</f>
        <v>Āgenskalns</v>
      </c>
      <c r="C1095" s="2" t="str">
        <f>IFERROR(__xludf.DUMMYFUNCTION("""COMPUTED_VALUE"""),"Bāriņu 1a")</f>
        <v>Bāriņu 1a</v>
      </c>
      <c r="D1095" s="2">
        <f>IFERROR(__xludf.DUMMYFUNCTION("""COMPUTED_VALUE"""),1.0)</f>
        <v>1</v>
      </c>
      <c r="E1095" s="2">
        <f>IFERROR(__xludf.DUMMYFUNCTION("""COMPUTED_VALUE"""),23.0)</f>
        <v>23</v>
      </c>
      <c r="F1095" s="2">
        <f>IFERROR(__xludf.DUMMYFUNCTION("""COMPUTED_VALUE"""),2.0)</f>
        <v>2</v>
      </c>
      <c r="G1095" s="2">
        <f>IFERROR(__xludf.DUMMYFUNCTION("""COMPUTED_VALUE"""),4.0)</f>
        <v>4</v>
      </c>
      <c r="H1095" s="2" t="str">
        <f>IFERROR(__xludf.DUMMYFUNCTION("""COMPUTED_VALUE"""),"Hrušč.")</f>
        <v>Hrušč.</v>
      </c>
      <c r="I1095" s="2" t="str">
        <f>IFERROR(__xludf.DUMMYFUNCTION("""COMPUTED_VALUE"""),"Brick")</f>
        <v>Brick</v>
      </c>
      <c r="J1095" s="2" t="str">
        <f>IFERROR(__xludf.DUMMYFUNCTION("""COMPUTED_VALUE"""),"All amenities")</f>
        <v>All amenities</v>
      </c>
      <c r="K1095" s="2">
        <f>IFERROR(__xludf.DUMMYFUNCTION("""COMPUTED_VALUE"""),350.0)</f>
        <v>350</v>
      </c>
      <c r="L1095" s="2">
        <f>IFERROR(__xludf.DUMMYFUNCTION("""COMPUTED_VALUE"""),56.9372465)</f>
        <v>56.9372465</v>
      </c>
      <c r="M1095" s="2">
        <f>IFERROR(__xludf.DUMMYFUNCTION("""COMPUTED_VALUE"""),24.0780844624566)</f>
        <v>24.07808446</v>
      </c>
    </row>
    <row r="1096">
      <c r="A1096" s="2" t="str">
        <f>IFERROR(__xludf.DUMMYFUNCTION("""COMPUTED_VALUE"""),"For sale")</f>
        <v>For sale</v>
      </c>
      <c r="B1096" s="2" t="str">
        <f>IFERROR(__xludf.DUMMYFUNCTION("""COMPUTED_VALUE"""),"centrs")</f>
        <v>centrs</v>
      </c>
      <c r="C1096" s="2" t="str">
        <f>IFERROR(__xludf.DUMMYFUNCTION("""COMPUTED_VALUE"""),"Lāčplēša 11")</f>
        <v>Lāčplēša 11</v>
      </c>
      <c r="D1096" s="2">
        <f>IFERROR(__xludf.DUMMYFUNCTION("""COMPUTED_VALUE"""),4.0)</f>
        <v>4</v>
      </c>
      <c r="E1096" s="2">
        <f>IFERROR(__xludf.DUMMYFUNCTION("""COMPUTED_VALUE"""),142.0)</f>
        <v>142</v>
      </c>
      <c r="F1096" s="2">
        <f>IFERROR(__xludf.DUMMYFUNCTION("""COMPUTED_VALUE"""),6.0)</f>
        <v>6</v>
      </c>
      <c r="G1096" s="2">
        <f>IFERROR(__xludf.DUMMYFUNCTION("""COMPUTED_VALUE"""),7.0)</f>
        <v>7</v>
      </c>
      <c r="H1096" s="2" t="str">
        <f>IFERROR(__xludf.DUMMYFUNCTION("""COMPUTED_VALUE"""),"Jaun.")</f>
        <v>Jaun.</v>
      </c>
      <c r="I1096" s="2" t="str">
        <f>IFERROR(__xludf.DUMMYFUNCTION("""COMPUTED_VALUE"""),"Panel-Brick")</f>
        <v>Panel-Brick</v>
      </c>
      <c r="J1096" s="2" t="str">
        <f>IFERROR(__xludf.DUMMYFUNCTION("""COMPUTED_VALUE"""),"All amenities")</f>
        <v>All amenities</v>
      </c>
      <c r="K1096" s="2">
        <f>IFERROR(__xludf.DUMMYFUNCTION("""COMPUTED_VALUE"""),618995.0)</f>
        <v>618995</v>
      </c>
      <c r="L1096" s="2">
        <f>IFERROR(__xludf.DUMMYFUNCTION("""COMPUTED_VALUE"""),56.950124)</f>
        <v>56.950124</v>
      </c>
      <c r="M1096" s="2">
        <f>IFERROR(__xludf.DUMMYFUNCTION("""COMPUTED_VALUE"""),24.1325244)</f>
        <v>24.1325244</v>
      </c>
    </row>
    <row r="1097">
      <c r="A1097" s="2" t="str">
        <f>IFERROR(__xludf.DUMMYFUNCTION("""COMPUTED_VALUE"""),"For sale")</f>
        <v>For sale</v>
      </c>
      <c r="B1097" s="2" t="str">
        <f>IFERROR(__xludf.DUMMYFUNCTION("""COMPUTED_VALUE"""),"Ķīpsala")</f>
        <v>Ķīpsala</v>
      </c>
      <c r="C1097" s="2" t="str">
        <f>IFERROR(__xludf.DUMMYFUNCTION("""COMPUTED_VALUE"""),"Ogļu 30")</f>
        <v>Ogļu 30</v>
      </c>
      <c r="D1097" s="2">
        <f>IFERROR(__xludf.DUMMYFUNCTION("""COMPUTED_VALUE"""),3.0)</f>
        <v>3</v>
      </c>
      <c r="E1097" s="2">
        <f>IFERROR(__xludf.DUMMYFUNCTION("""COMPUTED_VALUE"""),100.0)</f>
        <v>100</v>
      </c>
      <c r="F1097" s="2">
        <f>IFERROR(__xludf.DUMMYFUNCTION("""COMPUTED_VALUE"""),1.0)</f>
        <v>1</v>
      </c>
      <c r="G1097" s="2">
        <f>IFERROR(__xludf.DUMMYFUNCTION("""COMPUTED_VALUE"""),3.0)</f>
        <v>3</v>
      </c>
      <c r="H1097" s="2" t="str">
        <f>IFERROR(__xludf.DUMMYFUNCTION("""COMPUTED_VALUE"""),"Jaun.")</f>
        <v>Jaun.</v>
      </c>
      <c r="I1097" s="2" t="str">
        <f>IFERROR(__xludf.DUMMYFUNCTION("""COMPUTED_VALUE"""),"Masonry")</f>
        <v>Masonry</v>
      </c>
      <c r="J1097" s="2" t="str">
        <f>IFERROR(__xludf.DUMMYFUNCTION("""COMPUTED_VALUE"""),"All amenities")</f>
        <v>All amenities</v>
      </c>
      <c r="K1097" s="2">
        <f>IFERROR(__xludf.DUMMYFUNCTION("""COMPUTED_VALUE"""),300000.0)</f>
        <v>300000</v>
      </c>
      <c r="L1097" s="2">
        <f>IFERROR(__xludf.DUMMYFUNCTION("""COMPUTED_VALUE"""),56.9606804)</f>
        <v>56.9606804</v>
      </c>
      <c r="M1097" s="2">
        <f>IFERROR(__xludf.DUMMYFUNCTION("""COMPUTED_VALUE"""),24.0818363627676)</f>
        <v>24.08183636</v>
      </c>
    </row>
    <row r="1098">
      <c r="A1098" s="2" t="str">
        <f>IFERROR(__xludf.DUMMYFUNCTION("""COMPUTED_VALUE"""),"For sale")</f>
        <v>For sale</v>
      </c>
      <c r="B1098" s="2" t="str">
        <f>IFERROR(__xludf.DUMMYFUNCTION("""COMPUTED_VALUE"""),"Ķīpsala")</f>
        <v>Ķīpsala</v>
      </c>
      <c r="C1098" s="2" t="str">
        <f>IFERROR(__xludf.DUMMYFUNCTION("""COMPUTED_VALUE"""),"Ogļu 32")</f>
        <v>Ogļu 32</v>
      </c>
      <c r="D1098" s="2">
        <f>IFERROR(__xludf.DUMMYFUNCTION("""COMPUTED_VALUE"""),3.0)</f>
        <v>3</v>
      </c>
      <c r="E1098" s="2">
        <f>IFERROR(__xludf.DUMMYFUNCTION("""COMPUTED_VALUE"""),130.0)</f>
        <v>130</v>
      </c>
      <c r="F1098" s="2">
        <f>IFERROR(__xludf.DUMMYFUNCTION("""COMPUTED_VALUE"""),4.0)</f>
        <v>4</v>
      </c>
      <c r="G1098" s="2">
        <f>IFERROR(__xludf.DUMMYFUNCTION("""COMPUTED_VALUE"""),4.0)</f>
        <v>4</v>
      </c>
      <c r="H1098" s="2" t="str">
        <f>IFERROR(__xludf.DUMMYFUNCTION("""COMPUTED_VALUE"""),"Renov.")</f>
        <v>Renov.</v>
      </c>
      <c r="I1098" s="2" t="str">
        <f>IFERROR(__xludf.DUMMYFUNCTION("""COMPUTED_VALUE"""),"Masonry")</f>
        <v>Masonry</v>
      </c>
      <c r="J1098" s="2" t="str">
        <f>IFERROR(__xludf.DUMMYFUNCTION("""COMPUTED_VALUE"""),"All amenities")</f>
        <v>All amenities</v>
      </c>
      <c r="K1098" s="2">
        <f>IFERROR(__xludf.DUMMYFUNCTION("""COMPUTED_VALUE"""),450000.0)</f>
        <v>450000</v>
      </c>
      <c r="L1098" s="2">
        <f>IFERROR(__xludf.DUMMYFUNCTION("""COMPUTED_VALUE"""),56.9608406)</f>
        <v>56.9608406</v>
      </c>
      <c r="M1098" s="2">
        <f>IFERROR(__xludf.DUMMYFUNCTION("""COMPUTED_VALUE"""),24.0817647913357)</f>
        <v>24.08176479</v>
      </c>
    </row>
    <row r="1099">
      <c r="A1099" s="2" t="str">
        <f>IFERROR(__xludf.DUMMYFUNCTION("""COMPUTED_VALUE"""),"For rent")</f>
        <v>For rent</v>
      </c>
      <c r="B1099" s="2" t="str">
        <f>IFERROR(__xludf.DUMMYFUNCTION("""COMPUTED_VALUE"""),"Pļavnieki")</f>
        <v>Pļavnieki</v>
      </c>
      <c r="C1099" s="2" t="str">
        <f>IFERROR(__xludf.DUMMYFUNCTION("""COMPUTED_VALUE"""),"Lubānas 999")</f>
        <v>Lubānas 999</v>
      </c>
      <c r="D1099" s="2">
        <f>IFERROR(__xludf.DUMMYFUNCTION("""COMPUTED_VALUE"""),3.0)</f>
        <v>3</v>
      </c>
      <c r="E1099" s="2">
        <f>IFERROR(__xludf.DUMMYFUNCTION("""COMPUTED_VALUE"""),68.0)</f>
        <v>68</v>
      </c>
      <c r="F1099" s="2">
        <f>IFERROR(__xludf.DUMMYFUNCTION("""COMPUTED_VALUE"""),5.0)</f>
        <v>5</v>
      </c>
      <c r="G1099" s="2">
        <f>IFERROR(__xludf.DUMMYFUNCTION("""COMPUTED_VALUE"""),6.0)</f>
        <v>6</v>
      </c>
      <c r="H1099" s="2" t="str">
        <f>IFERROR(__xludf.DUMMYFUNCTION("""COMPUTED_VALUE"""),"Jaun.")</f>
        <v>Jaun.</v>
      </c>
      <c r="I1099" s="2" t="str">
        <f>IFERROR(__xludf.DUMMYFUNCTION("""COMPUTED_VALUE"""),"Masonry")</f>
        <v>Masonry</v>
      </c>
      <c r="J1099" s="2" t="str">
        <f>IFERROR(__xludf.DUMMYFUNCTION("""COMPUTED_VALUE"""),"All amenities")</f>
        <v>All amenities</v>
      </c>
      <c r="K1099" s="2">
        <f>IFERROR(__xludf.DUMMYFUNCTION("""COMPUTED_VALUE"""),350.0)</f>
        <v>350</v>
      </c>
      <c r="L1099" s="2">
        <f>IFERROR(__xludf.DUMMYFUNCTION("""COMPUTED_VALUE"""),56.9310392)</f>
        <v>56.9310392</v>
      </c>
      <c r="M1099" s="2">
        <f>IFERROR(__xludf.DUMMYFUNCTION("""COMPUTED_VALUE"""),24.1885814)</f>
        <v>24.1885814</v>
      </c>
    </row>
    <row r="1100">
      <c r="A1100" s="2" t="str">
        <f>IFERROR(__xludf.DUMMYFUNCTION("""COMPUTED_VALUE"""),"For sale")</f>
        <v>For sale</v>
      </c>
      <c r="B1100" s="2" t="str">
        <f>IFERROR(__xludf.DUMMYFUNCTION("""COMPUTED_VALUE"""),"centrs")</f>
        <v>centrs</v>
      </c>
      <c r="C1100" s="2" t="str">
        <f>IFERROR(__xludf.DUMMYFUNCTION("""COMPUTED_VALUE"""),"Dzirnavu 6")</f>
        <v>Dzirnavu 6</v>
      </c>
      <c r="D1100" s="2">
        <f>IFERROR(__xludf.DUMMYFUNCTION("""COMPUTED_VALUE"""),3.0)</f>
        <v>3</v>
      </c>
      <c r="E1100" s="2">
        <f>IFERROR(__xludf.DUMMYFUNCTION("""COMPUTED_VALUE"""),77.0)</f>
        <v>77</v>
      </c>
      <c r="F1100" s="2">
        <f>IFERROR(__xludf.DUMMYFUNCTION("""COMPUTED_VALUE"""),3.0)</f>
        <v>3</v>
      </c>
      <c r="G1100" s="2">
        <f>IFERROR(__xludf.DUMMYFUNCTION("""COMPUTED_VALUE"""),4.0)</f>
        <v>4</v>
      </c>
      <c r="H1100" s="2" t="str">
        <f>IFERROR(__xludf.DUMMYFUNCTION("""COMPUTED_VALUE"""),"Renov.")</f>
        <v>Renov.</v>
      </c>
      <c r="I1100" s="2" t="str">
        <f>IFERROR(__xludf.DUMMYFUNCTION("""COMPUTED_VALUE"""),"Masonry")</f>
        <v>Masonry</v>
      </c>
      <c r="J1100" s="2" t="str">
        <f>IFERROR(__xludf.DUMMYFUNCTION("""COMPUTED_VALUE"""),"All amenities")</f>
        <v>All amenities</v>
      </c>
      <c r="K1100" s="2">
        <f>IFERROR(__xludf.DUMMYFUNCTION("""COMPUTED_VALUE"""),225000.0)</f>
        <v>225000</v>
      </c>
      <c r="L1100" s="2">
        <f>IFERROR(__xludf.DUMMYFUNCTION("""COMPUTED_VALUE"""),56.9612002)</f>
        <v>56.9612002</v>
      </c>
      <c r="M1100" s="2">
        <f>IFERROR(__xludf.DUMMYFUNCTION("""COMPUTED_VALUE"""),24.1075394109907)</f>
        <v>24.10753941</v>
      </c>
    </row>
    <row r="1101">
      <c r="A1101" s="2" t="str">
        <f>IFERROR(__xludf.DUMMYFUNCTION("""COMPUTED_VALUE"""),"For sale")</f>
        <v>For sale</v>
      </c>
      <c r="B1101" s="2" t="str">
        <f>IFERROR(__xludf.DUMMYFUNCTION("""COMPUTED_VALUE"""),"centrs")</f>
        <v>centrs</v>
      </c>
      <c r="C1101" s="2" t="str">
        <f>IFERROR(__xludf.DUMMYFUNCTION("""COMPUTED_VALUE"""),"Dzirnavu 6")</f>
        <v>Dzirnavu 6</v>
      </c>
      <c r="D1101" s="2">
        <f>IFERROR(__xludf.DUMMYFUNCTION("""COMPUTED_VALUE"""),3.0)</f>
        <v>3</v>
      </c>
      <c r="E1101" s="2">
        <f>IFERROR(__xludf.DUMMYFUNCTION("""COMPUTED_VALUE"""),103.0)</f>
        <v>103</v>
      </c>
      <c r="F1101" s="2">
        <f>IFERROR(__xludf.DUMMYFUNCTION("""COMPUTED_VALUE"""),1.0)</f>
        <v>1</v>
      </c>
      <c r="G1101" s="2">
        <f>IFERROR(__xludf.DUMMYFUNCTION("""COMPUTED_VALUE"""),4.0)</f>
        <v>4</v>
      </c>
      <c r="H1101" s="2" t="str">
        <f>IFERROR(__xludf.DUMMYFUNCTION("""COMPUTED_VALUE"""),"Renov.")</f>
        <v>Renov.</v>
      </c>
      <c r="I1101" s="2" t="str">
        <f>IFERROR(__xludf.DUMMYFUNCTION("""COMPUTED_VALUE"""),"Masonry")</f>
        <v>Masonry</v>
      </c>
      <c r="J1101" s="2" t="str">
        <f>IFERROR(__xludf.DUMMYFUNCTION("""COMPUTED_VALUE"""),"All amenities")</f>
        <v>All amenities</v>
      </c>
      <c r="K1101" s="2">
        <f>IFERROR(__xludf.DUMMYFUNCTION("""COMPUTED_VALUE"""),268000.0)</f>
        <v>268000</v>
      </c>
      <c r="L1101" s="2">
        <f>IFERROR(__xludf.DUMMYFUNCTION("""COMPUTED_VALUE"""),56.9612002)</f>
        <v>56.9612002</v>
      </c>
      <c r="M1101" s="2">
        <f>IFERROR(__xludf.DUMMYFUNCTION("""COMPUTED_VALUE"""),24.1075394109907)</f>
        <v>24.10753941</v>
      </c>
    </row>
    <row r="1102">
      <c r="A1102" s="2" t="str">
        <f>IFERROR(__xludf.DUMMYFUNCTION("""COMPUTED_VALUE"""),"For sale")</f>
        <v>For sale</v>
      </c>
      <c r="B1102" s="2" t="str">
        <f>IFERROR(__xludf.DUMMYFUNCTION("""COMPUTED_VALUE"""),"centrs")</f>
        <v>centrs</v>
      </c>
      <c r="C1102" s="2" t="str">
        <f>IFERROR(__xludf.DUMMYFUNCTION("""COMPUTED_VALUE"""),"Dzirnavu 6")</f>
        <v>Dzirnavu 6</v>
      </c>
      <c r="D1102" s="2">
        <f>IFERROR(__xludf.DUMMYFUNCTION("""COMPUTED_VALUE"""),4.0)</f>
        <v>4</v>
      </c>
      <c r="E1102" s="2">
        <f>IFERROR(__xludf.DUMMYFUNCTION("""COMPUTED_VALUE"""),96.0)</f>
        <v>96</v>
      </c>
      <c r="F1102" s="2">
        <f>IFERROR(__xludf.DUMMYFUNCTION("""COMPUTED_VALUE"""),3.0)</f>
        <v>3</v>
      </c>
      <c r="G1102" s="2">
        <f>IFERROR(__xludf.DUMMYFUNCTION("""COMPUTED_VALUE"""),4.0)</f>
        <v>4</v>
      </c>
      <c r="H1102" s="2" t="str">
        <f>IFERROR(__xludf.DUMMYFUNCTION("""COMPUTED_VALUE"""),"Renov.")</f>
        <v>Renov.</v>
      </c>
      <c r="I1102" s="2" t="str">
        <f>IFERROR(__xludf.DUMMYFUNCTION("""COMPUTED_VALUE"""),"Masonry")</f>
        <v>Masonry</v>
      </c>
      <c r="J1102" s="2" t="str">
        <f>IFERROR(__xludf.DUMMYFUNCTION("""COMPUTED_VALUE"""),"All amenities")</f>
        <v>All amenities</v>
      </c>
      <c r="K1102" s="2">
        <f>IFERROR(__xludf.DUMMYFUNCTION("""COMPUTED_VALUE"""),279000.0)</f>
        <v>279000</v>
      </c>
      <c r="L1102" s="2">
        <f>IFERROR(__xludf.DUMMYFUNCTION("""COMPUTED_VALUE"""),56.9612002)</f>
        <v>56.9612002</v>
      </c>
      <c r="M1102" s="2">
        <f>IFERROR(__xludf.DUMMYFUNCTION("""COMPUTED_VALUE"""),24.1075394109907)</f>
        <v>24.10753941</v>
      </c>
    </row>
    <row r="1103">
      <c r="A1103" s="2" t="str">
        <f>IFERROR(__xludf.DUMMYFUNCTION("""COMPUTED_VALUE"""),"For sale")</f>
        <v>For sale</v>
      </c>
      <c r="B1103" s="2" t="str">
        <f>IFERROR(__xludf.DUMMYFUNCTION("""COMPUTED_VALUE"""),"centrs")</f>
        <v>centrs</v>
      </c>
      <c r="C1103" s="2" t="str">
        <f>IFERROR(__xludf.DUMMYFUNCTION("""COMPUTED_VALUE"""),"Dzirnavu 6")</f>
        <v>Dzirnavu 6</v>
      </c>
      <c r="D1103" s="2">
        <f>IFERROR(__xludf.DUMMYFUNCTION("""COMPUTED_VALUE"""),2.0)</f>
        <v>2</v>
      </c>
      <c r="E1103" s="2">
        <f>IFERROR(__xludf.DUMMYFUNCTION("""COMPUTED_VALUE"""),56.0)</f>
        <v>56</v>
      </c>
      <c r="F1103" s="2">
        <f>IFERROR(__xludf.DUMMYFUNCTION("""COMPUTED_VALUE"""),1.0)</f>
        <v>1</v>
      </c>
      <c r="G1103" s="2">
        <f>IFERROR(__xludf.DUMMYFUNCTION("""COMPUTED_VALUE"""),4.0)</f>
        <v>4</v>
      </c>
      <c r="H1103" s="2" t="str">
        <f>IFERROR(__xludf.DUMMYFUNCTION("""COMPUTED_VALUE"""),"Renov.")</f>
        <v>Renov.</v>
      </c>
      <c r="I1103" s="2" t="str">
        <f>IFERROR(__xludf.DUMMYFUNCTION("""COMPUTED_VALUE"""),"Masonry")</f>
        <v>Masonry</v>
      </c>
      <c r="J1103" s="2" t="str">
        <f>IFERROR(__xludf.DUMMYFUNCTION("""COMPUTED_VALUE"""),"All amenities")</f>
        <v>All amenities</v>
      </c>
      <c r="K1103" s="2">
        <f>IFERROR(__xludf.DUMMYFUNCTION("""COMPUTED_VALUE"""),156000.0)</f>
        <v>156000</v>
      </c>
      <c r="L1103" s="2">
        <f>IFERROR(__xludf.DUMMYFUNCTION("""COMPUTED_VALUE"""),56.9612002)</f>
        <v>56.9612002</v>
      </c>
      <c r="M1103" s="2">
        <f>IFERROR(__xludf.DUMMYFUNCTION("""COMPUTED_VALUE"""),24.1075394109907)</f>
        <v>24.10753941</v>
      </c>
    </row>
    <row r="1104">
      <c r="A1104" s="2" t="str">
        <f>IFERROR(__xludf.DUMMYFUNCTION("""COMPUTED_VALUE"""),"For sale")</f>
        <v>For sale</v>
      </c>
      <c r="B1104" s="2" t="str">
        <f>IFERROR(__xludf.DUMMYFUNCTION("""COMPUTED_VALUE"""),"Ķīpsala")</f>
        <v>Ķīpsala</v>
      </c>
      <c r="C1104" s="2" t="str">
        <f>IFERROR(__xludf.DUMMYFUNCTION("""COMPUTED_VALUE"""),"Ogļu 30")</f>
        <v>Ogļu 30</v>
      </c>
      <c r="D1104" s="2">
        <f>IFERROR(__xludf.DUMMYFUNCTION("""COMPUTED_VALUE"""),3.0)</f>
        <v>3</v>
      </c>
      <c r="E1104" s="2">
        <f>IFERROR(__xludf.DUMMYFUNCTION("""COMPUTED_VALUE"""),140.0)</f>
        <v>140</v>
      </c>
      <c r="F1104" s="2">
        <f>IFERROR(__xludf.DUMMYFUNCTION("""COMPUTED_VALUE"""),3.0)</f>
        <v>3</v>
      </c>
      <c r="G1104" s="2">
        <f>IFERROR(__xludf.DUMMYFUNCTION("""COMPUTED_VALUE"""),3.0)</f>
        <v>3</v>
      </c>
      <c r="H1104" s="2" t="str">
        <f>IFERROR(__xludf.DUMMYFUNCTION("""COMPUTED_VALUE"""),"Jaun.")</f>
        <v>Jaun.</v>
      </c>
      <c r="I1104" s="2" t="str">
        <f>IFERROR(__xludf.DUMMYFUNCTION("""COMPUTED_VALUE"""),"Masonry")</f>
        <v>Masonry</v>
      </c>
      <c r="J1104" s="2" t="str">
        <f>IFERROR(__xludf.DUMMYFUNCTION("""COMPUTED_VALUE"""),"All amenities")</f>
        <v>All amenities</v>
      </c>
      <c r="K1104" s="2">
        <f>IFERROR(__xludf.DUMMYFUNCTION("""COMPUTED_VALUE"""),350000.0)</f>
        <v>350000</v>
      </c>
      <c r="L1104" s="2">
        <f>IFERROR(__xludf.DUMMYFUNCTION("""COMPUTED_VALUE"""),56.9606804)</f>
        <v>56.9606804</v>
      </c>
      <c r="M1104" s="2">
        <f>IFERROR(__xludf.DUMMYFUNCTION("""COMPUTED_VALUE"""),24.0818363627676)</f>
        <v>24.08183636</v>
      </c>
    </row>
    <row r="1105">
      <c r="A1105" s="2" t="str">
        <f>IFERROR(__xludf.DUMMYFUNCTION("""COMPUTED_VALUE"""),"For sale")</f>
        <v>For sale</v>
      </c>
      <c r="B1105" s="2" t="str">
        <f>IFERROR(__xludf.DUMMYFUNCTION("""COMPUTED_VALUE"""),"centrs")</f>
        <v>centrs</v>
      </c>
      <c r="C1105" s="2" t="str">
        <f>IFERROR(__xludf.DUMMYFUNCTION("""COMPUTED_VALUE"""),"Dzirnavu 6")</f>
        <v>Dzirnavu 6</v>
      </c>
      <c r="D1105" s="2">
        <f>IFERROR(__xludf.DUMMYFUNCTION("""COMPUTED_VALUE"""),4.0)</f>
        <v>4</v>
      </c>
      <c r="E1105" s="2">
        <f>IFERROR(__xludf.DUMMYFUNCTION("""COMPUTED_VALUE"""),97.0)</f>
        <v>97</v>
      </c>
      <c r="F1105" s="2">
        <f>IFERROR(__xludf.DUMMYFUNCTION("""COMPUTED_VALUE"""),2.0)</f>
        <v>2</v>
      </c>
      <c r="G1105" s="2">
        <f>IFERROR(__xludf.DUMMYFUNCTION("""COMPUTED_VALUE"""),4.0)</f>
        <v>4</v>
      </c>
      <c r="H1105" s="2" t="str">
        <f>IFERROR(__xludf.DUMMYFUNCTION("""COMPUTED_VALUE"""),"Renov.")</f>
        <v>Renov.</v>
      </c>
      <c r="I1105" s="2" t="str">
        <f>IFERROR(__xludf.DUMMYFUNCTION("""COMPUTED_VALUE"""),"Masonry")</f>
        <v>Masonry</v>
      </c>
      <c r="J1105" s="2" t="str">
        <f>IFERROR(__xludf.DUMMYFUNCTION("""COMPUTED_VALUE"""),"All amenities")</f>
        <v>All amenities</v>
      </c>
      <c r="K1105" s="2">
        <f>IFERROR(__xludf.DUMMYFUNCTION("""COMPUTED_VALUE"""),250000.0)</f>
        <v>250000</v>
      </c>
      <c r="L1105" s="2">
        <f>IFERROR(__xludf.DUMMYFUNCTION("""COMPUTED_VALUE"""),56.9612002)</f>
        <v>56.9612002</v>
      </c>
      <c r="M1105" s="2">
        <f>IFERROR(__xludf.DUMMYFUNCTION("""COMPUTED_VALUE"""),24.1075394109907)</f>
        <v>24.10753941</v>
      </c>
    </row>
    <row r="1106">
      <c r="A1106" s="2" t="str">
        <f>IFERROR(__xludf.DUMMYFUNCTION("""COMPUTED_VALUE"""),"For sale")</f>
        <v>For sale</v>
      </c>
      <c r="B1106" s="2" t="str">
        <f>IFERROR(__xludf.DUMMYFUNCTION("""COMPUTED_VALUE"""),"Ķīpsala")</f>
        <v>Ķīpsala</v>
      </c>
      <c r="C1106" s="2" t="str">
        <f>IFERROR(__xludf.DUMMYFUNCTION("""COMPUTED_VALUE"""),"Zvejnieku 24")</f>
        <v>Zvejnieku 24</v>
      </c>
      <c r="D1106" s="2">
        <f>IFERROR(__xludf.DUMMYFUNCTION("""COMPUTED_VALUE"""),2.0)</f>
        <v>2</v>
      </c>
      <c r="E1106" s="2">
        <f>IFERROR(__xludf.DUMMYFUNCTION("""COMPUTED_VALUE"""),72.0)</f>
        <v>72</v>
      </c>
      <c r="F1106" s="2">
        <f>IFERROR(__xludf.DUMMYFUNCTION("""COMPUTED_VALUE"""),1.0)</f>
        <v>1</v>
      </c>
      <c r="G1106" s="2">
        <f>IFERROR(__xludf.DUMMYFUNCTION("""COMPUTED_VALUE"""),3.0)</f>
        <v>3</v>
      </c>
      <c r="H1106" s="2" t="str">
        <f>IFERROR(__xludf.DUMMYFUNCTION("""COMPUTED_VALUE"""),"Jaun.")</f>
        <v>Jaun.</v>
      </c>
      <c r="I1106" s="2" t="str">
        <f>IFERROR(__xludf.DUMMYFUNCTION("""COMPUTED_VALUE"""),"Masonry")</f>
        <v>Masonry</v>
      </c>
      <c r="J1106" s="2" t="str">
        <f>IFERROR(__xludf.DUMMYFUNCTION("""COMPUTED_VALUE"""),"All amenities")</f>
        <v>All amenities</v>
      </c>
      <c r="K1106" s="2">
        <f>IFERROR(__xludf.DUMMYFUNCTION("""COMPUTED_VALUE"""),240000.0)</f>
        <v>240000</v>
      </c>
      <c r="L1106" s="2">
        <f>IFERROR(__xludf.DUMMYFUNCTION("""COMPUTED_VALUE"""),56.9595848999999)</f>
        <v>56.9595849</v>
      </c>
      <c r="M1106" s="2">
        <f>IFERROR(__xludf.DUMMYFUNCTION("""COMPUTED_VALUE"""),24.0798651223903)</f>
        <v>24.07986512</v>
      </c>
    </row>
    <row r="1107">
      <c r="A1107" s="2" t="str">
        <f>IFERROR(__xludf.DUMMYFUNCTION("""COMPUTED_VALUE"""),"For sale")</f>
        <v>For sale</v>
      </c>
      <c r="B1107" s="2" t="str">
        <f>IFERROR(__xludf.DUMMYFUNCTION("""COMPUTED_VALUE"""),"Ķīpsala")</f>
        <v>Ķīpsala</v>
      </c>
      <c r="C1107" s="2" t="str">
        <f>IFERROR(__xludf.DUMMYFUNCTION("""COMPUTED_VALUE"""),"Zvejnieku 24")</f>
        <v>Zvejnieku 24</v>
      </c>
      <c r="D1107" s="2">
        <f>IFERROR(__xludf.DUMMYFUNCTION("""COMPUTED_VALUE"""),2.0)</f>
        <v>2</v>
      </c>
      <c r="E1107" s="2">
        <f>IFERROR(__xludf.DUMMYFUNCTION("""COMPUTED_VALUE"""),70.0)</f>
        <v>70</v>
      </c>
      <c r="F1107" s="2">
        <f>IFERROR(__xludf.DUMMYFUNCTION("""COMPUTED_VALUE"""),1.0)</f>
        <v>1</v>
      </c>
      <c r="G1107" s="2">
        <f>IFERROR(__xludf.DUMMYFUNCTION("""COMPUTED_VALUE"""),3.0)</f>
        <v>3</v>
      </c>
      <c r="H1107" s="2" t="str">
        <f>IFERROR(__xludf.DUMMYFUNCTION("""COMPUTED_VALUE"""),"Jaun.")</f>
        <v>Jaun.</v>
      </c>
      <c r="I1107" s="2" t="str">
        <f>IFERROR(__xludf.DUMMYFUNCTION("""COMPUTED_VALUE"""),"Masonry")</f>
        <v>Masonry</v>
      </c>
      <c r="J1107" s="2" t="str">
        <f>IFERROR(__xludf.DUMMYFUNCTION("""COMPUTED_VALUE"""),"All amenities")</f>
        <v>All amenities</v>
      </c>
      <c r="K1107" s="2">
        <f>IFERROR(__xludf.DUMMYFUNCTION("""COMPUTED_VALUE"""),225000.0)</f>
        <v>225000</v>
      </c>
      <c r="L1107" s="2">
        <f>IFERROR(__xludf.DUMMYFUNCTION("""COMPUTED_VALUE"""),56.9595848999999)</f>
        <v>56.9595849</v>
      </c>
      <c r="M1107" s="2">
        <f>IFERROR(__xludf.DUMMYFUNCTION("""COMPUTED_VALUE"""),24.0798651223903)</f>
        <v>24.07986512</v>
      </c>
    </row>
    <row r="1108">
      <c r="A1108" s="2" t="str">
        <f>IFERROR(__xludf.DUMMYFUNCTION("""COMPUTED_VALUE"""),"For sale")</f>
        <v>For sale</v>
      </c>
      <c r="B1108" s="2"/>
      <c r="C1108" s="2" t="str">
        <f>IFERROR(__xludf.DUMMYFUNCTION("""COMPUTED_VALUE"""),"Ogļu 32")</f>
        <v>Ogļu 32</v>
      </c>
      <c r="D1108" s="2">
        <f>IFERROR(__xludf.DUMMYFUNCTION("""COMPUTED_VALUE"""),3.0)</f>
        <v>3</v>
      </c>
      <c r="E1108" s="2">
        <f>IFERROR(__xludf.DUMMYFUNCTION("""COMPUTED_VALUE"""),79.0)</f>
        <v>79</v>
      </c>
      <c r="F1108" s="2">
        <f>IFERROR(__xludf.DUMMYFUNCTION("""COMPUTED_VALUE"""),1.0)</f>
        <v>1</v>
      </c>
      <c r="G1108" s="2">
        <f>IFERROR(__xludf.DUMMYFUNCTION("""COMPUTED_VALUE"""),4.0)</f>
        <v>4</v>
      </c>
      <c r="H1108" s="2" t="str">
        <f>IFERROR(__xludf.DUMMYFUNCTION("""COMPUTED_VALUE"""),"Renov.")</f>
        <v>Renov.</v>
      </c>
      <c r="I1108" s="2" t="str">
        <f>IFERROR(__xludf.DUMMYFUNCTION("""COMPUTED_VALUE"""),"Masonry")</f>
        <v>Masonry</v>
      </c>
      <c r="J1108" s="2" t="str">
        <f>IFERROR(__xludf.DUMMYFUNCTION("""COMPUTED_VALUE"""),"All amenities")</f>
        <v>All amenities</v>
      </c>
      <c r="K1108" s="2">
        <f>IFERROR(__xludf.DUMMYFUNCTION("""COMPUTED_VALUE"""),260000.0)</f>
        <v>260000</v>
      </c>
      <c r="L1108" s="2">
        <f>IFERROR(__xludf.DUMMYFUNCTION("""COMPUTED_VALUE"""),56.9608406)</f>
        <v>56.9608406</v>
      </c>
      <c r="M1108" s="2">
        <f>IFERROR(__xludf.DUMMYFUNCTION("""COMPUTED_VALUE"""),24.0817647913357)</f>
        <v>24.08176479</v>
      </c>
    </row>
    <row r="1109">
      <c r="A1109" s="2" t="str">
        <f>IFERROR(__xludf.DUMMYFUNCTION("""COMPUTED_VALUE"""),"For sale")</f>
        <v>For sale</v>
      </c>
      <c r="B1109" s="2" t="str">
        <f>IFERROR(__xludf.DUMMYFUNCTION("""COMPUTED_VALUE"""),"Ķīpsala")</f>
        <v>Ķīpsala</v>
      </c>
      <c r="C1109" s="2" t="str">
        <f>IFERROR(__xludf.DUMMYFUNCTION("""COMPUTED_VALUE"""),"Ogļu 30")</f>
        <v>Ogļu 30</v>
      </c>
      <c r="D1109" s="2">
        <f>IFERROR(__xludf.DUMMYFUNCTION("""COMPUTED_VALUE"""),3.0)</f>
        <v>3</v>
      </c>
      <c r="E1109" s="2">
        <f>IFERROR(__xludf.DUMMYFUNCTION("""COMPUTED_VALUE"""),99.0)</f>
        <v>99</v>
      </c>
      <c r="F1109" s="2">
        <f>IFERROR(__xludf.DUMMYFUNCTION("""COMPUTED_VALUE"""),2.0)</f>
        <v>2</v>
      </c>
      <c r="G1109" s="2">
        <f>IFERROR(__xludf.DUMMYFUNCTION("""COMPUTED_VALUE"""),3.0)</f>
        <v>3</v>
      </c>
      <c r="H1109" s="2" t="str">
        <f>IFERROR(__xludf.DUMMYFUNCTION("""COMPUTED_VALUE"""),"Jaun.")</f>
        <v>Jaun.</v>
      </c>
      <c r="I1109" s="2" t="str">
        <f>IFERROR(__xludf.DUMMYFUNCTION("""COMPUTED_VALUE"""),"Masonry")</f>
        <v>Masonry</v>
      </c>
      <c r="J1109" s="2" t="str">
        <f>IFERROR(__xludf.DUMMYFUNCTION("""COMPUTED_VALUE"""),"All amenities")</f>
        <v>All amenities</v>
      </c>
      <c r="K1109" s="2">
        <f>IFERROR(__xludf.DUMMYFUNCTION("""COMPUTED_VALUE"""),330000.0)</f>
        <v>330000</v>
      </c>
      <c r="L1109" s="2">
        <f>IFERROR(__xludf.DUMMYFUNCTION("""COMPUTED_VALUE"""),56.9606804)</f>
        <v>56.9606804</v>
      </c>
      <c r="M1109" s="2">
        <f>IFERROR(__xludf.DUMMYFUNCTION("""COMPUTED_VALUE"""),24.0818363627676)</f>
        <v>24.08183636</v>
      </c>
    </row>
    <row r="1110">
      <c r="A1110" s="2" t="str">
        <f>IFERROR(__xludf.DUMMYFUNCTION("""COMPUTED_VALUE"""),"For sale")</f>
        <v>For sale</v>
      </c>
      <c r="B1110" s="2" t="str">
        <f>IFERROR(__xludf.DUMMYFUNCTION("""COMPUTED_VALUE"""),"Dārzciems")</f>
        <v>Dārzciems</v>
      </c>
      <c r="C1110" s="2" t="str">
        <f>IFERROR(__xludf.DUMMYFUNCTION("""COMPUTED_VALUE"""),"Nīcgales 52")</f>
        <v>Nīcgales 52</v>
      </c>
      <c r="D1110" s="2">
        <f>IFERROR(__xludf.DUMMYFUNCTION("""COMPUTED_VALUE"""),3.0)</f>
        <v>3</v>
      </c>
      <c r="E1110" s="2">
        <f>IFERROR(__xludf.DUMMYFUNCTION("""COMPUTED_VALUE"""),68.0)</f>
        <v>68</v>
      </c>
      <c r="F1110" s="2">
        <f>IFERROR(__xludf.DUMMYFUNCTION("""COMPUTED_VALUE"""),5.0)</f>
        <v>5</v>
      </c>
      <c r="G1110" s="2">
        <f>IFERROR(__xludf.DUMMYFUNCTION("""COMPUTED_VALUE"""),5.0)</f>
        <v>5</v>
      </c>
      <c r="H1110" s="2">
        <f>IFERROR(__xludf.DUMMYFUNCTION("""COMPUTED_VALUE"""),103.0)</f>
        <v>103</v>
      </c>
      <c r="I1110" s="2" t="str">
        <f>IFERROR(__xludf.DUMMYFUNCTION("""COMPUTED_VALUE"""),"Brick-Panel")</f>
        <v>Brick-Panel</v>
      </c>
      <c r="J1110" s="2" t="str">
        <f>IFERROR(__xludf.DUMMYFUNCTION("""COMPUTED_VALUE"""),"All amenities")</f>
        <v>All amenities</v>
      </c>
      <c r="K1110" s="2">
        <f>IFERROR(__xludf.DUMMYFUNCTION("""COMPUTED_VALUE"""),80000.0)</f>
        <v>80000</v>
      </c>
      <c r="L1110" s="2">
        <f>IFERROR(__xludf.DUMMYFUNCTION("""COMPUTED_VALUE"""),56.9505884)</f>
        <v>56.9505884</v>
      </c>
      <c r="M1110" s="2">
        <f>IFERROR(__xludf.DUMMYFUNCTION("""COMPUTED_VALUE"""),24.1734239)</f>
        <v>24.1734239</v>
      </c>
    </row>
    <row r="1111">
      <c r="A1111" s="2" t="str">
        <f>IFERROR(__xludf.DUMMYFUNCTION("""COMPUTED_VALUE"""),"For rent")</f>
        <v>For rent</v>
      </c>
      <c r="B1111" s="2" t="str">
        <f>IFERROR(__xludf.DUMMYFUNCTION("""COMPUTED_VALUE"""),"Šampēteris-Pleskodāle")</f>
        <v>Šampēteris-Pleskodāle</v>
      </c>
      <c r="C1111" s="2" t="str">
        <f>IFERROR(__xludf.DUMMYFUNCTION("""COMPUTED_VALUE"""),"Stendes 7/3")</f>
        <v>Stendes 7/3</v>
      </c>
      <c r="D1111" s="2">
        <f>IFERROR(__xludf.DUMMYFUNCTION("""COMPUTED_VALUE"""),1.0)</f>
        <v>1</v>
      </c>
      <c r="E1111" s="2">
        <f>IFERROR(__xludf.DUMMYFUNCTION("""COMPUTED_VALUE"""),13.0)</f>
        <v>13</v>
      </c>
      <c r="F1111" s="2">
        <f>IFERROR(__xludf.DUMMYFUNCTION("""COMPUTED_VALUE"""),1.0)</f>
        <v>1</v>
      </c>
      <c r="G1111" s="2">
        <f>IFERROR(__xludf.DUMMYFUNCTION("""COMPUTED_VALUE"""),3.0)</f>
        <v>3</v>
      </c>
      <c r="H1111" s="2" t="str">
        <f>IFERROR(__xludf.DUMMYFUNCTION("""COMPUTED_VALUE"""),"Hrušč.")</f>
        <v>Hrušč.</v>
      </c>
      <c r="I1111" s="2" t="str">
        <f>IFERROR(__xludf.DUMMYFUNCTION("""COMPUTED_VALUE"""),"Brick")</f>
        <v>Brick</v>
      </c>
      <c r="J1111" s="2" t="str">
        <f>IFERROR(__xludf.DUMMYFUNCTION("""COMPUTED_VALUE"""),"All amenities")</f>
        <v>All amenities</v>
      </c>
      <c r="K1111" s="2">
        <f>IFERROR(__xludf.DUMMYFUNCTION("""COMPUTED_VALUE"""),200.0)</f>
        <v>200</v>
      </c>
      <c r="L1111" s="2">
        <f>IFERROR(__xludf.DUMMYFUNCTION("""COMPUTED_VALUE"""),56.9406706)</f>
        <v>56.9406706</v>
      </c>
      <c r="M1111" s="2">
        <f>IFERROR(__xludf.DUMMYFUNCTION("""COMPUTED_VALUE"""),24.0386236)</f>
        <v>24.0386236</v>
      </c>
    </row>
    <row r="1112">
      <c r="A1112" s="2" t="str">
        <f>IFERROR(__xludf.DUMMYFUNCTION("""COMPUTED_VALUE"""),"For rent")</f>
        <v>For rent</v>
      </c>
      <c r="B1112" s="2" t="str">
        <f>IFERROR(__xludf.DUMMYFUNCTION("""COMPUTED_VALUE"""),"Āgenskalns")</f>
        <v>Āgenskalns</v>
      </c>
      <c r="C1112" s="2" t="str">
        <f>IFERROR(__xludf.DUMMYFUNCTION("""COMPUTED_VALUE"""),"Kalnciema 105")</f>
        <v>Kalnciema 105</v>
      </c>
      <c r="D1112" s="2">
        <f>IFERROR(__xludf.DUMMYFUNCTION("""COMPUTED_VALUE"""),1.0)</f>
        <v>1</v>
      </c>
      <c r="E1112" s="2">
        <f>IFERROR(__xludf.DUMMYFUNCTION("""COMPUTED_VALUE"""),13.0)</f>
        <v>13</v>
      </c>
      <c r="F1112" s="2">
        <f>IFERROR(__xludf.DUMMYFUNCTION("""COMPUTED_VALUE"""),1.0)</f>
        <v>1</v>
      </c>
      <c r="G1112" s="2">
        <f>IFERROR(__xludf.DUMMYFUNCTION("""COMPUTED_VALUE"""),3.0)</f>
        <v>3</v>
      </c>
      <c r="H1112" s="2" t="str">
        <f>IFERROR(__xludf.DUMMYFUNCTION("""COMPUTED_VALUE"""),"Hrušč.")</f>
        <v>Hrušč.</v>
      </c>
      <c r="I1112" s="2" t="str">
        <f>IFERROR(__xludf.DUMMYFUNCTION("""COMPUTED_VALUE"""),"Brick")</f>
        <v>Brick</v>
      </c>
      <c r="J1112" s="2" t="str">
        <f>IFERROR(__xludf.DUMMYFUNCTION("""COMPUTED_VALUE"""),"All amenities")</f>
        <v>All amenities</v>
      </c>
      <c r="K1112" s="2">
        <f>IFERROR(__xludf.DUMMYFUNCTION("""COMPUTED_VALUE"""),200.0)</f>
        <v>200</v>
      </c>
      <c r="L1112" s="2">
        <f>IFERROR(__xludf.DUMMYFUNCTION("""COMPUTED_VALUE"""),56.936687)</f>
        <v>56.936687</v>
      </c>
      <c r="M1112" s="2">
        <f>IFERROR(__xludf.DUMMYFUNCTION("""COMPUTED_VALUE"""),24.0418220761876)</f>
        <v>24.04182208</v>
      </c>
    </row>
    <row r="1113">
      <c r="A1113" s="2" t="str">
        <f>IFERROR(__xludf.DUMMYFUNCTION("""COMPUTED_VALUE"""),"For sale")</f>
        <v>For sale</v>
      </c>
      <c r="B1113" s="2" t="str">
        <f>IFERROR(__xludf.DUMMYFUNCTION("""COMPUTED_VALUE"""),"Purvciems")</f>
        <v>Purvciems</v>
      </c>
      <c r="C1113" s="2" t="str">
        <f>IFERROR(__xludf.DUMMYFUNCTION("""COMPUTED_VALUE"""),"Ūnijas 67")</f>
        <v>Ūnijas 67</v>
      </c>
      <c r="D1113" s="2">
        <f>IFERROR(__xludf.DUMMYFUNCTION("""COMPUTED_VALUE"""),3.0)</f>
        <v>3</v>
      </c>
      <c r="E1113" s="2">
        <f>IFERROR(__xludf.DUMMYFUNCTION("""COMPUTED_VALUE"""),81.8)</f>
        <v>81.8</v>
      </c>
      <c r="F1113" s="2">
        <f>IFERROR(__xludf.DUMMYFUNCTION("""COMPUTED_VALUE"""),5.0)</f>
        <v>5</v>
      </c>
      <c r="G1113" s="2">
        <f>IFERROR(__xludf.DUMMYFUNCTION("""COMPUTED_VALUE"""),6.0)</f>
        <v>6</v>
      </c>
      <c r="H1113" s="2" t="str">
        <f>IFERROR(__xludf.DUMMYFUNCTION("""COMPUTED_VALUE"""),"Jaun.")</f>
        <v>Jaun.</v>
      </c>
      <c r="I1113" s="2" t="str">
        <f>IFERROR(__xludf.DUMMYFUNCTION("""COMPUTED_VALUE"""),"Panel")</f>
        <v>Panel</v>
      </c>
      <c r="J1113" s="2" t="str">
        <f>IFERROR(__xludf.DUMMYFUNCTION("""COMPUTED_VALUE"""),"All amenities")</f>
        <v>All amenities</v>
      </c>
      <c r="K1113" s="2">
        <f>IFERROR(__xludf.DUMMYFUNCTION("""COMPUTED_VALUE"""),152966.0)</f>
        <v>152966</v>
      </c>
      <c r="L1113" s="2">
        <f>IFERROR(__xludf.DUMMYFUNCTION("""COMPUTED_VALUE"""),56.9651554999999)</f>
        <v>56.9651555</v>
      </c>
      <c r="M1113" s="2">
        <f>IFERROR(__xludf.DUMMYFUNCTION("""COMPUTED_VALUE"""),24.1783224911961)</f>
        <v>24.17832249</v>
      </c>
    </row>
    <row r="1114">
      <c r="A1114" s="2" t="str">
        <f>IFERROR(__xludf.DUMMYFUNCTION("""COMPUTED_VALUE"""),"For rent")</f>
        <v>For rent</v>
      </c>
      <c r="B1114" s="2" t="str">
        <f>IFERROR(__xludf.DUMMYFUNCTION("""COMPUTED_VALUE"""),"centrs")</f>
        <v>centrs</v>
      </c>
      <c r="C1114" s="2" t="str">
        <f>IFERROR(__xludf.DUMMYFUNCTION("""COMPUTED_VALUE"""),"Čaka 117/1")</f>
        <v>Čaka 117/1</v>
      </c>
      <c r="D1114" s="2">
        <f>IFERROR(__xludf.DUMMYFUNCTION("""COMPUTED_VALUE"""),2.0)</f>
        <v>2</v>
      </c>
      <c r="E1114" s="2">
        <f>IFERROR(__xludf.DUMMYFUNCTION("""COMPUTED_VALUE"""),45.0)</f>
        <v>45</v>
      </c>
      <c r="F1114" s="2">
        <f>IFERROR(__xludf.DUMMYFUNCTION("""COMPUTED_VALUE"""),2.0)</f>
        <v>2</v>
      </c>
      <c r="G1114" s="2">
        <f>IFERROR(__xludf.DUMMYFUNCTION("""COMPUTED_VALUE"""),6.0)</f>
        <v>6</v>
      </c>
      <c r="H1114" s="2" t="str">
        <f>IFERROR(__xludf.DUMMYFUNCTION("""COMPUTED_VALUE"""),"Renov.")</f>
        <v>Renov.</v>
      </c>
      <c r="I1114" s="2" t="str">
        <f>IFERROR(__xludf.DUMMYFUNCTION("""COMPUTED_VALUE"""),"Masonry")</f>
        <v>Masonry</v>
      </c>
      <c r="J1114" s="2" t="str">
        <f>IFERROR(__xludf.DUMMYFUNCTION("""COMPUTED_VALUE"""),"All amenities")</f>
        <v>All amenities</v>
      </c>
      <c r="K1114" s="2">
        <f>IFERROR(__xludf.DUMMYFUNCTION("""COMPUTED_VALUE"""),430.0)</f>
        <v>430</v>
      </c>
      <c r="L1114" s="2">
        <f>IFERROR(__xludf.DUMMYFUNCTION("""COMPUTED_VALUE"""),56.9626863)</f>
        <v>56.9626863</v>
      </c>
      <c r="M1114" s="2">
        <f>IFERROR(__xludf.DUMMYFUNCTION("""COMPUTED_VALUE"""),24.1480584)</f>
        <v>24.1480584</v>
      </c>
    </row>
    <row r="1115">
      <c r="A1115" s="2" t="str">
        <f>IFERROR(__xludf.DUMMYFUNCTION("""COMPUTED_VALUE"""),"For rent")</f>
        <v>For rent</v>
      </c>
      <c r="B1115" s="2" t="str">
        <f>IFERROR(__xludf.DUMMYFUNCTION("""COMPUTED_VALUE"""),"Purvciems")</f>
        <v>Purvciems</v>
      </c>
      <c r="C1115" s="2" t="str">
        <f>IFERROR(__xludf.DUMMYFUNCTION("""COMPUTED_VALUE"""),"Ūnijas 67")</f>
        <v>Ūnijas 67</v>
      </c>
      <c r="D1115" s="2">
        <f>IFERROR(__xludf.DUMMYFUNCTION("""COMPUTED_VALUE"""),3.0)</f>
        <v>3</v>
      </c>
      <c r="E1115" s="2">
        <f>IFERROR(__xludf.DUMMYFUNCTION("""COMPUTED_VALUE"""),82.0)</f>
        <v>82</v>
      </c>
      <c r="F1115" s="2">
        <f>IFERROR(__xludf.DUMMYFUNCTION("""COMPUTED_VALUE"""),2.0)</f>
        <v>2</v>
      </c>
      <c r="G1115" s="2">
        <f>IFERROR(__xludf.DUMMYFUNCTION("""COMPUTED_VALUE"""),6.0)</f>
        <v>6</v>
      </c>
      <c r="H1115" s="2" t="str">
        <f>IFERROR(__xludf.DUMMYFUNCTION("""COMPUTED_VALUE"""),"Jaun.")</f>
        <v>Jaun.</v>
      </c>
      <c r="I1115" s="2" t="str">
        <f>IFERROR(__xludf.DUMMYFUNCTION("""COMPUTED_VALUE"""),"Panel")</f>
        <v>Panel</v>
      </c>
      <c r="J1115" s="2" t="str">
        <f>IFERROR(__xludf.DUMMYFUNCTION("""COMPUTED_VALUE"""),"All amenities")</f>
        <v>All amenities</v>
      </c>
      <c r="K1115" s="2">
        <f>IFERROR(__xludf.DUMMYFUNCTION("""COMPUTED_VALUE"""),820.0)</f>
        <v>820</v>
      </c>
      <c r="L1115" s="2">
        <f>IFERROR(__xludf.DUMMYFUNCTION("""COMPUTED_VALUE"""),56.9651554999999)</f>
        <v>56.9651555</v>
      </c>
      <c r="M1115" s="2">
        <f>IFERROR(__xludf.DUMMYFUNCTION("""COMPUTED_VALUE"""),24.1783224911961)</f>
        <v>24.17832249</v>
      </c>
    </row>
    <row r="1116">
      <c r="A1116" s="2" t="str">
        <f>IFERROR(__xludf.DUMMYFUNCTION("""COMPUTED_VALUE"""),"For sale")</f>
        <v>For sale</v>
      </c>
      <c r="B1116" s="2" t="str">
        <f>IFERROR(__xludf.DUMMYFUNCTION("""COMPUTED_VALUE"""),"Purvciems")</f>
        <v>Purvciems</v>
      </c>
      <c r="C1116" s="2" t="str">
        <f>IFERROR(__xludf.DUMMYFUNCTION("""COMPUTED_VALUE"""),"Ūnijas 67")</f>
        <v>Ūnijas 67</v>
      </c>
      <c r="D1116" s="2">
        <f>IFERROR(__xludf.DUMMYFUNCTION("""COMPUTED_VALUE"""),3.0)</f>
        <v>3</v>
      </c>
      <c r="E1116" s="2">
        <f>IFERROR(__xludf.DUMMYFUNCTION("""COMPUTED_VALUE"""),88.4)</f>
        <v>88.4</v>
      </c>
      <c r="F1116" s="2">
        <f>IFERROR(__xludf.DUMMYFUNCTION("""COMPUTED_VALUE"""),6.0)</f>
        <v>6</v>
      </c>
      <c r="G1116" s="2">
        <f>IFERROR(__xludf.DUMMYFUNCTION("""COMPUTED_VALUE"""),6.0)</f>
        <v>6</v>
      </c>
      <c r="H1116" s="2" t="str">
        <f>IFERROR(__xludf.DUMMYFUNCTION("""COMPUTED_VALUE"""),"Jaun.")</f>
        <v>Jaun.</v>
      </c>
      <c r="I1116" s="2" t="str">
        <f>IFERROR(__xludf.DUMMYFUNCTION("""COMPUTED_VALUE"""),"Panel")</f>
        <v>Panel</v>
      </c>
      <c r="J1116" s="2" t="str">
        <f>IFERROR(__xludf.DUMMYFUNCTION("""COMPUTED_VALUE"""),"All amenities")</f>
        <v>All amenities</v>
      </c>
      <c r="K1116" s="2">
        <f>IFERROR(__xludf.DUMMYFUNCTION("""COMPUTED_VALUE"""),165308.0)</f>
        <v>165308</v>
      </c>
      <c r="L1116" s="2">
        <f>IFERROR(__xludf.DUMMYFUNCTION("""COMPUTED_VALUE"""),56.9651554999999)</f>
        <v>56.9651555</v>
      </c>
      <c r="M1116" s="2">
        <f>IFERROR(__xludf.DUMMYFUNCTION("""COMPUTED_VALUE"""),24.1783224911961)</f>
        <v>24.17832249</v>
      </c>
    </row>
    <row r="1117">
      <c r="A1117" s="2" t="str">
        <f>IFERROR(__xludf.DUMMYFUNCTION("""COMPUTED_VALUE"""),"For rent")</f>
        <v>For rent</v>
      </c>
      <c r="B1117" s="2" t="str">
        <f>IFERROR(__xludf.DUMMYFUNCTION("""COMPUTED_VALUE"""),"centrs")</f>
        <v>centrs</v>
      </c>
      <c r="C1117" s="2" t="str">
        <f>IFERROR(__xludf.DUMMYFUNCTION("""COMPUTED_VALUE"""),"Antonijas 16a")</f>
        <v>Antonijas 16a</v>
      </c>
      <c r="D1117" s="2">
        <f>IFERROR(__xludf.DUMMYFUNCTION("""COMPUTED_VALUE"""),2.0)</f>
        <v>2</v>
      </c>
      <c r="E1117" s="2">
        <f>IFERROR(__xludf.DUMMYFUNCTION("""COMPUTED_VALUE"""),102.0)</f>
        <v>102</v>
      </c>
      <c r="F1117" s="2">
        <f>IFERROR(__xludf.DUMMYFUNCTION("""COMPUTED_VALUE"""),1.0)</f>
        <v>1</v>
      </c>
      <c r="G1117" s="2">
        <f>IFERROR(__xludf.DUMMYFUNCTION("""COMPUTED_VALUE"""),6.0)</f>
        <v>6</v>
      </c>
      <c r="H1117" s="2" t="str">
        <f>IFERROR(__xludf.DUMMYFUNCTION("""COMPUTED_VALUE"""),"Jaun.")</f>
        <v>Jaun.</v>
      </c>
      <c r="I1117" s="2" t="str">
        <f>IFERROR(__xludf.DUMMYFUNCTION("""COMPUTED_VALUE"""),"Brick-Panel")</f>
        <v>Brick-Panel</v>
      </c>
      <c r="J1117" s="2" t="str">
        <f>IFERROR(__xludf.DUMMYFUNCTION("""COMPUTED_VALUE"""),"All amenities")</f>
        <v>All amenities</v>
      </c>
      <c r="K1117" s="2">
        <f>IFERROR(__xludf.DUMMYFUNCTION("""COMPUTED_VALUE"""),700.0)</f>
        <v>700</v>
      </c>
      <c r="L1117" s="2">
        <f>IFERROR(__xludf.DUMMYFUNCTION("""COMPUTED_VALUE"""),56.9596901)</f>
        <v>56.9596901</v>
      </c>
      <c r="M1117" s="2">
        <f>IFERROR(__xludf.DUMMYFUNCTION("""COMPUTED_VALUE"""),24.1134811)</f>
        <v>24.1134811</v>
      </c>
    </row>
    <row r="1118">
      <c r="A1118" s="2" t="str">
        <f>IFERROR(__xludf.DUMMYFUNCTION("""COMPUTED_VALUE"""),"For rent")</f>
        <v>For rent</v>
      </c>
      <c r="B1118" s="2" t="str">
        <f>IFERROR(__xludf.DUMMYFUNCTION("""COMPUTED_VALUE"""),"centrs")</f>
        <v>centrs</v>
      </c>
      <c r="C1118" s="2" t="str">
        <f>IFERROR(__xludf.DUMMYFUNCTION("""COMPUTED_VALUE"""),"Stabu 92")</f>
        <v>Stabu 92</v>
      </c>
      <c r="D1118" s="2">
        <f>IFERROR(__xludf.DUMMYFUNCTION("""COMPUTED_VALUE"""),3.0)</f>
        <v>3</v>
      </c>
      <c r="E1118" s="2">
        <f>IFERROR(__xludf.DUMMYFUNCTION("""COMPUTED_VALUE"""),97.0)</f>
        <v>97</v>
      </c>
      <c r="F1118" s="2">
        <f>IFERROR(__xludf.DUMMYFUNCTION("""COMPUTED_VALUE"""),3.0)</f>
        <v>3</v>
      </c>
      <c r="G1118" s="2">
        <f>IFERROR(__xludf.DUMMYFUNCTION("""COMPUTED_VALUE"""),6.0)</f>
        <v>6</v>
      </c>
      <c r="H1118" s="2" t="str">
        <f>IFERROR(__xludf.DUMMYFUNCTION("""COMPUTED_VALUE"""),"Renov.")</f>
        <v>Renov.</v>
      </c>
      <c r="I1118" s="2" t="str">
        <f>IFERROR(__xludf.DUMMYFUNCTION("""COMPUTED_VALUE"""),"Masonry")</f>
        <v>Masonry</v>
      </c>
      <c r="J1118" s="2" t="str">
        <f>IFERROR(__xludf.DUMMYFUNCTION("""COMPUTED_VALUE"""),"All amenities")</f>
        <v>All amenities</v>
      </c>
      <c r="K1118" s="2">
        <f>IFERROR(__xludf.DUMMYFUNCTION("""COMPUTED_VALUE"""),520.0)</f>
        <v>520</v>
      </c>
      <c r="L1118" s="2">
        <f>IFERROR(__xludf.DUMMYFUNCTION("""COMPUTED_VALUE"""),56.9499105999999)</f>
        <v>56.9499106</v>
      </c>
      <c r="M1118" s="2">
        <f>IFERROR(__xludf.DUMMYFUNCTION("""COMPUTED_VALUE"""),24.1407992387323)</f>
        <v>24.14079924</v>
      </c>
    </row>
    <row r="1119">
      <c r="A1119" s="2" t="str">
        <f>IFERROR(__xludf.DUMMYFUNCTION("""COMPUTED_VALUE"""),"For rent")</f>
        <v>For rent</v>
      </c>
      <c r="B1119" s="2" t="str">
        <f>IFERROR(__xludf.DUMMYFUNCTION("""COMPUTED_VALUE"""),"Purvciems")</f>
        <v>Purvciems</v>
      </c>
      <c r="C1119" s="2" t="str">
        <f>IFERROR(__xludf.DUMMYFUNCTION("""COMPUTED_VALUE"""),"Varavīksnes g. 2")</f>
        <v>Varavīksnes g. 2</v>
      </c>
      <c r="D1119" s="2">
        <f>IFERROR(__xludf.DUMMYFUNCTION("""COMPUTED_VALUE"""),1.0)</f>
        <v>1</v>
      </c>
      <c r="E1119" s="2">
        <f>IFERROR(__xludf.DUMMYFUNCTION("""COMPUTED_VALUE"""),36.0)</f>
        <v>36</v>
      </c>
      <c r="F1119" s="2">
        <f>IFERROR(__xludf.DUMMYFUNCTION("""COMPUTED_VALUE"""),2.0)</f>
        <v>2</v>
      </c>
      <c r="G1119" s="2">
        <f>IFERROR(__xludf.DUMMYFUNCTION("""COMPUTED_VALUE"""),9.0)</f>
        <v>9</v>
      </c>
      <c r="H1119" s="2">
        <f>IFERROR(__xludf.DUMMYFUNCTION("""COMPUTED_VALUE"""),602.0)</f>
        <v>602</v>
      </c>
      <c r="I1119" s="2" t="str">
        <f>IFERROR(__xludf.DUMMYFUNCTION("""COMPUTED_VALUE"""),"Panel")</f>
        <v>Panel</v>
      </c>
      <c r="J1119" s="2" t="str">
        <f>IFERROR(__xludf.DUMMYFUNCTION("""COMPUTED_VALUE"""),"All amenities")</f>
        <v>All amenities</v>
      </c>
      <c r="K1119" s="2">
        <f>IFERROR(__xludf.DUMMYFUNCTION("""COMPUTED_VALUE"""),225.0)</f>
        <v>225</v>
      </c>
      <c r="L1119" s="2">
        <f>IFERROR(__xludf.DUMMYFUNCTION("""COMPUTED_VALUE"""),56.950443)</f>
        <v>56.950443</v>
      </c>
      <c r="M1119" s="2">
        <f>IFERROR(__xludf.DUMMYFUNCTION("""COMPUTED_VALUE"""),24.2008902)</f>
        <v>24.2008902</v>
      </c>
    </row>
    <row r="1120">
      <c r="A1120" s="2" t="str">
        <f>IFERROR(__xludf.DUMMYFUNCTION("""COMPUTED_VALUE"""),"For sale")</f>
        <v>For sale</v>
      </c>
      <c r="B1120" s="2" t="str">
        <f>IFERROR(__xludf.DUMMYFUNCTION("""COMPUTED_VALUE"""),"Ziepniekkalns")</f>
        <v>Ziepniekkalns</v>
      </c>
      <c r="C1120" s="2" t="str">
        <f>IFERROR(__xludf.DUMMYFUNCTION("""COMPUTED_VALUE"""),"Vienības g. 126")</f>
        <v>Vienības g. 126</v>
      </c>
      <c r="D1120" s="2">
        <f>IFERROR(__xludf.DUMMYFUNCTION("""COMPUTED_VALUE"""),1.0)</f>
        <v>1</v>
      </c>
      <c r="E1120" s="2">
        <f>IFERROR(__xludf.DUMMYFUNCTION("""COMPUTED_VALUE"""),21.0)</f>
        <v>21</v>
      </c>
      <c r="F1120" s="2">
        <f>IFERROR(__xludf.DUMMYFUNCTION("""COMPUTED_VALUE"""),2.0)</f>
        <v>2</v>
      </c>
      <c r="G1120" s="2">
        <f>IFERROR(__xludf.DUMMYFUNCTION("""COMPUTED_VALUE"""),2.0)</f>
        <v>2</v>
      </c>
      <c r="H1120" s="2" t="str">
        <f>IFERROR(__xludf.DUMMYFUNCTION("""COMPUTED_VALUE"""),"P. kara")</f>
        <v>P. kara</v>
      </c>
      <c r="I1120" s="2" t="str">
        <f>IFERROR(__xludf.DUMMYFUNCTION("""COMPUTED_VALUE"""),"Wood")</f>
        <v>Wood</v>
      </c>
      <c r="J1120" s="2" t="str">
        <f>IFERROR(__xludf.DUMMYFUNCTION("""COMPUTED_VALUE"""),"Partial amenities")</f>
        <v>Partial amenities</v>
      </c>
      <c r="K1120" s="2">
        <f>IFERROR(__xludf.DUMMYFUNCTION("""COMPUTED_VALUE"""),7500.0)</f>
        <v>7500</v>
      </c>
      <c r="L1120" s="2">
        <f>IFERROR(__xludf.DUMMYFUNCTION("""COMPUTED_VALUE"""),56.918403)</f>
        <v>56.918403</v>
      </c>
      <c r="M1120" s="2">
        <f>IFERROR(__xludf.DUMMYFUNCTION("""COMPUTED_VALUE"""),24.0883001)</f>
        <v>24.0883001</v>
      </c>
    </row>
    <row r="1121">
      <c r="A1121" s="2" t="str">
        <f>IFERROR(__xludf.DUMMYFUNCTION("""COMPUTED_VALUE"""),"For sale")</f>
        <v>For sale</v>
      </c>
      <c r="B1121" s="2" t="str">
        <f>IFERROR(__xludf.DUMMYFUNCTION("""COMPUTED_VALUE"""),"centrs")</f>
        <v>centrs</v>
      </c>
      <c r="C1121" s="2" t="str">
        <f>IFERROR(__xludf.DUMMYFUNCTION("""COMPUTED_VALUE"""),"Vesetas 32")</f>
        <v>Vesetas 32</v>
      </c>
      <c r="D1121" s="2">
        <f>IFERROR(__xludf.DUMMYFUNCTION("""COMPUTED_VALUE"""),2.0)</f>
        <v>2</v>
      </c>
      <c r="E1121" s="2">
        <f>IFERROR(__xludf.DUMMYFUNCTION("""COMPUTED_VALUE"""),55.0)</f>
        <v>55</v>
      </c>
      <c r="F1121" s="2">
        <f>IFERROR(__xludf.DUMMYFUNCTION("""COMPUTED_VALUE"""),7.0)</f>
        <v>7</v>
      </c>
      <c r="G1121" s="2">
        <f>IFERROR(__xludf.DUMMYFUNCTION("""COMPUTED_VALUE"""),12.0)</f>
        <v>12</v>
      </c>
      <c r="H1121" s="2" t="str">
        <f>IFERROR(__xludf.DUMMYFUNCTION("""COMPUTED_VALUE"""),"Specpr.")</f>
        <v>Specpr.</v>
      </c>
      <c r="I1121" s="2" t="str">
        <f>IFERROR(__xludf.DUMMYFUNCTION("""COMPUTED_VALUE"""),"Brick")</f>
        <v>Brick</v>
      </c>
      <c r="J1121" s="2" t="str">
        <f>IFERROR(__xludf.DUMMYFUNCTION("""COMPUTED_VALUE"""),"All amenities")</f>
        <v>All amenities</v>
      </c>
      <c r="K1121" s="2">
        <f>IFERROR(__xludf.DUMMYFUNCTION("""COMPUTED_VALUE"""),78950.0)</f>
        <v>78950</v>
      </c>
      <c r="L1121" s="2">
        <f>IFERROR(__xludf.DUMMYFUNCTION("""COMPUTED_VALUE"""),56.97368625)</f>
        <v>56.97368625</v>
      </c>
      <c r="M1121" s="2">
        <f>IFERROR(__xludf.DUMMYFUNCTION("""COMPUTED_VALUE"""),24.1311027209292)</f>
        <v>24.13110272</v>
      </c>
    </row>
    <row r="1122">
      <c r="A1122" s="2" t="str">
        <f>IFERROR(__xludf.DUMMYFUNCTION("""COMPUTED_VALUE"""),"For sale")</f>
        <v>For sale</v>
      </c>
      <c r="B1122" s="2" t="str">
        <f>IFERROR(__xludf.DUMMYFUNCTION("""COMPUTED_VALUE"""),"Purvciems")</f>
        <v>Purvciems</v>
      </c>
      <c r="C1122" s="2" t="str">
        <f>IFERROR(__xludf.DUMMYFUNCTION("""COMPUTED_VALUE"""),"Ķeguma 60")</f>
        <v>Ķeguma 60</v>
      </c>
      <c r="D1122" s="2">
        <f>IFERROR(__xludf.DUMMYFUNCTION("""COMPUTED_VALUE"""),1.0)</f>
        <v>1</v>
      </c>
      <c r="E1122" s="2">
        <f>IFERROR(__xludf.DUMMYFUNCTION("""COMPUTED_VALUE"""),40.0)</f>
        <v>40</v>
      </c>
      <c r="F1122" s="2">
        <f>IFERROR(__xludf.DUMMYFUNCTION("""COMPUTED_VALUE"""),2.0)</f>
        <v>2</v>
      </c>
      <c r="G1122" s="2">
        <f>IFERROR(__xludf.DUMMYFUNCTION("""COMPUTED_VALUE"""),5.0)</f>
        <v>5</v>
      </c>
      <c r="H1122" s="2" t="str">
        <f>IFERROR(__xludf.DUMMYFUNCTION("""COMPUTED_VALUE"""),"M. ģim.")</f>
        <v>M. ģim.</v>
      </c>
      <c r="I1122" s="2" t="str">
        <f>IFERROR(__xludf.DUMMYFUNCTION("""COMPUTED_VALUE"""),"Panel")</f>
        <v>Panel</v>
      </c>
      <c r="J1122" s="2" t="str">
        <f>IFERROR(__xludf.DUMMYFUNCTION("""COMPUTED_VALUE"""),"All amenities")</f>
        <v>All amenities</v>
      </c>
      <c r="K1122" s="2">
        <f>IFERROR(__xludf.DUMMYFUNCTION("""COMPUTED_VALUE"""),36750.0)</f>
        <v>36750</v>
      </c>
      <c r="L1122" s="2">
        <f>IFERROR(__xludf.DUMMYFUNCTION("""COMPUTED_VALUE"""),56.964717)</f>
        <v>56.964717</v>
      </c>
      <c r="M1122" s="2">
        <f>IFERROR(__xludf.DUMMYFUNCTION("""COMPUTED_VALUE"""),24.1962984488949)</f>
        <v>24.19629845</v>
      </c>
    </row>
    <row r="1123">
      <c r="A1123" s="2" t="str">
        <f>IFERROR(__xludf.DUMMYFUNCTION("""COMPUTED_VALUE"""),"For sale")</f>
        <v>For sale</v>
      </c>
      <c r="B1123" s="2" t="str">
        <f>IFERROR(__xludf.DUMMYFUNCTION("""COMPUTED_VALUE"""),"centrs")</f>
        <v>centrs</v>
      </c>
      <c r="C1123" s="2" t="str">
        <f>IFERROR(__xludf.DUMMYFUNCTION("""COMPUTED_VALUE"""),"Ganu 4")</f>
        <v>Ganu 4</v>
      </c>
      <c r="D1123" s="2">
        <f>IFERROR(__xludf.DUMMYFUNCTION("""COMPUTED_VALUE"""),5.0)</f>
        <v>5</v>
      </c>
      <c r="E1123" s="2">
        <f>IFERROR(__xludf.DUMMYFUNCTION("""COMPUTED_VALUE"""),145.0)</f>
        <v>145</v>
      </c>
      <c r="F1123" s="2">
        <f>IFERROR(__xludf.DUMMYFUNCTION("""COMPUTED_VALUE"""),4.0)</f>
        <v>4</v>
      </c>
      <c r="G1123" s="2">
        <f>IFERROR(__xludf.DUMMYFUNCTION("""COMPUTED_VALUE"""),5.0)</f>
        <v>5</v>
      </c>
      <c r="H1123" s="2" t="str">
        <f>IFERROR(__xludf.DUMMYFUNCTION("""COMPUTED_VALUE"""),"P. kara")</f>
        <v>P. kara</v>
      </c>
      <c r="I1123" s="2" t="str">
        <f>IFERROR(__xludf.DUMMYFUNCTION("""COMPUTED_VALUE"""),"Masonry")</f>
        <v>Masonry</v>
      </c>
      <c r="J1123" s="2" t="str">
        <f>IFERROR(__xludf.DUMMYFUNCTION("""COMPUTED_VALUE"""),"All amenities")</f>
        <v>All amenities</v>
      </c>
      <c r="K1123" s="2">
        <f>IFERROR(__xludf.DUMMYFUNCTION("""COMPUTED_VALUE"""),216000.0)</f>
        <v>216000</v>
      </c>
      <c r="L1123" s="2">
        <f>IFERROR(__xludf.DUMMYFUNCTION("""COMPUTED_VALUE"""),56.9614591499999)</f>
        <v>56.96145915</v>
      </c>
      <c r="M1123" s="2">
        <f>IFERROR(__xludf.DUMMYFUNCTION("""COMPUTED_VALUE"""),24.1092928040999)</f>
        <v>24.1092928</v>
      </c>
    </row>
    <row r="1124">
      <c r="A1124" s="2" t="str">
        <f>IFERROR(__xludf.DUMMYFUNCTION("""COMPUTED_VALUE"""),"For sale")</f>
        <v>For sale</v>
      </c>
      <c r="B1124" s="2" t="str">
        <f>IFERROR(__xludf.DUMMYFUNCTION("""COMPUTED_VALUE"""),"Maskavas priekšpilsēta")</f>
        <v>Maskavas priekšpilsēta</v>
      </c>
      <c r="C1124" s="2" t="str">
        <f>IFERROR(__xludf.DUMMYFUNCTION("""COMPUTED_VALUE"""),"Maskavas 95")</f>
        <v>Maskavas 95</v>
      </c>
      <c r="D1124" s="2">
        <f>IFERROR(__xludf.DUMMYFUNCTION("""COMPUTED_VALUE"""),3.0)</f>
        <v>3</v>
      </c>
      <c r="E1124" s="2">
        <f>IFERROR(__xludf.DUMMYFUNCTION("""COMPUTED_VALUE"""),61.0)</f>
        <v>61</v>
      </c>
      <c r="F1124" s="2">
        <f>IFERROR(__xludf.DUMMYFUNCTION("""COMPUTED_VALUE"""),4.0)</f>
        <v>4</v>
      </c>
      <c r="G1124" s="2">
        <f>IFERROR(__xludf.DUMMYFUNCTION("""COMPUTED_VALUE"""),4.0)</f>
        <v>4</v>
      </c>
      <c r="H1124" s="2" t="str">
        <f>IFERROR(__xludf.DUMMYFUNCTION("""COMPUTED_VALUE"""),"P. kara")</f>
        <v>P. kara</v>
      </c>
      <c r="I1124" s="2" t="str">
        <f>IFERROR(__xludf.DUMMYFUNCTION("""COMPUTED_VALUE"""),"Masonry")</f>
        <v>Masonry</v>
      </c>
      <c r="J1124" s="2" t="str">
        <f>IFERROR(__xludf.DUMMYFUNCTION("""COMPUTED_VALUE"""),"All amenities")</f>
        <v>All amenities</v>
      </c>
      <c r="K1124" s="2">
        <f>IFERROR(__xludf.DUMMYFUNCTION("""COMPUTED_VALUE"""),39000.0)</f>
        <v>39000</v>
      </c>
      <c r="L1124" s="2">
        <f>IFERROR(__xludf.DUMMYFUNCTION("""COMPUTED_VALUE"""),56.8597884)</f>
        <v>56.8597884</v>
      </c>
      <c r="M1124" s="2">
        <f>IFERROR(__xludf.DUMMYFUNCTION("""COMPUTED_VALUE"""),24.3083417)</f>
        <v>24.3083417</v>
      </c>
    </row>
    <row r="1125">
      <c r="A1125" s="2" t="str">
        <f>IFERROR(__xludf.DUMMYFUNCTION("""COMPUTED_VALUE"""),"For sale")</f>
        <v>For sale</v>
      </c>
      <c r="B1125" s="2" t="str">
        <f>IFERROR(__xludf.DUMMYFUNCTION("""COMPUTED_VALUE"""),"Torņakalns")</f>
        <v>Torņakalns</v>
      </c>
      <c r="C1125" s="2" t="str">
        <f>IFERROR(__xludf.DUMMYFUNCTION("""COMPUTED_VALUE"""),"Bauskas 33")</f>
        <v>Bauskas 33</v>
      </c>
      <c r="D1125" s="2">
        <f>IFERROR(__xludf.DUMMYFUNCTION("""COMPUTED_VALUE"""),3.0)</f>
        <v>3</v>
      </c>
      <c r="E1125" s="2">
        <f>IFERROR(__xludf.DUMMYFUNCTION("""COMPUTED_VALUE"""),98.0)</f>
        <v>98</v>
      </c>
      <c r="F1125" s="2">
        <f>IFERROR(__xludf.DUMMYFUNCTION("""COMPUTED_VALUE"""),5.0)</f>
        <v>5</v>
      </c>
      <c r="G1125" s="2">
        <f>IFERROR(__xludf.DUMMYFUNCTION("""COMPUTED_VALUE"""),7.0)</f>
        <v>7</v>
      </c>
      <c r="H1125" s="2" t="str">
        <f>IFERROR(__xludf.DUMMYFUNCTION("""COMPUTED_VALUE"""),"Jaun.")</f>
        <v>Jaun.</v>
      </c>
      <c r="I1125" s="2" t="str">
        <f>IFERROR(__xludf.DUMMYFUNCTION("""COMPUTED_VALUE"""),"Panel-Brick")</f>
        <v>Panel-Brick</v>
      </c>
      <c r="J1125" s="2" t="str">
        <f>IFERROR(__xludf.DUMMYFUNCTION("""COMPUTED_VALUE"""),"All amenities")</f>
        <v>All amenities</v>
      </c>
      <c r="K1125" s="2">
        <f>IFERROR(__xludf.DUMMYFUNCTION("""COMPUTED_VALUE"""),125000.0)</f>
        <v>125000</v>
      </c>
      <c r="L1125" s="2">
        <f>IFERROR(__xludf.DUMMYFUNCTION("""COMPUTED_VALUE"""),56.92102495)</f>
        <v>56.92102495</v>
      </c>
      <c r="M1125" s="2">
        <f>IFERROR(__xludf.DUMMYFUNCTION("""COMPUTED_VALUE"""),24.0964637235629)</f>
        <v>24.09646372</v>
      </c>
    </row>
    <row r="1126">
      <c r="A1126" s="2" t="str">
        <f>IFERROR(__xludf.DUMMYFUNCTION("""COMPUTED_VALUE"""),"For sale")</f>
        <v>For sale</v>
      </c>
      <c r="B1126" s="2" t="str">
        <f>IFERROR(__xludf.DUMMYFUNCTION("""COMPUTED_VALUE"""),"Vecmīlgrāvis")</f>
        <v>Vecmīlgrāvis</v>
      </c>
      <c r="C1126" s="2" t="str">
        <f>IFERROR(__xludf.DUMMYFUNCTION("""COMPUTED_VALUE"""),"Baltāsbaznīcas 33")</f>
        <v>Baltāsbaznīcas 33</v>
      </c>
      <c r="D1126" s="2">
        <f>IFERROR(__xludf.DUMMYFUNCTION("""COMPUTED_VALUE"""),2.0)</f>
        <v>2</v>
      </c>
      <c r="E1126" s="2">
        <f>IFERROR(__xludf.DUMMYFUNCTION("""COMPUTED_VALUE"""),48.0)</f>
        <v>48</v>
      </c>
      <c r="F1126" s="2">
        <f>IFERROR(__xludf.DUMMYFUNCTION("""COMPUTED_VALUE"""),1.0)</f>
        <v>1</v>
      </c>
      <c r="G1126" s="2">
        <f>IFERROR(__xludf.DUMMYFUNCTION("""COMPUTED_VALUE"""),3.0)</f>
        <v>3</v>
      </c>
      <c r="H1126" s="2" t="str">
        <f>IFERROR(__xludf.DUMMYFUNCTION("""COMPUTED_VALUE"""),"Hrušč.")</f>
        <v>Hrušč.</v>
      </c>
      <c r="I1126" s="2" t="str">
        <f>IFERROR(__xludf.DUMMYFUNCTION("""COMPUTED_VALUE"""),"Brick")</f>
        <v>Brick</v>
      </c>
      <c r="J1126" s="2" t="str">
        <f>IFERROR(__xludf.DUMMYFUNCTION("""COMPUTED_VALUE"""),"All amenities")</f>
        <v>All amenities</v>
      </c>
      <c r="K1126" s="2">
        <f>IFERROR(__xludf.DUMMYFUNCTION("""COMPUTED_VALUE"""),44500.0)</f>
        <v>44500</v>
      </c>
      <c r="L1126" s="2">
        <f>IFERROR(__xludf.DUMMYFUNCTION("""COMPUTED_VALUE"""),57.03627125)</f>
        <v>57.03627125</v>
      </c>
      <c r="M1126" s="2">
        <f>IFERROR(__xludf.DUMMYFUNCTION("""COMPUTED_VALUE"""),24.08894255)</f>
        <v>24.08894255</v>
      </c>
    </row>
    <row r="1127">
      <c r="A1127" s="2" t="str">
        <f>IFERROR(__xludf.DUMMYFUNCTION("""COMPUTED_VALUE"""),"For sale")</f>
        <v>For sale</v>
      </c>
      <c r="B1127" s="2" t="str">
        <f>IFERROR(__xludf.DUMMYFUNCTION("""COMPUTED_VALUE"""),"Čiekurkalns")</f>
        <v>Čiekurkalns</v>
      </c>
      <c r="C1127" s="2" t="str">
        <f>IFERROR(__xludf.DUMMYFUNCTION("""COMPUTED_VALUE"""),"Rusova 24")</f>
        <v>Rusova 24</v>
      </c>
      <c r="D1127" s="2">
        <f>IFERROR(__xludf.DUMMYFUNCTION("""COMPUTED_VALUE"""),1.0)</f>
        <v>1</v>
      </c>
      <c r="E1127" s="2">
        <f>IFERROR(__xludf.DUMMYFUNCTION("""COMPUTED_VALUE"""),43.0)</f>
        <v>43</v>
      </c>
      <c r="F1127" s="2">
        <f>IFERROR(__xludf.DUMMYFUNCTION("""COMPUTED_VALUE"""),3.0)</f>
        <v>3</v>
      </c>
      <c r="G1127" s="2">
        <f>IFERROR(__xludf.DUMMYFUNCTION("""COMPUTED_VALUE"""),5.0)</f>
        <v>5</v>
      </c>
      <c r="H1127" s="2" t="str">
        <f>IFERROR(__xludf.DUMMYFUNCTION("""COMPUTED_VALUE"""),"M. ģim.")</f>
        <v>M. ģim.</v>
      </c>
      <c r="I1127" s="2" t="str">
        <f>IFERROR(__xludf.DUMMYFUNCTION("""COMPUTED_VALUE"""),"Panel")</f>
        <v>Panel</v>
      </c>
      <c r="J1127" s="2" t="str">
        <f>IFERROR(__xludf.DUMMYFUNCTION("""COMPUTED_VALUE"""),"All amenities")</f>
        <v>All amenities</v>
      </c>
      <c r="K1127" s="2">
        <f>IFERROR(__xludf.DUMMYFUNCTION("""COMPUTED_VALUE"""),32500.0)</f>
        <v>32500</v>
      </c>
      <c r="L1127" s="2">
        <f>IFERROR(__xludf.DUMMYFUNCTION("""COMPUTED_VALUE"""),56.98754535)</f>
        <v>56.98754535</v>
      </c>
      <c r="M1127" s="2">
        <f>IFERROR(__xludf.DUMMYFUNCTION("""COMPUTED_VALUE"""),24.1708029401619)</f>
        <v>24.17080294</v>
      </c>
    </row>
    <row r="1128">
      <c r="A1128" s="2" t="str">
        <f>IFERROR(__xludf.DUMMYFUNCTION("""COMPUTED_VALUE"""),"For sale")</f>
        <v>For sale</v>
      </c>
      <c r="B1128" s="2" t="str">
        <f>IFERROR(__xludf.DUMMYFUNCTION("""COMPUTED_VALUE"""),"Jugla")</f>
        <v>Jugla</v>
      </c>
      <c r="C1128" s="2" t="str">
        <f>IFERROR(__xludf.DUMMYFUNCTION("""COMPUTED_VALUE"""),"Juglas 3a")</f>
        <v>Juglas 3a</v>
      </c>
      <c r="D1128" s="2">
        <f>IFERROR(__xludf.DUMMYFUNCTION("""COMPUTED_VALUE"""),4.0)</f>
        <v>4</v>
      </c>
      <c r="E1128" s="2">
        <f>IFERROR(__xludf.DUMMYFUNCTION("""COMPUTED_VALUE"""),216.0)</f>
        <v>216</v>
      </c>
      <c r="F1128" s="2">
        <f>IFERROR(__xludf.DUMMYFUNCTION("""COMPUTED_VALUE"""),1.0)</f>
        <v>1</v>
      </c>
      <c r="G1128" s="2">
        <f>IFERROR(__xludf.DUMMYFUNCTION("""COMPUTED_VALUE"""),4.0)</f>
        <v>4</v>
      </c>
      <c r="H1128" s="2" t="str">
        <f>IFERROR(__xludf.DUMMYFUNCTION("""COMPUTED_VALUE"""),"Jaun.")</f>
        <v>Jaun.</v>
      </c>
      <c r="I1128" s="2" t="str">
        <f>IFERROR(__xludf.DUMMYFUNCTION("""COMPUTED_VALUE"""),"Brick")</f>
        <v>Brick</v>
      </c>
      <c r="J1128" s="2" t="str">
        <f>IFERROR(__xludf.DUMMYFUNCTION("""COMPUTED_VALUE"""),"All amenities")</f>
        <v>All amenities</v>
      </c>
      <c r="K1128" s="2">
        <f>IFERROR(__xludf.DUMMYFUNCTION("""COMPUTED_VALUE"""),125000.0)</f>
        <v>125000</v>
      </c>
      <c r="L1128" s="2">
        <f>IFERROR(__xludf.DUMMYFUNCTION("""COMPUTED_VALUE"""),56.9761694)</f>
        <v>56.9761694</v>
      </c>
      <c r="M1128" s="2">
        <f>IFERROR(__xludf.DUMMYFUNCTION("""COMPUTED_VALUE"""),24.2544503)</f>
        <v>24.2544503</v>
      </c>
    </row>
    <row r="1129">
      <c r="A1129" s="2" t="str">
        <f>IFERROR(__xludf.DUMMYFUNCTION("""COMPUTED_VALUE"""),"For rent")</f>
        <v>For rent</v>
      </c>
      <c r="B1129" s="2" t="str">
        <f>IFERROR(__xludf.DUMMYFUNCTION("""COMPUTED_VALUE"""),"Dārzciems")</f>
        <v>Dārzciems</v>
      </c>
      <c r="C1129" s="2" t="str">
        <f>IFERROR(__xludf.DUMMYFUNCTION("""COMPUTED_VALUE"""),"Lapsu 12")</f>
        <v>Lapsu 12</v>
      </c>
      <c r="D1129" s="2">
        <f>IFERROR(__xludf.DUMMYFUNCTION("""COMPUTED_VALUE"""),3.0)</f>
        <v>3</v>
      </c>
      <c r="E1129" s="2">
        <f>IFERROR(__xludf.DUMMYFUNCTION("""COMPUTED_VALUE"""),61.0)</f>
        <v>61</v>
      </c>
      <c r="F1129" s="2">
        <f>IFERROR(__xludf.DUMMYFUNCTION("""COMPUTED_VALUE"""),4.0)</f>
        <v>4</v>
      </c>
      <c r="G1129" s="2">
        <f>IFERROR(__xludf.DUMMYFUNCTION("""COMPUTED_VALUE"""),4.0)</f>
        <v>4</v>
      </c>
      <c r="H1129" s="2" t="str">
        <f>IFERROR(__xludf.DUMMYFUNCTION("""COMPUTED_VALUE"""),"Jaun.")</f>
        <v>Jaun.</v>
      </c>
      <c r="I1129" s="2" t="str">
        <f>IFERROR(__xludf.DUMMYFUNCTION("""COMPUTED_VALUE"""),"Panel")</f>
        <v>Panel</v>
      </c>
      <c r="J1129" s="2" t="str">
        <f>IFERROR(__xludf.DUMMYFUNCTION("""COMPUTED_VALUE"""),"All amenities")</f>
        <v>All amenities</v>
      </c>
      <c r="K1129" s="2">
        <f>IFERROR(__xludf.DUMMYFUNCTION("""COMPUTED_VALUE"""),550.0)</f>
        <v>550</v>
      </c>
      <c r="L1129" s="2">
        <f>IFERROR(__xludf.DUMMYFUNCTION("""COMPUTED_VALUE"""),56.9495716)</f>
        <v>56.9495716</v>
      </c>
      <c r="M1129" s="2">
        <f>IFERROR(__xludf.DUMMYFUNCTION("""COMPUTED_VALUE"""),24.1762346)</f>
        <v>24.1762346</v>
      </c>
    </row>
    <row r="1130">
      <c r="A1130" s="2" t="str">
        <f>IFERROR(__xludf.DUMMYFUNCTION("""COMPUTED_VALUE"""),"For rent")</f>
        <v>For rent</v>
      </c>
      <c r="B1130" s="2" t="str">
        <f>IFERROR(__xludf.DUMMYFUNCTION("""COMPUTED_VALUE"""),"centrs")</f>
        <v>centrs</v>
      </c>
      <c r="C1130" s="2" t="str">
        <f>IFERROR(__xludf.DUMMYFUNCTION("""COMPUTED_VALUE"""),"Matīsa 46")</f>
        <v>Matīsa 46</v>
      </c>
      <c r="D1130" s="2">
        <f>IFERROR(__xludf.DUMMYFUNCTION("""COMPUTED_VALUE"""),1.0)</f>
        <v>1</v>
      </c>
      <c r="E1130" s="2">
        <f>IFERROR(__xludf.DUMMYFUNCTION("""COMPUTED_VALUE"""),17.0)</f>
        <v>17</v>
      </c>
      <c r="F1130" s="2">
        <f>IFERROR(__xludf.DUMMYFUNCTION("""COMPUTED_VALUE"""),3.0)</f>
        <v>3</v>
      </c>
      <c r="G1130" s="2">
        <f>IFERROR(__xludf.DUMMYFUNCTION("""COMPUTED_VALUE"""),5.0)</f>
        <v>5</v>
      </c>
      <c r="H1130" s="2" t="str">
        <f>IFERROR(__xludf.DUMMYFUNCTION("""COMPUTED_VALUE"""),"Jaun.")</f>
        <v>Jaun.</v>
      </c>
      <c r="I1130" s="2" t="str">
        <f>IFERROR(__xludf.DUMMYFUNCTION("""COMPUTED_VALUE"""),"Masonry")</f>
        <v>Masonry</v>
      </c>
      <c r="J1130" s="2" t="str">
        <f>IFERROR(__xludf.DUMMYFUNCTION("""COMPUTED_VALUE"""),"All amenities")</f>
        <v>All amenities</v>
      </c>
      <c r="K1130" s="2">
        <f>IFERROR(__xludf.DUMMYFUNCTION("""COMPUTED_VALUE"""),25.0)</f>
        <v>25</v>
      </c>
      <c r="L1130" s="2">
        <f>IFERROR(__xludf.DUMMYFUNCTION("""COMPUTED_VALUE"""),56.9549083)</f>
        <v>56.9549083</v>
      </c>
      <c r="M1130" s="2">
        <f>IFERROR(__xludf.DUMMYFUNCTION("""COMPUTED_VALUE"""),24.1376122)</f>
        <v>24.1376122</v>
      </c>
    </row>
    <row r="1131">
      <c r="A1131" s="2" t="str">
        <f>IFERROR(__xludf.DUMMYFUNCTION("""COMPUTED_VALUE"""),"For sale")</f>
        <v>For sale</v>
      </c>
      <c r="B1131" s="2" t="str">
        <f>IFERROR(__xludf.DUMMYFUNCTION("""COMPUTED_VALUE"""),"Vecmīlgrāvis")</f>
        <v>Vecmīlgrāvis</v>
      </c>
      <c r="C1131" s="2" t="str">
        <f>IFERROR(__xludf.DUMMYFUNCTION("""COMPUTED_VALUE"""),"Gliemežu 5")</f>
        <v>Gliemežu 5</v>
      </c>
      <c r="D1131" s="2">
        <f>IFERROR(__xludf.DUMMYFUNCTION("""COMPUTED_VALUE"""),1.0)</f>
        <v>1</v>
      </c>
      <c r="E1131" s="2">
        <f>IFERROR(__xludf.DUMMYFUNCTION("""COMPUTED_VALUE"""),38.0)</f>
        <v>38</v>
      </c>
      <c r="F1131" s="2">
        <f>IFERROR(__xludf.DUMMYFUNCTION("""COMPUTED_VALUE"""),2.0)</f>
        <v>2</v>
      </c>
      <c r="G1131" s="2">
        <f>IFERROR(__xludf.DUMMYFUNCTION("""COMPUTED_VALUE"""),5.0)</f>
        <v>5</v>
      </c>
      <c r="H1131" s="2" t="str">
        <f>IFERROR(__xludf.DUMMYFUNCTION("""COMPUTED_VALUE"""),"Specpr.")</f>
        <v>Specpr.</v>
      </c>
      <c r="I1131" s="2" t="str">
        <f>IFERROR(__xludf.DUMMYFUNCTION("""COMPUTED_VALUE"""),"Brick-Panel")</f>
        <v>Brick-Panel</v>
      </c>
      <c r="J1131" s="2" t="str">
        <f>IFERROR(__xludf.DUMMYFUNCTION("""COMPUTED_VALUE"""),"All amenities")</f>
        <v>All amenities</v>
      </c>
      <c r="K1131" s="2">
        <f>IFERROR(__xludf.DUMMYFUNCTION("""COMPUTED_VALUE"""),27500.0)</f>
        <v>27500</v>
      </c>
      <c r="L1131" s="2">
        <f>IFERROR(__xludf.DUMMYFUNCTION("""COMPUTED_VALUE"""),57.0373867)</f>
        <v>57.0373867</v>
      </c>
      <c r="M1131" s="2">
        <f>IFERROR(__xludf.DUMMYFUNCTION("""COMPUTED_VALUE"""),24.0884618)</f>
        <v>24.0884618</v>
      </c>
    </row>
    <row r="1132">
      <c r="A1132" s="2" t="str">
        <f>IFERROR(__xludf.DUMMYFUNCTION("""COMPUTED_VALUE"""),"For sale")</f>
        <v>For sale</v>
      </c>
      <c r="B1132" s="2" t="str">
        <f>IFERROR(__xludf.DUMMYFUNCTION("""COMPUTED_VALUE"""),"Vecmīlgrāvis")</f>
        <v>Vecmīlgrāvis</v>
      </c>
      <c r="C1132" s="2" t="str">
        <f>IFERROR(__xludf.DUMMYFUNCTION("""COMPUTED_VALUE"""),"Vecmīlgrāvja 1. l. 37")</f>
        <v>Vecmīlgrāvja 1. l. 37</v>
      </c>
      <c r="D1132" s="2">
        <f>IFERROR(__xludf.DUMMYFUNCTION("""COMPUTED_VALUE"""),3.0)</f>
        <v>3</v>
      </c>
      <c r="E1132" s="2">
        <f>IFERROR(__xludf.DUMMYFUNCTION("""COMPUTED_VALUE"""),58.0)</f>
        <v>58</v>
      </c>
      <c r="F1132" s="2">
        <f>IFERROR(__xludf.DUMMYFUNCTION("""COMPUTED_VALUE"""),5.0)</f>
        <v>5</v>
      </c>
      <c r="G1132" s="2">
        <f>IFERROR(__xludf.DUMMYFUNCTION("""COMPUTED_VALUE"""),5.0)</f>
        <v>5</v>
      </c>
      <c r="H1132" s="2" t="str">
        <f>IFERROR(__xludf.DUMMYFUNCTION("""COMPUTED_VALUE"""),"LT proj.")</f>
        <v>LT proj.</v>
      </c>
      <c r="I1132" s="2" t="str">
        <f>IFERROR(__xludf.DUMMYFUNCTION("""COMPUTED_VALUE"""),"Panel")</f>
        <v>Panel</v>
      </c>
      <c r="J1132" s="2" t="str">
        <f>IFERROR(__xludf.DUMMYFUNCTION("""COMPUTED_VALUE"""),"All amenities")</f>
        <v>All amenities</v>
      </c>
      <c r="K1132" s="2">
        <f>IFERROR(__xludf.DUMMYFUNCTION("""COMPUTED_VALUE"""),34500.0)</f>
        <v>34500</v>
      </c>
      <c r="L1132" s="2" t="str">
        <f>IFERROR(__xludf.DUMMYFUNCTION("""COMPUTED_VALUE"""),"NaN")</f>
        <v>NaN</v>
      </c>
      <c r="M1132" s="2" t="str">
        <f>IFERROR(__xludf.DUMMYFUNCTION("""COMPUTED_VALUE"""),"NaN")</f>
        <v>NaN</v>
      </c>
    </row>
    <row r="1133">
      <c r="A1133" s="2" t="str">
        <f>IFERROR(__xludf.DUMMYFUNCTION("""COMPUTED_VALUE"""),"For sale")</f>
        <v>For sale</v>
      </c>
      <c r="B1133" s="2" t="str">
        <f>IFERROR(__xludf.DUMMYFUNCTION("""COMPUTED_VALUE"""),"Zolitūde")</f>
        <v>Zolitūde</v>
      </c>
      <c r="C1133" s="2" t="str">
        <f>IFERROR(__xludf.DUMMYFUNCTION("""COMPUTED_VALUE"""),"Imantas 16. l. 7")</f>
        <v>Imantas 16. l. 7</v>
      </c>
      <c r="D1133" s="2">
        <f>IFERROR(__xludf.DUMMYFUNCTION("""COMPUTED_VALUE"""),3.0)</f>
        <v>3</v>
      </c>
      <c r="E1133" s="2">
        <f>IFERROR(__xludf.DUMMYFUNCTION("""COMPUTED_VALUE"""),83.0)</f>
        <v>83</v>
      </c>
      <c r="F1133" s="2">
        <f>IFERROR(__xludf.DUMMYFUNCTION("""COMPUTED_VALUE"""),7.0)</f>
        <v>7</v>
      </c>
      <c r="G1133" s="2">
        <f>IFERROR(__xludf.DUMMYFUNCTION("""COMPUTED_VALUE"""),9.0)</f>
        <v>9</v>
      </c>
      <c r="H1133" s="2">
        <f>IFERROR(__xludf.DUMMYFUNCTION("""COMPUTED_VALUE"""),119.0)</f>
        <v>119</v>
      </c>
      <c r="I1133" s="2" t="str">
        <f>IFERROR(__xludf.DUMMYFUNCTION("""COMPUTED_VALUE"""),"Panel-Brick")</f>
        <v>Panel-Brick</v>
      </c>
      <c r="J1133" s="2" t="str">
        <f>IFERROR(__xludf.DUMMYFUNCTION("""COMPUTED_VALUE"""),"All amenities")</f>
        <v>All amenities</v>
      </c>
      <c r="K1133" s="2">
        <f>IFERROR(__xludf.DUMMYFUNCTION("""COMPUTED_VALUE"""),64000.0)</f>
        <v>64000</v>
      </c>
      <c r="L1133" s="2" t="str">
        <f>IFERROR(__xludf.DUMMYFUNCTION("""COMPUTED_VALUE"""),"NaN")</f>
        <v>NaN</v>
      </c>
      <c r="M1133" s="2" t="str">
        <f>IFERROR(__xludf.DUMMYFUNCTION("""COMPUTED_VALUE"""),"NaN")</f>
        <v>NaN</v>
      </c>
    </row>
    <row r="1134">
      <c r="A1134" s="2" t="str">
        <f>IFERROR(__xludf.DUMMYFUNCTION("""COMPUTED_VALUE"""),"For sale")</f>
        <v>For sale</v>
      </c>
      <c r="B1134" s="2" t="str">
        <f>IFERROR(__xludf.DUMMYFUNCTION("""COMPUTED_VALUE"""),"centrs")</f>
        <v>centrs</v>
      </c>
      <c r="C1134" s="2" t="str">
        <f>IFERROR(__xludf.DUMMYFUNCTION("""COMPUTED_VALUE"""),"Republikas laukums 3")</f>
        <v>Republikas laukums 3</v>
      </c>
      <c r="D1134" s="2">
        <f>IFERROR(__xludf.DUMMYFUNCTION("""COMPUTED_VALUE"""),3.0)</f>
        <v>3</v>
      </c>
      <c r="E1134" s="2">
        <f>IFERROR(__xludf.DUMMYFUNCTION("""COMPUTED_VALUE"""),126.0)</f>
        <v>126</v>
      </c>
      <c r="F1134" s="2">
        <f>IFERROR(__xludf.DUMMYFUNCTION("""COMPUTED_VALUE"""),6.0)</f>
        <v>6</v>
      </c>
      <c r="G1134" s="2">
        <f>IFERROR(__xludf.DUMMYFUNCTION("""COMPUTED_VALUE"""),6.0)</f>
        <v>6</v>
      </c>
      <c r="H1134" s="2" t="str">
        <f>IFERROR(__xludf.DUMMYFUNCTION("""COMPUTED_VALUE"""),"Jaun.")</f>
        <v>Jaun.</v>
      </c>
      <c r="I1134" s="2" t="str">
        <f>IFERROR(__xludf.DUMMYFUNCTION("""COMPUTED_VALUE"""),"Masonry")</f>
        <v>Masonry</v>
      </c>
      <c r="J1134" s="2" t="str">
        <f>IFERROR(__xludf.DUMMYFUNCTION("""COMPUTED_VALUE"""),"All amenities")</f>
        <v>All amenities</v>
      </c>
      <c r="K1134" s="2">
        <f>IFERROR(__xludf.DUMMYFUNCTION("""COMPUTED_VALUE"""),273000.0)</f>
        <v>273000</v>
      </c>
      <c r="L1134" s="2">
        <f>IFERROR(__xludf.DUMMYFUNCTION("""COMPUTED_VALUE"""),56.9552522)</f>
        <v>56.9552522</v>
      </c>
      <c r="M1134" s="2">
        <f>IFERROR(__xludf.DUMMYFUNCTION("""COMPUTED_VALUE"""),24.0999991251943)</f>
        <v>24.09999913</v>
      </c>
    </row>
    <row r="1135">
      <c r="A1135" s="2" t="str">
        <f>IFERROR(__xludf.DUMMYFUNCTION("""COMPUTED_VALUE"""),"For sale")</f>
        <v>For sale</v>
      </c>
      <c r="B1135" s="2" t="str">
        <f>IFERROR(__xludf.DUMMYFUNCTION("""COMPUTED_VALUE"""),"Sarkandaugava")</f>
        <v>Sarkandaugava</v>
      </c>
      <c r="C1135" s="2" t="str">
        <f>IFERROR(__xludf.DUMMYFUNCTION("""COMPUTED_VALUE"""),"Viestura pr. 59")</f>
        <v>Viestura pr. 59</v>
      </c>
      <c r="D1135" s="2">
        <f>IFERROR(__xludf.DUMMYFUNCTION("""COMPUTED_VALUE"""),1.0)</f>
        <v>1</v>
      </c>
      <c r="E1135" s="2">
        <f>IFERROR(__xludf.DUMMYFUNCTION("""COMPUTED_VALUE"""),28.0)</f>
        <v>28</v>
      </c>
      <c r="F1135" s="2">
        <f>IFERROR(__xludf.DUMMYFUNCTION("""COMPUTED_VALUE"""),7.0)</f>
        <v>7</v>
      </c>
      <c r="G1135" s="2">
        <f>IFERROR(__xludf.DUMMYFUNCTION("""COMPUTED_VALUE"""),9.0)</f>
        <v>9</v>
      </c>
      <c r="H1135" s="2" t="str">
        <f>IFERROR(__xludf.DUMMYFUNCTION("""COMPUTED_VALUE"""),"Specpr.")</f>
        <v>Specpr.</v>
      </c>
      <c r="I1135" s="2" t="str">
        <f>IFERROR(__xludf.DUMMYFUNCTION("""COMPUTED_VALUE"""),"Brick-Panel")</f>
        <v>Brick-Panel</v>
      </c>
      <c r="J1135" s="2" t="str">
        <f>IFERROR(__xludf.DUMMYFUNCTION("""COMPUTED_VALUE"""),"All amenities")</f>
        <v>All amenities</v>
      </c>
      <c r="K1135" s="2">
        <f>IFERROR(__xludf.DUMMYFUNCTION("""COMPUTED_VALUE"""),27900.0)</f>
        <v>27900</v>
      </c>
      <c r="L1135" s="2">
        <f>IFERROR(__xludf.DUMMYFUNCTION("""COMPUTED_VALUE"""),56.9984366)</f>
        <v>56.9984366</v>
      </c>
      <c r="M1135" s="2">
        <f>IFERROR(__xludf.DUMMYFUNCTION("""COMPUTED_VALUE"""),24.1328951)</f>
        <v>24.1328951</v>
      </c>
    </row>
    <row r="1136">
      <c r="A1136" s="2" t="str">
        <f>IFERROR(__xludf.DUMMYFUNCTION("""COMPUTED_VALUE"""),"For sale")</f>
        <v>For sale</v>
      </c>
      <c r="B1136" s="2" t="str">
        <f>IFERROR(__xludf.DUMMYFUNCTION("""COMPUTED_VALUE"""),"Krasta r-ns")</f>
        <v>Krasta r-ns</v>
      </c>
      <c r="C1136" s="2" t="str">
        <f>IFERROR(__xludf.DUMMYFUNCTION("""COMPUTED_VALUE"""),"Dzērvju 3")</f>
        <v>Dzērvju 3</v>
      </c>
      <c r="D1136" s="2">
        <f>IFERROR(__xludf.DUMMYFUNCTION("""COMPUTED_VALUE"""),4.0)</f>
        <v>4</v>
      </c>
      <c r="E1136" s="2">
        <f>IFERROR(__xludf.DUMMYFUNCTION("""COMPUTED_VALUE"""),80.0)</f>
        <v>80</v>
      </c>
      <c r="F1136" s="2">
        <f>IFERROR(__xludf.DUMMYFUNCTION("""COMPUTED_VALUE"""),9.0)</f>
        <v>9</v>
      </c>
      <c r="G1136" s="2">
        <f>IFERROR(__xludf.DUMMYFUNCTION("""COMPUTED_VALUE"""),9.0)</f>
        <v>9</v>
      </c>
      <c r="H1136" s="2">
        <f>IFERROR(__xludf.DUMMYFUNCTION("""COMPUTED_VALUE"""),467.0)</f>
        <v>467</v>
      </c>
      <c r="I1136" s="2" t="str">
        <f>IFERROR(__xludf.DUMMYFUNCTION("""COMPUTED_VALUE"""),"Panel")</f>
        <v>Panel</v>
      </c>
      <c r="J1136" s="2" t="str">
        <f>IFERROR(__xludf.DUMMYFUNCTION("""COMPUTED_VALUE"""),"All amenities")</f>
        <v>All amenities</v>
      </c>
      <c r="K1136" s="2">
        <f>IFERROR(__xludf.DUMMYFUNCTION("""COMPUTED_VALUE"""),79000.0)</f>
        <v>79000</v>
      </c>
      <c r="L1136" s="2">
        <f>IFERROR(__xludf.DUMMYFUNCTION("""COMPUTED_VALUE"""),56.93086485)</f>
        <v>56.93086485</v>
      </c>
      <c r="M1136" s="2">
        <f>IFERROR(__xludf.DUMMYFUNCTION("""COMPUTED_VALUE"""),24.1650278688019)</f>
        <v>24.16502787</v>
      </c>
    </row>
    <row r="1137">
      <c r="A1137" s="2" t="str">
        <f>IFERROR(__xludf.DUMMYFUNCTION("""COMPUTED_VALUE"""),"For sale")</f>
        <v>For sale</v>
      </c>
      <c r="B1137" s="2" t="str">
        <f>IFERROR(__xludf.DUMMYFUNCTION("""COMPUTED_VALUE"""),"Vecmīlgrāvis")</f>
        <v>Vecmīlgrāvis</v>
      </c>
      <c r="C1137" s="2" t="str">
        <f>IFERROR(__xludf.DUMMYFUNCTION("""COMPUTED_VALUE"""),"Kalngales 1")</f>
        <v>Kalngales 1</v>
      </c>
      <c r="D1137" s="2">
        <f>IFERROR(__xludf.DUMMYFUNCTION("""COMPUTED_VALUE"""),2.0)</f>
        <v>2</v>
      </c>
      <c r="E1137" s="2">
        <f>IFERROR(__xludf.DUMMYFUNCTION("""COMPUTED_VALUE"""),51.0)</f>
        <v>51</v>
      </c>
      <c r="F1137" s="2">
        <f>IFERROR(__xludf.DUMMYFUNCTION("""COMPUTED_VALUE"""),6.0)</f>
        <v>6</v>
      </c>
      <c r="G1137" s="2">
        <f>IFERROR(__xludf.DUMMYFUNCTION("""COMPUTED_VALUE"""),9.0)</f>
        <v>9</v>
      </c>
      <c r="H1137" s="2">
        <f>IFERROR(__xludf.DUMMYFUNCTION("""COMPUTED_VALUE"""),602.0)</f>
        <v>602</v>
      </c>
      <c r="I1137" s="2" t="str">
        <f>IFERROR(__xludf.DUMMYFUNCTION("""COMPUTED_VALUE"""),"Panel")</f>
        <v>Panel</v>
      </c>
      <c r="J1137" s="2" t="str">
        <f>IFERROR(__xludf.DUMMYFUNCTION("""COMPUTED_VALUE"""),"All amenities")</f>
        <v>All amenities</v>
      </c>
      <c r="K1137" s="2">
        <f>IFERROR(__xludf.DUMMYFUNCTION("""COMPUTED_VALUE"""),53000.0)</f>
        <v>53000</v>
      </c>
      <c r="L1137" s="2">
        <f>IFERROR(__xludf.DUMMYFUNCTION("""COMPUTED_VALUE"""),57.03824475)</f>
        <v>57.03824475</v>
      </c>
      <c r="M1137" s="2">
        <f>IFERROR(__xludf.DUMMYFUNCTION("""COMPUTED_VALUE"""),24.0993423582241)</f>
        <v>24.09934236</v>
      </c>
    </row>
    <row r="1138">
      <c r="A1138" s="2" t="str">
        <f>IFERROR(__xludf.DUMMYFUNCTION("""COMPUTED_VALUE"""),"For sale")</f>
        <v>For sale</v>
      </c>
      <c r="B1138" s="2" t="str">
        <f>IFERROR(__xludf.DUMMYFUNCTION("""COMPUTED_VALUE"""),"Ziepniekkalns")</f>
        <v>Ziepniekkalns</v>
      </c>
      <c r="C1138" s="2" t="str">
        <f>IFERROR(__xludf.DUMMYFUNCTION("""COMPUTED_VALUE"""),"Ozolciema 18")</f>
        <v>Ozolciema 18</v>
      </c>
      <c r="D1138" s="2">
        <f>IFERROR(__xludf.DUMMYFUNCTION("""COMPUTED_VALUE"""),2.0)</f>
        <v>2</v>
      </c>
      <c r="E1138" s="2">
        <f>IFERROR(__xludf.DUMMYFUNCTION("""COMPUTED_VALUE"""),58.0)</f>
        <v>58</v>
      </c>
      <c r="F1138" s="2">
        <f>IFERROR(__xludf.DUMMYFUNCTION("""COMPUTED_VALUE"""),4.0)</f>
        <v>4</v>
      </c>
      <c r="G1138" s="2">
        <f>IFERROR(__xludf.DUMMYFUNCTION("""COMPUTED_VALUE"""),9.0)</f>
        <v>9</v>
      </c>
      <c r="H1138" s="2">
        <f>IFERROR(__xludf.DUMMYFUNCTION("""COMPUTED_VALUE"""),119.0)</f>
        <v>119</v>
      </c>
      <c r="I1138" s="2" t="str">
        <f>IFERROR(__xludf.DUMMYFUNCTION("""COMPUTED_VALUE"""),"Panel")</f>
        <v>Panel</v>
      </c>
      <c r="J1138" s="2" t="str">
        <f>IFERROR(__xludf.DUMMYFUNCTION("""COMPUTED_VALUE"""),"All amenities")</f>
        <v>All amenities</v>
      </c>
      <c r="K1138" s="2">
        <f>IFERROR(__xludf.DUMMYFUNCTION("""COMPUTED_VALUE"""),63000.0)</f>
        <v>63000</v>
      </c>
      <c r="L1138" s="2">
        <f>IFERROR(__xludf.DUMMYFUNCTION("""COMPUTED_VALUE"""),56.89859735)</f>
        <v>56.89859735</v>
      </c>
      <c r="M1138" s="2">
        <f>IFERROR(__xludf.DUMMYFUNCTION("""COMPUTED_VALUE"""),24.0876707999998)</f>
        <v>24.0876708</v>
      </c>
    </row>
    <row r="1139">
      <c r="A1139" s="2" t="str">
        <f>IFERROR(__xludf.DUMMYFUNCTION("""COMPUTED_VALUE"""),"For sale")</f>
        <v>For sale</v>
      </c>
      <c r="B1139" s="2" t="str">
        <f>IFERROR(__xludf.DUMMYFUNCTION("""COMPUTED_VALUE"""),"Iļģuciems")</f>
        <v>Iļģuciems</v>
      </c>
      <c r="C1139" s="2" t="str">
        <f>IFERROR(__xludf.DUMMYFUNCTION("""COMPUTED_VALUE"""),"Grodņas 1a")</f>
        <v>Grodņas 1a</v>
      </c>
      <c r="D1139" s="2">
        <f>IFERROR(__xludf.DUMMYFUNCTION("""COMPUTED_VALUE"""),1.0)</f>
        <v>1</v>
      </c>
      <c r="E1139" s="2">
        <f>IFERROR(__xludf.DUMMYFUNCTION("""COMPUTED_VALUE"""),26.0)</f>
        <v>26</v>
      </c>
      <c r="F1139" s="2">
        <f>IFERROR(__xludf.DUMMYFUNCTION("""COMPUTED_VALUE"""),1.0)</f>
        <v>1</v>
      </c>
      <c r="G1139" s="2">
        <f>IFERROR(__xludf.DUMMYFUNCTION("""COMPUTED_VALUE"""),2.0)</f>
        <v>2</v>
      </c>
      <c r="H1139" s="2" t="str">
        <f>IFERROR(__xludf.DUMMYFUNCTION("""COMPUTED_VALUE"""),"P. kara")</f>
        <v>P. kara</v>
      </c>
      <c r="I1139" s="2" t="str">
        <f>IFERROR(__xludf.DUMMYFUNCTION("""COMPUTED_VALUE"""),"Wood")</f>
        <v>Wood</v>
      </c>
      <c r="J1139" s="2" t="str">
        <f>IFERROR(__xludf.DUMMYFUNCTION("""COMPUTED_VALUE"""),"All amenities")</f>
        <v>All amenities</v>
      </c>
      <c r="K1139" s="2">
        <f>IFERROR(__xludf.DUMMYFUNCTION("""COMPUTED_VALUE"""),14900.0)</f>
        <v>14900</v>
      </c>
      <c r="L1139" s="2">
        <f>IFERROR(__xludf.DUMMYFUNCTION("""COMPUTED_VALUE"""),56.9638561)</f>
        <v>56.9638561</v>
      </c>
      <c r="M1139" s="2">
        <f>IFERROR(__xludf.DUMMYFUNCTION("""COMPUTED_VALUE"""),24.0648827857561)</f>
        <v>24.06488279</v>
      </c>
    </row>
    <row r="1140">
      <c r="A1140" s="2" t="str">
        <f>IFERROR(__xludf.DUMMYFUNCTION("""COMPUTED_VALUE"""),"For sale")</f>
        <v>For sale</v>
      </c>
      <c r="B1140" s="2" t="str">
        <f>IFERROR(__xludf.DUMMYFUNCTION("""COMPUTED_VALUE"""),"Pļavnieki")</f>
        <v>Pļavnieki</v>
      </c>
      <c r="C1140" s="2" t="str">
        <f>IFERROR(__xludf.DUMMYFUNCTION("""COMPUTED_VALUE"""),"Rudens 8")</f>
        <v>Rudens 8</v>
      </c>
      <c r="D1140" s="2">
        <f>IFERROR(__xludf.DUMMYFUNCTION("""COMPUTED_VALUE"""),4.0)</f>
        <v>4</v>
      </c>
      <c r="E1140" s="2">
        <f>IFERROR(__xludf.DUMMYFUNCTION("""COMPUTED_VALUE"""),78.0)</f>
        <v>78</v>
      </c>
      <c r="F1140" s="2">
        <f>IFERROR(__xludf.DUMMYFUNCTION("""COMPUTED_VALUE"""),7.0)</f>
        <v>7</v>
      </c>
      <c r="G1140" s="2">
        <f>IFERROR(__xludf.DUMMYFUNCTION("""COMPUTED_VALUE"""),9.0)</f>
        <v>9</v>
      </c>
      <c r="H1140" s="2">
        <f>IFERROR(__xludf.DUMMYFUNCTION("""COMPUTED_VALUE"""),602.0)</f>
        <v>602</v>
      </c>
      <c r="I1140" s="2" t="str">
        <f>IFERROR(__xludf.DUMMYFUNCTION("""COMPUTED_VALUE"""),"Panel")</f>
        <v>Panel</v>
      </c>
      <c r="J1140" s="2" t="str">
        <f>IFERROR(__xludf.DUMMYFUNCTION("""COMPUTED_VALUE"""),"All amenities")</f>
        <v>All amenities</v>
      </c>
      <c r="K1140" s="2">
        <f>IFERROR(__xludf.DUMMYFUNCTION("""COMPUTED_VALUE"""),88600.0)</f>
        <v>88600</v>
      </c>
      <c r="L1140" s="2">
        <f>IFERROR(__xludf.DUMMYFUNCTION("""COMPUTED_VALUE"""),56.93766455)</f>
        <v>56.93766455</v>
      </c>
      <c r="M1140" s="2">
        <f>IFERROR(__xludf.DUMMYFUNCTION("""COMPUTED_VALUE"""),24.1982994594609)</f>
        <v>24.19829946</v>
      </c>
    </row>
    <row r="1141">
      <c r="A1141" s="2" t="str">
        <f>IFERROR(__xludf.DUMMYFUNCTION("""COMPUTED_VALUE"""),"For sale")</f>
        <v>For sale</v>
      </c>
      <c r="B1141" s="2" t="str">
        <f>IFERROR(__xludf.DUMMYFUNCTION("""COMPUTED_VALUE"""),"centrs")</f>
        <v>centrs</v>
      </c>
      <c r="C1141" s="2" t="str">
        <f>IFERROR(__xludf.DUMMYFUNCTION("""COMPUTED_VALUE"""),"Sadovņikova 17")</f>
        <v>Sadovņikova 17</v>
      </c>
      <c r="D1141" s="2">
        <f>IFERROR(__xludf.DUMMYFUNCTION("""COMPUTED_VALUE"""),2.0)</f>
        <v>2</v>
      </c>
      <c r="E1141" s="2">
        <f>IFERROR(__xludf.DUMMYFUNCTION("""COMPUTED_VALUE"""),50.0)</f>
        <v>50</v>
      </c>
      <c r="F1141" s="2">
        <f>IFERROR(__xludf.DUMMYFUNCTION("""COMPUTED_VALUE"""),4.0)</f>
        <v>4</v>
      </c>
      <c r="G1141" s="2">
        <f>IFERROR(__xludf.DUMMYFUNCTION("""COMPUTED_VALUE"""),5.0)</f>
        <v>5</v>
      </c>
      <c r="H1141" s="2" t="str">
        <f>IFERROR(__xludf.DUMMYFUNCTION("""COMPUTED_VALUE"""),"P. kara")</f>
        <v>P. kara</v>
      </c>
      <c r="I1141" s="2" t="str">
        <f>IFERROR(__xludf.DUMMYFUNCTION("""COMPUTED_VALUE"""),"Masonry")</f>
        <v>Masonry</v>
      </c>
      <c r="J1141" s="2" t="str">
        <f>IFERROR(__xludf.DUMMYFUNCTION("""COMPUTED_VALUE"""),"All amenities")</f>
        <v>All amenities</v>
      </c>
      <c r="K1141" s="2">
        <f>IFERROR(__xludf.DUMMYFUNCTION("""COMPUTED_VALUE"""),67000.0)</f>
        <v>67000</v>
      </c>
      <c r="L1141" s="2">
        <f>IFERROR(__xludf.DUMMYFUNCTION("""COMPUTED_VALUE"""),56.9424281)</f>
        <v>56.9424281</v>
      </c>
      <c r="M1141" s="2">
        <f>IFERROR(__xludf.DUMMYFUNCTION("""COMPUTED_VALUE"""),24.131972)</f>
        <v>24.131972</v>
      </c>
    </row>
    <row r="1142">
      <c r="A1142" s="2" t="str">
        <f>IFERROR(__xludf.DUMMYFUNCTION("""COMPUTED_VALUE"""),"For rent")</f>
        <v>For rent</v>
      </c>
      <c r="B1142" s="2" t="str">
        <f>IFERROR(__xludf.DUMMYFUNCTION("""COMPUTED_VALUE"""),"centrs")</f>
        <v>centrs</v>
      </c>
      <c r="C1142" s="2" t="str">
        <f>IFERROR(__xludf.DUMMYFUNCTION("""COMPUTED_VALUE"""),"Ģertrūdes 91")</f>
        <v>Ģertrūdes 91</v>
      </c>
      <c r="D1142" s="2">
        <f>IFERROR(__xludf.DUMMYFUNCTION("""COMPUTED_VALUE"""),1.0)</f>
        <v>1</v>
      </c>
      <c r="E1142" s="2">
        <f>IFERROR(__xludf.DUMMYFUNCTION("""COMPUTED_VALUE"""),22.0)</f>
        <v>22</v>
      </c>
      <c r="F1142" s="2">
        <f>IFERROR(__xludf.DUMMYFUNCTION("""COMPUTED_VALUE"""),6.0)</f>
        <v>6</v>
      </c>
      <c r="G1142" s="2">
        <f>IFERROR(__xludf.DUMMYFUNCTION("""COMPUTED_VALUE"""),5.0)</f>
        <v>5</v>
      </c>
      <c r="H1142" s="2" t="str">
        <f>IFERROR(__xludf.DUMMYFUNCTION("""COMPUTED_VALUE"""),"P. kara")</f>
        <v>P. kara</v>
      </c>
      <c r="I1142" s="2" t="str">
        <f>IFERROR(__xludf.DUMMYFUNCTION("""COMPUTED_VALUE"""),"Brick")</f>
        <v>Brick</v>
      </c>
      <c r="J1142" s="2" t="str">
        <f>IFERROR(__xludf.DUMMYFUNCTION("""COMPUTED_VALUE"""),"All amenities")</f>
        <v>All amenities</v>
      </c>
      <c r="K1142" s="2">
        <f>IFERROR(__xludf.DUMMYFUNCTION("""COMPUTED_VALUE"""),30.0)</f>
        <v>30</v>
      </c>
      <c r="L1142" s="2">
        <f>IFERROR(__xludf.DUMMYFUNCTION("""COMPUTED_VALUE"""),56.95035715)</f>
        <v>56.95035715</v>
      </c>
      <c r="M1142" s="2">
        <f>IFERROR(__xludf.DUMMYFUNCTION("""COMPUTED_VALUE"""),24.1357606589646)</f>
        <v>24.13576066</v>
      </c>
    </row>
    <row r="1143">
      <c r="A1143" s="2" t="str">
        <f>IFERROR(__xludf.DUMMYFUNCTION("""COMPUTED_VALUE"""),"For sale")</f>
        <v>For sale</v>
      </c>
      <c r="B1143" s="2" t="str">
        <f>IFERROR(__xludf.DUMMYFUNCTION("""COMPUTED_VALUE"""),"Purvciems")</f>
        <v>Purvciems</v>
      </c>
      <c r="C1143" s="2" t="str">
        <f>IFERROR(__xludf.DUMMYFUNCTION("""COMPUTED_VALUE"""),"Vējavas 12")</f>
        <v>Vējavas 12</v>
      </c>
      <c r="D1143" s="2">
        <f>IFERROR(__xludf.DUMMYFUNCTION("""COMPUTED_VALUE"""),1.0)</f>
        <v>1</v>
      </c>
      <c r="E1143" s="2">
        <f>IFERROR(__xludf.DUMMYFUNCTION("""COMPUTED_VALUE"""),39.0)</f>
        <v>39</v>
      </c>
      <c r="F1143" s="2">
        <f>IFERROR(__xludf.DUMMYFUNCTION("""COMPUTED_VALUE"""),1.0)</f>
        <v>1</v>
      </c>
      <c r="G1143" s="2">
        <f>IFERROR(__xludf.DUMMYFUNCTION("""COMPUTED_VALUE"""),5.0)</f>
        <v>5</v>
      </c>
      <c r="H1143" s="2" t="str">
        <f>IFERROR(__xludf.DUMMYFUNCTION("""COMPUTED_VALUE"""),"M. ģim.")</f>
        <v>M. ģim.</v>
      </c>
      <c r="I1143" s="2" t="str">
        <f>IFERROR(__xludf.DUMMYFUNCTION("""COMPUTED_VALUE"""),"Panel")</f>
        <v>Panel</v>
      </c>
      <c r="J1143" s="2" t="str">
        <f>IFERROR(__xludf.DUMMYFUNCTION("""COMPUTED_VALUE"""),"All amenities")</f>
        <v>All amenities</v>
      </c>
      <c r="K1143" s="2">
        <f>IFERROR(__xludf.DUMMYFUNCTION("""COMPUTED_VALUE"""),37500.0)</f>
        <v>37500</v>
      </c>
      <c r="L1143" s="2">
        <f>IFERROR(__xludf.DUMMYFUNCTION("""COMPUTED_VALUE"""),56.95697915)</f>
        <v>56.95697915</v>
      </c>
      <c r="M1143" s="2">
        <f>IFERROR(__xludf.DUMMYFUNCTION("""COMPUTED_VALUE"""),24.1694646616754)</f>
        <v>24.16946466</v>
      </c>
    </row>
    <row r="1144">
      <c r="A1144" s="2" t="str">
        <f>IFERROR(__xludf.DUMMYFUNCTION("""COMPUTED_VALUE"""),"For rent")</f>
        <v>For rent</v>
      </c>
      <c r="B1144" s="2" t="str">
        <f>IFERROR(__xludf.DUMMYFUNCTION("""COMPUTED_VALUE"""),"centrs")</f>
        <v>centrs</v>
      </c>
      <c r="C1144" s="2" t="str">
        <f>IFERROR(__xludf.DUMMYFUNCTION("""COMPUTED_VALUE"""),"Klijānu 2a")</f>
        <v>Klijānu 2a</v>
      </c>
      <c r="D1144" s="2">
        <f>IFERROR(__xludf.DUMMYFUNCTION("""COMPUTED_VALUE"""),1.0)</f>
        <v>1</v>
      </c>
      <c r="E1144" s="2">
        <f>IFERROR(__xludf.DUMMYFUNCTION("""COMPUTED_VALUE"""),30.0)</f>
        <v>30</v>
      </c>
      <c r="F1144" s="2">
        <f>IFERROR(__xludf.DUMMYFUNCTION("""COMPUTED_VALUE"""),4.0)</f>
        <v>4</v>
      </c>
      <c r="G1144" s="2">
        <f>IFERROR(__xludf.DUMMYFUNCTION("""COMPUTED_VALUE"""),9.0)</f>
        <v>9</v>
      </c>
      <c r="H1144" s="2" t="str">
        <f>IFERROR(__xludf.DUMMYFUNCTION("""COMPUTED_VALUE"""),"Renov.")</f>
        <v>Renov.</v>
      </c>
      <c r="I1144" s="2" t="str">
        <f>IFERROR(__xludf.DUMMYFUNCTION("""COMPUTED_VALUE"""),"Masonry")</f>
        <v>Masonry</v>
      </c>
      <c r="J1144" s="2" t="str">
        <f>IFERROR(__xludf.DUMMYFUNCTION("""COMPUTED_VALUE"""),"All amenities")</f>
        <v>All amenities</v>
      </c>
      <c r="K1144" s="2">
        <f>IFERROR(__xludf.DUMMYFUNCTION("""COMPUTED_VALUE"""),240.0)</f>
        <v>240</v>
      </c>
      <c r="L1144" s="2">
        <f>IFERROR(__xludf.DUMMYFUNCTION("""COMPUTED_VALUE"""),56.974699)</f>
        <v>56.974699</v>
      </c>
      <c r="M1144" s="2">
        <f>IFERROR(__xludf.DUMMYFUNCTION("""COMPUTED_VALUE"""),24.1449329)</f>
        <v>24.1449329</v>
      </c>
    </row>
    <row r="1145">
      <c r="A1145" s="2" t="str">
        <f>IFERROR(__xludf.DUMMYFUNCTION("""COMPUTED_VALUE"""),"For rent")</f>
        <v>For rent</v>
      </c>
      <c r="B1145" s="2" t="str">
        <f>IFERROR(__xludf.DUMMYFUNCTION("""COMPUTED_VALUE"""),"centrs")</f>
        <v>centrs</v>
      </c>
      <c r="C1145" s="2" t="str">
        <f>IFERROR(__xludf.DUMMYFUNCTION("""COMPUTED_VALUE"""),"Pulkv. Brieža 3")</f>
        <v>Pulkv. Brieža 3</v>
      </c>
      <c r="D1145" s="2">
        <f>IFERROR(__xludf.DUMMYFUNCTION("""COMPUTED_VALUE"""),6.0)</f>
        <v>6</v>
      </c>
      <c r="E1145" s="2">
        <f>IFERROR(__xludf.DUMMYFUNCTION("""COMPUTED_VALUE"""),120.0)</f>
        <v>120</v>
      </c>
      <c r="F1145" s="2">
        <f>IFERROR(__xludf.DUMMYFUNCTION("""COMPUTED_VALUE"""),5.0)</f>
        <v>5</v>
      </c>
      <c r="G1145" s="2">
        <f>IFERROR(__xludf.DUMMYFUNCTION("""COMPUTED_VALUE"""),5.0)</f>
        <v>5</v>
      </c>
      <c r="H1145" s="2" t="str">
        <f>IFERROR(__xludf.DUMMYFUNCTION("""COMPUTED_VALUE"""),"P. kara")</f>
        <v>P. kara</v>
      </c>
      <c r="I1145" s="2" t="str">
        <f>IFERROR(__xludf.DUMMYFUNCTION("""COMPUTED_VALUE"""),"Masonry")</f>
        <v>Masonry</v>
      </c>
      <c r="J1145" s="2" t="str">
        <f>IFERROR(__xludf.DUMMYFUNCTION("""COMPUTED_VALUE"""),"All amenities")</f>
        <v>All amenities</v>
      </c>
      <c r="K1145" s="2">
        <f>IFERROR(__xludf.DUMMYFUNCTION("""COMPUTED_VALUE"""),330.0)</f>
        <v>330</v>
      </c>
      <c r="L1145" s="2" t="str">
        <f>IFERROR(__xludf.DUMMYFUNCTION("""COMPUTED_VALUE"""),"NaN")</f>
        <v>NaN</v>
      </c>
      <c r="M1145" s="2" t="str">
        <f>IFERROR(__xludf.DUMMYFUNCTION("""COMPUTED_VALUE"""),"NaN")</f>
        <v>NaN</v>
      </c>
    </row>
    <row r="1146">
      <c r="A1146" s="2" t="str">
        <f>IFERROR(__xludf.DUMMYFUNCTION("""COMPUTED_VALUE"""),"For sale")</f>
        <v>For sale</v>
      </c>
      <c r="B1146" s="2" t="str">
        <f>IFERROR(__xludf.DUMMYFUNCTION("""COMPUTED_VALUE"""),"Vecmīlgrāvis")</f>
        <v>Vecmīlgrāvis</v>
      </c>
      <c r="C1146" s="2" t="str">
        <f>IFERROR(__xludf.DUMMYFUNCTION("""COMPUTED_VALUE"""),"Emmas 14")</f>
        <v>Emmas 14</v>
      </c>
      <c r="D1146" s="2">
        <f>IFERROR(__xludf.DUMMYFUNCTION("""COMPUTED_VALUE"""),1.0)</f>
        <v>1</v>
      </c>
      <c r="E1146" s="2">
        <f>IFERROR(__xludf.DUMMYFUNCTION("""COMPUTED_VALUE"""),14.0)</f>
        <v>14</v>
      </c>
      <c r="F1146" s="2">
        <f>IFERROR(__xludf.DUMMYFUNCTION("""COMPUTED_VALUE"""),3.0)</f>
        <v>3</v>
      </c>
      <c r="G1146" s="2">
        <f>IFERROR(__xludf.DUMMYFUNCTION("""COMPUTED_VALUE"""),3.0)</f>
        <v>3</v>
      </c>
      <c r="H1146" s="2" t="str">
        <f>IFERROR(__xludf.DUMMYFUNCTION("""COMPUTED_VALUE"""),"P. kara")</f>
        <v>P. kara</v>
      </c>
      <c r="I1146" s="2" t="str">
        <f>IFERROR(__xludf.DUMMYFUNCTION("""COMPUTED_VALUE"""),"Masonry")</f>
        <v>Masonry</v>
      </c>
      <c r="J1146" s="2" t="str">
        <f>IFERROR(__xludf.DUMMYFUNCTION("""COMPUTED_VALUE"""),"All amenities")</f>
        <v>All amenities</v>
      </c>
      <c r="K1146" s="2">
        <f>IFERROR(__xludf.DUMMYFUNCTION("""COMPUTED_VALUE"""),5000.0)</f>
        <v>5000</v>
      </c>
      <c r="L1146" s="2">
        <f>IFERROR(__xludf.DUMMYFUNCTION("""COMPUTED_VALUE"""),57.0300308)</f>
        <v>57.0300308</v>
      </c>
      <c r="M1146" s="2">
        <f>IFERROR(__xludf.DUMMYFUNCTION("""COMPUTED_VALUE"""),24.1122349)</f>
        <v>24.1122349</v>
      </c>
    </row>
    <row r="1147">
      <c r="A1147" s="2" t="str">
        <f>IFERROR(__xludf.DUMMYFUNCTION("""COMPUTED_VALUE"""),"For sale")</f>
        <v>For sale</v>
      </c>
      <c r="B1147" s="2" t="str">
        <f>IFERROR(__xludf.DUMMYFUNCTION("""COMPUTED_VALUE"""),"Purvciems")</f>
        <v>Purvciems</v>
      </c>
      <c r="C1147" s="2" t="str">
        <f>IFERROR(__xludf.DUMMYFUNCTION("""COMPUTED_VALUE"""),"Deglava 57")</f>
        <v>Deglava 57</v>
      </c>
      <c r="D1147" s="2">
        <f>IFERROR(__xludf.DUMMYFUNCTION("""COMPUTED_VALUE"""),4.0)</f>
        <v>4</v>
      </c>
      <c r="E1147" s="2">
        <f>IFERROR(__xludf.DUMMYFUNCTION("""COMPUTED_VALUE"""),98.0)</f>
        <v>98</v>
      </c>
      <c r="F1147" s="2">
        <f>IFERROR(__xludf.DUMMYFUNCTION("""COMPUTED_VALUE"""),5.0)</f>
        <v>5</v>
      </c>
      <c r="G1147" s="2">
        <f>IFERROR(__xludf.DUMMYFUNCTION("""COMPUTED_VALUE"""),6.0)</f>
        <v>6</v>
      </c>
      <c r="H1147" s="2">
        <f>IFERROR(__xludf.DUMMYFUNCTION("""COMPUTED_VALUE"""),119.0)</f>
        <v>119</v>
      </c>
      <c r="I1147" s="2" t="str">
        <f>IFERROR(__xludf.DUMMYFUNCTION("""COMPUTED_VALUE"""),"Panel")</f>
        <v>Panel</v>
      </c>
      <c r="J1147" s="2" t="str">
        <f>IFERROR(__xludf.DUMMYFUNCTION("""COMPUTED_VALUE"""),"All amenities")</f>
        <v>All amenities</v>
      </c>
      <c r="K1147" s="2">
        <f>IFERROR(__xludf.DUMMYFUNCTION("""COMPUTED_VALUE"""),85500.0)</f>
        <v>85500</v>
      </c>
      <c r="L1147" s="2">
        <f>IFERROR(__xludf.DUMMYFUNCTION("""COMPUTED_VALUE"""),56.9515082)</f>
        <v>56.9515082</v>
      </c>
      <c r="M1147" s="2">
        <f>IFERROR(__xludf.DUMMYFUNCTION("""COMPUTED_VALUE"""),24.17856285)</f>
        <v>24.17856285</v>
      </c>
    </row>
    <row r="1148">
      <c r="A1148" s="2" t="str">
        <f>IFERROR(__xludf.DUMMYFUNCTION("""COMPUTED_VALUE"""),"For rent")</f>
        <v>For rent</v>
      </c>
      <c r="B1148" s="2" t="str">
        <f>IFERROR(__xludf.DUMMYFUNCTION("""COMPUTED_VALUE"""),"centrs")</f>
        <v>centrs</v>
      </c>
      <c r="C1148" s="2" t="str">
        <f>IFERROR(__xludf.DUMMYFUNCTION("""COMPUTED_VALUE"""),"Ģertrūdes 31")</f>
        <v>Ģertrūdes 31</v>
      </c>
      <c r="D1148" s="2">
        <f>IFERROR(__xludf.DUMMYFUNCTION("""COMPUTED_VALUE"""),2.0)</f>
        <v>2</v>
      </c>
      <c r="E1148" s="2">
        <f>IFERROR(__xludf.DUMMYFUNCTION("""COMPUTED_VALUE"""),50.0)</f>
        <v>50</v>
      </c>
      <c r="F1148" s="2">
        <f>IFERROR(__xludf.DUMMYFUNCTION("""COMPUTED_VALUE"""),2.0)</f>
        <v>2</v>
      </c>
      <c r="G1148" s="2">
        <f>IFERROR(__xludf.DUMMYFUNCTION("""COMPUTED_VALUE"""),5.0)</f>
        <v>5</v>
      </c>
      <c r="H1148" s="2">
        <f>IFERROR(__xludf.DUMMYFUNCTION("""COMPUTED_VALUE"""),104.0)</f>
        <v>104</v>
      </c>
      <c r="I1148" s="2" t="str">
        <f>IFERROR(__xludf.DUMMYFUNCTION("""COMPUTED_VALUE"""),"Brick")</f>
        <v>Brick</v>
      </c>
      <c r="J1148" s="2" t="str">
        <f>IFERROR(__xludf.DUMMYFUNCTION("""COMPUTED_VALUE"""),"All amenities")</f>
        <v>All amenities</v>
      </c>
      <c r="K1148" s="2">
        <f>IFERROR(__xludf.DUMMYFUNCTION("""COMPUTED_VALUE"""),490.0)</f>
        <v>490</v>
      </c>
      <c r="L1148" s="2">
        <f>IFERROR(__xludf.DUMMYFUNCTION("""COMPUTED_VALUE"""),56.955527)</f>
        <v>56.955527</v>
      </c>
      <c r="M1148" s="2">
        <f>IFERROR(__xludf.DUMMYFUNCTION("""COMPUTED_VALUE"""),24.1264427737396)</f>
        <v>24.12644277</v>
      </c>
    </row>
    <row r="1149">
      <c r="A1149" s="2" t="str">
        <f>IFERROR(__xludf.DUMMYFUNCTION("""COMPUTED_VALUE"""),"For sale")</f>
        <v>For sale</v>
      </c>
      <c r="B1149" s="2" t="str">
        <f>IFERROR(__xludf.DUMMYFUNCTION("""COMPUTED_VALUE"""),"centrs")</f>
        <v>centrs</v>
      </c>
      <c r="C1149" s="2" t="str">
        <f>IFERROR(__xludf.DUMMYFUNCTION("""COMPUTED_VALUE"""),"Hospitāļu 15")</f>
        <v>Hospitāļu 15</v>
      </c>
      <c r="D1149" s="2">
        <f>IFERROR(__xludf.DUMMYFUNCTION("""COMPUTED_VALUE"""),2.0)</f>
        <v>2</v>
      </c>
      <c r="E1149" s="2">
        <f>IFERROR(__xludf.DUMMYFUNCTION("""COMPUTED_VALUE"""),46.0)</f>
        <v>46</v>
      </c>
      <c r="F1149" s="2">
        <f>IFERROR(__xludf.DUMMYFUNCTION("""COMPUTED_VALUE"""),2.0)</f>
        <v>2</v>
      </c>
      <c r="G1149" s="2">
        <f>IFERROR(__xludf.DUMMYFUNCTION("""COMPUTED_VALUE"""),5.0)</f>
        <v>5</v>
      </c>
      <c r="H1149" s="2" t="str">
        <f>IFERROR(__xludf.DUMMYFUNCTION("""COMPUTED_VALUE"""),"P. kara")</f>
        <v>P. kara</v>
      </c>
      <c r="I1149" s="2" t="str">
        <f>IFERROR(__xludf.DUMMYFUNCTION("""COMPUTED_VALUE"""),"Masonry")</f>
        <v>Masonry</v>
      </c>
      <c r="J1149" s="2" t="str">
        <f>IFERROR(__xludf.DUMMYFUNCTION("""COMPUTED_VALUE"""),"All amenities")</f>
        <v>All amenities</v>
      </c>
      <c r="K1149" s="2">
        <f>IFERROR(__xludf.DUMMYFUNCTION("""COMPUTED_VALUE"""),55000.0)</f>
        <v>55000</v>
      </c>
      <c r="L1149" s="2">
        <f>IFERROR(__xludf.DUMMYFUNCTION("""COMPUTED_VALUE"""),56.9706361)</f>
        <v>56.9706361</v>
      </c>
      <c r="M1149" s="2">
        <f>IFERROR(__xludf.DUMMYFUNCTION("""COMPUTED_VALUE"""),24.1362455)</f>
        <v>24.1362455</v>
      </c>
    </row>
    <row r="1150">
      <c r="A1150" s="2" t="str">
        <f>IFERROR(__xludf.DUMMYFUNCTION("""COMPUTED_VALUE"""),"For sale")</f>
        <v>For sale</v>
      </c>
      <c r="B1150" s="2" t="str">
        <f>IFERROR(__xludf.DUMMYFUNCTION("""COMPUTED_VALUE"""),"Teika")</f>
        <v>Teika</v>
      </c>
      <c r="C1150" s="2" t="str">
        <f>IFERROR(__xludf.DUMMYFUNCTION("""COMPUTED_VALUE"""),"Caunes 10")</f>
        <v>Caunes 10</v>
      </c>
      <c r="D1150" s="2">
        <f>IFERROR(__xludf.DUMMYFUNCTION("""COMPUTED_VALUE"""),3.0)</f>
        <v>3</v>
      </c>
      <c r="E1150" s="2">
        <f>IFERROR(__xludf.DUMMYFUNCTION("""COMPUTED_VALUE"""),86.0)</f>
        <v>86</v>
      </c>
      <c r="F1150" s="2">
        <f>IFERROR(__xludf.DUMMYFUNCTION("""COMPUTED_VALUE"""),6.0)</f>
        <v>6</v>
      </c>
      <c r="G1150" s="2">
        <f>IFERROR(__xludf.DUMMYFUNCTION("""COMPUTED_VALUE"""),7.0)</f>
        <v>7</v>
      </c>
      <c r="H1150" s="2" t="str">
        <f>IFERROR(__xludf.DUMMYFUNCTION("""COMPUTED_VALUE"""),"Specpr.")</f>
        <v>Specpr.</v>
      </c>
      <c r="I1150" s="2" t="str">
        <f>IFERROR(__xludf.DUMMYFUNCTION("""COMPUTED_VALUE"""),"Brick")</f>
        <v>Brick</v>
      </c>
      <c r="J1150" s="2" t="str">
        <f>IFERROR(__xludf.DUMMYFUNCTION("""COMPUTED_VALUE"""),"All amenities")</f>
        <v>All amenities</v>
      </c>
      <c r="K1150" s="2">
        <f>IFERROR(__xludf.DUMMYFUNCTION("""COMPUTED_VALUE"""),99900.0)</f>
        <v>99900</v>
      </c>
      <c r="L1150" s="2">
        <f>IFERROR(__xludf.DUMMYFUNCTION("""COMPUTED_VALUE"""),56.98133745)</f>
        <v>56.98133745</v>
      </c>
      <c r="M1150" s="2">
        <f>IFERROR(__xludf.DUMMYFUNCTION("""COMPUTED_VALUE"""),24.1877621027621)</f>
        <v>24.1877621</v>
      </c>
    </row>
    <row r="1151">
      <c r="A1151" s="2" t="str">
        <f>IFERROR(__xludf.DUMMYFUNCTION("""COMPUTED_VALUE"""),"For rent")</f>
        <v>For rent</v>
      </c>
      <c r="B1151" s="2" t="str">
        <f>IFERROR(__xludf.DUMMYFUNCTION("""COMPUTED_VALUE"""),"centrs")</f>
        <v>centrs</v>
      </c>
      <c r="C1151" s="2" t="str">
        <f>IFERROR(__xludf.DUMMYFUNCTION("""COMPUTED_VALUE"""),"Lāčplēša 127")</f>
        <v>Lāčplēša 127</v>
      </c>
      <c r="D1151" s="2">
        <f>IFERROR(__xludf.DUMMYFUNCTION("""COMPUTED_VALUE"""),2.0)</f>
        <v>2</v>
      </c>
      <c r="E1151" s="2">
        <f>IFERROR(__xludf.DUMMYFUNCTION("""COMPUTED_VALUE"""),95.0)</f>
        <v>95</v>
      </c>
      <c r="F1151" s="2">
        <f>IFERROR(__xludf.DUMMYFUNCTION("""COMPUTED_VALUE"""),3.0)</f>
        <v>3</v>
      </c>
      <c r="G1151" s="2">
        <f>IFERROR(__xludf.DUMMYFUNCTION("""COMPUTED_VALUE"""),3.0)</f>
        <v>3</v>
      </c>
      <c r="H1151" s="2" t="str">
        <f>IFERROR(__xludf.DUMMYFUNCTION("""COMPUTED_VALUE"""),"Renov.")</f>
        <v>Renov.</v>
      </c>
      <c r="I1151" s="2" t="str">
        <f>IFERROR(__xludf.DUMMYFUNCTION("""COMPUTED_VALUE"""),"Brick")</f>
        <v>Brick</v>
      </c>
      <c r="J1151" s="2" t="str">
        <f>IFERROR(__xludf.DUMMYFUNCTION("""COMPUTED_VALUE"""),"All amenities")</f>
        <v>All amenities</v>
      </c>
      <c r="K1151" s="2">
        <f>IFERROR(__xludf.DUMMYFUNCTION("""COMPUTED_VALUE"""),750.0)</f>
        <v>750</v>
      </c>
      <c r="L1151" s="2">
        <f>IFERROR(__xludf.DUMMYFUNCTION("""COMPUTED_VALUE"""),56.9468471)</f>
        <v>56.9468471</v>
      </c>
      <c r="M1151" s="2">
        <f>IFERROR(__xludf.DUMMYFUNCTION("""COMPUTED_VALUE"""),24.133767)</f>
        <v>24.133767</v>
      </c>
    </row>
    <row r="1152">
      <c r="A1152" s="2" t="str">
        <f>IFERROR(__xludf.DUMMYFUNCTION("""COMPUTED_VALUE"""),"For rent")</f>
        <v>For rent</v>
      </c>
      <c r="B1152" s="2" t="str">
        <f>IFERROR(__xludf.DUMMYFUNCTION("""COMPUTED_VALUE"""),"centrs")</f>
        <v>centrs</v>
      </c>
      <c r="C1152" s="2" t="str">
        <f>IFERROR(__xludf.DUMMYFUNCTION("""COMPUTED_VALUE"""),"Tomsona 42")</f>
        <v>Tomsona 42</v>
      </c>
      <c r="D1152" s="2">
        <f>IFERROR(__xludf.DUMMYFUNCTION("""COMPUTED_VALUE"""),3.0)</f>
        <v>3</v>
      </c>
      <c r="E1152" s="2">
        <f>IFERROR(__xludf.DUMMYFUNCTION("""COMPUTED_VALUE"""),54.0)</f>
        <v>54</v>
      </c>
      <c r="F1152" s="2">
        <f>IFERROR(__xludf.DUMMYFUNCTION("""COMPUTED_VALUE"""),5.0)</f>
        <v>5</v>
      </c>
      <c r="G1152" s="2">
        <f>IFERROR(__xludf.DUMMYFUNCTION("""COMPUTED_VALUE"""),5.0)</f>
        <v>5</v>
      </c>
      <c r="H1152" s="2" t="str">
        <f>IFERROR(__xludf.DUMMYFUNCTION("""COMPUTED_VALUE"""),"Hrušč.")</f>
        <v>Hrušč.</v>
      </c>
      <c r="I1152" s="2" t="str">
        <f>IFERROR(__xludf.DUMMYFUNCTION("""COMPUTED_VALUE"""),"Brick")</f>
        <v>Brick</v>
      </c>
      <c r="J1152" s="2" t="str">
        <f>IFERROR(__xludf.DUMMYFUNCTION("""COMPUTED_VALUE"""),"All amenities")</f>
        <v>All amenities</v>
      </c>
      <c r="K1152" s="2">
        <f>IFERROR(__xludf.DUMMYFUNCTION("""COMPUTED_VALUE"""),400.0)</f>
        <v>400</v>
      </c>
      <c r="L1152" s="2">
        <f>IFERROR(__xludf.DUMMYFUNCTION("""COMPUTED_VALUE"""),56.96867625)</f>
        <v>56.96867625</v>
      </c>
      <c r="M1152" s="2">
        <f>IFERROR(__xludf.DUMMYFUNCTION("""COMPUTED_VALUE"""),24.13004095)</f>
        <v>24.13004095</v>
      </c>
    </row>
    <row r="1153">
      <c r="A1153" s="2" t="str">
        <f>IFERROR(__xludf.DUMMYFUNCTION("""COMPUTED_VALUE"""),"For sale")</f>
        <v>For sale</v>
      </c>
      <c r="B1153" s="2" t="str">
        <f>IFERROR(__xludf.DUMMYFUNCTION("""COMPUTED_VALUE"""),"Mežciems")</f>
        <v>Mežciems</v>
      </c>
      <c r="C1153" s="2" t="str">
        <f>IFERROR(__xludf.DUMMYFUNCTION("""COMPUTED_VALUE"""),"Biķernieku 102")</f>
        <v>Biķernieku 102</v>
      </c>
      <c r="D1153" s="2">
        <f>IFERROR(__xludf.DUMMYFUNCTION("""COMPUTED_VALUE"""),3.0)</f>
        <v>3</v>
      </c>
      <c r="E1153" s="2">
        <f>IFERROR(__xludf.DUMMYFUNCTION("""COMPUTED_VALUE"""),74.0)</f>
        <v>74</v>
      </c>
      <c r="F1153" s="2">
        <f>IFERROR(__xludf.DUMMYFUNCTION("""COMPUTED_VALUE"""),3.0)</f>
        <v>3</v>
      </c>
      <c r="G1153" s="2">
        <f>IFERROR(__xludf.DUMMYFUNCTION("""COMPUTED_VALUE"""),16.0)</f>
        <v>16</v>
      </c>
      <c r="H1153" s="2">
        <f>IFERROR(__xludf.DUMMYFUNCTION("""COMPUTED_VALUE"""),104.0)</f>
        <v>104</v>
      </c>
      <c r="I1153" s="2" t="str">
        <f>IFERROR(__xludf.DUMMYFUNCTION("""COMPUTED_VALUE"""),"Panel")</f>
        <v>Panel</v>
      </c>
      <c r="J1153" s="2" t="str">
        <f>IFERROR(__xludf.DUMMYFUNCTION("""COMPUTED_VALUE"""),"All amenities")</f>
        <v>All amenities</v>
      </c>
      <c r="K1153" s="2">
        <f>IFERROR(__xludf.DUMMYFUNCTION("""COMPUTED_VALUE"""),63000.0)</f>
        <v>63000</v>
      </c>
      <c r="L1153" s="2">
        <f>IFERROR(__xludf.DUMMYFUNCTION("""COMPUTED_VALUE"""),56.95996775)</f>
        <v>56.95996775</v>
      </c>
      <c r="M1153" s="2">
        <f>IFERROR(__xludf.DUMMYFUNCTION("""COMPUTED_VALUE"""),24.2349046)</f>
        <v>24.2349046</v>
      </c>
    </row>
    <row r="1154">
      <c r="A1154" s="2" t="str">
        <f>IFERROR(__xludf.DUMMYFUNCTION("""COMPUTED_VALUE"""),"For sale")</f>
        <v>For sale</v>
      </c>
      <c r="B1154" s="2" t="str">
        <f>IFERROR(__xludf.DUMMYFUNCTION("""COMPUTED_VALUE"""),"Zolitūde")</f>
        <v>Zolitūde</v>
      </c>
      <c r="C1154" s="2" t="str">
        <f>IFERROR(__xludf.DUMMYFUNCTION("""COMPUTED_VALUE"""),"Ruses 7")</f>
        <v>Ruses 7</v>
      </c>
      <c r="D1154" s="2">
        <f>IFERROR(__xludf.DUMMYFUNCTION("""COMPUTED_VALUE"""),1.0)</f>
        <v>1</v>
      </c>
      <c r="E1154" s="2">
        <f>IFERROR(__xludf.DUMMYFUNCTION("""COMPUTED_VALUE"""),46.0)</f>
        <v>46</v>
      </c>
      <c r="F1154" s="2">
        <f>IFERROR(__xludf.DUMMYFUNCTION("""COMPUTED_VALUE"""),9.0)</f>
        <v>9</v>
      </c>
      <c r="G1154" s="2">
        <f>IFERROR(__xludf.DUMMYFUNCTION("""COMPUTED_VALUE"""),9.0)</f>
        <v>9</v>
      </c>
      <c r="H1154" s="2">
        <f>IFERROR(__xludf.DUMMYFUNCTION("""COMPUTED_VALUE"""),119.0)</f>
        <v>119</v>
      </c>
      <c r="I1154" s="2" t="str">
        <f>IFERROR(__xludf.DUMMYFUNCTION("""COMPUTED_VALUE"""),"Panel")</f>
        <v>Panel</v>
      </c>
      <c r="J1154" s="2" t="str">
        <f>IFERROR(__xludf.DUMMYFUNCTION("""COMPUTED_VALUE"""),"All amenities")</f>
        <v>All amenities</v>
      </c>
      <c r="K1154" s="2">
        <f>IFERROR(__xludf.DUMMYFUNCTION("""COMPUTED_VALUE"""),47000.0)</f>
        <v>47000</v>
      </c>
      <c r="L1154" s="2">
        <f>IFERROR(__xludf.DUMMYFUNCTION("""COMPUTED_VALUE"""),56.9478153999999)</f>
        <v>56.9478154</v>
      </c>
      <c r="M1154" s="2">
        <f>IFERROR(__xludf.DUMMYFUNCTION("""COMPUTED_VALUE"""),24.0044636133064)</f>
        <v>24.00446361</v>
      </c>
    </row>
    <row r="1155">
      <c r="A1155" s="2" t="str">
        <f>IFERROR(__xludf.DUMMYFUNCTION("""COMPUTED_VALUE"""),"For rent")</f>
        <v>For rent</v>
      </c>
      <c r="B1155" s="2" t="str">
        <f>IFERROR(__xludf.DUMMYFUNCTION("""COMPUTED_VALUE"""),"centrs")</f>
        <v>centrs</v>
      </c>
      <c r="C1155" s="2" t="str">
        <f>IFERROR(__xludf.DUMMYFUNCTION("""COMPUTED_VALUE"""),"Matīsa 69")</f>
        <v>Matīsa 69</v>
      </c>
      <c r="D1155" s="2">
        <f>IFERROR(__xludf.DUMMYFUNCTION("""COMPUTED_VALUE"""),2.0)</f>
        <v>2</v>
      </c>
      <c r="E1155" s="2">
        <f>IFERROR(__xludf.DUMMYFUNCTION("""COMPUTED_VALUE"""),66.0)</f>
        <v>66</v>
      </c>
      <c r="F1155" s="2">
        <f>IFERROR(__xludf.DUMMYFUNCTION("""COMPUTED_VALUE"""),4.0)</f>
        <v>4</v>
      </c>
      <c r="G1155" s="2">
        <f>IFERROR(__xludf.DUMMYFUNCTION("""COMPUTED_VALUE"""),7.0)</f>
        <v>7</v>
      </c>
      <c r="H1155" s="2" t="str">
        <f>IFERROR(__xludf.DUMMYFUNCTION("""COMPUTED_VALUE"""),"Jaun.")</f>
        <v>Jaun.</v>
      </c>
      <c r="I1155" s="2" t="str">
        <f>IFERROR(__xludf.DUMMYFUNCTION("""COMPUTED_VALUE"""),"Brick")</f>
        <v>Brick</v>
      </c>
      <c r="J1155" s="2" t="str">
        <f>IFERROR(__xludf.DUMMYFUNCTION("""COMPUTED_VALUE"""),"All amenities")</f>
        <v>All amenities</v>
      </c>
      <c r="K1155" s="2">
        <f>IFERROR(__xludf.DUMMYFUNCTION("""COMPUTED_VALUE"""),700.0)</f>
        <v>700</v>
      </c>
      <c r="L1155" s="2">
        <f>IFERROR(__xludf.DUMMYFUNCTION("""COMPUTED_VALUE"""),56.9538485)</f>
        <v>56.9538485</v>
      </c>
      <c r="M1155" s="2">
        <f>IFERROR(__xludf.DUMMYFUNCTION("""COMPUTED_VALUE"""),24.1405336)</f>
        <v>24.1405336</v>
      </c>
    </row>
    <row r="1156">
      <c r="A1156" s="2" t="str">
        <f>IFERROR(__xludf.DUMMYFUNCTION("""COMPUTED_VALUE"""),"For rent")</f>
        <v>For rent</v>
      </c>
      <c r="B1156" s="2" t="str">
        <f>IFERROR(__xludf.DUMMYFUNCTION("""COMPUTED_VALUE"""),"Čiekurkalns")</f>
        <v>Čiekurkalns</v>
      </c>
      <c r="C1156" s="2" t="str">
        <f>IFERROR(__xludf.DUMMYFUNCTION("""COMPUTED_VALUE"""),"Čiekurkalna 2. šķ l. 4k1")</f>
        <v>Čiekurkalna 2. šķ l. 4k1</v>
      </c>
      <c r="D1156" s="2">
        <f>IFERROR(__xludf.DUMMYFUNCTION("""COMPUTED_VALUE"""),3.0)</f>
        <v>3</v>
      </c>
      <c r="E1156" s="2">
        <f>IFERROR(__xludf.DUMMYFUNCTION("""COMPUTED_VALUE"""),75.0)</f>
        <v>75</v>
      </c>
      <c r="F1156" s="2">
        <f>IFERROR(__xludf.DUMMYFUNCTION("""COMPUTED_VALUE"""),5.0)</f>
        <v>5</v>
      </c>
      <c r="G1156" s="2">
        <f>IFERROR(__xludf.DUMMYFUNCTION("""COMPUTED_VALUE"""),5.0)</f>
        <v>5</v>
      </c>
      <c r="H1156" s="2" t="str">
        <f>IFERROR(__xludf.DUMMYFUNCTION("""COMPUTED_VALUE"""),"Jaun.")</f>
        <v>Jaun.</v>
      </c>
      <c r="I1156" s="2" t="str">
        <f>IFERROR(__xludf.DUMMYFUNCTION("""COMPUTED_VALUE"""),"Panel")</f>
        <v>Panel</v>
      </c>
      <c r="J1156" s="2" t="str">
        <f>IFERROR(__xludf.DUMMYFUNCTION("""COMPUTED_VALUE"""),"All amenities")</f>
        <v>All amenities</v>
      </c>
      <c r="K1156" s="2">
        <f>IFERROR(__xludf.DUMMYFUNCTION("""COMPUTED_VALUE"""),550.0)</f>
        <v>550</v>
      </c>
      <c r="L1156" s="2" t="str">
        <f>IFERROR(__xludf.DUMMYFUNCTION("""COMPUTED_VALUE"""),"NaN")</f>
        <v>NaN</v>
      </c>
      <c r="M1156" s="2" t="str">
        <f>IFERROR(__xludf.DUMMYFUNCTION("""COMPUTED_VALUE"""),"NaN")</f>
        <v>NaN</v>
      </c>
    </row>
    <row r="1157">
      <c r="A1157" s="2" t="str">
        <f>IFERROR(__xludf.DUMMYFUNCTION("""COMPUTED_VALUE"""),"For sale")</f>
        <v>For sale</v>
      </c>
      <c r="B1157" s="2" t="str">
        <f>IFERROR(__xludf.DUMMYFUNCTION("""COMPUTED_VALUE"""),"Iļģuciems")</f>
        <v>Iļģuciems</v>
      </c>
      <c r="C1157" s="2" t="str">
        <f>IFERROR(__xludf.DUMMYFUNCTION("""COMPUTED_VALUE"""),"Riekstu 11")</f>
        <v>Riekstu 11</v>
      </c>
      <c r="D1157" s="2">
        <f>IFERROR(__xludf.DUMMYFUNCTION("""COMPUTED_VALUE"""),4.0)</f>
        <v>4</v>
      </c>
      <c r="E1157" s="2">
        <f>IFERROR(__xludf.DUMMYFUNCTION("""COMPUTED_VALUE"""),95.0)</f>
        <v>95</v>
      </c>
      <c r="F1157" s="2">
        <f>IFERROR(__xludf.DUMMYFUNCTION("""COMPUTED_VALUE"""),4.0)</f>
        <v>4</v>
      </c>
      <c r="G1157" s="2">
        <f>IFERROR(__xludf.DUMMYFUNCTION("""COMPUTED_VALUE"""),5.0)</f>
        <v>5</v>
      </c>
      <c r="H1157" s="2" t="str">
        <f>IFERROR(__xludf.DUMMYFUNCTION("""COMPUTED_VALUE"""),"Jaun.")</f>
        <v>Jaun.</v>
      </c>
      <c r="I1157" s="2" t="str">
        <f>IFERROR(__xludf.DUMMYFUNCTION("""COMPUTED_VALUE"""),"Brick-Panel")</f>
        <v>Brick-Panel</v>
      </c>
      <c r="J1157" s="2" t="str">
        <f>IFERROR(__xludf.DUMMYFUNCTION("""COMPUTED_VALUE"""),"All amenities")</f>
        <v>All amenities</v>
      </c>
      <c r="K1157" s="2">
        <f>IFERROR(__xludf.DUMMYFUNCTION("""COMPUTED_VALUE"""),127000.0)</f>
        <v>127000</v>
      </c>
      <c r="L1157" s="2">
        <f>IFERROR(__xludf.DUMMYFUNCTION("""COMPUTED_VALUE"""),56.96791915)</f>
        <v>56.96791915</v>
      </c>
      <c r="M1157" s="2">
        <f>IFERROR(__xludf.DUMMYFUNCTION("""COMPUTED_VALUE"""),24.0636401732876)</f>
        <v>24.06364017</v>
      </c>
    </row>
    <row r="1158">
      <c r="A1158" s="2" t="str">
        <f>IFERROR(__xludf.DUMMYFUNCTION("""COMPUTED_VALUE"""),"For rent")</f>
        <v>For rent</v>
      </c>
      <c r="B1158" s="2" t="str">
        <f>IFERROR(__xludf.DUMMYFUNCTION("""COMPUTED_VALUE"""),"Bieriņi")</f>
        <v>Bieriņi</v>
      </c>
      <c r="C1158" s="2" t="str">
        <f>IFERROR(__xludf.DUMMYFUNCTION("""COMPUTED_VALUE"""),"Mēmeles 5a")</f>
        <v>Mēmeles 5a</v>
      </c>
      <c r="D1158" s="2">
        <f>IFERROR(__xludf.DUMMYFUNCTION("""COMPUTED_VALUE"""),2.0)</f>
        <v>2</v>
      </c>
      <c r="E1158" s="2">
        <f>IFERROR(__xludf.DUMMYFUNCTION("""COMPUTED_VALUE"""),70.0)</f>
        <v>70</v>
      </c>
      <c r="F1158" s="2">
        <f>IFERROR(__xludf.DUMMYFUNCTION("""COMPUTED_VALUE"""),2.0)</f>
        <v>2</v>
      </c>
      <c r="G1158" s="2">
        <f>IFERROR(__xludf.DUMMYFUNCTION("""COMPUTED_VALUE"""),2.0)</f>
        <v>2</v>
      </c>
      <c r="H1158" s="2" t="str">
        <f>IFERROR(__xludf.DUMMYFUNCTION("""COMPUTED_VALUE"""),"Priv. m.")</f>
        <v>Priv. m.</v>
      </c>
      <c r="I1158" s="2" t="str">
        <f>IFERROR(__xludf.DUMMYFUNCTION("""COMPUTED_VALUE"""),"Panel")</f>
        <v>Panel</v>
      </c>
      <c r="J1158" s="2" t="str">
        <f>IFERROR(__xludf.DUMMYFUNCTION("""COMPUTED_VALUE"""),"All amenities")</f>
        <v>All amenities</v>
      </c>
      <c r="K1158" s="2">
        <f>IFERROR(__xludf.DUMMYFUNCTION("""COMPUTED_VALUE"""),450.0)</f>
        <v>450</v>
      </c>
      <c r="L1158" s="2">
        <f>IFERROR(__xludf.DUMMYFUNCTION("""COMPUTED_VALUE"""),56.925638)</f>
        <v>56.925638</v>
      </c>
      <c r="M1158" s="2">
        <f>IFERROR(__xludf.DUMMYFUNCTION("""COMPUTED_VALUE"""),24.0424579)</f>
        <v>24.0424579</v>
      </c>
    </row>
    <row r="1159">
      <c r="A1159" s="2" t="str">
        <f>IFERROR(__xludf.DUMMYFUNCTION("""COMPUTED_VALUE"""),"For sale")</f>
        <v>For sale</v>
      </c>
      <c r="B1159" s="2" t="str">
        <f>IFERROR(__xludf.DUMMYFUNCTION("""COMPUTED_VALUE"""),"Purvciems")</f>
        <v>Purvciems</v>
      </c>
      <c r="C1159" s="2" t="str">
        <f>IFERROR(__xludf.DUMMYFUNCTION("""COMPUTED_VALUE"""),"Astras 8")</f>
        <v>Astras 8</v>
      </c>
      <c r="D1159" s="2">
        <f>IFERROR(__xludf.DUMMYFUNCTION("""COMPUTED_VALUE"""),2.0)</f>
        <v>2</v>
      </c>
      <c r="E1159" s="2">
        <f>IFERROR(__xludf.DUMMYFUNCTION("""COMPUTED_VALUE"""),63.0)</f>
        <v>63</v>
      </c>
      <c r="F1159" s="2">
        <f>IFERROR(__xludf.DUMMYFUNCTION("""COMPUTED_VALUE"""),4.0)</f>
        <v>4</v>
      </c>
      <c r="G1159" s="2">
        <f>IFERROR(__xludf.DUMMYFUNCTION("""COMPUTED_VALUE"""),24.0)</f>
        <v>24</v>
      </c>
      <c r="H1159" s="2" t="str">
        <f>IFERROR(__xludf.DUMMYFUNCTION("""COMPUTED_VALUE"""),"Jaun.")</f>
        <v>Jaun.</v>
      </c>
      <c r="I1159" s="2" t="str">
        <f>IFERROR(__xludf.DUMMYFUNCTION("""COMPUTED_VALUE"""),"Panel-Brick")</f>
        <v>Panel-Brick</v>
      </c>
      <c r="J1159" s="2" t="str">
        <f>IFERROR(__xludf.DUMMYFUNCTION("""COMPUTED_VALUE"""),"All amenities")</f>
        <v>All amenities</v>
      </c>
      <c r="K1159" s="2">
        <f>IFERROR(__xludf.DUMMYFUNCTION("""COMPUTED_VALUE"""),150000.0)</f>
        <v>150000</v>
      </c>
      <c r="L1159" s="2">
        <f>IFERROR(__xludf.DUMMYFUNCTION("""COMPUTED_VALUE"""),56.952452)</f>
        <v>56.952452</v>
      </c>
      <c r="M1159" s="2">
        <f>IFERROR(__xludf.DUMMYFUNCTION("""COMPUTED_VALUE"""),24.188248)</f>
        <v>24.188248</v>
      </c>
    </row>
    <row r="1160">
      <c r="A1160" s="2" t="str">
        <f>IFERROR(__xludf.DUMMYFUNCTION("""COMPUTED_VALUE"""),"For sale")</f>
        <v>For sale</v>
      </c>
      <c r="B1160" s="2" t="str">
        <f>IFERROR(__xludf.DUMMYFUNCTION("""COMPUTED_VALUE"""),"Teika")</f>
        <v>Teika</v>
      </c>
      <c r="C1160" s="2" t="str">
        <f>IFERROR(__xludf.DUMMYFUNCTION("""COMPUTED_VALUE"""),"Vidrižu 4")</f>
        <v>Vidrižu 4</v>
      </c>
      <c r="D1160" s="2">
        <f>IFERROR(__xludf.DUMMYFUNCTION("""COMPUTED_VALUE"""),2.0)</f>
        <v>2</v>
      </c>
      <c r="E1160" s="2">
        <f>IFERROR(__xludf.DUMMYFUNCTION("""COMPUTED_VALUE"""),53.0)</f>
        <v>53</v>
      </c>
      <c r="F1160" s="2">
        <f>IFERROR(__xludf.DUMMYFUNCTION("""COMPUTED_VALUE"""),2.0)</f>
        <v>2</v>
      </c>
      <c r="G1160" s="2">
        <f>IFERROR(__xludf.DUMMYFUNCTION("""COMPUTED_VALUE"""),9.0)</f>
        <v>9</v>
      </c>
      <c r="H1160" s="2" t="str">
        <f>IFERROR(__xludf.DUMMYFUNCTION("""COMPUTED_VALUE"""),"Specpr.")</f>
        <v>Specpr.</v>
      </c>
      <c r="I1160" s="2" t="str">
        <f>IFERROR(__xludf.DUMMYFUNCTION("""COMPUTED_VALUE"""),"Brick")</f>
        <v>Brick</v>
      </c>
      <c r="J1160" s="2" t="str">
        <f>IFERROR(__xludf.DUMMYFUNCTION("""COMPUTED_VALUE"""),"All amenities")</f>
        <v>All amenities</v>
      </c>
      <c r="K1160" s="2">
        <f>IFERROR(__xludf.DUMMYFUNCTION("""COMPUTED_VALUE"""),52000.0)</f>
        <v>52000</v>
      </c>
      <c r="L1160" s="2">
        <f>IFERROR(__xludf.DUMMYFUNCTION("""COMPUTED_VALUE"""),56.9788671)</f>
        <v>56.9788671</v>
      </c>
      <c r="M1160" s="2">
        <f>IFERROR(__xludf.DUMMYFUNCTION("""COMPUTED_VALUE"""),24.1774824079002)</f>
        <v>24.17748241</v>
      </c>
    </row>
    <row r="1161">
      <c r="A1161" s="2" t="str">
        <f>IFERROR(__xludf.DUMMYFUNCTION("""COMPUTED_VALUE"""),"For sale")</f>
        <v>For sale</v>
      </c>
      <c r="B1161" s="2" t="str">
        <f>IFERROR(__xludf.DUMMYFUNCTION("""COMPUTED_VALUE"""),"Ķengarags")</f>
        <v>Ķengarags</v>
      </c>
      <c r="C1161" s="2" t="str">
        <f>IFERROR(__xludf.DUMMYFUNCTION("""COMPUTED_VALUE"""),"Lokomotīves 60")</f>
        <v>Lokomotīves 60</v>
      </c>
      <c r="D1161" s="2">
        <f>IFERROR(__xludf.DUMMYFUNCTION("""COMPUTED_VALUE"""),2.0)</f>
        <v>2</v>
      </c>
      <c r="E1161" s="2">
        <f>IFERROR(__xludf.DUMMYFUNCTION("""COMPUTED_VALUE"""),50.0)</f>
        <v>50</v>
      </c>
      <c r="F1161" s="2">
        <f>IFERROR(__xludf.DUMMYFUNCTION("""COMPUTED_VALUE"""),1.0)</f>
        <v>1</v>
      </c>
      <c r="G1161" s="2">
        <f>IFERROR(__xludf.DUMMYFUNCTION("""COMPUTED_VALUE"""),5.0)</f>
        <v>5</v>
      </c>
      <c r="H1161" s="2" t="str">
        <f>IFERROR(__xludf.DUMMYFUNCTION("""COMPUTED_VALUE"""),"LT proj.")</f>
        <v>LT proj.</v>
      </c>
      <c r="I1161" s="2" t="str">
        <f>IFERROR(__xludf.DUMMYFUNCTION("""COMPUTED_VALUE"""),"Panel")</f>
        <v>Panel</v>
      </c>
      <c r="J1161" s="2" t="str">
        <f>IFERROR(__xludf.DUMMYFUNCTION("""COMPUTED_VALUE"""),"All amenities")</f>
        <v>All amenities</v>
      </c>
      <c r="K1161" s="2">
        <f>IFERROR(__xludf.DUMMYFUNCTION("""COMPUTED_VALUE"""),38300.0)</f>
        <v>38300</v>
      </c>
      <c r="L1161" s="2">
        <f>IFERROR(__xludf.DUMMYFUNCTION("""COMPUTED_VALUE"""),56.90699225)</f>
        <v>56.90699225</v>
      </c>
      <c r="M1161" s="2">
        <f>IFERROR(__xludf.DUMMYFUNCTION("""COMPUTED_VALUE"""),24.2036142632823)</f>
        <v>24.20361426</v>
      </c>
    </row>
    <row r="1162">
      <c r="A1162" s="2" t="str">
        <f>IFERROR(__xludf.DUMMYFUNCTION("""COMPUTED_VALUE"""),"For rent")</f>
        <v>For rent</v>
      </c>
      <c r="B1162" s="2" t="str">
        <f>IFERROR(__xludf.DUMMYFUNCTION("""COMPUTED_VALUE"""),"centrs")</f>
        <v>centrs</v>
      </c>
      <c r="C1162" s="2" t="str">
        <f>IFERROR(__xludf.DUMMYFUNCTION("""COMPUTED_VALUE"""),"Kalēju 47")</f>
        <v>Kalēju 47</v>
      </c>
      <c r="D1162" s="2">
        <f>IFERROR(__xludf.DUMMYFUNCTION("""COMPUTED_VALUE"""),3.0)</f>
        <v>3</v>
      </c>
      <c r="E1162" s="2">
        <f>IFERROR(__xludf.DUMMYFUNCTION("""COMPUTED_VALUE"""),42.0)</f>
        <v>42</v>
      </c>
      <c r="F1162" s="2">
        <f>IFERROR(__xludf.DUMMYFUNCTION("""COMPUTED_VALUE"""),3.0)</f>
        <v>3</v>
      </c>
      <c r="G1162" s="2">
        <f>IFERROR(__xludf.DUMMYFUNCTION("""COMPUTED_VALUE"""),5.0)</f>
        <v>5</v>
      </c>
      <c r="H1162" s="2" t="str">
        <f>IFERROR(__xludf.DUMMYFUNCTION("""COMPUTED_VALUE"""),"Specpr.")</f>
        <v>Specpr.</v>
      </c>
      <c r="I1162" s="2" t="str">
        <f>IFERROR(__xludf.DUMMYFUNCTION("""COMPUTED_VALUE"""),"Panel")</f>
        <v>Panel</v>
      </c>
      <c r="J1162" s="2" t="str">
        <f>IFERROR(__xludf.DUMMYFUNCTION("""COMPUTED_VALUE"""),"All amenities")</f>
        <v>All amenities</v>
      </c>
      <c r="K1162" s="2">
        <f>IFERROR(__xludf.DUMMYFUNCTION("""COMPUTED_VALUE"""),39.0)</f>
        <v>39</v>
      </c>
      <c r="L1162" s="2">
        <f>IFERROR(__xludf.DUMMYFUNCTION("""COMPUTED_VALUE"""),56.9464382)</f>
        <v>56.9464382</v>
      </c>
      <c r="M1162" s="2">
        <f>IFERROR(__xludf.DUMMYFUNCTION("""COMPUTED_VALUE"""),24.112882)</f>
        <v>24.112882</v>
      </c>
    </row>
    <row r="1163">
      <c r="A1163" s="2" t="str">
        <f>IFERROR(__xludf.DUMMYFUNCTION("""COMPUTED_VALUE"""),"For sale")</f>
        <v>For sale</v>
      </c>
      <c r="B1163" s="2" t="str">
        <f>IFERROR(__xludf.DUMMYFUNCTION("""COMPUTED_VALUE"""),"centrs")</f>
        <v>centrs</v>
      </c>
      <c r="C1163" s="2" t="str">
        <f>IFERROR(__xludf.DUMMYFUNCTION("""COMPUTED_VALUE"""),"Mēness 11")</f>
        <v>Mēness 11</v>
      </c>
      <c r="D1163" s="2">
        <f>IFERROR(__xludf.DUMMYFUNCTION("""COMPUTED_VALUE"""),2.0)</f>
        <v>2</v>
      </c>
      <c r="E1163" s="2">
        <f>IFERROR(__xludf.DUMMYFUNCTION("""COMPUTED_VALUE"""),37.0)</f>
        <v>37</v>
      </c>
      <c r="F1163" s="2">
        <f>IFERROR(__xludf.DUMMYFUNCTION("""COMPUTED_VALUE"""),2.0)</f>
        <v>2</v>
      </c>
      <c r="G1163" s="2">
        <f>IFERROR(__xludf.DUMMYFUNCTION("""COMPUTED_VALUE"""),3.0)</f>
        <v>3</v>
      </c>
      <c r="H1163" s="2" t="str">
        <f>IFERROR(__xludf.DUMMYFUNCTION("""COMPUTED_VALUE"""),"P. kara")</f>
        <v>P. kara</v>
      </c>
      <c r="I1163" s="2" t="str">
        <f>IFERROR(__xludf.DUMMYFUNCTION("""COMPUTED_VALUE"""),"Brick")</f>
        <v>Brick</v>
      </c>
      <c r="J1163" s="2" t="str">
        <f>IFERROR(__xludf.DUMMYFUNCTION("""COMPUTED_VALUE"""),"Partial amenities")</f>
        <v>Partial amenities</v>
      </c>
      <c r="K1163" s="2">
        <f>IFERROR(__xludf.DUMMYFUNCTION("""COMPUTED_VALUE"""),35800.0)</f>
        <v>35800</v>
      </c>
      <c r="L1163" s="2">
        <f>IFERROR(__xludf.DUMMYFUNCTION("""COMPUTED_VALUE"""),56.9665945499999)</f>
        <v>56.96659455</v>
      </c>
      <c r="M1163" s="2">
        <f>IFERROR(__xludf.DUMMYFUNCTION("""COMPUTED_VALUE"""),24.139699235782)</f>
        <v>24.13969924</v>
      </c>
    </row>
    <row r="1164">
      <c r="A1164" s="2" t="str">
        <f>IFERROR(__xludf.DUMMYFUNCTION("""COMPUTED_VALUE"""),"For rent")</f>
        <v>For rent</v>
      </c>
      <c r="B1164" s="2" t="str">
        <f>IFERROR(__xludf.DUMMYFUNCTION("""COMPUTED_VALUE"""),"Vecrīga")</f>
        <v>Vecrīga</v>
      </c>
      <c r="C1164" s="2" t="str">
        <f>IFERROR(__xludf.DUMMYFUNCTION("""COMPUTED_VALUE"""),"13. janvāra 21")</f>
        <v>13. janvāra 21</v>
      </c>
      <c r="D1164" s="2">
        <f>IFERROR(__xludf.DUMMYFUNCTION("""COMPUTED_VALUE"""),2.0)</f>
        <v>2</v>
      </c>
      <c r="E1164" s="2">
        <f>IFERROR(__xludf.DUMMYFUNCTION("""COMPUTED_VALUE"""),55.0)</f>
        <v>55</v>
      </c>
      <c r="F1164" s="2">
        <f>IFERROR(__xludf.DUMMYFUNCTION("""COMPUTED_VALUE"""),2.0)</f>
        <v>2</v>
      </c>
      <c r="G1164" s="2">
        <f>IFERROR(__xludf.DUMMYFUNCTION("""COMPUTED_VALUE"""),5.0)</f>
        <v>5</v>
      </c>
      <c r="H1164" s="2" t="str">
        <f>IFERROR(__xludf.DUMMYFUNCTION("""COMPUTED_VALUE"""),"Jaun.")</f>
        <v>Jaun.</v>
      </c>
      <c r="I1164" s="2" t="str">
        <f>IFERROR(__xludf.DUMMYFUNCTION("""COMPUTED_VALUE"""),"Brick-Panel")</f>
        <v>Brick-Panel</v>
      </c>
      <c r="J1164" s="2" t="str">
        <f>IFERROR(__xludf.DUMMYFUNCTION("""COMPUTED_VALUE"""),"All amenities")</f>
        <v>All amenities</v>
      </c>
      <c r="K1164" s="2">
        <f>IFERROR(__xludf.DUMMYFUNCTION("""COMPUTED_VALUE"""),35.0)</f>
        <v>35</v>
      </c>
      <c r="L1164" s="2">
        <f>IFERROR(__xludf.DUMMYFUNCTION("""COMPUTED_VALUE"""),56.9443781)</f>
        <v>56.9443781</v>
      </c>
      <c r="M1164" s="2">
        <f>IFERROR(__xludf.DUMMYFUNCTION("""COMPUTED_VALUE"""),24.1105085)</f>
        <v>24.1105085</v>
      </c>
    </row>
    <row r="1165">
      <c r="A1165" s="2" t="str">
        <f>IFERROR(__xludf.DUMMYFUNCTION("""COMPUTED_VALUE"""),"For sale")</f>
        <v>For sale</v>
      </c>
      <c r="B1165" s="2" t="str">
        <f>IFERROR(__xludf.DUMMYFUNCTION("""COMPUTED_VALUE"""),"Mežciems")</f>
        <v>Mežciems</v>
      </c>
      <c r="C1165" s="2" t="str">
        <f>IFERROR(__xludf.DUMMYFUNCTION("""COMPUTED_VALUE"""),"Kaivas 50-36d")</f>
        <v>Kaivas 50-36d</v>
      </c>
      <c r="D1165" s="2">
        <f>IFERROR(__xludf.DUMMYFUNCTION("""COMPUTED_VALUE"""),1.0)</f>
        <v>1</v>
      </c>
      <c r="E1165" s="2">
        <f>IFERROR(__xludf.DUMMYFUNCTION("""COMPUTED_VALUE"""),34.0)</f>
        <v>34</v>
      </c>
      <c r="F1165" s="2">
        <f>IFERROR(__xludf.DUMMYFUNCTION("""COMPUTED_VALUE"""),1.0)</f>
        <v>1</v>
      </c>
      <c r="G1165" s="2">
        <f>IFERROR(__xludf.DUMMYFUNCTION("""COMPUTED_VALUE"""),5.0)</f>
        <v>5</v>
      </c>
      <c r="H1165" s="2" t="str">
        <f>IFERROR(__xludf.DUMMYFUNCTION("""COMPUTED_VALUE"""),"Jaun.")</f>
        <v>Jaun.</v>
      </c>
      <c r="I1165" s="2" t="str">
        <f>IFERROR(__xludf.DUMMYFUNCTION("""COMPUTED_VALUE"""),"Masonry")</f>
        <v>Masonry</v>
      </c>
      <c r="J1165" s="2" t="str">
        <f>IFERROR(__xludf.DUMMYFUNCTION("""COMPUTED_VALUE"""),"All amenities")</f>
        <v>All amenities</v>
      </c>
      <c r="K1165" s="2">
        <f>IFERROR(__xludf.DUMMYFUNCTION("""COMPUTED_VALUE"""),45200.0)</f>
        <v>45200</v>
      </c>
      <c r="L1165" s="2" t="str">
        <f>IFERROR(__xludf.DUMMYFUNCTION("""COMPUTED_VALUE"""),"NaN")</f>
        <v>NaN</v>
      </c>
      <c r="M1165" s="2" t="str">
        <f>IFERROR(__xludf.DUMMYFUNCTION("""COMPUTED_VALUE"""),"NaN")</f>
        <v>NaN</v>
      </c>
    </row>
    <row r="1166">
      <c r="A1166" s="2" t="str">
        <f>IFERROR(__xludf.DUMMYFUNCTION("""COMPUTED_VALUE"""),"For rent")</f>
        <v>For rent</v>
      </c>
      <c r="B1166" s="2" t="str">
        <f>IFERROR(__xludf.DUMMYFUNCTION("""COMPUTED_VALUE"""),"centrs")</f>
        <v>centrs</v>
      </c>
      <c r="C1166" s="2" t="str">
        <f>IFERROR(__xludf.DUMMYFUNCTION("""COMPUTED_VALUE"""),"Barona 24/26")</f>
        <v>Barona 24/26</v>
      </c>
      <c r="D1166" s="2">
        <f>IFERROR(__xludf.DUMMYFUNCTION("""COMPUTED_VALUE"""),1.0)</f>
        <v>1</v>
      </c>
      <c r="E1166" s="2">
        <f>IFERROR(__xludf.DUMMYFUNCTION("""COMPUTED_VALUE"""),22.0)</f>
        <v>22</v>
      </c>
      <c r="F1166" s="2">
        <f>IFERROR(__xludf.DUMMYFUNCTION("""COMPUTED_VALUE"""),2.0)</f>
        <v>2</v>
      </c>
      <c r="G1166" s="2">
        <f>IFERROR(__xludf.DUMMYFUNCTION("""COMPUTED_VALUE"""),6.0)</f>
        <v>6</v>
      </c>
      <c r="H1166" s="2" t="str">
        <f>IFERROR(__xludf.DUMMYFUNCTION("""COMPUTED_VALUE"""),"Renov.")</f>
        <v>Renov.</v>
      </c>
      <c r="I1166" s="2" t="str">
        <f>IFERROR(__xludf.DUMMYFUNCTION("""COMPUTED_VALUE"""),"Brick")</f>
        <v>Brick</v>
      </c>
      <c r="J1166" s="2" t="str">
        <f>IFERROR(__xludf.DUMMYFUNCTION("""COMPUTED_VALUE"""),"All amenities")</f>
        <v>All amenities</v>
      </c>
      <c r="K1166" s="2">
        <f>IFERROR(__xludf.DUMMYFUNCTION("""COMPUTED_VALUE"""),25.0)</f>
        <v>25</v>
      </c>
      <c r="L1166" s="2">
        <f>IFERROR(__xludf.DUMMYFUNCTION("""COMPUTED_VALUE"""),56.95161295)</f>
        <v>56.95161295</v>
      </c>
      <c r="M1166" s="2">
        <f>IFERROR(__xludf.DUMMYFUNCTION("""COMPUTED_VALUE"""),24.1224571478615)</f>
        <v>24.12245715</v>
      </c>
    </row>
    <row r="1167">
      <c r="A1167" s="2" t="str">
        <f>IFERROR(__xludf.DUMMYFUNCTION("""COMPUTED_VALUE"""),"For sale")</f>
        <v>For sale</v>
      </c>
      <c r="B1167" s="2" t="str">
        <f>IFERROR(__xludf.DUMMYFUNCTION("""COMPUTED_VALUE"""),"centrs")</f>
        <v>centrs</v>
      </c>
      <c r="C1167" s="2" t="str">
        <f>IFERROR(__xludf.DUMMYFUNCTION("""COMPUTED_VALUE"""),"Barona 24/26")</f>
        <v>Barona 24/26</v>
      </c>
      <c r="D1167" s="2">
        <f>IFERROR(__xludf.DUMMYFUNCTION("""COMPUTED_VALUE"""),6.0)</f>
        <v>6</v>
      </c>
      <c r="E1167" s="2">
        <f>IFERROR(__xludf.DUMMYFUNCTION("""COMPUTED_VALUE"""),119.0)</f>
        <v>119</v>
      </c>
      <c r="F1167" s="2">
        <f>IFERROR(__xludf.DUMMYFUNCTION("""COMPUTED_VALUE"""),6.0)</f>
        <v>6</v>
      </c>
      <c r="G1167" s="2">
        <f>IFERROR(__xludf.DUMMYFUNCTION("""COMPUTED_VALUE"""),6.0)</f>
        <v>6</v>
      </c>
      <c r="H1167" s="2" t="str">
        <f>IFERROR(__xludf.DUMMYFUNCTION("""COMPUTED_VALUE"""),"P. kara")</f>
        <v>P. kara</v>
      </c>
      <c r="I1167" s="2" t="str">
        <f>IFERROR(__xludf.DUMMYFUNCTION("""COMPUTED_VALUE"""),"Masonry")</f>
        <v>Masonry</v>
      </c>
      <c r="J1167" s="2" t="str">
        <f>IFERROR(__xludf.DUMMYFUNCTION("""COMPUTED_VALUE"""),"All amenities")</f>
        <v>All amenities</v>
      </c>
      <c r="K1167" s="2">
        <f>IFERROR(__xludf.DUMMYFUNCTION("""COMPUTED_VALUE"""),298500.0)</f>
        <v>298500</v>
      </c>
      <c r="L1167" s="2">
        <f>IFERROR(__xludf.DUMMYFUNCTION("""COMPUTED_VALUE"""),56.95161295)</f>
        <v>56.95161295</v>
      </c>
      <c r="M1167" s="2">
        <f>IFERROR(__xludf.DUMMYFUNCTION("""COMPUTED_VALUE"""),24.1224571478615)</f>
        <v>24.12245715</v>
      </c>
    </row>
    <row r="1168">
      <c r="A1168" s="2" t="str">
        <f>IFERROR(__xludf.DUMMYFUNCTION("""COMPUTED_VALUE"""),"For sale")</f>
        <v>For sale</v>
      </c>
      <c r="B1168" s="2" t="str">
        <f>IFERROR(__xludf.DUMMYFUNCTION("""COMPUTED_VALUE"""),"Ziepniekkalns")</f>
        <v>Ziepniekkalns</v>
      </c>
      <c r="C1168" s="2" t="str">
        <f>IFERROR(__xludf.DUMMYFUNCTION("""COMPUTED_VALUE"""),"Ozolciema 16/6")</f>
        <v>Ozolciema 16/6</v>
      </c>
      <c r="D1168" s="2">
        <f>IFERROR(__xludf.DUMMYFUNCTION("""COMPUTED_VALUE"""),4.0)</f>
        <v>4</v>
      </c>
      <c r="E1168" s="2">
        <f>IFERROR(__xludf.DUMMYFUNCTION("""COMPUTED_VALUE"""),90.0)</f>
        <v>90</v>
      </c>
      <c r="F1168" s="2">
        <f>IFERROR(__xludf.DUMMYFUNCTION("""COMPUTED_VALUE"""),6.0)</f>
        <v>6</v>
      </c>
      <c r="G1168" s="2">
        <f>IFERROR(__xludf.DUMMYFUNCTION("""COMPUTED_VALUE"""),10.0)</f>
        <v>10</v>
      </c>
      <c r="H1168" s="2">
        <f>IFERROR(__xludf.DUMMYFUNCTION("""COMPUTED_VALUE"""),119.0)</f>
        <v>119</v>
      </c>
      <c r="I1168" s="2" t="str">
        <f>IFERROR(__xludf.DUMMYFUNCTION("""COMPUTED_VALUE"""),"Panel")</f>
        <v>Panel</v>
      </c>
      <c r="J1168" s="2" t="str">
        <f>IFERROR(__xludf.DUMMYFUNCTION("""COMPUTED_VALUE"""),"All amenities")</f>
        <v>All amenities</v>
      </c>
      <c r="K1168" s="2">
        <f>IFERROR(__xludf.DUMMYFUNCTION("""COMPUTED_VALUE"""),89000.0)</f>
        <v>89000</v>
      </c>
      <c r="L1168" s="2">
        <f>IFERROR(__xludf.DUMMYFUNCTION("""COMPUTED_VALUE"""),56.8990307)</f>
        <v>56.8990307</v>
      </c>
      <c r="M1168" s="2">
        <f>IFERROR(__xludf.DUMMYFUNCTION("""COMPUTED_VALUE"""),24.0785989)</f>
        <v>24.0785989</v>
      </c>
    </row>
    <row r="1169">
      <c r="A1169" s="2" t="str">
        <f>IFERROR(__xludf.DUMMYFUNCTION("""COMPUTED_VALUE"""),"For sale")</f>
        <v>For sale</v>
      </c>
      <c r="B1169" s="2" t="str">
        <f>IFERROR(__xludf.DUMMYFUNCTION("""COMPUTED_VALUE"""),"centrs")</f>
        <v>centrs</v>
      </c>
      <c r="C1169" s="2" t="str">
        <f>IFERROR(__xludf.DUMMYFUNCTION("""COMPUTED_VALUE"""),"Klijānu 16")</f>
        <v>Klijānu 16</v>
      </c>
      <c r="D1169" s="2">
        <f>IFERROR(__xludf.DUMMYFUNCTION("""COMPUTED_VALUE"""),6.0)</f>
        <v>6</v>
      </c>
      <c r="E1169" s="2">
        <f>IFERROR(__xludf.DUMMYFUNCTION("""COMPUTED_VALUE"""),293.0)</f>
        <v>293</v>
      </c>
      <c r="F1169" s="2">
        <f>IFERROR(__xludf.DUMMYFUNCTION("""COMPUTED_VALUE"""),9.0)</f>
        <v>9</v>
      </c>
      <c r="G1169" s="2">
        <f>IFERROR(__xludf.DUMMYFUNCTION("""COMPUTED_VALUE"""),9.0)</f>
        <v>9</v>
      </c>
      <c r="H1169" s="2" t="str">
        <f>IFERROR(__xludf.DUMMYFUNCTION("""COMPUTED_VALUE"""),"Jaun.")</f>
        <v>Jaun.</v>
      </c>
      <c r="I1169" s="2" t="str">
        <f>IFERROR(__xludf.DUMMYFUNCTION("""COMPUTED_VALUE"""),"Masonry")</f>
        <v>Masonry</v>
      </c>
      <c r="J1169" s="2" t="str">
        <f>IFERROR(__xludf.DUMMYFUNCTION("""COMPUTED_VALUE"""),"All amenities")</f>
        <v>All amenities</v>
      </c>
      <c r="K1169" s="2">
        <f>IFERROR(__xludf.DUMMYFUNCTION("""COMPUTED_VALUE"""),300000.0)</f>
        <v>300000</v>
      </c>
      <c r="L1169" s="2">
        <f>IFERROR(__xludf.DUMMYFUNCTION("""COMPUTED_VALUE"""),56.9742195)</f>
        <v>56.9742195</v>
      </c>
      <c r="M1169" s="2">
        <f>IFERROR(__xludf.DUMMYFUNCTION("""COMPUTED_VALUE"""),24.1483510382088)</f>
        <v>24.14835104</v>
      </c>
    </row>
    <row r="1170">
      <c r="A1170" s="2" t="str">
        <f>IFERROR(__xludf.DUMMYFUNCTION("""COMPUTED_VALUE"""),"For sale")</f>
        <v>For sale</v>
      </c>
      <c r="B1170" s="2" t="str">
        <f>IFERROR(__xludf.DUMMYFUNCTION("""COMPUTED_VALUE"""),"centrs")</f>
        <v>centrs</v>
      </c>
      <c r="C1170" s="2" t="str">
        <f>IFERROR(__xludf.DUMMYFUNCTION("""COMPUTED_VALUE"""),"Valmieras 28")</f>
        <v>Valmieras 28</v>
      </c>
      <c r="D1170" s="2">
        <f>IFERROR(__xludf.DUMMYFUNCTION("""COMPUTED_VALUE"""),4.0)</f>
        <v>4</v>
      </c>
      <c r="E1170" s="2">
        <f>IFERROR(__xludf.DUMMYFUNCTION("""COMPUTED_VALUE"""),91.0)</f>
        <v>91</v>
      </c>
      <c r="F1170" s="2">
        <f>IFERROR(__xludf.DUMMYFUNCTION("""COMPUTED_VALUE"""),2.0)</f>
        <v>2</v>
      </c>
      <c r="G1170" s="2">
        <f>IFERROR(__xludf.DUMMYFUNCTION("""COMPUTED_VALUE"""),5.0)</f>
        <v>5</v>
      </c>
      <c r="H1170" s="2" t="str">
        <f>IFERROR(__xludf.DUMMYFUNCTION("""COMPUTED_VALUE"""),"Renov.")</f>
        <v>Renov.</v>
      </c>
      <c r="I1170" s="2" t="str">
        <f>IFERROR(__xludf.DUMMYFUNCTION("""COMPUTED_VALUE"""),"Masonry")</f>
        <v>Masonry</v>
      </c>
      <c r="J1170" s="2" t="str">
        <f>IFERROR(__xludf.DUMMYFUNCTION("""COMPUTED_VALUE"""),"All amenities")</f>
        <v>All amenities</v>
      </c>
      <c r="K1170" s="2">
        <f>IFERROR(__xludf.DUMMYFUNCTION("""COMPUTED_VALUE"""),125000.0)</f>
        <v>125000</v>
      </c>
      <c r="L1170" s="2">
        <f>IFERROR(__xludf.DUMMYFUNCTION("""COMPUTED_VALUE"""),56.95198235)</f>
        <v>56.95198235</v>
      </c>
      <c r="M1170" s="2">
        <f>IFERROR(__xludf.DUMMYFUNCTION("""COMPUTED_VALUE"""),24.150774372186)</f>
        <v>24.15077437</v>
      </c>
    </row>
    <row r="1171">
      <c r="A1171" s="2" t="str">
        <f>IFERROR(__xludf.DUMMYFUNCTION("""COMPUTED_VALUE"""),"For rent")</f>
        <v>For rent</v>
      </c>
      <c r="B1171" s="2" t="str">
        <f>IFERROR(__xludf.DUMMYFUNCTION("""COMPUTED_VALUE"""),"centrs")</f>
        <v>centrs</v>
      </c>
      <c r="C1171" s="2" t="str">
        <f>IFERROR(__xludf.DUMMYFUNCTION("""COMPUTED_VALUE"""),"Baznīcas 27/29")</f>
        <v>Baznīcas 27/29</v>
      </c>
      <c r="D1171" s="2">
        <f>IFERROR(__xludf.DUMMYFUNCTION("""COMPUTED_VALUE"""),3.0)</f>
        <v>3</v>
      </c>
      <c r="E1171" s="2">
        <f>IFERROR(__xludf.DUMMYFUNCTION("""COMPUTED_VALUE"""),85.0)</f>
        <v>85</v>
      </c>
      <c r="F1171" s="2">
        <f>IFERROR(__xludf.DUMMYFUNCTION("""COMPUTED_VALUE"""),4.0)</f>
        <v>4</v>
      </c>
      <c r="G1171" s="2">
        <f>IFERROR(__xludf.DUMMYFUNCTION("""COMPUTED_VALUE"""),5.0)</f>
        <v>5</v>
      </c>
      <c r="H1171" s="2" t="str">
        <f>IFERROR(__xludf.DUMMYFUNCTION("""COMPUTED_VALUE"""),"P. kara")</f>
        <v>P. kara</v>
      </c>
      <c r="I1171" s="2" t="str">
        <f>IFERROR(__xludf.DUMMYFUNCTION("""COMPUTED_VALUE"""),"Masonry")</f>
        <v>Masonry</v>
      </c>
      <c r="J1171" s="2" t="str">
        <f>IFERROR(__xludf.DUMMYFUNCTION("""COMPUTED_VALUE"""),"All amenities")</f>
        <v>All amenities</v>
      </c>
      <c r="K1171" s="2">
        <f>IFERROR(__xludf.DUMMYFUNCTION("""COMPUTED_VALUE"""),850.0)</f>
        <v>850</v>
      </c>
      <c r="L1171" s="2">
        <f>IFERROR(__xludf.DUMMYFUNCTION("""COMPUTED_VALUE"""),56.9574801)</f>
        <v>56.9574801</v>
      </c>
      <c r="M1171" s="2">
        <f>IFERROR(__xludf.DUMMYFUNCTION("""COMPUTED_VALUE"""),24.1204934)</f>
        <v>24.1204934</v>
      </c>
    </row>
    <row r="1172">
      <c r="A1172" s="2" t="str">
        <f>IFERROR(__xludf.DUMMYFUNCTION("""COMPUTED_VALUE"""),"For sale")</f>
        <v>For sale</v>
      </c>
      <c r="B1172" s="2" t="str">
        <f>IFERROR(__xludf.DUMMYFUNCTION("""COMPUTED_VALUE"""),"centrs")</f>
        <v>centrs</v>
      </c>
      <c r="C1172" s="2" t="str">
        <f>IFERROR(__xludf.DUMMYFUNCTION("""COMPUTED_VALUE"""),"Strēlnieku 19")</f>
        <v>Strēlnieku 19</v>
      </c>
      <c r="D1172" s="2">
        <f>IFERROR(__xludf.DUMMYFUNCTION("""COMPUTED_VALUE"""),3.0)</f>
        <v>3</v>
      </c>
      <c r="E1172" s="2">
        <f>IFERROR(__xludf.DUMMYFUNCTION("""COMPUTED_VALUE"""),79.0)</f>
        <v>79</v>
      </c>
      <c r="F1172" s="2">
        <f>IFERROR(__xludf.DUMMYFUNCTION("""COMPUTED_VALUE"""),1.0)</f>
        <v>1</v>
      </c>
      <c r="G1172" s="2">
        <f>IFERROR(__xludf.DUMMYFUNCTION("""COMPUTED_VALUE"""),3.0)</f>
        <v>3</v>
      </c>
      <c r="H1172" s="2" t="str">
        <f>IFERROR(__xludf.DUMMYFUNCTION("""COMPUTED_VALUE"""),"P. kara")</f>
        <v>P. kara</v>
      </c>
      <c r="I1172" s="2" t="str">
        <f>IFERROR(__xludf.DUMMYFUNCTION("""COMPUTED_VALUE"""),"Brick")</f>
        <v>Brick</v>
      </c>
      <c r="J1172" s="2" t="str">
        <f>IFERROR(__xludf.DUMMYFUNCTION("""COMPUTED_VALUE"""),"All amenities")</f>
        <v>All amenities</v>
      </c>
      <c r="K1172" s="2">
        <f>IFERROR(__xludf.DUMMYFUNCTION("""COMPUTED_VALUE"""),135000.0)</f>
        <v>135000</v>
      </c>
      <c r="L1172" s="2">
        <f>IFERROR(__xludf.DUMMYFUNCTION("""COMPUTED_VALUE"""),56.96130605)</f>
        <v>56.96130605</v>
      </c>
      <c r="M1172" s="2">
        <f>IFERROR(__xludf.DUMMYFUNCTION("""COMPUTED_VALUE"""),24.1105821948041)</f>
        <v>24.11058219</v>
      </c>
    </row>
    <row r="1173">
      <c r="A1173" s="2" t="str">
        <f>IFERROR(__xludf.DUMMYFUNCTION("""COMPUTED_VALUE"""),"For rent")</f>
        <v>For rent</v>
      </c>
      <c r="B1173" s="2" t="str">
        <f>IFERROR(__xludf.DUMMYFUNCTION("""COMPUTED_VALUE"""),"Imanta")</f>
        <v>Imanta</v>
      </c>
      <c r="C1173" s="2" t="str">
        <f>IFERROR(__xludf.DUMMYFUNCTION("""COMPUTED_VALUE"""),"Kurzemes pr. 24")</f>
        <v>Kurzemes pr. 24</v>
      </c>
      <c r="D1173" s="2">
        <f>IFERROR(__xludf.DUMMYFUNCTION("""COMPUTED_VALUE"""),3.0)</f>
        <v>3</v>
      </c>
      <c r="E1173" s="2">
        <f>IFERROR(__xludf.DUMMYFUNCTION("""COMPUTED_VALUE"""),70.0)</f>
        <v>70</v>
      </c>
      <c r="F1173" s="2">
        <f>IFERROR(__xludf.DUMMYFUNCTION("""COMPUTED_VALUE"""),3.0)</f>
        <v>3</v>
      </c>
      <c r="G1173" s="2">
        <f>IFERROR(__xludf.DUMMYFUNCTION("""COMPUTED_VALUE"""),5.0)</f>
        <v>5</v>
      </c>
      <c r="H1173" s="2">
        <f>IFERROR(__xludf.DUMMYFUNCTION("""COMPUTED_VALUE"""),103.0)</f>
        <v>103</v>
      </c>
      <c r="I1173" s="2" t="str">
        <f>IFERROR(__xludf.DUMMYFUNCTION("""COMPUTED_VALUE"""),"Brick-Panel")</f>
        <v>Brick-Panel</v>
      </c>
      <c r="J1173" s="2" t="str">
        <f>IFERROR(__xludf.DUMMYFUNCTION("""COMPUTED_VALUE"""),"All amenities")</f>
        <v>All amenities</v>
      </c>
      <c r="K1173" s="2">
        <f>IFERROR(__xludf.DUMMYFUNCTION("""COMPUTED_VALUE"""),420.0)</f>
        <v>420</v>
      </c>
      <c r="L1173" s="2" t="str">
        <f>IFERROR(__xludf.DUMMYFUNCTION("""COMPUTED_VALUE"""),"NaN")</f>
        <v>NaN</v>
      </c>
      <c r="M1173" s="2" t="str">
        <f>IFERROR(__xludf.DUMMYFUNCTION("""COMPUTED_VALUE"""),"NaN")</f>
        <v>NaN</v>
      </c>
    </row>
    <row r="1174">
      <c r="A1174" s="2" t="str">
        <f>IFERROR(__xludf.DUMMYFUNCTION("""COMPUTED_VALUE"""),"For rent")</f>
        <v>For rent</v>
      </c>
      <c r="B1174" s="2" t="str">
        <f>IFERROR(__xludf.DUMMYFUNCTION("""COMPUTED_VALUE"""),"Imanta")</f>
        <v>Imanta</v>
      </c>
      <c r="C1174" s="2" t="str">
        <f>IFERROR(__xludf.DUMMYFUNCTION("""COMPUTED_VALUE"""),"Kurzemes pr. 12")</f>
        <v>Kurzemes pr. 12</v>
      </c>
      <c r="D1174" s="2">
        <f>IFERROR(__xludf.DUMMYFUNCTION("""COMPUTED_VALUE"""),2.0)</f>
        <v>2</v>
      </c>
      <c r="E1174" s="2">
        <f>IFERROR(__xludf.DUMMYFUNCTION("""COMPUTED_VALUE"""),48.0)</f>
        <v>48</v>
      </c>
      <c r="F1174" s="2">
        <f>IFERROR(__xludf.DUMMYFUNCTION("""COMPUTED_VALUE"""),4.0)</f>
        <v>4</v>
      </c>
      <c r="G1174" s="2">
        <f>IFERROR(__xludf.DUMMYFUNCTION("""COMPUTED_VALUE"""),5.0)</f>
        <v>5</v>
      </c>
      <c r="H1174" s="2" t="str">
        <f>IFERROR(__xludf.DUMMYFUNCTION("""COMPUTED_VALUE"""),"LT proj.")</f>
        <v>LT proj.</v>
      </c>
      <c r="I1174" s="2" t="str">
        <f>IFERROR(__xludf.DUMMYFUNCTION("""COMPUTED_VALUE"""),"Panel")</f>
        <v>Panel</v>
      </c>
      <c r="J1174" s="2" t="str">
        <f>IFERROR(__xludf.DUMMYFUNCTION("""COMPUTED_VALUE"""),"All amenities")</f>
        <v>All amenities</v>
      </c>
      <c r="K1174" s="2">
        <f>IFERROR(__xludf.DUMMYFUNCTION("""COMPUTED_VALUE"""),350.0)</f>
        <v>350</v>
      </c>
      <c r="L1174" s="2" t="str">
        <f>IFERROR(__xludf.DUMMYFUNCTION("""COMPUTED_VALUE"""),"NaN")</f>
        <v>NaN</v>
      </c>
      <c r="M1174" s="2" t="str">
        <f>IFERROR(__xludf.DUMMYFUNCTION("""COMPUTED_VALUE"""),"NaN")</f>
        <v>NaN</v>
      </c>
    </row>
    <row r="1175">
      <c r="A1175" s="2" t="str">
        <f>IFERROR(__xludf.DUMMYFUNCTION("""COMPUTED_VALUE"""),"For rent")</f>
        <v>For rent</v>
      </c>
      <c r="B1175" s="2" t="str">
        <f>IFERROR(__xludf.DUMMYFUNCTION("""COMPUTED_VALUE"""),"centrs")</f>
        <v>centrs</v>
      </c>
      <c r="C1175" s="2" t="str">
        <f>IFERROR(__xludf.DUMMYFUNCTION("""COMPUTED_VALUE"""),"Strēlnieku 7")</f>
        <v>Strēlnieku 7</v>
      </c>
      <c r="D1175" s="2">
        <f>IFERROR(__xludf.DUMMYFUNCTION("""COMPUTED_VALUE"""),3.0)</f>
        <v>3</v>
      </c>
      <c r="E1175" s="2">
        <f>IFERROR(__xludf.DUMMYFUNCTION("""COMPUTED_VALUE"""),85.0)</f>
        <v>85</v>
      </c>
      <c r="F1175" s="2">
        <f>IFERROR(__xludf.DUMMYFUNCTION("""COMPUTED_VALUE"""),2.0)</f>
        <v>2</v>
      </c>
      <c r="G1175" s="2">
        <f>IFERROR(__xludf.DUMMYFUNCTION("""COMPUTED_VALUE"""),7.0)</f>
        <v>7</v>
      </c>
      <c r="H1175" s="2" t="str">
        <f>IFERROR(__xludf.DUMMYFUNCTION("""COMPUTED_VALUE"""),"Jaun.")</f>
        <v>Jaun.</v>
      </c>
      <c r="I1175" s="2" t="str">
        <f>IFERROR(__xludf.DUMMYFUNCTION("""COMPUTED_VALUE"""),"Panel")</f>
        <v>Panel</v>
      </c>
      <c r="J1175" s="2" t="str">
        <f>IFERROR(__xludf.DUMMYFUNCTION("""COMPUTED_VALUE"""),"All amenities")</f>
        <v>All amenities</v>
      </c>
      <c r="K1175" s="2">
        <f>IFERROR(__xludf.DUMMYFUNCTION("""COMPUTED_VALUE"""),1150.0)</f>
        <v>1150</v>
      </c>
      <c r="L1175" s="2">
        <f>IFERROR(__xludf.DUMMYFUNCTION("""COMPUTED_VALUE"""),56.9596279)</f>
        <v>56.9596279</v>
      </c>
      <c r="M1175" s="2">
        <f>IFERROR(__xludf.DUMMYFUNCTION("""COMPUTED_VALUE"""),24.1079909)</f>
        <v>24.1079909</v>
      </c>
    </row>
    <row r="1176">
      <c r="A1176" s="2" t="str">
        <f>IFERROR(__xludf.DUMMYFUNCTION("""COMPUTED_VALUE"""),"For rent")</f>
        <v>For rent</v>
      </c>
      <c r="B1176" s="2" t="str">
        <f>IFERROR(__xludf.DUMMYFUNCTION("""COMPUTED_VALUE"""),"centrs")</f>
        <v>centrs</v>
      </c>
      <c r="C1176" s="2" t="str">
        <f>IFERROR(__xludf.DUMMYFUNCTION("""COMPUTED_VALUE"""),"Matīsa 80a")</f>
        <v>Matīsa 80a</v>
      </c>
      <c r="D1176" s="2">
        <f>IFERROR(__xludf.DUMMYFUNCTION("""COMPUTED_VALUE"""),1.0)</f>
        <v>1</v>
      </c>
      <c r="E1176" s="2">
        <f>IFERROR(__xludf.DUMMYFUNCTION("""COMPUTED_VALUE"""),25.0)</f>
        <v>25</v>
      </c>
      <c r="F1176" s="2">
        <f>IFERROR(__xludf.DUMMYFUNCTION("""COMPUTED_VALUE"""),1.0)</f>
        <v>1</v>
      </c>
      <c r="G1176" s="2">
        <f>IFERROR(__xludf.DUMMYFUNCTION("""COMPUTED_VALUE"""),6.0)</f>
        <v>6</v>
      </c>
      <c r="H1176" s="2" t="str">
        <f>IFERROR(__xludf.DUMMYFUNCTION("""COMPUTED_VALUE"""),"P. kara")</f>
        <v>P. kara</v>
      </c>
      <c r="I1176" s="2" t="str">
        <f>IFERROR(__xludf.DUMMYFUNCTION("""COMPUTED_VALUE"""),"Masonry")</f>
        <v>Masonry</v>
      </c>
      <c r="J1176" s="2" t="str">
        <f>IFERROR(__xludf.DUMMYFUNCTION("""COMPUTED_VALUE"""),"All amenities")</f>
        <v>All amenities</v>
      </c>
      <c r="K1176" s="2">
        <f>IFERROR(__xludf.DUMMYFUNCTION("""COMPUTED_VALUE"""),200.0)</f>
        <v>200</v>
      </c>
      <c r="L1176" s="2">
        <f>IFERROR(__xludf.DUMMYFUNCTION("""COMPUTED_VALUE"""),56.9509044)</f>
        <v>56.9509044</v>
      </c>
      <c r="M1176" s="2">
        <f>IFERROR(__xludf.DUMMYFUNCTION("""COMPUTED_VALUE"""),24.1454745)</f>
        <v>24.1454745</v>
      </c>
    </row>
    <row r="1177">
      <c r="A1177" s="2" t="str">
        <f>IFERROR(__xludf.DUMMYFUNCTION("""COMPUTED_VALUE"""),"For rent")</f>
        <v>For rent</v>
      </c>
      <c r="B1177" s="2" t="str">
        <f>IFERROR(__xludf.DUMMYFUNCTION("""COMPUTED_VALUE"""),"Šķirotava")</f>
        <v>Šķirotava</v>
      </c>
      <c r="C1177" s="2" t="str">
        <f>IFERROR(__xludf.DUMMYFUNCTION("""COMPUTED_VALUE"""),"Granīta 7")</f>
        <v>Granīta 7</v>
      </c>
      <c r="D1177" s="2">
        <f>IFERROR(__xludf.DUMMYFUNCTION("""COMPUTED_VALUE"""),1.0)</f>
        <v>1</v>
      </c>
      <c r="E1177" s="2">
        <f>IFERROR(__xludf.DUMMYFUNCTION("""COMPUTED_VALUE"""),20.0)</f>
        <v>20</v>
      </c>
      <c r="F1177" s="2">
        <f>IFERROR(__xludf.DUMMYFUNCTION("""COMPUTED_VALUE"""),2.0)</f>
        <v>2</v>
      </c>
      <c r="G1177" s="2">
        <f>IFERROR(__xludf.DUMMYFUNCTION("""COMPUTED_VALUE"""),3.0)</f>
        <v>3</v>
      </c>
      <c r="H1177" s="2" t="str">
        <f>IFERROR(__xludf.DUMMYFUNCTION("""COMPUTED_VALUE"""),"LT proj.")</f>
        <v>LT proj.</v>
      </c>
      <c r="I1177" s="2" t="str">
        <f>IFERROR(__xludf.DUMMYFUNCTION("""COMPUTED_VALUE"""),"Panel")</f>
        <v>Panel</v>
      </c>
      <c r="J1177" s="2" t="str">
        <f>IFERROR(__xludf.DUMMYFUNCTION("""COMPUTED_VALUE"""),"Partial amenities")</f>
        <v>Partial amenities</v>
      </c>
      <c r="K1177" s="2">
        <f>IFERROR(__xludf.DUMMYFUNCTION("""COMPUTED_VALUE"""),140.0)</f>
        <v>140</v>
      </c>
      <c r="L1177" s="2">
        <f>IFERROR(__xludf.DUMMYFUNCTION("""COMPUTED_VALUE"""),56.91298395)</f>
        <v>56.91298395</v>
      </c>
      <c r="M1177" s="2">
        <f>IFERROR(__xludf.DUMMYFUNCTION("""COMPUTED_VALUE"""),24.2192812062854)</f>
        <v>24.21928121</v>
      </c>
    </row>
    <row r="1178">
      <c r="A1178" s="2" t="str">
        <f>IFERROR(__xludf.DUMMYFUNCTION("""COMPUTED_VALUE"""),"For sale")</f>
        <v>For sale</v>
      </c>
      <c r="B1178" s="2" t="str">
        <f>IFERROR(__xludf.DUMMYFUNCTION("""COMPUTED_VALUE"""),"Pļavnieki")</f>
        <v>Pļavnieki</v>
      </c>
      <c r="C1178" s="2" t="str">
        <f>IFERROR(__xludf.DUMMYFUNCTION("""COMPUTED_VALUE"""),"Rembates 8")</f>
        <v>Rembates 8</v>
      </c>
      <c r="D1178" s="2">
        <f>IFERROR(__xludf.DUMMYFUNCTION("""COMPUTED_VALUE"""),2.0)</f>
        <v>2</v>
      </c>
      <c r="E1178" s="2">
        <f>IFERROR(__xludf.DUMMYFUNCTION("""COMPUTED_VALUE"""),53.0)</f>
        <v>53</v>
      </c>
      <c r="F1178" s="2">
        <f>IFERROR(__xludf.DUMMYFUNCTION("""COMPUTED_VALUE"""),4.0)</f>
        <v>4</v>
      </c>
      <c r="G1178" s="2">
        <f>IFERROR(__xludf.DUMMYFUNCTION("""COMPUTED_VALUE"""),10.0)</f>
        <v>10</v>
      </c>
      <c r="H1178" s="2" t="str">
        <f>IFERROR(__xludf.DUMMYFUNCTION("""COMPUTED_VALUE"""),"Jaun.")</f>
        <v>Jaun.</v>
      </c>
      <c r="I1178" s="2" t="str">
        <f>IFERROR(__xludf.DUMMYFUNCTION("""COMPUTED_VALUE"""),"Brick-Panel")</f>
        <v>Brick-Panel</v>
      </c>
      <c r="J1178" s="2" t="str">
        <f>IFERROR(__xludf.DUMMYFUNCTION("""COMPUTED_VALUE"""),"All amenities")</f>
        <v>All amenities</v>
      </c>
      <c r="K1178" s="2">
        <f>IFERROR(__xludf.DUMMYFUNCTION("""COMPUTED_VALUE"""),78000.0)</f>
        <v>78000</v>
      </c>
      <c r="L1178" s="2">
        <f>IFERROR(__xludf.DUMMYFUNCTION("""COMPUTED_VALUE"""),56.9407458)</f>
        <v>56.9407458</v>
      </c>
      <c r="M1178" s="2">
        <f>IFERROR(__xludf.DUMMYFUNCTION("""COMPUTED_VALUE"""),24.2301077277873)</f>
        <v>24.23010773</v>
      </c>
    </row>
    <row r="1179">
      <c r="A1179" s="2" t="str">
        <f>IFERROR(__xludf.DUMMYFUNCTION("""COMPUTED_VALUE"""),"For rent")</f>
        <v>For rent</v>
      </c>
      <c r="B1179" s="2" t="str">
        <f>IFERROR(__xludf.DUMMYFUNCTION("""COMPUTED_VALUE"""),"centrs")</f>
        <v>centrs</v>
      </c>
      <c r="C1179" s="2" t="str">
        <f>IFERROR(__xludf.DUMMYFUNCTION("""COMPUTED_VALUE"""),"Maskavas 261")</f>
        <v>Maskavas 261</v>
      </c>
      <c r="D1179" s="2">
        <f>IFERROR(__xludf.DUMMYFUNCTION("""COMPUTED_VALUE"""),1.0)</f>
        <v>1</v>
      </c>
      <c r="E1179" s="2">
        <f>IFERROR(__xludf.DUMMYFUNCTION("""COMPUTED_VALUE"""),19.0)</f>
        <v>19</v>
      </c>
      <c r="F1179" s="2">
        <f>IFERROR(__xludf.DUMMYFUNCTION("""COMPUTED_VALUE"""),2.0)</f>
        <v>2</v>
      </c>
      <c r="G1179" s="2">
        <f>IFERROR(__xludf.DUMMYFUNCTION("""COMPUTED_VALUE"""),5.0)</f>
        <v>5</v>
      </c>
      <c r="H1179" s="2" t="str">
        <f>IFERROR(__xludf.DUMMYFUNCTION("""COMPUTED_VALUE"""),"Renov.")</f>
        <v>Renov.</v>
      </c>
      <c r="I1179" s="2" t="str">
        <f>IFERROR(__xludf.DUMMYFUNCTION("""COMPUTED_VALUE"""),"Brick")</f>
        <v>Brick</v>
      </c>
      <c r="J1179" s="2" t="str">
        <f>IFERROR(__xludf.DUMMYFUNCTION("""COMPUTED_VALUE"""),"All amenities")</f>
        <v>All amenities</v>
      </c>
      <c r="K1179" s="2">
        <f>IFERROR(__xludf.DUMMYFUNCTION("""COMPUTED_VALUE"""),260.0)</f>
        <v>260</v>
      </c>
      <c r="L1179" s="2">
        <f>IFERROR(__xludf.DUMMYFUNCTION("""COMPUTED_VALUE"""),56.8597884)</f>
        <v>56.8597884</v>
      </c>
      <c r="M1179" s="2">
        <f>IFERROR(__xludf.DUMMYFUNCTION("""COMPUTED_VALUE"""),24.3083417)</f>
        <v>24.3083417</v>
      </c>
    </row>
    <row r="1180">
      <c r="A1180" s="2" t="str">
        <f>IFERROR(__xludf.DUMMYFUNCTION("""COMPUTED_VALUE"""),"For sale")</f>
        <v>For sale</v>
      </c>
      <c r="B1180" s="2" t="str">
        <f>IFERROR(__xludf.DUMMYFUNCTION("""COMPUTED_VALUE"""),"Purvciems")</f>
        <v>Purvciems</v>
      </c>
      <c r="C1180" s="2" t="str">
        <f>IFERROR(__xludf.DUMMYFUNCTION("""COMPUTED_VALUE"""),"Ieriķu 58")</f>
        <v>Ieriķu 58</v>
      </c>
      <c r="D1180" s="2">
        <f>IFERROR(__xludf.DUMMYFUNCTION("""COMPUTED_VALUE"""),1.0)</f>
        <v>1</v>
      </c>
      <c r="E1180" s="2">
        <f>IFERROR(__xludf.DUMMYFUNCTION("""COMPUTED_VALUE"""),39.0)</f>
        <v>39</v>
      </c>
      <c r="F1180" s="2">
        <f>IFERROR(__xludf.DUMMYFUNCTION("""COMPUTED_VALUE"""),2.0)</f>
        <v>2</v>
      </c>
      <c r="G1180" s="2">
        <f>IFERROR(__xludf.DUMMYFUNCTION("""COMPUTED_VALUE"""),9.0)</f>
        <v>9</v>
      </c>
      <c r="H1180" s="2" t="str">
        <f>IFERROR(__xludf.DUMMYFUNCTION("""COMPUTED_VALUE"""),"Specpr.")</f>
        <v>Specpr.</v>
      </c>
      <c r="I1180" s="2" t="str">
        <f>IFERROR(__xludf.DUMMYFUNCTION("""COMPUTED_VALUE"""),"Brick-Panel")</f>
        <v>Brick-Panel</v>
      </c>
      <c r="J1180" s="2" t="str">
        <f>IFERROR(__xludf.DUMMYFUNCTION("""COMPUTED_VALUE"""),"All amenities")</f>
        <v>All amenities</v>
      </c>
      <c r="K1180" s="2">
        <f>IFERROR(__xludf.DUMMYFUNCTION("""COMPUTED_VALUE"""),37500.0)</f>
        <v>37500</v>
      </c>
      <c r="L1180" s="2">
        <f>IFERROR(__xludf.DUMMYFUNCTION("""COMPUTED_VALUE"""),56.9655674)</f>
        <v>56.9655674</v>
      </c>
      <c r="M1180" s="2">
        <f>IFERROR(__xludf.DUMMYFUNCTION("""COMPUTED_VALUE"""),24.1830043136253)</f>
        <v>24.18300431</v>
      </c>
    </row>
    <row r="1181">
      <c r="A1181" s="2" t="str">
        <f>IFERROR(__xludf.DUMMYFUNCTION("""COMPUTED_VALUE"""),"For sale")</f>
        <v>For sale</v>
      </c>
      <c r="B1181" s="2" t="str">
        <f>IFERROR(__xludf.DUMMYFUNCTION("""COMPUTED_VALUE"""),"centrs")</f>
        <v>centrs</v>
      </c>
      <c r="C1181" s="2" t="str">
        <f>IFERROR(__xludf.DUMMYFUNCTION("""COMPUTED_VALUE"""),"Miera 80")</f>
        <v>Miera 80</v>
      </c>
      <c r="D1181" s="2">
        <f>IFERROR(__xludf.DUMMYFUNCTION("""COMPUTED_VALUE"""),2.0)</f>
        <v>2</v>
      </c>
      <c r="E1181" s="2">
        <f>IFERROR(__xludf.DUMMYFUNCTION("""COMPUTED_VALUE"""),50.0)</f>
        <v>50</v>
      </c>
      <c r="F1181" s="2">
        <f>IFERROR(__xludf.DUMMYFUNCTION("""COMPUTED_VALUE"""),2.0)</f>
        <v>2</v>
      </c>
      <c r="G1181" s="2">
        <f>IFERROR(__xludf.DUMMYFUNCTION("""COMPUTED_VALUE"""),6.0)</f>
        <v>6</v>
      </c>
      <c r="H1181" s="2" t="str">
        <f>IFERROR(__xludf.DUMMYFUNCTION("""COMPUTED_VALUE"""),"Specpr.")</f>
        <v>Specpr.</v>
      </c>
      <c r="I1181" s="2" t="str">
        <f>IFERROR(__xludf.DUMMYFUNCTION("""COMPUTED_VALUE"""),"Brick")</f>
        <v>Brick</v>
      </c>
      <c r="J1181" s="2" t="str">
        <f>IFERROR(__xludf.DUMMYFUNCTION("""COMPUTED_VALUE"""),"All amenities")</f>
        <v>All amenities</v>
      </c>
      <c r="K1181" s="2">
        <f>IFERROR(__xludf.DUMMYFUNCTION("""COMPUTED_VALUE"""),85000.0)</f>
        <v>85000</v>
      </c>
      <c r="L1181" s="2">
        <f>IFERROR(__xludf.DUMMYFUNCTION("""COMPUTED_VALUE"""),56.9665763)</f>
        <v>56.9665763</v>
      </c>
      <c r="M1181" s="2">
        <f>IFERROR(__xludf.DUMMYFUNCTION("""COMPUTED_VALUE"""),24.1337504)</f>
        <v>24.1337504</v>
      </c>
    </row>
    <row r="1182">
      <c r="A1182" s="2" t="str">
        <f>IFERROR(__xludf.DUMMYFUNCTION("""COMPUTED_VALUE"""),"For sale")</f>
        <v>For sale</v>
      </c>
      <c r="B1182" s="2" t="str">
        <f>IFERROR(__xludf.DUMMYFUNCTION("""COMPUTED_VALUE"""),"Imanta")</f>
        <v>Imanta</v>
      </c>
      <c r="C1182" s="2" t="str">
        <f>IFERROR(__xludf.DUMMYFUNCTION("""COMPUTED_VALUE"""),"Anniņmuižas bulvāris 38")</f>
        <v>Anniņmuižas bulvāris 38</v>
      </c>
      <c r="D1182" s="2">
        <f>IFERROR(__xludf.DUMMYFUNCTION("""COMPUTED_VALUE"""),2.0)</f>
        <v>2</v>
      </c>
      <c r="E1182" s="2">
        <f>IFERROR(__xludf.DUMMYFUNCTION("""COMPUTED_VALUE"""),64.0)</f>
        <v>64</v>
      </c>
      <c r="F1182" s="2">
        <f>IFERROR(__xludf.DUMMYFUNCTION("""COMPUTED_VALUE"""),6.0)</f>
        <v>6</v>
      </c>
      <c r="G1182" s="2">
        <f>IFERROR(__xludf.DUMMYFUNCTION("""COMPUTED_VALUE"""),18.0)</f>
        <v>18</v>
      </c>
      <c r="H1182" s="2" t="str">
        <f>IFERROR(__xludf.DUMMYFUNCTION("""COMPUTED_VALUE"""),"Jaun.")</f>
        <v>Jaun.</v>
      </c>
      <c r="I1182" s="2" t="str">
        <f>IFERROR(__xludf.DUMMYFUNCTION("""COMPUTED_VALUE"""),"Brick-Panel")</f>
        <v>Brick-Panel</v>
      </c>
      <c r="J1182" s="2" t="str">
        <f>IFERROR(__xludf.DUMMYFUNCTION("""COMPUTED_VALUE"""),"All amenities")</f>
        <v>All amenities</v>
      </c>
      <c r="K1182" s="2">
        <f>IFERROR(__xludf.DUMMYFUNCTION("""COMPUTED_VALUE"""),89500.0)</f>
        <v>89500</v>
      </c>
      <c r="L1182" s="2">
        <f>IFERROR(__xludf.DUMMYFUNCTION("""COMPUTED_VALUE"""),56.96112105)</f>
        <v>56.96112105</v>
      </c>
      <c r="M1182" s="2">
        <f>IFERROR(__xludf.DUMMYFUNCTION("""COMPUTED_VALUE"""),24.01821679525)</f>
        <v>24.0182168</v>
      </c>
    </row>
    <row r="1183">
      <c r="A1183" s="2" t="str">
        <f>IFERROR(__xludf.DUMMYFUNCTION("""COMPUTED_VALUE"""),"For sale")</f>
        <v>For sale</v>
      </c>
      <c r="B1183" s="2" t="str">
        <f>IFERROR(__xludf.DUMMYFUNCTION("""COMPUTED_VALUE"""),"centrs")</f>
        <v>centrs</v>
      </c>
      <c r="C1183" s="2" t="str">
        <f>IFERROR(__xludf.DUMMYFUNCTION("""COMPUTED_VALUE"""),"Pulkv. Brieža 9 k. 1")</f>
        <v>Pulkv. Brieža 9 k. 1</v>
      </c>
      <c r="D1183" s="2">
        <f>IFERROR(__xludf.DUMMYFUNCTION("""COMPUTED_VALUE"""),3.0)</f>
        <v>3</v>
      </c>
      <c r="E1183" s="2">
        <f>IFERROR(__xludf.DUMMYFUNCTION("""COMPUTED_VALUE"""),80.0)</f>
        <v>80</v>
      </c>
      <c r="F1183" s="2">
        <f>IFERROR(__xludf.DUMMYFUNCTION("""COMPUTED_VALUE"""),2.0)</f>
        <v>2</v>
      </c>
      <c r="G1183" s="2">
        <f>IFERROR(__xludf.DUMMYFUNCTION("""COMPUTED_VALUE"""),7.0)</f>
        <v>7</v>
      </c>
      <c r="H1183" s="2" t="str">
        <f>IFERROR(__xludf.DUMMYFUNCTION("""COMPUTED_VALUE"""),"Jaun.")</f>
        <v>Jaun.</v>
      </c>
      <c r="I1183" s="2" t="str">
        <f>IFERROR(__xludf.DUMMYFUNCTION("""COMPUTED_VALUE"""),"Masonry")</f>
        <v>Masonry</v>
      </c>
      <c r="J1183" s="2" t="str">
        <f>IFERROR(__xludf.DUMMYFUNCTION("""COMPUTED_VALUE"""),"All amenities")</f>
        <v>All amenities</v>
      </c>
      <c r="K1183" s="2">
        <f>IFERROR(__xludf.DUMMYFUNCTION("""COMPUTED_VALUE"""),158000.0)</f>
        <v>158000</v>
      </c>
      <c r="L1183" s="2" t="str">
        <f>IFERROR(__xludf.DUMMYFUNCTION("""COMPUTED_VALUE"""),"NaN")</f>
        <v>NaN</v>
      </c>
      <c r="M1183" s="2" t="str">
        <f>IFERROR(__xludf.DUMMYFUNCTION("""COMPUTED_VALUE"""),"NaN")</f>
        <v>NaN</v>
      </c>
    </row>
    <row r="1184">
      <c r="A1184" s="2" t="str">
        <f>IFERROR(__xludf.DUMMYFUNCTION("""COMPUTED_VALUE"""),"For sale")</f>
        <v>For sale</v>
      </c>
      <c r="B1184" s="2" t="str">
        <f>IFERROR(__xludf.DUMMYFUNCTION("""COMPUTED_VALUE"""),"centrs")</f>
        <v>centrs</v>
      </c>
      <c r="C1184" s="2" t="str">
        <f>IFERROR(__xludf.DUMMYFUNCTION("""COMPUTED_VALUE"""),"Birznieka-Upīša 18")</f>
        <v>Birznieka-Upīša 18</v>
      </c>
      <c r="D1184" s="2">
        <f>IFERROR(__xludf.DUMMYFUNCTION("""COMPUTED_VALUE"""),3.0)</f>
        <v>3</v>
      </c>
      <c r="E1184" s="2">
        <f>IFERROR(__xludf.DUMMYFUNCTION("""COMPUTED_VALUE"""),113.0)</f>
        <v>113</v>
      </c>
      <c r="F1184" s="2">
        <f>IFERROR(__xludf.DUMMYFUNCTION("""COMPUTED_VALUE"""),1.0)</f>
        <v>1</v>
      </c>
      <c r="G1184" s="2">
        <f>IFERROR(__xludf.DUMMYFUNCTION("""COMPUTED_VALUE"""),6.0)</f>
        <v>6</v>
      </c>
      <c r="H1184" s="2" t="str">
        <f>IFERROR(__xludf.DUMMYFUNCTION("""COMPUTED_VALUE"""),"Renov.")</f>
        <v>Renov.</v>
      </c>
      <c r="I1184" s="2" t="str">
        <f>IFERROR(__xludf.DUMMYFUNCTION("""COMPUTED_VALUE"""),"Masonry")</f>
        <v>Masonry</v>
      </c>
      <c r="J1184" s="2" t="str">
        <f>IFERROR(__xludf.DUMMYFUNCTION("""COMPUTED_VALUE"""),"All amenities")</f>
        <v>All amenities</v>
      </c>
      <c r="K1184" s="2">
        <f>IFERROR(__xludf.DUMMYFUNCTION("""COMPUTED_VALUE"""),195000.0)</f>
        <v>195000</v>
      </c>
      <c r="L1184" s="2">
        <f>IFERROR(__xludf.DUMMYFUNCTION("""COMPUTED_VALUE"""),56.9491053)</f>
        <v>56.9491053</v>
      </c>
      <c r="M1184" s="2">
        <f>IFERROR(__xludf.DUMMYFUNCTION("""COMPUTED_VALUE"""),24.1281567938374)</f>
        <v>24.12815679</v>
      </c>
    </row>
    <row r="1185">
      <c r="A1185" s="2" t="str">
        <f>IFERROR(__xludf.DUMMYFUNCTION("""COMPUTED_VALUE"""),"For rent")</f>
        <v>For rent</v>
      </c>
      <c r="B1185" s="2" t="str">
        <f>IFERROR(__xludf.DUMMYFUNCTION("""COMPUTED_VALUE"""),"centrs")</f>
        <v>centrs</v>
      </c>
      <c r="C1185" s="2" t="str">
        <f>IFERROR(__xludf.DUMMYFUNCTION("""COMPUTED_VALUE"""),"Tomsona 25")</f>
        <v>Tomsona 25</v>
      </c>
      <c r="D1185" s="2">
        <f>IFERROR(__xludf.DUMMYFUNCTION("""COMPUTED_VALUE"""),2.0)</f>
        <v>2</v>
      </c>
      <c r="E1185" s="2">
        <f>IFERROR(__xludf.DUMMYFUNCTION("""COMPUTED_VALUE"""),41.0)</f>
        <v>41</v>
      </c>
      <c r="F1185" s="2">
        <f>IFERROR(__xludf.DUMMYFUNCTION("""COMPUTED_VALUE"""),3.0)</f>
        <v>3</v>
      </c>
      <c r="G1185" s="2">
        <f>IFERROR(__xludf.DUMMYFUNCTION("""COMPUTED_VALUE"""),5.0)</f>
        <v>5</v>
      </c>
      <c r="H1185" s="2" t="str">
        <f>IFERROR(__xludf.DUMMYFUNCTION("""COMPUTED_VALUE"""),"Hrušč.")</f>
        <v>Hrušč.</v>
      </c>
      <c r="I1185" s="2" t="str">
        <f>IFERROR(__xludf.DUMMYFUNCTION("""COMPUTED_VALUE"""),"Brick")</f>
        <v>Brick</v>
      </c>
      <c r="J1185" s="2" t="str">
        <f>IFERROR(__xludf.DUMMYFUNCTION("""COMPUTED_VALUE"""),"All amenities")</f>
        <v>All amenities</v>
      </c>
      <c r="K1185" s="2">
        <f>IFERROR(__xludf.DUMMYFUNCTION("""COMPUTED_VALUE"""),400.0)</f>
        <v>400</v>
      </c>
      <c r="L1185" s="2">
        <f>IFERROR(__xludf.DUMMYFUNCTION("""COMPUTED_VALUE"""),56.9659839)</f>
        <v>56.9659839</v>
      </c>
      <c r="M1185" s="2">
        <f>IFERROR(__xludf.DUMMYFUNCTION("""COMPUTED_VALUE"""),24.1258447)</f>
        <v>24.1258447</v>
      </c>
    </row>
    <row r="1186">
      <c r="A1186" s="2" t="str">
        <f>IFERROR(__xludf.DUMMYFUNCTION("""COMPUTED_VALUE"""),"For sale")</f>
        <v>For sale</v>
      </c>
      <c r="B1186" s="2" t="str">
        <f>IFERROR(__xludf.DUMMYFUNCTION("""COMPUTED_VALUE"""),"centrs")</f>
        <v>centrs</v>
      </c>
      <c r="C1186" s="2" t="str">
        <f>IFERROR(__xludf.DUMMYFUNCTION("""COMPUTED_VALUE"""),"Pulkv. Brieža 35")</f>
        <v>Pulkv. Brieža 35</v>
      </c>
      <c r="D1186" s="2">
        <f>IFERROR(__xludf.DUMMYFUNCTION("""COMPUTED_VALUE"""),1.0)</f>
        <v>1</v>
      </c>
      <c r="E1186" s="2">
        <f>IFERROR(__xludf.DUMMYFUNCTION("""COMPUTED_VALUE"""),37.0)</f>
        <v>37</v>
      </c>
      <c r="F1186" s="2">
        <f>IFERROR(__xludf.DUMMYFUNCTION("""COMPUTED_VALUE"""),4.0)</f>
        <v>4</v>
      </c>
      <c r="G1186" s="2">
        <f>IFERROR(__xludf.DUMMYFUNCTION("""COMPUTED_VALUE"""),7.0)</f>
        <v>7</v>
      </c>
      <c r="H1186" s="2" t="str">
        <f>IFERROR(__xludf.DUMMYFUNCTION("""COMPUTED_VALUE"""),"Jaun.")</f>
        <v>Jaun.</v>
      </c>
      <c r="I1186" s="2" t="str">
        <f>IFERROR(__xludf.DUMMYFUNCTION("""COMPUTED_VALUE"""),"Masonry")</f>
        <v>Masonry</v>
      </c>
      <c r="J1186" s="2" t="str">
        <f>IFERROR(__xludf.DUMMYFUNCTION("""COMPUTED_VALUE"""),"All amenities")</f>
        <v>All amenities</v>
      </c>
      <c r="K1186" s="2">
        <f>IFERROR(__xludf.DUMMYFUNCTION("""COMPUTED_VALUE"""),84000.0)</f>
        <v>84000</v>
      </c>
      <c r="L1186" s="2" t="str">
        <f>IFERROR(__xludf.DUMMYFUNCTION("""COMPUTED_VALUE"""),"NaN")</f>
        <v>NaN</v>
      </c>
      <c r="M1186" s="2" t="str">
        <f>IFERROR(__xludf.DUMMYFUNCTION("""COMPUTED_VALUE"""),"NaN")</f>
        <v>NaN</v>
      </c>
    </row>
    <row r="1187">
      <c r="A1187" s="2" t="str">
        <f>IFERROR(__xludf.DUMMYFUNCTION("""COMPUTED_VALUE"""),"For sale")</f>
        <v>For sale</v>
      </c>
      <c r="B1187" s="2" t="str">
        <f>IFERROR(__xludf.DUMMYFUNCTION("""COMPUTED_VALUE"""),"Čiekurkalns")</f>
        <v>Čiekurkalns</v>
      </c>
      <c r="C1187" s="2" t="str">
        <f>IFERROR(__xludf.DUMMYFUNCTION("""COMPUTED_VALUE"""),"Čiekurkalna 2. šķ l. 6")</f>
        <v>Čiekurkalna 2. šķ l. 6</v>
      </c>
      <c r="D1187" s="2">
        <f>IFERROR(__xludf.DUMMYFUNCTION("""COMPUTED_VALUE"""),1.0)</f>
        <v>1</v>
      </c>
      <c r="E1187" s="2">
        <f>IFERROR(__xludf.DUMMYFUNCTION("""COMPUTED_VALUE"""),41.0)</f>
        <v>41</v>
      </c>
      <c r="F1187" s="2">
        <f>IFERROR(__xludf.DUMMYFUNCTION("""COMPUTED_VALUE"""),2.0)</f>
        <v>2</v>
      </c>
      <c r="G1187" s="2">
        <f>IFERROR(__xludf.DUMMYFUNCTION("""COMPUTED_VALUE"""),3.0)</f>
        <v>3</v>
      </c>
      <c r="H1187" s="2" t="str">
        <f>IFERROR(__xludf.DUMMYFUNCTION("""COMPUTED_VALUE"""),"Jaun.")</f>
        <v>Jaun.</v>
      </c>
      <c r="I1187" s="2" t="str">
        <f>IFERROR(__xludf.DUMMYFUNCTION("""COMPUTED_VALUE"""),"Brick-Panel")</f>
        <v>Brick-Panel</v>
      </c>
      <c r="J1187" s="2" t="str">
        <f>IFERROR(__xludf.DUMMYFUNCTION("""COMPUTED_VALUE"""),"All amenities")</f>
        <v>All amenities</v>
      </c>
      <c r="K1187" s="2">
        <f>IFERROR(__xludf.DUMMYFUNCTION("""COMPUTED_VALUE"""),58500.0)</f>
        <v>58500</v>
      </c>
      <c r="L1187" s="2" t="str">
        <f>IFERROR(__xludf.DUMMYFUNCTION("""COMPUTED_VALUE"""),"NaN")</f>
        <v>NaN</v>
      </c>
      <c r="M1187" s="2" t="str">
        <f>IFERROR(__xludf.DUMMYFUNCTION("""COMPUTED_VALUE"""),"NaN")</f>
        <v>NaN</v>
      </c>
    </row>
    <row r="1188">
      <c r="A1188" s="2" t="str">
        <f>IFERROR(__xludf.DUMMYFUNCTION("""COMPUTED_VALUE"""),"For sale")</f>
        <v>For sale</v>
      </c>
      <c r="B1188" s="2" t="str">
        <f>IFERROR(__xludf.DUMMYFUNCTION("""COMPUTED_VALUE"""),"Teika")</f>
        <v>Teika</v>
      </c>
      <c r="C1188" s="2" t="str">
        <f>IFERROR(__xludf.DUMMYFUNCTION("""COMPUTED_VALUE"""),"Burtnieku 36a")</f>
        <v>Burtnieku 36a</v>
      </c>
      <c r="D1188" s="2">
        <f>IFERROR(__xludf.DUMMYFUNCTION("""COMPUTED_VALUE"""),3.0)</f>
        <v>3</v>
      </c>
      <c r="E1188" s="2">
        <f>IFERROR(__xludf.DUMMYFUNCTION("""COMPUTED_VALUE"""),80.0)</f>
        <v>80</v>
      </c>
      <c r="F1188" s="2">
        <f>IFERROR(__xludf.DUMMYFUNCTION("""COMPUTED_VALUE"""),4.0)</f>
        <v>4</v>
      </c>
      <c r="G1188" s="2">
        <f>IFERROR(__xludf.DUMMYFUNCTION("""COMPUTED_VALUE"""),5.0)</f>
        <v>5</v>
      </c>
      <c r="H1188" s="2" t="str">
        <f>IFERROR(__xludf.DUMMYFUNCTION("""COMPUTED_VALUE"""),"Jaun.")</f>
        <v>Jaun.</v>
      </c>
      <c r="I1188" s="2" t="str">
        <f>IFERROR(__xludf.DUMMYFUNCTION("""COMPUTED_VALUE"""),"Panel-Brick")</f>
        <v>Panel-Brick</v>
      </c>
      <c r="J1188" s="2" t="str">
        <f>IFERROR(__xludf.DUMMYFUNCTION("""COMPUTED_VALUE"""),"All amenities")</f>
        <v>All amenities</v>
      </c>
      <c r="K1188" s="2">
        <f>IFERROR(__xludf.DUMMYFUNCTION("""COMPUTED_VALUE"""),119000.0)</f>
        <v>119000</v>
      </c>
      <c r="L1188" s="2">
        <f>IFERROR(__xludf.DUMMYFUNCTION("""COMPUTED_VALUE"""),56.9670442)</f>
        <v>56.9670442</v>
      </c>
      <c r="M1188" s="2">
        <f>IFERROR(__xludf.DUMMYFUNCTION("""COMPUTED_VALUE"""),24.1820249)</f>
        <v>24.1820249</v>
      </c>
    </row>
    <row r="1189">
      <c r="A1189" s="2" t="str">
        <f>IFERROR(__xludf.DUMMYFUNCTION("""COMPUTED_VALUE"""),"For sale")</f>
        <v>For sale</v>
      </c>
      <c r="B1189" s="2" t="str">
        <f>IFERROR(__xludf.DUMMYFUNCTION("""COMPUTED_VALUE"""),"Maskavas priekšpilsēta")</f>
        <v>Maskavas priekšpilsēta</v>
      </c>
      <c r="C1189" s="2" t="str">
        <f>IFERROR(__xludf.DUMMYFUNCTION("""COMPUTED_VALUE"""),"Ludzas 36")</f>
        <v>Ludzas 36</v>
      </c>
      <c r="D1189" s="2">
        <f>IFERROR(__xludf.DUMMYFUNCTION("""COMPUTED_VALUE"""),2.0)</f>
        <v>2</v>
      </c>
      <c r="E1189" s="2">
        <f>IFERROR(__xludf.DUMMYFUNCTION("""COMPUTED_VALUE"""),42.0)</f>
        <v>42</v>
      </c>
      <c r="F1189" s="2">
        <f>IFERROR(__xludf.DUMMYFUNCTION("""COMPUTED_VALUE"""),4.0)</f>
        <v>4</v>
      </c>
      <c r="G1189" s="2">
        <f>IFERROR(__xludf.DUMMYFUNCTION("""COMPUTED_VALUE"""),6.0)</f>
        <v>6</v>
      </c>
      <c r="H1189" s="2" t="str">
        <f>IFERROR(__xludf.DUMMYFUNCTION("""COMPUTED_VALUE"""),"P. kara")</f>
        <v>P. kara</v>
      </c>
      <c r="I1189" s="2" t="str">
        <f>IFERROR(__xludf.DUMMYFUNCTION("""COMPUTED_VALUE"""),"Masonry")</f>
        <v>Masonry</v>
      </c>
      <c r="J1189" s="2" t="str">
        <f>IFERROR(__xludf.DUMMYFUNCTION("""COMPUTED_VALUE"""),"Partial amenities")</f>
        <v>Partial amenities</v>
      </c>
      <c r="K1189" s="2">
        <f>IFERROR(__xludf.DUMMYFUNCTION("""COMPUTED_VALUE"""),27900.0)</f>
        <v>27900</v>
      </c>
      <c r="L1189" s="2">
        <f>IFERROR(__xludf.DUMMYFUNCTION("""COMPUTED_VALUE"""),56.94060665)</f>
        <v>56.94060665</v>
      </c>
      <c r="M1189" s="2">
        <f>IFERROR(__xludf.DUMMYFUNCTION("""COMPUTED_VALUE"""),24.1446356080458)</f>
        <v>24.14463561</v>
      </c>
    </row>
    <row r="1190">
      <c r="A1190" s="2" t="str">
        <f>IFERROR(__xludf.DUMMYFUNCTION("""COMPUTED_VALUE"""),"For rent")</f>
        <v>For rent</v>
      </c>
      <c r="B1190" s="2" t="str">
        <f>IFERROR(__xludf.DUMMYFUNCTION("""COMPUTED_VALUE"""),"centrs")</f>
        <v>centrs</v>
      </c>
      <c r="C1190" s="2" t="str">
        <f>IFERROR(__xludf.DUMMYFUNCTION("""COMPUTED_VALUE"""),"Asara 20")</f>
        <v>Asara 20</v>
      </c>
      <c r="D1190" s="2">
        <f>IFERROR(__xludf.DUMMYFUNCTION("""COMPUTED_VALUE"""),1.0)</f>
        <v>1</v>
      </c>
      <c r="E1190" s="2">
        <f>IFERROR(__xludf.DUMMYFUNCTION("""COMPUTED_VALUE"""),30.0)</f>
        <v>30</v>
      </c>
      <c r="F1190" s="2">
        <f>IFERROR(__xludf.DUMMYFUNCTION("""COMPUTED_VALUE"""),6.0)</f>
        <v>6</v>
      </c>
      <c r="G1190" s="2">
        <f>IFERROR(__xludf.DUMMYFUNCTION("""COMPUTED_VALUE"""),6.0)</f>
        <v>6</v>
      </c>
      <c r="H1190" s="2" t="str">
        <f>IFERROR(__xludf.DUMMYFUNCTION("""COMPUTED_VALUE"""),"P. kara")</f>
        <v>P. kara</v>
      </c>
      <c r="I1190" s="2" t="str">
        <f>IFERROR(__xludf.DUMMYFUNCTION("""COMPUTED_VALUE"""),"Masonry")</f>
        <v>Masonry</v>
      </c>
      <c r="J1190" s="2" t="str">
        <f>IFERROR(__xludf.DUMMYFUNCTION("""COMPUTED_VALUE"""),"All amenities")</f>
        <v>All amenities</v>
      </c>
      <c r="K1190" s="2">
        <f>IFERROR(__xludf.DUMMYFUNCTION("""COMPUTED_VALUE"""),230.0)</f>
        <v>230</v>
      </c>
      <c r="L1190" s="2">
        <f>IFERROR(__xludf.DUMMYFUNCTION("""COMPUTED_VALUE"""),56.95619535)</f>
        <v>56.95619535</v>
      </c>
      <c r="M1190" s="2">
        <f>IFERROR(__xludf.DUMMYFUNCTION("""COMPUTED_VALUE"""),24.1519378142022)</f>
        <v>24.15193781</v>
      </c>
    </row>
    <row r="1191">
      <c r="A1191" s="2" t="str">
        <f>IFERROR(__xludf.DUMMYFUNCTION("""COMPUTED_VALUE"""),"For sale")</f>
        <v>For sale</v>
      </c>
      <c r="B1191" s="2" t="str">
        <f>IFERROR(__xludf.DUMMYFUNCTION("""COMPUTED_VALUE"""),"Āgenskalns")</f>
        <v>Āgenskalns</v>
      </c>
      <c r="C1191" s="2" t="str">
        <f>IFERROR(__xludf.DUMMYFUNCTION("""COMPUTED_VALUE"""),"Liepājas 60")</f>
        <v>Liepājas 60</v>
      </c>
      <c r="D1191" s="2">
        <f>IFERROR(__xludf.DUMMYFUNCTION("""COMPUTED_VALUE"""),2.0)</f>
        <v>2</v>
      </c>
      <c r="E1191" s="2">
        <f>IFERROR(__xludf.DUMMYFUNCTION("""COMPUTED_VALUE"""),47.0)</f>
        <v>47</v>
      </c>
      <c r="F1191" s="2">
        <f>IFERROR(__xludf.DUMMYFUNCTION("""COMPUTED_VALUE"""),2.0)</f>
        <v>2</v>
      </c>
      <c r="G1191" s="2">
        <f>IFERROR(__xludf.DUMMYFUNCTION("""COMPUTED_VALUE"""),2.0)</f>
        <v>2</v>
      </c>
      <c r="H1191" s="2" t="str">
        <f>IFERROR(__xludf.DUMMYFUNCTION("""COMPUTED_VALUE"""),"Renov.")</f>
        <v>Renov.</v>
      </c>
      <c r="I1191" s="2" t="str">
        <f>IFERROR(__xludf.DUMMYFUNCTION("""COMPUTED_VALUE"""),"Wood")</f>
        <v>Wood</v>
      </c>
      <c r="J1191" s="2" t="str">
        <f>IFERROR(__xludf.DUMMYFUNCTION("""COMPUTED_VALUE"""),"All amenities")</f>
        <v>All amenities</v>
      </c>
      <c r="K1191" s="2">
        <f>IFERROR(__xludf.DUMMYFUNCTION("""COMPUTED_VALUE"""),75200.0)</f>
        <v>75200</v>
      </c>
      <c r="L1191" s="2">
        <f>IFERROR(__xludf.DUMMYFUNCTION("""COMPUTED_VALUE"""),56.9292821)</f>
        <v>56.9292821</v>
      </c>
      <c r="M1191" s="2">
        <f>IFERROR(__xludf.DUMMYFUNCTION("""COMPUTED_VALUE"""),24.0641891)</f>
        <v>24.0641891</v>
      </c>
    </row>
    <row r="1192">
      <c r="A1192" s="2" t="str">
        <f>IFERROR(__xludf.DUMMYFUNCTION("""COMPUTED_VALUE"""),"For rent")</f>
        <v>For rent</v>
      </c>
      <c r="B1192" s="2" t="str">
        <f>IFERROR(__xludf.DUMMYFUNCTION("""COMPUTED_VALUE"""),"centrs")</f>
        <v>centrs</v>
      </c>
      <c r="C1192" s="2" t="str">
        <f>IFERROR(__xludf.DUMMYFUNCTION("""COMPUTED_VALUE"""),"Sadovņikova 25")</f>
        <v>Sadovņikova 25</v>
      </c>
      <c r="D1192" s="2">
        <f>IFERROR(__xludf.DUMMYFUNCTION("""COMPUTED_VALUE"""),2.0)</f>
        <v>2</v>
      </c>
      <c r="E1192" s="2">
        <f>IFERROR(__xludf.DUMMYFUNCTION("""COMPUTED_VALUE"""),59.0)</f>
        <v>59</v>
      </c>
      <c r="F1192" s="2">
        <f>IFERROR(__xludf.DUMMYFUNCTION("""COMPUTED_VALUE"""),6.0)</f>
        <v>6</v>
      </c>
      <c r="G1192" s="2">
        <f>IFERROR(__xludf.DUMMYFUNCTION("""COMPUTED_VALUE"""),6.0)</f>
        <v>6</v>
      </c>
      <c r="H1192" s="2" t="str">
        <f>IFERROR(__xludf.DUMMYFUNCTION("""COMPUTED_VALUE"""),"Jaun.")</f>
        <v>Jaun.</v>
      </c>
      <c r="I1192" s="2" t="str">
        <f>IFERROR(__xludf.DUMMYFUNCTION("""COMPUTED_VALUE"""),"Panel-Brick")</f>
        <v>Panel-Brick</v>
      </c>
      <c r="J1192" s="2" t="str">
        <f>IFERROR(__xludf.DUMMYFUNCTION("""COMPUTED_VALUE"""),"All amenities")</f>
        <v>All amenities</v>
      </c>
      <c r="K1192" s="2">
        <f>IFERROR(__xludf.DUMMYFUNCTION("""COMPUTED_VALUE"""),500.0)</f>
        <v>500</v>
      </c>
      <c r="L1192" s="2">
        <f>IFERROR(__xludf.DUMMYFUNCTION("""COMPUTED_VALUE"""),56.9408555)</f>
        <v>56.9408555</v>
      </c>
      <c r="M1192" s="2">
        <f>IFERROR(__xludf.DUMMYFUNCTION("""COMPUTED_VALUE"""),24.1364923)</f>
        <v>24.1364923</v>
      </c>
    </row>
    <row r="1193">
      <c r="A1193" s="2" t="str">
        <f>IFERROR(__xludf.DUMMYFUNCTION("""COMPUTED_VALUE"""),"For sale")</f>
        <v>For sale</v>
      </c>
      <c r="B1193" s="2" t="str">
        <f>IFERROR(__xludf.DUMMYFUNCTION("""COMPUTED_VALUE"""),"Imanta")</f>
        <v>Imanta</v>
      </c>
      <c r="C1193" s="2" t="str">
        <f>IFERROR(__xludf.DUMMYFUNCTION("""COMPUTED_VALUE"""),"Zentenes 18")</f>
        <v>Zentenes 18</v>
      </c>
      <c r="D1193" s="2">
        <f>IFERROR(__xludf.DUMMYFUNCTION("""COMPUTED_VALUE"""),3.0)</f>
        <v>3</v>
      </c>
      <c r="E1193" s="2">
        <f>IFERROR(__xludf.DUMMYFUNCTION("""COMPUTED_VALUE"""),62.0)</f>
        <v>62</v>
      </c>
      <c r="F1193" s="2">
        <f>IFERROR(__xludf.DUMMYFUNCTION("""COMPUTED_VALUE"""),3.0)</f>
        <v>3</v>
      </c>
      <c r="G1193" s="2">
        <f>IFERROR(__xludf.DUMMYFUNCTION("""COMPUTED_VALUE"""),9.0)</f>
        <v>9</v>
      </c>
      <c r="H1193" s="2">
        <f>IFERROR(__xludf.DUMMYFUNCTION("""COMPUTED_VALUE"""),602.0)</f>
        <v>602</v>
      </c>
      <c r="I1193" s="2" t="str">
        <f>IFERROR(__xludf.DUMMYFUNCTION("""COMPUTED_VALUE"""),"Panel")</f>
        <v>Panel</v>
      </c>
      <c r="J1193" s="2" t="str">
        <f>IFERROR(__xludf.DUMMYFUNCTION("""COMPUTED_VALUE"""),"All amenities")</f>
        <v>All amenities</v>
      </c>
      <c r="K1193" s="2">
        <f>IFERROR(__xludf.DUMMYFUNCTION("""COMPUTED_VALUE"""),51000.0)</f>
        <v>51000</v>
      </c>
      <c r="L1193" s="2">
        <f>IFERROR(__xludf.DUMMYFUNCTION("""COMPUTED_VALUE"""),56.9618626)</f>
        <v>56.9618626</v>
      </c>
      <c r="M1193" s="2">
        <f>IFERROR(__xludf.DUMMYFUNCTION("""COMPUTED_VALUE"""),24.0034910214559)</f>
        <v>24.00349102</v>
      </c>
    </row>
    <row r="1194">
      <c r="A1194" s="2" t="str">
        <f>IFERROR(__xludf.DUMMYFUNCTION("""COMPUTED_VALUE"""),"For sale")</f>
        <v>For sale</v>
      </c>
      <c r="B1194" s="2" t="str">
        <f>IFERROR(__xludf.DUMMYFUNCTION("""COMPUTED_VALUE"""),"Purvciems")</f>
        <v>Purvciems</v>
      </c>
      <c r="C1194" s="2" t="str">
        <f>IFERROR(__xludf.DUMMYFUNCTION("""COMPUTED_VALUE"""),"Ieriķu 25")</f>
        <v>Ieriķu 25</v>
      </c>
      <c r="D1194" s="2">
        <f>IFERROR(__xludf.DUMMYFUNCTION("""COMPUTED_VALUE"""),2.0)</f>
        <v>2</v>
      </c>
      <c r="E1194" s="2">
        <f>IFERROR(__xludf.DUMMYFUNCTION("""COMPUTED_VALUE"""),57.0)</f>
        <v>57</v>
      </c>
      <c r="F1194" s="2">
        <f>IFERROR(__xludf.DUMMYFUNCTION("""COMPUTED_VALUE"""),4.0)</f>
        <v>4</v>
      </c>
      <c r="G1194" s="2">
        <f>IFERROR(__xludf.DUMMYFUNCTION("""COMPUTED_VALUE"""),5.0)</f>
        <v>5</v>
      </c>
      <c r="H1194" s="2">
        <f>IFERROR(__xludf.DUMMYFUNCTION("""COMPUTED_VALUE"""),103.0)</f>
        <v>103</v>
      </c>
      <c r="I1194" s="2" t="str">
        <f>IFERROR(__xludf.DUMMYFUNCTION("""COMPUTED_VALUE"""),"Brick-Panel")</f>
        <v>Brick-Panel</v>
      </c>
      <c r="J1194" s="2" t="str">
        <f>IFERROR(__xludf.DUMMYFUNCTION("""COMPUTED_VALUE"""),"All amenities")</f>
        <v>All amenities</v>
      </c>
      <c r="K1194" s="2">
        <f>IFERROR(__xludf.DUMMYFUNCTION("""COMPUTED_VALUE"""),65000.0)</f>
        <v>65000</v>
      </c>
      <c r="L1194" s="2">
        <f>IFERROR(__xludf.DUMMYFUNCTION("""COMPUTED_VALUE"""),56.96621605)</f>
        <v>56.96621605</v>
      </c>
      <c r="M1194" s="2">
        <f>IFERROR(__xludf.DUMMYFUNCTION("""COMPUTED_VALUE"""),24.1751562722907)</f>
        <v>24.17515627</v>
      </c>
    </row>
    <row r="1195">
      <c r="A1195" s="2" t="str">
        <f>IFERROR(__xludf.DUMMYFUNCTION("""COMPUTED_VALUE"""),"For sale")</f>
        <v>For sale</v>
      </c>
      <c r="B1195" s="2" t="str">
        <f>IFERROR(__xludf.DUMMYFUNCTION("""COMPUTED_VALUE"""),"Bolderāja")</f>
        <v>Bolderāja</v>
      </c>
      <c r="C1195" s="2" t="str">
        <f>IFERROR(__xludf.DUMMYFUNCTION("""COMPUTED_VALUE"""),"Velkoņu 2")</f>
        <v>Velkoņu 2</v>
      </c>
      <c r="D1195" s="2">
        <f>IFERROR(__xludf.DUMMYFUNCTION("""COMPUTED_VALUE"""),2.0)</f>
        <v>2</v>
      </c>
      <c r="E1195" s="2">
        <f>IFERROR(__xludf.DUMMYFUNCTION("""COMPUTED_VALUE"""),54.0)</f>
        <v>54</v>
      </c>
      <c r="F1195" s="2">
        <f>IFERROR(__xludf.DUMMYFUNCTION("""COMPUTED_VALUE"""),2.0)</f>
        <v>2</v>
      </c>
      <c r="G1195" s="2">
        <f>IFERROR(__xludf.DUMMYFUNCTION("""COMPUTED_VALUE"""),5.0)</f>
        <v>5</v>
      </c>
      <c r="H1195" s="2">
        <f>IFERROR(__xludf.DUMMYFUNCTION("""COMPUTED_VALUE"""),103.0)</f>
        <v>103</v>
      </c>
      <c r="I1195" s="2" t="str">
        <f>IFERROR(__xludf.DUMMYFUNCTION("""COMPUTED_VALUE"""),"Brick")</f>
        <v>Brick</v>
      </c>
      <c r="J1195" s="2" t="str">
        <f>IFERROR(__xludf.DUMMYFUNCTION("""COMPUTED_VALUE"""),"All amenities")</f>
        <v>All amenities</v>
      </c>
      <c r="K1195" s="2">
        <f>IFERROR(__xludf.DUMMYFUNCTION("""COMPUTED_VALUE"""),45500.0)</f>
        <v>45500</v>
      </c>
      <c r="L1195" s="2">
        <f>IFERROR(__xludf.DUMMYFUNCTION("""COMPUTED_VALUE"""),57.03301815)</f>
        <v>57.03301815</v>
      </c>
      <c r="M1195" s="2">
        <f>IFERROR(__xludf.DUMMYFUNCTION("""COMPUTED_VALUE"""),24.0386262315628)</f>
        <v>24.03862623</v>
      </c>
    </row>
    <row r="1196">
      <c r="A1196" s="2" t="str">
        <f>IFERROR(__xludf.DUMMYFUNCTION("""COMPUTED_VALUE"""),"For rent")</f>
        <v>For rent</v>
      </c>
      <c r="B1196" s="2" t="str">
        <f>IFERROR(__xludf.DUMMYFUNCTION("""COMPUTED_VALUE"""),"centrs")</f>
        <v>centrs</v>
      </c>
      <c r="C1196" s="2" t="str">
        <f>IFERROR(__xludf.DUMMYFUNCTION("""COMPUTED_VALUE"""),"Zaļā 7")</f>
        <v>Zaļā 7</v>
      </c>
      <c r="D1196" s="2">
        <f>IFERROR(__xludf.DUMMYFUNCTION("""COMPUTED_VALUE"""),2.0)</f>
        <v>2</v>
      </c>
      <c r="E1196" s="2">
        <f>IFERROR(__xludf.DUMMYFUNCTION("""COMPUTED_VALUE"""),36.0)</f>
        <v>36</v>
      </c>
      <c r="F1196" s="2">
        <f>IFERROR(__xludf.DUMMYFUNCTION("""COMPUTED_VALUE"""),3.0)</f>
        <v>3</v>
      </c>
      <c r="G1196" s="2">
        <f>IFERROR(__xludf.DUMMYFUNCTION("""COMPUTED_VALUE"""),3.0)</f>
        <v>3</v>
      </c>
      <c r="H1196" s="2" t="str">
        <f>IFERROR(__xludf.DUMMYFUNCTION("""COMPUTED_VALUE"""),"P. kara")</f>
        <v>P. kara</v>
      </c>
      <c r="I1196" s="2" t="str">
        <f>IFERROR(__xludf.DUMMYFUNCTION("""COMPUTED_VALUE"""),"Masonry")</f>
        <v>Masonry</v>
      </c>
      <c r="J1196" s="2" t="str">
        <f>IFERROR(__xludf.DUMMYFUNCTION("""COMPUTED_VALUE"""),"All amenities")</f>
        <v>All amenities</v>
      </c>
      <c r="K1196" s="2">
        <f>IFERROR(__xludf.DUMMYFUNCTION("""COMPUTED_VALUE"""),500.0)</f>
        <v>500</v>
      </c>
      <c r="L1196" s="2">
        <f>IFERROR(__xludf.DUMMYFUNCTION("""COMPUTED_VALUE"""),56.9589017)</f>
        <v>56.9589017</v>
      </c>
      <c r="M1196" s="2">
        <f>IFERROR(__xludf.DUMMYFUNCTION("""COMPUTED_VALUE"""),24.1144608)</f>
        <v>24.1144608</v>
      </c>
    </row>
    <row r="1197">
      <c r="A1197" s="2" t="str">
        <f>IFERROR(__xludf.DUMMYFUNCTION("""COMPUTED_VALUE"""),"For sale")</f>
        <v>For sale</v>
      </c>
      <c r="B1197" s="2" t="str">
        <f>IFERROR(__xludf.DUMMYFUNCTION("""COMPUTED_VALUE"""),"centrs")</f>
        <v>centrs</v>
      </c>
      <c r="C1197" s="2" t="str">
        <f>IFERROR(__xludf.DUMMYFUNCTION("""COMPUTED_VALUE"""),"Vīlandes 16")</f>
        <v>Vīlandes 16</v>
      </c>
      <c r="D1197" s="2">
        <f>IFERROR(__xludf.DUMMYFUNCTION("""COMPUTED_VALUE"""),3.0)</f>
        <v>3</v>
      </c>
      <c r="E1197" s="2">
        <f>IFERROR(__xludf.DUMMYFUNCTION("""COMPUTED_VALUE"""),90.0)</f>
        <v>90</v>
      </c>
      <c r="F1197" s="2">
        <f>IFERROR(__xludf.DUMMYFUNCTION("""COMPUTED_VALUE"""),2.0)</f>
        <v>2</v>
      </c>
      <c r="G1197" s="2">
        <f>IFERROR(__xludf.DUMMYFUNCTION("""COMPUTED_VALUE"""),6.0)</f>
        <v>6</v>
      </c>
      <c r="H1197" s="2" t="str">
        <f>IFERROR(__xludf.DUMMYFUNCTION("""COMPUTED_VALUE"""),"Renov.")</f>
        <v>Renov.</v>
      </c>
      <c r="I1197" s="2" t="str">
        <f>IFERROR(__xludf.DUMMYFUNCTION("""COMPUTED_VALUE"""),"Masonry")</f>
        <v>Masonry</v>
      </c>
      <c r="J1197" s="2" t="str">
        <f>IFERROR(__xludf.DUMMYFUNCTION("""COMPUTED_VALUE"""),"All amenities")</f>
        <v>All amenities</v>
      </c>
      <c r="K1197" s="2">
        <f>IFERROR(__xludf.DUMMYFUNCTION("""COMPUTED_VALUE"""),258000.0)</f>
        <v>258000</v>
      </c>
      <c r="L1197" s="2">
        <f>IFERROR(__xludf.DUMMYFUNCTION("""COMPUTED_VALUE"""),56.9613741)</f>
        <v>56.9613741</v>
      </c>
      <c r="M1197" s="2">
        <f>IFERROR(__xludf.DUMMYFUNCTION("""COMPUTED_VALUE"""),24.1021747)</f>
        <v>24.1021747</v>
      </c>
    </row>
    <row r="1198">
      <c r="A1198" s="2" t="str">
        <f>IFERROR(__xludf.DUMMYFUNCTION("""COMPUTED_VALUE"""),"For rent")</f>
        <v>For rent</v>
      </c>
      <c r="B1198" s="2" t="str">
        <f>IFERROR(__xludf.DUMMYFUNCTION("""COMPUTED_VALUE"""),"Klīversala")</f>
        <v>Klīversala</v>
      </c>
      <c r="C1198" s="2" t="str">
        <f>IFERROR(__xludf.DUMMYFUNCTION("""COMPUTED_VALUE"""),"Raņķa d. 7")</f>
        <v>Raņķa d. 7</v>
      </c>
      <c r="D1198" s="2">
        <f>IFERROR(__xludf.DUMMYFUNCTION("""COMPUTED_VALUE"""),2.0)</f>
        <v>2</v>
      </c>
      <c r="E1198" s="2">
        <f>IFERROR(__xludf.DUMMYFUNCTION("""COMPUTED_VALUE"""),42.0)</f>
        <v>42</v>
      </c>
      <c r="F1198" s="2">
        <f>IFERROR(__xludf.DUMMYFUNCTION("""COMPUTED_VALUE"""),1.0)</f>
        <v>1</v>
      </c>
      <c r="G1198" s="2">
        <f>IFERROR(__xludf.DUMMYFUNCTION("""COMPUTED_VALUE"""),5.0)</f>
        <v>5</v>
      </c>
      <c r="H1198" s="2" t="str">
        <f>IFERROR(__xludf.DUMMYFUNCTION("""COMPUTED_VALUE"""),"Hrušč.")</f>
        <v>Hrušč.</v>
      </c>
      <c r="I1198" s="2" t="str">
        <f>IFERROR(__xludf.DUMMYFUNCTION("""COMPUTED_VALUE"""),"Brick")</f>
        <v>Brick</v>
      </c>
      <c r="J1198" s="2" t="str">
        <f>IFERROR(__xludf.DUMMYFUNCTION("""COMPUTED_VALUE"""),"All amenities")</f>
        <v>All amenities</v>
      </c>
      <c r="K1198" s="2">
        <f>IFERROR(__xludf.DUMMYFUNCTION("""COMPUTED_VALUE"""),300.0)</f>
        <v>300</v>
      </c>
      <c r="L1198" s="2">
        <f>IFERROR(__xludf.DUMMYFUNCTION("""COMPUTED_VALUE"""),56.949229)</f>
        <v>56.949229</v>
      </c>
      <c r="M1198" s="2">
        <f>IFERROR(__xludf.DUMMYFUNCTION("""COMPUTED_VALUE"""),24.0779393)</f>
        <v>24.0779393</v>
      </c>
    </row>
    <row r="1199">
      <c r="A1199" s="2" t="str">
        <f>IFERROR(__xludf.DUMMYFUNCTION("""COMPUTED_VALUE"""),"For rent")</f>
        <v>For rent</v>
      </c>
      <c r="B1199" s="2" t="str">
        <f>IFERROR(__xludf.DUMMYFUNCTION("""COMPUTED_VALUE"""),"centrs")</f>
        <v>centrs</v>
      </c>
      <c r="C1199" s="2" t="str">
        <f>IFERROR(__xludf.DUMMYFUNCTION("""COMPUTED_VALUE"""),"Teātra 4")</f>
        <v>Teātra 4</v>
      </c>
      <c r="D1199" s="2">
        <f>IFERROR(__xludf.DUMMYFUNCTION("""COMPUTED_VALUE"""),2.0)</f>
        <v>2</v>
      </c>
      <c r="E1199" s="2">
        <f>IFERROR(__xludf.DUMMYFUNCTION("""COMPUTED_VALUE"""),64.0)</f>
        <v>64</v>
      </c>
      <c r="F1199" s="2">
        <f>IFERROR(__xludf.DUMMYFUNCTION("""COMPUTED_VALUE"""),4.0)</f>
        <v>4</v>
      </c>
      <c r="G1199" s="2">
        <f>IFERROR(__xludf.DUMMYFUNCTION("""COMPUTED_VALUE"""),5.0)</f>
        <v>5</v>
      </c>
      <c r="H1199" s="2" t="str">
        <f>IFERROR(__xludf.DUMMYFUNCTION("""COMPUTED_VALUE"""),"Jaun.")</f>
        <v>Jaun.</v>
      </c>
      <c r="I1199" s="2" t="str">
        <f>IFERROR(__xludf.DUMMYFUNCTION("""COMPUTED_VALUE"""),"Brick-Panel")</f>
        <v>Brick-Panel</v>
      </c>
      <c r="J1199" s="2" t="str">
        <f>IFERROR(__xludf.DUMMYFUNCTION("""COMPUTED_VALUE"""),"All amenities")</f>
        <v>All amenities</v>
      </c>
      <c r="K1199" s="2">
        <f>IFERROR(__xludf.DUMMYFUNCTION("""COMPUTED_VALUE"""),850.0)</f>
        <v>850</v>
      </c>
      <c r="L1199" s="2">
        <f>IFERROR(__xludf.DUMMYFUNCTION("""COMPUTED_VALUE"""),56.9482564)</f>
        <v>56.9482564</v>
      </c>
      <c r="M1199" s="2">
        <f>IFERROR(__xludf.DUMMYFUNCTION("""COMPUTED_VALUE"""),24.1116425305179)</f>
        <v>24.11164253</v>
      </c>
    </row>
    <row r="1200">
      <c r="A1200" s="2" t="str">
        <f>IFERROR(__xludf.DUMMYFUNCTION("""COMPUTED_VALUE"""),"For sale")</f>
        <v>For sale</v>
      </c>
      <c r="B1200" s="2" t="str">
        <f>IFERROR(__xludf.DUMMYFUNCTION("""COMPUTED_VALUE"""),"centrs")</f>
        <v>centrs</v>
      </c>
      <c r="C1200" s="2" t="str">
        <f>IFERROR(__xludf.DUMMYFUNCTION("""COMPUTED_VALUE"""),"Barona 25")</f>
        <v>Barona 25</v>
      </c>
      <c r="D1200" s="2">
        <f>IFERROR(__xludf.DUMMYFUNCTION("""COMPUTED_VALUE"""),4.0)</f>
        <v>4</v>
      </c>
      <c r="E1200" s="2">
        <f>IFERROR(__xludf.DUMMYFUNCTION("""COMPUTED_VALUE"""),99.0)</f>
        <v>99</v>
      </c>
      <c r="F1200" s="2">
        <f>IFERROR(__xludf.DUMMYFUNCTION("""COMPUTED_VALUE"""),6.0)</f>
        <v>6</v>
      </c>
      <c r="G1200" s="2">
        <f>IFERROR(__xludf.DUMMYFUNCTION("""COMPUTED_VALUE"""),6.0)</f>
        <v>6</v>
      </c>
      <c r="H1200" s="2" t="str">
        <f>IFERROR(__xludf.DUMMYFUNCTION("""COMPUTED_VALUE"""),"P. kara")</f>
        <v>P. kara</v>
      </c>
      <c r="I1200" s="2" t="str">
        <f>IFERROR(__xludf.DUMMYFUNCTION("""COMPUTED_VALUE"""),"Masonry")</f>
        <v>Masonry</v>
      </c>
      <c r="J1200" s="2" t="str">
        <f>IFERROR(__xludf.DUMMYFUNCTION("""COMPUTED_VALUE"""),"All amenities")</f>
        <v>All amenities</v>
      </c>
      <c r="K1200" s="2">
        <f>IFERROR(__xludf.DUMMYFUNCTION("""COMPUTED_VALUE"""),95000.0)</f>
        <v>95000</v>
      </c>
      <c r="L1200" s="2">
        <f>IFERROR(__xludf.DUMMYFUNCTION("""COMPUTED_VALUE"""),56.9527504)</f>
        <v>56.9527504</v>
      </c>
      <c r="M1200" s="2">
        <f>IFERROR(__xludf.DUMMYFUNCTION("""COMPUTED_VALUE"""),24.124026)</f>
        <v>24.124026</v>
      </c>
    </row>
    <row r="1201">
      <c r="A1201" s="2" t="str">
        <f>IFERROR(__xludf.DUMMYFUNCTION("""COMPUTED_VALUE"""),"For rent")</f>
        <v>For rent</v>
      </c>
      <c r="B1201" s="2" t="str">
        <f>IFERROR(__xludf.DUMMYFUNCTION("""COMPUTED_VALUE"""),"centrs")</f>
        <v>centrs</v>
      </c>
      <c r="C1201" s="2" t="str">
        <f>IFERROR(__xludf.DUMMYFUNCTION("""COMPUTED_VALUE"""),"Matīsa 85")</f>
        <v>Matīsa 85</v>
      </c>
      <c r="D1201" s="2">
        <f>IFERROR(__xludf.DUMMYFUNCTION("""COMPUTED_VALUE"""),2.0)</f>
        <v>2</v>
      </c>
      <c r="E1201" s="2">
        <f>IFERROR(__xludf.DUMMYFUNCTION("""COMPUTED_VALUE"""),46.0)</f>
        <v>46</v>
      </c>
      <c r="F1201" s="2">
        <f>IFERROR(__xludf.DUMMYFUNCTION("""COMPUTED_VALUE"""),4.0)</f>
        <v>4</v>
      </c>
      <c r="G1201" s="2">
        <f>IFERROR(__xludf.DUMMYFUNCTION("""COMPUTED_VALUE"""),5.0)</f>
        <v>5</v>
      </c>
      <c r="H1201" s="2" t="str">
        <f>IFERROR(__xludf.DUMMYFUNCTION("""COMPUTED_VALUE"""),"P. kara")</f>
        <v>P. kara</v>
      </c>
      <c r="I1201" s="2" t="str">
        <f>IFERROR(__xludf.DUMMYFUNCTION("""COMPUTED_VALUE"""),"Masonry")</f>
        <v>Masonry</v>
      </c>
      <c r="J1201" s="2" t="str">
        <f>IFERROR(__xludf.DUMMYFUNCTION("""COMPUTED_VALUE"""),"All amenities")</f>
        <v>All amenities</v>
      </c>
      <c r="K1201" s="2">
        <f>IFERROR(__xludf.DUMMYFUNCTION("""COMPUTED_VALUE"""),490.0)</f>
        <v>490</v>
      </c>
      <c r="L1201" s="2">
        <f>IFERROR(__xludf.DUMMYFUNCTION("""COMPUTED_VALUE"""),56.9526541)</f>
        <v>56.9526541</v>
      </c>
      <c r="M1201" s="2">
        <f>IFERROR(__xludf.DUMMYFUNCTION("""COMPUTED_VALUE"""),24.1433157)</f>
        <v>24.1433157</v>
      </c>
    </row>
    <row r="1202">
      <c r="A1202" s="2" t="str">
        <f>IFERROR(__xludf.DUMMYFUNCTION("""COMPUTED_VALUE"""),"For rent")</f>
        <v>For rent</v>
      </c>
      <c r="B1202" s="2" t="str">
        <f>IFERROR(__xludf.DUMMYFUNCTION("""COMPUTED_VALUE"""),"Bolderāja")</f>
        <v>Bolderāja</v>
      </c>
      <c r="C1202" s="2" t="str">
        <f>IFERROR(__xludf.DUMMYFUNCTION("""COMPUTED_VALUE"""),"Gaigalas 23a")</f>
        <v>Gaigalas 23a</v>
      </c>
      <c r="D1202" s="2">
        <f>IFERROR(__xludf.DUMMYFUNCTION("""COMPUTED_VALUE"""),3.0)</f>
        <v>3</v>
      </c>
      <c r="E1202" s="2">
        <f>IFERROR(__xludf.DUMMYFUNCTION("""COMPUTED_VALUE"""),65.0)</f>
        <v>65</v>
      </c>
      <c r="F1202" s="2">
        <f>IFERROR(__xludf.DUMMYFUNCTION("""COMPUTED_VALUE"""),2.0)</f>
        <v>2</v>
      </c>
      <c r="G1202" s="2">
        <f>IFERROR(__xludf.DUMMYFUNCTION("""COMPUTED_VALUE"""),5.0)</f>
        <v>5</v>
      </c>
      <c r="H1202" s="2" t="str">
        <f>IFERROR(__xludf.DUMMYFUNCTION("""COMPUTED_VALUE"""),"LT proj.")</f>
        <v>LT proj.</v>
      </c>
      <c r="I1202" s="2" t="str">
        <f>IFERROR(__xludf.DUMMYFUNCTION("""COMPUTED_VALUE"""),"Brick-Panel")</f>
        <v>Brick-Panel</v>
      </c>
      <c r="J1202" s="2" t="str">
        <f>IFERROR(__xludf.DUMMYFUNCTION("""COMPUTED_VALUE"""),"All amenities")</f>
        <v>All amenities</v>
      </c>
      <c r="K1202" s="2">
        <f>IFERROR(__xludf.DUMMYFUNCTION("""COMPUTED_VALUE"""),330.0)</f>
        <v>330</v>
      </c>
      <c r="L1202" s="2">
        <f>IFERROR(__xludf.DUMMYFUNCTION("""COMPUTED_VALUE"""),57.0280588499999)</f>
        <v>57.02805885</v>
      </c>
      <c r="M1202" s="2">
        <f>IFERROR(__xludf.DUMMYFUNCTION("""COMPUTED_VALUE"""),24.0499994138029)</f>
        <v>24.04999941</v>
      </c>
    </row>
    <row r="1203">
      <c r="A1203" s="2" t="str">
        <f>IFERROR(__xludf.DUMMYFUNCTION("""COMPUTED_VALUE"""),"For rent")</f>
        <v>For rent</v>
      </c>
      <c r="B1203" s="2" t="str">
        <f>IFERROR(__xludf.DUMMYFUNCTION("""COMPUTED_VALUE"""),"Maskavas priekšpilsēta")</f>
        <v>Maskavas priekšpilsēta</v>
      </c>
      <c r="C1203" s="2" t="str">
        <f>IFERROR(__xludf.DUMMYFUNCTION("""COMPUTED_VALUE"""),"Maskavas 146")</f>
        <v>Maskavas 146</v>
      </c>
      <c r="D1203" s="2">
        <f>IFERROR(__xludf.DUMMYFUNCTION("""COMPUTED_VALUE"""),1.0)</f>
        <v>1</v>
      </c>
      <c r="E1203" s="2">
        <f>IFERROR(__xludf.DUMMYFUNCTION("""COMPUTED_VALUE"""),27.0)</f>
        <v>27</v>
      </c>
      <c r="F1203" s="2">
        <f>IFERROR(__xludf.DUMMYFUNCTION("""COMPUTED_VALUE"""),4.0)</f>
        <v>4</v>
      </c>
      <c r="G1203" s="2">
        <f>IFERROR(__xludf.DUMMYFUNCTION("""COMPUTED_VALUE"""),4.0)</f>
        <v>4</v>
      </c>
      <c r="H1203" s="2" t="str">
        <f>IFERROR(__xludf.DUMMYFUNCTION("""COMPUTED_VALUE"""),"Renov.")</f>
        <v>Renov.</v>
      </c>
      <c r="I1203" s="2" t="str">
        <f>IFERROR(__xludf.DUMMYFUNCTION("""COMPUTED_VALUE"""),"Brick-Panel")</f>
        <v>Brick-Panel</v>
      </c>
      <c r="J1203" s="2" t="str">
        <f>IFERROR(__xludf.DUMMYFUNCTION("""COMPUTED_VALUE"""),"All amenities")</f>
        <v>All amenities</v>
      </c>
      <c r="K1203" s="2">
        <f>IFERROR(__xludf.DUMMYFUNCTION("""COMPUTED_VALUE"""),280.0)</f>
        <v>280</v>
      </c>
      <c r="L1203" s="2">
        <f>IFERROR(__xludf.DUMMYFUNCTION("""COMPUTED_VALUE"""),56.8597884)</f>
        <v>56.8597884</v>
      </c>
      <c r="M1203" s="2">
        <f>IFERROR(__xludf.DUMMYFUNCTION("""COMPUTED_VALUE"""),24.3083417)</f>
        <v>24.3083417</v>
      </c>
    </row>
    <row r="1204">
      <c r="A1204" s="2" t="str">
        <f>IFERROR(__xludf.DUMMYFUNCTION("""COMPUTED_VALUE"""),"For rent")</f>
        <v>For rent</v>
      </c>
      <c r="B1204" s="2" t="str">
        <f>IFERROR(__xludf.DUMMYFUNCTION("""COMPUTED_VALUE"""),"centrs")</f>
        <v>centrs</v>
      </c>
      <c r="C1204" s="2" t="str">
        <f>IFERROR(__xludf.DUMMYFUNCTION("""COMPUTED_VALUE"""),"Čaka 132")</f>
        <v>Čaka 132</v>
      </c>
      <c r="D1204" s="2">
        <f>IFERROR(__xludf.DUMMYFUNCTION("""COMPUTED_VALUE"""),1.0)</f>
        <v>1</v>
      </c>
      <c r="E1204" s="2">
        <f>IFERROR(__xludf.DUMMYFUNCTION("""COMPUTED_VALUE"""),36.0)</f>
        <v>36</v>
      </c>
      <c r="F1204" s="2">
        <f>IFERROR(__xludf.DUMMYFUNCTION("""COMPUTED_VALUE"""),1.0)</f>
        <v>1</v>
      </c>
      <c r="G1204" s="2">
        <f>IFERROR(__xludf.DUMMYFUNCTION("""COMPUTED_VALUE"""),9.0)</f>
        <v>9</v>
      </c>
      <c r="H1204" s="2" t="str">
        <f>IFERROR(__xludf.DUMMYFUNCTION("""COMPUTED_VALUE"""),"P. kara")</f>
        <v>P. kara</v>
      </c>
      <c r="I1204" s="2" t="str">
        <f>IFERROR(__xludf.DUMMYFUNCTION("""COMPUTED_VALUE"""),"Masonry")</f>
        <v>Masonry</v>
      </c>
      <c r="J1204" s="2" t="str">
        <f>IFERROR(__xludf.DUMMYFUNCTION("""COMPUTED_VALUE"""),"All amenities")</f>
        <v>All amenities</v>
      </c>
      <c r="K1204" s="2">
        <f>IFERROR(__xludf.DUMMYFUNCTION("""COMPUTED_VALUE"""),350.0)</f>
        <v>350</v>
      </c>
      <c r="L1204" s="2">
        <f>IFERROR(__xludf.DUMMYFUNCTION("""COMPUTED_VALUE"""),56.9615696)</f>
        <v>56.9615696</v>
      </c>
      <c r="M1204" s="2">
        <f>IFERROR(__xludf.DUMMYFUNCTION("""COMPUTED_VALUE"""),24.1466121)</f>
        <v>24.1466121</v>
      </c>
    </row>
    <row r="1205">
      <c r="A1205" s="2" t="str">
        <f>IFERROR(__xludf.DUMMYFUNCTION("""COMPUTED_VALUE"""),"For rent")</f>
        <v>For rent</v>
      </c>
      <c r="B1205" s="2" t="str">
        <f>IFERROR(__xludf.DUMMYFUNCTION("""COMPUTED_VALUE"""),"Maskavas priekšpilsēta")</f>
        <v>Maskavas priekšpilsēta</v>
      </c>
      <c r="C1205" s="2" t="str">
        <f>IFERROR(__xludf.DUMMYFUNCTION("""COMPUTED_VALUE"""),"Maskavas 146")</f>
        <v>Maskavas 146</v>
      </c>
      <c r="D1205" s="2">
        <f>IFERROR(__xludf.DUMMYFUNCTION("""COMPUTED_VALUE"""),1.0)</f>
        <v>1</v>
      </c>
      <c r="E1205" s="2">
        <f>IFERROR(__xludf.DUMMYFUNCTION("""COMPUTED_VALUE"""),22.0)</f>
        <v>22</v>
      </c>
      <c r="F1205" s="2">
        <f>IFERROR(__xludf.DUMMYFUNCTION("""COMPUTED_VALUE"""),2.0)</f>
        <v>2</v>
      </c>
      <c r="G1205" s="2">
        <f>IFERROR(__xludf.DUMMYFUNCTION("""COMPUTED_VALUE"""),4.0)</f>
        <v>4</v>
      </c>
      <c r="H1205" s="2" t="str">
        <f>IFERROR(__xludf.DUMMYFUNCTION("""COMPUTED_VALUE"""),"Renov.")</f>
        <v>Renov.</v>
      </c>
      <c r="I1205" s="2" t="str">
        <f>IFERROR(__xludf.DUMMYFUNCTION("""COMPUTED_VALUE"""),"Brick-Panel")</f>
        <v>Brick-Panel</v>
      </c>
      <c r="J1205" s="2" t="str">
        <f>IFERROR(__xludf.DUMMYFUNCTION("""COMPUTED_VALUE"""),"All amenities")</f>
        <v>All amenities</v>
      </c>
      <c r="K1205" s="2">
        <f>IFERROR(__xludf.DUMMYFUNCTION("""COMPUTED_VALUE"""),250.0)</f>
        <v>250</v>
      </c>
      <c r="L1205" s="2">
        <f>IFERROR(__xludf.DUMMYFUNCTION("""COMPUTED_VALUE"""),56.8597884)</f>
        <v>56.8597884</v>
      </c>
      <c r="M1205" s="2">
        <f>IFERROR(__xludf.DUMMYFUNCTION("""COMPUTED_VALUE"""),24.3083417)</f>
        <v>24.3083417</v>
      </c>
    </row>
    <row r="1206">
      <c r="A1206" s="2" t="str">
        <f>IFERROR(__xludf.DUMMYFUNCTION("""COMPUTED_VALUE"""),"For sale")</f>
        <v>For sale</v>
      </c>
      <c r="B1206" s="2" t="str">
        <f>IFERROR(__xludf.DUMMYFUNCTION("""COMPUTED_VALUE"""),"centrs")</f>
        <v>centrs</v>
      </c>
      <c r="C1206" s="2" t="str">
        <f>IFERROR(__xludf.DUMMYFUNCTION("""COMPUTED_VALUE"""),"Stabu 6")</f>
        <v>Stabu 6</v>
      </c>
      <c r="D1206" s="2">
        <f>IFERROR(__xludf.DUMMYFUNCTION("""COMPUTED_VALUE"""),3.0)</f>
        <v>3</v>
      </c>
      <c r="E1206" s="2">
        <f>IFERROR(__xludf.DUMMYFUNCTION("""COMPUTED_VALUE"""),70.0)</f>
        <v>70</v>
      </c>
      <c r="F1206" s="2">
        <f>IFERROR(__xludf.DUMMYFUNCTION("""COMPUTED_VALUE"""),5.0)</f>
        <v>5</v>
      </c>
      <c r="G1206" s="2">
        <f>IFERROR(__xludf.DUMMYFUNCTION("""COMPUTED_VALUE"""),6.0)</f>
        <v>6</v>
      </c>
      <c r="H1206" s="2" t="str">
        <f>IFERROR(__xludf.DUMMYFUNCTION("""COMPUTED_VALUE"""),"P. kara")</f>
        <v>P. kara</v>
      </c>
      <c r="I1206" s="2" t="str">
        <f>IFERROR(__xludf.DUMMYFUNCTION("""COMPUTED_VALUE"""),"Brick")</f>
        <v>Brick</v>
      </c>
      <c r="J1206" s="2" t="str">
        <f>IFERROR(__xludf.DUMMYFUNCTION("""COMPUTED_VALUE"""),"All amenities")</f>
        <v>All amenities</v>
      </c>
      <c r="K1206" s="2">
        <f>IFERROR(__xludf.DUMMYFUNCTION("""COMPUTED_VALUE"""),138000.0)</f>
        <v>138000</v>
      </c>
      <c r="L1206" s="2">
        <f>IFERROR(__xludf.DUMMYFUNCTION("""COMPUTED_VALUE"""),56.9591749)</f>
        <v>56.9591749</v>
      </c>
      <c r="M1206" s="2">
        <f>IFERROR(__xludf.DUMMYFUNCTION("""COMPUTED_VALUE"""),24.1222544)</f>
        <v>24.1222544</v>
      </c>
    </row>
    <row r="1207">
      <c r="A1207" s="2" t="str">
        <f>IFERROR(__xludf.DUMMYFUNCTION("""COMPUTED_VALUE"""),"For sale")</f>
        <v>For sale</v>
      </c>
      <c r="B1207" s="2" t="str">
        <f>IFERROR(__xludf.DUMMYFUNCTION("""COMPUTED_VALUE"""),"Čiekurkalns")</f>
        <v>Čiekurkalns</v>
      </c>
      <c r="C1207" s="2" t="str">
        <f>IFERROR(__xludf.DUMMYFUNCTION("""COMPUTED_VALUE"""),"Rusova 7")</f>
        <v>Rusova 7</v>
      </c>
      <c r="D1207" s="2">
        <f>IFERROR(__xludf.DUMMYFUNCTION("""COMPUTED_VALUE"""),2.0)</f>
        <v>2</v>
      </c>
      <c r="E1207" s="2">
        <f>IFERROR(__xludf.DUMMYFUNCTION("""COMPUTED_VALUE"""),37.0)</f>
        <v>37</v>
      </c>
      <c r="F1207" s="2">
        <f>IFERROR(__xludf.DUMMYFUNCTION("""COMPUTED_VALUE"""),2.0)</f>
        <v>2</v>
      </c>
      <c r="G1207" s="2">
        <f>IFERROR(__xludf.DUMMYFUNCTION("""COMPUTED_VALUE"""),5.0)</f>
        <v>5</v>
      </c>
      <c r="H1207" s="2" t="str">
        <f>IFERROR(__xludf.DUMMYFUNCTION("""COMPUTED_VALUE"""),"Jaun.")</f>
        <v>Jaun.</v>
      </c>
      <c r="I1207" s="2" t="str">
        <f>IFERROR(__xludf.DUMMYFUNCTION("""COMPUTED_VALUE"""),"Masonry")</f>
        <v>Masonry</v>
      </c>
      <c r="J1207" s="2" t="str">
        <f>IFERROR(__xludf.DUMMYFUNCTION("""COMPUTED_VALUE"""),"All amenities")</f>
        <v>All amenities</v>
      </c>
      <c r="K1207" s="2">
        <f>IFERROR(__xludf.DUMMYFUNCTION("""COMPUTED_VALUE"""),71000.0)</f>
        <v>71000</v>
      </c>
      <c r="L1207" s="2">
        <f>IFERROR(__xludf.DUMMYFUNCTION("""COMPUTED_VALUE"""),56.9888255)</f>
        <v>56.9888255</v>
      </c>
      <c r="M1207" s="2">
        <f>IFERROR(__xludf.DUMMYFUNCTION("""COMPUTED_VALUE"""),24.1691659584023)</f>
        <v>24.16916596</v>
      </c>
    </row>
    <row r="1208">
      <c r="A1208" s="2" t="str">
        <f>IFERROR(__xludf.DUMMYFUNCTION("""COMPUTED_VALUE"""),"For sale")</f>
        <v>For sale</v>
      </c>
      <c r="B1208" s="2" t="str">
        <f>IFERROR(__xludf.DUMMYFUNCTION("""COMPUTED_VALUE"""),"Čiekurkalns")</f>
        <v>Čiekurkalns</v>
      </c>
      <c r="C1208" s="2" t="str">
        <f>IFERROR(__xludf.DUMMYFUNCTION("""COMPUTED_VALUE"""),"Rusova 7")</f>
        <v>Rusova 7</v>
      </c>
      <c r="D1208" s="2">
        <f>IFERROR(__xludf.DUMMYFUNCTION("""COMPUTED_VALUE"""),2.0)</f>
        <v>2</v>
      </c>
      <c r="E1208" s="2">
        <f>IFERROR(__xludf.DUMMYFUNCTION("""COMPUTED_VALUE"""),38.0)</f>
        <v>38</v>
      </c>
      <c r="F1208" s="2">
        <f>IFERROR(__xludf.DUMMYFUNCTION("""COMPUTED_VALUE"""),1.0)</f>
        <v>1</v>
      </c>
      <c r="G1208" s="2">
        <f>IFERROR(__xludf.DUMMYFUNCTION("""COMPUTED_VALUE"""),5.0)</f>
        <v>5</v>
      </c>
      <c r="H1208" s="2" t="str">
        <f>IFERROR(__xludf.DUMMYFUNCTION("""COMPUTED_VALUE"""),"Jaun.")</f>
        <v>Jaun.</v>
      </c>
      <c r="I1208" s="2" t="str">
        <f>IFERROR(__xludf.DUMMYFUNCTION("""COMPUTED_VALUE"""),"Masonry")</f>
        <v>Masonry</v>
      </c>
      <c r="J1208" s="2" t="str">
        <f>IFERROR(__xludf.DUMMYFUNCTION("""COMPUTED_VALUE"""),"All amenities")</f>
        <v>All amenities</v>
      </c>
      <c r="K1208" s="2">
        <f>IFERROR(__xludf.DUMMYFUNCTION("""COMPUTED_VALUE"""),76000.0)</f>
        <v>76000</v>
      </c>
      <c r="L1208" s="2">
        <f>IFERROR(__xludf.DUMMYFUNCTION("""COMPUTED_VALUE"""),56.9888255)</f>
        <v>56.9888255</v>
      </c>
      <c r="M1208" s="2">
        <f>IFERROR(__xludf.DUMMYFUNCTION("""COMPUTED_VALUE"""),24.1691659584023)</f>
        <v>24.16916596</v>
      </c>
    </row>
    <row r="1209">
      <c r="A1209" s="2" t="str">
        <f>IFERROR(__xludf.DUMMYFUNCTION("""COMPUTED_VALUE"""),"For sale")</f>
        <v>For sale</v>
      </c>
      <c r="B1209" s="2" t="str">
        <f>IFERROR(__xludf.DUMMYFUNCTION("""COMPUTED_VALUE"""),"Pļavnieki")</f>
        <v>Pļavnieki</v>
      </c>
      <c r="C1209" s="2" t="str">
        <f>IFERROR(__xludf.DUMMYFUNCTION("""COMPUTED_VALUE"""),"Jasmuižas 1")</f>
        <v>Jasmuižas 1</v>
      </c>
      <c r="D1209" s="2">
        <f>IFERROR(__xludf.DUMMYFUNCTION("""COMPUTED_VALUE"""),3.0)</f>
        <v>3</v>
      </c>
      <c r="E1209" s="2">
        <f>IFERROR(__xludf.DUMMYFUNCTION("""COMPUTED_VALUE"""),102.0)</f>
        <v>102</v>
      </c>
      <c r="F1209" s="2">
        <f>IFERROR(__xludf.DUMMYFUNCTION("""COMPUTED_VALUE"""),6.0)</f>
        <v>6</v>
      </c>
      <c r="G1209" s="2">
        <f>IFERROR(__xludf.DUMMYFUNCTION("""COMPUTED_VALUE"""),12.0)</f>
        <v>12</v>
      </c>
      <c r="H1209" s="2" t="str">
        <f>IFERROR(__xludf.DUMMYFUNCTION("""COMPUTED_VALUE"""),"Specpr.")</f>
        <v>Specpr.</v>
      </c>
      <c r="I1209" s="2" t="str">
        <f>IFERROR(__xludf.DUMMYFUNCTION("""COMPUTED_VALUE"""),"Brick")</f>
        <v>Brick</v>
      </c>
      <c r="J1209" s="2" t="str">
        <f>IFERROR(__xludf.DUMMYFUNCTION("""COMPUTED_VALUE"""),"All amenities")</f>
        <v>All amenities</v>
      </c>
      <c r="K1209" s="2">
        <f>IFERROR(__xludf.DUMMYFUNCTION("""COMPUTED_VALUE"""),160000.0)</f>
        <v>160000</v>
      </c>
      <c r="L1209" s="2">
        <f>IFERROR(__xludf.DUMMYFUNCTION("""COMPUTED_VALUE"""),56.9375255)</f>
        <v>56.9375255</v>
      </c>
      <c r="M1209" s="2">
        <f>IFERROR(__xludf.DUMMYFUNCTION("""COMPUTED_VALUE"""),24.2061416)</f>
        <v>24.2061416</v>
      </c>
    </row>
    <row r="1210">
      <c r="A1210" s="2" t="str">
        <f>IFERROR(__xludf.DUMMYFUNCTION("""COMPUTED_VALUE"""),"For rent")</f>
        <v>For rent</v>
      </c>
      <c r="B1210" s="2" t="str">
        <f>IFERROR(__xludf.DUMMYFUNCTION("""COMPUTED_VALUE"""),"centrs")</f>
        <v>centrs</v>
      </c>
      <c r="C1210" s="2" t="str">
        <f>IFERROR(__xludf.DUMMYFUNCTION("""COMPUTED_VALUE"""),"Jeruzalemes 10")</f>
        <v>Jeruzalemes 10</v>
      </c>
      <c r="D1210" s="2">
        <f>IFERROR(__xludf.DUMMYFUNCTION("""COMPUTED_VALUE"""),3.0)</f>
        <v>3</v>
      </c>
      <c r="E1210" s="2">
        <f>IFERROR(__xludf.DUMMYFUNCTION("""COMPUTED_VALUE"""),130.0)</f>
        <v>130</v>
      </c>
      <c r="F1210" s="2">
        <f>IFERROR(__xludf.DUMMYFUNCTION("""COMPUTED_VALUE"""),6.0)</f>
        <v>6</v>
      </c>
      <c r="G1210" s="2">
        <f>IFERROR(__xludf.DUMMYFUNCTION("""COMPUTED_VALUE"""),7.0)</f>
        <v>7</v>
      </c>
      <c r="H1210" s="2" t="str">
        <f>IFERROR(__xludf.DUMMYFUNCTION("""COMPUTED_VALUE"""),"Jaun.")</f>
        <v>Jaun.</v>
      </c>
      <c r="I1210" s="2" t="str">
        <f>IFERROR(__xludf.DUMMYFUNCTION("""COMPUTED_VALUE"""),"Masonry")</f>
        <v>Masonry</v>
      </c>
      <c r="J1210" s="2" t="str">
        <f>IFERROR(__xludf.DUMMYFUNCTION("""COMPUTED_VALUE"""),"All amenities")</f>
        <v>All amenities</v>
      </c>
      <c r="K1210" s="2">
        <f>IFERROR(__xludf.DUMMYFUNCTION("""COMPUTED_VALUE"""),1300.0)</f>
        <v>1300</v>
      </c>
      <c r="L1210" s="2">
        <f>IFERROR(__xludf.DUMMYFUNCTION("""COMPUTED_VALUE"""),56.9578148)</f>
        <v>56.9578148</v>
      </c>
      <c r="M1210" s="2">
        <f>IFERROR(__xludf.DUMMYFUNCTION("""COMPUTED_VALUE"""),24.1142082)</f>
        <v>24.1142082</v>
      </c>
    </row>
    <row r="1211">
      <c r="A1211" s="2" t="str">
        <f>IFERROR(__xludf.DUMMYFUNCTION("""COMPUTED_VALUE"""),"For rent")</f>
        <v>For rent</v>
      </c>
      <c r="B1211" s="2" t="str">
        <f>IFERROR(__xludf.DUMMYFUNCTION("""COMPUTED_VALUE"""),"centrs")</f>
        <v>centrs</v>
      </c>
      <c r="C1211" s="2" t="str">
        <f>IFERROR(__xludf.DUMMYFUNCTION("""COMPUTED_VALUE"""),"Baznīcas 18a")</f>
        <v>Baznīcas 18a</v>
      </c>
      <c r="D1211" s="2">
        <f>IFERROR(__xludf.DUMMYFUNCTION("""COMPUTED_VALUE"""),3.0)</f>
        <v>3</v>
      </c>
      <c r="E1211" s="2">
        <f>IFERROR(__xludf.DUMMYFUNCTION("""COMPUTED_VALUE"""),85.0)</f>
        <v>85</v>
      </c>
      <c r="F1211" s="2">
        <f>IFERROR(__xludf.DUMMYFUNCTION("""COMPUTED_VALUE"""),5.0)</f>
        <v>5</v>
      </c>
      <c r="G1211" s="2">
        <f>IFERROR(__xludf.DUMMYFUNCTION("""COMPUTED_VALUE"""),6.0)</f>
        <v>6</v>
      </c>
      <c r="H1211" s="2" t="str">
        <f>IFERROR(__xludf.DUMMYFUNCTION("""COMPUTED_VALUE"""),"Jaun.")</f>
        <v>Jaun.</v>
      </c>
      <c r="I1211" s="2" t="str">
        <f>IFERROR(__xludf.DUMMYFUNCTION("""COMPUTED_VALUE"""),"Brick-Panel")</f>
        <v>Brick-Panel</v>
      </c>
      <c r="J1211" s="2" t="str">
        <f>IFERROR(__xludf.DUMMYFUNCTION("""COMPUTED_VALUE"""),"All amenities")</f>
        <v>All amenities</v>
      </c>
      <c r="K1211" s="2">
        <f>IFERROR(__xludf.DUMMYFUNCTION("""COMPUTED_VALUE"""),100.0)</f>
        <v>100</v>
      </c>
      <c r="L1211" s="2">
        <f>IFERROR(__xludf.DUMMYFUNCTION("""COMPUTED_VALUE"""),56.9572968)</f>
        <v>56.9572968</v>
      </c>
      <c r="M1211" s="2">
        <f>IFERROR(__xludf.DUMMYFUNCTION("""COMPUTED_VALUE"""),24.1208067557146)</f>
        <v>24.12080676</v>
      </c>
    </row>
    <row r="1212">
      <c r="A1212" s="2" t="str">
        <f>IFERROR(__xludf.DUMMYFUNCTION("""COMPUTED_VALUE"""),"For rent")</f>
        <v>For rent</v>
      </c>
      <c r="B1212" s="2" t="str">
        <f>IFERROR(__xludf.DUMMYFUNCTION("""COMPUTED_VALUE"""),"centrs")</f>
        <v>centrs</v>
      </c>
      <c r="C1212" s="2" t="str">
        <f>IFERROR(__xludf.DUMMYFUNCTION("""COMPUTED_VALUE"""),"Republikas laukums 3")</f>
        <v>Republikas laukums 3</v>
      </c>
      <c r="D1212" s="2">
        <f>IFERROR(__xludf.DUMMYFUNCTION("""COMPUTED_VALUE"""),3.0)</f>
        <v>3</v>
      </c>
      <c r="E1212" s="2">
        <f>IFERROR(__xludf.DUMMYFUNCTION("""COMPUTED_VALUE"""),106.0)</f>
        <v>106</v>
      </c>
      <c r="F1212" s="2">
        <f>IFERROR(__xludf.DUMMYFUNCTION("""COMPUTED_VALUE"""),3.0)</f>
        <v>3</v>
      </c>
      <c r="G1212" s="2">
        <f>IFERROR(__xludf.DUMMYFUNCTION("""COMPUTED_VALUE"""),8.0)</f>
        <v>8</v>
      </c>
      <c r="H1212" s="2" t="str">
        <f>IFERROR(__xludf.DUMMYFUNCTION("""COMPUTED_VALUE"""),"Jaun.")</f>
        <v>Jaun.</v>
      </c>
      <c r="I1212" s="2" t="str">
        <f>IFERROR(__xludf.DUMMYFUNCTION("""COMPUTED_VALUE"""),"Masonry")</f>
        <v>Masonry</v>
      </c>
      <c r="J1212" s="2" t="str">
        <f>IFERROR(__xludf.DUMMYFUNCTION("""COMPUTED_VALUE"""),"All amenities")</f>
        <v>All amenities</v>
      </c>
      <c r="K1212" s="2">
        <f>IFERROR(__xludf.DUMMYFUNCTION("""COMPUTED_VALUE"""),1200.0)</f>
        <v>1200</v>
      </c>
      <c r="L1212" s="2">
        <f>IFERROR(__xludf.DUMMYFUNCTION("""COMPUTED_VALUE"""),56.9552522)</f>
        <v>56.9552522</v>
      </c>
      <c r="M1212" s="2">
        <f>IFERROR(__xludf.DUMMYFUNCTION("""COMPUTED_VALUE"""),24.0999991251943)</f>
        <v>24.09999913</v>
      </c>
    </row>
    <row r="1213">
      <c r="A1213" s="2" t="str">
        <f>IFERROR(__xludf.DUMMYFUNCTION("""COMPUTED_VALUE"""),"For sale")</f>
        <v>For sale</v>
      </c>
      <c r="B1213" s="2" t="str">
        <f>IFERROR(__xludf.DUMMYFUNCTION("""COMPUTED_VALUE"""),"Vecrīga")</f>
        <v>Vecrīga</v>
      </c>
      <c r="C1213" s="2" t="str">
        <f>IFERROR(__xludf.DUMMYFUNCTION("""COMPUTED_VALUE"""),"Jēkaba 26/28")</f>
        <v>Jēkaba 26/28</v>
      </c>
      <c r="D1213" s="2">
        <f>IFERROR(__xludf.DUMMYFUNCTION("""COMPUTED_VALUE"""),4.0)</f>
        <v>4</v>
      </c>
      <c r="E1213" s="2">
        <f>IFERROR(__xludf.DUMMYFUNCTION("""COMPUTED_VALUE"""),123.0)</f>
        <v>123</v>
      </c>
      <c r="F1213" s="2">
        <f>IFERROR(__xludf.DUMMYFUNCTION("""COMPUTED_VALUE"""),3.0)</f>
        <v>3</v>
      </c>
      <c r="G1213" s="2">
        <f>IFERROR(__xludf.DUMMYFUNCTION("""COMPUTED_VALUE"""),5.0)</f>
        <v>5</v>
      </c>
      <c r="H1213" s="2" t="str">
        <f>IFERROR(__xludf.DUMMYFUNCTION("""COMPUTED_VALUE"""),"P. kara")</f>
        <v>P. kara</v>
      </c>
      <c r="I1213" s="2" t="str">
        <f>IFERROR(__xludf.DUMMYFUNCTION("""COMPUTED_VALUE"""),"Masonry")</f>
        <v>Masonry</v>
      </c>
      <c r="J1213" s="2" t="str">
        <f>IFERROR(__xludf.DUMMYFUNCTION("""COMPUTED_VALUE"""),"All amenities")</f>
        <v>All amenities</v>
      </c>
      <c r="K1213" s="2">
        <f>IFERROR(__xludf.DUMMYFUNCTION("""COMPUTED_VALUE"""),272600.0)</f>
        <v>272600</v>
      </c>
      <c r="L1213" s="2">
        <f>IFERROR(__xludf.DUMMYFUNCTION("""COMPUTED_VALUE"""),56.952698)</f>
        <v>56.952698</v>
      </c>
      <c r="M1213" s="2">
        <f>IFERROR(__xludf.DUMMYFUNCTION("""COMPUTED_VALUE"""),24.1051471)</f>
        <v>24.1051471</v>
      </c>
    </row>
    <row r="1214">
      <c r="A1214" s="2" t="str">
        <f>IFERROR(__xludf.DUMMYFUNCTION("""COMPUTED_VALUE"""),"For rent")</f>
        <v>For rent</v>
      </c>
      <c r="B1214" s="2" t="str">
        <f>IFERROR(__xludf.DUMMYFUNCTION("""COMPUTED_VALUE"""),"centrs")</f>
        <v>centrs</v>
      </c>
      <c r="C1214" s="2" t="str">
        <f>IFERROR(__xludf.DUMMYFUNCTION("""COMPUTED_VALUE"""),"Stabu 92")</f>
        <v>Stabu 92</v>
      </c>
      <c r="D1214" s="2">
        <f>IFERROR(__xludf.DUMMYFUNCTION("""COMPUTED_VALUE"""),3.0)</f>
        <v>3</v>
      </c>
      <c r="E1214" s="2">
        <f>IFERROR(__xludf.DUMMYFUNCTION("""COMPUTED_VALUE"""),103.0)</f>
        <v>103</v>
      </c>
      <c r="F1214" s="2">
        <f>IFERROR(__xludf.DUMMYFUNCTION("""COMPUTED_VALUE"""),3.0)</f>
        <v>3</v>
      </c>
      <c r="G1214" s="2">
        <f>IFERROR(__xludf.DUMMYFUNCTION("""COMPUTED_VALUE"""),6.0)</f>
        <v>6</v>
      </c>
      <c r="H1214" s="2" t="str">
        <f>IFERROR(__xludf.DUMMYFUNCTION("""COMPUTED_VALUE"""),"Renov.")</f>
        <v>Renov.</v>
      </c>
      <c r="I1214" s="2" t="str">
        <f>IFERROR(__xludf.DUMMYFUNCTION("""COMPUTED_VALUE"""),"Masonry")</f>
        <v>Masonry</v>
      </c>
      <c r="J1214" s="2" t="str">
        <f>IFERROR(__xludf.DUMMYFUNCTION("""COMPUTED_VALUE"""),"All amenities")</f>
        <v>All amenities</v>
      </c>
      <c r="K1214" s="2">
        <f>IFERROR(__xludf.DUMMYFUNCTION("""COMPUTED_VALUE"""),690.0)</f>
        <v>690</v>
      </c>
      <c r="L1214" s="2">
        <f>IFERROR(__xludf.DUMMYFUNCTION("""COMPUTED_VALUE"""),56.9499105999999)</f>
        <v>56.9499106</v>
      </c>
      <c r="M1214" s="2">
        <f>IFERROR(__xludf.DUMMYFUNCTION("""COMPUTED_VALUE"""),24.1407992387323)</f>
        <v>24.14079924</v>
      </c>
    </row>
    <row r="1215">
      <c r="A1215" s="2" t="str">
        <f>IFERROR(__xludf.DUMMYFUNCTION("""COMPUTED_VALUE"""),"For rent")</f>
        <v>For rent</v>
      </c>
      <c r="B1215" s="2" t="str">
        <f>IFERROR(__xludf.DUMMYFUNCTION("""COMPUTED_VALUE"""),"Šampēteris-Pleskodāle")</f>
        <v>Šampēteris-Pleskodāle</v>
      </c>
      <c r="C1215" s="2" t="str">
        <f>IFERROR(__xludf.DUMMYFUNCTION("""COMPUTED_VALUE"""),"Lielirbes 11")</f>
        <v>Lielirbes 11</v>
      </c>
      <c r="D1215" s="2">
        <f>IFERROR(__xludf.DUMMYFUNCTION("""COMPUTED_VALUE"""),3.0)</f>
        <v>3</v>
      </c>
      <c r="E1215" s="2">
        <f>IFERROR(__xludf.DUMMYFUNCTION("""COMPUTED_VALUE"""),131.0)</f>
        <v>131</v>
      </c>
      <c r="F1215" s="2">
        <f>IFERROR(__xludf.DUMMYFUNCTION("""COMPUTED_VALUE"""),24.0)</f>
        <v>24</v>
      </c>
      <c r="G1215" s="2">
        <f>IFERROR(__xludf.DUMMYFUNCTION("""COMPUTED_VALUE"""),25.0)</f>
        <v>25</v>
      </c>
      <c r="H1215" s="2" t="str">
        <f>IFERROR(__xludf.DUMMYFUNCTION("""COMPUTED_VALUE"""),"Jaun.")</f>
        <v>Jaun.</v>
      </c>
      <c r="I1215" s="2" t="str">
        <f>IFERROR(__xludf.DUMMYFUNCTION("""COMPUTED_VALUE"""),"Masonry")</f>
        <v>Masonry</v>
      </c>
      <c r="J1215" s="2" t="str">
        <f>IFERROR(__xludf.DUMMYFUNCTION("""COMPUTED_VALUE"""),"All amenities")</f>
        <v>All amenities</v>
      </c>
      <c r="K1215" s="2">
        <f>IFERROR(__xludf.DUMMYFUNCTION("""COMPUTED_VALUE"""),1400.0)</f>
        <v>1400</v>
      </c>
      <c r="L1215" s="2">
        <f>IFERROR(__xludf.DUMMYFUNCTION("""COMPUTED_VALUE"""),56.9340645)</f>
        <v>56.9340645</v>
      </c>
      <c r="M1215" s="2">
        <f>IFERROR(__xludf.DUMMYFUNCTION("""COMPUTED_VALUE"""),24.0436381)</f>
        <v>24.0436381</v>
      </c>
    </row>
    <row r="1216">
      <c r="A1216" s="2" t="str">
        <f>IFERROR(__xludf.DUMMYFUNCTION("""COMPUTED_VALUE"""),"For rent")</f>
        <v>For rent</v>
      </c>
      <c r="B1216" s="2" t="str">
        <f>IFERROR(__xludf.DUMMYFUNCTION("""COMPUTED_VALUE"""),"centrs")</f>
        <v>centrs</v>
      </c>
      <c r="C1216" s="2" t="str">
        <f>IFERROR(__xludf.DUMMYFUNCTION("""COMPUTED_VALUE"""),"Bruņinieku 60")</f>
        <v>Bruņinieku 60</v>
      </c>
      <c r="D1216" s="2">
        <f>IFERROR(__xludf.DUMMYFUNCTION("""COMPUTED_VALUE"""),2.0)</f>
        <v>2</v>
      </c>
      <c r="E1216" s="2">
        <f>IFERROR(__xludf.DUMMYFUNCTION("""COMPUTED_VALUE"""),50.0)</f>
        <v>50</v>
      </c>
      <c r="F1216" s="2">
        <f>IFERROR(__xludf.DUMMYFUNCTION("""COMPUTED_VALUE"""),5.0)</f>
        <v>5</v>
      </c>
      <c r="G1216" s="2">
        <f>IFERROR(__xludf.DUMMYFUNCTION("""COMPUTED_VALUE"""),6.0)</f>
        <v>6</v>
      </c>
      <c r="H1216" s="2" t="str">
        <f>IFERROR(__xludf.DUMMYFUNCTION("""COMPUTED_VALUE"""),"P. kara")</f>
        <v>P. kara</v>
      </c>
      <c r="I1216" s="2" t="str">
        <f>IFERROR(__xludf.DUMMYFUNCTION("""COMPUTED_VALUE"""),"Brick")</f>
        <v>Brick</v>
      </c>
      <c r="J1216" s="2" t="str">
        <f>IFERROR(__xludf.DUMMYFUNCTION("""COMPUTED_VALUE"""),"All amenities")</f>
        <v>All amenities</v>
      </c>
      <c r="K1216" s="2">
        <f>IFERROR(__xludf.DUMMYFUNCTION("""COMPUTED_VALUE"""),480.0)</f>
        <v>480</v>
      </c>
      <c r="L1216" s="2">
        <f>IFERROR(__xludf.DUMMYFUNCTION("""COMPUTED_VALUE"""),56.953316)</f>
        <v>56.953316</v>
      </c>
      <c r="M1216" s="2">
        <f>IFERROR(__xludf.DUMMYFUNCTION("""COMPUTED_VALUE"""),24.1370407)</f>
        <v>24.1370407</v>
      </c>
    </row>
    <row r="1217">
      <c r="A1217" s="2" t="str">
        <f>IFERROR(__xludf.DUMMYFUNCTION("""COMPUTED_VALUE"""),"For sale")</f>
        <v>For sale</v>
      </c>
      <c r="B1217" s="2" t="str">
        <f>IFERROR(__xludf.DUMMYFUNCTION("""COMPUTED_VALUE"""),"Ķengarags")</f>
        <v>Ķengarags</v>
      </c>
      <c r="C1217" s="2" t="str">
        <f>IFERROR(__xludf.DUMMYFUNCTION("""COMPUTED_VALUE"""),"Aglonas 16")</f>
        <v>Aglonas 16</v>
      </c>
      <c r="D1217" s="2">
        <f>IFERROR(__xludf.DUMMYFUNCTION("""COMPUTED_VALUE"""),3.0)</f>
        <v>3</v>
      </c>
      <c r="E1217" s="2">
        <f>IFERROR(__xludf.DUMMYFUNCTION("""COMPUTED_VALUE"""),61.0)</f>
        <v>61</v>
      </c>
      <c r="F1217" s="2">
        <f>IFERROR(__xludf.DUMMYFUNCTION("""COMPUTED_VALUE"""),5.0)</f>
        <v>5</v>
      </c>
      <c r="G1217" s="2">
        <f>IFERROR(__xludf.DUMMYFUNCTION("""COMPUTED_VALUE"""),5.0)</f>
        <v>5</v>
      </c>
      <c r="H1217" s="2" t="str">
        <f>IFERROR(__xludf.DUMMYFUNCTION("""COMPUTED_VALUE"""),"LT proj.")</f>
        <v>LT proj.</v>
      </c>
      <c r="I1217" s="2" t="str">
        <f>IFERROR(__xludf.DUMMYFUNCTION("""COMPUTED_VALUE"""),"Panel")</f>
        <v>Panel</v>
      </c>
      <c r="J1217" s="2" t="str">
        <f>IFERROR(__xludf.DUMMYFUNCTION("""COMPUTED_VALUE"""),"All amenities")</f>
        <v>All amenities</v>
      </c>
      <c r="K1217" s="2">
        <f>IFERROR(__xludf.DUMMYFUNCTION("""COMPUTED_VALUE"""),59500.0)</f>
        <v>59500</v>
      </c>
      <c r="L1217" s="2">
        <f>IFERROR(__xludf.DUMMYFUNCTION("""COMPUTED_VALUE"""),56.9101647)</f>
        <v>56.9101647</v>
      </c>
      <c r="M1217" s="2">
        <f>IFERROR(__xludf.DUMMYFUNCTION("""COMPUTED_VALUE"""),24.1865532715356)</f>
        <v>24.18655327</v>
      </c>
    </row>
    <row r="1218">
      <c r="A1218" s="2" t="str">
        <f>IFERROR(__xludf.DUMMYFUNCTION("""COMPUTED_VALUE"""),"For rent")</f>
        <v>For rent</v>
      </c>
      <c r="B1218" s="2" t="str">
        <f>IFERROR(__xludf.DUMMYFUNCTION("""COMPUTED_VALUE"""),"Āgenskalns")</f>
        <v>Āgenskalns</v>
      </c>
      <c r="C1218" s="2" t="str">
        <f>IFERROR(__xludf.DUMMYFUNCTION("""COMPUTED_VALUE"""),"Tukuma 1")</f>
        <v>Tukuma 1</v>
      </c>
      <c r="D1218" s="2">
        <f>IFERROR(__xludf.DUMMYFUNCTION("""COMPUTED_VALUE"""),2.0)</f>
        <v>2</v>
      </c>
      <c r="E1218" s="2">
        <f>IFERROR(__xludf.DUMMYFUNCTION("""COMPUTED_VALUE"""),71.0)</f>
        <v>71</v>
      </c>
      <c r="F1218" s="2">
        <f>IFERROR(__xludf.DUMMYFUNCTION("""COMPUTED_VALUE"""),1.0)</f>
        <v>1</v>
      </c>
      <c r="G1218" s="2">
        <f>IFERROR(__xludf.DUMMYFUNCTION("""COMPUTED_VALUE"""),2.0)</f>
        <v>2</v>
      </c>
      <c r="H1218" s="2" t="str">
        <f>IFERROR(__xludf.DUMMYFUNCTION("""COMPUTED_VALUE"""),"P. kara")</f>
        <v>P. kara</v>
      </c>
      <c r="I1218" s="2" t="str">
        <f>IFERROR(__xludf.DUMMYFUNCTION("""COMPUTED_VALUE"""),"Wood")</f>
        <v>Wood</v>
      </c>
      <c r="J1218" s="2" t="str">
        <f>IFERROR(__xludf.DUMMYFUNCTION("""COMPUTED_VALUE"""),"All amenities")</f>
        <v>All amenities</v>
      </c>
      <c r="K1218" s="2">
        <f>IFERROR(__xludf.DUMMYFUNCTION("""COMPUTED_VALUE"""),500.0)</f>
        <v>500</v>
      </c>
      <c r="L1218" s="2">
        <f>IFERROR(__xludf.DUMMYFUNCTION("""COMPUTED_VALUE"""),56.93300455)</f>
        <v>56.93300455</v>
      </c>
      <c r="M1218" s="2">
        <f>IFERROR(__xludf.DUMMYFUNCTION("""COMPUTED_VALUE"""),24.0704338999999)</f>
        <v>24.0704339</v>
      </c>
    </row>
    <row r="1219">
      <c r="A1219" s="2" t="str">
        <f>IFERROR(__xludf.DUMMYFUNCTION("""COMPUTED_VALUE"""),"For rent")</f>
        <v>For rent</v>
      </c>
      <c r="B1219" s="2" t="str">
        <f>IFERROR(__xludf.DUMMYFUNCTION("""COMPUTED_VALUE"""),"centrs")</f>
        <v>centrs</v>
      </c>
      <c r="C1219" s="2" t="str">
        <f>IFERROR(__xludf.DUMMYFUNCTION("""COMPUTED_VALUE"""),"Avotu 59")</f>
        <v>Avotu 59</v>
      </c>
      <c r="D1219" s="2">
        <f>IFERROR(__xludf.DUMMYFUNCTION("""COMPUTED_VALUE"""),3.0)</f>
        <v>3</v>
      </c>
      <c r="E1219" s="2">
        <f>IFERROR(__xludf.DUMMYFUNCTION("""COMPUTED_VALUE"""),115.0)</f>
        <v>115</v>
      </c>
      <c r="F1219" s="2">
        <f>IFERROR(__xludf.DUMMYFUNCTION("""COMPUTED_VALUE"""),4.0)</f>
        <v>4</v>
      </c>
      <c r="G1219" s="2">
        <f>IFERROR(__xludf.DUMMYFUNCTION("""COMPUTED_VALUE"""),4.0)</f>
        <v>4</v>
      </c>
      <c r="H1219" s="2" t="str">
        <f>IFERROR(__xludf.DUMMYFUNCTION("""COMPUTED_VALUE"""),"P. kara")</f>
        <v>P. kara</v>
      </c>
      <c r="I1219" s="2" t="str">
        <f>IFERROR(__xludf.DUMMYFUNCTION("""COMPUTED_VALUE"""),"Brick")</f>
        <v>Brick</v>
      </c>
      <c r="J1219" s="2" t="str">
        <f>IFERROR(__xludf.DUMMYFUNCTION("""COMPUTED_VALUE"""),"All amenities")</f>
        <v>All amenities</v>
      </c>
      <c r="K1219" s="2">
        <f>IFERROR(__xludf.DUMMYFUNCTION("""COMPUTED_VALUE"""),600.0)</f>
        <v>600</v>
      </c>
      <c r="L1219" s="2">
        <f>IFERROR(__xludf.DUMMYFUNCTION("""COMPUTED_VALUE"""),56.952758)</f>
        <v>56.952758</v>
      </c>
      <c r="M1219" s="2">
        <f>IFERROR(__xludf.DUMMYFUNCTION("""COMPUTED_VALUE"""),24.1420564)</f>
        <v>24.1420564</v>
      </c>
    </row>
    <row r="1220">
      <c r="A1220" s="2" t="str">
        <f>IFERROR(__xludf.DUMMYFUNCTION("""COMPUTED_VALUE"""),"For sale")</f>
        <v>For sale</v>
      </c>
      <c r="B1220" s="2" t="str">
        <f>IFERROR(__xludf.DUMMYFUNCTION("""COMPUTED_VALUE"""),"Ķengarags")</f>
        <v>Ķengarags</v>
      </c>
      <c r="C1220" s="2" t="str">
        <f>IFERROR(__xludf.DUMMYFUNCTION("""COMPUTED_VALUE"""),"Prūšu 4")</f>
        <v>Prūšu 4</v>
      </c>
      <c r="D1220" s="2">
        <f>IFERROR(__xludf.DUMMYFUNCTION("""COMPUTED_VALUE"""),2.0)</f>
        <v>2</v>
      </c>
      <c r="E1220" s="2">
        <f>IFERROR(__xludf.DUMMYFUNCTION("""COMPUTED_VALUE"""),43.0)</f>
        <v>43</v>
      </c>
      <c r="F1220" s="2">
        <f>IFERROR(__xludf.DUMMYFUNCTION("""COMPUTED_VALUE"""),2.0)</f>
        <v>2</v>
      </c>
      <c r="G1220" s="2">
        <f>IFERROR(__xludf.DUMMYFUNCTION("""COMPUTED_VALUE"""),5.0)</f>
        <v>5</v>
      </c>
      <c r="H1220" s="2" t="str">
        <f>IFERROR(__xludf.DUMMYFUNCTION("""COMPUTED_VALUE"""),"Jaun.")</f>
        <v>Jaun.</v>
      </c>
      <c r="I1220" s="2" t="str">
        <f>IFERROR(__xludf.DUMMYFUNCTION("""COMPUTED_VALUE"""),"Panel")</f>
        <v>Panel</v>
      </c>
      <c r="J1220" s="2" t="str">
        <f>IFERROR(__xludf.DUMMYFUNCTION("""COMPUTED_VALUE"""),"All amenities")</f>
        <v>All amenities</v>
      </c>
      <c r="K1220" s="2">
        <f>IFERROR(__xludf.DUMMYFUNCTION("""COMPUTED_VALUE"""),53550.0)</f>
        <v>53550</v>
      </c>
      <c r="L1220" s="2">
        <f>IFERROR(__xludf.DUMMYFUNCTION("""COMPUTED_VALUE"""),56.9146747)</f>
        <v>56.9146747</v>
      </c>
      <c r="M1220" s="2">
        <f>IFERROR(__xludf.DUMMYFUNCTION("""COMPUTED_VALUE"""),24.1815079346418)</f>
        <v>24.18150793</v>
      </c>
    </row>
    <row r="1221">
      <c r="A1221" s="2" t="str">
        <f>IFERROR(__xludf.DUMMYFUNCTION("""COMPUTED_VALUE"""),"For rent")</f>
        <v>For rent</v>
      </c>
      <c r="B1221" s="2" t="str">
        <f>IFERROR(__xludf.DUMMYFUNCTION("""COMPUTED_VALUE"""),"Āgenskalns")</f>
        <v>Āgenskalns</v>
      </c>
      <c r="C1221" s="2" t="str">
        <f>IFERROR(__xludf.DUMMYFUNCTION("""COMPUTED_VALUE"""),"Vīlipa 12")</f>
        <v>Vīlipa 12</v>
      </c>
      <c r="D1221" s="2">
        <f>IFERROR(__xludf.DUMMYFUNCTION("""COMPUTED_VALUE"""),2.0)</f>
        <v>2</v>
      </c>
      <c r="E1221" s="2">
        <f>IFERROR(__xludf.DUMMYFUNCTION("""COMPUTED_VALUE"""),68.0)</f>
        <v>68</v>
      </c>
      <c r="F1221" s="2">
        <f>IFERROR(__xludf.DUMMYFUNCTION("""COMPUTED_VALUE"""),5.0)</f>
        <v>5</v>
      </c>
      <c r="G1221" s="2">
        <f>IFERROR(__xludf.DUMMYFUNCTION("""COMPUTED_VALUE"""),9.0)</f>
        <v>9</v>
      </c>
      <c r="H1221" s="2" t="str">
        <f>IFERROR(__xludf.DUMMYFUNCTION("""COMPUTED_VALUE"""),"Jaun.")</f>
        <v>Jaun.</v>
      </c>
      <c r="I1221" s="2" t="str">
        <f>IFERROR(__xludf.DUMMYFUNCTION("""COMPUTED_VALUE"""),"Panel-Brick")</f>
        <v>Panel-Brick</v>
      </c>
      <c r="J1221" s="2" t="str">
        <f>IFERROR(__xludf.DUMMYFUNCTION("""COMPUTED_VALUE"""),"All amenities")</f>
        <v>All amenities</v>
      </c>
      <c r="K1221" s="2">
        <f>IFERROR(__xludf.DUMMYFUNCTION("""COMPUTED_VALUE"""),550.0)</f>
        <v>550</v>
      </c>
      <c r="L1221" s="2">
        <f>IFERROR(__xludf.DUMMYFUNCTION("""COMPUTED_VALUE"""),56.94825305)</f>
        <v>56.94825305</v>
      </c>
      <c r="M1221" s="2">
        <f>IFERROR(__xludf.DUMMYFUNCTION("""COMPUTED_VALUE"""),24.0553285635443)</f>
        <v>24.05532856</v>
      </c>
    </row>
    <row r="1222">
      <c r="A1222" s="2" t="str">
        <f>IFERROR(__xludf.DUMMYFUNCTION("""COMPUTED_VALUE"""),"For sale")</f>
        <v>For sale</v>
      </c>
      <c r="B1222" s="2" t="str">
        <f>IFERROR(__xludf.DUMMYFUNCTION("""COMPUTED_VALUE"""),"Sarkandaugava")</f>
        <v>Sarkandaugava</v>
      </c>
      <c r="C1222" s="2" t="str">
        <f>IFERROR(__xludf.DUMMYFUNCTION("""COMPUTED_VALUE"""),"Sarkandaugavas 26")</f>
        <v>Sarkandaugavas 26</v>
      </c>
      <c r="D1222" s="2">
        <f>IFERROR(__xludf.DUMMYFUNCTION("""COMPUTED_VALUE"""),1.0)</f>
        <v>1</v>
      </c>
      <c r="E1222" s="2">
        <f>IFERROR(__xludf.DUMMYFUNCTION("""COMPUTED_VALUE"""),29.0)</f>
        <v>29</v>
      </c>
      <c r="F1222" s="2">
        <f>IFERROR(__xludf.DUMMYFUNCTION("""COMPUTED_VALUE"""),3.0)</f>
        <v>3</v>
      </c>
      <c r="G1222" s="2">
        <f>IFERROR(__xludf.DUMMYFUNCTION("""COMPUTED_VALUE"""),5.0)</f>
        <v>5</v>
      </c>
      <c r="H1222" s="2" t="str">
        <f>IFERROR(__xludf.DUMMYFUNCTION("""COMPUTED_VALUE"""),"Hrušč.")</f>
        <v>Hrušč.</v>
      </c>
      <c r="I1222" s="2" t="str">
        <f>IFERROR(__xludf.DUMMYFUNCTION("""COMPUTED_VALUE"""),"Brick")</f>
        <v>Brick</v>
      </c>
      <c r="J1222" s="2" t="str">
        <f>IFERROR(__xludf.DUMMYFUNCTION("""COMPUTED_VALUE"""),"All amenities")</f>
        <v>All amenities</v>
      </c>
      <c r="K1222" s="2">
        <f>IFERROR(__xludf.DUMMYFUNCTION("""COMPUTED_VALUE"""),23000.0)</f>
        <v>23000</v>
      </c>
      <c r="L1222" s="2">
        <f>IFERROR(__xludf.DUMMYFUNCTION("""COMPUTED_VALUE"""),57.0021488)</f>
        <v>57.0021488</v>
      </c>
      <c r="M1222" s="2">
        <f>IFERROR(__xludf.DUMMYFUNCTION("""COMPUTED_VALUE"""),24.1248028)</f>
        <v>24.1248028</v>
      </c>
    </row>
    <row r="1223">
      <c r="A1223" s="2" t="str">
        <f>IFERROR(__xludf.DUMMYFUNCTION("""COMPUTED_VALUE"""),"For sale")</f>
        <v>For sale</v>
      </c>
      <c r="B1223" s="2" t="str">
        <f>IFERROR(__xludf.DUMMYFUNCTION("""COMPUTED_VALUE"""),"Mežciems")</f>
        <v>Mežciems</v>
      </c>
      <c r="C1223" s="2" t="str">
        <f>IFERROR(__xludf.DUMMYFUNCTION("""COMPUTED_VALUE"""),"Biķernieku 160")</f>
        <v>Biķernieku 160</v>
      </c>
      <c r="D1223" s="2">
        <f>IFERROR(__xludf.DUMMYFUNCTION("""COMPUTED_VALUE"""),3.0)</f>
        <v>3</v>
      </c>
      <c r="E1223" s="2">
        <f>IFERROR(__xludf.DUMMYFUNCTION("""COMPUTED_VALUE"""),77.0)</f>
        <v>77</v>
      </c>
      <c r="F1223" s="2">
        <f>IFERROR(__xludf.DUMMYFUNCTION("""COMPUTED_VALUE"""),3.0)</f>
        <v>3</v>
      </c>
      <c r="G1223" s="2">
        <f>IFERROR(__xludf.DUMMYFUNCTION("""COMPUTED_VALUE"""),5.0)</f>
        <v>5</v>
      </c>
      <c r="H1223" s="2" t="str">
        <f>IFERROR(__xludf.DUMMYFUNCTION("""COMPUTED_VALUE"""),"Jaun.")</f>
        <v>Jaun.</v>
      </c>
      <c r="I1223" s="2" t="str">
        <f>IFERROR(__xludf.DUMMYFUNCTION("""COMPUTED_VALUE"""),"Panel-Brick")</f>
        <v>Panel-Brick</v>
      </c>
      <c r="J1223" s="2" t="str">
        <f>IFERROR(__xludf.DUMMYFUNCTION("""COMPUTED_VALUE"""),"All amenities")</f>
        <v>All amenities</v>
      </c>
      <c r="K1223" s="2">
        <f>IFERROR(__xludf.DUMMYFUNCTION("""COMPUTED_VALUE"""),134000.0)</f>
        <v>134000</v>
      </c>
      <c r="L1223" s="2">
        <f>IFERROR(__xludf.DUMMYFUNCTION("""COMPUTED_VALUE"""),56.9569585)</f>
        <v>56.9569585</v>
      </c>
      <c r="M1223" s="2">
        <f>IFERROR(__xludf.DUMMYFUNCTION("""COMPUTED_VALUE"""),24.2536804)</f>
        <v>24.2536804</v>
      </c>
    </row>
    <row r="1224">
      <c r="A1224" s="2" t="str">
        <f>IFERROR(__xludf.DUMMYFUNCTION("""COMPUTED_VALUE"""),"For sale")</f>
        <v>For sale</v>
      </c>
      <c r="B1224" s="2" t="str">
        <f>IFERROR(__xludf.DUMMYFUNCTION("""COMPUTED_VALUE"""),"Imanta")</f>
        <v>Imanta</v>
      </c>
      <c r="C1224" s="2" t="str">
        <f>IFERROR(__xludf.DUMMYFUNCTION("""COMPUTED_VALUE"""),"Kurzemes pr. 68")</f>
        <v>Kurzemes pr. 68</v>
      </c>
      <c r="D1224" s="2">
        <f>IFERROR(__xludf.DUMMYFUNCTION("""COMPUTED_VALUE"""),2.0)</f>
        <v>2</v>
      </c>
      <c r="E1224" s="2">
        <f>IFERROR(__xludf.DUMMYFUNCTION("""COMPUTED_VALUE"""),39.0)</f>
        <v>39</v>
      </c>
      <c r="F1224" s="2">
        <f>IFERROR(__xludf.DUMMYFUNCTION("""COMPUTED_VALUE"""),3.0)</f>
        <v>3</v>
      </c>
      <c r="G1224" s="2">
        <f>IFERROR(__xludf.DUMMYFUNCTION("""COMPUTED_VALUE"""),5.0)</f>
        <v>5</v>
      </c>
      <c r="H1224" s="2" t="str">
        <f>IFERROR(__xludf.DUMMYFUNCTION("""COMPUTED_VALUE"""),"LT proj.")</f>
        <v>LT proj.</v>
      </c>
      <c r="I1224" s="2" t="str">
        <f>IFERROR(__xludf.DUMMYFUNCTION("""COMPUTED_VALUE"""),"Panel")</f>
        <v>Panel</v>
      </c>
      <c r="J1224" s="2" t="str">
        <f>IFERROR(__xludf.DUMMYFUNCTION("""COMPUTED_VALUE"""),"All amenities")</f>
        <v>All amenities</v>
      </c>
      <c r="K1224" s="2">
        <f>IFERROR(__xludf.DUMMYFUNCTION("""COMPUTED_VALUE"""),34900.0)</f>
        <v>34900</v>
      </c>
      <c r="L1224" s="2">
        <f>IFERROR(__xludf.DUMMYFUNCTION("""COMPUTED_VALUE"""),56.9567829)</f>
        <v>56.9567829</v>
      </c>
      <c r="M1224" s="2">
        <f>IFERROR(__xludf.DUMMYFUNCTION("""COMPUTED_VALUE"""),24.0344957)</f>
        <v>24.0344957</v>
      </c>
    </row>
    <row r="1225">
      <c r="A1225" s="2" t="str">
        <f>IFERROR(__xludf.DUMMYFUNCTION("""COMPUTED_VALUE"""),"For rent")</f>
        <v>For rent</v>
      </c>
      <c r="B1225" s="2" t="str">
        <f>IFERROR(__xludf.DUMMYFUNCTION("""COMPUTED_VALUE"""),"centrs")</f>
        <v>centrs</v>
      </c>
      <c r="C1225" s="2" t="str">
        <f>IFERROR(__xludf.DUMMYFUNCTION("""COMPUTED_VALUE"""),"Barona 76")</f>
        <v>Barona 76</v>
      </c>
      <c r="D1225" s="2">
        <f>IFERROR(__xludf.DUMMYFUNCTION("""COMPUTED_VALUE"""),3.0)</f>
        <v>3</v>
      </c>
      <c r="E1225" s="2">
        <f>IFERROR(__xludf.DUMMYFUNCTION("""COMPUTED_VALUE"""),58.0)</f>
        <v>58</v>
      </c>
      <c r="F1225" s="2">
        <f>IFERROR(__xludf.DUMMYFUNCTION("""COMPUTED_VALUE"""),5.0)</f>
        <v>5</v>
      </c>
      <c r="G1225" s="2">
        <f>IFERROR(__xludf.DUMMYFUNCTION("""COMPUTED_VALUE"""),6.0)</f>
        <v>6</v>
      </c>
      <c r="H1225" s="2" t="str">
        <f>IFERROR(__xludf.DUMMYFUNCTION("""COMPUTED_VALUE"""),"Renov.")</f>
        <v>Renov.</v>
      </c>
      <c r="I1225" s="2" t="str">
        <f>IFERROR(__xludf.DUMMYFUNCTION("""COMPUTED_VALUE"""),"Masonry")</f>
        <v>Masonry</v>
      </c>
      <c r="J1225" s="2" t="str">
        <f>IFERROR(__xludf.DUMMYFUNCTION("""COMPUTED_VALUE"""),"All amenities")</f>
        <v>All amenities</v>
      </c>
      <c r="K1225" s="2">
        <f>IFERROR(__xludf.DUMMYFUNCTION("""COMPUTED_VALUE"""),680.0)</f>
        <v>680</v>
      </c>
      <c r="L1225" s="2">
        <f>IFERROR(__xludf.DUMMYFUNCTION("""COMPUTED_VALUE"""),56.95643795)</f>
        <v>56.95643795</v>
      </c>
      <c r="M1225" s="2">
        <f>IFERROR(__xludf.DUMMYFUNCTION("""COMPUTED_VALUE"""),24.1325729821556)</f>
        <v>24.13257298</v>
      </c>
    </row>
    <row r="1226">
      <c r="A1226" s="2" t="str">
        <f>IFERROR(__xludf.DUMMYFUNCTION("""COMPUTED_VALUE"""),"For rent")</f>
        <v>For rent</v>
      </c>
      <c r="B1226" s="2" t="str">
        <f>IFERROR(__xludf.DUMMYFUNCTION("""COMPUTED_VALUE"""),"centrs")</f>
        <v>centrs</v>
      </c>
      <c r="C1226" s="2" t="str">
        <f>IFERROR(__xludf.DUMMYFUNCTION("""COMPUTED_VALUE"""),"Čaka 86")</f>
        <v>Čaka 86</v>
      </c>
      <c r="D1226" s="2">
        <f>IFERROR(__xludf.DUMMYFUNCTION("""COMPUTED_VALUE"""),3.0)</f>
        <v>3</v>
      </c>
      <c r="E1226" s="2">
        <f>IFERROR(__xludf.DUMMYFUNCTION("""COMPUTED_VALUE"""),61.0)</f>
        <v>61</v>
      </c>
      <c r="F1226" s="2">
        <f>IFERROR(__xludf.DUMMYFUNCTION("""COMPUTED_VALUE"""),2.0)</f>
        <v>2</v>
      </c>
      <c r="G1226" s="2">
        <f>IFERROR(__xludf.DUMMYFUNCTION("""COMPUTED_VALUE"""),3.0)</f>
        <v>3</v>
      </c>
      <c r="H1226" s="2" t="str">
        <f>IFERROR(__xludf.DUMMYFUNCTION("""COMPUTED_VALUE"""),"P. kara")</f>
        <v>P. kara</v>
      </c>
      <c r="I1226" s="2" t="str">
        <f>IFERROR(__xludf.DUMMYFUNCTION("""COMPUTED_VALUE"""),"Masonry")</f>
        <v>Masonry</v>
      </c>
      <c r="J1226" s="2" t="str">
        <f>IFERROR(__xludf.DUMMYFUNCTION("""COMPUTED_VALUE"""),"All amenities")</f>
        <v>All amenities</v>
      </c>
      <c r="K1226" s="2">
        <f>IFERROR(__xludf.DUMMYFUNCTION("""COMPUTED_VALUE"""),340.0)</f>
        <v>340</v>
      </c>
      <c r="L1226" s="2">
        <f>IFERROR(__xludf.DUMMYFUNCTION("""COMPUTED_VALUE"""),56.9569156)</f>
        <v>56.9569156</v>
      </c>
      <c r="M1226" s="2">
        <f>IFERROR(__xludf.DUMMYFUNCTION("""COMPUTED_VALUE"""),24.1378861)</f>
        <v>24.1378861</v>
      </c>
    </row>
    <row r="1227">
      <c r="A1227" s="2" t="str">
        <f>IFERROR(__xludf.DUMMYFUNCTION("""COMPUTED_VALUE"""),"For rent")</f>
        <v>For rent</v>
      </c>
      <c r="B1227" s="2" t="str">
        <f>IFERROR(__xludf.DUMMYFUNCTION("""COMPUTED_VALUE"""),"Iļģuciems")</f>
        <v>Iļģuciems</v>
      </c>
      <c r="C1227" s="2" t="str">
        <f>IFERROR(__xludf.DUMMYFUNCTION("""COMPUTED_VALUE"""),"Stūres 2")</f>
        <v>Stūres 2</v>
      </c>
      <c r="D1227" s="2">
        <f>IFERROR(__xludf.DUMMYFUNCTION("""COMPUTED_VALUE"""),1.0)</f>
        <v>1</v>
      </c>
      <c r="E1227" s="2">
        <f>IFERROR(__xludf.DUMMYFUNCTION("""COMPUTED_VALUE"""),18.0)</f>
        <v>18</v>
      </c>
      <c r="F1227" s="2">
        <f>IFERROR(__xludf.DUMMYFUNCTION("""COMPUTED_VALUE"""),3.0)</f>
        <v>3</v>
      </c>
      <c r="G1227" s="2">
        <f>IFERROR(__xludf.DUMMYFUNCTION("""COMPUTED_VALUE"""),5.0)</f>
        <v>5</v>
      </c>
      <c r="H1227" s="2" t="str">
        <f>IFERROR(__xludf.DUMMYFUNCTION("""COMPUTED_VALUE"""),"M. ģim.")</f>
        <v>M. ģim.</v>
      </c>
      <c r="I1227" s="2" t="str">
        <f>IFERROR(__xludf.DUMMYFUNCTION("""COMPUTED_VALUE"""),"Brick")</f>
        <v>Brick</v>
      </c>
      <c r="J1227" s="2" t="str">
        <f>IFERROR(__xludf.DUMMYFUNCTION("""COMPUTED_VALUE"""),"All amenities")</f>
        <v>All amenities</v>
      </c>
      <c r="K1227" s="2">
        <f>IFERROR(__xludf.DUMMYFUNCTION("""COMPUTED_VALUE"""),130.0)</f>
        <v>130</v>
      </c>
      <c r="L1227" s="2">
        <f>IFERROR(__xludf.DUMMYFUNCTION("""COMPUTED_VALUE"""),56.9692203)</f>
        <v>56.9692203</v>
      </c>
      <c r="M1227" s="2">
        <f>IFERROR(__xludf.DUMMYFUNCTION("""COMPUTED_VALUE"""),24.0694937318141)</f>
        <v>24.06949373</v>
      </c>
    </row>
    <row r="1228">
      <c r="A1228" s="2" t="str">
        <f>IFERROR(__xludf.DUMMYFUNCTION("""COMPUTED_VALUE"""),"For sale")</f>
        <v>For sale</v>
      </c>
      <c r="B1228" s="2" t="str">
        <f>IFERROR(__xludf.DUMMYFUNCTION("""COMPUTED_VALUE"""),"centrs")</f>
        <v>centrs</v>
      </c>
      <c r="C1228" s="2" t="str">
        <f>IFERROR(__xludf.DUMMYFUNCTION("""COMPUTED_VALUE"""),"Ausekļa 2")</f>
        <v>Ausekļa 2</v>
      </c>
      <c r="D1228" s="2">
        <f>IFERROR(__xludf.DUMMYFUNCTION("""COMPUTED_VALUE"""),3.0)</f>
        <v>3</v>
      </c>
      <c r="E1228" s="2">
        <f>IFERROR(__xludf.DUMMYFUNCTION("""COMPUTED_VALUE"""),67.0)</f>
        <v>67</v>
      </c>
      <c r="F1228" s="2">
        <f>IFERROR(__xludf.DUMMYFUNCTION("""COMPUTED_VALUE"""),5.0)</f>
        <v>5</v>
      </c>
      <c r="G1228" s="2">
        <f>IFERROR(__xludf.DUMMYFUNCTION("""COMPUTED_VALUE"""),5.0)</f>
        <v>5</v>
      </c>
      <c r="H1228" s="2" t="str">
        <f>IFERROR(__xludf.DUMMYFUNCTION("""COMPUTED_VALUE"""),"P. kara")</f>
        <v>P. kara</v>
      </c>
      <c r="I1228" s="2" t="str">
        <f>IFERROR(__xludf.DUMMYFUNCTION("""COMPUTED_VALUE"""),"Masonry")</f>
        <v>Masonry</v>
      </c>
      <c r="J1228" s="2" t="str">
        <f>IFERROR(__xludf.DUMMYFUNCTION("""COMPUTED_VALUE"""),"All amenities")</f>
        <v>All amenities</v>
      </c>
      <c r="K1228" s="2">
        <f>IFERROR(__xludf.DUMMYFUNCTION("""COMPUTED_VALUE"""),180000.0)</f>
        <v>180000</v>
      </c>
      <c r="L1228" s="2">
        <f>IFERROR(__xludf.DUMMYFUNCTION("""COMPUTED_VALUE"""),56.9597157)</f>
        <v>56.9597157</v>
      </c>
      <c r="M1228" s="2">
        <f>IFERROR(__xludf.DUMMYFUNCTION("""COMPUTED_VALUE"""),24.1003502623684)</f>
        <v>24.10035026</v>
      </c>
    </row>
    <row r="1229">
      <c r="A1229" s="2" t="str">
        <f>IFERROR(__xludf.DUMMYFUNCTION("""COMPUTED_VALUE"""),"For rent")</f>
        <v>For rent</v>
      </c>
      <c r="B1229" s="2" t="str">
        <f>IFERROR(__xludf.DUMMYFUNCTION("""COMPUTED_VALUE"""),"Bolderāja")</f>
        <v>Bolderāja</v>
      </c>
      <c r="C1229" s="2" t="str">
        <f>IFERROR(__xludf.DUMMYFUNCTION("""COMPUTED_VALUE"""),"Lielā 25")</f>
        <v>Lielā 25</v>
      </c>
      <c r="D1229" s="2">
        <f>IFERROR(__xludf.DUMMYFUNCTION("""COMPUTED_VALUE"""),3.0)</f>
        <v>3</v>
      </c>
      <c r="E1229" s="2">
        <f>IFERROR(__xludf.DUMMYFUNCTION("""COMPUTED_VALUE"""),64.0)</f>
        <v>64</v>
      </c>
      <c r="F1229" s="2">
        <f>IFERROR(__xludf.DUMMYFUNCTION("""COMPUTED_VALUE"""),2.0)</f>
        <v>2</v>
      </c>
      <c r="G1229" s="2">
        <f>IFERROR(__xludf.DUMMYFUNCTION("""COMPUTED_VALUE"""),2.0)</f>
        <v>2</v>
      </c>
      <c r="H1229" s="2" t="str">
        <f>IFERROR(__xludf.DUMMYFUNCTION("""COMPUTED_VALUE"""),"Priv. m.")</f>
        <v>Priv. m.</v>
      </c>
      <c r="I1229" s="2" t="str">
        <f>IFERROR(__xludf.DUMMYFUNCTION("""COMPUTED_VALUE"""),"Wood")</f>
        <v>Wood</v>
      </c>
      <c r="J1229" s="2" t="str">
        <f>IFERROR(__xludf.DUMMYFUNCTION("""COMPUTED_VALUE"""),"All amenities")</f>
        <v>All amenities</v>
      </c>
      <c r="K1229" s="2">
        <f>IFERROR(__xludf.DUMMYFUNCTION("""COMPUTED_VALUE"""),290.0)</f>
        <v>290</v>
      </c>
      <c r="L1229" s="2">
        <f>IFERROR(__xludf.DUMMYFUNCTION("""COMPUTED_VALUE"""),57.03653015)</f>
        <v>57.03653015</v>
      </c>
      <c r="M1229" s="2">
        <f>IFERROR(__xludf.DUMMYFUNCTION("""COMPUTED_VALUE"""),24.0415917)</f>
        <v>24.0415917</v>
      </c>
    </row>
    <row r="1230">
      <c r="A1230" s="2" t="str">
        <f>IFERROR(__xludf.DUMMYFUNCTION("""COMPUTED_VALUE"""),"For rent")</f>
        <v>For rent</v>
      </c>
      <c r="B1230" s="2" t="str">
        <f>IFERROR(__xludf.DUMMYFUNCTION("""COMPUTED_VALUE"""),"Teika")</f>
        <v>Teika</v>
      </c>
      <c r="C1230" s="2" t="str">
        <f>IFERROR(__xludf.DUMMYFUNCTION("""COMPUTED_VALUE"""),"Struktoru 4")</f>
        <v>Struktoru 4</v>
      </c>
      <c r="D1230" s="2">
        <f>IFERROR(__xludf.DUMMYFUNCTION("""COMPUTED_VALUE"""),1.0)</f>
        <v>1</v>
      </c>
      <c r="E1230" s="2">
        <f>IFERROR(__xludf.DUMMYFUNCTION("""COMPUTED_VALUE"""),32.0)</f>
        <v>32</v>
      </c>
      <c r="F1230" s="2">
        <f>IFERROR(__xludf.DUMMYFUNCTION("""COMPUTED_VALUE"""),5.0)</f>
        <v>5</v>
      </c>
      <c r="G1230" s="2">
        <f>IFERROR(__xludf.DUMMYFUNCTION("""COMPUTED_VALUE"""),5.0)</f>
        <v>5</v>
      </c>
      <c r="H1230" s="2" t="str">
        <f>IFERROR(__xludf.DUMMYFUNCTION("""COMPUTED_VALUE"""),"Specpr.")</f>
        <v>Specpr.</v>
      </c>
      <c r="I1230" s="2" t="str">
        <f>IFERROR(__xludf.DUMMYFUNCTION("""COMPUTED_VALUE"""),"Brick-Panel")</f>
        <v>Brick-Panel</v>
      </c>
      <c r="J1230" s="2" t="str">
        <f>IFERROR(__xludf.DUMMYFUNCTION("""COMPUTED_VALUE"""),"All amenities")</f>
        <v>All amenities</v>
      </c>
      <c r="K1230" s="2">
        <f>IFERROR(__xludf.DUMMYFUNCTION("""COMPUTED_VALUE"""),225.0)</f>
        <v>225</v>
      </c>
      <c r="L1230" s="2">
        <f>IFERROR(__xludf.DUMMYFUNCTION("""COMPUTED_VALUE"""),56.9736867)</f>
        <v>56.9736867</v>
      </c>
      <c r="M1230" s="2">
        <f>IFERROR(__xludf.DUMMYFUNCTION("""COMPUTED_VALUE"""),24.1721500583477)</f>
        <v>24.17215006</v>
      </c>
    </row>
    <row r="1231">
      <c r="A1231" s="2" t="str">
        <f>IFERROR(__xludf.DUMMYFUNCTION("""COMPUTED_VALUE"""),"For rent")</f>
        <v>For rent</v>
      </c>
      <c r="B1231" s="2" t="str">
        <f>IFERROR(__xludf.DUMMYFUNCTION("""COMPUTED_VALUE"""),"centrs")</f>
        <v>centrs</v>
      </c>
      <c r="C1231" s="2" t="str">
        <f>IFERROR(__xludf.DUMMYFUNCTION("""COMPUTED_VALUE"""),"Blaumaņa 36")</f>
        <v>Blaumaņa 36</v>
      </c>
      <c r="D1231" s="2">
        <f>IFERROR(__xludf.DUMMYFUNCTION("""COMPUTED_VALUE"""),5.0)</f>
        <v>5</v>
      </c>
      <c r="E1231" s="2">
        <f>IFERROR(__xludf.DUMMYFUNCTION("""COMPUTED_VALUE"""),140.0)</f>
        <v>140</v>
      </c>
      <c r="F1231" s="2">
        <f>IFERROR(__xludf.DUMMYFUNCTION("""COMPUTED_VALUE"""),5.0)</f>
        <v>5</v>
      </c>
      <c r="G1231" s="2">
        <f>IFERROR(__xludf.DUMMYFUNCTION("""COMPUTED_VALUE"""),5.0)</f>
        <v>5</v>
      </c>
      <c r="H1231" s="2" t="str">
        <f>IFERROR(__xludf.DUMMYFUNCTION("""COMPUTED_VALUE"""),"P. kara")</f>
        <v>P. kara</v>
      </c>
      <c r="I1231" s="2" t="str">
        <f>IFERROR(__xludf.DUMMYFUNCTION("""COMPUTED_VALUE"""),"Masonry")</f>
        <v>Masonry</v>
      </c>
      <c r="J1231" s="2" t="str">
        <f>IFERROR(__xludf.DUMMYFUNCTION("""COMPUTED_VALUE"""),"All amenities")</f>
        <v>All amenities</v>
      </c>
      <c r="K1231" s="2">
        <f>IFERROR(__xludf.DUMMYFUNCTION("""COMPUTED_VALUE"""),290.0)</f>
        <v>290</v>
      </c>
      <c r="L1231" s="2">
        <f>IFERROR(__xludf.DUMMYFUNCTION("""COMPUTED_VALUE"""),56.95172905)</f>
        <v>56.95172905</v>
      </c>
      <c r="M1231" s="2">
        <f>IFERROR(__xludf.DUMMYFUNCTION("""COMPUTED_VALUE"""),24.1258148944244)</f>
        <v>24.12581489</v>
      </c>
    </row>
    <row r="1232">
      <c r="A1232" s="2" t="str">
        <f>IFERROR(__xludf.DUMMYFUNCTION("""COMPUTED_VALUE"""),"For rent")</f>
        <v>For rent</v>
      </c>
      <c r="B1232" s="2" t="str">
        <f>IFERROR(__xludf.DUMMYFUNCTION("""COMPUTED_VALUE"""),"centrs")</f>
        <v>centrs</v>
      </c>
      <c r="C1232" s="2" t="str">
        <f>IFERROR(__xludf.DUMMYFUNCTION("""COMPUTED_VALUE"""),"Klusā 20")</f>
        <v>Klusā 20</v>
      </c>
      <c r="D1232" s="2">
        <f>IFERROR(__xludf.DUMMYFUNCTION("""COMPUTED_VALUE"""),1.0)</f>
        <v>1</v>
      </c>
      <c r="E1232" s="2">
        <f>IFERROR(__xludf.DUMMYFUNCTION("""COMPUTED_VALUE"""),30.0)</f>
        <v>30</v>
      </c>
      <c r="F1232" s="2">
        <f>IFERROR(__xludf.DUMMYFUNCTION("""COMPUTED_VALUE"""),3.0)</f>
        <v>3</v>
      </c>
      <c r="G1232" s="2">
        <f>IFERROR(__xludf.DUMMYFUNCTION("""COMPUTED_VALUE"""),9.0)</f>
        <v>9</v>
      </c>
      <c r="H1232" s="2" t="str">
        <f>IFERROR(__xludf.DUMMYFUNCTION("""COMPUTED_VALUE"""),"Jaun.")</f>
        <v>Jaun.</v>
      </c>
      <c r="I1232" s="2" t="str">
        <f>IFERROR(__xludf.DUMMYFUNCTION("""COMPUTED_VALUE"""),"Panel")</f>
        <v>Panel</v>
      </c>
      <c r="J1232" s="2" t="str">
        <f>IFERROR(__xludf.DUMMYFUNCTION("""COMPUTED_VALUE"""),"All amenities")</f>
        <v>All amenities</v>
      </c>
      <c r="K1232" s="2">
        <f>IFERROR(__xludf.DUMMYFUNCTION("""COMPUTED_VALUE"""),30.0)</f>
        <v>30</v>
      </c>
      <c r="L1232" s="2">
        <f>IFERROR(__xludf.DUMMYFUNCTION("""COMPUTED_VALUE"""),56.97650505)</f>
        <v>56.97650505</v>
      </c>
      <c r="M1232" s="2">
        <f>IFERROR(__xludf.DUMMYFUNCTION("""COMPUTED_VALUE"""),24.1464958357009)</f>
        <v>24.14649584</v>
      </c>
    </row>
    <row r="1233">
      <c r="A1233" s="2" t="str">
        <f>IFERROR(__xludf.DUMMYFUNCTION("""COMPUTED_VALUE"""),"For sale")</f>
        <v>For sale</v>
      </c>
      <c r="B1233" s="2" t="str">
        <f>IFERROR(__xludf.DUMMYFUNCTION("""COMPUTED_VALUE"""),"Vecmīlgrāvis")</f>
        <v>Vecmīlgrāvis</v>
      </c>
      <c r="C1233" s="2" t="str">
        <f>IFERROR(__xludf.DUMMYFUNCTION("""COMPUTED_VALUE"""),"Meldru 4")</f>
        <v>Meldru 4</v>
      </c>
      <c r="D1233" s="2">
        <f>IFERROR(__xludf.DUMMYFUNCTION("""COMPUTED_VALUE"""),2.0)</f>
        <v>2</v>
      </c>
      <c r="E1233" s="2">
        <f>IFERROR(__xludf.DUMMYFUNCTION("""COMPUTED_VALUE"""),45.0)</f>
        <v>45</v>
      </c>
      <c r="F1233" s="2">
        <f>IFERROR(__xludf.DUMMYFUNCTION("""COMPUTED_VALUE"""),3.0)</f>
        <v>3</v>
      </c>
      <c r="G1233" s="2">
        <f>IFERROR(__xludf.DUMMYFUNCTION("""COMPUTED_VALUE"""),5.0)</f>
        <v>5</v>
      </c>
      <c r="H1233" s="2" t="str">
        <f>IFERROR(__xludf.DUMMYFUNCTION("""COMPUTED_VALUE"""),"Hrušč.")</f>
        <v>Hrušč.</v>
      </c>
      <c r="I1233" s="2" t="str">
        <f>IFERROR(__xludf.DUMMYFUNCTION("""COMPUTED_VALUE"""),"Brick")</f>
        <v>Brick</v>
      </c>
      <c r="J1233" s="2" t="str">
        <f>IFERROR(__xludf.DUMMYFUNCTION("""COMPUTED_VALUE"""),"All amenities")</f>
        <v>All amenities</v>
      </c>
      <c r="K1233" s="2">
        <f>IFERROR(__xludf.DUMMYFUNCTION("""COMPUTED_VALUE"""),35000.0)</f>
        <v>35000</v>
      </c>
      <c r="L1233" s="2">
        <f>IFERROR(__xludf.DUMMYFUNCTION("""COMPUTED_VALUE"""),57.0278589)</f>
        <v>57.0278589</v>
      </c>
      <c r="M1233" s="2">
        <f>IFERROR(__xludf.DUMMYFUNCTION("""COMPUTED_VALUE"""),24.1029177)</f>
        <v>24.1029177</v>
      </c>
    </row>
    <row r="1234">
      <c r="A1234" s="2" t="str">
        <f>IFERROR(__xludf.DUMMYFUNCTION("""COMPUTED_VALUE"""),"For sale")</f>
        <v>For sale</v>
      </c>
      <c r="B1234" s="2" t="str">
        <f>IFERROR(__xludf.DUMMYFUNCTION("""COMPUTED_VALUE"""),"Zolitūde")</f>
        <v>Zolitūde</v>
      </c>
      <c r="C1234" s="2" t="str">
        <f>IFERROR(__xludf.DUMMYFUNCTION("""COMPUTED_VALUE"""),"Irlavas 2")</f>
        <v>Irlavas 2</v>
      </c>
      <c r="D1234" s="2">
        <f>IFERROR(__xludf.DUMMYFUNCTION("""COMPUTED_VALUE"""),1.0)</f>
        <v>1</v>
      </c>
      <c r="E1234" s="2">
        <f>IFERROR(__xludf.DUMMYFUNCTION("""COMPUTED_VALUE"""),39.0)</f>
        <v>39</v>
      </c>
      <c r="F1234" s="2">
        <f>IFERROR(__xludf.DUMMYFUNCTION("""COMPUTED_VALUE"""),2.0)</f>
        <v>2</v>
      </c>
      <c r="G1234" s="2">
        <f>IFERROR(__xludf.DUMMYFUNCTION("""COMPUTED_VALUE"""),3.0)</f>
        <v>3</v>
      </c>
      <c r="H1234" s="2" t="str">
        <f>IFERROR(__xludf.DUMMYFUNCTION("""COMPUTED_VALUE"""),"Specpr.")</f>
        <v>Specpr.</v>
      </c>
      <c r="I1234" s="2" t="str">
        <f>IFERROR(__xludf.DUMMYFUNCTION("""COMPUTED_VALUE"""),"Masonry")</f>
        <v>Masonry</v>
      </c>
      <c r="J1234" s="2" t="str">
        <f>IFERROR(__xludf.DUMMYFUNCTION("""COMPUTED_VALUE"""),"All amenities")</f>
        <v>All amenities</v>
      </c>
      <c r="K1234" s="2">
        <f>IFERROR(__xludf.DUMMYFUNCTION("""COMPUTED_VALUE"""),38700.0)</f>
        <v>38700</v>
      </c>
      <c r="L1234" s="2">
        <f>IFERROR(__xludf.DUMMYFUNCTION("""COMPUTED_VALUE"""),56.9368446)</f>
        <v>56.9368446</v>
      </c>
      <c r="M1234" s="2">
        <f>IFERROR(__xludf.DUMMYFUNCTION("""COMPUTED_VALUE"""),24.0400032675605)</f>
        <v>24.04000327</v>
      </c>
    </row>
    <row r="1235">
      <c r="A1235" s="2" t="str">
        <f>IFERROR(__xludf.DUMMYFUNCTION("""COMPUTED_VALUE"""),"For rent")</f>
        <v>For rent</v>
      </c>
      <c r="B1235" s="2" t="str">
        <f>IFERROR(__xludf.DUMMYFUNCTION("""COMPUTED_VALUE"""),"centrs")</f>
        <v>centrs</v>
      </c>
      <c r="C1235" s="2" t="str">
        <f>IFERROR(__xludf.DUMMYFUNCTION("""COMPUTED_VALUE"""),"Riepnieku 2")</f>
        <v>Riepnieku 2</v>
      </c>
      <c r="D1235" s="2">
        <f>IFERROR(__xludf.DUMMYFUNCTION("""COMPUTED_VALUE"""),4.0)</f>
        <v>4</v>
      </c>
      <c r="E1235" s="2">
        <f>IFERROR(__xludf.DUMMYFUNCTION("""COMPUTED_VALUE"""),104.0)</f>
        <v>104</v>
      </c>
      <c r="F1235" s="2">
        <f>IFERROR(__xludf.DUMMYFUNCTION("""COMPUTED_VALUE"""),2.0)</f>
        <v>2</v>
      </c>
      <c r="G1235" s="2">
        <f>IFERROR(__xludf.DUMMYFUNCTION("""COMPUTED_VALUE"""),5.0)</f>
        <v>5</v>
      </c>
      <c r="H1235" s="2" t="str">
        <f>IFERROR(__xludf.DUMMYFUNCTION("""COMPUTED_VALUE"""),"Staļina")</f>
        <v>Staļina</v>
      </c>
      <c r="I1235" s="2" t="str">
        <f>IFERROR(__xludf.DUMMYFUNCTION("""COMPUTED_VALUE"""),"Brick")</f>
        <v>Brick</v>
      </c>
      <c r="J1235" s="2" t="str">
        <f>IFERROR(__xludf.DUMMYFUNCTION("""COMPUTED_VALUE"""),"All amenities")</f>
        <v>All amenities</v>
      </c>
      <c r="K1235" s="2">
        <f>IFERROR(__xludf.DUMMYFUNCTION("""COMPUTED_VALUE"""),680.0)</f>
        <v>680</v>
      </c>
      <c r="L1235" s="2">
        <f>IFERROR(__xludf.DUMMYFUNCTION("""COMPUTED_VALUE"""),56.9447289)</f>
        <v>56.9447289</v>
      </c>
      <c r="M1235" s="2">
        <f>IFERROR(__xludf.DUMMYFUNCTION("""COMPUTED_VALUE"""),24.124212)</f>
        <v>24.124212</v>
      </c>
    </row>
    <row r="1236">
      <c r="A1236" s="2" t="str">
        <f>IFERROR(__xludf.DUMMYFUNCTION("""COMPUTED_VALUE"""),"For rent")</f>
        <v>For rent</v>
      </c>
      <c r="B1236" s="2" t="str">
        <f>IFERROR(__xludf.DUMMYFUNCTION("""COMPUTED_VALUE"""),"centrs")</f>
        <v>centrs</v>
      </c>
      <c r="C1236" s="2" t="str">
        <f>IFERROR(__xludf.DUMMYFUNCTION("""COMPUTED_VALUE"""),"Visvalža 7")</f>
        <v>Visvalža 7</v>
      </c>
      <c r="D1236" s="2">
        <f>IFERROR(__xludf.DUMMYFUNCTION("""COMPUTED_VALUE"""),3.0)</f>
        <v>3</v>
      </c>
      <c r="E1236" s="2">
        <f>IFERROR(__xludf.DUMMYFUNCTION("""COMPUTED_VALUE"""),83.0)</f>
        <v>83</v>
      </c>
      <c r="F1236" s="2">
        <f>IFERROR(__xludf.DUMMYFUNCTION("""COMPUTED_VALUE"""),1.0)</f>
        <v>1</v>
      </c>
      <c r="G1236" s="2">
        <f>IFERROR(__xludf.DUMMYFUNCTION("""COMPUTED_VALUE"""),5.0)</f>
        <v>5</v>
      </c>
      <c r="H1236" s="2" t="str">
        <f>IFERROR(__xludf.DUMMYFUNCTION("""COMPUTED_VALUE"""),"Staļina")</f>
        <v>Staļina</v>
      </c>
      <c r="I1236" s="2" t="str">
        <f>IFERROR(__xludf.DUMMYFUNCTION("""COMPUTED_VALUE"""),"Masonry")</f>
        <v>Masonry</v>
      </c>
      <c r="J1236" s="2" t="str">
        <f>IFERROR(__xludf.DUMMYFUNCTION("""COMPUTED_VALUE"""),"All amenities")</f>
        <v>All amenities</v>
      </c>
      <c r="K1236" s="2">
        <f>IFERROR(__xludf.DUMMYFUNCTION("""COMPUTED_VALUE"""),660.0)</f>
        <v>660</v>
      </c>
      <c r="L1236" s="2">
        <f>IFERROR(__xludf.DUMMYFUNCTION("""COMPUTED_VALUE"""),56.9479492499999)</f>
        <v>56.94794925</v>
      </c>
      <c r="M1236" s="2">
        <f>IFERROR(__xludf.DUMMYFUNCTION("""COMPUTED_VALUE"""),24.1304457682304)</f>
        <v>24.13044577</v>
      </c>
    </row>
    <row r="1237">
      <c r="A1237" s="2" t="str">
        <f>IFERROR(__xludf.DUMMYFUNCTION("""COMPUTED_VALUE"""),"For sale")</f>
        <v>For sale</v>
      </c>
      <c r="B1237" s="2" t="str">
        <f>IFERROR(__xludf.DUMMYFUNCTION("""COMPUTED_VALUE"""),"Ziepniekkalns")</f>
        <v>Ziepniekkalns</v>
      </c>
      <c r="C1237" s="2" t="str">
        <f>IFERROR(__xludf.DUMMYFUNCTION("""COMPUTED_VALUE"""),"Valdeķu 62")</f>
        <v>Valdeķu 62</v>
      </c>
      <c r="D1237" s="2">
        <f>IFERROR(__xludf.DUMMYFUNCTION("""COMPUTED_VALUE"""),3.0)</f>
        <v>3</v>
      </c>
      <c r="E1237" s="2">
        <f>IFERROR(__xludf.DUMMYFUNCTION("""COMPUTED_VALUE"""),62.0)</f>
        <v>62</v>
      </c>
      <c r="F1237" s="2">
        <f>IFERROR(__xludf.DUMMYFUNCTION("""COMPUTED_VALUE"""),4.0)</f>
        <v>4</v>
      </c>
      <c r="G1237" s="2">
        <f>IFERROR(__xludf.DUMMYFUNCTION("""COMPUTED_VALUE"""),9.0)</f>
        <v>9</v>
      </c>
      <c r="H1237" s="2">
        <f>IFERROR(__xludf.DUMMYFUNCTION("""COMPUTED_VALUE"""),602.0)</f>
        <v>602</v>
      </c>
      <c r="I1237" s="2" t="str">
        <f>IFERROR(__xludf.DUMMYFUNCTION("""COMPUTED_VALUE"""),"Panel")</f>
        <v>Panel</v>
      </c>
      <c r="J1237" s="2" t="str">
        <f>IFERROR(__xludf.DUMMYFUNCTION("""COMPUTED_VALUE"""),"All amenities")</f>
        <v>All amenities</v>
      </c>
      <c r="K1237" s="2">
        <f>IFERROR(__xludf.DUMMYFUNCTION("""COMPUTED_VALUE"""),60000.0)</f>
        <v>60000</v>
      </c>
      <c r="L1237" s="2">
        <f>IFERROR(__xludf.DUMMYFUNCTION("""COMPUTED_VALUE"""),56.90102635)</f>
        <v>56.90102635</v>
      </c>
      <c r="M1237" s="2">
        <f>IFERROR(__xludf.DUMMYFUNCTION("""COMPUTED_VALUE"""),24.0939941127903)</f>
        <v>24.09399411</v>
      </c>
    </row>
    <row r="1238">
      <c r="A1238" s="2" t="str">
        <f>IFERROR(__xludf.DUMMYFUNCTION("""COMPUTED_VALUE"""),"For rent")</f>
        <v>For rent</v>
      </c>
      <c r="B1238" s="2" t="str">
        <f>IFERROR(__xludf.DUMMYFUNCTION("""COMPUTED_VALUE"""),"Āgenskalns")</f>
        <v>Āgenskalns</v>
      </c>
      <c r="C1238" s="2" t="str">
        <f>IFERROR(__xludf.DUMMYFUNCTION("""COMPUTED_VALUE"""),"Liepājas 34")</f>
        <v>Liepājas 34</v>
      </c>
      <c r="D1238" s="2">
        <f>IFERROR(__xludf.DUMMYFUNCTION("""COMPUTED_VALUE"""),4.0)</f>
        <v>4</v>
      </c>
      <c r="E1238" s="2">
        <f>IFERROR(__xludf.DUMMYFUNCTION("""COMPUTED_VALUE"""),94.0)</f>
        <v>94</v>
      </c>
      <c r="F1238" s="2">
        <f>IFERROR(__xludf.DUMMYFUNCTION("""COMPUTED_VALUE"""),3.0)</f>
        <v>3</v>
      </c>
      <c r="G1238" s="2">
        <f>IFERROR(__xludf.DUMMYFUNCTION("""COMPUTED_VALUE"""),4.0)</f>
        <v>4</v>
      </c>
      <c r="H1238" s="2" t="str">
        <f>IFERROR(__xludf.DUMMYFUNCTION("""COMPUTED_VALUE"""),"Jaun.")</f>
        <v>Jaun.</v>
      </c>
      <c r="I1238" s="2" t="str">
        <f>IFERROR(__xludf.DUMMYFUNCTION("""COMPUTED_VALUE"""),"Panel")</f>
        <v>Panel</v>
      </c>
      <c r="J1238" s="2" t="str">
        <f>IFERROR(__xludf.DUMMYFUNCTION("""COMPUTED_VALUE"""),"All amenities")</f>
        <v>All amenities</v>
      </c>
      <c r="K1238" s="2">
        <f>IFERROR(__xludf.DUMMYFUNCTION("""COMPUTED_VALUE"""),800.0)</f>
        <v>800</v>
      </c>
      <c r="L1238" s="2">
        <f>IFERROR(__xludf.DUMMYFUNCTION("""COMPUTED_VALUE"""),56.9313946)</f>
        <v>56.9313946</v>
      </c>
      <c r="M1238" s="2">
        <f>IFERROR(__xludf.DUMMYFUNCTION("""COMPUTED_VALUE"""),24.0706271241211)</f>
        <v>24.07062712</v>
      </c>
    </row>
    <row r="1239">
      <c r="A1239" s="2" t="str">
        <f>IFERROR(__xludf.DUMMYFUNCTION("""COMPUTED_VALUE"""),"For sale")</f>
        <v>For sale</v>
      </c>
      <c r="B1239" s="2" t="str">
        <f>IFERROR(__xludf.DUMMYFUNCTION("""COMPUTED_VALUE"""),"Bolderāja")</f>
        <v>Bolderāja</v>
      </c>
      <c r="C1239" s="2" t="str">
        <f>IFERROR(__xludf.DUMMYFUNCTION("""COMPUTED_VALUE"""),"Silikātu 1 k-2")</f>
        <v>Silikātu 1 k-2</v>
      </c>
      <c r="D1239" s="2">
        <f>IFERROR(__xludf.DUMMYFUNCTION("""COMPUTED_VALUE"""),2.0)</f>
        <v>2</v>
      </c>
      <c r="E1239" s="2">
        <f>IFERROR(__xludf.DUMMYFUNCTION("""COMPUTED_VALUE"""),34.0)</f>
        <v>34</v>
      </c>
      <c r="F1239" s="2">
        <f>IFERROR(__xludf.DUMMYFUNCTION("""COMPUTED_VALUE"""),4.0)</f>
        <v>4</v>
      </c>
      <c r="G1239" s="2">
        <f>IFERROR(__xludf.DUMMYFUNCTION("""COMPUTED_VALUE"""),4.0)</f>
        <v>4</v>
      </c>
      <c r="H1239" s="2" t="str">
        <f>IFERROR(__xludf.DUMMYFUNCTION("""COMPUTED_VALUE"""),"Hrušč.")</f>
        <v>Hrušč.</v>
      </c>
      <c r="I1239" s="2" t="str">
        <f>IFERROR(__xludf.DUMMYFUNCTION("""COMPUTED_VALUE"""),"Brick-Panel")</f>
        <v>Brick-Panel</v>
      </c>
      <c r="J1239" s="2" t="str">
        <f>IFERROR(__xludf.DUMMYFUNCTION("""COMPUTED_VALUE"""),"All amenities")</f>
        <v>All amenities</v>
      </c>
      <c r="K1239" s="2">
        <f>IFERROR(__xludf.DUMMYFUNCTION("""COMPUTED_VALUE"""),24000.0)</f>
        <v>24000</v>
      </c>
      <c r="L1239" s="2" t="str">
        <f>IFERROR(__xludf.DUMMYFUNCTION("""COMPUTED_VALUE"""),"NaN")</f>
        <v>NaN</v>
      </c>
      <c r="M1239" s="2" t="str">
        <f>IFERROR(__xludf.DUMMYFUNCTION("""COMPUTED_VALUE"""),"NaN")</f>
        <v>NaN</v>
      </c>
    </row>
    <row r="1240">
      <c r="A1240" s="2" t="str">
        <f>IFERROR(__xludf.DUMMYFUNCTION("""COMPUTED_VALUE"""),"For rent")</f>
        <v>For rent</v>
      </c>
      <c r="B1240" s="2" t="str">
        <f>IFERROR(__xludf.DUMMYFUNCTION("""COMPUTED_VALUE"""),"Purvciems")</f>
        <v>Purvciems</v>
      </c>
      <c r="C1240" s="2" t="str">
        <f>IFERROR(__xludf.DUMMYFUNCTION("""COMPUTED_VALUE"""),"Stirnu 13a")</f>
        <v>Stirnu 13a</v>
      </c>
      <c r="D1240" s="2">
        <f>IFERROR(__xludf.DUMMYFUNCTION("""COMPUTED_VALUE"""),2.0)</f>
        <v>2</v>
      </c>
      <c r="E1240" s="2">
        <f>IFERROR(__xludf.DUMMYFUNCTION("""COMPUTED_VALUE"""),46.0)</f>
        <v>46</v>
      </c>
      <c r="F1240" s="2">
        <f>IFERROR(__xludf.DUMMYFUNCTION("""COMPUTED_VALUE"""),1.0)</f>
        <v>1</v>
      </c>
      <c r="G1240" s="2">
        <f>IFERROR(__xludf.DUMMYFUNCTION("""COMPUTED_VALUE"""),6.0)</f>
        <v>6</v>
      </c>
      <c r="H1240" s="2" t="str">
        <f>IFERROR(__xludf.DUMMYFUNCTION("""COMPUTED_VALUE"""),"Jaun.")</f>
        <v>Jaun.</v>
      </c>
      <c r="I1240" s="2" t="str">
        <f>IFERROR(__xludf.DUMMYFUNCTION("""COMPUTED_VALUE"""),"Panel")</f>
        <v>Panel</v>
      </c>
      <c r="J1240" s="2" t="str">
        <f>IFERROR(__xludf.DUMMYFUNCTION("""COMPUTED_VALUE"""),"All amenities")</f>
        <v>All amenities</v>
      </c>
      <c r="K1240" s="2">
        <f>IFERROR(__xludf.DUMMYFUNCTION("""COMPUTED_VALUE"""),35.0)</f>
        <v>35</v>
      </c>
      <c r="L1240" s="2">
        <f>IFERROR(__xludf.DUMMYFUNCTION("""COMPUTED_VALUE"""),56.95534335)</f>
        <v>56.95534335</v>
      </c>
      <c r="M1240" s="2">
        <f>IFERROR(__xludf.DUMMYFUNCTION("""COMPUTED_VALUE"""),24.1791980638178)</f>
        <v>24.17919806</v>
      </c>
    </row>
    <row r="1241">
      <c r="A1241" s="2" t="str">
        <f>IFERROR(__xludf.DUMMYFUNCTION("""COMPUTED_VALUE"""),"For sale")</f>
        <v>For sale</v>
      </c>
      <c r="B1241" s="2" t="str">
        <f>IFERROR(__xludf.DUMMYFUNCTION("""COMPUTED_VALUE"""),"centrs")</f>
        <v>centrs</v>
      </c>
      <c r="C1241" s="2" t="str">
        <f>IFERROR(__xludf.DUMMYFUNCTION("""COMPUTED_VALUE"""),"Valdemāra 57")</f>
        <v>Valdemāra 57</v>
      </c>
      <c r="D1241" s="2">
        <f>IFERROR(__xludf.DUMMYFUNCTION("""COMPUTED_VALUE"""),4.0)</f>
        <v>4</v>
      </c>
      <c r="E1241" s="2">
        <f>IFERROR(__xludf.DUMMYFUNCTION("""COMPUTED_VALUE"""),94.0)</f>
        <v>94</v>
      </c>
      <c r="F1241" s="2">
        <f>IFERROR(__xludf.DUMMYFUNCTION("""COMPUTED_VALUE"""),3.0)</f>
        <v>3</v>
      </c>
      <c r="G1241" s="2">
        <f>IFERROR(__xludf.DUMMYFUNCTION("""COMPUTED_VALUE"""),7.0)</f>
        <v>7</v>
      </c>
      <c r="H1241" s="2" t="str">
        <f>IFERROR(__xludf.DUMMYFUNCTION("""COMPUTED_VALUE"""),"P. kara")</f>
        <v>P. kara</v>
      </c>
      <c r="I1241" s="2" t="str">
        <f>IFERROR(__xludf.DUMMYFUNCTION("""COMPUTED_VALUE"""),"Masonry")</f>
        <v>Masonry</v>
      </c>
      <c r="J1241" s="2" t="str">
        <f>IFERROR(__xludf.DUMMYFUNCTION("""COMPUTED_VALUE"""),"All amenities")</f>
        <v>All amenities</v>
      </c>
      <c r="K1241" s="2">
        <f>IFERROR(__xludf.DUMMYFUNCTION("""COMPUTED_VALUE"""),210000.0)</f>
        <v>210000</v>
      </c>
      <c r="L1241" s="2">
        <f>IFERROR(__xludf.DUMMYFUNCTION("""COMPUTED_VALUE"""),56.960378)</f>
        <v>56.960378</v>
      </c>
      <c r="M1241" s="2">
        <f>IFERROR(__xludf.DUMMYFUNCTION("""COMPUTED_VALUE"""),24.1197764)</f>
        <v>24.1197764</v>
      </c>
    </row>
    <row r="1242">
      <c r="A1242" s="2" t="str">
        <f>IFERROR(__xludf.DUMMYFUNCTION("""COMPUTED_VALUE"""),"For sale")</f>
        <v>For sale</v>
      </c>
      <c r="B1242" s="2" t="str">
        <f>IFERROR(__xludf.DUMMYFUNCTION("""COMPUTED_VALUE"""),"Jugla")</f>
        <v>Jugla</v>
      </c>
      <c r="C1242" s="2" t="str">
        <f>IFERROR(__xludf.DUMMYFUNCTION("""COMPUTED_VALUE"""),"Murjāņu 36")</f>
        <v>Murjāņu 36</v>
      </c>
      <c r="D1242" s="2">
        <f>IFERROR(__xludf.DUMMYFUNCTION("""COMPUTED_VALUE"""),2.0)</f>
        <v>2</v>
      </c>
      <c r="E1242" s="2">
        <f>IFERROR(__xludf.DUMMYFUNCTION("""COMPUTED_VALUE"""),47.0)</f>
        <v>47</v>
      </c>
      <c r="F1242" s="2">
        <f>IFERROR(__xludf.DUMMYFUNCTION("""COMPUTED_VALUE"""),2.0)</f>
        <v>2</v>
      </c>
      <c r="G1242" s="2">
        <f>IFERROR(__xludf.DUMMYFUNCTION("""COMPUTED_VALUE"""),5.0)</f>
        <v>5</v>
      </c>
      <c r="H1242" s="2" t="str">
        <f>IFERROR(__xludf.DUMMYFUNCTION("""COMPUTED_VALUE"""),"Hrušč.")</f>
        <v>Hrušč.</v>
      </c>
      <c r="I1242" s="2" t="str">
        <f>IFERROR(__xludf.DUMMYFUNCTION("""COMPUTED_VALUE"""),"Brick")</f>
        <v>Brick</v>
      </c>
      <c r="J1242" s="2" t="str">
        <f>IFERROR(__xludf.DUMMYFUNCTION("""COMPUTED_VALUE"""),"All amenities")</f>
        <v>All amenities</v>
      </c>
      <c r="K1242" s="2">
        <f>IFERROR(__xludf.DUMMYFUNCTION("""COMPUTED_VALUE"""),37500.0)</f>
        <v>37500</v>
      </c>
      <c r="L1242" s="2">
        <f>IFERROR(__xludf.DUMMYFUNCTION("""COMPUTED_VALUE"""),56.97863375)</f>
        <v>56.97863375</v>
      </c>
      <c r="M1242" s="2">
        <f>IFERROR(__xludf.DUMMYFUNCTION("""COMPUTED_VALUE"""),24.2474800529953)</f>
        <v>24.24748005</v>
      </c>
    </row>
    <row r="1243">
      <c r="A1243" s="2" t="str">
        <f>IFERROR(__xludf.DUMMYFUNCTION("""COMPUTED_VALUE"""),"For rent")</f>
        <v>For rent</v>
      </c>
      <c r="B1243" s="2" t="str">
        <f>IFERROR(__xludf.DUMMYFUNCTION("""COMPUTED_VALUE"""),"centrs")</f>
        <v>centrs</v>
      </c>
      <c r="C1243" s="2" t="str">
        <f>IFERROR(__xludf.DUMMYFUNCTION("""COMPUTED_VALUE"""),"Stabu 62")</f>
        <v>Stabu 62</v>
      </c>
      <c r="D1243" s="2">
        <f>IFERROR(__xludf.DUMMYFUNCTION("""COMPUTED_VALUE"""),5.0)</f>
        <v>5</v>
      </c>
      <c r="E1243" s="2">
        <f>IFERROR(__xludf.DUMMYFUNCTION("""COMPUTED_VALUE"""),98.0)</f>
        <v>98</v>
      </c>
      <c r="F1243" s="2">
        <f>IFERROR(__xludf.DUMMYFUNCTION("""COMPUTED_VALUE"""),2.0)</f>
        <v>2</v>
      </c>
      <c r="G1243" s="2">
        <f>IFERROR(__xludf.DUMMYFUNCTION("""COMPUTED_VALUE"""),5.0)</f>
        <v>5</v>
      </c>
      <c r="H1243" s="2" t="str">
        <f>IFERROR(__xludf.DUMMYFUNCTION("""COMPUTED_VALUE"""),"P. kara")</f>
        <v>P. kara</v>
      </c>
      <c r="I1243" s="2" t="str">
        <f>IFERROR(__xludf.DUMMYFUNCTION("""COMPUTED_VALUE"""),"Masonry")</f>
        <v>Masonry</v>
      </c>
      <c r="J1243" s="2" t="str">
        <f>IFERROR(__xludf.DUMMYFUNCTION("""COMPUTED_VALUE"""),"All amenities")</f>
        <v>All amenities</v>
      </c>
      <c r="K1243" s="2">
        <f>IFERROR(__xludf.DUMMYFUNCTION("""COMPUTED_VALUE"""),690.0)</f>
        <v>690</v>
      </c>
      <c r="L1243" s="2">
        <f>IFERROR(__xludf.DUMMYFUNCTION("""COMPUTED_VALUE"""),56.9527501)</f>
        <v>56.9527501</v>
      </c>
      <c r="M1243" s="2">
        <f>IFERROR(__xludf.DUMMYFUNCTION("""COMPUTED_VALUE"""),24.1355324)</f>
        <v>24.1355324</v>
      </c>
    </row>
    <row r="1244">
      <c r="A1244" s="2" t="str">
        <f>IFERROR(__xludf.DUMMYFUNCTION("""COMPUTED_VALUE"""),"For sale")</f>
        <v>For sale</v>
      </c>
      <c r="B1244" s="2" t="str">
        <f>IFERROR(__xludf.DUMMYFUNCTION("""COMPUTED_VALUE"""),"Ziepniekkalns")</f>
        <v>Ziepniekkalns</v>
      </c>
      <c r="C1244" s="2" t="str">
        <f>IFERROR(__xludf.DUMMYFUNCTION("""COMPUTED_VALUE"""),"Bātas 3a")</f>
        <v>Bātas 3a</v>
      </c>
      <c r="D1244" s="2">
        <f>IFERROR(__xludf.DUMMYFUNCTION("""COMPUTED_VALUE"""),3.0)</f>
        <v>3</v>
      </c>
      <c r="E1244" s="2">
        <f>IFERROR(__xludf.DUMMYFUNCTION("""COMPUTED_VALUE"""),145.0)</f>
        <v>145</v>
      </c>
      <c r="F1244" s="2">
        <f>IFERROR(__xludf.DUMMYFUNCTION("""COMPUTED_VALUE"""),3.0)</f>
        <v>3</v>
      </c>
      <c r="G1244" s="2">
        <f>IFERROR(__xludf.DUMMYFUNCTION("""COMPUTED_VALUE"""),4.0)</f>
        <v>4</v>
      </c>
      <c r="H1244" s="2" t="str">
        <f>IFERROR(__xludf.DUMMYFUNCTION("""COMPUTED_VALUE"""),"Jaun.")</f>
        <v>Jaun.</v>
      </c>
      <c r="I1244" s="2" t="str">
        <f>IFERROR(__xludf.DUMMYFUNCTION("""COMPUTED_VALUE"""),"Panel")</f>
        <v>Panel</v>
      </c>
      <c r="J1244" s="2" t="str">
        <f>IFERROR(__xludf.DUMMYFUNCTION("""COMPUTED_VALUE"""),"All amenities")</f>
        <v>All amenities</v>
      </c>
      <c r="K1244" s="2">
        <f>IFERROR(__xludf.DUMMYFUNCTION("""COMPUTED_VALUE"""),189805.0)</f>
        <v>189805</v>
      </c>
      <c r="L1244" s="2">
        <f>IFERROR(__xludf.DUMMYFUNCTION("""COMPUTED_VALUE"""),56.90785995)</f>
        <v>56.90785995</v>
      </c>
      <c r="M1244" s="2">
        <f>IFERROR(__xludf.DUMMYFUNCTION("""COMPUTED_VALUE"""),24.085734)</f>
        <v>24.085734</v>
      </c>
    </row>
    <row r="1245">
      <c r="A1245" s="2" t="str">
        <f>IFERROR(__xludf.DUMMYFUNCTION("""COMPUTED_VALUE"""),"For rent")</f>
        <v>For rent</v>
      </c>
      <c r="B1245" s="2" t="str">
        <f>IFERROR(__xludf.DUMMYFUNCTION("""COMPUTED_VALUE"""),"Ķengarags")</f>
        <v>Ķengarags</v>
      </c>
      <c r="C1245" s="2" t="str">
        <f>IFERROR(__xludf.DUMMYFUNCTION("""COMPUTED_VALUE"""),"Maskavas 250/11")</f>
        <v>Maskavas 250/11</v>
      </c>
      <c r="D1245" s="2">
        <f>IFERROR(__xludf.DUMMYFUNCTION("""COMPUTED_VALUE"""),2.0)</f>
        <v>2</v>
      </c>
      <c r="E1245" s="2">
        <f>IFERROR(__xludf.DUMMYFUNCTION("""COMPUTED_VALUE"""),46.0)</f>
        <v>46</v>
      </c>
      <c r="F1245" s="2">
        <f>IFERROR(__xludf.DUMMYFUNCTION("""COMPUTED_VALUE"""),2.0)</f>
        <v>2</v>
      </c>
      <c r="G1245" s="2">
        <f>IFERROR(__xludf.DUMMYFUNCTION("""COMPUTED_VALUE"""),5.0)</f>
        <v>5</v>
      </c>
      <c r="H1245" s="2" t="str">
        <f>IFERROR(__xludf.DUMMYFUNCTION("""COMPUTED_VALUE"""),"LT proj.")</f>
        <v>LT proj.</v>
      </c>
      <c r="I1245" s="2" t="str">
        <f>IFERROR(__xludf.DUMMYFUNCTION("""COMPUTED_VALUE"""),"Panel")</f>
        <v>Panel</v>
      </c>
      <c r="J1245" s="2" t="str">
        <f>IFERROR(__xludf.DUMMYFUNCTION("""COMPUTED_VALUE"""),"All amenities")</f>
        <v>All amenities</v>
      </c>
      <c r="K1245" s="2">
        <f>IFERROR(__xludf.DUMMYFUNCTION("""COMPUTED_VALUE"""),250.0)</f>
        <v>250</v>
      </c>
      <c r="L1245" s="2">
        <f>IFERROR(__xludf.DUMMYFUNCTION("""COMPUTED_VALUE"""),56.94444085)</f>
        <v>56.94444085</v>
      </c>
      <c r="M1245" s="2">
        <f>IFERROR(__xludf.DUMMYFUNCTION("""COMPUTED_VALUE"""),24.1123628570057)</f>
        <v>24.11236286</v>
      </c>
    </row>
    <row r="1246">
      <c r="A1246" s="2" t="str">
        <f>IFERROR(__xludf.DUMMYFUNCTION("""COMPUTED_VALUE"""),"For rent")</f>
        <v>For rent</v>
      </c>
      <c r="B1246" s="2" t="str">
        <f>IFERROR(__xludf.DUMMYFUNCTION("""COMPUTED_VALUE"""),"Ziepniekkalns")</f>
        <v>Ziepniekkalns</v>
      </c>
      <c r="C1246" s="2" t="str">
        <f>IFERROR(__xludf.DUMMYFUNCTION("""COMPUTED_VALUE"""),"Bikstu 6")</f>
        <v>Bikstu 6</v>
      </c>
      <c r="D1246" s="2">
        <f>IFERROR(__xludf.DUMMYFUNCTION("""COMPUTED_VALUE"""),2.0)</f>
        <v>2</v>
      </c>
      <c r="E1246" s="2">
        <f>IFERROR(__xludf.DUMMYFUNCTION("""COMPUTED_VALUE"""),46.0)</f>
        <v>46</v>
      </c>
      <c r="F1246" s="2">
        <f>IFERROR(__xludf.DUMMYFUNCTION("""COMPUTED_VALUE"""),3.0)</f>
        <v>3</v>
      </c>
      <c r="G1246" s="2">
        <f>IFERROR(__xludf.DUMMYFUNCTION("""COMPUTED_VALUE"""),6.0)</f>
        <v>6</v>
      </c>
      <c r="H1246" s="2" t="str">
        <f>IFERROR(__xludf.DUMMYFUNCTION("""COMPUTED_VALUE"""),"Jaun.")</f>
        <v>Jaun.</v>
      </c>
      <c r="I1246" s="2" t="str">
        <f>IFERROR(__xludf.DUMMYFUNCTION("""COMPUTED_VALUE"""),"Brick-Panel")</f>
        <v>Brick-Panel</v>
      </c>
      <c r="J1246" s="2" t="str">
        <f>IFERROR(__xludf.DUMMYFUNCTION("""COMPUTED_VALUE"""),"All amenities")</f>
        <v>All amenities</v>
      </c>
      <c r="K1246" s="2">
        <f>IFERROR(__xludf.DUMMYFUNCTION("""COMPUTED_VALUE"""),450.0)</f>
        <v>450</v>
      </c>
      <c r="L1246" s="2">
        <f>IFERROR(__xludf.DUMMYFUNCTION("""COMPUTED_VALUE"""),56.90884755)</f>
        <v>56.90884755</v>
      </c>
      <c r="M1246" s="2">
        <f>IFERROR(__xludf.DUMMYFUNCTION("""COMPUTED_VALUE"""),24.0794370513523)</f>
        <v>24.07943705</v>
      </c>
    </row>
    <row r="1247">
      <c r="A1247" s="2" t="str">
        <f>IFERROR(__xludf.DUMMYFUNCTION("""COMPUTED_VALUE"""),"For rent")</f>
        <v>For rent</v>
      </c>
      <c r="B1247" s="2" t="str">
        <f>IFERROR(__xludf.DUMMYFUNCTION("""COMPUTED_VALUE"""),"Pļavnieki")</f>
        <v>Pļavnieki</v>
      </c>
      <c r="C1247" s="2" t="str">
        <f>IFERROR(__xludf.DUMMYFUNCTION("""COMPUTED_VALUE"""),"Zemes 3")</f>
        <v>Zemes 3</v>
      </c>
      <c r="D1247" s="2">
        <f>IFERROR(__xludf.DUMMYFUNCTION("""COMPUTED_VALUE"""),2.0)</f>
        <v>2</v>
      </c>
      <c r="E1247" s="2">
        <f>IFERROR(__xludf.DUMMYFUNCTION("""COMPUTED_VALUE"""),50.0)</f>
        <v>50</v>
      </c>
      <c r="F1247" s="2">
        <f>IFERROR(__xludf.DUMMYFUNCTION("""COMPUTED_VALUE"""),3.0)</f>
        <v>3</v>
      </c>
      <c r="G1247" s="2">
        <f>IFERROR(__xludf.DUMMYFUNCTION("""COMPUTED_VALUE"""),9.0)</f>
        <v>9</v>
      </c>
      <c r="H1247" s="2">
        <f>IFERROR(__xludf.DUMMYFUNCTION("""COMPUTED_VALUE"""),602.0)</f>
        <v>602</v>
      </c>
      <c r="I1247" s="2" t="str">
        <f>IFERROR(__xludf.DUMMYFUNCTION("""COMPUTED_VALUE"""),"Panel")</f>
        <v>Panel</v>
      </c>
      <c r="J1247" s="2" t="str">
        <f>IFERROR(__xludf.DUMMYFUNCTION("""COMPUTED_VALUE"""),"All amenities")</f>
        <v>All amenities</v>
      </c>
      <c r="K1247" s="2">
        <f>IFERROR(__xludf.DUMMYFUNCTION("""COMPUTED_VALUE"""),299.0)</f>
        <v>299</v>
      </c>
      <c r="L1247" s="2">
        <f>IFERROR(__xludf.DUMMYFUNCTION("""COMPUTED_VALUE"""),56.942271)</f>
        <v>56.942271</v>
      </c>
      <c r="M1247" s="2">
        <f>IFERROR(__xludf.DUMMYFUNCTION("""COMPUTED_VALUE"""),24.1972067778583)</f>
        <v>24.19720678</v>
      </c>
    </row>
    <row r="1248">
      <c r="A1248" s="2" t="str">
        <f>IFERROR(__xludf.DUMMYFUNCTION("""COMPUTED_VALUE"""),"For rent")</f>
        <v>For rent</v>
      </c>
      <c r="B1248" s="2" t="str">
        <f>IFERROR(__xludf.DUMMYFUNCTION("""COMPUTED_VALUE"""),"centrs")</f>
        <v>centrs</v>
      </c>
      <c r="C1248" s="2" t="str">
        <f>IFERROR(__xludf.DUMMYFUNCTION("""COMPUTED_VALUE"""),"Avotu 76")</f>
        <v>Avotu 76</v>
      </c>
      <c r="D1248" s="2">
        <f>IFERROR(__xludf.DUMMYFUNCTION("""COMPUTED_VALUE"""),1.0)</f>
        <v>1</v>
      </c>
      <c r="E1248" s="2">
        <f>IFERROR(__xludf.DUMMYFUNCTION("""COMPUTED_VALUE"""),25.0)</f>
        <v>25</v>
      </c>
      <c r="F1248" s="2">
        <f>IFERROR(__xludf.DUMMYFUNCTION("""COMPUTED_VALUE"""),2.0)</f>
        <v>2</v>
      </c>
      <c r="G1248" s="2">
        <f>IFERROR(__xludf.DUMMYFUNCTION("""COMPUTED_VALUE"""),2.0)</f>
        <v>2</v>
      </c>
      <c r="H1248" s="2" t="str">
        <f>IFERROR(__xludf.DUMMYFUNCTION("""COMPUTED_VALUE"""),"P. kara")</f>
        <v>P. kara</v>
      </c>
      <c r="I1248" s="2" t="str">
        <f>IFERROR(__xludf.DUMMYFUNCTION("""COMPUTED_VALUE"""),"Wood")</f>
        <v>Wood</v>
      </c>
      <c r="J1248" s="2" t="str">
        <f>IFERROR(__xludf.DUMMYFUNCTION("""COMPUTED_VALUE"""),"All amenities")</f>
        <v>All amenities</v>
      </c>
      <c r="K1248" s="2">
        <f>IFERROR(__xludf.DUMMYFUNCTION("""COMPUTED_VALUE"""),230.0)</f>
        <v>230</v>
      </c>
      <c r="L1248" s="2">
        <f>IFERROR(__xludf.DUMMYFUNCTION("""COMPUTED_VALUE"""),56.9534503)</f>
        <v>56.9534503</v>
      </c>
      <c r="M1248" s="2">
        <f>IFERROR(__xludf.DUMMYFUNCTION("""COMPUTED_VALUE"""),24.1464076)</f>
        <v>24.1464076</v>
      </c>
    </row>
    <row r="1249">
      <c r="A1249" s="2" t="str">
        <f>IFERROR(__xludf.DUMMYFUNCTION("""COMPUTED_VALUE"""),"For rent")</f>
        <v>For rent</v>
      </c>
      <c r="B1249" s="2" t="str">
        <f>IFERROR(__xludf.DUMMYFUNCTION("""COMPUTED_VALUE"""),"centrs")</f>
        <v>centrs</v>
      </c>
      <c r="C1249" s="2" t="str">
        <f>IFERROR(__xludf.DUMMYFUNCTION("""COMPUTED_VALUE"""),"Indrānu 8")</f>
        <v>Indrānu 8</v>
      </c>
      <c r="D1249" s="2">
        <f>IFERROR(__xludf.DUMMYFUNCTION("""COMPUTED_VALUE"""),2.0)</f>
        <v>2</v>
      </c>
      <c r="E1249" s="2">
        <f>IFERROR(__xludf.DUMMYFUNCTION("""COMPUTED_VALUE"""),56.0)</f>
        <v>56</v>
      </c>
      <c r="F1249" s="2">
        <f>IFERROR(__xludf.DUMMYFUNCTION("""COMPUTED_VALUE"""),2.0)</f>
        <v>2</v>
      </c>
      <c r="G1249" s="2">
        <f>IFERROR(__xludf.DUMMYFUNCTION("""COMPUTED_VALUE"""),7.0)</f>
        <v>7</v>
      </c>
      <c r="H1249" s="2" t="str">
        <f>IFERROR(__xludf.DUMMYFUNCTION("""COMPUTED_VALUE"""),"Jaun.")</f>
        <v>Jaun.</v>
      </c>
      <c r="I1249" s="2" t="str">
        <f>IFERROR(__xludf.DUMMYFUNCTION("""COMPUTED_VALUE"""),"Brick-Panel")</f>
        <v>Brick-Panel</v>
      </c>
      <c r="J1249" s="2" t="str">
        <f>IFERROR(__xludf.DUMMYFUNCTION("""COMPUTED_VALUE"""),"All amenities")</f>
        <v>All amenities</v>
      </c>
      <c r="K1249" s="2">
        <f>IFERROR(__xludf.DUMMYFUNCTION("""COMPUTED_VALUE"""),670.0)</f>
        <v>670</v>
      </c>
      <c r="L1249" s="2">
        <f>IFERROR(__xludf.DUMMYFUNCTION("""COMPUTED_VALUE"""),56.9684979)</f>
        <v>56.9684979</v>
      </c>
      <c r="M1249" s="2">
        <f>IFERROR(__xludf.DUMMYFUNCTION("""COMPUTED_VALUE"""),24.1467035)</f>
        <v>24.1467035</v>
      </c>
    </row>
    <row r="1250">
      <c r="A1250" s="2" t="str">
        <f>IFERROR(__xludf.DUMMYFUNCTION("""COMPUTED_VALUE"""),"For sale")</f>
        <v>For sale</v>
      </c>
      <c r="B1250" s="2" t="str">
        <f>IFERROR(__xludf.DUMMYFUNCTION("""COMPUTED_VALUE"""),"Purvciems")</f>
        <v>Purvciems</v>
      </c>
      <c r="C1250" s="2" t="str">
        <f>IFERROR(__xludf.DUMMYFUNCTION("""COMPUTED_VALUE"""),"Stirnu 53")</f>
        <v>Stirnu 53</v>
      </c>
      <c r="D1250" s="2">
        <f>IFERROR(__xludf.DUMMYFUNCTION("""COMPUTED_VALUE"""),3.0)</f>
        <v>3</v>
      </c>
      <c r="E1250" s="2">
        <f>IFERROR(__xludf.DUMMYFUNCTION("""COMPUTED_VALUE"""),60.0)</f>
        <v>60</v>
      </c>
      <c r="F1250" s="2">
        <f>IFERROR(__xludf.DUMMYFUNCTION("""COMPUTED_VALUE"""),5.0)</f>
        <v>5</v>
      </c>
      <c r="G1250" s="2">
        <f>IFERROR(__xludf.DUMMYFUNCTION("""COMPUTED_VALUE"""),5.0)</f>
        <v>5</v>
      </c>
      <c r="H1250" s="2" t="str">
        <f>IFERROR(__xludf.DUMMYFUNCTION("""COMPUTED_VALUE"""),"LT proj.")</f>
        <v>LT proj.</v>
      </c>
      <c r="I1250" s="2" t="str">
        <f>IFERROR(__xludf.DUMMYFUNCTION("""COMPUTED_VALUE"""),"Panel")</f>
        <v>Panel</v>
      </c>
      <c r="J1250" s="2" t="str">
        <f>IFERROR(__xludf.DUMMYFUNCTION("""COMPUTED_VALUE"""),"All amenities")</f>
        <v>All amenities</v>
      </c>
      <c r="K1250" s="2">
        <f>IFERROR(__xludf.DUMMYFUNCTION("""COMPUTED_VALUE"""),42999.0)</f>
        <v>42999</v>
      </c>
      <c r="L1250" s="2">
        <f>IFERROR(__xludf.DUMMYFUNCTION("""COMPUTED_VALUE"""),56.9636426)</f>
        <v>56.9636426</v>
      </c>
      <c r="M1250" s="2">
        <f>IFERROR(__xludf.DUMMYFUNCTION("""COMPUTED_VALUE"""),24.1936547658469)</f>
        <v>24.19365477</v>
      </c>
    </row>
    <row r="1251">
      <c r="A1251" s="2" t="str">
        <f>IFERROR(__xludf.DUMMYFUNCTION("""COMPUTED_VALUE"""),"For sale")</f>
        <v>For sale</v>
      </c>
      <c r="B1251" s="2" t="str">
        <f>IFERROR(__xludf.DUMMYFUNCTION("""COMPUTED_VALUE"""),"Jugla")</f>
        <v>Jugla</v>
      </c>
      <c r="C1251" s="2" t="str">
        <f>IFERROR(__xludf.DUMMYFUNCTION("""COMPUTED_VALUE"""),"Murjāņu 52")</f>
        <v>Murjāņu 52</v>
      </c>
      <c r="D1251" s="2">
        <f>IFERROR(__xludf.DUMMYFUNCTION("""COMPUTED_VALUE"""),2.0)</f>
        <v>2</v>
      </c>
      <c r="E1251" s="2">
        <f>IFERROR(__xludf.DUMMYFUNCTION("""COMPUTED_VALUE"""),47.0)</f>
        <v>47</v>
      </c>
      <c r="F1251" s="2">
        <f>IFERROR(__xludf.DUMMYFUNCTION("""COMPUTED_VALUE"""),5.0)</f>
        <v>5</v>
      </c>
      <c r="G1251" s="2">
        <f>IFERROR(__xludf.DUMMYFUNCTION("""COMPUTED_VALUE"""),5.0)</f>
        <v>5</v>
      </c>
      <c r="H1251" s="2" t="str">
        <f>IFERROR(__xludf.DUMMYFUNCTION("""COMPUTED_VALUE"""),"LT proj.")</f>
        <v>LT proj.</v>
      </c>
      <c r="I1251" s="2" t="str">
        <f>IFERROR(__xludf.DUMMYFUNCTION("""COMPUTED_VALUE"""),"Panel")</f>
        <v>Panel</v>
      </c>
      <c r="J1251" s="2" t="str">
        <f>IFERROR(__xludf.DUMMYFUNCTION("""COMPUTED_VALUE"""),"All amenities")</f>
        <v>All amenities</v>
      </c>
      <c r="K1251" s="2">
        <f>IFERROR(__xludf.DUMMYFUNCTION("""COMPUTED_VALUE"""),33500.0)</f>
        <v>33500</v>
      </c>
      <c r="L1251" s="2">
        <f>IFERROR(__xludf.DUMMYFUNCTION("""COMPUTED_VALUE"""),56.9778104)</f>
        <v>56.9778104</v>
      </c>
      <c r="M1251" s="2">
        <f>IFERROR(__xludf.DUMMYFUNCTION("""COMPUTED_VALUE"""),24.2513399089967)</f>
        <v>24.25133991</v>
      </c>
    </row>
    <row r="1252">
      <c r="A1252" s="2" t="str">
        <f>IFERROR(__xludf.DUMMYFUNCTION("""COMPUTED_VALUE"""),"For sale")</f>
        <v>For sale</v>
      </c>
      <c r="B1252" s="2" t="str">
        <f>IFERROR(__xludf.DUMMYFUNCTION("""COMPUTED_VALUE"""),"Bolderāja")</f>
        <v>Bolderāja</v>
      </c>
      <c r="C1252" s="2" t="str">
        <f>IFERROR(__xludf.DUMMYFUNCTION("""COMPUTED_VALUE"""),"Lielupes 1/1")</f>
        <v>Lielupes 1/1</v>
      </c>
      <c r="D1252" s="2">
        <f>IFERROR(__xludf.DUMMYFUNCTION("""COMPUTED_VALUE"""),3.0)</f>
        <v>3</v>
      </c>
      <c r="E1252" s="2">
        <f>IFERROR(__xludf.DUMMYFUNCTION("""COMPUTED_VALUE"""),74.0)</f>
        <v>74</v>
      </c>
      <c r="F1252" s="2">
        <f>IFERROR(__xludf.DUMMYFUNCTION("""COMPUTED_VALUE"""),1.0)</f>
        <v>1</v>
      </c>
      <c r="G1252" s="2">
        <f>IFERROR(__xludf.DUMMYFUNCTION("""COMPUTED_VALUE"""),2.0)</f>
        <v>2</v>
      </c>
      <c r="H1252" s="2" t="str">
        <f>IFERROR(__xludf.DUMMYFUNCTION("""COMPUTED_VALUE"""),"Staļina")</f>
        <v>Staļina</v>
      </c>
      <c r="I1252" s="2" t="str">
        <f>IFERROR(__xludf.DUMMYFUNCTION("""COMPUTED_VALUE"""),"Brick")</f>
        <v>Brick</v>
      </c>
      <c r="J1252" s="2" t="str">
        <f>IFERROR(__xludf.DUMMYFUNCTION("""COMPUTED_VALUE"""),"All amenities")</f>
        <v>All amenities</v>
      </c>
      <c r="K1252" s="2">
        <f>IFERROR(__xludf.DUMMYFUNCTION("""COMPUTED_VALUE"""),45000.0)</f>
        <v>45000</v>
      </c>
      <c r="L1252" s="2">
        <f>IFERROR(__xludf.DUMMYFUNCTION("""COMPUTED_VALUE"""),57.0381797)</f>
        <v>57.0381797</v>
      </c>
      <c r="M1252" s="2">
        <f>IFERROR(__xludf.DUMMYFUNCTION("""COMPUTED_VALUE"""),24.0479802)</f>
        <v>24.0479802</v>
      </c>
    </row>
    <row r="1253">
      <c r="A1253" s="2" t="str">
        <f>IFERROR(__xludf.DUMMYFUNCTION("""COMPUTED_VALUE"""),"For sale")</f>
        <v>For sale</v>
      </c>
      <c r="B1253" s="2" t="str">
        <f>IFERROR(__xludf.DUMMYFUNCTION("""COMPUTED_VALUE"""),"Sarkandaugava")</f>
        <v>Sarkandaugava</v>
      </c>
      <c r="C1253" s="2" t="str">
        <f>IFERROR(__xludf.DUMMYFUNCTION("""COMPUTED_VALUE"""),"Kadiķu 3")</f>
        <v>Kadiķu 3</v>
      </c>
      <c r="D1253" s="2">
        <f>IFERROR(__xludf.DUMMYFUNCTION("""COMPUTED_VALUE"""),1.0)</f>
        <v>1</v>
      </c>
      <c r="E1253" s="2">
        <f>IFERROR(__xludf.DUMMYFUNCTION("""COMPUTED_VALUE"""),33.0)</f>
        <v>33</v>
      </c>
      <c r="F1253" s="2">
        <f>IFERROR(__xludf.DUMMYFUNCTION("""COMPUTED_VALUE"""),2.0)</f>
        <v>2</v>
      </c>
      <c r="G1253" s="2">
        <f>IFERROR(__xludf.DUMMYFUNCTION("""COMPUTED_VALUE"""),2.0)</f>
        <v>2</v>
      </c>
      <c r="H1253" s="2" t="str">
        <f>IFERROR(__xludf.DUMMYFUNCTION("""COMPUTED_VALUE"""),"Renov.")</f>
        <v>Renov.</v>
      </c>
      <c r="I1253" s="2" t="str">
        <f>IFERROR(__xludf.DUMMYFUNCTION("""COMPUTED_VALUE"""),"Brick")</f>
        <v>Brick</v>
      </c>
      <c r="J1253" s="2" t="str">
        <f>IFERROR(__xludf.DUMMYFUNCTION("""COMPUTED_VALUE"""),"All amenities")</f>
        <v>All amenities</v>
      </c>
      <c r="K1253" s="2">
        <f>IFERROR(__xludf.DUMMYFUNCTION("""COMPUTED_VALUE"""),29600.0)</f>
        <v>29600</v>
      </c>
      <c r="L1253" s="2">
        <f>IFERROR(__xludf.DUMMYFUNCTION("""COMPUTED_VALUE"""),56.99844075)</f>
        <v>56.99844075</v>
      </c>
      <c r="M1253" s="2">
        <f>IFERROR(__xludf.DUMMYFUNCTION("""COMPUTED_VALUE"""),24.1198275912859)</f>
        <v>24.11982759</v>
      </c>
    </row>
    <row r="1254">
      <c r="A1254" s="2" t="str">
        <f>IFERROR(__xludf.DUMMYFUNCTION("""COMPUTED_VALUE"""),"For sale")</f>
        <v>For sale</v>
      </c>
      <c r="B1254" s="2" t="str">
        <f>IFERROR(__xludf.DUMMYFUNCTION("""COMPUTED_VALUE"""),"centrs")</f>
        <v>centrs</v>
      </c>
      <c r="C1254" s="2" t="str">
        <f>IFERROR(__xludf.DUMMYFUNCTION("""COMPUTED_VALUE"""),"Bruņinieku 78")</f>
        <v>Bruņinieku 78</v>
      </c>
      <c r="D1254" s="2">
        <f>IFERROR(__xludf.DUMMYFUNCTION("""COMPUTED_VALUE"""),2.0)</f>
        <v>2</v>
      </c>
      <c r="E1254" s="2">
        <f>IFERROR(__xludf.DUMMYFUNCTION("""COMPUTED_VALUE"""),50.0)</f>
        <v>50</v>
      </c>
      <c r="F1254" s="2">
        <f>IFERROR(__xludf.DUMMYFUNCTION("""COMPUTED_VALUE"""),4.0)</f>
        <v>4</v>
      </c>
      <c r="G1254" s="2">
        <f>IFERROR(__xludf.DUMMYFUNCTION("""COMPUTED_VALUE"""),4.0)</f>
        <v>4</v>
      </c>
      <c r="H1254" s="2" t="str">
        <f>IFERROR(__xludf.DUMMYFUNCTION("""COMPUTED_VALUE"""),"P. kara")</f>
        <v>P. kara</v>
      </c>
      <c r="I1254" s="2" t="str">
        <f>IFERROR(__xludf.DUMMYFUNCTION("""COMPUTED_VALUE"""),"Masonry")</f>
        <v>Masonry</v>
      </c>
      <c r="J1254" s="2" t="str">
        <f>IFERROR(__xludf.DUMMYFUNCTION("""COMPUTED_VALUE"""),"All amenities")</f>
        <v>All amenities</v>
      </c>
      <c r="K1254" s="2">
        <f>IFERROR(__xludf.DUMMYFUNCTION("""COMPUTED_VALUE"""),35000.0)</f>
        <v>35000</v>
      </c>
      <c r="L1254" s="2">
        <f>IFERROR(__xludf.DUMMYFUNCTION("""COMPUTED_VALUE"""),56.95086155)</f>
        <v>56.95086155</v>
      </c>
      <c r="M1254" s="2">
        <f>IFERROR(__xludf.DUMMYFUNCTION("""COMPUTED_VALUE"""),24.1418736517474)</f>
        <v>24.14187365</v>
      </c>
    </row>
    <row r="1255">
      <c r="A1255" s="2" t="str">
        <f>IFERROR(__xludf.DUMMYFUNCTION("""COMPUTED_VALUE"""),"For sale")</f>
        <v>For sale</v>
      </c>
      <c r="B1255" s="2" t="str">
        <f>IFERROR(__xludf.DUMMYFUNCTION("""COMPUTED_VALUE"""),"Āgenskalns")</f>
        <v>Āgenskalns</v>
      </c>
      <c r="C1255" s="2" t="str">
        <f>IFERROR(__xludf.DUMMYFUNCTION("""COMPUTED_VALUE"""),"Grīna bulv. 9")</f>
        <v>Grīna bulv. 9</v>
      </c>
      <c r="D1255" s="2">
        <f>IFERROR(__xludf.DUMMYFUNCTION("""COMPUTED_VALUE"""),3.0)</f>
        <v>3</v>
      </c>
      <c r="E1255" s="2">
        <f>IFERROR(__xludf.DUMMYFUNCTION("""COMPUTED_VALUE"""),58.0)</f>
        <v>58</v>
      </c>
      <c r="F1255" s="2">
        <f>IFERROR(__xludf.DUMMYFUNCTION("""COMPUTED_VALUE"""),4.0)</f>
        <v>4</v>
      </c>
      <c r="G1255" s="2">
        <f>IFERROR(__xludf.DUMMYFUNCTION("""COMPUTED_VALUE"""),5.0)</f>
        <v>5</v>
      </c>
      <c r="H1255" s="2" t="str">
        <f>IFERROR(__xludf.DUMMYFUNCTION("""COMPUTED_VALUE"""),"Specpr.")</f>
        <v>Specpr.</v>
      </c>
      <c r="I1255" s="2" t="str">
        <f>IFERROR(__xludf.DUMMYFUNCTION("""COMPUTED_VALUE"""),"Brick")</f>
        <v>Brick</v>
      </c>
      <c r="J1255" s="2" t="str">
        <f>IFERROR(__xludf.DUMMYFUNCTION("""COMPUTED_VALUE"""),"All amenities")</f>
        <v>All amenities</v>
      </c>
      <c r="K1255" s="2">
        <f>IFERROR(__xludf.DUMMYFUNCTION("""COMPUTED_VALUE"""),64000.0)</f>
        <v>64000</v>
      </c>
      <c r="L1255" s="2" t="str">
        <f>IFERROR(__xludf.DUMMYFUNCTION("""COMPUTED_VALUE"""),"NaN")</f>
        <v>NaN</v>
      </c>
      <c r="M1255" s="2" t="str">
        <f>IFERROR(__xludf.DUMMYFUNCTION("""COMPUTED_VALUE"""),"NaN")</f>
        <v>NaN</v>
      </c>
    </row>
    <row r="1256">
      <c r="A1256" s="2" t="str">
        <f>IFERROR(__xludf.DUMMYFUNCTION("""COMPUTED_VALUE"""),"For rent")</f>
        <v>For rent</v>
      </c>
      <c r="B1256" s="2" t="str">
        <f>IFERROR(__xludf.DUMMYFUNCTION("""COMPUTED_VALUE"""),"Jaunciems")</f>
        <v>Jaunciems</v>
      </c>
      <c r="C1256" s="2" t="str">
        <f>IFERROR(__xludf.DUMMYFUNCTION("""COMPUTED_VALUE"""),"Jaunciema g. 167")</f>
        <v>Jaunciema g. 167</v>
      </c>
      <c r="D1256" s="2">
        <f>IFERROR(__xludf.DUMMYFUNCTION("""COMPUTED_VALUE"""),1.0)</f>
        <v>1</v>
      </c>
      <c r="E1256" s="2">
        <f>IFERROR(__xludf.DUMMYFUNCTION("""COMPUTED_VALUE"""),15.0)</f>
        <v>15</v>
      </c>
      <c r="F1256" s="2">
        <f>IFERROR(__xludf.DUMMYFUNCTION("""COMPUTED_VALUE"""),3.0)</f>
        <v>3</v>
      </c>
      <c r="G1256" s="2">
        <f>IFERROR(__xludf.DUMMYFUNCTION("""COMPUTED_VALUE"""),3.0)</f>
        <v>3</v>
      </c>
      <c r="H1256" s="2" t="str">
        <f>IFERROR(__xludf.DUMMYFUNCTION("""COMPUTED_VALUE"""),"Specpr.")</f>
        <v>Specpr.</v>
      </c>
      <c r="I1256" s="2" t="str">
        <f>IFERROR(__xludf.DUMMYFUNCTION("""COMPUTED_VALUE"""),"Wood")</f>
        <v>Wood</v>
      </c>
      <c r="J1256" s="2" t="str">
        <f>IFERROR(__xludf.DUMMYFUNCTION("""COMPUTED_VALUE"""),"Partial amenities")</f>
        <v>Partial amenities</v>
      </c>
      <c r="K1256" s="2">
        <f>IFERROR(__xludf.DUMMYFUNCTION("""COMPUTED_VALUE"""),50.0)</f>
        <v>50</v>
      </c>
      <c r="L1256" s="2">
        <f>IFERROR(__xludf.DUMMYFUNCTION("""COMPUTED_VALUE"""),57.034118)</f>
        <v>57.034118</v>
      </c>
      <c r="M1256" s="2">
        <f>IFERROR(__xludf.DUMMYFUNCTION("""COMPUTED_VALUE"""),24.1267927)</f>
        <v>24.1267927</v>
      </c>
    </row>
    <row r="1257">
      <c r="A1257" s="2" t="str">
        <f>IFERROR(__xludf.DUMMYFUNCTION("""COMPUTED_VALUE"""),"For sale")</f>
        <v>For sale</v>
      </c>
      <c r="B1257" s="2" t="str">
        <f>IFERROR(__xludf.DUMMYFUNCTION("""COMPUTED_VALUE"""),"Āgenskalns")</f>
        <v>Āgenskalns</v>
      </c>
      <c r="C1257" s="2" t="str">
        <f>IFERROR(__xludf.DUMMYFUNCTION("""COMPUTED_VALUE"""),"Ormaņu 27")</f>
        <v>Ormaņu 27</v>
      </c>
      <c r="D1257" s="2">
        <f>IFERROR(__xludf.DUMMYFUNCTION("""COMPUTED_VALUE"""),2.0)</f>
        <v>2</v>
      </c>
      <c r="E1257" s="2">
        <f>IFERROR(__xludf.DUMMYFUNCTION("""COMPUTED_VALUE"""),40.0)</f>
        <v>40</v>
      </c>
      <c r="F1257" s="2">
        <f>IFERROR(__xludf.DUMMYFUNCTION("""COMPUTED_VALUE"""),1.0)</f>
        <v>1</v>
      </c>
      <c r="G1257" s="2">
        <f>IFERROR(__xludf.DUMMYFUNCTION("""COMPUTED_VALUE"""),2.0)</f>
        <v>2</v>
      </c>
      <c r="H1257" s="2" t="str">
        <f>IFERROR(__xludf.DUMMYFUNCTION("""COMPUTED_VALUE"""),"P. kara")</f>
        <v>P. kara</v>
      </c>
      <c r="I1257" s="2" t="str">
        <f>IFERROR(__xludf.DUMMYFUNCTION("""COMPUTED_VALUE"""),"Wood")</f>
        <v>Wood</v>
      </c>
      <c r="J1257" s="2" t="str">
        <f>IFERROR(__xludf.DUMMYFUNCTION("""COMPUTED_VALUE"""),"Partial amenities")</f>
        <v>Partial amenities</v>
      </c>
      <c r="K1257" s="2">
        <f>IFERROR(__xludf.DUMMYFUNCTION("""COMPUTED_VALUE"""),33000.0)</f>
        <v>33000</v>
      </c>
      <c r="L1257" s="2">
        <f>IFERROR(__xludf.DUMMYFUNCTION("""COMPUTED_VALUE"""),56.9393754)</f>
        <v>56.9393754</v>
      </c>
      <c r="M1257" s="2">
        <f>IFERROR(__xludf.DUMMYFUNCTION("""COMPUTED_VALUE"""),24.0705981)</f>
        <v>24.0705981</v>
      </c>
    </row>
    <row r="1258">
      <c r="A1258" s="2" t="str">
        <f>IFERROR(__xludf.DUMMYFUNCTION("""COMPUTED_VALUE"""),"For sale")</f>
        <v>For sale</v>
      </c>
      <c r="B1258" s="2" t="str">
        <f>IFERROR(__xludf.DUMMYFUNCTION("""COMPUTED_VALUE"""),"Šķirotava")</f>
        <v>Šķirotava</v>
      </c>
      <c r="C1258" s="2" t="str">
        <f>IFERROR(__xludf.DUMMYFUNCTION("""COMPUTED_VALUE"""),"Gravas 17")</f>
        <v>Gravas 17</v>
      </c>
      <c r="D1258" s="2">
        <f>IFERROR(__xludf.DUMMYFUNCTION("""COMPUTED_VALUE"""),3.0)</f>
        <v>3</v>
      </c>
      <c r="E1258" s="2">
        <f>IFERROR(__xludf.DUMMYFUNCTION("""COMPUTED_VALUE"""),91.0)</f>
        <v>91</v>
      </c>
      <c r="F1258" s="2">
        <f>IFERROR(__xludf.DUMMYFUNCTION("""COMPUTED_VALUE"""),1.0)</f>
        <v>1</v>
      </c>
      <c r="G1258" s="2">
        <f>IFERROR(__xludf.DUMMYFUNCTION("""COMPUTED_VALUE"""),5.0)</f>
        <v>5</v>
      </c>
      <c r="H1258" s="2" t="str">
        <f>IFERROR(__xludf.DUMMYFUNCTION("""COMPUTED_VALUE"""),"Jaun.")</f>
        <v>Jaun.</v>
      </c>
      <c r="I1258" s="2" t="str">
        <f>IFERROR(__xludf.DUMMYFUNCTION("""COMPUTED_VALUE"""),"Panel")</f>
        <v>Panel</v>
      </c>
      <c r="J1258" s="2" t="str">
        <f>IFERROR(__xludf.DUMMYFUNCTION("""COMPUTED_VALUE"""),"All amenities")</f>
        <v>All amenities</v>
      </c>
      <c r="K1258" s="2">
        <f>IFERROR(__xludf.DUMMYFUNCTION("""COMPUTED_VALUE"""),96000.0)</f>
        <v>96000</v>
      </c>
      <c r="L1258" s="2">
        <f>IFERROR(__xludf.DUMMYFUNCTION("""COMPUTED_VALUE"""),56.9051508999999)</f>
        <v>56.9051509</v>
      </c>
      <c r="M1258" s="2">
        <f>IFERROR(__xludf.DUMMYFUNCTION("""COMPUTED_VALUE"""),24.2295887977555)</f>
        <v>24.2295888</v>
      </c>
    </row>
    <row r="1259">
      <c r="A1259" s="2" t="str">
        <f>IFERROR(__xludf.DUMMYFUNCTION("""COMPUTED_VALUE"""),"For sale")</f>
        <v>For sale</v>
      </c>
      <c r="B1259" s="2" t="str">
        <f>IFERROR(__xludf.DUMMYFUNCTION("""COMPUTED_VALUE"""),"centrs")</f>
        <v>centrs</v>
      </c>
      <c r="C1259" s="2" t="str">
        <f>IFERROR(__xludf.DUMMYFUNCTION("""COMPUTED_VALUE"""),"M. Matīsa 3")</f>
        <v>M. Matīsa 3</v>
      </c>
      <c r="D1259" s="2">
        <f>IFERROR(__xludf.DUMMYFUNCTION("""COMPUTED_VALUE"""),1.0)</f>
        <v>1</v>
      </c>
      <c r="E1259" s="2">
        <f>IFERROR(__xludf.DUMMYFUNCTION("""COMPUTED_VALUE"""),21.0)</f>
        <v>21</v>
      </c>
      <c r="F1259" s="2">
        <f>IFERROR(__xludf.DUMMYFUNCTION("""COMPUTED_VALUE"""),1.0)</f>
        <v>1</v>
      </c>
      <c r="G1259" s="2">
        <f>IFERROR(__xludf.DUMMYFUNCTION("""COMPUTED_VALUE"""),5.0)</f>
        <v>5</v>
      </c>
      <c r="H1259" s="2" t="str">
        <f>IFERROR(__xludf.DUMMYFUNCTION("""COMPUTED_VALUE"""),"Staļina")</f>
        <v>Staļina</v>
      </c>
      <c r="I1259" s="2" t="str">
        <f>IFERROR(__xludf.DUMMYFUNCTION("""COMPUTED_VALUE"""),"Brick")</f>
        <v>Brick</v>
      </c>
      <c r="J1259" s="2" t="str">
        <f>IFERROR(__xludf.DUMMYFUNCTION("""COMPUTED_VALUE"""),"All amenities")</f>
        <v>All amenities</v>
      </c>
      <c r="K1259" s="2">
        <f>IFERROR(__xludf.DUMMYFUNCTION("""COMPUTED_VALUE"""),18500.0)</f>
        <v>18500</v>
      </c>
      <c r="L1259" s="2">
        <f>IFERROR(__xludf.DUMMYFUNCTION("""COMPUTED_VALUE"""),56.9437711)</f>
        <v>56.9437711</v>
      </c>
      <c r="M1259" s="2">
        <f>IFERROR(__xludf.DUMMYFUNCTION("""COMPUTED_VALUE"""),24.1581326570728)</f>
        <v>24.15813266</v>
      </c>
    </row>
    <row r="1260">
      <c r="A1260" s="2" t="str">
        <f>IFERROR(__xludf.DUMMYFUNCTION("""COMPUTED_VALUE"""),"For rent")</f>
        <v>For rent</v>
      </c>
      <c r="B1260" s="2" t="str">
        <f>IFERROR(__xludf.DUMMYFUNCTION("""COMPUTED_VALUE"""),"Āgenskalns")</f>
        <v>Āgenskalns</v>
      </c>
      <c r="C1260" s="2" t="str">
        <f>IFERROR(__xludf.DUMMYFUNCTION("""COMPUTED_VALUE"""),"M. Nometņu 73")</f>
        <v>M. Nometņu 73</v>
      </c>
      <c r="D1260" s="2">
        <f>IFERROR(__xludf.DUMMYFUNCTION("""COMPUTED_VALUE"""),2.0)</f>
        <v>2</v>
      </c>
      <c r="E1260" s="2">
        <f>IFERROR(__xludf.DUMMYFUNCTION("""COMPUTED_VALUE"""),62.0)</f>
        <v>62</v>
      </c>
      <c r="F1260" s="2">
        <f>IFERROR(__xludf.DUMMYFUNCTION("""COMPUTED_VALUE"""),2.0)</f>
        <v>2</v>
      </c>
      <c r="G1260" s="2">
        <f>IFERROR(__xludf.DUMMYFUNCTION("""COMPUTED_VALUE"""),4.0)</f>
        <v>4</v>
      </c>
      <c r="H1260" s="2" t="str">
        <f>IFERROR(__xludf.DUMMYFUNCTION("""COMPUTED_VALUE"""),"P. kara")</f>
        <v>P. kara</v>
      </c>
      <c r="I1260" s="2" t="str">
        <f>IFERROR(__xludf.DUMMYFUNCTION("""COMPUTED_VALUE"""),"Masonry")</f>
        <v>Masonry</v>
      </c>
      <c r="J1260" s="2" t="str">
        <f>IFERROR(__xludf.DUMMYFUNCTION("""COMPUTED_VALUE"""),"All amenities")</f>
        <v>All amenities</v>
      </c>
      <c r="K1260" s="2">
        <f>IFERROR(__xludf.DUMMYFUNCTION("""COMPUTED_VALUE"""),450.0)</f>
        <v>450</v>
      </c>
      <c r="L1260" s="2">
        <f>IFERROR(__xludf.DUMMYFUNCTION("""COMPUTED_VALUE"""),56.93758345)</f>
        <v>56.93758345</v>
      </c>
      <c r="M1260" s="2">
        <f>IFERROR(__xludf.DUMMYFUNCTION("""COMPUTED_VALUE"""),24.0579901423817)</f>
        <v>24.05799014</v>
      </c>
    </row>
    <row r="1261">
      <c r="A1261" s="2" t="str">
        <f>IFERROR(__xludf.DUMMYFUNCTION("""COMPUTED_VALUE"""),"For rent")</f>
        <v>For rent</v>
      </c>
      <c r="B1261" s="2" t="str">
        <f>IFERROR(__xludf.DUMMYFUNCTION("""COMPUTED_VALUE"""),"centrs")</f>
        <v>centrs</v>
      </c>
      <c r="C1261" s="2" t="str">
        <f>IFERROR(__xludf.DUMMYFUNCTION("""COMPUTED_VALUE"""),"Rūpniecības 11")</f>
        <v>Rūpniecības 11</v>
      </c>
      <c r="D1261" s="2">
        <f>IFERROR(__xludf.DUMMYFUNCTION("""COMPUTED_VALUE"""),3.0)</f>
        <v>3</v>
      </c>
      <c r="E1261" s="2">
        <f>IFERROR(__xludf.DUMMYFUNCTION("""COMPUTED_VALUE"""),97.0)</f>
        <v>97</v>
      </c>
      <c r="F1261" s="2">
        <f>IFERROR(__xludf.DUMMYFUNCTION("""COMPUTED_VALUE"""),4.0)</f>
        <v>4</v>
      </c>
      <c r="G1261" s="2">
        <f>IFERROR(__xludf.DUMMYFUNCTION("""COMPUTED_VALUE"""),5.0)</f>
        <v>5</v>
      </c>
      <c r="H1261" s="2" t="str">
        <f>IFERROR(__xludf.DUMMYFUNCTION("""COMPUTED_VALUE"""),"Renov.")</f>
        <v>Renov.</v>
      </c>
      <c r="I1261" s="2" t="str">
        <f>IFERROR(__xludf.DUMMYFUNCTION("""COMPUTED_VALUE"""),"Masonry")</f>
        <v>Masonry</v>
      </c>
      <c r="J1261" s="2" t="str">
        <f>IFERROR(__xludf.DUMMYFUNCTION("""COMPUTED_VALUE"""),"All amenities")</f>
        <v>All amenities</v>
      </c>
      <c r="K1261" s="2">
        <f>IFERROR(__xludf.DUMMYFUNCTION("""COMPUTED_VALUE"""),1600.0)</f>
        <v>1600</v>
      </c>
      <c r="L1261" s="2">
        <f>IFERROR(__xludf.DUMMYFUNCTION("""COMPUTED_VALUE"""),56.9608302)</f>
        <v>56.9608302</v>
      </c>
      <c r="M1261" s="2">
        <f>IFERROR(__xludf.DUMMYFUNCTION("""COMPUTED_VALUE"""),24.1030076)</f>
        <v>24.1030076</v>
      </c>
    </row>
    <row r="1262">
      <c r="A1262" s="2" t="str">
        <f>IFERROR(__xludf.DUMMYFUNCTION("""COMPUTED_VALUE"""),"For rent")</f>
        <v>For rent</v>
      </c>
      <c r="B1262" s="2" t="str">
        <f>IFERROR(__xludf.DUMMYFUNCTION("""COMPUTED_VALUE"""),"Daugavgrīva")</f>
        <v>Daugavgrīva</v>
      </c>
      <c r="C1262" s="2" t="str">
        <f>IFERROR(__xludf.DUMMYFUNCTION("""COMPUTED_VALUE"""),"Parādes 28")</f>
        <v>Parādes 28</v>
      </c>
      <c r="D1262" s="2">
        <f>IFERROR(__xludf.DUMMYFUNCTION("""COMPUTED_VALUE"""),1.0)</f>
        <v>1</v>
      </c>
      <c r="E1262" s="2">
        <f>IFERROR(__xludf.DUMMYFUNCTION("""COMPUTED_VALUE"""),35.0)</f>
        <v>35</v>
      </c>
      <c r="F1262" s="2">
        <f>IFERROR(__xludf.DUMMYFUNCTION("""COMPUTED_VALUE"""),1.0)</f>
        <v>1</v>
      </c>
      <c r="G1262" s="2">
        <f>IFERROR(__xludf.DUMMYFUNCTION("""COMPUTED_VALUE"""),5.0)</f>
        <v>5</v>
      </c>
      <c r="H1262" s="2" t="str">
        <f>IFERROR(__xludf.DUMMYFUNCTION("""COMPUTED_VALUE"""),"Hrušč.")</f>
        <v>Hrušč.</v>
      </c>
      <c r="I1262" s="2" t="str">
        <f>IFERROR(__xludf.DUMMYFUNCTION("""COMPUTED_VALUE"""),"Masonry")</f>
        <v>Masonry</v>
      </c>
      <c r="J1262" s="2" t="str">
        <f>IFERROR(__xludf.DUMMYFUNCTION("""COMPUTED_VALUE"""),"All amenities")</f>
        <v>All amenities</v>
      </c>
      <c r="K1262" s="2">
        <f>IFERROR(__xludf.DUMMYFUNCTION("""COMPUTED_VALUE"""),210.0)</f>
        <v>210</v>
      </c>
      <c r="L1262" s="2">
        <f>IFERROR(__xludf.DUMMYFUNCTION("""COMPUTED_VALUE"""),57.0382431)</f>
        <v>57.0382431</v>
      </c>
      <c r="M1262" s="2">
        <f>IFERROR(__xludf.DUMMYFUNCTION("""COMPUTED_VALUE"""),24.0224679499999)</f>
        <v>24.02246795</v>
      </c>
    </row>
    <row r="1263">
      <c r="A1263" s="2" t="str">
        <f>IFERROR(__xludf.DUMMYFUNCTION("""COMPUTED_VALUE"""),"For sale")</f>
        <v>For sale</v>
      </c>
      <c r="B1263" s="2" t="str">
        <f>IFERROR(__xludf.DUMMYFUNCTION("""COMPUTED_VALUE"""),"Pļavnieki")</f>
        <v>Pļavnieki</v>
      </c>
      <c r="C1263" s="2" t="str">
        <f>IFERROR(__xludf.DUMMYFUNCTION("""COMPUTED_VALUE"""),"Tīnūžu 12")</f>
        <v>Tīnūžu 12</v>
      </c>
      <c r="D1263" s="2">
        <f>IFERROR(__xludf.DUMMYFUNCTION("""COMPUTED_VALUE"""),4.0)</f>
        <v>4</v>
      </c>
      <c r="E1263" s="2">
        <f>IFERROR(__xludf.DUMMYFUNCTION("""COMPUTED_VALUE"""),73.0)</f>
        <v>73</v>
      </c>
      <c r="F1263" s="2">
        <f>IFERROR(__xludf.DUMMYFUNCTION("""COMPUTED_VALUE"""),3.0)</f>
        <v>3</v>
      </c>
      <c r="G1263" s="2">
        <f>IFERROR(__xludf.DUMMYFUNCTION("""COMPUTED_VALUE"""),9.0)</f>
        <v>9</v>
      </c>
      <c r="H1263" s="2">
        <f>IFERROR(__xludf.DUMMYFUNCTION("""COMPUTED_VALUE"""),467.0)</f>
        <v>467</v>
      </c>
      <c r="I1263" s="2" t="str">
        <f>IFERROR(__xludf.DUMMYFUNCTION("""COMPUTED_VALUE"""),"Panel")</f>
        <v>Panel</v>
      </c>
      <c r="J1263" s="2" t="str">
        <f>IFERROR(__xludf.DUMMYFUNCTION("""COMPUTED_VALUE"""),"All amenities")</f>
        <v>All amenities</v>
      </c>
      <c r="K1263" s="2">
        <f>IFERROR(__xludf.DUMMYFUNCTION("""COMPUTED_VALUE"""),65000.0)</f>
        <v>65000</v>
      </c>
      <c r="L1263" s="2">
        <f>IFERROR(__xludf.DUMMYFUNCTION("""COMPUTED_VALUE"""),56.93399695)</f>
        <v>56.93399695</v>
      </c>
      <c r="M1263" s="2">
        <f>IFERROR(__xludf.DUMMYFUNCTION("""COMPUTED_VALUE"""),24.2075576)</f>
        <v>24.2075576</v>
      </c>
    </row>
    <row r="1264">
      <c r="A1264" s="2" t="str">
        <f>IFERROR(__xludf.DUMMYFUNCTION("""COMPUTED_VALUE"""),"For sale")</f>
        <v>For sale</v>
      </c>
      <c r="B1264" s="2" t="str">
        <f>IFERROR(__xludf.DUMMYFUNCTION("""COMPUTED_VALUE"""),"Mežaparks")</f>
        <v>Mežaparks</v>
      </c>
      <c r="C1264" s="2" t="str">
        <f>IFERROR(__xludf.DUMMYFUNCTION("""COMPUTED_VALUE"""),"Hamburgas 16")</f>
        <v>Hamburgas 16</v>
      </c>
      <c r="D1264" s="2">
        <f>IFERROR(__xludf.DUMMYFUNCTION("""COMPUTED_VALUE"""),6.0)</f>
        <v>6</v>
      </c>
      <c r="E1264" s="2">
        <f>IFERROR(__xludf.DUMMYFUNCTION("""COMPUTED_VALUE"""),208.0)</f>
        <v>208</v>
      </c>
      <c r="F1264" s="2">
        <f>IFERROR(__xludf.DUMMYFUNCTION("""COMPUTED_VALUE"""),2.0)</f>
        <v>2</v>
      </c>
      <c r="G1264" s="2">
        <f>IFERROR(__xludf.DUMMYFUNCTION("""COMPUTED_VALUE"""),3.0)</f>
        <v>3</v>
      </c>
      <c r="H1264" s="2" t="str">
        <f>IFERROR(__xludf.DUMMYFUNCTION("""COMPUTED_VALUE"""),"Priv. m.")</f>
        <v>Priv. m.</v>
      </c>
      <c r="I1264" s="2" t="str">
        <f>IFERROR(__xludf.DUMMYFUNCTION("""COMPUTED_VALUE"""),"Masonry")</f>
        <v>Masonry</v>
      </c>
      <c r="J1264" s="2" t="str">
        <f>IFERROR(__xludf.DUMMYFUNCTION("""COMPUTED_VALUE"""),"All amenities")</f>
        <v>All amenities</v>
      </c>
      <c r="K1264" s="2">
        <f>IFERROR(__xludf.DUMMYFUNCTION("""COMPUTED_VALUE"""),209000.0)</f>
        <v>209000</v>
      </c>
      <c r="L1264" s="2">
        <f>IFERROR(__xludf.DUMMYFUNCTION("""COMPUTED_VALUE"""),56.9979992)</f>
        <v>56.9979992</v>
      </c>
      <c r="M1264" s="2">
        <f>IFERROR(__xludf.DUMMYFUNCTION("""COMPUTED_VALUE"""),24.1641228)</f>
        <v>24.1641228</v>
      </c>
    </row>
    <row r="1265">
      <c r="A1265" s="2" t="str">
        <f>IFERROR(__xludf.DUMMYFUNCTION("""COMPUTED_VALUE"""),"For rent")</f>
        <v>For rent</v>
      </c>
      <c r="B1265" s="2" t="str">
        <f>IFERROR(__xludf.DUMMYFUNCTION("""COMPUTED_VALUE"""),"Pļavnieki")</f>
        <v>Pļavnieki</v>
      </c>
      <c r="C1265" s="2" t="str">
        <f>IFERROR(__xludf.DUMMYFUNCTION("""COMPUTED_VALUE"""),"Lubānas 115")</f>
        <v>Lubānas 115</v>
      </c>
      <c r="D1265" s="2">
        <f>IFERROR(__xludf.DUMMYFUNCTION("""COMPUTED_VALUE"""),1.0)</f>
        <v>1</v>
      </c>
      <c r="E1265" s="2">
        <f>IFERROR(__xludf.DUMMYFUNCTION("""COMPUTED_VALUE"""),44.0)</f>
        <v>44</v>
      </c>
      <c r="F1265" s="2">
        <f>IFERROR(__xludf.DUMMYFUNCTION("""COMPUTED_VALUE"""),5.0)</f>
        <v>5</v>
      </c>
      <c r="G1265" s="2">
        <f>IFERROR(__xludf.DUMMYFUNCTION("""COMPUTED_VALUE"""),9.0)</f>
        <v>9</v>
      </c>
      <c r="H1265" s="2" t="str">
        <f>IFERROR(__xludf.DUMMYFUNCTION("""COMPUTED_VALUE"""),"M. ģim.")</f>
        <v>M. ģim.</v>
      </c>
      <c r="I1265" s="2" t="str">
        <f>IFERROR(__xludf.DUMMYFUNCTION("""COMPUTED_VALUE"""),"Panel")</f>
        <v>Panel</v>
      </c>
      <c r="J1265" s="2" t="str">
        <f>IFERROR(__xludf.DUMMYFUNCTION("""COMPUTED_VALUE"""),"All amenities")</f>
        <v>All amenities</v>
      </c>
      <c r="K1265" s="2">
        <f>IFERROR(__xludf.DUMMYFUNCTION("""COMPUTED_VALUE"""),320.0)</f>
        <v>320</v>
      </c>
      <c r="L1265" s="2">
        <f>IFERROR(__xludf.DUMMYFUNCTION("""COMPUTED_VALUE"""),56.9332692)</f>
        <v>56.9332692</v>
      </c>
      <c r="M1265" s="2">
        <f>IFERROR(__xludf.DUMMYFUNCTION("""COMPUTED_VALUE"""),24.1988005993907)</f>
        <v>24.1988006</v>
      </c>
    </row>
    <row r="1266">
      <c r="A1266" s="2" t="str">
        <f>IFERROR(__xludf.DUMMYFUNCTION("""COMPUTED_VALUE"""),"For rent")</f>
        <v>For rent</v>
      </c>
      <c r="B1266" s="2" t="str">
        <f>IFERROR(__xludf.DUMMYFUNCTION("""COMPUTED_VALUE"""),"centrs")</f>
        <v>centrs</v>
      </c>
      <c r="C1266" s="2" t="str">
        <f>IFERROR(__xludf.DUMMYFUNCTION("""COMPUTED_VALUE"""),"Deglava 9")</f>
        <v>Deglava 9</v>
      </c>
      <c r="D1266" s="2">
        <f>IFERROR(__xludf.DUMMYFUNCTION("""COMPUTED_VALUE"""),2.0)</f>
        <v>2</v>
      </c>
      <c r="E1266" s="2">
        <f>IFERROR(__xludf.DUMMYFUNCTION("""COMPUTED_VALUE"""),80.0)</f>
        <v>80</v>
      </c>
      <c r="F1266" s="2">
        <f>IFERROR(__xludf.DUMMYFUNCTION("""COMPUTED_VALUE"""),6.0)</f>
        <v>6</v>
      </c>
      <c r="G1266" s="2">
        <f>IFERROR(__xludf.DUMMYFUNCTION("""COMPUTED_VALUE"""),6.0)</f>
        <v>6</v>
      </c>
      <c r="H1266" s="2" t="str">
        <f>IFERROR(__xludf.DUMMYFUNCTION("""COMPUTED_VALUE"""),"Renov.")</f>
        <v>Renov.</v>
      </c>
      <c r="I1266" s="2" t="str">
        <f>IFERROR(__xludf.DUMMYFUNCTION("""COMPUTED_VALUE"""),"Masonry")</f>
        <v>Masonry</v>
      </c>
      <c r="J1266" s="2" t="str">
        <f>IFERROR(__xludf.DUMMYFUNCTION("""COMPUTED_VALUE"""),"All amenities")</f>
        <v>All amenities</v>
      </c>
      <c r="K1266" s="2">
        <f>IFERROR(__xludf.DUMMYFUNCTION("""COMPUTED_VALUE"""),480.0)</f>
        <v>480</v>
      </c>
      <c r="L1266" s="2">
        <f>IFERROR(__xludf.DUMMYFUNCTION("""COMPUTED_VALUE"""),56.9536673)</f>
        <v>56.9536673</v>
      </c>
      <c r="M1266" s="2">
        <f>IFERROR(__xludf.DUMMYFUNCTION("""COMPUTED_VALUE"""),24.1546480286427)</f>
        <v>24.15464803</v>
      </c>
    </row>
    <row r="1267">
      <c r="A1267" s="2" t="str">
        <f>IFERROR(__xludf.DUMMYFUNCTION("""COMPUTED_VALUE"""),"For rent")</f>
        <v>For rent</v>
      </c>
      <c r="B1267" s="2" t="str">
        <f>IFERROR(__xludf.DUMMYFUNCTION("""COMPUTED_VALUE"""),"centrs")</f>
        <v>centrs</v>
      </c>
      <c r="C1267" s="2" t="str">
        <f>IFERROR(__xludf.DUMMYFUNCTION("""COMPUTED_VALUE"""),"Zaubes 4")</f>
        <v>Zaubes 4</v>
      </c>
      <c r="D1267" s="2">
        <f>IFERROR(__xludf.DUMMYFUNCTION("""COMPUTED_VALUE"""),3.0)</f>
        <v>3</v>
      </c>
      <c r="E1267" s="2">
        <f>IFERROR(__xludf.DUMMYFUNCTION("""COMPUTED_VALUE"""),110.0)</f>
        <v>110</v>
      </c>
      <c r="F1267" s="2">
        <f>IFERROR(__xludf.DUMMYFUNCTION("""COMPUTED_VALUE"""),6.0)</f>
        <v>6</v>
      </c>
      <c r="G1267" s="2">
        <f>IFERROR(__xludf.DUMMYFUNCTION("""COMPUTED_VALUE"""),6.0)</f>
        <v>6</v>
      </c>
      <c r="H1267" s="2" t="str">
        <f>IFERROR(__xludf.DUMMYFUNCTION("""COMPUTED_VALUE"""),"P. kara")</f>
        <v>P. kara</v>
      </c>
      <c r="I1267" s="2" t="str">
        <f>IFERROR(__xludf.DUMMYFUNCTION("""COMPUTED_VALUE"""),"Masonry")</f>
        <v>Masonry</v>
      </c>
      <c r="J1267" s="2" t="str">
        <f>IFERROR(__xludf.DUMMYFUNCTION("""COMPUTED_VALUE"""),"All amenities")</f>
        <v>All amenities</v>
      </c>
      <c r="K1267" s="2">
        <f>IFERROR(__xludf.DUMMYFUNCTION("""COMPUTED_VALUE"""),800.0)</f>
        <v>800</v>
      </c>
      <c r="L1267" s="2">
        <f>IFERROR(__xludf.DUMMYFUNCTION("""COMPUTED_VALUE"""),56.96266715)</f>
        <v>56.96266715</v>
      </c>
      <c r="M1267" s="2">
        <f>IFERROR(__xludf.DUMMYFUNCTION("""COMPUTED_VALUE"""),24.1224049)</f>
        <v>24.1224049</v>
      </c>
    </row>
    <row r="1268">
      <c r="A1268" s="2" t="str">
        <f>IFERROR(__xludf.DUMMYFUNCTION("""COMPUTED_VALUE"""),"For rent")</f>
        <v>For rent</v>
      </c>
      <c r="B1268" s="2" t="str">
        <f>IFERROR(__xludf.DUMMYFUNCTION("""COMPUTED_VALUE"""),"Maskavas priekšpilsēta")</f>
        <v>Maskavas priekšpilsēta</v>
      </c>
      <c r="C1268" s="2" t="str">
        <f>IFERROR(__xludf.DUMMYFUNCTION("""COMPUTED_VALUE"""),"Ludzas 17")</f>
        <v>Ludzas 17</v>
      </c>
      <c r="D1268" s="2">
        <f>IFERROR(__xludf.DUMMYFUNCTION("""COMPUTED_VALUE"""),2.0)</f>
        <v>2</v>
      </c>
      <c r="E1268" s="2">
        <f>IFERROR(__xludf.DUMMYFUNCTION("""COMPUTED_VALUE"""),37.0)</f>
        <v>37</v>
      </c>
      <c r="F1268" s="2">
        <f>IFERROR(__xludf.DUMMYFUNCTION("""COMPUTED_VALUE"""),5.0)</f>
        <v>5</v>
      </c>
      <c r="G1268" s="2">
        <f>IFERROR(__xludf.DUMMYFUNCTION("""COMPUTED_VALUE"""),5.0)</f>
        <v>5</v>
      </c>
      <c r="H1268" s="2" t="str">
        <f>IFERROR(__xludf.DUMMYFUNCTION("""COMPUTED_VALUE"""),"P. kara")</f>
        <v>P. kara</v>
      </c>
      <c r="I1268" s="2" t="str">
        <f>IFERROR(__xludf.DUMMYFUNCTION("""COMPUTED_VALUE"""),"Brick")</f>
        <v>Brick</v>
      </c>
      <c r="J1268" s="2" t="str">
        <f>IFERROR(__xludf.DUMMYFUNCTION("""COMPUTED_VALUE"""),"All amenities")</f>
        <v>All amenities</v>
      </c>
      <c r="K1268" s="2">
        <f>IFERROR(__xludf.DUMMYFUNCTION("""COMPUTED_VALUE"""),375.0)</f>
        <v>375</v>
      </c>
      <c r="L1268" s="2">
        <f>IFERROR(__xludf.DUMMYFUNCTION("""COMPUTED_VALUE"""),56.94079415)</f>
        <v>56.94079415</v>
      </c>
      <c r="M1268" s="2">
        <f>IFERROR(__xludf.DUMMYFUNCTION("""COMPUTED_VALUE"""),24.1417467503373)</f>
        <v>24.14174675</v>
      </c>
    </row>
    <row r="1269">
      <c r="A1269" s="2" t="str">
        <f>IFERROR(__xludf.DUMMYFUNCTION("""COMPUTED_VALUE"""),"For sale")</f>
        <v>For sale</v>
      </c>
      <c r="B1269" s="2" t="str">
        <f>IFERROR(__xludf.DUMMYFUNCTION("""COMPUTED_VALUE"""),"Iļģuciems")</f>
        <v>Iļģuciems</v>
      </c>
      <c r="C1269" s="2" t="str">
        <f>IFERROR(__xludf.DUMMYFUNCTION("""COMPUTED_VALUE"""),"Vaidelotes 26")</f>
        <v>Vaidelotes 26</v>
      </c>
      <c r="D1269" s="2">
        <f>IFERROR(__xludf.DUMMYFUNCTION("""COMPUTED_VALUE"""),1.0)</f>
        <v>1</v>
      </c>
      <c r="E1269" s="2">
        <f>IFERROR(__xludf.DUMMYFUNCTION("""COMPUTED_VALUE"""),28.0)</f>
        <v>28</v>
      </c>
      <c r="F1269" s="2">
        <f>IFERROR(__xludf.DUMMYFUNCTION("""COMPUTED_VALUE"""),3.0)</f>
        <v>3</v>
      </c>
      <c r="G1269" s="2">
        <f>IFERROR(__xludf.DUMMYFUNCTION("""COMPUTED_VALUE"""),5.0)</f>
        <v>5</v>
      </c>
      <c r="H1269" s="2" t="str">
        <f>IFERROR(__xludf.DUMMYFUNCTION("""COMPUTED_VALUE"""),"Hrušč.")</f>
        <v>Hrušč.</v>
      </c>
      <c r="I1269" s="2" t="str">
        <f>IFERROR(__xludf.DUMMYFUNCTION("""COMPUTED_VALUE"""),"Brick")</f>
        <v>Brick</v>
      </c>
      <c r="J1269" s="2" t="str">
        <f>IFERROR(__xludf.DUMMYFUNCTION("""COMPUTED_VALUE"""),"All amenities")</f>
        <v>All amenities</v>
      </c>
      <c r="K1269" s="2">
        <f>IFERROR(__xludf.DUMMYFUNCTION("""COMPUTED_VALUE"""),24000.0)</f>
        <v>24000</v>
      </c>
      <c r="L1269" s="2">
        <f>IFERROR(__xludf.DUMMYFUNCTION("""COMPUTED_VALUE"""),56.9664898)</f>
        <v>56.9664898</v>
      </c>
      <c r="M1269" s="2">
        <f>IFERROR(__xludf.DUMMYFUNCTION("""COMPUTED_VALUE"""),24.0486124)</f>
        <v>24.0486124</v>
      </c>
    </row>
    <row r="1270">
      <c r="A1270" s="2" t="str">
        <f>IFERROR(__xludf.DUMMYFUNCTION("""COMPUTED_VALUE"""),"For sale")</f>
        <v>For sale</v>
      </c>
      <c r="B1270" s="2" t="str">
        <f>IFERROR(__xludf.DUMMYFUNCTION("""COMPUTED_VALUE"""),"Purvciems")</f>
        <v>Purvciems</v>
      </c>
      <c r="C1270" s="2" t="str">
        <f>IFERROR(__xludf.DUMMYFUNCTION("""COMPUTED_VALUE"""),"Brantkalna 13")</f>
        <v>Brantkalna 13</v>
      </c>
      <c r="D1270" s="2">
        <f>IFERROR(__xludf.DUMMYFUNCTION("""COMPUTED_VALUE"""),3.0)</f>
        <v>3</v>
      </c>
      <c r="E1270" s="2">
        <f>IFERROR(__xludf.DUMMYFUNCTION("""COMPUTED_VALUE"""),79.0)</f>
        <v>79</v>
      </c>
      <c r="F1270" s="2">
        <f>IFERROR(__xludf.DUMMYFUNCTION("""COMPUTED_VALUE"""),2.0)</f>
        <v>2</v>
      </c>
      <c r="G1270" s="2">
        <f>IFERROR(__xludf.DUMMYFUNCTION("""COMPUTED_VALUE"""),9.0)</f>
        <v>9</v>
      </c>
      <c r="H1270" s="2">
        <f>IFERROR(__xludf.DUMMYFUNCTION("""COMPUTED_VALUE"""),119.0)</f>
        <v>119</v>
      </c>
      <c r="I1270" s="2" t="str">
        <f>IFERROR(__xludf.DUMMYFUNCTION("""COMPUTED_VALUE"""),"Panel")</f>
        <v>Panel</v>
      </c>
      <c r="J1270" s="2" t="str">
        <f>IFERROR(__xludf.DUMMYFUNCTION("""COMPUTED_VALUE"""),"All amenities")</f>
        <v>All amenities</v>
      </c>
      <c r="K1270" s="2">
        <f>IFERROR(__xludf.DUMMYFUNCTION("""COMPUTED_VALUE"""),76000.0)</f>
        <v>76000</v>
      </c>
      <c r="L1270" s="2">
        <f>IFERROR(__xludf.DUMMYFUNCTION("""COMPUTED_VALUE"""),56.94971275)</f>
        <v>56.94971275</v>
      </c>
      <c r="M1270" s="2">
        <f>IFERROR(__xludf.DUMMYFUNCTION("""COMPUTED_VALUE"""),24.1947290999999)</f>
        <v>24.1947291</v>
      </c>
    </row>
    <row r="1271">
      <c r="A1271" s="2" t="str">
        <f>IFERROR(__xludf.DUMMYFUNCTION("""COMPUTED_VALUE"""),"For sale")</f>
        <v>For sale</v>
      </c>
      <c r="B1271" s="2" t="str">
        <f>IFERROR(__xludf.DUMMYFUNCTION("""COMPUTED_VALUE"""),"centrs")</f>
        <v>centrs</v>
      </c>
      <c r="C1271" s="2" t="str">
        <f>IFERROR(__xludf.DUMMYFUNCTION("""COMPUTED_VALUE"""),"Dzirnavu 107")</f>
        <v>Dzirnavu 107</v>
      </c>
      <c r="D1271" s="2">
        <f>IFERROR(__xludf.DUMMYFUNCTION("""COMPUTED_VALUE"""),2.0)</f>
        <v>2</v>
      </c>
      <c r="E1271" s="2">
        <f>IFERROR(__xludf.DUMMYFUNCTION("""COMPUTED_VALUE"""),30.0)</f>
        <v>30</v>
      </c>
      <c r="F1271" s="2">
        <f>IFERROR(__xludf.DUMMYFUNCTION("""COMPUTED_VALUE"""),1.0)</f>
        <v>1</v>
      </c>
      <c r="G1271" s="2">
        <f>IFERROR(__xludf.DUMMYFUNCTION("""COMPUTED_VALUE"""),4.0)</f>
        <v>4</v>
      </c>
      <c r="H1271" s="2" t="str">
        <f>IFERROR(__xludf.DUMMYFUNCTION("""COMPUTED_VALUE"""),"P. kara")</f>
        <v>P. kara</v>
      </c>
      <c r="I1271" s="2" t="str">
        <f>IFERROR(__xludf.DUMMYFUNCTION("""COMPUTED_VALUE"""),"Brick")</f>
        <v>Brick</v>
      </c>
      <c r="J1271" s="2" t="str">
        <f>IFERROR(__xludf.DUMMYFUNCTION("""COMPUTED_VALUE"""),"All amenities")</f>
        <v>All amenities</v>
      </c>
      <c r="K1271" s="2">
        <f>IFERROR(__xludf.DUMMYFUNCTION("""COMPUTED_VALUE"""),65000.0)</f>
        <v>65000</v>
      </c>
      <c r="L1271" s="2">
        <f>IFERROR(__xludf.DUMMYFUNCTION("""COMPUTED_VALUE"""),56.9508474)</f>
        <v>56.9508474</v>
      </c>
      <c r="M1271" s="2">
        <f>IFERROR(__xludf.DUMMYFUNCTION("""COMPUTED_VALUE"""),24.1241128)</f>
        <v>24.1241128</v>
      </c>
    </row>
    <row r="1272">
      <c r="A1272" s="2" t="str">
        <f>IFERROR(__xludf.DUMMYFUNCTION("""COMPUTED_VALUE"""),"For sale")</f>
        <v>For sale</v>
      </c>
      <c r="B1272" s="2" t="str">
        <f>IFERROR(__xludf.DUMMYFUNCTION("""COMPUTED_VALUE"""),"Jugla")</f>
        <v>Jugla</v>
      </c>
      <c r="C1272" s="2" t="str">
        <f>IFERROR(__xludf.DUMMYFUNCTION("""COMPUTED_VALUE"""),"Salamandras 3")</f>
        <v>Salamandras 3</v>
      </c>
      <c r="D1272" s="2">
        <f>IFERROR(__xludf.DUMMYFUNCTION("""COMPUTED_VALUE"""),1.0)</f>
        <v>1</v>
      </c>
      <c r="E1272" s="2">
        <f>IFERROR(__xludf.DUMMYFUNCTION("""COMPUTED_VALUE"""),44.0)</f>
        <v>44</v>
      </c>
      <c r="F1272" s="2">
        <f>IFERROR(__xludf.DUMMYFUNCTION("""COMPUTED_VALUE"""),2.0)</f>
        <v>2</v>
      </c>
      <c r="G1272" s="2">
        <f>IFERROR(__xludf.DUMMYFUNCTION("""COMPUTED_VALUE"""),7.0)</f>
        <v>7</v>
      </c>
      <c r="H1272" s="2" t="str">
        <f>IFERROR(__xludf.DUMMYFUNCTION("""COMPUTED_VALUE"""),"Specpr.")</f>
        <v>Specpr.</v>
      </c>
      <c r="I1272" s="2" t="str">
        <f>IFERROR(__xludf.DUMMYFUNCTION("""COMPUTED_VALUE"""),"Brick")</f>
        <v>Brick</v>
      </c>
      <c r="J1272" s="2" t="str">
        <f>IFERROR(__xludf.DUMMYFUNCTION("""COMPUTED_VALUE"""),"All amenities")</f>
        <v>All amenities</v>
      </c>
      <c r="K1272" s="2">
        <f>IFERROR(__xludf.DUMMYFUNCTION("""COMPUTED_VALUE"""),40000.0)</f>
        <v>40000</v>
      </c>
      <c r="L1272" s="2">
        <f>IFERROR(__xludf.DUMMYFUNCTION("""COMPUTED_VALUE"""),56.9933665)</f>
        <v>56.9933665</v>
      </c>
      <c r="M1272" s="2">
        <f>IFERROR(__xludf.DUMMYFUNCTION("""COMPUTED_VALUE"""),24.2300646)</f>
        <v>24.2300646</v>
      </c>
    </row>
    <row r="1273">
      <c r="A1273" s="2" t="str">
        <f>IFERROR(__xludf.DUMMYFUNCTION("""COMPUTED_VALUE"""),"For sale")</f>
        <v>For sale</v>
      </c>
      <c r="B1273" s="2" t="str">
        <f>IFERROR(__xludf.DUMMYFUNCTION("""COMPUTED_VALUE"""),"centrs")</f>
        <v>centrs</v>
      </c>
      <c r="C1273" s="2" t="str">
        <f>IFERROR(__xludf.DUMMYFUNCTION("""COMPUTED_VALUE"""),"Čaka 68")</f>
        <v>Čaka 68</v>
      </c>
      <c r="D1273" s="2">
        <f>IFERROR(__xludf.DUMMYFUNCTION("""COMPUTED_VALUE"""),3.0)</f>
        <v>3</v>
      </c>
      <c r="E1273" s="2">
        <f>IFERROR(__xludf.DUMMYFUNCTION("""COMPUTED_VALUE"""),59.0)</f>
        <v>59</v>
      </c>
      <c r="F1273" s="2">
        <f>IFERROR(__xludf.DUMMYFUNCTION("""COMPUTED_VALUE"""),2.0)</f>
        <v>2</v>
      </c>
      <c r="G1273" s="2">
        <f>IFERROR(__xludf.DUMMYFUNCTION("""COMPUTED_VALUE"""),6.0)</f>
        <v>6</v>
      </c>
      <c r="H1273" s="2" t="str">
        <f>IFERROR(__xludf.DUMMYFUNCTION("""COMPUTED_VALUE"""),"P. kara")</f>
        <v>P. kara</v>
      </c>
      <c r="I1273" s="2" t="str">
        <f>IFERROR(__xludf.DUMMYFUNCTION("""COMPUTED_VALUE"""),"Brick")</f>
        <v>Brick</v>
      </c>
      <c r="J1273" s="2" t="str">
        <f>IFERROR(__xludf.DUMMYFUNCTION("""COMPUTED_VALUE"""),"All amenities")</f>
        <v>All amenities</v>
      </c>
      <c r="K1273" s="2">
        <f>IFERROR(__xludf.DUMMYFUNCTION("""COMPUTED_VALUE"""),80000.0)</f>
        <v>80000</v>
      </c>
      <c r="L1273" s="2">
        <f>IFERROR(__xludf.DUMMYFUNCTION("""COMPUTED_VALUE"""),56.9555119)</f>
        <v>56.9555119</v>
      </c>
      <c r="M1273" s="2">
        <f>IFERROR(__xludf.DUMMYFUNCTION("""COMPUTED_VALUE"""),24.1352351)</f>
        <v>24.1352351</v>
      </c>
    </row>
    <row r="1274">
      <c r="A1274" s="2" t="str">
        <f>IFERROR(__xludf.DUMMYFUNCTION("""COMPUTED_VALUE"""),"For rent")</f>
        <v>For rent</v>
      </c>
      <c r="B1274" s="2" t="str">
        <f>IFERROR(__xludf.DUMMYFUNCTION("""COMPUTED_VALUE"""),"Zolitūde")</f>
        <v>Zolitūde</v>
      </c>
      <c r="C1274" s="2" t="str">
        <f>IFERROR(__xludf.DUMMYFUNCTION("""COMPUTED_VALUE"""),"Ruses 24")</f>
        <v>Ruses 24</v>
      </c>
      <c r="D1274" s="2">
        <f>IFERROR(__xludf.DUMMYFUNCTION("""COMPUTED_VALUE"""),3.0)</f>
        <v>3</v>
      </c>
      <c r="E1274" s="2">
        <f>IFERROR(__xludf.DUMMYFUNCTION("""COMPUTED_VALUE"""),75.0)</f>
        <v>75</v>
      </c>
      <c r="F1274" s="2">
        <f>IFERROR(__xludf.DUMMYFUNCTION("""COMPUTED_VALUE"""),4.0)</f>
        <v>4</v>
      </c>
      <c r="G1274" s="2">
        <f>IFERROR(__xludf.DUMMYFUNCTION("""COMPUTED_VALUE"""),9.0)</f>
        <v>9</v>
      </c>
      <c r="H1274" s="2">
        <f>IFERROR(__xludf.DUMMYFUNCTION("""COMPUTED_VALUE"""),119.0)</f>
        <v>119</v>
      </c>
      <c r="I1274" s="2" t="str">
        <f>IFERROR(__xludf.DUMMYFUNCTION("""COMPUTED_VALUE"""),"Panel")</f>
        <v>Panel</v>
      </c>
      <c r="J1274" s="2" t="str">
        <f>IFERROR(__xludf.DUMMYFUNCTION("""COMPUTED_VALUE"""),"All amenities")</f>
        <v>All amenities</v>
      </c>
      <c r="K1274" s="2">
        <f>IFERROR(__xludf.DUMMYFUNCTION("""COMPUTED_VALUE"""),490.0)</f>
        <v>490</v>
      </c>
      <c r="L1274" s="2">
        <f>IFERROR(__xludf.DUMMYFUNCTION("""COMPUTED_VALUE"""),56.94617195)</f>
        <v>56.94617195</v>
      </c>
      <c r="M1274" s="2">
        <f>IFERROR(__xludf.DUMMYFUNCTION("""COMPUTED_VALUE"""),24.0087872499999)</f>
        <v>24.00878725</v>
      </c>
    </row>
    <row r="1275">
      <c r="A1275" s="2" t="str">
        <f>IFERROR(__xludf.DUMMYFUNCTION("""COMPUTED_VALUE"""),"For sale")</f>
        <v>For sale</v>
      </c>
      <c r="B1275" s="2" t="str">
        <f>IFERROR(__xludf.DUMMYFUNCTION("""COMPUTED_VALUE"""),"Āgenskalns")</f>
        <v>Āgenskalns</v>
      </c>
      <c r="C1275" s="2" t="str">
        <f>IFERROR(__xludf.DUMMYFUNCTION("""COMPUTED_VALUE"""),"Kuldīgas 32")</f>
        <v>Kuldīgas 32</v>
      </c>
      <c r="D1275" s="2">
        <f>IFERROR(__xludf.DUMMYFUNCTION("""COMPUTED_VALUE"""),4.0)</f>
        <v>4</v>
      </c>
      <c r="E1275" s="2">
        <f>IFERROR(__xludf.DUMMYFUNCTION("""COMPUTED_VALUE"""),112.0)</f>
        <v>112</v>
      </c>
      <c r="F1275" s="2">
        <f>IFERROR(__xludf.DUMMYFUNCTION("""COMPUTED_VALUE"""),3.0)</f>
        <v>3</v>
      </c>
      <c r="G1275" s="2">
        <f>IFERROR(__xludf.DUMMYFUNCTION("""COMPUTED_VALUE"""),6.0)</f>
        <v>6</v>
      </c>
      <c r="H1275" s="2" t="str">
        <f>IFERROR(__xludf.DUMMYFUNCTION("""COMPUTED_VALUE"""),"Renov.")</f>
        <v>Renov.</v>
      </c>
      <c r="I1275" s="2" t="str">
        <f>IFERROR(__xludf.DUMMYFUNCTION("""COMPUTED_VALUE"""),"Masonry")</f>
        <v>Masonry</v>
      </c>
      <c r="J1275" s="2" t="str">
        <f>IFERROR(__xludf.DUMMYFUNCTION("""COMPUTED_VALUE"""),"All amenities")</f>
        <v>All amenities</v>
      </c>
      <c r="K1275" s="2">
        <f>IFERROR(__xludf.DUMMYFUNCTION("""COMPUTED_VALUE"""),145000.0)</f>
        <v>145000</v>
      </c>
      <c r="L1275" s="2">
        <f>IFERROR(__xludf.DUMMYFUNCTION("""COMPUTED_VALUE"""),56.9474705)</f>
        <v>56.9474705</v>
      </c>
      <c r="M1275" s="2">
        <f>IFERROR(__xludf.DUMMYFUNCTION("""COMPUTED_VALUE"""),24.0604076)</f>
        <v>24.0604076</v>
      </c>
    </row>
    <row r="1276">
      <c r="A1276" s="2" t="str">
        <f>IFERROR(__xludf.DUMMYFUNCTION("""COMPUTED_VALUE"""),"For rent")</f>
        <v>For rent</v>
      </c>
      <c r="B1276" s="2" t="str">
        <f>IFERROR(__xludf.DUMMYFUNCTION("""COMPUTED_VALUE"""),"Šampēteris-Pleskodāle")</f>
        <v>Šampēteris-Pleskodāle</v>
      </c>
      <c r="C1276" s="2" t="str">
        <f>IFERROR(__xludf.DUMMYFUNCTION("""COMPUTED_VALUE"""),"Kalnciema 135")</f>
        <v>Kalnciema 135</v>
      </c>
      <c r="D1276" s="2">
        <f>IFERROR(__xludf.DUMMYFUNCTION("""COMPUTED_VALUE"""),2.0)</f>
        <v>2</v>
      </c>
      <c r="E1276" s="2">
        <f>IFERROR(__xludf.DUMMYFUNCTION("""COMPUTED_VALUE"""),30.0)</f>
        <v>30</v>
      </c>
      <c r="F1276" s="2">
        <f>IFERROR(__xludf.DUMMYFUNCTION("""COMPUTED_VALUE"""),2.0)</f>
        <v>2</v>
      </c>
      <c r="G1276" s="2">
        <f>IFERROR(__xludf.DUMMYFUNCTION("""COMPUTED_VALUE"""),3.0)</f>
        <v>3</v>
      </c>
      <c r="H1276" s="2" t="str">
        <f>IFERROR(__xludf.DUMMYFUNCTION("""COMPUTED_VALUE"""),"Renov.")</f>
        <v>Renov.</v>
      </c>
      <c r="I1276" s="2" t="str">
        <f>IFERROR(__xludf.DUMMYFUNCTION("""COMPUTED_VALUE"""),"Wood")</f>
        <v>Wood</v>
      </c>
      <c r="J1276" s="2" t="str">
        <f>IFERROR(__xludf.DUMMYFUNCTION("""COMPUTED_VALUE"""),"All amenities")</f>
        <v>All amenities</v>
      </c>
      <c r="K1276" s="2">
        <f>IFERROR(__xludf.DUMMYFUNCTION("""COMPUTED_VALUE"""),350.0)</f>
        <v>350</v>
      </c>
      <c r="L1276" s="2">
        <f>IFERROR(__xludf.DUMMYFUNCTION("""COMPUTED_VALUE"""),56.93501385)</f>
        <v>56.93501385</v>
      </c>
      <c r="M1276" s="2">
        <f>IFERROR(__xludf.DUMMYFUNCTION("""COMPUTED_VALUE"""),24.0352872903897)</f>
        <v>24.03528729</v>
      </c>
    </row>
    <row r="1277">
      <c r="A1277" s="2" t="str">
        <f>IFERROR(__xludf.DUMMYFUNCTION("""COMPUTED_VALUE"""),"For sale")</f>
        <v>For sale</v>
      </c>
      <c r="B1277" s="2" t="str">
        <f>IFERROR(__xludf.DUMMYFUNCTION("""COMPUTED_VALUE"""),"centrs")</f>
        <v>centrs</v>
      </c>
      <c r="C1277" s="2" t="str">
        <f>IFERROR(__xludf.DUMMYFUNCTION("""COMPUTED_VALUE"""),"Hospitāļu 22")</f>
        <v>Hospitāļu 22</v>
      </c>
      <c r="D1277" s="2">
        <f>IFERROR(__xludf.DUMMYFUNCTION("""COMPUTED_VALUE"""),5.0)</f>
        <v>5</v>
      </c>
      <c r="E1277" s="2">
        <f>IFERROR(__xludf.DUMMYFUNCTION("""COMPUTED_VALUE"""),138.0)</f>
        <v>138</v>
      </c>
      <c r="F1277" s="2">
        <f>IFERROR(__xludf.DUMMYFUNCTION("""COMPUTED_VALUE"""),4.0)</f>
        <v>4</v>
      </c>
      <c r="G1277" s="2">
        <f>IFERROR(__xludf.DUMMYFUNCTION("""COMPUTED_VALUE"""),4.0)</f>
        <v>4</v>
      </c>
      <c r="H1277" s="2" t="str">
        <f>IFERROR(__xludf.DUMMYFUNCTION("""COMPUTED_VALUE"""),"P. kara")</f>
        <v>P. kara</v>
      </c>
      <c r="I1277" s="2" t="str">
        <f>IFERROR(__xludf.DUMMYFUNCTION("""COMPUTED_VALUE"""),"Masonry")</f>
        <v>Masonry</v>
      </c>
      <c r="J1277" s="2" t="str">
        <f>IFERROR(__xludf.DUMMYFUNCTION("""COMPUTED_VALUE"""),"All amenities")</f>
        <v>All amenities</v>
      </c>
      <c r="K1277" s="2">
        <f>IFERROR(__xludf.DUMMYFUNCTION("""COMPUTED_VALUE"""),168000.0)</f>
        <v>168000</v>
      </c>
      <c r="L1277" s="2">
        <f>IFERROR(__xludf.DUMMYFUNCTION("""COMPUTED_VALUE"""),56.97311445)</f>
        <v>56.97311445</v>
      </c>
      <c r="M1277" s="2">
        <f>IFERROR(__xludf.DUMMYFUNCTION("""COMPUTED_VALUE"""),24.1378080196509)</f>
        <v>24.13780802</v>
      </c>
    </row>
    <row r="1278">
      <c r="A1278" s="2" t="str">
        <f>IFERROR(__xludf.DUMMYFUNCTION("""COMPUTED_VALUE"""),"For rent")</f>
        <v>For rent</v>
      </c>
      <c r="B1278" s="2" t="str">
        <f>IFERROR(__xludf.DUMMYFUNCTION("""COMPUTED_VALUE"""),"Imanta")</f>
        <v>Imanta</v>
      </c>
      <c r="C1278" s="2" t="str">
        <f>IFERROR(__xludf.DUMMYFUNCTION("""COMPUTED_VALUE"""),"Anniņmuižas bulvāris 38")</f>
        <v>Anniņmuižas bulvāris 38</v>
      </c>
      <c r="D1278" s="2">
        <f>IFERROR(__xludf.DUMMYFUNCTION("""COMPUTED_VALUE"""),2.0)</f>
        <v>2</v>
      </c>
      <c r="E1278" s="2">
        <f>IFERROR(__xludf.DUMMYFUNCTION("""COMPUTED_VALUE"""),80.0)</f>
        <v>80</v>
      </c>
      <c r="F1278" s="2">
        <f>IFERROR(__xludf.DUMMYFUNCTION("""COMPUTED_VALUE"""),8.0)</f>
        <v>8</v>
      </c>
      <c r="G1278" s="2">
        <f>IFERROR(__xludf.DUMMYFUNCTION("""COMPUTED_VALUE"""),18.0)</f>
        <v>18</v>
      </c>
      <c r="H1278" s="2" t="str">
        <f>IFERROR(__xludf.DUMMYFUNCTION("""COMPUTED_VALUE"""),"Jaun.")</f>
        <v>Jaun.</v>
      </c>
      <c r="I1278" s="2" t="str">
        <f>IFERROR(__xludf.DUMMYFUNCTION("""COMPUTED_VALUE"""),"Brick-Panel")</f>
        <v>Brick-Panel</v>
      </c>
      <c r="J1278" s="2" t="str">
        <f>IFERROR(__xludf.DUMMYFUNCTION("""COMPUTED_VALUE"""),"All amenities")</f>
        <v>All amenities</v>
      </c>
      <c r="K1278" s="2">
        <f>IFERROR(__xludf.DUMMYFUNCTION("""COMPUTED_VALUE"""),520.0)</f>
        <v>520</v>
      </c>
      <c r="L1278" s="2">
        <f>IFERROR(__xludf.DUMMYFUNCTION("""COMPUTED_VALUE"""),56.96112105)</f>
        <v>56.96112105</v>
      </c>
      <c r="M1278" s="2">
        <f>IFERROR(__xludf.DUMMYFUNCTION("""COMPUTED_VALUE"""),24.01821679525)</f>
        <v>24.0182168</v>
      </c>
    </row>
    <row r="1279">
      <c r="A1279" s="2" t="str">
        <f>IFERROR(__xludf.DUMMYFUNCTION("""COMPUTED_VALUE"""),"For sale")</f>
        <v>For sale</v>
      </c>
      <c r="B1279" s="2" t="str">
        <f>IFERROR(__xludf.DUMMYFUNCTION("""COMPUTED_VALUE"""),"Vecrīga")</f>
        <v>Vecrīga</v>
      </c>
      <c r="C1279" s="2" t="str">
        <f>IFERROR(__xludf.DUMMYFUNCTION("""COMPUTED_VALUE"""),"M. Smilšu 11")</f>
        <v>M. Smilšu 11</v>
      </c>
      <c r="D1279" s="2">
        <f>IFERROR(__xludf.DUMMYFUNCTION("""COMPUTED_VALUE"""),1.0)</f>
        <v>1</v>
      </c>
      <c r="E1279" s="2">
        <f>IFERROR(__xludf.DUMMYFUNCTION("""COMPUTED_VALUE"""),18.0)</f>
        <v>18</v>
      </c>
      <c r="F1279" s="2">
        <f>IFERROR(__xludf.DUMMYFUNCTION("""COMPUTED_VALUE"""),2.0)</f>
        <v>2</v>
      </c>
      <c r="G1279" s="2">
        <f>IFERROR(__xludf.DUMMYFUNCTION("""COMPUTED_VALUE"""),4.0)</f>
        <v>4</v>
      </c>
      <c r="H1279" s="2" t="str">
        <f>IFERROR(__xludf.DUMMYFUNCTION("""COMPUTED_VALUE"""),"P. kara")</f>
        <v>P. kara</v>
      </c>
      <c r="I1279" s="2" t="str">
        <f>IFERROR(__xludf.DUMMYFUNCTION("""COMPUTED_VALUE"""),"Masonry")</f>
        <v>Masonry</v>
      </c>
      <c r="J1279" s="2" t="str">
        <f>IFERROR(__xludf.DUMMYFUNCTION("""COMPUTED_VALUE"""),"All amenities")</f>
        <v>All amenities</v>
      </c>
      <c r="K1279" s="2">
        <f>IFERROR(__xludf.DUMMYFUNCTION("""COMPUTED_VALUE"""),44500.0)</f>
        <v>44500</v>
      </c>
      <c r="L1279" s="2">
        <f>IFERROR(__xludf.DUMMYFUNCTION("""COMPUTED_VALUE"""),56.95014635)</f>
        <v>56.95014635</v>
      </c>
      <c r="M1279" s="2">
        <f>IFERROR(__xludf.DUMMYFUNCTION("""COMPUTED_VALUE"""),24.1092607305158)</f>
        <v>24.10926073</v>
      </c>
    </row>
    <row r="1280">
      <c r="A1280" s="2" t="str">
        <f>IFERROR(__xludf.DUMMYFUNCTION("""COMPUTED_VALUE"""),"For sale")</f>
        <v>For sale</v>
      </c>
      <c r="B1280" s="2" t="str">
        <f>IFERROR(__xludf.DUMMYFUNCTION("""COMPUTED_VALUE"""),"Imanta")</f>
        <v>Imanta</v>
      </c>
      <c r="C1280" s="2" t="str">
        <f>IFERROR(__xludf.DUMMYFUNCTION("""COMPUTED_VALUE"""),"Akāciju 2e")</f>
        <v>Akāciju 2e</v>
      </c>
      <c r="D1280" s="2">
        <f>IFERROR(__xludf.DUMMYFUNCTION("""COMPUTED_VALUE"""),3.0)</f>
        <v>3</v>
      </c>
      <c r="E1280" s="2">
        <f>IFERROR(__xludf.DUMMYFUNCTION("""COMPUTED_VALUE"""),60.0)</f>
        <v>60</v>
      </c>
      <c r="F1280" s="2">
        <f>IFERROR(__xludf.DUMMYFUNCTION("""COMPUTED_VALUE"""),7.0)</f>
        <v>7</v>
      </c>
      <c r="G1280" s="2">
        <f>IFERROR(__xludf.DUMMYFUNCTION("""COMPUTED_VALUE"""),9.0)</f>
        <v>9</v>
      </c>
      <c r="H1280" s="2" t="str">
        <f>IFERROR(__xludf.DUMMYFUNCTION("""COMPUTED_VALUE"""),"Jaun.")</f>
        <v>Jaun.</v>
      </c>
      <c r="I1280" s="2" t="str">
        <f>IFERROR(__xludf.DUMMYFUNCTION("""COMPUTED_VALUE"""),"Panel")</f>
        <v>Panel</v>
      </c>
      <c r="J1280" s="2" t="str">
        <f>IFERROR(__xludf.DUMMYFUNCTION("""COMPUTED_VALUE"""),"All amenities")</f>
        <v>All amenities</v>
      </c>
      <c r="K1280" s="2">
        <f>IFERROR(__xludf.DUMMYFUNCTION("""COMPUTED_VALUE"""),104949.0)</f>
        <v>104949</v>
      </c>
      <c r="L1280" s="2">
        <f>IFERROR(__xludf.DUMMYFUNCTION("""COMPUTED_VALUE"""),56.9518586)</f>
        <v>56.9518586</v>
      </c>
      <c r="M1280" s="2">
        <f>IFERROR(__xludf.DUMMYFUNCTION("""COMPUTED_VALUE"""),24.0049456791553)</f>
        <v>24.00494568</v>
      </c>
    </row>
    <row r="1281">
      <c r="A1281" s="2" t="str">
        <f>IFERROR(__xludf.DUMMYFUNCTION("""COMPUTED_VALUE"""),"For sale")</f>
        <v>For sale</v>
      </c>
      <c r="B1281" s="2" t="str">
        <f>IFERROR(__xludf.DUMMYFUNCTION("""COMPUTED_VALUE"""),"Imanta")</f>
        <v>Imanta</v>
      </c>
      <c r="C1281" s="2" t="str">
        <f>IFERROR(__xludf.DUMMYFUNCTION("""COMPUTED_VALUE"""),"Akāciju 2d")</f>
        <v>Akāciju 2d</v>
      </c>
      <c r="D1281" s="2">
        <f>IFERROR(__xludf.DUMMYFUNCTION("""COMPUTED_VALUE"""),4.0)</f>
        <v>4</v>
      </c>
      <c r="E1281" s="2">
        <f>IFERROR(__xludf.DUMMYFUNCTION("""COMPUTED_VALUE"""),78.0)</f>
        <v>78</v>
      </c>
      <c r="F1281" s="2">
        <f>IFERROR(__xludf.DUMMYFUNCTION("""COMPUTED_VALUE"""),8.0)</f>
        <v>8</v>
      </c>
      <c r="G1281" s="2">
        <f>IFERROR(__xludf.DUMMYFUNCTION("""COMPUTED_VALUE"""),9.0)</f>
        <v>9</v>
      </c>
      <c r="H1281" s="2" t="str">
        <f>IFERROR(__xludf.DUMMYFUNCTION("""COMPUTED_VALUE"""),"Jaun.")</f>
        <v>Jaun.</v>
      </c>
      <c r="I1281" s="2" t="str">
        <f>IFERROR(__xludf.DUMMYFUNCTION("""COMPUTED_VALUE"""),"Panel")</f>
        <v>Panel</v>
      </c>
      <c r="J1281" s="2" t="str">
        <f>IFERROR(__xludf.DUMMYFUNCTION("""COMPUTED_VALUE"""),"All amenities")</f>
        <v>All amenities</v>
      </c>
      <c r="K1281" s="2">
        <f>IFERROR(__xludf.DUMMYFUNCTION("""COMPUTED_VALUE"""),133722.0)</f>
        <v>133722</v>
      </c>
      <c r="L1281" s="2">
        <f>IFERROR(__xludf.DUMMYFUNCTION("""COMPUTED_VALUE"""),56.9514132)</f>
        <v>56.9514132</v>
      </c>
      <c r="M1281" s="2">
        <f>IFERROR(__xludf.DUMMYFUNCTION("""COMPUTED_VALUE"""),24.0038761753746)</f>
        <v>24.00387618</v>
      </c>
    </row>
    <row r="1282">
      <c r="A1282" s="2" t="str">
        <f>IFERROR(__xludf.DUMMYFUNCTION("""COMPUTED_VALUE"""),"For sale")</f>
        <v>For sale</v>
      </c>
      <c r="B1282" s="2" t="str">
        <f>IFERROR(__xludf.DUMMYFUNCTION("""COMPUTED_VALUE"""),"Imanta")</f>
        <v>Imanta</v>
      </c>
      <c r="C1282" s="2" t="str">
        <f>IFERROR(__xludf.DUMMYFUNCTION("""COMPUTED_VALUE"""),"Akāciju 2d")</f>
        <v>Akāciju 2d</v>
      </c>
      <c r="D1282" s="2">
        <f>IFERROR(__xludf.DUMMYFUNCTION("""COMPUTED_VALUE"""),2.0)</f>
        <v>2</v>
      </c>
      <c r="E1282" s="2">
        <f>IFERROR(__xludf.DUMMYFUNCTION("""COMPUTED_VALUE"""),51.0)</f>
        <v>51</v>
      </c>
      <c r="F1282" s="2">
        <f>IFERROR(__xludf.DUMMYFUNCTION("""COMPUTED_VALUE"""),6.0)</f>
        <v>6</v>
      </c>
      <c r="G1282" s="2">
        <f>IFERROR(__xludf.DUMMYFUNCTION("""COMPUTED_VALUE"""),9.0)</f>
        <v>9</v>
      </c>
      <c r="H1282" s="2" t="str">
        <f>IFERROR(__xludf.DUMMYFUNCTION("""COMPUTED_VALUE"""),"Jaun.")</f>
        <v>Jaun.</v>
      </c>
      <c r="I1282" s="2" t="str">
        <f>IFERROR(__xludf.DUMMYFUNCTION("""COMPUTED_VALUE"""),"Panel")</f>
        <v>Panel</v>
      </c>
      <c r="J1282" s="2" t="str">
        <f>IFERROR(__xludf.DUMMYFUNCTION("""COMPUTED_VALUE"""),"All amenities")</f>
        <v>All amenities</v>
      </c>
      <c r="K1282" s="2">
        <f>IFERROR(__xludf.DUMMYFUNCTION("""COMPUTED_VALUE"""),87365.0)</f>
        <v>87365</v>
      </c>
      <c r="L1282" s="2">
        <f>IFERROR(__xludf.DUMMYFUNCTION("""COMPUTED_VALUE"""),56.9514132)</f>
        <v>56.9514132</v>
      </c>
      <c r="M1282" s="2">
        <f>IFERROR(__xludf.DUMMYFUNCTION("""COMPUTED_VALUE"""),24.0038761753746)</f>
        <v>24.00387618</v>
      </c>
    </row>
    <row r="1283">
      <c r="A1283" s="2" t="str">
        <f>IFERROR(__xludf.DUMMYFUNCTION("""COMPUTED_VALUE"""),"For sale")</f>
        <v>For sale</v>
      </c>
      <c r="B1283" s="2" t="str">
        <f>IFERROR(__xludf.DUMMYFUNCTION("""COMPUTED_VALUE"""),"Imanta")</f>
        <v>Imanta</v>
      </c>
      <c r="C1283" s="2" t="str">
        <f>IFERROR(__xludf.DUMMYFUNCTION("""COMPUTED_VALUE"""),"Akāciju 2e")</f>
        <v>Akāciju 2e</v>
      </c>
      <c r="D1283" s="2">
        <f>IFERROR(__xludf.DUMMYFUNCTION("""COMPUTED_VALUE"""),4.0)</f>
        <v>4</v>
      </c>
      <c r="E1283" s="2">
        <f>IFERROR(__xludf.DUMMYFUNCTION("""COMPUTED_VALUE"""),78.0)</f>
        <v>78</v>
      </c>
      <c r="F1283" s="2">
        <f>IFERROR(__xludf.DUMMYFUNCTION("""COMPUTED_VALUE"""),5.0)</f>
        <v>5</v>
      </c>
      <c r="G1283" s="2">
        <f>IFERROR(__xludf.DUMMYFUNCTION("""COMPUTED_VALUE"""),9.0)</f>
        <v>9</v>
      </c>
      <c r="H1283" s="2" t="str">
        <f>IFERROR(__xludf.DUMMYFUNCTION("""COMPUTED_VALUE"""),"Jaun.")</f>
        <v>Jaun.</v>
      </c>
      <c r="I1283" s="2" t="str">
        <f>IFERROR(__xludf.DUMMYFUNCTION("""COMPUTED_VALUE"""),"Panel")</f>
        <v>Panel</v>
      </c>
      <c r="J1283" s="2" t="str">
        <f>IFERROR(__xludf.DUMMYFUNCTION("""COMPUTED_VALUE"""),"All amenities")</f>
        <v>All amenities</v>
      </c>
      <c r="K1283" s="2">
        <f>IFERROR(__xludf.DUMMYFUNCTION("""COMPUTED_VALUE"""),130203.0)</f>
        <v>130203</v>
      </c>
      <c r="L1283" s="2">
        <f>IFERROR(__xludf.DUMMYFUNCTION("""COMPUTED_VALUE"""),56.9518586)</f>
        <v>56.9518586</v>
      </c>
      <c r="M1283" s="2">
        <f>IFERROR(__xludf.DUMMYFUNCTION("""COMPUTED_VALUE"""),24.0049456791553)</f>
        <v>24.00494568</v>
      </c>
    </row>
    <row r="1284">
      <c r="A1284" s="2" t="str">
        <f>IFERROR(__xludf.DUMMYFUNCTION("""COMPUTED_VALUE"""),"For sale")</f>
        <v>For sale</v>
      </c>
      <c r="B1284" s="2" t="str">
        <f>IFERROR(__xludf.DUMMYFUNCTION("""COMPUTED_VALUE"""),"Imanta")</f>
        <v>Imanta</v>
      </c>
      <c r="C1284" s="2" t="str">
        <f>IFERROR(__xludf.DUMMYFUNCTION("""COMPUTED_VALUE"""),"Akāciju 2d")</f>
        <v>Akāciju 2d</v>
      </c>
      <c r="D1284" s="2">
        <f>IFERROR(__xludf.DUMMYFUNCTION("""COMPUTED_VALUE"""),4.0)</f>
        <v>4</v>
      </c>
      <c r="E1284" s="2">
        <f>IFERROR(__xludf.DUMMYFUNCTION("""COMPUTED_VALUE"""),78.0)</f>
        <v>78</v>
      </c>
      <c r="F1284" s="2">
        <f>IFERROR(__xludf.DUMMYFUNCTION("""COMPUTED_VALUE"""),6.0)</f>
        <v>6</v>
      </c>
      <c r="G1284" s="2">
        <f>IFERROR(__xludf.DUMMYFUNCTION("""COMPUTED_VALUE"""),9.0)</f>
        <v>9</v>
      </c>
      <c r="H1284" s="2" t="str">
        <f>IFERROR(__xludf.DUMMYFUNCTION("""COMPUTED_VALUE"""),"Jaun.")</f>
        <v>Jaun.</v>
      </c>
      <c r="I1284" s="2" t="str">
        <f>IFERROR(__xludf.DUMMYFUNCTION("""COMPUTED_VALUE"""),"Panel")</f>
        <v>Panel</v>
      </c>
      <c r="J1284" s="2" t="str">
        <f>IFERROR(__xludf.DUMMYFUNCTION("""COMPUTED_VALUE"""),"All amenities")</f>
        <v>All amenities</v>
      </c>
      <c r="K1284" s="2">
        <f>IFERROR(__xludf.DUMMYFUNCTION("""COMPUTED_VALUE"""),130985.0)</f>
        <v>130985</v>
      </c>
      <c r="L1284" s="2">
        <f>IFERROR(__xludf.DUMMYFUNCTION("""COMPUTED_VALUE"""),56.9514132)</f>
        <v>56.9514132</v>
      </c>
      <c r="M1284" s="2">
        <f>IFERROR(__xludf.DUMMYFUNCTION("""COMPUTED_VALUE"""),24.0038761753746)</f>
        <v>24.00387618</v>
      </c>
    </row>
    <row r="1285">
      <c r="A1285" s="2" t="str">
        <f>IFERROR(__xludf.DUMMYFUNCTION("""COMPUTED_VALUE"""),"For sale")</f>
        <v>For sale</v>
      </c>
      <c r="B1285" s="2" t="str">
        <f>IFERROR(__xludf.DUMMYFUNCTION("""COMPUTED_VALUE"""),"Imanta")</f>
        <v>Imanta</v>
      </c>
      <c r="C1285" s="2" t="str">
        <f>IFERROR(__xludf.DUMMYFUNCTION("""COMPUTED_VALUE"""),"Akāciju 2d")</f>
        <v>Akāciju 2d</v>
      </c>
      <c r="D1285" s="2">
        <f>IFERROR(__xludf.DUMMYFUNCTION("""COMPUTED_VALUE"""),2.0)</f>
        <v>2</v>
      </c>
      <c r="E1285" s="2">
        <f>IFERROR(__xludf.DUMMYFUNCTION("""COMPUTED_VALUE"""),45.0)</f>
        <v>45</v>
      </c>
      <c r="F1285" s="2">
        <f>IFERROR(__xludf.DUMMYFUNCTION("""COMPUTED_VALUE"""),7.0)</f>
        <v>7</v>
      </c>
      <c r="G1285" s="2">
        <f>IFERROR(__xludf.DUMMYFUNCTION("""COMPUTED_VALUE"""),9.0)</f>
        <v>9</v>
      </c>
      <c r="H1285" s="2" t="str">
        <f>IFERROR(__xludf.DUMMYFUNCTION("""COMPUTED_VALUE"""),"Jaun.")</f>
        <v>Jaun.</v>
      </c>
      <c r="I1285" s="2" t="str">
        <f>IFERROR(__xludf.DUMMYFUNCTION("""COMPUTED_VALUE"""),"Panel")</f>
        <v>Panel</v>
      </c>
      <c r="J1285" s="2" t="str">
        <f>IFERROR(__xludf.DUMMYFUNCTION("""COMPUTED_VALUE"""),"All amenities")</f>
        <v>All amenities</v>
      </c>
      <c r="K1285" s="2">
        <f>IFERROR(__xludf.DUMMYFUNCTION("""COMPUTED_VALUE"""),79502.0)</f>
        <v>79502</v>
      </c>
      <c r="L1285" s="2">
        <f>IFERROR(__xludf.DUMMYFUNCTION("""COMPUTED_VALUE"""),56.9514132)</f>
        <v>56.9514132</v>
      </c>
      <c r="M1285" s="2">
        <f>IFERROR(__xludf.DUMMYFUNCTION("""COMPUTED_VALUE"""),24.0038761753746)</f>
        <v>24.00387618</v>
      </c>
    </row>
    <row r="1286">
      <c r="A1286" s="2" t="str">
        <f>IFERROR(__xludf.DUMMYFUNCTION("""COMPUTED_VALUE"""),"For sale")</f>
        <v>For sale</v>
      </c>
      <c r="B1286" s="2" t="str">
        <f>IFERROR(__xludf.DUMMYFUNCTION("""COMPUTED_VALUE"""),"Mangaļsala")</f>
        <v>Mangaļsala</v>
      </c>
      <c r="C1286" s="2" t="str">
        <f>IFERROR(__xludf.DUMMYFUNCTION("""COMPUTED_VALUE"""),"Traleru 19")</f>
        <v>Traleru 19</v>
      </c>
      <c r="D1286" s="2">
        <f>IFERROR(__xludf.DUMMYFUNCTION("""COMPUTED_VALUE"""),1.0)</f>
        <v>1</v>
      </c>
      <c r="E1286" s="2">
        <f>IFERROR(__xludf.DUMMYFUNCTION("""COMPUTED_VALUE"""),36.0)</f>
        <v>36</v>
      </c>
      <c r="F1286" s="2">
        <f>IFERROR(__xludf.DUMMYFUNCTION("""COMPUTED_VALUE"""),5.0)</f>
        <v>5</v>
      </c>
      <c r="G1286" s="2">
        <f>IFERROR(__xludf.DUMMYFUNCTION("""COMPUTED_VALUE"""),5.0)</f>
        <v>5</v>
      </c>
      <c r="H1286" s="2">
        <f>IFERROR(__xludf.DUMMYFUNCTION("""COMPUTED_VALUE"""),103.0)</f>
        <v>103</v>
      </c>
      <c r="I1286" s="2" t="str">
        <f>IFERROR(__xludf.DUMMYFUNCTION("""COMPUTED_VALUE"""),"Brick-Panel")</f>
        <v>Brick-Panel</v>
      </c>
      <c r="J1286" s="2" t="str">
        <f>IFERROR(__xludf.DUMMYFUNCTION("""COMPUTED_VALUE"""),"All amenities")</f>
        <v>All amenities</v>
      </c>
      <c r="K1286" s="2">
        <f>IFERROR(__xludf.DUMMYFUNCTION("""COMPUTED_VALUE"""),31000.0)</f>
        <v>31000</v>
      </c>
      <c r="L1286" s="2">
        <f>IFERROR(__xludf.DUMMYFUNCTION("""COMPUTED_VALUE"""),57.0621312)</f>
        <v>57.0621312</v>
      </c>
      <c r="M1286" s="2">
        <f>IFERROR(__xludf.DUMMYFUNCTION("""COMPUTED_VALUE"""),24.0542515)</f>
        <v>24.0542515</v>
      </c>
    </row>
    <row r="1287">
      <c r="A1287" s="2" t="str">
        <f>IFERROR(__xludf.DUMMYFUNCTION("""COMPUTED_VALUE"""),"For sale")</f>
        <v>For sale</v>
      </c>
      <c r="B1287" s="2" t="str">
        <f>IFERROR(__xludf.DUMMYFUNCTION("""COMPUTED_VALUE"""),"Ķengarags")</f>
        <v>Ķengarags</v>
      </c>
      <c r="C1287" s="2" t="str">
        <f>IFERROR(__xludf.DUMMYFUNCTION("""COMPUTED_VALUE"""),"Ikšķiles 4")</f>
        <v>Ikšķiles 4</v>
      </c>
      <c r="D1287" s="2">
        <f>IFERROR(__xludf.DUMMYFUNCTION("""COMPUTED_VALUE"""),2.0)</f>
        <v>2</v>
      </c>
      <c r="E1287" s="2">
        <f>IFERROR(__xludf.DUMMYFUNCTION("""COMPUTED_VALUE"""),45.0)</f>
        <v>45</v>
      </c>
      <c r="F1287" s="2">
        <f>IFERROR(__xludf.DUMMYFUNCTION("""COMPUTED_VALUE"""),4.0)</f>
        <v>4</v>
      </c>
      <c r="G1287" s="2">
        <f>IFERROR(__xludf.DUMMYFUNCTION("""COMPUTED_VALUE"""),5.0)</f>
        <v>5</v>
      </c>
      <c r="H1287" s="2" t="str">
        <f>IFERROR(__xludf.DUMMYFUNCTION("""COMPUTED_VALUE"""),"LT proj.")</f>
        <v>LT proj.</v>
      </c>
      <c r="I1287" s="2" t="str">
        <f>IFERROR(__xludf.DUMMYFUNCTION("""COMPUTED_VALUE"""),"Panel")</f>
        <v>Panel</v>
      </c>
      <c r="J1287" s="2" t="str">
        <f>IFERROR(__xludf.DUMMYFUNCTION("""COMPUTED_VALUE"""),"All amenities")</f>
        <v>All amenities</v>
      </c>
      <c r="K1287" s="2">
        <f>IFERROR(__xludf.DUMMYFUNCTION("""COMPUTED_VALUE"""),45000.0)</f>
        <v>45000</v>
      </c>
      <c r="L1287" s="2">
        <f>IFERROR(__xludf.DUMMYFUNCTION("""COMPUTED_VALUE"""),56.90080385)</f>
        <v>56.90080385</v>
      </c>
      <c r="M1287" s="2">
        <f>IFERROR(__xludf.DUMMYFUNCTION("""COMPUTED_VALUE"""),24.2070322999999)</f>
        <v>24.2070323</v>
      </c>
    </row>
    <row r="1288">
      <c r="A1288" s="2" t="str">
        <f>IFERROR(__xludf.DUMMYFUNCTION("""COMPUTED_VALUE"""),"For sale")</f>
        <v>For sale</v>
      </c>
      <c r="B1288" s="2" t="str">
        <f>IFERROR(__xludf.DUMMYFUNCTION("""COMPUTED_VALUE"""),"Purvciems")</f>
        <v>Purvciems</v>
      </c>
      <c r="C1288" s="2" t="str">
        <f>IFERROR(__xludf.DUMMYFUNCTION("""COMPUTED_VALUE"""),"Dzelzavas 71")</f>
        <v>Dzelzavas 71</v>
      </c>
      <c r="D1288" s="2">
        <f>IFERROR(__xludf.DUMMYFUNCTION("""COMPUTED_VALUE"""),2.0)</f>
        <v>2</v>
      </c>
      <c r="E1288" s="2">
        <f>IFERROR(__xludf.DUMMYFUNCTION("""COMPUTED_VALUE"""),50.0)</f>
        <v>50</v>
      </c>
      <c r="F1288" s="2">
        <f>IFERROR(__xludf.DUMMYFUNCTION("""COMPUTED_VALUE"""),7.0)</f>
        <v>7</v>
      </c>
      <c r="G1288" s="2">
        <f>IFERROR(__xludf.DUMMYFUNCTION("""COMPUTED_VALUE"""),9.0)</f>
        <v>9</v>
      </c>
      <c r="H1288" s="2">
        <f>IFERROR(__xludf.DUMMYFUNCTION("""COMPUTED_VALUE"""),467.0)</f>
        <v>467</v>
      </c>
      <c r="I1288" s="2" t="str">
        <f>IFERROR(__xludf.DUMMYFUNCTION("""COMPUTED_VALUE"""),"Panel")</f>
        <v>Panel</v>
      </c>
      <c r="J1288" s="2" t="str">
        <f>IFERROR(__xludf.DUMMYFUNCTION("""COMPUTED_VALUE"""),"All amenities")</f>
        <v>All amenities</v>
      </c>
      <c r="K1288" s="2">
        <f>IFERROR(__xludf.DUMMYFUNCTION("""COMPUTED_VALUE"""),43000.0)</f>
        <v>43000</v>
      </c>
      <c r="L1288" s="2">
        <f>IFERROR(__xludf.DUMMYFUNCTION("""COMPUTED_VALUE"""),56.95622285)</f>
        <v>56.95622285</v>
      </c>
      <c r="M1288" s="2">
        <f>IFERROR(__xludf.DUMMYFUNCTION("""COMPUTED_VALUE"""),24.1981136952542)</f>
        <v>24.1981137</v>
      </c>
    </row>
    <row r="1289">
      <c r="A1289" s="2" t="str">
        <f>IFERROR(__xludf.DUMMYFUNCTION("""COMPUTED_VALUE"""),"For sale")</f>
        <v>For sale</v>
      </c>
      <c r="B1289" s="2" t="str">
        <f>IFERROR(__xludf.DUMMYFUNCTION("""COMPUTED_VALUE"""),"Purvciems")</f>
        <v>Purvciems</v>
      </c>
      <c r="C1289" s="2" t="str">
        <f>IFERROR(__xludf.DUMMYFUNCTION("""COMPUTED_VALUE"""),"Dudajeva g. 4")</f>
        <v>Dudajeva g. 4</v>
      </c>
      <c r="D1289" s="2">
        <f>IFERROR(__xludf.DUMMYFUNCTION("""COMPUTED_VALUE"""),2.0)</f>
        <v>2</v>
      </c>
      <c r="E1289" s="2">
        <f>IFERROR(__xludf.DUMMYFUNCTION("""COMPUTED_VALUE"""),50.0)</f>
        <v>50</v>
      </c>
      <c r="F1289" s="2">
        <f>IFERROR(__xludf.DUMMYFUNCTION("""COMPUTED_VALUE"""),5.0)</f>
        <v>5</v>
      </c>
      <c r="G1289" s="2">
        <f>IFERROR(__xludf.DUMMYFUNCTION("""COMPUTED_VALUE"""),5.0)</f>
        <v>5</v>
      </c>
      <c r="H1289" s="2" t="str">
        <f>IFERROR(__xludf.DUMMYFUNCTION("""COMPUTED_VALUE"""),"LT proj.")</f>
        <v>LT proj.</v>
      </c>
      <c r="I1289" s="2" t="str">
        <f>IFERROR(__xludf.DUMMYFUNCTION("""COMPUTED_VALUE"""),"Panel")</f>
        <v>Panel</v>
      </c>
      <c r="J1289" s="2" t="str">
        <f>IFERROR(__xludf.DUMMYFUNCTION("""COMPUTED_VALUE"""),"All amenities")</f>
        <v>All amenities</v>
      </c>
      <c r="K1289" s="2">
        <f>IFERROR(__xludf.DUMMYFUNCTION("""COMPUTED_VALUE"""),45000.0)</f>
        <v>45000</v>
      </c>
      <c r="L1289" s="2">
        <f>IFERROR(__xludf.DUMMYFUNCTION("""COMPUTED_VALUE"""),56.9570069)</f>
        <v>56.9570069</v>
      </c>
      <c r="M1289" s="2">
        <f>IFERROR(__xludf.DUMMYFUNCTION("""COMPUTED_VALUE"""),24.1987368)</f>
        <v>24.1987368</v>
      </c>
    </row>
    <row r="1290">
      <c r="A1290" s="2" t="str">
        <f>IFERROR(__xludf.DUMMYFUNCTION("""COMPUTED_VALUE"""),"For sale")</f>
        <v>For sale</v>
      </c>
      <c r="B1290" s="2" t="str">
        <f>IFERROR(__xludf.DUMMYFUNCTION("""COMPUTED_VALUE"""),"Pļavnieki")</f>
        <v>Pļavnieki</v>
      </c>
      <c r="C1290" s="2" t="str">
        <f>IFERROR(__xludf.DUMMYFUNCTION("""COMPUTED_VALUE"""),"Jasmuižas 1")</f>
        <v>Jasmuižas 1</v>
      </c>
      <c r="D1290" s="2">
        <f>IFERROR(__xludf.DUMMYFUNCTION("""COMPUTED_VALUE"""),4.0)</f>
        <v>4</v>
      </c>
      <c r="E1290" s="2">
        <f>IFERROR(__xludf.DUMMYFUNCTION("""COMPUTED_VALUE"""),113.0)</f>
        <v>113</v>
      </c>
      <c r="F1290" s="2">
        <f>IFERROR(__xludf.DUMMYFUNCTION("""COMPUTED_VALUE"""),12.0)</f>
        <v>12</v>
      </c>
      <c r="G1290" s="2">
        <f>IFERROR(__xludf.DUMMYFUNCTION("""COMPUTED_VALUE"""),12.0)</f>
        <v>12</v>
      </c>
      <c r="H1290" s="2" t="str">
        <f>IFERROR(__xludf.DUMMYFUNCTION("""COMPUTED_VALUE"""),"Specpr.")</f>
        <v>Specpr.</v>
      </c>
      <c r="I1290" s="2" t="str">
        <f>IFERROR(__xludf.DUMMYFUNCTION("""COMPUTED_VALUE"""),"Brick")</f>
        <v>Brick</v>
      </c>
      <c r="J1290" s="2" t="str">
        <f>IFERROR(__xludf.DUMMYFUNCTION("""COMPUTED_VALUE"""),"All amenities")</f>
        <v>All amenities</v>
      </c>
      <c r="K1290" s="2">
        <f>IFERROR(__xludf.DUMMYFUNCTION("""COMPUTED_VALUE"""),109000.0)</f>
        <v>109000</v>
      </c>
      <c r="L1290" s="2">
        <f>IFERROR(__xludf.DUMMYFUNCTION("""COMPUTED_VALUE"""),56.9375255)</f>
        <v>56.9375255</v>
      </c>
      <c r="M1290" s="2">
        <f>IFERROR(__xludf.DUMMYFUNCTION("""COMPUTED_VALUE"""),24.2061416)</f>
        <v>24.2061416</v>
      </c>
    </row>
    <row r="1291">
      <c r="A1291" s="2" t="str">
        <f>IFERROR(__xludf.DUMMYFUNCTION("""COMPUTED_VALUE"""),"For sale")</f>
        <v>For sale</v>
      </c>
      <c r="B1291" s="2" t="str">
        <f>IFERROR(__xludf.DUMMYFUNCTION("""COMPUTED_VALUE"""),"Ķengarags")</f>
        <v>Ķengarags</v>
      </c>
      <c r="C1291" s="2" t="str">
        <f>IFERROR(__xludf.DUMMYFUNCTION("""COMPUTED_VALUE"""),"Ķengaraga 8")</f>
        <v>Ķengaraga 8</v>
      </c>
      <c r="D1291" s="2">
        <f>IFERROR(__xludf.DUMMYFUNCTION("""COMPUTED_VALUE"""),3.0)</f>
        <v>3</v>
      </c>
      <c r="E1291" s="2">
        <f>IFERROR(__xludf.DUMMYFUNCTION("""COMPUTED_VALUE"""),62.0)</f>
        <v>62</v>
      </c>
      <c r="F1291" s="2">
        <f>IFERROR(__xludf.DUMMYFUNCTION("""COMPUTED_VALUE"""),3.0)</f>
        <v>3</v>
      </c>
      <c r="G1291" s="2">
        <f>IFERROR(__xludf.DUMMYFUNCTION("""COMPUTED_VALUE"""),5.0)</f>
        <v>5</v>
      </c>
      <c r="H1291" s="2" t="str">
        <f>IFERROR(__xludf.DUMMYFUNCTION("""COMPUTED_VALUE"""),"Jaun.")</f>
        <v>Jaun.</v>
      </c>
      <c r="I1291" s="2" t="str">
        <f>IFERROR(__xludf.DUMMYFUNCTION("""COMPUTED_VALUE"""),"Panel-Brick")</f>
        <v>Panel-Brick</v>
      </c>
      <c r="J1291" s="2" t="str">
        <f>IFERROR(__xludf.DUMMYFUNCTION("""COMPUTED_VALUE"""),"All amenities")</f>
        <v>All amenities</v>
      </c>
      <c r="K1291" s="2">
        <f>IFERROR(__xludf.DUMMYFUNCTION("""COMPUTED_VALUE"""),101200.0)</f>
        <v>101200</v>
      </c>
      <c r="L1291" s="2">
        <f>IFERROR(__xludf.DUMMYFUNCTION("""COMPUTED_VALUE"""),56.91588075)</f>
        <v>56.91588075</v>
      </c>
      <c r="M1291" s="2">
        <f>IFERROR(__xludf.DUMMYFUNCTION("""COMPUTED_VALUE"""),24.1657776348698)</f>
        <v>24.16577763</v>
      </c>
    </row>
    <row r="1292">
      <c r="A1292" s="2" t="str">
        <f>IFERROR(__xludf.DUMMYFUNCTION("""COMPUTED_VALUE"""),"For sale")</f>
        <v>For sale</v>
      </c>
      <c r="B1292" s="2" t="str">
        <f>IFERROR(__xludf.DUMMYFUNCTION("""COMPUTED_VALUE"""),"Āgenskalns")</f>
        <v>Āgenskalns</v>
      </c>
      <c r="C1292" s="2" t="str">
        <f>IFERROR(__xludf.DUMMYFUNCTION("""COMPUTED_VALUE"""),"Slokas 31")</f>
        <v>Slokas 31</v>
      </c>
      <c r="D1292" s="2">
        <f>IFERROR(__xludf.DUMMYFUNCTION("""COMPUTED_VALUE"""),4.0)</f>
        <v>4</v>
      </c>
      <c r="E1292" s="2">
        <f>IFERROR(__xludf.DUMMYFUNCTION("""COMPUTED_VALUE"""),137.0)</f>
        <v>137</v>
      </c>
      <c r="F1292" s="2">
        <f>IFERROR(__xludf.DUMMYFUNCTION("""COMPUTED_VALUE"""),1.0)</f>
        <v>1</v>
      </c>
      <c r="G1292" s="2">
        <f>IFERROR(__xludf.DUMMYFUNCTION("""COMPUTED_VALUE"""),4.0)</f>
        <v>4</v>
      </c>
      <c r="H1292" s="2" t="str">
        <f>IFERROR(__xludf.DUMMYFUNCTION("""COMPUTED_VALUE"""),"Renov.")</f>
        <v>Renov.</v>
      </c>
      <c r="I1292" s="2" t="str">
        <f>IFERROR(__xludf.DUMMYFUNCTION("""COMPUTED_VALUE"""),"Masonry")</f>
        <v>Masonry</v>
      </c>
      <c r="J1292" s="2" t="str">
        <f>IFERROR(__xludf.DUMMYFUNCTION("""COMPUTED_VALUE"""),"Partial amenities")</f>
        <v>Partial amenities</v>
      </c>
      <c r="K1292" s="2">
        <f>IFERROR(__xludf.DUMMYFUNCTION("""COMPUTED_VALUE"""),259737.0)</f>
        <v>259737</v>
      </c>
      <c r="L1292" s="2">
        <f>IFERROR(__xludf.DUMMYFUNCTION("""COMPUTED_VALUE"""),56.94814375)</f>
        <v>56.94814375</v>
      </c>
      <c r="M1292" s="2">
        <f>IFERROR(__xludf.DUMMYFUNCTION("""COMPUTED_VALUE"""),24.0719355787987)</f>
        <v>24.07193558</v>
      </c>
    </row>
    <row r="1293">
      <c r="A1293" s="2" t="str">
        <f>IFERROR(__xludf.DUMMYFUNCTION("""COMPUTED_VALUE"""),"For sale")</f>
        <v>For sale</v>
      </c>
      <c r="B1293" s="2" t="str">
        <f>IFERROR(__xludf.DUMMYFUNCTION("""COMPUTED_VALUE"""),"Āgenskalns")</f>
        <v>Āgenskalns</v>
      </c>
      <c r="C1293" s="2" t="str">
        <f>IFERROR(__xludf.DUMMYFUNCTION("""COMPUTED_VALUE"""),"Mārtiņa 8c")</f>
        <v>Mārtiņa 8c</v>
      </c>
      <c r="D1293" s="2">
        <f>IFERROR(__xludf.DUMMYFUNCTION("""COMPUTED_VALUE"""),4.0)</f>
        <v>4</v>
      </c>
      <c r="E1293" s="2">
        <f>IFERROR(__xludf.DUMMYFUNCTION("""COMPUTED_VALUE"""),137.0)</f>
        <v>137</v>
      </c>
      <c r="F1293" s="2">
        <f>IFERROR(__xludf.DUMMYFUNCTION("""COMPUTED_VALUE"""),1.0)</f>
        <v>1</v>
      </c>
      <c r="G1293" s="2">
        <f>IFERROR(__xludf.DUMMYFUNCTION("""COMPUTED_VALUE"""),4.0)</f>
        <v>4</v>
      </c>
      <c r="H1293" s="2" t="str">
        <f>IFERROR(__xludf.DUMMYFUNCTION("""COMPUTED_VALUE"""),"Renov.")</f>
        <v>Renov.</v>
      </c>
      <c r="I1293" s="2" t="str">
        <f>IFERROR(__xludf.DUMMYFUNCTION("""COMPUTED_VALUE"""),"Masonry")</f>
        <v>Masonry</v>
      </c>
      <c r="J1293" s="2" t="str">
        <f>IFERROR(__xludf.DUMMYFUNCTION("""COMPUTED_VALUE"""),"All amenities")</f>
        <v>All amenities</v>
      </c>
      <c r="K1293" s="2">
        <f>IFERROR(__xludf.DUMMYFUNCTION("""COMPUTED_VALUE"""),259737.0)</f>
        <v>259737</v>
      </c>
      <c r="L1293" s="2">
        <f>IFERROR(__xludf.DUMMYFUNCTION("""COMPUTED_VALUE"""),56.9483988)</f>
        <v>56.9483988</v>
      </c>
      <c r="M1293" s="2">
        <f>IFERROR(__xludf.DUMMYFUNCTION("""COMPUTED_VALUE"""),24.0722286)</f>
        <v>24.0722286</v>
      </c>
    </row>
    <row r="1294">
      <c r="A1294" s="2" t="str">
        <f>IFERROR(__xludf.DUMMYFUNCTION("""COMPUTED_VALUE"""),"For sale")</f>
        <v>For sale</v>
      </c>
      <c r="B1294" s="2" t="str">
        <f>IFERROR(__xludf.DUMMYFUNCTION("""COMPUTED_VALUE"""),"Āgenskalns")</f>
        <v>Āgenskalns</v>
      </c>
      <c r="C1294" s="2" t="str">
        <f>IFERROR(__xludf.DUMMYFUNCTION("""COMPUTED_VALUE"""),"Ernestīnes 8")</f>
        <v>Ernestīnes 8</v>
      </c>
      <c r="D1294" s="2">
        <f>IFERROR(__xludf.DUMMYFUNCTION("""COMPUTED_VALUE"""),3.0)</f>
        <v>3</v>
      </c>
      <c r="E1294" s="2">
        <f>IFERROR(__xludf.DUMMYFUNCTION("""COMPUTED_VALUE"""),91.0)</f>
        <v>91</v>
      </c>
      <c r="F1294" s="2">
        <f>IFERROR(__xludf.DUMMYFUNCTION("""COMPUTED_VALUE"""),2.0)</f>
        <v>2</v>
      </c>
      <c r="G1294" s="2">
        <f>IFERROR(__xludf.DUMMYFUNCTION("""COMPUTED_VALUE"""),3.0)</f>
        <v>3</v>
      </c>
      <c r="H1294" s="2" t="str">
        <f>IFERROR(__xludf.DUMMYFUNCTION("""COMPUTED_VALUE"""),"Jaun.")</f>
        <v>Jaun.</v>
      </c>
      <c r="I1294" s="2" t="str">
        <f>IFERROR(__xludf.DUMMYFUNCTION("""COMPUTED_VALUE"""),"Masonry")</f>
        <v>Masonry</v>
      </c>
      <c r="J1294" s="2" t="str">
        <f>IFERROR(__xludf.DUMMYFUNCTION("""COMPUTED_VALUE"""),"All amenities")</f>
        <v>All amenities</v>
      </c>
      <c r="K1294" s="2">
        <f>IFERROR(__xludf.DUMMYFUNCTION("""COMPUTED_VALUE"""),145000.0)</f>
        <v>145000</v>
      </c>
      <c r="L1294" s="2">
        <f>IFERROR(__xludf.DUMMYFUNCTION("""COMPUTED_VALUE"""),56.9425629)</f>
        <v>56.9425629</v>
      </c>
      <c r="M1294" s="2">
        <f>IFERROR(__xludf.DUMMYFUNCTION("""COMPUTED_VALUE"""),24.0726856783242)</f>
        <v>24.07268568</v>
      </c>
    </row>
    <row r="1295">
      <c r="A1295" s="2" t="str">
        <f>IFERROR(__xludf.DUMMYFUNCTION("""COMPUTED_VALUE"""),"For sale")</f>
        <v>For sale</v>
      </c>
      <c r="B1295" s="2" t="str">
        <f>IFERROR(__xludf.DUMMYFUNCTION("""COMPUTED_VALUE"""),"centrs")</f>
        <v>centrs</v>
      </c>
      <c r="C1295" s="2" t="str">
        <f>IFERROR(__xludf.DUMMYFUNCTION("""COMPUTED_VALUE"""),"Ģertrūdes 99")</f>
        <v>Ģertrūdes 99</v>
      </c>
      <c r="D1295" s="2">
        <f>IFERROR(__xludf.DUMMYFUNCTION("""COMPUTED_VALUE"""),2.0)</f>
        <v>2</v>
      </c>
      <c r="E1295" s="2">
        <f>IFERROR(__xludf.DUMMYFUNCTION("""COMPUTED_VALUE"""),37.0)</f>
        <v>37</v>
      </c>
      <c r="F1295" s="2">
        <f>IFERROR(__xludf.DUMMYFUNCTION("""COMPUTED_VALUE"""),3.0)</f>
        <v>3</v>
      </c>
      <c r="G1295" s="2">
        <f>IFERROR(__xludf.DUMMYFUNCTION("""COMPUTED_VALUE"""),6.0)</f>
        <v>6</v>
      </c>
      <c r="H1295" s="2" t="str">
        <f>IFERROR(__xludf.DUMMYFUNCTION("""COMPUTED_VALUE"""),"P. kara")</f>
        <v>P. kara</v>
      </c>
      <c r="I1295" s="2" t="str">
        <f>IFERROR(__xludf.DUMMYFUNCTION("""COMPUTED_VALUE"""),"Masonry")</f>
        <v>Masonry</v>
      </c>
      <c r="J1295" s="2" t="str">
        <f>IFERROR(__xludf.DUMMYFUNCTION("""COMPUTED_VALUE"""),"All amenities")</f>
        <v>All amenities</v>
      </c>
      <c r="K1295" s="2">
        <f>IFERROR(__xludf.DUMMYFUNCTION("""COMPUTED_VALUE"""),45000.0)</f>
        <v>45000</v>
      </c>
      <c r="L1295" s="2">
        <f>IFERROR(__xludf.DUMMYFUNCTION("""COMPUTED_VALUE"""),56.94999685)</f>
        <v>56.94999685</v>
      </c>
      <c r="M1295" s="2">
        <f>IFERROR(__xludf.DUMMYFUNCTION("""COMPUTED_VALUE"""),24.1364139006283)</f>
        <v>24.1364139</v>
      </c>
    </row>
    <row r="1296">
      <c r="A1296" s="2" t="str">
        <f>IFERROR(__xludf.DUMMYFUNCTION("""COMPUTED_VALUE"""),"For sale")</f>
        <v>For sale</v>
      </c>
      <c r="B1296" s="2" t="str">
        <f>IFERROR(__xludf.DUMMYFUNCTION("""COMPUTED_VALUE"""),"Ziepniekkalns")</f>
        <v>Ziepniekkalns</v>
      </c>
      <c r="C1296" s="2" t="str">
        <f>IFERROR(__xludf.DUMMYFUNCTION("""COMPUTED_VALUE"""),"Dignājas 1a")</f>
        <v>Dignājas 1a</v>
      </c>
      <c r="D1296" s="2">
        <f>IFERROR(__xludf.DUMMYFUNCTION("""COMPUTED_VALUE"""),3.0)</f>
        <v>3</v>
      </c>
      <c r="E1296" s="2">
        <f>IFERROR(__xludf.DUMMYFUNCTION("""COMPUTED_VALUE"""),65.0)</f>
        <v>65</v>
      </c>
      <c r="F1296" s="2">
        <f>IFERROR(__xludf.DUMMYFUNCTION("""COMPUTED_VALUE"""),2.0)</f>
        <v>2</v>
      </c>
      <c r="G1296" s="2">
        <f>IFERROR(__xludf.DUMMYFUNCTION("""COMPUTED_VALUE"""),4.0)</f>
        <v>4</v>
      </c>
      <c r="H1296" s="2" t="str">
        <f>IFERROR(__xludf.DUMMYFUNCTION("""COMPUTED_VALUE"""),"Jaun.")</f>
        <v>Jaun.</v>
      </c>
      <c r="I1296" s="2" t="str">
        <f>IFERROR(__xludf.DUMMYFUNCTION("""COMPUTED_VALUE"""),"Masonry")</f>
        <v>Masonry</v>
      </c>
      <c r="J1296" s="2" t="str">
        <f>IFERROR(__xludf.DUMMYFUNCTION("""COMPUTED_VALUE"""),"All amenities")</f>
        <v>All amenities</v>
      </c>
      <c r="K1296" s="2">
        <f>IFERROR(__xludf.DUMMYFUNCTION("""COMPUTED_VALUE"""),101693.0)</f>
        <v>101693</v>
      </c>
      <c r="L1296" s="2">
        <f>IFERROR(__xludf.DUMMYFUNCTION("""COMPUTED_VALUE"""),56.9126889)</f>
        <v>56.9126889</v>
      </c>
      <c r="M1296" s="2">
        <f>IFERROR(__xludf.DUMMYFUNCTION("""COMPUTED_VALUE"""),24.1234641)</f>
        <v>24.1234641</v>
      </c>
    </row>
    <row r="1297">
      <c r="A1297" s="2" t="str">
        <f>IFERROR(__xludf.DUMMYFUNCTION("""COMPUTED_VALUE"""),"For sale")</f>
        <v>For sale</v>
      </c>
      <c r="B1297" s="2" t="str">
        <f>IFERROR(__xludf.DUMMYFUNCTION("""COMPUTED_VALUE"""),"Čiekurkalns")</f>
        <v>Čiekurkalns</v>
      </c>
      <c r="C1297" s="2" t="str">
        <f>IFERROR(__xludf.DUMMYFUNCTION("""COMPUTED_VALUE"""),"Skultes 5")</f>
        <v>Skultes 5</v>
      </c>
      <c r="D1297" s="2">
        <f>IFERROR(__xludf.DUMMYFUNCTION("""COMPUTED_VALUE"""),2.0)</f>
        <v>2</v>
      </c>
      <c r="E1297" s="2">
        <f>IFERROR(__xludf.DUMMYFUNCTION("""COMPUTED_VALUE"""),55.0)</f>
        <v>55</v>
      </c>
      <c r="F1297" s="2">
        <f>IFERROR(__xludf.DUMMYFUNCTION("""COMPUTED_VALUE"""),3.0)</f>
        <v>3</v>
      </c>
      <c r="G1297" s="2">
        <f>IFERROR(__xludf.DUMMYFUNCTION("""COMPUTED_VALUE"""),3.0)</f>
        <v>3</v>
      </c>
      <c r="H1297" s="2" t="str">
        <f>IFERROR(__xludf.DUMMYFUNCTION("""COMPUTED_VALUE"""),"Jaun.")</f>
        <v>Jaun.</v>
      </c>
      <c r="I1297" s="2" t="str">
        <f>IFERROR(__xludf.DUMMYFUNCTION("""COMPUTED_VALUE"""),"Masonry")</f>
        <v>Masonry</v>
      </c>
      <c r="J1297" s="2" t="str">
        <f>IFERROR(__xludf.DUMMYFUNCTION("""COMPUTED_VALUE"""),"All amenities")</f>
        <v>All amenities</v>
      </c>
      <c r="K1297" s="2">
        <f>IFERROR(__xludf.DUMMYFUNCTION("""COMPUTED_VALUE"""),64000.0)</f>
        <v>64000</v>
      </c>
      <c r="L1297" s="2">
        <f>IFERROR(__xludf.DUMMYFUNCTION("""COMPUTED_VALUE"""),56.9849578)</f>
        <v>56.9849578</v>
      </c>
      <c r="M1297" s="2">
        <f>IFERROR(__xludf.DUMMYFUNCTION("""COMPUTED_VALUE"""),24.1831339972375)</f>
        <v>24.183134</v>
      </c>
    </row>
    <row r="1298">
      <c r="A1298" s="2" t="str">
        <f>IFERROR(__xludf.DUMMYFUNCTION("""COMPUTED_VALUE"""),"For rent")</f>
        <v>For rent</v>
      </c>
      <c r="B1298" s="2" t="str">
        <f>IFERROR(__xludf.DUMMYFUNCTION("""COMPUTED_VALUE"""),"centrs")</f>
        <v>centrs</v>
      </c>
      <c r="C1298" s="2" t="str">
        <f>IFERROR(__xludf.DUMMYFUNCTION("""COMPUTED_VALUE"""),"Strēlnieku 7")</f>
        <v>Strēlnieku 7</v>
      </c>
      <c r="D1298" s="2">
        <f>IFERROR(__xludf.DUMMYFUNCTION("""COMPUTED_VALUE"""),3.0)</f>
        <v>3</v>
      </c>
      <c r="E1298" s="2">
        <f>IFERROR(__xludf.DUMMYFUNCTION("""COMPUTED_VALUE"""),85.0)</f>
        <v>85</v>
      </c>
      <c r="F1298" s="2">
        <f>IFERROR(__xludf.DUMMYFUNCTION("""COMPUTED_VALUE"""),2.0)</f>
        <v>2</v>
      </c>
      <c r="G1298" s="2">
        <f>IFERROR(__xludf.DUMMYFUNCTION("""COMPUTED_VALUE"""),7.0)</f>
        <v>7</v>
      </c>
      <c r="H1298" s="2" t="str">
        <f>IFERROR(__xludf.DUMMYFUNCTION("""COMPUTED_VALUE"""),"Jaun.")</f>
        <v>Jaun.</v>
      </c>
      <c r="I1298" s="2" t="str">
        <f>IFERROR(__xludf.DUMMYFUNCTION("""COMPUTED_VALUE"""),"Masonry")</f>
        <v>Masonry</v>
      </c>
      <c r="J1298" s="2" t="str">
        <f>IFERROR(__xludf.DUMMYFUNCTION("""COMPUTED_VALUE"""),"All amenities")</f>
        <v>All amenities</v>
      </c>
      <c r="K1298" s="2">
        <f>IFERROR(__xludf.DUMMYFUNCTION("""COMPUTED_VALUE"""),1150.0)</f>
        <v>1150</v>
      </c>
      <c r="L1298" s="2">
        <f>IFERROR(__xludf.DUMMYFUNCTION("""COMPUTED_VALUE"""),56.9596279)</f>
        <v>56.9596279</v>
      </c>
      <c r="M1298" s="2">
        <f>IFERROR(__xludf.DUMMYFUNCTION("""COMPUTED_VALUE"""),24.1079909)</f>
        <v>24.1079909</v>
      </c>
    </row>
    <row r="1299">
      <c r="A1299" s="2" t="str">
        <f>IFERROR(__xludf.DUMMYFUNCTION("""COMPUTED_VALUE"""),"For rent")</f>
        <v>For rent</v>
      </c>
      <c r="B1299" s="2" t="str">
        <f>IFERROR(__xludf.DUMMYFUNCTION("""COMPUTED_VALUE"""),"centrs")</f>
        <v>centrs</v>
      </c>
      <c r="C1299" s="2" t="str">
        <f>IFERROR(__xludf.DUMMYFUNCTION("""COMPUTED_VALUE"""),"Čaka 117")</f>
        <v>Čaka 117</v>
      </c>
      <c r="D1299" s="2">
        <f>IFERROR(__xludf.DUMMYFUNCTION("""COMPUTED_VALUE"""),3.0)</f>
        <v>3</v>
      </c>
      <c r="E1299" s="2">
        <f>IFERROR(__xludf.DUMMYFUNCTION("""COMPUTED_VALUE"""),69.0)</f>
        <v>69</v>
      </c>
      <c r="F1299" s="2">
        <f>IFERROR(__xludf.DUMMYFUNCTION("""COMPUTED_VALUE"""),4.0)</f>
        <v>4</v>
      </c>
      <c r="G1299" s="2">
        <f>IFERROR(__xludf.DUMMYFUNCTION("""COMPUTED_VALUE"""),6.0)</f>
        <v>6</v>
      </c>
      <c r="H1299" s="2" t="str">
        <f>IFERROR(__xludf.DUMMYFUNCTION("""COMPUTED_VALUE"""),"P. kara")</f>
        <v>P. kara</v>
      </c>
      <c r="I1299" s="2" t="str">
        <f>IFERROR(__xludf.DUMMYFUNCTION("""COMPUTED_VALUE"""),"Masonry")</f>
        <v>Masonry</v>
      </c>
      <c r="J1299" s="2" t="str">
        <f>IFERROR(__xludf.DUMMYFUNCTION("""COMPUTED_VALUE"""),"All amenities")</f>
        <v>All amenities</v>
      </c>
      <c r="K1299" s="2">
        <f>IFERROR(__xludf.DUMMYFUNCTION("""COMPUTED_VALUE"""),480.0)</f>
        <v>480</v>
      </c>
      <c r="L1299" s="2">
        <f>IFERROR(__xludf.DUMMYFUNCTION("""COMPUTED_VALUE"""),56.9590876)</f>
        <v>56.9590876</v>
      </c>
      <c r="M1299" s="2">
        <f>IFERROR(__xludf.DUMMYFUNCTION("""COMPUTED_VALUE"""),24.1412317647326)</f>
        <v>24.14123176</v>
      </c>
    </row>
    <row r="1300">
      <c r="A1300" s="2" t="str">
        <f>IFERROR(__xludf.DUMMYFUNCTION("""COMPUTED_VALUE"""),"For rent")</f>
        <v>For rent</v>
      </c>
      <c r="B1300" s="2" t="str">
        <f>IFERROR(__xludf.DUMMYFUNCTION("""COMPUTED_VALUE"""),"centrs")</f>
        <v>centrs</v>
      </c>
      <c r="C1300" s="2" t="str">
        <f>IFERROR(__xludf.DUMMYFUNCTION("""COMPUTED_VALUE"""),"Brīvības iela 74")</f>
        <v>Brīvības iela 74</v>
      </c>
      <c r="D1300" s="2">
        <f>IFERROR(__xludf.DUMMYFUNCTION("""COMPUTED_VALUE"""),3.0)</f>
        <v>3</v>
      </c>
      <c r="E1300" s="2">
        <f>IFERROR(__xludf.DUMMYFUNCTION("""COMPUTED_VALUE"""),100.0)</f>
        <v>100</v>
      </c>
      <c r="F1300" s="2">
        <f>IFERROR(__xludf.DUMMYFUNCTION("""COMPUTED_VALUE"""),6.0)</f>
        <v>6</v>
      </c>
      <c r="G1300" s="2">
        <f>IFERROR(__xludf.DUMMYFUNCTION("""COMPUTED_VALUE"""),6.0)</f>
        <v>6</v>
      </c>
      <c r="H1300" s="2" t="str">
        <f>IFERROR(__xludf.DUMMYFUNCTION("""COMPUTED_VALUE"""),"P. kara")</f>
        <v>P. kara</v>
      </c>
      <c r="I1300" s="2" t="str">
        <f>IFERROR(__xludf.DUMMYFUNCTION("""COMPUTED_VALUE"""),"Masonry")</f>
        <v>Masonry</v>
      </c>
      <c r="J1300" s="2" t="str">
        <f>IFERROR(__xludf.DUMMYFUNCTION("""COMPUTED_VALUE"""),"All amenities")</f>
        <v>All amenities</v>
      </c>
      <c r="K1300" s="2">
        <f>IFERROR(__xludf.DUMMYFUNCTION("""COMPUTED_VALUE"""),800.0)</f>
        <v>800</v>
      </c>
      <c r="L1300" s="2">
        <f>IFERROR(__xludf.DUMMYFUNCTION("""COMPUTED_VALUE"""),56.9579455)</f>
        <v>56.9579455</v>
      </c>
      <c r="M1300" s="2">
        <f>IFERROR(__xludf.DUMMYFUNCTION("""COMPUTED_VALUE"""),24.1244575)</f>
        <v>24.1244575</v>
      </c>
    </row>
    <row r="1301">
      <c r="A1301" s="2" t="str">
        <f>IFERROR(__xludf.DUMMYFUNCTION("""COMPUTED_VALUE"""),"For sale")</f>
        <v>For sale</v>
      </c>
      <c r="B1301" s="2" t="str">
        <f>IFERROR(__xludf.DUMMYFUNCTION("""COMPUTED_VALUE"""),"Purvciems")</f>
        <v>Purvciems</v>
      </c>
      <c r="C1301" s="2" t="str">
        <f>IFERROR(__xludf.DUMMYFUNCTION("""COMPUTED_VALUE"""),"Biķernieku 49")</f>
        <v>Biķernieku 49</v>
      </c>
      <c r="D1301" s="2">
        <f>IFERROR(__xludf.DUMMYFUNCTION("""COMPUTED_VALUE"""),3.0)</f>
        <v>3</v>
      </c>
      <c r="E1301" s="2">
        <f>IFERROR(__xludf.DUMMYFUNCTION("""COMPUTED_VALUE"""),55.0)</f>
        <v>55</v>
      </c>
      <c r="F1301" s="2">
        <f>IFERROR(__xludf.DUMMYFUNCTION("""COMPUTED_VALUE"""),1.0)</f>
        <v>1</v>
      </c>
      <c r="G1301" s="2">
        <f>IFERROR(__xludf.DUMMYFUNCTION("""COMPUTED_VALUE"""),5.0)</f>
        <v>5</v>
      </c>
      <c r="H1301" s="2" t="str">
        <f>IFERROR(__xludf.DUMMYFUNCTION("""COMPUTED_VALUE"""),"Hrušč.")</f>
        <v>Hrušč.</v>
      </c>
      <c r="I1301" s="2" t="str">
        <f>IFERROR(__xludf.DUMMYFUNCTION("""COMPUTED_VALUE"""),"Panel-Brick")</f>
        <v>Panel-Brick</v>
      </c>
      <c r="J1301" s="2" t="str">
        <f>IFERROR(__xludf.DUMMYFUNCTION("""COMPUTED_VALUE"""),"All amenities")</f>
        <v>All amenities</v>
      </c>
      <c r="K1301" s="2">
        <f>IFERROR(__xludf.DUMMYFUNCTION("""COMPUTED_VALUE"""),43900.0)</f>
        <v>43900</v>
      </c>
      <c r="L1301" s="2">
        <f>IFERROR(__xludf.DUMMYFUNCTION("""COMPUTED_VALUE"""),56.9697798499999)</f>
        <v>56.96977985</v>
      </c>
      <c r="M1301" s="2">
        <f>IFERROR(__xludf.DUMMYFUNCTION("""COMPUTED_VALUE"""),24.1804757761009)</f>
        <v>24.18047578</v>
      </c>
    </row>
    <row r="1302">
      <c r="A1302" s="2" t="str">
        <f>IFERROR(__xludf.DUMMYFUNCTION("""COMPUTED_VALUE"""),"For rent")</f>
        <v>For rent</v>
      </c>
      <c r="B1302" s="2" t="str">
        <f>IFERROR(__xludf.DUMMYFUNCTION("""COMPUTED_VALUE"""),"Zolitūde")</f>
        <v>Zolitūde</v>
      </c>
      <c r="C1302" s="2" t="str">
        <f>IFERROR(__xludf.DUMMYFUNCTION("""COMPUTED_VALUE"""),"Liedes 2")</f>
        <v>Liedes 2</v>
      </c>
      <c r="D1302" s="2">
        <f>IFERROR(__xludf.DUMMYFUNCTION("""COMPUTED_VALUE"""),3.0)</f>
        <v>3</v>
      </c>
      <c r="E1302" s="2">
        <f>IFERROR(__xludf.DUMMYFUNCTION("""COMPUTED_VALUE"""),89.0)</f>
        <v>89</v>
      </c>
      <c r="F1302" s="2">
        <f>IFERROR(__xludf.DUMMYFUNCTION("""COMPUTED_VALUE"""),3.0)</f>
        <v>3</v>
      </c>
      <c r="G1302" s="2">
        <f>IFERROR(__xludf.DUMMYFUNCTION("""COMPUTED_VALUE"""),4.0)</f>
        <v>4</v>
      </c>
      <c r="H1302" s="2" t="str">
        <f>IFERROR(__xludf.DUMMYFUNCTION("""COMPUTED_VALUE"""),"Jaun.")</f>
        <v>Jaun.</v>
      </c>
      <c r="I1302" s="2" t="str">
        <f>IFERROR(__xludf.DUMMYFUNCTION("""COMPUTED_VALUE"""),"Panel-Brick")</f>
        <v>Panel-Brick</v>
      </c>
      <c r="J1302" s="2" t="str">
        <f>IFERROR(__xludf.DUMMYFUNCTION("""COMPUTED_VALUE"""),"All amenities")</f>
        <v>All amenities</v>
      </c>
      <c r="K1302" s="2">
        <f>IFERROR(__xludf.DUMMYFUNCTION("""COMPUTED_VALUE"""),580.0)</f>
        <v>580</v>
      </c>
      <c r="L1302" s="2">
        <f>IFERROR(__xludf.DUMMYFUNCTION("""COMPUTED_VALUE"""),56.9444663)</f>
        <v>56.9444663</v>
      </c>
      <c r="M1302" s="2">
        <f>IFERROR(__xludf.DUMMYFUNCTION("""COMPUTED_VALUE"""),24.0255760461784)</f>
        <v>24.02557605</v>
      </c>
    </row>
    <row r="1303">
      <c r="A1303" s="2" t="str">
        <f>IFERROR(__xludf.DUMMYFUNCTION("""COMPUTED_VALUE"""),"For rent")</f>
        <v>For rent</v>
      </c>
      <c r="B1303" s="2" t="str">
        <f>IFERROR(__xludf.DUMMYFUNCTION("""COMPUTED_VALUE"""),"Iļģuciems")</f>
        <v>Iļģuciems</v>
      </c>
      <c r="C1303" s="2" t="str">
        <f>IFERROR(__xludf.DUMMYFUNCTION("""COMPUTED_VALUE"""),"Garā 18")</f>
        <v>Garā 18</v>
      </c>
      <c r="D1303" s="2">
        <f>IFERROR(__xludf.DUMMYFUNCTION("""COMPUTED_VALUE"""),3.0)</f>
        <v>3</v>
      </c>
      <c r="E1303" s="2">
        <f>IFERROR(__xludf.DUMMYFUNCTION("""COMPUTED_VALUE"""),62.0)</f>
        <v>62</v>
      </c>
      <c r="F1303" s="2">
        <f>IFERROR(__xludf.DUMMYFUNCTION("""COMPUTED_VALUE"""),2.0)</f>
        <v>2</v>
      </c>
      <c r="G1303" s="2">
        <f>IFERROR(__xludf.DUMMYFUNCTION("""COMPUTED_VALUE"""),5.0)</f>
        <v>5</v>
      </c>
      <c r="H1303" s="2" t="str">
        <f>IFERROR(__xludf.DUMMYFUNCTION("""COMPUTED_VALUE"""),"LT proj.")</f>
        <v>LT proj.</v>
      </c>
      <c r="I1303" s="2" t="str">
        <f>IFERROR(__xludf.DUMMYFUNCTION("""COMPUTED_VALUE"""),"Panel-Brick")</f>
        <v>Panel-Brick</v>
      </c>
      <c r="J1303" s="2" t="str">
        <f>IFERROR(__xludf.DUMMYFUNCTION("""COMPUTED_VALUE"""),"All amenities")</f>
        <v>All amenities</v>
      </c>
      <c r="K1303" s="2">
        <f>IFERROR(__xludf.DUMMYFUNCTION("""COMPUTED_VALUE"""),390.0)</f>
        <v>390</v>
      </c>
      <c r="L1303" s="2">
        <f>IFERROR(__xludf.DUMMYFUNCTION("""COMPUTED_VALUE"""),56.96857855)</f>
        <v>56.96857855</v>
      </c>
      <c r="M1303" s="2">
        <f>IFERROR(__xludf.DUMMYFUNCTION("""COMPUTED_VALUE"""),24.0557936638219)</f>
        <v>24.05579366</v>
      </c>
    </row>
    <row r="1304">
      <c r="A1304" s="2" t="str">
        <f>IFERROR(__xludf.DUMMYFUNCTION("""COMPUTED_VALUE"""),"For sale")</f>
        <v>For sale</v>
      </c>
      <c r="B1304" s="2" t="str">
        <f>IFERROR(__xludf.DUMMYFUNCTION("""COMPUTED_VALUE"""),"Šampēteris-Pleskodāle")</f>
        <v>Šampēteris-Pleskodāle</v>
      </c>
      <c r="C1304" s="2" t="str">
        <f>IFERROR(__xludf.DUMMYFUNCTION("""COMPUTED_VALUE"""),"Ventspils 65a")</f>
        <v>Ventspils 65a</v>
      </c>
      <c r="D1304" s="2">
        <f>IFERROR(__xludf.DUMMYFUNCTION("""COMPUTED_VALUE"""),1.0)</f>
        <v>1</v>
      </c>
      <c r="E1304" s="2">
        <f>IFERROR(__xludf.DUMMYFUNCTION("""COMPUTED_VALUE"""),37.0)</f>
        <v>37</v>
      </c>
      <c r="F1304" s="2">
        <f>IFERROR(__xludf.DUMMYFUNCTION("""COMPUTED_VALUE"""),1.0)</f>
        <v>1</v>
      </c>
      <c r="G1304" s="2">
        <f>IFERROR(__xludf.DUMMYFUNCTION("""COMPUTED_VALUE"""),3.0)</f>
        <v>3</v>
      </c>
      <c r="H1304" s="2" t="str">
        <f>IFERROR(__xludf.DUMMYFUNCTION("""COMPUTED_VALUE"""),"Renov.")</f>
        <v>Renov.</v>
      </c>
      <c r="I1304" s="2" t="str">
        <f>IFERROR(__xludf.DUMMYFUNCTION("""COMPUTED_VALUE"""),"Brick")</f>
        <v>Brick</v>
      </c>
      <c r="J1304" s="2" t="str">
        <f>IFERROR(__xludf.DUMMYFUNCTION("""COMPUTED_VALUE"""),"All amenities")</f>
        <v>All amenities</v>
      </c>
      <c r="K1304" s="2">
        <f>IFERROR(__xludf.DUMMYFUNCTION("""COMPUTED_VALUE"""),35000.0)</f>
        <v>35000</v>
      </c>
      <c r="L1304" s="2">
        <f>IFERROR(__xludf.DUMMYFUNCTION("""COMPUTED_VALUE"""),56.9355136)</f>
        <v>56.9355136</v>
      </c>
      <c r="M1304" s="2">
        <f>IFERROR(__xludf.DUMMYFUNCTION("""COMPUTED_VALUE"""),24.0425072)</f>
        <v>24.0425072</v>
      </c>
    </row>
    <row r="1305">
      <c r="A1305" s="2" t="str">
        <f>IFERROR(__xludf.DUMMYFUNCTION("""COMPUTED_VALUE"""),"For rent")</f>
        <v>For rent</v>
      </c>
      <c r="B1305" s="2" t="str">
        <f>IFERROR(__xludf.DUMMYFUNCTION("""COMPUTED_VALUE"""),"Vecrīga")</f>
        <v>Vecrīga</v>
      </c>
      <c r="C1305" s="2" t="str">
        <f>IFERROR(__xludf.DUMMYFUNCTION("""COMPUTED_VALUE"""),"Vecpilsētas 11")</f>
        <v>Vecpilsētas 11</v>
      </c>
      <c r="D1305" s="2">
        <f>IFERROR(__xludf.DUMMYFUNCTION("""COMPUTED_VALUE"""),1.0)</f>
        <v>1</v>
      </c>
      <c r="E1305" s="2">
        <f>IFERROR(__xludf.DUMMYFUNCTION("""COMPUTED_VALUE"""),35.0)</f>
        <v>35</v>
      </c>
      <c r="F1305" s="2">
        <f>IFERROR(__xludf.DUMMYFUNCTION("""COMPUTED_VALUE"""),3.0)</f>
        <v>3</v>
      </c>
      <c r="G1305" s="2">
        <f>IFERROR(__xludf.DUMMYFUNCTION("""COMPUTED_VALUE"""),3.0)</f>
        <v>3</v>
      </c>
      <c r="H1305" s="2" t="str">
        <f>IFERROR(__xludf.DUMMYFUNCTION("""COMPUTED_VALUE"""),"Renov.")</f>
        <v>Renov.</v>
      </c>
      <c r="I1305" s="2" t="str">
        <f>IFERROR(__xludf.DUMMYFUNCTION("""COMPUTED_VALUE"""),"Masonry")</f>
        <v>Masonry</v>
      </c>
      <c r="J1305" s="2" t="str">
        <f>IFERROR(__xludf.DUMMYFUNCTION("""COMPUTED_VALUE"""),"All amenities")</f>
        <v>All amenities</v>
      </c>
      <c r="K1305" s="2">
        <f>IFERROR(__xludf.DUMMYFUNCTION("""COMPUTED_VALUE"""),250.0)</f>
        <v>250</v>
      </c>
      <c r="L1305" s="2">
        <f>IFERROR(__xludf.DUMMYFUNCTION("""COMPUTED_VALUE"""),56.9461669)</f>
        <v>56.9461669</v>
      </c>
      <c r="M1305" s="2">
        <f>IFERROR(__xludf.DUMMYFUNCTION("""COMPUTED_VALUE"""),24.1124689)</f>
        <v>24.1124689</v>
      </c>
    </row>
    <row r="1306">
      <c r="A1306" s="2" t="str">
        <f>IFERROR(__xludf.DUMMYFUNCTION("""COMPUTED_VALUE"""),"For sale")</f>
        <v>For sale</v>
      </c>
      <c r="B1306" s="2" t="str">
        <f>IFERROR(__xludf.DUMMYFUNCTION("""COMPUTED_VALUE"""),"centrs")</f>
        <v>centrs</v>
      </c>
      <c r="C1306" s="2" t="str">
        <f>IFERROR(__xludf.DUMMYFUNCTION("""COMPUTED_VALUE"""),"Dzirnavu 60")</f>
        <v>Dzirnavu 60</v>
      </c>
      <c r="D1306" s="2">
        <f>IFERROR(__xludf.DUMMYFUNCTION("""COMPUTED_VALUE"""),2.0)</f>
        <v>2</v>
      </c>
      <c r="E1306" s="2">
        <f>IFERROR(__xludf.DUMMYFUNCTION("""COMPUTED_VALUE"""),74.0)</f>
        <v>74</v>
      </c>
      <c r="F1306" s="2">
        <f>IFERROR(__xludf.DUMMYFUNCTION("""COMPUTED_VALUE"""),4.0)</f>
        <v>4</v>
      </c>
      <c r="G1306" s="2">
        <f>IFERROR(__xludf.DUMMYFUNCTION("""COMPUTED_VALUE"""),5.0)</f>
        <v>5</v>
      </c>
      <c r="H1306" s="2" t="str">
        <f>IFERROR(__xludf.DUMMYFUNCTION("""COMPUTED_VALUE"""),"P. kara")</f>
        <v>P. kara</v>
      </c>
      <c r="I1306" s="2" t="str">
        <f>IFERROR(__xludf.DUMMYFUNCTION("""COMPUTED_VALUE"""),"Masonry")</f>
        <v>Masonry</v>
      </c>
      <c r="J1306" s="2" t="str">
        <f>IFERROR(__xludf.DUMMYFUNCTION("""COMPUTED_VALUE"""),"All amenities")</f>
        <v>All amenities</v>
      </c>
      <c r="K1306" s="2">
        <f>IFERROR(__xludf.DUMMYFUNCTION("""COMPUTED_VALUE"""),143000.0)</f>
        <v>143000</v>
      </c>
      <c r="L1306" s="2">
        <f>IFERROR(__xludf.DUMMYFUNCTION("""COMPUTED_VALUE"""),56.9544354)</f>
        <v>56.9544354</v>
      </c>
      <c r="M1306" s="2">
        <f>IFERROR(__xludf.DUMMYFUNCTION("""COMPUTED_VALUE"""),24.1200833)</f>
        <v>24.1200833</v>
      </c>
    </row>
    <row r="1307">
      <c r="A1307" s="2" t="str">
        <f>IFERROR(__xludf.DUMMYFUNCTION("""COMPUTED_VALUE"""),"For sale")</f>
        <v>For sale</v>
      </c>
      <c r="B1307" s="2" t="str">
        <f>IFERROR(__xludf.DUMMYFUNCTION("""COMPUTED_VALUE"""),"Mežciems")</f>
        <v>Mežciems</v>
      </c>
      <c r="C1307" s="2" t="str">
        <f>IFERROR(__xludf.DUMMYFUNCTION("""COMPUTED_VALUE"""),"Kaivas 29")</f>
        <v>Kaivas 29</v>
      </c>
      <c r="D1307" s="2">
        <f>IFERROR(__xludf.DUMMYFUNCTION("""COMPUTED_VALUE"""),3.0)</f>
        <v>3</v>
      </c>
      <c r="E1307" s="2">
        <f>IFERROR(__xludf.DUMMYFUNCTION("""COMPUTED_VALUE"""),80.0)</f>
        <v>80</v>
      </c>
      <c r="F1307" s="2">
        <f>IFERROR(__xludf.DUMMYFUNCTION("""COMPUTED_VALUE"""),2.0)</f>
        <v>2</v>
      </c>
      <c r="G1307" s="2">
        <f>IFERROR(__xludf.DUMMYFUNCTION("""COMPUTED_VALUE"""),5.0)</f>
        <v>5</v>
      </c>
      <c r="H1307" s="2" t="str">
        <f>IFERROR(__xludf.DUMMYFUNCTION("""COMPUTED_VALUE"""),"Jaun.")</f>
        <v>Jaun.</v>
      </c>
      <c r="I1307" s="2" t="str">
        <f>IFERROR(__xludf.DUMMYFUNCTION("""COMPUTED_VALUE"""),"Panel-Brick")</f>
        <v>Panel-Brick</v>
      </c>
      <c r="J1307" s="2" t="str">
        <f>IFERROR(__xludf.DUMMYFUNCTION("""COMPUTED_VALUE"""),"All amenities")</f>
        <v>All amenities</v>
      </c>
      <c r="K1307" s="2">
        <f>IFERROR(__xludf.DUMMYFUNCTION("""COMPUTED_VALUE"""),140000.0)</f>
        <v>140000</v>
      </c>
      <c r="L1307" s="2">
        <f>IFERROR(__xludf.DUMMYFUNCTION("""COMPUTED_VALUE"""),56.9503372)</f>
        <v>56.9503372</v>
      </c>
      <c r="M1307" s="2">
        <f>IFERROR(__xludf.DUMMYFUNCTION("""COMPUTED_VALUE"""),24.2445141015604)</f>
        <v>24.2445141</v>
      </c>
    </row>
    <row r="1308">
      <c r="A1308" s="2" t="str">
        <f>IFERROR(__xludf.DUMMYFUNCTION("""COMPUTED_VALUE"""),"For sale")</f>
        <v>For sale</v>
      </c>
      <c r="B1308" s="2" t="str">
        <f>IFERROR(__xludf.DUMMYFUNCTION("""COMPUTED_VALUE"""),"centrs")</f>
        <v>centrs</v>
      </c>
      <c r="C1308" s="2" t="str">
        <f>IFERROR(__xludf.DUMMYFUNCTION("""COMPUTED_VALUE"""),"Avotu 7")</f>
        <v>Avotu 7</v>
      </c>
      <c r="D1308" s="2">
        <f>IFERROR(__xludf.DUMMYFUNCTION("""COMPUTED_VALUE"""),4.0)</f>
        <v>4</v>
      </c>
      <c r="E1308" s="2">
        <f>IFERROR(__xludf.DUMMYFUNCTION("""COMPUTED_VALUE"""),153.0)</f>
        <v>153</v>
      </c>
      <c r="F1308" s="2">
        <f>IFERROR(__xludf.DUMMYFUNCTION("""COMPUTED_VALUE"""),5.0)</f>
        <v>5</v>
      </c>
      <c r="G1308" s="2">
        <f>IFERROR(__xludf.DUMMYFUNCTION("""COMPUTED_VALUE"""),6.0)</f>
        <v>6</v>
      </c>
      <c r="H1308" s="2" t="str">
        <f>IFERROR(__xludf.DUMMYFUNCTION("""COMPUTED_VALUE"""),"P. kara")</f>
        <v>P. kara</v>
      </c>
      <c r="I1308" s="2" t="str">
        <f>IFERROR(__xludf.DUMMYFUNCTION("""COMPUTED_VALUE"""),"Masonry")</f>
        <v>Masonry</v>
      </c>
      <c r="J1308" s="2" t="str">
        <f>IFERROR(__xludf.DUMMYFUNCTION("""COMPUTED_VALUE"""),"All amenities")</f>
        <v>All amenities</v>
      </c>
      <c r="K1308" s="2">
        <f>IFERROR(__xludf.DUMMYFUNCTION("""COMPUTED_VALUE"""),160000.0)</f>
        <v>160000</v>
      </c>
      <c r="L1308" s="2">
        <f>IFERROR(__xludf.DUMMYFUNCTION("""COMPUTED_VALUE"""),56.9509444)</f>
        <v>56.9509444</v>
      </c>
      <c r="M1308" s="2">
        <f>IFERROR(__xludf.DUMMYFUNCTION("""COMPUTED_VALUE"""),24.128357771229)</f>
        <v>24.12835777</v>
      </c>
    </row>
    <row r="1309">
      <c r="A1309" s="2" t="str">
        <f>IFERROR(__xludf.DUMMYFUNCTION("""COMPUTED_VALUE"""),"For sale")</f>
        <v>For sale</v>
      </c>
      <c r="B1309" s="2" t="str">
        <f>IFERROR(__xludf.DUMMYFUNCTION("""COMPUTED_VALUE"""),"centrs")</f>
        <v>centrs</v>
      </c>
      <c r="C1309" s="2" t="str">
        <f>IFERROR(__xludf.DUMMYFUNCTION("""COMPUTED_VALUE"""),"Čaka 63")</f>
        <v>Čaka 63</v>
      </c>
      <c r="D1309" s="2">
        <f>IFERROR(__xludf.DUMMYFUNCTION("""COMPUTED_VALUE"""),4.0)</f>
        <v>4</v>
      </c>
      <c r="E1309" s="2">
        <f>IFERROR(__xludf.DUMMYFUNCTION("""COMPUTED_VALUE"""),90.0)</f>
        <v>90</v>
      </c>
      <c r="F1309" s="2">
        <f>IFERROR(__xludf.DUMMYFUNCTION("""COMPUTED_VALUE"""),2.0)</f>
        <v>2</v>
      </c>
      <c r="G1309" s="2">
        <f>IFERROR(__xludf.DUMMYFUNCTION("""COMPUTED_VALUE"""),5.0)</f>
        <v>5</v>
      </c>
      <c r="H1309" s="2" t="str">
        <f>IFERROR(__xludf.DUMMYFUNCTION("""COMPUTED_VALUE"""),"P. kara")</f>
        <v>P. kara</v>
      </c>
      <c r="I1309" s="2" t="str">
        <f>IFERROR(__xludf.DUMMYFUNCTION("""COMPUTED_VALUE"""),"Masonry")</f>
        <v>Masonry</v>
      </c>
      <c r="J1309" s="2" t="str">
        <f>IFERROR(__xludf.DUMMYFUNCTION("""COMPUTED_VALUE"""),"All amenities")</f>
        <v>All amenities</v>
      </c>
      <c r="K1309" s="2">
        <f>IFERROR(__xludf.DUMMYFUNCTION("""COMPUTED_VALUE"""),116000.0)</f>
        <v>116000</v>
      </c>
      <c r="L1309" s="2">
        <f>IFERROR(__xludf.DUMMYFUNCTION("""COMPUTED_VALUE"""),56.9556401)</f>
        <v>56.9556401</v>
      </c>
      <c r="M1309" s="2">
        <f>IFERROR(__xludf.DUMMYFUNCTION("""COMPUTED_VALUE"""),24.1344926064006)</f>
        <v>24.13449261</v>
      </c>
    </row>
    <row r="1310">
      <c r="A1310" s="2" t="str">
        <f>IFERROR(__xludf.DUMMYFUNCTION("""COMPUTED_VALUE"""),"For sale")</f>
        <v>For sale</v>
      </c>
      <c r="B1310" s="2" t="str">
        <f>IFERROR(__xludf.DUMMYFUNCTION("""COMPUTED_VALUE"""),"Čiekurkalns")</f>
        <v>Čiekurkalns</v>
      </c>
      <c r="C1310" s="2" t="str">
        <f>IFERROR(__xludf.DUMMYFUNCTION("""COMPUTED_VALUE"""),"Čiekurkalna 2. l. 49a")</f>
        <v>Čiekurkalna 2. l. 49a</v>
      </c>
      <c r="D1310" s="2">
        <f>IFERROR(__xludf.DUMMYFUNCTION("""COMPUTED_VALUE"""),1.0)</f>
        <v>1</v>
      </c>
      <c r="E1310" s="2">
        <f>IFERROR(__xludf.DUMMYFUNCTION("""COMPUTED_VALUE"""),30.0)</f>
        <v>30</v>
      </c>
      <c r="F1310" s="2">
        <f>IFERROR(__xludf.DUMMYFUNCTION("""COMPUTED_VALUE"""),5.0)</f>
        <v>5</v>
      </c>
      <c r="G1310" s="2">
        <f>IFERROR(__xludf.DUMMYFUNCTION("""COMPUTED_VALUE"""),5.0)</f>
        <v>5</v>
      </c>
      <c r="H1310" s="2" t="str">
        <f>IFERROR(__xludf.DUMMYFUNCTION("""COMPUTED_VALUE"""),"Jaun.")</f>
        <v>Jaun.</v>
      </c>
      <c r="I1310" s="2" t="str">
        <f>IFERROR(__xludf.DUMMYFUNCTION("""COMPUTED_VALUE"""),"Masonry")</f>
        <v>Masonry</v>
      </c>
      <c r="J1310" s="2" t="str">
        <f>IFERROR(__xludf.DUMMYFUNCTION("""COMPUTED_VALUE"""),"All amenities")</f>
        <v>All amenities</v>
      </c>
      <c r="K1310" s="2">
        <f>IFERROR(__xludf.DUMMYFUNCTION("""COMPUTED_VALUE"""),43900.0)</f>
        <v>43900</v>
      </c>
      <c r="L1310" s="2" t="str">
        <f>IFERROR(__xludf.DUMMYFUNCTION("""COMPUTED_VALUE"""),"NaN")</f>
        <v>NaN</v>
      </c>
      <c r="M1310" s="2" t="str">
        <f>IFERROR(__xludf.DUMMYFUNCTION("""COMPUTED_VALUE"""),"NaN")</f>
        <v>NaN</v>
      </c>
    </row>
    <row r="1311">
      <c r="A1311" s="2" t="str">
        <f>IFERROR(__xludf.DUMMYFUNCTION("""COMPUTED_VALUE"""),"For sale")</f>
        <v>For sale</v>
      </c>
      <c r="B1311" s="2" t="str">
        <f>IFERROR(__xludf.DUMMYFUNCTION("""COMPUTED_VALUE"""),"Ķengarags")</f>
        <v>Ķengarags</v>
      </c>
      <c r="C1311" s="2" t="str">
        <f>IFERROR(__xludf.DUMMYFUNCTION("""COMPUTED_VALUE"""),"Višķu 15")</f>
        <v>Višķu 15</v>
      </c>
      <c r="D1311" s="2">
        <f>IFERROR(__xludf.DUMMYFUNCTION("""COMPUTED_VALUE"""),2.0)</f>
        <v>2</v>
      </c>
      <c r="E1311" s="2">
        <f>IFERROR(__xludf.DUMMYFUNCTION("""COMPUTED_VALUE"""),48.0)</f>
        <v>48</v>
      </c>
      <c r="F1311" s="2">
        <f>IFERROR(__xludf.DUMMYFUNCTION("""COMPUTED_VALUE"""),1.0)</f>
        <v>1</v>
      </c>
      <c r="G1311" s="2">
        <f>IFERROR(__xludf.DUMMYFUNCTION("""COMPUTED_VALUE"""),5.0)</f>
        <v>5</v>
      </c>
      <c r="H1311" s="2" t="str">
        <f>IFERROR(__xludf.DUMMYFUNCTION("""COMPUTED_VALUE"""),"LT proj.")</f>
        <v>LT proj.</v>
      </c>
      <c r="I1311" s="2" t="str">
        <f>IFERROR(__xludf.DUMMYFUNCTION("""COMPUTED_VALUE"""),"Panel")</f>
        <v>Panel</v>
      </c>
      <c r="J1311" s="2" t="str">
        <f>IFERROR(__xludf.DUMMYFUNCTION("""COMPUTED_VALUE"""),"All amenities")</f>
        <v>All amenities</v>
      </c>
      <c r="K1311" s="2">
        <f>IFERROR(__xludf.DUMMYFUNCTION("""COMPUTED_VALUE"""),40000.0)</f>
        <v>40000</v>
      </c>
      <c r="L1311" s="2">
        <f>IFERROR(__xludf.DUMMYFUNCTION("""COMPUTED_VALUE"""),56.90015325)</f>
        <v>56.90015325</v>
      </c>
      <c r="M1311" s="2">
        <f>IFERROR(__xludf.DUMMYFUNCTION("""COMPUTED_VALUE"""),24.2119257725263)</f>
        <v>24.21192577</v>
      </c>
    </row>
    <row r="1312">
      <c r="A1312" s="2" t="str">
        <f>IFERROR(__xludf.DUMMYFUNCTION("""COMPUTED_VALUE"""),"For sale")</f>
        <v>For sale</v>
      </c>
      <c r="B1312" s="2" t="str">
        <f>IFERROR(__xludf.DUMMYFUNCTION("""COMPUTED_VALUE"""),"Purvciems")</f>
        <v>Purvciems</v>
      </c>
      <c r="C1312" s="2" t="str">
        <f>IFERROR(__xludf.DUMMYFUNCTION("""COMPUTED_VALUE"""),"Pūces 51")</f>
        <v>Pūces 51</v>
      </c>
      <c r="D1312" s="2">
        <f>IFERROR(__xludf.DUMMYFUNCTION("""COMPUTED_VALUE"""),3.0)</f>
        <v>3</v>
      </c>
      <c r="E1312" s="2">
        <f>IFERROR(__xludf.DUMMYFUNCTION("""COMPUTED_VALUE"""),63.0)</f>
        <v>63</v>
      </c>
      <c r="F1312" s="2">
        <f>IFERROR(__xludf.DUMMYFUNCTION("""COMPUTED_VALUE"""),5.0)</f>
        <v>5</v>
      </c>
      <c r="G1312" s="2">
        <f>IFERROR(__xludf.DUMMYFUNCTION("""COMPUTED_VALUE"""),9.0)</f>
        <v>9</v>
      </c>
      <c r="H1312" s="2">
        <f>IFERROR(__xludf.DUMMYFUNCTION("""COMPUTED_VALUE"""),602.0)</f>
        <v>602</v>
      </c>
      <c r="I1312" s="2" t="str">
        <f>IFERROR(__xludf.DUMMYFUNCTION("""COMPUTED_VALUE"""),"Panel")</f>
        <v>Panel</v>
      </c>
      <c r="J1312" s="2" t="str">
        <f>IFERROR(__xludf.DUMMYFUNCTION("""COMPUTED_VALUE"""),"All amenities")</f>
        <v>All amenities</v>
      </c>
      <c r="K1312" s="2">
        <f>IFERROR(__xludf.DUMMYFUNCTION("""COMPUTED_VALUE"""),68000.0)</f>
        <v>68000</v>
      </c>
      <c r="L1312" s="2">
        <f>IFERROR(__xludf.DUMMYFUNCTION("""COMPUTED_VALUE"""),56.95350215)</f>
        <v>56.95350215</v>
      </c>
      <c r="M1312" s="2">
        <f>IFERROR(__xludf.DUMMYFUNCTION("""COMPUTED_VALUE"""),24.192131770328)</f>
        <v>24.19213177</v>
      </c>
    </row>
    <row r="1313">
      <c r="A1313" s="2" t="str">
        <f>IFERROR(__xludf.DUMMYFUNCTION("""COMPUTED_VALUE"""),"For sale")</f>
        <v>For sale</v>
      </c>
      <c r="B1313" s="2" t="str">
        <f>IFERROR(__xludf.DUMMYFUNCTION("""COMPUTED_VALUE"""),"Sarkandaugava")</f>
        <v>Sarkandaugava</v>
      </c>
      <c r="C1313" s="2" t="str">
        <f>IFERROR(__xludf.DUMMYFUNCTION("""COMPUTED_VALUE"""),"Alekša 11")</f>
        <v>Alekša 11</v>
      </c>
      <c r="D1313" s="2">
        <f>IFERROR(__xludf.DUMMYFUNCTION("""COMPUTED_VALUE"""),1.0)</f>
        <v>1</v>
      </c>
      <c r="E1313" s="2">
        <f>IFERROR(__xludf.DUMMYFUNCTION("""COMPUTED_VALUE"""),27.1)</f>
        <v>27.1</v>
      </c>
      <c r="F1313" s="2">
        <f>IFERROR(__xludf.DUMMYFUNCTION("""COMPUTED_VALUE"""),2.0)</f>
        <v>2</v>
      </c>
      <c r="G1313" s="2">
        <f>IFERROR(__xludf.DUMMYFUNCTION("""COMPUTED_VALUE"""),4.0)</f>
        <v>4</v>
      </c>
      <c r="H1313" s="2" t="str">
        <f>IFERROR(__xludf.DUMMYFUNCTION("""COMPUTED_VALUE"""),"P. kara")</f>
        <v>P. kara</v>
      </c>
      <c r="I1313" s="2" t="str">
        <f>IFERROR(__xludf.DUMMYFUNCTION("""COMPUTED_VALUE"""),"Masonry")</f>
        <v>Masonry</v>
      </c>
      <c r="J1313" s="2" t="str">
        <f>IFERROR(__xludf.DUMMYFUNCTION("""COMPUTED_VALUE"""),"All amenities")</f>
        <v>All amenities</v>
      </c>
      <c r="K1313" s="2">
        <f>IFERROR(__xludf.DUMMYFUNCTION("""COMPUTED_VALUE"""),18000.0)</f>
        <v>18000</v>
      </c>
      <c r="L1313" s="2">
        <f>IFERROR(__xludf.DUMMYFUNCTION("""COMPUTED_VALUE"""),56.99365285)</f>
        <v>56.99365285</v>
      </c>
      <c r="M1313" s="2">
        <f>IFERROR(__xludf.DUMMYFUNCTION("""COMPUTED_VALUE"""),24.1246621685469)</f>
        <v>24.12466217</v>
      </c>
    </row>
    <row r="1314">
      <c r="A1314" s="2" t="str">
        <f>IFERROR(__xludf.DUMMYFUNCTION("""COMPUTED_VALUE"""),"For rent")</f>
        <v>For rent</v>
      </c>
      <c r="B1314" s="2" t="str">
        <f>IFERROR(__xludf.DUMMYFUNCTION("""COMPUTED_VALUE"""),"centrs")</f>
        <v>centrs</v>
      </c>
      <c r="C1314" s="2" t="str">
        <f>IFERROR(__xludf.DUMMYFUNCTION("""COMPUTED_VALUE"""),"11. novembra krastm. 35")</f>
        <v>11. novembra krastm. 35</v>
      </c>
      <c r="D1314" s="2">
        <f>IFERROR(__xludf.DUMMYFUNCTION("""COMPUTED_VALUE"""),2.0)</f>
        <v>2</v>
      </c>
      <c r="E1314" s="2">
        <f>IFERROR(__xludf.DUMMYFUNCTION("""COMPUTED_VALUE"""),44.0)</f>
        <v>44</v>
      </c>
      <c r="F1314" s="2">
        <f>IFERROR(__xludf.DUMMYFUNCTION("""COMPUTED_VALUE"""),3.0)</f>
        <v>3</v>
      </c>
      <c r="G1314" s="2">
        <f>IFERROR(__xludf.DUMMYFUNCTION("""COMPUTED_VALUE"""),6.0)</f>
        <v>6</v>
      </c>
      <c r="H1314" s="2" t="str">
        <f>IFERROR(__xludf.DUMMYFUNCTION("""COMPUTED_VALUE"""),"Jaun.")</f>
        <v>Jaun.</v>
      </c>
      <c r="I1314" s="2" t="str">
        <f>IFERROR(__xludf.DUMMYFUNCTION("""COMPUTED_VALUE"""),"Masonry")</f>
        <v>Masonry</v>
      </c>
      <c r="J1314" s="2" t="str">
        <f>IFERROR(__xludf.DUMMYFUNCTION("""COMPUTED_VALUE"""),"All amenities")</f>
        <v>All amenities</v>
      </c>
      <c r="K1314" s="2">
        <f>IFERROR(__xludf.DUMMYFUNCTION("""COMPUTED_VALUE"""),650.0)</f>
        <v>650</v>
      </c>
      <c r="L1314" s="2" t="str">
        <f>IFERROR(__xludf.DUMMYFUNCTION("""COMPUTED_VALUE"""),"NaN")</f>
        <v>NaN</v>
      </c>
      <c r="M1314" s="2" t="str">
        <f>IFERROR(__xludf.DUMMYFUNCTION("""COMPUTED_VALUE"""),"NaN")</f>
        <v>NaN</v>
      </c>
    </row>
    <row r="1315">
      <c r="A1315" s="2" t="str">
        <f>IFERROR(__xludf.DUMMYFUNCTION("""COMPUTED_VALUE"""),"For sale")</f>
        <v>For sale</v>
      </c>
      <c r="B1315" s="2" t="str">
        <f>IFERROR(__xludf.DUMMYFUNCTION("""COMPUTED_VALUE"""),"Imanta")</f>
        <v>Imanta</v>
      </c>
      <c r="C1315" s="2" t="str">
        <f>IFERROR(__xludf.DUMMYFUNCTION("""COMPUTED_VALUE"""),"Tālavas g. 13")</f>
        <v>Tālavas g. 13</v>
      </c>
      <c r="D1315" s="2">
        <f>IFERROR(__xludf.DUMMYFUNCTION("""COMPUTED_VALUE"""),2.0)</f>
        <v>2</v>
      </c>
      <c r="E1315" s="2">
        <f>IFERROR(__xludf.DUMMYFUNCTION("""COMPUTED_VALUE"""),49.0)</f>
        <v>49</v>
      </c>
      <c r="F1315" s="2">
        <f>IFERROR(__xludf.DUMMYFUNCTION("""COMPUTED_VALUE"""),1.0)</f>
        <v>1</v>
      </c>
      <c r="G1315" s="2">
        <f>IFERROR(__xludf.DUMMYFUNCTION("""COMPUTED_VALUE"""),5.0)</f>
        <v>5</v>
      </c>
      <c r="H1315" s="2" t="str">
        <f>IFERROR(__xludf.DUMMYFUNCTION("""COMPUTED_VALUE"""),"LT proj.")</f>
        <v>LT proj.</v>
      </c>
      <c r="I1315" s="2" t="str">
        <f>IFERROR(__xludf.DUMMYFUNCTION("""COMPUTED_VALUE"""),"Panel")</f>
        <v>Panel</v>
      </c>
      <c r="J1315" s="2" t="str">
        <f>IFERROR(__xludf.DUMMYFUNCTION("""COMPUTED_VALUE"""),"All amenities")</f>
        <v>All amenities</v>
      </c>
      <c r="K1315" s="2">
        <f>IFERROR(__xludf.DUMMYFUNCTION("""COMPUTED_VALUE"""),46900.0)</f>
        <v>46900</v>
      </c>
      <c r="L1315" s="2">
        <f>IFERROR(__xludf.DUMMYFUNCTION("""COMPUTED_VALUE"""),56.9559247)</f>
        <v>56.9559247</v>
      </c>
      <c r="M1315" s="2">
        <f>IFERROR(__xludf.DUMMYFUNCTION("""COMPUTED_VALUE"""),24.0014761)</f>
        <v>24.0014761</v>
      </c>
    </row>
    <row r="1316">
      <c r="A1316" s="2" t="str">
        <f>IFERROR(__xludf.DUMMYFUNCTION("""COMPUTED_VALUE"""),"For sale")</f>
        <v>For sale</v>
      </c>
      <c r="B1316" s="2" t="str">
        <f>IFERROR(__xludf.DUMMYFUNCTION("""COMPUTED_VALUE"""),"Šampēteris-Pleskodāle")</f>
        <v>Šampēteris-Pleskodāle</v>
      </c>
      <c r="C1316" s="2" t="str">
        <f>IFERROR(__xludf.DUMMYFUNCTION("""COMPUTED_VALUE"""),"Lielirbes 11")</f>
        <v>Lielirbes 11</v>
      </c>
      <c r="D1316" s="2">
        <f>IFERROR(__xludf.DUMMYFUNCTION("""COMPUTED_VALUE"""),3.0)</f>
        <v>3</v>
      </c>
      <c r="E1316" s="2">
        <f>IFERROR(__xludf.DUMMYFUNCTION("""COMPUTED_VALUE"""),94.0)</f>
        <v>94</v>
      </c>
      <c r="F1316" s="2">
        <f>IFERROR(__xludf.DUMMYFUNCTION("""COMPUTED_VALUE"""),10.0)</f>
        <v>10</v>
      </c>
      <c r="G1316" s="2">
        <f>IFERROR(__xludf.DUMMYFUNCTION("""COMPUTED_VALUE"""),25.0)</f>
        <v>25</v>
      </c>
      <c r="H1316" s="2" t="str">
        <f>IFERROR(__xludf.DUMMYFUNCTION("""COMPUTED_VALUE"""),"Jaun.")</f>
        <v>Jaun.</v>
      </c>
      <c r="I1316" s="2" t="str">
        <f>IFERROR(__xludf.DUMMYFUNCTION("""COMPUTED_VALUE"""),"Panel")</f>
        <v>Panel</v>
      </c>
      <c r="J1316" s="2" t="str">
        <f>IFERROR(__xludf.DUMMYFUNCTION("""COMPUTED_VALUE"""),"All amenities")</f>
        <v>All amenities</v>
      </c>
      <c r="K1316" s="2">
        <f>IFERROR(__xludf.DUMMYFUNCTION("""COMPUTED_VALUE"""),169000.0)</f>
        <v>169000</v>
      </c>
      <c r="L1316" s="2">
        <f>IFERROR(__xludf.DUMMYFUNCTION("""COMPUTED_VALUE"""),56.9340645)</f>
        <v>56.9340645</v>
      </c>
      <c r="M1316" s="2">
        <f>IFERROR(__xludf.DUMMYFUNCTION("""COMPUTED_VALUE"""),24.0436381)</f>
        <v>24.0436381</v>
      </c>
    </row>
    <row r="1317">
      <c r="A1317" s="2" t="str">
        <f>IFERROR(__xludf.DUMMYFUNCTION("""COMPUTED_VALUE"""),"For sale")</f>
        <v>For sale</v>
      </c>
      <c r="B1317" s="2" t="str">
        <f>IFERROR(__xludf.DUMMYFUNCTION("""COMPUTED_VALUE"""),"Purvciems")</f>
        <v>Purvciems</v>
      </c>
      <c r="C1317" s="2" t="str">
        <f>IFERROR(__xludf.DUMMYFUNCTION("""COMPUTED_VALUE"""),"Dzelzavas 13")</f>
        <v>Dzelzavas 13</v>
      </c>
      <c r="D1317" s="2">
        <f>IFERROR(__xludf.DUMMYFUNCTION("""COMPUTED_VALUE"""),2.0)</f>
        <v>2</v>
      </c>
      <c r="E1317" s="2">
        <f>IFERROR(__xludf.DUMMYFUNCTION("""COMPUTED_VALUE"""),44.0)</f>
        <v>44</v>
      </c>
      <c r="F1317" s="2">
        <f>IFERROR(__xludf.DUMMYFUNCTION("""COMPUTED_VALUE"""),4.0)</f>
        <v>4</v>
      </c>
      <c r="G1317" s="2">
        <f>IFERROR(__xludf.DUMMYFUNCTION("""COMPUTED_VALUE"""),5.0)</f>
        <v>5</v>
      </c>
      <c r="H1317" s="2" t="str">
        <f>IFERROR(__xludf.DUMMYFUNCTION("""COMPUTED_VALUE"""),"Hrušč.")</f>
        <v>Hrušč.</v>
      </c>
      <c r="I1317" s="2" t="str">
        <f>IFERROR(__xludf.DUMMYFUNCTION("""COMPUTED_VALUE"""),"Brick")</f>
        <v>Brick</v>
      </c>
      <c r="J1317" s="2" t="str">
        <f>IFERROR(__xludf.DUMMYFUNCTION("""COMPUTED_VALUE"""),"All amenities")</f>
        <v>All amenities</v>
      </c>
      <c r="K1317" s="2">
        <f>IFERROR(__xludf.DUMMYFUNCTION("""COMPUTED_VALUE"""),39000.0)</f>
        <v>39000</v>
      </c>
      <c r="L1317" s="2">
        <f>IFERROR(__xludf.DUMMYFUNCTION("""COMPUTED_VALUE"""),56.9636785)</f>
        <v>56.9636785</v>
      </c>
      <c r="M1317" s="2">
        <f>IFERROR(__xludf.DUMMYFUNCTION("""COMPUTED_VALUE"""),24.1706167383245)</f>
        <v>24.17061674</v>
      </c>
    </row>
    <row r="1318">
      <c r="A1318" s="2" t="str">
        <f>IFERROR(__xludf.DUMMYFUNCTION("""COMPUTED_VALUE"""),"For rent")</f>
        <v>For rent</v>
      </c>
      <c r="B1318" s="2" t="str">
        <f>IFERROR(__xludf.DUMMYFUNCTION("""COMPUTED_VALUE"""),"centrs")</f>
        <v>centrs</v>
      </c>
      <c r="C1318" s="2" t="str">
        <f>IFERROR(__xludf.DUMMYFUNCTION("""COMPUTED_VALUE"""),"Dzirnavu 102a")</f>
        <v>Dzirnavu 102a</v>
      </c>
      <c r="D1318" s="2">
        <f>IFERROR(__xludf.DUMMYFUNCTION("""COMPUTED_VALUE"""),6.0)</f>
        <v>6</v>
      </c>
      <c r="E1318" s="2">
        <f>IFERROR(__xludf.DUMMYFUNCTION("""COMPUTED_VALUE"""),85.0)</f>
        <v>85</v>
      </c>
      <c r="F1318" s="2">
        <f>IFERROR(__xludf.DUMMYFUNCTION("""COMPUTED_VALUE"""),2.0)</f>
        <v>2</v>
      </c>
      <c r="G1318" s="2">
        <f>IFERROR(__xludf.DUMMYFUNCTION("""COMPUTED_VALUE"""),2.0)</f>
        <v>2</v>
      </c>
      <c r="H1318" s="2" t="str">
        <f>IFERROR(__xludf.DUMMYFUNCTION("""COMPUTED_VALUE"""),"P. kara")</f>
        <v>P. kara</v>
      </c>
      <c r="I1318" s="2" t="str">
        <f>IFERROR(__xludf.DUMMYFUNCTION("""COMPUTED_VALUE"""),"Brick")</f>
        <v>Brick</v>
      </c>
      <c r="J1318" s="2" t="str">
        <f>IFERROR(__xludf.DUMMYFUNCTION("""COMPUTED_VALUE"""),"All amenities")</f>
        <v>All amenities</v>
      </c>
      <c r="K1318" s="2">
        <f>IFERROR(__xludf.DUMMYFUNCTION("""COMPUTED_VALUE"""),290.0)</f>
        <v>290</v>
      </c>
      <c r="L1318" s="2">
        <f>IFERROR(__xludf.DUMMYFUNCTION("""COMPUTED_VALUE"""),56.94921145)</f>
        <v>56.94921145</v>
      </c>
      <c r="M1318" s="2">
        <f>IFERROR(__xludf.DUMMYFUNCTION("""COMPUTED_VALUE"""),24.1241505142402)</f>
        <v>24.12415051</v>
      </c>
    </row>
    <row r="1319">
      <c r="A1319" s="2" t="str">
        <f>IFERROR(__xludf.DUMMYFUNCTION("""COMPUTED_VALUE"""),"For sale")</f>
        <v>For sale</v>
      </c>
      <c r="B1319" s="2" t="str">
        <f>IFERROR(__xludf.DUMMYFUNCTION("""COMPUTED_VALUE"""),"centrs")</f>
        <v>centrs</v>
      </c>
      <c r="C1319" s="2" t="str">
        <f>IFERROR(__xludf.DUMMYFUNCTION("""COMPUTED_VALUE"""),"Eksporta 18")</f>
        <v>Eksporta 18</v>
      </c>
      <c r="D1319" s="2">
        <f>IFERROR(__xludf.DUMMYFUNCTION("""COMPUTED_VALUE"""),2.0)</f>
        <v>2</v>
      </c>
      <c r="E1319" s="2">
        <f>IFERROR(__xludf.DUMMYFUNCTION("""COMPUTED_VALUE"""),38.0)</f>
        <v>38</v>
      </c>
      <c r="F1319" s="2">
        <f>IFERROR(__xludf.DUMMYFUNCTION("""COMPUTED_VALUE"""),5.0)</f>
        <v>5</v>
      </c>
      <c r="G1319" s="2">
        <f>IFERROR(__xludf.DUMMYFUNCTION("""COMPUTED_VALUE"""),3.0)</f>
        <v>3</v>
      </c>
      <c r="H1319" s="2" t="str">
        <f>IFERROR(__xludf.DUMMYFUNCTION("""COMPUTED_VALUE"""),"Hrušč.")</f>
        <v>Hrušč.</v>
      </c>
      <c r="I1319" s="2" t="str">
        <f>IFERROR(__xludf.DUMMYFUNCTION("""COMPUTED_VALUE"""),"Brick")</f>
        <v>Brick</v>
      </c>
      <c r="J1319" s="2" t="str">
        <f>IFERROR(__xludf.DUMMYFUNCTION("""COMPUTED_VALUE"""),"All amenities")</f>
        <v>All amenities</v>
      </c>
      <c r="K1319" s="2">
        <f>IFERROR(__xludf.DUMMYFUNCTION("""COMPUTED_VALUE"""),49000.0)</f>
        <v>49000</v>
      </c>
      <c r="L1319" s="2">
        <f>IFERROR(__xludf.DUMMYFUNCTION("""COMPUTED_VALUE"""),56.956763)</f>
        <v>56.956763</v>
      </c>
      <c r="M1319" s="2">
        <f>IFERROR(__xludf.DUMMYFUNCTION("""COMPUTED_VALUE"""),24.0954531)</f>
        <v>24.0954531</v>
      </c>
    </row>
    <row r="1320">
      <c r="A1320" s="2" t="str">
        <f>IFERROR(__xludf.DUMMYFUNCTION("""COMPUTED_VALUE"""),"For rent")</f>
        <v>For rent</v>
      </c>
      <c r="B1320" s="2" t="str">
        <f>IFERROR(__xludf.DUMMYFUNCTION("""COMPUTED_VALUE"""),"Āgenskalns")</f>
        <v>Āgenskalns</v>
      </c>
      <c r="C1320" s="2" t="str">
        <f>IFERROR(__xludf.DUMMYFUNCTION("""COMPUTED_VALUE"""),"Auces 3")</f>
        <v>Auces 3</v>
      </c>
      <c r="D1320" s="2">
        <f>IFERROR(__xludf.DUMMYFUNCTION("""COMPUTED_VALUE"""),2.0)</f>
        <v>2</v>
      </c>
      <c r="E1320" s="2">
        <f>IFERROR(__xludf.DUMMYFUNCTION("""COMPUTED_VALUE"""),48.0)</f>
        <v>48</v>
      </c>
      <c r="F1320" s="2">
        <f>IFERROR(__xludf.DUMMYFUNCTION("""COMPUTED_VALUE"""),1.0)</f>
        <v>1</v>
      </c>
      <c r="G1320" s="2">
        <f>IFERROR(__xludf.DUMMYFUNCTION("""COMPUTED_VALUE"""),3.0)</f>
        <v>3</v>
      </c>
      <c r="H1320" s="2" t="str">
        <f>IFERROR(__xludf.DUMMYFUNCTION("""COMPUTED_VALUE"""),"P. kara")</f>
        <v>P. kara</v>
      </c>
      <c r="I1320" s="2" t="str">
        <f>IFERROR(__xludf.DUMMYFUNCTION("""COMPUTED_VALUE"""),"Masonry")</f>
        <v>Masonry</v>
      </c>
      <c r="J1320" s="2" t="str">
        <f>IFERROR(__xludf.DUMMYFUNCTION("""COMPUTED_VALUE"""),"All amenities")</f>
        <v>All amenities</v>
      </c>
      <c r="K1320" s="2">
        <f>IFERROR(__xludf.DUMMYFUNCTION("""COMPUTED_VALUE"""),270.0)</f>
        <v>270</v>
      </c>
      <c r="L1320" s="2">
        <f>IFERROR(__xludf.DUMMYFUNCTION("""COMPUTED_VALUE"""),56.94292565)</f>
        <v>56.94292565</v>
      </c>
      <c r="M1320" s="2">
        <f>IFERROR(__xludf.DUMMYFUNCTION("""COMPUTED_VALUE"""),24.0818583876235)</f>
        <v>24.08185839</v>
      </c>
    </row>
    <row r="1321">
      <c r="A1321" s="2" t="str">
        <f>IFERROR(__xludf.DUMMYFUNCTION("""COMPUTED_VALUE"""),"For sale")</f>
        <v>For sale</v>
      </c>
      <c r="B1321" s="2" t="str">
        <f>IFERROR(__xludf.DUMMYFUNCTION("""COMPUTED_VALUE"""),"Pļavnieki")</f>
        <v>Pļavnieki</v>
      </c>
      <c r="C1321" s="2" t="str">
        <f>IFERROR(__xludf.DUMMYFUNCTION("""COMPUTED_VALUE"""),"Deglava 122")</f>
        <v>Deglava 122</v>
      </c>
      <c r="D1321" s="2">
        <f>IFERROR(__xludf.DUMMYFUNCTION("""COMPUTED_VALUE"""),3.0)</f>
        <v>3</v>
      </c>
      <c r="E1321" s="2">
        <f>IFERROR(__xludf.DUMMYFUNCTION("""COMPUTED_VALUE"""),79.0)</f>
        <v>79</v>
      </c>
      <c r="F1321" s="2">
        <f>IFERROR(__xludf.DUMMYFUNCTION("""COMPUTED_VALUE"""),4.0)</f>
        <v>4</v>
      </c>
      <c r="G1321" s="2">
        <f>IFERROR(__xludf.DUMMYFUNCTION("""COMPUTED_VALUE"""),9.0)</f>
        <v>9</v>
      </c>
      <c r="H1321" s="2">
        <f>IFERROR(__xludf.DUMMYFUNCTION("""COMPUTED_VALUE"""),119.0)</f>
        <v>119</v>
      </c>
      <c r="I1321" s="2" t="str">
        <f>IFERROR(__xludf.DUMMYFUNCTION("""COMPUTED_VALUE"""),"Panel")</f>
        <v>Panel</v>
      </c>
      <c r="J1321" s="2" t="str">
        <f>IFERROR(__xludf.DUMMYFUNCTION("""COMPUTED_VALUE"""),"All amenities")</f>
        <v>All amenities</v>
      </c>
      <c r="K1321" s="2">
        <f>IFERROR(__xludf.DUMMYFUNCTION("""COMPUTED_VALUE"""),71100.0)</f>
        <v>71100</v>
      </c>
      <c r="L1321" s="2">
        <f>IFERROR(__xludf.DUMMYFUNCTION("""COMPUTED_VALUE"""),56.94708265)</f>
        <v>56.94708265</v>
      </c>
      <c r="M1321" s="2">
        <f>IFERROR(__xludf.DUMMYFUNCTION("""COMPUTED_VALUE"""),24.1976276399044)</f>
        <v>24.19762764</v>
      </c>
    </row>
    <row r="1322">
      <c r="A1322" s="2" t="str">
        <f>IFERROR(__xludf.DUMMYFUNCTION("""COMPUTED_VALUE"""),"For sale")</f>
        <v>For sale</v>
      </c>
      <c r="B1322" s="2" t="str">
        <f>IFERROR(__xludf.DUMMYFUNCTION("""COMPUTED_VALUE"""),"centrs")</f>
        <v>centrs</v>
      </c>
      <c r="C1322" s="2" t="str">
        <f>IFERROR(__xludf.DUMMYFUNCTION("""COMPUTED_VALUE"""),"J. Daliņa 8")</f>
        <v>J. Daliņa 8</v>
      </c>
      <c r="D1322" s="2">
        <f>IFERROR(__xludf.DUMMYFUNCTION("""COMPUTED_VALUE"""),4.0)</f>
        <v>4</v>
      </c>
      <c r="E1322" s="2">
        <f>IFERROR(__xludf.DUMMYFUNCTION("""COMPUTED_VALUE"""),110.0)</f>
        <v>110</v>
      </c>
      <c r="F1322" s="2">
        <f>IFERROR(__xludf.DUMMYFUNCTION("""COMPUTED_VALUE"""),10.0)</f>
        <v>10</v>
      </c>
      <c r="G1322" s="2">
        <f>IFERROR(__xludf.DUMMYFUNCTION("""COMPUTED_VALUE"""),24.0)</f>
        <v>24</v>
      </c>
      <c r="H1322" s="2" t="str">
        <f>IFERROR(__xludf.DUMMYFUNCTION("""COMPUTED_VALUE"""),"Jaun.")</f>
        <v>Jaun.</v>
      </c>
      <c r="I1322" s="2" t="str">
        <f>IFERROR(__xludf.DUMMYFUNCTION("""COMPUTED_VALUE"""),"Brick-Panel")</f>
        <v>Brick-Panel</v>
      </c>
      <c r="J1322" s="2" t="str">
        <f>IFERROR(__xludf.DUMMYFUNCTION("""COMPUTED_VALUE"""),"All amenities")</f>
        <v>All amenities</v>
      </c>
      <c r="K1322" s="2">
        <f>IFERROR(__xludf.DUMMYFUNCTION("""COMPUTED_VALUE"""),270000.0)</f>
        <v>270000</v>
      </c>
      <c r="L1322" s="2" t="str">
        <f>IFERROR(__xludf.DUMMYFUNCTION("""COMPUTED_VALUE"""),"NaN")</f>
        <v>NaN</v>
      </c>
      <c r="M1322" s="2" t="str">
        <f>IFERROR(__xludf.DUMMYFUNCTION("""COMPUTED_VALUE"""),"NaN")</f>
        <v>NaN</v>
      </c>
    </row>
    <row r="1323">
      <c r="A1323" s="2" t="str">
        <f>IFERROR(__xludf.DUMMYFUNCTION("""COMPUTED_VALUE"""),"For rent")</f>
        <v>For rent</v>
      </c>
      <c r="B1323" s="2" t="str">
        <f>IFERROR(__xludf.DUMMYFUNCTION("""COMPUTED_VALUE"""),"Ziepniekkalns")</f>
        <v>Ziepniekkalns</v>
      </c>
      <c r="C1323" s="2" t="str">
        <f>IFERROR(__xludf.DUMMYFUNCTION("""COMPUTED_VALUE"""),"Ozolciema 14")</f>
        <v>Ozolciema 14</v>
      </c>
      <c r="D1323" s="2">
        <f>IFERROR(__xludf.DUMMYFUNCTION("""COMPUTED_VALUE"""),3.0)</f>
        <v>3</v>
      </c>
      <c r="E1323" s="2">
        <f>IFERROR(__xludf.DUMMYFUNCTION("""COMPUTED_VALUE"""),77.0)</f>
        <v>77</v>
      </c>
      <c r="F1323" s="2">
        <f>IFERROR(__xludf.DUMMYFUNCTION("""COMPUTED_VALUE"""),5.0)</f>
        <v>5</v>
      </c>
      <c r="G1323" s="2">
        <f>IFERROR(__xludf.DUMMYFUNCTION("""COMPUTED_VALUE"""),9.0)</f>
        <v>9</v>
      </c>
      <c r="H1323" s="2" t="str">
        <f>IFERROR(__xludf.DUMMYFUNCTION("""COMPUTED_VALUE"""),"Specpr.")</f>
        <v>Specpr.</v>
      </c>
      <c r="I1323" s="2" t="str">
        <f>IFERROR(__xludf.DUMMYFUNCTION("""COMPUTED_VALUE"""),"Panel")</f>
        <v>Panel</v>
      </c>
      <c r="J1323" s="2" t="str">
        <f>IFERROR(__xludf.DUMMYFUNCTION("""COMPUTED_VALUE"""),"All amenities")</f>
        <v>All amenities</v>
      </c>
      <c r="K1323" s="2">
        <f>IFERROR(__xludf.DUMMYFUNCTION("""COMPUTED_VALUE"""),410.0)</f>
        <v>410</v>
      </c>
      <c r="L1323" s="2">
        <f>IFERROR(__xludf.DUMMYFUNCTION("""COMPUTED_VALUE"""),56.8989486)</f>
        <v>56.8989486</v>
      </c>
      <c r="M1323" s="2">
        <f>IFERROR(__xludf.DUMMYFUNCTION("""COMPUTED_VALUE"""),24.08438935)</f>
        <v>24.08438935</v>
      </c>
    </row>
    <row r="1324">
      <c r="A1324" s="2" t="str">
        <f>IFERROR(__xludf.DUMMYFUNCTION("""COMPUTED_VALUE"""),"For rent")</f>
        <v>For rent</v>
      </c>
      <c r="B1324" s="2" t="str">
        <f>IFERROR(__xludf.DUMMYFUNCTION("""COMPUTED_VALUE"""),"Klīversala")</f>
        <v>Klīversala</v>
      </c>
      <c r="C1324" s="2" t="str">
        <f>IFERROR(__xludf.DUMMYFUNCTION("""COMPUTED_VALUE"""),"Klīveru 1")</f>
        <v>Klīveru 1</v>
      </c>
      <c r="D1324" s="2">
        <f>IFERROR(__xludf.DUMMYFUNCTION("""COMPUTED_VALUE"""),1.0)</f>
        <v>1</v>
      </c>
      <c r="E1324" s="2">
        <f>IFERROR(__xludf.DUMMYFUNCTION("""COMPUTED_VALUE"""),33.0)</f>
        <v>33</v>
      </c>
      <c r="F1324" s="2">
        <f>IFERROR(__xludf.DUMMYFUNCTION("""COMPUTED_VALUE"""),4.0)</f>
        <v>4</v>
      </c>
      <c r="G1324" s="2">
        <f>IFERROR(__xludf.DUMMYFUNCTION("""COMPUTED_VALUE"""),4.0)</f>
        <v>4</v>
      </c>
      <c r="H1324" s="2" t="str">
        <f>IFERROR(__xludf.DUMMYFUNCTION("""COMPUTED_VALUE"""),"P. kara")</f>
        <v>P. kara</v>
      </c>
      <c r="I1324" s="2" t="str">
        <f>IFERROR(__xludf.DUMMYFUNCTION("""COMPUTED_VALUE"""),"Masonry")</f>
        <v>Masonry</v>
      </c>
      <c r="J1324" s="2" t="str">
        <f>IFERROR(__xludf.DUMMYFUNCTION("""COMPUTED_VALUE"""),"All amenities")</f>
        <v>All amenities</v>
      </c>
      <c r="K1324" s="2">
        <f>IFERROR(__xludf.DUMMYFUNCTION("""COMPUTED_VALUE"""),324.0)</f>
        <v>324</v>
      </c>
      <c r="L1324" s="2">
        <f>IFERROR(__xludf.DUMMYFUNCTION("""COMPUTED_VALUE"""),56.94306285)</f>
        <v>56.94306285</v>
      </c>
      <c r="M1324" s="2">
        <f>IFERROR(__xludf.DUMMYFUNCTION("""COMPUTED_VALUE"""),24.0912771146169)</f>
        <v>24.09127711</v>
      </c>
    </row>
    <row r="1325">
      <c r="A1325" s="2" t="str">
        <f>IFERROR(__xludf.DUMMYFUNCTION("""COMPUTED_VALUE"""),"For rent")</f>
        <v>For rent</v>
      </c>
      <c r="B1325" s="2" t="str">
        <f>IFERROR(__xludf.DUMMYFUNCTION("""COMPUTED_VALUE"""),"centrs")</f>
        <v>centrs</v>
      </c>
      <c r="C1325" s="2" t="str">
        <f>IFERROR(__xludf.DUMMYFUNCTION("""COMPUTED_VALUE"""),"Sadovņikova 39")</f>
        <v>Sadovņikova 39</v>
      </c>
      <c r="D1325" s="2">
        <f>IFERROR(__xludf.DUMMYFUNCTION("""COMPUTED_VALUE"""),2.0)</f>
        <v>2</v>
      </c>
      <c r="E1325" s="2">
        <f>IFERROR(__xludf.DUMMYFUNCTION("""COMPUTED_VALUE"""),32.0)</f>
        <v>32</v>
      </c>
      <c r="F1325" s="2">
        <f>IFERROR(__xludf.DUMMYFUNCTION("""COMPUTED_VALUE"""),3.0)</f>
        <v>3</v>
      </c>
      <c r="G1325" s="2">
        <f>IFERROR(__xludf.DUMMYFUNCTION("""COMPUTED_VALUE"""),7.0)</f>
        <v>7</v>
      </c>
      <c r="H1325" s="2" t="str">
        <f>IFERROR(__xludf.DUMMYFUNCTION("""COMPUTED_VALUE"""),"Renov.")</f>
        <v>Renov.</v>
      </c>
      <c r="I1325" s="2" t="str">
        <f>IFERROR(__xludf.DUMMYFUNCTION("""COMPUTED_VALUE"""),"Masonry")</f>
        <v>Masonry</v>
      </c>
      <c r="J1325" s="2" t="str">
        <f>IFERROR(__xludf.DUMMYFUNCTION("""COMPUTED_VALUE"""),"All amenities")</f>
        <v>All amenities</v>
      </c>
      <c r="K1325" s="2">
        <f>IFERROR(__xludf.DUMMYFUNCTION("""COMPUTED_VALUE"""),330.0)</f>
        <v>330</v>
      </c>
      <c r="L1325" s="2">
        <f>IFERROR(__xludf.DUMMYFUNCTION("""COMPUTED_VALUE"""),56.9412328)</f>
        <v>56.9412328</v>
      </c>
      <c r="M1325" s="2">
        <f>IFERROR(__xludf.DUMMYFUNCTION("""COMPUTED_VALUE"""),24.1350589)</f>
        <v>24.1350589</v>
      </c>
    </row>
    <row r="1326">
      <c r="A1326" s="2" t="str">
        <f>IFERROR(__xludf.DUMMYFUNCTION("""COMPUTED_VALUE"""),"For rent")</f>
        <v>For rent</v>
      </c>
      <c r="B1326" s="2" t="str">
        <f>IFERROR(__xludf.DUMMYFUNCTION("""COMPUTED_VALUE"""),"centrs")</f>
        <v>centrs</v>
      </c>
      <c r="C1326" s="2" t="str">
        <f>IFERROR(__xludf.DUMMYFUNCTION("""COMPUTED_VALUE"""),"Lejas 20")</f>
        <v>Lejas 20</v>
      </c>
      <c r="D1326" s="2">
        <f>IFERROR(__xludf.DUMMYFUNCTION("""COMPUTED_VALUE"""),1.0)</f>
        <v>1</v>
      </c>
      <c r="E1326" s="2">
        <f>IFERROR(__xludf.DUMMYFUNCTION("""COMPUTED_VALUE"""),33.0)</f>
        <v>33</v>
      </c>
      <c r="F1326" s="2">
        <f>IFERROR(__xludf.DUMMYFUNCTION("""COMPUTED_VALUE"""),1.0)</f>
        <v>1</v>
      </c>
      <c r="G1326" s="2">
        <f>IFERROR(__xludf.DUMMYFUNCTION("""COMPUTED_VALUE"""),2.0)</f>
        <v>2</v>
      </c>
      <c r="H1326" s="2" t="str">
        <f>IFERROR(__xludf.DUMMYFUNCTION("""COMPUTED_VALUE"""),"P. kara")</f>
        <v>P. kara</v>
      </c>
      <c r="I1326" s="2" t="str">
        <f>IFERROR(__xludf.DUMMYFUNCTION("""COMPUTED_VALUE"""),"Wood")</f>
        <v>Wood</v>
      </c>
      <c r="J1326" s="2" t="str">
        <f>IFERROR(__xludf.DUMMYFUNCTION("""COMPUTED_VALUE"""),"All amenities")</f>
        <v>All amenities</v>
      </c>
      <c r="K1326" s="2">
        <f>IFERROR(__xludf.DUMMYFUNCTION("""COMPUTED_VALUE"""),200.0)</f>
        <v>200</v>
      </c>
      <c r="L1326" s="2">
        <f>IFERROR(__xludf.DUMMYFUNCTION("""COMPUTED_VALUE"""),56.9747442)</f>
        <v>56.9747442</v>
      </c>
      <c r="M1326" s="2">
        <f>IFERROR(__xludf.DUMMYFUNCTION("""COMPUTED_VALUE"""),24.1414585)</f>
        <v>24.1414585</v>
      </c>
    </row>
    <row r="1327">
      <c r="A1327" s="2" t="str">
        <f>IFERROR(__xludf.DUMMYFUNCTION("""COMPUTED_VALUE"""),"For sale")</f>
        <v>For sale</v>
      </c>
      <c r="B1327" s="2" t="str">
        <f>IFERROR(__xludf.DUMMYFUNCTION("""COMPUTED_VALUE"""),"Mežaparks")</f>
        <v>Mežaparks</v>
      </c>
      <c r="C1327" s="2" t="str">
        <f>IFERROR(__xludf.DUMMYFUNCTION("""COMPUTED_VALUE"""),"Ezermalas 2a")</f>
        <v>Ezermalas 2a</v>
      </c>
      <c r="D1327" s="2">
        <f>IFERROR(__xludf.DUMMYFUNCTION("""COMPUTED_VALUE"""),3.0)</f>
        <v>3</v>
      </c>
      <c r="E1327" s="2">
        <f>IFERROR(__xludf.DUMMYFUNCTION("""COMPUTED_VALUE"""),78.0)</f>
        <v>78</v>
      </c>
      <c r="F1327" s="2">
        <f>IFERROR(__xludf.DUMMYFUNCTION("""COMPUTED_VALUE"""),1.0)</f>
        <v>1</v>
      </c>
      <c r="G1327" s="2">
        <f>IFERROR(__xludf.DUMMYFUNCTION("""COMPUTED_VALUE"""),12.0)</f>
        <v>12</v>
      </c>
      <c r="H1327" s="2" t="str">
        <f>IFERROR(__xludf.DUMMYFUNCTION("""COMPUTED_VALUE"""),"Specpr.")</f>
        <v>Specpr.</v>
      </c>
      <c r="I1327" s="2" t="str">
        <f>IFERROR(__xludf.DUMMYFUNCTION("""COMPUTED_VALUE"""),"Brick")</f>
        <v>Brick</v>
      </c>
      <c r="J1327" s="2" t="str">
        <f>IFERROR(__xludf.DUMMYFUNCTION("""COMPUTED_VALUE"""),"All amenities")</f>
        <v>All amenities</v>
      </c>
      <c r="K1327" s="2">
        <f>IFERROR(__xludf.DUMMYFUNCTION("""COMPUTED_VALUE"""),80000.0)</f>
        <v>80000</v>
      </c>
      <c r="L1327" s="2">
        <f>IFERROR(__xludf.DUMMYFUNCTION("""COMPUTED_VALUE"""),56.9925421)</f>
        <v>56.9925421</v>
      </c>
      <c r="M1327" s="2">
        <f>IFERROR(__xludf.DUMMYFUNCTION("""COMPUTED_VALUE"""),24.1931212530635)</f>
        <v>24.19312125</v>
      </c>
    </row>
    <row r="1328">
      <c r="A1328" s="2" t="str">
        <f>IFERROR(__xludf.DUMMYFUNCTION("""COMPUTED_VALUE"""),"For sale")</f>
        <v>For sale</v>
      </c>
      <c r="B1328" s="2" t="str">
        <f>IFERROR(__xludf.DUMMYFUNCTION("""COMPUTED_VALUE"""),"centrs")</f>
        <v>centrs</v>
      </c>
      <c r="C1328" s="2" t="str">
        <f>IFERROR(__xludf.DUMMYFUNCTION("""COMPUTED_VALUE"""),"Miera 105")</f>
        <v>Miera 105</v>
      </c>
      <c r="D1328" s="2">
        <f>IFERROR(__xludf.DUMMYFUNCTION("""COMPUTED_VALUE"""),4.0)</f>
        <v>4</v>
      </c>
      <c r="E1328" s="2">
        <f>IFERROR(__xludf.DUMMYFUNCTION("""COMPUTED_VALUE"""),101.0)</f>
        <v>101</v>
      </c>
      <c r="F1328" s="2">
        <f>IFERROR(__xludf.DUMMYFUNCTION("""COMPUTED_VALUE"""),6.0)</f>
        <v>6</v>
      </c>
      <c r="G1328" s="2">
        <f>IFERROR(__xludf.DUMMYFUNCTION("""COMPUTED_VALUE"""),6.0)</f>
        <v>6</v>
      </c>
      <c r="H1328" s="2" t="str">
        <f>IFERROR(__xludf.DUMMYFUNCTION("""COMPUTED_VALUE"""),"Renov.")</f>
        <v>Renov.</v>
      </c>
      <c r="I1328" s="2" t="str">
        <f>IFERROR(__xludf.DUMMYFUNCTION("""COMPUTED_VALUE"""),"Masonry")</f>
        <v>Masonry</v>
      </c>
      <c r="J1328" s="2" t="str">
        <f>IFERROR(__xludf.DUMMYFUNCTION("""COMPUTED_VALUE"""),"All amenities")</f>
        <v>All amenities</v>
      </c>
      <c r="K1328" s="2">
        <f>IFERROR(__xludf.DUMMYFUNCTION("""COMPUTED_VALUE"""),155000.0)</f>
        <v>155000</v>
      </c>
      <c r="L1328" s="2">
        <f>IFERROR(__xludf.DUMMYFUNCTION("""COMPUTED_VALUE"""),56.9665763)</f>
        <v>56.9665763</v>
      </c>
      <c r="M1328" s="2">
        <f>IFERROR(__xludf.DUMMYFUNCTION("""COMPUTED_VALUE"""),24.1337504)</f>
        <v>24.1337504</v>
      </c>
    </row>
    <row r="1329">
      <c r="A1329" s="2" t="str">
        <f>IFERROR(__xludf.DUMMYFUNCTION("""COMPUTED_VALUE"""),"For sale")</f>
        <v>For sale</v>
      </c>
      <c r="B1329" s="2" t="str">
        <f>IFERROR(__xludf.DUMMYFUNCTION("""COMPUTED_VALUE"""),"centrs")</f>
        <v>centrs</v>
      </c>
      <c r="C1329" s="2" t="str">
        <f>IFERROR(__xludf.DUMMYFUNCTION("""COMPUTED_VALUE"""),"Miera 5")</f>
        <v>Miera 5</v>
      </c>
      <c r="D1329" s="2">
        <f>IFERROR(__xludf.DUMMYFUNCTION("""COMPUTED_VALUE"""),3.0)</f>
        <v>3</v>
      </c>
      <c r="E1329" s="2">
        <f>IFERROR(__xludf.DUMMYFUNCTION("""COMPUTED_VALUE"""),95.0)</f>
        <v>95</v>
      </c>
      <c r="F1329" s="2">
        <f>IFERROR(__xludf.DUMMYFUNCTION("""COMPUTED_VALUE"""),5.0)</f>
        <v>5</v>
      </c>
      <c r="G1329" s="2">
        <f>IFERROR(__xludf.DUMMYFUNCTION("""COMPUTED_VALUE"""),6.0)</f>
        <v>6</v>
      </c>
      <c r="H1329" s="2" t="str">
        <f>IFERROR(__xludf.DUMMYFUNCTION("""COMPUTED_VALUE"""),"Renov.")</f>
        <v>Renov.</v>
      </c>
      <c r="I1329" s="2" t="str">
        <f>IFERROR(__xludf.DUMMYFUNCTION("""COMPUTED_VALUE"""),"Masonry")</f>
        <v>Masonry</v>
      </c>
      <c r="J1329" s="2" t="str">
        <f>IFERROR(__xludf.DUMMYFUNCTION("""COMPUTED_VALUE"""),"All amenities")</f>
        <v>All amenities</v>
      </c>
      <c r="K1329" s="2">
        <f>IFERROR(__xludf.DUMMYFUNCTION("""COMPUTED_VALUE"""),133280.0)</f>
        <v>133280</v>
      </c>
      <c r="L1329" s="2">
        <f>IFERROR(__xludf.DUMMYFUNCTION("""COMPUTED_VALUE"""),56.9665763)</f>
        <v>56.9665763</v>
      </c>
      <c r="M1329" s="2">
        <f>IFERROR(__xludf.DUMMYFUNCTION("""COMPUTED_VALUE"""),24.1337504)</f>
        <v>24.1337504</v>
      </c>
    </row>
    <row r="1330">
      <c r="A1330" s="2" t="str">
        <f>IFERROR(__xludf.DUMMYFUNCTION("""COMPUTED_VALUE"""),"For sale")</f>
        <v>For sale</v>
      </c>
      <c r="B1330" s="2" t="str">
        <f>IFERROR(__xludf.DUMMYFUNCTION("""COMPUTED_VALUE"""),"Pļavnieki")</f>
        <v>Pļavnieki</v>
      </c>
      <c r="C1330" s="2" t="str">
        <f>IFERROR(__xludf.DUMMYFUNCTION("""COMPUTED_VALUE"""),"Salnas 13")</f>
        <v>Salnas 13</v>
      </c>
      <c r="D1330" s="2">
        <f>IFERROR(__xludf.DUMMYFUNCTION("""COMPUTED_VALUE"""),1.0)</f>
        <v>1</v>
      </c>
      <c r="E1330" s="2">
        <f>IFERROR(__xludf.DUMMYFUNCTION("""COMPUTED_VALUE"""),33.0)</f>
        <v>33</v>
      </c>
      <c r="F1330" s="2">
        <f>IFERROR(__xludf.DUMMYFUNCTION("""COMPUTED_VALUE"""),4.0)</f>
        <v>4</v>
      </c>
      <c r="G1330" s="2">
        <f>IFERROR(__xludf.DUMMYFUNCTION("""COMPUTED_VALUE"""),9.0)</f>
        <v>9</v>
      </c>
      <c r="H1330" s="2">
        <f>IFERROR(__xludf.DUMMYFUNCTION("""COMPUTED_VALUE"""),602.0)</f>
        <v>602</v>
      </c>
      <c r="I1330" s="2" t="str">
        <f>IFERROR(__xludf.DUMMYFUNCTION("""COMPUTED_VALUE"""),"Panel")</f>
        <v>Panel</v>
      </c>
      <c r="J1330" s="2" t="str">
        <f>IFERROR(__xludf.DUMMYFUNCTION("""COMPUTED_VALUE"""),"All amenities")</f>
        <v>All amenities</v>
      </c>
      <c r="K1330" s="2">
        <f>IFERROR(__xludf.DUMMYFUNCTION("""COMPUTED_VALUE"""),39500.0)</f>
        <v>39500</v>
      </c>
      <c r="L1330" s="2">
        <f>IFERROR(__xludf.DUMMYFUNCTION("""COMPUTED_VALUE"""),56.9426821)</f>
        <v>56.9426821</v>
      </c>
      <c r="M1330" s="2">
        <f>IFERROR(__xludf.DUMMYFUNCTION("""COMPUTED_VALUE"""),24.2260887126475)</f>
        <v>24.22608871</v>
      </c>
    </row>
    <row r="1331">
      <c r="A1331" s="2" t="str">
        <f>IFERROR(__xludf.DUMMYFUNCTION("""COMPUTED_VALUE"""),"For sale")</f>
        <v>For sale</v>
      </c>
      <c r="B1331" s="2" t="str">
        <f>IFERROR(__xludf.DUMMYFUNCTION("""COMPUTED_VALUE"""),"centrs")</f>
        <v>centrs</v>
      </c>
      <c r="C1331" s="2" t="str">
        <f>IFERROR(__xludf.DUMMYFUNCTION("""COMPUTED_VALUE"""),"Birznieka-Upīša 10")</f>
        <v>Birznieka-Upīša 10</v>
      </c>
      <c r="D1331" s="2">
        <f>IFERROR(__xludf.DUMMYFUNCTION("""COMPUTED_VALUE"""),2.0)</f>
        <v>2</v>
      </c>
      <c r="E1331" s="2">
        <f>IFERROR(__xludf.DUMMYFUNCTION("""COMPUTED_VALUE"""),43.0)</f>
        <v>43</v>
      </c>
      <c r="F1331" s="2">
        <f>IFERROR(__xludf.DUMMYFUNCTION("""COMPUTED_VALUE"""),3.0)</f>
        <v>3</v>
      </c>
      <c r="G1331" s="2">
        <f>IFERROR(__xludf.DUMMYFUNCTION("""COMPUTED_VALUE"""),6.0)</f>
        <v>6</v>
      </c>
      <c r="H1331" s="2" t="str">
        <f>IFERROR(__xludf.DUMMYFUNCTION("""COMPUTED_VALUE"""),"Renov.")</f>
        <v>Renov.</v>
      </c>
      <c r="I1331" s="2" t="str">
        <f>IFERROR(__xludf.DUMMYFUNCTION("""COMPUTED_VALUE"""),"Masonry")</f>
        <v>Masonry</v>
      </c>
      <c r="J1331" s="2" t="str">
        <f>IFERROR(__xludf.DUMMYFUNCTION("""COMPUTED_VALUE"""),"All amenities")</f>
        <v>All amenities</v>
      </c>
      <c r="K1331" s="2">
        <f>IFERROR(__xludf.DUMMYFUNCTION("""COMPUTED_VALUE"""),98900.0)</f>
        <v>98900</v>
      </c>
      <c r="L1331" s="2">
        <f>IFERROR(__xludf.DUMMYFUNCTION("""COMPUTED_VALUE"""),56.9488745)</f>
        <v>56.9488745</v>
      </c>
      <c r="M1331" s="2">
        <f>IFERROR(__xludf.DUMMYFUNCTION("""COMPUTED_VALUE"""),24.1266027446091)</f>
        <v>24.12660274</v>
      </c>
    </row>
    <row r="1332">
      <c r="A1332" s="2" t="str">
        <f>IFERROR(__xludf.DUMMYFUNCTION("""COMPUTED_VALUE"""),"For sale")</f>
        <v>For sale</v>
      </c>
      <c r="B1332" s="2" t="str">
        <f>IFERROR(__xludf.DUMMYFUNCTION("""COMPUTED_VALUE"""),"centrs")</f>
        <v>centrs</v>
      </c>
      <c r="C1332" s="2" t="str">
        <f>IFERROR(__xludf.DUMMYFUNCTION("""COMPUTED_VALUE"""),"Lāčplēša 48")</f>
        <v>Lāčplēša 48</v>
      </c>
      <c r="D1332" s="2">
        <f>IFERROR(__xludf.DUMMYFUNCTION("""COMPUTED_VALUE"""),2.0)</f>
        <v>2</v>
      </c>
      <c r="E1332" s="2">
        <f>IFERROR(__xludf.DUMMYFUNCTION("""COMPUTED_VALUE"""),58.0)</f>
        <v>58</v>
      </c>
      <c r="F1332" s="2">
        <f>IFERROR(__xludf.DUMMYFUNCTION("""COMPUTED_VALUE"""),2.0)</f>
        <v>2</v>
      </c>
      <c r="G1332" s="2">
        <f>IFERROR(__xludf.DUMMYFUNCTION("""COMPUTED_VALUE"""),6.0)</f>
        <v>6</v>
      </c>
      <c r="H1332" s="2" t="str">
        <f>IFERROR(__xludf.DUMMYFUNCTION("""COMPUTED_VALUE"""),"P. kara")</f>
        <v>P. kara</v>
      </c>
      <c r="I1332" s="2" t="str">
        <f>IFERROR(__xludf.DUMMYFUNCTION("""COMPUTED_VALUE"""),"Masonry")</f>
        <v>Masonry</v>
      </c>
      <c r="J1332" s="2" t="str">
        <f>IFERROR(__xludf.DUMMYFUNCTION("""COMPUTED_VALUE"""),"All amenities")</f>
        <v>All amenities</v>
      </c>
      <c r="K1332" s="2">
        <f>IFERROR(__xludf.DUMMYFUNCTION("""COMPUTED_VALUE"""),125000.0)</f>
        <v>125000</v>
      </c>
      <c r="L1332" s="2">
        <f>IFERROR(__xludf.DUMMYFUNCTION("""COMPUTED_VALUE"""),56.9524263)</f>
        <v>56.9524263</v>
      </c>
      <c r="M1332" s="2">
        <f>IFERROR(__xludf.DUMMYFUNCTION("""COMPUTED_VALUE"""),24.1287007)</f>
        <v>24.1287007</v>
      </c>
    </row>
    <row r="1333">
      <c r="A1333" s="2" t="str">
        <f>IFERROR(__xludf.DUMMYFUNCTION("""COMPUTED_VALUE"""),"For sale")</f>
        <v>For sale</v>
      </c>
      <c r="B1333" s="2" t="str">
        <f>IFERROR(__xludf.DUMMYFUNCTION("""COMPUTED_VALUE"""),"Voleri")</f>
        <v>Voleri</v>
      </c>
      <c r="C1333" s="2" t="str">
        <f>IFERROR(__xludf.DUMMYFUNCTION("""COMPUTED_VALUE"""),"Daugavgrīvas š. 49")</f>
        <v>Daugavgrīvas š. 49</v>
      </c>
      <c r="D1333" s="2">
        <f>IFERROR(__xludf.DUMMYFUNCTION("""COMPUTED_VALUE"""),2.0)</f>
        <v>2</v>
      </c>
      <c r="E1333" s="2">
        <f>IFERROR(__xludf.DUMMYFUNCTION("""COMPUTED_VALUE"""),59.0)</f>
        <v>59</v>
      </c>
      <c r="F1333" s="2">
        <f>IFERROR(__xludf.DUMMYFUNCTION("""COMPUTED_VALUE"""),1.0)</f>
        <v>1</v>
      </c>
      <c r="G1333" s="2">
        <f>IFERROR(__xludf.DUMMYFUNCTION("""COMPUTED_VALUE"""),1.0)</f>
        <v>1</v>
      </c>
      <c r="H1333" s="2" t="str">
        <f>IFERROR(__xludf.DUMMYFUNCTION("""COMPUTED_VALUE"""),"P. kara")</f>
        <v>P. kara</v>
      </c>
      <c r="I1333" s="2" t="str">
        <f>IFERROR(__xludf.DUMMYFUNCTION("""COMPUTED_VALUE"""),"Brick")</f>
        <v>Brick</v>
      </c>
      <c r="J1333" s="2" t="str">
        <f>IFERROR(__xludf.DUMMYFUNCTION("""COMPUTED_VALUE"""),"Partial amenities")</f>
        <v>Partial amenities</v>
      </c>
      <c r="K1333" s="2">
        <f>IFERROR(__xludf.DUMMYFUNCTION("""COMPUTED_VALUE"""),27000.0)</f>
        <v>27000</v>
      </c>
      <c r="L1333" s="2">
        <f>IFERROR(__xludf.DUMMYFUNCTION("""COMPUTED_VALUE"""),57.0164335)</f>
        <v>57.0164335</v>
      </c>
      <c r="M1333" s="2">
        <f>IFERROR(__xludf.DUMMYFUNCTION("""COMPUTED_VALUE"""),24.0628649)</f>
        <v>24.0628649</v>
      </c>
    </row>
    <row r="1334">
      <c r="A1334" s="2" t="str">
        <f>IFERROR(__xludf.DUMMYFUNCTION("""COMPUTED_VALUE"""),"For sale")</f>
        <v>For sale</v>
      </c>
      <c r="B1334" s="2" t="str">
        <f>IFERROR(__xludf.DUMMYFUNCTION("""COMPUTED_VALUE"""),"Imanta")</f>
        <v>Imanta</v>
      </c>
      <c r="C1334" s="2" t="str">
        <f>IFERROR(__xludf.DUMMYFUNCTION("""COMPUTED_VALUE"""),"Dubultu 19")</f>
        <v>Dubultu 19</v>
      </c>
      <c r="D1334" s="2">
        <f>IFERROR(__xludf.DUMMYFUNCTION("""COMPUTED_VALUE"""),2.0)</f>
        <v>2</v>
      </c>
      <c r="E1334" s="2">
        <f>IFERROR(__xludf.DUMMYFUNCTION("""COMPUTED_VALUE"""),50.0)</f>
        <v>50</v>
      </c>
      <c r="F1334" s="2">
        <f>IFERROR(__xludf.DUMMYFUNCTION("""COMPUTED_VALUE"""),5.0)</f>
        <v>5</v>
      </c>
      <c r="G1334" s="2">
        <f>IFERROR(__xludf.DUMMYFUNCTION("""COMPUTED_VALUE"""),5.0)</f>
        <v>5</v>
      </c>
      <c r="H1334" s="2" t="str">
        <f>IFERROR(__xludf.DUMMYFUNCTION("""COMPUTED_VALUE"""),"LT proj.")</f>
        <v>LT proj.</v>
      </c>
      <c r="I1334" s="2" t="str">
        <f>IFERROR(__xludf.DUMMYFUNCTION("""COMPUTED_VALUE"""),"Panel")</f>
        <v>Panel</v>
      </c>
      <c r="J1334" s="2" t="str">
        <f>IFERROR(__xludf.DUMMYFUNCTION("""COMPUTED_VALUE"""),"All amenities")</f>
        <v>All amenities</v>
      </c>
      <c r="K1334" s="2">
        <f>IFERROR(__xludf.DUMMYFUNCTION("""COMPUTED_VALUE"""),57000.0)</f>
        <v>57000</v>
      </c>
      <c r="L1334" s="2">
        <f>IFERROR(__xludf.DUMMYFUNCTION("""COMPUTED_VALUE"""),56.95623425)</f>
        <v>56.95623425</v>
      </c>
      <c r="M1334" s="2">
        <f>IFERROR(__xludf.DUMMYFUNCTION("""COMPUTED_VALUE"""),24.0043295756336)</f>
        <v>24.00432958</v>
      </c>
    </row>
    <row r="1335">
      <c r="A1335" s="2" t="str">
        <f>IFERROR(__xludf.DUMMYFUNCTION("""COMPUTED_VALUE"""),"For rent")</f>
        <v>For rent</v>
      </c>
      <c r="B1335" s="2" t="str">
        <f>IFERROR(__xludf.DUMMYFUNCTION("""COMPUTED_VALUE"""),"centrs")</f>
        <v>centrs</v>
      </c>
      <c r="C1335" s="2" t="str">
        <f>IFERROR(__xludf.DUMMYFUNCTION("""COMPUTED_VALUE"""),"Lāčplēša 52")</f>
        <v>Lāčplēša 52</v>
      </c>
      <c r="D1335" s="2">
        <f>IFERROR(__xludf.DUMMYFUNCTION("""COMPUTED_VALUE"""),3.0)</f>
        <v>3</v>
      </c>
      <c r="E1335" s="2">
        <f>IFERROR(__xludf.DUMMYFUNCTION("""COMPUTED_VALUE"""),57.0)</f>
        <v>57</v>
      </c>
      <c r="F1335" s="2">
        <f>IFERROR(__xludf.DUMMYFUNCTION("""COMPUTED_VALUE"""),3.0)</f>
        <v>3</v>
      </c>
      <c r="G1335" s="2">
        <f>IFERROR(__xludf.DUMMYFUNCTION("""COMPUTED_VALUE"""),3.0)</f>
        <v>3</v>
      </c>
      <c r="H1335" s="2" t="str">
        <f>IFERROR(__xludf.DUMMYFUNCTION("""COMPUTED_VALUE"""),"P. kara")</f>
        <v>P. kara</v>
      </c>
      <c r="I1335" s="2" t="str">
        <f>IFERROR(__xludf.DUMMYFUNCTION("""COMPUTED_VALUE"""),"Brick")</f>
        <v>Brick</v>
      </c>
      <c r="J1335" s="2" t="str">
        <f>IFERROR(__xludf.DUMMYFUNCTION("""COMPUTED_VALUE"""),"All amenities")</f>
        <v>All amenities</v>
      </c>
      <c r="K1335" s="2">
        <f>IFERROR(__xludf.DUMMYFUNCTION("""COMPUTED_VALUE"""),580.0)</f>
        <v>580</v>
      </c>
      <c r="L1335" s="2">
        <f>IFERROR(__xludf.DUMMYFUNCTION("""COMPUTED_VALUE"""),56.9520707)</f>
        <v>56.9520707</v>
      </c>
      <c r="M1335" s="2">
        <f>IFERROR(__xludf.DUMMYFUNCTION("""COMPUTED_VALUE"""),24.1293968)</f>
        <v>24.1293968</v>
      </c>
    </row>
    <row r="1336">
      <c r="A1336" s="2" t="str">
        <f>IFERROR(__xludf.DUMMYFUNCTION("""COMPUTED_VALUE"""),"For rent")</f>
        <v>For rent</v>
      </c>
      <c r="B1336" s="2" t="str">
        <f>IFERROR(__xludf.DUMMYFUNCTION("""COMPUTED_VALUE"""),"centrs")</f>
        <v>centrs</v>
      </c>
      <c r="C1336" s="2" t="str">
        <f>IFERROR(__xludf.DUMMYFUNCTION("""COMPUTED_VALUE"""),"Tērbatas 93")</f>
        <v>Tērbatas 93</v>
      </c>
      <c r="D1336" s="2">
        <f>IFERROR(__xludf.DUMMYFUNCTION("""COMPUTED_VALUE"""),3.0)</f>
        <v>3</v>
      </c>
      <c r="E1336" s="2">
        <f>IFERROR(__xludf.DUMMYFUNCTION("""COMPUTED_VALUE"""),95.0)</f>
        <v>95</v>
      </c>
      <c r="F1336" s="2">
        <f>IFERROR(__xludf.DUMMYFUNCTION("""COMPUTED_VALUE"""),3.0)</f>
        <v>3</v>
      </c>
      <c r="G1336" s="2">
        <f>IFERROR(__xludf.DUMMYFUNCTION("""COMPUTED_VALUE"""),5.0)</f>
        <v>5</v>
      </c>
      <c r="H1336" s="2" t="str">
        <f>IFERROR(__xludf.DUMMYFUNCTION("""COMPUTED_VALUE"""),"P. kara")</f>
        <v>P. kara</v>
      </c>
      <c r="I1336" s="2" t="str">
        <f>IFERROR(__xludf.DUMMYFUNCTION("""COMPUTED_VALUE"""),"Masonry")</f>
        <v>Masonry</v>
      </c>
      <c r="J1336" s="2" t="str">
        <f>IFERROR(__xludf.DUMMYFUNCTION("""COMPUTED_VALUE"""),"All amenities")</f>
        <v>All amenities</v>
      </c>
      <c r="K1336" s="2">
        <f>IFERROR(__xludf.DUMMYFUNCTION("""COMPUTED_VALUE"""),800.0)</f>
        <v>800</v>
      </c>
      <c r="L1336" s="2">
        <f>IFERROR(__xludf.DUMMYFUNCTION("""COMPUTED_VALUE"""),56.96105855)</f>
        <v>56.96105855</v>
      </c>
      <c r="M1336" s="2">
        <f>IFERROR(__xludf.DUMMYFUNCTION("""COMPUTED_VALUE"""),24.1369960899977)</f>
        <v>24.13699609</v>
      </c>
    </row>
    <row r="1337">
      <c r="A1337" s="2" t="str">
        <f>IFERROR(__xludf.DUMMYFUNCTION("""COMPUTED_VALUE"""),"For sale")</f>
        <v>For sale</v>
      </c>
      <c r="B1337" s="2" t="str">
        <f>IFERROR(__xludf.DUMMYFUNCTION("""COMPUTED_VALUE"""),"Zasulauks")</f>
        <v>Zasulauks</v>
      </c>
      <c r="C1337" s="2" t="str">
        <f>IFERROR(__xludf.DUMMYFUNCTION("""COMPUTED_VALUE"""),"M. Kuldīgas 4")</f>
        <v>M. Kuldīgas 4</v>
      </c>
      <c r="D1337" s="2">
        <f>IFERROR(__xludf.DUMMYFUNCTION("""COMPUTED_VALUE"""),1.0)</f>
        <v>1</v>
      </c>
      <c r="E1337" s="2">
        <f>IFERROR(__xludf.DUMMYFUNCTION("""COMPUTED_VALUE"""),22.0)</f>
        <v>22</v>
      </c>
      <c r="F1337" s="2">
        <f>IFERROR(__xludf.DUMMYFUNCTION("""COMPUTED_VALUE"""),2.0)</f>
        <v>2</v>
      </c>
      <c r="G1337" s="2">
        <f>IFERROR(__xludf.DUMMYFUNCTION("""COMPUTED_VALUE"""),2.0)</f>
        <v>2</v>
      </c>
      <c r="H1337" s="2" t="str">
        <f>IFERROR(__xludf.DUMMYFUNCTION("""COMPUTED_VALUE"""),"P. kara")</f>
        <v>P. kara</v>
      </c>
      <c r="I1337" s="2" t="str">
        <f>IFERROR(__xludf.DUMMYFUNCTION("""COMPUTED_VALUE"""),"Wood")</f>
        <v>Wood</v>
      </c>
      <c r="J1337" s="2" t="str">
        <f>IFERROR(__xludf.DUMMYFUNCTION("""COMPUTED_VALUE"""),"Without amenities")</f>
        <v>Without amenities</v>
      </c>
      <c r="K1337" s="2">
        <f>IFERROR(__xludf.DUMMYFUNCTION("""COMPUTED_VALUE"""),6900.0)</f>
        <v>6900</v>
      </c>
      <c r="L1337" s="2">
        <f>IFERROR(__xludf.DUMMYFUNCTION("""COMPUTED_VALUE"""),56.94158095)</f>
        <v>56.94158095</v>
      </c>
      <c r="M1337" s="2">
        <f>IFERROR(__xludf.DUMMYFUNCTION("""COMPUTED_VALUE"""),24.0539487289344)</f>
        <v>24.05394873</v>
      </c>
    </row>
    <row r="1338">
      <c r="A1338" s="2" t="str">
        <f>IFERROR(__xludf.DUMMYFUNCTION("""COMPUTED_VALUE"""),"For sale")</f>
        <v>For sale</v>
      </c>
      <c r="B1338" s="2" t="str">
        <f>IFERROR(__xludf.DUMMYFUNCTION("""COMPUTED_VALUE"""),"Iļģuciems")</f>
        <v>Iļģuciems</v>
      </c>
      <c r="C1338" s="2" t="str">
        <f>IFERROR(__xludf.DUMMYFUNCTION("""COMPUTED_VALUE"""),"Dzirciema 71")</f>
        <v>Dzirciema 71</v>
      </c>
      <c r="D1338" s="2">
        <f>IFERROR(__xludf.DUMMYFUNCTION("""COMPUTED_VALUE"""),2.0)</f>
        <v>2</v>
      </c>
      <c r="E1338" s="2">
        <f>IFERROR(__xludf.DUMMYFUNCTION("""COMPUTED_VALUE"""),54.0)</f>
        <v>54</v>
      </c>
      <c r="F1338" s="2">
        <f>IFERROR(__xludf.DUMMYFUNCTION("""COMPUTED_VALUE"""),6.0)</f>
        <v>6</v>
      </c>
      <c r="G1338" s="2">
        <f>IFERROR(__xludf.DUMMYFUNCTION("""COMPUTED_VALUE"""),9.0)</f>
        <v>9</v>
      </c>
      <c r="H1338" s="2">
        <f>IFERROR(__xludf.DUMMYFUNCTION("""COMPUTED_VALUE"""),602.0)</f>
        <v>602</v>
      </c>
      <c r="I1338" s="2" t="str">
        <f>IFERROR(__xludf.DUMMYFUNCTION("""COMPUTED_VALUE"""),"Panel")</f>
        <v>Panel</v>
      </c>
      <c r="J1338" s="2" t="str">
        <f>IFERROR(__xludf.DUMMYFUNCTION("""COMPUTED_VALUE"""),"All amenities")</f>
        <v>All amenities</v>
      </c>
      <c r="K1338" s="2">
        <f>IFERROR(__xludf.DUMMYFUNCTION("""COMPUTED_VALUE"""),51000.0)</f>
        <v>51000</v>
      </c>
      <c r="L1338" s="2">
        <f>IFERROR(__xludf.DUMMYFUNCTION("""COMPUTED_VALUE"""),56.96512045)</f>
        <v>56.96512045</v>
      </c>
      <c r="M1338" s="2">
        <f>IFERROR(__xludf.DUMMYFUNCTION("""COMPUTED_VALUE"""),24.0549828893368)</f>
        <v>24.05498289</v>
      </c>
    </row>
    <row r="1339">
      <c r="A1339" s="2" t="str">
        <f>IFERROR(__xludf.DUMMYFUNCTION("""COMPUTED_VALUE"""),"For sale")</f>
        <v>For sale</v>
      </c>
      <c r="B1339" s="2" t="str">
        <f>IFERROR(__xludf.DUMMYFUNCTION("""COMPUTED_VALUE"""),"Ķengarags")</f>
        <v>Ķengarags</v>
      </c>
      <c r="C1339" s="2" t="str">
        <f>IFERROR(__xludf.DUMMYFUNCTION("""COMPUTED_VALUE"""),"Maskavas 258")</f>
        <v>Maskavas 258</v>
      </c>
      <c r="D1339" s="2">
        <f>IFERROR(__xludf.DUMMYFUNCTION("""COMPUTED_VALUE"""),2.0)</f>
        <v>2</v>
      </c>
      <c r="E1339" s="2">
        <f>IFERROR(__xludf.DUMMYFUNCTION("""COMPUTED_VALUE"""),48.0)</f>
        <v>48</v>
      </c>
      <c r="F1339" s="2">
        <f>IFERROR(__xludf.DUMMYFUNCTION("""COMPUTED_VALUE"""),2.0)</f>
        <v>2</v>
      </c>
      <c r="G1339" s="2">
        <f>IFERROR(__xludf.DUMMYFUNCTION("""COMPUTED_VALUE"""),5.0)</f>
        <v>5</v>
      </c>
      <c r="H1339" s="2" t="str">
        <f>IFERROR(__xludf.DUMMYFUNCTION("""COMPUTED_VALUE"""),"LT proj.")</f>
        <v>LT proj.</v>
      </c>
      <c r="I1339" s="2" t="str">
        <f>IFERROR(__xludf.DUMMYFUNCTION("""COMPUTED_VALUE"""),"Panel")</f>
        <v>Panel</v>
      </c>
      <c r="J1339" s="2" t="str">
        <f>IFERROR(__xludf.DUMMYFUNCTION("""COMPUTED_VALUE"""),"All amenities")</f>
        <v>All amenities</v>
      </c>
      <c r="K1339" s="2">
        <f>IFERROR(__xludf.DUMMYFUNCTION("""COMPUTED_VALUE"""),36500.0)</f>
        <v>36500</v>
      </c>
      <c r="L1339" s="2">
        <f>IFERROR(__xludf.DUMMYFUNCTION("""COMPUTED_VALUE"""),56.8597884)</f>
        <v>56.8597884</v>
      </c>
      <c r="M1339" s="2">
        <f>IFERROR(__xludf.DUMMYFUNCTION("""COMPUTED_VALUE"""),24.3083417)</f>
        <v>24.3083417</v>
      </c>
    </row>
    <row r="1340">
      <c r="A1340" s="2" t="str">
        <f>IFERROR(__xludf.DUMMYFUNCTION("""COMPUTED_VALUE"""),"For sale")</f>
        <v>For sale</v>
      </c>
      <c r="B1340" s="2" t="str">
        <f>IFERROR(__xludf.DUMMYFUNCTION("""COMPUTED_VALUE"""),"centrs")</f>
        <v>centrs</v>
      </c>
      <c r="C1340" s="2" t="str">
        <f>IFERROR(__xludf.DUMMYFUNCTION("""COMPUTED_VALUE"""),"Birznieka-Upīša 10")</f>
        <v>Birznieka-Upīša 10</v>
      </c>
      <c r="D1340" s="2">
        <f>IFERROR(__xludf.DUMMYFUNCTION("""COMPUTED_VALUE"""),1.0)</f>
        <v>1</v>
      </c>
      <c r="E1340" s="2">
        <f>IFERROR(__xludf.DUMMYFUNCTION("""COMPUTED_VALUE"""),23.0)</f>
        <v>23</v>
      </c>
      <c r="F1340" s="2">
        <f>IFERROR(__xludf.DUMMYFUNCTION("""COMPUTED_VALUE"""),2.0)</f>
        <v>2</v>
      </c>
      <c r="G1340" s="2">
        <f>IFERROR(__xludf.DUMMYFUNCTION("""COMPUTED_VALUE"""),6.0)</f>
        <v>6</v>
      </c>
      <c r="H1340" s="2" t="str">
        <f>IFERROR(__xludf.DUMMYFUNCTION("""COMPUTED_VALUE"""),"Renov.")</f>
        <v>Renov.</v>
      </c>
      <c r="I1340" s="2" t="str">
        <f>IFERROR(__xludf.DUMMYFUNCTION("""COMPUTED_VALUE"""),"Masonry")</f>
        <v>Masonry</v>
      </c>
      <c r="J1340" s="2" t="str">
        <f>IFERROR(__xludf.DUMMYFUNCTION("""COMPUTED_VALUE"""),"All amenities")</f>
        <v>All amenities</v>
      </c>
      <c r="K1340" s="2">
        <f>IFERROR(__xludf.DUMMYFUNCTION("""COMPUTED_VALUE"""),58905.0)</f>
        <v>58905</v>
      </c>
      <c r="L1340" s="2">
        <f>IFERROR(__xludf.DUMMYFUNCTION("""COMPUTED_VALUE"""),56.9488745)</f>
        <v>56.9488745</v>
      </c>
      <c r="M1340" s="2">
        <f>IFERROR(__xludf.DUMMYFUNCTION("""COMPUTED_VALUE"""),24.1266027446091)</f>
        <v>24.12660274</v>
      </c>
    </row>
    <row r="1341">
      <c r="A1341" s="2" t="str">
        <f>IFERROR(__xludf.DUMMYFUNCTION("""COMPUTED_VALUE"""),"For rent")</f>
        <v>For rent</v>
      </c>
      <c r="B1341" s="2" t="str">
        <f>IFERROR(__xludf.DUMMYFUNCTION("""COMPUTED_VALUE"""),"Imanta")</f>
        <v>Imanta</v>
      </c>
      <c r="C1341" s="2" t="str">
        <f>IFERROR(__xludf.DUMMYFUNCTION("""COMPUTED_VALUE"""),"Rigondas g. 10")</f>
        <v>Rigondas g. 10</v>
      </c>
      <c r="D1341" s="2">
        <f>IFERROR(__xludf.DUMMYFUNCTION("""COMPUTED_VALUE"""),3.0)</f>
        <v>3</v>
      </c>
      <c r="E1341" s="2">
        <f>IFERROR(__xludf.DUMMYFUNCTION("""COMPUTED_VALUE"""),63.0)</f>
        <v>63</v>
      </c>
      <c r="F1341" s="2">
        <f>IFERROR(__xludf.DUMMYFUNCTION("""COMPUTED_VALUE"""),9.0)</f>
        <v>9</v>
      </c>
      <c r="G1341" s="2">
        <f>IFERROR(__xludf.DUMMYFUNCTION("""COMPUTED_VALUE"""),9.0)</f>
        <v>9</v>
      </c>
      <c r="H1341" s="2">
        <f>IFERROR(__xludf.DUMMYFUNCTION("""COMPUTED_VALUE"""),602.0)</f>
        <v>602</v>
      </c>
      <c r="I1341" s="2" t="str">
        <f>IFERROR(__xludf.DUMMYFUNCTION("""COMPUTED_VALUE"""),"Panel")</f>
        <v>Panel</v>
      </c>
      <c r="J1341" s="2" t="str">
        <f>IFERROR(__xludf.DUMMYFUNCTION("""COMPUTED_VALUE"""),"All amenities")</f>
        <v>All amenities</v>
      </c>
      <c r="K1341" s="2">
        <f>IFERROR(__xludf.DUMMYFUNCTION("""COMPUTED_VALUE"""),430.0)</f>
        <v>430</v>
      </c>
      <c r="L1341" s="2">
        <f>IFERROR(__xludf.DUMMYFUNCTION("""COMPUTED_VALUE"""),56.9648157)</f>
        <v>56.9648157</v>
      </c>
      <c r="M1341" s="2">
        <f>IFERROR(__xludf.DUMMYFUNCTION("""COMPUTED_VALUE"""),24.0190534)</f>
        <v>24.0190534</v>
      </c>
    </row>
    <row r="1342">
      <c r="A1342" s="2" t="str">
        <f>IFERROR(__xludf.DUMMYFUNCTION("""COMPUTED_VALUE"""),"For sale")</f>
        <v>For sale</v>
      </c>
      <c r="B1342" s="2" t="str">
        <f>IFERROR(__xludf.DUMMYFUNCTION("""COMPUTED_VALUE"""),"centrs")</f>
        <v>centrs</v>
      </c>
      <c r="C1342" s="2" t="str">
        <f>IFERROR(__xludf.DUMMYFUNCTION("""COMPUTED_VALUE"""),"Brīvības iela 129")</f>
        <v>Brīvības iela 129</v>
      </c>
      <c r="D1342" s="2">
        <f>IFERROR(__xludf.DUMMYFUNCTION("""COMPUTED_VALUE"""),2.0)</f>
        <v>2</v>
      </c>
      <c r="E1342" s="2">
        <f>IFERROR(__xludf.DUMMYFUNCTION("""COMPUTED_VALUE"""),54.0)</f>
        <v>54</v>
      </c>
      <c r="F1342" s="2">
        <f>IFERROR(__xludf.DUMMYFUNCTION("""COMPUTED_VALUE"""),4.0)</f>
        <v>4</v>
      </c>
      <c r="G1342" s="2">
        <f>IFERROR(__xludf.DUMMYFUNCTION("""COMPUTED_VALUE"""),5.0)</f>
        <v>5</v>
      </c>
      <c r="H1342" s="2" t="str">
        <f>IFERROR(__xludf.DUMMYFUNCTION("""COMPUTED_VALUE"""),"P. kara")</f>
        <v>P. kara</v>
      </c>
      <c r="I1342" s="2" t="str">
        <f>IFERROR(__xludf.DUMMYFUNCTION("""COMPUTED_VALUE"""),"Masonry")</f>
        <v>Masonry</v>
      </c>
      <c r="J1342" s="2" t="str">
        <f>IFERROR(__xludf.DUMMYFUNCTION("""COMPUTED_VALUE"""),"All amenities")</f>
        <v>All amenities</v>
      </c>
      <c r="K1342" s="2">
        <f>IFERROR(__xludf.DUMMYFUNCTION("""COMPUTED_VALUE"""),75000.0)</f>
        <v>75000</v>
      </c>
      <c r="L1342" s="2">
        <f>IFERROR(__xludf.DUMMYFUNCTION("""COMPUTED_VALUE"""),56.9640549)</f>
        <v>56.9640549</v>
      </c>
      <c r="M1342" s="2">
        <f>IFERROR(__xludf.DUMMYFUNCTION("""COMPUTED_VALUE"""),24.1387505525507)</f>
        <v>24.13875055</v>
      </c>
    </row>
    <row r="1343">
      <c r="A1343" s="2" t="str">
        <f>IFERROR(__xludf.DUMMYFUNCTION("""COMPUTED_VALUE"""),"For sale")</f>
        <v>For sale</v>
      </c>
      <c r="B1343" s="2" t="str">
        <f>IFERROR(__xludf.DUMMYFUNCTION("""COMPUTED_VALUE"""),"Vecmīlgrāvis")</f>
        <v>Vecmīlgrāvis</v>
      </c>
      <c r="C1343" s="2" t="str">
        <f>IFERROR(__xludf.DUMMYFUNCTION("""COMPUTED_VALUE"""),"Dombrovska 45")</f>
        <v>Dombrovska 45</v>
      </c>
      <c r="D1343" s="2">
        <f>IFERROR(__xludf.DUMMYFUNCTION("""COMPUTED_VALUE"""),3.0)</f>
        <v>3</v>
      </c>
      <c r="E1343" s="2">
        <f>IFERROR(__xludf.DUMMYFUNCTION("""COMPUTED_VALUE"""),65.0)</f>
        <v>65</v>
      </c>
      <c r="F1343" s="2">
        <f>IFERROR(__xludf.DUMMYFUNCTION("""COMPUTED_VALUE"""),5.0)</f>
        <v>5</v>
      </c>
      <c r="G1343" s="2">
        <f>IFERROR(__xludf.DUMMYFUNCTION("""COMPUTED_VALUE"""),9.0)</f>
        <v>9</v>
      </c>
      <c r="H1343" s="2">
        <f>IFERROR(__xludf.DUMMYFUNCTION("""COMPUTED_VALUE"""),602.0)</f>
        <v>602</v>
      </c>
      <c r="I1343" s="2" t="str">
        <f>IFERROR(__xludf.DUMMYFUNCTION("""COMPUTED_VALUE"""),"Panel")</f>
        <v>Panel</v>
      </c>
      <c r="J1343" s="2" t="str">
        <f>IFERROR(__xludf.DUMMYFUNCTION("""COMPUTED_VALUE"""),"All amenities")</f>
        <v>All amenities</v>
      </c>
      <c r="K1343" s="2">
        <f>IFERROR(__xludf.DUMMYFUNCTION("""COMPUTED_VALUE"""),72000.0)</f>
        <v>72000</v>
      </c>
      <c r="L1343" s="2">
        <f>IFERROR(__xludf.DUMMYFUNCTION("""COMPUTED_VALUE"""),57.03471075)</f>
        <v>57.03471075</v>
      </c>
      <c r="M1343" s="2">
        <f>IFERROR(__xludf.DUMMYFUNCTION("""COMPUTED_VALUE"""),24.1003808679944)</f>
        <v>24.10038087</v>
      </c>
    </row>
    <row r="1344">
      <c r="A1344" s="2" t="str">
        <f>IFERROR(__xludf.DUMMYFUNCTION("""COMPUTED_VALUE"""),"For rent")</f>
        <v>For rent</v>
      </c>
      <c r="B1344" s="2" t="str">
        <f>IFERROR(__xludf.DUMMYFUNCTION("""COMPUTED_VALUE"""),"Pļavnieki")</f>
        <v>Pļavnieki</v>
      </c>
      <c r="C1344" s="2" t="str">
        <f>IFERROR(__xludf.DUMMYFUNCTION("""COMPUTED_VALUE"""),"Rudens 12")</f>
        <v>Rudens 12</v>
      </c>
      <c r="D1344" s="2">
        <f>IFERROR(__xludf.DUMMYFUNCTION("""COMPUTED_VALUE"""),1.0)</f>
        <v>1</v>
      </c>
      <c r="E1344" s="2">
        <f>IFERROR(__xludf.DUMMYFUNCTION("""COMPUTED_VALUE"""),32.0)</f>
        <v>32</v>
      </c>
      <c r="F1344" s="2">
        <f>IFERROR(__xludf.DUMMYFUNCTION("""COMPUTED_VALUE"""),8.0)</f>
        <v>8</v>
      </c>
      <c r="G1344" s="2">
        <f>IFERROR(__xludf.DUMMYFUNCTION("""COMPUTED_VALUE"""),9.0)</f>
        <v>9</v>
      </c>
      <c r="H1344" s="2">
        <f>IFERROR(__xludf.DUMMYFUNCTION("""COMPUTED_VALUE"""),602.0)</f>
        <v>602</v>
      </c>
      <c r="I1344" s="2" t="str">
        <f>IFERROR(__xludf.DUMMYFUNCTION("""COMPUTED_VALUE"""),"Panel")</f>
        <v>Panel</v>
      </c>
      <c r="J1344" s="2" t="str">
        <f>IFERROR(__xludf.DUMMYFUNCTION("""COMPUTED_VALUE"""),"All amenities")</f>
        <v>All amenities</v>
      </c>
      <c r="K1344" s="2">
        <f>IFERROR(__xludf.DUMMYFUNCTION("""COMPUTED_VALUE"""),220.0)</f>
        <v>220</v>
      </c>
      <c r="L1344" s="2">
        <f>IFERROR(__xludf.DUMMYFUNCTION("""COMPUTED_VALUE"""),56.9368143)</f>
        <v>56.9368143</v>
      </c>
      <c r="M1344" s="2">
        <f>IFERROR(__xludf.DUMMYFUNCTION("""COMPUTED_VALUE"""),24.2002807431531)</f>
        <v>24.20028074</v>
      </c>
    </row>
    <row r="1345">
      <c r="A1345" s="2" t="str">
        <f>IFERROR(__xludf.DUMMYFUNCTION("""COMPUTED_VALUE"""),"For sale")</f>
        <v>For sale</v>
      </c>
      <c r="B1345" s="2" t="str">
        <f>IFERROR(__xludf.DUMMYFUNCTION("""COMPUTED_VALUE"""),"Jugla")</f>
        <v>Jugla</v>
      </c>
      <c r="C1345" s="2" t="str">
        <f>IFERROR(__xludf.DUMMYFUNCTION("""COMPUTED_VALUE"""),"Silciema 15 k-3")</f>
        <v>Silciema 15 k-3</v>
      </c>
      <c r="D1345" s="2">
        <f>IFERROR(__xludf.DUMMYFUNCTION("""COMPUTED_VALUE"""),2.0)</f>
        <v>2</v>
      </c>
      <c r="E1345" s="2">
        <f>IFERROR(__xludf.DUMMYFUNCTION("""COMPUTED_VALUE"""),44.0)</f>
        <v>44</v>
      </c>
      <c r="F1345" s="2">
        <f>IFERROR(__xludf.DUMMYFUNCTION("""COMPUTED_VALUE"""),4.0)</f>
        <v>4</v>
      </c>
      <c r="G1345" s="2">
        <f>IFERROR(__xludf.DUMMYFUNCTION("""COMPUTED_VALUE"""),5.0)</f>
        <v>5</v>
      </c>
      <c r="H1345" s="2" t="str">
        <f>IFERROR(__xludf.DUMMYFUNCTION("""COMPUTED_VALUE"""),"Hrušč.")</f>
        <v>Hrušč.</v>
      </c>
      <c r="I1345" s="2" t="str">
        <f>IFERROR(__xludf.DUMMYFUNCTION("""COMPUTED_VALUE"""),"Panel")</f>
        <v>Panel</v>
      </c>
      <c r="J1345" s="2" t="str">
        <f>IFERROR(__xludf.DUMMYFUNCTION("""COMPUTED_VALUE"""),"All amenities")</f>
        <v>All amenities</v>
      </c>
      <c r="K1345" s="2">
        <f>IFERROR(__xludf.DUMMYFUNCTION("""COMPUTED_VALUE"""),36400.0)</f>
        <v>36400</v>
      </c>
      <c r="L1345" s="2" t="str">
        <f>IFERROR(__xludf.DUMMYFUNCTION("""COMPUTED_VALUE"""),"NaN")</f>
        <v>NaN</v>
      </c>
      <c r="M1345" s="2" t="str">
        <f>IFERROR(__xludf.DUMMYFUNCTION("""COMPUTED_VALUE"""),"NaN")</f>
        <v>NaN</v>
      </c>
    </row>
    <row r="1346">
      <c r="A1346" s="2" t="str">
        <f>IFERROR(__xludf.DUMMYFUNCTION("""COMPUTED_VALUE"""),"For sale")</f>
        <v>For sale</v>
      </c>
      <c r="B1346" s="2" t="str">
        <f>IFERROR(__xludf.DUMMYFUNCTION("""COMPUTED_VALUE"""),"Purvciems")</f>
        <v>Purvciems</v>
      </c>
      <c r="C1346" s="2" t="str">
        <f>IFERROR(__xludf.DUMMYFUNCTION("""COMPUTED_VALUE"""),"Žagatu 20a")</f>
        <v>Žagatu 20a</v>
      </c>
      <c r="D1346" s="2">
        <f>IFERROR(__xludf.DUMMYFUNCTION("""COMPUTED_VALUE"""),3.0)</f>
        <v>3</v>
      </c>
      <c r="E1346" s="2">
        <f>IFERROR(__xludf.DUMMYFUNCTION("""COMPUTED_VALUE"""),62.0)</f>
        <v>62</v>
      </c>
      <c r="F1346" s="2">
        <f>IFERROR(__xludf.DUMMYFUNCTION("""COMPUTED_VALUE"""),1.0)</f>
        <v>1</v>
      </c>
      <c r="G1346" s="2">
        <f>IFERROR(__xludf.DUMMYFUNCTION("""COMPUTED_VALUE"""),9.0)</f>
        <v>9</v>
      </c>
      <c r="H1346" s="2">
        <f>IFERROR(__xludf.DUMMYFUNCTION("""COMPUTED_VALUE"""),602.0)</f>
        <v>602</v>
      </c>
      <c r="I1346" s="2" t="str">
        <f>IFERROR(__xludf.DUMMYFUNCTION("""COMPUTED_VALUE"""),"Brick-Panel")</f>
        <v>Brick-Panel</v>
      </c>
      <c r="J1346" s="2" t="str">
        <f>IFERROR(__xludf.DUMMYFUNCTION("""COMPUTED_VALUE"""),"All amenities")</f>
        <v>All amenities</v>
      </c>
      <c r="K1346" s="2">
        <f>IFERROR(__xludf.DUMMYFUNCTION("""COMPUTED_VALUE"""),55000.0)</f>
        <v>55000</v>
      </c>
      <c r="L1346" s="2">
        <f>IFERROR(__xludf.DUMMYFUNCTION("""COMPUTED_VALUE"""),56.96295835)</f>
        <v>56.96295835</v>
      </c>
      <c r="M1346" s="2">
        <f>IFERROR(__xludf.DUMMYFUNCTION("""COMPUTED_VALUE"""),24.1873444133421)</f>
        <v>24.18734441</v>
      </c>
    </row>
    <row r="1347">
      <c r="A1347" s="2" t="str">
        <f>IFERROR(__xludf.DUMMYFUNCTION("""COMPUTED_VALUE"""),"For sale")</f>
        <v>For sale</v>
      </c>
      <c r="B1347" s="2" t="str">
        <f>IFERROR(__xludf.DUMMYFUNCTION("""COMPUTED_VALUE"""),"Teika")</f>
        <v>Teika</v>
      </c>
      <c r="C1347" s="2" t="str">
        <f>IFERROR(__xludf.DUMMYFUNCTION("""COMPUTED_VALUE"""),"Ķeguma 52/2")</f>
        <v>Ķeguma 52/2</v>
      </c>
      <c r="D1347" s="2">
        <f>IFERROR(__xludf.DUMMYFUNCTION("""COMPUTED_VALUE"""),3.0)</f>
        <v>3</v>
      </c>
      <c r="E1347" s="2">
        <f>IFERROR(__xludf.DUMMYFUNCTION("""COMPUTED_VALUE"""),69.0)</f>
        <v>69</v>
      </c>
      <c r="F1347" s="2">
        <f>IFERROR(__xludf.DUMMYFUNCTION("""COMPUTED_VALUE"""),3.0)</f>
        <v>3</v>
      </c>
      <c r="G1347" s="2">
        <f>IFERROR(__xludf.DUMMYFUNCTION("""COMPUTED_VALUE"""),5.0)</f>
        <v>5</v>
      </c>
      <c r="H1347" s="2">
        <f>IFERROR(__xludf.DUMMYFUNCTION("""COMPUTED_VALUE"""),103.0)</f>
        <v>103</v>
      </c>
      <c r="I1347" s="2" t="str">
        <f>IFERROR(__xludf.DUMMYFUNCTION("""COMPUTED_VALUE"""),"Brick-Panel")</f>
        <v>Brick-Panel</v>
      </c>
      <c r="J1347" s="2" t="str">
        <f>IFERROR(__xludf.DUMMYFUNCTION("""COMPUTED_VALUE"""),"All amenities")</f>
        <v>All amenities</v>
      </c>
      <c r="K1347" s="2">
        <f>IFERROR(__xludf.DUMMYFUNCTION("""COMPUTED_VALUE"""),75000.0)</f>
        <v>75000</v>
      </c>
      <c r="L1347" s="2">
        <f>IFERROR(__xludf.DUMMYFUNCTION("""COMPUTED_VALUE"""),56.9627267)</f>
        <v>56.9627267</v>
      </c>
      <c r="M1347" s="2">
        <f>IFERROR(__xludf.DUMMYFUNCTION("""COMPUTED_VALUE"""),24.198875)</f>
        <v>24.198875</v>
      </c>
    </row>
    <row r="1348">
      <c r="A1348" s="2" t="str">
        <f>IFERROR(__xludf.DUMMYFUNCTION("""COMPUTED_VALUE"""),"For sale")</f>
        <v>For sale</v>
      </c>
      <c r="B1348" s="2" t="str">
        <f>IFERROR(__xludf.DUMMYFUNCTION("""COMPUTED_VALUE"""),"centrs")</f>
        <v>centrs</v>
      </c>
      <c r="C1348" s="2" t="str">
        <f>IFERROR(__xludf.DUMMYFUNCTION("""COMPUTED_VALUE"""),"Krasta 25")</f>
        <v>Krasta 25</v>
      </c>
      <c r="D1348" s="2">
        <f>IFERROR(__xludf.DUMMYFUNCTION("""COMPUTED_VALUE"""),2.0)</f>
        <v>2</v>
      </c>
      <c r="E1348" s="2">
        <f>IFERROR(__xludf.DUMMYFUNCTION("""COMPUTED_VALUE"""),53.0)</f>
        <v>53</v>
      </c>
      <c r="F1348" s="2">
        <f>IFERROR(__xludf.DUMMYFUNCTION("""COMPUTED_VALUE"""),4.0)</f>
        <v>4</v>
      </c>
      <c r="G1348" s="2">
        <f>IFERROR(__xludf.DUMMYFUNCTION("""COMPUTED_VALUE"""),4.0)</f>
        <v>4</v>
      </c>
      <c r="H1348" s="2" t="str">
        <f>IFERROR(__xludf.DUMMYFUNCTION("""COMPUTED_VALUE"""),"P. kara")</f>
        <v>P. kara</v>
      </c>
      <c r="I1348" s="2" t="str">
        <f>IFERROR(__xludf.DUMMYFUNCTION("""COMPUTED_VALUE"""),"Masonry")</f>
        <v>Masonry</v>
      </c>
      <c r="J1348" s="2" t="str">
        <f>IFERROR(__xludf.DUMMYFUNCTION("""COMPUTED_VALUE"""),"All amenities")</f>
        <v>All amenities</v>
      </c>
      <c r="K1348" s="2">
        <f>IFERROR(__xludf.DUMMYFUNCTION("""COMPUTED_VALUE"""),35000.0)</f>
        <v>35000</v>
      </c>
      <c r="L1348" s="2">
        <f>IFERROR(__xludf.DUMMYFUNCTION("""COMPUTED_VALUE"""),56.93950425)</f>
        <v>56.93950425</v>
      </c>
      <c r="M1348" s="2">
        <f>IFERROR(__xludf.DUMMYFUNCTION("""COMPUTED_VALUE"""),24.1222563433257)</f>
        <v>24.12225634</v>
      </c>
    </row>
    <row r="1349">
      <c r="A1349" s="2" t="str">
        <f>IFERROR(__xludf.DUMMYFUNCTION("""COMPUTED_VALUE"""),"For sale")</f>
        <v>For sale</v>
      </c>
      <c r="B1349" s="2" t="str">
        <f>IFERROR(__xludf.DUMMYFUNCTION("""COMPUTED_VALUE"""),"centrs")</f>
        <v>centrs</v>
      </c>
      <c r="C1349" s="2" t="str">
        <f>IFERROR(__xludf.DUMMYFUNCTION("""COMPUTED_VALUE"""),"Maskavas 131")</f>
        <v>Maskavas 131</v>
      </c>
      <c r="D1349" s="2">
        <f>IFERROR(__xludf.DUMMYFUNCTION("""COMPUTED_VALUE"""),2.0)</f>
        <v>2</v>
      </c>
      <c r="E1349" s="2">
        <f>IFERROR(__xludf.DUMMYFUNCTION("""COMPUTED_VALUE"""),70.0)</f>
        <v>70</v>
      </c>
      <c r="F1349" s="2">
        <f>IFERROR(__xludf.DUMMYFUNCTION("""COMPUTED_VALUE"""),2.0)</f>
        <v>2</v>
      </c>
      <c r="G1349" s="2">
        <f>IFERROR(__xludf.DUMMYFUNCTION("""COMPUTED_VALUE"""),4.0)</f>
        <v>4</v>
      </c>
      <c r="H1349" s="2" t="str">
        <f>IFERROR(__xludf.DUMMYFUNCTION("""COMPUTED_VALUE"""),"Renov.")</f>
        <v>Renov.</v>
      </c>
      <c r="I1349" s="2" t="str">
        <f>IFERROR(__xludf.DUMMYFUNCTION("""COMPUTED_VALUE"""),"Masonry")</f>
        <v>Masonry</v>
      </c>
      <c r="J1349" s="2" t="str">
        <f>IFERROR(__xludf.DUMMYFUNCTION("""COMPUTED_VALUE"""),"All amenities")</f>
        <v>All amenities</v>
      </c>
      <c r="K1349" s="2">
        <f>IFERROR(__xludf.DUMMYFUNCTION("""COMPUTED_VALUE"""),79999.0)</f>
        <v>79999</v>
      </c>
      <c r="L1349" s="2">
        <f>IFERROR(__xludf.DUMMYFUNCTION("""COMPUTED_VALUE"""),56.8597884)</f>
        <v>56.8597884</v>
      </c>
      <c r="M1349" s="2">
        <f>IFERROR(__xludf.DUMMYFUNCTION("""COMPUTED_VALUE"""),24.3083417)</f>
        <v>24.3083417</v>
      </c>
    </row>
    <row r="1350">
      <c r="A1350" s="2" t="str">
        <f>IFERROR(__xludf.DUMMYFUNCTION("""COMPUTED_VALUE"""),"For sale")</f>
        <v>For sale</v>
      </c>
      <c r="B1350" s="2" t="str">
        <f>IFERROR(__xludf.DUMMYFUNCTION("""COMPUTED_VALUE"""),"centrs")</f>
        <v>centrs</v>
      </c>
      <c r="C1350" s="2" t="str">
        <f>IFERROR(__xludf.DUMMYFUNCTION("""COMPUTED_VALUE"""),"Ģertrūdes 99")</f>
        <v>Ģertrūdes 99</v>
      </c>
      <c r="D1350" s="2">
        <f>IFERROR(__xludf.DUMMYFUNCTION("""COMPUTED_VALUE"""),2.0)</f>
        <v>2</v>
      </c>
      <c r="E1350" s="2">
        <f>IFERROR(__xludf.DUMMYFUNCTION("""COMPUTED_VALUE"""),42.0)</f>
        <v>42</v>
      </c>
      <c r="F1350" s="2">
        <f>IFERROR(__xludf.DUMMYFUNCTION("""COMPUTED_VALUE"""),3.0)</f>
        <v>3</v>
      </c>
      <c r="G1350" s="2">
        <f>IFERROR(__xludf.DUMMYFUNCTION("""COMPUTED_VALUE"""),6.0)</f>
        <v>6</v>
      </c>
      <c r="H1350" s="2" t="str">
        <f>IFERROR(__xludf.DUMMYFUNCTION("""COMPUTED_VALUE"""),"Renov.")</f>
        <v>Renov.</v>
      </c>
      <c r="I1350" s="2" t="str">
        <f>IFERROR(__xludf.DUMMYFUNCTION("""COMPUTED_VALUE"""),"Masonry")</f>
        <v>Masonry</v>
      </c>
      <c r="J1350" s="2" t="str">
        <f>IFERROR(__xludf.DUMMYFUNCTION("""COMPUTED_VALUE"""),"All amenities")</f>
        <v>All amenities</v>
      </c>
      <c r="K1350" s="2">
        <f>IFERROR(__xludf.DUMMYFUNCTION("""COMPUTED_VALUE"""),75708.0)</f>
        <v>75708</v>
      </c>
      <c r="L1350" s="2">
        <f>IFERROR(__xludf.DUMMYFUNCTION("""COMPUTED_VALUE"""),56.94999685)</f>
        <v>56.94999685</v>
      </c>
      <c r="M1350" s="2">
        <f>IFERROR(__xludf.DUMMYFUNCTION("""COMPUTED_VALUE"""),24.1364139006283)</f>
        <v>24.1364139</v>
      </c>
    </row>
    <row r="1351">
      <c r="A1351" s="2" t="str">
        <f>IFERROR(__xludf.DUMMYFUNCTION("""COMPUTED_VALUE"""),"For sale")</f>
        <v>For sale</v>
      </c>
      <c r="B1351" s="2" t="str">
        <f>IFERROR(__xludf.DUMMYFUNCTION("""COMPUTED_VALUE"""),"centrs")</f>
        <v>centrs</v>
      </c>
      <c r="C1351" s="2" t="str">
        <f>IFERROR(__xludf.DUMMYFUNCTION("""COMPUTED_VALUE"""),"Matīsa 69")</f>
        <v>Matīsa 69</v>
      </c>
      <c r="D1351" s="2">
        <f>IFERROR(__xludf.DUMMYFUNCTION("""COMPUTED_VALUE"""),2.0)</f>
        <v>2</v>
      </c>
      <c r="E1351" s="2">
        <f>IFERROR(__xludf.DUMMYFUNCTION("""COMPUTED_VALUE"""),64.0)</f>
        <v>64</v>
      </c>
      <c r="F1351" s="2">
        <f>IFERROR(__xludf.DUMMYFUNCTION("""COMPUTED_VALUE"""),2.0)</f>
        <v>2</v>
      </c>
      <c r="G1351" s="2">
        <f>IFERROR(__xludf.DUMMYFUNCTION("""COMPUTED_VALUE"""),7.0)</f>
        <v>7</v>
      </c>
      <c r="H1351" s="2" t="str">
        <f>IFERROR(__xludf.DUMMYFUNCTION("""COMPUTED_VALUE"""),"Jaun.")</f>
        <v>Jaun.</v>
      </c>
      <c r="I1351" s="2" t="str">
        <f>IFERROR(__xludf.DUMMYFUNCTION("""COMPUTED_VALUE"""),"Panel-Brick")</f>
        <v>Panel-Brick</v>
      </c>
      <c r="J1351" s="2" t="str">
        <f>IFERROR(__xludf.DUMMYFUNCTION("""COMPUTED_VALUE"""),"All amenities")</f>
        <v>All amenities</v>
      </c>
      <c r="K1351" s="2">
        <f>IFERROR(__xludf.DUMMYFUNCTION("""COMPUTED_VALUE"""),114900.0)</f>
        <v>114900</v>
      </c>
      <c r="L1351" s="2">
        <f>IFERROR(__xludf.DUMMYFUNCTION("""COMPUTED_VALUE"""),56.9538485)</f>
        <v>56.9538485</v>
      </c>
      <c r="M1351" s="2">
        <f>IFERROR(__xludf.DUMMYFUNCTION("""COMPUTED_VALUE"""),24.1405336)</f>
        <v>24.1405336</v>
      </c>
    </row>
    <row r="1352">
      <c r="A1352" s="2" t="str">
        <f>IFERROR(__xludf.DUMMYFUNCTION("""COMPUTED_VALUE"""),"For sale")</f>
        <v>For sale</v>
      </c>
      <c r="B1352" s="2" t="str">
        <f>IFERROR(__xludf.DUMMYFUNCTION("""COMPUTED_VALUE"""),"Purvciems")</f>
        <v>Purvciems</v>
      </c>
      <c r="C1352" s="2" t="str">
        <f>IFERROR(__xludf.DUMMYFUNCTION("""COMPUTED_VALUE"""),"Ilūkstes 103/2")</f>
        <v>Ilūkstes 103/2</v>
      </c>
      <c r="D1352" s="2">
        <f>IFERROR(__xludf.DUMMYFUNCTION("""COMPUTED_VALUE"""),4.0)</f>
        <v>4</v>
      </c>
      <c r="E1352" s="2">
        <f>IFERROR(__xludf.DUMMYFUNCTION("""COMPUTED_VALUE"""),75.0)</f>
        <v>75</v>
      </c>
      <c r="F1352" s="2">
        <f>IFERROR(__xludf.DUMMYFUNCTION("""COMPUTED_VALUE"""),5.0)</f>
        <v>5</v>
      </c>
      <c r="G1352" s="2">
        <f>IFERROR(__xludf.DUMMYFUNCTION("""COMPUTED_VALUE"""),9.0)</f>
        <v>9</v>
      </c>
      <c r="H1352" s="2">
        <f>IFERROR(__xludf.DUMMYFUNCTION("""COMPUTED_VALUE"""),467.0)</f>
        <v>467</v>
      </c>
      <c r="I1352" s="2" t="str">
        <f>IFERROR(__xludf.DUMMYFUNCTION("""COMPUTED_VALUE"""),"Panel")</f>
        <v>Panel</v>
      </c>
      <c r="J1352" s="2" t="str">
        <f>IFERROR(__xludf.DUMMYFUNCTION("""COMPUTED_VALUE"""),"All amenities")</f>
        <v>All amenities</v>
      </c>
      <c r="K1352" s="2">
        <f>IFERROR(__xludf.DUMMYFUNCTION("""COMPUTED_VALUE"""),78000.0)</f>
        <v>78000</v>
      </c>
      <c r="L1352" s="2">
        <f>IFERROR(__xludf.DUMMYFUNCTION("""COMPUTED_VALUE"""),56.9405867)</f>
        <v>56.9405867</v>
      </c>
      <c r="M1352" s="2">
        <f>IFERROR(__xludf.DUMMYFUNCTION("""COMPUTED_VALUE"""),24.1951866)</f>
        <v>24.1951866</v>
      </c>
    </row>
    <row r="1353">
      <c r="A1353" s="2" t="str">
        <f>IFERROR(__xludf.DUMMYFUNCTION("""COMPUTED_VALUE"""),"For rent")</f>
        <v>For rent</v>
      </c>
      <c r="B1353" s="2" t="str">
        <f>IFERROR(__xludf.DUMMYFUNCTION("""COMPUTED_VALUE"""),"centrs")</f>
        <v>centrs</v>
      </c>
      <c r="C1353" s="2" t="str">
        <f>IFERROR(__xludf.DUMMYFUNCTION("""COMPUTED_VALUE"""),"Brīvības iela 52")</f>
        <v>Brīvības iela 52</v>
      </c>
      <c r="D1353" s="2">
        <f>IFERROR(__xludf.DUMMYFUNCTION("""COMPUTED_VALUE"""),5.0)</f>
        <v>5</v>
      </c>
      <c r="E1353" s="2">
        <f>IFERROR(__xludf.DUMMYFUNCTION("""COMPUTED_VALUE"""),133.0)</f>
        <v>133</v>
      </c>
      <c r="F1353" s="2">
        <f>IFERROR(__xludf.DUMMYFUNCTION("""COMPUTED_VALUE"""),4.0)</f>
        <v>4</v>
      </c>
      <c r="G1353" s="2">
        <f>IFERROR(__xludf.DUMMYFUNCTION("""COMPUTED_VALUE"""),5.0)</f>
        <v>5</v>
      </c>
      <c r="H1353" s="2" t="str">
        <f>IFERROR(__xludf.DUMMYFUNCTION("""COMPUTED_VALUE"""),"P. kara")</f>
        <v>P. kara</v>
      </c>
      <c r="I1353" s="2" t="str">
        <f>IFERROR(__xludf.DUMMYFUNCTION("""COMPUTED_VALUE"""),"Brick")</f>
        <v>Brick</v>
      </c>
      <c r="J1353" s="2" t="str">
        <f>IFERROR(__xludf.DUMMYFUNCTION("""COMPUTED_VALUE"""),"All amenities")</f>
        <v>All amenities</v>
      </c>
      <c r="K1353" s="2">
        <f>IFERROR(__xludf.DUMMYFUNCTION("""COMPUTED_VALUE"""),59.0)</f>
        <v>59</v>
      </c>
      <c r="L1353" s="2">
        <f>IFERROR(__xludf.DUMMYFUNCTION("""COMPUTED_VALUE"""),56.9556466)</f>
        <v>56.9556466</v>
      </c>
      <c r="M1353" s="2">
        <f>IFERROR(__xludf.DUMMYFUNCTION("""COMPUTED_VALUE"""),24.1205066)</f>
        <v>24.1205066</v>
      </c>
    </row>
    <row r="1354">
      <c r="A1354" s="2" t="str">
        <f>IFERROR(__xludf.DUMMYFUNCTION("""COMPUTED_VALUE"""),"For sale")</f>
        <v>For sale</v>
      </c>
      <c r="B1354" s="2" t="str">
        <f>IFERROR(__xludf.DUMMYFUNCTION("""COMPUTED_VALUE"""),"centrs")</f>
        <v>centrs</v>
      </c>
      <c r="C1354" s="2" t="str">
        <f>IFERROR(__xludf.DUMMYFUNCTION("""COMPUTED_VALUE"""),"Katrīnas d. 24")</f>
        <v>Katrīnas d. 24</v>
      </c>
      <c r="D1354" s="2">
        <f>IFERROR(__xludf.DUMMYFUNCTION("""COMPUTED_VALUE"""),3.0)</f>
        <v>3</v>
      </c>
      <c r="E1354" s="2">
        <f>IFERROR(__xludf.DUMMYFUNCTION("""COMPUTED_VALUE"""),84.0)</f>
        <v>84</v>
      </c>
      <c r="F1354" s="2">
        <f>IFERROR(__xludf.DUMMYFUNCTION("""COMPUTED_VALUE"""),3.0)</f>
        <v>3</v>
      </c>
      <c r="G1354" s="2">
        <f>IFERROR(__xludf.DUMMYFUNCTION("""COMPUTED_VALUE"""),3.0)</f>
        <v>3</v>
      </c>
      <c r="H1354" s="2" t="str">
        <f>IFERROR(__xludf.DUMMYFUNCTION("""COMPUTED_VALUE"""),"P. kara")</f>
        <v>P. kara</v>
      </c>
      <c r="I1354" s="2" t="str">
        <f>IFERROR(__xludf.DUMMYFUNCTION("""COMPUTED_VALUE"""),"Masonry")</f>
        <v>Masonry</v>
      </c>
      <c r="J1354" s="2" t="str">
        <f>IFERROR(__xludf.DUMMYFUNCTION("""COMPUTED_VALUE"""),"All amenities")</f>
        <v>All amenities</v>
      </c>
      <c r="K1354" s="2">
        <f>IFERROR(__xludf.DUMMYFUNCTION("""COMPUTED_VALUE"""),119800.0)</f>
        <v>119800</v>
      </c>
      <c r="L1354" s="2">
        <f>IFERROR(__xludf.DUMMYFUNCTION("""COMPUTED_VALUE"""),56.9716816)</f>
        <v>56.9716816</v>
      </c>
      <c r="M1354" s="2">
        <f>IFERROR(__xludf.DUMMYFUNCTION("""COMPUTED_VALUE"""),24.1021951)</f>
        <v>24.1021951</v>
      </c>
    </row>
    <row r="1355">
      <c r="A1355" s="2" t="str">
        <f>IFERROR(__xludf.DUMMYFUNCTION("""COMPUTED_VALUE"""),"For rent")</f>
        <v>For rent</v>
      </c>
      <c r="B1355" s="2" t="str">
        <f>IFERROR(__xludf.DUMMYFUNCTION("""COMPUTED_VALUE"""),"Zolitūde")</f>
        <v>Zolitūde</v>
      </c>
      <c r="C1355" s="2" t="str">
        <f>IFERROR(__xludf.DUMMYFUNCTION("""COMPUTED_VALUE"""),"Liedes 28")</f>
        <v>Liedes 28</v>
      </c>
      <c r="D1355" s="2">
        <f>IFERROR(__xludf.DUMMYFUNCTION("""COMPUTED_VALUE"""),2.0)</f>
        <v>2</v>
      </c>
      <c r="E1355" s="2">
        <f>IFERROR(__xludf.DUMMYFUNCTION("""COMPUTED_VALUE"""),57.0)</f>
        <v>57</v>
      </c>
      <c r="F1355" s="2">
        <f>IFERROR(__xludf.DUMMYFUNCTION("""COMPUTED_VALUE"""),3.0)</f>
        <v>3</v>
      </c>
      <c r="G1355" s="2">
        <f>IFERROR(__xludf.DUMMYFUNCTION("""COMPUTED_VALUE"""),4.0)</f>
        <v>4</v>
      </c>
      <c r="H1355" s="2" t="str">
        <f>IFERROR(__xludf.DUMMYFUNCTION("""COMPUTED_VALUE"""),"Jaun.")</f>
        <v>Jaun.</v>
      </c>
      <c r="I1355" s="2" t="str">
        <f>IFERROR(__xludf.DUMMYFUNCTION("""COMPUTED_VALUE"""),"Masonry")</f>
        <v>Masonry</v>
      </c>
      <c r="J1355" s="2" t="str">
        <f>IFERROR(__xludf.DUMMYFUNCTION("""COMPUTED_VALUE"""),"All amenities")</f>
        <v>All amenities</v>
      </c>
      <c r="K1355" s="2">
        <f>IFERROR(__xludf.DUMMYFUNCTION("""COMPUTED_VALUE"""),480.0)</f>
        <v>480</v>
      </c>
      <c r="L1355" s="2">
        <f>IFERROR(__xludf.DUMMYFUNCTION("""COMPUTED_VALUE"""),56.94283395)</f>
        <v>56.94283395</v>
      </c>
      <c r="M1355" s="2">
        <f>IFERROR(__xludf.DUMMYFUNCTION("""COMPUTED_VALUE"""),24.0204013746829)</f>
        <v>24.02040137</v>
      </c>
    </row>
    <row r="1356">
      <c r="A1356" s="2" t="str">
        <f>IFERROR(__xludf.DUMMYFUNCTION("""COMPUTED_VALUE"""),"For rent")</f>
        <v>For rent</v>
      </c>
      <c r="B1356" s="2" t="str">
        <f>IFERROR(__xludf.DUMMYFUNCTION("""COMPUTED_VALUE"""),"Sarkandaugava")</f>
        <v>Sarkandaugava</v>
      </c>
      <c r="C1356" s="2" t="str">
        <f>IFERROR(__xludf.DUMMYFUNCTION("""COMPUTED_VALUE"""),"Limbažu 9")</f>
        <v>Limbažu 9</v>
      </c>
      <c r="D1356" s="2">
        <f>IFERROR(__xludf.DUMMYFUNCTION("""COMPUTED_VALUE"""),2.0)</f>
        <v>2</v>
      </c>
      <c r="E1356" s="2">
        <f>IFERROR(__xludf.DUMMYFUNCTION("""COMPUTED_VALUE"""),40.0)</f>
        <v>40</v>
      </c>
      <c r="F1356" s="2">
        <f>IFERROR(__xludf.DUMMYFUNCTION("""COMPUTED_VALUE"""),4.0)</f>
        <v>4</v>
      </c>
      <c r="G1356" s="2">
        <f>IFERROR(__xludf.DUMMYFUNCTION("""COMPUTED_VALUE"""),5.0)</f>
        <v>5</v>
      </c>
      <c r="H1356" s="2" t="str">
        <f>IFERROR(__xludf.DUMMYFUNCTION("""COMPUTED_VALUE"""),"Hrušč.")</f>
        <v>Hrušč.</v>
      </c>
      <c r="I1356" s="2" t="str">
        <f>IFERROR(__xludf.DUMMYFUNCTION("""COMPUTED_VALUE"""),"Brick")</f>
        <v>Brick</v>
      </c>
      <c r="J1356" s="2" t="str">
        <f>IFERROR(__xludf.DUMMYFUNCTION("""COMPUTED_VALUE"""),"All amenities")</f>
        <v>All amenities</v>
      </c>
      <c r="K1356" s="2">
        <f>IFERROR(__xludf.DUMMYFUNCTION("""COMPUTED_VALUE"""),335.0)</f>
        <v>335</v>
      </c>
      <c r="L1356" s="2">
        <f>IFERROR(__xludf.DUMMYFUNCTION("""COMPUTED_VALUE"""),57.0003061)</f>
        <v>57.0003061</v>
      </c>
      <c r="M1356" s="2">
        <f>IFERROR(__xludf.DUMMYFUNCTION("""COMPUTED_VALUE"""),24.1247948)</f>
        <v>24.1247948</v>
      </c>
    </row>
    <row r="1357">
      <c r="A1357" s="2" t="str">
        <f>IFERROR(__xludf.DUMMYFUNCTION("""COMPUTED_VALUE"""),"For sale")</f>
        <v>For sale</v>
      </c>
      <c r="B1357" s="2" t="str">
        <f>IFERROR(__xludf.DUMMYFUNCTION("""COMPUTED_VALUE"""),"Vecrīga")</f>
        <v>Vecrīga</v>
      </c>
      <c r="C1357" s="2" t="str">
        <f>IFERROR(__xludf.DUMMYFUNCTION("""COMPUTED_VALUE"""),"M. Smilšu 11")</f>
        <v>M. Smilšu 11</v>
      </c>
      <c r="D1357" s="2">
        <f>IFERROR(__xludf.DUMMYFUNCTION("""COMPUTED_VALUE"""),1.0)</f>
        <v>1</v>
      </c>
      <c r="E1357" s="2">
        <f>IFERROR(__xludf.DUMMYFUNCTION("""COMPUTED_VALUE"""),24.0)</f>
        <v>24</v>
      </c>
      <c r="F1357" s="2">
        <f>IFERROR(__xludf.DUMMYFUNCTION("""COMPUTED_VALUE"""),4.0)</f>
        <v>4</v>
      </c>
      <c r="G1357" s="2">
        <f>IFERROR(__xludf.DUMMYFUNCTION("""COMPUTED_VALUE"""),4.0)</f>
        <v>4</v>
      </c>
      <c r="H1357" s="2" t="str">
        <f>IFERROR(__xludf.DUMMYFUNCTION("""COMPUTED_VALUE"""),"P. kara")</f>
        <v>P. kara</v>
      </c>
      <c r="I1357" s="2" t="str">
        <f>IFERROR(__xludf.DUMMYFUNCTION("""COMPUTED_VALUE"""),"Brick")</f>
        <v>Brick</v>
      </c>
      <c r="J1357" s="2" t="str">
        <f>IFERROR(__xludf.DUMMYFUNCTION("""COMPUTED_VALUE"""),"All amenities")</f>
        <v>All amenities</v>
      </c>
      <c r="K1357" s="2">
        <f>IFERROR(__xludf.DUMMYFUNCTION("""COMPUTED_VALUE"""),58000.0)</f>
        <v>58000</v>
      </c>
      <c r="L1357" s="2">
        <f>IFERROR(__xludf.DUMMYFUNCTION("""COMPUTED_VALUE"""),56.95014635)</f>
        <v>56.95014635</v>
      </c>
      <c r="M1357" s="2">
        <f>IFERROR(__xludf.DUMMYFUNCTION("""COMPUTED_VALUE"""),24.1092607305158)</f>
        <v>24.10926073</v>
      </c>
    </row>
    <row r="1358">
      <c r="A1358" s="2" t="str">
        <f>IFERROR(__xludf.DUMMYFUNCTION("""COMPUTED_VALUE"""),"For rent")</f>
        <v>For rent</v>
      </c>
      <c r="B1358" s="2" t="str">
        <f>IFERROR(__xludf.DUMMYFUNCTION("""COMPUTED_VALUE"""),"Pļavnieki")</f>
        <v>Pļavnieki</v>
      </c>
      <c r="C1358" s="2" t="str">
        <f>IFERROR(__xludf.DUMMYFUNCTION("""COMPUTED_VALUE"""),"Saharova 7")</f>
        <v>Saharova 7</v>
      </c>
      <c r="D1358" s="2">
        <f>IFERROR(__xludf.DUMMYFUNCTION("""COMPUTED_VALUE"""),1.0)</f>
        <v>1</v>
      </c>
      <c r="E1358" s="2">
        <f>IFERROR(__xludf.DUMMYFUNCTION("""COMPUTED_VALUE"""),43.0)</f>
        <v>43</v>
      </c>
      <c r="F1358" s="2">
        <f>IFERROR(__xludf.DUMMYFUNCTION("""COMPUTED_VALUE"""),1.0)</f>
        <v>1</v>
      </c>
      <c r="G1358" s="2">
        <f>IFERROR(__xludf.DUMMYFUNCTION("""COMPUTED_VALUE"""),9.0)</f>
        <v>9</v>
      </c>
      <c r="H1358" s="2" t="str">
        <f>IFERROR(__xludf.DUMMYFUNCTION("""COMPUTED_VALUE"""),"M. ģim.")</f>
        <v>M. ģim.</v>
      </c>
      <c r="I1358" s="2" t="str">
        <f>IFERROR(__xludf.DUMMYFUNCTION("""COMPUTED_VALUE"""),"Panel-Brick")</f>
        <v>Panel-Brick</v>
      </c>
      <c r="J1358" s="2" t="str">
        <f>IFERROR(__xludf.DUMMYFUNCTION("""COMPUTED_VALUE"""),"All amenities")</f>
        <v>All amenities</v>
      </c>
      <c r="K1358" s="2">
        <f>IFERROR(__xludf.DUMMYFUNCTION("""COMPUTED_VALUE"""),280.0)</f>
        <v>280</v>
      </c>
      <c r="L1358" s="2">
        <f>IFERROR(__xludf.DUMMYFUNCTION("""COMPUTED_VALUE"""),56.93515745)</f>
        <v>56.93515745</v>
      </c>
      <c r="M1358" s="2">
        <f>IFERROR(__xludf.DUMMYFUNCTION("""COMPUTED_VALUE"""),24.200200711641)</f>
        <v>24.20020071</v>
      </c>
    </row>
    <row r="1359">
      <c r="A1359" s="2" t="str">
        <f>IFERROR(__xludf.DUMMYFUNCTION("""COMPUTED_VALUE"""),"For sale")</f>
        <v>For sale</v>
      </c>
      <c r="B1359" s="2" t="str">
        <f>IFERROR(__xludf.DUMMYFUNCTION("""COMPUTED_VALUE"""),"centrs")</f>
        <v>centrs</v>
      </c>
      <c r="C1359" s="2" t="str">
        <f>IFERROR(__xludf.DUMMYFUNCTION("""COMPUTED_VALUE"""),"Zirņu 6")</f>
        <v>Zirņu 6</v>
      </c>
      <c r="D1359" s="2">
        <f>IFERROR(__xludf.DUMMYFUNCTION("""COMPUTED_VALUE"""),2.0)</f>
        <v>2</v>
      </c>
      <c r="E1359" s="2">
        <f>IFERROR(__xludf.DUMMYFUNCTION("""COMPUTED_VALUE"""),44.0)</f>
        <v>44</v>
      </c>
      <c r="F1359" s="2">
        <f>IFERROR(__xludf.DUMMYFUNCTION("""COMPUTED_VALUE"""),6.0)</f>
        <v>6</v>
      </c>
      <c r="G1359" s="2">
        <f>IFERROR(__xludf.DUMMYFUNCTION("""COMPUTED_VALUE"""),6.0)</f>
        <v>6</v>
      </c>
      <c r="H1359" s="2" t="str">
        <f>IFERROR(__xludf.DUMMYFUNCTION("""COMPUTED_VALUE"""),"Specpr.")</f>
        <v>Specpr.</v>
      </c>
      <c r="I1359" s="2" t="str">
        <f>IFERROR(__xludf.DUMMYFUNCTION("""COMPUTED_VALUE"""),"Brick")</f>
        <v>Brick</v>
      </c>
      <c r="J1359" s="2" t="str">
        <f>IFERROR(__xludf.DUMMYFUNCTION("""COMPUTED_VALUE"""),"All amenities")</f>
        <v>All amenities</v>
      </c>
      <c r="K1359" s="2">
        <f>IFERROR(__xludf.DUMMYFUNCTION("""COMPUTED_VALUE"""),46400.0)</f>
        <v>46400</v>
      </c>
      <c r="L1359" s="2">
        <f>IFERROR(__xludf.DUMMYFUNCTION("""COMPUTED_VALUE"""),56.8597884)</f>
        <v>56.8597884</v>
      </c>
      <c r="M1359" s="2">
        <f>IFERROR(__xludf.DUMMYFUNCTION("""COMPUTED_VALUE"""),24.3083417)</f>
        <v>24.3083417</v>
      </c>
    </row>
    <row r="1360">
      <c r="A1360" s="2" t="str">
        <f>IFERROR(__xludf.DUMMYFUNCTION("""COMPUTED_VALUE"""),"For sale")</f>
        <v>For sale</v>
      </c>
      <c r="B1360" s="2" t="str">
        <f>IFERROR(__xludf.DUMMYFUNCTION("""COMPUTED_VALUE"""),"Purvciems")</f>
        <v>Purvciems</v>
      </c>
      <c r="C1360" s="2" t="str">
        <f>IFERROR(__xludf.DUMMYFUNCTION("""COMPUTED_VALUE"""),"Dudajeva g. 9")</f>
        <v>Dudajeva g. 9</v>
      </c>
      <c r="D1360" s="2">
        <f>IFERROR(__xludf.DUMMYFUNCTION("""COMPUTED_VALUE"""),3.0)</f>
        <v>3</v>
      </c>
      <c r="E1360" s="2">
        <f>IFERROR(__xludf.DUMMYFUNCTION("""COMPUTED_VALUE"""),60.0)</f>
        <v>60</v>
      </c>
      <c r="F1360" s="2">
        <f>IFERROR(__xludf.DUMMYFUNCTION("""COMPUTED_VALUE"""),5.0)</f>
        <v>5</v>
      </c>
      <c r="G1360" s="2">
        <f>IFERROR(__xludf.DUMMYFUNCTION("""COMPUTED_VALUE"""),5.0)</f>
        <v>5</v>
      </c>
      <c r="H1360" s="2" t="str">
        <f>IFERROR(__xludf.DUMMYFUNCTION("""COMPUTED_VALUE"""),"LT proj.")</f>
        <v>LT proj.</v>
      </c>
      <c r="I1360" s="2" t="str">
        <f>IFERROR(__xludf.DUMMYFUNCTION("""COMPUTED_VALUE"""),"Panel")</f>
        <v>Panel</v>
      </c>
      <c r="J1360" s="2" t="str">
        <f>IFERROR(__xludf.DUMMYFUNCTION("""COMPUTED_VALUE"""),"All amenities")</f>
        <v>All amenities</v>
      </c>
      <c r="K1360" s="2">
        <f>IFERROR(__xludf.DUMMYFUNCTION("""COMPUTED_VALUE"""),59500.0)</f>
        <v>59500</v>
      </c>
      <c r="L1360" s="2">
        <f>IFERROR(__xludf.DUMMYFUNCTION("""COMPUTED_VALUE"""),56.9570069)</f>
        <v>56.9570069</v>
      </c>
      <c r="M1360" s="2">
        <f>IFERROR(__xludf.DUMMYFUNCTION("""COMPUTED_VALUE"""),24.1987368)</f>
        <v>24.1987368</v>
      </c>
    </row>
    <row r="1361">
      <c r="A1361" s="2" t="str">
        <f>IFERROR(__xludf.DUMMYFUNCTION("""COMPUTED_VALUE"""),"For sale")</f>
        <v>For sale</v>
      </c>
      <c r="B1361" s="2" t="str">
        <f>IFERROR(__xludf.DUMMYFUNCTION("""COMPUTED_VALUE"""),"centrs")</f>
        <v>centrs</v>
      </c>
      <c r="C1361" s="2" t="str">
        <f>IFERROR(__xludf.DUMMYFUNCTION("""COMPUTED_VALUE"""),"Ganību d. 15")</f>
        <v>Ganību d. 15</v>
      </c>
      <c r="D1361" s="2">
        <f>IFERROR(__xludf.DUMMYFUNCTION("""COMPUTED_VALUE"""),1.0)</f>
        <v>1</v>
      </c>
      <c r="E1361" s="2">
        <f>IFERROR(__xludf.DUMMYFUNCTION("""COMPUTED_VALUE"""),30.0)</f>
        <v>30</v>
      </c>
      <c r="F1361" s="2">
        <f>IFERROR(__xludf.DUMMYFUNCTION("""COMPUTED_VALUE"""),3.0)</f>
        <v>3</v>
      </c>
      <c r="G1361" s="2">
        <f>IFERROR(__xludf.DUMMYFUNCTION("""COMPUTED_VALUE"""),6.0)</f>
        <v>6</v>
      </c>
      <c r="H1361" s="2" t="str">
        <f>IFERROR(__xludf.DUMMYFUNCTION("""COMPUTED_VALUE"""),"P. kara")</f>
        <v>P. kara</v>
      </c>
      <c r="I1361" s="2" t="str">
        <f>IFERROR(__xludf.DUMMYFUNCTION("""COMPUTED_VALUE"""),"Brick")</f>
        <v>Brick</v>
      </c>
      <c r="J1361" s="2" t="str">
        <f>IFERROR(__xludf.DUMMYFUNCTION("""COMPUTED_VALUE"""),"All amenities")</f>
        <v>All amenities</v>
      </c>
      <c r="K1361" s="2">
        <f>IFERROR(__xludf.DUMMYFUNCTION("""COMPUTED_VALUE"""),46800.0)</f>
        <v>46800</v>
      </c>
      <c r="L1361" s="2">
        <f>IFERROR(__xludf.DUMMYFUNCTION("""COMPUTED_VALUE"""),56.9928319)</f>
        <v>56.9928319</v>
      </c>
      <c r="M1361" s="2">
        <f>IFERROR(__xludf.DUMMYFUNCTION("""COMPUTED_VALUE"""),24.1224521)</f>
        <v>24.1224521</v>
      </c>
    </row>
    <row r="1362">
      <c r="A1362" s="2" t="str">
        <f>IFERROR(__xludf.DUMMYFUNCTION("""COMPUTED_VALUE"""),"For sale")</f>
        <v>For sale</v>
      </c>
      <c r="B1362" s="2" t="str">
        <f>IFERROR(__xludf.DUMMYFUNCTION("""COMPUTED_VALUE"""),"Jaunciems")</f>
        <v>Jaunciems</v>
      </c>
      <c r="C1362" s="2" t="str">
        <f>IFERROR(__xludf.DUMMYFUNCTION("""COMPUTED_VALUE"""),"Jaunciema 2. šķ. l. 2")</f>
        <v>Jaunciema 2. šķ. l. 2</v>
      </c>
      <c r="D1362" s="2">
        <f>IFERROR(__xludf.DUMMYFUNCTION("""COMPUTED_VALUE"""),1.0)</f>
        <v>1</v>
      </c>
      <c r="E1362" s="2">
        <f>IFERROR(__xludf.DUMMYFUNCTION("""COMPUTED_VALUE"""),27.0)</f>
        <v>27</v>
      </c>
      <c r="F1362" s="2">
        <f>IFERROR(__xludf.DUMMYFUNCTION("""COMPUTED_VALUE"""),5.0)</f>
        <v>5</v>
      </c>
      <c r="G1362" s="2">
        <f>IFERROR(__xludf.DUMMYFUNCTION("""COMPUTED_VALUE"""),5.0)</f>
        <v>5</v>
      </c>
      <c r="H1362" s="2" t="str">
        <f>IFERROR(__xludf.DUMMYFUNCTION("""COMPUTED_VALUE"""),"Specpr.")</f>
        <v>Specpr.</v>
      </c>
      <c r="I1362" s="2" t="str">
        <f>IFERROR(__xludf.DUMMYFUNCTION("""COMPUTED_VALUE"""),"Brick")</f>
        <v>Brick</v>
      </c>
      <c r="J1362" s="2" t="str">
        <f>IFERROR(__xludf.DUMMYFUNCTION("""COMPUTED_VALUE"""),"All amenities")</f>
        <v>All amenities</v>
      </c>
      <c r="K1362" s="2">
        <f>IFERROR(__xludf.DUMMYFUNCTION("""COMPUTED_VALUE"""),20500.0)</f>
        <v>20500</v>
      </c>
      <c r="L1362" s="2" t="str">
        <f>IFERROR(__xludf.DUMMYFUNCTION("""COMPUTED_VALUE"""),"NaN")</f>
        <v>NaN</v>
      </c>
      <c r="M1362" s="2" t="str">
        <f>IFERROR(__xludf.DUMMYFUNCTION("""COMPUTED_VALUE"""),"NaN")</f>
        <v>NaN</v>
      </c>
    </row>
    <row r="1363">
      <c r="A1363" s="2" t="str">
        <f>IFERROR(__xludf.DUMMYFUNCTION("""COMPUTED_VALUE"""),"For sale")</f>
        <v>For sale</v>
      </c>
      <c r="B1363" s="2" t="str">
        <f>IFERROR(__xludf.DUMMYFUNCTION("""COMPUTED_VALUE"""),"Imanta")</f>
        <v>Imanta</v>
      </c>
      <c r="C1363" s="2" t="str">
        <f>IFERROR(__xludf.DUMMYFUNCTION("""COMPUTED_VALUE"""),"Kurzemes pr. 12")</f>
        <v>Kurzemes pr. 12</v>
      </c>
      <c r="D1363" s="2">
        <f>IFERROR(__xludf.DUMMYFUNCTION("""COMPUTED_VALUE"""),2.0)</f>
        <v>2</v>
      </c>
      <c r="E1363" s="2">
        <f>IFERROR(__xludf.DUMMYFUNCTION("""COMPUTED_VALUE"""),50.0)</f>
        <v>50</v>
      </c>
      <c r="F1363" s="2">
        <f>IFERROR(__xludf.DUMMYFUNCTION("""COMPUTED_VALUE"""),1.0)</f>
        <v>1</v>
      </c>
      <c r="G1363" s="2">
        <f>IFERROR(__xludf.DUMMYFUNCTION("""COMPUTED_VALUE"""),5.0)</f>
        <v>5</v>
      </c>
      <c r="H1363" s="2" t="str">
        <f>IFERROR(__xludf.DUMMYFUNCTION("""COMPUTED_VALUE"""),"LT proj.")</f>
        <v>LT proj.</v>
      </c>
      <c r="I1363" s="2" t="str">
        <f>IFERROR(__xludf.DUMMYFUNCTION("""COMPUTED_VALUE"""),"Panel")</f>
        <v>Panel</v>
      </c>
      <c r="J1363" s="2" t="str">
        <f>IFERROR(__xludf.DUMMYFUNCTION("""COMPUTED_VALUE"""),"All amenities")</f>
        <v>All amenities</v>
      </c>
      <c r="K1363" s="2">
        <f>IFERROR(__xludf.DUMMYFUNCTION("""COMPUTED_VALUE"""),43900.0)</f>
        <v>43900</v>
      </c>
      <c r="L1363" s="2" t="str">
        <f>IFERROR(__xludf.DUMMYFUNCTION("""COMPUTED_VALUE"""),"NaN")</f>
        <v>NaN</v>
      </c>
      <c r="M1363" s="2" t="str">
        <f>IFERROR(__xludf.DUMMYFUNCTION("""COMPUTED_VALUE"""),"NaN")</f>
        <v>NaN</v>
      </c>
    </row>
    <row r="1364">
      <c r="A1364" s="2" t="str">
        <f>IFERROR(__xludf.DUMMYFUNCTION("""COMPUTED_VALUE"""),"For sale")</f>
        <v>For sale</v>
      </c>
      <c r="B1364" s="2" t="str">
        <f>IFERROR(__xludf.DUMMYFUNCTION("""COMPUTED_VALUE"""),"Āgenskalns")</f>
        <v>Āgenskalns</v>
      </c>
      <c r="C1364" s="2" t="str">
        <f>IFERROR(__xludf.DUMMYFUNCTION("""COMPUTED_VALUE"""),"Zeļļu 15")</f>
        <v>Zeļļu 15</v>
      </c>
      <c r="D1364" s="2">
        <f>IFERROR(__xludf.DUMMYFUNCTION("""COMPUTED_VALUE"""),1.0)</f>
        <v>1</v>
      </c>
      <c r="E1364" s="2">
        <f>IFERROR(__xludf.DUMMYFUNCTION("""COMPUTED_VALUE"""),21.0)</f>
        <v>21</v>
      </c>
      <c r="F1364" s="2">
        <f>IFERROR(__xludf.DUMMYFUNCTION("""COMPUTED_VALUE"""),1.0)</f>
        <v>1</v>
      </c>
      <c r="G1364" s="2">
        <f>IFERROR(__xludf.DUMMYFUNCTION("""COMPUTED_VALUE"""),2.0)</f>
        <v>2</v>
      </c>
      <c r="H1364" s="2" t="str">
        <f>IFERROR(__xludf.DUMMYFUNCTION("""COMPUTED_VALUE"""),"P. kara")</f>
        <v>P. kara</v>
      </c>
      <c r="I1364" s="2" t="str">
        <f>IFERROR(__xludf.DUMMYFUNCTION("""COMPUTED_VALUE"""),"Wood")</f>
        <v>Wood</v>
      </c>
      <c r="J1364" s="2" t="str">
        <f>IFERROR(__xludf.DUMMYFUNCTION("""COMPUTED_VALUE"""),"Partial amenities")</f>
        <v>Partial amenities</v>
      </c>
      <c r="K1364" s="2">
        <f>IFERROR(__xludf.DUMMYFUNCTION("""COMPUTED_VALUE"""),14500.0)</f>
        <v>14500</v>
      </c>
      <c r="L1364" s="2">
        <f>IFERROR(__xludf.DUMMYFUNCTION("""COMPUTED_VALUE"""),56.9353345)</f>
        <v>56.9353345</v>
      </c>
      <c r="M1364" s="2">
        <f>IFERROR(__xludf.DUMMYFUNCTION("""COMPUTED_VALUE"""),24.0737985)</f>
        <v>24.0737985</v>
      </c>
    </row>
    <row r="1365">
      <c r="A1365" s="2" t="str">
        <f>IFERROR(__xludf.DUMMYFUNCTION("""COMPUTED_VALUE"""),"For rent")</f>
        <v>For rent</v>
      </c>
      <c r="B1365" s="2" t="str">
        <f>IFERROR(__xludf.DUMMYFUNCTION("""COMPUTED_VALUE"""),"Vecmīlgrāvis")</f>
        <v>Vecmīlgrāvis</v>
      </c>
      <c r="C1365" s="2" t="str">
        <f>IFERROR(__xludf.DUMMYFUNCTION("""COMPUTED_VALUE"""),"Kalngales 8")</f>
        <v>Kalngales 8</v>
      </c>
      <c r="D1365" s="2">
        <f>IFERROR(__xludf.DUMMYFUNCTION("""COMPUTED_VALUE"""),1.0)</f>
        <v>1</v>
      </c>
      <c r="E1365" s="2">
        <f>IFERROR(__xludf.DUMMYFUNCTION("""COMPUTED_VALUE"""),36.0)</f>
        <v>36</v>
      </c>
      <c r="F1365" s="2">
        <f>IFERROR(__xludf.DUMMYFUNCTION("""COMPUTED_VALUE"""),9.0)</f>
        <v>9</v>
      </c>
      <c r="G1365" s="2">
        <f>IFERROR(__xludf.DUMMYFUNCTION("""COMPUTED_VALUE"""),9.0)</f>
        <v>9</v>
      </c>
      <c r="H1365" s="2">
        <f>IFERROR(__xludf.DUMMYFUNCTION("""COMPUTED_VALUE"""),602.0)</f>
        <v>602</v>
      </c>
      <c r="I1365" s="2" t="str">
        <f>IFERROR(__xludf.DUMMYFUNCTION("""COMPUTED_VALUE"""),"Panel")</f>
        <v>Panel</v>
      </c>
      <c r="J1365" s="2" t="str">
        <f>IFERROR(__xludf.DUMMYFUNCTION("""COMPUTED_VALUE"""),"All amenities")</f>
        <v>All amenities</v>
      </c>
      <c r="K1365" s="2">
        <f>IFERROR(__xludf.DUMMYFUNCTION("""COMPUTED_VALUE"""),220.0)</f>
        <v>220</v>
      </c>
      <c r="L1365" s="2">
        <f>IFERROR(__xludf.DUMMYFUNCTION("""COMPUTED_VALUE"""),57.03939135)</f>
        <v>57.03939135</v>
      </c>
      <c r="M1365" s="2">
        <f>IFERROR(__xludf.DUMMYFUNCTION("""COMPUTED_VALUE"""),24.1025204555179)</f>
        <v>24.10252046</v>
      </c>
    </row>
    <row r="1366">
      <c r="A1366" s="2" t="str">
        <f>IFERROR(__xludf.DUMMYFUNCTION("""COMPUTED_VALUE"""),"For sale")</f>
        <v>For sale</v>
      </c>
      <c r="B1366" s="2" t="str">
        <f>IFERROR(__xludf.DUMMYFUNCTION("""COMPUTED_VALUE"""),"Mežaparks")</f>
        <v>Mežaparks</v>
      </c>
      <c r="C1366" s="2" t="str">
        <f>IFERROR(__xludf.DUMMYFUNCTION("""COMPUTED_VALUE"""),"Visbijas pr. 6/8")</f>
        <v>Visbijas pr. 6/8</v>
      </c>
      <c r="D1366" s="2">
        <f>IFERROR(__xludf.DUMMYFUNCTION("""COMPUTED_VALUE"""),4.0)</f>
        <v>4</v>
      </c>
      <c r="E1366" s="2">
        <f>IFERROR(__xludf.DUMMYFUNCTION("""COMPUTED_VALUE"""),153.0)</f>
        <v>153</v>
      </c>
      <c r="F1366" s="2">
        <f>IFERROR(__xludf.DUMMYFUNCTION("""COMPUTED_VALUE"""),1.0)</f>
        <v>1</v>
      </c>
      <c r="G1366" s="2">
        <f>IFERROR(__xludf.DUMMYFUNCTION("""COMPUTED_VALUE"""),3.0)</f>
        <v>3</v>
      </c>
      <c r="H1366" s="2" t="str">
        <f>IFERROR(__xludf.DUMMYFUNCTION("""COMPUTED_VALUE"""),"P. kara")</f>
        <v>P. kara</v>
      </c>
      <c r="I1366" s="2" t="str">
        <f>IFERROR(__xludf.DUMMYFUNCTION("""COMPUTED_VALUE"""),"Wood")</f>
        <v>Wood</v>
      </c>
      <c r="J1366" s="2" t="str">
        <f>IFERROR(__xludf.DUMMYFUNCTION("""COMPUTED_VALUE"""),"All amenities")</f>
        <v>All amenities</v>
      </c>
      <c r="K1366" s="2">
        <f>IFERROR(__xludf.DUMMYFUNCTION("""COMPUTED_VALUE"""),275000.0)</f>
        <v>275000</v>
      </c>
      <c r="L1366" s="2" t="str">
        <f>IFERROR(__xludf.DUMMYFUNCTION("""COMPUTED_VALUE"""),"NaN")</f>
        <v>NaN</v>
      </c>
      <c r="M1366" s="2" t="str">
        <f>IFERROR(__xludf.DUMMYFUNCTION("""COMPUTED_VALUE"""),"NaN")</f>
        <v>NaN</v>
      </c>
    </row>
    <row r="1367">
      <c r="A1367" s="2" t="str">
        <f>IFERROR(__xludf.DUMMYFUNCTION("""COMPUTED_VALUE"""),"For rent")</f>
        <v>For rent</v>
      </c>
      <c r="B1367" s="2" t="str">
        <f>IFERROR(__xludf.DUMMYFUNCTION("""COMPUTED_VALUE"""),"centrs")</f>
        <v>centrs</v>
      </c>
      <c r="C1367" s="2" t="str">
        <f>IFERROR(__xludf.DUMMYFUNCTION("""COMPUTED_VALUE"""),"Miera 101")</f>
        <v>Miera 101</v>
      </c>
      <c r="D1367" s="2">
        <f>IFERROR(__xludf.DUMMYFUNCTION("""COMPUTED_VALUE"""),2.0)</f>
        <v>2</v>
      </c>
      <c r="E1367" s="2">
        <f>IFERROR(__xludf.DUMMYFUNCTION("""COMPUTED_VALUE"""),52.0)</f>
        <v>52</v>
      </c>
      <c r="F1367" s="2">
        <f>IFERROR(__xludf.DUMMYFUNCTION("""COMPUTED_VALUE"""),2.0)</f>
        <v>2</v>
      </c>
      <c r="G1367" s="2">
        <f>IFERROR(__xludf.DUMMYFUNCTION("""COMPUTED_VALUE"""),5.0)</f>
        <v>5</v>
      </c>
      <c r="H1367" s="2" t="str">
        <f>IFERROR(__xludf.DUMMYFUNCTION("""COMPUTED_VALUE"""),"P. kara")</f>
        <v>P. kara</v>
      </c>
      <c r="I1367" s="2" t="str">
        <f>IFERROR(__xludf.DUMMYFUNCTION("""COMPUTED_VALUE"""),"Masonry")</f>
        <v>Masonry</v>
      </c>
      <c r="J1367" s="2" t="str">
        <f>IFERROR(__xludf.DUMMYFUNCTION("""COMPUTED_VALUE"""),"All amenities")</f>
        <v>All amenities</v>
      </c>
      <c r="K1367" s="2">
        <f>IFERROR(__xludf.DUMMYFUNCTION("""COMPUTED_VALUE"""),420.0)</f>
        <v>420</v>
      </c>
      <c r="L1367" s="2">
        <f>IFERROR(__xludf.DUMMYFUNCTION("""COMPUTED_VALUE"""),56.9665763)</f>
        <v>56.9665763</v>
      </c>
      <c r="M1367" s="2">
        <f>IFERROR(__xludf.DUMMYFUNCTION("""COMPUTED_VALUE"""),24.1337504)</f>
        <v>24.1337504</v>
      </c>
    </row>
    <row r="1368">
      <c r="A1368" s="2" t="str">
        <f>IFERROR(__xludf.DUMMYFUNCTION("""COMPUTED_VALUE"""),"For sale")</f>
        <v>For sale</v>
      </c>
      <c r="B1368" s="2" t="str">
        <f>IFERROR(__xludf.DUMMYFUNCTION("""COMPUTED_VALUE"""),"centrs")</f>
        <v>centrs</v>
      </c>
      <c r="C1368" s="2" t="str">
        <f>IFERROR(__xludf.DUMMYFUNCTION("""COMPUTED_VALUE"""),"Blaumaņa 21")</f>
        <v>Blaumaņa 21</v>
      </c>
      <c r="D1368" s="2">
        <f>IFERROR(__xludf.DUMMYFUNCTION("""COMPUTED_VALUE"""),2.0)</f>
        <v>2</v>
      </c>
      <c r="E1368" s="2">
        <f>IFERROR(__xludf.DUMMYFUNCTION("""COMPUTED_VALUE"""),80.0)</f>
        <v>80</v>
      </c>
      <c r="F1368" s="2">
        <f>IFERROR(__xludf.DUMMYFUNCTION("""COMPUTED_VALUE"""),1.0)</f>
        <v>1</v>
      </c>
      <c r="G1368" s="2">
        <f>IFERROR(__xludf.DUMMYFUNCTION("""COMPUTED_VALUE"""),5.0)</f>
        <v>5</v>
      </c>
      <c r="H1368" s="2" t="str">
        <f>IFERROR(__xludf.DUMMYFUNCTION("""COMPUTED_VALUE"""),"P. kara")</f>
        <v>P. kara</v>
      </c>
      <c r="I1368" s="2" t="str">
        <f>IFERROR(__xludf.DUMMYFUNCTION("""COMPUTED_VALUE"""),"Masonry")</f>
        <v>Masonry</v>
      </c>
      <c r="J1368" s="2" t="str">
        <f>IFERROR(__xludf.DUMMYFUNCTION("""COMPUTED_VALUE"""),"All amenities")</f>
        <v>All amenities</v>
      </c>
      <c r="K1368" s="2">
        <f>IFERROR(__xludf.DUMMYFUNCTION("""COMPUTED_VALUE"""),106100.0)</f>
        <v>106100</v>
      </c>
      <c r="L1368" s="2">
        <f>IFERROR(__xludf.DUMMYFUNCTION("""COMPUTED_VALUE"""),56.95264935)</f>
        <v>56.95264935</v>
      </c>
      <c r="M1368" s="2">
        <f>IFERROR(__xludf.DUMMYFUNCTION("""COMPUTED_VALUE"""),24.1259069611911)</f>
        <v>24.12590696</v>
      </c>
    </row>
    <row r="1369">
      <c r="A1369" s="2" t="str">
        <f>IFERROR(__xludf.DUMMYFUNCTION("""COMPUTED_VALUE"""),"For rent")</f>
        <v>For rent</v>
      </c>
      <c r="B1369" s="2" t="str">
        <f>IFERROR(__xludf.DUMMYFUNCTION("""COMPUTED_VALUE"""),"centrs")</f>
        <v>centrs</v>
      </c>
      <c r="C1369" s="2" t="str">
        <f>IFERROR(__xludf.DUMMYFUNCTION("""COMPUTED_VALUE"""),"Lejas 7b")</f>
        <v>Lejas 7b</v>
      </c>
      <c r="D1369" s="2">
        <f>IFERROR(__xludf.DUMMYFUNCTION("""COMPUTED_VALUE"""),1.0)</f>
        <v>1</v>
      </c>
      <c r="E1369" s="2">
        <f>IFERROR(__xludf.DUMMYFUNCTION("""COMPUTED_VALUE"""),20.0)</f>
        <v>20</v>
      </c>
      <c r="F1369" s="2">
        <f>IFERROR(__xludf.DUMMYFUNCTION("""COMPUTED_VALUE"""),2.0)</f>
        <v>2</v>
      </c>
      <c r="G1369" s="2">
        <f>IFERROR(__xludf.DUMMYFUNCTION("""COMPUTED_VALUE"""),3.0)</f>
        <v>3</v>
      </c>
      <c r="H1369" s="2" t="str">
        <f>IFERROR(__xludf.DUMMYFUNCTION("""COMPUTED_VALUE"""),"P. kara")</f>
        <v>P. kara</v>
      </c>
      <c r="I1369" s="2" t="str">
        <f>IFERROR(__xludf.DUMMYFUNCTION("""COMPUTED_VALUE"""),"Masonry")</f>
        <v>Masonry</v>
      </c>
      <c r="J1369" s="2" t="str">
        <f>IFERROR(__xludf.DUMMYFUNCTION("""COMPUTED_VALUE"""),"All amenities")</f>
        <v>All amenities</v>
      </c>
      <c r="K1369" s="2">
        <f>IFERROR(__xludf.DUMMYFUNCTION("""COMPUTED_VALUE"""),25.0)</f>
        <v>25</v>
      </c>
      <c r="L1369" s="2">
        <f>IFERROR(__xludf.DUMMYFUNCTION("""COMPUTED_VALUE"""),56.9747442)</f>
        <v>56.9747442</v>
      </c>
      <c r="M1369" s="2">
        <f>IFERROR(__xludf.DUMMYFUNCTION("""COMPUTED_VALUE"""),24.1414585)</f>
        <v>24.1414585</v>
      </c>
    </row>
    <row r="1370">
      <c r="A1370" s="2" t="str">
        <f>IFERROR(__xludf.DUMMYFUNCTION("""COMPUTED_VALUE"""),"For sale")</f>
        <v>For sale</v>
      </c>
      <c r="B1370" s="2" t="str">
        <f>IFERROR(__xludf.DUMMYFUNCTION("""COMPUTED_VALUE"""),"centrs")</f>
        <v>centrs</v>
      </c>
      <c r="C1370" s="2" t="str">
        <f>IFERROR(__xludf.DUMMYFUNCTION("""COMPUTED_VALUE"""),"Birznieka-Upīša 13")</f>
        <v>Birznieka-Upīša 13</v>
      </c>
      <c r="D1370" s="2">
        <f>IFERROR(__xludf.DUMMYFUNCTION("""COMPUTED_VALUE"""),2.0)</f>
        <v>2</v>
      </c>
      <c r="E1370" s="2">
        <f>IFERROR(__xludf.DUMMYFUNCTION("""COMPUTED_VALUE"""),53.5)</f>
        <v>53.5</v>
      </c>
      <c r="F1370" s="2">
        <f>IFERROR(__xludf.DUMMYFUNCTION("""COMPUTED_VALUE"""),6.0)</f>
        <v>6</v>
      </c>
      <c r="G1370" s="2">
        <f>IFERROR(__xludf.DUMMYFUNCTION("""COMPUTED_VALUE"""),7.0)</f>
        <v>7</v>
      </c>
      <c r="H1370" s="2" t="str">
        <f>IFERROR(__xludf.DUMMYFUNCTION("""COMPUTED_VALUE"""),"Jaun.")</f>
        <v>Jaun.</v>
      </c>
      <c r="I1370" s="2" t="str">
        <f>IFERROR(__xludf.DUMMYFUNCTION("""COMPUTED_VALUE"""),"Panel")</f>
        <v>Panel</v>
      </c>
      <c r="J1370" s="2" t="str">
        <f>IFERROR(__xludf.DUMMYFUNCTION("""COMPUTED_VALUE"""),"All amenities")</f>
        <v>All amenities</v>
      </c>
      <c r="K1370" s="2">
        <f>IFERROR(__xludf.DUMMYFUNCTION("""COMPUTED_VALUE"""),137000.0)</f>
        <v>137000</v>
      </c>
      <c r="L1370" s="2">
        <f>IFERROR(__xludf.DUMMYFUNCTION("""COMPUTED_VALUE"""),56.9493295)</f>
        <v>56.9493295</v>
      </c>
      <c r="M1370" s="2">
        <f>IFERROR(__xludf.DUMMYFUNCTION("""COMPUTED_VALUE"""),24.1264892056074)</f>
        <v>24.12648921</v>
      </c>
    </row>
    <row r="1371">
      <c r="A1371" s="2" t="str">
        <f>IFERROR(__xludf.DUMMYFUNCTION("""COMPUTED_VALUE"""),"For sale")</f>
        <v>For sale</v>
      </c>
      <c r="B1371" s="2" t="str">
        <f>IFERROR(__xludf.DUMMYFUNCTION("""COMPUTED_VALUE"""),"Mežciems")</f>
        <v>Mežciems</v>
      </c>
      <c r="C1371" s="2" t="str">
        <f>IFERROR(__xludf.DUMMYFUNCTION("""COMPUTED_VALUE"""),"Kaivas 31")</f>
        <v>Kaivas 31</v>
      </c>
      <c r="D1371" s="2">
        <f>IFERROR(__xludf.DUMMYFUNCTION("""COMPUTED_VALUE"""),3.0)</f>
        <v>3</v>
      </c>
      <c r="E1371" s="2">
        <f>IFERROR(__xludf.DUMMYFUNCTION("""COMPUTED_VALUE"""),71.0)</f>
        <v>71</v>
      </c>
      <c r="F1371" s="2">
        <f>IFERROR(__xludf.DUMMYFUNCTION("""COMPUTED_VALUE"""),1.0)</f>
        <v>1</v>
      </c>
      <c r="G1371" s="2">
        <f>IFERROR(__xludf.DUMMYFUNCTION("""COMPUTED_VALUE"""),4.0)</f>
        <v>4</v>
      </c>
      <c r="H1371" s="2" t="str">
        <f>IFERROR(__xludf.DUMMYFUNCTION("""COMPUTED_VALUE"""),"Jaun.")</f>
        <v>Jaun.</v>
      </c>
      <c r="I1371" s="2" t="str">
        <f>IFERROR(__xludf.DUMMYFUNCTION("""COMPUTED_VALUE"""),"Brick")</f>
        <v>Brick</v>
      </c>
      <c r="J1371" s="2" t="str">
        <f>IFERROR(__xludf.DUMMYFUNCTION("""COMPUTED_VALUE"""),"All amenities")</f>
        <v>All amenities</v>
      </c>
      <c r="K1371" s="2">
        <f>IFERROR(__xludf.DUMMYFUNCTION("""COMPUTED_VALUE"""),143000.0)</f>
        <v>143000</v>
      </c>
      <c r="L1371" s="2">
        <f>IFERROR(__xludf.DUMMYFUNCTION("""COMPUTED_VALUE"""),56.9502294499999)</f>
        <v>56.95022945</v>
      </c>
      <c r="M1371" s="2">
        <f>IFERROR(__xludf.DUMMYFUNCTION("""COMPUTED_VALUE"""),24.247581468723)</f>
        <v>24.24758147</v>
      </c>
    </row>
    <row r="1372">
      <c r="A1372" s="2" t="str">
        <f>IFERROR(__xludf.DUMMYFUNCTION("""COMPUTED_VALUE"""),"For rent")</f>
        <v>For rent</v>
      </c>
      <c r="B1372" s="2" t="str">
        <f>IFERROR(__xludf.DUMMYFUNCTION("""COMPUTED_VALUE"""),"centrs")</f>
        <v>centrs</v>
      </c>
      <c r="C1372" s="2" t="str">
        <f>IFERROR(__xludf.DUMMYFUNCTION("""COMPUTED_VALUE"""),"Duntes 48")</f>
        <v>Duntes 48</v>
      </c>
      <c r="D1372" s="2">
        <f>IFERROR(__xludf.DUMMYFUNCTION("""COMPUTED_VALUE"""),1.0)</f>
        <v>1</v>
      </c>
      <c r="E1372" s="2">
        <f>IFERROR(__xludf.DUMMYFUNCTION("""COMPUTED_VALUE"""),25.0)</f>
        <v>25</v>
      </c>
      <c r="F1372" s="2">
        <f>IFERROR(__xludf.DUMMYFUNCTION("""COMPUTED_VALUE"""),4.0)</f>
        <v>4</v>
      </c>
      <c r="G1372" s="2">
        <f>IFERROR(__xludf.DUMMYFUNCTION("""COMPUTED_VALUE"""),6.0)</f>
        <v>6</v>
      </c>
      <c r="H1372" s="2" t="str">
        <f>IFERROR(__xludf.DUMMYFUNCTION("""COMPUTED_VALUE"""),"P. kara")</f>
        <v>P. kara</v>
      </c>
      <c r="I1372" s="2" t="str">
        <f>IFERROR(__xludf.DUMMYFUNCTION("""COMPUTED_VALUE"""),"Masonry")</f>
        <v>Masonry</v>
      </c>
      <c r="J1372" s="2" t="str">
        <f>IFERROR(__xludf.DUMMYFUNCTION("""COMPUTED_VALUE"""),"All amenities")</f>
        <v>All amenities</v>
      </c>
      <c r="K1372" s="2">
        <f>IFERROR(__xludf.DUMMYFUNCTION("""COMPUTED_VALUE"""),130.0)</f>
        <v>130</v>
      </c>
      <c r="L1372" s="2">
        <f>IFERROR(__xludf.DUMMYFUNCTION("""COMPUTED_VALUE"""),56.99189845)</f>
        <v>56.99189845</v>
      </c>
      <c r="M1372" s="2">
        <f>IFERROR(__xludf.DUMMYFUNCTION("""COMPUTED_VALUE"""),24.1276669239564)</f>
        <v>24.12766692</v>
      </c>
    </row>
    <row r="1373">
      <c r="A1373" s="2" t="str">
        <f>IFERROR(__xludf.DUMMYFUNCTION("""COMPUTED_VALUE"""),"For sale")</f>
        <v>For sale</v>
      </c>
      <c r="B1373" s="2" t="str">
        <f>IFERROR(__xludf.DUMMYFUNCTION("""COMPUTED_VALUE"""),"centrs")</f>
        <v>centrs</v>
      </c>
      <c r="C1373" s="2" t="str">
        <f>IFERROR(__xludf.DUMMYFUNCTION("""COMPUTED_VALUE"""),"Cēsu 41")</f>
        <v>Cēsu 41</v>
      </c>
      <c r="D1373" s="2">
        <f>IFERROR(__xludf.DUMMYFUNCTION("""COMPUTED_VALUE"""),1.0)</f>
        <v>1</v>
      </c>
      <c r="E1373" s="2">
        <f>IFERROR(__xludf.DUMMYFUNCTION("""COMPUTED_VALUE"""),24.0)</f>
        <v>24</v>
      </c>
      <c r="F1373" s="2">
        <f>IFERROR(__xludf.DUMMYFUNCTION("""COMPUTED_VALUE"""),2.0)</f>
        <v>2</v>
      </c>
      <c r="G1373" s="2">
        <f>IFERROR(__xludf.DUMMYFUNCTION("""COMPUTED_VALUE"""),2.0)</f>
        <v>2</v>
      </c>
      <c r="H1373" s="2" t="str">
        <f>IFERROR(__xludf.DUMMYFUNCTION("""COMPUTED_VALUE"""),"P. kara")</f>
        <v>P. kara</v>
      </c>
      <c r="I1373" s="2" t="str">
        <f>IFERROR(__xludf.DUMMYFUNCTION("""COMPUTED_VALUE"""),"Masonry")</f>
        <v>Masonry</v>
      </c>
      <c r="J1373" s="2" t="str">
        <f>IFERROR(__xludf.DUMMYFUNCTION("""COMPUTED_VALUE"""),"All amenities")</f>
        <v>All amenities</v>
      </c>
      <c r="K1373" s="2">
        <f>IFERROR(__xludf.DUMMYFUNCTION("""COMPUTED_VALUE"""),28000.0)</f>
        <v>28000</v>
      </c>
      <c r="L1373" s="2">
        <f>IFERROR(__xludf.DUMMYFUNCTION("""COMPUTED_VALUE"""),56.96656595)</f>
        <v>56.96656595</v>
      </c>
      <c r="M1373" s="2">
        <f>IFERROR(__xludf.DUMMYFUNCTION("""COMPUTED_VALUE"""),24.1436439)</f>
        <v>24.1436439</v>
      </c>
    </row>
    <row r="1374">
      <c r="A1374" s="2" t="str">
        <f>IFERROR(__xludf.DUMMYFUNCTION("""COMPUTED_VALUE"""),"For sale")</f>
        <v>For sale</v>
      </c>
      <c r="B1374" s="2" t="str">
        <f>IFERROR(__xludf.DUMMYFUNCTION("""COMPUTED_VALUE"""),"centrs")</f>
        <v>centrs</v>
      </c>
      <c r="C1374" s="2" t="str">
        <f>IFERROR(__xludf.DUMMYFUNCTION("""COMPUTED_VALUE"""),"Brīvības iela 150")</f>
        <v>Brīvības iela 150</v>
      </c>
      <c r="D1374" s="2">
        <f>IFERROR(__xludf.DUMMYFUNCTION("""COMPUTED_VALUE"""),5.0)</f>
        <v>5</v>
      </c>
      <c r="E1374" s="2">
        <f>IFERROR(__xludf.DUMMYFUNCTION("""COMPUTED_VALUE"""),123.0)</f>
        <v>123</v>
      </c>
      <c r="F1374" s="2">
        <f>IFERROR(__xludf.DUMMYFUNCTION("""COMPUTED_VALUE"""),2.0)</f>
        <v>2</v>
      </c>
      <c r="G1374" s="2">
        <f>IFERROR(__xludf.DUMMYFUNCTION("""COMPUTED_VALUE"""),6.0)</f>
        <v>6</v>
      </c>
      <c r="H1374" s="2" t="str">
        <f>IFERROR(__xludf.DUMMYFUNCTION("""COMPUTED_VALUE"""),"P. kara")</f>
        <v>P. kara</v>
      </c>
      <c r="I1374" s="2" t="str">
        <f>IFERROR(__xludf.DUMMYFUNCTION("""COMPUTED_VALUE"""),"Masonry")</f>
        <v>Masonry</v>
      </c>
      <c r="J1374" s="2" t="str">
        <f>IFERROR(__xludf.DUMMYFUNCTION("""COMPUTED_VALUE"""),"All amenities")</f>
        <v>All amenities</v>
      </c>
      <c r="K1374" s="2">
        <f>IFERROR(__xludf.DUMMYFUNCTION("""COMPUTED_VALUE"""),125000.0)</f>
        <v>125000</v>
      </c>
      <c r="L1374" s="2">
        <f>IFERROR(__xludf.DUMMYFUNCTION("""COMPUTED_VALUE"""),56.9647023)</f>
        <v>56.9647023</v>
      </c>
      <c r="M1374" s="2">
        <f>IFERROR(__xludf.DUMMYFUNCTION("""COMPUTED_VALUE"""),24.1416133360267)</f>
        <v>24.14161334</v>
      </c>
    </row>
    <row r="1375">
      <c r="A1375" s="2" t="str">
        <f>IFERROR(__xludf.DUMMYFUNCTION("""COMPUTED_VALUE"""),"For sale")</f>
        <v>For sale</v>
      </c>
      <c r="B1375" s="2" t="str">
        <f>IFERROR(__xludf.DUMMYFUNCTION("""COMPUTED_VALUE"""),"Daugavgrīva")</f>
        <v>Daugavgrīva</v>
      </c>
      <c r="C1375" s="2" t="str">
        <f>IFERROR(__xludf.DUMMYFUNCTION("""COMPUTED_VALUE"""),"Plēksnes 1")</f>
        <v>Plēksnes 1</v>
      </c>
      <c r="D1375" s="2">
        <f>IFERROR(__xludf.DUMMYFUNCTION("""COMPUTED_VALUE"""),2.0)</f>
        <v>2</v>
      </c>
      <c r="E1375" s="2">
        <f>IFERROR(__xludf.DUMMYFUNCTION("""COMPUTED_VALUE"""),54.0)</f>
        <v>54</v>
      </c>
      <c r="F1375" s="2">
        <f>IFERROR(__xludf.DUMMYFUNCTION("""COMPUTED_VALUE"""),4.0)</f>
        <v>4</v>
      </c>
      <c r="G1375" s="2">
        <f>IFERROR(__xludf.DUMMYFUNCTION("""COMPUTED_VALUE"""),5.0)</f>
        <v>5</v>
      </c>
      <c r="H1375" s="2">
        <f>IFERROR(__xludf.DUMMYFUNCTION("""COMPUTED_VALUE"""),103.0)</f>
        <v>103</v>
      </c>
      <c r="I1375" s="2" t="str">
        <f>IFERROR(__xludf.DUMMYFUNCTION("""COMPUTED_VALUE"""),"Brick-Panel")</f>
        <v>Brick-Panel</v>
      </c>
      <c r="J1375" s="2" t="str">
        <f>IFERROR(__xludf.DUMMYFUNCTION("""COMPUTED_VALUE"""),"All amenities")</f>
        <v>All amenities</v>
      </c>
      <c r="K1375" s="2">
        <f>IFERROR(__xludf.DUMMYFUNCTION("""COMPUTED_VALUE"""),31000.0)</f>
        <v>31000</v>
      </c>
      <c r="L1375" s="2">
        <f>IFERROR(__xludf.DUMMYFUNCTION("""COMPUTED_VALUE"""),57.03920265)</f>
        <v>57.03920265</v>
      </c>
      <c r="M1375" s="2">
        <f>IFERROR(__xludf.DUMMYFUNCTION("""COMPUTED_VALUE"""),24.0321564328147)</f>
        <v>24.03215643</v>
      </c>
    </row>
    <row r="1376">
      <c r="A1376" s="2" t="str">
        <f>IFERROR(__xludf.DUMMYFUNCTION("""COMPUTED_VALUE"""),"For sale")</f>
        <v>For sale</v>
      </c>
      <c r="B1376" s="2" t="str">
        <f>IFERROR(__xludf.DUMMYFUNCTION("""COMPUTED_VALUE"""),"Imanta")</f>
        <v>Imanta</v>
      </c>
      <c r="C1376" s="2" t="str">
        <f>IFERROR(__xludf.DUMMYFUNCTION("""COMPUTED_VALUE"""),"Rigondas g. 7")</f>
        <v>Rigondas g. 7</v>
      </c>
      <c r="D1376" s="2">
        <f>IFERROR(__xludf.DUMMYFUNCTION("""COMPUTED_VALUE"""),1.0)</f>
        <v>1</v>
      </c>
      <c r="E1376" s="2">
        <f>IFERROR(__xludf.DUMMYFUNCTION("""COMPUTED_VALUE"""),31.0)</f>
        <v>31</v>
      </c>
      <c r="F1376" s="2">
        <f>IFERROR(__xludf.DUMMYFUNCTION("""COMPUTED_VALUE"""),9.0)</f>
        <v>9</v>
      </c>
      <c r="G1376" s="2">
        <f>IFERROR(__xludf.DUMMYFUNCTION("""COMPUTED_VALUE"""),12.0)</f>
        <v>12</v>
      </c>
      <c r="H1376" s="2" t="str">
        <f>IFERROR(__xludf.DUMMYFUNCTION("""COMPUTED_VALUE"""),"Čehu pr.")</f>
        <v>Čehu pr.</v>
      </c>
      <c r="I1376" s="2" t="str">
        <f>IFERROR(__xludf.DUMMYFUNCTION("""COMPUTED_VALUE"""),"Brick")</f>
        <v>Brick</v>
      </c>
      <c r="J1376" s="2" t="str">
        <f>IFERROR(__xludf.DUMMYFUNCTION("""COMPUTED_VALUE"""),"All amenities")</f>
        <v>All amenities</v>
      </c>
      <c r="K1376" s="2">
        <f>IFERROR(__xludf.DUMMYFUNCTION("""COMPUTED_VALUE"""),34000.0)</f>
        <v>34000</v>
      </c>
      <c r="L1376" s="2">
        <f>IFERROR(__xludf.DUMMYFUNCTION("""COMPUTED_VALUE"""),56.9648157)</f>
        <v>56.9648157</v>
      </c>
      <c r="M1376" s="2">
        <f>IFERROR(__xludf.DUMMYFUNCTION("""COMPUTED_VALUE"""),24.0190534)</f>
        <v>24.0190534</v>
      </c>
    </row>
    <row r="1377">
      <c r="A1377" s="2" t="str">
        <f>IFERROR(__xludf.DUMMYFUNCTION("""COMPUTED_VALUE"""),"For sale")</f>
        <v>For sale</v>
      </c>
      <c r="B1377" s="2" t="str">
        <f>IFERROR(__xludf.DUMMYFUNCTION("""COMPUTED_VALUE"""),"Imanta")</f>
        <v>Imanta</v>
      </c>
      <c r="C1377" s="2" t="str">
        <f>IFERROR(__xludf.DUMMYFUNCTION("""COMPUTED_VALUE"""),"Dammes 27")</f>
        <v>Dammes 27</v>
      </c>
      <c r="D1377" s="2">
        <f>IFERROR(__xludf.DUMMYFUNCTION("""COMPUTED_VALUE"""),3.0)</f>
        <v>3</v>
      </c>
      <c r="E1377" s="2">
        <f>IFERROR(__xludf.DUMMYFUNCTION("""COMPUTED_VALUE"""),63.0)</f>
        <v>63</v>
      </c>
      <c r="F1377" s="2">
        <f>IFERROR(__xludf.DUMMYFUNCTION("""COMPUTED_VALUE"""),8.0)</f>
        <v>8</v>
      </c>
      <c r="G1377" s="2">
        <f>IFERROR(__xludf.DUMMYFUNCTION("""COMPUTED_VALUE"""),9.0)</f>
        <v>9</v>
      </c>
      <c r="H1377" s="2">
        <f>IFERROR(__xludf.DUMMYFUNCTION("""COMPUTED_VALUE"""),602.0)</f>
        <v>602</v>
      </c>
      <c r="I1377" s="2" t="str">
        <f>IFERROR(__xludf.DUMMYFUNCTION("""COMPUTED_VALUE"""),"Panel")</f>
        <v>Panel</v>
      </c>
      <c r="J1377" s="2" t="str">
        <f>IFERROR(__xludf.DUMMYFUNCTION("""COMPUTED_VALUE"""),"All amenities")</f>
        <v>All amenities</v>
      </c>
      <c r="K1377" s="2">
        <f>IFERROR(__xludf.DUMMYFUNCTION("""COMPUTED_VALUE"""),60000.0)</f>
        <v>60000</v>
      </c>
      <c r="L1377" s="2">
        <f>IFERROR(__xludf.DUMMYFUNCTION("""COMPUTED_VALUE"""),56.96468165)</f>
        <v>56.96468165</v>
      </c>
      <c r="M1377" s="2">
        <f>IFERROR(__xludf.DUMMYFUNCTION("""COMPUTED_VALUE"""),24.0091138749708)</f>
        <v>24.00911387</v>
      </c>
    </row>
    <row r="1378">
      <c r="A1378" s="2" t="str">
        <f>IFERROR(__xludf.DUMMYFUNCTION("""COMPUTED_VALUE"""),"For rent")</f>
        <v>For rent</v>
      </c>
      <c r="B1378" s="2" t="str">
        <f>IFERROR(__xludf.DUMMYFUNCTION("""COMPUTED_VALUE"""),"Imanta")</f>
        <v>Imanta</v>
      </c>
      <c r="C1378" s="2" t="str">
        <f>IFERROR(__xludf.DUMMYFUNCTION("""COMPUTED_VALUE"""),"Dammes 31")</f>
        <v>Dammes 31</v>
      </c>
      <c r="D1378" s="2">
        <f>IFERROR(__xludf.DUMMYFUNCTION("""COMPUTED_VALUE"""),1.0)</f>
        <v>1</v>
      </c>
      <c r="E1378" s="2">
        <f>IFERROR(__xludf.DUMMYFUNCTION("""COMPUTED_VALUE"""),37.0)</f>
        <v>37</v>
      </c>
      <c r="F1378" s="2">
        <f>IFERROR(__xludf.DUMMYFUNCTION("""COMPUTED_VALUE"""),3.0)</f>
        <v>3</v>
      </c>
      <c r="G1378" s="2">
        <f>IFERROR(__xludf.DUMMYFUNCTION("""COMPUTED_VALUE"""),9.0)</f>
        <v>9</v>
      </c>
      <c r="H1378" s="2">
        <f>IFERROR(__xludf.DUMMYFUNCTION("""COMPUTED_VALUE"""),602.0)</f>
        <v>602</v>
      </c>
      <c r="I1378" s="2" t="str">
        <f>IFERROR(__xludf.DUMMYFUNCTION("""COMPUTED_VALUE"""),"Panel")</f>
        <v>Panel</v>
      </c>
      <c r="J1378" s="2" t="str">
        <f>IFERROR(__xludf.DUMMYFUNCTION("""COMPUTED_VALUE"""),"All amenities")</f>
        <v>All amenities</v>
      </c>
      <c r="K1378" s="2">
        <f>IFERROR(__xludf.DUMMYFUNCTION("""COMPUTED_VALUE"""),250.0)</f>
        <v>250</v>
      </c>
      <c r="L1378" s="2">
        <f>IFERROR(__xludf.DUMMYFUNCTION("""COMPUTED_VALUE"""),56.96469885)</f>
        <v>56.96469885</v>
      </c>
      <c r="M1378" s="2">
        <f>IFERROR(__xludf.DUMMYFUNCTION("""COMPUTED_VALUE"""),24.0075821758969)</f>
        <v>24.00758218</v>
      </c>
    </row>
    <row r="1379">
      <c r="A1379" s="2" t="str">
        <f>IFERROR(__xludf.DUMMYFUNCTION("""COMPUTED_VALUE"""),"For rent")</f>
        <v>For rent</v>
      </c>
      <c r="B1379" s="2" t="str">
        <f>IFERROR(__xludf.DUMMYFUNCTION("""COMPUTED_VALUE"""),"Maskavas priekšpilsēta")</f>
        <v>Maskavas priekšpilsēta</v>
      </c>
      <c r="C1379" s="2" t="str">
        <f>IFERROR(__xludf.DUMMYFUNCTION("""COMPUTED_VALUE"""),"Maskavas 109")</f>
        <v>Maskavas 109</v>
      </c>
      <c r="D1379" s="2">
        <f>IFERROR(__xludf.DUMMYFUNCTION("""COMPUTED_VALUE"""),1.0)</f>
        <v>1</v>
      </c>
      <c r="E1379" s="2">
        <f>IFERROR(__xludf.DUMMYFUNCTION("""COMPUTED_VALUE"""),26.0)</f>
        <v>26</v>
      </c>
      <c r="F1379" s="2">
        <f>IFERROR(__xludf.DUMMYFUNCTION("""COMPUTED_VALUE"""),2.0)</f>
        <v>2</v>
      </c>
      <c r="G1379" s="2">
        <f>IFERROR(__xludf.DUMMYFUNCTION("""COMPUTED_VALUE"""),2.0)</f>
        <v>2</v>
      </c>
      <c r="H1379" s="2" t="str">
        <f>IFERROR(__xludf.DUMMYFUNCTION("""COMPUTED_VALUE"""),"Renov.")</f>
        <v>Renov.</v>
      </c>
      <c r="I1379" s="2" t="str">
        <f>IFERROR(__xludf.DUMMYFUNCTION("""COMPUTED_VALUE"""),"Masonry")</f>
        <v>Masonry</v>
      </c>
      <c r="J1379" s="2" t="str">
        <f>IFERROR(__xludf.DUMMYFUNCTION("""COMPUTED_VALUE"""),"All amenities")</f>
        <v>All amenities</v>
      </c>
      <c r="K1379" s="2">
        <f>IFERROR(__xludf.DUMMYFUNCTION("""COMPUTED_VALUE"""),295.0)</f>
        <v>295</v>
      </c>
      <c r="L1379" s="2">
        <f>IFERROR(__xludf.DUMMYFUNCTION("""COMPUTED_VALUE"""),56.8597884)</f>
        <v>56.8597884</v>
      </c>
      <c r="M1379" s="2">
        <f>IFERROR(__xludf.DUMMYFUNCTION("""COMPUTED_VALUE"""),24.3083417)</f>
        <v>24.3083417</v>
      </c>
    </row>
    <row r="1380">
      <c r="A1380" s="2" t="str">
        <f>IFERROR(__xludf.DUMMYFUNCTION("""COMPUTED_VALUE"""),"For rent")</f>
        <v>For rent</v>
      </c>
      <c r="B1380" s="2" t="str">
        <f>IFERROR(__xludf.DUMMYFUNCTION("""COMPUTED_VALUE"""),"Ziepniekkalns")</f>
        <v>Ziepniekkalns</v>
      </c>
      <c r="C1380" s="2" t="str">
        <f>IFERROR(__xludf.DUMMYFUNCTION("""COMPUTED_VALUE"""),"Ozolciema 30")</f>
        <v>Ozolciema 30</v>
      </c>
      <c r="D1380" s="2">
        <f>IFERROR(__xludf.DUMMYFUNCTION("""COMPUTED_VALUE"""),1.0)</f>
        <v>1</v>
      </c>
      <c r="E1380" s="2">
        <f>IFERROR(__xludf.DUMMYFUNCTION("""COMPUTED_VALUE"""),43.0)</f>
        <v>43</v>
      </c>
      <c r="F1380" s="2">
        <f>IFERROR(__xludf.DUMMYFUNCTION("""COMPUTED_VALUE"""),9.0)</f>
        <v>9</v>
      </c>
      <c r="G1380" s="2">
        <f>IFERROR(__xludf.DUMMYFUNCTION("""COMPUTED_VALUE"""),9.0)</f>
        <v>9</v>
      </c>
      <c r="H1380" s="2" t="str">
        <f>IFERROR(__xludf.DUMMYFUNCTION("""COMPUTED_VALUE"""),"M. ģim.")</f>
        <v>M. ģim.</v>
      </c>
      <c r="I1380" s="2" t="str">
        <f>IFERROR(__xludf.DUMMYFUNCTION("""COMPUTED_VALUE"""),"Panel-Brick")</f>
        <v>Panel-Brick</v>
      </c>
      <c r="J1380" s="2" t="str">
        <f>IFERROR(__xludf.DUMMYFUNCTION("""COMPUTED_VALUE"""),"All amenities")</f>
        <v>All amenities</v>
      </c>
      <c r="K1380" s="2">
        <f>IFERROR(__xludf.DUMMYFUNCTION("""COMPUTED_VALUE"""),250.0)</f>
        <v>250</v>
      </c>
      <c r="L1380" s="2">
        <f>IFERROR(__xludf.DUMMYFUNCTION("""COMPUTED_VALUE"""),56.89981695)</f>
        <v>56.89981695</v>
      </c>
      <c r="M1380" s="2">
        <f>IFERROR(__xludf.DUMMYFUNCTION("""COMPUTED_VALUE"""),24.0965337335385)</f>
        <v>24.09653373</v>
      </c>
    </row>
    <row r="1381">
      <c r="A1381" s="2" t="str">
        <f>IFERROR(__xludf.DUMMYFUNCTION("""COMPUTED_VALUE"""),"For sale")</f>
        <v>For sale</v>
      </c>
      <c r="B1381" s="2" t="str">
        <f>IFERROR(__xludf.DUMMYFUNCTION("""COMPUTED_VALUE"""),"Purvciems")</f>
        <v>Purvciems</v>
      </c>
      <c r="C1381" s="2" t="str">
        <f>IFERROR(__xludf.DUMMYFUNCTION("""COMPUTED_VALUE"""),"Burtnieku 35")</f>
        <v>Burtnieku 35</v>
      </c>
      <c r="D1381" s="2">
        <f>IFERROR(__xludf.DUMMYFUNCTION("""COMPUTED_VALUE"""),1.0)</f>
        <v>1</v>
      </c>
      <c r="E1381" s="2">
        <f>IFERROR(__xludf.DUMMYFUNCTION("""COMPUTED_VALUE"""),12.0)</f>
        <v>12</v>
      </c>
      <c r="F1381" s="2">
        <f>IFERROR(__xludf.DUMMYFUNCTION("""COMPUTED_VALUE"""),2.0)</f>
        <v>2</v>
      </c>
      <c r="G1381" s="2">
        <f>IFERROR(__xludf.DUMMYFUNCTION("""COMPUTED_VALUE"""),4.0)</f>
        <v>4</v>
      </c>
      <c r="H1381" s="2" t="str">
        <f>IFERROR(__xludf.DUMMYFUNCTION("""COMPUTED_VALUE"""),"Hrušč.")</f>
        <v>Hrušč.</v>
      </c>
      <c r="I1381" s="2" t="str">
        <f>IFERROR(__xludf.DUMMYFUNCTION("""COMPUTED_VALUE"""),"Brick")</f>
        <v>Brick</v>
      </c>
      <c r="J1381" s="2" t="str">
        <f>IFERROR(__xludf.DUMMYFUNCTION("""COMPUTED_VALUE"""),"Partial amenities")</f>
        <v>Partial amenities</v>
      </c>
      <c r="K1381" s="2">
        <f>IFERROR(__xludf.DUMMYFUNCTION("""COMPUTED_VALUE"""),13000.0)</f>
        <v>13000</v>
      </c>
      <c r="L1381" s="2">
        <f>IFERROR(__xludf.DUMMYFUNCTION("""COMPUTED_VALUE"""),56.96760975)</f>
        <v>56.96760975</v>
      </c>
      <c r="M1381" s="2">
        <f>IFERROR(__xludf.DUMMYFUNCTION("""COMPUTED_VALUE"""),24.1813539003571)</f>
        <v>24.1813539</v>
      </c>
    </row>
    <row r="1382">
      <c r="A1382" s="2" t="str">
        <f>IFERROR(__xludf.DUMMYFUNCTION("""COMPUTED_VALUE"""),"For sale")</f>
        <v>For sale</v>
      </c>
      <c r="B1382" s="2" t="str">
        <f>IFERROR(__xludf.DUMMYFUNCTION("""COMPUTED_VALUE"""),"Mežciems")</f>
        <v>Mežciems</v>
      </c>
      <c r="C1382" s="2" t="str">
        <f>IFERROR(__xludf.DUMMYFUNCTION("""COMPUTED_VALUE"""),"Kaivas 31")</f>
        <v>Kaivas 31</v>
      </c>
      <c r="D1382" s="2">
        <f>IFERROR(__xludf.DUMMYFUNCTION("""COMPUTED_VALUE"""),2.0)</f>
        <v>2</v>
      </c>
      <c r="E1382" s="2">
        <f>IFERROR(__xludf.DUMMYFUNCTION("""COMPUTED_VALUE"""),64.0)</f>
        <v>64</v>
      </c>
      <c r="F1382" s="2">
        <f>IFERROR(__xludf.DUMMYFUNCTION("""COMPUTED_VALUE"""),2.0)</f>
        <v>2</v>
      </c>
      <c r="G1382" s="2">
        <f>IFERROR(__xludf.DUMMYFUNCTION("""COMPUTED_VALUE"""),3.0)</f>
        <v>3</v>
      </c>
      <c r="H1382" s="2" t="str">
        <f>IFERROR(__xludf.DUMMYFUNCTION("""COMPUTED_VALUE"""),"Specpr.")</f>
        <v>Specpr.</v>
      </c>
      <c r="I1382" s="2" t="str">
        <f>IFERROR(__xludf.DUMMYFUNCTION("""COMPUTED_VALUE"""),"Panel-Brick")</f>
        <v>Panel-Brick</v>
      </c>
      <c r="J1382" s="2" t="str">
        <f>IFERROR(__xludf.DUMMYFUNCTION("""COMPUTED_VALUE"""),"All amenities")</f>
        <v>All amenities</v>
      </c>
      <c r="K1382" s="2">
        <f>IFERROR(__xludf.DUMMYFUNCTION("""COMPUTED_VALUE"""),114000.0)</f>
        <v>114000</v>
      </c>
      <c r="L1382" s="2">
        <f>IFERROR(__xludf.DUMMYFUNCTION("""COMPUTED_VALUE"""),56.9502294499999)</f>
        <v>56.95022945</v>
      </c>
      <c r="M1382" s="2">
        <f>IFERROR(__xludf.DUMMYFUNCTION("""COMPUTED_VALUE"""),24.247581468723)</f>
        <v>24.24758147</v>
      </c>
    </row>
    <row r="1383">
      <c r="A1383" s="2" t="str">
        <f>IFERROR(__xludf.DUMMYFUNCTION("""COMPUTED_VALUE"""),"For rent")</f>
        <v>For rent</v>
      </c>
      <c r="B1383" s="2" t="str">
        <f>IFERROR(__xludf.DUMMYFUNCTION("""COMPUTED_VALUE"""),"Krasta r-ns")</f>
        <v>Krasta r-ns</v>
      </c>
      <c r="C1383" s="2" t="str">
        <f>IFERROR(__xludf.DUMMYFUNCTION("""COMPUTED_VALUE"""),"Lubānas 6")</f>
        <v>Lubānas 6</v>
      </c>
      <c r="D1383" s="2">
        <f>IFERROR(__xludf.DUMMYFUNCTION("""COMPUTED_VALUE"""),2.0)</f>
        <v>2</v>
      </c>
      <c r="E1383" s="2">
        <f>IFERROR(__xludf.DUMMYFUNCTION("""COMPUTED_VALUE"""),51.0)</f>
        <v>51</v>
      </c>
      <c r="F1383" s="2">
        <f>IFERROR(__xludf.DUMMYFUNCTION("""COMPUTED_VALUE"""),3.0)</f>
        <v>3</v>
      </c>
      <c r="G1383" s="2">
        <f>IFERROR(__xludf.DUMMYFUNCTION("""COMPUTED_VALUE"""),9.0)</f>
        <v>9</v>
      </c>
      <c r="H1383" s="2">
        <f>IFERROR(__xludf.DUMMYFUNCTION("""COMPUTED_VALUE"""),467.0)</f>
        <v>467</v>
      </c>
      <c r="I1383" s="2" t="str">
        <f>IFERROR(__xludf.DUMMYFUNCTION("""COMPUTED_VALUE"""),"Panel")</f>
        <v>Panel</v>
      </c>
      <c r="J1383" s="2" t="str">
        <f>IFERROR(__xludf.DUMMYFUNCTION("""COMPUTED_VALUE"""),"All amenities")</f>
        <v>All amenities</v>
      </c>
      <c r="K1383" s="2">
        <f>IFERROR(__xludf.DUMMYFUNCTION("""COMPUTED_VALUE"""),350.0)</f>
        <v>350</v>
      </c>
      <c r="L1383" s="2">
        <f>IFERROR(__xludf.DUMMYFUNCTION("""COMPUTED_VALUE"""),56.9350799)</f>
        <v>56.9350799</v>
      </c>
      <c r="M1383" s="2">
        <f>IFERROR(__xludf.DUMMYFUNCTION("""COMPUTED_VALUE"""),24.1632686016965)</f>
        <v>24.1632686</v>
      </c>
    </row>
    <row r="1384">
      <c r="A1384" s="2" t="str">
        <f>IFERROR(__xludf.DUMMYFUNCTION("""COMPUTED_VALUE"""),"For sale")</f>
        <v>For sale</v>
      </c>
      <c r="B1384" s="2" t="str">
        <f>IFERROR(__xludf.DUMMYFUNCTION("""COMPUTED_VALUE"""),"Purvciems")</f>
        <v>Purvciems</v>
      </c>
      <c r="C1384" s="2" t="str">
        <f>IFERROR(__xludf.DUMMYFUNCTION("""COMPUTED_VALUE"""),"Ūnijas 74a")</f>
        <v>Ūnijas 74a</v>
      </c>
      <c r="D1384" s="2">
        <f>IFERROR(__xludf.DUMMYFUNCTION("""COMPUTED_VALUE"""),2.0)</f>
        <v>2</v>
      </c>
      <c r="E1384" s="2">
        <f>IFERROR(__xludf.DUMMYFUNCTION("""COMPUTED_VALUE"""),37.6)</f>
        <v>37.6</v>
      </c>
      <c r="F1384" s="2">
        <f>IFERROR(__xludf.DUMMYFUNCTION("""COMPUTED_VALUE"""),2.0)</f>
        <v>2</v>
      </c>
      <c r="G1384" s="2">
        <f>IFERROR(__xludf.DUMMYFUNCTION("""COMPUTED_VALUE"""),5.0)</f>
        <v>5</v>
      </c>
      <c r="H1384" s="2" t="str">
        <f>IFERROR(__xludf.DUMMYFUNCTION("""COMPUTED_VALUE"""),"LT proj.")</f>
        <v>LT proj.</v>
      </c>
      <c r="I1384" s="2" t="str">
        <f>IFERROR(__xludf.DUMMYFUNCTION("""COMPUTED_VALUE"""),"Panel")</f>
        <v>Panel</v>
      </c>
      <c r="J1384" s="2" t="str">
        <f>IFERROR(__xludf.DUMMYFUNCTION("""COMPUTED_VALUE"""),"All amenities")</f>
        <v>All amenities</v>
      </c>
      <c r="K1384" s="2">
        <f>IFERROR(__xludf.DUMMYFUNCTION("""COMPUTED_VALUE"""),35000.0)</f>
        <v>35000</v>
      </c>
      <c r="L1384" s="2">
        <f>IFERROR(__xludf.DUMMYFUNCTION("""COMPUTED_VALUE"""),56.9607141)</f>
        <v>56.9607141</v>
      </c>
      <c r="M1384" s="2">
        <f>IFERROR(__xludf.DUMMYFUNCTION("""COMPUTED_VALUE"""),24.1819521216915)</f>
        <v>24.18195212</v>
      </c>
    </row>
    <row r="1385">
      <c r="A1385" s="2" t="str">
        <f>IFERROR(__xludf.DUMMYFUNCTION("""COMPUTED_VALUE"""),"For sale")</f>
        <v>For sale</v>
      </c>
      <c r="B1385" s="2" t="str">
        <f>IFERROR(__xludf.DUMMYFUNCTION("""COMPUTED_VALUE"""),"Imanta")</f>
        <v>Imanta</v>
      </c>
      <c r="C1385" s="2" t="str">
        <f>IFERROR(__xludf.DUMMYFUNCTION("""COMPUTED_VALUE"""),"Zentenes 18")</f>
        <v>Zentenes 18</v>
      </c>
      <c r="D1385" s="2">
        <f>IFERROR(__xludf.DUMMYFUNCTION("""COMPUTED_VALUE"""),2.0)</f>
        <v>2</v>
      </c>
      <c r="E1385" s="2">
        <f>IFERROR(__xludf.DUMMYFUNCTION("""COMPUTED_VALUE"""),49.0)</f>
        <v>49</v>
      </c>
      <c r="F1385" s="2">
        <f>IFERROR(__xludf.DUMMYFUNCTION("""COMPUTED_VALUE"""),7.0)</f>
        <v>7</v>
      </c>
      <c r="G1385" s="2">
        <f>IFERROR(__xludf.DUMMYFUNCTION("""COMPUTED_VALUE"""),9.0)</f>
        <v>9</v>
      </c>
      <c r="H1385" s="2">
        <f>IFERROR(__xludf.DUMMYFUNCTION("""COMPUTED_VALUE"""),602.0)</f>
        <v>602</v>
      </c>
      <c r="I1385" s="2" t="str">
        <f>IFERROR(__xludf.DUMMYFUNCTION("""COMPUTED_VALUE"""),"Panel")</f>
        <v>Panel</v>
      </c>
      <c r="J1385" s="2" t="str">
        <f>IFERROR(__xludf.DUMMYFUNCTION("""COMPUTED_VALUE"""),"All amenities")</f>
        <v>All amenities</v>
      </c>
      <c r="K1385" s="2">
        <f>IFERROR(__xludf.DUMMYFUNCTION("""COMPUTED_VALUE"""),46000.0)</f>
        <v>46000</v>
      </c>
      <c r="L1385" s="2">
        <f>IFERROR(__xludf.DUMMYFUNCTION("""COMPUTED_VALUE"""),56.9618626)</f>
        <v>56.9618626</v>
      </c>
      <c r="M1385" s="2">
        <f>IFERROR(__xludf.DUMMYFUNCTION("""COMPUTED_VALUE"""),24.0034910214559)</f>
        <v>24.00349102</v>
      </c>
    </row>
    <row r="1386">
      <c r="A1386" s="2" t="str">
        <f>IFERROR(__xludf.DUMMYFUNCTION("""COMPUTED_VALUE"""),"For rent")</f>
        <v>For rent</v>
      </c>
      <c r="B1386" s="2" t="str">
        <f>IFERROR(__xludf.DUMMYFUNCTION("""COMPUTED_VALUE"""),"Vecdaugava")</f>
        <v>Vecdaugava</v>
      </c>
      <c r="C1386" s="2" t="str">
        <f>IFERROR(__xludf.DUMMYFUNCTION("""COMPUTED_VALUE"""),"Atlantijas 30")</f>
        <v>Atlantijas 30</v>
      </c>
      <c r="D1386" s="2">
        <f>IFERROR(__xludf.DUMMYFUNCTION("""COMPUTED_VALUE"""),1.0)</f>
        <v>1</v>
      </c>
      <c r="E1386" s="2">
        <f>IFERROR(__xludf.DUMMYFUNCTION("""COMPUTED_VALUE"""),30.0)</f>
        <v>30</v>
      </c>
      <c r="F1386" s="2">
        <f>IFERROR(__xludf.DUMMYFUNCTION("""COMPUTED_VALUE"""),3.0)</f>
        <v>3</v>
      </c>
      <c r="G1386" s="2">
        <f>IFERROR(__xludf.DUMMYFUNCTION("""COMPUTED_VALUE"""),4.0)</f>
        <v>4</v>
      </c>
      <c r="H1386" s="2" t="str">
        <f>IFERROR(__xludf.DUMMYFUNCTION("""COMPUTED_VALUE"""),"Hrušč.")</f>
        <v>Hrušč.</v>
      </c>
      <c r="I1386" s="2" t="str">
        <f>IFERROR(__xludf.DUMMYFUNCTION("""COMPUTED_VALUE"""),"Masonry")</f>
        <v>Masonry</v>
      </c>
      <c r="J1386" s="2" t="str">
        <f>IFERROR(__xludf.DUMMYFUNCTION("""COMPUTED_VALUE"""),"All amenities")</f>
        <v>All amenities</v>
      </c>
      <c r="K1386" s="2">
        <f>IFERROR(__xludf.DUMMYFUNCTION("""COMPUTED_VALUE"""),180.0)</f>
        <v>180</v>
      </c>
      <c r="L1386" s="2">
        <f>IFERROR(__xludf.DUMMYFUNCTION("""COMPUTED_VALUE"""),57.044461)</f>
        <v>57.044461</v>
      </c>
      <c r="M1386" s="2">
        <f>IFERROR(__xludf.DUMMYFUNCTION("""COMPUTED_VALUE"""),24.0924973827027)</f>
        <v>24.09249738</v>
      </c>
    </row>
    <row r="1387">
      <c r="A1387" s="2" t="str">
        <f>IFERROR(__xludf.DUMMYFUNCTION("""COMPUTED_VALUE"""),"For rent")</f>
        <v>For rent</v>
      </c>
      <c r="B1387" s="2" t="str">
        <f>IFERROR(__xludf.DUMMYFUNCTION("""COMPUTED_VALUE"""),"Imanta")</f>
        <v>Imanta</v>
      </c>
      <c r="C1387" s="2" t="str">
        <f>IFERROR(__xludf.DUMMYFUNCTION("""COMPUTED_VALUE"""),"Jūrmalas g. 91")</f>
        <v>Jūrmalas g. 91</v>
      </c>
      <c r="D1387" s="2">
        <f>IFERROR(__xludf.DUMMYFUNCTION("""COMPUTED_VALUE"""),2.0)</f>
        <v>2</v>
      </c>
      <c r="E1387" s="2">
        <f>IFERROR(__xludf.DUMMYFUNCTION("""COMPUTED_VALUE"""),50.0)</f>
        <v>50</v>
      </c>
      <c r="F1387" s="2">
        <f>IFERROR(__xludf.DUMMYFUNCTION("""COMPUTED_VALUE"""),4.0)</f>
        <v>4</v>
      </c>
      <c r="G1387" s="2">
        <f>IFERROR(__xludf.DUMMYFUNCTION("""COMPUTED_VALUE"""),5.0)</f>
        <v>5</v>
      </c>
      <c r="H1387" s="2" t="str">
        <f>IFERROR(__xludf.DUMMYFUNCTION("""COMPUTED_VALUE"""),"LT proj.")</f>
        <v>LT proj.</v>
      </c>
      <c r="I1387" s="2" t="str">
        <f>IFERROR(__xludf.DUMMYFUNCTION("""COMPUTED_VALUE"""),"Panel")</f>
        <v>Panel</v>
      </c>
      <c r="J1387" s="2" t="str">
        <f>IFERROR(__xludf.DUMMYFUNCTION("""COMPUTED_VALUE"""),"All amenities")</f>
        <v>All amenities</v>
      </c>
      <c r="K1387" s="2">
        <f>IFERROR(__xludf.DUMMYFUNCTION("""COMPUTED_VALUE"""),290.0)</f>
        <v>290</v>
      </c>
      <c r="L1387" s="2">
        <f>IFERROR(__xludf.DUMMYFUNCTION("""COMPUTED_VALUE"""),56.952975)</f>
        <v>56.952975</v>
      </c>
      <c r="M1387" s="2">
        <f>IFERROR(__xludf.DUMMYFUNCTION("""COMPUTED_VALUE"""),24.0166971)</f>
        <v>24.0166971</v>
      </c>
    </row>
    <row r="1388">
      <c r="A1388" s="2" t="str">
        <f>IFERROR(__xludf.DUMMYFUNCTION("""COMPUTED_VALUE"""),"For sale")</f>
        <v>For sale</v>
      </c>
      <c r="B1388" s="2" t="str">
        <f>IFERROR(__xludf.DUMMYFUNCTION("""COMPUTED_VALUE"""),"centrs")</f>
        <v>centrs</v>
      </c>
      <c r="C1388" s="2" t="str">
        <f>IFERROR(__xludf.DUMMYFUNCTION("""COMPUTED_VALUE"""),"Matīsa 85")</f>
        <v>Matīsa 85</v>
      </c>
      <c r="D1388" s="2">
        <f>IFERROR(__xludf.DUMMYFUNCTION("""COMPUTED_VALUE"""),1.0)</f>
        <v>1</v>
      </c>
      <c r="E1388" s="2">
        <f>IFERROR(__xludf.DUMMYFUNCTION("""COMPUTED_VALUE"""),56.0)</f>
        <v>56</v>
      </c>
      <c r="F1388" s="2">
        <f>IFERROR(__xludf.DUMMYFUNCTION("""COMPUTED_VALUE"""),6.0)</f>
        <v>6</v>
      </c>
      <c r="G1388" s="2">
        <f>IFERROR(__xludf.DUMMYFUNCTION("""COMPUTED_VALUE"""),6.0)</f>
        <v>6</v>
      </c>
      <c r="H1388" s="2" t="str">
        <f>IFERROR(__xludf.DUMMYFUNCTION("""COMPUTED_VALUE"""),"P. kara")</f>
        <v>P. kara</v>
      </c>
      <c r="I1388" s="2" t="str">
        <f>IFERROR(__xludf.DUMMYFUNCTION("""COMPUTED_VALUE"""),"Masonry")</f>
        <v>Masonry</v>
      </c>
      <c r="J1388" s="2" t="str">
        <f>IFERROR(__xludf.DUMMYFUNCTION("""COMPUTED_VALUE"""),"All amenities")</f>
        <v>All amenities</v>
      </c>
      <c r="K1388" s="2">
        <f>IFERROR(__xludf.DUMMYFUNCTION("""COMPUTED_VALUE"""),67000.0)</f>
        <v>67000</v>
      </c>
      <c r="L1388" s="2">
        <f>IFERROR(__xludf.DUMMYFUNCTION("""COMPUTED_VALUE"""),56.9526541)</f>
        <v>56.9526541</v>
      </c>
      <c r="M1388" s="2">
        <f>IFERROR(__xludf.DUMMYFUNCTION("""COMPUTED_VALUE"""),24.1433157)</f>
        <v>24.1433157</v>
      </c>
    </row>
    <row r="1389">
      <c r="A1389" s="2" t="str">
        <f>IFERROR(__xludf.DUMMYFUNCTION("""COMPUTED_VALUE"""),"For sale")</f>
        <v>For sale</v>
      </c>
      <c r="B1389" s="2" t="str">
        <f>IFERROR(__xludf.DUMMYFUNCTION("""COMPUTED_VALUE"""),"Iļģuciems")</f>
        <v>Iļģuciems</v>
      </c>
      <c r="C1389" s="2" t="str">
        <f>IFERROR(__xludf.DUMMYFUNCTION("""COMPUTED_VALUE"""),"Lidoņu 5")</f>
        <v>Lidoņu 5</v>
      </c>
      <c r="D1389" s="2">
        <f>IFERROR(__xludf.DUMMYFUNCTION("""COMPUTED_VALUE"""),2.0)</f>
        <v>2</v>
      </c>
      <c r="E1389" s="2">
        <f>IFERROR(__xludf.DUMMYFUNCTION("""COMPUTED_VALUE"""),50.0)</f>
        <v>50</v>
      </c>
      <c r="F1389" s="2">
        <f>IFERROR(__xludf.DUMMYFUNCTION("""COMPUTED_VALUE"""),1.0)</f>
        <v>1</v>
      </c>
      <c r="G1389" s="2">
        <f>IFERROR(__xludf.DUMMYFUNCTION("""COMPUTED_VALUE"""),5.0)</f>
        <v>5</v>
      </c>
      <c r="H1389" s="2" t="str">
        <f>IFERROR(__xludf.DUMMYFUNCTION("""COMPUTED_VALUE"""),"LT proj.")</f>
        <v>LT proj.</v>
      </c>
      <c r="I1389" s="2" t="str">
        <f>IFERROR(__xludf.DUMMYFUNCTION("""COMPUTED_VALUE"""),"Panel")</f>
        <v>Panel</v>
      </c>
      <c r="J1389" s="2" t="str">
        <f>IFERROR(__xludf.DUMMYFUNCTION("""COMPUTED_VALUE"""),"All amenities")</f>
        <v>All amenities</v>
      </c>
      <c r="K1389" s="2">
        <f>IFERROR(__xludf.DUMMYFUNCTION("""COMPUTED_VALUE"""),45000.0)</f>
        <v>45000</v>
      </c>
      <c r="L1389" s="2">
        <f>IFERROR(__xludf.DUMMYFUNCTION("""COMPUTED_VALUE"""),56.9719042)</f>
        <v>56.9719042</v>
      </c>
      <c r="M1389" s="2">
        <f>IFERROR(__xludf.DUMMYFUNCTION("""COMPUTED_VALUE"""),24.0695252879094)</f>
        <v>24.06952529</v>
      </c>
    </row>
    <row r="1390">
      <c r="A1390" s="2" t="str">
        <f>IFERROR(__xludf.DUMMYFUNCTION("""COMPUTED_VALUE"""),"For rent")</f>
        <v>For rent</v>
      </c>
      <c r="B1390" s="2" t="str">
        <f>IFERROR(__xludf.DUMMYFUNCTION("""COMPUTED_VALUE"""),"centrs")</f>
        <v>centrs</v>
      </c>
      <c r="C1390" s="2" t="str">
        <f>IFERROR(__xludf.DUMMYFUNCTION("""COMPUTED_VALUE"""),"Bruņinieku 81")</f>
        <v>Bruņinieku 81</v>
      </c>
      <c r="D1390" s="2">
        <f>IFERROR(__xludf.DUMMYFUNCTION("""COMPUTED_VALUE"""),1.0)</f>
        <v>1</v>
      </c>
      <c r="E1390" s="2">
        <f>IFERROR(__xludf.DUMMYFUNCTION("""COMPUTED_VALUE"""),23.0)</f>
        <v>23</v>
      </c>
      <c r="F1390" s="2">
        <f>IFERROR(__xludf.DUMMYFUNCTION("""COMPUTED_VALUE"""),3.0)</f>
        <v>3</v>
      </c>
      <c r="G1390" s="2">
        <f>IFERROR(__xludf.DUMMYFUNCTION("""COMPUTED_VALUE"""),5.0)</f>
        <v>5</v>
      </c>
      <c r="H1390" s="2" t="str">
        <f>IFERROR(__xludf.DUMMYFUNCTION("""COMPUTED_VALUE"""),"P. kara")</f>
        <v>P. kara</v>
      </c>
      <c r="I1390" s="2" t="str">
        <f>IFERROR(__xludf.DUMMYFUNCTION("""COMPUTED_VALUE"""),"Masonry")</f>
        <v>Masonry</v>
      </c>
      <c r="J1390" s="2" t="str">
        <f>IFERROR(__xludf.DUMMYFUNCTION("""COMPUTED_VALUE"""),"All amenities")</f>
        <v>All amenities</v>
      </c>
      <c r="K1390" s="2">
        <f>IFERROR(__xludf.DUMMYFUNCTION("""COMPUTED_VALUE"""),235.0)</f>
        <v>235</v>
      </c>
      <c r="L1390" s="2">
        <f>IFERROR(__xludf.DUMMYFUNCTION("""COMPUTED_VALUE"""),56.9519155)</f>
        <v>56.9519155</v>
      </c>
      <c r="M1390" s="2">
        <f>IFERROR(__xludf.DUMMYFUNCTION("""COMPUTED_VALUE"""),24.1404527160079)</f>
        <v>24.14045272</v>
      </c>
    </row>
    <row r="1391">
      <c r="A1391" s="2" t="str">
        <f>IFERROR(__xludf.DUMMYFUNCTION("""COMPUTED_VALUE"""),"For sale")</f>
        <v>For sale</v>
      </c>
      <c r="B1391" s="2" t="str">
        <f>IFERROR(__xludf.DUMMYFUNCTION("""COMPUTED_VALUE"""),"Pļavnieki")</f>
        <v>Pļavnieki</v>
      </c>
      <c r="C1391" s="2" t="str">
        <f>IFERROR(__xludf.DUMMYFUNCTION("""COMPUTED_VALUE"""),"Ilūkstes 1")</f>
        <v>Ilūkstes 1</v>
      </c>
      <c r="D1391" s="2">
        <f>IFERROR(__xludf.DUMMYFUNCTION("""COMPUTED_VALUE"""),5.0)</f>
        <v>5</v>
      </c>
      <c r="E1391" s="2">
        <f>IFERROR(__xludf.DUMMYFUNCTION("""COMPUTED_VALUE"""),98.0)</f>
        <v>98</v>
      </c>
      <c r="F1391" s="2">
        <f>IFERROR(__xludf.DUMMYFUNCTION("""COMPUTED_VALUE"""),2.0)</f>
        <v>2</v>
      </c>
      <c r="G1391" s="2">
        <f>IFERROR(__xludf.DUMMYFUNCTION("""COMPUTED_VALUE"""),5.0)</f>
        <v>5</v>
      </c>
      <c r="H1391" s="2">
        <f>IFERROR(__xludf.DUMMYFUNCTION("""COMPUTED_VALUE"""),103.0)</f>
        <v>103</v>
      </c>
      <c r="I1391" s="2" t="str">
        <f>IFERROR(__xludf.DUMMYFUNCTION("""COMPUTED_VALUE"""),"Brick")</f>
        <v>Brick</v>
      </c>
      <c r="J1391" s="2" t="str">
        <f>IFERROR(__xludf.DUMMYFUNCTION("""COMPUTED_VALUE"""),"All amenities")</f>
        <v>All amenities</v>
      </c>
      <c r="K1391" s="2">
        <f>IFERROR(__xludf.DUMMYFUNCTION("""COMPUTED_VALUE"""),103000.0)</f>
        <v>103000</v>
      </c>
      <c r="L1391" s="2">
        <f>IFERROR(__xludf.DUMMYFUNCTION("""COMPUTED_VALUE"""),56.9493595)</f>
        <v>56.9493595</v>
      </c>
      <c r="M1391" s="2">
        <f>IFERROR(__xludf.DUMMYFUNCTION("""COMPUTED_VALUE"""),24.2007593769718)</f>
        <v>24.20075938</v>
      </c>
    </row>
    <row r="1392">
      <c r="A1392" s="2" t="str">
        <f>IFERROR(__xludf.DUMMYFUNCTION("""COMPUTED_VALUE"""),"For rent")</f>
        <v>For rent</v>
      </c>
      <c r="B1392" s="2" t="str">
        <f>IFERROR(__xludf.DUMMYFUNCTION("""COMPUTED_VALUE"""),"Mežaparks")</f>
        <v>Mežaparks</v>
      </c>
      <c r="C1392" s="2" t="str">
        <f>IFERROR(__xludf.DUMMYFUNCTION("""COMPUTED_VALUE"""),"Gdaņskas 11")</f>
        <v>Gdaņskas 11</v>
      </c>
      <c r="D1392" s="2">
        <f>IFERROR(__xludf.DUMMYFUNCTION("""COMPUTED_VALUE"""),3.0)</f>
        <v>3</v>
      </c>
      <c r="E1392" s="2">
        <f>IFERROR(__xludf.DUMMYFUNCTION("""COMPUTED_VALUE"""),75.0)</f>
        <v>75</v>
      </c>
      <c r="F1392" s="2">
        <f>IFERROR(__xludf.DUMMYFUNCTION("""COMPUTED_VALUE"""),1.0)</f>
        <v>1</v>
      </c>
      <c r="G1392" s="2">
        <f>IFERROR(__xludf.DUMMYFUNCTION("""COMPUTED_VALUE"""),3.0)</f>
        <v>3</v>
      </c>
      <c r="H1392" s="2" t="str">
        <f>IFERROR(__xludf.DUMMYFUNCTION("""COMPUTED_VALUE"""),"Specpr.")</f>
        <v>Specpr.</v>
      </c>
      <c r="I1392" s="2" t="str">
        <f>IFERROR(__xludf.DUMMYFUNCTION("""COMPUTED_VALUE"""),"Masonry")</f>
        <v>Masonry</v>
      </c>
      <c r="J1392" s="2" t="str">
        <f>IFERROR(__xludf.DUMMYFUNCTION("""COMPUTED_VALUE"""),"All amenities")</f>
        <v>All amenities</v>
      </c>
      <c r="K1392" s="2">
        <f>IFERROR(__xludf.DUMMYFUNCTION("""COMPUTED_VALUE"""),670.0)</f>
        <v>670</v>
      </c>
      <c r="L1392" s="2">
        <f>IFERROR(__xludf.DUMMYFUNCTION("""COMPUTED_VALUE"""),56.9995945)</f>
        <v>56.9995945</v>
      </c>
      <c r="M1392" s="2">
        <f>IFERROR(__xludf.DUMMYFUNCTION("""COMPUTED_VALUE"""),24.15429215)</f>
        <v>24.15429215</v>
      </c>
    </row>
    <row r="1393">
      <c r="A1393" s="2" t="str">
        <f>IFERROR(__xludf.DUMMYFUNCTION("""COMPUTED_VALUE"""),"For sale")</f>
        <v>For sale</v>
      </c>
      <c r="B1393" s="2" t="str">
        <f>IFERROR(__xludf.DUMMYFUNCTION("""COMPUTED_VALUE"""),"centrs")</f>
        <v>centrs</v>
      </c>
      <c r="C1393" s="2" t="str">
        <f>IFERROR(__xludf.DUMMYFUNCTION("""COMPUTED_VALUE"""),"Hospitāļu 1")</f>
        <v>Hospitāļu 1</v>
      </c>
      <c r="D1393" s="2">
        <f>IFERROR(__xludf.DUMMYFUNCTION("""COMPUTED_VALUE"""),4.0)</f>
        <v>4</v>
      </c>
      <c r="E1393" s="2">
        <f>IFERROR(__xludf.DUMMYFUNCTION("""COMPUTED_VALUE"""),92.0)</f>
        <v>92</v>
      </c>
      <c r="F1393" s="2">
        <f>IFERROR(__xludf.DUMMYFUNCTION("""COMPUTED_VALUE"""),4.0)</f>
        <v>4</v>
      </c>
      <c r="G1393" s="2">
        <f>IFERROR(__xludf.DUMMYFUNCTION("""COMPUTED_VALUE"""),7.0)</f>
        <v>7</v>
      </c>
      <c r="H1393" s="2" t="str">
        <f>IFERROR(__xludf.DUMMYFUNCTION("""COMPUTED_VALUE"""),"Specpr.")</f>
        <v>Specpr.</v>
      </c>
      <c r="I1393" s="2" t="str">
        <f>IFERROR(__xludf.DUMMYFUNCTION("""COMPUTED_VALUE"""),"Brick")</f>
        <v>Brick</v>
      </c>
      <c r="J1393" s="2" t="str">
        <f>IFERROR(__xludf.DUMMYFUNCTION("""COMPUTED_VALUE"""),"All amenities")</f>
        <v>All amenities</v>
      </c>
      <c r="K1393" s="2">
        <f>IFERROR(__xludf.DUMMYFUNCTION("""COMPUTED_VALUE"""),162000.0)</f>
        <v>162000</v>
      </c>
      <c r="L1393" s="2">
        <f>IFERROR(__xludf.DUMMYFUNCTION("""COMPUTED_VALUE"""),56.968844)</f>
        <v>56.968844</v>
      </c>
      <c r="M1393" s="2">
        <f>IFERROR(__xludf.DUMMYFUNCTION("""COMPUTED_VALUE"""),24.1353209)</f>
        <v>24.1353209</v>
      </c>
    </row>
    <row r="1394">
      <c r="A1394" s="2" t="str">
        <f>IFERROR(__xludf.DUMMYFUNCTION("""COMPUTED_VALUE"""),"For sale")</f>
        <v>For sale</v>
      </c>
      <c r="B1394" s="2" t="str">
        <f>IFERROR(__xludf.DUMMYFUNCTION("""COMPUTED_VALUE"""),"Imanta")</f>
        <v>Imanta</v>
      </c>
      <c r="C1394" s="2" t="str">
        <f>IFERROR(__xludf.DUMMYFUNCTION("""COMPUTED_VALUE"""),"Anniņmuižas bulvāris 43")</f>
        <v>Anniņmuižas bulvāris 43</v>
      </c>
      <c r="D1394" s="2">
        <f>IFERROR(__xludf.DUMMYFUNCTION("""COMPUTED_VALUE"""),2.0)</f>
        <v>2</v>
      </c>
      <c r="E1394" s="2">
        <f>IFERROR(__xludf.DUMMYFUNCTION("""COMPUTED_VALUE"""),94.0)</f>
        <v>94</v>
      </c>
      <c r="F1394" s="2">
        <f>IFERROR(__xludf.DUMMYFUNCTION("""COMPUTED_VALUE"""),13.0)</f>
        <v>13</v>
      </c>
      <c r="G1394" s="2">
        <f>IFERROR(__xludf.DUMMYFUNCTION("""COMPUTED_VALUE"""),24.0)</f>
        <v>24</v>
      </c>
      <c r="H1394" s="2" t="str">
        <f>IFERROR(__xludf.DUMMYFUNCTION("""COMPUTED_VALUE"""),"Specpr.")</f>
        <v>Specpr.</v>
      </c>
      <c r="I1394" s="2" t="str">
        <f>IFERROR(__xludf.DUMMYFUNCTION("""COMPUTED_VALUE"""),"Masonry")</f>
        <v>Masonry</v>
      </c>
      <c r="J1394" s="2" t="str">
        <f>IFERROR(__xludf.DUMMYFUNCTION("""COMPUTED_VALUE"""),"All amenities")</f>
        <v>All amenities</v>
      </c>
      <c r="K1394" s="2">
        <f>IFERROR(__xludf.DUMMYFUNCTION("""COMPUTED_VALUE"""),147000.0)</f>
        <v>147000</v>
      </c>
      <c r="L1394" s="2">
        <f>IFERROR(__xludf.DUMMYFUNCTION("""COMPUTED_VALUE"""),56.9590306)</f>
        <v>56.9590306</v>
      </c>
      <c r="M1394" s="2">
        <f>IFERROR(__xludf.DUMMYFUNCTION("""COMPUTED_VALUE"""),24.013887042853)</f>
        <v>24.01388704</v>
      </c>
    </row>
    <row r="1395">
      <c r="A1395" s="2" t="str">
        <f>IFERROR(__xludf.DUMMYFUNCTION("""COMPUTED_VALUE"""),"For rent")</f>
        <v>For rent</v>
      </c>
      <c r="B1395" s="2" t="str">
        <f>IFERROR(__xludf.DUMMYFUNCTION("""COMPUTED_VALUE"""),"Imanta")</f>
        <v>Imanta</v>
      </c>
      <c r="C1395" s="2" t="str">
        <f>IFERROR(__xludf.DUMMYFUNCTION("""COMPUTED_VALUE"""),"Kleistu 205")</f>
        <v>Kleistu 205</v>
      </c>
      <c r="D1395" s="2">
        <f>IFERROR(__xludf.DUMMYFUNCTION("""COMPUTED_VALUE"""),2.0)</f>
        <v>2</v>
      </c>
      <c r="E1395" s="2">
        <f>IFERROR(__xludf.DUMMYFUNCTION("""COMPUTED_VALUE"""),45.0)</f>
        <v>45</v>
      </c>
      <c r="F1395" s="2">
        <f>IFERROR(__xludf.DUMMYFUNCTION("""COMPUTED_VALUE"""),1.0)</f>
        <v>1</v>
      </c>
      <c r="G1395" s="2">
        <f>IFERROR(__xludf.DUMMYFUNCTION("""COMPUTED_VALUE"""),1.0)</f>
        <v>1</v>
      </c>
      <c r="H1395" s="2" t="str">
        <f>IFERROR(__xludf.DUMMYFUNCTION("""COMPUTED_VALUE"""),"Priv. m.")</f>
        <v>Priv. m.</v>
      </c>
      <c r="I1395" s="2" t="str">
        <f>IFERROR(__xludf.DUMMYFUNCTION("""COMPUTED_VALUE"""),"Wood")</f>
        <v>Wood</v>
      </c>
      <c r="J1395" s="2" t="str">
        <f>IFERROR(__xludf.DUMMYFUNCTION("""COMPUTED_VALUE"""),"All amenities")</f>
        <v>All amenities</v>
      </c>
      <c r="K1395" s="2">
        <f>IFERROR(__xludf.DUMMYFUNCTION("""COMPUTED_VALUE"""),32.0)</f>
        <v>32</v>
      </c>
      <c r="L1395" s="2">
        <f>IFERROR(__xludf.DUMMYFUNCTION("""COMPUTED_VALUE"""),56.9675737)</f>
        <v>56.9675737</v>
      </c>
      <c r="M1395" s="2">
        <f>IFERROR(__xludf.DUMMYFUNCTION("""COMPUTED_VALUE"""),24.0276706)</f>
        <v>24.0276706</v>
      </c>
    </row>
    <row r="1396">
      <c r="A1396" s="2" t="str">
        <f>IFERROR(__xludf.DUMMYFUNCTION("""COMPUTED_VALUE"""),"For rent")</f>
        <v>For rent</v>
      </c>
      <c r="B1396" s="2" t="str">
        <f>IFERROR(__xludf.DUMMYFUNCTION("""COMPUTED_VALUE"""),"centrs")</f>
        <v>centrs</v>
      </c>
      <c r="C1396" s="2" t="str">
        <f>IFERROR(__xludf.DUMMYFUNCTION("""COMPUTED_VALUE"""),"Čaka 70")</f>
        <v>Čaka 70</v>
      </c>
      <c r="D1396" s="2">
        <f>IFERROR(__xludf.DUMMYFUNCTION("""COMPUTED_VALUE"""),3.0)</f>
        <v>3</v>
      </c>
      <c r="E1396" s="2">
        <f>IFERROR(__xludf.DUMMYFUNCTION("""COMPUTED_VALUE"""),120.0)</f>
        <v>120</v>
      </c>
      <c r="F1396" s="2">
        <f>IFERROR(__xludf.DUMMYFUNCTION("""COMPUTED_VALUE"""),2.0)</f>
        <v>2</v>
      </c>
      <c r="G1396" s="2">
        <f>IFERROR(__xludf.DUMMYFUNCTION("""COMPUTED_VALUE"""),5.0)</f>
        <v>5</v>
      </c>
      <c r="H1396" s="2" t="str">
        <f>IFERROR(__xludf.DUMMYFUNCTION("""COMPUTED_VALUE"""),"P. kara")</f>
        <v>P. kara</v>
      </c>
      <c r="I1396" s="2" t="str">
        <f>IFERROR(__xludf.DUMMYFUNCTION("""COMPUTED_VALUE"""),"Brick")</f>
        <v>Brick</v>
      </c>
      <c r="J1396" s="2" t="str">
        <f>IFERROR(__xludf.DUMMYFUNCTION("""COMPUTED_VALUE"""),"All amenities")</f>
        <v>All amenities</v>
      </c>
      <c r="K1396" s="2">
        <f>IFERROR(__xludf.DUMMYFUNCTION("""COMPUTED_VALUE"""),15.0)</f>
        <v>15</v>
      </c>
      <c r="L1396" s="2">
        <f>IFERROR(__xludf.DUMMYFUNCTION("""COMPUTED_VALUE"""),56.9557185)</f>
        <v>56.9557185</v>
      </c>
      <c r="M1396" s="2">
        <f>IFERROR(__xludf.DUMMYFUNCTION("""COMPUTED_VALUE"""),24.1356095)</f>
        <v>24.1356095</v>
      </c>
    </row>
    <row r="1397">
      <c r="A1397" s="2" t="str">
        <f>IFERROR(__xludf.DUMMYFUNCTION("""COMPUTED_VALUE"""),"For rent")</f>
        <v>For rent</v>
      </c>
      <c r="B1397" s="2" t="str">
        <f>IFERROR(__xludf.DUMMYFUNCTION("""COMPUTED_VALUE"""),"centrs")</f>
        <v>centrs</v>
      </c>
      <c r="C1397" s="2" t="str">
        <f>IFERROR(__xludf.DUMMYFUNCTION("""COMPUTED_VALUE"""),"Avotu 64")</f>
        <v>Avotu 64</v>
      </c>
      <c r="D1397" s="2">
        <f>IFERROR(__xludf.DUMMYFUNCTION("""COMPUTED_VALUE"""),2.0)</f>
        <v>2</v>
      </c>
      <c r="E1397" s="2">
        <f>IFERROR(__xludf.DUMMYFUNCTION("""COMPUTED_VALUE"""),42.0)</f>
        <v>42</v>
      </c>
      <c r="F1397" s="2">
        <f>IFERROR(__xludf.DUMMYFUNCTION("""COMPUTED_VALUE"""),1.0)</f>
        <v>1</v>
      </c>
      <c r="G1397" s="2">
        <f>IFERROR(__xludf.DUMMYFUNCTION("""COMPUTED_VALUE"""),5.0)</f>
        <v>5</v>
      </c>
      <c r="H1397" s="2" t="str">
        <f>IFERROR(__xludf.DUMMYFUNCTION("""COMPUTED_VALUE"""),"P. kara")</f>
        <v>P. kara</v>
      </c>
      <c r="I1397" s="2" t="str">
        <f>IFERROR(__xludf.DUMMYFUNCTION("""COMPUTED_VALUE"""),"Masonry")</f>
        <v>Masonry</v>
      </c>
      <c r="J1397" s="2" t="str">
        <f>IFERROR(__xludf.DUMMYFUNCTION("""COMPUTED_VALUE"""),"All amenities")</f>
        <v>All amenities</v>
      </c>
      <c r="K1397" s="2">
        <f>IFERROR(__xludf.DUMMYFUNCTION("""COMPUTED_VALUE"""),300.0)</f>
        <v>300</v>
      </c>
      <c r="L1397" s="2">
        <f>IFERROR(__xludf.DUMMYFUNCTION("""COMPUTED_VALUE"""),56.9525397)</f>
        <v>56.9525397</v>
      </c>
      <c r="M1397" s="2">
        <f>IFERROR(__xludf.DUMMYFUNCTION("""COMPUTED_VALUE"""),24.1420789)</f>
        <v>24.1420789</v>
      </c>
    </row>
    <row r="1398">
      <c r="A1398" s="2" t="str">
        <f>IFERROR(__xludf.DUMMYFUNCTION("""COMPUTED_VALUE"""),"For sale")</f>
        <v>For sale</v>
      </c>
      <c r="B1398" s="2" t="str">
        <f>IFERROR(__xludf.DUMMYFUNCTION("""COMPUTED_VALUE"""),"Mežciems")</f>
        <v>Mežciems</v>
      </c>
      <c r="C1398" s="2" t="str">
        <f>IFERROR(__xludf.DUMMYFUNCTION("""COMPUTED_VALUE"""),"Biķernieku 9")</f>
        <v>Biķernieku 9</v>
      </c>
      <c r="D1398" s="2">
        <f>IFERROR(__xludf.DUMMYFUNCTION("""COMPUTED_VALUE"""),3.0)</f>
        <v>3</v>
      </c>
      <c r="E1398" s="2">
        <f>IFERROR(__xludf.DUMMYFUNCTION("""COMPUTED_VALUE"""),83.3)</f>
        <v>83.3</v>
      </c>
      <c r="F1398" s="2">
        <f>IFERROR(__xludf.DUMMYFUNCTION("""COMPUTED_VALUE"""),3.0)</f>
        <v>3</v>
      </c>
      <c r="G1398" s="2">
        <f>IFERROR(__xludf.DUMMYFUNCTION("""COMPUTED_VALUE"""),4.0)</f>
        <v>4</v>
      </c>
      <c r="H1398" s="2" t="str">
        <f>IFERROR(__xludf.DUMMYFUNCTION("""COMPUTED_VALUE"""),"Jaun.")</f>
        <v>Jaun.</v>
      </c>
      <c r="I1398" s="2" t="str">
        <f>IFERROR(__xludf.DUMMYFUNCTION("""COMPUTED_VALUE"""),"Panel")</f>
        <v>Panel</v>
      </c>
      <c r="J1398" s="2" t="str">
        <f>IFERROR(__xludf.DUMMYFUNCTION("""COMPUTED_VALUE"""),"All amenities")</f>
        <v>All amenities</v>
      </c>
      <c r="K1398" s="2">
        <f>IFERROR(__xludf.DUMMYFUNCTION("""COMPUTED_VALUE"""),135000.0)</f>
        <v>135000</v>
      </c>
      <c r="L1398" s="2">
        <f>IFERROR(__xludf.DUMMYFUNCTION("""COMPUTED_VALUE"""),56.95868265)</f>
        <v>56.95868265</v>
      </c>
      <c r="M1398" s="2">
        <f>IFERROR(__xludf.DUMMYFUNCTION("""COMPUTED_VALUE"""),24.2414353929283)</f>
        <v>24.24143539</v>
      </c>
    </row>
    <row r="1399">
      <c r="A1399" s="2" t="str">
        <f>IFERROR(__xludf.DUMMYFUNCTION("""COMPUTED_VALUE"""),"For sale")</f>
        <v>For sale</v>
      </c>
      <c r="B1399" s="2" t="str">
        <f>IFERROR(__xludf.DUMMYFUNCTION("""COMPUTED_VALUE"""),"Purvciems")</f>
        <v>Purvciems</v>
      </c>
      <c r="C1399" s="2" t="str">
        <f>IFERROR(__xludf.DUMMYFUNCTION("""COMPUTED_VALUE"""),"Stirnu 37a")</f>
        <v>Stirnu 37a</v>
      </c>
      <c r="D1399" s="2">
        <f>IFERROR(__xludf.DUMMYFUNCTION("""COMPUTED_VALUE"""),4.0)</f>
        <v>4</v>
      </c>
      <c r="E1399" s="2">
        <f>IFERROR(__xludf.DUMMYFUNCTION("""COMPUTED_VALUE"""),74.0)</f>
        <v>74</v>
      </c>
      <c r="F1399" s="2">
        <f>IFERROR(__xludf.DUMMYFUNCTION("""COMPUTED_VALUE"""),4.0)</f>
        <v>4</v>
      </c>
      <c r="G1399" s="2">
        <f>IFERROR(__xludf.DUMMYFUNCTION("""COMPUTED_VALUE"""),9.0)</f>
        <v>9</v>
      </c>
      <c r="H1399" s="2">
        <f>IFERROR(__xludf.DUMMYFUNCTION("""COMPUTED_VALUE"""),602.0)</f>
        <v>602</v>
      </c>
      <c r="I1399" s="2" t="str">
        <f>IFERROR(__xludf.DUMMYFUNCTION("""COMPUTED_VALUE"""),"Panel")</f>
        <v>Panel</v>
      </c>
      <c r="J1399" s="2" t="str">
        <f>IFERROR(__xludf.DUMMYFUNCTION("""COMPUTED_VALUE"""),"Partial amenities")</f>
        <v>Partial amenities</v>
      </c>
      <c r="K1399" s="2">
        <f>IFERROR(__xludf.DUMMYFUNCTION("""COMPUTED_VALUE"""),80000.0)</f>
        <v>80000</v>
      </c>
      <c r="L1399" s="2">
        <f>IFERROR(__xludf.DUMMYFUNCTION("""COMPUTED_VALUE"""),56.96230215)</f>
        <v>56.96230215</v>
      </c>
      <c r="M1399" s="2">
        <f>IFERROR(__xludf.DUMMYFUNCTION("""COMPUTED_VALUE"""),24.186965214982)</f>
        <v>24.18696521</v>
      </c>
    </row>
    <row r="1400">
      <c r="A1400" s="2" t="str">
        <f>IFERROR(__xludf.DUMMYFUNCTION("""COMPUTED_VALUE"""),"For sale")</f>
        <v>For sale</v>
      </c>
      <c r="B1400" s="2" t="str">
        <f>IFERROR(__xludf.DUMMYFUNCTION("""COMPUTED_VALUE"""),"Imanta")</f>
        <v>Imanta</v>
      </c>
      <c r="C1400" s="2" t="str">
        <f>IFERROR(__xludf.DUMMYFUNCTION("""COMPUTED_VALUE"""),"Dammes 1")</f>
        <v>Dammes 1</v>
      </c>
      <c r="D1400" s="2">
        <f>IFERROR(__xludf.DUMMYFUNCTION("""COMPUTED_VALUE"""),2.0)</f>
        <v>2</v>
      </c>
      <c r="E1400" s="2">
        <f>IFERROR(__xludf.DUMMYFUNCTION("""COMPUTED_VALUE"""),50.0)</f>
        <v>50</v>
      </c>
      <c r="F1400" s="2">
        <f>IFERROR(__xludf.DUMMYFUNCTION("""COMPUTED_VALUE"""),8.0)</f>
        <v>8</v>
      </c>
      <c r="G1400" s="2">
        <f>IFERROR(__xludf.DUMMYFUNCTION("""COMPUTED_VALUE"""),9.0)</f>
        <v>9</v>
      </c>
      <c r="H1400" s="2">
        <f>IFERROR(__xludf.DUMMYFUNCTION("""COMPUTED_VALUE"""),602.0)</f>
        <v>602</v>
      </c>
      <c r="I1400" s="2" t="str">
        <f>IFERROR(__xludf.DUMMYFUNCTION("""COMPUTED_VALUE"""),"Panel")</f>
        <v>Panel</v>
      </c>
      <c r="J1400" s="2" t="str">
        <f>IFERROR(__xludf.DUMMYFUNCTION("""COMPUTED_VALUE"""),"All amenities")</f>
        <v>All amenities</v>
      </c>
      <c r="K1400" s="2">
        <f>IFERROR(__xludf.DUMMYFUNCTION("""COMPUTED_VALUE"""),57500.0)</f>
        <v>57500</v>
      </c>
      <c r="L1400" s="2">
        <f>IFERROR(__xludf.DUMMYFUNCTION("""COMPUTED_VALUE"""),56.9608459)</f>
        <v>56.9608459</v>
      </c>
      <c r="M1400" s="2">
        <f>IFERROR(__xludf.DUMMYFUNCTION("""COMPUTED_VALUE"""),24.0120992912805)</f>
        <v>24.01209929</v>
      </c>
    </row>
    <row r="1401">
      <c r="A1401" s="2" t="str">
        <f>IFERROR(__xludf.DUMMYFUNCTION("""COMPUTED_VALUE"""),"For rent")</f>
        <v>For rent</v>
      </c>
      <c r="B1401" s="2" t="str">
        <f>IFERROR(__xludf.DUMMYFUNCTION("""COMPUTED_VALUE"""),"Jugla")</f>
        <v>Jugla</v>
      </c>
      <c r="C1401" s="2" t="str">
        <f>IFERROR(__xludf.DUMMYFUNCTION("""COMPUTED_VALUE"""),"Kvēles 24")</f>
        <v>Kvēles 24</v>
      </c>
      <c r="D1401" s="2">
        <f>IFERROR(__xludf.DUMMYFUNCTION("""COMPUTED_VALUE"""),1.0)</f>
        <v>1</v>
      </c>
      <c r="E1401" s="2">
        <f>IFERROR(__xludf.DUMMYFUNCTION("""COMPUTED_VALUE"""),36.0)</f>
        <v>36</v>
      </c>
      <c r="F1401" s="2">
        <f>IFERROR(__xludf.DUMMYFUNCTION("""COMPUTED_VALUE"""),8.0)</f>
        <v>8</v>
      </c>
      <c r="G1401" s="2">
        <f>IFERROR(__xludf.DUMMYFUNCTION("""COMPUTED_VALUE"""),12.0)</f>
        <v>12</v>
      </c>
      <c r="H1401" s="2" t="str">
        <f>IFERROR(__xludf.DUMMYFUNCTION("""COMPUTED_VALUE"""),"M. ģim.")</f>
        <v>M. ģim.</v>
      </c>
      <c r="I1401" s="2" t="str">
        <f>IFERROR(__xludf.DUMMYFUNCTION("""COMPUTED_VALUE"""),"Brick-Panel")</f>
        <v>Brick-Panel</v>
      </c>
      <c r="J1401" s="2" t="str">
        <f>IFERROR(__xludf.DUMMYFUNCTION("""COMPUTED_VALUE"""),"All amenities")</f>
        <v>All amenities</v>
      </c>
      <c r="K1401" s="2">
        <f>IFERROR(__xludf.DUMMYFUNCTION("""COMPUTED_VALUE"""),230.0)</f>
        <v>230</v>
      </c>
      <c r="L1401" s="2">
        <f>IFERROR(__xludf.DUMMYFUNCTION("""COMPUTED_VALUE"""),56.9762896)</f>
        <v>56.9762896</v>
      </c>
      <c r="M1401" s="2">
        <f>IFERROR(__xludf.DUMMYFUNCTION("""COMPUTED_VALUE"""),24.2427554293107)</f>
        <v>24.24275543</v>
      </c>
    </row>
    <row r="1402">
      <c r="A1402" s="2" t="str">
        <f>IFERROR(__xludf.DUMMYFUNCTION("""COMPUTED_VALUE"""),"For rent")</f>
        <v>For rent</v>
      </c>
      <c r="B1402" s="2" t="str">
        <f>IFERROR(__xludf.DUMMYFUNCTION("""COMPUTED_VALUE"""),"centrs")</f>
        <v>centrs</v>
      </c>
      <c r="C1402" s="2" t="str">
        <f>IFERROR(__xludf.DUMMYFUNCTION("""COMPUTED_VALUE"""),"Jēzusbaznīcas 20")</f>
        <v>Jēzusbaznīcas 20</v>
      </c>
      <c r="D1402" s="2">
        <f>IFERROR(__xludf.DUMMYFUNCTION("""COMPUTED_VALUE"""),1.0)</f>
        <v>1</v>
      </c>
      <c r="E1402" s="2">
        <f>IFERROR(__xludf.DUMMYFUNCTION("""COMPUTED_VALUE"""),8.0)</f>
        <v>8</v>
      </c>
      <c r="F1402" s="2">
        <f>IFERROR(__xludf.DUMMYFUNCTION("""COMPUTED_VALUE"""),4.0)</f>
        <v>4</v>
      </c>
      <c r="G1402" s="2">
        <f>IFERROR(__xludf.DUMMYFUNCTION("""COMPUTED_VALUE"""),4.0)</f>
        <v>4</v>
      </c>
      <c r="H1402" s="2" t="str">
        <f>IFERROR(__xludf.DUMMYFUNCTION("""COMPUTED_VALUE"""),"P. kara")</f>
        <v>P. kara</v>
      </c>
      <c r="I1402" s="2" t="str">
        <f>IFERROR(__xludf.DUMMYFUNCTION("""COMPUTED_VALUE"""),"Brick-Panel")</f>
        <v>Brick-Panel</v>
      </c>
      <c r="J1402" s="2" t="str">
        <f>IFERROR(__xludf.DUMMYFUNCTION("""COMPUTED_VALUE"""),"All amenities")</f>
        <v>All amenities</v>
      </c>
      <c r="K1402" s="2">
        <f>IFERROR(__xludf.DUMMYFUNCTION("""COMPUTED_VALUE"""),100.0)</f>
        <v>100</v>
      </c>
      <c r="L1402" s="2">
        <f>IFERROR(__xludf.DUMMYFUNCTION("""COMPUTED_VALUE"""),56.9430243)</f>
        <v>56.9430243</v>
      </c>
      <c r="M1402" s="2">
        <f>IFERROR(__xludf.DUMMYFUNCTION("""COMPUTED_VALUE"""),24.1257985)</f>
        <v>24.1257985</v>
      </c>
    </row>
    <row r="1403">
      <c r="A1403" s="2" t="str">
        <f>IFERROR(__xludf.DUMMYFUNCTION("""COMPUTED_VALUE"""),"For sale")</f>
        <v>For sale</v>
      </c>
      <c r="B1403" s="2" t="str">
        <f>IFERROR(__xludf.DUMMYFUNCTION("""COMPUTED_VALUE"""),"Āgenskalns")</f>
        <v>Āgenskalns</v>
      </c>
      <c r="C1403" s="2" t="str">
        <f>IFERROR(__xludf.DUMMYFUNCTION("""COMPUTED_VALUE"""),"Kristapa 26")</f>
        <v>Kristapa 26</v>
      </c>
      <c r="D1403" s="2">
        <f>IFERROR(__xludf.DUMMYFUNCTION("""COMPUTED_VALUE"""),2.0)</f>
        <v>2</v>
      </c>
      <c r="E1403" s="2">
        <f>IFERROR(__xludf.DUMMYFUNCTION("""COMPUTED_VALUE"""),43.0)</f>
        <v>43</v>
      </c>
      <c r="F1403" s="2">
        <f>IFERROR(__xludf.DUMMYFUNCTION("""COMPUTED_VALUE"""),5.0)</f>
        <v>5</v>
      </c>
      <c r="G1403" s="2">
        <f>IFERROR(__xludf.DUMMYFUNCTION("""COMPUTED_VALUE"""),5.0)</f>
        <v>5</v>
      </c>
      <c r="H1403" s="2" t="str">
        <f>IFERROR(__xludf.DUMMYFUNCTION("""COMPUTED_VALUE"""),"Hrušč.")</f>
        <v>Hrušč.</v>
      </c>
      <c r="I1403" s="2" t="str">
        <f>IFERROR(__xludf.DUMMYFUNCTION("""COMPUTED_VALUE"""),"Panel")</f>
        <v>Panel</v>
      </c>
      <c r="J1403" s="2" t="str">
        <f>IFERROR(__xludf.DUMMYFUNCTION("""COMPUTED_VALUE"""),"All amenities")</f>
        <v>All amenities</v>
      </c>
      <c r="K1403" s="2">
        <f>IFERROR(__xludf.DUMMYFUNCTION("""COMPUTED_VALUE"""),49000.0)</f>
        <v>49000</v>
      </c>
      <c r="L1403" s="2">
        <f>IFERROR(__xludf.DUMMYFUNCTION("""COMPUTED_VALUE"""),56.9456091499999)</f>
        <v>56.94560915</v>
      </c>
      <c r="M1403" s="2">
        <f>IFERROR(__xludf.DUMMYFUNCTION("""COMPUTED_VALUE"""),24.0680144013854)</f>
        <v>24.0680144</v>
      </c>
    </row>
    <row r="1404">
      <c r="A1404" s="2" t="str">
        <f>IFERROR(__xludf.DUMMYFUNCTION("""COMPUTED_VALUE"""),"For sale")</f>
        <v>For sale</v>
      </c>
      <c r="B1404" s="2" t="str">
        <f>IFERROR(__xludf.DUMMYFUNCTION("""COMPUTED_VALUE"""),"Šķirotava")</f>
        <v>Šķirotava</v>
      </c>
      <c r="C1404" s="2" t="str">
        <f>IFERROR(__xludf.DUMMYFUNCTION("""COMPUTED_VALUE"""),"Sila 2/3")</f>
        <v>Sila 2/3</v>
      </c>
      <c r="D1404" s="2">
        <f>IFERROR(__xludf.DUMMYFUNCTION("""COMPUTED_VALUE"""),3.0)</f>
        <v>3</v>
      </c>
      <c r="E1404" s="2">
        <f>IFERROR(__xludf.DUMMYFUNCTION("""COMPUTED_VALUE"""),50.0)</f>
        <v>50</v>
      </c>
      <c r="F1404" s="2">
        <f>IFERROR(__xludf.DUMMYFUNCTION("""COMPUTED_VALUE"""),1.0)</f>
        <v>1</v>
      </c>
      <c r="G1404" s="2">
        <f>IFERROR(__xludf.DUMMYFUNCTION("""COMPUTED_VALUE"""),2.0)</f>
        <v>2</v>
      </c>
      <c r="H1404" s="2" t="str">
        <f>IFERROR(__xludf.DUMMYFUNCTION("""COMPUTED_VALUE"""),"Specpr.")</f>
        <v>Specpr.</v>
      </c>
      <c r="I1404" s="2" t="str">
        <f>IFERROR(__xludf.DUMMYFUNCTION("""COMPUTED_VALUE"""),"Wood")</f>
        <v>Wood</v>
      </c>
      <c r="J1404" s="2" t="str">
        <f>IFERROR(__xludf.DUMMYFUNCTION("""COMPUTED_VALUE"""),"Partial amenities")</f>
        <v>Partial amenities</v>
      </c>
      <c r="K1404" s="2">
        <f>IFERROR(__xludf.DUMMYFUNCTION("""COMPUTED_VALUE"""),15000.0)</f>
        <v>15000</v>
      </c>
      <c r="L1404" s="2">
        <f>IFERROR(__xludf.DUMMYFUNCTION("""COMPUTED_VALUE"""),56.9077347)</f>
        <v>56.9077347</v>
      </c>
      <c r="M1404" s="2">
        <f>IFERROR(__xludf.DUMMYFUNCTION("""COMPUTED_VALUE"""),24.2226369)</f>
        <v>24.2226369</v>
      </c>
    </row>
    <row r="1405">
      <c r="A1405" s="2" t="str">
        <f>IFERROR(__xludf.DUMMYFUNCTION("""COMPUTED_VALUE"""),"For sale")</f>
        <v>For sale</v>
      </c>
      <c r="B1405" s="2" t="str">
        <f>IFERROR(__xludf.DUMMYFUNCTION("""COMPUTED_VALUE"""),"centrs")</f>
        <v>centrs</v>
      </c>
      <c r="C1405" s="2" t="str">
        <f>IFERROR(__xludf.DUMMYFUNCTION("""COMPUTED_VALUE"""),"Birznieka-Upīša 13")</f>
        <v>Birznieka-Upīša 13</v>
      </c>
      <c r="D1405" s="2">
        <f>IFERROR(__xludf.DUMMYFUNCTION("""COMPUTED_VALUE"""),3.0)</f>
        <v>3</v>
      </c>
      <c r="E1405" s="2">
        <f>IFERROR(__xludf.DUMMYFUNCTION("""COMPUTED_VALUE"""),79.0)</f>
        <v>79</v>
      </c>
      <c r="F1405" s="2">
        <f>IFERROR(__xludf.DUMMYFUNCTION("""COMPUTED_VALUE"""),3.0)</f>
        <v>3</v>
      </c>
      <c r="G1405" s="2">
        <f>IFERROR(__xludf.DUMMYFUNCTION("""COMPUTED_VALUE"""),7.0)</f>
        <v>7</v>
      </c>
      <c r="H1405" s="2" t="str">
        <f>IFERROR(__xludf.DUMMYFUNCTION("""COMPUTED_VALUE"""),"Jaun.")</f>
        <v>Jaun.</v>
      </c>
      <c r="I1405" s="2" t="str">
        <f>IFERROR(__xludf.DUMMYFUNCTION("""COMPUTED_VALUE"""),"Brick-Panel")</f>
        <v>Brick-Panel</v>
      </c>
      <c r="J1405" s="2" t="str">
        <f>IFERROR(__xludf.DUMMYFUNCTION("""COMPUTED_VALUE"""),"All amenities")</f>
        <v>All amenities</v>
      </c>
      <c r="K1405" s="2">
        <f>IFERROR(__xludf.DUMMYFUNCTION("""COMPUTED_VALUE"""),197000.0)</f>
        <v>197000</v>
      </c>
      <c r="L1405" s="2">
        <f>IFERROR(__xludf.DUMMYFUNCTION("""COMPUTED_VALUE"""),56.9493295)</f>
        <v>56.9493295</v>
      </c>
      <c r="M1405" s="2">
        <f>IFERROR(__xludf.DUMMYFUNCTION("""COMPUTED_VALUE"""),24.1264892056074)</f>
        <v>24.12648921</v>
      </c>
    </row>
    <row r="1406">
      <c r="A1406" s="2" t="str">
        <f>IFERROR(__xludf.DUMMYFUNCTION("""COMPUTED_VALUE"""),"For sale")</f>
        <v>For sale</v>
      </c>
      <c r="B1406" s="2" t="str">
        <f>IFERROR(__xludf.DUMMYFUNCTION("""COMPUTED_VALUE"""),"Jugla")</f>
        <v>Jugla</v>
      </c>
      <c r="C1406" s="2" t="str">
        <f>IFERROR(__xludf.DUMMYFUNCTION("""COMPUTED_VALUE"""),"Murjāņu 42")</f>
        <v>Murjāņu 42</v>
      </c>
      <c r="D1406" s="2">
        <f>IFERROR(__xludf.DUMMYFUNCTION("""COMPUTED_VALUE"""),2.0)</f>
        <v>2</v>
      </c>
      <c r="E1406" s="2">
        <f>IFERROR(__xludf.DUMMYFUNCTION("""COMPUTED_VALUE"""),45.0)</f>
        <v>45</v>
      </c>
      <c r="F1406" s="2">
        <f>IFERROR(__xludf.DUMMYFUNCTION("""COMPUTED_VALUE"""),1.0)</f>
        <v>1</v>
      </c>
      <c r="G1406" s="2">
        <f>IFERROR(__xludf.DUMMYFUNCTION("""COMPUTED_VALUE"""),5.0)</f>
        <v>5</v>
      </c>
      <c r="H1406" s="2" t="str">
        <f>IFERROR(__xludf.DUMMYFUNCTION("""COMPUTED_VALUE"""),"Hrušč.")</f>
        <v>Hrušč.</v>
      </c>
      <c r="I1406" s="2" t="str">
        <f>IFERROR(__xludf.DUMMYFUNCTION("""COMPUTED_VALUE"""),"Panel")</f>
        <v>Panel</v>
      </c>
      <c r="J1406" s="2" t="str">
        <f>IFERROR(__xludf.DUMMYFUNCTION("""COMPUTED_VALUE"""),"All amenities")</f>
        <v>All amenities</v>
      </c>
      <c r="K1406" s="2">
        <f>IFERROR(__xludf.DUMMYFUNCTION("""COMPUTED_VALUE"""),42000.0)</f>
        <v>42000</v>
      </c>
      <c r="L1406" s="2">
        <f>IFERROR(__xludf.DUMMYFUNCTION("""COMPUTED_VALUE"""),56.9776497)</f>
        <v>56.9776497</v>
      </c>
      <c r="M1406" s="2">
        <f>IFERROR(__xludf.DUMMYFUNCTION("""COMPUTED_VALUE"""),24.2485277405401)</f>
        <v>24.24852774</v>
      </c>
    </row>
    <row r="1407">
      <c r="A1407" s="2" t="str">
        <f>IFERROR(__xludf.DUMMYFUNCTION("""COMPUTED_VALUE"""),"For sale")</f>
        <v>For sale</v>
      </c>
      <c r="B1407" s="2" t="str">
        <f>IFERROR(__xludf.DUMMYFUNCTION("""COMPUTED_VALUE"""),"centrs")</f>
        <v>centrs</v>
      </c>
      <c r="C1407" s="2" t="str">
        <f>IFERROR(__xludf.DUMMYFUNCTION("""COMPUTED_VALUE"""),"Indrānu 8")</f>
        <v>Indrānu 8</v>
      </c>
      <c r="D1407" s="2">
        <f>IFERROR(__xludf.DUMMYFUNCTION("""COMPUTED_VALUE"""),3.0)</f>
        <v>3</v>
      </c>
      <c r="E1407" s="2">
        <f>IFERROR(__xludf.DUMMYFUNCTION("""COMPUTED_VALUE"""),110.5)</f>
        <v>110.5</v>
      </c>
      <c r="F1407" s="2">
        <f>IFERROR(__xludf.DUMMYFUNCTION("""COMPUTED_VALUE"""),5.0)</f>
        <v>5</v>
      </c>
      <c r="G1407" s="2">
        <f>IFERROR(__xludf.DUMMYFUNCTION("""COMPUTED_VALUE"""),6.0)</f>
        <v>6</v>
      </c>
      <c r="H1407" s="2" t="str">
        <f>IFERROR(__xludf.DUMMYFUNCTION("""COMPUTED_VALUE"""),"Jaun.")</f>
        <v>Jaun.</v>
      </c>
      <c r="I1407" s="2" t="str">
        <f>IFERROR(__xludf.DUMMYFUNCTION("""COMPUTED_VALUE"""),"Brick-Panel")</f>
        <v>Brick-Panel</v>
      </c>
      <c r="J1407" s="2" t="str">
        <f>IFERROR(__xludf.DUMMYFUNCTION("""COMPUTED_VALUE"""),"All amenities")</f>
        <v>All amenities</v>
      </c>
      <c r="K1407" s="2">
        <f>IFERROR(__xludf.DUMMYFUNCTION("""COMPUTED_VALUE"""),180000.0)</f>
        <v>180000</v>
      </c>
      <c r="L1407" s="2">
        <f>IFERROR(__xludf.DUMMYFUNCTION("""COMPUTED_VALUE"""),56.9684979)</f>
        <v>56.9684979</v>
      </c>
      <c r="M1407" s="2">
        <f>IFERROR(__xludf.DUMMYFUNCTION("""COMPUTED_VALUE"""),24.1467035)</f>
        <v>24.1467035</v>
      </c>
    </row>
    <row r="1408">
      <c r="A1408" s="2" t="str">
        <f>IFERROR(__xludf.DUMMYFUNCTION("""COMPUTED_VALUE"""),"For sale")</f>
        <v>For sale</v>
      </c>
      <c r="B1408" s="2" t="str">
        <f>IFERROR(__xludf.DUMMYFUNCTION("""COMPUTED_VALUE"""),"centrs")</f>
        <v>centrs</v>
      </c>
      <c r="C1408" s="2" t="str">
        <f>IFERROR(__xludf.DUMMYFUNCTION("""COMPUTED_VALUE"""),"Brīvības iela 161")</f>
        <v>Brīvības iela 161</v>
      </c>
      <c r="D1408" s="2">
        <f>IFERROR(__xludf.DUMMYFUNCTION("""COMPUTED_VALUE"""),3.0)</f>
        <v>3</v>
      </c>
      <c r="E1408" s="2">
        <f>IFERROR(__xludf.DUMMYFUNCTION("""COMPUTED_VALUE"""),73.0)</f>
        <v>73</v>
      </c>
      <c r="F1408" s="2">
        <f>IFERROR(__xludf.DUMMYFUNCTION("""COMPUTED_VALUE"""),3.0)</f>
        <v>3</v>
      </c>
      <c r="G1408" s="2">
        <f>IFERROR(__xludf.DUMMYFUNCTION("""COMPUTED_VALUE"""),5.0)</f>
        <v>5</v>
      </c>
      <c r="H1408" s="2" t="str">
        <f>IFERROR(__xludf.DUMMYFUNCTION("""COMPUTED_VALUE"""),"Renov.")</f>
        <v>Renov.</v>
      </c>
      <c r="I1408" s="2" t="str">
        <f>IFERROR(__xludf.DUMMYFUNCTION("""COMPUTED_VALUE"""),"Masonry")</f>
        <v>Masonry</v>
      </c>
      <c r="J1408" s="2" t="str">
        <f>IFERROR(__xludf.DUMMYFUNCTION("""COMPUTED_VALUE"""),"All amenities")</f>
        <v>All amenities</v>
      </c>
      <c r="K1408" s="2">
        <f>IFERROR(__xludf.DUMMYFUNCTION("""COMPUTED_VALUE"""),155000.0)</f>
        <v>155000</v>
      </c>
      <c r="L1408" s="2">
        <f>IFERROR(__xludf.DUMMYFUNCTION("""COMPUTED_VALUE"""),56.9667357999999)</f>
        <v>56.9667358</v>
      </c>
      <c r="M1408" s="2">
        <f>IFERROR(__xludf.DUMMYFUNCTION("""COMPUTED_VALUE"""),24.1456351053152)</f>
        <v>24.14563511</v>
      </c>
    </row>
    <row r="1409">
      <c r="A1409" s="2" t="str">
        <f>IFERROR(__xludf.DUMMYFUNCTION("""COMPUTED_VALUE"""),"For sale")</f>
        <v>For sale</v>
      </c>
      <c r="B1409" s="2" t="str">
        <f>IFERROR(__xludf.DUMMYFUNCTION("""COMPUTED_VALUE"""),"Teika")</f>
        <v>Teika</v>
      </c>
      <c r="C1409" s="2" t="str">
        <f>IFERROR(__xludf.DUMMYFUNCTION("""COMPUTED_VALUE"""),"Ropažu 14a")</f>
        <v>Ropažu 14a</v>
      </c>
      <c r="D1409" s="2">
        <f>IFERROR(__xludf.DUMMYFUNCTION("""COMPUTED_VALUE"""),4.0)</f>
        <v>4</v>
      </c>
      <c r="E1409" s="2">
        <f>IFERROR(__xludf.DUMMYFUNCTION("""COMPUTED_VALUE"""),93.0)</f>
        <v>93</v>
      </c>
      <c r="F1409" s="2">
        <f>IFERROR(__xludf.DUMMYFUNCTION("""COMPUTED_VALUE"""),3.0)</f>
        <v>3</v>
      </c>
      <c r="G1409" s="2">
        <f>IFERROR(__xludf.DUMMYFUNCTION("""COMPUTED_VALUE"""),10.0)</f>
        <v>10</v>
      </c>
      <c r="H1409" s="2" t="str">
        <f>IFERROR(__xludf.DUMMYFUNCTION("""COMPUTED_VALUE"""),"Jaun.")</f>
        <v>Jaun.</v>
      </c>
      <c r="I1409" s="2" t="str">
        <f>IFERROR(__xludf.DUMMYFUNCTION("""COMPUTED_VALUE"""),"Masonry")</f>
        <v>Masonry</v>
      </c>
      <c r="J1409" s="2" t="str">
        <f>IFERROR(__xludf.DUMMYFUNCTION("""COMPUTED_VALUE"""),"All amenities")</f>
        <v>All amenities</v>
      </c>
      <c r="K1409" s="2">
        <f>IFERROR(__xludf.DUMMYFUNCTION("""COMPUTED_VALUE"""),144000.0)</f>
        <v>144000</v>
      </c>
      <c r="L1409" s="2">
        <f>IFERROR(__xludf.DUMMYFUNCTION("""COMPUTED_VALUE"""),56.97584815)</f>
        <v>56.97584815</v>
      </c>
      <c r="M1409" s="2">
        <f>IFERROR(__xludf.DUMMYFUNCTION("""COMPUTED_VALUE"""),24.1689365790638)</f>
        <v>24.16893658</v>
      </c>
    </row>
    <row r="1410">
      <c r="A1410" s="2" t="str">
        <f>IFERROR(__xludf.DUMMYFUNCTION("""COMPUTED_VALUE"""),"For rent")</f>
        <v>For rent</v>
      </c>
      <c r="B1410" s="2" t="str">
        <f>IFERROR(__xludf.DUMMYFUNCTION("""COMPUTED_VALUE"""),"centrs")</f>
        <v>centrs</v>
      </c>
      <c r="C1410" s="2" t="str">
        <f>IFERROR(__xludf.DUMMYFUNCTION("""COMPUTED_VALUE"""),"Ausekļa 5")</f>
        <v>Ausekļa 5</v>
      </c>
      <c r="D1410" s="2">
        <f>IFERROR(__xludf.DUMMYFUNCTION("""COMPUTED_VALUE"""),4.0)</f>
        <v>4</v>
      </c>
      <c r="E1410" s="2">
        <f>IFERROR(__xludf.DUMMYFUNCTION("""COMPUTED_VALUE"""),152.0)</f>
        <v>152</v>
      </c>
      <c r="F1410" s="2">
        <f>IFERROR(__xludf.DUMMYFUNCTION("""COMPUTED_VALUE"""),2.0)</f>
        <v>2</v>
      </c>
      <c r="G1410" s="2">
        <f>IFERROR(__xludf.DUMMYFUNCTION("""COMPUTED_VALUE"""),6.0)</f>
        <v>6</v>
      </c>
      <c r="H1410" s="2" t="str">
        <f>IFERROR(__xludf.DUMMYFUNCTION("""COMPUTED_VALUE"""),"Renov.")</f>
        <v>Renov.</v>
      </c>
      <c r="I1410" s="2" t="str">
        <f>IFERROR(__xludf.DUMMYFUNCTION("""COMPUTED_VALUE"""),"Masonry")</f>
        <v>Masonry</v>
      </c>
      <c r="J1410" s="2" t="str">
        <f>IFERROR(__xludf.DUMMYFUNCTION("""COMPUTED_VALUE"""),"All amenities")</f>
        <v>All amenities</v>
      </c>
      <c r="K1410" s="2">
        <f>IFERROR(__xludf.DUMMYFUNCTION("""COMPUTED_VALUE"""),1000.0)</f>
        <v>1000</v>
      </c>
      <c r="L1410" s="2">
        <f>IFERROR(__xludf.DUMMYFUNCTION("""COMPUTED_VALUE"""),56.9607232)</f>
        <v>56.9607232</v>
      </c>
      <c r="M1410" s="2">
        <f>IFERROR(__xludf.DUMMYFUNCTION("""COMPUTED_VALUE"""),24.0998068104308)</f>
        <v>24.09980681</v>
      </c>
    </row>
    <row r="1411">
      <c r="A1411" s="2" t="str">
        <f>IFERROR(__xludf.DUMMYFUNCTION("""COMPUTED_VALUE"""),"For sale")</f>
        <v>For sale</v>
      </c>
      <c r="B1411" s="2" t="str">
        <f>IFERROR(__xludf.DUMMYFUNCTION("""COMPUTED_VALUE"""),"Sarkandaugava")</f>
        <v>Sarkandaugava</v>
      </c>
      <c r="C1411" s="2" t="str">
        <f>IFERROR(__xludf.DUMMYFUNCTION("""COMPUTED_VALUE"""),"Sarkandaugavas 26/2")</f>
        <v>Sarkandaugavas 26/2</v>
      </c>
      <c r="D1411" s="2">
        <f>IFERROR(__xludf.DUMMYFUNCTION("""COMPUTED_VALUE"""),2.0)</f>
        <v>2</v>
      </c>
      <c r="E1411" s="2">
        <f>IFERROR(__xludf.DUMMYFUNCTION("""COMPUTED_VALUE"""),43.0)</f>
        <v>43</v>
      </c>
      <c r="F1411" s="2">
        <f>IFERROR(__xludf.DUMMYFUNCTION("""COMPUTED_VALUE"""),2.0)</f>
        <v>2</v>
      </c>
      <c r="G1411" s="2">
        <f>IFERROR(__xludf.DUMMYFUNCTION("""COMPUTED_VALUE"""),5.0)</f>
        <v>5</v>
      </c>
      <c r="H1411" s="2" t="str">
        <f>IFERROR(__xludf.DUMMYFUNCTION("""COMPUTED_VALUE"""),"Hrušč.")</f>
        <v>Hrušč.</v>
      </c>
      <c r="I1411" s="2" t="str">
        <f>IFERROR(__xludf.DUMMYFUNCTION("""COMPUTED_VALUE"""),"Brick-Panel")</f>
        <v>Brick-Panel</v>
      </c>
      <c r="J1411" s="2" t="str">
        <f>IFERROR(__xludf.DUMMYFUNCTION("""COMPUTED_VALUE"""),"All amenities")</f>
        <v>All amenities</v>
      </c>
      <c r="K1411" s="2">
        <f>IFERROR(__xludf.DUMMYFUNCTION("""COMPUTED_VALUE"""),42900.0)</f>
        <v>42900</v>
      </c>
      <c r="L1411" s="2">
        <f>IFERROR(__xludf.DUMMYFUNCTION("""COMPUTED_VALUE"""),56.9987253)</f>
        <v>56.9987253</v>
      </c>
      <c r="M1411" s="2">
        <f>IFERROR(__xludf.DUMMYFUNCTION("""COMPUTED_VALUE"""),24.1235645)</f>
        <v>24.1235645</v>
      </c>
    </row>
    <row r="1412">
      <c r="A1412" s="2" t="str">
        <f>IFERROR(__xludf.DUMMYFUNCTION("""COMPUTED_VALUE"""),"For sale")</f>
        <v>For sale</v>
      </c>
      <c r="B1412" s="2" t="str">
        <f>IFERROR(__xludf.DUMMYFUNCTION("""COMPUTED_VALUE"""),"centrs")</f>
        <v>centrs</v>
      </c>
      <c r="C1412" s="2" t="str">
        <f>IFERROR(__xludf.DUMMYFUNCTION("""COMPUTED_VALUE"""),"Brīvības iela 114")</f>
        <v>Brīvības iela 114</v>
      </c>
      <c r="D1412" s="2">
        <f>IFERROR(__xludf.DUMMYFUNCTION("""COMPUTED_VALUE"""),2.0)</f>
        <v>2</v>
      </c>
      <c r="E1412" s="2">
        <f>IFERROR(__xludf.DUMMYFUNCTION("""COMPUTED_VALUE"""),62.0)</f>
        <v>62</v>
      </c>
      <c r="F1412" s="2">
        <f>IFERROR(__xludf.DUMMYFUNCTION("""COMPUTED_VALUE"""),4.0)</f>
        <v>4</v>
      </c>
      <c r="G1412" s="2">
        <f>IFERROR(__xludf.DUMMYFUNCTION("""COMPUTED_VALUE"""),6.0)</f>
        <v>6</v>
      </c>
      <c r="H1412" s="2" t="str">
        <f>IFERROR(__xludf.DUMMYFUNCTION("""COMPUTED_VALUE"""),"Renov.")</f>
        <v>Renov.</v>
      </c>
      <c r="I1412" s="2" t="str">
        <f>IFERROR(__xludf.DUMMYFUNCTION("""COMPUTED_VALUE"""),"Brick")</f>
        <v>Brick</v>
      </c>
      <c r="J1412" s="2" t="str">
        <f>IFERROR(__xludf.DUMMYFUNCTION("""COMPUTED_VALUE"""),"All amenities")</f>
        <v>All amenities</v>
      </c>
      <c r="K1412" s="2">
        <f>IFERROR(__xludf.DUMMYFUNCTION("""COMPUTED_VALUE"""),113500.0)</f>
        <v>113500</v>
      </c>
      <c r="L1412" s="2">
        <f>IFERROR(__xludf.DUMMYFUNCTION("""COMPUTED_VALUE"""),56.9619771)</f>
        <v>56.9619771</v>
      </c>
      <c r="M1412" s="2">
        <f>IFERROR(__xludf.DUMMYFUNCTION("""COMPUTED_VALUE"""),24.1348346)</f>
        <v>24.1348346</v>
      </c>
    </row>
    <row r="1413">
      <c r="A1413" s="2" t="str">
        <f>IFERROR(__xludf.DUMMYFUNCTION("""COMPUTED_VALUE"""),"For sale")</f>
        <v>For sale</v>
      </c>
      <c r="B1413" s="2" t="str">
        <f>IFERROR(__xludf.DUMMYFUNCTION("""COMPUTED_VALUE"""),"Imanta")</f>
        <v>Imanta</v>
      </c>
      <c r="C1413" s="2" t="str">
        <f>IFERROR(__xludf.DUMMYFUNCTION("""COMPUTED_VALUE"""),"Kurzemes pr. 90")</f>
        <v>Kurzemes pr. 90</v>
      </c>
      <c r="D1413" s="2">
        <f>IFERROR(__xludf.DUMMYFUNCTION("""COMPUTED_VALUE"""),3.0)</f>
        <v>3</v>
      </c>
      <c r="E1413" s="2">
        <f>IFERROR(__xludf.DUMMYFUNCTION("""COMPUTED_VALUE"""),55.0)</f>
        <v>55</v>
      </c>
      <c r="F1413" s="2">
        <f>IFERROR(__xludf.DUMMYFUNCTION("""COMPUTED_VALUE"""),5.0)</f>
        <v>5</v>
      </c>
      <c r="G1413" s="2">
        <f>IFERROR(__xludf.DUMMYFUNCTION("""COMPUTED_VALUE"""),5.0)</f>
        <v>5</v>
      </c>
      <c r="H1413" s="2" t="str">
        <f>IFERROR(__xludf.DUMMYFUNCTION("""COMPUTED_VALUE"""),"LT proj.")</f>
        <v>LT proj.</v>
      </c>
      <c r="I1413" s="2" t="str">
        <f>IFERROR(__xludf.DUMMYFUNCTION("""COMPUTED_VALUE"""),"Panel")</f>
        <v>Panel</v>
      </c>
      <c r="J1413" s="2" t="str">
        <f>IFERROR(__xludf.DUMMYFUNCTION("""COMPUTED_VALUE"""),"All amenities")</f>
        <v>All amenities</v>
      </c>
      <c r="K1413" s="2">
        <f>IFERROR(__xludf.DUMMYFUNCTION("""COMPUTED_VALUE"""),72000.0)</f>
        <v>72000</v>
      </c>
      <c r="L1413" s="2" t="str">
        <f>IFERROR(__xludf.DUMMYFUNCTION("""COMPUTED_VALUE"""),"NaN")</f>
        <v>NaN</v>
      </c>
      <c r="M1413" s="2" t="str">
        <f>IFERROR(__xludf.DUMMYFUNCTION("""COMPUTED_VALUE"""),"NaN")</f>
        <v>NaN</v>
      </c>
    </row>
    <row r="1414">
      <c r="A1414" s="2" t="str">
        <f>IFERROR(__xludf.DUMMYFUNCTION("""COMPUTED_VALUE"""),"For sale")</f>
        <v>For sale</v>
      </c>
      <c r="B1414" s="2" t="str">
        <f>IFERROR(__xludf.DUMMYFUNCTION("""COMPUTED_VALUE"""),"centrs")</f>
        <v>centrs</v>
      </c>
      <c r="C1414" s="2" t="str">
        <f>IFERROR(__xludf.DUMMYFUNCTION("""COMPUTED_VALUE"""),"Vīlandes 16")</f>
        <v>Vīlandes 16</v>
      </c>
      <c r="D1414" s="2">
        <f>IFERROR(__xludf.DUMMYFUNCTION("""COMPUTED_VALUE"""),2.0)</f>
        <v>2</v>
      </c>
      <c r="E1414" s="2">
        <f>IFERROR(__xludf.DUMMYFUNCTION("""COMPUTED_VALUE"""),50.0)</f>
        <v>50</v>
      </c>
      <c r="F1414" s="2">
        <f>IFERROR(__xludf.DUMMYFUNCTION("""COMPUTED_VALUE"""),2.0)</f>
        <v>2</v>
      </c>
      <c r="G1414" s="2">
        <f>IFERROR(__xludf.DUMMYFUNCTION("""COMPUTED_VALUE"""),6.0)</f>
        <v>6</v>
      </c>
      <c r="H1414" s="2" t="str">
        <f>IFERROR(__xludf.DUMMYFUNCTION("""COMPUTED_VALUE"""),"Renov.")</f>
        <v>Renov.</v>
      </c>
      <c r="I1414" s="2" t="str">
        <f>IFERROR(__xludf.DUMMYFUNCTION("""COMPUTED_VALUE"""),"Brick")</f>
        <v>Brick</v>
      </c>
      <c r="J1414" s="2" t="str">
        <f>IFERROR(__xludf.DUMMYFUNCTION("""COMPUTED_VALUE"""),"All amenities")</f>
        <v>All amenities</v>
      </c>
      <c r="K1414" s="2">
        <f>IFERROR(__xludf.DUMMYFUNCTION("""COMPUTED_VALUE"""),145000.0)</f>
        <v>145000</v>
      </c>
      <c r="L1414" s="2">
        <f>IFERROR(__xludf.DUMMYFUNCTION("""COMPUTED_VALUE"""),56.9613741)</f>
        <v>56.9613741</v>
      </c>
      <c r="M1414" s="2">
        <f>IFERROR(__xludf.DUMMYFUNCTION("""COMPUTED_VALUE"""),24.1021747)</f>
        <v>24.1021747</v>
      </c>
    </row>
    <row r="1415">
      <c r="A1415" s="2" t="str">
        <f>IFERROR(__xludf.DUMMYFUNCTION("""COMPUTED_VALUE"""),"For rent")</f>
        <v>For rent</v>
      </c>
      <c r="B1415" s="2" t="str">
        <f>IFERROR(__xludf.DUMMYFUNCTION("""COMPUTED_VALUE"""),"Ķengarags")</f>
        <v>Ķengarags</v>
      </c>
      <c r="C1415" s="2" t="str">
        <f>IFERROR(__xludf.DUMMYFUNCTION("""COMPUTED_VALUE"""),"Ikšķiles 23")</f>
        <v>Ikšķiles 23</v>
      </c>
      <c r="D1415" s="2">
        <f>IFERROR(__xludf.DUMMYFUNCTION("""COMPUTED_VALUE"""),1.0)</f>
        <v>1</v>
      </c>
      <c r="E1415" s="2">
        <f>IFERROR(__xludf.DUMMYFUNCTION("""COMPUTED_VALUE"""),35.0)</f>
        <v>35</v>
      </c>
      <c r="F1415" s="2">
        <f>IFERROR(__xludf.DUMMYFUNCTION("""COMPUTED_VALUE"""),1.0)</f>
        <v>1</v>
      </c>
      <c r="G1415" s="2">
        <f>IFERROR(__xludf.DUMMYFUNCTION("""COMPUTED_VALUE"""),9.0)</f>
        <v>9</v>
      </c>
      <c r="H1415" s="2" t="str">
        <f>IFERROR(__xludf.DUMMYFUNCTION("""COMPUTED_VALUE"""),"Čehu pr.")</f>
        <v>Čehu pr.</v>
      </c>
      <c r="I1415" s="2" t="str">
        <f>IFERROR(__xludf.DUMMYFUNCTION("""COMPUTED_VALUE"""),"Brick")</f>
        <v>Brick</v>
      </c>
      <c r="J1415" s="2" t="str">
        <f>IFERROR(__xludf.DUMMYFUNCTION("""COMPUTED_VALUE"""),"All amenities")</f>
        <v>All amenities</v>
      </c>
      <c r="K1415" s="2">
        <f>IFERROR(__xludf.DUMMYFUNCTION("""COMPUTED_VALUE"""),250.0)</f>
        <v>250</v>
      </c>
      <c r="L1415" s="2">
        <f>IFERROR(__xludf.DUMMYFUNCTION("""COMPUTED_VALUE"""),56.9042432)</f>
        <v>56.9042432</v>
      </c>
      <c r="M1415" s="2">
        <f>IFERROR(__xludf.DUMMYFUNCTION("""COMPUTED_VALUE"""),24.2102561)</f>
        <v>24.2102561</v>
      </c>
    </row>
    <row r="1416">
      <c r="A1416" s="2" t="str">
        <f>IFERROR(__xludf.DUMMYFUNCTION("""COMPUTED_VALUE"""),"For sale")</f>
        <v>For sale</v>
      </c>
      <c r="B1416" s="2" t="str">
        <f>IFERROR(__xludf.DUMMYFUNCTION("""COMPUTED_VALUE"""),"Sarkandaugava")</f>
        <v>Sarkandaugava</v>
      </c>
      <c r="C1416" s="2" t="str">
        <f>IFERROR(__xludf.DUMMYFUNCTION("""COMPUTED_VALUE"""),"Sliežu 29")</f>
        <v>Sliežu 29</v>
      </c>
      <c r="D1416" s="2">
        <f>IFERROR(__xludf.DUMMYFUNCTION("""COMPUTED_VALUE"""),3.0)</f>
        <v>3</v>
      </c>
      <c r="E1416" s="2">
        <f>IFERROR(__xludf.DUMMYFUNCTION("""COMPUTED_VALUE"""),61.0)</f>
        <v>61</v>
      </c>
      <c r="F1416" s="2">
        <f>IFERROR(__xludf.DUMMYFUNCTION("""COMPUTED_VALUE"""),1.0)</f>
        <v>1</v>
      </c>
      <c r="G1416" s="2">
        <f>IFERROR(__xludf.DUMMYFUNCTION("""COMPUTED_VALUE"""),3.0)</f>
        <v>3</v>
      </c>
      <c r="H1416" s="2" t="str">
        <f>IFERROR(__xludf.DUMMYFUNCTION("""COMPUTED_VALUE"""),"Specpr.")</f>
        <v>Specpr.</v>
      </c>
      <c r="I1416" s="2" t="str">
        <f>IFERROR(__xludf.DUMMYFUNCTION("""COMPUTED_VALUE"""),"Brick")</f>
        <v>Brick</v>
      </c>
      <c r="J1416" s="2" t="str">
        <f>IFERROR(__xludf.DUMMYFUNCTION("""COMPUTED_VALUE"""),"All amenities")</f>
        <v>All amenities</v>
      </c>
      <c r="K1416" s="2">
        <f>IFERROR(__xludf.DUMMYFUNCTION("""COMPUTED_VALUE"""),59000.0)</f>
        <v>59000</v>
      </c>
      <c r="L1416" s="2">
        <f>IFERROR(__xludf.DUMMYFUNCTION("""COMPUTED_VALUE"""),57.00751995)</f>
        <v>57.00751995</v>
      </c>
      <c r="M1416" s="2">
        <f>IFERROR(__xludf.DUMMYFUNCTION("""COMPUTED_VALUE"""),24.12498495)</f>
        <v>24.12498495</v>
      </c>
    </row>
    <row r="1417">
      <c r="A1417" s="2" t="str">
        <f>IFERROR(__xludf.DUMMYFUNCTION("""COMPUTED_VALUE"""),"For rent")</f>
        <v>For rent</v>
      </c>
      <c r="B1417" s="2" t="str">
        <f>IFERROR(__xludf.DUMMYFUNCTION("""COMPUTED_VALUE"""),"centrs")</f>
        <v>centrs</v>
      </c>
      <c r="C1417" s="2" t="str">
        <f>IFERROR(__xludf.DUMMYFUNCTION("""COMPUTED_VALUE"""),"Matīsa 38")</f>
        <v>Matīsa 38</v>
      </c>
      <c r="D1417" s="2">
        <f>IFERROR(__xludf.DUMMYFUNCTION("""COMPUTED_VALUE"""),2.0)</f>
        <v>2</v>
      </c>
      <c r="E1417" s="2">
        <f>IFERROR(__xludf.DUMMYFUNCTION("""COMPUTED_VALUE"""),50.0)</f>
        <v>50</v>
      </c>
      <c r="F1417" s="2">
        <f>IFERROR(__xludf.DUMMYFUNCTION("""COMPUTED_VALUE"""),3.0)</f>
        <v>3</v>
      </c>
      <c r="G1417" s="2">
        <f>IFERROR(__xludf.DUMMYFUNCTION("""COMPUTED_VALUE"""),6.0)</f>
        <v>6</v>
      </c>
      <c r="H1417" s="2" t="str">
        <f>IFERROR(__xludf.DUMMYFUNCTION("""COMPUTED_VALUE"""),"Renov.")</f>
        <v>Renov.</v>
      </c>
      <c r="I1417" s="2" t="str">
        <f>IFERROR(__xludf.DUMMYFUNCTION("""COMPUTED_VALUE"""),"Brick")</f>
        <v>Brick</v>
      </c>
      <c r="J1417" s="2" t="str">
        <f>IFERROR(__xludf.DUMMYFUNCTION("""COMPUTED_VALUE"""),"All amenities")</f>
        <v>All amenities</v>
      </c>
      <c r="K1417" s="2">
        <f>IFERROR(__xludf.DUMMYFUNCTION("""COMPUTED_VALUE"""),27.0)</f>
        <v>27</v>
      </c>
      <c r="L1417" s="2">
        <f>IFERROR(__xludf.DUMMYFUNCTION("""COMPUTED_VALUE"""),56.9553484)</f>
        <v>56.9553484</v>
      </c>
      <c r="M1417" s="2">
        <f>IFERROR(__xludf.DUMMYFUNCTION("""COMPUTED_VALUE"""),24.1366774)</f>
        <v>24.1366774</v>
      </c>
    </row>
    <row r="1418">
      <c r="A1418" s="2" t="str">
        <f>IFERROR(__xludf.DUMMYFUNCTION("""COMPUTED_VALUE"""),"For sale")</f>
        <v>For sale</v>
      </c>
      <c r="B1418" s="2" t="str">
        <f>IFERROR(__xludf.DUMMYFUNCTION("""COMPUTED_VALUE"""),"Zolitūde")</f>
        <v>Zolitūde</v>
      </c>
      <c r="C1418" s="2" t="str">
        <f>IFERROR(__xludf.DUMMYFUNCTION("""COMPUTED_VALUE"""),"Ruses 26")</f>
        <v>Ruses 26</v>
      </c>
      <c r="D1418" s="2">
        <f>IFERROR(__xludf.DUMMYFUNCTION("""COMPUTED_VALUE"""),3.0)</f>
        <v>3</v>
      </c>
      <c r="E1418" s="2">
        <f>IFERROR(__xludf.DUMMYFUNCTION("""COMPUTED_VALUE"""),78.0)</f>
        <v>78</v>
      </c>
      <c r="F1418" s="2">
        <f>IFERROR(__xludf.DUMMYFUNCTION("""COMPUTED_VALUE"""),6.0)</f>
        <v>6</v>
      </c>
      <c r="G1418" s="2">
        <f>IFERROR(__xludf.DUMMYFUNCTION("""COMPUTED_VALUE"""),9.0)</f>
        <v>9</v>
      </c>
      <c r="H1418" s="2">
        <f>IFERROR(__xludf.DUMMYFUNCTION("""COMPUTED_VALUE"""),119.0)</f>
        <v>119</v>
      </c>
      <c r="I1418" s="2" t="str">
        <f>IFERROR(__xludf.DUMMYFUNCTION("""COMPUTED_VALUE"""),"Panel")</f>
        <v>Panel</v>
      </c>
      <c r="J1418" s="2" t="str">
        <f>IFERROR(__xludf.DUMMYFUNCTION("""COMPUTED_VALUE"""),"All amenities")</f>
        <v>All amenities</v>
      </c>
      <c r="K1418" s="2">
        <f>IFERROR(__xludf.DUMMYFUNCTION("""COMPUTED_VALUE"""),85900.0)</f>
        <v>85900</v>
      </c>
      <c r="L1418" s="2">
        <f>IFERROR(__xludf.DUMMYFUNCTION("""COMPUTED_VALUE"""),56.9454805)</f>
        <v>56.9454805</v>
      </c>
      <c r="M1418" s="2">
        <f>IFERROR(__xludf.DUMMYFUNCTION("""COMPUTED_VALUE"""),24.0097101)</f>
        <v>24.0097101</v>
      </c>
    </row>
    <row r="1419">
      <c r="A1419" s="2" t="str">
        <f>IFERROR(__xludf.DUMMYFUNCTION("""COMPUTED_VALUE"""),"For sale")</f>
        <v>For sale</v>
      </c>
      <c r="B1419" s="2" t="str">
        <f>IFERROR(__xludf.DUMMYFUNCTION("""COMPUTED_VALUE"""),"Purvciems")</f>
        <v>Purvciems</v>
      </c>
      <c r="C1419" s="2" t="str">
        <f>IFERROR(__xludf.DUMMYFUNCTION("""COMPUTED_VALUE"""),"Deglava 35")</f>
        <v>Deglava 35</v>
      </c>
      <c r="D1419" s="2">
        <f>IFERROR(__xludf.DUMMYFUNCTION("""COMPUTED_VALUE"""),2.0)</f>
        <v>2</v>
      </c>
      <c r="E1419" s="2">
        <f>IFERROR(__xludf.DUMMYFUNCTION("""COMPUTED_VALUE"""),69.2)</f>
        <v>69.2</v>
      </c>
      <c r="F1419" s="2">
        <f>IFERROR(__xludf.DUMMYFUNCTION("""COMPUTED_VALUE"""),2.0)</f>
        <v>2</v>
      </c>
      <c r="G1419" s="2">
        <f>IFERROR(__xludf.DUMMYFUNCTION("""COMPUTED_VALUE"""),3.0)</f>
        <v>3</v>
      </c>
      <c r="H1419" s="2" t="str">
        <f>IFERROR(__xludf.DUMMYFUNCTION("""COMPUTED_VALUE"""),"P. kara")</f>
        <v>P. kara</v>
      </c>
      <c r="I1419" s="2" t="str">
        <f>IFERROR(__xludf.DUMMYFUNCTION("""COMPUTED_VALUE"""),"Masonry")</f>
        <v>Masonry</v>
      </c>
      <c r="J1419" s="2" t="str">
        <f>IFERROR(__xludf.DUMMYFUNCTION("""COMPUTED_VALUE"""),"Partial amenities")</f>
        <v>Partial amenities</v>
      </c>
      <c r="K1419" s="2">
        <f>IFERROR(__xludf.DUMMYFUNCTION("""COMPUTED_VALUE"""),38406.0)</f>
        <v>38406</v>
      </c>
      <c r="L1419" s="2">
        <f>IFERROR(__xludf.DUMMYFUNCTION("""COMPUTED_VALUE"""),56.9518738999999)</f>
        <v>56.9518739</v>
      </c>
      <c r="M1419" s="2">
        <f>IFERROR(__xludf.DUMMYFUNCTION("""COMPUTED_VALUE"""),24.1686216955627)</f>
        <v>24.1686217</v>
      </c>
    </row>
    <row r="1420">
      <c r="A1420" s="2" t="str">
        <f>IFERROR(__xludf.DUMMYFUNCTION("""COMPUTED_VALUE"""),"For rent")</f>
        <v>For rent</v>
      </c>
      <c r="B1420" s="2" t="str">
        <f>IFERROR(__xludf.DUMMYFUNCTION("""COMPUTED_VALUE"""),"Pļavnieki")</f>
        <v>Pļavnieki</v>
      </c>
      <c r="C1420" s="2" t="str">
        <f>IFERROR(__xludf.DUMMYFUNCTION("""COMPUTED_VALUE"""),"Dzeņu 14")</f>
        <v>Dzeņu 14</v>
      </c>
      <c r="D1420" s="2">
        <f>IFERROR(__xludf.DUMMYFUNCTION("""COMPUTED_VALUE"""),1.0)</f>
        <v>1</v>
      </c>
      <c r="E1420" s="2">
        <f>IFERROR(__xludf.DUMMYFUNCTION("""COMPUTED_VALUE"""),42.0)</f>
        <v>42</v>
      </c>
      <c r="F1420" s="2">
        <f>IFERROR(__xludf.DUMMYFUNCTION("""COMPUTED_VALUE"""),5.0)</f>
        <v>5</v>
      </c>
      <c r="G1420" s="2">
        <f>IFERROR(__xludf.DUMMYFUNCTION("""COMPUTED_VALUE"""),9.0)</f>
        <v>9</v>
      </c>
      <c r="H1420" s="2" t="str">
        <f>IFERROR(__xludf.DUMMYFUNCTION("""COMPUTED_VALUE"""),"M. ģim.")</f>
        <v>M. ģim.</v>
      </c>
      <c r="I1420" s="2" t="str">
        <f>IFERROR(__xludf.DUMMYFUNCTION("""COMPUTED_VALUE"""),"Panel")</f>
        <v>Panel</v>
      </c>
      <c r="J1420" s="2" t="str">
        <f>IFERROR(__xludf.DUMMYFUNCTION("""COMPUTED_VALUE"""),"All amenities")</f>
        <v>All amenities</v>
      </c>
      <c r="K1420" s="2">
        <f>IFERROR(__xludf.DUMMYFUNCTION("""COMPUTED_VALUE"""),250.0)</f>
        <v>250</v>
      </c>
      <c r="L1420" s="2">
        <f>IFERROR(__xludf.DUMMYFUNCTION("""COMPUTED_VALUE"""),56.93927555)</f>
        <v>56.93927555</v>
      </c>
      <c r="M1420" s="2">
        <f>IFERROR(__xludf.DUMMYFUNCTION("""COMPUTED_VALUE"""),24.213061240289)</f>
        <v>24.21306124</v>
      </c>
    </row>
    <row r="1421">
      <c r="A1421" s="2" t="str">
        <f>IFERROR(__xludf.DUMMYFUNCTION("""COMPUTED_VALUE"""),"For rent")</f>
        <v>For rent</v>
      </c>
      <c r="B1421" s="2" t="str">
        <f>IFERROR(__xludf.DUMMYFUNCTION("""COMPUTED_VALUE"""),"centrs")</f>
        <v>centrs</v>
      </c>
      <c r="C1421" s="2" t="str">
        <f>IFERROR(__xludf.DUMMYFUNCTION("""COMPUTED_VALUE"""),"Tirgoņu 17")</f>
        <v>Tirgoņu 17</v>
      </c>
      <c r="D1421" s="2">
        <f>IFERROR(__xludf.DUMMYFUNCTION("""COMPUTED_VALUE"""),2.0)</f>
        <v>2</v>
      </c>
      <c r="E1421" s="2">
        <f>IFERROR(__xludf.DUMMYFUNCTION("""COMPUTED_VALUE"""),67.0)</f>
        <v>67</v>
      </c>
      <c r="F1421" s="2">
        <f>IFERROR(__xludf.DUMMYFUNCTION("""COMPUTED_VALUE"""),4.0)</f>
        <v>4</v>
      </c>
      <c r="G1421" s="2">
        <f>IFERROR(__xludf.DUMMYFUNCTION("""COMPUTED_VALUE"""),5.0)</f>
        <v>5</v>
      </c>
      <c r="H1421" s="2" t="str">
        <f>IFERROR(__xludf.DUMMYFUNCTION("""COMPUTED_VALUE"""),"P. kara")</f>
        <v>P. kara</v>
      </c>
      <c r="I1421" s="2" t="str">
        <f>IFERROR(__xludf.DUMMYFUNCTION("""COMPUTED_VALUE"""),"Brick")</f>
        <v>Brick</v>
      </c>
      <c r="J1421" s="2" t="str">
        <f>IFERROR(__xludf.DUMMYFUNCTION("""COMPUTED_VALUE"""),"All amenities")</f>
        <v>All amenities</v>
      </c>
      <c r="K1421" s="2">
        <f>IFERROR(__xludf.DUMMYFUNCTION("""COMPUTED_VALUE"""),44.0)</f>
        <v>44</v>
      </c>
      <c r="L1421" s="2">
        <f>IFERROR(__xludf.DUMMYFUNCTION("""COMPUTED_VALUE"""),56.9484815)</f>
        <v>56.9484815</v>
      </c>
      <c r="M1421" s="2">
        <f>IFERROR(__xludf.DUMMYFUNCTION("""COMPUTED_VALUE"""),24.1061513)</f>
        <v>24.1061513</v>
      </c>
    </row>
    <row r="1422">
      <c r="A1422" s="2" t="str">
        <f>IFERROR(__xludf.DUMMYFUNCTION("""COMPUTED_VALUE"""),"For rent")</f>
        <v>For rent</v>
      </c>
      <c r="B1422" s="2" t="str">
        <f>IFERROR(__xludf.DUMMYFUNCTION("""COMPUTED_VALUE"""),"Vecrīga")</f>
        <v>Vecrīga</v>
      </c>
      <c r="C1422" s="2" t="str">
        <f>IFERROR(__xludf.DUMMYFUNCTION("""COMPUTED_VALUE"""),"Grēcinieku 20")</f>
        <v>Grēcinieku 20</v>
      </c>
      <c r="D1422" s="2">
        <f>IFERROR(__xludf.DUMMYFUNCTION("""COMPUTED_VALUE"""),2.0)</f>
        <v>2</v>
      </c>
      <c r="E1422" s="2">
        <f>IFERROR(__xludf.DUMMYFUNCTION("""COMPUTED_VALUE"""),80.0)</f>
        <v>80</v>
      </c>
      <c r="F1422" s="2">
        <f>IFERROR(__xludf.DUMMYFUNCTION("""COMPUTED_VALUE"""),4.0)</f>
        <v>4</v>
      </c>
      <c r="G1422" s="2">
        <f>IFERROR(__xludf.DUMMYFUNCTION("""COMPUTED_VALUE"""),5.0)</f>
        <v>5</v>
      </c>
      <c r="H1422" s="2" t="str">
        <f>IFERROR(__xludf.DUMMYFUNCTION("""COMPUTED_VALUE"""),"Renov.")</f>
        <v>Renov.</v>
      </c>
      <c r="I1422" s="2" t="str">
        <f>IFERROR(__xludf.DUMMYFUNCTION("""COMPUTED_VALUE"""),"Masonry")</f>
        <v>Masonry</v>
      </c>
      <c r="J1422" s="2" t="str">
        <f>IFERROR(__xludf.DUMMYFUNCTION("""COMPUTED_VALUE"""),"All amenities")</f>
        <v>All amenities</v>
      </c>
      <c r="K1422" s="2">
        <f>IFERROR(__xludf.DUMMYFUNCTION("""COMPUTED_VALUE"""),44.0)</f>
        <v>44</v>
      </c>
      <c r="L1422" s="2">
        <f>IFERROR(__xludf.DUMMYFUNCTION("""COMPUTED_VALUE"""),56.9467886)</f>
        <v>56.9467886</v>
      </c>
      <c r="M1422" s="2">
        <f>IFERROR(__xludf.DUMMYFUNCTION("""COMPUTED_VALUE"""),24.1080762)</f>
        <v>24.1080762</v>
      </c>
    </row>
    <row r="1423">
      <c r="A1423" s="2" t="str">
        <f>IFERROR(__xludf.DUMMYFUNCTION("""COMPUTED_VALUE"""),"For sale")</f>
        <v>For sale</v>
      </c>
      <c r="B1423" s="2" t="str">
        <f>IFERROR(__xludf.DUMMYFUNCTION("""COMPUTED_VALUE"""),"centrs")</f>
        <v>centrs</v>
      </c>
      <c r="C1423" s="2" t="str">
        <f>IFERROR(__xludf.DUMMYFUNCTION("""COMPUTED_VALUE"""),"Vēžu 14")</f>
        <v>Vēžu 14</v>
      </c>
      <c r="D1423" s="2">
        <f>IFERROR(__xludf.DUMMYFUNCTION("""COMPUTED_VALUE"""),2.0)</f>
        <v>2</v>
      </c>
      <c r="E1423" s="2">
        <f>IFERROR(__xludf.DUMMYFUNCTION("""COMPUTED_VALUE"""),54.0)</f>
        <v>54</v>
      </c>
      <c r="F1423" s="2">
        <f>IFERROR(__xludf.DUMMYFUNCTION("""COMPUTED_VALUE"""),1.0)</f>
        <v>1</v>
      </c>
      <c r="G1423" s="2">
        <f>IFERROR(__xludf.DUMMYFUNCTION("""COMPUTED_VALUE"""),6.0)</f>
        <v>6</v>
      </c>
      <c r="H1423" s="2" t="str">
        <f>IFERROR(__xludf.DUMMYFUNCTION("""COMPUTED_VALUE"""),"Jaun.")</f>
        <v>Jaun.</v>
      </c>
      <c r="I1423" s="2" t="str">
        <f>IFERROR(__xludf.DUMMYFUNCTION("""COMPUTED_VALUE"""),"Panel-Brick")</f>
        <v>Panel-Brick</v>
      </c>
      <c r="J1423" s="2" t="str">
        <f>IFERROR(__xludf.DUMMYFUNCTION("""COMPUTED_VALUE"""),"All amenities")</f>
        <v>All amenities</v>
      </c>
      <c r="K1423" s="2">
        <f>IFERROR(__xludf.DUMMYFUNCTION("""COMPUTED_VALUE"""),89000.0)</f>
        <v>89000</v>
      </c>
      <c r="L1423" s="2">
        <f>IFERROR(__xludf.DUMMYFUNCTION("""COMPUTED_VALUE"""),56.9703444)</f>
        <v>56.9703444</v>
      </c>
      <c r="M1423" s="2">
        <f>IFERROR(__xludf.DUMMYFUNCTION("""COMPUTED_VALUE"""),24.1001017)</f>
        <v>24.1001017</v>
      </c>
    </row>
    <row r="1424">
      <c r="A1424" s="2" t="str">
        <f>IFERROR(__xludf.DUMMYFUNCTION("""COMPUTED_VALUE"""),"For sale")</f>
        <v>For sale</v>
      </c>
      <c r="B1424" s="2" t="str">
        <f>IFERROR(__xludf.DUMMYFUNCTION("""COMPUTED_VALUE"""),"centrs")</f>
        <v>centrs</v>
      </c>
      <c r="C1424" s="2" t="str">
        <f>IFERROR(__xludf.DUMMYFUNCTION("""COMPUTED_VALUE"""),"Pērnavas 10")</f>
        <v>Pērnavas 10</v>
      </c>
      <c r="D1424" s="2">
        <f>IFERROR(__xludf.DUMMYFUNCTION("""COMPUTED_VALUE"""),2.0)</f>
        <v>2</v>
      </c>
      <c r="E1424" s="2">
        <f>IFERROR(__xludf.DUMMYFUNCTION("""COMPUTED_VALUE"""),60.0)</f>
        <v>60</v>
      </c>
      <c r="F1424" s="2">
        <f>IFERROR(__xludf.DUMMYFUNCTION("""COMPUTED_VALUE"""),1.0)</f>
        <v>1</v>
      </c>
      <c r="G1424" s="2">
        <f>IFERROR(__xludf.DUMMYFUNCTION("""COMPUTED_VALUE"""),5.0)</f>
        <v>5</v>
      </c>
      <c r="H1424" s="2" t="str">
        <f>IFERROR(__xludf.DUMMYFUNCTION("""COMPUTED_VALUE"""),"Staļina")</f>
        <v>Staļina</v>
      </c>
      <c r="I1424" s="2" t="str">
        <f>IFERROR(__xludf.DUMMYFUNCTION("""COMPUTED_VALUE"""),"Masonry")</f>
        <v>Masonry</v>
      </c>
      <c r="J1424" s="2" t="str">
        <f>IFERROR(__xludf.DUMMYFUNCTION("""COMPUTED_VALUE"""),"All amenities")</f>
        <v>All amenities</v>
      </c>
      <c r="K1424" s="2">
        <f>IFERROR(__xludf.DUMMYFUNCTION("""COMPUTED_VALUE"""),95000.0)</f>
        <v>95000</v>
      </c>
      <c r="L1424" s="2">
        <f>IFERROR(__xludf.DUMMYFUNCTION("""COMPUTED_VALUE"""),56.9647239)</f>
        <v>56.9647239</v>
      </c>
      <c r="M1424" s="2">
        <f>IFERROR(__xludf.DUMMYFUNCTION("""COMPUTED_VALUE"""),24.1477109)</f>
        <v>24.1477109</v>
      </c>
    </row>
    <row r="1425">
      <c r="A1425" s="2" t="str">
        <f>IFERROR(__xludf.DUMMYFUNCTION("""COMPUTED_VALUE"""),"For rent")</f>
        <v>For rent</v>
      </c>
      <c r="B1425" s="2" t="str">
        <f>IFERROR(__xludf.DUMMYFUNCTION("""COMPUTED_VALUE"""),"Purvciems")</f>
        <v>Purvciems</v>
      </c>
      <c r="C1425" s="2" t="str">
        <f>IFERROR(__xludf.DUMMYFUNCTION("""COMPUTED_VALUE"""),"Stirnu 19a")</f>
        <v>Stirnu 19a</v>
      </c>
      <c r="D1425" s="2">
        <f>IFERROR(__xludf.DUMMYFUNCTION("""COMPUTED_VALUE"""),1.0)</f>
        <v>1</v>
      </c>
      <c r="E1425" s="2">
        <f>IFERROR(__xludf.DUMMYFUNCTION("""COMPUTED_VALUE"""),37.0)</f>
        <v>37</v>
      </c>
      <c r="F1425" s="2">
        <f>IFERROR(__xludf.DUMMYFUNCTION("""COMPUTED_VALUE"""),2.0)</f>
        <v>2</v>
      </c>
      <c r="G1425" s="2">
        <f>IFERROR(__xludf.DUMMYFUNCTION("""COMPUTED_VALUE"""),5.0)</f>
        <v>5</v>
      </c>
      <c r="H1425" s="2" t="str">
        <f>IFERROR(__xludf.DUMMYFUNCTION("""COMPUTED_VALUE"""),"LT proj.")</f>
        <v>LT proj.</v>
      </c>
      <c r="I1425" s="2" t="str">
        <f>IFERROR(__xludf.DUMMYFUNCTION("""COMPUTED_VALUE"""),"Panel")</f>
        <v>Panel</v>
      </c>
      <c r="J1425" s="2" t="str">
        <f>IFERROR(__xludf.DUMMYFUNCTION("""COMPUTED_VALUE"""),"All amenities")</f>
        <v>All amenities</v>
      </c>
      <c r="K1425" s="2">
        <f>IFERROR(__xludf.DUMMYFUNCTION("""COMPUTED_VALUE"""),300.0)</f>
        <v>300</v>
      </c>
      <c r="L1425" s="2">
        <f>IFERROR(__xludf.DUMMYFUNCTION("""COMPUTED_VALUE"""),56.95698215)</f>
        <v>56.95698215</v>
      </c>
      <c r="M1425" s="2">
        <f>IFERROR(__xludf.DUMMYFUNCTION("""COMPUTED_VALUE"""),24.1805314081534)</f>
        <v>24.18053141</v>
      </c>
    </row>
    <row r="1426">
      <c r="A1426" s="2" t="str">
        <f>IFERROR(__xludf.DUMMYFUNCTION("""COMPUTED_VALUE"""),"For sale")</f>
        <v>For sale</v>
      </c>
      <c r="B1426" s="2" t="str">
        <f>IFERROR(__xludf.DUMMYFUNCTION("""COMPUTED_VALUE"""),"Iļģuciems")</f>
        <v>Iļģuciems</v>
      </c>
      <c r="C1426" s="2" t="str">
        <f>IFERROR(__xludf.DUMMYFUNCTION("""COMPUTED_VALUE"""),"Motoru 5")</f>
        <v>Motoru 5</v>
      </c>
      <c r="D1426" s="2">
        <f>IFERROR(__xludf.DUMMYFUNCTION("""COMPUTED_VALUE"""),2.0)</f>
        <v>2</v>
      </c>
      <c r="E1426" s="2">
        <f>IFERROR(__xludf.DUMMYFUNCTION("""COMPUTED_VALUE"""),50.0)</f>
        <v>50</v>
      </c>
      <c r="F1426" s="2">
        <f>IFERROR(__xludf.DUMMYFUNCTION("""COMPUTED_VALUE"""),5.0)</f>
        <v>5</v>
      </c>
      <c r="G1426" s="2">
        <f>IFERROR(__xludf.DUMMYFUNCTION("""COMPUTED_VALUE"""),5.0)</f>
        <v>5</v>
      </c>
      <c r="H1426" s="2" t="str">
        <f>IFERROR(__xludf.DUMMYFUNCTION("""COMPUTED_VALUE"""),"LT proj.")</f>
        <v>LT proj.</v>
      </c>
      <c r="I1426" s="2" t="str">
        <f>IFERROR(__xludf.DUMMYFUNCTION("""COMPUTED_VALUE"""),"Panel")</f>
        <v>Panel</v>
      </c>
      <c r="J1426" s="2" t="str">
        <f>IFERROR(__xludf.DUMMYFUNCTION("""COMPUTED_VALUE"""),"All amenities")</f>
        <v>All amenities</v>
      </c>
      <c r="K1426" s="2">
        <f>IFERROR(__xludf.DUMMYFUNCTION("""COMPUTED_VALUE"""),47500.0)</f>
        <v>47500</v>
      </c>
      <c r="L1426" s="2">
        <f>IFERROR(__xludf.DUMMYFUNCTION("""COMPUTED_VALUE"""),56.9695545)</f>
        <v>56.9695545</v>
      </c>
      <c r="M1426" s="2">
        <f>IFERROR(__xludf.DUMMYFUNCTION("""COMPUTED_VALUE"""),24.0669906439418)</f>
        <v>24.06699064</v>
      </c>
    </row>
    <row r="1427">
      <c r="A1427" s="2" t="str">
        <f>IFERROR(__xludf.DUMMYFUNCTION("""COMPUTED_VALUE"""),"For rent")</f>
        <v>For rent</v>
      </c>
      <c r="B1427" s="2" t="str">
        <f>IFERROR(__xludf.DUMMYFUNCTION("""COMPUTED_VALUE"""),"Ķengarags")</f>
        <v>Ķengarags</v>
      </c>
      <c r="C1427" s="2" t="str">
        <f>IFERROR(__xludf.DUMMYFUNCTION("""COMPUTED_VALUE"""),"Aviācijas 10")</f>
        <v>Aviācijas 10</v>
      </c>
      <c r="D1427" s="2">
        <f>IFERROR(__xludf.DUMMYFUNCTION("""COMPUTED_VALUE"""),3.0)</f>
        <v>3</v>
      </c>
      <c r="E1427" s="2">
        <f>IFERROR(__xludf.DUMMYFUNCTION("""COMPUTED_VALUE"""),56.0)</f>
        <v>56</v>
      </c>
      <c r="F1427" s="2">
        <f>IFERROR(__xludf.DUMMYFUNCTION("""COMPUTED_VALUE"""),4.0)</f>
        <v>4</v>
      </c>
      <c r="G1427" s="2">
        <f>IFERROR(__xludf.DUMMYFUNCTION("""COMPUTED_VALUE"""),4.0)</f>
        <v>4</v>
      </c>
      <c r="H1427" s="2" t="str">
        <f>IFERROR(__xludf.DUMMYFUNCTION("""COMPUTED_VALUE"""),"Hrušč.")</f>
        <v>Hrušč.</v>
      </c>
      <c r="I1427" s="2" t="str">
        <f>IFERROR(__xludf.DUMMYFUNCTION("""COMPUTED_VALUE"""),"Brick")</f>
        <v>Brick</v>
      </c>
      <c r="J1427" s="2" t="str">
        <f>IFERROR(__xludf.DUMMYFUNCTION("""COMPUTED_VALUE"""),"All amenities")</f>
        <v>All amenities</v>
      </c>
      <c r="K1427" s="2">
        <f>IFERROR(__xludf.DUMMYFUNCTION("""COMPUTED_VALUE"""),200.0)</f>
        <v>200</v>
      </c>
      <c r="L1427" s="2">
        <f>IFERROR(__xludf.DUMMYFUNCTION("""COMPUTED_VALUE"""),56.90102465)</f>
        <v>56.90102465</v>
      </c>
      <c r="M1427" s="2">
        <f>IFERROR(__xludf.DUMMYFUNCTION("""COMPUTED_VALUE"""),24.2045791783522)</f>
        <v>24.20457918</v>
      </c>
    </row>
    <row r="1428">
      <c r="A1428" s="2" t="str">
        <f>IFERROR(__xludf.DUMMYFUNCTION("""COMPUTED_VALUE"""),"For sale")</f>
        <v>For sale</v>
      </c>
      <c r="B1428" s="2" t="str">
        <f>IFERROR(__xludf.DUMMYFUNCTION("""COMPUTED_VALUE"""),"Āgenskalns")</f>
        <v>Āgenskalns</v>
      </c>
      <c r="C1428" s="2" t="str">
        <f>IFERROR(__xludf.DUMMYFUNCTION("""COMPUTED_VALUE"""),"Ventspils 25")</f>
        <v>Ventspils 25</v>
      </c>
      <c r="D1428" s="2">
        <f>IFERROR(__xludf.DUMMYFUNCTION("""COMPUTED_VALUE"""),1.0)</f>
        <v>1</v>
      </c>
      <c r="E1428" s="2">
        <f>IFERROR(__xludf.DUMMYFUNCTION("""COMPUTED_VALUE"""),27.0)</f>
        <v>27</v>
      </c>
      <c r="F1428" s="2">
        <f>IFERROR(__xludf.DUMMYFUNCTION("""COMPUTED_VALUE"""),2.0)</f>
        <v>2</v>
      </c>
      <c r="G1428" s="2">
        <f>IFERROR(__xludf.DUMMYFUNCTION("""COMPUTED_VALUE"""),2.0)</f>
        <v>2</v>
      </c>
      <c r="H1428" s="2" t="str">
        <f>IFERROR(__xludf.DUMMYFUNCTION("""COMPUTED_VALUE"""),"P. kara")</f>
        <v>P. kara</v>
      </c>
      <c r="I1428" s="2" t="str">
        <f>IFERROR(__xludf.DUMMYFUNCTION("""COMPUTED_VALUE"""),"Wood")</f>
        <v>Wood</v>
      </c>
      <c r="J1428" s="2" t="str">
        <f>IFERROR(__xludf.DUMMYFUNCTION("""COMPUTED_VALUE"""),"Partial amenities")</f>
        <v>Partial amenities</v>
      </c>
      <c r="K1428" s="2">
        <f>IFERROR(__xludf.DUMMYFUNCTION("""COMPUTED_VALUE"""),10400.0)</f>
        <v>10400</v>
      </c>
      <c r="L1428" s="2">
        <f>IFERROR(__xludf.DUMMYFUNCTION("""COMPUTED_VALUE"""),56.9492021)</f>
        <v>56.9492021</v>
      </c>
      <c r="M1428" s="2">
        <f>IFERROR(__xludf.DUMMYFUNCTION("""COMPUTED_VALUE"""),23.9587415)</f>
        <v>23.9587415</v>
      </c>
    </row>
    <row r="1429">
      <c r="A1429" s="2" t="str">
        <f>IFERROR(__xludf.DUMMYFUNCTION("""COMPUTED_VALUE"""),"For sale")</f>
        <v>For sale</v>
      </c>
      <c r="B1429" s="2" t="str">
        <f>IFERROR(__xludf.DUMMYFUNCTION("""COMPUTED_VALUE"""),"Ziepniekkalns")</f>
        <v>Ziepniekkalns</v>
      </c>
      <c r="C1429" s="2" t="str">
        <f>IFERROR(__xludf.DUMMYFUNCTION("""COMPUTED_VALUE"""),"Dignājas 1a")</f>
        <v>Dignājas 1a</v>
      </c>
      <c r="D1429" s="2">
        <f>IFERROR(__xludf.DUMMYFUNCTION("""COMPUTED_VALUE"""),2.0)</f>
        <v>2</v>
      </c>
      <c r="E1429" s="2">
        <f>IFERROR(__xludf.DUMMYFUNCTION("""COMPUTED_VALUE"""),49.0)</f>
        <v>49</v>
      </c>
      <c r="F1429" s="2">
        <f>IFERROR(__xludf.DUMMYFUNCTION("""COMPUTED_VALUE"""),3.0)</f>
        <v>3</v>
      </c>
      <c r="G1429" s="2">
        <f>IFERROR(__xludf.DUMMYFUNCTION("""COMPUTED_VALUE"""),4.0)</f>
        <v>4</v>
      </c>
      <c r="H1429" s="2" t="str">
        <f>IFERROR(__xludf.DUMMYFUNCTION("""COMPUTED_VALUE"""),"Jaun.")</f>
        <v>Jaun.</v>
      </c>
      <c r="I1429" s="2" t="str">
        <f>IFERROR(__xludf.DUMMYFUNCTION("""COMPUTED_VALUE"""),"Masonry")</f>
        <v>Masonry</v>
      </c>
      <c r="J1429" s="2" t="str">
        <f>IFERROR(__xludf.DUMMYFUNCTION("""COMPUTED_VALUE"""),"All amenities")</f>
        <v>All amenities</v>
      </c>
      <c r="K1429" s="2">
        <f>IFERROR(__xludf.DUMMYFUNCTION("""COMPUTED_VALUE"""),81184.0)</f>
        <v>81184</v>
      </c>
      <c r="L1429" s="2">
        <f>IFERROR(__xludf.DUMMYFUNCTION("""COMPUTED_VALUE"""),56.9126889)</f>
        <v>56.9126889</v>
      </c>
      <c r="M1429" s="2">
        <f>IFERROR(__xludf.DUMMYFUNCTION("""COMPUTED_VALUE"""),24.1234641)</f>
        <v>24.1234641</v>
      </c>
    </row>
    <row r="1430">
      <c r="A1430" s="2" t="str">
        <f>IFERROR(__xludf.DUMMYFUNCTION("""COMPUTED_VALUE"""),"For sale")</f>
        <v>For sale</v>
      </c>
      <c r="B1430" s="2" t="str">
        <f>IFERROR(__xludf.DUMMYFUNCTION("""COMPUTED_VALUE"""),"Zolitūde")</f>
        <v>Zolitūde</v>
      </c>
      <c r="C1430" s="2" t="str">
        <f>IFERROR(__xludf.DUMMYFUNCTION("""COMPUTED_VALUE"""),"Lejiņa 6")</f>
        <v>Lejiņa 6</v>
      </c>
      <c r="D1430" s="2">
        <f>IFERROR(__xludf.DUMMYFUNCTION("""COMPUTED_VALUE"""),2.0)</f>
        <v>2</v>
      </c>
      <c r="E1430" s="2">
        <f>IFERROR(__xludf.DUMMYFUNCTION("""COMPUTED_VALUE"""),54.0)</f>
        <v>54</v>
      </c>
      <c r="F1430" s="2">
        <f>IFERROR(__xludf.DUMMYFUNCTION("""COMPUTED_VALUE"""),1.0)</f>
        <v>1</v>
      </c>
      <c r="G1430" s="2">
        <f>IFERROR(__xludf.DUMMYFUNCTION("""COMPUTED_VALUE"""),9.0)</f>
        <v>9</v>
      </c>
      <c r="H1430" s="2">
        <f>IFERROR(__xludf.DUMMYFUNCTION("""COMPUTED_VALUE"""),119.0)</f>
        <v>119</v>
      </c>
      <c r="I1430" s="2" t="str">
        <f>IFERROR(__xludf.DUMMYFUNCTION("""COMPUTED_VALUE"""),"Panel")</f>
        <v>Panel</v>
      </c>
      <c r="J1430" s="2" t="str">
        <f>IFERROR(__xludf.DUMMYFUNCTION("""COMPUTED_VALUE"""),"All amenities")</f>
        <v>All amenities</v>
      </c>
      <c r="K1430" s="2">
        <f>IFERROR(__xludf.DUMMYFUNCTION("""COMPUTED_VALUE"""),57000.0)</f>
        <v>57000</v>
      </c>
      <c r="L1430" s="2">
        <f>IFERROR(__xludf.DUMMYFUNCTION("""COMPUTED_VALUE"""),56.9459191)</f>
        <v>56.9459191</v>
      </c>
      <c r="M1430" s="2">
        <f>IFERROR(__xludf.DUMMYFUNCTION("""COMPUTED_VALUE"""),24.0176834935538)</f>
        <v>24.01768349</v>
      </c>
    </row>
    <row r="1431">
      <c r="A1431" s="2" t="str">
        <f>IFERROR(__xludf.DUMMYFUNCTION("""COMPUTED_VALUE"""),"For sale")</f>
        <v>For sale</v>
      </c>
      <c r="B1431" s="2" t="str">
        <f>IFERROR(__xludf.DUMMYFUNCTION("""COMPUTED_VALUE"""),"Ķengarags")</f>
        <v>Ķengarags</v>
      </c>
      <c r="C1431" s="2" t="str">
        <f>IFERROR(__xludf.DUMMYFUNCTION("""COMPUTED_VALUE"""),"Prūšu 9a")</f>
        <v>Prūšu 9a</v>
      </c>
      <c r="D1431" s="2">
        <f>IFERROR(__xludf.DUMMYFUNCTION("""COMPUTED_VALUE"""),3.0)</f>
        <v>3</v>
      </c>
      <c r="E1431" s="2">
        <f>IFERROR(__xludf.DUMMYFUNCTION("""COMPUTED_VALUE"""),56.0)</f>
        <v>56</v>
      </c>
      <c r="F1431" s="2">
        <f>IFERROR(__xludf.DUMMYFUNCTION("""COMPUTED_VALUE"""),2.0)</f>
        <v>2</v>
      </c>
      <c r="G1431" s="2">
        <f>IFERROR(__xludf.DUMMYFUNCTION("""COMPUTED_VALUE"""),5.0)</f>
        <v>5</v>
      </c>
      <c r="H1431" s="2" t="str">
        <f>IFERROR(__xludf.DUMMYFUNCTION("""COMPUTED_VALUE"""),"Specpr.")</f>
        <v>Specpr.</v>
      </c>
      <c r="I1431" s="2" t="str">
        <f>IFERROR(__xludf.DUMMYFUNCTION("""COMPUTED_VALUE"""),"Brick")</f>
        <v>Brick</v>
      </c>
      <c r="J1431" s="2" t="str">
        <f>IFERROR(__xludf.DUMMYFUNCTION("""COMPUTED_VALUE"""),"All amenities")</f>
        <v>All amenities</v>
      </c>
      <c r="K1431" s="2">
        <f>IFERROR(__xludf.DUMMYFUNCTION("""COMPUTED_VALUE"""),52000.0)</f>
        <v>52000</v>
      </c>
      <c r="L1431" s="2">
        <f>IFERROR(__xludf.DUMMYFUNCTION("""COMPUTED_VALUE"""),56.9150615)</f>
        <v>56.9150615</v>
      </c>
      <c r="M1431" s="2">
        <f>IFERROR(__xludf.DUMMYFUNCTION("""COMPUTED_VALUE"""),24.1865497499999)</f>
        <v>24.18654975</v>
      </c>
    </row>
    <row r="1432">
      <c r="A1432" s="2" t="str">
        <f>IFERROR(__xludf.DUMMYFUNCTION("""COMPUTED_VALUE"""),"For sale")</f>
        <v>For sale</v>
      </c>
      <c r="B1432" s="2" t="str">
        <f>IFERROR(__xludf.DUMMYFUNCTION("""COMPUTED_VALUE"""),"Mežciems")</f>
        <v>Mežciems</v>
      </c>
      <c r="C1432" s="2" t="str">
        <f>IFERROR(__xludf.DUMMYFUNCTION("""COMPUTED_VALUE"""),"Eizenšteina 73")</f>
        <v>Eizenšteina 73</v>
      </c>
      <c r="D1432" s="2">
        <f>IFERROR(__xludf.DUMMYFUNCTION("""COMPUTED_VALUE"""),4.0)</f>
        <v>4</v>
      </c>
      <c r="E1432" s="2">
        <f>IFERROR(__xludf.DUMMYFUNCTION("""COMPUTED_VALUE"""),76.0)</f>
        <v>76</v>
      </c>
      <c r="F1432" s="2">
        <f>IFERROR(__xludf.DUMMYFUNCTION("""COMPUTED_VALUE"""),6.0)</f>
        <v>6</v>
      </c>
      <c r="G1432" s="2">
        <f>IFERROR(__xludf.DUMMYFUNCTION("""COMPUTED_VALUE"""),9.0)</f>
        <v>9</v>
      </c>
      <c r="H1432" s="2">
        <f>IFERROR(__xludf.DUMMYFUNCTION("""COMPUTED_VALUE"""),602.0)</f>
        <v>602</v>
      </c>
      <c r="I1432" s="2" t="str">
        <f>IFERROR(__xludf.DUMMYFUNCTION("""COMPUTED_VALUE"""),"Panel")</f>
        <v>Panel</v>
      </c>
      <c r="J1432" s="2" t="str">
        <f>IFERROR(__xludf.DUMMYFUNCTION("""COMPUTED_VALUE"""),"All amenities")</f>
        <v>All amenities</v>
      </c>
      <c r="K1432" s="2">
        <f>IFERROR(__xludf.DUMMYFUNCTION("""COMPUTED_VALUE"""),80000.0)</f>
        <v>80000</v>
      </c>
      <c r="L1432" s="2">
        <f>IFERROR(__xludf.DUMMYFUNCTION("""COMPUTED_VALUE"""),56.9604413499999)</f>
        <v>56.96044135</v>
      </c>
      <c r="M1432" s="2">
        <f>IFERROR(__xludf.DUMMYFUNCTION("""COMPUTED_VALUE"""),24.2324441242353)</f>
        <v>24.23244412</v>
      </c>
    </row>
    <row r="1433">
      <c r="A1433" s="2" t="str">
        <f>IFERROR(__xludf.DUMMYFUNCTION("""COMPUTED_VALUE"""),"For sale")</f>
        <v>For sale</v>
      </c>
      <c r="B1433" s="2" t="str">
        <f>IFERROR(__xludf.DUMMYFUNCTION("""COMPUTED_VALUE"""),"Ziepniekkalns")</f>
        <v>Ziepniekkalns</v>
      </c>
      <c r="C1433" s="2" t="str">
        <f>IFERROR(__xludf.DUMMYFUNCTION("""COMPUTED_VALUE"""),"Ozolciema 56")</f>
        <v>Ozolciema 56</v>
      </c>
      <c r="D1433" s="2">
        <f>IFERROR(__xludf.DUMMYFUNCTION("""COMPUTED_VALUE"""),2.0)</f>
        <v>2</v>
      </c>
      <c r="E1433" s="2">
        <f>IFERROR(__xludf.DUMMYFUNCTION("""COMPUTED_VALUE"""),52.0)</f>
        <v>52</v>
      </c>
      <c r="F1433" s="2">
        <f>IFERROR(__xludf.DUMMYFUNCTION("""COMPUTED_VALUE"""),5.0)</f>
        <v>5</v>
      </c>
      <c r="G1433" s="2">
        <f>IFERROR(__xludf.DUMMYFUNCTION("""COMPUTED_VALUE"""),9.0)</f>
        <v>9</v>
      </c>
      <c r="H1433" s="2">
        <f>IFERROR(__xludf.DUMMYFUNCTION("""COMPUTED_VALUE"""),602.0)</f>
        <v>602</v>
      </c>
      <c r="I1433" s="2" t="str">
        <f>IFERROR(__xludf.DUMMYFUNCTION("""COMPUTED_VALUE"""),"Panel")</f>
        <v>Panel</v>
      </c>
      <c r="J1433" s="2" t="str">
        <f>IFERROR(__xludf.DUMMYFUNCTION("""COMPUTED_VALUE"""),"All amenities")</f>
        <v>All amenities</v>
      </c>
      <c r="K1433" s="2">
        <f>IFERROR(__xludf.DUMMYFUNCTION("""COMPUTED_VALUE"""),64900.0)</f>
        <v>64900</v>
      </c>
      <c r="L1433" s="2">
        <f>IFERROR(__xludf.DUMMYFUNCTION("""COMPUTED_VALUE"""),56.90069575)</f>
        <v>56.90069575</v>
      </c>
      <c r="M1433" s="2">
        <f>IFERROR(__xludf.DUMMYFUNCTION("""COMPUTED_VALUE"""),24.102280983175)</f>
        <v>24.10228098</v>
      </c>
    </row>
    <row r="1434">
      <c r="A1434" s="2" t="str">
        <f>IFERROR(__xludf.DUMMYFUNCTION("""COMPUTED_VALUE"""),"For rent")</f>
        <v>For rent</v>
      </c>
      <c r="B1434" s="2" t="str">
        <f>IFERROR(__xludf.DUMMYFUNCTION("""COMPUTED_VALUE"""),"Mežaparks")</f>
        <v>Mežaparks</v>
      </c>
      <c r="C1434" s="2" t="str">
        <f>IFERROR(__xludf.DUMMYFUNCTION("""COMPUTED_VALUE"""),"Stendera 10")</f>
        <v>Stendera 10</v>
      </c>
      <c r="D1434" s="2">
        <f>IFERROR(__xludf.DUMMYFUNCTION("""COMPUTED_VALUE"""),1.0)</f>
        <v>1</v>
      </c>
      <c r="E1434" s="2">
        <f>IFERROR(__xludf.DUMMYFUNCTION("""COMPUTED_VALUE"""),41.0)</f>
        <v>41</v>
      </c>
      <c r="F1434" s="2">
        <f>IFERROR(__xludf.DUMMYFUNCTION("""COMPUTED_VALUE"""),1.0)</f>
        <v>1</v>
      </c>
      <c r="G1434" s="2">
        <f>IFERROR(__xludf.DUMMYFUNCTION("""COMPUTED_VALUE"""),2.0)</f>
        <v>2</v>
      </c>
      <c r="H1434" s="2" t="str">
        <f>IFERROR(__xludf.DUMMYFUNCTION("""COMPUTED_VALUE"""),"Priv. m.")</f>
        <v>Priv. m.</v>
      </c>
      <c r="I1434" s="2" t="str">
        <f>IFERROR(__xludf.DUMMYFUNCTION("""COMPUTED_VALUE"""),"Brick")</f>
        <v>Brick</v>
      </c>
      <c r="J1434" s="2" t="str">
        <f>IFERROR(__xludf.DUMMYFUNCTION("""COMPUTED_VALUE"""),"All amenities")</f>
        <v>All amenities</v>
      </c>
      <c r="K1434" s="2">
        <f>IFERROR(__xludf.DUMMYFUNCTION("""COMPUTED_VALUE"""),450.0)</f>
        <v>450</v>
      </c>
      <c r="L1434" s="2">
        <f>IFERROR(__xludf.DUMMYFUNCTION("""COMPUTED_VALUE"""),56.99618955)</f>
        <v>56.99618955</v>
      </c>
      <c r="M1434" s="2">
        <f>IFERROR(__xludf.DUMMYFUNCTION("""COMPUTED_VALUE"""),24.1509424999999)</f>
        <v>24.1509425</v>
      </c>
    </row>
    <row r="1435">
      <c r="A1435" s="2" t="str">
        <f>IFERROR(__xludf.DUMMYFUNCTION("""COMPUTED_VALUE"""),"For sale")</f>
        <v>For sale</v>
      </c>
      <c r="B1435" s="2" t="str">
        <f>IFERROR(__xludf.DUMMYFUNCTION("""COMPUTED_VALUE"""),"Vecrīga")</f>
        <v>Vecrīga</v>
      </c>
      <c r="C1435" s="2" t="str">
        <f>IFERROR(__xludf.DUMMYFUNCTION("""COMPUTED_VALUE"""),"Tirgoņu 17")</f>
        <v>Tirgoņu 17</v>
      </c>
      <c r="D1435" s="2">
        <f>IFERROR(__xludf.DUMMYFUNCTION("""COMPUTED_VALUE"""),2.0)</f>
        <v>2</v>
      </c>
      <c r="E1435" s="2">
        <f>IFERROR(__xludf.DUMMYFUNCTION("""COMPUTED_VALUE"""),59.0)</f>
        <v>59</v>
      </c>
      <c r="F1435" s="2">
        <f>IFERROR(__xludf.DUMMYFUNCTION("""COMPUTED_VALUE"""),2.0)</f>
        <v>2</v>
      </c>
      <c r="G1435" s="2">
        <f>IFERROR(__xludf.DUMMYFUNCTION("""COMPUTED_VALUE"""),5.0)</f>
        <v>5</v>
      </c>
      <c r="H1435" s="2" t="str">
        <f>IFERROR(__xludf.DUMMYFUNCTION("""COMPUTED_VALUE"""),"Renov.")</f>
        <v>Renov.</v>
      </c>
      <c r="I1435" s="2" t="str">
        <f>IFERROR(__xludf.DUMMYFUNCTION("""COMPUTED_VALUE"""),"Masonry")</f>
        <v>Masonry</v>
      </c>
      <c r="J1435" s="2" t="str">
        <f>IFERROR(__xludf.DUMMYFUNCTION("""COMPUTED_VALUE"""),"All amenities")</f>
        <v>All amenities</v>
      </c>
      <c r="K1435" s="2">
        <f>IFERROR(__xludf.DUMMYFUNCTION("""COMPUTED_VALUE"""),170000.0)</f>
        <v>170000</v>
      </c>
      <c r="L1435" s="2">
        <f>IFERROR(__xludf.DUMMYFUNCTION("""COMPUTED_VALUE"""),56.9484815)</f>
        <v>56.9484815</v>
      </c>
      <c r="M1435" s="2">
        <f>IFERROR(__xludf.DUMMYFUNCTION("""COMPUTED_VALUE"""),24.1061513)</f>
        <v>24.1061513</v>
      </c>
    </row>
    <row r="1436">
      <c r="A1436" s="2" t="str">
        <f>IFERROR(__xludf.DUMMYFUNCTION("""COMPUTED_VALUE"""),"For sale")</f>
        <v>For sale</v>
      </c>
      <c r="B1436" s="2" t="str">
        <f>IFERROR(__xludf.DUMMYFUNCTION("""COMPUTED_VALUE"""),"Krasta r-ns")</f>
        <v>Krasta r-ns</v>
      </c>
      <c r="C1436" s="2" t="str">
        <f>IFERROR(__xludf.DUMMYFUNCTION("""COMPUTED_VALUE"""),"Dzērvju 3")</f>
        <v>Dzērvju 3</v>
      </c>
      <c r="D1436" s="2">
        <f>IFERROR(__xludf.DUMMYFUNCTION("""COMPUTED_VALUE"""),4.0)</f>
        <v>4</v>
      </c>
      <c r="E1436" s="2">
        <f>IFERROR(__xludf.DUMMYFUNCTION("""COMPUTED_VALUE"""),78.0)</f>
        <v>78</v>
      </c>
      <c r="F1436" s="2">
        <f>IFERROR(__xludf.DUMMYFUNCTION("""COMPUTED_VALUE"""),7.0)</f>
        <v>7</v>
      </c>
      <c r="G1436" s="2">
        <f>IFERROR(__xludf.DUMMYFUNCTION("""COMPUTED_VALUE"""),9.0)</f>
        <v>9</v>
      </c>
      <c r="H1436" s="2">
        <f>IFERROR(__xludf.DUMMYFUNCTION("""COMPUTED_VALUE"""),467.0)</f>
        <v>467</v>
      </c>
      <c r="I1436" s="2" t="str">
        <f>IFERROR(__xludf.DUMMYFUNCTION("""COMPUTED_VALUE"""),"Panel")</f>
        <v>Panel</v>
      </c>
      <c r="J1436" s="2" t="str">
        <f>IFERROR(__xludf.DUMMYFUNCTION("""COMPUTED_VALUE"""),"All amenities")</f>
        <v>All amenities</v>
      </c>
      <c r="K1436" s="2">
        <f>IFERROR(__xludf.DUMMYFUNCTION("""COMPUTED_VALUE"""),75000.0)</f>
        <v>75000</v>
      </c>
      <c r="L1436" s="2">
        <f>IFERROR(__xludf.DUMMYFUNCTION("""COMPUTED_VALUE"""),56.93086485)</f>
        <v>56.93086485</v>
      </c>
      <c r="M1436" s="2">
        <f>IFERROR(__xludf.DUMMYFUNCTION("""COMPUTED_VALUE"""),24.1650278688019)</f>
        <v>24.16502787</v>
      </c>
    </row>
    <row r="1437">
      <c r="A1437" s="2" t="str">
        <f>IFERROR(__xludf.DUMMYFUNCTION("""COMPUTED_VALUE"""),"For sale")</f>
        <v>For sale</v>
      </c>
      <c r="B1437" s="2" t="str">
        <f>IFERROR(__xludf.DUMMYFUNCTION("""COMPUTED_VALUE"""),"Maskavas priekšpilsēta")</f>
        <v>Maskavas priekšpilsēta</v>
      </c>
      <c r="C1437" s="2" t="str">
        <f>IFERROR(__xludf.DUMMYFUNCTION("""COMPUTED_VALUE"""),"Ebreju 10")</f>
        <v>Ebreju 10</v>
      </c>
      <c r="D1437" s="2">
        <f>IFERROR(__xludf.DUMMYFUNCTION("""COMPUTED_VALUE"""),3.0)</f>
        <v>3</v>
      </c>
      <c r="E1437" s="2">
        <f>IFERROR(__xludf.DUMMYFUNCTION("""COMPUTED_VALUE"""),84.0)</f>
        <v>84</v>
      </c>
      <c r="F1437" s="2">
        <f>IFERROR(__xludf.DUMMYFUNCTION("""COMPUTED_VALUE"""),4.0)</f>
        <v>4</v>
      </c>
      <c r="G1437" s="2">
        <f>IFERROR(__xludf.DUMMYFUNCTION("""COMPUTED_VALUE"""),5.0)</f>
        <v>5</v>
      </c>
      <c r="H1437" s="2" t="str">
        <f>IFERROR(__xludf.DUMMYFUNCTION("""COMPUTED_VALUE"""),"Specpr.")</f>
        <v>Specpr.</v>
      </c>
      <c r="I1437" s="2" t="str">
        <f>IFERROR(__xludf.DUMMYFUNCTION("""COMPUTED_VALUE"""),"Brick")</f>
        <v>Brick</v>
      </c>
      <c r="J1437" s="2" t="str">
        <f>IFERROR(__xludf.DUMMYFUNCTION("""COMPUTED_VALUE"""),"All amenities")</f>
        <v>All amenities</v>
      </c>
      <c r="K1437" s="2">
        <f>IFERROR(__xludf.DUMMYFUNCTION("""COMPUTED_VALUE"""),75000.0)</f>
        <v>75000</v>
      </c>
      <c r="L1437" s="2">
        <f>IFERROR(__xludf.DUMMYFUNCTION("""COMPUTED_VALUE"""),56.9379361)</f>
        <v>56.9379361</v>
      </c>
      <c r="M1437" s="2">
        <f>IFERROR(__xludf.DUMMYFUNCTION("""COMPUTED_VALUE"""),24.154479)</f>
        <v>24.154479</v>
      </c>
    </row>
    <row r="1438">
      <c r="A1438" s="2" t="str">
        <f>IFERROR(__xludf.DUMMYFUNCTION("""COMPUTED_VALUE"""),"For sale")</f>
        <v>For sale</v>
      </c>
      <c r="B1438" s="2" t="str">
        <f>IFERROR(__xludf.DUMMYFUNCTION("""COMPUTED_VALUE"""),"Vecmīlgrāvis")</f>
        <v>Vecmīlgrāvis</v>
      </c>
      <c r="C1438" s="2" t="str">
        <f>IFERROR(__xludf.DUMMYFUNCTION("""COMPUTED_VALUE"""),"Sniega 2")</f>
        <v>Sniega 2</v>
      </c>
      <c r="D1438" s="2">
        <f>IFERROR(__xludf.DUMMYFUNCTION("""COMPUTED_VALUE"""),3.0)</f>
        <v>3</v>
      </c>
      <c r="E1438" s="2">
        <f>IFERROR(__xludf.DUMMYFUNCTION("""COMPUTED_VALUE"""),68.74)</f>
        <v>68.74</v>
      </c>
      <c r="F1438" s="2">
        <f>IFERROR(__xludf.DUMMYFUNCTION("""COMPUTED_VALUE"""),5.0)</f>
        <v>5</v>
      </c>
      <c r="G1438" s="2">
        <f>IFERROR(__xludf.DUMMYFUNCTION("""COMPUTED_VALUE"""),5.0)</f>
        <v>5</v>
      </c>
      <c r="H1438" s="2" t="str">
        <f>IFERROR(__xludf.DUMMYFUNCTION("""COMPUTED_VALUE"""),"LT proj.")</f>
        <v>LT proj.</v>
      </c>
      <c r="I1438" s="2" t="str">
        <f>IFERROR(__xludf.DUMMYFUNCTION("""COMPUTED_VALUE"""),"Panel")</f>
        <v>Panel</v>
      </c>
      <c r="J1438" s="2" t="str">
        <f>IFERROR(__xludf.DUMMYFUNCTION("""COMPUTED_VALUE"""),"All amenities")</f>
        <v>All amenities</v>
      </c>
      <c r="K1438" s="2">
        <f>IFERROR(__xludf.DUMMYFUNCTION("""COMPUTED_VALUE"""),47000.0)</f>
        <v>47000</v>
      </c>
      <c r="L1438" s="2">
        <f>IFERROR(__xludf.DUMMYFUNCTION("""COMPUTED_VALUE"""),57.0337701)</f>
        <v>57.0337701</v>
      </c>
      <c r="M1438" s="2">
        <f>IFERROR(__xludf.DUMMYFUNCTION("""COMPUTED_VALUE"""),24.09840055)</f>
        <v>24.09840055</v>
      </c>
    </row>
    <row r="1439">
      <c r="A1439" s="2" t="str">
        <f>IFERROR(__xludf.DUMMYFUNCTION("""COMPUTED_VALUE"""),"For sale")</f>
        <v>For sale</v>
      </c>
      <c r="B1439" s="2" t="str">
        <f>IFERROR(__xludf.DUMMYFUNCTION("""COMPUTED_VALUE"""),"Krasta r-ns")</f>
        <v>Krasta r-ns</v>
      </c>
      <c r="C1439" s="2" t="str">
        <f>IFERROR(__xludf.DUMMYFUNCTION("""COMPUTED_VALUE"""),"Maskavas 202")</f>
        <v>Maskavas 202</v>
      </c>
      <c r="D1439" s="2">
        <f>IFERROR(__xludf.DUMMYFUNCTION("""COMPUTED_VALUE"""),2.0)</f>
        <v>2</v>
      </c>
      <c r="E1439" s="2">
        <f>IFERROR(__xludf.DUMMYFUNCTION("""COMPUTED_VALUE"""),44.0)</f>
        <v>44</v>
      </c>
      <c r="F1439" s="2">
        <f>IFERROR(__xludf.DUMMYFUNCTION("""COMPUTED_VALUE"""),5.0)</f>
        <v>5</v>
      </c>
      <c r="G1439" s="2">
        <f>IFERROR(__xludf.DUMMYFUNCTION("""COMPUTED_VALUE"""),5.0)</f>
        <v>5</v>
      </c>
      <c r="H1439" s="2" t="str">
        <f>IFERROR(__xludf.DUMMYFUNCTION("""COMPUTED_VALUE"""),"Hrušč.")</f>
        <v>Hrušč.</v>
      </c>
      <c r="I1439" s="2" t="str">
        <f>IFERROR(__xludf.DUMMYFUNCTION("""COMPUTED_VALUE"""),"Brick")</f>
        <v>Brick</v>
      </c>
      <c r="J1439" s="2" t="str">
        <f>IFERROR(__xludf.DUMMYFUNCTION("""COMPUTED_VALUE"""),"All amenities")</f>
        <v>All amenities</v>
      </c>
      <c r="K1439" s="2">
        <f>IFERROR(__xludf.DUMMYFUNCTION("""COMPUTED_VALUE"""),39500.0)</f>
        <v>39500</v>
      </c>
      <c r="L1439" s="2">
        <f>IFERROR(__xludf.DUMMYFUNCTION("""COMPUTED_VALUE"""),56.8597884)</f>
        <v>56.8597884</v>
      </c>
      <c r="M1439" s="2">
        <f>IFERROR(__xludf.DUMMYFUNCTION("""COMPUTED_VALUE"""),24.3083417)</f>
        <v>24.3083417</v>
      </c>
    </row>
    <row r="1440">
      <c r="A1440" s="2" t="str">
        <f>IFERROR(__xludf.DUMMYFUNCTION("""COMPUTED_VALUE"""),"For sale")</f>
        <v>For sale</v>
      </c>
      <c r="B1440" s="2" t="str">
        <f>IFERROR(__xludf.DUMMYFUNCTION("""COMPUTED_VALUE"""),"centrs")</f>
        <v>centrs</v>
      </c>
      <c r="C1440" s="2" t="str">
        <f>IFERROR(__xludf.DUMMYFUNCTION("""COMPUTED_VALUE"""),"Asara 12/5")</f>
        <v>Asara 12/5</v>
      </c>
      <c r="D1440" s="2">
        <f>IFERROR(__xludf.DUMMYFUNCTION("""COMPUTED_VALUE"""),3.0)</f>
        <v>3</v>
      </c>
      <c r="E1440" s="2">
        <f>IFERROR(__xludf.DUMMYFUNCTION("""COMPUTED_VALUE"""),64.0)</f>
        <v>64</v>
      </c>
      <c r="F1440" s="2">
        <f>IFERROR(__xludf.DUMMYFUNCTION("""COMPUTED_VALUE"""),4.0)</f>
        <v>4</v>
      </c>
      <c r="G1440" s="2">
        <f>IFERROR(__xludf.DUMMYFUNCTION("""COMPUTED_VALUE"""),5.0)</f>
        <v>5</v>
      </c>
      <c r="H1440" s="2" t="str">
        <f>IFERROR(__xludf.DUMMYFUNCTION("""COMPUTED_VALUE"""),"Renov.")</f>
        <v>Renov.</v>
      </c>
      <c r="I1440" s="2" t="str">
        <f>IFERROR(__xludf.DUMMYFUNCTION("""COMPUTED_VALUE"""),"Masonry")</f>
        <v>Masonry</v>
      </c>
      <c r="J1440" s="2" t="str">
        <f>IFERROR(__xludf.DUMMYFUNCTION("""COMPUTED_VALUE"""),"All amenities")</f>
        <v>All amenities</v>
      </c>
      <c r="K1440" s="2">
        <f>IFERROR(__xludf.DUMMYFUNCTION("""COMPUTED_VALUE"""),125000.0)</f>
        <v>125000</v>
      </c>
      <c r="L1440" s="2">
        <f>IFERROR(__xludf.DUMMYFUNCTION("""COMPUTED_VALUE"""),56.956506)</f>
        <v>56.956506</v>
      </c>
      <c r="M1440" s="2">
        <f>IFERROR(__xludf.DUMMYFUNCTION("""COMPUTED_VALUE"""),24.1531491)</f>
        <v>24.1531491</v>
      </c>
    </row>
    <row r="1441">
      <c r="A1441" s="2" t="str">
        <f>IFERROR(__xludf.DUMMYFUNCTION("""COMPUTED_VALUE"""),"For sale")</f>
        <v>For sale</v>
      </c>
      <c r="B1441" s="2" t="str">
        <f>IFERROR(__xludf.DUMMYFUNCTION("""COMPUTED_VALUE"""),"centrs")</f>
        <v>centrs</v>
      </c>
      <c r="C1441" s="2" t="str">
        <f>IFERROR(__xludf.DUMMYFUNCTION("""COMPUTED_VALUE"""),"Tallinas 86")</f>
        <v>Tallinas 86</v>
      </c>
      <c r="D1441" s="2">
        <f>IFERROR(__xludf.DUMMYFUNCTION("""COMPUTED_VALUE"""),3.0)</f>
        <v>3</v>
      </c>
      <c r="E1441" s="2">
        <f>IFERROR(__xludf.DUMMYFUNCTION("""COMPUTED_VALUE"""),60.0)</f>
        <v>60</v>
      </c>
      <c r="F1441" s="2">
        <f>IFERROR(__xludf.DUMMYFUNCTION("""COMPUTED_VALUE"""),2.0)</f>
        <v>2</v>
      </c>
      <c r="G1441" s="2">
        <f>IFERROR(__xludf.DUMMYFUNCTION("""COMPUTED_VALUE"""),5.0)</f>
        <v>5</v>
      </c>
      <c r="H1441" s="2" t="str">
        <f>IFERROR(__xludf.DUMMYFUNCTION("""COMPUTED_VALUE"""),"Renov.")</f>
        <v>Renov.</v>
      </c>
      <c r="I1441" s="2" t="str">
        <f>IFERROR(__xludf.DUMMYFUNCTION("""COMPUTED_VALUE"""),"Masonry")</f>
        <v>Masonry</v>
      </c>
      <c r="J1441" s="2" t="str">
        <f>IFERROR(__xludf.DUMMYFUNCTION("""COMPUTED_VALUE"""),"All amenities")</f>
        <v>All amenities</v>
      </c>
      <c r="K1441" s="2">
        <f>IFERROR(__xludf.DUMMYFUNCTION("""COMPUTED_VALUE"""),125000.0)</f>
        <v>125000</v>
      </c>
      <c r="L1441" s="2">
        <f>IFERROR(__xludf.DUMMYFUNCTION("""COMPUTED_VALUE"""),56.95652115)</f>
        <v>56.95652115</v>
      </c>
      <c r="M1441" s="2">
        <f>IFERROR(__xludf.DUMMYFUNCTION("""COMPUTED_VALUE"""),24.1476809000188)</f>
        <v>24.1476809</v>
      </c>
    </row>
    <row r="1442">
      <c r="A1442" s="2" t="str">
        <f>IFERROR(__xludf.DUMMYFUNCTION("""COMPUTED_VALUE"""),"For sale")</f>
        <v>For sale</v>
      </c>
      <c r="B1442" s="2" t="str">
        <f>IFERROR(__xludf.DUMMYFUNCTION("""COMPUTED_VALUE"""),"Ziepniekkalns")</f>
        <v>Ziepniekkalns</v>
      </c>
      <c r="C1442" s="2" t="str">
        <f>IFERROR(__xludf.DUMMYFUNCTION("""COMPUTED_VALUE"""),"Valdeķu 66/2")</f>
        <v>Valdeķu 66/2</v>
      </c>
      <c r="D1442" s="2">
        <f>IFERROR(__xludf.DUMMYFUNCTION("""COMPUTED_VALUE"""),1.0)</f>
        <v>1</v>
      </c>
      <c r="E1442" s="2">
        <f>IFERROR(__xludf.DUMMYFUNCTION("""COMPUTED_VALUE"""),32.0)</f>
        <v>32</v>
      </c>
      <c r="F1442" s="2">
        <f>IFERROR(__xludf.DUMMYFUNCTION("""COMPUTED_VALUE"""),9.0)</f>
        <v>9</v>
      </c>
      <c r="G1442" s="2">
        <f>IFERROR(__xludf.DUMMYFUNCTION("""COMPUTED_VALUE"""),9.0)</f>
        <v>9</v>
      </c>
      <c r="H1442" s="2" t="str">
        <f>IFERROR(__xludf.DUMMYFUNCTION("""COMPUTED_VALUE"""),"Specpr.")</f>
        <v>Specpr.</v>
      </c>
      <c r="I1442" s="2" t="str">
        <f>IFERROR(__xludf.DUMMYFUNCTION("""COMPUTED_VALUE"""),"Panel")</f>
        <v>Panel</v>
      </c>
      <c r="J1442" s="2" t="str">
        <f>IFERROR(__xludf.DUMMYFUNCTION("""COMPUTED_VALUE"""),"All amenities")</f>
        <v>All amenities</v>
      </c>
      <c r="K1442" s="2">
        <f>IFERROR(__xludf.DUMMYFUNCTION("""COMPUTED_VALUE"""),45000.0)</f>
        <v>45000</v>
      </c>
      <c r="L1442" s="2">
        <f>IFERROR(__xludf.DUMMYFUNCTION("""COMPUTED_VALUE"""),56.9094064)</f>
        <v>56.9094064</v>
      </c>
      <c r="M1442" s="2">
        <f>IFERROR(__xludf.DUMMYFUNCTION("""COMPUTED_VALUE"""),24.0954157)</f>
        <v>24.0954157</v>
      </c>
    </row>
    <row r="1443">
      <c r="A1443" s="2" t="str">
        <f>IFERROR(__xludf.DUMMYFUNCTION("""COMPUTED_VALUE"""),"For sale")</f>
        <v>For sale</v>
      </c>
      <c r="B1443" s="2" t="str">
        <f>IFERROR(__xludf.DUMMYFUNCTION("""COMPUTED_VALUE"""),"centrs")</f>
        <v>centrs</v>
      </c>
      <c r="C1443" s="2" t="str">
        <f>IFERROR(__xludf.DUMMYFUNCTION("""COMPUTED_VALUE"""),"Čaka 36")</f>
        <v>Čaka 36</v>
      </c>
      <c r="D1443" s="2">
        <f>IFERROR(__xludf.DUMMYFUNCTION("""COMPUTED_VALUE"""),4.0)</f>
        <v>4</v>
      </c>
      <c r="E1443" s="2">
        <f>IFERROR(__xludf.DUMMYFUNCTION("""COMPUTED_VALUE"""),84.0)</f>
        <v>84</v>
      </c>
      <c r="F1443" s="2">
        <f>IFERROR(__xludf.DUMMYFUNCTION("""COMPUTED_VALUE"""),2.0)</f>
        <v>2</v>
      </c>
      <c r="G1443" s="2">
        <f>IFERROR(__xludf.DUMMYFUNCTION("""COMPUTED_VALUE"""),5.0)</f>
        <v>5</v>
      </c>
      <c r="H1443" s="2" t="str">
        <f>IFERROR(__xludf.DUMMYFUNCTION("""COMPUTED_VALUE"""),"Renov.")</f>
        <v>Renov.</v>
      </c>
      <c r="I1443" s="2" t="str">
        <f>IFERROR(__xludf.DUMMYFUNCTION("""COMPUTED_VALUE"""),"Masonry")</f>
        <v>Masonry</v>
      </c>
      <c r="J1443" s="2" t="str">
        <f>IFERROR(__xludf.DUMMYFUNCTION("""COMPUTED_VALUE"""),"All amenities")</f>
        <v>All amenities</v>
      </c>
      <c r="K1443" s="2">
        <f>IFERROR(__xludf.DUMMYFUNCTION("""COMPUTED_VALUE"""),149810.0)</f>
        <v>149810</v>
      </c>
      <c r="L1443" s="2">
        <f>IFERROR(__xludf.DUMMYFUNCTION("""COMPUTED_VALUE"""),56.952698)</f>
        <v>56.952698</v>
      </c>
      <c r="M1443" s="2">
        <f>IFERROR(__xludf.DUMMYFUNCTION("""COMPUTED_VALUE"""),24.1299733)</f>
        <v>24.1299733</v>
      </c>
    </row>
    <row r="1444">
      <c r="A1444" s="2" t="str">
        <f>IFERROR(__xludf.DUMMYFUNCTION("""COMPUTED_VALUE"""),"For sale")</f>
        <v>For sale</v>
      </c>
      <c r="B1444" s="2" t="str">
        <f>IFERROR(__xludf.DUMMYFUNCTION("""COMPUTED_VALUE"""),"centrs")</f>
        <v>centrs</v>
      </c>
      <c r="C1444" s="2" t="str">
        <f>IFERROR(__xludf.DUMMYFUNCTION("""COMPUTED_VALUE"""),"Čaka 36")</f>
        <v>Čaka 36</v>
      </c>
      <c r="D1444" s="2">
        <f>IFERROR(__xludf.DUMMYFUNCTION("""COMPUTED_VALUE"""),2.0)</f>
        <v>2</v>
      </c>
      <c r="E1444" s="2">
        <f>IFERROR(__xludf.DUMMYFUNCTION("""COMPUTED_VALUE"""),48.0)</f>
        <v>48</v>
      </c>
      <c r="F1444" s="2">
        <f>IFERROR(__xludf.DUMMYFUNCTION("""COMPUTED_VALUE"""),2.0)</f>
        <v>2</v>
      </c>
      <c r="G1444" s="2">
        <f>IFERROR(__xludf.DUMMYFUNCTION("""COMPUTED_VALUE"""),5.0)</f>
        <v>5</v>
      </c>
      <c r="H1444" s="2" t="str">
        <f>IFERROR(__xludf.DUMMYFUNCTION("""COMPUTED_VALUE"""),"Renov.")</f>
        <v>Renov.</v>
      </c>
      <c r="I1444" s="2" t="str">
        <f>IFERROR(__xludf.DUMMYFUNCTION("""COMPUTED_VALUE"""),"Masonry")</f>
        <v>Masonry</v>
      </c>
      <c r="J1444" s="2" t="str">
        <f>IFERROR(__xludf.DUMMYFUNCTION("""COMPUTED_VALUE"""),"All amenities")</f>
        <v>All amenities</v>
      </c>
      <c r="K1444" s="2">
        <f>IFERROR(__xludf.DUMMYFUNCTION("""COMPUTED_VALUE"""),96390.0)</f>
        <v>96390</v>
      </c>
      <c r="L1444" s="2">
        <f>IFERROR(__xludf.DUMMYFUNCTION("""COMPUTED_VALUE"""),56.952698)</f>
        <v>56.952698</v>
      </c>
      <c r="M1444" s="2">
        <f>IFERROR(__xludf.DUMMYFUNCTION("""COMPUTED_VALUE"""),24.1299733)</f>
        <v>24.1299733</v>
      </c>
    </row>
    <row r="1445">
      <c r="A1445" s="2" t="str">
        <f>IFERROR(__xludf.DUMMYFUNCTION("""COMPUTED_VALUE"""),"For sale")</f>
        <v>For sale</v>
      </c>
      <c r="B1445" s="2" t="str">
        <f>IFERROR(__xludf.DUMMYFUNCTION("""COMPUTED_VALUE"""),"centrs")</f>
        <v>centrs</v>
      </c>
      <c r="C1445" s="2" t="str">
        <f>IFERROR(__xludf.DUMMYFUNCTION("""COMPUTED_VALUE"""),"Hospitāļu 40")</f>
        <v>Hospitāļu 40</v>
      </c>
      <c r="D1445" s="2" t="str">
        <f>IFERROR(__xludf.DUMMYFUNCTION("""COMPUTED_VALUE"""),"Citi")</f>
        <v>Citi</v>
      </c>
      <c r="E1445" s="2">
        <f>IFERROR(__xludf.DUMMYFUNCTION("""COMPUTED_VALUE"""),189.0)</f>
        <v>189</v>
      </c>
      <c r="F1445" s="2">
        <f>IFERROR(__xludf.DUMMYFUNCTION("""COMPUTED_VALUE"""),3.0)</f>
        <v>3</v>
      </c>
      <c r="G1445" s="2">
        <f>IFERROR(__xludf.DUMMYFUNCTION("""COMPUTED_VALUE"""),4.0)</f>
        <v>4</v>
      </c>
      <c r="H1445" s="2" t="str">
        <f>IFERROR(__xludf.DUMMYFUNCTION("""COMPUTED_VALUE"""),"Staļina")</f>
        <v>Staļina</v>
      </c>
      <c r="I1445" s="2" t="str">
        <f>IFERROR(__xludf.DUMMYFUNCTION("""COMPUTED_VALUE"""),"Masonry")</f>
        <v>Masonry</v>
      </c>
      <c r="J1445" s="2" t="str">
        <f>IFERROR(__xludf.DUMMYFUNCTION("""COMPUTED_VALUE"""),"All amenities")</f>
        <v>All amenities</v>
      </c>
      <c r="K1445" s="2">
        <f>IFERROR(__xludf.DUMMYFUNCTION("""COMPUTED_VALUE"""),240000.0)</f>
        <v>240000</v>
      </c>
      <c r="L1445" s="2">
        <f>IFERROR(__xludf.DUMMYFUNCTION("""COMPUTED_VALUE"""),56.9758863499999)</f>
        <v>56.97588635</v>
      </c>
      <c r="M1445" s="2">
        <f>IFERROR(__xludf.DUMMYFUNCTION("""COMPUTED_VALUE"""),24.1391725207381)</f>
        <v>24.13917252</v>
      </c>
    </row>
    <row r="1446">
      <c r="A1446" s="2" t="str">
        <f>IFERROR(__xludf.DUMMYFUNCTION("""COMPUTED_VALUE"""),"For sale")</f>
        <v>For sale</v>
      </c>
      <c r="B1446" s="2" t="str">
        <f>IFERROR(__xludf.DUMMYFUNCTION("""COMPUTED_VALUE"""),"centrs")</f>
        <v>centrs</v>
      </c>
      <c r="C1446" s="2" t="str">
        <f>IFERROR(__xludf.DUMMYFUNCTION("""COMPUTED_VALUE"""),"Blaumaņa 29")</f>
        <v>Blaumaņa 29</v>
      </c>
      <c r="D1446" s="2">
        <f>IFERROR(__xludf.DUMMYFUNCTION("""COMPUTED_VALUE"""),2.0)</f>
        <v>2</v>
      </c>
      <c r="E1446" s="2">
        <f>IFERROR(__xludf.DUMMYFUNCTION("""COMPUTED_VALUE"""),59.0)</f>
        <v>59</v>
      </c>
      <c r="F1446" s="2">
        <f>IFERROR(__xludf.DUMMYFUNCTION("""COMPUTED_VALUE"""),2.0)</f>
        <v>2</v>
      </c>
      <c r="G1446" s="2">
        <f>IFERROR(__xludf.DUMMYFUNCTION("""COMPUTED_VALUE"""),5.0)</f>
        <v>5</v>
      </c>
      <c r="H1446" s="2" t="str">
        <f>IFERROR(__xludf.DUMMYFUNCTION("""COMPUTED_VALUE"""),"P. kara")</f>
        <v>P. kara</v>
      </c>
      <c r="I1446" s="2" t="str">
        <f>IFERROR(__xludf.DUMMYFUNCTION("""COMPUTED_VALUE"""),"Masonry")</f>
        <v>Masonry</v>
      </c>
      <c r="J1446" s="2" t="str">
        <f>IFERROR(__xludf.DUMMYFUNCTION("""COMPUTED_VALUE"""),"All amenities")</f>
        <v>All amenities</v>
      </c>
      <c r="K1446" s="2">
        <f>IFERROR(__xludf.DUMMYFUNCTION("""COMPUTED_VALUE"""),100000.0)</f>
        <v>100000</v>
      </c>
      <c r="L1446" s="2">
        <f>IFERROR(__xludf.DUMMYFUNCTION("""COMPUTED_VALUE"""),56.9517964)</f>
        <v>56.9517964</v>
      </c>
      <c r="M1446" s="2">
        <f>IFERROR(__xludf.DUMMYFUNCTION("""COMPUTED_VALUE"""),24.1263057)</f>
        <v>24.1263057</v>
      </c>
    </row>
    <row r="1447">
      <c r="A1447" s="2" t="str">
        <f>IFERROR(__xludf.DUMMYFUNCTION("""COMPUTED_VALUE"""),"For sale")</f>
        <v>For sale</v>
      </c>
      <c r="B1447" s="2" t="str">
        <f>IFERROR(__xludf.DUMMYFUNCTION("""COMPUTED_VALUE"""),"centrs")</f>
        <v>centrs</v>
      </c>
      <c r="C1447" s="2" t="str">
        <f>IFERROR(__xludf.DUMMYFUNCTION("""COMPUTED_VALUE"""),"Brīvības iela 285")</f>
        <v>Brīvības iela 285</v>
      </c>
      <c r="D1447" s="2">
        <f>IFERROR(__xludf.DUMMYFUNCTION("""COMPUTED_VALUE"""),5.0)</f>
        <v>5</v>
      </c>
      <c r="E1447" s="2">
        <f>IFERROR(__xludf.DUMMYFUNCTION("""COMPUTED_VALUE"""),180.0)</f>
        <v>180</v>
      </c>
      <c r="F1447" s="2">
        <f>IFERROR(__xludf.DUMMYFUNCTION("""COMPUTED_VALUE"""),2.0)</f>
        <v>2</v>
      </c>
      <c r="G1447" s="2">
        <f>IFERROR(__xludf.DUMMYFUNCTION("""COMPUTED_VALUE"""),3.0)</f>
        <v>3</v>
      </c>
      <c r="H1447" s="2" t="str">
        <f>IFERROR(__xludf.DUMMYFUNCTION("""COMPUTED_VALUE"""),"Jaun.")</f>
        <v>Jaun.</v>
      </c>
      <c r="I1447" s="2" t="str">
        <f>IFERROR(__xludf.DUMMYFUNCTION("""COMPUTED_VALUE"""),"Brick-Panel")</f>
        <v>Brick-Panel</v>
      </c>
      <c r="J1447" s="2" t="str">
        <f>IFERROR(__xludf.DUMMYFUNCTION("""COMPUTED_VALUE"""),"All amenities")</f>
        <v>All amenities</v>
      </c>
      <c r="K1447" s="2">
        <f>IFERROR(__xludf.DUMMYFUNCTION("""COMPUTED_VALUE"""),205000.0)</f>
        <v>205000</v>
      </c>
      <c r="L1447" s="2">
        <f>IFERROR(__xludf.DUMMYFUNCTION("""COMPUTED_VALUE"""),56.9670038)</f>
        <v>56.9670038</v>
      </c>
      <c r="M1447" s="2">
        <f>IFERROR(__xludf.DUMMYFUNCTION("""COMPUTED_VALUE"""),24.1471279)</f>
        <v>24.1471279</v>
      </c>
    </row>
    <row r="1448">
      <c r="A1448" s="2" t="str">
        <f>IFERROR(__xludf.DUMMYFUNCTION("""COMPUTED_VALUE"""),"For sale")</f>
        <v>For sale</v>
      </c>
      <c r="B1448" s="2" t="str">
        <f>IFERROR(__xludf.DUMMYFUNCTION("""COMPUTED_VALUE"""),"Teika")</f>
        <v>Teika</v>
      </c>
      <c r="C1448" s="2" t="str">
        <f>IFERROR(__xludf.DUMMYFUNCTION("""COMPUTED_VALUE"""),"Ropažu 14")</f>
        <v>Ropažu 14</v>
      </c>
      <c r="D1448" s="2">
        <f>IFERROR(__xludf.DUMMYFUNCTION("""COMPUTED_VALUE"""),3.0)</f>
        <v>3</v>
      </c>
      <c r="E1448" s="2">
        <f>IFERROR(__xludf.DUMMYFUNCTION("""COMPUTED_VALUE"""),74.0)</f>
        <v>74</v>
      </c>
      <c r="F1448" s="2">
        <f>IFERROR(__xludf.DUMMYFUNCTION("""COMPUTED_VALUE"""),2.0)</f>
        <v>2</v>
      </c>
      <c r="G1448" s="2">
        <f>IFERROR(__xludf.DUMMYFUNCTION("""COMPUTED_VALUE"""),10.0)</f>
        <v>10</v>
      </c>
      <c r="H1448" s="2" t="str">
        <f>IFERROR(__xludf.DUMMYFUNCTION("""COMPUTED_VALUE"""),"Jaun.")</f>
        <v>Jaun.</v>
      </c>
      <c r="I1448" s="2" t="str">
        <f>IFERROR(__xludf.DUMMYFUNCTION("""COMPUTED_VALUE"""),"Masonry")</f>
        <v>Masonry</v>
      </c>
      <c r="J1448" s="2" t="str">
        <f>IFERROR(__xludf.DUMMYFUNCTION("""COMPUTED_VALUE"""),"All amenities")</f>
        <v>All amenities</v>
      </c>
      <c r="K1448" s="2">
        <f>IFERROR(__xludf.DUMMYFUNCTION("""COMPUTED_VALUE"""),121000.0)</f>
        <v>121000</v>
      </c>
      <c r="L1448" s="2">
        <f>IFERROR(__xludf.DUMMYFUNCTION("""COMPUTED_VALUE"""),56.9767303)</f>
        <v>56.9767303</v>
      </c>
      <c r="M1448" s="2">
        <f>IFERROR(__xludf.DUMMYFUNCTION("""COMPUTED_VALUE"""),24.1676579996058)</f>
        <v>24.167658</v>
      </c>
    </row>
    <row r="1449">
      <c r="A1449" s="2" t="str">
        <f>IFERROR(__xludf.DUMMYFUNCTION("""COMPUTED_VALUE"""),"For sale")</f>
        <v>For sale</v>
      </c>
      <c r="B1449" s="2" t="str">
        <f>IFERROR(__xludf.DUMMYFUNCTION("""COMPUTED_VALUE"""),"centrs")</f>
        <v>centrs</v>
      </c>
      <c r="C1449" s="2" t="str">
        <f>IFERROR(__xludf.DUMMYFUNCTION("""COMPUTED_VALUE"""),"Lāčplēša 113")</f>
        <v>Lāčplēša 113</v>
      </c>
      <c r="D1449" s="2">
        <f>IFERROR(__xludf.DUMMYFUNCTION("""COMPUTED_VALUE"""),2.0)</f>
        <v>2</v>
      </c>
      <c r="E1449" s="2">
        <f>IFERROR(__xludf.DUMMYFUNCTION("""COMPUTED_VALUE"""),39.0)</f>
        <v>39</v>
      </c>
      <c r="F1449" s="2">
        <f>IFERROR(__xludf.DUMMYFUNCTION("""COMPUTED_VALUE"""),2.0)</f>
        <v>2</v>
      </c>
      <c r="G1449" s="2">
        <f>IFERROR(__xludf.DUMMYFUNCTION("""COMPUTED_VALUE"""),3.0)</f>
        <v>3</v>
      </c>
      <c r="H1449" s="2" t="str">
        <f>IFERROR(__xludf.DUMMYFUNCTION("""COMPUTED_VALUE"""),"P. kara")</f>
        <v>P. kara</v>
      </c>
      <c r="I1449" s="2" t="str">
        <f>IFERROR(__xludf.DUMMYFUNCTION("""COMPUTED_VALUE"""),"Brick")</f>
        <v>Brick</v>
      </c>
      <c r="J1449" s="2" t="str">
        <f>IFERROR(__xludf.DUMMYFUNCTION("""COMPUTED_VALUE"""),"All amenities")</f>
        <v>All amenities</v>
      </c>
      <c r="K1449" s="2">
        <f>IFERROR(__xludf.DUMMYFUNCTION("""COMPUTED_VALUE"""),58900.0)</f>
        <v>58900</v>
      </c>
      <c r="L1449" s="2">
        <f>IFERROR(__xludf.DUMMYFUNCTION("""COMPUTED_VALUE"""),56.94558835)</f>
        <v>56.94558835</v>
      </c>
      <c r="M1449" s="2">
        <f>IFERROR(__xludf.DUMMYFUNCTION("""COMPUTED_VALUE"""),24.1338800374448)</f>
        <v>24.13388004</v>
      </c>
    </row>
    <row r="1450">
      <c r="A1450" s="2" t="str">
        <f>IFERROR(__xludf.DUMMYFUNCTION("""COMPUTED_VALUE"""),"For sale")</f>
        <v>For sale</v>
      </c>
      <c r="B1450" s="2" t="str">
        <f>IFERROR(__xludf.DUMMYFUNCTION("""COMPUTED_VALUE"""),"Mežciems")</f>
        <v>Mežciems</v>
      </c>
      <c r="C1450" s="2" t="str">
        <f>IFERROR(__xludf.DUMMYFUNCTION("""COMPUTED_VALUE"""),"Mežciema 23")</f>
        <v>Mežciema 23</v>
      </c>
      <c r="D1450" s="2">
        <f>IFERROR(__xludf.DUMMYFUNCTION("""COMPUTED_VALUE"""),3.0)</f>
        <v>3</v>
      </c>
      <c r="E1450" s="2">
        <f>IFERROR(__xludf.DUMMYFUNCTION("""COMPUTED_VALUE"""),73.0)</f>
        <v>73</v>
      </c>
      <c r="F1450" s="2">
        <f>IFERROR(__xludf.DUMMYFUNCTION("""COMPUTED_VALUE"""),16.0)</f>
        <v>16</v>
      </c>
      <c r="G1450" s="2">
        <f>IFERROR(__xludf.DUMMYFUNCTION("""COMPUTED_VALUE"""),16.0)</f>
        <v>16</v>
      </c>
      <c r="H1450" s="2">
        <f>IFERROR(__xludf.DUMMYFUNCTION("""COMPUTED_VALUE"""),104.0)</f>
        <v>104</v>
      </c>
      <c r="I1450" s="2" t="str">
        <f>IFERROR(__xludf.DUMMYFUNCTION("""COMPUTED_VALUE"""),"Panel")</f>
        <v>Panel</v>
      </c>
      <c r="J1450" s="2" t="str">
        <f>IFERROR(__xludf.DUMMYFUNCTION("""COMPUTED_VALUE"""),"All amenities")</f>
        <v>All amenities</v>
      </c>
      <c r="K1450" s="2">
        <f>IFERROR(__xludf.DUMMYFUNCTION("""COMPUTED_VALUE"""),73000.0)</f>
        <v>73000</v>
      </c>
      <c r="L1450" s="2">
        <f>IFERROR(__xludf.DUMMYFUNCTION("""COMPUTED_VALUE"""),56.971605)</f>
        <v>56.971605</v>
      </c>
      <c r="M1450" s="2">
        <f>IFERROR(__xludf.DUMMYFUNCTION("""COMPUTED_VALUE"""),24.2340818)</f>
        <v>24.2340818</v>
      </c>
    </row>
    <row r="1451">
      <c r="A1451" s="2" t="str">
        <f>IFERROR(__xludf.DUMMYFUNCTION("""COMPUTED_VALUE"""),"For rent")</f>
        <v>For rent</v>
      </c>
      <c r="B1451" s="2" t="str">
        <f>IFERROR(__xludf.DUMMYFUNCTION("""COMPUTED_VALUE"""),"Pļavnieki")</f>
        <v>Pļavnieki</v>
      </c>
      <c r="C1451" s="2" t="str">
        <f>IFERROR(__xludf.DUMMYFUNCTION("""COMPUTED_VALUE"""),"Ilūkstes 8")</f>
        <v>Ilūkstes 8</v>
      </c>
      <c r="D1451" s="2">
        <f>IFERROR(__xludf.DUMMYFUNCTION("""COMPUTED_VALUE"""),2.0)</f>
        <v>2</v>
      </c>
      <c r="E1451" s="2">
        <f>IFERROR(__xludf.DUMMYFUNCTION("""COMPUTED_VALUE"""),50.0)</f>
        <v>50</v>
      </c>
      <c r="F1451" s="2">
        <f>IFERROR(__xludf.DUMMYFUNCTION("""COMPUTED_VALUE"""),6.0)</f>
        <v>6</v>
      </c>
      <c r="G1451" s="2">
        <f>IFERROR(__xludf.DUMMYFUNCTION("""COMPUTED_VALUE"""),9.0)</f>
        <v>9</v>
      </c>
      <c r="H1451" s="2">
        <f>IFERROR(__xludf.DUMMYFUNCTION("""COMPUTED_VALUE"""),602.0)</f>
        <v>602</v>
      </c>
      <c r="I1451" s="2" t="str">
        <f>IFERROR(__xludf.DUMMYFUNCTION("""COMPUTED_VALUE"""),"Panel")</f>
        <v>Panel</v>
      </c>
      <c r="J1451" s="2" t="str">
        <f>IFERROR(__xludf.DUMMYFUNCTION("""COMPUTED_VALUE"""),"All amenities")</f>
        <v>All amenities</v>
      </c>
      <c r="K1451" s="2">
        <f>IFERROR(__xludf.DUMMYFUNCTION("""COMPUTED_VALUE"""),40.0)</f>
        <v>40</v>
      </c>
      <c r="L1451" s="2">
        <f>IFERROR(__xludf.DUMMYFUNCTION("""COMPUTED_VALUE"""),56.93542815)</f>
        <v>56.93542815</v>
      </c>
      <c r="M1451" s="2">
        <f>IFERROR(__xludf.DUMMYFUNCTION("""COMPUTED_VALUE"""),24.1960007080426)</f>
        <v>24.19600071</v>
      </c>
    </row>
    <row r="1452">
      <c r="A1452" s="2" t="str">
        <f>IFERROR(__xludf.DUMMYFUNCTION("""COMPUTED_VALUE"""),"For sale")</f>
        <v>For sale</v>
      </c>
      <c r="B1452" s="2" t="str">
        <f>IFERROR(__xludf.DUMMYFUNCTION("""COMPUTED_VALUE"""),"Purvciems")</f>
        <v>Purvciems</v>
      </c>
      <c r="C1452" s="2" t="str">
        <f>IFERROR(__xludf.DUMMYFUNCTION("""COMPUTED_VALUE"""),"Dzelzavas 89")</f>
        <v>Dzelzavas 89</v>
      </c>
      <c r="D1452" s="2">
        <f>IFERROR(__xludf.DUMMYFUNCTION("""COMPUTED_VALUE"""),2.0)</f>
        <v>2</v>
      </c>
      <c r="E1452" s="2">
        <f>IFERROR(__xludf.DUMMYFUNCTION("""COMPUTED_VALUE"""),39.0)</f>
        <v>39</v>
      </c>
      <c r="F1452" s="2">
        <f>IFERROR(__xludf.DUMMYFUNCTION("""COMPUTED_VALUE"""),2.0)</f>
        <v>2</v>
      </c>
      <c r="G1452" s="2">
        <f>IFERROR(__xludf.DUMMYFUNCTION("""COMPUTED_VALUE"""),5.0)</f>
        <v>5</v>
      </c>
      <c r="H1452" s="2" t="str">
        <f>IFERROR(__xludf.DUMMYFUNCTION("""COMPUTED_VALUE"""),"LT proj.")</f>
        <v>LT proj.</v>
      </c>
      <c r="I1452" s="2" t="str">
        <f>IFERROR(__xludf.DUMMYFUNCTION("""COMPUTED_VALUE"""),"Panel")</f>
        <v>Panel</v>
      </c>
      <c r="J1452" s="2" t="str">
        <f>IFERROR(__xludf.DUMMYFUNCTION("""COMPUTED_VALUE"""),"All amenities")</f>
        <v>All amenities</v>
      </c>
      <c r="K1452" s="2">
        <f>IFERROR(__xludf.DUMMYFUNCTION("""COMPUTED_VALUE"""),37000.0)</f>
        <v>37000</v>
      </c>
      <c r="L1452" s="2">
        <f>IFERROR(__xludf.DUMMYFUNCTION("""COMPUTED_VALUE"""),56.9561572)</f>
        <v>56.9561572</v>
      </c>
      <c r="M1452" s="2">
        <f>IFERROR(__xludf.DUMMYFUNCTION("""COMPUTED_VALUE"""),24.2028868717716)</f>
        <v>24.20288687</v>
      </c>
    </row>
    <row r="1453">
      <c r="A1453" s="2" t="str">
        <f>IFERROR(__xludf.DUMMYFUNCTION("""COMPUTED_VALUE"""),"For sale")</f>
        <v>For sale</v>
      </c>
      <c r="B1453" s="2" t="str">
        <f>IFERROR(__xludf.DUMMYFUNCTION("""COMPUTED_VALUE"""),"Mežciems")</f>
        <v>Mežciems</v>
      </c>
      <c r="C1453" s="2" t="str">
        <f>IFERROR(__xludf.DUMMYFUNCTION("""COMPUTED_VALUE"""),"Druvienas 36")</f>
        <v>Druvienas 36</v>
      </c>
      <c r="D1453" s="2">
        <f>IFERROR(__xludf.DUMMYFUNCTION("""COMPUTED_VALUE"""),3.0)</f>
        <v>3</v>
      </c>
      <c r="E1453" s="2">
        <f>IFERROR(__xludf.DUMMYFUNCTION("""COMPUTED_VALUE"""),62.0)</f>
        <v>62</v>
      </c>
      <c r="F1453" s="2">
        <f>IFERROR(__xludf.DUMMYFUNCTION("""COMPUTED_VALUE"""),1.0)</f>
        <v>1</v>
      </c>
      <c r="G1453" s="2">
        <f>IFERROR(__xludf.DUMMYFUNCTION("""COMPUTED_VALUE"""),9.0)</f>
        <v>9</v>
      </c>
      <c r="H1453" s="2">
        <f>IFERROR(__xludf.DUMMYFUNCTION("""COMPUTED_VALUE"""),602.0)</f>
        <v>602</v>
      </c>
      <c r="I1453" s="2" t="str">
        <f>IFERROR(__xludf.DUMMYFUNCTION("""COMPUTED_VALUE"""),"Panel")</f>
        <v>Panel</v>
      </c>
      <c r="J1453" s="2" t="str">
        <f>IFERROR(__xludf.DUMMYFUNCTION("""COMPUTED_VALUE"""),"All amenities")</f>
        <v>All amenities</v>
      </c>
      <c r="K1453" s="2">
        <f>IFERROR(__xludf.DUMMYFUNCTION("""COMPUTED_VALUE"""),72000.0)</f>
        <v>72000</v>
      </c>
      <c r="L1453" s="2">
        <f>IFERROR(__xludf.DUMMYFUNCTION("""COMPUTED_VALUE"""),56.970495)</f>
        <v>56.970495</v>
      </c>
      <c r="M1453" s="2">
        <f>IFERROR(__xludf.DUMMYFUNCTION("""COMPUTED_VALUE"""),24.2327076100665)</f>
        <v>24.23270761</v>
      </c>
    </row>
    <row r="1454">
      <c r="A1454" s="2" t="str">
        <f>IFERROR(__xludf.DUMMYFUNCTION("""COMPUTED_VALUE"""),"For sale")</f>
        <v>For sale</v>
      </c>
      <c r="B1454" s="2" t="str">
        <f>IFERROR(__xludf.DUMMYFUNCTION("""COMPUTED_VALUE"""),"Imanta")</f>
        <v>Imanta</v>
      </c>
      <c r="C1454" s="2" t="str">
        <f>IFERROR(__xludf.DUMMYFUNCTION("""COMPUTED_VALUE"""),"Kurzemes pr. 6")</f>
        <v>Kurzemes pr. 6</v>
      </c>
      <c r="D1454" s="2">
        <f>IFERROR(__xludf.DUMMYFUNCTION("""COMPUTED_VALUE"""),3.0)</f>
        <v>3</v>
      </c>
      <c r="E1454" s="2">
        <f>IFERROR(__xludf.DUMMYFUNCTION("""COMPUTED_VALUE"""),54.0)</f>
        <v>54</v>
      </c>
      <c r="F1454" s="2">
        <f>IFERROR(__xludf.DUMMYFUNCTION("""COMPUTED_VALUE"""),1.0)</f>
        <v>1</v>
      </c>
      <c r="G1454" s="2">
        <f>IFERROR(__xludf.DUMMYFUNCTION("""COMPUTED_VALUE"""),5.0)</f>
        <v>5</v>
      </c>
      <c r="H1454" s="2" t="str">
        <f>IFERROR(__xludf.DUMMYFUNCTION("""COMPUTED_VALUE"""),"LT proj.")</f>
        <v>LT proj.</v>
      </c>
      <c r="I1454" s="2" t="str">
        <f>IFERROR(__xludf.DUMMYFUNCTION("""COMPUTED_VALUE"""),"Panel")</f>
        <v>Panel</v>
      </c>
      <c r="J1454" s="2" t="str">
        <f>IFERROR(__xludf.DUMMYFUNCTION("""COMPUTED_VALUE"""),"All amenities")</f>
        <v>All amenities</v>
      </c>
      <c r="K1454" s="2">
        <f>IFERROR(__xludf.DUMMYFUNCTION("""COMPUTED_VALUE"""),55000.0)</f>
        <v>55000</v>
      </c>
      <c r="L1454" s="2" t="str">
        <f>IFERROR(__xludf.DUMMYFUNCTION("""COMPUTED_VALUE"""),"NaN")</f>
        <v>NaN</v>
      </c>
      <c r="M1454" s="2" t="str">
        <f>IFERROR(__xludf.DUMMYFUNCTION("""COMPUTED_VALUE"""),"NaN")</f>
        <v>NaN</v>
      </c>
    </row>
    <row r="1455">
      <c r="A1455" s="2" t="str">
        <f>IFERROR(__xludf.DUMMYFUNCTION("""COMPUTED_VALUE"""),"For rent")</f>
        <v>For rent</v>
      </c>
      <c r="B1455" s="2" t="str">
        <f>IFERROR(__xludf.DUMMYFUNCTION("""COMPUTED_VALUE"""),"Āgenskalns")</f>
        <v>Āgenskalns</v>
      </c>
      <c r="C1455" s="2" t="str">
        <f>IFERROR(__xludf.DUMMYFUNCTION("""COMPUTED_VALUE"""),"Grīna bulv. 15")</f>
        <v>Grīna bulv. 15</v>
      </c>
      <c r="D1455" s="2">
        <f>IFERROR(__xludf.DUMMYFUNCTION("""COMPUTED_VALUE"""),2.0)</f>
        <v>2</v>
      </c>
      <c r="E1455" s="2">
        <f>IFERROR(__xludf.DUMMYFUNCTION("""COMPUTED_VALUE"""),46.0)</f>
        <v>46</v>
      </c>
      <c r="F1455" s="2">
        <f>IFERROR(__xludf.DUMMYFUNCTION("""COMPUTED_VALUE"""),1.0)</f>
        <v>1</v>
      </c>
      <c r="G1455" s="2">
        <f>IFERROR(__xludf.DUMMYFUNCTION("""COMPUTED_VALUE"""),5.0)</f>
        <v>5</v>
      </c>
      <c r="H1455" s="2" t="str">
        <f>IFERROR(__xludf.DUMMYFUNCTION("""COMPUTED_VALUE"""),"Specpr.")</f>
        <v>Specpr.</v>
      </c>
      <c r="I1455" s="2" t="str">
        <f>IFERROR(__xludf.DUMMYFUNCTION("""COMPUTED_VALUE"""),"Brick")</f>
        <v>Brick</v>
      </c>
      <c r="J1455" s="2" t="str">
        <f>IFERROR(__xludf.DUMMYFUNCTION("""COMPUTED_VALUE"""),"All amenities")</f>
        <v>All amenities</v>
      </c>
      <c r="K1455" s="2">
        <f>IFERROR(__xludf.DUMMYFUNCTION("""COMPUTED_VALUE"""),350.0)</f>
        <v>350</v>
      </c>
      <c r="L1455" s="2" t="str">
        <f>IFERROR(__xludf.DUMMYFUNCTION("""COMPUTED_VALUE"""),"NaN")</f>
        <v>NaN</v>
      </c>
      <c r="M1455" s="2" t="str">
        <f>IFERROR(__xludf.DUMMYFUNCTION("""COMPUTED_VALUE"""),"NaN")</f>
        <v>NaN</v>
      </c>
    </row>
    <row r="1456">
      <c r="A1456" s="2" t="str">
        <f>IFERROR(__xludf.DUMMYFUNCTION("""COMPUTED_VALUE"""),"For sale")</f>
        <v>For sale</v>
      </c>
      <c r="B1456" s="2" t="str">
        <f>IFERROR(__xludf.DUMMYFUNCTION("""COMPUTED_VALUE"""),"Zolitūde")</f>
        <v>Zolitūde</v>
      </c>
      <c r="C1456" s="2" t="str">
        <f>IFERROR(__xludf.DUMMYFUNCTION("""COMPUTED_VALUE"""),"Lejiņa 14")</f>
        <v>Lejiņa 14</v>
      </c>
      <c r="D1456" s="2">
        <f>IFERROR(__xludf.DUMMYFUNCTION("""COMPUTED_VALUE"""),2.0)</f>
        <v>2</v>
      </c>
      <c r="E1456" s="2">
        <f>IFERROR(__xludf.DUMMYFUNCTION("""COMPUTED_VALUE"""),58.0)</f>
        <v>58</v>
      </c>
      <c r="F1456" s="2">
        <f>IFERROR(__xludf.DUMMYFUNCTION("""COMPUTED_VALUE"""),5.0)</f>
        <v>5</v>
      </c>
      <c r="G1456" s="2">
        <f>IFERROR(__xludf.DUMMYFUNCTION("""COMPUTED_VALUE"""),9.0)</f>
        <v>9</v>
      </c>
      <c r="H1456" s="2">
        <f>IFERROR(__xludf.DUMMYFUNCTION("""COMPUTED_VALUE"""),119.0)</f>
        <v>119</v>
      </c>
      <c r="I1456" s="2" t="str">
        <f>IFERROR(__xludf.DUMMYFUNCTION("""COMPUTED_VALUE"""),"Panel")</f>
        <v>Panel</v>
      </c>
      <c r="J1456" s="2" t="str">
        <f>IFERROR(__xludf.DUMMYFUNCTION("""COMPUTED_VALUE"""),"All amenities")</f>
        <v>All amenities</v>
      </c>
      <c r="K1456" s="2">
        <f>IFERROR(__xludf.DUMMYFUNCTION("""COMPUTED_VALUE"""),55900.0)</f>
        <v>55900</v>
      </c>
      <c r="L1456" s="2">
        <f>IFERROR(__xludf.DUMMYFUNCTION("""COMPUTED_VALUE"""),56.9477648999999)</f>
        <v>56.9477649</v>
      </c>
      <c r="M1456" s="2">
        <f>IFERROR(__xludf.DUMMYFUNCTION("""COMPUTED_VALUE"""),24.0206013715995)</f>
        <v>24.02060137</v>
      </c>
    </row>
    <row r="1457">
      <c r="A1457" s="2" t="str">
        <f>IFERROR(__xludf.DUMMYFUNCTION("""COMPUTED_VALUE"""),"For sale")</f>
        <v>For sale</v>
      </c>
      <c r="B1457" s="2" t="str">
        <f>IFERROR(__xludf.DUMMYFUNCTION("""COMPUTED_VALUE"""),"centrs")</f>
        <v>centrs</v>
      </c>
      <c r="C1457" s="2" t="str">
        <f>IFERROR(__xludf.DUMMYFUNCTION("""COMPUTED_VALUE"""),"Valdemāra 147")</f>
        <v>Valdemāra 147</v>
      </c>
      <c r="D1457" s="2">
        <f>IFERROR(__xludf.DUMMYFUNCTION("""COMPUTED_VALUE"""),2.0)</f>
        <v>2</v>
      </c>
      <c r="E1457" s="2">
        <f>IFERROR(__xludf.DUMMYFUNCTION("""COMPUTED_VALUE"""),55.0)</f>
        <v>55</v>
      </c>
      <c r="F1457" s="2">
        <f>IFERROR(__xludf.DUMMYFUNCTION("""COMPUTED_VALUE"""),2.0)</f>
        <v>2</v>
      </c>
      <c r="G1457" s="2">
        <f>IFERROR(__xludf.DUMMYFUNCTION("""COMPUTED_VALUE"""),5.0)</f>
        <v>5</v>
      </c>
      <c r="H1457" s="2" t="str">
        <f>IFERROR(__xludf.DUMMYFUNCTION("""COMPUTED_VALUE"""),"Staļina")</f>
        <v>Staļina</v>
      </c>
      <c r="I1457" s="2" t="str">
        <f>IFERROR(__xludf.DUMMYFUNCTION("""COMPUTED_VALUE"""),"Brick")</f>
        <v>Brick</v>
      </c>
      <c r="J1457" s="2" t="str">
        <f>IFERROR(__xludf.DUMMYFUNCTION("""COMPUTED_VALUE"""),"All amenities")</f>
        <v>All amenities</v>
      </c>
      <c r="K1457" s="2">
        <f>IFERROR(__xludf.DUMMYFUNCTION("""COMPUTED_VALUE"""),62800.0)</f>
        <v>62800</v>
      </c>
      <c r="L1457" s="2">
        <f>IFERROR(__xludf.DUMMYFUNCTION("""COMPUTED_VALUE"""),56.9724032999999)</f>
        <v>56.9724033</v>
      </c>
      <c r="M1457" s="2">
        <f>IFERROR(__xludf.DUMMYFUNCTION("""COMPUTED_VALUE"""),24.1342115201206)</f>
        <v>24.13421152</v>
      </c>
    </row>
    <row r="1458">
      <c r="A1458" s="2" t="str">
        <f>IFERROR(__xludf.DUMMYFUNCTION("""COMPUTED_VALUE"""),"For sale")</f>
        <v>For sale</v>
      </c>
      <c r="B1458" s="2" t="str">
        <f>IFERROR(__xludf.DUMMYFUNCTION("""COMPUTED_VALUE"""),"centrs")</f>
        <v>centrs</v>
      </c>
      <c r="C1458" s="2" t="str">
        <f>IFERROR(__xludf.DUMMYFUNCTION("""COMPUTED_VALUE"""),"Matīsa 113")</f>
        <v>Matīsa 113</v>
      </c>
      <c r="D1458" s="2">
        <f>IFERROR(__xludf.DUMMYFUNCTION("""COMPUTED_VALUE"""),2.0)</f>
        <v>2</v>
      </c>
      <c r="E1458" s="2">
        <f>IFERROR(__xludf.DUMMYFUNCTION("""COMPUTED_VALUE"""),35.0)</f>
        <v>35</v>
      </c>
      <c r="F1458" s="2">
        <f>IFERROR(__xludf.DUMMYFUNCTION("""COMPUTED_VALUE"""),1.0)</f>
        <v>1</v>
      </c>
      <c r="G1458" s="2">
        <f>IFERROR(__xludf.DUMMYFUNCTION("""COMPUTED_VALUE"""),2.0)</f>
        <v>2</v>
      </c>
      <c r="H1458" s="2" t="str">
        <f>IFERROR(__xludf.DUMMYFUNCTION("""COMPUTED_VALUE"""),"P. kara")</f>
        <v>P. kara</v>
      </c>
      <c r="I1458" s="2" t="str">
        <f>IFERROR(__xludf.DUMMYFUNCTION("""COMPUTED_VALUE"""),"Wood")</f>
        <v>Wood</v>
      </c>
      <c r="J1458" s="2" t="str">
        <f>IFERROR(__xludf.DUMMYFUNCTION("""COMPUTED_VALUE"""),"All amenities")</f>
        <v>All amenities</v>
      </c>
      <c r="K1458" s="2">
        <f>IFERROR(__xludf.DUMMYFUNCTION("""COMPUTED_VALUE"""),21900.0)</f>
        <v>21900</v>
      </c>
      <c r="L1458" s="2">
        <f>IFERROR(__xludf.DUMMYFUNCTION("""COMPUTED_VALUE"""),56.9581178)</f>
        <v>56.9581178</v>
      </c>
      <c r="M1458" s="2">
        <f>IFERROR(__xludf.DUMMYFUNCTION("""COMPUTED_VALUE"""),24.1311146)</f>
        <v>24.1311146</v>
      </c>
    </row>
    <row r="1459">
      <c r="A1459" s="2" t="str">
        <f>IFERROR(__xludf.DUMMYFUNCTION("""COMPUTED_VALUE"""),"For sale")</f>
        <v>For sale</v>
      </c>
      <c r="B1459" s="2" t="str">
        <f>IFERROR(__xludf.DUMMYFUNCTION("""COMPUTED_VALUE"""),"Iļģuciems")</f>
        <v>Iļģuciems</v>
      </c>
      <c r="C1459" s="2" t="str">
        <f>IFERROR(__xludf.DUMMYFUNCTION("""COMPUTED_VALUE"""),"Dzirciema 71")</f>
        <v>Dzirciema 71</v>
      </c>
      <c r="D1459" s="2">
        <f>IFERROR(__xludf.DUMMYFUNCTION("""COMPUTED_VALUE"""),2.0)</f>
        <v>2</v>
      </c>
      <c r="E1459" s="2">
        <f>IFERROR(__xludf.DUMMYFUNCTION("""COMPUTED_VALUE"""),51.0)</f>
        <v>51</v>
      </c>
      <c r="F1459" s="2">
        <f>IFERROR(__xludf.DUMMYFUNCTION("""COMPUTED_VALUE"""),6.0)</f>
        <v>6</v>
      </c>
      <c r="G1459" s="2">
        <f>IFERROR(__xludf.DUMMYFUNCTION("""COMPUTED_VALUE"""),9.0)</f>
        <v>9</v>
      </c>
      <c r="H1459" s="2">
        <f>IFERROR(__xludf.DUMMYFUNCTION("""COMPUTED_VALUE"""),602.0)</f>
        <v>602</v>
      </c>
      <c r="I1459" s="2" t="str">
        <f>IFERROR(__xludf.DUMMYFUNCTION("""COMPUTED_VALUE"""),"Panel")</f>
        <v>Panel</v>
      </c>
      <c r="J1459" s="2" t="str">
        <f>IFERROR(__xludf.DUMMYFUNCTION("""COMPUTED_VALUE"""),"All amenities")</f>
        <v>All amenities</v>
      </c>
      <c r="K1459" s="2">
        <f>IFERROR(__xludf.DUMMYFUNCTION("""COMPUTED_VALUE"""),42900.0)</f>
        <v>42900</v>
      </c>
      <c r="L1459" s="2">
        <f>IFERROR(__xludf.DUMMYFUNCTION("""COMPUTED_VALUE"""),56.96512045)</f>
        <v>56.96512045</v>
      </c>
      <c r="M1459" s="2">
        <f>IFERROR(__xludf.DUMMYFUNCTION("""COMPUTED_VALUE"""),24.0549828893368)</f>
        <v>24.05498289</v>
      </c>
    </row>
    <row r="1460">
      <c r="A1460" s="2" t="str">
        <f>IFERROR(__xludf.DUMMYFUNCTION("""COMPUTED_VALUE"""),"For sale")</f>
        <v>For sale</v>
      </c>
      <c r="B1460" s="2" t="str">
        <f>IFERROR(__xludf.DUMMYFUNCTION("""COMPUTED_VALUE"""),"Teika")</f>
        <v>Teika</v>
      </c>
      <c r="C1460" s="2" t="str">
        <f>IFERROR(__xludf.DUMMYFUNCTION("""COMPUTED_VALUE"""),"Ieriķu 54")</f>
        <v>Ieriķu 54</v>
      </c>
      <c r="D1460" s="2">
        <f>IFERROR(__xludf.DUMMYFUNCTION("""COMPUTED_VALUE"""),2.0)</f>
        <v>2</v>
      </c>
      <c r="E1460" s="2">
        <f>IFERROR(__xludf.DUMMYFUNCTION("""COMPUTED_VALUE"""),60.0)</f>
        <v>60</v>
      </c>
      <c r="F1460" s="2">
        <f>IFERROR(__xludf.DUMMYFUNCTION("""COMPUTED_VALUE"""),1.0)</f>
        <v>1</v>
      </c>
      <c r="G1460" s="2">
        <f>IFERROR(__xludf.DUMMYFUNCTION("""COMPUTED_VALUE"""),2.0)</f>
        <v>2</v>
      </c>
      <c r="H1460" s="2" t="str">
        <f>IFERROR(__xludf.DUMMYFUNCTION("""COMPUTED_VALUE"""),"Staļina")</f>
        <v>Staļina</v>
      </c>
      <c r="I1460" s="2" t="str">
        <f>IFERROR(__xludf.DUMMYFUNCTION("""COMPUTED_VALUE"""),"Masonry")</f>
        <v>Masonry</v>
      </c>
      <c r="J1460" s="2" t="str">
        <f>IFERROR(__xludf.DUMMYFUNCTION("""COMPUTED_VALUE"""),"All amenities")</f>
        <v>All amenities</v>
      </c>
      <c r="K1460" s="2">
        <f>IFERROR(__xludf.DUMMYFUNCTION("""COMPUTED_VALUE"""),39999.0)</f>
        <v>39999</v>
      </c>
      <c r="L1460" s="2">
        <f>IFERROR(__xludf.DUMMYFUNCTION("""COMPUTED_VALUE"""),56.9653522)</f>
        <v>56.9653522</v>
      </c>
      <c r="M1460" s="2">
        <f>IFERROR(__xludf.DUMMYFUNCTION("""COMPUTED_VALUE"""),24.1647985)</f>
        <v>24.1647985</v>
      </c>
    </row>
    <row r="1461">
      <c r="A1461" s="2" t="str">
        <f>IFERROR(__xludf.DUMMYFUNCTION("""COMPUTED_VALUE"""),"For sale")</f>
        <v>For sale</v>
      </c>
      <c r="B1461" s="2" t="str">
        <f>IFERROR(__xludf.DUMMYFUNCTION("""COMPUTED_VALUE"""),"Pļavnieki")</f>
        <v>Pļavnieki</v>
      </c>
      <c r="C1461" s="2" t="str">
        <f>IFERROR(__xludf.DUMMYFUNCTION("""COMPUTED_VALUE"""),"Ulbrokas 12")</f>
        <v>Ulbrokas 12</v>
      </c>
      <c r="D1461" s="2">
        <f>IFERROR(__xludf.DUMMYFUNCTION("""COMPUTED_VALUE"""),1.0)</f>
        <v>1</v>
      </c>
      <c r="E1461" s="2">
        <f>IFERROR(__xludf.DUMMYFUNCTION("""COMPUTED_VALUE"""),39.0)</f>
        <v>39</v>
      </c>
      <c r="F1461" s="2">
        <f>IFERROR(__xludf.DUMMYFUNCTION("""COMPUTED_VALUE"""),5.0)</f>
        <v>5</v>
      </c>
      <c r="G1461" s="2">
        <f>IFERROR(__xludf.DUMMYFUNCTION("""COMPUTED_VALUE"""),5.0)</f>
        <v>5</v>
      </c>
      <c r="H1461" s="2" t="str">
        <f>IFERROR(__xludf.DUMMYFUNCTION("""COMPUTED_VALUE"""),"M. ģim.")</f>
        <v>M. ģim.</v>
      </c>
      <c r="I1461" s="2" t="str">
        <f>IFERROR(__xludf.DUMMYFUNCTION("""COMPUTED_VALUE"""),"Panel")</f>
        <v>Panel</v>
      </c>
      <c r="J1461" s="2" t="str">
        <f>IFERROR(__xludf.DUMMYFUNCTION("""COMPUTED_VALUE"""),"All amenities")</f>
        <v>All amenities</v>
      </c>
      <c r="K1461" s="2">
        <f>IFERROR(__xludf.DUMMYFUNCTION("""COMPUTED_VALUE"""),32900.0)</f>
        <v>32900</v>
      </c>
      <c r="L1461" s="2">
        <f>IFERROR(__xludf.DUMMYFUNCTION("""COMPUTED_VALUE"""),56.94122905)</f>
        <v>56.94122905</v>
      </c>
      <c r="M1461" s="2">
        <f>IFERROR(__xludf.DUMMYFUNCTION("""COMPUTED_VALUE"""),24.2174231674689)</f>
        <v>24.21742317</v>
      </c>
    </row>
    <row r="1462">
      <c r="A1462" s="2" t="str">
        <f>IFERROR(__xludf.DUMMYFUNCTION("""COMPUTED_VALUE"""),"For rent")</f>
        <v>For rent</v>
      </c>
      <c r="B1462" s="2" t="str">
        <f>IFERROR(__xludf.DUMMYFUNCTION("""COMPUTED_VALUE"""),"centrs")</f>
        <v>centrs</v>
      </c>
      <c r="C1462" s="2" t="str">
        <f>IFERROR(__xludf.DUMMYFUNCTION("""COMPUTED_VALUE"""),"Merķeļa 1")</f>
        <v>Merķeļa 1</v>
      </c>
      <c r="D1462" s="2">
        <f>IFERROR(__xludf.DUMMYFUNCTION("""COMPUTED_VALUE"""),1.0)</f>
        <v>1</v>
      </c>
      <c r="E1462" s="2">
        <f>IFERROR(__xludf.DUMMYFUNCTION("""COMPUTED_VALUE"""),15.0)</f>
        <v>15</v>
      </c>
      <c r="F1462" s="2">
        <f>IFERROR(__xludf.DUMMYFUNCTION("""COMPUTED_VALUE"""),4.0)</f>
        <v>4</v>
      </c>
      <c r="G1462" s="2">
        <f>IFERROR(__xludf.DUMMYFUNCTION("""COMPUTED_VALUE"""),6.0)</f>
        <v>6</v>
      </c>
      <c r="H1462" s="2" t="str">
        <f>IFERROR(__xludf.DUMMYFUNCTION("""COMPUTED_VALUE"""),"P. kara")</f>
        <v>P. kara</v>
      </c>
      <c r="I1462" s="2" t="str">
        <f>IFERROR(__xludf.DUMMYFUNCTION("""COMPUTED_VALUE"""),"Brick")</f>
        <v>Brick</v>
      </c>
      <c r="J1462" s="2" t="str">
        <f>IFERROR(__xludf.DUMMYFUNCTION("""COMPUTED_VALUE"""),"All amenities")</f>
        <v>All amenities</v>
      </c>
      <c r="K1462" s="2">
        <f>IFERROR(__xludf.DUMMYFUNCTION("""COMPUTED_VALUE"""),15.0)</f>
        <v>15</v>
      </c>
      <c r="L1462" s="2">
        <f>IFERROR(__xludf.DUMMYFUNCTION("""COMPUTED_VALUE"""),56.9482351)</f>
        <v>56.9482351</v>
      </c>
      <c r="M1462" s="2">
        <f>IFERROR(__xludf.DUMMYFUNCTION("""COMPUTED_VALUE"""),24.1198579)</f>
        <v>24.1198579</v>
      </c>
    </row>
    <row r="1463">
      <c r="A1463" s="2" t="str">
        <f>IFERROR(__xludf.DUMMYFUNCTION("""COMPUTED_VALUE"""),"For rent")</f>
        <v>For rent</v>
      </c>
      <c r="B1463" s="2" t="str">
        <f>IFERROR(__xludf.DUMMYFUNCTION("""COMPUTED_VALUE"""),"centrs")</f>
        <v>centrs</v>
      </c>
      <c r="C1463" s="2" t="str">
        <f>IFERROR(__xludf.DUMMYFUNCTION("""COMPUTED_VALUE"""),"Merķeļa 1")</f>
        <v>Merķeļa 1</v>
      </c>
      <c r="D1463" s="2">
        <f>IFERROR(__xludf.DUMMYFUNCTION("""COMPUTED_VALUE"""),1.0)</f>
        <v>1</v>
      </c>
      <c r="E1463" s="2">
        <f>IFERROR(__xludf.DUMMYFUNCTION("""COMPUTED_VALUE"""),24.0)</f>
        <v>24</v>
      </c>
      <c r="F1463" s="2">
        <f>IFERROR(__xludf.DUMMYFUNCTION("""COMPUTED_VALUE"""),4.0)</f>
        <v>4</v>
      </c>
      <c r="G1463" s="2">
        <f>IFERROR(__xludf.DUMMYFUNCTION("""COMPUTED_VALUE"""),6.0)</f>
        <v>6</v>
      </c>
      <c r="H1463" s="2" t="str">
        <f>IFERROR(__xludf.DUMMYFUNCTION("""COMPUTED_VALUE"""),"P. kara")</f>
        <v>P. kara</v>
      </c>
      <c r="I1463" s="2" t="str">
        <f>IFERROR(__xludf.DUMMYFUNCTION("""COMPUTED_VALUE"""),"Brick")</f>
        <v>Brick</v>
      </c>
      <c r="J1463" s="2" t="str">
        <f>IFERROR(__xludf.DUMMYFUNCTION("""COMPUTED_VALUE"""),"All amenities")</f>
        <v>All amenities</v>
      </c>
      <c r="K1463" s="2">
        <f>IFERROR(__xludf.DUMMYFUNCTION("""COMPUTED_VALUE"""),5.0)</f>
        <v>5</v>
      </c>
      <c r="L1463" s="2">
        <f>IFERROR(__xludf.DUMMYFUNCTION("""COMPUTED_VALUE"""),56.9482351)</f>
        <v>56.9482351</v>
      </c>
      <c r="M1463" s="2">
        <f>IFERROR(__xludf.DUMMYFUNCTION("""COMPUTED_VALUE"""),24.1198579)</f>
        <v>24.1198579</v>
      </c>
    </row>
    <row r="1464">
      <c r="A1464" s="2" t="str">
        <f>IFERROR(__xludf.DUMMYFUNCTION("""COMPUTED_VALUE"""),"For sale")</f>
        <v>For sale</v>
      </c>
      <c r="B1464" s="2" t="str">
        <f>IFERROR(__xludf.DUMMYFUNCTION("""COMPUTED_VALUE"""),"Krasta r-ns")</f>
        <v>Krasta r-ns</v>
      </c>
      <c r="C1464" s="2" t="str">
        <f>IFERROR(__xludf.DUMMYFUNCTION("""COMPUTED_VALUE"""),"Kojusalas 21")</f>
        <v>Kojusalas 21</v>
      </c>
      <c r="D1464" s="2">
        <f>IFERROR(__xludf.DUMMYFUNCTION("""COMPUTED_VALUE"""),3.0)</f>
        <v>3</v>
      </c>
      <c r="E1464" s="2">
        <f>IFERROR(__xludf.DUMMYFUNCTION("""COMPUTED_VALUE"""),58.0)</f>
        <v>58</v>
      </c>
      <c r="F1464" s="2">
        <f>IFERROR(__xludf.DUMMYFUNCTION("""COMPUTED_VALUE"""),3.0)</f>
        <v>3</v>
      </c>
      <c r="G1464" s="2">
        <f>IFERROR(__xludf.DUMMYFUNCTION("""COMPUTED_VALUE"""),5.0)</f>
        <v>5</v>
      </c>
      <c r="H1464" s="2" t="str">
        <f>IFERROR(__xludf.DUMMYFUNCTION("""COMPUTED_VALUE"""),"Specpr.")</f>
        <v>Specpr.</v>
      </c>
      <c r="I1464" s="2" t="str">
        <f>IFERROR(__xludf.DUMMYFUNCTION("""COMPUTED_VALUE"""),"Brick")</f>
        <v>Brick</v>
      </c>
      <c r="J1464" s="2" t="str">
        <f>IFERROR(__xludf.DUMMYFUNCTION("""COMPUTED_VALUE"""),"All amenities")</f>
        <v>All amenities</v>
      </c>
      <c r="K1464" s="2">
        <f>IFERROR(__xludf.DUMMYFUNCTION("""COMPUTED_VALUE"""),54000.0)</f>
        <v>54000</v>
      </c>
      <c r="L1464" s="2">
        <f>IFERROR(__xludf.DUMMYFUNCTION("""COMPUTED_VALUE"""),56.93425325)</f>
        <v>56.93425325</v>
      </c>
      <c r="M1464" s="2">
        <f>IFERROR(__xludf.DUMMYFUNCTION("""COMPUTED_VALUE"""),24.1548609852833)</f>
        <v>24.15486099</v>
      </c>
    </row>
    <row r="1465">
      <c r="A1465" s="2" t="str">
        <f>IFERROR(__xludf.DUMMYFUNCTION("""COMPUTED_VALUE"""),"For rent")</f>
        <v>For rent</v>
      </c>
      <c r="B1465" s="2" t="str">
        <f>IFERROR(__xludf.DUMMYFUNCTION("""COMPUTED_VALUE"""),"Vecrīga")</f>
        <v>Vecrīga</v>
      </c>
      <c r="C1465" s="2" t="str">
        <f>IFERROR(__xludf.DUMMYFUNCTION("""COMPUTED_VALUE"""),"Smilšu 10")</f>
        <v>Smilšu 10</v>
      </c>
      <c r="D1465" s="2">
        <f>IFERROR(__xludf.DUMMYFUNCTION("""COMPUTED_VALUE"""),4.0)</f>
        <v>4</v>
      </c>
      <c r="E1465" s="2">
        <f>IFERROR(__xludf.DUMMYFUNCTION("""COMPUTED_VALUE"""),120.0)</f>
        <v>120</v>
      </c>
      <c r="F1465" s="2">
        <f>IFERROR(__xludf.DUMMYFUNCTION("""COMPUTED_VALUE"""),7.0)</f>
        <v>7</v>
      </c>
      <c r="G1465" s="2">
        <f>IFERROR(__xludf.DUMMYFUNCTION("""COMPUTED_VALUE"""),7.0)</f>
        <v>7</v>
      </c>
      <c r="H1465" s="2" t="str">
        <f>IFERROR(__xludf.DUMMYFUNCTION("""COMPUTED_VALUE"""),"Renov.")</f>
        <v>Renov.</v>
      </c>
      <c r="I1465" s="2" t="str">
        <f>IFERROR(__xludf.DUMMYFUNCTION("""COMPUTED_VALUE"""),"Masonry")</f>
        <v>Masonry</v>
      </c>
      <c r="J1465" s="2" t="str">
        <f>IFERROR(__xludf.DUMMYFUNCTION("""COMPUTED_VALUE"""),"All amenities")</f>
        <v>All amenities</v>
      </c>
      <c r="K1465" s="2">
        <f>IFERROR(__xludf.DUMMYFUNCTION("""COMPUTED_VALUE"""),1600.0)</f>
        <v>1600</v>
      </c>
      <c r="L1465" s="2">
        <f>IFERROR(__xludf.DUMMYFUNCTION("""COMPUTED_VALUE"""),56.9503023)</f>
        <v>56.9503023</v>
      </c>
      <c r="M1465" s="2">
        <f>IFERROR(__xludf.DUMMYFUNCTION("""COMPUTED_VALUE"""),24.1092472)</f>
        <v>24.1092472</v>
      </c>
    </row>
    <row r="1466">
      <c r="A1466" s="2" t="str">
        <f>IFERROR(__xludf.DUMMYFUNCTION("""COMPUTED_VALUE"""),"For sale")</f>
        <v>For sale</v>
      </c>
      <c r="B1466" s="2" t="str">
        <f>IFERROR(__xludf.DUMMYFUNCTION("""COMPUTED_VALUE"""),"Purvciems")</f>
        <v>Purvciems</v>
      </c>
      <c r="C1466" s="2" t="str">
        <f>IFERROR(__xludf.DUMMYFUNCTION("""COMPUTED_VALUE"""),"Burtnieku 36")</f>
        <v>Burtnieku 36</v>
      </c>
      <c r="D1466" s="2">
        <f>IFERROR(__xludf.DUMMYFUNCTION("""COMPUTED_VALUE"""),2.0)</f>
        <v>2</v>
      </c>
      <c r="E1466" s="2">
        <f>IFERROR(__xludf.DUMMYFUNCTION("""COMPUTED_VALUE"""),110.0)</f>
        <v>110</v>
      </c>
      <c r="F1466" s="2">
        <f>IFERROR(__xludf.DUMMYFUNCTION("""COMPUTED_VALUE"""),4.0)</f>
        <v>4</v>
      </c>
      <c r="G1466" s="2">
        <f>IFERROR(__xludf.DUMMYFUNCTION("""COMPUTED_VALUE"""),5.0)</f>
        <v>5</v>
      </c>
      <c r="H1466" s="2" t="str">
        <f>IFERROR(__xludf.DUMMYFUNCTION("""COMPUTED_VALUE"""),"Jaun.")</f>
        <v>Jaun.</v>
      </c>
      <c r="I1466" s="2" t="str">
        <f>IFERROR(__xludf.DUMMYFUNCTION("""COMPUTED_VALUE"""),"Panel-Brick")</f>
        <v>Panel-Brick</v>
      </c>
      <c r="J1466" s="2" t="str">
        <f>IFERROR(__xludf.DUMMYFUNCTION("""COMPUTED_VALUE"""),"All amenities")</f>
        <v>All amenities</v>
      </c>
      <c r="K1466" s="2">
        <f>IFERROR(__xludf.DUMMYFUNCTION("""COMPUTED_VALUE"""),119000.0)</f>
        <v>119000</v>
      </c>
      <c r="L1466" s="2">
        <f>IFERROR(__xludf.DUMMYFUNCTION("""COMPUTED_VALUE"""),56.9670136)</f>
        <v>56.9670136</v>
      </c>
      <c r="M1466" s="2">
        <f>IFERROR(__xludf.DUMMYFUNCTION("""COMPUTED_VALUE"""),24.1825891911293)</f>
        <v>24.18258919</v>
      </c>
    </row>
    <row r="1467">
      <c r="A1467" s="2" t="str">
        <f>IFERROR(__xludf.DUMMYFUNCTION("""COMPUTED_VALUE"""),"For sale")</f>
        <v>For sale</v>
      </c>
      <c r="B1467" s="2" t="str">
        <f>IFERROR(__xludf.DUMMYFUNCTION("""COMPUTED_VALUE"""),"Mežaparks")</f>
        <v>Mežaparks</v>
      </c>
      <c r="C1467" s="2" t="str">
        <f>IFERROR(__xludf.DUMMYFUNCTION("""COMPUTED_VALUE"""),"Ķempes 4")</f>
        <v>Ķempes 4</v>
      </c>
      <c r="D1467" s="2">
        <f>IFERROR(__xludf.DUMMYFUNCTION("""COMPUTED_VALUE"""),3.0)</f>
        <v>3</v>
      </c>
      <c r="E1467" s="2">
        <f>IFERROR(__xludf.DUMMYFUNCTION("""COMPUTED_VALUE"""),140.0)</f>
        <v>140</v>
      </c>
      <c r="F1467" s="2">
        <f>IFERROR(__xludf.DUMMYFUNCTION("""COMPUTED_VALUE"""),8.0)</f>
        <v>8</v>
      </c>
      <c r="G1467" s="2">
        <f>IFERROR(__xludf.DUMMYFUNCTION("""COMPUTED_VALUE"""),12.0)</f>
        <v>12</v>
      </c>
      <c r="H1467" s="2" t="str">
        <f>IFERROR(__xludf.DUMMYFUNCTION("""COMPUTED_VALUE"""),"Jaun.")</f>
        <v>Jaun.</v>
      </c>
      <c r="I1467" s="2" t="str">
        <f>IFERROR(__xludf.DUMMYFUNCTION("""COMPUTED_VALUE"""),"Masonry")</f>
        <v>Masonry</v>
      </c>
      <c r="J1467" s="2" t="str">
        <f>IFERROR(__xludf.DUMMYFUNCTION("""COMPUTED_VALUE"""),"All amenities")</f>
        <v>All amenities</v>
      </c>
      <c r="K1467" s="2">
        <f>IFERROR(__xludf.DUMMYFUNCTION("""COMPUTED_VALUE"""),179800.0)</f>
        <v>179800</v>
      </c>
      <c r="L1467" s="2">
        <f>IFERROR(__xludf.DUMMYFUNCTION("""COMPUTED_VALUE"""),56.9943642)</f>
        <v>56.9943642</v>
      </c>
      <c r="M1467" s="2">
        <f>IFERROR(__xludf.DUMMYFUNCTION("""COMPUTED_VALUE"""),24.1661266885749)</f>
        <v>24.16612669</v>
      </c>
    </row>
    <row r="1468">
      <c r="A1468" s="2" t="str">
        <f>IFERROR(__xludf.DUMMYFUNCTION("""COMPUTED_VALUE"""),"For sale")</f>
        <v>For sale</v>
      </c>
      <c r="B1468" s="2" t="str">
        <f>IFERROR(__xludf.DUMMYFUNCTION("""COMPUTED_VALUE"""),"Purvciems")</f>
        <v>Purvciems</v>
      </c>
      <c r="C1468" s="2" t="str">
        <f>IFERROR(__xludf.DUMMYFUNCTION("""COMPUTED_VALUE"""),"Žagatu 20a")</f>
        <v>Žagatu 20a</v>
      </c>
      <c r="D1468" s="2">
        <f>IFERROR(__xludf.DUMMYFUNCTION("""COMPUTED_VALUE"""),3.0)</f>
        <v>3</v>
      </c>
      <c r="E1468" s="2">
        <f>IFERROR(__xludf.DUMMYFUNCTION("""COMPUTED_VALUE"""),64.0)</f>
        <v>64</v>
      </c>
      <c r="F1468" s="2">
        <f>IFERROR(__xludf.DUMMYFUNCTION("""COMPUTED_VALUE"""),7.0)</f>
        <v>7</v>
      </c>
      <c r="G1468" s="2">
        <f>IFERROR(__xludf.DUMMYFUNCTION("""COMPUTED_VALUE"""),9.0)</f>
        <v>9</v>
      </c>
      <c r="H1468" s="2">
        <f>IFERROR(__xludf.DUMMYFUNCTION("""COMPUTED_VALUE"""),602.0)</f>
        <v>602</v>
      </c>
      <c r="I1468" s="2" t="str">
        <f>IFERROR(__xludf.DUMMYFUNCTION("""COMPUTED_VALUE"""),"Panel")</f>
        <v>Panel</v>
      </c>
      <c r="J1468" s="2" t="str">
        <f>IFERROR(__xludf.DUMMYFUNCTION("""COMPUTED_VALUE"""),"All amenities")</f>
        <v>All amenities</v>
      </c>
      <c r="K1468" s="2">
        <f>IFERROR(__xludf.DUMMYFUNCTION("""COMPUTED_VALUE"""),63000.0)</f>
        <v>63000</v>
      </c>
      <c r="L1468" s="2">
        <f>IFERROR(__xludf.DUMMYFUNCTION("""COMPUTED_VALUE"""),56.96295835)</f>
        <v>56.96295835</v>
      </c>
      <c r="M1468" s="2">
        <f>IFERROR(__xludf.DUMMYFUNCTION("""COMPUTED_VALUE"""),24.1873444133421)</f>
        <v>24.18734441</v>
      </c>
    </row>
    <row r="1469">
      <c r="A1469" s="2" t="str">
        <f>IFERROR(__xludf.DUMMYFUNCTION("""COMPUTED_VALUE"""),"For rent")</f>
        <v>For rent</v>
      </c>
      <c r="B1469" s="2" t="str">
        <f>IFERROR(__xludf.DUMMYFUNCTION("""COMPUTED_VALUE"""),"Pļavnieki")</f>
        <v>Pļavnieki</v>
      </c>
      <c r="C1469" s="2" t="str">
        <f>IFERROR(__xludf.DUMMYFUNCTION("""COMPUTED_VALUE"""),"Salnas 34")</f>
        <v>Salnas 34</v>
      </c>
      <c r="D1469" s="2">
        <f>IFERROR(__xludf.DUMMYFUNCTION("""COMPUTED_VALUE"""),1.0)</f>
        <v>1</v>
      </c>
      <c r="E1469" s="2">
        <f>IFERROR(__xludf.DUMMYFUNCTION("""COMPUTED_VALUE"""),34.0)</f>
        <v>34</v>
      </c>
      <c r="F1469" s="2">
        <f>IFERROR(__xludf.DUMMYFUNCTION("""COMPUTED_VALUE"""),9.0)</f>
        <v>9</v>
      </c>
      <c r="G1469" s="2">
        <f>IFERROR(__xludf.DUMMYFUNCTION("""COMPUTED_VALUE"""),9.0)</f>
        <v>9</v>
      </c>
      <c r="H1469" s="2">
        <f>IFERROR(__xludf.DUMMYFUNCTION("""COMPUTED_VALUE"""),602.0)</f>
        <v>602</v>
      </c>
      <c r="I1469" s="2" t="str">
        <f>IFERROR(__xludf.DUMMYFUNCTION("""COMPUTED_VALUE"""),"Panel-Brick")</f>
        <v>Panel-Brick</v>
      </c>
      <c r="J1469" s="2" t="str">
        <f>IFERROR(__xludf.DUMMYFUNCTION("""COMPUTED_VALUE"""),"All amenities")</f>
        <v>All amenities</v>
      </c>
      <c r="K1469" s="2">
        <f>IFERROR(__xludf.DUMMYFUNCTION("""COMPUTED_VALUE"""),250.0)</f>
        <v>250</v>
      </c>
      <c r="L1469" s="2">
        <f>IFERROR(__xludf.DUMMYFUNCTION("""COMPUTED_VALUE"""),56.94177975)</f>
        <v>56.94177975</v>
      </c>
      <c r="M1469" s="2">
        <f>IFERROR(__xludf.DUMMYFUNCTION("""COMPUTED_VALUE"""),24.2291887859803)</f>
        <v>24.22918879</v>
      </c>
    </row>
    <row r="1470">
      <c r="A1470" s="2" t="str">
        <f>IFERROR(__xludf.DUMMYFUNCTION("""COMPUTED_VALUE"""),"For sale")</f>
        <v>For sale</v>
      </c>
      <c r="B1470" s="2" t="str">
        <f>IFERROR(__xludf.DUMMYFUNCTION("""COMPUTED_VALUE"""),"Vecmīlgrāvis")</f>
        <v>Vecmīlgrāvis</v>
      </c>
      <c r="C1470" s="2" t="str">
        <f>IFERROR(__xludf.DUMMYFUNCTION("""COMPUTED_VALUE"""),"Sarmas 7")</f>
        <v>Sarmas 7</v>
      </c>
      <c r="D1470" s="2">
        <f>IFERROR(__xludf.DUMMYFUNCTION("""COMPUTED_VALUE"""),2.0)</f>
        <v>2</v>
      </c>
      <c r="E1470" s="2">
        <f>IFERROR(__xludf.DUMMYFUNCTION("""COMPUTED_VALUE"""),50.0)</f>
        <v>50</v>
      </c>
      <c r="F1470" s="2">
        <f>IFERROR(__xludf.DUMMYFUNCTION("""COMPUTED_VALUE"""),2.0)</f>
        <v>2</v>
      </c>
      <c r="G1470" s="2">
        <f>IFERROR(__xludf.DUMMYFUNCTION("""COMPUTED_VALUE"""),9.0)</f>
        <v>9</v>
      </c>
      <c r="H1470" s="2">
        <f>IFERROR(__xludf.DUMMYFUNCTION("""COMPUTED_VALUE"""),602.0)</f>
        <v>602</v>
      </c>
      <c r="I1470" s="2" t="str">
        <f>IFERROR(__xludf.DUMMYFUNCTION("""COMPUTED_VALUE"""),"Panel")</f>
        <v>Panel</v>
      </c>
      <c r="J1470" s="2" t="str">
        <f>IFERROR(__xludf.DUMMYFUNCTION("""COMPUTED_VALUE"""),"All amenities")</f>
        <v>All amenities</v>
      </c>
      <c r="K1470" s="2">
        <f>IFERROR(__xludf.DUMMYFUNCTION("""COMPUTED_VALUE"""),41000.0)</f>
        <v>41000</v>
      </c>
      <c r="L1470" s="2">
        <f>IFERROR(__xludf.DUMMYFUNCTION("""COMPUTED_VALUE"""),57.03912275)</f>
        <v>57.03912275</v>
      </c>
      <c r="M1470" s="2">
        <f>IFERROR(__xludf.DUMMYFUNCTION("""COMPUTED_VALUE"""),24.1003615894216)</f>
        <v>24.10036159</v>
      </c>
    </row>
    <row r="1471">
      <c r="A1471" s="2" t="str">
        <f>IFERROR(__xludf.DUMMYFUNCTION("""COMPUTED_VALUE"""),"For sale")</f>
        <v>For sale</v>
      </c>
      <c r="B1471" s="2" t="str">
        <f>IFERROR(__xludf.DUMMYFUNCTION("""COMPUTED_VALUE"""),"centrs")</f>
        <v>centrs</v>
      </c>
      <c r="C1471" s="2" t="str">
        <f>IFERROR(__xludf.DUMMYFUNCTION("""COMPUTED_VALUE"""),"Gogoļa 8/10")</f>
        <v>Gogoļa 8/10</v>
      </c>
      <c r="D1471" s="2">
        <f>IFERROR(__xludf.DUMMYFUNCTION("""COMPUTED_VALUE"""),3.0)</f>
        <v>3</v>
      </c>
      <c r="E1471" s="2">
        <f>IFERROR(__xludf.DUMMYFUNCTION("""COMPUTED_VALUE"""),96.0)</f>
        <v>96</v>
      </c>
      <c r="F1471" s="2">
        <f>IFERROR(__xludf.DUMMYFUNCTION("""COMPUTED_VALUE"""),3.0)</f>
        <v>3</v>
      </c>
      <c r="G1471" s="2">
        <f>IFERROR(__xludf.DUMMYFUNCTION("""COMPUTED_VALUE"""),5.0)</f>
        <v>5</v>
      </c>
      <c r="H1471" s="2" t="str">
        <f>IFERROR(__xludf.DUMMYFUNCTION("""COMPUTED_VALUE"""),"P. kara")</f>
        <v>P. kara</v>
      </c>
      <c r="I1471" s="2" t="str">
        <f>IFERROR(__xludf.DUMMYFUNCTION("""COMPUTED_VALUE"""),"Masonry")</f>
        <v>Masonry</v>
      </c>
      <c r="J1471" s="2" t="str">
        <f>IFERROR(__xludf.DUMMYFUNCTION("""COMPUTED_VALUE"""),"All amenities")</f>
        <v>All amenities</v>
      </c>
      <c r="K1471" s="2">
        <f>IFERROR(__xludf.DUMMYFUNCTION("""COMPUTED_VALUE"""),120000.0)</f>
        <v>120000</v>
      </c>
      <c r="L1471" s="2">
        <f>IFERROR(__xludf.DUMMYFUNCTION("""COMPUTED_VALUE"""),56.9449314)</f>
        <v>56.9449314</v>
      </c>
      <c r="M1471" s="2">
        <f>IFERROR(__xludf.DUMMYFUNCTION("""COMPUTED_VALUE"""),24.1204918)</f>
        <v>24.1204918</v>
      </c>
    </row>
    <row r="1472">
      <c r="A1472" s="2" t="str">
        <f>IFERROR(__xludf.DUMMYFUNCTION("""COMPUTED_VALUE"""),"For sale")</f>
        <v>For sale</v>
      </c>
      <c r="B1472" s="2" t="str">
        <f>IFERROR(__xludf.DUMMYFUNCTION("""COMPUTED_VALUE"""),"Dārzciems")</f>
        <v>Dārzciems</v>
      </c>
      <c r="C1472" s="2" t="str">
        <f>IFERROR(__xludf.DUMMYFUNCTION("""COMPUTED_VALUE"""),"Nīcgales 51")</f>
        <v>Nīcgales 51</v>
      </c>
      <c r="D1472" s="2">
        <f>IFERROR(__xludf.DUMMYFUNCTION("""COMPUTED_VALUE"""),3.0)</f>
        <v>3</v>
      </c>
      <c r="E1472" s="2">
        <f>IFERROR(__xludf.DUMMYFUNCTION("""COMPUTED_VALUE"""),73.0)</f>
        <v>73</v>
      </c>
      <c r="F1472" s="2">
        <f>IFERROR(__xludf.DUMMYFUNCTION("""COMPUTED_VALUE"""),8.0)</f>
        <v>8</v>
      </c>
      <c r="G1472" s="2">
        <f>IFERROR(__xludf.DUMMYFUNCTION("""COMPUTED_VALUE"""),9.0)</f>
        <v>9</v>
      </c>
      <c r="H1472" s="2" t="str">
        <f>IFERROR(__xludf.DUMMYFUNCTION("""COMPUTED_VALUE"""),"Specpr.")</f>
        <v>Specpr.</v>
      </c>
      <c r="I1472" s="2" t="str">
        <f>IFERROR(__xludf.DUMMYFUNCTION("""COMPUTED_VALUE"""),"Brick-Panel")</f>
        <v>Brick-Panel</v>
      </c>
      <c r="J1472" s="2" t="str">
        <f>IFERROR(__xludf.DUMMYFUNCTION("""COMPUTED_VALUE"""),"All amenities")</f>
        <v>All amenities</v>
      </c>
      <c r="K1472" s="2">
        <f>IFERROR(__xludf.DUMMYFUNCTION("""COMPUTED_VALUE"""),82000.0)</f>
        <v>82000</v>
      </c>
      <c r="L1472" s="2">
        <f>IFERROR(__xludf.DUMMYFUNCTION("""COMPUTED_VALUE"""),56.9457705)</f>
        <v>56.9457705</v>
      </c>
      <c r="M1472" s="2">
        <f>IFERROR(__xludf.DUMMYFUNCTION("""COMPUTED_VALUE"""),24.1722203)</f>
        <v>24.1722203</v>
      </c>
    </row>
    <row r="1473">
      <c r="A1473" s="2" t="str">
        <f>IFERROR(__xludf.DUMMYFUNCTION("""COMPUTED_VALUE"""),"For sale")</f>
        <v>For sale</v>
      </c>
      <c r="B1473" s="2" t="str">
        <f>IFERROR(__xludf.DUMMYFUNCTION("""COMPUTED_VALUE"""),"Dārzciems")</f>
        <v>Dārzciems</v>
      </c>
      <c r="C1473" s="2" t="str">
        <f>IFERROR(__xludf.DUMMYFUNCTION("""COMPUTED_VALUE"""),"Sitas 48")</f>
        <v>Sitas 48</v>
      </c>
      <c r="D1473" s="2">
        <f>IFERROR(__xludf.DUMMYFUNCTION("""COMPUTED_VALUE"""),2.0)</f>
        <v>2</v>
      </c>
      <c r="E1473" s="2">
        <f>IFERROR(__xludf.DUMMYFUNCTION("""COMPUTED_VALUE"""),57.0)</f>
        <v>57</v>
      </c>
      <c r="F1473" s="2">
        <f>IFERROR(__xludf.DUMMYFUNCTION("""COMPUTED_VALUE"""),5.0)</f>
        <v>5</v>
      </c>
      <c r="G1473" s="2">
        <f>IFERROR(__xludf.DUMMYFUNCTION("""COMPUTED_VALUE"""),5.0)</f>
        <v>5</v>
      </c>
      <c r="H1473" s="2" t="str">
        <f>IFERROR(__xludf.DUMMYFUNCTION("""COMPUTED_VALUE"""),"M. ģim.")</f>
        <v>M. ģim.</v>
      </c>
      <c r="I1473" s="2" t="str">
        <f>IFERROR(__xludf.DUMMYFUNCTION("""COMPUTED_VALUE"""),"Panel")</f>
        <v>Panel</v>
      </c>
      <c r="J1473" s="2" t="str">
        <f>IFERROR(__xludf.DUMMYFUNCTION("""COMPUTED_VALUE"""),"All amenities")</f>
        <v>All amenities</v>
      </c>
      <c r="K1473" s="2">
        <f>IFERROR(__xludf.DUMMYFUNCTION("""COMPUTED_VALUE"""),38000.0)</f>
        <v>38000</v>
      </c>
      <c r="L1473" s="2">
        <f>IFERROR(__xludf.DUMMYFUNCTION("""COMPUTED_VALUE"""),56.9330961)</f>
        <v>56.9330961</v>
      </c>
      <c r="M1473" s="2">
        <f>IFERROR(__xludf.DUMMYFUNCTION("""COMPUTED_VALUE"""),24.1931686640088)</f>
        <v>24.19316866</v>
      </c>
    </row>
    <row r="1474">
      <c r="A1474" s="2" t="str">
        <f>IFERROR(__xludf.DUMMYFUNCTION("""COMPUTED_VALUE"""),"For sale")</f>
        <v>For sale</v>
      </c>
      <c r="B1474" s="2" t="str">
        <f>IFERROR(__xludf.DUMMYFUNCTION("""COMPUTED_VALUE"""),"Teika")</f>
        <v>Teika</v>
      </c>
      <c r="C1474" s="2" t="str">
        <f>IFERROR(__xludf.DUMMYFUNCTION("""COMPUTED_VALUE"""),"Vidrižu 4")</f>
        <v>Vidrižu 4</v>
      </c>
      <c r="D1474" s="2">
        <f>IFERROR(__xludf.DUMMYFUNCTION("""COMPUTED_VALUE"""),3.0)</f>
        <v>3</v>
      </c>
      <c r="E1474" s="2">
        <f>IFERROR(__xludf.DUMMYFUNCTION("""COMPUTED_VALUE"""),80.0)</f>
        <v>80</v>
      </c>
      <c r="F1474" s="2">
        <f>IFERROR(__xludf.DUMMYFUNCTION("""COMPUTED_VALUE"""),1.0)</f>
        <v>1</v>
      </c>
      <c r="G1474" s="2">
        <f>IFERROR(__xludf.DUMMYFUNCTION("""COMPUTED_VALUE"""),9.0)</f>
        <v>9</v>
      </c>
      <c r="H1474" s="2" t="str">
        <f>IFERROR(__xludf.DUMMYFUNCTION("""COMPUTED_VALUE"""),"Specpr.")</f>
        <v>Specpr.</v>
      </c>
      <c r="I1474" s="2" t="str">
        <f>IFERROR(__xludf.DUMMYFUNCTION("""COMPUTED_VALUE"""),"Panel-Brick")</f>
        <v>Panel-Brick</v>
      </c>
      <c r="J1474" s="2" t="str">
        <f>IFERROR(__xludf.DUMMYFUNCTION("""COMPUTED_VALUE"""),"All amenities")</f>
        <v>All amenities</v>
      </c>
      <c r="K1474" s="2">
        <f>IFERROR(__xludf.DUMMYFUNCTION("""COMPUTED_VALUE"""),87000.0)</f>
        <v>87000</v>
      </c>
      <c r="L1474" s="2">
        <f>IFERROR(__xludf.DUMMYFUNCTION("""COMPUTED_VALUE"""),56.9788671)</f>
        <v>56.9788671</v>
      </c>
      <c r="M1474" s="2">
        <f>IFERROR(__xludf.DUMMYFUNCTION("""COMPUTED_VALUE"""),24.1774824079002)</f>
        <v>24.17748241</v>
      </c>
    </row>
    <row r="1475">
      <c r="A1475" s="2" t="str">
        <f>IFERROR(__xludf.DUMMYFUNCTION("""COMPUTED_VALUE"""),"For sale")</f>
        <v>For sale</v>
      </c>
      <c r="B1475" s="2" t="str">
        <f>IFERROR(__xludf.DUMMYFUNCTION("""COMPUTED_VALUE"""),"Āgenskalns")</f>
        <v>Āgenskalns</v>
      </c>
      <c r="C1475" s="2" t="str">
        <f>IFERROR(__xludf.DUMMYFUNCTION("""COMPUTED_VALUE"""),"Ventspils 13")</f>
        <v>Ventspils 13</v>
      </c>
      <c r="D1475" s="2">
        <f>IFERROR(__xludf.DUMMYFUNCTION("""COMPUTED_VALUE"""),2.0)</f>
        <v>2</v>
      </c>
      <c r="E1475" s="2">
        <f>IFERROR(__xludf.DUMMYFUNCTION("""COMPUTED_VALUE"""),51.0)</f>
        <v>51</v>
      </c>
      <c r="F1475" s="2">
        <f>IFERROR(__xludf.DUMMYFUNCTION("""COMPUTED_VALUE"""),1.0)</f>
        <v>1</v>
      </c>
      <c r="G1475" s="2">
        <f>IFERROR(__xludf.DUMMYFUNCTION("""COMPUTED_VALUE"""),5.0)</f>
        <v>5</v>
      </c>
      <c r="H1475" s="2" t="str">
        <f>IFERROR(__xludf.DUMMYFUNCTION("""COMPUTED_VALUE"""),"P. kara")</f>
        <v>P. kara</v>
      </c>
      <c r="I1475" s="2" t="str">
        <f>IFERROR(__xludf.DUMMYFUNCTION("""COMPUTED_VALUE"""),"Masonry")</f>
        <v>Masonry</v>
      </c>
      <c r="J1475" s="2" t="str">
        <f>IFERROR(__xludf.DUMMYFUNCTION("""COMPUTED_VALUE"""),"All amenities")</f>
        <v>All amenities</v>
      </c>
      <c r="K1475" s="2">
        <f>IFERROR(__xludf.DUMMYFUNCTION("""COMPUTED_VALUE"""),42000.0)</f>
        <v>42000</v>
      </c>
      <c r="L1475" s="2">
        <f>IFERROR(__xludf.DUMMYFUNCTION("""COMPUTED_VALUE"""),56.9492021)</f>
        <v>56.9492021</v>
      </c>
      <c r="M1475" s="2">
        <f>IFERROR(__xludf.DUMMYFUNCTION("""COMPUTED_VALUE"""),23.9587415)</f>
        <v>23.9587415</v>
      </c>
    </row>
    <row r="1476">
      <c r="A1476" s="2" t="str">
        <f>IFERROR(__xludf.DUMMYFUNCTION("""COMPUTED_VALUE"""),"For rent")</f>
        <v>For rent</v>
      </c>
      <c r="B1476" s="2" t="str">
        <f>IFERROR(__xludf.DUMMYFUNCTION("""COMPUTED_VALUE"""),"Ķengarags")</f>
        <v>Ķengarags</v>
      </c>
      <c r="C1476" s="2" t="str">
        <f>IFERROR(__xludf.DUMMYFUNCTION("""COMPUTED_VALUE"""),"Dubnas 8")</f>
        <v>Dubnas 8</v>
      </c>
      <c r="D1476" s="2">
        <f>IFERROR(__xludf.DUMMYFUNCTION("""COMPUTED_VALUE"""),1.0)</f>
        <v>1</v>
      </c>
      <c r="E1476" s="2">
        <f>IFERROR(__xludf.DUMMYFUNCTION("""COMPUTED_VALUE"""),38.0)</f>
        <v>38</v>
      </c>
      <c r="F1476" s="2">
        <f>IFERROR(__xludf.DUMMYFUNCTION("""COMPUTED_VALUE"""),4.0)</f>
        <v>4</v>
      </c>
      <c r="G1476" s="2">
        <f>IFERROR(__xludf.DUMMYFUNCTION("""COMPUTED_VALUE"""),12.0)</f>
        <v>12</v>
      </c>
      <c r="H1476" s="2" t="str">
        <f>IFERROR(__xludf.DUMMYFUNCTION("""COMPUTED_VALUE"""),"Čehu pr.")</f>
        <v>Čehu pr.</v>
      </c>
      <c r="I1476" s="2" t="str">
        <f>IFERROR(__xludf.DUMMYFUNCTION("""COMPUTED_VALUE"""),"Brick-Panel")</f>
        <v>Brick-Panel</v>
      </c>
      <c r="J1476" s="2" t="str">
        <f>IFERROR(__xludf.DUMMYFUNCTION("""COMPUTED_VALUE"""),"All amenities")</f>
        <v>All amenities</v>
      </c>
      <c r="K1476" s="2">
        <f>IFERROR(__xludf.DUMMYFUNCTION("""COMPUTED_VALUE"""),200.0)</f>
        <v>200</v>
      </c>
      <c r="L1476" s="2">
        <f>IFERROR(__xludf.DUMMYFUNCTION("""COMPUTED_VALUE"""),56.90431635)</f>
        <v>56.90431635</v>
      </c>
      <c r="M1476" s="2">
        <f>IFERROR(__xludf.DUMMYFUNCTION("""COMPUTED_VALUE"""),24.1976524370901)</f>
        <v>24.19765244</v>
      </c>
    </row>
    <row r="1477">
      <c r="A1477" s="2" t="str">
        <f>IFERROR(__xludf.DUMMYFUNCTION("""COMPUTED_VALUE"""),"For sale")</f>
        <v>For sale</v>
      </c>
      <c r="B1477" s="2" t="str">
        <f>IFERROR(__xludf.DUMMYFUNCTION("""COMPUTED_VALUE"""),"Ziepniekkalns")</f>
        <v>Ziepniekkalns</v>
      </c>
      <c r="C1477" s="2" t="str">
        <f>IFERROR(__xludf.DUMMYFUNCTION("""COMPUTED_VALUE"""),"Ozolciema 18")</f>
        <v>Ozolciema 18</v>
      </c>
      <c r="D1477" s="2">
        <f>IFERROR(__xludf.DUMMYFUNCTION("""COMPUTED_VALUE"""),3.0)</f>
        <v>3</v>
      </c>
      <c r="E1477" s="2">
        <f>IFERROR(__xludf.DUMMYFUNCTION("""COMPUTED_VALUE"""),74.0)</f>
        <v>74</v>
      </c>
      <c r="F1477" s="2">
        <f>IFERROR(__xludf.DUMMYFUNCTION("""COMPUTED_VALUE"""),3.0)</f>
        <v>3</v>
      </c>
      <c r="G1477" s="2">
        <f>IFERROR(__xludf.DUMMYFUNCTION("""COMPUTED_VALUE"""),9.0)</f>
        <v>9</v>
      </c>
      <c r="H1477" s="2">
        <f>IFERROR(__xludf.DUMMYFUNCTION("""COMPUTED_VALUE"""),119.0)</f>
        <v>119</v>
      </c>
      <c r="I1477" s="2" t="str">
        <f>IFERROR(__xludf.DUMMYFUNCTION("""COMPUTED_VALUE"""),"Panel")</f>
        <v>Panel</v>
      </c>
      <c r="J1477" s="2" t="str">
        <f>IFERROR(__xludf.DUMMYFUNCTION("""COMPUTED_VALUE"""),"All amenities")</f>
        <v>All amenities</v>
      </c>
      <c r="K1477" s="2">
        <f>IFERROR(__xludf.DUMMYFUNCTION("""COMPUTED_VALUE"""),76000.0)</f>
        <v>76000</v>
      </c>
      <c r="L1477" s="2">
        <f>IFERROR(__xludf.DUMMYFUNCTION("""COMPUTED_VALUE"""),56.89859735)</f>
        <v>56.89859735</v>
      </c>
      <c r="M1477" s="2">
        <f>IFERROR(__xludf.DUMMYFUNCTION("""COMPUTED_VALUE"""),24.0876707999998)</f>
        <v>24.0876708</v>
      </c>
    </row>
    <row r="1478">
      <c r="A1478" s="2" t="str">
        <f>IFERROR(__xludf.DUMMYFUNCTION("""COMPUTED_VALUE"""),"For rent")</f>
        <v>For rent</v>
      </c>
      <c r="B1478" s="2" t="str">
        <f>IFERROR(__xludf.DUMMYFUNCTION("""COMPUTED_VALUE"""),"Pļavnieki")</f>
        <v>Pļavnieki</v>
      </c>
      <c r="C1478" s="2" t="str">
        <f>IFERROR(__xludf.DUMMYFUNCTION("""COMPUTED_VALUE"""),"Sesku 10/1")</f>
        <v>Sesku 10/1</v>
      </c>
      <c r="D1478" s="2">
        <f>IFERROR(__xludf.DUMMYFUNCTION("""COMPUTED_VALUE"""),1.0)</f>
        <v>1</v>
      </c>
      <c r="E1478" s="2">
        <f>IFERROR(__xludf.DUMMYFUNCTION("""COMPUTED_VALUE"""),43.0)</f>
        <v>43</v>
      </c>
      <c r="F1478" s="2">
        <f>IFERROR(__xludf.DUMMYFUNCTION("""COMPUTED_VALUE"""),5.0)</f>
        <v>5</v>
      </c>
      <c r="G1478" s="2">
        <f>IFERROR(__xludf.DUMMYFUNCTION("""COMPUTED_VALUE"""),5.0)</f>
        <v>5</v>
      </c>
      <c r="H1478" s="2" t="str">
        <f>IFERROR(__xludf.DUMMYFUNCTION("""COMPUTED_VALUE"""),"Specpr.")</f>
        <v>Specpr.</v>
      </c>
      <c r="I1478" s="2" t="str">
        <f>IFERROR(__xludf.DUMMYFUNCTION("""COMPUTED_VALUE"""),"Panel")</f>
        <v>Panel</v>
      </c>
      <c r="J1478" s="2" t="str">
        <f>IFERROR(__xludf.DUMMYFUNCTION("""COMPUTED_VALUE"""),"All amenities")</f>
        <v>All amenities</v>
      </c>
      <c r="K1478" s="2">
        <f>IFERROR(__xludf.DUMMYFUNCTION("""COMPUTED_VALUE"""),220.0)</f>
        <v>220</v>
      </c>
      <c r="L1478" s="2">
        <f>IFERROR(__xludf.DUMMYFUNCTION("""COMPUTED_VALUE"""),56.944418)</f>
        <v>56.944418</v>
      </c>
      <c r="M1478" s="2">
        <f>IFERROR(__xludf.DUMMYFUNCTION("""COMPUTED_VALUE"""),24.1719745)</f>
        <v>24.1719745</v>
      </c>
    </row>
    <row r="1479">
      <c r="A1479" s="2" t="str">
        <f>IFERROR(__xludf.DUMMYFUNCTION("""COMPUTED_VALUE"""),"For rent")</f>
        <v>For rent</v>
      </c>
      <c r="B1479" s="2" t="str">
        <f>IFERROR(__xludf.DUMMYFUNCTION("""COMPUTED_VALUE"""),"Āgenskalns")</f>
        <v>Āgenskalns</v>
      </c>
      <c r="C1479" s="2" t="str">
        <f>IFERROR(__xludf.DUMMYFUNCTION("""COMPUTED_VALUE"""),"Slokas 1a")</f>
        <v>Slokas 1a</v>
      </c>
      <c r="D1479" s="2">
        <f>IFERROR(__xludf.DUMMYFUNCTION("""COMPUTED_VALUE"""),1.0)</f>
        <v>1</v>
      </c>
      <c r="E1479" s="2">
        <f>IFERROR(__xludf.DUMMYFUNCTION("""COMPUTED_VALUE"""),28.0)</f>
        <v>28</v>
      </c>
      <c r="F1479" s="2">
        <f>IFERROR(__xludf.DUMMYFUNCTION("""COMPUTED_VALUE"""),2.0)</f>
        <v>2</v>
      </c>
      <c r="G1479" s="2">
        <f>IFERROR(__xludf.DUMMYFUNCTION("""COMPUTED_VALUE"""),3.0)</f>
        <v>3</v>
      </c>
      <c r="H1479" s="2" t="str">
        <f>IFERROR(__xludf.DUMMYFUNCTION("""COMPUTED_VALUE"""),"P. kara")</f>
        <v>P. kara</v>
      </c>
      <c r="I1479" s="2" t="str">
        <f>IFERROR(__xludf.DUMMYFUNCTION("""COMPUTED_VALUE"""),"Wood")</f>
        <v>Wood</v>
      </c>
      <c r="J1479" s="2" t="str">
        <f>IFERROR(__xludf.DUMMYFUNCTION("""COMPUTED_VALUE"""),"All amenities")</f>
        <v>All amenities</v>
      </c>
      <c r="K1479" s="2">
        <f>IFERROR(__xludf.DUMMYFUNCTION("""COMPUTED_VALUE"""),215.0)</f>
        <v>215</v>
      </c>
      <c r="L1479" s="2">
        <f>IFERROR(__xludf.DUMMYFUNCTION("""COMPUTED_VALUE"""),56.9421524)</f>
        <v>56.9421524</v>
      </c>
      <c r="M1479" s="2">
        <f>IFERROR(__xludf.DUMMYFUNCTION("""COMPUTED_VALUE"""),24.0805290391566)</f>
        <v>24.08052904</v>
      </c>
    </row>
    <row r="1480">
      <c r="A1480" s="2" t="str">
        <f>IFERROR(__xludf.DUMMYFUNCTION("""COMPUTED_VALUE"""),"For rent")</f>
        <v>For rent</v>
      </c>
      <c r="B1480" s="2" t="str">
        <f>IFERROR(__xludf.DUMMYFUNCTION("""COMPUTED_VALUE"""),"Purvciems")</f>
        <v>Purvciems</v>
      </c>
      <c r="C1480" s="2" t="str">
        <f>IFERROR(__xludf.DUMMYFUNCTION("""COMPUTED_VALUE"""),"Zvaigznāja g. 7")</f>
        <v>Zvaigznāja g. 7</v>
      </c>
      <c r="D1480" s="2">
        <f>IFERROR(__xludf.DUMMYFUNCTION("""COMPUTED_VALUE"""),1.0)</f>
        <v>1</v>
      </c>
      <c r="E1480" s="2">
        <f>IFERROR(__xludf.DUMMYFUNCTION("""COMPUTED_VALUE"""),30.0)</f>
        <v>30</v>
      </c>
      <c r="F1480" s="2">
        <f>IFERROR(__xludf.DUMMYFUNCTION("""COMPUTED_VALUE"""),5.0)</f>
        <v>5</v>
      </c>
      <c r="G1480" s="2">
        <f>IFERROR(__xludf.DUMMYFUNCTION("""COMPUTED_VALUE"""),5.0)</f>
        <v>5</v>
      </c>
      <c r="H1480" s="2" t="str">
        <f>IFERROR(__xludf.DUMMYFUNCTION("""COMPUTED_VALUE"""),"LT proj.")</f>
        <v>LT proj.</v>
      </c>
      <c r="I1480" s="2" t="str">
        <f>IFERROR(__xludf.DUMMYFUNCTION("""COMPUTED_VALUE"""),"Panel")</f>
        <v>Panel</v>
      </c>
      <c r="J1480" s="2" t="str">
        <f>IFERROR(__xludf.DUMMYFUNCTION("""COMPUTED_VALUE"""),"All amenities")</f>
        <v>All amenities</v>
      </c>
      <c r="K1480" s="2">
        <f>IFERROR(__xludf.DUMMYFUNCTION("""COMPUTED_VALUE"""),200.0)</f>
        <v>200</v>
      </c>
      <c r="L1480" s="2">
        <f>IFERROR(__xludf.DUMMYFUNCTION("""COMPUTED_VALUE"""),56.9527936)</f>
        <v>56.9527936</v>
      </c>
      <c r="M1480" s="2">
        <f>IFERROR(__xludf.DUMMYFUNCTION("""COMPUTED_VALUE"""),24.2063812)</f>
        <v>24.2063812</v>
      </c>
    </row>
    <row r="1481">
      <c r="A1481" s="2" t="str">
        <f>IFERROR(__xludf.DUMMYFUNCTION("""COMPUTED_VALUE"""),"For sale")</f>
        <v>For sale</v>
      </c>
      <c r="B1481" s="2" t="str">
        <f>IFERROR(__xludf.DUMMYFUNCTION("""COMPUTED_VALUE"""),"Zolitūde")</f>
        <v>Zolitūde</v>
      </c>
      <c r="C1481" s="2" t="str">
        <f>IFERROR(__xludf.DUMMYFUNCTION("""COMPUTED_VALUE"""),"Bieziņa 10")</f>
        <v>Bieziņa 10</v>
      </c>
      <c r="D1481" s="2">
        <f>IFERROR(__xludf.DUMMYFUNCTION("""COMPUTED_VALUE"""),3.0)</f>
        <v>3</v>
      </c>
      <c r="E1481" s="2">
        <f>IFERROR(__xludf.DUMMYFUNCTION("""COMPUTED_VALUE"""),79.0)</f>
        <v>79</v>
      </c>
      <c r="F1481" s="2">
        <f>IFERROR(__xludf.DUMMYFUNCTION("""COMPUTED_VALUE"""),7.0)</f>
        <v>7</v>
      </c>
      <c r="G1481" s="2">
        <f>IFERROR(__xludf.DUMMYFUNCTION("""COMPUTED_VALUE"""),9.0)</f>
        <v>9</v>
      </c>
      <c r="H1481" s="2">
        <f>IFERROR(__xludf.DUMMYFUNCTION("""COMPUTED_VALUE"""),119.0)</f>
        <v>119</v>
      </c>
      <c r="I1481" s="2" t="str">
        <f>IFERROR(__xludf.DUMMYFUNCTION("""COMPUTED_VALUE"""),"Panel")</f>
        <v>Panel</v>
      </c>
      <c r="J1481" s="2" t="str">
        <f>IFERROR(__xludf.DUMMYFUNCTION("""COMPUTED_VALUE"""),"All amenities")</f>
        <v>All amenities</v>
      </c>
      <c r="K1481" s="2">
        <f>IFERROR(__xludf.DUMMYFUNCTION("""COMPUTED_VALUE"""),67000.0)</f>
        <v>67000</v>
      </c>
      <c r="L1481" s="2">
        <f>IFERROR(__xludf.DUMMYFUNCTION("""COMPUTED_VALUE"""),56.9451934)</f>
        <v>56.9451934</v>
      </c>
      <c r="M1481" s="2">
        <f>IFERROR(__xludf.DUMMYFUNCTION("""COMPUTED_VALUE"""),24.0233205)</f>
        <v>24.0233205</v>
      </c>
    </row>
    <row r="1482">
      <c r="A1482" s="2" t="str">
        <f>IFERROR(__xludf.DUMMYFUNCTION("""COMPUTED_VALUE"""),"For sale")</f>
        <v>For sale</v>
      </c>
      <c r="B1482" s="2" t="str">
        <f>IFERROR(__xludf.DUMMYFUNCTION("""COMPUTED_VALUE"""),"Torņakalns")</f>
        <v>Torņakalns</v>
      </c>
      <c r="C1482" s="2" t="str">
        <f>IFERROR(__xludf.DUMMYFUNCTION("""COMPUTED_VALUE"""),"Atgāzenes 12")</f>
        <v>Atgāzenes 12</v>
      </c>
      <c r="D1482" s="2">
        <f>IFERROR(__xludf.DUMMYFUNCTION("""COMPUTED_VALUE"""),2.0)</f>
        <v>2</v>
      </c>
      <c r="E1482" s="2">
        <f>IFERROR(__xludf.DUMMYFUNCTION("""COMPUTED_VALUE"""),69.0)</f>
        <v>69</v>
      </c>
      <c r="F1482" s="2">
        <f>IFERROR(__xludf.DUMMYFUNCTION("""COMPUTED_VALUE"""),1.0)</f>
        <v>1</v>
      </c>
      <c r="G1482" s="2">
        <f>IFERROR(__xludf.DUMMYFUNCTION("""COMPUTED_VALUE"""),3.0)</f>
        <v>3</v>
      </c>
      <c r="H1482" s="2" t="str">
        <f>IFERROR(__xludf.DUMMYFUNCTION("""COMPUTED_VALUE"""),"Jaun.")</f>
        <v>Jaun.</v>
      </c>
      <c r="I1482" s="2" t="str">
        <f>IFERROR(__xludf.DUMMYFUNCTION("""COMPUTED_VALUE"""),"Masonry")</f>
        <v>Masonry</v>
      </c>
      <c r="J1482" s="2" t="str">
        <f>IFERROR(__xludf.DUMMYFUNCTION("""COMPUTED_VALUE"""),"All amenities")</f>
        <v>All amenities</v>
      </c>
      <c r="K1482" s="2">
        <f>IFERROR(__xludf.DUMMYFUNCTION("""COMPUTED_VALUE"""),83000.0)</f>
        <v>83000</v>
      </c>
      <c r="L1482" s="2">
        <f>IFERROR(__xludf.DUMMYFUNCTION("""COMPUTED_VALUE"""),56.91549245)</f>
        <v>56.91549245</v>
      </c>
      <c r="M1482" s="2">
        <f>IFERROR(__xludf.DUMMYFUNCTION("""COMPUTED_VALUE"""),24.0851105570122)</f>
        <v>24.08511056</v>
      </c>
    </row>
    <row r="1483">
      <c r="A1483" s="2" t="str">
        <f>IFERROR(__xludf.DUMMYFUNCTION("""COMPUTED_VALUE"""),"For sale")</f>
        <v>For sale</v>
      </c>
      <c r="B1483" s="2" t="str">
        <f>IFERROR(__xludf.DUMMYFUNCTION("""COMPUTED_VALUE"""),"Dzegužkalns")</f>
        <v>Dzegužkalns</v>
      </c>
      <c r="C1483" s="2" t="str">
        <f>IFERROR(__xludf.DUMMYFUNCTION("""COMPUTED_VALUE"""),"Tapešu 44")</f>
        <v>Tapešu 44</v>
      </c>
      <c r="D1483" s="2">
        <f>IFERROR(__xludf.DUMMYFUNCTION("""COMPUTED_VALUE"""),3.0)</f>
        <v>3</v>
      </c>
      <c r="E1483" s="2">
        <f>IFERROR(__xludf.DUMMYFUNCTION("""COMPUTED_VALUE"""),60.0)</f>
        <v>60</v>
      </c>
      <c r="F1483" s="2">
        <f>IFERROR(__xludf.DUMMYFUNCTION("""COMPUTED_VALUE"""),2.0)</f>
        <v>2</v>
      </c>
      <c r="G1483" s="2">
        <f>IFERROR(__xludf.DUMMYFUNCTION("""COMPUTED_VALUE"""),5.0)</f>
        <v>5</v>
      </c>
      <c r="H1483" s="2" t="str">
        <f>IFERROR(__xludf.DUMMYFUNCTION("""COMPUTED_VALUE"""),"LT proj.")</f>
        <v>LT proj.</v>
      </c>
      <c r="I1483" s="2" t="str">
        <f>IFERROR(__xludf.DUMMYFUNCTION("""COMPUTED_VALUE"""),"Panel")</f>
        <v>Panel</v>
      </c>
      <c r="J1483" s="2" t="str">
        <f>IFERROR(__xludf.DUMMYFUNCTION("""COMPUTED_VALUE"""),"All amenities")</f>
        <v>All amenities</v>
      </c>
      <c r="K1483" s="2">
        <f>IFERROR(__xludf.DUMMYFUNCTION("""COMPUTED_VALUE"""),50000.0)</f>
        <v>50000</v>
      </c>
      <c r="L1483" s="2">
        <f>IFERROR(__xludf.DUMMYFUNCTION("""COMPUTED_VALUE"""),56.955916)</f>
        <v>56.955916</v>
      </c>
      <c r="M1483" s="2">
        <f>IFERROR(__xludf.DUMMYFUNCTION("""COMPUTED_VALUE"""),24.0464013183229)</f>
        <v>24.04640132</v>
      </c>
    </row>
    <row r="1484">
      <c r="A1484" s="2" t="str">
        <f>IFERROR(__xludf.DUMMYFUNCTION("""COMPUTED_VALUE"""),"For rent")</f>
        <v>For rent</v>
      </c>
      <c r="B1484" s="2" t="str">
        <f>IFERROR(__xludf.DUMMYFUNCTION("""COMPUTED_VALUE"""),"Vecmīlgrāvis")</f>
        <v>Vecmīlgrāvis</v>
      </c>
      <c r="C1484" s="2" t="str">
        <f>IFERROR(__xludf.DUMMYFUNCTION("""COMPUTED_VALUE"""),"Gāles 17")</f>
        <v>Gāles 17</v>
      </c>
      <c r="D1484" s="2">
        <f>IFERROR(__xludf.DUMMYFUNCTION("""COMPUTED_VALUE"""),1.0)</f>
        <v>1</v>
      </c>
      <c r="E1484" s="2">
        <f>IFERROR(__xludf.DUMMYFUNCTION("""COMPUTED_VALUE"""),20.0)</f>
        <v>20</v>
      </c>
      <c r="F1484" s="2">
        <f>IFERROR(__xludf.DUMMYFUNCTION("""COMPUTED_VALUE"""),2.0)</f>
        <v>2</v>
      </c>
      <c r="G1484" s="2">
        <f>IFERROR(__xludf.DUMMYFUNCTION("""COMPUTED_VALUE"""),5.0)</f>
        <v>5</v>
      </c>
      <c r="H1484" s="2" t="str">
        <f>IFERROR(__xludf.DUMMYFUNCTION("""COMPUTED_VALUE"""),"Specpr.")</f>
        <v>Specpr.</v>
      </c>
      <c r="I1484" s="2" t="str">
        <f>IFERROR(__xludf.DUMMYFUNCTION("""COMPUTED_VALUE"""),"Brick-Panel")</f>
        <v>Brick-Panel</v>
      </c>
      <c r="J1484" s="2" t="str">
        <f>IFERROR(__xludf.DUMMYFUNCTION("""COMPUTED_VALUE"""),"All amenities")</f>
        <v>All amenities</v>
      </c>
      <c r="K1484" s="2">
        <f>IFERROR(__xludf.DUMMYFUNCTION("""COMPUTED_VALUE"""),170.0)</f>
        <v>170</v>
      </c>
      <c r="L1484" s="2">
        <f>IFERROR(__xludf.DUMMYFUNCTION("""COMPUTED_VALUE"""),57.0327263)</f>
        <v>57.0327263</v>
      </c>
      <c r="M1484" s="2">
        <f>IFERROR(__xludf.DUMMYFUNCTION("""COMPUTED_VALUE"""),24.1182900317385)</f>
        <v>24.11829003</v>
      </c>
    </row>
    <row r="1485">
      <c r="A1485" s="2" t="str">
        <f>IFERROR(__xludf.DUMMYFUNCTION("""COMPUTED_VALUE"""),"For sale")</f>
        <v>For sale</v>
      </c>
      <c r="B1485" s="2" t="str">
        <f>IFERROR(__xludf.DUMMYFUNCTION("""COMPUTED_VALUE"""),"Imanta")</f>
        <v>Imanta</v>
      </c>
      <c r="C1485" s="2" t="str">
        <f>IFERROR(__xludf.DUMMYFUNCTION("""COMPUTED_VALUE"""),"Kurzemes pr. 88")</f>
        <v>Kurzemes pr. 88</v>
      </c>
      <c r="D1485" s="2">
        <f>IFERROR(__xludf.DUMMYFUNCTION("""COMPUTED_VALUE"""),1.0)</f>
        <v>1</v>
      </c>
      <c r="E1485" s="2">
        <f>IFERROR(__xludf.DUMMYFUNCTION("""COMPUTED_VALUE"""),28.0)</f>
        <v>28</v>
      </c>
      <c r="F1485" s="2">
        <f>IFERROR(__xludf.DUMMYFUNCTION("""COMPUTED_VALUE"""),5.0)</f>
        <v>5</v>
      </c>
      <c r="G1485" s="2">
        <f>IFERROR(__xludf.DUMMYFUNCTION("""COMPUTED_VALUE"""),5.0)</f>
        <v>5</v>
      </c>
      <c r="H1485" s="2" t="str">
        <f>IFERROR(__xludf.DUMMYFUNCTION("""COMPUTED_VALUE"""),"LT proj.")</f>
        <v>LT proj.</v>
      </c>
      <c r="I1485" s="2" t="str">
        <f>IFERROR(__xludf.DUMMYFUNCTION("""COMPUTED_VALUE"""),"Panel")</f>
        <v>Panel</v>
      </c>
      <c r="J1485" s="2" t="str">
        <f>IFERROR(__xludf.DUMMYFUNCTION("""COMPUTED_VALUE"""),"All amenities")</f>
        <v>All amenities</v>
      </c>
      <c r="K1485" s="2">
        <f>IFERROR(__xludf.DUMMYFUNCTION("""COMPUTED_VALUE"""),27300.0)</f>
        <v>27300</v>
      </c>
      <c r="L1485" s="2" t="str">
        <f>IFERROR(__xludf.DUMMYFUNCTION("""COMPUTED_VALUE"""),"NaN")</f>
        <v>NaN</v>
      </c>
      <c r="M1485" s="2" t="str">
        <f>IFERROR(__xludf.DUMMYFUNCTION("""COMPUTED_VALUE"""),"NaN")</f>
        <v>NaN</v>
      </c>
    </row>
    <row r="1486">
      <c r="A1486" s="2" t="str">
        <f>IFERROR(__xludf.DUMMYFUNCTION("""COMPUTED_VALUE"""),"For sale")</f>
        <v>For sale</v>
      </c>
      <c r="B1486" s="2" t="str">
        <f>IFERROR(__xludf.DUMMYFUNCTION("""COMPUTED_VALUE"""),"Iļģuciems")</f>
        <v>Iļģuciems</v>
      </c>
      <c r="C1486" s="2" t="str">
        <f>IFERROR(__xludf.DUMMYFUNCTION("""COMPUTED_VALUE"""),"Reņģes 5")</f>
        <v>Reņģes 5</v>
      </c>
      <c r="D1486" s="2">
        <f>IFERROR(__xludf.DUMMYFUNCTION("""COMPUTED_VALUE"""),2.0)</f>
        <v>2</v>
      </c>
      <c r="E1486" s="2">
        <f>IFERROR(__xludf.DUMMYFUNCTION("""COMPUTED_VALUE"""),50.0)</f>
        <v>50</v>
      </c>
      <c r="F1486" s="2">
        <f>IFERROR(__xludf.DUMMYFUNCTION("""COMPUTED_VALUE"""),2.0)</f>
        <v>2</v>
      </c>
      <c r="G1486" s="2">
        <f>IFERROR(__xludf.DUMMYFUNCTION("""COMPUTED_VALUE"""),3.0)</f>
        <v>3</v>
      </c>
      <c r="H1486" s="2" t="str">
        <f>IFERROR(__xludf.DUMMYFUNCTION("""COMPUTED_VALUE"""),"Staļina")</f>
        <v>Staļina</v>
      </c>
      <c r="I1486" s="2" t="str">
        <f>IFERROR(__xludf.DUMMYFUNCTION("""COMPUTED_VALUE"""),"Brick-Panel")</f>
        <v>Brick-Panel</v>
      </c>
      <c r="J1486" s="2" t="str">
        <f>IFERROR(__xludf.DUMMYFUNCTION("""COMPUTED_VALUE"""),"All amenities")</f>
        <v>All amenities</v>
      </c>
      <c r="K1486" s="2">
        <f>IFERROR(__xludf.DUMMYFUNCTION("""COMPUTED_VALUE"""),42000.0)</f>
        <v>42000</v>
      </c>
      <c r="L1486" s="2">
        <f>IFERROR(__xludf.DUMMYFUNCTION("""COMPUTED_VALUE"""),56.9661155999999)</f>
        <v>56.9661156</v>
      </c>
      <c r="M1486" s="2">
        <f>IFERROR(__xludf.DUMMYFUNCTION("""COMPUTED_VALUE"""),24.0633048760373)</f>
        <v>24.06330488</v>
      </c>
    </row>
    <row r="1487">
      <c r="A1487" s="2" t="str">
        <f>IFERROR(__xludf.DUMMYFUNCTION("""COMPUTED_VALUE"""),"For rent")</f>
        <v>For rent</v>
      </c>
      <c r="B1487" s="2" t="str">
        <f>IFERROR(__xludf.DUMMYFUNCTION("""COMPUTED_VALUE"""),"centrs")</f>
        <v>centrs</v>
      </c>
      <c r="C1487" s="2" t="str">
        <f>IFERROR(__xludf.DUMMYFUNCTION("""COMPUTED_VALUE"""),"Pulkv. Brieža 7")</f>
        <v>Pulkv. Brieža 7</v>
      </c>
      <c r="D1487" s="2">
        <f>IFERROR(__xludf.DUMMYFUNCTION("""COMPUTED_VALUE"""),3.0)</f>
        <v>3</v>
      </c>
      <c r="E1487" s="2">
        <f>IFERROR(__xludf.DUMMYFUNCTION("""COMPUTED_VALUE"""),87.0)</f>
        <v>87</v>
      </c>
      <c r="F1487" s="2">
        <f>IFERROR(__xludf.DUMMYFUNCTION("""COMPUTED_VALUE"""),3.0)</f>
        <v>3</v>
      </c>
      <c r="G1487" s="2">
        <f>IFERROR(__xludf.DUMMYFUNCTION("""COMPUTED_VALUE"""),6.0)</f>
        <v>6</v>
      </c>
      <c r="H1487" s="2" t="str">
        <f>IFERROR(__xludf.DUMMYFUNCTION("""COMPUTED_VALUE"""),"P. kara")</f>
        <v>P. kara</v>
      </c>
      <c r="I1487" s="2" t="str">
        <f>IFERROR(__xludf.DUMMYFUNCTION("""COMPUTED_VALUE"""),"Brick")</f>
        <v>Brick</v>
      </c>
      <c r="J1487" s="2" t="str">
        <f>IFERROR(__xludf.DUMMYFUNCTION("""COMPUTED_VALUE"""),"All amenities")</f>
        <v>All amenities</v>
      </c>
      <c r="K1487" s="2">
        <f>IFERROR(__xludf.DUMMYFUNCTION("""COMPUTED_VALUE"""),900.0)</f>
        <v>900</v>
      </c>
      <c r="L1487" s="2" t="str">
        <f>IFERROR(__xludf.DUMMYFUNCTION("""COMPUTED_VALUE"""),"NaN")</f>
        <v>NaN</v>
      </c>
      <c r="M1487" s="2" t="str">
        <f>IFERROR(__xludf.DUMMYFUNCTION("""COMPUTED_VALUE"""),"NaN")</f>
        <v>NaN</v>
      </c>
    </row>
    <row r="1488">
      <c r="A1488" s="2" t="str">
        <f>IFERROR(__xludf.DUMMYFUNCTION("""COMPUTED_VALUE"""),"For sale")</f>
        <v>For sale</v>
      </c>
      <c r="B1488" s="2" t="str">
        <f>IFERROR(__xludf.DUMMYFUNCTION("""COMPUTED_VALUE"""),"Purvciems")</f>
        <v>Purvciems</v>
      </c>
      <c r="C1488" s="2" t="str">
        <f>IFERROR(__xludf.DUMMYFUNCTION("""COMPUTED_VALUE"""),"Braslas 53")</f>
        <v>Braslas 53</v>
      </c>
      <c r="D1488" s="2">
        <f>IFERROR(__xludf.DUMMYFUNCTION("""COMPUTED_VALUE"""),3.0)</f>
        <v>3</v>
      </c>
      <c r="E1488" s="2">
        <f>IFERROR(__xludf.DUMMYFUNCTION("""COMPUTED_VALUE"""),83.0)</f>
        <v>83</v>
      </c>
      <c r="F1488" s="2">
        <f>IFERROR(__xludf.DUMMYFUNCTION("""COMPUTED_VALUE"""),1.0)</f>
        <v>1</v>
      </c>
      <c r="G1488" s="2">
        <f>IFERROR(__xludf.DUMMYFUNCTION("""COMPUTED_VALUE"""),6.0)</f>
        <v>6</v>
      </c>
      <c r="H1488" s="2" t="str">
        <f>IFERROR(__xludf.DUMMYFUNCTION("""COMPUTED_VALUE"""),"Jaun.")</f>
        <v>Jaun.</v>
      </c>
      <c r="I1488" s="2" t="str">
        <f>IFERROR(__xludf.DUMMYFUNCTION("""COMPUTED_VALUE"""),"Brick")</f>
        <v>Brick</v>
      </c>
      <c r="J1488" s="2" t="str">
        <f>IFERROR(__xludf.DUMMYFUNCTION("""COMPUTED_VALUE"""),"All amenities")</f>
        <v>All amenities</v>
      </c>
      <c r="K1488" s="2">
        <f>IFERROR(__xludf.DUMMYFUNCTION("""COMPUTED_VALUE"""),99000.0)</f>
        <v>99000</v>
      </c>
      <c r="L1488" s="2">
        <f>IFERROR(__xludf.DUMMYFUNCTION("""COMPUTED_VALUE"""),56.9574717999999)</f>
        <v>56.9574718</v>
      </c>
      <c r="M1488" s="2">
        <f>IFERROR(__xludf.DUMMYFUNCTION("""COMPUTED_VALUE"""),24.1669890886796)</f>
        <v>24.16698909</v>
      </c>
    </row>
    <row r="1489">
      <c r="A1489" s="2" t="str">
        <f>IFERROR(__xludf.DUMMYFUNCTION("""COMPUTED_VALUE"""),"For sale")</f>
        <v>For sale</v>
      </c>
      <c r="B1489" s="2" t="str">
        <f>IFERROR(__xludf.DUMMYFUNCTION("""COMPUTED_VALUE"""),"Āgenskalns")</f>
        <v>Āgenskalns</v>
      </c>
      <c r="C1489" s="2" t="str">
        <f>IFERROR(__xludf.DUMMYFUNCTION("""COMPUTED_VALUE"""),"Slokas 13")</f>
        <v>Slokas 13</v>
      </c>
      <c r="D1489" s="2">
        <f>IFERROR(__xludf.DUMMYFUNCTION("""COMPUTED_VALUE"""),4.0)</f>
        <v>4</v>
      </c>
      <c r="E1489" s="2">
        <f>IFERROR(__xludf.DUMMYFUNCTION("""COMPUTED_VALUE"""),88.1)</f>
        <v>88.1</v>
      </c>
      <c r="F1489" s="2">
        <f>IFERROR(__xludf.DUMMYFUNCTION("""COMPUTED_VALUE"""),2.0)</f>
        <v>2</v>
      </c>
      <c r="G1489" s="2">
        <f>IFERROR(__xludf.DUMMYFUNCTION("""COMPUTED_VALUE"""),4.0)</f>
        <v>4</v>
      </c>
      <c r="H1489" s="2" t="str">
        <f>IFERROR(__xludf.DUMMYFUNCTION("""COMPUTED_VALUE"""),"Staļina")</f>
        <v>Staļina</v>
      </c>
      <c r="I1489" s="2" t="str">
        <f>IFERROR(__xludf.DUMMYFUNCTION("""COMPUTED_VALUE"""),"Masonry")</f>
        <v>Masonry</v>
      </c>
      <c r="J1489" s="2" t="str">
        <f>IFERROR(__xludf.DUMMYFUNCTION("""COMPUTED_VALUE"""),"All amenities")</f>
        <v>All amenities</v>
      </c>
      <c r="K1489" s="2">
        <f>IFERROR(__xludf.DUMMYFUNCTION("""COMPUTED_VALUE"""),107500.0)</f>
        <v>107500</v>
      </c>
      <c r="L1489" s="2">
        <f>IFERROR(__xludf.DUMMYFUNCTION("""COMPUTED_VALUE"""),56.94462275)</f>
        <v>56.94462275</v>
      </c>
      <c r="M1489" s="2">
        <f>IFERROR(__xludf.DUMMYFUNCTION("""COMPUTED_VALUE"""),24.0750961479727)</f>
        <v>24.07509615</v>
      </c>
    </row>
    <row r="1490">
      <c r="A1490" s="2" t="str">
        <f>IFERROR(__xludf.DUMMYFUNCTION("""COMPUTED_VALUE"""),"For sale")</f>
        <v>For sale</v>
      </c>
      <c r="B1490" s="2" t="str">
        <f>IFERROR(__xludf.DUMMYFUNCTION("""COMPUTED_VALUE"""),"centrs")</f>
        <v>centrs</v>
      </c>
      <c r="C1490" s="2" t="str">
        <f>IFERROR(__xludf.DUMMYFUNCTION("""COMPUTED_VALUE"""),"Republikas laukums 3")</f>
        <v>Republikas laukums 3</v>
      </c>
      <c r="D1490" s="2">
        <f>IFERROR(__xludf.DUMMYFUNCTION("""COMPUTED_VALUE"""),3.0)</f>
        <v>3</v>
      </c>
      <c r="E1490" s="2">
        <f>IFERROR(__xludf.DUMMYFUNCTION("""COMPUTED_VALUE"""),107.0)</f>
        <v>107</v>
      </c>
      <c r="F1490" s="2">
        <f>IFERROR(__xludf.DUMMYFUNCTION("""COMPUTED_VALUE"""),5.0)</f>
        <v>5</v>
      </c>
      <c r="G1490" s="2">
        <f>IFERROR(__xludf.DUMMYFUNCTION("""COMPUTED_VALUE"""),6.0)</f>
        <v>6</v>
      </c>
      <c r="H1490" s="2" t="str">
        <f>IFERROR(__xludf.DUMMYFUNCTION("""COMPUTED_VALUE"""),"Jaun.")</f>
        <v>Jaun.</v>
      </c>
      <c r="I1490" s="2" t="str">
        <f>IFERROR(__xludf.DUMMYFUNCTION("""COMPUTED_VALUE"""),"Masonry")</f>
        <v>Masonry</v>
      </c>
      <c r="J1490" s="2" t="str">
        <f>IFERROR(__xludf.DUMMYFUNCTION("""COMPUTED_VALUE"""),"All amenities")</f>
        <v>All amenities</v>
      </c>
      <c r="K1490" s="2">
        <f>IFERROR(__xludf.DUMMYFUNCTION("""COMPUTED_VALUE"""),365000.0)</f>
        <v>365000</v>
      </c>
      <c r="L1490" s="2">
        <f>IFERROR(__xludf.DUMMYFUNCTION("""COMPUTED_VALUE"""),56.9552522)</f>
        <v>56.9552522</v>
      </c>
      <c r="M1490" s="2">
        <f>IFERROR(__xludf.DUMMYFUNCTION("""COMPUTED_VALUE"""),24.0999991251943)</f>
        <v>24.09999913</v>
      </c>
    </row>
    <row r="1491">
      <c r="A1491" s="2" t="str">
        <f>IFERROR(__xludf.DUMMYFUNCTION("""COMPUTED_VALUE"""),"For sale")</f>
        <v>For sale</v>
      </c>
      <c r="B1491" s="2" t="str">
        <f>IFERROR(__xludf.DUMMYFUNCTION("""COMPUTED_VALUE"""),"centrs")</f>
        <v>centrs</v>
      </c>
      <c r="C1491" s="2" t="str">
        <f>IFERROR(__xludf.DUMMYFUNCTION("""COMPUTED_VALUE"""),"Ģertrūdes 16")</f>
        <v>Ģertrūdes 16</v>
      </c>
      <c r="D1491" s="2">
        <f>IFERROR(__xludf.DUMMYFUNCTION("""COMPUTED_VALUE"""),3.0)</f>
        <v>3</v>
      </c>
      <c r="E1491" s="2">
        <f>IFERROR(__xludf.DUMMYFUNCTION("""COMPUTED_VALUE"""),64.0)</f>
        <v>64</v>
      </c>
      <c r="F1491" s="2">
        <f>IFERROR(__xludf.DUMMYFUNCTION("""COMPUTED_VALUE"""),4.0)</f>
        <v>4</v>
      </c>
      <c r="G1491" s="2">
        <f>IFERROR(__xludf.DUMMYFUNCTION("""COMPUTED_VALUE"""),6.0)</f>
        <v>6</v>
      </c>
      <c r="H1491" s="2" t="str">
        <f>IFERROR(__xludf.DUMMYFUNCTION("""COMPUTED_VALUE"""),"P. kara")</f>
        <v>P. kara</v>
      </c>
      <c r="I1491" s="2" t="str">
        <f>IFERROR(__xludf.DUMMYFUNCTION("""COMPUTED_VALUE"""),"Masonry")</f>
        <v>Masonry</v>
      </c>
      <c r="J1491" s="2" t="str">
        <f>IFERROR(__xludf.DUMMYFUNCTION("""COMPUTED_VALUE"""),"All amenities")</f>
        <v>All amenities</v>
      </c>
      <c r="K1491" s="2">
        <f>IFERROR(__xludf.DUMMYFUNCTION("""COMPUTED_VALUE"""),164000.0)</f>
        <v>164000</v>
      </c>
      <c r="L1491" s="2">
        <f>IFERROR(__xludf.DUMMYFUNCTION("""COMPUTED_VALUE"""),56.9566594)</f>
        <v>56.9566594</v>
      </c>
      <c r="M1491" s="2">
        <f>IFERROR(__xludf.DUMMYFUNCTION("""COMPUTED_VALUE"""),24.1237638)</f>
        <v>24.1237638</v>
      </c>
    </row>
    <row r="1492">
      <c r="A1492" s="2" t="str">
        <f>IFERROR(__xludf.DUMMYFUNCTION("""COMPUTED_VALUE"""),"For rent")</f>
        <v>For rent</v>
      </c>
      <c r="B1492" s="2" t="str">
        <f>IFERROR(__xludf.DUMMYFUNCTION("""COMPUTED_VALUE"""),"Teika")</f>
        <v>Teika</v>
      </c>
      <c r="C1492" s="2" t="str">
        <f>IFERROR(__xludf.DUMMYFUNCTION("""COMPUTED_VALUE"""),"Brīvības gatve 300")</f>
        <v>Brīvības gatve 300</v>
      </c>
      <c r="D1492" s="2">
        <f>IFERROR(__xludf.DUMMYFUNCTION("""COMPUTED_VALUE"""),2.0)</f>
        <v>2</v>
      </c>
      <c r="E1492" s="2">
        <f>IFERROR(__xludf.DUMMYFUNCTION("""COMPUTED_VALUE"""),50.0)</f>
        <v>50</v>
      </c>
      <c r="F1492" s="2">
        <f>IFERROR(__xludf.DUMMYFUNCTION("""COMPUTED_VALUE"""),3.0)</f>
        <v>3</v>
      </c>
      <c r="G1492" s="2">
        <f>IFERROR(__xludf.DUMMYFUNCTION("""COMPUTED_VALUE"""),3.0)</f>
        <v>3</v>
      </c>
      <c r="H1492" s="2" t="str">
        <f>IFERROR(__xludf.DUMMYFUNCTION("""COMPUTED_VALUE"""),"Renov.")</f>
        <v>Renov.</v>
      </c>
      <c r="I1492" s="2" t="str">
        <f>IFERROR(__xludf.DUMMYFUNCTION("""COMPUTED_VALUE"""),"Brick")</f>
        <v>Brick</v>
      </c>
      <c r="J1492" s="2" t="str">
        <f>IFERROR(__xludf.DUMMYFUNCTION("""COMPUTED_VALUE"""),"All amenities")</f>
        <v>All amenities</v>
      </c>
      <c r="K1492" s="2">
        <f>IFERROR(__xludf.DUMMYFUNCTION("""COMPUTED_VALUE"""),520.0)</f>
        <v>520</v>
      </c>
      <c r="L1492" s="2">
        <f>IFERROR(__xludf.DUMMYFUNCTION("""COMPUTED_VALUE"""),56.9779316)</f>
        <v>56.9779316</v>
      </c>
      <c r="M1492" s="2">
        <f>IFERROR(__xludf.DUMMYFUNCTION("""COMPUTED_VALUE"""),24.1829942509156)</f>
        <v>24.18299425</v>
      </c>
    </row>
    <row r="1493">
      <c r="A1493" s="2" t="str">
        <f>IFERROR(__xludf.DUMMYFUNCTION("""COMPUTED_VALUE"""),"For sale")</f>
        <v>For sale</v>
      </c>
      <c r="B1493" s="2" t="str">
        <f>IFERROR(__xludf.DUMMYFUNCTION("""COMPUTED_VALUE"""),"centrs")</f>
        <v>centrs</v>
      </c>
      <c r="C1493" s="2" t="str">
        <f>IFERROR(__xludf.DUMMYFUNCTION("""COMPUTED_VALUE"""),"Ģertrūdes 16")</f>
        <v>Ģertrūdes 16</v>
      </c>
      <c r="D1493" s="2">
        <f>IFERROR(__xludf.DUMMYFUNCTION("""COMPUTED_VALUE"""),3.0)</f>
        <v>3</v>
      </c>
      <c r="E1493" s="2">
        <f>IFERROR(__xludf.DUMMYFUNCTION("""COMPUTED_VALUE"""),60.0)</f>
        <v>60</v>
      </c>
      <c r="F1493" s="2">
        <f>IFERROR(__xludf.DUMMYFUNCTION("""COMPUTED_VALUE"""),4.0)</f>
        <v>4</v>
      </c>
      <c r="G1493" s="2">
        <f>IFERROR(__xludf.DUMMYFUNCTION("""COMPUTED_VALUE"""),5.0)</f>
        <v>5</v>
      </c>
      <c r="H1493" s="2" t="str">
        <f>IFERROR(__xludf.DUMMYFUNCTION("""COMPUTED_VALUE"""),"P. kara")</f>
        <v>P. kara</v>
      </c>
      <c r="I1493" s="2" t="str">
        <f>IFERROR(__xludf.DUMMYFUNCTION("""COMPUTED_VALUE"""),"Masonry")</f>
        <v>Masonry</v>
      </c>
      <c r="J1493" s="2" t="str">
        <f>IFERROR(__xludf.DUMMYFUNCTION("""COMPUTED_VALUE"""),"All amenities")</f>
        <v>All amenities</v>
      </c>
      <c r="K1493" s="2">
        <f>IFERROR(__xludf.DUMMYFUNCTION("""COMPUTED_VALUE"""),151000.0)</f>
        <v>151000</v>
      </c>
      <c r="L1493" s="2">
        <f>IFERROR(__xludf.DUMMYFUNCTION("""COMPUTED_VALUE"""),56.9566594)</f>
        <v>56.9566594</v>
      </c>
      <c r="M1493" s="2">
        <f>IFERROR(__xludf.DUMMYFUNCTION("""COMPUTED_VALUE"""),24.1237638)</f>
        <v>24.1237638</v>
      </c>
    </row>
    <row r="1494">
      <c r="A1494" s="2" t="str">
        <f>IFERROR(__xludf.DUMMYFUNCTION("""COMPUTED_VALUE"""),"For rent")</f>
        <v>For rent</v>
      </c>
      <c r="B1494" s="2" t="str">
        <f>IFERROR(__xludf.DUMMYFUNCTION("""COMPUTED_VALUE"""),"centrs")</f>
        <v>centrs</v>
      </c>
      <c r="C1494" s="2" t="str">
        <f>IFERROR(__xludf.DUMMYFUNCTION("""COMPUTED_VALUE"""),"Visvalža 3a")</f>
        <v>Visvalža 3a</v>
      </c>
      <c r="D1494" s="2">
        <f>IFERROR(__xludf.DUMMYFUNCTION("""COMPUTED_VALUE"""),2.0)</f>
        <v>2</v>
      </c>
      <c r="E1494" s="2">
        <f>IFERROR(__xludf.DUMMYFUNCTION("""COMPUTED_VALUE"""),53.0)</f>
        <v>53</v>
      </c>
      <c r="F1494" s="2">
        <f>IFERROR(__xludf.DUMMYFUNCTION("""COMPUTED_VALUE"""),2.0)</f>
        <v>2</v>
      </c>
      <c r="G1494" s="2">
        <f>IFERROR(__xludf.DUMMYFUNCTION("""COMPUTED_VALUE"""),5.0)</f>
        <v>5</v>
      </c>
      <c r="H1494" s="2" t="str">
        <f>IFERROR(__xludf.DUMMYFUNCTION("""COMPUTED_VALUE"""),"P. kara")</f>
        <v>P. kara</v>
      </c>
      <c r="I1494" s="2" t="str">
        <f>IFERROR(__xludf.DUMMYFUNCTION("""COMPUTED_VALUE"""),"Masonry")</f>
        <v>Masonry</v>
      </c>
      <c r="J1494" s="2" t="str">
        <f>IFERROR(__xludf.DUMMYFUNCTION("""COMPUTED_VALUE"""),"All amenities")</f>
        <v>All amenities</v>
      </c>
      <c r="K1494" s="2">
        <f>IFERROR(__xludf.DUMMYFUNCTION("""COMPUTED_VALUE"""),380.0)</f>
        <v>380</v>
      </c>
      <c r="L1494" s="2">
        <f>IFERROR(__xludf.DUMMYFUNCTION("""COMPUTED_VALUE"""),56.9491043)</f>
        <v>56.9491043</v>
      </c>
      <c r="M1494" s="2">
        <f>IFERROR(__xludf.DUMMYFUNCTION("""COMPUTED_VALUE"""),24.1287796)</f>
        <v>24.1287796</v>
      </c>
    </row>
    <row r="1495">
      <c r="A1495" s="2" t="str">
        <f>IFERROR(__xludf.DUMMYFUNCTION("""COMPUTED_VALUE"""),"For sale")</f>
        <v>For sale</v>
      </c>
      <c r="B1495" s="2" t="str">
        <f>IFERROR(__xludf.DUMMYFUNCTION("""COMPUTED_VALUE"""),"centrs")</f>
        <v>centrs</v>
      </c>
      <c r="C1495" s="2" t="str">
        <f>IFERROR(__xludf.DUMMYFUNCTION("""COMPUTED_VALUE"""),"Bruņinieku 28")</f>
        <v>Bruņinieku 28</v>
      </c>
      <c r="D1495" s="2">
        <f>IFERROR(__xludf.DUMMYFUNCTION("""COMPUTED_VALUE"""),4.0)</f>
        <v>4</v>
      </c>
      <c r="E1495" s="2">
        <f>IFERROR(__xludf.DUMMYFUNCTION("""COMPUTED_VALUE"""),130.0)</f>
        <v>130</v>
      </c>
      <c r="F1495" s="2">
        <f>IFERROR(__xludf.DUMMYFUNCTION("""COMPUTED_VALUE"""),1.0)</f>
        <v>1</v>
      </c>
      <c r="G1495" s="2">
        <f>IFERROR(__xludf.DUMMYFUNCTION("""COMPUTED_VALUE"""),6.0)</f>
        <v>6</v>
      </c>
      <c r="H1495" s="2" t="str">
        <f>IFERROR(__xludf.DUMMYFUNCTION("""COMPUTED_VALUE"""),"P. kara")</f>
        <v>P. kara</v>
      </c>
      <c r="I1495" s="2" t="str">
        <f>IFERROR(__xludf.DUMMYFUNCTION("""COMPUTED_VALUE"""),"Masonry")</f>
        <v>Masonry</v>
      </c>
      <c r="J1495" s="2" t="str">
        <f>IFERROR(__xludf.DUMMYFUNCTION("""COMPUTED_VALUE"""),"All amenities")</f>
        <v>All amenities</v>
      </c>
      <c r="K1495" s="2">
        <f>IFERROR(__xludf.DUMMYFUNCTION("""COMPUTED_VALUE"""),110500.0)</f>
        <v>110500</v>
      </c>
      <c r="L1495" s="2">
        <f>IFERROR(__xludf.DUMMYFUNCTION("""COMPUTED_VALUE"""),56.95567115)</f>
        <v>56.95567115</v>
      </c>
      <c r="M1495" s="2">
        <f>IFERROR(__xludf.DUMMYFUNCTION("""COMPUTED_VALUE"""),24.1314109608833)</f>
        <v>24.13141096</v>
      </c>
    </row>
    <row r="1496">
      <c r="A1496" s="2" t="str">
        <f>IFERROR(__xludf.DUMMYFUNCTION("""COMPUTED_VALUE"""),"For sale")</f>
        <v>For sale</v>
      </c>
      <c r="B1496" s="2" t="str">
        <f>IFERROR(__xludf.DUMMYFUNCTION("""COMPUTED_VALUE"""),"Imanta")</f>
        <v>Imanta</v>
      </c>
      <c r="C1496" s="2" t="str">
        <f>IFERROR(__xludf.DUMMYFUNCTION("""COMPUTED_VALUE"""),"Slokas 130d")</f>
        <v>Slokas 130d</v>
      </c>
      <c r="D1496" s="2">
        <f>IFERROR(__xludf.DUMMYFUNCTION("""COMPUTED_VALUE"""),3.0)</f>
        <v>3</v>
      </c>
      <c r="E1496" s="2">
        <f>IFERROR(__xludf.DUMMYFUNCTION("""COMPUTED_VALUE"""),110.9)</f>
        <v>110.9</v>
      </c>
      <c r="F1496" s="2">
        <f>IFERROR(__xludf.DUMMYFUNCTION("""COMPUTED_VALUE"""),1.0)</f>
        <v>1</v>
      </c>
      <c r="G1496" s="2">
        <f>IFERROR(__xludf.DUMMYFUNCTION("""COMPUTED_VALUE"""),12.0)</f>
        <v>12</v>
      </c>
      <c r="H1496" s="2" t="str">
        <f>IFERROR(__xludf.DUMMYFUNCTION("""COMPUTED_VALUE"""),"Čehu pr.")</f>
        <v>Čehu pr.</v>
      </c>
      <c r="I1496" s="2" t="str">
        <f>IFERROR(__xludf.DUMMYFUNCTION("""COMPUTED_VALUE"""),"Brick-Panel")</f>
        <v>Brick-Panel</v>
      </c>
      <c r="J1496" s="2" t="str">
        <f>IFERROR(__xludf.DUMMYFUNCTION("""COMPUTED_VALUE"""),"All amenities")</f>
        <v>All amenities</v>
      </c>
      <c r="K1496" s="2">
        <f>IFERROR(__xludf.DUMMYFUNCTION("""COMPUTED_VALUE"""),110000.0)</f>
        <v>110000</v>
      </c>
      <c r="L1496" s="2">
        <f>IFERROR(__xludf.DUMMYFUNCTION("""COMPUTED_VALUE"""),56.96474785)</f>
        <v>56.96474785</v>
      </c>
      <c r="M1496" s="2">
        <f>IFERROR(__xludf.DUMMYFUNCTION("""COMPUTED_VALUE"""),24.0163911959267)</f>
        <v>24.0163912</v>
      </c>
    </row>
    <row r="1497">
      <c r="A1497" s="2" t="str">
        <f>IFERROR(__xludf.DUMMYFUNCTION("""COMPUTED_VALUE"""),"For rent")</f>
        <v>For rent</v>
      </c>
      <c r="B1497" s="2" t="str">
        <f>IFERROR(__xludf.DUMMYFUNCTION("""COMPUTED_VALUE"""),"centrs")</f>
        <v>centrs</v>
      </c>
      <c r="C1497" s="2" t="str">
        <f>IFERROR(__xludf.DUMMYFUNCTION("""COMPUTED_VALUE"""),"Skanstes 29")</f>
        <v>Skanstes 29</v>
      </c>
      <c r="D1497" s="2">
        <f>IFERROR(__xludf.DUMMYFUNCTION("""COMPUTED_VALUE"""),2.0)</f>
        <v>2</v>
      </c>
      <c r="E1497" s="2">
        <f>IFERROR(__xludf.DUMMYFUNCTION("""COMPUTED_VALUE"""),44.0)</f>
        <v>44</v>
      </c>
      <c r="F1497" s="2">
        <f>IFERROR(__xludf.DUMMYFUNCTION("""COMPUTED_VALUE"""),23.0)</f>
        <v>23</v>
      </c>
      <c r="G1497" s="2">
        <f>IFERROR(__xludf.DUMMYFUNCTION("""COMPUTED_VALUE"""),23.0)</f>
        <v>23</v>
      </c>
      <c r="H1497" s="2" t="str">
        <f>IFERROR(__xludf.DUMMYFUNCTION("""COMPUTED_VALUE"""),"Jaun.")</f>
        <v>Jaun.</v>
      </c>
      <c r="I1497" s="2" t="str">
        <f>IFERROR(__xludf.DUMMYFUNCTION("""COMPUTED_VALUE"""),"Panel")</f>
        <v>Panel</v>
      </c>
      <c r="J1497" s="2" t="str">
        <f>IFERROR(__xludf.DUMMYFUNCTION("""COMPUTED_VALUE"""),"All amenities")</f>
        <v>All amenities</v>
      </c>
      <c r="K1497" s="2">
        <f>IFERROR(__xludf.DUMMYFUNCTION("""COMPUTED_VALUE"""),600.0)</f>
        <v>600</v>
      </c>
      <c r="L1497" s="2">
        <f>IFERROR(__xludf.DUMMYFUNCTION("""COMPUTED_VALUE"""),56.9726415)</f>
        <v>56.9726415</v>
      </c>
      <c r="M1497" s="2">
        <f>IFERROR(__xludf.DUMMYFUNCTION("""COMPUTED_VALUE"""),24.1250304839285)</f>
        <v>24.12503048</v>
      </c>
    </row>
    <row r="1498">
      <c r="A1498" s="2" t="str">
        <f>IFERROR(__xludf.DUMMYFUNCTION("""COMPUTED_VALUE"""),"For sale")</f>
        <v>For sale</v>
      </c>
      <c r="B1498" s="2" t="str">
        <f>IFERROR(__xludf.DUMMYFUNCTION("""COMPUTED_VALUE"""),"centrs")</f>
        <v>centrs</v>
      </c>
      <c r="C1498" s="2" t="str">
        <f>IFERROR(__xludf.DUMMYFUNCTION("""COMPUTED_VALUE"""),"Dzirnavu 51")</f>
        <v>Dzirnavu 51</v>
      </c>
      <c r="D1498" s="2">
        <f>IFERROR(__xludf.DUMMYFUNCTION("""COMPUTED_VALUE"""),2.0)</f>
        <v>2</v>
      </c>
      <c r="E1498" s="2">
        <f>IFERROR(__xludf.DUMMYFUNCTION("""COMPUTED_VALUE"""),50.0)</f>
        <v>50</v>
      </c>
      <c r="F1498" s="2">
        <f>IFERROR(__xludf.DUMMYFUNCTION("""COMPUTED_VALUE"""),3.0)</f>
        <v>3</v>
      </c>
      <c r="G1498" s="2">
        <f>IFERROR(__xludf.DUMMYFUNCTION("""COMPUTED_VALUE"""),5.0)</f>
        <v>5</v>
      </c>
      <c r="H1498" s="2" t="str">
        <f>IFERROR(__xludf.DUMMYFUNCTION("""COMPUTED_VALUE"""),"P. kara")</f>
        <v>P. kara</v>
      </c>
      <c r="I1498" s="2" t="str">
        <f>IFERROR(__xludf.DUMMYFUNCTION("""COMPUTED_VALUE"""),"Masonry")</f>
        <v>Masonry</v>
      </c>
      <c r="J1498" s="2" t="str">
        <f>IFERROR(__xludf.DUMMYFUNCTION("""COMPUTED_VALUE"""),"All amenities")</f>
        <v>All amenities</v>
      </c>
      <c r="K1498" s="2">
        <f>IFERROR(__xludf.DUMMYFUNCTION("""COMPUTED_VALUE"""),71300.0)</f>
        <v>71300</v>
      </c>
      <c r="L1498" s="2">
        <f>IFERROR(__xludf.DUMMYFUNCTION("""COMPUTED_VALUE"""),56.9568138)</f>
        <v>56.9568138</v>
      </c>
      <c r="M1498" s="2">
        <f>IFERROR(__xludf.DUMMYFUNCTION("""COMPUTED_VALUE"""),24.1172697)</f>
        <v>24.1172697</v>
      </c>
    </row>
    <row r="1499">
      <c r="A1499" s="2" t="str">
        <f>IFERROR(__xludf.DUMMYFUNCTION("""COMPUTED_VALUE"""),"For rent")</f>
        <v>For rent</v>
      </c>
      <c r="B1499" s="2" t="str">
        <f>IFERROR(__xludf.DUMMYFUNCTION("""COMPUTED_VALUE"""),"centrs")</f>
        <v>centrs</v>
      </c>
      <c r="C1499" s="2" t="str">
        <f>IFERROR(__xludf.DUMMYFUNCTION("""COMPUTED_VALUE"""),"Asara 20")</f>
        <v>Asara 20</v>
      </c>
      <c r="D1499" s="2">
        <f>IFERROR(__xludf.DUMMYFUNCTION("""COMPUTED_VALUE"""),1.0)</f>
        <v>1</v>
      </c>
      <c r="E1499" s="2">
        <f>IFERROR(__xludf.DUMMYFUNCTION("""COMPUTED_VALUE"""),25.0)</f>
        <v>25</v>
      </c>
      <c r="F1499" s="2">
        <f>IFERROR(__xludf.DUMMYFUNCTION("""COMPUTED_VALUE"""),2.0)</f>
        <v>2</v>
      </c>
      <c r="G1499" s="2">
        <f>IFERROR(__xludf.DUMMYFUNCTION("""COMPUTED_VALUE"""),6.0)</f>
        <v>6</v>
      </c>
      <c r="H1499" s="2" t="str">
        <f>IFERROR(__xludf.DUMMYFUNCTION("""COMPUTED_VALUE"""),"P. kara")</f>
        <v>P. kara</v>
      </c>
      <c r="I1499" s="2" t="str">
        <f>IFERROR(__xludf.DUMMYFUNCTION("""COMPUTED_VALUE"""),"Masonry")</f>
        <v>Masonry</v>
      </c>
      <c r="J1499" s="2" t="str">
        <f>IFERROR(__xludf.DUMMYFUNCTION("""COMPUTED_VALUE"""),"All amenities")</f>
        <v>All amenities</v>
      </c>
      <c r="K1499" s="2">
        <f>IFERROR(__xludf.DUMMYFUNCTION("""COMPUTED_VALUE"""),250.0)</f>
        <v>250</v>
      </c>
      <c r="L1499" s="2">
        <f>IFERROR(__xludf.DUMMYFUNCTION("""COMPUTED_VALUE"""),56.95619535)</f>
        <v>56.95619535</v>
      </c>
      <c r="M1499" s="2">
        <f>IFERROR(__xludf.DUMMYFUNCTION("""COMPUTED_VALUE"""),24.1519378142022)</f>
        <v>24.15193781</v>
      </c>
    </row>
    <row r="1500">
      <c r="A1500" s="2" t="str">
        <f>IFERROR(__xludf.DUMMYFUNCTION("""COMPUTED_VALUE"""),"For rent")</f>
        <v>For rent</v>
      </c>
      <c r="B1500" s="2" t="str">
        <f>IFERROR(__xludf.DUMMYFUNCTION("""COMPUTED_VALUE"""),"Pļavnieki")</f>
        <v>Pļavnieki</v>
      </c>
      <c r="C1500" s="2" t="str">
        <f>IFERROR(__xludf.DUMMYFUNCTION("""COMPUTED_VALUE"""),"Dravnieku 12")</f>
        <v>Dravnieku 12</v>
      </c>
      <c r="D1500" s="2">
        <f>IFERROR(__xludf.DUMMYFUNCTION("""COMPUTED_VALUE"""),1.0)</f>
        <v>1</v>
      </c>
      <c r="E1500" s="2">
        <f>IFERROR(__xludf.DUMMYFUNCTION("""COMPUTED_VALUE"""),40.0)</f>
        <v>40</v>
      </c>
      <c r="F1500" s="2">
        <f>IFERROR(__xludf.DUMMYFUNCTION("""COMPUTED_VALUE"""),4.0)</f>
        <v>4</v>
      </c>
      <c r="G1500" s="2">
        <f>IFERROR(__xludf.DUMMYFUNCTION("""COMPUTED_VALUE"""),9.0)</f>
        <v>9</v>
      </c>
      <c r="H1500" s="2" t="str">
        <f>IFERROR(__xludf.DUMMYFUNCTION("""COMPUTED_VALUE"""),"M. ģim.")</f>
        <v>M. ģim.</v>
      </c>
      <c r="I1500" s="2" t="str">
        <f>IFERROR(__xludf.DUMMYFUNCTION("""COMPUTED_VALUE"""),"Panel")</f>
        <v>Panel</v>
      </c>
      <c r="J1500" s="2" t="str">
        <f>IFERROR(__xludf.DUMMYFUNCTION("""COMPUTED_VALUE"""),"All amenities")</f>
        <v>All amenities</v>
      </c>
      <c r="K1500" s="2">
        <f>IFERROR(__xludf.DUMMYFUNCTION("""COMPUTED_VALUE"""),180.0)</f>
        <v>180</v>
      </c>
      <c r="L1500" s="2">
        <f>IFERROR(__xludf.DUMMYFUNCTION("""COMPUTED_VALUE"""),56.94315815)</f>
        <v>56.94315815</v>
      </c>
      <c r="M1500" s="2">
        <f>IFERROR(__xludf.DUMMYFUNCTION("""COMPUTED_VALUE"""),24.212789903353)</f>
        <v>24.2127899</v>
      </c>
    </row>
    <row r="1501">
      <c r="A1501" s="2" t="str">
        <f>IFERROR(__xludf.DUMMYFUNCTION("""COMPUTED_VALUE"""),"For sale")</f>
        <v>For sale</v>
      </c>
      <c r="B1501" s="2" t="str">
        <f>IFERROR(__xludf.DUMMYFUNCTION("""COMPUTED_VALUE"""),"Klīversala")</f>
        <v>Klīversala</v>
      </c>
      <c r="C1501" s="2" t="str">
        <f>IFERROR(__xludf.DUMMYFUNCTION("""COMPUTED_VALUE"""),"Trijādības 2a")</f>
        <v>Trijādības 2a</v>
      </c>
      <c r="D1501" s="2">
        <f>IFERROR(__xludf.DUMMYFUNCTION("""COMPUTED_VALUE"""),6.0)</f>
        <v>6</v>
      </c>
      <c r="E1501" s="2">
        <f>IFERROR(__xludf.DUMMYFUNCTION("""COMPUTED_VALUE"""),228.0)</f>
        <v>228</v>
      </c>
      <c r="F1501" s="2">
        <f>IFERROR(__xludf.DUMMYFUNCTION("""COMPUTED_VALUE"""),6.0)</f>
        <v>6</v>
      </c>
      <c r="G1501" s="2">
        <f>IFERROR(__xludf.DUMMYFUNCTION("""COMPUTED_VALUE"""),7.0)</f>
        <v>7</v>
      </c>
      <c r="H1501" s="2" t="str">
        <f>IFERROR(__xludf.DUMMYFUNCTION("""COMPUTED_VALUE"""),"Jaun.")</f>
        <v>Jaun.</v>
      </c>
      <c r="I1501" s="2" t="str">
        <f>IFERROR(__xludf.DUMMYFUNCTION("""COMPUTED_VALUE"""),"Masonry")</f>
        <v>Masonry</v>
      </c>
      <c r="J1501" s="2" t="str">
        <f>IFERROR(__xludf.DUMMYFUNCTION("""COMPUTED_VALUE"""),"All amenities")</f>
        <v>All amenities</v>
      </c>
      <c r="K1501" s="2">
        <f>IFERROR(__xludf.DUMMYFUNCTION("""COMPUTED_VALUE"""),225000.0)</f>
        <v>225000</v>
      </c>
      <c r="L1501" s="2">
        <f>IFERROR(__xludf.DUMMYFUNCTION("""COMPUTED_VALUE"""),56.94381835)</f>
        <v>56.94381835</v>
      </c>
      <c r="M1501" s="2">
        <f>IFERROR(__xludf.DUMMYFUNCTION("""COMPUTED_VALUE"""),24.0909860542956)</f>
        <v>24.09098605</v>
      </c>
    </row>
    <row r="1502">
      <c r="A1502" s="2" t="str">
        <f>IFERROR(__xludf.DUMMYFUNCTION("""COMPUTED_VALUE"""),"For sale")</f>
        <v>For sale</v>
      </c>
      <c r="B1502" s="2" t="str">
        <f>IFERROR(__xludf.DUMMYFUNCTION("""COMPUTED_VALUE"""),"Vecmīlgrāvis")</f>
        <v>Vecmīlgrāvis</v>
      </c>
      <c r="C1502" s="2" t="str">
        <f>IFERROR(__xludf.DUMMYFUNCTION("""COMPUTED_VALUE"""),"Emmas 12a")</f>
        <v>Emmas 12a</v>
      </c>
      <c r="D1502" s="2">
        <f>IFERROR(__xludf.DUMMYFUNCTION("""COMPUTED_VALUE"""),4.0)</f>
        <v>4</v>
      </c>
      <c r="E1502" s="2">
        <f>IFERROR(__xludf.DUMMYFUNCTION("""COMPUTED_VALUE"""),64.0)</f>
        <v>64</v>
      </c>
      <c r="F1502" s="2">
        <f>IFERROR(__xludf.DUMMYFUNCTION("""COMPUTED_VALUE"""),1.0)</f>
        <v>1</v>
      </c>
      <c r="G1502" s="2">
        <f>IFERROR(__xludf.DUMMYFUNCTION("""COMPUTED_VALUE"""),3.0)</f>
        <v>3</v>
      </c>
      <c r="H1502" s="2" t="str">
        <f>IFERROR(__xludf.DUMMYFUNCTION("""COMPUTED_VALUE"""),"Staļina")</f>
        <v>Staļina</v>
      </c>
      <c r="I1502" s="2" t="str">
        <f>IFERROR(__xludf.DUMMYFUNCTION("""COMPUTED_VALUE"""),"Brick")</f>
        <v>Brick</v>
      </c>
      <c r="J1502" s="2" t="str">
        <f>IFERROR(__xludf.DUMMYFUNCTION("""COMPUTED_VALUE"""),"All amenities")</f>
        <v>All amenities</v>
      </c>
      <c r="K1502" s="2">
        <f>IFERROR(__xludf.DUMMYFUNCTION("""COMPUTED_VALUE"""),57000.0)</f>
        <v>57000</v>
      </c>
      <c r="L1502" s="2">
        <f>IFERROR(__xludf.DUMMYFUNCTION("""COMPUTED_VALUE"""),57.0290793)</f>
        <v>57.0290793</v>
      </c>
      <c r="M1502" s="2">
        <f>IFERROR(__xludf.DUMMYFUNCTION("""COMPUTED_VALUE"""),24.1110987)</f>
        <v>24.1110987</v>
      </c>
    </row>
    <row r="1503">
      <c r="A1503" s="2" t="str">
        <f>IFERROR(__xludf.DUMMYFUNCTION("""COMPUTED_VALUE"""),"For rent")</f>
        <v>For rent</v>
      </c>
      <c r="B1503" s="2" t="str">
        <f>IFERROR(__xludf.DUMMYFUNCTION("""COMPUTED_VALUE"""),"centrs")</f>
        <v>centrs</v>
      </c>
      <c r="C1503" s="2" t="str">
        <f>IFERROR(__xludf.DUMMYFUNCTION("""COMPUTED_VALUE"""),"Zaubes 6")</f>
        <v>Zaubes 6</v>
      </c>
      <c r="D1503" s="2">
        <f>IFERROR(__xludf.DUMMYFUNCTION("""COMPUTED_VALUE"""),3.0)</f>
        <v>3</v>
      </c>
      <c r="E1503" s="2">
        <f>IFERROR(__xludf.DUMMYFUNCTION("""COMPUTED_VALUE"""),110.0)</f>
        <v>110</v>
      </c>
      <c r="F1503" s="2">
        <f>IFERROR(__xludf.DUMMYFUNCTION("""COMPUTED_VALUE"""),5.0)</f>
        <v>5</v>
      </c>
      <c r="G1503" s="2">
        <f>IFERROR(__xludf.DUMMYFUNCTION("""COMPUTED_VALUE"""),6.0)</f>
        <v>6</v>
      </c>
      <c r="H1503" s="2" t="str">
        <f>IFERROR(__xludf.DUMMYFUNCTION("""COMPUTED_VALUE"""),"P. kara")</f>
        <v>P. kara</v>
      </c>
      <c r="I1503" s="2" t="str">
        <f>IFERROR(__xludf.DUMMYFUNCTION("""COMPUTED_VALUE"""),"Masonry")</f>
        <v>Masonry</v>
      </c>
      <c r="J1503" s="2" t="str">
        <f>IFERROR(__xludf.DUMMYFUNCTION("""COMPUTED_VALUE"""),"All amenities")</f>
        <v>All amenities</v>
      </c>
      <c r="K1503" s="2">
        <f>IFERROR(__xludf.DUMMYFUNCTION("""COMPUTED_VALUE"""),800.0)</f>
        <v>800</v>
      </c>
      <c r="L1503" s="2">
        <f>IFERROR(__xludf.DUMMYFUNCTION("""COMPUTED_VALUE"""),56.962799)</f>
        <v>56.962799</v>
      </c>
      <c r="M1503" s="2">
        <f>IFERROR(__xludf.DUMMYFUNCTION("""COMPUTED_VALUE"""),24.122128313389)</f>
        <v>24.12212831</v>
      </c>
    </row>
    <row r="1504">
      <c r="A1504" s="2" t="str">
        <f>IFERROR(__xludf.DUMMYFUNCTION("""COMPUTED_VALUE"""),"For sale")</f>
        <v>For sale</v>
      </c>
      <c r="B1504" s="2" t="str">
        <f>IFERROR(__xludf.DUMMYFUNCTION("""COMPUTED_VALUE"""),"centrs")</f>
        <v>centrs</v>
      </c>
      <c r="C1504" s="2" t="str">
        <f>IFERROR(__xludf.DUMMYFUNCTION("""COMPUTED_VALUE"""),"Dzirnavu 115a")</f>
        <v>Dzirnavu 115a</v>
      </c>
      <c r="D1504" s="2">
        <f>IFERROR(__xludf.DUMMYFUNCTION("""COMPUTED_VALUE"""),4.0)</f>
        <v>4</v>
      </c>
      <c r="E1504" s="2">
        <f>IFERROR(__xludf.DUMMYFUNCTION("""COMPUTED_VALUE"""),116.0)</f>
        <v>116</v>
      </c>
      <c r="F1504" s="2">
        <f>IFERROR(__xludf.DUMMYFUNCTION("""COMPUTED_VALUE"""),3.0)</f>
        <v>3</v>
      </c>
      <c r="G1504" s="2">
        <f>IFERROR(__xludf.DUMMYFUNCTION("""COMPUTED_VALUE"""),5.0)</f>
        <v>5</v>
      </c>
      <c r="H1504" s="2" t="str">
        <f>IFERROR(__xludf.DUMMYFUNCTION("""COMPUTED_VALUE"""),"P. kara")</f>
        <v>P. kara</v>
      </c>
      <c r="I1504" s="2" t="str">
        <f>IFERROR(__xludf.DUMMYFUNCTION("""COMPUTED_VALUE"""),"Masonry")</f>
        <v>Masonry</v>
      </c>
      <c r="J1504" s="2" t="str">
        <f>IFERROR(__xludf.DUMMYFUNCTION("""COMPUTED_VALUE"""),"All amenities")</f>
        <v>All amenities</v>
      </c>
      <c r="K1504" s="2">
        <f>IFERROR(__xludf.DUMMYFUNCTION("""COMPUTED_VALUE"""),130000.0)</f>
        <v>130000</v>
      </c>
      <c r="L1504" s="2">
        <f>IFERROR(__xludf.DUMMYFUNCTION("""COMPUTED_VALUE"""),56.94937)</f>
        <v>56.94937</v>
      </c>
      <c r="M1504" s="2">
        <f>IFERROR(__xludf.DUMMYFUNCTION("""COMPUTED_VALUE"""),24.1253575)</f>
        <v>24.1253575</v>
      </c>
    </row>
    <row r="1505">
      <c r="A1505" s="2" t="str">
        <f>IFERROR(__xludf.DUMMYFUNCTION("""COMPUTED_VALUE"""),"For rent")</f>
        <v>For rent</v>
      </c>
      <c r="B1505" s="2" t="str">
        <f>IFERROR(__xludf.DUMMYFUNCTION("""COMPUTED_VALUE"""),"Ķengarags")</f>
        <v>Ķengarags</v>
      </c>
      <c r="C1505" s="2" t="str">
        <f>IFERROR(__xludf.DUMMYFUNCTION("""COMPUTED_VALUE"""),"Salaspils 6")</f>
        <v>Salaspils 6</v>
      </c>
      <c r="D1505" s="2">
        <f>IFERROR(__xludf.DUMMYFUNCTION("""COMPUTED_VALUE"""),3.0)</f>
        <v>3</v>
      </c>
      <c r="E1505" s="2">
        <f>IFERROR(__xludf.DUMMYFUNCTION("""COMPUTED_VALUE"""),59.0)</f>
        <v>59</v>
      </c>
      <c r="F1505" s="2">
        <f>IFERROR(__xludf.DUMMYFUNCTION("""COMPUTED_VALUE"""),5.0)</f>
        <v>5</v>
      </c>
      <c r="G1505" s="2">
        <f>IFERROR(__xludf.DUMMYFUNCTION("""COMPUTED_VALUE"""),5.0)</f>
        <v>5</v>
      </c>
      <c r="H1505" s="2" t="str">
        <f>IFERROR(__xludf.DUMMYFUNCTION("""COMPUTED_VALUE"""),"LT proj.")</f>
        <v>LT proj.</v>
      </c>
      <c r="I1505" s="2" t="str">
        <f>IFERROR(__xludf.DUMMYFUNCTION("""COMPUTED_VALUE"""),"Panel")</f>
        <v>Panel</v>
      </c>
      <c r="J1505" s="2" t="str">
        <f>IFERROR(__xludf.DUMMYFUNCTION("""COMPUTED_VALUE"""),"All amenities")</f>
        <v>All amenities</v>
      </c>
      <c r="K1505" s="2">
        <f>IFERROR(__xludf.DUMMYFUNCTION("""COMPUTED_VALUE"""),350.0)</f>
        <v>350</v>
      </c>
      <c r="L1505" s="2">
        <f>IFERROR(__xludf.DUMMYFUNCTION("""COMPUTED_VALUE"""),56.8597884)</f>
        <v>56.8597884</v>
      </c>
      <c r="M1505" s="2">
        <f>IFERROR(__xludf.DUMMYFUNCTION("""COMPUTED_VALUE"""),24.3083417)</f>
        <v>24.3083417</v>
      </c>
    </row>
    <row r="1506">
      <c r="A1506" s="2" t="str">
        <f>IFERROR(__xludf.DUMMYFUNCTION("""COMPUTED_VALUE"""),"For sale")</f>
        <v>For sale</v>
      </c>
      <c r="B1506" s="2" t="str">
        <f>IFERROR(__xludf.DUMMYFUNCTION("""COMPUTED_VALUE"""),"centrs")</f>
        <v>centrs</v>
      </c>
      <c r="C1506" s="2" t="str">
        <f>IFERROR(__xludf.DUMMYFUNCTION("""COMPUTED_VALUE"""),"Klijānu 16")</f>
        <v>Klijānu 16</v>
      </c>
      <c r="D1506" s="2">
        <f>IFERROR(__xludf.DUMMYFUNCTION("""COMPUTED_VALUE"""),4.0)</f>
        <v>4</v>
      </c>
      <c r="E1506" s="2">
        <f>IFERROR(__xludf.DUMMYFUNCTION("""COMPUTED_VALUE"""),75.0)</f>
        <v>75</v>
      </c>
      <c r="F1506" s="2">
        <f>IFERROR(__xludf.DUMMYFUNCTION("""COMPUTED_VALUE"""),4.0)</f>
        <v>4</v>
      </c>
      <c r="G1506" s="2">
        <f>IFERROR(__xludf.DUMMYFUNCTION("""COMPUTED_VALUE"""),9.0)</f>
        <v>9</v>
      </c>
      <c r="H1506" s="2" t="str">
        <f>IFERROR(__xludf.DUMMYFUNCTION("""COMPUTED_VALUE"""),"Jaun.")</f>
        <v>Jaun.</v>
      </c>
      <c r="I1506" s="2" t="str">
        <f>IFERROR(__xludf.DUMMYFUNCTION("""COMPUTED_VALUE"""),"Masonry")</f>
        <v>Masonry</v>
      </c>
      <c r="J1506" s="2" t="str">
        <f>IFERROR(__xludf.DUMMYFUNCTION("""COMPUTED_VALUE"""),"All amenities")</f>
        <v>All amenities</v>
      </c>
      <c r="K1506" s="2">
        <f>IFERROR(__xludf.DUMMYFUNCTION("""COMPUTED_VALUE"""),129000.0)</f>
        <v>129000</v>
      </c>
      <c r="L1506" s="2">
        <f>IFERROR(__xludf.DUMMYFUNCTION("""COMPUTED_VALUE"""),56.9742195)</f>
        <v>56.9742195</v>
      </c>
      <c r="M1506" s="2">
        <f>IFERROR(__xludf.DUMMYFUNCTION("""COMPUTED_VALUE"""),24.1483510382088)</f>
        <v>24.14835104</v>
      </c>
    </row>
    <row r="1507">
      <c r="A1507" s="2" t="str">
        <f>IFERROR(__xludf.DUMMYFUNCTION("""COMPUTED_VALUE"""),"For sale")</f>
        <v>For sale</v>
      </c>
      <c r="B1507" s="2" t="str">
        <f>IFERROR(__xludf.DUMMYFUNCTION("""COMPUTED_VALUE"""),"centrs")</f>
        <v>centrs</v>
      </c>
      <c r="C1507" s="2" t="str">
        <f>IFERROR(__xludf.DUMMYFUNCTION("""COMPUTED_VALUE"""),"Vesetas 32")</f>
        <v>Vesetas 32</v>
      </c>
      <c r="D1507" s="2">
        <f>IFERROR(__xludf.DUMMYFUNCTION("""COMPUTED_VALUE"""),2.0)</f>
        <v>2</v>
      </c>
      <c r="E1507" s="2">
        <f>IFERROR(__xludf.DUMMYFUNCTION("""COMPUTED_VALUE"""),55.0)</f>
        <v>55</v>
      </c>
      <c r="F1507" s="2">
        <f>IFERROR(__xludf.DUMMYFUNCTION("""COMPUTED_VALUE"""),3.0)</f>
        <v>3</v>
      </c>
      <c r="G1507" s="2">
        <f>IFERROR(__xludf.DUMMYFUNCTION("""COMPUTED_VALUE"""),12.0)</f>
        <v>12</v>
      </c>
      <c r="H1507" s="2" t="str">
        <f>IFERROR(__xludf.DUMMYFUNCTION("""COMPUTED_VALUE"""),"Specpr.")</f>
        <v>Specpr.</v>
      </c>
      <c r="I1507" s="2" t="str">
        <f>IFERROR(__xludf.DUMMYFUNCTION("""COMPUTED_VALUE"""),"Brick")</f>
        <v>Brick</v>
      </c>
      <c r="J1507" s="2" t="str">
        <f>IFERROR(__xludf.DUMMYFUNCTION("""COMPUTED_VALUE"""),"All amenities")</f>
        <v>All amenities</v>
      </c>
      <c r="K1507" s="2">
        <f>IFERROR(__xludf.DUMMYFUNCTION("""COMPUTED_VALUE"""),75000.0)</f>
        <v>75000</v>
      </c>
      <c r="L1507" s="2">
        <f>IFERROR(__xludf.DUMMYFUNCTION("""COMPUTED_VALUE"""),56.97368625)</f>
        <v>56.97368625</v>
      </c>
      <c r="M1507" s="2">
        <f>IFERROR(__xludf.DUMMYFUNCTION("""COMPUTED_VALUE"""),24.1311027209292)</f>
        <v>24.13110272</v>
      </c>
    </row>
    <row r="1508">
      <c r="A1508" s="2" t="str">
        <f>IFERROR(__xludf.DUMMYFUNCTION("""COMPUTED_VALUE"""),"For rent")</f>
        <v>For rent</v>
      </c>
      <c r="B1508" s="2" t="str">
        <f>IFERROR(__xludf.DUMMYFUNCTION("""COMPUTED_VALUE"""),"centrs")</f>
        <v>centrs</v>
      </c>
      <c r="C1508" s="2" t="str">
        <f>IFERROR(__xludf.DUMMYFUNCTION("""COMPUTED_VALUE"""),"Tērbatas 4")</f>
        <v>Tērbatas 4</v>
      </c>
      <c r="D1508" s="2">
        <f>IFERROR(__xludf.DUMMYFUNCTION("""COMPUTED_VALUE"""),3.0)</f>
        <v>3</v>
      </c>
      <c r="E1508" s="2">
        <f>IFERROR(__xludf.DUMMYFUNCTION("""COMPUTED_VALUE"""),110.0)</f>
        <v>110</v>
      </c>
      <c r="F1508" s="2">
        <f>IFERROR(__xludf.DUMMYFUNCTION("""COMPUTED_VALUE"""),6.0)</f>
        <v>6</v>
      </c>
      <c r="G1508" s="2">
        <f>IFERROR(__xludf.DUMMYFUNCTION("""COMPUTED_VALUE"""),7.0)</f>
        <v>7</v>
      </c>
      <c r="H1508" s="2" t="str">
        <f>IFERROR(__xludf.DUMMYFUNCTION("""COMPUTED_VALUE"""),"Renov.")</f>
        <v>Renov.</v>
      </c>
      <c r="I1508" s="2" t="str">
        <f>IFERROR(__xludf.DUMMYFUNCTION("""COMPUTED_VALUE"""),"Masonry")</f>
        <v>Masonry</v>
      </c>
      <c r="J1508" s="2" t="str">
        <f>IFERROR(__xludf.DUMMYFUNCTION("""COMPUTED_VALUE"""),"All amenities")</f>
        <v>All amenities</v>
      </c>
      <c r="K1508" s="2">
        <f>IFERROR(__xludf.DUMMYFUNCTION("""COMPUTED_VALUE"""),1200.0)</f>
        <v>1200</v>
      </c>
      <c r="L1508" s="2">
        <f>IFERROR(__xludf.DUMMYFUNCTION("""COMPUTED_VALUE"""),56.953059)</f>
        <v>56.953059</v>
      </c>
      <c r="M1508" s="2">
        <f>IFERROR(__xludf.DUMMYFUNCTION("""COMPUTED_VALUE"""),24.1200556)</f>
        <v>24.1200556</v>
      </c>
    </row>
    <row r="1509">
      <c r="A1509" s="2" t="str">
        <f>IFERROR(__xludf.DUMMYFUNCTION("""COMPUTED_VALUE"""),"For sale")</f>
        <v>For sale</v>
      </c>
      <c r="B1509" s="2" t="str">
        <f>IFERROR(__xludf.DUMMYFUNCTION("""COMPUTED_VALUE"""),"Pļavnieki")</f>
        <v>Pļavnieki</v>
      </c>
      <c r="C1509" s="2" t="str">
        <f>IFERROR(__xludf.DUMMYFUNCTION("""COMPUTED_VALUE"""),"Tīnūžu 10")</f>
        <v>Tīnūžu 10</v>
      </c>
      <c r="D1509" s="2">
        <f>IFERROR(__xludf.DUMMYFUNCTION("""COMPUTED_VALUE"""),3.0)</f>
        <v>3</v>
      </c>
      <c r="E1509" s="2">
        <f>IFERROR(__xludf.DUMMYFUNCTION("""COMPUTED_VALUE"""),63.0)</f>
        <v>63</v>
      </c>
      <c r="F1509" s="2">
        <f>IFERROR(__xludf.DUMMYFUNCTION("""COMPUTED_VALUE"""),9.0)</f>
        <v>9</v>
      </c>
      <c r="G1509" s="2">
        <f>IFERROR(__xludf.DUMMYFUNCTION("""COMPUTED_VALUE"""),9.0)</f>
        <v>9</v>
      </c>
      <c r="H1509" s="2">
        <f>IFERROR(__xludf.DUMMYFUNCTION("""COMPUTED_VALUE"""),602.0)</f>
        <v>602</v>
      </c>
      <c r="I1509" s="2" t="str">
        <f>IFERROR(__xludf.DUMMYFUNCTION("""COMPUTED_VALUE"""),"Panel")</f>
        <v>Panel</v>
      </c>
      <c r="J1509" s="2" t="str">
        <f>IFERROR(__xludf.DUMMYFUNCTION("""COMPUTED_VALUE"""),"All amenities")</f>
        <v>All amenities</v>
      </c>
      <c r="K1509" s="2">
        <f>IFERROR(__xludf.DUMMYFUNCTION("""COMPUTED_VALUE"""),58800.0)</f>
        <v>58800</v>
      </c>
      <c r="L1509" s="2">
        <f>IFERROR(__xludf.DUMMYFUNCTION("""COMPUTED_VALUE"""),56.9342176)</f>
        <v>56.9342176</v>
      </c>
      <c r="M1509" s="2">
        <f>IFERROR(__xludf.DUMMYFUNCTION("""COMPUTED_VALUE"""),24.2070676596876)</f>
        <v>24.20706766</v>
      </c>
    </row>
    <row r="1510">
      <c r="A1510" s="2" t="str">
        <f>IFERROR(__xludf.DUMMYFUNCTION("""COMPUTED_VALUE"""),"For sale")</f>
        <v>For sale</v>
      </c>
      <c r="B1510" s="2" t="str">
        <f>IFERROR(__xludf.DUMMYFUNCTION("""COMPUTED_VALUE"""),"Mežaparks")</f>
        <v>Mežaparks</v>
      </c>
      <c r="C1510" s="2" t="str">
        <f>IFERROR(__xludf.DUMMYFUNCTION("""COMPUTED_VALUE"""),"Ezermalas 13")</f>
        <v>Ezermalas 13</v>
      </c>
      <c r="D1510" s="2">
        <f>IFERROR(__xludf.DUMMYFUNCTION("""COMPUTED_VALUE"""),4.0)</f>
        <v>4</v>
      </c>
      <c r="E1510" s="2">
        <f>IFERROR(__xludf.DUMMYFUNCTION("""COMPUTED_VALUE"""),126.0)</f>
        <v>126</v>
      </c>
      <c r="F1510" s="2">
        <f>IFERROR(__xludf.DUMMYFUNCTION("""COMPUTED_VALUE"""),2.0)</f>
        <v>2</v>
      </c>
      <c r="G1510" s="2">
        <f>IFERROR(__xludf.DUMMYFUNCTION("""COMPUTED_VALUE"""),4.0)</f>
        <v>4</v>
      </c>
      <c r="H1510" s="2" t="str">
        <f>IFERROR(__xludf.DUMMYFUNCTION("""COMPUTED_VALUE"""),"Jaun.")</f>
        <v>Jaun.</v>
      </c>
      <c r="I1510" s="2" t="str">
        <f>IFERROR(__xludf.DUMMYFUNCTION("""COMPUTED_VALUE"""),"Panel")</f>
        <v>Panel</v>
      </c>
      <c r="J1510" s="2" t="str">
        <f>IFERROR(__xludf.DUMMYFUNCTION("""COMPUTED_VALUE"""),"All amenities")</f>
        <v>All amenities</v>
      </c>
      <c r="K1510" s="2">
        <f>IFERROR(__xludf.DUMMYFUNCTION("""COMPUTED_VALUE"""),143000.0)</f>
        <v>143000</v>
      </c>
      <c r="L1510" s="2">
        <f>IFERROR(__xludf.DUMMYFUNCTION("""COMPUTED_VALUE"""),56.99733515)</f>
        <v>56.99733515</v>
      </c>
      <c r="M1510" s="2">
        <f>IFERROR(__xludf.DUMMYFUNCTION("""COMPUTED_VALUE"""),24.1704467)</f>
        <v>24.1704467</v>
      </c>
    </row>
    <row r="1511">
      <c r="A1511" s="2" t="str">
        <f>IFERROR(__xludf.DUMMYFUNCTION("""COMPUTED_VALUE"""),"For sale")</f>
        <v>For sale</v>
      </c>
      <c r="B1511" s="2" t="str">
        <f>IFERROR(__xludf.DUMMYFUNCTION("""COMPUTED_VALUE"""),"Bolderāja")</f>
        <v>Bolderāja</v>
      </c>
      <c r="C1511" s="2" t="str">
        <f>IFERROR(__xludf.DUMMYFUNCTION("""COMPUTED_VALUE"""),"Lielupes 68")</f>
        <v>Lielupes 68</v>
      </c>
      <c r="D1511" s="2">
        <f>IFERROR(__xludf.DUMMYFUNCTION("""COMPUTED_VALUE"""),2.0)</f>
        <v>2</v>
      </c>
      <c r="E1511" s="2">
        <f>IFERROR(__xludf.DUMMYFUNCTION("""COMPUTED_VALUE"""),48.0)</f>
        <v>48</v>
      </c>
      <c r="F1511" s="2">
        <f>IFERROR(__xludf.DUMMYFUNCTION("""COMPUTED_VALUE"""),2.0)</f>
        <v>2</v>
      </c>
      <c r="G1511" s="2">
        <f>IFERROR(__xludf.DUMMYFUNCTION("""COMPUTED_VALUE"""),5.0)</f>
        <v>5</v>
      </c>
      <c r="H1511" s="2" t="str">
        <f>IFERROR(__xludf.DUMMYFUNCTION("""COMPUTED_VALUE"""),"LT proj.")</f>
        <v>LT proj.</v>
      </c>
      <c r="I1511" s="2" t="str">
        <f>IFERROR(__xludf.DUMMYFUNCTION("""COMPUTED_VALUE"""),"Panel-Brick")</f>
        <v>Panel-Brick</v>
      </c>
      <c r="J1511" s="2" t="str">
        <f>IFERROR(__xludf.DUMMYFUNCTION("""COMPUTED_VALUE"""),"All amenities")</f>
        <v>All amenities</v>
      </c>
      <c r="K1511" s="2">
        <f>IFERROR(__xludf.DUMMYFUNCTION("""COMPUTED_VALUE"""),31300.0)</f>
        <v>31300</v>
      </c>
      <c r="L1511" s="2">
        <f>IFERROR(__xludf.DUMMYFUNCTION("""COMPUTED_VALUE"""),57.03099005)</f>
        <v>57.03099005</v>
      </c>
      <c r="M1511" s="2">
        <f>IFERROR(__xludf.DUMMYFUNCTION("""COMPUTED_VALUE"""),24.0574072)</f>
        <v>24.0574072</v>
      </c>
    </row>
    <row r="1512">
      <c r="A1512" s="2" t="str">
        <f>IFERROR(__xludf.DUMMYFUNCTION("""COMPUTED_VALUE"""),"For rent")</f>
        <v>For rent</v>
      </c>
      <c r="B1512" s="2" t="str">
        <f>IFERROR(__xludf.DUMMYFUNCTION("""COMPUTED_VALUE"""),"Iļģuciems")</f>
        <v>Iļģuciems</v>
      </c>
      <c r="C1512" s="2" t="str">
        <f>IFERROR(__xludf.DUMMYFUNCTION("""COMPUTED_VALUE"""),"Dzirciema 25")</f>
        <v>Dzirciema 25</v>
      </c>
      <c r="D1512" s="2">
        <f>IFERROR(__xludf.DUMMYFUNCTION("""COMPUTED_VALUE"""),1.0)</f>
        <v>1</v>
      </c>
      <c r="E1512" s="2">
        <f>IFERROR(__xludf.DUMMYFUNCTION("""COMPUTED_VALUE"""),25.0)</f>
        <v>25</v>
      </c>
      <c r="F1512" s="2">
        <f>IFERROR(__xludf.DUMMYFUNCTION("""COMPUTED_VALUE"""),2.0)</f>
        <v>2</v>
      </c>
      <c r="G1512" s="2">
        <f>IFERROR(__xludf.DUMMYFUNCTION("""COMPUTED_VALUE"""),2.0)</f>
        <v>2</v>
      </c>
      <c r="H1512" s="2" t="str">
        <f>IFERROR(__xludf.DUMMYFUNCTION("""COMPUTED_VALUE"""),"Priv. m.")</f>
        <v>Priv. m.</v>
      </c>
      <c r="I1512" s="2" t="str">
        <f>IFERROR(__xludf.DUMMYFUNCTION("""COMPUTED_VALUE"""),"Masonry")</f>
        <v>Masonry</v>
      </c>
      <c r="J1512" s="2" t="str">
        <f>IFERROR(__xludf.DUMMYFUNCTION("""COMPUTED_VALUE"""),"All amenities")</f>
        <v>All amenities</v>
      </c>
      <c r="K1512" s="2">
        <f>IFERROR(__xludf.DUMMYFUNCTION("""COMPUTED_VALUE"""),175.0)</f>
        <v>175</v>
      </c>
      <c r="L1512" s="2">
        <f>IFERROR(__xludf.DUMMYFUNCTION("""COMPUTED_VALUE"""),56.95418)</f>
        <v>56.95418</v>
      </c>
      <c r="M1512" s="2">
        <f>IFERROR(__xludf.DUMMYFUNCTION("""COMPUTED_VALUE"""),24.0522263950971)</f>
        <v>24.0522264</v>
      </c>
    </row>
    <row r="1513">
      <c r="A1513" s="2" t="str">
        <f>IFERROR(__xludf.DUMMYFUNCTION("""COMPUTED_VALUE"""),"For sale")</f>
        <v>For sale</v>
      </c>
      <c r="B1513" s="2" t="str">
        <f>IFERROR(__xludf.DUMMYFUNCTION("""COMPUTED_VALUE"""),"Krasta r-ns")</f>
        <v>Krasta r-ns</v>
      </c>
      <c r="C1513" s="2" t="str">
        <f>IFERROR(__xludf.DUMMYFUNCTION("""COMPUTED_VALUE"""),"Kojusalas 21")</f>
        <v>Kojusalas 21</v>
      </c>
      <c r="D1513" s="2">
        <f>IFERROR(__xludf.DUMMYFUNCTION("""COMPUTED_VALUE"""),2.0)</f>
        <v>2</v>
      </c>
      <c r="E1513" s="2">
        <f>IFERROR(__xludf.DUMMYFUNCTION("""COMPUTED_VALUE"""),38.0)</f>
        <v>38</v>
      </c>
      <c r="F1513" s="2">
        <f>IFERROR(__xludf.DUMMYFUNCTION("""COMPUTED_VALUE"""),4.0)</f>
        <v>4</v>
      </c>
      <c r="G1513" s="2">
        <f>IFERROR(__xludf.DUMMYFUNCTION("""COMPUTED_VALUE"""),5.0)</f>
        <v>5</v>
      </c>
      <c r="H1513" s="2" t="str">
        <f>IFERROR(__xludf.DUMMYFUNCTION("""COMPUTED_VALUE"""),"Specpr.")</f>
        <v>Specpr.</v>
      </c>
      <c r="I1513" s="2" t="str">
        <f>IFERROR(__xludf.DUMMYFUNCTION("""COMPUTED_VALUE"""),"Brick")</f>
        <v>Brick</v>
      </c>
      <c r="J1513" s="2" t="str">
        <f>IFERROR(__xludf.DUMMYFUNCTION("""COMPUTED_VALUE"""),"All amenities")</f>
        <v>All amenities</v>
      </c>
      <c r="K1513" s="2">
        <f>IFERROR(__xludf.DUMMYFUNCTION("""COMPUTED_VALUE"""),39000.0)</f>
        <v>39000</v>
      </c>
      <c r="L1513" s="2">
        <f>IFERROR(__xludf.DUMMYFUNCTION("""COMPUTED_VALUE"""),56.93425325)</f>
        <v>56.93425325</v>
      </c>
      <c r="M1513" s="2">
        <f>IFERROR(__xludf.DUMMYFUNCTION("""COMPUTED_VALUE"""),24.1548609852833)</f>
        <v>24.15486099</v>
      </c>
    </row>
    <row r="1514">
      <c r="A1514" s="2" t="str">
        <f>IFERROR(__xludf.DUMMYFUNCTION("""COMPUTED_VALUE"""),"For sale")</f>
        <v>For sale</v>
      </c>
      <c r="B1514" s="2" t="str">
        <f>IFERROR(__xludf.DUMMYFUNCTION("""COMPUTED_VALUE"""),"centrs")</f>
        <v>centrs</v>
      </c>
      <c r="C1514" s="2" t="str">
        <f>IFERROR(__xludf.DUMMYFUNCTION("""COMPUTED_VALUE"""),"Tallinas 86")</f>
        <v>Tallinas 86</v>
      </c>
      <c r="D1514" s="2">
        <f>IFERROR(__xludf.DUMMYFUNCTION("""COMPUTED_VALUE"""),3.0)</f>
        <v>3</v>
      </c>
      <c r="E1514" s="2">
        <f>IFERROR(__xludf.DUMMYFUNCTION("""COMPUTED_VALUE"""),60.47)</f>
        <v>60.47</v>
      </c>
      <c r="F1514" s="2">
        <f>IFERROR(__xludf.DUMMYFUNCTION("""COMPUTED_VALUE"""),2.0)</f>
        <v>2</v>
      </c>
      <c r="G1514" s="2">
        <f>IFERROR(__xludf.DUMMYFUNCTION("""COMPUTED_VALUE"""),5.0)</f>
        <v>5</v>
      </c>
      <c r="H1514" s="2" t="str">
        <f>IFERROR(__xludf.DUMMYFUNCTION("""COMPUTED_VALUE"""),"Renov.")</f>
        <v>Renov.</v>
      </c>
      <c r="I1514" s="2" t="str">
        <f>IFERROR(__xludf.DUMMYFUNCTION("""COMPUTED_VALUE"""),"Masonry")</f>
        <v>Masonry</v>
      </c>
      <c r="J1514" s="2" t="str">
        <f>IFERROR(__xludf.DUMMYFUNCTION("""COMPUTED_VALUE"""),"All amenities")</f>
        <v>All amenities</v>
      </c>
      <c r="K1514" s="2">
        <f>IFERROR(__xludf.DUMMYFUNCTION("""COMPUTED_VALUE"""),125000.0)</f>
        <v>125000</v>
      </c>
      <c r="L1514" s="2">
        <f>IFERROR(__xludf.DUMMYFUNCTION("""COMPUTED_VALUE"""),56.95652115)</f>
        <v>56.95652115</v>
      </c>
      <c r="M1514" s="2">
        <f>IFERROR(__xludf.DUMMYFUNCTION("""COMPUTED_VALUE"""),24.1476809000188)</f>
        <v>24.1476809</v>
      </c>
    </row>
    <row r="1515">
      <c r="A1515" s="2" t="str">
        <f>IFERROR(__xludf.DUMMYFUNCTION("""COMPUTED_VALUE"""),"For rent")</f>
        <v>For rent</v>
      </c>
      <c r="B1515" s="2" t="str">
        <f>IFERROR(__xludf.DUMMYFUNCTION("""COMPUTED_VALUE"""),"Ziepniekkalns")</f>
        <v>Ziepniekkalns</v>
      </c>
      <c r="C1515" s="2" t="str">
        <f>IFERROR(__xludf.DUMMYFUNCTION("""COMPUTED_VALUE"""),"Kartupeļu 16")</f>
        <v>Kartupeļu 16</v>
      </c>
      <c r="D1515" s="2">
        <f>IFERROR(__xludf.DUMMYFUNCTION("""COMPUTED_VALUE"""),2.0)</f>
        <v>2</v>
      </c>
      <c r="E1515" s="2">
        <f>IFERROR(__xludf.DUMMYFUNCTION("""COMPUTED_VALUE"""),60.0)</f>
        <v>60</v>
      </c>
      <c r="F1515" s="2">
        <f>IFERROR(__xludf.DUMMYFUNCTION("""COMPUTED_VALUE"""),1.0)</f>
        <v>1</v>
      </c>
      <c r="G1515" s="2">
        <f>IFERROR(__xludf.DUMMYFUNCTION("""COMPUTED_VALUE"""),1.0)</f>
        <v>1</v>
      </c>
      <c r="H1515" s="2" t="str">
        <f>IFERROR(__xludf.DUMMYFUNCTION("""COMPUTED_VALUE"""),"Priv. m.")</f>
        <v>Priv. m.</v>
      </c>
      <c r="I1515" s="2" t="str">
        <f>IFERROR(__xludf.DUMMYFUNCTION("""COMPUTED_VALUE"""),"Brick")</f>
        <v>Brick</v>
      </c>
      <c r="J1515" s="2" t="str">
        <f>IFERROR(__xludf.DUMMYFUNCTION("""COMPUTED_VALUE"""),"All amenities")</f>
        <v>All amenities</v>
      </c>
      <c r="K1515" s="2">
        <f>IFERROR(__xludf.DUMMYFUNCTION("""COMPUTED_VALUE"""),360.0)</f>
        <v>360</v>
      </c>
      <c r="L1515" s="2">
        <f>IFERROR(__xludf.DUMMYFUNCTION("""COMPUTED_VALUE"""),56.9138392)</f>
        <v>56.9138392</v>
      </c>
      <c r="M1515" s="2">
        <f>IFERROR(__xludf.DUMMYFUNCTION("""COMPUTED_VALUE"""),24.10133385)</f>
        <v>24.10133385</v>
      </c>
    </row>
    <row r="1516">
      <c r="A1516" s="2" t="str">
        <f>IFERROR(__xludf.DUMMYFUNCTION("""COMPUTED_VALUE"""),"For sale")</f>
        <v>For sale</v>
      </c>
      <c r="B1516" s="2" t="str">
        <f>IFERROR(__xludf.DUMMYFUNCTION("""COMPUTED_VALUE"""),"Āgenskalns")</f>
        <v>Āgenskalns</v>
      </c>
      <c r="C1516" s="2" t="str">
        <f>IFERROR(__xludf.DUMMYFUNCTION("""COMPUTED_VALUE"""),"Nomales 7")</f>
        <v>Nomales 7</v>
      </c>
      <c r="D1516" s="2">
        <f>IFERROR(__xludf.DUMMYFUNCTION("""COMPUTED_VALUE"""),2.0)</f>
        <v>2</v>
      </c>
      <c r="E1516" s="2">
        <f>IFERROR(__xludf.DUMMYFUNCTION("""COMPUTED_VALUE"""),41.0)</f>
        <v>41</v>
      </c>
      <c r="F1516" s="2">
        <f>IFERROR(__xludf.DUMMYFUNCTION("""COMPUTED_VALUE"""),2.0)</f>
        <v>2</v>
      </c>
      <c r="G1516" s="2">
        <f>IFERROR(__xludf.DUMMYFUNCTION("""COMPUTED_VALUE"""),4.0)</f>
        <v>4</v>
      </c>
      <c r="H1516" s="2" t="str">
        <f>IFERROR(__xludf.DUMMYFUNCTION("""COMPUTED_VALUE"""),"Hrušč.")</f>
        <v>Hrušč.</v>
      </c>
      <c r="I1516" s="2" t="str">
        <f>IFERROR(__xludf.DUMMYFUNCTION("""COMPUTED_VALUE"""),"Brick")</f>
        <v>Brick</v>
      </c>
      <c r="J1516" s="2" t="str">
        <f>IFERROR(__xludf.DUMMYFUNCTION("""COMPUTED_VALUE"""),"All amenities")</f>
        <v>All amenities</v>
      </c>
      <c r="K1516" s="2">
        <f>IFERROR(__xludf.DUMMYFUNCTION("""COMPUTED_VALUE"""),34900.0)</f>
        <v>34900</v>
      </c>
      <c r="L1516" s="2">
        <f>IFERROR(__xludf.DUMMYFUNCTION("""COMPUTED_VALUE"""),56.9368604999999)</f>
        <v>56.9368605</v>
      </c>
      <c r="M1516" s="2">
        <f>IFERROR(__xludf.DUMMYFUNCTION("""COMPUTED_VALUE"""),24.0568784734789)</f>
        <v>24.05687847</v>
      </c>
    </row>
    <row r="1517">
      <c r="A1517" s="2" t="str">
        <f>IFERROR(__xludf.DUMMYFUNCTION("""COMPUTED_VALUE"""),"For sale")</f>
        <v>For sale</v>
      </c>
      <c r="B1517" s="2" t="str">
        <f>IFERROR(__xludf.DUMMYFUNCTION("""COMPUTED_VALUE"""),"Teika")</f>
        <v>Teika</v>
      </c>
      <c r="C1517" s="2" t="str">
        <f>IFERROR(__xludf.DUMMYFUNCTION("""COMPUTED_VALUE"""),"Vairoga 32")</f>
        <v>Vairoga 32</v>
      </c>
      <c r="D1517" s="2">
        <f>IFERROR(__xludf.DUMMYFUNCTION("""COMPUTED_VALUE"""),3.0)</f>
        <v>3</v>
      </c>
      <c r="E1517" s="2">
        <f>IFERROR(__xludf.DUMMYFUNCTION("""COMPUTED_VALUE"""),86.0)</f>
        <v>86</v>
      </c>
      <c r="F1517" s="2">
        <f>IFERROR(__xludf.DUMMYFUNCTION("""COMPUTED_VALUE"""),3.0)</f>
        <v>3</v>
      </c>
      <c r="G1517" s="2">
        <f>IFERROR(__xludf.DUMMYFUNCTION("""COMPUTED_VALUE"""),3.0)</f>
        <v>3</v>
      </c>
      <c r="H1517" s="2" t="str">
        <f>IFERROR(__xludf.DUMMYFUNCTION("""COMPUTED_VALUE"""),"Renov.")</f>
        <v>Renov.</v>
      </c>
      <c r="I1517" s="2" t="str">
        <f>IFERROR(__xludf.DUMMYFUNCTION("""COMPUTED_VALUE"""),"Brick-Panel")</f>
        <v>Brick-Panel</v>
      </c>
      <c r="J1517" s="2" t="str">
        <f>IFERROR(__xludf.DUMMYFUNCTION("""COMPUTED_VALUE"""),"All amenities")</f>
        <v>All amenities</v>
      </c>
      <c r="K1517" s="2">
        <f>IFERROR(__xludf.DUMMYFUNCTION("""COMPUTED_VALUE"""),129000.0)</f>
        <v>129000</v>
      </c>
      <c r="L1517" s="2">
        <f>IFERROR(__xludf.DUMMYFUNCTION("""COMPUTED_VALUE"""),56.9690716)</f>
        <v>56.9690716</v>
      </c>
      <c r="M1517" s="2">
        <f>IFERROR(__xludf.DUMMYFUNCTION("""COMPUTED_VALUE"""),24.1716498860135)</f>
        <v>24.17164989</v>
      </c>
    </row>
    <row r="1518">
      <c r="A1518" s="2" t="str">
        <f>IFERROR(__xludf.DUMMYFUNCTION("""COMPUTED_VALUE"""),"For sale")</f>
        <v>For sale</v>
      </c>
      <c r="B1518" s="2" t="str">
        <f>IFERROR(__xludf.DUMMYFUNCTION("""COMPUTED_VALUE"""),"centrs")</f>
        <v>centrs</v>
      </c>
      <c r="C1518" s="2" t="str">
        <f>IFERROR(__xludf.DUMMYFUNCTION("""COMPUTED_VALUE"""),"Tallinas 30")</f>
        <v>Tallinas 30</v>
      </c>
      <c r="D1518" s="2">
        <f>IFERROR(__xludf.DUMMYFUNCTION("""COMPUTED_VALUE"""),1.0)</f>
        <v>1</v>
      </c>
      <c r="E1518" s="2">
        <f>IFERROR(__xludf.DUMMYFUNCTION("""COMPUTED_VALUE"""),42.0)</f>
        <v>42</v>
      </c>
      <c r="F1518" s="2">
        <f>IFERROR(__xludf.DUMMYFUNCTION("""COMPUTED_VALUE"""),4.0)</f>
        <v>4</v>
      </c>
      <c r="G1518" s="2">
        <f>IFERROR(__xludf.DUMMYFUNCTION("""COMPUTED_VALUE"""),4.0)</f>
        <v>4</v>
      </c>
      <c r="H1518" s="2" t="str">
        <f>IFERROR(__xludf.DUMMYFUNCTION("""COMPUTED_VALUE"""),"P. kara")</f>
        <v>P. kara</v>
      </c>
      <c r="I1518" s="2" t="str">
        <f>IFERROR(__xludf.DUMMYFUNCTION("""COMPUTED_VALUE"""),"Masonry")</f>
        <v>Masonry</v>
      </c>
      <c r="J1518" s="2" t="str">
        <f>IFERROR(__xludf.DUMMYFUNCTION("""COMPUTED_VALUE"""),"All amenities")</f>
        <v>All amenities</v>
      </c>
      <c r="K1518" s="2">
        <f>IFERROR(__xludf.DUMMYFUNCTION("""COMPUTED_VALUE"""),77000.0)</f>
        <v>77000</v>
      </c>
      <c r="L1518" s="2">
        <f>IFERROR(__xludf.DUMMYFUNCTION("""COMPUTED_VALUE"""),56.9621313)</f>
        <v>56.9621313</v>
      </c>
      <c r="M1518" s="2">
        <f>IFERROR(__xludf.DUMMYFUNCTION("""COMPUTED_VALUE"""),24.1383736)</f>
        <v>24.1383736</v>
      </c>
    </row>
    <row r="1519">
      <c r="A1519" s="2" t="str">
        <f>IFERROR(__xludf.DUMMYFUNCTION("""COMPUTED_VALUE"""),"For sale")</f>
        <v>For sale</v>
      </c>
      <c r="B1519" s="2" t="str">
        <f>IFERROR(__xludf.DUMMYFUNCTION("""COMPUTED_VALUE"""),"centrs")</f>
        <v>centrs</v>
      </c>
      <c r="C1519" s="2" t="str">
        <f>IFERROR(__xludf.DUMMYFUNCTION("""COMPUTED_VALUE"""),"Ausekļa 4")</f>
        <v>Ausekļa 4</v>
      </c>
      <c r="D1519" s="2">
        <f>IFERROR(__xludf.DUMMYFUNCTION("""COMPUTED_VALUE"""),3.0)</f>
        <v>3</v>
      </c>
      <c r="E1519" s="2">
        <f>IFERROR(__xludf.DUMMYFUNCTION("""COMPUTED_VALUE"""),90.0)</f>
        <v>90</v>
      </c>
      <c r="F1519" s="2">
        <f>IFERROR(__xludf.DUMMYFUNCTION("""COMPUTED_VALUE"""),3.0)</f>
        <v>3</v>
      </c>
      <c r="G1519" s="2">
        <f>IFERROR(__xludf.DUMMYFUNCTION("""COMPUTED_VALUE"""),6.0)</f>
        <v>6</v>
      </c>
      <c r="H1519" s="2" t="str">
        <f>IFERROR(__xludf.DUMMYFUNCTION("""COMPUTED_VALUE"""),"Jaun.")</f>
        <v>Jaun.</v>
      </c>
      <c r="I1519" s="2" t="str">
        <f>IFERROR(__xludf.DUMMYFUNCTION("""COMPUTED_VALUE"""),"Masonry")</f>
        <v>Masonry</v>
      </c>
      <c r="J1519" s="2" t="str">
        <f>IFERROR(__xludf.DUMMYFUNCTION("""COMPUTED_VALUE"""),"All amenities")</f>
        <v>All amenities</v>
      </c>
      <c r="K1519" s="2">
        <f>IFERROR(__xludf.DUMMYFUNCTION("""COMPUTED_VALUE"""),340000.0)</f>
        <v>340000</v>
      </c>
      <c r="L1519" s="2">
        <f>IFERROR(__xludf.DUMMYFUNCTION("""COMPUTED_VALUE"""),56.9600412)</f>
        <v>56.9600412</v>
      </c>
      <c r="M1519" s="2">
        <f>IFERROR(__xludf.DUMMYFUNCTION("""COMPUTED_VALUE"""),24.1003337)</f>
        <v>24.1003337</v>
      </c>
    </row>
    <row r="1520">
      <c r="A1520" s="2" t="str">
        <f>IFERROR(__xludf.DUMMYFUNCTION("""COMPUTED_VALUE"""),"For sale")</f>
        <v>For sale</v>
      </c>
      <c r="B1520" s="2" t="str">
        <f>IFERROR(__xludf.DUMMYFUNCTION("""COMPUTED_VALUE"""),"Ķengarags")</f>
        <v>Ķengarags</v>
      </c>
      <c r="C1520" s="2" t="str">
        <f>IFERROR(__xludf.DUMMYFUNCTION("""COMPUTED_VALUE"""),"Krustpils 46")</f>
        <v>Krustpils 46</v>
      </c>
      <c r="D1520" s="2">
        <f>IFERROR(__xludf.DUMMYFUNCTION("""COMPUTED_VALUE"""),2.0)</f>
        <v>2</v>
      </c>
      <c r="E1520" s="2">
        <f>IFERROR(__xludf.DUMMYFUNCTION("""COMPUTED_VALUE"""),37.0)</f>
        <v>37</v>
      </c>
      <c r="F1520" s="2">
        <f>IFERROR(__xludf.DUMMYFUNCTION("""COMPUTED_VALUE"""),4.0)</f>
        <v>4</v>
      </c>
      <c r="G1520" s="2">
        <f>IFERROR(__xludf.DUMMYFUNCTION("""COMPUTED_VALUE"""),4.0)</f>
        <v>4</v>
      </c>
      <c r="H1520" s="2" t="str">
        <f>IFERROR(__xludf.DUMMYFUNCTION("""COMPUTED_VALUE"""),"M. ģim.")</f>
        <v>M. ģim.</v>
      </c>
      <c r="I1520" s="2" t="str">
        <f>IFERROR(__xludf.DUMMYFUNCTION("""COMPUTED_VALUE"""),"Brick")</f>
        <v>Brick</v>
      </c>
      <c r="J1520" s="2" t="str">
        <f>IFERROR(__xludf.DUMMYFUNCTION("""COMPUTED_VALUE"""),"All amenities")</f>
        <v>All amenities</v>
      </c>
      <c r="K1520" s="2">
        <f>IFERROR(__xludf.DUMMYFUNCTION("""COMPUTED_VALUE"""),12800.0)</f>
        <v>12800</v>
      </c>
      <c r="L1520" s="2">
        <f>IFERROR(__xludf.DUMMYFUNCTION("""COMPUTED_VALUE"""),56.9198151)</f>
        <v>56.9198151</v>
      </c>
      <c r="M1520" s="2">
        <f>IFERROR(__xludf.DUMMYFUNCTION("""COMPUTED_VALUE"""),24.1942607)</f>
        <v>24.1942607</v>
      </c>
    </row>
    <row r="1521">
      <c r="A1521" s="2" t="str">
        <f>IFERROR(__xludf.DUMMYFUNCTION("""COMPUTED_VALUE"""),"For sale")</f>
        <v>For sale</v>
      </c>
      <c r="B1521" s="2" t="str">
        <f>IFERROR(__xludf.DUMMYFUNCTION("""COMPUTED_VALUE"""),"Vecrīga")</f>
        <v>Vecrīga</v>
      </c>
      <c r="C1521" s="2" t="str">
        <f>IFERROR(__xludf.DUMMYFUNCTION("""COMPUTED_VALUE"""),"Kalēju 74")</f>
        <v>Kalēju 74</v>
      </c>
      <c r="D1521" s="2">
        <f>IFERROR(__xludf.DUMMYFUNCTION("""COMPUTED_VALUE"""),3.0)</f>
        <v>3</v>
      </c>
      <c r="E1521" s="2">
        <f>IFERROR(__xludf.DUMMYFUNCTION("""COMPUTED_VALUE"""),102.0)</f>
        <v>102</v>
      </c>
      <c r="F1521" s="2">
        <f>IFERROR(__xludf.DUMMYFUNCTION("""COMPUTED_VALUE"""),2.0)</f>
        <v>2</v>
      </c>
      <c r="G1521" s="2">
        <f>IFERROR(__xludf.DUMMYFUNCTION("""COMPUTED_VALUE"""),4.0)</f>
        <v>4</v>
      </c>
      <c r="H1521" s="2" t="str">
        <f>IFERROR(__xludf.DUMMYFUNCTION("""COMPUTED_VALUE"""),"Jaun.")</f>
        <v>Jaun.</v>
      </c>
      <c r="I1521" s="2" t="str">
        <f>IFERROR(__xludf.DUMMYFUNCTION("""COMPUTED_VALUE"""),"Masonry")</f>
        <v>Masonry</v>
      </c>
      <c r="J1521" s="2" t="str">
        <f>IFERROR(__xludf.DUMMYFUNCTION("""COMPUTED_VALUE"""),"All amenities")</f>
        <v>All amenities</v>
      </c>
      <c r="K1521" s="2">
        <f>IFERROR(__xludf.DUMMYFUNCTION("""COMPUTED_VALUE"""),250000.0)</f>
        <v>250000</v>
      </c>
      <c r="L1521" s="2">
        <f>IFERROR(__xludf.DUMMYFUNCTION("""COMPUTED_VALUE"""),56.945456)</f>
        <v>56.945456</v>
      </c>
      <c r="M1521" s="2">
        <f>IFERROR(__xludf.DUMMYFUNCTION("""COMPUTED_VALUE"""),24.1115799)</f>
        <v>24.1115799</v>
      </c>
    </row>
    <row r="1522">
      <c r="A1522" s="2" t="str">
        <f>IFERROR(__xludf.DUMMYFUNCTION("""COMPUTED_VALUE"""),"For sale")</f>
        <v>For sale</v>
      </c>
      <c r="B1522" s="2" t="str">
        <f>IFERROR(__xludf.DUMMYFUNCTION("""COMPUTED_VALUE"""),"Teika")</f>
        <v>Teika</v>
      </c>
      <c r="C1522" s="2" t="str">
        <f>IFERROR(__xludf.DUMMYFUNCTION("""COMPUTED_VALUE"""),"Ropažu 12")</f>
        <v>Ropažu 12</v>
      </c>
      <c r="D1522" s="2">
        <f>IFERROR(__xludf.DUMMYFUNCTION("""COMPUTED_VALUE"""),3.0)</f>
        <v>3</v>
      </c>
      <c r="E1522" s="2">
        <f>IFERROR(__xludf.DUMMYFUNCTION("""COMPUTED_VALUE"""),96.0)</f>
        <v>96</v>
      </c>
      <c r="F1522" s="2">
        <f>IFERROR(__xludf.DUMMYFUNCTION("""COMPUTED_VALUE"""),10.0)</f>
        <v>10</v>
      </c>
      <c r="G1522" s="2">
        <f>IFERROR(__xludf.DUMMYFUNCTION("""COMPUTED_VALUE"""),12.0)</f>
        <v>12</v>
      </c>
      <c r="H1522" s="2" t="str">
        <f>IFERROR(__xludf.DUMMYFUNCTION("""COMPUTED_VALUE"""),"Jaun.")</f>
        <v>Jaun.</v>
      </c>
      <c r="I1522" s="2" t="str">
        <f>IFERROR(__xludf.DUMMYFUNCTION("""COMPUTED_VALUE"""),"Panel")</f>
        <v>Panel</v>
      </c>
      <c r="J1522" s="2" t="str">
        <f>IFERROR(__xludf.DUMMYFUNCTION("""COMPUTED_VALUE"""),"All amenities")</f>
        <v>All amenities</v>
      </c>
      <c r="K1522" s="2">
        <f>IFERROR(__xludf.DUMMYFUNCTION("""COMPUTED_VALUE"""),179000.0)</f>
        <v>179000</v>
      </c>
      <c r="L1522" s="2">
        <f>IFERROR(__xludf.DUMMYFUNCTION("""COMPUTED_VALUE"""),56.97725905)</f>
        <v>56.97725905</v>
      </c>
      <c r="M1522" s="2">
        <f>IFERROR(__xludf.DUMMYFUNCTION("""COMPUTED_VALUE"""),24.1667266999254)</f>
        <v>24.1667267</v>
      </c>
    </row>
    <row r="1523">
      <c r="A1523" s="2" t="str">
        <f>IFERROR(__xludf.DUMMYFUNCTION("""COMPUTED_VALUE"""),"For rent")</f>
        <v>For rent</v>
      </c>
      <c r="B1523" s="2" t="str">
        <f>IFERROR(__xludf.DUMMYFUNCTION("""COMPUTED_VALUE"""),"Ziepniekkalns")</f>
        <v>Ziepniekkalns</v>
      </c>
      <c r="C1523" s="2" t="str">
        <f>IFERROR(__xludf.DUMMYFUNCTION("""COMPUTED_VALUE"""),"Ziepniekkalna 70")</f>
        <v>Ziepniekkalna 70</v>
      </c>
      <c r="D1523" s="2">
        <f>IFERROR(__xludf.DUMMYFUNCTION("""COMPUTED_VALUE"""),2.0)</f>
        <v>2</v>
      </c>
      <c r="E1523" s="2">
        <f>IFERROR(__xludf.DUMMYFUNCTION("""COMPUTED_VALUE"""),61.0)</f>
        <v>61</v>
      </c>
      <c r="F1523" s="2">
        <f>IFERROR(__xludf.DUMMYFUNCTION("""COMPUTED_VALUE"""),1.0)</f>
        <v>1</v>
      </c>
      <c r="G1523" s="2">
        <f>IFERROR(__xludf.DUMMYFUNCTION("""COMPUTED_VALUE"""),4.0)</f>
        <v>4</v>
      </c>
      <c r="H1523" s="2" t="str">
        <f>IFERROR(__xludf.DUMMYFUNCTION("""COMPUTED_VALUE"""),"Jaun.")</f>
        <v>Jaun.</v>
      </c>
      <c r="I1523" s="2" t="str">
        <f>IFERROR(__xludf.DUMMYFUNCTION("""COMPUTED_VALUE"""),"Masonry")</f>
        <v>Masonry</v>
      </c>
      <c r="J1523" s="2" t="str">
        <f>IFERROR(__xludf.DUMMYFUNCTION("""COMPUTED_VALUE"""),"All amenities")</f>
        <v>All amenities</v>
      </c>
      <c r="K1523" s="2">
        <f>IFERROR(__xludf.DUMMYFUNCTION("""COMPUTED_VALUE"""),370.0)</f>
        <v>370</v>
      </c>
      <c r="L1523" s="2">
        <f>IFERROR(__xludf.DUMMYFUNCTION("""COMPUTED_VALUE"""),56.8974581)</f>
        <v>56.8974581</v>
      </c>
      <c r="M1523" s="2">
        <f>IFERROR(__xludf.DUMMYFUNCTION("""COMPUTED_VALUE"""),24.1389382)</f>
        <v>24.1389382</v>
      </c>
    </row>
    <row r="1524">
      <c r="A1524" s="2" t="str">
        <f>IFERROR(__xludf.DUMMYFUNCTION("""COMPUTED_VALUE"""),"For sale")</f>
        <v>For sale</v>
      </c>
      <c r="B1524" s="2" t="str">
        <f>IFERROR(__xludf.DUMMYFUNCTION("""COMPUTED_VALUE"""),"centrs")</f>
        <v>centrs</v>
      </c>
      <c r="C1524" s="2" t="str">
        <f>IFERROR(__xludf.DUMMYFUNCTION("""COMPUTED_VALUE"""),"Antonijas 26")</f>
        <v>Antonijas 26</v>
      </c>
      <c r="D1524" s="2">
        <f>IFERROR(__xludf.DUMMYFUNCTION("""COMPUTED_VALUE"""),4.0)</f>
        <v>4</v>
      </c>
      <c r="E1524" s="2">
        <f>IFERROR(__xludf.DUMMYFUNCTION("""COMPUTED_VALUE"""),101.0)</f>
        <v>101</v>
      </c>
      <c r="F1524" s="2">
        <f>IFERROR(__xludf.DUMMYFUNCTION("""COMPUTED_VALUE"""),4.0)</f>
        <v>4</v>
      </c>
      <c r="G1524" s="2">
        <f>IFERROR(__xludf.DUMMYFUNCTION("""COMPUTED_VALUE"""),6.0)</f>
        <v>6</v>
      </c>
      <c r="H1524" s="2" t="str">
        <f>IFERROR(__xludf.DUMMYFUNCTION("""COMPUTED_VALUE"""),"Jaun.")</f>
        <v>Jaun.</v>
      </c>
      <c r="I1524" s="2" t="str">
        <f>IFERROR(__xludf.DUMMYFUNCTION("""COMPUTED_VALUE"""),"Masonry")</f>
        <v>Masonry</v>
      </c>
      <c r="J1524" s="2" t="str">
        <f>IFERROR(__xludf.DUMMYFUNCTION("""COMPUTED_VALUE"""),"All amenities")</f>
        <v>All amenities</v>
      </c>
      <c r="K1524" s="2">
        <f>IFERROR(__xludf.DUMMYFUNCTION("""COMPUTED_VALUE"""),315000.0)</f>
        <v>315000</v>
      </c>
      <c r="L1524" s="2">
        <f>IFERROR(__xludf.DUMMYFUNCTION("""COMPUTED_VALUE"""),56.9605146)</f>
        <v>56.9605146</v>
      </c>
      <c r="M1524" s="2">
        <f>IFERROR(__xludf.DUMMYFUNCTION("""COMPUTED_VALUE"""),24.1149201)</f>
        <v>24.1149201</v>
      </c>
    </row>
    <row r="1525">
      <c r="A1525" s="2" t="str">
        <f>IFERROR(__xludf.DUMMYFUNCTION("""COMPUTED_VALUE"""),"For rent")</f>
        <v>For rent</v>
      </c>
      <c r="B1525" s="2" t="str">
        <f>IFERROR(__xludf.DUMMYFUNCTION("""COMPUTED_VALUE"""),"centrs")</f>
        <v>centrs</v>
      </c>
      <c r="C1525" s="2" t="str">
        <f>IFERROR(__xludf.DUMMYFUNCTION("""COMPUTED_VALUE"""),"Brīvības 156")</f>
        <v>Brīvības 156</v>
      </c>
      <c r="D1525" s="2">
        <f>IFERROR(__xludf.DUMMYFUNCTION("""COMPUTED_VALUE"""),1.0)</f>
        <v>1</v>
      </c>
      <c r="E1525" s="2">
        <f>IFERROR(__xludf.DUMMYFUNCTION("""COMPUTED_VALUE"""),30.0)</f>
        <v>30</v>
      </c>
      <c r="F1525" s="2">
        <f>IFERROR(__xludf.DUMMYFUNCTION("""COMPUTED_VALUE"""),2.0)</f>
        <v>2</v>
      </c>
      <c r="G1525" s="2">
        <f>IFERROR(__xludf.DUMMYFUNCTION("""COMPUTED_VALUE"""),4.0)</f>
        <v>4</v>
      </c>
      <c r="H1525" s="2" t="str">
        <f>IFERROR(__xludf.DUMMYFUNCTION("""COMPUTED_VALUE"""),"Specpr.")</f>
        <v>Specpr.</v>
      </c>
      <c r="I1525" s="2" t="str">
        <f>IFERROR(__xludf.DUMMYFUNCTION("""COMPUTED_VALUE"""),"Brick")</f>
        <v>Brick</v>
      </c>
      <c r="J1525" s="2" t="str">
        <f>IFERROR(__xludf.DUMMYFUNCTION("""COMPUTED_VALUE"""),"All amenities")</f>
        <v>All amenities</v>
      </c>
      <c r="K1525" s="2">
        <f>IFERROR(__xludf.DUMMYFUNCTION("""COMPUTED_VALUE"""),350.0)</f>
        <v>350</v>
      </c>
      <c r="L1525" s="2">
        <f>IFERROR(__xludf.DUMMYFUNCTION("""COMPUTED_VALUE"""),56.9651947)</f>
        <v>56.9651947</v>
      </c>
      <c r="M1525" s="2">
        <f>IFERROR(__xludf.DUMMYFUNCTION("""COMPUTED_VALUE"""),24.1427693772217)</f>
        <v>24.14276938</v>
      </c>
    </row>
    <row r="1526">
      <c r="A1526" s="2" t="str">
        <f>IFERROR(__xludf.DUMMYFUNCTION("""COMPUTED_VALUE"""),"For sale")</f>
        <v>For sale</v>
      </c>
      <c r="B1526" s="2" t="str">
        <f>IFERROR(__xludf.DUMMYFUNCTION("""COMPUTED_VALUE"""),"Zolitūde")</f>
        <v>Zolitūde</v>
      </c>
      <c r="C1526" s="2" t="str">
        <f>IFERROR(__xludf.DUMMYFUNCTION("""COMPUTED_VALUE"""),"Endzelīna 32")</f>
        <v>Endzelīna 32</v>
      </c>
      <c r="D1526" s="2">
        <f>IFERROR(__xludf.DUMMYFUNCTION("""COMPUTED_VALUE"""),2.0)</f>
        <v>2</v>
      </c>
      <c r="E1526" s="2">
        <f>IFERROR(__xludf.DUMMYFUNCTION("""COMPUTED_VALUE"""),58.0)</f>
        <v>58</v>
      </c>
      <c r="F1526" s="2">
        <f>IFERROR(__xludf.DUMMYFUNCTION("""COMPUTED_VALUE"""),5.0)</f>
        <v>5</v>
      </c>
      <c r="G1526" s="2">
        <f>IFERROR(__xludf.DUMMYFUNCTION("""COMPUTED_VALUE"""),5.0)</f>
        <v>5</v>
      </c>
      <c r="H1526" s="2" t="str">
        <f>IFERROR(__xludf.DUMMYFUNCTION("""COMPUTED_VALUE"""),"Jaun.")</f>
        <v>Jaun.</v>
      </c>
      <c r="I1526" s="2" t="str">
        <f>IFERROR(__xludf.DUMMYFUNCTION("""COMPUTED_VALUE"""),"Panel")</f>
        <v>Panel</v>
      </c>
      <c r="J1526" s="2" t="str">
        <f>IFERROR(__xludf.DUMMYFUNCTION("""COMPUTED_VALUE"""),"All amenities")</f>
        <v>All amenities</v>
      </c>
      <c r="K1526" s="2">
        <f>IFERROR(__xludf.DUMMYFUNCTION("""COMPUTED_VALUE"""),103000.0)</f>
        <v>103000</v>
      </c>
      <c r="L1526" s="2">
        <f>IFERROR(__xludf.DUMMYFUNCTION("""COMPUTED_VALUE"""),56.94393325)</f>
        <v>56.94393325</v>
      </c>
      <c r="M1526" s="2">
        <f>IFERROR(__xludf.DUMMYFUNCTION("""COMPUTED_VALUE"""),24.027633057183)</f>
        <v>24.02763306</v>
      </c>
    </row>
    <row r="1527">
      <c r="A1527" s="2" t="str">
        <f>IFERROR(__xludf.DUMMYFUNCTION("""COMPUTED_VALUE"""),"For sale")</f>
        <v>For sale</v>
      </c>
      <c r="B1527" s="2" t="str">
        <f>IFERROR(__xludf.DUMMYFUNCTION("""COMPUTED_VALUE"""),"Āgenskalns")</f>
        <v>Āgenskalns</v>
      </c>
      <c r="C1527" s="2" t="str">
        <f>IFERROR(__xludf.DUMMYFUNCTION("""COMPUTED_VALUE"""),"Melnsila 14")</f>
        <v>Melnsila 14</v>
      </c>
      <c r="D1527" s="2">
        <f>IFERROR(__xludf.DUMMYFUNCTION("""COMPUTED_VALUE"""),1.0)</f>
        <v>1</v>
      </c>
      <c r="E1527" s="2">
        <f>IFERROR(__xludf.DUMMYFUNCTION("""COMPUTED_VALUE"""),28.0)</f>
        <v>28</v>
      </c>
      <c r="F1527" s="2">
        <f>IFERROR(__xludf.DUMMYFUNCTION("""COMPUTED_VALUE"""),1.0)</f>
        <v>1</v>
      </c>
      <c r="G1527" s="2">
        <f>IFERROR(__xludf.DUMMYFUNCTION("""COMPUTED_VALUE"""),3.0)</f>
        <v>3</v>
      </c>
      <c r="H1527" s="2" t="str">
        <f>IFERROR(__xludf.DUMMYFUNCTION("""COMPUTED_VALUE"""),"Renov.")</f>
        <v>Renov.</v>
      </c>
      <c r="I1527" s="2" t="str">
        <f>IFERROR(__xludf.DUMMYFUNCTION("""COMPUTED_VALUE"""),"Wood")</f>
        <v>Wood</v>
      </c>
      <c r="J1527" s="2" t="str">
        <f>IFERROR(__xludf.DUMMYFUNCTION("""COMPUTED_VALUE"""),"All amenities")</f>
        <v>All amenities</v>
      </c>
      <c r="K1527" s="2">
        <f>IFERROR(__xludf.DUMMYFUNCTION("""COMPUTED_VALUE"""),46000.0)</f>
        <v>46000</v>
      </c>
      <c r="L1527" s="2">
        <f>IFERROR(__xludf.DUMMYFUNCTION("""COMPUTED_VALUE"""),56.94402935)</f>
        <v>56.94402935</v>
      </c>
      <c r="M1527" s="2">
        <f>IFERROR(__xludf.DUMMYFUNCTION("""COMPUTED_VALUE"""),24.0666393160705)</f>
        <v>24.06663932</v>
      </c>
    </row>
    <row r="1528">
      <c r="A1528" s="2" t="str">
        <f>IFERROR(__xludf.DUMMYFUNCTION("""COMPUTED_VALUE"""),"For sale")</f>
        <v>For sale</v>
      </c>
      <c r="B1528" s="2" t="str">
        <f>IFERROR(__xludf.DUMMYFUNCTION("""COMPUTED_VALUE"""),"Ķengarags")</f>
        <v>Ķengarags</v>
      </c>
      <c r="C1528" s="2" t="str">
        <f>IFERROR(__xludf.DUMMYFUNCTION("""COMPUTED_VALUE"""),"Krustpils 73/4")</f>
        <v>Krustpils 73/4</v>
      </c>
      <c r="D1528" s="2">
        <f>IFERROR(__xludf.DUMMYFUNCTION("""COMPUTED_VALUE"""),2.0)</f>
        <v>2</v>
      </c>
      <c r="E1528" s="2">
        <f>IFERROR(__xludf.DUMMYFUNCTION("""COMPUTED_VALUE"""),19.0)</f>
        <v>19</v>
      </c>
      <c r="F1528" s="2">
        <f>IFERROR(__xludf.DUMMYFUNCTION("""COMPUTED_VALUE"""),2.0)</f>
        <v>2</v>
      </c>
      <c r="G1528" s="2">
        <f>IFERROR(__xludf.DUMMYFUNCTION("""COMPUTED_VALUE"""),4.0)</f>
        <v>4</v>
      </c>
      <c r="H1528" s="2" t="str">
        <f>IFERROR(__xludf.DUMMYFUNCTION("""COMPUTED_VALUE"""),"Hrušč.")</f>
        <v>Hrušč.</v>
      </c>
      <c r="I1528" s="2" t="str">
        <f>IFERROR(__xludf.DUMMYFUNCTION("""COMPUTED_VALUE"""),"Brick")</f>
        <v>Brick</v>
      </c>
      <c r="J1528" s="2" t="str">
        <f>IFERROR(__xludf.DUMMYFUNCTION("""COMPUTED_VALUE"""),"All amenities")</f>
        <v>All amenities</v>
      </c>
      <c r="K1528" s="2">
        <f>IFERROR(__xludf.DUMMYFUNCTION("""COMPUTED_VALUE"""),6890.0)</f>
        <v>6890</v>
      </c>
      <c r="L1528" s="2">
        <f>IFERROR(__xludf.DUMMYFUNCTION("""COMPUTED_VALUE"""),56.9293636)</f>
        <v>56.9293636</v>
      </c>
      <c r="M1528" s="2">
        <f>IFERROR(__xludf.DUMMYFUNCTION("""COMPUTED_VALUE"""),24.1835723)</f>
        <v>24.1835723</v>
      </c>
    </row>
    <row r="1529">
      <c r="A1529" s="2" t="str">
        <f>IFERROR(__xludf.DUMMYFUNCTION("""COMPUTED_VALUE"""),"For sale")</f>
        <v>For sale</v>
      </c>
      <c r="B1529" s="2" t="str">
        <f>IFERROR(__xludf.DUMMYFUNCTION("""COMPUTED_VALUE"""),"Vecmīlgrāvis")</f>
        <v>Vecmīlgrāvis</v>
      </c>
      <c r="C1529" s="2" t="str">
        <f>IFERROR(__xludf.DUMMYFUNCTION("""COMPUTED_VALUE"""),"Dombrovska 11")</f>
        <v>Dombrovska 11</v>
      </c>
      <c r="D1529" s="2">
        <f>IFERROR(__xludf.DUMMYFUNCTION("""COMPUTED_VALUE"""),2.0)</f>
        <v>2</v>
      </c>
      <c r="E1529" s="2">
        <f>IFERROR(__xludf.DUMMYFUNCTION("""COMPUTED_VALUE"""),27.0)</f>
        <v>27</v>
      </c>
      <c r="F1529" s="2">
        <f>IFERROR(__xludf.DUMMYFUNCTION("""COMPUTED_VALUE"""),3.0)</f>
        <v>3</v>
      </c>
      <c r="G1529" s="2">
        <f>IFERROR(__xludf.DUMMYFUNCTION("""COMPUTED_VALUE"""),3.0)</f>
        <v>3</v>
      </c>
      <c r="H1529" s="2" t="str">
        <f>IFERROR(__xludf.DUMMYFUNCTION("""COMPUTED_VALUE"""),"Specpr.")</f>
        <v>Specpr.</v>
      </c>
      <c r="I1529" s="2" t="str">
        <f>IFERROR(__xludf.DUMMYFUNCTION("""COMPUTED_VALUE"""),"Masonry")</f>
        <v>Masonry</v>
      </c>
      <c r="J1529" s="2" t="str">
        <f>IFERROR(__xludf.DUMMYFUNCTION("""COMPUTED_VALUE"""),"All amenities")</f>
        <v>All amenities</v>
      </c>
      <c r="K1529" s="2">
        <f>IFERROR(__xludf.DUMMYFUNCTION("""COMPUTED_VALUE"""),9490.0)</f>
        <v>9490</v>
      </c>
      <c r="L1529" s="2">
        <f>IFERROR(__xludf.DUMMYFUNCTION("""COMPUTED_VALUE"""),57.0297012)</f>
        <v>57.0297012</v>
      </c>
      <c r="M1529" s="2">
        <f>IFERROR(__xludf.DUMMYFUNCTION("""COMPUTED_VALUE"""),24.1128846683999)</f>
        <v>24.11288467</v>
      </c>
    </row>
    <row r="1530">
      <c r="A1530" s="2" t="str">
        <f>IFERROR(__xludf.DUMMYFUNCTION("""COMPUTED_VALUE"""),"For sale")</f>
        <v>For sale</v>
      </c>
      <c r="B1530" s="2" t="str">
        <f>IFERROR(__xludf.DUMMYFUNCTION("""COMPUTED_VALUE"""),"centrs")</f>
        <v>centrs</v>
      </c>
      <c r="C1530" s="2" t="str">
        <f>IFERROR(__xludf.DUMMYFUNCTION("""COMPUTED_VALUE"""),"Skolas 30")</f>
        <v>Skolas 30</v>
      </c>
      <c r="D1530" s="2">
        <f>IFERROR(__xludf.DUMMYFUNCTION("""COMPUTED_VALUE"""),3.0)</f>
        <v>3</v>
      </c>
      <c r="E1530" s="2">
        <f>IFERROR(__xludf.DUMMYFUNCTION("""COMPUTED_VALUE"""),96.0)</f>
        <v>96</v>
      </c>
      <c r="F1530" s="2">
        <f>IFERROR(__xludf.DUMMYFUNCTION("""COMPUTED_VALUE"""),3.0)</f>
        <v>3</v>
      </c>
      <c r="G1530" s="2">
        <f>IFERROR(__xludf.DUMMYFUNCTION("""COMPUTED_VALUE"""),6.0)</f>
        <v>6</v>
      </c>
      <c r="H1530" s="2" t="str">
        <f>IFERROR(__xludf.DUMMYFUNCTION("""COMPUTED_VALUE"""),"P. kara")</f>
        <v>P. kara</v>
      </c>
      <c r="I1530" s="2" t="str">
        <f>IFERROR(__xludf.DUMMYFUNCTION("""COMPUTED_VALUE"""),"Masonry")</f>
        <v>Masonry</v>
      </c>
      <c r="J1530" s="2" t="str">
        <f>IFERROR(__xludf.DUMMYFUNCTION("""COMPUTED_VALUE"""),"All amenities")</f>
        <v>All amenities</v>
      </c>
      <c r="K1530" s="2">
        <f>IFERROR(__xludf.DUMMYFUNCTION("""COMPUTED_VALUE"""),192000.0)</f>
        <v>192000</v>
      </c>
      <c r="L1530" s="2">
        <f>IFERROR(__xludf.DUMMYFUNCTION("""COMPUTED_VALUE"""),48.2969502)</f>
        <v>48.2969502</v>
      </c>
      <c r="M1530" s="2">
        <f>IFERROR(__xludf.DUMMYFUNCTION("""COMPUTED_VALUE"""),-100.7081938)</f>
        <v>-100.7081938</v>
      </c>
    </row>
    <row r="1531">
      <c r="A1531" s="2" t="str">
        <f>IFERROR(__xludf.DUMMYFUNCTION("""COMPUTED_VALUE"""),"For sale")</f>
        <v>For sale</v>
      </c>
      <c r="B1531" s="2" t="str">
        <f>IFERROR(__xludf.DUMMYFUNCTION("""COMPUTED_VALUE"""),"Āgenskalns")</f>
        <v>Āgenskalns</v>
      </c>
      <c r="C1531" s="2" t="str">
        <f>IFERROR(__xludf.DUMMYFUNCTION("""COMPUTED_VALUE"""),"Melnsila 14")</f>
        <v>Melnsila 14</v>
      </c>
      <c r="D1531" s="2">
        <f>IFERROR(__xludf.DUMMYFUNCTION("""COMPUTED_VALUE"""),3.0)</f>
        <v>3</v>
      </c>
      <c r="E1531" s="2">
        <f>IFERROR(__xludf.DUMMYFUNCTION("""COMPUTED_VALUE"""),64.0)</f>
        <v>64</v>
      </c>
      <c r="F1531" s="2">
        <f>IFERROR(__xludf.DUMMYFUNCTION("""COMPUTED_VALUE"""),2.0)</f>
        <v>2</v>
      </c>
      <c r="G1531" s="2">
        <f>IFERROR(__xludf.DUMMYFUNCTION("""COMPUTED_VALUE"""),3.0)</f>
        <v>3</v>
      </c>
      <c r="H1531" s="2" t="str">
        <f>IFERROR(__xludf.DUMMYFUNCTION("""COMPUTED_VALUE"""),"Renov.")</f>
        <v>Renov.</v>
      </c>
      <c r="I1531" s="2" t="str">
        <f>IFERROR(__xludf.DUMMYFUNCTION("""COMPUTED_VALUE"""),"Wood")</f>
        <v>Wood</v>
      </c>
      <c r="J1531" s="2" t="str">
        <f>IFERROR(__xludf.DUMMYFUNCTION("""COMPUTED_VALUE"""),"All amenities")</f>
        <v>All amenities</v>
      </c>
      <c r="K1531" s="2">
        <f>IFERROR(__xludf.DUMMYFUNCTION("""COMPUTED_VALUE"""),102000.0)</f>
        <v>102000</v>
      </c>
      <c r="L1531" s="2">
        <f>IFERROR(__xludf.DUMMYFUNCTION("""COMPUTED_VALUE"""),56.94402935)</f>
        <v>56.94402935</v>
      </c>
      <c r="M1531" s="2">
        <f>IFERROR(__xludf.DUMMYFUNCTION("""COMPUTED_VALUE"""),24.0666393160705)</f>
        <v>24.06663932</v>
      </c>
    </row>
    <row r="1532">
      <c r="A1532" s="2" t="str">
        <f>IFERROR(__xludf.DUMMYFUNCTION("""COMPUTED_VALUE"""),"For sale")</f>
        <v>For sale</v>
      </c>
      <c r="B1532" s="2" t="str">
        <f>IFERROR(__xludf.DUMMYFUNCTION("""COMPUTED_VALUE"""),"Jugla")</f>
        <v>Jugla</v>
      </c>
      <c r="C1532" s="2" t="str">
        <f>IFERROR(__xludf.DUMMYFUNCTION("""COMPUTED_VALUE"""),"Silciema 25")</f>
        <v>Silciema 25</v>
      </c>
      <c r="D1532" s="2">
        <f>IFERROR(__xludf.DUMMYFUNCTION("""COMPUTED_VALUE"""),3.0)</f>
        <v>3</v>
      </c>
      <c r="E1532" s="2">
        <f>IFERROR(__xludf.DUMMYFUNCTION("""COMPUTED_VALUE"""),80.0)</f>
        <v>80</v>
      </c>
      <c r="F1532" s="2">
        <f>IFERROR(__xludf.DUMMYFUNCTION("""COMPUTED_VALUE"""),2.0)</f>
        <v>2</v>
      </c>
      <c r="G1532" s="2">
        <f>IFERROR(__xludf.DUMMYFUNCTION("""COMPUTED_VALUE"""),2.0)</f>
        <v>2</v>
      </c>
      <c r="H1532" s="2" t="str">
        <f>IFERROR(__xludf.DUMMYFUNCTION("""COMPUTED_VALUE"""),"Priv. m.")</f>
        <v>Priv. m.</v>
      </c>
      <c r="I1532" s="2" t="str">
        <f>IFERROR(__xludf.DUMMYFUNCTION("""COMPUTED_VALUE"""),"Masonry")</f>
        <v>Masonry</v>
      </c>
      <c r="J1532" s="2" t="str">
        <f>IFERROR(__xludf.DUMMYFUNCTION("""COMPUTED_VALUE"""),"All amenities")</f>
        <v>All amenities</v>
      </c>
      <c r="K1532" s="2">
        <f>IFERROR(__xludf.DUMMYFUNCTION("""COMPUTED_VALUE"""),49000.0)</f>
        <v>49000</v>
      </c>
      <c r="L1532" s="2">
        <f>IFERROR(__xludf.DUMMYFUNCTION("""COMPUTED_VALUE"""),56.9835916)</f>
        <v>56.9835916</v>
      </c>
      <c r="M1532" s="2">
        <f>IFERROR(__xludf.DUMMYFUNCTION("""COMPUTED_VALUE"""),24.2403602692592)</f>
        <v>24.24036027</v>
      </c>
    </row>
    <row r="1533">
      <c r="A1533" s="2" t="str">
        <f>IFERROR(__xludf.DUMMYFUNCTION("""COMPUTED_VALUE"""),"For sale")</f>
        <v>For sale</v>
      </c>
      <c r="B1533" s="2" t="str">
        <f>IFERROR(__xludf.DUMMYFUNCTION("""COMPUTED_VALUE"""),"centrs")</f>
        <v>centrs</v>
      </c>
      <c r="C1533" s="2" t="str">
        <f>IFERROR(__xludf.DUMMYFUNCTION("""COMPUTED_VALUE"""),"Lāčplēša 62")</f>
        <v>Lāčplēša 62</v>
      </c>
      <c r="D1533" s="2">
        <f>IFERROR(__xludf.DUMMYFUNCTION("""COMPUTED_VALUE"""),3.0)</f>
        <v>3</v>
      </c>
      <c r="E1533" s="2">
        <f>IFERROR(__xludf.DUMMYFUNCTION("""COMPUTED_VALUE"""),101.9)</f>
        <v>101.9</v>
      </c>
      <c r="F1533" s="2">
        <f>IFERROR(__xludf.DUMMYFUNCTION("""COMPUTED_VALUE"""),2.0)</f>
        <v>2</v>
      </c>
      <c r="G1533" s="2">
        <f>IFERROR(__xludf.DUMMYFUNCTION("""COMPUTED_VALUE"""),6.0)</f>
        <v>6</v>
      </c>
      <c r="H1533" s="2" t="str">
        <f>IFERROR(__xludf.DUMMYFUNCTION("""COMPUTED_VALUE"""),"P. kara")</f>
        <v>P. kara</v>
      </c>
      <c r="I1533" s="2" t="str">
        <f>IFERROR(__xludf.DUMMYFUNCTION("""COMPUTED_VALUE"""),"Brick")</f>
        <v>Brick</v>
      </c>
      <c r="J1533" s="2" t="str">
        <f>IFERROR(__xludf.DUMMYFUNCTION("""COMPUTED_VALUE"""),"All amenities")</f>
        <v>All amenities</v>
      </c>
      <c r="K1533" s="2">
        <f>IFERROR(__xludf.DUMMYFUNCTION("""COMPUTED_VALUE"""),125000.0)</f>
        <v>125000</v>
      </c>
      <c r="L1533" s="2">
        <f>IFERROR(__xludf.DUMMYFUNCTION("""COMPUTED_VALUE"""),56.9510949)</f>
        <v>56.9510949</v>
      </c>
      <c r="M1533" s="2">
        <f>IFERROR(__xludf.DUMMYFUNCTION("""COMPUTED_VALUE"""),24.1313031)</f>
        <v>24.1313031</v>
      </c>
    </row>
    <row r="1534">
      <c r="A1534" s="2" t="str">
        <f>IFERROR(__xludf.DUMMYFUNCTION("""COMPUTED_VALUE"""),"For rent")</f>
        <v>For rent</v>
      </c>
      <c r="B1534" s="2" t="str">
        <f>IFERROR(__xludf.DUMMYFUNCTION("""COMPUTED_VALUE"""),"Ķengarags")</f>
        <v>Ķengarags</v>
      </c>
      <c r="C1534" s="2" t="str">
        <f>IFERROR(__xludf.DUMMYFUNCTION("""COMPUTED_VALUE"""),"Ikšķiles 11")</f>
        <v>Ikšķiles 11</v>
      </c>
      <c r="D1534" s="2">
        <f>IFERROR(__xludf.DUMMYFUNCTION("""COMPUTED_VALUE"""),1.0)</f>
        <v>1</v>
      </c>
      <c r="E1534" s="2">
        <f>IFERROR(__xludf.DUMMYFUNCTION("""COMPUTED_VALUE"""),18.0)</f>
        <v>18</v>
      </c>
      <c r="F1534" s="2">
        <f>IFERROR(__xludf.DUMMYFUNCTION("""COMPUTED_VALUE"""),5.0)</f>
        <v>5</v>
      </c>
      <c r="G1534" s="2">
        <f>IFERROR(__xludf.DUMMYFUNCTION("""COMPUTED_VALUE"""),5.0)</f>
        <v>5</v>
      </c>
      <c r="H1534" s="2" t="str">
        <f>IFERROR(__xludf.DUMMYFUNCTION("""COMPUTED_VALUE"""),"LT proj.")</f>
        <v>LT proj.</v>
      </c>
      <c r="I1534" s="2" t="str">
        <f>IFERROR(__xludf.DUMMYFUNCTION("""COMPUTED_VALUE"""),"Panel")</f>
        <v>Panel</v>
      </c>
      <c r="J1534" s="2" t="str">
        <f>IFERROR(__xludf.DUMMYFUNCTION("""COMPUTED_VALUE"""),"All amenities")</f>
        <v>All amenities</v>
      </c>
      <c r="K1534" s="2">
        <f>IFERROR(__xludf.DUMMYFUNCTION("""COMPUTED_VALUE"""),150.0)</f>
        <v>150</v>
      </c>
      <c r="L1534" s="2">
        <f>IFERROR(__xludf.DUMMYFUNCTION("""COMPUTED_VALUE"""),56.90357165)</f>
        <v>56.90357165</v>
      </c>
      <c r="M1534" s="2">
        <f>IFERROR(__xludf.DUMMYFUNCTION("""COMPUTED_VALUE"""),24.206434780106)</f>
        <v>24.20643478</v>
      </c>
    </row>
    <row r="1535">
      <c r="A1535" s="2" t="str">
        <f>IFERROR(__xludf.DUMMYFUNCTION("""COMPUTED_VALUE"""),"For sale")</f>
        <v>For sale</v>
      </c>
      <c r="B1535" s="2" t="str">
        <f>IFERROR(__xludf.DUMMYFUNCTION("""COMPUTED_VALUE"""),"Ziepniekkalns")</f>
        <v>Ziepniekkalns</v>
      </c>
      <c r="C1535" s="2" t="str">
        <f>IFERROR(__xludf.DUMMYFUNCTION("""COMPUTED_VALUE"""),"Komētas 26")</f>
        <v>Komētas 26</v>
      </c>
      <c r="D1535" s="2">
        <f>IFERROR(__xludf.DUMMYFUNCTION("""COMPUTED_VALUE"""),3.0)</f>
        <v>3</v>
      </c>
      <c r="E1535" s="2">
        <f>IFERROR(__xludf.DUMMYFUNCTION("""COMPUTED_VALUE"""),77.0)</f>
        <v>77</v>
      </c>
      <c r="F1535" s="2">
        <f>IFERROR(__xludf.DUMMYFUNCTION("""COMPUTED_VALUE"""),1.0)</f>
        <v>1</v>
      </c>
      <c r="G1535" s="2">
        <f>IFERROR(__xludf.DUMMYFUNCTION("""COMPUTED_VALUE"""),4.0)</f>
        <v>4</v>
      </c>
      <c r="H1535" s="2" t="str">
        <f>IFERROR(__xludf.DUMMYFUNCTION("""COMPUTED_VALUE"""),"Jaun.")</f>
        <v>Jaun.</v>
      </c>
      <c r="I1535" s="2" t="str">
        <f>IFERROR(__xludf.DUMMYFUNCTION("""COMPUTED_VALUE"""),"Panel-Brick")</f>
        <v>Panel-Brick</v>
      </c>
      <c r="J1535" s="2" t="str">
        <f>IFERROR(__xludf.DUMMYFUNCTION("""COMPUTED_VALUE"""),"All amenities")</f>
        <v>All amenities</v>
      </c>
      <c r="K1535" s="2">
        <f>IFERROR(__xludf.DUMMYFUNCTION("""COMPUTED_VALUE"""),109000.0)</f>
        <v>109000</v>
      </c>
      <c r="L1535" s="2">
        <f>IFERROR(__xludf.DUMMYFUNCTION("""COMPUTED_VALUE"""),56.914968)</f>
        <v>56.914968</v>
      </c>
      <c r="M1535" s="2">
        <f>IFERROR(__xludf.DUMMYFUNCTION("""COMPUTED_VALUE"""),24.12289)</f>
        <v>24.12289</v>
      </c>
    </row>
    <row r="1536">
      <c r="A1536" s="2" t="str">
        <f>IFERROR(__xludf.DUMMYFUNCTION("""COMPUTED_VALUE"""),"For sale")</f>
        <v>For sale</v>
      </c>
      <c r="B1536" s="2" t="str">
        <f>IFERROR(__xludf.DUMMYFUNCTION("""COMPUTED_VALUE"""),"Grīziņkalns")</f>
        <v>Grīziņkalns</v>
      </c>
      <c r="C1536" s="2" t="str">
        <f>IFERROR(__xludf.DUMMYFUNCTION("""COMPUTED_VALUE"""),"Asara 12")</f>
        <v>Asara 12</v>
      </c>
      <c r="D1536" s="2">
        <f>IFERROR(__xludf.DUMMYFUNCTION("""COMPUTED_VALUE"""),2.0)</f>
        <v>2</v>
      </c>
      <c r="E1536" s="2">
        <f>IFERROR(__xludf.DUMMYFUNCTION("""COMPUTED_VALUE"""),37.0)</f>
        <v>37</v>
      </c>
      <c r="F1536" s="2">
        <f>IFERROR(__xludf.DUMMYFUNCTION("""COMPUTED_VALUE"""),4.0)</f>
        <v>4</v>
      </c>
      <c r="G1536" s="2">
        <f>IFERROR(__xludf.DUMMYFUNCTION("""COMPUTED_VALUE"""),5.0)</f>
        <v>5</v>
      </c>
      <c r="H1536" s="2" t="str">
        <f>IFERROR(__xludf.DUMMYFUNCTION("""COMPUTED_VALUE"""),"Renov.")</f>
        <v>Renov.</v>
      </c>
      <c r="I1536" s="2" t="str">
        <f>IFERROR(__xludf.DUMMYFUNCTION("""COMPUTED_VALUE"""),"Brick")</f>
        <v>Brick</v>
      </c>
      <c r="J1536" s="2" t="str">
        <f>IFERROR(__xludf.DUMMYFUNCTION("""COMPUTED_VALUE"""),"All amenities")</f>
        <v>All amenities</v>
      </c>
      <c r="K1536" s="2">
        <f>IFERROR(__xludf.DUMMYFUNCTION("""COMPUTED_VALUE"""),74000.0)</f>
        <v>74000</v>
      </c>
      <c r="L1536" s="2">
        <f>IFERROR(__xludf.DUMMYFUNCTION("""COMPUTED_VALUE"""),56.9553833)</f>
        <v>56.9553833</v>
      </c>
      <c r="M1536" s="2">
        <f>IFERROR(__xludf.DUMMYFUNCTION("""COMPUTED_VALUE"""),24.1488881)</f>
        <v>24.1488881</v>
      </c>
    </row>
    <row r="1537">
      <c r="A1537" s="2" t="str">
        <f>IFERROR(__xludf.DUMMYFUNCTION("""COMPUTED_VALUE"""),"For sale")</f>
        <v>For sale</v>
      </c>
      <c r="B1537" s="2" t="str">
        <f>IFERROR(__xludf.DUMMYFUNCTION("""COMPUTED_VALUE"""),"centrs")</f>
        <v>centrs</v>
      </c>
      <c r="C1537" s="2" t="str">
        <f>IFERROR(__xludf.DUMMYFUNCTION("""COMPUTED_VALUE"""),"Valdemāra 41")</f>
        <v>Valdemāra 41</v>
      </c>
      <c r="D1537" s="2">
        <f>IFERROR(__xludf.DUMMYFUNCTION("""COMPUTED_VALUE"""),3.0)</f>
        <v>3</v>
      </c>
      <c r="E1537" s="2">
        <f>IFERROR(__xludf.DUMMYFUNCTION("""COMPUTED_VALUE"""),66.0)</f>
        <v>66</v>
      </c>
      <c r="F1537" s="2">
        <f>IFERROR(__xludf.DUMMYFUNCTION("""COMPUTED_VALUE"""),5.0)</f>
        <v>5</v>
      </c>
      <c r="G1537" s="2">
        <f>IFERROR(__xludf.DUMMYFUNCTION("""COMPUTED_VALUE"""),7.0)</f>
        <v>7</v>
      </c>
      <c r="H1537" s="2" t="str">
        <f>IFERROR(__xludf.DUMMYFUNCTION("""COMPUTED_VALUE"""),"Jaun.")</f>
        <v>Jaun.</v>
      </c>
      <c r="I1537" s="2" t="str">
        <f>IFERROR(__xludf.DUMMYFUNCTION("""COMPUTED_VALUE"""),"Panel-Brick")</f>
        <v>Panel-Brick</v>
      </c>
      <c r="J1537" s="2" t="str">
        <f>IFERROR(__xludf.DUMMYFUNCTION("""COMPUTED_VALUE"""),"All amenities")</f>
        <v>All amenities</v>
      </c>
      <c r="K1537" s="2">
        <f>IFERROR(__xludf.DUMMYFUNCTION("""COMPUTED_VALUE"""),165000.0)</f>
        <v>165000</v>
      </c>
      <c r="L1537" s="2">
        <f>IFERROR(__xludf.DUMMYFUNCTION("""COMPUTED_VALUE"""),56.9586919)</f>
        <v>56.9586919</v>
      </c>
      <c r="M1537" s="2">
        <f>IFERROR(__xludf.DUMMYFUNCTION("""COMPUTED_VALUE"""),24.1173418465596)</f>
        <v>24.11734185</v>
      </c>
    </row>
    <row r="1538">
      <c r="A1538" s="2" t="str">
        <f>IFERROR(__xludf.DUMMYFUNCTION("""COMPUTED_VALUE"""),"For rent")</f>
        <v>For rent</v>
      </c>
      <c r="B1538" s="2" t="str">
        <f>IFERROR(__xludf.DUMMYFUNCTION("""COMPUTED_VALUE"""),"centrs")</f>
        <v>centrs</v>
      </c>
      <c r="C1538" s="2" t="str">
        <f>IFERROR(__xludf.DUMMYFUNCTION("""COMPUTED_VALUE"""),"Valdemāra 41")</f>
        <v>Valdemāra 41</v>
      </c>
      <c r="D1538" s="2">
        <f>IFERROR(__xludf.DUMMYFUNCTION("""COMPUTED_VALUE"""),3.0)</f>
        <v>3</v>
      </c>
      <c r="E1538" s="2">
        <f>IFERROR(__xludf.DUMMYFUNCTION("""COMPUTED_VALUE"""),115.0)</f>
        <v>115</v>
      </c>
      <c r="F1538" s="2">
        <f>IFERROR(__xludf.DUMMYFUNCTION("""COMPUTED_VALUE"""),2.0)</f>
        <v>2</v>
      </c>
      <c r="G1538" s="2">
        <f>IFERROR(__xludf.DUMMYFUNCTION("""COMPUTED_VALUE"""),7.0)</f>
        <v>7</v>
      </c>
      <c r="H1538" s="2" t="str">
        <f>IFERROR(__xludf.DUMMYFUNCTION("""COMPUTED_VALUE"""),"Jaun.")</f>
        <v>Jaun.</v>
      </c>
      <c r="I1538" s="2" t="str">
        <f>IFERROR(__xludf.DUMMYFUNCTION("""COMPUTED_VALUE"""),"Brick-Panel")</f>
        <v>Brick-Panel</v>
      </c>
      <c r="J1538" s="2" t="str">
        <f>IFERROR(__xludf.DUMMYFUNCTION("""COMPUTED_VALUE"""),"All amenities")</f>
        <v>All amenities</v>
      </c>
      <c r="K1538" s="2">
        <f>IFERROR(__xludf.DUMMYFUNCTION("""COMPUTED_VALUE"""),1370.0)</f>
        <v>1370</v>
      </c>
      <c r="L1538" s="2">
        <f>IFERROR(__xludf.DUMMYFUNCTION("""COMPUTED_VALUE"""),56.9586919)</f>
        <v>56.9586919</v>
      </c>
      <c r="M1538" s="2">
        <f>IFERROR(__xludf.DUMMYFUNCTION("""COMPUTED_VALUE"""),24.1173418465596)</f>
        <v>24.11734185</v>
      </c>
    </row>
    <row r="1539">
      <c r="A1539" s="2" t="str">
        <f>IFERROR(__xludf.DUMMYFUNCTION("""COMPUTED_VALUE"""),"For sale")</f>
        <v>For sale</v>
      </c>
      <c r="B1539" s="2" t="str">
        <f>IFERROR(__xludf.DUMMYFUNCTION("""COMPUTED_VALUE"""),"centrs")</f>
        <v>centrs</v>
      </c>
      <c r="C1539" s="2" t="str">
        <f>IFERROR(__xludf.DUMMYFUNCTION("""COMPUTED_VALUE"""),"Valdemāra 41a")</f>
        <v>Valdemāra 41a</v>
      </c>
      <c r="D1539" s="2">
        <f>IFERROR(__xludf.DUMMYFUNCTION("""COMPUTED_VALUE"""),2.0)</f>
        <v>2</v>
      </c>
      <c r="E1539" s="2">
        <f>IFERROR(__xludf.DUMMYFUNCTION("""COMPUTED_VALUE"""),64.0)</f>
        <v>64</v>
      </c>
      <c r="F1539" s="2">
        <f>IFERROR(__xludf.DUMMYFUNCTION("""COMPUTED_VALUE"""),5.0)</f>
        <v>5</v>
      </c>
      <c r="G1539" s="2">
        <f>IFERROR(__xludf.DUMMYFUNCTION("""COMPUTED_VALUE"""),7.0)</f>
        <v>7</v>
      </c>
      <c r="H1539" s="2" t="str">
        <f>IFERROR(__xludf.DUMMYFUNCTION("""COMPUTED_VALUE"""),"Jaun.")</f>
        <v>Jaun.</v>
      </c>
      <c r="I1539" s="2" t="str">
        <f>IFERROR(__xludf.DUMMYFUNCTION("""COMPUTED_VALUE"""),"Panel-Brick")</f>
        <v>Panel-Brick</v>
      </c>
      <c r="J1539" s="2" t="str">
        <f>IFERROR(__xludf.DUMMYFUNCTION("""COMPUTED_VALUE"""),"All amenities")</f>
        <v>All amenities</v>
      </c>
      <c r="K1539" s="2">
        <f>IFERROR(__xludf.DUMMYFUNCTION("""COMPUTED_VALUE"""),229000.0)</f>
        <v>229000</v>
      </c>
      <c r="L1539" s="2">
        <f>IFERROR(__xludf.DUMMYFUNCTION("""COMPUTED_VALUE"""),56.9721861)</f>
        <v>56.9721861</v>
      </c>
      <c r="M1539" s="2">
        <f>IFERROR(__xludf.DUMMYFUNCTION("""COMPUTED_VALUE"""),24.1343196)</f>
        <v>24.1343196</v>
      </c>
    </row>
    <row r="1540">
      <c r="A1540" s="2" t="str">
        <f>IFERROR(__xludf.DUMMYFUNCTION("""COMPUTED_VALUE"""),"For sale")</f>
        <v>For sale</v>
      </c>
      <c r="B1540" s="2" t="str">
        <f>IFERROR(__xludf.DUMMYFUNCTION("""COMPUTED_VALUE"""),"centrs")</f>
        <v>centrs</v>
      </c>
      <c r="C1540" s="2" t="str">
        <f>IFERROR(__xludf.DUMMYFUNCTION("""COMPUTED_VALUE"""),"Valdemāra 41")</f>
        <v>Valdemāra 41</v>
      </c>
      <c r="D1540" s="2">
        <f>IFERROR(__xludf.DUMMYFUNCTION("""COMPUTED_VALUE"""),3.0)</f>
        <v>3</v>
      </c>
      <c r="E1540" s="2">
        <f>IFERROR(__xludf.DUMMYFUNCTION("""COMPUTED_VALUE"""),65.0)</f>
        <v>65</v>
      </c>
      <c r="F1540" s="2">
        <f>IFERROR(__xludf.DUMMYFUNCTION("""COMPUTED_VALUE"""),4.0)</f>
        <v>4</v>
      </c>
      <c r="G1540" s="2">
        <f>IFERROR(__xludf.DUMMYFUNCTION("""COMPUTED_VALUE"""),7.0)</f>
        <v>7</v>
      </c>
      <c r="H1540" s="2" t="str">
        <f>IFERROR(__xludf.DUMMYFUNCTION("""COMPUTED_VALUE"""),"Jaun.")</f>
        <v>Jaun.</v>
      </c>
      <c r="I1540" s="2" t="str">
        <f>IFERROR(__xludf.DUMMYFUNCTION("""COMPUTED_VALUE"""),"Brick-Panel")</f>
        <v>Brick-Panel</v>
      </c>
      <c r="J1540" s="2" t="str">
        <f>IFERROR(__xludf.DUMMYFUNCTION("""COMPUTED_VALUE"""),"All amenities")</f>
        <v>All amenities</v>
      </c>
      <c r="K1540" s="2">
        <f>IFERROR(__xludf.DUMMYFUNCTION("""COMPUTED_VALUE"""),185000.0)</f>
        <v>185000</v>
      </c>
      <c r="L1540" s="2">
        <f>IFERROR(__xludf.DUMMYFUNCTION("""COMPUTED_VALUE"""),56.9586919)</f>
        <v>56.9586919</v>
      </c>
      <c r="M1540" s="2">
        <f>IFERROR(__xludf.DUMMYFUNCTION("""COMPUTED_VALUE"""),24.1173418465596)</f>
        <v>24.11734185</v>
      </c>
    </row>
    <row r="1541">
      <c r="A1541" s="2" t="str">
        <f>IFERROR(__xludf.DUMMYFUNCTION("""COMPUTED_VALUE"""),"For rent")</f>
        <v>For rent</v>
      </c>
      <c r="B1541" s="2" t="str">
        <f>IFERROR(__xludf.DUMMYFUNCTION("""COMPUTED_VALUE"""),"Āgenskalns")</f>
        <v>Āgenskalns</v>
      </c>
      <c r="C1541" s="2" t="str">
        <f>IFERROR(__xludf.DUMMYFUNCTION("""COMPUTED_VALUE"""),"Kristapa 8")</f>
        <v>Kristapa 8</v>
      </c>
      <c r="D1541" s="2">
        <f>IFERROR(__xludf.DUMMYFUNCTION("""COMPUTED_VALUE"""),1.0)</f>
        <v>1</v>
      </c>
      <c r="E1541" s="2">
        <f>IFERROR(__xludf.DUMMYFUNCTION("""COMPUTED_VALUE"""),18.0)</f>
        <v>18</v>
      </c>
      <c r="F1541" s="2">
        <f>IFERROR(__xludf.DUMMYFUNCTION("""COMPUTED_VALUE"""),1.0)</f>
        <v>1</v>
      </c>
      <c r="G1541" s="2">
        <f>IFERROR(__xludf.DUMMYFUNCTION("""COMPUTED_VALUE"""),4.0)</f>
        <v>4</v>
      </c>
      <c r="H1541" s="2" t="str">
        <f>IFERROR(__xludf.DUMMYFUNCTION("""COMPUTED_VALUE"""),"M. ģim.")</f>
        <v>M. ģim.</v>
      </c>
      <c r="I1541" s="2" t="str">
        <f>IFERROR(__xludf.DUMMYFUNCTION("""COMPUTED_VALUE"""),"Brick")</f>
        <v>Brick</v>
      </c>
      <c r="J1541" s="2" t="str">
        <f>IFERROR(__xludf.DUMMYFUNCTION("""COMPUTED_VALUE"""),"All amenities")</f>
        <v>All amenities</v>
      </c>
      <c r="K1541" s="2">
        <f>IFERROR(__xludf.DUMMYFUNCTION("""COMPUTED_VALUE"""),230.0)</f>
        <v>230</v>
      </c>
      <c r="L1541" s="2">
        <f>IFERROR(__xludf.DUMMYFUNCTION("""COMPUTED_VALUE"""),56.9428654999999)</f>
        <v>56.9428655</v>
      </c>
      <c r="M1541" s="2">
        <f>IFERROR(__xludf.DUMMYFUNCTION("""COMPUTED_VALUE"""),24.0609632086428)</f>
        <v>24.06096321</v>
      </c>
    </row>
    <row r="1542">
      <c r="A1542" s="2" t="str">
        <f>IFERROR(__xludf.DUMMYFUNCTION("""COMPUTED_VALUE"""),"For sale")</f>
        <v>For sale</v>
      </c>
      <c r="B1542" s="2" t="str">
        <f>IFERROR(__xludf.DUMMYFUNCTION("""COMPUTED_VALUE"""),"Ziepniekkalns")</f>
        <v>Ziepniekkalns</v>
      </c>
      <c r="C1542" s="2" t="str">
        <f>IFERROR(__xludf.DUMMYFUNCTION("""COMPUTED_VALUE"""),"Komētas 26")</f>
        <v>Komētas 26</v>
      </c>
      <c r="D1542" s="2">
        <f>IFERROR(__xludf.DUMMYFUNCTION("""COMPUTED_VALUE"""),3.0)</f>
        <v>3</v>
      </c>
      <c r="E1542" s="2">
        <f>IFERROR(__xludf.DUMMYFUNCTION("""COMPUTED_VALUE"""),76.0)</f>
        <v>76</v>
      </c>
      <c r="F1542" s="2">
        <f>IFERROR(__xludf.DUMMYFUNCTION("""COMPUTED_VALUE"""),3.0)</f>
        <v>3</v>
      </c>
      <c r="G1542" s="2">
        <f>IFERROR(__xludf.DUMMYFUNCTION("""COMPUTED_VALUE"""),4.0)</f>
        <v>4</v>
      </c>
      <c r="H1542" s="2" t="str">
        <f>IFERROR(__xludf.DUMMYFUNCTION("""COMPUTED_VALUE"""),"Jaun.")</f>
        <v>Jaun.</v>
      </c>
      <c r="I1542" s="2" t="str">
        <f>IFERROR(__xludf.DUMMYFUNCTION("""COMPUTED_VALUE"""),"Panel-Brick")</f>
        <v>Panel-Brick</v>
      </c>
      <c r="J1542" s="2" t="str">
        <f>IFERROR(__xludf.DUMMYFUNCTION("""COMPUTED_VALUE"""),"All amenities")</f>
        <v>All amenities</v>
      </c>
      <c r="K1542" s="2">
        <f>IFERROR(__xludf.DUMMYFUNCTION("""COMPUTED_VALUE"""),130500.0)</f>
        <v>130500</v>
      </c>
      <c r="L1542" s="2">
        <f>IFERROR(__xludf.DUMMYFUNCTION("""COMPUTED_VALUE"""),56.914968)</f>
        <v>56.914968</v>
      </c>
      <c r="M1542" s="2">
        <f>IFERROR(__xludf.DUMMYFUNCTION("""COMPUTED_VALUE"""),24.12289)</f>
        <v>24.12289</v>
      </c>
    </row>
    <row r="1543">
      <c r="A1543" s="2" t="str">
        <f>IFERROR(__xludf.DUMMYFUNCTION("""COMPUTED_VALUE"""),"For sale")</f>
        <v>For sale</v>
      </c>
      <c r="B1543" s="2" t="str">
        <f>IFERROR(__xludf.DUMMYFUNCTION("""COMPUTED_VALUE"""),"Ziepniekkalns")</f>
        <v>Ziepniekkalns</v>
      </c>
      <c r="C1543" s="2" t="str">
        <f>IFERROR(__xludf.DUMMYFUNCTION("""COMPUTED_VALUE"""),"Komētas 26")</f>
        <v>Komētas 26</v>
      </c>
      <c r="D1543" s="2">
        <f>IFERROR(__xludf.DUMMYFUNCTION("""COMPUTED_VALUE"""),2.0)</f>
        <v>2</v>
      </c>
      <c r="E1543" s="2">
        <f>IFERROR(__xludf.DUMMYFUNCTION("""COMPUTED_VALUE"""),66.0)</f>
        <v>66</v>
      </c>
      <c r="F1543" s="2">
        <f>IFERROR(__xludf.DUMMYFUNCTION("""COMPUTED_VALUE"""),1.0)</f>
        <v>1</v>
      </c>
      <c r="G1543" s="2">
        <f>IFERROR(__xludf.DUMMYFUNCTION("""COMPUTED_VALUE"""),4.0)</f>
        <v>4</v>
      </c>
      <c r="H1543" s="2" t="str">
        <f>IFERROR(__xludf.DUMMYFUNCTION("""COMPUTED_VALUE"""),"Jaun.")</f>
        <v>Jaun.</v>
      </c>
      <c r="I1543" s="2" t="str">
        <f>IFERROR(__xludf.DUMMYFUNCTION("""COMPUTED_VALUE"""),"Panel-Brick")</f>
        <v>Panel-Brick</v>
      </c>
      <c r="J1543" s="2" t="str">
        <f>IFERROR(__xludf.DUMMYFUNCTION("""COMPUTED_VALUE"""),"All amenities")</f>
        <v>All amenities</v>
      </c>
      <c r="K1543" s="2">
        <f>IFERROR(__xludf.DUMMYFUNCTION("""COMPUTED_VALUE"""),89000.0)</f>
        <v>89000</v>
      </c>
      <c r="L1543" s="2">
        <f>IFERROR(__xludf.DUMMYFUNCTION("""COMPUTED_VALUE"""),56.914968)</f>
        <v>56.914968</v>
      </c>
      <c r="M1543" s="2">
        <f>IFERROR(__xludf.DUMMYFUNCTION("""COMPUTED_VALUE"""),24.12289)</f>
        <v>24.12289</v>
      </c>
    </row>
    <row r="1544">
      <c r="A1544" s="2" t="str">
        <f>IFERROR(__xludf.DUMMYFUNCTION("""COMPUTED_VALUE"""),"For rent")</f>
        <v>For rent</v>
      </c>
      <c r="B1544" s="2" t="str">
        <f>IFERROR(__xludf.DUMMYFUNCTION("""COMPUTED_VALUE"""),"centrs")</f>
        <v>centrs</v>
      </c>
      <c r="C1544" s="2" t="str">
        <f>IFERROR(__xludf.DUMMYFUNCTION("""COMPUTED_VALUE"""),"Klijānu 12")</f>
        <v>Klijānu 12</v>
      </c>
      <c r="D1544" s="2">
        <f>IFERROR(__xludf.DUMMYFUNCTION("""COMPUTED_VALUE"""),2.0)</f>
        <v>2</v>
      </c>
      <c r="E1544" s="2">
        <f>IFERROR(__xludf.DUMMYFUNCTION("""COMPUTED_VALUE"""),45.0)</f>
        <v>45</v>
      </c>
      <c r="F1544" s="2">
        <f>IFERROR(__xludf.DUMMYFUNCTION("""COMPUTED_VALUE"""),1.0)</f>
        <v>1</v>
      </c>
      <c r="G1544" s="2">
        <f>IFERROR(__xludf.DUMMYFUNCTION("""COMPUTED_VALUE"""),3.0)</f>
        <v>3</v>
      </c>
      <c r="H1544" s="2" t="str">
        <f>IFERROR(__xludf.DUMMYFUNCTION("""COMPUTED_VALUE"""),"Jaun.")</f>
        <v>Jaun.</v>
      </c>
      <c r="I1544" s="2" t="str">
        <f>IFERROR(__xludf.DUMMYFUNCTION("""COMPUTED_VALUE"""),"Panel-Brick")</f>
        <v>Panel-Brick</v>
      </c>
      <c r="J1544" s="2" t="str">
        <f>IFERROR(__xludf.DUMMYFUNCTION("""COMPUTED_VALUE"""),"All amenities")</f>
        <v>All amenities</v>
      </c>
      <c r="K1544" s="2">
        <f>IFERROR(__xludf.DUMMYFUNCTION("""COMPUTED_VALUE"""),450.0)</f>
        <v>450</v>
      </c>
      <c r="L1544" s="2">
        <f>IFERROR(__xludf.DUMMYFUNCTION("""COMPUTED_VALUE"""),56.9731957)</f>
        <v>56.9731957</v>
      </c>
      <c r="M1544" s="2">
        <f>IFERROR(__xludf.DUMMYFUNCTION("""COMPUTED_VALUE"""),24.1490465)</f>
        <v>24.1490465</v>
      </c>
    </row>
    <row r="1545">
      <c r="A1545" s="2" t="str">
        <f>IFERROR(__xludf.DUMMYFUNCTION("""COMPUTED_VALUE"""),"For sale")</f>
        <v>For sale</v>
      </c>
      <c r="B1545" s="2" t="str">
        <f>IFERROR(__xludf.DUMMYFUNCTION("""COMPUTED_VALUE"""),"centrs")</f>
        <v>centrs</v>
      </c>
      <c r="C1545" s="2" t="str">
        <f>IFERROR(__xludf.DUMMYFUNCTION("""COMPUTED_VALUE"""),"Valdemāra 41a")</f>
        <v>Valdemāra 41a</v>
      </c>
      <c r="D1545" s="2">
        <f>IFERROR(__xludf.DUMMYFUNCTION("""COMPUTED_VALUE"""),5.0)</f>
        <v>5</v>
      </c>
      <c r="E1545" s="2">
        <f>IFERROR(__xludf.DUMMYFUNCTION("""COMPUTED_VALUE"""),135.0)</f>
        <v>135</v>
      </c>
      <c r="F1545" s="2">
        <f>IFERROR(__xludf.DUMMYFUNCTION("""COMPUTED_VALUE"""),2.0)</f>
        <v>2</v>
      </c>
      <c r="G1545" s="2">
        <f>IFERROR(__xludf.DUMMYFUNCTION("""COMPUTED_VALUE"""),7.0)</f>
        <v>7</v>
      </c>
      <c r="H1545" s="2" t="str">
        <f>IFERROR(__xludf.DUMMYFUNCTION("""COMPUTED_VALUE"""),"Jaun.")</f>
        <v>Jaun.</v>
      </c>
      <c r="I1545" s="2" t="str">
        <f>IFERROR(__xludf.DUMMYFUNCTION("""COMPUTED_VALUE"""),"Brick-Panel")</f>
        <v>Brick-Panel</v>
      </c>
      <c r="J1545" s="2" t="str">
        <f>IFERROR(__xludf.DUMMYFUNCTION("""COMPUTED_VALUE"""),"All amenities")</f>
        <v>All amenities</v>
      </c>
      <c r="K1545" s="2">
        <f>IFERROR(__xludf.DUMMYFUNCTION("""COMPUTED_VALUE"""),345000.0)</f>
        <v>345000</v>
      </c>
      <c r="L1545" s="2">
        <f>IFERROR(__xludf.DUMMYFUNCTION("""COMPUTED_VALUE"""),56.9721861)</f>
        <v>56.9721861</v>
      </c>
      <c r="M1545" s="2">
        <f>IFERROR(__xludf.DUMMYFUNCTION("""COMPUTED_VALUE"""),24.1343196)</f>
        <v>24.1343196</v>
      </c>
    </row>
    <row r="1546">
      <c r="A1546" s="2" t="str">
        <f>IFERROR(__xludf.DUMMYFUNCTION("""COMPUTED_VALUE"""),"For sale")</f>
        <v>For sale</v>
      </c>
      <c r="B1546" s="2" t="str">
        <f>IFERROR(__xludf.DUMMYFUNCTION("""COMPUTED_VALUE"""),"centrs")</f>
        <v>centrs</v>
      </c>
      <c r="C1546" s="2" t="str">
        <f>IFERROR(__xludf.DUMMYFUNCTION("""COMPUTED_VALUE"""),"Valdemāra 41")</f>
        <v>Valdemāra 41</v>
      </c>
      <c r="D1546" s="2">
        <f>IFERROR(__xludf.DUMMYFUNCTION("""COMPUTED_VALUE"""),5.0)</f>
        <v>5</v>
      </c>
      <c r="E1546" s="2">
        <f>IFERROR(__xludf.DUMMYFUNCTION("""COMPUTED_VALUE"""),153.0)</f>
        <v>153</v>
      </c>
      <c r="F1546" s="2">
        <f>IFERROR(__xludf.DUMMYFUNCTION("""COMPUTED_VALUE"""),4.0)</f>
        <v>4</v>
      </c>
      <c r="G1546" s="2">
        <f>IFERROR(__xludf.DUMMYFUNCTION("""COMPUTED_VALUE"""),7.0)</f>
        <v>7</v>
      </c>
      <c r="H1546" s="2" t="str">
        <f>IFERROR(__xludf.DUMMYFUNCTION("""COMPUTED_VALUE"""),"Jaun.")</f>
        <v>Jaun.</v>
      </c>
      <c r="I1546" s="2" t="str">
        <f>IFERROR(__xludf.DUMMYFUNCTION("""COMPUTED_VALUE"""),"Brick-Panel")</f>
        <v>Brick-Panel</v>
      </c>
      <c r="J1546" s="2" t="str">
        <f>IFERROR(__xludf.DUMMYFUNCTION("""COMPUTED_VALUE"""),"All amenities")</f>
        <v>All amenities</v>
      </c>
      <c r="K1546" s="2">
        <f>IFERROR(__xludf.DUMMYFUNCTION("""COMPUTED_VALUE"""),445000.0)</f>
        <v>445000</v>
      </c>
      <c r="L1546" s="2">
        <f>IFERROR(__xludf.DUMMYFUNCTION("""COMPUTED_VALUE"""),56.9586919)</f>
        <v>56.9586919</v>
      </c>
      <c r="M1546" s="2">
        <f>IFERROR(__xludf.DUMMYFUNCTION("""COMPUTED_VALUE"""),24.1173418465596)</f>
        <v>24.11734185</v>
      </c>
    </row>
    <row r="1547">
      <c r="A1547" s="2" t="str">
        <f>IFERROR(__xludf.DUMMYFUNCTION("""COMPUTED_VALUE"""),"For sale")</f>
        <v>For sale</v>
      </c>
      <c r="B1547" s="2" t="str">
        <f>IFERROR(__xludf.DUMMYFUNCTION("""COMPUTED_VALUE"""),"centrs")</f>
        <v>centrs</v>
      </c>
      <c r="C1547" s="2" t="str">
        <f>IFERROR(__xludf.DUMMYFUNCTION("""COMPUTED_VALUE"""),"Valdemāra 41")</f>
        <v>Valdemāra 41</v>
      </c>
      <c r="D1547" s="2">
        <f>IFERROR(__xludf.DUMMYFUNCTION("""COMPUTED_VALUE"""),4.0)</f>
        <v>4</v>
      </c>
      <c r="E1547" s="2">
        <f>IFERROR(__xludf.DUMMYFUNCTION("""COMPUTED_VALUE"""),105.0)</f>
        <v>105</v>
      </c>
      <c r="F1547" s="2">
        <f>IFERROR(__xludf.DUMMYFUNCTION("""COMPUTED_VALUE"""),5.0)</f>
        <v>5</v>
      </c>
      <c r="G1547" s="2">
        <f>IFERROR(__xludf.DUMMYFUNCTION("""COMPUTED_VALUE"""),7.0)</f>
        <v>7</v>
      </c>
      <c r="H1547" s="2" t="str">
        <f>IFERROR(__xludf.DUMMYFUNCTION("""COMPUTED_VALUE"""),"Jaun.")</f>
        <v>Jaun.</v>
      </c>
      <c r="I1547" s="2" t="str">
        <f>IFERROR(__xludf.DUMMYFUNCTION("""COMPUTED_VALUE"""),"Panel-Brick")</f>
        <v>Panel-Brick</v>
      </c>
      <c r="J1547" s="2" t="str">
        <f>IFERROR(__xludf.DUMMYFUNCTION("""COMPUTED_VALUE"""),"All amenities")</f>
        <v>All amenities</v>
      </c>
      <c r="K1547" s="2">
        <f>IFERROR(__xludf.DUMMYFUNCTION("""COMPUTED_VALUE"""),350000.0)</f>
        <v>350000</v>
      </c>
      <c r="L1547" s="2">
        <f>IFERROR(__xludf.DUMMYFUNCTION("""COMPUTED_VALUE"""),56.9586919)</f>
        <v>56.9586919</v>
      </c>
      <c r="M1547" s="2">
        <f>IFERROR(__xludf.DUMMYFUNCTION("""COMPUTED_VALUE"""),24.1173418465596)</f>
        <v>24.11734185</v>
      </c>
    </row>
    <row r="1548">
      <c r="A1548" s="2" t="str">
        <f>IFERROR(__xludf.DUMMYFUNCTION("""COMPUTED_VALUE"""),"For sale")</f>
        <v>For sale</v>
      </c>
      <c r="B1548" s="2" t="str">
        <f>IFERROR(__xludf.DUMMYFUNCTION("""COMPUTED_VALUE"""),"Grīziņkalns")</f>
        <v>Grīziņkalns</v>
      </c>
      <c r="C1548" s="2" t="str">
        <f>IFERROR(__xludf.DUMMYFUNCTION("""COMPUTED_VALUE"""),"Pērnavas 15a")</f>
        <v>Pērnavas 15a</v>
      </c>
      <c r="D1548" s="2">
        <f>IFERROR(__xludf.DUMMYFUNCTION("""COMPUTED_VALUE"""),2.0)</f>
        <v>2</v>
      </c>
      <c r="E1548" s="2">
        <f>IFERROR(__xludf.DUMMYFUNCTION("""COMPUTED_VALUE"""),41.0)</f>
        <v>41</v>
      </c>
      <c r="F1548" s="2">
        <f>IFERROR(__xludf.DUMMYFUNCTION("""COMPUTED_VALUE"""),2.0)</f>
        <v>2</v>
      </c>
      <c r="G1548" s="2">
        <f>IFERROR(__xludf.DUMMYFUNCTION("""COMPUTED_VALUE"""),5.0)</f>
        <v>5</v>
      </c>
      <c r="H1548" s="2" t="str">
        <f>IFERROR(__xludf.DUMMYFUNCTION("""COMPUTED_VALUE"""),"Renov.")</f>
        <v>Renov.</v>
      </c>
      <c r="I1548" s="2" t="str">
        <f>IFERROR(__xludf.DUMMYFUNCTION("""COMPUTED_VALUE"""),"Masonry")</f>
        <v>Masonry</v>
      </c>
      <c r="J1548" s="2" t="str">
        <f>IFERROR(__xludf.DUMMYFUNCTION("""COMPUTED_VALUE"""),"All amenities")</f>
        <v>All amenities</v>
      </c>
      <c r="K1548" s="2">
        <f>IFERROR(__xludf.DUMMYFUNCTION("""COMPUTED_VALUE"""),120000.0)</f>
        <v>120000</v>
      </c>
      <c r="L1548" s="2">
        <f>IFERROR(__xludf.DUMMYFUNCTION("""COMPUTED_VALUE"""),56.9631811)</f>
        <v>56.9631811</v>
      </c>
      <c r="M1548" s="2">
        <f>IFERROR(__xludf.DUMMYFUNCTION("""COMPUTED_VALUE"""),24.1518162072111)</f>
        <v>24.15181621</v>
      </c>
    </row>
    <row r="1549">
      <c r="A1549" s="2" t="str">
        <f>IFERROR(__xludf.DUMMYFUNCTION("""COMPUTED_VALUE"""),"For sale")</f>
        <v>For sale</v>
      </c>
      <c r="B1549" s="2" t="str">
        <f>IFERROR(__xludf.DUMMYFUNCTION("""COMPUTED_VALUE"""),"centrs")</f>
        <v>centrs</v>
      </c>
      <c r="C1549" s="2" t="str">
        <f>IFERROR(__xludf.DUMMYFUNCTION("""COMPUTED_VALUE"""),"Skolas 14")</f>
        <v>Skolas 14</v>
      </c>
      <c r="D1549" s="2">
        <f>IFERROR(__xludf.DUMMYFUNCTION("""COMPUTED_VALUE"""),5.0)</f>
        <v>5</v>
      </c>
      <c r="E1549" s="2">
        <f>IFERROR(__xludf.DUMMYFUNCTION("""COMPUTED_VALUE"""),146.0)</f>
        <v>146</v>
      </c>
      <c r="F1549" s="2">
        <f>IFERROR(__xludf.DUMMYFUNCTION("""COMPUTED_VALUE"""),4.0)</f>
        <v>4</v>
      </c>
      <c r="G1549" s="2">
        <f>IFERROR(__xludf.DUMMYFUNCTION("""COMPUTED_VALUE"""),6.0)</f>
        <v>6</v>
      </c>
      <c r="H1549" s="2" t="str">
        <f>IFERROR(__xludf.DUMMYFUNCTION("""COMPUTED_VALUE"""),"P. kara")</f>
        <v>P. kara</v>
      </c>
      <c r="I1549" s="2" t="str">
        <f>IFERROR(__xludf.DUMMYFUNCTION("""COMPUTED_VALUE"""),"Brick")</f>
        <v>Brick</v>
      </c>
      <c r="J1549" s="2" t="str">
        <f>IFERROR(__xludf.DUMMYFUNCTION("""COMPUTED_VALUE"""),"All amenities")</f>
        <v>All amenities</v>
      </c>
      <c r="K1549" s="2">
        <f>IFERROR(__xludf.DUMMYFUNCTION("""COMPUTED_VALUE"""),275000.0)</f>
        <v>275000</v>
      </c>
      <c r="L1549" s="2">
        <f>IFERROR(__xludf.DUMMYFUNCTION("""COMPUTED_VALUE"""),48.2969502)</f>
        <v>48.2969502</v>
      </c>
      <c r="M1549" s="2">
        <f>IFERROR(__xludf.DUMMYFUNCTION("""COMPUTED_VALUE"""),-100.7081938)</f>
        <v>-100.7081938</v>
      </c>
    </row>
    <row r="1550">
      <c r="A1550" s="2" t="str">
        <f>IFERROR(__xludf.DUMMYFUNCTION("""COMPUTED_VALUE"""),"For rent")</f>
        <v>For rent</v>
      </c>
      <c r="B1550" s="2" t="str">
        <f>IFERROR(__xludf.DUMMYFUNCTION("""COMPUTED_VALUE"""),"Ķengarags")</f>
        <v>Ķengarags</v>
      </c>
      <c r="C1550" s="2" t="str">
        <f>IFERROR(__xludf.DUMMYFUNCTION("""COMPUTED_VALUE"""),"Maskavas 256/4")</f>
        <v>Maskavas 256/4</v>
      </c>
      <c r="D1550" s="2">
        <f>IFERROR(__xludf.DUMMYFUNCTION("""COMPUTED_VALUE"""),2.0)</f>
        <v>2</v>
      </c>
      <c r="E1550" s="2">
        <f>IFERROR(__xludf.DUMMYFUNCTION("""COMPUTED_VALUE"""),43.0)</f>
        <v>43</v>
      </c>
      <c r="F1550" s="2">
        <f>IFERROR(__xludf.DUMMYFUNCTION("""COMPUTED_VALUE"""),5.0)</f>
        <v>5</v>
      </c>
      <c r="G1550" s="2">
        <f>IFERROR(__xludf.DUMMYFUNCTION("""COMPUTED_VALUE"""),1.0)</f>
        <v>1</v>
      </c>
      <c r="H1550" s="2" t="str">
        <f>IFERROR(__xludf.DUMMYFUNCTION("""COMPUTED_VALUE"""),"Hrušč.")</f>
        <v>Hrušč.</v>
      </c>
      <c r="I1550" s="2" t="str">
        <f>IFERROR(__xludf.DUMMYFUNCTION("""COMPUTED_VALUE"""),"Panel")</f>
        <v>Panel</v>
      </c>
      <c r="J1550" s="2" t="str">
        <f>IFERROR(__xludf.DUMMYFUNCTION("""COMPUTED_VALUE"""),"All amenities")</f>
        <v>All amenities</v>
      </c>
      <c r="K1550" s="2">
        <f>IFERROR(__xludf.DUMMYFUNCTION("""COMPUTED_VALUE"""),330.0)</f>
        <v>330</v>
      </c>
      <c r="L1550" s="2">
        <f>IFERROR(__xludf.DUMMYFUNCTION("""COMPUTED_VALUE"""),56.94470995)</f>
        <v>56.94470995</v>
      </c>
      <c r="M1550" s="2">
        <f>IFERROR(__xludf.DUMMYFUNCTION("""COMPUTED_VALUE"""),24.1131079129391)</f>
        <v>24.11310791</v>
      </c>
    </row>
    <row r="1551">
      <c r="A1551" s="2" t="str">
        <f>IFERROR(__xludf.DUMMYFUNCTION("""COMPUTED_VALUE"""),"For sale")</f>
        <v>For sale</v>
      </c>
      <c r="B1551" s="2" t="str">
        <f>IFERROR(__xludf.DUMMYFUNCTION("""COMPUTED_VALUE"""),"centrs")</f>
        <v>centrs</v>
      </c>
      <c r="C1551" s="2" t="str">
        <f>IFERROR(__xludf.DUMMYFUNCTION("""COMPUTED_VALUE"""),"Rūdolfa 1")</f>
        <v>Rūdolfa 1</v>
      </c>
      <c r="D1551" s="2">
        <f>IFERROR(__xludf.DUMMYFUNCTION("""COMPUTED_VALUE"""),1.0)</f>
        <v>1</v>
      </c>
      <c r="E1551" s="2">
        <f>IFERROR(__xludf.DUMMYFUNCTION("""COMPUTED_VALUE"""),30.0)</f>
        <v>30</v>
      </c>
      <c r="F1551" s="2">
        <f>IFERROR(__xludf.DUMMYFUNCTION("""COMPUTED_VALUE"""),4.0)</f>
        <v>4</v>
      </c>
      <c r="G1551" s="2">
        <f>IFERROR(__xludf.DUMMYFUNCTION("""COMPUTED_VALUE"""),6.0)</f>
        <v>6</v>
      </c>
      <c r="H1551" s="2" t="str">
        <f>IFERROR(__xludf.DUMMYFUNCTION("""COMPUTED_VALUE"""),"P. kara")</f>
        <v>P. kara</v>
      </c>
      <c r="I1551" s="2" t="str">
        <f>IFERROR(__xludf.DUMMYFUNCTION("""COMPUTED_VALUE"""),"Brick")</f>
        <v>Brick</v>
      </c>
      <c r="J1551" s="2" t="str">
        <f>IFERROR(__xludf.DUMMYFUNCTION("""COMPUTED_VALUE"""),"All amenities")</f>
        <v>All amenities</v>
      </c>
      <c r="K1551" s="2">
        <f>IFERROR(__xludf.DUMMYFUNCTION("""COMPUTED_VALUE"""),45000.0)</f>
        <v>45000</v>
      </c>
      <c r="L1551" s="2">
        <f>IFERROR(__xludf.DUMMYFUNCTION("""COMPUTED_VALUE"""),56.9620223999999)</f>
        <v>56.9620224</v>
      </c>
      <c r="M1551" s="2">
        <f>IFERROR(__xludf.DUMMYFUNCTION("""COMPUTED_VALUE"""),24.1521939477261)</f>
        <v>24.15219395</v>
      </c>
    </row>
    <row r="1552">
      <c r="A1552" s="2" t="str">
        <f>IFERROR(__xludf.DUMMYFUNCTION("""COMPUTED_VALUE"""),"For rent")</f>
        <v>For rent</v>
      </c>
      <c r="B1552" s="2" t="str">
        <f>IFERROR(__xludf.DUMMYFUNCTION("""COMPUTED_VALUE"""),"centrs")</f>
        <v>centrs</v>
      </c>
      <c r="C1552" s="2" t="str">
        <f>IFERROR(__xludf.DUMMYFUNCTION("""COMPUTED_VALUE"""),"Valdemāra 39")</f>
        <v>Valdemāra 39</v>
      </c>
      <c r="D1552" s="2">
        <f>IFERROR(__xludf.DUMMYFUNCTION("""COMPUTED_VALUE"""),2.0)</f>
        <v>2</v>
      </c>
      <c r="E1552" s="2">
        <f>IFERROR(__xludf.DUMMYFUNCTION("""COMPUTED_VALUE"""),45.0)</f>
        <v>45</v>
      </c>
      <c r="F1552" s="2">
        <f>IFERROR(__xludf.DUMMYFUNCTION("""COMPUTED_VALUE"""),1.0)</f>
        <v>1</v>
      </c>
      <c r="G1552" s="2">
        <f>IFERROR(__xludf.DUMMYFUNCTION("""COMPUTED_VALUE"""),6.0)</f>
        <v>6</v>
      </c>
      <c r="H1552" s="2" t="str">
        <f>IFERROR(__xludf.DUMMYFUNCTION("""COMPUTED_VALUE"""),"Renov.")</f>
        <v>Renov.</v>
      </c>
      <c r="I1552" s="2" t="str">
        <f>IFERROR(__xludf.DUMMYFUNCTION("""COMPUTED_VALUE"""),"Brick")</f>
        <v>Brick</v>
      </c>
      <c r="J1552" s="2" t="str">
        <f>IFERROR(__xludf.DUMMYFUNCTION("""COMPUTED_VALUE"""),"All amenities")</f>
        <v>All amenities</v>
      </c>
      <c r="K1552" s="2">
        <f>IFERROR(__xludf.DUMMYFUNCTION("""COMPUTED_VALUE"""),40.0)</f>
        <v>40</v>
      </c>
      <c r="L1552" s="2">
        <f>IFERROR(__xludf.DUMMYFUNCTION("""COMPUTED_VALUE"""),56.9585313)</f>
        <v>56.9585313</v>
      </c>
      <c r="M1552" s="2">
        <f>IFERROR(__xludf.DUMMYFUNCTION("""COMPUTED_VALUE"""),24.1170799)</f>
        <v>24.1170799</v>
      </c>
    </row>
    <row r="1553">
      <c r="A1553" s="2" t="str">
        <f>IFERROR(__xludf.DUMMYFUNCTION("""COMPUTED_VALUE"""),"For rent")</f>
        <v>For rent</v>
      </c>
      <c r="B1553" s="2" t="str">
        <f>IFERROR(__xludf.DUMMYFUNCTION("""COMPUTED_VALUE"""),"centrs")</f>
        <v>centrs</v>
      </c>
      <c r="C1553" s="2" t="str">
        <f>IFERROR(__xludf.DUMMYFUNCTION("""COMPUTED_VALUE"""),"Duntes 48")</f>
        <v>Duntes 48</v>
      </c>
      <c r="D1553" s="2">
        <f>IFERROR(__xludf.DUMMYFUNCTION("""COMPUTED_VALUE"""),1.0)</f>
        <v>1</v>
      </c>
      <c r="E1553" s="2">
        <f>IFERROR(__xludf.DUMMYFUNCTION("""COMPUTED_VALUE"""),25.0)</f>
        <v>25</v>
      </c>
      <c r="F1553" s="2">
        <f>IFERROR(__xludf.DUMMYFUNCTION("""COMPUTED_VALUE"""),3.0)</f>
        <v>3</v>
      </c>
      <c r="G1553" s="2">
        <f>IFERROR(__xludf.DUMMYFUNCTION("""COMPUTED_VALUE"""),6.0)</f>
        <v>6</v>
      </c>
      <c r="H1553" s="2" t="str">
        <f>IFERROR(__xludf.DUMMYFUNCTION("""COMPUTED_VALUE"""),"P. kara")</f>
        <v>P. kara</v>
      </c>
      <c r="I1553" s="2" t="str">
        <f>IFERROR(__xludf.DUMMYFUNCTION("""COMPUTED_VALUE"""),"Masonry")</f>
        <v>Masonry</v>
      </c>
      <c r="J1553" s="2" t="str">
        <f>IFERROR(__xludf.DUMMYFUNCTION("""COMPUTED_VALUE"""),"Partial amenities")</f>
        <v>Partial amenities</v>
      </c>
      <c r="K1553" s="2">
        <f>IFERROR(__xludf.DUMMYFUNCTION("""COMPUTED_VALUE"""),140.0)</f>
        <v>140</v>
      </c>
      <c r="L1553" s="2">
        <f>IFERROR(__xludf.DUMMYFUNCTION("""COMPUTED_VALUE"""),56.99189845)</f>
        <v>56.99189845</v>
      </c>
      <c r="M1553" s="2">
        <f>IFERROR(__xludf.DUMMYFUNCTION("""COMPUTED_VALUE"""),24.1276669239564)</f>
        <v>24.12766692</v>
      </c>
    </row>
    <row r="1554">
      <c r="A1554" s="2" t="str">
        <f>IFERROR(__xludf.DUMMYFUNCTION("""COMPUTED_VALUE"""),"For sale")</f>
        <v>For sale</v>
      </c>
      <c r="B1554" s="2" t="str">
        <f>IFERROR(__xludf.DUMMYFUNCTION("""COMPUTED_VALUE"""),"Mežciems")</f>
        <v>Mežciems</v>
      </c>
      <c r="C1554" s="2" t="str">
        <f>IFERROR(__xludf.DUMMYFUNCTION("""COMPUTED_VALUE"""),"Kaivas 50-141d")</f>
        <v>Kaivas 50-141d</v>
      </c>
      <c r="D1554" s="2">
        <f>IFERROR(__xludf.DUMMYFUNCTION("""COMPUTED_VALUE"""),3.0)</f>
        <v>3</v>
      </c>
      <c r="E1554" s="2">
        <f>IFERROR(__xludf.DUMMYFUNCTION("""COMPUTED_VALUE"""),89.0)</f>
        <v>89</v>
      </c>
      <c r="F1554" s="2">
        <f>IFERROR(__xludf.DUMMYFUNCTION("""COMPUTED_VALUE"""),2.0)</f>
        <v>2</v>
      </c>
      <c r="G1554" s="2">
        <f>IFERROR(__xludf.DUMMYFUNCTION("""COMPUTED_VALUE"""),5.0)</f>
        <v>5</v>
      </c>
      <c r="H1554" s="2" t="str">
        <f>IFERROR(__xludf.DUMMYFUNCTION("""COMPUTED_VALUE"""),"Jaun.")</f>
        <v>Jaun.</v>
      </c>
      <c r="I1554" s="2" t="str">
        <f>IFERROR(__xludf.DUMMYFUNCTION("""COMPUTED_VALUE"""),"Masonry")</f>
        <v>Masonry</v>
      </c>
      <c r="J1554" s="2" t="str">
        <f>IFERROR(__xludf.DUMMYFUNCTION("""COMPUTED_VALUE"""),"All amenities")</f>
        <v>All amenities</v>
      </c>
      <c r="K1554" s="2">
        <f>IFERROR(__xludf.DUMMYFUNCTION("""COMPUTED_VALUE"""),110625.0)</f>
        <v>110625</v>
      </c>
      <c r="L1554" s="2" t="str">
        <f>IFERROR(__xludf.DUMMYFUNCTION("""COMPUTED_VALUE"""),"NaN")</f>
        <v>NaN</v>
      </c>
      <c r="M1554" s="2" t="str">
        <f>IFERROR(__xludf.DUMMYFUNCTION("""COMPUTED_VALUE"""),"NaN")</f>
        <v>NaN</v>
      </c>
    </row>
    <row r="1555">
      <c r="A1555" s="2" t="str">
        <f>IFERROR(__xludf.DUMMYFUNCTION("""COMPUTED_VALUE"""),"For rent")</f>
        <v>For rent</v>
      </c>
      <c r="B1555" s="2" t="str">
        <f>IFERROR(__xludf.DUMMYFUNCTION("""COMPUTED_VALUE"""),"centrs")</f>
        <v>centrs</v>
      </c>
      <c r="C1555" s="2" t="str">
        <f>IFERROR(__xludf.DUMMYFUNCTION("""COMPUTED_VALUE"""),"Alberta 11")</f>
        <v>Alberta 11</v>
      </c>
      <c r="D1555" s="2">
        <f>IFERROR(__xludf.DUMMYFUNCTION("""COMPUTED_VALUE"""),2.0)</f>
        <v>2</v>
      </c>
      <c r="E1555" s="2">
        <f>IFERROR(__xludf.DUMMYFUNCTION("""COMPUTED_VALUE"""),44.0)</f>
        <v>44</v>
      </c>
      <c r="F1555" s="2">
        <f>IFERROR(__xludf.DUMMYFUNCTION("""COMPUTED_VALUE"""),3.0)</f>
        <v>3</v>
      </c>
      <c r="G1555" s="2">
        <f>IFERROR(__xludf.DUMMYFUNCTION("""COMPUTED_VALUE"""),6.0)</f>
        <v>6</v>
      </c>
      <c r="H1555" s="2" t="str">
        <f>IFERROR(__xludf.DUMMYFUNCTION("""COMPUTED_VALUE"""),"P. kara")</f>
        <v>P. kara</v>
      </c>
      <c r="I1555" s="2" t="str">
        <f>IFERROR(__xludf.DUMMYFUNCTION("""COMPUTED_VALUE"""),"Masonry")</f>
        <v>Masonry</v>
      </c>
      <c r="J1555" s="2" t="str">
        <f>IFERROR(__xludf.DUMMYFUNCTION("""COMPUTED_VALUE"""),"All amenities")</f>
        <v>All amenities</v>
      </c>
      <c r="K1555" s="2">
        <f>IFERROR(__xludf.DUMMYFUNCTION("""COMPUTED_VALUE"""),225.0)</f>
        <v>225</v>
      </c>
      <c r="L1555" s="2">
        <f>IFERROR(__xludf.DUMMYFUNCTION("""COMPUTED_VALUE"""),56.95900535)</f>
        <v>56.95900535</v>
      </c>
      <c r="M1555" s="2">
        <f>IFERROR(__xludf.DUMMYFUNCTION("""COMPUTED_VALUE"""),24.108792096133)</f>
        <v>24.1087921</v>
      </c>
    </row>
    <row r="1556">
      <c r="A1556" s="2" t="str">
        <f>IFERROR(__xludf.DUMMYFUNCTION("""COMPUTED_VALUE"""),"For rent")</f>
        <v>For rent</v>
      </c>
      <c r="B1556" s="2" t="str">
        <f>IFERROR(__xludf.DUMMYFUNCTION("""COMPUTED_VALUE"""),"centrs")</f>
        <v>centrs</v>
      </c>
      <c r="C1556" s="2" t="str">
        <f>IFERROR(__xludf.DUMMYFUNCTION("""COMPUTED_VALUE"""),"Alberta 11")</f>
        <v>Alberta 11</v>
      </c>
      <c r="D1556" s="2">
        <f>IFERROR(__xludf.DUMMYFUNCTION("""COMPUTED_VALUE"""),3.0)</f>
        <v>3</v>
      </c>
      <c r="E1556" s="2">
        <f>IFERROR(__xludf.DUMMYFUNCTION("""COMPUTED_VALUE"""),66.5)</f>
        <v>66.5</v>
      </c>
      <c r="F1556" s="2">
        <f>IFERROR(__xludf.DUMMYFUNCTION("""COMPUTED_VALUE"""),6.0)</f>
        <v>6</v>
      </c>
      <c r="G1556" s="2">
        <f>IFERROR(__xludf.DUMMYFUNCTION("""COMPUTED_VALUE"""),6.0)</f>
        <v>6</v>
      </c>
      <c r="H1556" s="2" t="str">
        <f>IFERROR(__xludf.DUMMYFUNCTION("""COMPUTED_VALUE"""),"P. kara")</f>
        <v>P. kara</v>
      </c>
      <c r="I1556" s="2" t="str">
        <f>IFERROR(__xludf.DUMMYFUNCTION("""COMPUTED_VALUE"""),"Brick")</f>
        <v>Brick</v>
      </c>
      <c r="J1556" s="2" t="str">
        <f>IFERROR(__xludf.DUMMYFUNCTION("""COMPUTED_VALUE"""),"All amenities")</f>
        <v>All amenities</v>
      </c>
      <c r="K1556" s="2">
        <f>IFERROR(__xludf.DUMMYFUNCTION("""COMPUTED_VALUE"""),190.0)</f>
        <v>190</v>
      </c>
      <c r="L1556" s="2">
        <f>IFERROR(__xludf.DUMMYFUNCTION("""COMPUTED_VALUE"""),56.95900535)</f>
        <v>56.95900535</v>
      </c>
      <c r="M1556" s="2">
        <f>IFERROR(__xludf.DUMMYFUNCTION("""COMPUTED_VALUE"""),24.108792096133)</f>
        <v>24.1087921</v>
      </c>
    </row>
    <row r="1557">
      <c r="A1557" s="2" t="str">
        <f>IFERROR(__xludf.DUMMYFUNCTION("""COMPUTED_VALUE"""),"For sale")</f>
        <v>For sale</v>
      </c>
      <c r="B1557" s="2" t="str">
        <f>IFERROR(__xludf.DUMMYFUNCTION("""COMPUTED_VALUE"""),"centrs")</f>
        <v>centrs</v>
      </c>
      <c r="C1557" s="2" t="str">
        <f>IFERROR(__xludf.DUMMYFUNCTION("""COMPUTED_VALUE"""),"Lāčplēša 96")</f>
        <v>Lāčplēša 96</v>
      </c>
      <c r="D1557" s="2">
        <f>IFERROR(__xludf.DUMMYFUNCTION("""COMPUTED_VALUE"""),4.0)</f>
        <v>4</v>
      </c>
      <c r="E1557" s="2">
        <f>IFERROR(__xludf.DUMMYFUNCTION("""COMPUTED_VALUE"""),104.0)</f>
        <v>104</v>
      </c>
      <c r="F1557" s="2">
        <f>IFERROR(__xludf.DUMMYFUNCTION("""COMPUTED_VALUE"""),2.0)</f>
        <v>2</v>
      </c>
      <c r="G1557" s="2">
        <f>IFERROR(__xludf.DUMMYFUNCTION("""COMPUTED_VALUE"""),5.0)</f>
        <v>5</v>
      </c>
      <c r="H1557" s="2" t="str">
        <f>IFERROR(__xludf.DUMMYFUNCTION("""COMPUTED_VALUE"""),"P. kara")</f>
        <v>P. kara</v>
      </c>
      <c r="I1557" s="2" t="str">
        <f>IFERROR(__xludf.DUMMYFUNCTION("""COMPUTED_VALUE"""),"Brick")</f>
        <v>Brick</v>
      </c>
      <c r="J1557" s="2" t="str">
        <f>IFERROR(__xludf.DUMMYFUNCTION("""COMPUTED_VALUE"""),"All amenities")</f>
        <v>All amenities</v>
      </c>
      <c r="K1557" s="2">
        <f>IFERROR(__xludf.DUMMYFUNCTION("""COMPUTED_VALUE"""),115000.0)</f>
        <v>115000</v>
      </c>
      <c r="L1557" s="2">
        <f>IFERROR(__xludf.DUMMYFUNCTION("""COMPUTED_VALUE"""),56.94468895)</f>
        <v>56.94468895</v>
      </c>
      <c r="M1557" s="2">
        <f>IFERROR(__xludf.DUMMYFUNCTION("""COMPUTED_VALUE"""),24.1327201596803)</f>
        <v>24.13272016</v>
      </c>
    </row>
    <row r="1558">
      <c r="A1558" s="2" t="str">
        <f>IFERROR(__xludf.DUMMYFUNCTION("""COMPUTED_VALUE"""),"For sale")</f>
        <v>For sale</v>
      </c>
      <c r="B1558" s="2" t="str">
        <f>IFERROR(__xludf.DUMMYFUNCTION("""COMPUTED_VALUE"""),"Teika")</f>
        <v>Teika</v>
      </c>
      <c r="C1558" s="2" t="str">
        <f>IFERROR(__xludf.DUMMYFUNCTION("""COMPUTED_VALUE"""),"Biķernieku 31")</f>
        <v>Biķernieku 31</v>
      </c>
      <c r="D1558" s="2">
        <f>IFERROR(__xludf.DUMMYFUNCTION("""COMPUTED_VALUE"""),3.0)</f>
        <v>3</v>
      </c>
      <c r="E1558" s="2">
        <f>IFERROR(__xludf.DUMMYFUNCTION("""COMPUTED_VALUE"""),64.0)</f>
        <v>64</v>
      </c>
      <c r="F1558" s="2">
        <f>IFERROR(__xludf.DUMMYFUNCTION("""COMPUTED_VALUE"""),4.0)</f>
        <v>4</v>
      </c>
      <c r="G1558" s="2">
        <f>IFERROR(__xludf.DUMMYFUNCTION("""COMPUTED_VALUE"""),5.0)</f>
        <v>5</v>
      </c>
      <c r="H1558" s="2" t="str">
        <f>IFERROR(__xludf.DUMMYFUNCTION("""COMPUTED_VALUE"""),"Specpr.")</f>
        <v>Specpr.</v>
      </c>
      <c r="I1558" s="2" t="str">
        <f>IFERROR(__xludf.DUMMYFUNCTION("""COMPUTED_VALUE"""),"Brick")</f>
        <v>Brick</v>
      </c>
      <c r="J1558" s="2" t="str">
        <f>IFERROR(__xludf.DUMMYFUNCTION("""COMPUTED_VALUE"""),"All amenities")</f>
        <v>All amenities</v>
      </c>
      <c r="K1558" s="2">
        <f>IFERROR(__xludf.DUMMYFUNCTION("""COMPUTED_VALUE"""),61000.0)</f>
        <v>61000</v>
      </c>
      <c r="L1558" s="2">
        <f>IFERROR(__xludf.DUMMYFUNCTION("""COMPUTED_VALUE"""),56.95894965)</f>
        <v>56.95894965</v>
      </c>
      <c r="M1558" s="2">
        <f>IFERROR(__xludf.DUMMYFUNCTION("""COMPUTED_VALUE"""),24.2439652588717)</f>
        <v>24.24396526</v>
      </c>
    </row>
    <row r="1559">
      <c r="A1559" s="2" t="str">
        <f>IFERROR(__xludf.DUMMYFUNCTION("""COMPUTED_VALUE"""),"For sale")</f>
        <v>For sale</v>
      </c>
      <c r="B1559" s="2" t="str">
        <f>IFERROR(__xludf.DUMMYFUNCTION("""COMPUTED_VALUE"""),"Pļavnieki")</f>
        <v>Pļavnieki</v>
      </c>
      <c r="C1559" s="2" t="str">
        <f>IFERROR(__xludf.DUMMYFUNCTION("""COMPUTED_VALUE"""),"Salnas 21")</f>
        <v>Salnas 21</v>
      </c>
      <c r="D1559" s="2">
        <f>IFERROR(__xludf.DUMMYFUNCTION("""COMPUTED_VALUE"""),2.0)</f>
        <v>2</v>
      </c>
      <c r="E1559" s="2">
        <f>IFERROR(__xludf.DUMMYFUNCTION("""COMPUTED_VALUE"""),43.0)</f>
        <v>43</v>
      </c>
      <c r="F1559" s="2">
        <f>IFERROR(__xludf.DUMMYFUNCTION("""COMPUTED_VALUE"""),3.0)</f>
        <v>3</v>
      </c>
      <c r="G1559" s="2">
        <f>IFERROR(__xludf.DUMMYFUNCTION("""COMPUTED_VALUE"""),9.0)</f>
        <v>9</v>
      </c>
      <c r="H1559" s="2" t="str">
        <f>IFERROR(__xludf.DUMMYFUNCTION("""COMPUTED_VALUE"""),"Jaun.")</f>
        <v>Jaun.</v>
      </c>
      <c r="I1559" s="2" t="str">
        <f>IFERROR(__xludf.DUMMYFUNCTION("""COMPUTED_VALUE"""),"Panel")</f>
        <v>Panel</v>
      </c>
      <c r="J1559" s="2" t="str">
        <f>IFERROR(__xludf.DUMMYFUNCTION("""COMPUTED_VALUE"""),"All amenities")</f>
        <v>All amenities</v>
      </c>
      <c r="K1559" s="2">
        <f>IFERROR(__xludf.DUMMYFUNCTION("""COMPUTED_VALUE"""),68000.0)</f>
        <v>68000</v>
      </c>
      <c r="L1559" s="2">
        <f>IFERROR(__xludf.DUMMYFUNCTION("""COMPUTED_VALUE"""),56.942327)</f>
        <v>56.942327</v>
      </c>
      <c r="M1559" s="2">
        <f>IFERROR(__xludf.DUMMYFUNCTION("""COMPUTED_VALUE"""),24.2300928779978)</f>
        <v>24.23009288</v>
      </c>
    </row>
    <row r="1560">
      <c r="A1560" s="2" t="str">
        <f>IFERROR(__xludf.DUMMYFUNCTION("""COMPUTED_VALUE"""),"For sale")</f>
        <v>For sale</v>
      </c>
      <c r="B1560" s="2" t="str">
        <f>IFERROR(__xludf.DUMMYFUNCTION("""COMPUTED_VALUE"""),"Purvciems")</f>
        <v>Purvciems</v>
      </c>
      <c r="C1560" s="2" t="str">
        <f>IFERROR(__xludf.DUMMYFUNCTION("""COMPUTED_VALUE"""),"Biķernieku 31")</f>
        <v>Biķernieku 31</v>
      </c>
      <c r="D1560" s="2">
        <f>IFERROR(__xludf.DUMMYFUNCTION("""COMPUTED_VALUE"""),3.0)</f>
        <v>3</v>
      </c>
      <c r="E1560" s="2">
        <f>IFERROR(__xludf.DUMMYFUNCTION("""COMPUTED_VALUE"""),64.0)</f>
        <v>64</v>
      </c>
      <c r="F1560" s="2">
        <f>IFERROR(__xludf.DUMMYFUNCTION("""COMPUTED_VALUE"""),4.0)</f>
        <v>4</v>
      </c>
      <c r="G1560" s="2">
        <f>IFERROR(__xludf.DUMMYFUNCTION("""COMPUTED_VALUE"""),5.0)</f>
        <v>5</v>
      </c>
      <c r="H1560" s="2" t="str">
        <f>IFERROR(__xludf.DUMMYFUNCTION("""COMPUTED_VALUE"""),"Specpr.")</f>
        <v>Specpr.</v>
      </c>
      <c r="I1560" s="2" t="str">
        <f>IFERROR(__xludf.DUMMYFUNCTION("""COMPUTED_VALUE"""),"Brick")</f>
        <v>Brick</v>
      </c>
      <c r="J1560" s="2" t="str">
        <f>IFERROR(__xludf.DUMMYFUNCTION("""COMPUTED_VALUE"""),"All amenities")</f>
        <v>All amenities</v>
      </c>
      <c r="K1560" s="2">
        <f>IFERROR(__xludf.DUMMYFUNCTION("""COMPUTED_VALUE"""),61000.0)</f>
        <v>61000</v>
      </c>
      <c r="L1560" s="2">
        <f>IFERROR(__xludf.DUMMYFUNCTION("""COMPUTED_VALUE"""),56.95894965)</f>
        <v>56.95894965</v>
      </c>
      <c r="M1560" s="2">
        <f>IFERROR(__xludf.DUMMYFUNCTION("""COMPUTED_VALUE"""),24.2439652588717)</f>
        <v>24.24396526</v>
      </c>
    </row>
    <row r="1561">
      <c r="A1561" s="2" t="str">
        <f>IFERROR(__xludf.DUMMYFUNCTION("""COMPUTED_VALUE"""),"For rent")</f>
        <v>For rent</v>
      </c>
      <c r="B1561" s="2" t="str">
        <f>IFERROR(__xludf.DUMMYFUNCTION("""COMPUTED_VALUE"""),"centrs")</f>
        <v>centrs</v>
      </c>
      <c r="C1561" s="2" t="str">
        <f>IFERROR(__xludf.DUMMYFUNCTION("""COMPUTED_VALUE"""),"Brīvības 148")</f>
        <v>Brīvības 148</v>
      </c>
      <c r="D1561" s="2">
        <f>IFERROR(__xludf.DUMMYFUNCTION("""COMPUTED_VALUE"""),1.0)</f>
        <v>1</v>
      </c>
      <c r="E1561" s="2">
        <f>IFERROR(__xludf.DUMMYFUNCTION("""COMPUTED_VALUE"""),22.0)</f>
        <v>22</v>
      </c>
      <c r="F1561" s="2">
        <f>IFERROR(__xludf.DUMMYFUNCTION("""COMPUTED_VALUE"""),3.0)</f>
        <v>3</v>
      </c>
      <c r="G1561" s="2">
        <f>IFERROR(__xludf.DUMMYFUNCTION("""COMPUTED_VALUE"""),6.0)</f>
        <v>6</v>
      </c>
      <c r="H1561" s="2" t="str">
        <f>IFERROR(__xludf.DUMMYFUNCTION("""COMPUTED_VALUE"""),"P. kara")</f>
        <v>P. kara</v>
      </c>
      <c r="I1561" s="2" t="str">
        <f>IFERROR(__xludf.DUMMYFUNCTION("""COMPUTED_VALUE"""),"Masonry")</f>
        <v>Masonry</v>
      </c>
      <c r="J1561" s="2" t="str">
        <f>IFERROR(__xludf.DUMMYFUNCTION("""COMPUTED_VALUE"""),"All amenities")</f>
        <v>All amenities</v>
      </c>
      <c r="K1561" s="2">
        <f>IFERROR(__xludf.DUMMYFUNCTION("""COMPUTED_VALUE"""),350.0)</f>
        <v>350</v>
      </c>
      <c r="L1561" s="2">
        <f>IFERROR(__xludf.DUMMYFUNCTION("""COMPUTED_VALUE"""),56.964231)</f>
        <v>56.964231</v>
      </c>
      <c r="M1561" s="2">
        <f>IFERROR(__xludf.DUMMYFUNCTION("""COMPUTED_VALUE"""),24.140576370724)</f>
        <v>24.14057637</v>
      </c>
    </row>
    <row r="1562">
      <c r="A1562" s="2" t="str">
        <f>IFERROR(__xludf.DUMMYFUNCTION("""COMPUTED_VALUE"""),"For rent")</f>
        <v>For rent</v>
      </c>
      <c r="B1562" s="2" t="str">
        <f>IFERROR(__xludf.DUMMYFUNCTION("""COMPUTED_VALUE"""),"centrs")</f>
        <v>centrs</v>
      </c>
      <c r="C1562" s="2" t="str">
        <f>IFERROR(__xludf.DUMMYFUNCTION("""COMPUTED_VALUE"""),"Zvaigžņu 24")</f>
        <v>Zvaigžņu 24</v>
      </c>
      <c r="D1562" s="2">
        <f>IFERROR(__xludf.DUMMYFUNCTION("""COMPUTED_VALUE"""),1.0)</f>
        <v>1</v>
      </c>
      <c r="E1562" s="2">
        <f>IFERROR(__xludf.DUMMYFUNCTION("""COMPUTED_VALUE"""),20.0)</f>
        <v>20</v>
      </c>
      <c r="F1562" s="2">
        <f>IFERROR(__xludf.DUMMYFUNCTION("""COMPUTED_VALUE"""),2.0)</f>
        <v>2</v>
      </c>
      <c r="G1562" s="2">
        <f>IFERROR(__xludf.DUMMYFUNCTION("""COMPUTED_VALUE"""),6.0)</f>
        <v>6</v>
      </c>
      <c r="H1562" s="2" t="str">
        <f>IFERROR(__xludf.DUMMYFUNCTION("""COMPUTED_VALUE"""),"Renov.")</f>
        <v>Renov.</v>
      </c>
      <c r="I1562" s="2" t="str">
        <f>IFERROR(__xludf.DUMMYFUNCTION("""COMPUTED_VALUE"""),"Masonry")</f>
        <v>Masonry</v>
      </c>
      <c r="J1562" s="2" t="str">
        <f>IFERROR(__xludf.DUMMYFUNCTION("""COMPUTED_VALUE"""),"All amenities")</f>
        <v>All amenities</v>
      </c>
      <c r="K1562" s="2">
        <f>IFERROR(__xludf.DUMMYFUNCTION("""COMPUTED_VALUE"""),25.0)</f>
        <v>25</v>
      </c>
      <c r="L1562" s="2">
        <f>IFERROR(__xludf.DUMMYFUNCTION("""COMPUTED_VALUE"""),56.9607411)</f>
        <v>56.9607411</v>
      </c>
      <c r="M1562" s="2">
        <f>IFERROR(__xludf.DUMMYFUNCTION("""COMPUTED_VALUE"""),24.1497716)</f>
        <v>24.1497716</v>
      </c>
    </row>
    <row r="1563">
      <c r="A1563" s="2" t="str">
        <f>IFERROR(__xludf.DUMMYFUNCTION("""COMPUTED_VALUE"""),"For sale")</f>
        <v>For sale</v>
      </c>
      <c r="B1563" s="2" t="str">
        <f>IFERROR(__xludf.DUMMYFUNCTION("""COMPUTED_VALUE"""),"centrs")</f>
        <v>centrs</v>
      </c>
      <c r="C1563" s="2" t="str">
        <f>IFERROR(__xludf.DUMMYFUNCTION("""COMPUTED_VALUE"""),"Skolas 38")</f>
        <v>Skolas 38</v>
      </c>
      <c r="D1563" s="2">
        <f>IFERROR(__xludf.DUMMYFUNCTION("""COMPUTED_VALUE"""),3.0)</f>
        <v>3</v>
      </c>
      <c r="E1563" s="2">
        <f>IFERROR(__xludf.DUMMYFUNCTION("""COMPUTED_VALUE"""),155.0)</f>
        <v>155</v>
      </c>
      <c r="F1563" s="2">
        <f>IFERROR(__xludf.DUMMYFUNCTION("""COMPUTED_VALUE"""),3.0)</f>
        <v>3</v>
      </c>
      <c r="G1563" s="2">
        <f>IFERROR(__xludf.DUMMYFUNCTION("""COMPUTED_VALUE"""),6.0)</f>
        <v>6</v>
      </c>
      <c r="H1563" s="2" t="str">
        <f>IFERROR(__xludf.DUMMYFUNCTION("""COMPUTED_VALUE"""),"P. kara")</f>
        <v>P. kara</v>
      </c>
      <c r="I1563" s="2" t="str">
        <f>IFERROR(__xludf.DUMMYFUNCTION("""COMPUTED_VALUE"""),"Masonry")</f>
        <v>Masonry</v>
      </c>
      <c r="J1563" s="2" t="str">
        <f>IFERROR(__xludf.DUMMYFUNCTION("""COMPUTED_VALUE"""),"All amenities")</f>
        <v>All amenities</v>
      </c>
      <c r="K1563" s="2">
        <f>IFERROR(__xludf.DUMMYFUNCTION("""COMPUTED_VALUE"""),260000.0)</f>
        <v>260000</v>
      </c>
      <c r="L1563" s="2">
        <f>IFERROR(__xludf.DUMMYFUNCTION("""COMPUTED_VALUE"""),48.2969502)</f>
        <v>48.2969502</v>
      </c>
      <c r="M1563" s="2">
        <f>IFERROR(__xludf.DUMMYFUNCTION("""COMPUTED_VALUE"""),-100.7081938)</f>
        <v>-100.7081938</v>
      </c>
    </row>
    <row r="1564">
      <c r="A1564" s="2" t="str">
        <f>IFERROR(__xludf.DUMMYFUNCTION("""COMPUTED_VALUE"""),"For sale")</f>
        <v>For sale</v>
      </c>
      <c r="B1564" s="2" t="str">
        <f>IFERROR(__xludf.DUMMYFUNCTION("""COMPUTED_VALUE"""),"Ķengarags")</f>
        <v>Ķengarags</v>
      </c>
      <c r="C1564" s="2" t="str">
        <f>IFERROR(__xludf.DUMMYFUNCTION("""COMPUTED_VALUE"""),"Višķu 9")</f>
        <v>Višķu 9</v>
      </c>
      <c r="D1564" s="2">
        <f>IFERROR(__xludf.DUMMYFUNCTION("""COMPUTED_VALUE"""),3.0)</f>
        <v>3</v>
      </c>
      <c r="E1564" s="2">
        <f>IFERROR(__xludf.DUMMYFUNCTION("""COMPUTED_VALUE"""),61.0)</f>
        <v>61</v>
      </c>
      <c r="F1564" s="2">
        <f>IFERROR(__xludf.DUMMYFUNCTION("""COMPUTED_VALUE"""),2.0)</f>
        <v>2</v>
      </c>
      <c r="G1564" s="2">
        <f>IFERROR(__xludf.DUMMYFUNCTION("""COMPUTED_VALUE"""),5.0)</f>
        <v>5</v>
      </c>
      <c r="H1564" s="2" t="str">
        <f>IFERROR(__xludf.DUMMYFUNCTION("""COMPUTED_VALUE"""),"LT proj.")</f>
        <v>LT proj.</v>
      </c>
      <c r="I1564" s="2" t="str">
        <f>IFERROR(__xludf.DUMMYFUNCTION("""COMPUTED_VALUE"""),"Panel")</f>
        <v>Panel</v>
      </c>
      <c r="J1564" s="2" t="str">
        <f>IFERROR(__xludf.DUMMYFUNCTION("""COMPUTED_VALUE"""),"All amenities")</f>
        <v>All amenities</v>
      </c>
      <c r="K1564" s="2">
        <f>IFERROR(__xludf.DUMMYFUNCTION("""COMPUTED_VALUE"""),53000.0)</f>
        <v>53000</v>
      </c>
      <c r="L1564" s="2">
        <f>IFERROR(__xludf.DUMMYFUNCTION("""COMPUTED_VALUE"""),56.8992639)</f>
        <v>56.8992639</v>
      </c>
      <c r="M1564" s="2">
        <f>IFERROR(__xludf.DUMMYFUNCTION("""COMPUTED_VALUE"""),24.2143729105512)</f>
        <v>24.21437291</v>
      </c>
    </row>
    <row r="1565">
      <c r="A1565" s="2" t="str">
        <f>IFERROR(__xludf.DUMMYFUNCTION("""COMPUTED_VALUE"""),"For sale")</f>
        <v>For sale</v>
      </c>
      <c r="B1565" s="2" t="str">
        <f>IFERROR(__xludf.DUMMYFUNCTION("""COMPUTED_VALUE"""),"centrs")</f>
        <v>centrs</v>
      </c>
      <c r="C1565" s="2" t="str">
        <f>IFERROR(__xludf.DUMMYFUNCTION("""COMPUTED_VALUE"""),"Valdemāra 71")</f>
        <v>Valdemāra 71</v>
      </c>
      <c r="D1565" s="2">
        <f>IFERROR(__xludf.DUMMYFUNCTION("""COMPUTED_VALUE"""),5.0)</f>
        <v>5</v>
      </c>
      <c r="E1565" s="2">
        <f>IFERROR(__xludf.DUMMYFUNCTION("""COMPUTED_VALUE"""),105.0)</f>
        <v>105</v>
      </c>
      <c r="F1565" s="2">
        <f>IFERROR(__xludf.DUMMYFUNCTION("""COMPUTED_VALUE"""),6.0)</f>
        <v>6</v>
      </c>
      <c r="G1565" s="2">
        <f>IFERROR(__xludf.DUMMYFUNCTION("""COMPUTED_VALUE"""),6.0)</f>
        <v>6</v>
      </c>
      <c r="H1565" s="2" t="str">
        <f>IFERROR(__xludf.DUMMYFUNCTION("""COMPUTED_VALUE"""),"P. kara")</f>
        <v>P. kara</v>
      </c>
      <c r="I1565" s="2" t="str">
        <f>IFERROR(__xludf.DUMMYFUNCTION("""COMPUTED_VALUE"""),"Masonry")</f>
        <v>Masonry</v>
      </c>
      <c r="J1565" s="2" t="str">
        <f>IFERROR(__xludf.DUMMYFUNCTION("""COMPUTED_VALUE"""),"All amenities")</f>
        <v>All amenities</v>
      </c>
      <c r="K1565" s="2">
        <f>IFERROR(__xludf.DUMMYFUNCTION("""COMPUTED_VALUE"""),189950.0)</f>
        <v>189950</v>
      </c>
      <c r="L1565" s="2">
        <f>IFERROR(__xludf.DUMMYFUNCTION("""COMPUTED_VALUE"""),56.9620225)</f>
        <v>56.9620225</v>
      </c>
      <c r="M1565" s="2">
        <f>IFERROR(__xludf.DUMMYFUNCTION("""COMPUTED_VALUE"""),24.123035)</f>
        <v>24.123035</v>
      </c>
    </row>
    <row r="1566">
      <c r="A1566" s="2" t="str">
        <f>IFERROR(__xludf.DUMMYFUNCTION("""COMPUTED_VALUE"""),"For sale")</f>
        <v>For sale</v>
      </c>
      <c r="B1566" s="2" t="str">
        <f>IFERROR(__xludf.DUMMYFUNCTION("""COMPUTED_VALUE"""),"centrs")</f>
        <v>centrs</v>
      </c>
      <c r="C1566" s="2" t="str">
        <f>IFERROR(__xludf.DUMMYFUNCTION("""COMPUTED_VALUE"""),"Dzirnavu 83")</f>
        <v>Dzirnavu 83</v>
      </c>
      <c r="D1566" s="2">
        <f>IFERROR(__xludf.DUMMYFUNCTION("""COMPUTED_VALUE"""),3.0)</f>
        <v>3</v>
      </c>
      <c r="E1566" s="2">
        <f>IFERROR(__xludf.DUMMYFUNCTION("""COMPUTED_VALUE"""),84.0)</f>
        <v>84</v>
      </c>
      <c r="F1566" s="2">
        <f>IFERROR(__xludf.DUMMYFUNCTION("""COMPUTED_VALUE"""),6.0)</f>
        <v>6</v>
      </c>
      <c r="G1566" s="2">
        <f>IFERROR(__xludf.DUMMYFUNCTION("""COMPUTED_VALUE"""),7.0)</f>
        <v>7</v>
      </c>
      <c r="H1566" s="2" t="str">
        <f>IFERROR(__xludf.DUMMYFUNCTION("""COMPUTED_VALUE"""),"Jaun.")</f>
        <v>Jaun.</v>
      </c>
      <c r="I1566" s="2" t="str">
        <f>IFERROR(__xludf.DUMMYFUNCTION("""COMPUTED_VALUE"""),"Panel-Brick")</f>
        <v>Panel-Brick</v>
      </c>
      <c r="J1566" s="2" t="str">
        <f>IFERROR(__xludf.DUMMYFUNCTION("""COMPUTED_VALUE"""),"All amenities")</f>
        <v>All amenities</v>
      </c>
      <c r="K1566" s="2">
        <f>IFERROR(__xludf.DUMMYFUNCTION("""COMPUTED_VALUE"""),250000.0)</f>
        <v>250000</v>
      </c>
      <c r="L1566" s="2">
        <f>IFERROR(__xludf.DUMMYFUNCTION("""COMPUTED_VALUE"""),56.9532932)</f>
        <v>56.9532932</v>
      </c>
      <c r="M1566" s="2">
        <f>IFERROR(__xludf.DUMMYFUNCTION("""COMPUTED_VALUE"""),24.1222418)</f>
        <v>24.1222418</v>
      </c>
    </row>
    <row r="1567">
      <c r="A1567" s="2" t="str">
        <f>IFERROR(__xludf.DUMMYFUNCTION("""COMPUTED_VALUE"""),"For sale")</f>
        <v>For sale</v>
      </c>
      <c r="B1567" s="2" t="str">
        <f>IFERROR(__xludf.DUMMYFUNCTION("""COMPUTED_VALUE"""),"Teika")</f>
        <v>Teika</v>
      </c>
      <c r="C1567" s="2" t="str">
        <f>IFERROR(__xludf.DUMMYFUNCTION("""COMPUTED_VALUE"""),"Ropažu 14")</f>
        <v>Ropažu 14</v>
      </c>
      <c r="D1567" s="2">
        <f>IFERROR(__xludf.DUMMYFUNCTION("""COMPUTED_VALUE"""),4.0)</f>
        <v>4</v>
      </c>
      <c r="E1567" s="2">
        <f>IFERROR(__xludf.DUMMYFUNCTION("""COMPUTED_VALUE"""),93.0)</f>
        <v>93</v>
      </c>
      <c r="F1567" s="2">
        <f>IFERROR(__xludf.DUMMYFUNCTION("""COMPUTED_VALUE"""),2.0)</f>
        <v>2</v>
      </c>
      <c r="G1567" s="2">
        <f>IFERROR(__xludf.DUMMYFUNCTION("""COMPUTED_VALUE"""),10.0)</f>
        <v>10</v>
      </c>
      <c r="H1567" s="2" t="str">
        <f>IFERROR(__xludf.DUMMYFUNCTION("""COMPUTED_VALUE"""),"Jaun.")</f>
        <v>Jaun.</v>
      </c>
      <c r="I1567" s="2" t="str">
        <f>IFERROR(__xludf.DUMMYFUNCTION("""COMPUTED_VALUE"""),"Masonry")</f>
        <v>Masonry</v>
      </c>
      <c r="J1567" s="2" t="str">
        <f>IFERROR(__xludf.DUMMYFUNCTION("""COMPUTED_VALUE"""),"All amenities")</f>
        <v>All amenities</v>
      </c>
      <c r="K1567" s="2">
        <f>IFERROR(__xludf.DUMMYFUNCTION("""COMPUTED_VALUE"""),140000.0)</f>
        <v>140000</v>
      </c>
      <c r="L1567" s="2">
        <f>IFERROR(__xludf.DUMMYFUNCTION("""COMPUTED_VALUE"""),56.9767303)</f>
        <v>56.9767303</v>
      </c>
      <c r="M1567" s="2">
        <f>IFERROR(__xludf.DUMMYFUNCTION("""COMPUTED_VALUE"""),24.1676579996058)</f>
        <v>24.167658</v>
      </c>
    </row>
    <row r="1568">
      <c r="A1568" s="2" t="str">
        <f>IFERROR(__xludf.DUMMYFUNCTION("""COMPUTED_VALUE"""),"For sale")</f>
        <v>For sale</v>
      </c>
      <c r="B1568" s="2" t="str">
        <f>IFERROR(__xludf.DUMMYFUNCTION("""COMPUTED_VALUE"""),"Sarkandaugava")</f>
        <v>Sarkandaugava</v>
      </c>
      <c r="C1568" s="2" t="str">
        <f>IFERROR(__xludf.DUMMYFUNCTION("""COMPUTED_VALUE"""),"Sarkandaugavas 21")</f>
        <v>Sarkandaugavas 21</v>
      </c>
      <c r="D1568" s="2">
        <f>IFERROR(__xludf.DUMMYFUNCTION("""COMPUTED_VALUE"""),1.0)</f>
        <v>1</v>
      </c>
      <c r="E1568" s="2">
        <f>IFERROR(__xludf.DUMMYFUNCTION("""COMPUTED_VALUE"""),28.0)</f>
        <v>28</v>
      </c>
      <c r="F1568" s="2">
        <f>IFERROR(__xludf.DUMMYFUNCTION("""COMPUTED_VALUE"""),2.0)</f>
        <v>2</v>
      </c>
      <c r="G1568" s="2">
        <f>IFERROR(__xludf.DUMMYFUNCTION("""COMPUTED_VALUE"""),2.0)</f>
        <v>2</v>
      </c>
      <c r="H1568" s="2" t="str">
        <f>IFERROR(__xludf.DUMMYFUNCTION("""COMPUTED_VALUE"""),"Renov.")</f>
        <v>Renov.</v>
      </c>
      <c r="I1568" s="2" t="str">
        <f>IFERROR(__xludf.DUMMYFUNCTION("""COMPUTED_VALUE"""),"Wood")</f>
        <v>Wood</v>
      </c>
      <c r="J1568" s="2" t="str">
        <f>IFERROR(__xludf.DUMMYFUNCTION("""COMPUTED_VALUE"""),"Partial amenities")</f>
        <v>Partial amenities</v>
      </c>
      <c r="K1568" s="2">
        <f>IFERROR(__xludf.DUMMYFUNCTION("""COMPUTED_VALUE"""),21000.0)</f>
        <v>21000</v>
      </c>
      <c r="L1568" s="2">
        <f>IFERROR(__xludf.DUMMYFUNCTION("""COMPUTED_VALUE"""),56.9987253)</f>
        <v>56.9987253</v>
      </c>
      <c r="M1568" s="2">
        <f>IFERROR(__xludf.DUMMYFUNCTION("""COMPUTED_VALUE"""),24.1235645)</f>
        <v>24.1235645</v>
      </c>
    </row>
    <row r="1569">
      <c r="A1569" s="2" t="str">
        <f>IFERROR(__xludf.DUMMYFUNCTION("""COMPUTED_VALUE"""),"For rent")</f>
        <v>For rent</v>
      </c>
      <c r="B1569" s="2" t="str">
        <f>IFERROR(__xludf.DUMMYFUNCTION("""COMPUTED_VALUE"""),"Šampēteris-Pleskodāle")</f>
        <v>Šampēteris-Pleskodāle</v>
      </c>
      <c r="C1569" s="2" t="str">
        <f>IFERROR(__xludf.DUMMYFUNCTION("""COMPUTED_VALUE"""),"Kukšu 4")</f>
        <v>Kukšu 4</v>
      </c>
      <c r="D1569" s="2">
        <f>IFERROR(__xludf.DUMMYFUNCTION("""COMPUTED_VALUE"""),3.0)</f>
        <v>3</v>
      </c>
      <c r="E1569" s="2">
        <f>IFERROR(__xludf.DUMMYFUNCTION("""COMPUTED_VALUE"""),70.0)</f>
        <v>70</v>
      </c>
      <c r="F1569" s="2">
        <f>IFERROR(__xludf.DUMMYFUNCTION("""COMPUTED_VALUE"""),1.0)</f>
        <v>1</v>
      </c>
      <c r="G1569" s="2">
        <f>IFERROR(__xludf.DUMMYFUNCTION("""COMPUTED_VALUE"""),2.0)</f>
        <v>2</v>
      </c>
      <c r="H1569" s="2" t="str">
        <f>IFERROR(__xludf.DUMMYFUNCTION("""COMPUTED_VALUE"""),"Priv. m.")</f>
        <v>Priv. m.</v>
      </c>
      <c r="I1569" s="2" t="str">
        <f>IFERROR(__xludf.DUMMYFUNCTION("""COMPUTED_VALUE"""),"Brick")</f>
        <v>Brick</v>
      </c>
      <c r="J1569" s="2" t="str">
        <f>IFERROR(__xludf.DUMMYFUNCTION("""COMPUTED_VALUE"""),"All amenities")</f>
        <v>All amenities</v>
      </c>
      <c r="K1569" s="2">
        <f>IFERROR(__xludf.DUMMYFUNCTION("""COMPUTED_VALUE"""),370.0)</f>
        <v>370</v>
      </c>
      <c r="L1569" s="2">
        <f>IFERROR(__xludf.DUMMYFUNCTION("""COMPUTED_VALUE"""),56.9348283)</f>
        <v>56.9348283</v>
      </c>
      <c r="M1569" s="2">
        <f>IFERROR(__xludf.DUMMYFUNCTION("""COMPUTED_VALUE"""),24.0390725)</f>
        <v>24.0390725</v>
      </c>
    </row>
    <row r="1570">
      <c r="A1570" s="2" t="str">
        <f>IFERROR(__xludf.DUMMYFUNCTION("""COMPUTED_VALUE"""),"For sale")</f>
        <v>For sale</v>
      </c>
      <c r="B1570" s="2" t="str">
        <f>IFERROR(__xludf.DUMMYFUNCTION("""COMPUTED_VALUE"""),"Vecmīlgrāvis")</f>
        <v>Vecmīlgrāvis</v>
      </c>
      <c r="C1570" s="2" t="str">
        <f>IFERROR(__xludf.DUMMYFUNCTION("""COMPUTED_VALUE"""),"Baltāsbaznīcas 33")</f>
        <v>Baltāsbaznīcas 33</v>
      </c>
      <c r="D1570" s="2">
        <f>IFERROR(__xludf.DUMMYFUNCTION("""COMPUTED_VALUE"""),3.0)</f>
        <v>3</v>
      </c>
      <c r="E1570" s="2">
        <f>IFERROR(__xludf.DUMMYFUNCTION("""COMPUTED_VALUE"""),58.0)</f>
        <v>58</v>
      </c>
      <c r="F1570" s="2">
        <f>IFERROR(__xludf.DUMMYFUNCTION("""COMPUTED_VALUE"""),1.0)</f>
        <v>1</v>
      </c>
      <c r="G1570" s="2">
        <f>IFERROR(__xludf.DUMMYFUNCTION("""COMPUTED_VALUE"""),2.0)</f>
        <v>2</v>
      </c>
      <c r="H1570" s="2" t="str">
        <f>IFERROR(__xludf.DUMMYFUNCTION("""COMPUTED_VALUE"""),"Staļina")</f>
        <v>Staļina</v>
      </c>
      <c r="I1570" s="2" t="str">
        <f>IFERROR(__xludf.DUMMYFUNCTION("""COMPUTED_VALUE"""),"Brick")</f>
        <v>Brick</v>
      </c>
      <c r="J1570" s="2" t="str">
        <f>IFERROR(__xludf.DUMMYFUNCTION("""COMPUTED_VALUE"""),"All amenities")</f>
        <v>All amenities</v>
      </c>
      <c r="K1570" s="2">
        <f>IFERROR(__xludf.DUMMYFUNCTION("""COMPUTED_VALUE"""),49850.0)</f>
        <v>49850</v>
      </c>
      <c r="L1570" s="2">
        <f>IFERROR(__xludf.DUMMYFUNCTION("""COMPUTED_VALUE"""),57.03627125)</f>
        <v>57.03627125</v>
      </c>
      <c r="M1570" s="2">
        <f>IFERROR(__xludf.DUMMYFUNCTION("""COMPUTED_VALUE"""),24.08894255)</f>
        <v>24.08894255</v>
      </c>
    </row>
    <row r="1571">
      <c r="A1571" s="2" t="str">
        <f>IFERROR(__xludf.DUMMYFUNCTION("""COMPUTED_VALUE"""),"For sale")</f>
        <v>For sale</v>
      </c>
      <c r="B1571" s="2" t="str">
        <f>IFERROR(__xludf.DUMMYFUNCTION("""COMPUTED_VALUE"""),"Teika")</f>
        <v>Teika</v>
      </c>
      <c r="C1571" s="2" t="str">
        <f>IFERROR(__xludf.DUMMYFUNCTION("""COMPUTED_VALUE"""),"Ropažu 80")</f>
        <v>Ropažu 80</v>
      </c>
      <c r="D1571" s="2">
        <f>IFERROR(__xludf.DUMMYFUNCTION("""COMPUTED_VALUE"""),4.0)</f>
        <v>4</v>
      </c>
      <c r="E1571" s="2">
        <f>IFERROR(__xludf.DUMMYFUNCTION("""COMPUTED_VALUE"""),103.0)</f>
        <v>103</v>
      </c>
      <c r="F1571" s="2">
        <f>IFERROR(__xludf.DUMMYFUNCTION("""COMPUTED_VALUE"""),1.0)</f>
        <v>1</v>
      </c>
      <c r="G1571" s="2">
        <f>IFERROR(__xludf.DUMMYFUNCTION("""COMPUTED_VALUE"""),12.0)</f>
        <v>12</v>
      </c>
      <c r="H1571" s="2" t="str">
        <f>IFERROR(__xludf.DUMMYFUNCTION("""COMPUTED_VALUE"""),"Jaun.")</f>
        <v>Jaun.</v>
      </c>
      <c r="I1571" s="2" t="str">
        <f>IFERROR(__xludf.DUMMYFUNCTION("""COMPUTED_VALUE"""),"Panel")</f>
        <v>Panel</v>
      </c>
      <c r="J1571" s="2" t="str">
        <f>IFERROR(__xludf.DUMMYFUNCTION("""COMPUTED_VALUE"""),"All amenities")</f>
        <v>All amenities</v>
      </c>
      <c r="K1571" s="2">
        <f>IFERROR(__xludf.DUMMYFUNCTION("""COMPUTED_VALUE"""),160000.0)</f>
        <v>160000</v>
      </c>
      <c r="L1571" s="2">
        <f>IFERROR(__xludf.DUMMYFUNCTION("""COMPUTED_VALUE"""),56.982608)</f>
        <v>56.982608</v>
      </c>
      <c r="M1571" s="2">
        <f>IFERROR(__xludf.DUMMYFUNCTION("""COMPUTED_VALUE"""),24.1873524)</f>
        <v>24.1873524</v>
      </c>
    </row>
    <row r="1572">
      <c r="A1572" s="2" t="str">
        <f>IFERROR(__xludf.DUMMYFUNCTION("""COMPUTED_VALUE"""),"For rent")</f>
        <v>For rent</v>
      </c>
      <c r="B1572" s="2" t="str">
        <f>IFERROR(__xludf.DUMMYFUNCTION("""COMPUTED_VALUE"""),"centrs")</f>
        <v>centrs</v>
      </c>
      <c r="C1572" s="2" t="str">
        <f>IFERROR(__xludf.DUMMYFUNCTION("""COMPUTED_VALUE"""),"Stabu 33")</f>
        <v>Stabu 33</v>
      </c>
      <c r="D1572" s="2">
        <f>IFERROR(__xludf.DUMMYFUNCTION("""COMPUTED_VALUE"""),2.0)</f>
        <v>2</v>
      </c>
      <c r="E1572" s="2">
        <f>IFERROR(__xludf.DUMMYFUNCTION("""COMPUTED_VALUE"""),57.0)</f>
        <v>57</v>
      </c>
      <c r="F1572" s="2">
        <f>IFERROR(__xludf.DUMMYFUNCTION("""COMPUTED_VALUE"""),2.0)</f>
        <v>2</v>
      </c>
      <c r="G1572" s="2">
        <f>IFERROR(__xludf.DUMMYFUNCTION("""COMPUTED_VALUE"""),2.0)</f>
        <v>2</v>
      </c>
      <c r="H1572" s="2" t="str">
        <f>IFERROR(__xludf.DUMMYFUNCTION("""COMPUTED_VALUE"""),"Specpr.")</f>
        <v>Specpr.</v>
      </c>
      <c r="I1572" s="2" t="str">
        <f>IFERROR(__xludf.DUMMYFUNCTION("""COMPUTED_VALUE"""),"Masonry")</f>
        <v>Masonry</v>
      </c>
      <c r="J1572" s="2" t="str">
        <f>IFERROR(__xludf.DUMMYFUNCTION("""COMPUTED_VALUE"""),"All amenities")</f>
        <v>All amenities</v>
      </c>
      <c r="K1572" s="2">
        <f>IFERROR(__xludf.DUMMYFUNCTION("""COMPUTED_VALUE"""),30.0)</f>
        <v>30</v>
      </c>
      <c r="L1572" s="2">
        <f>IFERROR(__xludf.DUMMYFUNCTION("""COMPUTED_VALUE"""),56.95622405)</f>
        <v>56.95622405</v>
      </c>
      <c r="M1572" s="2">
        <f>IFERROR(__xludf.DUMMYFUNCTION("""COMPUTED_VALUE"""),24.1296935035436)</f>
        <v>24.1296935</v>
      </c>
    </row>
    <row r="1573">
      <c r="A1573" s="2" t="str">
        <f>IFERROR(__xludf.DUMMYFUNCTION("""COMPUTED_VALUE"""),"For sale")</f>
        <v>For sale</v>
      </c>
      <c r="B1573" s="2" t="str">
        <f>IFERROR(__xludf.DUMMYFUNCTION("""COMPUTED_VALUE"""),"Aplokciems")</f>
        <v>Aplokciems</v>
      </c>
      <c r="C1573" s="2" t="str">
        <f>IFERROR(__xludf.DUMMYFUNCTION("""COMPUTED_VALUE"""),"Briežu 9")</f>
        <v>Briežu 9</v>
      </c>
      <c r="D1573" s="2">
        <f>IFERROR(__xludf.DUMMYFUNCTION("""COMPUTED_VALUE"""),2.0)</f>
        <v>2</v>
      </c>
      <c r="E1573" s="2">
        <f>IFERROR(__xludf.DUMMYFUNCTION("""COMPUTED_VALUE"""),40.0)</f>
        <v>40</v>
      </c>
      <c r="F1573" s="2">
        <f>IFERROR(__xludf.DUMMYFUNCTION("""COMPUTED_VALUE"""),2.0)</f>
        <v>2</v>
      </c>
      <c r="G1573" s="2">
        <f>IFERROR(__xludf.DUMMYFUNCTION("""COMPUTED_VALUE"""),6.0)</f>
        <v>6</v>
      </c>
      <c r="H1573" s="2" t="str">
        <f>IFERROR(__xludf.DUMMYFUNCTION("""COMPUTED_VALUE"""),"Jaun.")</f>
        <v>Jaun.</v>
      </c>
      <c r="I1573" s="2" t="str">
        <f>IFERROR(__xludf.DUMMYFUNCTION("""COMPUTED_VALUE"""),"Panel")</f>
        <v>Panel</v>
      </c>
      <c r="J1573" s="2" t="str">
        <f>IFERROR(__xludf.DUMMYFUNCTION("""COMPUTED_VALUE"""),"All amenities")</f>
        <v>All amenities</v>
      </c>
      <c r="K1573" s="2">
        <f>IFERROR(__xludf.DUMMYFUNCTION("""COMPUTED_VALUE"""),63350.0)</f>
        <v>63350</v>
      </c>
      <c r="L1573" s="2">
        <f>IFERROR(__xludf.DUMMYFUNCTION("""COMPUTED_VALUE"""),57.0229234499999)</f>
        <v>57.02292345</v>
      </c>
      <c r="M1573" s="2">
        <f>IFERROR(__xludf.DUMMYFUNCTION("""COMPUTED_VALUE"""),24.1376648769917)</f>
        <v>24.13766488</v>
      </c>
    </row>
    <row r="1574">
      <c r="A1574" s="2" t="str">
        <f>IFERROR(__xludf.DUMMYFUNCTION("""COMPUTED_VALUE"""),"For rent")</f>
        <v>For rent</v>
      </c>
      <c r="B1574" s="2" t="str">
        <f>IFERROR(__xludf.DUMMYFUNCTION("""COMPUTED_VALUE"""),"Maskavas priekšpilsēta")</f>
        <v>Maskavas priekšpilsēta</v>
      </c>
      <c r="C1574" s="2" t="str">
        <f>IFERROR(__xludf.DUMMYFUNCTION("""COMPUTED_VALUE"""),"Ebreju 10")</f>
        <v>Ebreju 10</v>
      </c>
      <c r="D1574" s="2">
        <f>IFERROR(__xludf.DUMMYFUNCTION("""COMPUTED_VALUE"""),3.0)</f>
        <v>3</v>
      </c>
      <c r="E1574" s="2">
        <f>IFERROR(__xludf.DUMMYFUNCTION("""COMPUTED_VALUE"""),83.0)</f>
        <v>83</v>
      </c>
      <c r="F1574" s="2">
        <f>IFERROR(__xludf.DUMMYFUNCTION("""COMPUTED_VALUE"""),5.0)</f>
        <v>5</v>
      </c>
      <c r="G1574" s="2">
        <f>IFERROR(__xludf.DUMMYFUNCTION("""COMPUTED_VALUE"""),5.0)</f>
        <v>5</v>
      </c>
      <c r="H1574" s="2" t="str">
        <f>IFERROR(__xludf.DUMMYFUNCTION("""COMPUTED_VALUE"""),"Specpr.")</f>
        <v>Specpr.</v>
      </c>
      <c r="I1574" s="2" t="str">
        <f>IFERROR(__xludf.DUMMYFUNCTION("""COMPUTED_VALUE"""),"Brick-Panel")</f>
        <v>Brick-Panel</v>
      </c>
      <c r="J1574" s="2" t="str">
        <f>IFERROR(__xludf.DUMMYFUNCTION("""COMPUTED_VALUE"""),"All amenities")</f>
        <v>All amenities</v>
      </c>
      <c r="K1574" s="2">
        <f>IFERROR(__xludf.DUMMYFUNCTION("""COMPUTED_VALUE"""),600.0)</f>
        <v>600</v>
      </c>
      <c r="L1574" s="2">
        <f>IFERROR(__xludf.DUMMYFUNCTION("""COMPUTED_VALUE"""),56.9379361)</f>
        <v>56.9379361</v>
      </c>
      <c r="M1574" s="2">
        <f>IFERROR(__xludf.DUMMYFUNCTION("""COMPUTED_VALUE"""),24.154479)</f>
        <v>24.154479</v>
      </c>
    </row>
    <row r="1575">
      <c r="A1575" s="2" t="str">
        <f>IFERROR(__xludf.DUMMYFUNCTION("""COMPUTED_VALUE"""),"For sale")</f>
        <v>For sale</v>
      </c>
      <c r="B1575" s="2" t="str">
        <f>IFERROR(__xludf.DUMMYFUNCTION("""COMPUTED_VALUE"""),"Pļavnieki")</f>
        <v>Pļavnieki</v>
      </c>
      <c r="C1575" s="2" t="str">
        <f>IFERROR(__xludf.DUMMYFUNCTION("""COMPUTED_VALUE"""),"Ulbrokas 12/3")</f>
        <v>Ulbrokas 12/3</v>
      </c>
      <c r="D1575" s="2">
        <f>IFERROR(__xludf.DUMMYFUNCTION("""COMPUTED_VALUE"""),3.0)</f>
        <v>3</v>
      </c>
      <c r="E1575" s="2">
        <f>IFERROR(__xludf.DUMMYFUNCTION("""COMPUTED_VALUE"""),79.0)</f>
        <v>79</v>
      </c>
      <c r="F1575" s="2">
        <f>IFERROR(__xludf.DUMMYFUNCTION("""COMPUTED_VALUE"""),1.0)</f>
        <v>1</v>
      </c>
      <c r="G1575" s="2">
        <f>IFERROR(__xludf.DUMMYFUNCTION("""COMPUTED_VALUE"""),9.0)</f>
        <v>9</v>
      </c>
      <c r="H1575" s="2" t="str">
        <f>IFERROR(__xludf.DUMMYFUNCTION("""COMPUTED_VALUE"""),"Jaun.")</f>
        <v>Jaun.</v>
      </c>
      <c r="I1575" s="2" t="str">
        <f>IFERROR(__xludf.DUMMYFUNCTION("""COMPUTED_VALUE"""),"Panel")</f>
        <v>Panel</v>
      </c>
      <c r="J1575" s="2" t="str">
        <f>IFERROR(__xludf.DUMMYFUNCTION("""COMPUTED_VALUE"""),"All amenities")</f>
        <v>All amenities</v>
      </c>
      <c r="K1575" s="2">
        <f>IFERROR(__xludf.DUMMYFUNCTION("""COMPUTED_VALUE"""),89900.0)</f>
        <v>89900</v>
      </c>
      <c r="L1575" s="2">
        <f>IFERROR(__xludf.DUMMYFUNCTION("""COMPUTED_VALUE"""),56.9451394)</f>
        <v>56.9451394</v>
      </c>
      <c r="M1575" s="2">
        <f>IFERROR(__xludf.DUMMYFUNCTION("""COMPUTED_VALUE"""),24.217608)</f>
        <v>24.217608</v>
      </c>
    </row>
    <row r="1576">
      <c r="A1576" s="2" t="str">
        <f>IFERROR(__xludf.DUMMYFUNCTION("""COMPUTED_VALUE"""),"For sale")</f>
        <v>For sale</v>
      </c>
      <c r="B1576" s="2" t="str">
        <f>IFERROR(__xludf.DUMMYFUNCTION("""COMPUTED_VALUE"""),"Šķirotava")</f>
        <v>Šķirotava</v>
      </c>
      <c r="C1576" s="2" t="str">
        <f>IFERROR(__xludf.DUMMYFUNCTION("""COMPUTED_VALUE"""),"Malēju 4a")</f>
        <v>Malēju 4a</v>
      </c>
      <c r="D1576" s="2">
        <f>IFERROR(__xludf.DUMMYFUNCTION("""COMPUTED_VALUE"""),3.0)</f>
        <v>3</v>
      </c>
      <c r="E1576" s="2">
        <f>IFERROR(__xludf.DUMMYFUNCTION("""COMPUTED_VALUE"""),54.0)</f>
        <v>54</v>
      </c>
      <c r="F1576" s="2">
        <f>IFERROR(__xludf.DUMMYFUNCTION("""COMPUTED_VALUE"""),2.0)</f>
        <v>2</v>
      </c>
      <c r="G1576" s="2">
        <f>IFERROR(__xludf.DUMMYFUNCTION("""COMPUTED_VALUE"""),5.0)</f>
        <v>5</v>
      </c>
      <c r="H1576" s="2" t="str">
        <f>IFERROR(__xludf.DUMMYFUNCTION("""COMPUTED_VALUE"""),"M. ģim.")</f>
        <v>M. ģim.</v>
      </c>
      <c r="I1576" s="2" t="str">
        <f>IFERROR(__xludf.DUMMYFUNCTION("""COMPUTED_VALUE"""),"Brick")</f>
        <v>Brick</v>
      </c>
      <c r="J1576" s="2" t="str">
        <f>IFERROR(__xludf.DUMMYFUNCTION("""COMPUTED_VALUE"""),"All amenities")</f>
        <v>All amenities</v>
      </c>
      <c r="K1576" s="2">
        <f>IFERROR(__xludf.DUMMYFUNCTION("""COMPUTED_VALUE"""),16800.0)</f>
        <v>16800</v>
      </c>
      <c r="L1576" s="2">
        <f>IFERROR(__xludf.DUMMYFUNCTION("""COMPUTED_VALUE"""),56.90687475)</f>
        <v>56.90687475</v>
      </c>
      <c r="M1576" s="2">
        <f>IFERROR(__xludf.DUMMYFUNCTION("""COMPUTED_VALUE"""),24.2209157822299)</f>
        <v>24.22091578</v>
      </c>
    </row>
    <row r="1577">
      <c r="A1577" s="2" t="str">
        <f>IFERROR(__xludf.DUMMYFUNCTION("""COMPUTED_VALUE"""),"For sale")</f>
        <v>For sale</v>
      </c>
      <c r="B1577" s="2" t="str">
        <f>IFERROR(__xludf.DUMMYFUNCTION("""COMPUTED_VALUE"""),"Āgenskalns")</f>
        <v>Āgenskalns</v>
      </c>
      <c r="C1577" s="2" t="str">
        <f>IFERROR(__xludf.DUMMYFUNCTION("""COMPUTED_VALUE"""),"M. Kuldīgas 4/6")</f>
        <v>M. Kuldīgas 4/6</v>
      </c>
      <c r="D1577" s="2">
        <f>IFERROR(__xludf.DUMMYFUNCTION("""COMPUTED_VALUE"""),3.0)</f>
        <v>3</v>
      </c>
      <c r="E1577" s="2">
        <f>IFERROR(__xludf.DUMMYFUNCTION("""COMPUTED_VALUE"""),54.0)</f>
        <v>54</v>
      </c>
      <c r="F1577" s="2">
        <f>IFERROR(__xludf.DUMMYFUNCTION("""COMPUTED_VALUE"""),1.0)</f>
        <v>1</v>
      </c>
      <c r="G1577" s="2">
        <f>IFERROR(__xludf.DUMMYFUNCTION("""COMPUTED_VALUE"""),1.0)</f>
        <v>1</v>
      </c>
      <c r="H1577" s="2" t="str">
        <f>IFERROR(__xludf.DUMMYFUNCTION("""COMPUTED_VALUE"""),"P. kara")</f>
        <v>P. kara</v>
      </c>
      <c r="I1577" s="2" t="str">
        <f>IFERROR(__xludf.DUMMYFUNCTION("""COMPUTED_VALUE"""),"Wood")</f>
        <v>Wood</v>
      </c>
      <c r="J1577" s="2" t="str">
        <f>IFERROR(__xludf.DUMMYFUNCTION("""COMPUTED_VALUE"""),"All amenities")</f>
        <v>All amenities</v>
      </c>
      <c r="K1577" s="2">
        <f>IFERROR(__xludf.DUMMYFUNCTION("""COMPUTED_VALUE"""),33800.0)</f>
        <v>33800</v>
      </c>
      <c r="L1577" s="2" t="str">
        <f>IFERROR(__xludf.DUMMYFUNCTION("""COMPUTED_VALUE"""),"NaN")</f>
        <v>NaN</v>
      </c>
      <c r="M1577" s="2" t="str">
        <f>IFERROR(__xludf.DUMMYFUNCTION("""COMPUTED_VALUE"""),"NaN")</f>
        <v>NaN</v>
      </c>
    </row>
    <row r="1578">
      <c r="A1578" s="2" t="str">
        <f>IFERROR(__xludf.DUMMYFUNCTION("""COMPUTED_VALUE"""),"For sale")</f>
        <v>For sale</v>
      </c>
      <c r="B1578" s="2" t="str">
        <f>IFERROR(__xludf.DUMMYFUNCTION("""COMPUTED_VALUE"""),"centrs")</f>
        <v>centrs</v>
      </c>
      <c r="C1578" s="2" t="str">
        <f>IFERROR(__xludf.DUMMYFUNCTION("""COMPUTED_VALUE"""),"Maskavas 55")</f>
        <v>Maskavas 55</v>
      </c>
      <c r="D1578" s="2">
        <f>IFERROR(__xludf.DUMMYFUNCTION("""COMPUTED_VALUE"""),1.0)</f>
        <v>1</v>
      </c>
      <c r="E1578" s="2">
        <f>IFERROR(__xludf.DUMMYFUNCTION("""COMPUTED_VALUE"""),34.0)</f>
        <v>34</v>
      </c>
      <c r="F1578" s="2">
        <f>IFERROR(__xludf.DUMMYFUNCTION("""COMPUTED_VALUE"""),1.0)</f>
        <v>1</v>
      </c>
      <c r="G1578" s="2">
        <f>IFERROR(__xludf.DUMMYFUNCTION("""COMPUTED_VALUE"""),6.0)</f>
        <v>6</v>
      </c>
      <c r="H1578" s="2" t="str">
        <f>IFERROR(__xludf.DUMMYFUNCTION("""COMPUTED_VALUE"""),"P. kara")</f>
        <v>P. kara</v>
      </c>
      <c r="I1578" s="2" t="str">
        <f>IFERROR(__xludf.DUMMYFUNCTION("""COMPUTED_VALUE"""),"Masonry")</f>
        <v>Masonry</v>
      </c>
      <c r="J1578" s="2" t="str">
        <f>IFERROR(__xludf.DUMMYFUNCTION("""COMPUTED_VALUE"""),"All amenities")</f>
        <v>All amenities</v>
      </c>
      <c r="K1578" s="2">
        <f>IFERROR(__xludf.DUMMYFUNCTION("""COMPUTED_VALUE"""),45000.0)</f>
        <v>45000</v>
      </c>
      <c r="L1578" s="2">
        <f>IFERROR(__xludf.DUMMYFUNCTION("""COMPUTED_VALUE"""),56.8597884)</f>
        <v>56.8597884</v>
      </c>
      <c r="M1578" s="2">
        <f>IFERROR(__xludf.DUMMYFUNCTION("""COMPUTED_VALUE"""),24.3083417)</f>
        <v>24.3083417</v>
      </c>
    </row>
    <row r="1579">
      <c r="A1579" s="2" t="str">
        <f>IFERROR(__xludf.DUMMYFUNCTION("""COMPUTED_VALUE"""),"For sale")</f>
        <v>For sale</v>
      </c>
      <c r="B1579" s="2" t="str">
        <f>IFERROR(__xludf.DUMMYFUNCTION("""COMPUTED_VALUE"""),"Maskavas priekšpilsēta")</f>
        <v>Maskavas priekšpilsēta</v>
      </c>
      <c r="C1579" s="2" t="str">
        <f>IFERROR(__xludf.DUMMYFUNCTION("""COMPUTED_VALUE"""),"Maskavas 55")</f>
        <v>Maskavas 55</v>
      </c>
      <c r="D1579" s="2">
        <f>IFERROR(__xludf.DUMMYFUNCTION("""COMPUTED_VALUE"""),1.0)</f>
        <v>1</v>
      </c>
      <c r="E1579" s="2">
        <f>IFERROR(__xludf.DUMMYFUNCTION("""COMPUTED_VALUE"""),34.0)</f>
        <v>34</v>
      </c>
      <c r="F1579" s="2">
        <f>IFERROR(__xludf.DUMMYFUNCTION("""COMPUTED_VALUE"""),1.0)</f>
        <v>1</v>
      </c>
      <c r="G1579" s="2">
        <f>IFERROR(__xludf.DUMMYFUNCTION("""COMPUTED_VALUE"""),6.0)</f>
        <v>6</v>
      </c>
      <c r="H1579" s="2" t="str">
        <f>IFERROR(__xludf.DUMMYFUNCTION("""COMPUTED_VALUE"""),"P. kara")</f>
        <v>P. kara</v>
      </c>
      <c r="I1579" s="2" t="str">
        <f>IFERROR(__xludf.DUMMYFUNCTION("""COMPUTED_VALUE"""),"Masonry")</f>
        <v>Masonry</v>
      </c>
      <c r="J1579" s="2" t="str">
        <f>IFERROR(__xludf.DUMMYFUNCTION("""COMPUTED_VALUE"""),"All amenities")</f>
        <v>All amenities</v>
      </c>
      <c r="K1579" s="2">
        <f>IFERROR(__xludf.DUMMYFUNCTION("""COMPUTED_VALUE"""),45000.0)</f>
        <v>45000</v>
      </c>
      <c r="L1579" s="2">
        <f>IFERROR(__xludf.DUMMYFUNCTION("""COMPUTED_VALUE"""),56.8597884)</f>
        <v>56.8597884</v>
      </c>
      <c r="M1579" s="2">
        <f>IFERROR(__xludf.DUMMYFUNCTION("""COMPUTED_VALUE"""),24.3083417)</f>
        <v>24.3083417</v>
      </c>
    </row>
    <row r="1580">
      <c r="A1580" s="2" t="str">
        <f>IFERROR(__xludf.DUMMYFUNCTION("""COMPUTED_VALUE"""),"For sale")</f>
        <v>For sale</v>
      </c>
      <c r="B1580" s="2" t="str">
        <f>IFERROR(__xludf.DUMMYFUNCTION("""COMPUTED_VALUE"""),"Mežciems")</f>
        <v>Mežciems</v>
      </c>
      <c r="C1580" s="2" t="str">
        <f>IFERROR(__xludf.DUMMYFUNCTION("""COMPUTED_VALUE"""),"Hipokrāta 19")</f>
        <v>Hipokrāta 19</v>
      </c>
      <c r="D1580" s="2">
        <f>IFERROR(__xludf.DUMMYFUNCTION("""COMPUTED_VALUE"""),3.0)</f>
        <v>3</v>
      </c>
      <c r="E1580" s="2">
        <f>IFERROR(__xludf.DUMMYFUNCTION("""COMPUTED_VALUE"""),62.0)</f>
        <v>62</v>
      </c>
      <c r="F1580" s="2">
        <f>IFERROR(__xludf.DUMMYFUNCTION("""COMPUTED_VALUE"""),7.0)</f>
        <v>7</v>
      </c>
      <c r="G1580" s="2">
        <f>IFERROR(__xludf.DUMMYFUNCTION("""COMPUTED_VALUE"""),9.0)</f>
        <v>9</v>
      </c>
      <c r="H1580" s="2">
        <f>IFERROR(__xludf.DUMMYFUNCTION("""COMPUTED_VALUE"""),602.0)</f>
        <v>602</v>
      </c>
      <c r="I1580" s="2" t="str">
        <f>IFERROR(__xludf.DUMMYFUNCTION("""COMPUTED_VALUE"""),"Panel")</f>
        <v>Panel</v>
      </c>
      <c r="J1580" s="2" t="str">
        <f>IFERROR(__xludf.DUMMYFUNCTION("""COMPUTED_VALUE"""),"All amenities")</f>
        <v>All amenities</v>
      </c>
      <c r="K1580" s="2">
        <f>IFERROR(__xludf.DUMMYFUNCTION("""COMPUTED_VALUE"""),55900.0)</f>
        <v>55900</v>
      </c>
      <c r="L1580" s="2">
        <f>IFERROR(__xludf.DUMMYFUNCTION("""COMPUTED_VALUE"""),56.9666127)</f>
        <v>56.9666127</v>
      </c>
      <c r="M1580" s="2">
        <f>IFERROR(__xludf.DUMMYFUNCTION("""COMPUTED_VALUE"""),24.2384533999999)</f>
        <v>24.2384534</v>
      </c>
    </row>
    <row r="1581">
      <c r="A1581" s="2" t="str">
        <f>IFERROR(__xludf.DUMMYFUNCTION("""COMPUTED_VALUE"""),"For sale")</f>
        <v>For sale</v>
      </c>
      <c r="B1581" s="2" t="str">
        <f>IFERROR(__xludf.DUMMYFUNCTION("""COMPUTED_VALUE"""),"Pļavnieki")</f>
        <v>Pļavnieki</v>
      </c>
      <c r="C1581" s="2" t="str">
        <f>IFERROR(__xludf.DUMMYFUNCTION("""COMPUTED_VALUE"""),"Ulbrokas 1")</f>
        <v>Ulbrokas 1</v>
      </c>
      <c r="D1581" s="2">
        <f>IFERROR(__xludf.DUMMYFUNCTION("""COMPUTED_VALUE"""),4.0)</f>
        <v>4</v>
      </c>
      <c r="E1581" s="2">
        <f>IFERROR(__xludf.DUMMYFUNCTION("""COMPUTED_VALUE"""),77.0)</f>
        <v>77</v>
      </c>
      <c r="F1581" s="2">
        <f>IFERROR(__xludf.DUMMYFUNCTION("""COMPUTED_VALUE"""),7.0)</f>
        <v>7</v>
      </c>
      <c r="G1581" s="2">
        <f>IFERROR(__xludf.DUMMYFUNCTION("""COMPUTED_VALUE"""),9.0)</f>
        <v>9</v>
      </c>
      <c r="H1581" s="2">
        <f>IFERROR(__xludf.DUMMYFUNCTION("""COMPUTED_VALUE"""),602.0)</f>
        <v>602</v>
      </c>
      <c r="I1581" s="2" t="str">
        <f>IFERROR(__xludf.DUMMYFUNCTION("""COMPUTED_VALUE"""),"Panel")</f>
        <v>Panel</v>
      </c>
      <c r="J1581" s="2" t="str">
        <f>IFERROR(__xludf.DUMMYFUNCTION("""COMPUTED_VALUE"""),"All amenities")</f>
        <v>All amenities</v>
      </c>
      <c r="K1581" s="2">
        <f>IFERROR(__xludf.DUMMYFUNCTION("""COMPUTED_VALUE"""),74800.0)</f>
        <v>74800</v>
      </c>
      <c r="L1581" s="2">
        <f>IFERROR(__xludf.DUMMYFUNCTION("""COMPUTED_VALUE"""),56.94027275)</f>
        <v>56.94027275</v>
      </c>
      <c r="M1581" s="2">
        <f>IFERROR(__xludf.DUMMYFUNCTION("""COMPUTED_VALUE"""),24.2148619681412)</f>
        <v>24.21486197</v>
      </c>
    </row>
    <row r="1582">
      <c r="A1582" s="2" t="str">
        <f>IFERROR(__xludf.DUMMYFUNCTION("""COMPUTED_VALUE"""),"For sale")</f>
        <v>For sale</v>
      </c>
      <c r="B1582" s="2" t="str">
        <f>IFERROR(__xludf.DUMMYFUNCTION("""COMPUTED_VALUE"""),"Pļavnieki")</f>
        <v>Pļavnieki</v>
      </c>
      <c r="C1582" s="2" t="str">
        <f>IFERROR(__xludf.DUMMYFUNCTION("""COMPUTED_VALUE"""),"Saharova 5")</f>
        <v>Saharova 5</v>
      </c>
      <c r="D1582" s="2">
        <f>IFERROR(__xludf.DUMMYFUNCTION("""COMPUTED_VALUE"""),3.0)</f>
        <v>3</v>
      </c>
      <c r="E1582" s="2">
        <f>IFERROR(__xludf.DUMMYFUNCTION("""COMPUTED_VALUE"""),62.0)</f>
        <v>62</v>
      </c>
      <c r="F1582" s="2">
        <f>IFERROR(__xludf.DUMMYFUNCTION("""COMPUTED_VALUE"""),2.0)</f>
        <v>2</v>
      </c>
      <c r="G1582" s="2">
        <f>IFERROR(__xludf.DUMMYFUNCTION("""COMPUTED_VALUE"""),9.0)</f>
        <v>9</v>
      </c>
      <c r="H1582" s="2">
        <f>IFERROR(__xludf.DUMMYFUNCTION("""COMPUTED_VALUE"""),602.0)</f>
        <v>602</v>
      </c>
      <c r="I1582" s="2" t="str">
        <f>IFERROR(__xludf.DUMMYFUNCTION("""COMPUTED_VALUE"""),"Brick-Panel")</f>
        <v>Brick-Panel</v>
      </c>
      <c r="J1582" s="2" t="str">
        <f>IFERROR(__xludf.DUMMYFUNCTION("""COMPUTED_VALUE"""),"All amenities")</f>
        <v>All amenities</v>
      </c>
      <c r="K1582" s="2">
        <f>IFERROR(__xludf.DUMMYFUNCTION("""COMPUTED_VALUE"""),63800.0)</f>
        <v>63800</v>
      </c>
      <c r="L1582" s="2">
        <f>IFERROR(__xludf.DUMMYFUNCTION("""COMPUTED_VALUE"""),56.934949)</f>
        <v>56.934949</v>
      </c>
      <c r="M1582" s="2">
        <f>IFERROR(__xludf.DUMMYFUNCTION("""COMPUTED_VALUE"""),24.2012871647176)</f>
        <v>24.20128716</v>
      </c>
    </row>
    <row r="1583">
      <c r="A1583" s="2" t="str">
        <f>IFERROR(__xludf.DUMMYFUNCTION("""COMPUTED_VALUE"""),"For sale")</f>
        <v>For sale</v>
      </c>
      <c r="B1583" s="2" t="str">
        <f>IFERROR(__xludf.DUMMYFUNCTION("""COMPUTED_VALUE"""),"centrs")</f>
        <v>centrs</v>
      </c>
      <c r="C1583" s="2" t="str">
        <f>IFERROR(__xludf.DUMMYFUNCTION("""COMPUTED_VALUE"""),"Ģertrūdes 23")</f>
        <v>Ģertrūdes 23</v>
      </c>
      <c r="D1583" s="2">
        <f>IFERROR(__xludf.DUMMYFUNCTION("""COMPUTED_VALUE"""),5.0)</f>
        <v>5</v>
      </c>
      <c r="E1583" s="2">
        <f>IFERROR(__xludf.DUMMYFUNCTION("""COMPUTED_VALUE"""),137.0)</f>
        <v>137</v>
      </c>
      <c r="F1583" s="2">
        <f>IFERROR(__xludf.DUMMYFUNCTION("""COMPUTED_VALUE"""),3.0)</f>
        <v>3</v>
      </c>
      <c r="G1583" s="2">
        <f>IFERROR(__xludf.DUMMYFUNCTION("""COMPUTED_VALUE"""),6.0)</f>
        <v>6</v>
      </c>
      <c r="H1583" s="2" t="str">
        <f>IFERROR(__xludf.DUMMYFUNCTION("""COMPUTED_VALUE"""),"Renov.")</f>
        <v>Renov.</v>
      </c>
      <c r="I1583" s="2" t="str">
        <f>IFERROR(__xludf.DUMMYFUNCTION("""COMPUTED_VALUE"""),"Masonry")</f>
        <v>Masonry</v>
      </c>
      <c r="J1583" s="2" t="str">
        <f>IFERROR(__xludf.DUMMYFUNCTION("""COMPUTED_VALUE"""),"All amenities")</f>
        <v>All amenities</v>
      </c>
      <c r="K1583" s="2">
        <f>IFERROR(__xludf.DUMMYFUNCTION("""COMPUTED_VALUE"""),330000.0)</f>
        <v>330000</v>
      </c>
      <c r="L1583" s="2">
        <f>IFERROR(__xludf.DUMMYFUNCTION("""COMPUTED_VALUE"""),56.9563024)</f>
        <v>56.9563024</v>
      </c>
      <c r="M1583" s="2">
        <f>IFERROR(__xludf.DUMMYFUNCTION("""COMPUTED_VALUE"""),24.1250971502803)</f>
        <v>24.12509715</v>
      </c>
    </row>
    <row r="1584">
      <c r="A1584" s="2" t="str">
        <f>IFERROR(__xludf.DUMMYFUNCTION("""COMPUTED_VALUE"""),"For sale")</f>
        <v>For sale</v>
      </c>
      <c r="B1584" s="2" t="str">
        <f>IFERROR(__xludf.DUMMYFUNCTION("""COMPUTED_VALUE"""),"centrs")</f>
        <v>centrs</v>
      </c>
      <c r="C1584" s="2" t="str">
        <f>IFERROR(__xludf.DUMMYFUNCTION("""COMPUTED_VALUE"""),"Ģertrūdes 73")</f>
        <v>Ģertrūdes 73</v>
      </c>
      <c r="D1584" s="2">
        <f>IFERROR(__xludf.DUMMYFUNCTION("""COMPUTED_VALUE"""),3.0)</f>
        <v>3</v>
      </c>
      <c r="E1584" s="2">
        <f>IFERROR(__xludf.DUMMYFUNCTION("""COMPUTED_VALUE"""),72.0)</f>
        <v>72</v>
      </c>
      <c r="F1584" s="2">
        <f>IFERROR(__xludf.DUMMYFUNCTION("""COMPUTED_VALUE"""),3.0)</f>
        <v>3</v>
      </c>
      <c r="G1584" s="2">
        <f>IFERROR(__xludf.DUMMYFUNCTION("""COMPUTED_VALUE"""),3.0)</f>
        <v>3</v>
      </c>
      <c r="H1584" s="2" t="str">
        <f>IFERROR(__xludf.DUMMYFUNCTION("""COMPUTED_VALUE"""),"P. kara")</f>
        <v>P. kara</v>
      </c>
      <c r="I1584" s="2" t="str">
        <f>IFERROR(__xludf.DUMMYFUNCTION("""COMPUTED_VALUE"""),"Masonry")</f>
        <v>Masonry</v>
      </c>
      <c r="J1584" s="2" t="str">
        <f>IFERROR(__xludf.DUMMYFUNCTION("""COMPUTED_VALUE"""),"All amenities")</f>
        <v>All amenities</v>
      </c>
      <c r="K1584" s="2">
        <f>IFERROR(__xludf.DUMMYFUNCTION("""COMPUTED_VALUE"""),128000.0)</f>
        <v>128000</v>
      </c>
      <c r="L1584" s="2">
        <f>IFERROR(__xludf.DUMMYFUNCTION("""COMPUTED_VALUE"""),56.9514227)</f>
        <v>56.9514227</v>
      </c>
      <c r="M1584" s="2">
        <f>IFERROR(__xludf.DUMMYFUNCTION("""COMPUTED_VALUE"""),24.1336976)</f>
        <v>24.1336976</v>
      </c>
    </row>
    <row r="1585">
      <c r="A1585" s="2" t="str">
        <f>IFERROR(__xludf.DUMMYFUNCTION("""COMPUTED_VALUE"""),"For sale")</f>
        <v>For sale</v>
      </c>
      <c r="B1585" s="2" t="str">
        <f>IFERROR(__xludf.DUMMYFUNCTION("""COMPUTED_VALUE"""),"Imanta")</f>
        <v>Imanta</v>
      </c>
      <c r="C1585" s="2" t="str">
        <f>IFERROR(__xludf.DUMMYFUNCTION("""COMPUTED_VALUE"""),"Akāciju 6")</f>
        <v>Akāciju 6</v>
      </c>
      <c r="D1585" s="2">
        <f>IFERROR(__xludf.DUMMYFUNCTION("""COMPUTED_VALUE"""),2.0)</f>
        <v>2</v>
      </c>
      <c r="E1585" s="2">
        <f>IFERROR(__xludf.DUMMYFUNCTION("""COMPUTED_VALUE"""),46.0)</f>
        <v>46</v>
      </c>
      <c r="F1585" s="2">
        <f>IFERROR(__xludf.DUMMYFUNCTION("""COMPUTED_VALUE"""),6.0)</f>
        <v>6</v>
      </c>
      <c r="G1585" s="2">
        <f>IFERROR(__xludf.DUMMYFUNCTION("""COMPUTED_VALUE"""),9.0)</f>
        <v>9</v>
      </c>
      <c r="H1585" s="2" t="str">
        <f>IFERROR(__xludf.DUMMYFUNCTION("""COMPUTED_VALUE"""),"Jaun.")</f>
        <v>Jaun.</v>
      </c>
      <c r="I1585" s="2" t="str">
        <f>IFERROR(__xludf.DUMMYFUNCTION("""COMPUTED_VALUE"""),"Brick-Panel")</f>
        <v>Brick-Panel</v>
      </c>
      <c r="J1585" s="2" t="str">
        <f>IFERROR(__xludf.DUMMYFUNCTION("""COMPUTED_VALUE"""),"All amenities")</f>
        <v>All amenities</v>
      </c>
      <c r="K1585" s="2">
        <f>IFERROR(__xludf.DUMMYFUNCTION("""COMPUTED_VALUE"""),78000.0)</f>
        <v>78000</v>
      </c>
      <c r="L1585" s="2">
        <f>IFERROR(__xludf.DUMMYFUNCTION("""COMPUTED_VALUE"""),56.9512026)</f>
        <v>56.9512026</v>
      </c>
      <c r="M1585" s="2">
        <f>IFERROR(__xludf.DUMMYFUNCTION("""COMPUTED_VALUE"""),24.0005229)</f>
        <v>24.0005229</v>
      </c>
    </row>
    <row r="1586">
      <c r="A1586" s="2" t="str">
        <f>IFERROR(__xludf.DUMMYFUNCTION("""COMPUTED_VALUE"""),"For rent")</f>
        <v>For rent</v>
      </c>
      <c r="B1586" s="2" t="str">
        <f>IFERROR(__xludf.DUMMYFUNCTION("""COMPUTED_VALUE"""),"Purvciems")</f>
        <v>Purvciems</v>
      </c>
      <c r="C1586" s="2" t="str">
        <f>IFERROR(__xludf.DUMMYFUNCTION("""COMPUTED_VALUE"""),"Lielvārdes 123")</f>
        <v>Lielvārdes 123</v>
      </c>
      <c r="D1586" s="2">
        <f>IFERROR(__xludf.DUMMYFUNCTION("""COMPUTED_VALUE"""),2.0)</f>
        <v>2</v>
      </c>
      <c r="E1586" s="2">
        <f>IFERROR(__xludf.DUMMYFUNCTION("""COMPUTED_VALUE"""),52.0)</f>
        <v>52</v>
      </c>
      <c r="F1586" s="2">
        <f>IFERROR(__xludf.DUMMYFUNCTION("""COMPUTED_VALUE"""),1.0)</f>
        <v>1</v>
      </c>
      <c r="G1586" s="2">
        <f>IFERROR(__xludf.DUMMYFUNCTION("""COMPUTED_VALUE"""),5.0)</f>
        <v>5</v>
      </c>
      <c r="H1586" s="2" t="str">
        <f>IFERROR(__xludf.DUMMYFUNCTION("""COMPUTED_VALUE"""),"LT proj.")</f>
        <v>LT proj.</v>
      </c>
      <c r="I1586" s="2" t="str">
        <f>IFERROR(__xludf.DUMMYFUNCTION("""COMPUTED_VALUE"""),"Panel")</f>
        <v>Panel</v>
      </c>
      <c r="J1586" s="2" t="str">
        <f>IFERROR(__xludf.DUMMYFUNCTION("""COMPUTED_VALUE"""),"All amenities")</f>
        <v>All amenities</v>
      </c>
      <c r="K1586" s="2">
        <f>IFERROR(__xludf.DUMMYFUNCTION("""COMPUTED_VALUE"""),360.0)</f>
        <v>360</v>
      </c>
      <c r="L1586" s="2">
        <f>IFERROR(__xludf.DUMMYFUNCTION("""COMPUTED_VALUE"""),56.95732255)</f>
        <v>56.95732255</v>
      </c>
      <c r="M1586" s="2">
        <f>IFERROR(__xludf.DUMMYFUNCTION("""COMPUTED_VALUE"""),24.2043993291603)</f>
        <v>24.20439933</v>
      </c>
    </row>
    <row r="1587">
      <c r="A1587" s="2" t="str">
        <f>IFERROR(__xludf.DUMMYFUNCTION("""COMPUTED_VALUE"""),"For sale")</f>
        <v>For sale</v>
      </c>
      <c r="B1587" s="2" t="str">
        <f>IFERROR(__xludf.DUMMYFUNCTION("""COMPUTED_VALUE"""),"Teika")</f>
        <v>Teika</v>
      </c>
      <c r="C1587" s="2" t="str">
        <f>IFERROR(__xludf.DUMMYFUNCTION("""COMPUTED_VALUE"""),"Ropažu 19")</f>
        <v>Ropažu 19</v>
      </c>
      <c r="D1587" s="2">
        <f>IFERROR(__xludf.DUMMYFUNCTION("""COMPUTED_VALUE"""),1.0)</f>
        <v>1</v>
      </c>
      <c r="E1587" s="2">
        <f>IFERROR(__xludf.DUMMYFUNCTION("""COMPUTED_VALUE"""),39.0)</f>
        <v>39</v>
      </c>
      <c r="F1587" s="2">
        <f>IFERROR(__xludf.DUMMYFUNCTION("""COMPUTED_VALUE"""),3.0)</f>
        <v>3</v>
      </c>
      <c r="G1587" s="2">
        <f>IFERROR(__xludf.DUMMYFUNCTION("""COMPUTED_VALUE"""),3.0)</f>
        <v>3</v>
      </c>
      <c r="H1587" s="2" t="str">
        <f>IFERROR(__xludf.DUMMYFUNCTION("""COMPUTED_VALUE"""),"P. kara")</f>
        <v>P. kara</v>
      </c>
      <c r="I1587" s="2" t="str">
        <f>IFERROR(__xludf.DUMMYFUNCTION("""COMPUTED_VALUE"""),"Masonry")</f>
        <v>Masonry</v>
      </c>
      <c r="J1587" s="2" t="str">
        <f>IFERROR(__xludf.DUMMYFUNCTION("""COMPUTED_VALUE"""),"Partial amenities")</f>
        <v>Partial amenities</v>
      </c>
      <c r="K1587" s="2">
        <f>IFERROR(__xludf.DUMMYFUNCTION("""COMPUTED_VALUE"""),24500.0)</f>
        <v>24500</v>
      </c>
      <c r="L1587" s="2">
        <f>IFERROR(__xludf.DUMMYFUNCTION("""COMPUTED_VALUE"""),56.97708405)</f>
        <v>56.97708405</v>
      </c>
      <c r="M1587" s="2">
        <f>IFERROR(__xludf.DUMMYFUNCTION("""COMPUTED_VALUE"""),24.1720785628571)</f>
        <v>24.17207856</v>
      </c>
    </row>
    <row r="1588">
      <c r="A1588" s="2" t="str">
        <f>IFERROR(__xludf.DUMMYFUNCTION("""COMPUTED_VALUE"""),"For sale")</f>
        <v>For sale</v>
      </c>
      <c r="B1588" s="2" t="str">
        <f>IFERROR(__xludf.DUMMYFUNCTION("""COMPUTED_VALUE"""),"Čiekurkalns")</f>
        <v>Čiekurkalns</v>
      </c>
      <c r="C1588" s="2" t="str">
        <f>IFERROR(__xludf.DUMMYFUNCTION("""COMPUTED_VALUE"""),"Ķīšezera 11")</f>
        <v>Ķīšezera 11</v>
      </c>
      <c r="D1588" s="2">
        <f>IFERROR(__xludf.DUMMYFUNCTION("""COMPUTED_VALUE"""),2.0)</f>
        <v>2</v>
      </c>
      <c r="E1588" s="2">
        <f>IFERROR(__xludf.DUMMYFUNCTION("""COMPUTED_VALUE"""),46.0)</f>
        <v>46</v>
      </c>
      <c r="F1588" s="2">
        <f>IFERROR(__xludf.DUMMYFUNCTION("""COMPUTED_VALUE"""),1.0)</f>
        <v>1</v>
      </c>
      <c r="G1588" s="2">
        <f>IFERROR(__xludf.DUMMYFUNCTION("""COMPUTED_VALUE"""),5.0)</f>
        <v>5</v>
      </c>
      <c r="H1588" s="2" t="str">
        <f>IFERROR(__xludf.DUMMYFUNCTION("""COMPUTED_VALUE"""),"Specpr.")</f>
        <v>Specpr.</v>
      </c>
      <c r="I1588" s="2" t="str">
        <f>IFERROR(__xludf.DUMMYFUNCTION("""COMPUTED_VALUE"""),"Brick")</f>
        <v>Brick</v>
      </c>
      <c r="J1588" s="2" t="str">
        <f>IFERROR(__xludf.DUMMYFUNCTION("""COMPUTED_VALUE"""),"All amenities")</f>
        <v>All amenities</v>
      </c>
      <c r="K1588" s="2">
        <f>IFERROR(__xludf.DUMMYFUNCTION("""COMPUTED_VALUE"""),53000.0)</f>
        <v>53000</v>
      </c>
      <c r="L1588" s="2">
        <f>IFERROR(__xludf.DUMMYFUNCTION("""COMPUTED_VALUE"""),56.9879311)</f>
        <v>56.9879311</v>
      </c>
      <c r="M1588" s="2">
        <f>IFERROR(__xludf.DUMMYFUNCTION("""COMPUTED_VALUE"""),24.1642804473224)</f>
        <v>24.16428045</v>
      </c>
    </row>
    <row r="1589">
      <c r="A1589" s="2" t="str">
        <f>IFERROR(__xludf.DUMMYFUNCTION("""COMPUTED_VALUE"""),"For rent")</f>
        <v>For rent</v>
      </c>
      <c r="B1589" s="2" t="str">
        <f>IFERROR(__xludf.DUMMYFUNCTION("""COMPUTED_VALUE"""),"centrs")</f>
        <v>centrs</v>
      </c>
      <c r="C1589" s="2" t="str">
        <f>IFERROR(__xludf.DUMMYFUNCTION("""COMPUTED_VALUE"""),"Skolas 4")</f>
        <v>Skolas 4</v>
      </c>
      <c r="D1589" s="2">
        <f>IFERROR(__xludf.DUMMYFUNCTION("""COMPUTED_VALUE"""),4.0)</f>
        <v>4</v>
      </c>
      <c r="E1589" s="2">
        <f>IFERROR(__xludf.DUMMYFUNCTION("""COMPUTED_VALUE"""),150.0)</f>
        <v>150</v>
      </c>
      <c r="F1589" s="2">
        <f>IFERROR(__xludf.DUMMYFUNCTION("""COMPUTED_VALUE"""),3.0)</f>
        <v>3</v>
      </c>
      <c r="G1589" s="2">
        <f>IFERROR(__xludf.DUMMYFUNCTION("""COMPUTED_VALUE"""),5.0)</f>
        <v>5</v>
      </c>
      <c r="H1589" s="2" t="str">
        <f>IFERROR(__xludf.DUMMYFUNCTION("""COMPUTED_VALUE"""),"Renov.")</f>
        <v>Renov.</v>
      </c>
      <c r="I1589" s="2" t="str">
        <f>IFERROR(__xludf.DUMMYFUNCTION("""COMPUTED_VALUE"""),"Masonry")</f>
        <v>Masonry</v>
      </c>
      <c r="J1589" s="2" t="str">
        <f>IFERROR(__xludf.DUMMYFUNCTION("""COMPUTED_VALUE"""),"All amenities")</f>
        <v>All amenities</v>
      </c>
      <c r="K1589" s="2">
        <f>IFERROR(__xludf.DUMMYFUNCTION("""COMPUTED_VALUE"""),1475.0)</f>
        <v>1475</v>
      </c>
      <c r="L1589" s="2">
        <f>IFERROR(__xludf.DUMMYFUNCTION("""COMPUTED_VALUE"""),48.2969502)</f>
        <v>48.2969502</v>
      </c>
      <c r="M1589" s="2">
        <f>IFERROR(__xludf.DUMMYFUNCTION("""COMPUTED_VALUE"""),-100.7081938)</f>
        <v>-100.7081938</v>
      </c>
    </row>
    <row r="1590">
      <c r="A1590" s="2" t="str">
        <f>IFERROR(__xludf.DUMMYFUNCTION("""COMPUTED_VALUE"""),"For sale")</f>
        <v>For sale</v>
      </c>
      <c r="B1590" s="2" t="str">
        <f>IFERROR(__xludf.DUMMYFUNCTION("""COMPUTED_VALUE"""),"centrs")</f>
        <v>centrs</v>
      </c>
      <c r="C1590" s="2" t="str">
        <f>IFERROR(__xludf.DUMMYFUNCTION("""COMPUTED_VALUE"""),"Indrānu 5")</f>
        <v>Indrānu 5</v>
      </c>
      <c r="D1590" s="2">
        <f>IFERROR(__xludf.DUMMYFUNCTION("""COMPUTED_VALUE"""),3.0)</f>
        <v>3</v>
      </c>
      <c r="E1590" s="2">
        <f>IFERROR(__xludf.DUMMYFUNCTION("""COMPUTED_VALUE"""),90.0)</f>
        <v>90</v>
      </c>
      <c r="F1590" s="2">
        <f>IFERROR(__xludf.DUMMYFUNCTION("""COMPUTED_VALUE"""),1.0)</f>
        <v>1</v>
      </c>
      <c r="G1590" s="2">
        <f>IFERROR(__xludf.DUMMYFUNCTION("""COMPUTED_VALUE"""),5.0)</f>
        <v>5</v>
      </c>
      <c r="H1590" s="2" t="str">
        <f>IFERROR(__xludf.DUMMYFUNCTION("""COMPUTED_VALUE"""),"Jaun.")</f>
        <v>Jaun.</v>
      </c>
      <c r="I1590" s="2" t="str">
        <f>IFERROR(__xludf.DUMMYFUNCTION("""COMPUTED_VALUE"""),"Panel-Brick")</f>
        <v>Panel-Brick</v>
      </c>
      <c r="J1590" s="2" t="str">
        <f>IFERROR(__xludf.DUMMYFUNCTION("""COMPUTED_VALUE"""),"All amenities")</f>
        <v>All amenities</v>
      </c>
      <c r="K1590" s="2">
        <f>IFERROR(__xludf.DUMMYFUNCTION("""COMPUTED_VALUE"""),158000.0)</f>
        <v>158000</v>
      </c>
      <c r="L1590" s="2">
        <f>IFERROR(__xludf.DUMMYFUNCTION("""COMPUTED_VALUE"""),56.9681431)</f>
        <v>56.9681431</v>
      </c>
      <c r="M1590" s="2">
        <f>IFERROR(__xludf.DUMMYFUNCTION("""COMPUTED_VALUE"""),24.1468839653253)</f>
        <v>24.14688397</v>
      </c>
    </row>
    <row r="1591">
      <c r="A1591" s="2" t="str">
        <f>IFERROR(__xludf.DUMMYFUNCTION("""COMPUTED_VALUE"""),"For sale")</f>
        <v>For sale</v>
      </c>
      <c r="B1591" s="2" t="str">
        <f>IFERROR(__xludf.DUMMYFUNCTION("""COMPUTED_VALUE"""),"centrs")</f>
        <v>centrs</v>
      </c>
      <c r="C1591" s="2" t="str">
        <f>IFERROR(__xludf.DUMMYFUNCTION("""COMPUTED_VALUE"""),"Indrānu 8")</f>
        <v>Indrānu 8</v>
      </c>
      <c r="D1591" s="2">
        <f>IFERROR(__xludf.DUMMYFUNCTION("""COMPUTED_VALUE"""),5.0)</f>
        <v>5</v>
      </c>
      <c r="E1591" s="2">
        <f>IFERROR(__xludf.DUMMYFUNCTION("""COMPUTED_VALUE"""),226.0)</f>
        <v>226</v>
      </c>
      <c r="F1591" s="2">
        <f>IFERROR(__xludf.DUMMYFUNCTION("""COMPUTED_VALUE"""),6.0)</f>
        <v>6</v>
      </c>
      <c r="G1591" s="2">
        <f>IFERROR(__xludf.DUMMYFUNCTION("""COMPUTED_VALUE"""),7.0)</f>
        <v>7</v>
      </c>
      <c r="H1591" s="2" t="str">
        <f>IFERROR(__xludf.DUMMYFUNCTION("""COMPUTED_VALUE"""),"Jaun.")</f>
        <v>Jaun.</v>
      </c>
      <c r="I1591" s="2" t="str">
        <f>IFERROR(__xludf.DUMMYFUNCTION("""COMPUTED_VALUE"""),"Panel-Brick")</f>
        <v>Panel-Brick</v>
      </c>
      <c r="J1591" s="2" t="str">
        <f>IFERROR(__xludf.DUMMYFUNCTION("""COMPUTED_VALUE"""),"All amenities")</f>
        <v>All amenities</v>
      </c>
      <c r="K1591" s="2">
        <f>IFERROR(__xludf.DUMMYFUNCTION("""COMPUTED_VALUE"""),295000.0)</f>
        <v>295000</v>
      </c>
      <c r="L1591" s="2">
        <f>IFERROR(__xludf.DUMMYFUNCTION("""COMPUTED_VALUE"""),56.9684979)</f>
        <v>56.9684979</v>
      </c>
      <c r="M1591" s="2">
        <f>IFERROR(__xludf.DUMMYFUNCTION("""COMPUTED_VALUE"""),24.1467035)</f>
        <v>24.1467035</v>
      </c>
    </row>
    <row r="1592">
      <c r="A1592" s="2" t="str">
        <f>IFERROR(__xludf.DUMMYFUNCTION("""COMPUTED_VALUE"""),"For sale")</f>
        <v>For sale</v>
      </c>
      <c r="B1592" s="2" t="str">
        <f>IFERROR(__xludf.DUMMYFUNCTION("""COMPUTED_VALUE"""),"centrs")</f>
        <v>centrs</v>
      </c>
      <c r="C1592" s="2" t="str">
        <f>IFERROR(__xludf.DUMMYFUNCTION("""COMPUTED_VALUE"""),"Avotu 5")</f>
        <v>Avotu 5</v>
      </c>
      <c r="D1592" s="2">
        <f>IFERROR(__xludf.DUMMYFUNCTION("""COMPUTED_VALUE"""),2.0)</f>
        <v>2</v>
      </c>
      <c r="E1592" s="2">
        <f>IFERROR(__xludf.DUMMYFUNCTION("""COMPUTED_VALUE"""),50.0)</f>
        <v>50</v>
      </c>
      <c r="F1592" s="2">
        <f>IFERROR(__xludf.DUMMYFUNCTION("""COMPUTED_VALUE"""),3.0)</f>
        <v>3</v>
      </c>
      <c r="G1592" s="2">
        <f>IFERROR(__xludf.DUMMYFUNCTION("""COMPUTED_VALUE"""),6.0)</f>
        <v>6</v>
      </c>
      <c r="H1592" s="2" t="str">
        <f>IFERROR(__xludf.DUMMYFUNCTION("""COMPUTED_VALUE"""),"Renov.")</f>
        <v>Renov.</v>
      </c>
      <c r="I1592" s="2" t="str">
        <f>IFERROR(__xludf.DUMMYFUNCTION("""COMPUTED_VALUE"""),"Masonry")</f>
        <v>Masonry</v>
      </c>
      <c r="J1592" s="2" t="str">
        <f>IFERROR(__xludf.DUMMYFUNCTION("""COMPUTED_VALUE"""),"All amenities")</f>
        <v>All amenities</v>
      </c>
      <c r="K1592" s="2">
        <f>IFERROR(__xludf.DUMMYFUNCTION("""COMPUTED_VALUE"""),111980.0)</f>
        <v>111980</v>
      </c>
      <c r="L1592" s="2">
        <f>IFERROR(__xludf.DUMMYFUNCTION("""COMPUTED_VALUE"""),56.95092625)</f>
        <v>56.95092625</v>
      </c>
      <c r="M1592" s="2">
        <f>IFERROR(__xludf.DUMMYFUNCTION("""COMPUTED_VALUE"""),24.1279151350786)</f>
        <v>24.12791514</v>
      </c>
    </row>
    <row r="1593">
      <c r="A1593" s="2" t="str">
        <f>IFERROR(__xludf.DUMMYFUNCTION("""COMPUTED_VALUE"""),"For sale")</f>
        <v>For sale</v>
      </c>
      <c r="B1593" s="2" t="str">
        <f>IFERROR(__xludf.DUMMYFUNCTION("""COMPUTED_VALUE"""),"centrs")</f>
        <v>centrs</v>
      </c>
      <c r="C1593" s="2" t="str">
        <f>IFERROR(__xludf.DUMMYFUNCTION("""COMPUTED_VALUE"""),"Avotu 5")</f>
        <v>Avotu 5</v>
      </c>
      <c r="D1593" s="2">
        <f>IFERROR(__xludf.DUMMYFUNCTION("""COMPUTED_VALUE"""),1.0)</f>
        <v>1</v>
      </c>
      <c r="E1593" s="2">
        <f>IFERROR(__xludf.DUMMYFUNCTION("""COMPUTED_VALUE"""),31.0)</f>
        <v>31</v>
      </c>
      <c r="F1593" s="2">
        <f>IFERROR(__xludf.DUMMYFUNCTION("""COMPUTED_VALUE"""),2.0)</f>
        <v>2</v>
      </c>
      <c r="G1593" s="2">
        <f>IFERROR(__xludf.DUMMYFUNCTION("""COMPUTED_VALUE"""),6.0)</f>
        <v>6</v>
      </c>
      <c r="H1593" s="2" t="str">
        <f>IFERROR(__xludf.DUMMYFUNCTION("""COMPUTED_VALUE"""),"Renov.")</f>
        <v>Renov.</v>
      </c>
      <c r="I1593" s="2" t="str">
        <f>IFERROR(__xludf.DUMMYFUNCTION("""COMPUTED_VALUE"""),"Masonry")</f>
        <v>Masonry</v>
      </c>
      <c r="J1593" s="2" t="str">
        <f>IFERROR(__xludf.DUMMYFUNCTION("""COMPUTED_VALUE"""),"All amenities")</f>
        <v>All amenities</v>
      </c>
      <c r="K1593" s="2">
        <f>IFERROR(__xludf.DUMMYFUNCTION("""COMPUTED_VALUE"""),68540.0)</f>
        <v>68540</v>
      </c>
      <c r="L1593" s="2">
        <f>IFERROR(__xludf.DUMMYFUNCTION("""COMPUTED_VALUE"""),56.95092625)</f>
        <v>56.95092625</v>
      </c>
      <c r="M1593" s="2">
        <f>IFERROR(__xludf.DUMMYFUNCTION("""COMPUTED_VALUE"""),24.1279151350786)</f>
        <v>24.12791514</v>
      </c>
    </row>
    <row r="1594">
      <c r="A1594" s="2" t="str">
        <f>IFERROR(__xludf.DUMMYFUNCTION("""COMPUTED_VALUE"""),"For rent")</f>
        <v>For rent</v>
      </c>
      <c r="B1594" s="2" t="str">
        <f>IFERROR(__xludf.DUMMYFUNCTION("""COMPUTED_VALUE"""),"centrs")</f>
        <v>centrs</v>
      </c>
      <c r="C1594" s="2" t="str">
        <f>IFERROR(__xludf.DUMMYFUNCTION("""COMPUTED_VALUE"""),"Rūpniecības 42")</f>
        <v>Rūpniecības 42</v>
      </c>
      <c r="D1594" s="2">
        <f>IFERROR(__xludf.DUMMYFUNCTION("""COMPUTED_VALUE"""),1.0)</f>
        <v>1</v>
      </c>
      <c r="E1594" s="2">
        <f>IFERROR(__xludf.DUMMYFUNCTION("""COMPUTED_VALUE"""),24.0)</f>
        <v>24</v>
      </c>
      <c r="F1594" s="2">
        <f>IFERROR(__xludf.DUMMYFUNCTION("""COMPUTED_VALUE"""),2.0)</f>
        <v>2</v>
      </c>
      <c r="G1594" s="2">
        <f>IFERROR(__xludf.DUMMYFUNCTION("""COMPUTED_VALUE"""),3.0)</f>
        <v>3</v>
      </c>
      <c r="H1594" s="2" t="str">
        <f>IFERROR(__xludf.DUMMYFUNCTION("""COMPUTED_VALUE"""),"Renov.")</f>
        <v>Renov.</v>
      </c>
      <c r="I1594" s="2" t="str">
        <f>IFERROR(__xludf.DUMMYFUNCTION("""COMPUTED_VALUE"""),"Brick")</f>
        <v>Brick</v>
      </c>
      <c r="J1594" s="2" t="str">
        <f>IFERROR(__xludf.DUMMYFUNCTION("""COMPUTED_VALUE"""),"All amenities")</f>
        <v>All amenities</v>
      </c>
      <c r="K1594" s="2">
        <f>IFERROR(__xludf.DUMMYFUNCTION("""COMPUTED_VALUE"""),330.0)</f>
        <v>330</v>
      </c>
      <c r="L1594" s="2">
        <f>IFERROR(__xludf.DUMMYFUNCTION("""COMPUTED_VALUE"""),56.96613265)</f>
        <v>56.96613265</v>
      </c>
      <c r="M1594" s="2">
        <f>IFERROR(__xludf.DUMMYFUNCTION("""COMPUTED_VALUE"""),24.1050907501278)</f>
        <v>24.10509075</v>
      </c>
    </row>
    <row r="1595">
      <c r="A1595" s="2" t="str">
        <f>IFERROR(__xludf.DUMMYFUNCTION("""COMPUTED_VALUE"""),"For rent")</f>
        <v>For rent</v>
      </c>
      <c r="B1595" s="2" t="str">
        <f>IFERROR(__xludf.DUMMYFUNCTION("""COMPUTED_VALUE"""),"centrs")</f>
        <v>centrs</v>
      </c>
      <c r="C1595" s="2" t="str">
        <f>IFERROR(__xludf.DUMMYFUNCTION("""COMPUTED_VALUE"""),"Rūpniecības 42")</f>
        <v>Rūpniecības 42</v>
      </c>
      <c r="D1595" s="2">
        <f>IFERROR(__xludf.DUMMYFUNCTION("""COMPUTED_VALUE"""),1.0)</f>
        <v>1</v>
      </c>
      <c r="E1595" s="2">
        <f>IFERROR(__xludf.DUMMYFUNCTION("""COMPUTED_VALUE"""),54.0)</f>
        <v>54</v>
      </c>
      <c r="F1595" s="2">
        <f>IFERROR(__xludf.DUMMYFUNCTION("""COMPUTED_VALUE"""),3.0)</f>
        <v>3</v>
      </c>
      <c r="G1595" s="2">
        <f>IFERROR(__xludf.DUMMYFUNCTION("""COMPUTED_VALUE"""),3.0)</f>
        <v>3</v>
      </c>
      <c r="H1595" s="2" t="str">
        <f>IFERROR(__xludf.DUMMYFUNCTION("""COMPUTED_VALUE"""),"Renov.")</f>
        <v>Renov.</v>
      </c>
      <c r="I1595" s="2" t="str">
        <f>IFERROR(__xludf.DUMMYFUNCTION("""COMPUTED_VALUE"""),"Brick")</f>
        <v>Brick</v>
      </c>
      <c r="J1595" s="2" t="str">
        <f>IFERROR(__xludf.DUMMYFUNCTION("""COMPUTED_VALUE"""),"All amenities")</f>
        <v>All amenities</v>
      </c>
      <c r="K1595" s="2">
        <f>IFERROR(__xludf.DUMMYFUNCTION("""COMPUTED_VALUE"""),500.0)</f>
        <v>500</v>
      </c>
      <c r="L1595" s="2">
        <f>IFERROR(__xludf.DUMMYFUNCTION("""COMPUTED_VALUE"""),56.96613265)</f>
        <v>56.96613265</v>
      </c>
      <c r="M1595" s="2">
        <f>IFERROR(__xludf.DUMMYFUNCTION("""COMPUTED_VALUE"""),24.1050907501278)</f>
        <v>24.10509075</v>
      </c>
    </row>
    <row r="1596">
      <c r="A1596" s="2" t="str">
        <f>IFERROR(__xludf.DUMMYFUNCTION("""COMPUTED_VALUE"""),"For rent")</f>
        <v>For rent</v>
      </c>
      <c r="B1596" s="2" t="str">
        <f>IFERROR(__xludf.DUMMYFUNCTION("""COMPUTED_VALUE"""),"Purvciems")</f>
        <v>Purvciems</v>
      </c>
      <c r="C1596" s="2" t="str">
        <f>IFERROR(__xludf.DUMMYFUNCTION("""COMPUTED_VALUE"""),"Dzelzavas 37")</f>
        <v>Dzelzavas 37</v>
      </c>
      <c r="D1596" s="2">
        <f>IFERROR(__xludf.DUMMYFUNCTION("""COMPUTED_VALUE"""),1.0)</f>
        <v>1</v>
      </c>
      <c r="E1596" s="2">
        <f>IFERROR(__xludf.DUMMYFUNCTION("""COMPUTED_VALUE"""),35.0)</f>
        <v>35</v>
      </c>
      <c r="F1596" s="2">
        <f>IFERROR(__xludf.DUMMYFUNCTION("""COMPUTED_VALUE"""),3.0)</f>
        <v>3</v>
      </c>
      <c r="G1596" s="2">
        <f>IFERROR(__xludf.DUMMYFUNCTION("""COMPUTED_VALUE"""),9.0)</f>
        <v>9</v>
      </c>
      <c r="H1596" s="2">
        <f>IFERROR(__xludf.DUMMYFUNCTION("""COMPUTED_VALUE"""),602.0)</f>
        <v>602</v>
      </c>
      <c r="I1596" s="2" t="str">
        <f>IFERROR(__xludf.DUMMYFUNCTION("""COMPUTED_VALUE"""),"Panel")</f>
        <v>Panel</v>
      </c>
      <c r="J1596" s="2" t="str">
        <f>IFERROR(__xludf.DUMMYFUNCTION("""COMPUTED_VALUE"""),"All amenities")</f>
        <v>All amenities</v>
      </c>
      <c r="K1596" s="2">
        <f>IFERROR(__xludf.DUMMYFUNCTION("""COMPUTED_VALUE"""),190.0)</f>
        <v>190</v>
      </c>
      <c r="L1596" s="2">
        <f>IFERROR(__xludf.DUMMYFUNCTION("""COMPUTED_VALUE"""),56.95922675)</f>
        <v>56.95922675</v>
      </c>
      <c r="M1596" s="2">
        <f>IFERROR(__xludf.DUMMYFUNCTION("""COMPUTED_VALUE"""),24.1820870162061)</f>
        <v>24.18208702</v>
      </c>
    </row>
    <row r="1597">
      <c r="A1597" s="2" t="str">
        <f>IFERROR(__xludf.DUMMYFUNCTION("""COMPUTED_VALUE"""),"For sale")</f>
        <v>For sale</v>
      </c>
      <c r="B1597" s="2" t="str">
        <f>IFERROR(__xludf.DUMMYFUNCTION("""COMPUTED_VALUE"""),"centrs")</f>
        <v>centrs</v>
      </c>
      <c r="C1597" s="2" t="str">
        <f>IFERROR(__xludf.DUMMYFUNCTION("""COMPUTED_VALUE"""),"Avotu 5")</f>
        <v>Avotu 5</v>
      </c>
      <c r="D1597" s="2">
        <f>IFERROR(__xludf.DUMMYFUNCTION("""COMPUTED_VALUE"""),3.0)</f>
        <v>3</v>
      </c>
      <c r="E1597" s="2">
        <f>IFERROR(__xludf.DUMMYFUNCTION("""COMPUTED_VALUE"""),83.0)</f>
        <v>83</v>
      </c>
      <c r="F1597" s="2">
        <f>IFERROR(__xludf.DUMMYFUNCTION("""COMPUTED_VALUE"""),2.0)</f>
        <v>2</v>
      </c>
      <c r="G1597" s="2">
        <f>IFERROR(__xludf.DUMMYFUNCTION("""COMPUTED_VALUE"""),6.0)</f>
        <v>6</v>
      </c>
      <c r="H1597" s="2" t="str">
        <f>IFERROR(__xludf.DUMMYFUNCTION("""COMPUTED_VALUE"""),"Renov.")</f>
        <v>Renov.</v>
      </c>
      <c r="I1597" s="2" t="str">
        <f>IFERROR(__xludf.DUMMYFUNCTION("""COMPUTED_VALUE"""),"Masonry")</f>
        <v>Masonry</v>
      </c>
      <c r="J1597" s="2" t="str">
        <f>IFERROR(__xludf.DUMMYFUNCTION("""COMPUTED_VALUE"""),"All amenities")</f>
        <v>All amenities</v>
      </c>
      <c r="K1597" s="2">
        <f>IFERROR(__xludf.DUMMYFUNCTION("""COMPUTED_VALUE"""),164800.0)</f>
        <v>164800</v>
      </c>
      <c r="L1597" s="2">
        <f>IFERROR(__xludf.DUMMYFUNCTION("""COMPUTED_VALUE"""),56.95092625)</f>
        <v>56.95092625</v>
      </c>
      <c r="M1597" s="2">
        <f>IFERROR(__xludf.DUMMYFUNCTION("""COMPUTED_VALUE"""),24.1279151350786)</f>
        <v>24.12791514</v>
      </c>
    </row>
    <row r="1598">
      <c r="A1598" s="2" t="str">
        <f>IFERROR(__xludf.DUMMYFUNCTION("""COMPUTED_VALUE"""),"For sale")</f>
        <v>For sale</v>
      </c>
      <c r="B1598" s="2" t="str">
        <f>IFERROR(__xludf.DUMMYFUNCTION("""COMPUTED_VALUE"""),"Vecmīlgrāvis")</f>
        <v>Vecmīlgrāvis</v>
      </c>
      <c r="C1598" s="2" t="str">
        <f>IFERROR(__xludf.DUMMYFUNCTION("""COMPUTED_VALUE"""),"Gliemežu 5")</f>
        <v>Gliemežu 5</v>
      </c>
      <c r="D1598" s="2">
        <f>IFERROR(__xludf.DUMMYFUNCTION("""COMPUTED_VALUE"""),1.0)</f>
        <v>1</v>
      </c>
      <c r="E1598" s="2">
        <f>IFERROR(__xludf.DUMMYFUNCTION("""COMPUTED_VALUE"""),37.0)</f>
        <v>37</v>
      </c>
      <c r="F1598" s="2">
        <f>IFERROR(__xludf.DUMMYFUNCTION("""COMPUTED_VALUE"""),1.0)</f>
        <v>1</v>
      </c>
      <c r="G1598" s="2">
        <f>IFERROR(__xludf.DUMMYFUNCTION("""COMPUTED_VALUE"""),5.0)</f>
        <v>5</v>
      </c>
      <c r="H1598" s="2" t="str">
        <f>IFERROR(__xludf.DUMMYFUNCTION("""COMPUTED_VALUE"""),"Specpr.")</f>
        <v>Specpr.</v>
      </c>
      <c r="I1598" s="2" t="str">
        <f>IFERROR(__xludf.DUMMYFUNCTION("""COMPUTED_VALUE"""),"Brick-Panel")</f>
        <v>Brick-Panel</v>
      </c>
      <c r="J1598" s="2" t="str">
        <f>IFERROR(__xludf.DUMMYFUNCTION("""COMPUTED_VALUE"""),"All amenities")</f>
        <v>All amenities</v>
      </c>
      <c r="K1598" s="2">
        <f>IFERROR(__xludf.DUMMYFUNCTION("""COMPUTED_VALUE"""),28000.0)</f>
        <v>28000</v>
      </c>
      <c r="L1598" s="2">
        <f>IFERROR(__xludf.DUMMYFUNCTION("""COMPUTED_VALUE"""),57.0373867)</f>
        <v>57.0373867</v>
      </c>
      <c r="M1598" s="2">
        <f>IFERROR(__xludf.DUMMYFUNCTION("""COMPUTED_VALUE"""),24.0884618)</f>
        <v>24.0884618</v>
      </c>
    </row>
    <row r="1599">
      <c r="A1599" s="2" t="str">
        <f>IFERROR(__xludf.DUMMYFUNCTION("""COMPUTED_VALUE"""),"For sale")</f>
        <v>For sale</v>
      </c>
      <c r="B1599" s="2" t="str">
        <f>IFERROR(__xludf.DUMMYFUNCTION("""COMPUTED_VALUE"""),"Vecmīlgrāvis")</f>
        <v>Vecmīlgrāvis</v>
      </c>
      <c r="C1599" s="2" t="str">
        <f>IFERROR(__xludf.DUMMYFUNCTION("""COMPUTED_VALUE"""),"Edžiņa g. 7")</f>
        <v>Edžiņa g. 7</v>
      </c>
      <c r="D1599" s="2">
        <f>IFERROR(__xludf.DUMMYFUNCTION("""COMPUTED_VALUE"""),3.0)</f>
        <v>3</v>
      </c>
      <c r="E1599" s="2">
        <f>IFERROR(__xludf.DUMMYFUNCTION("""COMPUTED_VALUE"""),69.0)</f>
        <v>69</v>
      </c>
      <c r="F1599" s="2">
        <f>IFERROR(__xludf.DUMMYFUNCTION("""COMPUTED_VALUE"""),5.0)</f>
        <v>5</v>
      </c>
      <c r="G1599" s="2">
        <f>IFERROR(__xludf.DUMMYFUNCTION("""COMPUTED_VALUE"""),5.0)</f>
        <v>5</v>
      </c>
      <c r="H1599" s="2" t="str">
        <f>IFERROR(__xludf.DUMMYFUNCTION("""COMPUTED_VALUE"""),"LT proj.")</f>
        <v>LT proj.</v>
      </c>
      <c r="I1599" s="2" t="str">
        <f>IFERROR(__xludf.DUMMYFUNCTION("""COMPUTED_VALUE"""),"Panel")</f>
        <v>Panel</v>
      </c>
      <c r="J1599" s="2" t="str">
        <f>IFERROR(__xludf.DUMMYFUNCTION("""COMPUTED_VALUE"""),"All amenities")</f>
        <v>All amenities</v>
      </c>
      <c r="K1599" s="2">
        <f>IFERROR(__xludf.DUMMYFUNCTION("""COMPUTED_VALUE"""),48000.0)</f>
        <v>48000</v>
      </c>
      <c r="L1599" s="2">
        <f>IFERROR(__xludf.DUMMYFUNCTION("""COMPUTED_VALUE"""),57.0316748)</f>
        <v>57.0316748</v>
      </c>
      <c r="M1599" s="2">
        <f>IFERROR(__xludf.DUMMYFUNCTION("""COMPUTED_VALUE"""),24.1063938)</f>
        <v>24.1063938</v>
      </c>
    </row>
    <row r="1600">
      <c r="A1600" s="2" t="str">
        <f>IFERROR(__xludf.DUMMYFUNCTION("""COMPUTED_VALUE"""),"For sale")</f>
        <v>For sale</v>
      </c>
      <c r="B1600" s="2" t="str">
        <f>IFERROR(__xludf.DUMMYFUNCTION("""COMPUTED_VALUE"""),"Pļavnieki")</f>
        <v>Pļavnieki</v>
      </c>
      <c r="C1600" s="2" t="str">
        <f>IFERROR(__xludf.DUMMYFUNCTION("""COMPUTED_VALUE"""),"Grestes 8")</f>
        <v>Grestes 8</v>
      </c>
      <c r="D1600" s="2">
        <f>IFERROR(__xludf.DUMMYFUNCTION("""COMPUTED_VALUE"""),4.0)</f>
        <v>4</v>
      </c>
      <c r="E1600" s="2">
        <f>IFERROR(__xludf.DUMMYFUNCTION("""COMPUTED_VALUE"""),75.0)</f>
        <v>75</v>
      </c>
      <c r="F1600" s="2">
        <f>IFERROR(__xludf.DUMMYFUNCTION("""COMPUTED_VALUE"""),8.0)</f>
        <v>8</v>
      </c>
      <c r="G1600" s="2">
        <f>IFERROR(__xludf.DUMMYFUNCTION("""COMPUTED_VALUE"""),9.0)</f>
        <v>9</v>
      </c>
      <c r="H1600" s="2">
        <f>IFERROR(__xludf.DUMMYFUNCTION("""COMPUTED_VALUE"""),467.0)</f>
        <v>467</v>
      </c>
      <c r="I1600" s="2" t="str">
        <f>IFERROR(__xludf.DUMMYFUNCTION("""COMPUTED_VALUE"""),"Panel")</f>
        <v>Panel</v>
      </c>
      <c r="J1600" s="2" t="str">
        <f>IFERROR(__xludf.DUMMYFUNCTION("""COMPUTED_VALUE"""),"All amenities")</f>
        <v>All amenities</v>
      </c>
      <c r="K1600" s="2">
        <f>IFERROR(__xludf.DUMMYFUNCTION("""COMPUTED_VALUE"""),73400.0)</f>
        <v>73400</v>
      </c>
      <c r="L1600" s="2">
        <f>IFERROR(__xludf.DUMMYFUNCTION("""COMPUTED_VALUE"""),56.93585905)</f>
        <v>56.93585905</v>
      </c>
      <c r="M1600" s="2">
        <f>IFERROR(__xludf.DUMMYFUNCTION("""COMPUTED_VALUE"""),24.2081083776837)</f>
        <v>24.20810838</v>
      </c>
    </row>
    <row r="1601">
      <c r="A1601" s="2" t="str">
        <f>IFERROR(__xludf.DUMMYFUNCTION("""COMPUTED_VALUE"""),"For sale")</f>
        <v>For sale</v>
      </c>
      <c r="B1601" s="2" t="str">
        <f>IFERROR(__xludf.DUMMYFUNCTION("""COMPUTED_VALUE"""),"centrs")</f>
        <v>centrs</v>
      </c>
      <c r="C1601" s="2" t="str">
        <f>IFERROR(__xludf.DUMMYFUNCTION("""COMPUTED_VALUE"""),"Skanstes 29")</f>
        <v>Skanstes 29</v>
      </c>
      <c r="D1601" s="2">
        <f>IFERROR(__xludf.DUMMYFUNCTION("""COMPUTED_VALUE"""),4.0)</f>
        <v>4</v>
      </c>
      <c r="E1601" s="2">
        <f>IFERROR(__xludf.DUMMYFUNCTION("""COMPUTED_VALUE"""),167.0)</f>
        <v>167</v>
      </c>
      <c r="F1601" s="2">
        <f>IFERROR(__xludf.DUMMYFUNCTION("""COMPUTED_VALUE"""),21.0)</f>
        <v>21</v>
      </c>
      <c r="G1601" s="2">
        <f>IFERROR(__xludf.DUMMYFUNCTION("""COMPUTED_VALUE"""),24.0)</f>
        <v>24</v>
      </c>
      <c r="H1601" s="2" t="str">
        <f>IFERROR(__xludf.DUMMYFUNCTION("""COMPUTED_VALUE"""),"Jaun.")</f>
        <v>Jaun.</v>
      </c>
      <c r="I1601" s="2" t="str">
        <f>IFERROR(__xludf.DUMMYFUNCTION("""COMPUTED_VALUE"""),"Brick-Panel")</f>
        <v>Brick-Panel</v>
      </c>
      <c r="J1601" s="2" t="str">
        <f>IFERROR(__xludf.DUMMYFUNCTION("""COMPUTED_VALUE"""),"All amenities")</f>
        <v>All amenities</v>
      </c>
      <c r="K1601" s="2">
        <f>IFERROR(__xludf.DUMMYFUNCTION("""COMPUTED_VALUE"""),320000.0)</f>
        <v>320000</v>
      </c>
      <c r="L1601" s="2">
        <f>IFERROR(__xludf.DUMMYFUNCTION("""COMPUTED_VALUE"""),56.9726415)</f>
        <v>56.9726415</v>
      </c>
      <c r="M1601" s="2">
        <f>IFERROR(__xludf.DUMMYFUNCTION("""COMPUTED_VALUE"""),24.1250304839285)</f>
        <v>24.12503048</v>
      </c>
    </row>
    <row r="1602">
      <c r="A1602" s="2" t="str">
        <f>IFERROR(__xludf.DUMMYFUNCTION("""COMPUTED_VALUE"""),"For sale")</f>
        <v>For sale</v>
      </c>
      <c r="B1602" s="2" t="str">
        <f>IFERROR(__xludf.DUMMYFUNCTION("""COMPUTED_VALUE"""),"centrs")</f>
        <v>centrs</v>
      </c>
      <c r="C1602" s="2" t="str">
        <f>IFERROR(__xludf.DUMMYFUNCTION("""COMPUTED_VALUE"""),"Ģertrūdes 38")</f>
        <v>Ģertrūdes 38</v>
      </c>
      <c r="D1602" s="2">
        <f>IFERROR(__xludf.DUMMYFUNCTION("""COMPUTED_VALUE"""),4.0)</f>
        <v>4</v>
      </c>
      <c r="E1602" s="2">
        <f>IFERROR(__xludf.DUMMYFUNCTION("""COMPUTED_VALUE"""),121.0)</f>
        <v>121</v>
      </c>
      <c r="F1602" s="2">
        <f>IFERROR(__xludf.DUMMYFUNCTION("""COMPUTED_VALUE"""),2.0)</f>
        <v>2</v>
      </c>
      <c r="G1602" s="2">
        <f>IFERROR(__xludf.DUMMYFUNCTION("""COMPUTED_VALUE"""),5.0)</f>
        <v>5</v>
      </c>
      <c r="H1602" s="2" t="str">
        <f>IFERROR(__xludf.DUMMYFUNCTION("""COMPUTED_VALUE"""),"Renov.")</f>
        <v>Renov.</v>
      </c>
      <c r="I1602" s="2" t="str">
        <f>IFERROR(__xludf.DUMMYFUNCTION("""COMPUTED_VALUE"""),"Brick")</f>
        <v>Brick</v>
      </c>
      <c r="J1602" s="2" t="str">
        <f>IFERROR(__xludf.DUMMYFUNCTION("""COMPUTED_VALUE"""),"All amenities")</f>
        <v>All amenities</v>
      </c>
      <c r="K1602" s="2">
        <f>IFERROR(__xludf.DUMMYFUNCTION("""COMPUTED_VALUE"""),205700.0)</f>
        <v>205700</v>
      </c>
      <c r="L1602" s="2">
        <f>IFERROR(__xludf.DUMMYFUNCTION("""COMPUTED_VALUE"""),56.9538641)</f>
        <v>56.9538641</v>
      </c>
      <c r="M1602" s="2">
        <f>IFERROR(__xludf.DUMMYFUNCTION("""COMPUTED_VALUE"""),24.128666877855)</f>
        <v>24.12866688</v>
      </c>
    </row>
    <row r="1603">
      <c r="A1603" s="2" t="str">
        <f>IFERROR(__xludf.DUMMYFUNCTION("""COMPUTED_VALUE"""),"For sale")</f>
        <v>For sale</v>
      </c>
      <c r="B1603" s="2" t="str">
        <f>IFERROR(__xludf.DUMMYFUNCTION("""COMPUTED_VALUE"""),"centrs")</f>
        <v>centrs</v>
      </c>
      <c r="C1603" s="2" t="str">
        <f>IFERROR(__xludf.DUMMYFUNCTION("""COMPUTED_VALUE"""),"Ausekļa 5")</f>
        <v>Ausekļa 5</v>
      </c>
      <c r="D1603" s="2">
        <f>IFERROR(__xludf.DUMMYFUNCTION("""COMPUTED_VALUE"""),6.0)</f>
        <v>6</v>
      </c>
      <c r="E1603" s="2">
        <f>IFERROR(__xludf.DUMMYFUNCTION("""COMPUTED_VALUE"""),230.0)</f>
        <v>230</v>
      </c>
      <c r="F1603" s="2">
        <f>IFERROR(__xludf.DUMMYFUNCTION("""COMPUTED_VALUE"""),5.0)</f>
        <v>5</v>
      </c>
      <c r="G1603" s="2">
        <f>IFERROR(__xludf.DUMMYFUNCTION("""COMPUTED_VALUE"""),6.0)</f>
        <v>6</v>
      </c>
      <c r="H1603" s="2" t="str">
        <f>IFERROR(__xludf.DUMMYFUNCTION("""COMPUTED_VALUE"""),"Renov.")</f>
        <v>Renov.</v>
      </c>
      <c r="I1603" s="2" t="str">
        <f>IFERROR(__xludf.DUMMYFUNCTION("""COMPUTED_VALUE"""),"Masonry")</f>
        <v>Masonry</v>
      </c>
      <c r="J1603" s="2" t="str">
        <f>IFERROR(__xludf.DUMMYFUNCTION("""COMPUTED_VALUE"""),"All amenities")</f>
        <v>All amenities</v>
      </c>
      <c r="K1603" s="2">
        <f>IFERROR(__xludf.DUMMYFUNCTION("""COMPUTED_VALUE"""),330000.0)</f>
        <v>330000</v>
      </c>
      <c r="L1603" s="2">
        <f>IFERROR(__xludf.DUMMYFUNCTION("""COMPUTED_VALUE"""),56.9607232)</f>
        <v>56.9607232</v>
      </c>
      <c r="M1603" s="2">
        <f>IFERROR(__xludf.DUMMYFUNCTION("""COMPUTED_VALUE"""),24.0998068104308)</f>
        <v>24.09980681</v>
      </c>
    </row>
    <row r="1604">
      <c r="A1604" s="2" t="str">
        <f>IFERROR(__xludf.DUMMYFUNCTION("""COMPUTED_VALUE"""),"For sale")</f>
        <v>For sale</v>
      </c>
      <c r="B1604" s="2" t="str">
        <f>IFERROR(__xludf.DUMMYFUNCTION("""COMPUTED_VALUE"""),"centrs")</f>
        <v>centrs</v>
      </c>
      <c r="C1604" s="2" t="str">
        <f>IFERROR(__xludf.DUMMYFUNCTION("""COMPUTED_VALUE"""),"Stabu 53")</f>
        <v>Stabu 53</v>
      </c>
      <c r="D1604" s="2">
        <f>IFERROR(__xludf.DUMMYFUNCTION("""COMPUTED_VALUE"""),3.0)</f>
        <v>3</v>
      </c>
      <c r="E1604" s="2">
        <f>IFERROR(__xludf.DUMMYFUNCTION("""COMPUTED_VALUE"""),52.0)</f>
        <v>52</v>
      </c>
      <c r="F1604" s="2">
        <f>IFERROR(__xludf.DUMMYFUNCTION("""COMPUTED_VALUE"""),2.0)</f>
        <v>2</v>
      </c>
      <c r="G1604" s="2">
        <f>IFERROR(__xludf.DUMMYFUNCTION("""COMPUTED_VALUE"""),2.0)</f>
        <v>2</v>
      </c>
      <c r="H1604" s="2" t="str">
        <f>IFERROR(__xludf.DUMMYFUNCTION("""COMPUTED_VALUE"""),"P. kara")</f>
        <v>P. kara</v>
      </c>
      <c r="I1604" s="2" t="str">
        <f>IFERROR(__xludf.DUMMYFUNCTION("""COMPUTED_VALUE"""),"Brick")</f>
        <v>Brick</v>
      </c>
      <c r="J1604" s="2" t="str">
        <f>IFERROR(__xludf.DUMMYFUNCTION("""COMPUTED_VALUE"""),"All amenities")</f>
        <v>All amenities</v>
      </c>
      <c r="K1604" s="2">
        <f>IFERROR(__xludf.DUMMYFUNCTION("""COMPUTED_VALUE"""),79900.0)</f>
        <v>79900</v>
      </c>
      <c r="L1604" s="2">
        <f>IFERROR(__xludf.DUMMYFUNCTION("""COMPUTED_VALUE"""),56.953749)</f>
        <v>56.953749</v>
      </c>
      <c r="M1604" s="2">
        <f>IFERROR(__xludf.DUMMYFUNCTION("""COMPUTED_VALUE"""),24.1340229)</f>
        <v>24.1340229</v>
      </c>
    </row>
    <row r="1605">
      <c r="A1605" s="2" t="str">
        <f>IFERROR(__xludf.DUMMYFUNCTION("""COMPUTED_VALUE"""),"For rent")</f>
        <v>For rent</v>
      </c>
      <c r="B1605" s="2" t="str">
        <f>IFERROR(__xludf.DUMMYFUNCTION("""COMPUTED_VALUE"""),"Zolitūde")</f>
        <v>Zolitūde</v>
      </c>
      <c r="C1605" s="2" t="str">
        <f>IFERROR(__xludf.DUMMYFUNCTION("""COMPUTED_VALUE"""),"Zolitūdes 46")</f>
        <v>Zolitūdes 46</v>
      </c>
      <c r="D1605" s="2">
        <f>IFERROR(__xludf.DUMMYFUNCTION("""COMPUTED_VALUE"""),1.0)</f>
        <v>1</v>
      </c>
      <c r="E1605" s="2">
        <f>IFERROR(__xludf.DUMMYFUNCTION("""COMPUTED_VALUE"""),42.0)</f>
        <v>42</v>
      </c>
      <c r="F1605" s="2">
        <f>IFERROR(__xludf.DUMMYFUNCTION("""COMPUTED_VALUE"""),3.0)</f>
        <v>3</v>
      </c>
      <c r="G1605" s="2">
        <f>IFERROR(__xludf.DUMMYFUNCTION("""COMPUTED_VALUE"""),9.0)</f>
        <v>9</v>
      </c>
      <c r="H1605" s="2">
        <f>IFERROR(__xludf.DUMMYFUNCTION("""COMPUTED_VALUE"""),119.0)</f>
        <v>119</v>
      </c>
      <c r="I1605" s="2" t="str">
        <f>IFERROR(__xludf.DUMMYFUNCTION("""COMPUTED_VALUE"""),"Panel")</f>
        <v>Panel</v>
      </c>
      <c r="J1605" s="2" t="str">
        <f>IFERROR(__xludf.DUMMYFUNCTION("""COMPUTED_VALUE"""),"All amenities")</f>
        <v>All amenities</v>
      </c>
      <c r="K1605" s="2">
        <f>IFERROR(__xludf.DUMMYFUNCTION("""COMPUTED_VALUE"""),250.0)</f>
        <v>250</v>
      </c>
      <c r="L1605" s="2">
        <f>IFERROR(__xludf.DUMMYFUNCTION("""COMPUTED_VALUE"""),56.94224055)</f>
        <v>56.94224055</v>
      </c>
      <c r="M1605" s="2">
        <f>IFERROR(__xludf.DUMMYFUNCTION("""COMPUTED_VALUE"""),24.0060845759065)</f>
        <v>24.00608458</v>
      </c>
    </row>
    <row r="1606">
      <c r="A1606" s="2" t="str">
        <f>IFERROR(__xludf.DUMMYFUNCTION("""COMPUTED_VALUE"""),"For sale")</f>
        <v>For sale</v>
      </c>
      <c r="B1606" s="2" t="str">
        <f>IFERROR(__xludf.DUMMYFUNCTION("""COMPUTED_VALUE"""),"Imanta")</f>
        <v>Imanta</v>
      </c>
      <c r="C1606" s="2" t="str">
        <f>IFERROR(__xludf.DUMMYFUNCTION("""COMPUTED_VALUE"""),"Slokas 130")</f>
        <v>Slokas 130</v>
      </c>
      <c r="D1606" s="2">
        <f>IFERROR(__xludf.DUMMYFUNCTION("""COMPUTED_VALUE"""),4.0)</f>
        <v>4</v>
      </c>
      <c r="E1606" s="2">
        <f>IFERROR(__xludf.DUMMYFUNCTION("""COMPUTED_VALUE"""),110.0)</f>
        <v>110</v>
      </c>
      <c r="F1606" s="2">
        <f>IFERROR(__xludf.DUMMYFUNCTION("""COMPUTED_VALUE"""),1.0)</f>
        <v>1</v>
      </c>
      <c r="G1606" s="2">
        <f>IFERROR(__xludf.DUMMYFUNCTION("""COMPUTED_VALUE"""),12.0)</f>
        <v>12</v>
      </c>
      <c r="H1606" s="2" t="str">
        <f>IFERROR(__xludf.DUMMYFUNCTION("""COMPUTED_VALUE"""),"Čehu pr.")</f>
        <v>Čehu pr.</v>
      </c>
      <c r="I1606" s="2" t="str">
        <f>IFERROR(__xludf.DUMMYFUNCTION("""COMPUTED_VALUE"""),"Brick")</f>
        <v>Brick</v>
      </c>
      <c r="J1606" s="2" t="str">
        <f>IFERROR(__xludf.DUMMYFUNCTION("""COMPUTED_VALUE"""),"All amenities")</f>
        <v>All amenities</v>
      </c>
      <c r="K1606" s="2">
        <f>IFERROR(__xludf.DUMMYFUNCTION("""COMPUTED_VALUE"""),110000.0)</f>
        <v>110000</v>
      </c>
      <c r="L1606" s="2">
        <f>IFERROR(__xludf.DUMMYFUNCTION("""COMPUTED_VALUE"""),56.96380995)</f>
        <v>56.96380995</v>
      </c>
      <c r="M1606" s="2">
        <f>IFERROR(__xludf.DUMMYFUNCTION("""COMPUTED_VALUE"""),24.0195138136445)</f>
        <v>24.01951381</v>
      </c>
    </row>
    <row r="1607">
      <c r="A1607" s="2" t="str">
        <f>IFERROR(__xludf.DUMMYFUNCTION("""COMPUTED_VALUE"""),"For rent")</f>
        <v>For rent</v>
      </c>
      <c r="B1607" s="2" t="str">
        <f>IFERROR(__xludf.DUMMYFUNCTION("""COMPUTED_VALUE"""),"centrs")</f>
        <v>centrs</v>
      </c>
      <c r="C1607" s="2" t="str">
        <f>IFERROR(__xludf.DUMMYFUNCTION("""COMPUTED_VALUE"""),"Lāčplēša 98")</f>
        <v>Lāčplēša 98</v>
      </c>
      <c r="D1607" s="2">
        <f>IFERROR(__xludf.DUMMYFUNCTION("""COMPUTED_VALUE"""),1.0)</f>
        <v>1</v>
      </c>
      <c r="E1607" s="2">
        <f>IFERROR(__xludf.DUMMYFUNCTION("""COMPUTED_VALUE"""),18.0)</f>
        <v>18</v>
      </c>
      <c r="F1607" s="2">
        <f>IFERROR(__xludf.DUMMYFUNCTION("""COMPUTED_VALUE"""),6.0)</f>
        <v>6</v>
      </c>
      <c r="G1607" s="2">
        <f>IFERROR(__xludf.DUMMYFUNCTION("""COMPUTED_VALUE"""),6.0)</f>
        <v>6</v>
      </c>
      <c r="H1607" s="2" t="str">
        <f>IFERROR(__xludf.DUMMYFUNCTION("""COMPUTED_VALUE"""),"Renov.")</f>
        <v>Renov.</v>
      </c>
      <c r="I1607" s="2" t="str">
        <f>IFERROR(__xludf.DUMMYFUNCTION("""COMPUTED_VALUE"""),"Masonry")</f>
        <v>Masonry</v>
      </c>
      <c r="J1607" s="2" t="str">
        <f>IFERROR(__xludf.DUMMYFUNCTION("""COMPUTED_VALUE"""),"All amenities")</f>
        <v>All amenities</v>
      </c>
      <c r="K1607" s="2">
        <f>IFERROR(__xludf.DUMMYFUNCTION("""COMPUTED_VALUE"""),235.0)</f>
        <v>235</v>
      </c>
      <c r="L1607" s="2">
        <f>IFERROR(__xludf.DUMMYFUNCTION("""COMPUTED_VALUE"""),56.94440235)</f>
        <v>56.94440235</v>
      </c>
      <c r="M1607" s="2">
        <f>IFERROR(__xludf.DUMMYFUNCTION("""COMPUTED_VALUE"""),24.1323630232783)</f>
        <v>24.13236302</v>
      </c>
    </row>
    <row r="1608">
      <c r="A1608" s="2" t="str">
        <f>IFERROR(__xludf.DUMMYFUNCTION("""COMPUTED_VALUE"""),"For sale")</f>
        <v>For sale</v>
      </c>
      <c r="B1608" s="2" t="str">
        <f>IFERROR(__xludf.DUMMYFUNCTION("""COMPUTED_VALUE"""),"Jugla")</f>
        <v>Jugla</v>
      </c>
      <c r="C1608" s="2" t="str">
        <f>IFERROR(__xludf.DUMMYFUNCTION("""COMPUTED_VALUE"""),"Kvēles 21")</f>
        <v>Kvēles 21</v>
      </c>
      <c r="D1608" s="2">
        <f>IFERROR(__xludf.DUMMYFUNCTION("""COMPUTED_VALUE"""),3.0)</f>
        <v>3</v>
      </c>
      <c r="E1608" s="2">
        <f>IFERROR(__xludf.DUMMYFUNCTION("""COMPUTED_VALUE"""),57.0)</f>
        <v>57</v>
      </c>
      <c r="F1608" s="2">
        <f>IFERROR(__xludf.DUMMYFUNCTION("""COMPUTED_VALUE"""),1.0)</f>
        <v>1</v>
      </c>
      <c r="G1608" s="2">
        <f>IFERROR(__xludf.DUMMYFUNCTION("""COMPUTED_VALUE"""),5.0)</f>
        <v>5</v>
      </c>
      <c r="H1608" s="2" t="str">
        <f>IFERROR(__xludf.DUMMYFUNCTION("""COMPUTED_VALUE"""),"Hrušč.")</f>
        <v>Hrušč.</v>
      </c>
      <c r="I1608" s="2" t="str">
        <f>IFERROR(__xludf.DUMMYFUNCTION("""COMPUTED_VALUE"""),"Brick-Panel")</f>
        <v>Brick-Panel</v>
      </c>
      <c r="J1608" s="2" t="str">
        <f>IFERROR(__xludf.DUMMYFUNCTION("""COMPUTED_VALUE"""),"All amenities")</f>
        <v>All amenities</v>
      </c>
      <c r="K1608" s="2">
        <f>IFERROR(__xludf.DUMMYFUNCTION("""COMPUTED_VALUE"""),49000.0)</f>
        <v>49000</v>
      </c>
      <c r="L1608" s="2">
        <f>IFERROR(__xludf.DUMMYFUNCTION("""COMPUTED_VALUE"""),56.98168535)</f>
        <v>56.98168535</v>
      </c>
      <c r="M1608" s="2">
        <f>IFERROR(__xludf.DUMMYFUNCTION("""COMPUTED_VALUE"""),24.2456904499999)</f>
        <v>24.24569045</v>
      </c>
    </row>
    <row r="1609">
      <c r="A1609" s="2" t="str">
        <f>IFERROR(__xludf.DUMMYFUNCTION("""COMPUTED_VALUE"""),"For sale")</f>
        <v>For sale</v>
      </c>
      <c r="B1609" s="2" t="str">
        <f>IFERROR(__xludf.DUMMYFUNCTION("""COMPUTED_VALUE"""),"Pļavnieki")</f>
        <v>Pļavnieki</v>
      </c>
      <c r="C1609" s="2" t="str">
        <f>IFERROR(__xludf.DUMMYFUNCTION("""COMPUTED_VALUE"""),"Deglava 156")</f>
        <v>Deglava 156</v>
      </c>
      <c r="D1609" s="2">
        <f>IFERROR(__xludf.DUMMYFUNCTION("""COMPUTED_VALUE"""),3.0)</f>
        <v>3</v>
      </c>
      <c r="E1609" s="2">
        <f>IFERROR(__xludf.DUMMYFUNCTION("""COMPUTED_VALUE"""),63.0)</f>
        <v>63</v>
      </c>
      <c r="F1609" s="2">
        <f>IFERROR(__xludf.DUMMYFUNCTION("""COMPUTED_VALUE"""),1.0)</f>
        <v>1</v>
      </c>
      <c r="G1609" s="2">
        <f>IFERROR(__xludf.DUMMYFUNCTION("""COMPUTED_VALUE"""),9.0)</f>
        <v>9</v>
      </c>
      <c r="H1609" s="2">
        <f>IFERROR(__xludf.DUMMYFUNCTION("""COMPUTED_VALUE"""),602.0)</f>
        <v>602</v>
      </c>
      <c r="I1609" s="2" t="str">
        <f>IFERROR(__xludf.DUMMYFUNCTION("""COMPUTED_VALUE"""),"Panel")</f>
        <v>Panel</v>
      </c>
      <c r="J1609" s="2" t="str">
        <f>IFERROR(__xludf.DUMMYFUNCTION("""COMPUTED_VALUE"""),"All amenities")</f>
        <v>All amenities</v>
      </c>
      <c r="K1609" s="2">
        <f>IFERROR(__xludf.DUMMYFUNCTION("""COMPUTED_VALUE"""),53500.0)</f>
        <v>53500</v>
      </c>
      <c r="L1609" s="2">
        <f>IFERROR(__xludf.DUMMYFUNCTION("""COMPUTED_VALUE"""),56.9442073999999)</f>
        <v>56.9442074</v>
      </c>
      <c r="M1609" s="2">
        <f>IFERROR(__xludf.DUMMYFUNCTION("""COMPUTED_VALUE"""),24.2194311045304)</f>
        <v>24.2194311</v>
      </c>
    </row>
    <row r="1610">
      <c r="A1610" s="2" t="str">
        <f>IFERROR(__xludf.DUMMYFUNCTION("""COMPUTED_VALUE"""),"For rent")</f>
        <v>For rent</v>
      </c>
      <c r="B1610" s="2" t="str">
        <f>IFERROR(__xludf.DUMMYFUNCTION("""COMPUTED_VALUE"""),"centrs")</f>
        <v>centrs</v>
      </c>
      <c r="C1610" s="2" t="str">
        <f>IFERROR(__xludf.DUMMYFUNCTION("""COMPUTED_VALUE"""),"Republikas laukums 3")</f>
        <v>Republikas laukums 3</v>
      </c>
      <c r="D1610" s="2">
        <f>IFERROR(__xludf.DUMMYFUNCTION("""COMPUTED_VALUE"""),4.0)</f>
        <v>4</v>
      </c>
      <c r="E1610" s="2">
        <f>IFERROR(__xludf.DUMMYFUNCTION("""COMPUTED_VALUE"""),127.0)</f>
        <v>127</v>
      </c>
      <c r="F1610" s="2">
        <f>IFERROR(__xludf.DUMMYFUNCTION("""COMPUTED_VALUE"""),5.0)</f>
        <v>5</v>
      </c>
      <c r="G1610" s="2">
        <f>IFERROR(__xludf.DUMMYFUNCTION("""COMPUTED_VALUE"""),8.0)</f>
        <v>8</v>
      </c>
      <c r="H1610" s="2" t="str">
        <f>IFERROR(__xludf.DUMMYFUNCTION("""COMPUTED_VALUE"""),"Jaun.")</f>
        <v>Jaun.</v>
      </c>
      <c r="I1610" s="2" t="str">
        <f>IFERROR(__xludf.DUMMYFUNCTION("""COMPUTED_VALUE"""),"Panel")</f>
        <v>Panel</v>
      </c>
      <c r="J1610" s="2" t="str">
        <f>IFERROR(__xludf.DUMMYFUNCTION("""COMPUTED_VALUE"""),"All amenities")</f>
        <v>All amenities</v>
      </c>
      <c r="K1610" s="2">
        <f>IFERROR(__xludf.DUMMYFUNCTION("""COMPUTED_VALUE"""),1200.0)</f>
        <v>1200</v>
      </c>
      <c r="L1610" s="2">
        <f>IFERROR(__xludf.DUMMYFUNCTION("""COMPUTED_VALUE"""),56.9552522)</f>
        <v>56.9552522</v>
      </c>
      <c r="M1610" s="2">
        <f>IFERROR(__xludf.DUMMYFUNCTION("""COMPUTED_VALUE"""),24.0999991251943)</f>
        <v>24.09999913</v>
      </c>
    </row>
    <row r="1611">
      <c r="A1611" s="2" t="str">
        <f>IFERROR(__xludf.DUMMYFUNCTION("""COMPUTED_VALUE"""),"For rent")</f>
        <v>For rent</v>
      </c>
      <c r="B1611" s="2" t="str">
        <f>IFERROR(__xludf.DUMMYFUNCTION("""COMPUTED_VALUE"""),"centrs")</f>
        <v>centrs</v>
      </c>
      <c r="C1611" s="2" t="str">
        <f>IFERROR(__xludf.DUMMYFUNCTION("""COMPUTED_VALUE"""),"Pulkv. Brieža 7")</f>
        <v>Pulkv. Brieža 7</v>
      </c>
      <c r="D1611" s="2">
        <f>IFERROR(__xludf.DUMMYFUNCTION("""COMPUTED_VALUE"""),3.0)</f>
        <v>3</v>
      </c>
      <c r="E1611" s="2">
        <f>IFERROR(__xludf.DUMMYFUNCTION("""COMPUTED_VALUE"""),100.0)</f>
        <v>100</v>
      </c>
      <c r="F1611" s="2">
        <f>IFERROR(__xludf.DUMMYFUNCTION("""COMPUTED_VALUE"""),5.0)</f>
        <v>5</v>
      </c>
      <c r="G1611" s="2">
        <f>IFERROR(__xludf.DUMMYFUNCTION("""COMPUTED_VALUE"""),6.0)</f>
        <v>6</v>
      </c>
      <c r="H1611" s="2" t="str">
        <f>IFERROR(__xludf.DUMMYFUNCTION("""COMPUTED_VALUE"""),"P. kara")</f>
        <v>P. kara</v>
      </c>
      <c r="I1611" s="2" t="str">
        <f>IFERROR(__xludf.DUMMYFUNCTION("""COMPUTED_VALUE"""),"Masonry")</f>
        <v>Masonry</v>
      </c>
      <c r="J1611" s="2" t="str">
        <f>IFERROR(__xludf.DUMMYFUNCTION("""COMPUTED_VALUE"""),"All amenities")</f>
        <v>All amenities</v>
      </c>
      <c r="K1611" s="2">
        <f>IFERROR(__xludf.DUMMYFUNCTION("""COMPUTED_VALUE"""),950.0)</f>
        <v>950</v>
      </c>
      <c r="L1611" s="2" t="str">
        <f>IFERROR(__xludf.DUMMYFUNCTION("""COMPUTED_VALUE"""),"NaN")</f>
        <v>NaN</v>
      </c>
      <c r="M1611" s="2" t="str">
        <f>IFERROR(__xludf.DUMMYFUNCTION("""COMPUTED_VALUE"""),"NaN")</f>
        <v>NaN</v>
      </c>
    </row>
    <row r="1612">
      <c r="A1612" s="2" t="str">
        <f>IFERROR(__xludf.DUMMYFUNCTION("""COMPUTED_VALUE"""),"For sale")</f>
        <v>For sale</v>
      </c>
      <c r="B1612" s="2" t="str">
        <f>IFERROR(__xludf.DUMMYFUNCTION("""COMPUTED_VALUE"""),"centrs")</f>
        <v>centrs</v>
      </c>
      <c r="C1612" s="2" t="str">
        <f>IFERROR(__xludf.DUMMYFUNCTION("""COMPUTED_VALUE"""),"Tallinas 79")</f>
        <v>Tallinas 79</v>
      </c>
      <c r="D1612" s="2">
        <f>IFERROR(__xludf.DUMMYFUNCTION("""COMPUTED_VALUE"""),3.0)</f>
        <v>3</v>
      </c>
      <c r="E1612" s="2">
        <f>IFERROR(__xludf.DUMMYFUNCTION("""COMPUTED_VALUE"""),68.0)</f>
        <v>68</v>
      </c>
      <c r="F1612" s="2">
        <f>IFERROR(__xludf.DUMMYFUNCTION("""COMPUTED_VALUE"""),1.0)</f>
        <v>1</v>
      </c>
      <c r="G1612" s="2">
        <f>IFERROR(__xludf.DUMMYFUNCTION("""COMPUTED_VALUE"""),5.0)</f>
        <v>5</v>
      </c>
      <c r="H1612" s="2" t="str">
        <f>IFERROR(__xludf.DUMMYFUNCTION("""COMPUTED_VALUE"""),"P. kara")</f>
        <v>P. kara</v>
      </c>
      <c r="I1612" s="2" t="str">
        <f>IFERROR(__xludf.DUMMYFUNCTION("""COMPUTED_VALUE"""),"Brick-Panel")</f>
        <v>Brick-Panel</v>
      </c>
      <c r="J1612" s="2" t="str">
        <f>IFERROR(__xludf.DUMMYFUNCTION("""COMPUTED_VALUE"""),"All amenities")</f>
        <v>All amenities</v>
      </c>
      <c r="K1612" s="2">
        <f>IFERROR(__xludf.DUMMYFUNCTION("""COMPUTED_VALUE"""),49000.0)</f>
        <v>49000</v>
      </c>
      <c r="L1612" s="2">
        <f>IFERROR(__xludf.DUMMYFUNCTION("""COMPUTED_VALUE"""),56.9570178)</f>
        <v>56.9570178</v>
      </c>
      <c r="M1612" s="2">
        <f>IFERROR(__xludf.DUMMYFUNCTION("""COMPUTED_VALUE"""),24.1478467)</f>
        <v>24.1478467</v>
      </c>
    </row>
    <row r="1613">
      <c r="A1613" s="2" t="str">
        <f>IFERROR(__xludf.DUMMYFUNCTION("""COMPUTED_VALUE"""),"For sale")</f>
        <v>For sale</v>
      </c>
      <c r="B1613" s="2" t="str">
        <f>IFERROR(__xludf.DUMMYFUNCTION("""COMPUTED_VALUE"""),"Jugla")</f>
        <v>Jugla</v>
      </c>
      <c r="C1613" s="2" t="str">
        <f>IFERROR(__xludf.DUMMYFUNCTION("""COMPUTED_VALUE"""),"Silciema 15/4")</f>
        <v>Silciema 15/4</v>
      </c>
      <c r="D1613" s="2">
        <f>IFERROR(__xludf.DUMMYFUNCTION("""COMPUTED_VALUE"""),2.0)</f>
        <v>2</v>
      </c>
      <c r="E1613" s="2">
        <f>IFERROR(__xludf.DUMMYFUNCTION("""COMPUTED_VALUE"""),46.0)</f>
        <v>46</v>
      </c>
      <c r="F1613" s="2">
        <f>IFERROR(__xludf.DUMMYFUNCTION("""COMPUTED_VALUE"""),2.0)</f>
        <v>2</v>
      </c>
      <c r="G1613" s="2">
        <f>IFERROR(__xludf.DUMMYFUNCTION("""COMPUTED_VALUE"""),5.0)</f>
        <v>5</v>
      </c>
      <c r="H1613" s="2" t="str">
        <f>IFERROR(__xludf.DUMMYFUNCTION("""COMPUTED_VALUE"""),"LT proj.")</f>
        <v>LT proj.</v>
      </c>
      <c r="I1613" s="2" t="str">
        <f>IFERROR(__xludf.DUMMYFUNCTION("""COMPUTED_VALUE"""),"Panel")</f>
        <v>Panel</v>
      </c>
      <c r="J1613" s="2" t="str">
        <f>IFERROR(__xludf.DUMMYFUNCTION("""COMPUTED_VALUE"""),"All amenities")</f>
        <v>All amenities</v>
      </c>
      <c r="K1613" s="2">
        <f>IFERROR(__xludf.DUMMYFUNCTION("""COMPUTED_VALUE"""),47000.0)</f>
        <v>47000</v>
      </c>
      <c r="L1613" s="2">
        <f>IFERROR(__xludf.DUMMYFUNCTION("""COMPUTED_VALUE"""),56.9826782)</f>
        <v>56.9826782</v>
      </c>
      <c r="M1613" s="2">
        <f>IFERROR(__xludf.DUMMYFUNCTION("""COMPUTED_VALUE"""),24.2406588)</f>
        <v>24.2406588</v>
      </c>
    </row>
    <row r="1614">
      <c r="A1614" s="2" t="str">
        <f>IFERROR(__xludf.DUMMYFUNCTION("""COMPUTED_VALUE"""),"For rent")</f>
        <v>For rent</v>
      </c>
      <c r="B1614" s="2" t="str">
        <f>IFERROR(__xludf.DUMMYFUNCTION("""COMPUTED_VALUE"""),"Maskavas priekšpilsēta")</f>
        <v>Maskavas priekšpilsēta</v>
      </c>
      <c r="C1614" s="2" t="str">
        <f>IFERROR(__xludf.DUMMYFUNCTION("""COMPUTED_VALUE"""),"Lomonosova 2")</f>
        <v>Lomonosova 2</v>
      </c>
      <c r="D1614" s="2">
        <f>IFERROR(__xludf.DUMMYFUNCTION("""COMPUTED_VALUE"""),1.0)</f>
        <v>1</v>
      </c>
      <c r="E1614" s="2">
        <f>IFERROR(__xludf.DUMMYFUNCTION("""COMPUTED_VALUE"""),40.0)</f>
        <v>40</v>
      </c>
      <c r="F1614" s="2">
        <f>IFERROR(__xludf.DUMMYFUNCTION("""COMPUTED_VALUE"""),4.0)</f>
        <v>4</v>
      </c>
      <c r="G1614" s="2">
        <f>IFERROR(__xludf.DUMMYFUNCTION("""COMPUTED_VALUE"""),4.0)</f>
        <v>4</v>
      </c>
      <c r="H1614" s="2" t="str">
        <f>IFERROR(__xludf.DUMMYFUNCTION("""COMPUTED_VALUE"""),"Staļina")</f>
        <v>Staļina</v>
      </c>
      <c r="I1614" s="2" t="str">
        <f>IFERROR(__xludf.DUMMYFUNCTION("""COMPUTED_VALUE"""),"Masonry")</f>
        <v>Masonry</v>
      </c>
      <c r="J1614" s="2" t="str">
        <f>IFERROR(__xludf.DUMMYFUNCTION("""COMPUTED_VALUE"""),"All amenities")</f>
        <v>All amenities</v>
      </c>
      <c r="K1614" s="2">
        <f>IFERROR(__xludf.DUMMYFUNCTION("""COMPUTED_VALUE"""),350.0)</f>
        <v>350</v>
      </c>
      <c r="L1614" s="2">
        <f>IFERROR(__xludf.DUMMYFUNCTION("""COMPUTED_VALUE"""),56.9383325999999)</f>
        <v>56.9383326</v>
      </c>
      <c r="M1614" s="2">
        <f>IFERROR(__xludf.DUMMYFUNCTION("""COMPUTED_VALUE"""),24.1558851119791)</f>
        <v>24.15588511</v>
      </c>
    </row>
    <row r="1615">
      <c r="A1615" s="2" t="str">
        <f>IFERROR(__xludf.DUMMYFUNCTION("""COMPUTED_VALUE"""),"For sale")</f>
        <v>For sale</v>
      </c>
      <c r="B1615" s="2" t="str">
        <f>IFERROR(__xludf.DUMMYFUNCTION("""COMPUTED_VALUE"""),"Aplokciems")</f>
        <v>Aplokciems</v>
      </c>
      <c r="C1615" s="2" t="str">
        <f>IFERROR(__xludf.DUMMYFUNCTION("""COMPUTED_VALUE"""),"Briežu 9")</f>
        <v>Briežu 9</v>
      </c>
      <c r="D1615" s="2">
        <f>IFERROR(__xludf.DUMMYFUNCTION("""COMPUTED_VALUE"""),3.0)</f>
        <v>3</v>
      </c>
      <c r="E1615" s="2">
        <f>IFERROR(__xludf.DUMMYFUNCTION("""COMPUTED_VALUE"""),55.0)</f>
        <v>55</v>
      </c>
      <c r="F1615" s="2">
        <f>IFERROR(__xludf.DUMMYFUNCTION("""COMPUTED_VALUE"""),2.0)</f>
        <v>2</v>
      </c>
      <c r="G1615" s="2">
        <f>IFERROR(__xludf.DUMMYFUNCTION("""COMPUTED_VALUE"""),6.0)</f>
        <v>6</v>
      </c>
      <c r="H1615" s="2" t="str">
        <f>IFERROR(__xludf.DUMMYFUNCTION("""COMPUTED_VALUE"""),"Jaun.")</f>
        <v>Jaun.</v>
      </c>
      <c r="I1615" s="2" t="str">
        <f>IFERROR(__xludf.DUMMYFUNCTION("""COMPUTED_VALUE"""),"Panel")</f>
        <v>Panel</v>
      </c>
      <c r="J1615" s="2" t="str">
        <f>IFERROR(__xludf.DUMMYFUNCTION("""COMPUTED_VALUE"""),"All amenities")</f>
        <v>All amenities</v>
      </c>
      <c r="K1615" s="2">
        <f>IFERROR(__xludf.DUMMYFUNCTION("""COMPUTED_VALUE"""),83100.0)</f>
        <v>83100</v>
      </c>
      <c r="L1615" s="2">
        <f>IFERROR(__xludf.DUMMYFUNCTION("""COMPUTED_VALUE"""),57.0229234499999)</f>
        <v>57.02292345</v>
      </c>
      <c r="M1615" s="2">
        <f>IFERROR(__xludf.DUMMYFUNCTION("""COMPUTED_VALUE"""),24.1376648769917)</f>
        <v>24.13766488</v>
      </c>
    </row>
    <row r="1616">
      <c r="A1616" s="2" t="str">
        <f>IFERROR(__xludf.DUMMYFUNCTION("""COMPUTED_VALUE"""),"For sale")</f>
        <v>For sale</v>
      </c>
      <c r="B1616" s="2" t="str">
        <f>IFERROR(__xludf.DUMMYFUNCTION("""COMPUTED_VALUE"""),"Aplokciems")</f>
        <v>Aplokciems</v>
      </c>
      <c r="C1616" s="2" t="str">
        <f>IFERROR(__xludf.DUMMYFUNCTION("""COMPUTED_VALUE"""),"Briežu 9")</f>
        <v>Briežu 9</v>
      </c>
      <c r="D1616" s="2">
        <f>IFERROR(__xludf.DUMMYFUNCTION("""COMPUTED_VALUE"""),1.0)</f>
        <v>1</v>
      </c>
      <c r="E1616" s="2">
        <f>IFERROR(__xludf.DUMMYFUNCTION("""COMPUTED_VALUE"""),27.0)</f>
        <v>27</v>
      </c>
      <c r="F1616" s="2">
        <f>IFERROR(__xludf.DUMMYFUNCTION("""COMPUTED_VALUE"""),2.0)</f>
        <v>2</v>
      </c>
      <c r="G1616" s="2">
        <f>IFERROR(__xludf.DUMMYFUNCTION("""COMPUTED_VALUE"""),6.0)</f>
        <v>6</v>
      </c>
      <c r="H1616" s="2" t="str">
        <f>IFERROR(__xludf.DUMMYFUNCTION("""COMPUTED_VALUE"""),"Jaun.")</f>
        <v>Jaun.</v>
      </c>
      <c r="I1616" s="2" t="str">
        <f>IFERROR(__xludf.DUMMYFUNCTION("""COMPUTED_VALUE"""),"Panel")</f>
        <v>Panel</v>
      </c>
      <c r="J1616" s="2" t="str">
        <f>IFERROR(__xludf.DUMMYFUNCTION("""COMPUTED_VALUE"""),"All amenities")</f>
        <v>All amenities</v>
      </c>
      <c r="K1616" s="2">
        <f>IFERROR(__xludf.DUMMYFUNCTION("""COMPUTED_VALUE"""),40500.0)</f>
        <v>40500</v>
      </c>
      <c r="L1616" s="2">
        <f>IFERROR(__xludf.DUMMYFUNCTION("""COMPUTED_VALUE"""),57.0229234499999)</f>
        <v>57.02292345</v>
      </c>
      <c r="M1616" s="2">
        <f>IFERROR(__xludf.DUMMYFUNCTION("""COMPUTED_VALUE"""),24.1376648769917)</f>
        <v>24.13766488</v>
      </c>
    </row>
    <row r="1617">
      <c r="A1617" s="2" t="str">
        <f>IFERROR(__xludf.DUMMYFUNCTION("""COMPUTED_VALUE"""),"For sale")</f>
        <v>For sale</v>
      </c>
      <c r="B1617" s="2" t="str">
        <f>IFERROR(__xludf.DUMMYFUNCTION("""COMPUTED_VALUE"""),"centrs")</f>
        <v>centrs</v>
      </c>
      <c r="C1617" s="2" t="str">
        <f>IFERROR(__xludf.DUMMYFUNCTION("""COMPUTED_VALUE"""),"Dārzaugļu 1")</f>
        <v>Dārzaugļu 1</v>
      </c>
      <c r="D1617" s="2"/>
      <c r="E1617" s="2">
        <f>IFERROR(__xludf.DUMMYFUNCTION("""COMPUTED_VALUE"""),214.0)</f>
        <v>214</v>
      </c>
      <c r="F1617" s="2">
        <f>IFERROR(__xludf.DUMMYFUNCTION("""COMPUTED_VALUE"""),5.0)</f>
        <v>5</v>
      </c>
      <c r="G1617" s="2">
        <f>IFERROR(__xludf.DUMMYFUNCTION("""COMPUTED_VALUE"""),5.0)</f>
        <v>5</v>
      </c>
      <c r="H1617" s="2" t="str">
        <f>IFERROR(__xludf.DUMMYFUNCTION("""COMPUTED_VALUE"""),"Renov.")</f>
        <v>Renov.</v>
      </c>
      <c r="I1617" s="2" t="str">
        <f>IFERROR(__xludf.DUMMYFUNCTION("""COMPUTED_VALUE"""),"Brick-Panel")</f>
        <v>Brick-Panel</v>
      </c>
      <c r="J1617" s="2" t="str">
        <f>IFERROR(__xludf.DUMMYFUNCTION("""COMPUTED_VALUE"""),"All amenities")</f>
        <v>All amenities</v>
      </c>
      <c r="K1617" s="2">
        <f>IFERROR(__xludf.DUMMYFUNCTION("""COMPUTED_VALUE"""),165000.0)</f>
        <v>165000</v>
      </c>
      <c r="L1617" s="2">
        <f>IFERROR(__xludf.DUMMYFUNCTION("""COMPUTED_VALUE"""),56.96528365)</f>
        <v>56.96528365</v>
      </c>
      <c r="M1617" s="2">
        <f>IFERROR(__xludf.DUMMYFUNCTION("""COMPUTED_VALUE"""),24.1511345971373)</f>
        <v>24.1511346</v>
      </c>
    </row>
    <row r="1618">
      <c r="A1618" s="2" t="str">
        <f>IFERROR(__xludf.DUMMYFUNCTION("""COMPUTED_VALUE"""),"For sale")</f>
        <v>For sale</v>
      </c>
      <c r="B1618" s="2" t="str">
        <f>IFERROR(__xludf.DUMMYFUNCTION("""COMPUTED_VALUE"""),"centrs")</f>
        <v>centrs</v>
      </c>
      <c r="C1618" s="2" t="str">
        <f>IFERROR(__xludf.DUMMYFUNCTION("""COMPUTED_VALUE"""),"Kurbada 5")</f>
        <v>Kurbada 5</v>
      </c>
      <c r="D1618" s="2">
        <f>IFERROR(__xludf.DUMMYFUNCTION("""COMPUTED_VALUE"""),3.0)</f>
        <v>3</v>
      </c>
      <c r="E1618" s="2">
        <f>IFERROR(__xludf.DUMMYFUNCTION("""COMPUTED_VALUE"""),74.0)</f>
        <v>74</v>
      </c>
      <c r="F1618" s="2">
        <f>IFERROR(__xludf.DUMMYFUNCTION("""COMPUTED_VALUE"""),4.0)</f>
        <v>4</v>
      </c>
      <c r="G1618" s="2">
        <f>IFERROR(__xludf.DUMMYFUNCTION("""COMPUTED_VALUE"""),5.0)</f>
        <v>5</v>
      </c>
      <c r="H1618" s="2" t="str">
        <f>IFERROR(__xludf.DUMMYFUNCTION("""COMPUTED_VALUE"""),"Staļina")</f>
        <v>Staļina</v>
      </c>
      <c r="I1618" s="2" t="str">
        <f>IFERROR(__xludf.DUMMYFUNCTION("""COMPUTED_VALUE"""),"Masonry")</f>
        <v>Masonry</v>
      </c>
      <c r="J1618" s="2" t="str">
        <f>IFERROR(__xludf.DUMMYFUNCTION("""COMPUTED_VALUE"""),"All amenities")</f>
        <v>All amenities</v>
      </c>
      <c r="K1618" s="2">
        <f>IFERROR(__xludf.DUMMYFUNCTION("""COMPUTED_VALUE"""),93000.0)</f>
        <v>93000</v>
      </c>
      <c r="L1618" s="2">
        <f>IFERROR(__xludf.DUMMYFUNCTION("""COMPUTED_VALUE"""),56.9472563)</f>
        <v>56.9472563</v>
      </c>
      <c r="M1618" s="2">
        <f>IFERROR(__xludf.DUMMYFUNCTION("""COMPUTED_VALUE"""),24.1373345)</f>
        <v>24.1373345</v>
      </c>
    </row>
    <row r="1619">
      <c r="A1619" s="2" t="str">
        <f>IFERROR(__xludf.DUMMYFUNCTION("""COMPUTED_VALUE"""),"For rent")</f>
        <v>For rent</v>
      </c>
      <c r="B1619" s="2" t="str">
        <f>IFERROR(__xludf.DUMMYFUNCTION("""COMPUTED_VALUE"""),"centrs")</f>
        <v>centrs</v>
      </c>
      <c r="C1619" s="2" t="str">
        <f>IFERROR(__xludf.DUMMYFUNCTION("""COMPUTED_VALUE"""),"Elizabetes 27")</f>
        <v>Elizabetes 27</v>
      </c>
      <c r="D1619" s="2">
        <f>IFERROR(__xludf.DUMMYFUNCTION("""COMPUTED_VALUE"""),2.0)</f>
        <v>2</v>
      </c>
      <c r="E1619" s="2">
        <f>IFERROR(__xludf.DUMMYFUNCTION("""COMPUTED_VALUE"""),75.0)</f>
        <v>75</v>
      </c>
      <c r="F1619" s="2">
        <f>IFERROR(__xludf.DUMMYFUNCTION("""COMPUTED_VALUE"""),4.0)</f>
        <v>4</v>
      </c>
      <c r="G1619" s="2">
        <f>IFERROR(__xludf.DUMMYFUNCTION("""COMPUTED_VALUE"""),4.0)</f>
        <v>4</v>
      </c>
      <c r="H1619" s="2" t="str">
        <f>IFERROR(__xludf.DUMMYFUNCTION("""COMPUTED_VALUE"""),"P. kara")</f>
        <v>P. kara</v>
      </c>
      <c r="I1619" s="2" t="str">
        <f>IFERROR(__xludf.DUMMYFUNCTION("""COMPUTED_VALUE"""),"Brick")</f>
        <v>Brick</v>
      </c>
      <c r="J1619" s="2" t="str">
        <f>IFERROR(__xludf.DUMMYFUNCTION("""COMPUTED_VALUE"""),"All amenities")</f>
        <v>All amenities</v>
      </c>
      <c r="K1619" s="2">
        <f>IFERROR(__xludf.DUMMYFUNCTION("""COMPUTED_VALUE"""),35.0)</f>
        <v>35</v>
      </c>
      <c r="L1619" s="2">
        <f>IFERROR(__xludf.DUMMYFUNCTION("""COMPUTED_VALUE"""),56.9583458)</f>
        <v>56.9583458</v>
      </c>
      <c r="M1619" s="2">
        <f>IFERROR(__xludf.DUMMYFUNCTION("""COMPUTED_VALUE"""),24.1087314656012)</f>
        <v>24.10873147</v>
      </c>
    </row>
    <row r="1620">
      <c r="A1620" s="2" t="str">
        <f>IFERROR(__xludf.DUMMYFUNCTION("""COMPUTED_VALUE"""),"For sale")</f>
        <v>For sale</v>
      </c>
      <c r="B1620" s="2" t="str">
        <f>IFERROR(__xludf.DUMMYFUNCTION("""COMPUTED_VALUE"""),"Purvciems")</f>
        <v>Purvciems</v>
      </c>
      <c r="C1620" s="2" t="str">
        <f>IFERROR(__xludf.DUMMYFUNCTION("""COMPUTED_VALUE"""),"Stirnu 35a")</f>
        <v>Stirnu 35a</v>
      </c>
      <c r="D1620" s="2">
        <f>IFERROR(__xludf.DUMMYFUNCTION("""COMPUTED_VALUE"""),4.0)</f>
        <v>4</v>
      </c>
      <c r="E1620" s="2">
        <f>IFERROR(__xludf.DUMMYFUNCTION("""COMPUTED_VALUE"""),73.0)</f>
        <v>73</v>
      </c>
      <c r="F1620" s="2">
        <f>IFERROR(__xludf.DUMMYFUNCTION("""COMPUTED_VALUE"""),1.0)</f>
        <v>1</v>
      </c>
      <c r="G1620" s="2">
        <f>IFERROR(__xludf.DUMMYFUNCTION("""COMPUTED_VALUE"""),9.0)</f>
        <v>9</v>
      </c>
      <c r="H1620" s="2">
        <f>IFERROR(__xludf.DUMMYFUNCTION("""COMPUTED_VALUE"""),602.0)</f>
        <v>602</v>
      </c>
      <c r="I1620" s="2" t="str">
        <f>IFERROR(__xludf.DUMMYFUNCTION("""COMPUTED_VALUE"""),"Panel")</f>
        <v>Panel</v>
      </c>
      <c r="J1620" s="2" t="str">
        <f>IFERROR(__xludf.DUMMYFUNCTION("""COMPUTED_VALUE"""),"All amenities")</f>
        <v>All amenities</v>
      </c>
      <c r="K1620" s="2">
        <f>IFERROR(__xludf.DUMMYFUNCTION("""COMPUTED_VALUE"""),65000.0)</f>
        <v>65000</v>
      </c>
      <c r="L1620" s="2">
        <f>IFERROR(__xludf.DUMMYFUNCTION("""COMPUTED_VALUE"""),56.9609581999999)</f>
        <v>56.9609582</v>
      </c>
      <c r="M1620" s="2">
        <f>IFERROR(__xludf.DUMMYFUNCTION("""COMPUTED_VALUE"""),24.1870629147243)</f>
        <v>24.18706291</v>
      </c>
    </row>
    <row r="1621">
      <c r="A1621" s="2" t="str">
        <f>IFERROR(__xludf.DUMMYFUNCTION("""COMPUTED_VALUE"""),"For sale")</f>
        <v>For sale</v>
      </c>
      <c r="B1621" s="2" t="str">
        <f>IFERROR(__xludf.DUMMYFUNCTION("""COMPUTED_VALUE"""),"Šampēteris-Pleskodāle")</f>
        <v>Šampēteris-Pleskodāle</v>
      </c>
      <c r="C1621" s="2" t="str">
        <f>IFERROR(__xludf.DUMMYFUNCTION("""COMPUTED_VALUE"""),"Šampētera 10")</f>
        <v>Šampētera 10</v>
      </c>
      <c r="D1621" s="2">
        <f>IFERROR(__xludf.DUMMYFUNCTION("""COMPUTED_VALUE"""),1.0)</f>
        <v>1</v>
      </c>
      <c r="E1621" s="2">
        <f>IFERROR(__xludf.DUMMYFUNCTION("""COMPUTED_VALUE"""),33.0)</f>
        <v>33</v>
      </c>
      <c r="F1621" s="2">
        <f>IFERROR(__xludf.DUMMYFUNCTION("""COMPUTED_VALUE"""),1.0)</f>
        <v>1</v>
      </c>
      <c r="G1621" s="2">
        <f>IFERROR(__xludf.DUMMYFUNCTION("""COMPUTED_VALUE"""),2.0)</f>
        <v>2</v>
      </c>
      <c r="H1621" s="2" t="str">
        <f>IFERROR(__xludf.DUMMYFUNCTION("""COMPUTED_VALUE"""),"P. kara")</f>
        <v>P. kara</v>
      </c>
      <c r="I1621" s="2" t="str">
        <f>IFERROR(__xludf.DUMMYFUNCTION("""COMPUTED_VALUE"""),"Masonry")</f>
        <v>Masonry</v>
      </c>
      <c r="J1621" s="2" t="str">
        <f>IFERROR(__xludf.DUMMYFUNCTION("""COMPUTED_VALUE"""),"All amenities")</f>
        <v>All amenities</v>
      </c>
      <c r="K1621" s="2">
        <f>IFERROR(__xludf.DUMMYFUNCTION("""COMPUTED_VALUE"""),30000.0)</f>
        <v>30000</v>
      </c>
      <c r="L1621" s="2">
        <f>IFERROR(__xludf.DUMMYFUNCTION("""COMPUTED_VALUE"""),56.9422772)</f>
        <v>56.9422772</v>
      </c>
      <c r="M1621" s="2">
        <f>IFERROR(__xludf.DUMMYFUNCTION("""COMPUTED_VALUE"""),24.0389986185022)</f>
        <v>24.03899862</v>
      </c>
    </row>
    <row r="1622">
      <c r="A1622" s="2" t="str">
        <f>IFERROR(__xludf.DUMMYFUNCTION("""COMPUTED_VALUE"""),"For sale")</f>
        <v>For sale</v>
      </c>
      <c r="B1622" s="2" t="str">
        <f>IFERROR(__xludf.DUMMYFUNCTION("""COMPUTED_VALUE"""),"Iļģuciems")</f>
        <v>Iļģuciems</v>
      </c>
      <c r="C1622" s="2" t="str">
        <f>IFERROR(__xludf.DUMMYFUNCTION("""COMPUTED_VALUE"""),"Stūres 7")</f>
        <v>Stūres 7</v>
      </c>
      <c r="D1622" s="2">
        <f>IFERROR(__xludf.DUMMYFUNCTION("""COMPUTED_VALUE"""),3.0)</f>
        <v>3</v>
      </c>
      <c r="E1622" s="2">
        <f>IFERROR(__xludf.DUMMYFUNCTION("""COMPUTED_VALUE"""),60.0)</f>
        <v>60</v>
      </c>
      <c r="F1622" s="2">
        <f>IFERROR(__xludf.DUMMYFUNCTION("""COMPUTED_VALUE"""),1.0)</f>
        <v>1</v>
      </c>
      <c r="G1622" s="2">
        <f>IFERROR(__xludf.DUMMYFUNCTION("""COMPUTED_VALUE"""),5.0)</f>
        <v>5</v>
      </c>
      <c r="H1622" s="2" t="str">
        <f>IFERROR(__xludf.DUMMYFUNCTION("""COMPUTED_VALUE"""),"LT proj.")</f>
        <v>LT proj.</v>
      </c>
      <c r="I1622" s="2" t="str">
        <f>IFERROR(__xludf.DUMMYFUNCTION("""COMPUTED_VALUE"""),"Panel")</f>
        <v>Panel</v>
      </c>
      <c r="J1622" s="2" t="str">
        <f>IFERROR(__xludf.DUMMYFUNCTION("""COMPUTED_VALUE"""),"All amenities")</f>
        <v>All amenities</v>
      </c>
      <c r="K1622" s="2">
        <f>IFERROR(__xludf.DUMMYFUNCTION("""COMPUTED_VALUE"""),59800.0)</f>
        <v>59800</v>
      </c>
      <c r="L1622" s="2">
        <f>IFERROR(__xludf.DUMMYFUNCTION("""COMPUTED_VALUE"""),56.9710015999999)</f>
        <v>56.9710016</v>
      </c>
      <c r="M1622" s="2">
        <f>IFERROR(__xludf.DUMMYFUNCTION("""COMPUTED_VALUE"""),24.070090599991)</f>
        <v>24.0700906</v>
      </c>
    </row>
    <row r="1623">
      <c r="A1623" s="2" t="str">
        <f>IFERROR(__xludf.DUMMYFUNCTION("""COMPUTED_VALUE"""),"For rent")</f>
        <v>For rent</v>
      </c>
      <c r="B1623" s="2" t="str">
        <f>IFERROR(__xludf.DUMMYFUNCTION("""COMPUTED_VALUE"""),"Mežaparks")</f>
        <v>Mežaparks</v>
      </c>
      <c r="C1623" s="2" t="str">
        <f>IFERROR(__xludf.DUMMYFUNCTION("""COMPUTED_VALUE"""),"Ezermalas 4a")</f>
        <v>Ezermalas 4a</v>
      </c>
      <c r="D1623" s="2">
        <f>IFERROR(__xludf.DUMMYFUNCTION("""COMPUTED_VALUE"""),1.0)</f>
        <v>1</v>
      </c>
      <c r="E1623" s="2">
        <f>IFERROR(__xludf.DUMMYFUNCTION("""COMPUTED_VALUE"""),21.0)</f>
        <v>21</v>
      </c>
      <c r="F1623" s="2">
        <f>IFERROR(__xludf.DUMMYFUNCTION("""COMPUTED_VALUE"""),4.0)</f>
        <v>4</v>
      </c>
      <c r="G1623" s="2">
        <f>IFERROR(__xludf.DUMMYFUNCTION("""COMPUTED_VALUE"""),5.0)</f>
        <v>5</v>
      </c>
      <c r="H1623" s="2" t="str">
        <f>IFERROR(__xludf.DUMMYFUNCTION("""COMPUTED_VALUE"""),"Renov.")</f>
        <v>Renov.</v>
      </c>
      <c r="I1623" s="2" t="str">
        <f>IFERROR(__xludf.DUMMYFUNCTION("""COMPUTED_VALUE"""),"Brick-Panel")</f>
        <v>Brick-Panel</v>
      </c>
      <c r="J1623" s="2" t="str">
        <f>IFERROR(__xludf.DUMMYFUNCTION("""COMPUTED_VALUE"""),"All amenities")</f>
        <v>All amenities</v>
      </c>
      <c r="K1623" s="2">
        <f>IFERROR(__xludf.DUMMYFUNCTION("""COMPUTED_VALUE"""),200.0)</f>
        <v>200</v>
      </c>
      <c r="L1623" s="2">
        <f>IFERROR(__xludf.DUMMYFUNCTION("""COMPUTED_VALUE"""),56.99347295)</f>
        <v>56.99347295</v>
      </c>
      <c r="M1623" s="2">
        <f>IFERROR(__xludf.DUMMYFUNCTION("""COMPUTED_VALUE"""),24.1926391880139)</f>
        <v>24.19263919</v>
      </c>
    </row>
    <row r="1624">
      <c r="A1624" s="2" t="str">
        <f>IFERROR(__xludf.DUMMYFUNCTION("""COMPUTED_VALUE"""),"For sale")</f>
        <v>For sale</v>
      </c>
      <c r="B1624" s="2" t="str">
        <f>IFERROR(__xludf.DUMMYFUNCTION("""COMPUTED_VALUE"""),"Pļavnieki")</f>
        <v>Pļavnieki</v>
      </c>
      <c r="C1624" s="2" t="str">
        <f>IFERROR(__xludf.DUMMYFUNCTION("""COMPUTED_VALUE"""),"Jasmuižas 9")</f>
        <v>Jasmuižas 9</v>
      </c>
      <c r="D1624" s="2">
        <f>IFERROR(__xludf.DUMMYFUNCTION("""COMPUTED_VALUE"""),1.0)</f>
        <v>1</v>
      </c>
      <c r="E1624" s="2">
        <f>IFERROR(__xludf.DUMMYFUNCTION("""COMPUTED_VALUE"""),33.0)</f>
        <v>33</v>
      </c>
      <c r="F1624" s="2">
        <f>IFERROR(__xludf.DUMMYFUNCTION("""COMPUTED_VALUE"""),3.0)</f>
        <v>3</v>
      </c>
      <c r="G1624" s="2">
        <f>IFERROR(__xludf.DUMMYFUNCTION("""COMPUTED_VALUE"""),9.0)</f>
        <v>9</v>
      </c>
      <c r="H1624" s="2">
        <f>IFERROR(__xludf.DUMMYFUNCTION("""COMPUTED_VALUE"""),467.0)</f>
        <v>467</v>
      </c>
      <c r="I1624" s="2" t="str">
        <f>IFERROR(__xludf.DUMMYFUNCTION("""COMPUTED_VALUE"""),"Panel")</f>
        <v>Panel</v>
      </c>
      <c r="J1624" s="2" t="str">
        <f>IFERROR(__xludf.DUMMYFUNCTION("""COMPUTED_VALUE"""),"All amenities")</f>
        <v>All amenities</v>
      </c>
      <c r="K1624" s="2">
        <f>IFERROR(__xludf.DUMMYFUNCTION("""COMPUTED_VALUE"""),30800.0)</f>
        <v>30800</v>
      </c>
      <c r="L1624" s="2">
        <f>IFERROR(__xludf.DUMMYFUNCTION("""COMPUTED_VALUE"""),56.9370601)</f>
        <v>56.9370601</v>
      </c>
      <c r="M1624" s="2">
        <f>IFERROR(__xludf.DUMMYFUNCTION("""COMPUTED_VALUE"""),24.2103376)</f>
        <v>24.2103376</v>
      </c>
    </row>
    <row r="1625">
      <c r="A1625" s="2" t="str">
        <f>IFERROR(__xludf.DUMMYFUNCTION("""COMPUTED_VALUE"""),"For sale")</f>
        <v>For sale</v>
      </c>
      <c r="B1625" s="2" t="str">
        <f>IFERROR(__xludf.DUMMYFUNCTION("""COMPUTED_VALUE"""),"centrs")</f>
        <v>centrs</v>
      </c>
      <c r="C1625" s="2" t="str">
        <f>IFERROR(__xludf.DUMMYFUNCTION("""COMPUTED_VALUE"""),"Valdemāra 123")</f>
        <v>Valdemāra 123</v>
      </c>
      <c r="D1625" s="2">
        <f>IFERROR(__xludf.DUMMYFUNCTION("""COMPUTED_VALUE"""),3.0)</f>
        <v>3</v>
      </c>
      <c r="E1625" s="2">
        <f>IFERROR(__xludf.DUMMYFUNCTION("""COMPUTED_VALUE"""),102.0)</f>
        <v>102</v>
      </c>
      <c r="F1625" s="2">
        <f>IFERROR(__xludf.DUMMYFUNCTION("""COMPUTED_VALUE"""),6.0)</f>
        <v>6</v>
      </c>
      <c r="G1625" s="2">
        <f>IFERROR(__xludf.DUMMYFUNCTION("""COMPUTED_VALUE"""),6.0)</f>
        <v>6</v>
      </c>
      <c r="H1625" s="2" t="str">
        <f>IFERROR(__xludf.DUMMYFUNCTION("""COMPUTED_VALUE"""),"P. kara")</f>
        <v>P. kara</v>
      </c>
      <c r="I1625" s="2" t="str">
        <f>IFERROR(__xludf.DUMMYFUNCTION("""COMPUTED_VALUE"""),"Brick")</f>
        <v>Brick</v>
      </c>
      <c r="J1625" s="2" t="str">
        <f>IFERROR(__xludf.DUMMYFUNCTION("""COMPUTED_VALUE"""),"All amenities")</f>
        <v>All amenities</v>
      </c>
      <c r="K1625" s="2">
        <f>IFERROR(__xludf.DUMMYFUNCTION("""COMPUTED_VALUE"""),139900.0)</f>
        <v>139900</v>
      </c>
      <c r="L1625" s="2">
        <f>IFERROR(__xludf.DUMMYFUNCTION("""COMPUTED_VALUE"""),56.9672898)</f>
        <v>56.9672898</v>
      </c>
      <c r="M1625" s="2">
        <f>IFERROR(__xludf.DUMMYFUNCTION("""COMPUTED_VALUE"""),24.1301484)</f>
        <v>24.1301484</v>
      </c>
    </row>
    <row r="1626">
      <c r="A1626" s="2" t="str">
        <f>IFERROR(__xludf.DUMMYFUNCTION("""COMPUTED_VALUE"""),"For sale")</f>
        <v>For sale</v>
      </c>
      <c r="B1626" s="2" t="str">
        <f>IFERROR(__xludf.DUMMYFUNCTION("""COMPUTED_VALUE"""),"Ķīpsala")</f>
        <v>Ķīpsala</v>
      </c>
      <c r="C1626" s="2" t="str">
        <f>IFERROR(__xludf.DUMMYFUNCTION("""COMPUTED_VALUE"""),"Balasta d. 72")</f>
        <v>Balasta d. 72</v>
      </c>
      <c r="D1626" s="2">
        <f>IFERROR(__xludf.DUMMYFUNCTION("""COMPUTED_VALUE"""),4.0)</f>
        <v>4</v>
      </c>
      <c r="E1626" s="2">
        <f>IFERROR(__xludf.DUMMYFUNCTION("""COMPUTED_VALUE"""),178.0)</f>
        <v>178</v>
      </c>
      <c r="F1626" s="2">
        <f>IFERROR(__xludf.DUMMYFUNCTION("""COMPUTED_VALUE"""),1.0)</f>
        <v>1</v>
      </c>
      <c r="G1626" s="2">
        <f>IFERROR(__xludf.DUMMYFUNCTION("""COMPUTED_VALUE"""),4.0)</f>
        <v>4</v>
      </c>
      <c r="H1626" s="2" t="str">
        <f>IFERROR(__xludf.DUMMYFUNCTION("""COMPUTED_VALUE"""),"Jaun.")</f>
        <v>Jaun.</v>
      </c>
      <c r="I1626" s="2" t="str">
        <f>IFERROR(__xludf.DUMMYFUNCTION("""COMPUTED_VALUE"""),"Masonry")</f>
        <v>Masonry</v>
      </c>
      <c r="J1626" s="2" t="str">
        <f>IFERROR(__xludf.DUMMYFUNCTION("""COMPUTED_VALUE"""),"All amenities")</f>
        <v>All amenities</v>
      </c>
      <c r="K1626" s="2">
        <f>IFERROR(__xludf.DUMMYFUNCTION("""COMPUTED_VALUE"""),430000.0)</f>
        <v>430000</v>
      </c>
      <c r="L1626" s="2">
        <f>IFERROR(__xludf.DUMMYFUNCTION("""COMPUTED_VALUE"""),56.9489344)</f>
        <v>56.9489344</v>
      </c>
      <c r="M1626" s="2">
        <f>IFERROR(__xludf.DUMMYFUNCTION("""COMPUTED_VALUE"""),24.0882804)</f>
        <v>24.0882804</v>
      </c>
    </row>
    <row r="1627">
      <c r="A1627" s="2" t="str">
        <f>IFERROR(__xludf.DUMMYFUNCTION("""COMPUTED_VALUE"""),"For sale")</f>
        <v>For sale</v>
      </c>
      <c r="B1627" s="2" t="str">
        <f>IFERROR(__xludf.DUMMYFUNCTION("""COMPUTED_VALUE"""),"Ķengarags")</f>
        <v>Ķengarags</v>
      </c>
      <c r="C1627" s="2" t="str">
        <f>IFERROR(__xludf.DUMMYFUNCTION("""COMPUTED_VALUE"""),"Maskavas 281")</f>
        <v>Maskavas 281</v>
      </c>
      <c r="D1627" s="2">
        <f>IFERROR(__xludf.DUMMYFUNCTION("""COMPUTED_VALUE"""),2.0)</f>
        <v>2</v>
      </c>
      <c r="E1627" s="2">
        <f>IFERROR(__xludf.DUMMYFUNCTION("""COMPUTED_VALUE"""),47.0)</f>
        <v>47</v>
      </c>
      <c r="F1627" s="2">
        <f>IFERROR(__xludf.DUMMYFUNCTION("""COMPUTED_VALUE"""),12.0)</f>
        <v>12</v>
      </c>
      <c r="G1627" s="2">
        <f>IFERROR(__xludf.DUMMYFUNCTION("""COMPUTED_VALUE"""),12.0)</f>
        <v>12</v>
      </c>
      <c r="H1627" s="2" t="str">
        <f>IFERROR(__xludf.DUMMYFUNCTION("""COMPUTED_VALUE"""),"Čehu pr.")</f>
        <v>Čehu pr.</v>
      </c>
      <c r="I1627" s="2" t="str">
        <f>IFERROR(__xludf.DUMMYFUNCTION("""COMPUTED_VALUE"""),"Brick-Panel")</f>
        <v>Brick-Panel</v>
      </c>
      <c r="J1627" s="2" t="str">
        <f>IFERROR(__xludf.DUMMYFUNCTION("""COMPUTED_VALUE"""),"All amenities")</f>
        <v>All amenities</v>
      </c>
      <c r="K1627" s="2">
        <f>IFERROR(__xludf.DUMMYFUNCTION("""COMPUTED_VALUE"""),47700.0)</f>
        <v>47700</v>
      </c>
      <c r="L1627" s="2">
        <f>IFERROR(__xludf.DUMMYFUNCTION("""COMPUTED_VALUE"""),56.8597884)</f>
        <v>56.8597884</v>
      </c>
      <c r="M1627" s="2">
        <f>IFERROR(__xludf.DUMMYFUNCTION("""COMPUTED_VALUE"""),24.3083417)</f>
        <v>24.3083417</v>
      </c>
    </row>
    <row r="1628">
      <c r="A1628" s="2" t="str">
        <f>IFERROR(__xludf.DUMMYFUNCTION("""COMPUTED_VALUE"""),"For sale")</f>
        <v>For sale</v>
      </c>
      <c r="B1628" s="2" t="str">
        <f>IFERROR(__xludf.DUMMYFUNCTION("""COMPUTED_VALUE"""),"Dārzciems")</f>
        <v>Dārzciems</v>
      </c>
      <c r="C1628" s="2" t="str">
        <f>IFERROR(__xludf.DUMMYFUNCTION("""COMPUTED_VALUE"""),"Lubānas 43")</f>
        <v>Lubānas 43</v>
      </c>
      <c r="D1628" s="2">
        <f>IFERROR(__xludf.DUMMYFUNCTION("""COMPUTED_VALUE"""),3.0)</f>
        <v>3</v>
      </c>
      <c r="E1628" s="2">
        <f>IFERROR(__xludf.DUMMYFUNCTION("""COMPUTED_VALUE"""),64.0)</f>
        <v>64</v>
      </c>
      <c r="F1628" s="2">
        <f>IFERROR(__xludf.DUMMYFUNCTION("""COMPUTED_VALUE"""),1.0)</f>
        <v>1</v>
      </c>
      <c r="G1628" s="2">
        <f>IFERROR(__xludf.DUMMYFUNCTION("""COMPUTED_VALUE"""),2.0)</f>
        <v>2</v>
      </c>
      <c r="H1628" s="2" t="str">
        <f>IFERROR(__xludf.DUMMYFUNCTION("""COMPUTED_VALUE"""),"Staļina")</f>
        <v>Staļina</v>
      </c>
      <c r="I1628" s="2" t="str">
        <f>IFERROR(__xludf.DUMMYFUNCTION("""COMPUTED_VALUE"""),"Brick")</f>
        <v>Brick</v>
      </c>
      <c r="J1628" s="2" t="str">
        <f>IFERROR(__xludf.DUMMYFUNCTION("""COMPUTED_VALUE"""),"All amenities")</f>
        <v>All amenities</v>
      </c>
      <c r="K1628" s="2">
        <f>IFERROR(__xludf.DUMMYFUNCTION("""COMPUTED_VALUE"""),57600.0)</f>
        <v>57600</v>
      </c>
      <c r="L1628" s="2">
        <f>IFERROR(__xludf.DUMMYFUNCTION("""COMPUTED_VALUE"""),56.9335552)</f>
        <v>56.9335552</v>
      </c>
      <c r="M1628" s="2">
        <f>IFERROR(__xludf.DUMMYFUNCTION("""COMPUTED_VALUE"""),24.1758388)</f>
        <v>24.1758388</v>
      </c>
    </row>
    <row r="1629">
      <c r="A1629" s="2" t="str">
        <f>IFERROR(__xludf.DUMMYFUNCTION("""COMPUTED_VALUE"""),"For rent")</f>
        <v>For rent</v>
      </c>
      <c r="B1629" s="2" t="str">
        <f>IFERROR(__xludf.DUMMYFUNCTION("""COMPUTED_VALUE"""),"centrs")</f>
        <v>centrs</v>
      </c>
      <c r="C1629" s="2" t="str">
        <f>IFERROR(__xludf.DUMMYFUNCTION("""COMPUTED_VALUE"""),"Vīlandes 7")</f>
        <v>Vīlandes 7</v>
      </c>
      <c r="D1629" s="2">
        <f>IFERROR(__xludf.DUMMYFUNCTION("""COMPUTED_VALUE"""),3.0)</f>
        <v>3</v>
      </c>
      <c r="E1629" s="2">
        <f>IFERROR(__xludf.DUMMYFUNCTION("""COMPUTED_VALUE"""),72.0)</f>
        <v>72</v>
      </c>
      <c r="F1629" s="2">
        <f>IFERROR(__xludf.DUMMYFUNCTION("""COMPUTED_VALUE"""),5.0)</f>
        <v>5</v>
      </c>
      <c r="G1629" s="2">
        <f>IFERROR(__xludf.DUMMYFUNCTION("""COMPUTED_VALUE"""),5.0)</f>
        <v>5</v>
      </c>
      <c r="H1629" s="2" t="str">
        <f>IFERROR(__xludf.DUMMYFUNCTION("""COMPUTED_VALUE"""),"P. kara")</f>
        <v>P. kara</v>
      </c>
      <c r="I1629" s="2" t="str">
        <f>IFERROR(__xludf.DUMMYFUNCTION("""COMPUTED_VALUE"""),"Masonry")</f>
        <v>Masonry</v>
      </c>
      <c r="J1629" s="2" t="str">
        <f>IFERROR(__xludf.DUMMYFUNCTION("""COMPUTED_VALUE"""),"All amenities")</f>
        <v>All amenities</v>
      </c>
      <c r="K1629" s="2">
        <f>IFERROR(__xludf.DUMMYFUNCTION("""COMPUTED_VALUE"""),650.0)</f>
        <v>650</v>
      </c>
      <c r="L1629" s="2">
        <f>IFERROR(__xludf.DUMMYFUNCTION("""COMPUTED_VALUE"""),56.9602579)</f>
        <v>56.9602579</v>
      </c>
      <c r="M1629" s="2">
        <f>IFERROR(__xludf.DUMMYFUNCTION("""COMPUTED_VALUE"""),24.1013204)</f>
        <v>24.1013204</v>
      </c>
    </row>
    <row r="1630">
      <c r="A1630" s="2" t="str">
        <f>IFERROR(__xludf.DUMMYFUNCTION("""COMPUTED_VALUE"""),"For rent")</f>
        <v>For rent</v>
      </c>
      <c r="B1630" s="2" t="str">
        <f>IFERROR(__xludf.DUMMYFUNCTION("""COMPUTED_VALUE"""),"centrs")</f>
        <v>centrs</v>
      </c>
      <c r="C1630" s="2" t="str">
        <f>IFERROR(__xludf.DUMMYFUNCTION("""COMPUTED_VALUE"""),"Čaka 89")</f>
        <v>Čaka 89</v>
      </c>
      <c r="D1630" s="2">
        <f>IFERROR(__xludf.DUMMYFUNCTION("""COMPUTED_VALUE"""),1.0)</f>
        <v>1</v>
      </c>
      <c r="E1630" s="2">
        <f>IFERROR(__xludf.DUMMYFUNCTION("""COMPUTED_VALUE"""),13.0)</f>
        <v>13</v>
      </c>
      <c r="F1630" s="2">
        <f>IFERROR(__xludf.DUMMYFUNCTION("""COMPUTED_VALUE"""),2.0)</f>
        <v>2</v>
      </c>
      <c r="G1630" s="2">
        <f>IFERROR(__xludf.DUMMYFUNCTION("""COMPUTED_VALUE"""),2.0)</f>
        <v>2</v>
      </c>
      <c r="H1630" s="2" t="str">
        <f>IFERROR(__xludf.DUMMYFUNCTION("""COMPUTED_VALUE"""),"Renov.")</f>
        <v>Renov.</v>
      </c>
      <c r="I1630" s="2" t="str">
        <f>IFERROR(__xludf.DUMMYFUNCTION("""COMPUTED_VALUE"""),"Masonry")</f>
        <v>Masonry</v>
      </c>
      <c r="J1630" s="2" t="str">
        <f>IFERROR(__xludf.DUMMYFUNCTION("""COMPUTED_VALUE"""),"All amenities")</f>
        <v>All amenities</v>
      </c>
      <c r="K1630" s="2">
        <f>IFERROR(__xludf.DUMMYFUNCTION("""COMPUTED_VALUE"""),295.0)</f>
        <v>295</v>
      </c>
      <c r="L1630" s="2">
        <f>IFERROR(__xludf.DUMMYFUNCTION("""COMPUTED_VALUE"""),56.95712685)</f>
        <v>56.95712685</v>
      </c>
      <c r="M1630" s="2">
        <f>IFERROR(__xludf.DUMMYFUNCTION("""COMPUTED_VALUE"""),24.1375877857218)</f>
        <v>24.13758779</v>
      </c>
    </row>
    <row r="1631">
      <c r="A1631" s="2" t="str">
        <f>IFERROR(__xludf.DUMMYFUNCTION("""COMPUTED_VALUE"""),"For rent")</f>
        <v>For rent</v>
      </c>
      <c r="B1631" s="2" t="str">
        <f>IFERROR(__xludf.DUMMYFUNCTION("""COMPUTED_VALUE"""),"Maskavas priekšpilsēta")</f>
        <v>Maskavas priekšpilsēta</v>
      </c>
      <c r="C1631" s="2" t="str">
        <f>IFERROR(__xludf.DUMMYFUNCTION("""COMPUTED_VALUE"""),"Maskavas 146")</f>
        <v>Maskavas 146</v>
      </c>
      <c r="D1631" s="2">
        <f>IFERROR(__xludf.DUMMYFUNCTION("""COMPUTED_VALUE"""),2.0)</f>
        <v>2</v>
      </c>
      <c r="E1631" s="2">
        <f>IFERROR(__xludf.DUMMYFUNCTION("""COMPUTED_VALUE"""),34.0)</f>
        <v>34</v>
      </c>
      <c r="F1631" s="2">
        <f>IFERROR(__xludf.DUMMYFUNCTION("""COMPUTED_VALUE"""),3.0)</f>
        <v>3</v>
      </c>
      <c r="G1631" s="2">
        <f>IFERROR(__xludf.DUMMYFUNCTION("""COMPUTED_VALUE"""),4.0)</f>
        <v>4</v>
      </c>
      <c r="H1631" s="2" t="str">
        <f>IFERROR(__xludf.DUMMYFUNCTION("""COMPUTED_VALUE"""),"Renov.")</f>
        <v>Renov.</v>
      </c>
      <c r="I1631" s="2" t="str">
        <f>IFERROR(__xludf.DUMMYFUNCTION("""COMPUTED_VALUE"""),"Brick-Panel")</f>
        <v>Brick-Panel</v>
      </c>
      <c r="J1631" s="2" t="str">
        <f>IFERROR(__xludf.DUMMYFUNCTION("""COMPUTED_VALUE"""),"All amenities")</f>
        <v>All amenities</v>
      </c>
      <c r="K1631" s="2">
        <f>IFERROR(__xludf.DUMMYFUNCTION("""COMPUTED_VALUE"""),310.0)</f>
        <v>310</v>
      </c>
      <c r="L1631" s="2">
        <f>IFERROR(__xludf.DUMMYFUNCTION("""COMPUTED_VALUE"""),56.8597884)</f>
        <v>56.8597884</v>
      </c>
      <c r="M1631" s="2">
        <f>IFERROR(__xludf.DUMMYFUNCTION("""COMPUTED_VALUE"""),24.3083417)</f>
        <v>24.3083417</v>
      </c>
    </row>
    <row r="1632">
      <c r="A1632" s="2" t="str">
        <f>IFERROR(__xludf.DUMMYFUNCTION("""COMPUTED_VALUE"""),"For rent")</f>
        <v>For rent</v>
      </c>
      <c r="B1632" s="2" t="str">
        <f>IFERROR(__xludf.DUMMYFUNCTION("""COMPUTED_VALUE"""),"centrs")</f>
        <v>centrs</v>
      </c>
      <c r="C1632" s="2" t="str">
        <f>IFERROR(__xludf.DUMMYFUNCTION("""COMPUTED_VALUE"""),"Mūrnieku 7a")</f>
        <v>Mūrnieku 7a</v>
      </c>
      <c r="D1632" s="2">
        <f>IFERROR(__xludf.DUMMYFUNCTION("""COMPUTED_VALUE"""),1.0)</f>
        <v>1</v>
      </c>
      <c r="E1632" s="2">
        <f>IFERROR(__xludf.DUMMYFUNCTION("""COMPUTED_VALUE"""),13.0)</f>
        <v>13</v>
      </c>
      <c r="F1632" s="2">
        <f>IFERROR(__xludf.DUMMYFUNCTION("""COMPUTED_VALUE"""),1.0)</f>
        <v>1</v>
      </c>
      <c r="G1632" s="2">
        <f>IFERROR(__xludf.DUMMYFUNCTION("""COMPUTED_VALUE"""),1.0)</f>
        <v>1</v>
      </c>
      <c r="H1632" s="2" t="str">
        <f>IFERROR(__xludf.DUMMYFUNCTION("""COMPUTED_VALUE"""),"P. kara")</f>
        <v>P. kara</v>
      </c>
      <c r="I1632" s="2" t="str">
        <f>IFERROR(__xludf.DUMMYFUNCTION("""COMPUTED_VALUE"""),"Masonry")</f>
        <v>Masonry</v>
      </c>
      <c r="J1632" s="2" t="str">
        <f>IFERROR(__xludf.DUMMYFUNCTION("""COMPUTED_VALUE"""),"All amenities")</f>
        <v>All amenities</v>
      </c>
      <c r="K1632" s="2">
        <f>IFERROR(__xludf.DUMMYFUNCTION("""COMPUTED_VALUE"""),135.0)</f>
        <v>135</v>
      </c>
      <c r="L1632" s="2">
        <f>IFERROR(__xludf.DUMMYFUNCTION("""COMPUTED_VALUE"""),56.9532496)</f>
        <v>56.9532496</v>
      </c>
      <c r="M1632" s="2">
        <f>IFERROR(__xludf.DUMMYFUNCTION("""COMPUTED_VALUE"""),24.1470682)</f>
        <v>24.1470682</v>
      </c>
    </row>
    <row r="1633">
      <c r="A1633" s="2" t="str">
        <f>IFERROR(__xludf.DUMMYFUNCTION("""COMPUTED_VALUE"""),"For rent")</f>
        <v>For rent</v>
      </c>
      <c r="B1633" s="2" t="str">
        <f>IFERROR(__xludf.DUMMYFUNCTION("""COMPUTED_VALUE"""),"centrs")</f>
        <v>centrs</v>
      </c>
      <c r="C1633" s="2" t="str">
        <f>IFERROR(__xludf.DUMMYFUNCTION("""COMPUTED_VALUE"""),"Jeruzalemes 5")</f>
        <v>Jeruzalemes 5</v>
      </c>
      <c r="D1633" s="2">
        <f>IFERROR(__xludf.DUMMYFUNCTION("""COMPUTED_VALUE"""),2.0)</f>
        <v>2</v>
      </c>
      <c r="E1633" s="2">
        <f>IFERROR(__xludf.DUMMYFUNCTION("""COMPUTED_VALUE"""),67.0)</f>
        <v>67</v>
      </c>
      <c r="F1633" s="2">
        <f>IFERROR(__xludf.DUMMYFUNCTION("""COMPUTED_VALUE"""),3.0)</f>
        <v>3</v>
      </c>
      <c r="G1633" s="2">
        <f>IFERROR(__xludf.DUMMYFUNCTION("""COMPUTED_VALUE"""),4.0)</f>
        <v>4</v>
      </c>
      <c r="H1633" s="2" t="str">
        <f>IFERROR(__xludf.DUMMYFUNCTION("""COMPUTED_VALUE"""),"Jaun.")</f>
        <v>Jaun.</v>
      </c>
      <c r="I1633" s="2" t="str">
        <f>IFERROR(__xludf.DUMMYFUNCTION("""COMPUTED_VALUE"""),"Panel-Brick")</f>
        <v>Panel-Brick</v>
      </c>
      <c r="J1633" s="2" t="str">
        <f>IFERROR(__xludf.DUMMYFUNCTION("""COMPUTED_VALUE"""),"All amenities")</f>
        <v>All amenities</v>
      </c>
      <c r="K1633" s="2">
        <f>IFERROR(__xludf.DUMMYFUNCTION("""COMPUTED_VALUE"""),70.0)</f>
        <v>70</v>
      </c>
      <c r="L1633" s="2">
        <f>IFERROR(__xludf.DUMMYFUNCTION("""COMPUTED_VALUE"""),56.9579333)</f>
        <v>56.9579333</v>
      </c>
      <c r="M1633" s="2">
        <f>IFERROR(__xludf.DUMMYFUNCTION("""COMPUTED_VALUE"""),24.113967)</f>
        <v>24.113967</v>
      </c>
    </row>
    <row r="1634">
      <c r="A1634" s="2" t="str">
        <f>IFERROR(__xludf.DUMMYFUNCTION("""COMPUTED_VALUE"""),"For sale")</f>
        <v>For sale</v>
      </c>
      <c r="B1634" s="2" t="str">
        <f>IFERROR(__xludf.DUMMYFUNCTION("""COMPUTED_VALUE"""),"Jugla")</f>
        <v>Jugla</v>
      </c>
      <c r="C1634" s="2" t="str">
        <f>IFERROR(__xludf.DUMMYFUNCTION("""COMPUTED_VALUE"""),"Malienas 70")</f>
        <v>Malienas 70</v>
      </c>
      <c r="D1634" s="2">
        <f>IFERROR(__xludf.DUMMYFUNCTION("""COMPUTED_VALUE"""),3.0)</f>
        <v>3</v>
      </c>
      <c r="E1634" s="2">
        <f>IFERROR(__xludf.DUMMYFUNCTION("""COMPUTED_VALUE"""),60.0)</f>
        <v>60</v>
      </c>
      <c r="F1634" s="2">
        <f>IFERROR(__xludf.DUMMYFUNCTION("""COMPUTED_VALUE"""),5.0)</f>
        <v>5</v>
      </c>
      <c r="G1634" s="2">
        <f>IFERROR(__xludf.DUMMYFUNCTION("""COMPUTED_VALUE"""),5.0)</f>
        <v>5</v>
      </c>
      <c r="H1634" s="2" t="str">
        <f>IFERROR(__xludf.DUMMYFUNCTION("""COMPUTED_VALUE"""),"LT proj.")</f>
        <v>LT proj.</v>
      </c>
      <c r="I1634" s="2" t="str">
        <f>IFERROR(__xludf.DUMMYFUNCTION("""COMPUTED_VALUE"""),"Panel")</f>
        <v>Panel</v>
      </c>
      <c r="J1634" s="2" t="str">
        <f>IFERROR(__xludf.DUMMYFUNCTION("""COMPUTED_VALUE"""),"All amenities")</f>
        <v>All amenities</v>
      </c>
      <c r="K1634" s="2">
        <f>IFERROR(__xludf.DUMMYFUNCTION("""COMPUTED_VALUE"""),47000.0)</f>
        <v>47000</v>
      </c>
      <c r="L1634" s="2">
        <f>IFERROR(__xludf.DUMMYFUNCTION("""COMPUTED_VALUE"""),56.97543855)</f>
        <v>56.97543855</v>
      </c>
      <c r="M1634" s="2">
        <f>IFERROR(__xludf.DUMMYFUNCTION("""COMPUTED_VALUE"""),24.2503196302299)</f>
        <v>24.25031963</v>
      </c>
    </row>
    <row r="1635">
      <c r="A1635" s="2" t="str">
        <f>IFERROR(__xludf.DUMMYFUNCTION("""COMPUTED_VALUE"""),"For rent")</f>
        <v>For rent</v>
      </c>
      <c r="B1635" s="2" t="str">
        <f>IFERROR(__xludf.DUMMYFUNCTION("""COMPUTED_VALUE"""),"Iļģuciems")</f>
        <v>Iļģuciems</v>
      </c>
      <c r="C1635" s="2" t="str">
        <f>IFERROR(__xludf.DUMMYFUNCTION("""COMPUTED_VALUE"""),"Daugavgrīvas 132/1")</f>
        <v>Daugavgrīvas 132/1</v>
      </c>
      <c r="D1635" s="2">
        <f>IFERROR(__xludf.DUMMYFUNCTION("""COMPUTED_VALUE"""),1.0)</f>
        <v>1</v>
      </c>
      <c r="E1635" s="2">
        <f>IFERROR(__xludf.DUMMYFUNCTION("""COMPUTED_VALUE"""),15.0)</f>
        <v>15</v>
      </c>
      <c r="F1635" s="2">
        <f>IFERROR(__xludf.DUMMYFUNCTION("""COMPUTED_VALUE"""),3.0)</f>
        <v>3</v>
      </c>
      <c r="G1635" s="2">
        <f>IFERROR(__xludf.DUMMYFUNCTION("""COMPUTED_VALUE"""),4.0)</f>
        <v>4</v>
      </c>
      <c r="H1635" s="2" t="str">
        <f>IFERROR(__xludf.DUMMYFUNCTION("""COMPUTED_VALUE"""),"Staļina")</f>
        <v>Staļina</v>
      </c>
      <c r="I1635" s="2" t="str">
        <f>IFERROR(__xludf.DUMMYFUNCTION("""COMPUTED_VALUE"""),"Brick")</f>
        <v>Brick</v>
      </c>
      <c r="J1635" s="2" t="str">
        <f>IFERROR(__xludf.DUMMYFUNCTION("""COMPUTED_VALUE"""),"All amenities")</f>
        <v>All amenities</v>
      </c>
      <c r="K1635" s="2">
        <f>IFERROR(__xludf.DUMMYFUNCTION("""COMPUTED_VALUE"""),150.0)</f>
        <v>150</v>
      </c>
      <c r="L1635" s="2">
        <f>IFERROR(__xludf.DUMMYFUNCTION("""COMPUTED_VALUE"""),57.0164335)</f>
        <v>57.0164335</v>
      </c>
      <c r="M1635" s="2">
        <f>IFERROR(__xludf.DUMMYFUNCTION("""COMPUTED_VALUE"""),24.0628649)</f>
        <v>24.0628649</v>
      </c>
    </row>
    <row r="1636">
      <c r="A1636" s="2" t="str">
        <f>IFERROR(__xludf.DUMMYFUNCTION("""COMPUTED_VALUE"""),"For sale")</f>
        <v>For sale</v>
      </c>
      <c r="B1636" s="2" t="str">
        <f>IFERROR(__xludf.DUMMYFUNCTION("""COMPUTED_VALUE"""),"Vecmīlgrāvis")</f>
        <v>Vecmīlgrāvis</v>
      </c>
      <c r="C1636" s="2" t="str">
        <f>IFERROR(__xludf.DUMMYFUNCTION("""COMPUTED_VALUE"""),"Melīdas 1")</f>
        <v>Melīdas 1</v>
      </c>
      <c r="D1636" s="2">
        <f>IFERROR(__xludf.DUMMYFUNCTION("""COMPUTED_VALUE"""),1.0)</f>
        <v>1</v>
      </c>
      <c r="E1636" s="2">
        <f>IFERROR(__xludf.DUMMYFUNCTION("""COMPUTED_VALUE"""),43.0)</f>
        <v>43</v>
      </c>
      <c r="F1636" s="2">
        <f>IFERROR(__xludf.DUMMYFUNCTION("""COMPUTED_VALUE"""),2.0)</f>
        <v>2</v>
      </c>
      <c r="G1636" s="2">
        <f>IFERROR(__xludf.DUMMYFUNCTION("""COMPUTED_VALUE"""),5.0)</f>
        <v>5</v>
      </c>
      <c r="H1636" s="2" t="str">
        <f>IFERROR(__xludf.DUMMYFUNCTION("""COMPUTED_VALUE"""),"M. ģim.")</f>
        <v>M. ģim.</v>
      </c>
      <c r="I1636" s="2" t="str">
        <f>IFERROR(__xludf.DUMMYFUNCTION("""COMPUTED_VALUE"""),"Brick-Panel")</f>
        <v>Brick-Panel</v>
      </c>
      <c r="J1636" s="2" t="str">
        <f>IFERROR(__xludf.DUMMYFUNCTION("""COMPUTED_VALUE"""),"All amenities")</f>
        <v>All amenities</v>
      </c>
      <c r="K1636" s="2">
        <f>IFERROR(__xludf.DUMMYFUNCTION("""COMPUTED_VALUE"""),28000.0)</f>
        <v>28000</v>
      </c>
      <c r="L1636" s="2">
        <f>IFERROR(__xludf.DUMMYFUNCTION("""COMPUTED_VALUE"""),57.02967645)</f>
        <v>57.02967645</v>
      </c>
      <c r="M1636" s="2">
        <f>IFERROR(__xludf.DUMMYFUNCTION("""COMPUTED_VALUE"""),24.1054302151979)</f>
        <v>24.10543022</v>
      </c>
    </row>
    <row r="1637">
      <c r="A1637" s="2" t="str">
        <f>IFERROR(__xludf.DUMMYFUNCTION("""COMPUTED_VALUE"""),"For sale")</f>
        <v>For sale</v>
      </c>
      <c r="B1637" s="2" t="str">
        <f>IFERROR(__xludf.DUMMYFUNCTION("""COMPUTED_VALUE"""),"Vecmīlgrāvis")</f>
        <v>Vecmīlgrāvis</v>
      </c>
      <c r="C1637" s="2" t="str">
        <f>IFERROR(__xludf.DUMMYFUNCTION("""COMPUTED_VALUE"""),"Melīdas 1")</f>
        <v>Melīdas 1</v>
      </c>
      <c r="D1637" s="2">
        <f>IFERROR(__xludf.DUMMYFUNCTION("""COMPUTED_VALUE"""),1.0)</f>
        <v>1</v>
      </c>
      <c r="E1637" s="2">
        <f>IFERROR(__xludf.DUMMYFUNCTION("""COMPUTED_VALUE"""),43.0)</f>
        <v>43</v>
      </c>
      <c r="F1637" s="2">
        <f>IFERROR(__xludf.DUMMYFUNCTION("""COMPUTED_VALUE"""),5.0)</f>
        <v>5</v>
      </c>
      <c r="G1637" s="2">
        <f>IFERROR(__xludf.DUMMYFUNCTION("""COMPUTED_VALUE"""),5.0)</f>
        <v>5</v>
      </c>
      <c r="H1637" s="2" t="str">
        <f>IFERROR(__xludf.DUMMYFUNCTION("""COMPUTED_VALUE"""),"M. ģim.")</f>
        <v>M. ģim.</v>
      </c>
      <c r="I1637" s="2" t="str">
        <f>IFERROR(__xludf.DUMMYFUNCTION("""COMPUTED_VALUE"""),"Panel-Brick")</f>
        <v>Panel-Brick</v>
      </c>
      <c r="J1637" s="2" t="str">
        <f>IFERROR(__xludf.DUMMYFUNCTION("""COMPUTED_VALUE"""),"All amenities")</f>
        <v>All amenities</v>
      </c>
      <c r="K1637" s="2">
        <f>IFERROR(__xludf.DUMMYFUNCTION("""COMPUTED_VALUE"""),26000.0)</f>
        <v>26000</v>
      </c>
      <c r="L1637" s="2">
        <f>IFERROR(__xludf.DUMMYFUNCTION("""COMPUTED_VALUE"""),57.02967645)</f>
        <v>57.02967645</v>
      </c>
      <c r="M1637" s="2">
        <f>IFERROR(__xludf.DUMMYFUNCTION("""COMPUTED_VALUE"""),24.1054302151979)</f>
        <v>24.10543022</v>
      </c>
    </row>
    <row r="1638">
      <c r="A1638" s="2" t="str">
        <f>IFERROR(__xludf.DUMMYFUNCTION("""COMPUTED_VALUE"""),"For sale")</f>
        <v>For sale</v>
      </c>
      <c r="B1638" s="2" t="str">
        <f>IFERROR(__xludf.DUMMYFUNCTION("""COMPUTED_VALUE"""),"centrs")</f>
        <v>centrs</v>
      </c>
      <c r="C1638" s="2" t="str">
        <f>IFERROR(__xludf.DUMMYFUNCTION("""COMPUTED_VALUE"""),"Tērbatas 33")</f>
        <v>Tērbatas 33</v>
      </c>
      <c r="D1638" s="2">
        <f>IFERROR(__xludf.DUMMYFUNCTION("""COMPUTED_VALUE"""),3.0)</f>
        <v>3</v>
      </c>
      <c r="E1638" s="2">
        <f>IFERROR(__xludf.DUMMYFUNCTION("""COMPUTED_VALUE"""),56.6)</f>
        <v>56.6</v>
      </c>
      <c r="F1638" s="2">
        <f>IFERROR(__xludf.DUMMYFUNCTION("""COMPUTED_VALUE"""),2.0)</f>
        <v>2</v>
      </c>
      <c r="G1638" s="2">
        <f>IFERROR(__xludf.DUMMYFUNCTION("""COMPUTED_VALUE"""),6.0)</f>
        <v>6</v>
      </c>
      <c r="H1638" s="2" t="str">
        <f>IFERROR(__xludf.DUMMYFUNCTION("""COMPUTED_VALUE"""),"P. kara")</f>
        <v>P. kara</v>
      </c>
      <c r="I1638" s="2" t="str">
        <f>IFERROR(__xludf.DUMMYFUNCTION("""COMPUTED_VALUE"""),"Masonry")</f>
        <v>Masonry</v>
      </c>
      <c r="J1638" s="2" t="str">
        <f>IFERROR(__xludf.DUMMYFUNCTION("""COMPUTED_VALUE"""),"All amenities")</f>
        <v>All amenities</v>
      </c>
      <c r="K1638" s="2">
        <f>IFERROR(__xludf.DUMMYFUNCTION("""COMPUTED_VALUE"""),130180.0)</f>
        <v>130180</v>
      </c>
      <c r="L1638" s="2">
        <f>IFERROR(__xludf.DUMMYFUNCTION("""COMPUTED_VALUE"""),56.9554229)</f>
        <v>56.9554229</v>
      </c>
      <c r="M1638" s="2">
        <f>IFERROR(__xludf.DUMMYFUNCTION("""COMPUTED_VALUE"""),24.1240481)</f>
        <v>24.1240481</v>
      </c>
    </row>
    <row r="1639">
      <c r="A1639" s="2" t="str">
        <f>IFERROR(__xludf.DUMMYFUNCTION("""COMPUTED_VALUE"""),"For rent")</f>
        <v>For rent</v>
      </c>
      <c r="B1639" s="2" t="str">
        <f>IFERROR(__xludf.DUMMYFUNCTION("""COMPUTED_VALUE"""),"centrs")</f>
        <v>centrs</v>
      </c>
      <c r="C1639" s="2" t="str">
        <f>IFERROR(__xludf.DUMMYFUNCTION("""COMPUTED_VALUE"""),"Zaubes 1")</f>
        <v>Zaubes 1</v>
      </c>
      <c r="D1639" s="2">
        <f>IFERROR(__xludf.DUMMYFUNCTION("""COMPUTED_VALUE"""),3.0)</f>
        <v>3</v>
      </c>
      <c r="E1639" s="2">
        <f>IFERROR(__xludf.DUMMYFUNCTION("""COMPUTED_VALUE"""),90.0)</f>
        <v>90</v>
      </c>
      <c r="F1639" s="2">
        <f>IFERROR(__xludf.DUMMYFUNCTION("""COMPUTED_VALUE"""),1.0)</f>
        <v>1</v>
      </c>
      <c r="G1639" s="2">
        <f>IFERROR(__xludf.DUMMYFUNCTION("""COMPUTED_VALUE"""),5.0)</f>
        <v>5</v>
      </c>
      <c r="H1639" s="2" t="str">
        <f>IFERROR(__xludf.DUMMYFUNCTION("""COMPUTED_VALUE"""),"P. kara")</f>
        <v>P. kara</v>
      </c>
      <c r="I1639" s="2" t="str">
        <f>IFERROR(__xludf.DUMMYFUNCTION("""COMPUTED_VALUE"""),"Masonry")</f>
        <v>Masonry</v>
      </c>
      <c r="J1639" s="2" t="str">
        <f>IFERROR(__xludf.DUMMYFUNCTION("""COMPUTED_VALUE"""),"All amenities")</f>
        <v>All amenities</v>
      </c>
      <c r="K1639" s="2">
        <f>IFERROR(__xludf.DUMMYFUNCTION("""COMPUTED_VALUE"""),500.0)</f>
        <v>500</v>
      </c>
      <c r="L1639" s="2">
        <f>IFERROR(__xludf.DUMMYFUNCTION("""COMPUTED_VALUE"""),56.9627744)</f>
        <v>56.9627744</v>
      </c>
      <c r="M1639" s="2">
        <f>IFERROR(__xludf.DUMMYFUNCTION("""COMPUTED_VALUE"""),24.1230397822419)</f>
        <v>24.12303978</v>
      </c>
    </row>
    <row r="1640">
      <c r="A1640" s="2" t="str">
        <f>IFERROR(__xludf.DUMMYFUNCTION("""COMPUTED_VALUE"""),"For sale")</f>
        <v>For sale</v>
      </c>
      <c r="B1640" s="2" t="str">
        <f>IFERROR(__xludf.DUMMYFUNCTION("""COMPUTED_VALUE"""),"centrs")</f>
        <v>centrs</v>
      </c>
      <c r="C1640" s="2" t="str">
        <f>IFERROR(__xludf.DUMMYFUNCTION("""COMPUTED_VALUE"""),"Stabu 100")</f>
        <v>Stabu 100</v>
      </c>
      <c r="D1640" s="2">
        <f>IFERROR(__xludf.DUMMYFUNCTION("""COMPUTED_VALUE"""),3.0)</f>
        <v>3</v>
      </c>
      <c r="E1640" s="2">
        <f>IFERROR(__xludf.DUMMYFUNCTION("""COMPUTED_VALUE"""),81.0)</f>
        <v>81</v>
      </c>
      <c r="F1640" s="2">
        <f>IFERROR(__xludf.DUMMYFUNCTION("""COMPUTED_VALUE"""),5.0)</f>
        <v>5</v>
      </c>
      <c r="G1640" s="2">
        <f>IFERROR(__xludf.DUMMYFUNCTION("""COMPUTED_VALUE"""),7.0)</f>
        <v>7</v>
      </c>
      <c r="H1640" s="2" t="str">
        <f>IFERROR(__xludf.DUMMYFUNCTION("""COMPUTED_VALUE"""),"Jaun.")</f>
        <v>Jaun.</v>
      </c>
      <c r="I1640" s="2" t="str">
        <f>IFERROR(__xludf.DUMMYFUNCTION("""COMPUTED_VALUE"""),"Masonry")</f>
        <v>Masonry</v>
      </c>
      <c r="J1640" s="2" t="str">
        <f>IFERROR(__xludf.DUMMYFUNCTION("""COMPUTED_VALUE"""),"All amenities")</f>
        <v>All amenities</v>
      </c>
      <c r="K1640" s="2">
        <f>IFERROR(__xludf.DUMMYFUNCTION("""COMPUTED_VALUE"""),199000.0)</f>
        <v>199000</v>
      </c>
      <c r="L1640" s="2">
        <f>IFERROR(__xludf.DUMMYFUNCTION("""COMPUTED_VALUE"""),56.9484721)</f>
        <v>56.9484721</v>
      </c>
      <c r="M1640" s="2">
        <f>IFERROR(__xludf.DUMMYFUNCTION("""COMPUTED_VALUE"""),24.1446057)</f>
        <v>24.1446057</v>
      </c>
    </row>
    <row r="1641">
      <c r="A1641" s="2" t="str">
        <f>IFERROR(__xludf.DUMMYFUNCTION("""COMPUTED_VALUE"""),"For sale")</f>
        <v>For sale</v>
      </c>
      <c r="B1641" s="2" t="str">
        <f>IFERROR(__xludf.DUMMYFUNCTION("""COMPUTED_VALUE"""),"centrs")</f>
        <v>centrs</v>
      </c>
      <c r="C1641" s="2" t="str">
        <f>IFERROR(__xludf.DUMMYFUNCTION("""COMPUTED_VALUE"""),"Tērbatas 97")</f>
        <v>Tērbatas 97</v>
      </c>
      <c r="D1641" s="2">
        <f>IFERROR(__xludf.DUMMYFUNCTION("""COMPUTED_VALUE"""),3.0)</f>
        <v>3</v>
      </c>
      <c r="E1641" s="2">
        <f>IFERROR(__xludf.DUMMYFUNCTION("""COMPUTED_VALUE"""),94.0)</f>
        <v>94</v>
      </c>
      <c r="F1641" s="2">
        <f>IFERROR(__xludf.DUMMYFUNCTION("""COMPUTED_VALUE"""),5.0)</f>
        <v>5</v>
      </c>
      <c r="G1641" s="2">
        <f>IFERROR(__xludf.DUMMYFUNCTION("""COMPUTED_VALUE"""),5.0)</f>
        <v>5</v>
      </c>
      <c r="H1641" s="2" t="str">
        <f>IFERROR(__xludf.DUMMYFUNCTION("""COMPUTED_VALUE"""),"P. kara")</f>
        <v>P. kara</v>
      </c>
      <c r="I1641" s="2" t="str">
        <f>IFERROR(__xludf.DUMMYFUNCTION("""COMPUTED_VALUE"""),"Masonry")</f>
        <v>Masonry</v>
      </c>
      <c r="J1641" s="2" t="str">
        <f>IFERROR(__xludf.DUMMYFUNCTION("""COMPUTED_VALUE"""),"All amenities")</f>
        <v>All amenities</v>
      </c>
      <c r="K1641" s="2">
        <f>IFERROR(__xludf.DUMMYFUNCTION("""COMPUTED_VALUE"""),169900.0)</f>
        <v>169900</v>
      </c>
      <c r="L1641" s="2">
        <f>IFERROR(__xludf.DUMMYFUNCTION("""COMPUTED_VALUE"""),56.9561495)</f>
        <v>56.9561495</v>
      </c>
      <c r="M1641" s="2">
        <f>IFERROR(__xludf.DUMMYFUNCTION("""COMPUTED_VALUE"""),24.1264378)</f>
        <v>24.1264378</v>
      </c>
    </row>
    <row r="1642">
      <c r="A1642" s="2" t="str">
        <f>IFERROR(__xludf.DUMMYFUNCTION("""COMPUTED_VALUE"""),"For sale")</f>
        <v>For sale</v>
      </c>
      <c r="B1642" s="2" t="str">
        <f>IFERROR(__xludf.DUMMYFUNCTION("""COMPUTED_VALUE"""),"Ķengarags")</f>
        <v>Ķengarags</v>
      </c>
      <c r="C1642" s="2" t="str">
        <f>IFERROR(__xludf.DUMMYFUNCTION("""COMPUTED_VALUE"""),"Lokomotīves 80")</f>
        <v>Lokomotīves 80</v>
      </c>
      <c r="D1642" s="2">
        <f>IFERROR(__xludf.DUMMYFUNCTION("""COMPUTED_VALUE"""),3.0)</f>
        <v>3</v>
      </c>
      <c r="E1642" s="2">
        <f>IFERROR(__xludf.DUMMYFUNCTION("""COMPUTED_VALUE"""),61.0)</f>
        <v>61</v>
      </c>
      <c r="F1642" s="2">
        <f>IFERROR(__xludf.DUMMYFUNCTION("""COMPUTED_VALUE"""),2.0)</f>
        <v>2</v>
      </c>
      <c r="G1642" s="2">
        <f>IFERROR(__xludf.DUMMYFUNCTION("""COMPUTED_VALUE"""),5.0)</f>
        <v>5</v>
      </c>
      <c r="H1642" s="2" t="str">
        <f>IFERROR(__xludf.DUMMYFUNCTION("""COMPUTED_VALUE"""),"LT proj.")</f>
        <v>LT proj.</v>
      </c>
      <c r="I1642" s="2" t="str">
        <f>IFERROR(__xludf.DUMMYFUNCTION("""COMPUTED_VALUE"""),"Panel")</f>
        <v>Panel</v>
      </c>
      <c r="J1642" s="2" t="str">
        <f>IFERROR(__xludf.DUMMYFUNCTION("""COMPUTED_VALUE"""),"All amenities")</f>
        <v>All amenities</v>
      </c>
      <c r="K1642" s="2">
        <f>IFERROR(__xludf.DUMMYFUNCTION("""COMPUTED_VALUE"""),55000.0)</f>
        <v>55000</v>
      </c>
      <c r="L1642" s="2">
        <f>IFERROR(__xludf.DUMMYFUNCTION("""COMPUTED_VALUE"""),56.9026121499999)</f>
        <v>56.90261215</v>
      </c>
      <c r="M1642" s="2">
        <f>IFERROR(__xludf.DUMMYFUNCTION("""COMPUTED_VALUE"""),24.2121214389937)</f>
        <v>24.21212144</v>
      </c>
    </row>
    <row r="1643">
      <c r="A1643" s="2" t="str">
        <f>IFERROR(__xludf.DUMMYFUNCTION("""COMPUTED_VALUE"""),"For rent")</f>
        <v>For rent</v>
      </c>
      <c r="B1643" s="2" t="str">
        <f>IFERROR(__xludf.DUMMYFUNCTION("""COMPUTED_VALUE"""),"Āgenskalns")</f>
        <v>Āgenskalns</v>
      </c>
      <c r="C1643" s="2" t="str">
        <f>IFERROR(__xludf.DUMMYFUNCTION("""COMPUTED_VALUE"""),"Ventspils 65a")</f>
        <v>Ventspils 65a</v>
      </c>
      <c r="D1643" s="2">
        <f>IFERROR(__xludf.DUMMYFUNCTION("""COMPUTED_VALUE"""),1.0)</f>
        <v>1</v>
      </c>
      <c r="E1643" s="2">
        <f>IFERROR(__xludf.DUMMYFUNCTION("""COMPUTED_VALUE"""),36.0)</f>
        <v>36</v>
      </c>
      <c r="F1643" s="2">
        <f>IFERROR(__xludf.DUMMYFUNCTION("""COMPUTED_VALUE"""),2.0)</f>
        <v>2</v>
      </c>
      <c r="G1643" s="2">
        <f>IFERROR(__xludf.DUMMYFUNCTION("""COMPUTED_VALUE"""),3.0)</f>
        <v>3</v>
      </c>
      <c r="H1643" s="2" t="str">
        <f>IFERROR(__xludf.DUMMYFUNCTION("""COMPUTED_VALUE"""),"Renov.")</f>
        <v>Renov.</v>
      </c>
      <c r="I1643" s="2" t="str">
        <f>IFERROR(__xludf.DUMMYFUNCTION("""COMPUTED_VALUE"""),"Brick-Panel")</f>
        <v>Brick-Panel</v>
      </c>
      <c r="J1643" s="2" t="str">
        <f>IFERROR(__xludf.DUMMYFUNCTION("""COMPUTED_VALUE"""),"All amenities")</f>
        <v>All amenities</v>
      </c>
      <c r="K1643" s="2">
        <f>IFERROR(__xludf.DUMMYFUNCTION("""COMPUTED_VALUE"""),35.0)</f>
        <v>35</v>
      </c>
      <c r="L1643" s="2">
        <f>IFERROR(__xludf.DUMMYFUNCTION("""COMPUTED_VALUE"""),56.9355136)</f>
        <v>56.9355136</v>
      </c>
      <c r="M1643" s="2">
        <f>IFERROR(__xludf.DUMMYFUNCTION("""COMPUTED_VALUE"""),24.0425072)</f>
        <v>24.0425072</v>
      </c>
    </row>
    <row r="1644">
      <c r="A1644" s="2" t="str">
        <f>IFERROR(__xludf.DUMMYFUNCTION("""COMPUTED_VALUE"""),"For sale")</f>
        <v>For sale</v>
      </c>
      <c r="B1644" s="2" t="str">
        <f>IFERROR(__xludf.DUMMYFUNCTION("""COMPUTED_VALUE"""),"Vecmīlgrāvis")</f>
        <v>Vecmīlgrāvis</v>
      </c>
      <c r="C1644" s="2" t="str">
        <f>IFERROR(__xludf.DUMMYFUNCTION("""COMPUTED_VALUE"""),"Atlantijas 30")</f>
        <v>Atlantijas 30</v>
      </c>
      <c r="D1644" s="2">
        <f>IFERROR(__xludf.DUMMYFUNCTION("""COMPUTED_VALUE"""),1.0)</f>
        <v>1</v>
      </c>
      <c r="E1644" s="2">
        <f>IFERROR(__xludf.DUMMYFUNCTION("""COMPUTED_VALUE"""),30.0)</f>
        <v>30</v>
      </c>
      <c r="F1644" s="2">
        <f>IFERROR(__xludf.DUMMYFUNCTION("""COMPUTED_VALUE"""),4.0)</f>
        <v>4</v>
      </c>
      <c r="G1644" s="2">
        <f>IFERROR(__xludf.DUMMYFUNCTION("""COMPUTED_VALUE"""),4.0)</f>
        <v>4</v>
      </c>
      <c r="H1644" s="2" t="str">
        <f>IFERROR(__xludf.DUMMYFUNCTION("""COMPUTED_VALUE"""),"Specpr.")</f>
        <v>Specpr.</v>
      </c>
      <c r="I1644" s="2" t="str">
        <f>IFERROR(__xludf.DUMMYFUNCTION("""COMPUTED_VALUE"""),"Panel")</f>
        <v>Panel</v>
      </c>
      <c r="J1644" s="2" t="str">
        <f>IFERROR(__xludf.DUMMYFUNCTION("""COMPUTED_VALUE"""),"All amenities")</f>
        <v>All amenities</v>
      </c>
      <c r="K1644" s="2">
        <f>IFERROR(__xludf.DUMMYFUNCTION("""COMPUTED_VALUE"""),26500.0)</f>
        <v>26500</v>
      </c>
      <c r="L1644" s="2">
        <f>IFERROR(__xludf.DUMMYFUNCTION("""COMPUTED_VALUE"""),57.044461)</f>
        <v>57.044461</v>
      </c>
      <c r="M1644" s="2">
        <f>IFERROR(__xludf.DUMMYFUNCTION("""COMPUTED_VALUE"""),24.0924973827027)</f>
        <v>24.09249738</v>
      </c>
    </row>
    <row r="1645">
      <c r="A1645" s="2" t="str">
        <f>IFERROR(__xludf.DUMMYFUNCTION("""COMPUTED_VALUE"""),"For sale")</f>
        <v>For sale</v>
      </c>
      <c r="B1645" s="2" t="str">
        <f>IFERROR(__xludf.DUMMYFUNCTION("""COMPUTED_VALUE"""),"Imanta")</f>
        <v>Imanta</v>
      </c>
      <c r="C1645" s="2" t="str">
        <f>IFERROR(__xludf.DUMMYFUNCTION("""COMPUTED_VALUE"""),"Kurzemes pr. 48")</f>
        <v>Kurzemes pr. 48</v>
      </c>
      <c r="D1645" s="2">
        <f>IFERROR(__xludf.DUMMYFUNCTION("""COMPUTED_VALUE"""),2.0)</f>
        <v>2</v>
      </c>
      <c r="E1645" s="2">
        <f>IFERROR(__xludf.DUMMYFUNCTION("""COMPUTED_VALUE"""),50.0)</f>
        <v>50</v>
      </c>
      <c r="F1645" s="2">
        <f>IFERROR(__xludf.DUMMYFUNCTION("""COMPUTED_VALUE"""),5.0)</f>
        <v>5</v>
      </c>
      <c r="G1645" s="2">
        <f>IFERROR(__xludf.DUMMYFUNCTION("""COMPUTED_VALUE"""),5.0)</f>
        <v>5</v>
      </c>
      <c r="H1645" s="2" t="str">
        <f>IFERROR(__xludf.DUMMYFUNCTION("""COMPUTED_VALUE"""),"LT proj.")</f>
        <v>LT proj.</v>
      </c>
      <c r="I1645" s="2" t="str">
        <f>IFERROR(__xludf.DUMMYFUNCTION("""COMPUTED_VALUE"""),"Panel")</f>
        <v>Panel</v>
      </c>
      <c r="J1645" s="2" t="str">
        <f>IFERROR(__xludf.DUMMYFUNCTION("""COMPUTED_VALUE"""),"All amenities")</f>
        <v>All amenities</v>
      </c>
      <c r="K1645" s="2">
        <f>IFERROR(__xludf.DUMMYFUNCTION("""COMPUTED_VALUE"""),43400.0)</f>
        <v>43400</v>
      </c>
      <c r="L1645" s="2" t="str">
        <f>IFERROR(__xludf.DUMMYFUNCTION("""COMPUTED_VALUE"""),"NaN")</f>
        <v>NaN</v>
      </c>
      <c r="M1645" s="2" t="str">
        <f>IFERROR(__xludf.DUMMYFUNCTION("""COMPUTED_VALUE"""),"NaN")</f>
        <v>NaN</v>
      </c>
    </row>
    <row r="1646">
      <c r="A1646" s="2" t="str">
        <f>IFERROR(__xludf.DUMMYFUNCTION("""COMPUTED_VALUE"""),"For sale")</f>
        <v>For sale</v>
      </c>
      <c r="B1646" s="2" t="str">
        <f>IFERROR(__xludf.DUMMYFUNCTION("""COMPUTED_VALUE"""),"centrs")</f>
        <v>centrs</v>
      </c>
      <c r="C1646" s="2" t="str">
        <f>IFERROR(__xludf.DUMMYFUNCTION("""COMPUTED_VALUE"""),"Pulkv. Brieža 19/1")</f>
        <v>Pulkv. Brieža 19/1</v>
      </c>
      <c r="D1646" s="2">
        <f>IFERROR(__xludf.DUMMYFUNCTION("""COMPUTED_VALUE"""),2.0)</f>
        <v>2</v>
      </c>
      <c r="E1646" s="2">
        <f>IFERROR(__xludf.DUMMYFUNCTION("""COMPUTED_VALUE"""),63.0)</f>
        <v>63</v>
      </c>
      <c r="F1646" s="2">
        <f>IFERROR(__xludf.DUMMYFUNCTION("""COMPUTED_VALUE"""),1.0)</f>
        <v>1</v>
      </c>
      <c r="G1646" s="2">
        <f>IFERROR(__xludf.DUMMYFUNCTION("""COMPUTED_VALUE"""),4.0)</f>
        <v>4</v>
      </c>
      <c r="H1646" s="2" t="str">
        <f>IFERROR(__xludf.DUMMYFUNCTION("""COMPUTED_VALUE"""),"Renov.")</f>
        <v>Renov.</v>
      </c>
      <c r="I1646" s="2" t="str">
        <f>IFERROR(__xludf.DUMMYFUNCTION("""COMPUTED_VALUE"""),"Masonry")</f>
        <v>Masonry</v>
      </c>
      <c r="J1646" s="2" t="str">
        <f>IFERROR(__xludf.DUMMYFUNCTION("""COMPUTED_VALUE"""),"All amenities")</f>
        <v>All amenities</v>
      </c>
      <c r="K1646" s="2">
        <f>IFERROR(__xludf.DUMMYFUNCTION("""COMPUTED_VALUE"""),140000.0)</f>
        <v>140000</v>
      </c>
      <c r="L1646" s="2" t="str">
        <f>IFERROR(__xludf.DUMMYFUNCTION("""COMPUTED_VALUE"""),"NaN")</f>
        <v>NaN</v>
      </c>
      <c r="M1646" s="2" t="str">
        <f>IFERROR(__xludf.DUMMYFUNCTION("""COMPUTED_VALUE"""),"NaN")</f>
        <v>NaN</v>
      </c>
    </row>
    <row r="1647">
      <c r="A1647" s="2" t="str">
        <f>IFERROR(__xludf.DUMMYFUNCTION("""COMPUTED_VALUE"""),"For sale")</f>
        <v>For sale</v>
      </c>
      <c r="B1647" s="2" t="str">
        <f>IFERROR(__xludf.DUMMYFUNCTION("""COMPUTED_VALUE"""),"Purvciems")</f>
        <v>Purvciems</v>
      </c>
      <c r="C1647" s="2" t="str">
        <f>IFERROR(__xludf.DUMMYFUNCTION("""COMPUTED_VALUE"""),"Pūces 12")</f>
        <v>Pūces 12</v>
      </c>
      <c r="D1647" s="2">
        <f>IFERROR(__xludf.DUMMYFUNCTION("""COMPUTED_VALUE"""),2.0)</f>
        <v>2</v>
      </c>
      <c r="E1647" s="2">
        <f>IFERROR(__xludf.DUMMYFUNCTION("""COMPUTED_VALUE"""),48.0)</f>
        <v>48</v>
      </c>
      <c r="F1647" s="2">
        <f>IFERROR(__xludf.DUMMYFUNCTION("""COMPUTED_VALUE"""),1.0)</f>
        <v>1</v>
      </c>
      <c r="G1647" s="2">
        <f>IFERROR(__xludf.DUMMYFUNCTION("""COMPUTED_VALUE"""),2.0)</f>
        <v>2</v>
      </c>
      <c r="H1647" s="2" t="str">
        <f>IFERROR(__xludf.DUMMYFUNCTION("""COMPUTED_VALUE"""),"Staļina")</f>
        <v>Staļina</v>
      </c>
      <c r="I1647" s="2" t="str">
        <f>IFERROR(__xludf.DUMMYFUNCTION("""COMPUTED_VALUE"""),"Masonry")</f>
        <v>Masonry</v>
      </c>
      <c r="J1647" s="2" t="str">
        <f>IFERROR(__xludf.DUMMYFUNCTION("""COMPUTED_VALUE"""),"All amenities")</f>
        <v>All amenities</v>
      </c>
      <c r="K1647" s="2">
        <f>IFERROR(__xludf.DUMMYFUNCTION("""COMPUTED_VALUE"""),53000.0)</f>
        <v>53000</v>
      </c>
      <c r="L1647" s="2">
        <f>IFERROR(__xludf.DUMMYFUNCTION("""COMPUTED_VALUE"""),56.95578965)</f>
        <v>56.95578965</v>
      </c>
      <c r="M1647" s="2">
        <f>IFERROR(__xludf.DUMMYFUNCTION("""COMPUTED_VALUE"""),24.1841924)</f>
        <v>24.1841924</v>
      </c>
    </row>
    <row r="1648">
      <c r="A1648" s="2" t="str">
        <f>IFERROR(__xludf.DUMMYFUNCTION("""COMPUTED_VALUE"""),"For sale")</f>
        <v>For sale</v>
      </c>
      <c r="B1648" s="2" t="str">
        <f>IFERROR(__xludf.DUMMYFUNCTION("""COMPUTED_VALUE"""),"Āgenskalns")</f>
        <v>Āgenskalns</v>
      </c>
      <c r="C1648" s="2" t="str">
        <f>IFERROR(__xludf.DUMMYFUNCTION("""COMPUTED_VALUE"""),"Mūkusalas 25")</f>
        <v>Mūkusalas 25</v>
      </c>
      <c r="D1648" s="2">
        <f>IFERROR(__xludf.DUMMYFUNCTION("""COMPUTED_VALUE"""),3.0)</f>
        <v>3</v>
      </c>
      <c r="E1648" s="2">
        <f>IFERROR(__xludf.DUMMYFUNCTION("""COMPUTED_VALUE"""),108.0)</f>
        <v>108</v>
      </c>
      <c r="F1648" s="2">
        <f>IFERROR(__xludf.DUMMYFUNCTION("""COMPUTED_VALUE"""),5.0)</f>
        <v>5</v>
      </c>
      <c r="G1648" s="2">
        <f>IFERROR(__xludf.DUMMYFUNCTION("""COMPUTED_VALUE"""),6.0)</f>
        <v>6</v>
      </c>
      <c r="H1648" s="2" t="str">
        <f>IFERROR(__xludf.DUMMYFUNCTION("""COMPUTED_VALUE"""),"Jaun.")</f>
        <v>Jaun.</v>
      </c>
      <c r="I1648" s="2" t="str">
        <f>IFERROR(__xludf.DUMMYFUNCTION("""COMPUTED_VALUE"""),"Masonry")</f>
        <v>Masonry</v>
      </c>
      <c r="J1648" s="2" t="str">
        <f>IFERROR(__xludf.DUMMYFUNCTION("""COMPUTED_VALUE"""),"All amenities")</f>
        <v>All amenities</v>
      </c>
      <c r="K1648" s="2">
        <f>IFERROR(__xludf.DUMMYFUNCTION("""COMPUTED_VALUE"""),215000.0)</f>
        <v>215000</v>
      </c>
      <c r="L1648" s="2">
        <f>IFERROR(__xludf.DUMMYFUNCTION("""COMPUTED_VALUE"""),56.9374039)</f>
        <v>56.9374039</v>
      </c>
      <c r="M1648" s="2">
        <f>IFERROR(__xludf.DUMMYFUNCTION("""COMPUTED_VALUE"""),24.101176263114)</f>
        <v>24.10117626</v>
      </c>
    </row>
    <row r="1649">
      <c r="A1649" s="2" t="str">
        <f>IFERROR(__xludf.DUMMYFUNCTION("""COMPUTED_VALUE"""),"For rent")</f>
        <v>For rent</v>
      </c>
      <c r="B1649" s="2" t="str">
        <f>IFERROR(__xludf.DUMMYFUNCTION("""COMPUTED_VALUE"""),"Āgenskalns")</f>
        <v>Āgenskalns</v>
      </c>
      <c r="C1649" s="2" t="str">
        <f>IFERROR(__xludf.DUMMYFUNCTION("""COMPUTED_VALUE"""),"Slokas 33")</f>
        <v>Slokas 33</v>
      </c>
      <c r="D1649" s="2">
        <f>IFERROR(__xludf.DUMMYFUNCTION("""COMPUTED_VALUE"""),2.0)</f>
        <v>2</v>
      </c>
      <c r="E1649" s="2">
        <f>IFERROR(__xludf.DUMMYFUNCTION("""COMPUTED_VALUE"""),59.0)</f>
        <v>59</v>
      </c>
      <c r="F1649" s="2">
        <f>IFERROR(__xludf.DUMMYFUNCTION("""COMPUTED_VALUE"""),2.0)</f>
        <v>2</v>
      </c>
      <c r="G1649" s="2">
        <f>IFERROR(__xludf.DUMMYFUNCTION("""COMPUTED_VALUE"""),4.0)</f>
        <v>4</v>
      </c>
      <c r="H1649" s="2" t="str">
        <f>IFERROR(__xludf.DUMMYFUNCTION("""COMPUTED_VALUE"""),"Staļina")</f>
        <v>Staļina</v>
      </c>
      <c r="I1649" s="2" t="str">
        <f>IFERROR(__xludf.DUMMYFUNCTION("""COMPUTED_VALUE"""),"Masonry")</f>
        <v>Masonry</v>
      </c>
      <c r="J1649" s="2" t="str">
        <f>IFERROR(__xludf.DUMMYFUNCTION("""COMPUTED_VALUE"""),"All amenities")</f>
        <v>All amenities</v>
      </c>
      <c r="K1649" s="2">
        <f>IFERROR(__xludf.DUMMYFUNCTION("""COMPUTED_VALUE"""),390.0)</f>
        <v>390</v>
      </c>
      <c r="L1649" s="2">
        <f>IFERROR(__xludf.DUMMYFUNCTION("""COMPUTED_VALUE"""),56.94905655)</f>
        <v>56.94905655</v>
      </c>
      <c r="M1649" s="2">
        <f>IFERROR(__xludf.DUMMYFUNCTION("""COMPUTED_VALUE"""),24.0710760449486)</f>
        <v>24.07107604</v>
      </c>
    </row>
    <row r="1650">
      <c r="A1650" s="2" t="str">
        <f>IFERROR(__xludf.DUMMYFUNCTION("""COMPUTED_VALUE"""),"For sale")</f>
        <v>For sale</v>
      </c>
      <c r="B1650" s="2" t="str">
        <f>IFERROR(__xludf.DUMMYFUNCTION("""COMPUTED_VALUE"""),"Zasulauks")</f>
        <v>Zasulauks</v>
      </c>
      <c r="C1650" s="2" t="str">
        <f>IFERROR(__xludf.DUMMYFUNCTION("""COMPUTED_VALUE"""),"Bārtas 1")</f>
        <v>Bārtas 1</v>
      </c>
      <c r="D1650" s="2">
        <f>IFERROR(__xludf.DUMMYFUNCTION("""COMPUTED_VALUE"""),1.0)</f>
        <v>1</v>
      </c>
      <c r="E1650" s="2">
        <f>IFERROR(__xludf.DUMMYFUNCTION("""COMPUTED_VALUE"""),17.0)</f>
        <v>17</v>
      </c>
      <c r="F1650" s="2">
        <f>IFERROR(__xludf.DUMMYFUNCTION("""COMPUTED_VALUE"""),2.0)</f>
        <v>2</v>
      </c>
      <c r="G1650" s="2">
        <f>IFERROR(__xludf.DUMMYFUNCTION("""COMPUTED_VALUE"""),2.0)</f>
        <v>2</v>
      </c>
      <c r="H1650" s="2" t="str">
        <f>IFERROR(__xludf.DUMMYFUNCTION("""COMPUTED_VALUE"""),"P. kara")</f>
        <v>P. kara</v>
      </c>
      <c r="I1650" s="2" t="str">
        <f>IFERROR(__xludf.DUMMYFUNCTION("""COMPUTED_VALUE"""),"Brick")</f>
        <v>Brick</v>
      </c>
      <c r="J1650" s="2" t="str">
        <f>IFERROR(__xludf.DUMMYFUNCTION("""COMPUTED_VALUE"""),"Partial amenities")</f>
        <v>Partial amenities</v>
      </c>
      <c r="K1650" s="2">
        <f>IFERROR(__xludf.DUMMYFUNCTION("""COMPUTED_VALUE"""),11800.0)</f>
        <v>11800</v>
      </c>
      <c r="L1650" s="2">
        <f>IFERROR(__xludf.DUMMYFUNCTION("""COMPUTED_VALUE"""),56.9424288999999)</f>
        <v>56.9424289</v>
      </c>
      <c r="M1650" s="2">
        <f>IFERROR(__xludf.DUMMYFUNCTION("""COMPUTED_VALUE"""),24.0495749003611)</f>
        <v>24.0495749</v>
      </c>
    </row>
    <row r="1651">
      <c r="A1651" s="2" t="str">
        <f>IFERROR(__xludf.DUMMYFUNCTION("""COMPUTED_VALUE"""),"For rent")</f>
        <v>For rent</v>
      </c>
      <c r="B1651" s="2" t="str">
        <f>IFERROR(__xludf.DUMMYFUNCTION("""COMPUTED_VALUE"""),"centrs")</f>
        <v>centrs</v>
      </c>
      <c r="C1651" s="2" t="str">
        <f>IFERROR(__xludf.DUMMYFUNCTION("""COMPUTED_VALUE"""),"Zvaigžņu 14")</f>
        <v>Zvaigžņu 14</v>
      </c>
      <c r="D1651" s="2">
        <f>IFERROR(__xludf.DUMMYFUNCTION("""COMPUTED_VALUE"""),1.0)</f>
        <v>1</v>
      </c>
      <c r="E1651" s="2">
        <f>IFERROR(__xludf.DUMMYFUNCTION("""COMPUTED_VALUE"""),14.0)</f>
        <v>14</v>
      </c>
      <c r="F1651" s="2">
        <f>IFERROR(__xludf.DUMMYFUNCTION("""COMPUTED_VALUE"""),2.0)</f>
        <v>2</v>
      </c>
      <c r="G1651" s="2">
        <f>IFERROR(__xludf.DUMMYFUNCTION("""COMPUTED_VALUE"""),4.0)</f>
        <v>4</v>
      </c>
      <c r="H1651" s="2" t="str">
        <f>IFERROR(__xludf.DUMMYFUNCTION("""COMPUTED_VALUE"""),"P. kara")</f>
        <v>P. kara</v>
      </c>
      <c r="I1651" s="2" t="str">
        <f>IFERROR(__xludf.DUMMYFUNCTION("""COMPUTED_VALUE"""),"Masonry")</f>
        <v>Masonry</v>
      </c>
      <c r="J1651" s="2" t="str">
        <f>IFERROR(__xludf.DUMMYFUNCTION("""COMPUTED_VALUE"""),"All amenities")</f>
        <v>All amenities</v>
      </c>
      <c r="K1651" s="2">
        <f>IFERROR(__xludf.DUMMYFUNCTION("""COMPUTED_VALUE"""),200.0)</f>
        <v>200</v>
      </c>
      <c r="L1651" s="2">
        <f>IFERROR(__xludf.DUMMYFUNCTION("""COMPUTED_VALUE"""),56.9590494)</f>
        <v>56.9590494</v>
      </c>
      <c r="M1651" s="2">
        <f>IFERROR(__xludf.DUMMYFUNCTION("""COMPUTED_VALUE"""),24.1461764)</f>
        <v>24.1461764</v>
      </c>
    </row>
    <row r="1652">
      <c r="A1652" s="2" t="str">
        <f>IFERROR(__xludf.DUMMYFUNCTION("""COMPUTED_VALUE"""),"For sale")</f>
        <v>For sale</v>
      </c>
      <c r="B1652" s="2" t="str">
        <f>IFERROR(__xludf.DUMMYFUNCTION("""COMPUTED_VALUE"""),"centrs")</f>
        <v>centrs</v>
      </c>
      <c r="C1652" s="2" t="str">
        <f>IFERROR(__xludf.DUMMYFUNCTION("""COMPUTED_VALUE"""),"Stabu 6")</f>
        <v>Stabu 6</v>
      </c>
      <c r="D1652" s="2">
        <f>IFERROR(__xludf.DUMMYFUNCTION("""COMPUTED_VALUE"""),3.0)</f>
        <v>3</v>
      </c>
      <c r="E1652" s="2">
        <f>IFERROR(__xludf.DUMMYFUNCTION("""COMPUTED_VALUE"""),70.0)</f>
        <v>70</v>
      </c>
      <c r="F1652" s="2">
        <f>IFERROR(__xludf.DUMMYFUNCTION("""COMPUTED_VALUE"""),5.0)</f>
        <v>5</v>
      </c>
      <c r="G1652" s="2">
        <f>IFERROR(__xludf.DUMMYFUNCTION("""COMPUTED_VALUE"""),6.0)</f>
        <v>6</v>
      </c>
      <c r="H1652" s="2" t="str">
        <f>IFERROR(__xludf.DUMMYFUNCTION("""COMPUTED_VALUE"""),"P. kara")</f>
        <v>P. kara</v>
      </c>
      <c r="I1652" s="2" t="str">
        <f>IFERROR(__xludf.DUMMYFUNCTION("""COMPUTED_VALUE"""),"Brick")</f>
        <v>Brick</v>
      </c>
      <c r="J1652" s="2" t="str">
        <f>IFERROR(__xludf.DUMMYFUNCTION("""COMPUTED_VALUE"""),"All amenities")</f>
        <v>All amenities</v>
      </c>
      <c r="K1652" s="2">
        <f>IFERROR(__xludf.DUMMYFUNCTION("""COMPUTED_VALUE"""),138000.0)</f>
        <v>138000</v>
      </c>
      <c r="L1652" s="2">
        <f>IFERROR(__xludf.DUMMYFUNCTION("""COMPUTED_VALUE"""),56.9591749)</f>
        <v>56.9591749</v>
      </c>
      <c r="M1652" s="2">
        <f>IFERROR(__xludf.DUMMYFUNCTION("""COMPUTED_VALUE"""),24.1222544)</f>
        <v>24.1222544</v>
      </c>
    </row>
    <row r="1653">
      <c r="A1653" s="2" t="str">
        <f>IFERROR(__xludf.DUMMYFUNCTION("""COMPUTED_VALUE"""),"For sale")</f>
        <v>For sale</v>
      </c>
      <c r="B1653" s="2" t="str">
        <f>IFERROR(__xludf.DUMMYFUNCTION("""COMPUTED_VALUE"""),"Teika")</f>
        <v>Teika</v>
      </c>
      <c r="C1653" s="2" t="str">
        <f>IFERROR(__xludf.DUMMYFUNCTION("""COMPUTED_VALUE"""),"Ropažu 14")</f>
        <v>Ropažu 14</v>
      </c>
      <c r="D1653" s="2">
        <f>IFERROR(__xludf.DUMMYFUNCTION("""COMPUTED_VALUE"""),3.0)</f>
        <v>3</v>
      </c>
      <c r="E1653" s="2">
        <f>IFERROR(__xludf.DUMMYFUNCTION("""COMPUTED_VALUE"""),75.0)</f>
        <v>75</v>
      </c>
      <c r="F1653" s="2">
        <f>IFERROR(__xludf.DUMMYFUNCTION("""COMPUTED_VALUE"""),3.0)</f>
        <v>3</v>
      </c>
      <c r="G1653" s="2">
        <f>IFERROR(__xludf.DUMMYFUNCTION("""COMPUTED_VALUE"""),10.0)</f>
        <v>10</v>
      </c>
      <c r="H1653" s="2" t="str">
        <f>IFERROR(__xludf.DUMMYFUNCTION("""COMPUTED_VALUE"""),"Jaun.")</f>
        <v>Jaun.</v>
      </c>
      <c r="I1653" s="2" t="str">
        <f>IFERROR(__xludf.DUMMYFUNCTION("""COMPUTED_VALUE"""),"Masonry")</f>
        <v>Masonry</v>
      </c>
      <c r="J1653" s="2" t="str">
        <f>IFERROR(__xludf.DUMMYFUNCTION("""COMPUTED_VALUE"""),"All amenities")</f>
        <v>All amenities</v>
      </c>
      <c r="K1653" s="2">
        <f>IFERROR(__xludf.DUMMYFUNCTION("""COMPUTED_VALUE"""),125000.0)</f>
        <v>125000</v>
      </c>
      <c r="L1653" s="2">
        <f>IFERROR(__xludf.DUMMYFUNCTION("""COMPUTED_VALUE"""),56.9767303)</f>
        <v>56.9767303</v>
      </c>
      <c r="M1653" s="2">
        <f>IFERROR(__xludf.DUMMYFUNCTION("""COMPUTED_VALUE"""),24.1676579996058)</f>
        <v>24.167658</v>
      </c>
    </row>
    <row r="1654">
      <c r="A1654" s="2" t="str">
        <f>IFERROR(__xludf.DUMMYFUNCTION("""COMPUTED_VALUE"""),"For sale")</f>
        <v>For sale</v>
      </c>
      <c r="B1654" s="2" t="str">
        <f>IFERROR(__xludf.DUMMYFUNCTION("""COMPUTED_VALUE"""),"centrs")</f>
        <v>centrs</v>
      </c>
      <c r="C1654" s="2" t="str">
        <f>IFERROR(__xludf.DUMMYFUNCTION("""COMPUTED_VALUE"""),"Ģertrūdes 113")</f>
        <v>Ģertrūdes 113</v>
      </c>
      <c r="D1654" s="2">
        <f>IFERROR(__xludf.DUMMYFUNCTION("""COMPUTED_VALUE"""),2.0)</f>
        <v>2</v>
      </c>
      <c r="E1654" s="2">
        <f>IFERROR(__xludf.DUMMYFUNCTION("""COMPUTED_VALUE"""),48.0)</f>
        <v>48</v>
      </c>
      <c r="F1654" s="2">
        <f>IFERROR(__xludf.DUMMYFUNCTION("""COMPUTED_VALUE"""),6.0)</f>
        <v>6</v>
      </c>
      <c r="G1654" s="2">
        <f>IFERROR(__xludf.DUMMYFUNCTION("""COMPUTED_VALUE"""),6.0)</f>
        <v>6</v>
      </c>
      <c r="H1654" s="2" t="str">
        <f>IFERROR(__xludf.DUMMYFUNCTION("""COMPUTED_VALUE"""),"P. kara")</f>
        <v>P. kara</v>
      </c>
      <c r="I1654" s="2" t="str">
        <f>IFERROR(__xludf.DUMMYFUNCTION("""COMPUTED_VALUE"""),"Brick")</f>
        <v>Brick</v>
      </c>
      <c r="J1654" s="2" t="str">
        <f>IFERROR(__xludf.DUMMYFUNCTION("""COMPUTED_VALUE"""),"All amenities")</f>
        <v>All amenities</v>
      </c>
      <c r="K1654" s="2">
        <f>IFERROR(__xludf.DUMMYFUNCTION("""COMPUTED_VALUE"""),65800.0)</f>
        <v>65800</v>
      </c>
      <c r="L1654" s="2">
        <f>IFERROR(__xludf.DUMMYFUNCTION("""COMPUTED_VALUE"""),56.9488564)</f>
        <v>56.9488564</v>
      </c>
      <c r="M1654" s="2">
        <f>IFERROR(__xludf.DUMMYFUNCTION("""COMPUTED_VALUE"""),24.1384970339502)</f>
        <v>24.13849703</v>
      </c>
    </row>
    <row r="1655">
      <c r="A1655" s="2" t="str">
        <f>IFERROR(__xludf.DUMMYFUNCTION("""COMPUTED_VALUE"""),"For rent")</f>
        <v>For rent</v>
      </c>
      <c r="B1655" s="2" t="str">
        <f>IFERROR(__xludf.DUMMYFUNCTION("""COMPUTED_VALUE"""),"Mežciems")</f>
        <v>Mežciems</v>
      </c>
      <c r="C1655" s="2" t="str">
        <f>IFERROR(__xludf.DUMMYFUNCTION("""COMPUTED_VALUE"""),"Kaivas 31/2")</f>
        <v>Kaivas 31/2</v>
      </c>
      <c r="D1655" s="2">
        <f>IFERROR(__xludf.DUMMYFUNCTION("""COMPUTED_VALUE"""),3.0)</f>
        <v>3</v>
      </c>
      <c r="E1655" s="2">
        <f>IFERROR(__xludf.DUMMYFUNCTION("""COMPUTED_VALUE"""),80.0)</f>
        <v>80</v>
      </c>
      <c r="F1655" s="2">
        <f>IFERROR(__xludf.DUMMYFUNCTION("""COMPUTED_VALUE"""),1.0)</f>
        <v>1</v>
      </c>
      <c r="G1655" s="2">
        <f>IFERROR(__xludf.DUMMYFUNCTION("""COMPUTED_VALUE"""),4.0)</f>
        <v>4</v>
      </c>
      <c r="H1655" s="2" t="str">
        <f>IFERROR(__xludf.DUMMYFUNCTION("""COMPUTED_VALUE"""),"Jaun.")</f>
        <v>Jaun.</v>
      </c>
      <c r="I1655" s="2" t="str">
        <f>IFERROR(__xludf.DUMMYFUNCTION("""COMPUTED_VALUE"""),"Panel")</f>
        <v>Panel</v>
      </c>
      <c r="J1655" s="2" t="str">
        <f>IFERROR(__xludf.DUMMYFUNCTION("""COMPUTED_VALUE"""),"All amenities")</f>
        <v>All amenities</v>
      </c>
      <c r="K1655" s="2">
        <f>IFERROR(__xludf.DUMMYFUNCTION("""COMPUTED_VALUE"""),700.0)</f>
        <v>700</v>
      </c>
      <c r="L1655" s="2">
        <f>IFERROR(__xludf.DUMMYFUNCTION("""COMPUTED_VALUE"""),56.9541725)</f>
        <v>56.9541725</v>
      </c>
      <c r="M1655" s="2">
        <f>IFERROR(__xludf.DUMMYFUNCTION("""COMPUTED_VALUE"""),24.2443253)</f>
        <v>24.2443253</v>
      </c>
    </row>
    <row r="1656">
      <c r="A1656" s="2" t="str">
        <f>IFERROR(__xludf.DUMMYFUNCTION("""COMPUTED_VALUE"""),"For rent")</f>
        <v>For rent</v>
      </c>
      <c r="B1656" s="2" t="str">
        <f>IFERROR(__xludf.DUMMYFUNCTION("""COMPUTED_VALUE"""),"Grīziņkalns")</f>
        <v>Grīziņkalns</v>
      </c>
      <c r="C1656" s="2" t="str">
        <f>IFERROR(__xludf.DUMMYFUNCTION("""COMPUTED_VALUE"""),"Alauksta 7")</f>
        <v>Alauksta 7</v>
      </c>
      <c r="D1656" s="2">
        <f>IFERROR(__xludf.DUMMYFUNCTION("""COMPUTED_VALUE"""),1.0)</f>
        <v>1</v>
      </c>
      <c r="E1656" s="2">
        <f>IFERROR(__xludf.DUMMYFUNCTION("""COMPUTED_VALUE"""),34.0)</f>
        <v>34</v>
      </c>
      <c r="F1656" s="2">
        <f>IFERROR(__xludf.DUMMYFUNCTION("""COMPUTED_VALUE"""),1.0)</f>
        <v>1</v>
      </c>
      <c r="G1656" s="2">
        <f>IFERROR(__xludf.DUMMYFUNCTION("""COMPUTED_VALUE"""),4.0)</f>
        <v>4</v>
      </c>
      <c r="H1656" s="2" t="str">
        <f>IFERROR(__xludf.DUMMYFUNCTION("""COMPUTED_VALUE"""),"P. kara")</f>
        <v>P. kara</v>
      </c>
      <c r="I1656" s="2" t="str">
        <f>IFERROR(__xludf.DUMMYFUNCTION("""COMPUTED_VALUE"""),"Masonry")</f>
        <v>Masonry</v>
      </c>
      <c r="J1656" s="2" t="str">
        <f>IFERROR(__xludf.DUMMYFUNCTION("""COMPUTED_VALUE"""),"All amenities")</f>
        <v>All amenities</v>
      </c>
      <c r="K1656" s="2">
        <f>IFERROR(__xludf.DUMMYFUNCTION("""COMPUTED_VALUE"""),240.0)</f>
        <v>240</v>
      </c>
      <c r="L1656" s="2">
        <f>IFERROR(__xludf.DUMMYFUNCTION("""COMPUTED_VALUE"""),56.9613179)</f>
        <v>56.9613179</v>
      </c>
      <c r="M1656" s="2">
        <f>IFERROR(__xludf.DUMMYFUNCTION("""COMPUTED_VALUE"""),24.148803936888)</f>
        <v>24.14880394</v>
      </c>
    </row>
    <row r="1657">
      <c r="A1657" s="2" t="str">
        <f>IFERROR(__xludf.DUMMYFUNCTION("""COMPUTED_VALUE"""),"For sale")</f>
        <v>For sale</v>
      </c>
      <c r="B1657" s="2" t="str">
        <f>IFERROR(__xludf.DUMMYFUNCTION("""COMPUTED_VALUE"""),"centrs")</f>
        <v>centrs</v>
      </c>
      <c r="C1657" s="2" t="str">
        <f>IFERROR(__xludf.DUMMYFUNCTION("""COMPUTED_VALUE"""),"Lienes 9")</f>
        <v>Lienes 9</v>
      </c>
      <c r="D1657" s="2">
        <f>IFERROR(__xludf.DUMMYFUNCTION("""COMPUTED_VALUE"""),1.0)</f>
        <v>1</v>
      </c>
      <c r="E1657" s="2">
        <f>IFERROR(__xludf.DUMMYFUNCTION("""COMPUTED_VALUE"""),35.0)</f>
        <v>35</v>
      </c>
      <c r="F1657" s="2">
        <f>IFERROR(__xludf.DUMMYFUNCTION("""COMPUTED_VALUE"""),5.0)</f>
        <v>5</v>
      </c>
      <c r="G1657" s="2">
        <f>IFERROR(__xludf.DUMMYFUNCTION("""COMPUTED_VALUE"""),6.0)</f>
        <v>6</v>
      </c>
      <c r="H1657" s="2" t="str">
        <f>IFERROR(__xludf.DUMMYFUNCTION("""COMPUTED_VALUE"""),"P. kara")</f>
        <v>P. kara</v>
      </c>
      <c r="I1657" s="2" t="str">
        <f>IFERROR(__xludf.DUMMYFUNCTION("""COMPUTED_VALUE"""),"Masonry")</f>
        <v>Masonry</v>
      </c>
      <c r="J1657" s="2" t="str">
        <f>IFERROR(__xludf.DUMMYFUNCTION("""COMPUTED_VALUE"""),"All amenities")</f>
        <v>All amenities</v>
      </c>
      <c r="K1657" s="2">
        <f>IFERROR(__xludf.DUMMYFUNCTION("""COMPUTED_VALUE"""),50000.0)</f>
        <v>50000</v>
      </c>
      <c r="L1657" s="2">
        <f>IFERROR(__xludf.DUMMYFUNCTION("""COMPUTED_VALUE"""),56.9537372)</f>
        <v>56.9537372</v>
      </c>
      <c r="M1657" s="2">
        <f>IFERROR(__xludf.DUMMYFUNCTION("""COMPUTED_VALUE"""),24.1465944)</f>
        <v>24.1465944</v>
      </c>
    </row>
    <row r="1658">
      <c r="A1658" s="2" t="str">
        <f>IFERROR(__xludf.DUMMYFUNCTION("""COMPUTED_VALUE"""),"For sale")</f>
        <v>For sale</v>
      </c>
      <c r="B1658" s="2" t="str">
        <f>IFERROR(__xludf.DUMMYFUNCTION("""COMPUTED_VALUE"""),"centrs")</f>
        <v>centrs</v>
      </c>
      <c r="C1658" s="2" t="str">
        <f>IFERROR(__xludf.DUMMYFUNCTION("""COMPUTED_VALUE"""),"Ausekļa 14")</f>
        <v>Ausekļa 14</v>
      </c>
      <c r="D1658" s="2">
        <f>IFERROR(__xludf.DUMMYFUNCTION("""COMPUTED_VALUE"""),3.0)</f>
        <v>3</v>
      </c>
      <c r="E1658" s="2">
        <f>IFERROR(__xludf.DUMMYFUNCTION("""COMPUTED_VALUE"""),88.0)</f>
        <v>88</v>
      </c>
      <c r="F1658" s="2">
        <f>IFERROR(__xludf.DUMMYFUNCTION("""COMPUTED_VALUE"""),3.0)</f>
        <v>3</v>
      </c>
      <c r="G1658" s="2">
        <f>IFERROR(__xludf.DUMMYFUNCTION("""COMPUTED_VALUE"""),6.0)</f>
        <v>6</v>
      </c>
      <c r="H1658" s="2" t="str">
        <f>IFERROR(__xludf.DUMMYFUNCTION("""COMPUTED_VALUE"""),"Renov.")</f>
        <v>Renov.</v>
      </c>
      <c r="I1658" s="2" t="str">
        <f>IFERROR(__xludf.DUMMYFUNCTION("""COMPUTED_VALUE"""),"Masonry")</f>
        <v>Masonry</v>
      </c>
      <c r="J1658" s="2" t="str">
        <f>IFERROR(__xludf.DUMMYFUNCTION("""COMPUTED_VALUE"""),"All amenities")</f>
        <v>All amenities</v>
      </c>
      <c r="K1658" s="2">
        <f>IFERROR(__xludf.DUMMYFUNCTION("""COMPUTED_VALUE"""),325000.0)</f>
        <v>325000</v>
      </c>
      <c r="L1658" s="2">
        <f>IFERROR(__xludf.DUMMYFUNCTION("""COMPUTED_VALUE"""),56.9615789)</f>
        <v>56.9615789</v>
      </c>
      <c r="M1658" s="2">
        <f>IFERROR(__xludf.DUMMYFUNCTION("""COMPUTED_VALUE"""),24.1004729157828)</f>
        <v>24.10047292</v>
      </c>
    </row>
    <row r="1659">
      <c r="A1659" s="2" t="str">
        <f>IFERROR(__xludf.DUMMYFUNCTION("""COMPUTED_VALUE"""),"For rent")</f>
        <v>For rent</v>
      </c>
      <c r="B1659" s="2" t="str">
        <f>IFERROR(__xludf.DUMMYFUNCTION("""COMPUTED_VALUE"""),"Ķengarags")</f>
        <v>Ķengarags</v>
      </c>
      <c r="C1659" s="2" t="str">
        <f>IFERROR(__xludf.DUMMYFUNCTION("""COMPUTED_VALUE"""),"Bultu 8")</f>
        <v>Bultu 8</v>
      </c>
      <c r="D1659" s="2">
        <f>IFERROR(__xludf.DUMMYFUNCTION("""COMPUTED_VALUE"""),2.0)</f>
        <v>2</v>
      </c>
      <c r="E1659" s="2">
        <f>IFERROR(__xludf.DUMMYFUNCTION("""COMPUTED_VALUE"""),38.0)</f>
        <v>38</v>
      </c>
      <c r="F1659" s="2">
        <f>IFERROR(__xludf.DUMMYFUNCTION("""COMPUTED_VALUE"""),4.0)</f>
        <v>4</v>
      </c>
      <c r="G1659" s="2">
        <f>IFERROR(__xludf.DUMMYFUNCTION("""COMPUTED_VALUE"""),5.0)</f>
        <v>5</v>
      </c>
      <c r="H1659" s="2" t="str">
        <f>IFERROR(__xludf.DUMMYFUNCTION("""COMPUTED_VALUE"""),"LT proj.")</f>
        <v>LT proj.</v>
      </c>
      <c r="I1659" s="2" t="str">
        <f>IFERROR(__xludf.DUMMYFUNCTION("""COMPUTED_VALUE"""),"Panel")</f>
        <v>Panel</v>
      </c>
      <c r="J1659" s="2" t="str">
        <f>IFERROR(__xludf.DUMMYFUNCTION("""COMPUTED_VALUE"""),"All amenities")</f>
        <v>All amenities</v>
      </c>
      <c r="K1659" s="2">
        <f>IFERROR(__xludf.DUMMYFUNCTION("""COMPUTED_VALUE"""),250.0)</f>
        <v>250</v>
      </c>
      <c r="L1659" s="2">
        <f>IFERROR(__xludf.DUMMYFUNCTION("""COMPUTED_VALUE"""),56.90987065)</f>
        <v>56.90987065</v>
      </c>
      <c r="M1659" s="2">
        <f>IFERROR(__xludf.DUMMYFUNCTION("""COMPUTED_VALUE"""),24.1964712)</f>
        <v>24.1964712</v>
      </c>
    </row>
    <row r="1660">
      <c r="A1660" s="2" t="str">
        <f>IFERROR(__xludf.DUMMYFUNCTION("""COMPUTED_VALUE"""),"For sale")</f>
        <v>For sale</v>
      </c>
      <c r="B1660" s="2" t="str">
        <f>IFERROR(__xludf.DUMMYFUNCTION("""COMPUTED_VALUE"""),"Ziepniekkalns")</f>
        <v>Ziepniekkalns</v>
      </c>
      <c r="C1660" s="2" t="str">
        <f>IFERROR(__xludf.DUMMYFUNCTION("""COMPUTED_VALUE"""),"Valdeķu 55")</f>
        <v>Valdeķu 55</v>
      </c>
      <c r="D1660" s="2">
        <f>IFERROR(__xludf.DUMMYFUNCTION("""COMPUTED_VALUE"""),3.0)</f>
        <v>3</v>
      </c>
      <c r="E1660" s="2">
        <f>IFERROR(__xludf.DUMMYFUNCTION("""COMPUTED_VALUE"""),78.0)</f>
        <v>78</v>
      </c>
      <c r="F1660" s="2">
        <f>IFERROR(__xludf.DUMMYFUNCTION("""COMPUTED_VALUE"""),8.0)</f>
        <v>8</v>
      </c>
      <c r="G1660" s="2">
        <f>IFERROR(__xludf.DUMMYFUNCTION("""COMPUTED_VALUE"""),10.0)</f>
        <v>10</v>
      </c>
      <c r="H1660" s="2">
        <f>IFERROR(__xludf.DUMMYFUNCTION("""COMPUTED_VALUE"""),119.0)</f>
        <v>119</v>
      </c>
      <c r="I1660" s="2" t="str">
        <f>IFERROR(__xludf.DUMMYFUNCTION("""COMPUTED_VALUE"""),"Panel")</f>
        <v>Panel</v>
      </c>
      <c r="J1660" s="2" t="str">
        <f>IFERROR(__xludf.DUMMYFUNCTION("""COMPUTED_VALUE"""),"All amenities")</f>
        <v>All amenities</v>
      </c>
      <c r="K1660" s="2">
        <f>IFERROR(__xludf.DUMMYFUNCTION("""COMPUTED_VALUE"""),85000.0)</f>
        <v>85000</v>
      </c>
      <c r="L1660" s="2">
        <f>IFERROR(__xludf.DUMMYFUNCTION("""COMPUTED_VALUE"""),56.9017919)</f>
        <v>56.9017919</v>
      </c>
      <c r="M1660" s="2">
        <f>IFERROR(__xludf.DUMMYFUNCTION("""COMPUTED_VALUE"""),24.0913811)</f>
        <v>24.0913811</v>
      </c>
    </row>
    <row r="1661">
      <c r="A1661" s="2" t="str">
        <f>IFERROR(__xludf.DUMMYFUNCTION("""COMPUTED_VALUE"""),"For rent")</f>
        <v>For rent</v>
      </c>
      <c r="B1661" s="2" t="str">
        <f>IFERROR(__xludf.DUMMYFUNCTION("""COMPUTED_VALUE"""),"Āgenskalns")</f>
        <v>Āgenskalns</v>
      </c>
      <c r="C1661" s="2" t="str">
        <f>IFERROR(__xludf.DUMMYFUNCTION("""COMPUTED_VALUE"""),"Liepājas 2")</f>
        <v>Liepājas 2</v>
      </c>
      <c r="D1661" s="2">
        <f>IFERROR(__xludf.DUMMYFUNCTION("""COMPUTED_VALUE"""),3.0)</f>
        <v>3</v>
      </c>
      <c r="E1661" s="2">
        <f>IFERROR(__xludf.DUMMYFUNCTION("""COMPUTED_VALUE"""),88.0)</f>
        <v>88</v>
      </c>
      <c r="F1661" s="2">
        <f>IFERROR(__xludf.DUMMYFUNCTION("""COMPUTED_VALUE"""),4.0)</f>
        <v>4</v>
      </c>
      <c r="G1661" s="2">
        <f>IFERROR(__xludf.DUMMYFUNCTION("""COMPUTED_VALUE"""),6.0)</f>
        <v>6</v>
      </c>
      <c r="H1661" s="2" t="str">
        <f>IFERROR(__xludf.DUMMYFUNCTION("""COMPUTED_VALUE"""),"Jaun.")</f>
        <v>Jaun.</v>
      </c>
      <c r="I1661" s="2" t="str">
        <f>IFERROR(__xludf.DUMMYFUNCTION("""COMPUTED_VALUE"""),"Panel-Brick")</f>
        <v>Panel-Brick</v>
      </c>
      <c r="J1661" s="2" t="str">
        <f>IFERROR(__xludf.DUMMYFUNCTION("""COMPUTED_VALUE"""),"All amenities")</f>
        <v>All amenities</v>
      </c>
      <c r="K1661" s="2">
        <f>IFERROR(__xludf.DUMMYFUNCTION("""COMPUTED_VALUE"""),850.0)</f>
        <v>850</v>
      </c>
      <c r="L1661" s="2">
        <f>IFERROR(__xludf.DUMMYFUNCTION("""COMPUTED_VALUE"""),56.93337015)</f>
        <v>56.93337015</v>
      </c>
      <c r="M1661" s="2">
        <f>IFERROR(__xludf.DUMMYFUNCTION("""COMPUTED_VALUE"""),24.0776036577705)</f>
        <v>24.07760366</v>
      </c>
    </row>
    <row r="1662">
      <c r="A1662" s="2" t="str">
        <f>IFERROR(__xludf.DUMMYFUNCTION("""COMPUTED_VALUE"""),"For sale")</f>
        <v>For sale</v>
      </c>
      <c r="B1662" s="2" t="str">
        <f>IFERROR(__xludf.DUMMYFUNCTION("""COMPUTED_VALUE"""),"Purvciems")</f>
        <v>Purvciems</v>
      </c>
      <c r="C1662" s="2" t="str">
        <f>IFERROR(__xludf.DUMMYFUNCTION("""COMPUTED_VALUE"""),"Ilūkstes 27")</f>
        <v>Ilūkstes 27</v>
      </c>
      <c r="D1662" s="2">
        <f>IFERROR(__xludf.DUMMYFUNCTION("""COMPUTED_VALUE"""),4.0)</f>
        <v>4</v>
      </c>
      <c r="E1662" s="2">
        <f>IFERROR(__xludf.DUMMYFUNCTION("""COMPUTED_VALUE"""),127.0)</f>
        <v>127</v>
      </c>
      <c r="F1662" s="2">
        <f>IFERROR(__xludf.DUMMYFUNCTION("""COMPUTED_VALUE"""),1.0)</f>
        <v>1</v>
      </c>
      <c r="G1662" s="2">
        <f>IFERROR(__xludf.DUMMYFUNCTION("""COMPUTED_VALUE"""),3.0)</f>
        <v>3</v>
      </c>
      <c r="H1662" s="2" t="str">
        <f>IFERROR(__xludf.DUMMYFUNCTION("""COMPUTED_VALUE"""),"Jaun.")</f>
        <v>Jaun.</v>
      </c>
      <c r="I1662" s="2" t="str">
        <f>IFERROR(__xludf.DUMMYFUNCTION("""COMPUTED_VALUE"""),"Brick")</f>
        <v>Brick</v>
      </c>
      <c r="J1662" s="2" t="str">
        <f>IFERROR(__xludf.DUMMYFUNCTION("""COMPUTED_VALUE"""),"All amenities")</f>
        <v>All amenities</v>
      </c>
      <c r="K1662" s="2">
        <f>IFERROR(__xludf.DUMMYFUNCTION("""COMPUTED_VALUE"""),185000.0)</f>
        <v>185000</v>
      </c>
      <c r="L1662" s="2">
        <f>IFERROR(__xludf.DUMMYFUNCTION("""COMPUTED_VALUE"""),56.93584375)</f>
        <v>56.93584375</v>
      </c>
      <c r="M1662" s="2">
        <f>IFERROR(__xludf.DUMMYFUNCTION("""COMPUTED_VALUE"""),24.1943100751876)</f>
        <v>24.19431008</v>
      </c>
    </row>
    <row r="1663">
      <c r="A1663" s="2" t="str">
        <f>IFERROR(__xludf.DUMMYFUNCTION("""COMPUTED_VALUE"""),"For rent")</f>
        <v>For rent</v>
      </c>
      <c r="B1663" s="2" t="str">
        <f>IFERROR(__xludf.DUMMYFUNCTION("""COMPUTED_VALUE"""),"centrs")</f>
        <v>centrs</v>
      </c>
      <c r="C1663" s="2" t="str">
        <f>IFERROR(__xludf.DUMMYFUNCTION("""COMPUTED_VALUE"""),"Rūpniecības 9")</f>
        <v>Rūpniecības 9</v>
      </c>
      <c r="D1663" s="2">
        <f>IFERROR(__xludf.DUMMYFUNCTION("""COMPUTED_VALUE"""),3.0)</f>
        <v>3</v>
      </c>
      <c r="E1663" s="2">
        <f>IFERROR(__xludf.DUMMYFUNCTION("""COMPUTED_VALUE"""),105.0)</f>
        <v>105</v>
      </c>
      <c r="F1663" s="2">
        <f>IFERROR(__xludf.DUMMYFUNCTION("""COMPUTED_VALUE"""),5.0)</f>
        <v>5</v>
      </c>
      <c r="G1663" s="2">
        <f>IFERROR(__xludf.DUMMYFUNCTION("""COMPUTED_VALUE"""),6.0)</f>
        <v>6</v>
      </c>
      <c r="H1663" s="2" t="str">
        <f>IFERROR(__xludf.DUMMYFUNCTION("""COMPUTED_VALUE"""),"Renov.")</f>
        <v>Renov.</v>
      </c>
      <c r="I1663" s="2" t="str">
        <f>IFERROR(__xludf.DUMMYFUNCTION("""COMPUTED_VALUE"""),"Masonry")</f>
        <v>Masonry</v>
      </c>
      <c r="J1663" s="2" t="str">
        <f>IFERROR(__xludf.DUMMYFUNCTION("""COMPUTED_VALUE"""),"All amenities")</f>
        <v>All amenities</v>
      </c>
      <c r="K1663" s="2">
        <f>IFERROR(__xludf.DUMMYFUNCTION("""COMPUTED_VALUE"""),1400.0)</f>
        <v>1400</v>
      </c>
      <c r="L1663" s="2">
        <f>IFERROR(__xludf.DUMMYFUNCTION("""COMPUTED_VALUE"""),56.9605878)</f>
        <v>56.9605878</v>
      </c>
      <c r="M1663" s="2">
        <f>IFERROR(__xludf.DUMMYFUNCTION("""COMPUTED_VALUE"""),24.1029241)</f>
        <v>24.1029241</v>
      </c>
    </row>
    <row r="1664">
      <c r="A1664" s="2" t="str">
        <f>IFERROR(__xludf.DUMMYFUNCTION("""COMPUTED_VALUE"""),"For sale")</f>
        <v>For sale</v>
      </c>
      <c r="B1664" s="2" t="str">
        <f>IFERROR(__xludf.DUMMYFUNCTION("""COMPUTED_VALUE"""),"Čiekurkalns")</f>
        <v>Čiekurkalns</v>
      </c>
      <c r="C1664" s="2" t="str">
        <f>IFERROR(__xludf.DUMMYFUNCTION("""COMPUTED_VALUE"""),"Čiekurkalna 4. šķ l. 15")</f>
        <v>Čiekurkalna 4. šķ l. 15</v>
      </c>
      <c r="D1664" s="2">
        <f>IFERROR(__xludf.DUMMYFUNCTION("""COMPUTED_VALUE"""),3.0)</f>
        <v>3</v>
      </c>
      <c r="E1664" s="2">
        <f>IFERROR(__xludf.DUMMYFUNCTION("""COMPUTED_VALUE"""),73.0)</f>
        <v>73</v>
      </c>
      <c r="F1664" s="2">
        <f>IFERROR(__xludf.DUMMYFUNCTION("""COMPUTED_VALUE"""),1.0)</f>
        <v>1</v>
      </c>
      <c r="G1664" s="2">
        <f>IFERROR(__xludf.DUMMYFUNCTION("""COMPUTED_VALUE"""),7.0)</f>
        <v>7</v>
      </c>
      <c r="H1664" s="2" t="str">
        <f>IFERROR(__xludf.DUMMYFUNCTION("""COMPUTED_VALUE"""),"Specpr.")</f>
        <v>Specpr.</v>
      </c>
      <c r="I1664" s="2" t="str">
        <f>IFERROR(__xludf.DUMMYFUNCTION("""COMPUTED_VALUE"""),"Brick")</f>
        <v>Brick</v>
      </c>
      <c r="J1664" s="2" t="str">
        <f>IFERROR(__xludf.DUMMYFUNCTION("""COMPUTED_VALUE"""),"All amenities")</f>
        <v>All amenities</v>
      </c>
      <c r="K1664" s="2">
        <f>IFERROR(__xludf.DUMMYFUNCTION("""COMPUTED_VALUE"""),72000.0)</f>
        <v>72000</v>
      </c>
      <c r="L1664" s="2" t="str">
        <f>IFERROR(__xludf.DUMMYFUNCTION("""COMPUTED_VALUE"""),"NaN")</f>
        <v>NaN</v>
      </c>
      <c r="M1664" s="2" t="str">
        <f>IFERROR(__xludf.DUMMYFUNCTION("""COMPUTED_VALUE"""),"NaN")</f>
        <v>NaN</v>
      </c>
    </row>
    <row r="1665">
      <c r="A1665" s="2" t="str">
        <f>IFERROR(__xludf.DUMMYFUNCTION("""COMPUTED_VALUE"""),"For rent")</f>
        <v>For rent</v>
      </c>
      <c r="B1665" s="2" t="str">
        <f>IFERROR(__xludf.DUMMYFUNCTION("""COMPUTED_VALUE"""),"centrs")</f>
        <v>centrs</v>
      </c>
      <c r="C1665" s="2" t="str">
        <f>IFERROR(__xludf.DUMMYFUNCTION("""COMPUTED_VALUE"""),"Barona 76")</f>
        <v>Barona 76</v>
      </c>
      <c r="D1665" s="2">
        <f>IFERROR(__xludf.DUMMYFUNCTION("""COMPUTED_VALUE"""),3.0)</f>
        <v>3</v>
      </c>
      <c r="E1665" s="2">
        <f>IFERROR(__xludf.DUMMYFUNCTION("""COMPUTED_VALUE"""),70.0)</f>
        <v>70</v>
      </c>
      <c r="F1665" s="2">
        <f>IFERROR(__xludf.DUMMYFUNCTION("""COMPUTED_VALUE"""),6.0)</f>
        <v>6</v>
      </c>
      <c r="G1665" s="2">
        <f>IFERROR(__xludf.DUMMYFUNCTION("""COMPUTED_VALUE"""),6.0)</f>
        <v>6</v>
      </c>
      <c r="H1665" s="2" t="str">
        <f>IFERROR(__xludf.DUMMYFUNCTION("""COMPUTED_VALUE"""),"Renov.")</f>
        <v>Renov.</v>
      </c>
      <c r="I1665" s="2" t="str">
        <f>IFERROR(__xludf.DUMMYFUNCTION("""COMPUTED_VALUE"""),"Masonry")</f>
        <v>Masonry</v>
      </c>
      <c r="J1665" s="2" t="str">
        <f>IFERROR(__xludf.DUMMYFUNCTION("""COMPUTED_VALUE"""),"All amenities")</f>
        <v>All amenities</v>
      </c>
      <c r="K1665" s="2">
        <f>IFERROR(__xludf.DUMMYFUNCTION("""COMPUTED_VALUE"""),780.0)</f>
        <v>780</v>
      </c>
      <c r="L1665" s="2">
        <f>IFERROR(__xludf.DUMMYFUNCTION("""COMPUTED_VALUE"""),56.95643795)</f>
        <v>56.95643795</v>
      </c>
      <c r="M1665" s="2">
        <f>IFERROR(__xludf.DUMMYFUNCTION("""COMPUTED_VALUE"""),24.1325729821556)</f>
        <v>24.13257298</v>
      </c>
    </row>
    <row r="1666">
      <c r="A1666" s="2" t="str">
        <f>IFERROR(__xludf.DUMMYFUNCTION("""COMPUTED_VALUE"""),"For sale")</f>
        <v>For sale</v>
      </c>
      <c r="B1666" s="2" t="str">
        <f>IFERROR(__xludf.DUMMYFUNCTION("""COMPUTED_VALUE"""),"centrs")</f>
        <v>centrs</v>
      </c>
      <c r="C1666" s="2" t="str">
        <f>IFERROR(__xludf.DUMMYFUNCTION("""COMPUTED_VALUE"""),"Avotu 10")</f>
        <v>Avotu 10</v>
      </c>
      <c r="D1666" s="2">
        <f>IFERROR(__xludf.DUMMYFUNCTION("""COMPUTED_VALUE"""),3.0)</f>
        <v>3</v>
      </c>
      <c r="E1666" s="2">
        <f>IFERROR(__xludf.DUMMYFUNCTION("""COMPUTED_VALUE"""),83.0)</f>
        <v>83</v>
      </c>
      <c r="F1666" s="2">
        <f>IFERROR(__xludf.DUMMYFUNCTION("""COMPUTED_VALUE"""),4.0)</f>
        <v>4</v>
      </c>
      <c r="G1666" s="2">
        <f>IFERROR(__xludf.DUMMYFUNCTION("""COMPUTED_VALUE"""),6.0)</f>
        <v>6</v>
      </c>
      <c r="H1666" s="2" t="str">
        <f>IFERROR(__xludf.DUMMYFUNCTION("""COMPUTED_VALUE"""),"P. kara")</f>
        <v>P. kara</v>
      </c>
      <c r="I1666" s="2" t="str">
        <f>IFERROR(__xludf.DUMMYFUNCTION("""COMPUTED_VALUE"""),"Brick")</f>
        <v>Brick</v>
      </c>
      <c r="J1666" s="2" t="str">
        <f>IFERROR(__xludf.DUMMYFUNCTION("""COMPUTED_VALUE"""),"All amenities")</f>
        <v>All amenities</v>
      </c>
      <c r="K1666" s="2">
        <f>IFERROR(__xludf.DUMMYFUNCTION("""COMPUTED_VALUE"""),119000.0)</f>
        <v>119000</v>
      </c>
      <c r="L1666" s="2">
        <f>IFERROR(__xludf.DUMMYFUNCTION("""COMPUTED_VALUE"""),56.9503981)</f>
        <v>56.9503981</v>
      </c>
      <c r="M1666" s="2">
        <f>IFERROR(__xludf.DUMMYFUNCTION("""COMPUTED_VALUE"""),24.1286417996376)</f>
        <v>24.1286418</v>
      </c>
    </row>
    <row r="1667">
      <c r="A1667" s="2" t="str">
        <f>IFERROR(__xludf.DUMMYFUNCTION("""COMPUTED_VALUE"""),"For sale")</f>
        <v>For sale</v>
      </c>
      <c r="B1667" s="2" t="str">
        <f>IFERROR(__xludf.DUMMYFUNCTION("""COMPUTED_VALUE"""),"centrs")</f>
        <v>centrs</v>
      </c>
      <c r="C1667" s="2" t="str">
        <f>IFERROR(__xludf.DUMMYFUNCTION("""COMPUTED_VALUE"""),"Birznieka-Upīša 13")</f>
        <v>Birznieka-Upīša 13</v>
      </c>
      <c r="D1667" s="2">
        <f>IFERROR(__xludf.DUMMYFUNCTION("""COMPUTED_VALUE"""),3.0)</f>
        <v>3</v>
      </c>
      <c r="E1667" s="2">
        <f>IFERROR(__xludf.DUMMYFUNCTION("""COMPUTED_VALUE"""),80.0)</f>
        <v>80</v>
      </c>
      <c r="F1667" s="2">
        <f>IFERROR(__xludf.DUMMYFUNCTION("""COMPUTED_VALUE"""),5.0)</f>
        <v>5</v>
      </c>
      <c r="G1667" s="2">
        <f>IFERROR(__xludf.DUMMYFUNCTION("""COMPUTED_VALUE"""),7.0)</f>
        <v>7</v>
      </c>
      <c r="H1667" s="2" t="str">
        <f>IFERROR(__xludf.DUMMYFUNCTION("""COMPUTED_VALUE"""),"Jaun.")</f>
        <v>Jaun.</v>
      </c>
      <c r="I1667" s="2" t="str">
        <f>IFERROR(__xludf.DUMMYFUNCTION("""COMPUTED_VALUE"""),"Masonry")</f>
        <v>Masonry</v>
      </c>
      <c r="J1667" s="2" t="str">
        <f>IFERROR(__xludf.DUMMYFUNCTION("""COMPUTED_VALUE"""),"All amenities")</f>
        <v>All amenities</v>
      </c>
      <c r="K1667" s="2">
        <f>IFERROR(__xludf.DUMMYFUNCTION("""COMPUTED_VALUE"""),166000.0)</f>
        <v>166000</v>
      </c>
      <c r="L1667" s="2">
        <f>IFERROR(__xludf.DUMMYFUNCTION("""COMPUTED_VALUE"""),56.9493295)</f>
        <v>56.9493295</v>
      </c>
      <c r="M1667" s="2">
        <f>IFERROR(__xludf.DUMMYFUNCTION("""COMPUTED_VALUE"""),24.1264892056074)</f>
        <v>24.12648921</v>
      </c>
    </row>
    <row r="1668">
      <c r="A1668" s="2" t="str">
        <f>IFERROR(__xludf.DUMMYFUNCTION("""COMPUTED_VALUE"""),"For rent")</f>
        <v>For rent</v>
      </c>
      <c r="B1668" s="2" t="str">
        <f>IFERROR(__xludf.DUMMYFUNCTION("""COMPUTED_VALUE"""),"Sarkandaugava")</f>
        <v>Sarkandaugava</v>
      </c>
      <c r="C1668" s="2" t="str">
        <f>IFERROR(__xludf.DUMMYFUNCTION("""COMPUTED_VALUE"""),"Hāpsalas 12")</f>
        <v>Hāpsalas 12</v>
      </c>
      <c r="D1668" s="2">
        <f>IFERROR(__xludf.DUMMYFUNCTION("""COMPUTED_VALUE"""),1.0)</f>
        <v>1</v>
      </c>
      <c r="E1668" s="2">
        <f>IFERROR(__xludf.DUMMYFUNCTION("""COMPUTED_VALUE"""),27.0)</f>
        <v>27</v>
      </c>
      <c r="F1668" s="2">
        <f>IFERROR(__xludf.DUMMYFUNCTION("""COMPUTED_VALUE"""),1.0)</f>
        <v>1</v>
      </c>
      <c r="G1668" s="2">
        <f>IFERROR(__xludf.DUMMYFUNCTION("""COMPUTED_VALUE"""),3.0)</f>
        <v>3</v>
      </c>
      <c r="H1668" s="2" t="str">
        <f>IFERROR(__xludf.DUMMYFUNCTION("""COMPUTED_VALUE"""),"Renov.")</f>
        <v>Renov.</v>
      </c>
      <c r="I1668" s="2" t="str">
        <f>IFERROR(__xludf.DUMMYFUNCTION("""COMPUTED_VALUE"""),"Wood")</f>
        <v>Wood</v>
      </c>
      <c r="J1668" s="2" t="str">
        <f>IFERROR(__xludf.DUMMYFUNCTION("""COMPUTED_VALUE"""),"All amenities")</f>
        <v>All amenities</v>
      </c>
      <c r="K1668" s="2">
        <f>IFERROR(__xludf.DUMMYFUNCTION("""COMPUTED_VALUE"""),180.0)</f>
        <v>180</v>
      </c>
      <c r="L1668" s="2">
        <f>IFERROR(__xludf.DUMMYFUNCTION("""COMPUTED_VALUE"""),57.00003365)</f>
        <v>57.00003365</v>
      </c>
      <c r="M1668" s="2">
        <f>IFERROR(__xludf.DUMMYFUNCTION("""COMPUTED_VALUE"""),24.1225982811228)</f>
        <v>24.12259828</v>
      </c>
    </row>
    <row r="1669">
      <c r="A1669" s="2" t="str">
        <f>IFERROR(__xludf.DUMMYFUNCTION("""COMPUTED_VALUE"""),"For sale")</f>
        <v>For sale</v>
      </c>
      <c r="B1669" s="2" t="str">
        <f>IFERROR(__xludf.DUMMYFUNCTION("""COMPUTED_VALUE"""),"centrs")</f>
        <v>centrs</v>
      </c>
      <c r="C1669" s="2" t="str">
        <f>IFERROR(__xludf.DUMMYFUNCTION("""COMPUTED_VALUE"""),"Brīvības 203")</f>
        <v>Brīvības 203</v>
      </c>
      <c r="D1669" s="2">
        <f>IFERROR(__xludf.DUMMYFUNCTION("""COMPUTED_VALUE"""),3.0)</f>
        <v>3</v>
      </c>
      <c r="E1669" s="2">
        <f>IFERROR(__xludf.DUMMYFUNCTION("""COMPUTED_VALUE"""),69.0)</f>
        <v>69</v>
      </c>
      <c r="F1669" s="2">
        <f>IFERROR(__xludf.DUMMYFUNCTION("""COMPUTED_VALUE"""),3.0)</f>
        <v>3</v>
      </c>
      <c r="G1669" s="2">
        <f>IFERROR(__xludf.DUMMYFUNCTION("""COMPUTED_VALUE"""),10.0)</f>
        <v>10</v>
      </c>
      <c r="H1669" s="2" t="str">
        <f>IFERROR(__xludf.DUMMYFUNCTION("""COMPUTED_VALUE"""),"Jaun.")</f>
        <v>Jaun.</v>
      </c>
      <c r="I1669" s="2" t="str">
        <f>IFERROR(__xludf.DUMMYFUNCTION("""COMPUTED_VALUE"""),"Panel")</f>
        <v>Panel</v>
      </c>
      <c r="J1669" s="2" t="str">
        <f>IFERROR(__xludf.DUMMYFUNCTION("""COMPUTED_VALUE"""),"All amenities")</f>
        <v>All amenities</v>
      </c>
      <c r="K1669" s="2">
        <f>IFERROR(__xludf.DUMMYFUNCTION("""COMPUTED_VALUE"""),120000.0)</f>
        <v>120000</v>
      </c>
      <c r="L1669" s="2">
        <f>IFERROR(__xludf.DUMMYFUNCTION("""COMPUTED_VALUE"""),56.9739163)</f>
        <v>56.9739163</v>
      </c>
      <c r="M1669" s="2">
        <f>IFERROR(__xludf.DUMMYFUNCTION("""COMPUTED_VALUE"""),24.1679419959261)</f>
        <v>24.167942</v>
      </c>
    </row>
    <row r="1670">
      <c r="A1670" s="2" t="str">
        <f>IFERROR(__xludf.DUMMYFUNCTION("""COMPUTED_VALUE"""),"For sale")</f>
        <v>For sale</v>
      </c>
      <c r="B1670" s="2" t="str">
        <f>IFERROR(__xludf.DUMMYFUNCTION("""COMPUTED_VALUE"""),"centrs")</f>
        <v>centrs</v>
      </c>
      <c r="C1670" s="2" t="str">
        <f>IFERROR(__xludf.DUMMYFUNCTION("""COMPUTED_VALUE"""),"Pulkv. Brieža 7")</f>
        <v>Pulkv. Brieža 7</v>
      </c>
      <c r="D1670" s="2">
        <f>IFERROR(__xludf.DUMMYFUNCTION("""COMPUTED_VALUE"""),3.0)</f>
        <v>3</v>
      </c>
      <c r="E1670" s="2">
        <f>IFERROR(__xludf.DUMMYFUNCTION("""COMPUTED_VALUE"""),83.0)</f>
        <v>83</v>
      </c>
      <c r="F1670" s="2">
        <f>IFERROR(__xludf.DUMMYFUNCTION("""COMPUTED_VALUE"""),2.0)</f>
        <v>2</v>
      </c>
      <c r="G1670" s="2">
        <f>IFERROR(__xludf.DUMMYFUNCTION("""COMPUTED_VALUE"""),6.0)</f>
        <v>6</v>
      </c>
      <c r="H1670" s="2" t="str">
        <f>IFERROR(__xludf.DUMMYFUNCTION("""COMPUTED_VALUE"""),"Renov.")</f>
        <v>Renov.</v>
      </c>
      <c r="I1670" s="2" t="str">
        <f>IFERROR(__xludf.DUMMYFUNCTION("""COMPUTED_VALUE"""),"Masonry")</f>
        <v>Masonry</v>
      </c>
      <c r="J1670" s="2" t="str">
        <f>IFERROR(__xludf.DUMMYFUNCTION("""COMPUTED_VALUE"""),"All amenities")</f>
        <v>All amenities</v>
      </c>
      <c r="K1670" s="2">
        <f>IFERROR(__xludf.DUMMYFUNCTION("""COMPUTED_VALUE"""),225000.0)</f>
        <v>225000</v>
      </c>
      <c r="L1670" s="2" t="str">
        <f>IFERROR(__xludf.DUMMYFUNCTION("""COMPUTED_VALUE"""),"NaN")</f>
        <v>NaN</v>
      </c>
      <c r="M1670" s="2" t="str">
        <f>IFERROR(__xludf.DUMMYFUNCTION("""COMPUTED_VALUE"""),"NaN")</f>
        <v>NaN</v>
      </c>
    </row>
    <row r="1671">
      <c r="A1671" s="2" t="str">
        <f>IFERROR(__xludf.DUMMYFUNCTION("""COMPUTED_VALUE"""),"For sale")</f>
        <v>For sale</v>
      </c>
      <c r="B1671" s="2" t="str">
        <f>IFERROR(__xludf.DUMMYFUNCTION("""COMPUTED_VALUE"""),"Mežaparks")</f>
        <v>Mežaparks</v>
      </c>
      <c r="C1671" s="2" t="str">
        <f>IFERROR(__xludf.DUMMYFUNCTION("""COMPUTED_VALUE"""),"Kokneses pr. 1")</f>
        <v>Kokneses pr. 1</v>
      </c>
      <c r="D1671" s="2">
        <f>IFERROR(__xludf.DUMMYFUNCTION("""COMPUTED_VALUE"""),2.0)</f>
        <v>2</v>
      </c>
      <c r="E1671" s="2">
        <f>IFERROR(__xludf.DUMMYFUNCTION("""COMPUTED_VALUE"""),61.0)</f>
        <v>61</v>
      </c>
      <c r="F1671" s="2">
        <f>IFERROR(__xludf.DUMMYFUNCTION("""COMPUTED_VALUE"""),1.0)</f>
        <v>1</v>
      </c>
      <c r="G1671" s="2">
        <f>IFERROR(__xludf.DUMMYFUNCTION("""COMPUTED_VALUE"""),3.0)</f>
        <v>3</v>
      </c>
      <c r="H1671" s="2" t="str">
        <f>IFERROR(__xludf.DUMMYFUNCTION("""COMPUTED_VALUE"""),"Jaun.")</f>
        <v>Jaun.</v>
      </c>
      <c r="I1671" s="2" t="str">
        <f>IFERROR(__xludf.DUMMYFUNCTION("""COMPUTED_VALUE"""),"Panel-Brick")</f>
        <v>Panel-Brick</v>
      </c>
      <c r="J1671" s="2" t="str">
        <f>IFERROR(__xludf.DUMMYFUNCTION("""COMPUTED_VALUE"""),"All amenities")</f>
        <v>All amenities</v>
      </c>
      <c r="K1671" s="2">
        <f>IFERROR(__xludf.DUMMYFUNCTION("""COMPUTED_VALUE"""),169000.0)</f>
        <v>169000</v>
      </c>
      <c r="L1671" s="2" t="str">
        <f>IFERROR(__xludf.DUMMYFUNCTION("""COMPUTED_VALUE"""),"NaN")</f>
        <v>NaN</v>
      </c>
      <c r="M1671" s="2" t="str">
        <f>IFERROR(__xludf.DUMMYFUNCTION("""COMPUTED_VALUE"""),"NaN")</f>
        <v>NaN</v>
      </c>
    </row>
    <row r="1672">
      <c r="A1672" s="2" t="str">
        <f>IFERROR(__xludf.DUMMYFUNCTION("""COMPUTED_VALUE"""),"For sale")</f>
        <v>For sale</v>
      </c>
      <c r="B1672" s="2" t="str">
        <f>IFERROR(__xludf.DUMMYFUNCTION("""COMPUTED_VALUE"""),"Purvciems")</f>
        <v>Purvciems</v>
      </c>
      <c r="C1672" s="2" t="str">
        <f>IFERROR(__xludf.DUMMYFUNCTION("""COMPUTED_VALUE"""),"Ainavas 2a")</f>
        <v>Ainavas 2a</v>
      </c>
      <c r="D1672" s="2">
        <f>IFERROR(__xludf.DUMMYFUNCTION("""COMPUTED_VALUE"""),3.0)</f>
        <v>3</v>
      </c>
      <c r="E1672" s="2">
        <f>IFERROR(__xludf.DUMMYFUNCTION("""COMPUTED_VALUE"""),82.0)</f>
        <v>82</v>
      </c>
      <c r="F1672" s="2">
        <f>IFERROR(__xludf.DUMMYFUNCTION("""COMPUTED_VALUE"""),4.0)</f>
        <v>4</v>
      </c>
      <c r="G1672" s="2">
        <f>IFERROR(__xludf.DUMMYFUNCTION("""COMPUTED_VALUE"""),6.0)</f>
        <v>6</v>
      </c>
      <c r="H1672" s="2" t="str">
        <f>IFERROR(__xludf.DUMMYFUNCTION("""COMPUTED_VALUE"""),"Jaun.")</f>
        <v>Jaun.</v>
      </c>
      <c r="I1672" s="2" t="str">
        <f>IFERROR(__xludf.DUMMYFUNCTION("""COMPUTED_VALUE"""),"Brick")</f>
        <v>Brick</v>
      </c>
      <c r="J1672" s="2" t="str">
        <f>IFERROR(__xludf.DUMMYFUNCTION("""COMPUTED_VALUE"""),"All amenities")</f>
        <v>All amenities</v>
      </c>
      <c r="K1672" s="2">
        <f>IFERROR(__xludf.DUMMYFUNCTION("""COMPUTED_VALUE"""),131000.0)</f>
        <v>131000</v>
      </c>
      <c r="L1672" s="2">
        <f>IFERROR(__xludf.DUMMYFUNCTION("""COMPUTED_VALUE"""),56.9638199)</f>
        <v>56.9638199</v>
      </c>
      <c r="M1672" s="2">
        <f>IFERROR(__xludf.DUMMYFUNCTION("""COMPUTED_VALUE"""),24.1897360840843)</f>
        <v>24.18973608</v>
      </c>
    </row>
    <row r="1673">
      <c r="A1673" s="2" t="str">
        <f>IFERROR(__xludf.DUMMYFUNCTION("""COMPUTED_VALUE"""),"For sale")</f>
        <v>For sale</v>
      </c>
      <c r="B1673" s="2" t="str">
        <f>IFERROR(__xludf.DUMMYFUNCTION("""COMPUTED_VALUE"""),"Mangaļi")</f>
        <v>Mangaļi</v>
      </c>
      <c r="C1673" s="2" t="str">
        <f>IFERROR(__xludf.DUMMYFUNCTION("""COMPUTED_VALUE"""),"Ostas pr. 6")</f>
        <v>Ostas pr. 6</v>
      </c>
      <c r="D1673" s="2">
        <f>IFERROR(__xludf.DUMMYFUNCTION("""COMPUTED_VALUE"""),2.0)</f>
        <v>2</v>
      </c>
      <c r="E1673" s="2">
        <f>IFERROR(__xludf.DUMMYFUNCTION("""COMPUTED_VALUE"""),45.0)</f>
        <v>45</v>
      </c>
      <c r="F1673" s="2">
        <f>IFERROR(__xludf.DUMMYFUNCTION("""COMPUTED_VALUE"""),2.0)</f>
        <v>2</v>
      </c>
      <c r="G1673" s="2">
        <f>IFERROR(__xludf.DUMMYFUNCTION("""COMPUTED_VALUE"""),5.0)</f>
        <v>5</v>
      </c>
      <c r="H1673" s="2" t="str">
        <f>IFERROR(__xludf.DUMMYFUNCTION("""COMPUTED_VALUE"""),"LT proj.")</f>
        <v>LT proj.</v>
      </c>
      <c r="I1673" s="2" t="str">
        <f>IFERROR(__xludf.DUMMYFUNCTION("""COMPUTED_VALUE"""),"Panel")</f>
        <v>Panel</v>
      </c>
      <c r="J1673" s="2" t="str">
        <f>IFERROR(__xludf.DUMMYFUNCTION("""COMPUTED_VALUE"""),"All amenities")</f>
        <v>All amenities</v>
      </c>
      <c r="K1673" s="2">
        <f>IFERROR(__xludf.DUMMYFUNCTION("""COMPUTED_VALUE"""),38000.0)</f>
        <v>38000</v>
      </c>
      <c r="L1673" s="2" t="str">
        <f>IFERROR(__xludf.DUMMYFUNCTION("""COMPUTED_VALUE"""),"NaN")</f>
        <v>NaN</v>
      </c>
      <c r="M1673" s="2" t="str">
        <f>IFERROR(__xludf.DUMMYFUNCTION("""COMPUTED_VALUE"""),"NaN")</f>
        <v>NaN</v>
      </c>
    </row>
    <row r="1674">
      <c r="A1674" s="2" t="str">
        <f>IFERROR(__xludf.DUMMYFUNCTION("""COMPUTED_VALUE"""),"For sale")</f>
        <v>For sale</v>
      </c>
      <c r="B1674" s="2" t="str">
        <f>IFERROR(__xludf.DUMMYFUNCTION("""COMPUTED_VALUE"""),"centrs")</f>
        <v>centrs</v>
      </c>
      <c r="C1674" s="2" t="str">
        <f>IFERROR(__xludf.DUMMYFUNCTION("""COMPUTED_VALUE"""),"Rūpniecības 1")</f>
        <v>Rūpniecības 1</v>
      </c>
      <c r="D1674" s="2">
        <f>IFERROR(__xludf.DUMMYFUNCTION("""COMPUTED_VALUE"""),2.0)</f>
        <v>2</v>
      </c>
      <c r="E1674" s="2">
        <f>IFERROR(__xludf.DUMMYFUNCTION("""COMPUTED_VALUE"""),72.0)</f>
        <v>72</v>
      </c>
      <c r="F1674" s="2">
        <f>IFERROR(__xludf.DUMMYFUNCTION("""COMPUTED_VALUE"""),5.0)</f>
        <v>5</v>
      </c>
      <c r="G1674" s="2">
        <f>IFERROR(__xludf.DUMMYFUNCTION("""COMPUTED_VALUE"""),6.0)</f>
        <v>6</v>
      </c>
      <c r="H1674" s="2" t="str">
        <f>IFERROR(__xludf.DUMMYFUNCTION("""COMPUTED_VALUE"""),"Renov.")</f>
        <v>Renov.</v>
      </c>
      <c r="I1674" s="2" t="str">
        <f>IFERROR(__xludf.DUMMYFUNCTION("""COMPUTED_VALUE"""),"Masonry")</f>
        <v>Masonry</v>
      </c>
      <c r="J1674" s="2" t="str">
        <f>IFERROR(__xludf.DUMMYFUNCTION("""COMPUTED_VALUE"""),"All amenities")</f>
        <v>All amenities</v>
      </c>
      <c r="K1674" s="2">
        <f>IFERROR(__xludf.DUMMYFUNCTION("""COMPUTED_VALUE"""),200000.0)</f>
        <v>200000</v>
      </c>
      <c r="L1674" s="2">
        <f>IFERROR(__xludf.DUMMYFUNCTION("""COMPUTED_VALUE"""),56.9591583)</f>
        <v>56.9591583</v>
      </c>
      <c r="M1674" s="2">
        <f>IFERROR(__xludf.DUMMYFUNCTION("""COMPUTED_VALUE"""),24.1026741144114)</f>
        <v>24.10267411</v>
      </c>
    </row>
    <row r="1675">
      <c r="A1675" s="2" t="str">
        <f>IFERROR(__xludf.DUMMYFUNCTION("""COMPUTED_VALUE"""),"For rent")</f>
        <v>For rent</v>
      </c>
      <c r="B1675" s="2" t="str">
        <f>IFERROR(__xludf.DUMMYFUNCTION("""COMPUTED_VALUE"""),"Krasta r-ns")</f>
        <v>Krasta r-ns</v>
      </c>
      <c r="C1675" s="2" t="str">
        <f>IFERROR(__xludf.DUMMYFUNCTION("""COMPUTED_VALUE"""),"Maskavas 243")</f>
        <v>Maskavas 243</v>
      </c>
      <c r="D1675" s="2">
        <f>IFERROR(__xludf.DUMMYFUNCTION("""COMPUTED_VALUE"""),3.0)</f>
        <v>3</v>
      </c>
      <c r="E1675" s="2">
        <f>IFERROR(__xludf.DUMMYFUNCTION("""COMPUTED_VALUE"""),59.0)</f>
        <v>59</v>
      </c>
      <c r="F1675" s="2">
        <f>IFERROR(__xludf.DUMMYFUNCTION("""COMPUTED_VALUE"""),3.0)</f>
        <v>3</v>
      </c>
      <c r="G1675" s="2">
        <f>IFERROR(__xludf.DUMMYFUNCTION("""COMPUTED_VALUE"""),9.0)</f>
        <v>9</v>
      </c>
      <c r="H1675" s="2" t="str">
        <f>IFERROR(__xludf.DUMMYFUNCTION("""COMPUTED_VALUE"""),"Specpr.")</f>
        <v>Specpr.</v>
      </c>
      <c r="I1675" s="2" t="str">
        <f>IFERROR(__xludf.DUMMYFUNCTION("""COMPUTED_VALUE"""),"Panel")</f>
        <v>Panel</v>
      </c>
      <c r="J1675" s="2" t="str">
        <f>IFERROR(__xludf.DUMMYFUNCTION("""COMPUTED_VALUE"""),"All amenities")</f>
        <v>All amenities</v>
      </c>
      <c r="K1675" s="2">
        <f>IFERROR(__xludf.DUMMYFUNCTION("""COMPUTED_VALUE"""),370.0)</f>
        <v>370</v>
      </c>
      <c r="L1675" s="2">
        <f>IFERROR(__xludf.DUMMYFUNCTION("""COMPUTED_VALUE"""),56.9255124)</f>
        <v>56.9255124</v>
      </c>
      <c r="M1675" s="2">
        <f>IFERROR(__xludf.DUMMYFUNCTION("""COMPUTED_VALUE"""),24.1686179999999)</f>
        <v>24.168618</v>
      </c>
    </row>
    <row r="1676">
      <c r="A1676" s="2" t="str">
        <f>IFERROR(__xludf.DUMMYFUNCTION("""COMPUTED_VALUE"""),"For rent")</f>
        <v>For rent</v>
      </c>
      <c r="B1676" s="2" t="str">
        <f>IFERROR(__xludf.DUMMYFUNCTION("""COMPUTED_VALUE"""),"Klīversala")</f>
        <v>Klīversala</v>
      </c>
      <c r="C1676" s="2" t="str">
        <f>IFERROR(__xludf.DUMMYFUNCTION("""COMPUTED_VALUE"""),"Valguma 22")</f>
        <v>Valguma 22</v>
      </c>
      <c r="D1676" s="2">
        <f>IFERROR(__xludf.DUMMYFUNCTION("""COMPUTED_VALUE"""),1.0)</f>
        <v>1</v>
      </c>
      <c r="E1676" s="2">
        <f>IFERROR(__xludf.DUMMYFUNCTION("""COMPUTED_VALUE"""),34.0)</f>
        <v>34</v>
      </c>
      <c r="F1676" s="2">
        <f>IFERROR(__xludf.DUMMYFUNCTION("""COMPUTED_VALUE"""),3.0)</f>
        <v>3</v>
      </c>
      <c r="G1676" s="2">
        <f>IFERROR(__xludf.DUMMYFUNCTION("""COMPUTED_VALUE"""),4.0)</f>
        <v>4</v>
      </c>
      <c r="H1676" s="2" t="str">
        <f>IFERROR(__xludf.DUMMYFUNCTION("""COMPUTED_VALUE"""),"Staļina")</f>
        <v>Staļina</v>
      </c>
      <c r="I1676" s="2" t="str">
        <f>IFERROR(__xludf.DUMMYFUNCTION("""COMPUTED_VALUE"""),"Masonry")</f>
        <v>Masonry</v>
      </c>
      <c r="J1676" s="2" t="str">
        <f>IFERROR(__xludf.DUMMYFUNCTION("""COMPUTED_VALUE"""),"All amenities")</f>
        <v>All amenities</v>
      </c>
      <c r="K1676" s="2">
        <f>IFERROR(__xludf.DUMMYFUNCTION("""COMPUTED_VALUE"""),260.0)</f>
        <v>260</v>
      </c>
      <c r="L1676" s="2">
        <f>IFERROR(__xludf.DUMMYFUNCTION("""COMPUTED_VALUE"""),56.9427564)</f>
        <v>56.9427564</v>
      </c>
      <c r="M1676" s="2">
        <f>IFERROR(__xludf.DUMMYFUNCTION("""COMPUTED_VALUE"""),24.0911507635373)</f>
        <v>24.09115076</v>
      </c>
    </row>
    <row r="1677">
      <c r="A1677" s="2" t="str">
        <f>IFERROR(__xludf.DUMMYFUNCTION("""COMPUTED_VALUE"""),"For sale")</f>
        <v>For sale</v>
      </c>
      <c r="B1677" s="2" t="str">
        <f>IFERROR(__xludf.DUMMYFUNCTION("""COMPUTED_VALUE"""),"Ķengarags")</f>
        <v>Ķengarags</v>
      </c>
      <c r="C1677" s="2" t="str">
        <f>IFERROR(__xludf.DUMMYFUNCTION("""COMPUTED_VALUE"""),"Prūšu 4")</f>
        <v>Prūšu 4</v>
      </c>
      <c r="D1677" s="2">
        <f>IFERROR(__xludf.DUMMYFUNCTION("""COMPUTED_VALUE"""),2.0)</f>
        <v>2</v>
      </c>
      <c r="E1677" s="2">
        <f>IFERROR(__xludf.DUMMYFUNCTION("""COMPUTED_VALUE"""),43.0)</f>
        <v>43</v>
      </c>
      <c r="F1677" s="2">
        <f>IFERROR(__xludf.DUMMYFUNCTION("""COMPUTED_VALUE"""),5.0)</f>
        <v>5</v>
      </c>
      <c r="G1677" s="2">
        <f>IFERROR(__xludf.DUMMYFUNCTION("""COMPUTED_VALUE"""),5.0)</f>
        <v>5</v>
      </c>
      <c r="H1677" s="2" t="str">
        <f>IFERROR(__xludf.DUMMYFUNCTION("""COMPUTED_VALUE"""),"Jaun.")</f>
        <v>Jaun.</v>
      </c>
      <c r="I1677" s="2" t="str">
        <f>IFERROR(__xludf.DUMMYFUNCTION("""COMPUTED_VALUE"""),"Panel")</f>
        <v>Panel</v>
      </c>
      <c r="J1677" s="2" t="str">
        <f>IFERROR(__xludf.DUMMYFUNCTION("""COMPUTED_VALUE"""),"All amenities")</f>
        <v>All amenities</v>
      </c>
      <c r="K1677" s="2">
        <f>IFERROR(__xludf.DUMMYFUNCTION("""COMPUTED_VALUE"""),54991.0)</f>
        <v>54991</v>
      </c>
      <c r="L1677" s="2">
        <f>IFERROR(__xludf.DUMMYFUNCTION("""COMPUTED_VALUE"""),56.9146747)</f>
        <v>56.9146747</v>
      </c>
      <c r="M1677" s="2">
        <f>IFERROR(__xludf.DUMMYFUNCTION("""COMPUTED_VALUE"""),24.1815079346418)</f>
        <v>24.18150793</v>
      </c>
    </row>
    <row r="1678">
      <c r="A1678" s="2" t="str">
        <f>IFERROR(__xludf.DUMMYFUNCTION("""COMPUTED_VALUE"""),"For sale")</f>
        <v>For sale</v>
      </c>
      <c r="B1678" s="2" t="str">
        <f>IFERROR(__xludf.DUMMYFUNCTION("""COMPUTED_VALUE"""),"Sarkandaugava")</f>
        <v>Sarkandaugava</v>
      </c>
      <c r="C1678" s="2" t="str">
        <f>IFERROR(__xludf.DUMMYFUNCTION("""COMPUTED_VALUE"""),"Ganību d. 6a")</f>
        <v>Ganību d. 6a</v>
      </c>
      <c r="D1678" s="2">
        <f>IFERROR(__xludf.DUMMYFUNCTION("""COMPUTED_VALUE"""),3.0)</f>
        <v>3</v>
      </c>
      <c r="E1678" s="2">
        <f>IFERROR(__xludf.DUMMYFUNCTION("""COMPUTED_VALUE"""),67.0)</f>
        <v>67</v>
      </c>
      <c r="F1678" s="2">
        <f>IFERROR(__xludf.DUMMYFUNCTION("""COMPUTED_VALUE"""),2.0)</f>
        <v>2</v>
      </c>
      <c r="G1678" s="2">
        <f>IFERROR(__xludf.DUMMYFUNCTION("""COMPUTED_VALUE"""),2.0)</f>
        <v>2</v>
      </c>
      <c r="H1678" s="2" t="str">
        <f>IFERROR(__xludf.DUMMYFUNCTION("""COMPUTED_VALUE"""),"Staļina")</f>
        <v>Staļina</v>
      </c>
      <c r="I1678" s="2" t="str">
        <f>IFERROR(__xludf.DUMMYFUNCTION("""COMPUTED_VALUE"""),"Brick")</f>
        <v>Brick</v>
      </c>
      <c r="J1678" s="2" t="str">
        <f>IFERROR(__xludf.DUMMYFUNCTION("""COMPUTED_VALUE"""),"All amenities")</f>
        <v>All amenities</v>
      </c>
      <c r="K1678" s="2">
        <f>IFERROR(__xludf.DUMMYFUNCTION("""COMPUTED_VALUE"""),62000.0)</f>
        <v>62000</v>
      </c>
      <c r="L1678" s="2">
        <f>IFERROR(__xludf.DUMMYFUNCTION("""COMPUTED_VALUE"""),56.9928319)</f>
        <v>56.9928319</v>
      </c>
      <c r="M1678" s="2">
        <f>IFERROR(__xludf.DUMMYFUNCTION("""COMPUTED_VALUE"""),24.1224521)</f>
        <v>24.1224521</v>
      </c>
    </row>
    <row r="1679">
      <c r="A1679" s="2" t="str">
        <f>IFERROR(__xludf.DUMMYFUNCTION("""COMPUTED_VALUE"""),"For sale")</f>
        <v>For sale</v>
      </c>
      <c r="B1679" s="2" t="str">
        <f>IFERROR(__xludf.DUMMYFUNCTION("""COMPUTED_VALUE"""),"Purvciems")</f>
        <v>Purvciems</v>
      </c>
      <c r="C1679" s="2" t="str">
        <f>IFERROR(__xludf.DUMMYFUNCTION("""COMPUTED_VALUE"""),"Ieriķu 18")</f>
        <v>Ieriķu 18</v>
      </c>
      <c r="D1679" s="2">
        <f>IFERROR(__xludf.DUMMYFUNCTION("""COMPUTED_VALUE"""),3.0)</f>
        <v>3</v>
      </c>
      <c r="E1679" s="2">
        <f>IFERROR(__xludf.DUMMYFUNCTION("""COMPUTED_VALUE"""),63.0)</f>
        <v>63</v>
      </c>
      <c r="F1679" s="2">
        <f>IFERROR(__xludf.DUMMYFUNCTION("""COMPUTED_VALUE"""),2.0)</f>
        <v>2</v>
      </c>
      <c r="G1679" s="2">
        <f>IFERROR(__xludf.DUMMYFUNCTION("""COMPUTED_VALUE"""),2.0)</f>
        <v>2</v>
      </c>
      <c r="H1679" s="2" t="str">
        <f>IFERROR(__xludf.DUMMYFUNCTION("""COMPUTED_VALUE"""),"Staļina")</f>
        <v>Staļina</v>
      </c>
      <c r="I1679" s="2" t="str">
        <f>IFERROR(__xludf.DUMMYFUNCTION("""COMPUTED_VALUE"""),"Masonry")</f>
        <v>Masonry</v>
      </c>
      <c r="J1679" s="2" t="str">
        <f>IFERROR(__xludf.DUMMYFUNCTION("""COMPUTED_VALUE"""),"All amenities")</f>
        <v>All amenities</v>
      </c>
      <c r="K1679" s="2">
        <f>IFERROR(__xludf.DUMMYFUNCTION("""COMPUTED_VALUE"""),77000.0)</f>
        <v>77000</v>
      </c>
      <c r="L1679" s="2">
        <f>IFERROR(__xludf.DUMMYFUNCTION("""COMPUTED_VALUE"""),56.9647624)</f>
        <v>56.9647624</v>
      </c>
      <c r="M1679" s="2">
        <f>IFERROR(__xludf.DUMMYFUNCTION("""COMPUTED_VALUE"""),24.1712880768912)</f>
        <v>24.17128808</v>
      </c>
    </row>
    <row r="1680">
      <c r="A1680" s="2" t="str">
        <f>IFERROR(__xludf.DUMMYFUNCTION("""COMPUTED_VALUE"""),"For sale")</f>
        <v>For sale</v>
      </c>
      <c r="B1680" s="2" t="str">
        <f>IFERROR(__xludf.DUMMYFUNCTION("""COMPUTED_VALUE"""),"Ziepniekkalns")</f>
        <v>Ziepniekkalns</v>
      </c>
      <c r="C1680" s="2" t="str">
        <f>IFERROR(__xludf.DUMMYFUNCTION("""COMPUTED_VALUE"""),"Komētas 15/1")</f>
        <v>Komētas 15/1</v>
      </c>
      <c r="D1680" s="2">
        <f>IFERROR(__xludf.DUMMYFUNCTION("""COMPUTED_VALUE"""),3.0)</f>
        <v>3</v>
      </c>
      <c r="E1680" s="2">
        <f>IFERROR(__xludf.DUMMYFUNCTION("""COMPUTED_VALUE"""),75.0)</f>
        <v>75</v>
      </c>
      <c r="F1680" s="2">
        <f>IFERROR(__xludf.DUMMYFUNCTION("""COMPUTED_VALUE"""),3.0)</f>
        <v>3</v>
      </c>
      <c r="G1680" s="2">
        <f>IFERROR(__xludf.DUMMYFUNCTION("""COMPUTED_VALUE"""),3.0)</f>
        <v>3</v>
      </c>
      <c r="H1680" s="2" t="str">
        <f>IFERROR(__xludf.DUMMYFUNCTION("""COMPUTED_VALUE"""),"Jaun.")</f>
        <v>Jaun.</v>
      </c>
      <c r="I1680" s="2" t="str">
        <f>IFERROR(__xludf.DUMMYFUNCTION("""COMPUTED_VALUE"""),"Masonry")</f>
        <v>Masonry</v>
      </c>
      <c r="J1680" s="2" t="str">
        <f>IFERROR(__xludf.DUMMYFUNCTION("""COMPUTED_VALUE"""),"All amenities")</f>
        <v>All amenities</v>
      </c>
      <c r="K1680" s="2">
        <f>IFERROR(__xludf.DUMMYFUNCTION("""COMPUTED_VALUE"""),130000.0)</f>
        <v>130000</v>
      </c>
      <c r="L1680" s="2">
        <f>IFERROR(__xludf.DUMMYFUNCTION("""COMPUTED_VALUE"""),56.914968)</f>
        <v>56.914968</v>
      </c>
      <c r="M1680" s="2">
        <f>IFERROR(__xludf.DUMMYFUNCTION("""COMPUTED_VALUE"""),24.12289)</f>
        <v>24.12289</v>
      </c>
    </row>
    <row r="1681">
      <c r="A1681" s="2" t="str">
        <f>IFERROR(__xludf.DUMMYFUNCTION("""COMPUTED_VALUE"""),"For sale")</f>
        <v>For sale</v>
      </c>
      <c r="B1681" s="2" t="str">
        <f>IFERROR(__xludf.DUMMYFUNCTION("""COMPUTED_VALUE"""),"Āgenskalns")</f>
        <v>Āgenskalns</v>
      </c>
      <c r="C1681" s="2" t="str">
        <f>IFERROR(__xludf.DUMMYFUNCTION("""COMPUTED_VALUE"""),"Kuldīgas 32")</f>
        <v>Kuldīgas 32</v>
      </c>
      <c r="D1681" s="2">
        <f>IFERROR(__xludf.DUMMYFUNCTION("""COMPUTED_VALUE"""),2.0)</f>
        <v>2</v>
      </c>
      <c r="E1681" s="2">
        <f>IFERROR(__xludf.DUMMYFUNCTION("""COMPUTED_VALUE"""),53.0)</f>
        <v>53</v>
      </c>
      <c r="F1681" s="2">
        <f>IFERROR(__xludf.DUMMYFUNCTION("""COMPUTED_VALUE"""),3.0)</f>
        <v>3</v>
      </c>
      <c r="G1681" s="2">
        <f>IFERROR(__xludf.DUMMYFUNCTION("""COMPUTED_VALUE"""),4.0)</f>
        <v>4</v>
      </c>
      <c r="H1681" s="2" t="str">
        <f>IFERROR(__xludf.DUMMYFUNCTION("""COMPUTED_VALUE"""),"Renov.")</f>
        <v>Renov.</v>
      </c>
      <c r="I1681" s="2" t="str">
        <f>IFERROR(__xludf.DUMMYFUNCTION("""COMPUTED_VALUE"""),"Masonry")</f>
        <v>Masonry</v>
      </c>
      <c r="J1681" s="2" t="str">
        <f>IFERROR(__xludf.DUMMYFUNCTION("""COMPUTED_VALUE"""),"All amenities")</f>
        <v>All amenities</v>
      </c>
      <c r="K1681" s="2">
        <f>IFERROR(__xludf.DUMMYFUNCTION("""COMPUTED_VALUE"""),70000.0)</f>
        <v>70000</v>
      </c>
      <c r="L1681" s="2">
        <f>IFERROR(__xludf.DUMMYFUNCTION("""COMPUTED_VALUE"""),56.9474705)</f>
        <v>56.9474705</v>
      </c>
      <c r="M1681" s="2">
        <f>IFERROR(__xludf.DUMMYFUNCTION("""COMPUTED_VALUE"""),24.0604076)</f>
        <v>24.0604076</v>
      </c>
    </row>
    <row r="1682">
      <c r="A1682" s="2" t="str">
        <f>IFERROR(__xludf.DUMMYFUNCTION("""COMPUTED_VALUE"""),"For rent")</f>
        <v>For rent</v>
      </c>
      <c r="B1682" s="2" t="str">
        <f>IFERROR(__xludf.DUMMYFUNCTION("""COMPUTED_VALUE"""),"Šampēteris-Pleskodāle")</f>
        <v>Šampēteris-Pleskodāle</v>
      </c>
      <c r="C1682" s="2" t="str">
        <f>IFERROR(__xludf.DUMMYFUNCTION("""COMPUTED_VALUE"""),"Ventspils 65a")</f>
        <v>Ventspils 65a</v>
      </c>
      <c r="D1682" s="2">
        <f>IFERROR(__xludf.DUMMYFUNCTION("""COMPUTED_VALUE"""),1.0)</f>
        <v>1</v>
      </c>
      <c r="E1682" s="2">
        <f>IFERROR(__xludf.DUMMYFUNCTION("""COMPUTED_VALUE"""),36.0)</f>
        <v>36</v>
      </c>
      <c r="F1682" s="2">
        <f>IFERROR(__xludf.DUMMYFUNCTION("""COMPUTED_VALUE"""),2.0)</f>
        <v>2</v>
      </c>
      <c r="G1682" s="2">
        <f>IFERROR(__xludf.DUMMYFUNCTION("""COMPUTED_VALUE"""),3.0)</f>
        <v>3</v>
      </c>
      <c r="H1682" s="2" t="str">
        <f>IFERROR(__xludf.DUMMYFUNCTION("""COMPUTED_VALUE"""),"Renov.")</f>
        <v>Renov.</v>
      </c>
      <c r="I1682" s="2" t="str">
        <f>IFERROR(__xludf.DUMMYFUNCTION("""COMPUTED_VALUE"""),"Brick-Panel")</f>
        <v>Brick-Panel</v>
      </c>
      <c r="J1682" s="2" t="str">
        <f>IFERROR(__xludf.DUMMYFUNCTION("""COMPUTED_VALUE"""),"All amenities")</f>
        <v>All amenities</v>
      </c>
      <c r="K1682" s="2">
        <f>IFERROR(__xludf.DUMMYFUNCTION("""COMPUTED_VALUE"""),35.0)</f>
        <v>35</v>
      </c>
      <c r="L1682" s="2">
        <f>IFERROR(__xludf.DUMMYFUNCTION("""COMPUTED_VALUE"""),56.9355136)</f>
        <v>56.9355136</v>
      </c>
      <c r="M1682" s="2">
        <f>IFERROR(__xludf.DUMMYFUNCTION("""COMPUTED_VALUE"""),24.0425072)</f>
        <v>24.0425072</v>
      </c>
    </row>
    <row r="1683">
      <c r="A1683" s="2" t="str">
        <f>IFERROR(__xludf.DUMMYFUNCTION("""COMPUTED_VALUE"""),"For sale")</f>
        <v>For sale</v>
      </c>
      <c r="B1683" s="2" t="str">
        <f>IFERROR(__xludf.DUMMYFUNCTION("""COMPUTED_VALUE"""),"centrs")</f>
        <v>centrs</v>
      </c>
      <c r="C1683" s="2" t="str">
        <f>IFERROR(__xludf.DUMMYFUNCTION("""COMPUTED_VALUE"""),"Cēsu 30")</f>
        <v>Cēsu 30</v>
      </c>
      <c r="D1683" s="2">
        <f>IFERROR(__xludf.DUMMYFUNCTION("""COMPUTED_VALUE"""),3.0)</f>
        <v>3</v>
      </c>
      <c r="E1683" s="2">
        <f>IFERROR(__xludf.DUMMYFUNCTION("""COMPUTED_VALUE"""),52.0)</f>
        <v>52</v>
      </c>
      <c r="F1683" s="2">
        <f>IFERROR(__xludf.DUMMYFUNCTION("""COMPUTED_VALUE"""),3.0)</f>
        <v>3</v>
      </c>
      <c r="G1683" s="2">
        <f>IFERROR(__xludf.DUMMYFUNCTION("""COMPUTED_VALUE"""),4.0)</f>
        <v>4</v>
      </c>
      <c r="H1683" s="2" t="str">
        <f>IFERROR(__xludf.DUMMYFUNCTION("""COMPUTED_VALUE"""),"P. kara")</f>
        <v>P. kara</v>
      </c>
      <c r="I1683" s="2" t="str">
        <f>IFERROR(__xludf.DUMMYFUNCTION("""COMPUTED_VALUE"""),"Masonry")</f>
        <v>Masonry</v>
      </c>
      <c r="J1683" s="2" t="str">
        <f>IFERROR(__xludf.DUMMYFUNCTION("""COMPUTED_VALUE"""),"All amenities")</f>
        <v>All amenities</v>
      </c>
      <c r="K1683" s="2">
        <f>IFERROR(__xludf.DUMMYFUNCTION("""COMPUTED_VALUE"""),72000.0)</f>
        <v>72000</v>
      </c>
      <c r="L1683" s="2">
        <f>IFERROR(__xludf.DUMMYFUNCTION("""COMPUTED_VALUE"""),56.9657075)</f>
        <v>56.9657075</v>
      </c>
      <c r="M1683" s="2">
        <f>IFERROR(__xludf.DUMMYFUNCTION("""COMPUTED_VALUE"""),24.1421054004298)</f>
        <v>24.1421054</v>
      </c>
    </row>
    <row r="1684">
      <c r="A1684" s="2" t="str">
        <f>IFERROR(__xludf.DUMMYFUNCTION("""COMPUTED_VALUE"""),"For sale")</f>
        <v>For sale</v>
      </c>
      <c r="B1684" s="2" t="str">
        <f>IFERROR(__xludf.DUMMYFUNCTION("""COMPUTED_VALUE"""),"centrs")</f>
        <v>centrs</v>
      </c>
      <c r="C1684" s="2" t="str">
        <f>IFERROR(__xludf.DUMMYFUNCTION("""COMPUTED_VALUE"""),"Indrānu 17")</f>
        <v>Indrānu 17</v>
      </c>
      <c r="D1684" s="2">
        <f>IFERROR(__xludf.DUMMYFUNCTION("""COMPUTED_VALUE"""),2.0)</f>
        <v>2</v>
      </c>
      <c r="E1684" s="2">
        <f>IFERROR(__xludf.DUMMYFUNCTION("""COMPUTED_VALUE"""),50.2)</f>
        <v>50.2</v>
      </c>
      <c r="F1684" s="2">
        <f>IFERROR(__xludf.DUMMYFUNCTION("""COMPUTED_VALUE"""),3.0)</f>
        <v>3</v>
      </c>
      <c r="G1684" s="2">
        <f>IFERROR(__xludf.DUMMYFUNCTION("""COMPUTED_VALUE"""),3.0)</f>
        <v>3</v>
      </c>
      <c r="H1684" s="2" t="str">
        <f>IFERROR(__xludf.DUMMYFUNCTION("""COMPUTED_VALUE"""),"Renov.")</f>
        <v>Renov.</v>
      </c>
      <c r="I1684" s="2" t="str">
        <f>IFERROR(__xludf.DUMMYFUNCTION("""COMPUTED_VALUE"""),"Masonry")</f>
        <v>Masonry</v>
      </c>
      <c r="J1684" s="2" t="str">
        <f>IFERROR(__xludf.DUMMYFUNCTION("""COMPUTED_VALUE"""),"All amenities")</f>
        <v>All amenities</v>
      </c>
      <c r="K1684" s="2">
        <f>IFERROR(__xludf.DUMMYFUNCTION("""COMPUTED_VALUE"""),106000.0)</f>
        <v>106000</v>
      </c>
      <c r="L1684" s="2">
        <f>IFERROR(__xludf.DUMMYFUNCTION("""COMPUTED_VALUE"""),56.968951)</f>
        <v>56.968951</v>
      </c>
      <c r="M1684" s="2">
        <f>IFERROR(__xludf.DUMMYFUNCTION("""COMPUTED_VALUE"""),24.1448842676771)</f>
        <v>24.14488427</v>
      </c>
    </row>
    <row r="1685">
      <c r="A1685" s="2" t="str">
        <f>IFERROR(__xludf.DUMMYFUNCTION("""COMPUTED_VALUE"""),"For sale")</f>
        <v>For sale</v>
      </c>
      <c r="B1685" s="2" t="str">
        <f>IFERROR(__xludf.DUMMYFUNCTION("""COMPUTED_VALUE"""),"Mežciems")</f>
        <v>Mežciems</v>
      </c>
      <c r="C1685" s="2" t="str">
        <f>IFERROR(__xludf.DUMMYFUNCTION("""COMPUTED_VALUE"""),"Kaivas 50, k-5")</f>
        <v>Kaivas 50, k-5</v>
      </c>
      <c r="D1685" s="2">
        <f>IFERROR(__xludf.DUMMYFUNCTION("""COMPUTED_VALUE"""),2.0)</f>
        <v>2</v>
      </c>
      <c r="E1685" s="2">
        <f>IFERROR(__xludf.DUMMYFUNCTION("""COMPUTED_VALUE"""),50.0)</f>
        <v>50</v>
      </c>
      <c r="F1685" s="2">
        <f>IFERROR(__xludf.DUMMYFUNCTION("""COMPUTED_VALUE"""),1.0)</f>
        <v>1</v>
      </c>
      <c r="G1685" s="2">
        <f>IFERROR(__xludf.DUMMYFUNCTION("""COMPUTED_VALUE"""),5.0)</f>
        <v>5</v>
      </c>
      <c r="H1685" s="2" t="str">
        <f>IFERROR(__xludf.DUMMYFUNCTION("""COMPUTED_VALUE"""),"Jaun.")</f>
        <v>Jaun.</v>
      </c>
      <c r="I1685" s="2" t="str">
        <f>IFERROR(__xludf.DUMMYFUNCTION("""COMPUTED_VALUE"""),"Masonry")</f>
        <v>Masonry</v>
      </c>
      <c r="J1685" s="2" t="str">
        <f>IFERROR(__xludf.DUMMYFUNCTION("""COMPUTED_VALUE"""),"All amenities")</f>
        <v>All amenities</v>
      </c>
      <c r="K1685" s="2">
        <f>IFERROR(__xludf.DUMMYFUNCTION("""COMPUTED_VALUE"""),64955.0)</f>
        <v>64955</v>
      </c>
      <c r="L1685" s="2">
        <f>IFERROR(__xludf.DUMMYFUNCTION("""COMPUTED_VALUE"""),56.95181495)</f>
        <v>56.95181495</v>
      </c>
      <c r="M1685" s="2">
        <f>IFERROR(__xludf.DUMMYFUNCTION("""COMPUTED_VALUE"""),24.2472396352302)</f>
        <v>24.24723964</v>
      </c>
    </row>
    <row r="1686">
      <c r="A1686" s="2" t="str">
        <f>IFERROR(__xludf.DUMMYFUNCTION("""COMPUTED_VALUE"""),"For sale")</f>
        <v>For sale</v>
      </c>
      <c r="B1686" s="2" t="str">
        <f>IFERROR(__xludf.DUMMYFUNCTION("""COMPUTED_VALUE"""),"Ziepniekkalns")</f>
        <v>Ziepniekkalns</v>
      </c>
      <c r="C1686" s="2" t="str">
        <f>IFERROR(__xludf.DUMMYFUNCTION("""COMPUTED_VALUE"""),"Vienības g. 192")</f>
        <v>Vienības g. 192</v>
      </c>
      <c r="D1686" s="2">
        <f>IFERROR(__xludf.DUMMYFUNCTION("""COMPUTED_VALUE"""),3.0)</f>
        <v>3</v>
      </c>
      <c r="E1686" s="2">
        <f>IFERROR(__xludf.DUMMYFUNCTION("""COMPUTED_VALUE"""),88.0)</f>
        <v>88</v>
      </c>
      <c r="F1686" s="2">
        <f>IFERROR(__xludf.DUMMYFUNCTION("""COMPUTED_VALUE"""),3.0)</f>
        <v>3</v>
      </c>
      <c r="G1686" s="2">
        <f>IFERROR(__xludf.DUMMYFUNCTION("""COMPUTED_VALUE"""),6.0)</f>
        <v>6</v>
      </c>
      <c r="H1686" s="2" t="str">
        <f>IFERROR(__xludf.DUMMYFUNCTION("""COMPUTED_VALUE"""),"Jaun.")</f>
        <v>Jaun.</v>
      </c>
      <c r="I1686" s="2" t="str">
        <f>IFERROR(__xludf.DUMMYFUNCTION("""COMPUTED_VALUE"""),"Panel")</f>
        <v>Panel</v>
      </c>
      <c r="J1686" s="2" t="str">
        <f>IFERROR(__xludf.DUMMYFUNCTION("""COMPUTED_VALUE"""),"All amenities")</f>
        <v>All amenities</v>
      </c>
      <c r="K1686" s="2">
        <f>IFERROR(__xludf.DUMMYFUNCTION("""COMPUTED_VALUE"""),147000.0)</f>
        <v>147000</v>
      </c>
      <c r="L1686" s="2">
        <f>IFERROR(__xludf.DUMMYFUNCTION("""COMPUTED_VALUE"""),56.918403)</f>
        <v>56.918403</v>
      </c>
      <c r="M1686" s="2">
        <f>IFERROR(__xludf.DUMMYFUNCTION("""COMPUTED_VALUE"""),24.0883001)</f>
        <v>24.0883001</v>
      </c>
    </row>
    <row r="1687">
      <c r="A1687" s="2" t="str">
        <f>IFERROR(__xludf.DUMMYFUNCTION("""COMPUTED_VALUE"""),"For sale")</f>
        <v>For sale</v>
      </c>
      <c r="B1687" s="2" t="str">
        <f>IFERROR(__xludf.DUMMYFUNCTION("""COMPUTED_VALUE"""),"Dzegužkalns")</f>
        <v>Dzegužkalns</v>
      </c>
      <c r="C1687" s="2" t="str">
        <f>IFERROR(__xludf.DUMMYFUNCTION("""COMPUTED_VALUE"""),"Usmas 9")</f>
        <v>Usmas 9</v>
      </c>
      <c r="D1687" s="2">
        <f>IFERROR(__xludf.DUMMYFUNCTION("""COMPUTED_VALUE"""),2.0)</f>
        <v>2</v>
      </c>
      <c r="E1687" s="2">
        <f>IFERROR(__xludf.DUMMYFUNCTION("""COMPUTED_VALUE"""),38.0)</f>
        <v>38</v>
      </c>
      <c r="F1687" s="2">
        <f>IFERROR(__xludf.DUMMYFUNCTION("""COMPUTED_VALUE"""),1.0)</f>
        <v>1</v>
      </c>
      <c r="G1687" s="2">
        <f>IFERROR(__xludf.DUMMYFUNCTION("""COMPUTED_VALUE"""),5.0)</f>
        <v>5</v>
      </c>
      <c r="H1687" s="2" t="str">
        <f>IFERROR(__xludf.DUMMYFUNCTION("""COMPUTED_VALUE"""),"LT proj.")</f>
        <v>LT proj.</v>
      </c>
      <c r="I1687" s="2" t="str">
        <f>IFERROR(__xludf.DUMMYFUNCTION("""COMPUTED_VALUE"""),"Panel")</f>
        <v>Panel</v>
      </c>
      <c r="J1687" s="2" t="str">
        <f>IFERROR(__xludf.DUMMYFUNCTION("""COMPUTED_VALUE"""),"All amenities")</f>
        <v>All amenities</v>
      </c>
      <c r="K1687" s="2">
        <f>IFERROR(__xludf.DUMMYFUNCTION("""COMPUTED_VALUE"""),38000.0)</f>
        <v>38000</v>
      </c>
      <c r="L1687" s="2">
        <f>IFERROR(__xludf.DUMMYFUNCTION("""COMPUTED_VALUE"""),56.95368175)</f>
        <v>56.95368175</v>
      </c>
      <c r="M1687" s="2">
        <f>IFERROR(__xludf.DUMMYFUNCTION("""COMPUTED_VALUE"""),24.049096060481)</f>
        <v>24.04909606</v>
      </c>
    </row>
    <row r="1688">
      <c r="A1688" s="2" t="str">
        <f>IFERROR(__xludf.DUMMYFUNCTION("""COMPUTED_VALUE"""),"For sale")</f>
        <v>For sale</v>
      </c>
      <c r="B1688" s="2" t="str">
        <f>IFERROR(__xludf.DUMMYFUNCTION("""COMPUTED_VALUE"""),"Vecmīlgrāvis")</f>
        <v>Vecmīlgrāvis</v>
      </c>
      <c r="C1688" s="2" t="str">
        <f>IFERROR(__xludf.DUMMYFUNCTION("""COMPUTED_VALUE"""),"Emmas 12a")</f>
        <v>Emmas 12a</v>
      </c>
      <c r="D1688" s="2">
        <f>IFERROR(__xludf.DUMMYFUNCTION("""COMPUTED_VALUE"""),2.0)</f>
        <v>2</v>
      </c>
      <c r="E1688" s="2">
        <f>IFERROR(__xludf.DUMMYFUNCTION("""COMPUTED_VALUE"""),82.0)</f>
        <v>82</v>
      </c>
      <c r="F1688" s="2">
        <f>IFERROR(__xludf.DUMMYFUNCTION("""COMPUTED_VALUE"""),1.0)</f>
        <v>1</v>
      </c>
      <c r="G1688" s="2">
        <f>IFERROR(__xludf.DUMMYFUNCTION("""COMPUTED_VALUE"""),3.0)</f>
        <v>3</v>
      </c>
      <c r="H1688" s="2" t="str">
        <f>IFERROR(__xludf.DUMMYFUNCTION("""COMPUTED_VALUE"""),"Staļina")</f>
        <v>Staļina</v>
      </c>
      <c r="I1688" s="2" t="str">
        <f>IFERROR(__xludf.DUMMYFUNCTION("""COMPUTED_VALUE"""),"Masonry")</f>
        <v>Masonry</v>
      </c>
      <c r="J1688" s="2" t="str">
        <f>IFERROR(__xludf.DUMMYFUNCTION("""COMPUTED_VALUE"""),"All amenities")</f>
        <v>All amenities</v>
      </c>
      <c r="K1688" s="2">
        <f>IFERROR(__xludf.DUMMYFUNCTION("""COMPUTED_VALUE"""),32000.0)</f>
        <v>32000</v>
      </c>
      <c r="L1688" s="2">
        <f>IFERROR(__xludf.DUMMYFUNCTION("""COMPUTED_VALUE"""),57.0290793)</f>
        <v>57.0290793</v>
      </c>
      <c r="M1688" s="2">
        <f>IFERROR(__xludf.DUMMYFUNCTION("""COMPUTED_VALUE"""),24.1110987)</f>
        <v>24.1110987</v>
      </c>
    </row>
    <row r="1689">
      <c r="A1689" s="2" t="str">
        <f>IFERROR(__xludf.DUMMYFUNCTION("""COMPUTED_VALUE"""),"For sale")</f>
        <v>For sale</v>
      </c>
      <c r="B1689" s="2" t="str">
        <f>IFERROR(__xludf.DUMMYFUNCTION("""COMPUTED_VALUE"""),"centrs")</f>
        <v>centrs</v>
      </c>
      <c r="C1689" s="2" t="str">
        <f>IFERROR(__xludf.DUMMYFUNCTION("""COMPUTED_VALUE"""),"Miera 5")</f>
        <v>Miera 5</v>
      </c>
      <c r="D1689" s="2">
        <f>IFERROR(__xludf.DUMMYFUNCTION("""COMPUTED_VALUE"""),2.0)</f>
        <v>2</v>
      </c>
      <c r="E1689" s="2">
        <f>IFERROR(__xludf.DUMMYFUNCTION("""COMPUTED_VALUE"""),165.0)</f>
        <v>165</v>
      </c>
      <c r="F1689" s="2">
        <f>IFERROR(__xludf.DUMMYFUNCTION("""COMPUTED_VALUE"""),6.0)</f>
        <v>6</v>
      </c>
      <c r="G1689" s="2">
        <f>IFERROR(__xludf.DUMMYFUNCTION("""COMPUTED_VALUE"""),6.0)</f>
        <v>6</v>
      </c>
      <c r="H1689" s="2" t="str">
        <f>IFERROR(__xludf.DUMMYFUNCTION("""COMPUTED_VALUE"""),"P. kara")</f>
        <v>P. kara</v>
      </c>
      <c r="I1689" s="2" t="str">
        <f>IFERROR(__xludf.DUMMYFUNCTION("""COMPUTED_VALUE"""),"Masonry")</f>
        <v>Masonry</v>
      </c>
      <c r="J1689" s="2" t="str">
        <f>IFERROR(__xludf.DUMMYFUNCTION("""COMPUTED_VALUE"""),"All amenities")</f>
        <v>All amenities</v>
      </c>
      <c r="K1689" s="2">
        <f>IFERROR(__xludf.DUMMYFUNCTION("""COMPUTED_VALUE"""),231000.0)</f>
        <v>231000</v>
      </c>
      <c r="L1689" s="2">
        <f>IFERROR(__xludf.DUMMYFUNCTION("""COMPUTED_VALUE"""),56.9665763)</f>
        <v>56.9665763</v>
      </c>
      <c r="M1689" s="2">
        <f>IFERROR(__xludf.DUMMYFUNCTION("""COMPUTED_VALUE"""),24.1337504)</f>
        <v>24.1337504</v>
      </c>
    </row>
    <row r="1690">
      <c r="A1690" s="2" t="str">
        <f>IFERROR(__xludf.DUMMYFUNCTION("""COMPUTED_VALUE"""),"For sale")</f>
        <v>For sale</v>
      </c>
      <c r="B1690" s="2" t="str">
        <f>IFERROR(__xludf.DUMMYFUNCTION("""COMPUTED_VALUE"""),"Āgenskalns")</f>
        <v>Āgenskalns</v>
      </c>
      <c r="C1690" s="2" t="str">
        <f>IFERROR(__xludf.DUMMYFUNCTION("""COMPUTED_VALUE"""),"Kuldīgas 32")</f>
        <v>Kuldīgas 32</v>
      </c>
      <c r="D1690" s="2">
        <f>IFERROR(__xludf.DUMMYFUNCTION("""COMPUTED_VALUE"""),4.0)</f>
        <v>4</v>
      </c>
      <c r="E1690" s="2">
        <f>IFERROR(__xludf.DUMMYFUNCTION("""COMPUTED_VALUE"""),112.0)</f>
        <v>112</v>
      </c>
      <c r="F1690" s="2">
        <f>IFERROR(__xludf.DUMMYFUNCTION("""COMPUTED_VALUE"""),4.0)</f>
        <v>4</v>
      </c>
      <c r="G1690" s="2">
        <f>IFERROR(__xludf.DUMMYFUNCTION("""COMPUTED_VALUE"""),4.0)</f>
        <v>4</v>
      </c>
      <c r="H1690" s="2" t="str">
        <f>IFERROR(__xludf.DUMMYFUNCTION("""COMPUTED_VALUE"""),"Renov.")</f>
        <v>Renov.</v>
      </c>
      <c r="I1690" s="2" t="str">
        <f>IFERROR(__xludf.DUMMYFUNCTION("""COMPUTED_VALUE"""),"Masonry")</f>
        <v>Masonry</v>
      </c>
      <c r="J1690" s="2" t="str">
        <f>IFERROR(__xludf.DUMMYFUNCTION("""COMPUTED_VALUE"""),"All amenities")</f>
        <v>All amenities</v>
      </c>
      <c r="K1690" s="2">
        <f>IFERROR(__xludf.DUMMYFUNCTION("""COMPUTED_VALUE"""),143000.0)</f>
        <v>143000</v>
      </c>
      <c r="L1690" s="2">
        <f>IFERROR(__xludf.DUMMYFUNCTION("""COMPUTED_VALUE"""),56.9474705)</f>
        <v>56.9474705</v>
      </c>
      <c r="M1690" s="2">
        <f>IFERROR(__xludf.DUMMYFUNCTION("""COMPUTED_VALUE"""),24.0604076)</f>
        <v>24.0604076</v>
      </c>
    </row>
    <row r="1691">
      <c r="A1691" s="2" t="str">
        <f>IFERROR(__xludf.DUMMYFUNCTION("""COMPUTED_VALUE"""),"For sale")</f>
        <v>For sale</v>
      </c>
      <c r="B1691" s="2" t="str">
        <f>IFERROR(__xludf.DUMMYFUNCTION("""COMPUTED_VALUE"""),"centrs")</f>
        <v>centrs</v>
      </c>
      <c r="C1691" s="2" t="str">
        <f>IFERROR(__xludf.DUMMYFUNCTION("""COMPUTED_VALUE"""),"Barona 30")</f>
        <v>Barona 30</v>
      </c>
      <c r="D1691" s="2">
        <f>IFERROR(__xludf.DUMMYFUNCTION("""COMPUTED_VALUE"""),3.0)</f>
        <v>3</v>
      </c>
      <c r="E1691" s="2">
        <f>IFERROR(__xludf.DUMMYFUNCTION("""COMPUTED_VALUE"""),95.0)</f>
        <v>95</v>
      </c>
      <c r="F1691" s="2">
        <f>IFERROR(__xludf.DUMMYFUNCTION("""COMPUTED_VALUE"""),2.0)</f>
        <v>2</v>
      </c>
      <c r="G1691" s="2">
        <f>IFERROR(__xludf.DUMMYFUNCTION("""COMPUTED_VALUE"""),6.0)</f>
        <v>6</v>
      </c>
      <c r="H1691" s="2" t="str">
        <f>IFERROR(__xludf.DUMMYFUNCTION("""COMPUTED_VALUE"""),"P. kara")</f>
        <v>P. kara</v>
      </c>
      <c r="I1691" s="2" t="str">
        <f>IFERROR(__xludf.DUMMYFUNCTION("""COMPUTED_VALUE"""),"Masonry")</f>
        <v>Masonry</v>
      </c>
      <c r="J1691" s="2" t="str">
        <f>IFERROR(__xludf.DUMMYFUNCTION("""COMPUTED_VALUE"""),"All amenities")</f>
        <v>All amenities</v>
      </c>
      <c r="K1691" s="2">
        <f>IFERROR(__xludf.DUMMYFUNCTION("""COMPUTED_VALUE"""),237000.0)</f>
        <v>237000</v>
      </c>
      <c r="L1691" s="2">
        <f>IFERROR(__xludf.DUMMYFUNCTION("""COMPUTED_VALUE"""),56.9523528)</f>
        <v>56.9523528</v>
      </c>
      <c r="M1691" s="2">
        <f>IFERROR(__xludf.DUMMYFUNCTION("""COMPUTED_VALUE"""),24.1238417)</f>
        <v>24.1238417</v>
      </c>
    </row>
    <row r="1692">
      <c r="A1692" s="2" t="str">
        <f>IFERROR(__xludf.DUMMYFUNCTION("""COMPUTED_VALUE"""),"For rent")</f>
        <v>For rent</v>
      </c>
      <c r="B1692" s="2" t="str">
        <f>IFERROR(__xludf.DUMMYFUNCTION("""COMPUTED_VALUE"""),"Purvciems")</f>
        <v>Purvciems</v>
      </c>
      <c r="C1692" s="2" t="str">
        <f>IFERROR(__xludf.DUMMYFUNCTION("""COMPUTED_VALUE"""),"Nīcgales 12")</f>
        <v>Nīcgales 12</v>
      </c>
      <c r="D1692" s="2">
        <f>IFERROR(__xludf.DUMMYFUNCTION("""COMPUTED_VALUE"""),1.0)</f>
        <v>1</v>
      </c>
      <c r="E1692" s="2">
        <f>IFERROR(__xludf.DUMMYFUNCTION("""COMPUTED_VALUE"""),28.0)</f>
        <v>28</v>
      </c>
      <c r="F1692" s="2">
        <f>IFERROR(__xludf.DUMMYFUNCTION("""COMPUTED_VALUE"""),4.0)</f>
        <v>4</v>
      </c>
      <c r="G1692" s="2">
        <f>IFERROR(__xludf.DUMMYFUNCTION("""COMPUTED_VALUE"""),5.0)</f>
        <v>5</v>
      </c>
      <c r="H1692" s="2" t="str">
        <f>IFERROR(__xludf.DUMMYFUNCTION("""COMPUTED_VALUE"""),"LT proj.")</f>
        <v>LT proj.</v>
      </c>
      <c r="I1692" s="2" t="str">
        <f>IFERROR(__xludf.DUMMYFUNCTION("""COMPUTED_VALUE"""),"Panel")</f>
        <v>Panel</v>
      </c>
      <c r="J1692" s="2" t="str">
        <f>IFERROR(__xludf.DUMMYFUNCTION("""COMPUTED_VALUE"""),"All amenities")</f>
        <v>All amenities</v>
      </c>
      <c r="K1692" s="2">
        <f>IFERROR(__xludf.DUMMYFUNCTION("""COMPUTED_VALUE"""),280.0)</f>
        <v>280</v>
      </c>
      <c r="L1692" s="2">
        <f>IFERROR(__xludf.DUMMYFUNCTION("""COMPUTED_VALUE"""),56.95717545)</f>
        <v>56.95717545</v>
      </c>
      <c r="M1692" s="2">
        <f>IFERROR(__xludf.DUMMYFUNCTION("""COMPUTED_VALUE"""),24.17599405)</f>
        <v>24.17599405</v>
      </c>
    </row>
    <row r="1693">
      <c r="A1693" s="2" t="str">
        <f>IFERROR(__xludf.DUMMYFUNCTION("""COMPUTED_VALUE"""),"For rent")</f>
        <v>For rent</v>
      </c>
      <c r="B1693" s="2" t="str">
        <f>IFERROR(__xludf.DUMMYFUNCTION("""COMPUTED_VALUE"""),"Ķīpsala")</f>
        <v>Ķīpsala</v>
      </c>
      <c r="C1693" s="2" t="str">
        <f>IFERROR(__xludf.DUMMYFUNCTION("""COMPUTED_VALUE"""),"Balasta d. 70")</f>
        <v>Balasta d. 70</v>
      </c>
      <c r="D1693" s="2">
        <f>IFERROR(__xludf.DUMMYFUNCTION("""COMPUTED_VALUE"""),4.0)</f>
        <v>4</v>
      </c>
      <c r="E1693" s="2">
        <f>IFERROR(__xludf.DUMMYFUNCTION("""COMPUTED_VALUE"""),161.0)</f>
        <v>161</v>
      </c>
      <c r="F1693" s="2">
        <f>IFERROR(__xludf.DUMMYFUNCTION("""COMPUTED_VALUE"""),3.0)</f>
        <v>3</v>
      </c>
      <c r="G1693" s="2">
        <f>IFERROR(__xludf.DUMMYFUNCTION("""COMPUTED_VALUE"""),3.0)</f>
        <v>3</v>
      </c>
      <c r="H1693" s="2" t="str">
        <f>IFERROR(__xludf.DUMMYFUNCTION("""COMPUTED_VALUE"""),"Renov.")</f>
        <v>Renov.</v>
      </c>
      <c r="I1693" s="2" t="str">
        <f>IFERROR(__xludf.DUMMYFUNCTION("""COMPUTED_VALUE"""),"Masonry")</f>
        <v>Masonry</v>
      </c>
      <c r="J1693" s="2" t="str">
        <f>IFERROR(__xludf.DUMMYFUNCTION("""COMPUTED_VALUE"""),"All amenities")</f>
        <v>All amenities</v>
      </c>
      <c r="K1693" s="2">
        <f>IFERROR(__xludf.DUMMYFUNCTION("""COMPUTED_VALUE"""),1780.0)</f>
        <v>1780</v>
      </c>
      <c r="L1693" s="2">
        <f>IFERROR(__xludf.DUMMYFUNCTION("""COMPUTED_VALUE"""),56.9489344)</f>
        <v>56.9489344</v>
      </c>
      <c r="M1693" s="2">
        <f>IFERROR(__xludf.DUMMYFUNCTION("""COMPUTED_VALUE"""),24.0882804)</f>
        <v>24.0882804</v>
      </c>
    </row>
    <row r="1694">
      <c r="A1694" s="2" t="str">
        <f>IFERROR(__xludf.DUMMYFUNCTION("""COMPUTED_VALUE"""),"For sale")</f>
        <v>For sale</v>
      </c>
      <c r="B1694" s="2" t="str">
        <f>IFERROR(__xludf.DUMMYFUNCTION("""COMPUTED_VALUE"""),"Imanta")</f>
        <v>Imanta</v>
      </c>
      <c r="C1694" s="2" t="str">
        <f>IFERROR(__xludf.DUMMYFUNCTION("""COMPUTED_VALUE"""),"Anniņmuižas bulvāris 82")</f>
        <v>Anniņmuižas bulvāris 82</v>
      </c>
      <c r="D1694" s="2">
        <f>IFERROR(__xludf.DUMMYFUNCTION("""COMPUTED_VALUE"""),3.0)</f>
        <v>3</v>
      </c>
      <c r="E1694" s="2">
        <f>IFERROR(__xludf.DUMMYFUNCTION("""COMPUTED_VALUE"""),60.0)</f>
        <v>60</v>
      </c>
      <c r="F1694" s="2">
        <f>IFERROR(__xludf.DUMMYFUNCTION("""COMPUTED_VALUE"""),9.0)</f>
        <v>9</v>
      </c>
      <c r="G1694" s="2">
        <f>IFERROR(__xludf.DUMMYFUNCTION("""COMPUTED_VALUE"""),9.0)</f>
        <v>9</v>
      </c>
      <c r="H1694" s="2">
        <f>IFERROR(__xludf.DUMMYFUNCTION("""COMPUTED_VALUE"""),467.0)</f>
        <v>467</v>
      </c>
      <c r="I1694" s="2" t="str">
        <f>IFERROR(__xludf.DUMMYFUNCTION("""COMPUTED_VALUE"""),"Panel")</f>
        <v>Panel</v>
      </c>
      <c r="J1694" s="2" t="str">
        <f>IFERROR(__xludf.DUMMYFUNCTION("""COMPUTED_VALUE"""),"All amenities")</f>
        <v>All amenities</v>
      </c>
      <c r="K1694" s="2">
        <f>IFERROR(__xludf.DUMMYFUNCTION("""COMPUTED_VALUE"""),63500.0)</f>
        <v>63500</v>
      </c>
      <c r="L1694" s="2">
        <f>IFERROR(__xludf.DUMMYFUNCTION("""COMPUTED_VALUE"""),56.9551187)</f>
        <v>56.9551187</v>
      </c>
      <c r="M1694" s="2">
        <f>IFERROR(__xludf.DUMMYFUNCTION("""COMPUTED_VALUE"""),24.0079701)</f>
        <v>24.0079701</v>
      </c>
    </row>
    <row r="1695">
      <c r="A1695" s="2" t="str">
        <f>IFERROR(__xludf.DUMMYFUNCTION("""COMPUTED_VALUE"""),"For sale")</f>
        <v>For sale</v>
      </c>
      <c r="B1695" s="2" t="str">
        <f>IFERROR(__xludf.DUMMYFUNCTION("""COMPUTED_VALUE"""),"Ziepniekkalns")</f>
        <v>Ziepniekkalns</v>
      </c>
      <c r="C1695" s="2" t="str">
        <f>IFERROR(__xludf.DUMMYFUNCTION("""COMPUTED_VALUE"""),"Ozolciema 24/1")</f>
        <v>Ozolciema 24/1</v>
      </c>
      <c r="D1695" s="2">
        <f>IFERROR(__xludf.DUMMYFUNCTION("""COMPUTED_VALUE"""),1.0)</f>
        <v>1</v>
      </c>
      <c r="E1695" s="2">
        <f>IFERROR(__xludf.DUMMYFUNCTION("""COMPUTED_VALUE"""),43.0)</f>
        <v>43</v>
      </c>
      <c r="F1695" s="2">
        <f>IFERROR(__xludf.DUMMYFUNCTION("""COMPUTED_VALUE"""),10.0)</f>
        <v>10</v>
      </c>
      <c r="G1695" s="2">
        <f>IFERROR(__xludf.DUMMYFUNCTION("""COMPUTED_VALUE"""),10.0)</f>
        <v>10</v>
      </c>
      <c r="H1695" s="2">
        <f>IFERROR(__xludf.DUMMYFUNCTION("""COMPUTED_VALUE"""),119.0)</f>
        <v>119</v>
      </c>
      <c r="I1695" s="2" t="str">
        <f>IFERROR(__xludf.DUMMYFUNCTION("""COMPUTED_VALUE"""),"Panel")</f>
        <v>Panel</v>
      </c>
      <c r="J1695" s="2" t="str">
        <f>IFERROR(__xludf.DUMMYFUNCTION("""COMPUTED_VALUE"""),"All amenities")</f>
        <v>All amenities</v>
      </c>
      <c r="K1695" s="2">
        <f>IFERROR(__xludf.DUMMYFUNCTION("""COMPUTED_VALUE"""),43700.0)</f>
        <v>43700</v>
      </c>
      <c r="L1695" s="2">
        <f>IFERROR(__xludf.DUMMYFUNCTION("""COMPUTED_VALUE"""),56.8990307)</f>
        <v>56.8990307</v>
      </c>
      <c r="M1695" s="2">
        <f>IFERROR(__xludf.DUMMYFUNCTION("""COMPUTED_VALUE"""),24.0785989)</f>
        <v>24.0785989</v>
      </c>
    </row>
    <row r="1696">
      <c r="A1696" s="2" t="str">
        <f>IFERROR(__xludf.DUMMYFUNCTION("""COMPUTED_VALUE"""),"For sale")</f>
        <v>For sale</v>
      </c>
      <c r="B1696" s="2" t="str">
        <f>IFERROR(__xludf.DUMMYFUNCTION("""COMPUTED_VALUE"""),"Mežciems")</f>
        <v>Mežciems</v>
      </c>
      <c r="C1696" s="2" t="str">
        <f>IFERROR(__xludf.DUMMYFUNCTION("""COMPUTED_VALUE"""),"Eizenšteina 57")</f>
        <v>Eizenšteina 57</v>
      </c>
      <c r="D1696" s="2">
        <f>IFERROR(__xludf.DUMMYFUNCTION("""COMPUTED_VALUE"""),3.0)</f>
        <v>3</v>
      </c>
      <c r="E1696" s="2">
        <f>IFERROR(__xludf.DUMMYFUNCTION("""COMPUTED_VALUE"""),65.0)</f>
        <v>65</v>
      </c>
      <c r="F1696" s="2">
        <f>IFERROR(__xludf.DUMMYFUNCTION("""COMPUTED_VALUE"""),2.0)</f>
        <v>2</v>
      </c>
      <c r="G1696" s="2">
        <f>IFERROR(__xludf.DUMMYFUNCTION("""COMPUTED_VALUE"""),9.0)</f>
        <v>9</v>
      </c>
      <c r="H1696" s="2">
        <f>IFERROR(__xludf.DUMMYFUNCTION("""COMPUTED_VALUE"""),602.0)</f>
        <v>602</v>
      </c>
      <c r="I1696" s="2" t="str">
        <f>IFERROR(__xludf.DUMMYFUNCTION("""COMPUTED_VALUE"""),"Panel")</f>
        <v>Panel</v>
      </c>
      <c r="J1696" s="2" t="str">
        <f>IFERROR(__xludf.DUMMYFUNCTION("""COMPUTED_VALUE"""),"All amenities")</f>
        <v>All amenities</v>
      </c>
      <c r="K1696" s="2">
        <f>IFERROR(__xludf.DUMMYFUNCTION("""COMPUTED_VALUE"""),76000.0)</f>
        <v>76000</v>
      </c>
      <c r="L1696" s="2">
        <f>IFERROR(__xludf.DUMMYFUNCTION("""COMPUTED_VALUE"""),56.96342305)</f>
        <v>56.96342305</v>
      </c>
      <c r="M1696" s="2">
        <f>IFERROR(__xludf.DUMMYFUNCTION("""COMPUTED_VALUE"""),24.2351297251986)</f>
        <v>24.23512973</v>
      </c>
    </row>
    <row r="1697">
      <c r="A1697" s="2" t="str">
        <f>IFERROR(__xludf.DUMMYFUNCTION("""COMPUTED_VALUE"""),"For rent")</f>
        <v>For rent</v>
      </c>
      <c r="B1697" s="2" t="str">
        <f>IFERROR(__xludf.DUMMYFUNCTION("""COMPUTED_VALUE"""),"Purvciems")</f>
        <v>Purvciems</v>
      </c>
      <c r="C1697" s="2" t="str">
        <f>IFERROR(__xludf.DUMMYFUNCTION("""COMPUTED_VALUE"""),"Stirnu 19a")</f>
        <v>Stirnu 19a</v>
      </c>
      <c r="D1697" s="2">
        <f>IFERROR(__xludf.DUMMYFUNCTION("""COMPUTED_VALUE"""),2.0)</f>
        <v>2</v>
      </c>
      <c r="E1697" s="2">
        <f>IFERROR(__xludf.DUMMYFUNCTION("""COMPUTED_VALUE"""),37.0)</f>
        <v>37</v>
      </c>
      <c r="F1697" s="2">
        <f>IFERROR(__xludf.DUMMYFUNCTION("""COMPUTED_VALUE"""),2.0)</f>
        <v>2</v>
      </c>
      <c r="G1697" s="2">
        <f>IFERROR(__xludf.DUMMYFUNCTION("""COMPUTED_VALUE"""),5.0)</f>
        <v>5</v>
      </c>
      <c r="H1697" s="2" t="str">
        <f>IFERROR(__xludf.DUMMYFUNCTION("""COMPUTED_VALUE"""),"LT proj.")</f>
        <v>LT proj.</v>
      </c>
      <c r="I1697" s="2" t="str">
        <f>IFERROR(__xludf.DUMMYFUNCTION("""COMPUTED_VALUE"""),"Panel")</f>
        <v>Panel</v>
      </c>
      <c r="J1697" s="2" t="str">
        <f>IFERROR(__xludf.DUMMYFUNCTION("""COMPUTED_VALUE"""),"All amenities")</f>
        <v>All amenities</v>
      </c>
      <c r="K1697" s="2">
        <f>IFERROR(__xludf.DUMMYFUNCTION("""COMPUTED_VALUE"""),300.0)</f>
        <v>300</v>
      </c>
      <c r="L1697" s="2">
        <f>IFERROR(__xludf.DUMMYFUNCTION("""COMPUTED_VALUE"""),56.95698215)</f>
        <v>56.95698215</v>
      </c>
      <c r="M1697" s="2">
        <f>IFERROR(__xludf.DUMMYFUNCTION("""COMPUTED_VALUE"""),24.1805314081534)</f>
        <v>24.18053141</v>
      </c>
    </row>
    <row r="1698">
      <c r="A1698" s="2" t="str">
        <f>IFERROR(__xludf.DUMMYFUNCTION("""COMPUTED_VALUE"""),"For sale")</f>
        <v>For sale</v>
      </c>
      <c r="B1698" s="2" t="str">
        <f>IFERROR(__xludf.DUMMYFUNCTION("""COMPUTED_VALUE"""),"Ķengarags")</f>
        <v>Ķengarags</v>
      </c>
      <c r="C1698" s="2" t="str">
        <f>IFERROR(__xludf.DUMMYFUNCTION("""COMPUTED_VALUE"""),"Salaspils 18")</f>
        <v>Salaspils 18</v>
      </c>
      <c r="D1698" s="2">
        <f>IFERROR(__xludf.DUMMYFUNCTION("""COMPUTED_VALUE"""),2.0)</f>
        <v>2</v>
      </c>
      <c r="E1698" s="2">
        <f>IFERROR(__xludf.DUMMYFUNCTION("""COMPUTED_VALUE"""),44.0)</f>
        <v>44</v>
      </c>
      <c r="F1698" s="2">
        <f>IFERROR(__xludf.DUMMYFUNCTION("""COMPUTED_VALUE"""),1.0)</f>
        <v>1</v>
      </c>
      <c r="G1698" s="2">
        <f>IFERROR(__xludf.DUMMYFUNCTION("""COMPUTED_VALUE"""),5.0)</f>
        <v>5</v>
      </c>
      <c r="H1698" s="2" t="str">
        <f>IFERROR(__xludf.DUMMYFUNCTION("""COMPUTED_VALUE"""),"LT proj.")</f>
        <v>LT proj.</v>
      </c>
      <c r="I1698" s="2" t="str">
        <f>IFERROR(__xludf.DUMMYFUNCTION("""COMPUTED_VALUE"""),"Panel")</f>
        <v>Panel</v>
      </c>
      <c r="J1698" s="2" t="str">
        <f>IFERROR(__xludf.DUMMYFUNCTION("""COMPUTED_VALUE"""),"All amenities")</f>
        <v>All amenities</v>
      </c>
      <c r="K1698" s="2">
        <f>IFERROR(__xludf.DUMMYFUNCTION("""COMPUTED_VALUE"""),35000.0)</f>
        <v>35000</v>
      </c>
      <c r="L1698" s="2">
        <f>IFERROR(__xludf.DUMMYFUNCTION("""COMPUTED_VALUE"""),56.8597884)</f>
        <v>56.8597884</v>
      </c>
      <c r="M1698" s="2">
        <f>IFERROR(__xludf.DUMMYFUNCTION("""COMPUTED_VALUE"""),24.3083417)</f>
        <v>24.3083417</v>
      </c>
    </row>
    <row r="1699">
      <c r="A1699" s="2" t="str">
        <f>IFERROR(__xludf.DUMMYFUNCTION("""COMPUTED_VALUE"""),"For sale")</f>
        <v>For sale</v>
      </c>
      <c r="B1699" s="2" t="str">
        <f>IFERROR(__xludf.DUMMYFUNCTION("""COMPUTED_VALUE"""),"centrs")</f>
        <v>centrs</v>
      </c>
      <c r="C1699" s="2" t="str">
        <f>IFERROR(__xludf.DUMMYFUNCTION("""COMPUTED_VALUE"""),"Maskavas 95")</f>
        <v>Maskavas 95</v>
      </c>
      <c r="D1699" s="2">
        <f>IFERROR(__xludf.DUMMYFUNCTION("""COMPUTED_VALUE"""),2.0)</f>
        <v>2</v>
      </c>
      <c r="E1699" s="2">
        <f>IFERROR(__xludf.DUMMYFUNCTION("""COMPUTED_VALUE"""),52.0)</f>
        <v>52</v>
      </c>
      <c r="F1699" s="2">
        <f>IFERROR(__xludf.DUMMYFUNCTION("""COMPUTED_VALUE"""),2.0)</f>
        <v>2</v>
      </c>
      <c r="G1699" s="2">
        <f>IFERROR(__xludf.DUMMYFUNCTION("""COMPUTED_VALUE"""),4.0)</f>
        <v>4</v>
      </c>
      <c r="H1699" s="2" t="str">
        <f>IFERROR(__xludf.DUMMYFUNCTION("""COMPUTED_VALUE"""),"P. kara")</f>
        <v>P. kara</v>
      </c>
      <c r="I1699" s="2" t="str">
        <f>IFERROR(__xludf.DUMMYFUNCTION("""COMPUTED_VALUE"""),"Masonry")</f>
        <v>Masonry</v>
      </c>
      <c r="J1699" s="2" t="str">
        <f>IFERROR(__xludf.DUMMYFUNCTION("""COMPUTED_VALUE"""),"All amenities")</f>
        <v>All amenities</v>
      </c>
      <c r="K1699" s="2">
        <f>IFERROR(__xludf.DUMMYFUNCTION("""COMPUTED_VALUE"""),60900.0)</f>
        <v>60900</v>
      </c>
      <c r="L1699" s="2">
        <f>IFERROR(__xludf.DUMMYFUNCTION("""COMPUTED_VALUE"""),56.8597884)</f>
        <v>56.8597884</v>
      </c>
      <c r="M1699" s="2">
        <f>IFERROR(__xludf.DUMMYFUNCTION("""COMPUTED_VALUE"""),24.3083417)</f>
        <v>24.3083417</v>
      </c>
    </row>
    <row r="1700">
      <c r="A1700" s="2" t="str">
        <f>IFERROR(__xludf.DUMMYFUNCTION("""COMPUTED_VALUE"""),"For rent")</f>
        <v>For rent</v>
      </c>
      <c r="B1700" s="2" t="str">
        <f>IFERROR(__xludf.DUMMYFUNCTION("""COMPUTED_VALUE"""),"centrs")</f>
        <v>centrs</v>
      </c>
      <c r="C1700" s="2" t="str">
        <f>IFERROR(__xludf.DUMMYFUNCTION("""COMPUTED_VALUE"""),"Dzirnavu 66")</f>
        <v>Dzirnavu 66</v>
      </c>
      <c r="D1700" s="2">
        <f>IFERROR(__xludf.DUMMYFUNCTION("""COMPUTED_VALUE"""),2.0)</f>
        <v>2</v>
      </c>
      <c r="E1700" s="2">
        <f>IFERROR(__xludf.DUMMYFUNCTION("""COMPUTED_VALUE"""),80.0)</f>
        <v>80</v>
      </c>
      <c r="F1700" s="2">
        <f>IFERROR(__xludf.DUMMYFUNCTION("""COMPUTED_VALUE"""),6.0)</f>
        <v>6</v>
      </c>
      <c r="G1700" s="2">
        <f>IFERROR(__xludf.DUMMYFUNCTION("""COMPUTED_VALUE"""),7.0)</f>
        <v>7</v>
      </c>
      <c r="H1700" s="2" t="str">
        <f>IFERROR(__xludf.DUMMYFUNCTION("""COMPUTED_VALUE"""),"P. kara")</f>
        <v>P. kara</v>
      </c>
      <c r="I1700" s="2" t="str">
        <f>IFERROR(__xludf.DUMMYFUNCTION("""COMPUTED_VALUE"""),"Masonry")</f>
        <v>Masonry</v>
      </c>
      <c r="J1700" s="2" t="str">
        <f>IFERROR(__xludf.DUMMYFUNCTION("""COMPUTED_VALUE"""),"All amenities")</f>
        <v>All amenities</v>
      </c>
      <c r="K1700" s="2">
        <f>IFERROR(__xludf.DUMMYFUNCTION("""COMPUTED_VALUE"""),450.0)</f>
        <v>450</v>
      </c>
      <c r="L1700" s="2">
        <f>IFERROR(__xludf.DUMMYFUNCTION("""COMPUTED_VALUE"""),56.9532739)</f>
        <v>56.9532739</v>
      </c>
      <c r="M1700" s="2">
        <f>IFERROR(__xludf.DUMMYFUNCTION("""COMPUTED_VALUE"""),24.1212758)</f>
        <v>24.1212758</v>
      </c>
    </row>
    <row r="1701">
      <c r="A1701" s="2" t="str">
        <f>IFERROR(__xludf.DUMMYFUNCTION("""COMPUTED_VALUE"""),"For sale")</f>
        <v>For sale</v>
      </c>
      <c r="B1701" s="2" t="str">
        <f>IFERROR(__xludf.DUMMYFUNCTION("""COMPUTED_VALUE"""),"Vecrīga")</f>
        <v>Vecrīga</v>
      </c>
      <c r="C1701" s="2" t="str">
        <f>IFERROR(__xludf.DUMMYFUNCTION("""COMPUTED_VALUE"""),"Vaļņu 35")</f>
        <v>Vaļņu 35</v>
      </c>
      <c r="D1701" s="2">
        <f>IFERROR(__xludf.DUMMYFUNCTION("""COMPUTED_VALUE"""),3.0)</f>
        <v>3</v>
      </c>
      <c r="E1701" s="2">
        <f>IFERROR(__xludf.DUMMYFUNCTION("""COMPUTED_VALUE"""),65.0)</f>
        <v>65</v>
      </c>
      <c r="F1701" s="2">
        <f>IFERROR(__xludf.DUMMYFUNCTION("""COMPUTED_VALUE"""),3.0)</f>
        <v>3</v>
      </c>
      <c r="G1701" s="2">
        <f>IFERROR(__xludf.DUMMYFUNCTION("""COMPUTED_VALUE"""),4.0)</f>
        <v>4</v>
      </c>
      <c r="H1701" s="2" t="str">
        <f>IFERROR(__xludf.DUMMYFUNCTION("""COMPUTED_VALUE"""),"Specpr.")</f>
        <v>Specpr.</v>
      </c>
      <c r="I1701" s="2" t="str">
        <f>IFERROR(__xludf.DUMMYFUNCTION("""COMPUTED_VALUE"""),"Masonry")</f>
        <v>Masonry</v>
      </c>
      <c r="J1701" s="2" t="str">
        <f>IFERROR(__xludf.DUMMYFUNCTION("""COMPUTED_VALUE"""),"All amenities")</f>
        <v>All amenities</v>
      </c>
      <c r="K1701" s="2">
        <f>IFERROR(__xludf.DUMMYFUNCTION("""COMPUTED_VALUE"""),160000.0)</f>
        <v>160000</v>
      </c>
      <c r="L1701" s="2">
        <f>IFERROR(__xludf.DUMMYFUNCTION("""COMPUTED_VALUE"""),56.9472036)</f>
        <v>56.9472036</v>
      </c>
      <c r="M1701" s="2">
        <f>IFERROR(__xludf.DUMMYFUNCTION("""COMPUTED_VALUE"""),24.1135378)</f>
        <v>24.1135378</v>
      </c>
    </row>
    <row r="1702">
      <c r="A1702" s="2" t="str">
        <f>IFERROR(__xludf.DUMMYFUNCTION("""COMPUTED_VALUE"""),"For rent")</f>
        <v>For rent</v>
      </c>
      <c r="B1702" s="2" t="str">
        <f>IFERROR(__xludf.DUMMYFUNCTION("""COMPUTED_VALUE"""),"centrs")</f>
        <v>centrs</v>
      </c>
      <c r="C1702" s="2" t="str">
        <f>IFERROR(__xludf.DUMMYFUNCTION("""COMPUTED_VALUE"""),"Lāčplēša 98")</f>
        <v>Lāčplēša 98</v>
      </c>
      <c r="D1702" s="2">
        <f>IFERROR(__xludf.DUMMYFUNCTION("""COMPUTED_VALUE"""),2.0)</f>
        <v>2</v>
      </c>
      <c r="E1702" s="2">
        <f>IFERROR(__xludf.DUMMYFUNCTION("""COMPUTED_VALUE"""),30.0)</f>
        <v>30</v>
      </c>
      <c r="F1702" s="2">
        <f>IFERROR(__xludf.DUMMYFUNCTION("""COMPUTED_VALUE"""),6.0)</f>
        <v>6</v>
      </c>
      <c r="G1702" s="2">
        <f>IFERROR(__xludf.DUMMYFUNCTION("""COMPUTED_VALUE"""),6.0)</f>
        <v>6</v>
      </c>
      <c r="H1702" s="2" t="str">
        <f>IFERROR(__xludf.DUMMYFUNCTION("""COMPUTED_VALUE"""),"Specpr.")</f>
        <v>Specpr.</v>
      </c>
      <c r="I1702" s="2" t="str">
        <f>IFERROR(__xludf.DUMMYFUNCTION("""COMPUTED_VALUE"""),"Panel-Brick")</f>
        <v>Panel-Brick</v>
      </c>
      <c r="J1702" s="2" t="str">
        <f>IFERROR(__xludf.DUMMYFUNCTION("""COMPUTED_VALUE"""),"All amenities")</f>
        <v>All amenities</v>
      </c>
      <c r="K1702" s="2">
        <f>IFERROR(__xludf.DUMMYFUNCTION("""COMPUTED_VALUE"""),290.0)</f>
        <v>290</v>
      </c>
      <c r="L1702" s="2">
        <f>IFERROR(__xludf.DUMMYFUNCTION("""COMPUTED_VALUE"""),56.94440235)</f>
        <v>56.94440235</v>
      </c>
      <c r="M1702" s="2">
        <f>IFERROR(__xludf.DUMMYFUNCTION("""COMPUTED_VALUE"""),24.1323630232783)</f>
        <v>24.13236302</v>
      </c>
    </row>
    <row r="1703">
      <c r="A1703" s="2" t="str">
        <f>IFERROR(__xludf.DUMMYFUNCTION("""COMPUTED_VALUE"""),"For sale")</f>
        <v>For sale</v>
      </c>
      <c r="B1703" s="2" t="str">
        <f>IFERROR(__xludf.DUMMYFUNCTION("""COMPUTED_VALUE"""),"Imanta")</f>
        <v>Imanta</v>
      </c>
      <c r="C1703" s="2" t="str">
        <f>IFERROR(__xludf.DUMMYFUNCTION("""COMPUTED_VALUE"""),"Kurzemes pr. 48")</f>
        <v>Kurzemes pr. 48</v>
      </c>
      <c r="D1703" s="2">
        <f>IFERROR(__xludf.DUMMYFUNCTION("""COMPUTED_VALUE"""),3.0)</f>
        <v>3</v>
      </c>
      <c r="E1703" s="2">
        <f>IFERROR(__xludf.DUMMYFUNCTION("""COMPUTED_VALUE"""),57.0)</f>
        <v>57</v>
      </c>
      <c r="F1703" s="2">
        <f>IFERROR(__xludf.DUMMYFUNCTION("""COMPUTED_VALUE"""),1.0)</f>
        <v>1</v>
      </c>
      <c r="G1703" s="2">
        <f>IFERROR(__xludf.DUMMYFUNCTION("""COMPUTED_VALUE"""),5.0)</f>
        <v>5</v>
      </c>
      <c r="H1703" s="2" t="str">
        <f>IFERROR(__xludf.DUMMYFUNCTION("""COMPUTED_VALUE"""),"LT proj.")</f>
        <v>LT proj.</v>
      </c>
      <c r="I1703" s="2" t="str">
        <f>IFERROR(__xludf.DUMMYFUNCTION("""COMPUTED_VALUE"""),"Panel")</f>
        <v>Panel</v>
      </c>
      <c r="J1703" s="2" t="str">
        <f>IFERROR(__xludf.DUMMYFUNCTION("""COMPUTED_VALUE"""),"All amenities")</f>
        <v>All amenities</v>
      </c>
      <c r="K1703" s="2">
        <f>IFERROR(__xludf.DUMMYFUNCTION("""COMPUTED_VALUE"""),59900.0)</f>
        <v>59900</v>
      </c>
      <c r="L1703" s="2" t="str">
        <f>IFERROR(__xludf.DUMMYFUNCTION("""COMPUTED_VALUE"""),"NaN")</f>
        <v>NaN</v>
      </c>
      <c r="M1703" s="2" t="str">
        <f>IFERROR(__xludf.DUMMYFUNCTION("""COMPUTED_VALUE"""),"NaN")</f>
        <v>NaN</v>
      </c>
    </row>
    <row r="1704">
      <c r="A1704" s="2" t="str">
        <f>IFERROR(__xludf.DUMMYFUNCTION("""COMPUTED_VALUE"""),"For sale")</f>
        <v>For sale</v>
      </c>
      <c r="B1704" s="2" t="str">
        <f>IFERROR(__xludf.DUMMYFUNCTION("""COMPUTED_VALUE"""),"Vecmīlgrāvis")</f>
        <v>Vecmīlgrāvis</v>
      </c>
      <c r="C1704" s="2" t="str">
        <f>IFERROR(__xludf.DUMMYFUNCTION("""COMPUTED_VALUE"""),"Dombrovska 44")</f>
        <v>Dombrovska 44</v>
      </c>
      <c r="D1704" s="2">
        <f>IFERROR(__xludf.DUMMYFUNCTION("""COMPUTED_VALUE"""),3.0)</f>
        <v>3</v>
      </c>
      <c r="E1704" s="2">
        <f>IFERROR(__xludf.DUMMYFUNCTION("""COMPUTED_VALUE"""),66.0)</f>
        <v>66</v>
      </c>
      <c r="F1704" s="2">
        <f>IFERROR(__xludf.DUMMYFUNCTION("""COMPUTED_VALUE"""),1.0)</f>
        <v>1</v>
      </c>
      <c r="G1704" s="2">
        <f>IFERROR(__xludf.DUMMYFUNCTION("""COMPUTED_VALUE"""),5.0)</f>
        <v>5</v>
      </c>
      <c r="H1704" s="2">
        <f>IFERROR(__xludf.DUMMYFUNCTION("""COMPUTED_VALUE"""),103.0)</f>
        <v>103</v>
      </c>
      <c r="I1704" s="2" t="str">
        <f>IFERROR(__xludf.DUMMYFUNCTION("""COMPUTED_VALUE"""),"Brick-Panel")</f>
        <v>Brick-Panel</v>
      </c>
      <c r="J1704" s="2" t="str">
        <f>IFERROR(__xludf.DUMMYFUNCTION("""COMPUTED_VALUE"""),"All amenities")</f>
        <v>All amenities</v>
      </c>
      <c r="K1704" s="2">
        <f>IFERROR(__xludf.DUMMYFUNCTION("""COMPUTED_VALUE"""),57500.0)</f>
        <v>57500</v>
      </c>
      <c r="L1704" s="2">
        <f>IFERROR(__xludf.DUMMYFUNCTION("""COMPUTED_VALUE"""),57.03407185)</f>
        <v>57.03407185</v>
      </c>
      <c r="M1704" s="2">
        <f>IFERROR(__xludf.DUMMYFUNCTION("""COMPUTED_VALUE"""),24.1072241361512)</f>
        <v>24.10722414</v>
      </c>
    </row>
    <row r="1705">
      <c r="A1705" s="2" t="str">
        <f>IFERROR(__xludf.DUMMYFUNCTION("""COMPUTED_VALUE"""),"For rent")</f>
        <v>For rent</v>
      </c>
      <c r="B1705" s="2" t="str">
        <f>IFERROR(__xludf.DUMMYFUNCTION("""COMPUTED_VALUE"""),"Teika")</f>
        <v>Teika</v>
      </c>
      <c r="C1705" s="2" t="str">
        <f>IFERROR(__xludf.DUMMYFUNCTION("""COMPUTED_VALUE"""),"Ropažu 28")</f>
        <v>Ropažu 28</v>
      </c>
      <c r="D1705" s="2">
        <f>IFERROR(__xludf.DUMMYFUNCTION("""COMPUTED_VALUE"""),2.0)</f>
        <v>2</v>
      </c>
      <c r="E1705" s="2">
        <f>IFERROR(__xludf.DUMMYFUNCTION("""COMPUTED_VALUE"""),43.0)</f>
        <v>43</v>
      </c>
      <c r="F1705" s="2">
        <f>IFERROR(__xludf.DUMMYFUNCTION("""COMPUTED_VALUE"""),5.0)</f>
        <v>5</v>
      </c>
      <c r="G1705" s="2">
        <f>IFERROR(__xludf.DUMMYFUNCTION("""COMPUTED_VALUE"""),5.0)</f>
        <v>5</v>
      </c>
      <c r="H1705" s="2" t="str">
        <f>IFERROR(__xludf.DUMMYFUNCTION("""COMPUTED_VALUE"""),"Hrušč.")</f>
        <v>Hrušč.</v>
      </c>
      <c r="I1705" s="2" t="str">
        <f>IFERROR(__xludf.DUMMYFUNCTION("""COMPUTED_VALUE"""),"Brick-Panel")</f>
        <v>Brick-Panel</v>
      </c>
      <c r="J1705" s="2" t="str">
        <f>IFERROR(__xludf.DUMMYFUNCTION("""COMPUTED_VALUE"""),"All amenities")</f>
        <v>All amenities</v>
      </c>
      <c r="K1705" s="2">
        <f>IFERROR(__xludf.DUMMYFUNCTION("""COMPUTED_VALUE"""),390.0)</f>
        <v>390</v>
      </c>
      <c r="L1705" s="2">
        <f>IFERROR(__xludf.DUMMYFUNCTION("""COMPUTED_VALUE"""),56.9788967)</f>
        <v>56.9788967</v>
      </c>
      <c r="M1705" s="2">
        <f>IFERROR(__xludf.DUMMYFUNCTION("""COMPUTED_VALUE"""),24.17313665)</f>
        <v>24.17313665</v>
      </c>
    </row>
    <row r="1706">
      <c r="A1706" s="2" t="str">
        <f>IFERROR(__xludf.DUMMYFUNCTION("""COMPUTED_VALUE"""),"For rent")</f>
        <v>For rent</v>
      </c>
      <c r="B1706" s="2" t="str">
        <f>IFERROR(__xludf.DUMMYFUNCTION("""COMPUTED_VALUE"""),"centrs")</f>
        <v>centrs</v>
      </c>
      <c r="C1706" s="2" t="str">
        <f>IFERROR(__xludf.DUMMYFUNCTION("""COMPUTED_VALUE"""),"Hospitāļu 5a")</f>
        <v>Hospitāļu 5a</v>
      </c>
      <c r="D1706" s="2">
        <f>IFERROR(__xludf.DUMMYFUNCTION("""COMPUTED_VALUE"""),3.0)</f>
        <v>3</v>
      </c>
      <c r="E1706" s="2">
        <f>IFERROR(__xludf.DUMMYFUNCTION("""COMPUTED_VALUE"""),70.0)</f>
        <v>70</v>
      </c>
      <c r="F1706" s="2">
        <f>IFERROR(__xludf.DUMMYFUNCTION("""COMPUTED_VALUE"""),3.0)</f>
        <v>3</v>
      </c>
      <c r="G1706" s="2">
        <f>IFERROR(__xludf.DUMMYFUNCTION("""COMPUTED_VALUE"""),3.0)</f>
        <v>3</v>
      </c>
      <c r="H1706" s="2" t="str">
        <f>IFERROR(__xludf.DUMMYFUNCTION("""COMPUTED_VALUE"""),"Specpr.")</f>
        <v>Specpr.</v>
      </c>
      <c r="I1706" s="2" t="str">
        <f>IFERROR(__xludf.DUMMYFUNCTION("""COMPUTED_VALUE"""),"Brick")</f>
        <v>Brick</v>
      </c>
      <c r="J1706" s="2" t="str">
        <f>IFERROR(__xludf.DUMMYFUNCTION("""COMPUTED_VALUE"""),"Partial amenities")</f>
        <v>Partial amenities</v>
      </c>
      <c r="K1706" s="2">
        <f>IFERROR(__xludf.DUMMYFUNCTION("""COMPUTED_VALUE"""),580.0)</f>
        <v>580</v>
      </c>
      <c r="L1706" s="2">
        <f>IFERROR(__xludf.DUMMYFUNCTION("""COMPUTED_VALUE"""),56.9764382)</f>
        <v>56.9764382</v>
      </c>
      <c r="M1706" s="2">
        <f>IFERROR(__xludf.DUMMYFUNCTION("""COMPUTED_VALUE"""),24.1391902)</f>
        <v>24.1391902</v>
      </c>
    </row>
    <row r="1707">
      <c r="A1707" s="2" t="str">
        <f>IFERROR(__xludf.DUMMYFUNCTION("""COMPUTED_VALUE"""),"For rent")</f>
        <v>For rent</v>
      </c>
      <c r="B1707" s="2" t="str">
        <f>IFERROR(__xludf.DUMMYFUNCTION("""COMPUTED_VALUE"""),"Āgenskalns")</f>
        <v>Āgenskalns</v>
      </c>
      <c r="C1707" s="2" t="str">
        <f>IFERROR(__xludf.DUMMYFUNCTION("""COMPUTED_VALUE"""),"Raņķa d. 34")</f>
        <v>Raņķa d. 34</v>
      </c>
      <c r="D1707" s="2">
        <f>IFERROR(__xludf.DUMMYFUNCTION("""COMPUTED_VALUE"""),3.0)</f>
        <v>3</v>
      </c>
      <c r="E1707" s="2">
        <f>IFERROR(__xludf.DUMMYFUNCTION("""COMPUTED_VALUE"""),93.0)</f>
        <v>93</v>
      </c>
      <c r="F1707" s="2">
        <f>IFERROR(__xludf.DUMMYFUNCTION("""COMPUTED_VALUE"""),14.0)</f>
        <v>14</v>
      </c>
      <c r="G1707" s="2">
        <f>IFERROR(__xludf.DUMMYFUNCTION("""COMPUTED_VALUE"""),23.0)</f>
        <v>23</v>
      </c>
      <c r="H1707" s="2" t="str">
        <f>IFERROR(__xludf.DUMMYFUNCTION("""COMPUTED_VALUE"""),"Jaun.")</f>
        <v>Jaun.</v>
      </c>
      <c r="I1707" s="2" t="str">
        <f>IFERROR(__xludf.DUMMYFUNCTION("""COMPUTED_VALUE"""),"Masonry")</f>
        <v>Masonry</v>
      </c>
      <c r="J1707" s="2" t="str">
        <f>IFERROR(__xludf.DUMMYFUNCTION("""COMPUTED_VALUE"""),"All amenities")</f>
        <v>All amenities</v>
      </c>
      <c r="K1707" s="2">
        <f>IFERROR(__xludf.DUMMYFUNCTION("""COMPUTED_VALUE"""),1450.0)</f>
        <v>1450</v>
      </c>
      <c r="L1707" s="2">
        <f>IFERROR(__xludf.DUMMYFUNCTION("""COMPUTED_VALUE"""),56.9483074)</f>
        <v>56.9483074</v>
      </c>
      <c r="M1707" s="2">
        <f>IFERROR(__xludf.DUMMYFUNCTION("""COMPUTED_VALUE"""),24.0801468)</f>
        <v>24.0801468</v>
      </c>
    </row>
    <row r="1708">
      <c r="A1708" s="2" t="str">
        <f>IFERROR(__xludf.DUMMYFUNCTION("""COMPUTED_VALUE"""),"For rent")</f>
        <v>For rent</v>
      </c>
      <c r="B1708" s="2" t="str">
        <f>IFERROR(__xludf.DUMMYFUNCTION("""COMPUTED_VALUE"""),"Āgenskalns")</f>
        <v>Āgenskalns</v>
      </c>
      <c r="C1708" s="2" t="str">
        <f>IFERROR(__xludf.DUMMYFUNCTION("""COMPUTED_VALUE"""),"Raņķa d. 34")</f>
        <v>Raņķa d. 34</v>
      </c>
      <c r="D1708" s="2">
        <f>IFERROR(__xludf.DUMMYFUNCTION("""COMPUTED_VALUE"""),3.0)</f>
        <v>3</v>
      </c>
      <c r="E1708" s="2">
        <f>IFERROR(__xludf.DUMMYFUNCTION("""COMPUTED_VALUE"""),115.0)</f>
        <v>115</v>
      </c>
      <c r="F1708" s="2">
        <f>IFERROR(__xludf.DUMMYFUNCTION("""COMPUTED_VALUE"""),15.0)</f>
        <v>15</v>
      </c>
      <c r="G1708" s="2">
        <f>IFERROR(__xludf.DUMMYFUNCTION("""COMPUTED_VALUE"""),23.0)</f>
        <v>23</v>
      </c>
      <c r="H1708" s="2" t="str">
        <f>IFERROR(__xludf.DUMMYFUNCTION("""COMPUTED_VALUE"""),"Jaun.")</f>
        <v>Jaun.</v>
      </c>
      <c r="I1708" s="2" t="str">
        <f>IFERROR(__xludf.DUMMYFUNCTION("""COMPUTED_VALUE"""),"Masonry")</f>
        <v>Masonry</v>
      </c>
      <c r="J1708" s="2" t="str">
        <f>IFERROR(__xludf.DUMMYFUNCTION("""COMPUTED_VALUE"""),"All amenities")</f>
        <v>All amenities</v>
      </c>
      <c r="K1708" s="2">
        <f>IFERROR(__xludf.DUMMYFUNCTION("""COMPUTED_VALUE"""),1450.0)</f>
        <v>1450</v>
      </c>
      <c r="L1708" s="2">
        <f>IFERROR(__xludf.DUMMYFUNCTION("""COMPUTED_VALUE"""),56.9483074)</f>
        <v>56.9483074</v>
      </c>
      <c r="M1708" s="2">
        <f>IFERROR(__xludf.DUMMYFUNCTION("""COMPUTED_VALUE"""),24.0801468)</f>
        <v>24.0801468</v>
      </c>
    </row>
    <row r="1709">
      <c r="A1709" s="2" t="str">
        <f>IFERROR(__xludf.DUMMYFUNCTION("""COMPUTED_VALUE"""),"For rent")</f>
        <v>For rent</v>
      </c>
      <c r="B1709" s="2" t="str">
        <f>IFERROR(__xludf.DUMMYFUNCTION("""COMPUTED_VALUE"""),"Āgenskalns")</f>
        <v>Āgenskalns</v>
      </c>
      <c r="C1709" s="2" t="str">
        <f>IFERROR(__xludf.DUMMYFUNCTION("""COMPUTED_VALUE"""),"Raņķa d. 34")</f>
        <v>Raņķa d. 34</v>
      </c>
      <c r="D1709" s="2">
        <f>IFERROR(__xludf.DUMMYFUNCTION("""COMPUTED_VALUE"""),3.0)</f>
        <v>3</v>
      </c>
      <c r="E1709" s="2">
        <f>IFERROR(__xludf.DUMMYFUNCTION("""COMPUTED_VALUE"""),95.0)</f>
        <v>95</v>
      </c>
      <c r="F1709" s="2">
        <f>IFERROR(__xludf.DUMMYFUNCTION("""COMPUTED_VALUE"""),14.0)</f>
        <v>14</v>
      </c>
      <c r="G1709" s="2">
        <f>IFERROR(__xludf.DUMMYFUNCTION("""COMPUTED_VALUE"""),23.0)</f>
        <v>23</v>
      </c>
      <c r="H1709" s="2" t="str">
        <f>IFERROR(__xludf.DUMMYFUNCTION("""COMPUTED_VALUE"""),"Jaun.")</f>
        <v>Jaun.</v>
      </c>
      <c r="I1709" s="2" t="str">
        <f>IFERROR(__xludf.DUMMYFUNCTION("""COMPUTED_VALUE"""),"Masonry")</f>
        <v>Masonry</v>
      </c>
      <c r="J1709" s="2" t="str">
        <f>IFERROR(__xludf.DUMMYFUNCTION("""COMPUTED_VALUE"""),"All amenities")</f>
        <v>All amenities</v>
      </c>
      <c r="K1709" s="2">
        <f>IFERROR(__xludf.DUMMYFUNCTION("""COMPUTED_VALUE"""),1450.0)</f>
        <v>1450</v>
      </c>
      <c r="L1709" s="2">
        <f>IFERROR(__xludf.DUMMYFUNCTION("""COMPUTED_VALUE"""),56.9483074)</f>
        <v>56.9483074</v>
      </c>
      <c r="M1709" s="2">
        <f>IFERROR(__xludf.DUMMYFUNCTION("""COMPUTED_VALUE"""),24.0801468)</f>
        <v>24.0801468</v>
      </c>
    </row>
    <row r="1710">
      <c r="A1710" s="2" t="str">
        <f>IFERROR(__xludf.DUMMYFUNCTION("""COMPUTED_VALUE"""),"For sale")</f>
        <v>For sale</v>
      </c>
      <c r="B1710" s="2" t="str">
        <f>IFERROR(__xludf.DUMMYFUNCTION("""COMPUTED_VALUE"""),"Mežaparks")</f>
        <v>Mežaparks</v>
      </c>
      <c r="C1710" s="2" t="str">
        <f>IFERROR(__xludf.DUMMYFUNCTION("""COMPUTED_VALUE"""),"Ezermalas 2")</f>
        <v>Ezermalas 2</v>
      </c>
      <c r="D1710" s="2">
        <f>IFERROR(__xludf.DUMMYFUNCTION("""COMPUTED_VALUE"""),2.0)</f>
        <v>2</v>
      </c>
      <c r="E1710" s="2">
        <f>IFERROR(__xludf.DUMMYFUNCTION("""COMPUTED_VALUE"""),46.0)</f>
        <v>46</v>
      </c>
      <c r="F1710" s="2">
        <f>IFERROR(__xludf.DUMMYFUNCTION("""COMPUTED_VALUE"""),9.0)</f>
        <v>9</v>
      </c>
      <c r="G1710" s="2">
        <f>IFERROR(__xludf.DUMMYFUNCTION("""COMPUTED_VALUE"""),12.0)</f>
        <v>12</v>
      </c>
      <c r="H1710" s="2" t="str">
        <f>IFERROR(__xludf.DUMMYFUNCTION("""COMPUTED_VALUE"""),"Specpr.")</f>
        <v>Specpr.</v>
      </c>
      <c r="I1710" s="2" t="str">
        <f>IFERROR(__xludf.DUMMYFUNCTION("""COMPUTED_VALUE"""),"Brick")</f>
        <v>Brick</v>
      </c>
      <c r="J1710" s="2" t="str">
        <f>IFERROR(__xludf.DUMMYFUNCTION("""COMPUTED_VALUE"""),"All amenities")</f>
        <v>All amenities</v>
      </c>
      <c r="K1710" s="2">
        <f>IFERROR(__xludf.DUMMYFUNCTION("""COMPUTED_VALUE"""),60000.0)</f>
        <v>60000</v>
      </c>
      <c r="L1710" s="2">
        <f>IFERROR(__xludf.DUMMYFUNCTION("""COMPUTED_VALUE"""),56.9929332)</f>
        <v>56.9929332</v>
      </c>
      <c r="M1710" s="2">
        <f>IFERROR(__xludf.DUMMYFUNCTION("""COMPUTED_VALUE"""),24.1945177)</f>
        <v>24.1945177</v>
      </c>
    </row>
    <row r="1711">
      <c r="A1711" s="2" t="str">
        <f>IFERROR(__xludf.DUMMYFUNCTION("""COMPUTED_VALUE"""),"For sale")</f>
        <v>For sale</v>
      </c>
      <c r="B1711" s="2" t="str">
        <f>IFERROR(__xludf.DUMMYFUNCTION("""COMPUTED_VALUE"""),"Pļavnieki")</f>
        <v>Pļavnieki</v>
      </c>
      <c r="C1711" s="2" t="str">
        <f>IFERROR(__xludf.DUMMYFUNCTION("""COMPUTED_VALUE"""),"Zemes 3")</f>
        <v>Zemes 3</v>
      </c>
      <c r="D1711" s="2">
        <f>IFERROR(__xludf.DUMMYFUNCTION("""COMPUTED_VALUE"""),2.0)</f>
        <v>2</v>
      </c>
      <c r="E1711" s="2">
        <f>IFERROR(__xludf.DUMMYFUNCTION("""COMPUTED_VALUE"""),50.0)</f>
        <v>50</v>
      </c>
      <c r="F1711" s="2">
        <f>IFERROR(__xludf.DUMMYFUNCTION("""COMPUTED_VALUE"""),8.0)</f>
        <v>8</v>
      </c>
      <c r="G1711" s="2">
        <f>IFERROR(__xludf.DUMMYFUNCTION("""COMPUTED_VALUE"""),9.0)</f>
        <v>9</v>
      </c>
      <c r="H1711" s="2">
        <f>IFERROR(__xludf.DUMMYFUNCTION("""COMPUTED_VALUE"""),602.0)</f>
        <v>602</v>
      </c>
      <c r="I1711" s="2" t="str">
        <f>IFERROR(__xludf.DUMMYFUNCTION("""COMPUTED_VALUE"""),"Panel")</f>
        <v>Panel</v>
      </c>
      <c r="J1711" s="2" t="str">
        <f>IFERROR(__xludf.DUMMYFUNCTION("""COMPUTED_VALUE"""),"All amenities")</f>
        <v>All amenities</v>
      </c>
      <c r="K1711" s="2">
        <f>IFERROR(__xludf.DUMMYFUNCTION("""COMPUTED_VALUE"""),59000.0)</f>
        <v>59000</v>
      </c>
      <c r="L1711" s="2">
        <f>IFERROR(__xludf.DUMMYFUNCTION("""COMPUTED_VALUE"""),56.942271)</f>
        <v>56.942271</v>
      </c>
      <c r="M1711" s="2">
        <f>IFERROR(__xludf.DUMMYFUNCTION("""COMPUTED_VALUE"""),24.1972067778583)</f>
        <v>24.19720678</v>
      </c>
    </row>
    <row r="1712">
      <c r="A1712" s="2" t="str">
        <f>IFERROR(__xludf.DUMMYFUNCTION("""COMPUTED_VALUE"""),"For sale")</f>
        <v>For sale</v>
      </c>
      <c r="B1712" s="2" t="str">
        <f>IFERROR(__xludf.DUMMYFUNCTION("""COMPUTED_VALUE"""),"Ķengarags")</f>
        <v>Ķengarags</v>
      </c>
      <c r="C1712" s="2" t="str">
        <f>IFERROR(__xludf.DUMMYFUNCTION("""COMPUTED_VALUE"""),"Prūšu 4")</f>
        <v>Prūšu 4</v>
      </c>
      <c r="D1712" s="2">
        <f>IFERROR(__xludf.DUMMYFUNCTION("""COMPUTED_VALUE"""),3.0)</f>
        <v>3</v>
      </c>
      <c r="E1712" s="2">
        <f>IFERROR(__xludf.DUMMYFUNCTION("""COMPUTED_VALUE"""),63.0)</f>
        <v>63</v>
      </c>
      <c r="F1712" s="2">
        <f>IFERROR(__xludf.DUMMYFUNCTION("""COMPUTED_VALUE"""),1.0)</f>
        <v>1</v>
      </c>
      <c r="G1712" s="2">
        <f>IFERROR(__xludf.DUMMYFUNCTION("""COMPUTED_VALUE"""),5.0)</f>
        <v>5</v>
      </c>
      <c r="H1712" s="2" t="str">
        <f>IFERROR(__xludf.DUMMYFUNCTION("""COMPUTED_VALUE"""),"Jaun.")</f>
        <v>Jaun.</v>
      </c>
      <c r="I1712" s="2" t="str">
        <f>IFERROR(__xludf.DUMMYFUNCTION("""COMPUTED_VALUE"""),"Panel")</f>
        <v>Panel</v>
      </c>
      <c r="J1712" s="2" t="str">
        <f>IFERROR(__xludf.DUMMYFUNCTION("""COMPUTED_VALUE"""),"All amenities")</f>
        <v>All amenities</v>
      </c>
      <c r="K1712" s="2">
        <f>IFERROR(__xludf.DUMMYFUNCTION("""COMPUTED_VALUE"""),76372.0)</f>
        <v>76372</v>
      </c>
      <c r="L1712" s="2">
        <f>IFERROR(__xludf.DUMMYFUNCTION("""COMPUTED_VALUE"""),56.9146747)</f>
        <v>56.9146747</v>
      </c>
      <c r="M1712" s="2">
        <f>IFERROR(__xludf.DUMMYFUNCTION("""COMPUTED_VALUE"""),24.1815079346418)</f>
        <v>24.18150793</v>
      </c>
    </row>
    <row r="1713">
      <c r="A1713" s="2" t="str">
        <f>IFERROR(__xludf.DUMMYFUNCTION("""COMPUTED_VALUE"""),"For sale")</f>
        <v>For sale</v>
      </c>
      <c r="B1713" s="2" t="str">
        <f>IFERROR(__xludf.DUMMYFUNCTION("""COMPUTED_VALUE"""),"Dzegužkalns")</f>
        <v>Dzegužkalns</v>
      </c>
      <c r="C1713" s="2" t="str">
        <f>IFERROR(__xludf.DUMMYFUNCTION("""COMPUTED_VALUE"""),"Ūdens 12")</f>
        <v>Ūdens 12</v>
      </c>
      <c r="D1713" s="2">
        <f>IFERROR(__xludf.DUMMYFUNCTION("""COMPUTED_VALUE"""),1.0)</f>
        <v>1</v>
      </c>
      <c r="E1713" s="2">
        <f>IFERROR(__xludf.DUMMYFUNCTION("""COMPUTED_VALUE"""),38.0)</f>
        <v>38</v>
      </c>
      <c r="F1713" s="2">
        <f>IFERROR(__xludf.DUMMYFUNCTION("""COMPUTED_VALUE"""),2.0)</f>
        <v>2</v>
      </c>
      <c r="G1713" s="2">
        <f>IFERROR(__xludf.DUMMYFUNCTION("""COMPUTED_VALUE"""),6.0)</f>
        <v>6</v>
      </c>
      <c r="H1713" s="2" t="str">
        <f>IFERROR(__xludf.DUMMYFUNCTION("""COMPUTED_VALUE"""),"Jaun.")</f>
        <v>Jaun.</v>
      </c>
      <c r="I1713" s="2" t="str">
        <f>IFERROR(__xludf.DUMMYFUNCTION("""COMPUTED_VALUE"""),"Brick")</f>
        <v>Brick</v>
      </c>
      <c r="J1713" s="2" t="str">
        <f>IFERROR(__xludf.DUMMYFUNCTION("""COMPUTED_VALUE"""),"All amenities")</f>
        <v>All amenities</v>
      </c>
      <c r="K1713" s="2">
        <f>IFERROR(__xludf.DUMMYFUNCTION("""COMPUTED_VALUE"""),60000.0)</f>
        <v>60000</v>
      </c>
      <c r="L1713" s="2">
        <f>IFERROR(__xludf.DUMMYFUNCTION("""COMPUTED_VALUE"""),56.95518535)</f>
        <v>56.95518535</v>
      </c>
      <c r="M1713" s="2">
        <f>IFERROR(__xludf.DUMMYFUNCTION("""COMPUTED_VALUE"""),24.0724323050318)</f>
        <v>24.07243231</v>
      </c>
    </row>
    <row r="1714">
      <c r="A1714" s="2" t="str">
        <f>IFERROR(__xludf.DUMMYFUNCTION("""COMPUTED_VALUE"""),"For sale")</f>
        <v>For sale</v>
      </c>
      <c r="B1714" s="2" t="str">
        <f>IFERROR(__xludf.DUMMYFUNCTION("""COMPUTED_VALUE"""),"Imanta")</f>
        <v>Imanta</v>
      </c>
      <c r="C1714" s="2" t="str">
        <f>IFERROR(__xludf.DUMMYFUNCTION("""COMPUTED_VALUE"""),"Slokas 205")</f>
        <v>Slokas 205</v>
      </c>
      <c r="D1714" s="2">
        <f>IFERROR(__xludf.DUMMYFUNCTION("""COMPUTED_VALUE"""),2.0)</f>
        <v>2</v>
      </c>
      <c r="E1714" s="2">
        <f>IFERROR(__xludf.DUMMYFUNCTION("""COMPUTED_VALUE"""),38.0)</f>
        <v>38</v>
      </c>
      <c r="F1714" s="2">
        <f>IFERROR(__xludf.DUMMYFUNCTION("""COMPUTED_VALUE"""),5.0)</f>
        <v>5</v>
      </c>
      <c r="G1714" s="2">
        <f>IFERROR(__xludf.DUMMYFUNCTION("""COMPUTED_VALUE"""),5.0)</f>
        <v>5</v>
      </c>
      <c r="H1714" s="2" t="str">
        <f>IFERROR(__xludf.DUMMYFUNCTION("""COMPUTED_VALUE"""),"LT proj.")</f>
        <v>LT proj.</v>
      </c>
      <c r="I1714" s="2" t="str">
        <f>IFERROR(__xludf.DUMMYFUNCTION("""COMPUTED_VALUE"""),"Panel")</f>
        <v>Panel</v>
      </c>
      <c r="J1714" s="2" t="str">
        <f>IFERROR(__xludf.DUMMYFUNCTION("""COMPUTED_VALUE"""),"All amenities")</f>
        <v>All amenities</v>
      </c>
      <c r="K1714" s="2">
        <f>IFERROR(__xludf.DUMMYFUNCTION("""COMPUTED_VALUE"""),39990.0)</f>
        <v>39990</v>
      </c>
      <c r="L1714" s="2">
        <f>IFERROR(__xludf.DUMMYFUNCTION("""COMPUTED_VALUE"""),56.9628977499999)</f>
        <v>56.96289775</v>
      </c>
      <c r="M1714" s="2">
        <f>IFERROR(__xludf.DUMMYFUNCTION("""COMPUTED_VALUE"""),24.0101507976177)</f>
        <v>24.0101508</v>
      </c>
    </row>
    <row r="1715">
      <c r="A1715" s="2" t="str">
        <f>IFERROR(__xludf.DUMMYFUNCTION("""COMPUTED_VALUE"""),"For rent")</f>
        <v>For rent</v>
      </c>
      <c r="B1715" s="2" t="str">
        <f>IFERROR(__xludf.DUMMYFUNCTION("""COMPUTED_VALUE"""),"centrs")</f>
        <v>centrs</v>
      </c>
      <c r="C1715" s="2" t="str">
        <f>IFERROR(__xludf.DUMMYFUNCTION("""COMPUTED_VALUE"""),"Republikas laukums 3")</f>
        <v>Republikas laukums 3</v>
      </c>
      <c r="D1715" s="2">
        <f>IFERROR(__xludf.DUMMYFUNCTION("""COMPUTED_VALUE"""),2.0)</f>
        <v>2</v>
      </c>
      <c r="E1715" s="2">
        <f>IFERROR(__xludf.DUMMYFUNCTION("""COMPUTED_VALUE"""),55.0)</f>
        <v>55</v>
      </c>
      <c r="F1715" s="2">
        <f>IFERROR(__xludf.DUMMYFUNCTION("""COMPUTED_VALUE"""),3.0)</f>
        <v>3</v>
      </c>
      <c r="G1715" s="2">
        <f>IFERROR(__xludf.DUMMYFUNCTION("""COMPUTED_VALUE"""),8.0)</f>
        <v>8</v>
      </c>
      <c r="H1715" s="2" t="str">
        <f>IFERROR(__xludf.DUMMYFUNCTION("""COMPUTED_VALUE"""),"Jaun.")</f>
        <v>Jaun.</v>
      </c>
      <c r="I1715" s="2" t="str">
        <f>IFERROR(__xludf.DUMMYFUNCTION("""COMPUTED_VALUE"""),"Masonry")</f>
        <v>Masonry</v>
      </c>
      <c r="J1715" s="2" t="str">
        <f>IFERROR(__xludf.DUMMYFUNCTION("""COMPUTED_VALUE"""),"All amenities")</f>
        <v>All amenities</v>
      </c>
      <c r="K1715" s="2">
        <f>IFERROR(__xludf.DUMMYFUNCTION("""COMPUTED_VALUE"""),600.0)</f>
        <v>600</v>
      </c>
      <c r="L1715" s="2">
        <f>IFERROR(__xludf.DUMMYFUNCTION("""COMPUTED_VALUE"""),56.9552522)</f>
        <v>56.9552522</v>
      </c>
      <c r="M1715" s="2">
        <f>IFERROR(__xludf.DUMMYFUNCTION("""COMPUTED_VALUE"""),24.0999991251943)</f>
        <v>24.09999913</v>
      </c>
    </row>
    <row r="1716">
      <c r="A1716" s="2" t="str">
        <f>IFERROR(__xludf.DUMMYFUNCTION("""COMPUTED_VALUE"""),"For rent")</f>
        <v>For rent</v>
      </c>
      <c r="B1716" s="2" t="str">
        <f>IFERROR(__xludf.DUMMYFUNCTION("""COMPUTED_VALUE"""),"centrs")</f>
        <v>centrs</v>
      </c>
      <c r="C1716" s="2" t="str">
        <f>IFERROR(__xludf.DUMMYFUNCTION("""COMPUTED_VALUE"""),"Brīvības 64")</f>
        <v>Brīvības 64</v>
      </c>
      <c r="D1716" s="2">
        <f>IFERROR(__xludf.DUMMYFUNCTION("""COMPUTED_VALUE"""),3.0)</f>
        <v>3</v>
      </c>
      <c r="E1716" s="2">
        <f>IFERROR(__xludf.DUMMYFUNCTION("""COMPUTED_VALUE"""),87.0)</f>
        <v>87</v>
      </c>
      <c r="F1716" s="2">
        <f>IFERROR(__xludf.DUMMYFUNCTION("""COMPUTED_VALUE"""),4.0)</f>
        <v>4</v>
      </c>
      <c r="G1716" s="2">
        <f>IFERROR(__xludf.DUMMYFUNCTION("""COMPUTED_VALUE"""),6.0)</f>
        <v>6</v>
      </c>
      <c r="H1716" s="2" t="str">
        <f>IFERROR(__xludf.DUMMYFUNCTION("""COMPUTED_VALUE"""),"P. kara")</f>
        <v>P. kara</v>
      </c>
      <c r="I1716" s="2" t="str">
        <f>IFERROR(__xludf.DUMMYFUNCTION("""COMPUTED_VALUE"""),"Masonry")</f>
        <v>Masonry</v>
      </c>
      <c r="J1716" s="2" t="str">
        <f>IFERROR(__xludf.DUMMYFUNCTION("""COMPUTED_VALUE"""),"All amenities")</f>
        <v>All amenities</v>
      </c>
      <c r="K1716" s="2">
        <f>IFERROR(__xludf.DUMMYFUNCTION("""COMPUTED_VALUE"""),600.0)</f>
        <v>600</v>
      </c>
      <c r="L1716" s="2">
        <f>IFERROR(__xludf.DUMMYFUNCTION("""COMPUTED_VALUE"""),56.9567304)</f>
        <v>56.9567304</v>
      </c>
      <c r="M1716" s="2">
        <f>IFERROR(__xludf.DUMMYFUNCTION("""COMPUTED_VALUE"""),24.1229638680182)</f>
        <v>24.12296387</v>
      </c>
    </row>
    <row r="1717">
      <c r="A1717" s="2" t="str">
        <f>IFERROR(__xludf.DUMMYFUNCTION("""COMPUTED_VALUE"""),"For rent")</f>
        <v>For rent</v>
      </c>
      <c r="B1717" s="2" t="str">
        <f>IFERROR(__xludf.DUMMYFUNCTION("""COMPUTED_VALUE"""),"centrs")</f>
        <v>centrs</v>
      </c>
      <c r="C1717" s="2" t="str">
        <f>IFERROR(__xludf.DUMMYFUNCTION("""COMPUTED_VALUE"""),"Lāčplēša 98")</f>
        <v>Lāčplēša 98</v>
      </c>
      <c r="D1717" s="2">
        <f>IFERROR(__xludf.DUMMYFUNCTION("""COMPUTED_VALUE"""),1.0)</f>
        <v>1</v>
      </c>
      <c r="E1717" s="2">
        <f>IFERROR(__xludf.DUMMYFUNCTION("""COMPUTED_VALUE"""),14.0)</f>
        <v>14</v>
      </c>
      <c r="F1717" s="2">
        <f>IFERROR(__xludf.DUMMYFUNCTION("""COMPUTED_VALUE"""),4.0)</f>
        <v>4</v>
      </c>
      <c r="G1717" s="2">
        <f>IFERROR(__xludf.DUMMYFUNCTION("""COMPUTED_VALUE"""),6.0)</f>
        <v>6</v>
      </c>
      <c r="H1717" s="2" t="str">
        <f>IFERROR(__xludf.DUMMYFUNCTION("""COMPUTED_VALUE"""),"Renov.")</f>
        <v>Renov.</v>
      </c>
      <c r="I1717" s="2" t="str">
        <f>IFERROR(__xludf.DUMMYFUNCTION("""COMPUTED_VALUE"""),"Masonry")</f>
        <v>Masonry</v>
      </c>
      <c r="J1717" s="2" t="str">
        <f>IFERROR(__xludf.DUMMYFUNCTION("""COMPUTED_VALUE"""),"All amenities")</f>
        <v>All amenities</v>
      </c>
      <c r="K1717" s="2">
        <f>IFERROR(__xludf.DUMMYFUNCTION("""COMPUTED_VALUE"""),200.0)</f>
        <v>200</v>
      </c>
      <c r="L1717" s="2">
        <f>IFERROR(__xludf.DUMMYFUNCTION("""COMPUTED_VALUE"""),56.94440235)</f>
        <v>56.94440235</v>
      </c>
      <c r="M1717" s="2">
        <f>IFERROR(__xludf.DUMMYFUNCTION("""COMPUTED_VALUE"""),24.1323630232783)</f>
        <v>24.13236302</v>
      </c>
    </row>
    <row r="1718">
      <c r="A1718" s="2" t="str">
        <f>IFERROR(__xludf.DUMMYFUNCTION("""COMPUTED_VALUE"""),"For sale")</f>
        <v>For sale</v>
      </c>
      <c r="B1718" s="2" t="str">
        <f>IFERROR(__xludf.DUMMYFUNCTION("""COMPUTED_VALUE"""),"centrs")</f>
        <v>centrs</v>
      </c>
      <c r="C1718" s="2" t="str">
        <f>IFERROR(__xludf.DUMMYFUNCTION("""COMPUTED_VALUE"""),"Stabu 46/48")</f>
        <v>Stabu 46/48</v>
      </c>
      <c r="D1718" s="2">
        <f>IFERROR(__xludf.DUMMYFUNCTION("""COMPUTED_VALUE"""),2.0)</f>
        <v>2</v>
      </c>
      <c r="E1718" s="2">
        <f>IFERROR(__xludf.DUMMYFUNCTION("""COMPUTED_VALUE"""),80.0)</f>
        <v>80</v>
      </c>
      <c r="F1718" s="2">
        <f>IFERROR(__xludf.DUMMYFUNCTION("""COMPUTED_VALUE"""),5.0)</f>
        <v>5</v>
      </c>
      <c r="G1718" s="2">
        <f>IFERROR(__xludf.DUMMYFUNCTION("""COMPUTED_VALUE"""),6.0)</f>
        <v>6</v>
      </c>
      <c r="H1718" s="2" t="str">
        <f>IFERROR(__xludf.DUMMYFUNCTION("""COMPUTED_VALUE"""),"P. kara")</f>
        <v>P. kara</v>
      </c>
      <c r="I1718" s="2" t="str">
        <f>IFERROR(__xludf.DUMMYFUNCTION("""COMPUTED_VALUE"""),"Brick")</f>
        <v>Brick</v>
      </c>
      <c r="J1718" s="2" t="str">
        <f>IFERROR(__xludf.DUMMYFUNCTION("""COMPUTED_VALUE"""),"All amenities")</f>
        <v>All amenities</v>
      </c>
      <c r="K1718" s="2">
        <f>IFERROR(__xludf.DUMMYFUNCTION("""COMPUTED_VALUE"""),72000.0)</f>
        <v>72000</v>
      </c>
      <c r="L1718" s="2">
        <f>IFERROR(__xludf.DUMMYFUNCTION("""COMPUTED_VALUE"""),56.9543322)</f>
        <v>56.9543322</v>
      </c>
      <c r="M1718" s="2">
        <f>IFERROR(__xludf.DUMMYFUNCTION("""COMPUTED_VALUE"""),24.1313043698515)</f>
        <v>24.13130437</v>
      </c>
    </row>
    <row r="1719">
      <c r="A1719" s="2" t="str">
        <f>IFERROR(__xludf.DUMMYFUNCTION("""COMPUTED_VALUE"""),"For sale")</f>
        <v>For sale</v>
      </c>
      <c r="B1719" s="2" t="str">
        <f>IFERROR(__xludf.DUMMYFUNCTION("""COMPUTED_VALUE"""),"centrs")</f>
        <v>centrs</v>
      </c>
      <c r="C1719" s="2" t="str">
        <f>IFERROR(__xludf.DUMMYFUNCTION("""COMPUTED_VALUE"""),"Miera 78")</f>
        <v>Miera 78</v>
      </c>
      <c r="D1719" s="2">
        <f>IFERROR(__xludf.DUMMYFUNCTION("""COMPUTED_VALUE"""),4.0)</f>
        <v>4</v>
      </c>
      <c r="E1719" s="2">
        <f>IFERROR(__xludf.DUMMYFUNCTION("""COMPUTED_VALUE"""),127.0)</f>
        <v>127</v>
      </c>
      <c r="F1719" s="2">
        <f>IFERROR(__xludf.DUMMYFUNCTION("""COMPUTED_VALUE"""),7.0)</f>
        <v>7</v>
      </c>
      <c r="G1719" s="2">
        <f>IFERROR(__xludf.DUMMYFUNCTION("""COMPUTED_VALUE"""),7.0)</f>
        <v>7</v>
      </c>
      <c r="H1719" s="2" t="str">
        <f>IFERROR(__xludf.DUMMYFUNCTION("""COMPUTED_VALUE"""),"P. kara")</f>
        <v>P. kara</v>
      </c>
      <c r="I1719" s="2" t="str">
        <f>IFERROR(__xludf.DUMMYFUNCTION("""COMPUTED_VALUE"""),"Masonry")</f>
        <v>Masonry</v>
      </c>
      <c r="J1719" s="2" t="str">
        <f>IFERROR(__xludf.DUMMYFUNCTION("""COMPUTED_VALUE"""),"All amenities")</f>
        <v>All amenities</v>
      </c>
      <c r="K1719" s="2">
        <f>IFERROR(__xludf.DUMMYFUNCTION("""COMPUTED_VALUE"""),124900.0)</f>
        <v>124900</v>
      </c>
      <c r="L1719" s="2">
        <f>IFERROR(__xludf.DUMMYFUNCTION("""COMPUTED_VALUE"""),56.9747123)</f>
        <v>56.9747123</v>
      </c>
      <c r="M1719" s="2">
        <f>IFERROR(__xludf.DUMMYFUNCTION("""COMPUTED_VALUE"""),24.1439791167864)</f>
        <v>24.14397912</v>
      </c>
    </row>
    <row r="1720">
      <c r="A1720" s="2" t="str">
        <f>IFERROR(__xludf.DUMMYFUNCTION("""COMPUTED_VALUE"""),"For rent")</f>
        <v>For rent</v>
      </c>
      <c r="B1720" s="2" t="str">
        <f>IFERROR(__xludf.DUMMYFUNCTION("""COMPUTED_VALUE"""),"centrs")</f>
        <v>centrs</v>
      </c>
      <c r="C1720" s="2" t="str">
        <f>IFERROR(__xludf.DUMMYFUNCTION("""COMPUTED_VALUE"""),"Barona 76")</f>
        <v>Barona 76</v>
      </c>
      <c r="D1720" s="2">
        <f>IFERROR(__xludf.DUMMYFUNCTION("""COMPUTED_VALUE"""),3.0)</f>
        <v>3</v>
      </c>
      <c r="E1720" s="2">
        <f>IFERROR(__xludf.DUMMYFUNCTION("""COMPUTED_VALUE"""),58.0)</f>
        <v>58</v>
      </c>
      <c r="F1720" s="2">
        <f>IFERROR(__xludf.DUMMYFUNCTION("""COMPUTED_VALUE"""),5.0)</f>
        <v>5</v>
      </c>
      <c r="G1720" s="2">
        <f>IFERROR(__xludf.DUMMYFUNCTION("""COMPUTED_VALUE"""),6.0)</f>
        <v>6</v>
      </c>
      <c r="H1720" s="2" t="str">
        <f>IFERROR(__xludf.DUMMYFUNCTION("""COMPUTED_VALUE"""),"Renov.")</f>
        <v>Renov.</v>
      </c>
      <c r="I1720" s="2" t="str">
        <f>IFERROR(__xludf.DUMMYFUNCTION("""COMPUTED_VALUE"""),"Masonry")</f>
        <v>Masonry</v>
      </c>
      <c r="J1720" s="2" t="str">
        <f>IFERROR(__xludf.DUMMYFUNCTION("""COMPUTED_VALUE"""),"All amenities")</f>
        <v>All amenities</v>
      </c>
      <c r="K1720" s="2">
        <f>IFERROR(__xludf.DUMMYFUNCTION("""COMPUTED_VALUE"""),630.0)</f>
        <v>630</v>
      </c>
      <c r="L1720" s="2">
        <f>IFERROR(__xludf.DUMMYFUNCTION("""COMPUTED_VALUE"""),56.95643795)</f>
        <v>56.95643795</v>
      </c>
      <c r="M1720" s="2">
        <f>IFERROR(__xludf.DUMMYFUNCTION("""COMPUTED_VALUE"""),24.1325729821556)</f>
        <v>24.13257298</v>
      </c>
    </row>
    <row r="1721">
      <c r="A1721" s="2" t="str">
        <f>IFERROR(__xludf.DUMMYFUNCTION("""COMPUTED_VALUE"""),"For sale")</f>
        <v>For sale</v>
      </c>
      <c r="B1721" s="2" t="str">
        <f>IFERROR(__xludf.DUMMYFUNCTION("""COMPUTED_VALUE"""),"Pļavnieki")</f>
        <v>Pļavnieki</v>
      </c>
      <c r="C1721" s="2" t="str">
        <f>IFERROR(__xludf.DUMMYFUNCTION("""COMPUTED_VALUE"""),"Ulbrokas 12")</f>
        <v>Ulbrokas 12</v>
      </c>
      <c r="D1721" s="2">
        <f>IFERROR(__xludf.DUMMYFUNCTION("""COMPUTED_VALUE"""),2.0)</f>
        <v>2</v>
      </c>
      <c r="E1721" s="2">
        <f>IFERROR(__xludf.DUMMYFUNCTION("""COMPUTED_VALUE"""),65.0)</f>
        <v>65</v>
      </c>
      <c r="F1721" s="2">
        <f>IFERROR(__xludf.DUMMYFUNCTION("""COMPUTED_VALUE"""),9.0)</f>
        <v>9</v>
      </c>
      <c r="G1721" s="2">
        <f>IFERROR(__xludf.DUMMYFUNCTION("""COMPUTED_VALUE"""),9.0)</f>
        <v>9</v>
      </c>
      <c r="H1721" s="2" t="str">
        <f>IFERROR(__xludf.DUMMYFUNCTION("""COMPUTED_VALUE"""),"Jaun.")</f>
        <v>Jaun.</v>
      </c>
      <c r="I1721" s="2" t="str">
        <f>IFERROR(__xludf.DUMMYFUNCTION("""COMPUTED_VALUE"""),"Panel-Brick")</f>
        <v>Panel-Brick</v>
      </c>
      <c r="J1721" s="2" t="str">
        <f>IFERROR(__xludf.DUMMYFUNCTION("""COMPUTED_VALUE"""),"All amenities")</f>
        <v>All amenities</v>
      </c>
      <c r="K1721" s="2">
        <f>IFERROR(__xludf.DUMMYFUNCTION("""COMPUTED_VALUE"""),110000.0)</f>
        <v>110000</v>
      </c>
      <c r="L1721" s="2">
        <f>IFERROR(__xludf.DUMMYFUNCTION("""COMPUTED_VALUE"""),56.94122905)</f>
        <v>56.94122905</v>
      </c>
      <c r="M1721" s="2">
        <f>IFERROR(__xludf.DUMMYFUNCTION("""COMPUTED_VALUE"""),24.2174231674689)</f>
        <v>24.21742317</v>
      </c>
    </row>
    <row r="1722">
      <c r="A1722" s="2" t="str">
        <f>IFERROR(__xludf.DUMMYFUNCTION("""COMPUTED_VALUE"""),"For rent")</f>
        <v>For rent</v>
      </c>
      <c r="B1722" s="2" t="str">
        <f>IFERROR(__xludf.DUMMYFUNCTION("""COMPUTED_VALUE"""),"Pļavnieki")</f>
        <v>Pļavnieki</v>
      </c>
      <c r="C1722" s="2" t="str">
        <f>IFERROR(__xludf.DUMMYFUNCTION("""COMPUTED_VALUE"""),"Tīnūžu 4")</f>
        <v>Tīnūžu 4</v>
      </c>
      <c r="D1722" s="2">
        <f>IFERROR(__xludf.DUMMYFUNCTION("""COMPUTED_VALUE"""),2.0)</f>
        <v>2</v>
      </c>
      <c r="E1722" s="2">
        <f>IFERROR(__xludf.DUMMYFUNCTION("""COMPUTED_VALUE"""),50.0)</f>
        <v>50</v>
      </c>
      <c r="F1722" s="2">
        <f>IFERROR(__xludf.DUMMYFUNCTION("""COMPUTED_VALUE"""),6.0)</f>
        <v>6</v>
      </c>
      <c r="G1722" s="2">
        <f>IFERROR(__xludf.DUMMYFUNCTION("""COMPUTED_VALUE"""),9.0)</f>
        <v>9</v>
      </c>
      <c r="H1722" s="2">
        <f>IFERROR(__xludf.DUMMYFUNCTION("""COMPUTED_VALUE"""),602.0)</f>
        <v>602</v>
      </c>
      <c r="I1722" s="2" t="str">
        <f>IFERROR(__xludf.DUMMYFUNCTION("""COMPUTED_VALUE"""),"Panel")</f>
        <v>Panel</v>
      </c>
      <c r="J1722" s="2" t="str">
        <f>IFERROR(__xludf.DUMMYFUNCTION("""COMPUTED_VALUE"""),"All amenities")</f>
        <v>All amenities</v>
      </c>
      <c r="K1722" s="2">
        <f>IFERROR(__xludf.DUMMYFUNCTION("""COMPUTED_VALUE"""),40.0)</f>
        <v>40</v>
      </c>
      <c r="L1722" s="2">
        <f>IFERROR(__xludf.DUMMYFUNCTION("""COMPUTED_VALUE"""),56.93411625)</f>
        <v>56.93411625</v>
      </c>
      <c r="M1722" s="2">
        <f>IFERROR(__xludf.DUMMYFUNCTION("""COMPUTED_VALUE"""),24.2046547708947)</f>
        <v>24.20465477</v>
      </c>
    </row>
    <row r="1723">
      <c r="A1723" s="2" t="str">
        <f>IFERROR(__xludf.DUMMYFUNCTION("""COMPUTED_VALUE"""),"For sale")</f>
        <v>For sale</v>
      </c>
      <c r="B1723" s="2" t="str">
        <f>IFERROR(__xludf.DUMMYFUNCTION("""COMPUTED_VALUE"""),"Grīziņkalns")</f>
        <v>Grīziņkalns</v>
      </c>
      <c r="C1723" s="2" t="str">
        <f>IFERROR(__xludf.DUMMYFUNCTION("""COMPUTED_VALUE"""),"Asara 12")</f>
        <v>Asara 12</v>
      </c>
      <c r="D1723" s="2">
        <f>IFERROR(__xludf.DUMMYFUNCTION("""COMPUTED_VALUE"""),4.0)</f>
        <v>4</v>
      </c>
      <c r="E1723" s="2">
        <f>IFERROR(__xludf.DUMMYFUNCTION("""COMPUTED_VALUE"""),107.0)</f>
        <v>107</v>
      </c>
      <c r="F1723" s="2">
        <f>IFERROR(__xludf.DUMMYFUNCTION("""COMPUTED_VALUE"""),1.0)</f>
        <v>1</v>
      </c>
      <c r="G1723" s="2">
        <f>IFERROR(__xludf.DUMMYFUNCTION("""COMPUTED_VALUE"""),2.0)</f>
        <v>2</v>
      </c>
      <c r="H1723" s="2" t="str">
        <f>IFERROR(__xludf.DUMMYFUNCTION("""COMPUTED_VALUE"""),"Renov.")</f>
        <v>Renov.</v>
      </c>
      <c r="I1723" s="2" t="str">
        <f>IFERROR(__xludf.DUMMYFUNCTION("""COMPUTED_VALUE"""),"Wood")</f>
        <v>Wood</v>
      </c>
      <c r="J1723" s="2" t="str">
        <f>IFERROR(__xludf.DUMMYFUNCTION("""COMPUTED_VALUE"""),"All amenities")</f>
        <v>All amenities</v>
      </c>
      <c r="K1723" s="2">
        <f>IFERROR(__xludf.DUMMYFUNCTION("""COMPUTED_VALUE"""),200000.0)</f>
        <v>200000</v>
      </c>
      <c r="L1723" s="2">
        <f>IFERROR(__xludf.DUMMYFUNCTION("""COMPUTED_VALUE"""),56.9553833)</f>
        <v>56.9553833</v>
      </c>
      <c r="M1723" s="2">
        <f>IFERROR(__xludf.DUMMYFUNCTION("""COMPUTED_VALUE"""),24.1488881)</f>
        <v>24.1488881</v>
      </c>
    </row>
    <row r="1724">
      <c r="A1724" s="2" t="str">
        <f>IFERROR(__xludf.DUMMYFUNCTION("""COMPUTED_VALUE"""),"For sale")</f>
        <v>For sale</v>
      </c>
      <c r="B1724" s="2" t="str">
        <f>IFERROR(__xludf.DUMMYFUNCTION("""COMPUTED_VALUE"""),"Āgenskalns")</f>
        <v>Āgenskalns</v>
      </c>
      <c r="C1724" s="2" t="str">
        <f>IFERROR(__xludf.DUMMYFUNCTION("""COMPUTED_VALUE"""),"Melnsila 24")</f>
        <v>Melnsila 24</v>
      </c>
      <c r="D1724" s="2">
        <f>IFERROR(__xludf.DUMMYFUNCTION("""COMPUTED_VALUE"""),3.0)</f>
        <v>3</v>
      </c>
      <c r="E1724" s="2">
        <f>IFERROR(__xludf.DUMMYFUNCTION("""COMPUTED_VALUE"""),60.0)</f>
        <v>60</v>
      </c>
      <c r="F1724" s="2">
        <f>IFERROR(__xludf.DUMMYFUNCTION("""COMPUTED_VALUE"""),5.0)</f>
        <v>5</v>
      </c>
      <c r="G1724" s="2">
        <f>IFERROR(__xludf.DUMMYFUNCTION("""COMPUTED_VALUE"""),5.0)</f>
        <v>5</v>
      </c>
      <c r="H1724" s="2" t="str">
        <f>IFERROR(__xludf.DUMMYFUNCTION("""COMPUTED_VALUE"""),"Hrušč.")</f>
        <v>Hrušč.</v>
      </c>
      <c r="I1724" s="2" t="str">
        <f>IFERROR(__xludf.DUMMYFUNCTION("""COMPUTED_VALUE"""),"Panel")</f>
        <v>Panel</v>
      </c>
      <c r="J1724" s="2" t="str">
        <f>IFERROR(__xludf.DUMMYFUNCTION("""COMPUTED_VALUE"""),"All amenities")</f>
        <v>All amenities</v>
      </c>
      <c r="K1724" s="2">
        <f>IFERROR(__xludf.DUMMYFUNCTION("""COMPUTED_VALUE"""),75000.0)</f>
        <v>75000</v>
      </c>
      <c r="L1724" s="2">
        <f>IFERROR(__xludf.DUMMYFUNCTION("""COMPUTED_VALUE"""),56.94578335)</f>
        <v>56.94578335</v>
      </c>
      <c r="M1724" s="2">
        <f>IFERROR(__xludf.DUMMYFUNCTION("""COMPUTED_VALUE"""),24.0643504483302)</f>
        <v>24.06435045</v>
      </c>
    </row>
    <row r="1725">
      <c r="A1725" s="2" t="str">
        <f>IFERROR(__xludf.DUMMYFUNCTION("""COMPUTED_VALUE"""),"For rent")</f>
        <v>For rent</v>
      </c>
      <c r="B1725" s="2" t="str">
        <f>IFERROR(__xludf.DUMMYFUNCTION("""COMPUTED_VALUE"""),"centrs")</f>
        <v>centrs</v>
      </c>
      <c r="C1725" s="2" t="str">
        <f>IFERROR(__xludf.DUMMYFUNCTION("""COMPUTED_VALUE"""),"Hospitāļu 7a")</f>
        <v>Hospitāļu 7a</v>
      </c>
      <c r="D1725" s="2">
        <f>IFERROR(__xludf.DUMMYFUNCTION("""COMPUTED_VALUE"""),1.0)</f>
        <v>1</v>
      </c>
      <c r="E1725" s="2">
        <f>IFERROR(__xludf.DUMMYFUNCTION("""COMPUTED_VALUE"""),25.0)</f>
        <v>25</v>
      </c>
      <c r="F1725" s="2">
        <f>IFERROR(__xludf.DUMMYFUNCTION("""COMPUTED_VALUE"""),2.0)</f>
        <v>2</v>
      </c>
      <c r="G1725" s="2">
        <f>IFERROR(__xludf.DUMMYFUNCTION("""COMPUTED_VALUE"""),3.0)</f>
        <v>3</v>
      </c>
      <c r="H1725" s="2" t="str">
        <f>IFERROR(__xludf.DUMMYFUNCTION("""COMPUTED_VALUE"""),"Renov.")</f>
        <v>Renov.</v>
      </c>
      <c r="I1725" s="2" t="str">
        <f>IFERROR(__xludf.DUMMYFUNCTION("""COMPUTED_VALUE"""),"Wood")</f>
        <v>Wood</v>
      </c>
      <c r="J1725" s="2" t="str">
        <f>IFERROR(__xludf.DUMMYFUNCTION("""COMPUTED_VALUE"""),"All amenities")</f>
        <v>All amenities</v>
      </c>
      <c r="K1725" s="2">
        <f>IFERROR(__xludf.DUMMYFUNCTION("""COMPUTED_VALUE"""),350.0)</f>
        <v>350</v>
      </c>
      <c r="L1725" s="2">
        <f>IFERROR(__xludf.DUMMYFUNCTION("""COMPUTED_VALUE"""),56.9698143)</f>
        <v>56.9698143</v>
      </c>
      <c r="M1725" s="2">
        <f>IFERROR(__xludf.DUMMYFUNCTION("""COMPUTED_VALUE"""),24.1358191)</f>
        <v>24.1358191</v>
      </c>
    </row>
    <row r="1726">
      <c r="A1726" s="2" t="str">
        <f>IFERROR(__xludf.DUMMYFUNCTION("""COMPUTED_VALUE"""),"For rent")</f>
        <v>For rent</v>
      </c>
      <c r="B1726" s="2" t="str">
        <f>IFERROR(__xludf.DUMMYFUNCTION("""COMPUTED_VALUE"""),"centrs")</f>
        <v>centrs</v>
      </c>
      <c r="C1726" s="2" t="str">
        <f>IFERROR(__xludf.DUMMYFUNCTION("""COMPUTED_VALUE"""),"Avotu 23")</f>
        <v>Avotu 23</v>
      </c>
      <c r="D1726" s="2">
        <f>IFERROR(__xludf.DUMMYFUNCTION("""COMPUTED_VALUE"""),3.0)</f>
        <v>3</v>
      </c>
      <c r="E1726" s="2">
        <f>IFERROR(__xludf.DUMMYFUNCTION("""COMPUTED_VALUE"""),72.0)</f>
        <v>72</v>
      </c>
      <c r="F1726" s="2">
        <f>IFERROR(__xludf.DUMMYFUNCTION("""COMPUTED_VALUE"""),3.0)</f>
        <v>3</v>
      </c>
      <c r="G1726" s="2">
        <f>IFERROR(__xludf.DUMMYFUNCTION("""COMPUTED_VALUE"""),4.0)</f>
        <v>4</v>
      </c>
      <c r="H1726" s="2" t="str">
        <f>IFERROR(__xludf.DUMMYFUNCTION("""COMPUTED_VALUE"""),"Renov.")</f>
        <v>Renov.</v>
      </c>
      <c r="I1726" s="2" t="str">
        <f>IFERROR(__xludf.DUMMYFUNCTION("""COMPUTED_VALUE"""),"Masonry")</f>
        <v>Masonry</v>
      </c>
      <c r="J1726" s="2" t="str">
        <f>IFERROR(__xludf.DUMMYFUNCTION("""COMPUTED_VALUE"""),"All amenities")</f>
        <v>All amenities</v>
      </c>
      <c r="K1726" s="2">
        <f>IFERROR(__xludf.DUMMYFUNCTION("""COMPUTED_VALUE"""),700.0)</f>
        <v>700</v>
      </c>
      <c r="L1726" s="2">
        <f>IFERROR(__xludf.DUMMYFUNCTION("""COMPUTED_VALUE"""),56.9507636)</f>
        <v>56.9507636</v>
      </c>
      <c r="M1726" s="2">
        <f>IFERROR(__xludf.DUMMYFUNCTION("""COMPUTED_VALUE"""),24.1315174)</f>
        <v>24.1315174</v>
      </c>
    </row>
    <row r="1727">
      <c r="A1727" s="2" t="str">
        <f>IFERROR(__xludf.DUMMYFUNCTION("""COMPUTED_VALUE"""),"For sale")</f>
        <v>For sale</v>
      </c>
      <c r="B1727" s="2" t="str">
        <f>IFERROR(__xludf.DUMMYFUNCTION("""COMPUTED_VALUE"""),"centrs")</f>
        <v>centrs</v>
      </c>
      <c r="C1727" s="2" t="str">
        <f>IFERROR(__xludf.DUMMYFUNCTION("""COMPUTED_VALUE"""),"Marijas 18")</f>
        <v>Marijas 18</v>
      </c>
      <c r="D1727" s="2">
        <f>IFERROR(__xludf.DUMMYFUNCTION("""COMPUTED_VALUE"""),2.0)</f>
        <v>2</v>
      </c>
      <c r="E1727" s="2">
        <f>IFERROR(__xludf.DUMMYFUNCTION("""COMPUTED_VALUE"""),60.0)</f>
        <v>60</v>
      </c>
      <c r="F1727" s="2">
        <f>IFERROR(__xludf.DUMMYFUNCTION("""COMPUTED_VALUE"""),6.0)</f>
        <v>6</v>
      </c>
      <c r="G1727" s="2">
        <f>IFERROR(__xludf.DUMMYFUNCTION("""COMPUTED_VALUE"""),6.0)</f>
        <v>6</v>
      </c>
      <c r="H1727" s="2" t="str">
        <f>IFERROR(__xludf.DUMMYFUNCTION("""COMPUTED_VALUE"""),"P. kara")</f>
        <v>P. kara</v>
      </c>
      <c r="I1727" s="2" t="str">
        <f>IFERROR(__xludf.DUMMYFUNCTION("""COMPUTED_VALUE"""),"Masonry")</f>
        <v>Masonry</v>
      </c>
      <c r="J1727" s="2" t="str">
        <f>IFERROR(__xludf.DUMMYFUNCTION("""COMPUTED_VALUE"""),"All amenities")</f>
        <v>All amenities</v>
      </c>
      <c r="K1727" s="2">
        <f>IFERROR(__xludf.DUMMYFUNCTION("""COMPUTED_VALUE"""),70000.0)</f>
        <v>70000</v>
      </c>
      <c r="L1727" s="2">
        <f>IFERROR(__xludf.DUMMYFUNCTION("""COMPUTED_VALUE"""),56.9505809)</f>
        <v>56.9505809</v>
      </c>
      <c r="M1727" s="2">
        <f>IFERROR(__xludf.DUMMYFUNCTION("""COMPUTED_VALUE"""),24.1258687558061)</f>
        <v>24.12586876</v>
      </c>
    </row>
    <row r="1728">
      <c r="A1728" s="2" t="str">
        <f>IFERROR(__xludf.DUMMYFUNCTION("""COMPUTED_VALUE"""),"For sale")</f>
        <v>For sale</v>
      </c>
      <c r="B1728" s="2" t="str">
        <f>IFERROR(__xludf.DUMMYFUNCTION("""COMPUTED_VALUE"""),"Zolitūde")</f>
        <v>Zolitūde</v>
      </c>
      <c r="C1728" s="2" t="str">
        <f>IFERROR(__xludf.DUMMYFUNCTION("""COMPUTED_VALUE"""),"Apuzes 51")</f>
        <v>Apuzes 51</v>
      </c>
      <c r="D1728" s="2">
        <f>IFERROR(__xludf.DUMMYFUNCTION("""COMPUTED_VALUE"""),2.0)</f>
        <v>2</v>
      </c>
      <c r="E1728" s="2">
        <f>IFERROR(__xludf.DUMMYFUNCTION("""COMPUTED_VALUE"""),60.0)</f>
        <v>60</v>
      </c>
      <c r="F1728" s="2">
        <f>IFERROR(__xludf.DUMMYFUNCTION("""COMPUTED_VALUE"""),3.0)</f>
        <v>3</v>
      </c>
      <c r="G1728" s="2">
        <f>IFERROR(__xludf.DUMMYFUNCTION("""COMPUTED_VALUE"""),3.0)</f>
        <v>3</v>
      </c>
      <c r="H1728" s="2" t="str">
        <f>IFERROR(__xludf.DUMMYFUNCTION("""COMPUTED_VALUE"""),"Jaun.")</f>
        <v>Jaun.</v>
      </c>
      <c r="I1728" s="2" t="str">
        <f>IFERROR(__xludf.DUMMYFUNCTION("""COMPUTED_VALUE"""),"Panel")</f>
        <v>Panel</v>
      </c>
      <c r="J1728" s="2" t="str">
        <f>IFERROR(__xludf.DUMMYFUNCTION("""COMPUTED_VALUE"""),"All amenities")</f>
        <v>All amenities</v>
      </c>
      <c r="K1728" s="2">
        <f>IFERROR(__xludf.DUMMYFUNCTION("""COMPUTED_VALUE"""),99703.0)</f>
        <v>99703</v>
      </c>
      <c r="L1728" s="2">
        <f>IFERROR(__xludf.DUMMYFUNCTION("""COMPUTED_VALUE"""),56.9371904)</f>
        <v>56.9371904</v>
      </c>
      <c r="M1728" s="2">
        <f>IFERROR(__xludf.DUMMYFUNCTION("""COMPUTED_VALUE"""),24.0257892)</f>
        <v>24.0257892</v>
      </c>
    </row>
    <row r="1729">
      <c r="A1729" s="2" t="str">
        <f>IFERROR(__xludf.DUMMYFUNCTION("""COMPUTED_VALUE"""),"For sale")</f>
        <v>For sale</v>
      </c>
      <c r="B1729" s="2" t="str">
        <f>IFERROR(__xludf.DUMMYFUNCTION("""COMPUTED_VALUE"""),"Purvciems")</f>
        <v>Purvciems</v>
      </c>
      <c r="C1729" s="2" t="str">
        <f>IFERROR(__xludf.DUMMYFUNCTION("""COMPUTED_VALUE"""),"Žagatu 20")</f>
        <v>Žagatu 20</v>
      </c>
      <c r="D1729" s="2">
        <f>IFERROR(__xludf.DUMMYFUNCTION("""COMPUTED_VALUE"""),3.0)</f>
        <v>3</v>
      </c>
      <c r="E1729" s="2">
        <f>IFERROR(__xludf.DUMMYFUNCTION("""COMPUTED_VALUE"""),63.0)</f>
        <v>63</v>
      </c>
      <c r="F1729" s="2">
        <f>IFERROR(__xludf.DUMMYFUNCTION("""COMPUTED_VALUE"""),8.0)</f>
        <v>8</v>
      </c>
      <c r="G1729" s="2">
        <f>IFERROR(__xludf.DUMMYFUNCTION("""COMPUTED_VALUE"""),9.0)</f>
        <v>9</v>
      </c>
      <c r="H1729" s="2">
        <f>IFERROR(__xludf.DUMMYFUNCTION("""COMPUTED_VALUE"""),602.0)</f>
        <v>602</v>
      </c>
      <c r="I1729" s="2" t="str">
        <f>IFERROR(__xludf.DUMMYFUNCTION("""COMPUTED_VALUE"""),"Panel")</f>
        <v>Panel</v>
      </c>
      <c r="J1729" s="2" t="str">
        <f>IFERROR(__xludf.DUMMYFUNCTION("""COMPUTED_VALUE"""),"All amenities")</f>
        <v>All amenities</v>
      </c>
      <c r="K1729" s="2">
        <f>IFERROR(__xludf.DUMMYFUNCTION("""COMPUTED_VALUE"""),72000.0)</f>
        <v>72000</v>
      </c>
      <c r="L1729" s="2">
        <f>IFERROR(__xludf.DUMMYFUNCTION("""COMPUTED_VALUE"""),56.9636591)</f>
        <v>56.9636591</v>
      </c>
      <c r="M1729" s="2">
        <f>IFERROR(__xludf.DUMMYFUNCTION("""COMPUTED_VALUE"""),24.1879779982164)</f>
        <v>24.187978</v>
      </c>
    </row>
    <row r="1730">
      <c r="A1730" s="2" t="str">
        <f>IFERROR(__xludf.DUMMYFUNCTION("""COMPUTED_VALUE"""),"For sale")</f>
        <v>For sale</v>
      </c>
      <c r="B1730" s="2" t="str">
        <f>IFERROR(__xludf.DUMMYFUNCTION("""COMPUTED_VALUE"""),"Teika")</f>
        <v>Teika</v>
      </c>
      <c r="C1730" s="2" t="str">
        <f>IFERROR(__xludf.DUMMYFUNCTION("""COMPUTED_VALUE"""),"Burtnieku 36a")</f>
        <v>Burtnieku 36a</v>
      </c>
      <c r="D1730" s="2">
        <f>IFERROR(__xludf.DUMMYFUNCTION("""COMPUTED_VALUE"""),3.0)</f>
        <v>3</v>
      </c>
      <c r="E1730" s="2">
        <f>IFERROR(__xludf.DUMMYFUNCTION("""COMPUTED_VALUE"""),65.0)</f>
        <v>65</v>
      </c>
      <c r="F1730" s="2">
        <f>IFERROR(__xludf.DUMMYFUNCTION("""COMPUTED_VALUE"""),4.0)</f>
        <v>4</v>
      </c>
      <c r="G1730" s="2">
        <f>IFERROR(__xludf.DUMMYFUNCTION("""COMPUTED_VALUE"""),5.0)</f>
        <v>5</v>
      </c>
      <c r="H1730" s="2" t="str">
        <f>IFERROR(__xludf.DUMMYFUNCTION("""COMPUTED_VALUE"""),"Jaun.")</f>
        <v>Jaun.</v>
      </c>
      <c r="I1730" s="2" t="str">
        <f>IFERROR(__xludf.DUMMYFUNCTION("""COMPUTED_VALUE"""),"Brick-Panel")</f>
        <v>Brick-Panel</v>
      </c>
      <c r="J1730" s="2" t="str">
        <f>IFERROR(__xludf.DUMMYFUNCTION("""COMPUTED_VALUE"""),"All amenities")</f>
        <v>All amenities</v>
      </c>
      <c r="K1730" s="2">
        <f>IFERROR(__xludf.DUMMYFUNCTION("""COMPUTED_VALUE"""),84000.0)</f>
        <v>84000</v>
      </c>
      <c r="L1730" s="2">
        <f>IFERROR(__xludf.DUMMYFUNCTION("""COMPUTED_VALUE"""),56.9670442)</f>
        <v>56.9670442</v>
      </c>
      <c r="M1730" s="2">
        <f>IFERROR(__xludf.DUMMYFUNCTION("""COMPUTED_VALUE"""),24.1820249)</f>
        <v>24.1820249</v>
      </c>
    </row>
    <row r="1731">
      <c r="A1731" s="2" t="str">
        <f>IFERROR(__xludf.DUMMYFUNCTION("""COMPUTED_VALUE"""),"For rent")</f>
        <v>For rent</v>
      </c>
      <c r="B1731" s="2" t="str">
        <f>IFERROR(__xludf.DUMMYFUNCTION("""COMPUTED_VALUE"""),"Āgenskalns")</f>
        <v>Āgenskalns</v>
      </c>
      <c r="C1731" s="2" t="str">
        <f>IFERROR(__xludf.DUMMYFUNCTION("""COMPUTED_VALUE"""),"Zemaišu 1/5")</f>
        <v>Zemaišu 1/5</v>
      </c>
      <c r="D1731" s="2">
        <f>IFERROR(__xludf.DUMMYFUNCTION("""COMPUTED_VALUE"""),2.0)</f>
        <v>2</v>
      </c>
      <c r="E1731" s="2">
        <f>IFERROR(__xludf.DUMMYFUNCTION("""COMPUTED_VALUE"""),44.0)</f>
        <v>44</v>
      </c>
      <c r="F1731" s="2">
        <f>IFERROR(__xludf.DUMMYFUNCTION("""COMPUTED_VALUE"""),4.0)</f>
        <v>4</v>
      </c>
      <c r="G1731" s="2">
        <f>IFERROR(__xludf.DUMMYFUNCTION("""COMPUTED_VALUE"""),4.0)</f>
        <v>4</v>
      </c>
      <c r="H1731" s="2" t="str">
        <f>IFERROR(__xludf.DUMMYFUNCTION("""COMPUTED_VALUE"""),"Hrušč.")</f>
        <v>Hrušč.</v>
      </c>
      <c r="I1731" s="2" t="str">
        <f>IFERROR(__xludf.DUMMYFUNCTION("""COMPUTED_VALUE"""),"Brick")</f>
        <v>Brick</v>
      </c>
      <c r="J1731" s="2" t="str">
        <f>IFERROR(__xludf.DUMMYFUNCTION("""COMPUTED_VALUE"""),"All amenities")</f>
        <v>All amenities</v>
      </c>
      <c r="K1731" s="2">
        <f>IFERROR(__xludf.DUMMYFUNCTION("""COMPUTED_VALUE"""),320.0)</f>
        <v>320</v>
      </c>
      <c r="L1731" s="2">
        <f>IFERROR(__xludf.DUMMYFUNCTION("""COMPUTED_VALUE"""),56.930137)</f>
        <v>56.930137</v>
      </c>
      <c r="M1731" s="2">
        <f>IFERROR(__xludf.DUMMYFUNCTION("""COMPUTED_VALUE"""),24.0699254)</f>
        <v>24.0699254</v>
      </c>
    </row>
    <row r="1732">
      <c r="A1732" s="2" t="str">
        <f>IFERROR(__xludf.DUMMYFUNCTION("""COMPUTED_VALUE"""),"For sale")</f>
        <v>For sale</v>
      </c>
      <c r="B1732" s="2" t="str">
        <f>IFERROR(__xludf.DUMMYFUNCTION("""COMPUTED_VALUE"""),"centrs")</f>
        <v>centrs</v>
      </c>
      <c r="C1732" s="2" t="str">
        <f>IFERROR(__xludf.DUMMYFUNCTION("""COMPUTED_VALUE"""),"Avotu 5")</f>
        <v>Avotu 5</v>
      </c>
      <c r="D1732" s="2">
        <f>IFERROR(__xludf.DUMMYFUNCTION("""COMPUTED_VALUE"""),1.0)</f>
        <v>1</v>
      </c>
      <c r="E1732" s="2">
        <f>IFERROR(__xludf.DUMMYFUNCTION("""COMPUTED_VALUE"""),30.0)</f>
        <v>30</v>
      </c>
      <c r="F1732" s="2">
        <f>IFERROR(__xludf.DUMMYFUNCTION("""COMPUTED_VALUE"""),2.0)</f>
        <v>2</v>
      </c>
      <c r="G1732" s="2">
        <f>IFERROR(__xludf.DUMMYFUNCTION("""COMPUTED_VALUE"""),5.0)</f>
        <v>5</v>
      </c>
      <c r="H1732" s="2" t="str">
        <f>IFERROR(__xludf.DUMMYFUNCTION("""COMPUTED_VALUE"""),"Renov.")</f>
        <v>Renov.</v>
      </c>
      <c r="I1732" s="2" t="str">
        <f>IFERROR(__xludf.DUMMYFUNCTION("""COMPUTED_VALUE"""),"Masonry")</f>
        <v>Masonry</v>
      </c>
      <c r="J1732" s="2" t="str">
        <f>IFERROR(__xludf.DUMMYFUNCTION("""COMPUTED_VALUE"""),"All amenities")</f>
        <v>All amenities</v>
      </c>
      <c r="K1732" s="2">
        <f>IFERROR(__xludf.DUMMYFUNCTION("""COMPUTED_VALUE"""),68540.0)</f>
        <v>68540</v>
      </c>
      <c r="L1732" s="2">
        <f>IFERROR(__xludf.DUMMYFUNCTION("""COMPUTED_VALUE"""),56.95092625)</f>
        <v>56.95092625</v>
      </c>
      <c r="M1732" s="2">
        <f>IFERROR(__xludf.DUMMYFUNCTION("""COMPUTED_VALUE"""),24.1279151350786)</f>
        <v>24.12791514</v>
      </c>
    </row>
    <row r="1733">
      <c r="A1733" s="2" t="str">
        <f>IFERROR(__xludf.DUMMYFUNCTION("""COMPUTED_VALUE"""),"For sale")</f>
        <v>For sale</v>
      </c>
      <c r="B1733" s="2" t="str">
        <f>IFERROR(__xludf.DUMMYFUNCTION("""COMPUTED_VALUE"""),"Sarkandaugava")</f>
        <v>Sarkandaugava</v>
      </c>
      <c r="C1733" s="2" t="str">
        <f>IFERROR(__xludf.DUMMYFUNCTION("""COMPUTED_VALUE"""),"Tilta 5 k-1")</f>
        <v>Tilta 5 k-1</v>
      </c>
      <c r="D1733" s="2">
        <f>IFERROR(__xludf.DUMMYFUNCTION("""COMPUTED_VALUE"""),2.0)</f>
        <v>2</v>
      </c>
      <c r="E1733" s="2">
        <f>IFERROR(__xludf.DUMMYFUNCTION("""COMPUTED_VALUE"""),54.0)</f>
        <v>54</v>
      </c>
      <c r="F1733" s="2">
        <f>IFERROR(__xludf.DUMMYFUNCTION("""COMPUTED_VALUE"""),3.0)</f>
        <v>3</v>
      </c>
      <c r="G1733" s="2">
        <f>IFERROR(__xludf.DUMMYFUNCTION("""COMPUTED_VALUE"""),5.0)</f>
        <v>5</v>
      </c>
      <c r="H1733" s="2">
        <f>IFERROR(__xludf.DUMMYFUNCTION("""COMPUTED_VALUE"""),103.0)</f>
        <v>103</v>
      </c>
      <c r="I1733" s="2" t="str">
        <f>IFERROR(__xludf.DUMMYFUNCTION("""COMPUTED_VALUE"""),"Brick-Panel")</f>
        <v>Brick-Panel</v>
      </c>
      <c r="J1733" s="2" t="str">
        <f>IFERROR(__xludf.DUMMYFUNCTION("""COMPUTED_VALUE"""),"All amenities")</f>
        <v>All amenities</v>
      </c>
      <c r="K1733" s="2">
        <f>IFERROR(__xludf.DUMMYFUNCTION("""COMPUTED_VALUE"""),45000.0)</f>
        <v>45000</v>
      </c>
      <c r="L1733" s="2" t="str">
        <f>IFERROR(__xludf.DUMMYFUNCTION("""COMPUTED_VALUE"""),"NaN")</f>
        <v>NaN</v>
      </c>
      <c r="M1733" s="2" t="str">
        <f>IFERROR(__xludf.DUMMYFUNCTION("""COMPUTED_VALUE"""),"NaN")</f>
        <v>NaN</v>
      </c>
    </row>
    <row r="1734">
      <c r="A1734" s="2" t="str">
        <f>IFERROR(__xludf.DUMMYFUNCTION("""COMPUTED_VALUE"""),"For rent")</f>
        <v>For rent</v>
      </c>
      <c r="B1734" s="2" t="str">
        <f>IFERROR(__xludf.DUMMYFUNCTION("""COMPUTED_VALUE"""),"Torņakalns")</f>
        <v>Torņakalns</v>
      </c>
      <c r="C1734" s="2" t="str">
        <f>IFERROR(__xludf.DUMMYFUNCTION("""COMPUTED_VALUE"""),"Mūkusalas 29")</f>
        <v>Mūkusalas 29</v>
      </c>
      <c r="D1734" s="2">
        <f>IFERROR(__xludf.DUMMYFUNCTION("""COMPUTED_VALUE"""),2.0)</f>
        <v>2</v>
      </c>
      <c r="E1734" s="2">
        <f>IFERROR(__xludf.DUMMYFUNCTION("""COMPUTED_VALUE"""),52.0)</f>
        <v>52</v>
      </c>
      <c r="F1734" s="2">
        <f>IFERROR(__xludf.DUMMYFUNCTION("""COMPUTED_VALUE"""),2.0)</f>
        <v>2</v>
      </c>
      <c r="G1734" s="2">
        <f>IFERROR(__xludf.DUMMYFUNCTION("""COMPUTED_VALUE"""),4.0)</f>
        <v>4</v>
      </c>
      <c r="H1734" s="2" t="str">
        <f>IFERROR(__xludf.DUMMYFUNCTION("""COMPUTED_VALUE"""),"Renov.")</f>
        <v>Renov.</v>
      </c>
      <c r="I1734" s="2" t="str">
        <f>IFERROR(__xludf.DUMMYFUNCTION("""COMPUTED_VALUE"""),"Brick-Panel")</f>
        <v>Brick-Panel</v>
      </c>
      <c r="J1734" s="2" t="str">
        <f>IFERROR(__xludf.DUMMYFUNCTION("""COMPUTED_VALUE"""),"All amenities")</f>
        <v>All amenities</v>
      </c>
      <c r="K1734" s="2">
        <f>IFERROR(__xludf.DUMMYFUNCTION("""COMPUTED_VALUE"""),700.0)</f>
        <v>700</v>
      </c>
      <c r="L1734" s="2">
        <f>IFERROR(__xludf.DUMMYFUNCTION("""COMPUTED_VALUE"""),56.93693955)</f>
        <v>56.93693955</v>
      </c>
      <c r="M1734" s="2">
        <f>IFERROR(__xludf.DUMMYFUNCTION("""COMPUTED_VALUE"""),24.1019323631236)</f>
        <v>24.10193236</v>
      </c>
    </row>
    <row r="1735">
      <c r="A1735" s="2" t="str">
        <f>IFERROR(__xludf.DUMMYFUNCTION("""COMPUTED_VALUE"""),"For sale")</f>
        <v>For sale</v>
      </c>
      <c r="B1735" s="2" t="str">
        <f>IFERROR(__xludf.DUMMYFUNCTION("""COMPUTED_VALUE"""),"centrs")</f>
        <v>centrs</v>
      </c>
      <c r="C1735" s="2" t="str">
        <f>IFERROR(__xludf.DUMMYFUNCTION("""COMPUTED_VALUE"""),"Ganu 2")</f>
        <v>Ganu 2</v>
      </c>
      <c r="D1735" s="2">
        <f>IFERROR(__xludf.DUMMYFUNCTION("""COMPUTED_VALUE"""),6.0)</f>
        <v>6</v>
      </c>
      <c r="E1735" s="2">
        <f>IFERROR(__xludf.DUMMYFUNCTION("""COMPUTED_VALUE"""),225.0)</f>
        <v>225</v>
      </c>
      <c r="F1735" s="2">
        <f>IFERROR(__xludf.DUMMYFUNCTION("""COMPUTED_VALUE"""),4.0)</f>
        <v>4</v>
      </c>
      <c r="G1735" s="2">
        <f>IFERROR(__xludf.DUMMYFUNCTION("""COMPUTED_VALUE"""),5.0)</f>
        <v>5</v>
      </c>
      <c r="H1735" s="2" t="str">
        <f>IFERROR(__xludf.DUMMYFUNCTION("""COMPUTED_VALUE"""),"Jaun.")</f>
        <v>Jaun.</v>
      </c>
      <c r="I1735" s="2" t="str">
        <f>IFERROR(__xludf.DUMMYFUNCTION("""COMPUTED_VALUE"""),"Masonry")</f>
        <v>Masonry</v>
      </c>
      <c r="J1735" s="2" t="str">
        <f>IFERROR(__xludf.DUMMYFUNCTION("""COMPUTED_VALUE"""),"All amenities")</f>
        <v>All amenities</v>
      </c>
      <c r="K1735" s="2">
        <f>IFERROR(__xludf.DUMMYFUNCTION("""COMPUTED_VALUE"""),331000.0)</f>
        <v>331000</v>
      </c>
      <c r="L1735" s="2">
        <f>IFERROR(__xludf.DUMMYFUNCTION("""COMPUTED_VALUE"""),56.9612489999999)</f>
        <v>56.961249</v>
      </c>
      <c r="M1735" s="2">
        <f>IFERROR(__xludf.DUMMYFUNCTION("""COMPUTED_VALUE"""),24.1088532817344)</f>
        <v>24.10885328</v>
      </c>
    </row>
    <row r="1736">
      <c r="A1736" s="2" t="str">
        <f>IFERROR(__xludf.DUMMYFUNCTION("""COMPUTED_VALUE"""),"For sale")</f>
        <v>For sale</v>
      </c>
      <c r="B1736" s="2" t="str">
        <f>IFERROR(__xludf.DUMMYFUNCTION("""COMPUTED_VALUE"""),"Šampēteris-Pleskodāle")</f>
        <v>Šampēteris-Pleskodāle</v>
      </c>
      <c r="C1736" s="2" t="str">
        <f>IFERROR(__xludf.DUMMYFUNCTION("""COMPUTED_VALUE"""),"Volguntes 50")</f>
        <v>Volguntes 50</v>
      </c>
      <c r="D1736" s="2">
        <f>IFERROR(__xludf.DUMMYFUNCTION("""COMPUTED_VALUE"""),2.0)</f>
        <v>2</v>
      </c>
      <c r="E1736" s="2">
        <f>IFERROR(__xludf.DUMMYFUNCTION("""COMPUTED_VALUE"""),45.0)</f>
        <v>45</v>
      </c>
      <c r="F1736" s="2">
        <f>IFERROR(__xludf.DUMMYFUNCTION("""COMPUTED_VALUE"""),2.0)</f>
        <v>2</v>
      </c>
      <c r="G1736" s="2">
        <f>IFERROR(__xludf.DUMMYFUNCTION("""COMPUTED_VALUE"""),2.0)</f>
        <v>2</v>
      </c>
      <c r="H1736" s="2" t="str">
        <f>IFERROR(__xludf.DUMMYFUNCTION("""COMPUTED_VALUE"""),"P. kara")</f>
        <v>P. kara</v>
      </c>
      <c r="I1736" s="2" t="str">
        <f>IFERROR(__xludf.DUMMYFUNCTION("""COMPUTED_VALUE"""),"Wood")</f>
        <v>Wood</v>
      </c>
      <c r="J1736" s="2" t="str">
        <f>IFERROR(__xludf.DUMMYFUNCTION("""COMPUTED_VALUE"""),"Partial amenities")</f>
        <v>Partial amenities</v>
      </c>
      <c r="K1736" s="2">
        <f>IFERROR(__xludf.DUMMYFUNCTION("""COMPUTED_VALUE"""),27000.0)</f>
        <v>27000</v>
      </c>
      <c r="L1736" s="2">
        <f>IFERROR(__xludf.DUMMYFUNCTION("""COMPUTED_VALUE"""),56.9365633)</f>
        <v>56.9365633</v>
      </c>
      <c r="M1736" s="2">
        <f>IFERROR(__xludf.DUMMYFUNCTION("""COMPUTED_VALUE"""),24.0351488499999)</f>
        <v>24.03514885</v>
      </c>
    </row>
    <row r="1737">
      <c r="A1737" s="2" t="str">
        <f>IFERROR(__xludf.DUMMYFUNCTION("""COMPUTED_VALUE"""),"For sale")</f>
        <v>For sale</v>
      </c>
      <c r="B1737" s="2" t="str">
        <f>IFERROR(__xludf.DUMMYFUNCTION("""COMPUTED_VALUE"""),"centrs")</f>
        <v>centrs</v>
      </c>
      <c r="C1737" s="2" t="str">
        <f>IFERROR(__xludf.DUMMYFUNCTION("""COMPUTED_VALUE"""),"Ģertrūdes 86")</f>
        <v>Ģertrūdes 86</v>
      </c>
      <c r="D1737" s="2">
        <f>IFERROR(__xludf.DUMMYFUNCTION("""COMPUTED_VALUE"""),1.0)</f>
        <v>1</v>
      </c>
      <c r="E1737" s="2">
        <f>IFERROR(__xludf.DUMMYFUNCTION("""COMPUTED_VALUE"""),32.0)</f>
        <v>32</v>
      </c>
      <c r="F1737" s="2">
        <f>IFERROR(__xludf.DUMMYFUNCTION("""COMPUTED_VALUE"""),6.0)</f>
        <v>6</v>
      </c>
      <c r="G1737" s="2">
        <f>IFERROR(__xludf.DUMMYFUNCTION("""COMPUTED_VALUE"""),6.0)</f>
        <v>6</v>
      </c>
      <c r="H1737" s="2" t="str">
        <f>IFERROR(__xludf.DUMMYFUNCTION("""COMPUTED_VALUE"""),"P. kara")</f>
        <v>P. kara</v>
      </c>
      <c r="I1737" s="2" t="str">
        <f>IFERROR(__xludf.DUMMYFUNCTION("""COMPUTED_VALUE"""),"Masonry")</f>
        <v>Masonry</v>
      </c>
      <c r="J1737" s="2" t="str">
        <f>IFERROR(__xludf.DUMMYFUNCTION("""COMPUTED_VALUE"""),"All amenities")</f>
        <v>All amenities</v>
      </c>
      <c r="K1737" s="2">
        <f>IFERROR(__xludf.DUMMYFUNCTION("""COMPUTED_VALUE"""),39800.0)</f>
        <v>39800</v>
      </c>
      <c r="L1737" s="2">
        <f>IFERROR(__xludf.DUMMYFUNCTION("""COMPUTED_VALUE"""),56.9471865)</f>
        <v>56.9471865</v>
      </c>
      <c r="M1737" s="2">
        <f>IFERROR(__xludf.DUMMYFUNCTION("""COMPUTED_VALUE"""),24.1411337)</f>
        <v>24.1411337</v>
      </c>
    </row>
    <row r="1738">
      <c r="A1738" s="2" t="str">
        <f>IFERROR(__xludf.DUMMYFUNCTION("""COMPUTED_VALUE"""),"For rent")</f>
        <v>For rent</v>
      </c>
      <c r="B1738" s="2" t="str">
        <f>IFERROR(__xludf.DUMMYFUNCTION("""COMPUTED_VALUE"""),"Imanta")</f>
        <v>Imanta</v>
      </c>
      <c r="C1738" s="2" t="str">
        <f>IFERROR(__xludf.DUMMYFUNCTION("""COMPUTED_VALUE"""),"Slokas 111h")</f>
        <v>Slokas 111h</v>
      </c>
      <c r="D1738" s="2">
        <f>IFERROR(__xludf.DUMMYFUNCTION("""COMPUTED_VALUE"""),2.0)</f>
        <v>2</v>
      </c>
      <c r="E1738" s="2">
        <f>IFERROR(__xludf.DUMMYFUNCTION("""COMPUTED_VALUE"""),63.0)</f>
        <v>63</v>
      </c>
      <c r="F1738" s="2">
        <f>IFERROR(__xludf.DUMMYFUNCTION("""COMPUTED_VALUE"""),2.0)</f>
        <v>2</v>
      </c>
      <c r="G1738" s="2">
        <f>IFERROR(__xludf.DUMMYFUNCTION("""COMPUTED_VALUE"""),4.0)</f>
        <v>4</v>
      </c>
      <c r="H1738" s="2" t="str">
        <f>IFERROR(__xludf.DUMMYFUNCTION("""COMPUTED_VALUE"""),"Jaun.")</f>
        <v>Jaun.</v>
      </c>
      <c r="I1738" s="2" t="str">
        <f>IFERROR(__xludf.DUMMYFUNCTION("""COMPUTED_VALUE"""),"Panel")</f>
        <v>Panel</v>
      </c>
      <c r="J1738" s="2" t="str">
        <f>IFERROR(__xludf.DUMMYFUNCTION("""COMPUTED_VALUE"""),"All amenities")</f>
        <v>All amenities</v>
      </c>
      <c r="K1738" s="2">
        <f>IFERROR(__xludf.DUMMYFUNCTION("""COMPUTED_VALUE"""),525.0)</f>
        <v>525</v>
      </c>
      <c r="L1738" s="2">
        <f>IFERROR(__xludf.DUMMYFUNCTION("""COMPUTED_VALUE"""),56.9613667499999)</f>
        <v>56.96136675</v>
      </c>
      <c r="M1738" s="2">
        <f>IFERROR(__xludf.DUMMYFUNCTION("""COMPUTED_VALUE"""),24.0399823728069)</f>
        <v>24.03998237</v>
      </c>
    </row>
    <row r="1739">
      <c r="A1739" s="2" t="str">
        <f>IFERROR(__xludf.DUMMYFUNCTION("""COMPUTED_VALUE"""),"For sale")</f>
        <v>For sale</v>
      </c>
      <c r="B1739" s="2" t="str">
        <f>IFERROR(__xludf.DUMMYFUNCTION("""COMPUTED_VALUE"""),"Ķengarags")</f>
        <v>Ķengarags</v>
      </c>
      <c r="C1739" s="2" t="str">
        <f>IFERROR(__xludf.DUMMYFUNCTION("""COMPUTED_VALUE"""),"Maltas 17")</f>
        <v>Maltas 17</v>
      </c>
      <c r="D1739" s="2">
        <f>IFERROR(__xludf.DUMMYFUNCTION("""COMPUTED_VALUE"""),3.0)</f>
        <v>3</v>
      </c>
      <c r="E1739" s="2">
        <f>IFERROR(__xludf.DUMMYFUNCTION("""COMPUTED_VALUE"""),54.0)</f>
        <v>54</v>
      </c>
      <c r="F1739" s="2">
        <f>IFERROR(__xludf.DUMMYFUNCTION("""COMPUTED_VALUE"""),4.0)</f>
        <v>4</v>
      </c>
      <c r="G1739" s="2">
        <f>IFERROR(__xludf.DUMMYFUNCTION("""COMPUTED_VALUE"""),5.0)</f>
        <v>5</v>
      </c>
      <c r="H1739" s="2" t="str">
        <f>IFERROR(__xludf.DUMMYFUNCTION("""COMPUTED_VALUE"""),"LT proj.")</f>
        <v>LT proj.</v>
      </c>
      <c r="I1739" s="2" t="str">
        <f>IFERROR(__xludf.DUMMYFUNCTION("""COMPUTED_VALUE"""),"Panel")</f>
        <v>Panel</v>
      </c>
      <c r="J1739" s="2" t="str">
        <f>IFERROR(__xludf.DUMMYFUNCTION("""COMPUTED_VALUE"""),"All amenities")</f>
        <v>All amenities</v>
      </c>
      <c r="K1739" s="2">
        <f>IFERROR(__xludf.DUMMYFUNCTION("""COMPUTED_VALUE"""),41500.0)</f>
        <v>41500</v>
      </c>
      <c r="L1739" s="2">
        <f>IFERROR(__xludf.DUMMYFUNCTION("""COMPUTED_VALUE"""),56.9107942)</f>
        <v>56.9107942</v>
      </c>
      <c r="M1739" s="2">
        <f>IFERROR(__xludf.DUMMYFUNCTION("""COMPUTED_VALUE"""),24.1853041586263)</f>
        <v>24.18530416</v>
      </c>
    </row>
    <row r="1740">
      <c r="A1740" s="2" t="str">
        <f>IFERROR(__xludf.DUMMYFUNCTION("""COMPUTED_VALUE"""),"For sale")</f>
        <v>For sale</v>
      </c>
      <c r="B1740" s="2" t="str">
        <f>IFERROR(__xludf.DUMMYFUNCTION("""COMPUTED_VALUE"""),"Bolderāja")</f>
        <v>Bolderāja</v>
      </c>
      <c r="C1740" s="2" t="str">
        <f>IFERROR(__xludf.DUMMYFUNCTION("""COMPUTED_VALUE"""),"Lemešu 9")</f>
        <v>Lemešu 9</v>
      </c>
      <c r="D1740" s="2">
        <f>IFERROR(__xludf.DUMMYFUNCTION("""COMPUTED_VALUE"""),3.0)</f>
        <v>3</v>
      </c>
      <c r="E1740" s="2">
        <f>IFERROR(__xludf.DUMMYFUNCTION("""COMPUTED_VALUE"""),62.0)</f>
        <v>62</v>
      </c>
      <c r="F1740" s="2">
        <f>IFERROR(__xludf.DUMMYFUNCTION("""COMPUTED_VALUE"""),8.0)</f>
        <v>8</v>
      </c>
      <c r="G1740" s="2">
        <f>IFERROR(__xludf.DUMMYFUNCTION("""COMPUTED_VALUE"""),9.0)</f>
        <v>9</v>
      </c>
      <c r="H1740" s="2">
        <f>IFERROR(__xludf.DUMMYFUNCTION("""COMPUTED_VALUE"""),602.0)</f>
        <v>602</v>
      </c>
      <c r="I1740" s="2" t="str">
        <f>IFERROR(__xludf.DUMMYFUNCTION("""COMPUTED_VALUE"""),"Panel")</f>
        <v>Panel</v>
      </c>
      <c r="J1740" s="2" t="str">
        <f>IFERROR(__xludf.DUMMYFUNCTION("""COMPUTED_VALUE"""),"All amenities")</f>
        <v>All amenities</v>
      </c>
      <c r="K1740" s="2">
        <f>IFERROR(__xludf.DUMMYFUNCTION("""COMPUTED_VALUE"""),52900.0)</f>
        <v>52900</v>
      </c>
      <c r="L1740" s="2">
        <f>IFERROR(__xludf.DUMMYFUNCTION("""COMPUTED_VALUE"""),57.0333528)</f>
        <v>57.0333528</v>
      </c>
      <c r="M1740" s="2">
        <f>IFERROR(__xludf.DUMMYFUNCTION("""COMPUTED_VALUE"""),24.0553772495031)</f>
        <v>24.05537725</v>
      </c>
    </row>
    <row r="1741">
      <c r="A1741" s="2" t="str">
        <f>IFERROR(__xludf.DUMMYFUNCTION("""COMPUTED_VALUE"""),"For sale")</f>
        <v>For sale</v>
      </c>
      <c r="B1741" s="2" t="str">
        <f>IFERROR(__xludf.DUMMYFUNCTION("""COMPUTED_VALUE"""),"centrs")</f>
        <v>centrs</v>
      </c>
      <c r="C1741" s="2" t="str">
        <f>IFERROR(__xludf.DUMMYFUNCTION("""COMPUTED_VALUE"""),"Merķeļa 17/19")</f>
        <v>Merķeļa 17/19</v>
      </c>
      <c r="D1741" s="2">
        <f>IFERROR(__xludf.DUMMYFUNCTION("""COMPUTED_VALUE"""),1.0)</f>
        <v>1</v>
      </c>
      <c r="E1741" s="2">
        <f>IFERROR(__xludf.DUMMYFUNCTION("""COMPUTED_VALUE"""),40.0)</f>
        <v>40</v>
      </c>
      <c r="F1741" s="2">
        <f>IFERROR(__xludf.DUMMYFUNCTION("""COMPUTED_VALUE"""),4.0)</f>
        <v>4</v>
      </c>
      <c r="G1741" s="2">
        <f>IFERROR(__xludf.DUMMYFUNCTION("""COMPUTED_VALUE"""),5.0)</f>
        <v>5</v>
      </c>
      <c r="H1741" s="2" t="str">
        <f>IFERROR(__xludf.DUMMYFUNCTION("""COMPUTED_VALUE"""),"Renov.")</f>
        <v>Renov.</v>
      </c>
      <c r="I1741" s="2" t="str">
        <f>IFERROR(__xludf.DUMMYFUNCTION("""COMPUTED_VALUE"""),"Masonry")</f>
        <v>Masonry</v>
      </c>
      <c r="J1741" s="2" t="str">
        <f>IFERROR(__xludf.DUMMYFUNCTION("""COMPUTED_VALUE"""),"All amenities")</f>
        <v>All amenities</v>
      </c>
      <c r="K1741" s="2">
        <f>IFERROR(__xludf.DUMMYFUNCTION("""COMPUTED_VALUE"""),99000.0)</f>
        <v>99000</v>
      </c>
      <c r="L1741" s="2">
        <f>IFERROR(__xludf.DUMMYFUNCTION("""COMPUTED_VALUE"""),56.9515994)</f>
        <v>56.9515994</v>
      </c>
      <c r="M1741" s="2">
        <f>IFERROR(__xludf.DUMMYFUNCTION("""COMPUTED_VALUE"""),24.1159776)</f>
        <v>24.1159776</v>
      </c>
    </row>
    <row r="1742">
      <c r="A1742" s="2" t="str">
        <f>IFERROR(__xludf.DUMMYFUNCTION("""COMPUTED_VALUE"""),"For sale")</f>
        <v>For sale</v>
      </c>
      <c r="B1742" s="2" t="str">
        <f>IFERROR(__xludf.DUMMYFUNCTION("""COMPUTED_VALUE"""),"centrs")</f>
        <v>centrs</v>
      </c>
      <c r="C1742" s="2" t="str">
        <f>IFERROR(__xludf.DUMMYFUNCTION("""COMPUTED_VALUE"""),"Miera 10")</f>
        <v>Miera 10</v>
      </c>
      <c r="D1742" s="2">
        <f>IFERROR(__xludf.DUMMYFUNCTION("""COMPUTED_VALUE"""),2.0)</f>
        <v>2</v>
      </c>
      <c r="E1742" s="2">
        <f>IFERROR(__xludf.DUMMYFUNCTION("""COMPUTED_VALUE"""),45.0)</f>
        <v>45</v>
      </c>
      <c r="F1742" s="2">
        <f>IFERROR(__xludf.DUMMYFUNCTION("""COMPUTED_VALUE"""),4.0)</f>
        <v>4</v>
      </c>
      <c r="G1742" s="2">
        <f>IFERROR(__xludf.DUMMYFUNCTION("""COMPUTED_VALUE"""),5.0)</f>
        <v>5</v>
      </c>
      <c r="H1742" s="2" t="str">
        <f>IFERROR(__xludf.DUMMYFUNCTION("""COMPUTED_VALUE"""),"P. kara")</f>
        <v>P. kara</v>
      </c>
      <c r="I1742" s="2" t="str">
        <f>IFERROR(__xludf.DUMMYFUNCTION("""COMPUTED_VALUE"""),"Masonry")</f>
        <v>Masonry</v>
      </c>
      <c r="J1742" s="2" t="str">
        <f>IFERROR(__xludf.DUMMYFUNCTION("""COMPUTED_VALUE"""),"All amenities")</f>
        <v>All amenities</v>
      </c>
      <c r="K1742" s="2">
        <f>IFERROR(__xludf.DUMMYFUNCTION("""COMPUTED_VALUE"""),101000.0)</f>
        <v>101000</v>
      </c>
      <c r="L1742" s="2">
        <f>IFERROR(__xludf.DUMMYFUNCTION("""COMPUTED_VALUE"""),56.9665763)</f>
        <v>56.9665763</v>
      </c>
      <c r="M1742" s="2">
        <f>IFERROR(__xludf.DUMMYFUNCTION("""COMPUTED_VALUE"""),24.1337504)</f>
        <v>24.1337504</v>
      </c>
    </row>
    <row r="1743">
      <c r="A1743" s="2" t="str">
        <f>IFERROR(__xludf.DUMMYFUNCTION("""COMPUTED_VALUE"""),"For rent")</f>
        <v>For rent</v>
      </c>
      <c r="B1743" s="2" t="str">
        <f>IFERROR(__xludf.DUMMYFUNCTION("""COMPUTED_VALUE"""),"centrs")</f>
        <v>centrs</v>
      </c>
      <c r="C1743" s="2" t="str">
        <f>IFERROR(__xludf.DUMMYFUNCTION("""COMPUTED_VALUE"""),"Barona 37")</f>
        <v>Barona 37</v>
      </c>
      <c r="D1743" s="2">
        <f>IFERROR(__xludf.DUMMYFUNCTION("""COMPUTED_VALUE"""),3.0)</f>
        <v>3</v>
      </c>
      <c r="E1743" s="2">
        <f>IFERROR(__xludf.DUMMYFUNCTION("""COMPUTED_VALUE"""),80.0)</f>
        <v>80</v>
      </c>
      <c r="F1743" s="2">
        <f>IFERROR(__xludf.DUMMYFUNCTION("""COMPUTED_VALUE"""),7.0)</f>
        <v>7</v>
      </c>
      <c r="G1743" s="2">
        <f>IFERROR(__xludf.DUMMYFUNCTION("""COMPUTED_VALUE"""),7.0)</f>
        <v>7</v>
      </c>
      <c r="H1743" s="2" t="str">
        <f>IFERROR(__xludf.DUMMYFUNCTION("""COMPUTED_VALUE"""),"Renov.")</f>
        <v>Renov.</v>
      </c>
      <c r="I1743" s="2" t="str">
        <f>IFERROR(__xludf.DUMMYFUNCTION("""COMPUTED_VALUE"""),"Masonry")</f>
        <v>Masonry</v>
      </c>
      <c r="J1743" s="2" t="str">
        <f>IFERROR(__xludf.DUMMYFUNCTION("""COMPUTED_VALUE"""),"All amenities")</f>
        <v>All amenities</v>
      </c>
      <c r="K1743" s="2">
        <f>IFERROR(__xludf.DUMMYFUNCTION("""COMPUTED_VALUE"""),850.0)</f>
        <v>850</v>
      </c>
      <c r="L1743" s="2">
        <f>IFERROR(__xludf.DUMMYFUNCTION("""COMPUTED_VALUE"""),56.9546563)</f>
        <v>56.9546563</v>
      </c>
      <c r="M1743" s="2">
        <f>IFERROR(__xludf.DUMMYFUNCTION("""COMPUTED_VALUE"""),24.1272827)</f>
        <v>24.1272827</v>
      </c>
    </row>
    <row r="1744">
      <c r="A1744" s="2" t="str">
        <f>IFERROR(__xludf.DUMMYFUNCTION("""COMPUTED_VALUE"""),"For sale")</f>
        <v>For sale</v>
      </c>
      <c r="B1744" s="2" t="str">
        <f>IFERROR(__xludf.DUMMYFUNCTION("""COMPUTED_VALUE"""),"Pļavnieki")</f>
        <v>Pļavnieki</v>
      </c>
      <c r="C1744" s="2" t="str">
        <f>IFERROR(__xludf.DUMMYFUNCTION("""COMPUTED_VALUE"""),"Slāvu 15")</f>
        <v>Slāvu 15</v>
      </c>
      <c r="D1744" s="2">
        <f>IFERROR(__xludf.DUMMYFUNCTION("""COMPUTED_VALUE"""),3.0)</f>
        <v>3</v>
      </c>
      <c r="E1744" s="2">
        <f>IFERROR(__xludf.DUMMYFUNCTION("""COMPUTED_VALUE"""),63.0)</f>
        <v>63</v>
      </c>
      <c r="F1744" s="2">
        <f>IFERROR(__xludf.DUMMYFUNCTION("""COMPUTED_VALUE"""),8.0)</f>
        <v>8</v>
      </c>
      <c r="G1744" s="2">
        <f>IFERROR(__xludf.DUMMYFUNCTION("""COMPUTED_VALUE"""),9.0)</f>
        <v>9</v>
      </c>
      <c r="H1744" s="2">
        <f>IFERROR(__xludf.DUMMYFUNCTION("""COMPUTED_VALUE"""),602.0)</f>
        <v>602</v>
      </c>
      <c r="I1744" s="2" t="str">
        <f>IFERROR(__xludf.DUMMYFUNCTION("""COMPUTED_VALUE"""),"Panel")</f>
        <v>Panel</v>
      </c>
      <c r="J1744" s="2" t="str">
        <f>IFERROR(__xludf.DUMMYFUNCTION("""COMPUTED_VALUE"""),"All amenities")</f>
        <v>All amenities</v>
      </c>
      <c r="K1744" s="2">
        <f>IFERROR(__xludf.DUMMYFUNCTION("""COMPUTED_VALUE"""),68000.0)</f>
        <v>68000</v>
      </c>
      <c r="L1744" s="2">
        <f>IFERROR(__xludf.DUMMYFUNCTION("""COMPUTED_VALUE"""),56.92934845)</f>
        <v>56.92934845</v>
      </c>
      <c r="M1744" s="2">
        <f>IFERROR(__xludf.DUMMYFUNCTION("""COMPUTED_VALUE"""),24.1769740456498)</f>
        <v>24.17697405</v>
      </c>
    </row>
    <row r="1745">
      <c r="A1745" s="2" t="str">
        <f>IFERROR(__xludf.DUMMYFUNCTION("""COMPUTED_VALUE"""),"For sale")</f>
        <v>For sale</v>
      </c>
      <c r="B1745" s="2" t="str">
        <f>IFERROR(__xludf.DUMMYFUNCTION("""COMPUTED_VALUE"""),"Mangaļi")</f>
        <v>Mangaļi</v>
      </c>
      <c r="C1745" s="2" t="str">
        <f>IFERROR(__xludf.DUMMYFUNCTION("""COMPUTED_VALUE"""),"Viestura pr. 16")</f>
        <v>Viestura pr. 16</v>
      </c>
      <c r="D1745" s="2">
        <f>IFERROR(__xludf.DUMMYFUNCTION("""COMPUTED_VALUE"""),2.0)</f>
        <v>2</v>
      </c>
      <c r="E1745" s="2">
        <f>IFERROR(__xludf.DUMMYFUNCTION("""COMPUTED_VALUE"""),49.0)</f>
        <v>49</v>
      </c>
      <c r="F1745" s="2">
        <f>IFERROR(__xludf.DUMMYFUNCTION("""COMPUTED_VALUE"""),2.0)</f>
        <v>2</v>
      </c>
      <c r="G1745" s="2">
        <f>IFERROR(__xludf.DUMMYFUNCTION("""COMPUTED_VALUE"""),9.0)</f>
        <v>9</v>
      </c>
      <c r="H1745" s="2">
        <f>IFERROR(__xludf.DUMMYFUNCTION("""COMPUTED_VALUE"""),467.0)</f>
        <v>467</v>
      </c>
      <c r="I1745" s="2" t="str">
        <f>IFERROR(__xludf.DUMMYFUNCTION("""COMPUTED_VALUE"""),"Panel")</f>
        <v>Panel</v>
      </c>
      <c r="J1745" s="2" t="str">
        <f>IFERROR(__xludf.DUMMYFUNCTION("""COMPUTED_VALUE"""),"All amenities")</f>
        <v>All amenities</v>
      </c>
      <c r="K1745" s="2">
        <f>IFERROR(__xludf.DUMMYFUNCTION("""COMPUTED_VALUE"""),43000.0)</f>
        <v>43000</v>
      </c>
      <c r="L1745" s="2" t="str">
        <f>IFERROR(__xludf.DUMMYFUNCTION("""COMPUTED_VALUE"""),"NaN")</f>
        <v>NaN</v>
      </c>
      <c r="M1745" s="2" t="str">
        <f>IFERROR(__xludf.DUMMYFUNCTION("""COMPUTED_VALUE"""),"NaN")</f>
        <v>NaN</v>
      </c>
    </row>
    <row r="1746">
      <c r="A1746" s="2" t="str">
        <f>IFERROR(__xludf.DUMMYFUNCTION("""COMPUTED_VALUE"""),"For sale")</f>
        <v>For sale</v>
      </c>
      <c r="B1746" s="2" t="str">
        <f>IFERROR(__xludf.DUMMYFUNCTION("""COMPUTED_VALUE"""),"Klīversala")</f>
        <v>Klīversala</v>
      </c>
      <c r="C1746" s="2" t="str">
        <f>IFERROR(__xludf.DUMMYFUNCTION("""COMPUTED_VALUE"""),"Valguma 17")</f>
        <v>Valguma 17</v>
      </c>
      <c r="D1746" s="2">
        <f>IFERROR(__xludf.DUMMYFUNCTION("""COMPUTED_VALUE"""),3.0)</f>
        <v>3</v>
      </c>
      <c r="E1746" s="2">
        <f>IFERROR(__xludf.DUMMYFUNCTION("""COMPUTED_VALUE"""),82.0)</f>
        <v>82</v>
      </c>
      <c r="F1746" s="2">
        <f>IFERROR(__xludf.DUMMYFUNCTION("""COMPUTED_VALUE"""),1.0)</f>
        <v>1</v>
      </c>
      <c r="G1746" s="2">
        <f>IFERROR(__xludf.DUMMYFUNCTION("""COMPUTED_VALUE"""),5.0)</f>
        <v>5</v>
      </c>
      <c r="H1746" s="2" t="str">
        <f>IFERROR(__xludf.DUMMYFUNCTION("""COMPUTED_VALUE"""),"P. kara")</f>
        <v>P. kara</v>
      </c>
      <c r="I1746" s="2" t="str">
        <f>IFERROR(__xludf.DUMMYFUNCTION("""COMPUTED_VALUE"""),"Masonry")</f>
        <v>Masonry</v>
      </c>
      <c r="J1746" s="2" t="str">
        <f>IFERROR(__xludf.DUMMYFUNCTION("""COMPUTED_VALUE"""),"All amenities")</f>
        <v>All amenities</v>
      </c>
      <c r="K1746" s="2">
        <f>IFERROR(__xludf.DUMMYFUNCTION("""COMPUTED_VALUE"""),91000.0)</f>
        <v>91000</v>
      </c>
      <c r="L1746" s="2">
        <f>IFERROR(__xludf.DUMMYFUNCTION("""COMPUTED_VALUE"""),56.9422907)</f>
        <v>56.9422907</v>
      </c>
      <c r="M1746" s="2">
        <f>IFERROR(__xludf.DUMMYFUNCTION("""COMPUTED_VALUE"""),24.0941256210549)</f>
        <v>24.09412562</v>
      </c>
    </row>
    <row r="1747">
      <c r="A1747" s="2" t="str">
        <f>IFERROR(__xludf.DUMMYFUNCTION("""COMPUTED_VALUE"""),"For sale")</f>
        <v>For sale</v>
      </c>
      <c r="B1747" s="2" t="str">
        <f>IFERROR(__xludf.DUMMYFUNCTION("""COMPUTED_VALUE"""),"centrs")</f>
        <v>centrs</v>
      </c>
      <c r="C1747" s="2" t="str">
        <f>IFERROR(__xludf.DUMMYFUNCTION("""COMPUTED_VALUE"""),"Indrānu 17")</f>
        <v>Indrānu 17</v>
      </c>
      <c r="D1747" s="2">
        <f>IFERROR(__xludf.DUMMYFUNCTION("""COMPUTED_VALUE"""),2.0)</f>
        <v>2</v>
      </c>
      <c r="E1747" s="2">
        <f>IFERROR(__xludf.DUMMYFUNCTION("""COMPUTED_VALUE"""),50.0)</f>
        <v>50</v>
      </c>
      <c r="F1747" s="2">
        <f>IFERROR(__xludf.DUMMYFUNCTION("""COMPUTED_VALUE"""),2.0)</f>
        <v>2</v>
      </c>
      <c r="G1747" s="2">
        <f>IFERROR(__xludf.DUMMYFUNCTION("""COMPUTED_VALUE"""),4.0)</f>
        <v>4</v>
      </c>
      <c r="H1747" s="2" t="str">
        <f>IFERROR(__xludf.DUMMYFUNCTION("""COMPUTED_VALUE"""),"Renov.")</f>
        <v>Renov.</v>
      </c>
      <c r="I1747" s="2" t="str">
        <f>IFERROR(__xludf.DUMMYFUNCTION("""COMPUTED_VALUE"""),"Masonry")</f>
        <v>Masonry</v>
      </c>
      <c r="J1747" s="2" t="str">
        <f>IFERROR(__xludf.DUMMYFUNCTION("""COMPUTED_VALUE"""),"All amenities")</f>
        <v>All amenities</v>
      </c>
      <c r="K1747" s="2">
        <f>IFERROR(__xludf.DUMMYFUNCTION("""COMPUTED_VALUE"""),100000.0)</f>
        <v>100000</v>
      </c>
      <c r="L1747" s="2">
        <f>IFERROR(__xludf.DUMMYFUNCTION("""COMPUTED_VALUE"""),56.968951)</f>
        <v>56.968951</v>
      </c>
      <c r="M1747" s="2">
        <f>IFERROR(__xludf.DUMMYFUNCTION("""COMPUTED_VALUE"""),24.1448842676771)</f>
        <v>24.14488427</v>
      </c>
    </row>
    <row r="1748">
      <c r="A1748" s="2" t="str">
        <f>IFERROR(__xludf.DUMMYFUNCTION("""COMPUTED_VALUE"""),"For rent")</f>
        <v>For rent</v>
      </c>
      <c r="B1748" s="2" t="str">
        <f>IFERROR(__xludf.DUMMYFUNCTION("""COMPUTED_VALUE"""),"centrs")</f>
        <v>centrs</v>
      </c>
      <c r="C1748" s="2" t="str">
        <f>IFERROR(__xludf.DUMMYFUNCTION("""COMPUTED_VALUE"""),"Ģertrūdes 91")</f>
        <v>Ģertrūdes 91</v>
      </c>
      <c r="D1748" s="2">
        <f>IFERROR(__xludf.DUMMYFUNCTION("""COMPUTED_VALUE"""),1.0)</f>
        <v>1</v>
      </c>
      <c r="E1748" s="2">
        <f>IFERROR(__xludf.DUMMYFUNCTION("""COMPUTED_VALUE"""),20.0)</f>
        <v>20</v>
      </c>
      <c r="F1748" s="2">
        <f>IFERROR(__xludf.DUMMYFUNCTION("""COMPUTED_VALUE"""),5.0)</f>
        <v>5</v>
      </c>
      <c r="G1748" s="2">
        <f>IFERROR(__xludf.DUMMYFUNCTION("""COMPUTED_VALUE"""),5.0)</f>
        <v>5</v>
      </c>
      <c r="H1748" s="2" t="str">
        <f>IFERROR(__xludf.DUMMYFUNCTION("""COMPUTED_VALUE"""),"P. kara")</f>
        <v>P. kara</v>
      </c>
      <c r="I1748" s="2" t="str">
        <f>IFERROR(__xludf.DUMMYFUNCTION("""COMPUTED_VALUE"""),"Brick")</f>
        <v>Brick</v>
      </c>
      <c r="J1748" s="2" t="str">
        <f>IFERROR(__xludf.DUMMYFUNCTION("""COMPUTED_VALUE"""),"All amenities")</f>
        <v>All amenities</v>
      </c>
      <c r="K1748" s="2">
        <f>IFERROR(__xludf.DUMMYFUNCTION("""COMPUTED_VALUE"""),220.0)</f>
        <v>220</v>
      </c>
      <c r="L1748" s="2">
        <f>IFERROR(__xludf.DUMMYFUNCTION("""COMPUTED_VALUE"""),56.95035715)</f>
        <v>56.95035715</v>
      </c>
      <c r="M1748" s="2">
        <f>IFERROR(__xludf.DUMMYFUNCTION("""COMPUTED_VALUE"""),24.1357606589646)</f>
        <v>24.13576066</v>
      </c>
    </row>
    <row r="1749">
      <c r="A1749" s="2" t="str">
        <f>IFERROR(__xludf.DUMMYFUNCTION("""COMPUTED_VALUE"""),"For sale")</f>
        <v>For sale</v>
      </c>
      <c r="B1749" s="2" t="str">
        <f>IFERROR(__xludf.DUMMYFUNCTION("""COMPUTED_VALUE"""),"Čiekurkalns")</f>
        <v>Čiekurkalns</v>
      </c>
      <c r="C1749" s="2" t="str">
        <f>IFERROR(__xludf.DUMMYFUNCTION("""COMPUTED_VALUE"""),"Rusova 7")</f>
        <v>Rusova 7</v>
      </c>
      <c r="D1749" s="2">
        <f>IFERROR(__xludf.DUMMYFUNCTION("""COMPUTED_VALUE"""),2.0)</f>
        <v>2</v>
      </c>
      <c r="E1749" s="2">
        <f>IFERROR(__xludf.DUMMYFUNCTION("""COMPUTED_VALUE"""),51.0)</f>
        <v>51</v>
      </c>
      <c r="F1749" s="2">
        <f>IFERROR(__xludf.DUMMYFUNCTION("""COMPUTED_VALUE"""),2.0)</f>
        <v>2</v>
      </c>
      <c r="G1749" s="2">
        <f>IFERROR(__xludf.DUMMYFUNCTION("""COMPUTED_VALUE"""),6.0)</f>
        <v>6</v>
      </c>
      <c r="H1749" s="2" t="str">
        <f>IFERROR(__xludf.DUMMYFUNCTION("""COMPUTED_VALUE"""),"Jaun.")</f>
        <v>Jaun.</v>
      </c>
      <c r="I1749" s="2" t="str">
        <f>IFERROR(__xludf.DUMMYFUNCTION("""COMPUTED_VALUE"""),"Masonry")</f>
        <v>Masonry</v>
      </c>
      <c r="J1749" s="2" t="str">
        <f>IFERROR(__xludf.DUMMYFUNCTION("""COMPUTED_VALUE"""),"All amenities")</f>
        <v>All amenities</v>
      </c>
      <c r="K1749" s="2">
        <f>IFERROR(__xludf.DUMMYFUNCTION("""COMPUTED_VALUE"""),88500.0)</f>
        <v>88500</v>
      </c>
      <c r="L1749" s="2">
        <f>IFERROR(__xludf.DUMMYFUNCTION("""COMPUTED_VALUE"""),56.9888255)</f>
        <v>56.9888255</v>
      </c>
      <c r="M1749" s="2">
        <f>IFERROR(__xludf.DUMMYFUNCTION("""COMPUTED_VALUE"""),24.1691659584023)</f>
        <v>24.16916596</v>
      </c>
    </row>
    <row r="1750">
      <c r="A1750" s="2" t="str">
        <f>IFERROR(__xludf.DUMMYFUNCTION("""COMPUTED_VALUE"""),"For sale")</f>
        <v>For sale</v>
      </c>
      <c r="B1750" s="2" t="str">
        <f>IFERROR(__xludf.DUMMYFUNCTION("""COMPUTED_VALUE"""),"Čiekurkalns")</f>
        <v>Čiekurkalns</v>
      </c>
      <c r="C1750" s="2" t="str">
        <f>IFERROR(__xludf.DUMMYFUNCTION("""COMPUTED_VALUE"""),"Rusova 7")</f>
        <v>Rusova 7</v>
      </c>
      <c r="D1750" s="2">
        <f>IFERROR(__xludf.DUMMYFUNCTION("""COMPUTED_VALUE"""),2.0)</f>
        <v>2</v>
      </c>
      <c r="E1750" s="2">
        <f>IFERROR(__xludf.DUMMYFUNCTION("""COMPUTED_VALUE"""),35.0)</f>
        <v>35</v>
      </c>
      <c r="F1750" s="2">
        <f>IFERROR(__xludf.DUMMYFUNCTION("""COMPUTED_VALUE"""),3.0)</f>
        <v>3</v>
      </c>
      <c r="G1750" s="2">
        <f>IFERROR(__xludf.DUMMYFUNCTION("""COMPUTED_VALUE"""),7.0)</f>
        <v>7</v>
      </c>
      <c r="H1750" s="2" t="str">
        <f>IFERROR(__xludf.DUMMYFUNCTION("""COMPUTED_VALUE"""),"Jaun.")</f>
        <v>Jaun.</v>
      </c>
      <c r="I1750" s="2" t="str">
        <f>IFERROR(__xludf.DUMMYFUNCTION("""COMPUTED_VALUE"""),"Brick-Panel")</f>
        <v>Brick-Panel</v>
      </c>
      <c r="J1750" s="2" t="str">
        <f>IFERROR(__xludf.DUMMYFUNCTION("""COMPUTED_VALUE"""),"All amenities")</f>
        <v>All amenities</v>
      </c>
      <c r="K1750" s="2">
        <f>IFERROR(__xludf.DUMMYFUNCTION("""COMPUTED_VALUE"""),64000.0)</f>
        <v>64000</v>
      </c>
      <c r="L1750" s="2">
        <f>IFERROR(__xludf.DUMMYFUNCTION("""COMPUTED_VALUE"""),56.9888255)</f>
        <v>56.9888255</v>
      </c>
      <c r="M1750" s="2">
        <f>IFERROR(__xludf.DUMMYFUNCTION("""COMPUTED_VALUE"""),24.1691659584023)</f>
        <v>24.16916596</v>
      </c>
    </row>
    <row r="1751">
      <c r="A1751" s="2" t="str">
        <f>IFERROR(__xludf.DUMMYFUNCTION("""COMPUTED_VALUE"""),"For sale")</f>
        <v>For sale</v>
      </c>
      <c r="B1751" s="2" t="str">
        <f>IFERROR(__xludf.DUMMYFUNCTION("""COMPUTED_VALUE"""),"Čiekurkalns")</f>
        <v>Čiekurkalns</v>
      </c>
      <c r="C1751" s="2" t="str">
        <f>IFERROR(__xludf.DUMMYFUNCTION("""COMPUTED_VALUE"""),"Rusova 7")</f>
        <v>Rusova 7</v>
      </c>
      <c r="D1751" s="2">
        <f>IFERROR(__xludf.DUMMYFUNCTION("""COMPUTED_VALUE"""),3.0)</f>
        <v>3</v>
      </c>
      <c r="E1751" s="2">
        <f>IFERROR(__xludf.DUMMYFUNCTION("""COMPUTED_VALUE"""),65.0)</f>
        <v>65</v>
      </c>
      <c r="F1751" s="2">
        <f>IFERROR(__xludf.DUMMYFUNCTION("""COMPUTED_VALUE"""),3.0)</f>
        <v>3</v>
      </c>
      <c r="G1751" s="2">
        <f>IFERROR(__xludf.DUMMYFUNCTION("""COMPUTED_VALUE"""),9.0)</f>
        <v>9</v>
      </c>
      <c r="H1751" s="2" t="str">
        <f>IFERROR(__xludf.DUMMYFUNCTION("""COMPUTED_VALUE"""),"Jaun.")</f>
        <v>Jaun.</v>
      </c>
      <c r="I1751" s="2" t="str">
        <f>IFERROR(__xludf.DUMMYFUNCTION("""COMPUTED_VALUE"""),"Masonry")</f>
        <v>Masonry</v>
      </c>
      <c r="J1751" s="2" t="str">
        <f>IFERROR(__xludf.DUMMYFUNCTION("""COMPUTED_VALUE"""),"All amenities")</f>
        <v>All amenities</v>
      </c>
      <c r="K1751" s="2">
        <f>IFERROR(__xludf.DUMMYFUNCTION("""COMPUTED_VALUE"""),118000.0)</f>
        <v>118000</v>
      </c>
      <c r="L1751" s="2">
        <f>IFERROR(__xludf.DUMMYFUNCTION("""COMPUTED_VALUE"""),56.9888255)</f>
        <v>56.9888255</v>
      </c>
      <c r="M1751" s="2">
        <f>IFERROR(__xludf.DUMMYFUNCTION("""COMPUTED_VALUE"""),24.1691659584023)</f>
        <v>24.16916596</v>
      </c>
    </row>
    <row r="1752">
      <c r="A1752" s="2" t="str">
        <f>IFERROR(__xludf.DUMMYFUNCTION("""COMPUTED_VALUE"""),"For sale")</f>
        <v>For sale</v>
      </c>
      <c r="B1752" s="2" t="str">
        <f>IFERROR(__xludf.DUMMYFUNCTION("""COMPUTED_VALUE"""),"Teika")</f>
        <v>Teika</v>
      </c>
      <c r="C1752" s="2" t="str">
        <f>IFERROR(__xludf.DUMMYFUNCTION("""COMPUTED_VALUE"""),"Ropažu 14")</f>
        <v>Ropažu 14</v>
      </c>
      <c r="D1752" s="2">
        <f>IFERROR(__xludf.DUMMYFUNCTION("""COMPUTED_VALUE"""),3.0)</f>
        <v>3</v>
      </c>
      <c r="E1752" s="2">
        <f>IFERROR(__xludf.DUMMYFUNCTION("""COMPUTED_VALUE"""),74.0)</f>
        <v>74</v>
      </c>
      <c r="F1752" s="2">
        <f>IFERROR(__xludf.DUMMYFUNCTION("""COMPUTED_VALUE"""),2.0)</f>
        <v>2</v>
      </c>
      <c r="G1752" s="2">
        <f>IFERROR(__xludf.DUMMYFUNCTION("""COMPUTED_VALUE"""),10.0)</f>
        <v>10</v>
      </c>
      <c r="H1752" s="2" t="str">
        <f>IFERROR(__xludf.DUMMYFUNCTION("""COMPUTED_VALUE"""),"Jaun.")</f>
        <v>Jaun.</v>
      </c>
      <c r="I1752" s="2" t="str">
        <f>IFERROR(__xludf.DUMMYFUNCTION("""COMPUTED_VALUE"""),"Masonry")</f>
        <v>Masonry</v>
      </c>
      <c r="J1752" s="2" t="str">
        <f>IFERROR(__xludf.DUMMYFUNCTION("""COMPUTED_VALUE"""),"All amenities")</f>
        <v>All amenities</v>
      </c>
      <c r="K1752" s="2">
        <f>IFERROR(__xludf.DUMMYFUNCTION("""COMPUTED_VALUE"""),121000.0)</f>
        <v>121000</v>
      </c>
      <c r="L1752" s="2">
        <f>IFERROR(__xludf.DUMMYFUNCTION("""COMPUTED_VALUE"""),56.9767303)</f>
        <v>56.9767303</v>
      </c>
      <c r="M1752" s="2">
        <f>IFERROR(__xludf.DUMMYFUNCTION("""COMPUTED_VALUE"""),24.1676579996058)</f>
        <v>24.167658</v>
      </c>
    </row>
    <row r="1753">
      <c r="A1753" s="2" t="str">
        <f>IFERROR(__xludf.DUMMYFUNCTION("""COMPUTED_VALUE"""),"For rent")</f>
        <v>For rent</v>
      </c>
      <c r="B1753" s="2" t="str">
        <f>IFERROR(__xludf.DUMMYFUNCTION("""COMPUTED_VALUE"""),"centrs")</f>
        <v>centrs</v>
      </c>
      <c r="C1753" s="2" t="str">
        <f>IFERROR(__xludf.DUMMYFUNCTION("""COMPUTED_VALUE"""),"Avotu 9")</f>
        <v>Avotu 9</v>
      </c>
      <c r="D1753" s="2">
        <f>IFERROR(__xludf.DUMMYFUNCTION("""COMPUTED_VALUE"""),2.0)</f>
        <v>2</v>
      </c>
      <c r="E1753" s="2">
        <f>IFERROR(__xludf.DUMMYFUNCTION("""COMPUTED_VALUE"""),27.0)</f>
        <v>27</v>
      </c>
      <c r="F1753" s="2">
        <f>IFERROR(__xludf.DUMMYFUNCTION("""COMPUTED_VALUE"""),3.0)</f>
        <v>3</v>
      </c>
      <c r="G1753" s="2">
        <f>IFERROR(__xludf.DUMMYFUNCTION("""COMPUTED_VALUE"""),3.0)</f>
        <v>3</v>
      </c>
      <c r="H1753" s="2" t="str">
        <f>IFERROR(__xludf.DUMMYFUNCTION("""COMPUTED_VALUE"""),"P. kara")</f>
        <v>P. kara</v>
      </c>
      <c r="I1753" s="2" t="str">
        <f>IFERROR(__xludf.DUMMYFUNCTION("""COMPUTED_VALUE"""),"Masonry")</f>
        <v>Masonry</v>
      </c>
      <c r="J1753" s="2" t="str">
        <f>IFERROR(__xludf.DUMMYFUNCTION("""COMPUTED_VALUE"""),"All amenities")</f>
        <v>All amenities</v>
      </c>
      <c r="K1753" s="2">
        <f>IFERROR(__xludf.DUMMYFUNCTION("""COMPUTED_VALUE"""),300.0)</f>
        <v>300</v>
      </c>
      <c r="L1753" s="2">
        <f>IFERROR(__xludf.DUMMYFUNCTION("""COMPUTED_VALUE"""),56.9507526)</f>
        <v>56.9507526</v>
      </c>
      <c r="M1753" s="2">
        <f>IFERROR(__xludf.DUMMYFUNCTION("""COMPUTED_VALUE"""),24.1287223738352)</f>
        <v>24.12872237</v>
      </c>
    </row>
    <row r="1754">
      <c r="A1754" s="2" t="str">
        <f>IFERROR(__xludf.DUMMYFUNCTION("""COMPUTED_VALUE"""),"For rent")</f>
        <v>For rent</v>
      </c>
      <c r="B1754" s="2" t="str">
        <f>IFERROR(__xludf.DUMMYFUNCTION("""COMPUTED_VALUE"""),"centrs")</f>
        <v>centrs</v>
      </c>
      <c r="C1754" s="2" t="str">
        <f>IFERROR(__xludf.DUMMYFUNCTION("""COMPUTED_VALUE"""),"Republikas laukums 3")</f>
        <v>Republikas laukums 3</v>
      </c>
      <c r="D1754" s="2">
        <f>IFERROR(__xludf.DUMMYFUNCTION("""COMPUTED_VALUE"""),3.0)</f>
        <v>3</v>
      </c>
      <c r="E1754" s="2">
        <f>IFERROR(__xludf.DUMMYFUNCTION("""COMPUTED_VALUE"""),202.0)</f>
        <v>202</v>
      </c>
      <c r="F1754" s="2">
        <f>IFERROR(__xludf.DUMMYFUNCTION("""COMPUTED_VALUE"""),6.0)</f>
        <v>6</v>
      </c>
      <c r="G1754" s="2">
        <f>IFERROR(__xludf.DUMMYFUNCTION("""COMPUTED_VALUE"""),6.0)</f>
        <v>6</v>
      </c>
      <c r="H1754" s="2" t="str">
        <f>IFERROR(__xludf.DUMMYFUNCTION("""COMPUTED_VALUE"""),"Jaun.")</f>
        <v>Jaun.</v>
      </c>
      <c r="I1754" s="2" t="str">
        <f>IFERROR(__xludf.DUMMYFUNCTION("""COMPUTED_VALUE"""),"Panel")</f>
        <v>Panel</v>
      </c>
      <c r="J1754" s="2" t="str">
        <f>IFERROR(__xludf.DUMMYFUNCTION("""COMPUTED_VALUE"""),"All amenities")</f>
        <v>All amenities</v>
      </c>
      <c r="K1754" s="2">
        <f>IFERROR(__xludf.DUMMYFUNCTION("""COMPUTED_VALUE"""),2500.0)</f>
        <v>2500</v>
      </c>
      <c r="L1754" s="2">
        <f>IFERROR(__xludf.DUMMYFUNCTION("""COMPUTED_VALUE"""),56.9552522)</f>
        <v>56.9552522</v>
      </c>
      <c r="M1754" s="2">
        <f>IFERROR(__xludf.DUMMYFUNCTION("""COMPUTED_VALUE"""),24.0999991251943)</f>
        <v>24.09999913</v>
      </c>
    </row>
    <row r="1755">
      <c r="A1755" s="2" t="str">
        <f>IFERROR(__xludf.DUMMYFUNCTION("""COMPUTED_VALUE"""),"For rent")</f>
        <v>For rent</v>
      </c>
      <c r="B1755" s="2" t="str">
        <f>IFERROR(__xludf.DUMMYFUNCTION("""COMPUTED_VALUE"""),"centrs")</f>
        <v>centrs</v>
      </c>
      <c r="C1755" s="2" t="str">
        <f>IFERROR(__xludf.DUMMYFUNCTION("""COMPUTED_VALUE"""),"Matīsa 35a")</f>
        <v>Matīsa 35a</v>
      </c>
      <c r="D1755" s="2">
        <f>IFERROR(__xludf.DUMMYFUNCTION("""COMPUTED_VALUE"""),2.0)</f>
        <v>2</v>
      </c>
      <c r="E1755" s="2">
        <f>IFERROR(__xludf.DUMMYFUNCTION("""COMPUTED_VALUE"""),78.0)</f>
        <v>78</v>
      </c>
      <c r="F1755" s="2">
        <f>IFERROR(__xludf.DUMMYFUNCTION("""COMPUTED_VALUE"""),4.0)</f>
        <v>4</v>
      </c>
      <c r="G1755" s="2">
        <f>IFERROR(__xludf.DUMMYFUNCTION("""COMPUTED_VALUE"""),4.0)</f>
        <v>4</v>
      </c>
      <c r="H1755" s="2" t="str">
        <f>IFERROR(__xludf.DUMMYFUNCTION("""COMPUTED_VALUE"""),"Renov.")</f>
        <v>Renov.</v>
      </c>
      <c r="I1755" s="2" t="str">
        <f>IFERROR(__xludf.DUMMYFUNCTION("""COMPUTED_VALUE"""),"Masonry")</f>
        <v>Masonry</v>
      </c>
      <c r="J1755" s="2" t="str">
        <f>IFERROR(__xludf.DUMMYFUNCTION("""COMPUTED_VALUE"""),"All amenities")</f>
        <v>All amenities</v>
      </c>
      <c r="K1755" s="2">
        <f>IFERROR(__xludf.DUMMYFUNCTION("""COMPUTED_VALUE"""),850.0)</f>
        <v>850</v>
      </c>
      <c r="L1755" s="2">
        <f>IFERROR(__xludf.DUMMYFUNCTION("""COMPUTED_VALUE"""),56.9581178)</f>
        <v>56.9581178</v>
      </c>
      <c r="M1755" s="2">
        <f>IFERROR(__xludf.DUMMYFUNCTION("""COMPUTED_VALUE"""),24.1311146)</f>
        <v>24.1311146</v>
      </c>
    </row>
    <row r="1756">
      <c r="A1756" s="2" t="str">
        <f>IFERROR(__xludf.DUMMYFUNCTION("""COMPUTED_VALUE"""),"For sale")</f>
        <v>For sale</v>
      </c>
      <c r="B1756" s="2" t="str">
        <f>IFERROR(__xludf.DUMMYFUNCTION("""COMPUTED_VALUE"""),"centrs")</f>
        <v>centrs</v>
      </c>
      <c r="C1756" s="2" t="str">
        <f>IFERROR(__xludf.DUMMYFUNCTION("""COMPUTED_VALUE"""),"Ģertrūdes 30")</f>
        <v>Ģertrūdes 30</v>
      </c>
      <c r="D1756" s="2">
        <f>IFERROR(__xludf.DUMMYFUNCTION("""COMPUTED_VALUE"""),5.0)</f>
        <v>5</v>
      </c>
      <c r="E1756" s="2">
        <f>IFERROR(__xludf.DUMMYFUNCTION("""COMPUTED_VALUE"""),140.0)</f>
        <v>140</v>
      </c>
      <c r="F1756" s="2">
        <f>IFERROR(__xludf.DUMMYFUNCTION("""COMPUTED_VALUE"""),6.0)</f>
        <v>6</v>
      </c>
      <c r="G1756" s="2">
        <f>IFERROR(__xludf.DUMMYFUNCTION("""COMPUTED_VALUE"""),6.0)</f>
        <v>6</v>
      </c>
      <c r="H1756" s="2" t="str">
        <f>IFERROR(__xludf.DUMMYFUNCTION("""COMPUTED_VALUE"""),"Renov.")</f>
        <v>Renov.</v>
      </c>
      <c r="I1756" s="2" t="str">
        <f>IFERROR(__xludf.DUMMYFUNCTION("""COMPUTED_VALUE"""),"Masonry")</f>
        <v>Masonry</v>
      </c>
      <c r="J1756" s="2" t="str">
        <f>IFERROR(__xludf.DUMMYFUNCTION("""COMPUTED_VALUE"""),"All amenities")</f>
        <v>All amenities</v>
      </c>
      <c r="K1756" s="2">
        <f>IFERROR(__xludf.DUMMYFUNCTION("""COMPUTED_VALUE"""),240000.0)</f>
        <v>240000</v>
      </c>
      <c r="L1756" s="2">
        <f>IFERROR(__xludf.DUMMYFUNCTION("""COMPUTED_VALUE"""),56.9552195)</f>
        <v>56.9552195</v>
      </c>
      <c r="M1756" s="2">
        <f>IFERROR(__xludf.DUMMYFUNCTION("""COMPUTED_VALUE"""),24.1262819)</f>
        <v>24.1262819</v>
      </c>
    </row>
    <row r="1757">
      <c r="A1757" s="2" t="str">
        <f>IFERROR(__xludf.DUMMYFUNCTION("""COMPUTED_VALUE"""),"For sale")</f>
        <v>For sale</v>
      </c>
      <c r="B1757" s="2" t="str">
        <f>IFERROR(__xludf.DUMMYFUNCTION("""COMPUTED_VALUE"""),"Zasulauks")</f>
        <v>Zasulauks</v>
      </c>
      <c r="C1757" s="2" t="str">
        <f>IFERROR(__xludf.DUMMYFUNCTION("""COMPUTED_VALUE"""),"M. Kuldīgas 4")</f>
        <v>M. Kuldīgas 4</v>
      </c>
      <c r="D1757" s="2">
        <f>IFERROR(__xludf.DUMMYFUNCTION("""COMPUTED_VALUE"""),3.0)</f>
        <v>3</v>
      </c>
      <c r="E1757" s="2">
        <f>IFERROR(__xludf.DUMMYFUNCTION("""COMPUTED_VALUE"""),54.0)</f>
        <v>54</v>
      </c>
      <c r="F1757" s="2">
        <f>IFERROR(__xludf.DUMMYFUNCTION("""COMPUTED_VALUE"""),1.0)</f>
        <v>1</v>
      </c>
      <c r="G1757" s="2">
        <f>IFERROR(__xludf.DUMMYFUNCTION("""COMPUTED_VALUE"""),1.0)</f>
        <v>1</v>
      </c>
      <c r="H1757" s="2" t="str">
        <f>IFERROR(__xludf.DUMMYFUNCTION("""COMPUTED_VALUE"""),"P. kara")</f>
        <v>P. kara</v>
      </c>
      <c r="I1757" s="2" t="str">
        <f>IFERROR(__xludf.DUMMYFUNCTION("""COMPUTED_VALUE"""),"Wood")</f>
        <v>Wood</v>
      </c>
      <c r="J1757" s="2" t="str">
        <f>IFERROR(__xludf.DUMMYFUNCTION("""COMPUTED_VALUE"""),"All amenities")</f>
        <v>All amenities</v>
      </c>
      <c r="K1757" s="2">
        <f>IFERROR(__xludf.DUMMYFUNCTION("""COMPUTED_VALUE"""),33800.0)</f>
        <v>33800</v>
      </c>
      <c r="L1757" s="2">
        <f>IFERROR(__xludf.DUMMYFUNCTION("""COMPUTED_VALUE"""),56.94158095)</f>
        <v>56.94158095</v>
      </c>
      <c r="M1757" s="2">
        <f>IFERROR(__xludf.DUMMYFUNCTION("""COMPUTED_VALUE"""),24.0539487289344)</f>
        <v>24.05394873</v>
      </c>
    </row>
    <row r="1758">
      <c r="A1758" s="2" t="str">
        <f>IFERROR(__xludf.DUMMYFUNCTION("""COMPUTED_VALUE"""),"For sale")</f>
        <v>For sale</v>
      </c>
      <c r="B1758" s="2" t="str">
        <f>IFERROR(__xludf.DUMMYFUNCTION("""COMPUTED_VALUE"""),"Purvciems")</f>
        <v>Purvciems</v>
      </c>
      <c r="C1758" s="2" t="str">
        <f>IFERROR(__xludf.DUMMYFUNCTION("""COMPUTED_VALUE"""),"Vaidavas 15/1")</f>
        <v>Vaidavas 15/1</v>
      </c>
      <c r="D1758" s="2">
        <f>IFERROR(__xludf.DUMMYFUNCTION("""COMPUTED_VALUE"""),3.0)</f>
        <v>3</v>
      </c>
      <c r="E1758" s="2">
        <f>IFERROR(__xludf.DUMMYFUNCTION("""COMPUTED_VALUE"""),88.0)</f>
        <v>88</v>
      </c>
      <c r="F1758" s="2">
        <f>IFERROR(__xludf.DUMMYFUNCTION("""COMPUTED_VALUE"""),1.0)</f>
        <v>1</v>
      </c>
      <c r="G1758" s="2">
        <f>IFERROR(__xludf.DUMMYFUNCTION("""COMPUTED_VALUE"""),7.0)</f>
        <v>7</v>
      </c>
      <c r="H1758" s="2" t="str">
        <f>IFERROR(__xludf.DUMMYFUNCTION("""COMPUTED_VALUE"""),"Jaun.")</f>
        <v>Jaun.</v>
      </c>
      <c r="I1758" s="2" t="str">
        <f>IFERROR(__xludf.DUMMYFUNCTION("""COMPUTED_VALUE"""),"Panel-Brick")</f>
        <v>Panel-Brick</v>
      </c>
      <c r="J1758" s="2" t="str">
        <f>IFERROR(__xludf.DUMMYFUNCTION("""COMPUTED_VALUE"""),"All amenities")</f>
        <v>All amenities</v>
      </c>
      <c r="K1758" s="2">
        <f>IFERROR(__xludf.DUMMYFUNCTION("""COMPUTED_VALUE"""),125000.0)</f>
        <v>125000</v>
      </c>
      <c r="L1758" s="2">
        <f>IFERROR(__xludf.DUMMYFUNCTION("""COMPUTED_VALUE"""),56.9622136)</f>
        <v>56.9622136</v>
      </c>
      <c r="M1758" s="2">
        <f>IFERROR(__xludf.DUMMYFUNCTION("""COMPUTED_VALUE"""),24.1761063)</f>
        <v>24.1761063</v>
      </c>
    </row>
    <row r="1759">
      <c r="A1759" s="2" t="str">
        <f>IFERROR(__xludf.DUMMYFUNCTION("""COMPUTED_VALUE"""),"For rent")</f>
        <v>For rent</v>
      </c>
      <c r="B1759" s="2" t="str">
        <f>IFERROR(__xludf.DUMMYFUNCTION("""COMPUTED_VALUE"""),"Šampēteris-Pleskodāle")</f>
        <v>Šampēteris-Pleskodāle</v>
      </c>
      <c r="C1759" s="2" t="str">
        <f>IFERROR(__xludf.DUMMYFUNCTION("""COMPUTED_VALUE"""),"Lielirbes 13")</f>
        <v>Lielirbes 13</v>
      </c>
      <c r="D1759" s="2">
        <f>IFERROR(__xludf.DUMMYFUNCTION("""COMPUTED_VALUE"""),2.0)</f>
        <v>2</v>
      </c>
      <c r="E1759" s="2">
        <f>IFERROR(__xludf.DUMMYFUNCTION("""COMPUTED_VALUE"""),68.2)</f>
        <v>68.2</v>
      </c>
      <c r="F1759" s="2">
        <f>IFERROR(__xludf.DUMMYFUNCTION("""COMPUTED_VALUE"""),8.0)</f>
        <v>8</v>
      </c>
      <c r="G1759" s="2">
        <f>IFERROR(__xludf.DUMMYFUNCTION("""COMPUTED_VALUE"""),29.0)</f>
        <v>29</v>
      </c>
      <c r="H1759" s="2" t="str">
        <f>IFERROR(__xludf.DUMMYFUNCTION("""COMPUTED_VALUE"""),"Jaun.")</f>
        <v>Jaun.</v>
      </c>
      <c r="I1759" s="2" t="str">
        <f>IFERROR(__xludf.DUMMYFUNCTION("""COMPUTED_VALUE"""),"Panel-Brick")</f>
        <v>Panel-Brick</v>
      </c>
      <c r="J1759" s="2" t="str">
        <f>IFERROR(__xludf.DUMMYFUNCTION("""COMPUTED_VALUE"""),"All amenities")</f>
        <v>All amenities</v>
      </c>
      <c r="K1759" s="2">
        <f>IFERROR(__xludf.DUMMYFUNCTION("""COMPUTED_VALUE"""),550.0)</f>
        <v>550</v>
      </c>
      <c r="L1759" s="2">
        <f>IFERROR(__xludf.DUMMYFUNCTION("""COMPUTED_VALUE"""),56.9334996)</f>
        <v>56.9334996</v>
      </c>
      <c r="M1759" s="2">
        <f>IFERROR(__xludf.DUMMYFUNCTION("""COMPUTED_VALUE"""),24.0424848)</f>
        <v>24.0424848</v>
      </c>
    </row>
    <row r="1760">
      <c r="A1760" s="2" t="str">
        <f>IFERROR(__xludf.DUMMYFUNCTION("""COMPUTED_VALUE"""),"For sale")</f>
        <v>For sale</v>
      </c>
      <c r="B1760" s="2" t="str">
        <f>IFERROR(__xludf.DUMMYFUNCTION("""COMPUTED_VALUE"""),"Purvciems")</f>
        <v>Purvciems</v>
      </c>
      <c r="C1760" s="2" t="str">
        <f>IFERROR(__xludf.DUMMYFUNCTION("""COMPUTED_VALUE"""),"Ūnijas 38")</f>
        <v>Ūnijas 38</v>
      </c>
      <c r="D1760" s="2">
        <f>IFERROR(__xludf.DUMMYFUNCTION("""COMPUTED_VALUE"""),1.0)</f>
        <v>1</v>
      </c>
      <c r="E1760" s="2">
        <f>IFERROR(__xludf.DUMMYFUNCTION("""COMPUTED_VALUE"""),27.0)</f>
        <v>27</v>
      </c>
      <c r="F1760" s="2">
        <f>IFERROR(__xludf.DUMMYFUNCTION("""COMPUTED_VALUE"""),2.0)</f>
        <v>2</v>
      </c>
      <c r="G1760" s="2">
        <f>IFERROR(__xludf.DUMMYFUNCTION("""COMPUTED_VALUE"""),3.0)</f>
        <v>3</v>
      </c>
      <c r="H1760" s="2" t="str">
        <f>IFERROR(__xludf.DUMMYFUNCTION("""COMPUTED_VALUE"""),"P. kara")</f>
        <v>P. kara</v>
      </c>
      <c r="I1760" s="2" t="str">
        <f>IFERROR(__xludf.DUMMYFUNCTION("""COMPUTED_VALUE"""),"Masonry")</f>
        <v>Masonry</v>
      </c>
      <c r="J1760" s="2" t="str">
        <f>IFERROR(__xludf.DUMMYFUNCTION("""COMPUTED_VALUE"""),"All amenities")</f>
        <v>All amenities</v>
      </c>
      <c r="K1760" s="2">
        <f>IFERROR(__xludf.DUMMYFUNCTION("""COMPUTED_VALUE"""),35000.0)</f>
        <v>35000</v>
      </c>
      <c r="L1760" s="2">
        <f>IFERROR(__xludf.DUMMYFUNCTION("""COMPUTED_VALUE"""),56.96644725)</f>
        <v>56.96644725</v>
      </c>
      <c r="M1760" s="2">
        <f>IFERROR(__xludf.DUMMYFUNCTION("""COMPUTED_VALUE"""),24.1746531057735)</f>
        <v>24.17465311</v>
      </c>
    </row>
    <row r="1761">
      <c r="A1761" s="2" t="str">
        <f>IFERROR(__xludf.DUMMYFUNCTION("""COMPUTED_VALUE"""),"For rent")</f>
        <v>For rent</v>
      </c>
      <c r="B1761" s="2" t="str">
        <f>IFERROR(__xludf.DUMMYFUNCTION("""COMPUTED_VALUE"""),"centrs")</f>
        <v>centrs</v>
      </c>
      <c r="C1761" s="2" t="str">
        <f>IFERROR(__xludf.DUMMYFUNCTION("""COMPUTED_VALUE"""),"Lāčplēša 127")</f>
        <v>Lāčplēša 127</v>
      </c>
      <c r="D1761" s="2">
        <f>IFERROR(__xludf.DUMMYFUNCTION("""COMPUTED_VALUE"""),2.0)</f>
        <v>2</v>
      </c>
      <c r="E1761" s="2">
        <f>IFERROR(__xludf.DUMMYFUNCTION("""COMPUTED_VALUE"""),95.0)</f>
        <v>95</v>
      </c>
      <c r="F1761" s="2">
        <f>IFERROR(__xludf.DUMMYFUNCTION("""COMPUTED_VALUE"""),3.0)</f>
        <v>3</v>
      </c>
      <c r="G1761" s="2">
        <f>IFERROR(__xludf.DUMMYFUNCTION("""COMPUTED_VALUE"""),3.0)</f>
        <v>3</v>
      </c>
      <c r="H1761" s="2" t="str">
        <f>IFERROR(__xludf.DUMMYFUNCTION("""COMPUTED_VALUE"""),"Renov.")</f>
        <v>Renov.</v>
      </c>
      <c r="I1761" s="2" t="str">
        <f>IFERROR(__xludf.DUMMYFUNCTION("""COMPUTED_VALUE"""),"Brick")</f>
        <v>Brick</v>
      </c>
      <c r="J1761" s="2" t="str">
        <f>IFERROR(__xludf.DUMMYFUNCTION("""COMPUTED_VALUE"""),"All amenities")</f>
        <v>All amenities</v>
      </c>
      <c r="K1761" s="2">
        <f>IFERROR(__xludf.DUMMYFUNCTION("""COMPUTED_VALUE"""),850.0)</f>
        <v>850</v>
      </c>
      <c r="L1761" s="2">
        <f>IFERROR(__xludf.DUMMYFUNCTION("""COMPUTED_VALUE"""),56.9468471)</f>
        <v>56.9468471</v>
      </c>
      <c r="M1761" s="2">
        <f>IFERROR(__xludf.DUMMYFUNCTION("""COMPUTED_VALUE"""),24.133767)</f>
        <v>24.133767</v>
      </c>
    </row>
    <row r="1762">
      <c r="A1762" s="2" t="str">
        <f>IFERROR(__xludf.DUMMYFUNCTION("""COMPUTED_VALUE"""),"For sale")</f>
        <v>For sale</v>
      </c>
      <c r="B1762" s="2" t="str">
        <f>IFERROR(__xludf.DUMMYFUNCTION("""COMPUTED_VALUE"""),"Āgenskalns")</f>
        <v>Āgenskalns</v>
      </c>
      <c r="C1762" s="2" t="str">
        <f>IFERROR(__xludf.DUMMYFUNCTION("""COMPUTED_VALUE"""),"Margrietas 16")</f>
        <v>Margrietas 16</v>
      </c>
      <c r="D1762" s="2">
        <f>IFERROR(__xludf.DUMMYFUNCTION("""COMPUTED_VALUE"""),4.0)</f>
        <v>4</v>
      </c>
      <c r="E1762" s="2">
        <f>IFERROR(__xludf.DUMMYFUNCTION("""COMPUTED_VALUE"""),138.0)</f>
        <v>138</v>
      </c>
      <c r="F1762" s="2">
        <f>IFERROR(__xludf.DUMMYFUNCTION("""COMPUTED_VALUE"""),1.0)</f>
        <v>1</v>
      </c>
      <c r="G1762" s="2">
        <f>IFERROR(__xludf.DUMMYFUNCTION("""COMPUTED_VALUE"""),3.0)</f>
        <v>3</v>
      </c>
      <c r="H1762" s="2" t="str">
        <f>IFERROR(__xludf.DUMMYFUNCTION("""COMPUTED_VALUE"""),"Renov.")</f>
        <v>Renov.</v>
      </c>
      <c r="I1762" s="2" t="str">
        <f>IFERROR(__xludf.DUMMYFUNCTION("""COMPUTED_VALUE"""),"Masonry")</f>
        <v>Masonry</v>
      </c>
      <c r="J1762" s="2" t="str">
        <f>IFERROR(__xludf.DUMMYFUNCTION("""COMPUTED_VALUE"""),"All amenities")</f>
        <v>All amenities</v>
      </c>
      <c r="K1762" s="2">
        <f>IFERROR(__xludf.DUMMYFUNCTION("""COMPUTED_VALUE"""),215000.0)</f>
        <v>215000</v>
      </c>
      <c r="L1762" s="2">
        <f>IFERROR(__xludf.DUMMYFUNCTION("""COMPUTED_VALUE"""),56.9420932999999)</f>
        <v>56.9420933</v>
      </c>
      <c r="M1762" s="2">
        <f>IFERROR(__xludf.DUMMYFUNCTION("""COMPUTED_VALUE"""),24.0569528423463)</f>
        <v>24.05695284</v>
      </c>
    </row>
    <row r="1763">
      <c r="A1763" s="2" t="str">
        <f>IFERROR(__xludf.DUMMYFUNCTION("""COMPUTED_VALUE"""),"For rent")</f>
        <v>For rent</v>
      </c>
      <c r="B1763" s="2" t="str">
        <f>IFERROR(__xludf.DUMMYFUNCTION("""COMPUTED_VALUE"""),"Ķengarags")</f>
        <v>Ķengarags</v>
      </c>
      <c r="C1763" s="2" t="str">
        <f>IFERROR(__xludf.DUMMYFUNCTION("""COMPUTED_VALUE"""),"Maskavas 291")</f>
        <v>Maskavas 291</v>
      </c>
      <c r="D1763" s="2">
        <f>IFERROR(__xludf.DUMMYFUNCTION("""COMPUTED_VALUE"""),1.0)</f>
        <v>1</v>
      </c>
      <c r="E1763" s="2">
        <f>IFERROR(__xludf.DUMMYFUNCTION("""COMPUTED_VALUE"""),32.0)</f>
        <v>32</v>
      </c>
      <c r="F1763" s="2">
        <f>IFERROR(__xludf.DUMMYFUNCTION("""COMPUTED_VALUE"""),3.0)</f>
        <v>3</v>
      </c>
      <c r="G1763" s="2">
        <f>IFERROR(__xludf.DUMMYFUNCTION("""COMPUTED_VALUE"""),5.0)</f>
        <v>5</v>
      </c>
      <c r="H1763" s="2" t="str">
        <f>IFERROR(__xludf.DUMMYFUNCTION("""COMPUTED_VALUE"""),"LT proj.")</f>
        <v>LT proj.</v>
      </c>
      <c r="I1763" s="2" t="str">
        <f>IFERROR(__xludf.DUMMYFUNCTION("""COMPUTED_VALUE"""),"Panel")</f>
        <v>Panel</v>
      </c>
      <c r="J1763" s="2" t="str">
        <f>IFERROR(__xludf.DUMMYFUNCTION("""COMPUTED_VALUE"""),"All amenities")</f>
        <v>All amenities</v>
      </c>
      <c r="K1763" s="2">
        <f>IFERROR(__xludf.DUMMYFUNCTION("""COMPUTED_VALUE"""),35.0)</f>
        <v>35</v>
      </c>
      <c r="L1763" s="2">
        <f>IFERROR(__xludf.DUMMYFUNCTION("""COMPUTED_VALUE"""),56.9168339)</f>
        <v>56.9168339</v>
      </c>
      <c r="M1763" s="2">
        <f>IFERROR(__xludf.DUMMYFUNCTION("""COMPUTED_VALUE"""),24.17698295)</f>
        <v>24.17698295</v>
      </c>
    </row>
    <row r="1764">
      <c r="A1764" s="2" t="str">
        <f>IFERROR(__xludf.DUMMYFUNCTION("""COMPUTED_VALUE"""),"For rent")</f>
        <v>For rent</v>
      </c>
      <c r="B1764" s="2" t="str">
        <f>IFERROR(__xludf.DUMMYFUNCTION("""COMPUTED_VALUE"""),"centrs")</f>
        <v>centrs</v>
      </c>
      <c r="C1764" s="2" t="str">
        <f>IFERROR(__xludf.DUMMYFUNCTION("""COMPUTED_VALUE"""),"Raiņa bulv. 31")</f>
        <v>Raiņa bulv. 31</v>
      </c>
      <c r="D1764" s="2">
        <f>IFERROR(__xludf.DUMMYFUNCTION("""COMPUTED_VALUE"""),1.0)</f>
        <v>1</v>
      </c>
      <c r="E1764" s="2">
        <f>IFERROR(__xludf.DUMMYFUNCTION("""COMPUTED_VALUE"""),30.0)</f>
        <v>30</v>
      </c>
      <c r="F1764" s="2">
        <f>IFERROR(__xludf.DUMMYFUNCTION("""COMPUTED_VALUE"""),6.0)</f>
        <v>6</v>
      </c>
      <c r="G1764" s="2">
        <f>IFERROR(__xludf.DUMMYFUNCTION("""COMPUTED_VALUE"""),6.0)</f>
        <v>6</v>
      </c>
      <c r="H1764" s="2" t="str">
        <f>IFERROR(__xludf.DUMMYFUNCTION("""COMPUTED_VALUE"""),"P. kara")</f>
        <v>P. kara</v>
      </c>
      <c r="I1764" s="2" t="str">
        <f>IFERROR(__xludf.DUMMYFUNCTION("""COMPUTED_VALUE"""),"Masonry")</f>
        <v>Masonry</v>
      </c>
      <c r="J1764" s="2" t="str">
        <f>IFERROR(__xludf.DUMMYFUNCTION("""COMPUTED_VALUE"""),"All amenities")</f>
        <v>All amenities</v>
      </c>
      <c r="K1764" s="2">
        <f>IFERROR(__xludf.DUMMYFUNCTION("""COMPUTED_VALUE"""),30.0)</f>
        <v>30</v>
      </c>
      <c r="L1764" s="2" t="str">
        <f>IFERROR(__xludf.DUMMYFUNCTION("""COMPUTED_VALUE"""),"NaN")</f>
        <v>NaN</v>
      </c>
      <c r="M1764" s="2" t="str">
        <f>IFERROR(__xludf.DUMMYFUNCTION("""COMPUTED_VALUE"""),"NaN")</f>
        <v>NaN</v>
      </c>
    </row>
    <row r="1765">
      <c r="A1765" s="2" t="str">
        <f>IFERROR(__xludf.DUMMYFUNCTION("""COMPUTED_VALUE"""),"For rent")</f>
        <v>For rent</v>
      </c>
      <c r="B1765" s="2" t="str">
        <f>IFERROR(__xludf.DUMMYFUNCTION("""COMPUTED_VALUE"""),"centrs")</f>
        <v>centrs</v>
      </c>
      <c r="C1765" s="2" t="str">
        <f>IFERROR(__xludf.DUMMYFUNCTION("""COMPUTED_VALUE"""),"Pērnavas 24")</f>
        <v>Pērnavas 24</v>
      </c>
      <c r="D1765" s="2">
        <f>IFERROR(__xludf.DUMMYFUNCTION("""COMPUTED_VALUE"""),1.0)</f>
        <v>1</v>
      </c>
      <c r="E1765" s="2">
        <f>IFERROR(__xludf.DUMMYFUNCTION("""COMPUTED_VALUE"""),20.0)</f>
        <v>20</v>
      </c>
      <c r="F1765" s="2">
        <f>IFERROR(__xludf.DUMMYFUNCTION("""COMPUTED_VALUE"""),5.0)</f>
        <v>5</v>
      </c>
      <c r="G1765" s="2">
        <f>IFERROR(__xludf.DUMMYFUNCTION("""COMPUTED_VALUE"""),6.0)</f>
        <v>6</v>
      </c>
      <c r="H1765" s="2" t="str">
        <f>IFERROR(__xludf.DUMMYFUNCTION("""COMPUTED_VALUE"""),"P. kara")</f>
        <v>P. kara</v>
      </c>
      <c r="I1765" s="2" t="str">
        <f>IFERROR(__xludf.DUMMYFUNCTION("""COMPUTED_VALUE"""),"Masonry")</f>
        <v>Masonry</v>
      </c>
      <c r="J1765" s="2" t="str">
        <f>IFERROR(__xludf.DUMMYFUNCTION("""COMPUTED_VALUE"""),"All amenities")</f>
        <v>All amenities</v>
      </c>
      <c r="K1765" s="2">
        <f>IFERROR(__xludf.DUMMYFUNCTION("""COMPUTED_VALUE"""),20.0)</f>
        <v>20</v>
      </c>
      <c r="L1765" s="2">
        <f>IFERROR(__xludf.DUMMYFUNCTION("""COMPUTED_VALUE"""),57.7727134)</f>
        <v>57.7727134</v>
      </c>
      <c r="M1765" s="2">
        <f>IFERROR(__xludf.DUMMYFUNCTION("""COMPUTED_VALUE"""),23.2390339976279)</f>
        <v>23.239034</v>
      </c>
    </row>
    <row r="1766">
      <c r="A1766" s="2" t="str">
        <f>IFERROR(__xludf.DUMMYFUNCTION("""COMPUTED_VALUE"""),"For sale")</f>
        <v>For sale</v>
      </c>
      <c r="B1766" s="2" t="str">
        <f>IFERROR(__xludf.DUMMYFUNCTION("""COMPUTED_VALUE"""),"centrs")</f>
        <v>centrs</v>
      </c>
      <c r="C1766" s="2" t="str">
        <f>IFERROR(__xludf.DUMMYFUNCTION("""COMPUTED_VALUE"""),"Ausekļa 1")</f>
        <v>Ausekļa 1</v>
      </c>
      <c r="D1766" s="2">
        <f>IFERROR(__xludf.DUMMYFUNCTION("""COMPUTED_VALUE"""),3.0)</f>
        <v>3</v>
      </c>
      <c r="E1766" s="2">
        <f>IFERROR(__xludf.DUMMYFUNCTION("""COMPUTED_VALUE"""),74.0)</f>
        <v>74</v>
      </c>
      <c r="F1766" s="2">
        <f>IFERROR(__xludf.DUMMYFUNCTION("""COMPUTED_VALUE"""),3.0)</f>
        <v>3</v>
      </c>
      <c r="G1766" s="2">
        <f>IFERROR(__xludf.DUMMYFUNCTION("""COMPUTED_VALUE"""),5.0)</f>
        <v>5</v>
      </c>
      <c r="H1766" s="2" t="str">
        <f>IFERROR(__xludf.DUMMYFUNCTION("""COMPUTED_VALUE"""),"P. kara")</f>
        <v>P. kara</v>
      </c>
      <c r="I1766" s="2" t="str">
        <f>IFERROR(__xludf.DUMMYFUNCTION("""COMPUTED_VALUE"""),"Masonry")</f>
        <v>Masonry</v>
      </c>
      <c r="J1766" s="2" t="str">
        <f>IFERROR(__xludf.DUMMYFUNCTION("""COMPUTED_VALUE"""),"All amenities")</f>
        <v>All amenities</v>
      </c>
      <c r="K1766" s="2">
        <f>IFERROR(__xludf.DUMMYFUNCTION("""COMPUTED_VALUE"""),165000.0)</f>
        <v>165000</v>
      </c>
      <c r="L1766" s="2">
        <f>IFERROR(__xludf.DUMMYFUNCTION("""COMPUTED_VALUE"""),56.9594596)</f>
        <v>56.9594596</v>
      </c>
      <c r="M1766" s="2">
        <f>IFERROR(__xludf.DUMMYFUNCTION("""COMPUTED_VALUE"""),24.0997431)</f>
        <v>24.0997431</v>
      </c>
    </row>
    <row r="1767">
      <c r="A1767" s="2" t="str">
        <f>IFERROR(__xludf.DUMMYFUNCTION("""COMPUTED_VALUE"""),"For sale")</f>
        <v>For sale</v>
      </c>
      <c r="B1767" s="2" t="str">
        <f>IFERROR(__xludf.DUMMYFUNCTION("""COMPUTED_VALUE"""),"Purvciems")</f>
        <v>Purvciems</v>
      </c>
      <c r="C1767" s="2" t="str">
        <f>IFERROR(__xludf.DUMMYFUNCTION("""COMPUTED_VALUE"""),"Purvciema 50")</f>
        <v>Purvciema 50</v>
      </c>
      <c r="D1767" s="2">
        <f>IFERROR(__xludf.DUMMYFUNCTION("""COMPUTED_VALUE"""),1.0)</f>
        <v>1</v>
      </c>
      <c r="E1767" s="2">
        <f>IFERROR(__xludf.DUMMYFUNCTION("""COMPUTED_VALUE"""),39.0)</f>
        <v>39</v>
      </c>
      <c r="F1767" s="2">
        <f>IFERROR(__xludf.DUMMYFUNCTION("""COMPUTED_VALUE"""),5.0)</f>
        <v>5</v>
      </c>
      <c r="G1767" s="2">
        <f>IFERROR(__xludf.DUMMYFUNCTION("""COMPUTED_VALUE"""),5.0)</f>
        <v>5</v>
      </c>
      <c r="H1767" s="2" t="str">
        <f>IFERROR(__xludf.DUMMYFUNCTION("""COMPUTED_VALUE"""),"M. ģim.")</f>
        <v>M. ģim.</v>
      </c>
      <c r="I1767" s="2" t="str">
        <f>IFERROR(__xludf.DUMMYFUNCTION("""COMPUTED_VALUE"""),"Panel")</f>
        <v>Panel</v>
      </c>
      <c r="J1767" s="2" t="str">
        <f>IFERROR(__xludf.DUMMYFUNCTION("""COMPUTED_VALUE"""),"All amenities")</f>
        <v>All amenities</v>
      </c>
      <c r="K1767" s="2">
        <f>IFERROR(__xludf.DUMMYFUNCTION("""COMPUTED_VALUE"""),32000.0)</f>
        <v>32000</v>
      </c>
      <c r="L1767" s="2">
        <f>IFERROR(__xludf.DUMMYFUNCTION("""COMPUTED_VALUE"""),56.9545273)</f>
        <v>56.9545273</v>
      </c>
      <c r="M1767" s="2">
        <f>IFERROR(__xludf.DUMMYFUNCTION("""COMPUTED_VALUE"""),24.1855791270517)</f>
        <v>24.18557913</v>
      </c>
    </row>
    <row r="1768">
      <c r="A1768" s="2" t="str">
        <f>IFERROR(__xludf.DUMMYFUNCTION("""COMPUTED_VALUE"""),"For sale")</f>
        <v>For sale</v>
      </c>
      <c r="B1768" s="2" t="str">
        <f>IFERROR(__xludf.DUMMYFUNCTION("""COMPUTED_VALUE"""),"centrs")</f>
        <v>centrs</v>
      </c>
      <c r="C1768" s="2" t="str">
        <f>IFERROR(__xludf.DUMMYFUNCTION("""COMPUTED_VALUE"""),"Pulkv. Brieža 35")</f>
        <v>Pulkv. Brieža 35</v>
      </c>
      <c r="D1768" s="2">
        <f>IFERROR(__xludf.DUMMYFUNCTION("""COMPUTED_VALUE"""),4.0)</f>
        <v>4</v>
      </c>
      <c r="E1768" s="2">
        <f>IFERROR(__xludf.DUMMYFUNCTION("""COMPUTED_VALUE"""),128.0)</f>
        <v>128</v>
      </c>
      <c r="F1768" s="2">
        <f>IFERROR(__xludf.DUMMYFUNCTION("""COMPUTED_VALUE"""),2.0)</f>
        <v>2</v>
      </c>
      <c r="G1768" s="2">
        <f>IFERROR(__xludf.DUMMYFUNCTION("""COMPUTED_VALUE"""),7.0)</f>
        <v>7</v>
      </c>
      <c r="H1768" s="2" t="str">
        <f>IFERROR(__xludf.DUMMYFUNCTION("""COMPUTED_VALUE"""),"Jaun.")</f>
        <v>Jaun.</v>
      </c>
      <c r="I1768" s="2" t="str">
        <f>IFERROR(__xludf.DUMMYFUNCTION("""COMPUTED_VALUE"""),"Masonry")</f>
        <v>Masonry</v>
      </c>
      <c r="J1768" s="2" t="str">
        <f>IFERROR(__xludf.DUMMYFUNCTION("""COMPUTED_VALUE"""),"All amenities")</f>
        <v>All amenities</v>
      </c>
      <c r="K1768" s="2">
        <f>IFERROR(__xludf.DUMMYFUNCTION("""COMPUTED_VALUE"""),228000.0)</f>
        <v>228000</v>
      </c>
      <c r="L1768" s="2" t="str">
        <f>IFERROR(__xludf.DUMMYFUNCTION("""COMPUTED_VALUE"""),"NaN")</f>
        <v>NaN</v>
      </c>
      <c r="M1768" s="2" t="str">
        <f>IFERROR(__xludf.DUMMYFUNCTION("""COMPUTED_VALUE"""),"NaN")</f>
        <v>NaN</v>
      </c>
    </row>
    <row r="1769">
      <c r="A1769" s="2" t="str">
        <f>IFERROR(__xludf.DUMMYFUNCTION("""COMPUTED_VALUE"""),"For sale")</f>
        <v>For sale</v>
      </c>
      <c r="B1769" s="2" t="str">
        <f>IFERROR(__xludf.DUMMYFUNCTION("""COMPUTED_VALUE"""),"centrs")</f>
        <v>centrs</v>
      </c>
      <c r="C1769" s="2" t="str">
        <f>IFERROR(__xludf.DUMMYFUNCTION("""COMPUTED_VALUE"""),"Brīvības 203")</f>
        <v>Brīvības 203</v>
      </c>
      <c r="D1769" s="2">
        <f>IFERROR(__xludf.DUMMYFUNCTION("""COMPUTED_VALUE"""),3.0)</f>
        <v>3</v>
      </c>
      <c r="E1769" s="2">
        <f>IFERROR(__xludf.DUMMYFUNCTION("""COMPUTED_VALUE"""),69.0)</f>
        <v>69</v>
      </c>
      <c r="F1769" s="2">
        <f>IFERROR(__xludf.DUMMYFUNCTION("""COMPUTED_VALUE"""),3.0)</f>
        <v>3</v>
      </c>
      <c r="G1769" s="2">
        <f>IFERROR(__xludf.DUMMYFUNCTION("""COMPUTED_VALUE"""),10.0)</f>
        <v>10</v>
      </c>
      <c r="H1769" s="2" t="str">
        <f>IFERROR(__xludf.DUMMYFUNCTION("""COMPUTED_VALUE"""),"Jaun.")</f>
        <v>Jaun.</v>
      </c>
      <c r="I1769" s="2" t="str">
        <f>IFERROR(__xludf.DUMMYFUNCTION("""COMPUTED_VALUE"""),"Masonry")</f>
        <v>Masonry</v>
      </c>
      <c r="J1769" s="2" t="str">
        <f>IFERROR(__xludf.DUMMYFUNCTION("""COMPUTED_VALUE"""),"All amenities")</f>
        <v>All amenities</v>
      </c>
      <c r="K1769" s="2">
        <f>IFERROR(__xludf.DUMMYFUNCTION("""COMPUTED_VALUE"""),120000.0)</f>
        <v>120000</v>
      </c>
      <c r="L1769" s="2">
        <f>IFERROR(__xludf.DUMMYFUNCTION("""COMPUTED_VALUE"""),56.9739163)</f>
        <v>56.9739163</v>
      </c>
      <c r="M1769" s="2">
        <f>IFERROR(__xludf.DUMMYFUNCTION("""COMPUTED_VALUE"""),24.1679419959261)</f>
        <v>24.167942</v>
      </c>
    </row>
    <row r="1770">
      <c r="A1770" s="2" t="str">
        <f>IFERROR(__xludf.DUMMYFUNCTION("""COMPUTED_VALUE"""),"For sale")</f>
        <v>For sale</v>
      </c>
      <c r="B1770" s="2" t="str">
        <f>IFERROR(__xludf.DUMMYFUNCTION("""COMPUTED_VALUE"""),"centrs")</f>
        <v>centrs</v>
      </c>
      <c r="C1770" s="2" t="str">
        <f>IFERROR(__xludf.DUMMYFUNCTION("""COMPUTED_VALUE"""),"Vāgnera 12")</f>
        <v>Vāgnera 12</v>
      </c>
      <c r="D1770" s="2">
        <f>IFERROR(__xludf.DUMMYFUNCTION("""COMPUTED_VALUE"""),2.0)</f>
        <v>2</v>
      </c>
      <c r="E1770" s="2">
        <f>IFERROR(__xludf.DUMMYFUNCTION("""COMPUTED_VALUE"""),48.0)</f>
        <v>48</v>
      </c>
      <c r="F1770" s="2">
        <f>IFERROR(__xludf.DUMMYFUNCTION("""COMPUTED_VALUE"""),1.0)</f>
        <v>1</v>
      </c>
      <c r="G1770" s="2">
        <f>IFERROR(__xludf.DUMMYFUNCTION("""COMPUTED_VALUE"""),4.0)</f>
        <v>4</v>
      </c>
      <c r="H1770" s="2" t="str">
        <f>IFERROR(__xludf.DUMMYFUNCTION("""COMPUTED_VALUE"""),"P. kara")</f>
        <v>P. kara</v>
      </c>
      <c r="I1770" s="2" t="str">
        <f>IFERROR(__xludf.DUMMYFUNCTION("""COMPUTED_VALUE"""),"Masonry")</f>
        <v>Masonry</v>
      </c>
      <c r="J1770" s="2" t="str">
        <f>IFERROR(__xludf.DUMMYFUNCTION("""COMPUTED_VALUE"""),"All amenities")</f>
        <v>All amenities</v>
      </c>
      <c r="K1770" s="2">
        <f>IFERROR(__xludf.DUMMYFUNCTION("""COMPUTED_VALUE"""),150000.0)</f>
        <v>150000</v>
      </c>
      <c r="L1770" s="2">
        <f>IFERROR(__xludf.DUMMYFUNCTION("""COMPUTED_VALUE"""),56.94881585)</f>
        <v>56.94881585</v>
      </c>
      <c r="M1770" s="2">
        <f>IFERROR(__xludf.DUMMYFUNCTION("""COMPUTED_VALUE"""),24.1114738591085)</f>
        <v>24.11147386</v>
      </c>
    </row>
    <row r="1771">
      <c r="A1771" s="2" t="str">
        <f>IFERROR(__xludf.DUMMYFUNCTION("""COMPUTED_VALUE"""),"For sale")</f>
        <v>For sale</v>
      </c>
      <c r="B1771" s="2" t="str">
        <f>IFERROR(__xludf.DUMMYFUNCTION("""COMPUTED_VALUE"""),"centrs")</f>
        <v>centrs</v>
      </c>
      <c r="C1771" s="2" t="str">
        <f>IFERROR(__xludf.DUMMYFUNCTION("""COMPUTED_VALUE"""),"Eksporta 12")</f>
        <v>Eksporta 12</v>
      </c>
      <c r="D1771" s="2">
        <f>IFERROR(__xludf.DUMMYFUNCTION("""COMPUTED_VALUE"""),3.0)</f>
        <v>3</v>
      </c>
      <c r="E1771" s="2">
        <f>IFERROR(__xludf.DUMMYFUNCTION("""COMPUTED_VALUE"""),98.9)</f>
        <v>98.9</v>
      </c>
      <c r="F1771" s="2">
        <f>IFERROR(__xludf.DUMMYFUNCTION("""COMPUTED_VALUE"""),3.0)</f>
        <v>3</v>
      </c>
      <c r="G1771" s="2">
        <f>IFERROR(__xludf.DUMMYFUNCTION("""COMPUTED_VALUE"""),6.0)</f>
        <v>6</v>
      </c>
      <c r="H1771" s="2" t="str">
        <f>IFERROR(__xludf.DUMMYFUNCTION("""COMPUTED_VALUE"""),"Staļina")</f>
        <v>Staļina</v>
      </c>
      <c r="I1771" s="2" t="str">
        <f>IFERROR(__xludf.DUMMYFUNCTION("""COMPUTED_VALUE"""),"Masonry")</f>
        <v>Masonry</v>
      </c>
      <c r="J1771" s="2" t="str">
        <f>IFERROR(__xludf.DUMMYFUNCTION("""COMPUTED_VALUE"""),"All amenities")</f>
        <v>All amenities</v>
      </c>
      <c r="K1771" s="2">
        <f>IFERROR(__xludf.DUMMYFUNCTION("""COMPUTED_VALUE"""),146000.0)</f>
        <v>146000</v>
      </c>
      <c r="L1771" s="2">
        <f>IFERROR(__xludf.DUMMYFUNCTION("""COMPUTED_VALUE"""),56.956763)</f>
        <v>56.956763</v>
      </c>
      <c r="M1771" s="2">
        <f>IFERROR(__xludf.DUMMYFUNCTION("""COMPUTED_VALUE"""),24.0954531)</f>
        <v>24.0954531</v>
      </c>
    </row>
    <row r="1772">
      <c r="A1772" s="2" t="str">
        <f>IFERROR(__xludf.DUMMYFUNCTION("""COMPUTED_VALUE"""),"For sale")</f>
        <v>For sale</v>
      </c>
      <c r="B1772" s="2" t="str">
        <f>IFERROR(__xludf.DUMMYFUNCTION("""COMPUTED_VALUE"""),"centrs")</f>
        <v>centrs</v>
      </c>
      <c r="C1772" s="2" t="str">
        <f>IFERROR(__xludf.DUMMYFUNCTION("""COMPUTED_VALUE"""),"Ausekļa 1")</f>
        <v>Ausekļa 1</v>
      </c>
      <c r="D1772" s="2">
        <f>IFERROR(__xludf.DUMMYFUNCTION("""COMPUTED_VALUE"""),3.0)</f>
        <v>3</v>
      </c>
      <c r="E1772" s="2">
        <f>IFERROR(__xludf.DUMMYFUNCTION("""COMPUTED_VALUE"""),78.0)</f>
        <v>78</v>
      </c>
      <c r="F1772" s="2">
        <f>IFERROR(__xludf.DUMMYFUNCTION("""COMPUTED_VALUE"""),3.0)</f>
        <v>3</v>
      </c>
      <c r="G1772" s="2">
        <f>IFERROR(__xludf.DUMMYFUNCTION("""COMPUTED_VALUE"""),5.0)</f>
        <v>5</v>
      </c>
      <c r="H1772" s="2" t="str">
        <f>IFERROR(__xludf.DUMMYFUNCTION("""COMPUTED_VALUE"""),"Renov.")</f>
        <v>Renov.</v>
      </c>
      <c r="I1772" s="2" t="str">
        <f>IFERROR(__xludf.DUMMYFUNCTION("""COMPUTED_VALUE"""),"Brick")</f>
        <v>Brick</v>
      </c>
      <c r="J1772" s="2" t="str">
        <f>IFERROR(__xludf.DUMMYFUNCTION("""COMPUTED_VALUE"""),"All amenities")</f>
        <v>All amenities</v>
      </c>
      <c r="K1772" s="2">
        <f>IFERROR(__xludf.DUMMYFUNCTION("""COMPUTED_VALUE"""),184000.0)</f>
        <v>184000</v>
      </c>
      <c r="L1772" s="2">
        <f>IFERROR(__xludf.DUMMYFUNCTION("""COMPUTED_VALUE"""),56.9594596)</f>
        <v>56.9594596</v>
      </c>
      <c r="M1772" s="2">
        <f>IFERROR(__xludf.DUMMYFUNCTION("""COMPUTED_VALUE"""),24.0997431)</f>
        <v>24.0997431</v>
      </c>
    </row>
    <row r="1773">
      <c r="A1773" s="2" t="str">
        <f>IFERROR(__xludf.DUMMYFUNCTION("""COMPUTED_VALUE"""),"For sale")</f>
        <v>For sale</v>
      </c>
      <c r="B1773" s="2" t="str">
        <f>IFERROR(__xludf.DUMMYFUNCTION("""COMPUTED_VALUE"""),"centrs")</f>
        <v>centrs</v>
      </c>
      <c r="C1773" s="2" t="str">
        <f>IFERROR(__xludf.DUMMYFUNCTION("""COMPUTED_VALUE"""),"Dzirnavu 157")</f>
        <v>Dzirnavu 157</v>
      </c>
      <c r="D1773" s="2">
        <f>IFERROR(__xludf.DUMMYFUNCTION("""COMPUTED_VALUE"""),3.0)</f>
        <v>3</v>
      </c>
      <c r="E1773" s="2">
        <f>IFERROR(__xludf.DUMMYFUNCTION("""COMPUTED_VALUE"""),62.0)</f>
        <v>62</v>
      </c>
      <c r="F1773" s="2">
        <f>IFERROR(__xludf.DUMMYFUNCTION("""COMPUTED_VALUE"""),2.0)</f>
        <v>2</v>
      </c>
      <c r="G1773" s="2">
        <f>IFERROR(__xludf.DUMMYFUNCTION("""COMPUTED_VALUE"""),3.0)</f>
        <v>3</v>
      </c>
      <c r="H1773" s="2" t="str">
        <f>IFERROR(__xludf.DUMMYFUNCTION("""COMPUTED_VALUE"""),"Renov.")</f>
        <v>Renov.</v>
      </c>
      <c r="I1773" s="2" t="str">
        <f>IFERROR(__xludf.DUMMYFUNCTION("""COMPUTED_VALUE"""),"Masonry")</f>
        <v>Masonry</v>
      </c>
      <c r="J1773" s="2" t="str">
        <f>IFERROR(__xludf.DUMMYFUNCTION("""COMPUTED_VALUE"""),"All amenities")</f>
        <v>All amenities</v>
      </c>
      <c r="K1773" s="2">
        <f>IFERROR(__xludf.DUMMYFUNCTION("""COMPUTED_VALUE"""),91000.0)</f>
        <v>91000</v>
      </c>
      <c r="L1773" s="2">
        <f>IFERROR(__xludf.DUMMYFUNCTION("""COMPUTED_VALUE"""),56.9415761)</f>
        <v>56.9415761</v>
      </c>
      <c r="M1773" s="2">
        <f>IFERROR(__xludf.DUMMYFUNCTION("""COMPUTED_VALUE"""),24.1264220706999)</f>
        <v>24.12642207</v>
      </c>
    </row>
    <row r="1774">
      <c r="A1774" s="2" t="str">
        <f>IFERROR(__xludf.DUMMYFUNCTION("""COMPUTED_VALUE"""),"For sale")</f>
        <v>For sale</v>
      </c>
      <c r="B1774" s="2" t="str">
        <f>IFERROR(__xludf.DUMMYFUNCTION("""COMPUTED_VALUE"""),"Jugla")</f>
        <v>Jugla</v>
      </c>
      <c r="C1774" s="2" t="str">
        <f>IFERROR(__xludf.DUMMYFUNCTION("""COMPUTED_VALUE"""),"Vangažu 35")</f>
        <v>Vangažu 35</v>
      </c>
      <c r="D1774" s="2">
        <f>IFERROR(__xludf.DUMMYFUNCTION("""COMPUTED_VALUE"""),2.0)</f>
        <v>2</v>
      </c>
      <c r="E1774" s="2">
        <f>IFERROR(__xludf.DUMMYFUNCTION("""COMPUTED_VALUE"""),48.0)</f>
        <v>48</v>
      </c>
      <c r="F1774" s="2">
        <f>IFERROR(__xludf.DUMMYFUNCTION("""COMPUTED_VALUE"""),6.0)</f>
        <v>6</v>
      </c>
      <c r="G1774" s="2">
        <f>IFERROR(__xludf.DUMMYFUNCTION("""COMPUTED_VALUE"""),9.0)</f>
        <v>9</v>
      </c>
      <c r="H1774" s="2" t="str">
        <f>IFERROR(__xludf.DUMMYFUNCTION("""COMPUTED_VALUE"""),"Čehu pr.")</f>
        <v>Čehu pr.</v>
      </c>
      <c r="I1774" s="2" t="str">
        <f>IFERROR(__xludf.DUMMYFUNCTION("""COMPUTED_VALUE"""),"Brick-Panel")</f>
        <v>Brick-Panel</v>
      </c>
      <c r="J1774" s="2" t="str">
        <f>IFERROR(__xludf.DUMMYFUNCTION("""COMPUTED_VALUE"""),"All amenities")</f>
        <v>All amenities</v>
      </c>
      <c r="K1774" s="2">
        <f>IFERROR(__xludf.DUMMYFUNCTION("""COMPUTED_VALUE"""),44800.0)</f>
        <v>44800</v>
      </c>
      <c r="L1774" s="2">
        <f>IFERROR(__xludf.DUMMYFUNCTION("""COMPUTED_VALUE"""),56.9879701)</f>
        <v>56.9879701</v>
      </c>
      <c r="M1774" s="2">
        <f>IFERROR(__xludf.DUMMYFUNCTION("""COMPUTED_VALUE"""),24.2345812982647)</f>
        <v>24.2345813</v>
      </c>
    </row>
    <row r="1775">
      <c r="A1775" s="2" t="str">
        <f>IFERROR(__xludf.DUMMYFUNCTION("""COMPUTED_VALUE"""),"For sale")</f>
        <v>For sale</v>
      </c>
      <c r="B1775" s="2" t="str">
        <f>IFERROR(__xludf.DUMMYFUNCTION("""COMPUTED_VALUE"""),"centrs")</f>
        <v>centrs</v>
      </c>
      <c r="C1775" s="2" t="str">
        <f>IFERROR(__xludf.DUMMYFUNCTION("""COMPUTED_VALUE"""),"Dzirnavu 119")</f>
        <v>Dzirnavu 119</v>
      </c>
      <c r="D1775" s="2">
        <f>IFERROR(__xludf.DUMMYFUNCTION("""COMPUTED_VALUE"""),3.0)</f>
        <v>3</v>
      </c>
      <c r="E1775" s="2">
        <f>IFERROR(__xludf.DUMMYFUNCTION("""COMPUTED_VALUE"""),92.0)</f>
        <v>92</v>
      </c>
      <c r="F1775" s="2">
        <f>IFERROR(__xludf.DUMMYFUNCTION("""COMPUTED_VALUE"""),2.0)</f>
        <v>2</v>
      </c>
      <c r="G1775" s="2">
        <f>IFERROR(__xludf.DUMMYFUNCTION("""COMPUTED_VALUE"""),5.0)</f>
        <v>5</v>
      </c>
      <c r="H1775" s="2" t="str">
        <f>IFERROR(__xludf.DUMMYFUNCTION("""COMPUTED_VALUE"""),"P. kara")</f>
        <v>P. kara</v>
      </c>
      <c r="I1775" s="2" t="str">
        <f>IFERROR(__xludf.DUMMYFUNCTION("""COMPUTED_VALUE"""),"Brick")</f>
        <v>Brick</v>
      </c>
      <c r="J1775" s="2" t="str">
        <f>IFERROR(__xludf.DUMMYFUNCTION("""COMPUTED_VALUE"""),"All amenities")</f>
        <v>All amenities</v>
      </c>
      <c r="K1775" s="2">
        <f>IFERROR(__xludf.DUMMYFUNCTION("""COMPUTED_VALUE"""),115000.0)</f>
        <v>115000</v>
      </c>
      <c r="L1775" s="2">
        <f>IFERROR(__xludf.DUMMYFUNCTION("""COMPUTED_VALUE"""),56.9485905)</f>
        <v>56.9485905</v>
      </c>
      <c r="M1775" s="2">
        <f>IFERROR(__xludf.DUMMYFUNCTION("""COMPUTED_VALUE"""),24.1252188)</f>
        <v>24.1252188</v>
      </c>
    </row>
    <row r="1776">
      <c r="A1776" s="2" t="str">
        <f>IFERROR(__xludf.DUMMYFUNCTION("""COMPUTED_VALUE"""),"For sale")</f>
        <v>For sale</v>
      </c>
      <c r="B1776" s="2" t="str">
        <f>IFERROR(__xludf.DUMMYFUNCTION("""COMPUTED_VALUE"""),"centrs")</f>
        <v>centrs</v>
      </c>
      <c r="C1776" s="2" t="str">
        <f>IFERROR(__xludf.DUMMYFUNCTION("""COMPUTED_VALUE"""),"Dzirnavu 157")</f>
        <v>Dzirnavu 157</v>
      </c>
      <c r="D1776" s="2">
        <f>IFERROR(__xludf.DUMMYFUNCTION("""COMPUTED_VALUE"""),3.0)</f>
        <v>3</v>
      </c>
      <c r="E1776" s="2">
        <f>IFERROR(__xludf.DUMMYFUNCTION("""COMPUTED_VALUE"""),80.0)</f>
        <v>80</v>
      </c>
      <c r="F1776" s="2">
        <f>IFERROR(__xludf.DUMMYFUNCTION("""COMPUTED_VALUE"""),3.0)</f>
        <v>3</v>
      </c>
      <c r="G1776" s="2">
        <f>IFERROR(__xludf.DUMMYFUNCTION("""COMPUTED_VALUE"""),3.0)</f>
        <v>3</v>
      </c>
      <c r="H1776" s="2" t="str">
        <f>IFERROR(__xludf.DUMMYFUNCTION("""COMPUTED_VALUE"""),"Renov.")</f>
        <v>Renov.</v>
      </c>
      <c r="I1776" s="2" t="str">
        <f>IFERROR(__xludf.DUMMYFUNCTION("""COMPUTED_VALUE"""),"Masonry")</f>
        <v>Masonry</v>
      </c>
      <c r="J1776" s="2" t="str">
        <f>IFERROR(__xludf.DUMMYFUNCTION("""COMPUTED_VALUE"""),"All amenities")</f>
        <v>All amenities</v>
      </c>
      <c r="K1776" s="2">
        <f>IFERROR(__xludf.DUMMYFUNCTION("""COMPUTED_VALUE"""),115000.0)</f>
        <v>115000</v>
      </c>
      <c r="L1776" s="2">
        <f>IFERROR(__xludf.DUMMYFUNCTION("""COMPUTED_VALUE"""),56.9415761)</f>
        <v>56.9415761</v>
      </c>
      <c r="M1776" s="2">
        <f>IFERROR(__xludf.DUMMYFUNCTION("""COMPUTED_VALUE"""),24.1264220706999)</f>
        <v>24.12642207</v>
      </c>
    </row>
    <row r="1777">
      <c r="A1777" s="2" t="str">
        <f>IFERROR(__xludf.DUMMYFUNCTION("""COMPUTED_VALUE"""),"For sale")</f>
        <v>For sale</v>
      </c>
      <c r="B1777" s="2" t="str">
        <f>IFERROR(__xludf.DUMMYFUNCTION("""COMPUTED_VALUE"""),"Šampēteris-Pleskodāle")</f>
        <v>Šampēteris-Pleskodāle</v>
      </c>
      <c r="C1777" s="2" t="str">
        <f>IFERROR(__xludf.DUMMYFUNCTION("""COMPUTED_VALUE"""),"Lielirbes 11")</f>
        <v>Lielirbes 11</v>
      </c>
      <c r="D1777" s="2">
        <f>IFERROR(__xludf.DUMMYFUNCTION("""COMPUTED_VALUE"""),3.0)</f>
        <v>3</v>
      </c>
      <c r="E1777" s="2">
        <f>IFERROR(__xludf.DUMMYFUNCTION("""COMPUTED_VALUE"""),92.0)</f>
        <v>92</v>
      </c>
      <c r="F1777" s="2">
        <f>IFERROR(__xludf.DUMMYFUNCTION("""COMPUTED_VALUE"""),6.0)</f>
        <v>6</v>
      </c>
      <c r="G1777" s="2">
        <f>IFERROR(__xludf.DUMMYFUNCTION("""COMPUTED_VALUE"""),23.0)</f>
        <v>23</v>
      </c>
      <c r="H1777" s="2" t="str">
        <f>IFERROR(__xludf.DUMMYFUNCTION("""COMPUTED_VALUE"""),"Jaun.")</f>
        <v>Jaun.</v>
      </c>
      <c r="I1777" s="2" t="str">
        <f>IFERROR(__xludf.DUMMYFUNCTION("""COMPUTED_VALUE"""),"Panel")</f>
        <v>Panel</v>
      </c>
      <c r="J1777" s="2" t="str">
        <f>IFERROR(__xludf.DUMMYFUNCTION("""COMPUTED_VALUE"""),"All amenities")</f>
        <v>All amenities</v>
      </c>
      <c r="K1777" s="2">
        <f>IFERROR(__xludf.DUMMYFUNCTION("""COMPUTED_VALUE"""),145000.0)</f>
        <v>145000</v>
      </c>
      <c r="L1777" s="2">
        <f>IFERROR(__xludf.DUMMYFUNCTION("""COMPUTED_VALUE"""),56.9340645)</f>
        <v>56.9340645</v>
      </c>
      <c r="M1777" s="2">
        <f>IFERROR(__xludf.DUMMYFUNCTION("""COMPUTED_VALUE"""),24.0436381)</f>
        <v>24.0436381</v>
      </c>
    </row>
    <row r="1778">
      <c r="A1778" s="2" t="str">
        <f>IFERROR(__xludf.DUMMYFUNCTION("""COMPUTED_VALUE"""),"For sale")</f>
        <v>For sale</v>
      </c>
      <c r="B1778" s="2" t="str">
        <f>IFERROR(__xludf.DUMMYFUNCTION("""COMPUTED_VALUE"""),"Vecrīga")</f>
        <v>Vecrīga</v>
      </c>
      <c r="C1778" s="2" t="str">
        <f>IFERROR(__xludf.DUMMYFUNCTION("""COMPUTED_VALUE"""),"Vāgnera 12")</f>
        <v>Vāgnera 12</v>
      </c>
      <c r="D1778" s="2">
        <f>IFERROR(__xludf.DUMMYFUNCTION("""COMPUTED_VALUE"""),4.0)</f>
        <v>4</v>
      </c>
      <c r="E1778" s="2">
        <f>IFERROR(__xludf.DUMMYFUNCTION("""COMPUTED_VALUE"""),136.0)</f>
        <v>136</v>
      </c>
      <c r="F1778" s="2">
        <f>IFERROR(__xludf.DUMMYFUNCTION("""COMPUTED_VALUE"""),2.0)</f>
        <v>2</v>
      </c>
      <c r="G1778" s="2">
        <f>IFERROR(__xludf.DUMMYFUNCTION("""COMPUTED_VALUE"""),4.0)</f>
        <v>4</v>
      </c>
      <c r="H1778" s="2" t="str">
        <f>IFERROR(__xludf.DUMMYFUNCTION("""COMPUTED_VALUE"""),"P. kara")</f>
        <v>P. kara</v>
      </c>
      <c r="I1778" s="2" t="str">
        <f>IFERROR(__xludf.DUMMYFUNCTION("""COMPUTED_VALUE"""),"Masonry")</f>
        <v>Masonry</v>
      </c>
      <c r="J1778" s="2" t="str">
        <f>IFERROR(__xludf.DUMMYFUNCTION("""COMPUTED_VALUE"""),"All amenities")</f>
        <v>All amenities</v>
      </c>
      <c r="K1778" s="2">
        <f>IFERROR(__xludf.DUMMYFUNCTION("""COMPUTED_VALUE"""),229000.0)</f>
        <v>229000</v>
      </c>
      <c r="L1778" s="2">
        <f>IFERROR(__xludf.DUMMYFUNCTION("""COMPUTED_VALUE"""),56.94881585)</f>
        <v>56.94881585</v>
      </c>
      <c r="M1778" s="2">
        <f>IFERROR(__xludf.DUMMYFUNCTION("""COMPUTED_VALUE"""),24.1114738591085)</f>
        <v>24.11147386</v>
      </c>
    </row>
    <row r="1779">
      <c r="A1779" s="2" t="str">
        <f>IFERROR(__xludf.DUMMYFUNCTION("""COMPUTED_VALUE"""),"For sale")</f>
        <v>For sale</v>
      </c>
      <c r="B1779" s="2" t="str">
        <f>IFERROR(__xludf.DUMMYFUNCTION("""COMPUTED_VALUE"""),"centrs")</f>
        <v>centrs</v>
      </c>
      <c r="C1779" s="2" t="str">
        <f>IFERROR(__xludf.DUMMYFUNCTION("""COMPUTED_VALUE"""),"Šķūņu 13")</f>
        <v>Šķūņu 13</v>
      </c>
      <c r="D1779" s="2">
        <f>IFERROR(__xludf.DUMMYFUNCTION("""COMPUTED_VALUE"""),4.0)</f>
        <v>4</v>
      </c>
      <c r="E1779" s="2">
        <f>IFERROR(__xludf.DUMMYFUNCTION("""COMPUTED_VALUE"""),134.0)</f>
        <v>134</v>
      </c>
      <c r="F1779" s="2">
        <f>IFERROR(__xludf.DUMMYFUNCTION("""COMPUTED_VALUE"""),6.0)</f>
        <v>6</v>
      </c>
      <c r="G1779" s="2">
        <f>IFERROR(__xludf.DUMMYFUNCTION("""COMPUTED_VALUE"""),7.0)</f>
        <v>7</v>
      </c>
      <c r="H1779" s="2" t="str">
        <f>IFERROR(__xludf.DUMMYFUNCTION("""COMPUTED_VALUE"""),"Renov.")</f>
        <v>Renov.</v>
      </c>
      <c r="I1779" s="2" t="str">
        <f>IFERROR(__xludf.DUMMYFUNCTION("""COMPUTED_VALUE"""),"Masonry")</f>
        <v>Masonry</v>
      </c>
      <c r="J1779" s="2" t="str">
        <f>IFERROR(__xludf.DUMMYFUNCTION("""COMPUTED_VALUE"""),"All amenities")</f>
        <v>All amenities</v>
      </c>
      <c r="K1779" s="2">
        <f>IFERROR(__xludf.DUMMYFUNCTION("""COMPUTED_VALUE"""),260000.0)</f>
        <v>260000</v>
      </c>
      <c r="L1779" s="2">
        <f>IFERROR(__xludf.DUMMYFUNCTION("""COMPUTED_VALUE"""),56.9492894)</f>
        <v>56.9492894</v>
      </c>
      <c r="M1779" s="2">
        <f>IFERROR(__xludf.DUMMYFUNCTION("""COMPUTED_VALUE"""),24.1070803)</f>
        <v>24.1070803</v>
      </c>
    </row>
    <row r="1780">
      <c r="A1780" s="2" t="str">
        <f>IFERROR(__xludf.DUMMYFUNCTION("""COMPUTED_VALUE"""),"For sale")</f>
        <v>For sale</v>
      </c>
      <c r="B1780" s="2" t="str">
        <f>IFERROR(__xludf.DUMMYFUNCTION("""COMPUTED_VALUE"""),"Maskavas priekšpilsēta")</f>
        <v>Maskavas priekšpilsēta</v>
      </c>
      <c r="C1780" s="2" t="str">
        <f>IFERROR(__xludf.DUMMYFUNCTION("""COMPUTED_VALUE"""),"Jēkabpils 2")</f>
        <v>Jēkabpils 2</v>
      </c>
      <c r="D1780" s="2">
        <f>IFERROR(__xludf.DUMMYFUNCTION("""COMPUTED_VALUE"""),2.0)</f>
        <v>2</v>
      </c>
      <c r="E1780" s="2">
        <f>IFERROR(__xludf.DUMMYFUNCTION("""COMPUTED_VALUE"""),67.0)</f>
        <v>67</v>
      </c>
      <c r="F1780" s="2">
        <f>IFERROR(__xludf.DUMMYFUNCTION("""COMPUTED_VALUE"""),1.0)</f>
        <v>1</v>
      </c>
      <c r="G1780" s="2">
        <f>IFERROR(__xludf.DUMMYFUNCTION("""COMPUTED_VALUE"""),2.0)</f>
        <v>2</v>
      </c>
      <c r="H1780" s="2" t="str">
        <f>IFERROR(__xludf.DUMMYFUNCTION("""COMPUTED_VALUE"""),"Specpr.")</f>
        <v>Specpr.</v>
      </c>
      <c r="I1780" s="2" t="str">
        <f>IFERROR(__xludf.DUMMYFUNCTION("""COMPUTED_VALUE"""),"Brick")</f>
        <v>Brick</v>
      </c>
      <c r="J1780" s="2" t="str">
        <f>IFERROR(__xludf.DUMMYFUNCTION("""COMPUTED_VALUE"""),"All amenities")</f>
        <v>All amenities</v>
      </c>
      <c r="K1780" s="2">
        <f>IFERROR(__xludf.DUMMYFUNCTION("""COMPUTED_VALUE"""),69000.0)</f>
        <v>69000</v>
      </c>
      <c r="L1780" s="2">
        <f>IFERROR(__xludf.DUMMYFUNCTION("""COMPUTED_VALUE"""),56.94245245)</f>
        <v>56.94245245</v>
      </c>
      <c r="M1780" s="2">
        <f>IFERROR(__xludf.DUMMYFUNCTION("""COMPUTED_VALUE"""),24.1331798290685)</f>
        <v>24.13317983</v>
      </c>
    </row>
    <row r="1781">
      <c r="A1781" s="2" t="str">
        <f>IFERROR(__xludf.DUMMYFUNCTION("""COMPUTED_VALUE"""),"For rent")</f>
        <v>For rent</v>
      </c>
      <c r="B1781" s="2" t="str">
        <f>IFERROR(__xludf.DUMMYFUNCTION("""COMPUTED_VALUE"""),"Jugla")</f>
        <v>Jugla</v>
      </c>
      <c r="C1781" s="2" t="str">
        <f>IFERROR(__xludf.DUMMYFUNCTION("""COMPUTED_VALUE"""),"Slēpotāju 250")</f>
        <v>Slēpotāju 250</v>
      </c>
      <c r="D1781" s="2">
        <f>IFERROR(__xludf.DUMMYFUNCTION("""COMPUTED_VALUE"""),1.0)</f>
        <v>1</v>
      </c>
      <c r="E1781" s="2">
        <f>IFERROR(__xludf.DUMMYFUNCTION("""COMPUTED_VALUE"""),30.0)</f>
        <v>30</v>
      </c>
      <c r="F1781" s="2">
        <f>IFERROR(__xludf.DUMMYFUNCTION("""COMPUTED_VALUE"""),1.0)</f>
        <v>1</v>
      </c>
      <c r="G1781" s="2">
        <f>IFERROR(__xludf.DUMMYFUNCTION("""COMPUTED_VALUE"""),1.0)</f>
        <v>1</v>
      </c>
      <c r="H1781" s="2" t="str">
        <f>IFERROR(__xludf.DUMMYFUNCTION("""COMPUTED_VALUE"""),"Priv. m.")</f>
        <v>Priv. m.</v>
      </c>
      <c r="I1781" s="2" t="str">
        <f>IFERROR(__xludf.DUMMYFUNCTION("""COMPUTED_VALUE"""),"Brick")</f>
        <v>Brick</v>
      </c>
      <c r="J1781" s="2" t="str">
        <f>IFERROR(__xludf.DUMMYFUNCTION("""COMPUTED_VALUE"""),"All amenities")</f>
        <v>All amenities</v>
      </c>
      <c r="K1781" s="2">
        <f>IFERROR(__xludf.DUMMYFUNCTION("""COMPUTED_VALUE"""),250.0)</f>
        <v>250</v>
      </c>
      <c r="L1781" s="2">
        <f>IFERROR(__xludf.DUMMYFUNCTION("""COMPUTED_VALUE"""),56.9838232)</f>
        <v>56.9838232</v>
      </c>
      <c r="M1781" s="2">
        <f>IFERROR(__xludf.DUMMYFUNCTION("""COMPUTED_VALUE"""),24.2372569)</f>
        <v>24.2372569</v>
      </c>
    </row>
    <row r="1782">
      <c r="A1782" s="2" t="str">
        <f>IFERROR(__xludf.DUMMYFUNCTION("""COMPUTED_VALUE"""),"For sale")</f>
        <v>For sale</v>
      </c>
      <c r="B1782" s="2" t="str">
        <f>IFERROR(__xludf.DUMMYFUNCTION("""COMPUTED_VALUE"""),"Ķengarags")</f>
        <v>Ķengarags</v>
      </c>
      <c r="C1782" s="2" t="str">
        <f>IFERROR(__xludf.DUMMYFUNCTION("""COMPUTED_VALUE"""),"Višķu 9")</f>
        <v>Višķu 9</v>
      </c>
      <c r="D1782" s="2">
        <f>IFERROR(__xludf.DUMMYFUNCTION("""COMPUTED_VALUE"""),3.0)</f>
        <v>3</v>
      </c>
      <c r="E1782" s="2">
        <f>IFERROR(__xludf.DUMMYFUNCTION("""COMPUTED_VALUE"""),61.0)</f>
        <v>61</v>
      </c>
      <c r="F1782" s="2">
        <f>IFERROR(__xludf.DUMMYFUNCTION("""COMPUTED_VALUE"""),4.0)</f>
        <v>4</v>
      </c>
      <c r="G1782" s="2">
        <f>IFERROR(__xludf.DUMMYFUNCTION("""COMPUTED_VALUE"""),5.0)</f>
        <v>5</v>
      </c>
      <c r="H1782" s="2" t="str">
        <f>IFERROR(__xludf.DUMMYFUNCTION("""COMPUTED_VALUE"""),"LT proj.")</f>
        <v>LT proj.</v>
      </c>
      <c r="I1782" s="2" t="str">
        <f>IFERROR(__xludf.DUMMYFUNCTION("""COMPUTED_VALUE"""),"Panel")</f>
        <v>Panel</v>
      </c>
      <c r="J1782" s="2" t="str">
        <f>IFERROR(__xludf.DUMMYFUNCTION("""COMPUTED_VALUE"""),"All amenities")</f>
        <v>All amenities</v>
      </c>
      <c r="K1782" s="2">
        <f>IFERROR(__xludf.DUMMYFUNCTION("""COMPUTED_VALUE"""),56500.0)</f>
        <v>56500</v>
      </c>
      <c r="L1782" s="2">
        <f>IFERROR(__xludf.DUMMYFUNCTION("""COMPUTED_VALUE"""),56.8992639)</f>
        <v>56.8992639</v>
      </c>
      <c r="M1782" s="2">
        <f>IFERROR(__xludf.DUMMYFUNCTION("""COMPUTED_VALUE"""),24.2143729105512)</f>
        <v>24.21437291</v>
      </c>
    </row>
    <row r="1783">
      <c r="A1783" s="2" t="str">
        <f>IFERROR(__xludf.DUMMYFUNCTION("""COMPUTED_VALUE"""),"For sale")</f>
        <v>For sale</v>
      </c>
      <c r="B1783" s="2" t="str">
        <f>IFERROR(__xludf.DUMMYFUNCTION("""COMPUTED_VALUE"""),"Mangaļi")</f>
        <v>Mangaļi</v>
      </c>
      <c r="C1783" s="2" t="str">
        <f>IFERROR(__xludf.DUMMYFUNCTION("""COMPUTED_VALUE"""),"Ezera 5")</f>
        <v>Ezera 5</v>
      </c>
      <c r="D1783" s="2">
        <f>IFERROR(__xludf.DUMMYFUNCTION("""COMPUTED_VALUE"""),2.0)</f>
        <v>2</v>
      </c>
      <c r="E1783" s="2">
        <f>IFERROR(__xludf.DUMMYFUNCTION("""COMPUTED_VALUE"""),53.0)</f>
        <v>53</v>
      </c>
      <c r="F1783" s="2">
        <f>IFERROR(__xludf.DUMMYFUNCTION("""COMPUTED_VALUE"""),2.0)</f>
        <v>2</v>
      </c>
      <c r="G1783" s="2">
        <f>IFERROR(__xludf.DUMMYFUNCTION("""COMPUTED_VALUE"""),2.0)</f>
        <v>2</v>
      </c>
      <c r="H1783" s="2" t="str">
        <f>IFERROR(__xludf.DUMMYFUNCTION("""COMPUTED_VALUE"""),"P. kara")</f>
        <v>P. kara</v>
      </c>
      <c r="I1783" s="2" t="str">
        <f>IFERROR(__xludf.DUMMYFUNCTION("""COMPUTED_VALUE"""),"Wood")</f>
        <v>Wood</v>
      </c>
      <c r="J1783" s="2" t="str">
        <f>IFERROR(__xludf.DUMMYFUNCTION("""COMPUTED_VALUE"""),"All amenities")</f>
        <v>All amenities</v>
      </c>
      <c r="K1783" s="2">
        <f>IFERROR(__xludf.DUMMYFUNCTION("""COMPUTED_VALUE"""),41500.0)</f>
        <v>41500</v>
      </c>
      <c r="L1783" s="2">
        <f>IFERROR(__xludf.DUMMYFUNCTION("""COMPUTED_VALUE"""),57.01927645)</f>
        <v>57.01927645</v>
      </c>
      <c r="M1783" s="2">
        <f>IFERROR(__xludf.DUMMYFUNCTION("""COMPUTED_VALUE"""),24.127157633502)</f>
        <v>24.12715763</v>
      </c>
    </row>
    <row r="1784">
      <c r="A1784" s="2" t="str">
        <f>IFERROR(__xludf.DUMMYFUNCTION("""COMPUTED_VALUE"""),"For rent")</f>
        <v>For rent</v>
      </c>
      <c r="B1784" s="2" t="str">
        <f>IFERROR(__xludf.DUMMYFUNCTION("""COMPUTED_VALUE"""),"Dzegužkalns")</f>
        <v>Dzegužkalns</v>
      </c>
      <c r="C1784" s="2" t="str">
        <f>IFERROR(__xludf.DUMMYFUNCTION("""COMPUTED_VALUE"""),"Iecavas 1")</f>
        <v>Iecavas 1</v>
      </c>
      <c r="D1784" s="2">
        <f>IFERROR(__xludf.DUMMYFUNCTION("""COMPUTED_VALUE"""),2.0)</f>
        <v>2</v>
      </c>
      <c r="E1784" s="2">
        <f>IFERROR(__xludf.DUMMYFUNCTION("""COMPUTED_VALUE"""),64.0)</f>
        <v>64</v>
      </c>
      <c r="F1784" s="2">
        <f>IFERROR(__xludf.DUMMYFUNCTION("""COMPUTED_VALUE"""),3.0)</f>
        <v>3</v>
      </c>
      <c r="G1784" s="2">
        <f>IFERROR(__xludf.DUMMYFUNCTION("""COMPUTED_VALUE"""),4.0)</f>
        <v>4</v>
      </c>
      <c r="H1784" s="2" t="str">
        <f>IFERROR(__xludf.DUMMYFUNCTION("""COMPUTED_VALUE"""),"Specpr.")</f>
        <v>Specpr.</v>
      </c>
      <c r="I1784" s="2" t="str">
        <f>IFERROR(__xludf.DUMMYFUNCTION("""COMPUTED_VALUE"""),"Brick")</f>
        <v>Brick</v>
      </c>
      <c r="J1784" s="2" t="str">
        <f>IFERROR(__xludf.DUMMYFUNCTION("""COMPUTED_VALUE"""),"All amenities")</f>
        <v>All amenities</v>
      </c>
      <c r="K1784" s="2">
        <f>IFERROR(__xludf.DUMMYFUNCTION("""COMPUTED_VALUE"""),620.0)</f>
        <v>620</v>
      </c>
      <c r="L1784" s="2">
        <f>IFERROR(__xludf.DUMMYFUNCTION("""COMPUTED_VALUE"""),56.9555587)</f>
        <v>56.9555587</v>
      </c>
      <c r="M1784" s="2">
        <f>IFERROR(__xludf.DUMMYFUNCTION("""COMPUTED_VALUE"""),24.0506800260781)</f>
        <v>24.05068003</v>
      </c>
    </row>
    <row r="1785">
      <c r="A1785" s="2" t="str">
        <f>IFERROR(__xludf.DUMMYFUNCTION("""COMPUTED_VALUE"""),"For sale")</f>
        <v>For sale</v>
      </c>
      <c r="B1785" s="2" t="str">
        <f>IFERROR(__xludf.DUMMYFUNCTION("""COMPUTED_VALUE"""),"Aplokciems")</f>
        <v>Aplokciems</v>
      </c>
      <c r="C1785" s="2" t="str">
        <f>IFERROR(__xludf.DUMMYFUNCTION("""COMPUTED_VALUE"""),"Briežu 9")</f>
        <v>Briežu 9</v>
      </c>
      <c r="D1785" s="2">
        <f>IFERROR(__xludf.DUMMYFUNCTION("""COMPUTED_VALUE"""),1.0)</f>
        <v>1</v>
      </c>
      <c r="E1785" s="2">
        <f>IFERROR(__xludf.DUMMYFUNCTION("""COMPUTED_VALUE"""),27.0)</f>
        <v>27</v>
      </c>
      <c r="F1785" s="2">
        <f>IFERROR(__xludf.DUMMYFUNCTION("""COMPUTED_VALUE"""),1.0)</f>
        <v>1</v>
      </c>
      <c r="G1785" s="2">
        <f>IFERROR(__xludf.DUMMYFUNCTION("""COMPUTED_VALUE"""),6.0)</f>
        <v>6</v>
      </c>
      <c r="H1785" s="2" t="str">
        <f>IFERROR(__xludf.DUMMYFUNCTION("""COMPUTED_VALUE"""),"Jaun.")</f>
        <v>Jaun.</v>
      </c>
      <c r="I1785" s="2" t="str">
        <f>IFERROR(__xludf.DUMMYFUNCTION("""COMPUTED_VALUE"""),"Masonry")</f>
        <v>Masonry</v>
      </c>
      <c r="J1785" s="2" t="str">
        <f>IFERROR(__xludf.DUMMYFUNCTION("""COMPUTED_VALUE"""),"All amenities")</f>
        <v>All amenities</v>
      </c>
      <c r="K1785" s="2">
        <f>IFERROR(__xludf.DUMMYFUNCTION("""COMPUTED_VALUE"""),38500.0)</f>
        <v>38500</v>
      </c>
      <c r="L1785" s="2">
        <f>IFERROR(__xludf.DUMMYFUNCTION("""COMPUTED_VALUE"""),57.0229234499999)</f>
        <v>57.02292345</v>
      </c>
      <c r="M1785" s="2">
        <f>IFERROR(__xludf.DUMMYFUNCTION("""COMPUTED_VALUE"""),24.1376648769917)</f>
        <v>24.13766488</v>
      </c>
    </row>
    <row r="1786">
      <c r="A1786" s="2" t="str">
        <f>IFERROR(__xludf.DUMMYFUNCTION("""COMPUTED_VALUE"""),"For sale")</f>
        <v>For sale</v>
      </c>
      <c r="B1786" s="2" t="str">
        <f>IFERROR(__xludf.DUMMYFUNCTION("""COMPUTED_VALUE"""),"Aplokciems")</f>
        <v>Aplokciems</v>
      </c>
      <c r="C1786" s="2" t="str">
        <f>IFERROR(__xludf.DUMMYFUNCTION("""COMPUTED_VALUE"""),"Briežu 9")</f>
        <v>Briežu 9</v>
      </c>
      <c r="D1786" s="2">
        <f>IFERROR(__xludf.DUMMYFUNCTION("""COMPUTED_VALUE"""),2.0)</f>
        <v>2</v>
      </c>
      <c r="E1786" s="2">
        <f>IFERROR(__xludf.DUMMYFUNCTION("""COMPUTED_VALUE"""),46.0)</f>
        <v>46</v>
      </c>
      <c r="F1786" s="2">
        <f>IFERROR(__xludf.DUMMYFUNCTION("""COMPUTED_VALUE"""),1.0)</f>
        <v>1</v>
      </c>
      <c r="G1786" s="2">
        <f>IFERROR(__xludf.DUMMYFUNCTION("""COMPUTED_VALUE"""),6.0)</f>
        <v>6</v>
      </c>
      <c r="H1786" s="2" t="str">
        <f>IFERROR(__xludf.DUMMYFUNCTION("""COMPUTED_VALUE"""),"Jaun.")</f>
        <v>Jaun.</v>
      </c>
      <c r="I1786" s="2" t="str">
        <f>IFERROR(__xludf.DUMMYFUNCTION("""COMPUTED_VALUE"""),"Masonry")</f>
        <v>Masonry</v>
      </c>
      <c r="J1786" s="2" t="str">
        <f>IFERROR(__xludf.DUMMYFUNCTION("""COMPUTED_VALUE"""),"All amenities")</f>
        <v>All amenities</v>
      </c>
      <c r="K1786" s="2">
        <f>IFERROR(__xludf.DUMMYFUNCTION("""COMPUTED_VALUE"""),67500.0)</f>
        <v>67500</v>
      </c>
      <c r="L1786" s="2">
        <f>IFERROR(__xludf.DUMMYFUNCTION("""COMPUTED_VALUE"""),57.0229234499999)</f>
        <v>57.02292345</v>
      </c>
      <c r="M1786" s="2">
        <f>IFERROR(__xludf.DUMMYFUNCTION("""COMPUTED_VALUE"""),24.1376648769917)</f>
        <v>24.13766488</v>
      </c>
    </row>
    <row r="1787">
      <c r="A1787" s="2" t="str">
        <f>IFERROR(__xludf.DUMMYFUNCTION("""COMPUTED_VALUE"""),"For rent")</f>
        <v>For rent</v>
      </c>
      <c r="B1787" s="2" t="str">
        <f>IFERROR(__xludf.DUMMYFUNCTION("""COMPUTED_VALUE"""),"Purvciems")</f>
        <v>Purvciems</v>
      </c>
      <c r="C1787" s="2" t="str">
        <f>IFERROR(__xludf.DUMMYFUNCTION("""COMPUTED_VALUE"""),"Brantkalna 11")</f>
        <v>Brantkalna 11</v>
      </c>
      <c r="D1787" s="2">
        <f>IFERROR(__xludf.DUMMYFUNCTION("""COMPUTED_VALUE"""),2.0)</f>
        <v>2</v>
      </c>
      <c r="E1787" s="2">
        <f>IFERROR(__xludf.DUMMYFUNCTION("""COMPUTED_VALUE"""),60.0)</f>
        <v>60</v>
      </c>
      <c r="F1787" s="2">
        <f>IFERROR(__xludf.DUMMYFUNCTION("""COMPUTED_VALUE"""),9.0)</f>
        <v>9</v>
      </c>
      <c r="G1787" s="2">
        <f>IFERROR(__xludf.DUMMYFUNCTION("""COMPUTED_VALUE"""),9.0)</f>
        <v>9</v>
      </c>
      <c r="H1787" s="2">
        <f>IFERROR(__xludf.DUMMYFUNCTION("""COMPUTED_VALUE"""),119.0)</f>
        <v>119</v>
      </c>
      <c r="I1787" s="2" t="str">
        <f>IFERROR(__xludf.DUMMYFUNCTION("""COMPUTED_VALUE"""),"Brick-Panel")</f>
        <v>Brick-Panel</v>
      </c>
      <c r="J1787" s="2" t="str">
        <f>IFERROR(__xludf.DUMMYFUNCTION("""COMPUTED_VALUE"""),"All amenities")</f>
        <v>All amenities</v>
      </c>
      <c r="K1787" s="2">
        <f>IFERROR(__xludf.DUMMYFUNCTION("""COMPUTED_VALUE"""),280.0)</f>
        <v>280</v>
      </c>
      <c r="L1787" s="2">
        <f>IFERROR(__xludf.DUMMYFUNCTION("""COMPUTED_VALUE"""),56.94998475)</f>
        <v>56.94998475</v>
      </c>
      <c r="M1787" s="2">
        <f>IFERROR(__xludf.DUMMYFUNCTION("""COMPUTED_VALUE"""),24.19326935)</f>
        <v>24.19326935</v>
      </c>
    </row>
    <row r="1788">
      <c r="A1788" s="2" t="str">
        <f>IFERROR(__xludf.DUMMYFUNCTION("""COMPUTED_VALUE"""),"For sale")</f>
        <v>For sale</v>
      </c>
      <c r="B1788" s="2" t="str">
        <f>IFERROR(__xludf.DUMMYFUNCTION("""COMPUTED_VALUE"""),"Ķengarags")</f>
        <v>Ķengarags</v>
      </c>
      <c r="C1788" s="2" t="str">
        <f>IFERROR(__xludf.DUMMYFUNCTION("""COMPUTED_VALUE"""),"Aglonas 29")</f>
        <v>Aglonas 29</v>
      </c>
      <c r="D1788" s="2">
        <f>IFERROR(__xludf.DUMMYFUNCTION("""COMPUTED_VALUE"""),2.0)</f>
        <v>2</v>
      </c>
      <c r="E1788" s="2">
        <f>IFERROR(__xludf.DUMMYFUNCTION("""COMPUTED_VALUE"""),42.0)</f>
        <v>42</v>
      </c>
      <c r="F1788" s="2">
        <f>IFERROR(__xludf.DUMMYFUNCTION("""COMPUTED_VALUE"""),4.0)</f>
        <v>4</v>
      </c>
      <c r="G1788" s="2">
        <f>IFERROR(__xludf.DUMMYFUNCTION("""COMPUTED_VALUE"""),5.0)</f>
        <v>5</v>
      </c>
      <c r="H1788" s="2" t="str">
        <f>IFERROR(__xludf.DUMMYFUNCTION("""COMPUTED_VALUE"""),"Hrušč.")</f>
        <v>Hrušč.</v>
      </c>
      <c r="I1788" s="2" t="str">
        <f>IFERROR(__xludf.DUMMYFUNCTION("""COMPUTED_VALUE"""),"Brick")</f>
        <v>Brick</v>
      </c>
      <c r="J1788" s="2" t="str">
        <f>IFERROR(__xludf.DUMMYFUNCTION("""COMPUTED_VALUE"""),"All amenities")</f>
        <v>All amenities</v>
      </c>
      <c r="K1788" s="2">
        <f>IFERROR(__xludf.DUMMYFUNCTION("""COMPUTED_VALUE"""),32000.0)</f>
        <v>32000</v>
      </c>
      <c r="L1788" s="2">
        <f>IFERROR(__xludf.DUMMYFUNCTION("""COMPUTED_VALUE"""),56.9129619499999)</f>
        <v>56.91296195</v>
      </c>
      <c r="M1788" s="2">
        <f>IFERROR(__xludf.DUMMYFUNCTION("""COMPUTED_VALUE"""),24.1842254999999)</f>
        <v>24.1842255</v>
      </c>
    </row>
    <row r="1789">
      <c r="A1789" s="2" t="str">
        <f>IFERROR(__xludf.DUMMYFUNCTION("""COMPUTED_VALUE"""),"For sale")</f>
        <v>For sale</v>
      </c>
      <c r="B1789" s="2" t="str">
        <f>IFERROR(__xludf.DUMMYFUNCTION("""COMPUTED_VALUE"""),"Āgenskalns")</f>
        <v>Āgenskalns</v>
      </c>
      <c r="C1789" s="2" t="str">
        <f>IFERROR(__xludf.DUMMYFUNCTION("""COMPUTED_VALUE"""),"Kuldīgas 32")</f>
        <v>Kuldīgas 32</v>
      </c>
      <c r="D1789" s="2">
        <f>IFERROR(__xludf.DUMMYFUNCTION("""COMPUTED_VALUE"""),2.0)</f>
        <v>2</v>
      </c>
      <c r="E1789" s="2">
        <f>IFERROR(__xludf.DUMMYFUNCTION("""COMPUTED_VALUE"""),52.0)</f>
        <v>52</v>
      </c>
      <c r="F1789" s="2">
        <f>IFERROR(__xludf.DUMMYFUNCTION("""COMPUTED_VALUE"""),4.0)</f>
        <v>4</v>
      </c>
      <c r="G1789" s="2">
        <f>IFERROR(__xludf.DUMMYFUNCTION("""COMPUTED_VALUE"""),4.0)</f>
        <v>4</v>
      </c>
      <c r="H1789" s="2" t="str">
        <f>IFERROR(__xludf.DUMMYFUNCTION("""COMPUTED_VALUE"""),"Renov.")</f>
        <v>Renov.</v>
      </c>
      <c r="I1789" s="2" t="str">
        <f>IFERROR(__xludf.DUMMYFUNCTION("""COMPUTED_VALUE"""),"Masonry")</f>
        <v>Masonry</v>
      </c>
      <c r="J1789" s="2" t="str">
        <f>IFERROR(__xludf.DUMMYFUNCTION("""COMPUTED_VALUE"""),"All amenities")</f>
        <v>All amenities</v>
      </c>
      <c r="K1789" s="2">
        <f>IFERROR(__xludf.DUMMYFUNCTION("""COMPUTED_VALUE"""),71000.0)</f>
        <v>71000</v>
      </c>
      <c r="L1789" s="2">
        <f>IFERROR(__xludf.DUMMYFUNCTION("""COMPUTED_VALUE"""),56.9474705)</f>
        <v>56.9474705</v>
      </c>
      <c r="M1789" s="2">
        <f>IFERROR(__xludf.DUMMYFUNCTION("""COMPUTED_VALUE"""),24.0604076)</f>
        <v>24.0604076</v>
      </c>
    </row>
    <row r="1790">
      <c r="A1790" s="2" t="str">
        <f>IFERROR(__xludf.DUMMYFUNCTION("""COMPUTED_VALUE"""),"For sale")</f>
        <v>For sale</v>
      </c>
      <c r="B1790" s="2" t="str">
        <f>IFERROR(__xludf.DUMMYFUNCTION("""COMPUTED_VALUE"""),"Āgenskalns")</f>
        <v>Āgenskalns</v>
      </c>
      <c r="C1790" s="2" t="str">
        <f>IFERROR(__xludf.DUMMYFUNCTION("""COMPUTED_VALUE"""),"Kuldīgas 34")</f>
        <v>Kuldīgas 34</v>
      </c>
      <c r="D1790" s="2">
        <f>IFERROR(__xludf.DUMMYFUNCTION("""COMPUTED_VALUE"""),4.0)</f>
        <v>4</v>
      </c>
      <c r="E1790" s="2">
        <f>IFERROR(__xludf.DUMMYFUNCTION("""COMPUTED_VALUE"""),111.4)</f>
        <v>111.4</v>
      </c>
      <c r="F1790" s="2">
        <f>IFERROR(__xludf.DUMMYFUNCTION("""COMPUTED_VALUE"""),4.0)</f>
        <v>4</v>
      </c>
      <c r="G1790" s="2">
        <f>IFERROR(__xludf.DUMMYFUNCTION("""COMPUTED_VALUE"""),4.0)</f>
        <v>4</v>
      </c>
      <c r="H1790" s="2" t="str">
        <f>IFERROR(__xludf.DUMMYFUNCTION("""COMPUTED_VALUE"""),"Renov.")</f>
        <v>Renov.</v>
      </c>
      <c r="I1790" s="2" t="str">
        <f>IFERROR(__xludf.DUMMYFUNCTION("""COMPUTED_VALUE"""),"Masonry")</f>
        <v>Masonry</v>
      </c>
      <c r="J1790" s="2" t="str">
        <f>IFERROR(__xludf.DUMMYFUNCTION("""COMPUTED_VALUE"""),"All amenities")</f>
        <v>All amenities</v>
      </c>
      <c r="K1790" s="2">
        <f>IFERROR(__xludf.DUMMYFUNCTION("""COMPUTED_VALUE"""),143000.0)</f>
        <v>143000</v>
      </c>
      <c r="L1790" s="2">
        <f>IFERROR(__xludf.DUMMYFUNCTION("""COMPUTED_VALUE"""),56.9511923)</f>
        <v>56.9511923</v>
      </c>
      <c r="M1790" s="2">
        <f>IFERROR(__xludf.DUMMYFUNCTION("""COMPUTED_VALUE"""),24.0659141)</f>
        <v>24.0659141</v>
      </c>
    </row>
    <row r="1791">
      <c r="A1791" s="2" t="str">
        <f>IFERROR(__xludf.DUMMYFUNCTION("""COMPUTED_VALUE"""),"For sale")</f>
        <v>For sale</v>
      </c>
      <c r="B1791" s="2" t="str">
        <f>IFERROR(__xludf.DUMMYFUNCTION("""COMPUTED_VALUE"""),"Āgenskalns")</f>
        <v>Āgenskalns</v>
      </c>
      <c r="C1791" s="2" t="str">
        <f>IFERROR(__xludf.DUMMYFUNCTION("""COMPUTED_VALUE"""),"Vīlipa 3")</f>
        <v>Vīlipa 3</v>
      </c>
      <c r="D1791" s="2">
        <f>IFERROR(__xludf.DUMMYFUNCTION("""COMPUTED_VALUE"""),2.0)</f>
        <v>2</v>
      </c>
      <c r="E1791" s="2">
        <f>IFERROR(__xludf.DUMMYFUNCTION("""COMPUTED_VALUE"""),57.0)</f>
        <v>57</v>
      </c>
      <c r="F1791" s="2">
        <f>IFERROR(__xludf.DUMMYFUNCTION("""COMPUTED_VALUE"""),1.0)</f>
        <v>1</v>
      </c>
      <c r="G1791" s="2">
        <f>IFERROR(__xludf.DUMMYFUNCTION("""COMPUTED_VALUE"""),1.0)</f>
        <v>1</v>
      </c>
      <c r="H1791" s="2" t="str">
        <f>IFERROR(__xludf.DUMMYFUNCTION("""COMPUTED_VALUE"""),"Renov.")</f>
        <v>Renov.</v>
      </c>
      <c r="I1791" s="2" t="str">
        <f>IFERROR(__xludf.DUMMYFUNCTION("""COMPUTED_VALUE"""),"Wood")</f>
        <v>Wood</v>
      </c>
      <c r="J1791" s="2" t="str">
        <f>IFERROR(__xludf.DUMMYFUNCTION("""COMPUTED_VALUE"""),"All amenities")</f>
        <v>All amenities</v>
      </c>
      <c r="K1791" s="2">
        <f>IFERROR(__xludf.DUMMYFUNCTION("""COMPUTED_VALUE"""),65000.0)</f>
        <v>65000</v>
      </c>
      <c r="L1791" s="2">
        <f>IFERROR(__xludf.DUMMYFUNCTION("""COMPUTED_VALUE"""),56.94731475)</f>
        <v>56.94731475</v>
      </c>
      <c r="M1791" s="2">
        <f>IFERROR(__xludf.DUMMYFUNCTION("""COMPUTED_VALUE"""),24.0609152601247)</f>
        <v>24.06091526</v>
      </c>
    </row>
    <row r="1792">
      <c r="A1792" s="2" t="str">
        <f>IFERROR(__xludf.DUMMYFUNCTION("""COMPUTED_VALUE"""),"For rent")</f>
        <v>For rent</v>
      </c>
      <c r="B1792" s="2" t="str">
        <f>IFERROR(__xludf.DUMMYFUNCTION("""COMPUTED_VALUE"""),"centrs")</f>
        <v>centrs</v>
      </c>
      <c r="C1792" s="2" t="str">
        <f>IFERROR(__xludf.DUMMYFUNCTION("""COMPUTED_VALUE"""),"Zvaigžņu 14")</f>
        <v>Zvaigžņu 14</v>
      </c>
      <c r="D1792" s="2">
        <f>IFERROR(__xludf.DUMMYFUNCTION("""COMPUTED_VALUE"""),1.0)</f>
        <v>1</v>
      </c>
      <c r="E1792" s="2">
        <f>IFERROR(__xludf.DUMMYFUNCTION("""COMPUTED_VALUE"""),28.0)</f>
        <v>28</v>
      </c>
      <c r="F1792" s="2">
        <f>IFERROR(__xludf.DUMMYFUNCTION("""COMPUTED_VALUE"""),2.0)</f>
        <v>2</v>
      </c>
      <c r="G1792" s="2">
        <f>IFERROR(__xludf.DUMMYFUNCTION("""COMPUTED_VALUE"""),4.0)</f>
        <v>4</v>
      </c>
      <c r="H1792" s="2" t="str">
        <f>IFERROR(__xludf.DUMMYFUNCTION("""COMPUTED_VALUE"""),"Renov.")</f>
        <v>Renov.</v>
      </c>
      <c r="I1792" s="2" t="str">
        <f>IFERROR(__xludf.DUMMYFUNCTION("""COMPUTED_VALUE"""),"Masonry")</f>
        <v>Masonry</v>
      </c>
      <c r="J1792" s="2" t="str">
        <f>IFERROR(__xludf.DUMMYFUNCTION("""COMPUTED_VALUE"""),"All amenities")</f>
        <v>All amenities</v>
      </c>
      <c r="K1792" s="2">
        <f>IFERROR(__xludf.DUMMYFUNCTION("""COMPUTED_VALUE"""),250.0)</f>
        <v>250</v>
      </c>
      <c r="L1792" s="2">
        <f>IFERROR(__xludf.DUMMYFUNCTION("""COMPUTED_VALUE"""),56.9590494)</f>
        <v>56.9590494</v>
      </c>
      <c r="M1792" s="2">
        <f>IFERROR(__xludf.DUMMYFUNCTION("""COMPUTED_VALUE"""),24.1461764)</f>
        <v>24.1461764</v>
      </c>
    </row>
    <row r="1793">
      <c r="A1793" s="2" t="str">
        <f>IFERROR(__xludf.DUMMYFUNCTION("""COMPUTED_VALUE"""),"For sale")</f>
        <v>For sale</v>
      </c>
      <c r="B1793" s="2" t="str">
        <f>IFERROR(__xludf.DUMMYFUNCTION("""COMPUTED_VALUE"""),"Ķengarags")</f>
        <v>Ķengarags</v>
      </c>
      <c r="C1793" s="2" t="str">
        <f>IFERROR(__xludf.DUMMYFUNCTION("""COMPUTED_VALUE"""),"Maskavas 291 k-4")</f>
        <v>Maskavas 291 k-4</v>
      </c>
      <c r="D1793" s="2">
        <f>IFERROR(__xludf.DUMMYFUNCTION("""COMPUTED_VALUE"""),4.0)</f>
        <v>4</v>
      </c>
      <c r="E1793" s="2">
        <f>IFERROR(__xludf.DUMMYFUNCTION("""COMPUTED_VALUE"""),60.0)</f>
        <v>60</v>
      </c>
      <c r="F1793" s="2">
        <f>IFERROR(__xludf.DUMMYFUNCTION("""COMPUTED_VALUE"""),5.0)</f>
        <v>5</v>
      </c>
      <c r="G1793" s="2">
        <f>IFERROR(__xludf.DUMMYFUNCTION("""COMPUTED_VALUE"""),5.0)</f>
        <v>5</v>
      </c>
      <c r="H1793" s="2" t="str">
        <f>IFERROR(__xludf.DUMMYFUNCTION("""COMPUTED_VALUE"""),"LT proj.")</f>
        <v>LT proj.</v>
      </c>
      <c r="I1793" s="2" t="str">
        <f>IFERROR(__xludf.DUMMYFUNCTION("""COMPUTED_VALUE"""),"Panel")</f>
        <v>Panel</v>
      </c>
      <c r="J1793" s="2" t="str">
        <f>IFERROR(__xludf.DUMMYFUNCTION("""COMPUTED_VALUE"""),"All amenities")</f>
        <v>All amenities</v>
      </c>
      <c r="K1793" s="2">
        <f>IFERROR(__xludf.DUMMYFUNCTION("""COMPUTED_VALUE"""),58500.0)</f>
        <v>58500</v>
      </c>
      <c r="L1793" s="2">
        <f>IFERROR(__xludf.DUMMYFUNCTION("""COMPUTED_VALUE"""),56.94470995)</f>
        <v>56.94470995</v>
      </c>
      <c r="M1793" s="2">
        <f>IFERROR(__xludf.DUMMYFUNCTION("""COMPUTED_VALUE"""),24.1131079129391)</f>
        <v>24.11310791</v>
      </c>
    </row>
    <row r="1794">
      <c r="A1794" s="2" t="str">
        <f>IFERROR(__xludf.DUMMYFUNCTION("""COMPUTED_VALUE"""),"For sale")</f>
        <v>For sale</v>
      </c>
      <c r="B1794" s="2" t="str">
        <f>IFERROR(__xludf.DUMMYFUNCTION("""COMPUTED_VALUE"""),"Sarkandaugava")</f>
        <v>Sarkandaugava</v>
      </c>
      <c r="C1794" s="2" t="str">
        <f>IFERROR(__xludf.DUMMYFUNCTION("""COMPUTED_VALUE"""),"Priežu 14a")</f>
        <v>Priežu 14a</v>
      </c>
      <c r="D1794" s="2">
        <f>IFERROR(__xludf.DUMMYFUNCTION("""COMPUTED_VALUE"""),4.0)</f>
        <v>4</v>
      </c>
      <c r="E1794" s="2">
        <f>IFERROR(__xludf.DUMMYFUNCTION("""COMPUTED_VALUE"""),69.0)</f>
        <v>69</v>
      </c>
      <c r="F1794" s="2">
        <f>IFERROR(__xludf.DUMMYFUNCTION("""COMPUTED_VALUE"""),2.0)</f>
        <v>2</v>
      </c>
      <c r="G1794" s="2">
        <f>IFERROR(__xludf.DUMMYFUNCTION("""COMPUTED_VALUE"""),3.0)</f>
        <v>3</v>
      </c>
      <c r="H1794" s="2" t="str">
        <f>IFERROR(__xludf.DUMMYFUNCTION("""COMPUTED_VALUE"""),"P. kara")</f>
        <v>P. kara</v>
      </c>
      <c r="I1794" s="2" t="str">
        <f>IFERROR(__xludf.DUMMYFUNCTION("""COMPUTED_VALUE"""),"Masonry")</f>
        <v>Masonry</v>
      </c>
      <c r="J1794" s="2" t="str">
        <f>IFERROR(__xludf.DUMMYFUNCTION("""COMPUTED_VALUE"""),"Partial amenities")</f>
        <v>Partial amenities</v>
      </c>
      <c r="K1794" s="2">
        <f>IFERROR(__xludf.DUMMYFUNCTION("""COMPUTED_VALUE"""),33500.0)</f>
        <v>33500</v>
      </c>
      <c r="L1794" s="2">
        <f>IFERROR(__xludf.DUMMYFUNCTION("""COMPUTED_VALUE"""),56.9931197)</f>
        <v>56.9931197</v>
      </c>
      <c r="M1794" s="2">
        <f>IFERROR(__xludf.DUMMYFUNCTION("""COMPUTED_VALUE"""),24.1279467)</f>
        <v>24.1279467</v>
      </c>
    </row>
    <row r="1795">
      <c r="A1795" s="2" t="str">
        <f>IFERROR(__xludf.DUMMYFUNCTION("""COMPUTED_VALUE"""),"For sale")</f>
        <v>For sale</v>
      </c>
      <c r="B1795" s="2" t="str">
        <f>IFERROR(__xludf.DUMMYFUNCTION("""COMPUTED_VALUE"""),"Teika")</f>
        <v>Teika</v>
      </c>
      <c r="C1795" s="2" t="str">
        <f>IFERROR(__xludf.DUMMYFUNCTION("""COMPUTED_VALUE"""),"Ropažu 14")</f>
        <v>Ropažu 14</v>
      </c>
      <c r="D1795" s="2">
        <f>IFERROR(__xludf.DUMMYFUNCTION("""COMPUTED_VALUE"""),4.0)</f>
        <v>4</v>
      </c>
      <c r="E1795" s="2">
        <f>IFERROR(__xludf.DUMMYFUNCTION("""COMPUTED_VALUE"""),93.0)</f>
        <v>93</v>
      </c>
      <c r="F1795" s="2">
        <f>IFERROR(__xludf.DUMMYFUNCTION("""COMPUTED_VALUE"""),2.0)</f>
        <v>2</v>
      </c>
      <c r="G1795" s="2">
        <f>IFERROR(__xludf.DUMMYFUNCTION("""COMPUTED_VALUE"""),10.0)</f>
        <v>10</v>
      </c>
      <c r="H1795" s="2" t="str">
        <f>IFERROR(__xludf.DUMMYFUNCTION("""COMPUTED_VALUE"""),"Jaun.")</f>
        <v>Jaun.</v>
      </c>
      <c r="I1795" s="2" t="str">
        <f>IFERROR(__xludf.DUMMYFUNCTION("""COMPUTED_VALUE"""),"Masonry")</f>
        <v>Masonry</v>
      </c>
      <c r="J1795" s="2" t="str">
        <f>IFERROR(__xludf.DUMMYFUNCTION("""COMPUTED_VALUE"""),"All amenities")</f>
        <v>All amenities</v>
      </c>
      <c r="K1795" s="2">
        <f>IFERROR(__xludf.DUMMYFUNCTION("""COMPUTED_VALUE"""),140000.0)</f>
        <v>140000</v>
      </c>
      <c r="L1795" s="2">
        <f>IFERROR(__xludf.DUMMYFUNCTION("""COMPUTED_VALUE"""),56.9767303)</f>
        <v>56.9767303</v>
      </c>
      <c r="M1795" s="2">
        <f>IFERROR(__xludf.DUMMYFUNCTION("""COMPUTED_VALUE"""),24.1676579996058)</f>
        <v>24.167658</v>
      </c>
    </row>
    <row r="1796">
      <c r="A1796" s="2" t="str">
        <f>IFERROR(__xludf.DUMMYFUNCTION("""COMPUTED_VALUE"""),"For rent")</f>
        <v>For rent</v>
      </c>
      <c r="B1796" s="2" t="str">
        <f>IFERROR(__xludf.DUMMYFUNCTION("""COMPUTED_VALUE"""),"Imanta")</f>
        <v>Imanta</v>
      </c>
      <c r="C1796" s="2" t="str">
        <f>IFERROR(__xludf.DUMMYFUNCTION("""COMPUTED_VALUE"""),"Rigondas g. 7")</f>
        <v>Rigondas g. 7</v>
      </c>
      <c r="D1796" s="2">
        <f>IFERROR(__xludf.DUMMYFUNCTION("""COMPUTED_VALUE"""),1.0)</f>
        <v>1</v>
      </c>
      <c r="E1796" s="2">
        <f>IFERROR(__xludf.DUMMYFUNCTION("""COMPUTED_VALUE"""),36.0)</f>
        <v>36</v>
      </c>
      <c r="F1796" s="2">
        <f>IFERROR(__xludf.DUMMYFUNCTION("""COMPUTED_VALUE"""),12.0)</f>
        <v>12</v>
      </c>
      <c r="G1796" s="2">
        <f>IFERROR(__xludf.DUMMYFUNCTION("""COMPUTED_VALUE"""),12.0)</f>
        <v>12</v>
      </c>
      <c r="H1796" s="2" t="str">
        <f>IFERROR(__xludf.DUMMYFUNCTION("""COMPUTED_VALUE"""),"Specpr.")</f>
        <v>Specpr.</v>
      </c>
      <c r="I1796" s="2" t="str">
        <f>IFERROR(__xludf.DUMMYFUNCTION("""COMPUTED_VALUE"""),"Masonry")</f>
        <v>Masonry</v>
      </c>
      <c r="J1796" s="2" t="str">
        <f>IFERROR(__xludf.DUMMYFUNCTION("""COMPUTED_VALUE"""),"All amenities")</f>
        <v>All amenities</v>
      </c>
      <c r="K1796" s="2">
        <f>IFERROR(__xludf.DUMMYFUNCTION("""COMPUTED_VALUE"""),300.0)</f>
        <v>300</v>
      </c>
      <c r="L1796" s="2">
        <f>IFERROR(__xludf.DUMMYFUNCTION("""COMPUTED_VALUE"""),56.9648157)</f>
        <v>56.9648157</v>
      </c>
      <c r="M1796" s="2">
        <f>IFERROR(__xludf.DUMMYFUNCTION("""COMPUTED_VALUE"""),24.0190534)</f>
        <v>24.0190534</v>
      </c>
    </row>
    <row r="1797">
      <c r="A1797" s="2" t="str">
        <f>IFERROR(__xludf.DUMMYFUNCTION("""COMPUTED_VALUE"""),"For rent")</f>
        <v>For rent</v>
      </c>
      <c r="B1797" s="2" t="str">
        <f>IFERROR(__xludf.DUMMYFUNCTION("""COMPUTED_VALUE"""),"Purvciems")</f>
        <v>Purvciems</v>
      </c>
      <c r="C1797" s="2" t="str">
        <f>IFERROR(__xludf.DUMMYFUNCTION("""COMPUTED_VALUE"""),"Nīcgales 4")</f>
        <v>Nīcgales 4</v>
      </c>
      <c r="D1797" s="2">
        <f>IFERROR(__xludf.DUMMYFUNCTION("""COMPUTED_VALUE"""),2.0)</f>
        <v>2</v>
      </c>
      <c r="E1797" s="2">
        <f>IFERROR(__xludf.DUMMYFUNCTION("""COMPUTED_VALUE"""),50.0)</f>
        <v>50</v>
      </c>
      <c r="F1797" s="2">
        <f>IFERROR(__xludf.DUMMYFUNCTION("""COMPUTED_VALUE"""),8.0)</f>
        <v>8</v>
      </c>
      <c r="G1797" s="2">
        <f>IFERROR(__xludf.DUMMYFUNCTION("""COMPUTED_VALUE"""),9.0)</f>
        <v>9</v>
      </c>
      <c r="H1797" s="2">
        <f>IFERROR(__xludf.DUMMYFUNCTION("""COMPUTED_VALUE"""),602.0)</f>
        <v>602</v>
      </c>
      <c r="I1797" s="2" t="str">
        <f>IFERROR(__xludf.DUMMYFUNCTION("""COMPUTED_VALUE"""),"Panel")</f>
        <v>Panel</v>
      </c>
      <c r="J1797" s="2" t="str">
        <f>IFERROR(__xludf.DUMMYFUNCTION("""COMPUTED_VALUE"""),"All amenities")</f>
        <v>All amenities</v>
      </c>
      <c r="K1797" s="2">
        <f>IFERROR(__xludf.DUMMYFUNCTION("""COMPUTED_VALUE"""),15.0)</f>
        <v>15</v>
      </c>
      <c r="L1797" s="2">
        <f>IFERROR(__xludf.DUMMYFUNCTION("""COMPUTED_VALUE"""),56.95855255)</f>
        <v>56.95855255</v>
      </c>
      <c r="M1797" s="2">
        <f>IFERROR(__xludf.DUMMYFUNCTION("""COMPUTED_VALUE"""),24.1753163275791)</f>
        <v>24.17531633</v>
      </c>
    </row>
    <row r="1798">
      <c r="A1798" s="2" t="str">
        <f>IFERROR(__xludf.DUMMYFUNCTION("""COMPUTED_VALUE"""),"For sale")</f>
        <v>For sale</v>
      </c>
      <c r="B1798" s="2" t="str">
        <f>IFERROR(__xludf.DUMMYFUNCTION("""COMPUTED_VALUE"""),"Ķīpsala")</f>
        <v>Ķīpsala</v>
      </c>
      <c r="C1798" s="2" t="str">
        <f>IFERROR(__xludf.DUMMYFUNCTION("""COMPUTED_VALUE"""),"Balasta d. 70")</f>
        <v>Balasta d. 70</v>
      </c>
      <c r="D1798" s="2">
        <f>IFERROR(__xludf.DUMMYFUNCTION("""COMPUTED_VALUE"""),4.0)</f>
        <v>4</v>
      </c>
      <c r="E1798" s="2">
        <f>IFERROR(__xludf.DUMMYFUNCTION("""COMPUTED_VALUE"""),120.0)</f>
        <v>120</v>
      </c>
      <c r="F1798" s="2">
        <f>IFERROR(__xludf.DUMMYFUNCTION("""COMPUTED_VALUE"""),1.0)</f>
        <v>1</v>
      </c>
      <c r="G1798" s="2">
        <f>IFERROR(__xludf.DUMMYFUNCTION("""COMPUTED_VALUE"""),1.0)</f>
        <v>1</v>
      </c>
      <c r="H1798" s="2" t="str">
        <f>IFERROR(__xludf.DUMMYFUNCTION("""COMPUTED_VALUE"""),"Specpr.")</f>
        <v>Specpr.</v>
      </c>
      <c r="I1798" s="2" t="str">
        <f>IFERROR(__xludf.DUMMYFUNCTION("""COMPUTED_VALUE"""),"Masonry")</f>
        <v>Masonry</v>
      </c>
      <c r="J1798" s="2" t="str">
        <f>IFERROR(__xludf.DUMMYFUNCTION("""COMPUTED_VALUE"""),"All amenities")</f>
        <v>All amenities</v>
      </c>
      <c r="K1798" s="2">
        <f>IFERROR(__xludf.DUMMYFUNCTION("""COMPUTED_VALUE"""),350000.0)</f>
        <v>350000</v>
      </c>
      <c r="L1798" s="2">
        <f>IFERROR(__xludf.DUMMYFUNCTION("""COMPUTED_VALUE"""),56.9489344)</f>
        <v>56.9489344</v>
      </c>
      <c r="M1798" s="2">
        <f>IFERROR(__xludf.DUMMYFUNCTION("""COMPUTED_VALUE"""),24.0882804)</f>
        <v>24.0882804</v>
      </c>
    </row>
    <row r="1799">
      <c r="A1799" s="2" t="str">
        <f>IFERROR(__xludf.DUMMYFUNCTION("""COMPUTED_VALUE"""),"For sale")</f>
        <v>For sale</v>
      </c>
      <c r="B1799" s="2" t="str">
        <f>IFERROR(__xludf.DUMMYFUNCTION("""COMPUTED_VALUE"""),"centrs")</f>
        <v>centrs</v>
      </c>
      <c r="C1799" s="2" t="str">
        <f>IFERROR(__xludf.DUMMYFUNCTION("""COMPUTED_VALUE"""),"Duntes 24a")</f>
        <v>Duntes 24a</v>
      </c>
      <c r="D1799" s="2">
        <f>IFERROR(__xludf.DUMMYFUNCTION("""COMPUTED_VALUE"""),1.0)</f>
        <v>1</v>
      </c>
      <c r="E1799" s="2">
        <f>IFERROR(__xludf.DUMMYFUNCTION("""COMPUTED_VALUE"""),21.0)</f>
        <v>21</v>
      </c>
      <c r="F1799" s="2">
        <f>IFERROR(__xludf.DUMMYFUNCTION("""COMPUTED_VALUE"""),2.0)</f>
        <v>2</v>
      </c>
      <c r="G1799" s="2">
        <f>IFERROR(__xludf.DUMMYFUNCTION("""COMPUTED_VALUE"""),2.0)</f>
        <v>2</v>
      </c>
      <c r="H1799" s="2" t="str">
        <f>IFERROR(__xludf.DUMMYFUNCTION("""COMPUTED_VALUE"""),"P. kara")</f>
        <v>P. kara</v>
      </c>
      <c r="I1799" s="2" t="str">
        <f>IFERROR(__xludf.DUMMYFUNCTION("""COMPUTED_VALUE"""),"Brick")</f>
        <v>Brick</v>
      </c>
      <c r="J1799" s="2" t="str">
        <f>IFERROR(__xludf.DUMMYFUNCTION("""COMPUTED_VALUE"""),"Partial amenities")</f>
        <v>Partial amenities</v>
      </c>
      <c r="K1799" s="2">
        <f>IFERROR(__xludf.DUMMYFUNCTION("""COMPUTED_VALUE"""),6900.0)</f>
        <v>6900</v>
      </c>
      <c r="L1799" s="2">
        <f>IFERROR(__xludf.DUMMYFUNCTION("""COMPUTED_VALUE"""),56.976516)</f>
        <v>56.976516</v>
      </c>
      <c r="M1799" s="2">
        <f>IFERROR(__xludf.DUMMYFUNCTION("""COMPUTED_VALUE"""),24.1354853)</f>
        <v>24.1354853</v>
      </c>
    </row>
    <row r="1800">
      <c r="A1800" s="2" t="str">
        <f>IFERROR(__xludf.DUMMYFUNCTION("""COMPUTED_VALUE"""),"For sale")</f>
        <v>For sale</v>
      </c>
      <c r="B1800" s="2" t="str">
        <f>IFERROR(__xludf.DUMMYFUNCTION("""COMPUTED_VALUE"""),"centrs")</f>
        <v>centrs</v>
      </c>
      <c r="C1800" s="2" t="str">
        <f>IFERROR(__xludf.DUMMYFUNCTION("""COMPUTED_VALUE"""),"Skanstes 29")</f>
        <v>Skanstes 29</v>
      </c>
      <c r="D1800" s="2">
        <f>IFERROR(__xludf.DUMMYFUNCTION("""COMPUTED_VALUE"""),3.0)</f>
        <v>3</v>
      </c>
      <c r="E1800" s="2">
        <f>IFERROR(__xludf.DUMMYFUNCTION("""COMPUTED_VALUE"""),87.0)</f>
        <v>87</v>
      </c>
      <c r="F1800" s="2">
        <f>IFERROR(__xludf.DUMMYFUNCTION("""COMPUTED_VALUE"""),16.0)</f>
        <v>16</v>
      </c>
      <c r="G1800" s="2">
        <f>IFERROR(__xludf.DUMMYFUNCTION("""COMPUTED_VALUE"""),24.0)</f>
        <v>24</v>
      </c>
      <c r="H1800" s="2" t="str">
        <f>IFERROR(__xludf.DUMMYFUNCTION("""COMPUTED_VALUE"""),"Jaun.")</f>
        <v>Jaun.</v>
      </c>
      <c r="I1800" s="2" t="str">
        <f>IFERROR(__xludf.DUMMYFUNCTION("""COMPUTED_VALUE"""),"Panel")</f>
        <v>Panel</v>
      </c>
      <c r="J1800" s="2" t="str">
        <f>IFERROR(__xludf.DUMMYFUNCTION("""COMPUTED_VALUE"""),"All amenities")</f>
        <v>All amenities</v>
      </c>
      <c r="K1800" s="2">
        <f>IFERROR(__xludf.DUMMYFUNCTION("""COMPUTED_VALUE"""),178500.0)</f>
        <v>178500</v>
      </c>
      <c r="L1800" s="2">
        <f>IFERROR(__xludf.DUMMYFUNCTION("""COMPUTED_VALUE"""),56.9726415)</f>
        <v>56.9726415</v>
      </c>
      <c r="M1800" s="2">
        <f>IFERROR(__xludf.DUMMYFUNCTION("""COMPUTED_VALUE"""),24.1250304839285)</f>
        <v>24.12503048</v>
      </c>
    </row>
    <row r="1801">
      <c r="A1801" s="2" t="str">
        <f>IFERROR(__xludf.DUMMYFUNCTION("""COMPUTED_VALUE"""),"For rent")</f>
        <v>For rent</v>
      </c>
      <c r="B1801" s="2" t="str">
        <f>IFERROR(__xludf.DUMMYFUNCTION("""COMPUTED_VALUE"""),"Pļavnieki")</f>
        <v>Pļavnieki</v>
      </c>
      <c r="C1801" s="2" t="str">
        <f>IFERROR(__xludf.DUMMYFUNCTION("""COMPUTED_VALUE"""),"Pļavnieku 9")</f>
        <v>Pļavnieku 9</v>
      </c>
      <c r="D1801" s="2">
        <f>IFERROR(__xludf.DUMMYFUNCTION("""COMPUTED_VALUE"""),2.0)</f>
        <v>2</v>
      </c>
      <c r="E1801" s="2">
        <f>IFERROR(__xludf.DUMMYFUNCTION("""COMPUTED_VALUE"""),54.0)</f>
        <v>54</v>
      </c>
      <c r="F1801" s="2">
        <f>IFERROR(__xludf.DUMMYFUNCTION("""COMPUTED_VALUE"""),7.0)</f>
        <v>7</v>
      </c>
      <c r="G1801" s="2">
        <f>IFERROR(__xludf.DUMMYFUNCTION("""COMPUTED_VALUE"""),9.0)</f>
        <v>9</v>
      </c>
      <c r="H1801" s="2" t="str">
        <f>IFERROR(__xludf.DUMMYFUNCTION("""COMPUTED_VALUE"""),"Jaun.")</f>
        <v>Jaun.</v>
      </c>
      <c r="I1801" s="2" t="str">
        <f>IFERROR(__xludf.DUMMYFUNCTION("""COMPUTED_VALUE"""),"Masonry")</f>
        <v>Masonry</v>
      </c>
      <c r="J1801" s="2" t="str">
        <f>IFERROR(__xludf.DUMMYFUNCTION("""COMPUTED_VALUE"""),"All amenities")</f>
        <v>All amenities</v>
      </c>
      <c r="K1801" s="2">
        <f>IFERROR(__xludf.DUMMYFUNCTION("""COMPUTED_VALUE"""),420.0)</f>
        <v>420</v>
      </c>
      <c r="L1801" s="2">
        <f>IFERROR(__xludf.DUMMYFUNCTION("""COMPUTED_VALUE"""),56.94203495)</f>
        <v>56.94203495</v>
      </c>
      <c r="M1801" s="2">
        <f>IFERROR(__xludf.DUMMYFUNCTION("""COMPUTED_VALUE"""),24.2127513651119)</f>
        <v>24.21275137</v>
      </c>
    </row>
    <row r="1802">
      <c r="A1802" s="2" t="str">
        <f>IFERROR(__xludf.DUMMYFUNCTION("""COMPUTED_VALUE"""),"For sale")</f>
        <v>For sale</v>
      </c>
      <c r="B1802" s="2" t="str">
        <f>IFERROR(__xludf.DUMMYFUNCTION("""COMPUTED_VALUE"""),"centrs")</f>
        <v>centrs</v>
      </c>
      <c r="C1802" s="2" t="str">
        <f>IFERROR(__xludf.DUMMYFUNCTION("""COMPUTED_VALUE"""),"Skolas 20")</f>
        <v>Skolas 20</v>
      </c>
      <c r="D1802" s="2">
        <f>IFERROR(__xludf.DUMMYFUNCTION("""COMPUTED_VALUE"""),3.0)</f>
        <v>3</v>
      </c>
      <c r="E1802" s="2">
        <f>IFERROR(__xludf.DUMMYFUNCTION("""COMPUTED_VALUE"""),112.0)</f>
        <v>112</v>
      </c>
      <c r="F1802" s="2">
        <f>IFERROR(__xludf.DUMMYFUNCTION("""COMPUTED_VALUE"""),2.0)</f>
        <v>2</v>
      </c>
      <c r="G1802" s="2">
        <f>IFERROR(__xludf.DUMMYFUNCTION("""COMPUTED_VALUE"""),6.0)</f>
        <v>6</v>
      </c>
      <c r="H1802" s="2" t="str">
        <f>IFERROR(__xludf.DUMMYFUNCTION("""COMPUTED_VALUE"""),"Jaun.")</f>
        <v>Jaun.</v>
      </c>
      <c r="I1802" s="2" t="str">
        <f>IFERROR(__xludf.DUMMYFUNCTION("""COMPUTED_VALUE"""),"Masonry")</f>
        <v>Masonry</v>
      </c>
      <c r="J1802" s="2" t="str">
        <f>IFERROR(__xludf.DUMMYFUNCTION("""COMPUTED_VALUE"""),"All amenities")</f>
        <v>All amenities</v>
      </c>
      <c r="K1802" s="2">
        <f>IFERROR(__xludf.DUMMYFUNCTION("""COMPUTED_VALUE"""),320000.0)</f>
        <v>320000</v>
      </c>
      <c r="L1802" s="2">
        <f>IFERROR(__xludf.DUMMYFUNCTION("""COMPUTED_VALUE"""),48.2969502)</f>
        <v>48.2969502</v>
      </c>
      <c r="M1802" s="2">
        <f>IFERROR(__xludf.DUMMYFUNCTION("""COMPUTED_VALUE"""),-100.7081938)</f>
        <v>-100.7081938</v>
      </c>
    </row>
    <row r="1803">
      <c r="A1803" s="2" t="str">
        <f>IFERROR(__xludf.DUMMYFUNCTION("""COMPUTED_VALUE"""),"For sale")</f>
        <v>For sale</v>
      </c>
      <c r="B1803" s="2" t="str">
        <f>IFERROR(__xludf.DUMMYFUNCTION("""COMPUTED_VALUE"""),"Dzegužkalns")</f>
        <v>Dzegužkalns</v>
      </c>
      <c r="C1803" s="2" t="str">
        <f>IFERROR(__xludf.DUMMYFUNCTION("""COMPUTED_VALUE"""),"Dzirciema 27")</f>
        <v>Dzirciema 27</v>
      </c>
      <c r="D1803" s="2">
        <f>IFERROR(__xludf.DUMMYFUNCTION("""COMPUTED_VALUE"""),1.0)</f>
        <v>1</v>
      </c>
      <c r="E1803" s="2">
        <f>IFERROR(__xludf.DUMMYFUNCTION("""COMPUTED_VALUE"""),33.0)</f>
        <v>33</v>
      </c>
      <c r="F1803" s="2">
        <f>IFERROR(__xludf.DUMMYFUNCTION("""COMPUTED_VALUE"""),9.0)</f>
        <v>9</v>
      </c>
      <c r="G1803" s="2">
        <f>IFERROR(__xludf.DUMMYFUNCTION("""COMPUTED_VALUE"""),12.0)</f>
        <v>12</v>
      </c>
      <c r="H1803" s="2" t="str">
        <f>IFERROR(__xludf.DUMMYFUNCTION("""COMPUTED_VALUE"""),"Čehu pr.")</f>
        <v>Čehu pr.</v>
      </c>
      <c r="I1803" s="2" t="str">
        <f>IFERROR(__xludf.DUMMYFUNCTION("""COMPUTED_VALUE"""),"Brick-Panel")</f>
        <v>Brick-Panel</v>
      </c>
      <c r="J1803" s="2" t="str">
        <f>IFERROR(__xludf.DUMMYFUNCTION("""COMPUTED_VALUE"""),"All amenities")</f>
        <v>All amenities</v>
      </c>
      <c r="K1803" s="2">
        <f>IFERROR(__xludf.DUMMYFUNCTION("""COMPUTED_VALUE"""),40000.0)</f>
        <v>40000</v>
      </c>
      <c r="L1803" s="2">
        <f>IFERROR(__xludf.DUMMYFUNCTION("""COMPUTED_VALUE"""),56.95488155)</f>
        <v>56.95488155</v>
      </c>
      <c r="M1803" s="2">
        <f>IFERROR(__xludf.DUMMYFUNCTION("""COMPUTED_VALUE"""),24.0518049231091)</f>
        <v>24.05180492</v>
      </c>
    </row>
    <row r="1804">
      <c r="A1804" s="2" t="str">
        <f>IFERROR(__xludf.DUMMYFUNCTION("""COMPUTED_VALUE"""),"For sale")</f>
        <v>For sale</v>
      </c>
      <c r="B1804" s="2" t="str">
        <f>IFERROR(__xludf.DUMMYFUNCTION("""COMPUTED_VALUE"""),"centrs")</f>
        <v>centrs</v>
      </c>
      <c r="C1804" s="2" t="str">
        <f>IFERROR(__xludf.DUMMYFUNCTION("""COMPUTED_VALUE"""),"Lienes 9")</f>
        <v>Lienes 9</v>
      </c>
      <c r="D1804" s="2">
        <f>IFERROR(__xludf.DUMMYFUNCTION("""COMPUTED_VALUE"""),1.0)</f>
        <v>1</v>
      </c>
      <c r="E1804" s="2">
        <f>IFERROR(__xludf.DUMMYFUNCTION("""COMPUTED_VALUE"""),35.0)</f>
        <v>35</v>
      </c>
      <c r="F1804" s="2">
        <f>IFERROR(__xludf.DUMMYFUNCTION("""COMPUTED_VALUE"""),3.0)</f>
        <v>3</v>
      </c>
      <c r="G1804" s="2">
        <f>IFERROR(__xludf.DUMMYFUNCTION("""COMPUTED_VALUE"""),5.0)</f>
        <v>5</v>
      </c>
      <c r="H1804" s="2" t="str">
        <f>IFERROR(__xludf.DUMMYFUNCTION("""COMPUTED_VALUE"""),"P. kara")</f>
        <v>P. kara</v>
      </c>
      <c r="I1804" s="2" t="str">
        <f>IFERROR(__xludf.DUMMYFUNCTION("""COMPUTED_VALUE"""),"Brick")</f>
        <v>Brick</v>
      </c>
      <c r="J1804" s="2" t="str">
        <f>IFERROR(__xludf.DUMMYFUNCTION("""COMPUTED_VALUE"""),"Partial amenities")</f>
        <v>Partial amenities</v>
      </c>
      <c r="K1804" s="2">
        <f>IFERROR(__xludf.DUMMYFUNCTION("""COMPUTED_VALUE"""),33000.0)</f>
        <v>33000</v>
      </c>
      <c r="L1804" s="2">
        <f>IFERROR(__xludf.DUMMYFUNCTION("""COMPUTED_VALUE"""),56.9537372)</f>
        <v>56.9537372</v>
      </c>
      <c r="M1804" s="2">
        <f>IFERROR(__xludf.DUMMYFUNCTION("""COMPUTED_VALUE"""),24.1465944)</f>
        <v>24.1465944</v>
      </c>
    </row>
    <row r="1805">
      <c r="A1805" s="2" t="str">
        <f>IFERROR(__xludf.DUMMYFUNCTION("""COMPUTED_VALUE"""),"For sale")</f>
        <v>For sale</v>
      </c>
      <c r="B1805" s="2" t="str">
        <f>IFERROR(__xludf.DUMMYFUNCTION("""COMPUTED_VALUE"""),"Ziepniekkalns")</f>
        <v>Ziepniekkalns</v>
      </c>
      <c r="C1805" s="2" t="str">
        <f>IFERROR(__xludf.DUMMYFUNCTION("""COMPUTED_VALUE"""),"Ziepju 5/1")</f>
        <v>Ziepju 5/1</v>
      </c>
      <c r="D1805" s="2">
        <f>IFERROR(__xludf.DUMMYFUNCTION("""COMPUTED_VALUE"""),2.0)</f>
        <v>2</v>
      </c>
      <c r="E1805" s="2">
        <f>IFERROR(__xludf.DUMMYFUNCTION("""COMPUTED_VALUE"""),40.0)</f>
        <v>40</v>
      </c>
      <c r="F1805" s="2">
        <f>IFERROR(__xludf.DUMMYFUNCTION("""COMPUTED_VALUE"""),2.0)</f>
        <v>2</v>
      </c>
      <c r="G1805" s="2">
        <f>IFERROR(__xludf.DUMMYFUNCTION("""COMPUTED_VALUE"""),4.0)</f>
        <v>4</v>
      </c>
      <c r="H1805" s="2" t="str">
        <f>IFERROR(__xludf.DUMMYFUNCTION("""COMPUTED_VALUE"""),"Hrušč.")</f>
        <v>Hrušč.</v>
      </c>
      <c r="I1805" s="2" t="str">
        <f>IFERROR(__xludf.DUMMYFUNCTION("""COMPUTED_VALUE"""),"Brick")</f>
        <v>Brick</v>
      </c>
      <c r="J1805" s="2" t="str">
        <f>IFERROR(__xludf.DUMMYFUNCTION("""COMPUTED_VALUE"""),"All amenities")</f>
        <v>All amenities</v>
      </c>
      <c r="K1805" s="2">
        <f>IFERROR(__xludf.DUMMYFUNCTION("""COMPUTED_VALUE"""),43000.0)</f>
        <v>43000</v>
      </c>
      <c r="L1805" s="2">
        <f>IFERROR(__xludf.DUMMYFUNCTION("""COMPUTED_VALUE"""),56.914299)</f>
        <v>56.914299</v>
      </c>
      <c r="M1805" s="2">
        <f>IFERROR(__xludf.DUMMYFUNCTION("""COMPUTED_VALUE"""),24.1112378)</f>
        <v>24.1112378</v>
      </c>
    </row>
    <row r="1806">
      <c r="A1806" s="2" t="str">
        <f>IFERROR(__xludf.DUMMYFUNCTION("""COMPUTED_VALUE"""),"For sale")</f>
        <v>For sale</v>
      </c>
      <c r="B1806" s="2" t="str">
        <f>IFERROR(__xludf.DUMMYFUNCTION("""COMPUTED_VALUE"""),"centrs")</f>
        <v>centrs</v>
      </c>
      <c r="C1806" s="2" t="str">
        <f>IFERROR(__xludf.DUMMYFUNCTION("""COMPUTED_VALUE"""),"Baznīcas 13")</f>
        <v>Baznīcas 13</v>
      </c>
      <c r="D1806" s="2">
        <f>IFERROR(__xludf.DUMMYFUNCTION("""COMPUTED_VALUE"""),3.0)</f>
        <v>3</v>
      </c>
      <c r="E1806" s="2">
        <f>IFERROR(__xludf.DUMMYFUNCTION("""COMPUTED_VALUE"""),126.0)</f>
        <v>126</v>
      </c>
      <c r="F1806" s="2">
        <f>IFERROR(__xludf.DUMMYFUNCTION("""COMPUTED_VALUE"""),5.0)</f>
        <v>5</v>
      </c>
      <c r="G1806" s="2">
        <f>IFERROR(__xludf.DUMMYFUNCTION("""COMPUTED_VALUE"""),6.0)</f>
        <v>6</v>
      </c>
      <c r="H1806" s="2" t="str">
        <f>IFERROR(__xludf.DUMMYFUNCTION("""COMPUTED_VALUE"""),"P. kara")</f>
        <v>P. kara</v>
      </c>
      <c r="I1806" s="2" t="str">
        <f>IFERROR(__xludf.DUMMYFUNCTION("""COMPUTED_VALUE"""),"Masonry")</f>
        <v>Masonry</v>
      </c>
      <c r="J1806" s="2" t="str">
        <f>IFERROR(__xludf.DUMMYFUNCTION("""COMPUTED_VALUE"""),"All amenities")</f>
        <v>All amenities</v>
      </c>
      <c r="K1806" s="2">
        <f>IFERROR(__xludf.DUMMYFUNCTION("""COMPUTED_VALUE"""),290000.0)</f>
        <v>290000</v>
      </c>
      <c r="L1806" s="2">
        <f>IFERROR(__xludf.DUMMYFUNCTION("""COMPUTED_VALUE"""),56.9563689)</f>
        <v>56.9563689</v>
      </c>
      <c r="M1806" s="2">
        <f>IFERROR(__xludf.DUMMYFUNCTION("""COMPUTED_VALUE"""),24.1185508)</f>
        <v>24.1185508</v>
      </c>
    </row>
    <row r="1807">
      <c r="A1807" s="2" t="str">
        <f>IFERROR(__xludf.DUMMYFUNCTION("""COMPUTED_VALUE"""),"For sale")</f>
        <v>For sale</v>
      </c>
      <c r="B1807" s="2" t="str">
        <f>IFERROR(__xludf.DUMMYFUNCTION("""COMPUTED_VALUE"""),"centrs")</f>
        <v>centrs</v>
      </c>
      <c r="C1807" s="2" t="str">
        <f>IFERROR(__xludf.DUMMYFUNCTION("""COMPUTED_VALUE"""),"Bruņinieku 28")</f>
        <v>Bruņinieku 28</v>
      </c>
      <c r="D1807" s="2">
        <f>IFERROR(__xludf.DUMMYFUNCTION("""COMPUTED_VALUE"""),3.0)</f>
        <v>3</v>
      </c>
      <c r="E1807" s="2">
        <f>IFERROR(__xludf.DUMMYFUNCTION("""COMPUTED_VALUE"""),110.0)</f>
        <v>110</v>
      </c>
      <c r="F1807" s="2">
        <f>IFERROR(__xludf.DUMMYFUNCTION("""COMPUTED_VALUE"""),6.0)</f>
        <v>6</v>
      </c>
      <c r="G1807" s="2">
        <f>IFERROR(__xludf.DUMMYFUNCTION("""COMPUTED_VALUE"""),6.0)</f>
        <v>6</v>
      </c>
      <c r="H1807" s="2" t="str">
        <f>IFERROR(__xludf.DUMMYFUNCTION("""COMPUTED_VALUE"""),"P. kara")</f>
        <v>P. kara</v>
      </c>
      <c r="I1807" s="2" t="str">
        <f>IFERROR(__xludf.DUMMYFUNCTION("""COMPUTED_VALUE"""),"Masonry")</f>
        <v>Masonry</v>
      </c>
      <c r="J1807" s="2" t="str">
        <f>IFERROR(__xludf.DUMMYFUNCTION("""COMPUTED_VALUE"""),"All amenities")</f>
        <v>All amenities</v>
      </c>
      <c r="K1807" s="2">
        <f>IFERROR(__xludf.DUMMYFUNCTION("""COMPUTED_VALUE"""),240000.0)</f>
        <v>240000</v>
      </c>
      <c r="L1807" s="2">
        <f>IFERROR(__xludf.DUMMYFUNCTION("""COMPUTED_VALUE"""),56.95567115)</f>
        <v>56.95567115</v>
      </c>
      <c r="M1807" s="2">
        <f>IFERROR(__xludf.DUMMYFUNCTION("""COMPUTED_VALUE"""),24.1314109608833)</f>
        <v>24.13141096</v>
      </c>
    </row>
    <row r="1808">
      <c r="A1808" s="2" t="str">
        <f>IFERROR(__xludf.DUMMYFUNCTION("""COMPUTED_VALUE"""),"For sale")</f>
        <v>For sale</v>
      </c>
      <c r="B1808" s="2" t="str">
        <f>IFERROR(__xludf.DUMMYFUNCTION("""COMPUTED_VALUE"""),"Vecrīga")</f>
        <v>Vecrīga</v>
      </c>
      <c r="C1808" s="2" t="str">
        <f>IFERROR(__xludf.DUMMYFUNCTION("""COMPUTED_VALUE"""),"Grēcinieku 26")</f>
        <v>Grēcinieku 26</v>
      </c>
      <c r="D1808" s="2">
        <f>IFERROR(__xludf.DUMMYFUNCTION("""COMPUTED_VALUE"""),2.0)</f>
        <v>2</v>
      </c>
      <c r="E1808" s="2">
        <f>IFERROR(__xludf.DUMMYFUNCTION("""COMPUTED_VALUE"""),89.7)</f>
        <v>89.7</v>
      </c>
      <c r="F1808" s="2">
        <f>IFERROR(__xludf.DUMMYFUNCTION("""COMPUTED_VALUE"""),2.0)</f>
        <v>2</v>
      </c>
      <c r="G1808" s="2">
        <f>IFERROR(__xludf.DUMMYFUNCTION("""COMPUTED_VALUE"""),4.0)</f>
        <v>4</v>
      </c>
      <c r="H1808" s="2" t="str">
        <f>IFERROR(__xludf.DUMMYFUNCTION("""COMPUTED_VALUE"""),"Renov.")</f>
        <v>Renov.</v>
      </c>
      <c r="I1808" s="2" t="str">
        <f>IFERROR(__xludf.DUMMYFUNCTION("""COMPUTED_VALUE"""),"Masonry")</f>
        <v>Masonry</v>
      </c>
      <c r="J1808" s="2" t="str">
        <f>IFERROR(__xludf.DUMMYFUNCTION("""COMPUTED_VALUE"""),"All amenities")</f>
        <v>All amenities</v>
      </c>
      <c r="K1808" s="2">
        <f>IFERROR(__xludf.DUMMYFUNCTION("""COMPUTED_VALUE"""),252000.0)</f>
        <v>252000</v>
      </c>
      <c r="L1808" s="2">
        <f>IFERROR(__xludf.DUMMYFUNCTION("""COMPUTED_VALUE"""),56.9466569)</f>
        <v>56.9466569</v>
      </c>
      <c r="M1808" s="2">
        <f>IFERROR(__xludf.DUMMYFUNCTION("""COMPUTED_VALUE"""),24.1073804)</f>
        <v>24.1073804</v>
      </c>
    </row>
    <row r="1809">
      <c r="A1809" s="2" t="str">
        <f>IFERROR(__xludf.DUMMYFUNCTION("""COMPUTED_VALUE"""),"For sale")</f>
        <v>For sale</v>
      </c>
      <c r="B1809" s="2" t="str">
        <f>IFERROR(__xludf.DUMMYFUNCTION("""COMPUTED_VALUE"""),"Berģi")</f>
        <v>Berģi</v>
      </c>
      <c r="C1809" s="2" t="str">
        <f>IFERROR(__xludf.DUMMYFUNCTION("""COMPUTED_VALUE"""),"Vējdzirnavu 28")</f>
        <v>Vējdzirnavu 28</v>
      </c>
      <c r="D1809" s="2">
        <f>IFERROR(__xludf.DUMMYFUNCTION("""COMPUTED_VALUE"""),1.0)</f>
        <v>1</v>
      </c>
      <c r="E1809" s="2">
        <f>IFERROR(__xludf.DUMMYFUNCTION("""COMPUTED_VALUE"""),25.0)</f>
        <v>25</v>
      </c>
      <c r="F1809" s="2">
        <f>IFERROR(__xludf.DUMMYFUNCTION("""COMPUTED_VALUE"""),1.0)</f>
        <v>1</v>
      </c>
      <c r="G1809" s="2">
        <f>IFERROR(__xludf.DUMMYFUNCTION("""COMPUTED_VALUE"""),2.0)</f>
        <v>2</v>
      </c>
      <c r="H1809" s="2" t="str">
        <f>IFERROR(__xludf.DUMMYFUNCTION("""COMPUTED_VALUE"""),"P. kara")</f>
        <v>P. kara</v>
      </c>
      <c r="I1809" s="2" t="str">
        <f>IFERROR(__xludf.DUMMYFUNCTION("""COMPUTED_VALUE"""),"Wood")</f>
        <v>Wood</v>
      </c>
      <c r="J1809" s="2" t="str">
        <f>IFERROR(__xludf.DUMMYFUNCTION("""COMPUTED_VALUE"""),"All amenities")</f>
        <v>All amenities</v>
      </c>
      <c r="K1809" s="2">
        <f>IFERROR(__xludf.DUMMYFUNCTION("""COMPUTED_VALUE"""),26000.0)</f>
        <v>26000</v>
      </c>
      <c r="L1809" s="2">
        <f>IFERROR(__xludf.DUMMYFUNCTION("""COMPUTED_VALUE"""),56.996491)</f>
        <v>56.996491</v>
      </c>
      <c r="M1809" s="2">
        <f>IFERROR(__xludf.DUMMYFUNCTION("""COMPUTED_VALUE"""),24.2761204929247)</f>
        <v>24.27612049</v>
      </c>
    </row>
    <row r="1810">
      <c r="A1810" s="2" t="str">
        <f>IFERROR(__xludf.DUMMYFUNCTION("""COMPUTED_VALUE"""),"For sale")</f>
        <v>For sale</v>
      </c>
      <c r="B1810" s="2" t="str">
        <f>IFERROR(__xludf.DUMMYFUNCTION("""COMPUTED_VALUE"""),"Ķengarags")</f>
        <v>Ķengarags</v>
      </c>
      <c r="C1810" s="2" t="str">
        <f>IFERROR(__xludf.DUMMYFUNCTION("""COMPUTED_VALUE"""),"Krustpils 60")</f>
        <v>Krustpils 60</v>
      </c>
      <c r="D1810" s="2">
        <f>IFERROR(__xludf.DUMMYFUNCTION("""COMPUTED_VALUE"""),2.0)</f>
        <v>2</v>
      </c>
      <c r="E1810" s="2">
        <f>IFERROR(__xludf.DUMMYFUNCTION("""COMPUTED_VALUE"""),42.0)</f>
        <v>42</v>
      </c>
      <c r="F1810" s="2">
        <f>IFERROR(__xludf.DUMMYFUNCTION("""COMPUTED_VALUE"""),2.0)</f>
        <v>2</v>
      </c>
      <c r="G1810" s="2">
        <f>IFERROR(__xludf.DUMMYFUNCTION("""COMPUTED_VALUE"""),3.0)</f>
        <v>3</v>
      </c>
      <c r="H1810" s="2" t="str">
        <f>IFERROR(__xludf.DUMMYFUNCTION("""COMPUTED_VALUE"""),"Hrušč.")</f>
        <v>Hrušč.</v>
      </c>
      <c r="I1810" s="2" t="str">
        <f>IFERROR(__xludf.DUMMYFUNCTION("""COMPUTED_VALUE"""),"Brick")</f>
        <v>Brick</v>
      </c>
      <c r="J1810" s="2" t="str">
        <f>IFERROR(__xludf.DUMMYFUNCTION("""COMPUTED_VALUE"""),"All amenities")</f>
        <v>All amenities</v>
      </c>
      <c r="K1810" s="2">
        <f>IFERROR(__xludf.DUMMYFUNCTION("""COMPUTED_VALUE"""),32000.0)</f>
        <v>32000</v>
      </c>
      <c r="L1810" s="2">
        <f>IFERROR(__xludf.DUMMYFUNCTION("""COMPUTED_VALUE"""),56.8958531499999)</f>
        <v>56.89585315</v>
      </c>
      <c r="M1810" s="2">
        <f>IFERROR(__xludf.DUMMYFUNCTION("""COMPUTED_VALUE"""),24.2259189815794)</f>
        <v>24.22591898</v>
      </c>
    </row>
    <row r="1811">
      <c r="A1811" s="2" t="str">
        <f>IFERROR(__xludf.DUMMYFUNCTION("""COMPUTED_VALUE"""),"For sale")</f>
        <v>For sale</v>
      </c>
      <c r="B1811" s="2" t="str">
        <f>IFERROR(__xludf.DUMMYFUNCTION("""COMPUTED_VALUE"""),"Mežaparks")</f>
        <v>Mežaparks</v>
      </c>
      <c r="C1811" s="2" t="str">
        <f>IFERROR(__xludf.DUMMYFUNCTION("""COMPUTED_VALUE"""),"Klaipēdas 12")</f>
        <v>Klaipēdas 12</v>
      </c>
      <c r="D1811" s="2">
        <f>IFERROR(__xludf.DUMMYFUNCTION("""COMPUTED_VALUE"""),4.0)</f>
        <v>4</v>
      </c>
      <c r="E1811" s="2">
        <f>IFERROR(__xludf.DUMMYFUNCTION("""COMPUTED_VALUE"""),115.0)</f>
        <v>115</v>
      </c>
      <c r="F1811" s="2">
        <f>IFERROR(__xludf.DUMMYFUNCTION("""COMPUTED_VALUE"""),1.0)</f>
        <v>1</v>
      </c>
      <c r="G1811" s="2">
        <f>IFERROR(__xludf.DUMMYFUNCTION("""COMPUTED_VALUE"""),3.0)</f>
        <v>3</v>
      </c>
      <c r="H1811" s="2" t="str">
        <f>IFERROR(__xludf.DUMMYFUNCTION("""COMPUTED_VALUE"""),"Jaun.")</f>
        <v>Jaun.</v>
      </c>
      <c r="I1811" s="2" t="str">
        <f>IFERROR(__xludf.DUMMYFUNCTION("""COMPUTED_VALUE"""),"Panel-Brick")</f>
        <v>Panel-Brick</v>
      </c>
      <c r="J1811" s="2" t="str">
        <f>IFERROR(__xludf.DUMMYFUNCTION("""COMPUTED_VALUE"""),"All amenities")</f>
        <v>All amenities</v>
      </c>
      <c r="K1811" s="2">
        <f>IFERROR(__xludf.DUMMYFUNCTION("""COMPUTED_VALUE"""),274000.0)</f>
        <v>274000</v>
      </c>
      <c r="L1811" s="2">
        <f>IFERROR(__xludf.DUMMYFUNCTION("""COMPUTED_VALUE"""),56.994436)</f>
        <v>56.994436</v>
      </c>
      <c r="M1811" s="2">
        <f>IFERROR(__xludf.DUMMYFUNCTION("""COMPUTED_VALUE"""),24.1578037)</f>
        <v>24.1578037</v>
      </c>
    </row>
    <row r="1812">
      <c r="A1812" s="2" t="str">
        <f>IFERROR(__xludf.DUMMYFUNCTION("""COMPUTED_VALUE"""),"For sale")</f>
        <v>For sale</v>
      </c>
      <c r="B1812" s="2" t="str">
        <f>IFERROR(__xludf.DUMMYFUNCTION("""COMPUTED_VALUE"""),"centrs")</f>
        <v>centrs</v>
      </c>
      <c r="C1812" s="2" t="str">
        <f>IFERROR(__xludf.DUMMYFUNCTION("""COMPUTED_VALUE"""),"Birznieka-Upīša 13")</f>
        <v>Birznieka-Upīša 13</v>
      </c>
      <c r="D1812" s="2">
        <f>IFERROR(__xludf.DUMMYFUNCTION("""COMPUTED_VALUE"""),2.0)</f>
        <v>2</v>
      </c>
      <c r="E1812" s="2">
        <f>IFERROR(__xludf.DUMMYFUNCTION("""COMPUTED_VALUE"""),59.0)</f>
        <v>59</v>
      </c>
      <c r="F1812" s="2">
        <f>IFERROR(__xludf.DUMMYFUNCTION("""COMPUTED_VALUE"""),4.0)</f>
        <v>4</v>
      </c>
      <c r="G1812" s="2">
        <f>IFERROR(__xludf.DUMMYFUNCTION("""COMPUTED_VALUE"""),7.0)</f>
        <v>7</v>
      </c>
      <c r="H1812" s="2" t="str">
        <f>IFERROR(__xludf.DUMMYFUNCTION("""COMPUTED_VALUE"""),"Jaun.")</f>
        <v>Jaun.</v>
      </c>
      <c r="I1812" s="2" t="str">
        <f>IFERROR(__xludf.DUMMYFUNCTION("""COMPUTED_VALUE"""),"Masonry")</f>
        <v>Masonry</v>
      </c>
      <c r="J1812" s="2" t="str">
        <f>IFERROR(__xludf.DUMMYFUNCTION("""COMPUTED_VALUE"""),"All amenities")</f>
        <v>All amenities</v>
      </c>
      <c r="K1812" s="2">
        <f>IFERROR(__xludf.DUMMYFUNCTION("""COMPUTED_VALUE"""),157000.0)</f>
        <v>157000</v>
      </c>
      <c r="L1812" s="2">
        <f>IFERROR(__xludf.DUMMYFUNCTION("""COMPUTED_VALUE"""),56.9493295)</f>
        <v>56.9493295</v>
      </c>
      <c r="M1812" s="2">
        <f>IFERROR(__xludf.DUMMYFUNCTION("""COMPUTED_VALUE"""),24.1264892056074)</f>
        <v>24.12648921</v>
      </c>
    </row>
    <row r="1813">
      <c r="A1813" s="2" t="str">
        <f>IFERROR(__xludf.DUMMYFUNCTION("""COMPUTED_VALUE"""),"For sale")</f>
        <v>For sale</v>
      </c>
      <c r="B1813" s="2" t="str">
        <f>IFERROR(__xludf.DUMMYFUNCTION("""COMPUTED_VALUE"""),"Ziepniekkalns")</f>
        <v>Ziepniekkalns</v>
      </c>
      <c r="C1813" s="2" t="str">
        <f>IFERROR(__xludf.DUMMYFUNCTION("""COMPUTED_VALUE"""),"Asteres 1")</f>
        <v>Asteres 1</v>
      </c>
      <c r="D1813" s="2">
        <f>IFERROR(__xludf.DUMMYFUNCTION("""COMPUTED_VALUE"""),1.0)</f>
        <v>1</v>
      </c>
      <c r="E1813" s="2">
        <f>IFERROR(__xludf.DUMMYFUNCTION("""COMPUTED_VALUE"""),25.0)</f>
        <v>25</v>
      </c>
      <c r="F1813" s="2">
        <f>IFERROR(__xludf.DUMMYFUNCTION("""COMPUTED_VALUE"""),2.0)</f>
        <v>2</v>
      </c>
      <c r="G1813" s="2">
        <f>IFERROR(__xludf.DUMMYFUNCTION("""COMPUTED_VALUE"""),2.0)</f>
        <v>2</v>
      </c>
      <c r="H1813" s="2" t="str">
        <f>IFERROR(__xludf.DUMMYFUNCTION("""COMPUTED_VALUE"""),"P. kara")</f>
        <v>P. kara</v>
      </c>
      <c r="I1813" s="2" t="str">
        <f>IFERROR(__xludf.DUMMYFUNCTION("""COMPUTED_VALUE"""),"Wood")</f>
        <v>Wood</v>
      </c>
      <c r="J1813" s="2" t="str">
        <f>IFERROR(__xludf.DUMMYFUNCTION("""COMPUTED_VALUE"""),"Partial amenities")</f>
        <v>Partial amenities</v>
      </c>
      <c r="K1813" s="2">
        <f>IFERROR(__xludf.DUMMYFUNCTION("""COMPUTED_VALUE"""),12000.0)</f>
        <v>12000</v>
      </c>
      <c r="L1813" s="2" t="str">
        <f>IFERROR(__xludf.DUMMYFUNCTION("""COMPUTED_VALUE"""),"NaN")</f>
        <v>NaN</v>
      </c>
      <c r="M1813" s="2" t="str">
        <f>IFERROR(__xludf.DUMMYFUNCTION("""COMPUTED_VALUE"""),"NaN")</f>
        <v>NaN</v>
      </c>
    </row>
    <row r="1814">
      <c r="A1814" s="2" t="str">
        <f>IFERROR(__xludf.DUMMYFUNCTION("""COMPUTED_VALUE"""),"For sale")</f>
        <v>For sale</v>
      </c>
      <c r="B1814" s="2" t="str">
        <f>IFERROR(__xludf.DUMMYFUNCTION("""COMPUTED_VALUE"""),"Dārzciems")</f>
        <v>Dārzciems</v>
      </c>
      <c r="C1814" s="2" t="str">
        <f>IFERROR(__xludf.DUMMYFUNCTION("""COMPUTED_VALUE"""),"Kameņu 1a")</f>
        <v>Kameņu 1a</v>
      </c>
      <c r="D1814" s="2">
        <f>IFERROR(__xludf.DUMMYFUNCTION("""COMPUTED_VALUE"""),2.0)</f>
        <v>2</v>
      </c>
      <c r="E1814" s="2">
        <f>IFERROR(__xludf.DUMMYFUNCTION("""COMPUTED_VALUE"""),63.0)</f>
        <v>63</v>
      </c>
      <c r="F1814" s="2">
        <f>IFERROR(__xludf.DUMMYFUNCTION("""COMPUTED_VALUE"""),3.0)</f>
        <v>3</v>
      </c>
      <c r="G1814" s="2">
        <f>IFERROR(__xludf.DUMMYFUNCTION("""COMPUTED_VALUE"""),7.0)</f>
        <v>7</v>
      </c>
      <c r="H1814" s="2" t="str">
        <f>IFERROR(__xludf.DUMMYFUNCTION("""COMPUTED_VALUE"""),"Specpr.")</f>
        <v>Specpr.</v>
      </c>
      <c r="I1814" s="2" t="str">
        <f>IFERROR(__xludf.DUMMYFUNCTION("""COMPUTED_VALUE"""),"Brick-Panel")</f>
        <v>Brick-Panel</v>
      </c>
      <c r="J1814" s="2" t="str">
        <f>IFERROR(__xludf.DUMMYFUNCTION("""COMPUTED_VALUE"""),"All amenities")</f>
        <v>All amenities</v>
      </c>
      <c r="K1814" s="2">
        <f>IFERROR(__xludf.DUMMYFUNCTION("""COMPUTED_VALUE"""),72000.0)</f>
        <v>72000</v>
      </c>
      <c r="L1814" s="2">
        <f>IFERROR(__xludf.DUMMYFUNCTION("""COMPUTED_VALUE"""),56.9386002499999)</f>
        <v>56.93860025</v>
      </c>
      <c r="M1814" s="2">
        <f>IFERROR(__xludf.DUMMYFUNCTION("""COMPUTED_VALUE"""),24.1868624908138)</f>
        <v>24.18686249</v>
      </c>
    </row>
    <row r="1815">
      <c r="A1815" s="2" t="str">
        <f>IFERROR(__xludf.DUMMYFUNCTION("""COMPUTED_VALUE"""),"For rent")</f>
        <v>For rent</v>
      </c>
      <c r="B1815" s="2" t="str">
        <f>IFERROR(__xludf.DUMMYFUNCTION("""COMPUTED_VALUE"""),"Dārzciems")</f>
        <v>Dārzciems</v>
      </c>
      <c r="C1815" s="2" t="str">
        <f>IFERROR(__xludf.DUMMYFUNCTION("""COMPUTED_VALUE"""),"Slāvu 13")</f>
        <v>Slāvu 13</v>
      </c>
      <c r="D1815" s="2">
        <f>IFERROR(__xludf.DUMMYFUNCTION("""COMPUTED_VALUE"""),2.0)</f>
        <v>2</v>
      </c>
      <c r="E1815" s="2">
        <f>IFERROR(__xludf.DUMMYFUNCTION("""COMPUTED_VALUE"""),49.0)</f>
        <v>49</v>
      </c>
      <c r="F1815" s="2">
        <f>IFERROR(__xludf.DUMMYFUNCTION("""COMPUTED_VALUE"""),6.0)</f>
        <v>6</v>
      </c>
      <c r="G1815" s="2">
        <f>IFERROR(__xludf.DUMMYFUNCTION("""COMPUTED_VALUE"""),9.0)</f>
        <v>9</v>
      </c>
      <c r="H1815" s="2">
        <f>IFERROR(__xludf.DUMMYFUNCTION("""COMPUTED_VALUE"""),602.0)</f>
        <v>602</v>
      </c>
      <c r="I1815" s="2" t="str">
        <f>IFERROR(__xludf.DUMMYFUNCTION("""COMPUTED_VALUE"""),"Panel")</f>
        <v>Panel</v>
      </c>
      <c r="J1815" s="2" t="str">
        <f>IFERROR(__xludf.DUMMYFUNCTION("""COMPUTED_VALUE"""),"All amenities")</f>
        <v>All amenities</v>
      </c>
      <c r="K1815" s="2">
        <f>IFERROR(__xludf.DUMMYFUNCTION("""COMPUTED_VALUE"""),280.0)</f>
        <v>280</v>
      </c>
      <c r="L1815" s="2">
        <f>IFERROR(__xludf.DUMMYFUNCTION("""COMPUTED_VALUE"""),56.9307254)</f>
        <v>56.9307254</v>
      </c>
      <c r="M1815" s="2">
        <f>IFERROR(__xludf.DUMMYFUNCTION("""COMPUTED_VALUE"""),24.181101)</f>
        <v>24.181101</v>
      </c>
    </row>
    <row r="1816">
      <c r="A1816" s="2" t="str">
        <f>IFERROR(__xludf.DUMMYFUNCTION("""COMPUTED_VALUE"""),"For rent")</f>
        <v>For rent</v>
      </c>
      <c r="B1816" s="2" t="str">
        <f>IFERROR(__xludf.DUMMYFUNCTION("""COMPUTED_VALUE"""),"Sarkandaugava")</f>
        <v>Sarkandaugava</v>
      </c>
      <c r="C1816" s="2" t="str">
        <f>IFERROR(__xludf.DUMMYFUNCTION("""COMPUTED_VALUE"""),"Viestura pr. 47")</f>
        <v>Viestura pr. 47</v>
      </c>
      <c r="D1816" s="2">
        <f>IFERROR(__xludf.DUMMYFUNCTION("""COMPUTED_VALUE"""),1.0)</f>
        <v>1</v>
      </c>
      <c r="E1816" s="2">
        <f>IFERROR(__xludf.DUMMYFUNCTION("""COMPUTED_VALUE"""),33.0)</f>
        <v>33</v>
      </c>
      <c r="F1816" s="2">
        <f>IFERROR(__xludf.DUMMYFUNCTION("""COMPUTED_VALUE"""),4.0)</f>
        <v>4</v>
      </c>
      <c r="G1816" s="2">
        <f>IFERROR(__xludf.DUMMYFUNCTION("""COMPUTED_VALUE"""),9.0)</f>
        <v>9</v>
      </c>
      <c r="H1816" s="2" t="str">
        <f>IFERROR(__xludf.DUMMYFUNCTION("""COMPUTED_VALUE"""),"Specpr.")</f>
        <v>Specpr.</v>
      </c>
      <c r="I1816" s="2" t="str">
        <f>IFERROR(__xludf.DUMMYFUNCTION("""COMPUTED_VALUE"""),"Brick")</f>
        <v>Brick</v>
      </c>
      <c r="J1816" s="2" t="str">
        <f>IFERROR(__xludf.DUMMYFUNCTION("""COMPUTED_VALUE"""),"All amenities")</f>
        <v>All amenities</v>
      </c>
      <c r="K1816" s="2">
        <f>IFERROR(__xludf.DUMMYFUNCTION("""COMPUTED_VALUE"""),250.0)</f>
        <v>250</v>
      </c>
      <c r="L1816" s="2" t="str">
        <f>IFERROR(__xludf.DUMMYFUNCTION("""COMPUTED_VALUE"""),"NaN")</f>
        <v>NaN</v>
      </c>
      <c r="M1816" s="2" t="str">
        <f>IFERROR(__xludf.DUMMYFUNCTION("""COMPUTED_VALUE"""),"NaN")</f>
        <v>NaN</v>
      </c>
    </row>
    <row r="1817">
      <c r="A1817" s="2" t="str">
        <f>IFERROR(__xludf.DUMMYFUNCTION("""COMPUTED_VALUE"""),"For sale")</f>
        <v>For sale</v>
      </c>
      <c r="B1817" s="2" t="str">
        <f>IFERROR(__xludf.DUMMYFUNCTION("""COMPUTED_VALUE"""),"Imanta")</f>
        <v>Imanta</v>
      </c>
      <c r="C1817" s="2" t="str">
        <f>IFERROR(__xludf.DUMMYFUNCTION("""COMPUTED_VALUE"""),"Zentenes 4")</f>
        <v>Zentenes 4</v>
      </c>
      <c r="D1817" s="2">
        <f>IFERROR(__xludf.DUMMYFUNCTION("""COMPUTED_VALUE"""),3.0)</f>
        <v>3</v>
      </c>
      <c r="E1817" s="2">
        <f>IFERROR(__xludf.DUMMYFUNCTION("""COMPUTED_VALUE"""),67.0)</f>
        <v>67</v>
      </c>
      <c r="F1817" s="2">
        <f>IFERROR(__xludf.DUMMYFUNCTION("""COMPUTED_VALUE"""),5.0)</f>
        <v>5</v>
      </c>
      <c r="G1817" s="2">
        <f>IFERROR(__xludf.DUMMYFUNCTION("""COMPUTED_VALUE"""),5.0)</f>
        <v>5</v>
      </c>
      <c r="H1817" s="2" t="str">
        <f>IFERROR(__xludf.DUMMYFUNCTION("""COMPUTED_VALUE"""),"LT proj.")</f>
        <v>LT proj.</v>
      </c>
      <c r="I1817" s="2" t="str">
        <f>IFERROR(__xludf.DUMMYFUNCTION("""COMPUTED_VALUE"""),"Panel")</f>
        <v>Panel</v>
      </c>
      <c r="J1817" s="2" t="str">
        <f>IFERROR(__xludf.DUMMYFUNCTION("""COMPUTED_VALUE"""),"All amenities")</f>
        <v>All amenities</v>
      </c>
      <c r="K1817" s="2">
        <f>IFERROR(__xludf.DUMMYFUNCTION("""COMPUTED_VALUE"""),51500.0)</f>
        <v>51500</v>
      </c>
      <c r="L1817" s="2">
        <f>IFERROR(__xludf.DUMMYFUNCTION("""COMPUTED_VALUE"""),56.95927905)</f>
        <v>56.95927905</v>
      </c>
      <c r="M1817" s="2">
        <f>IFERROR(__xludf.DUMMYFUNCTION("""COMPUTED_VALUE"""),24.0074453370573)</f>
        <v>24.00744534</v>
      </c>
    </row>
    <row r="1818">
      <c r="A1818" s="2" t="str">
        <f>IFERROR(__xludf.DUMMYFUNCTION("""COMPUTED_VALUE"""),"For sale")</f>
        <v>For sale</v>
      </c>
      <c r="B1818" s="2" t="str">
        <f>IFERROR(__xludf.DUMMYFUNCTION("""COMPUTED_VALUE"""),"Torņakalns")</f>
        <v>Torņakalns</v>
      </c>
      <c r="C1818" s="2" t="str">
        <f>IFERROR(__xludf.DUMMYFUNCTION("""COMPUTED_VALUE"""),"Ludviķa 10")</f>
        <v>Ludviķa 10</v>
      </c>
      <c r="D1818" s="2">
        <f>IFERROR(__xludf.DUMMYFUNCTION("""COMPUTED_VALUE"""),3.0)</f>
        <v>3</v>
      </c>
      <c r="E1818" s="2">
        <f>IFERROR(__xludf.DUMMYFUNCTION("""COMPUTED_VALUE"""),60.0)</f>
        <v>60</v>
      </c>
      <c r="F1818" s="2">
        <f>IFERROR(__xludf.DUMMYFUNCTION("""COMPUTED_VALUE"""),4.0)</f>
        <v>4</v>
      </c>
      <c r="G1818" s="2">
        <f>IFERROR(__xludf.DUMMYFUNCTION("""COMPUTED_VALUE"""),5.0)</f>
        <v>5</v>
      </c>
      <c r="H1818" s="2" t="str">
        <f>IFERROR(__xludf.DUMMYFUNCTION("""COMPUTED_VALUE"""),"P. kara")</f>
        <v>P. kara</v>
      </c>
      <c r="I1818" s="2" t="str">
        <f>IFERROR(__xludf.DUMMYFUNCTION("""COMPUTED_VALUE"""),"Masonry")</f>
        <v>Masonry</v>
      </c>
      <c r="J1818" s="2" t="str">
        <f>IFERROR(__xludf.DUMMYFUNCTION("""COMPUTED_VALUE"""),"All amenities")</f>
        <v>All amenities</v>
      </c>
      <c r="K1818" s="2">
        <f>IFERROR(__xludf.DUMMYFUNCTION("""COMPUTED_VALUE"""),77000.0)</f>
        <v>77000</v>
      </c>
      <c r="L1818" s="2">
        <f>IFERROR(__xludf.DUMMYFUNCTION("""COMPUTED_VALUE"""),56.9247925)</f>
        <v>56.9247925</v>
      </c>
      <c r="M1818" s="2">
        <f>IFERROR(__xludf.DUMMYFUNCTION("""COMPUTED_VALUE"""),24.0945391626359)</f>
        <v>24.09453916</v>
      </c>
    </row>
    <row r="1819">
      <c r="A1819" s="2" t="str">
        <f>IFERROR(__xludf.DUMMYFUNCTION("""COMPUTED_VALUE"""),"For sale")</f>
        <v>For sale</v>
      </c>
      <c r="B1819" s="2" t="str">
        <f>IFERROR(__xludf.DUMMYFUNCTION("""COMPUTED_VALUE"""),"Teika")</f>
        <v>Teika</v>
      </c>
      <c r="C1819" s="2" t="str">
        <f>IFERROR(__xludf.DUMMYFUNCTION("""COMPUTED_VALUE"""),"Ropažu 93")</f>
        <v>Ropažu 93</v>
      </c>
      <c r="D1819" s="2">
        <f>IFERROR(__xludf.DUMMYFUNCTION("""COMPUTED_VALUE"""),1.0)</f>
        <v>1</v>
      </c>
      <c r="E1819" s="2">
        <f>IFERROR(__xludf.DUMMYFUNCTION("""COMPUTED_VALUE"""),21.0)</f>
        <v>21</v>
      </c>
      <c r="F1819" s="2">
        <f>IFERROR(__xludf.DUMMYFUNCTION("""COMPUTED_VALUE"""),2.0)</f>
        <v>2</v>
      </c>
      <c r="G1819" s="2">
        <f>IFERROR(__xludf.DUMMYFUNCTION("""COMPUTED_VALUE"""),2.0)</f>
        <v>2</v>
      </c>
      <c r="H1819" s="2" t="str">
        <f>IFERROR(__xludf.DUMMYFUNCTION("""COMPUTED_VALUE"""),"P. kara")</f>
        <v>P. kara</v>
      </c>
      <c r="I1819" s="2" t="str">
        <f>IFERROR(__xludf.DUMMYFUNCTION("""COMPUTED_VALUE"""),"Wood")</f>
        <v>Wood</v>
      </c>
      <c r="J1819" s="2" t="str">
        <f>IFERROR(__xludf.DUMMYFUNCTION("""COMPUTED_VALUE"""),"Partial amenities")</f>
        <v>Partial amenities</v>
      </c>
      <c r="K1819" s="2">
        <f>IFERROR(__xludf.DUMMYFUNCTION("""COMPUTED_VALUE"""),14000.0)</f>
        <v>14000</v>
      </c>
      <c r="L1819" s="2">
        <f>IFERROR(__xludf.DUMMYFUNCTION("""COMPUTED_VALUE"""),56.9825039)</f>
        <v>56.9825039</v>
      </c>
      <c r="M1819" s="2">
        <f>IFERROR(__xludf.DUMMYFUNCTION("""COMPUTED_VALUE"""),24.1917693040602)</f>
        <v>24.1917693</v>
      </c>
    </row>
    <row r="1820">
      <c r="A1820" s="2" t="str">
        <f>IFERROR(__xludf.DUMMYFUNCTION("""COMPUTED_VALUE"""),"For rent")</f>
        <v>For rent</v>
      </c>
      <c r="B1820" s="2" t="str">
        <f>IFERROR(__xludf.DUMMYFUNCTION("""COMPUTED_VALUE"""),"centrs")</f>
        <v>centrs</v>
      </c>
      <c r="C1820" s="2" t="str">
        <f>IFERROR(__xludf.DUMMYFUNCTION("""COMPUTED_VALUE"""),"Eksporta 2a")</f>
        <v>Eksporta 2a</v>
      </c>
      <c r="D1820" s="2">
        <f>IFERROR(__xludf.DUMMYFUNCTION("""COMPUTED_VALUE"""),3.0)</f>
        <v>3</v>
      </c>
      <c r="E1820" s="2">
        <f>IFERROR(__xludf.DUMMYFUNCTION("""COMPUTED_VALUE"""),76.0)</f>
        <v>76</v>
      </c>
      <c r="F1820" s="2">
        <f>IFERROR(__xludf.DUMMYFUNCTION("""COMPUTED_VALUE"""),2.0)</f>
        <v>2</v>
      </c>
      <c r="G1820" s="2">
        <f>IFERROR(__xludf.DUMMYFUNCTION("""COMPUTED_VALUE"""),5.0)</f>
        <v>5</v>
      </c>
      <c r="H1820" s="2" t="str">
        <f>IFERROR(__xludf.DUMMYFUNCTION("""COMPUTED_VALUE"""),"Specpr.")</f>
        <v>Specpr.</v>
      </c>
      <c r="I1820" s="2" t="str">
        <f>IFERROR(__xludf.DUMMYFUNCTION("""COMPUTED_VALUE"""),"Brick")</f>
        <v>Brick</v>
      </c>
      <c r="J1820" s="2" t="str">
        <f>IFERROR(__xludf.DUMMYFUNCTION("""COMPUTED_VALUE"""),"All amenities")</f>
        <v>All amenities</v>
      </c>
      <c r="K1820" s="2">
        <f>IFERROR(__xludf.DUMMYFUNCTION("""COMPUTED_VALUE"""),800.0)</f>
        <v>800</v>
      </c>
      <c r="L1820" s="2">
        <f>IFERROR(__xludf.DUMMYFUNCTION("""COMPUTED_VALUE"""),56.95661335)</f>
        <v>56.95661335</v>
      </c>
      <c r="M1820" s="2">
        <f>IFERROR(__xludf.DUMMYFUNCTION("""COMPUTED_VALUE"""),24.0987304306377)</f>
        <v>24.09873043</v>
      </c>
    </row>
    <row r="1821">
      <c r="A1821" s="2" t="str">
        <f>IFERROR(__xludf.DUMMYFUNCTION("""COMPUTED_VALUE"""),"For sale")</f>
        <v>For sale</v>
      </c>
      <c r="B1821" s="2" t="str">
        <f>IFERROR(__xludf.DUMMYFUNCTION("""COMPUTED_VALUE"""),"Mežciems")</f>
        <v>Mežciems</v>
      </c>
      <c r="C1821" s="2" t="str">
        <f>IFERROR(__xludf.DUMMYFUNCTION("""COMPUTED_VALUE"""),"Eizenšteina 77")</f>
        <v>Eizenšteina 77</v>
      </c>
      <c r="D1821" s="2">
        <f>IFERROR(__xludf.DUMMYFUNCTION("""COMPUTED_VALUE"""),4.0)</f>
        <v>4</v>
      </c>
      <c r="E1821" s="2">
        <f>IFERROR(__xludf.DUMMYFUNCTION("""COMPUTED_VALUE"""),78.0)</f>
        <v>78</v>
      </c>
      <c r="F1821" s="2">
        <f>IFERROR(__xludf.DUMMYFUNCTION("""COMPUTED_VALUE"""),5.0)</f>
        <v>5</v>
      </c>
      <c r="G1821" s="2">
        <f>IFERROR(__xludf.DUMMYFUNCTION("""COMPUTED_VALUE"""),9.0)</f>
        <v>9</v>
      </c>
      <c r="H1821" s="2">
        <f>IFERROR(__xludf.DUMMYFUNCTION("""COMPUTED_VALUE"""),602.0)</f>
        <v>602</v>
      </c>
      <c r="I1821" s="2" t="str">
        <f>IFERROR(__xludf.DUMMYFUNCTION("""COMPUTED_VALUE"""),"Panel")</f>
        <v>Panel</v>
      </c>
      <c r="J1821" s="2" t="str">
        <f>IFERROR(__xludf.DUMMYFUNCTION("""COMPUTED_VALUE"""),"All amenities")</f>
        <v>All amenities</v>
      </c>
      <c r="K1821" s="2">
        <f>IFERROR(__xludf.DUMMYFUNCTION("""COMPUTED_VALUE"""),68000.0)</f>
        <v>68000</v>
      </c>
      <c r="L1821" s="2">
        <f>IFERROR(__xludf.DUMMYFUNCTION("""COMPUTED_VALUE"""),56.96052845)</f>
        <v>56.96052845</v>
      </c>
      <c r="M1821" s="2">
        <f>IFERROR(__xludf.DUMMYFUNCTION("""COMPUTED_VALUE"""),24.2338127271218)</f>
        <v>24.23381273</v>
      </c>
    </row>
    <row r="1822">
      <c r="A1822" s="2" t="str">
        <f>IFERROR(__xludf.DUMMYFUNCTION("""COMPUTED_VALUE"""),"For sale")</f>
        <v>For sale</v>
      </c>
      <c r="B1822" s="2" t="str">
        <f>IFERROR(__xludf.DUMMYFUNCTION("""COMPUTED_VALUE"""),"centrs")</f>
        <v>centrs</v>
      </c>
      <c r="C1822" s="2" t="str">
        <f>IFERROR(__xludf.DUMMYFUNCTION("""COMPUTED_VALUE"""),"Republikas laukums 3")</f>
        <v>Republikas laukums 3</v>
      </c>
      <c r="D1822" s="2">
        <f>IFERROR(__xludf.DUMMYFUNCTION("""COMPUTED_VALUE"""),4.0)</f>
        <v>4</v>
      </c>
      <c r="E1822" s="2">
        <f>IFERROR(__xludf.DUMMYFUNCTION("""COMPUTED_VALUE"""),124.0)</f>
        <v>124</v>
      </c>
      <c r="F1822" s="2">
        <f>IFERROR(__xludf.DUMMYFUNCTION("""COMPUTED_VALUE"""),3.0)</f>
        <v>3</v>
      </c>
      <c r="G1822" s="2">
        <f>IFERROR(__xludf.DUMMYFUNCTION("""COMPUTED_VALUE"""),7.0)</f>
        <v>7</v>
      </c>
      <c r="H1822" s="2" t="str">
        <f>IFERROR(__xludf.DUMMYFUNCTION("""COMPUTED_VALUE"""),"Jaun.")</f>
        <v>Jaun.</v>
      </c>
      <c r="I1822" s="2" t="str">
        <f>IFERROR(__xludf.DUMMYFUNCTION("""COMPUTED_VALUE"""),"Masonry")</f>
        <v>Masonry</v>
      </c>
      <c r="J1822" s="2" t="str">
        <f>IFERROR(__xludf.DUMMYFUNCTION("""COMPUTED_VALUE"""),"All amenities")</f>
        <v>All amenities</v>
      </c>
      <c r="K1822" s="2">
        <f>IFERROR(__xludf.DUMMYFUNCTION("""COMPUTED_VALUE"""),288888.0)</f>
        <v>288888</v>
      </c>
      <c r="L1822" s="2">
        <f>IFERROR(__xludf.DUMMYFUNCTION("""COMPUTED_VALUE"""),56.9552522)</f>
        <v>56.9552522</v>
      </c>
      <c r="M1822" s="2">
        <f>IFERROR(__xludf.DUMMYFUNCTION("""COMPUTED_VALUE"""),24.0999991251943)</f>
        <v>24.09999913</v>
      </c>
    </row>
    <row r="1823">
      <c r="A1823" s="2" t="str">
        <f>IFERROR(__xludf.DUMMYFUNCTION("""COMPUTED_VALUE"""),"For sale")</f>
        <v>For sale</v>
      </c>
      <c r="B1823" s="2" t="str">
        <f>IFERROR(__xludf.DUMMYFUNCTION("""COMPUTED_VALUE"""),"centrs")</f>
        <v>centrs</v>
      </c>
      <c r="C1823" s="2" t="str">
        <f>IFERROR(__xludf.DUMMYFUNCTION("""COMPUTED_VALUE"""),"Mūrnieku 2")</f>
        <v>Mūrnieku 2</v>
      </c>
      <c r="D1823" s="2">
        <f>IFERROR(__xludf.DUMMYFUNCTION("""COMPUTED_VALUE"""),1.0)</f>
        <v>1</v>
      </c>
      <c r="E1823" s="2">
        <f>IFERROR(__xludf.DUMMYFUNCTION("""COMPUTED_VALUE"""),27.0)</f>
        <v>27</v>
      </c>
      <c r="F1823" s="2">
        <f>IFERROR(__xludf.DUMMYFUNCTION("""COMPUTED_VALUE"""),5.0)</f>
        <v>5</v>
      </c>
      <c r="G1823" s="2">
        <f>IFERROR(__xludf.DUMMYFUNCTION("""COMPUTED_VALUE"""),5.0)</f>
        <v>5</v>
      </c>
      <c r="H1823" s="2" t="str">
        <f>IFERROR(__xludf.DUMMYFUNCTION("""COMPUTED_VALUE"""),"Renov.")</f>
        <v>Renov.</v>
      </c>
      <c r="I1823" s="2" t="str">
        <f>IFERROR(__xludf.DUMMYFUNCTION("""COMPUTED_VALUE"""),"Brick")</f>
        <v>Brick</v>
      </c>
      <c r="J1823" s="2" t="str">
        <f>IFERROR(__xludf.DUMMYFUNCTION("""COMPUTED_VALUE"""),"All amenities")</f>
        <v>All amenities</v>
      </c>
      <c r="K1823" s="2">
        <f>IFERROR(__xludf.DUMMYFUNCTION("""COMPUTED_VALUE"""),52000.0)</f>
        <v>52000</v>
      </c>
      <c r="L1823" s="2">
        <f>IFERROR(__xludf.DUMMYFUNCTION("""COMPUTED_VALUE"""),56.95211405)</f>
        <v>56.95211405</v>
      </c>
      <c r="M1823" s="2">
        <f>IFERROR(__xludf.DUMMYFUNCTION("""COMPUTED_VALUE"""),24.1453649650548)</f>
        <v>24.14536497</v>
      </c>
    </row>
    <row r="1824">
      <c r="A1824" s="2" t="str">
        <f>IFERROR(__xludf.DUMMYFUNCTION("""COMPUTED_VALUE"""),"For rent")</f>
        <v>For rent</v>
      </c>
      <c r="B1824" s="2" t="str">
        <f>IFERROR(__xludf.DUMMYFUNCTION("""COMPUTED_VALUE"""),"centrs")</f>
        <v>centrs</v>
      </c>
      <c r="C1824" s="2" t="str">
        <f>IFERROR(__xludf.DUMMYFUNCTION("""COMPUTED_VALUE"""),"Čaka 33")</f>
        <v>Čaka 33</v>
      </c>
      <c r="D1824" s="2">
        <f>IFERROR(__xludf.DUMMYFUNCTION("""COMPUTED_VALUE"""),3.0)</f>
        <v>3</v>
      </c>
      <c r="E1824" s="2">
        <f>IFERROR(__xludf.DUMMYFUNCTION("""COMPUTED_VALUE"""),100.0)</f>
        <v>100</v>
      </c>
      <c r="F1824" s="2">
        <f>IFERROR(__xludf.DUMMYFUNCTION("""COMPUTED_VALUE"""),7.0)</f>
        <v>7</v>
      </c>
      <c r="G1824" s="2">
        <f>IFERROR(__xludf.DUMMYFUNCTION("""COMPUTED_VALUE"""),7.0)</f>
        <v>7</v>
      </c>
      <c r="H1824" s="2" t="str">
        <f>IFERROR(__xludf.DUMMYFUNCTION("""COMPUTED_VALUE"""),"P. kara")</f>
        <v>P. kara</v>
      </c>
      <c r="I1824" s="2" t="str">
        <f>IFERROR(__xludf.DUMMYFUNCTION("""COMPUTED_VALUE"""),"Masonry")</f>
        <v>Masonry</v>
      </c>
      <c r="J1824" s="2" t="str">
        <f>IFERROR(__xludf.DUMMYFUNCTION("""COMPUTED_VALUE"""),"All amenities")</f>
        <v>All amenities</v>
      </c>
      <c r="K1824" s="2">
        <f>IFERROR(__xludf.DUMMYFUNCTION("""COMPUTED_VALUE"""),85.0)</f>
        <v>85</v>
      </c>
      <c r="L1824" s="2">
        <f>IFERROR(__xludf.DUMMYFUNCTION("""COMPUTED_VALUE"""),56.9521436)</f>
        <v>56.9521436</v>
      </c>
      <c r="M1824" s="2">
        <f>IFERROR(__xludf.DUMMYFUNCTION("""COMPUTED_VALUE"""),24.1276865)</f>
        <v>24.1276865</v>
      </c>
    </row>
    <row r="1825">
      <c r="A1825" s="2" t="str">
        <f>IFERROR(__xludf.DUMMYFUNCTION("""COMPUTED_VALUE"""),"For sale")</f>
        <v>For sale</v>
      </c>
      <c r="B1825" s="2" t="str">
        <f>IFERROR(__xludf.DUMMYFUNCTION("""COMPUTED_VALUE"""),"Ķīpsala")</f>
        <v>Ķīpsala</v>
      </c>
      <c r="C1825" s="2" t="str">
        <f>IFERROR(__xludf.DUMMYFUNCTION("""COMPUTED_VALUE"""),"Balasta d. 70")</f>
        <v>Balasta d. 70</v>
      </c>
      <c r="D1825" s="2">
        <f>IFERROR(__xludf.DUMMYFUNCTION("""COMPUTED_VALUE"""),2.0)</f>
        <v>2</v>
      </c>
      <c r="E1825" s="2">
        <f>IFERROR(__xludf.DUMMYFUNCTION("""COMPUTED_VALUE"""),57.0)</f>
        <v>57</v>
      </c>
      <c r="F1825" s="2">
        <f>IFERROR(__xludf.DUMMYFUNCTION("""COMPUTED_VALUE"""),3.0)</f>
        <v>3</v>
      </c>
      <c r="G1825" s="2">
        <f>IFERROR(__xludf.DUMMYFUNCTION("""COMPUTED_VALUE"""),3.0)</f>
        <v>3</v>
      </c>
      <c r="H1825" s="2" t="str">
        <f>IFERROR(__xludf.DUMMYFUNCTION("""COMPUTED_VALUE"""),"Jaun.")</f>
        <v>Jaun.</v>
      </c>
      <c r="I1825" s="2" t="str">
        <f>IFERROR(__xludf.DUMMYFUNCTION("""COMPUTED_VALUE"""),"Brick")</f>
        <v>Brick</v>
      </c>
      <c r="J1825" s="2" t="str">
        <f>IFERROR(__xludf.DUMMYFUNCTION("""COMPUTED_VALUE"""),"All amenities")</f>
        <v>All amenities</v>
      </c>
      <c r="K1825" s="2">
        <f>IFERROR(__xludf.DUMMYFUNCTION("""COMPUTED_VALUE"""),165000.0)</f>
        <v>165000</v>
      </c>
      <c r="L1825" s="2">
        <f>IFERROR(__xludf.DUMMYFUNCTION("""COMPUTED_VALUE"""),56.9489344)</f>
        <v>56.9489344</v>
      </c>
      <c r="M1825" s="2">
        <f>IFERROR(__xludf.DUMMYFUNCTION("""COMPUTED_VALUE"""),24.0882804)</f>
        <v>24.0882804</v>
      </c>
    </row>
    <row r="1826">
      <c r="A1826" s="2" t="str">
        <f>IFERROR(__xludf.DUMMYFUNCTION("""COMPUTED_VALUE"""),"For rent")</f>
        <v>For rent</v>
      </c>
      <c r="B1826" s="2" t="str">
        <f>IFERROR(__xludf.DUMMYFUNCTION("""COMPUTED_VALUE"""),"Zolitūde")</f>
        <v>Zolitūde</v>
      </c>
      <c r="C1826" s="2" t="str">
        <f>IFERROR(__xludf.DUMMYFUNCTION("""COMPUTED_VALUE"""),"Lejiņa 2")</f>
        <v>Lejiņa 2</v>
      </c>
      <c r="D1826" s="2">
        <f>IFERROR(__xludf.DUMMYFUNCTION("""COMPUTED_VALUE"""),2.0)</f>
        <v>2</v>
      </c>
      <c r="E1826" s="2">
        <f>IFERROR(__xludf.DUMMYFUNCTION("""COMPUTED_VALUE"""),55.0)</f>
        <v>55</v>
      </c>
      <c r="F1826" s="2">
        <f>IFERROR(__xludf.DUMMYFUNCTION("""COMPUTED_VALUE"""),9.0)</f>
        <v>9</v>
      </c>
      <c r="G1826" s="2">
        <f>IFERROR(__xludf.DUMMYFUNCTION("""COMPUTED_VALUE"""),9.0)</f>
        <v>9</v>
      </c>
      <c r="H1826" s="2">
        <f>IFERROR(__xludf.DUMMYFUNCTION("""COMPUTED_VALUE"""),119.0)</f>
        <v>119</v>
      </c>
      <c r="I1826" s="2" t="str">
        <f>IFERROR(__xludf.DUMMYFUNCTION("""COMPUTED_VALUE"""),"Panel")</f>
        <v>Panel</v>
      </c>
      <c r="J1826" s="2" t="str">
        <f>IFERROR(__xludf.DUMMYFUNCTION("""COMPUTED_VALUE"""),"All amenities")</f>
        <v>All amenities</v>
      </c>
      <c r="K1826" s="2">
        <f>IFERROR(__xludf.DUMMYFUNCTION("""COMPUTED_VALUE"""),35.0)</f>
        <v>35</v>
      </c>
      <c r="L1826" s="2">
        <f>IFERROR(__xludf.DUMMYFUNCTION("""COMPUTED_VALUE"""),56.9463129)</f>
        <v>56.9463129</v>
      </c>
      <c r="M1826" s="2">
        <f>IFERROR(__xludf.DUMMYFUNCTION("""COMPUTED_VALUE"""),24.0147023813573)</f>
        <v>24.01470238</v>
      </c>
    </row>
    <row r="1827">
      <c r="A1827" s="2" t="str">
        <f>IFERROR(__xludf.DUMMYFUNCTION("""COMPUTED_VALUE"""),"For sale")</f>
        <v>For sale</v>
      </c>
      <c r="B1827" s="2" t="str">
        <f>IFERROR(__xludf.DUMMYFUNCTION("""COMPUTED_VALUE"""),"centrs")</f>
        <v>centrs</v>
      </c>
      <c r="C1827" s="2" t="str">
        <f>IFERROR(__xludf.DUMMYFUNCTION("""COMPUTED_VALUE"""),"Brīvības 30")</f>
        <v>Brīvības 30</v>
      </c>
      <c r="D1827" s="2">
        <f>IFERROR(__xludf.DUMMYFUNCTION("""COMPUTED_VALUE"""),3.0)</f>
        <v>3</v>
      </c>
      <c r="E1827" s="2">
        <f>IFERROR(__xludf.DUMMYFUNCTION("""COMPUTED_VALUE"""),97.0)</f>
        <v>97</v>
      </c>
      <c r="F1827" s="2">
        <f>IFERROR(__xludf.DUMMYFUNCTION("""COMPUTED_VALUE"""),4.0)</f>
        <v>4</v>
      </c>
      <c r="G1827" s="2">
        <f>IFERROR(__xludf.DUMMYFUNCTION("""COMPUTED_VALUE"""),5.0)</f>
        <v>5</v>
      </c>
      <c r="H1827" s="2" t="str">
        <f>IFERROR(__xludf.DUMMYFUNCTION("""COMPUTED_VALUE"""),"P. kara")</f>
        <v>P. kara</v>
      </c>
      <c r="I1827" s="2" t="str">
        <f>IFERROR(__xludf.DUMMYFUNCTION("""COMPUTED_VALUE"""),"Masonry")</f>
        <v>Masonry</v>
      </c>
      <c r="J1827" s="2" t="str">
        <f>IFERROR(__xludf.DUMMYFUNCTION("""COMPUTED_VALUE"""),"All amenities")</f>
        <v>All amenities</v>
      </c>
      <c r="K1827" s="2">
        <f>IFERROR(__xludf.DUMMYFUNCTION("""COMPUTED_VALUE"""),195000.0)</f>
        <v>195000</v>
      </c>
      <c r="L1827" s="2">
        <f>IFERROR(__xludf.DUMMYFUNCTION("""COMPUTED_VALUE"""),56.9520463)</f>
        <v>56.9520463</v>
      </c>
      <c r="M1827" s="2">
        <f>IFERROR(__xludf.DUMMYFUNCTION("""COMPUTED_VALUE"""),24.11476)</f>
        <v>24.11476</v>
      </c>
    </row>
    <row r="1828">
      <c r="A1828" s="2" t="str">
        <f>IFERROR(__xludf.DUMMYFUNCTION("""COMPUTED_VALUE"""),"For sale")</f>
        <v>For sale</v>
      </c>
      <c r="B1828" s="2" t="str">
        <f>IFERROR(__xludf.DUMMYFUNCTION("""COMPUTED_VALUE"""),"Ziepniekkalns")</f>
        <v>Ziepniekkalns</v>
      </c>
      <c r="C1828" s="2" t="str">
        <f>IFERROR(__xludf.DUMMYFUNCTION("""COMPUTED_VALUE"""),"Līvciema 10")</f>
        <v>Līvciema 10</v>
      </c>
      <c r="D1828" s="2">
        <f>IFERROR(__xludf.DUMMYFUNCTION("""COMPUTED_VALUE"""),2.0)</f>
        <v>2</v>
      </c>
      <c r="E1828" s="2">
        <f>IFERROR(__xludf.DUMMYFUNCTION("""COMPUTED_VALUE"""),56.0)</f>
        <v>56</v>
      </c>
      <c r="F1828" s="2">
        <f>IFERROR(__xludf.DUMMYFUNCTION("""COMPUTED_VALUE"""),2.0)</f>
        <v>2</v>
      </c>
      <c r="G1828" s="2">
        <f>IFERROR(__xludf.DUMMYFUNCTION("""COMPUTED_VALUE"""),5.0)</f>
        <v>5</v>
      </c>
      <c r="H1828" s="2" t="str">
        <f>IFERROR(__xludf.DUMMYFUNCTION("""COMPUTED_VALUE"""),"Specpr.")</f>
        <v>Specpr.</v>
      </c>
      <c r="I1828" s="2" t="str">
        <f>IFERROR(__xludf.DUMMYFUNCTION("""COMPUTED_VALUE"""),"Panel")</f>
        <v>Panel</v>
      </c>
      <c r="J1828" s="2" t="str">
        <f>IFERROR(__xludf.DUMMYFUNCTION("""COMPUTED_VALUE"""),"All amenities")</f>
        <v>All amenities</v>
      </c>
      <c r="K1828" s="2">
        <f>IFERROR(__xludf.DUMMYFUNCTION("""COMPUTED_VALUE"""),64500.0)</f>
        <v>64500</v>
      </c>
      <c r="L1828" s="2">
        <f>IFERROR(__xludf.DUMMYFUNCTION("""COMPUTED_VALUE"""),56.9108369)</f>
        <v>56.9108369</v>
      </c>
      <c r="M1828" s="2">
        <f>IFERROR(__xludf.DUMMYFUNCTION("""COMPUTED_VALUE"""),24.098253430927)</f>
        <v>24.09825343</v>
      </c>
    </row>
    <row r="1829">
      <c r="A1829" s="2" t="str">
        <f>IFERROR(__xludf.DUMMYFUNCTION("""COMPUTED_VALUE"""),"For sale")</f>
        <v>For sale</v>
      </c>
      <c r="B1829" s="2" t="str">
        <f>IFERROR(__xludf.DUMMYFUNCTION("""COMPUTED_VALUE"""),"centrs")</f>
        <v>centrs</v>
      </c>
      <c r="C1829" s="2" t="str">
        <f>IFERROR(__xludf.DUMMYFUNCTION("""COMPUTED_VALUE"""),"Bruņinieku 149")</f>
        <v>Bruņinieku 149</v>
      </c>
      <c r="D1829" s="2">
        <f>IFERROR(__xludf.DUMMYFUNCTION("""COMPUTED_VALUE"""),2.0)</f>
        <v>2</v>
      </c>
      <c r="E1829" s="2">
        <f>IFERROR(__xludf.DUMMYFUNCTION("""COMPUTED_VALUE"""),36.0)</f>
        <v>36</v>
      </c>
      <c r="F1829" s="2">
        <f>IFERROR(__xludf.DUMMYFUNCTION("""COMPUTED_VALUE"""),2.0)</f>
        <v>2</v>
      </c>
      <c r="G1829" s="2">
        <f>IFERROR(__xludf.DUMMYFUNCTION("""COMPUTED_VALUE"""),2.0)</f>
        <v>2</v>
      </c>
      <c r="H1829" s="2" t="str">
        <f>IFERROR(__xludf.DUMMYFUNCTION("""COMPUTED_VALUE"""),"Specpr.")</f>
        <v>Specpr.</v>
      </c>
      <c r="I1829" s="2" t="str">
        <f>IFERROR(__xludf.DUMMYFUNCTION("""COMPUTED_VALUE"""),"Wood")</f>
        <v>Wood</v>
      </c>
      <c r="J1829" s="2" t="str">
        <f>IFERROR(__xludf.DUMMYFUNCTION("""COMPUTED_VALUE"""),"Partial amenities")</f>
        <v>Partial amenities</v>
      </c>
      <c r="K1829" s="2">
        <f>IFERROR(__xludf.DUMMYFUNCTION("""COMPUTED_VALUE"""),15890.0)</f>
        <v>15890</v>
      </c>
      <c r="L1829" s="2">
        <f>IFERROR(__xludf.DUMMYFUNCTION("""COMPUTED_VALUE"""),56.9599542)</f>
        <v>56.9599542</v>
      </c>
      <c r="M1829" s="2">
        <f>IFERROR(__xludf.DUMMYFUNCTION("""COMPUTED_VALUE"""),24.1248268)</f>
        <v>24.1248268</v>
      </c>
    </row>
    <row r="1830">
      <c r="A1830" s="2" t="str">
        <f>IFERROR(__xludf.DUMMYFUNCTION("""COMPUTED_VALUE"""),"For sale")</f>
        <v>For sale</v>
      </c>
      <c r="B1830" s="2" t="str">
        <f>IFERROR(__xludf.DUMMYFUNCTION("""COMPUTED_VALUE"""),"Šampēteris-Pleskodāle")</f>
        <v>Šampēteris-Pleskodāle</v>
      </c>
      <c r="C1830" s="2" t="str">
        <f>IFERROR(__xludf.DUMMYFUNCTION("""COMPUTED_VALUE"""),"Irlavas 1")</f>
        <v>Irlavas 1</v>
      </c>
      <c r="D1830" s="2">
        <f>IFERROR(__xludf.DUMMYFUNCTION("""COMPUTED_VALUE"""),1.0)</f>
        <v>1</v>
      </c>
      <c r="E1830" s="2">
        <f>IFERROR(__xludf.DUMMYFUNCTION("""COMPUTED_VALUE"""),25.0)</f>
        <v>25</v>
      </c>
      <c r="F1830" s="2">
        <f>IFERROR(__xludf.DUMMYFUNCTION("""COMPUTED_VALUE"""),1.0)</f>
        <v>1</v>
      </c>
      <c r="G1830" s="2">
        <f>IFERROR(__xludf.DUMMYFUNCTION("""COMPUTED_VALUE"""),1.0)</f>
        <v>1</v>
      </c>
      <c r="H1830" s="2" t="str">
        <f>IFERROR(__xludf.DUMMYFUNCTION("""COMPUTED_VALUE"""),"Specpr.")</f>
        <v>Specpr.</v>
      </c>
      <c r="I1830" s="2" t="str">
        <f>IFERROR(__xludf.DUMMYFUNCTION("""COMPUTED_VALUE"""),"Wood")</f>
        <v>Wood</v>
      </c>
      <c r="J1830" s="2" t="str">
        <f>IFERROR(__xludf.DUMMYFUNCTION("""COMPUTED_VALUE"""),"Partial amenities")</f>
        <v>Partial amenities</v>
      </c>
      <c r="K1830" s="2">
        <f>IFERROR(__xludf.DUMMYFUNCTION("""COMPUTED_VALUE"""),11000.0)</f>
        <v>11000</v>
      </c>
      <c r="L1830" s="2">
        <f>IFERROR(__xludf.DUMMYFUNCTION("""COMPUTED_VALUE"""),56.93698015)</f>
        <v>56.93698015</v>
      </c>
      <c r="M1830" s="2">
        <f>IFERROR(__xludf.DUMMYFUNCTION("""COMPUTED_VALUE"""),24.0403617021133)</f>
        <v>24.0403617</v>
      </c>
    </row>
    <row r="1831">
      <c r="A1831" s="2" t="str">
        <f>IFERROR(__xludf.DUMMYFUNCTION("""COMPUTED_VALUE"""),"For sale")</f>
        <v>For sale</v>
      </c>
      <c r="B1831" s="2" t="str">
        <f>IFERROR(__xludf.DUMMYFUNCTION("""COMPUTED_VALUE"""),"Jugla")</f>
        <v>Jugla</v>
      </c>
      <c r="C1831" s="2" t="str">
        <f>IFERROR(__xludf.DUMMYFUNCTION("""COMPUTED_VALUE"""),"Lilastes 5")</f>
        <v>Lilastes 5</v>
      </c>
      <c r="D1831" s="2">
        <f>IFERROR(__xludf.DUMMYFUNCTION("""COMPUTED_VALUE"""),2.0)</f>
        <v>2</v>
      </c>
      <c r="E1831" s="2">
        <f>IFERROR(__xludf.DUMMYFUNCTION("""COMPUTED_VALUE"""),45.0)</f>
        <v>45</v>
      </c>
      <c r="F1831" s="2">
        <f>IFERROR(__xludf.DUMMYFUNCTION("""COMPUTED_VALUE"""),3.0)</f>
        <v>3</v>
      </c>
      <c r="G1831" s="2">
        <f>IFERROR(__xludf.DUMMYFUNCTION("""COMPUTED_VALUE"""),5.0)</f>
        <v>5</v>
      </c>
      <c r="H1831" s="2" t="str">
        <f>IFERROR(__xludf.DUMMYFUNCTION("""COMPUTED_VALUE"""),"LT proj.")</f>
        <v>LT proj.</v>
      </c>
      <c r="I1831" s="2" t="str">
        <f>IFERROR(__xludf.DUMMYFUNCTION("""COMPUTED_VALUE"""),"Panel")</f>
        <v>Panel</v>
      </c>
      <c r="J1831" s="2" t="str">
        <f>IFERROR(__xludf.DUMMYFUNCTION("""COMPUTED_VALUE"""),"All amenities")</f>
        <v>All amenities</v>
      </c>
      <c r="K1831" s="2">
        <f>IFERROR(__xludf.DUMMYFUNCTION("""COMPUTED_VALUE"""),40000.0)</f>
        <v>40000</v>
      </c>
      <c r="L1831" s="2">
        <f>IFERROR(__xludf.DUMMYFUNCTION("""COMPUTED_VALUE"""),56.98077435)</f>
        <v>56.98077435</v>
      </c>
      <c r="M1831" s="2">
        <f>IFERROR(__xludf.DUMMYFUNCTION("""COMPUTED_VALUE"""),24.2503451750686)</f>
        <v>24.25034518</v>
      </c>
    </row>
    <row r="1832">
      <c r="A1832" s="2" t="str">
        <f>IFERROR(__xludf.DUMMYFUNCTION("""COMPUTED_VALUE"""),"For sale")</f>
        <v>For sale</v>
      </c>
      <c r="B1832" s="2" t="str">
        <f>IFERROR(__xludf.DUMMYFUNCTION("""COMPUTED_VALUE"""),"centrs")</f>
        <v>centrs</v>
      </c>
      <c r="C1832" s="2" t="str">
        <f>IFERROR(__xludf.DUMMYFUNCTION("""COMPUTED_VALUE"""),"Skolas 10")</f>
        <v>Skolas 10</v>
      </c>
      <c r="D1832" s="2">
        <f>IFERROR(__xludf.DUMMYFUNCTION("""COMPUTED_VALUE"""),5.0)</f>
        <v>5</v>
      </c>
      <c r="E1832" s="2">
        <f>IFERROR(__xludf.DUMMYFUNCTION("""COMPUTED_VALUE"""),210.0)</f>
        <v>210</v>
      </c>
      <c r="F1832" s="2">
        <f>IFERROR(__xludf.DUMMYFUNCTION("""COMPUTED_VALUE"""),1.0)</f>
        <v>1</v>
      </c>
      <c r="G1832" s="2">
        <f>IFERROR(__xludf.DUMMYFUNCTION("""COMPUTED_VALUE"""),5.0)</f>
        <v>5</v>
      </c>
      <c r="H1832" s="2" t="str">
        <f>IFERROR(__xludf.DUMMYFUNCTION("""COMPUTED_VALUE"""),"Renov.")</f>
        <v>Renov.</v>
      </c>
      <c r="I1832" s="2" t="str">
        <f>IFERROR(__xludf.DUMMYFUNCTION("""COMPUTED_VALUE"""),"Masonry")</f>
        <v>Masonry</v>
      </c>
      <c r="J1832" s="2" t="str">
        <f>IFERROR(__xludf.DUMMYFUNCTION("""COMPUTED_VALUE"""),"All amenities")</f>
        <v>All amenities</v>
      </c>
      <c r="K1832" s="2">
        <f>IFERROR(__xludf.DUMMYFUNCTION("""COMPUTED_VALUE"""),288888.0)</f>
        <v>288888</v>
      </c>
      <c r="L1832" s="2">
        <f>IFERROR(__xludf.DUMMYFUNCTION("""COMPUTED_VALUE"""),48.2969502)</f>
        <v>48.2969502</v>
      </c>
      <c r="M1832" s="2">
        <f>IFERROR(__xludf.DUMMYFUNCTION("""COMPUTED_VALUE"""),-100.7081938)</f>
        <v>-100.7081938</v>
      </c>
    </row>
    <row r="1833">
      <c r="A1833" s="2" t="str">
        <f>IFERROR(__xludf.DUMMYFUNCTION("""COMPUTED_VALUE"""),"For rent")</f>
        <v>For rent</v>
      </c>
      <c r="B1833" s="2" t="str">
        <f>IFERROR(__xludf.DUMMYFUNCTION("""COMPUTED_VALUE"""),"centrs")</f>
        <v>centrs</v>
      </c>
      <c r="C1833" s="2" t="str">
        <f>IFERROR(__xludf.DUMMYFUNCTION("""COMPUTED_VALUE"""),"Marijas 16")</f>
        <v>Marijas 16</v>
      </c>
      <c r="D1833" s="2">
        <f>IFERROR(__xludf.DUMMYFUNCTION("""COMPUTED_VALUE"""),3.0)</f>
        <v>3</v>
      </c>
      <c r="E1833" s="2">
        <f>IFERROR(__xludf.DUMMYFUNCTION("""COMPUTED_VALUE"""),79.0)</f>
        <v>79</v>
      </c>
      <c r="F1833" s="2">
        <f>IFERROR(__xludf.DUMMYFUNCTION("""COMPUTED_VALUE"""),6.0)</f>
        <v>6</v>
      </c>
      <c r="G1833" s="2">
        <f>IFERROR(__xludf.DUMMYFUNCTION("""COMPUTED_VALUE"""),7.0)</f>
        <v>7</v>
      </c>
      <c r="H1833" s="2" t="str">
        <f>IFERROR(__xludf.DUMMYFUNCTION("""COMPUTED_VALUE"""),"Renov.")</f>
        <v>Renov.</v>
      </c>
      <c r="I1833" s="2" t="str">
        <f>IFERROR(__xludf.DUMMYFUNCTION("""COMPUTED_VALUE"""),"Masonry")</f>
        <v>Masonry</v>
      </c>
      <c r="J1833" s="2" t="str">
        <f>IFERROR(__xludf.DUMMYFUNCTION("""COMPUTED_VALUE"""),"All amenities")</f>
        <v>All amenities</v>
      </c>
      <c r="K1833" s="2">
        <f>IFERROR(__xludf.DUMMYFUNCTION("""COMPUTED_VALUE"""),700.0)</f>
        <v>700</v>
      </c>
      <c r="L1833" s="2">
        <f>IFERROR(__xludf.DUMMYFUNCTION("""COMPUTED_VALUE"""),56.9505796)</f>
        <v>56.9505796</v>
      </c>
      <c r="M1833" s="2">
        <f>IFERROR(__xludf.DUMMYFUNCTION("""COMPUTED_VALUE"""),24.1255938)</f>
        <v>24.1255938</v>
      </c>
    </row>
    <row r="1834">
      <c r="A1834" s="2" t="str">
        <f>IFERROR(__xludf.DUMMYFUNCTION("""COMPUTED_VALUE"""),"For sale")</f>
        <v>For sale</v>
      </c>
      <c r="B1834" s="2" t="str">
        <f>IFERROR(__xludf.DUMMYFUNCTION("""COMPUTED_VALUE"""),"centrs")</f>
        <v>centrs</v>
      </c>
      <c r="C1834" s="2" t="str">
        <f>IFERROR(__xludf.DUMMYFUNCTION("""COMPUTED_VALUE"""),"Klusā 20")</f>
        <v>Klusā 20</v>
      </c>
      <c r="D1834" s="2">
        <f>IFERROR(__xludf.DUMMYFUNCTION("""COMPUTED_VALUE"""),1.0)</f>
        <v>1</v>
      </c>
      <c r="E1834" s="2">
        <f>IFERROR(__xludf.DUMMYFUNCTION("""COMPUTED_VALUE"""),38.0)</f>
        <v>38</v>
      </c>
      <c r="F1834" s="2">
        <f>IFERROR(__xludf.DUMMYFUNCTION("""COMPUTED_VALUE"""),3.0)</f>
        <v>3</v>
      </c>
      <c r="G1834" s="2">
        <f>IFERROR(__xludf.DUMMYFUNCTION("""COMPUTED_VALUE"""),9.0)</f>
        <v>9</v>
      </c>
      <c r="H1834" s="2" t="str">
        <f>IFERROR(__xludf.DUMMYFUNCTION("""COMPUTED_VALUE"""),"Renov.")</f>
        <v>Renov.</v>
      </c>
      <c r="I1834" s="2" t="str">
        <f>IFERROR(__xludf.DUMMYFUNCTION("""COMPUTED_VALUE"""),"Brick-Panel")</f>
        <v>Brick-Panel</v>
      </c>
      <c r="J1834" s="2" t="str">
        <f>IFERROR(__xludf.DUMMYFUNCTION("""COMPUTED_VALUE"""),"All amenities")</f>
        <v>All amenities</v>
      </c>
      <c r="K1834" s="2">
        <f>IFERROR(__xludf.DUMMYFUNCTION("""COMPUTED_VALUE"""),45000.0)</f>
        <v>45000</v>
      </c>
      <c r="L1834" s="2">
        <f>IFERROR(__xludf.DUMMYFUNCTION("""COMPUTED_VALUE"""),56.97650505)</f>
        <v>56.97650505</v>
      </c>
      <c r="M1834" s="2">
        <f>IFERROR(__xludf.DUMMYFUNCTION("""COMPUTED_VALUE"""),24.1464958357009)</f>
        <v>24.14649584</v>
      </c>
    </row>
    <row r="1835">
      <c r="A1835" s="2" t="str">
        <f>IFERROR(__xludf.DUMMYFUNCTION("""COMPUTED_VALUE"""),"For sale")</f>
        <v>For sale</v>
      </c>
      <c r="B1835" s="2" t="str">
        <f>IFERROR(__xludf.DUMMYFUNCTION("""COMPUTED_VALUE"""),"Āgenskalns")</f>
        <v>Āgenskalns</v>
      </c>
      <c r="C1835" s="2" t="str">
        <f>IFERROR(__xludf.DUMMYFUNCTION("""COMPUTED_VALUE"""),"Nomales 8")</f>
        <v>Nomales 8</v>
      </c>
      <c r="D1835" s="2">
        <f>IFERROR(__xludf.DUMMYFUNCTION("""COMPUTED_VALUE"""),2.0)</f>
        <v>2</v>
      </c>
      <c r="E1835" s="2">
        <f>IFERROR(__xludf.DUMMYFUNCTION("""COMPUTED_VALUE"""),41.0)</f>
        <v>41</v>
      </c>
      <c r="F1835" s="2">
        <f>IFERROR(__xludf.DUMMYFUNCTION("""COMPUTED_VALUE"""),4.0)</f>
        <v>4</v>
      </c>
      <c r="G1835" s="2">
        <f>IFERROR(__xludf.DUMMYFUNCTION("""COMPUTED_VALUE"""),4.0)</f>
        <v>4</v>
      </c>
      <c r="H1835" s="2" t="str">
        <f>IFERROR(__xludf.DUMMYFUNCTION("""COMPUTED_VALUE"""),"Hrušč.")</f>
        <v>Hrušč.</v>
      </c>
      <c r="I1835" s="2" t="str">
        <f>IFERROR(__xludf.DUMMYFUNCTION("""COMPUTED_VALUE"""),"Brick")</f>
        <v>Brick</v>
      </c>
      <c r="J1835" s="2" t="str">
        <f>IFERROR(__xludf.DUMMYFUNCTION("""COMPUTED_VALUE"""),"All amenities")</f>
        <v>All amenities</v>
      </c>
      <c r="K1835" s="2">
        <f>IFERROR(__xludf.DUMMYFUNCTION("""COMPUTED_VALUE"""),45000.0)</f>
        <v>45000</v>
      </c>
      <c r="L1835" s="2">
        <f>IFERROR(__xludf.DUMMYFUNCTION("""COMPUTED_VALUE"""),56.9371723)</f>
        <v>56.9371723</v>
      </c>
      <c r="M1835" s="2">
        <f>IFERROR(__xludf.DUMMYFUNCTION("""COMPUTED_VALUE"""),24.05661315)</f>
        <v>24.05661315</v>
      </c>
    </row>
    <row r="1836">
      <c r="A1836" s="2" t="str">
        <f>IFERROR(__xludf.DUMMYFUNCTION("""COMPUTED_VALUE"""),"For sale")</f>
        <v>For sale</v>
      </c>
      <c r="B1836" s="2" t="str">
        <f>IFERROR(__xludf.DUMMYFUNCTION("""COMPUTED_VALUE"""),"Šampēteris-Pleskodāle")</f>
        <v>Šampēteris-Pleskodāle</v>
      </c>
      <c r="C1836" s="2" t="str">
        <f>IFERROR(__xludf.DUMMYFUNCTION("""COMPUTED_VALUE"""),"Zalves 116")</f>
        <v>Zalves 116</v>
      </c>
      <c r="D1836" s="2">
        <f>IFERROR(__xludf.DUMMYFUNCTION("""COMPUTED_VALUE"""),2.0)</f>
        <v>2</v>
      </c>
      <c r="E1836" s="2">
        <f>IFERROR(__xludf.DUMMYFUNCTION("""COMPUTED_VALUE"""),42.0)</f>
        <v>42</v>
      </c>
      <c r="F1836" s="2">
        <f>IFERROR(__xludf.DUMMYFUNCTION("""COMPUTED_VALUE"""),1.0)</f>
        <v>1</v>
      </c>
      <c r="G1836" s="2">
        <f>IFERROR(__xludf.DUMMYFUNCTION("""COMPUTED_VALUE"""),2.0)</f>
        <v>2</v>
      </c>
      <c r="H1836" s="2" t="str">
        <f>IFERROR(__xludf.DUMMYFUNCTION("""COMPUTED_VALUE"""),"Priv. m.")</f>
        <v>Priv. m.</v>
      </c>
      <c r="I1836" s="2" t="str">
        <f>IFERROR(__xludf.DUMMYFUNCTION("""COMPUTED_VALUE"""),"Wood")</f>
        <v>Wood</v>
      </c>
      <c r="J1836" s="2" t="str">
        <f>IFERROR(__xludf.DUMMYFUNCTION("""COMPUTED_VALUE"""),"All amenities")</f>
        <v>All amenities</v>
      </c>
      <c r="K1836" s="2">
        <f>IFERROR(__xludf.DUMMYFUNCTION("""COMPUTED_VALUE"""),52000.0)</f>
        <v>52000</v>
      </c>
      <c r="L1836" s="2">
        <f>IFERROR(__xludf.DUMMYFUNCTION("""COMPUTED_VALUE"""),56.9318064499999)</f>
        <v>56.93180645</v>
      </c>
      <c r="M1836" s="2">
        <f>IFERROR(__xludf.DUMMYFUNCTION("""COMPUTED_VALUE"""),24.0198103642716)</f>
        <v>24.01981036</v>
      </c>
    </row>
    <row r="1837">
      <c r="A1837" s="2" t="str">
        <f>IFERROR(__xludf.DUMMYFUNCTION("""COMPUTED_VALUE"""),"For sale")</f>
        <v>For sale</v>
      </c>
      <c r="B1837" s="2" t="str">
        <f>IFERROR(__xludf.DUMMYFUNCTION("""COMPUTED_VALUE"""),"centrs")</f>
        <v>centrs</v>
      </c>
      <c r="C1837" s="2" t="str">
        <f>IFERROR(__xludf.DUMMYFUNCTION("""COMPUTED_VALUE"""),"Raiņa bulv. 3")</f>
        <v>Raiņa bulv. 3</v>
      </c>
      <c r="D1837" s="2">
        <f>IFERROR(__xludf.DUMMYFUNCTION("""COMPUTED_VALUE"""),4.0)</f>
        <v>4</v>
      </c>
      <c r="E1837" s="2">
        <f>IFERROR(__xludf.DUMMYFUNCTION("""COMPUTED_VALUE"""),128.0)</f>
        <v>128</v>
      </c>
      <c r="F1837" s="2">
        <f>IFERROR(__xludf.DUMMYFUNCTION("""COMPUTED_VALUE"""),2.0)</f>
        <v>2</v>
      </c>
      <c r="G1837" s="2">
        <f>IFERROR(__xludf.DUMMYFUNCTION("""COMPUTED_VALUE"""),6.0)</f>
        <v>6</v>
      </c>
      <c r="H1837" s="2" t="str">
        <f>IFERROR(__xludf.DUMMYFUNCTION("""COMPUTED_VALUE"""),"Renov.")</f>
        <v>Renov.</v>
      </c>
      <c r="I1837" s="2" t="str">
        <f>IFERROR(__xludf.DUMMYFUNCTION("""COMPUTED_VALUE"""),"Brick")</f>
        <v>Brick</v>
      </c>
      <c r="J1837" s="2" t="str">
        <f>IFERROR(__xludf.DUMMYFUNCTION("""COMPUTED_VALUE"""),"All amenities")</f>
        <v>All amenities</v>
      </c>
      <c r="K1837" s="2">
        <f>IFERROR(__xludf.DUMMYFUNCTION("""COMPUTED_VALUE"""),267960.0)</f>
        <v>267960</v>
      </c>
      <c r="L1837" s="2" t="str">
        <f>IFERROR(__xludf.DUMMYFUNCTION("""COMPUTED_VALUE"""),"NaN")</f>
        <v>NaN</v>
      </c>
      <c r="M1837" s="2" t="str">
        <f>IFERROR(__xludf.DUMMYFUNCTION("""COMPUTED_VALUE"""),"NaN")</f>
        <v>NaN</v>
      </c>
    </row>
    <row r="1838">
      <c r="A1838" s="2" t="str">
        <f>IFERROR(__xludf.DUMMYFUNCTION("""COMPUTED_VALUE"""),"For rent")</f>
        <v>For rent</v>
      </c>
      <c r="B1838" s="2" t="str">
        <f>IFERROR(__xludf.DUMMYFUNCTION("""COMPUTED_VALUE"""),"Mežaparks")</f>
        <v>Mežaparks</v>
      </c>
      <c r="C1838" s="2" t="str">
        <f>IFERROR(__xludf.DUMMYFUNCTION("""COMPUTED_VALUE"""),"Ķempes 7")</f>
        <v>Ķempes 7</v>
      </c>
      <c r="D1838" s="2">
        <f>IFERROR(__xludf.DUMMYFUNCTION("""COMPUTED_VALUE"""),3.0)</f>
        <v>3</v>
      </c>
      <c r="E1838" s="2">
        <f>IFERROR(__xludf.DUMMYFUNCTION("""COMPUTED_VALUE"""),70.0)</f>
        <v>70</v>
      </c>
      <c r="F1838" s="2">
        <f>IFERROR(__xludf.DUMMYFUNCTION("""COMPUTED_VALUE"""),11.0)</f>
        <v>11</v>
      </c>
      <c r="G1838" s="2">
        <f>IFERROR(__xludf.DUMMYFUNCTION("""COMPUTED_VALUE"""),12.0)</f>
        <v>12</v>
      </c>
      <c r="H1838" s="2" t="str">
        <f>IFERROR(__xludf.DUMMYFUNCTION("""COMPUTED_VALUE"""),"Specpr.")</f>
        <v>Specpr.</v>
      </c>
      <c r="I1838" s="2" t="str">
        <f>IFERROR(__xludf.DUMMYFUNCTION("""COMPUTED_VALUE"""),"Brick-Panel")</f>
        <v>Brick-Panel</v>
      </c>
      <c r="J1838" s="2" t="str">
        <f>IFERROR(__xludf.DUMMYFUNCTION("""COMPUTED_VALUE"""),"All amenities")</f>
        <v>All amenities</v>
      </c>
      <c r="K1838" s="2">
        <f>IFERROR(__xludf.DUMMYFUNCTION("""COMPUTED_VALUE"""),400.0)</f>
        <v>400</v>
      </c>
      <c r="L1838" s="2">
        <f>IFERROR(__xludf.DUMMYFUNCTION("""COMPUTED_VALUE"""),56.9949314499999)</f>
        <v>56.99493145</v>
      </c>
      <c r="M1838" s="2">
        <f>IFERROR(__xludf.DUMMYFUNCTION("""COMPUTED_VALUE"""),24.1681921067166)</f>
        <v>24.16819211</v>
      </c>
    </row>
    <row r="1839">
      <c r="A1839" s="2" t="str">
        <f>IFERROR(__xludf.DUMMYFUNCTION("""COMPUTED_VALUE"""),"For sale")</f>
        <v>For sale</v>
      </c>
      <c r="B1839" s="2" t="str">
        <f>IFERROR(__xludf.DUMMYFUNCTION("""COMPUTED_VALUE"""),"Mežciems")</f>
        <v>Mežciems</v>
      </c>
      <c r="C1839" s="2" t="str">
        <f>IFERROR(__xludf.DUMMYFUNCTION("""COMPUTED_VALUE"""),"Kaivas 50 k-4")</f>
        <v>Kaivas 50 k-4</v>
      </c>
      <c r="D1839" s="2">
        <f>IFERROR(__xludf.DUMMYFUNCTION("""COMPUTED_VALUE"""),3.0)</f>
        <v>3</v>
      </c>
      <c r="E1839" s="2">
        <f>IFERROR(__xludf.DUMMYFUNCTION("""COMPUTED_VALUE"""),70.0)</f>
        <v>70</v>
      </c>
      <c r="F1839" s="2">
        <f>IFERROR(__xludf.DUMMYFUNCTION("""COMPUTED_VALUE"""),1.0)</f>
        <v>1</v>
      </c>
      <c r="G1839" s="2">
        <f>IFERROR(__xludf.DUMMYFUNCTION("""COMPUTED_VALUE"""),5.0)</f>
        <v>5</v>
      </c>
      <c r="H1839" s="2" t="str">
        <f>IFERROR(__xludf.DUMMYFUNCTION("""COMPUTED_VALUE"""),"Jaun.")</f>
        <v>Jaun.</v>
      </c>
      <c r="I1839" s="2" t="str">
        <f>IFERROR(__xludf.DUMMYFUNCTION("""COMPUTED_VALUE"""),"Panel")</f>
        <v>Panel</v>
      </c>
      <c r="J1839" s="2" t="str">
        <f>IFERROR(__xludf.DUMMYFUNCTION("""COMPUTED_VALUE"""),"All amenities")</f>
        <v>All amenities</v>
      </c>
      <c r="K1839" s="2">
        <f>IFERROR(__xludf.DUMMYFUNCTION("""COMPUTED_VALUE"""),99900.0)</f>
        <v>99900</v>
      </c>
      <c r="L1839" s="2" t="str">
        <f>IFERROR(__xludf.DUMMYFUNCTION("""COMPUTED_VALUE"""),"NaN")</f>
        <v>NaN</v>
      </c>
      <c r="M1839" s="2" t="str">
        <f>IFERROR(__xludf.DUMMYFUNCTION("""COMPUTED_VALUE"""),"NaN")</f>
        <v>NaN</v>
      </c>
    </row>
    <row r="1840">
      <c r="A1840" s="2" t="str">
        <f>IFERROR(__xludf.DUMMYFUNCTION("""COMPUTED_VALUE"""),"For sale")</f>
        <v>For sale</v>
      </c>
      <c r="B1840" s="2" t="str">
        <f>IFERROR(__xludf.DUMMYFUNCTION("""COMPUTED_VALUE"""),"centrs")</f>
        <v>centrs</v>
      </c>
      <c r="C1840" s="2" t="str">
        <f>IFERROR(__xludf.DUMMYFUNCTION("""COMPUTED_VALUE"""),"Čaka 33")</f>
        <v>Čaka 33</v>
      </c>
      <c r="D1840" s="2">
        <f>IFERROR(__xludf.DUMMYFUNCTION("""COMPUTED_VALUE"""),1.0)</f>
        <v>1</v>
      </c>
      <c r="E1840" s="2">
        <f>IFERROR(__xludf.DUMMYFUNCTION("""COMPUTED_VALUE"""),37.0)</f>
        <v>37</v>
      </c>
      <c r="F1840" s="2">
        <f>IFERROR(__xludf.DUMMYFUNCTION("""COMPUTED_VALUE"""),6.0)</f>
        <v>6</v>
      </c>
      <c r="G1840" s="2">
        <f>IFERROR(__xludf.DUMMYFUNCTION("""COMPUTED_VALUE"""),7.0)</f>
        <v>7</v>
      </c>
      <c r="H1840" s="2" t="str">
        <f>IFERROR(__xludf.DUMMYFUNCTION("""COMPUTED_VALUE"""),"Renov.")</f>
        <v>Renov.</v>
      </c>
      <c r="I1840" s="2" t="str">
        <f>IFERROR(__xludf.DUMMYFUNCTION("""COMPUTED_VALUE"""),"Masonry")</f>
        <v>Masonry</v>
      </c>
      <c r="J1840" s="2" t="str">
        <f>IFERROR(__xludf.DUMMYFUNCTION("""COMPUTED_VALUE"""),"All amenities")</f>
        <v>All amenities</v>
      </c>
      <c r="K1840" s="2">
        <f>IFERROR(__xludf.DUMMYFUNCTION("""COMPUTED_VALUE"""),72000.0)</f>
        <v>72000</v>
      </c>
      <c r="L1840" s="2">
        <f>IFERROR(__xludf.DUMMYFUNCTION("""COMPUTED_VALUE"""),56.9521436)</f>
        <v>56.9521436</v>
      </c>
      <c r="M1840" s="2">
        <f>IFERROR(__xludf.DUMMYFUNCTION("""COMPUTED_VALUE"""),24.1276865)</f>
        <v>24.1276865</v>
      </c>
    </row>
    <row r="1841">
      <c r="A1841" s="2" t="str">
        <f>IFERROR(__xludf.DUMMYFUNCTION("""COMPUTED_VALUE"""),"For sale")</f>
        <v>For sale</v>
      </c>
      <c r="B1841" s="2" t="str">
        <f>IFERROR(__xludf.DUMMYFUNCTION("""COMPUTED_VALUE"""),"Imanta")</f>
        <v>Imanta</v>
      </c>
      <c r="C1841" s="2" t="str">
        <f>IFERROR(__xludf.DUMMYFUNCTION("""COMPUTED_VALUE"""),"Anniņmuižas bulvāris 30")</f>
        <v>Anniņmuižas bulvāris 30</v>
      </c>
      <c r="D1841" s="2">
        <f>IFERROR(__xludf.DUMMYFUNCTION("""COMPUTED_VALUE"""),4.0)</f>
        <v>4</v>
      </c>
      <c r="E1841" s="2">
        <f>IFERROR(__xludf.DUMMYFUNCTION("""COMPUTED_VALUE"""),124.0)</f>
        <v>124</v>
      </c>
      <c r="F1841" s="2">
        <f>IFERROR(__xludf.DUMMYFUNCTION("""COMPUTED_VALUE"""),11.0)</f>
        <v>11</v>
      </c>
      <c r="G1841" s="2">
        <f>IFERROR(__xludf.DUMMYFUNCTION("""COMPUTED_VALUE"""),13.0)</f>
        <v>13</v>
      </c>
      <c r="H1841" s="2" t="str">
        <f>IFERROR(__xludf.DUMMYFUNCTION("""COMPUTED_VALUE"""),"Specpr.")</f>
        <v>Specpr.</v>
      </c>
      <c r="I1841" s="2" t="str">
        <f>IFERROR(__xludf.DUMMYFUNCTION("""COMPUTED_VALUE"""),"Brick")</f>
        <v>Brick</v>
      </c>
      <c r="J1841" s="2" t="str">
        <f>IFERROR(__xludf.DUMMYFUNCTION("""COMPUTED_VALUE"""),"All amenities")</f>
        <v>All amenities</v>
      </c>
      <c r="K1841" s="2">
        <f>IFERROR(__xludf.DUMMYFUNCTION("""COMPUTED_VALUE"""),167000.0)</f>
        <v>167000</v>
      </c>
      <c r="L1841" s="2">
        <f>IFERROR(__xludf.DUMMYFUNCTION("""COMPUTED_VALUE"""),56.96054545)</f>
        <v>56.96054545</v>
      </c>
      <c r="M1841" s="2">
        <f>IFERROR(__xludf.DUMMYFUNCTION("""COMPUTED_VALUE"""),24.0193858549983)</f>
        <v>24.01938585</v>
      </c>
    </row>
    <row r="1842">
      <c r="A1842" s="2" t="str">
        <f>IFERROR(__xludf.DUMMYFUNCTION("""COMPUTED_VALUE"""),"For sale")</f>
        <v>For sale</v>
      </c>
      <c r="B1842" s="2" t="str">
        <f>IFERROR(__xludf.DUMMYFUNCTION("""COMPUTED_VALUE"""),"Purvciems")</f>
        <v>Purvciems</v>
      </c>
      <c r="C1842" s="2" t="str">
        <f>IFERROR(__xludf.DUMMYFUNCTION("""COMPUTED_VALUE"""),"Deglava 124")</f>
        <v>Deglava 124</v>
      </c>
      <c r="D1842" s="2">
        <f>IFERROR(__xludf.DUMMYFUNCTION("""COMPUTED_VALUE"""),2.0)</f>
        <v>2</v>
      </c>
      <c r="E1842" s="2">
        <f>IFERROR(__xludf.DUMMYFUNCTION("""COMPUTED_VALUE"""),54.0)</f>
        <v>54</v>
      </c>
      <c r="F1842" s="2">
        <f>IFERROR(__xludf.DUMMYFUNCTION("""COMPUTED_VALUE"""),4.0)</f>
        <v>4</v>
      </c>
      <c r="G1842" s="2">
        <f>IFERROR(__xludf.DUMMYFUNCTION("""COMPUTED_VALUE"""),9.0)</f>
        <v>9</v>
      </c>
      <c r="H1842" s="2">
        <f>IFERROR(__xludf.DUMMYFUNCTION("""COMPUTED_VALUE"""),119.0)</f>
        <v>119</v>
      </c>
      <c r="I1842" s="2" t="str">
        <f>IFERROR(__xludf.DUMMYFUNCTION("""COMPUTED_VALUE"""),"Panel")</f>
        <v>Panel</v>
      </c>
      <c r="J1842" s="2" t="str">
        <f>IFERROR(__xludf.DUMMYFUNCTION("""COMPUTED_VALUE"""),"All amenities")</f>
        <v>All amenities</v>
      </c>
      <c r="K1842" s="2">
        <f>IFERROR(__xludf.DUMMYFUNCTION("""COMPUTED_VALUE"""),59600.0)</f>
        <v>59600</v>
      </c>
      <c r="L1842" s="2">
        <f>IFERROR(__xludf.DUMMYFUNCTION("""COMPUTED_VALUE"""),56.94608785)</f>
        <v>56.94608785</v>
      </c>
      <c r="M1842" s="2">
        <f>IFERROR(__xludf.DUMMYFUNCTION("""COMPUTED_VALUE"""),24.20000955)</f>
        <v>24.20000955</v>
      </c>
    </row>
    <row r="1843">
      <c r="A1843" s="2" t="str">
        <f>IFERROR(__xludf.DUMMYFUNCTION("""COMPUTED_VALUE"""),"For sale")</f>
        <v>For sale</v>
      </c>
      <c r="B1843" s="2" t="str">
        <f>IFERROR(__xludf.DUMMYFUNCTION("""COMPUTED_VALUE"""),"centrs")</f>
        <v>centrs</v>
      </c>
      <c r="C1843" s="2" t="str">
        <f>IFERROR(__xludf.DUMMYFUNCTION("""COMPUTED_VALUE"""),"Grēcinieku 26")</f>
        <v>Grēcinieku 26</v>
      </c>
      <c r="D1843" s="2">
        <f>IFERROR(__xludf.DUMMYFUNCTION("""COMPUTED_VALUE"""),6.0)</f>
        <v>6</v>
      </c>
      <c r="E1843" s="2">
        <f>IFERROR(__xludf.DUMMYFUNCTION("""COMPUTED_VALUE"""),131.0)</f>
        <v>131</v>
      </c>
      <c r="F1843" s="2">
        <f>IFERROR(__xludf.DUMMYFUNCTION("""COMPUTED_VALUE"""),4.0)</f>
        <v>4</v>
      </c>
      <c r="G1843" s="2">
        <f>IFERROR(__xludf.DUMMYFUNCTION("""COMPUTED_VALUE"""),4.0)</f>
        <v>4</v>
      </c>
      <c r="H1843" s="2" t="str">
        <f>IFERROR(__xludf.DUMMYFUNCTION("""COMPUTED_VALUE"""),"P. kara")</f>
        <v>P. kara</v>
      </c>
      <c r="I1843" s="2" t="str">
        <f>IFERROR(__xludf.DUMMYFUNCTION("""COMPUTED_VALUE"""),"Masonry")</f>
        <v>Masonry</v>
      </c>
      <c r="J1843" s="2" t="str">
        <f>IFERROR(__xludf.DUMMYFUNCTION("""COMPUTED_VALUE"""),"All amenities")</f>
        <v>All amenities</v>
      </c>
      <c r="K1843" s="2">
        <f>IFERROR(__xludf.DUMMYFUNCTION("""COMPUTED_VALUE"""),90000.0)</f>
        <v>90000</v>
      </c>
      <c r="L1843" s="2">
        <f>IFERROR(__xludf.DUMMYFUNCTION("""COMPUTED_VALUE"""),56.9466569)</f>
        <v>56.9466569</v>
      </c>
      <c r="M1843" s="2">
        <f>IFERROR(__xludf.DUMMYFUNCTION("""COMPUTED_VALUE"""),24.1073804)</f>
        <v>24.1073804</v>
      </c>
    </row>
    <row r="1844">
      <c r="A1844" s="2" t="str">
        <f>IFERROR(__xludf.DUMMYFUNCTION("""COMPUTED_VALUE"""),"For sale")</f>
        <v>For sale</v>
      </c>
      <c r="B1844" s="2" t="str">
        <f>IFERROR(__xludf.DUMMYFUNCTION("""COMPUTED_VALUE"""),"centrs")</f>
        <v>centrs</v>
      </c>
      <c r="C1844" s="2" t="str">
        <f>IFERROR(__xludf.DUMMYFUNCTION("""COMPUTED_VALUE"""),"Laboratorijas 1")</f>
        <v>Laboratorijas 1</v>
      </c>
      <c r="D1844" s="2" t="str">
        <f>IFERROR(__xludf.DUMMYFUNCTION("""COMPUTED_VALUE"""),"Citi")</f>
        <v>Citi</v>
      </c>
      <c r="E1844" s="2">
        <f>IFERROR(__xludf.DUMMYFUNCTION("""COMPUTED_VALUE"""),115.4)</f>
        <v>115.4</v>
      </c>
      <c r="F1844" s="2">
        <f>IFERROR(__xludf.DUMMYFUNCTION("""COMPUTED_VALUE"""),2.0)</f>
        <v>2</v>
      </c>
      <c r="G1844" s="2">
        <f>IFERROR(__xludf.DUMMYFUNCTION("""COMPUTED_VALUE"""),2.0)</f>
        <v>2</v>
      </c>
      <c r="H1844" s="2" t="str">
        <f>IFERROR(__xludf.DUMMYFUNCTION("""COMPUTED_VALUE"""),"P. kara")</f>
        <v>P. kara</v>
      </c>
      <c r="I1844" s="2" t="str">
        <f>IFERROR(__xludf.DUMMYFUNCTION("""COMPUTED_VALUE"""),"Wood")</f>
        <v>Wood</v>
      </c>
      <c r="J1844" s="2" t="str">
        <f>IFERROR(__xludf.DUMMYFUNCTION("""COMPUTED_VALUE"""),"Partial amenities")</f>
        <v>Partial amenities</v>
      </c>
      <c r="K1844" s="2">
        <f>IFERROR(__xludf.DUMMYFUNCTION("""COMPUTED_VALUE"""),50000.0)</f>
        <v>50000</v>
      </c>
      <c r="L1844" s="2">
        <f>IFERROR(__xludf.DUMMYFUNCTION("""COMPUTED_VALUE"""),56.9587931)</f>
        <v>56.9587931</v>
      </c>
      <c r="M1844" s="2">
        <f>IFERROR(__xludf.DUMMYFUNCTION("""COMPUTED_VALUE"""),24.1491180145504)</f>
        <v>24.14911801</v>
      </c>
    </row>
    <row r="1845">
      <c r="A1845" s="2" t="str">
        <f>IFERROR(__xludf.DUMMYFUNCTION("""COMPUTED_VALUE"""),"For sale")</f>
        <v>For sale</v>
      </c>
      <c r="B1845" s="2" t="str">
        <f>IFERROR(__xludf.DUMMYFUNCTION("""COMPUTED_VALUE"""),"Vecrīga")</f>
        <v>Vecrīga</v>
      </c>
      <c r="C1845" s="2" t="str">
        <f>IFERROR(__xludf.DUMMYFUNCTION("""COMPUTED_VALUE"""),"Kaļķu 2")</f>
        <v>Kaļķu 2</v>
      </c>
      <c r="D1845" s="2">
        <f>IFERROR(__xludf.DUMMYFUNCTION("""COMPUTED_VALUE"""),3.0)</f>
        <v>3</v>
      </c>
      <c r="E1845" s="2">
        <f>IFERROR(__xludf.DUMMYFUNCTION("""COMPUTED_VALUE"""),79.0)</f>
        <v>79</v>
      </c>
      <c r="F1845" s="2">
        <f>IFERROR(__xludf.DUMMYFUNCTION("""COMPUTED_VALUE"""),3.0)</f>
        <v>3</v>
      </c>
      <c r="G1845" s="2">
        <f>IFERROR(__xludf.DUMMYFUNCTION("""COMPUTED_VALUE"""),5.0)</f>
        <v>5</v>
      </c>
      <c r="H1845" s="2" t="str">
        <f>IFERROR(__xludf.DUMMYFUNCTION("""COMPUTED_VALUE"""),"P. kara")</f>
        <v>P. kara</v>
      </c>
      <c r="I1845" s="2" t="str">
        <f>IFERROR(__xludf.DUMMYFUNCTION("""COMPUTED_VALUE"""),"Masonry")</f>
        <v>Masonry</v>
      </c>
      <c r="J1845" s="2" t="str">
        <f>IFERROR(__xludf.DUMMYFUNCTION("""COMPUTED_VALUE"""),"All amenities")</f>
        <v>All amenities</v>
      </c>
      <c r="K1845" s="2">
        <f>IFERROR(__xludf.DUMMYFUNCTION("""COMPUTED_VALUE"""),168000.0)</f>
        <v>168000</v>
      </c>
      <c r="L1845" s="2">
        <f>IFERROR(__xludf.DUMMYFUNCTION("""COMPUTED_VALUE"""),56.9481574)</f>
        <v>56.9481574</v>
      </c>
      <c r="M1845" s="2">
        <f>IFERROR(__xludf.DUMMYFUNCTION("""COMPUTED_VALUE"""),24.1076575)</f>
        <v>24.1076575</v>
      </c>
    </row>
    <row r="1846">
      <c r="A1846" s="2" t="str">
        <f>IFERROR(__xludf.DUMMYFUNCTION("""COMPUTED_VALUE"""),"For rent")</f>
        <v>For rent</v>
      </c>
      <c r="B1846" s="2" t="str">
        <f>IFERROR(__xludf.DUMMYFUNCTION("""COMPUTED_VALUE"""),"centrs")</f>
        <v>centrs</v>
      </c>
      <c r="C1846" s="2" t="str">
        <f>IFERROR(__xludf.DUMMYFUNCTION("""COMPUTED_VALUE"""),"Gogoļa 7")</f>
        <v>Gogoļa 7</v>
      </c>
      <c r="D1846" s="2">
        <f>IFERROR(__xludf.DUMMYFUNCTION("""COMPUTED_VALUE"""),1.0)</f>
        <v>1</v>
      </c>
      <c r="E1846" s="2">
        <f>IFERROR(__xludf.DUMMYFUNCTION("""COMPUTED_VALUE"""),40.0)</f>
        <v>40</v>
      </c>
      <c r="F1846" s="2">
        <f>IFERROR(__xludf.DUMMYFUNCTION("""COMPUTED_VALUE"""),3.0)</f>
        <v>3</v>
      </c>
      <c r="G1846" s="2">
        <f>IFERROR(__xludf.DUMMYFUNCTION("""COMPUTED_VALUE"""),4.0)</f>
        <v>4</v>
      </c>
      <c r="H1846" s="2" t="str">
        <f>IFERROR(__xludf.DUMMYFUNCTION("""COMPUTED_VALUE"""),"Staļina")</f>
        <v>Staļina</v>
      </c>
      <c r="I1846" s="2" t="str">
        <f>IFERROR(__xludf.DUMMYFUNCTION("""COMPUTED_VALUE"""),"Brick")</f>
        <v>Brick</v>
      </c>
      <c r="J1846" s="2" t="str">
        <f>IFERROR(__xludf.DUMMYFUNCTION("""COMPUTED_VALUE"""),"All amenities")</f>
        <v>All amenities</v>
      </c>
      <c r="K1846" s="2">
        <f>IFERROR(__xludf.DUMMYFUNCTION("""COMPUTED_VALUE"""),230.0)</f>
        <v>230</v>
      </c>
      <c r="L1846" s="2">
        <f>IFERROR(__xludf.DUMMYFUNCTION("""COMPUTED_VALUE"""),56.9444276)</f>
        <v>56.9444276</v>
      </c>
      <c r="M1846" s="2">
        <f>IFERROR(__xludf.DUMMYFUNCTION("""COMPUTED_VALUE"""),24.1218628399213)</f>
        <v>24.12186284</v>
      </c>
    </row>
    <row r="1847">
      <c r="A1847" s="2" t="str">
        <f>IFERROR(__xludf.DUMMYFUNCTION("""COMPUTED_VALUE"""),"For sale")</f>
        <v>For sale</v>
      </c>
      <c r="B1847" s="2" t="str">
        <f>IFERROR(__xludf.DUMMYFUNCTION("""COMPUTED_VALUE"""),"Purvciems")</f>
        <v>Purvciems</v>
      </c>
      <c r="C1847" s="2" t="str">
        <f>IFERROR(__xludf.DUMMYFUNCTION("""COMPUTED_VALUE"""),"Vaidavas 3")</f>
        <v>Vaidavas 3</v>
      </c>
      <c r="D1847" s="2">
        <f>IFERROR(__xludf.DUMMYFUNCTION("""COMPUTED_VALUE"""),3.0)</f>
        <v>3</v>
      </c>
      <c r="E1847" s="2">
        <f>IFERROR(__xludf.DUMMYFUNCTION("""COMPUTED_VALUE"""),60.0)</f>
        <v>60</v>
      </c>
      <c r="F1847" s="2">
        <f>IFERROR(__xludf.DUMMYFUNCTION("""COMPUTED_VALUE"""),5.0)</f>
        <v>5</v>
      </c>
      <c r="G1847" s="2">
        <f>IFERROR(__xludf.DUMMYFUNCTION("""COMPUTED_VALUE"""),5.0)</f>
        <v>5</v>
      </c>
      <c r="H1847" s="2" t="str">
        <f>IFERROR(__xludf.DUMMYFUNCTION("""COMPUTED_VALUE"""),"LT proj.")</f>
        <v>LT proj.</v>
      </c>
      <c r="I1847" s="2" t="str">
        <f>IFERROR(__xludf.DUMMYFUNCTION("""COMPUTED_VALUE"""),"Panel")</f>
        <v>Panel</v>
      </c>
      <c r="J1847" s="2" t="str">
        <f>IFERROR(__xludf.DUMMYFUNCTION("""COMPUTED_VALUE"""),"All amenities")</f>
        <v>All amenities</v>
      </c>
      <c r="K1847" s="2">
        <f>IFERROR(__xludf.DUMMYFUNCTION("""COMPUTED_VALUE"""),57000.0)</f>
        <v>57000</v>
      </c>
      <c r="L1847" s="2">
        <f>IFERROR(__xludf.DUMMYFUNCTION("""COMPUTED_VALUE"""),56.9633505)</f>
        <v>56.9633505</v>
      </c>
      <c r="M1847" s="2">
        <f>IFERROR(__xludf.DUMMYFUNCTION("""COMPUTED_VALUE"""),24.1768470921706)</f>
        <v>24.17684709</v>
      </c>
    </row>
    <row r="1848">
      <c r="A1848" s="2" t="str">
        <f>IFERROR(__xludf.DUMMYFUNCTION("""COMPUTED_VALUE"""),"For rent")</f>
        <v>For rent</v>
      </c>
      <c r="B1848" s="2" t="str">
        <f>IFERROR(__xludf.DUMMYFUNCTION("""COMPUTED_VALUE"""),"Teika")</f>
        <v>Teika</v>
      </c>
      <c r="C1848" s="2" t="str">
        <f>IFERROR(__xludf.DUMMYFUNCTION("""COMPUTED_VALUE"""),"Ropažu 78")</f>
        <v>Ropažu 78</v>
      </c>
      <c r="D1848" s="2">
        <f>IFERROR(__xludf.DUMMYFUNCTION("""COMPUTED_VALUE"""),2.0)</f>
        <v>2</v>
      </c>
      <c r="E1848" s="2">
        <f>IFERROR(__xludf.DUMMYFUNCTION("""COMPUTED_VALUE"""),50.0)</f>
        <v>50</v>
      </c>
      <c r="F1848" s="2">
        <f>IFERROR(__xludf.DUMMYFUNCTION("""COMPUTED_VALUE"""),4.0)</f>
        <v>4</v>
      </c>
      <c r="G1848" s="2">
        <f>IFERROR(__xludf.DUMMYFUNCTION("""COMPUTED_VALUE"""),5.0)</f>
        <v>5</v>
      </c>
      <c r="H1848" s="2" t="str">
        <f>IFERROR(__xludf.DUMMYFUNCTION("""COMPUTED_VALUE"""),"LT proj.")</f>
        <v>LT proj.</v>
      </c>
      <c r="I1848" s="2" t="str">
        <f>IFERROR(__xludf.DUMMYFUNCTION("""COMPUTED_VALUE"""),"Panel")</f>
        <v>Panel</v>
      </c>
      <c r="J1848" s="2" t="str">
        <f>IFERROR(__xludf.DUMMYFUNCTION("""COMPUTED_VALUE"""),"All amenities")</f>
        <v>All amenities</v>
      </c>
      <c r="K1848" s="2">
        <f>IFERROR(__xludf.DUMMYFUNCTION("""COMPUTED_VALUE"""),300.0)</f>
        <v>300</v>
      </c>
      <c r="L1848" s="2">
        <f>IFERROR(__xludf.DUMMYFUNCTION("""COMPUTED_VALUE"""),56.9824574)</f>
        <v>56.9824574</v>
      </c>
      <c r="M1848" s="2">
        <f>IFERROR(__xludf.DUMMYFUNCTION("""COMPUTED_VALUE"""),24.1870750334298)</f>
        <v>24.18707503</v>
      </c>
    </row>
    <row r="1849">
      <c r="A1849" s="2" t="str">
        <f>IFERROR(__xludf.DUMMYFUNCTION("""COMPUTED_VALUE"""),"For sale")</f>
        <v>For sale</v>
      </c>
      <c r="B1849" s="2" t="str">
        <f>IFERROR(__xludf.DUMMYFUNCTION("""COMPUTED_VALUE"""),"centrs")</f>
        <v>centrs</v>
      </c>
      <c r="C1849" s="2" t="str">
        <f>IFERROR(__xludf.DUMMYFUNCTION("""COMPUTED_VALUE"""),"Birznieka-Upīša 13")</f>
        <v>Birznieka-Upīša 13</v>
      </c>
      <c r="D1849" s="2">
        <f>IFERROR(__xludf.DUMMYFUNCTION("""COMPUTED_VALUE"""),3.0)</f>
        <v>3</v>
      </c>
      <c r="E1849" s="2">
        <f>IFERROR(__xludf.DUMMYFUNCTION("""COMPUTED_VALUE"""),76.2)</f>
        <v>76.2</v>
      </c>
      <c r="F1849" s="2">
        <f>IFERROR(__xludf.DUMMYFUNCTION("""COMPUTED_VALUE"""),3.0)</f>
        <v>3</v>
      </c>
      <c r="G1849" s="2">
        <f>IFERROR(__xludf.DUMMYFUNCTION("""COMPUTED_VALUE"""),7.0)</f>
        <v>7</v>
      </c>
      <c r="H1849" s="2" t="str">
        <f>IFERROR(__xludf.DUMMYFUNCTION("""COMPUTED_VALUE"""),"Jaun.")</f>
        <v>Jaun.</v>
      </c>
      <c r="I1849" s="2" t="str">
        <f>IFERROR(__xludf.DUMMYFUNCTION("""COMPUTED_VALUE"""),"Panel-Brick")</f>
        <v>Panel-Brick</v>
      </c>
      <c r="J1849" s="2" t="str">
        <f>IFERROR(__xludf.DUMMYFUNCTION("""COMPUTED_VALUE"""),"All amenities")</f>
        <v>All amenities</v>
      </c>
      <c r="K1849" s="2">
        <f>IFERROR(__xludf.DUMMYFUNCTION("""COMPUTED_VALUE"""),211000.0)</f>
        <v>211000</v>
      </c>
      <c r="L1849" s="2">
        <f>IFERROR(__xludf.DUMMYFUNCTION("""COMPUTED_VALUE"""),56.9493295)</f>
        <v>56.9493295</v>
      </c>
      <c r="M1849" s="2">
        <f>IFERROR(__xludf.DUMMYFUNCTION("""COMPUTED_VALUE"""),24.1264892056074)</f>
        <v>24.12648921</v>
      </c>
    </row>
    <row r="1850">
      <c r="A1850" s="2" t="str">
        <f>IFERROR(__xludf.DUMMYFUNCTION("""COMPUTED_VALUE"""),"For sale")</f>
        <v>For sale</v>
      </c>
      <c r="B1850" s="2" t="str">
        <f>IFERROR(__xludf.DUMMYFUNCTION("""COMPUTED_VALUE"""),"Mežaparks")</f>
        <v>Mežaparks</v>
      </c>
      <c r="C1850" s="2" t="str">
        <f>IFERROR(__xludf.DUMMYFUNCTION("""COMPUTED_VALUE"""),"Klaipēdas 12")</f>
        <v>Klaipēdas 12</v>
      </c>
      <c r="D1850" s="2">
        <f>IFERROR(__xludf.DUMMYFUNCTION("""COMPUTED_VALUE"""),2.0)</f>
        <v>2</v>
      </c>
      <c r="E1850" s="2">
        <f>IFERROR(__xludf.DUMMYFUNCTION("""COMPUTED_VALUE"""),47.0)</f>
        <v>47</v>
      </c>
      <c r="F1850" s="2">
        <f>IFERROR(__xludf.DUMMYFUNCTION("""COMPUTED_VALUE"""),3.0)</f>
        <v>3</v>
      </c>
      <c r="G1850" s="2">
        <f>IFERROR(__xludf.DUMMYFUNCTION("""COMPUTED_VALUE"""),3.0)</f>
        <v>3</v>
      </c>
      <c r="H1850" s="2" t="str">
        <f>IFERROR(__xludf.DUMMYFUNCTION("""COMPUTED_VALUE"""),"Jaun.")</f>
        <v>Jaun.</v>
      </c>
      <c r="I1850" s="2" t="str">
        <f>IFERROR(__xludf.DUMMYFUNCTION("""COMPUTED_VALUE"""),"Panel-Brick")</f>
        <v>Panel-Brick</v>
      </c>
      <c r="J1850" s="2" t="str">
        <f>IFERROR(__xludf.DUMMYFUNCTION("""COMPUTED_VALUE"""),"All amenities")</f>
        <v>All amenities</v>
      </c>
      <c r="K1850" s="2">
        <f>IFERROR(__xludf.DUMMYFUNCTION("""COMPUTED_VALUE"""),120000.0)</f>
        <v>120000</v>
      </c>
      <c r="L1850" s="2">
        <f>IFERROR(__xludf.DUMMYFUNCTION("""COMPUTED_VALUE"""),56.994436)</f>
        <v>56.994436</v>
      </c>
      <c r="M1850" s="2">
        <f>IFERROR(__xludf.DUMMYFUNCTION("""COMPUTED_VALUE"""),24.1578037)</f>
        <v>24.1578037</v>
      </c>
    </row>
    <row r="1851">
      <c r="A1851" s="2" t="str">
        <f>IFERROR(__xludf.DUMMYFUNCTION("""COMPUTED_VALUE"""),"For rent")</f>
        <v>For rent</v>
      </c>
      <c r="B1851" s="2" t="str">
        <f>IFERROR(__xludf.DUMMYFUNCTION("""COMPUTED_VALUE"""),"Imanta")</f>
        <v>Imanta</v>
      </c>
      <c r="C1851" s="2" t="str">
        <f>IFERROR(__xludf.DUMMYFUNCTION("""COMPUTED_VALUE"""),"Zentenes 18")</f>
        <v>Zentenes 18</v>
      </c>
      <c r="D1851" s="2">
        <f>IFERROR(__xludf.DUMMYFUNCTION("""COMPUTED_VALUE"""),2.0)</f>
        <v>2</v>
      </c>
      <c r="E1851" s="2">
        <f>IFERROR(__xludf.DUMMYFUNCTION("""COMPUTED_VALUE"""),49.0)</f>
        <v>49</v>
      </c>
      <c r="F1851" s="2">
        <f>IFERROR(__xludf.DUMMYFUNCTION("""COMPUTED_VALUE"""),9.0)</f>
        <v>9</v>
      </c>
      <c r="G1851" s="2">
        <f>IFERROR(__xludf.DUMMYFUNCTION("""COMPUTED_VALUE"""),9.0)</f>
        <v>9</v>
      </c>
      <c r="H1851" s="2">
        <f>IFERROR(__xludf.DUMMYFUNCTION("""COMPUTED_VALUE"""),602.0)</f>
        <v>602</v>
      </c>
      <c r="I1851" s="2" t="str">
        <f>IFERROR(__xludf.DUMMYFUNCTION("""COMPUTED_VALUE"""),"Panel")</f>
        <v>Panel</v>
      </c>
      <c r="J1851" s="2" t="str">
        <f>IFERROR(__xludf.DUMMYFUNCTION("""COMPUTED_VALUE"""),"All amenities")</f>
        <v>All amenities</v>
      </c>
      <c r="K1851" s="2">
        <f>IFERROR(__xludf.DUMMYFUNCTION("""COMPUTED_VALUE"""),35.0)</f>
        <v>35</v>
      </c>
      <c r="L1851" s="2">
        <f>IFERROR(__xludf.DUMMYFUNCTION("""COMPUTED_VALUE"""),56.9618626)</f>
        <v>56.9618626</v>
      </c>
      <c r="M1851" s="2">
        <f>IFERROR(__xludf.DUMMYFUNCTION("""COMPUTED_VALUE"""),24.0034910214559)</f>
        <v>24.00349102</v>
      </c>
    </row>
    <row r="1852">
      <c r="A1852" s="2" t="str">
        <f>IFERROR(__xludf.DUMMYFUNCTION("""COMPUTED_VALUE"""),"For sale")</f>
        <v>For sale</v>
      </c>
      <c r="B1852" s="2" t="str">
        <f>IFERROR(__xludf.DUMMYFUNCTION("""COMPUTED_VALUE"""),"Imanta")</f>
        <v>Imanta</v>
      </c>
      <c r="C1852" s="2" t="str">
        <f>IFERROR(__xludf.DUMMYFUNCTION("""COMPUTED_VALUE"""),"Jūrmalas g. 92")</f>
        <v>Jūrmalas g. 92</v>
      </c>
      <c r="D1852" s="2">
        <f>IFERROR(__xludf.DUMMYFUNCTION("""COMPUTED_VALUE"""),2.0)</f>
        <v>2</v>
      </c>
      <c r="E1852" s="2">
        <f>IFERROR(__xludf.DUMMYFUNCTION("""COMPUTED_VALUE"""),50.0)</f>
        <v>50</v>
      </c>
      <c r="F1852" s="2">
        <f>IFERROR(__xludf.DUMMYFUNCTION("""COMPUTED_VALUE"""),3.0)</f>
        <v>3</v>
      </c>
      <c r="G1852" s="2">
        <f>IFERROR(__xludf.DUMMYFUNCTION("""COMPUTED_VALUE"""),9.0)</f>
        <v>9</v>
      </c>
      <c r="H1852" s="2" t="str">
        <f>IFERROR(__xludf.DUMMYFUNCTION("""COMPUTED_VALUE"""),"Jaun.")</f>
        <v>Jaun.</v>
      </c>
      <c r="I1852" s="2" t="str">
        <f>IFERROR(__xludf.DUMMYFUNCTION("""COMPUTED_VALUE"""),"Panel")</f>
        <v>Panel</v>
      </c>
      <c r="J1852" s="2" t="str">
        <f>IFERROR(__xludf.DUMMYFUNCTION("""COMPUTED_VALUE"""),"All amenities")</f>
        <v>All amenities</v>
      </c>
      <c r="K1852" s="2">
        <f>IFERROR(__xludf.DUMMYFUNCTION("""COMPUTED_VALUE"""),109900.0)</f>
        <v>109900</v>
      </c>
      <c r="L1852" s="2">
        <f>IFERROR(__xludf.DUMMYFUNCTION("""COMPUTED_VALUE"""),56.9520352499999)</f>
        <v>56.95203525</v>
      </c>
      <c r="M1852" s="2">
        <f>IFERROR(__xludf.DUMMYFUNCTION("""COMPUTED_VALUE"""),24.0038532251639)</f>
        <v>24.00385323</v>
      </c>
    </row>
    <row r="1853">
      <c r="A1853" s="2" t="str">
        <f>IFERROR(__xludf.DUMMYFUNCTION("""COMPUTED_VALUE"""),"For sale")</f>
        <v>For sale</v>
      </c>
      <c r="B1853" s="2" t="str">
        <f>IFERROR(__xludf.DUMMYFUNCTION("""COMPUTED_VALUE"""),"centrs")</f>
        <v>centrs</v>
      </c>
      <c r="C1853" s="2" t="str">
        <f>IFERROR(__xludf.DUMMYFUNCTION("""COMPUTED_VALUE"""),"Rūpniecības 21")</f>
        <v>Rūpniecības 21</v>
      </c>
      <c r="D1853" s="2">
        <f>IFERROR(__xludf.DUMMYFUNCTION("""COMPUTED_VALUE"""),1.0)</f>
        <v>1</v>
      </c>
      <c r="E1853" s="2">
        <f>IFERROR(__xludf.DUMMYFUNCTION("""COMPUTED_VALUE"""),60.0)</f>
        <v>60</v>
      </c>
      <c r="F1853" s="2">
        <f>IFERROR(__xludf.DUMMYFUNCTION("""COMPUTED_VALUE"""),4.0)</f>
        <v>4</v>
      </c>
      <c r="G1853" s="2">
        <f>IFERROR(__xludf.DUMMYFUNCTION("""COMPUTED_VALUE"""),7.0)</f>
        <v>7</v>
      </c>
      <c r="H1853" s="2" t="str">
        <f>IFERROR(__xludf.DUMMYFUNCTION("""COMPUTED_VALUE"""),"Jaun.")</f>
        <v>Jaun.</v>
      </c>
      <c r="I1853" s="2" t="str">
        <f>IFERROR(__xludf.DUMMYFUNCTION("""COMPUTED_VALUE"""),"Panel")</f>
        <v>Panel</v>
      </c>
      <c r="J1853" s="2" t="str">
        <f>IFERROR(__xludf.DUMMYFUNCTION("""COMPUTED_VALUE"""),"All amenities")</f>
        <v>All amenities</v>
      </c>
      <c r="K1853" s="2">
        <f>IFERROR(__xludf.DUMMYFUNCTION("""COMPUTED_VALUE"""),185000.0)</f>
        <v>185000</v>
      </c>
      <c r="L1853" s="2">
        <f>IFERROR(__xludf.DUMMYFUNCTION("""COMPUTED_VALUE"""),56.9660465)</f>
        <v>56.9660465</v>
      </c>
      <c r="M1853" s="2">
        <f>IFERROR(__xludf.DUMMYFUNCTION("""COMPUTED_VALUE"""),24.1019662)</f>
        <v>24.1019662</v>
      </c>
    </row>
    <row r="1854">
      <c r="A1854" s="2" t="str">
        <f>IFERROR(__xludf.DUMMYFUNCTION("""COMPUTED_VALUE"""),"For rent")</f>
        <v>For rent</v>
      </c>
      <c r="B1854" s="2" t="str">
        <f>IFERROR(__xludf.DUMMYFUNCTION("""COMPUTED_VALUE"""),"Vecrīga")</f>
        <v>Vecrīga</v>
      </c>
      <c r="C1854" s="2" t="str">
        <f>IFERROR(__xludf.DUMMYFUNCTION("""COMPUTED_VALUE"""),"Kungu 25")</f>
        <v>Kungu 25</v>
      </c>
      <c r="D1854" s="2">
        <f>IFERROR(__xludf.DUMMYFUNCTION("""COMPUTED_VALUE"""),4.0)</f>
        <v>4</v>
      </c>
      <c r="E1854" s="2">
        <f>IFERROR(__xludf.DUMMYFUNCTION("""COMPUTED_VALUE"""),169.0)</f>
        <v>169</v>
      </c>
      <c r="F1854" s="2">
        <f>IFERROR(__xludf.DUMMYFUNCTION("""COMPUTED_VALUE"""),4.0)</f>
        <v>4</v>
      </c>
      <c r="G1854" s="2">
        <f>IFERROR(__xludf.DUMMYFUNCTION("""COMPUTED_VALUE"""),5.0)</f>
        <v>5</v>
      </c>
      <c r="H1854" s="2" t="str">
        <f>IFERROR(__xludf.DUMMYFUNCTION("""COMPUTED_VALUE"""),"Jaun.")</f>
        <v>Jaun.</v>
      </c>
      <c r="I1854" s="2" t="str">
        <f>IFERROR(__xludf.DUMMYFUNCTION("""COMPUTED_VALUE"""),"Masonry")</f>
        <v>Masonry</v>
      </c>
      <c r="J1854" s="2" t="str">
        <f>IFERROR(__xludf.DUMMYFUNCTION("""COMPUTED_VALUE"""),"All amenities")</f>
        <v>All amenities</v>
      </c>
      <c r="K1854" s="2">
        <f>IFERROR(__xludf.DUMMYFUNCTION("""COMPUTED_VALUE"""),2600.0)</f>
        <v>2600</v>
      </c>
      <c r="L1854" s="2">
        <f>IFERROR(__xludf.DUMMYFUNCTION("""COMPUTED_VALUE"""),56.9453381999999)</f>
        <v>56.9453382</v>
      </c>
      <c r="M1854" s="2">
        <f>IFERROR(__xludf.DUMMYFUNCTION("""COMPUTED_VALUE"""),24.1094639533088)</f>
        <v>24.10946395</v>
      </c>
    </row>
    <row r="1855">
      <c r="A1855" s="2" t="str">
        <f>IFERROR(__xludf.DUMMYFUNCTION("""COMPUTED_VALUE"""),"For sale")</f>
        <v>For sale</v>
      </c>
      <c r="B1855" s="2" t="str">
        <f>IFERROR(__xludf.DUMMYFUNCTION("""COMPUTED_VALUE"""),"Zolitūde")</f>
        <v>Zolitūde</v>
      </c>
      <c r="C1855" s="2" t="str">
        <f>IFERROR(__xludf.DUMMYFUNCTION("""COMPUTED_VALUE"""),"Priedaines 13")</f>
        <v>Priedaines 13</v>
      </c>
      <c r="D1855" s="2">
        <f>IFERROR(__xludf.DUMMYFUNCTION("""COMPUTED_VALUE"""),2.0)</f>
        <v>2</v>
      </c>
      <c r="E1855" s="2">
        <f>IFERROR(__xludf.DUMMYFUNCTION("""COMPUTED_VALUE"""),72.0)</f>
        <v>72</v>
      </c>
      <c r="F1855" s="2">
        <f>IFERROR(__xludf.DUMMYFUNCTION("""COMPUTED_VALUE"""),1.0)</f>
        <v>1</v>
      </c>
      <c r="G1855" s="2">
        <f>IFERROR(__xludf.DUMMYFUNCTION("""COMPUTED_VALUE"""),4.0)</f>
        <v>4</v>
      </c>
      <c r="H1855" s="2" t="str">
        <f>IFERROR(__xludf.DUMMYFUNCTION("""COMPUTED_VALUE"""),"Jaun.")</f>
        <v>Jaun.</v>
      </c>
      <c r="I1855" s="2" t="str">
        <f>IFERROR(__xludf.DUMMYFUNCTION("""COMPUTED_VALUE"""),"Brick-Panel")</f>
        <v>Brick-Panel</v>
      </c>
      <c r="J1855" s="2" t="str">
        <f>IFERROR(__xludf.DUMMYFUNCTION("""COMPUTED_VALUE"""),"All amenities")</f>
        <v>All amenities</v>
      </c>
      <c r="K1855" s="2">
        <f>IFERROR(__xludf.DUMMYFUNCTION("""COMPUTED_VALUE"""),85000.0)</f>
        <v>85000</v>
      </c>
      <c r="L1855" s="2">
        <f>IFERROR(__xludf.DUMMYFUNCTION("""COMPUTED_VALUE"""),56.9425813)</f>
        <v>56.9425813</v>
      </c>
      <c r="M1855" s="2">
        <f>IFERROR(__xludf.DUMMYFUNCTION("""COMPUTED_VALUE"""),24.0156589752924)</f>
        <v>24.01565898</v>
      </c>
    </row>
    <row r="1856">
      <c r="A1856" s="2" t="str">
        <f>IFERROR(__xludf.DUMMYFUNCTION("""COMPUTED_VALUE"""),"For sale")</f>
        <v>For sale</v>
      </c>
      <c r="B1856" s="2" t="str">
        <f>IFERROR(__xludf.DUMMYFUNCTION("""COMPUTED_VALUE"""),"centrs")</f>
        <v>centrs</v>
      </c>
      <c r="C1856" s="2" t="str">
        <f>IFERROR(__xludf.DUMMYFUNCTION("""COMPUTED_VALUE"""),"Stabu 61")</f>
        <v>Stabu 61</v>
      </c>
      <c r="D1856" s="2">
        <f>IFERROR(__xludf.DUMMYFUNCTION("""COMPUTED_VALUE"""),2.0)</f>
        <v>2</v>
      </c>
      <c r="E1856" s="2">
        <f>IFERROR(__xludf.DUMMYFUNCTION("""COMPUTED_VALUE"""),58.0)</f>
        <v>58</v>
      </c>
      <c r="F1856" s="2">
        <f>IFERROR(__xludf.DUMMYFUNCTION("""COMPUTED_VALUE"""),1.0)</f>
        <v>1</v>
      </c>
      <c r="G1856" s="2">
        <f>IFERROR(__xludf.DUMMYFUNCTION("""COMPUTED_VALUE"""),5.0)</f>
        <v>5</v>
      </c>
      <c r="H1856" s="2" t="str">
        <f>IFERROR(__xludf.DUMMYFUNCTION("""COMPUTED_VALUE"""),"P. kara")</f>
        <v>P. kara</v>
      </c>
      <c r="I1856" s="2" t="str">
        <f>IFERROR(__xludf.DUMMYFUNCTION("""COMPUTED_VALUE"""),"Masonry")</f>
        <v>Masonry</v>
      </c>
      <c r="J1856" s="2" t="str">
        <f>IFERROR(__xludf.DUMMYFUNCTION("""COMPUTED_VALUE"""),"All amenities")</f>
        <v>All amenities</v>
      </c>
      <c r="K1856" s="2">
        <f>IFERROR(__xludf.DUMMYFUNCTION("""COMPUTED_VALUE"""),82000.0)</f>
        <v>82000</v>
      </c>
      <c r="L1856" s="2">
        <f>IFERROR(__xludf.DUMMYFUNCTION("""COMPUTED_VALUE"""),56.9533109)</f>
        <v>56.9533109</v>
      </c>
      <c r="M1856" s="2">
        <f>IFERROR(__xludf.DUMMYFUNCTION("""COMPUTED_VALUE"""),24.1349288)</f>
        <v>24.1349288</v>
      </c>
    </row>
    <row r="1857">
      <c r="A1857" s="2" t="str">
        <f>IFERROR(__xludf.DUMMYFUNCTION("""COMPUTED_VALUE"""),"For sale")</f>
        <v>For sale</v>
      </c>
      <c r="B1857" s="2" t="str">
        <f>IFERROR(__xludf.DUMMYFUNCTION("""COMPUTED_VALUE"""),"centrs")</f>
        <v>centrs</v>
      </c>
      <c r="C1857" s="2" t="str">
        <f>IFERROR(__xludf.DUMMYFUNCTION("""COMPUTED_VALUE"""),"Klijānu 16")</f>
        <v>Klijānu 16</v>
      </c>
      <c r="D1857" s="2">
        <f>IFERROR(__xludf.DUMMYFUNCTION("""COMPUTED_VALUE"""),3.0)</f>
        <v>3</v>
      </c>
      <c r="E1857" s="2">
        <f>IFERROR(__xludf.DUMMYFUNCTION("""COMPUTED_VALUE"""),47.0)</f>
        <v>47</v>
      </c>
      <c r="F1857" s="2">
        <f>IFERROR(__xludf.DUMMYFUNCTION("""COMPUTED_VALUE"""),5.0)</f>
        <v>5</v>
      </c>
      <c r="G1857" s="2">
        <f>IFERROR(__xludf.DUMMYFUNCTION("""COMPUTED_VALUE"""),9.0)</f>
        <v>9</v>
      </c>
      <c r="H1857" s="2" t="str">
        <f>IFERROR(__xludf.DUMMYFUNCTION("""COMPUTED_VALUE"""),"Jaun.")</f>
        <v>Jaun.</v>
      </c>
      <c r="I1857" s="2" t="str">
        <f>IFERROR(__xludf.DUMMYFUNCTION("""COMPUTED_VALUE"""),"Masonry")</f>
        <v>Masonry</v>
      </c>
      <c r="J1857" s="2" t="str">
        <f>IFERROR(__xludf.DUMMYFUNCTION("""COMPUTED_VALUE"""),"All amenities")</f>
        <v>All amenities</v>
      </c>
      <c r="K1857" s="2">
        <f>IFERROR(__xludf.DUMMYFUNCTION("""COMPUTED_VALUE"""),94000.0)</f>
        <v>94000</v>
      </c>
      <c r="L1857" s="2">
        <f>IFERROR(__xludf.DUMMYFUNCTION("""COMPUTED_VALUE"""),56.9742195)</f>
        <v>56.9742195</v>
      </c>
      <c r="M1857" s="2">
        <f>IFERROR(__xludf.DUMMYFUNCTION("""COMPUTED_VALUE"""),24.1483510382088)</f>
        <v>24.14835104</v>
      </c>
    </row>
    <row r="1858">
      <c r="A1858" s="2" t="str">
        <f>IFERROR(__xludf.DUMMYFUNCTION("""COMPUTED_VALUE"""),"For sale")</f>
        <v>For sale</v>
      </c>
      <c r="B1858" s="2" t="str">
        <f>IFERROR(__xludf.DUMMYFUNCTION("""COMPUTED_VALUE"""),"centrs")</f>
        <v>centrs</v>
      </c>
      <c r="C1858" s="2" t="str">
        <f>IFERROR(__xludf.DUMMYFUNCTION("""COMPUTED_VALUE"""),"Raiņa bulv. 3")</f>
        <v>Raiņa bulv. 3</v>
      </c>
      <c r="D1858" s="2">
        <f>IFERROR(__xludf.DUMMYFUNCTION("""COMPUTED_VALUE"""),3.0)</f>
        <v>3</v>
      </c>
      <c r="E1858" s="2">
        <f>IFERROR(__xludf.DUMMYFUNCTION("""COMPUTED_VALUE"""),105.0)</f>
        <v>105</v>
      </c>
      <c r="F1858" s="2">
        <f>IFERROR(__xludf.DUMMYFUNCTION("""COMPUTED_VALUE"""),6.0)</f>
        <v>6</v>
      </c>
      <c r="G1858" s="2">
        <f>IFERROR(__xludf.DUMMYFUNCTION("""COMPUTED_VALUE"""),6.0)</f>
        <v>6</v>
      </c>
      <c r="H1858" s="2" t="str">
        <f>IFERROR(__xludf.DUMMYFUNCTION("""COMPUTED_VALUE"""),"Renov.")</f>
        <v>Renov.</v>
      </c>
      <c r="I1858" s="2" t="str">
        <f>IFERROR(__xludf.DUMMYFUNCTION("""COMPUTED_VALUE"""),"Masonry")</f>
        <v>Masonry</v>
      </c>
      <c r="J1858" s="2" t="str">
        <f>IFERROR(__xludf.DUMMYFUNCTION("""COMPUTED_VALUE"""),"All amenities")</f>
        <v>All amenities</v>
      </c>
      <c r="K1858" s="2">
        <f>IFERROR(__xludf.DUMMYFUNCTION("""COMPUTED_VALUE"""),220500.0)</f>
        <v>220500</v>
      </c>
      <c r="L1858" s="2" t="str">
        <f>IFERROR(__xludf.DUMMYFUNCTION("""COMPUTED_VALUE"""),"NaN")</f>
        <v>NaN</v>
      </c>
      <c r="M1858" s="2" t="str">
        <f>IFERROR(__xludf.DUMMYFUNCTION("""COMPUTED_VALUE"""),"NaN")</f>
        <v>NaN</v>
      </c>
    </row>
    <row r="1859">
      <c r="A1859" s="2" t="str">
        <f>IFERROR(__xludf.DUMMYFUNCTION("""COMPUTED_VALUE"""),"For sale")</f>
        <v>For sale</v>
      </c>
      <c r="B1859" s="2" t="str">
        <f>IFERROR(__xludf.DUMMYFUNCTION("""COMPUTED_VALUE"""),"centrs")</f>
        <v>centrs</v>
      </c>
      <c r="C1859" s="2" t="str">
        <f>IFERROR(__xludf.DUMMYFUNCTION("""COMPUTED_VALUE"""),"Raiņa bulv. 3a")</f>
        <v>Raiņa bulv. 3a</v>
      </c>
      <c r="D1859" s="2">
        <f>IFERROR(__xludf.DUMMYFUNCTION("""COMPUTED_VALUE"""),4.0)</f>
        <v>4</v>
      </c>
      <c r="E1859" s="2">
        <f>IFERROR(__xludf.DUMMYFUNCTION("""COMPUTED_VALUE"""),76.0)</f>
        <v>76</v>
      </c>
      <c r="F1859" s="2">
        <f>IFERROR(__xludf.DUMMYFUNCTION("""COMPUTED_VALUE"""),1.0)</f>
        <v>1</v>
      </c>
      <c r="G1859" s="2">
        <f>IFERROR(__xludf.DUMMYFUNCTION("""COMPUTED_VALUE"""),6.0)</f>
        <v>6</v>
      </c>
      <c r="H1859" s="2" t="str">
        <f>IFERROR(__xludf.DUMMYFUNCTION("""COMPUTED_VALUE"""),"Renov.")</f>
        <v>Renov.</v>
      </c>
      <c r="I1859" s="2" t="str">
        <f>IFERROR(__xludf.DUMMYFUNCTION("""COMPUTED_VALUE"""),"Masonry")</f>
        <v>Masonry</v>
      </c>
      <c r="J1859" s="2" t="str">
        <f>IFERROR(__xludf.DUMMYFUNCTION("""COMPUTED_VALUE"""),"All amenities")</f>
        <v>All amenities</v>
      </c>
      <c r="K1859" s="2">
        <f>IFERROR(__xludf.DUMMYFUNCTION("""COMPUTED_VALUE"""),127700.0)</f>
        <v>127700</v>
      </c>
      <c r="L1859" s="2" t="str">
        <f>IFERROR(__xludf.DUMMYFUNCTION("""COMPUTED_VALUE"""),"NaN")</f>
        <v>NaN</v>
      </c>
      <c r="M1859" s="2" t="str">
        <f>IFERROR(__xludf.DUMMYFUNCTION("""COMPUTED_VALUE"""),"NaN")</f>
        <v>NaN</v>
      </c>
    </row>
    <row r="1860">
      <c r="A1860" s="2" t="str">
        <f>IFERROR(__xludf.DUMMYFUNCTION("""COMPUTED_VALUE"""),"For sale")</f>
        <v>For sale</v>
      </c>
      <c r="B1860" s="2" t="str">
        <f>IFERROR(__xludf.DUMMYFUNCTION("""COMPUTED_VALUE"""),"centrs")</f>
        <v>centrs</v>
      </c>
      <c r="C1860" s="2" t="str">
        <f>IFERROR(__xludf.DUMMYFUNCTION("""COMPUTED_VALUE"""),"Raiņa bulv. 3")</f>
        <v>Raiņa bulv. 3</v>
      </c>
      <c r="D1860" s="2">
        <f>IFERROR(__xludf.DUMMYFUNCTION("""COMPUTED_VALUE"""),6.0)</f>
        <v>6</v>
      </c>
      <c r="E1860" s="2">
        <f>IFERROR(__xludf.DUMMYFUNCTION("""COMPUTED_VALUE"""),199.0)</f>
        <v>199</v>
      </c>
      <c r="F1860" s="2">
        <f>IFERROR(__xludf.DUMMYFUNCTION("""COMPUTED_VALUE"""),4.0)</f>
        <v>4</v>
      </c>
      <c r="G1860" s="2">
        <f>IFERROR(__xludf.DUMMYFUNCTION("""COMPUTED_VALUE"""),6.0)</f>
        <v>6</v>
      </c>
      <c r="H1860" s="2" t="str">
        <f>IFERROR(__xludf.DUMMYFUNCTION("""COMPUTED_VALUE"""),"Renov.")</f>
        <v>Renov.</v>
      </c>
      <c r="I1860" s="2" t="str">
        <f>IFERROR(__xludf.DUMMYFUNCTION("""COMPUTED_VALUE"""),"Brick")</f>
        <v>Brick</v>
      </c>
      <c r="J1860" s="2" t="str">
        <f>IFERROR(__xludf.DUMMYFUNCTION("""COMPUTED_VALUE"""),"All amenities")</f>
        <v>All amenities</v>
      </c>
      <c r="K1860" s="2">
        <f>IFERROR(__xludf.DUMMYFUNCTION("""COMPUTED_VALUE"""),399000.0)</f>
        <v>399000</v>
      </c>
      <c r="L1860" s="2" t="str">
        <f>IFERROR(__xludf.DUMMYFUNCTION("""COMPUTED_VALUE"""),"NaN")</f>
        <v>NaN</v>
      </c>
      <c r="M1860" s="2" t="str">
        <f>IFERROR(__xludf.DUMMYFUNCTION("""COMPUTED_VALUE"""),"NaN")</f>
        <v>NaN</v>
      </c>
    </row>
    <row r="1861">
      <c r="A1861" s="2" t="str">
        <f>IFERROR(__xludf.DUMMYFUNCTION("""COMPUTED_VALUE"""),"For rent")</f>
        <v>For rent</v>
      </c>
      <c r="B1861" s="2" t="str">
        <f>IFERROR(__xludf.DUMMYFUNCTION("""COMPUTED_VALUE"""),"centrs")</f>
        <v>centrs</v>
      </c>
      <c r="C1861" s="2" t="str">
        <f>IFERROR(__xludf.DUMMYFUNCTION("""COMPUTED_VALUE"""),"Bruņinieku 81")</f>
        <v>Bruņinieku 81</v>
      </c>
      <c r="D1861" s="2">
        <f>IFERROR(__xludf.DUMMYFUNCTION("""COMPUTED_VALUE"""),1.0)</f>
        <v>1</v>
      </c>
      <c r="E1861" s="2">
        <f>IFERROR(__xludf.DUMMYFUNCTION("""COMPUTED_VALUE"""),30.0)</f>
        <v>30</v>
      </c>
      <c r="F1861" s="2">
        <f>IFERROR(__xludf.DUMMYFUNCTION("""COMPUTED_VALUE"""),3.0)</f>
        <v>3</v>
      </c>
      <c r="G1861" s="2">
        <f>IFERROR(__xludf.DUMMYFUNCTION("""COMPUTED_VALUE"""),5.0)</f>
        <v>5</v>
      </c>
      <c r="H1861" s="2" t="str">
        <f>IFERROR(__xludf.DUMMYFUNCTION("""COMPUTED_VALUE"""),"P. kara")</f>
        <v>P. kara</v>
      </c>
      <c r="I1861" s="2" t="str">
        <f>IFERROR(__xludf.DUMMYFUNCTION("""COMPUTED_VALUE"""),"Masonry")</f>
        <v>Masonry</v>
      </c>
      <c r="J1861" s="2" t="str">
        <f>IFERROR(__xludf.DUMMYFUNCTION("""COMPUTED_VALUE"""),"All amenities")</f>
        <v>All amenities</v>
      </c>
      <c r="K1861" s="2">
        <f>IFERROR(__xludf.DUMMYFUNCTION("""COMPUTED_VALUE"""),255.0)</f>
        <v>255</v>
      </c>
      <c r="L1861" s="2">
        <f>IFERROR(__xludf.DUMMYFUNCTION("""COMPUTED_VALUE"""),56.9519155)</f>
        <v>56.9519155</v>
      </c>
      <c r="M1861" s="2">
        <f>IFERROR(__xludf.DUMMYFUNCTION("""COMPUTED_VALUE"""),24.1404527160079)</f>
        <v>24.14045272</v>
      </c>
    </row>
    <row r="1862">
      <c r="A1862" s="2" t="str">
        <f>IFERROR(__xludf.DUMMYFUNCTION("""COMPUTED_VALUE"""),"For sale")</f>
        <v>For sale</v>
      </c>
      <c r="B1862" s="2" t="str">
        <f>IFERROR(__xludf.DUMMYFUNCTION("""COMPUTED_VALUE"""),"centrs")</f>
        <v>centrs</v>
      </c>
      <c r="C1862" s="2" t="str">
        <f>IFERROR(__xludf.DUMMYFUNCTION("""COMPUTED_VALUE"""),"Avotu 20")</f>
        <v>Avotu 20</v>
      </c>
      <c r="D1862" s="2">
        <f>IFERROR(__xludf.DUMMYFUNCTION("""COMPUTED_VALUE"""),3.0)</f>
        <v>3</v>
      </c>
      <c r="E1862" s="2">
        <f>IFERROR(__xludf.DUMMYFUNCTION("""COMPUTED_VALUE"""),110.0)</f>
        <v>110</v>
      </c>
      <c r="F1862" s="2">
        <f>IFERROR(__xludf.DUMMYFUNCTION("""COMPUTED_VALUE"""),2.0)</f>
        <v>2</v>
      </c>
      <c r="G1862" s="2">
        <f>IFERROR(__xludf.DUMMYFUNCTION("""COMPUTED_VALUE"""),5.0)</f>
        <v>5</v>
      </c>
      <c r="H1862" s="2" t="str">
        <f>IFERROR(__xludf.DUMMYFUNCTION("""COMPUTED_VALUE"""),"P. kara")</f>
        <v>P. kara</v>
      </c>
      <c r="I1862" s="2" t="str">
        <f>IFERROR(__xludf.DUMMYFUNCTION("""COMPUTED_VALUE"""),"Masonry")</f>
        <v>Masonry</v>
      </c>
      <c r="J1862" s="2" t="str">
        <f>IFERROR(__xludf.DUMMYFUNCTION("""COMPUTED_VALUE"""),"All amenities")</f>
        <v>All amenities</v>
      </c>
      <c r="K1862" s="2">
        <f>IFERROR(__xludf.DUMMYFUNCTION("""COMPUTED_VALUE"""),117000.0)</f>
        <v>117000</v>
      </c>
      <c r="L1862" s="2">
        <f>IFERROR(__xludf.DUMMYFUNCTION("""COMPUTED_VALUE"""),56.9504872)</f>
        <v>56.9504872</v>
      </c>
      <c r="M1862" s="2">
        <f>IFERROR(__xludf.DUMMYFUNCTION("""COMPUTED_VALUE"""),24.1309744)</f>
        <v>24.1309744</v>
      </c>
    </row>
    <row r="1863">
      <c r="A1863" s="2" t="str">
        <f>IFERROR(__xludf.DUMMYFUNCTION("""COMPUTED_VALUE"""),"For rent")</f>
        <v>For rent</v>
      </c>
      <c r="B1863" s="2" t="str">
        <f>IFERROR(__xludf.DUMMYFUNCTION("""COMPUTED_VALUE"""),"centrs")</f>
        <v>centrs</v>
      </c>
      <c r="C1863" s="2" t="str">
        <f>IFERROR(__xludf.DUMMYFUNCTION("""COMPUTED_VALUE"""),"Rūpniecības 11")</f>
        <v>Rūpniecības 11</v>
      </c>
      <c r="D1863" s="2">
        <f>IFERROR(__xludf.DUMMYFUNCTION("""COMPUTED_VALUE"""),3.0)</f>
        <v>3</v>
      </c>
      <c r="E1863" s="2">
        <f>IFERROR(__xludf.DUMMYFUNCTION("""COMPUTED_VALUE"""),115.0)</f>
        <v>115</v>
      </c>
      <c r="F1863" s="2">
        <f>IFERROR(__xludf.DUMMYFUNCTION("""COMPUTED_VALUE"""),6.0)</f>
        <v>6</v>
      </c>
      <c r="G1863" s="2">
        <f>IFERROR(__xludf.DUMMYFUNCTION("""COMPUTED_VALUE"""),6.0)</f>
        <v>6</v>
      </c>
      <c r="H1863" s="2" t="str">
        <f>IFERROR(__xludf.DUMMYFUNCTION("""COMPUTED_VALUE"""),"Renov.")</f>
        <v>Renov.</v>
      </c>
      <c r="I1863" s="2" t="str">
        <f>IFERROR(__xludf.DUMMYFUNCTION("""COMPUTED_VALUE"""),"Masonry")</f>
        <v>Masonry</v>
      </c>
      <c r="J1863" s="2" t="str">
        <f>IFERROR(__xludf.DUMMYFUNCTION("""COMPUTED_VALUE"""),"All amenities")</f>
        <v>All amenities</v>
      </c>
      <c r="K1863" s="2">
        <f>IFERROR(__xludf.DUMMYFUNCTION("""COMPUTED_VALUE"""),2000.0)</f>
        <v>2000</v>
      </c>
      <c r="L1863" s="2">
        <f>IFERROR(__xludf.DUMMYFUNCTION("""COMPUTED_VALUE"""),56.9608302)</f>
        <v>56.9608302</v>
      </c>
      <c r="M1863" s="2">
        <f>IFERROR(__xludf.DUMMYFUNCTION("""COMPUTED_VALUE"""),24.1030076)</f>
        <v>24.1030076</v>
      </c>
    </row>
    <row r="1864">
      <c r="A1864" s="2" t="str">
        <f>IFERROR(__xludf.DUMMYFUNCTION("""COMPUTED_VALUE"""),"For sale")</f>
        <v>For sale</v>
      </c>
      <c r="B1864" s="2" t="str">
        <f>IFERROR(__xludf.DUMMYFUNCTION("""COMPUTED_VALUE"""),"Mežciems")</f>
        <v>Mežciems</v>
      </c>
      <c r="C1864" s="2" t="str">
        <f>IFERROR(__xludf.DUMMYFUNCTION("""COMPUTED_VALUE"""),"Eizenšteina 13")</f>
        <v>Eizenšteina 13</v>
      </c>
      <c r="D1864" s="2">
        <f>IFERROR(__xludf.DUMMYFUNCTION("""COMPUTED_VALUE"""),2.0)</f>
        <v>2</v>
      </c>
      <c r="E1864" s="2">
        <f>IFERROR(__xludf.DUMMYFUNCTION("""COMPUTED_VALUE"""),39.0)</f>
        <v>39</v>
      </c>
      <c r="F1864" s="2">
        <f>IFERROR(__xludf.DUMMYFUNCTION("""COMPUTED_VALUE"""),5.0)</f>
        <v>5</v>
      </c>
      <c r="G1864" s="2">
        <f>IFERROR(__xludf.DUMMYFUNCTION("""COMPUTED_VALUE"""),5.0)</f>
        <v>5</v>
      </c>
      <c r="H1864" s="2" t="str">
        <f>IFERROR(__xludf.DUMMYFUNCTION("""COMPUTED_VALUE"""),"LT proj.")</f>
        <v>LT proj.</v>
      </c>
      <c r="I1864" s="2" t="str">
        <f>IFERROR(__xludf.DUMMYFUNCTION("""COMPUTED_VALUE"""),"Panel")</f>
        <v>Panel</v>
      </c>
      <c r="J1864" s="2" t="str">
        <f>IFERROR(__xludf.DUMMYFUNCTION("""COMPUTED_VALUE"""),"All amenities")</f>
        <v>All amenities</v>
      </c>
      <c r="K1864" s="2">
        <f>IFERROR(__xludf.DUMMYFUNCTION("""COMPUTED_VALUE"""),29000.0)</f>
        <v>29000</v>
      </c>
      <c r="L1864" s="2">
        <f>IFERROR(__xludf.DUMMYFUNCTION("""COMPUTED_VALUE"""),56.9738405)</f>
        <v>56.9738405</v>
      </c>
      <c r="M1864" s="2">
        <f>IFERROR(__xludf.DUMMYFUNCTION("""COMPUTED_VALUE"""),24.2262283784181)</f>
        <v>24.22622838</v>
      </c>
    </row>
    <row r="1865">
      <c r="A1865" s="2" t="str">
        <f>IFERROR(__xludf.DUMMYFUNCTION("""COMPUTED_VALUE"""),"For rent")</f>
        <v>For rent</v>
      </c>
      <c r="B1865" s="2" t="str">
        <f>IFERROR(__xludf.DUMMYFUNCTION("""COMPUTED_VALUE"""),"centrs")</f>
        <v>centrs</v>
      </c>
      <c r="C1865" s="2" t="str">
        <f>IFERROR(__xludf.DUMMYFUNCTION("""COMPUTED_VALUE"""),"Marijas 20")</f>
        <v>Marijas 20</v>
      </c>
      <c r="D1865" s="2">
        <f>IFERROR(__xludf.DUMMYFUNCTION("""COMPUTED_VALUE"""),2.0)</f>
        <v>2</v>
      </c>
      <c r="E1865" s="2">
        <f>IFERROR(__xludf.DUMMYFUNCTION("""COMPUTED_VALUE"""),50.0)</f>
        <v>50</v>
      </c>
      <c r="F1865" s="2">
        <f>IFERROR(__xludf.DUMMYFUNCTION("""COMPUTED_VALUE"""),5.0)</f>
        <v>5</v>
      </c>
      <c r="G1865" s="2">
        <f>IFERROR(__xludf.DUMMYFUNCTION("""COMPUTED_VALUE"""),6.0)</f>
        <v>6</v>
      </c>
      <c r="H1865" s="2" t="str">
        <f>IFERROR(__xludf.DUMMYFUNCTION("""COMPUTED_VALUE"""),"Specpr.")</f>
        <v>Specpr.</v>
      </c>
      <c r="I1865" s="2" t="str">
        <f>IFERROR(__xludf.DUMMYFUNCTION("""COMPUTED_VALUE"""),"Masonry")</f>
        <v>Masonry</v>
      </c>
      <c r="J1865" s="2" t="str">
        <f>IFERROR(__xludf.DUMMYFUNCTION("""COMPUTED_VALUE"""),"All amenities")</f>
        <v>All amenities</v>
      </c>
      <c r="K1865" s="2">
        <f>IFERROR(__xludf.DUMMYFUNCTION("""COMPUTED_VALUE"""),500.0)</f>
        <v>500</v>
      </c>
      <c r="L1865" s="2">
        <f>IFERROR(__xludf.DUMMYFUNCTION("""COMPUTED_VALUE"""),56.9507818)</f>
        <v>56.9507818</v>
      </c>
      <c r="M1865" s="2">
        <f>IFERROR(__xludf.DUMMYFUNCTION("""COMPUTED_VALUE"""),24.1261795)</f>
        <v>24.1261795</v>
      </c>
    </row>
    <row r="1866">
      <c r="A1866" s="2" t="str">
        <f>IFERROR(__xludf.DUMMYFUNCTION("""COMPUTED_VALUE"""),"For sale")</f>
        <v>For sale</v>
      </c>
      <c r="B1866" s="2" t="str">
        <f>IFERROR(__xludf.DUMMYFUNCTION("""COMPUTED_VALUE"""),"centrs")</f>
        <v>centrs</v>
      </c>
      <c r="C1866" s="2" t="str">
        <f>IFERROR(__xludf.DUMMYFUNCTION("""COMPUTED_VALUE"""),"Čaka 146")</f>
        <v>Čaka 146</v>
      </c>
      <c r="D1866" s="2">
        <f>IFERROR(__xludf.DUMMYFUNCTION("""COMPUTED_VALUE"""),2.0)</f>
        <v>2</v>
      </c>
      <c r="E1866" s="2">
        <f>IFERROR(__xludf.DUMMYFUNCTION("""COMPUTED_VALUE"""),76.0)</f>
        <v>76</v>
      </c>
      <c r="F1866" s="2">
        <f>IFERROR(__xludf.DUMMYFUNCTION("""COMPUTED_VALUE"""),2.0)</f>
        <v>2</v>
      </c>
      <c r="G1866" s="2">
        <f>IFERROR(__xludf.DUMMYFUNCTION("""COMPUTED_VALUE"""),5.0)</f>
        <v>5</v>
      </c>
      <c r="H1866" s="2" t="str">
        <f>IFERROR(__xludf.DUMMYFUNCTION("""COMPUTED_VALUE"""),"P. kara")</f>
        <v>P. kara</v>
      </c>
      <c r="I1866" s="2" t="str">
        <f>IFERROR(__xludf.DUMMYFUNCTION("""COMPUTED_VALUE"""),"Masonry")</f>
        <v>Masonry</v>
      </c>
      <c r="J1866" s="2" t="str">
        <f>IFERROR(__xludf.DUMMYFUNCTION("""COMPUTED_VALUE"""),"All amenities")</f>
        <v>All amenities</v>
      </c>
      <c r="K1866" s="2">
        <f>IFERROR(__xludf.DUMMYFUNCTION("""COMPUTED_VALUE"""),110000.0)</f>
        <v>110000</v>
      </c>
      <c r="L1866" s="2">
        <f>IFERROR(__xludf.DUMMYFUNCTION("""COMPUTED_VALUE"""),56.962802)</f>
        <v>56.962802</v>
      </c>
      <c r="M1866" s="2">
        <f>IFERROR(__xludf.DUMMYFUNCTION("""COMPUTED_VALUE"""),24.1495316)</f>
        <v>24.1495316</v>
      </c>
    </row>
    <row r="1867">
      <c r="A1867" s="2" t="str">
        <f>IFERROR(__xludf.DUMMYFUNCTION("""COMPUTED_VALUE"""),"For sale")</f>
        <v>For sale</v>
      </c>
      <c r="B1867" s="2" t="str">
        <f>IFERROR(__xludf.DUMMYFUNCTION("""COMPUTED_VALUE"""),"centrs")</f>
        <v>centrs</v>
      </c>
      <c r="C1867" s="2" t="str">
        <f>IFERROR(__xludf.DUMMYFUNCTION("""COMPUTED_VALUE"""),"Brīvības iela 76")</f>
        <v>Brīvības iela 76</v>
      </c>
      <c r="D1867" s="2">
        <f>IFERROR(__xludf.DUMMYFUNCTION("""COMPUTED_VALUE"""),5.0)</f>
        <v>5</v>
      </c>
      <c r="E1867" s="2">
        <f>IFERROR(__xludf.DUMMYFUNCTION("""COMPUTED_VALUE"""),207.4)</f>
        <v>207.4</v>
      </c>
      <c r="F1867" s="2">
        <f>IFERROR(__xludf.DUMMYFUNCTION("""COMPUTED_VALUE"""),4.0)</f>
        <v>4</v>
      </c>
      <c r="G1867" s="2">
        <f>IFERROR(__xludf.DUMMYFUNCTION("""COMPUTED_VALUE"""),6.0)</f>
        <v>6</v>
      </c>
      <c r="H1867" s="2" t="str">
        <f>IFERROR(__xludf.DUMMYFUNCTION("""COMPUTED_VALUE"""),"Renov.")</f>
        <v>Renov.</v>
      </c>
      <c r="I1867" s="2" t="str">
        <f>IFERROR(__xludf.DUMMYFUNCTION("""COMPUTED_VALUE"""),"Masonry")</f>
        <v>Masonry</v>
      </c>
      <c r="J1867" s="2" t="str">
        <f>IFERROR(__xludf.DUMMYFUNCTION("""COMPUTED_VALUE"""),"All amenities")</f>
        <v>All amenities</v>
      </c>
      <c r="K1867" s="2">
        <f>IFERROR(__xludf.DUMMYFUNCTION("""COMPUTED_VALUE"""),420000.0)</f>
        <v>420000</v>
      </c>
      <c r="L1867" s="2">
        <f>IFERROR(__xludf.DUMMYFUNCTION("""COMPUTED_VALUE"""),56.9583571)</f>
        <v>56.9583571</v>
      </c>
      <c r="M1867" s="2">
        <f>IFERROR(__xludf.DUMMYFUNCTION("""COMPUTED_VALUE"""),24.1252547)</f>
        <v>24.1252547</v>
      </c>
    </row>
    <row r="1868">
      <c r="A1868" s="2" t="str">
        <f>IFERROR(__xludf.DUMMYFUNCTION("""COMPUTED_VALUE"""),"For sale")</f>
        <v>For sale</v>
      </c>
      <c r="B1868" s="2" t="str">
        <f>IFERROR(__xludf.DUMMYFUNCTION("""COMPUTED_VALUE"""),"Ķengarags")</f>
        <v>Ķengarags</v>
      </c>
      <c r="C1868" s="2" t="str">
        <f>IFERROR(__xludf.DUMMYFUNCTION("""COMPUTED_VALUE"""),"Maskavas 222b")</f>
        <v>Maskavas 222b</v>
      </c>
      <c r="D1868" s="2">
        <f>IFERROR(__xludf.DUMMYFUNCTION("""COMPUTED_VALUE"""),2.0)</f>
        <v>2</v>
      </c>
      <c r="E1868" s="2">
        <f>IFERROR(__xludf.DUMMYFUNCTION("""COMPUTED_VALUE"""),47.0)</f>
        <v>47</v>
      </c>
      <c r="F1868" s="2">
        <f>IFERROR(__xludf.DUMMYFUNCTION("""COMPUTED_VALUE"""),4.0)</f>
        <v>4</v>
      </c>
      <c r="G1868" s="2">
        <f>IFERROR(__xludf.DUMMYFUNCTION("""COMPUTED_VALUE"""),9.0)</f>
        <v>9</v>
      </c>
      <c r="H1868" s="2">
        <f>IFERROR(__xludf.DUMMYFUNCTION("""COMPUTED_VALUE"""),467.0)</f>
        <v>467</v>
      </c>
      <c r="I1868" s="2" t="str">
        <f>IFERROR(__xludf.DUMMYFUNCTION("""COMPUTED_VALUE"""),"Panel")</f>
        <v>Panel</v>
      </c>
      <c r="J1868" s="2" t="str">
        <f>IFERROR(__xludf.DUMMYFUNCTION("""COMPUTED_VALUE"""),"All amenities")</f>
        <v>All amenities</v>
      </c>
      <c r="K1868" s="2">
        <f>IFERROR(__xludf.DUMMYFUNCTION("""COMPUTED_VALUE"""),51000.0)</f>
        <v>51000</v>
      </c>
      <c r="L1868" s="2">
        <f>IFERROR(__xludf.DUMMYFUNCTION("""COMPUTED_VALUE"""),56.9239084)</f>
        <v>56.9239084</v>
      </c>
      <c r="M1868" s="2">
        <f>IFERROR(__xludf.DUMMYFUNCTION("""COMPUTED_VALUE"""),24.1674059998207)</f>
        <v>24.167406</v>
      </c>
    </row>
    <row r="1869">
      <c r="A1869" s="2" t="str">
        <f>IFERROR(__xludf.DUMMYFUNCTION("""COMPUTED_VALUE"""),"For sale")</f>
        <v>For sale</v>
      </c>
      <c r="B1869" s="2" t="str">
        <f>IFERROR(__xludf.DUMMYFUNCTION("""COMPUTED_VALUE"""),"centrs")</f>
        <v>centrs</v>
      </c>
      <c r="C1869" s="2" t="str">
        <f>IFERROR(__xludf.DUMMYFUNCTION("""COMPUTED_VALUE"""),"Dzirnavu 132")</f>
        <v>Dzirnavu 132</v>
      </c>
      <c r="D1869" s="2">
        <f>IFERROR(__xludf.DUMMYFUNCTION("""COMPUTED_VALUE"""),2.0)</f>
        <v>2</v>
      </c>
      <c r="E1869" s="2">
        <f>IFERROR(__xludf.DUMMYFUNCTION("""COMPUTED_VALUE"""),53.0)</f>
        <v>53</v>
      </c>
      <c r="F1869" s="2">
        <f>IFERROR(__xludf.DUMMYFUNCTION("""COMPUTED_VALUE"""),2.0)</f>
        <v>2</v>
      </c>
      <c r="G1869" s="2">
        <f>IFERROR(__xludf.DUMMYFUNCTION("""COMPUTED_VALUE"""),5.0)</f>
        <v>5</v>
      </c>
      <c r="H1869" s="2" t="str">
        <f>IFERROR(__xludf.DUMMYFUNCTION("""COMPUTED_VALUE"""),"P. kara")</f>
        <v>P. kara</v>
      </c>
      <c r="I1869" s="2" t="str">
        <f>IFERROR(__xludf.DUMMYFUNCTION("""COMPUTED_VALUE"""),"Masonry")</f>
        <v>Masonry</v>
      </c>
      <c r="J1869" s="2" t="str">
        <f>IFERROR(__xludf.DUMMYFUNCTION("""COMPUTED_VALUE"""),"All amenities")</f>
        <v>All amenities</v>
      </c>
      <c r="K1869" s="2">
        <f>IFERROR(__xludf.DUMMYFUNCTION("""COMPUTED_VALUE"""),55000.0)</f>
        <v>55000</v>
      </c>
      <c r="L1869" s="2">
        <f>IFERROR(__xludf.DUMMYFUNCTION("""COMPUTED_VALUE"""),56.9406658)</f>
        <v>56.9406658</v>
      </c>
      <c r="M1869" s="2">
        <f>IFERROR(__xludf.DUMMYFUNCTION("""COMPUTED_VALUE"""),24.1245029)</f>
        <v>24.1245029</v>
      </c>
    </row>
    <row r="1870">
      <c r="A1870" s="2" t="str">
        <f>IFERROR(__xludf.DUMMYFUNCTION("""COMPUTED_VALUE"""),"For sale")</f>
        <v>For sale</v>
      </c>
      <c r="B1870" s="2" t="str">
        <f>IFERROR(__xludf.DUMMYFUNCTION("""COMPUTED_VALUE"""),"Vecmīlgrāvis")</f>
        <v>Vecmīlgrāvis</v>
      </c>
      <c r="C1870" s="2" t="str">
        <f>IFERROR(__xludf.DUMMYFUNCTION("""COMPUTED_VALUE"""),"Emmas 12a")</f>
        <v>Emmas 12a</v>
      </c>
      <c r="D1870" s="2" t="str">
        <f>IFERROR(__xludf.DUMMYFUNCTION("""COMPUTED_VALUE"""),"Citi")</f>
        <v>Citi</v>
      </c>
      <c r="E1870" s="2">
        <f>IFERROR(__xludf.DUMMYFUNCTION("""COMPUTED_VALUE"""),188.0)</f>
        <v>188</v>
      </c>
      <c r="F1870" s="2">
        <f>IFERROR(__xludf.DUMMYFUNCTION("""COMPUTED_VALUE"""),1.0)</f>
        <v>1</v>
      </c>
      <c r="G1870" s="2">
        <f>IFERROR(__xludf.DUMMYFUNCTION("""COMPUTED_VALUE"""),3.0)</f>
        <v>3</v>
      </c>
      <c r="H1870" s="2" t="str">
        <f>IFERROR(__xludf.DUMMYFUNCTION("""COMPUTED_VALUE"""),"Staļina")</f>
        <v>Staļina</v>
      </c>
      <c r="I1870" s="2" t="str">
        <f>IFERROR(__xludf.DUMMYFUNCTION("""COMPUTED_VALUE"""),"Masonry")</f>
        <v>Masonry</v>
      </c>
      <c r="J1870" s="2" t="str">
        <f>IFERROR(__xludf.DUMMYFUNCTION("""COMPUTED_VALUE"""),"All amenities")</f>
        <v>All amenities</v>
      </c>
      <c r="K1870" s="2">
        <f>IFERROR(__xludf.DUMMYFUNCTION("""COMPUTED_VALUE"""),49000.0)</f>
        <v>49000</v>
      </c>
      <c r="L1870" s="2">
        <f>IFERROR(__xludf.DUMMYFUNCTION("""COMPUTED_VALUE"""),57.0290793)</f>
        <v>57.0290793</v>
      </c>
      <c r="M1870" s="2">
        <f>IFERROR(__xludf.DUMMYFUNCTION("""COMPUTED_VALUE"""),24.1110987)</f>
        <v>24.1110987</v>
      </c>
    </row>
    <row r="1871">
      <c r="A1871" s="2" t="str">
        <f>IFERROR(__xludf.DUMMYFUNCTION("""COMPUTED_VALUE"""),"For rent")</f>
        <v>For rent</v>
      </c>
      <c r="B1871" s="2" t="str">
        <f>IFERROR(__xludf.DUMMYFUNCTION("""COMPUTED_VALUE"""),"centrs")</f>
        <v>centrs</v>
      </c>
      <c r="C1871" s="2" t="str">
        <f>IFERROR(__xludf.DUMMYFUNCTION("""COMPUTED_VALUE"""),"Valdemāra 34")</f>
        <v>Valdemāra 34</v>
      </c>
      <c r="D1871" s="2">
        <f>IFERROR(__xludf.DUMMYFUNCTION("""COMPUTED_VALUE"""),3.0)</f>
        <v>3</v>
      </c>
      <c r="E1871" s="2">
        <f>IFERROR(__xludf.DUMMYFUNCTION("""COMPUTED_VALUE"""),81.0)</f>
        <v>81</v>
      </c>
      <c r="F1871" s="2">
        <f>IFERROR(__xludf.DUMMYFUNCTION("""COMPUTED_VALUE"""),3.0)</f>
        <v>3</v>
      </c>
      <c r="G1871" s="2">
        <f>IFERROR(__xludf.DUMMYFUNCTION("""COMPUTED_VALUE"""),6.0)</f>
        <v>6</v>
      </c>
      <c r="H1871" s="2" t="str">
        <f>IFERROR(__xludf.DUMMYFUNCTION("""COMPUTED_VALUE"""),"P. kara")</f>
        <v>P. kara</v>
      </c>
      <c r="I1871" s="2" t="str">
        <f>IFERROR(__xludf.DUMMYFUNCTION("""COMPUTED_VALUE"""),"Masonry")</f>
        <v>Masonry</v>
      </c>
      <c r="J1871" s="2" t="str">
        <f>IFERROR(__xludf.DUMMYFUNCTION("""COMPUTED_VALUE"""),"All amenities")</f>
        <v>All amenities</v>
      </c>
      <c r="K1871" s="2">
        <f>IFERROR(__xludf.DUMMYFUNCTION("""COMPUTED_VALUE"""),780.0)</f>
        <v>780</v>
      </c>
      <c r="L1871" s="2">
        <f>IFERROR(__xludf.DUMMYFUNCTION("""COMPUTED_VALUE"""),56.9588195)</f>
        <v>56.9588195</v>
      </c>
      <c r="M1871" s="2">
        <f>IFERROR(__xludf.DUMMYFUNCTION("""COMPUTED_VALUE"""),24.1185086)</f>
        <v>24.1185086</v>
      </c>
    </row>
    <row r="1872">
      <c r="A1872" s="2" t="str">
        <f>IFERROR(__xludf.DUMMYFUNCTION("""COMPUTED_VALUE"""),"For sale")</f>
        <v>For sale</v>
      </c>
      <c r="B1872" s="2" t="str">
        <f>IFERROR(__xludf.DUMMYFUNCTION("""COMPUTED_VALUE"""),"Mežciems")</f>
        <v>Mežciems</v>
      </c>
      <c r="C1872" s="2" t="str">
        <f>IFERROR(__xludf.DUMMYFUNCTION("""COMPUTED_VALUE"""),"Kaivas 50")</f>
        <v>Kaivas 50</v>
      </c>
      <c r="D1872" s="2">
        <f>IFERROR(__xludf.DUMMYFUNCTION("""COMPUTED_VALUE"""),4.0)</f>
        <v>4</v>
      </c>
      <c r="E1872" s="2">
        <f>IFERROR(__xludf.DUMMYFUNCTION("""COMPUTED_VALUE"""),86.0)</f>
        <v>86</v>
      </c>
      <c r="F1872" s="2">
        <f>IFERROR(__xludf.DUMMYFUNCTION("""COMPUTED_VALUE"""),2.0)</f>
        <v>2</v>
      </c>
      <c r="G1872" s="2">
        <f>IFERROR(__xludf.DUMMYFUNCTION("""COMPUTED_VALUE"""),5.0)</f>
        <v>5</v>
      </c>
      <c r="H1872" s="2" t="str">
        <f>IFERROR(__xludf.DUMMYFUNCTION("""COMPUTED_VALUE"""),"Specpr.")</f>
        <v>Specpr.</v>
      </c>
      <c r="I1872" s="2" t="str">
        <f>IFERROR(__xludf.DUMMYFUNCTION("""COMPUTED_VALUE"""),"Panel")</f>
        <v>Panel</v>
      </c>
      <c r="J1872" s="2" t="str">
        <f>IFERROR(__xludf.DUMMYFUNCTION("""COMPUTED_VALUE"""),"All amenities")</f>
        <v>All amenities</v>
      </c>
      <c r="K1872" s="2">
        <f>IFERROR(__xludf.DUMMYFUNCTION("""COMPUTED_VALUE"""),125000.0)</f>
        <v>125000</v>
      </c>
      <c r="L1872" s="2">
        <f>IFERROR(__xludf.DUMMYFUNCTION("""COMPUTED_VALUE"""),56.95546705)</f>
        <v>56.95546705</v>
      </c>
      <c r="M1872" s="2">
        <f>IFERROR(__xludf.DUMMYFUNCTION("""COMPUTED_VALUE"""),24.24181865)</f>
        <v>24.24181865</v>
      </c>
    </row>
    <row r="1873">
      <c r="A1873" s="2" t="str">
        <f>IFERROR(__xludf.DUMMYFUNCTION("""COMPUTED_VALUE"""),"For sale")</f>
        <v>For sale</v>
      </c>
      <c r="B1873" s="2" t="str">
        <f>IFERROR(__xludf.DUMMYFUNCTION("""COMPUTED_VALUE"""),"centrs")</f>
        <v>centrs</v>
      </c>
      <c r="C1873" s="2" t="str">
        <f>IFERROR(__xludf.DUMMYFUNCTION("""COMPUTED_VALUE"""),"Brīvības iela 19")</f>
        <v>Brīvības iela 19</v>
      </c>
      <c r="D1873" s="2">
        <f>IFERROR(__xludf.DUMMYFUNCTION("""COMPUTED_VALUE"""),4.0)</f>
        <v>4</v>
      </c>
      <c r="E1873" s="2">
        <f>IFERROR(__xludf.DUMMYFUNCTION("""COMPUTED_VALUE"""),140.0)</f>
        <v>140</v>
      </c>
      <c r="F1873" s="2">
        <f>IFERROR(__xludf.DUMMYFUNCTION("""COMPUTED_VALUE"""),3.0)</f>
        <v>3</v>
      </c>
      <c r="G1873" s="2">
        <f>IFERROR(__xludf.DUMMYFUNCTION("""COMPUTED_VALUE"""),5.0)</f>
        <v>5</v>
      </c>
      <c r="H1873" s="2" t="str">
        <f>IFERROR(__xludf.DUMMYFUNCTION("""COMPUTED_VALUE"""),"P. kara")</f>
        <v>P. kara</v>
      </c>
      <c r="I1873" s="2" t="str">
        <f>IFERROR(__xludf.DUMMYFUNCTION("""COMPUTED_VALUE"""),"Masonry")</f>
        <v>Masonry</v>
      </c>
      <c r="J1873" s="2" t="str">
        <f>IFERROR(__xludf.DUMMYFUNCTION("""COMPUTED_VALUE"""),"All amenities")</f>
        <v>All amenities</v>
      </c>
      <c r="K1873" s="2">
        <f>IFERROR(__xludf.DUMMYFUNCTION("""COMPUTED_VALUE"""),498000.0)</f>
        <v>498000</v>
      </c>
      <c r="L1873" s="2">
        <f>IFERROR(__xludf.DUMMYFUNCTION("""COMPUTED_VALUE"""),56.9670038)</f>
        <v>56.9670038</v>
      </c>
      <c r="M1873" s="2">
        <f>IFERROR(__xludf.DUMMYFUNCTION("""COMPUTED_VALUE"""),24.1471279)</f>
        <v>24.1471279</v>
      </c>
    </row>
    <row r="1874">
      <c r="A1874" s="2" t="str">
        <f>IFERROR(__xludf.DUMMYFUNCTION("""COMPUTED_VALUE"""),"For sale")</f>
        <v>For sale</v>
      </c>
      <c r="B1874" s="2" t="str">
        <f>IFERROR(__xludf.DUMMYFUNCTION("""COMPUTED_VALUE"""),"centrs")</f>
        <v>centrs</v>
      </c>
      <c r="C1874" s="2" t="str">
        <f>IFERROR(__xludf.DUMMYFUNCTION("""COMPUTED_VALUE"""),"Strēlnieku 7")</f>
        <v>Strēlnieku 7</v>
      </c>
      <c r="D1874" s="2">
        <f>IFERROR(__xludf.DUMMYFUNCTION("""COMPUTED_VALUE"""),3.0)</f>
        <v>3</v>
      </c>
      <c r="E1874" s="2">
        <f>IFERROR(__xludf.DUMMYFUNCTION("""COMPUTED_VALUE"""),94.0)</f>
        <v>94</v>
      </c>
      <c r="F1874" s="2">
        <f>IFERROR(__xludf.DUMMYFUNCTION("""COMPUTED_VALUE"""),2.0)</f>
        <v>2</v>
      </c>
      <c r="G1874" s="2">
        <f>IFERROR(__xludf.DUMMYFUNCTION("""COMPUTED_VALUE"""),7.0)</f>
        <v>7</v>
      </c>
      <c r="H1874" s="2" t="str">
        <f>IFERROR(__xludf.DUMMYFUNCTION("""COMPUTED_VALUE"""),"Jaun.")</f>
        <v>Jaun.</v>
      </c>
      <c r="I1874" s="2" t="str">
        <f>IFERROR(__xludf.DUMMYFUNCTION("""COMPUTED_VALUE"""),"Masonry")</f>
        <v>Masonry</v>
      </c>
      <c r="J1874" s="2" t="str">
        <f>IFERROR(__xludf.DUMMYFUNCTION("""COMPUTED_VALUE"""),"All amenities")</f>
        <v>All amenities</v>
      </c>
      <c r="K1874" s="2">
        <f>IFERROR(__xludf.DUMMYFUNCTION("""COMPUTED_VALUE"""),224500.0)</f>
        <v>224500</v>
      </c>
      <c r="L1874" s="2">
        <f>IFERROR(__xludf.DUMMYFUNCTION("""COMPUTED_VALUE"""),56.9596279)</f>
        <v>56.9596279</v>
      </c>
      <c r="M1874" s="2">
        <f>IFERROR(__xludf.DUMMYFUNCTION("""COMPUTED_VALUE"""),24.1079909)</f>
        <v>24.1079909</v>
      </c>
    </row>
    <row r="1875">
      <c r="A1875" s="2" t="str">
        <f>IFERROR(__xludf.DUMMYFUNCTION("""COMPUTED_VALUE"""),"For rent")</f>
        <v>For rent</v>
      </c>
      <c r="B1875" s="2" t="str">
        <f>IFERROR(__xludf.DUMMYFUNCTION("""COMPUTED_VALUE"""),"centrs")</f>
        <v>centrs</v>
      </c>
      <c r="C1875" s="2" t="str">
        <f>IFERROR(__xludf.DUMMYFUNCTION("""COMPUTED_VALUE"""),"Stabu 99")</f>
        <v>Stabu 99</v>
      </c>
      <c r="D1875" s="2">
        <f>IFERROR(__xludf.DUMMYFUNCTION("""COMPUTED_VALUE"""),2.0)</f>
        <v>2</v>
      </c>
      <c r="E1875" s="2">
        <f>IFERROR(__xludf.DUMMYFUNCTION("""COMPUTED_VALUE"""),100.0)</f>
        <v>100</v>
      </c>
      <c r="F1875" s="2">
        <f>IFERROR(__xludf.DUMMYFUNCTION("""COMPUTED_VALUE"""),5.0)</f>
        <v>5</v>
      </c>
      <c r="G1875" s="2">
        <f>IFERROR(__xludf.DUMMYFUNCTION("""COMPUTED_VALUE"""),5.0)</f>
        <v>5</v>
      </c>
      <c r="H1875" s="2" t="str">
        <f>IFERROR(__xludf.DUMMYFUNCTION("""COMPUTED_VALUE"""),"Renov.")</f>
        <v>Renov.</v>
      </c>
      <c r="I1875" s="2" t="str">
        <f>IFERROR(__xludf.DUMMYFUNCTION("""COMPUTED_VALUE"""),"Brick")</f>
        <v>Brick</v>
      </c>
      <c r="J1875" s="2" t="str">
        <f>IFERROR(__xludf.DUMMYFUNCTION("""COMPUTED_VALUE"""),"All amenities")</f>
        <v>All amenities</v>
      </c>
      <c r="K1875" s="2">
        <f>IFERROR(__xludf.DUMMYFUNCTION("""COMPUTED_VALUE"""),700.0)</f>
        <v>700</v>
      </c>
      <c r="L1875" s="2">
        <f>IFERROR(__xludf.DUMMYFUNCTION("""COMPUTED_VALUE"""),56.9502154)</f>
        <v>56.9502154</v>
      </c>
      <c r="M1875" s="2">
        <f>IFERROR(__xludf.DUMMYFUNCTION("""COMPUTED_VALUE"""),24.1414384724447)</f>
        <v>24.14143847</v>
      </c>
    </row>
    <row r="1876">
      <c r="A1876" s="2" t="str">
        <f>IFERROR(__xludf.DUMMYFUNCTION("""COMPUTED_VALUE"""),"For sale")</f>
        <v>For sale</v>
      </c>
      <c r="B1876" s="2" t="str">
        <f>IFERROR(__xludf.DUMMYFUNCTION("""COMPUTED_VALUE"""),"centrs")</f>
        <v>centrs</v>
      </c>
      <c r="C1876" s="2" t="str">
        <f>IFERROR(__xludf.DUMMYFUNCTION("""COMPUTED_VALUE"""),"Indrānu 5")</f>
        <v>Indrānu 5</v>
      </c>
      <c r="D1876" s="2">
        <f>IFERROR(__xludf.DUMMYFUNCTION("""COMPUTED_VALUE"""),2.0)</f>
        <v>2</v>
      </c>
      <c r="E1876" s="2">
        <f>IFERROR(__xludf.DUMMYFUNCTION("""COMPUTED_VALUE"""),63.0)</f>
        <v>63</v>
      </c>
      <c r="F1876" s="2">
        <f>IFERROR(__xludf.DUMMYFUNCTION("""COMPUTED_VALUE"""),4.0)</f>
        <v>4</v>
      </c>
      <c r="G1876" s="2">
        <f>IFERROR(__xludf.DUMMYFUNCTION("""COMPUTED_VALUE"""),5.0)</f>
        <v>5</v>
      </c>
      <c r="H1876" s="2" t="str">
        <f>IFERROR(__xludf.DUMMYFUNCTION("""COMPUTED_VALUE"""),"Jaun.")</f>
        <v>Jaun.</v>
      </c>
      <c r="I1876" s="2" t="str">
        <f>IFERROR(__xludf.DUMMYFUNCTION("""COMPUTED_VALUE"""),"Brick-Panel")</f>
        <v>Brick-Panel</v>
      </c>
      <c r="J1876" s="2" t="str">
        <f>IFERROR(__xludf.DUMMYFUNCTION("""COMPUTED_VALUE"""),"All amenities")</f>
        <v>All amenities</v>
      </c>
      <c r="K1876" s="2">
        <f>IFERROR(__xludf.DUMMYFUNCTION("""COMPUTED_VALUE"""),135000.0)</f>
        <v>135000</v>
      </c>
      <c r="L1876" s="2">
        <f>IFERROR(__xludf.DUMMYFUNCTION("""COMPUTED_VALUE"""),56.9681431)</f>
        <v>56.9681431</v>
      </c>
      <c r="M1876" s="2">
        <f>IFERROR(__xludf.DUMMYFUNCTION("""COMPUTED_VALUE"""),24.1468839653253)</f>
        <v>24.14688397</v>
      </c>
    </row>
    <row r="1877">
      <c r="A1877" s="2" t="str">
        <f>IFERROR(__xludf.DUMMYFUNCTION("""COMPUTED_VALUE"""),"For sale")</f>
        <v>For sale</v>
      </c>
      <c r="B1877" s="2" t="str">
        <f>IFERROR(__xludf.DUMMYFUNCTION("""COMPUTED_VALUE"""),"centrs")</f>
        <v>centrs</v>
      </c>
      <c r="C1877" s="2" t="str">
        <f>IFERROR(__xludf.DUMMYFUNCTION("""COMPUTED_VALUE"""),"Vesetas 26")</f>
        <v>Vesetas 26</v>
      </c>
      <c r="D1877" s="2">
        <f>IFERROR(__xludf.DUMMYFUNCTION("""COMPUTED_VALUE"""),2.0)</f>
        <v>2</v>
      </c>
      <c r="E1877" s="2">
        <f>IFERROR(__xludf.DUMMYFUNCTION("""COMPUTED_VALUE"""),43.0)</f>
        <v>43</v>
      </c>
      <c r="F1877" s="2">
        <f>IFERROR(__xludf.DUMMYFUNCTION("""COMPUTED_VALUE"""),5.0)</f>
        <v>5</v>
      </c>
      <c r="G1877" s="2">
        <f>IFERROR(__xludf.DUMMYFUNCTION("""COMPUTED_VALUE"""),9.0)</f>
        <v>9</v>
      </c>
      <c r="H1877" s="2" t="str">
        <f>IFERROR(__xludf.DUMMYFUNCTION("""COMPUTED_VALUE"""),"Jaun.")</f>
        <v>Jaun.</v>
      </c>
      <c r="I1877" s="2" t="str">
        <f>IFERROR(__xludf.DUMMYFUNCTION("""COMPUTED_VALUE"""),"Panel-Brick")</f>
        <v>Panel-Brick</v>
      </c>
      <c r="J1877" s="2" t="str">
        <f>IFERROR(__xludf.DUMMYFUNCTION("""COMPUTED_VALUE"""),"All amenities")</f>
        <v>All amenities</v>
      </c>
      <c r="K1877" s="2">
        <f>IFERROR(__xludf.DUMMYFUNCTION("""COMPUTED_VALUE"""),95777.0)</f>
        <v>95777</v>
      </c>
      <c r="L1877" s="2">
        <f>IFERROR(__xludf.DUMMYFUNCTION("""COMPUTED_VALUE"""),56.9628209)</f>
        <v>56.9628209</v>
      </c>
      <c r="M1877" s="2">
        <f>IFERROR(__xludf.DUMMYFUNCTION("""COMPUTED_VALUE"""),24.1203782)</f>
        <v>24.1203782</v>
      </c>
    </row>
    <row r="1878">
      <c r="A1878" s="2" t="str">
        <f>IFERROR(__xludf.DUMMYFUNCTION("""COMPUTED_VALUE"""),"For rent")</f>
        <v>For rent</v>
      </c>
      <c r="B1878" s="2" t="str">
        <f>IFERROR(__xludf.DUMMYFUNCTION("""COMPUTED_VALUE"""),"centrs")</f>
        <v>centrs</v>
      </c>
      <c r="C1878" s="2" t="str">
        <f>IFERROR(__xludf.DUMMYFUNCTION("""COMPUTED_VALUE"""),"Klusā 20")</f>
        <v>Klusā 20</v>
      </c>
      <c r="D1878" s="2">
        <f>IFERROR(__xludf.DUMMYFUNCTION("""COMPUTED_VALUE"""),1.0)</f>
        <v>1</v>
      </c>
      <c r="E1878" s="2">
        <f>IFERROR(__xludf.DUMMYFUNCTION("""COMPUTED_VALUE"""),38.0)</f>
        <v>38</v>
      </c>
      <c r="F1878" s="2">
        <f>IFERROR(__xludf.DUMMYFUNCTION("""COMPUTED_VALUE"""),2.0)</f>
        <v>2</v>
      </c>
      <c r="G1878" s="2">
        <f>IFERROR(__xludf.DUMMYFUNCTION("""COMPUTED_VALUE"""),9.0)</f>
        <v>9</v>
      </c>
      <c r="H1878" s="2" t="str">
        <f>IFERROR(__xludf.DUMMYFUNCTION("""COMPUTED_VALUE"""),"Jaun.")</f>
        <v>Jaun.</v>
      </c>
      <c r="I1878" s="2" t="str">
        <f>IFERROR(__xludf.DUMMYFUNCTION("""COMPUTED_VALUE"""),"Brick-Panel")</f>
        <v>Brick-Panel</v>
      </c>
      <c r="J1878" s="2" t="str">
        <f>IFERROR(__xludf.DUMMYFUNCTION("""COMPUTED_VALUE"""),"All amenities")</f>
        <v>All amenities</v>
      </c>
      <c r="K1878" s="2">
        <f>IFERROR(__xludf.DUMMYFUNCTION("""COMPUTED_VALUE"""),35.0)</f>
        <v>35</v>
      </c>
      <c r="L1878" s="2">
        <f>IFERROR(__xludf.DUMMYFUNCTION("""COMPUTED_VALUE"""),56.97650505)</f>
        <v>56.97650505</v>
      </c>
      <c r="M1878" s="2">
        <f>IFERROR(__xludf.DUMMYFUNCTION("""COMPUTED_VALUE"""),24.1464958357009)</f>
        <v>24.14649584</v>
      </c>
    </row>
    <row r="1879">
      <c r="A1879" s="2" t="str">
        <f>IFERROR(__xludf.DUMMYFUNCTION("""COMPUTED_VALUE"""),"For rent")</f>
        <v>For rent</v>
      </c>
      <c r="B1879" s="2" t="str">
        <f>IFERROR(__xludf.DUMMYFUNCTION("""COMPUTED_VALUE"""),"Ziepniekkalns")</f>
        <v>Ziepniekkalns</v>
      </c>
      <c r="C1879" s="2" t="str">
        <f>IFERROR(__xludf.DUMMYFUNCTION("""COMPUTED_VALUE"""),"Īslīces 1")</f>
        <v>Īslīces 1</v>
      </c>
      <c r="D1879" s="2">
        <f>IFERROR(__xludf.DUMMYFUNCTION("""COMPUTED_VALUE"""),1.0)</f>
        <v>1</v>
      </c>
      <c r="E1879" s="2">
        <f>IFERROR(__xludf.DUMMYFUNCTION("""COMPUTED_VALUE"""),45.0)</f>
        <v>45</v>
      </c>
      <c r="F1879" s="2">
        <f>IFERROR(__xludf.DUMMYFUNCTION("""COMPUTED_VALUE"""),3.0)</f>
        <v>3</v>
      </c>
      <c r="G1879" s="2">
        <f>IFERROR(__xludf.DUMMYFUNCTION("""COMPUTED_VALUE"""),10.0)</f>
        <v>10</v>
      </c>
      <c r="H1879" s="2">
        <f>IFERROR(__xludf.DUMMYFUNCTION("""COMPUTED_VALUE"""),119.0)</f>
        <v>119</v>
      </c>
      <c r="I1879" s="2" t="str">
        <f>IFERROR(__xludf.DUMMYFUNCTION("""COMPUTED_VALUE"""),"Panel")</f>
        <v>Panel</v>
      </c>
      <c r="J1879" s="2" t="str">
        <f>IFERROR(__xludf.DUMMYFUNCTION("""COMPUTED_VALUE"""),"All amenities")</f>
        <v>All amenities</v>
      </c>
      <c r="K1879" s="2">
        <f>IFERROR(__xludf.DUMMYFUNCTION("""COMPUTED_VALUE"""),230.0)</f>
        <v>230</v>
      </c>
      <c r="L1879" s="2">
        <f>IFERROR(__xludf.DUMMYFUNCTION("""COMPUTED_VALUE"""),56.90158855)</f>
        <v>56.90158855</v>
      </c>
      <c r="M1879" s="2">
        <f>IFERROR(__xludf.DUMMYFUNCTION("""COMPUTED_VALUE"""),24.0846961606636)</f>
        <v>24.08469616</v>
      </c>
    </row>
    <row r="1880">
      <c r="A1880" s="2" t="str">
        <f>IFERROR(__xludf.DUMMYFUNCTION("""COMPUTED_VALUE"""),"For rent")</f>
        <v>For rent</v>
      </c>
      <c r="B1880" s="2" t="str">
        <f>IFERROR(__xludf.DUMMYFUNCTION("""COMPUTED_VALUE"""),"Purvciems")</f>
        <v>Purvciems</v>
      </c>
      <c r="C1880" s="2" t="str">
        <f>IFERROR(__xludf.DUMMYFUNCTION("""COMPUTED_VALUE"""),"Vaidavas 9")</f>
        <v>Vaidavas 9</v>
      </c>
      <c r="D1880" s="2">
        <f>IFERROR(__xludf.DUMMYFUNCTION("""COMPUTED_VALUE"""),1.0)</f>
        <v>1</v>
      </c>
      <c r="E1880" s="2">
        <f>IFERROR(__xludf.DUMMYFUNCTION("""COMPUTED_VALUE"""),31.0)</f>
        <v>31</v>
      </c>
      <c r="F1880" s="2">
        <f>IFERROR(__xludf.DUMMYFUNCTION("""COMPUTED_VALUE"""),3.0)</f>
        <v>3</v>
      </c>
      <c r="G1880" s="2">
        <f>IFERROR(__xludf.DUMMYFUNCTION("""COMPUTED_VALUE"""),5.0)</f>
        <v>5</v>
      </c>
      <c r="H1880" s="2" t="str">
        <f>IFERROR(__xludf.DUMMYFUNCTION("""COMPUTED_VALUE"""),"LT proj.")</f>
        <v>LT proj.</v>
      </c>
      <c r="I1880" s="2" t="str">
        <f>IFERROR(__xludf.DUMMYFUNCTION("""COMPUTED_VALUE"""),"Panel")</f>
        <v>Panel</v>
      </c>
      <c r="J1880" s="2" t="str">
        <f>IFERROR(__xludf.DUMMYFUNCTION("""COMPUTED_VALUE"""),"All amenities")</f>
        <v>All amenities</v>
      </c>
      <c r="K1880" s="2">
        <f>IFERROR(__xludf.DUMMYFUNCTION("""COMPUTED_VALUE"""),30.0)</f>
        <v>30</v>
      </c>
      <c r="L1880" s="2">
        <f>IFERROR(__xludf.DUMMYFUNCTION("""COMPUTED_VALUE"""),56.96180755)</f>
        <v>56.96180755</v>
      </c>
      <c r="M1880" s="2">
        <f>IFERROR(__xludf.DUMMYFUNCTION("""COMPUTED_VALUE"""),24.1775215243161)</f>
        <v>24.17752152</v>
      </c>
    </row>
    <row r="1881">
      <c r="A1881" s="2" t="str">
        <f>IFERROR(__xludf.DUMMYFUNCTION("""COMPUTED_VALUE"""),"For sale")</f>
        <v>For sale</v>
      </c>
      <c r="B1881" s="2" t="str">
        <f>IFERROR(__xludf.DUMMYFUNCTION("""COMPUTED_VALUE"""),"Purvciems")</f>
        <v>Purvciems</v>
      </c>
      <c r="C1881" s="2" t="str">
        <f>IFERROR(__xludf.DUMMYFUNCTION("""COMPUTED_VALUE"""),"Ūnijas 71")</f>
        <v>Ūnijas 71</v>
      </c>
      <c r="D1881" s="2">
        <f>IFERROR(__xludf.DUMMYFUNCTION("""COMPUTED_VALUE"""),1.0)</f>
        <v>1</v>
      </c>
      <c r="E1881" s="2">
        <f>IFERROR(__xludf.DUMMYFUNCTION("""COMPUTED_VALUE"""),53.0)</f>
        <v>53</v>
      </c>
      <c r="F1881" s="2">
        <f>IFERROR(__xludf.DUMMYFUNCTION("""COMPUTED_VALUE"""),1.0)</f>
        <v>1</v>
      </c>
      <c r="G1881" s="2">
        <f>IFERROR(__xludf.DUMMYFUNCTION("""COMPUTED_VALUE"""),9.0)</f>
        <v>9</v>
      </c>
      <c r="H1881" s="2" t="str">
        <f>IFERROR(__xludf.DUMMYFUNCTION("""COMPUTED_VALUE"""),"Specpr.")</f>
        <v>Specpr.</v>
      </c>
      <c r="I1881" s="2" t="str">
        <f>IFERROR(__xludf.DUMMYFUNCTION("""COMPUTED_VALUE"""),"Brick-Panel")</f>
        <v>Brick-Panel</v>
      </c>
      <c r="J1881" s="2" t="str">
        <f>IFERROR(__xludf.DUMMYFUNCTION("""COMPUTED_VALUE"""),"All amenities")</f>
        <v>All amenities</v>
      </c>
      <c r="K1881" s="2">
        <f>IFERROR(__xludf.DUMMYFUNCTION("""COMPUTED_VALUE"""),35000.0)</f>
        <v>35000</v>
      </c>
      <c r="L1881" s="2">
        <f>IFERROR(__xludf.DUMMYFUNCTION("""COMPUTED_VALUE"""),56.9646442)</f>
        <v>56.9646442</v>
      </c>
      <c r="M1881" s="2">
        <f>IFERROR(__xludf.DUMMYFUNCTION("""COMPUTED_VALUE"""),24.1801906433065)</f>
        <v>24.18019064</v>
      </c>
    </row>
    <row r="1882">
      <c r="A1882" s="2" t="str">
        <f>IFERROR(__xludf.DUMMYFUNCTION("""COMPUTED_VALUE"""),"For rent")</f>
        <v>For rent</v>
      </c>
      <c r="B1882" s="2" t="str">
        <f>IFERROR(__xludf.DUMMYFUNCTION("""COMPUTED_VALUE"""),"Pļavnieki")</f>
        <v>Pļavnieki</v>
      </c>
      <c r="C1882" s="2" t="str">
        <f>IFERROR(__xludf.DUMMYFUNCTION("""COMPUTED_VALUE"""),"Salnas 24")</f>
        <v>Salnas 24</v>
      </c>
      <c r="D1882" s="2">
        <f>IFERROR(__xludf.DUMMYFUNCTION("""COMPUTED_VALUE"""),1.0)</f>
        <v>1</v>
      </c>
      <c r="E1882" s="2">
        <f>IFERROR(__xludf.DUMMYFUNCTION("""COMPUTED_VALUE"""),38.0)</f>
        <v>38</v>
      </c>
      <c r="F1882" s="2">
        <f>IFERROR(__xludf.DUMMYFUNCTION("""COMPUTED_VALUE"""),4.0)</f>
        <v>4</v>
      </c>
      <c r="G1882" s="2">
        <f>IFERROR(__xludf.DUMMYFUNCTION("""COMPUTED_VALUE"""),5.0)</f>
        <v>5</v>
      </c>
      <c r="H1882" s="2" t="str">
        <f>IFERROR(__xludf.DUMMYFUNCTION("""COMPUTED_VALUE"""),"M. ģim.")</f>
        <v>M. ģim.</v>
      </c>
      <c r="I1882" s="2" t="str">
        <f>IFERROR(__xludf.DUMMYFUNCTION("""COMPUTED_VALUE"""),"Panel")</f>
        <v>Panel</v>
      </c>
      <c r="J1882" s="2" t="str">
        <f>IFERROR(__xludf.DUMMYFUNCTION("""COMPUTED_VALUE"""),"All amenities")</f>
        <v>All amenities</v>
      </c>
      <c r="K1882" s="2">
        <f>IFERROR(__xludf.DUMMYFUNCTION("""COMPUTED_VALUE"""),220.0)</f>
        <v>220</v>
      </c>
      <c r="L1882" s="2">
        <f>IFERROR(__xludf.DUMMYFUNCTION("""COMPUTED_VALUE"""),56.94167865)</f>
        <v>56.94167865</v>
      </c>
      <c r="M1882" s="2">
        <f>IFERROR(__xludf.DUMMYFUNCTION("""COMPUTED_VALUE"""),24.22621375)</f>
        <v>24.22621375</v>
      </c>
    </row>
    <row r="1883">
      <c r="A1883" s="2" t="str">
        <f>IFERROR(__xludf.DUMMYFUNCTION("""COMPUTED_VALUE"""),"For rent")</f>
        <v>For rent</v>
      </c>
      <c r="B1883" s="2" t="str">
        <f>IFERROR(__xludf.DUMMYFUNCTION("""COMPUTED_VALUE"""),"centrs")</f>
        <v>centrs</v>
      </c>
      <c r="C1883" s="2" t="str">
        <f>IFERROR(__xludf.DUMMYFUNCTION("""COMPUTED_VALUE"""),"Elku 2")</f>
        <v>Elku 2</v>
      </c>
      <c r="D1883" s="2">
        <f>IFERROR(__xludf.DUMMYFUNCTION("""COMPUTED_VALUE"""),2.0)</f>
        <v>2</v>
      </c>
      <c r="E1883" s="2">
        <f>IFERROR(__xludf.DUMMYFUNCTION("""COMPUTED_VALUE"""),55.0)</f>
        <v>55</v>
      </c>
      <c r="F1883" s="2">
        <f>IFERROR(__xludf.DUMMYFUNCTION("""COMPUTED_VALUE"""),2.0)</f>
        <v>2</v>
      </c>
      <c r="G1883" s="2">
        <f>IFERROR(__xludf.DUMMYFUNCTION("""COMPUTED_VALUE"""),3.0)</f>
        <v>3</v>
      </c>
      <c r="H1883" s="2" t="str">
        <f>IFERROR(__xludf.DUMMYFUNCTION("""COMPUTED_VALUE"""),"P. kara")</f>
        <v>P. kara</v>
      </c>
      <c r="I1883" s="2" t="str">
        <f>IFERROR(__xludf.DUMMYFUNCTION("""COMPUTED_VALUE"""),"Masonry")</f>
        <v>Masonry</v>
      </c>
      <c r="J1883" s="2" t="str">
        <f>IFERROR(__xludf.DUMMYFUNCTION("""COMPUTED_VALUE"""),"All amenities")</f>
        <v>All amenities</v>
      </c>
      <c r="K1883" s="2">
        <f>IFERROR(__xludf.DUMMYFUNCTION("""COMPUTED_VALUE"""),30.0)</f>
        <v>30</v>
      </c>
      <c r="L1883" s="2">
        <f>IFERROR(__xludf.DUMMYFUNCTION("""COMPUTED_VALUE"""),56.9675144)</f>
        <v>56.9675144</v>
      </c>
      <c r="M1883" s="2">
        <f>IFERROR(__xludf.DUMMYFUNCTION("""COMPUTED_VALUE"""),24.1448163489705)</f>
        <v>24.14481635</v>
      </c>
    </row>
    <row r="1884">
      <c r="A1884" s="2" t="str">
        <f>IFERROR(__xludf.DUMMYFUNCTION("""COMPUTED_VALUE"""),"For sale")</f>
        <v>For sale</v>
      </c>
      <c r="B1884" s="2" t="str">
        <f>IFERROR(__xludf.DUMMYFUNCTION("""COMPUTED_VALUE"""),"Imanta")</f>
        <v>Imanta</v>
      </c>
      <c r="C1884" s="2" t="str">
        <f>IFERROR(__xludf.DUMMYFUNCTION("""COMPUTED_VALUE"""),"Imantas 3c")</f>
        <v>Imantas 3c</v>
      </c>
      <c r="D1884" s="2">
        <f>IFERROR(__xludf.DUMMYFUNCTION("""COMPUTED_VALUE"""),3.0)</f>
        <v>3</v>
      </c>
      <c r="E1884" s="2">
        <f>IFERROR(__xludf.DUMMYFUNCTION("""COMPUTED_VALUE"""),66.0)</f>
        <v>66</v>
      </c>
      <c r="F1884" s="2">
        <f>IFERROR(__xludf.DUMMYFUNCTION("""COMPUTED_VALUE"""),5.0)</f>
        <v>5</v>
      </c>
      <c r="G1884" s="2">
        <f>IFERROR(__xludf.DUMMYFUNCTION("""COMPUTED_VALUE"""),5.0)</f>
        <v>5</v>
      </c>
      <c r="H1884" s="2" t="str">
        <f>IFERROR(__xludf.DUMMYFUNCTION("""COMPUTED_VALUE"""),"LT proj.")</f>
        <v>LT proj.</v>
      </c>
      <c r="I1884" s="2" t="str">
        <f>IFERROR(__xludf.DUMMYFUNCTION("""COMPUTED_VALUE"""),"Panel-Brick")</f>
        <v>Panel-Brick</v>
      </c>
      <c r="J1884" s="2" t="str">
        <f>IFERROR(__xludf.DUMMYFUNCTION("""COMPUTED_VALUE"""),"All amenities")</f>
        <v>All amenities</v>
      </c>
      <c r="K1884" s="2">
        <f>IFERROR(__xludf.DUMMYFUNCTION("""COMPUTED_VALUE"""),55000.0)</f>
        <v>55000</v>
      </c>
      <c r="L1884" s="2">
        <f>IFERROR(__xludf.DUMMYFUNCTION("""COMPUTED_VALUE"""),56.9544068)</f>
        <v>56.9544068</v>
      </c>
      <c r="M1884" s="2">
        <f>IFERROR(__xludf.DUMMYFUNCTION("""COMPUTED_VALUE"""),24.0257763999999)</f>
        <v>24.0257764</v>
      </c>
    </row>
    <row r="1885">
      <c r="A1885" s="2" t="str">
        <f>IFERROR(__xludf.DUMMYFUNCTION("""COMPUTED_VALUE"""),"For sale")</f>
        <v>For sale</v>
      </c>
      <c r="B1885" s="2" t="str">
        <f>IFERROR(__xludf.DUMMYFUNCTION("""COMPUTED_VALUE"""),"Ziepniekkalns")</f>
        <v>Ziepniekkalns</v>
      </c>
      <c r="C1885" s="2" t="str">
        <f>IFERROR(__xludf.DUMMYFUNCTION("""COMPUTED_VALUE"""),"Bikstu 6")</f>
        <v>Bikstu 6</v>
      </c>
      <c r="D1885" s="2">
        <f>IFERROR(__xludf.DUMMYFUNCTION("""COMPUTED_VALUE"""),3.0)</f>
        <v>3</v>
      </c>
      <c r="E1885" s="2">
        <f>IFERROR(__xludf.DUMMYFUNCTION("""COMPUTED_VALUE"""),108.0)</f>
        <v>108</v>
      </c>
      <c r="F1885" s="2">
        <f>IFERROR(__xludf.DUMMYFUNCTION("""COMPUTED_VALUE"""),6.0)</f>
        <v>6</v>
      </c>
      <c r="G1885" s="2">
        <f>IFERROR(__xludf.DUMMYFUNCTION("""COMPUTED_VALUE"""),6.0)</f>
        <v>6</v>
      </c>
      <c r="H1885" s="2" t="str">
        <f>IFERROR(__xludf.DUMMYFUNCTION("""COMPUTED_VALUE"""),"Jaun.")</f>
        <v>Jaun.</v>
      </c>
      <c r="I1885" s="2" t="str">
        <f>IFERROR(__xludf.DUMMYFUNCTION("""COMPUTED_VALUE"""),"Panel-Brick")</f>
        <v>Panel-Brick</v>
      </c>
      <c r="J1885" s="2" t="str">
        <f>IFERROR(__xludf.DUMMYFUNCTION("""COMPUTED_VALUE"""),"All amenities")</f>
        <v>All amenities</v>
      </c>
      <c r="K1885" s="2">
        <f>IFERROR(__xludf.DUMMYFUNCTION("""COMPUTED_VALUE"""),145000.0)</f>
        <v>145000</v>
      </c>
      <c r="L1885" s="2">
        <f>IFERROR(__xludf.DUMMYFUNCTION("""COMPUTED_VALUE"""),56.90884755)</f>
        <v>56.90884755</v>
      </c>
      <c r="M1885" s="2">
        <f>IFERROR(__xludf.DUMMYFUNCTION("""COMPUTED_VALUE"""),24.0794370513523)</f>
        <v>24.07943705</v>
      </c>
    </row>
    <row r="1886">
      <c r="A1886" s="2" t="str">
        <f>IFERROR(__xludf.DUMMYFUNCTION("""COMPUTED_VALUE"""),"For sale")</f>
        <v>For sale</v>
      </c>
      <c r="B1886" s="2" t="str">
        <f>IFERROR(__xludf.DUMMYFUNCTION("""COMPUTED_VALUE"""),"Iļģuciems")</f>
        <v>Iļģuciems</v>
      </c>
      <c r="C1886" s="2" t="str">
        <f>IFERROR(__xludf.DUMMYFUNCTION("""COMPUTED_VALUE"""),"Lidoņu 19")</f>
        <v>Lidoņu 19</v>
      </c>
      <c r="D1886" s="2">
        <f>IFERROR(__xludf.DUMMYFUNCTION("""COMPUTED_VALUE"""),2.0)</f>
        <v>2</v>
      </c>
      <c r="E1886" s="2">
        <f>IFERROR(__xludf.DUMMYFUNCTION("""COMPUTED_VALUE"""),50.0)</f>
        <v>50</v>
      </c>
      <c r="F1886" s="2">
        <f>IFERROR(__xludf.DUMMYFUNCTION("""COMPUTED_VALUE"""),5.0)</f>
        <v>5</v>
      </c>
      <c r="G1886" s="2">
        <f>IFERROR(__xludf.DUMMYFUNCTION("""COMPUTED_VALUE"""),5.0)</f>
        <v>5</v>
      </c>
      <c r="H1886" s="2" t="str">
        <f>IFERROR(__xludf.DUMMYFUNCTION("""COMPUTED_VALUE"""),"LT proj.")</f>
        <v>LT proj.</v>
      </c>
      <c r="I1886" s="2" t="str">
        <f>IFERROR(__xludf.DUMMYFUNCTION("""COMPUTED_VALUE"""),"Panel")</f>
        <v>Panel</v>
      </c>
      <c r="J1886" s="2" t="str">
        <f>IFERROR(__xludf.DUMMYFUNCTION("""COMPUTED_VALUE"""),"All amenities")</f>
        <v>All amenities</v>
      </c>
      <c r="K1886" s="2">
        <f>IFERROR(__xludf.DUMMYFUNCTION("""COMPUTED_VALUE"""),47500.0)</f>
        <v>47500</v>
      </c>
      <c r="L1886" s="2">
        <f>IFERROR(__xludf.DUMMYFUNCTION("""COMPUTED_VALUE"""),56.97071185)</f>
        <v>56.97071185</v>
      </c>
      <c r="M1886" s="2">
        <f>IFERROR(__xludf.DUMMYFUNCTION("""COMPUTED_VALUE"""),24.0613398591448)</f>
        <v>24.06133986</v>
      </c>
    </row>
    <row r="1887">
      <c r="A1887" s="2" t="str">
        <f>IFERROR(__xludf.DUMMYFUNCTION("""COMPUTED_VALUE"""),"For sale")</f>
        <v>For sale</v>
      </c>
      <c r="B1887" s="2" t="str">
        <f>IFERROR(__xludf.DUMMYFUNCTION("""COMPUTED_VALUE"""),"Iļģuciems")</f>
        <v>Iļģuciems</v>
      </c>
      <c r="C1887" s="2" t="str">
        <f>IFERROR(__xludf.DUMMYFUNCTION("""COMPUTED_VALUE"""),"Stūres 2")</f>
        <v>Stūres 2</v>
      </c>
      <c r="D1887" s="2">
        <f>IFERROR(__xludf.DUMMYFUNCTION("""COMPUTED_VALUE"""),1.0)</f>
        <v>1</v>
      </c>
      <c r="E1887" s="2">
        <f>IFERROR(__xludf.DUMMYFUNCTION("""COMPUTED_VALUE"""),17.0)</f>
        <v>17</v>
      </c>
      <c r="F1887" s="2">
        <f>IFERROR(__xludf.DUMMYFUNCTION("""COMPUTED_VALUE"""),5.0)</f>
        <v>5</v>
      </c>
      <c r="G1887" s="2">
        <f>IFERROR(__xludf.DUMMYFUNCTION("""COMPUTED_VALUE"""),5.0)</f>
        <v>5</v>
      </c>
      <c r="H1887" s="2" t="str">
        <f>IFERROR(__xludf.DUMMYFUNCTION("""COMPUTED_VALUE"""),"M. ģim.")</f>
        <v>M. ģim.</v>
      </c>
      <c r="I1887" s="2" t="str">
        <f>IFERROR(__xludf.DUMMYFUNCTION("""COMPUTED_VALUE"""),"Brick")</f>
        <v>Brick</v>
      </c>
      <c r="J1887" s="2" t="str">
        <f>IFERROR(__xludf.DUMMYFUNCTION("""COMPUTED_VALUE"""),"Partial amenities")</f>
        <v>Partial amenities</v>
      </c>
      <c r="K1887" s="2">
        <f>IFERROR(__xludf.DUMMYFUNCTION("""COMPUTED_VALUE"""),8700.0)</f>
        <v>8700</v>
      </c>
      <c r="L1887" s="2">
        <f>IFERROR(__xludf.DUMMYFUNCTION("""COMPUTED_VALUE"""),56.9692203)</f>
        <v>56.9692203</v>
      </c>
      <c r="M1887" s="2">
        <f>IFERROR(__xludf.DUMMYFUNCTION("""COMPUTED_VALUE"""),24.0694937318141)</f>
        <v>24.06949373</v>
      </c>
    </row>
    <row r="1888">
      <c r="A1888" s="2" t="str">
        <f>IFERROR(__xludf.DUMMYFUNCTION("""COMPUTED_VALUE"""),"For rent")</f>
        <v>For rent</v>
      </c>
      <c r="B1888" s="2" t="str">
        <f>IFERROR(__xludf.DUMMYFUNCTION("""COMPUTED_VALUE"""),"Purvciems")</f>
        <v>Purvciems</v>
      </c>
      <c r="C1888" s="2" t="str">
        <f>IFERROR(__xludf.DUMMYFUNCTION("""COMPUTED_VALUE"""),"Zileņu 12")</f>
        <v>Zileņu 12</v>
      </c>
      <c r="D1888" s="2">
        <f>IFERROR(__xludf.DUMMYFUNCTION("""COMPUTED_VALUE"""),1.0)</f>
        <v>1</v>
      </c>
      <c r="E1888" s="2">
        <f>IFERROR(__xludf.DUMMYFUNCTION("""COMPUTED_VALUE"""),35.0)</f>
        <v>35</v>
      </c>
      <c r="F1888" s="2">
        <f>IFERROR(__xludf.DUMMYFUNCTION("""COMPUTED_VALUE"""),3.0)</f>
        <v>3</v>
      </c>
      <c r="G1888" s="2">
        <f>IFERROR(__xludf.DUMMYFUNCTION("""COMPUTED_VALUE"""),5.0)</f>
        <v>5</v>
      </c>
      <c r="H1888" s="2" t="str">
        <f>IFERROR(__xludf.DUMMYFUNCTION("""COMPUTED_VALUE"""),"Jaun.")</f>
        <v>Jaun.</v>
      </c>
      <c r="I1888" s="2" t="str">
        <f>IFERROR(__xludf.DUMMYFUNCTION("""COMPUTED_VALUE"""),"Panel-Brick")</f>
        <v>Panel-Brick</v>
      </c>
      <c r="J1888" s="2" t="str">
        <f>IFERROR(__xludf.DUMMYFUNCTION("""COMPUTED_VALUE"""),"All amenities")</f>
        <v>All amenities</v>
      </c>
      <c r="K1888" s="2">
        <f>IFERROR(__xludf.DUMMYFUNCTION("""COMPUTED_VALUE"""),330.0)</f>
        <v>330</v>
      </c>
      <c r="L1888" s="2">
        <f>IFERROR(__xludf.DUMMYFUNCTION("""COMPUTED_VALUE"""),56.9543951)</f>
        <v>56.9543951</v>
      </c>
      <c r="M1888" s="2">
        <f>IFERROR(__xludf.DUMMYFUNCTION("""COMPUTED_VALUE"""),24.1766165)</f>
        <v>24.1766165</v>
      </c>
    </row>
    <row r="1889">
      <c r="A1889" s="2" t="str">
        <f>IFERROR(__xludf.DUMMYFUNCTION("""COMPUTED_VALUE"""),"For sale")</f>
        <v>For sale</v>
      </c>
      <c r="B1889" s="2" t="str">
        <f>IFERROR(__xludf.DUMMYFUNCTION("""COMPUTED_VALUE"""),"centrs")</f>
        <v>centrs</v>
      </c>
      <c r="C1889" s="2" t="str">
        <f>IFERROR(__xludf.DUMMYFUNCTION("""COMPUTED_VALUE"""),"Brīvības 147")</f>
        <v>Brīvības 147</v>
      </c>
      <c r="D1889" s="2">
        <f>IFERROR(__xludf.DUMMYFUNCTION("""COMPUTED_VALUE"""),3.0)</f>
        <v>3</v>
      </c>
      <c r="E1889" s="2">
        <f>IFERROR(__xludf.DUMMYFUNCTION("""COMPUTED_VALUE"""),77.0)</f>
        <v>77</v>
      </c>
      <c r="F1889" s="2">
        <f>IFERROR(__xludf.DUMMYFUNCTION("""COMPUTED_VALUE"""),3.0)</f>
        <v>3</v>
      </c>
      <c r="G1889" s="2">
        <f>IFERROR(__xludf.DUMMYFUNCTION("""COMPUTED_VALUE"""),7.0)</f>
        <v>7</v>
      </c>
      <c r="H1889" s="2" t="str">
        <f>IFERROR(__xludf.DUMMYFUNCTION("""COMPUTED_VALUE"""),"P. kara")</f>
        <v>P. kara</v>
      </c>
      <c r="I1889" s="2" t="str">
        <f>IFERROR(__xludf.DUMMYFUNCTION("""COMPUTED_VALUE"""),"Masonry")</f>
        <v>Masonry</v>
      </c>
      <c r="J1889" s="2" t="str">
        <f>IFERROR(__xludf.DUMMYFUNCTION("""COMPUTED_VALUE"""),"All amenities")</f>
        <v>All amenities</v>
      </c>
      <c r="K1889" s="2">
        <f>IFERROR(__xludf.DUMMYFUNCTION("""COMPUTED_VALUE"""),122000.0)</f>
        <v>122000</v>
      </c>
      <c r="L1889" s="2">
        <f>IFERROR(__xludf.DUMMYFUNCTION("""COMPUTED_VALUE"""),56.96548375)</f>
        <v>56.96548375</v>
      </c>
      <c r="M1889" s="2">
        <f>IFERROR(__xludf.DUMMYFUNCTION("""COMPUTED_VALUE"""),24.1424979596359)</f>
        <v>24.14249796</v>
      </c>
    </row>
    <row r="1890">
      <c r="A1890" s="2" t="str">
        <f>IFERROR(__xludf.DUMMYFUNCTION("""COMPUTED_VALUE"""),"For sale")</f>
        <v>For sale</v>
      </c>
      <c r="B1890" s="2" t="str">
        <f>IFERROR(__xludf.DUMMYFUNCTION("""COMPUTED_VALUE"""),"centrs")</f>
        <v>centrs</v>
      </c>
      <c r="C1890" s="2" t="str">
        <f>IFERROR(__xludf.DUMMYFUNCTION("""COMPUTED_VALUE"""),"Brīvības 147")</f>
        <v>Brīvības 147</v>
      </c>
      <c r="D1890" s="2">
        <f>IFERROR(__xludf.DUMMYFUNCTION("""COMPUTED_VALUE"""),3.0)</f>
        <v>3</v>
      </c>
      <c r="E1890" s="2">
        <f>IFERROR(__xludf.DUMMYFUNCTION("""COMPUTED_VALUE"""),75.0)</f>
        <v>75</v>
      </c>
      <c r="F1890" s="2">
        <f>IFERROR(__xludf.DUMMYFUNCTION("""COMPUTED_VALUE"""),3.0)</f>
        <v>3</v>
      </c>
      <c r="G1890" s="2">
        <f>IFERROR(__xludf.DUMMYFUNCTION("""COMPUTED_VALUE"""),7.0)</f>
        <v>7</v>
      </c>
      <c r="H1890" s="2" t="str">
        <f>IFERROR(__xludf.DUMMYFUNCTION("""COMPUTED_VALUE"""),"P. kara")</f>
        <v>P. kara</v>
      </c>
      <c r="I1890" s="2" t="str">
        <f>IFERROR(__xludf.DUMMYFUNCTION("""COMPUTED_VALUE"""),"Masonry")</f>
        <v>Masonry</v>
      </c>
      <c r="J1890" s="2" t="str">
        <f>IFERROR(__xludf.DUMMYFUNCTION("""COMPUTED_VALUE"""),"All amenities")</f>
        <v>All amenities</v>
      </c>
      <c r="K1890" s="2">
        <f>IFERROR(__xludf.DUMMYFUNCTION("""COMPUTED_VALUE"""),124000.0)</f>
        <v>124000</v>
      </c>
      <c r="L1890" s="2">
        <f>IFERROR(__xludf.DUMMYFUNCTION("""COMPUTED_VALUE"""),56.96548375)</f>
        <v>56.96548375</v>
      </c>
      <c r="M1890" s="2">
        <f>IFERROR(__xludf.DUMMYFUNCTION("""COMPUTED_VALUE"""),24.1424979596359)</f>
        <v>24.14249796</v>
      </c>
    </row>
    <row r="1891">
      <c r="A1891" s="2" t="str">
        <f>IFERROR(__xludf.DUMMYFUNCTION("""COMPUTED_VALUE"""),"For sale")</f>
        <v>For sale</v>
      </c>
      <c r="B1891" s="2" t="str">
        <f>IFERROR(__xludf.DUMMYFUNCTION("""COMPUTED_VALUE"""),"Āgenskalns")</f>
        <v>Āgenskalns</v>
      </c>
      <c r="C1891" s="2" t="str">
        <f>IFERROR(__xludf.DUMMYFUNCTION("""COMPUTED_VALUE"""),"Raņķa d. 34")</f>
        <v>Raņķa d. 34</v>
      </c>
      <c r="D1891" s="2">
        <f>IFERROR(__xludf.DUMMYFUNCTION("""COMPUTED_VALUE"""),3.0)</f>
        <v>3</v>
      </c>
      <c r="E1891" s="2">
        <f>IFERROR(__xludf.DUMMYFUNCTION("""COMPUTED_VALUE"""),91.0)</f>
        <v>91</v>
      </c>
      <c r="F1891" s="2">
        <f>IFERROR(__xludf.DUMMYFUNCTION("""COMPUTED_VALUE"""),6.0)</f>
        <v>6</v>
      </c>
      <c r="G1891" s="2">
        <f>IFERROR(__xludf.DUMMYFUNCTION("""COMPUTED_VALUE"""),23.0)</f>
        <v>23</v>
      </c>
      <c r="H1891" s="2" t="str">
        <f>IFERROR(__xludf.DUMMYFUNCTION("""COMPUTED_VALUE"""),"Jaun.")</f>
        <v>Jaun.</v>
      </c>
      <c r="I1891" s="2" t="str">
        <f>IFERROR(__xludf.DUMMYFUNCTION("""COMPUTED_VALUE"""),"Panel-Brick")</f>
        <v>Panel-Brick</v>
      </c>
      <c r="J1891" s="2" t="str">
        <f>IFERROR(__xludf.DUMMYFUNCTION("""COMPUTED_VALUE"""),"All amenities")</f>
        <v>All amenities</v>
      </c>
      <c r="K1891" s="2">
        <f>IFERROR(__xludf.DUMMYFUNCTION("""COMPUTED_VALUE"""),199400.0)</f>
        <v>199400</v>
      </c>
      <c r="L1891" s="2">
        <f>IFERROR(__xludf.DUMMYFUNCTION("""COMPUTED_VALUE"""),56.9483074)</f>
        <v>56.9483074</v>
      </c>
      <c r="M1891" s="2">
        <f>IFERROR(__xludf.DUMMYFUNCTION("""COMPUTED_VALUE"""),24.0801468)</f>
        <v>24.0801468</v>
      </c>
    </row>
    <row r="1892">
      <c r="A1892" s="2" t="str">
        <f>IFERROR(__xludf.DUMMYFUNCTION("""COMPUTED_VALUE"""),"For rent")</f>
        <v>For rent</v>
      </c>
      <c r="B1892" s="2" t="str">
        <f>IFERROR(__xludf.DUMMYFUNCTION("""COMPUTED_VALUE"""),"Iļģuciems")</f>
        <v>Iļģuciems</v>
      </c>
      <c r="C1892" s="2" t="str">
        <f>IFERROR(__xludf.DUMMYFUNCTION("""COMPUTED_VALUE"""),"Saulgožu 19")</f>
        <v>Saulgožu 19</v>
      </c>
      <c r="D1892" s="2">
        <f>IFERROR(__xludf.DUMMYFUNCTION("""COMPUTED_VALUE"""),1.0)</f>
        <v>1</v>
      </c>
      <c r="E1892" s="2">
        <f>IFERROR(__xludf.DUMMYFUNCTION("""COMPUTED_VALUE"""),30.0)</f>
        <v>30</v>
      </c>
      <c r="F1892" s="2">
        <f>IFERROR(__xludf.DUMMYFUNCTION("""COMPUTED_VALUE"""),2.0)</f>
        <v>2</v>
      </c>
      <c r="G1892" s="2">
        <f>IFERROR(__xludf.DUMMYFUNCTION("""COMPUTED_VALUE"""),5.0)</f>
        <v>5</v>
      </c>
      <c r="H1892" s="2" t="str">
        <f>IFERROR(__xludf.DUMMYFUNCTION("""COMPUTED_VALUE"""),"Hrušč.")</f>
        <v>Hrušč.</v>
      </c>
      <c r="I1892" s="2" t="str">
        <f>IFERROR(__xludf.DUMMYFUNCTION("""COMPUTED_VALUE"""),"Brick")</f>
        <v>Brick</v>
      </c>
      <c r="J1892" s="2" t="str">
        <f>IFERROR(__xludf.DUMMYFUNCTION("""COMPUTED_VALUE"""),"All amenities")</f>
        <v>All amenities</v>
      </c>
      <c r="K1892" s="2">
        <f>IFERROR(__xludf.DUMMYFUNCTION("""COMPUTED_VALUE"""),250.0)</f>
        <v>250</v>
      </c>
      <c r="L1892" s="2">
        <f>IFERROR(__xludf.DUMMYFUNCTION("""COMPUTED_VALUE"""),56.9678207)</f>
        <v>56.9678207</v>
      </c>
      <c r="M1892" s="2">
        <f>IFERROR(__xludf.DUMMYFUNCTION("""COMPUTED_VALUE"""),24.0484273830414)</f>
        <v>24.04842738</v>
      </c>
    </row>
    <row r="1893">
      <c r="A1893" s="2" t="str">
        <f>IFERROR(__xludf.DUMMYFUNCTION("""COMPUTED_VALUE"""),"For sale")</f>
        <v>For sale</v>
      </c>
      <c r="B1893" s="2" t="str">
        <f>IFERROR(__xludf.DUMMYFUNCTION("""COMPUTED_VALUE"""),"Sarkandaugava")</f>
        <v>Sarkandaugava</v>
      </c>
      <c r="C1893" s="2" t="str">
        <f>IFERROR(__xludf.DUMMYFUNCTION("""COMPUTED_VALUE"""),"Hāpsalas 15")</f>
        <v>Hāpsalas 15</v>
      </c>
      <c r="D1893" s="2">
        <f>IFERROR(__xludf.DUMMYFUNCTION("""COMPUTED_VALUE"""),4.0)</f>
        <v>4</v>
      </c>
      <c r="E1893" s="2">
        <f>IFERROR(__xludf.DUMMYFUNCTION("""COMPUTED_VALUE"""),105.0)</f>
        <v>105</v>
      </c>
      <c r="F1893" s="2">
        <f>IFERROR(__xludf.DUMMYFUNCTION("""COMPUTED_VALUE"""),7.0)</f>
        <v>7</v>
      </c>
      <c r="G1893" s="2">
        <f>IFERROR(__xludf.DUMMYFUNCTION("""COMPUTED_VALUE"""),8.0)</f>
        <v>8</v>
      </c>
      <c r="H1893" s="2" t="str">
        <f>IFERROR(__xludf.DUMMYFUNCTION("""COMPUTED_VALUE"""),"Specpr.")</f>
        <v>Specpr.</v>
      </c>
      <c r="I1893" s="2" t="str">
        <f>IFERROR(__xludf.DUMMYFUNCTION("""COMPUTED_VALUE"""),"Brick-Panel")</f>
        <v>Brick-Panel</v>
      </c>
      <c r="J1893" s="2" t="str">
        <f>IFERROR(__xludf.DUMMYFUNCTION("""COMPUTED_VALUE"""),"All amenities")</f>
        <v>All amenities</v>
      </c>
      <c r="K1893" s="2">
        <f>IFERROR(__xludf.DUMMYFUNCTION("""COMPUTED_VALUE"""),99000.0)</f>
        <v>99000</v>
      </c>
      <c r="L1893" s="2">
        <f>IFERROR(__xludf.DUMMYFUNCTION("""COMPUTED_VALUE"""),57.0021136)</f>
        <v>57.0021136</v>
      </c>
      <c r="M1893" s="2">
        <f>IFERROR(__xludf.DUMMYFUNCTION("""COMPUTED_VALUE"""),24.1212483)</f>
        <v>24.1212483</v>
      </c>
    </row>
    <row r="1894">
      <c r="A1894" s="2" t="str">
        <f>IFERROR(__xludf.DUMMYFUNCTION("""COMPUTED_VALUE"""),"For rent")</f>
        <v>For rent</v>
      </c>
      <c r="B1894" s="2" t="str">
        <f>IFERROR(__xludf.DUMMYFUNCTION("""COMPUTED_VALUE"""),"Teika")</f>
        <v>Teika</v>
      </c>
      <c r="C1894" s="2" t="str">
        <f>IFERROR(__xludf.DUMMYFUNCTION("""COMPUTED_VALUE"""),"Vidrižu 4")</f>
        <v>Vidrižu 4</v>
      </c>
      <c r="D1894" s="2">
        <f>IFERROR(__xludf.DUMMYFUNCTION("""COMPUTED_VALUE"""),3.0)</f>
        <v>3</v>
      </c>
      <c r="E1894" s="2">
        <f>IFERROR(__xludf.DUMMYFUNCTION("""COMPUTED_VALUE"""),76.0)</f>
        <v>76</v>
      </c>
      <c r="F1894" s="2">
        <f>IFERROR(__xludf.DUMMYFUNCTION("""COMPUTED_VALUE"""),5.0)</f>
        <v>5</v>
      </c>
      <c r="G1894" s="2">
        <f>IFERROR(__xludf.DUMMYFUNCTION("""COMPUTED_VALUE"""),9.0)</f>
        <v>9</v>
      </c>
      <c r="H1894" s="2" t="str">
        <f>IFERROR(__xludf.DUMMYFUNCTION("""COMPUTED_VALUE"""),"Specpr.")</f>
        <v>Specpr.</v>
      </c>
      <c r="I1894" s="2" t="str">
        <f>IFERROR(__xludf.DUMMYFUNCTION("""COMPUTED_VALUE"""),"Brick")</f>
        <v>Brick</v>
      </c>
      <c r="J1894" s="2" t="str">
        <f>IFERROR(__xludf.DUMMYFUNCTION("""COMPUTED_VALUE"""),"All amenities")</f>
        <v>All amenities</v>
      </c>
      <c r="K1894" s="2">
        <f>IFERROR(__xludf.DUMMYFUNCTION("""COMPUTED_VALUE"""),590.0)</f>
        <v>590</v>
      </c>
      <c r="L1894" s="2">
        <f>IFERROR(__xludf.DUMMYFUNCTION("""COMPUTED_VALUE"""),56.9788671)</f>
        <v>56.9788671</v>
      </c>
      <c r="M1894" s="2">
        <f>IFERROR(__xludf.DUMMYFUNCTION("""COMPUTED_VALUE"""),24.1774824079002)</f>
        <v>24.17748241</v>
      </c>
    </row>
    <row r="1895">
      <c r="A1895" s="2" t="str">
        <f>IFERROR(__xludf.DUMMYFUNCTION("""COMPUTED_VALUE"""),"For sale")</f>
        <v>For sale</v>
      </c>
      <c r="B1895" s="2" t="str">
        <f>IFERROR(__xludf.DUMMYFUNCTION("""COMPUTED_VALUE"""),"centrs")</f>
        <v>centrs</v>
      </c>
      <c r="C1895" s="2" t="str">
        <f>IFERROR(__xludf.DUMMYFUNCTION("""COMPUTED_VALUE"""),"Čaka 36")</f>
        <v>Čaka 36</v>
      </c>
      <c r="D1895" s="2">
        <f>IFERROR(__xludf.DUMMYFUNCTION("""COMPUTED_VALUE"""),4.0)</f>
        <v>4</v>
      </c>
      <c r="E1895" s="2">
        <f>IFERROR(__xludf.DUMMYFUNCTION("""COMPUTED_VALUE"""),84.0)</f>
        <v>84</v>
      </c>
      <c r="F1895" s="2">
        <f>IFERROR(__xludf.DUMMYFUNCTION("""COMPUTED_VALUE"""),2.0)</f>
        <v>2</v>
      </c>
      <c r="G1895" s="2">
        <f>IFERROR(__xludf.DUMMYFUNCTION("""COMPUTED_VALUE"""),5.0)</f>
        <v>5</v>
      </c>
      <c r="H1895" s="2" t="str">
        <f>IFERROR(__xludf.DUMMYFUNCTION("""COMPUTED_VALUE"""),"Renov.")</f>
        <v>Renov.</v>
      </c>
      <c r="I1895" s="2" t="str">
        <f>IFERROR(__xludf.DUMMYFUNCTION("""COMPUTED_VALUE"""),"Masonry")</f>
        <v>Masonry</v>
      </c>
      <c r="J1895" s="2" t="str">
        <f>IFERROR(__xludf.DUMMYFUNCTION("""COMPUTED_VALUE"""),"All amenities")</f>
        <v>All amenities</v>
      </c>
      <c r="K1895" s="2">
        <f>IFERROR(__xludf.DUMMYFUNCTION("""COMPUTED_VALUE"""),149810.0)</f>
        <v>149810</v>
      </c>
      <c r="L1895" s="2">
        <f>IFERROR(__xludf.DUMMYFUNCTION("""COMPUTED_VALUE"""),56.952698)</f>
        <v>56.952698</v>
      </c>
      <c r="M1895" s="2">
        <f>IFERROR(__xludf.DUMMYFUNCTION("""COMPUTED_VALUE"""),24.1299733)</f>
        <v>24.1299733</v>
      </c>
    </row>
    <row r="1896">
      <c r="A1896" s="2" t="str">
        <f>IFERROR(__xludf.DUMMYFUNCTION("""COMPUTED_VALUE"""),"For sale")</f>
        <v>For sale</v>
      </c>
      <c r="B1896" s="2" t="str">
        <f>IFERROR(__xludf.DUMMYFUNCTION("""COMPUTED_VALUE"""),"Purvciems")</f>
        <v>Purvciems</v>
      </c>
      <c r="C1896" s="2" t="str">
        <f>IFERROR(__xludf.DUMMYFUNCTION("""COMPUTED_VALUE"""),"Ūnijas 58a")</f>
        <v>Ūnijas 58a</v>
      </c>
      <c r="D1896" s="2">
        <f>IFERROR(__xludf.DUMMYFUNCTION("""COMPUTED_VALUE"""),3.0)</f>
        <v>3</v>
      </c>
      <c r="E1896" s="2">
        <f>IFERROR(__xludf.DUMMYFUNCTION("""COMPUTED_VALUE"""),59.0)</f>
        <v>59</v>
      </c>
      <c r="F1896" s="2">
        <f>IFERROR(__xludf.DUMMYFUNCTION("""COMPUTED_VALUE"""),4.0)</f>
        <v>4</v>
      </c>
      <c r="G1896" s="2">
        <f>IFERROR(__xludf.DUMMYFUNCTION("""COMPUTED_VALUE"""),5.0)</f>
        <v>5</v>
      </c>
      <c r="H1896" s="2" t="str">
        <f>IFERROR(__xludf.DUMMYFUNCTION("""COMPUTED_VALUE"""),"LT proj.")</f>
        <v>LT proj.</v>
      </c>
      <c r="I1896" s="2" t="str">
        <f>IFERROR(__xludf.DUMMYFUNCTION("""COMPUTED_VALUE"""),"Panel")</f>
        <v>Panel</v>
      </c>
      <c r="J1896" s="2" t="str">
        <f>IFERROR(__xludf.DUMMYFUNCTION("""COMPUTED_VALUE"""),"All amenities")</f>
        <v>All amenities</v>
      </c>
      <c r="K1896" s="2">
        <f>IFERROR(__xludf.DUMMYFUNCTION("""COMPUTED_VALUE"""),55000.0)</f>
        <v>55000</v>
      </c>
      <c r="L1896" s="2">
        <f>IFERROR(__xludf.DUMMYFUNCTION("""COMPUTED_VALUE"""),56.96372375)</f>
        <v>56.96372375</v>
      </c>
      <c r="M1896" s="2">
        <f>IFERROR(__xludf.DUMMYFUNCTION("""COMPUTED_VALUE"""),24.178713829735)</f>
        <v>24.17871383</v>
      </c>
    </row>
    <row r="1897">
      <c r="A1897" s="2" t="str">
        <f>IFERROR(__xludf.DUMMYFUNCTION("""COMPUTED_VALUE"""),"For rent")</f>
        <v>For rent</v>
      </c>
      <c r="B1897" s="2" t="str">
        <f>IFERROR(__xludf.DUMMYFUNCTION("""COMPUTED_VALUE"""),"centrs")</f>
        <v>centrs</v>
      </c>
      <c r="C1897" s="2" t="str">
        <f>IFERROR(__xludf.DUMMYFUNCTION("""COMPUTED_VALUE"""),"Riepnieku 4")</f>
        <v>Riepnieku 4</v>
      </c>
      <c r="D1897" s="2">
        <f>IFERROR(__xludf.DUMMYFUNCTION("""COMPUTED_VALUE"""),2.0)</f>
        <v>2</v>
      </c>
      <c r="E1897" s="2">
        <f>IFERROR(__xludf.DUMMYFUNCTION("""COMPUTED_VALUE"""),55.0)</f>
        <v>55</v>
      </c>
      <c r="F1897" s="2">
        <f>IFERROR(__xludf.DUMMYFUNCTION("""COMPUTED_VALUE"""),5.0)</f>
        <v>5</v>
      </c>
      <c r="G1897" s="2">
        <f>IFERROR(__xludf.DUMMYFUNCTION("""COMPUTED_VALUE"""),5.0)</f>
        <v>5</v>
      </c>
      <c r="H1897" s="2" t="str">
        <f>IFERROR(__xludf.DUMMYFUNCTION("""COMPUTED_VALUE"""),"Staļina")</f>
        <v>Staļina</v>
      </c>
      <c r="I1897" s="2" t="str">
        <f>IFERROR(__xludf.DUMMYFUNCTION("""COMPUTED_VALUE"""),"Brick")</f>
        <v>Brick</v>
      </c>
      <c r="J1897" s="2" t="str">
        <f>IFERROR(__xludf.DUMMYFUNCTION("""COMPUTED_VALUE"""),"All amenities")</f>
        <v>All amenities</v>
      </c>
      <c r="K1897" s="2">
        <f>IFERROR(__xludf.DUMMYFUNCTION("""COMPUTED_VALUE"""),300.0)</f>
        <v>300</v>
      </c>
      <c r="L1897" s="2">
        <f>IFERROR(__xludf.DUMMYFUNCTION("""COMPUTED_VALUE"""),56.94400335)</f>
        <v>56.94400335</v>
      </c>
      <c r="M1897" s="2">
        <f>IFERROR(__xludf.DUMMYFUNCTION("""COMPUTED_VALUE"""),24.125780302131)</f>
        <v>24.1257803</v>
      </c>
    </row>
    <row r="1898">
      <c r="A1898" s="2" t="str">
        <f>IFERROR(__xludf.DUMMYFUNCTION("""COMPUTED_VALUE"""),"For rent")</f>
        <v>For rent</v>
      </c>
      <c r="B1898" s="2" t="str">
        <f>IFERROR(__xludf.DUMMYFUNCTION("""COMPUTED_VALUE"""),"Pļavnieki")</f>
        <v>Pļavnieki</v>
      </c>
      <c r="C1898" s="2" t="str">
        <f>IFERROR(__xludf.DUMMYFUNCTION("""COMPUTED_VALUE"""),"Dravnieku 13")</f>
        <v>Dravnieku 13</v>
      </c>
      <c r="D1898" s="2">
        <f>IFERROR(__xludf.DUMMYFUNCTION("""COMPUTED_VALUE"""),3.0)</f>
        <v>3</v>
      </c>
      <c r="E1898" s="2">
        <f>IFERROR(__xludf.DUMMYFUNCTION("""COMPUTED_VALUE"""),63.0)</f>
        <v>63</v>
      </c>
      <c r="F1898" s="2">
        <f>IFERROR(__xludf.DUMMYFUNCTION("""COMPUTED_VALUE"""),7.0)</f>
        <v>7</v>
      </c>
      <c r="G1898" s="2">
        <f>IFERROR(__xludf.DUMMYFUNCTION("""COMPUTED_VALUE"""),8.0)</f>
        <v>8</v>
      </c>
      <c r="H1898" s="2">
        <f>IFERROR(__xludf.DUMMYFUNCTION("""COMPUTED_VALUE"""),602.0)</f>
        <v>602</v>
      </c>
      <c r="I1898" s="2" t="str">
        <f>IFERROR(__xludf.DUMMYFUNCTION("""COMPUTED_VALUE"""),"Panel")</f>
        <v>Panel</v>
      </c>
      <c r="J1898" s="2" t="str">
        <f>IFERROR(__xludf.DUMMYFUNCTION("""COMPUTED_VALUE"""),"All amenities")</f>
        <v>All amenities</v>
      </c>
      <c r="K1898" s="2">
        <f>IFERROR(__xludf.DUMMYFUNCTION("""COMPUTED_VALUE"""),350.0)</f>
        <v>350</v>
      </c>
      <c r="L1898" s="2">
        <f>IFERROR(__xludf.DUMMYFUNCTION("""COMPUTED_VALUE"""),56.94404435)</f>
        <v>56.94404435</v>
      </c>
      <c r="M1898" s="2">
        <f>IFERROR(__xludf.DUMMYFUNCTION("""COMPUTED_VALUE"""),24.21522315)</f>
        <v>24.21522315</v>
      </c>
    </row>
    <row r="1899">
      <c r="A1899" s="2" t="str">
        <f>IFERROR(__xludf.DUMMYFUNCTION("""COMPUTED_VALUE"""),"For sale")</f>
        <v>For sale</v>
      </c>
      <c r="B1899" s="2" t="str">
        <f>IFERROR(__xludf.DUMMYFUNCTION("""COMPUTED_VALUE"""),"centrs")</f>
        <v>centrs</v>
      </c>
      <c r="C1899" s="2" t="str">
        <f>IFERROR(__xludf.DUMMYFUNCTION("""COMPUTED_VALUE"""),"Stabu 29")</f>
        <v>Stabu 29</v>
      </c>
      <c r="D1899" s="2">
        <f>IFERROR(__xludf.DUMMYFUNCTION("""COMPUTED_VALUE"""),3.0)</f>
        <v>3</v>
      </c>
      <c r="E1899" s="2">
        <f>IFERROR(__xludf.DUMMYFUNCTION("""COMPUTED_VALUE"""),76.0)</f>
        <v>76</v>
      </c>
      <c r="F1899" s="2">
        <f>IFERROR(__xludf.DUMMYFUNCTION("""COMPUTED_VALUE"""),5.0)</f>
        <v>5</v>
      </c>
      <c r="G1899" s="2">
        <f>IFERROR(__xludf.DUMMYFUNCTION("""COMPUTED_VALUE"""),6.0)</f>
        <v>6</v>
      </c>
      <c r="H1899" s="2" t="str">
        <f>IFERROR(__xludf.DUMMYFUNCTION("""COMPUTED_VALUE"""),"P. kara")</f>
        <v>P. kara</v>
      </c>
      <c r="I1899" s="2" t="str">
        <f>IFERROR(__xludf.DUMMYFUNCTION("""COMPUTED_VALUE"""),"Masonry")</f>
        <v>Masonry</v>
      </c>
      <c r="J1899" s="2" t="str">
        <f>IFERROR(__xludf.DUMMYFUNCTION("""COMPUTED_VALUE"""),"All amenities")</f>
        <v>All amenities</v>
      </c>
      <c r="K1899" s="2">
        <f>IFERROR(__xludf.DUMMYFUNCTION("""COMPUTED_VALUE"""),110000.0)</f>
        <v>110000</v>
      </c>
      <c r="L1899" s="2">
        <f>IFERROR(__xludf.DUMMYFUNCTION("""COMPUTED_VALUE"""),56.9564335)</f>
        <v>56.9564335</v>
      </c>
      <c r="M1899" s="2">
        <f>IFERROR(__xludf.DUMMYFUNCTION("""COMPUTED_VALUE"""),24.1285032)</f>
        <v>24.1285032</v>
      </c>
    </row>
    <row r="1900">
      <c r="A1900" s="2" t="str">
        <f>IFERROR(__xludf.DUMMYFUNCTION("""COMPUTED_VALUE"""),"For sale")</f>
        <v>For sale</v>
      </c>
      <c r="B1900" s="2" t="str">
        <f>IFERROR(__xludf.DUMMYFUNCTION("""COMPUTED_VALUE"""),"Mežciems")</f>
        <v>Mežciems</v>
      </c>
      <c r="C1900" s="2" t="str">
        <f>IFERROR(__xludf.DUMMYFUNCTION("""COMPUTED_VALUE"""),"Kaivas 50")</f>
        <v>Kaivas 50</v>
      </c>
      <c r="D1900" s="2">
        <f>IFERROR(__xludf.DUMMYFUNCTION("""COMPUTED_VALUE"""),3.0)</f>
        <v>3</v>
      </c>
      <c r="E1900" s="2">
        <f>IFERROR(__xludf.DUMMYFUNCTION("""COMPUTED_VALUE"""),69.0)</f>
        <v>69</v>
      </c>
      <c r="F1900" s="2">
        <f>IFERROR(__xludf.DUMMYFUNCTION("""COMPUTED_VALUE"""),3.0)</f>
        <v>3</v>
      </c>
      <c r="G1900" s="2">
        <f>IFERROR(__xludf.DUMMYFUNCTION("""COMPUTED_VALUE"""),5.0)</f>
        <v>5</v>
      </c>
      <c r="H1900" s="2" t="str">
        <f>IFERROR(__xludf.DUMMYFUNCTION("""COMPUTED_VALUE"""),"Jaun.")</f>
        <v>Jaun.</v>
      </c>
      <c r="I1900" s="2" t="str">
        <f>IFERROR(__xludf.DUMMYFUNCTION("""COMPUTED_VALUE"""),"Brick-Panel")</f>
        <v>Brick-Panel</v>
      </c>
      <c r="J1900" s="2" t="str">
        <f>IFERROR(__xludf.DUMMYFUNCTION("""COMPUTED_VALUE"""),"All amenities")</f>
        <v>All amenities</v>
      </c>
      <c r="K1900" s="2">
        <f>IFERROR(__xludf.DUMMYFUNCTION("""COMPUTED_VALUE"""),92750.0)</f>
        <v>92750</v>
      </c>
      <c r="L1900" s="2">
        <f>IFERROR(__xludf.DUMMYFUNCTION("""COMPUTED_VALUE"""),56.95546705)</f>
        <v>56.95546705</v>
      </c>
      <c r="M1900" s="2">
        <f>IFERROR(__xludf.DUMMYFUNCTION("""COMPUTED_VALUE"""),24.24181865)</f>
        <v>24.24181865</v>
      </c>
    </row>
    <row r="1901">
      <c r="A1901" s="2" t="str">
        <f>IFERROR(__xludf.DUMMYFUNCTION("""COMPUTED_VALUE"""),"For rent")</f>
        <v>For rent</v>
      </c>
      <c r="B1901" s="2" t="str">
        <f>IFERROR(__xludf.DUMMYFUNCTION("""COMPUTED_VALUE"""),"centrs")</f>
        <v>centrs</v>
      </c>
      <c r="C1901" s="2" t="str">
        <f>IFERROR(__xludf.DUMMYFUNCTION("""COMPUTED_VALUE"""),"13. janvāra 21")</f>
        <v>13. janvāra 21</v>
      </c>
      <c r="D1901" s="2">
        <f>IFERROR(__xludf.DUMMYFUNCTION("""COMPUTED_VALUE"""),3.0)</f>
        <v>3</v>
      </c>
      <c r="E1901" s="2">
        <f>IFERROR(__xludf.DUMMYFUNCTION("""COMPUTED_VALUE"""),91.0)</f>
        <v>91</v>
      </c>
      <c r="F1901" s="2">
        <f>IFERROR(__xludf.DUMMYFUNCTION("""COMPUTED_VALUE"""),4.0)</f>
        <v>4</v>
      </c>
      <c r="G1901" s="2">
        <f>IFERROR(__xludf.DUMMYFUNCTION("""COMPUTED_VALUE"""),6.0)</f>
        <v>6</v>
      </c>
      <c r="H1901" s="2" t="str">
        <f>IFERROR(__xludf.DUMMYFUNCTION("""COMPUTED_VALUE"""),"Jaun.")</f>
        <v>Jaun.</v>
      </c>
      <c r="I1901" s="2" t="str">
        <f>IFERROR(__xludf.DUMMYFUNCTION("""COMPUTED_VALUE"""),"Panel")</f>
        <v>Panel</v>
      </c>
      <c r="J1901" s="2" t="str">
        <f>IFERROR(__xludf.DUMMYFUNCTION("""COMPUTED_VALUE"""),"All amenities")</f>
        <v>All amenities</v>
      </c>
      <c r="K1901" s="2">
        <f>IFERROR(__xludf.DUMMYFUNCTION("""COMPUTED_VALUE"""),850.0)</f>
        <v>850</v>
      </c>
      <c r="L1901" s="2">
        <f>IFERROR(__xludf.DUMMYFUNCTION("""COMPUTED_VALUE"""),56.9443781)</f>
        <v>56.9443781</v>
      </c>
      <c r="M1901" s="2">
        <f>IFERROR(__xludf.DUMMYFUNCTION("""COMPUTED_VALUE"""),24.1105085)</f>
        <v>24.1105085</v>
      </c>
    </row>
    <row r="1902">
      <c r="A1902" s="2" t="str">
        <f>IFERROR(__xludf.DUMMYFUNCTION("""COMPUTED_VALUE"""),"For rent")</f>
        <v>For rent</v>
      </c>
      <c r="B1902" s="2" t="str">
        <f>IFERROR(__xludf.DUMMYFUNCTION("""COMPUTED_VALUE"""),"Sarkandaugava")</f>
        <v>Sarkandaugava</v>
      </c>
      <c r="C1902" s="2" t="str">
        <f>IFERROR(__xludf.DUMMYFUNCTION("""COMPUTED_VALUE"""),"Ziemeļu 17")</f>
        <v>Ziemeļu 17</v>
      </c>
      <c r="D1902" s="2">
        <f>IFERROR(__xludf.DUMMYFUNCTION("""COMPUTED_VALUE"""),2.0)</f>
        <v>2</v>
      </c>
      <c r="E1902" s="2">
        <f>IFERROR(__xludf.DUMMYFUNCTION("""COMPUTED_VALUE"""),30.0)</f>
        <v>30</v>
      </c>
      <c r="F1902" s="2">
        <f>IFERROR(__xludf.DUMMYFUNCTION("""COMPUTED_VALUE"""),3.0)</f>
        <v>3</v>
      </c>
      <c r="G1902" s="2">
        <f>IFERROR(__xludf.DUMMYFUNCTION("""COMPUTED_VALUE"""),4.0)</f>
        <v>4</v>
      </c>
      <c r="H1902" s="2" t="str">
        <f>IFERROR(__xludf.DUMMYFUNCTION("""COMPUTED_VALUE"""),"P. kara")</f>
        <v>P. kara</v>
      </c>
      <c r="I1902" s="2" t="str">
        <f>IFERROR(__xludf.DUMMYFUNCTION("""COMPUTED_VALUE"""),"Masonry")</f>
        <v>Masonry</v>
      </c>
      <c r="J1902" s="2" t="str">
        <f>IFERROR(__xludf.DUMMYFUNCTION("""COMPUTED_VALUE"""),"Partial amenities")</f>
        <v>Partial amenities</v>
      </c>
      <c r="K1902" s="2">
        <f>IFERROR(__xludf.DUMMYFUNCTION("""COMPUTED_VALUE"""),180.0)</f>
        <v>180</v>
      </c>
      <c r="L1902" s="2">
        <f>IFERROR(__xludf.DUMMYFUNCTION("""COMPUTED_VALUE"""),57.0018786)</f>
        <v>57.0018786</v>
      </c>
      <c r="M1902" s="2">
        <f>IFERROR(__xludf.DUMMYFUNCTION("""COMPUTED_VALUE"""),24.119843)</f>
        <v>24.119843</v>
      </c>
    </row>
    <row r="1903">
      <c r="A1903" s="2" t="str">
        <f>IFERROR(__xludf.DUMMYFUNCTION("""COMPUTED_VALUE"""),"For rent")</f>
        <v>For rent</v>
      </c>
      <c r="B1903" s="2" t="str">
        <f>IFERROR(__xludf.DUMMYFUNCTION("""COMPUTED_VALUE"""),"Ziepniekkalns")</f>
        <v>Ziepniekkalns</v>
      </c>
      <c r="C1903" s="2" t="str">
        <f>IFERROR(__xludf.DUMMYFUNCTION("""COMPUTED_VALUE"""),"Zaļenieku 21")</f>
        <v>Zaļenieku 21</v>
      </c>
      <c r="D1903" s="2">
        <f>IFERROR(__xludf.DUMMYFUNCTION("""COMPUTED_VALUE"""),1.0)</f>
        <v>1</v>
      </c>
      <c r="E1903" s="2">
        <f>IFERROR(__xludf.DUMMYFUNCTION("""COMPUTED_VALUE"""),34.0)</f>
        <v>34</v>
      </c>
      <c r="F1903" s="2">
        <f>IFERROR(__xludf.DUMMYFUNCTION("""COMPUTED_VALUE"""),2.0)</f>
        <v>2</v>
      </c>
      <c r="G1903" s="2">
        <f>IFERROR(__xludf.DUMMYFUNCTION("""COMPUTED_VALUE"""),3.0)</f>
        <v>3</v>
      </c>
      <c r="H1903" s="2" t="str">
        <f>IFERROR(__xludf.DUMMYFUNCTION("""COMPUTED_VALUE"""),"Jaun.")</f>
        <v>Jaun.</v>
      </c>
      <c r="I1903" s="2" t="str">
        <f>IFERROR(__xludf.DUMMYFUNCTION("""COMPUTED_VALUE"""),"Masonry")</f>
        <v>Masonry</v>
      </c>
      <c r="J1903" s="2" t="str">
        <f>IFERROR(__xludf.DUMMYFUNCTION("""COMPUTED_VALUE"""),"All amenities")</f>
        <v>All amenities</v>
      </c>
      <c r="K1903" s="2">
        <f>IFERROR(__xludf.DUMMYFUNCTION("""COMPUTED_VALUE"""),390.0)</f>
        <v>390</v>
      </c>
      <c r="L1903" s="2">
        <f>IFERROR(__xludf.DUMMYFUNCTION("""COMPUTED_VALUE"""),56.906906)</f>
        <v>56.906906</v>
      </c>
      <c r="M1903" s="2">
        <f>IFERROR(__xludf.DUMMYFUNCTION("""COMPUTED_VALUE"""),24.09811735)</f>
        <v>24.09811735</v>
      </c>
    </row>
    <row r="1904">
      <c r="A1904" s="2" t="str">
        <f>IFERROR(__xludf.DUMMYFUNCTION("""COMPUTED_VALUE"""),"For sale")</f>
        <v>For sale</v>
      </c>
      <c r="B1904" s="2" t="str">
        <f>IFERROR(__xludf.DUMMYFUNCTION("""COMPUTED_VALUE"""),"centrs")</f>
        <v>centrs</v>
      </c>
      <c r="C1904" s="2" t="str">
        <f>IFERROR(__xludf.DUMMYFUNCTION("""COMPUTED_VALUE"""),"Merķeļa 17")</f>
        <v>Merķeļa 17</v>
      </c>
      <c r="D1904" s="2">
        <f>IFERROR(__xludf.DUMMYFUNCTION("""COMPUTED_VALUE"""),2.0)</f>
        <v>2</v>
      </c>
      <c r="E1904" s="2">
        <f>IFERROR(__xludf.DUMMYFUNCTION("""COMPUTED_VALUE"""),60.0)</f>
        <v>60</v>
      </c>
      <c r="F1904" s="2">
        <f>IFERROR(__xludf.DUMMYFUNCTION("""COMPUTED_VALUE"""),2.0)</f>
        <v>2</v>
      </c>
      <c r="G1904" s="2">
        <f>IFERROR(__xludf.DUMMYFUNCTION("""COMPUTED_VALUE"""),4.0)</f>
        <v>4</v>
      </c>
      <c r="H1904" s="2" t="str">
        <f>IFERROR(__xludf.DUMMYFUNCTION("""COMPUTED_VALUE"""),"P. kara")</f>
        <v>P. kara</v>
      </c>
      <c r="I1904" s="2" t="str">
        <f>IFERROR(__xludf.DUMMYFUNCTION("""COMPUTED_VALUE"""),"Brick")</f>
        <v>Brick</v>
      </c>
      <c r="J1904" s="2" t="str">
        <f>IFERROR(__xludf.DUMMYFUNCTION("""COMPUTED_VALUE"""),"All amenities")</f>
        <v>All amenities</v>
      </c>
      <c r="K1904" s="2">
        <f>IFERROR(__xludf.DUMMYFUNCTION("""COMPUTED_VALUE"""),180000.0)</f>
        <v>180000</v>
      </c>
      <c r="L1904" s="2">
        <f>IFERROR(__xludf.DUMMYFUNCTION("""COMPUTED_VALUE"""),56.9515994)</f>
        <v>56.9515994</v>
      </c>
      <c r="M1904" s="2">
        <f>IFERROR(__xludf.DUMMYFUNCTION("""COMPUTED_VALUE"""),24.1159776)</f>
        <v>24.1159776</v>
      </c>
    </row>
    <row r="1905">
      <c r="A1905" s="2" t="str">
        <f>IFERROR(__xludf.DUMMYFUNCTION("""COMPUTED_VALUE"""),"For sale")</f>
        <v>For sale</v>
      </c>
      <c r="B1905" s="2" t="str">
        <f>IFERROR(__xludf.DUMMYFUNCTION("""COMPUTED_VALUE"""),"Teika")</f>
        <v>Teika</v>
      </c>
      <c r="C1905" s="2" t="str">
        <f>IFERROR(__xludf.DUMMYFUNCTION("""COMPUTED_VALUE"""),"Brīvības gatve 313")</f>
        <v>Brīvības gatve 313</v>
      </c>
      <c r="D1905" s="2">
        <f>IFERROR(__xludf.DUMMYFUNCTION("""COMPUTED_VALUE"""),3.0)</f>
        <v>3</v>
      </c>
      <c r="E1905" s="2">
        <f>IFERROR(__xludf.DUMMYFUNCTION("""COMPUTED_VALUE"""),79.0)</f>
        <v>79</v>
      </c>
      <c r="F1905" s="2">
        <f>IFERROR(__xludf.DUMMYFUNCTION("""COMPUTED_VALUE"""),2.0)</f>
        <v>2</v>
      </c>
      <c r="G1905" s="2">
        <f>IFERROR(__xludf.DUMMYFUNCTION("""COMPUTED_VALUE"""),5.0)</f>
        <v>5</v>
      </c>
      <c r="H1905" s="2" t="str">
        <f>IFERROR(__xludf.DUMMYFUNCTION("""COMPUTED_VALUE"""),"Specpr.")</f>
        <v>Specpr.</v>
      </c>
      <c r="I1905" s="2" t="str">
        <f>IFERROR(__xludf.DUMMYFUNCTION("""COMPUTED_VALUE"""),"Brick-Panel")</f>
        <v>Brick-Panel</v>
      </c>
      <c r="J1905" s="2" t="str">
        <f>IFERROR(__xludf.DUMMYFUNCTION("""COMPUTED_VALUE"""),"All amenities")</f>
        <v>All amenities</v>
      </c>
      <c r="K1905" s="2">
        <f>IFERROR(__xludf.DUMMYFUNCTION("""COMPUTED_VALUE"""),81000.0)</f>
        <v>81000</v>
      </c>
      <c r="L1905" s="2">
        <f>IFERROR(__xludf.DUMMYFUNCTION("""COMPUTED_VALUE"""),56.98279245)</f>
        <v>56.98279245</v>
      </c>
      <c r="M1905" s="2">
        <f>IFERROR(__xludf.DUMMYFUNCTION("""COMPUTED_VALUE"""),24.1963668754421)</f>
        <v>24.19636688</v>
      </c>
    </row>
    <row r="1906">
      <c r="A1906" s="2" t="str">
        <f>IFERROR(__xludf.DUMMYFUNCTION("""COMPUTED_VALUE"""),"For rent")</f>
        <v>For rent</v>
      </c>
      <c r="B1906" s="2" t="str">
        <f>IFERROR(__xludf.DUMMYFUNCTION("""COMPUTED_VALUE"""),"Vecmīlgrāvis")</f>
        <v>Vecmīlgrāvis</v>
      </c>
      <c r="C1906" s="2" t="str">
        <f>IFERROR(__xludf.DUMMYFUNCTION("""COMPUTED_VALUE"""),"Emmas 28")</f>
        <v>Emmas 28</v>
      </c>
      <c r="D1906" s="2">
        <f>IFERROR(__xludf.DUMMYFUNCTION("""COMPUTED_VALUE"""),2.0)</f>
        <v>2</v>
      </c>
      <c r="E1906" s="2">
        <f>IFERROR(__xludf.DUMMYFUNCTION("""COMPUTED_VALUE"""),40.0)</f>
        <v>40</v>
      </c>
      <c r="F1906" s="2">
        <f>IFERROR(__xludf.DUMMYFUNCTION("""COMPUTED_VALUE"""),1.0)</f>
        <v>1</v>
      </c>
      <c r="G1906" s="2">
        <f>IFERROR(__xludf.DUMMYFUNCTION("""COMPUTED_VALUE"""),5.0)</f>
        <v>5</v>
      </c>
      <c r="H1906" s="2" t="str">
        <f>IFERROR(__xludf.DUMMYFUNCTION("""COMPUTED_VALUE"""),"Jaun.")</f>
        <v>Jaun.</v>
      </c>
      <c r="I1906" s="2" t="str">
        <f>IFERROR(__xludf.DUMMYFUNCTION("""COMPUTED_VALUE"""),"Brick-Panel")</f>
        <v>Brick-Panel</v>
      </c>
      <c r="J1906" s="2" t="str">
        <f>IFERROR(__xludf.DUMMYFUNCTION("""COMPUTED_VALUE"""),"All amenities")</f>
        <v>All amenities</v>
      </c>
      <c r="K1906" s="2">
        <f>IFERROR(__xludf.DUMMYFUNCTION("""COMPUTED_VALUE"""),320.0)</f>
        <v>320</v>
      </c>
      <c r="L1906" s="2">
        <f>IFERROR(__xludf.DUMMYFUNCTION("""COMPUTED_VALUE"""),57.03179875)</f>
        <v>57.03179875</v>
      </c>
      <c r="M1906" s="2">
        <f>IFERROR(__xludf.DUMMYFUNCTION("""COMPUTED_VALUE"""),24.1166644346289)</f>
        <v>24.11666443</v>
      </c>
    </row>
    <row r="1907">
      <c r="A1907" s="2" t="str">
        <f>IFERROR(__xludf.DUMMYFUNCTION("""COMPUTED_VALUE"""),"For sale")</f>
        <v>For sale</v>
      </c>
      <c r="B1907" s="2" t="str">
        <f>IFERROR(__xludf.DUMMYFUNCTION("""COMPUTED_VALUE"""),"Vecmīlgrāvis")</f>
        <v>Vecmīlgrāvis</v>
      </c>
      <c r="C1907" s="2" t="str">
        <f>IFERROR(__xludf.DUMMYFUNCTION("""COMPUTED_VALUE"""),"Emmas 28")</f>
        <v>Emmas 28</v>
      </c>
      <c r="D1907" s="2">
        <f>IFERROR(__xludf.DUMMYFUNCTION("""COMPUTED_VALUE"""),2.0)</f>
        <v>2</v>
      </c>
      <c r="E1907" s="2">
        <f>IFERROR(__xludf.DUMMYFUNCTION("""COMPUTED_VALUE"""),33.0)</f>
        <v>33</v>
      </c>
      <c r="F1907" s="2">
        <f>IFERROR(__xludf.DUMMYFUNCTION("""COMPUTED_VALUE"""),4.0)</f>
        <v>4</v>
      </c>
      <c r="G1907" s="2">
        <f>IFERROR(__xludf.DUMMYFUNCTION("""COMPUTED_VALUE"""),4.0)</f>
        <v>4</v>
      </c>
      <c r="H1907" s="2" t="str">
        <f>IFERROR(__xludf.DUMMYFUNCTION("""COMPUTED_VALUE"""),"Renov.")</f>
        <v>Renov.</v>
      </c>
      <c r="I1907" s="2" t="str">
        <f>IFERROR(__xludf.DUMMYFUNCTION("""COMPUTED_VALUE"""),"Masonry")</f>
        <v>Masonry</v>
      </c>
      <c r="J1907" s="2" t="str">
        <f>IFERROR(__xludf.DUMMYFUNCTION("""COMPUTED_VALUE"""),"All amenities")</f>
        <v>All amenities</v>
      </c>
      <c r="K1907" s="2">
        <f>IFERROR(__xludf.DUMMYFUNCTION("""COMPUTED_VALUE"""),49000.0)</f>
        <v>49000</v>
      </c>
      <c r="L1907" s="2">
        <f>IFERROR(__xludf.DUMMYFUNCTION("""COMPUTED_VALUE"""),57.03179875)</f>
        <v>57.03179875</v>
      </c>
      <c r="M1907" s="2">
        <f>IFERROR(__xludf.DUMMYFUNCTION("""COMPUTED_VALUE"""),24.1166644346289)</f>
        <v>24.11666443</v>
      </c>
    </row>
    <row r="1908">
      <c r="A1908" s="2" t="str">
        <f>IFERROR(__xludf.DUMMYFUNCTION("""COMPUTED_VALUE"""),"For sale")</f>
        <v>For sale</v>
      </c>
      <c r="B1908" s="2" t="str">
        <f>IFERROR(__xludf.DUMMYFUNCTION("""COMPUTED_VALUE"""),"centrs")</f>
        <v>centrs</v>
      </c>
      <c r="C1908" s="2" t="str">
        <f>IFERROR(__xludf.DUMMYFUNCTION("""COMPUTED_VALUE"""),"Ģertrūdes 41")</f>
        <v>Ģertrūdes 41</v>
      </c>
      <c r="D1908" s="2">
        <f>IFERROR(__xludf.DUMMYFUNCTION("""COMPUTED_VALUE"""),4.0)</f>
        <v>4</v>
      </c>
      <c r="E1908" s="2">
        <f>IFERROR(__xludf.DUMMYFUNCTION("""COMPUTED_VALUE"""),81.0)</f>
        <v>81</v>
      </c>
      <c r="F1908" s="2">
        <f>IFERROR(__xludf.DUMMYFUNCTION("""COMPUTED_VALUE"""),2.0)</f>
        <v>2</v>
      </c>
      <c r="G1908" s="2">
        <f>IFERROR(__xludf.DUMMYFUNCTION("""COMPUTED_VALUE"""),2.0)</f>
        <v>2</v>
      </c>
      <c r="H1908" s="2" t="str">
        <f>IFERROR(__xludf.DUMMYFUNCTION("""COMPUTED_VALUE"""),"P. kara")</f>
        <v>P. kara</v>
      </c>
      <c r="I1908" s="2" t="str">
        <f>IFERROR(__xludf.DUMMYFUNCTION("""COMPUTED_VALUE"""),"Wood")</f>
        <v>Wood</v>
      </c>
      <c r="J1908" s="2" t="str">
        <f>IFERROR(__xludf.DUMMYFUNCTION("""COMPUTED_VALUE"""),"All amenities")</f>
        <v>All amenities</v>
      </c>
      <c r="K1908" s="2">
        <f>IFERROR(__xludf.DUMMYFUNCTION("""COMPUTED_VALUE"""),103000.0)</f>
        <v>103000</v>
      </c>
      <c r="L1908" s="2">
        <f>IFERROR(__xludf.DUMMYFUNCTION("""COMPUTED_VALUE"""),56.95393085)</f>
        <v>56.95393085</v>
      </c>
      <c r="M1908" s="2">
        <f>IFERROR(__xludf.DUMMYFUNCTION("""COMPUTED_VALUE"""),24.1292422791869)</f>
        <v>24.12924228</v>
      </c>
    </row>
    <row r="1909">
      <c r="A1909" s="2" t="str">
        <f>IFERROR(__xludf.DUMMYFUNCTION("""COMPUTED_VALUE"""),"For sale")</f>
        <v>For sale</v>
      </c>
      <c r="B1909" s="2" t="str">
        <f>IFERROR(__xludf.DUMMYFUNCTION("""COMPUTED_VALUE"""),"Vecmīlgrāvis")</f>
        <v>Vecmīlgrāvis</v>
      </c>
      <c r="C1909" s="2" t="str">
        <f>IFERROR(__xludf.DUMMYFUNCTION("""COMPUTED_VALUE"""),"Emmas 28")</f>
        <v>Emmas 28</v>
      </c>
      <c r="D1909" s="2">
        <f>IFERROR(__xludf.DUMMYFUNCTION("""COMPUTED_VALUE"""),2.0)</f>
        <v>2</v>
      </c>
      <c r="E1909" s="2">
        <f>IFERROR(__xludf.DUMMYFUNCTION("""COMPUTED_VALUE"""),28.0)</f>
        <v>28</v>
      </c>
      <c r="F1909" s="2">
        <f>IFERROR(__xludf.DUMMYFUNCTION("""COMPUTED_VALUE"""),1.0)</f>
        <v>1</v>
      </c>
      <c r="G1909" s="2">
        <f>IFERROR(__xludf.DUMMYFUNCTION("""COMPUTED_VALUE"""),4.0)</f>
        <v>4</v>
      </c>
      <c r="H1909" s="2" t="str">
        <f>IFERROR(__xludf.DUMMYFUNCTION("""COMPUTED_VALUE"""),"Renov.")</f>
        <v>Renov.</v>
      </c>
      <c r="I1909" s="2" t="str">
        <f>IFERROR(__xludf.DUMMYFUNCTION("""COMPUTED_VALUE"""),"Masonry")</f>
        <v>Masonry</v>
      </c>
      <c r="J1909" s="2" t="str">
        <f>IFERROR(__xludf.DUMMYFUNCTION("""COMPUTED_VALUE"""),"All amenities")</f>
        <v>All amenities</v>
      </c>
      <c r="K1909" s="2">
        <f>IFERROR(__xludf.DUMMYFUNCTION("""COMPUTED_VALUE"""),37000.0)</f>
        <v>37000</v>
      </c>
      <c r="L1909" s="2">
        <f>IFERROR(__xludf.DUMMYFUNCTION("""COMPUTED_VALUE"""),57.03179875)</f>
        <v>57.03179875</v>
      </c>
      <c r="M1909" s="2">
        <f>IFERROR(__xludf.DUMMYFUNCTION("""COMPUTED_VALUE"""),24.1166644346289)</f>
        <v>24.11666443</v>
      </c>
    </row>
    <row r="1910">
      <c r="A1910" s="2" t="str">
        <f>IFERROR(__xludf.DUMMYFUNCTION("""COMPUTED_VALUE"""),"For rent")</f>
        <v>For rent</v>
      </c>
      <c r="B1910" s="2" t="str">
        <f>IFERROR(__xludf.DUMMYFUNCTION("""COMPUTED_VALUE"""),"Vecrīga")</f>
        <v>Vecrīga</v>
      </c>
      <c r="C1910" s="2" t="str">
        <f>IFERROR(__xludf.DUMMYFUNCTION("""COMPUTED_VALUE"""),"Vaļņu 3")</f>
        <v>Vaļņu 3</v>
      </c>
      <c r="D1910" s="2">
        <f>IFERROR(__xludf.DUMMYFUNCTION("""COMPUTED_VALUE"""),2.0)</f>
        <v>2</v>
      </c>
      <c r="E1910" s="2">
        <f>IFERROR(__xludf.DUMMYFUNCTION("""COMPUTED_VALUE"""),43.0)</f>
        <v>43</v>
      </c>
      <c r="F1910" s="2">
        <f>IFERROR(__xludf.DUMMYFUNCTION("""COMPUTED_VALUE"""),5.0)</f>
        <v>5</v>
      </c>
      <c r="G1910" s="2">
        <f>IFERROR(__xludf.DUMMYFUNCTION("""COMPUTED_VALUE"""),6.0)</f>
        <v>6</v>
      </c>
      <c r="H1910" s="2" t="str">
        <f>IFERROR(__xludf.DUMMYFUNCTION("""COMPUTED_VALUE"""),"Renov.")</f>
        <v>Renov.</v>
      </c>
      <c r="I1910" s="2" t="str">
        <f>IFERROR(__xludf.DUMMYFUNCTION("""COMPUTED_VALUE"""),"Brick-Panel")</f>
        <v>Brick-Panel</v>
      </c>
      <c r="J1910" s="2" t="str">
        <f>IFERROR(__xludf.DUMMYFUNCTION("""COMPUTED_VALUE"""),"All amenities")</f>
        <v>All amenities</v>
      </c>
      <c r="K1910" s="2">
        <f>IFERROR(__xludf.DUMMYFUNCTION("""COMPUTED_VALUE"""),520.0)</f>
        <v>520</v>
      </c>
      <c r="L1910" s="2">
        <f>IFERROR(__xludf.DUMMYFUNCTION("""COMPUTED_VALUE"""),56.9506012)</f>
        <v>56.9506012</v>
      </c>
      <c r="M1910" s="2">
        <f>IFERROR(__xludf.DUMMYFUNCTION("""COMPUTED_VALUE"""),24.1093904)</f>
        <v>24.1093904</v>
      </c>
    </row>
    <row r="1911">
      <c r="A1911" s="2" t="str">
        <f>IFERROR(__xludf.DUMMYFUNCTION("""COMPUTED_VALUE"""),"For sale")</f>
        <v>For sale</v>
      </c>
      <c r="B1911" s="2" t="str">
        <f>IFERROR(__xludf.DUMMYFUNCTION("""COMPUTED_VALUE"""),"Jugla")</f>
        <v>Jugla</v>
      </c>
      <c r="C1911" s="2" t="str">
        <f>IFERROR(__xludf.DUMMYFUNCTION("""COMPUTED_VALUE"""),"Juglas 23")</f>
        <v>Juglas 23</v>
      </c>
      <c r="D1911" s="2">
        <f>IFERROR(__xludf.DUMMYFUNCTION("""COMPUTED_VALUE"""),2.0)</f>
        <v>2</v>
      </c>
      <c r="E1911" s="2">
        <f>IFERROR(__xludf.DUMMYFUNCTION("""COMPUTED_VALUE"""),47.0)</f>
        <v>47</v>
      </c>
      <c r="F1911" s="2">
        <f>IFERROR(__xludf.DUMMYFUNCTION("""COMPUTED_VALUE"""),3.0)</f>
        <v>3</v>
      </c>
      <c r="G1911" s="2">
        <f>IFERROR(__xludf.DUMMYFUNCTION("""COMPUTED_VALUE"""),5.0)</f>
        <v>5</v>
      </c>
      <c r="H1911" s="2" t="str">
        <f>IFERROR(__xludf.DUMMYFUNCTION("""COMPUTED_VALUE"""),"Hrušč.")</f>
        <v>Hrušč.</v>
      </c>
      <c r="I1911" s="2" t="str">
        <f>IFERROR(__xludf.DUMMYFUNCTION("""COMPUTED_VALUE"""),"Panel")</f>
        <v>Panel</v>
      </c>
      <c r="J1911" s="2" t="str">
        <f>IFERROR(__xludf.DUMMYFUNCTION("""COMPUTED_VALUE"""),"All amenities")</f>
        <v>All amenities</v>
      </c>
      <c r="K1911" s="2">
        <f>IFERROR(__xludf.DUMMYFUNCTION("""COMPUTED_VALUE"""),40500.0)</f>
        <v>40500</v>
      </c>
      <c r="L1911" s="2">
        <f>IFERROR(__xludf.DUMMYFUNCTION("""COMPUTED_VALUE"""),56.98386715)</f>
        <v>56.98386715</v>
      </c>
      <c r="M1911" s="2">
        <f>IFERROR(__xludf.DUMMYFUNCTION("""COMPUTED_VALUE"""),24.2485279368892)</f>
        <v>24.24852794</v>
      </c>
    </row>
    <row r="1912">
      <c r="A1912" s="2" t="str">
        <f>IFERROR(__xludf.DUMMYFUNCTION("""COMPUTED_VALUE"""),"For sale")</f>
        <v>For sale</v>
      </c>
      <c r="B1912" s="2" t="str">
        <f>IFERROR(__xludf.DUMMYFUNCTION("""COMPUTED_VALUE"""),"centrs")</f>
        <v>centrs</v>
      </c>
      <c r="C1912" s="2" t="str">
        <f>IFERROR(__xludf.DUMMYFUNCTION("""COMPUTED_VALUE"""),"Valdemāra 69")</f>
        <v>Valdemāra 69</v>
      </c>
      <c r="D1912" s="2">
        <f>IFERROR(__xludf.DUMMYFUNCTION("""COMPUTED_VALUE"""),2.0)</f>
        <v>2</v>
      </c>
      <c r="E1912" s="2">
        <f>IFERROR(__xludf.DUMMYFUNCTION("""COMPUTED_VALUE"""),33.0)</f>
        <v>33</v>
      </c>
      <c r="F1912" s="2">
        <f>IFERROR(__xludf.DUMMYFUNCTION("""COMPUTED_VALUE"""),1.0)</f>
        <v>1</v>
      </c>
      <c r="G1912" s="2">
        <f>IFERROR(__xludf.DUMMYFUNCTION("""COMPUTED_VALUE"""),5.0)</f>
        <v>5</v>
      </c>
      <c r="H1912" s="2" t="str">
        <f>IFERROR(__xludf.DUMMYFUNCTION("""COMPUTED_VALUE"""),"Renov.")</f>
        <v>Renov.</v>
      </c>
      <c r="I1912" s="2" t="str">
        <f>IFERROR(__xludf.DUMMYFUNCTION("""COMPUTED_VALUE"""),"Masonry")</f>
        <v>Masonry</v>
      </c>
      <c r="J1912" s="2" t="str">
        <f>IFERROR(__xludf.DUMMYFUNCTION("""COMPUTED_VALUE"""),"All amenities")</f>
        <v>All amenities</v>
      </c>
      <c r="K1912" s="2">
        <f>IFERROR(__xludf.DUMMYFUNCTION("""COMPUTED_VALUE"""),49990.0)</f>
        <v>49990</v>
      </c>
      <c r="L1912" s="2">
        <f>IFERROR(__xludf.DUMMYFUNCTION("""COMPUTED_VALUE"""),56.9620417)</f>
        <v>56.9620417</v>
      </c>
      <c r="M1912" s="2">
        <f>IFERROR(__xludf.DUMMYFUNCTION("""COMPUTED_VALUE"""),24.1224439)</f>
        <v>24.1224439</v>
      </c>
    </row>
    <row r="1913">
      <c r="A1913" s="2" t="str">
        <f>IFERROR(__xludf.DUMMYFUNCTION("""COMPUTED_VALUE"""),"For sale")</f>
        <v>For sale</v>
      </c>
      <c r="B1913" s="2" t="str">
        <f>IFERROR(__xludf.DUMMYFUNCTION("""COMPUTED_VALUE"""),"centrs")</f>
        <v>centrs</v>
      </c>
      <c r="C1913" s="2" t="str">
        <f>IFERROR(__xludf.DUMMYFUNCTION("""COMPUTED_VALUE"""),"Valdemāra 69")</f>
        <v>Valdemāra 69</v>
      </c>
      <c r="D1913" s="2">
        <f>IFERROR(__xludf.DUMMYFUNCTION("""COMPUTED_VALUE"""),2.0)</f>
        <v>2</v>
      </c>
      <c r="E1913" s="2">
        <f>IFERROR(__xludf.DUMMYFUNCTION("""COMPUTED_VALUE"""),55.0)</f>
        <v>55</v>
      </c>
      <c r="F1913" s="2">
        <f>IFERROR(__xludf.DUMMYFUNCTION("""COMPUTED_VALUE"""),2.0)</f>
        <v>2</v>
      </c>
      <c r="G1913" s="2">
        <f>IFERROR(__xludf.DUMMYFUNCTION("""COMPUTED_VALUE"""),5.0)</f>
        <v>5</v>
      </c>
      <c r="H1913" s="2" t="str">
        <f>IFERROR(__xludf.DUMMYFUNCTION("""COMPUTED_VALUE"""),"Renov.")</f>
        <v>Renov.</v>
      </c>
      <c r="I1913" s="2" t="str">
        <f>IFERROR(__xludf.DUMMYFUNCTION("""COMPUTED_VALUE"""),"Masonry")</f>
        <v>Masonry</v>
      </c>
      <c r="J1913" s="2" t="str">
        <f>IFERROR(__xludf.DUMMYFUNCTION("""COMPUTED_VALUE"""),"All amenities")</f>
        <v>All amenities</v>
      </c>
      <c r="K1913" s="2">
        <f>IFERROR(__xludf.DUMMYFUNCTION("""COMPUTED_VALUE"""),73990.0)</f>
        <v>73990</v>
      </c>
      <c r="L1913" s="2">
        <f>IFERROR(__xludf.DUMMYFUNCTION("""COMPUTED_VALUE"""),56.9620417)</f>
        <v>56.9620417</v>
      </c>
      <c r="M1913" s="2">
        <f>IFERROR(__xludf.DUMMYFUNCTION("""COMPUTED_VALUE"""),24.1224439)</f>
        <v>24.1224439</v>
      </c>
    </row>
    <row r="1914">
      <c r="A1914" s="2" t="str">
        <f>IFERROR(__xludf.DUMMYFUNCTION("""COMPUTED_VALUE"""),"For sale")</f>
        <v>For sale</v>
      </c>
      <c r="B1914" s="2" t="str">
        <f>IFERROR(__xludf.DUMMYFUNCTION("""COMPUTED_VALUE"""),"centrs")</f>
        <v>centrs</v>
      </c>
      <c r="C1914" s="2" t="str">
        <f>IFERROR(__xludf.DUMMYFUNCTION("""COMPUTED_VALUE"""),"Valdemāra 69")</f>
        <v>Valdemāra 69</v>
      </c>
      <c r="D1914" s="2">
        <f>IFERROR(__xludf.DUMMYFUNCTION("""COMPUTED_VALUE"""),2.0)</f>
        <v>2</v>
      </c>
      <c r="E1914" s="2">
        <f>IFERROR(__xludf.DUMMYFUNCTION("""COMPUTED_VALUE"""),37.0)</f>
        <v>37</v>
      </c>
      <c r="F1914" s="2">
        <f>IFERROR(__xludf.DUMMYFUNCTION("""COMPUTED_VALUE"""),2.0)</f>
        <v>2</v>
      </c>
      <c r="G1914" s="2">
        <f>IFERROR(__xludf.DUMMYFUNCTION("""COMPUTED_VALUE"""),6.0)</f>
        <v>6</v>
      </c>
      <c r="H1914" s="2" t="str">
        <f>IFERROR(__xludf.DUMMYFUNCTION("""COMPUTED_VALUE"""),"Renov.")</f>
        <v>Renov.</v>
      </c>
      <c r="I1914" s="2" t="str">
        <f>IFERROR(__xludf.DUMMYFUNCTION("""COMPUTED_VALUE"""),"Masonry")</f>
        <v>Masonry</v>
      </c>
      <c r="J1914" s="2" t="str">
        <f>IFERROR(__xludf.DUMMYFUNCTION("""COMPUTED_VALUE"""),"All amenities")</f>
        <v>All amenities</v>
      </c>
      <c r="K1914" s="2">
        <f>IFERROR(__xludf.DUMMYFUNCTION("""COMPUTED_VALUE"""),87990.0)</f>
        <v>87990</v>
      </c>
      <c r="L1914" s="2">
        <f>IFERROR(__xludf.DUMMYFUNCTION("""COMPUTED_VALUE"""),56.9620417)</f>
        <v>56.9620417</v>
      </c>
      <c r="M1914" s="2">
        <f>IFERROR(__xludf.DUMMYFUNCTION("""COMPUTED_VALUE"""),24.1224439)</f>
        <v>24.1224439</v>
      </c>
    </row>
    <row r="1915">
      <c r="A1915" s="2" t="str">
        <f>IFERROR(__xludf.DUMMYFUNCTION("""COMPUTED_VALUE"""),"For sale")</f>
        <v>For sale</v>
      </c>
      <c r="B1915" s="2" t="str">
        <f>IFERROR(__xludf.DUMMYFUNCTION("""COMPUTED_VALUE"""),"centrs")</f>
        <v>centrs</v>
      </c>
      <c r="C1915" s="2" t="str">
        <f>IFERROR(__xludf.DUMMYFUNCTION("""COMPUTED_VALUE"""),"Valdemāra 69")</f>
        <v>Valdemāra 69</v>
      </c>
      <c r="D1915" s="2">
        <f>IFERROR(__xludf.DUMMYFUNCTION("""COMPUTED_VALUE"""),2.0)</f>
        <v>2</v>
      </c>
      <c r="E1915" s="2">
        <f>IFERROR(__xludf.DUMMYFUNCTION("""COMPUTED_VALUE"""),39.0)</f>
        <v>39</v>
      </c>
      <c r="F1915" s="2">
        <f>IFERROR(__xludf.DUMMYFUNCTION("""COMPUTED_VALUE"""),4.0)</f>
        <v>4</v>
      </c>
      <c r="G1915" s="2">
        <f>IFERROR(__xludf.DUMMYFUNCTION("""COMPUTED_VALUE"""),5.0)</f>
        <v>5</v>
      </c>
      <c r="H1915" s="2" t="str">
        <f>IFERROR(__xludf.DUMMYFUNCTION("""COMPUTED_VALUE"""),"Renov.")</f>
        <v>Renov.</v>
      </c>
      <c r="I1915" s="2" t="str">
        <f>IFERROR(__xludf.DUMMYFUNCTION("""COMPUTED_VALUE"""),"Masonry")</f>
        <v>Masonry</v>
      </c>
      <c r="J1915" s="2" t="str">
        <f>IFERROR(__xludf.DUMMYFUNCTION("""COMPUTED_VALUE"""),"All amenities")</f>
        <v>All amenities</v>
      </c>
      <c r="K1915" s="2">
        <f>IFERROR(__xludf.DUMMYFUNCTION("""COMPUTED_VALUE"""),64990.0)</f>
        <v>64990</v>
      </c>
      <c r="L1915" s="2">
        <f>IFERROR(__xludf.DUMMYFUNCTION("""COMPUTED_VALUE"""),56.9620417)</f>
        <v>56.9620417</v>
      </c>
      <c r="M1915" s="2">
        <f>IFERROR(__xludf.DUMMYFUNCTION("""COMPUTED_VALUE"""),24.1224439)</f>
        <v>24.1224439</v>
      </c>
    </row>
    <row r="1916">
      <c r="A1916" s="2" t="str">
        <f>IFERROR(__xludf.DUMMYFUNCTION("""COMPUTED_VALUE"""),"For sale")</f>
        <v>For sale</v>
      </c>
      <c r="B1916" s="2" t="str">
        <f>IFERROR(__xludf.DUMMYFUNCTION("""COMPUTED_VALUE"""),"centrs")</f>
        <v>centrs</v>
      </c>
      <c r="C1916" s="2" t="str">
        <f>IFERROR(__xludf.DUMMYFUNCTION("""COMPUTED_VALUE"""),"Valdemāra 69")</f>
        <v>Valdemāra 69</v>
      </c>
      <c r="D1916" s="2">
        <f>IFERROR(__xludf.DUMMYFUNCTION("""COMPUTED_VALUE"""),1.0)</f>
        <v>1</v>
      </c>
      <c r="E1916" s="2">
        <f>IFERROR(__xludf.DUMMYFUNCTION("""COMPUTED_VALUE"""),29.0)</f>
        <v>29</v>
      </c>
      <c r="F1916" s="2">
        <f>IFERROR(__xludf.DUMMYFUNCTION("""COMPUTED_VALUE"""),1.0)</f>
        <v>1</v>
      </c>
      <c r="G1916" s="2">
        <f>IFERROR(__xludf.DUMMYFUNCTION("""COMPUTED_VALUE"""),5.0)</f>
        <v>5</v>
      </c>
      <c r="H1916" s="2" t="str">
        <f>IFERROR(__xludf.DUMMYFUNCTION("""COMPUTED_VALUE"""),"Renov.")</f>
        <v>Renov.</v>
      </c>
      <c r="I1916" s="2" t="str">
        <f>IFERROR(__xludf.DUMMYFUNCTION("""COMPUTED_VALUE"""),"Masonry")</f>
        <v>Masonry</v>
      </c>
      <c r="J1916" s="2" t="str">
        <f>IFERROR(__xludf.DUMMYFUNCTION("""COMPUTED_VALUE"""),"All amenities")</f>
        <v>All amenities</v>
      </c>
      <c r="K1916" s="2">
        <f>IFERROR(__xludf.DUMMYFUNCTION("""COMPUTED_VALUE"""),43990.0)</f>
        <v>43990</v>
      </c>
      <c r="L1916" s="2">
        <f>IFERROR(__xludf.DUMMYFUNCTION("""COMPUTED_VALUE"""),56.9620417)</f>
        <v>56.9620417</v>
      </c>
      <c r="M1916" s="2">
        <f>IFERROR(__xludf.DUMMYFUNCTION("""COMPUTED_VALUE"""),24.1224439)</f>
        <v>24.1224439</v>
      </c>
    </row>
    <row r="1917">
      <c r="A1917" s="2" t="str">
        <f>IFERROR(__xludf.DUMMYFUNCTION("""COMPUTED_VALUE"""),"For sale")</f>
        <v>For sale</v>
      </c>
      <c r="B1917" s="2" t="str">
        <f>IFERROR(__xludf.DUMMYFUNCTION("""COMPUTED_VALUE"""),"centrs")</f>
        <v>centrs</v>
      </c>
      <c r="C1917" s="2" t="str">
        <f>IFERROR(__xludf.DUMMYFUNCTION("""COMPUTED_VALUE"""),"Valdemāra 69")</f>
        <v>Valdemāra 69</v>
      </c>
      <c r="D1917" s="2">
        <f>IFERROR(__xludf.DUMMYFUNCTION("""COMPUTED_VALUE"""),1.0)</f>
        <v>1</v>
      </c>
      <c r="E1917" s="2">
        <f>IFERROR(__xludf.DUMMYFUNCTION("""COMPUTED_VALUE"""),22.0)</f>
        <v>22</v>
      </c>
      <c r="F1917" s="2">
        <f>IFERROR(__xludf.DUMMYFUNCTION("""COMPUTED_VALUE"""),4.0)</f>
        <v>4</v>
      </c>
      <c r="G1917" s="2">
        <f>IFERROR(__xludf.DUMMYFUNCTION("""COMPUTED_VALUE"""),5.0)</f>
        <v>5</v>
      </c>
      <c r="H1917" s="2" t="str">
        <f>IFERROR(__xludf.DUMMYFUNCTION("""COMPUTED_VALUE"""),"Renov.")</f>
        <v>Renov.</v>
      </c>
      <c r="I1917" s="2" t="str">
        <f>IFERROR(__xludf.DUMMYFUNCTION("""COMPUTED_VALUE"""),"Masonry")</f>
        <v>Masonry</v>
      </c>
      <c r="J1917" s="2" t="str">
        <f>IFERROR(__xludf.DUMMYFUNCTION("""COMPUTED_VALUE"""),"All amenities")</f>
        <v>All amenities</v>
      </c>
      <c r="K1917" s="2">
        <f>IFERROR(__xludf.DUMMYFUNCTION("""COMPUTED_VALUE"""),41442.0)</f>
        <v>41442</v>
      </c>
      <c r="L1917" s="2">
        <f>IFERROR(__xludf.DUMMYFUNCTION("""COMPUTED_VALUE"""),56.9620417)</f>
        <v>56.9620417</v>
      </c>
      <c r="M1917" s="2">
        <f>IFERROR(__xludf.DUMMYFUNCTION("""COMPUTED_VALUE"""),24.1224439)</f>
        <v>24.1224439</v>
      </c>
    </row>
    <row r="1918">
      <c r="A1918" s="2" t="str">
        <f>IFERROR(__xludf.DUMMYFUNCTION("""COMPUTED_VALUE"""),"For sale")</f>
        <v>For sale</v>
      </c>
      <c r="B1918" s="2" t="str">
        <f>IFERROR(__xludf.DUMMYFUNCTION("""COMPUTED_VALUE"""),"centrs")</f>
        <v>centrs</v>
      </c>
      <c r="C1918" s="2" t="str">
        <f>IFERROR(__xludf.DUMMYFUNCTION("""COMPUTED_VALUE"""),"Valdemāra 69")</f>
        <v>Valdemāra 69</v>
      </c>
      <c r="D1918" s="2">
        <f>IFERROR(__xludf.DUMMYFUNCTION("""COMPUTED_VALUE"""),2.0)</f>
        <v>2</v>
      </c>
      <c r="E1918" s="2">
        <f>IFERROR(__xludf.DUMMYFUNCTION("""COMPUTED_VALUE"""),40.0)</f>
        <v>40</v>
      </c>
      <c r="F1918" s="2">
        <f>IFERROR(__xludf.DUMMYFUNCTION("""COMPUTED_VALUE"""),4.0)</f>
        <v>4</v>
      </c>
      <c r="G1918" s="2">
        <f>IFERROR(__xludf.DUMMYFUNCTION("""COMPUTED_VALUE"""),6.0)</f>
        <v>6</v>
      </c>
      <c r="H1918" s="2" t="str">
        <f>IFERROR(__xludf.DUMMYFUNCTION("""COMPUTED_VALUE"""),"Renov.")</f>
        <v>Renov.</v>
      </c>
      <c r="I1918" s="2" t="str">
        <f>IFERROR(__xludf.DUMMYFUNCTION("""COMPUTED_VALUE"""),"Masonry")</f>
        <v>Masonry</v>
      </c>
      <c r="J1918" s="2" t="str">
        <f>IFERROR(__xludf.DUMMYFUNCTION("""COMPUTED_VALUE"""),"All amenities")</f>
        <v>All amenities</v>
      </c>
      <c r="K1918" s="2">
        <f>IFERROR(__xludf.DUMMYFUNCTION("""COMPUTED_VALUE"""),58990.0)</f>
        <v>58990</v>
      </c>
      <c r="L1918" s="2">
        <f>IFERROR(__xludf.DUMMYFUNCTION("""COMPUTED_VALUE"""),56.9620417)</f>
        <v>56.9620417</v>
      </c>
      <c r="M1918" s="2">
        <f>IFERROR(__xludf.DUMMYFUNCTION("""COMPUTED_VALUE"""),24.1224439)</f>
        <v>24.1224439</v>
      </c>
    </row>
    <row r="1919">
      <c r="A1919" s="2" t="str">
        <f>IFERROR(__xludf.DUMMYFUNCTION("""COMPUTED_VALUE"""),"For rent")</f>
        <v>For rent</v>
      </c>
      <c r="B1919" s="2" t="str">
        <f>IFERROR(__xludf.DUMMYFUNCTION("""COMPUTED_VALUE"""),"centrs")</f>
        <v>centrs</v>
      </c>
      <c r="C1919" s="2" t="str">
        <f>IFERROR(__xludf.DUMMYFUNCTION("""COMPUTED_VALUE"""),"Valdemāra 83")</f>
        <v>Valdemāra 83</v>
      </c>
      <c r="D1919" s="2">
        <f>IFERROR(__xludf.DUMMYFUNCTION("""COMPUTED_VALUE"""),2.0)</f>
        <v>2</v>
      </c>
      <c r="E1919" s="2">
        <f>IFERROR(__xludf.DUMMYFUNCTION("""COMPUTED_VALUE"""),49.0)</f>
        <v>49</v>
      </c>
      <c r="F1919" s="2">
        <f>IFERROR(__xludf.DUMMYFUNCTION("""COMPUTED_VALUE"""),1.0)</f>
        <v>1</v>
      </c>
      <c r="G1919" s="2">
        <f>IFERROR(__xludf.DUMMYFUNCTION("""COMPUTED_VALUE"""),7.0)</f>
        <v>7</v>
      </c>
      <c r="H1919" s="2" t="str">
        <f>IFERROR(__xludf.DUMMYFUNCTION("""COMPUTED_VALUE"""),"Renov.")</f>
        <v>Renov.</v>
      </c>
      <c r="I1919" s="2" t="str">
        <f>IFERROR(__xludf.DUMMYFUNCTION("""COMPUTED_VALUE"""),"Brick")</f>
        <v>Brick</v>
      </c>
      <c r="J1919" s="2" t="str">
        <f>IFERROR(__xludf.DUMMYFUNCTION("""COMPUTED_VALUE"""),"All amenities")</f>
        <v>All amenities</v>
      </c>
      <c r="K1919" s="2">
        <f>IFERROR(__xludf.DUMMYFUNCTION("""COMPUTED_VALUE"""),500.0)</f>
        <v>500</v>
      </c>
      <c r="L1919" s="2">
        <f>IFERROR(__xludf.DUMMYFUNCTION("""COMPUTED_VALUE"""),56.9634352)</f>
        <v>56.9634352</v>
      </c>
      <c r="M1919" s="2">
        <f>IFERROR(__xludf.DUMMYFUNCTION("""COMPUTED_VALUE"""),24.125212429824)</f>
        <v>24.12521243</v>
      </c>
    </row>
    <row r="1920">
      <c r="A1920" s="2" t="str">
        <f>IFERROR(__xludf.DUMMYFUNCTION("""COMPUTED_VALUE"""),"For sale")</f>
        <v>For sale</v>
      </c>
      <c r="B1920" s="2" t="str">
        <f>IFERROR(__xludf.DUMMYFUNCTION("""COMPUTED_VALUE"""),"centrs")</f>
        <v>centrs</v>
      </c>
      <c r="C1920" s="2" t="str">
        <f>IFERROR(__xludf.DUMMYFUNCTION("""COMPUTED_VALUE"""),"Valdemāra 69")</f>
        <v>Valdemāra 69</v>
      </c>
      <c r="D1920" s="2">
        <f>IFERROR(__xludf.DUMMYFUNCTION("""COMPUTED_VALUE"""),2.0)</f>
        <v>2</v>
      </c>
      <c r="E1920" s="2">
        <f>IFERROR(__xludf.DUMMYFUNCTION("""COMPUTED_VALUE"""),37.0)</f>
        <v>37</v>
      </c>
      <c r="F1920" s="2">
        <f>IFERROR(__xludf.DUMMYFUNCTION("""COMPUTED_VALUE"""),2.0)</f>
        <v>2</v>
      </c>
      <c r="G1920" s="2">
        <f>IFERROR(__xludf.DUMMYFUNCTION("""COMPUTED_VALUE"""),6.0)</f>
        <v>6</v>
      </c>
      <c r="H1920" s="2" t="str">
        <f>IFERROR(__xludf.DUMMYFUNCTION("""COMPUTED_VALUE"""),"Renov.")</f>
        <v>Renov.</v>
      </c>
      <c r="I1920" s="2" t="str">
        <f>IFERROR(__xludf.DUMMYFUNCTION("""COMPUTED_VALUE"""),"Masonry")</f>
        <v>Masonry</v>
      </c>
      <c r="J1920" s="2" t="str">
        <f>IFERROR(__xludf.DUMMYFUNCTION("""COMPUTED_VALUE"""),"All amenities")</f>
        <v>All amenities</v>
      </c>
      <c r="K1920" s="2">
        <f>IFERROR(__xludf.DUMMYFUNCTION("""COMPUTED_VALUE"""),84990.0)</f>
        <v>84990</v>
      </c>
      <c r="L1920" s="2">
        <f>IFERROR(__xludf.DUMMYFUNCTION("""COMPUTED_VALUE"""),56.9620417)</f>
        <v>56.9620417</v>
      </c>
      <c r="M1920" s="2">
        <f>IFERROR(__xludf.DUMMYFUNCTION("""COMPUTED_VALUE"""),24.1224439)</f>
        <v>24.1224439</v>
      </c>
    </row>
    <row r="1921">
      <c r="A1921" s="2" t="str">
        <f>IFERROR(__xludf.DUMMYFUNCTION("""COMPUTED_VALUE"""),"For sale")</f>
        <v>For sale</v>
      </c>
      <c r="B1921" s="2" t="str">
        <f>IFERROR(__xludf.DUMMYFUNCTION("""COMPUTED_VALUE"""),"centrs")</f>
        <v>centrs</v>
      </c>
      <c r="C1921" s="2" t="str">
        <f>IFERROR(__xludf.DUMMYFUNCTION("""COMPUTED_VALUE"""),"Valdemāra 69")</f>
        <v>Valdemāra 69</v>
      </c>
      <c r="D1921" s="2">
        <f>IFERROR(__xludf.DUMMYFUNCTION("""COMPUTED_VALUE"""),1.0)</f>
        <v>1</v>
      </c>
      <c r="E1921" s="2">
        <f>IFERROR(__xludf.DUMMYFUNCTION("""COMPUTED_VALUE"""),26.0)</f>
        <v>26</v>
      </c>
      <c r="F1921" s="2">
        <f>IFERROR(__xludf.DUMMYFUNCTION("""COMPUTED_VALUE"""),4.0)</f>
        <v>4</v>
      </c>
      <c r="G1921" s="2">
        <f>IFERROR(__xludf.DUMMYFUNCTION("""COMPUTED_VALUE"""),5.0)</f>
        <v>5</v>
      </c>
      <c r="H1921" s="2" t="str">
        <f>IFERROR(__xludf.DUMMYFUNCTION("""COMPUTED_VALUE"""),"Renov.")</f>
        <v>Renov.</v>
      </c>
      <c r="I1921" s="2" t="str">
        <f>IFERROR(__xludf.DUMMYFUNCTION("""COMPUTED_VALUE"""),"Masonry")</f>
        <v>Masonry</v>
      </c>
      <c r="J1921" s="2" t="str">
        <f>IFERROR(__xludf.DUMMYFUNCTION("""COMPUTED_VALUE"""),"All amenities")</f>
        <v>All amenities</v>
      </c>
      <c r="K1921" s="2">
        <f>IFERROR(__xludf.DUMMYFUNCTION("""COMPUTED_VALUE"""),49400.0)</f>
        <v>49400</v>
      </c>
      <c r="L1921" s="2">
        <f>IFERROR(__xludf.DUMMYFUNCTION("""COMPUTED_VALUE"""),56.9620417)</f>
        <v>56.9620417</v>
      </c>
      <c r="M1921" s="2">
        <f>IFERROR(__xludf.DUMMYFUNCTION("""COMPUTED_VALUE"""),24.1224439)</f>
        <v>24.1224439</v>
      </c>
    </row>
    <row r="1922">
      <c r="A1922" s="2" t="str">
        <f>IFERROR(__xludf.DUMMYFUNCTION("""COMPUTED_VALUE"""),"For sale")</f>
        <v>For sale</v>
      </c>
      <c r="B1922" s="2" t="str">
        <f>IFERROR(__xludf.DUMMYFUNCTION("""COMPUTED_VALUE"""),"centrs")</f>
        <v>centrs</v>
      </c>
      <c r="C1922" s="2" t="str">
        <f>IFERROR(__xludf.DUMMYFUNCTION("""COMPUTED_VALUE"""),"Valdemāra 69")</f>
        <v>Valdemāra 69</v>
      </c>
      <c r="D1922" s="2">
        <f>IFERROR(__xludf.DUMMYFUNCTION("""COMPUTED_VALUE"""),2.0)</f>
        <v>2</v>
      </c>
      <c r="E1922" s="2">
        <f>IFERROR(__xludf.DUMMYFUNCTION("""COMPUTED_VALUE"""),40.0)</f>
        <v>40</v>
      </c>
      <c r="F1922" s="2">
        <f>IFERROR(__xludf.DUMMYFUNCTION("""COMPUTED_VALUE"""),2.0)</f>
        <v>2</v>
      </c>
      <c r="G1922" s="2">
        <f>IFERROR(__xludf.DUMMYFUNCTION("""COMPUTED_VALUE"""),6.0)</f>
        <v>6</v>
      </c>
      <c r="H1922" s="2" t="str">
        <f>IFERROR(__xludf.DUMMYFUNCTION("""COMPUTED_VALUE"""),"Renov.")</f>
        <v>Renov.</v>
      </c>
      <c r="I1922" s="2" t="str">
        <f>IFERROR(__xludf.DUMMYFUNCTION("""COMPUTED_VALUE"""),"Masonry")</f>
        <v>Masonry</v>
      </c>
      <c r="J1922" s="2" t="str">
        <f>IFERROR(__xludf.DUMMYFUNCTION("""COMPUTED_VALUE"""),"All amenities")</f>
        <v>All amenities</v>
      </c>
      <c r="K1922" s="2">
        <f>IFERROR(__xludf.DUMMYFUNCTION("""COMPUTED_VALUE"""),64990.0)</f>
        <v>64990</v>
      </c>
      <c r="L1922" s="2">
        <f>IFERROR(__xludf.DUMMYFUNCTION("""COMPUTED_VALUE"""),56.9620417)</f>
        <v>56.9620417</v>
      </c>
      <c r="M1922" s="2">
        <f>IFERROR(__xludf.DUMMYFUNCTION("""COMPUTED_VALUE"""),24.1224439)</f>
        <v>24.1224439</v>
      </c>
    </row>
    <row r="1923">
      <c r="A1923" s="2" t="str">
        <f>IFERROR(__xludf.DUMMYFUNCTION("""COMPUTED_VALUE"""),"For sale")</f>
        <v>For sale</v>
      </c>
      <c r="B1923" s="2" t="str">
        <f>IFERROR(__xludf.DUMMYFUNCTION("""COMPUTED_VALUE"""),"Teika")</f>
        <v>Teika</v>
      </c>
      <c r="C1923" s="2" t="str">
        <f>IFERROR(__xludf.DUMMYFUNCTION("""COMPUTED_VALUE"""),"Raunas 19")</f>
        <v>Raunas 19</v>
      </c>
      <c r="D1923" s="2">
        <f>IFERROR(__xludf.DUMMYFUNCTION("""COMPUTED_VALUE"""),4.0)</f>
        <v>4</v>
      </c>
      <c r="E1923" s="2">
        <f>IFERROR(__xludf.DUMMYFUNCTION("""COMPUTED_VALUE"""),74.0)</f>
        <v>74</v>
      </c>
      <c r="F1923" s="2">
        <f>IFERROR(__xludf.DUMMYFUNCTION("""COMPUTED_VALUE"""),5.0)</f>
        <v>5</v>
      </c>
      <c r="G1923" s="2">
        <f>IFERROR(__xludf.DUMMYFUNCTION("""COMPUTED_VALUE"""),5.0)</f>
        <v>5</v>
      </c>
      <c r="H1923" s="2" t="str">
        <f>IFERROR(__xludf.DUMMYFUNCTION("""COMPUTED_VALUE"""),"Specpr.")</f>
        <v>Specpr.</v>
      </c>
      <c r="I1923" s="2" t="str">
        <f>IFERROR(__xludf.DUMMYFUNCTION("""COMPUTED_VALUE"""),"Brick-Panel")</f>
        <v>Brick-Panel</v>
      </c>
      <c r="J1923" s="2" t="str">
        <f>IFERROR(__xludf.DUMMYFUNCTION("""COMPUTED_VALUE"""),"All amenities")</f>
        <v>All amenities</v>
      </c>
      <c r="K1923" s="2">
        <f>IFERROR(__xludf.DUMMYFUNCTION("""COMPUTED_VALUE"""),86000.0)</f>
        <v>86000</v>
      </c>
      <c r="L1923" s="2">
        <f>IFERROR(__xludf.DUMMYFUNCTION("""COMPUTED_VALUE"""),56.96893685)</f>
        <v>56.96893685</v>
      </c>
      <c r="M1923" s="2">
        <f>IFERROR(__xludf.DUMMYFUNCTION("""COMPUTED_VALUE"""),24.1736180973848)</f>
        <v>24.1736181</v>
      </c>
    </row>
    <row r="1924">
      <c r="A1924" s="2" t="str">
        <f>IFERROR(__xludf.DUMMYFUNCTION("""COMPUTED_VALUE"""),"For sale")</f>
        <v>For sale</v>
      </c>
      <c r="B1924" s="2" t="str">
        <f>IFERROR(__xludf.DUMMYFUNCTION("""COMPUTED_VALUE"""),"centrs")</f>
        <v>centrs</v>
      </c>
      <c r="C1924" s="2" t="str">
        <f>IFERROR(__xludf.DUMMYFUNCTION("""COMPUTED_VALUE"""),"Maskavas 112")</f>
        <v>Maskavas 112</v>
      </c>
      <c r="D1924" s="2">
        <f>IFERROR(__xludf.DUMMYFUNCTION("""COMPUTED_VALUE"""),2.0)</f>
        <v>2</v>
      </c>
      <c r="E1924" s="2">
        <f>IFERROR(__xludf.DUMMYFUNCTION("""COMPUTED_VALUE"""),39.0)</f>
        <v>39</v>
      </c>
      <c r="F1924" s="2">
        <f>IFERROR(__xludf.DUMMYFUNCTION("""COMPUTED_VALUE"""),3.0)</f>
        <v>3</v>
      </c>
      <c r="G1924" s="2">
        <f>IFERROR(__xludf.DUMMYFUNCTION("""COMPUTED_VALUE"""),4.0)</f>
        <v>4</v>
      </c>
      <c r="H1924" s="2" t="str">
        <f>IFERROR(__xludf.DUMMYFUNCTION("""COMPUTED_VALUE"""),"P. kara")</f>
        <v>P. kara</v>
      </c>
      <c r="I1924" s="2" t="str">
        <f>IFERROR(__xludf.DUMMYFUNCTION("""COMPUTED_VALUE"""),"Brick")</f>
        <v>Brick</v>
      </c>
      <c r="J1924" s="2" t="str">
        <f>IFERROR(__xludf.DUMMYFUNCTION("""COMPUTED_VALUE"""),"All amenities")</f>
        <v>All amenities</v>
      </c>
      <c r="K1924" s="2">
        <f>IFERROR(__xludf.DUMMYFUNCTION("""COMPUTED_VALUE"""),45000.0)</f>
        <v>45000</v>
      </c>
      <c r="L1924" s="2">
        <f>IFERROR(__xludf.DUMMYFUNCTION("""COMPUTED_VALUE"""),56.8597884)</f>
        <v>56.8597884</v>
      </c>
      <c r="M1924" s="2">
        <f>IFERROR(__xludf.DUMMYFUNCTION("""COMPUTED_VALUE"""),24.3083417)</f>
        <v>24.3083417</v>
      </c>
    </row>
    <row r="1925">
      <c r="A1925" s="2" t="str">
        <f>IFERROR(__xludf.DUMMYFUNCTION("""COMPUTED_VALUE"""),"For sale")</f>
        <v>For sale</v>
      </c>
      <c r="B1925" s="2" t="str">
        <f>IFERROR(__xludf.DUMMYFUNCTION("""COMPUTED_VALUE"""),"centrs")</f>
        <v>centrs</v>
      </c>
      <c r="C1925" s="2" t="str">
        <f>IFERROR(__xludf.DUMMYFUNCTION("""COMPUTED_VALUE"""),"Valdemāra 69")</f>
        <v>Valdemāra 69</v>
      </c>
      <c r="D1925" s="2">
        <f>IFERROR(__xludf.DUMMYFUNCTION("""COMPUTED_VALUE"""),1.0)</f>
        <v>1</v>
      </c>
      <c r="E1925" s="2">
        <f>IFERROR(__xludf.DUMMYFUNCTION("""COMPUTED_VALUE"""),16.0)</f>
        <v>16</v>
      </c>
      <c r="F1925" s="2">
        <f>IFERROR(__xludf.DUMMYFUNCTION("""COMPUTED_VALUE"""),2.0)</f>
        <v>2</v>
      </c>
      <c r="G1925" s="2">
        <f>IFERROR(__xludf.DUMMYFUNCTION("""COMPUTED_VALUE"""),5.0)</f>
        <v>5</v>
      </c>
      <c r="H1925" s="2" t="str">
        <f>IFERROR(__xludf.DUMMYFUNCTION("""COMPUTED_VALUE"""),"P. kara")</f>
        <v>P. kara</v>
      </c>
      <c r="I1925" s="2" t="str">
        <f>IFERROR(__xludf.DUMMYFUNCTION("""COMPUTED_VALUE"""),"Masonry")</f>
        <v>Masonry</v>
      </c>
      <c r="J1925" s="2" t="str">
        <f>IFERROR(__xludf.DUMMYFUNCTION("""COMPUTED_VALUE"""),"All amenities")</f>
        <v>All amenities</v>
      </c>
      <c r="K1925" s="2">
        <f>IFERROR(__xludf.DUMMYFUNCTION("""COMPUTED_VALUE"""),47000.0)</f>
        <v>47000</v>
      </c>
      <c r="L1925" s="2">
        <f>IFERROR(__xludf.DUMMYFUNCTION("""COMPUTED_VALUE"""),56.9620417)</f>
        <v>56.9620417</v>
      </c>
      <c r="M1925" s="2">
        <f>IFERROR(__xludf.DUMMYFUNCTION("""COMPUTED_VALUE"""),24.1224439)</f>
        <v>24.1224439</v>
      </c>
    </row>
    <row r="1926">
      <c r="A1926" s="2" t="str">
        <f>IFERROR(__xludf.DUMMYFUNCTION("""COMPUTED_VALUE"""),"For sale")</f>
        <v>For sale</v>
      </c>
      <c r="B1926" s="2" t="str">
        <f>IFERROR(__xludf.DUMMYFUNCTION("""COMPUTED_VALUE"""),"Ziepniekkalns")</f>
        <v>Ziepniekkalns</v>
      </c>
      <c r="C1926" s="2" t="str">
        <f>IFERROR(__xludf.DUMMYFUNCTION("""COMPUTED_VALUE"""),"Vienības g. 87i")</f>
        <v>Vienības g. 87i</v>
      </c>
      <c r="D1926" s="2">
        <f>IFERROR(__xludf.DUMMYFUNCTION("""COMPUTED_VALUE"""),3.0)</f>
        <v>3</v>
      </c>
      <c r="E1926" s="2">
        <f>IFERROR(__xludf.DUMMYFUNCTION("""COMPUTED_VALUE"""),112.0)</f>
        <v>112</v>
      </c>
      <c r="F1926" s="2">
        <f>IFERROR(__xludf.DUMMYFUNCTION("""COMPUTED_VALUE"""),2.0)</f>
        <v>2</v>
      </c>
      <c r="G1926" s="2">
        <f>IFERROR(__xludf.DUMMYFUNCTION("""COMPUTED_VALUE"""),4.0)</f>
        <v>4</v>
      </c>
      <c r="H1926" s="2" t="str">
        <f>IFERROR(__xludf.DUMMYFUNCTION("""COMPUTED_VALUE"""),"Jaun.")</f>
        <v>Jaun.</v>
      </c>
      <c r="I1926" s="2" t="str">
        <f>IFERROR(__xludf.DUMMYFUNCTION("""COMPUTED_VALUE"""),"Masonry")</f>
        <v>Masonry</v>
      </c>
      <c r="J1926" s="2" t="str">
        <f>IFERROR(__xludf.DUMMYFUNCTION("""COMPUTED_VALUE"""),"All amenities")</f>
        <v>All amenities</v>
      </c>
      <c r="K1926" s="2">
        <f>IFERROR(__xludf.DUMMYFUNCTION("""COMPUTED_VALUE"""),142000.0)</f>
        <v>142000</v>
      </c>
      <c r="L1926" s="2">
        <f>IFERROR(__xludf.DUMMYFUNCTION("""COMPUTED_VALUE"""),56.918403)</f>
        <v>56.918403</v>
      </c>
      <c r="M1926" s="2">
        <f>IFERROR(__xludf.DUMMYFUNCTION("""COMPUTED_VALUE"""),24.0883001)</f>
        <v>24.0883001</v>
      </c>
    </row>
    <row r="1927">
      <c r="A1927" s="2" t="str">
        <f>IFERROR(__xludf.DUMMYFUNCTION("""COMPUTED_VALUE"""),"For sale")</f>
        <v>For sale</v>
      </c>
      <c r="B1927" s="2" t="str">
        <f>IFERROR(__xludf.DUMMYFUNCTION("""COMPUTED_VALUE"""),"Ziepniekkalns")</f>
        <v>Ziepniekkalns</v>
      </c>
      <c r="C1927" s="2" t="str">
        <f>IFERROR(__xludf.DUMMYFUNCTION("""COMPUTED_VALUE"""),"Vienības g. 87i")</f>
        <v>Vienības g. 87i</v>
      </c>
      <c r="D1927" s="2">
        <f>IFERROR(__xludf.DUMMYFUNCTION("""COMPUTED_VALUE"""),2.0)</f>
        <v>2</v>
      </c>
      <c r="E1927" s="2">
        <f>IFERROR(__xludf.DUMMYFUNCTION("""COMPUTED_VALUE"""),85.0)</f>
        <v>85</v>
      </c>
      <c r="F1927" s="2">
        <f>IFERROR(__xludf.DUMMYFUNCTION("""COMPUTED_VALUE"""),1.0)</f>
        <v>1</v>
      </c>
      <c r="G1927" s="2">
        <f>IFERROR(__xludf.DUMMYFUNCTION("""COMPUTED_VALUE"""),4.0)</f>
        <v>4</v>
      </c>
      <c r="H1927" s="2" t="str">
        <f>IFERROR(__xludf.DUMMYFUNCTION("""COMPUTED_VALUE"""),"Jaun.")</f>
        <v>Jaun.</v>
      </c>
      <c r="I1927" s="2" t="str">
        <f>IFERROR(__xludf.DUMMYFUNCTION("""COMPUTED_VALUE"""),"Panel")</f>
        <v>Panel</v>
      </c>
      <c r="J1927" s="2" t="str">
        <f>IFERROR(__xludf.DUMMYFUNCTION("""COMPUTED_VALUE"""),"All amenities")</f>
        <v>All amenities</v>
      </c>
      <c r="K1927" s="2">
        <f>IFERROR(__xludf.DUMMYFUNCTION("""COMPUTED_VALUE"""),115000.0)</f>
        <v>115000</v>
      </c>
      <c r="L1927" s="2">
        <f>IFERROR(__xludf.DUMMYFUNCTION("""COMPUTED_VALUE"""),56.918403)</f>
        <v>56.918403</v>
      </c>
      <c r="M1927" s="2">
        <f>IFERROR(__xludf.DUMMYFUNCTION("""COMPUTED_VALUE"""),24.0883001)</f>
        <v>24.0883001</v>
      </c>
    </row>
    <row r="1928">
      <c r="A1928" s="2" t="str">
        <f>IFERROR(__xludf.DUMMYFUNCTION("""COMPUTED_VALUE"""),"For sale")</f>
        <v>For sale</v>
      </c>
      <c r="B1928" s="2" t="str">
        <f>IFERROR(__xludf.DUMMYFUNCTION("""COMPUTED_VALUE"""),"Purvciems")</f>
        <v>Purvciems</v>
      </c>
      <c r="C1928" s="2" t="str">
        <f>IFERROR(__xludf.DUMMYFUNCTION("""COMPUTED_VALUE"""),"Braslas 53")</f>
        <v>Braslas 53</v>
      </c>
      <c r="D1928" s="2">
        <f>IFERROR(__xludf.DUMMYFUNCTION("""COMPUTED_VALUE"""),3.0)</f>
        <v>3</v>
      </c>
      <c r="E1928" s="2">
        <f>IFERROR(__xludf.DUMMYFUNCTION("""COMPUTED_VALUE"""),81.3)</f>
        <v>81.3</v>
      </c>
      <c r="F1928" s="2">
        <f>IFERROR(__xludf.DUMMYFUNCTION("""COMPUTED_VALUE"""),6.0)</f>
        <v>6</v>
      </c>
      <c r="G1928" s="2">
        <f>IFERROR(__xludf.DUMMYFUNCTION("""COMPUTED_VALUE"""),6.0)</f>
        <v>6</v>
      </c>
      <c r="H1928" s="2" t="str">
        <f>IFERROR(__xludf.DUMMYFUNCTION("""COMPUTED_VALUE"""),"Jaun.")</f>
        <v>Jaun.</v>
      </c>
      <c r="I1928" s="2" t="str">
        <f>IFERROR(__xludf.DUMMYFUNCTION("""COMPUTED_VALUE"""),"Panel")</f>
        <v>Panel</v>
      </c>
      <c r="J1928" s="2" t="str">
        <f>IFERROR(__xludf.DUMMYFUNCTION("""COMPUTED_VALUE"""),"All amenities")</f>
        <v>All amenities</v>
      </c>
      <c r="K1928" s="2">
        <f>IFERROR(__xludf.DUMMYFUNCTION("""COMPUTED_VALUE"""),115000.0)</f>
        <v>115000</v>
      </c>
      <c r="L1928" s="2">
        <f>IFERROR(__xludf.DUMMYFUNCTION("""COMPUTED_VALUE"""),56.9574717999999)</f>
        <v>56.9574718</v>
      </c>
      <c r="M1928" s="2">
        <f>IFERROR(__xludf.DUMMYFUNCTION("""COMPUTED_VALUE"""),24.1669890886796)</f>
        <v>24.16698909</v>
      </c>
    </row>
    <row r="1929">
      <c r="A1929" s="2" t="str">
        <f>IFERROR(__xludf.DUMMYFUNCTION("""COMPUTED_VALUE"""),"For sale")</f>
        <v>For sale</v>
      </c>
      <c r="B1929" s="2" t="str">
        <f>IFERROR(__xludf.DUMMYFUNCTION("""COMPUTED_VALUE"""),"Purvciems")</f>
        <v>Purvciems</v>
      </c>
      <c r="C1929" s="2" t="str">
        <f>IFERROR(__xludf.DUMMYFUNCTION("""COMPUTED_VALUE"""),"Dzelzavas 33")</f>
        <v>Dzelzavas 33</v>
      </c>
      <c r="D1929" s="2">
        <f>IFERROR(__xludf.DUMMYFUNCTION("""COMPUTED_VALUE"""),1.0)</f>
        <v>1</v>
      </c>
      <c r="E1929" s="2">
        <f>IFERROR(__xludf.DUMMYFUNCTION("""COMPUTED_VALUE"""),32.0)</f>
        <v>32</v>
      </c>
      <c r="F1929" s="2">
        <f>IFERROR(__xludf.DUMMYFUNCTION("""COMPUTED_VALUE"""),4.0)</f>
        <v>4</v>
      </c>
      <c r="G1929" s="2">
        <f>IFERROR(__xludf.DUMMYFUNCTION("""COMPUTED_VALUE"""),5.0)</f>
        <v>5</v>
      </c>
      <c r="H1929" s="2" t="str">
        <f>IFERROR(__xludf.DUMMYFUNCTION("""COMPUTED_VALUE"""),"LT proj.")</f>
        <v>LT proj.</v>
      </c>
      <c r="I1929" s="2" t="str">
        <f>IFERROR(__xludf.DUMMYFUNCTION("""COMPUTED_VALUE"""),"Brick-Panel")</f>
        <v>Brick-Panel</v>
      </c>
      <c r="J1929" s="2" t="str">
        <f>IFERROR(__xludf.DUMMYFUNCTION("""COMPUTED_VALUE"""),"All amenities")</f>
        <v>All amenities</v>
      </c>
      <c r="K1929" s="2">
        <f>IFERROR(__xludf.DUMMYFUNCTION("""COMPUTED_VALUE"""),33500.0)</f>
        <v>33500</v>
      </c>
      <c r="L1929" s="2">
        <f>IFERROR(__xludf.DUMMYFUNCTION("""COMPUTED_VALUE"""),56.9601830999999)</f>
        <v>56.9601831</v>
      </c>
      <c r="M1929" s="2">
        <f>IFERROR(__xludf.DUMMYFUNCTION("""COMPUTED_VALUE"""),24.1809677999999)</f>
        <v>24.1809678</v>
      </c>
    </row>
    <row r="1930">
      <c r="A1930" s="2" t="str">
        <f>IFERROR(__xludf.DUMMYFUNCTION("""COMPUTED_VALUE"""),"For sale")</f>
        <v>For sale</v>
      </c>
      <c r="B1930" s="2" t="str">
        <f>IFERROR(__xludf.DUMMYFUNCTION("""COMPUTED_VALUE"""),"Iļģuciems")</f>
        <v>Iļģuciems</v>
      </c>
      <c r="C1930" s="2" t="str">
        <f>IFERROR(__xludf.DUMMYFUNCTION("""COMPUTED_VALUE"""),"Reņģes 7-k2")</f>
        <v>Reņģes 7-k2</v>
      </c>
      <c r="D1930" s="2">
        <f>IFERROR(__xludf.DUMMYFUNCTION("""COMPUTED_VALUE"""),2.0)</f>
        <v>2</v>
      </c>
      <c r="E1930" s="2">
        <f>IFERROR(__xludf.DUMMYFUNCTION("""COMPUTED_VALUE"""),44.6)</f>
        <v>44.6</v>
      </c>
      <c r="F1930" s="2">
        <f>IFERROR(__xludf.DUMMYFUNCTION("""COMPUTED_VALUE"""),1.0)</f>
        <v>1</v>
      </c>
      <c r="G1930" s="2">
        <f>IFERROR(__xludf.DUMMYFUNCTION("""COMPUTED_VALUE"""),5.0)</f>
        <v>5</v>
      </c>
      <c r="H1930" s="2" t="str">
        <f>IFERROR(__xludf.DUMMYFUNCTION("""COMPUTED_VALUE"""),"Specpr.")</f>
        <v>Specpr.</v>
      </c>
      <c r="I1930" s="2" t="str">
        <f>IFERROR(__xludf.DUMMYFUNCTION("""COMPUTED_VALUE"""),"Brick")</f>
        <v>Brick</v>
      </c>
      <c r="J1930" s="2" t="str">
        <f>IFERROR(__xludf.DUMMYFUNCTION("""COMPUTED_VALUE"""),"All amenities")</f>
        <v>All amenities</v>
      </c>
      <c r="K1930" s="2">
        <f>IFERROR(__xludf.DUMMYFUNCTION("""COMPUTED_VALUE"""),36000.0)</f>
        <v>36000</v>
      </c>
      <c r="L1930" s="2">
        <f>IFERROR(__xludf.DUMMYFUNCTION("""COMPUTED_VALUE"""),56.9657966)</f>
        <v>56.9657966</v>
      </c>
      <c r="M1930" s="2">
        <f>IFERROR(__xludf.DUMMYFUNCTION("""COMPUTED_VALUE"""),24.0629937)</f>
        <v>24.0629937</v>
      </c>
    </row>
    <row r="1931">
      <c r="A1931" s="2" t="str">
        <f>IFERROR(__xludf.DUMMYFUNCTION("""COMPUTED_VALUE"""),"For sale")</f>
        <v>For sale</v>
      </c>
      <c r="B1931" s="2" t="str">
        <f>IFERROR(__xludf.DUMMYFUNCTION("""COMPUTED_VALUE"""),"Teika")</f>
        <v>Teika</v>
      </c>
      <c r="C1931" s="2" t="str">
        <f>IFERROR(__xludf.DUMMYFUNCTION("""COMPUTED_VALUE"""),"Ropažu 93")</f>
        <v>Ropažu 93</v>
      </c>
      <c r="D1931" s="2">
        <f>IFERROR(__xludf.DUMMYFUNCTION("""COMPUTED_VALUE"""),1.0)</f>
        <v>1</v>
      </c>
      <c r="E1931" s="2">
        <f>IFERROR(__xludf.DUMMYFUNCTION("""COMPUTED_VALUE"""),28.0)</f>
        <v>28</v>
      </c>
      <c r="F1931" s="2">
        <f>IFERROR(__xludf.DUMMYFUNCTION("""COMPUTED_VALUE"""),1.0)</f>
        <v>1</v>
      </c>
      <c r="G1931" s="2">
        <f>IFERROR(__xludf.DUMMYFUNCTION("""COMPUTED_VALUE"""),2.0)</f>
        <v>2</v>
      </c>
      <c r="H1931" s="2" t="str">
        <f>IFERROR(__xludf.DUMMYFUNCTION("""COMPUTED_VALUE"""),"P. kara")</f>
        <v>P. kara</v>
      </c>
      <c r="I1931" s="2" t="str">
        <f>IFERROR(__xludf.DUMMYFUNCTION("""COMPUTED_VALUE"""),"Wood")</f>
        <v>Wood</v>
      </c>
      <c r="J1931" s="2" t="str">
        <f>IFERROR(__xludf.DUMMYFUNCTION("""COMPUTED_VALUE"""),"Partial amenities")</f>
        <v>Partial amenities</v>
      </c>
      <c r="K1931" s="2">
        <f>IFERROR(__xludf.DUMMYFUNCTION("""COMPUTED_VALUE"""),22000.0)</f>
        <v>22000</v>
      </c>
      <c r="L1931" s="2">
        <f>IFERROR(__xludf.DUMMYFUNCTION("""COMPUTED_VALUE"""),56.9825039)</f>
        <v>56.9825039</v>
      </c>
      <c r="M1931" s="2">
        <f>IFERROR(__xludf.DUMMYFUNCTION("""COMPUTED_VALUE"""),24.1917693040602)</f>
        <v>24.1917693</v>
      </c>
    </row>
    <row r="1932">
      <c r="A1932" s="2" t="str">
        <f>IFERROR(__xludf.DUMMYFUNCTION("""COMPUTED_VALUE"""),"For sale")</f>
        <v>For sale</v>
      </c>
      <c r="B1932" s="2" t="str">
        <f>IFERROR(__xludf.DUMMYFUNCTION("""COMPUTED_VALUE"""),"Iļģuciems")</f>
        <v>Iļģuciems</v>
      </c>
      <c r="C1932" s="2" t="str">
        <f>IFERROR(__xludf.DUMMYFUNCTION("""COMPUTED_VALUE"""),"Baltā 19")</f>
        <v>Baltā 19</v>
      </c>
      <c r="D1932" s="2">
        <f>IFERROR(__xludf.DUMMYFUNCTION("""COMPUTED_VALUE"""),3.0)</f>
        <v>3</v>
      </c>
      <c r="E1932" s="2">
        <f>IFERROR(__xludf.DUMMYFUNCTION("""COMPUTED_VALUE"""),55.0)</f>
        <v>55</v>
      </c>
      <c r="F1932" s="2">
        <f>IFERROR(__xludf.DUMMYFUNCTION("""COMPUTED_VALUE"""),2.0)</f>
        <v>2</v>
      </c>
      <c r="G1932" s="2">
        <f>IFERROR(__xludf.DUMMYFUNCTION("""COMPUTED_VALUE"""),5.0)</f>
        <v>5</v>
      </c>
      <c r="H1932" s="2" t="str">
        <f>IFERROR(__xludf.DUMMYFUNCTION("""COMPUTED_VALUE"""),"LT proj.")</f>
        <v>LT proj.</v>
      </c>
      <c r="I1932" s="2" t="str">
        <f>IFERROR(__xludf.DUMMYFUNCTION("""COMPUTED_VALUE"""),"Panel")</f>
        <v>Panel</v>
      </c>
      <c r="J1932" s="2" t="str">
        <f>IFERROR(__xludf.DUMMYFUNCTION("""COMPUTED_VALUE"""),"All amenities")</f>
        <v>All amenities</v>
      </c>
      <c r="K1932" s="2">
        <f>IFERROR(__xludf.DUMMYFUNCTION("""COMPUTED_VALUE"""),40000.0)</f>
        <v>40000</v>
      </c>
      <c r="L1932" s="2">
        <f>IFERROR(__xludf.DUMMYFUNCTION("""COMPUTED_VALUE"""),56.97070215)</f>
        <v>56.97070215</v>
      </c>
      <c r="M1932" s="2">
        <f>IFERROR(__xludf.DUMMYFUNCTION("""COMPUTED_VALUE"""),24.0650180096223)</f>
        <v>24.06501801</v>
      </c>
    </row>
    <row r="1933">
      <c r="A1933" s="2" t="str">
        <f>IFERROR(__xludf.DUMMYFUNCTION("""COMPUTED_VALUE"""),"For sale")</f>
        <v>For sale</v>
      </c>
      <c r="B1933" s="2" t="str">
        <f>IFERROR(__xludf.DUMMYFUNCTION("""COMPUTED_VALUE"""),"Sarkandaugava")</f>
        <v>Sarkandaugava</v>
      </c>
      <c r="C1933" s="2" t="str">
        <f>IFERROR(__xludf.DUMMYFUNCTION("""COMPUTED_VALUE"""),"Ziemeļu 3")</f>
        <v>Ziemeļu 3</v>
      </c>
      <c r="D1933" s="2">
        <f>IFERROR(__xludf.DUMMYFUNCTION("""COMPUTED_VALUE"""),2.0)</f>
        <v>2</v>
      </c>
      <c r="E1933" s="2">
        <f>IFERROR(__xludf.DUMMYFUNCTION("""COMPUTED_VALUE"""),52.0)</f>
        <v>52</v>
      </c>
      <c r="F1933" s="2">
        <f>IFERROR(__xludf.DUMMYFUNCTION("""COMPUTED_VALUE"""),4.0)</f>
        <v>4</v>
      </c>
      <c r="G1933" s="2">
        <f>IFERROR(__xludf.DUMMYFUNCTION("""COMPUTED_VALUE"""),5.0)</f>
        <v>5</v>
      </c>
      <c r="H1933" s="2" t="str">
        <f>IFERROR(__xludf.DUMMYFUNCTION("""COMPUTED_VALUE"""),"Jaun.")</f>
        <v>Jaun.</v>
      </c>
      <c r="I1933" s="2" t="str">
        <f>IFERROR(__xludf.DUMMYFUNCTION("""COMPUTED_VALUE"""),"Masonry")</f>
        <v>Masonry</v>
      </c>
      <c r="J1933" s="2" t="str">
        <f>IFERROR(__xludf.DUMMYFUNCTION("""COMPUTED_VALUE"""),"All amenities")</f>
        <v>All amenities</v>
      </c>
      <c r="K1933" s="2">
        <f>IFERROR(__xludf.DUMMYFUNCTION("""COMPUTED_VALUE"""),59500.0)</f>
        <v>59500</v>
      </c>
      <c r="L1933" s="2">
        <f>IFERROR(__xludf.DUMMYFUNCTION("""COMPUTED_VALUE"""),57.0025614)</f>
        <v>57.0025614</v>
      </c>
      <c r="M1933" s="2">
        <f>IFERROR(__xludf.DUMMYFUNCTION("""COMPUTED_VALUE"""),24.2835188)</f>
        <v>24.2835188</v>
      </c>
    </row>
    <row r="1934">
      <c r="A1934" s="2" t="str">
        <f>IFERROR(__xludf.DUMMYFUNCTION("""COMPUTED_VALUE"""),"For rent")</f>
        <v>For rent</v>
      </c>
      <c r="B1934" s="2" t="str">
        <f>IFERROR(__xludf.DUMMYFUNCTION("""COMPUTED_VALUE"""),"centrs")</f>
        <v>centrs</v>
      </c>
      <c r="C1934" s="2" t="str">
        <f>IFERROR(__xludf.DUMMYFUNCTION("""COMPUTED_VALUE"""),"Skolas 191")</f>
        <v>Skolas 191</v>
      </c>
      <c r="D1934" s="2">
        <f>IFERROR(__xludf.DUMMYFUNCTION("""COMPUTED_VALUE"""),1.0)</f>
        <v>1</v>
      </c>
      <c r="E1934" s="2">
        <f>IFERROR(__xludf.DUMMYFUNCTION("""COMPUTED_VALUE"""),5.0)</f>
        <v>5</v>
      </c>
      <c r="F1934" s="2">
        <f>IFERROR(__xludf.DUMMYFUNCTION("""COMPUTED_VALUE"""),1.0)</f>
        <v>1</v>
      </c>
      <c r="G1934" s="2">
        <f>IFERROR(__xludf.DUMMYFUNCTION("""COMPUTED_VALUE"""),5.0)</f>
        <v>5</v>
      </c>
      <c r="H1934" s="2" t="str">
        <f>IFERROR(__xludf.DUMMYFUNCTION("""COMPUTED_VALUE"""),"P. kara")</f>
        <v>P. kara</v>
      </c>
      <c r="I1934" s="2" t="str">
        <f>IFERROR(__xludf.DUMMYFUNCTION("""COMPUTED_VALUE"""),"Brick")</f>
        <v>Brick</v>
      </c>
      <c r="J1934" s="2" t="str">
        <f>IFERROR(__xludf.DUMMYFUNCTION("""COMPUTED_VALUE"""),"All amenities")</f>
        <v>All amenities</v>
      </c>
      <c r="K1934" s="2">
        <f>IFERROR(__xludf.DUMMYFUNCTION("""COMPUTED_VALUE"""),120.0)</f>
        <v>120</v>
      </c>
      <c r="L1934" s="2">
        <f>IFERROR(__xludf.DUMMYFUNCTION("""COMPUTED_VALUE"""),48.2969502)</f>
        <v>48.2969502</v>
      </c>
      <c r="M1934" s="2">
        <f>IFERROR(__xludf.DUMMYFUNCTION("""COMPUTED_VALUE"""),-100.7081938)</f>
        <v>-100.7081938</v>
      </c>
    </row>
    <row r="1935">
      <c r="A1935" s="2" t="str">
        <f>IFERROR(__xludf.DUMMYFUNCTION("""COMPUTED_VALUE"""),"For sale")</f>
        <v>For sale</v>
      </c>
      <c r="B1935" s="2" t="str">
        <f>IFERROR(__xludf.DUMMYFUNCTION("""COMPUTED_VALUE"""),"centrs")</f>
        <v>centrs</v>
      </c>
      <c r="C1935" s="2" t="str">
        <f>IFERROR(__xludf.DUMMYFUNCTION("""COMPUTED_VALUE"""),"Pērnavas 10")</f>
        <v>Pērnavas 10</v>
      </c>
      <c r="D1935" s="2">
        <f>IFERROR(__xludf.DUMMYFUNCTION("""COMPUTED_VALUE"""),3.0)</f>
        <v>3</v>
      </c>
      <c r="E1935" s="2">
        <f>IFERROR(__xludf.DUMMYFUNCTION("""COMPUTED_VALUE"""),80.0)</f>
        <v>80</v>
      </c>
      <c r="F1935" s="2">
        <f>IFERROR(__xludf.DUMMYFUNCTION("""COMPUTED_VALUE"""),2.0)</f>
        <v>2</v>
      </c>
      <c r="G1935" s="2">
        <f>IFERROR(__xludf.DUMMYFUNCTION("""COMPUTED_VALUE"""),5.0)</f>
        <v>5</v>
      </c>
      <c r="H1935" s="2" t="str">
        <f>IFERROR(__xludf.DUMMYFUNCTION("""COMPUTED_VALUE"""),"Staļina")</f>
        <v>Staļina</v>
      </c>
      <c r="I1935" s="2" t="str">
        <f>IFERROR(__xludf.DUMMYFUNCTION("""COMPUTED_VALUE"""),"Brick")</f>
        <v>Brick</v>
      </c>
      <c r="J1935" s="2" t="str">
        <f>IFERROR(__xludf.DUMMYFUNCTION("""COMPUTED_VALUE"""),"All amenities")</f>
        <v>All amenities</v>
      </c>
      <c r="K1935" s="2">
        <f>IFERROR(__xludf.DUMMYFUNCTION("""COMPUTED_VALUE"""),142000.0)</f>
        <v>142000</v>
      </c>
      <c r="L1935" s="2">
        <f>IFERROR(__xludf.DUMMYFUNCTION("""COMPUTED_VALUE"""),56.9647239)</f>
        <v>56.9647239</v>
      </c>
      <c r="M1935" s="2">
        <f>IFERROR(__xludf.DUMMYFUNCTION("""COMPUTED_VALUE"""),24.1477109)</f>
        <v>24.1477109</v>
      </c>
    </row>
    <row r="1936">
      <c r="A1936" s="2" t="str">
        <f>IFERROR(__xludf.DUMMYFUNCTION("""COMPUTED_VALUE"""),"For rent")</f>
        <v>For rent</v>
      </c>
      <c r="B1936" s="2" t="str">
        <f>IFERROR(__xludf.DUMMYFUNCTION("""COMPUTED_VALUE"""),"Bolderāja")</f>
        <v>Bolderāja</v>
      </c>
      <c r="C1936" s="2" t="str">
        <f>IFERROR(__xludf.DUMMYFUNCTION("""COMPUTED_VALUE"""),"Gobas 35")</f>
        <v>Gobas 35</v>
      </c>
      <c r="D1936" s="2">
        <f>IFERROR(__xludf.DUMMYFUNCTION("""COMPUTED_VALUE"""),2.0)</f>
        <v>2</v>
      </c>
      <c r="E1936" s="2">
        <f>IFERROR(__xludf.DUMMYFUNCTION("""COMPUTED_VALUE"""),49.0)</f>
        <v>49</v>
      </c>
      <c r="F1936" s="2">
        <f>IFERROR(__xludf.DUMMYFUNCTION("""COMPUTED_VALUE"""),2.0)</f>
        <v>2</v>
      </c>
      <c r="G1936" s="2">
        <f>IFERROR(__xludf.DUMMYFUNCTION("""COMPUTED_VALUE"""),5.0)</f>
        <v>5</v>
      </c>
      <c r="H1936" s="2" t="str">
        <f>IFERROR(__xludf.DUMMYFUNCTION("""COMPUTED_VALUE"""),"LT proj.")</f>
        <v>LT proj.</v>
      </c>
      <c r="I1936" s="2" t="str">
        <f>IFERROR(__xludf.DUMMYFUNCTION("""COMPUTED_VALUE"""),"Brick-Panel")</f>
        <v>Brick-Panel</v>
      </c>
      <c r="J1936" s="2" t="str">
        <f>IFERROR(__xludf.DUMMYFUNCTION("""COMPUTED_VALUE"""),"All amenities")</f>
        <v>All amenities</v>
      </c>
      <c r="K1936" s="2">
        <f>IFERROR(__xludf.DUMMYFUNCTION("""COMPUTED_VALUE"""),250.0)</f>
        <v>250</v>
      </c>
      <c r="L1936" s="2">
        <f>IFERROR(__xludf.DUMMYFUNCTION("""COMPUTED_VALUE"""),57.0322103)</f>
        <v>57.0322103</v>
      </c>
      <c r="M1936" s="2">
        <f>IFERROR(__xludf.DUMMYFUNCTION("""COMPUTED_VALUE"""),24.0541375022314)</f>
        <v>24.0541375</v>
      </c>
    </row>
    <row r="1937">
      <c r="A1937" s="2" t="str">
        <f>IFERROR(__xludf.DUMMYFUNCTION("""COMPUTED_VALUE"""),"For rent")</f>
        <v>For rent</v>
      </c>
      <c r="B1937" s="2" t="str">
        <f>IFERROR(__xludf.DUMMYFUNCTION("""COMPUTED_VALUE"""),"centrs")</f>
        <v>centrs</v>
      </c>
      <c r="C1937" s="2" t="str">
        <f>IFERROR(__xludf.DUMMYFUNCTION("""COMPUTED_VALUE"""),"Elijas 20")</f>
        <v>Elijas 20</v>
      </c>
      <c r="D1937" s="2">
        <f>IFERROR(__xludf.DUMMYFUNCTION("""COMPUTED_VALUE"""),1.0)</f>
        <v>1</v>
      </c>
      <c r="E1937" s="2">
        <f>IFERROR(__xludf.DUMMYFUNCTION("""COMPUTED_VALUE"""),15.0)</f>
        <v>15</v>
      </c>
      <c r="F1937" s="2">
        <f>IFERROR(__xludf.DUMMYFUNCTION("""COMPUTED_VALUE"""),3.0)</f>
        <v>3</v>
      </c>
      <c r="G1937" s="2">
        <f>IFERROR(__xludf.DUMMYFUNCTION("""COMPUTED_VALUE"""),4.0)</f>
        <v>4</v>
      </c>
      <c r="H1937" s="2" t="str">
        <f>IFERROR(__xludf.DUMMYFUNCTION("""COMPUTED_VALUE"""),"P. kara")</f>
        <v>P. kara</v>
      </c>
      <c r="I1937" s="2" t="str">
        <f>IFERROR(__xludf.DUMMYFUNCTION("""COMPUTED_VALUE"""),"Brick")</f>
        <v>Brick</v>
      </c>
      <c r="J1937" s="2" t="str">
        <f>IFERROR(__xludf.DUMMYFUNCTION("""COMPUTED_VALUE"""),"All amenities")</f>
        <v>All amenities</v>
      </c>
      <c r="K1937" s="2">
        <f>IFERROR(__xludf.DUMMYFUNCTION("""COMPUTED_VALUE"""),200.0)</f>
        <v>200</v>
      </c>
      <c r="L1937" s="2">
        <f>IFERROR(__xludf.DUMMYFUNCTION("""COMPUTED_VALUE"""),56.9411476)</f>
        <v>56.9411476</v>
      </c>
      <c r="M1937" s="2">
        <f>IFERROR(__xludf.DUMMYFUNCTION("""COMPUTED_VALUE"""),24.1242481)</f>
        <v>24.1242481</v>
      </c>
    </row>
    <row r="1938">
      <c r="A1938" s="2" t="str">
        <f>IFERROR(__xludf.DUMMYFUNCTION("""COMPUTED_VALUE"""),"For sale")</f>
        <v>For sale</v>
      </c>
      <c r="B1938" s="2" t="str">
        <f>IFERROR(__xludf.DUMMYFUNCTION("""COMPUTED_VALUE"""),"centrs")</f>
        <v>centrs</v>
      </c>
      <c r="C1938" s="2" t="str">
        <f>IFERROR(__xludf.DUMMYFUNCTION("""COMPUTED_VALUE"""),"Lienes 6a")</f>
        <v>Lienes 6a</v>
      </c>
      <c r="D1938" s="2">
        <f>IFERROR(__xludf.DUMMYFUNCTION("""COMPUTED_VALUE"""),1.0)</f>
        <v>1</v>
      </c>
      <c r="E1938" s="2">
        <f>IFERROR(__xludf.DUMMYFUNCTION("""COMPUTED_VALUE"""),22.0)</f>
        <v>22</v>
      </c>
      <c r="F1938" s="2">
        <f>IFERROR(__xludf.DUMMYFUNCTION("""COMPUTED_VALUE"""),2.0)</f>
        <v>2</v>
      </c>
      <c r="G1938" s="2">
        <f>IFERROR(__xludf.DUMMYFUNCTION("""COMPUTED_VALUE"""),2.0)</f>
        <v>2</v>
      </c>
      <c r="H1938" s="2" t="str">
        <f>IFERROR(__xludf.DUMMYFUNCTION("""COMPUTED_VALUE"""),"P. kara")</f>
        <v>P. kara</v>
      </c>
      <c r="I1938" s="2" t="str">
        <f>IFERROR(__xludf.DUMMYFUNCTION("""COMPUTED_VALUE"""),"Wood")</f>
        <v>Wood</v>
      </c>
      <c r="J1938" s="2" t="str">
        <f>IFERROR(__xludf.DUMMYFUNCTION("""COMPUTED_VALUE"""),"All amenities")</f>
        <v>All amenities</v>
      </c>
      <c r="K1938" s="2">
        <f>IFERROR(__xludf.DUMMYFUNCTION("""COMPUTED_VALUE"""),15000.0)</f>
        <v>15000</v>
      </c>
      <c r="L1938" s="2">
        <f>IFERROR(__xludf.DUMMYFUNCTION("""COMPUTED_VALUE"""),56.9539286)</f>
        <v>56.9539286</v>
      </c>
      <c r="M1938" s="2">
        <f>IFERROR(__xludf.DUMMYFUNCTION("""COMPUTED_VALUE"""),24.1448758)</f>
        <v>24.1448758</v>
      </c>
    </row>
    <row r="1939">
      <c r="A1939" s="2" t="str">
        <f>IFERROR(__xludf.DUMMYFUNCTION("""COMPUTED_VALUE"""),"For sale")</f>
        <v>For sale</v>
      </c>
      <c r="B1939" s="2" t="str">
        <f>IFERROR(__xludf.DUMMYFUNCTION("""COMPUTED_VALUE"""),"Dārzciems")</f>
        <v>Dārzciems</v>
      </c>
      <c r="C1939" s="2" t="str">
        <f>IFERROR(__xludf.DUMMYFUNCTION("""COMPUTED_VALUE"""),"Slāvu 17")</f>
        <v>Slāvu 17</v>
      </c>
      <c r="D1939" s="2">
        <f>IFERROR(__xludf.DUMMYFUNCTION("""COMPUTED_VALUE"""),2.0)</f>
        <v>2</v>
      </c>
      <c r="E1939" s="2">
        <f>IFERROR(__xludf.DUMMYFUNCTION("""COMPUTED_VALUE"""),51.0)</f>
        <v>51</v>
      </c>
      <c r="F1939" s="2">
        <f>IFERROR(__xludf.DUMMYFUNCTION("""COMPUTED_VALUE"""),6.0)</f>
        <v>6</v>
      </c>
      <c r="G1939" s="2">
        <f>IFERROR(__xludf.DUMMYFUNCTION("""COMPUTED_VALUE"""),9.0)</f>
        <v>9</v>
      </c>
      <c r="H1939" s="2">
        <f>IFERROR(__xludf.DUMMYFUNCTION("""COMPUTED_VALUE"""),602.0)</f>
        <v>602</v>
      </c>
      <c r="I1939" s="2" t="str">
        <f>IFERROR(__xludf.DUMMYFUNCTION("""COMPUTED_VALUE"""),"Panel")</f>
        <v>Panel</v>
      </c>
      <c r="J1939" s="2" t="str">
        <f>IFERROR(__xludf.DUMMYFUNCTION("""COMPUTED_VALUE"""),"All amenities")</f>
        <v>All amenities</v>
      </c>
      <c r="K1939" s="2">
        <f>IFERROR(__xludf.DUMMYFUNCTION("""COMPUTED_VALUE"""),53000.0)</f>
        <v>53000</v>
      </c>
      <c r="L1939" s="2">
        <f>IFERROR(__xludf.DUMMYFUNCTION("""COMPUTED_VALUE"""),56.9297701)</f>
        <v>56.9297701</v>
      </c>
      <c r="M1939" s="2">
        <f>IFERROR(__xludf.DUMMYFUNCTION("""COMPUTED_VALUE"""),24.1774387443472)</f>
        <v>24.17743874</v>
      </c>
    </row>
    <row r="1940">
      <c r="A1940" s="2" t="str">
        <f>IFERROR(__xludf.DUMMYFUNCTION("""COMPUTED_VALUE"""),"For sale")</f>
        <v>For sale</v>
      </c>
      <c r="B1940" s="2" t="str">
        <f>IFERROR(__xludf.DUMMYFUNCTION("""COMPUTED_VALUE"""),"Ķengarags")</f>
        <v>Ķengarags</v>
      </c>
      <c r="C1940" s="2" t="str">
        <f>IFERROR(__xludf.DUMMYFUNCTION("""COMPUTED_VALUE"""),"Prūšu 22")</f>
        <v>Prūšu 22</v>
      </c>
      <c r="D1940" s="2">
        <f>IFERROR(__xludf.DUMMYFUNCTION("""COMPUTED_VALUE"""),2.0)</f>
        <v>2</v>
      </c>
      <c r="E1940" s="2">
        <f>IFERROR(__xludf.DUMMYFUNCTION("""COMPUTED_VALUE"""),45.0)</f>
        <v>45</v>
      </c>
      <c r="F1940" s="2">
        <f>IFERROR(__xludf.DUMMYFUNCTION("""COMPUTED_VALUE"""),4.0)</f>
        <v>4</v>
      </c>
      <c r="G1940" s="2">
        <f>IFERROR(__xludf.DUMMYFUNCTION("""COMPUTED_VALUE"""),5.0)</f>
        <v>5</v>
      </c>
      <c r="H1940" s="2" t="str">
        <f>IFERROR(__xludf.DUMMYFUNCTION("""COMPUTED_VALUE"""),"Hrušč.")</f>
        <v>Hrušč.</v>
      </c>
      <c r="I1940" s="2" t="str">
        <f>IFERROR(__xludf.DUMMYFUNCTION("""COMPUTED_VALUE"""),"Brick")</f>
        <v>Brick</v>
      </c>
      <c r="J1940" s="2" t="str">
        <f>IFERROR(__xludf.DUMMYFUNCTION("""COMPUTED_VALUE"""),"All amenities")</f>
        <v>All amenities</v>
      </c>
      <c r="K1940" s="2">
        <f>IFERROR(__xludf.DUMMYFUNCTION("""COMPUTED_VALUE"""),40000.0)</f>
        <v>40000</v>
      </c>
      <c r="L1940" s="2">
        <f>IFERROR(__xludf.DUMMYFUNCTION("""COMPUTED_VALUE"""),56.9134761)</f>
        <v>56.9134761</v>
      </c>
      <c r="M1940" s="2">
        <f>IFERROR(__xludf.DUMMYFUNCTION("""COMPUTED_VALUE"""),24.18677075)</f>
        <v>24.18677075</v>
      </c>
    </row>
    <row r="1941">
      <c r="A1941" s="2" t="str">
        <f>IFERROR(__xludf.DUMMYFUNCTION("""COMPUTED_VALUE"""),"For rent")</f>
        <v>For rent</v>
      </c>
      <c r="B1941" s="2" t="str">
        <f>IFERROR(__xludf.DUMMYFUNCTION("""COMPUTED_VALUE"""),"Imanta")</f>
        <v>Imanta</v>
      </c>
      <c r="C1941" s="2" t="str">
        <f>IFERROR(__xludf.DUMMYFUNCTION("""COMPUTED_VALUE"""),"Jūrmalas g. 113b")</f>
        <v>Jūrmalas g. 113b</v>
      </c>
      <c r="D1941" s="2">
        <f>IFERROR(__xludf.DUMMYFUNCTION("""COMPUTED_VALUE"""),4.0)</f>
        <v>4</v>
      </c>
      <c r="E1941" s="2">
        <f>IFERROR(__xludf.DUMMYFUNCTION("""COMPUTED_VALUE"""),102.0)</f>
        <v>102</v>
      </c>
      <c r="F1941" s="2">
        <f>IFERROR(__xludf.DUMMYFUNCTION("""COMPUTED_VALUE"""),2.0)</f>
        <v>2</v>
      </c>
      <c r="G1941" s="2">
        <f>IFERROR(__xludf.DUMMYFUNCTION("""COMPUTED_VALUE"""),3.0)</f>
        <v>3</v>
      </c>
      <c r="H1941" s="2" t="str">
        <f>IFERROR(__xludf.DUMMYFUNCTION("""COMPUTED_VALUE"""),"Jaun.")</f>
        <v>Jaun.</v>
      </c>
      <c r="I1941" s="2" t="str">
        <f>IFERROR(__xludf.DUMMYFUNCTION("""COMPUTED_VALUE"""),"Panel-Brick")</f>
        <v>Panel-Brick</v>
      </c>
      <c r="J1941" s="2" t="str">
        <f>IFERROR(__xludf.DUMMYFUNCTION("""COMPUTED_VALUE"""),"All amenities")</f>
        <v>All amenities</v>
      </c>
      <c r="K1941" s="2">
        <f>IFERROR(__xludf.DUMMYFUNCTION("""COMPUTED_VALUE"""),800.0)</f>
        <v>800</v>
      </c>
      <c r="L1941" s="2">
        <f>IFERROR(__xludf.DUMMYFUNCTION("""COMPUTED_VALUE"""),56.9540025999999)</f>
        <v>56.9540026</v>
      </c>
      <c r="M1941" s="2">
        <f>IFERROR(__xludf.DUMMYFUNCTION("""COMPUTED_VALUE"""),23.9896591361657)</f>
        <v>23.98965914</v>
      </c>
    </row>
    <row r="1942">
      <c r="A1942" s="2" t="str">
        <f>IFERROR(__xludf.DUMMYFUNCTION("""COMPUTED_VALUE"""),"For sale")</f>
        <v>For sale</v>
      </c>
      <c r="B1942" s="2" t="str">
        <f>IFERROR(__xludf.DUMMYFUNCTION("""COMPUTED_VALUE"""),"Pļavnieki")</f>
        <v>Pļavnieki</v>
      </c>
      <c r="C1942" s="2" t="str">
        <f>IFERROR(__xludf.DUMMYFUNCTION("""COMPUTED_VALUE"""),"Salnas 21")</f>
        <v>Salnas 21</v>
      </c>
      <c r="D1942" s="2">
        <f>IFERROR(__xludf.DUMMYFUNCTION("""COMPUTED_VALUE"""),3.0)</f>
        <v>3</v>
      </c>
      <c r="E1942" s="2">
        <f>IFERROR(__xludf.DUMMYFUNCTION("""COMPUTED_VALUE"""),72.0)</f>
        <v>72</v>
      </c>
      <c r="F1942" s="2">
        <f>IFERROR(__xludf.DUMMYFUNCTION("""COMPUTED_VALUE"""),8.0)</f>
        <v>8</v>
      </c>
      <c r="G1942" s="2">
        <f>IFERROR(__xludf.DUMMYFUNCTION("""COMPUTED_VALUE"""),9.0)</f>
        <v>9</v>
      </c>
      <c r="H1942" s="2" t="str">
        <f>IFERROR(__xludf.DUMMYFUNCTION("""COMPUTED_VALUE"""),"Jaun.")</f>
        <v>Jaun.</v>
      </c>
      <c r="I1942" s="2" t="str">
        <f>IFERROR(__xludf.DUMMYFUNCTION("""COMPUTED_VALUE"""),"Panel")</f>
        <v>Panel</v>
      </c>
      <c r="J1942" s="2" t="str">
        <f>IFERROR(__xludf.DUMMYFUNCTION("""COMPUTED_VALUE"""),"All amenities")</f>
        <v>All amenities</v>
      </c>
      <c r="K1942" s="2">
        <f>IFERROR(__xludf.DUMMYFUNCTION("""COMPUTED_VALUE"""),125000.0)</f>
        <v>125000</v>
      </c>
      <c r="L1942" s="2">
        <f>IFERROR(__xludf.DUMMYFUNCTION("""COMPUTED_VALUE"""),56.942327)</f>
        <v>56.942327</v>
      </c>
      <c r="M1942" s="2">
        <f>IFERROR(__xludf.DUMMYFUNCTION("""COMPUTED_VALUE"""),24.2300928779978)</f>
        <v>24.23009288</v>
      </c>
    </row>
    <row r="1943">
      <c r="A1943" s="2" t="str">
        <f>IFERROR(__xludf.DUMMYFUNCTION("""COMPUTED_VALUE"""),"For rent")</f>
        <v>For rent</v>
      </c>
      <c r="B1943" s="2" t="str">
        <f>IFERROR(__xludf.DUMMYFUNCTION("""COMPUTED_VALUE"""),"Āgenskalns")</f>
        <v>Āgenskalns</v>
      </c>
      <c r="C1943" s="2" t="str">
        <f>IFERROR(__xludf.DUMMYFUNCTION("""COMPUTED_VALUE"""),"Mūkusalas 25")</f>
        <v>Mūkusalas 25</v>
      </c>
      <c r="D1943" s="2">
        <f>IFERROR(__xludf.DUMMYFUNCTION("""COMPUTED_VALUE"""),1.0)</f>
        <v>1</v>
      </c>
      <c r="E1943" s="2">
        <f>IFERROR(__xludf.DUMMYFUNCTION("""COMPUTED_VALUE"""),35.0)</f>
        <v>35</v>
      </c>
      <c r="F1943" s="2">
        <f>IFERROR(__xludf.DUMMYFUNCTION("""COMPUTED_VALUE"""),3.0)</f>
        <v>3</v>
      </c>
      <c r="G1943" s="2">
        <f>IFERROR(__xludf.DUMMYFUNCTION("""COMPUTED_VALUE"""),6.0)</f>
        <v>6</v>
      </c>
      <c r="H1943" s="2" t="str">
        <f>IFERROR(__xludf.DUMMYFUNCTION("""COMPUTED_VALUE"""),"Jaun.")</f>
        <v>Jaun.</v>
      </c>
      <c r="I1943" s="2" t="str">
        <f>IFERROR(__xludf.DUMMYFUNCTION("""COMPUTED_VALUE"""),"Masonry")</f>
        <v>Masonry</v>
      </c>
      <c r="J1943" s="2" t="str">
        <f>IFERROR(__xludf.DUMMYFUNCTION("""COMPUTED_VALUE"""),"All amenities")</f>
        <v>All amenities</v>
      </c>
      <c r="K1943" s="2">
        <f>IFERROR(__xludf.DUMMYFUNCTION("""COMPUTED_VALUE"""),550.0)</f>
        <v>550</v>
      </c>
      <c r="L1943" s="2">
        <f>IFERROR(__xludf.DUMMYFUNCTION("""COMPUTED_VALUE"""),56.9374039)</f>
        <v>56.9374039</v>
      </c>
      <c r="M1943" s="2">
        <f>IFERROR(__xludf.DUMMYFUNCTION("""COMPUTED_VALUE"""),24.101176263114)</f>
        <v>24.10117626</v>
      </c>
    </row>
    <row r="1944">
      <c r="A1944" s="2" t="str">
        <f>IFERROR(__xludf.DUMMYFUNCTION("""COMPUTED_VALUE"""),"For rent")</f>
        <v>For rent</v>
      </c>
      <c r="B1944" s="2" t="str">
        <f>IFERROR(__xludf.DUMMYFUNCTION("""COMPUTED_VALUE"""),"Purvciems")</f>
        <v>Purvciems</v>
      </c>
      <c r="C1944" s="2" t="str">
        <f>IFERROR(__xludf.DUMMYFUNCTION("""COMPUTED_VALUE"""),"Pūces 45")</f>
        <v>Pūces 45</v>
      </c>
      <c r="D1944" s="2">
        <f>IFERROR(__xludf.DUMMYFUNCTION("""COMPUTED_VALUE"""),2.0)</f>
        <v>2</v>
      </c>
      <c r="E1944" s="2">
        <f>IFERROR(__xludf.DUMMYFUNCTION("""COMPUTED_VALUE"""),70.0)</f>
        <v>70</v>
      </c>
      <c r="F1944" s="2">
        <f>IFERROR(__xludf.DUMMYFUNCTION("""COMPUTED_VALUE"""),1.0)</f>
        <v>1</v>
      </c>
      <c r="G1944" s="2">
        <f>IFERROR(__xludf.DUMMYFUNCTION("""COMPUTED_VALUE"""),9.0)</f>
        <v>9</v>
      </c>
      <c r="H1944" s="2" t="str">
        <f>IFERROR(__xludf.DUMMYFUNCTION("""COMPUTED_VALUE"""),"Jaun.")</f>
        <v>Jaun.</v>
      </c>
      <c r="I1944" s="2" t="str">
        <f>IFERROR(__xludf.DUMMYFUNCTION("""COMPUTED_VALUE"""),"Panel-Brick")</f>
        <v>Panel-Brick</v>
      </c>
      <c r="J1944" s="2" t="str">
        <f>IFERROR(__xludf.DUMMYFUNCTION("""COMPUTED_VALUE"""),"All amenities")</f>
        <v>All amenities</v>
      </c>
      <c r="K1944" s="2">
        <f>IFERROR(__xludf.DUMMYFUNCTION("""COMPUTED_VALUE"""),450.0)</f>
        <v>450</v>
      </c>
      <c r="L1944" s="2">
        <f>IFERROR(__xludf.DUMMYFUNCTION("""COMPUTED_VALUE"""),56.9527285)</f>
        <v>56.9527285</v>
      </c>
      <c r="M1944" s="2">
        <f>IFERROR(__xludf.DUMMYFUNCTION("""COMPUTED_VALUE"""),24.1907987106043)</f>
        <v>24.19079871</v>
      </c>
    </row>
    <row r="1945">
      <c r="A1945" s="2" t="str">
        <f>IFERROR(__xludf.DUMMYFUNCTION("""COMPUTED_VALUE"""),"For sale")</f>
        <v>For sale</v>
      </c>
      <c r="B1945" s="2" t="str">
        <f>IFERROR(__xludf.DUMMYFUNCTION("""COMPUTED_VALUE"""),"Pļavnieki")</f>
        <v>Pļavnieki</v>
      </c>
      <c r="C1945" s="2" t="str">
        <f>IFERROR(__xludf.DUMMYFUNCTION("""COMPUTED_VALUE"""),"Rencēnu 40")</f>
        <v>Rencēnu 40</v>
      </c>
      <c r="D1945" s="2">
        <f>IFERROR(__xludf.DUMMYFUNCTION("""COMPUTED_VALUE"""),1.0)</f>
        <v>1</v>
      </c>
      <c r="E1945" s="2">
        <f>IFERROR(__xludf.DUMMYFUNCTION("""COMPUTED_VALUE"""),27.0)</f>
        <v>27</v>
      </c>
      <c r="F1945" s="2">
        <f>IFERROR(__xludf.DUMMYFUNCTION("""COMPUTED_VALUE"""),1.0)</f>
        <v>1</v>
      </c>
      <c r="G1945" s="2">
        <f>IFERROR(__xludf.DUMMYFUNCTION("""COMPUTED_VALUE"""),5.0)</f>
        <v>5</v>
      </c>
      <c r="H1945" s="2" t="str">
        <f>IFERROR(__xludf.DUMMYFUNCTION("""COMPUTED_VALUE"""),"Renov.")</f>
        <v>Renov.</v>
      </c>
      <c r="I1945" s="2" t="str">
        <f>IFERROR(__xludf.DUMMYFUNCTION("""COMPUTED_VALUE"""),"Panel")</f>
        <v>Panel</v>
      </c>
      <c r="J1945" s="2" t="str">
        <f>IFERROR(__xludf.DUMMYFUNCTION("""COMPUTED_VALUE"""),"All amenities")</f>
        <v>All amenities</v>
      </c>
      <c r="K1945" s="2">
        <f>IFERROR(__xludf.DUMMYFUNCTION("""COMPUTED_VALUE"""),25000.0)</f>
        <v>25000</v>
      </c>
      <c r="L1945" s="2">
        <f>IFERROR(__xludf.DUMMYFUNCTION("""COMPUTED_VALUE"""),56.9223072)</f>
        <v>56.9223072</v>
      </c>
      <c r="M1945" s="2">
        <f>IFERROR(__xludf.DUMMYFUNCTION("""COMPUTED_VALUE"""),24.2131166)</f>
        <v>24.2131166</v>
      </c>
    </row>
    <row r="1946">
      <c r="A1946" s="2" t="str">
        <f>IFERROR(__xludf.DUMMYFUNCTION("""COMPUTED_VALUE"""),"For sale")</f>
        <v>For sale</v>
      </c>
      <c r="B1946" s="2" t="str">
        <f>IFERROR(__xludf.DUMMYFUNCTION("""COMPUTED_VALUE"""),"Pļavnieki")</f>
        <v>Pļavnieki</v>
      </c>
      <c r="C1946" s="2" t="str">
        <f>IFERROR(__xludf.DUMMYFUNCTION("""COMPUTED_VALUE"""),"Ilūkstes 18")</f>
        <v>Ilūkstes 18</v>
      </c>
      <c r="D1946" s="2">
        <f>IFERROR(__xludf.DUMMYFUNCTION("""COMPUTED_VALUE"""),2.0)</f>
        <v>2</v>
      </c>
      <c r="E1946" s="2">
        <f>IFERROR(__xludf.DUMMYFUNCTION("""COMPUTED_VALUE"""),50.0)</f>
        <v>50</v>
      </c>
      <c r="F1946" s="2">
        <f>IFERROR(__xludf.DUMMYFUNCTION("""COMPUTED_VALUE"""),3.0)</f>
        <v>3</v>
      </c>
      <c r="G1946" s="2">
        <f>IFERROR(__xludf.DUMMYFUNCTION("""COMPUTED_VALUE"""),9.0)</f>
        <v>9</v>
      </c>
      <c r="H1946" s="2">
        <f>IFERROR(__xludf.DUMMYFUNCTION("""COMPUTED_VALUE"""),602.0)</f>
        <v>602</v>
      </c>
      <c r="I1946" s="2" t="str">
        <f>IFERROR(__xludf.DUMMYFUNCTION("""COMPUTED_VALUE"""),"Panel")</f>
        <v>Panel</v>
      </c>
      <c r="J1946" s="2" t="str">
        <f>IFERROR(__xludf.DUMMYFUNCTION("""COMPUTED_VALUE"""),"All amenities")</f>
        <v>All amenities</v>
      </c>
      <c r="K1946" s="2">
        <f>IFERROR(__xludf.DUMMYFUNCTION("""COMPUTED_VALUE"""),51000.0)</f>
        <v>51000</v>
      </c>
      <c r="L1946" s="2">
        <f>IFERROR(__xludf.DUMMYFUNCTION("""COMPUTED_VALUE"""),56.938833)</f>
        <v>56.938833</v>
      </c>
      <c r="M1946" s="2">
        <f>IFERROR(__xludf.DUMMYFUNCTION("""COMPUTED_VALUE"""),24.196218600625)</f>
        <v>24.1962186</v>
      </c>
    </row>
    <row r="1947">
      <c r="A1947" s="2" t="str">
        <f>IFERROR(__xludf.DUMMYFUNCTION("""COMPUTED_VALUE"""),"For sale")</f>
        <v>For sale</v>
      </c>
      <c r="B1947" s="2" t="str">
        <f>IFERROR(__xludf.DUMMYFUNCTION("""COMPUTED_VALUE"""),"Imanta")</f>
        <v>Imanta</v>
      </c>
      <c r="C1947" s="2" t="str">
        <f>IFERROR(__xludf.DUMMYFUNCTION("""COMPUTED_VALUE"""),"Dammes 19")</f>
        <v>Dammes 19</v>
      </c>
      <c r="D1947" s="2">
        <f>IFERROR(__xludf.DUMMYFUNCTION("""COMPUTED_VALUE"""),2.0)</f>
        <v>2</v>
      </c>
      <c r="E1947" s="2">
        <f>IFERROR(__xludf.DUMMYFUNCTION("""COMPUTED_VALUE"""),50.0)</f>
        <v>50</v>
      </c>
      <c r="F1947" s="2">
        <f>IFERROR(__xludf.DUMMYFUNCTION("""COMPUTED_VALUE"""),2.0)</f>
        <v>2</v>
      </c>
      <c r="G1947" s="2">
        <f>IFERROR(__xludf.DUMMYFUNCTION("""COMPUTED_VALUE"""),5.0)</f>
        <v>5</v>
      </c>
      <c r="H1947" s="2" t="str">
        <f>IFERROR(__xludf.DUMMYFUNCTION("""COMPUTED_VALUE"""),"LT proj.")</f>
        <v>LT proj.</v>
      </c>
      <c r="I1947" s="2" t="str">
        <f>IFERROR(__xludf.DUMMYFUNCTION("""COMPUTED_VALUE"""),"Panel")</f>
        <v>Panel</v>
      </c>
      <c r="J1947" s="2" t="str">
        <f>IFERROR(__xludf.DUMMYFUNCTION("""COMPUTED_VALUE"""),"All amenities")</f>
        <v>All amenities</v>
      </c>
      <c r="K1947" s="2">
        <f>IFERROR(__xludf.DUMMYFUNCTION("""COMPUTED_VALUE"""),53000.0)</f>
        <v>53000</v>
      </c>
      <c r="L1947" s="2">
        <f>IFERROR(__xludf.DUMMYFUNCTION("""COMPUTED_VALUE"""),56.96275695)</f>
        <v>56.96275695</v>
      </c>
      <c r="M1947" s="2">
        <f>IFERROR(__xludf.DUMMYFUNCTION("""COMPUTED_VALUE"""),24.0111986479723)</f>
        <v>24.01119865</v>
      </c>
    </row>
    <row r="1948">
      <c r="A1948" s="2" t="str">
        <f>IFERROR(__xludf.DUMMYFUNCTION("""COMPUTED_VALUE"""),"For sale")</f>
        <v>For sale</v>
      </c>
      <c r="B1948" s="2" t="str">
        <f>IFERROR(__xludf.DUMMYFUNCTION("""COMPUTED_VALUE"""),"Purvciems")</f>
        <v>Purvciems</v>
      </c>
      <c r="C1948" s="2" t="str">
        <f>IFERROR(__xludf.DUMMYFUNCTION("""COMPUTED_VALUE"""),"Nīcgales 47")</f>
        <v>Nīcgales 47</v>
      </c>
      <c r="D1948" s="2">
        <f>IFERROR(__xludf.DUMMYFUNCTION("""COMPUTED_VALUE"""),4.0)</f>
        <v>4</v>
      </c>
      <c r="E1948" s="2">
        <f>IFERROR(__xludf.DUMMYFUNCTION("""COMPUTED_VALUE"""),91.0)</f>
        <v>91</v>
      </c>
      <c r="F1948" s="2">
        <f>IFERROR(__xludf.DUMMYFUNCTION("""COMPUTED_VALUE"""),3.0)</f>
        <v>3</v>
      </c>
      <c r="G1948" s="2">
        <f>IFERROR(__xludf.DUMMYFUNCTION("""COMPUTED_VALUE"""),5.0)</f>
        <v>5</v>
      </c>
      <c r="H1948" s="2">
        <f>IFERROR(__xludf.DUMMYFUNCTION("""COMPUTED_VALUE"""),103.0)</f>
        <v>103</v>
      </c>
      <c r="I1948" s="2" t="str">
        <f>IFERROR(__xludf.DUMMYFUNCTION("""COMPUTED_VALUE"""),"Brick-Panel")</f>
        <v>Brick-Panel</v>
      </c>
      <c r="J1948" s="2" t="str">
        <f>IFERROR(__xludf.DUMMYFUNCTION("""COMPUTED_VALUE"""),"All amenities")</f>
        <v>All amenities</v>
      </c>
      <c r="K1948" s="2">
        <f>IFERROR(__xludf.DUMMYFUNCTION("""COMPUTED_VALUE"""),100000.0)</f>
        <v>100000</v>
      </c>
      <c r="L1948" s="2">
        <f>IFERROR(__xludf.DUMMYFUNCTION("""COMPUTED_VALUE"""),56.9461335)</f>
        <v>56.9461335</v>
      </c>
      <c r="M1948" s="2">
        <f>IFERROR(__xludf.DUMMYFUNCTION("""COMPUTED_VALUE"""),24.1731748942272)</f>
        <v>24.17317489</v>
      </c>
    </row>
    <row r="1949">
      <c r="A1949" s="2" t="str">
        <f>IFERROR(__xludf.DUMMYFUNCTION("""COMPUTED_VALUE"""),"For rent")</f>
        <v>For rent</v>
      </c>
      <c r="B1949" s="2" t="str">
        <f>IFERROR(__xludf.DUMMYFUNCTION("""COMPUTED_VALUE"""),"Pļavnieki")</f>
        <v>Pļavnieki</v>
      </c>
      <c r="C1949" s="2" t="str">
        <f>IFERROR(__xludf.DUMMYFUNCTION("""COMPUTED_VALUE"""),"Rudens 5")</f>
        <v>Rudens 5</v>
      </c>
      <c r="D1949" s="2">
        <f>IFERROR(__xludf.DUMMYFUNCTION("""COMPUTED_VALUE"""),1.0)</f>
        <v>1</v>
      </c>
      <c r="E1949" s="2">
        <f>IFERROR(__xludf.DUMMYFUNCTION("""COMPUTED_VALUE"""),35.0)</f>
        <v>35</v>
      </c>
      <c r="F1949" s="2">
        <f>IFERROR(__xludf.DUMMYFUNCTION("""COMPUTED_VALUE"""),5.0)</f>
        <v>5</v>
      </c>
      <c r="G1949" s="2">
        <f>IFERROR(__xludf.DUMMYFUNCTION("""COMPUTED_VALUE"""),9.0)</f>
        <v>9</v>
      </c>
      <c r="H1949" s="2">
        <f>IFERROR(__xludf.DUMMYFUNCTION("""COMPUTED_VALUE"""),602.0)</f>
        <v>602</v>
      </c>
      <c r="I1949" s="2" t="str">
        <f>IFERROR(__xludf.DUMMYFUNCTION("""COMPUTED_VALUE"""),"Panel")</f>
        <v>Panel</v>
      </c>
      <c r="J1949" s="2" t="str">
        <f>IFERROR(__xludf.DUMMYFUNCTION("""COMPUTED_VALUE"""),"All amenities")</f>
        <v>All amenities</v>
      </c>
      <c r="K1949" s="2">
        <f>IFERROR(__xludf.DUMMYFUNCTION("""COMPUTED_VALUE"""),230.0)</f>
        <v>230</v>
      </c>
      <c r="L1949" s="2">
        <f>IFERROR(__xludf.DUMMYFUNCTION("""COMPUTED_VALUE"""),56.93860365)</f>
        <v>56.93860365</v>
      </c>
      <c r="M1949" s="2">
        <f>IFERROR(__xludf.DUMMYFUNCTION("""COMPUTED_VALUE"""),24.1990404998415)</f>
        <v>24.1990405</v>
      </c>
    </row>
    <row r="1950">
      <c r="A1950" s="2" t="str">
        <f>IFERROR(__xludf.DUMMYFUNCTION("""COMPUTED_VALUE"""),"For sale")</f>
        <v>For sale</v>
      </c>
      <c r="B1950" s="2" t="str">
        <f>IFERROR(__xludf.DUMMYFUNCTION("""COMPUTED_VALUE"""),"centrs")</f>
        <v>centrs</v>
      </c>
      <c r="C1950" s="2" t="str">
        <f>IFERROR(__xludf.DUMMYFUNCTION("""COMPUTED_VALUE"""),"Skolas 20")</f>
        <v>Skolas 20</v>
      </c>
      <c r="D1950" s="2">
        <f>IFERROR(__xludf.DUMMYFUNCTION("""COMPUTED_VALUE"""),3.0)</f>
        <v>3</v>
      </c>
      <c r="E1950" s="2">
        <f>IFERROR(__xludf.DUMMYFUNCTION("""COMPUTED_VALUE"""),112.0)</f>
        <v>112</v>
      </c>
      <c r="F1950" s="2">
        <f>IFERROR(__xludf.DUMMYFUNCTION("""COMPUTED_VALUE"""),2.0)</f>
        <v>2</v>
      </c>
      <c r="G1950" s="2">
        <f>IFERROR(__xludf.DUMMYFUNCTION("""COMPUTED_VALUE"""),6.0)</f>
        <v>6</v>
      </c>
      <c r="H1950" s="2" t="str">
        <f>IFERROR(__xludf.DUMMYFUNCTION("""COMPUTED_VALUE"""),"Renov.")</f>
        <v>Renov.</v>
      </c>
      <c r="I1950" s="2" t="str">
        <f>IFERROR(__xludf.DUMMYFUNCTION("""COMPUTED_VALUE"""),"Masonry")</f>
        <v>Masonry</v>
      </c>
      <c r="J1950" s="2" t="str">
        <f>IFERROR(__xludf.DUMMYFUNCTION("""COMPUTED_VALUE"""),"All amenities")</f>
        <v>All amenities</v>
      </c>
      <c r="K1950" s="2">
        <f>IFERROR(__xludf.DUMMYFUNCTION("""COMPUTED_VALUE"""),320000.0)</f>
        <v>320000</v>
      </c>
      <c r="L1950" s="2">
        <f>IFERROR(__xludf.DUMMYFUNCTION("""COMPUTED_VALUE"""),48.2969502)</f>
        <v>48.2969502</v>
      </c>
      <c r="M1950" s="2">
        <f>IFERROR(__xludf.DUMMYFUNCTION("""COMPUTED_VALUE"""),-100.7081938)</f>
        <v>-100.7081938</v>
      </c>
    </row>
    <row r="1951">
      <c r="A1951" s="2" t="str">
        <f>IFERROR(__xludf.DUMMYFUNCTION("""COMPUTED_VALUE"""),"For sale")</f>
        <v>For sale</v>
      </c>
      <c r="B1951" s="2" t="str">
        <f>IFERROR(__xludf.DUMMYFUNCTION("""COMPUTED_VALUE"""),"centrs")</f>
        <v>centrs</v>
      </c>
      <c r="C1951" s="2" t="str">
        <f>IFERROR(__xludf.DUMMYFUNCTION("""COMPUTED_VALUE"""),"Stabu 11")</f>
        <v>Stabu 11</v>
      </c>
      <c r="D1951" s="2">
        <f>IFERROR(__xludf.DUMMYFUNCTION("""COMPUTED_VALUE"""),4.0)</f>
        <v>4</v>
      </c>
      <c r="E1951" s="2">
        <f>IFERROR(__xludf.DUMMYFUNCTION("""COMPUTED_VALUE"""),89.0)</f>
        <v>89</v>
      </c>
      <c r="F1951" s="2">
        <f>IFERROR(__xludf.DUMMYFUNCTION("""COMPUTED_VALUE"""),2.0)</f>
        <v>2</v>
      </c>
      <c r="G1951" s="2">
        <f>IFERROR(__xludf.DUMMYFUNCTION("""COMPUTED_VALUE"""),6.0)</f>
        <v>6</v>
      </c>
      <c r="H1951" s="2" t="str">
        <f>IFERROR(__xludf.DUMMYFUNCTION("""COMPUTED_VALUE"""),"Specpr.")</f>
        <v>Specpr.</v>
      </c>
      <c r="I1951" s="2" t="str">
        <f>IFERROR(__xludf.DUMMYFUNCTION("""COMPUTED_VALUE"""),"Panel-Brick")</f>
        <v>Panel-Brick</v>
      </c>
      <c r="J1951" s="2" t="str">
        <f>IFERROR(__xludf.DUMMYFUNCTION("""COMPUTED_VALUE"""),"All amenities")</f>
        <v>All amenities</v>
      </c>
      <c r="K1951" s="2">
        <f>IFERROR(__xludf.DUMMYFUNCTION("""COMPUTED_VALUE"""),199500.0)</f>
        <v>199500</v>
      </c>
      <c r="L1951" s="2">
        <f>IFERROR(__xludf.DUMMYFUNCTION("""COMPUTED_VALUE"""),56.95926715)</f>
        <v>56.95926715</v>
      </c>
      <c r="M1951" s="2">
        <f>IFERROR(__xludf.DUMMYFUNCTION("""COMPUTED_VALUE"""),24.1227600784641)</f>
        <v>24.12276008</v>
      </c>
    </row>
    <row r="1952">
      <c r="A1952" s="2" t="str">
        <f>IFERROR(__xludf.DUMMYFUNCTION("""COMPUTED_VALUE"""),"For sale")</f>
        <v>For sale</v>
      </c>
      <c r="B1952" s="2" t="str">
        <f>IFERROR(__xludf.DUMMYFUNCTION("""COMPUTED_VALUE"""),"Pļavnieki")</f>
        <v>Pļavnieki</v>
      </c>
      <c r="C1952" s="2" t="str">
        <f>IFERROR(__xludf.DUMMYFUNCTION("""COMPUTED_VALUE"""),"Pavasara g. 5")</f>
        <v>Pavasara g. 5</v>
      </c>
      <c r="D1952" s="2">
        <f>IFERROR(__xludf.DUMMYFUNCTION("""COMPUTED_VALUE"""),4.0)</f>
        <v>4</v>
      </c>
      <c r="E1952" s="2">
        <f>IFERROR(__xludf.DUMMYFUNCTION("""COMPUTED_VALUE"""),76.0)</f>
        <v>76</v>
      </c>
      <c r="F1952" s="2">
        <f>IFERROR(__xludf.DUMMYFUNCTION("""COMPUTED_VALUE"""),6.0)</f>
        <v>6</v>
      </c>
      <c r="G1952" s="2">
        <f>IFERROR(__xludf.DUMMYFUNCTION("""COMPUTED_VALUE"""),9.0)</f>
        <v>9</v>
      </c>
      <c r="H1952" s="2">
        <f>IFERROR(__xludf.DUMMYFUNCTION("""COMPUTED_VALUE"""),602.0)</f>
        <v>602</v>
      </c>
      <c r="I1952" s="2" t="str">
        <f>IFERROR(__xludf.DUMMYFUNCTION("""COMPUTED_VALUE"""),"Panel")</f>
        <v>Panel</v>
      </c>
      <c r="J1952" s="2" t="str">
        <f>IFERROR(__xludf.DUMMYFUNCTION("""COMPUTED_VALUE"""),"All amenities")</f>
        <v>All amenities</v>
      </c>
      <c r="K1952" s="2">
        <f>IFERROR(__xludf.DUMMYFUNCTION("""COMPUTED_VALUE"""),89000.0)</f>
        <v>89000</v>
      </c>
      <c r="L1952" s="2">
        <f>IFERROR(__xludf.DUMMYFUNCTION("""COMPUTED_VALUE"""),56.9346184)</f>
        <v>56.9346184</v>
      </c>
      <c r="M1952" s="2">
        <f>IFERROR(__xludf.DUMMYFUNCTION("""COMPUTED_VALUE"""),24.1980807)</f>
        <v>24.1980807</v>
      </c>
    </row>
    <row r="1953">
      <c r="A1953" s="2" t="str">
        <f>IFERROR(__xludf.DUMMYFUNCTION("""COMPUTED_VALUE"""),"For sale")</f>
        <v>For sale</v>
      </c>
      <c r="B1953" s="2" t="str">
        <f>IFERROR(__xludf.DUMMYFUNCTION("""COMPUTED_VALUE"""),"Čiekurkalns")</f>
        <v>Čiekurkalns</v>
      </c>
      <c r="C1953" s="2" t="str">
        <f>IFERROR(__xludf.DUMMYFUNCTION("""COMPUTED_VALUE"""),"Tēraudlietuves 10")</f>
        <v>Tēraudlietuves 10</v>
      </c>
      <c r="D1953" s="2">
        <f>IFERROR(__xludf.DUMMYFUNCTION("""COMPUTED_VALUE"""),1.0)</f>
        <v>1</v>
      </c>
      <c r="E1953" s="2">
        <f>IFERROR(__xludf.DUMMYFUNCTION("""COMPUTED_VALUE"""),31.0)</f>
        <v>31</v>
      </c>
      <c r="F1953" s="2">
        <f>IFERROR(__xludf.DUMMYFUNCTION("""COMPUTED_VALUE"""),1.0)</f>
        <v>1</v>
      </c>
      <c r="G1953" s="2">
        <f>IFERROR(__xludf.DUMMYFUNCTION("""COMPUTED_VALUE"""),2.0)</f>
        <v>2</v>
      </c>
      <c r="H1953" s="2" t="str">
        <f>IFERROR(__xludf.DUMMYFUNCTION("""COMPUTED_VALUE"""),"P. kara")</f>
        <v>P. kara</v>
      </c>
      <c r="I1953" s="2" t="str">
        <f>IFERROR(__xludf.DUMMYFUNCTION("""COMPUTED_VALUE"""),"Wood")</f>
        <v>Wood</v>
      </c>
      <c r="J1953" s="2" t="str">
        <f>IFERROR(__xludf.DUMMYFUNCTION("""COMPUTED_VALUE"""),"Partial amenities")</f>
        <v>Partial amenities</v>
      </c>
      <c r="K1953" s="2">
        <f>IFERROR(__xludf.DUMMYFUNCTION("""COMPUTED_VALUE"""),11900.0)</f>
        <v>11900</v>
      </c>
      <c r="L1953" s="2">
        <f>IFERROR(__xludf.DUMMYFUNCTION("""COMPUTED_VALUE"""),56.98125695)</f>
        <v>56.98125695</v>
      </c>
      <c r="M1953" s="2">
        <f>IFERROR(__xludf.DUMMYFUNCTION("""COMPUTED_VALUE"""),24.1517526006206)</f>
        <v>24.1517526</v>
      </c>
    </row>
    <row r="1954">
      <c r="A1954" s="2" t="str">
        <f>IFERROR(__xludf.DUMMYFUNCTION("""COMPUTED_VALUE"""),"For rent")</f>
        <v>For rent</v>
      </c>
      <c r="B1954" s="2" t="str">
        <f>IFERROR(__xludf.DUMMYFUNCTION("""COMPUTED_VALUE"""),"centrs")</f>
        <v>centrs</v>
      </c>
      <c r="C1954" s="2" t="str">
        <f>IFERROR(__xludf.DUMMYFUNCTION("""COMPUTED_VALUE"""),"Vagonu 22")</f>
        <v>Vagonu 22</v>
      </c>
      <c r="D1954" s="2">
        <f>IFERROR(__xludf.DUMMYFUNCTION("""COMPUTED_VALUE"""),1.0)</f>
        <v>1</v>
      </c>
      <c r="E1954" s="2">
        <f>IFERROR(__xludf.DUMMYFUNCTION("""COMPUTED_VALUE"""),30.0)</f>
        <v>30</v>
      </c>
      <c r="F1954" s="2">
        <f>IFERROR(__xludf.DUMMYFUNCTION("""COMPUTED_VALUE"""),3.0)</f>
        <v>3</v>
      </c>
      <c r="G1954" s="2">
        <f>IFERROR(__xludf.DUMMYFUNCTION("""COMPUTED_VALUE"""),5.0)</f>
        <v>5</v>
      </c>
      <c r="H1954" s="2" t="str">
        <f>IFERROR(__xludf.DUMMYFUNCTION("""COMPUTED_VALUE"""),"Renov.")</f>
        <v>Renov.</v>
      </c>
      <c r="I1954" s="2" t="str">
        <f>IFERROR(__xludf.DUMMYFUNCTION("""COMPUTED_VALUE"""),"Brick")</f>
        <v>Brick</v>
      </c>
      <c r="J1954" s="2" t="str">
        <f>IFERROR(__xludf.DUMMYFUNCTION("""COMPUTED_VALUE"""),"All amenities")</f>
        <v>All amenities</v>
      </c>
      <c r="K1954" s="2">
        <f>IFERROR(__xludf.DUMMYFUNCTION("""COMPUTED_VALUE"""),400.0)</f>
        <v>400</v>
      </c>
      <c r="L1954" s="2">
        <f>IFERROR(__xludf.DUMMYFUNCTION("""COMPUTED_VALUE"""),56.94863315)</f>
        <v>56.94863315</v>
      </c>
      <c r="M1954" s="2">
        <f>IFERROR(__xludf.DUMMYFUNCTION("""COMPUTED_VALUE"""),24.1500322)</f>
        <v>24.1500322</v>
      </c>
    </row>
    <row r="1955">
      <c r="A1955" s="2" t="str">
        <f>IFERROR(__xludf.DUMMYFUNCTION("""COMPUTED_VALUE"""),"For rent")</f>
        <v>For rent</v>
      </c>
      <c r="B1955" s="2" t="str">
        <f>IFERROR(__xludf.DUMMYFUNCTION("""COMPUTED_VALUE"""),"Imanta")</f>
        <v>Imanta</v>
      </c>
      <c r="C1955" s="2" t="str">
        <f>IFERROR(__xludf.DUMMYFUNCTION("""COMPUTED_VALUE"""),"Rigondas g. 7")</f>
        <v>Rigondas g. 7</v>
      </c>
      <c r="D1955" s="2">
        <f>IFERROR(__xludf.DUMMYFUNCTION("""COMPUTED_VALUE"""),1.0)</f>
        <v>1</v>
      </c>
      <c r="E1955" s="2">
        <f>IFERROR(__xludf.DUMMYFUNCTION("""COMPUTED_VALUE"""),30.0)</f>
        <v>30</v>
      </c>
      <c r="F1955" s="2">
        <f>IFERROR(__xludf.DUMMYFUNCTION("""COMPUTED_VALUE"""),12.0)</f>
        <v>12</v>
      </c>
      <c r="G1955" s="2">
        <f>IFERROR(__xludf.DUMMYFUNCTION("""COMPUTED_VALUE"""),12.0)</f>
        <v>12</v>
      </c>
      <c r="H1955" s="2" t="str">
        <f>IFERROR(__xludf.DUMMYFUNCTION("""COMPUTED_VALUE"""),"Čehu pr.")</f>
        <v>Čehu pr.</v>
      </c>
      <c r="I1955" s="2" t="str">
        <f>IFERROR(__xludf.DUMMYFUNCTION("""COMPUTED_VALUE"""),"Brick-Panel")</f>
        <v>Brick-Panel</v>
      </c>
      <c r="J1955" s="2" t="str">
        <f>IFERROR(__xludf.DUMMYFUNCTION("""COMPUTED_VALUE"""),"All amenities")</f>
        <v>All amenities</v>
      </c>
      <c r="K1955" s="2">
        <f>IFERROR(__xludf.DUMMYFUNCTION("""COMPUTED_VALUE"""),290.0)</f>
        <v>290</v>
      </c>
      <c r="L1955" s="2">
        <f>IFERROR(__xludf.DUMMYFUNCTION("""COMPUTED_VALUE"""),56.9648157)</f>
        <v>56.9648157</v>
      </c>
      <c r="M1955" s="2">
        <f>IFERROR(__xludf.DUMMYFUNCTION("""COMPUTED_VALUE"""),24.0190534)</f>
        <v>24.0190534</v>
      </c>
    </row>
    <row r="1956">
      <c r="A1956" s="2" t="str">
        <f>IFERROR(__xludf.DUMMYFUNCTION("""COMPUTED_VALUE"""),"For sale")</f>
        <v>For sale</v>
      </c>
      <c r="B1956" s="2" t="str">
        <f>IFERROR(__xludf.DUMMYFUNCTION("""COMPUTED_VALUE"""),"Sarkandaugava")</f>
        <v>Sarkandaugava</v>
      </c>
      <c r="C1956" s="2" t="str">
        <f>IFERROR(__xludf.DUMMYFUNCTION("""COMPUTED_VALUE"""),"Sīmaņa 9a")</f>
        <v>Sīmaņa 9a</v>
      </c>
      <c r="D1956" s="2">
        <f>IFERROR(__xludf.DUMMYFUNCTION("""COMPUTED_VALUE"""),2.0)</f>
        <v>2</v>
      </c>
      <c r="E1956" s="2">
        <f>IFERROR(__xludf.DUMMYFUNCTION("""COMPUTED_VALUE"""),32.0)</f>
        <v>32</v>
      </c>
      <c r="F1956" s="2">
        <f>IFERROR(__xludf.DUMMYFUNCTION("""COMPUTED_VALUE"""),1.0)</f>
        <v>1</v>
      </c>
      <c r="G1956" s="2">
        <f>IFERROR(__xludf.DUMMYFUNCTION("""COMPUTED_VALUE"""),4.0)</f>
        <v>4</v>
      </c>
      <c r="H1956" s="2" t="str">
        <f>IFERROR(__xludf.DUMMYFUNCTION("""COMPUTED_VALUE"""),"P. kara")</f>
        <v>P. kara</v>
      </c>
      <c r="I1956" s="2" t="str">
        <f>IFERROR(__xludf.DUMMYFUNCTION("""COMPUTED_VALUE"""),"Masonry")</f>
        <v>Masonry</v>
      </c>
      <c r="J1956" s="2" t="str">
        <f>IFERROR(__xludf.DUMMYFUNCTION("""COMPUTED_VALUE"""),"All amenities")</f>
        <v>All amenities</v>
      </c>
      <c r="K1956" s="2">
        <f>IFERROR(__xludf.DUMMYFUNCTION("""COMPUTED_VALUE"""),19000.0)</f>
        <v>19000</v>
      </c>
      <c r="L1956" s="2">
        <f>IFERROR(__xludf.DUMMYFUNCTION("""COMPUTED_VALUE"""),56.99391265)</f>
        <v>56.99391265</v>
      </c>
      <c r="M1956" s="2">
        <f>IFERROR(__xludf.DUMMYFUNCTION("""COMPUTED_VALUE"""),24.1296989883333)</f>
        <v>24.12969899</v>
      </c>
    </row>
    <row r="1957">
      <c r="A1957" s="2" t="str">
        <f>IFERROR(__xludf.DUMMYFUNCTION("""COMPUTED_VALUE"""),"For rent")</f>
        <v>For rent</v>
      </c>
      <c r="B1957" s="2" t="str">
        <f>IFERROR(__xludf.DUMMYFUNCTION("""COMPUTED_VALUE"""),"centrs")</f>
        <v>centrs</v>
      </c>
      <c r="C1957" s="2" t="str">
        <f>IFERROR(__xludf.DUMMYFUNCTION("""COMPUTED_VALUE"""),"Ausekļa 7")</f>
        <v>Ausekļa 7</v>
      </c>
      <c r="D1957" s="2">
        <f>IFERROR(__xludf.DUMMYFUNCTION("""COMPUTED_VALUE"""),2.0)</f>
        <v>2</v>
      </c>
      <c r="E1957" s="2">
        <f>IFERROR(__xludf.DUMMYFUNCTION("""COMPUTED_VALUE"""),77.0)</f>
        <v>77</v>
      </c>
      <c r="F1957" s="2">
        <f>IFERROR(__xludf.DUMMYFUNCTION("""COMPUTED_VALUE"""),3.0)</f>
        <v>3</v>
      </c>
      <c r="G1957" s="2">
        <f>IFERROR(__xludf.DUMMYFUNCTION("""COMPUTED_VALUE"""),6.0)</f>
        <v>6</v>
      </c>
      <c r="H1957" s="2" t="str">
        <f>IFERROR(__xludf.DUMMYFUNCTION("""COMPUTED_VALUE"""),"P. kara")</f>
        <v>P. kara</v>
      </c>
      <c r="I1957" s="2" t="str">
        <f>IFERROR(__xludf.DUMMYFUNCTION("""COMPUTED_VALUE"""),"Masonry")</f>
        <v>Masonry</v>
      </c>
      <c r="J1957" s="2" t="str">
        <f>IFERROR(__xludf.DUMMYFUNCTION("""COMPUTED_VALUE"""),"All amenities")</f>
        <v>All amenities</v>
      </c>
      <c r="K1957" s="2">
        <f>IFERROR(__xludf.DUMMYFUNCTION("""COMPUTED_VALUE"""),700.0)</f>
        <v>700</v>
      </c>
      <c r="L1957" s="2">
        <f>IFERROR(__xludf.DUMMYFUNCTION("""COMPUTED_VALUE"""),56.96104425)</f>
        <v>56.96104425</v>
      </c>
      <c r="M1957" s="2">
        <f>IFERROR(__xludf.DUMMYFUNCTION("""COMPUTED_VALUE"""),24.0996557553473)</f>
        <v>24.09965576</v>
      </c>
    </row>
    <row r="1958">
      <c r="A1958" s="2" t="str">
        <f>IFERROR(__xludf.DUMMYFUNCTION("""COMPUTED_VALUE"""),"For sale")</f>
        <v>For sale</v>
      </c>
      <c r="B1958" s="2" t="str">
        <f>IFERROR(__xludf.DUMMYFUNCTION("""COMPUTED_VALUE"""),"Maskavas priekšpilsēta")</f>
        <v>Maskavas priekšpilsēta</v>
      </c>
      <c r="C1958" s="2" t="str">
        <f>IFERROR(__xludf.DUMMYFUNCTION("""COMPUTED_VALUE"""),"Maskavas 222b")</f>
        <v>Maskavas 222b</v>
      </c>
      <c r="D1958" s="2">
        <f>IFERROR(__xludf.DUMMYFUNCTION("""COMPUTED_VALUE"""),2.0)</f>
        <v>2</v>
      </c>
      <c r="E1958" s="2">
        <f>IFERROR(__xludf.DUMMYFUNCTION("""COMPUTED_VALUE"""),47.0)</f>
        <v>47</v>
      </c>
      <c r="F1958" s="2">
        <f>IFERROR(__xludf.DUMMYFUNCTION("""COMPUTED_VALUE"""),4.0)</f>
        <v>4</v>
      </c>
      <c r="G1958" s="2">
        <f>IFERROR(__xludf.DUMMYFUNCTION("""COMPUTED_VALUE"""),9.0)</f>
        <v>9</v>
      </c>
      <c r="H1958" s="2">
        <f>IFERROR(__xludf.DUMMYFUNCTION("""COMPUTED_VALUE"""),467.0)</f>
        <v>467</v>
      </c>
      <c r="I1958" s="2" t="str">
        <f>IFERROR(__xludf.DUMMYFUNCTION("""COMPUTED_VALUE"""),"Panel")</f>
        <v>Panel</v>
      </c>
      <c r="J1958" s="2" t="str">
        <f>IFERROR(__xludf.DUMMYFUNCTION("""COMPUTED_VALUE"""),"All amenities")</f>
        <v>All amenities</v>
      </c>
      <c r="K1958" s="2">
        <f>IFERROR(__xludf.DUMMYFUNCTION("""COMPUTED_VALUE"""),51000.0)</f>
        <v>51000</v>
      </c>
      <c r="L1958" s="2">
        <f>IFERROR(__xludf.DUMMYFUNCTION("""COMPUTED_VALUE"""),56.9239084)</f>
        <v>56.9239084</v>
      </c>
      <c r="M1958" s="2">
        <f>IFERROR(__xludf.DUMMYFUNCTION("""COMPUTED_VALUE"""),24.1674059998207)</f>
        <v>24.167406</v>
      </c>
    </row>
    <row r="1959">
      <c r="A1959" s="2" t="str">
        <f>IFERROR(__xludf.DUMMYFUNCTION("""COMPUTED_VALUE"""),"For sale")</f>
        <v>For sale</v>
      </c>
      <c r="B1959" s="2" t="str">
        <f>IFERROR(__xludf.DUMMYFUNCTION("""COMPUTED_VALUE"""),"Imanta")</f>
        <v>Imanta</v>
      </c>
      <c r="C1959" s="2" t="str">
        <f>IFERROR(__xludf.DUMMYFUNCTION("""COMPUTED_VALUE"""),"M. Krūmu 18")</f>
        <v>M. Krūmu 18</v>
      </c>
      <c r="D1959" s="2">
        <f>IFERROR(__xludf.DUMMYFUNCTION("""COMPUTED_VALUE"""),2.0)</f>
        <v>2</v>
      </c>
      <c r="E1959" s="2">
        <f>IFERROR(__xludf.DUMMYFUNCTION("""COMPUTED_VALUE"""),50.0)</f>
        <v>50</v>
      </c>
      <c r="F1959" s="2">
        <f>IFERROR(__xludf.DUMMYFUNCTION("""COMPUTED_VALUE"""),8.0)</f>
        <v>8</v>
      </c>
      <c r="G1959" s="2">
        <f>IFERROR(__xludf.DUMMYFUNCTION("""COMPUTED_VALUE"""),9.0)</f>
        <v>9</v>
      </c>
      <c r="H1959" s="2">
        <f>IFERROR(__xludf.DUMMYFUNCTION("""COMPUTED_VALUE"""),602.0)</f>
        <v>602</v>
      </c>
      <c r="I1959" s="2" t="str">
        <f>IFERROR(__xludf.DUMMYFUNCTION("""COMPUTED_VALUE"""),"Panel")</f>
        <v>Panel</v>
      </c>
      <c r="J1959" s="2" t="str">
        <f>IFERROR(__xludf.DUMMYFUNCTION("""COMPUTED_VALUE"""),"All amenities")</f>
        <v>All amenities</v>
      </c>
      <c r="K1959" s="2">
        <f>IFERROR(__xludf.DUMMYFUNCTION("""COMPUTED_VALUE"""),58000.0)</f>
        <v>58000</v>
      </c>
      <c r="L1959" s="2">
        <f>IFERROR(__xludf.DUMMYFUNCTION("""COMPUTED_VALUE"""),56.9613122)</f>
        <v>56.9613122</v>
      </c>
      <c r="M1959" s="2">
        <f>IFERROR(__xludf.DUMMYFUNCTION("""COMPUTED_VALUE"""),24.0039680744918)</f>
        <v>24.00396807</v>
      </c>
    </row>
    <row r="1960">
      <c r="A1960" s="2" t="str">
        <f>IFERROR(__xludf.DUMMYFUNCTION("""COMPUTED_VALUE"""),"For sale")</f>
        <v>For sale</v>
      </c>
      <c r="B1960" s="2" t="str">
        <f>IFERROR(__xludf.DUMMYFUNCTION("""COMPUTED_VALUE"""),"Mežaparks")</f>
        <v>Mežaparks</v>
      </c>
      <c r="C1960" s="2" t="str">
        <f>IFERROR(__xludf.DUMMYFUNCTION("""COMPUTED_VALUE"""),"Ķempes 4")</f>
        <v>Ķempes 4</v>
      </c>
      <c r="D1960" s="2">
        <f>IFERROR(__xludf.DUMMYFUNCTION("""COMPUTED_VALUE"""),3.0)</f>
        <v>3</v>
      </c>
      <c r="E1960" s="2">
        <f>IFERROR(__xludf.DUMMYFUNCTION("""COMPUTED_VALUE"""),140.0)</f>
        <v>140</v>
      </c>
      <c r="F1960" s="2">
        <f>IFERROR(__xludf.DUMMYFUNCTION("""COMPUTED_VALUE"""),8.0)</f>
        <v>8</v>
      </c>
      <c r="G1960" s="2">
        <f>IFERROR(__xludf.DUMMYFUNCTION("""COMPUTED_VALUE"""),12.0)</f>
        <v>12</v>
      </c>
      <c r="H1960" s="2" t="str">
        <f>IFERROR(__xludf.DUMMYFUNCTION("""COMPUTED_VALUE"""),"Jaun.")</f>
        <v>Jaun.</v>
      </c>
      <c r="I1960" s="2" t="str">
        <f>IFERROR(__xludf.DUMMYFUNCTION("""COMPUTED_VALUE"""),"Masonry")</f>
        <v>Masonry</v>
      </c>
      <c r="J1960" s="2" t="str">
        <f>IFERROR(__xludf.DUMMYFUNCTION("""COMPUTED_VALUE"""),"All amenities")</f>
        <v>All amenities</v>
      </c>
      <c r="K1960" s="2">
        <f>IFERROR(__xludf.DUMMYFUNCTION("""COMPUTED_VALUE"""),179800.0)</f>
        <v>179800</v>
      </c>
      <c r="L1960" s="2">
        <f>IFERROR(__xludf.DUMMYFUNCTION("""COMPUTED_VALUE"""),56.9943642)</f>
        <v>56.9943642</v>
      </c>
      <c r="M1960" s="2">
        <f>IFERROR(__xludf.DUMMYFUNCTION("""COMPUTED_VALUE"""),24.1661266885749)</f>
        <v>24.16612669</v>
      </c>
    </row>
    <row r="1961">
      <c r="A1961" s="2" t="str">
        <f>IFERROR(__xludf.DUMMYFUNCTION("""COMPUTED_VALUE"""),"For rent")</f>
        <v>For rent</v>
      </c>
      <c r="B1961" s="2" t="str">
        <f>IFERROR(__xludf.DUMMYFUNCTION("""COMPUTED_VALUE"""),"centrs")</f>
        <v>centrs</v>
      </c>
      <c r="C1961" s="2" t="str">
        <f>IFERROR(__xludf.DUMMYFUNCTION("""COMPUTED_VALUE"""),"Stabu 70")</f>
        <v>Stabu 70</v>
      </c>
      <c r="D1961" s="2">
        <f>IFERROR(__xludf.DUMMYFUNCTION("""COMPUTED_VALUE"""),4.0)</f>
        <v>4</v>
      </c>
      <c r="E1961" s="2">
        <f>IFERROR(__xludf.DUMMYFUNCTION("""COMPUTED_VALUE"""),111.3)</f>
        <v>111.3</v>
      </c>
      <c r="F1961" s="2">
        <f>IFERROR(__xludf.DUMMYFUNCTION("""COMPUTED_VALUE"""),4.0)</f>
        <v>4</v>
      </c>
      <c r="G1961" s="2">
        <f>IFERROR(__xludf.DUMMYFUNCTION("""COMPUTED_VALUE"""),5.0)</f>
        <v>5</v>
      </c>
      <c r="H1961" s="2" t="str">
        <f>IFERROR(__xludf.DUMMYFUNCTION("""COMPUTED_VALUE"""),"P. kara")</f>
        <v>P. kara</v>
      </c>
      <c r="I1961" s="2" t="str">
        <f>IFERROR(__xludf.DUMMYFUNCTION("""COMPUTED_VALUE"""),"Brick")</f>
        <v>Brick</v>
      </c>
      <c r="J1961" s="2" t="str">
        <f>IFERROR(__xludf.DUMMYFUNCTION("""COMPUTED_VALUE"""),"All amenities")</f>
        <v>All amenities</v>
      </c>
      <c r="K1961" s="2">
        <f>IFERROR(__xludf.DUMMYFUNCTION("""COMPUTED_VALUE"""),560.0)</f>
        <v>560</v>
      </c>
      <c r="L1961" s="2">
        <f>IFERROR(__xludf.DUMMYFUNCTION("""COMPUTED_VALUE"""),56.952235)</f>
        <v>56.952235</v>
      </c>
      <c r="M1961" s="2">
        <f>IFERROR(__xludf.DUMMYFUNCTION("""COMPUTED_VALUE"""),24.1366039)</f>
        <v>24.1366039</v>
      </c>
    </row>
    <row r="1962">
      <c r="A1962" s="2" t="str">
        <f>IFERROR(__xludf.DUMMYFUNCTION("""COMPUTED_VALUE"""),"For rent")</f>
        <v>For rent</v>
      </c>
      <c r="B1962" s="2" t="str">
        <f>IFERROR(__xludf.DUMMYFUNCTION("""COMPUTED_VALUE"""),"Ķengarags")</f>
        <v>Ķengarags</v>
      </c>
      <c r="C1962" s="2" t="str">
        <f>IFERROR(__xludf.DUMMYFUNCTION("""COMPUTED_VALUE"""),"Lokomotīves 48")</f>
        <v>Lokomotīves 48</v>
      </c>
      <c r="D1962" s="2">
        <f>IFERROR(__xludf.DUMMYFUNCTION("""COMPUTED_VALUE"""),2.0)</f>
        <v>2</v>
      </c>
      <c r="E1962" s="2">
        <f>IFERROR(__xludf.DUMMYFUNCTION("""COMPUTED_VALUE"""),49.0)</f>
        <v>49</v>
      </c>
      <c r="F1962" s="2">
        <f>IFERROR(__xludf.DUMMYFUNCTION("""COMPUTED_VALUE"""),2.0)</f>
        <v>2</v>
      </c>
      <c r="G1962" s="2">
        <f>IFERROR(__xludf.DUMMYFUNCTION("""COMPUTED_VALUE"""),5.0)</f>
        <v>5</v>
      </c>
      <c r="H1962" s="2" t="str">
        <f>IFERROR(__xludf.DUMMYFUNCTION("""COMPUTED_VALUE"""),"LT proj.")</f>
        <v>LT proj.</v>
      </c>
      <c r="I1962" s="2" t="str">
        <f>IFERROR(__xludf.DUMMYFUNCTION("""COMPUTED_VALUE"""),"Panel")</f>
        <v>Panel</v>
      </c>
      <c r="J1962" s="2" t="str">
        <f>IFERROR(__xludf.DUMMYFUNCTION("""COMPUTED_VALUE"""),"All amenities")</f>
        <v>All amenities</v>
      </c>
      <c r="K1962" s="2">
        <f>IFERROR(__xludf.DUMMYFUNCTION("""COMPUTED_VALUE"""),45.0)</f>
        <v>45</v>
      </c>
      <c r="L1962" s="2">
        <f>IFERROR(__xludf.DUMMYFUNCTION("""COMPUTED_VALUE"""),56.90837855)</f>
        <v>56.90837855</v>
      </c>
      <c r="M1962" s="2">
        <f>IFERROR(__xludf.DUMMYFUNCTION("""COMPUTED_VALUE"""),24.20066605)</f>
        <v>24.20066605</v>
      </c>
    </row>
    <row r="1963">
      <c r="A1963" s="2" t="str">
        <f>IFERROR(__xludf.DUMMYFUNCTION("""COMPUTED_VALUE"""),"For sale")</f>
        <v>For sale</v>
      </c>
      <c r="B1963" s="2" t="str">
        <f>IFERROR(__xludf.DUMMYFUNCTION("""COMPUTED_VALUE"""),"Mežaparks")</f>
        <v>Mežaparks</v>
      </c>
      <c r="C1963" s="2" t="str">
        <f>IFERROR(__xludf.DUMMYFUNCTION("""COMPUTED_VALUE"""),"Ezermalas 4")</f>
        <v>Ezermalas 4</v>
      </c>
      <c r="D1963" s="2">
        <f>IFERROR(__xludf.DUMMYFUNCTION("""COMPUTED_VALUE"""),4.0)</f>
        <v>4</v>
      </c>
      <c r="E1963" s="2">
        <f>IFERROR(__xludf.DUMMYFUNCTION("""COMPUTED_VALUE"""),75.0)</f>
        <v>75</v>
      </c>
      <c r="F1963" s="2">
        <f>IFERROR(__xludf.DUMMYFUNCTION("""COMPUTED_VALUE"""),2.0)</f>
        <v>2</v>
      </c>
      <c r="G1963" s="2">
        <f>IFERROR(__xludf.DUMMYFUNCTION("""COMPUTED_VALUE"""),5.0)</f>
        <v>5</v>
      </c>
      <c r="H1963" s="2" t="str">
        <f>IFERROR(__xludf.DUMMYFUNCTION("""COMPUTED_VALUE"""),"Specpr.")</f>
        <v>Specpr.</v>
      </c>
      <c r="I1963" s="2" t="str">
        <f>IFERROR(__xludf.DUMMYFUNCTION("""COMPUTED_VALUE"""),"Brick")</f>
        <v>Brick</v>
      </c>
      <c r="J1963" s="2" t="str">
        <f>IFERROR(__xludf.DUMMYFUNCTION("""COMPUTED_VALUE"""),"All amenities")</f>
        <v>All amenities</v>
      </c>
      <c r="K1963" s="2">
        <f>IFERROR(__xludf.DUMMYFUNCTION("""COMPUTED_VALUE"""),57000.0)</f>
        <v>57000</v>
      </c>
      <c r="L1963" s="2">
        <f>IFERROR(__xludf.DUMMYFUNCTION("""COMPUTED_VALUE"""),56.99320475)</f>
        <v>56.99320475</v>
      </c>
      <c r="M1963" s="2">
        <f>IFERROR(__xludf.DUMMYFUNCTION("""COMPUTED_VALUE"""),24.1917623735809)</f>
        <v>24.19176237</v>
      </c>
    </row>
    <row r="1964">
      <c r="A1964" s="2" t="str">
        <f>IFERROR(__xludf.DUMMYFUNCTION("""COMPUTED_VALUE"""),"For sale")</f>
        <v>For sale</v>
      </c>
      <c r="B1964" s="2" t="str">
        <f>IFERROR(__xludf.DUMMYFUNCTION("""COMPUTED_VALUE"""),"Āgenskalns")</f>
        <v>Āgenskalns</v>
      </c>
      <c r="C1964" s="2" t="str">
        <f>IFERROR(__xludf.DUMMYFUNCTION("""COMPUTED_VALUE"""),"Sabiles 8")</f>
        <v>Sabiles 8</v>
      </c>
      <c r="D1964" s="2">
        <f>IFERROR(__xludf.DUMMYFUNCTION("""COMPUTED_VALUE"""),3.0)</f>
        <v>3</v>
      </c>
      <c r="E1964" s="2">
        <f>IFERROR(__xludf.DUMMYFUNCTION("""COMPUTED_VALUE"""),90.0)</f>
        <v>90</v>
      </c>
      <c r="F1964" s="2">
        <f>IFERROR(__xludf.DUMMYFUNCTION("""COMPUTED_VALUE"""),2.0)</f>
        <v>2</v>
      </c>
      <c r="G1964" s="2">
        <f>IFERROR(__xludf.DUMMYFUNCTION("""COMPUTED_VALUE"""),3.0)</f>
        <v>3</v>
      </c>
      <c r="H1964" s="2" t="str">
        <f>IFERROR(__xludf.DUMMYFUNCTION("""COMPUTED_VALUE"""),"Jaun.")</f>
        <v>Jaun.</v>
      </c>
      <c r="I1964" s="2" t="str">
        <f>IFERROR(__xludf.DUMMYFUNCTION("""COMPUTED_VALUE"""),"Masonry")</f>
        <v>Masonry</v>
      </c>
      <c r="J1964" s="2" t="str">
        <f>IFERROR(__xludf.DUMMYFUNCTION("""COMPUTED_VALUE"""),"All amenities")</f>
        <v>All amenities</v>
      </c>
      <c r="K1964" s="2">
        <f>IFERROR(__xludf.DUMMYFUNCTION("""COMPUTED_VALUE"""),144200.0)</f>
        <v>144200</v>
      </c>
      <c r="L1964" s="2">
        <f>IFERROR(__xludf.DUMMYFUNCTION("""COMPUTED_VALUE"""),56.9394528)</f>
        <v>56.9394528</v>
      </c>
      <c r="M1964" s="2">
        <f>IFERROR(__xludf.DUMMYFUNCTION("""COMPUTED_VALUE"""),24.0668604)</f>
        <v>24.0668604</v>
      </c>
    </row>
    <row r="1965">
      <c r="A1965" s="2" t="str">
        <f>IFERROR(__xludf.DUMMYFUNCTION("""COMPUTED_VALUE"""),"For rent")</f>
        <v>For rent</v>
      </c>
      <c r="B1965" s="2" t="str">
        <f>IFERROR(__xludf.DUMMYFUNCTION("""COMPUTED_VALUE"""),"centrs")</f>
        <v>centrs</v>
      </c>
      <c r="C1965" s="2" t="str">
        <f>IFERROR(__xludf.DUMMYFUNCTION("""COMPUTED_VALUE"""),"Sermuliņu 14")</f>
        <v>Sermuliņu 14</v>
      </c>
      <c r="D1965" s="2">
        <f>IFERROR(__xludf.DUMMYFUNCTION("""COMPUTED_VALUE"""),2.0)</f>
        <v>2</v>
      </c>
      <c r="E1965" s="2">
        <f>IFERROR(__xludf.DUMMYFUNCTION("""COMPUTED_VALUE"""),50.0)</f>
        <v>50</v>
      </c>
      <c r="F1965" s="2">
        <f>IFERROR(__xludf.DUMMYFUNCTION("""COMPUTED_VALUE"""),2.0)</f>
        <v>2</v>
      </c>
      <c r="G1965" s="2">
        <f>IFERROR(__xludf.DUMMYFUNCTION("""COMPUTED_VALUE"""),5.0)</f>
        <v>5</v>
      </c>
      <c r="H1965" s="2" t="str">
        <f>IFERROR(__xludf.DUMMYFUNCTION("""COMPUTED_VALUE"""),"Jaun.")</f>
        <v>Jaun.</v>
      </c>
      <c r="I1965" s="2" t="str">
        <f>IFERROR(__xludf.DUMMYFUNCTION("""COMPUTED_VALUE"""),"Panel")</f>
        <v>Panel</v>
      </c>
      <c r="J1965" s="2" t="str">
        <f>IFERROR(__xludf.DUMMYFUNCTION("""COMPUTED_VALUE"""),"All amenities")</f>
        <v>All amenities</v>
      </c>
      <c r="K1965" s="2">
        <f>IFERROR(__xludf.DUMMYFUNCTION("""COMPUTED_VALUE"""),550.0)</f>
        <v>550</v>
      </c>
      <c r="L1965" s="2">
        <f>IFERROR(__xludf.DUMMYFUNCTION("""COMPUTED_VALUE"""),56.97121095)</f>
        <v>56.97121095</v>
      </c>
      <c r="M1965" s="2">
        <f>IFERROR(__xludf.DUMMYFUNCTION("""COMPUTED_VALUE"""),24.10518275)</f>
        <v>24.10518275</v>
      </c>
    </row>
    <row r="1966">
      <c r="A1966" s="2" t="str">
        <f>IFERROR(__xludf.DUMMYFUNCTION("""COMPUTED_VALUE"""),"For sale")</f>
        <v>For sale</v>
      </c>
      <c r="B1966" s="2" t="str">
        <f>IFERROR(__xludf.DUMMYFUNCTION("""COMPUTED_VALUE"""),"Jugla")</f>
        <v>Jugla</v>
      </c>
      <c r="C1966" s="2" t="str">
        <f>IFERROR(__xludf.DUMMYFUNCTION("""COMPUTED_VALUE"""),"Juglas 47")</f>
        <v>Juglas 47</v>
      </c>
      <c r="D1966" s="2">
        <f>IFERROR(__xludf.DUMMYFUNCTION("""COMPUTED_VALUE"""),3.0)</f>
        <v>3</v>
      </c>
      <c r="E1966" s="2">
        <f>IFERROR(__xludf.DUMMYFUNCTION("""COMPUTED_VALUE"""),57.0)</f>
        <v>57</v>
      </c>
      <c r="F1966" s="2">
        <f>IFERROR(__xludf.DUMMYFUNCTION("""COMPUTED_VALUE"""),4.0)</f>
        <v>4</v>
      </c>
      <c r="G1966" s="2">
        <f>IFERROR(__xludf.DUMMYFUNCTION("""COMPUTED_VALUE"""),5.0)</f>
        <v>5</v>
      </c>
      <c r="H1966" s="2" t="str">
        <f>IFERROR(__xludf.DUMMYFUNCTION("""COMPUTED_VALUE"""),"LT proj.")</f>
        <v>LT proj.</v>
      </c>
      <c r="I1966" s="2" t="str">
        <f>IFERROR(__xludf.DUMMYFUNCTION("""COMPUTED_VALUE"""),"Panel")</f>
        <v>Panel</v>
      </c>
      <c r="J1966" s="2" t="str">
        <f>IFERROR(__xludf.DUMMYFUNCTION("""COMPUTED_VALUE"""),"All amenities")</f>
        <v>All amenities</v>
      </c>
      <c r="K1966" s="2">
        <f>IFERROR(__xludf.DUMMYFUNCTION("""COMPUTED_VALUE"""),57500.0)</f>
        <v>57500</v>
      </c>
      <c r="L1966" s="2">
        <f>IFERROR(__xludf.DUMMYFUNCTION("""COMPUTED_VALUE"""),56.96646415)</f>
        <v>56.96646415</v>
      </c>
      <c r="M1966" s="2">
        <f>IFERROR(__xludf.DUMMYFUNCTION("""COMPUTED_VALUE"""),24.2896847195386)</f>
        <v>24.28968472</v>
      </c>
    </row>
    <row r="1967">
      <c r="A1967" s="2" t="str">
        <f>IFERROR(__xludf.DUMMYFUNCTION("""COMPUTED_VALUE"""),"For sale")</f>
        <v>For sale</v>
      </c>
      <c r="B1967" s="2" t="str">
        <f>IFERROR(__xludf.DUMMYFUNCTION("""COMPUTED_VALUE"""),"Āgenskalns")</f>
        <v>Āgenskalns</v>
      </c>
      <c r="C1967" s="2" t="str">
        <f>IFERROR(__xludf.DUMMYFUNCTION("""COMPUTED_VALUE"""),"Nometņu 49")</f>
        <v>Nometņu 49</v>
      </c>
      <c r="D1967" s="2">
        <f>IFERROR(__xludf.DUMMYFUNCTION("""COMPUTED_VALUE"""),2.0)</f>
        <v>2</v>
      </c>
      <c r="E1967" s="2">
        <f>IFERROR(__xludf.DUMMYFUNCTION("""COMPUTED_VALUE"""),48.0)</f>
        <v>48</v>
      </c>
      <c r="F1967" s="2">
        <f>IFERROR(__xludf.DUMMYFUNCTION("""COMPUTED_VALUE"""),4.0)</f>
        <v>4</v>
      </c>
      <c r="G1967" s="2">
        <f>IFERROR(__xludf.DUMMYFUNCTION("""COMPUTED_VALUE"""),5.0)</f>
        <v>5</v>
      </c>
      <c r="H1967" s="2" t="str">
        <f>IFERROR(__xludf.DUMMYFUNCTION("""COMPUTED_VALUE"""),"P. kara")</f>
        <v>P. kara</v>
      </c>
      <c r="I1967" s="2" t="str">
        <f>IFERROR(__xludf.DUMMYFUNCTION("""COMPUTED_VALUE"""),"Masonry")</f>
        <v>Masonry</v>
      </c>
      <c r="J1967" s="2" t="str">
        <f>IFERROR(__xludf.DUMMYFUNCTION("""COMPUTED_VALUE"""),"All amenities")</f>
        <v>All amenities</v>
      </c>
      <c r="K1967" s="2">
        <f>IFERROR(__xludf.DUMMYFUNCTION("""COMPUTED_VALUE"""),62000.0)</f>
        <v>62000</v>
      </c>
      <c r="L1967" s="2">
        <f>IFERROR(__xludf.DUMMYFUNCTION("""COMPUTED_VALUE"""),56.9386867)</f>
        <v>56.9386867</v>
      </c>
      <c r="M1967" s="2">
        <f>IFERROR(__xludf.DUMMYFUNCTION("""COMPUTED_VALUE"""),24.0725201026538)</f>
        <v>24.0725201</v>
      </c>
    </row>
    <row r="1968">
      <c r="A1968" s="2" t="str">
        <f>IFERROR(__xludf.DUMMYFUNCTION("""COMPUTED_VALUE"""),"For sale")</f>
        <v>For sale</v>
      </c>
      <c r="B1968" s="2" t="str">
        <f>IFERROR(__xludf.DUMMYFUNCTION("""COMPUTED_VALUE"""),"centrs")</f>
        <v>centrs</v>
      </c>
      <c r="C1968" s="2" t="str">
        <f>IFERROR(__xludf.DUMMYFUNCTION("""COMPUTED_VALUE"""),"Lāčplēša 62/66")</f>
        <v>Lāčplēša 62/66</v>
      </c>
      <c r="D1968" s="2">
        <f>IFERROR(__xludf.DUMMYFUNCTION("""COMPUTED_VALUE"""),4.0)</f>
        <v>4</v>
      </c>
      <c r="E1968" s="2">
        <f>IFERROR(__xludf.DUMMYFUNCTION("""COMPUTED_VALUE"""),126.0)</f>
        <v>126</v>
      </c>
      <c r="F1968" s="2">
        <f>IFERROR(__xludf.DUMMYFUNCTION("""COMPUTED_VALUE"""),3.0)</f>
        <v>3</v>
      </c>
      <c r="G1968" s="2">
        <f>IFERROR(__xludf.DUMMYFUNCTION("""COMPUTED_VALUE"""),5.0)</f>
        <v>5</v>
      </c>
      <c r="H1968" s="2" t="str">
        <f>IFERROR(__xludf.DUMMYFUNCTION("""COMPUTED_VALUE"""),"P. kara")</f>
        <v>P. kara</v>
      </c>
      <c r="I1968" s="2" t="str">
        <f>IFERROR(__xludf.DUMMYFUNCTION("""COMPUTED_VALUE"""),"Masonry")</f>
        <v>Masonry</v>
      </c>
      <c r="J1968" s="2" t="str">
        <f>IFERROR(__xludf.DUMMYFUNCTION("""COMPUTED_VALUE"""),"All amenities")</f>
        <v>All amenities</v>
      </c>
      <c r="K1968" s="2">
        <f>IFERROR(__xludf.DUMMYFUNCTION("""COMPUTED_VALUE"""),120000.0)</f>
        <v>120000</v>
      </c>
      <c r="L1968" s="2">
        <f>IFERROR(__xludf.DUMMYFUNCTION("""COMPUTED_VALUE"""),56.9468471)</f>
        <v>56.9468471</v>
      </c>
      <c r="M1968" s="2">
        <f>IFERROR(__xludf.DUMMYFUNCTION("""COMPUTED_VALUE"""),24.133767)</f>
        <v>24.133767</v>
      </c>
    </row>
    <row r="1969">
      <c r="A1969" s="2" t="str">
        <f>IFERROR(__xludf.DUMMYFUNCTION("""COMPUTED_VALUE"""),"For sale")</f>
        <v>For sale</v>
      </c>
      <c r="B1969" s="2" t="str">
        <f>IFERROR(__xludf.DUMMYFUNCTION("""COMPUTED_VALUE"""),"centrs")</f>
        <v>centrs</v>
      </c>
      <c r="C1969" s="2" t="str">
        <f>IFERROR(__xludf.DUMMYFUNCTION("""COMPUTED_VALUE"""),"Mastu 6")</f>
        <v>Mastu 6</v>
      </c>
      <c r="D1969" s="2">
        <f>IFERROR(__xludf.DUMMYFUNCTION("""COMPUTED_VALUE"""),2.0)</f>
        <v>2</v>
      </c>
      <c r="E1969" s="2">
        <f>IFERROR(__xludf.DUMMYFUNCTION("""COMPUTED_VALUE"""),47.0)</f>
        <v>47</v>
      </c>
      <c r="F1969" s="2">
        <f>IFERROR(__xludf.DUMMYFUNCTION("""COMPUTED_VALUE"""),3.0)</f>
        <v>3</v>
      </c>
      <c r="G1969" s="2">
        <f>IFERROR(__xludf.DUMMYFUNCTION("""COMPUTED_VALUE"""),5.0)</f>
        <v>5</v>
      </c>
      <c r="H1969" s="2" t="str">
        <f>IFERROR(__xludf.DUMMYFUNCTION("""COMPUTED_VALUE"""),"Hrušč.")</f>
        <v>Hrušč.</v>
      </c>
      <c r="I1969" s="2" t="str">
        <f>IFERROR(__xludf.DUMMYFUNCTION("""COMPUTED_VALUE"""),"Brick")</f>
        <v>Brick</v>
      </c>
      <c r="J1969" s="2" t="str">
        <f>IFERROR(__xludf.DUMMYFUNCTION("""COMPUTED_VALUE"""),"All amenities")</f>
        <v>All amenities</v>
      </c>
      <c r="K1969" s="2">
        <f>IFERROR(__xludf.DUMMYFUNCTION("""COMPUTED_VALUE"""),52900.0)</f>
        <v>52900</v>
      </c>
      <c r="L1969" s="2">
        <f>IFERROR(__xludf.DUMMYFUNCTION("""COMPUTED_VALUE"""),56.97019225)</f>
        <v>56.97019225</v>
      </c>
      <c r="M1969" s="2">
        <f>IFERROR(__xludf.DUMMYFUNCTION("""COMPUTED_VALUE"""),24.1007267492597)</f>
        <v>24.10072675</v>
      </c>
    </row>
    <row r="1970">
      <c r="A1970" s="2" t="str">
        <f>IFERROR(__xludf.DUMMYFUNCTION("""COMPUTED_VALUE"""),"For rent")</f>
        <v>For rent</v>
      </c>
      <c r="B1970" s="2" t="str">
        <f>IFERROR(__xludf.DUMMYFUNCTION("""COMPUTED_VALUE"""),"Torņakalns")</f>
        <v>Torņakalns</v>
      </c>
      <c r="C1970" s="2" t="str">
        <f>IFERROR(__xludf.DUMMYFUNCTION("""COMPUTED_VALUE"""),"Jelgavas 62/64")</f>
        <v>Jelgavas 62/64</v>
      </c>
      <c r="D1970" s="2">
        <f>IFERROR(__xludf.DUMMYFUNCTION("""COMPUTED_VALUE"""),1.0)</f>
        <v>1</v>
      </c>
      <c r="E1970" s="2">
        <f>IFERROR(__xludf.DUMMYFUNCTION("""COMPUTED_VALUE"""),22.0)</f>
        <v>22</v>
      </c>
      <c r="F1970" s="2">
        <f>IFERROR(__xludf.DUMMYFUNCTION("""COMPUTED_VALUE"""),2.0)</f>
        <v>2</v>
      </c>
      <c r="G1970" s="2">
        <f>IFERROR(__xludf.DUMMYFUNCTION("""COMPUTED_VALUE"""),2.0)</f>
        <v>2</v>
      </c>
      <c r="H1970" s="2" t="str">
        <f>IFERROR(__xludf.DUMMYFUNCTION("""COMPUTED_VALUE"""),"P. kara")</f>
        <v>P. kara</v>
      </c>
      <c r="I1970" s="2" t="str">
        <f>IFERROR(__xludf.DUMMYFUNCTION("""COMPUTED_VALUE"""),"Wood")</f>
        <v>Wood</v>
      </c>
      <c r="J1970" s="2" t="str">
        <f>IFERROR(__xludf.DUMMYFUNCTION("""COMPUTED_VALUE"""),"Partial amenities")</f>
        <v>Partial amenities</v>
      </c>
      <c r="K1970" s="2">
        <f>IFERROR(__xludf.DUMMYFUNCTION("""COMPUTED_VALUE"""),180.0)</f>
        <v>180</v>
      </c>
      <c r="L1970" s="2">
        <f>IFERROR(__xludf.DUMMYFUNCTION("""COMPUTED_VALUE"""),56.9382641)</f>
        <v>56.9382641</v>
      </c>
      <c r="M1970" s="2">
        <f>IFERROR(__xludf.DUMMYFUNCTION("""COMPUTED_VALUE"""),24.0971627)</f>
        <v>24.0971627</v>
      </c>
    </row>
    <row r="1971">
      <c r="A1971" s="2" t="str">
        <f>IFERROR(__xludf.DUMMYFUNCTION("""COMPUTED_VALUE"""),"For rent")</f>
        <v>For rent</v>
      </c>
      <c r="B1971" s="2" t="str">
        <f>IFERROR(__xludf.DUMMYFUNCTION("""COMPUTED_VALUE"""),"centrs")</f>
        <v>centrs</v>
      </c>
      <c r="C1971" s="2" t="str">
        <f>IFERROR(__xludf.DUMMYFUNCTION("""COMPUTED_VALUE"""),"Eksporta 4")</f>
        <v>Eksporta 4</v>
      </c>
      <c r="D1971" s="2">
        <f>IFERROR(__xludf.DUMMYFUNCTION("""COMPUTED_VALUE"""),1.0)</f>
        <v>1</v>
      </c>
      <c r="E1971" s="2">
        <f>IFERROR(__xludf.DUMMYFUNCTION("""COMPUTED_VALUE"""),46.0)</f>
        <v>46</v>
      </c>
      <c r="F1971" s="2">
        <f>IFERROR(__xludf.DUMMYFUNCTION("""COMPUTED_VALUE"""),3.0)</f>
        <v>3</v>
      </c>
      <c r="G1971" s="2">
        <f>IFERROR(__xludf.DUMMYFUNCTION("""COMPUTED_VALUE"""),5.0)</f>
        <v>5</v>
      </c>
      <c r="H1971" s="2" t="str">
        <f>IFERROR(__xludf.DUMMYFUNCTION("""COMPUTED_VALUE"""),"P. kara")</f>
        <v>P. kara</v>
      </c>
      <c r="I1971" s="2" t="str">
        <f>IFERROR(__xludf.DUMMYFUNCTION("""COMPUTED_VALUE"""),"Brick")</f>
        <v>Brick</v>
      </c>
      <c r="J1971" s="2" t="str">
        <f>IFERROR(__xludf.DUMMYFUNCTION("""COMPUTED_VALUE"""),"All amenities")</f>
        <v>All amenities</v>
      </c>
      <c r="K1971" s="2">
        <f>IFERROR(__xludf.DUMMYFUNCTION("""COMPUTED_VALUE"""),400.0)</f>
        <v>400</v>
      </c>
      <c r="L1971" s="2">
        <f>IFERROR(__xludf.DUMMYFUNCTION("""COMPUTED_VALUE"""),56.956763)</f>
        <v>56.956763</v>
      </c>
      <c r="M1971" s="2">
        <f>IFERROR(__xludf.DUMMYFUNCTION("""COMPUTED_VALUE"""),24.0954531)</f>
        <v>24.0954531</v>
      </c>
    </row>
    <row r="1972">
      <c r="A1972" s="2" t="str">
        <f>IFERROR(__xludf.DUMMYFUNCTION("""COMPUTED_VALUE"""),"For sale")</f>
        <v>For sale</v>
      </c>
      <c r="B1972" s="2" t="str">
        <f>IFERROR(__xludf.DUMMYFUNCTION("""COMPUTED_VALUE"""),"Vecmīlgrāvis")</f>
        <v>Vecmīlgrāvis</v>
      </c>
      <c r="C1972" s="2" t="str">
        <f>IFERROR(__xludf.DUMMYFUNCTION("""COMPUTED_VALUE"""),"Vecmīlgrāvja 1. l. 54")</f>
        <v>Vecmīlgrāvja 1. l. 54</v>
      </c>
      <c r="D1972" s="2">
        <f>IFERROR(__xludf.DUMMYFUNCTION("""COMPUTED_VALUE"""),2.0)</f>
        <v>2</v>
      </c>
      <c r="E1972" s="2">
        <f>IFERROR(__xludf.DUMMYFUNCTION("""COMPUTED_VALUE"""),50.0)</f>
        <v>50</v>
      </c>
      <c r="F1972" s="2">
        <f>IFERROR(__xludf.DUMMYFUNCTION("""COMPUTED_VALUE"""),2.0)</f>
        <v>2</v>
      </c>
      <c r="G1972" s="2">
        <f>IFERROR(__xludf.DUMMYFUNCTION("""COMPUTED_VALUE"""),5.0)</f>
        <v>5</v>
      </c>
      <c r="H1972" s="2" t="str">
        <f>IFERROR(__xludf.DUMMYFUNCTION("""COMPUTED_VALUE"""),"LT proj.")</f>
        <v>LT proj.</v>
      </c>
      <c r="I1972" s="2" t="str">
        <f>IFERROR(__xludf.DUMMYFUNCTION("""COMPUTED_VALUE"""),"Panel")</f>
        <v>Panel</v>
      </c>
      <c r="J1972" s="2" t="str">
        <f>IFERROR(__xludf.DUMMYFUNCTION("""COMPUTED_VALUE"""),"All amenities")</f>
        <v>All amenities</v>
      </c>
      <c r="K1972" s="2">
        <f>IFERROR(__xludf.DUMMYFUNCTION("""COMPUTED_VALUE"""),31500.0)</f>
        <v>31500</v>
      </c>
      <c r="L1972" s="2" t="str">
        <f>IFERROR(__xludf.DUMMYFUNCTION("""COMPUTED_VALUE"""),"NaN")</f>
        <v>NaN</v>
      </c>
      <c r="M1972" s="2" t="str">
        <f>IFERROR(__xludf.DUMMYFUNCTION("""COMPUTED_VALUE"""),"NaN")</f>
        <v>NaN</v>
      </c>
    </row>
    <row r="1973">
      <c r="A1973" s="2" t="str">
        <f>IFERROR(__xludf.DUMMYFUNCTION("""COMPUTED_VALUE"""),"For sale")</f>
        <v>For sale</v>
      </c>
      <c r="B1973" s="2" t="str">
        <f>IFERROR(__xludf.DUMMYFUNCTION("""COMPUTED_VALUE"""),"Ķengarags")</f>
        <v>Ķengarags</v>
      </c>
      <c r="C1973" s="2" t="str">
        <f>IFERROR(__xludf.DUMMYFUNCTION("""COMPUTED_VALUE"""),"Maskavas 254/7")</f>
        <v>Maskavas 254/7</v>
      </c>
      <c r="D1973" s="2">
        <f>IFERROR(__xludf.DUMMYFUNCTION("""COMPUTED_VALUE"""),2.0)</f>
        <v>2</v>
      </c>
      <c r="E1973" s="2">
        <f>IFERROR(__xludf.DUMMYFUNCTION("""COMPUTED_VALUE"""),44.0)</f>
        <v>44</v>
      </c>
      <c r="F1973" s="2">
        <f>IFERROR(__xludf.DUMMYFUNCTION("""COMPUTED_VALUE"""),1.0)</f>
        <v>1</v>
      </c>
      <c r="G1973" s="2">
        <f>IFERROR(__xludf.DUMMYFUNCTION("""COMPUTED_VALUE"""),5.0)</f>
        <v>5</v>
      </c>
      <c r="H1973" s="2" t="str">
        <f>IFERROR(__xludf.DUMMYFUNCTION("""COMPUTED_VALUE"""),"Hrušč.")</f>
        <v>Hrušč.</v>
      </c>
      <c r="I1973" s="2" t="str">
        <f>IFERROR(__xludf.DUMMYFUNCTION("""COMPUTED_VALUE"""),"Brick-Panel")</f>
        <v>Brick-Panel</v>
      </c>
      <c r="J1973" s="2" t="str">
        <f>IFERROR(__xludf.DUMMYFUNCTION("""COMPUTED_VALUE"""),"All amenities")</f>
        <v>All amenities</v>
      </c>
      <c r="K1973" s="2">
        <f>IFERROR(__xludf.DUMMYFUNCTION("""COMPUTED_VALUE"""),41800.0)</f>
        <v>41800</v>
      </c>
      <c r="L1973" s="2">
        <f>IFERROR(__xludf.DUMMYFUNCTION("""COMPUTED_VALUE"""),56.8945857)</f>
        <v>56.8945857</v>
      </c>
      <c r="M1973" s="2">
        <f>IFERROR(__xludf.DUMMYFUNCTION("""COMPUTED_VALUE"""),24.2163422)</f>
        <v>24.2163422</v>
      </c>
    </row>
    <row r="1974">
      <c r="A1974" s="2" t="str">
        <f>IFERROR(__xludf.DUMMYFUNCTION("""COMPUTED_VALUE"""),"For sale")</f>
        <v>For sale</v>
      </c>
      <c r="B1974" s="2" t="str">
        <f>IFERROR(__xludf.DUMMYFUNCTION("""COMPUTED_VALUE"""),"Voleri")</f>
        <v>Voleri</v>
      </c>
      <c r="C1974" s="2" t="str">
        <f>IFERROR(__xludf.DUMMYFUNCTION("""COMPUTED_VALUE"""),"Daugavgrīvas š. 17")</f>
        <v>Daugavgrīvas š. 17</v>
      </c>
      <c r="D1974" s="2">
        <f>IFERROR(__xludf.DUMMYFUNCTION("""COMPUTED_VALUE"""),2.0)</f>
        <v>2</v>
      </c>
      <c r="E1974" s="2">
        <f>IFERROR(__xludf.DUMMYFUNCTION("""COMPUTED_VALUE"""),43.0)</f>
        <v>43</v>
      </c>
      <c r="F1974" s="2">
        <f>IFERROR(__xludf.DUMMYFUNCTION("""COMPUTED_VALUE"""),1.0)</f>
        <v>1</v>
      </c>
      <c r="G1974" s="2">
        <f>IFERROR(__xludf.DUMMYFUNCTION("""COMPUTED_VALUE"""),1.0)</f>
        <v>1</v>
      </c>
      <c r="H1974" s="2" t="str">
        <f>IFERROR(__xludf.DUMMYFUNCTION("""COMPUTED_VALUE"""),"Priv. m.")</f>
        <v>Priv. m.</v>
      </c>
      <c r="I1974" s="2" t="str">
        <f>IFERROR(__xludf.DUMMYFUNCTION("""COMPUTED_VALUE"""),"Wood")</f>
        <v>Wood</v>
      </c>
      <c r="J1974" s="2" t="str">
        <f>IFERROR(__xludf.DUMMYFUNCTION("""COMPUTED_VALUE"""),"Without amenities")</f>
        <v>Without amenities</v>
      </c>
      <c r="K1974" s="2">
        <f>IFERROR(__xludf.DUMMYFUNCTION("""COMPUTED_VALUE"""),5500.0)</f>
        <v>5500</v>
      </c>
      <c r="L1974" s="2">
        <f>IFERROR(__xludf.DUMMYFUNCTION("""COMPUTED_VALUE"""),57.0164335)</f>
        <v>57.0164335</v>
      </c>
      <c r="M1974" s="2">
        <f>IFERROR(__xludf.DUMMYFUNCTION("""COMPUTED_VALUE"""),24.0628649)</f>
        <v>24.0628649</v>
      </c>
    </row>
    <row r="1975">
      <c r="A1975" s="2" t="str">
        <f>IFERROR(__xludf.DUMMYFUNCTION("""COMPUTED_VALUE"""),"For sale")</f>
        <v>For sale</v>
      </c>
      <c r="B1975" s="2" t="str">
        <f>IFERROR(__xludf.DUMMYFUNCTION("""COMPUTED_VALUE"""),"Šampēteris-Pleskodāle")</f>
        <v>Šampēteris-Pleskodāle</v>
      </c>
      <c r="C1975" s="2" t="str">
        <f>IFERROR(__xludf.DUMMYFUNCTION("""COMPUTED_VALUE"""),"Kalnciema 101")</f>
        <v>Kalnciema 101</v>
      </c>
      <c r="D1975" s="2">
        <f>IFERROR(__xludf.DUMMYFUNCTION("""COMPUTED_VALUE"""),3.0)</f>
        <v>3</v>
      </c>
      <c r="E1975" s="2">
        <f>IFERROR(__xludf.DUMMYFUNCTION("""COMPUTED_VALUE"""),62.0)</f>
        <v>62</v>
      </c>
      <c r="F1975" s="2">
        <f>IFERROR(__xludf.DUMMYFUNCTION("""COMPUTED_VALUE"""),2.0)</f>
        <v>2</v>
      </c>
      <c r="G1975" s="2">
        <f>IFERROR(__xludf.DUMMYFUNCTION("""COMPUTED_VALUE"""),5.0)</f>
        <v>5</v>
      </c>
      <c r="H1975" s="2" t="str">
        <f>IFERROR(__xludf.DUMMYFUNCTION("""COMPUTED_VALUE"""),"Specpr.")</f>
        <v>Specpr.</v>
      </c>
      <c r="I1975" s="2" t="str">
        <f>IFERROR(__xludf.DUMMYFUNCTION("""COMPUTED_VALUE"""),"Brick")</f>
        <v>Brick</v>
      </c>
      <c r="J1975" s="2" t="str">
        <f>IFERROR(__xludf.DUMMYFUNCTION("""COMPUTED_VALUE"""),"All amenities")</f>
        <v>All amenities</v>
      </c>
      <c r="K1975" s="2">
        <f>IFERROR(__xludf.DUMMYFUNCTION("""COMPUTED_VALUE"""),63500.0)</f>
        <v>63500</v>
      </c>
      <c r="L1975" s="2">
        <f>IFERROR(__xludf.DUMMYFUNCTION("""COMPUTED_VALUE"""),56.9371252)</f>
        <v>56.9371252</v>
      </c>
      <c r="M1975" s="2">
        <f>IFERROR(__xludf.DUMMYFUNCTION("""COMPUTED_VALUE"""),24.0428139850736)</f>
        <v>24.04281399</v>
      </c>
    </row>
    <row r="1976">
      <c r="A1976" s="2" t="str">
        <f>IFERROR(__xludf.DUMMYFUNCTION("""COMPUTED_VALUE"""),"For rent")</f>
        <v>For rent</v>
      </c>
      <c r="B1976" s="2" t="str">
        <f>IFERROR(__xludf.DUMMYFUNCTION("""COMPUTED_VALUE"""),"centrs")</f>
        <v>centrs</v>
      </c>
      <c r="C1976" s="2" t="str">
        <f>IFERROR(__xludf.DUMMYFUNCTION("""COMPUTED_VALUE"""),"Rūpniecības 1")</f>
        <v>Rūpniecības 1</v>
      </c>
      <c r="D1976" s="2">
        <f>IFERROR(__xludf.DUMMYFUNCTION("""COMPUTED_VALUE"""),5.0)</f>
        <v>5</v>
      </c>
      <c r="E1976" s="2">
        <f>IFERROR(__xludf.DUMMYFUNCTION("""COMPUTED_VALUE"""),155.0)</f>
        <v>155</v>
      </c>
      <c r="F1976" s="2">
        <f>IFERROR(__xludf.DUMMYFUNCTION("""COMPUTED_VALUE"""),2.0)</f>
        <v>2</v>
      </c>
      <c r="G1976" s="2">
        <f>IFERROR(__xludf.DUMMYFUNCTION("""COMPUTED_VALUE"""),6.0)</f>
        <v>6</v>
      </c>
      <c r="H1976" s="2" t="str">
        <f>IFERROR(__xludf.DUMMYFUNCTION("""COMPUTED_VALUE"""),"Renov.")</f>
        <v>Renov.</v>
      </c>
      <c r="I1976" s="2" t="str">
        <f>IFERROR(__xludf.DUMMYFUNCTION("""COMPUTED_VALUE"""),"Masonry")</f>
        <v>Masonry</v>
      </c>
      <c r="J1976" s="2" t="str">
        <f>IFERROR(__xludf.DUMMYFUNCTION("""COMPUTED_VALUE"""),"All amenities")</f>
        <v>All amenities</v>
      </c>
      <c r="K1976" s="2">
        <f>IFERROR(__xludf.DUMMYFUNCTION("""COMPUTED_VALUE"""),2200.0)</f>
        <v>2200</v>
      </c>
      <c r="L1976" s="2">
        <f>IFERROR(__xludf.DUMMYFUNCTION("""COMPUTED_VALUE"""),56.9591583)</f>
        <v>56.9591583</v>
      </c>
      <c r="M1976" s="2">
        <f>IFERROR(__xludf.DUMMYFUNCTION("""COMPUTED_VALUE"""),24.1026741144114)</f>
        <v>24.10267411</v>
      </c>
    </row>
    <row r="1977">
      <c r="A1977" s="2" t="str">
        <f>IFERROR(__xludf.DUMMYFUNCTION("""COMPUTED_VALUE"""),"For sale")</f>
        <v>For sale</v>
      </c>
      <c r="B1977" s="2" t="str">
        <f>IFERROR(__xludf.DUMMYFUNCTION("""COMPUTED_VALUE"""),"Ziepniekkalns")</f>
        <v>Ziepniekkalns</v>
      </c>
      <c r="C1977" s="2" t="str">
        <f>IFERROR(__xludf.DUMMYFUNCTION("""COMPUTED_VALUE"""),"Īslīces 3")</f>
        <v>Īslīces 3</v>
      </c>
      <c r="D1977" s="2">
        <f>IFERROR(__xludf.DUMMYFUNCTION("""COMPUTED_VALUE"""),3.0)</f>
        <v>3</v>
      </c>
      <c r="E1977" s="2">
        <f>IFERROR(__xludf.DUMMYFUNCTION("""COMPUTED_VALUE"""),78.0)</f>
        <v>78</v>
      </c>
      <c r="F1977" s="2">
        <f>IFERROR(__xludf.DUMMYFUNCTION("""COMPUTED_VALUE"""),2.0)</f>
        <v>2</v>
      </c>
      <c r="G1977" s="2">
        <f>IFERROR(__xludf.DUMMYFUNCTION("""COMPUTED_VALUE"""),9.0)</f>
        <v>9</v>
      </c>
      <c r="H1977" s="2">
        <f>IFERROR(__xludf.DUMMYFUNCTION("""COMPUTED_VALUE"""),119.0)</f>
        <v>119</v>
      </c>
      <c r="I1977" s="2" t="str">
        <f>IFERROR(__xludf.DUMMYFUNCTION("""COMPUTED_VALUE"""),"Panel")</f>
        <v>Panel</v>
      </c>
      <c r="J1977" s="2" t="str">
        <f>IFERROR(__xludf.DUMMYFUNCTION("""COMPUTED_VALUE"""),"All amenities")</f>
        <v>All amenities</v>
      </c>
      <c r="K1977" s="2">
        <f>IFERROR(__xludf.DUMMYFUNCTION("""COMPUTED_VALUE"""),77000.0)</f>
        <v>77000</v>
      </c>
      <c r="L1977" s="2">
        <f>IFERROR(__xludf.DUMMYFUNCTION("""COMPUTED_VALUE"""),56.9004074)</f>
        <v>56.9004074</v>
      </c>
      <c r="M1977" s="2">
        <f>IFERROR(__xludf.DUMMYFUNCTION("""COMPUTED_VALUE"""),24.0837422885217)</f>
        <v>24.08374229</v>
      </c>
    </row>
    <row r="1978">
      <c r="A1978" s="2" t="str">
        <f>IFERROR(__xludf.DUMMYFUNCTION("""COMPUTED_VALUE"""),"For sale")</f>
        <v>For sale</v>
      </c>
      <c r="B1978" s="2" t="str">
        <f>IFERROR(__xludf.DUMMYFUNCTION("""COMPUTED_VALUE"""),"Purvciems")</f>
        <v>Purvciems</v>
      </c>
      <c r="C1978" s="2" t="str">
        <f>IFERROR(__xludf.DUMMYFUNCTION("""COMPUTED_VALUE"""),"Ķeguma 43")</f>
        <v>Ķeguma 43</v>
      </c>
      <c r="D1978" s="2">
        <f>IFERROR(__xludf.DUMMYFUNCTION("""COMPUTED_VALUE"""),1.0)</f>
        <v>1</v>
      </c>
      <c r="E1978" s="2">
        <f>IFERROR(__xludf.DUMMYFUNCTION("""COMPUTED_VALUE"""),39.0)</f>
        <v>39</v>
      </c>
      <c r="F1978" s="2">
        <f>IFERROR(__xludf.DUMMYFUNCTION("""COMPUTED_VALUE"""),4.0)</f>
        <v>4</v>
      </c>
      <c r="G1978" s="2">
        <f>IFERROR(__xludf.DUMMYFUNCTION("""COMPUTED_VALUE"""),5.0)</f>
        <v>5</v>
      </c>
      <c r="H1978" s="2" t="str">
        <f>IFERROR(__xludf.DUMMYFUNCTION("""COMPUTED_VALUE"""),"M. ģim.")</f>
        <v>M. ģim.</v>
      </c>
      <c r="I1978" s="2" t="str">
        <f>IFERROR(__xludf.DUMMYFUNCTION("""COMPUTED_VALUE"""),"Panel")</f>
        <v>Panel</v>
      </c>
      <c r="J1978" s="2" t="str">
        <f>IFERROR(__xludf.DUMMYFUNCTION("""COMPUTED_VALUE"""),"All amenities")</f>
        <v>All amenities</v>
      </c>
      <c r="K1978" s="2">
        <f>IFERROR(__xludf.DUMMYFUNCTION("""COMPUTED_VALUE"""),37900.0)</f>
        <v>37900</v>
      </c>
      <c r="L1978" s="2">
        <f>IFERROR(__xludf.DUMMYFUNCTION("""COMPUTED_VALUE"""),56.96378645)</f>
        <v>56.96378645</v>
      </c>
      <c r="M1978" s="2">
        <f>IFERROR(__xludf.DUMMYFUNCTION("""COMPUTED_VALUE"""),24.1961874494858)</f>
        <v>24.19618745</v>
      </c>
    </row>
    <row r="1979">
      <c r="A1979" s="2" t="str">
        <f>IFERROR(__xludf.DUMMYFUNCTION("""COMPUTED_VALUE"""),"For sale")</f>
        <v>For sale</v>
      </c>
      <c r="B1979" s="2" t="str">
        <f>IFERROR(__xludf.DUMMYFUNCTION("""COMPUTED_VALUE"""),"centrs")</f>
        <v>centrs</v>
      </c>
      <c r="C1979" s="2" t="str">
        <f>IFERROR(__xludf.DUMMYFUNCTION("""COMPUTED_VALUE"""),"Ģertrūdes 31")</f>
        <v>Ģertrūdes 31</v>
      </c>
      <c r="D1979" s="2">
        <f>IFERROR(__xludf.DUMMYFUNCTION("""COMPUTED_VALUE"""),2.0)</f>
        <v>2</v>
      </c>
      <c r="E1979" s="2">
        <f>IFERROR(__xludf.DUMMYFUNCTION("""COMPUTED_VALUE"""),51.0)</f>
        <v>51</v>
      </c>
      <c r="F1979" s="2">
        <f>IFERROR(__xludf.DUMMYFUNCTION("""COMPUTED_VALUE"""),2.0)</f>
        <v>2</v>
      </c>
      <c r="G1979" s="2">
        <f>IFERROR(__xludf.DUMMYFUNCTION("""COMPUTED_VALUE"""),5.0)</f>
        <v>5</v>
      </c>
      <c r="H1979" s="2" t="str">
        <f>IFERROR(__xludf.DUMMYFUNCTION("""COMPUTED_VALUE"""),"P. kara")</f>
        <v>P. kara</v>
      </c>
      <c r="I1979" s="2" t="str">
        <f>IFERROR(__xludf.DUMMYFUNCTION("""COMPUTED_VALUE"""),"Masonry")</f>
        <v>Masonry</v>
      </c>
      <c r="J1979" s="2" t="str">
        <f>IFERROR(__xludf.DUMMYFUNCTION("""COMPUTED_VALUE"""),"All amenities")</f>
        <v>All amenities</v>
      </c>
      <c r="K1979" s="2">
        <f>IFERROR(__xludf.DUMMYFUNCTION("""COMPUTED_VALUE"""),105000.0)</f>
        <v>105000</v>
      </c>
      <c r="L1979" s="2">
        <f>IFERROR(__xludf.DUMMYFUNCTION("""COMPUTED_VALUE"""),56.955527)</f>
        <v>56.955527</v>
      </c>
      <c r="M1979" s="2">
        <f>IFERROR(__xludf.DUMMYFUNCTION("""COMPUTED_VALUE"""),24.1264427737396)</f>
        <v>24.12644277</v>
      </c>
    </row>
    <row r="1980">
      <c r="A1980" s="2" t="str">
        <f>IFERROR(__xludf.DUMMYFUNCTION("""COMPUTED_VALUE"""),"For rent")</f>
        <v>For rent</v>
      </c>
      <c r="B1980" s="2" t="str">
        <f>IFERROR(__xludf.DUMMYFUNCTION("""COMPUTED_VALUE"""),"Šampēteris-Pleskodāle")</f>
        <v>Šampēteris-Pleskodāle</v>
      </c>
      <c r="C1980" s="2" t="str">
        <f>IFERROR(__xludf.DUMMYFUNCTION("""COMPUTED_VALUE"""),"Šampētera 74")</f>
        <v>Šampētera 74</v>
      </c>
      <c r="D1980" s="2">
        <f>IFERROR(__xludf.DUMMYFUNCTION("""COMPUTED_VALUE"""),1.0)</f>
        <v>1</v>
      </c>
      <c r="E1980" s="2">
        <f>IFERROR(__xludf.DUMMYFUNCTION("""COMPUTED_VALUE"""),50.0)</f>
        <v>50</v>
      </c>
      <c r="F1980" s="2">
        <f>IFERROR(__xludf.DUMMYFUNCTION("""COMPUTED_VALUE"""),1.0)</f>
        <v>1</v>
      </c>
      <c r="G1980" s="2">
        <f>IFERROR(__xludf.DUMMYFUNCTION("""COMPUTED_VALUE"""),2.0)</f>
        <v>2</v>
      </c>
      <c r="H1980" s="2" t="str">
        <f>IFERROR(__xludf.DUMMYFUNCTION("""COMPUTED_VALUE"""),"Priv. m.")</f>
        <v>Priv. m.</v>
      </c>
      <c r="I1980" s="2" t="str">
        <f>IFERROR(__xludf.DUMMYFUNCTION("""COMPUTED_VALUE"""),"Masonry")</f>
        <v>Masonry</v>
      </c>
      <c r="J1980" s="2" t="str">
        <f>IFERROR(__xludf.DUMMYFUNCTION("""COMPUTED_VALUE"""),"All amenities")</f>
        <v>All amenities</v>
      </c>
      <c r="K1980" s="2">
        <f>IFERROR(__xludf.DUMMYFUNCTION("""COMPUTED_VALUE"""),430.0)</f>
        <v>430</v>
      </c>
      <c r="L1980" s="2">
        <f>IFERROR(__xludf.DUMMYFUNCTION("""COMPUTED_VALUE"""),56.9394655)</f>
        <v>56.9394655</v>
      </c>
      <c r="M1980" s="2">
        <f>IFERROR(__xludf.DUMMYFUNCTION("""COMPUTED_VALUE"""),24.0300932204121)</f>
        <v>24.03009322</v>
      </c>
    </row>
    <row r="1981">
      <c r="A1981" s="2" t="str">
        <f>IFERROR(__xludf.DUMMYFUNCTION("""COMPUTED_VALUE"""),"For sale")</f>
        <v>For sale</v>
      </c>
      <c r="B1981" s="2" t="str">
        <f>IFERROR(__xludf.DUMMYFUNCTION("""COMPUTED_VALUE"""),"Dzegužkalns")</f>
        <v>Dzegužkalns</v>
      </c>
      <c r="C1981" s="2" t="str">
        <f>IFERROR(__xludf.DUMMYFUNCTION("""COMPUTED_VALUE"""),"Tapešu 54")</f>
        <v>Tapešu 54</v>
      </c>
      <c r="D1981" s="2">
        <f>IFERROR(__xludf.DUMMYFUNCTION("""COMPUTED_VALUE"""),3.0)</f>
        <v>3</v>
      </c>
      <c r="E1981" s="2">
        <f>IFERROR(__xludf.DUMMYFUNCTION("""COMPUTED_VALUE"""),59.0)</f>
        <v>59</v>
      </c>
      <c r="F1981" s="2">
        <f>IFERROR(__xludf.DUMMYFUNCTION("""COMPUTED_VALUE"""),1.0)</f>
        <v>1</v>
      </c>
      <c r="G1981" s="2">
        <f>IFERROR(__xludf.DUMMYFUNCTION("""COMPUTED_VALUE"""),5.0)</f>
        <v>5</v>
      </c>
      <c r="H1981" s="2" t="str">
        <f>IFERROR(__xludf.DUMMYFUNCTION("""COMPUTED_VALUE"""),"LT proj.")</f>
        <v>LT proj.</v>
      </c>
      <c r="I1981" s="2" t="str">
        <f>IFERROR(__xludf.DUMMYFUNCTION("""COMPUTED_VALUE"""),"Panel")</f>
        <v>Panel</v>
      </c>
      <c r="J1981" s="2" t="str">
        <f>IFERROR(__xludf.DUMMYFUNCTION("""COMPUTED_VALUE"""),"All amenities")</f>
        <v>All amenities</v>
      </c>
      <c r="K1981" s="2">
        <f>IFERROR(__xludf.DUMMYFUNCTION("""COMPUTED_VALUE"""),49200.0)</f>
        <v>49200</v>
      </c>
      <c r="L1981" s="2">
        <f>IFERROR(__xludf.DUMMYFUNCTION("""COMPUTED_VALUE"""),56.95884165)</f>
        <v>56.95884165</v>
      </c>
      <c r="M1981" s="2">
        <f>IFERROR(__xludf.DUMMYFUNCTION("""COMPUTED_VALUE"""),24.0482019476007)</f>
        <v>24.04820195</v>
      </c>
    </row>
    <row r="1982">
      <c r="A1982" s="2" t="str">
        <f>IFERROR(__xludf.DUMMYFUNCTION("""COMPUTED_VALUE"""),"For sale")</f>
        <v>For sale</v>
      </c>
      <c r="B1982" s="2" t="str">
        <f>IFERROR(__xludf.DUMMYFUNCTION("""COMPUTED_VALUE"""),"Imanta")</f>
        <v>Imanta</v>
      </c>
      <c r="C1982" s="2" t="str">
        <f>IFERROR(__xludf.DUMMYFUNCTION("""COMPUTED_VALUE"""),"Kurzemes pr. 74")</f>
        <v>Kurzemes pr. 74</v>
      </c>
      <c r="D1982" s="2">
        <f>IFERROR(__xludf.DUMMYFUNCTION("""COMPUTED_VALUE"""),3.0)</f>
        <v>3</v>
      </c>
      <c r="E1982" s="2">
        <f>IFERROR(__xludf.DUMMYFUNCTION("""COMPUTED_VALUE"""),54.0)</f>
        <v>54</v>
      </c>
      <c r="F1982" s="2">
        <f>IFERROR(__xludf.DUMMYFUNCTION("""COMPUTED_VALUE"""),5.0)</f>
        <v>5</v>
      </c>
      <c r="G1982" s="2">
        <f>IFERROR(__xludf.DUMMYFUNCTION("""COMPUTED_VALUE"""),5.0)</f>
        <v>5</v>
      </c>
      <c r="H1982" s="2" t="str">
        <f>IFERROR(__xludf.DUMMYFUNCTION("""COMPUTED_VALUE"""),"LT proj.")</f>
        <v>LT proj.</v>
      </c>
      <c r="I1982" s="2" t="str">
        <f>IFERROR(__xludf.DUMMYFUNCTION("""COMPUTED_VALUE"""),"Panel")</f>
        <v>Panel</v>
      </c>
      <c r="J1982" s="2" t="str">
        <f>IFERROR(__xludf.DUMMYFUNCTION("""COMPUTED_VALUE"""),"All amenities")</f>
        <v>All amenities</v>
      </c>
      <c r="K1982" s="2">
        <f>IFERROR(__xludf.DUMMYFUNCTION("""COMPUTED_VALUE"""),60000.0)</f>
        <v>60000</v>
      </c>
      <c r="L1982" s="2">
        <f>IFERROR(__xludf.DUMMYFUNCTION("""COMPUTED_VALUE"""),56.9567829)</f>
        <v>56.9567829</v>
      </c>
      <c r="M1982" s="2">
        <f>IFERROR(__xludf.DUMMYFUNCTION("""COMPUTED_VALUE"""),24.0344957)</f>
        <v>24.0344957</v>
      </c>
    </row>
    <row r="1983">
      <c r="A1983" s="2" t="str">
        <f>IFERROR(__xludf.DUMMYFUNCTION("""COMPUTED_VALUE"""),"For sale")</f>
        <v>For sale</v>
      </c>
      <c r="B1983" s="2" t="str">
        <f>IFERROR(__xludf.DUMMYFUNCTION("""COMPUTED_VALUE"""),"Vecrīga")</f>
        <v>Vecrīga</v>
      </c>
      <c r="C1983" s="2" t="str">
        <f>IFERROR(__xludf.DUMMYFUNCTION("""COMPUTED_VALUE"""),"Vāgnera 2")</f>
        <v>Vāgnera 2</v>
      </c>
      <c r="D1983" s="2">
        <f>IFERROR(__xludf.DUMMYFUNCTION("""COMPUTED_VALUE"""),4.0)</f>
        <v>4</v>
      </c>
      <c r="E1983" s="2">
        <f>IFERROR(__xludf.DUMMYFUNCTION("""COMPUTED_VALUE"""),118.0)</f>
        <v>118</v>
      </c>
      <c r="F1983" s="2">
        <f>IFERROR(__xludf.DUMMYFUNCTION("""COMPUTED_VALUE"""),4.0)</f>
        <v>4</v>
      </c>
      <c r="G1983" s="2">
        <f>IFERROR(__xludf.DUMMYFUNCTION("""COMPUTED_VALUE"""),5.0)</f>
        <v>5</v>
      </c>
      <c r="H1983" s="2" t="str">
        <f>IFERROR(__xludf.DUMMYFUNCTION("""COMPUTED_VALUE"""),"Renov.")</f>
        <v>Renov.</v>
      </c>
      <c r="I1983" s="2" t="str">
        <f>IFERROR(__xludf.DUMMYFUNCTION("""COMPUTED_VALUE"""),"Masonry")</f>
        <v>Masonry</v>
      </c>
      <c r="J1983" s="2" t="str">
        <f>IFERROR(__xludf.DUMMYFUNCTION("""COMPUTED_VALUE"""),"All amenities")</f>
        <v>All amenities</v>
      </c>
      <c r="K1983" s="2">
        <f>IFERROR(__xludf.DUMMYFUNCTION("""COMPUTED_VALUE"""),596000.0)</f>
        <v>596000</v>
      </c>
      <c r="L1983" s="2">
        <f>IFERROR(__xludf.DUMMYFUNCTION("""COMPUTED_VALUE"""),56.9492915)</f>
        <v>56.9492915</v>
      </c>
      <c r="M1983" s="2">
        <f>IFERROR(__xludf.DUMMYFUNCTION("""COMPUTED_VALUE"""),24.1099745)</f>
        <v>24.1099745</v>
      </c>
    </row>
    <row r="1984">
      <c r="A1984" s="2" t="str">
        <f>IFERROR(__xludf.DUMMYFUNCTION("""COMPUTED_VALUE"""),"For sale")</f>
        <v>For sale</v>
      </c>
      <c r="B1984" s="2" t="str">
        <f>IFERROR(__xludf.DUMMYFUNCTION("""COMPUTED_VALUE"""),"centrs")</f>
        <v>centrs</v>
      </c>
      <c r="C1984" s="2" t="str">
        <f>IFERROR(__xludf.DUMMYFUNCTION("""COMPUTED_VALUE"""),"Kazarmu 2a")</f>
        <v>Kazarmu 2a</v>
      </c>
      <c r="D1984" s="2">
        <f>IFERROR(__xludf.DUMMYFUNCTION("""COMPUTED_VALUE"""),1.0)</f>
        <v>1</v>
      </c>
      <c r="E1984" s="2">
        <f>IFERROR(__xludf.DUMMYFUNCTION("""COMPUTED_VALUE"""),30.0)</f>
        <v>30</v>
      </c>
      <c r="F1984" s="2">
        <f>IFERROR(__xludf.DUMMYFUNCTION("""COMPUTED_VALUE"""),2.0)</f>
        <v>2</v>
      </c>
      <c r="G1984" s="2">
        <f>IFERROR(__xludf.DUMMYFUNCTION("""COMPUTED_VALUE"""),5.0)</f>
        <v>5</v>
      </c>
      <c r="H1984" s="2" t="str">
        <f>IFERROR(__xludf.DUMMYFUNCTION("""COMPUTED_VALUE"""),"P. kara")</f>
        <v>P. kara</v>
      </c>
      <c r="I1984" s="2" t="str">
        <f>IFERROR(__xludf.DUMMYFUNCTION("""COMPUTED_VALUE"""),"Brick")</f>
        <v>Brick</v>
      </c>
      <c r="J1984" s="2" t="str">
        <f>IFERROR(__xludf.DUMMYFUNCTION("""COMPUTED_VALUE"""),"All amenities")</f>
        <v>All amenities</v>
      </c>
      <c r="K1984" s="2">
        <f>IFERROR(__xludf.DUMMYFUNCTION("""COMPUTED_VALUE"""),42000.0)</f>
        <v>42000</v>
      </c>
      <c r="L1984" s="2">
        <f>IFERROR(__xludf.DUMMYFUNCTION("""COMPUTED_VALUE"""),56.9731021)</f>
        <v>56.9731021</v>
      </c>
      <c r="M1984" s="2">
        <f>IFERROR(__xludf.DUMMYFUNCTION("""COMPUTED_VALUE"""),24.1419)</f>
        <v>24.1419</v>
      </c>
    </row>
    <row r="1985">
      <c r="A1985" s="2" t="str">
        <f>IFERROR(__xludf.DUMMYFUNCTION("""COMPUTED_VALUE"""),"For sale")</f>
        <v>For sale</v>
      </c>
      <c r="B1985" s="2" t="str">
        <f>IFERROR(__xludf.DUMMYFUNCTION("""COMPUTED_VALUE"""),"Purvciems")</f>
        <v>Purvciems</v>
      </c>
      <c r="C1985" s="2" t="str">
        <f>IFERROR(__xludf.DUMMYFUNCTION("""COMPUTED_VALUE"""),"Dzelzavas 38")</f>
        <v>Dzelzavas 38</v>
      </c>
      <c r="D1985" s="2">
        <f>IFERROR(__xludf.DUMMYFUNCTION("""COMPUTED_VALUE"""),3.0)</f>
        <v>3</v>
      </c>
      <c r="E1985" s="2">
        <f>IFERROR(__xludf.DUMMYFUNCTION("""COMPUTED_VALUE"""),75.0)</f>
        <v>75</v>
      </c>
      <c r="F1985" s="2">
        <f>IFERROR(__xludf.DUMMYFUNCTION("""COMPUTED_VALUE"""),5.0)</f>
        <v>5</v>
      </c>
      <c r="G1985" s="2">
        <f>IFERROR(__xludf.DUMMYFUNCTION("""COMPUTED_VALUE"""),12.0)</f>
        <v>12</v>
      </c>
      <c r="H1985" s="2">
        <f>IFERROR(__xludf.DUMMYFUNCTION("""COMPUTED_VALUE"""),104.0)</f>
        <v>104</v>
      </c>
      <c r="I1985" s="2" t="str">
        <f>IFERROR(__xludf.DUMMYFUNCTION("""COMPUTED_VALUE"""),"Panel")</f>
        <v>Panel</v>
      </c>
      <c r="J1985" s="2" t="str">
        <f>IFERROR(__xludf.DUMMYFUNCTION("""COMPUTED_VALUE"""),"All amenities")</f>
        <v>All amenities</v>
      </c>
      <c r="K1985" s="2">
        <f>IFERROR(__xludf.DUMMYFUNCTION("""COMPUTED_VALUE"""),85000.0)</f>
        <v>85000</v>
      </c>
      <c r="L1985" s="2">
        <f>IFERROR(__xludf.DUMMYFUNCTION("""COMPUTED_VALUE"""),56.9583699)</f>
        <v>56.9583699</v>
      </c>
      <c r="M1985" s="2">
        <f>IFERROR(__xludf.DUMMYFUNCTION("""COMPUTED_VALUE"""),24.1789809)</f>
        <v>24.1789809</v>
      </c>
    </row>
    <row r="1986">
      <c r="A1986" s="2" t="str">
        <f>IFERROR(__xludf.DUMMYFUNCTION("""COMPUTED_VALUE"""),"For sale")</f>
        <v>For sale</v>
      </c>
      <c r="B1986" s="2" t="str">
        <f>IFERROR(__xludf.DUMMYFUNCTION("""COMPUTED_VALUE"""),"Āgenskalns")</f>
        <v>Āgenskalns</v>
      </c>
      <c r="C1986" s="2" t="str">
        <f>IFERROR(__xludf.DUMMYFUNCTION("""COMPUTED_VALUE"""),"Gregora 6")</f>
        <v>Gregora 6</v>
      </c>
      <c r="D1986" s="2">
        <f>IFERROR(__xludf.DUMMYFUNCTION("""COMPUTED_VALUE"""),2.0)</f>
        <v>2</v>
      </c>
      <c r="E1986" s="2">
        <f>IFERROR(__xludf.DUMMYFUNCTION("""COMPUTED_VALUE"""),36.0)</f>
        <v>36</v>
      </c>
      <c r="F1986" s="2">
        <f>IFERROR(__xludf.DUMMYFUNCTION("""COMPUTED_VALUE"""),6.0)</f>
        <v>6</v>
      </c>
      <c r="G1986" s="2">
        <f>IFERROR(__xludf.DUMMYFUNCTION("""COMPUTED_VALUE"""),6.0)</f>
        <v>6</v>
      </c>
      <c r="H1986" s="2" t="str">
        <f>IFERROR(__xludf.DUMMYFUNCTION("""COMPUTED_VALUE"""),"LT proj.")</f>
        <v>LT proj.</v>
      </c>
      <c r="I1986" s="2" t="str">
        <f>IFERROR(__xludf.DUMMYFUNCTION("""COMPUTED_VALUE"""),"Brick-Panel")</f>
        <v>Brick-Panel</v>
      </c>
      <c r="J1986" s="2" t="str">
        <f>IFERROR(__xludf.DUMMYFUNCTION("""COMPUTED_VALUE"""),"All amenities")</f>
        <v>All amenities</v>
      </c>
      <c r="K1986" s="2">
        <f>IFERROR(__xludf.DUMMYFUNCTION("""COMPUTED_VALUE"""),29500.0)</f>
        <v>29500</v>
      </c>
      <c r="L1986" s="2">
        <f>IFERROR(__xludf.DUMMYFUNCTION("""COMPUTED_VALUE"""),56.945795)</f>
        <v>56.945795</v>
      </c>
      <c r="M1986" s="2">
        <f>IFERROR(__xludf.DUMMYFUNCTION("""COMPUTED_VALUE"""),24.0521562)</f>
        <v>24.0521562</v>
      </c>
    </row>
    <row r="1987">
      <c r="A1987" s="2" t="str">
        <f>IFERROR(__xludf.DUMMYFUNCTION("""COMPUTED_VALUE"""),"For sale")</f>
        <v>For sale</v>
      </c>
      <c r="B1987" s="2" t="str">
        <f>IFERROR(__xludf.DUMMYFUNCTION("""COMPUTED_VALUE"""),"centrs")</f>
        <v>centrs</v>
      </c>
      <c r="C1987" s="2" t="str">
        <f>IFERROR(__xludf.DUMMYFUNCTION("""COMPUTED_VALUE"""),"Republikas laukums 3")</f>
        <v>Republikas laukums 3</v>
      </c>
      <c r="D1987" s="2">
        <f>IFERROR(__xludf.DUMMYFUNCTION("""COMPUTED_VALUE"""),3.0)</f>
        <v>3</v>
      </c>
      <c r="E1987" s="2">
        <f>IFERROR(__xludf.DUMMYFUNCTION("""COMPUTED_VALUE"""),126.0)</f>
        <v>126</v>
      </c>
      <c r="F1987" s="2">
        <f>IFERROR(__xludf.DUMMYFUNCTION("""COMPUTED_VALUE"""),6.0)</f>
        <v>6</v>
      </c>
      <c r="G1987" s="2">
        <f>IFERROR(__xludf.DUMMYFUNCTION("""COMPUTED_VALUE"""),6.0)</f>
        <v>6</v>
      </c>
      <c r="H1987" s="2" t="str">
        <f>IFERROR(__xludf.DUMMYFUNCTION("""COMPUTED_VALUE"""),"Jaun.")</f>
        <v>Jaun.</v>
      </c>
      <c r="I1987" s="2" t="str">
        <f>IFERROR(__xludf.DUMMYFUNCTION("""COMPUTED_VALUE"""),"Panel")</f>
        <v>Panel</v>
      </c>
      <c r="J1987" s="2" t="str">
        <f>IFERROR(__xludf.DUMMYFUNCTION("""COMPUTED_VALUE"""),"All amenities")</f>
        <v>All amenities</v>
      </c>
      <c r="K1987" s="2">
        <f>IFERROR(__xludf.DUMMYFUNCTION("""COMPUTED_VALUE"""),273000.0)</f>
        <v>273000</v>
      </c>
      <c r="L1987" s="2">
        <f>IFERROR(__xludf.DUMMYFUNCTION("""COMPUTED_VALUE"""),56.9552522)</f>
        <v>56.9552522</v>
      </c>
      <c r="M1987" s="2">
        <f>IFERROR(__xludf.DUMMYFUNCTION("""COMPUTED_VALUE"""),24.0999991251943)</f>
        <v>24.09999913</v>
      </c>
    </row>
    <row r="1988">
      <c r="A1988" s="2" t="str">
        <f>IFERROR(__xludf.DUMMYFUNCTION("""COMPUTED_VALUE"""),"For sale")</f>
        <v>For sale</v>
      </c>
      <c r="B1988" s="2" t="str">
        <f>IFERROR(__xludf.DUMMYFUNCTION("""COMPUTED_VALUE"""),"Pļavnieki")</f>
        <v>Pļavnieki</v>
      </c>
      <c r="C1988" s="2" t="str">
        <f>IFERROR(__xludf.DUMMYFUNCTION("""COMPUTED_VALUE"""),"Lubānas 117-65")</f>
        <v>Lubānas 117-65</v>
      </c>
      <c r="D1988" s="2">
        <f>IFERROR(__xludf.DUMMYFUNCTION("""COMPUTED_VALUE"""),2.0)</f>
        <v>2</v>
      </c>
      <c r="E1988" s="2">
        <f>IFERROR(__xludf.DUMMYFUNCTION("""COMPUTED_VALUE"""),50.0)</f>
        <v>50</v>
      </c>
      <c r="F1988" s="2">
        <f>IFERROR(__xludf.DUMMYFUNCTION("""COMPUTED_VALUE"""),9.0)</f>
        <v>9</v>
      </c>
      <c r="G1988" s="2">
        <f>IFERROR(__xludf.DUMMYFUNCTION("""COMPUTED_VALUE"""),8.0)</f>
        <v>8</v>
      </c>
      <c r="H1988" s="2">
        <f>IFERROR(__xludf.DUMMYFUNCTION("""COMPUTED_VALUE"""),602.0)</f>
        <v>602</v>
      </c>
      <c r="I1988" s="2" t="str">
        <f>IFERROR(__xludf.DUMMYFUNCTION("""COMPUTED_VALUE"""),"Panel")</f>
        <v>Panel</v>
      </c>
      <c r="J1988" s="2" t="str">
        <f>IFERROR(__xludf.DUMMYFUNCTION("""COMPUTED_VALUE"""),"All amenities")</f>
        <v>All amenities</v>
      </c>
      <c r="K1988" s="2">
        <f>IFERROR(__xludf.DUMMYFUNCTION("""COMPUTED_VALUE"""),47000.0)</f>
        <v>47000</v>
      </c>
      <c r="L1988" s="2">
        <f>IFERROR(__xludf.DUMMYFUNCTION("""COMPUTED_VALUE"""),56.9310392)</f>
        <v>56.9310392</v>
      </c>
      <c r="M1988" s="2">
        <f>IFERROR(__xludf.DUMMYFUNCTION("""COMPUTED_VALUE"""),24.1885814)</f>
        <v>24.1885814</v>
      </c>
    </row>
    <row r="1989">
      <c r="A1989" s="2" t="str">
        <f>IFERROR(__xludf.DUMMYFUNCTION("""COMPUTED_VALUE"""),"For sale")</f>
        <v>For sale</v>
      </c>
      <c r="B1989" s="2" t="str">
        <f>IFERROR(__xludf.DUMMYFUNCTION("""COMPUTED_VALUE"""),"Maskavas priekšpilsēta")</f>
        <v>Maskavas priekšpilsēta</v>
      </c>
      <c r="C1989" s="2" t="str">
        <f>IFERROR(__xludf.DUMMYFUNCTION("""COMPUTED_VALUE"""),"Maskavas 55")</f>
        <v>Maskavas 55</v>
      </c>
      <c r="D1989" s="2">
        <f>IFERROR(__xludf.DUMMYFUNCTION("""COMPUTED_VALUE"""),3.0)</f>
        <v>3</v>
      </c>
      <c r="E1989" s="2">
        <f>IFERROR(__xludf.DUMMYFUNCTION("""COMPUTED_VALUE"""),65.0)</f>
        <v>65</v>
      </c>
      <c r="F1989" s="2">
        <f>IFERROR(__xludf.DUMMYFUNCTION("""COMPUTED_VALUE"""),1.0)</f>
        <v>1</v>
      </c>
      <c r="G1989" s="2">
        <f>IFERROR(__xludf.DUMMYFUNCTION("""COMPUTED_VALUE"""),5.0)</f>
        <v>5</v>
      </c>
      <c r="H1989" s="2" t="str">
        <f>IFERROR(__xludf.DUMMYFUNCTION("""COMPUTED_VALUE"""),"P. kara")</f>
        <v>P. kara</v>
      </c>
      <c r="I1989" s="2" t="str">
        <f>IFERROR(__xludf.DUMMYFUNCTION("""COMPUTED_VALUE"""),"Masonry")</f>
        <v>Masonry</v>
      </c>
      <c r="J1989" s="2" t="str">
        <f>IFERROR(__xludf.DUMMYFUNCTION("""COMPUTED_VALUE"""),"All amenities")</f>
        <v>All amenities</v>
      </c>
      <c r="K1989" s="2">
        <f>IFERROR(__xludf.DUMMYFUNCTION("""COMPUTED_VALUE"""),68000.0)</f>
        <v>68000</v>
      </c>
      <c r="L1989" s="2">
        <f>IFERROR(__xludf.DUMMYFUNCTION("""COMPUTED_VALUE"""),56.8597884)</f>
        <v>56.8597884</v>
      </c>
      <c r="M1989" s="2">
        <f>IFERROR(__xludf.DUMMYFUNCTION("""COMPUTED_VALUE"""),24.3083417)</f>
        <v>24.3083417</v>
      </c>
    </row>
    <row r="1990">
      <c r="A1990" s="2" t="str">
        <f>IFERROR(__xludf.DUMMYFUNCTION("""COMPUTED_VALUE"""),"For rent")</f>
        <v>For rent</v>
      </c>
      <c r="B1990" s="2" t="str">
        <f>IFERROR(__xludf.DUMMYFUNCTION("""COMPUTED_VALUE"""),"centrs")</f>
        <v>centrs</v>
      </c>
      <c r="C1990" s="2" t="str">
        <f>IFERROR(__xludf.DUMMYFUNCTION("""COMPUTED_VALUE"""),"Bruņinieku 81")</f>
        <v>Bruņinieku 81</v>
      </c>
      <c r="D1990" s="2">
        <f>IFERROR(__xludf.DUMMYFUNCTION("""COMPUTED_VALUE"""),1.0)</f>
        <v>1</v>
      </c>
      <c r="E1990" s="2">
        <f>IFERROR(__xludf.DUMMYFUNCTION("""COMPUTED_VALUE"""),14.0)</f>
        <v>14</v>
      </c>
      <c r="F1990" s="2">
        <f>IFERROR(__xludf.DUMMYFUNCTION("""COMPUTED_VALUE"""),3.0)</f>
        <v>3</v>
      </c>
      <c r="G1990" s="2">
        <f>IFERROR(__xludf.DUMMYFUNCTION("""COMPUTED_VALUE"""),5.0)</f>
        <v>5</v>
      </c>
      <c r="H1990" s="2" t="str">
        <f>IFERROR(__xludf.DUMMYFUNCTION("""COMPUTED_VALUE"""),"P. kara")</f>
        <v>P. kara</v>
      </c>
      <c r="I1990" s="2" t="str">
        <f>IFERROR(__xludf.DUMMYFUNCTION("""COMPUTED_VALUE"""),"Masonry")</f>
        <v>Masonry</v>
      </c>
      <c r="J1990" s="2" t="str">
        <f>IFERROR(__xludf.DUMMYFUNCTION("""COMPUTED_VALUE"""),"All amenities")</f>
        <v>All amenities</v>
      </c>
      <c r="K1990" s="2">
        <f>IFERROR(__xludf.DUMMYFUNCTION("""COMPUTED_VALUE"""),185.0)</f>
        <v>185</v>
      </c>
      <c r="L1990" s="2">
        <f>IFERROR(__xludf.DUMMYFUNCTION("""COMPUTED_VALUE"""),56.9519155)</f>
        <v>56.9519155</v>
      </c>
      <c r="M1990" s="2">
        <f>IFERROR(__xludf.DUMMYFUNCTION("""COMPUTED_VALUE"""),24.1404527160079)</f>
        <v>24.14045272</v>
      </c>
    </row>
    <row r="1991">
      <c r="A1991" s="2" t="str">
        <f>IFERROR(__xludf.DUMMYFUNCTION("""COMPUTED_VALUE"""),"For sale")</f>
        <v>For sale</v>
      </c>
      <c r="B1991" s="2" t="str">
        <f>IFERROR(__xludf.DUMMYFUNCTION("""COMPUTED_VALUE"""),"centrs")</f>
        <v>centrs</v>
      </c>
      <c r="C1991" s="2" t="str">
        <f>IFERROR(__xludf.DUMMYFUNCTION("""COMPUTED_VALUE"""),"Hospitāļu 28")</f>
        <v>Hospitāļu 28</v>
      </c>
      <c r="D1991" s="2">
        <f>IFERROR(__xludf.DUMMYFUNCTION("""COMPUTED_VALUE"""),2.0)</f>
        <v>2</v>
      </c>
      <c r="E1991" s="2">
        <f>IFERROR(__xludf.DUMMYFUNCTION("""COMPUTED_VALUE"""),62.0)</f>
        <v>62</v>
      </c>
      <c r="F1991" s="2">
        <f>IFERROR(__xludf.DUMMYFUNCTION("""COMPUTED_VALUE"""),4.0)</f>
        <v>4</v>
      </c>
      <c r="G1991" s="2">
        <f>IFERROR(__xludf.DUMMYFUNCTION("""COMPUTED_VALUE"""),5.0)</f>
        <v>5</v>
      </c>
      <c r="H1991" s="2" t="str">
        <f>IFERROR(__xludf.DUMMYFUNCTION("""COMPUTED_VALUE"""),"P. kara")</f>
        <v>P. kara</v>
      </c>
      <c r="I1991" s="2" t="str">
        <f>IFERROR(__xludf.DUMMYFUNCTION("""COMPUTED_VALUE"""),"Brick")</f>
        <v>Brick</v>
      </c>
      <c r="J1991" s="2" t="str">
        <f>IFERROR(__xludf.DUMMYFUNCTION("""COMPUTED_VALUE"""),"All amenities")</f>
        <v>All amenities</v>
      </c>
      <c r="K1991" s="2">
        <f>IFERROR(__xludf.DUMMYFUNCTION("""COMPUTED_VALUE"""),67500.0)</f>
        <v>67500</v>
      </c>
      <c r="L1991" s="2">
        <f>IFERROR(__xludf.DUMMYFUNCTION("""COMPUTED_VALUE"""),56.97381225)</f>
        <v>56.97381225</v>
      </c>
      <c r="M1991" s="2">
        <f>IFERROR(__xludf.DUMMYFUNCTION("""COMPUTED_VALUE"""),24.1381184654766)</f>
        <v>24.13811847</v>
      </c>
    </row>
    <row r="1992">
      <c r="A1992" s="2" t="str">
        <f>IFERROR(__xludf.DUMMYFUNCTION("""COMPUTED_VALUE"""),"For sale")</f>
        <v>For sale</v>
      </c>
      <c r="B1992" s="2" t="str">
        <f>IFERROR(__xludf.DUMMYFUNCTION("""COMPUTED_VALUE"""),"Imanta")</f>
        <v>Imanta</v>
      </c>
      <c r="C1992" s="2" t="str">
        <f>IFERROR(__xludf.DUMMYFUNCTION("""COMPUTED_VALUE"""),"Anniņmuižas bulvāris 50")</f>
        <v>Anniņmuižas bulvāris 50</v>
      </c>
      <c r="D1992" s="2">
        <f>IFERROR(__xludf.DUMMYFUNCTION("""COMPUTED_VALUE"""),3.0)</f>
        <v>3</v>
      </c>
      <c r="E1992" s="2">
        <f>IFERROR(__xludf.DUMMYFUNCTION("""COMPUTED_VALUE"""),61.0)</f>
        <v>61</v>
      </c>
      <c r="F1992" s="2">
        <f>IFERROR(__xludf.DUMMYFUNCTION("""COMPUTED_VALUE"""),5.0)</f>
        <v>5</v>
      </c>
      <c r="G1992" s="2">
        <f>IFERROR(__xludf.DUMMYFUNCTION("""COMPUTED_VALUE"""),9.0)</f>
        <v>9</v>
      </c>
      <c r="H1992" s="2">
        <f>IFERROR(__xludf.DUMMYFUNCTION("""COMPUTED_VALUE"""),602.0)</f>
        <v>602</v>
      </c>
      <c r="I1992" s="2" t="str">
        <f>IFERROR(__xludf.DUMMYFUNCTION("""COMPUTED_VALUE"""),"Panel")</f>
        <v>Panel</v>
      </c>
      <c r="J1992" s="2" t="str">
        <f>IFERROR(__xludf.DUMMYFUNCTION("""COMPUTED_VALUE"""),"All amenities")</f>
        <v>All amenities</v>
      </c>
      <c r="K1992" s="2">
        <f>IFERROR(__xludf.DUMMYFUNCTION("""COMPUTED_VALUE"""),53500.0)</f>
        <v>53500</v>
      </c>
      <c r="L1992" s="2">
        <f>IFERROR(__xludf.DUMMYFUNCTION("""COMPUTED_VALUE"""),56.95975045)</f>
        <v>56.95975045</v>
      </c>
      <c r="M1992" s="2">
        <f>IFERROR(__xludf.DUMMYFUNCTION("""COMPUTED_VALUE"""),24.0106930678479)</f>
        <v>24.01069307</v>
      </c>
    </row>
    <row r="1993">
      <c r="A1993" s="2" t="str">
        <f>IFERROR(__xludf.DUMMYFUNCTION("""COMPUTED_VALUE"""),"For sale")</f>
        <v>For sale</v>
      </c>
      <c r="B1993" s="2" t="str">
        <f>IFERROR(__xludf.DUMMYFUNCTION("""COMPUTED_VALUE"""),"Ķīpsala")</f>
        <v>Ķīpsala</v>
      </c>
      <c r="C1993" s="2" t="str">
        <f>IFERROR(__xludf.DUMMYFUNCTION("""COMPUTED_VALUE"""),"Balasta d. 72")</f>
        <v>Balasta d. 72</v>
      </c>
      <c r="D1993" s="2">
        <f>IFERROR(__xludf.DUMMYFUNCTION("""COMPUTED_VALUE"""),3.0)</f>
        <v>3</v>
      </c>
      <c r="E1993" s="2">
        <f>IFERROR(__xludf.DUMMYFUNCTION("""COMPUTED_VALUE"""),131.0)</f>
        <v>131</v>
      </c>
      <c r="F1993" s="2">
        <f>IFERROR(__xludf.DUMMYFUNCTION("""COMPUTED_VALUE"""),1.0)</f>
        <v>1</v>
      </c>
      <c r="G1993" s="2">
        <f>IFERROR(__xludf.DUMMYFUNCTION("""COMPUTED_VALUE"""),1.0)</f>
        <v>1</v>
      </c>
      <c r="H1993" s="2" t="str">
        <f>IFERROR(__xludf.DUMMYFUNCTION("""COMPUTED_VALUE"""),"Jaun.")</f>
        <v>Jaun.</v>
      </c>
      <c r="I1993" s="2" t="str">
        <f>IFERROR(__xludf.DUMMYFUNCTION("""COMPUTED_VALUE"""),"Masonry")</f>
        <v>Masonry</v>
      </c>
      <c r="J1993" s="2" t="str">
        <f>IFERROR(__xludf.DUMMYFUNCTION("""COMPUTED_VALUE"""),"All amenities")</f>
        <v>All amenities</v>
      </c>
      <c r="K1993" s="2">
        <f>IFERROR(__xludf.DUMMYFUNCTION("""COMPUTED_VALUE"""),260000.0)</f>
        <v>260000</v>
      </c>
      <c r="L1993" s="2">
        <f>IFERROR(__xludf.DUMMYFUNCTION("""COMPUTED_VALUE"""),56.9489344)</f>
        <v>56.9489344</v>
      </c>
      <c r="M1993" s="2">
        <f>IFERROR(__xludf.DUMMYFUNCTION("""COMPUTED_VALUE"""),24.0882804)</f>
        <v>24.0882804</v>
      </c>
    </row>
    <row r="1994">
      <c r="A1994" s="2" t="str">
        <f>IFERROR(__xludf.DUMMYFUNCTION("""COMPUTED_VALUE"""),"For sale")</f>
        <v>For sale</v>
      </c>
      <c r="B1994" s="2" t="str">
        <f>IFERROR(__xludf.DUMMYFUNCTION("""COMPUTED_VALUE"""),"centrs")</f>
        <v>centrs</v>
      </c>
      <c r="C1994" s="2" t="str">
        <f>IFERROR(__xludf.DUMMYFUNCTION("""COMPUTED_VALUE"""),"Valdemāra 76")</f>
        <v>Valdemāra 76</v>
      </c>
      <c r="D1994" s="2">
        <f>IFERROR(__xludf.DUMMYFUNCTION("""COMPUTED_VALUE"""),4.0)</f>
        <v>4</v>
      </c>
      <c r="E1994" s="2">
        <f>IFERROR(__xludf.DUMMYFUNCTION("""COMPUTED_VALUE"""),96.0)</f>
        <v>96</v>
      </c>
      <c r="F1994" s="2">
        <f>IFERROR(__xludf.DUMMYFUNCTION("""COMPUTED_VALUE"""),3.0)</f>
        <v>3</v>
      </c>
      <c r="G1994" s="2">
        <f>IFERROR(__xludf.DUMMYFUNCTION("""COMPUTED_VALUE"""),10.0)</f>
        <v>10</v>
      </c>
      <c r="H1994" s="2" t="str">
        <f>IFERROR(__xludf.DUMMYFUNCTION("""COMPUTED_VALUE"""),"Specpr.")</f>
        <v>Specpr.</v>
      </c>
      <c r="I1994" s="2" t="str">
        <f>IFERROR(__xludf.DUMMYFUNCTION("""COMPUTED_VALUE"""),"Brick")</f>
        <v>Brick</v>
      </c>
      <c r="J1994" s="2" t="str">
        <f>IFERROR(__xludf.DUMMYFUNCTION("""COMPUTED_VALUE"""),"All amenities")</f>
        <v>All amenities</v>
      </c>
      <c r="K1994" s="2">
        <f>IFERROR(__xludf.DUMMYFUNCTION("""COMPUTED_VALUE"""),130000.0)</f>
        <v>130000</v>
      </c>
      <c r="L1994" s="2">
        <f>IFERROR(__xludf.DUMMYFUNCTION("""COMPUTED_VALUE"""),56.96885245)</f>
        <v>56.96885245</v>
      </c>
      <c r="M1994" s="2">
        <f>IFERROR(__xludf.DUMMYFUNCTION("""COMPUTED_VALUE"""),24.13257603943)</f>
        <v>24.13257604</v>
      </c>
    </row>
    <row r="1995">
      <c r="A1995" s="2" t="str">
        <f>IFERROR(__xludf.DUMMYFUNCTION("""COMPUTED_VALUE"""),"For sale")</f>
        <v>For sale</v>
      </c>
      <c r="B1995" s="2" t="str">
        <f>IFERROR(__xludf.DUMMYFUNCTION("""COMPUTED_VALUE"""),"Vecmīlgrāvis")</f>
        <v>Vecmīlgrāvis</v>
      </c>
      <c r="C1995" s="2" t="str">
        <f>IFERROR(__xludf.DUMMYFUNCTION("""COMPUTED_VALUE"""),"Stiebru 6")</f>
        <v>Stiebru 6</v>
      </c>
      <c r="D1995" s="2">
        <f>IFERROR(__xludf.DUMMYFUNCTION("""COMPUTED_VALUE"""),1.0)</f>
        <v>1</v>
      </c>
      <c r="E1995" s="2">
        <f>IFERROR(__xludf.DUMMYFUNCTION("""COMPUTED_VALUE"""),28.0)</f>
        <v>28</v>
      </c>
      <c r="F1995" s="2">
        <f>IFERROR(__xludf.DUMMYFUNCTION("""COMPUTED_VALUE"""),1.0)</f>
        <v>1</v>
      </c>
      <c r="G1995" s="2">
        <f>IFERROR(__xludf.DUMMYFUNCTION("""COMPUTED_VALUE"""),5.0)</f>
        <v>5</v>
      </c>
      <c r="H1995" s="2" t="str">
        <f>IFERROR(__xludf.DUMMYFUNCTION("""COMPUTED_VALUE"""),"LT proj.")</f>
        <v>LT proj.</v>
      </c>
      <c r="I1995" s="2" t="str">
        <f>IFERROR(__xludf.DUMMYFUNCTION("""COMPUTED_VALUE"""),"Panel")</f>
        <v>Panel</v>
      </c>
      <c r="J1995" s="2" t="str">
        <f>IFERROR(__xludf.DUMMYFUNCTION("""COMPUTED_VALUE"""),"All amenities")</f>
        <v>All amenities</v>
      </c>
      <c r="K1995" s="2">
        <f>IFERROR(__xludf.DUMMYFUNCTION("""COMPUTED_VALUE"""),31000.0)</f>
        <v>31000</v>
      </c>
      <c r="L1995" s="2">
        <f>IFERROR(__xludf.DUMMYFUNCTION("""COMPUTED_VALUE"""),57.0347818)</f>
        <v>57.0347818</v>
      </c>
      <c r="M1995" s="2">
        <f>IFERROR(__xludf.DUMMYFUNCTION("""COMPUTED_VALUE"""),24.0961718499999)</f>
        <v>24.09617185</v>
      </c>
    </row>
    <row r="1996">
      <c r="A1996" s="2" t="str">
        <f>IFERROR(__xludf.DUMMYFUNCTION("""COMPUTED_VALUE"""),"For sale")</f>
        <v>For sale</v>
      </c>
      <c r="B1996" s="2" t="str">
        <f>IFERROR(__xludf.DUMMYFUNCTION("""COMPUTED_VALUE"""),"centrs")</f>
        <v>centrs</v>
      </c>
      <c r="C1996" s="2" t="str">
        <f>IFERROR(__xludf.DUMMYFUNCTION("""COMPUTED_VALUE"""),"Vāgnera 12")</f>
        <v>Vāgnera 12</v>
      </c>
      <c r="D1996" s="2">
        <f>IFERROR(__xludf.DUMMYFUNCTION("""COMPUTED_VALUE"""),1.0)</f>
        <v>1</v>
      </c>
      <c r="E1996" s="2">
        <f>IFERROR(__xludf.DUMMYFUNCTION("""COMPUTED_VALUE"""),20.0)</f>
        <v>20</v>
      </c>
      <c r="F1996" s="2">
        <f>IFERROR(__xludf.DUMMYFUNCTION("""COMPUTED_VALUE"""),2.0)</f>
        <v>2</v>
      </c>
      <c r="G1996" s="2">
        <f>IFERROR(__xludf.DUMMYFUNCTION("""COMPUTED_VALUE"""),4.0)</f>
        <v>4</v>
      </c>
      <c r="H1996" s="2" t="str">
        <f>IFERROR(__xludf.DUMMYFUNCTION("""COMPUTED_VALUE"""),"Renov.")</f>
        <v>Renov.</v>
      </c>
      <c r="I1996" s="2" t="str">
        <f>IFERROR(__xludf.DUMMYFUNCTION("""COMPUTED_VALUE"""),"Masonry")</f>
        <v>Masonry</v>
      </c>
      <c r="J1996" s="2" t="str">
        <f>IFERROR(__xludf.DUMMYFUNCTION("""COMPUTED_VALUE"""),"All amenities")</f>
        <v>All amenities</v>
      </c>
      <c r="K1996" s="2">
        <f>IFERROR(__xludf.DUMMYFUNCTION("""COMPUTED_VALUE"""),72000.0)</f>
        <v>72000</v>
      </c>
      <c r="L1996" s="2">
        <f>IFERROR(__xludf.DUMMYFUNCTION("""COMPUTED_VALUE"""),56.94881585)</f>
        <v>56.94881585</v>
      </c>
      <c r="M1996" s="2">
        <f>IFERROR(__xludf.DUMMYFUNCTION("""COMPUTED_VALUE"""),24.1114738591085)</f>
        <v>24.11147386</v>
      </c>
    </row>
    <row r="1997">
      <c r="A1997" s="2" t="str">
        <f>IFERROR(__xludf.DUMMYFUNCTION("""COMPUTED_VALUE"""),"For sale")</f>
        <v>For sale</v>
      </c>
      <c r="B1997" s="2" t="str">
        <f>IFERROR(__xludf.DUMMYFUNCTION("""COMPUTED_VALUE"""),"Pļavnieki")</f>
        <v>Pļavnieki</v>
      </c>
      <c r="C1997" s="2" t="str">
        <f>IFERROR(__xludf.DUMMYFUNCTION("""COMPUTED_VALUE"""),"Ulbrokas 22")</f>
        <v>Ulbrokas 22</v>
      </c>
      <c r="D1997" s="2">
        <f>IFERROR(__xludf.DUMMYFUNCTION("""COMPUTED_VALUE"""),2.0)</f>
        <v>2</v>
      </c>
      <c r="E1997" s="2">
        <f>IFERROR(__xludf.DUMMYFUNCTION("""COMPUTED_VALUE"""),51.0)</f>
        <v>51</v>
      </c>
      <c r="F1997" s="2">
        <f>IFERROR(__xludf.DUMMYFUNCTION("""COMPUTED_VALUE"""),3.0)</f>
        <v>3</v>
      </c>
      <c r="G1997" s="2">
        <f>IFERROR(__xludf.DUMMYFUNCTION("""COMPUTED_VALUE"""),9.0)</f>
        <v>9</v>
      </c>
      <c r="H1997" s="2">
        <f>IFERROR(__xludf.DUMMYFUNCTION("""COMPUTED_VALUE"""),602.0)</f>
        <v>602</v>
      </c>
      <c r="I1997" s="2" t="str">
        <f>IFERROR(__xludf.DUMMYFUNCTION("""COMPUTED_VALUE"""),"Panel")</f>
        <v>Panel</v>
      </c>
      <c r="J1997" s="2" t="str">
        <f>IFERROR(__xludf.DUMMYFUNCTION("""COMPUTED_VALUE"""),"All amenities")</f>
        <v>All amenities</v>
      </c>
      <c r="K1997" s="2">
        <f>IFERROR(__xludf.DUMMYFUNCTION("""COMPUTED_VALUE"""),52900.0)</f>
        <v>52900</v>
      </c>
      <c r="L1997" s="2">
        <f>IFERROR(__xludf.DUMMYFUNCTION("""COMPUTED_VALUE"""),56.9440729)</f>
        <v>56.9440729</v>
      </c>
      <c r="M1997" s="2">
        <f>IFERROR(__xludf.DUMMYFUNCTION("""COMPUTED_VALUE"""),24.2177392125913)</f>
        <v>24.21773921</v>
      </c>
    </row>
    <row r="1998">
      <c r="A1998" s="2" t="str">
        <f>IFERROR(__xludf.DUMMYFUNCTION("""COMPUTED_VALUE"""),"For rent")</f>
        <v>For rent</v>
      </c>
      <c r="B1998" s="2" t="str">
        <f>IFERROR(__xludf.DUMMYFUNCTION("""COMPUTED_VALUE"""),"Teika")</f>
        <v>Teika</v>
      </c>
      <c r="C1998" s="2" t="str">
        <f>IFERROR(__xludf.DUMMYFUNCTION("""COMPUTED_VALUE"""),"Vairoga 32")</f>
        <v>Vairoga 32</v>
      </c>
      <c r="D1998" s="2">
        <f>IFERROR(__xludf.DUMMYFUNCTION("""COMPUTED_VALUE"""),2.0)</f>
        <v>2</v>
      </c>
      <c r="E1998" s="2">
        <f>IFERROR(__xludf.DUMMYFUNCTION("""COMPUTED_VALUE"""),56.0)</f>
        <v>56</v>
      </c>
      <c r="F1998" s="2">
        <f>IFERROR(__xludf.DUMMYFUNCTION("""COMPUTED_VALUE"""),2.0)</f>
        <v>2</v>
      </c>
      <c r="G1998" s="2">
        <f>IFERROR(__xludf.DUMMYFUNCTION("""COMPUTED_VALUE"""),3.0)</f>
        <v>3</v>
      </c>
      <c r="H1998" s="2" t="str">
        <f>IFERROR(__xludf.DUMMYFUNCTION("""COMPUTED_VALUE"""),"Jaun.")</f>
        <v>Jaun.</v>
      </c>
      <c r="I1998" s="2" t="str">
        <f>IFERROR(__xludf.DUMMYFUNCTION("""COMPUTED_VALUE"""),"Brick-Panel")</f>
        <v>Brick-Panel</v>
      </c>
      <c r="J1998" s="2" t="str">
        <f>IFERROR(__xludf.DUMMYFUNCTION("""COMPUTED_VALUE"""),"All amenities")</f>
        <v>All amenities</v>
      </c>
      <c r="K1998" s="2">
        <f>IFERROR(__xludf.DUMMYFUNCTION("""COMPUTED_VALUE"""),540.0)</f>
        <v>540</v>
      </c>
      <c r="L1998" s="2">
        <f>IFERROR(__xludf.DUMMYFUNCTION("""COMPUTED_VALUE"""),56.9690716)</f>
        <v>56.9690716</v>
      </c>
      <c r="M1998" s="2">
        <f>IFERROR(__xludf.DUMMYFUNCTION("""COMPUTED_VALUE"""),24.1716498860135)</f>
        <v>24.17164989</v>
      </c>
    </row>
    <row r="1999">
      <c r="A1999" s="2" t="str">
        <f>IFERROR(__xludf.DUMMYFUNCTION("""COMPUTED_VALUE"""),"For sale")</f>
        <v>For sale</v>
      </c>
      <c r="B1999" s="2" t="str">
        <f>IFERROR(__xludf.DUMMYFUNCTION("""COMPUTED_VALUE"""),"Āgenskalns")</f>
        <v>Āgenskalns</v>
      </c>
      <c r="C1999" s="2" t="str">
        <f>IFERROR(__xludf.DUMMYFUNCTION("""COMPUTED_VALUE"""),"Raņķa d. 34")</f>
        <v>Raņķa d. 34</v>
      </c>
      <c r="D1999" s="2">
        <f>IFERROR(__xludf.DUMMYFUNCTION("""COMPUTED_VALUE"""),3.0)</f>
        <v>3</v>
      </c>
      <c r="E1999" s="2">
        <f>IFERROR(__xludf.DUMMYFUNCTION("""COMPUTED_VALUE"""),91.0)</f>
        <v>91</v>
      </c>
      <c r="F1999" s="2">
        <f>IFERROR(__xludf.DUMMYFUNCTION("""COMPUTED_VALUE"""),6.0)</f>
        <v>6</v>
      </c>
      <c r="G1999" s="2">
        <f>IFERROR(__xludf.DUMMYFUNCTION("""COMPUTED_VALUE"""),23.0)</f>
        <v>23</v>
      </c>
      <c r="H1999" s="2" t="str">
        <f>IFERROR(__xludf.DUMMYFUNCTION("""COMPUTED_VALUE"""),"Jaun.")</f>
        <v>Jaun.</v>
      </c>
      <c r="I1999" s="2" t="str">
        <f>IFERROR(__xludf.DUMMYFUNCTION("""COMPUTED_VALUE"""),"Masonry")</f>
        <v>Masonry</v>
      </c>
      <c r="J1999" s="2" t="str">
        <f>IFERROR(__xludf.DUMMYFUNCTION("""COMPUTED_VALUE"""),"All amenities")</f>
        <v>All amenities</v>
      </c>
      <c r="K1999" s="2">
        <f>IFERROR(__xludf.DUMMYFUNCTION("""COMPUTED_VALUE"""),199400.0)</f>
        <v>199400</v>
      </c>
      <c r="L1999" s="2">
        <f>IFERROR(__xludf.DUMMYFUNCTION("""COMPUTED_VALUE"""),56.9483074)</f>
        <v>56.9483074</v>
      </c>
      <c r="M1999" s="2">
        <f>IFERROR(__xludf.DUMMYFUNCTION("""COMPUTED_VALUE"""),24.0801468)</f>
        <v>24.0801468</v>
      </c>
    </row>
    <row r="2000">
      <c r="A2000" s="2" t="str">
        <f>IFERROR(__xludf.DUMMYFUNCTION("""COMPUTED_VALUE"""),"For sale")</f>
        <v>For sale</v>
      </c>
      <c r="B2000" s="2" t="str">
        <f>IFERROR(__xludf.DUMMYFUNCTION("""COMPUTED_VALUE"""),"Teika")</f>
        <v>Teika</v>
      </c>
      <c r="C2000" s="2" t="str">
        <f>IFERROR(__xludf.DUMMYFUNCTION("""COMPUTED_VALUE"""),"Āraišu 38")</f>
        <v>Āraišu 38</v>
      </c>
      <c r="D2000" s="2">
        <f>IFERROR(__xludf.DUMMYFUNCTION("""COMPUTED_VALUE"""),3.0)</f>
        <v>3</v>
      </c>
      <c r="E2000" s="2">
        <f>IFERROR(__xludf.DUMMYFUNCTION("""COMPUTED_VALUE"""),90.0)</f>
        <v>90</v>
      </c>
      <c r="F2000" s="2">
        <f>IFERROR(__xludf.DUMMYFUNCTION("""COMPUTED_VALUE"""),2.0)</f>
        <v>2</v>
      </c>
      <c r="G2000" s="2">
        <f>IFERROR(__xludf.DUMMYFUNCTION("""COMPUTED_VALUE"""),6.0)</f>
        <v>6</v>
      </c>
      <c r="H2000" s="2" t="str">
        <f>IFERROR(__xludf.DUMMYFUNCTION("""COMPUTED_VALUE"""),"Jaun.")</f>
        <v>Jaun.</v>
      </c>
      <c r="I2000" s="2" t="str">
        <f>IFERROR(__xludf.DUMMYFUNCTION("""COMPUTED_VALUE"""),"Brick-Panel")</f>
        <v>Brick-Panel</v>
      </c>
      <c r="J2000" s="2" t="str">
        <f>IFERROR(__xludf.DUMMYFUNCTION("""COMPUTED_VALUE"""),"All amenities")</f>
        <v>All amenities</v>
      </c>
      <c r="K2000" s="2">
        <f>IFERROR(__xludf.DUMMYFUNCTION("""COMPUTED_VALUE"""),143000.0)</f>
        <v>143000</v>
      </c>
      <c r="L2000" s="2">
        <f>IFERROR(__xludf.DUMMYFUNCTION("""COMPUTED_VALUE"""),56.9726831499999)</f>
        <v>56.97268315</v>
      </c>
      <c r="M2000" s="2">
        <f>IFERROR(__xludf.DUMMYFUNCTION("""COMPUTED_VALUE"""),24.1712897468728)</f>
        <v>24.17128975</v>
      </c>
    </row>
    <row r="2001">
      <c r="A2001" s="2" t="str">
        <f>IFERROR(__xludf.DUMMYFUNCTION("""COMPUTED_VALUE"""),"For sale")</f>
        <v>For sale</v>
      </c>
      <c r="B2001" s="2" t="str">
        <f>IFERROR(__xludf.DUMMYFUNCTION("""COMPUTED_VALUE"""),"Mežciems")</f>
        <v>Mežciems</v>
      </c>
      <c r="C2001" s="2" t="str">
        <f>IFERROR(__xludf.DUMMYFUNCTION("""COMPUTED_VALUE"""),"Kaivas 29/2")</f>
        <v>Kaivas 29/2</v>
      </c>
      <c r="D2001" s="2">
        <f>IFERROR(__xludf.DUMMYFUNCTION("""COMPUTED_VALUE"""),3.0)</f>
        <v>3</v>
      </c>
      <c r="E2001" s="2">
        <f>IFERROR(__xludf.DUMMYFUNCTION("""COMPUTED_VALUE"""),105.0)</f>
        <v>105</v>
      </c>
      <c r="F2001" s="2">
        <f>IFERROR(__xludf.DUMMYFUNCTION("""COMPUTED_VALUE"""),1.0)</f>
        <v>1</v>
      </c>
      <c r="G2001" s="2">
        <f>IFERROR(__xludf.DUMMYFUNCTION("""COMPUTED_VALUE"""),4.0)</f>
        <v>4</v>
      </c>
      <c r="H2001" s="2" t="str">
        <f>IFERROR(__xludf.DUMMYFUNCTION("""COMPUTED_VALUE"""),"Jaun.")</f>
        <v>Jaun.</v>
      </c>
      <c r="I2001" s="2" t="str">
        <f>IFERROR(__xludf.DUMMYFUNCTION("""COMPUTED_VALUE"""),"Brick-Panel")</f>
        <v>Brick-Panel</v>
      </c>
      <c r="J2001" s="2" t="str">
        <f>IFERROR(__xludf.DUMMYFUNCTION("""COMPUTED_VALUE"""),"All amenities")</f>
        <v>All amenities</v>
      </c>
      <c r="K2001" s="2">
        <f>IFERROR(__xludf.DUMMYFUNCTION("""COMPUTED_VALUE"""),157000.0)</f>
        <v>157000</v>
      </c>
      <c r="L2001" s="2">
        <f>IFERROR(__xludf.DUMMYFUNCTION("""COMPUTED_VALUE"""),56.9541725)</f>
        <v>56.9541725</v>
      </c>
      <c r="M2001" s="2">
        <f>IFERROR(__xludf.DUMMYFUNCTION("""COMPUTED_VALUE"""),24.2443253)</f>
        <v>24.2443253</v>
      </c>
    </row>
    <row r="2002">
      <c r="A2002" s="2" t="str">
        <f>IFERROR(__xludf.DUMMYFUNCTION("""COMPUTED_VALUE"""),"For rent")</f>
        <v>For rent</v>
      </c>
      <c r="B2002" s="2" t="str">
        <f>IFERROR(__xludf.DUMMYFUNCTION("""COMPUTED_VALUE"""),"Šampēteris-Pleskodāle")</f>
        <v>Šampēteris-Pleskodāle</v>
      </c>
      <c r="C2002" s="2" t="str">
        <f>IFERROR(__xludf.DUMMYFUNCTION("""COMPUTED_VALUE"""),"Lielirbes 13")</f>
        <v>Lielirbes 13</v>
      </c>
      <c r="D2002" s="2">
        <f>IFERROR(__xludf.DUMMYFUNCTION("""COMPUTED_VALUE"""),3.0)</f>
        <v>3</v>
      </c>
      <c r="E2002" s="2">
        <f>IFERROR(__xludf.DUMMYFUNCTION("""COMPUTED_VALUE"""),89.0)</f>
        <v>89</v>
      </c>
      <c r="F2002" s="2">
        <f>IFERROR(__xludf.DUMMYFUNCTION("""COMPUTED_VALUE"""),17.0)</f>
        <v>17</v>
      </c>
      <c r="G2002" s="2">
        <f>IFERROR(__xludf.DUMMYFUNCTION("""COMPUTED_VALUE"""),30.0)</f>
        <v>30</v>
      </c>
      <c r="H2002" s="2" t="str">
        <f>IFERROR(__xludf.DUMMYFUNCTION("""COMPUTED_VALUE"""),"Jaun.")</f>
        <v>Jaun.</v>
      </c>
      <c r="I2002" s="2" t="str">
        <f>IFERROR(__xludf.DUMMYFUNCTION("""COMPUTED_VALUE"""),"Masonry")</f>
        <v>Masonry</v>
      </c>
      <c r="J2002" s="2" t="str">
        <f>IFERROR(__xludf.DUMMYFUNCTION("""COMPUTED_VALUE"""),"All amenities")</f>
        <v>All amenities</v>
      </c>
      <c r="K2002" s="2">
        <f>IFERROR(__xludf.DUMMYFUNCTION("""COMPUTED_VALUE"""),650.0)</f>
        <v>650</v>
      </c>
      <c r="L2002" s="2">
        <f>IFERROR(__xludf.DUMMYFUNCTION("""COMPUTED_VALUE"""),56.9334996)</f>
        <v>56.9334996</v>
      </c>
      <c r="M2002" s="2">
        <f>IFERROR(__xludf.DUMMYFUNCTION("""COMPUTED_VALUE"""),24.0424848)</f>
        <v>24.0424848</v>
      </c>
    </row>
    <row r="2003">
      <c r="A2003" s="2" t="str">
        <f>IFERROR(__xludf.DUMMYFUNCTION("""COMPUTED_VALUE"""),"For rent")</f>
        <v>For rent</v>
      </c>
      <c r="B2003" s="2" t="str">
        <f>IFERROR(__xludf.DUMMYFUNCTION("""COMPUTED_VALUE"""),"Ķengarags")</f>
        <v>Ķengarags</v>
      </c>
      <c r="C2003" s="2" t="str">
        <f>IFERROR(__xludf.DUMMYFUNCTION("""COMPUTED_VALUE"""),"Prūšu 4")</f>
        <v>Prūšu 4</v>
      </c>
      <c r="D2003" s="2">
        <f>IFERROR(__xludf.DUMMYFUNCTION("""COMPUTED_VALUE"""),2.0)</f>
        <v>2</v>
      </c>
      <c r="E2003" s="2">
        <f>IFERROR(__xludf.DUMMYFUNCTION("""COMPUTED_VALUE"""),42.0)</f>
        <v>42</v>
      </c>
      <c r="F2003" s="2">
        <f>IFERROR(__xludf.DUMMYFUNCTION("""COMPUTED_VALUE"""),4.0)</f>
        <v>4</v>
      </c>
      <c r="G2003" s="2">
        <f>IFERROR(__xludf.DUMMYFUNCTION("""COMPUTED_VALUE"""),5.0)</f>
        <v>5</v>
      </c>
      <c r="H2003" s="2" t="str">
        <f>IFERROR(__xludf.DUMMYFUNCTION("""COMPUTED_VALUE"""),"Jaun.")</f>
        <v>Jaun.</v>
      </c>
      <c r="I2003" s="2" t="str">
        <f>IFERROR(__xludf.DUMMYFUNCTION("""COMPUTED_VALUE"""),"Panel")</f>
        <v>Panel</v>
      </c>
      <c r="J2003" s="2" t="str">
        <f>IFERROR(__xludf.DUMMYFUNCTION("""COMPUTED_VALUE"""),"All amenities")</f>
        <v>All amenities</v>
      </c>
      <c r="K2003" s="2">
        <f>IFERROR(__xludf.DUMMYFUNCTION("""COMPUTED_VALUE"""),340.0)</f>
        <v>340</v>
      </c>
      <c r="L2003" s="2">
        <f>IFERROR(__xludf.DUMMYFUNCTION("""COMPUTED_VALUE"""),56.9146747)</f>
        <v>56.9146747</v>
      </c>
      <c r="M2003" s="2">
        <f>IFERROR(__xludf.DUMMYFUNCTION("""COMPUTED_VALUE"""),24.1815079346418)</f>
        <v>24.18150793</v>
      </c>
    </row>
    <row r="2004">
      <c r="A2004" s="2" t="str">
        <f>IFERROR(__xludf.DUMMYFUNCTION("""COMPUTED_VALUE"""),"For sale")</f>
        <v>For sale</v>
      </c>
      <c r="B2004" s="2" t="str">
        <f>IFERROR(__xludf.DUMMYFUNCTION("""COMPUTED_VALUE"""),"Āgenskalns")</f>
        <v>Āgenskalns</v>
      </c>
      <c r="C2004" s="2" t="str">
        <f>IFERROR(__xludf.DUMMYFUNCTION("""COMPUTED_VALUE"""),"Ventspils 45/1")</f>
        <v>Ventspils 45/1</v>
      </c>
      <c r="D2004" s="2">
        <f>IFERROR(__xludf.DUMMYFUNCTION("""COMPUTED_VALUE"""),2.0)</f>
        <v>2</v>
      </c>
      <c r="E2004" s="2">
        <f>IFERROR(__xludf.DUMMYFUNCTION("""COMPUTED_VALUE"""),47.0)</f>
        <v>47</v>
      </c>
      <c r="F2004" s="2">
        <f>IFERROR(__xludf.DUMMYFUNCTION("""COMPUTED_VALUE"""),3.0)</f>
        <v>3</v>
      </c>
      <c r="G2004" s="2">
        <f>IFERROR(__xludf.DUMMYFUNCTION("""COMPUTED_VALUE"""),3.0)</f>
        <v>3</v>
      </c>
      <c r="H2004" s="2" t="str">
        <f>IFERROR(__xludf.DUMMYFUNCTION("""COMPUTED_VALUE"""),"Specpr.")</f>
        <v>Specpr.</v>
      </c>
      <c r="I2004" s="2" t="str">
        <f>IFERROR(__xludf.DUMMYFUNCTION("""COMPUTED_VALUE"""),"Brick")</f>
        <v>Brick</v>
      </c>
      <c r="J2004" s="2" t="str">
        <f>IFERROR(__xludf.DUMMYFUNCTION("""COMPUTED_VALUE"""),"All amenities")</f>
        <v>All amenities</v>
      </c>
      <c r="K2004" s="2">
        <f>IFERROR(__xludf.DUMMYFUNCTION("""COMPUTED_VALUE"""),65000.0)</f>
        <v>65000</v>
      </c>
      <c r="L2004" s="2">
        <f>IFERROR(__xludf.DUMMYFUNCTION("""COMPUTED_VALUE"""),56.9335665)</f>
        <v>56.9335665</v>
      </c>
      <c r="M2004" s="2">
        <f>IFERROR(__xludf.DUMMYFUNCTION("""COMPUTED_VALUE"""),24.0460096)</f>
        <v>24.0460096</v>
      </c>
    </row>
    <row r="2005">
      <c r="A2005" s="2" t="str">
        <f>IFERROR(__xludf.DUMMYFUNCTION("""COMPUTED_VALUE"""),"For sale")</f>
        <v>For sale</v>
      </c>
      <c r="B2005" s="2" t="str">
        <f>IFERROR(__xludf.DUMMYFUNCTION("""COMPUTED_VALUE"""),"Jugla")</f>
        <v>Jugla</v>
      </c>
      <c r="C2005" s="2" t="str">
        <f>IFERROR(__xludf.DUMMYFUNCTION("""COMPUTED_VALUE"""),"Juglas 37")</f>
        <v>Juglas 37</v>
      </c>
      <c r="D2005" s="2">
        <f>IFERROR(__xludf.DUMMYFUNCTION("""COMPUTED_VALUE"""),3.0)</f>
        <v>3</v>
      </c>
      <c r="E2005" s="2">
        <f>IFERROR(__xludf.DUMMYFUNCTION("""COMPUTED_VALUE"""),60.0)</f>
        <v>60</v>
      </c>
      <c r="F2005" s="2">
        <f>IFERROR(__xludf.DUMMYFUNCTION("""COMPUTED_VALUE"""),5.0)</f>
        <v>5</v>
      </c>
      <c r="G2005" s="2">
        <f>IFERROR(__xludf.DUMMYFUNCTION("""COMPUTED_VALUE"""),5.0)</f>
        <v>5</v>
      </c>
      <c r="H2005" s="2" t="str">
        <f>IFERROR(__xludf.DUMMYFUNCTION("""COMPUTED_VALUE"""),"Hrušč.")</f>
        <v>Hrušč.</v>
      </c>
      <c r="I2005" s="2" t="str">
        <f>IFERROR(__xludf.DUMMYFUNCTION("""COMPUTED_VALUE"""),"Panel")</f>
        <v>Panel</v>
      </c>
      <c r="J2005" s="2" t="str">
        <f>IFERROR(__xludf.DUMMYFUNCTION("""COMPUTED_VALUE"""),"All amenities")</f>
        <v>All amenities</v>
      </c>
      <c r="K2005" s="2">
        <f>IFERROR(__xludf.DUMMYFUNCTION("""COMPUTED_VALUE"""),49000.0)</f>
        <v>49000</v>
      </c>
      <c r="L2005" s="2">
        <f>IFERROR(__xludf.DUMMYFUNCTION("""COMPUTED_VALUE"""),56.9664868499999)</f>
        <v>56.96648685</v>
      </c>
      <c r="M2005" s="2">
        <f>IFERROR(__xludf.DUMMYFUNCTION("""COMPUTED_VALUE"""),24.2842204999999)</f>
        <v>24.2842205</v>
      </c>
    </row>
    <row r="2006">
      <c r="A2006" s="2" t="str">
        <f>IFERROR(__xludf.DUMMYFUNCTION("""COMPUTED_VALUE"""),"For sale")</f>
        <v>For sale</v>
      </c>
      <c r="B2006" s="2" t="str">
        <f>IFERROR(__xludf.DUMMYFUNCTION("""COMPUTED_VALUE"""),"Čiekurkalns")</f>
        <v>Čiekurkalns</v>
      </c>
      <c r="C2006" s="2" t="str">
        <f>IFERROR(__xludf.DUMMYFUNCTION("""COMPUTED_VALUE"""),"Gaujas 37")</f>
        <v>Gaujas 37</v>
      </c>
      <c r="D2006" s="2">
        <f>IFERROR(__xludf.DUMMYFUNCTION("""COMPUTED_VALUE"""),1.0)</f>
        <v>1</v>
      </c>
      <c r="E2006" s="2">
        <f>IFERROR(__xludf.DUMMYFUNCTION("""COMPUTED_VALUE"""),31.0)</f>
        <v>31</v>
      </c>
      <c r="F2006" s="2">
        <f>IFERROR(__xludf.DUMMYFUNCTION("""COMPUTED_VALUE"""),3.0)</f>
        <v>3</v>
      </c>
      <c r="G2006" s="2">
        <f>IFERROR(__xludf.DUMMYFUNCTION("""COMPUTED_VALUE"""),3.0)</f>
        <v>3</v>
      </c>
      <c r="H2006" s="2" t="str">
        <f>IFERROR(__xludf.DUMMYFUNCTION("""COMPUTED_VALUE"""),"P. kara")</f>
        <v>P. kara</v>
      </c>
      <c r="I2006" s="2" t="str">
        <f>IFERROR(__xludf.DUMMYFUNCTION("""COMPUTED_VALUE"""),"Masonry")</f>
        <v>Masonry</v>
      </c>
      <c r="J2006" s="2" t="str">
        <f>IFERROR(__xludf.DUMMYFUNCTION("""COMPUTED_VALUE"""),"Partial amenities")</f>
        <v>Partial amenities</v>
      </c>
      <c r="K2006" s="2">
        <f>IFERROR(__xludf.DUMMYFUNCTION("""COMPUTED_VALUE"""),14700.0)</f>
        <v>14700</v>
      </c>
      <c r="L2006" s="2">
        <f>IFERROR(__xludf.DUMMYFUNCTION("""COMPUTED_VALUE"""),56.98605995)</f>
        <v>56.98605995</v>
      </c>
      <c r="M2006" s="2">
        <f>IFERROR(__xludf.DUMMYFUNCTION("""COMPUTED_VALUE"""),24.1634713011832)</f>
        <v>24.1634713</v>
      </c>
    </row>
    <row r="2007">
      <c r="A2007" s="2" t="str">
        <f>IFERROR(__xludf.DUMMYFUNCTION("""COMPUTED_VALUE"""),"For rent")</f>
        <v>For rent</v>
      </c>
      <c r="B2007" s="2" t="str">
        <f>IFERROR(__xludf.DUMMYFUNCTION("""COMPUTED_VALUE"""),"centrs")</f>
        <v>centrs</v>
      </c>
      <c r="C2007" s="2" t="str">
        <f>IFERROR(__xludf.DUMMYFUNCTION("""COMPUTED_VALUE"""),"Republikas laukums 3")</f>
        <v>Republikas laukums 3</v>
      </c>
      <c r="D2007" s="2">
        <f>IFERROR(__xludf.DUMMYFUNCTION("""COMPUTED_VALUE"""),2.0)</f>
        <v>2</v>
      </c>
      <c r="E2007" s="2">
        <f>IFERROR(__xludf.DUMMYFUNCTION("""COMPUTED_VALUE"""),55.0)</f>
        <v>55</v>
      </c>
      <c r="F2007" s="2">
        <f>IFERROR(__xludf.DUMMYFUNCTION("""COMPUTED_VALUE"""),5.0)</f>
        <v>5</v>
      </c>
      <c r="G2007" s="2">
        <f>IFERROR(__xludf.DUMMYFUNCTION("""COMPUTED_VALUE"""),8.0)</f>
        <v>8</v>
      </c>
      <c r="H2007" s="2" t="str">
        <f>IFERROR(__xludf.DUMMYFUNCTION("""COMPUTED_VALUE"""),"Jaun.")</f>
        <v>Jaun.</v>
      </c>
      <c r="I2007" s="2" t="str">
        <f>IFERROR(__xludf.DUMMYFUNCTION("""COMPUTED_VALUE"""),"Brick-Panel")</f>
        <v>Brick-Panel</v>
      </c>
      <c r="J2007" s="2" t="str">
        <f>IFERROR(__xludf.DUMMYFUNCTION("""COMPUTED_VALUE"""),"All amenities")</f>
        <v>All amenities</v>
      </c>
      <c r="K2007" s="2">
        <f>IFERROR(__xludf.DUMMYFUNCTION("""COMPUTED_VALUE"""),49.0)</f>
        <v>49</v>
      </c>
      <c r="L2007" s="2">
        <f>IFERROR(__xludf.DUMMYFUNCTION("""COMPUTED_VALUE"""),56.9552522)</f>
        <v>56.9552522</v>
      </c>
      <c r="M2007" s="2">
        <f>IFERROR(__xludf.DUMMYFUNCTION("""COMPUTED_VALUE"""),24.0999991251943)</f>
        <v>24.09999913</v>
      </c>
    </row>
    <row r="2008">
      <c r="A2008" s="2" t="str">
        <f>IFERROR(__xludf.DUMMYFUNCTION("""COMPUTED_VALUE"""),"For sale")</f>
        <v>For sale</v>
      </c>
      <c r="B2008" s="2" t="str">
        <f>IFERROR(__xludf.DUMMYFUNCTION("""COMPUTED_VALUE"""),"Purvciems")</f>
        <v>Purvciems</v>
      </c>
      <c r="C2008" s="2" t="str">
        <f>IFERROR(__xludf.DUMMYFUNCTION("""COMPUTED_VALUE"""),"Upeņu 19")</f>
        <v>Upeņu 19</v>
      </c>
      <c r="D2008" s="2">
        <f>IFERROR(__xludf.DUMMYFUNCTION("""COMPUTED_VALUE"""),4.0)</f>
        <v>4</v>
      </c>
      <c r="E2008" s="2">
        <f>IFERROR(__xludf.DUMMYFUNCTION("""COMPUTED_VALUE"""),83.0)</f>
        <v>83</v>
      </c>
      <c r="F2008" s="2">
        <f>IFERROR(__xludf.DUMMYFUNCTION("""COMPUTED_VALUE"""),5.0)</f>
        <v>5</v>
      </c>
      <c r="G2008" s="2">
        <f>IFERROR(__xludf.DUMMYFUNCTION("""COMPUTED_VALUE"""),8.0)</f>
        <v>8</v>
      </c>
      <c r="H2008" s="2" t="str">
        <f>IFERROR(__xludf.DUMMYFUNCTION("""COMPUTED_VALUE"""),"Jaun.")</f>
        <v>Jaun.</v>
      </c>
      <c r="I2008" s="2" t="str">
        <f>IFERROR(__xludf.DUMMYFUNCTION("""COMPUTED_VALUE"""),"Panel")</f>
        <v>Panel</v>
      </c>
      <c r="J2008" s="2" t="str">
        <f>IFERROR(__xludf.DUMMYFUNCTION("""COMPUTED_VALUE"""),"All amenities")</f>
        <v>All amenities</v>
      </c>
      <c r="K2008" s="2">
        <f>IFERROR(__xludf.DUMMYFUNCTION("""COMPUTED_VALUE"""),152800.0)</f>
        <v>152800</v>
      </c>
      <c r="L2008" s="2">
        <f>IFERROR(__xludf.DUMMYFUNCTION("""COMPUTED_VALUE"""),56.9604932)</f>
        <v>56.9604932</v>
      </c>
      <c r="M2008" s="2">
        <f>IFERROR(__xludf.DUMMYFUNCTION("""COMPUTED_VALUE"""),24.1925519803153)</f>
        <v>24.19255198</v>
      </c>
    </row>
    <row r="2009">
      <c r="A2009" s="2" t="str">
        <f>IFERROR(__xludf.DUMMYFUNCTION("""COMPUTED_VALUE"""),"For sale")</f>
        <v>For sale</v>
      </c>
      <c r="B2009" s="2" t="str">
        <f>IFERROR(__xludf.DUMMYFUNCTION("""COMPUTED_VALUE"""),"centrs")</f>
        <v>centrs</v>
      </c>
      <c r="C2009" s="2" t="str">
        <f>IFERROR(__xludf.DUMMYFUNCTION("""COMPUTED_VALUE"""),"Baznīcas 45")</f>
        <v>Baznīcas 45</v>
      </c>
      <c r="D2009" s="2">
        <f>IFERROR(__xludf.DUMMYFUNCTION("""COMPUTED_VALUE"""),5.0)</f>
        <v>5</v>
      </c>
      <c r="E2009" s="2">
        <f>IFERROR(__xludf.DUMMYFUNCTION("""COMPUTED_VALUE"""),143.0)</f>
        <v>143</v>
      </c>
      <c r="F2009" s="2">
        <f>IFERROR(__xludf.DUMMYFUNCTION("""COMPUTED_VALUE"""),3.0)</f>
        <v>3</v>
      </c>
      <c r="G2009" s="2">
        <f>IFERROR(__xludf.DUMMYFUNCTION("""COMPUTED_VALUE"""),5.0)</f>
        <v>5</v>
      </c>
      <c r="H2009" s="2" t="str">
        <f>IFERROR(__xludf.DUMMYFUNCTION("""COMPUTED_VALUE"""),"Renov.")</f>
        <v>Renov.</v>
      </c>
      <c r="I2009" s="2" t="str">
        <f>IFERROR(__xludf.DUMMYFUNCTION("""COMPUTED_VALUE"""),"Masonry")</f>
        <v>Masonry</v>
      </c>
      <c r="J2009" s="2" t="str">
        <f>IFERROR(__xludf.DUMMYFUNCTION("""COMPUTED_VALUE"""),"All amenities")</f>
        <v>All amenities</v>
      </c>
      <c r="K2009" s="2">
        <f>IFERROR(__xludf.DUMMYFUNCTION("""COMPUTED_VALUE"""),255000.0)</f>
        <v>255000</v>
      </c>
      <c r="L2009" s="2">
        <f>IFERROR(__xludf.DUMMYFUNCTION("""COMPUTED_VALUE"""),56.9599931)</f>
        <v>56.9599931</v>
      </c>
      <c r="M2009" s="2">
        <f>IFERROR(__xludf.DUMMYFUNCTION("""COMPUTED_VALUE"""),24.1244665)</f>
        <v>24.1244665</v>
      </c>
    </row>
    <row r="2010">
      <c r="A2010" s="2" t="str">
        <f>IFERROR(__xludf.DUMMYFUNCTION("""COMPUTED_VALUE"""),"For rent")</f>
        <v>For rent</v>
      </c>
      <c r="B2010" s="2" t="str">
        <f>IFERROR(__xludf.DUMMYFUNCTION("""COMPUTED_VALUE"""),"centrs")</f>
        <v>centrs</v>
      </c>
      <c r="C2010" s="2" t="str">
        <f>IFERROR(__xludf.DUMMYFUNCTION("""COMPUTED_VALUE"""),"Brīvības 121-141")</f>
        <v>Brīvības 121-141</v>
      </c>
      <c r="D2010" s="2">
        <f>IFERROR(__xludf.DUMMYFUNCTION("""COMPUTED_VALUE"""),3.0)</f>
        <v>3</v>
      </c>
      <c r="E2010" s="2">
        <f>IFERROR(__xludf.DUMMYFUNCTION("""COMPUTED_VALUE"""),62.0)</f>
        <v>62</v>
      </c>
      <c r="F2010" s="2">
        <f>IFERROR(__xludf.DUMMYFUNCTION("""COMPUTED_VALUE"""),3.0)</f>
        <v>3</v>
      </c>
      <c r="G2010" s="2">
        <f>IFERROR(__xludf.DUMMYFUNCTION("""COMPUTED_VALUE"""),5.0)</f>
        <v>5</v>
      </c>
      <c r="H2010" s="2" t="str">
        <f>IFERROR(__xludf.DUMMYFUNCTION("""COMPUTED_VALUE"""),"Staļina")</f>
        <v>Staļina</v>
      </c>
      <c r="I2010" s="2" t="str">
        <f>IFERROR(__xludf.DUMMYFUNCTION("""COMPUTED_VALUE"""),"Brick")</f>
        <v>Brick</v>
      </c>
      <c r="J2010" s="2" t="str">
        <f>IFERROR(__xludf.DUMMYFUNCTION("""COMPUTED_VALUE"""),"All amenities")</f>
        <v>All amenities</v>
      </c>
      <c r="K2010" s="2">
        <f>IFERROR(__xludf.DUMMYFUNCTION("""COMPUTED_VALUE"""),500.0)</f>
        <v>500</v>
      </c>
      <c r="L2010" s="2">
        <f>IFERROR(__xludf.DUMMYFUNCTION("""COMPUTED_VALUE"""),56.9675034)</f>
        <v>56.9675034</v>
      </c>
      <c r="M2010" s="2">
        <f>IFERROR(__xludf.DUMMYFUNCTION("""COMPUTED_VALUE"""),24.1486457)</f>
        <v>24.1486457</v>
      </c>
    </row>
    <row r="2011">
      <c r="A2011" s="2" t="str">
        <f>IFERROR(__xludf.DUMMYFUNCTION("""COMPUTED_VALUE"""),"For sale")</f>
        <v>For sale</v>
      </c>
      <c r="B2011" s="2" t="str">
        <f>IFERROR(__xludf.DUMMYFUNCTION("""COMPUTED_VALUE"""),"Dzegužkalns")</f>
        <v>Dzegužkalns</v>
      </c>
      <c r="C2011" s="2" t="str">
        <f>IFERROR(__xludf.DUMMYFUNCTION("""COMPUTED_VALUE"""),"Eiženijas 17")</f>
        <v>Eiženijas 17</v>
      </c>
      <c r="D2011" s="2">
        <f>IFERROR(__xludf.DUMMYFUNCTION("""COMPUTED_VALUE"""),5.0)</f>
        <v>5</v>
      </c>
      <c r="E2011" s="2">
        <f>IFERROR(__xludf.DUMMYFUNCTION("""COMPUTED_VALUE"""),91.0)</f>
        <v>91</v>
      </c>
      <c r="F2011" s="2">
        <f>IFERROR(__xludf.DUMMYFUNCTION("""COMPUTED_VALUE"""),3.0)</f>
        <v>3</v>
      </c>
      <c r="G2011" s="2">
        <f>IFERROR(__xludf.DUMMYFUNCTION("""COMPUTED_VALUE"""),5.0)</f>
        <v>5</v>
      </c>
      <c r="H2011" s="2" t="str">
        <f>IFERROR(__xludf.DUMMYFUNCTION("""COMPUTED_VALUE"""),"Jaun.")</f>
        <v>Jaun.</v>
      </c>
      <c r="I2011" s="2" t="str">
        <f>IFERROR(__xludf.DUMMYFUNCTION("""COMPUTED_VALUE"""),"Panel")</f>
        <v>Panel</v>
      </c>
      <c r="J2011" s="2" t="str">
        <f>IFERROR(__xludf.DUMMYFUNCTION("""COMPUTED_VALUE"""),"All amenities")</f>
        <v>All amenities</v>
      </c>
      <c r="K2011" s="2">
        <f>IFERROR(__xludf.DUMMYFUNCTION("""COMPUTED_VALUE"""),162100.0)</f>
        <v>162100</v>
      </c>
      <c r="L2011" s="2">
        <f>IFERROR(__xludf.DUMMYFUNCTION("""COMPUTED_VALUE"""),56.9561314)</f>
        <v>56.9561314</v>
      </c>
      <c r="M2011" s="2">
        <f>IFERROR(__xludf.DUMMYFUNCTION("""COMPUTED_VALUE"""),24.0541248)</f>
        <v>24.0541248</v>
      </c>
    </row>
    <row r="2012">
      <c r="A2012" s="2" t="str">
        <f>IFERROR(__xludf.DUMMYFUNCTION("""COMPUTED_VALUE"""),"For rent")</f>
        <v>For rent</v>
      </c>
      <c r="B2012" s="2" t="str">
        <f>IFERROR(__xludf.DUMMYFUNCTION("""COMPUTED_VALUE"""),"centrs")</f>
        <v>centrs</v>
      </c>
      <c r="C2012" s="2" t="str">
        <f>IFERROR(__xludf.DUMMYFUNCTION("""COMPUTED_VALUE"""),"Blaumaņa 5")</f>
        <v>Blaumaņa 5</v>
      </c>
      <c r="D2012" s="2">
        <f>IFERROR(__xludf.DUMMYFUNCTION("""COMPUTED_VALUE"""),5.0)</f>
        <v>5</v>
      </c>
      <c r="E2012" s="2">
        <f>IFERROR(__xludf.DUMMYFUNCTION("""COMPUTED_VALUE"""),133.0)</f>
        <v>133</v>
      </c>
      <c r="F2012" s="2">
        <f>IFERROR(__xludf.DUMMYFUNCTION("""COMPUTED_VALUE"""),4.0)</f>
        <v>4</v>
      </c>
      <c r="G2012" s="2">
        <f>IFERROR(__xludf.DUMMYFUNCTION("""COMPUTED_VALUE"""),4.0)</f>
        <v>4</v>
      </c>
      <c r="H2012" s="2" t="str">
        <f>IFERROR(__xludf.DUMMYFUNCTION("""COMPUTED_VALUE"""),"P. kara")</f>
        <v>P. kara</v>
      </c>
      <c r="I2012" s="2" t="str">
        <f>IFERROR(__xludf.DUMMYFUNCTION("""COMPUTED_VALUE"""),"Masonry")</f>
        <v>Masonry</v>
      </c>
      <c r="J2012" s="2" t="str">
        <f>IFERROR(__xludf.DUMMYFUNCTION("""COMPUTED_VALUE"""),"All amenities")</f>
        <v>All amenities</v>
      </c>
      <c r="K2012" s="2">
        <f>IFERROR(__xludf.DUMMYFUNCTION("""COMPUTED_VALUE"""),950.0)</f>
        <v>950</v>
      </c>
      <c r="L2012" s="2">
        <f>IFERROR(__xludf.DUMMYFUNCTION("""COMPUTED_VALUE"""),56.9550369)</f>
        <v>56.9550369</v>
      </c>
      <c r="M2012" s="2">
        <f>IFERROR(__xludf.DUMMYFUNCTION("""COMPUTED_VALUE"""),24.1223636)</f>
        <v>24.1223636</v>
      </c>
    </row>
    <row r="2013">
      <c r="A2013" s="2" t="str">
        <f>IFERROR(__xludf.DUMMYFUNCTION("""COMPUTED_VALUE"""),"For sale")</f>
        <v>For sale</v>
      </c>
      <c r="B2013" s="2" t="str">
        <f>IFERROR(__xludf.DUMMYFUNCTION("""COMPUTED_VALUE"""),"Purvciems")</f>
        <v>Purvciems</v>
      </c>
      <c r="C2013" s="2" t="str">
        <f>IFERROR(__xludf.DUMMYFUNCTION("""COMPUTED_VALUE"""),"Ainavas 2a")</f>
        <v>Ainavas 2a</v>
      </c>
      <c r="D2013" s="2">
        <f>IFERROR(__xludf.DUMMYFUNCTION("""COMPUTED_VALUE"""),3.0)</f>
        <v>3</v>
      </c>
      <c r="E2013" s="2">
        <f>IFERROR(__xludf.DUMMYFUNCTION("""COMPUTED_VALUE"""),82.0)</f>
        <v>82</v>
      </c>
      <c r="F2013" s="2">
        <f>IFERROR(__xludf.DUMMYFUNCTION("""COMPUTED_VALUE"""),2.0)</f>
        <v>2</v>
      </c>
      <c r="G2013" s="2">
        <f>IFERROR(__xludf.DUMMYFUNCTION("""COMPUTED_VALUE"""),6.0)</f>
        <v>6</v>
      </c>
      <c r="H2013" s="2" t="str">
        <f>IFERROR(__xludf.DUMMYFUNCTION("""COMPUTED_VALUE"""),"Jaun.")</f>
        <v>Jaun.</v>
      </c>
      <c r="I2013" s="2" t="str">
        <f>IFERROR(__xludf.DUMMYFUNCTION("""COMPUTED_VALUE"""),"Panel-Brick")</f>
        <v>Panel-Brick</v>
      </c>
      <c r="J2013" s="2" t="str">
        <f>IFERROR(__xludf.DUMMYFUNCTION("""COMPUTED_VALUE"""),"All amenities")</f>
        <v>All amenities</v>
      </c>
      <c r="K2013" s="2">
        <f>IFERROR(__xludf.DUMMYFUNCTION("""COMPUTED_VALUE"""),123000.0)</f>
        <v>123000</v>
      </c>
      <c r="L2013" s="2">
        <f>IFERROR(__xludf.DUMMYFUNCTION("""COMPUTED_VALUE"""),56.9638199)</f>
        <v>56.9638199</v>
      </c>
      <c r="M2013" s="2">
        <f>IFERROR(__xludf.DUMMYFUNCTION("""COMPUTED_VALUE"""),24.1897360840843)</f>
        <v>24.18973608</v>
      </c>
    </row>
    <row r="2014">
      <c r="A2014" s="2" t="str">
        <f>IFERROR(__xludf.DUMMYFUNCTION("""COMPUTED_VALUE"""),"For rent")</f>
        <v>For rent</v>
      </c>
      <c r="B2014" s="2" t="str">
        <f>IFERROR(__xludf.DUMMYFUNCTION("""COMPUTED_VALUE"""),"centrs")</f>
        <v>centrs</v>
      </c>
      <c r="C2014" s="2" t="str">
        <f>IFERROR(__xludf.DUMMYFUNCTION("""COMPUTED_VALUE"""),"Kalēju 74")</f>
        <v>Kalēju 74</v>
      </c>
      <c r="D2014" s="2">
        <f>IFERROR(__xludf.DUMMYFUNCTION("""COMPUTED_VALUE"""),2.0)</f>
        <v>2</v>
      </c>
      <c r="E2014" s="2">
        <f>IFERROR(__xludf.DUMMYFUNCTION("""COMPUTED_VALUE"""),61.0)</f>
        <v>61</v>
      </c>
      <c r="F2014" s="2">
        <f>IFERROR(__xludf.DUMMYFUNCTION("""COMPUTED_VALUE"""),3.0)</f>
        <v>3</v>
      </c>
      <c r="G2014" s="2">
        <f>IFERROR(__xludf.DUMMYFUNCTION("""COMPUTED_VALUE"""),6.0)</f>
        <v>6</v>
      </c>
      <c r="H2014" s="2" t="str">
        <f>IFERROR(__xludf.DUMMYFUNCTION("""COMPUTED_VALUE"""),"Jaun.")</f>
        <v>Jaun.</v>
      </c>
      <c r="I2014" s="2" t="str">
        <f>IFERROR(__xludf.DUMMYFUNCTION("""COMPUTED_VALUE"""),"Panel-Brick")</f>
        <v>Panel-Brick</v>
      </c>
      <c r="J2014" s="2" t="str">
        <f>IFERROR(__xludf.DUMMYFUNCTION("""COMPUTED_VALUE"""),"All amenities")</f>
        <v>All amenities</v>
      </c>
      <c r="K2014" s="2">
        <f>IFERROR(__xludf.DUMMYFUNCTION("""COMPUTED_VALUE"""),780.0)</f>
        <v>780</v>
      </c>
      <c r="L2014" s="2">
        <f>IFERROR(__xludf.DUMMYFUNCTION("""COMPUTED_VALUE"""),56.945456)</f>
        <v>56.945456</v>
      </c>
      <c r="M2014" s="2">
        <f>IFERROR(__xludf.DUMMYFUNCTION("""COMPUTED_VALUE"""),24.1115799)</f>
        <v>24.1115799</v>
      </c>
    </row>
    <row r="2015">
      <c r="A2015" s="2" t="str">
        <f>IFERROR(__xludf.DUMMYFUNCTION("""COMPUTED_VALUE"""),"For rent")</f>
        <v>For rent</v>
      </c>
      <c r="B2015" s="2" t="str">
        <f>IFERROR(__xludf.DUMMYFUNCTION("""COMPUTED_VALUE"""),"centrs")</f>
        <v>centrs</v>
      </c>
      <c r="C2015" s="2" t="str">
        <f>IFERROR(__xludf.DUMMYFUNCTION("""COMPUTED_VALUE"""),"Barona 37")</f>
        <v>Barona 37</v>
      </c>
      <c r="D2015" s="2">
        <f>IFERROR(__xludf.DUMMYFUNCTION("""COMPUTED_VALUE"""),3.0)</f>
        <v>3</v>
      </c>
      <c r="E2015" s="2">
        <f>IFERROR(__xludf.DUMMYFUNCTION("""COMPUTED_VALUE"""),81.0)</f>
        <v>81</v>
      </c>
      <c r="F2015" s="2">
        <f>IFERROR(__xludf.DUMMYFUNCTION("""COMPUTED_VALUE"""),7.0)</f>
        <v>7</v>
      </c>
      <c r="G2015" s="2">
        <f>IFERROR(__xludf.DUMMYFUNCTION("""COMPUTED_VALUE"""),7.0)</f>
        <v>7</v>
      </c>
      <c r="H2015" s="2" t="str">
        <f>IFERROR(__xludf.DUMMYFUNCTION("""COMPUTED_VALUE"""),"P. kara")</f>
        <v>P. kara</v>
      </c>
      <c r="I2015" s="2" t="str">
        <f>IFERROR(__xludf.DUMMYFUNCTION("""COMPUTED_VALUE"""),"Masonry")</f>
        <v>Masonry</v>
      </c>
      <c r="J2015" s="2" t="str">
        <f>IFERROR(__xludf.DUMMYFUNCTION("""COMPUTED_VALUE"""),"All amenities")</f>
        <v>All amenities</v>
      </c>
      <c r="K2015" s="2">
        <f>IFERROR(__xludf.DUMMYFUNCTION("""COMPUTED_VALUE"""),850.0)</f>
        <v>850</v>
      </c>
      <c r="L2015" s="2">
        <f>IFERROR(__xludf.DUMMYFUNCTION("""COMPUTED_VALUE"""),56.9546563)</f>
        <v>56.9546563</v>
      </c>
      <c r="M2015" s="2">
        <f>IFERROR(__xludf.DUMMYFUNCTION("""COMPUTED_VALUE"""),24.1272827)</f>
        <v>24.1272827</v>
      </c>
    </row>
    <row r="2016">
      <c r="A2016" s="2" t="str">
        <f>IFERROR(__xludf.DUMMYFUNCTION("""COMPUTED_VALUE"""),"For rent")</f>
        <v>For rent</v>
      </c>
      <c r="B2016" s="2" t="str">
        <f>IFERROR(__xludf.DUMMYFUNCTION("""COMPUTED_VALUE"""),"centrs")</f>
        <v>centrs</v>
      </c>
      <c r="C2016" s="2" t="str">
        <f>IFERROR(__xludf.DUMMYFUNCTION("""COMPUTED_VALUE"""),"Palasta 9")</f>
        <v>Palasta 9</v>
      </c>
      <c r="D2016" s="2">
        <f>IFERROR(__xludf.DUMMYFUNCTION("""COMPUTED_VALUE"""),3.0)</f>
        <v>3</v>
      </c>
      <c r="E2016" s="2">
        <f>IFERROR(__xludf.DUMMYFUNCTION("""COMPUTED_VALUE"""),84.0)</f>
        <v>84</v>
      </c>
      <c r="F2016" s="2">
        <f>IFERROR(__xludf.DUMMYFUNCTION("""COMPUTED_VALUE"""),4.0)</f>
        <v>4</v>
      </c>
      <c r="G2016" s="2">
        <f>IFERROR(__xludf.DUMMYFUNCTION("""COMPUTED_VALUE"""),5.0)</f>
        <v>5</v>
      </c>
      <c r="H2016" s="2" t="str">
        <f>IFERROR(__xludf.DUMMYFUNCTION("""COMPUTED_VALUE"""),"Renov.")</f>
        <v>Renov.</v>
      </c>
      <c r="I2016" s="2" t="str">
        <f>IFERROR(__xludf.DUMMYFUNCTION("""COMPUTED_VALUE"""),"Masonry")</f>
        <v>Masonry</v>
      </c>
      <c r="J2016" s="2" t="str">
        <f>IFERROR(__xludf.DUMMYFUNCTION("""COMPUTED_VALUE"""),"All amenities")</f>
        <v>All amenities</v>
      </c>
      <c r="K2016" s="2">
        <f>IFERROR(__xludf.DUMMYFUNCTION("""COMPUTED_VALUE"""),950.0)</f>
        <v>950</v>
      </c>
      <c r="L2016" s="2">
        <f>IFERROR(__xludf.DUMMYFUNCTION("""COMPUTED_VALUE"""),56.9478576)</f>
        <v>56.9478576</v>
      </c>
      <c r="M2016" s="2">
        <f>IFERROR(__xludf.DUMMYFUNCTION("""COMPUTED_VALUE"""),24.1042869)</f>
        <v>24.1042869</v>
      </c>
    </row>
    <row r="2017">
      <c r="A2017" s="2" t="str">
        <f>IFERROR(__xludf.DUMMYFUNCTION("""COMPUTED_VALUE"""),"For rent")</f>
        <v>For rent</v>
      </c>
      <c r="B2017" s="2" t="str">
        <f>IFERROR(__xludf.DUMMYFUNCTION("""COMPUTED_VALUE"""),"Šampēteris-Pleskodāle")</f>
        <v>Šampēteris-Pleskodāle</v>
      </c>
      <c r="C2017" s="2" t="str">
        <f>IFERROR(__xludf.DUMMYFUNCTION("""COMPUTED_VALUE"""),"Volguntes 40")</f>
        <v>Volguntes 40</v>
      </c>
      <c r="D2017" s="2">
        <f>IFERROR(__xludf.DUMMYFUNCTION("""COMPUTED_VALUE"""),3.0)</f>
        <v>3</v>
      </c>
      <c r="E2017" s="2">
        <f>IFERROR(__xludf.DUMMYFUNCTION("""COMPUTED_VALUE"""),104.0)</f>
        <v>104</v>
      </c>
      <c r="F2017" s="2">
        <f>IFERROR(__xludf.DUMMYFUNCTION("""COMPUTED_VALUE"""),3.0)</f>
        <v>3</v>
      </c>
      <c r="G2017" s="2">
        <f>IFERROR(__xludf.DUMMYFUNCTION("""COMPUTED_VALUE"""),4.0)</f>
        <v>4</v>
      </c>
      <c r="H2017" s="2" t="str">
        <f>IFERROR(__xludf.DUMMYFUNCTION("""COMPUTED_VALUE"""),"Jaun.")</f>
        <v>Jaun.</v>
      </c>
      <c r="I2017" s="2" t="str">
        <f>IFERROR(__xludf.DUMMYFUNCTION("""COMPUTED_VALUE"""),"Brick")</f>
        <v>Brick</v>
      </c>
      <c r="J2017" s="2" t="str">
        <f>IFERROR(__xludf.DUMMYFUNCTION("""COMPUTED_VALUE"""),"All amenities")</f>
        <v>All amenities</v>
      </c>
      <c r="K2017" s="2">
        <f>IFERROR(__xludf.DUMMYFUNCTION("""COMPUTED_VALUE"""),780.0)</f>
        <v>780</v>
      </c>
      <c r="L2017" s="2">
        <f>IFERROR(__xludf.DUMMYFUNCTION("""COMPUTED_VALUE"""),56.9375737999999)</f>
        <v>56.9375738</v>
      </c>
      <c r="M2017" s="2">
        <f>IFERROR(__xludf.DUMMYFUNCTION("""COMPUTED_VALUE"""),24.03746545)</f>
        <v>24.03746545</v>
      </c>
    </row>
    <row r="2018">
      <c r="A2018" s="2" t="str">
        <f>IFERROR(__xludf.DUMMYFUNCTION("""COMPUTED_VALUE"""),"For sale")</f>
        <v>For sale</v>
      </c>
      <c r="B2018" s="2" t="str">
        <f>IFERROR(__xludf.DUMMYFUNCTION("""COMPUTED_VALUE"""),"centrs")</f>
        <v>centrs</v>
      </c>
      <c r="C2018" s="2" t="str">
        <f>IFERROR(__xludf.DUMMYFUNCTION("""COMPUTED_VALUE"""),"Katrīnas d. 17")</f>
        <v>Katrīnas d. 17</v>
      </c>
      <c r="D2018" s="2">
        <f>IFERROR(__xludf.DUMMYFUNCTION("""COMPUTED_VALUE"""),2.0)</f>
        <v>2</v>
      </c>
      <c r="E2018" s="2">
        <f>IFERROR(__xludf.DUMMYFUNCTION("""COMPUTED_VALUE"""),67.0)</f>
        <v>67</v>
      </c>
      <c r="F2018" s="2">
        <f>IFERROR(__xludf.DUMMYFUNCTION("""COMPUTED_VALUE"""),2.0)</f>
        <v>2</v>
      </c>
      <c r="G2018" s="2">
        <f>IFERROR(__xludf.DUMMYFUNCTION("""COMPUTED_VALUE"""),6.0)</f>
        <v>6</v>
      </c>
      <c r="H2018" s="2" t="str">
        <f>IFERROR(__xludf.DUMMYFUNCTION("""COMPUTED_VALUE"""),"Jaun.")</f>
        <v>Jaun.</v>
      </c>
      <c r="I2018" s="2" t="str">
        <f>IFERROR(__xludf.DUMMYFUNCTION("""COMPUTED_VALUE"""),"Panel-Brick")</f>
        <v>Panel-Brick</v>
      </c>
      <c r="J2018" s="2" t="str">
        <f>IFERROR(__xludf.DUMMYFUNCTION("""COMPUTED_VALUE"""),"All amenities")</f>
        <v>All amenities</v>
      </c>
      <c r="K2018" s="2">
        <f>IFERROR(__xludf.DUMMYFUNCTION("""COMPUTED_VALUE"""),79900.0)</f>
        <v>79900</v>
      </c>
      <c r="L2018" s="2">
        <f>IFERROR(__xludf.DUMMYFUNCTION("""COMPUTED_VALUE"""),56.9716816)</f>
        <v>56.9716816</v>
      </c>
      <c r="M2018" s="2">
        <f>IFERROR(__xludf.DUMMYFUNCTION("""COMPUTED_VALUE"""),24.1021951)</f>
        <v>24.1021951</v>
      </c>
    </row>
    <row r="2019">
      <c r="A2019" s="2" t="str">
        <f>IFERROR(__xludf.DUMMYFUNCTION("""COMPUTED_VALUE"""),"For rent")</f>
        <v>For rent</v>
      </c>
      <c r="B2019" s="2" t="str">
        <f>IFERROR(__xludf.DUMMYFUNCTION("""COMPUTED_VALUE"""),"centrs")</f>
        <v>centrs</v>
      </c>
      <c r="C2019" s="2" t="str">
        <f>IFERROR(__xludf.DUMMYFUNCTION("""COMPUTED_VALUE"""),"Antonijas 14")</f>
        <v>Antonijas 14</v>
      </c>
      <c r="D2019" s="2">
        <f>IFERROR(__xludf.DUMMYFUNCTION("""COMPUTED_VALUE"""),1.0)</f>
        <v>1</v>
      </c>
      <c r="E2019" s="2">
        <f>IFERROR(__xludf.DUMMYFUNCTION("""COMPUTED_VALUE"""),30.0)</f>
        <v>30</v>
      </c>
      <c r="F2019" s="2">
        <f>IFERROR(__xludf.DUMMYFUNCTION("""COMPUTED_VALUE"""),4.0)</f>
        <v>4</v>
      </c>
      <c r="G2019" s="2">
        <f>IFERROR(__xludf.DUMMYFUNCTION("""COMPUTED_VALUE"""),8.0)</f>
        <v>8</v>
      </c>
      <c r="H2019" s="2" t="str">
        <f>IFERROR(__xludf.DUMMYFUNCTION("""COMPUTED_VALUE"""),"Renov.")</f>
        <v>Renov.</v>
      </c>
      <c r="I2019" s="2" t="str">
        <f>IFERROR(__xludf.DUMMYFUNCTION("""COMPUTED_VALUE"""),"Panel")</f>
        <v>Panel</v>
      </c>
      <c r="J2019" s="2" t="str">
        <f>IFERROR(__xludf.DUMMYFUNCTION("""COMPUTED_VALUE"""),"All amenities")</f>
        <v>All amenities</v>
      </c>
      <c r="K2019" s="2">
        <f>IFERROR(__xludf.DUMMYFUNCTION("""COMPUTED_VALUE"""),380.0)</f>
        <v>380</v>
      </c>
      <c r="L2019" s="2">
        <f>IFERROR(__xludf.DUMMYFUNCTION("""COMPUTED_VALUE"""),56.9589948)</f>
        <v>56.9589948</v>
      </c>
      <c r="M2019" s="2">
        <f>IFERROR(__xludf.DUMMYFUNCTION("""COMPUTED_VALUE"""),24.1130565349601)</f>
        <v>24.11305653</v>
      </c>
    </row>
    <row r="2020">
      <c r="A2020" s="2" t="str">
        <f>IFERROR(__xludf.DUMMYFUNCTION("""COMPUTED_VALUE"""),"For rent")</f>
        <v>For rent</v>
      </c>
      <c r="B2020" s="2" t="str">
        <f>IFERROR(__xludf.DUMMYFUNCTION("""COMPUTED_VALUE"""),"centrs")</f>
        <v>centrs</v>
      </c>
      <c r="C2020" s="2" t="str">
        <f>IFERROR(__xludf.DUMMYFUNCTION("""COMPUTED_VALUE"""),"Antonijas 14")</f>
        <v>Antonijas 14</v>
      </c>
      <c r="D2020" s="2">
        <f>IFERROR(__xludf.DUMMYFUNCTION("""COMPUTED_VALUE"""),1.0)</f>
        <v>1</v>
      </c>
      <c r="E2020" s="2">
        <f>IFERROR(__xludf.DUMMYFUNCTION("""COMPUTED_VALUE"""),26.0)</f>
        <v>26</v>
      </c>
      <c r="F2020" s="2">
        <f>IFERROR(__xludf.DUMMYFUNCTION("""COMPUTED_VALUE"""),3.0)</f>
        <v>3</v>
      </c>
      <c r="G2020" s="2">
        <f>IFERROR(__xludf.DUMMYFUNCTION("""COMPUTED_VALUE"""),8.0)</f>
        <v>8</v>
      </c>
      <c r="H2020" s="2" t="str">
        <f>IFERROR(__xludf.DUMMYFUNCTION("""COMPUTED_VALUE"""),"Renov.")</f>
        <v>Renov.</v>
      </c>
      <c r="I2020" s="2" t="str">
        <f>IFERROR(__xludf.DUMMYFUNCTION("""COMPUTED_VALUE"""),"Panel")</f>
        <v>Panel</v>
      </c>
      <c r="J2020" s="2" t="str">
        <f>IFERROR(__xludf.DUMMYFUNCTION("""COMPUTED_VALUE"""),"All amenities")</f>
        <v>All amenities</v>
      </c>
      <c r="K2020" s="2">
        <f>IFERROR(__xludf.DUMMYFUNCTION("""COMPUTED_VALUE"""),350.0)</f>
        <v>350</v>
      </c>
      <c r="L2020" s="2">
        <f>IFERROR(__xludf.DUMMYFUNCTION("""COMPUTED_VALUE"""),56.9589948)</f>
        <v>56.9589948</v>
      </c>
      <c r="M2020" s="2">
        <f>IFERROR(__xludf.DUMMYFUNCTION("""COMPUTED_VALUE"""),24.1130565349601)</f>
        <v>24.11305653</v>
      </c>
    </row>
    <row r="2021">
      <c r="A2021" s="2" t="str">
        <f>IFERROR(__xludf.DUMMYFUNCTION("""COMPUTED_VALUE"""),"For sale")</f>
        <v>For sale</v>
      </c>
      <c r="B2021" s="2" t="str">
        <f>IFERROR(__xludf.DUMMYFUNCTION("""COMPUTED_VALUE"""),"centrs")</f>
        <v>centrs</v>
      </c>
      <c r="C2021" s="2" t="str">
        <f>IFERROR(__xludf.DUMMYFUNCTION("""COMPUTED_VALUE"""),"Birznieka-Upīša 6")</f>
        <v>Birznieka-Upīša 6</v>
      </c>
      <c r="D2021" s="2" t="str">
        <f>IFERROR(__xludf.DUMMYFUNCTION("""COMPUTED_VALUE"""),"Citi")</f>
        <v>Citi</v>
      </c>
      <c r="E2021" s="2">
        <f>IFERROR(__xludf.DUMMYFUNCTION("""COMPUTED_VALUE"""),195.0)</f>
        <v>195</v>
      </c>
      <c r="F2021" s="2">
        <f>IFERROR(__xludf.DUMMYFUNCTION("""COMPUTED_VALUE"""),2.0)</f>
        <v>2</v>
      </c>
      <c r="G2021" s="2">
        <f>IFERROR(__xludf.DUMMYFUNCTION("""COMPUTED_VALUE"""),3.0)</f>
        <v>3</v>
      </c>
      <c r="H2021" s="2" t="str">
        <f>IFERROR(__xludf.DUMMYFUNCTION("""COMPUTED_VALUE"""),"P. kara")</f>
        <v>P. kara</v>
      </c>
      <c r="I2021" s="2" t="str">
        <f>IFERROR(__xludf.DUMMYFUNCTION("""COMPUTED_VALUE"""),"Wood")</f>
        <v>Wood</v>
      </c>
      <c r="J2021" s="2" t="str">
        <f>IFERROR(__xludf.DUMMYFUNCTION("""COMPUTED_VALUE"""),"All amenities")</f>
        <v>All amenities</v>
      </c>
      <c r="K2021" s="2">
        <f>IFERROR(__xludf.DUMMYFUNCTION("""COMPUTED_VALUE"""),159000.0)</f>
        <v>159000</v>
      </c>
      <c r="L2021" s="2">
        <f>IFERROR(__xludf.DUMMYFUNCTION("""COMPUTED_VALUE"""),56.9485469499999)</f>
        <v>56.94854695</v>
      </c>
      <c r="M2021" s="2">
        <f>IFERROR(__xludf.DUMMYFUNCTION("""COMPUTED_VALUE"""),24.1244542458928)</f>
        <v>24.12445425</v>
      </c>
    </row>
    <row r="2022">
      <c r="A2022" s="2" t="str">
        <f>IFERROR(__xludf.DUMMYFUNCTION("""COMPUTED_VALUE"""),"For sale")</f>
        <v>For sale</v>
      </c>
      <c r="B2022" s="2" t="str">
        <f>IFERROR(__xludf.DUMMYFUNCTION("""COMPUTED_VALUE"""),"Āgenskalns")</f>
        <v>Āgenskalns</v>
      </c>
      <c r="C2022" s="2" t="str">
        <f>IFERROR(__xludf.DUMMYFUNCTION("""COMPUTED_VALUE"""),"Gardenes 9")</f>
        <v>Gardenes 9</v>
      </c>
      <c r="D2022" s="2">
        <f>IFERROR(__xludf.DUMMYFUNCTION("""COMPUTED_VALUE"""),2.0)</f>
        <v>2</v>
      </c>
      <c r="E2022" s="2">
        <f>IFERROR(__xludf.DUMMYFUNCTION("""COMPUTED_VALUE"""),45.0)</f>
        <v>45</v>
      </c>
      <c r="F2022" s="2">
        <f>IFERROR(__xludf.DUMMYFUNCTION("""COMPUTED_VALUE"""),1.0)</f>
        <v>1</v>
      </c>
      <c r="G2022" s="2">
        <f>IFERROR(__xludf.DUMMYFUNCTION("""COMPUTED_VALUE"""),5.0)</f>
        <v>5</v>
      </c>
      <c r="H2022" s="2" t="str">
        <f>IFERROR(__xludf.DUMMYFUNCTION("""COMPUTED_VALUE"""),"Hrušč.")</f>
        <v>Hrušč.</v>
      </c>
      <c r="I2022" s="2" t="str">
        <f>IFERROR(__xludf.DUMMYFUNCTION("""COMPUTED_VALUE"""),"Brick")</f>
        <v>Brick</v>
      </c>
      <c r="J2022" s="2" t="str">
        <f>IFERROR(__xludf.DUMMYFUNCTION("""COMPUTED_VALUE"""),"All amenities")</f>
        <v>All amenities</v>
      </c>
      <c r="K2022" s="2">
        <f>IFERROR(__xludf.DUMMYFUNCTION("""COMPUTED_VALUE"""),45300.0)</f>
        <v>45300</v>
      </c>
      <c r="L2022" s="2">
        <f>IFERROR(__xludf.DUMMYFUNCTION("""COMPUTED_VALUE"""),56.9273556)</f>
        <v>56.9273556</v>
      </c>
      <c r="M2022" s="2">
        <f>IFERROR(__xludf.DUMMYFUNCTION("""COMPUTED_VALUE"""),24.0736886747453)</f>
        <v>24.07368867</v>
      </c>
    </row>
    <row r="2023">
      <c r="A2023" s="2" t="str">
        <f>IFERROR(__xludf.DUMMYFUNCTION("""COMPUTED_VALUE"""),"For rent")</f>
        <v>For rent</v>
      </c>
      <c r="B2023" s="2" t="str">
        <f>IFERROR(__xludf.DUMMYFUNCTION("""COMPUTED_VALUE"""),"Iļģuciems")</f>
        <v>Iļģuciems</v>
      </c>
      <c r="C2023" s="2" t="str">
        <f>IFERROR(__xludf.DUMMYFUNCTION("""COMPUTED_VALUE"""),"Lilijas 8")</f>
        <v>Lilijas 8</v>
      </c>
      <c r="D2023" s="2">
        <f>IFERROR(__xludf.DUMMYFUNCTION("""COMPUTED_VALUE"""),3.0)</f>
        <v>3</v>
      </c>
      <c r="E2023" s="2">
        <f>IFERROR(__xludf.DUMMYFUNCTION("""COMPUTED_VALUE"""),68.0)</f>
        <v>68</v>
      </c>
      <c r="F2023" s="2">
        <f>IFERROR(__xludf.DUMMYFUNCTION("""COMPUTED_VALUE"""),5.0)</f>
        <v>5</v>
      </c>
      <c r="G2023" s="2">
        <f>IFERROR(__xludf.DUMMYFUNCTION("""COMPUTED_VALUE"""),5.0)</f>
        <v>5</v>
      </c>
      <c r="H2023" s="2" t="str">
        <f>IFERROR(__xludf.DUMMYFUNCTION("""COMPUTED_VALUE"""),"LT proj.")</f>
        <v>LT proj.</v>
      </c>
      <c r="I2023" s="2" t="str">
        <f>IFERROR(__xludf.DUMMYFUNCTION("""COMPUTED_VALUE"""),"Panel")</f>
        <v>Panel</v>
      </c>
      <c r="J2023" s="2" t="str">
        <f>IFERROR(__xludf.DUMMYFUNCTION("""COMPUTED_VALUE"""),"All amenities")</f>
        <v>All amenities</v>
      </c>
      <c r="K2023" s="2">
        <f>IFERROR(__xludf.DUMMYFUNCTION("""COMPUTED_VALUE"""),370.0)</f>
        <v>370</v>
      </c>
      <c r="L2023" s="2">
        <f>IFERROR(__xludf.DUMMYFUNCTION("""COMPUTED_VALUE"""),56.9650304)</f>
        <v>56.9650304</v>
      </c>
      <c r="M2023" s="2">
        <f>IFERROR(__xludf.DUMMYFUNCTION("""COMPUTED_VALUE"""),24.065958525639)</f>
        <v>24.06595853</v>
      </c>
    </row>
    <row r="2024">
      <c r="A2024" s="2" t="str">
        <f>IFERROR(__xludf.DUMMYFUNCTION("""COMPUTED_VALUE"""),"For sale")</f>
        <v>For sale</v>
      </c>
      <c r="B2024" s="2" t="str">
        <f>IFERROR(__xludf.DUMMYFUNCTION("""COMPUTED_VALUE"""),"Sarkandaugava")</f>
        <v>Sarkandaugava</v>
      </c>
      <c r="C2024" s="2" t="str">
        <f>IFERROR(__xludf.DUMMYFUNCTION("""COMPUTED_VALUE"""),"Aptiekas 11")</f>
        <v>Aptiekas 11</v>
      </c>
      <c r="D2024" s="2">
        <f>IFERROR(__xludf.DUMMYFUNCTION("""COMPUTED_VALUE"""),5.0)</f>
        <v>5</v>
      </c>
      <c r="E2024" s="2">
        <f>IFERROR(__xludf.DUMMYFUNCTION("""COMPUTED_VALUE"""),134.0)</f>
        <v>134</v>
      </c>
      <c r="F2024" s="2">
        <f>IFERROR(__xludf.DUMMYFUNCTION("""COMPUTED_VALUE"""),1.0)</f>
        <v>1</v>
      </c>
      <c r="G2024" s="2">
        <f>IFERROR(__xludf.DUMMYFUNCTION("""COMPUTED_VALUE"""),3.0)</f>
        <v>3</v>
      </c>
      <c r="H2024" s="2" t="str">
        <f>IFERROR(__xludf.DUMMYFUNCTION("""COMPUTED_VALUE"""),"P. kara")</f>
        <v>P. kara</v>
      </c>
      <c r="I2024" s="2" t="str">
        <f>IFERROR(__xludf.DUMMYFUNCTION("""COMPUTED_VALUE"""),"Brick")</f>
        <v>Brick</v>
      </c>
      <c r="J2024" s="2" t="str">
        <f>IFERROR(__xludf.DUMMYFUNCTION("""COMPUTED_VALUE"""),"All amenities")</f>
        <v>All amenities</v>
      </c>
      <c r="K2024" s="2">
        <f>IFERROR(__xludf.DUMMYFUNCTION("""COMPUTED_VALUE"""),40000.0)</f>
        <v>40000</v>
      </c>
      <c r="L2024" s="2">
        <f>IFERROR(__xludf.DUMMYFUNCTION("""COMPUTED_VALUE"""),56.99784)</f>
        <v>56.99784</v>
      </c>
      <c r="M2024" s="2">
        <f>IFERROR(__xludf.DUMMYFUNCTION("""COMPUTED_VALUE"""),24.1192554)</f>
        <v>24.1192554</v>
      </c>
    </row>
    <row r="2025">
      <c r="A2025" s="2" t="str">
        <f>IFERROR(__xludf.DUMMYFUNCTION("""COMPUTED_VALUE"""),"For sale")</f>
        <v>For sale</v>
      </c>
      <c r="B2025" s="2" t="str">
        <f>IFERROR(__xludf.DUMMYFUNCTION("""COMPUTED_VALUE"""),"Imanta")</f>
        <v>Imanta</v>
      </c>
      <c r="C2025" s="2" t="str">
        <f>IFERROR(__xludf.DUMMYFUNCTION("""COMPUTED_VALUE"""),"Vecumnieku 78")</f>
        <v>Vecumnieku 78</v>
      </c>
      <c r="D2025" s="2">
        <f>IFERROR(__xludf.DUMMYFUNCTION("""COMPUTED_VALUE"""),3.0)</f>
        <v>3</v>
      </c>
      <c r="E2025" s="2">
        <f>IFERROR(__xludf.DUMMYFUNCTION("""COMPUTED_VALUE"""),99.0)</f>
        <v>99</v>
      </c>
      <c r="F2025" s="2">
        <f>IFERROR(__xludf.DUMMYFUNCTION("""COMPUTED_VALUE"""),1.0)</f>
        <v>1</v>
      </c>
      <c r="G2025" s="2">
        <f>IFERROR(__xludf.DUMMYFUNCTION("""COMPUTED_VALUE"""),3.0)</f>
        <v>3</v>
      </c>
      <c r="H2025" s="2" t="str">
        <f>IFERROR(__xludf.DUMMYFUNCTION("""COMPUTED_VALUE"""),"Jaun.")</f>
        <v>Jaun.</v>
      </c>
      <c r="I2025" s="2" t="str">
        <f>IFERROR(__xludf.DUMMYFUNCTION("""COMPUTED_VALUE"""),"Masonry")</f>
        <v>Masonry</v>
      </c>
      <c r="J2025" s="2" t="str">
        <f>IFERROR(__xludf.DUMMYFUNCTION("""COMPUTED_VALUE"""),"Without amenities")</f>
        <v>Without amenities</v>
      </c>
      <c r="K2025" s="2">
        <f>IFERROR(__xludf.DUMMYFUNCTION("""COMPUTED_VALUE"""),230000.0)</f>
        <v>230000</v>
      </c>
      <c r="L2025" s="2">
        <f>IFERROR(__xludf.DUMMYFUNCTION("""COMPUTED_VALUE"""),56.9563166)</f>
        <v>56.9563166</v>
      </c>
      <c r="M2025" s="2">
        <f>IFERROR(__xludf.DUMMYFUNCTION("""COMPUTED_VALUE"""),24.0234127)</f>
        <v>24.0234127</v>
      </c>
    </row>
    <row r="2026">
      <c r="A2026" s="2" t="str">
        <f>IFERROR(__xludf.DUMMYFUNCTION("""COMPUTED_VALUE"""),"For sale")</f>
        <v>For sale</v>
      </c>
      <c r="B2026" s="2" t="str">
        <f>IFERROR(__xludf.DUMMYFUNCTION("""COMPUTED_VALUE"""),"Ķengarags")</f>
        <v>Ķengarags</v>
      </c>
      <c r="C2026" s="2" t="str">
        <f>IFERROR(__xludf.DUMMYFUNCTION("""COMPUTED_VALUE"""),"Festivāla 1")</f>
        <v>Festivāla 1</v>
      </c>
      <c r="D2026" s="2">
        <f>IFERROR(__xludf.DUMMYFUNCTION("""COMPUTED_VALUE"""),2.0)</f>
        <v>2</v>
      </c>
      <c r="E2026" s="2">
        <f>IFERROR(__xludf.DUMMYFUNCTION("""COMPUTED_VALUE"""),35.0)</f>
        <v>35</v>
      </c>
      <c r="F2026" s="2">
        <f>IFERROR(__xludf.DUMMYFUNCTION("""COMPUTED_VALUE"""),3.0)</f>
        <v>3</v>
      </c>
      <c r="G2026" s="2">
        <f>IFERROR(__xludf.DUMMYFUNCTION("""COMPUTED_VALUE"""),5.0)</f>
        <v>5</v>
      </c>
      <c r="H2026" s="2" t="str">
        <f>IFERROR(__xludf.DUMMYFUNCTION("""COMPUTED_VALUE"""),"Hrušč.")</f>
        <v>Hrušč.</v>
      </c>
      <c r="I2026" s="2" t="str">
        <f>IFERROR(__xludf.DUMMYFUNCTION("""COMPUTED_VALUE"""),"Brick")</f>
        <v>Brick</v>
      </c>
      <c r="J2026" s="2" t="str">
        <f>IFERROR(__xludf.DUMMYFUNCTION("""COMPUTED_VALUE"""),"All amenities")</f>
        <v>All amenities</v>
      </c>
      <c r="K2026" s="2">
        <f>IFERROR(__xludf.DUMMYFUNCTION("""COMPUTED_VALUE"""),37500.0)</f>
        <v>37500</v>
      </c>
      <c r="L2026" s="2">
        <f>IFERROR(__xludf.DUMMYFUNCTION("""COMPUTED_VALUE"""),56.90348845)</f>
        <v>56.90348845</v>
      </c>
      <c r="M2026" s="2">
        <f>IFERROR(__xludf.DUMMYFUNCTION("""COMPUTED_VALUE"""),24.20369795)</f>
        <v>24.20369795</v>
      </c>
    </row>
    <row r="2027">
      <c r="A2027" s="2" t="str">
        <f>IFERROR(__xludf.DUMMYFUNCTION("""COMPUTED_VALUE"""),"For sale")</f>
        <v>For sale</v>
      </c>
      <c r="B2027" s="2" t="str">
        <f>IFERROR(__xludf.DUMMYFUNCTION("""COMPUTED_VALUE"""),"Ķengarags")</f>
        <v>Ķengarags</v>
      </c>
      <c r="C2027" s="2" t="str">
        <f>IFERROR(__xludf.DUMMYFUNCTION("""COMPUTED_VALUE"""),"Aglonas 10/3")</f>
        <v>Aglonas 10/3</v>
      </c>
      <c r="D2027" s="2">
        <f>IFERROR(__xludf.DUMMYFUNCTION("""COMPUTED_VALUE"""),2.0)</f>
        <v>2</v>
      </c>
      <c r="E2027" s="2">
        <f>IFERROR(__xludf.DUMMYFUNCTION("""COMPUTED_VALUE"""),47.0)</f>
        <v>47</v>
      </c>
      <c r="F2027" s="2">
        <f>IFERROR(__xludf.DUMMYFUNCTION("""COMPUTED_VALUE"""),2.0)</f>
        <v>2</v>
      </c>
      <c r="G2027" s="2">
        <f>IFERROR(__xludf.DUMMYFUNCTION("""COMPUTED_VALUE"""),5.0)</f>
        <v>5</v>
      </c>
      <c r="H2027" s="2" t="str">
        <f>IFERROR(__xludf.DUMMYFUNCTION("""COMPUTED_VALUE"""),"LT proj.")</f>
        <v>LT proj.</v>
      </c>
      <c r="I2027" s="2" t="str">
        <f>IFERROR(__xludf.DUMMYFUNCTION("""COMPUTED_VALUE"""),"Panel")</f>
        <v>Panel</v>
      </c>
      <c r="J2027" s="2" t="str">
        <f>IFERROR(__xludf.DUMMYFUNCTION("""COMPUTED_VALUE"""),"All amenities")</f>
        <v>All amenities</v>
      </c>
      <c r="K2027" s="2">
        <f>IFERROR(__xludf.DUMMYFUNCTION("""COMPUTED_VALUE"""),46000.0)</f>
        <v>46000</v>
      </c>
      <c r="L2027" s="2">
        <f>IFERROR(__xludf.DUMMYFUNCTION("""COMPUTED_VALUE"""),56.9137899)</f>
        <v>56.9137899</v>
      </c>
      <c r="M2027" s="2">
        <f>IFERROR(__xludf.DUMMYFUNCTION("""COMPUTED_VALUE"""),24.180044)</f>
        <v>24.180044</v>
      </c>
    </row>
    <row r="2028">
      <c r="A2028" s="2" t="str">
        <f>IFERROR(__xludf.DUMMYFUNCTION("""COMPUTED_VALUE"""),"For rent")</f>
        <v>For rent</v>
      </c>
      <c r="B2028" s="2" t="str">
        <f>IFERROR(__xludf.DUMMYFUNCTION("""COMPUTED_VALUE"""),"centrs")</f>
        <v>centrs</v>
      </c>
      <c r="C2028" s="2" t="str">
        <f>IFERROR(__xludf.DUMMYFUNCTION("""COMPUTED_VALUE"""),"Pulkv. Brieža 3")</f>
        <v>Pulkv. Brieža 3</v>
      </c>
      <c r="D2028" s="2">
        <f>IFERROR(__xludf.DUMMYFUNCTION("""COMPUTED_VALUE"""),1.0)</f>
        <v>1</v>
      </c>
      <c r="E2028" s="2">
        <f>IFERROR(__xludf.DUMMYFUNCTION("""COMPUTED_VALUE"""),31.0)</f>
        <v>31</v>
      </c>
      <c r="F2028" s="2">
        <f>IFERROR(__xludf.DUMMYFUNCTION("""COMPUTED_VALUE"""),4.0)</f>
        <v>4</v>
      </c>
      <c r="G2028" s="2">
        <f>IFERROR(__xludf.DUMMYFUNCTION("""COMPUTED_VALUE"""),5.0)</f>
        <v>5</v>
      </c>
      <c r="H2028" s="2" t="str">
        <f>IFERROR(__xludf.DUMMYFUNCTION("""COMPUTED_VALUE"""),"P. kara")</f>
        <v>P. kara</v>
      </c>
      <c r="I2028" s="2" t="str">
        <f>IFERROR(__xludf.DUMMYFUNCTION("""COMPUTED_VALUE"""),"Masonry")</f>
        <v>Masonry</v>
      </c>
      <c r="J2028" s="2" t="str">
        <f>IFERROR(__xludf.DUMMYFUNCTION("""COMPUTED_VALUE"""),"All amenities")</f>
        <v>All amenities</v>
      </c>
      <c r="K2028" s="2">
        <f>IFERROR(__xludf.DUMMYFUNCTION("""COMPUTED_VALUE"""),310.0)</f>
        <v>310</v>
      </c>
      <c r="L2028" s="2" t="str">
        <f>IFERROR(__xludf.DUMMYFUNCTION("""COMPUTED_VALUE"""),"NaN")</f>
        <v>NaN</v>
      </c>
      <c r="M2028" s="2" t="str">
        <f>IFERROR(__xludf.DUMMYFUNCTION("""COMPUTED_VALUE"""),"NaN")</f>
        <v>NaN</v>
      </c>
    </row>
    <row r="2029">
      <c r="A2029" s="2" t="str">
        <f>IFERROR(__xludf.DUMMYFUNCTION("""COMPUTED_VALUE"""),"For sale")</f>
        <v>For sale</v>
      </c>
      <c r="B2029" s="2" t="str">
        <f>IFERROR(__xludf.DUMMYFUNCTION("""COMPUTED_VALUE"""),"Imanta")</f>
        <v>Imanta</v>
      </c>
      <c r="C2029" s="2" t="str">
        <f>IFERROR(__xludf.DUMMYFUNCTION("""COMPUTED_VALUE"""),"Anniņmuižas bulvāris 43")</f>
        <v>Anniņmuižas bulvāris 43</v>
      </c>
      <c r="D2029" s="2">
        <f>IFERROR(__xludf.DUMMYFUNCTION("""COMPUTED_VALUE"""),3.0)</f>
        <v>3</v>
      </c>
      <c r="E2029" s="2">
        <f>IFERROR(__xludf.DUMMYFUNCTION("""COMPUTED_VALUE"""),86.0)</f>
        <v>86</v>
      </c>
      <c r="F2029" s="2">
        <f>IFERROR(__xludf.DUMMYFUNCTION("""COMPUTED_VALUE"""),5.0)</f>
        <v>5</v>
      </c>
      <c r="G2029" s="2">
        <f>IFERROR(__xludf.DUMMYFUNCTION("""COMPUTED_VALUE"""),22.0)</f>
        <v>22</v>
      </c>
      <c r="H2029" s="2" t="str">
        <f>IFERROR(__xludf.DUMMYFUNCTION("""COMPUTED_VALUE"""),"Jaun.")</f>
        <v>Jaun.</v>
      </c>
      <c r="I2029" s="2" t="str">
        <f>IFERROR(__xludf.DUMMYFUNCTION("""COMPUTED_VALUE"""),"Panel")</f>
        <v>Panel</v>
      </c>
      <c r="J2029" s="2" t="str">
        <f>IFERROR(__xludf.DUMMYFUNCTION("""COMPUTED_VALUE"""),"All amenities")</f>
        <v>All amenities</v>
      </c>
      <c r="K2029" s="2">
        <f>IFERROR(__xludf.DUMMYFUNCTION("""COMPUTED_VALUE"""),158000.0)</f>
        <v>158000</v>
      </c>
      <c r="L2029" s="2">
        <f>IFERROR(__xludf.DUMMYFUNCTION("""COMPUTED_VALUE"""),56.9590306)</f>
        <v>56.9590306</v>
      </c>
      <c r="M2029" s="2">
        <f>IFERROR(__xludf.DUMMYFUNCTION("""COMPUTED_VALUE"""),24.013887042853)</f>
        <v>24.01388704</v>
      </c>
    </row>
    <row r="2030">
      <c r="A2030" s="2" t="str">
        <f>IFERROR(__xludf.DUMMYFUNCTION("""COMPUTED_VALUE"""),"For rent")</f>
        <v>For rent</v>
      </c>
      <c r="B2030" s="2" t="str">
        <f>IFERROR(__xludf.DUMMYFUNCTION("""COMPUTED_VALUE"""),"Ziepniekkalns")</f>
        <v>Ziepniekkalns</v>
      </c>
      <c r="C2030" s="2" t="str">
        <f>IFERROR(__xludf.DUMMYFUNCTION("""COMPUTED_VALUE"""),"Ziepniekkalna 70")</f>
        <v>Ziepniekkalna 70</v>
      </c>
      <c r="D2030" s="2">
        <f>IFERROR(__xludf.DUMMYFUNCTION("""COMPUTED_VALUE"""),4.0)</f>
        <v>4</v>
      </c>
      <c r="E2030" s="2">
        <f>IFERROR(__xludf.DUMMYFUNCTION("""COMPUTED_VALUE"""),138.0)</f>
        <v>138</v>
      </c>
      <c r="F2030" s="2">
        <f>IFERROR(__xludf.DUMMYFUNCTION("""COMPUTED_VALUE"""),4.0)</f>
        <v>4</v>
      </c>
      <c r="G2030" s="2">
        <f>IFERROR(__xludf.DUMMYFUNCTION("""COMPUTED_VALUE"""),4.0)</f>
        <v>4</v>
      </c>
      <c r="H2030" s="2" t="str">
        <f>IFERROR(__xludf.DUMMYFUNCTION("""COMPUTED_VALUE"""),"Jaun.")</f>
        <v>Jaun.</v>
      </c>
      <c r="I2030" s="2" t="str">
        <f>IFERROR(__xludf.DUMMYFUNCTION("""COMPUTED_VALUE"""),"Masonry")</f>
        <v>Masonry</v>
      </c>
      <c r="J2030" s="2" t="str">
        <f>IFERROR(__xludf.DUMMYFUNCTION("""COMPUTED_VALUE"""),"All amenities")</f>
        <v>All amenities</v>
      </c>
      <c r="K2030" s="2">
        <f>IFERROR(__xludf.DUMMYFUNCTION("""COMPUTED_VALUE"""),700.0)</f>
        <v>700</v>
      </c>
      <c r="L2030" s="2">
        <f>IFERROR(__xludf.DUMMYFUNCTION("""COMPUTED_VALUE"""),56.8974581)</f>
        <v>56.8974581</v>
      </c>
      <c r="M2030" s="2">
        <f>IFERROR(__xludf.DUMMYFUNCTION("""COMPUTED_VALUE"""),24.1389382)</f>
        <v>24.1389382</v>
      </c>
    </row>
    <row r="2031">
      <c r="A2031" s="2" t="str">
        <f>IFERROR(__xludf.DUMMYFUNCTION("""COMPUTED_VALUE"""),"For sale")</f>
        <v>For sale</v>
      </c>
      <c r="B2031" s="2" t="str">
        <f>IFERROR(__xludf.DUMMYFUNCTION("""COMPUTED_VALUE"""),"centrs")</f>
        <v>centrs</v>
      </c>
      <c r="C2031" s="2" t="str">
        <f>IFERROR(__xludf.DUMMYFUNCTION("""COMPUTED_VALUE"""),"Indrānu 17")</f>
        <v>Indrānu 17</v>
      </c>
      <c r="D2031" s="2">
        <f>IFERROR(__xludf.DUMMYFUNCTION("""COMPUTED_VALUE"""),2.0)</f>
        <v>2</v>
      </c>
      <c r="E2031" s="2">
        <f>IFERROR(__xludf.DUMMYFUNCTION("""COMPUTED_VALUE"""),49.0)</f>
        <v>49</v>
      </c>
      <c r="F2031" s="2">
        <f>IFERROR(__xludf.DUMMYFUNCTION("""COMPUTED_VALUE"""),2.0)</f>
        <v>2</v>
      </c>
      <c r="G2031" s="2">
        <f>IFERROR(__xludf.DUMMYFUNCTION("""COMPUTED_VALUE"""),4.0)</f>
        <v>4</v>
      </c>
      <c r="H2031" s="2" t="str">
        <f>IFERROR(__xludf.DUMMYFUNCTION("""COMPUTED_VALUE"""),"Renov.")</f>
        <v>Renov.</v>
      </c>
      <c r="I2031" s="2" t="str">
        <f>IFERROR(__xludf.DUMMYFUNCTION("""COMPUTED_VALUE"""),"Masonry")</f>
        <v>Masonry</v>
      </c>
      <c r="J2031" s="2" t="str">
        <f>IFERROR(__xludf.DUMMYFUNCTION("""COMPUTED_VALUE"""),"All amenities")</f>
        <v>All amenities</v>
      </c>
      <c r="K2031" s="2">
        <f>IFERROR(__xludf.DUMMYFUNCTION("""COMPUTED_VALUE"""),99000.0)</f>
        <v>99000</v>
      </c>
      <c r="L2031" s="2">
        <f>IFERROR(__xludf.DUMMYFUNCTION("""COMPUTED_VALUE"""),56.968951)</f>
        <v>56.968951</v>
      </c>
      <c r="M2031" s="2">
        <f>IFERROR(__xludf.DUMMYFUNCTION("""COMPUTED_VALUE"""),24.1448842676771)</f>
        <v>24.14488427</v>
      </c>
    </row>
    <row r="2032">
      <c r="A2032" s="2" t="str">
        <f>IFERROR(__xludf.DUMMYFUNCTION("""COMPUTED_VALUE"""),"For rent")</f>
        <v>For rent</v>
      </c>
      <c r="B2032" s="2" t="str">
        <f>IFERROR(__xludf.DUMMYFUNCTION("""COMPUTED_VALUE"""),"Zolitūde")</f>
        <v>Zolitūde</v>
      </c>
      <c r="C2032" s="2" t="str">
        <f>IFERROR(__xludf.DUMMYFUNCTION("""COMPUTED_VALUE"""),"Apuzes 40")</f>
        <v>Apuzes 40</v>
      </c>
      <c r="D2032" s="2">
        <f>IFERROR(__xludf.DUMMYFUNCTION("""COMPUTED_VALUE"""),3.0)</f>
        <v>3</v>
      </c>
      <c r="E2032" s="2">
        <f>IFERROR(__xludf.DUMMYFUNCTION("""COMPUTED_VALUE"""),104.0)</f>
        <v>104</v>
      </c>
      <c r="F2032" s="2">
        <f>IFERROR(__xludf.DUMMYFUNCTION("""COMPUTED_VALUE"""),3.0)</f>
        <v>3</v>
      </c>
      <c r="G2032" s="2">
        <f>IFERROR(__xludf.DUMMYFUNCTION("""COMPUTED_VALUE"""),4.0)</f>
        <v>4</v>
      </c>
      <c r="H2032" s="2" t="str">
        <f>IFERROR(__xludf.DUMMYFUNCTION("""COMPUTED_VALUE"""),"Jaun.")</f>
        <v>Jaun.</v>
      </c>
      <c r="I2032" s="2" t="str">
        <f>IFERROR(__xludf.DUMMYFUNCTION("""COMPUTED_VALUE"""),"Brick-Panel")</f>
        <v>Brick-Panel</v>
      </c>
      <c r="J2032" s="2" t="str">
        <f>IFERROR(__xludf.DUMMYFUNCTION("""COMPUTED_VALUE"""),"All amenities")</f>
        <v>All amenities</v>
      </c>
      <c r="K2032" s="2">
        <f>IFERROR(__xludf.DUMMYFUNCTION("""COMPUTED_VALUE"""),780.0)</f>
        <v>780</v>
      </c>
      <c r="L2032" s="2">
        <f>IFERROR(__xludf.DUMMYFUNCTION("""COMPUTED_VALUE"""),56.93844915)</f>
        <v>56.93844915</v>
      </c>
      <c r="M2032" s="2">
        <f>IFERROR(__xludf.DUMMYFUNCTION("""COMPUTED_VALUE"""),24.0230963213073)</f>
        <v>24.02309632</v>
      </c>
    </row>
    <row r="2033">
      <c r="A2033" s="2" t="str">
        <f>IFERROR(__xludf.DUMMYFUNCTION("""COMPUTED_VALUE"""),"For sale")</f>
        <v>For sale</v>
      </c>
      <c r="B2033" s="2" t="str">
        <f>IFERROR(__xludf.DUMMYFUNCTION("""COMPUTED_VALUE"""),"centrs")</f>
        <v>centrs</v>
      </c>
      <c r="C2033" s="2" t="str">
        <f>IFERROR(__xludf.DUMMYFUNCTION("""COMPUTED_VALUE"""),"Tallinas 38")</f>
        <v>Tallinas 38</v>
      </c>
      <c r="D2033" s="2">
        <f>IFERROR(__xludf.DUMMYFUNCTION("""COMPUTED_VALUE"""),3.0)</f>
        <v>3</v>
      </c>
      <c r="E2033" s="2">
        <f>IFERROR(__xludf.DUMMYFUNCTION("""COMPUTED_VALUE"""),75.0)</f>
        <v>75</v>
      </c>
      <c r="F2033" s="2">
        <f>IFERROR(__xludf.DUMMYFUNCTION("""COMPUTED_VALUE"""),2.0)</f>
        <v>2</v>
      </c>
      <c r="G2033" s="2">
        <f>IFERROR(__xludf.DUMMYFUNCTION("""COMPUTED_VALUE"""),4.0)</f>
        <v>4</v>
      </c>
      <c r="H2033" s="2" t="str">
        <f>IFERROR(__xludf.DUMMYFUNCTION("""COMPUTED_VALUE"""),"P. kara")</f>
        <v>P. kara</v>
      </c>
      <c r="I2033" s="2" t="str">
        <f>IFERROR(__xludf.DUMMYFUNCTION("""COMPUTED_VALUE"""),"Masonry")</f>
        <v>Masonry</v>
      </c>
      <c r="J2033" s="2" t="str">
        <f>IFERROR(__xludf.DUMMYFUNCTION("""COMPUTED_VALUE"""),"All amenities")</f>
        <v>All amenities</v>
      </c>
      <c r="K2033" s="2">
        <f>IFERROR(__xludf.DUMMYFUNCTION("""COMPUTED_VALUE"""),95000.0)</f>
        <v>95000</v>
      </c>
      <c r="L2033" s="2">
        <f>IFERROR(__xludf.DUMMYFUNCTION("""COMPUTED_VALUE"""),56.9614076999999)</f>
        <v>56.9614077</v>
      </c>
      <c r="M2033" s="2">
        <f>IFERROR(__xludf.DUMMYFUNCTION("""COMPUTED_VALUE"""),24.1394561330557)</f>
        <v>24.13945613</v>
      </c>
    </row>
    <row r="2034">
      <c r="A2034" s="2" t="str">
        <f>IFERROR(__xludf.DUMMYFUNCTION("""COMPUTED_VALUE"""),"For sale")</f>
        <v>For sale</v>
      </c>
      <c r="B2034" s="2" t="str">
        <f>IFERROR(__xludf.DUMMYFUNCTION("""COMPUTED_VALUE"""),"centrs")</f>
        <v>centrs</v>
      </c>
      <c r="C2034" s="2" t="str">
        <f>IFERROR(__xludf.DUMMYFUNCTION("""COMPUTED_VALUE"""),"Tallinas 86")</f>
        <v>Tallinas 86</v>
      </c>
      <c r="D2034" s="2">
        <f>IFERROR(__xludf.DUMMYFUNCTION("""COMPUTED_VALUE"""),1.0)</f>
        <v>1</v>
      </c>
      <c r="E2034" s="2">
        <f>IFERROR(__xludf.DUMMYFUNCTION("""COMPUTED_VALUE"""),31.0)</f>
        <v>31</v>
      </c>
      <c r="F2034" s="2">
        <f>IFERROR(__xludf.DUMMYFUNCTION("""COMPUTED_VALUE"""),5.0)</f>
        <v>5</v>
      </c>
      <c r="G2034" s="2">
        <f>IFERROR(__xludf.DUMMYFUNCTION("""COMPUTED_VALUE"""),5.0)</f>
        <v>5</v>
      </c>
      <c r="H2034" s="2" t="str">
        <f>IFERROR(__xludf.DUMMYFUNCTION("""COMPUTED_VALUE"""),"Renov.")</f>
        <v>Renov.</v>
      </c>
      <c r="I2034" s="2" t="str">
        <f>IFERROR(__xludf.DUMMYFUNCTION("""COMPUTED_VALUE"""),"Brick")</f>
        <v>Brick</v>
      </c>
      <c r="J2034" s="2" t="str">
        <f>IFERROR(__xludf.DUMMYFUNCTION("""COMPUTED_VALUE"""),"All amenities")</f>
        <v>All amenities</v>
      </c>
      <c r="K2034" s="2">
        <f>IFERROR(__xludf.DUMMYFUNCTION("""COMPUTED_VALUE"""),60000.0)</f>
        <v>60000</v>
      </c>
      <c r="L2034" s="2">
        <f>IFERROR(__xludf.DUMMYFUNCTION("""COMPUTED_VALUE"""),56.95652115)</f>
        <v>56.95652115</v>
      </c>
      <c r="M2034" s="2">
        <f>IFERROR(__xludf.DUMMYFUNCTION("""COMPUTED_VALUE"""),24.1476809000188)</f>
        <v>24.1476809</v>
      </c>
    </row>
    <row r="2035">
      <c r="A2035" s="2" t="str">
        <f>IFERROR(__xludf.DUMMYFUNCTION("""COMPUTED_VALUE"""),"For rent")</f>
        <v>For rent</v>
      </c>
      <c r="B2035" s="2" t="str">
        <f>IFERROR(__xludf.DUMMYFUNCTION("""COMPUTED_VALUE"""),"centrs")</f>
        <v>centrs</v>
      </c>
      <c r="C2035" s="2" t="str">
        <f>IFERROR(__xludf.DUMMYFUNCTION("""COMPUTED_VALUE"""),"Baznīcas 26a")</f>
        <v>Baznīcas 26a</v>
      </c>
      <c r="D2035" s="2">
        <f>IFERROR(__xludf.DUMMYFUNCTION("""COMPUTED_VALUE"""),3.0)</f>
        <v>3</v>
      </c>
      <c r="E2035" s="2">
        <f>IFERROR(__xludf.DUMMYFUNCTION("""COMPUTED_VALUE"""),104.0)</f>
        <v>104</v>
      </c>
      <c r="F2035" s="2">
        <f>IFERROR(__xludf.DUMMYFUNCTION("""COMPUTED_VALUE"""),6.0)</f>
        <v>6</v>
      </c>
      <c r="G2035" s="2">
        <f>IFERROR(__xludf.DUMMYFUNCTION("""COMPUTED_VALUE"""),6.0)</f>
        <v>6</v>
      </c>
      <c r="H2035" s="2" t="str">
        <f>IFERROR(__xludf.DUMMYFUNCTION("""COMPUTED_VALUE"""),"P. kara")</f>
        <v>P. kara</v>
      </c>
      <c r="I2035" s="2" t="str">
        <f>IFERROR(__xludf.DUMMYFUNCTION("""COMPUTED_VALUE"""),"Brick")</f>
        <v>Brick</v>
      </c>
      <c r="J2035" s="2" t="str">
        <f>IFERROR(__xludf.DUMMYFUNCTION("""COMPUTED_VALUE"""),"All amenities")</f>
        <v>All amenities</v>
      </c>
      <c r="K2035" s="2">
        <f>IFERROR(__xludf.DUMMYFUNCTION("""COMPUTED_VALUE"""),700.0)</f>
        <v>700</v>
      </c>
      <c r="L2035" s="2">
        <f>IFERROR(__xludf.DUMMYFUNCTION("""COMPUTED_VALUE"""),56.9585108)</f>
        <v>56.9585108</v>
      </c>
      <c r="M2035" s="2">
        <f>IFERROR(__xludf.DUMMYFUNCTION("""COMPUTED_VALUE"""),24.1228978201077)</f>
        <v>24.12289782</v>
      </c>
    </row>
    <row r="2036">
      <c r="A2036" s="2" t="str">
        <f>IFERROR(__xludf.DUMMYFUNCTION("""COMPUTED_VALUE"""),"For sale")</f>
        <v>For sale</v>
      </c>
      <c r="B2036" s="2" t="str">
        <f>IFERROR(__xludf.DUMMYFUNCTION("""COMPUTED_VALUE"""),"Pļavnieki")</f>
        <v>Pļavnieki</v>
      </c>
      <c r="C2036" s="2" t="str">
        <f>IFERROR(__xludf.DUMMYFUNCTION("""COMPUTED_VALUE"""),"Ulbrokas 22")</f>
        <v>Ulbrokas 22</v>
      </c>
      <c r="D2036" s="2">
        <f>IFERROR(__xludf.DUMMYFUNCTION("""COMPUTED_VALUE"""),2.0)</f>
        <v>2</v>
      </c>
      <c r="E2036" s="2">
        <f>IFERROR(__xludf.DUMMYFUNCTION("""COMPUTED_VALUE"""),51.0)</f>
        <v>51</v>
      </c>
      <c r="F2036" s="2">
        <f>IFERROR(__xludf.DUMMYFUNCTION("""COMPUTED_VALUE"""),2.0)</f>
        <v>2</v>
      </c>
      <c r="G2036" s="2">
        <f>IFERROR(__xludf.DUMMYFUNCTION("""COMPUTED_VALUE"""),9.0)</f>
        <v>9</v>
      </c>
      <c r="H2036" s="2">
        <f>IFERROR(__xludf.DUMMYFUNCTION("""COMPUTED_VALUE"""),602.0)</f>
        <v>602</v>
      </c>
      <c r="I2036" s="2" t="str">
        <f>IFERROR(__xludf.DUMMYFUNCTION("""COMPUTED_VALUE"""),"Panel")</f>
        <v>Panel</v>
      </c>
      <c r="J2036" s="2" t="str">
        <f>IFERROR(__xludf.DUMMYFUNCTION("""COMPUTED_VALUE"""),"All amenities")</f>
        <v>All amenities</v>
      </c>
      <c r="K2036" s="2">
        <f>IFERROR(__xludf.DUMMYFUNCTION("""COMPUTED_VALUE"""),58000.0)</f>
        <v>58000</v>
      </c>
      <c r="L2036" s="2">
        <f>IFERROR(__xludf.DUMMYFUNCTION("""COMPUTED_VALUE"""),56.9440729)</f>
        <v>56.9440729</v>
      </c>
      <c r="M2036" s="2">
        <f>IFERROR(__xludf.DUMMYFUNCTION("""COMPUTED_VALUE"""),24.2177392125913)</f>
        <v>24.21773921</v>
      </c>
    </row>
    <row r="2037">
      <c r="A2037" s="2" t="str">
        <f>IFERROR(__xludf.DUMMYFUNCTION("""COMPUTED_VALUE"""),"For rent")</f>
        <v>For rent</v>
      </c>
      <c r="B2037" s="2" t="str">
        <f>IFERROR(__xludf.DUMMYFUNCTION("""COMPUTED_VALUE"""),"centrs")</f>
        <v>centrs</v>
      </c>
      <c r="C2037" s="2" t="str">
        <f>IFERROR(__xludf.DUMMYFUNCTION("""COMPUTED_VALUE"""),"Brīvības 114")</f>
        <v>Brīvības 114</v>
      </c>
      <c r="D2037" s="2">
        <f>IFERROR(__xludf.DUMMYFUNCTION("""COMPUTED_VALUE"""),2.0)</f>
        <v>2</v>
      </c>
      <c r="E2037" s="2">
        <f>IFERROR(__xludf.DUMMYFUNCTION("""COMPUTED_VALUE"""),38.0)</f>
        <v>38</v>
      </c>
      <c r="F2037" s="2">
        <f>IFERROR(__xludf.DUMMYFUNCTION("""COMPUTED_VALUE"""),2.0)</f>
        <v>2</v>
      </c>
      <c r="G2037" s="2">
        <f>IFERROR(__xludf.DUMMYFUNCTION("""COMPUTED_VALUE"""),3.0)</f>
        <v>3</v>
      </c>
      <c r="H2037" s="2" t="str">
        <f>IFERROR(__xludf.DUMMYFUNCTION("""COMPUTED_VALUE"""),"P. kara")</f>
        <v>P. kara</v>
      </c>
      <c r="I2037" s="2" t="str">
        <f>IFERROR(__xludf.DUMMYFUNCTION("""COMPUTED_VALUE"""),"Masonry")</f>
        <v>Masonry</v>
      </c>
      <c r="J2037" s="2" t="str">
        <f>IFERROR(__xludf.DUMMYFUNCTION("""COMPUTED_VALUE"""),"All amenities")</f>
        <v>All amenities</v>
      </c>
      <c r="K2037" s="2">
        <f>IFERROR(__xludf.DUMMYFUNCTION("""COMPUTED_VALUE"""),270.0)</f>
        <v>270</v>
      </c>
      <c r="L2037" s="2">
        <f>IFERROR(__xludf.DUMMYFUNCTION("""COMPUTED_VALUE"""),56.9619771)</f>
        <v>56.9619771</v>
      </c>
      <c r="M2037" s="2">
        <f>IFERROR(__xludf.DUMMYFUNCTION("""COMPUTED_VALUE"""),24.1348346)</f>
        <v>24.1348346</v>
      </c>
    </row>
    <row r="2038">
      <c r="A2038" s="2" t="str">
        <f>IFERROR(__xludf.DUMMYFUNCTION("""COMPUTED_VALUE"""),"For sale")</f>
        <v>For sale</v>
      </c>
      <c r="B2038" s="2" t="str">
        <f>IFERROR(__xludf.DUMMYFUNCTION("""COMPUTED_VALUE"""),"Dārzciems")</f>
        <v>Dārzciems</v>
      </c>
      <c r="C2038" s="2" t="str">
        <f>IFERROR(__xludf.DUMMYFUNCTION("""COMPUTED_VALUE"""),"Jaunrozes 9")</f>
        <v>Jaunrozes 9</v>
      </c>
      <c r="D2038" s="2">
        <f>IFERROR(__xludf.DUMMYFUNCTION("""COMPUTED_VALUE"""),2.0)</f>
        <v>2</v>
      </c>
      <c r="E2038" s="2">
        <f>IFERROR(__xludf.DUMMYFUNCTION("""COMPUTED_VALUE"""),48.0)</f>
        <v>48</v>
      </c>
      <c r="F2038" s="2">
        <f>IFERROR(__xludf.DUMMYFUNCTION("""COMPUTED_VALUE"""),1.0)</f>
        <v>1</v>
      </c>
      <c r="G2038" s="2">
        <f>IFERROR(__xludf.DUMMYFUNCTION("""COMPUTED_VALUE"""),3.0)</f>
        <v>3</v>
      </c>
      <c r="H2038" s="2" t="str">
        <f>IFERROR(__xludf.DUMMYFUNCTION("""COMPUTED_VALUE"""),"Specpr.")</f>
        <v>Specpr.</v>
      </c>
      <c r="I2038" s="2" t="str">
        <f>IFERROR(__xludf.DUMMYFUNCTION("""COMPUTED_VALUE"""),"Brick")</f>
        <v>Brick</v>
      </c>
      <c r="J2038" s="2" t="str">
        <f>IFERROR(__xludf.DUMMYFUNCTION("""COMPUTED_VALUE"""),"All amenities")</f>
        <v>All amenities</v>
      </c>
      <c r="K2038" s="2">
        <f>IFERROR(__xludf.DUMMYFUNCTION("""COMPUTED_VALUE"""),45000.0)</f>
        <v>45000</v>
      </c>
      <c r="L2038" s="2">
        <f>IFERROR(__xludf.DUMMYFUNCTION("""COMPUTED_VALUE"""),56.94596715)</f>
        <v>56.94596715</v>
      </c>
      <c r="M2038" s="2">
        <f>IFERROR(__xludf.DUMMYFUNCTION("""COMPUTED_VALUE"""),24.16620155)</f>
        <v>24.16620155</v>
      </c>
    </row>
    <row r="2039">
      <c r="A2039" s="2" t="str">
        <f>IFERROR(__xludf.DUMMYFUNCTION("""COMPUTED_VALUE"""),"For sale")</f>
        <v>For sale</v>
      </c>
      <c r="B2039" s="2" t="str">
        <f>IFERROR(__xludf.DUMMYFUNCTION("""COMPUTED_VALUE"""),"Jugla")</f>
        <v>Jugla</v>
      </c>
      <c r="C2039" s="2" t="str">
        <f>IFERROR(__xludf.DUMMYFUNCTION("""COMPUTED_VALUE"""),"Silciema 5")</f>
        <v>Silciema 5</v>
      </c>
      <c r="D2039" s="2">
        <f>IFERROR(__xludf.DUMMYFUNCTION("""COMPUTED_VALUE"""),2.0)</f>
        <v>2</v>
      </c>
      <c r="E2039" s="2">
        <f>IFERROR(__xludf.DUMMYFUNCTION("""COMPUTED_VALUE"""),46.0)</f>
        <v>46</v>
      </c>
      <c r="F2039" s="2">
        <f>IFERROR(__xludf.DUMMYFUNCTION("""COMPUTED_VALUE"""),1.0)</f>
        <v>1</v>
      </c>
      <c r="G2039" s="2">
        <f>IFERROR(__xludf.DUMMYFUNCTION("""COMPUTED_VALUE"""),5.0)</f>
        <v>5</v>
      </c>
      <c r="H2039" s="2" t="str">
        <f>IFERROR(__xludf.DUMMYFUNCTION("""COMPUTED_VALUE"""),"Hrušč.")</f>
        <v>Hrušč.</v>
      </c>
      <c r="I2039" s="2" t="str">
        <f>IFERROR(__xludf.DUMMYFUNCTION("""COMPUTED_VALUE"""),"Panel")</f>
        <v>Panel</v>
      </c>
      <c r="J2039" s="2" t="str">
        <f>IFERROR(__xludf.DUMMYFUNCTION("""COMPUTED_VALUE"""),"All amenities")</f>
        <v>All amenities</v>
      </c>
      <c r="K2039" s="2">
        <f>IFERROR(__xludf.DUMMYFUNCTION("""COMPUTED_VALUE"""),41000.0)</f>
        <v>41000</v>
      </c>
      <c r="L2039" s="2">
        <f>IFERROR(__xludf.DUMMYFUNCTION("""COMPUTED_VALUE"""),56.9882535)</f>
        <v>56.9882535</v>
      </c>
      <c r="M2039" s="2">
        <f>IFERROR(__xludf.DUMMYFUNCTION("""COMPUTED_VALUE"""),24.2378954328869)</f>
        <v>24.23789543</v>
      </c>
    </row>
    <row r="2040">
      <c r="A2040" s="2" t="str">
        <f>IFERROR(__xludf.DUMMYFUNCTION("""COMPUTED_VALUE"""),"For sale")</f>
        <v>For sale</v>
      </c>
      <c r="B2040" s="2" t="str">
        <f>IFERROR(__xludf.DUMMYFUNCTION("""COMPUTED_VALUE"""),"centrs")</f>
        <v>centrs</v>
      </c>
      <c r="C2040" s="2" t="str">
        <f>IFERROR(__xludf.DUMMYFUNCTION("""COMPUTED_VALUE"""),"Valdemāra 11")</f>
        <v>Valdemāra 11</v>
      </c>
      <c r="D2040" s="2">
        <f>IFERROR(__xludf.DUMMYFUNCTION("""COMPUTED_VALUE"""),3.0)</f>
        <v>3</v>
      </c>
      <c r="E2040" s="2">
        <f>IFERROR(__xludf.DUMMYFUNCTION("""COMPUTED_VALUE"""),85.0)</f>
        <v>85</v>
      </c>
      <c r="F2040" s="2">
        <f>IFERROR(__xludf.DUMMYFUNCTION("""COMPUTED_VALUE"""),1.0)</f>
        <v>1</v>
      </c>
      <c r="G2040" s="2">
        <f>IFERROR(__xludf.DUMMYFUNCTION("""COMPUTED_VALUE"""),5.0)</f>
        <v>5</v>
      </c>
      <c r="H2040" s="2" t="str">
        <f>IFERROR(__xludf.DUMMYFUNCTION("""COMPUTED_VALUE"""),"P. kara")</f>
        <v>P. kara</v>
      </c>
      <c r="I2040" s="2" t="str">
        <f>IFERROR(__xludf.DUMMYFUNCTION("""COMPUTED_VALUE"""),"Masonry")</f>
        <v>Masonry</v>
      </c>
      <c r="J2040" s="2" t="str">
        <f>IFERROR(__xludf.DUMMYFUNCTION("""COMPUTED_VALUE"""),"All amenities")</f>
        <v>All amenities</v>
      </c>
      <c r="K2040" s="2">
        <f>IFERROR(__xludf.DUMMYFUNCTION("""COMPUTED_VALUE"""),145000.0)</f>
        <v>145000</v>
      </c>
      <c r="L2040" s="2">
        <f>IFERROR(__xludf.DUMMYFUNCTION("""COMPUTED_VALUE"""),56.9557623)</f>
        <v>56.9557623</v>
      </c>
      <c r="M2040" s="2">
        <f>IFERROR(__xludf.DUMMYFUNCTION("""COMPUTED_VALUE"""),24.1108020285596)</f>
        <v>24.11080203</v>
      </c>
    </row>
    <row r="2041">
      <c r="A2041" s="2" t="str">
        <f>IFERROR(__xludf.DUMMYFUNCTION("""COMPUTED_VALUE"""),"For sale")</f>
        <v>For sale</v>
      </c>
      <c r="B2041" s="2" t="str">
        <f>IFERROR(__xludf.DUMMYFUNCTION("""COMPUTED_VALUE"""),"Teika")</f>
        <v>Teika</v>
      </c>
      <c r="C2041" s="2" t="str">
        <f>IFERROR(__xludf.DUMMYFUNCTION("""COMPUTED_VALUE"""),"Ūnijas 73")</f>
        <v>Ūnijas 73</v>
      </c>
      <c r="D2041" s="2">
        <f>IFERROR(__xludf.DUMMYFUNCTION("""COMPUTED_VALUE"""),3.0)</f>
        <v>3</v>
      </c>
      <c r="E2041" s="2">
        <f>IFERROR(__xludf.DUMMYFUNCTION("""COMPUTED_VALUE"""),92.0)</f>
        <v>92</v>
      </c>
      <c r="F2041" s="2">
        <f>IFERROR(__xludf.DUMMYFUNCTION("""COMPUTED_VALUE"""),4.0)</f>
        <v>4</v>
      </c>
      <c r="G2041" s="2">
        <f>IFERROR(__xludf.DUMMYFUNCTION("""COMPUTED_VALUE"""),5.0)</f>
        <v>5</v>
      </c>
      <c r="H2041" s="2" t="str">
        <f>IFERROR(__xludf.DUMMYFUNCTION("""COMPUTED_VALUE"""),"Jaun.")</f>
        <v>Jaun.</v>
      </c>
      <c r="I2041" s="2" t="str">
        <f>IFERROR(__xludf.DUMMYFUNCTION("""COMPUTED_VALUE"""),"Masonry")</f>
        <v>Masonry</v>
      </c>
      <c r="J2041" s="2" t="str">
        <f>IFERROR(__xludf.DUMMYFUNCTION("""COMPUTED_VALUE"""),"All amenities")</f>
        <v>All amenities</v>
      </c>
      <c r="K2041" s="2">
        <f>IFERROR(__xludf.DUMMYFUNCTION("""COMPUTED_VALUE"""),160000.0)</f>
        <v>160000</v>
      </c>
      <c r="L2041" s="2">
        <f>IFERROR(__xludf.DUMMYFUNCTION("""COMPUTED_VALUE"""),56.96436315)</f>
        <v>56.96436315</v>
      </c>
      <c r="M2041" s="2">
        <f>IFERROR(__xludf.DUMMYFUNCTION("""COMPUTED_VALUE"""),24.1791502065621)</f>
        <v>24.17915021</v>
      </c>
    </row>
    <row r="2042">
      <c r="A2042" s="2" t="str">
        <f>IFERROR(__xludf.DUMMYFUNCTION("""COMPUTED_VALUE"""),"For rent")</f>
        <v>For rent</v>
      </c>
      <c r="B2042" s="2" t="str">
        <f>IFERROR(__xludf.DUMMYFUNCTION("""COMPUTED_VALUE"""),"Mežciems")</f>
        <v>Mežciems</v>
      </c>
      <c r="C2042" s="2" t="str">
        <f>IFERROR(__xludf.DUMMYFUNCTION("""COMPUTED_VALUE"""),"Hipokrāta 9")</f>
        <v>Hipokrāta 9</v>
      </c>
      <c r="D2042" s="2">
        <f>IFERROR(__xludf.DUMMYFUNCTION("""COMPUTED_VALUE"""),1.0)</f>
        <v>1</v>
      </c>
      <c r="E2042" s="2">
        <f>IFERROR(__xludf.DUMMYFUNCTION("""COMPUTED_VALUE"""),47.0)</f>
        <v>47</v>
      </c>
      <c r="F2042" s="2">
        <f>IFERROR(__xludf.DUMMYFUNCTION("""COMPUTED_VALUE"""),5.0)</f>
        <v>5</v>
      </c>
      <c r="G2042" s="2">
        <f>IFERROR(__xludf.DUMMYFUNCTION("""COMPUTED_VALUE"""),16.0)</f>
        <v>16</v>
      </c>
      <c r="H2042" s="2">
        <f>IFERROR(__xludf.DUMMYFUNCTION("""COMPUTED_VALUE"""),104.0)</f>
        <v>104</v>
      </c>
      <c r="I2042" s="2" t="str">
        <f>IFERROR(__xludf.DUMMYFUNCTION("""COMPUTED_VALUE"""),"Panel")</f>
        <v>Panel</v>
      </c>
      <c r="J2042" s="2" t="str">
        <f>IFERROR(__xludf.DUMMYFUNCTION("""COMPUTED_VALUE"""),"All amenities")</f>
        <v>All amenities</v>
      </c>
      <c r="K2042" s="2">
        <f>IFERROR(__xludf.DUMMYFUNCTION("""COMPUTED_VALUE"""),270.0)</f>
        <v>270</v>
      </c>
      <c r="L2042" s="2">
        <f>IFERROR(__xludf.DUMMYFUNCTION("""COMPUTED_VALUE"""),56.96758455)</f>
        <v>56.96758455</v>
      </c>
      <c r="M2042" s="2">
        <f>IFERROR(__xludf.DUMMYFUNCTION("""COMPUTED_VALUE"""),24.238078024789)</f>
        <v>24.23807802</v>
      </c>
    </row>
    <row r="2043">
      <c r="A2043" s="2" t="str">
        <f>IFERROR(__xludf.DUMMYFUNCTION("""COMPUTED_VALUE"""),"For sale")</f>
        <v>For sale</v>
      </c>
      <c r="B2043" s="2" t="str">
        <f>IFERROR(__xludf.DUMMYFUNCTION("""COMPUTED_VALUE"""),"Āgenskalns")</f>
        <v>Āgenskalns</v>
      </c>
      <c r="C2043" s="2" t="str">
        <f>IFERROR(__xludf.DUMMYFUNCTION("""COMPUTED_VALUE"""),"Kristapa 20")</f>
        <v>Kristapa 20</v>
      </c>
      <c r="D2043" s="2">
        <f>IFERROR(__xludf.DUMMYFUNCTION("""COMPUTED_VALUE"""),2.0)</f>
        <v>2</v>
      </c>
      <c r="E2043" s="2">
        <f>IFERROR(__xludf.DUMMYFUNCTION("""COMPUTED_VALUE"""),41.0)</f>
        <v>41</v>
      </c>
      <c r="F2043" s="2">
        <f>IFERROR(__xludf.DUMMYFUNCTION("""COMPUTED_VALUE"""),2.0)</f>
        <v>2</v>
      </c>
      <c r="G2043" s="2">
        <f>IFERROR(__xludf.DUMMYFUNCTION("""COMPUTED_VALUE"""),5.0)</f>
        <v>5</v>
      </c>
      <c r="H2043" s="2" t="str">
        <f>IFERROR(__xludf.DUMMYFUNCTION("""COMPUTED_VALUE"""),"Hrušč.")</f>
        <v>Hrušč.</v>
      </c>
      <c r="I2043" s="2" t="str">
        <f>IFERROR(__xludf.DUMMYFUNCTION("""COMPUTED_VALUE"""),"Brick")</f>
        <v>Brick</v>
      </c>
      <c r="J2043" s="2" t="str">
        <f>IFERROR(__xludf.DUMMYFUNCTION("""COMPUTED_VALUE"""),"All amenities")</f>
        <v>All amenities</v>
      </c>
      <c r="K2043" s="2">
        <f>IFERROR(__xludf.DUMMYFUNCTION("""COMPUTED_VALUE"""),39999.0)</f>
        <v>39999</v>
      </c>
      <c r="L2043" s="2">
        <f>IFERROR(__xludf.DUMMYFUNCTION("""COMPUTED_VALUE"""),56.94411415)</f>
        <v>56.94411415</v>
      </c>
      <c r="M2043" s="2">
        <f>IFERROR(__xludf.DUMMYFUNCTION("""COMPUTED_VALUE"""),24.064304448841)</f>
        <v>24.06430445</v>
      </c>
    </row>
    <row r="2044">
      <c r="A2044" s="2" t="str">
        <f>IFERROR(__xludf.DUMMYFUNCTION("""COMPUTED_VALUE"""),"For sale")</f>
        <v>For sale</v>
      </c>
      <c r="B2044" s="2" t="str">
        <f>IFERROR(__xludf.DUMMYFUNCTION("""COMPUTED_VALUE"""),"Imanta")</f>
        <v>Imanta</v>
      </c>
      <c r="C2044" s="2" t="str">
        <f>IFERROR(__xludf.DUMMYFUNCTION("""COMPUTED_VALUE"""),"Akāciju 2d")</f>
        <v>Akāciju 2d</v>
      </c>
      <c r="D2044" s="2">
        <f>IFERROR(__xludf.DUMMYFUNCTION("""COMPUTED_VALUE"""),2.0)</f>
        <v>2</v>
      </c>
      <c r="E2044" s="2">
        <f>IFERROR(__xludf.DUMMYFUNCTION("""COMPUTED_VALUE"""),45.0)</f>
        <v>45</v>
      </c>
      <c r="F2044" s="2">
        <f>IFERROR(__xludf.DUMMYFUNCTION("""COMPUTED_VALUE"""),2.0)</f>
        <v>2</v>
      </c>
      <c r="G2044" s="2">
        <f>IFERROR(__xludf.DUMMYFUNCTION("""COMPUTED_VALUE"""),9.0)</f>
        <v>9</v>
      </c>
      <c r="H2044" s="2" t="str">
        <f>IFERROR(__xludf.DUMMYFUNCTION("""COMPUTED_VALUE"""),"Jaun.")</f>
        <v>Jaun.</v>
      </c>
      <c r="I2044" s="2" t="str">
        <f>IFERROR(__xludf.DUMMYFUNCTION("""COMPUTED_VALUE"""),"Panel")</f>
        <v>Panel</v>
      </c>
      <c r="J2044" s="2" t="str">
        <f>IFERROR(__xludf.DUMMYFUNCTION("""COMPUTED_VALUE"""),"All amenities")</f>
        <v>All amenities</v>
      </c>
      <c r="K2044" s="2">
        <f>IFERROR(__xludf.DUMMYFUNCTION("""COMPUTED_VALUE"""),89999.0)</f>
        <v>89999</v>
      </c>
      <c r="L2044" s="2">
        <f>IFERROR(__xludf.DUMMYFUNCTION("""COMPUTED_VALUE"""),56.9514132)</f>
        <v>56.9514132</v>
      </c>
      <c r="M2044" s="2">
        <f>IFERROR(__xludf.DUMMYFUNCTION("""COMPUTED_VALUE"""),24.0038761753746)</f>
        <v>24.00387618</v>
      </c>
    </row>
    <row r="2045">
      <c r="A2045" s="2" t="str">
        <f>IFERROR(__xludf.DUMMYFUNCTION("""COMPUTED_VALUE"""),"For sale")</f>
        <v>For sale</v>
      </c>
      <c r="B2045" s="2" t="str">
        <f>IFERROR(__xludf.DUMMYFUNCTION("""COMPUTED_VALUE"""),"Imanta")</f>
        <v>Imanta</v>
      </c>
      <c r="C2045" s="2" t="str">
        <f>IFERROR(__xludf.DUMMYFUNCTION("""COMPUTED_VALUE"""),"Jūrmalas g. 82/2")</f>
        <v>Jūrmalas g. 82/2</v>
      </c>
      <c r="D2045" s="2">
        <f>IFERROR(__xludf.DUMMYFUNCTION("""COMPUTED_VALUE"""),2.0)</f>
        <v>2</v>
      </c>
      <c r="E2045" s="2">
        <f>IFERROR(__xludf.DUMMYFUNCTION("""COMPUTED_VALUE"""),47.0)</f>
        <v>47</v>
      </c>
      <c r="F2045" s="2">
        <f>IFERROR(__xludf.DUMMYFUNCTION("""COMPUTED_VALUE"""),9.0)</f>
        <v>9</v>
      </c>
      <c r="G2045" s="2">
        <f>IFERROR(__xludf.DUMMYFUNCTION("""COMPUTED_VALUE"""),9.0)</f>
        <v>9</v>
      </c>
      <c r="H2045" s="2" t="str">
        <f>IFERROR(__xludf.DUMMYFUNCTION("""COMPUTED_VALUE"""),"Jaun.")</f>
        <v>Jaun.</v>
      </c>
      <c r="I2045" s="2" t="str">
        <f>IFERROR(__xludf.DUMMYFUNCTION("""COMPUTED_VALUE"""),"Panel")</f>
        <v>Panel</v>
      </c>
      <c r="J2045" s="2" t="str">
        <f>IFERROR(__xludf.DUMMYFUNCTION("""COMPUTED_VALUE"""),"All amenities")</f>
        <v>All amenities</v>
      </c>
      <c r="K2045" s="2">
        <f>IFERROR(__xludf.DUMMYFUNCTION("""COMPUTED_VALUE"""),76999.0)</f>
        <v>76999</v>
      </c>
      <c r="L2045" s="2" t="str">
        <f>IFERROR(__xludf.DUMMYFUNCTION("""COMPUTED_VALUE"""),"NaN")</f>
        <v>NaN</v>
      </c>
      <c r="M2045" s="2" t="str">
        <f>IFERROR(__xludf.DUMMYFUNCTION("""COMPUTED_VALUE"""),"NaN")</f>
        <v>NaN</v>
      </c>
    </row>
    <row r="2046">
      <c r="A2046" s="2" t="str">
        <f>IFERROR(__xludf.DUMMYFUNCTION("""COMPUTED_VALUE"""),"For sale")</f>
        <v>For sale</v>
      </c>
      <c r="B2046" s="2" t="str">
        <f>IFERROR(__xludf.DUMMYFUNCTION("""COMPUTED_VALUE"""),"Teika")</f>
        <v>Teika</v>
      </c>
      <c r="C2046" s="2" t="str">
        <f>IFERROR(__xludf.DUMMYFUNCTION("""COMPUTED_VALUE"""),"Ieriķu 39")</f>
        <v>Ieriķu 39</v>
      </c>
      <c r="D2046" s="2">
        <f>IFERROR(__xludf.DUMMYFUNCTION("""COMPUTED_VALUE"""),3.0)</f>
        <v>3</v>
      </c>
      <c r="E2046" s="2">
        <f>IFERROR(__xludf.DUMMYFUNCTION("""COMPUTED_VALUE"""),56.0)</f>
        <v>56</v>
      </c>
      <c r="F2046" s="2">
        <f>IFERROR(__xludf.DUMMYFUNCTION("""COMPUTED_VALUE"""),1.0)</f>
        <v>1</v>
      </c>
      <c r="G2046" s="2">
        <f>IFERROR(__xludf.DUMMYFUNCTION("""COMPUTED_VALUE"""),1.0)</f>
        <v>1</v>
      </c>
      <c r="H2046" s="2" t="str">
        <f>IFERROR(__xludf.DUMMYFUNCTION("""COMPUTED_VALUE"""),"LT proj.")</f>
        <v>LT proj.</v>
      </c>
      <c r="I2046" s="2" t="str">
        <f>IFERROR(__xludf.DUMMYFUNCTION("""COMPUTED_VALUE"""),"Panel")</f>
        <v>Panel</v>
      </c>
      <c r="J2046" s="2" t="str">
        <f>IFERROR(__xludf.DUMMYFUNCTION("""COMPUTED_VALUE"""),"All amenities")</f>
        <v>All amenities</v>
      </c>
      <c r="K2046" s="2">
        <f>IFERROR(__xludf.DUMMYFUNCTION("""COMPUTED_VALUE"""),59990.0)</f>
        <v>59990</v>
      </c>
      <c r="L2046" s="2">
        <f>IFERROR(__xludf.DUMMYFUNCTION("""COMPUTED_VALUE"""),56.9666739)</f>
        <v>56.9666739</v>
      </c>
      <c r="M2046" s="2">
        <f>IFERROR(__xludf.DUMMYFUNCTION("""COMPUTED_VALUE"""),24.18015715)</f>
        <v>24.18015715</v>
      </c>
    </row>
    <row r="2047">
      <c r="A2047" s="2" t="str">
        <f>IFERROR(__xludf.DUMMYFUNCTION("""COMPUTED_VALUE"""),"For sale")</f>
        <v>For sale</v>
      </c>
      <c r="B2047" s="2" t="str">
        <f>IFERROR(__xludf.DUMMYFUNCTION("""COMPUTED_VALUE"""),"centrs")</f>
        <v>centrs</v>
      </c>
      <c r="C2047" s="2" t="str">
        <f>IFERROR(__xludf.DUMMYFUNCTION("""COMPUTED_VALUE"""),"Barona 36")</f>
        <v>Barona 36</v>
      </c>
      <c r="D2047" s="2">
        <f>IFERROR(__xludf.DUMMYFUNCTION("""COMPUTED_VALUE"""),4.0)</f>
        <v>4</v>
      </c>
      <c r="E2047" s="2">
        <f>IFERROR(__xludf.DUMMYFUNCTION("""COMPUTED_VALUE"""),125.0)</f>
        <v>125</v>
      </c>
      <c r="F2047" s="2">
        <f>IFERROR(__xludf.DUMMYFUNCTION("""COMPUTED_VALUE"""),4.0)</f>
        <v>4</v>
      </c>
      <c r="G2047" s="2">
        <f>IFERROR(__xludf.DUMMYFUNCTION("""COMPUTED_VALUE"""),6.0)</f>
        <v>6</v>
      </c>
      <c r="H2047" s="2" t="str">
        <f>IFERROR(__xludf.DUMMYFUNCTION("""COMPUTED_VALUE"""),"Renov.")</f>
        <v>Renov.</v>
      </c>
      <c r="I2047" s="2" t="str">
        <f>IFERROR(__xludf.DUMMYFUNCTION("""COMPUTED_VALUE"""),"Masonry")</f>
        <v>Masonry</v>
      </c>
      <c r="J2047" s="2" t="str">
        <f>IFERROR(__xludf.DUMMYFUNCTION("""COMPUTED_VALUE"""),"All amenities")</f>
        <v>All amenities</v>
      </c>
      <c r="K2047" s="2">
        <f>IFERROR(__xludf.DUMMYFUNCTION("""COMPUTED_VALUE"""),295000.0)</f>
        <v>295000</v>
      </c>
      <c r="L2047" s="2">
        <f>IFERROR(__xludf.DUMMYFUNCTION("""COMPUTED_VALUE"""),56.9531436)</f>
        <v>56.9531436</v>
      </c>
      <c r="M2047" s="2">
        <f>IFERROR(__xludf.DUMMYFUNCTION("""COMPUTED_VALUE"""),24.1255034)</f>
        <v>24.1255034</v>
      </c>
    </row>
    <row r="2048">
      <c r="A2048" s="2" t="str">
        <f>IFERROR(__xludf.DUMMYFUNCTION("""COMPUTED_VALUE"""),"For rent")</f>
        <v>For rent</v>
      </c>
      <c r="B2048" s="2" t="str">
        <f>IFERROR(__xludf.DUMMYFUNCTION("""COMPUTED_VALUE"""),"Āgenskalns")</f>
        <v>Āgenskalns</v>
      </c>
      <c r="C2048" s="2" t="str">
        <f>IFERROR(__xludf.DUMMYFUNCTION("""COMPUTED_VALUE"""),"Kuldīgas 13a")</f>
        <v>Kuldīgas 13a</v>
      </c>
      <c r="D2048" s="2">
        <f>IFERROR(__xludf.DUMMYFUNCTION("""COMPUTED_VALUE"""),2.0)</f>
        <v>2</v>
      </c>
      <c r="E2048" s="2">
        <f>IFERROR(__xludf.DUMMYFUNCTION("""COMPUTED_VALUE"""),63.0)</f>
        <v>63</v>
      </c>
      <c r="F2048" s="2">
        <f>IFERROR(__xludf.DUMMYFUNCTION("""COMPUTED_VALUE"""),4.0)</f>
        <v>4</v>
      </c>
      <c r="G2048" s="2">
        <f>IFERROR(__xludf.DUMMYFUNCTION("""COMPUTED_VALUE"""),5.0)</f>
        <v>5</v>
      </c>
      <c r="H2048" s="2" t="str">
        <f>IFERROR(__xludf.DUMMYFUNCTION("""COMPUTED_VALUE"""),"Specpr.")</f>
        <v>Specpr.</v>
      </c>
      <c r="I2048" s="2" t="str">
        <f>IFERROR(__xludf.DUMMYFUNCTION("""COMPUTED_VALUE"""),"Brick")</f>
        <v>Brick</v>
      </c>
      <c r="J2048" s="2" t="str">
        <f>IFERROR(__xludf.DUMMYFUNCTION("""COMPUTED_VALUE"""),"All amenities")</f>
        <v>All amenities</v>
      </c>
      <c r="K2048" s="2">
        <f>IFERROR(__xludf.DUMMYFUNCTION("""COMPUTED_VALUE"""),350.0)</f>
        <v>350</v>
      </c>
      <c r="L2048" s="2">
        <f>IFERROR(__xludf.DUMMYFUNCTION("""COMPUTED_VALUE"""),56.9525197499999)</f>
        <v>56.95251975</v>
      </c>
      <c r="M2048" s="2">
        <f>IFERROR(__xludf.DUMMYFUNCTION("""COMPUTED_VALUE"""),24.0658713441479)</f>
        <v>24.06587134</v>
      </c>
    </row>
    <row r="2049">
      <c r="A2049" s="2" t="str">
        <f>IFERROR(__xludf.DUMMYFUNCTION("""COMPUTED_VALUE"""),"For sale")</f>
        <v>For sale</v>
      </c>
      <c r="B2049" s="2" t="str">
        <f>IFERROR(__xludf.DUMMYFUNCTION("""COMPUTED_VALUE"""),"Imanta")</f>
        <v>Imanta</v>
      </c>
      <c r="C2049" s="2" t="str">
        <f>IFERROR(__xludf.DUMMYFUNCTION("""COMPUTED_VALUE"""),"Kurzemes pr. 98")</f>
        <v>Kurzemes pr. 98</v>
      </c>
      <c r="D2049" s="2">
        <f>IFERROR(__xludf.DUMMYFUNCTION("""COMPUTED_VALUE"""),3.0)</f>
        <v>3</v>
      </c>
      <c r="E2049" s="2">
        <f>IFERROR(__xludf.DUMMYFUNCTION("""COMPUTED_VALUE"""),63.0)</f>
        <v>63</v>
      </c>
      <c r="F2049" s="2">
        <f>IFERROR(__xludf.DUMMYFUNCTION("""COMPUTED_VALUE"""),5.0)</f>
        <v>5</v>
      </c>
      <c r="G2049" s="2">
        <f>IFERROR(__xludf.DUMMYFUNCTION("""COMPUTED_VALUE"""),9.0)</f>
        <v>9</v>
      </c>
      <c r="H2049" s="2">
        <f>IFERROR(__xludf.DUMMYFUNCTION("""COMPUTED_VALUE"""),602.0)</f>
        <v>602</v>
      </c>
      <c r="I2049" s="2" t="str">
        <f>IFERROR(__xludf.DUMMYFUNCTION("""COMPUTED_VALUE"""),"Panel")</f>
        <v>Panel</v>
      </c>
      <c r="J2049" s="2" t="str">
        <f>IFERROR(__xludf.DUMMYFUNCTION("""COMPUTED_VALUE"""),"All amenities")</f>
        <v>All amenities</v>
      </c>
      <c r="K2049" s="2">
        <f>IFERROR(__xludf.DUMMYFUNCTION("""COMPUTED_VALUE"""),65000.0)</f>
        <v>65000</v>
      </c>
      <c r="L2049" s="2" t="str">
        <f>IFERROR(__xludf.DUMMYFUNCTION("""COMPUTED_VALUE"""),"NaN")</f>
        <v>NaN</v>
      </c>
      <c r="M2049" s="2" t="str">
        <f>IFERROR(__xludf.DUMMYFUNCTION("""COMPUTED_VALUE"""),"NaN")</f>
        <v>NaN</v>
      </c>
    </row>
    <row r="2050">
      <c r="A2050" s="2" t="str">
        <f>IFERROR(__xludf.DUMMYFUNCTION("""COMPUTED_VALUE"""),"For rent")</f>
        <v>For rent</v>
      </c>
      <c r="B2050" s="2" t="str">
        <f>IFERROR(__xludf.DUMMYFUNCTION("""COMPUTED_VALUE"""),"Purvciems")</f>
        <v>Purvciems</v>
      </c>
      <c r="C2050" s="2" t="str">
        <f>IFERROR(__xludf.DUMMYFUNCTION("""COMPUTED_VALUE"""),"Ilūkstes 48")</f>
        <v>Ilūkstes 48</v>
      </c>
      <c r="D2050" s="2">
        <f>IFERROR(__xludf.DUMMYFUNCTION("""COMPUTED_VALUE"""),2.0)</f>
        <v>2</v>
      </c>
      <c r="E2050" s="2">
        <f>IFERROR(__xludf.DUMMYFUNCTION("""COMPUTED_VALUE"""),64.0)</f>
        <v>64</v>
      </c>
      <c r="F2050" s="2">
        <f>IFERROR(__xludf.DUMMYFUNCTION("""COMPUTED_VALUE"""),2.0)</f>
        <v>2</v>
      </c>
      <c r="G2050" s="2">
        <f>IFERROR(__xludf.DUMMYFUNCTION("""COMPUTED_VALUE"""),9.0)</f>
        <v>9</v>
      </c>
      <c r="H2050" s="2">
        <f>IFERROR(__xludf.DUMMYFUNCTION("""COMPUTED_VALUE"""),119.0)</f>
        <v>119</v>
      </c>
      <c r="I2050" s="2" t="str">
        <f>IFERROR(__xludf.DUMMYFUNCTION("""COMPUTED_VALUE"""),"Panel")</f>
        <v>Panel</v>
      </c>
      <c r="J2050" s="2" t="str">
        <f>IFERROR(__xludf.DUMMYFUNCTION("""COMPUTED_VALUE"""),"All amenities")</f>
        <v>All amenities</v>
      </c>
      <c r="K2050" s="2">
        <f>IFERROR(__xludf.DUMMYFUNCTION("""COMPUTED_VALUE"""),325.0)</f>
        <v>325</v>
      </c>
      <c r="L2050" s="2">
        <f>IFERROR(__xludf.DUMMYFUNCTION("""COMPUTED_VALUE"""),56.9494311499999)</f>
        <v>56.94943115</v>
      </c>
      <c r="M2050" s="2">
        <f>IFERROR(__xludf.DUMMYFUNCTION("""COMPUTED_VALUE"""),24.1991222)</f>
        <v>24.1991222</v>
      </c>
    </row>
    <row r="2051">
      <c r="A2051" s="2" t="str">
        <f>IFERROR(__xludf.DUMMYFUNCTION("""COMPUTED_VALUE"""),"For sale")</f>
        <v>For sale</v>
      </c>
      <c r="B2051" s="2" t="str">
        <f>IFERROR(__xludf.DUMMYFUNCTION("""COMPUTED_VALUE"""),"Pļavnieki")</f>
        <v>Pļavnieki</v>
      </c>
      <c r="C2051" s="2" t="str">
        <f>IFERROR(__xludf.DUMMYFUNCTION("""COMPUTED_VALUE"""),"Tīnūžu 6")</f>
        <v>Tīnūžu 6</v>
      </c>
      <c r="D2051" s="2">
        <f>IFERROR(__xludf.DUMMYFUNCTION("""COMPUTED_VALUE"""),1.0)</f>
        <v>1</v>
      </c>
      <c r="E2051" s="2">
        <f>IFERROR(__xludf.DUMMYFUNCTION("""COMPUTED_VALUE"""),33.0)</f>
        <v>33</v>
      </c>
      <c r="F2051" s="2">
        <f>IFERROR(__xludf.DUMMYFUNCTION("""COMPUTED_VALUE"""),2.0)</f>
        <v>2</v>
      </c>
      <c r="G2051" s="2">
        <f>IFERROR(__xludf.DUMMYFUNCTION("""COMPUTED_VALUE"""),9.0)</f>
        <v>9</v>
      </c>
      <c r="H2051" s="2">
        <f>IFERROR(__xludf.DUMMYFUNCTION("""COMPUTED_VALUE"""),602.0)</f>
        <v>602</v>
      </c>
      <c r="I2051" s="2" t="str">
        <f>IFERROR(__xludf.DUMMYFUNCTION("""COMPUTED_VALUE"""),"Panel")</f>
        <v>Panel</v>
      </c>
      <c r="J2051" s="2" t="str">
        <f>IFERROR(__xludf.DUMMYFUNCTION("""COMPUTED_VALUE"""),"All amenities")</f>
        <v>All amenities</v>
      </c>
      <c r="K2051" s="2">
        <f>IFERROR(__xludf.DUMMYFUNCTION("""COMPUTED_VALUE"""),32000.0)</f>
        <v>32000</v>
      </c>
      <c r="L2051" s="2">
        <f>IFERROR(__xludf.DUMMYFUNCTION("""COMPUTED_VALUE"""),56.9343506999999)</f>
        <v>56.9343507</v>
      </c>
      <c r="M2051" s="2">
        <f>IFERROR(__xludf.DUMMYFUNCTION("""COMPUTED_VALUE"""),24.2060082499999)</f>
        <v>24.20600825</v>
      </c>
    </row>
    <row r="2052">
      <c r="A2052" s="2" t="str">
        <f>IFERROR(__xludf.DUMMYFUNCTION("""COMPUTED_VALUE"""),"For rent")</f>
        <v>For rent</v>
      </c>
      <c r="B2052" s="2" t="str">
        <f>IFERROR(__xludf.DUMMYFUNCTION("""COMPUTED_VALUE"""),"centrs")</f>
        <v>centrs</v>
      </c>
      <c r="C2052" s="2" t="str">
        <f>IFERROR(__xludf.DUMMYFUNCTION("""COMPUTED_VALUE"""),"Stabu 46")</f>
        <v>Stabu 46</v>
      </c>
      <c r="D2052" s="2">
        <f>IFERROR(__xludf.DUMMYFUNCTION("""COMPUTED_VALUE"""),3.0)</f>
        <v>3</v>
      </c>
      <c r="E2052" s="2">
        <f>IFERROR(__xludf.DUMMYFUNCTION("""COMPUTED_VALUE"""),85.0)</f>
        <v>85</v>
      </c>
      <c r="F2052" s="2">
        <f>IFERROR(__xludf.DUMMYFUNCTION("""COMPUTED_VALUE"""),5.0)</f>
        <v>5</v>
      </c>
      <c r="G2052" s="2">
        <f>IFERROR(__xludf.DUMMYFUNCTION("""COMPUTED_VALUE"""),5.0)</f>
        <v>5</v>
      </c>
      <c r="H2052" s="2" t="str">
        <f>IFERROR(__xludf.DUMMYFUNCTION("""COMPUTED_VALUE"""),"P. kara")</f>
        <v>P. kara</v>
      </c>
      <c r="I2052" s="2" t="str">
        <f>IFERROR(__xludf.DUMMYFUNCTION("""COMPUTED_VALUE"""),"Masonry")</f>
        <v>Masonry</v>
      </c>
      <c r="J2052" s="2" t="str">
        <f>IFERROR(__xludf.DUMMYFUNCTION("""COMPUTED_VALUE"""),"All amenities")</f>
        <v>All amenities</v>
      </c>
      <c r="K2052" s="2">
        <f>IFERROR(__xludf.DUMMYFUNCTION("""COMPUTED_VALUE"""),400.0)</f>
        <v>400</v>
      </c>
      <c r="L2052" s="2">
        <f>IFERROR(__xludf.DUMMYFUNCTION("""COMPUTED_VALUE"""),56.9543322)</f>
        <v>56.9543322</v>
      </c>
      <c r="M2052" s="2">
        <f>IFERROR(__xludf.DUMMYFUNCTION("""COMPUTED_VALUE"""),24.1313043698515)</f>
        <v>24.13130437</v>
      </c>
    </row>
    <row r="2053">
      <c r="A2053" s="2" t="str">
        <f>IFERROR(__xludf.DUMMYFUNCTION("""COMPUTED_VALUE"""),"For sale")</f>
        <v>For sale</v>
      </c>
      <c r="B2053" s="2" t="str">
        <f>IFERROR(__xludf.DUMMYFUNCTION("""COMPUTED_VALUE"""),"Pļavnieki")</f>
        <v>Pļavnieki</v>
      </c>
      <c r="C2053" s="2" t="str">
        <f>IFERROR(__xludf.DUMMYFUNCTION("""COMPUTED_VALUE"""),"Salnas 1")</f>
        <v>Salnas 1</v>
      </c>
      <c r="D2053" s="2">
        <f>IFERROR(__xludf.DUMMYFUNCTION("""COMPUTED_VALUE"""),1.0)</f>
        <v>1</v>
      </c>
      <c r="E2053" s="2">
        <f>IFERROR(__xludf.DUMMYFUNCTION("""COMPUTED_VALUE"""),33.0)</f>
        <v>33</v>
      </c>
      <c r="F2053" s="2">
        <f>IFERROR(__xludf.DUMMYFUNCTION("""COMPUTED_VALUE"""),5.0)</f>
        <v>5</v>
      </c>
      <c r="G2053" s="2">
        <f>IFERROR(__xludf.DUMMYFUNCTION("""COMPUTED_VALUE"""),9.0)</f>
        <v>9</v>
      </c>
      <c r="H2053" s="2">
        <f>IFERROR(__xludf.DUMMYFUNCTION("""COMPUTED_VALUE"""),467.0)</f>
        <v>467</v>
      </c>
      <c r="I2053" s="2" t="str">
        <f>IFERROR(__xludf.DUMMYFUNCTION("""COMPUTED_VALUE"""),"Panel")</f>
        <v>Panel</v>
      </c>
      <c r="J2053" s="2" t="str">
        <f>IFERROR(__xludf.DUMMYFUNCTION("""COMPUTED_VALUE"""),"All amenities")</f>
        <v>All amenities</v>
      </c>
      <c r="K2053" s="2">
        <f>IFERROR(__xludf.DUMMYFUNCTION("""COMPUTED_VALUE"""),34000.0)</f>
        <v>34000</v>
      </c>
      <c r="L2053" s="2">
        <f>IFERROR(__xludf.DUMMYFUNCTION("""COMPUTED_VALUE"""),56.9437576)</f>
        <v>56.9437576</v>
      </c>
      <c r="M2053" s="2">
        <f>IFERROR(__xludf.DUMMYFUNCTION("""COMPUTED_VALUE"""),24.2179250524276)</f>
        <v>24.21792505</v>
      </c>
    </row>
    <row r="2054">
      <c r="A2054" s="2" t="str">
        <f>IFERROR(__xludf.DUMMYFUNCTION("""COMPUTED_VALUE"""),"For sale")</f>
        <v>For sale</v>
      </c>
      <c r="B2054" s="2" t="str">
        <f>IFERROR(__xludf.DUMMYFUNCTION("""COMPUTED_VALUE"""),"Ziepniekkalns")</f>
        <v>Ziepniekkalns</v>
      </c>
      <c r="C2054" s="2" t="str">
        <f>IFERROR(__xludf.DUMMYFUNCTION("""COMPUTED_VALUE"""),"Kaplavas 5")</f>
        <v>Kaplavas 5</v>
      </c>
      <c r="D2054" s="2">
        <f>IFERROR(__xludf.DUMMYFUNCTION("""COMPUTED_VALUE"""),2.0)</f>
        <v>2</v>
      </c>
      <c r="E2054" s="2">
        <f>IFERROR(__xludf.DUMMYFUNCTION("""COMPUTED_VALUE"""),70.0)</f>
        <v>70</v>
      </c>
      <c r="F2054" s="2">
        <f>IFERROR(__xludf.DUMMYFUNCTION("""COMPUTED_VALUE"""),4.0)</f>
        <v>4</v>
      </c>
      <c r="G2054" s="2">
        <f>IFERROR(__xludf.DUMMYFUNCTION("""COMPUTED_VALUE"""),6.0)</f>
        <v>6</v>
      </c>
      <c r="H2054" s="2" t="str">
        <f>IFERROR(__xludf.DUMMYFUNCTION("""COMPUTED_VALUE"""),"Jaun.")</f>
        <v>Jaun.</v>
      </c>
      <c r="I2054" s="2" t="str">
        <f>IFERROR(__xludf.DUMMYFUNCTION("""COMPUTED_VALUE"""),"Masonry")</f>
        <v>Masonry</v>
      </c>
      <c r="J2054" s="2" t="str">
        <f>IFERROR(__xludf.DUMMYFUNCTION("""COMPUTED_VALUE"""),"All amenities")</f>
        <v>All amenities</v>
      </c>
      <c r="K2054" s="2">
        <f>IFERROR(__xludf.DUMMYFUNCTION("""COMPUTED_VALUE"""),97000.0)</f>
        <v>97000</v>
      </c>
      <c r="L2054" s="2">
        <f>IFERROR(__xludf.DUMMYFUNCTION("""COMPUTED_VALUE"""),56.90846935)</f>
        <v>56.90846935</v>
      </c>
      <c r="M2054" s="2">
        <f>IFERROR(__xludf.DUMMYFUNCTION("""COMPUTED_VALUE"""),24.0786774128357)</f>
        <v>24.07867741</v>
      </c>
    </row>
    <row r="2055">
      <c r="A2055" s="2" t="str">
        <f>IFERROR(__xludf.DUMMYFUNCTION("""COMPUTED_VALUE"""),"For sale")</f>
        <v>For sale</v>
      </c>
      <c r="B2055" s="2" t="str">
        <f>IFERROR(__xludf.DUMMYFUNCTION("""COMPUTED_VALUE"""),"Ziepniekkalns")</f>
        <v>Ziepniekkalns</v>
      </c>
      <c r="C2055" s="2" t="str">
        <f>IFERROR(__xludf.DUMMYFUNCTION("""COMPUTED_VALUE"""),"Bruknas 12")</f>
        <v>Bruknas 12</v>
      </c>
      <c r="D2055" s="2">
        <f>IFERROR(__xludf.DUMMYFUNCTION("""COMPUTED_VALUE"""),2.0)</f>
        <v>2</v>
      </c>
      <c r="E2055" s="2">
        <f>IFERROR(__xludf.DUMMYFUNCTION("""COMPUTED_VALUE"""),60.0)</f>
        <v>60</v>
      </c>
      <c r="F2055" s="2">
        <f>IFERROR(__xludf.DUMMYFUNCTION("""COMPUTED_VALUE"""),8.0)</f>
        <v>8</v>
      </c>
      <c r="G2055" s="2">
        <f>IFERROR(__xludf.DUMMYFUNCTION("""COMPUTED_VALUE"""),9.0)</f>
        <v>9</v>
      </c>
      <c r="H2055" s="2">
        <f>IFERROR(__xludf.DUMMYFUNCTION("""COMPUTED_VALUE"""),119.0)</f>
        <v>119</v>
      </c>
      <c r="I2055" s="2" t="str">
        <f>IFERROR(__xludf.DUMMYFUNCTION("""COMPUTED_VALUE"""),"Panel")</f>
        <v>Panel</v>
      </c>
      <c r="J2055" s="2" t="str">
        <f>IFERROR(__xludf.DUMMYFUNCTION("""COMPUTED_VALUE"""),"All amenities")</f>
        <v>All amenities</v>
      </c>
      <c r="K2055" s="2">
        <f>IFERROR(__xludf.DUMMYFUNCTION("""COMPUTED_VALUE"""),60000.0)</f>
        <v>60000</v>
      </c>
      <c r="L2055" s="2">
        <f>IFERROR(__xludf.DUMMYFUNCTION("""COMPUTED_VALUE"""),56.90217635)</f>
        <v>56.90217635</v>
      </c>
      <c r="M2055" s="2">
        <f>IFERROR(__xludf.DUMMYFUNCTION("""COMPUTED_VALUE"""),24.0878581485374)</f>
        <v>24.08785815</v>
      </c>
    </row>
    <row r="2056">
      <c r="A2056" s="2" t="str">
        <f>IFERROR(__xludf.DUMMYFUNCTION("""COMPUTED_VALUE"""),"For sale")</f>
        <v>For sale</v>
      </c>
      <c r="B2056" s="2" t="str">
        <f>IFERROR(__xludf.DUMMYFUNCTION("""COMPUTED_VALUE"""),"Teika")</f>
        <v>Teika</v>
      </c>
      <c r="C2056" s="2" t="str">
        <f>IFERROR(__xludf.DUMMYFUNCTION("""COMPUTED_VALUE"""),"Ropažu 12")</f>
        <v>Ropažu 12</v>
      </c>
      <c r="D2056" s="2">
        <f>IFERROR(__xludf.DUMMYFUNCTION("""COMPUTED_VALUE"""),3.0)</f>
        <v>3</v>
      </c>
      <c r="E2056" s="2">
        <f>IFERROR(__xludf.DUMMYFUNCTION("""COMPUTED_VALUE"""),124.0)</f>
        <v>124</v>
      </c>
      <c r="F2056" s="2">
        <f>IFERROR(__xludf.DUMMYFUNCTION("""COMPUTED_VALUE"""),5.0)</f>
        <v>5</v>
      </c>
      <c r="G2056" s="2">
        <f>IFERROR(__xludf.DUMMYFUNCTION("""COMPUTED_VALUE"""),9.0)</f>
        <v>9</v>
      </c>
      <c r="H2056" s="2" t="str">
        <f>IFERROR(__xludf.DUMMYFUNCTION("""COMPUTED_VALUE"""),"Jaun.")</f>
        <v>Jaun.</v>
      </c>
      <c r="I2056" s="2" t="str">
        <f>IFERROR(__xludf.DUMMYFUNCTION("""COMPUTED_VALUE"""),"Masonry")</f>
        <v>Masonry</v>
      </c>
      <c r="J2056" s="2" t="str">
        <f>IFERROR(__xludf.DUMMYFUNCTION("""COMPUTED_VALUE"""),"All amenities")</f>
        <v>All amenities</v>
      </c>
      <c r="K2056" s="2">
        <f>IFERROR(__xludf.DUMMYFUNCTION("""COMPUTED_VALUE"""),190000.0)</f>
        <v>190000</v>
      </c>
      <c r="L2056" s="2">
        <f>IFERROR(__xludf.DUMMYFUNCTION("""COMPUTED_VALUE"""),56.97725905)</f>
        <v>56.97725905</v>
      </c>
      <c r="M2056" s="2">
        <f>IFERROR(__xludf.DUMMYFUNCTION("""COMPUTED_VALUE"""),24.1667266999254)</f>
        <v>24.1667267</v>
      </c>
    </row>
    <row r="2057">
      <c r="A2057" s="2" t="str">
        <f>IFERROR(__xludf.DUMMYFUNCTION("""COMPUTED_VALUE"""),"For sale")</f>
        <v>For sale</v>
      </c>
      <c r="B2057" s="2" t="str">
        <f>IFERROR(__xludf.DUMMYFUNCTION("""COMPUTED_VALUE"""),"centrs")</f>
        <v>centrs</v>
      </c>
      <c r="C2057" s="2" t="str">
        <f>IFERROR(__xludf.DUMMYFUNCTION("""COMPUTED_VALUE"""),"Brīvības iela 114")</f>
        <v>Brīvības iela 114</v>
      </c>
      <c r="D2057" s="2">
        <f>IFERROR(__xludf.DUMMYFUNCTION("""COMPUTED_VALUE"""),3.0)</f>
        <v>3</v>
      </c>
      <c r="E2057" s="2">
        <f>IFERROR(__xludf.DUMMYFUNCTION("""COMPUTED_VALUE"""),86.0)</f>
        <v>86</v>
      </c>
      <c r="F2057" s="2">
        <f>IFERROR(__xludf.DUMMYFUNCTION("""COMPUTED_VALUE"""),6.0)</f>
        <v>6</v>
      </c>
      <c r="G2057" s="2">
        <f>IFERROR(__xludf.DUMMYFUNCTION("""COMPUTED_VALUE"""),6.0)</f>
        <v>6</v>
      </c>
      <c r="H2057" s="2" t="str">
        <f>IFERROR(__xludf.DUMMYFUNCTION("""COMPUTED_VALUE"""),"P. kara")</f>
        <v>P. kara</v>
      </c>
      <c r="I2057" s="2" t="str">
        <f>IFERROR(__xludf.DUMMYFUNCTION("""COMPUTED_VALUE"""),"Masonry")</f>
        <v>Masonry</v>
      </c>
      <c r="J2057" s="2" t="str">
        <f>IFERROR(__xludf.DUMMYFUNCTION("""COMPUTED_VALUE"""),"All amenities")</f>
        <v>All amenities</v>
      </c>
      <c r="K2057" s="2">
        <f>IFERROR(__xludf.DUMMYFUNCTION("""COMPUTED_VALUE"""),129000.0)</f>
        <v>129000</v>
      </c>
      <c r="L2057" s="2">
        <f>IFERROR(__xludf.DUMMYFUNCTION("""COMPUTED_VALUE"""),56.9619771)</f>
        <v>56.9619771</v>
      </c>
      <c r="M2057" s="2">
        <f>IFERROR(__xludf.DUMMYFUNCTION("""COMPUTED_VALUE"""),24.1348346)</f>
        <v>24.1348346</v>
      </c>
    </row>
    <row r="2058">
      <c r="A2058" s="2" t="str">
        <f>IFERROR(__xludf.DUMMYFUNCTION("""COMPUTED_VALUE"""),"For sale")</f>
        <v>For sale</v>
      </c>
      <c r="B2058" s="2" t="str">
        <f>IFERROR(__xludf.DUMMYFUNCTION("""COMPUTED_VALUE"""),"centrs")</f>
        <v>centrs</v>
      </c>
      <c r="C2058" s="2" t="str">
        <f>IFERROR(__xludf.DUMMYFUNCTION("""COMPUTED_VALUE"""),"Barona 24/26")</f>
        <v>Barona 24/26</v>
      </c>
      <c r="D2058" s="2">
        <f>IFERROR(__xludf.DUMMYFUNCTION("""COMPUTED_VALUE"""),3.0)</f>
        <v>3</v>
      </c>
      <c r="E2058" s="2">
        <f>IFERROR(__xludf.DUMMYFUNCTION("""COMPUTED_VALUE"""),53.0)</f>
        <v>53</v>
      </c>
      <c r="F2058" s="2">
        <f>IFERROR(__xludf.DUMMYFUNCTION("""COMPUTED_VALUE"""),6.0)</f>
        <v>6</v>
      </c>
      <c r="G2058" s="2">
        <f>IFERROR(__xludf.DUMMYFUNCTION("""COMPUTED_VALUE"""),6.0)</f>
        <v>6</v>
      </c>
      <c r="H2058" s="2" t="str">
        <f>IFERROR(__xludf.DUMMYFUNCTION("""COMPUTED_VALUE"""),"Renov.")</f>
        <v>Renov.</v>
      </c>
      <c r="I2058" s="2" t="str">
        <f>IFERROR(__xludf.DUMMYFUNCTION("""COMPUTED_VALUE"""),"Masonry")</f>
        <v>Masonry</v>
      </c>
      <c r="J2058" s="2" t="str">
        <f>IFERROR(__xludf.DUMMYFUNCTION("""COMPUTED_VALUE"""),"All amenities")</f>
        <v>All amenities</v>
      </c>
      <c r="K2058" s="2">
        <f>IFERROR(__xludf.DUMMYFUNCTION("""COMPUTED_VALUE"""),133000.0)</f>
        <v>133000</v>
      </c>
      <c r="L2058" s="2">
        <f>IFERROR(__xludf.DUMMYFUNCTION("""COMPUTED_VALUE"""),56.95161295)</f>
        <v>56.95161295</v>
      </c>
      <c r="M2058" s="2">
        <f>IFERROR(__xludf.DUMMYFUNCTION("""COMPUTED_VALUE"""),24.1224571478615)</f>
        <v>24.12245715</v>
      </c>
    </row>
    <row r="2059">
      <c r="A2059" s="2" t="str">
        <f>IFERROR(__xludf.DUMMYFUNCTION("""COMPUTED_VALUE"""),"For sale")</f>
        <v>For sale</v>
      </c>
      <c r="B2059" s="2" t="str">
        <f>IFERROR(__xludf.DUMMYFUNCTION("""COMPUTED_VALUE"""),"Pļavnieki")</f>
        <v>Pļavnieki</v>
      </c>
      <c r="C2059" s="2" t="str">
        <f>IFERROR(__xludf.DUMMYFUNCTION("""COMPUTED_VALUE"""),"Keldiša 9")</f>
        <v>Keldiša 9</v>
      </c>
      <c r="D2059" s="2">
        <f>IFERROR(__xludf.DUMMYFUNCTION("""COMPUTED_VALUE"""),3.0)</f>
        <v>3</v>
      </c>
      <c r="E2059" s="2">
        <f>IFERROR(__xludf.DUMMYFUNCTION("""COMPUTED_VALUE"""),63.0)</f>
        <v>63</v>
      </c>
      <c r="F2059" s="2">
        <f>IFERROR(__xludf.DUMMYFUNCTION("""COMPUTED_VALUE"""),3.0)</f>
        <v>3</v>
      </c>
      <c r="G2059" s="2">
        <f>IFERROR(__xludf.DUMMYFUNCTION("""COMPUTED_VALUE"""),6.0)</f>
        <v>6</v>
      </c>
      <c r="H2059" s="2">
        <f>IFERROR(__xludf.DUMMYFUNCTION("""COMPUTED_VALUE"""),602.0)</f>
        <v>602</v>
      </c>
      <c r="I2059" s="2" t="str">
        <f>IFERROR(__xludf.DUMMYFUNCTION("""COMPUTED_VALUE"""),"Panel")</f>
        <v>Panel</v>
      </c>
      <c r="J2059" s="2" t="str">
        <f>IFERROR(__xludf.DUMMYFUNCTION("""COMPUTED_VALUE"""),"All amenities")</f>
        <v>All amenities</v>
      </c>
      <c r="K2059" s="2">
        <f>IFERROR(__xludf.DUMMYFUNCTION("""COMPUTED_VALUE"""),57000.0)</f>
        <v>57000</v>
      </c>
      <c r="L2059" s="2">
        <f>IFERROR(__xludf.DUMMYFUNCTION("""COMPUTED_VALUE"""),56.940619)</f>
        <v>56.940619</v>
      </c>
      <c r="M2059" s="2">
        <f>IFERROR(__xludf.DUMMYFUNCTION("""COMPUTED_VALUE"""),24.2018087794177)</f>
        <v>24.20180878</v>
      </c>
    </row>
    <row r="2060">
      <c r="A2060" s="2" t="str">
        <f>IFERROR(__xludf.DUMMYFUNCTION("""COMPUTED_VALUE"""),"For sale")</f>
        <v>For sale</v>
      </c>
      <c r="B2060" s="2" t="str">
        <f>IFERROR(__xludf.DUMMYFUNCTION("""COMPUTED_VALUE"""),"centrs")</f>
        <v>centrs</v>
      </c>
      <c r="C2060" s="2" t="str">
        <f>IFERROR(__xludf.DUMMYFUNCTION("""COMPUTED_VALUE"""),"M. Piena 6")</f>
        <v>M. Piena 6</v>
      </c>
      <c r="D2060" s="2">
        <f>IFERROR(__xludf.DUMMYFUNCTION("""COMPUTED_VALUE"""),2.0)</f>
        <v>2</v>
      </c>
      <c r="E2060" s="2">
        <f>IFERROR(__xludf.DUMMYFUNCTION("""COMPUTED_VALUE"""),36.0)</f>
        <v>36</v>
      </c>
      <c r="F2060" s="2">
        <f>IFERROR(__xludf.DUMMYFUNCTION("""COMPUTED_VALUE"""),2.0)</f>
        <v>2</v>
      </c>
      <c r="G2060" s="2">
        <f>IFERROR(__xludf.DUMMYFUNCTION("""COMPUTED_VALUE"""),6.0)</f>
        <v>6</v>
      </c>
      <c r="H2060" s="2" t="str">
        <f>IFERROR(__xludf.DUMMYFUNCTION("""COMPUTED_VALUE"""),"Jaun.")</f>
        <v>Jaun.</v>
      </c>
      <c r="I2060" s="2" t="str">
        <f>IFERROR(__xludf.DUMMYFUNCTION("""COMPUTED_VALUE"""),"Masonry")</f>
        <v>Masonry</v>
      </c>
      <c r="J2060" s="2" t="str">
        <f>IFERROR(__xludf.DUMMYFUNCTION("""COMPUTED_VALUE"""),"All amenities")</f>
        <v>All amenities</v>
      </c>
      <c r="K2060" s="2">
        <f>IFERROR(__xludf.DUMMYFUNCTION("""COMPUTED_VALUE"""),55500.0)</f>
        <v>55500</v>
      </c>
      <c r="L2060" s="2">
        <f>IFERROR(__xludf.DUMMYFUNCTION("""COMPUTED_VALUE"""),56.96973635)</f>
        <v>56.96973635</v>
      </c>
      <c r="M2060" s="2">
        <f>IFERROR(__xludf.DUMMYFUNCTION("""COMPUTED_VALUE"""),24.10404675)</f>
        <v>24.10404675</v>
      </c>
    </row>
    <row r="2061">
      <c r="A2061" s="2" t="str">
        <f>IFERROR(__xludf.DUMMYFUNCTION("""COMPUTED_VALUE"""),"For sale")</f>
        <v>For sale</v>
      </c>
      <c r="B2061" s="2" t="str">
        <f>IFERROR(__xludf.DUMMYFUNCTION("""COMPUTED_VALUE"""),"centrs")</f>
        <v>centrs</v>
      </c>
      <c r="C2061" s="2" t="str">
        <f>IFERROR(__xludf.DUMMYFUNCTION("""COMPUTED_VALUE"""),"Čaka 36")</f>
        <v>Čaka 36</v>
      </c>
      <c r="D2061" s="2">
        <f>IFERROR(__xludf.DUMMYFUNCTION("""COMPUTED_VALUE"""),4.0)</f>
        <v>4</v>
      </c>
      <c r="E2061" s="2">
        <f>IFERROR(__xludf.DUMMYFUNCTION("""COMPUTED_VALUE"""),84.0)</f>
        <v>84</v>
      </c>
      <c r="F2061" s="2">
        <f>IFERROR(__xludf.DUMMYFUNCTION("""COMPUTED_VALUE"""),2.0)</f>
        <v>2</v>
      </c>
      <c r="G2061" s="2">
        <f>IFERROR(__xludf.DUMMYFUNCTION("""COMPUTED_VALUE"""),5.0)</f>
        <v>5</v>
      </c>
      <c r="H2061" s="2" t="str">
        <f>IFERROR(__xludf.DUMMYFUNCTION("""COMPUTED_VALUE"""),"P. kara")</f>
        <v>P. kara</v>
      </c>
      <c r="I2061" s="2" t="str">
        <f>IFERROR(__xludf.DUMMYFUNCTION("""COMPUTED_VALUE"""),"Brick")</f>
        <v>Brick</v>
      </c>
      <c r="J2061" s="2" t="str">
        <f>IFERROR(__xludf.DUMMYFUNCTION("""COMPUTED_VALUE"""),"All amenities")</f>
        <v>All amenities</v>
      </c>
      <c r="K2061" s="2">
        <f>IFERROR(__xludf.DUMMYFUNCTION("""COMPUTED_VALUE"""),149810.0)</f>
        <v>149810</v>
      </c>
      <c r="L2061" s="2">
        <f>IFERROR(__xludf.DUMMYFUNCTION("""COMPUTED_VALUE"""),56.952698)</f>
        <v>56.952698</v>
      </c>
      <c r="M2061" s="2">
        <f>IFERROR(__xludf.DUMMYFUNCTION("""COMPUTED_VALUE"""),24.1299733)</f>
        <v>24.1299733</v>
      </c>
    </row>
    <row r="2062">
      <c r="A2062" s="2" t="str">
        <f>IFERROR(__xludf.DUMMYFUNCTION("""COMPUTED_VALUE"""),"For sale")</f>
        <v>For sale</v>
      </c>
      <c r="B2062" s="2" t="str">
        <f>IFERROR(__xludf.DUMMYFUNCTION("""COMPUTED_VALUE"""),"centrs")</f>
        <v>centrs</v>
      </c>
      <c r="C2062" s="2" t="str">
        <f>IFERROR(__xludf.DUMMYFUNCTION("""COMPUTED_VALUE"""),"Čaka 36")</f>
        <v>Čaka 36</v>
      </c>
      <c r="D2062" s="2">
        <f>IFERROR(__xludf.DUMMYFUNCTION("""COMPUTED_VALUE"""),2.0)</f>
        <v>2</v>
      </c>
      <c r="E2062" s="2">
        <f>IFERROR(__xludf.DUMMYFUNCTION("""COMPUTED_VALUE"""),64.0)</f>
        <v>64</v>
      </c>
      <c r="F2062" s="2">
        <f>IFERROR(__xludf.DUMMYFUNCTION("""COMPUTED_VALUE"""),3.0)</f>
        <v>3</v>
      </c>
      <c r="G2062" s="2">
        <f>IFERROR(__xludf.DUMMYFUNCTION("""COMPUTED_VALUE"""),5.0)</f>
        <v>5</v>
      </c>
      <c r="H2062" s="2" t="str">
        <f>IFERROR(__xludf.DUMMYFUNCTION("""COMPUTED_VALUE"""),"P. kara")</f>
        <v>P. kara</v>
      </c>
      <c r="I2062" s="2" t="str">
        <f>IFERROR(__xludf.DUMMYFUNCTION("""COMPUTED_VALUE"""),"Masonry")</f>
        <v>Masonry</v>
      </c>
      <c r="J2062" s="2" t="str">
        <f>IFERROR(__xludf.DUMMYFUNCTION("""COMPUTED_VALUE"""),"All amenities")</f>
        <v>All amenities</v>
      </c>
      <c r="K2062" s="2">
        <f>IFERROR(__xludf.DUMMYFUNCTION("""COMPUTED_VALUE"""),126400.0)</f>
        <v>126400</v>
      </c>
      <c r="L2062" s="2">
        <f>IFERROR(__xludf.DUMMYFUNCTION("""COMPUTED_VALUE"""),56.952698)</f>
        <v>56.952698</v>
      </c>
      <c r="M2062" s="2">
        <f>IFERROR(__xludf.DUMMYFUNCTION("""COMPUTED_VALUE"""),24.1299733)</f>
        <v>24.1299733</v>
      </c>
    </row>
    <row r="2063">
      <c r="A2063" s="2" t="str">
        <f>IFERROR(__xludf.DUMMYFUNCTION("""COMPUTED_VALUE"""),"For sale")</f>
        <v>For sale</v>
      </c>
      <c r="B2063" s="2" t="str">
        <f>IFERROR(__xludf.DUMMYFUNCTION("""COMPUTED_VALUE"""),"centrs")</f>
        <v>centrs</v>
      </c>
      <c r="C2063" s="2" t="str">
        <f>IFERROR(__xludf.DUMMYFUNCTION("""COMPUTED_VALUE"""),"Maskavas 95")</f>
        <v>Maskavas 95</v>
      </c>
      <c r="D2063" s="2">
        <f>IFERROR(__xludf.DUMMYFUNCTION("""COMPUTED_VALUE"""),1.0)</f>
        <v>1</v>
      </c>
      <c r="E2063" s="2">
        <f>IFERROR(__xludf.DUMMYFUNCTION("""COMPUTED_VALUE"""),31.0)</f>
        <v>31</v>
      </c>
      <c r="F2063" s="2">
        <f>IFERROR(__xludf.DUMMYFUNCTION("""COMPUTED_VALUE"""),4.0)</f>
        <v>4</v>
      </c>
      <c r="G2063" s="2">
        <f>IFERROR(__xludf.DUMMYFUNCTION("""COMPUTED_VALUE"""),4.0)</f>
        <v>4</v>
      </c>
      <c r="H2063" s="2" t="str">
        <f>IFERROR(__xludf.DUMMYFUNCTION("""COMPUTED_VALUE"""),"P. kara")</f>
        <v>P. kara</v>
      </c>
      <c r="I2063" s="2" t="str">
        <f>IFERROR(__xludf.DUMMYFUNCTION("""COMPUTED_VALUE"""),"Masonry")</f>
        <v>Masonry</v>
      </c>
      <c r="J2063" s="2" t="str">
        <f>IFERROR(__xludf.DUMMYFUNCTION("""COMPUTED_VALUE"""),"All amenities")</f>
        <v>All amenities</v>
      </c>
      <c r="K2063" s="2">
        <f>IFERROR(__xludf.DUMMYFUNCTION("""COMPUTED_VALUE"""),18000.0)</f>
        <v>18000</v>
      </c>
      <c r="L2063" s="2">
        <f>IFERROR(__xludf.DUMMYFUNCTION("""COMPUTED_VALUE"""),56.8597884)</f>
        <v>56.8597884</v>
      </c>
      <c r="M2063" s="2">
        <f>IFERROR(__xludf.DUMMYFUNCTION("""COMPUTED_VALUE"""),24.3083417)</f>
        <v>24.3083417</v>
      </c>
    </row>
    <row r="2064">
      <c r="A2064" s="2" t="str">
        <f>IFERROR(__xludf.DUMMYFUNCTION("""COMPUTED_VALUE"""),"For sale")</f>
        <v>For sale</v>
      </c>
      <c r="B2064" s="2" t="str">
        <f>IFERROR(__xludf.DUMMYFUNCTION("""COMPUTED_VALUE"""),"Sarkandaugava")</f>
        <v>Sarkandaugava</v>
      </c>
      <c r="C2064" s="2" t="str">
        <f>IFERROR(__xludf.DUMMYFUNCTION("""COMPUTED_VALUE"""),"Viestura pr. 83")</f>
        <v>Viestura pr. 83</v>
      </c>
      <c r="D2064" s="2">
        <f>IFERROR(__xludf.DUMMYFUNCTION("""COMPUTED_VALUE"""),3.0)</f>
        <v>3</v>
      </c>
      <c r="E2064" s="2">
        <f>IFERROR(__xludf.DUMMYFUNCTION("""COMPUTED_VALUE"""),84.0)</f>
        <v>84</v>
      </c>
      <c r="F2064" s="2">
        <f>IFERROR(__xludf.DUMMYFUNCTION("""COMPUTED_VALUE"""),1.0)</f>
        <v>1</v>
      </c>
      <c r="G2064" s="2">
        <f>IFERROR(__xludf.DUMMYFUNCTION("""COMPUTED_VALUE"""),2.0)</f>
        <v>2</v>
      </c>
      <c r="H2064" s="2" t="str">
        <f>IFERROR(__xludf.DUMMYFUNCTION("""COMPUTED_VALUE"""),"Staļina")</f>
        <v>Staļina</v>
      </c>
      <c r="I2064" s="2" t="str">
        <f>IFERROR(__xludf.DUMMYFUNCTION("""COMPUTED_VALUE"""),"Brick")</f>
        <v>Brick</v>
      </c>
      <c r="J2064" s="2" t="str">
        <f>IFERROR(__xludf.DUMMYFUNCTION("""COMPUTED_VALUE"""),"All amenities")</f>
        <v>All amenities</v>
      </c>
      <c r="K2064" s="2">
        <f>IFERROR(__xludf.DUMMYFUNCTION("""COMPUTED_VALUE"""),84300.0)</f>
        <v>84300</v>
      </c>
      <c r="L2064" s="2" t="str">
        <f>IFERROR(__xludf.DUMMYFUNCTION("""COMPUTED_VALUE"""),"NaN")</f>
        <v>NaN</v>
      </c>
      <c r="M2064" s="2" t="str">
        <f>IFERROR(__xludf.DUMMYFUNCTION("""COMPUTED_VALUE"""),"NaN")</f>
        <v>NaN</v>
      </c>
    </row>
    <row r="2065">
      <c r="A2065" s="2" t="str">
        <f>IFERROR(__xludf.DUMMYFUNCTION("""COMPUTED_VALUE"""),"For sale")</f>
        <v>For sale</v>
      </c>
      <c r="B2065" s="2" t="str">
        <f>IFERROR(__xludf.DUMMYFUNCTION("""COMPUTED_VALUE"""),"Čiekurkalns")</f>
        <v>Čiekurkalns</v>
      </c>
      <c r="C2065" s="2" t="str">
        <f>IFERROR(__xludf.DUMMYFUNCTION("""COMPUTED_VALUE"""),"Skultes 5")</f>
        <v>Skultes 5</v>
      </c>
      <c r="D2065" s="2">
        <f>IFERROR(__xludf.DUMMYFUNCTION("""COMPUTED_VALUE"""),2.0)</f>
        <v>2</v>
      </c>
      <c r="E2065" s="2">
        <f>IFERROR(__xludf.DUMMYFUNCTION("""COMPUTED_VALUE"""),55.0)</f>
        <v>55</v>
      </c>
      <c r="F2065" s="2">
        <f>IFERROR(__xludf.DUMMYFUNCTION("""COMPUTED_VALUE"""),3.0)</f>
        <v>3</v>
      </c>
      <c r="G2065" s="2">
        <f>IFERROR(__xludf.DUMMYFUNCTION("""COMPUTED_VALUE"""),3.0)</f>
        <v>3</v>
      </c>
      <c r="H2065" s="2" t="str">
        <f>IFERROR(__xludf.DUMMYFUNCTION("""COMPUTED_VALUE"""),"Jaun.")</f>
        <v>Jaun.</v>
      </c>
      <c r="I2065" s="2" t="str">
        <f>IFERROR(__xludf.DUMMYFUNCTION("""COMPUTED_VALUE"""),"Masonry")</f>
        <v>Masonry</v>
      </c>
      <c r="J2065" s="2" t="str">
        <f>IFERROR(__xludf.DUMMYFUNCTION("""COMPUTED_VALUE"""),"All amenities")</f>
        <v>All amenities</v>
      </c>
      <c r="K2065" s="2">
        <f>IFERROR(__xludf.DUMMYFUNCTION("""COMPUTED_VALUE"""),64000.0)</f>
        <v>64000</v>
      </c>
      <c r="L2065" s="2">
        <f>IFERROR(__xludf.DUMMYFUNCTION("""COMPUTED_VALUE"""),56.9849578)</f>
        <v>56.9849578</v>
      </c>
      <c r="M2065" s="2">
        <f>IFERROR(__xludf.DUMMYFUNCTION("""COMPUTED_VALUE"""),24.1831339972375)</f>
        <v>24.183134</v>
      </c>
    </row>
    <row r="2066">
      <c r="A2066" s="2" t="str">
        <f>IFERROR(__xludf.DUMMYFUNCTION("""COMPUTED_VALUE"""),"For sale")</f>
        <v>For sale</v>
      </c>
      <c r="B2066" s="2" t="str">
        <f>IFERROR(__xludf.DUMMYFUNCTION("""COMPUTED_VALUE"""),"Vecmīlgrāvis")</f>
        <v>Vecmīlgrāvis</v>
      </c>
      <c r="C2066" s="2" t="str">
        <f>IFERROR(__xludf.DUMMYFUNCTION("""COMPUTED_VALUE"""),"Gāles 7")</f>
        <v>Gāles 7</v>
      </c>
      <c r="D2066" s="2">
        <f>IFERROR(__xludf.DUMMYFUNCTION("""COMPUTED_VALUE"""),3.0)</f>
        <v>3</v>
      </c>
      <c r="E2066" s="2">
        <f>IFERROR(__xludf.DUMMYFUNCTION("""COMPUTED_VALUE"""),77.0)</f>
        <v>77</v>
      </c>
      <c r="F2066" s="2">
        <f>IFERROR(__xludf.DUMMYFUNCTION("""COMPUTED_VALUE"""),1.0)</f>
        <v>1</v>
      </c>
      <c r="G2066" s="2">
        <f>IFERROR(__xludf.DUMMYFUNCTION("""COMPUTED_VALUE"""),2.0)</f>
        <v>2</v>
      </c>
      <c r="H2066" s="2" t="str">
        <f>IFERROR(__xludf.DUMMYFUNCTION("""COMPUTED_VALUE"""),"P. kara")</f>
        <v>P. kara</v>
      </c>
      <c r="I2066" s="2" t="str">
        <f>IFERROR(__xludf.DUMMYFUNCTION("""COMPUTED_VALUE"""),"Wood")</f>
        <v>Wood</v>
      </c>
      <c r="J2066" s="2" t="str">
        <f>IFERROR(__xludf.DUMMYFUNCTION("""COMPUTED_VALUE"""),"Partial amenities")</f>
        <v>Partial amenities</v>
      </c>
      <c r="K2066" s="2">
        <f>IFERROR(__xludf.DUMMYFUNCTION("""COMPUTED_VALUE"""),43000.0)</f>
        <v>43000</v>
      </c>
      <c r="L2066" s="2">
        <f>IFERROR(__xludf.DUMMYFUNCTION("""COMPUTED_VALUE"""),57.03017055)</f>
        <v>57.03017055</v>
      </c>
      <c r="M2066" s="2">
        <f>IFERROR(__xludf.DUMMYFUNCTION("""COMPUTED_VALUE"""),24.119021686038)</f>
        <v>24.11902169</v>
      </c>
    </row>
    <row r="2067">
      <c r="A2067" s="2" t="str">
        <f>IFERROR(__xludf.DUMMYFUNCTION("""COMPUTED_VALUE"""),"For sale")</f>
        <v>For sale</v>
      </c>
      <c r="B2067" s="2" t="str">
        <f>IFERROR(__xludf.DUMMYFUNCTION("""COMPUTED_VALUE"""),"Ziepniekkalns")</f>
        <v>Ziepniekkalns</v>
      </c>
      <c r="C2067" s="2" t="str">
        <f>IFERROR(__xludf.DUMMYFUNCTION("""COMPUTED_VALUE"""),"Kartupeļu 54")</f>
        <v>Kartupeļu 54</v>
      </c>
      <c r="D2067" s="2">
        <f>IFERROR(__xludf.DUMMYFUNCTION("""COMPUTED_VALUE"""),2.0)</f>
        <v>2</v>
      </c>
      <c r="E2067" s="2">
        <f>IFERROR(__xludf.DUMMYFUNCTION("""COMPUTED_VALUE"""),48.0)</f>
        <v>48</v>
      </c>
      <c r="F2067" s="2">
        <f>IFERROR(__xludf.DUMMYFUNCTION("""COMPUTED_VALUE"""),2.0)</f>
        <v>2</v>
      </c>
      <c r="G2067" s="2">
        <f>IFERROR(__xludf.DUMMYFUNCTION("""COMPUTED_VALUE"""),3.0)</f>
        <v>3</v>
      </c>
      <c r="H2067" s="2" t="str">
        <f>IFERROR(__xludf.DUMMYFUNCTION("""COMPUTED_VALUE"""),"Specpr.")</f>
        <v>Specpr.</v>
      </c>
      <c r="I2067" s="2" t="str">
        <f>IFERROR(__xludf.DUMMYFUNCTION("""COMPUTED_VALUE"""),"Brick")</f>
        <v>Brick</v>
      </c>
      <c r="J2067" s="2" t="str">
        <f>IFERROR(__xludf.DUMMYFUNCTION("""COMPUTED_VALUE"""),"All amenities")</f>
        <v>All amenities</v>
      </c>
      <c r="K2067" s="2">
        <f>IFERROR(__xludf.DUMMYFUNCTION("""COMPUTED_VALUE"""),48000.0)</f>
        <v>48000</v>
      </c>
      <c r="L2067" s="2">
        <f>IFERROR(__xludf.DUMMYFUNCTION("""COMPUTED_VALUE"""),56.9111955)</f>
        <v>56.9111955</v>
      </c>
      <c r="M2067" s="2">
        <f>IFERROR(__xludf.DUMMYFUNCTION("""COMPUTED_VALUE"""),24.1079654901994)</f>
        <v>24.10796549</v>
      </c>
    </row>
    <row r="2068">
      <c r="A2068" s="2" t="str">
        <f>IFERROR(__xludf.DUMMYFUNCTION("""COMPUTED_VALUE"""),"For sale")</f>
        <v>For sale</v>
      </c>
      <c r="B2068" s="2" t="str">
        <f>IFERROR(__xludf.DUMMYFUNCTION("""COMPUTED_VALUE"""),"Purvciems")</f>
        <v>Purvciems</v>
      </c>
      <c r="C2068" s="2" t="str">
        <f>IFERROR(__xludf.DUMMYFUNCTION("""COMPUTED_VALUE"""),"Purvciema 13")</f>
        <v>Purvciema 13</v>
      </c>
      <c r="D2068" s="2">
        <f>IFERROR(__xludf.DUMMYFUNCTION("""COMPUTED_VALUE"""),3.0)</f>
        <v>3</v>
      </c>
      <c r="E2068" s="2">
        <f>IFERROR(__xludf.DUMMYFUNCTION("""COMPUTED_VALUE"""),73.0)</f>
        <v>73</v>
      </c>
      <c r="F2068" s="2">
        <f>IFERROR(__xludf.DUMMYFUNCTION("""COMPUTED_VALUE"""),5.0)</f>
        <v>5</v>
      </c>
      <c r="G2068" s="2">
        <f>IFERROR(__xludf.DUMMYFUNCTION("""COMPUTED_VALUE"""),12.0)</f>
        <v>12</v>
      </c>
      <c r="H2068" s="2">
        <f>IFERROR(__xludf.DUMMYFUNCTION("""COMPUTED_VALUE"""),104.0)</f>
        <v>104</v>
      </c>
      <c r="I2068" s="2" t="str">
        <f>IFERROR(__xludf.DUMMYFUNCTION("""COMPUTED_VALUE"""),"Panel")</f>
        <v>Panel</v>
      </c>
      <c r="J2068" s="2" t="str">
        <f>IFERROR(__xludf.DUMMYFUNCTION("""COMPUTED_VALUE"""),"All amenities")</f>
        <v>All amenities</v>
      </c>
      <c r="K2068" s="2">
        <f>IFERROR(__xludf.DUMMYFUNCTION("""COMPUTED_VALUE"""),65000.0)</f>
        <v>65000</v>
      </c>
      <c r="L2068" s="2">
        <f>IFERROR(__xludf.DUMMYFUNCTION("""COMPUTED_VALUE"""),56.95341415)</f>
        <v>56.95341415</v>
      </c>
      <c r="M2068" s="2">
        <f>IFERROR(__xludf.DUMMYFUNCTION("""COMPUTED_VALUE"""),24.1672841)</f>
        <v>24.1672841</v>
      </c>
    </row>
    <row r="2069">
      <c r="A2069" s="2" t="str">
        <f>IFERROR(__xludf.DUMMYFUNCTION("""COMPUTED_VALUE"""),"For rent")</f>
        <v>For rent</v>
      </c>
      <c r="B2069" s="2" t="str">
        <f>IFERROR(__xludf.DUMMYFUNCTION("""COMPUTED_VALUE"""),"centrs")</f>
        <v>centrs</v>
      </c>
      <c r="C2069" s="2" t="str">
        <f>IFERROR(__xludf.DUMMYFUNCTION("""COMPUTED_VALUE"""),"Puškina 1")</f>
        <v>Puškina 1</v>
      </c>
      <c r="D2069" s="2">
        <f>IFERROR(__xludf.DUMMYFUNCTION("""COMPUTED_VALUE"""),1.0)</f>
        <v>1</v>
      </c>
      <c r="E2069" s="2">
        <f>IFERROR(__xludf.DUMMYFUNCTION("""COMPUTED_VALUE"""),18.0)</f>
        <v>18</v>
      </c>
      <c r="F2069" s="2">
        <f>IFERROR(__xludf.DUMMYFUNCTION("""COMPUTED_VALUE"""),4.0)</f>
        <v>4</v>
      </c>
      <c r="G2069" s="2">
        <f>IFERROR(__xludf.DUMMYFUNCTION("""COMPUTED_VALUE"""),6.0)</f>
        <v>6</v>
      </c>
      <c r="H2069" s="2" t="str">
        <f>IFERROR(__xludf.DUMMYFUNCTION("""COMPUTED_VALUE"""),"Specpr.")</f>
        <v>Specpr.</v>
      </c>
      <c r="I2069" s="2" t="str">
        <f>IFERROR(__xludf.DUMMYFUNCTION("""COMPUTED_VALUE"""),"Brick")</f>
        <v>Brick</v>
      </c>
      <c r="J2069" s="2" t="str">
        <f>IFERROR(__xludf.DUMMYFUNCTION("""COMPUTED_VALUE"""),"All amenities")</f>
        <v>All amenities</v>
      </c>
      <c r="K2069" s="2">
        <f>IFERROR(__xludf.DUMMYFUNCTION("""COMPUTED_VALUE"""),120.0)</f>
        <v>120</v>
      </c>
      <c r="L2069" s="2">
        <f>IFERROR(__xludf.DUMMYFUNCTION("""COMPUTED_VALUE"""),56.9404160499999)</f>
        <v>56.94041605</v>
      </c>
      <c r="M2069" s="2">
        <f>IFERROR(__xludf.DUMMYFUNCTION("""COMPUTED_VALUE"""),24.1191520861869)</f>
        <v>24.11915209</v>
      </c>
    </row>
    <row r="2070">
      <c r="A2070" s="2" t="str">
        <f>IFERROR(__xludf.DUMMYFUNCTION("""COMPUTED_VALUE"""),"For rent")</f>
        <v>For rent</v>
      </c>
      <c r="B2070" s="2" t="str">
        <f>IFERROR(__xludf.DUMMYFUNCTION("""COMPUTED_VALUE"""),"centrs")</f>
        <v>centrs</v>
      </c>
      <c r="C2070" s="2" t="str">
        <f>IFERROR(__xludf.DUMMYFUNCTION("""COMPUTED_VALUE"""),"Stabu 65")</f>
        <v>Stabu 65</v>
      </c>
      <c r="D2070" s="2">
        <f>IFERROR(__xludf.DUMMYFUNCTION("""COMPUTED_VALUE"""),2.0)</f>
        <v>2</v>
      </c>
      <c r="E2070" s="2">
        <f>IFERROR(__xludf.DUMMYFUNCTION("""COMPUTED_VALUE"""),36.0)</f>
        <v>36</v>
      </c>
      <c r="F2070" s="2">
        <f>IFERROR(__xludf.DUMMYFUNCTION("""COMPUTED_VALUE"""),4.0)</f>
        <v>4</v>
      </c>
      <c r="G2070" s="2">
        <f>IFERROR(__xludf.DUMMYFUNCTION("""COMPUTED_VALUE"""),5.0)</f>
        <v>5</v>
      </c>
      <c r="H2070" s="2" t="str">
        <f>IFERROR(__xludf.DUMMYFUNCTION("""COMPUTED_VALUE"""),"P. kara")</f>
        <v>P. kara</v>
      </c>
      <c r="I2070" s="2" t="str">
        <f>IFERROR(__xludf.DUMMYFUNCTION("""COMPUTED_VALUE"""),"Masonry")</f>
        <v>Masonry</v>
      </c>
      <c r="J2070" s="2" t="str">
        <f>IFERROR(__xludf.DUMMYFUNCTION("""COMPUTED_VALUE"""),"All amenities")</f>
        <v>All amenities</v>
      </c>
      <c r="K2070" s="2">
        <f>IFERROR(__xludf.DUMMYFUNCTION("""COMPUTED_VALUE"""),420.0)</f>
        <v>420</v>
      </c>
      <c r="L2070" s="2">
        <f>IFERROR(__xludf.DUMMYFUNCTION("""COMPUTED_VALUE"""),56.9529261)</f>
        <v>56.9529261</v>
      </c>
      <c r="M2070" s="2">
        <f>IFERROR(__xludf.DUMMYFUNCTION("""COMPUTED_VALUE"""),24.1357275)</f>
        <v>24.1357275</v>
      </c>
    </row>
    <row r="2071">
      <c r="A2071" s="2" t="str">
        <f>IFERROR(__xludf.DUMMYFUNCTION("""COMPUTED_VALUE"""),"For sale")</f>
        <v>For sale</v>
      </c>
      <c r="B2071" s="2" t="str">
        <f>IFERROR(__xludf.DUMMYFUNCTION("""COMPUTED_VALUE"""),"Purvciems")</f>
        <v>Purvciems</v>
      </c>
      <c r="C2071" s="2" t="str">
        <f>IFERROR(__xludf.DUMMYFUNCTION("""COMPUTED_VALUE"""),"Nīcgales 4")</f>
        <v>Nīcgales 4</v>
      </c>
      <c r="D2071" s="2">
        <f>IFERROR(__xludf.DUMMYFUNCTION("""COMPUTED_VALUE"""),3.0)</f>
        <v>3</v>
      </c>
      <c r="E2071" s="2">
        <f>IFERROR(__xludf.DUMMYFUNCTION("""COMPUTED_VALUE"""),64.0)</f>
        <v>64</v>
      </c>
      <c r="F2071" s="2">
        <f>IFERROR(__xludf.DUMMYFUNCTION("""COMPUTED_VALUE"""),1.0)</f>
        <v>1</v>
      </c>
      <c r="G2071" s="2">
        <f>IFERROR(__xludf.DUMMYFUNCTION("""COMPUTED_VALUE"""),9.0)</f>
        <v>9</v>
      </c>
      <c r="H2071" s="2">
        <f>IFERROR(__xludf.DUMMYFUNCTION("""COMPUTED_VALUE"""),602.0)</f>
        <v>602</v>
      </c>
      <c r="I2071" s="2" t="str">
        <f>IFERROR(__xludf.DUMMYFUNCTION("""COMPUTED_VALUE"""),"Panel")</f>
        <v>Panel</v>
      </c>
      <c r="J2071" s="2" t="str">
        <f>IFERROR(__xludf.DUMMYFUNCTION("""COMPUTED_VALUE"""),"All amenities")</f>
        <v>All amenities</v>
      </c>
      <c r="K2071" s="2">
        <f>IFERROR(__xludf.DUMMYFUNCTION("""COMPUTED_VALUE"""),61500.0)</f>
        <v>61500</v>
      </c>
      <c r="L2071" s="2">
        <f>IFERROR(__xludf.DUMMYFUNCTION("""COMPUTED_VALUE"""),56.95855255)</f>
        <v>56.95855255</v>
      </c>
      <c r="M2071" s="2">
        <f>IFERROR(__xludf.DUMMYFUNCTION("""COMPUTED_VALUE"""),24.1753163275791)</f>
        <v>24.17531633</v>
      </c>
    </row>
    <row r="2072">
      <c r="A2072" s="2" t="str">
        <f>IFERROR(__xludf.DUMMYFUNCTION("""COMPUTED_VALUE"""),"For sale")</f>
        <v>For sale</v>
      </c>
      <c r="B2072" s="2" t="str">
        <f>IFERROR(__xludf.DUMMYFUNCTION("""COMPUTED_VALUE"""),"Ķengarags")</f>
        <v>Ķengarags</v>
      </c>
      <c r="C2072" s="2" t="str">
        <f>IFERROR(__xludf.DUMMYFUNCTION("""COMPUTED_VALUE"""),"Lokomotīves 54")</f>
        <v>Lokomotīves 54</v>
      </c>
      <c r="D2072" s="2">
        <f>IFERROR(__xludf.DUMMYFUNCTION("""COMPUTED_VALUE"""),1.0)</f>
        <v>1</v>
      </c>
      <c r="E2072" s="2">
        <f>IFERROR(__xludf.DUMMYFUNCTION("""COMPUTED_VALUE"""),32.0)</f>
        <v>32</v>
      </c>
      <c r="F2072" s="2">
        <f>IFERROR(__xludf.DUMMYFUNCTION("""COMPUTED_VALUE"""),12.0)</f>
        <v>12</v>
      </c>
      <c r="G2072" s="2">
        <f>IFERROR(__xludf.DUMMYFUNCTION("""COMPUTED_VALUE"""),12.0)</f>
        <v>12</v>
      </c>
      <c r="H2072" s="2" t="str">
        <f>IFERROR(__xludf.DUMMYFUNCTION("""COMPUTED_VALUE"""),"Čehu pr.")</f>
        <v>Čehu pr.</v>
      </c>
      <c r="I2072" s="2" t="str">
        <f>IFERROR(__xludf.DUMMYFUNCTION("""COMPUTED_VALUE"""),"Brick-Panel")</f>
        <v>Brick-Panel</v>
      </c>
      <c r="J2072" s="2" t="str">
        <f>IFERROR(__xludf.DUMMYFUNCTION("""COMPUTED_VALUE"""),"All amenities")</f>
        <v>All amenities</v>
      </c>
      <c r="K2072" s="2">
        <f>IFERROR(__xludf.DUMMYFUNCTION("""COMPUTED_VALUE"""),36300.0)</f>
        <v>36300</v>
      </c>
      <c r="L2072" s="2">
        <f>IFERROR(__xludf.DUMMYFUNCTION("""COMPUTED_VALUE"""),56.9075339)</f>
        <v>56.9075339</v>
      </c>
      <c r="M2072" s="2">
        <f>IFERROR(__xludf.DUMMYFUNCTION("""COMPUTED_VALUE"""),24.2019891658871)</f>
        <v>24.20198917</v>
      </c>
    </row>
    <row r="2073">
      <c r="A2073" s="2" t="str">
        <f>IFERROR(__xludf.DUMMYFUNCTION("""COMPUTED_VALUE"""),"For rent")</f>
        <v>For rent</v>
      </c>
      <c r="B2073" s="2" t="str">
        <f>IFERROR(__xludf.DUMMYFUNCTION("""COMPUTED_VALUE"""),"centrs")</f>
        <v>centrs</v>
      </c>
      <c r="C2073" s="2" t="str">
        <f>IFERROR(__xludf.DUMMYFUNCTION("""COMPUTED_VALUE"""),"Stabu 61")</f>
        <v>Stabu 61</v>
      </c>
      <c r="D2073" s="2">
        <f>IFERROR(__xludf.DUMMYFUNCTION("""COMPUTED_VALUE"""),3.0)</f>
        <v>3</v>
      </c>
      <c r="E2073" s="2">
        <f>IFERROR(__xludf.DUMMYFUNCTION("""COMPUTED_VALUE"""),85.0)</f>
        <v>85</v>
      </c>
      <c r="F2073" s="2">
        <f>IFERROR(__xludf.DUMMYFUNCTION("""COMPUTED_VALUE"""),5.0)</f>
        <v>5</v>
      </c>
      <c r="G2073" s="2">
        <f>IFERROR(__xludf.DUMMYFUNCTION("""COMPUTED_VALUE"""),5.0)</f>
        <v>5</v>
      </c>
      <c r="H2073" s="2" t="str">
        <f>IFERROR(__xludf.DUMMYFUNCTION("""COMPUTED_VALUE"""),"P. kara")</f>
        <v>P. kara</v>
      </c>
      <c r="I2073" s="2" t="str">
        <f>IFERROR(__xludf.DUMMYFUNCTION("""COMPUTED_VALUE"""),"Brick")</f>
        <v>Brick</v>
      </c>
      <c r="J2073" s="2" t="str">
        <f>IFERROR(__xludf.DUMMYFUNCTION("""COMPUTED_VALUE"""),"All amenities")</f>
        <v>All amenities</v>
      </c>
      <c r="K2073" s="2">
        <f>IFERROR(__xludf.DUMMYFUNCTION("""COMPUTED_VALUE"""),620.0)</f>
        <v>620</v>
      </c>
      <c r="L2073" s="2">
        <f>IFERROR(__xludf.DUMMYFUNCTION("""COMPUTED_VALUE"""),56.9533109)</f>
        <v>56.9533109</v>
      </c>
      <c r="M2073" s="2">
        <f>IFERROR(__xludf.DUMMYFUNCTION("""COMPUTED_VALUE"""),24.1349288)</f>
        <v>24.1349288</v>
      </c>
    </row>
    <row r="2074">
      <c r="A2074" s="2" t="str">
        <f>IFERROR(__xludf.DUMMYFUNCTION("""COMPUTED_VALUE"""),"For sale")</f>
        <v>For sale</v>
      </c>
      <c r="B2074" s="2" t="str">
        <f>IFERROR(__xludf.DUMMYFUNCTION("""COMPUTED_VALUE"""),"centrs")</f>
        <v>centrs</v>
      </c>
      <c r="C2074" s="2" t="str">
        <f>IFERROR(__xludf.DUMMYFUNCTION("""COMPUTED_VALUE"""),"Pulkv. Brieža 13")</f>
        <v>Pulkv. Brieža 13</v>
      </c>
      <c r="D2074" s="2">
        <f>IFERROR(__xludf.DUMMYFUNCTION("""COMPUTED_VALUE"""),2.0)</f>
        <v>2</v>
      </c>
      <c r="E2074" s="2">
        <f>IFERROR(__xludf.DUMMYFUNCTION("""COMPUTED_VALUE"""),100.0)</f>
        <v>100</v>
      </c>
      <c r="F2074" s="2">
        <f>IFERROR(__xludf.DUMMYFUNCTION("""COMPUTED_VALUE"""),7.0)</f>
        <v>7</v>
      </c>
      <c r="G2074" s="2">
        <f>IFERROR(__xludf.DUMMYFUNCTION("""COMPUTED_VALUE"""),6.0)</f>
        <v>6</v>
      </c>
      <c r="H2074" s="2" t="str">
        <f>IFERROR(__xludf.DUMMYFUNCTION("""COMPUTED_VALUE"""),"Renov.")</f>
        <v>Renov.</v>
      </c>
      <c r="I2074" s="2" t="str">
        <f>IFERROR(__xludf.DUMMYFUNCTION("""COMPUTED_VALUE"""),"Masonry")</f>
        <v>Masonry</v>
      </c>
      <c r="J2074" s="2" t="str">
        <f>IFERROR(__xludf.DUMMYFUNCTION("""COMPUTED_VALUE"""),"All amenities")</f>
        <v>All amenities</v>
      </c>
      <c r="K2074" s="2">
        <f>IFERROR(__xludf.DUMMYFUNCTION("""COMPUTED_VALUE"""),215000.0)</f>
        <v>215000</v>
      </c>
      <c r="L2074" s="2" t="str">
        <f>IFERROR(__xludf.DUMMYFUNCTION("""COMPUTED_VALUE"""),"NaN")</f>
        <v>NaN</v>
      </c>
      <c r="M2074" s="2" t="str">
        <f>IFERROR(__xludf.DUMMYFUNCTION("""COMPUTED_VALUE"""),"NaN")</f>
        <v>NaN</v>
      </c>
    </row>
    <row r="2075">
      <c r="A2075" s="2" t="str">
        <f>IFERROR(__xludf.DUMMYFUNCTION("""COMPUTED_VALUE"""),"For sale")</f>
        <v>For sale</v>
      </c>
      <c r="B2075" s="2" t="str">
        <f>IFERROR(__xludf.DUMMYFUNCTION("""COMPUTED_VALUE"""),"Purvciems")</f>
        <v>Purvciems</v>
      </c>
      <c r="C2075" s="2" t="str">
        <f>IFERROR(__xludf.DUMMYFUNCTION("""COMPUTED_VALUE"""),"Dzelzavas 15")</f>
        <v>Dzelzavas 15</v>
      </c>
      <c r="D2075" s="2">
        <f>IFERROR(__xludf.DUMMYFUNCTION("""COMPUTED_VALUE"""),3.0)</f>
        <v>3</v>
      </c>
      <c r="E2075" s="2">
        <f>IFERROR(__xludf.DUMMYFUNCTION("""COMPUTED_VALUE"""),53.0)</f>
        <v>53</v>
      </c>
      <c r="F2075" s="2">
        <f>IFERROR(__xludf.DUMMYFUNCTION("""COMPUTED_VALUE"""),2.0)</f>
        <v>2</v>
      </c>
      <c r="G2075" s="2">
        <f>IFERROR(__xludf.DUMMYFUNCTION("""COMPUTED_VALUE"""),5.0)</f>
        <v>5</v>
      </c>
      <c r="H2075" s="2" t="str">
        <f>IFERROR(__xludf.DUMMYFUNCTION("""COMPUTED_VALUE"""),"Hrušč.")</f>
        <v>Hrušč.</v>
      </c>
      <c r="I2075" s="2" t="str">
        <f>IFERROR(__xludf.DUMMYFUNCTION("""COMPUTED_VALUE"""),"Brick")</f>
        <v>Brick</v>
      </c>
      <c r="J2075" s="2" t="str">
        <f>IFERROR(__xludf.DUMMYFUNCTION("""COMPUTED_VALUE"""),"All amenities")</f>
        <v>All amenities</v>
      </c>
      <c r="K2075" s="2">
        <f>IFERROR(__xludf.DUMMYFUNCTION("""COMPUTED_VALUE"""),65000.0)</f>
        <v>65000</v>
      </c>
      <c r="L2075" s="2">
        <f>IFERROR(__xludf.DUMMYFUNCTION("""COMPUTED_VALUE"""),56.963066)</f>
        <v>56.963066</v>
      </c>
      <c r="M2075" s="2">
        <f>IFERROR(__xludf.DUMMYFUNCTION("""COMPUTED_VALUE"""),24.1705965317838)</f>
        <v>24.17059653</v>
      </c>
    </row>
    <row r="2076">
      <c r="A2076" s="2" t="str">
        <f>IFERROR(__xludf.DUMMYFUNCTION("""COMPUTED_VALUE"""),"For sale")</f>
        <v>For sale</v>
      </c>
      <c r="B2076" s="2" t="str">
        <f>IFERROR(__xludf.DUMMYFUNCTION("""COMPUTED_VALUE"""),"Šampēteris-Pleskodāle")</f>
        <v>Šampēteris-Pleskodāle</v>
      </c>
      <c r="C2076" s="2" t="str">
        <f>IFERROR(__xludf.DUMMYFUNCTION("""COMPUTED_VALUE"""),"Irlavas 20")</f>
        <v>Irlavas 20</v>
      </c>
      <c r="D2076" s="2">
        <f>IFERROR(__xludf.DUMMYFUNCTION("""COMPUTED_VALUE"""),3.0)</f>
        <v>3</v>
      </c>
      <c r="E2076" s="2">
        <f>IFERROR(__xludf.DUMMYFUNCTION("""COMPUTED_VALUE"""),122.0)</f>
        <v>122</v>
      </c>
      <c r="F2076" s="2">
        <f>IFERROR(__xludf.DUMMYFUNCTION("""COMPUTED_VALUE"""),6.0)</f>
        <v>6</v>
      </c>
      <c r="G2076" s="2">
        <f>IFERROR(__xludf.DUMMYFUNCTION("""COMPUTED_VALUE"""),6.0)</f>
        <v>6</v>
      </c>
      <c r="H2076" s="2">
        <f>IFERROR(__xludf.DUMMYFUNCTION("""COMPUTED_VALUE"""),103.0)</f>
        <v>103</v>
      </c>
      <c r="I2076" s="2" t="str">
        <f>IFERROR(__xludf.DUMMYFUNCTION("""COMPUTED_VALUE"""),"Brick-Panel")</f>
        <v>Brick-Panel</v>
      </c>
      <c r="J2076" s="2" t="str">
        <f>IFERROR(__xludf.DUMMYFUNCTION("""COMPUTED_VALUE"""),"All amenities")</f>
        <v>All amenities</v>
      </c>
      <c r="K2076" s="2">
        <f>IFERROR(__xludf.DUMMYFUNCTION("""COMPUTED_VALUE"""),115000.0)</f>
        <v>115000</v>
      </c>
      <c r="L2076" s="2">
        <f>IFERROR(__xludf.DUMMYFUNCTION("""COMPUTED_VALUE"""),56.9394231)</f>
        <v>56.9394231</v>
      </c>
      <c r="M2076" s="2">
        <f>IFERROR(__xludf.DUMMYFUNCTION("""COMPUTED_VALUE"""),24.0359489118193)</f>
        <v>24.03594891</v>
      </c>
    </row>
    <row r="2077">
      <c r="A2077" s="2" t="str">
        <f>IFERROR(__xludf.DUMMYFUNCTION("""COMPUTED_VALUE"""),"For rent")</f>
        <v>For rent</v>
      </c>
      <c r="B2077" s="2" t="str">
        <f>IFERROR(__xludf.DUMMYFUNCTION("""COMPUTED_VALUE"""),"centrs")</f>
        <v>centrs</v>
      </c>
      <c r="C2077" s="2" t="str">
        <f>IFERROR(__xludf.DUMMYFUNCTION("""COMPUTED_VALUE"""),"Lāčplēša 7")</f>
        <v>Lāčplēša 7</v>
      </c>
      <c r="D2077" s="2">
        <f>IFERROR(__xludf.DUMMYFUNCTION("""COMPUTED_VALUE"""),3.0)</f>
        <v>3</v>
      </c>
      <c r="E2077" s="2">
        <f>IFERROR(__xludf.DUMMYFUNCTION("""COMPUTED_VALUE"""),81.0)</f>
        <v>81</v>
      </c>
      <c r="F2077" s="2">
        <f>IFERROR(__xludf.DUMMYFUNCTION("""COMPUTED_VALUE"""),2.0)</f>
        <v>2</v>
      </c>
      <c r="G2077" s="2">
        <f>IFERROR(__xludf.DUMMYFUNCTION("""COMPUTED_VALUE"""),5.0)</f>
        <v>5</v>
      </c>
      <c r="H2077" s="2" t="str">
        <f>IFERROR(__xludf.DUMMYFUNCTION("""COMPUTED_VALUE"""),"Renov.")</f>
        <v>Renov.</v>
      </c>
      <c r="I2077" s="2" t="str">
        <f>IFERROR(__xludf.DUMMYFUNCTION("""COMPUTED_VALUE"""),"Masonry")</f>
        <v>Masonry</v>
      </c>
      <c r="J2077" s="2" t="str">
        <f>IFERROR(__xludf.DUMMYFUNCTION("""COMPUTED_VALUE"""),"All amenities")</f>
        <v>All amenities</v>
      </c>
      <c r="K2077" s="2">
        <f>IFERROR(__xludf.DUMMYFUNCTION("""COMPUTED_VALUE"""),995.0)</f>
        <v>995</v>
      </c>
      <c r="L2077" s="2">
        <f>IFERROR(__xludf.DUMMYFUNCTION("""COMPUTED_VALUE"""),56.957715)</f>
        <v>56.957715</v>
      </c>
      <c r="M2077" s="2">
        <f>IFERROR(__xludf.DUMMYFUNCTION("""COMPUTED_VALUE"""),24.1191109634786)</f>
        <v>24.11911096</v>
      </c>
    </row>
    <row r="2078">
      <c r="A2078" s="2" t="str">
        <f>IFERROR(__xludf.DUMMYFUNCTION("""COMPUTED_VALUE"""),"For sale")</f>
        <v>For sale</v>
      </c>
      <c r="B2078" s="2" t="str">
        <f>IFERROR(__xludf.DUMMYFUNCTION("""COMPUTED_VALUE"""),"Iļģuciems")</f>
        <v>Iļģuciems</v>
      </c>
      <c r="C2078" s="2" t="str">
        <f>IFERROR(__xludf.DUMMYFUNCTION("""COMPUTED_VALUE"""),"Tvaikoņu 2")</f>
        <v>Tvaikoņu 2</v>
      </c>
      <c r="D2078" s="2">
        <f>IFERROR(__xludf.DUMMYFUNCTION("""COMPUTED_VALUE"""),2.0)</f>
        <v>2</v>
      </c>
      <c r="E2078" s="2">
        <f>IFERROR(__xludf.DUMMYFUNCTION("""COMPUTED_VALUE"""),40.0)</f>
        <v>40</v>
      </c>
      <c r="F2078" s="2">
        <f>IFERROR(__xludf.DUMMYFUNCTION("""COMPUTED_VALUE"""),2.0)</f>
        <v>2</v>
      </c>
      <c r="G2078" s="2">
        <f>IFERROR(__xludf.DUMMYFUNCTION("""COMPUTED_VALUE"""),3.0)</f>
        <v>3</v>
      </c>
      <c r="H2078" s="2" t="str">
        <f>IFERROR(__xludf.DUMMYFUNCTION("""COMPUTED_VALUE"""),"P. kara")</f>
        <v>P. kara</v>
      </c>
      <c r="I2078" s="2" t="str">
        <f>IFERROR(__xludf.DUMMYFUNCTION("""COMPUTED_VALUE"""),"Masonry")</f>
        <v>Masonry</v>
      </c>
      <c r="J2078" s="2" t="str">
        <f>IFERROR(__xludf.DUMMYFUNCTION("""COMPUTED_VALUE"""),"All amenities")</f>
        <v>All amenities</v>
      </c>
      <c r="K2078" s="2">
        <f>IFERROR(__xludf.DUMMYFUNCTION("""COMPUTED_VALUE"""),43500.0)</f>
        <v>43500</v>
      </c>
      <c r="L2078" s="2">
        <f>IFERROR(__xludf.DUMMYFUNCTION("""COMPUTED_VALUE"""),56.9650552)</f>
        <v>56.9650552</v>
      </c>
      <c r="M2078" s="2">
        <f>IFERROR(__xludf.DUMMYFUNCTION("""COMPUTED_VALUE"""),24.0726999885418)</f>
        <v>24.07269999</v>
      </c>
    </row>
    <row r="2079">
      <c r="A2079" s="2" t="str">
        <f>IFERROR(__xludf.DUMMYFUNCTION("""COMPUTED_VALUE"""),"For sale")</f>
        <v>For sale</v>
      </c>
      <c r="B2079" s="2" t="str">
        <f>IFERROR(__xludf.DUMMYFUNCTION("""COMPUTED_VALUE"""),"Sarkandaugava")</f>
        <v>Sarkandaugava</v>
      </c>
      <c r="C2079" s="2" t="str">
        <f>IFERROR(__xludf.DUMMYFUNCTION("""COMPUTED_VALUE"""),"Sarkandaugavas 26")</f>
        <v>Sarkandaugavas 26</v>
      </c>
      <c r="D2079" s="2">
        <f>IFERROR(__xludf.DUMMYFUNCTION("""COMPUTED_VALUE"""),2.0)</f>
        <v>2</v>
      </c>
      <c r="E2079" s="2">
        <f>IFERROR(__xludf.DUMMYFUNCTION("""COMPUTED_VALUE"""),41.0)</f>
        <v>41</v>
      </c>
      <c r="F2079" s="2">
        <f>IFERROR(__xludf.DUMMYFUNCTION("""COMPUTED_VALUE"""),3.0)</f>
        <v>3</v>
      </c>
      <c r="G2079" s="2">
        <f>IFERROR(__xludf.DUMMYFUNCTION("""COMPUTED_VALUE"""),5.0)</f>
        <v>5</v>
      </c>
      <c r="H2079" s="2" t="str">
        <f>IFERROR(__xludf.DUMMYFUNCTION("""COMPUTED_VALUE"""),"Hrušč.")</f>
        <v>Hrušč.</v>
      </c>
      <c r="I2079" s="2" t="str">
        <f>IFERROR(__xludf.DUMMYFUNCTION("""COMPUTED_VALUE"""),"Brick")</f>
        <v>Brick</v>
      </c>
      <c r="J2079" s="2" t="str">
        <f>IFERROR(__xludf.DUMMYFUNCTION("""COMPUTED_VALUE"""),"All amenities")</f>
        <v>All amenities</v>
      </c>
      <c r="K2079" s="2">
        <f>IFERROR(__xludf.DUMMYFUNCTION("""COMPUTED_VALUE"""),37000.0)</f>
        <v>37000</v>
      </c>
      <c r="L2079" s="2">
        <f>IFERROR(__xludf.DUMMYFUNCTION("""COMPUTED_VALUE"""),57.0021488)</f>
        <v>57.0021488</v>
      </c>
      <c r="M2079" s="2">
        <f>IFERROR(__xludf.DUMMYFUNCTION("""COMPUTED_VALUE"""),24.1248028)</f>
        <v>24.1248028</v>
      </c>
    </row>
    <row r="2080">
      <c r="A2080" s="2" t="str">
        <f>IFERROR(__xludf.DUMMYFUNCTION("""COMPUTED_VALUE"""),"For sale")</f>
        <v>For sale</v>
      </c>
      <c r="B2080" s="2" t="str">
        <f>IFERROR(__xludf.DUMMYFUNCTION("""COMPUTED_VALUE"""),"Ziepniekkalns")</f>
        <v>Ziepniekkalns</v>
      </c>
      <c r="C2080" s="2" t="str">
        <f>IFERROR(__xludf.DUMMYFUNCTION("""COMPUTED_VALUE"""),"Līvciema 5")</f>
        <v>Līvciema 5</v>
      </c>
      <c r="D2080" s="2">
        <f>IFERROR(__xludf.DUMMYFUNCTION("""COMPUTED_VALUE"""),4.0)</f>
        <v>4</v>
      </c>
      <c r="E2080" s="2">
        <f>IFERROR(__xludf.DUMMYFUNCTION("""COMPUTED_VALUE"""),76.0)</f>
        <v>76</v>
      </c>
      <c r="F2080" s="2">
        <f>IFERROR(__xludf.DUMMYFUNCTION("""COMPUTED_VALUE"""),2.0)</f>
        <v>2</v>
      </c>
      <c r="G2080" s="2">
        <f>IFERROR(__xludf.DUMMYFUNCTION("""COMPUTED_VALUE"""),9.0)</f>
        <v>9</v>
      </c>
      <c r="H2080" s="2">
        <f>IFERROR(__xludf.DUMMYFUNCTION("""COMPUTED_VALUE"""),602.0)</f>
        <v>602</v>
      </c>
      <c r="I2080" s="2" t="str">
        <f>IFERROR(__xludf.DUMMYFUNCTION("""COMPUTED_VALUE"""),"Brick-Panel")</f>
        <v>Brick-Panel</v>
      </c>
      <c r="J2080" s="2" t="str">
        <f>IFERROR(__xludf.DUMMYFUNCTION("""COMPUTED_VALUE"""),"All amenities")</f>
        <v>All amenities</v>
      </c>
      <c r="K2080" s="2">
        <f>IFERROR(__xludf.DUMMYFUNCTION("""COMPUTED_VALUE"""),83000.0)</f>
        <v>83000</v>
      </c>
      <c r="L2080" s="2">
        <f>IFERROR(__xludf.DUMMYFUNCTION("""COMPUTED_VALUE"""),56.9019124)</f>
        <v>56.9019124</v>
      </c>
      <c r="M2080" s="2">
        <f>IFERROR(__xludf.DUMMYFUNCTION("""COMPUTED_VALUE"""),24.1024598)</f>
        <v>24.1024598</v>
      </c>
    </row>
    <row r="2081">
      <c r="A2081" s="2" t="str">
        <f>IFERROR(__xludf.DUMMYFUNCTION("""COMPUTED_VALUE"""),"For sale")</f>
        <v>For sale</v>
      </c>
      <c r="B2081" s="2" t="str">
        <f>IFERROR(__xludf.DUMMYFUNCTION("""COMPUTED_VALUE"""),"Vecmīlgrāvis")</f>
        <v>Vecmīlgrāvis</v>
      </c>
      <c r="C2081" s="2" t="str">
        <f>IFERROR(__xludf.DUMMYFUNCTION("""COMPUTED_VALUE"""),"Edžiņa g. 7")</f>
        <v>Edžiņa g. 7</v>
      </c>
      <c r="D2081" s="2">
        <f>IFERROR(__xludf.DUMMYFUNCTION("""COMPUTED_VALUE"""),3.0)</f>
        <v>3</v>
      </c>
      <c r="E2081" s="2">
        <f>IFERROR(__xludf.DUMMYFUNCTION("""COMPUTED_VALUE"""),56.0)</f>
        <v>56</v>
      </c>
      <c r="F2081" s="2">
        <f>IFERROR(__xludf.DUMMYFUNCTION("""COMPUTED_VALUE"""),2.0)</f>
        <v>2</v>
      </c>
      <c r="G2081" s="2">
        <f>IFERROR(__xludf.DUMMYFUNCTION("""COMPUTED_VALUE"""),5.0)</f>
        <v>5</v>
      </c>
      <c r="H2081" s="2" t="str">
        <f>IFERROR(__xludf.DUMMYFUNCTION("""COMPUTED_VALUE"""),"LT proj.")</f>
        <v>LT proj.</v>
      </c>
      <c r="I2081" s="2" t="str">
        <f>IFERROR(__xludf.DUMMYFUNCTION("""COMPUTED_VALUE"""),"Panel")</f>
        <v>Panel</v>
      </c>
      <c r="J2081" s="2" t="str">
        <f>IFERROR(__xludf.DUMMYFUNCTION("""COMPUTED_VALUE"""),"All amenities")</f>
        <v>All amenities</v>
      </c>
      <c r="K2081" s="2">
        <f>IFERROR(__xludf.DUMMYFUNCTION("""COMPUTED_VALUE"""),37000.0)</f>
        <v>37000</v>
      </c>
      <c r="L2081" s="2">
        <f>IFERROR(__xludf.DUMMYFUNCTION("""COMPUTED_VALUE"""),57.0316748)</f>
        <v>57.0316748</v>
      </c>
      <c r="M2081" s="2">
        <f>IFERROR(__xludf.DUMMYFUNCTION("""COMPUTED_VALUE"""),24.1063938)</f>
        <v>24.1063938</v>
      </c>
    </row>
    <row r="2082">
      <c r="A2082" s="2" t="str">
        <f>IFERROR(__xludf.DUMMYFUNCTION("""COMPUTED_VALUE"""),"For sale")</f>
        <v>For sale</v>
      </c>
      <c r="B2082" s="2" t="str">
        <f>IFERROR(__xludf.DUMMYFUNCTION("""COMPUTED_VALUE"""),"Iļģuciems")</f>
        <v>Iļģuciems</v>
      </c>
      <c r="C2082" s="2" t="str">
        <f>IFERROR(__xludf.DUMMYFUNCTION("""COMPUTED_VALUE"""),"Saulgožu 4")</f>
        <v>Saulgožu 4</v>
      </c>
      <c r="D2082" s="2">
        <f>IFERROR(__xludf.DUMMYFUNCTION("""COMPUTED_VALUE"""),2.0)</f>
        <v>2</v>
      </c>
      <c r="E2082" s="2">
        <f>IFERROR(__xludf.DUMMYFUNCTION("""COMPUTED_VALUE"""),52.0)</f>
        <v>52</v>
      </c>
      <c r="F2082" s="2">
        <f>IFERROR(__xludf.DUMMYFUNCTION("""COMPUTED_VALUE"""),5.0)</f>
        <v>5</v>
      </c>
      <c r="G2082" s="2">
        <f>IFERROR(__xludf.DUMMYFUNCTION("""COMPUTED_VALUE"""),5.0)</f>
        <v>5</v>
      </c>
      <c r="H2082" s="2" t="str">
        <f>IFERROR(__xludf.DUMMYFUNCTION("""COMPUTED_VALUE"""),"LT proj.")</f>
        <v>LT proj.</v>
      </c>
      <c r="I2082" s="2" t="str">
        <f>IFERROR(__xludf.DUMMYFUNCTION("""COMPUTED_VALUE"""),"Panel")</f>
        <v>Panel</v>
      </c>
      <c r="J2082" s="2" t="str">
        <f>IFERROR(__xludf.DUMMYFUNCTION("""COMPUTED_VALUE"""),"All amenities")</f>
        <v>All amenities</v>
      </c>
      <c r="K2082" s="2">
        <f>IFERROR(__xludf.DUMMYFUNCTION("""COMPUTED_VALUE"""),49980.0)</f>
        <v>49980</v>
      </c>
      <c r="L2082" s="2">
        <f>IFERROR(__xludf.DUMMYFUNCTION("""COMPUTED_VALUE"""),56.96270215)</f>
        <v>56.96270215</v>
      </c>
      <c r="M2082" s="2">
        <f>IFERROR(__xludf.DUMMYFUNCTION("""COMPUTED_VALUE"""),24.0470370750532)</f>
        <v>24.04703708</v>
      </c>
    </row>
    <row r="2083">
      <c r="A2083" s="2" t="str">
        <f>IFERROR(__xludf.DUMMYFUNCTION("""COMPUTED_VALUE"""),"For rent")</f>
        <v>For rent</v>
      </c>
      <c r="B2083" s="2" t="str">
        <f>IFERROR(__xludf.DUMMYFUNCTION("""COMPUTED_VALUE"""),"centrs")</f>
        <v>centrs</v>
      </c>
      <c r="C2083" s="2" t="str">
        <f>IFERROR(__xludf.DUMMYFUNCTION("""COMPUTED_VALUE"""),"Avotu 43")</f>
        <v>Avotu 43</v>
      </c>
      <c r="D2083" s="2">
        <f>IFERROR(__xludf.DUMMYFUNCTION("""COMPUTED_VALUE"""),1.0)</f>
        <v>1</v>
      </c>
      <c r="E2083" s="2">
        <f>IFERROR(__xludf.DUMMYFUNCTION("""COMPUTED_VALUE"""),25.0)</f>
        <v>25</v>
      </c>
      <c r="F2083" s="2">
        <f>IFERROR(__xludf.DUMMYFUNCTION("""COMPUTED_VALUE"""),3.0)</f>
        <v>3</v>
      </c>
      <c r="G2083" s="2">
        <f>IFERROR(__xludf.DUMMYFUNCTION("""COMPUTED_VALUE"""),3.0)</f>
        <v>3</v>
      </c>
      <c r="H2083" s="2" t="str">
        <f>IFERROR(__xludf.DUMMYFUNCTION("""COMPUTED_VALUE"""),"P. kara")</f>
        <v>P. kara</v>
      </c>
      <c r="I2083" s="2" t="str">
        <f>IFERROR(__xludf.DUMMYFUNCTION("""COMPUTED_VALUE"""),"Masonry")</f>
        <v>Masonry</v>
      </c>
      <c r="J2083" s="2" t="str">
        <f>IFERROR(__xludf.DUMMYFUNCTION("""COMPUTED_VALUE"""),"All amenities")</f>
        <v>All amenities</v>
      </c>
      <c r="K2083" s="2">
        <f>IFERROR(__xludf.DUMMYFUNCTION("""COMPUTED_VALUE"""),23.0)</f>
        <v>23</v>
      </c>
      <c r="L2083" s="2">
        <f>IFERROR(__xludf.DUMMYFUNCTION("""COMPUTED_VALUE"""),56.9520789)</f>
        <v>56.9520789</v>
      </c>
      <c r="M2083" s="2">
        <f>IFERROR(__xludf.DUMMYFUNCTION("""COMPUTED_VALUE"""),24.1379656)</f>
        <v>24.1379656</v>
      </c>
    </row>
    <row r="2084">
      <c r="A2084" s="2" t="str">
        <f>IFERROR(__xludf.DUMMYFUNCTION("""COMPUTED_VALUE"""),"For rent")</f>
        <v>For rent</v>
      </c>
      <c r="B2084" s="2" t="str">
        <f>IFERROR(__xludf.DUMMYFUNCTION("""COMPUTED_VALUE"""),"Zasulauks")</f>
        <v>Zasulauks</v>
      </c>
      <c r="C2084" s="2" t="str">
        <f>IFERROR(__xludf.DUMMYFUNCTION("""COMPUTED_VALUE"""),"Kalnciema 88")</f>
        <v>Kalnciema 88</v>
      </c>
      <c r="D2084" s="2">
        <f>IFERROR(__xludf.DUMMYFUNCTION("""COMPUTED_VALUE"""),2.0)</f>
        <v>2</v>
      </c>
      <c r="E2084" s="2">
        <f>IFERROR(__xludf.DUMMYFUNCTION("""COMPUTED_VALUE"""),53.0)</f>
        <v>53</v>
      </c>
      <c r="F2084" s="2">
        <f>IFERROR(__xludf.DUMMYFUNCTION("""COMPUTED_VALUE"""),2.0)</f>
        <v>2</v>
      </c>
      <c r="G2084" s="2">
        <f>IFERROR(__xludf.DUMMYFUNCTION("""COMPUTED_VALUE"""),2.0)</f>
        <v>2</v>
      </c>
      <c r="H2084" s="2" t="str">
        <f>IFERROR(__xludf.DUMMYFUNCTION("""COMPUTED_VALUE"""),"Priv. m.")</f>
        <v>Priv. m.</v>
      </c>
      <c r="I2084" s="2" t="str">
        <f>IFERROR(__xludf.DUMMYFUNCTION("""COMPUTED_VALUE"""),"Wood")</f>
        <v>Wood</v>
      </c>
      <c r="J2084" s="2" t="str">
        <f>IFERROR(__xludf.DUMMYFUNCTION("""COMPUTED_VALUE"""),"All amenities")</f>
        <v>All amenities</v>
      </c>
      <c r="K2084" s="2">
        <f>IFERROR(__xludf.DUMMYFUNCTION("""COMPUTED_VALUE"""),220.0)</f>
        <v>220</v>
      </c>
      <c r="L2084" s="2">
        <f>IFERROR(__xludf.DUMMYFUNCTION("""COMPUTED_VALUE"""),56.9453372)</f>
        <v>56.9453372</v>
      </c>
      <c r="M2084" s="2">
        <f>IFERROR(__xludf.DUMMYFUNCTION("""COMPUTED_VALUE"""),24.0731765)</f>
        <v>24.0731765</v>
      </c>
    </row>
    <row r="2085">
      <c r="A2085" s="2" t="str">
        <f>IFERROR(__xludf.DUMMYFUNCTION("""COMPUTED_VALUE"""),"For rent")</f>
        <v>For rent</v>
      </c>
      <c r="B2085" s="2" t="str">
        <f>IFERROR(__xludf.DUMMYFUNCTION("""COMPUTED_VALUE"""),"centrs")</f>
        <v>centrs</v>
      </c>
      <c r="C2085" s="2" t="str">
        <f>IFERROR(__xludf.DUMMYFUNCTION("""COMPUTED_VALUE"""),"Bruņinieku 111")</f>
        <v>Bruņinieku 111</v>
      </c>
      <c r="D2085" s="2">
        <f>IFERROR(__xludf.DUMMYFUNCTION("""COMPUTED_VALUE"""),1.0)</f>
        <v>1</v>
      </c>
      <c r="E2085" s="2">
        <f>IFERROR(__xludf.DUMMYFUNCTION("""COMPUTED_VALUE"""),16.0)</f>
        <v>16</v>
      </c>
      <c r="F2085" s="2">
        <f>IFERROR(__xludf.DUMMYFUNCTION("""COMPUTED_VALUE"""),1.0)</f>
        <v>1</v>
      </c>
      <c r="G2085" s="2">
        <f>IFERROR(__xludf.DUMMYFUNCTION("""COMPUTED_VALUE"""),4.0)</f>
        <v>4</v>
      </c>
      <c r="H2085" s="2" t="str">
        <f>IFERROR(__xludf.DUMMYFUNCTION("""COMPUTED_VALUE"""),"Renov.")</f>
        <v>Renov.</v>
      </c>
      <c r="I2085" s="2" t="str">
        <f>IFERROR(__xludf.DUMMYFUNCTION("""COMPUTED_VALUE"""),"Brick")</f>
        <v>Brick</v>
      </c>
      <c r="J2085" s="2" t="str">
        <f>IFERROR(__xludf.DUMMYFUNCTION("""COMPUTED_VALUE"""),"All amenities")</f>
        <v>All amenities</v>
      </c>
      <c r="K2085" s="2">
        <f>IFERROR(__xludf.DUMMYFUNCTION("""COMPUTED_VALUE"""),150.0)</f>
        <v>150</v>
      </c>
      <c r="L2085" s="2">
        <f>IFERROR(__xludf.DUMMYFUNCTION("""COMPUTED_VALUE"""),56.9502926)</f>
        <v>56.9502926</v>
      </c>
      <c r="M2085" s="2">
        <f>IFERROR(__xludf.DUMMYFUNCTION("""COMPUTED_VALUE"""),24.143564917498)</f>
        <v>24.14356492</v>
      </c>
    </row>
    <row r="2086">
      <c r="A2086" s="2" t="str">
        <f>IFERROR(__xludf.DUMMYFUNCTION("""COMPUTED_VALUE"""),"For rent")</f>
        <v>For rent</v>
      </c>
      <c r="B2086" s="2" t="str">
        <f>IFERROR(__xludf.DUMMYFUNCTION("""COMPUTED_VALUE"""),"Šampēteris-Pleskodāle")</f>
        <v>Šampēteris-Pleskodāle</v>
      </c>
      <c r="C2086" s="2" t="str">
        <f>IFERROR(__xludf.DUMMYFUNCTION("""COMPUTED_VALUE"""),"Kalnciema 114")</f>
        <v>Kalnciema 114</v>
      </c>
      <c r="D2086" s="2">
        <f>IFERROR(__xludf.DUMMYFUNCTION("""COMPUTED_VALUE"""),1.0)</f>
        <v>1</v>
      </c>
      <c r="E2086" s="2">
        <f>IFERROR(__xludf.DUMMYFUNCTION("""COMPUTED_VALUE"""),10.0)</f>
        <v>10</v>
      </c>
      <c r="F2086" s="2">
        <f>IFERROR(__xludf.DUMMYFUNCTION("""COMPUTED_VALUE"""),5.0)</f>
        <v>5</v>
      </c>
      <c r="G2086" s="2">
        <f>IFERROR(__xludf.DUMMYFUNCTION("""COMPUTED_VALUE"""),5.0)</f>
        <v>5</v>
      </c>
      <c r="H2086" s="2">
        <f>IFERROR(__xludf.DUMMYFUNCTION("""COMPUTED_VALUE"""),103.0)</f>
        <v>103</v>
      </c>
      <c r="I2086" s="2" t="str">
        <f>IFERROR(__xludf.DUMMYFUNCTION("""COMPUTED_VALUE"""),"Brick-Panel")</f>
        <v>Brick-Panel</v>
      </c>
      <c r="J2086" s="2" t="str">
        <f>IFERROR(__xludf.DUMMYFUNCTION("""COMPUTED_VALUE"""),"All amenities")</f>
        <v>All amenities</v>
      </c>
      <c r="K2086" s="2">
        <f>IFERROR(__xludf.DUMMYFUNCTION("""COMPUTED_VALUE"""),130.0)</f>
        <v>130</v>
      </c>
      <c r="L2086" s="2">
        <f>IFERROR(__xludf.DUMMYFUNCTION("""COMPUTED_VALUE"""),56.9359249)</f>
        <v>56.9359249</v>
      </c>
      <c r="M2086" s="2">
        <f>IFERROR(__xludf.DUMMYFUNCTION("""COMPUTED_VALUE"""),24.0420920504638)</f>
        <v>24.04209205</v>
      </c>
    </row>
    <row r="2087">
      <c r="A2087" s="2" t="str">
        <f>IFERROR(__xludf.DUMMYFUNCTION("""COMPUTED_VALUE"""),"For rent")</f>
        <v>For rent</v>
      </c>
      <c r="B2087" s="2" t="str">
        <f>IFERROR(__xludf.DUMMYFUNCTION("""COMPUTED_VALUE"""),"Āgenskalns")</f>
        <v>Āgenskalns</v>
      </c>
      <c r="C2087" s="2" t="str">
        <f>IFERROR(__xludf.DUMMYFUNCTION("""COMPUTED_VALUE"""),"Nometņu 62")</f>
        <v>Nometņu 62</v>
      </c>
      <c r="D2087" s="2">
        <f>IFERROR(__xludf.DUMMYFUNCTION("""COMPUTED_VALUE"""),1.0)</f>
        <v>1</v>
      </c>
      <c r="E2087" s="2">
        <f>IFERROR(__xludf.DUMMYFUNCTION("""COMPUTED_VALUE"""),23.0)</f>
        <v>23</v>
      </c>
      <c r="F2087" s="2">
        <f>IFERROR(__xludf.DUMMYFUNCTION("""COMPUTED_VALUE"""),1.0)</f>
        <v>1</v>
      </c>
      <c r="G2087" s="2">
        <f>IFERROR(__xludf.DUMMYFUNCTION("""COMPUTED_VALUE"""),1.0)</f>
        <v>1</v>
      </c>
      <c r="H2087" s="2" t="str">
        <f>IFERROR(__xludf.DUMMYFUNCTION("""COMPUTED_VALUE"""),"Priv. m.")</f>
        <v>Priv. m.</v>
      </c>
      <c r="I2087" s="2" t="str">
        <f>IFERROR(__xludf.DUMMYFUNCTION("""COMPUTED_VALUE"""),"Wood")</f>
        <v>Wood</v>
      </c>
      <c r="J2087" s="2" t="str">
        <f>IFERROR(__xludf.DUMMYFUNCTION("""COMPUTED_VALUE"""),"All amenities")</f>
        <v>All amenities</v>
      </c>
      <c r="K2087" s="2">
        <f>IFERROR(__xludf.DUMMYFUNCTION("""COMPUTED_VALUE"""),260.0)</f>
        <v>260</v>
      </c>
      <c r="L2087" s="2">
        <f>IFERROR(__xludf.DUMMYFUNCTION("""COMPUTED_VALUE"""),56.9366902)</f>
        <v>56.9366902</v>
      </c>
      <c r="M2087" s="2">
        <f>IFERROR(__xludf.DUMMYFUNCTION("""COMPUTED_VALUE"""),24.0713339889391)</f>
        <v>24.07133399</v>
      </c>
    </row>
    <row r="2088">
      <c r="A2088" s="2" t="str">
        <f>IFERROR(__xludf.DUMMYFUNCTION("""COMPUTED_VALUE"""),"For rent")</f>
        <v>For rent</v>
      </c>
      <c r="B2088" s="2" t="str">
        <f>IFERROR(__xludf.DUMMYFUNCTION("""COMPUTED_VALUE"""),"centrs")</f>
        <v>centrs</v>
      </c>
      <c r="C2088" s="2" t="str">
        <f>IFERROR(__xludf.DUMMYFUNCTION("""COMPUTED_VALUE"""),"Čaka 117/1")</f>
        <v>Čaka 117/1</v>
      </c>
      <c r="D2088" s="2">
        <f>IFERROR(__xludf.DUMMYFUNCTION("""COMPUTED_VALUE"""),3.0)</f>
        <v>3</v>
      </c>
      <c r="E2088" s="2">
        <f>IFERROR(__xludf.DUMMYFUNCTION("""COMPUTED_VALUE"""),68.0)</f>
        <v>68</v>
      </c>
      <c r="F2088" s="2">
        <f>IFERROR(__xludf.DUMMYFUNCTION("""COMPUTED_VALUE"""),2.0)</f>
        <v>2</v>
      </c>
      <c r="G2088" s="2">
        <f>IFERROR(__xludf.DUMMYFUNCTION("""COMPUTED_VALUE"""),6.0)</f>
        <v>6</v>
      </c>
      <c r="H2088" s="2" t="str">
        <f>IFERROR(__xludf.DUMMYFUNCTION("""COMPUTED_VALUE"""),"Renov.")</f>
        <v>Renov.</v>
      </c>
      <c r="I2088" s="2" t="str">
        <f>IFERROR(__xludf.DUMMYFUNCTION("""COMPUTED_VALUE"""),"Masonry")</f>
        <v>Masonry</v>
      </c>
      <c r="J2088" s="2" t="str">
        <f>IFERROR(__xludf.DUMMYFUNCTION("""COMPUTED_VALUE"""),"All amenities")</f>
        <v>All amenities</v>
      </c>
      <c r="K2088" s="2">
        <f>IFERROR(__xludf.DUMMYFUNCTION("""COMPUTED_VALUE"""),480.0)</f>
        <v>480</v>
      </c>
      <c r="L2088" s="2">
        <f>IFERROR(__xludf.DUMMYFUNCTION("""COMPUTED_VALUE"""),56.9626863)</f>
        <v>56.9626863</v>
      </c>
      <c r="M2088" s="2">
        <f>IFERROR(__xludf.DUMMYFUNCTION("""COMPUTED_VALUE"""),24.1480584)</f>
        <v>24.1480584</v>
      </c>
    </row>
    <row r="2089">
      <c r="A2089" s="2" t="str">
        <f>IFERROR(__xludf.DUMMYFUNCTION("""COMPUTED_VALUE"""),"For rent")</f>
        <v>For rent</v>
      </c>
      <c r="B2089" s="2" t="str">
        <f>IFERROR(__xludf.DUMMYFUNCTION("""COMPUTED_VALUE"""),"Sarkandaugava")</f>
        <v>Sarkandaugava</v>
      </c>
      <c r="C2089" s="2" t="str">
        <f>IFERROR(__xludf.DUMMYFUNCTION("""COMPUTED_VALUE"""),"Viestura pr. 53")</f>
        <v>Viestura pr. 53</v>
      </c>
      <c r="D2089" s="2">
        <f>IFERROR(__xludf.DUMMYFUNCTION("""COMPUTED_VALUE"""),2.0)</f>
        <v>2</v>
      </c>
      <c r="E2089" s="2">
        <f>IFERROR(__xludf.DUMMYFUNCTION("""COMPUTED_VALUE"""),48.0)</f>
        <v>48</v>
      </c>
      <c r="F2089" s="2">
        <f>IFERROR(__xludf.DUMMYFUNCTION("""COMPUTED_VALUE"""),6.0)</f>
        <v>6</v>
      </c>
      <c r="G2089" s="2">
        <f>IFERROR(__xludf.DUMMYFUNCTION("""COMPUTED_VALUE"""),9.0)</f>
        <v>9</v>
      </c>
      <c r="H2089" s="2" t="str">
        <f>IFERROR(__xludf.DUMMYFUNCTION("""COMPUTED_VALUE"""),"LT proj.")</f>
        <v>LT proj.</v>
      </c>
      <c r="I2089" s="2" t="str">
        <f>IFERROR(__xludf.DUMMYFUNCTION("""COMPUTED_VALUE"""),"Brick-Panel")</f>
        <v>Brick-Panel</v>
      </c>
      <c r="J2089" s="2" t="str">
        <f>IFERROR(__xludf.DUMMYFUNCTION("""COMPUTED_VALUE"""),"All amenities")</f>
        <v>All amenities</v>
      </c>
      <c r="K2089" s="2">
        <f>IFERROR(__xludf.DUMMYFUNCTION("""COMPUTED_VALUE"""),320.0)</f>
        <v>320</v>
      </c>
      <c r="L2089" s="2">
        <f>IFERROR(__xludf.DUMMYFUNCTION("""COMPUTED_VALUE"""),56.9984366)</f>
        <v>56.9984366</v>
      </c>
      <c r="M2089" s="2">
        <f>IFERROR(__xludf.DUMMYFUNCTION("""COMPUTED_VALUE"""),24.1328951)</f>
        <v>24.1328951</v>
      </c>
    </row>
    <row r="2090">
      <c r="A2090" s="2" t="str">
        <f>IFERROR(__xludf.DUMMYFUNCTION("""COMPUTED_VALUE"""),"For sale")</f>
        <v>For sale</v>
      </c>
      <c r="B2090" s="2" t="str">
        <f>IFERROR(__xludf.DUMMYFUNCTION("""COMPUTED_VALUE"""),"Torņakalns")</f>
        <v>Torņakalns</v>
      </c>
      <c r="C2090" s="2" t="str">
        <f>IFERROR(__xludf.DUMMYFUNCTION("""COMPUTED_VALUE"""),"Robežu 24")</f>
        <v>Robežu 24</v>
      </c>
      <c r="D2090" s="2">
        <f>IFERROR(__xludf.DUMMYFUNCTION("""COMPUTED_VALUE"""),1.0)</f>
        <v>1</v>
      </c>
      <c r="E2090" s="2">
        <f>IFERROR(__xludf.DUMMYFUNCTION("""COMPUTED_VALUE"""),22.0)</f>
        <v>22</v>
      </c>
      <c r="F2090" s="2">
        <f>IFERROR(__xludf.DUMMYFUNCTION("""COMPUTED_VALUE"""),2.0)</f>
        <v>2</v>
      </c>
      <c r="G2090" s="2">
        <f>IFERROR(__xludf.DUMMYFUNCTION("""COMPUTED_VALUE"""),2.0)</f>
        <v>2</v>
      </c>
      <c r="H2090" s="2" t="str">
        <f>IFERROR(__xludf.DUMMYFUNCTION("""COMPUTED_VALUE"""),"P. kara")</f>
        <v>P. kara</v>
      </c>
      <c r="I2090" s="2" t="str">
        <f>IFERROR(__xludf.DUMMYFUNCTION("""COMPUTED_VALUE"""),"Wood")</f>
        <v>Wood</v>
      </c>
      <c r="J2090" s="2" t="str">
        <f>IFERROR(__xludf.DUMMYFUNCTION("""COMPUTED_VALUE"""),"All amenities")</f>
        <v>All amenities</v>
      </c>
      <c r="K2090" s="2">
        <f>IFERROR(__xludf.DUMMYFUNCTION("""COMPUTED_VALUE"""),17750.0)</f>
        <v>17750</v>
      </c>
      <c r="L2090" s="2">
        <f>IFERROR(__xludf.DUMMYFUNCTION("""COMPUTED_VALUE"""),56.92093585)</f>
        <v>56.92093585</v>
      </c>
      <c r="M2090" s="2">
        <f>IFERROR(__xludf.DUMMYFUNCTION("""COMPUTED_VALUE"""),24.0826548997359)</f>
        <v>24.0826549</v>
      </c>
    </row>
    <row r="2091">
      <c r="A2091" s="2" t="str">
        <f>IFERROR(__xludf.DUMMYFUNCTION("""COMPUTED_VALUE"""),"For sale")</f>
        <v>For sale</v>
      </c>
      <c r="B2091" s="2" t="str">
        <f>IFERROR(__xludf.DUMMYFUNCTION("""COMPUTED_VALUE"""),"Iļģuciems")</f>
        <v>Iļģuciems</v>
      </c>
      <c r="C2091" s="2" t="str">
        <f>IFERROR(__xludf.DUMMYFUNCTION("""COMPUTED_VALUE"""),"Buļļu 52")</f>
        <v>Buļļu 52</v>
      </c>
      <c r="D2091" s="2">
        <f>IFERROR(__xludf.DUMMYFUNCTION("""COMPUTED_VALUE"""),1.0)</f>
        <v>1</v>
      </c>
      <c r="E2091" s="2">
        <f>IFERROR(__xludf.DUMMYFUNCTION("""COMPUTED_VALUE"""),34.0)</f>
        <v>34</v>
      </c>
      <c r="F2091" s="2">
        <f>IFERROR(__xludf.DUMMYFUNCTION("""COMPUTED_VALUE"""),2.0)</f>
        <v>2</v>
      </c>
      <c r="G2091" s="2">
        <f>IFERROR(__xludf.DUMMYFUNCTION("""COMPUTED_VALUE"""),3.0)</f>
        <v>3</v>
      </c>
      <c r="H2091" s="2" t="str">
        <f>IFERROR(__xludf.DUMMYFUNCTION("""COMPUTED_VALUE"""),"P. kara")</f>
        <v>P. kara</v>
      </c>
      <c r="I2091" s="2" t="str">
        <f>IFERROR(__xludf.DUMMYFUNCTION("""COMPUTED_VALUE"""),"Brick")</f>
        <v>Brick</v>
      </c>
      <c r="J2091" s="2" t="str">
        <f>IFERROR(__xludf.DUMMYFUNCTION("""COMPUTED_VALUE"""),"Partial amenities")</f>
        <v>Partial amenities</v>
      </c>
      <c r="K2091" s="2">
        <f>IFERROR(__xludf.DUMMYFUNCTION("""COMPUTED_VALUE"""),18700.0)</f>
        <v>18700</v>
      </c>
      <c r="L2091" s="2">
        <f>IFERROR(__xludf.DUMMYFUNCTION("""COMPUTED_VALUE"""),56.9699271)</f>
        <v>56.9699271</v>
      </c>
      <c r="M2091" s="2">
        <f>IFERROR(__xludf.DUMMYFUNCTION("""COMPUTED_VALUE"""),24.045403262188)</f>
        <v>24.04540326</v>
      </c>
    </row>
    <row r="2092">
      <c r="A2092" s="2" t="str">
        <f>IFERROR(__xludf.DUMMYFUNCTION("""COMPUTED_VALUE"""),"For sale")</f>
        <v>For sale</v>
      </c>
      <c r="B2092" s="2" t="str">
        <f>IFERROR(__xludf.DUMMYFUNCTION("""COMPUTED_VALUE"""),"Purvciems")</f>
        <v>Purvciems</v>
      </c>
      <c r="C2092" s="2" t="str">
        <f>IFERROR(__xludf.DUMMYFUNCTION("""COMPUTED_VALUE"""),"Stirnu 47")</f>
        <v>Stirnu 47</v>
      </c>
      <c r="D2092" s="2">
        <f>IFERROR(__xludf.DUMMYFUNCTION("""COMPUTED_VALUE"""),3.0)</f>
        <v>3</v>
      </c>
      <c r="E2092" s="2">
        <f>IFERROR(__xludf.DUMMYFUNCTION("""COMPUTED_VALUE"""),60.0)</f>
        <v>60</v>
      </c>
      <c r="F2092" s="2">
        <f>IFERROR(__xludf.DUMMYFUNCTION("""COMPUTED_VALUE"""),1.0)</f>
        <v>1</v>
      </c>
      <c r="G2092" s="2">
        <f>IFERROR(__xludf.DUMMYFUNCTION("""COMPUTED_VALUE"""),5.0)</f>
        <v>5</v>
      </c>
      <c r="H2092" s="2" t="str">
        <f>IFERROR(__xludf.DUMMYFUNCTION("""COMPUTED_VALUE"""),"LT proj.")</f>
        <v>LT proj.</v>
      </c>
      <c r="I2092" s="2" t="str">
        <f>IFERROR(__xludf.DUMMYFUNCTION("""COMPUTED_VALUE"""),"Panel")</f>
        <v>Panel</v>
      </c>
      <c r="J2092" s="2" t="str">
        <f>IFERROR(__xludf.DUMMYFUNCTION("""COMPUTED_VALUE"""),"All amenities")</f>
        <v>All amenities</v>
      </c>
      <c r="K2092" s="2">
        <f>IFERROR(__xludf.DUMMYFUNCTION("""COMPUTED_VALUE"""),58000.0)</f>
        <v>58000</v>
      </c>
      <c r="L2092" s="2">
        <f>IFERROR(__xludf.DUMMYFUNCTION("""COMPUTED_VALUE"""),56.96285935)</f>
        <v>56.96285935</v>
      </c>
      <c r="M2092" s="2">
        <f>IFERROR(__xludf.DUMMYFUNCTION("""COMPUTED_VALUE"""),24.1895130756778)</f>
        <v>24.18951308</v>
      </c>
    </row>
    <row r="2093">
      <c r="A2093" s="2" t="str">
        <f>IFERROR(__xludf.DUMMYFUNCTION("""COMPUTED_VALUE"""),"For rent")</f>
        <v>For rent</v>
      </c>
      <c r="B2093" s="2" t="str">
        <f>IFERROR(__xludf.DUMMYFUNCTION("""COMPUTED_VALUE"""),"centrs")</f>
        <v>centrs</v>
      </c>
      <c r="C2093" s="2" t="str">
        <f>IFERROR(__xludf.DUMMYFUNCTION("""COMPUTED_VALUE"""),"Jeruzalemes 5")</f>
        <v>Jeruzalemes 5</v>
      </c>
      <c r="D2093" s="2">
        <f>IFERROR(__xludf.DUMMYFUNCTION("""COMPUTED_VALUE"""),2.0)</f>
        <v>2</v>
      </c>
      <c r="E2093" s="2">
        <f>IFERROR(__xludf.DUMMYFUNCTION("""COMPUTED_VALUE"""),60.0)</f>
        <v>60</v>
      </c>
      <c r="F2093" s="2">
        <f>IFERROR(__xludf.DUMMYFUNCTION("""COMPUTED_VALUE"""),2.0)</f>
        <v>2</v>
      </c>
      <c r="G2093" s="2">
        <f>IFERROR(__xludf.DUMMYFUNCTION("""COMPUTED_VALUE"""),6.0)</f>
        <v>6</v>
      </c>
      <c r="H2093" s="2" t="str">
        <f>IFERROR(__xludf.DUMMYFUNCTION("""COMPUTED_VALUE"""),"Renov.")</f>
        <v>Renov.</v>
      </c>
      <c r="I2093" s="2" t="str">
        <f>IFERROR(__xludf.DUMMYFUNCTION("""COMPUTED_VALUE"""),"Panel-Brick")</f>
        <v>Panel-Brick</v>
      </c>
      <c r="J2093" s="2" t="str">
        <f>IFERROR(__xludf.DUMMYFUNCTION("""COMPUTED_VALUE"""),"All amenities")</f>
        <v>All amenities</v>
      </c>
      <c r="K2093" s="2">
        <f>IFERROR(__xludf.DUMMYFUNCTION("""COMPUTED_VALUE"""),60.0)</f>
        <v>60</v>
      </c>
      <c r="L2093" s="2">
        <f>IFERROR(__xludf.DUMMYFUNCTION("""COMPUTED_VALUE"""),56.9579333)</f>
        <v>56.9579333</v>
      </c>
      <c r="M2093" s="2">
        <f>IFERROR(__xludf.DUMMYFUNCTION("""COMPUTED_VALUE"""),24.113967)</f>
        <v>24.113967</v>
      </c>
    </row>
    <row r="2094">
      <c r="A2094" s="2" t="str">
        <f>IFERROR(__xludf.DUMMYFUNCTION("""COMPUTED_VALUE"""),"For sale")</f>
        <v>For sale</v>
      </c>
      <c r="B2094" s="2" t="str">
        <f>IFERROR(__xludf.DUMMYFUNCTION("""COMPUTED_VALUE"""),"Zolitūde")</f>
        <v>Zolitūde</v>
      </c>
      <c r="C2094" s="2" t="str">
        <f>IFERROR(__xludf.DUMMYFUNCTION("""COMPUTED_VALUE"""),"Lejiņa 3")</f>
        <v>Lejiņa 3</v>
      </c>
      <c r="D2094" s="2">
        <f>IFERROR(__xludf.DUMMYFUNCTION("""COMPUTED_VALUE"""),4.0)</f>
        <v>4</v>
      </c>
      <c r="E2094" s="2">
        <f>IFERROR(__xludf.DUMMYFUNCTION("""COMPUTED_VALUE"""),90.0)</f>
        <v>90</v>
      </c>
      <c r="F2094" s="2">
        <f>IFERROR(__xludf.DUMMYFUNCTION("""COMPUTED_VALUE"""),2.0)</f>
        <v>2</v>
      </c>
      <c r="G2094" s="2">
        <f>IFERROR(__xludf.DUMMYFUNCTION("""COMPUTED_VALUE"""),9.0)</f>
        <v>9</v>
      </c>
      <c r="H2094" s="2">
        <f>IFERROR(__xludf.DUMMYFUNCTION("""COMPUTED_VALUE"""),119.0)</f>
        <v>119</v>
      </c>
      <c r="I2094" s="2" t="str">
        <f>IFERROR(__xludf.DUMMYFUNCTION("""COMPUTED_VALUE"""),"Panel")</f>
        <v>Panel</v>
      </c>
      <c r="J2094" s="2" t="str">
        <f>IFERROR(__xludf.DUMMYFUNCTION("""COMPUTED_VALUE"""),"All amenities")</f>
        <v>All amenities</v>
      </c>
      <c r="K2094" s="2">
        <f>IFERROR(__xludf.DUMMYFUNCTION("""COMPUTED_VALUE"""),105000.0)</f>
        <v>105000</v>
      </c>
      <c r="L2094" s="2">
        <f>IFERROR(__xludf.DUMMYFUNCTION("""COMPUTED_VALUE"""),56.94716445)</f>
        <v>56.94716445</v>
      </c>
      <c r="M2094" s="2">
        <f>IFERROR(__xludf.DUMMYFUNCTION("""COMPUTED_VALUE"""),24.0144371864952)</f>
        <v>24.01443719</v>
      </c>
    </row>
    <row r="2095">
      <c r="A2095" s="2" t="str">
        <f>IFERROR(__xludf.DUMMYFUNCTION("""COMPUTED_VALUE"""),"For sale")</f>
        <v>For sale</v>
      </c>
      <c r="B2095" s="2" t="str">
        <f>IFERROR(__xludf.DUMMYFUNCTION("""COMPUTED_VALUE"""),"Zolitūde")</f>
        <v>Zolitūde</v>
      </c>
      <c r="C2095" s="2" t="str">
        <f>IFERROR(__xludf.DUMMYFUNCTION("""COMPUTED_VALUE"""),"Lejiņa 3")</f>
        <v>Lejiņa 3</v>
      </c>
      <c r="D2095" s="2">
        <f>IFERROR(__xludf.DUMMYFUNCTION("""COMPUTED_VALUE"""),4.0)</f>
        <v>4</v>
      </c>
      <c r="E2095" s="2">
        <f>IFERROR(__xludf.DUMMYFUNCTION("""COMPUTED_VALUE"""),89.0)</f>
        <v>89</v>
      </c>
      <c r="F2095" s="2">
        <f>IFERROR(__xludf.DUMMYFUNCTION("""COMPUTED_VALUE"""),2.0)</f>
        <v>2</v>
      </c>
      <c r="G2095" s="2">
        <f>IFERROR(__xludf.DUMMYFUNCTION("""COMPUTED_VALUE"""),9.0)</f>
        <v>9</v>
      </c>
      <c r="H2095" s="2">
        <f>IFERROR(__xludf.DUMMYFUNCTION("""COMPUTED_VALUE"""),119.0)</f>
        <v>119</v>
      </c>
      <c r="I2095" s="2" t="str">
        <f>IFERROR(__xludf.DUMMYFUNCTION("""COMPUTED_VALUE"""),"Panel")</f>
        <v>Panel</v>
      </c>
      <c r="J2095" s="2" t="str">
        <f>IFERROR(__xludf.DUMMYFUNCTION("""COMPUTED_VALUE"""),"All amenities")</f>
        <v>All amenities</v>
      </c>
      <c r="K2095" s="2">
        <f>IFERROR(__xludf.DUMMYFUNCTION("""COMPUTED_VALUE"""),92000.0)</f>
        <v>92000</v>
      </c>
      <c r="L2095" s="2">
        <f>IFERROR(__xludf.DUMMYFUNCTION("""COMPUTED_VALUE"""),56.94716445)</f>
        <v>56.94716445</v>
      </c>
      <c r="M2095" s="2">
        <f>IFERROR(__xludf.DUMMYFUNCTION("""COMPUTED_VALUE"""),24.0144371864952)</f>
        <v>24.01443719</v>
      </c>
    </row>
    <row r="2096">
      <c r="A2096" s="2" t="str">
        <f>IFERROR(__xludf.DUMMYFUNCTION("""COMPUTED_VALUE"""),"For sale")</f>
        <v>For sale</v>
      </c>
      <c r="B2096" s="2" t="str">
        <f>IFERROR(__xludf.DUMMYFUNCTION("""COMPUTED_VALUE"""),"Iļģuciems")</f>
        <v>Iļģuciems</v>
      </c>
      <c r="C2096" s="2" t="str">
        <f>IFERROR(__xludf.DUMMYFUNCTION("""COMPUTED_VALUE"""),"Lilijas 22")</f>
        <v>Lilijas 22</v>
      </c>
      <c r="D2096" s="2">
        <f>IFERROR(__xludf.DUMMYFUNCTION("""COMPUTED_VALUE"""),3.0)</f>
        <v>3</v>
      </c>
      <c r="E2096" s="2">
        <f>IFERROR(__xludf.DUMMYFUNCTION("""COMPUTED_VALUE"""),84.0)</f>
        <v>84</v>
      </c>
      <c r="F2096" s="2">
        <f>IFERROR(__xludf.DUMMYFUNCTION("""COMPUTED_VALUE"""),2.0)</f>
        <v>2</v>
      </c>
      <c r="G2096" s="2">
        <f>IFERROR(__xludf.DUMMYFUNCTION("""COMPUTED_VALUE"""),4.0)</f>
        <v>4</v>
      </c>
      <c r="H2096" s="2" t="str">
        <f>IFERROR(__xludf.DUMMYFUNCTION("""COMPUTED_VALUE"""),"Jaun.")</f>
        <v>Jaun.</v>
      </c>
      <c r="I2096" s="2" t="str">
        <f>IFERROR(__xludf.DUMMYFUNCTION("""COMPUTED_VALUE"""),"Brick-Panel")</f>
        <v>Brick-Panel</v>
      </c>
      <c r="J2096" s="2" t="str">
        <f>IFERROR(__xludf.DUMMYFUNCTION("""COMPUTED_VALUE"""),"All amenities")</f>
        <v>All amenities</v>
      </c>
      <c r="K2096" s="2">
        <f>IFERROR(__xludf.DUMMYFUNCTION("""COMPUTED_VALUE"""),150000.0)</f>
        <v>150000</v>
      </c>
      <c r="L2096" s="2">
        <f>IFERROR(__xludf.DUMMYFUNCTION("""COMPUTED_VALUE"""),56.9650403499999)</f>
        <v>56.96504035</v>
      </c>
      <c r="M2096" s="2">
        <f>IFERROR(__xludf.DUMMYFUNCTION("""COMPUTED_VALUE"""),24.0617817917367)</f>
        <v>24.06178179</v>
      </c>
    </row>
    <row r="2097">
      <c r="A2097" s="2" t="str">
        <f>IFERROR(__xludf.DUMMYFUNCTION("""COMPUTED_VALUE"""),"For sale")</f>
        <v>For sale</v>
      </c>
      <c r="B2097" s="2" t="str">
        <f>IFERROR(__xludf.DUMMYFUNCTION("""COMPUTED_VALUE"""),"centrs")</f>
        <v>centrs</v>
      </c>
      <c r="C2097" s="2" t="str">
        <f>IFERROR(__xludf.DUMMYFUNCTION("""COMPUTED_VALUE"""),"Valdemāra 121")</f>
        <v>Valdemāra 121</v>
      </c>
      <c r="D2097" s="2">
        <f>IFERROR(__xludf.DUMMYFUNCTION("""COMPUTED_VALUE"""),3.0)</f>
        <v>3</v>
      </c>
      <c r="E2097" s="2">
        <f>IFERROR(__xludf.DUMMYFUNCTION("""COMPUTED_VALUE"""),46.0)</f>
        <v>46</v>
      </c>
      <c r="F2097" s="2">
        <f>IFERROR(__xludf.DUMMYFUNCTION("""COMPUTED_VALUE"""),1.0)</f>
        <v>1</v>
      </c>
      <c r="G2097" s="2">
        <f>IFERROR(__xludf.DUMMYFUNCTION("""COMPUTED_VALUE"""),5.0)</f>
        <v>5</v>
      </c>
      <c r="H2097" s="2" t="str">
        <f>IFERROR(__xludf.DUMMYFUNCTION("""COMPUTED_VALUE"""),"P. kara")</f>
        <v>P. kara</v>
      </c>
      <c r="I2097" s="2" t="str">
        <f>IFERROR(__xludf.DUMMYFUNCTION("""COMPUTED_VALUE"""),"Brick")</f>
        <v>Brick</v>
      </c>
      <c r="J2097" s="2" t="str">
        <f>IFERROR(__xludf.DUMMYFUNCTION("""COMPUTED_VALUE"""),"All amenities")</f>
        <v>All amenities</v>
      </c>
      <c r="K2097" s="2">
        <f>IFERROR(__xludf.DUMMYFUNCTION("""COMPUTED_VALUE"""),60000.0)</f>
        <v>60000</v>
      </c>
      <c r="L2097" s="2">
        <f>IFERROR(__xludf.DUMMYFUNCTION("""COMPUTED_VALUE"""),56.9668351)</f>
        <v>56.9668351</v>
      </c>
      <c r="M2097" s="2">
        <f>IFERROR(__xludf.DUMMYFUNCTION("""COMPUTED_VALUE"""),24.1297547779811)</f>
        <v>24.12975478</v>
      </c>
    </row>
    <row r="2098">
      <c r="A2098" s="2" t="str">
        <f>IFERROR(__xludf.DUMMYFUNCTION("""COMPUTED_VALUE"""),"For sale")</f>
        <v>For sale</v>
      </c>
      <c r="B2098" s="2" t="str">
        <f>IFERROR(__xludf.DUMMYFUNCTION("""COMPUTED_VALUE"""),"Šķirotava")</f>
        <v>Šķirotava</v>
      </c>
      <c r="C2098" s="2" t="str">
        <f>IFERROR(__xludf.DUMMYFUNCTION("""COMPUTED_VALUE"""),"Šķirotavas 2a")</f>
        <v>Šķirotavas 2a</v>
      </c>
      <c r="D2098" s="2">
        <f>IFERROR(__xludf.DUMMYFUNCTION("""COMPUTED_VALUE"""),1.0)</f>
        <v>1</v>
      </c>
      <c r="E2098" s="2">
        <f>IFERROR(__xludf.DUMMYFUNCTION("""COMPUTED_VALUE"""),27.0)</f>
        <v>27</v>
      </c>
      <c r="F2098" s="2">
        <f>IFERROR(__xludf.DUMMYFUNCTION("""COMPUTED_VALUE"""),3.0)</f>
        <v>3</v>
      </c>
      <c r="G2098" s="2">
        <f>IFERROR(__xludf.DUMMYFUNCTION("""COMPUTED_VALUE"""),5.0)</f>
        <v>5</v>
      </c>
      <c r="H2098" s="2" t="str">
        <f>IFERROR(__xludf.DUMMYFUNCTION("""COMPUTED_VALUE"""),"Specpr.")</f>
        <v>Specpr.</v>
      </c>
      <c r="I2098" s="2" t="str">
        <f>IFERROR(__xludf.DUMMYFUNCTION("""COMPUTED_VALUE"""),"Brick")</f>
        <v>Brick</v>
      </c>
      <c r="J2098" s="2" t="str">
        <f>IFERROR(__xludf.DUMMYFUNCTION("""COMPUTED_VALUE"""),"All amenities")</f>
        <v>All amenities</v>
      </c>
      <c r="K2098" s="2">
        <f>IFERROR(__xludf.DUMMYFUNCTION("""COMPUTED_VALUE"""),24900.0)</f>
        <v>24900</v>
      </c>
      <c r="L2098" s="2">
        <f>IFERROR(__xludf.DUMMYFUNCTION("""COMPUTED_VALUE"""),56.90657655)</f>
        <v>56.90657655</v>
      </c>
      <c r="M2098" s="2">
        <f>IFERROR(__xludf.DUMMYFUNCTION("""COMPUTED_VALUE"""),24.2203518742668)</f>
        <v>24.22035187</v>
      </c>
    </row>
    <row r="2099">
      <c r="A2099" s="2" t="str">
        <f>IFERROR(__xludf.DUMMYFUNCTION("""COMPUTED_VALUE"""),"For sale")</f>
        <v>For sale</v>
      </c>
      <c r="B2099" s="2" t="str">
        <f>IFERROR(__xludf.DUMMYFUNCTION("""COMPUTED_VALUE"""),"Ziepniekkalns")</f>
        <v>Ziepniekkalns</v>
      </c>
      <c r="C2099" s="2" t="str">
        <f>IFERROR(__xludf.DUMMYFUNCTION("""COMPUTED_VALUE"""),"Valdeķu 54")</f>
        <v>Valdeķu 54</v>
      </c>
      <c r="D2099" s="2">
        <f>IFERROR(__xludf.DUMMYFUNCTION("""COMPUTED_VALUE"""),1.0)</f>
        <v>1</v>
      </c>
      <c r="E2099" s="2">
        <f>IFERROR(__xludf.DUMMYFUNCTION("""COMPUTED_VALUE"""),32.0)</f>
        <v>32</v>
      </c>
      <c r="F2099" s="2">
        <f>IFERROR(__xludf.DUMMYFUNCTION("""COMPUTED_VALUE"""),6.0)</f>
        <v>6</v>
      </c>
      <c r="G2099" s="2">
        <f>IFERROR(__xludf.DUMMYFUNCTION("""COMPUTED_VALUE"""),9.0)</f>
        <v>9</v>
      </c>
      <c r="H2099" s="2">
        <f>IFERROR(__xludf.DUMMYFUNCTION("""COMPUTED_VALUE"""),602.0)</f>
        <v>602</v>
      </c>
      <c r="I2099" s="2" t="str">
        <f>IFERROR(__xludf.DUMMYFUNCTION("""COMPUTED_VALUE"""),"Panel")</f>
        <v>Panel</v>
      </c>
      <c r="J2099" s="2" t="str">
        <f>IFERROR(__xludf.DUMMYFUNCTION("""COMPUTED_VALUE"""),"All amenities")</f>
        <v>All amenities</v>
      </c>
      <c r="K2099" s="2">
        <f>IFERROR(__xludf.DUMMYFUNCTION("""COMPUTED_VALUE"""),38500.0)</f>
        <v>38500</v>
      </c>
      <c r="L2099" s="2">
        <f>IFERROR(__xludf.DUMMYFUNCTION("""COMPUTED_VALUE"""),56.9094064)</f>
        <v>56.9094064</v>
      </c>
      <c r="M2099" s="2">
        <f>IFERROR(__xludf.DUMMYFUNCTION("""COMPUTED_VALUE"""),24.0954157)</f>
        <v>24.0954157</v>
      </c>
    </row>
    <row r="2100">
      <c r="A2100" s="2" t="str">
        <f>IFERROR(__xludf.DUMMYFUNCTION("""COMPUTED_VALUE"""),"For sale")</f>
        <v>For sale</v>
      </c>
      <c r="B2100" s="2" t="str">
        <f>IFERROR(__xludf.DUMMYFUNCTION("""COMPUTED_VALUE"""),"Jugla")</f>
        <v>Jugla</v>
      </c>
      <c r="C2100" s="2" t="str">
        <f>IFERROR(__xludf.DUMMYFUNCTION("""COMPUTED_VALUE"""),"Kvēles 23")</f>
        <v>Kvēles 23</v>
      </c>
      <c r="D2100" s="2">
        <f>IFERROR(__xludf.DUMMYFUNCTION("""COMPUTED_VALUE"""),2.0)</f>
        <v>2</v>
      </c>
      <c r="E2100" s="2">
        <f>IFERROR(__xludf.DUMMYFUNCTION("""COMPUTED_VALUE"""),46.0)</f>
        <v>46</v>
      </c>
      <c r="F2100" s="2">
        <f>IFERROR(__xludf.DUMMYFUNCTION("""COMPUTED_VALUE"""),3.0)</f>
        <v>3</v>
      </c>
      <c r="G2100" s="2">
        <f>IFERROR(__xludf.DUMMYFUNCTION("""COMPUTED_VALUE"""),5.0)</f>
        <v>5</v>
      </c>
      <c r="H2100" s="2" t="str">
        <f>IFERROR(__xludf.DUMMYFUNCTION("""COMPUTED_VALUE"""),"Hrušč.")</f>
        <v>Hrušč.</v>
      </c>
      <c r="I2100" s="2" t="str">
        <f>IFERROR(__xludf.DUMMYFUNCTION("""COMPUTED_VALUE"""),"Panel")</f>
        <v>Panel</v>
      </c>
      <c r="J2100" s="2" t="str">
        <f>IFERROR(__xludf.DUMMYFUNCTION("""COMPUTED_VALUE"""),"All amenities")</f>
        <v>All amenities</v>
      </c>
      <c r="K2100" s="2">
        <f>IFERROR(__xludf.DUMMYFUNCTION("""COMPUTED_VALUE"""),38000.0)</f>
        <v>38000</v>
      </c>
      <c r="L2100" s="2">
        <f>IFERROR(__xludf.DUMMYFUNCTION("""COMPUTED_VALUE"""),56.9826432)</f>
        <v>56.9826432</v>
      </c>
      <c r="M2100" s="2">
        <f>IFERROR(__xludf.DUMMYFUNCTION("""COMPUTED_VALUE"""),24.245178092083)</f>
        <v>24.24517809</v>
      </c>
    </row>
    <row r="2101">
      <c r="A2101" s="2" t="str">
        <f>IFERROR(__xludf.DUMMYFUNCTION("""COMPUTED_VALUE"""),"For rent")</f>
        <v>For rent</v>
      </c>
      <c r="B2101" s="2" t="str">
        <f>IFERROR(__xludf.DUMMYFUNCTION("""COMPUTED_VALUE"""),"Zolitūde")</f>
        <v>Zolitūde</v>
      </c>
      <c r="C2101" s="2" t="str">
        <f>IFERROR(__xludf.DUMMYFUNCTION("""COMPUTED_VALUE"""),"Bieziņa 4")</f>
        <v>Bieziņa 4</v>
      </c>
      <c r="D2101" s="2">
        <f>IFERROR(__xludf.DUMMYFUNCTION("""COMPUTED_VALUE"""),2.0)</f>
        <v>2</v>
      </c>
      <c r="E2101" s="2">
        <f>IFERROR(__xludf.DUMMYFUNCTION("""COMPUTED_VALUE"""),58.0)</f>
        <v>58</v>
      </c>
      <c r="F2101" s="2">
        <f>IFERROR(__xludf.DUMMYFUNCTION("""COMPUTED_VALUE"""),9.0)</f>
        <v>9</v>
      </c>
      <c r="G2101" s="2">
        <f>IFERROR(__xludf.DUMMYFUNCTION("""COMPUTED_VALUE"""),10.0)</f>
        <v>10</v>
      </c>
      <c r="H2101" s="2">
        <f>IFERROR(__xludf.DUMMYFUNCTION("""COMPUTED_VALUE"""),119.0)</f>
        <v>119</v>
      </c>
      <c r="I2101" s="2" t="str">
        <f>IFERROR(__xludf.DUMMYFUNCTION("""COMPUTED_VALUE"""),"Panel")</f>
        <v>Panel</v>
      </c>
      <c r="J2101" s="2" t="str">
        <f>IFERROR(__xludf.DUMMYFUNCTION("""COMPUTED_VALUE"""),"All amenities")</f>
        <v>All amenities</v>
      </c>
      <c r="K2101" s="2">
        <f>IFERROR(__xludf.DUMMYFUNCTION("""COMPUTED_VALUE"""),330.0)</f>
        <v>330</v>
      </c>
      <c r="L2101" s="2">
        <f>IFERROR(__xludf.DUMMYFUNCTION("""COMPUTED_VALUE"""),56.9446832999999)</f>
        <v>56.9446833</v>
      </c>
      <c r="M2101" s="2">
        <f>IFERROR(__xludf.DUMMYFUNCTION("""COMPUTED_VALUE"""),24.0203874444514)</f>
        <v>24.02038744</v>
      </c>
    </row>
    <row r="2102">
      <c r="A2102" s="2" t="str">
        <f>IFERROR(__xludf.DUMMYFUNCTION("""COMPUTED_VALUE"""),"For sale")</f>
        <v>For sale</v>
      </c>
      <c r="B2102" s="2" t="str">
        <f>IFERROR(__xludf.DUMMYFUNCTION("""COMPUTED_VALUE"""),"Mangaļi")</f>
        <v>Mangaļi</v>
      </c>
      <c r="C2102" s="2" t="str">
        <f>IFERROR(__xludf.DUMMYFUNCTION("""COMPUTED_VALUE"""),"Mores 3")</f>
        <v>Mores 3</v>
      </c>
      <c r="D2102" s="2">
        <f>IFERROR(__xludf.DUMMYFUNCTION("""COMPUTED_VALUE"""),2.0)</f>
        <v>2</v>
      </c>
      <c r="E2102" s="2">
        <f>IFERROR(__xludf.DUMMYFUNCTION("""COMPUTED_VALUE"""),44.0)</f>
        <v>44</v>
      </c>
      <c r="F2102" s="2">
        <f>IFERROR(__xludf.DUMMYFUNCTION("""COMPUTED_VALUE"""),1.0)</f>
        <v>1</v>
      </c>
      <c r="G2102" s="2">
        <f>IFERROR(__xludf.DUMMYFUNCTION("""COMPUTED_VALUE"""),5.0)</f>
        <v>5</v>
      </c>
      <c r="H2102" s="2" t="str">
        <f>IFERROR(__xludf.DUMMYFUNCTION("""COMPUTED_VALUE"""),"LT proj.")</f>
        <v>LT proj.</v>
      </c>
      <c r="I2102" s="2" t="str">
        <f>IFERROR(__xludf.DUMMYFUNCTION("""COMPUTED_VALUE"""),"Panel")</f>
        <v>Panel</v>
      </c>
      <c r="J2102" s="2" t="str">
        <f>IFERROR(__xludf.DUMMYFUNCTION("""COMPUTED_VALUE"""),"All amenities")</f>
        <v>All amenities</v>
      </c>
      <c r="K2102" s="2">
        <f>IFERROR(__xludf.DUMMYFUNCTION("""COMPUTED_VALUE"""),36500.0)</f>
        <v>36500</v>
      </c>
      <c r="L2102" s="2">
        <f>IFERROR(__xludf.DUMMYFUNCTION("""COMPUTED_VALUE"""),57.0188111)</f>
        <v>57.0188111</v>
      </c>
      <c r="M2102" s="2">
        <f>IFERROR(__xludf.DUMMYFUNCTION("""COMPUTED_VALUE"""),24.13501185)</f>
        <v>24.13501185</v>
      </c>
    </row>
    <row r="2103">
      <c r="A2103" s="2" t="str">
        <f>IFERROR(__xludf.DUMMYFUNCTION("""COMPUTED_VALUE"""),"For rent")</f>
        <v>For rent</v>
      </c>
      <c r="B2103" s="2" t="str">
        <f>IFERROR(__xludf.DUMMYFUNCTION("""COMPUTED_VALUE"""),"Pļavnieki")</f>
        <v>Pļavnieki</v>
      </c>
      <c r="C2103" s="2" t="str">
        <f>IFERROR(__xludf.DUMMYFUNCTION("""COMPUTED_VALUE"""),"Dzeņu 10")</f>
        <v>Dzeņu 10</v>
      </c>
      <c r="D2103" s="2">
        <f>IFERROR(__xludf.DUMMYFUNCTION("""COMPUTED_VALUE"""),3.0)</f>
        <v>3</v>
      </c>
      <c r="E2103" s="2">
        <f>IFERROR(__xludf.DUMMYFUNCTION("""COMPUTED_VALUE"""),63.0)</f>
        <v>63</v>
      </c>
      <c r="F2103" s="2">
        <f>IFERROR(__xludf.DUMMYFUNCTION("""COMPUTED_VALUE"""),9.0)</f>
        <v>9</v>
      </c>
      <c r="G2103" s="2">
        <f>IFERROR(__xludf.DUMMYFUNCTION("""COMPUTED_VALUE"""),9.0)</f>
        <v>9</v>
      </c>
      <c r="H2103" s="2">
        <f>IFERROR(__xludf.DUMMYFUNCTION("""COMPUTED_VALUE"""),602.0)</f>
        <v>602</v>
      </c>
      <c r="I2103" s="2" t="str">
        <f>IFERROR(__xludf.DUMMYFUNCTION("""COMPUTED_VALUE"""),"Panel")</f>
        <v>Panel</v>
      </c>
      <c r="J2103" s="2" t="str">
        <f>IFERROR(__xludf.DUMMYFUNCTION("""COMPUTED_VALUE"""),"All amenities")</f>
        <v>All amenities</v>
      </c>
      <c r="K2103" s="2">
        <f>IFERROR(__xludf.DUMMYFUNCTION("""COMPUTED_VALUE"""),350.0)</f>
        <v>350</v>
      </c>
      <c r="L2103" s="2">
        <f>IFERROR(__xludf.DUMMYFUNCTION("""COMPUTED_VALUE"""),56.9399951)</f>
        <v>56.9399951</v>
      </c>
      <c r="M2103" s="2">
        <f>IFERROR(__xludf.DUMMYFUNCTION("""COMPUTED_VALUE"""),24.2115171849586)</f>
        <v>24.21151718</v>
      </c>
    </row>
    <row r="2104">
      <c r="A2104" s="2" t="str">
        <f>IFERROR(__xludf.DUMMYFUNCTION("""COMPUTED_VALUE"""),"For rent")</f>
        <v>For rent</v>
      </c>
      <c r="B2104" s="2" t="str">
        <f>IFERROR(__xludf.DUMMYFUNCTION("""COMPUTED_VALUE"""),"Purvciems")</f>
        <v>Purvciems</v>
      </c>
      <c r="C2104" s="2" t="str">
        <f>IFERROR(__xludf.DUMMYFUNCTION("""COMPUTED_VALUE"""),"Dudajeva g. 10")</f>
        <v>Dudajeva g. 10</v>
      </c>
      <c r="D2104" s="2">
        <f>IFERROR(__xludf.DUMMYFUNCTION("""COMPUTED_VALUE"""),2.0)</f>
        <v>2</v>
      </c>
      <c r="E2104" s="2">
        <f>IFERROR(__xludf.DUMMYFUNCTION("""COMPUTED_VALUE"""),40.0)</f>
        <v>40</v>
      </c>
      <c r="F2104" s="2">
        <f>IFERROR(__xludf.DUMMYFUNCTION("""COMPUTED_VALUE"""),1.0)</f>
        <v>1</v>
      </c>
      <c r="G2104" s="2">
        <f>IFERROR(__xludf.DUMMYFUNCTION("""COMPUTED_VALUE"""),5.0)</f>
        <v>5</v>
      </c>
      <c r="H2104" s="2" t="str">
        <f>IFERROR(__xludf.DUMMYFUNCTION("""COMPUTED_VALUE"""),"LT proj.")</f>
        <v>LT proj.</v>
      </c>
      <c r="I2104" s="2" t="str">
        <f>IFERROR(__xludf.DUMMYFUNCTION("""COMPUTED_VALUE"""),"Panel-Brick")</f>
        <v>Panel-Brick</v>
      </c>
      <c r="J2104" s="2" t="str">
        <f>IFERROR(__xludf.DUMMYFUNCTION("""COMPUTED_VALUE"""),"All amenities")</f>
        <v>All amenities</v>
      </c>
      <c r="K2104" s="2">
        <f>IFERROR(__xludf.DUMMYFUNCTION("""COMPUTED_VALUE"""),300.0)</f>
        <v>300</v>
      </c>
      <c r="L2104" s="2">
        <f>IFERROR(__xludf.DUMMYFUNCTION("""COMPUTED_VALUE"""),56.9570069)</f>
        <v>56.9570069</v>
      </c>
      <c r="M2104" s="2">
        <f>IFERROR(__xludf.DUMMYFUNCTION("""COMPUTED_VALUE"""),24.1987368)</f>
        <v>24.1987368</v>
      </c>
    </row>
    <row r="2105">
      <c r="A2105" s="2" t="str">
        <f>IFERROR(__xludf.DUMMYFUNCTION("""COMPUTED_VALUE"""),"For sale")</f>
        <v>For sale</v>
      </c>
      <c r="B2105" s="2" t="str">
        <f>IFERROR(__xludf.DUMMYFUNCTION("""COMPUTED_VALUE"""),"centrs")</f>
        <v>centrs</v>
      </c>
      <c r="C2105" s="2" t="str">
        <f>IFERROR(__xludf.DUMMYFUNCTION("""COMPUTED_VALUE"""),"Marijas 16")</f>
        <v>Marijas 16</v>
      </c>
      <c r="D2105" s="2">
        <f>IFERROR(__xludf.DUMMYFUNCTION("""COMPUTED_VALUE"""),3.0)</f>
        <v>3</v>
      </c>
      <c r="E2105" s="2">
        <f>IFERROR(__xludf.DUMMYFUNCTION("""COMPUTED_VALUE"""),89.0)</f>
        <v>89</v>
      </c>
      <c r="F2105" s="2">
        <f>IFERROR(__xludf.DUMMYFUNCTION("""COMPUTED_VALUE"""),6.0)</f>
        <v>6</v>
      </c>
      <c r="G2105" s="2">
        <f>IFERROR(__xludf.DUMMYFUNCTION("""COMPUTED_VALUE"""),7.0)</f>
        <v>7</v>
      </c>
      <c r="H2105" s="2" t="str">
        <f>IFERROR(__xludf.DUMMYFUNCTION("""COMPUTED_VALUE"""),"Renov.")</f>
        <v>Renov.</v>
      </c>
      <c r="I2105" s="2" t="str">
        <f>IFERROR(__xludf.DUMMYFUNCTION("""COMPUTED_VALUE"""),"Brick")</f>
        <v>Brick</v>
      </c>
      <c r="J2105" s="2" t="str">
        <f>IFERROR(__xludf.DUMMYFUNCTION("""COMPUTED_VALUE"""),"All amenities")</f>
        <v>All amenities</v>
      </c>
      <c r="K2105" s="2">
        <f>IFERROR(__xludf.DUMMYFUNCTION("""COMPUTED_VALUE"""),169000.0)</f>
        <v>169000</v>
      </c>
      <c r="L2105" s="2">
        <f>IFERROR(__xludf.DUMMYFUNCTION("""COMPUTED_VALUE"""),56.9505796)</f>
        <v>56.9505796</v>
      </c>
      <c r="M2105" s="2">
        <f>IFERROR(__xludf.DUMMYFUNCTION("""COMPUTED_VALUE"""),24.1255938)</f>
        <v>24.1255938</v>
      </c>
    </row>
    <row r="2106">
      <c r="A2106" s="2" t="str">
        <f>IFERROR(__xludf.DUMMYFUNCTION("""COMPUTED_VALUE"""),"For rent")</f>
        <v>For rent</v>
      </c>
      <c r="B2106" s="2" t="str">
        <f>IFERROR(__xludf.DUMMYFUNCTION("""COMPUTED_VALUE"""),"centrs")</f>
        <v>centrs</v>
      </c>
      <c r="C2106" s="2" t="str">
        <f>IFERROR(__xludf.DUMMYFUNCTION("""COMPUTED_VALUE"""),"Alūksnes 3")</f>
        <v>Alūksnes 3</v>
      </c>
      <c r="D2106" s="2">
        <f>IFERROR(__xludf.DUMMYFUNCTION("""COMPUTED_VALUE"""),1.0)</f>
        <v>1</v>
      </c>
      <c r="E2106" s="2">
        <f>IFERROR(__xludf.DUMMYFUNCTION("""COMPUTED_VALUE"""),20.0)</f>
        <v>20</v>
      </c>
      <c r="F2106" s="2">
        <f>IFERROR(__xludf.DUMMYFUNCTION("""COMPUTED_VALUE"""),4.0)</f>
        <v>4</v>
      </c>
      <c r="G2106" s="2">
        <f>IFERROR(__xludf.DUMMYFUNCTION("""COMPUTED_VALUE"""),5.0)</f>
        <v>5</v>
      </c>
      <c r="H2106" s="2" t="str">
        <f>IFERROR(__xludf.DUMMYFUNCTION("""COMPUTED_VALUE"""),"Renov.")</f>
        <v>Renov.</v>
      </c>
      <c r="I2106" s="2" t="str">
        <f>IFERROR(__xludf.DUMMYFUNCTION("""COMPUTED_VALUE"""),"Masonry")</f>
        <v>Masonry</v>
      </c>
      <c r="J2106" s="2" t="str">
        <f>IFERROR(__xludf.DUMMYFUNCTION("""COMPUTED_VALUE"""),"All amenities")</f>
        <v>All amenities</v>
      </c>
      <c r="K2106" s="2">
        <f>IFERROR(__xludf.DUMMYFUNCTION("""COMPUTED_VALUE"""),330.0)</f>
        <v>330</v>
      </c>
      <c r="L2106" s="2">
        <f>IFERROR(__xludf.DUMMYFUNCTION("""COMPUTED_VALUE"""),56.9695576)</f>
        <v>56.9695576</v>
      </c>
      <c r="M2106" s="2">
        <f>IFERROR(__xludf.DUMMYFUNCTION("""COMPUTED_VALUE"""),24.0993637)</f>
        <v>24.0993637</v>
      </c>
    </row>
    <row r="2107">
      <c r="A2107" s="2" t="str">
        <f>IFERROR(__xludf.DUMMYFUNCTION("""COMPUTED_VALUE"""),"For sale")</f>
        <v>For sale</v>
      </c>
      <c r="B2107" s="2" t="str">
        <f>IFERROR(__xludf.DUMMYFUNCTION("""COMPUTED_VALUE"""),"Mangaļi")</f>
        <v>Mangaļi</v>
      </c>
      <c r="C2107" s="2" t="str">
        <f>IFERROR(__xludf.DUMMYFUNCTION("""COMPUTED_VALUE"""),"Lēdurgas 10")</f>
        <v>Lēdurgas 10</v>
      </c>
      <c r="D2107" s="2">
        <f>IFERROR(__xludf.DUMMYFUNCTION("""COMPUTED_VALUE"""),1.0)</f>
        <v>1</v>
      </c>
      <c r="E2107" s="2">
        <f>IFERROR(__xludf.DUMMYFUNCTION("""COMPUTED_VALUE"""),23.0)</f>
        <v>23</v>
      </c>
      <c r="F2107" s="2">
        <f>IFERROR(__xludf.DUMMYFUNCTION("""COMPUTED_VALUE"""),2.0)</f>
        <v>2</v>
      </c>
      <c r="G2107" s="2">
        <f>IFERROR(__xludf.DUMMYFUNCTION("""COMPUTED_VALUE"""),2.0)</f>
        <v>2</v>
      </c>
      <c r="H2107" s="2" t="str">
        <f>IFERROR(__xludf.DUMMYFUNCTION("""COMPUTED_VALUE"""),"P. kara")</f>
        <v>P. kara</v>
      </c>
      <c r="I2107" s="2" t="str">
        <f>IFERROR(__xludf.DUMMYFUNCTION("""COMPUTED_VALUE"""),"Wood")</f>
        <v>Wood</v>
      </c>
      <c r="J2107" s="2" t="str">
        <f>IFERROR(__xludf.DUMMYFUNCTION("""COMPUTED_VALUE"""),"All amenities")</f>
        <v>All amenities</v>
      </c>
      <c r="K2107" s="2">
        <f>IFERROR(__xludf.DUMMYFUNCTION("""COMPUTED_VALUE"""),13700.0)</f>
        <v>13700</v>
      </c>
      <c r="L2107" s="2">
        <f>IFERROR(__xludf.DUMMYFUNCTION("""COMPUTED_VALUE"""),57.0200065)</f>
        <v>57.0200065</v>
      </c>
      <c r="M2107" s="2">
        <f>IFERROR(__xludf.DUMMYFUNCTION("""COMPUTED_VALUE"""),24.1270705644171)</f>
        <v>24.12707056</v>
      </c>
    </row>
    <row r="2108">
      <c r="A2108" s="2" t="str">
        <f>IFERROR(__xludf.DUMMYFUNCTION("""COMPUTED_VALUE"""),"For sale")</f>
        <v>For sale</v>
      </c>
      <c r="B2108" s="2" t="str">
        <f>IFERROR(__xludf.DUMMYFUNCTION("""COMPUTED_VALUE"""),"Dārzciems")</f>
        <v>Dārzciems</v>
      </c>
      <c r="C2108" s="2" t="str">
        <f>IFERROR(__xludf.DUMMYFUNCTION("""COMPUTED_VALUE"""),"Zeltiņu 11")</f>
        <v>Zeltiņu 11</v>
      </c>
      <c r="D2108" s="2">
        <f>IFERROR(__xludf.DUMMYFUNCTION("""COMPUTED_VALUE"""),2.0)</f>
        <v>2</v>
      </c>
      <c r="E2108" s="2">
        <f>IFERROR(__xludf.DUMMYFUNCTION("""COMPUTED_VALUE"""),46.0)</f>
        <v>46</v>
      </c>
      <c r="F2108" s="2">
        <f>IFERROR(__xludf.DUMMYFUNCTION("""COMPUTED_VALUE"""),3.0)</f>
        <v>3</v>
      </c>
      <c r="G2108" s="2">
        <f>IFERROR(__xludf.DUMMYFUNCTION("""COMPUTED_VALUE"""),5.0)</f>
        <v>5</v>
      </c>
      <c r="H2108" s="2">
        <f>IFERROR(__xludf.DUMMYFUNCTION("""COMPUTED_VALUE"""),103.0)</f>
        <v>103</v>
      </c>
      <c r="I2108" s="2" t="str">
        <f>IFERROR(__xludf.DUMMYFUNCTION("""COMPUTED_VALUE"""),"Brick-Panel")</f>
        <v>Brick-Panel</v>
      </c>
      <c r="J2108" s="2" t="str">
        <f>IFERROR(__xludf.DUMMYFUNCTION("""COMPUTED_VALUE"""),"All amenities")</f>
        <v>All amenities</v>
      </c>
      <c r="K2108" s="2">
        <f>IFERROR(__xludf.DUMMYFUNCTION("""COMPUTED_VALUE"""),45700.0)</f>
        <v>45700</v>
      </c>
      <c r="L2108" s="2">
        <f>IFERROR(__xludf.DUMMYFUNCTION("""COMPUTED_VALUE"""),56.9482182)</f>
        <v>56.9482182</v>
      </c>
      <c r="M2108" s="2">
        <f>IFERROR(__xludf.DUMMYFUNCTION("""COMPUTED_VALUE"""),24.1684585966139)</f>
        <v>24.1684586</v>
      </c>
    </row>
    <row r="2109">
      <c r="A2109" s="2" t="str">
        <f>IFERROR(__xludf.DUMMYFUNCTION("""COMPUTED_VALUE"""),"For sale")</f>
        <v>For sale</v>
      </c>
      <c r="B2109" s="2" t="str">
        <f>IFERROR(__xludf.DUMMYFUNCTION("""COMPUTED_VALUE"""),"Iļģuciems")</f>
        <v>Iļģuciems</v>
      </c>
      <c r="C2109" s="2" t="str">
        <f>IFERROR(__xludf.DUMMYFUNCTION("""COMPUTED_VALUE"""),"Lidoņu 16")</f>
        <v>Lidoņu 16</v>
      </c>
      <c r="D2109" s="2">
        <f>IFERROR(__xludf.DUMMYFUNCTION("""COMPUTED_VALUE"""),2.0)</f>
        <v>2</v>
      </c>
      <c r="E2109" s="2">
        <f>IFERROR(__xludf.DUMMYFUNCTION("""COMPUTED_VALUE"""),43.0)</f>
        <v>43</v>
      </c>
      <c r="F2109" s="2">
        <f>IFERROR(__xludf.DUMMYFUNCTION("""COMPUTED_VALUE"""),1.0)</f>
        <v>1</v>
      </c>
      <c r="G2109" s="2">
        <f>IFERROR(__xludf.DUMMYFUNCTION("""COMPUTED_VALUE"""),2.0)</f>
        <v>2</v>
      </c>
      <c r="H2109" s="2" t="str">
        <f>IFERROR(__xludf.DUMMYFUNCTION("""COMPUTED_VALUE"""),"Staļina")</f>
        <v>Staļina</v>
      </c>
      <c r="I2109" s="2" t="str">
        <f>IFERROR(__xludf.DUMMYFUNCTION("""COMPUTED_VALUE"""),"Masonry")</f>
        <v>Masonry</v>
      </c>
      <c r="J2109" s="2" t="str">
        <f>IFERROR(__xludf.DUMMYFUNCTION("""COMPUTED_VALUE"""),"All amenities")</f>
        <v>All amenities</v>
      </c>
      <c r="K2109" s="2">
        <f>IFERROR(__xludf.DUMMYFUNCTION("""COMPUTED_VALUE"""),44200.0)</f>
        <v>44200</v>
      </c>
      <c r="L2109" s="2">
        <f>IFERROR(__xludf.DUMMYFUNCTION("""COMPUTED_VALUE"""),56.97098035)</f>
        <v>56.97098035</v>
      </c>
      <c r="M2109" s="2">
        <f>IFERROR(__xludf.DUMMYFUNCTION("""COMPUTED_VALUE"""),24.0600793116165)</f>
        <v>24.06007931</v>
      </c>
    </row>
    <row r="2110">
      <c r="A2110" s="2" t="str">
        <f>IFERROR(__xludf.DUMMYFUNCTION("""COMPUTED_VALUE"""),"For rent")</f>
        <v>For rent</v>
      </c>
      <c r="B2110" s="2" t="str">
        <f>IFERROR(__xludf.DUMMYFUNCTION("""COMPUTED_VALUE"""),"centrs")</f>
        <v>centrs</v>
      </c>
      <c r="C2110" s="2" t="str">
        <f>IFERROR(__xludf.DUMMYFUNCTION("""COMPUTED_VALUE"""),"Zvaigžņu 24")</f>
        <v>Zvaigžņu 24</v>
      </c>
      <c r="D2110" s="2">
        <f>IFERROR(__xludf.DUMMYFUNCTION("""COMPUTED_VALUE"""),1.0)</f>
        <v>1</v>
      </c>
      <c r="E2110" s="2">
        <f>IFERROR(__xludf.DUMMYFUNCTION("""COMPUTED_VALUE"""),20.0)</f>
        <v>20</v>
      </c>
      <c r="F2110" s="2">
        <f>IFERROR(__xludf.DUMMYFUNCTION("""COMPUTED_VALUE"""),2.0)</f>
        <v>2</v>
      </c>
      <c r="G2110" s="2">
        <f>IFERROR(__xludf.DUMMYFUNCTION("""COMPUTED_VALUE"""),6.0)</f>
        <v>6</v>
      </c>
      <c r="H2110" s="2" t="str">
        <f>IFERROR(__xludf.DUMMYFUNCTION("""COMPUTED_VALUE"""),"Renov.")</f>
        <v>Renov.</v>
      </c>
      <c r="I2110" s="2" t="str">
        <f>IFERROR(__xludf.DUMMYFUNCTION("""COMPUTED_VALUE"""),"Masonry")</f>
        <v>Masonry</v>
      </c>
      <c r="J2110" s="2" t="str">
        <f>IFERROR(__xludf.DUMMYFUNCTION("""COMPUTED_VALUE"""),"All amenities")</f>
        <v>All amenities</v>
      </c>
      <c r="K2110" s="2">
        <f>IFERROR(__xludf.DUMMYFUNCTION("""COMPUTED_VALUE"""),25.0)</f>
        <v>25</v>
      </c>
      <c r="L2110" s="2">
        <f>IFERROR(__xludf.DUMMYFUNCTION("""COMPUTED_VALUE"""),56.9607411)</f>
        <v>56.9607411</v>
      </c>
      <c r="M2110" s="2">
        <f>IFERROR(__xludf.DUMMYFUNCTION("""COMPUTED_VALUE"""),24.1497716)</f>
        <v>24.1497716</v>
      </c>
    </row>
    <row r="2111">
      <c r="A2111" s="2" t="str">
        <f>IFERROR(__xludf.DUMMYFUNCTION("""COMPUTED_VALUE"""),"For rent")</f>
        <v>For rent</v>
      </c>
      <c r="B2111" s="2" t="str">
        <f>IFERROR(__xludf.DUMMYFUNCTION("""COMPUTED_VALUE"""),"Ziepniekkalns")</f>
        <v>Ziepniekkalns</v>
      </c>
      <c r="C2111" s="2" t="str">
        <f>IFERROR(__xludf.DUMMYFUNCTION("""COMPUTED_VALUE"""),"Ozolciema 16")</f>
        <v>Ozolciema 16</v>
      </c>
      <c r="D2111" s="2">
        <f>IFERROR(__xludf.DUMMYFUNCTION("""COMPUTED_VALUE"""),1.0)</f>
        <v>1</v>
      </c>
      <c r="E2111" s="2">
        <f>IFERROR(__xludf.DUMMYFUNCTION("""COMPUTED_VALUE"""),40.0)</f>
        <v>40</v>
      </c>
      <c r="F2111" s="2">
        <f>IFERROR(__xludf.DUMMYFUNCTION("""COMPUTED_VALUE"""),1.0)</f>
        <v>1</v>
      </c>
      <c r="G2111" s="2">
        <f>IFERROR(__xludf.DUMMYFUNCTION("""COMPUTED_VALUE"""),7.0)</f>
        <v>7</v>
      </c>
      <c r="H2111" s="2">
        <f>IFERROR(__xludf.DUMMYFUNCTION("""COMPUTED_VALUE"""),119.0)</f>
        <v>119</v>
      </c>
      <c r="I2111" s="2" t="str">
        <f>IFERROR(__xludf.DUMMYFUNCTION("""COMPUTED_VALUE"""),"Panel")</f>
        <v>Panel</v>
      </c>
      <c r="J2111" s="2" t="str">
        <f>IFERROR(__xludf.DUMMYFUNCTION("""COMPUTED_VALUE"""),"All amenities")</f>
        <v>All amenities</v>
      </c>
      <c r="K2111" s="2">
        <f>IFERROR(__xludf.DUMMYFUNCTION("""COMPUTED_VALUE"""),250.0)</f>
        <v>250</v>
      </c>
      <c r="L2111" s="2">
        <f>IFERROR(__xludf.DUMMYFUNCTION("""COMPUTED_VALUE"""),56.9008065999999)</f>
        <v>56.9008066</v>
      </c>
      <c r="M2111" s="2">
        <f>IFERROR(__xludf.DUMMYFUNCTION("""COMPUTED_VALUE"""),24.0862561999999)</f>
        <v>24.0862562</v>
      </c>
    </row>
    <row r="2112">
      <c r="A2112" s="2" t="str">
        <f>IFERROR(__xludf.DUMMYFUNCTION("""COMPUTED_VALUE"""),"For rent")</f>
        <v>For rent</v>
      </c>
      <c r="B2112" s="2" t="str">
        <f>IFERROR(__xludf.DUMMYFUNCTION("""COMPUTED_VALUE"""),"centrs")</f>
        <v>centrs</v>
      </c>
      <c r="C2112" s="2" t="str">
        <f>IFERROR(__xludf.DUMMYFUNCTION("""COMPUTED_VALUE"""),"Pulkv. Brieža 13")</f>
        <v>Pulkv. Brieža 13</v>
      </c>
      <c r="D2112" s="2">
        <f>IFERROR(__xludf.DUMMYFUNCTION("""COMPUTED_VALUE"""),3.0)</f>
        <v>3</v>
      </c>
      <c r="E2112" s="2">
        <f>IFERROR(__xludf.DUMMYFUNCTION("""COMPUTED_VALUE"""),75.0)</f>
        <v>75</v>
      </c>
      <c r="F2112" s="2">
        <f>IFERROR(__xludf.DUMMYFUNCTION("""COMPUTED_VALUE"""),4.0)</f>
        <v>4</v>
      </c>
      <c r="G2112" s="2">
        <f>IFERROR(__xludf.DUMMYFUNCTION("""COMPUTED_VALUE"""),5.0)</f>
        <v>5</v>
      </c>
      <c r="H2112" s="2" t="str">
        <f>IFERROR(__xludf.DUMMYFUNCTION("""COMPUTED_VALUE"""),"Renov.")</f>
        <v>Renov.</v>
      </c>
      <c r="I2112" s="2" t="str">
        <f>IFERROR(__xludf.DUMMYFUNCTION("""COMPUTED_VALUE"""),"Masonry")</f>
        <v>Masonry</v>
      </c>
      <c r="J2112" s="2" t="str">
        <f>IFERROR(__xludf.DUMMYFUNCTION("""COMPUTED_VALUE"""),"All amenities")</f>
        <v>All amenities</v>
      </c>
      <c r="K2112" s="2">
        <f>IFERROR(__xludf.DUMMYFUNCTION("""COMPUTED_VALUE"""),55.0)</f>
        <v>55</v>
      </c>
      <c r="L2112" s="2" t="str">
        <f>IFERROR(__xludf.DUMMYFUNCTION("""COMPUTED_VALUE"""),"NaN")</f>
        <v>NaN</v>
      </c>
      <c r="M2112" s="2" t="str">
        <f>IFERROR(__xludf.DUMMYFUNCTION("""COMPUTED_VALUE"""),"NaN")</f>
        <v>NaN</v>
      </c>
    </row>
    <row r="2113">
      <c r="A2113" s="2" t="str">
        <f>IFERROR(__xludf.DUMMYFUNCTION("""COMPUTED_VALUE"""),"For rent")</f>
        <v>For rent</v>
      </c>
      <c r="B2113" s="2" t="str">
        <f>IFERROR(__xludf.DUMMYFUNCTION("""COMPUTED_VALUE"""),"Teika")</f>
        <v>Teika</v>
      </c>
      <c r="C2113" s="2" t="str">
        <f>IFERROR(__xludf.DUMMYFUNCTION("""COMPUTED_VALUE"""),"Vairoga 32")</f>
        <v>Vairoga 32</v>
      </c>
      <c r="D2113" s="2">
        <f>IFERROR(__xludf.DUMMYFUNCTION("""COMPUTED_VALUE"""),3.0)</f>
        <v>3</v>
      </c>
      <c r="E2113" s="2">
        <f>IFERROR(__xludf.DUMMYFUNCTION("""COMPUTED_VALUE"""),47.0)</f>
        <v>47</v>
      </c>
      <c r="F2113" s="2">
        <f>IFERROR(__xludf.DUMMYFUNCTION("""COMPUTED_VALUE"""),3.0)</f>
        <v>3</v>
      </c>
      <c r="G2113" s="2">
        <f>IFERROR(__xludf.DUMMYFUNCTION("""COMPUTED_VALUE"""),3.0)</f>
        <v>3</v>
      </c>
      <c r="H2113" s="2" t="str">
        <f>IFERROR(__xludf.DUMMYFUNCTION("""COMPUTED_VALUE"""),"Jaun.")</f>
        <v>Jaun.</v>
      </c>
      <c r="I2113" s="2" t="str">
        <f>IFERROR(__xludf.DUMMYFUNCTION("""COMPUTED_VALUE"""),"Masonry")</f>
        <v>Masonry</v>
      </c>
      <c r="J2113" s="2" t="str">
        <f>IFERROR(__xludf.DUMMYFUNCTION("""COMPUTED_VALUE"""),"All amenities")</f>
        <v>All amenities</v>
      </c>
      <c r="K2113" s="2">
        <f>IFERROR(__xludf.DUMMYFUNCTION("""COMPUTED_VALUE"""),540.0)</f>
        <v>540</v>
      </c>
      <c r="L2113" s="2">
        <f>IFERROR(__xludf.DUMMYFUNCTION("""COMPUTED_VALUE"""),56.9690716)</f>
        <v>56.9690716</v>
      </c>
      <c r="M2113" s="2">
        <f>IFERROR(__xludf.DUMMYFUNCTION("""COMPUTED_VALUE"""),24.1716498860135)</f>
        <v>24.17164989</v>
      </c>
    </row>
    <row r="2114">
      <c r="A2114" s="2" t="str">
        <f>IFERROR(__xludf.DUMMYFUNCTION("""COMPUTED_VALUE"""),"For sale")</f>
        <v>For sale</v>
      </c>
      <c r="B2114" s="2" t="str">
        <f>IFERROR(__xludf.DUMMYFUNCTION("""COMPUTED_VALUE"""),"Sarkandaugava")</f>
        <v>Sarkandaugava</v>
      </c>
      <c r="C2114" s="2" t="str">
        <f>IFERROR(__xludf.DUMMYFUNCTION("""COMPUTED_VALUE"""),"Ozolu 5")</f>
        <v>Ozolu 5</v>
      </c>
      <c r="D2114" s="2">
        <f>IFERROR(__xludf.DUMMYFUNCTION("""COMPUTED_VALUE"""),1.0)</f>
        <v>1</v>
      </c>
      <c r="E2114" s="2">
        <f>IFERROR(__xludf.DUMMYFUNCTION("""COMPUTED_VALUE"""),38.0)</f>
        <v>38</v>
      </c>
      <c r="F2114" s="2">
        <f>IFERROR(__xludf.DUMMYFUNCTION("""COMPUTED_VALUE"""),5.0)</f>
        <v>5</v>
      </c>
      <c r="G2114" s="2">
        <f>IFERROR(__xludf.DUMMYFUNCTION("""COMPUTED_VALUE"""),5.0)</f>
        <v>5</v>
      </c>
      <c r="H2114" s="2" t="str">
        <f>IFERROR(__xludf.DUMMYFUNCTION("""COMPUTED_VALUE"""),"Specpr.")</f>
        <v>Specpr.</v>
      </c>
      <c r="I2114" s="2" t="str">
        <f>IFERROR(__xludf.DUMMYFUNCTION("""COMPUTED_VALUE"""),"Brick")</f>
        <v>Brick</v>
      </c>
      <c r="J2114" s="2" t="str">
        <f>IFERROR(__xludf.DUMMYFUNCTION("""COMPUTED_VALUE"""),"All amenities")</f>
        <v>All amenities</v>
      </c>
      <c r="K2114" s="2">
        <f>IFERROR(__xludf.DUMMYFUNCTION("""COMPUTED_VALUE"""),28880.0)</f>
        <v>28880</v>
      </c>
      <c r="L2114" s="2">
        <f>IFERROR(__xludf.DUMMYFUNCTION("""COMPUTED_VALUE"""),56.9866895)</f>
        <v>56.9866895</v>
      </c>
      <c r="M2114" s="2">
        <f>IFERROR(__xludf.DUMMYFUNCTION("""COMPUTED_VALUE"""),24.1363664300068)</f>
        <v>24.13636643</v>
      </c>
    </row>
    <row r="2115">
      <c r="A2115" s="2" t="str">
        <f>IFERROR(__xludf.DUMMYFUNCTION("""COMPUTED_VALUE"""),"For sale")</f>
        <v>For sale</v>
      </c>
      <c r="B2115" s="2" t="str">
        <f>IFERROR(__xludf.DUMMYFUNCTION("""COMPUTED_VALUE"""),"Mežciems")</f>
        <v>Mežciems</v>
      </c>
      <c r="C2115" s="2" t="str">
        <f>IFERROR(__xludf.DUMMYFUNCTION("""COMPUTED_VALUE"""),"Druvienas 32")</f>
        <v>Druvienas 32</v>
      </c>
      <c r="D2115" s="2">
        <f>IFERROR(__xludf.DUMMYFUNCTION("""COMPUTED_VALUE"""),2.0)</f>
        <v>2</v>
      </c>
      <c r="E2115" s="2">
        <f>IFERROR(__xludf.DUMMYFUNCTION("""COMPUTED_VALUE"""),49.0)</f>
        <v>49</v>
      </c>
      <c r="F2115" s="2">
        <f>IFERROR(__xludf.DUMMYFUNCTION("""COMPUTED_VALUE"""),5.0)</f>
        <v>5</v>
      </c>
      <c r="G2115" s="2">
        <f>IFERROR(__xludf.DUMMYFUNCTION("""COMPUTED_VALUE"""),5.0)</f>
        <v>5</v>
      </c>
      <c r="H2115" s="2" t="str">
        <f>IFERROR(__xludf.DUMMYFUNCTION("""COMPUTED_VALUE"""),"LT proj.")</f>
        <v>LT proj.</v>
      </c>
      <c r="I2115" s="2" t="str">
        <f>IFERROR(__xludf.DUMMYFUNCTION("""COMPUTED_VALUE"""),"Panel")</f>
        <v>Panel</v>
      </c>
      <c r="J2115" s="2" t="str">
        <f>IFERROR(__xludf.DUMMYFUNCTION("""COMPUTED_VALUE"""),"All amenities")</f>
        <v>All amenities</v>
      </c>
      <c r="K2115" s="2">
        <f>IFERROR(__xludf.DUMMYFUNCTION("""COMPUTED_VALUE"""),44500.0)</f>
        <v>44500</v>
      </c>
      <c r="L2115" s="2">
        <f>IFERROR(__xludf.DUMMYFUNCTION("""COMPUTED_VALUE"""),56.97034375)</f>
        <v>56.97034375</v>
      </c>
      <c r="M2115" s="2">
        <f>IFERROR(__xludf.DUMMYFUNCTION("""COMPUTED_VALUE"""),24.2314833849367)</f>
        <v>24.23148338</v>
      </c>
    </row>
    <row r="2116">
      <c r="A2116" s="2" t="str">
        <f>IFERROR(__xludf.DUMMYFUNCTION("""COMPUTED_VALUE"""),"For sale")</f>
        <v>For sale</v>
      </c>
      <c r="B2116" s="2" t="str">
        <f>IFERROR(__xludf.DUMMYFUNCTION("""COMPUTED_VALUE"""),"Ķengarags")</f>
        <v>Ķengarags</v>
      </c>
      <c r="C2116" s="2" t="str">
        <f>IFERROR(__xludf.DUMMYFUNCTION("""COMPUTED_VALUE"""),"Salaspils 12")</f>
        <v>Salaspils 12</v>
      </c>
      <c r="D2116" s="2">
        <f>IFERROR(__xludf.DUMMYFUNCTION("""COMPUTED_VALUE"""),3.0)</f>
        <v>3</v>
      </c>
      <c r="E2116" s="2">
        <f>IFERROR(__xludf.DUMMYFUNCTION("""COMPUTED_VALUE"""),61.0)</f>
        <v>61</v>
      </c>
      <c r="F2116" s="2">
        <f>IFERROR(__xludf.DUMMYFUNCTION("""COMPUTED_VALUE"""),3.0)</f>
        <v>3</v>
      </c>
      <c r="G2116" s="2">
        <f>IFERROR(__xludf.DUMMYFUNCTION("""COMPUTED_VALUE"""),5.0)</f>
        <v>5</v>
      </c>
      <c r="H2116" s="2" t="str">
        <f>IFERROR(__xludf.DUMMYFUNCTION("""COMPUTED_VALUE"""),"LT proj.")</f>
        <v>LT proj.</v>
      </c>
      <c r="I2116" s="2" t="str">
        <f>IFERROR(__xludf.DUMMYFUNCTION("""COMPUTED_VALUE"""),"Panel")</f>
        <v>Panel</v>
      </c>
      <c r="J2116" s="2" t="str">
        <f>IFERROR(__xludf.DUMMYFUNCTION("""COMPUTED_VALUE"""),"All amenities")</f>
        <v>All amenities</v>
      </c>
      <c r="K2116" s="2">
        <f>IFERROR(__xludf.DUMMYFUNCTION("""COMPUTED_VALUE"""),46900.0)</f>
        <v>46900</v>
      </c>
      <c r="L2116" s="2">
        <f>IFERROR(__xludf.DUMMYFUNCTION("""COMPUTED_VALUE"""),56.8597884)</f>
        <v>56.8597884</v>
      </c>
      <c r="M2116" s="2">
        <f>IFERROR(__xludf.DUMMYFUNCTION("""COMPUTED_VALUE"""),24.3083417)</f>
        <v>24.3083417</v>
      </c>
    </row>
    <row r="2117">
      <c r="A2117" s="2" t="str">
        <f>IFERROR(__xludf.DUMMYFUNCTION("""COMPUTED_VALUE"""),"For sale")</f>
        <v>For sale</v>
      </c>
      <c r="B2117" s="2" t="str">
        <f>IFERROR(__xludf.DUMMYFUNCTION("""COMPUTED_VALUE"""),"Purvciems")</f>
        <v>Purvciems</v>
      </c>
      <c r="C2117" s="2" t="str">
        <f>IFERROR(__xludf.DUMMYFUNCTION("""COMPUTED_VALUE"""),"Dzelzavas 13")</f>
        <v>Dzelzavas 13</v>
      </c>
      <c r="D2117" s="2">
        <f>IFERROR(__xludf.DUMMYFUNCTION("""COMPUTED_VALUE"""),2.0)</f>
        <v>2</v>
      </c>
      <c r="E2117" s="2">
        <f>IFERROR(__xludf.DUMMYFUNCTION("""COMPUTED_VALUE"""),44.0)</f>
        <v>44</v>
      </c>
      <c r="F2117" s="2">
        <f>IFERROR(__xludf.DUMMYFUNCTION("""COMPUTED_VALUE"""),4.0)</f>
        <v>4</v>
      </c>
      <c r="G2117" s="2">
        <f>IFERROR(__xludf.DUMMYFUNCTION("""COMPUTED_VALUE"""),5.0)</f>
        <v>5</v>
      </c>
      <c r="H2117" s="2" t="str">
        <f>IFERROR(__xludf.DUMMYFUNCTION("""COMPUTED_VALUE"""),"Hrušč.")</f>
        <v>Hrušč.</v>
      </c>
      <c r="I2117" s="2" t="str">
        <f>IFERROR(__xludf.DUMMYFUNCTION("""COMPUTED_VALUE"""),"Brick")</f>
        <v>Brick</v>
      </c>
      <c r="J2117" s="2" t="str">
        <f>IFERROR(__xludf.DUMMYFUNCTION("""COMPUTED_VALUE"""),"All amenities")</f>
        <v>All amenities</v>
      </c>
      <c r="K2117" s="2">
        <f>IFERROR(__xludf.DUMMYFUNCTION("""COMPUTED_VALUE"""),39000.0)</f>
        <v>39000</v>
      </c>
      <c r="L2117" s="2">
        <f>IFERROR(__xludf.DUMMYFUNCTION("""COMPUTED_VALUE"""),56.9636785)</f>
        <v>56.9636785</v>
      </c>
      <c r="M2117" s="2">
        <f>IFERROR(__xludf.DUMMYFUNCTION("""COMPUTED_VALUE"""),24.1706167383245)</f>
        <v>24.17061674</v>
      </c>
    </row>
    <row r="2118">
      <c r="A2118" s="2" t="str">
        <f>IFERROR(__xludf.DUMMYFUNCTION("""COMPUTED_VALUE"""),"For rent")</f>
        <v>For rent</v>
      </c>
      <c r="B2118" s="2" t="str">
        <f>IFERROR(__xludf.DUMMYFUNCTION("""COMPUTED_VALUE"""),"Torņakalns")</f>
        <v>Torņakalns</v>
      </c>
      <c r="C2118" s="2" t="str">
        <f>IFERROR(__xludf.DUMMYFUNCTION("""COMPUTED_VALUE"""),"Vienības g. 42")</f>
        <v>Vienības g. 42</v>
      </c>
      <c r="D2118" s="2">
        <f>IFERROR(__xludf.DUMMYFUNCTION("""COMPUTED_VALUE"""),1.0)</f>
        <v>1</v>
      </c>
      <c r="E2118" s="2">
        <f>IFERROR(__xludf.DUMMYFUNCTION("""COMPUTED_VALUE"""),22.0)</f>
        <v>22</v>
      </c>
      <c r="F2118" s="2">
        <f>IFERROR(__xludf.DUMMYFUNCTION("""COMPUTED_VALUE"""),1.0)</f>
        <v>1</v>
      </c>
      <c r="G2118" s="2">
        <f>IFERROR(__xludf.DUMMYFUNCTION("""COMPUTED_VALUE"""),5.0)</f>
        <v>5</v>
      </c>
      <c r="H2118" s="2" t="str">
        <f>IFERROR(__xludf.DUMMYFUNCTION("""COMPUTED_VALUE"""),"Staļina")</f>
        <v>Staļina</v>
      </c>
      <c r="I2118" s="2" t="str">
        <f>IFERROR(__xludf.DUMMYFUNCTION("""COMPUTED_VALUE"""),"Masonry")</f>
        <v>Masonry</v>
      </c>
      <c r="J2118" s="2" t="str">
        <f>IFERROR(__xludf.DUMMYFUNCTION("""COMPUTED_VALUE"""),"All amenities")</f>
        <v>All amenities</v>
      </c>
      <c r="K2118" s="2">
        <f>IFERROR(__xludf.DUMMYFUNCTION("""COMPUTED_VALUE"""),250.0)</f>
        <v>250</v>
      </c>
      <c r="L2118" s="2">
        <f>IFERROR(__xludf.DUMMYFUNCTION("""COMPUTED_VALUE"""),56.9325267)</f>
        <v>56.9325267</v>
      </c>
      <c r="M2118" s="2">
        <f>IFERROR(__xludf.DUMMYFUNCTION("""COMPUTED_VALUE"""),24.0934535)</f>
        <v>24.0934535</v>
      </c>
    </row>
    <row r="2119">
      <c r="A2119" s="2" t="str">
        <f>IFERROR(__xludf.DUMMYFUNCTION("""COMPUTED_VALUE"""),"For rent")</f>
        <v>For rent</v>
      </c>
      <c r="B2119" s="2" t="str">
        <f>IFERROR(__xludf.DUMMYFUNCTION("""COMPUTED_VALUE"""),"Mežciems")</f>
        <v>Mežciems</v>
      </c>
      <c r="C2119" s="2" t="str">
        <f>IFERROR(__xludf.DUMMYFUNCTION("""COMPUTED_VALUE"""),"Kaivas 33/2")</f>
        <v>Kaivas 33/2</v>
      </c>
      <c r="D2119" s="2">
        <f>IFERROR(__xludf.DUMMYFUNCTION("""COMPUTED_VALUE"""),2.0)</f>
        <v>2</v>
      </c>
      <c r="E2119" s="2">
        <f>IFERROR(__xludf.DUMMYFUNCTION("""COMPUTED_VALUE"""),58.0)</f>
        <v>58</v>
      </c>
      <c r="F2119" s="2">
        <f>IFERROR(__xludf.DUMMYFUNCTION("""COMPUTED_VALUE"""),4.0)</f>
        <v>4</v>
      </c>
      <c r="G2119" s="2">
        <f>IFERROR(__xludf.DUMMYFUNCTION("""COMPUTED_VALUE"""),4.0)</f>
        <v>4</v>
      </c>
      <c r="H2119" s="2" t="str">
        <f>IFERROR(__xludf.DUMMYFUNCTION("""COMPUTED_VALUE"""),"Jaun.")</f>
        <v>Jaun.</v>
      </c>
      <c r="I2119" s="2" t="str">
        <f>IFERROR(__xludf.DUMMYFUNCTION("""COMPUTED_VALUE"""),"Brick-Panel")</f>
        <v>Brick-Panel</v>
      </c>
      <c r="J2119" s="2" t="str">
        <f>IFERROR(__xludf.DUMMYFUNCTION("""COMPUTED_VALUE"""),"All amenities")</f>
        <v>All amenities</v>
      </c>
      <c r="K2119" s="2">
        <f>IFERROR(__xludf.DUMMYFUNCTION("""COMPUTED_VALUE"""),450.0)</f>
        <v>450</v>
      </c>
      <c r="L2119" s="2">
        <f>IFERROR(__xludf.DUMMYFUNCTION("""COMPUTED_VALUE"""),56.9541725)</f>
        <v>56.9541725</v>
      </c>
      <c r="M2119" s="2">
        <f>IFERROR(__xludf.DUMMYFUNCTION("""COMPUTED_VALUE"""),24.2443253)</f>
        <v>24.2443253</v>
      </c>
    </row>
    <row r="2120">
      <c r="A2120" s="2" t="str">
        <f>IFERROR(__xludf.DUMMYFUNCTION("""COMPUTED_VALUE"""),"For sale")</f>
        <v>For sale</v>
      </c>
      <c r="B2120" s="2" t="str">
        <f>IFERROR(__xludf.DUMMYFUNCTION("""COMPUTED_VALUE"""),"Berģi")</f>
        <v>Berģi</v>
      </c>
      <c r="C2120" s="2" t="str">
        <f>IFERROR(__xludf.DUMMYFUNCTION("""COMPUTED_VALUE"""),"Berģu 9")</f>
        <v>Berģu 9</v>
      </c>
      <c r="D2120" s="2">
        <f>IFERROR(__xludf.DUMMYFUNCTION("""COMPUTED_VALUE"""),4.0)</f>
        <v>4</v>
      </c>
      <c r="E2120" s="2">
        <f>IFERROR(__xludf.DUMMYFUNCTION("""COMPUTED_VALUE"""),72.0)</f>
        <v>72</v>
      </c>
      <c r="F2120" s="2">
        <f>IFERROR(__xludf.DUMMYFUNCTION("""COMPUTED_VALUE"""),3.0)</f>
        <v>3</v>
      </c>
      <c r="G2120" s="2">
        <f>IFERROR(__xludf.DUMMYFUNCTION("""COMPUTED_VALUE"""),4.0)</f>
        <v>4</v>
      </c>
      <c r="H2120" s="2" t="str">
        <f>IFERROR(__xludf.DUMMYFUNCTION("""COMPUTED_VALUE"""),"Hrušč.")</f>
        <v>Hrušč.</v>
      </c>
      <c r="I2120" s="2" t="str">
        <f>IFERROR(__xludf.DUMMYFUNCTION("""COMPUTED_VALUE"""),"Brick")</f>
        <v>Brick</v>
      </c>
      <c r="J2120" s="2" t="str">
        <f>IFERROR(__xludf.DUMMYFUNCTION("""COMPUTED_VALUE"""),"All amenities")</f>
        <v>All amenities</v>
      </c>
      <c r="K2120" s="2">
        <f>IFERROR(__xludf.DUMMYFUNCTION("""COMPUTED_VALUE"""),75000.0)</f>
        <v>75000</v>
      </c>
      <c r="L2120" s="2">
        <f>IFERROR(__xludf.DUMMYFUNCTION("""COMPUTED_VALUE"""),56.99786715)</f>
        <v>56.99786715</v>
      </c>
      <c r="M2120" s="2">
        <f>IFERROR(__xludf.DUMMYFUNCTION("""COMPUTED_VALUE"""),24.2773415269943)</f>
        <v>24.27734153</v>
      </c>
    </row>
    <row r="2121">
      <c r="A2121" s="2" t="str">
        <f>IFERROR(__xludf.DUMMYFUNCTION("""COMPUTED_VALUE"""),"For rent")</f>
        <v>For rent</v>
      </c>
      <c r="B2121" s="2" t="str">
        <f>IFERROR(__xludf.DUMMYFUNCTION("""COMPUTED_VALUE"""),"Vecrīga")</f>
        <v>Vecrīga</v>
      </c>
      <c r="C2121" s="2" t="str">
        <f>IFERROR(__xludf.DUMMYFUNCTION("""COMPUTED_VALUE"""),"Jēkaba 26/28")</f>
        <v>Jēkaba 26/28</v>
      </c>
      <c r="D2121" s="2">
        <f>IFERROR(__xludf.DUMMYFUNCTION("""COMPUTED_VALUE"""),5.0)</f>
        <v>5</v>
      </c>
      <c r="E2121" s="2">
        <f>IFERROR(__xludf.DUMMYFUNCTION("""COMPUTED_VALUE"""),130.0)</f>
        <v>130</v>
      </c>
      <c r="F2121" s="2">
        <f>IFERROR(__xludf.DUMMYFUNCTION("""COMPUTED_VALUE"""),4.0)</f>
        <v>4</v>
      </c>
      <c r="G2121" s="2">
        <f>IFERROR(__xludf.DUMMYFUNCTION("""COMPUTED_VALUE"""),5.0)</f>
        <v>5</v>
      </c>
      <c r="H2121" s="2" t="str">
        <f>IFERROR(__xludf.DUMMYFUNCTION("""COMPUTED_VALUE"""),"Renov.")</f>
        <v>Renov.</v>
      </c>
      <c r="I2121" s="2" t="str">
        <f>IFERROR(__xludf.DUMMYFUNCTION("""COMPUTED_VALUE"""),"Masonry")</f>
        <v>Masonry</v>
      </c>
      <c r="J2121" s="2" t="str">
        <f>IFERROR(__xludf.DUMMYFUNCTION("""COMPUTED_VALUE"""),"All amenities")</f>
        <v>All amenities</v>
      </c>
      <c r="K2121" s="2">
        <f>IFERROR(__xludf.DUMMYFUNCTION("""COMPUTED_VALUE"""),990.0)</f>
        <v>990</v>
      </c>
      <c r="L2121" s="2">
        <f>IFERROR(__xludf.DUMMYFUNCTION("""COMPUTED_VALUE"""),56.952698)</f>
        <v>56.952698</v>
      </c>
      <c r="M2121" s="2">
        <f>IFERROR(__xludf.DUMMYFUNCTION("""COMPUTED_VALUE"""),24.1051471)</f>
        <v>24.1051471</v>
      </c>
    </row>
    <row r="2122">
      <c r="A2122" s="2" t="str">
        <f>IFERROR(__xludf.DUMMYFUNCTION("""COMPUTED_VALUE"""),"For sale")</f>
        <v>For sale</v>
      </c>
      <c r="B2122" s="2" t="str">
        <f>IFERROR(__xludf.DUMMYFUNCTION("""COMPUTED_VALUE"""),"centrs")</f>
        <v>centrs</v>
      </c>
      <c r="C2122" s="2" t="str">
        <f>IFERROR(__xludf.DUMMYFUNCTION("""COMPUTED_VALUE"""),"Antonijas 6a")</f>
        <v>Antonijas 6a</v>
      </c>
      <c r="D2122" s="2">
        <f>IFERROR(__xludf.DUMMYFUNCTION("""COMPUTED_VALUE"""),3.0)</f>
        <v>3</v>
      </c>
      <c r="E2122" s="2">
        <f>IFERROR(__xludf.DUMMYFUNCTION("""COMPUTED_VALUE"""),67.0)</f>
        <v>67</v>
      </c>
      <c r="F2122" s="2">
        <f>IFERROR(__xludf.DUMMYFUNCTION("""COMPUTED_VALUE"""),2.0)</f>
        <v>2</v>
      </c>
      <c r="G2122" s="2">
        <f>IFERROR(__xludf.DUMMYFUNCTION("""COMPUTED_VALUE"""),5.0)</f>
        <v>5</v>
      </c>
      <c r="H2122" s="2" t="str">
        <f>IFERROR(__xludf.DUMMYFUNCTION("""COMPUTED_VALUE"""),"Staļina")</f>
        <v>Staļina</v>
      </c>
      <c r="I2122" s="2" t="str">
        <f>IFERROR(__xludf.DUMMYFUNCTION("""COMPUTED_VALUE"""),"Brick")</f>
        <v>Brick</v>
      </c>
      <c r="J2122" s="2" t="str">
        <f>IFERROR(__xludf.DUMMYFUNCTION("""COMPUTED_VALUE"""),"All amenities")</f>
        <v>All amenities</v>
      </c>
      <c r="K2122" s="2">
        <f>IFERROR(__xludf.DUMMYFUNCTION("""COMPUTED_VALUE"""),113000.0)</f>
        <v>113000</v>
      </c>
      <c r="L2122" s="2">
        <f>IFERROR(__xludf.DUMMYFUNCTION("""COMPUTED_VALUE"""),56.9573521)</f>
        <v>56.9573521</v>
      </c>
      <c r="M2122" s="2">
        <f>IFERROR(__xludf.DUMMYFUNCTION("""COMPUTED_VALUE"""),24.1102131)</f>
        <v>24.1102131</v>
      </c>
    </row>
    <row r="2123">
      <c r="A2123" s="2" t="str">
        <f>IFERROR(__xludf.DUMMYFUNCTION("""COMPUTED_VALUE"""),"For sale")</f>
        <v>For sale</v>
      </c>
      <c r="B2123" s="2" t="str">
        <f>IFERROR(__xludf.DUMMYFUNCTION("""COMPUTED_VALUE"""),"Pļavnieki")</f>
        <v>Pļavnieki</v>
      </c>
      <c r="C2123" s="2" t="str">
        <f>IFERROR(__xludf.DUMMYFUNCTION("""COMPUTED_VALUE"""),"Saharova 5")</f>
        <v>Saharova 5</v>
      </c>
      <c r="D2123" s="2">
        <f>IFERROR(__xludf.DUMMYFUNCTION("""COMPUTED_VALUE"""),2.0)</f>
        <v>2</v>
      </c>
      <c r="E2123" s="2">
        <f>IFERROR(__xludf.DUMMYFUNCTION("""COMPUTED_VALUE"""),51.0)</f>
        <v>51</v>
      </c>
      <c r="F2123" s="2">
        <f>IFERROR(__xludf.DUMMYFUNCTION("""COMPUTED_VALUE"""),2.0)</f>
        <v>2</v>
      </c>
      <c r="G2123" s="2">
        <f>IFERROR(__xludf.DUMMYFUNCTION("""COMPUTED_VALUE"""),9.0)</f>
        <v>9</v>
      </c>
      <c r="H2123" s="2">
        <f>IFERROR(__xludf.DUMMYFUNCTION("""COMPUTED_VALUE"""),602.0)</f>
        <v>602</v>
      </c>
      <c r="I2123" s="2" t="str">
        <f>IFERROR(__xludf.DUMMYFUNCTION("""COMPUTED_VALUE"""),"Panel")</f>
        <v>Panel</v>
      </c>
      <c r="J2123" s="2" t="str">
        <f>IFERROR(__xludf.DUMMYFUNCTION("""COMPUTED_VALUE"""),"All amenities")</f>
        <v>All amenities</v>
      </c>
      <c r="K2123" s="2">
        <f>IFERROR(__xludf.DUMMYFUNCTION("""COMPUTED_VALUE"""),45000.0)</f>
        <v>45000</v>
      </c>
      <c r="L2123" s="2">
        <f>IFERROR(__xludf.DUMMYFUNCTION("""COMPUTED_VALUE"""),56.934949)</f>
        <v>56.934949</v>
      </c>
      <c r="M2123" s="2">
        <f>IFERROR(__xludf.DUMMYFUNCTION("""COMPUTED_VALUE"""),24.2012871647176)</f>
        <v>24.20128716</v>
      </c>
    </row>
    <row r="2124">
      <c r="A2124" s="2" t="str">
        <f>IFERROR(__xludf.DUMMYFUNCTION("""COMPUTED_VALUE"""),"For sale")</f>
        <v>For sale</v>
      </c>
      <c r="B2124" s="2" t="str">
        <f>IFERROR(__xludf.DUMMYFUNCTION("""COMPUTED_VALUE"""),"Ziepniekkalns")</f>
        <v>Ziepniekkalns</v>
      </c>
      <c r="C2124" s="2" t="str">
        <f>IFERROR(__xludf.DUMMYFUNCTION("""COMPUTED_VALUE"""),"Bruknas 12")</f>
        <v>Bruknas 12</v>
      </c>
      <c r="D2124" s="2">
        <f>IFERROR(__xludf.DUMMYFUNCTION("""COMPUTED_VALUE"""),2.0)</f>
        <v>2</v>
      </c>
      <c r="E2124" s="2">
        <f>IFERROR(__xludf.DUMMYFUNCTION("""COMPUTED_VALUE"""),60.0)</f>
        <v>60</v>
      </c>
      <c r="F2124" s="2">
        <f>IFERROR(__xludf.DUMMYFUNCTION("""COMPUTED_VALUE"""),10.0)</f>
        <v>10</v>
      </c>
      <c r="G2124" s="2">
        <f>IFERROR(__xludf.DUMMYFUNCTION("""COMPUTED_VALUE"""),8.0)</f>
        <v>8</v>
      </c>
      <c r="H2124" s="2">
        <f>IFERROR(__xludf.DUMMYFUNCTION("""COMPUTED_VALUE"""),119.0)</f>
        <v>119</v>
      </c>
      <c r="I2124" s="2" t="str">
        <f>IFERROR(__xludf.DUMMYFUNCTION("""COMPUTED_VALUE"""),"Panel")</f>
        <v>Panel</v>
      </c>
      <c r="J2124" s="2" t="str">
        <f>IFERROR(__xludf.DUMMYFUNCTION("""COMPUTED_VALUE"""),"All amenities")</f>
        <v>All amenities</v>
      </c>
      <c r="K2124" s="2">
        <f>IFERROR(__xludf.DUMMYFUNCTION("""COMPUTED_VALUE"""),60000.0)</f>
        <v>60000</v>
      </c>
      <c r="L2124" s="2">
        <f>IFERROR(__xludf.DUMMYFUNCTION("""COMPUTED_VALUE"""),56.90217635)</f>
        <v>56.90217635</v>
      </c>
      <c r="M2124" s="2">
        <f>IFERROR(__xludf.DUMMYFUNCTION("""COMPUTED_VALUE"""),24.0878581485374)</f>
        <v>24.08785815</v>
      </c>
    </row>
    <row r="2125">
      <c r="A2125" s="2" t="str">
        <f>IFERROR(__xludf.DUMMYFUNCTION("""COMPUTED_VALUE"""),"For sale")</f>
        <v>For sale</v>
      </c>
      <c r="B2125" s="2" t="str">
        <f>IFERROR(__xludf.DUMMYFUNCTION("""COMPUTED_VALUE"""),"Teika")</f>
        <v>Teika</v>
      </c>
      <c r="C2125" s="2" t="str">
        <f>IFERROR(__xludf.DUMMYFUNCTION("""COMPUTED_VALUE"""),"Biķernieku 12b")</f>
        <v>Biķernieku 12b</v>
      </c>
      <c r="D2125" s="2">
        <f>IFERROR(__xludf.DUMMYFUNCTION("""COMPUTED_VALUE"""),3.0)</f>
        <v>3</v>
      </c>
      <c r="E2125" s="2">
        <f>IFERROR(__xludf.DUMMYFUNCTION("""COMPUTED_VALUE"""),67.0)</f>
        <v>67</v>
      </c>
      <c r="F2125" s="2">
        <f>IFERROR(__xludf.DUMMYFUNCTION("""COMPUTED_VALUE"""),5.0)</f>
        <v>5</v>
      </c>
      <c r="G2125" s="2">
        <f>IFERROR(__xludf.DUMMYFUNCTION("""COMPUTED_VALUE"""),5.0)</f>
        <v>5</v>
      </c>
      <c r="H2125" s="2" t="str">
        <f>IFERROR(__xludf.DUMMYFUNCTION("""COMPUTED_VALUE"""),"Specpr.")</f>
        <v>Specpr.</v>
      </c>
      <c r="I2125" s="2" t="str">
        <f>IFERROR(__xludf.DUMMYFUNCTION("""COMPUTED_VALUE"""),"Brick-Panel")</f>
        <v>Brick-Panel</v>
      </c>
      <c r="J2125" s="2" t="str">
        <f>IFERROR(__xludf.DUMMYFUNCTION("""COMPUTED_VALUE"""),"All amenities")</f>
        <v>All amenities</v>
      </c>
      <c r="K2125" s="2">
        <f>IFERROR(__xludf.DUMMYFUNCTION("""COMPUTED_VALUE"""),60000.0)</f>
        <v>60000</v>
      </c>
      <c r="L2125" s="2">
        <f>IFERROR(__xludf.DUMMYFUNCTION("""COMPUTED_VALUE"""),56.9710535)</f>
        <v>56.9710535</v>
      </c>
      <c r="M2125" s="2">
        <f>IFERROR(__xludf.DUMMYFUNCTION("""COMPUTED_VALUE"""),24.1782534)</f>
        <v>24.1782534</v>
      </c>
    </row>
    <row r="2126">
      <c r="A2126" s="2" t="str">
        <f>IFERROR(__xludf.DUMMYFUNCTION("""COMPUTED_VALUE"""),"For sale")</f>
        <v>For sale</v>
      </c>
      <c r="B2126" s="2" t="str">
        <f>IFERROR(__xludf.DUMMYFUNCTION("""COMPUTED_VALUE"""),"centrs")</f>
        <v>centrs</v>
      </c>
      <c r="C2126" s="2" t="str">
        <f>IFERROR(__xludf.DUMMYFUNCTION("""COMPUTED_VALUE"""),"Lāčplēša 7")</f>
        <v>Lāčplēša 7</v>
      </c>
      <c r="D2126" s="2">
        <f>IFERROR(__xludf.DUMMYFUNCTION("""COMPUTED_VALUE"""),3.0)</f>
        <v>3</v>
      </c>
      <c r="E2126" s="2">
        <f>IFERROR(__xludf.DUMMYFUNCTION("""COMPUTED_VALUE"""),88.0)</f>
        <v>88</v>
      </c>
      <c r="F2126" s="2">
        <f>IFERROR(__xludf.DUMMYFUNCTION("""COMPUTED_VALUE"""),3.0)</f>
        <v>3</v>
      </c>
      <c r="G2126" s="2">
        <f>IFERROR(__xludf.DUMMYFUNCTION("""COMPUTED_VALUE"""),5.0)</f>
        <v>5</v>
      </c>
      <c r="H2126" s="2" t="str">
        <f>IFERROR(__xludf.DUMMYFUNCTION("""COMPUTED_VALUE"""),"Renov.")</f>
        <v>Renov.</v>
      </c>
      <c r="I2126" s="2" t="str">
        <f>IFERROR(__xludf.DUMMYFUNCTION("""COMPUTED_VALUE"""),"Masonry")</f>
        <v>Masonry</v>
      </c>
      <c r="J2126" s="2" t="str">
        <f>IFERROR(__xludf.DUMMYFUNCTION("""COMPUTED_VALUE"""),"All amenities")</f>
        <v>All amenities</v>
      </c>
      <c r="K2126" s="2">
        <f>IFERROR(__xludf.DUMMYFUNCTION("""COMPUTED_VALUE"""),275000.0)</f>
        <v>275000</v>
      </c>
      <c r="L2126" s="2">
        <f>IFERROR(__xludf.DUMMYFUNCTION("""COMPUTED_VALUE"""),56.957715)</f>
        <v>56.957715</v>
      </c>
      <c r="M2126" s="2">
        <f>IFERROR(__xludf.DUMMYFUNCTION("""COMPUTED_VALUE"""),24.1191109634786)</f>
        <v>24.11911096</v>
      </c>
    </row>
    <row r="2127">
      <c r="A2127" s="2" t="str">
        <f>IFERROR(__xludf.DUMMYFUNCTION("""COMPUTED_VALUE"""),"For sale")</f>
        <v>For sale</v>
      </c>
      <c r="B2127" s="2" t="str">
        <f>IFERROR(__xludf.DUMMYFUNCTION("""COMPUTED_VALUE"""),"Mežciems")</f>
        <v>Mežciems</v>
      </c>
      <c r="C2127" s="2" t="str">
        <f>IFERROR(__xludf.DUMMYFUNCTION("""COMPUTED_VALUE"""),"Eizenšteina 77")</f>
        <v>Eizenšteina 77</v>
      </c>
      <c r="D2127" s="2">
        <f>IFERROR(__xludf.DUMMYFUNCTION("""COMPUTED_VALUE"""),2.0)</f>
        <v>2</v>
      </c>
      <c r="E2127" s="2">
        <f>IFERROR(__xludf.DUMMYFUNCTION("""COMPUTED_VALUE"""),50.0)</f>
        <v>50</v>
      </c>
      <c r="F2127" s="2">
        <f>IFERROR(__xludf.DUMMYFUNCTION("""COMPUTED_VALUE"""),1.0)</f>
        <v>1</v>
      </c>
      <c r="G2127" s="2">
        <f>IFERROR(__xludf.DUMMYFUNCTION("""COMPUTED_VALUE"""),9.0)</f>
        <v>9</v>
      </c>
      <c r="H2127" s="2">
        <f>IFERROR(__xludf.DUMMYFUNCTION("""COMPUTED_VALUE"""),602.0)</f>
        <v>602</v>
      </c>
      <c r="I2127" s="2" t="str">
        <f>IFERROR(__xludf.DUMMYFUNCTION("""COMPUTED_VALUE"""),"Panel")</f>
        <v>Panel</v>
      </c>
      <c r="J2127" s="2" t="str">
        <f>IFERROR(__xludf.DUMMYFUNCTION("""COMPUTED_VALUE"""),"All amenities")</f>
        <v>All amenities</v>
      </c>
      <c r="K2127" s="2">
        <f>IFERROR(__xludf.DUMMYFUNCTION("""COMPUTED_VALUE"""),49000.0)</f>
        <v>49000</v>
      </c>
      <c r="L2127" s="2">
        <f>IFERROR(__xludf.DUMMYFUNCTION("""COMPUTED_VALUE"""),56.96052845)</f>
        <v>56.96052845</v>
      </c>
      <c r="M2127" s="2">
        <f>IFERROR(__xludf.DUMMYFUNCTION("""COMPUTED_VALUE"""),24.2338127271218)</f>
        <v>24.23381273</v>
      </c>
    </row>
    <row r="2128">
      <c r="A2128" s="2" t="str">
        <f>IFERROR(__xludf.DUMMYFUNCTION("""COMPUTED_VALUE"""),"For rent")</f>
        <v>For rent</v>
      </c>
      <c r="B2128" s="2" t="str">
        <f>IFERROR(__xludf.DUMMYFUNCTION("""COMPUTED_VALUE"""),"centrs")</f>
        <v>centrs</v>
      </c>
      <c r="C2128" s="2" t="str">
        <f>IFERROR(__xludf.DUMMYFUNCTION("""COMPUTED_VALUE"""),"Tomsona 33a")</f>
        <v>Tomsona 33a</v>
      </c>
      <c r="D2128" s="2">
        <f>IFERROR(__xludf.DUMMYFUNCTION("""COMPUTED_VALUE"""),3.0)</f>
        <v>3</v>
      </c>
      <c r="E2128" s="2">
        <f>IFERROR(__xludf.DUMMYFUNCTION("""COMPUTED_VALUE"""),75.9)</f>
        <v>75.9</v>
      </c>
      <c r="F2128" s="2">
        <f>IFERROR(__xludf.DUMMYFUNCTION("""COMPUTED_VALUE"""),4.0)</f>
        <v>4</v>
      </c>
      <c r="G2128" s="2">
        <f>IFERROR(__xludf.DUMMYFUNCTION("""COMPUTED_VALUE"""),5.0)</f>
        <v>5</v>
      </c>
      <c r="H2128" s="2" t="str">
        <f>IFERROR(__xludf.DUMMYFUNCTION("""COMPUTED_VALUE"""),"Specpr.")</f>
        <v>Specpr.</v>
      </c>
      <c r="I2128" s="2" t="str">
        <f>IFERROR(__xludf.DUMMYFUNCTION("""COMPUTED_VALUE"""),"Brick")</f>
        <v>Brick</v>
      </c>
      <c r="J2128" s="2" t="str">
        <f>IFERROR(__xludf.DUMMYFUNCTION("""COMPUTED_VALUE"""),"All amenities")</f>
        <v>All amenities</v>
      </c>
      <c r="K2128" s="2">
        <f>IFERROR(__xludf.DUMMYFUNCTION("""COMPUTED_VALUE"""),500.0)</f>
        <v>500</v>
      </c>
      <c r="L2128" s="2">
        <f>IFERROR(__xludf.DUMMYFUNCTION("""COMPUTED_VALUE"""),56.9666958)</f>
        <v>56.9666958</v>
      </c>
      <c r="M2128" s="2">
        <f>IFERROR(__xludf.DUMMYFUNCTION("""COMPUTED_VALUE"""),24.1276219164077)</f>
        <v>24.12762192</v>
      </c>
    </row>
    <row r="2129">
      <c r="A2129" s="2" t="str">
        <f>IFERROR(__xludf.DUMMYFUNCTION("""COMPUTED_VALUE"""),"For rent")</f>
        <v>For rent</v>
      </c>
      <c r="B2129" s="2" t="str">
        <f>IFERROR(__xludf.DUMMYFUNCTION("""COMPUTED_VALUE"""),"Zolitūde")</f>
        <v>Zolitūde</v>
      </c>
      <c r="C2129" s="2" t="str">
        <f>IFERROR(__xludf.DUMMYFUNCTION("""COMPUTED_VALUE"""),"Zolitūdes 75")</f>
        <v>Zolitūdes 75</v>
      </c>
      <c r="D2129" s="2">
        <f>IFERROR(__xludf.DUMMYFUNCTION("""COMPUTED_VALUE"""),2.0)</f>
        <v>2</v>
      </c>
      <c r="E2129" s="2">
        <f>IFERROR(__xludf.DUMMYFUNCTION("""COMPUTED_VALUE"""),75.0)</f>
        <v>75</v>
      </c>
      <c r="F2129" s="2">
        <f>IFERROR(__xludf.DUMMYFUNCTION("""COMPUTED_VALUE"""),3.0)</f>
        <v>3</v>
      </c>
      <c r="G2129" s="2">
        <f>IFERROR(__xludf.DUMMYFUNCTION("""COMPUTED_VALUE"""),6.0)</f>
        <v>6</v>
      </c>
      <c r="H2129" s="2" t="str">
        <f>IFERROR(__xludf.DUMMYFUNCTION("""COMPUTED_VALUE"""),"Jaun.")</f>
        <v>Jaun.</v>
      </c>
      <c r="I2129" s="2" t="str">
        <f>IFERROR(__xludf.DUMMYFUNCTION("""COMPUTED_VALUE"""),"Masonry")</f>
        <v>Masonry</v>
      </c>
      <c r="J2129" s="2" t="str">
        <f>IFERROR(__xludf.DUMMYFUNCTION("""COMPUTED_VALUE"""),"All amenities")</f>
        <v>All amenities</v>
      </c>
      <c r="K2129" s="2">
        <f>IFERROR(__xludf.DUMMYFUNCTION("""COMPUTED_VALUE"""),600.0)</f>
        <v>600</v>
      </c>
      <c r="L2129" s="2">
        <f>IFERROR(__xludf.DUMMYFUNCTION("""COMPUTED_VALUE"""),56.94174375)</f>
        <v>56.94174375</v>
      </c>
      <c r="M2129" s="2">
        <f>IFERROR(__xludf.DUMMYFUNCTION("""COMPUTED_VALUE"""),24.004208988406)</f>
        <v>24.00420899</v>
      </c>
    </row>
    <row r="2130">
      <c r="A2130" s="2" t="str">
        <f>IFERROR(__xludf.DUMMYFUNCTION("""COMPUTED_VALUE"""),"For rent")</f>
        <v>For rent</v>
      </c>
      <c r="B2130" s="2" t="str">
        <f>IFERROR(__xludf.DUMMYFUNCTION("""COMPUTED_VALUE"""),"Purvciems")</f>
        <v>Purvciems</v>
      </c>
      <c r="C2130" s="2" t="str">
        <f>IFERROR(__xludf.DUMMYFUNCTION("""COMPUTED_VALUE"""),"Purvciema 53")</f>
        <v>Purvciema 53</v>
      </c>
      <c r="D2130" s="2">
        <f>IFERROR(__xludf.DUMMYFUNCTION("""COMPUTED_VALUE"""),1.0)</f>
        <v>1</v>
      </c>
      <c r="E2130" s="2">
        <f>IFERROR(__xludf.DUMMYFUNCTION("""COMPUTED_VALUE"""),43.0)</f>
        <v>43</v>
      </c>
      <c r="F2130" s="2">
        <f>IFERROR(__xludf.DUMMYFUNCTION("""COMPUTED_VALUE"""),3.0)</f>
        <v>3</v>
      </c>
      <c r="G2130" s="2">
        <f>IFERROR(__xludf.DUMMYFUNCTION("""COMPUTED_VALUE"""),9.0)</f>
        <v>9</v>
      </c>
      <c r="H2130" s="2" t="str">
        <f>IFERROR(__xludf.DUMMYFUNCTION("""COMPUTED_VALUE"""),"Specpr.")</f>
        <v>Specpr.</v>
      </c>
      <c r="I2130" s="2" t="str">
        <f>IFERROR(__xludf.DUMMYFUNCTION("""COMPUTED_VALUE"""),"Panel")</f>
        <v>Panel</v>
      </c>
      <c r="J2130" s="2" t="str">
        <f>IFERROR(__xludf.DUMMYFUNCTION("""COMPUTED_VALUE"""),"All amenities")</f>
        <v>All amenities</v>
      </c>
      <c r="K2130" s="2">
        <f>IFERROR(__xludf.DUMMYFUNCTION("""COMPUTED_VALUE"""),25.0)</f>
        <v>25</v>
      </c>
      <c r="L2130" s="2">
        <f>IFERROR(__xludf.DUMMYFUNCTION("""COMPUTED_VALUE"""),56.9543228)</f>
        <v>56.9543228</v>
      </c>
      <c r="M2130" s="2">
        <f>IFERROR(__xludf.DUMMYFUNCTION("""COMPUTED_VALUE"""),24.17910595)</f>
        <v>24.17910595</v>
      </c>
    </row>
    <row r="2131">
      <c r="A2131" s="2" t="str">
        <f>IFERROR(__xludf.DUMMYFUNCTION("""COMPUTED_VALUE"""),"For rent")</f>
        <v>For rent</v>
      </c>
      <c r="B2131" s="2" t="str">
        <f>IFERROR(__xludf.DUMMYFUNCTION("""COMPUTED_VALUE"""),"Āgenskalns")</f>
        <v>Āgenskalns</v>
      </c>
      <c r="C2131" s="2" t="str">
        <f>IFERROR(__xludf.DUMMYFUNCTION("""COMPUTED_VALUE"""),"Smiļģa 27")</f>
        <v>Smiļģa 27</v>
      </c>
      <c r="D2131" s="2">
        <f>IFERROR(__xludf.DUMMYFUNCTION("""COMPUTED_VALUE"""),1.0)</f>
        <v>1</v>
      </c>
      <c r="E2131" s="2">
        <f>IFERROR(__xludf.DUMMYFUNCTION("""COMPUTED_VALUE"""),30.0)</f>
        <v>30</v>
      </c>
      <c r="F2131" s="2">
        <f>IFERROR(__xludf.DUMMYFUNCTION("""COMPUTED_VALUE"""),1.0)</f>
        <v>1</v>
      </c>
      <c r="G2131" s="2">
        <f>IFERROR(__xludf.DUMMYFUNCTION("""COMPUTED_VALUE"""),2.0)</f>
        <v>2</v>
      </c>
      <c r="H2131" s="2" t="str">
        <f>IFERROR(__xludf.DUMMYFUNCTION("""COMPUTED_VALUE"""),"P. kara")</f>
        <v>P. kara</v>
      </c>
      <c r="I2131" s="2" t="str">
        <f>IFERROR(__xludf.DUMMYFUNCTION("""COMPUTED_VALUE"""),"Wood")</f>
        <v>Wood</v>
      </c>
      <c r="J2131" s="2" t="str">
        <f>IFERROR(__xludf.DUMMYFUNCTION("""COMPUTED_VALUE"""),"Partial amenities")</f>
        <v>Partial amenities</v>
      </c>
      <c r="K2131" s="2">
        <f>IFERROR(__xludf.DUMMYFUNCTION("""COMPUTED_VALUE"""),150.0)</f>
        <v>150</v>
      </c>
      <c r="L2131" s="2">
        <f>IFERROR(__xludf.DUMMYFUNCTION("""COMPUTED_VALUE"""),56.9348145)</f>
        <v>56.9348145</v>
      </c>
      <c r="M2131" s="2">
        <f>IFERROR(__xludf.DUMMYFUNCTION("""COMPUTED_VALUE"""),24.0753412)</f>
        <v>24.0753412</v>
      </c>
    </row>
    <row r="2132">
      <c r="A2132" s="2" t="str">
        <f>IFERROR(__xludf.DUMMYFUNCTION("""COMPUTED_VALUE"""),"For rent")</f>
        <v>For rent</v>
      </c>
      <c r="B2132" s="2" t="str">
        <f>IFERROR(__xludf.DUMMYFUNCTION("""COMPUTED_VALUE"""),"centrs")</f>
        <v>centrs</v>
      </c>
      <c r="C2132" s="2" t="str">
        <f>IFERROR(__xludf.DUMMYFUNCTION("""COMPUTED_VALUE"""),"Miķeļa 1")</f>
        <v>Miķeļa 1</v>
      </c>
      <c r="D2132" s="2">
        <f>IFERROR(__xludf.DUMMYFUNCTION("""COMPUTED_VALUE"""),3.0)</f>
        <v>3</v>
      </c>
      <c r="E2132" s="2">
        <f>IFERROR(__xludf.DUMMYFUNCTION("""COMPUTED_VALUE"""),96.0)</f>
        <v>96</v>
      </c>
      <c r="F2132" s="2">
        <f>IFERROR(__xludf.DUMMYFUNCTION("""COMPUTED_VALUE"""),3.0)</f>
        <v>3</v>
      </c>
      <c r="G2132" s="2">
        <f>IFERROR(__xludf.DUMMYFUNCTION("""COMPUTED_VALUE"""),5.0)</f>
        <v>5</v>
      </c>
      <c r="H2132" s="2" t="str">
        <f>IFERROR(__xludf.DUMMYFUNCTION("""COMPUTED_VALUE"""),"Specpr.")</f>
        <v>Specpr.</v>
      </c>
      <c r="I2132" s="2" t="str">
        <f>IFERROR(__xludf.DUMMYFUNCTION("""COMPUTED_VALUE"""),"Brick-Panel")</f>
        <v>Brick-Panel</v>
      </c>
      <c r="J2132" s="2" t="str">
        <f>IFERROR(__xludf.DUMMYFUNCTION("""COMPUTED_VALUE"""),"All amenities")</f>
        <v>All amenities</v>
      </c>
      <c r="K2132" s="2">
        <f>IFERROR(__xludf.DUMMYFUNCTION("""COMPUTED_VALUE"""),580.0)</f>
        <v>580</v>
      </c>
      <c r="L2132" s="2">
        <f>IFERROR(__xludf.DUMMYFUNCTION("""COMPUTED_VALUE"""),56.9559632499999)</f>
        <v>56.95596325</v>
      </c>
      <c r="M2132" s="2">
        <f>IFERROR(__xludf.DUMMYFUNCTION("""COMPUTED_VALUE"""),24.1001553)</f>
        <v>24.1001553</v>
      </c>
    </row>
    <row r="2133">
      <c r="A2133" s="2" t="str">
        <f>IFERROR(__xludf.DUMMYFUNCTION("""COMPUTED_VALUE"""),"For sale")</f>
        <v>For sale</v>
      </c>
      <c r="B2133" s="2" t="str">
        <f>IFERROR(__xludf.DUMMYFUNCTION("""COMPUTED_VALUE"""),"Šampēteris-Pleskodāle")</f>
        <v>Šampēteris-Pleskodāle</v>
      </c>
      <c r="C2133" s="2" t="str">
        <f>IFERROR(__xludf.DUMMYFUNCTION("""COMPUTED_VALUE"""),"Irlavas 26a")</f>
        <v>Irlavas 26a</v>
      </c>
      <c r="D2133" s="2">
        <f>IFERROR(__xludf.DUMMYFUNCTION("""COMPUTED_VALUE"""),3.0)</f>
        <v>3</v>
      </c>
      <c r="E2133" s="2">
        <f>IFERROR(__xludf.DUMMYFUNCTION("""COMPUTED_VALUE"""),65.0)</f>
        <v>65</v>
      </c>
      <c r="F2133" s="2">
        <f>IFERROR(__xludf.DUMMYFUNCTION("""COMPUTED_VALUE"""),1.0)</f>
        <v>1</v>
      </c>
      <c r="G2133" s="2">
        <f>IFERROR(__xludf.DUMMYFUNCTION("""COMPUTED_VALUE"""),5.0)</f>
        <v>5</v>
      </c>
      <c r="H2133" s="2">
        <f>IFERROR(__xludf.DUMMYFUNCTION("""COMPUTED_VALUE"""),103.0)</f>
        <v>103</v>
      </c>
      <c r="I2133" s="2" t="str">
        <f>IFERROR(__xludf.DUMMYFUNCTION("""COMPUTED_VALUE"""),"Brick-Panel")</f>
        <v>Brick-Panel</v>
      </c>
      <c r="J2133" s="2" t="str">
        <f>IFERROR(__xludf.DUMMYFUNCTION("""COMPUTED_VALUE"""),"All amenities")</f>
        <v>All amenities</v>
      </c>
      <c r="K2133" s="2">
        <f>IFERROR(__xludf.DUMMYFUNCTION("""COMPUTED_VALUE"""),53000.0)</f>
        <v>53000</v>
      </c>
      <c r="L2133" s="2">
        <f>IFERROR(__xludf.DUMMYFUNCTION("""COMPUTED_VALUE"""),56.93967905)</f>
        <v>56.93967905</v>
      </c>
      <c r="M2133" s="2">
        <f>IFERROR(__xludf.DUMMYFUNCTION("""COMPUTED_VALUE"""),24.0336388573915)</f>
        <v>24.03363886</v>
      </c>
    </row>
    <row r="2134">
      <c r="A2134" s="2" t="str">
        <f>IFERROR(__xludf.DUMMYFUNCTION("""COMPUTED_VALUE"""),"For rent")</f>
        <v>For rent</v>
      </c>
      <c r="B2134" s="2" t="str">
        <f>IFERROR(__xludf.DUMMYFUNCTION("""COMPUTED_VALUE"""),"Teika")</f>
        <v>Teika</v>
      </c>
      <c r="C2134" s="2" t="str">
        <f>IFERROR(__xludf.DUMMYFUNCTION("""COMPUTED_VALUE"""),"Pudiķa 13")</f>
        <v>Pudiķa 13</v>
      </c>
      <c r="D2134" s="2">
        <f>IFERROR(__xludf.DUMMYFUNCTION("""COMPUTED_VALUE"""),1.0)</f>
        <v>1</v>
      </c>
      <c r="E2134" s="2">
        <f>IFERROR(__xludf.DUMMYFUNCTION("""COMPUTED_VALUE"""),28.0)</f>
        <v>28</v>
      </c>
      <c r="F2134" s="2">
        <f>IFERROR(__xludf.DUMMYFUNCTION("""COMPUTED_VALUE"""),3.0)</f>
        <v>3</v>
      </c>
      <c r="G2134" s="2">
        <f>IFERROR(__xludf.DUMMYFUNCTION("""COMPUTED_VALUE"""),3.0)</f>
        <v>3</v>
      </c>
      <c r="H2134" s="2" t="str">
        <f>IFERROR(__xludf.DUMMYFUNCTION("""COMPUTED_VALUE"""),"P. kara")</f>
        <v>P. kara</v>
      </c>
      <c r="I2134" s="2" t="str">
        <f>IFERROR(__xludf.DUMMYFUNCTION("""COMPUTED_VALUE"""),"Brick")</f>
        <v>Brick</v>
      </c>
      <c r="J2134" s="2" t="str">
        <f>IFERROR(__xludf.DUMMYFUNCTION("""COMPUTED_VALUE"""),"All amenities")</f>
        <v>All amenities</v>
      </c>
      <c r="K2134" s="2">
        <f>IFERROR(__xludf.DUMMYFUNCTION("""COMPUTED_VALUE"""),270.0)</f>
        <v>270</v>
      </c>
      <c r="L2134" s="2">
        <f>IFERROR(__xludf.DUMMYFUNCTION("""COMPUTED_VALUE"""),56.9766839)</f>
        <v>56.9766839</v>
      </c>
      <c r="M2134" s="2">
        <f>IFERROR(__xludf.DUMMYFUNCTION("""COMPUTED_VALUE"""),24.18143795)</f>
        <v>24.18143795</v>
      </c>
    </row>
    <row r="2135">
      <c r="A2135" s="2" t="str">
        <f>IFERROR(__xludf.DUMMYFUNCTION("""COMPUTED_VALUE"""),"For rent")</f>
        <v>For rent</v>
      </c>
      <c r="B2135" s="2" t="str">
        <f>IFERROR(__xludf.DUMMYFUNCTION("""COMPUTED_VALUE"""),"centrs")</f>
        <v>centrs</v>
      </c>
      <c r="C2135" s="2" t="str">
        <f>IFERROR(__xludf.DUMMYFUNCTION("""COMPUTED_VALUE"""),"Lāčplēša 127")</f>
        <v>Lāčplēša 127</v>
      </c>
      <c r="D2135" s="2">
        <f>IFERROR(__xludf.DUMMYFUNCTION("""COMPUTED_VALUE"""),2.0)</f>
        <v>2</v>
      </c>
      <c r="E2135" s="2">
        <f>IFERROR(__xludf.DUMMYFUNCTION("""COMPUTED_VALUE"""),95.0)</f>
        <v>95</v>
      </c>
      <c r="F2135" s="2">
        <f>IFERROR(__xludf.DUMMYFUNCTION("""COMPUTED_VALUE"""),3.0)</f>
        <v>3</v>
      </c>
      <c r="G2135" s="2">
        <f>IFERROR(__xludf.DUMMYFUNCTION("""COMPUTED_VALUE"""),3.0)</f>
        <v>3</v>
      </c>
      <c r="H2135" s="2" t="str">
        <f>IFERROR(__xludf.DUMMYFUNCTION("""COMPUTED_VALUE"""),"Renov.")</f>
        <v>Renov.</v>
      </c>
      <c r="I2135" s="2" t="str">
        <f>IFERROR(__xludf.DUMMYFUNCTION("""COMPUTED_VALUE"""),"Brick")</f>
        <v>Brick</v>
      </c>
      <c r="J2135" s="2" t="str">
        <f>IFERROR(__xludf.DUMMYFUNCTION("""COMPUTED_VALUE"""),"All amenities")</f>
        <v>All amenities</v>
      </c>
      <c r="K2135" s="2">
        <f>IFERROR(__xludf.DUMMYFUNCTION("""COMPUTED_VALUE"""),850.0)</f>
        <v>850</v>
      </c>
      <c r="L2135" s="2">
        <f>IFERROR(__xludf.DUMMYFUNCTION("""COMPUTED_VALUE"""),56.9468471)</f>
        <v>56.9468471</v>
      </c>
      <c r="M2135" s="2">
        <f>IFERROR(__xludf.DUMMYFUNCTION("""COMPUTED_VALUE"""),24.133767)</f>
        <v>24.133767</v>
      </c>
    </row>
    <row r="2136">
      <c r="A2136" s="2" t="str">
        <f>IFERROR(__xludf.DUMMYFUNCTION("""COMPUTED_VALUE"""),"For sale")</f>
        <v>For sale</v>
      </c>
      <c r="B2136" s="2" t="str">
        <f>IFERROR(__xludf.DUMMYFUNCTION("""COMPUTED_VALUE"""),"Ķengarags")</f>
        <v>Ķengarags</v>
      </c>
      <c r="C2136" s="2" t="str">
        <f>IFERROR(__xludf.DUMMYFUNCTION("""COMPUTED_VALUE"""),"Maskavas 313")</f>
        <v>Maskavas 313</v>
      </c>
      <c r="D2136" s="2">
        <f>IFERROR(__xludf.DUMMYFUNCTION("""COMPUTED_VALUE"""),1.0)</f>
        <v>1</v>
      </c>
      <c r="E2136" s="2">
        <f>IFERROR(__xludf.DUMMYFUNCTION("""COMPUTED_VALUE"""),37.0)</f>
        <v>37</v>
      </c>
      <c r="F2136" s="2">
        <f>IFERROR(__xludf.DUMMYFUNCTION("""COMPUTED_VALUE"""),2.0)</f>
        <v>2</v>
      </c>
      <c r="G2136" s="2">
        <f>IFERROR(__xludf.DUMMYFUNCTION("""COMPUTED_VALUE"""),12.0)</f>
        <v>12</v>
      </c>
      <c r="H2136" s="2" t="str">
        <f>IFERROR(__xludf.DUMMYFUNCTION("""COMPUTED_VALUE"""),"M. ģim.")</f>
        <v>M. ģim.</v>
      </c>
      <c r="I2136" s="2" t="str">
        <f>IFERROR(__xludf.DUMMYFUNCTION("""COMPUTED_VALUE"""),"Panel-Brick")</f>
        <v>Panel-Brick</v>
      </c>
      <c r="J2136" s="2" t="str">
        <f>IFERROR(__xludf.DUMMYFUNCTION("""COMPUTED_VALUE"""),"All amenities")</f>
        <v>All amenities</v>
      </c>
      <c r="K2136" s="2">
        <f>IFERROR(__xludf.DUMMYFUNCTION("""COMPUTED_VALUE"""),32000.0)</f>
        <v>32000</v>
      </c>
      <c r="L2136" s="2">
        <f>IFERROR(__xludf.DUMMYFUNCTION("""COMPUTED_VALUE"""),56.8597884)</f>
        <v>56.8597884</v>
      </c>
      <c r="M2136" s="2">
        <f>IFERROR(__xludf.DUMMYFUNCTION("""COMPUTED_VALUE"""),24.3083417)</f>
        <v>24.3083417</v>
      </c>
    </row>
    <row r="2137">
      <c r="A2137" s="2" t="str">
        <f>IFERROR(__xludf.DUMMYFUNCTION("""COMPUTED_VALUE"""),"For sale")</f>
        <v>For sale</v>
      </c>
      <c r="B2137" s="2" t="str">
        <f>IFERROR(__xludf.DUMMYFUNCTION("""COMPUTED_VALUE"""),"Āgenskalns")</f>
        <v>Āgenskalns</v>
      </c>
      <c r="C2137" s="2" t="str">
        <f>IFERROR(__xludf.DUMMYFUNCTION("""COMPUTED_VALUE"""),"Pārslas 6")</f>
        <v>Pārslas 6</v>
      </c>
      <c r="D2137" s="2">
        <f>IFERROR(__xludf.DUMMYFUNCTION("""COMPUTED_VALUE"""),1.0)</f>
        <v>1</v>
      </c>
      <c r="E2137" s="2">
        <f>IFERROR(__xludf.DUMMYFUNCTION("""COMPUTED_VALUE"""),34.0)</f>
        <v>34</v>
      </c>
      <c r="F2137" s="2">
        <f>IFERROR(__xludf.DUMMYFUNCTION("""COMPUTED_VALUE"""),1.0)</f>
        <v>1</v>
      </c>
      <c r="G2137" s="2">
        <f>IFERROR(__xludf.DUMMYFUNCTION("""COMPUTED_VALUE"""),4.0)</f>
        <v>4</v>
      </c>
      <c r="H2137" s="2" t="str">
        <f>IFERROR(__xludf.DUMMYFUNCTION("""COMPUTED_VALUE"""),"P. kara")</f>
        <v>P. kara</v>
      </c>
      <c r="I2137" s="2" t="str">
        <f>IFERROR(__xludf.DUMMYFUNCTION("""COMPUTED_VALUE"""),"Wood")</f>
        <v>Wood</v>
      </c>
      <c r="J2137" s="2" t="str">
        <f>IFERROR(__xludf.DUMMYFUNCTION("""COMPUTED_VALUE"""),"All amenities")</f>
        <v>All amenities</v>
      </c>
      <c r="K2137" s="2">
        <f>IFERROR(__xludf.DUMMYFUNCTION("""COMPUTED_VALUE"""),14500.0)</f>
        <v>14500</v>
      </c>
      <c r="L2137" s="2">
        <f>IFERROR(__xludf.DUMMYFUNCTION("""COMPUTED_VALUE"""),56.9358256999999)</f>
        <v>56.9358257</v>
      </c>
      <c r="M2137" s="2">
        <f>IFERROR(__xludf.DUMMYFUNCTION("""COMPUTED_VALUE"""),24.0618001223939)</f>
        <v>24.06180012</v>
      </c>
    </row>
    <row r="2138">
      <c r="A2138" s="2" t="str">
        <f>IFERROR(__xludf.DUMMYFUNCTION("""COMPUTED_VALUE"""),"For rent")</f>
        <v>For rent</v>
      </c>
      <c r="B2138" s="2" t="str">
        <f>IFERROR(__xludf.DUMMYFUNCTION("""COMPUTED_VALUE"""),"centrs")</f>
        <v>centrs</v>
      </c>
      <c r="C2138" s="2" t="str">
        <f>IFERROR(__xludf.DUMMYFUNCTION("""COMPUTED_VALUE"""),"Tallinas 77")</f>
        <v>Tallinas 77</v>
      </c>
      <c r="D2138" s="2">
        <f>IFERROR(__xludf.DUMMYFUNCTION("""COMPUTED_VALUE"""),1.0)</f>
        <v>1</v>
      </c>
      <c r="E2138" s="2">
        <f>IFERROR(__xludf.DUMMYFUNCTION("""COMPUTED_VALUE"""),32.0)</f>
        <v>32</v>
      </c>
      <c r="F2138" s="2">
        <f>IFERROR(__xludf.DUMMYFUNCTION("""COMPUTED_VALUE"""),2.0)</f>
        <v>2</v>
      </c>
      <c r="G2138" s="2">
        <f>IFERROR(__xludf.DUMMYFUNCTION("""COMPUTED_VALUE"""),5.0)</f>
        <v>5</v>
      </c>
      <c r="H2138" s="2" t="str">
        <f>IFERROR(__xludf.DUMMYFUNCTION("""COMPUTED_VALUE"""),"Renov.")</f>
        <v>Renov.</v>
      </c>
      <c r="I2138" s="2" t="str">
        <f>IFERROR(__xludf.DUMMYFUNCTION("""COMPUTED_VALUE"""),"Brick")</f>
        <v>Brick</v>
      </c>
      <c r="J2138" s="2" t="str">
        <f>IFERROR(__xludf.DUMMYFUNCTION("""COMPUTED_VALUE"""),"All amenities")</f>
        <v>All amenities</v>
      </c>
      <c r="K2138" s="2">
        <f>IFERROR(__xludf.DUMMYFUNCTION("""COMPUTED_VALUE"""),29.0)</f>
        <v>29</v>
      </c>
      <c r="L2138" s="2">
        <f>IFERROR(__xludf.DUMMYFUNCTION("""COMPUTED_VALUE"""),56.9573204)</f>
        <v>56.9573204</v>
      </c>
      <c r="M2138" s="2">
        <f>IFERROR(__xludf.DUMMYFUNCTION("""COMPUTED_VALUE"""),24.1472618)</f>
        <v>24.1472618</v>
      </c>
    </row>
    <row r="2139">
      <c r="A2139" s="2" t="str">
        <f>IFERROR(__xludf.DUMMYFUNCTION("""COMPUTED_VALUE"""),"For sale")</f>
        <v>For sale</v>
      </c>
      <c r="B2139" s="2" t="str">
        <f>IFERROR(__xludf.DUMMYFUNCTION("""COMPUTED_VALUE"""),"Purvciems")</f>
        <v>Purvciems</v>
      </c>
      <c r="C2139" s="2" t="str">
        <f>IFERROR(__xludf.DUMMYFUNCTION("""COMPUTED_VALUE"""),"Purvciema 53")</f>
        <v>Purvciema 53</v>
      </c>
      <c r="D2139" s="2">
        <f>IFERROR(__xludf.DUMMYFUNCTION("""COMPUTED_VALUE"""),1.0)</f>
        <v>1</v>
      </c>
      <c r="E2139" s="2">
        <f>IFERROR(__xludf.DUMMYFUNCTION("""COMPUTED_VALUE"""),42.0)</f>
        <v>42</v>
      </c>
      <c r="F2139" s="2">
        <f>IFERROR(__xludf.DUMMYFUNCTION("""COMPUTED_VALUE"""),4.0)</f>
        <v>4</v>
      </c>
      <c r="G2139" s="2">
        <f>IFERROR(__xludf.DUMMYFUNCTION("""COMPUTED_VALUE"""),9.0)</f>
        <v>9</v>
      </c>
      <c r="H2139" s="2" t="str">
        <f>IFERROR(__xludf.DUMMYFUNCTION("""COMPUTED_VALUE"""),"M. ģim.")</f>
        <v>M. ģim.</v>
      </c>
      <c r="I2139" s="2" t="str">
        <f>IFERROR(__xludf.DUMMYFUNCTION("""COMPUTED_VALUE"""),"Panel")</f>
        <v>Panel</v>
      </c>
      <c r="J2139" s="2" t="str">
        <f>IFERROR(__xludf.DUMMYFUNCTION("""COMPUTED_VALUE"""),"All amenities")</f>
        <v>All amenities</v>
      </c>
      <c r="K2139" s="2">
        <f>IFERROR(__xludf.DUMMYFUNCTION("""COMPUTED_VALUE"""),43000.0)</f>
        <v>43000</v>
      </c>
      <c r="L2139" s="2">
        <f>IFERROR(__xludf.DUMMYFUNCTION("""COMPUTED_VALUE"""),56.9543228)</f>
        <v>56.9543228</v>
      </c>
      <c r="M2139" s="2">
        <f>IFERROR(__xludf.DUMMYFUNCTION("""COMPUTED_VALUE"""),24.17910595)</f>
        <v>24.17910595</v>
      </c>
    </row>
    <row r="2140">
      <c r="A2140" s="2" t="str">
        <f>IFERROR(__xludf.DUMMYFUNCTION("""COMPUTED_VALUE"""),"For sale")</f>
        <v>For sale</v>
      </c>
      <c r="B2140" s="2" t="str">
        <f>IFERROR(__xludf.DUMMYFUNCTION("""COMPUTED_VALUE"""),"Vecrīga")</f>
        <v>Vecrīga</v>
      </c>
      <c r="C2140" s="2" t="str">
        <f>IFERROR(__xludf.DUMMYFUNCTION("""COMPUTED_VALUE"""),"Kalēju 14")</f>
        <v>Kalēju 14</v>
      </c>
      <c r="D2140" s="2">
        <f>IFERROR(__xludf.DUMMYFUNCTION("""COMPUTED_VALUE"""),3.0)</f>
        <v>3</v>
      </c>
      <c r="E2140" s="2">
        <f>IFERROR(__xludf.DUMMYFUNCTION("""COMPUTED_VALUE"""),90.0)</f>
        <v>90</v>
      </c>
      <c r="F2140" s="2">
        <f>IFERROR(__xludf.DUMMYFUNCTION("""COMPUTED_VALUE"""),4.0)</f>
        <v>4</v>
      </c>
      <c r="G2140" s="2">
        <f>IFERROR(__xludf.DUMMYFUNCTION("""COMPUTED_VALUE"""),5.0)</f>
        <v>5</v>
      </c>
      <c r="H2140" s="2" t="str">
        <f>IFERROR(__xludf.DUMMYFUNCTION("""COMPUTED_VALUE"""),"P. kara")</f>
        <v>P. kara</v>
      </c>
      <c r="I2140" s="2" t="str">
        <f>IFERROR(__xludf.DUMMYFUNCTION("""COMPUTED_VALUE"""),"Masonry")</f>
        <v>Masonry</v>
      </c>
      <c r="J2140" s="2" t="str">
        <f>IFERROR(__xludf.DUMMYFUNCTION("""COMPUTED_VALUE"""),"All amenities")</f>
        <v>All amenities</v>
      </c>
      <c r="K2140" s="2">
        <f>IFERROR(__xludf.DUMMYFUNCTION("""COMPUTED_VALUE"""),268800.0)</f>
        <v>268800</v>
      </c>
      <c r="L2140" s="2">
        <f>IFERROR(__xludf.DUMMYFUNCTION("""COMPUTED_VALUE"""),56.9483908)</f>
        <v>56.9483908</v>
      </c>
      <c r="M2140" s="2">
        <f>IFERROR(__xludf.DUMMYFUNCTION("""COMPUTED_VALUE"""),24.110708262171)</f>
        <v>24.11070826</v>
      </c>
    </row>
    <row r="2141">
      <c r="A2141" s="2" t="str">
        <f>IFERROR(__xludf.DUMMYFUNCTION("""COMPUTED_VALUE"""),"For sale")</f>
        <v>For sale</v>
      </c>
      <c r="B2141" s="2" t="str">
        <f>IFERROR(__xludf.DUMMYFUNCTION("""COMPUTED_VALUE"""),"centrs")</f>
        <v>centrs</v>
      </c>
      <c r="C2141" s="2" t="str">
        <f>IFERROR(__xludf.DUMMYFUNCTION("""COMPUTED_VALUE"""),"Kalēju 74")</f>
        <v>Kalēju 74</v>
      </c>
      <c r="D2141" s="2">
        <f>IFERROR(__xludf.DUMMYFUNCTION("""COMPUTED_VALUE"""),3.0)</f>
        <v>3</v>
      </c>
      <c r="E2141" s="2">
        <f>IFERROR(__xludf.DUMMYFUNCTION("""COMPUTED_VALUE"""),73.0)</f>
        <v>73</v>
      </c>
      <c r="F2141" s="2">
        <f>IFERROR(__xludf.DUMMYFUNCTION("""COMPUTED_VALUE"""),6.0)</f>
        <v>6</v>
      </c>
      <c r="G2141" s="2">
        <f>IFERROR(__xludf.DUMMYFUNCTION("""COMPUTED_VALUE"""),7.0)</f>
        <v>7</v>
      </c>
      <c r="H2141" s="2" t="str">
        <f>IFERROR(__xludf.DUMMYFUNCTION("""COMPUTED_VALUE"""),"Jaun.")</f>
        <v>Jaun.</v>
      </c>
      <c r="I2141" s="2" t="str">
        <f>IFERROR(__xludf.DUMMYFUNCTION("""COMPUTED_VALUE"""),"Masonry")</f>
        <v>Masonry</v>
      </c>
      <c r="J2141" s="2" t="str">
        <f>IFERROR(__xludf.DUMMYFUNCTION("""COMPUTED_VALUE"""),"All amenities")</f>
        <v>All amenities</v>
      </c>
      <c r="K2141" s="2">
        <f>IFERROR(__xludf.DUMMYFUNCTION("""COMPUTED_VALUE"""),168000.0)</f>
        <v>168000</v>
      </c>
      <c r="L2141" s="2">
        <f>IFERROR(__xludf.DUMMYFUNCTION("""COMPUTED_VALUE"""),56.945456)</f>
        <v>56.945456</v>
      </c>
      <c r="M2141" s="2">
        <f>IFERROR(__xludf.DUMMYFUNCTION("""COMPUTED_VALUE"""),24.1115799)</f>
        <v>24.1115799</v>
      </c>
    </row>
    <row r="2142">
      <c r="A2142" s="2" t="str">
        <f>IFERROR(__xludf.DUMMYFUNCTION("""COMPUTED_VALUE"""),"For sale")</f>
        <v>For sale</v>
      </c>
      <c r="B2142" s="2" t="str">
        <f>IFERROR(__xludf.DUMMYFUNCTION("""COMPUTED_VALUE"""),"Jugla")</f>
        <v>Jugla</v>
      </c>
      <c r="C2142" s="2" t="str">
        <f>IFERROR(__xludf.DUMMYFUNCTION("""COMPUTED_VALUE"""),"Murjāņu 56")</f>
        <v>Murjāņu 56</v>
      </c>
      <c r="D2142" s="2">
        <f>IFERROR(__xludf.DUMMYFUNCTION("""COMPUTED_VALUE"""),2.0)</f>
        <v>2</v>
      </c>
      <c r="E2142" s="2">
        <f>IFERROR(__xludf.DUMMYFUNCTION("""COMPUTED_VALUE"""),45.0)</f>
        <v>45</v>
      </c>
      <c r="F2142" s="2">
        <f>IFERROR(__xludf.DUMMYFUNCTION("""COMPUTED_VALUE"""),5.0)</f>
        <v>5</v>
      </c>
      <c r="G2142" s="2">
        <f>IFERROR(__xludf.DUMMYFUNCTION("""COMPUTED_VALUE"""),5.0)</f>
        <v>5</v>
      </c>
      <c r="H2142" s="2" t="str">
        <f>IFERROR(__xludf.DUMMYFUNCTION("""COMPUTED_VALUE"""),"LT proj.")</f>
        <v>LT proj.</v>
      </c>
      <c r="I2142" s="2" t="str">
        <f>IFERROR(__xludf.DUMMYFUNCTION("""COMPUTED_VALUE"""),"Panel-Brick")</f>
        <v>Panel-Brick</v>
      </c>
      <c r="J2142" s="2" t="str">
        <f>IFERROR(__xludf.DUMMYFUNCTION("""COMPUTED_VALUE"""),"All amenities")</f>
        <v>All amenities</v>
      </c>
      <c r="K2142" s="2">
        <f>IFERROR(__xludf.DUMMYFUNCTION("""COMPUTED_VALUE"""),44000.0)</f>
        <v>44000</v>
      </c>
      <c r="L2142" s="2">
        <f>IFERROR(__xludf.DUMMYFUNCTION("""COMPUTED_VALUE"""),56.97782785)</f>
        <v>56.97782785</v>
      </c>
      <c r="M2142" s="2">
        <f>IFERROR(__xludf.DUMMYFUNCTION("""COMPUTED_VALUE"""),24.25241215)</f>
        <v>24.25241215</v>
      </c>
    </row>
    <row r="2143">
      <c r="A2143" s="2" t="str">
        <f>IFERROR(__xludf.DUMMYFUNCTION("""COMPUTED_VALUE"""),"For sale")</f>
        <v>For sale</v>
      </c>
      <c r="B2143" s="2" t="str">
        <f>IFERROR(__xludf.DUMMYFUNCTION("""COMPUTED_VALUE"""),"Imanta")</f>
        <v>Imanta</v>
      </c>
      <c r="C2143" s="2" t="str">
        <f>IFERROR(__xludf.DUMMYFUNCTION("""COMPUTED_VALUE"""),"Dubultu 19")</f>
        <v>Dubultu 19</v>
      </c>
      <c r="D2143" s="2">
        <f>IFERROR(__xludf.DUMMYFUNCTION("""COMPUTED_VALUE"""),2.0)</f>
        <v>2</v>
      </c>
      <c r="E2143" s="2">
        <f>IFERROR(__xludf.DUMMYFUNCTION("""COMPUTED_VALUE"""),51.0)</f>
        <v>51</v>
      </c>
      <c r="F2143" s="2">
        <f>IFERROR(__xludf.DUMMYFUNCTION("""COMPUTED_VALUE"""),5.0)</f>
        <v>5</v>
      </c>
      <c r="G2143" s="2">
        <f>IFERROR(__xludf.DUMMYFUNCTION("""COMPUTED_VALUE"""),5.0)</f>
        <v>5</v>
      </c>
      <c r="H2143" s="2" t="str">
        <f>IFERROR(__xludf.DUMMYFUNCTION("""COMPUTED_VALUE"""),"LT proj.")</f>
        <v>LT proj.</v>
      </c>
      <c r="I2143" s="2" t="str">
        <f>IFERROR(__xludf.DUMMYFUNCTION("""COMPUTED_VALUE"""),"Panel")</f>
        <v>Panel</v>
      </c>
      <c r="J2143" s="2" t="str">
        <f>IFERROR(__xludf.DUMMYFUNCTION("""COMPUTED_VALUE"""),"All amenities")</f>
        <v>All amenities</v>
      </c>
      <c r="K2143" s="2">
        <f>IFERROR(__xludf.DUMMYFUNCTION("""COMPUTED_VALUE"""),57000.0)</f>
        <v>57000</v>
      </c>
      <c r="L2143" s="2">
        <f>IFERROR(__xludf.DUMMYFUNCTION("""COMPUTED_VALUE"""),56.95623425)</f>
        <v>56.95623425</v>
      </c>
      <c r="M2143" s="2">
        <f>IFERROR(__xludf.DUMMYFUNCTION("""COMPUTED_VALUE"""),24.0043295756336)</f>
        <v>24.00432958</v>
      </c>
    </row>
    <row r="2144">
      <c r="A2144" s="2" t="str">
        <f>IFERROR(__xludf.DUMMYFUNCTION("""COMPUTED_VALUE"""),"For rent")</f>
        <v>For rent</v>
      </c>
      <c r="B2144" s="2" t="str">
        <f>IFERROR(__xludf.DUMMYFUNCTION("""COMPUTED_VALUE"""),"Sarkandaugava")</f>
        <v>Sarkandaugava</v>
      </c>
      <c r="C2144" s="2" t="str">
        <f>IFERROR(__xludf.DUMMYFUNCTION("""COMPUTED_VALUE"""),"Hāpsalas 6")</f>
        <v>Hāpsalas 6</v>
      </c>
      <c r="D2144" s="2">
        <f>IFERROR(__xludf.DUMMYFUNCTION("""COMPUTED_VALUE"""),1.0)</f>
        <v>1</v>
      </c>
      <c r="E2144" s="2">
        <f>IFERROR(__xludf.DUMMYFUNCTION("""COMPUTED_VALUE"""),34.0)</f>
        <v>34</v>
      </c>
      <c r="F2144" s="2">
        <f>IFERROR(__xludf.DUMMYFUNCTION("""COMPUTED_VALUE"""),2.0)</f>
        <v>2</v>
      </c>
      <c r="G2144" s="2">
        <f>IFERROR(__xludf.DUMMYFUNCTION("""COMPUTED_VALUE"""),9.0)</f>
        <v>9</v>
      </c>
      <c r="H2144" s="2">
        <f>IFERROR(__xludf.DUMMYFUNCTION("""COMPUTED_VALUE"""),602.0)</f>
        <v>602</v>
      </c>
      <c r="I2144" s="2" t="str">
        <f>IFERROR(__xludf.DUMMYFUNCTION("""COMPUTED_VALUE"""),"Panel")</f>
        <v>Panel</v>
      </c>
      <c r="J2144" s="2" t="str">
        <f>IFERROR(__xludf.DUMMYFUNCTION("""COMPUTED_VALUE"""),"All amenities")</f>
        <v>All amenities</v>
      </c>
      <c r="K2144" s="2">
        <f>IFERROR(__xludf.DUMMYFUNCTION("""COMPUTED_VALUE"""),280.0)</f>
        <v>280</v>
      </c>
      <c r="L2144" s="2">
        <f>IFERROR(__xludf.DUMMYFUNCTION("""COMPUTED_VALUE"""),56.9992634)</f>
        <v>56.9992634</v>
      </c>
      <c r="M2144" s="2">
        <f>IFERROR(__xludf.DUMMYFUNCTION("""COMPUTED_VALUE"""),24.1226469896261)</f>
        <v>24.12264699</v>
      </c>
    </row>
    <row r="2145">
      <c r="A2145" s="2" t="str">
        <f>IFERROR(__xludf.DUMMYFUNCTION("""COMPUTED_VALUE"""),"For sale")</f>
        <v>For sale</v>
      </c>
      <c r="B2145" s="2" t="str">
        <f>IFERROR(__xludf.DUMMYFUNCTION("""COMPUTED_VALUE"""),"centrs")</f>
        <v>centrs</v>
      </c>
      <c r="C2145" s="2" t="str">
        <f>IFERROR(__xludf.DUMMYFUNCTION("""COMPUTED_VALUE"""),"Ganu 6")</f>
        <v>Ganu 6</v>
      </c>
      <c r="D2145" s="2">
        <f>IFERROR(__xludf.DUMMYFUNCTION("""COMPUTED_VALUE"""),4.0)</f>
        <v>4</v>
      </c>
      <c r="E2145" s="2">
        <f>IFERROR(__xludf.DUMMYFUNCTION("""COMPUTED_VALUE"""),115.0)</f>
        <v>115</v>
      </c>
      <c r="F2145" s="2">
        <f>IFERROR(__xludf.DUMMYFUNCTION("""COMPUTED_VALUE"""),1.0)</f>
        <v>1</v>
      </c>
      <c r="G2145" s="2">
        <f>IFERROR(__xludf.DUMMYFUNCTION("""COMPUTED_VALUE"""),6.0)</f>
        <v>6</v>
      </c>
      <c r="H2145" s="2" t="str">
        <f>IFERROR(__xludf.DUMMYFUNCTION("""COMPUTED_VALUE"""),"Renov.")</f>
        <v>Renov.</v>
      </c>
      <c r="I2145" s="2" t="str">
        <f>IFERROR(__xludf.DUMMYFUNCTION("""COMPUTED_VALUE"""),"Masonry")</f>
        <v>Masonry</v>
      </c>
      <c r="J2145" s="2" t="str">
        <f>IFERROR(__xludf.DUMMYFUNCTION("""COMPUTED_VALUE"""),"All amenities")</f>
        <v>All amenities</v>
      </c>
      <c r="K2145" s="2">
        <f>IFERROR(__xludf.DUMMYFUNCTION("""COMPUTED_VALUE"""),140000.0)</f>
        <v>140000</v>
      </c>
      <c r="L2145" s="2">
        <f>IFERROR(__xludf.DUMMYFUNCTION("""COMPUTED_VALUE"""),56.96172495)</f>
        <v>56.96172495</v>
      </c>
      <c r="M2145" s="2">
        <f>IFERROR(__xludf.DUMMYFUNCTION("""COMPUTED_VALUE"""),24.1097055902472)</f>
        <v>24.10970559</v>
      </c>
    </row>
    <row r="2146">
      <c r="A2146" s="2" t="str">
        <f>IFERROR(__xludf.DUMMYFUNCTION("""COMPUTED_VALUE"""),"For sale")</f>
        <v>For sale</v>
      </c>
      <c r="B2146" s="2" t="str">
        <f>IFERROR(__xludf.DUMMYFUNCTION("""COMPUTED_VALUE"""),"Imanta")</f>
        <v>Imanta</v>
      </c>
      <c r="C2146" s="2" t="str">
        <f>IFERROR(__xludf.DUMMYFUNCTION("""COMPUTED_VALUE"""),"Anniņmuižas bulvāris 52")</f>
        <v>Anniņmuižas bulvāris 52</v>
      </c>
      <c r="D2146" s="2">
        <f>IFERROR(__xludf.DUMMYFUNCTION("""COMPUTED_VALUE"""),3.0)</f>
        <v>3</v>
      </c>
      <c r="E2146" s="2">
        <f>IFERROR(__xludf.DUMMYFUNCTION("""COMPUTED_VALUE"""),62.0)</f>
        <v>62</v>
      </c>
      <c r="F2146" s="2">
        <f>IFERROR(__xludf.DUMMYFUNCTION("""COMPUTED_VALUE"""),1.0)</f>
        <v>1</v>
      </c>
      <c r="G2146" s="2">
        <f>IFERROR(__xludf.DUMMYFUNCTION("""COMPUTED_VALUE"""),9.0)</f>
        <v>9</v>
      </c>
      <c r="H2146" s="2">
        <f>IFERROR(__xludf.DUMMYFUNCTION("""COMPUTED_VALUE"""),602.0)</f>
        <v>602</v>
      </c>
      <c r="I2146" s="2" t="str">
        <f>IFERROR(__xludf.DUMMYFUNCTION("""COMPUTED_VALUE"""),"Panel")</f>
        <v>Panel</v>
      </c>
      <c r="J2146" s="2" t="str">
        <f>IFERROR(__xludf.DUMMYFUNCTION("""COMPUTED_VALUE"""),"All amenities")</f>
        <v>All amenities</v>
      </c>
      <c r="K2146" s="2">
        <f>IFERROR(__xludf.DUMMYFUNCTION("""COMPUTED_VALUE"""),52500.0)</f>
        <v>52500</v>
      </c>
      <c r="L2146" s="2">
        <f>IFERROR(__xludf.DUMMYFUNCTION("""COMPUTED_VALUE"""),56.95911535)</f>
        <v>56.95911535</v>
      </c>
      <c r="M2146" s="2">
        <f>IFERROR(__xludf.DUMMYFUNCTION("""COMPUTED_VALUE"""),24.009544181028)</f>
        <v>24.00954418</v>
      </c>
    </row>
    <row r="2147">
      <c r="A2147" s="2" t="str">
        <f>IFERROR(__xludf.DUMMYFUNCTION("""COMPUTED_VALUE"""),"For sale")</f>
        <v>For sale</v>
      </c>
      <c r="B2147" s="2" t="str">
        <f>IFERROR(__xludf.DUMMYFUNCTION("""COMPUTED_VALUE"""),"centrs")</f>
        <v>centrs</v>
      </c>
      <c r="C2147" s="2" t="str">
        <f>IFERROR(__xludf.DUMMYFUNCTION("""COMPUTED_VALUE"""),"Grostonas 25")</f>
        <v>Grostonas 25</v>
      </c>
      <c r="D2147" s="2">
        <f>IFERROR(__xludf.DUMMYFUNCTION("""COMPUTED_VALUE"""),4.0)</f>
        <v>4</v>
      </c>
      <c r="E2147" s="2">
        <f>IFERROR(__xludf.DUMMYFUNCTION("""COMPUTED_VALUE"""),110.0)</f>
        <v>110</v>
      </c>
      <c r="F2147" s="2">
        <f>IFERROR(__xludf.DUMMYFUNCTION("""COMPUTED_VALUE"""),18.0)</f>
        <v>18</v>
      </c>
      <c r="G2147" s="2">
        <f>IFERROR(__xludf.DUMMYFUNCTION("""COMPUTED_VALUE"""),22.0)</f>
        <v>22</v>
      </c>
      <c r="H2147" s="2" t="str">
        <f>IFERROR(__xludf.DUMMYFUNCTION("""COMPUTED_VALUE"""),"Jaun.")</f>
        <v>Jaun.</v>
      </c>
      <c r="I2147" s="2" t="str">
        <f>IFERROR(__xludf.DUMMYFUNCTION("""COMPUTED_VALUE"""),"Panel")</f>
        <v>Panel</v>
      </c>
      <c r="J2147" s="2" t="str">
        <f>IFERROR(__xludf.DUMMYFUNCTION("""COMPUTED_VALUE"""),"All amenities")</f>
        <v>All amenities</v>
      </c>
      <c r="K2147" s="2">
        <f>IFERROR(__xludf.DUMMYFUNCTION("""COMPUTED_VALUE"""),325000.0)</f>
        <v>325000</v>
      </c>
      <c r="L2147" s="2">
        <f>IFERROR(__xludf.DUMMYFUNCTION("""COMPUTED_VALUE"""),56.9721458)</f>
        <v>56.9721458</v>
      </c>
      <c r="M2147" s="2">
        <f>IFERROR(__xludf.DUMMYFUNCTION("""COMPUTED_VALUE"""),24.1258006641927)</f>
        <v>24.12580066</v>
      </c>
    </row>
    <row r="2148">
      <c r="A2148" s="2" t="str">
        <f>IFERROR(__xludf.DUMMYFUNCTION("""COMPUTED_VALUE"""),"For sale")</f>
        <v>For sale</v>
      </c>
      <c r="B2148" s="2" t="str">
        <f>IFERROR(__xludf.DUMMYFUNCTION("""COMPUTED_VALUE"""),"Mežciems")</f>
        <v>Mežciems</v>
      </c>
      <c r="C2148" s="2" t="str">
        <f>IFERROR(__xludf.DUMMYFUNCTION("""COMPUTED_VALUE"""),"Biķernieku 160")</f>
        <v>Biķernieku 160</v>
      </c>
      <c r="D2148" s="2">
        <f>IFERROR(__xludf.DUMMYFUNCTION("""COMPUTED_VALUE"""),3.0)</f>
        <v>3</v>
      </c>
      <c r="E2148" s="2">
        <f>IFERROR(__xludf.DUMMYFUNCTION("""COMPUTED_VALUE"""),73.0)</f>
        <v>73</v>
      </c>
      <c r="F2148" s="2">
        <f>IFERROR(__xludf.DUMMYFUNCTION("""COMPUTED_VALUE"""),1.0)</f>
        <v>1</v>
      </c>
      <c r="G2148" s="2">
        <f>IFERROR(__xludf.DUMMYFUNCTION("""COMPUTED_VALUE"""),5.0)</f>
        <v>5</v>
      </c>
      <c r="H2148" s="2" t="str">
        <f>IFERROR(__xludf.DUMMYFUNCTION("""COMPUTED_VALUE"""),"Jaun.")</f>
        <v>Jaun.</v>
      </c>
      <c r="I2148" s="2" t="str">
        <f>IFERROR(__xludf.DUMMYFUNCTION("""COMPUTED_VALUE"""),"Panel")</f>
        <v>Panel</v>
      </c>
      <c r="J2148" s="2" t="str">
        <f>IFERROR(__xludf.DUMMYFUNCTION("""COMPUTED_VALUE"""),"All amenities")</f>
        <v>All amenities</v>
      </c>
      <c r="K2148" s="2">
        <f>IFERROR(__xludf.DUMMYFUNCTION("""COMPUTED_VALUE"""),115000.0)</f>
        <v>115000</v>
      </c>
      <c r="L2148" s="2">
        <f>IFERROR(__xludf.DUMMYFUNCTION("""COMPUTED_VALUE"""),56.9569585)</f>
        <v>56.9569585</v>
      </c>
      <c r="M2148" s="2">
        <f>IFERROR(__xludf.DUMMYFUNCTION("""COMPUTED_VALUE"""),24.2536804)</f>
        <v>24.2536804</v>
      </c>
    </row>
    <row r="2149">
      <c r="A2149" s="2" t="str">
        <f>IFERROR(__xludf.DUMMYFUNCTION("""COMPUTED_VALUE"""),"For rent")</f>
        <v>For rent</v>
      </c>
      <c r="B2149" s="2" t="str">
        <f>IFERROR(__xludf.DUMMYFUNCTION("""COMPUTED_VALUE"""),"Dārzciems")</f>
        <v>Dārzciems</v>
      </c>
      <c r="C2149" s="2" t="str">
        <f>IFERROR(__xludf.DUMMYFUNCTION("""COMPUTED_VALUE"""),"Līvānu 1")</f>
        <v>Līvānu 1</v>
      </c>
      <c r="D2149" s="2">
        <f>IFERROR(__xludf.DUMMYFUNCTION("""COMPUTED_VALUE"""),2.0)</f>
        <v>2</v>
      </c>
      <c r="E2149" s="2">
        <f>IFERROR(__xludf.DUMMYFUNCTION("""COMPUTED_VALUE"""),42.0)</f>
        <v>42</v>
      </c>
      <c r="F2149" s="2">
        <f>IFERROR(__xludf.DUMMYFUNCTION("""COMPUTED_VALUE"""),2.0)</f>
        <v>2</v>
      </c>
      <c r="G2149" s="2">
        <f>IFERROR(__xludf.DUMMYFUNCTION("""COMPUTED_VALUE"""),2.0)</f>
        <v>2</v>
      </c>
      <c r="H2149" s="2" t="str">
        <f>IFERROR(__xludf.DUMMYFUNCTION("""COMPUTED_VALUE"""),"Hrušč.")</f>
        <v>Hrušč.</v>
      </c>
      <c r="I2149" s="2" t="str">
        <f>IFERROR(__xludf.DUMMYFUNCTION("""COMPUTED_VALUE"""),"Brick")</f>
        <v>Brick</v>
      </c>
      <c r="J2149" s="2" t="str">
        <f>IFERROR(__xludf.DUMMYFUNCTION("""COMPUTED_VALUE"""),"All amenities")</f>
        <v>All amenities</v>
      </c>
      <c r="K2149" s="2">
        <f>IFERROR(__xludf.DUMMYFUNCTION("""COMPUTED_VALUE"""),280.0)</f>
        <v>280</v>
      </c>
      <c r="L2149" s="2">
        <f>IFERROR(__xludf.DUMMYFUNCTION("""COMPUTED_VALUE"""),56.93111235)</f>
        <v>56.93111235</v>
      </c>
      <c r="M2149" s="2">
        <f>IFERROR(__xludf.DUMMYFUNCTION("""COMPUTED_VALUE"""),24.1758196613114)</f>
        <v>24.17581966</v>
      </c>
    </row>
    <row r="2150">
      <c r="A2150" s="2" t="str">
        <f>IFERROR(__xludf.DUMMYFUNCTION("""COMPUTED_VALUE"""),"For sale")</f>
        <v>For sale</v>
      </c>
      <c r="B2150" s="2" t="str">
        <f>IFERROR(__xludf.DUMMYFUNCTION("""COMPUTED_VALUE"""),"Imanta")</f>
        <v>Imanta</v>
      </c>
      <c r="C2150" s="2" t="str">
        <f>IFERROR(__xludf.DUMMYFUNCTION("""COMPUTED_VALUE"""),"Slokas 132")</f>
        <v>Slokas 132</v>
      </c>
      <c r="D2150" s="2">
        <f>IFERROR(__xludf.DUMMYFUNCTION("""COMPUTED_VALUE"""),3.0)</f>
        <v>3</v>
      </c>
      <c r="E2150" s="2">
        <f>IFERROR(__xludf.DUMMYFUNCTION("""COMPUTED_VALUE"""),62.0)</f>
        <v>62</v>
      </c>
      <c r="F2150" s="2">
        <f>IFERROR(__xludf.DUMMYFUNCTION("""COMPUTED_VALUE"""),8.0)</f>
        <v>8</v>
      </c>
      <c r="G2150" s="2">
        <f>IFERROR(__xludf.DUMMYFUNCTION("""COMPUTED_VALUE"""),9.0)</f>
        <v>9</v>
      </c>
      <c r="H2150" s="2">
        <f>IFERROR(__xludf.DUMMYFUNCTION("""COMPUTED_VALUE"""),602.0)</f>
        <v>602</v>
      </c>
      <c r="I2150" s="2" t="str">
        <f>IFERROR(__xludf.DUMMYFUNCTION("""COMPUTED_VALUE"""),"Panel")</f>
        <v>Panel</v>
      </c>
      <c r="J2150" s="2" t="str">
        <f>IFERROR(__xludf.DUMMYFUNCTION("""COMPUTED_VALUE"""),"All amenities")</f>
        <v>All amenities</v>
      </c>
      <c r="K2150" s="2">
        <f>IFERROR(__xludf.DUMMYFUNCTION("""COMPUTED_VALUE"""),57000.0)</f>
        <v>57000</v>
      </c>
      <c r="L2150" s="2">
        <f>IFERROR(__xludf.DUMMYFUNCTION("""COMPUTED_VALUE"""),56.9635463)</f>
        <v>56.9635463</v>
      </c>
      <c r="M2150" s="2">
        <f>IFERROR(__xludf.DUMMYFUNCTION("""COMPUTED_VALUE"""),24.009740303812)</f>
        <v>24.0097403</v>
      </c>
    </row>
    <row r="2151">
      <c r="A2151" s="2" t="str">
        <f>IFERROR(__xludf.DUMMYFUNCTION("""COMPUTED_VALUE"""),"For rent")</f>
        <v>For rent</v>
      </c>
      <c r="B2151" s="2" t="str">
        <f>IFERROR(__xludf.DUMMYFUNCTION("""COMPUTED_VALUE"""),"Ķengarags")</f>
        <v>Ķengarags</v>
      </c>
      <c r="C2151" s="2" t="str">
        <f>IFERROR(__xludf.DUMMYFUNCTION("""COMPUTED_VALUE"""),"Maskavas 252")</f>
        <v>Maskavas 252</v>
      </c>
      <c r="D2151" s="2">
        <f>IFERROR(__xludf.DUMMYFUNCTION("""COMPUTED_VALUE"""),2.0)</f>
        <v>2</v>
      </c>
      <c r="E2151" s="2">
        <f>IFERROR(__xludf.DUMMYFUNCTION("""COMPUTED_VALUE"""),48.0)</f>
        <v>48</v>
      </c>
      <c r="F2151" s="2">
        <f>IFERROR(__xludf.DUMMYFUNCTION("""COMPUTED_VALUE"""),3.0)</f>
        <v>3</v>
      </c>
      <c r="G2151" s="2">
        <f>IFERROR(__xludf.DUMMYFUNCTION("""COMPUTED_VALUE"""),5.0)</f>
        <v>5</v>
      </c>
      <c r="H2151" s="2" t="str">
        <f>IFERROR(__xludf.DUMMYFUNCTION("""COMPUTED_VALUE"""),"LT proj.")</f>
        <v>LT proj.</v>
      </c>
      <c r="I2151" s="2" t="str">
        <f>IFERROR(__xludf.DUMMYFUNCTION("""COMPUTED_VALUE"""),"Panel")</f>
        <v>Panel</v>
      </c>
      <c r="J2151" s="2" t="str">
        <f>IFERROR(__xludf.DUMMYFUNCTION("""COMPUTED_VALUE"""),"All amenities")</f>
        <v>All amenities</v>
      </c>
      <c r="K2151" s="2">
        <f>IFERROR(__xludf.DUMMYFUNCTION("""COMPUTED_VALUE"""),25.0)</f>
        <v>25</v>
      </c>
      <c r="L2151" s="2">
        <f>IFERROR(__xludf.DUMMYFUNCTION("""COMPUTED_VALUE"""),56.9136866)</f>
        <v>56.9136866</v>
      </c>
      <c r="M2151" s="2">
        <f>IFERROR(__xludf.DUMMYFUNCTION("""COMPUTED_VALUE"""),24.1731334542895)</f>
        <v>24.17313345</v>
      </c>
    </row>
    <row r="2152">
      <c r="A2152" s="2" t="str">
        <f>IFERROR(__xludf.DUMMYFUNCTION("""COMPUTED_VALUE"""),"For sale")</f>
        <v>For sale</v>
      </c>
      <c r="B2152" s="2" t="str">
        <f>IFERROR(__xludf.DUMMYFUNCTION("""COMPUTED_VALUE"""),"Teika")</f>
        <v>Teika</v>
      </c>
      <c r="C2152" s="2" t="str">
        <f>IFERROR(__xludf.DUMMYFUNCTION("""COMPUTED_VALUE"""),"Krustabaznīcas 5")</f>
        <v>Krustabaznīcas 5</v>
      </c>
      <c r="D2152" s="2">
        <f>IFERROR(__xludf.DUMMYFUNCTION("""COMPUTED_VALUE"""),2.0)</f>
        <v>2</v>
      </c>
      <c r="E2152" s="2">
        <f>IFERROR(__xludf.DUMMYFUNCTION("""COMPUTED_VALUE"""),36.0)</f>
        <v>36</v>
      </c>
      <c r="F2152" s="2">
        <f>IFERROR(__xludf.DUMMYFUNCTION("""COMPUTED_VALUE"""),2.0)</f>
        <v>2</v>
      </c>
      <c r="G2152" s="2">
        <f>IFERROR(__xludf.DUMMYFUNCTION("""COMPUTED_VALUE"""),1.0)</f>
        <v>1</v>
      </c>
      <c r="H2152" s="2" t="str">
        <f>IFERROR(__xludf.DUMMYFUNCTION("""COMPUTED_VALUE"""),"P. kara")</f>
        <v>P. kara</v>
      </c>
      <c r="I2152" s="2" t="str">
        <f>IFERROR(__xludf.DUMMYFUNCTION("""COMPUTED_VALUE"""),"Masonry")</f>
        <v>Masonry</v>
      </c>
      <c r="J2152" s="2" t="str">
        <f>IFERROR(__xludf.DUMMYFUNCTION("""COMPUTED_VALUE"""),"Partial amenities")</f>
        <v>Partial amenities</v>
      </c>
      <c r="K2152" s="2">
        <f>IFERROR(__xludf.DUMMYFUNCTION("""COMPUTED_VALUE"""),16500.0)</f>
        <v>16500</v>
      </c>
      <c r="L2152" s="2">
        <f>IFERROR(__xludf.DUMMYFUNCTION("""COMPUTED_VALUE"""),56.9831771)</f>
        <v>56.9831771</v>
      </c>
      <c r="M2152" s="2">
        <f>IFERROR(__xludf.DUMMYFUNCTION("""COMPUTED_VALUE"""),24.1946415)</f>
        <v>24.1946415</v>
      </c>
    </row>
    <row r="2153">
      <c r="A2153" s="2" t="str">
        <f>IFERROR(__xludf.DUMMYFUNCTION("""COMPUTED_VALUE"""),"For sale")</f>
        <v>For sale</v>
      </c>
      <c r="B2153" s="2" t="str">
        <f>IFERROR(__xludf.DUMMYFUNCTION("""COMPUTED_VALUE"""),"Vecmīlgrāvis")</f>
        <v>Vecmīlgrāvis</v>
      </c>
      <c r="C2153" s="2" t="str">
        <f>IFERROR(__xludf.DUMMYFUNCTION("""COMPUTED_VALUE"""),"Meldru 12")</f>
        <v>Meldru 12</v>
      </c>
      <c r="D2153" s="2">
        <f>IFERROR(__xludf.DUMMYFUNCTION("""COMPUTED_VALUE"""),2.0)</f>
        <v>2</v>
      </c>
      <c r="E2153" s="2">
        <f>IFERROR(__xludf.DUMMYFUNCTION("""COMPUTED_VALUE"""),42.0)</f>
        <v>42</v>
      </c>
      <c r="F2153" s="2">
        <f>IFERROR(__xludf.DUMMYFUNCTION("""COMPUTED_VALUE"""),5.0)</f>
        <v>5</v>
      </c>
      <c r="G2153" s="2">
        <f>IFERROR(__xludf.DUMMYFUNCTION("""COMPUTED_VALUE"""),5.0)</f>
        <v>5</v>
      </c>
      <c r="H2153" s="2" t="str">
        <f>IFERROR(__xludf.DUMMYFUNCTION("""COMPUTED_VALUE"""),"Hrušč.")</f>
        <v>Hrušč.</v>
      </c>
      <c r="I2153" s="2" t="str">
        <f>IFERROR(__xludf.DUMMYFUNCTION("""COMPUTED_VALUE"""),"Brick")</f>
        <v>Brick</v>
      </c>
      <c r="J2153" s="2" t="str">
        <f>IFERROR(__xludf.DUMMYFUNCTION("""COMPUTED_VALUE"""),"All amenities")</f>
        <v>All amenities</v>
      </c>
      <c r="K2153" s="2">
        <f>IFERROR(__xludf.DUMMYFUNCTION("""COMPUTED_VALUE"""),29000.0)</f>
        <v>29000</v>
      </c>
      <c r="L2153" s="2">
        <f>IFERROR(__xludf.DUMMYFUNCTION("""COMPUTED_VALUE"""),57.0301906)</f>
        <v>57.0301906</v>
      </c>
      <c r="M2153" s="2">
        <f>IFERROR(__xludf.DUMMYFUNCTION("""COMPUTED_VALUE"""),24.09970765)</f>
        <v>24.09970765</v>
      </c>
    </row>
    <row r="2154">
      <c r="A2154" s="2" t="str">
        <f>IFERROR(__xludf.DUMMYFUNCTION("""COMPUTED_VALUE"""),"For sale")</f>
        <v>For sale</v>
      </c>
      <c r="B2154" s="2" t="str">
        <f>IFERROR(__xludf.DUMMYFUNCTION("""COMPUTED_VALUE"""),"Vecmīlgrāvis")</f>
        <v>Vecmīlgrāvis</v>
      </c>
      <c r="C2154" s="2" t="str">
        <f>IFERROR(__xludf.DUMMYFUNCTION("""COMPUTED_VALUE"""),"Emmas 11")</f>
        <v>Emmas 11</v>
      </c>
      <c r="D2154" s="2">
        <f>IFERROR(__xludf.DUMMYFUNCTION("""COMPUTED_VALUE"""),3.0)</f>
        <v>3</v>
      </c>
      <c r="E2154" s="2">
        <f>IFERROR(__xludf.DUMMYFUNCTION("""COMPUTED_VALUE"""),56.0)</f>
        <v>56</v>
      </c>
      <c r="F2154" s="2">
        <f>IFERROR(__xludf.DUMMYFUNCTION("""COMPUTED_VALUE"""),5.0)</f>
        <v>5</v>
      </c>
      <c r="G2154" s="2">
        <f>IFERROR(__xludf.DUMMYFUNCTION("""COMPUTED_VALUE"""),5.0)</f>
        <v>5</v>
      </c>
      <c r="H2154" s="2" t="str">
        <f>IFERROR(__xludf.DUMMYFUNCTION("""COMPUTED_VALUE"""),"LT proj.")</f>
        <v>LT proj.</v>
      </c>
      <c r="I2154" s="2" t="str">
        <f>IFERROR(__xludf.DUMMYFUNCTION("""COMPUTED_VALUE"""),"Panel")</f>
        <v>Panel</v>
      </c>
      <c r="J2154" s="2" t="str">
        <f>IFERROR(__xludf.DUMMYFUNCTION("""COMPUTED_VALUE"""),"All amenities")</f>
        <v>All amenities</v>
      </c>
      <c r="K2154" s="2">
        <f>IFERROR(__xludf.DUMMYFUNCTION("""COMPUTED_VALUE"""),35000.0)</f>
        <v>35000</v>
      </c>
      <c r="L2154" s="2">
        <f>IFERROR(__xludf.DUMMYFUNCTION("""COMPUTED_VALUE"""),57.02968905)</f>
        <v>57.02968905</v>
      </c>
      <c r="M2154" s="2">
        <f>IFERROR(__xludf.DUMMYFUNCTION("""COMPUTED_VALUE"""),24.108664502028)</f>
        <v>24.1086645</v>
      </c>
    </row>
    <row r="2155">
      <c r="A2155" s="2" t="str">
        <f>IFERROR(__xludf.DUMMYFUNCTION("""COMPUTED_VALUE"""),"For rent")</f>
        <v>For rent</v>
      </c>
      <c r="B2155" s="2" t="str">
        <f>IFERROR(__xludf.DUMMYFUNCTION("""COMPUTED_VALUE"""),"centrs")</f>
        <v>centrs</v>
      </c>
      <c r="C2155" s="2" t="str">
        <f>IFERROR(__xludf.DUMMYFUNCTION("""COMPUTED_VALUE"""),"Zvaigžņu 24")</f>
        <v>Zvaigžņu 24</v>
      </c>
      <c r="D2155" s="2">
        <f>IFERROR(__xludf.DUMMYFUNCTION("""COMPUTED_VALUE"""),1.0)</f>
        <v>1</v>
      </c>
      <c r="E2155" s="2">
        <f>IFERROR(__xludf.DUMMYFUNCTION("""COMPUTED_VALUE"""),20.0)</f>
        <v>20</v>
      </c>
      <c r="F2155" s="2">
        <f>IFERROR(__xludf.DUMMYFUNCTION("""COMPUTED_VALUE"""),5.0)</f>
        <v>5</v>
      </c>
      <c r="G2155" s="2">
        <f>IFERROR(__xludf.DUMMYFUNCTION("""COMPUTED_VALUE"""),6.0)</f>
        <v>6</v>
      </c>
      <c r="H2155" s="2" t="str">
        <f>IFERROR(__xludf.DUMMYFUNCTION("""COMPUTED_VALUE"""),"P. kara")</f>
        <v>P. kara</v>
      </c>
      <c r="I2155" s="2" t="str">
        <f>IFERROR(__xludf.DUMMYFUNCTION("""COMPUTED_VALUE"""),"Masonry")</f>
        <v>Masonry</v>
      </c>
      <c r="J2155" s="2" t="str">
        <f>IFERROR(__xludf.DUMMYFUNCTION("""COMPUTED_VALUE"""),"All amenities")</f>
        <v>All amenities</v>
      </c>
      <c r="K2155" s="2">
        <f>IFERROR(__xludf.DUMMYFUNCTION("""COMPUTED_VALUE"""),25.0)</f>
        <v>25</v>
      </c>
      <c r="L2155" s="2">
        <f>IFERROR(__xludf.DUMMYFUNCTION("""COMPUTED_VALUE"""),56.9607411)</f>
        <v>56.9607411</v>
      </c>
      <c r="M2155" s="2">
        <f>IFERROR(__xludf.DUMMYFUNCTION("""COMPUTED_VALUE"""),24.1497716)</f>
        <v>24.1497716</v>
      </c>
    </row>
    <row r="2156">
      <c r="A2156" s="2" t="str">
        <f>IFERROR(__xludf.DUMMYFUNCTION("""COMPUTED_VALUE"""),"For sale")</f>
        <v>For sale</v>
      </c>
      <c r="B2156" s="2" t="str">
        <f>IFERROR(__xludf.DUMMYFUNCTION("""COMPUTED_VALUE"""),"Ķengarags")</f>
        <v>Ķengarags</v>
      </c>
      <c r="C2156" s="2" t="str">
        <f>IFERROR(__xludf.DUMMYFUNCTION("""COMPUTED_VALUE"""),"Glūdas 2")</f>
        <v>Glūdas 2</v>
      </c>
      <c r="D2156" s="2">
        <f>IFERROR(__xludf.DUMMYFUNCTION("""COMPUTED_VALUE"""),2.0)</f>
        <v>2</v>
      </c>
      <c r="E2156" s="2">
        <f>IFERROR(__xludf.DUMMYFUNCTION("""COMPUTED_VALUE"""),44.0)</f>
        <v>44</v>
      </c>
      <c r="F2156" s="2">
        <f>IFERROR(__xludf.DUMMYFUNCTION("""COMPUTED_VALUE"""),3.0)</f>
        <v>3</v>
      </c>
      <c r="G2156" s="2">
        <f>IFERROR(__xludf.DUMMYFUNCTION("""COMPUTED_VALUE"""),5.0)</f>
        <v>5</v>
      </c>
      <c r="H2156" s="2" t="str">
        <f>IFERROR(__xludf.DUMMYFUNCTION("""COMPUTED_VALUE"""),"LT proj.")</f>
        <v>LT proj.</v>
      </c>
      <c r="I2156" s="2" t="str">
        <f>IFERROR(__xludf.DUMMYFUNCTION("""COMPUTED_VALUE"""),"Panel")</f>
        <v>Panel</v>
      </c>
      <c r="J2156" s="2" t="str">
        <f>IFERROR(__xludf.DUMMYFUNCTION("""COMPUTED_VALUE"""),"All amenities")</f>
        <v>All amenities</v>
      </c>
      <c r="K2156" s="2">
        <f>IFERROR(__xludf.DUMMYFUNCTION("""COMPUTED_VALUE"""),57000.0)</f>
        <v>57000</v>
      </c>
      <c r="L2156" s="2">
        <f>IFERROR(__xludf.DUMMYFUNCTION("""COMPUTED_VALUE"""),56.91126875)</f>
        <v>56.91126875</v>
      </c>
      <c r="M2156" s="2">
        <f>IFERROR(__xludf.DUMMYFUNCTION("""COMPUTED_VALUE"""),24.1734859737149)</f>
        <v>24.17348597</v>
      </c>
    </row>
    <row r="2157">
      <c r="A2157" s="2" t="str">
        <f>IFERROR(__xludf.DUMMYFUNCTION("""COMPUTED_VALUE"""),"For sale")</f>
        <v>For sale</v>
      </c>
      <c r="B2157" s="2" t="str">
        <f>IFERROR(__xludf.DUMMYFUNCTION("""COMPUTED_VALUE"""),"Ķengarags")</f>
        <v>Ķengarags</v>
      </c>
      <c r="C2157" s="2" t="str">
        <f>IFERROR(__xludf.DUMMYFUNCTION("""COMPUTED_VALUE"""),"Maskavas 258/2")</f>
        <v>Maskavas 258/2</v>
      </c>
      <c r="D2157" s="2">
        <f>IFERROR(__xludf.DUMMYFUNCTION("""COMPUTED_VALUE"""),1.0)</f>
        <v>1</v>
      </c>
      <c r="E2157" s="2">
        <f>IFERROR(__xludf.DUMMYFUNCTION("""COMPUTED_VALUE"""),34.0)</f>
        <v>34</v>
      </c>
      <c r="F2157" s="2">
        <f>IFERROR(__xludf.DUMMYFUNCTION("""COMPUTED_VALUE"""),2.0)</f>
        <v>2</v>
      </c>
      <c r="G2157" s="2">
        <f>IFERROR(__xludf.DUMMYFUNCTION("""COMPUTED_VALUE"""),5.0)</f>
        <v>5</v>
      </c>
      <c r="H2157" s="2" t="str">
        <f>IFERROR(__xludf.DUMMYFUNCTION("""COMPUTED_VALUE"""),"Hrušč.")</f>
        <v>Hrušč.</v>
      </c>
      <c r="I2157" s="2" t="str">
        <f>IFERROR(__xludf.DUMMYFUNCTION("""COMPUTED_VALUE"""),"Brick")</f>
        <v>Brick</v>
      </c>
      <c r="J2157" s="2" t="str">
        <f>IFERROR(__xludf.DUMMYFUNCTION("""COMPUTED_VALUE"""),"All amenities")</f>
        <v>All amenities</v>
      </c>
      <c r="K2157" s="2">
        <f>IFERROR(__xludf.DUMMYFUNCTION("""COMPUTED_VALUE"""),30000.0)</f>
        <v>30000</v>
      </c>
      <c r="L2157" s="2">
        <f>IFERROR(__xludf.DUMMYFUNCTION("""COMPUTED_VALUE"""),56.94476985)</f>
        <v>56.94476985</v>
      </c>
      <c r="M2157" s="2">
        <f>IFERROR(__xludf.DUMMYFUNCTION("""COMPUTED_VALUE"""),24.1133461730018)</f>
        <v>24.11334617</v>
      </c>
    </row>
    <row r="2158">
      <c r="A2158" s="2" t="str">
        <f>IFERROR(__xludf.DUMMYFUNCTION("""COMPUTED_VALUE"""),"For rent")</f>
        <v>For rent</v>
      </c>
      <c r="B2158" s="2" t="str">
        <f>IFERROR(__xludf.DUMMYFUNCTION("""COMPUTED_VALUE"""),"Pļavnieki")</f>
        <v>Pļavnieki</v>
      </c>
      <c r="C2158" s="2" t="str">
        <f>IFERROR(__xludf.DUMMYFUNCTION("""COMPUTED_VALUE"""),"Deglava 122")</f>
        <v>Deglava 122</v>
      </c>
      <c r="D2158" s="2">
        <f>IFERROR(__xludf.DUMMYFUNCTION("""COMPUTED_VALUE"""),3.0)</f>
        <v>3</v>
      </c>
      <c r="E2158" s="2">
        <f>IFERROR(__xludf.DUMMYFUNCTION("""COMPUTED_VALUE"""),76.0)</f>
        <v>76</v>
      </c>
      <c r="F2158" s="2">
        <f>IFERROR(__xludf.DUMMYFUNCTION("""COMPUTED_VALUE"""),5.0)</f>
        <v>5</v>
      </c>
      <c r="G2158" s="2">
        <f>IFERROR(__xludf.DUMMYFUNCTION("""COMPUTED_VALUE"""),9.0)</f>
        <v>9</v>
      </c>
      <c r="H2158" s="2">
        <f>IFERROR(__xludf.DUMMYFUNCTION("""COMPUTED_VALUE"""),119.0)</f>
        <v>119</v>
      </c>
      <c r="I2158" s="2" t="str">
        <f>IFERROR(__xludf.DUMMYFUNCTION("""COMPUTED_VALUE"""),"Panel")</f>
        <v>Panel</v>
      </c>
      <c r="J2158" s="2" t="str">
        <f>IFERROR(__xludf.DUMMYFUNCTION("""COMPUTED_VALUE"""),"All amenities")</f>
        <v>All amenities</v>
      </c>
      <c r="K2158" s="2">
        <f>IFERROR(__xludf.DUMMYFUNCTION("""COMPUTED_VALUE"""),400.0)</f>
        <v>400</v>
      </c>
      <c r="L2158" s="2">
        <f>IFERROR(__xludf.DUMMYFUNCTION("""COMPUTED_VALUE"""),56.94708265)</f>
        <v>56.94708265</v>
      </c>
      <c r="M2158" s="2">
        <f>IFERROR(__xludf.DUMMYFUNCTION("""COMPUTED_VALUE"""),24.1976276399044)</f>
        <v>24.19762764</v>
      </c>
    </row>
    <row r="2159">
      <c r="A2159" s="2" t="str">
        <f>IFERROR(__xludf.DUMMYFUNCTION("""COMPUTED_VALUE"""),"For sale")</f>
        <v>For sale</v>
      </c>
      <c r="B2159" s="2" t="str">
        <f>IFERROR(__xludf.DUMMYFUNCTION("""COMPUTED_VALUE"""),"Ziepniekkalns")</f>
        <v>Ziepniekkalns</v>
      </c>
      <c r="C2159" s="2" t="str">
        <f>IFERROR(__xludf.DUMMYFUNCTION("""COMPUTED_VALUE"""),"Ozolciema 16")</f>
        <v>Ozolciema 16</v>
      </c>
      <c r="D2159" s="2">
        <f>IFERROR(__xludf.DUMMYFUNCTION("""COMPUTED_VALUE"""),3.0)</f>
        <v>3</v>
      </c>
      <c r="E2159" s="2">
        <f>IFERROR(__xludf.DUMMYFUNCTION("""COMPUTED_VALUE"""),76.0)</f>
        <v>76</v>
      </c>
      <c r="F2159" s="2">
        <f>IFERROR(__xludf.DUMMYFUNCTION("""COMPUTED_VALUE"""),8.0)</f>
        <v>8</v>
      </c>
      <c r="G2159" s="2">
        <f>IFERROR(__xludf.DUMMYFUNCTION("""COMPUTED_VALUE"""),10.0)</f>
        <v>10</v>
      </c>
      <c r="H2159" s="2">
        <f>IFERROR(__xludf.DUMMYFUNCTION("""COMPUTED_VALUE"""),119.0)</f>
        <v>119</v>
      </c>
      <c r="I2159" s="2" t="str">
        <f>IFERROR(__xludf.DUMMYFUNCTION("""COMPUTED_VALUE"""),"Panel")</f>
        <v>Panel</v>
      </c>
      <c r="J2159" s="2" t="str">
        <f>IFERROR(__xludf.DUMMYFUNCTION("""COMPUTED_VALUE"""),"All amenities")</f>
        <v>All amenities</v>
      </c>
      <c r="K2159" s="2">
        <f>IFERROR(__xludf.DUMMYFUNCTION("""COMPUTED_VALUE"""),78000.0)</f>
        <v>78000</v>
      </c>
      <c r="L2159" s="2">
        <f>IFERROR(__xludf.DUMMYFUNCTION("""COMPUTED_VALUE"""),56.9008065999999)</f>
        <v>56.9008066</v>
      </c>
      <c r="M2159" s="2">
        <f>IFERROR(__xludf.DUMMYFUNCTION("""COMPUTED_VALUE"""),24.0862561999999)</f>
        <v>24.0862562</v>
      </c>
    </row>
    <row r="2160">
      <c r="A2160" s="2" t="str">
        <f>IFERROR(__xludf.DUMMYFUNCTION("""COMPUTED_VALUE"""),"For sale")</f>
        <v>For sale</v>
      </c>
      <c r="B2160" s="2" t="str">
        <f>IFERROR(__xludf.DUMMYFUNCTION("""COMPUTED_VALUE"""),"centrs")</f>
        <v>centrs</v>
      </c>
      <c r="C2160" s="2" t="str">
        <f>IFERROR(__xludf.DUMMYFUNCTION("""COMPUTED_VALUE"""),"Artilērijas 59")</f>
        <v>Artilērijas 59</v>
      </c>
      <c r="D2160" s="2">
        <f>IFERROR(__xludf.DUMMYFUNCTION("""COMPUTED_VALUE"""),2.0)</f>
        <v>2</v>
      </c>
      <c r="E2160" s="2">
        <f>IFERROR(__xludf.DUMMYFUNCTION("""COMPUTED_VALUE"""),40.0)</f>
        <v>40</v>
      </c>
      <c r="F2160" s="2">
        <f>IFERROR(__xludf.DUMMYFUNCTION("""COMPUTED_VALUE"""),2.0)</f>
        <v>2</v>
      </c>
      <c r="G2160" s="2">
        <f>IFERROR(__xludf.DUMMYFUNCTION("""COMPUTED_VALUE"""),2.0)</f>
        <v>2</v>
      </c>
      <c r="H2160" s="2" t="str">
        <f>IFERROR(__xludf.DUMMYFUNCTION("""COMPUTED_VALUE"""),"P. kara")</f>
        <v>P. kara</v>
      </c>
      <c r="I2160" s="2" t="str">
        <f>IFERROR(__xludf.DUMMYFUNCTION("""COMPUTED_VALUE"""),"Wood")</f>
        <v>Wood</v>
      </c>
      <c r="J2160" s="2" t="str">
        <f>IFERROR(__xludf.DUMMYFUNCTION("""COMPUTED_VALUE"""),"All amenities")</f>
        <v>All amenities</v>
      </c>
      <c r="K2160" s="2">
        <f>IFERROR(__xludf.DUMMYFUNCTION("""COMPUTED_VALUE"""),45000.0)</f>
        <v>45000</v>
      </c>
      <c r="L2160" s="2">
        <f>IFERROR(__xludf.DUMMYFUNCTION("""COMPUTED_VALUE"""),56.95559025)</f>
        <v>56.95559025</v>
      </c>
      <c r="M2160" s="2">
        <f>IFERROR(__xludf.DUMMYFUNCTION("""COMPUTED_VALUE"""),24.1463102714599)</f>
        <v>24.14631027</v>
      </c>
    </row>
    <row r="2161">
      <c r="A2161" s="2" t="str">
        <f>IFERROR(__xludf.DUMMYFUNCTION("""COMPUTED_VALUE"""),"For rent")</f>
        <v>For rent</v>
      </c>
      <c r="B2161" s="2" t="str">
        <f>IFERROR(__xludf.DUMMYFUNCTION("""COMPUTED_VALUE"""),"Torņakalns")</f>
        <v>Torņakalns</v>
      </c>
      <c r="C2161" s="2" t="str">
        <f>IFERROR(__xludf.DUMMYFUNCTION("""COMPUTED_VALUE"""),"Garozes 17")</f>
        <v>Garozes 17</v>
      </c>
      <c r="D2161" s="2">
        <f>IFERROR(__xludf.DUMMYFUNCTION("""COMPUTED_VALUE"""),1.0)</f>
        <v>1</v>
      </c>
      <c r="E2161" s="2">
        <f>IFERROR(__xludf.DUMMYFUNCTION("""COMPUTED_VALUE"""),38.0)</f>
        <v>38</v>
      </c>
      <c r="F2161" s="2">
        <f>IFERROR(__xludf.DUMMYFUNCTION("""COMPUTED_VALUE"""),1.0)</f>
        <v>1</v>
      </c>
      <c r="G2161" s="2">
        <f>IFERROR(__xludf.DUMMYFUNCTION("""COMPUTED_VALUE"""),5.0)</f>
        <v>5</v>
      </c>
      <c r="H2161" s="2" t="str">
        <f>IFERROR(__xludf.DUMMYFUNCTION("""COMPUTED_VALUE"""),"M. ģim.")</f>
        <v>M. ģim.</v>
      </c>
      <c r="I2161" s="2" t="str">
        <f>IFERROR(__xludf.DUMMYFUNCTION("""COMPUTED_VALUE"""),"Panel")</f>
        <v>Panel</v>
      </c>
      <c r="J2161" s="2" t="str">
        <f>IFERROR(__xludf.DUMMYFUNCTION("""COMPUTED_VALUE"""),"All amenities")</f>
        <v>All amenities</v>
      </c>
      <c r="K2161" s="2">
        <f>IFERROR(__xludf.DUMMYFUNCTION("""COMPUTED_VALUE"""),250.0)</f>
        <v>250</v>
      </c>
      <c r="L2161" s="2">
        <f>IFERROR(__xludf.DUMMYFUNCTION("""COMPUTED_VALUE"""),56.9179738)</f>
        <v>56.9179738</v>
      </c>
      <c r="M2161" s="2">
        <f>IFERROR(__xludf.DUMMYFUNCTION("""COMPUTED_VALUE"""),24.1007131999999)</f>
        <v>24.1007132</v>
      </c>
    </row>
    <row r="2162">
      <c r="A2162" s="2" t="str">
        <f>IFERROR(__xludf.DUMMYFUNCTION("""COMPUTED_VALUE"""),"For rent")</f>
        <v>For rent</v>
      </c>
      <c r="B2162" s="2" t="str">
        <f>IFERROR(__xludf.DUMMYFUNCTION("""COMPUTED_VALUE"""),"Āgenskalns")</f>
        <v>Āgenskalns</v>
      </c>
      <c r="C2162" s="2" t="str">
        <f>IFERROR(__xludf.DUMMYFUNCTION("""COMPUTED_VALUE"""),"Vīlipa 12")</f>
        <v>Vīlipa 12</v>
      </c>
      <c r="D2162" s="2">
        <f>IFERROR(__xludf.DUMMYFUNCTION("""COMPUTED_VALUE"""),3.0)</f>
        <v>3</v>
      </c>
      <c r="E2162" s="2">
        <f>IFERROR(__xludf.DUMMYFUNCTION("""COMPUTED_VALUE"""),87.0)</f>
        <v>87</v>
      </c>
      <c r="F2162" s="2">
        <f>IFERROR(__xludf.DUMMYFUNCTION("""COMPUTED_VALUE"""),9.0)</f>
        <v>9</v>
      </c>
      <c r="G2162" s="2">
        <f>IFERROR(__xludf.DUMMYFUNCTION("""COMPUTED_VALUE"""),9.0)</f>
        <v>9</v>
      </c>
      <c r="H2162" s="2" t="str">
        <f>IFERROR(__xludf.DUMMYFUNCTION("""COMPUTED_VALUE"""),"Jaun.")</f>
        <v>Jaun.</v>
      </c>
      <c r="I2162" s="2" t="str">
        <f>IFERROR(__xludf.DUMMYFUNCTION("""COMPUTED_VALUE"""),"Panel-Brick")</f>
        <v>Panel-Brick</v>
      </c>
      <c r="J2162" s="2" t="str">
        <f>IFERROR(__xludf.DUMMYFUNCTION("""COMPUTED_VALUE"""),"All amenities")</f>
        <v>All amenities</v>
      </c>
      <c r="K2162" s="2">
        <f>IFERROR(__xludf.DUMMYFUNCTION("""COMPUTED_VALUE"""),600.0)</f>
        <v>600</v>
      </c>
      <c r="L2162" s="2">
        <f>IFERROR(__xludf.DUMMYFUNCTION("""COMPUTED_VALUE"""),56.94825305)</f>
        <v>56.94825305</v>
      </c>
      <c r="M2162" s="2">
        <f>IFERROR(__xludf.DUMMYFUNCTION("""COMPUTED_VALUE"""),24.0553285635443)</f>
        <v>24.05532856</v>
      </c>
    </row>
    <row r="2163">
      <c r="A2163" s="2" t="str">
        <f>IFERROR(__xludf.DUMMYFUNCTION("""COMPUTED_VALUE"""),"For sale")</f>
        <v>For sale</v>
      </c>
      <c r="B2163" s="2" t="str">
        <f>IFERROR(__xludf.DUMMYFUNCTION("""COMPUTED_VALUE"""),"Ziepniekkalns")</f>
        <v>Ziepniekkalns</v>
      </c>
      <c r="C2163" s="2" t="str">
        <f>IFERROR(__xludf.DUMMYFUNCTION("""COMPUTED_VALUE"""),"Īslīces 3")</f>
        <v>Īslīces 3</v>
      </c>
      <c r="D2163" s="2">
        <f>IFERROR(__xludf.DUMMYFUNCTION("""COMPUTED_VALUE"""),5.0)</f>
        <v>5</v>
      </c>
      <c r="E2163" s="2">
        <f>IFERROR(__xludf.DUMMYFUNCTION("""COMPUTED_VALUE"""),140.0)</f>
        <v>140</v>
      </c>
      <c r="F2163" s="2">
        <f>IFERROR(__xludf.DUMMYFUNCTION("""COMPUTED_VALUE"""),3.0)</f>
        <v>3</v>
      </c>
      <c r="G2163" s="2">
        <f>IFERROR(__xludf.DUMMYFUNCTION("""COMPUTED_VALUE"""),10.0)</f>
        <v>10</v>
      </c>
      <c r="H2163" s="2">
        <f>IFERROR(__xludf.DUMMYFUNCTION("""COMPUTED_VALUE"""),119.0)</f>
        <v>119</v>
      </c>
      <c r="I2163" s="2" t="str">
        <f>IFERROR(__xludf.DUMMYFUNCTION("""COMPUTED_VALUE"""),"Panel")</f>
        <v>Panel</v>
      </c>
      <c r="J2163" s="2" t="str">
        <f>IFERROR(__xludf.DUMMYFUNCTION("""COMPUTED_VALUE"""),"All amenities")</f>
        <v>All amenities</v>
      </c>
      <c r="K2163" s="2">
        <f>IFERROR(__xludf.DUMMYFUNCTION("""COMPUTED_VALUE"""),105000.0)</f>
        <v>105000</v>
      </c>
      <c r="L2163" s="2">
        <f>IFERROR(__xludf.DUMMYFUNCTION("""COMPUTED_VALUE"""),56.9004074)</f>
        <v>56.9004074</v>
      </c>
      <c r="M2163" s="2">
        <f>IFERROR(__xludf.DUMMYFUNCTION("""COMPUTED_VALUE"""),24.0837422885217)</f>
        <v>24.08374229</v>
      </c>
    </row>
    <row r="2164">
      <c r="A2164" s="2" t="str">
        <f>IFERROR(__xludf.DUMMYFUNCTION("""COMPUTED_VALUE"""),"For rent")</f>
        <v>For rent</v>
      </c>
      <c r="B2164" s="2" t="str">
        <f>IFERROR(__xludf.DUMMYFUNCTION("""COMPUTED_VALUE"""),"Ķengarags")</f>
        <v>Ķengarags</v>
      </c>
      <c r="C2164" s="2" t="str">
        <f>IFERROR(__xludf.DUMMYFUNCTION("""COMPUTED_VALUE"""),"Kaņiera 14")</f>
        <v>Kaņiera 14</v>
      </c>
      <c r="D2164" s="2">
        <f>IFERROR(__xludf.DUMMYFUNCTION("""COMPUTED_VALUE"""),1.0)</f>
        <v>1</v>
      </c>
      <c r="E2164" s="2">
        <f>IFERROR(__xludf.DUMMYFUNCTION("""COMPUTED_VALUE"""),30.0)</f>
        <v>30</v>
      </c>
      <c r="F2164" s="2">
        <f>IFERROR(__xludf.DUMMYFUNCTION("""COMPUTED_VALUE"""),6.0)</f>
        <v>6</v>
      </c>
      <c r="G2164" s="2">
        <f>IFERROR(__xludf.DUMMYFUNCTION("""COMPUTED_VALUE"""),12.0)</f>
        <v>12</v>
      </c>
      <c r="H2164" s="2" t="str">
        <f>IFERROR(__xludf.DUMMYFUNCTION("""COMPUTED_VALUE"""),"Čehu pr.")</f>
        <v>Čehu pr.</v>
      </c>
      <c r="I2164" s="2" t="str">
        <f>IFERROR(__xludf.DUMMYFUNCTION("""COMPUTED_VALUE"""),"Brick-Panel")</f>
        <v>Brick-Panel</v>
      </c>
      <c r="J2164" s="2" t="str">
        <f>IFERROR(__xludf.DUMMYFUNCTION("""COMPUTED_VALUE"""),"All amenities")</f>
        <v>All amenities</v>
      </c>
      <c r="K2164" s="2">
        <f>IFERROR(__xludf.DUMMYFUNCTION("""COMPUTED_VALUE"""),330.0)</f>
        <v>330</v>
      </c>
      <c r="L2164" s="2">
        <f>IFERROR(__xludf.DUMMYFUNCTION("""COMPUTED_VALUE"""),56.91430155)</f>
        <v>56.91430155</v>
      </c>
      <c r="M2164" s="2">
        <f>IFERROR(__xludf.DUMMYFUNCTION("""COMPUTED_VALUE"""),24.1686274615939)</f>
        <v>24.16862746</v>
      </c>
    </row>
    <row r="2165">
      <c r="A2165" s="2" t="str">
        <f>IFERROR(__xludf.DUMMYFUNCTION("""COMPUTED_VALUE"""),"For rent")</f>
        <v>For rent</v>
      </c>
      <c r="B2165" s="2" t="str">
        <f>IFERROR(__xludf.DUMMYFUNCTION("""COMPUTED_VALUE"""),"Purvciems")</f>
        <v>Purvciems</v>
      </c>
      <c r="C2165" s="2" t="str">
        <f>IFERROR(__xludf.DUMMYFUNCTION("""COMPUTED_VALUE"""),"Dzelzavas 23")</f>
        <v>Dzelzavas 23</v>
      </c>
      <c r="D2165" s="2">
        <f>IFERROR(__xludf.DUMMYFUNCTION("""COMPUTED_VALUE"""),1.0)</f>
        <v>1</v>
      </c>
      <c r="E2165" s="2">
        <f>IFERROR(__xludf.DUMMYFUNCTION("""COMPUTED_VALUE"""),34.0)</f>
        <v>34</v>
      </c>
      <c r="F2165" s="2">
        <f>IFERROR(__xludf.DUMMYFUNCTION("""COMPUTED_VALUE"""),8.0)</f>
        <v>8</v>
      </c>
      <c r="G2165" s="2">
        <f>IFERROR(__xludf.DUMMYFUNCTION("""COMPUTED_VALUE"""),9.0)</f>
        <v>9</v>
      </c>
      <c r="H2165" s="2">
        <f>IFERROR(__xludf.DUMMYFUNCTION("""COMPUTED_VALUE"""),602.0)</f>
        <v>602</v>
      </c>
      <c r="I2165" s="2" t="str">
        <f>IFERROR(__xludf.DUMMYFUNCTION("""COMPUTED_VALUE"""),"Panel")</f>
        <v>Panel</v>
      </c>
      <c r="J2165" s="2" t="str">
        <f>IFERROR(__xludf.DUMMYFUNCTION("""COMPUTED_VALUE"""),"All amenities")</f>
        <v>All amenities</v>
      </c>
      <c r="K2165" s="2">
        <f>IFERROR(__xludf.DUMMYFUNCTION("""COMPUTED_VALUE"""),35.0)</f>
        <v>35</v>
      </c>
      <c r="L2165" s="2">
        <f>IFERROR(__xludf.DUMMYFUNCTION("""COMPUTED_VALUE"""),56.9601343)</f>
        <v>56.9601343</v>
      </c>
      <c r="M2165" s="2">
        <f>IFERROR(__xludf.DUMMYFUNCTION("""COMPUTED_VALUE"""),24.1765388172837)</f>
        <v>24.17653882</v>
      </c>
    </row>
    <row r="2166">
      <c r="A2166" s="2" t="str">
        <f>IFERROR(__xludf.DUMMYFUNCTION("""COMPUTED_VALUE"""),"For sale")</f>
        <v>For sale</v>
      </c>
      <c r="B2166" s="2" t="str">
        <f>IFERROR(__xludf.DUMMYFUNCTION("""COMPUTED_VALUE"""),"Ķengarags")</f>
        <v>Ķengarags</v>
      </c>
      <c r="C2166" s="2" t="str">
        <f>IFERROR(__xludf.DUMMYFUNCTION("""COMPUTED_VALUE"""),"Prūšu 20")</f>
        <v>Prūšu 20</v>
      </c>
      <c r="D2166" s="2">
        <f>IFERROR(__xludf.DUMMYFUNCTION("""COMPUTED_VALUE"""),2.0)</f>
        <v>2</v>
      </c>
      <c r="E2166" s="2">
        <f>IFERROR(__xludf.DUMMYFUNCTION("""COMPUTED_VALUE"""),43.0)</f>
        <v>43</v>
      </c>
      <c r="F2166" s="2">
        <f>IFERROR(__xludf.DUMMYFUNCTION("""COMPUTED_VALUE"""),5.0)</f>
        <v>5</v>
      </c>
      <c r="G2166" s="2">
        <f>IFERROR(__xludf.DUMMYFUNCTION("""COMPUTED_VALUE"""),5.0)</f>
        <v>5</v>
      </c>
      <c r="H2166" s="2" t="str">
        <f>IFERROR(__xludf.DUMMYFUNCTION("""COMPUTED_VALUE"""),"Hrušč.")</f>
        <v>Hrušč.</v>
      </c>
      <c r="I2166" s="2" t="str">
        <f>IFERROR(__xludf.DUMMYFUNCTION("""COMPUTED_VALUE"""),"Brick")</f>
        <v>Brick</v>
      </c>
      <c r="J2166" s="2" t="str">
        <f>IFERROR(__xludf.DUMMYFUNCTION("""COMPUTED_VALUE"""),"All amenities")</f>
        <v>All amenities</v>
      </c>
      <c r="K2166" s="2">
        <f>IFERROR(__xludf.DUMMYFUNCTION("""COMPUTED_VALUE"""),39000.0)</f>
        <v>39000</v>
      </c>
      <c r="L2166" s="2">
        <f>IFERROR(__xludf.DUMMYFUNCTION("""COMPUTED_VALUE"""),56.91425235)</f>
        <v>56.91425235</v>
      </c>
      <c r="M2166" s="2">
        <f>IFERROR(__xludf.DUMMYFUNCTION("""COMPUTED_VALUE"""),24.1854833375051)</f>
        <v>24.18548334</v>
      </c>
    </row>
    <row r="2167">
      <c r="A2167" s="2" t="str">
        <f>IFERROR(__xludf.DUMMYFUNCTION("""COMPUTED_VALUE"""),"For sale")</f>
        <v>For sale</v>
      </c>
      <c r="B2167" s="2" t="str">
        <f>IFERROR(__xludf.DUMMYFUNCTION("""COMPUTED_VALUE"""),"Ziepniekkalns")</f>
        <v>Ziepniekkalns</v>
      </c>
      <c r="C2167" s="2" t="str">
        <f>IFERROR(__xludf.DUMMYFUNCTION("""COMPUTED_VALUE"""),"Ozolciema 18")</f>
        <v>Ozolciema 18</v>
      </c>
      <c r="D2167" s="2">
        <f>IFERROR(__xludf.DUMMYFUNCTION("""COMPUTED_VALUE"""),3.0)</f>
        <v>3</v>
      </c>
      <c r="E2167" s="2">
        <f>IFERROR(__xludf.DUMMYFUNCTION("""COMPUTED_VALUE"""),77.0)</f>
        <v>77</v>
      </c>
      <c r="F2167" s="2">
        <f>IFERROR(__xludf.DUMMYFUNCTION("""COMPUTED_VALUE"""),2.0)</f>
        <v>2</v>
      </c>
      <c r="G2167" s="2">
        <f>IFERROR(__xludf.DUMMYFUNCTION("""COMPUTED_VALUE"""),9.0)</f>
        <v>9</v>
      </c>
      <c r="H2167" s="2">
        <f>IFERROR(__xludf.DUMMYFUNCTION("""COMPUTED_VALUE"""),119.0)</f>
        <v>119</v>
      </c>
      <c r="I2167" s="2" t="str">
        <f>IFERROR(__xludf.DUMMYFUNCTION("""COMPUTED_VALUE"""),"Panel")</f>
        <v>Panel</v>
      </c>
      <c r="J2167" s="2" t="str">
        <f>IFERROR(__xludf.DUMMYFUNCTION("""COMPUTED_VALUE"""),"All amenities")</f>
        <v>All amenities</v>
      </c>
      <c r="K2167" s="2">
        <f>IFERROR(__xludf.DUMMYFUNCTION("""COMPUTED_VALUE"""),79000.0)</f>
        <v>79000</v>
      </c>
      <c r="L2167" s="2">
        <f>IFERROR(__xludf.DUMMYFUNCTION("""COMPUTED_VALUE"""),56.89859735)</f>
        <v>56.89859735</v>
      </c>
      <c r="M2167" s="2">
        <f>IFERROR(__xludf.DUMMYFUNCTION("""COMPUTED_VALUE"""),24.0876707999998)</f>
        <v>24.0876708</v>
      </c>
    </row>
    <row r="2168">
      <c r="A2168" s="2" t="str">
        <f>IFERROR(__xludf.DUMMYFUNCTION("""COMPUTED_VALUE"""),"For rent")</f>
        <v>For rent</v>
      </c>
      <c r="B2168" s="2" t="str">
        <f>IFERROR(__xludf.DUMMYFUNCTION("""COMPUTED_VALUE"""),"centrs")</f>
        <v>centrs</v>
      </c>
      <c r="C2168" s="2" t="str">
        <f>IFERROR(__xludf.DUMMYFUNCTION("""COMPUTED_VALUE"""),"Grostonas 25")</f>
        <v>Grostonas 25</v>
      </c>
      <c r="D2168" s="2">
        <f>IFERROR(__xludf.DUMMYFUNCTION("""COMPUTED_VALUE"""),2.0)</f>
        <v>2</v>
      </c>
      <c r="E2168" s="2">
        <f>IFERROR(__xludf.DUMMYFUNCTION("""COMPUTED_VALUE"""),66.0)</f>
        <v>66</v>
      </c>
      <c r="F2168" s="2">
        <f>IFERROR(__xludf.DUMMYFUNCTION("""COMPUTED_VALUE"""),14.0)</f>
        <v>14</v>
      </c>
      <c r="G2168" s="2">
        <f>IFERROR(__xludf.DUMMYFUNCTION("""COMPUTED_VALUE"""),24.0)</f>
        <v>24</v>
      </c>
      <c r="H2168" s="2" t="str">
        <f>IFERROR(__xludf.DUMMYFUNCTION("""COMPUTED_VALUE"""),"Jaun.")</f>
        <v>Jaun.</v>
      </c>
      <c r="I2168" s="2" t="str">
        <f>IFERROR(__xludf.DUMMYFUNCTION("""COMPUTED_VALUE"""),"Panel")</f>
        <v>Panel</v>
      </c>
      <c r="J2168" s="2" t="str">
        <f>IFERROR(__xludf.DUMMYFUNCTION("""COMPUTED_VALUE"""),"All amenities")</f>
        <v>All amenities</v>
      </c>
      <c r="K2168" s="2">
        <f>IFERROR(__xludf.DUMMYFUNCTION("""COMPUTED_VALUE"""),690.0)</f>
        <v>690</v>
      </c>
      <c r="L2168" s="2">
        <f>IFERROR(__xludf.DUMMYFUNCTION("""COMPUTED_VALUE"""),56.9721458)</f>
        <v>56.9721458</v>
      </c>
      <c r="M2168" s="2">
        <f>IFERROR(__xludf.DUMMYFUNCTION("""COMPUTED_VALUE"""),24.1258006641927)</f>
        <v>24.12580066</v>
      </c>
    </row>
    <row r="2169">
      <c r="A2169" s="2" t="str">
        <f>IFERROR(__xludf.DUMMYFUNCTION("""COMPUTED_VALUE"""),"For rent")</f>
        <v>For rent</v>
      </c>
      <c r="B2169" s="2" t="str">
        <f>IFERROR(__xludf.DUMMYFUNCTION("""COMPUTED_VALUE"""),"centrs")</f>
        <v>centrs</v>
      </c>
      <c r="C2169" s="2" t="str">
        <f>IFERROR(__xludf.DUMMYFUNCTION("""COMPUTED_VALUE"""),"Pērnavas 19")</f>
        <v>Pērnavas 19</v>
      </c>
      <c r="D2169" s="2">
        <f>IFERROR(__xludf.DUMMYFUNCTION("""COMPUTED_VALUE"""),1.0)</f>
        <v>1</v>
      </c>
      <c r="E2169" s="2">
        <f>IFERROR(__xludf.DUMMYFUNCTION("""COMPUTED_VALUE"""),25.0)</f>
        <v>25</v>
      </c>
      <c r="F2169" s="2">
        <f>IFERROR(__xludf.DUMMYFUNCTION("""COMPUTED_VALUE"""),2.0)</f>
        <v>2</v>
      </c>
      <c r="G2169" s="2">
        <f>IFERROR(__xludf.DUMMYFUNCTION("""COMPUTED_VALUE"""),5.0)</f>
        <v>5</v>
      </c>
      <c r="H2169" s="2" t="str">
        <f>IFERROR(__xludf.DUMMYFUNCTION("""COMPUTED_VALUE"""),"Specpr.")</f>
        <v>Specpr.</v>
      </c>
      <c r="I2169" s="2" t="str">
        <f>IFERROR(__xludf.DUMMYFUNCTION("""COMPUTED_VALUE"""),"Masonry")</f>
        <v>Masonry</v>
      </c>
      <c r="J2169" s="2" t="str">
        <f>IFERROR(__xludf.DUMMYFUNCTION("""COMPUTED_VALUE"""),"All amenities")</f>
        <v>All amenities</v>
      </c>
      <c r="K2169" s="2">
        <f>IFERROR(__xludf.DUMMYFUNCTION("""COMPUTED_VALUE"""),240.0)</f>
        <v>240</v>
      </c>
      <c r="L2169" s="2">
        <f>IFERROR(__xludf.DUMMYFUNCTION("""COMPUTED_VALUE"""),56.9629237)</f>
        <v>56.9629237</v>
      </c>
      <c r="M2169" s="2">
        <f>IFERROR(__xludf.DUMMYFUNCTION("""COMPUTED_VALUE"""),24.1513342)</f>
        <v>24.1513342</v>
      </c>
    </row>
    <row r="2170">
      <c r="A2170" s="2" t="str">
        <f>IFERROR(__xludf.DUMMYFUNCTION("""COMPUTED_VALUE"""),"For rent")</f>
        <v>For rent</v>
      </c>
      <c r="B2170" s="2" t="str">
        <f>IFERROR(__xludf.DUMMYFUNCTION("""COMPUTED_VALUE"""),"Āgenskalns")</f>
        <v>Āgenskalns</v>
      </c>
      <c r="C2170" s="2" t="str">
        <f>IFERROR(__xludf.DUMMYFUNCTION("""COMPUTED_VALUE"""),"Vīlipa 12")</f>
        <v>Vīlipa 12</v>
      </c>
      <c r="D2170" s="2">
        <f>IFERROR(__xludf.DUMMYFUNCTION("""COMPUTED_VALUE"""),3.0)</f>
        <v>3</v>
      </c>
      <c r="E2170" s="2">
        <f>IFERROR(__xludf.DUMMYFUNCTION("""COMPUTED_VALUE"""),104.0)</f>
        <v>104</v>
      </c>
      <c r="F2170" s="2">
        <f>IFERROR(__xludf.DUMMYFUNCTION("""COMPUTED_VALUE"""),6.0)</f>
        <v>6</v>
      </c>
      <c r="G2170" s="2">
        <f>IFERROR(__xludf.DUMMYFUNCTION("""COMPUTED_VALUE"""),10.0)</f>
        <v>10</v>
      </c>
      <c r="H2170" s="2" t="str">
        <f>IFERROR(__xludf.DUMMYFUNCTION("""COMPUTED_VALUE"""),"Jaun.")</f>
        <v>Jaun.</v>
      </c>
      <c r="I2170" s="2" t="str">
        <f>IFERROR(__xludf.DUMMYFUNCTION("""COMPUTED_VALUE"""),"Panel-Brick")</f>
        <v>Panel-Brick</v>
      </c>
      <c r="J2170" s="2" t="str">
        <f>IFERROR(__xludf.DUMMYFUNCTION("""COMPUTED_VALUE"""),"All amenities")</f>
        <v>All amenities</v>
      </c>
      <c r="K2170" s="2">
        <f>IFERROR(__xludf.DUMMYFUNCTION("""COMPUTED_VALUE"""),800.0)</f>
        <v>800</v>
      </c>
      <c r="L2170" s="2">
        <f>IFERROR(__xludf.DUMMYFUNCTION("""COMPUTED_VALUE"""),56.94825305)</f>
        <v>56.94825305</v>
      </c>
      <c r="M2170" s="2">
        <f>IFERROR(__xludf.DUMMYFUNCTION("""COMPUTED_VALUE"""),24.0553285635443)</f>
        <v>24.05532856</v>
      </c>
    </row>
    <row r="2171">
      <c r="A2171" s="2" t="str">
        <f>IFERROR(__xludf.DUMMYFUNCTION("""COMPUTED_VALUE"""),"For sale")</f>
        <v>For sale</v>
      </c>
      <c r="B2171" s="2" t="str">
        <f>IFERROR(__xludf.DUMMYFUNCTION("""COMPUTED_VALUE"""),"Purvciems")</f>
        <v>Purvciems</v>
      </c>
      <c r="C2171" s="2" t="str">
        <f>IFERROR(__xludf.DUMMYFUNCTION("""COMPUTED_VALUE"""),"Stirnu 4")</f>
        <v>Stirnu 4</v>
      </c>
      <c r="D2171" s="2">
        <f>IFERROR(__xludf.DUMMYFUNCTION("""COMPUTED_VALUE"""),4.0)</f>
        <v>4</v>
      </c>
      <c r="E2171" s="2">
        <f>IFERROR(__xludf.DUMMYFUNCTION("""COMPUTED_VALUE"""),88.0)</f>
        <v>88</v>
      </c>
      <c r="F2171" s="2">
        <f>IFERROR(__xludf.DUMMYFUNCTION("""COMPUTED_VALUE"""),2.0)</f>
        <v>2</v>
      </c>
      <c r="G2171" s="2">
        <f>IFERROR(__xludf.DUMMYFUNCTION("""COMPUTED_VALUE"""),12.0)</f>
        <v>12</v>
      </c>
      <c r="H2171" s="2" t="str">
        <f>IFERROR(__xludf.DUMMYFUNCTION("""COMPUTED_VALUE"""),"Jaun.")</f>
        <v>Jaun.</v>
      </c>
      <c r="I2171" s="2" t="str">
        <f>IFERROR(__xludf.DUMMYFUNCTION("""COMPUTED_VALUE"""),"Brick")</f>
        <v>Brick</v>
      </c>
      <c r="J2171" s="2" t="str">
        <f>IFERROR(__xludf.DUMMYFUNCTION("""COMPUTED_VALUE"""),"All amenities")</f>
        <v>All amenities</v>
      </c>
      <c r="K2171" s="2">
        <f>IFERROR(__xludf.DUMMYFUNCTION("""COMPUTED_VALUE"""),128000.0)</f>
        <v>128000</v>
      </c>
      <c r="L2171" s="2">
        <f>IFERROR(__xludf.DUMMYFUNCTION("""COMPUTED_VALUE"""),56.9513344)</f>
        <v>56.9513344</v>
      </c>
      <c r="M2171" s="2">
        <f>IFERROR(__xludf.DUMMYFUNCTION("""COMPUTED_VALUE"""),24.184393)</f>
        <v>24.184393</v>
      </c>
    </row>
    <row r="2172">
      <c r="A2172" s="2" t="str">
        <f>IFERROR(__xludf.DUMMYFUNCTION("""COMPUTED_VALUE"""),"For sale")</f>
        <v>For sale</v>
      </c>
      <c r="B2172" s="2" t="str">
        <f>IFERROR(__xludf.DUMMYFUNCTION("""COMPUTED_VALUE"""),"Purvciems")</f>
        <v>Purvciems</v>
      </c>
      <c r="C2172" s="2" t="str">
        <f>IFERROR(__xludf.DUMMYFUNCTION("""COMPUTED_VALUE"""),"Stirnu 4")</f>
        <v>Stirnu 4</v>
      </c>
      <c r="D2172" s="2">
        <f>IFERROR(__xludf.DUMMYFUNCTION("""COMPUTED_VALUE"""),3.0)</f>
        <v>3</v>
      </c>
      <c r="E2172" s="2">
        <f>IFERROR(__xludf.DUMMYFUNCTION("""COMPUTED_VALUE"""),88.0)</f>
        <v>88</v>
      </c>
      <c r="F2172" s="2">
        <f>IFERROR(__xludf.DUMMYFUNCTION("""COMPUTED_VALUE"""),2.0)</f>
        <v>2</v>
      </c>
      <c r="G2172" s="2">
        <f>IFERROR(__xludf.DUMMYFUNCTION("""COMPUTED_VALUE"""),12.0)</f>
        <v>12</v>
      </c>
      <c r="H2172" s="2" t="str">
        <f>IFERROR(__xludf.DUMMYFUNCTION("""COMPUTED_VALUE"""),"Jaun.")</f>
        <v>Jaun.</v>
      </c>
      <c r="I2172" s="2" t="str">
        <f>IFERROR(__xludf.DUMMYFUNCTION("""COMPUTED_VALUE"""),"Brick")</f>
        <v>Brick</v>
      </c>
      <c r="J2172" s="2" t="str">
        <f>IFERROR(__xludf.DUMMYFUNCTION("""COMPUTED_VALUE"""),"All amenities")</f>
        <v>All amenities</v>
      </c>
      <c r="K2172" s="2">
        <f>IFERROR(__xludf.DUMMYFUNCTION("""COMPUTED_VALUE"""),128000.0)</f>
        <v>128000</v>
      </c>
      <c r="L2172" s="2">
        <f>IFERROR(__xludf.DUMMYFUNCTION("""COMPUTED_VALUE"""),56.9513344)</f>
        <v>56.9513344</v>
      </c>
      <c r="M2172" s="2">
        <f>IFERROR(__xludf.DUMMYFUNCTION("""COMPUTED_VALUE"""),24.184393)</f>
        <v>24.184393</v>
      </c>
    </row>
    <row r="2173">
      <c r="A2173" s="2" t="str">
        <f>IFERROR(__xludf.DUMMYFUNCTION("""COMPUTED_VALUE"""),"For sale")</f>
        <v>For sale</v>
      </c>
      <c r="B2173" s="2" t="str">
        <f>IFERROR(__xludf.DUMMYFUNCTION("""COMPUTED_VALUE"""),"centrs")</f>
        <v>centrs</v>
      </c>
      <c r="C2173" s="2" t="str">
        <f>IFERROR(__xludf.DUMMYFUNCTION("""COMPUTED_VALUE"""),"Pērnavas 1")</f>
        <v>Pērnavas 1</v>
      </c>
      <c r="D2173" s="2">
        <f>IFERROR(__xludf.DUMMYFUNCTION("""COMPUTED_VALUE"""),2.0)</f>
        <v>2</v>
      </c>
      <c r="E2173" s="2">
        <f>IFERROR(__xludf.DUMMYFUNCTION("""COMPUTED_VALUE"""),51.0)</f>
        <v>51</v>
      </c>
      <c r="F2173" s="2">
        <f>IFERROR(__xludf.DUMMYFUNCTION("""COMPUTED_VALUE"""),5.0)</f>
        <v>5</v>
      </c>
      <c r="G2173" s="2">
        <f>IFERROR(__xludf.DUMMYFUNCTION("""COMPUTED_VALUE"""),5.0)</f>
        <v>5</v>
      </c>
      <c r="H2173" s="2" t="str">
        <f>IFERROR(__xludf.DUMMYFUNCTION("""COMPUTED_VALUE"""),"Staļina")</f>
        <v>Staļina</v>
      </c>
      <c r="I2173" s="2" t="str">
        <f>IFERROR(__xludf.DUMMYFUNCTION("""COMPUTED_VALUE"""),"Masonry")</f>
        <v>Masonry</v>
      </c>
      <c r="J2173" s="2" t="str">
        <f>IFERROR(__xludf.DUMMYFUNCTION("""COMPUTED_VALUE"""),"All amenities")</f>
        <v>All amenities</v>
      </c>
      <c r="K2173" s="2">
        <f>IFERROR(__xludf.DUMMYFUNCTION("""COMPUTED_VALUE"""),79000.0)</f>
        <v>79000</v>
      </c>
      <c r="L2173" s="2">
        <f>IFERROR(__xludf.DUMMYFUNCTION("""COMPUTED_VALUE"""),56.96664995)</f>
        <v>56.96664995</v>
      </c>
      <c r="M2173" s="2">
        <f>IFERROR(__xludf.DUMMYFUNCTION("""COMPUTED_VALUE"""),24.1481856013305)</f>
        <v>24.1481856</v>
      </c>
    </row>
    <row r="2174">
      <c r="A2174" s="2" t="str">
        <f>IFERROR(__xludf.DUMMYFUNCTION("""COMPUTED_VALUE"""),"For sale")</f>
        <v>For sale</v>
      </c>
      <c r="B2174" s="2" t="str">
        <f>IFERROR(__xludf.DUMMYFUNCTION("""COMPUTED_VALUE"""),"centrs")</f>
        <v>centrs</v>
      </c>
      <c r="C2174" s="2" t="str">
        <f>IFERROR(__xludf.DUMMYFUNCTION("""COMPUTED_VALUE"""),"Brīvības 100")</f>
        <v>Brīvības 100</v>
      </c>
      <c r="D2174" s="2">
        <f>IFERROR(__xludf.DUMMYFUNCTION("""COMPUTED_VALUE"""),4.0)</f>
        <v>4</v>
      </c>
      <c r="E2174" s="2">
        <f>IFERROR(__xludf.DUMMYFUNCTION("""COMPUTED_VALUE"""),145.0)</f>
        <v>145</v>
      </c>
      <c r="F2174" s="2">
        <f>IFERROR(__xludf.DUMMYFUNCTION("""COMPUTED_VALUE"""),4.0)</f>
        <v>4</v>
      </c>
      <c r="G2174" s="2">
        <f>IFERROR(__xludf.DUMMYFUNCTION("""COMPUTED_VALUE"""),5.0)</f>
        <v>5</v>
      </c>
      <c r="H2174" s="2" t="str">
        <f>IFERROR(__xludf.DUMMYFUNCTION("""COMPUTED_VALUE"""),"P. kara")</f>
        <v>P. kara</v>
      </c>
      <c r="I2174" s="2" t="str">
        <f>IFERROR(__xludf.DUMMYFUNCTION("""COMPUTED_VALUE"""),"Masonry")</f>
        <v>Masonry</v>
      </c>
      <c r="J2174" s="2" t="str">
        <f>IFERROR(__xludf.DUMMYFUNCTION("""COMPUTED_VALUE"""),"All amenities")</f>
        <v>All amenities</v>
      </c>
      <c r="K2174" s="2">
        <f>IFERROR(__xludf.DUMMYFUNCTION("""COMPUTED_VALUE"""),210000.0)</f>
        <v>210000</v>
      </c>
      <c r="L2174" s="2">
        <f>IFERROR(__xludf.DUMMYFUNCTION("""COMPUTED_VALUE"""),56.9607613)</f>
        <v>56.9607613</v>
      </c>
      <c r="M2174" s="2">
        <f>IFERROR(__xludf.DUMMYFUNCTION("""COMPUTED_VALUE"""),24.1326583764386)</f>
        <v>24.13265838</v>
      </c>
    </row>
    <row r="2175">
      <c r="A2175" s="2" t="str">
        <f>IFERROR(__xludf.DUMMYFUNCTION("""COMPUTED_VALUE"""),"For sale")</f>
        <v>For sale</v>
      </c>
      <c r="B2175" s="2" t="str">
        <f>IFERROR(__xludf.DUMMYFUNCTION("""COMPUTED_VALUE"""),"Teika")</f>
        <v>Teika</v>
      </c>
      <c r="C2175" s="2" t="str">
        <f>IFERROR(__xludf.DUMMYFUNCTION("""COMPUTED_VALUE"""),"Zālīša 1")</f>
        <v>Zālīša 1</v>
      </c>
      <c r="D2175" s="2">
        <f>IFERROR(__xludf.DUMMYFUNCTION("""COMPUTED_VALUE"""),1.0)</f>
        <v>1</v>
      </c>
      <c r="E2175" s="2">
        <f>IFERROR(__xludf.DUMMYFUNCTION("""COMPUTED_VALUE"""),33.0)</f>
        <v>33</v>
      </c>
      <c r="F2175" s="2">
        <f>IFERROR(__xludf.DUMMYFUNCTION("""COMPUTED_VALUE"""),4.0)</f>
        <v>4</v>
      </c>
      <c r="G2175" s="2">
        <f>IFERROR(__xludf.DUMMYFUNCTION("""COMPUTED_VALUE"""),5.0)</f>
        <v>5</v>
      </c>
      <c r="H2175" s="2" t="str">
        <f>IFERROR(__xludf.DUMMYFUNCTION("""COMPUTED_VALUE"""),"Specpr.")</f>
        <v>Specpr.</v>
      </c>
      <c r="I2175" s="2" t="str">
        <f>IFERROR(__xludf.DUMMYFUNCTION("""COMPUTED_VALUE"""),"Brick-Panel")</f>
        <v>Brick-Panel</v>
      </c>
      <c r="J2175" s="2" t="str">
        <f>IFERROR(__xludf.DUMMYFUNCTION("""COMPUTED_VALUE"""),"All amenities")</f>
        <v>All amenities</v>
      </c>
      <c r="K2175" s="2">
        <f>IFERROR(__xludf.DUMMYFUNCTION("""COMPUTED_VALUE"""),35500.0)</f>
        <v>35500</v>
      </c>
      <c r="L2175" s="2">
        <f>IFERROR(__xludf.DUMMYFUNCTION("""COMPUTED_VALUE"""),56.9718417499999)</f>
        <v>56.97184175</v>
      </c>
      <c r="M2175" s="2">
        <f>IFERROR(__xludf.DUMMYFUNCTION("""COMPUTED_VALUE"""),24.1764082415772)</f>
        <v>24.17640824</v>
      </c>
    </row>
    <row r="2176">
      <c r="A2176" s="2" t="str">
        <f>IFERROR(__xludf.DUMMYFUNCTION("""COMPUTED_VALUE"""),"For sale")</f>
        <v>For sale</v>
      </c>
      <c r="B2176" s="2" t="str">
        <f>IFERROR(__xludf.DUMMYFUNCTION("""COMPUTED_VALUE"""),"Āgenskalns")</f>
        <v>Āgenskalns</v>
      </c>
      <c r="C2176" s="2" t="str">
        <f>IFERROR(__xludf.DUMMYFUNCTION("""COMPUTED_VALUE"""),"M. Nometņu 76")</f>
        <v>M. Nometņu 76</v>
      </c>
      <c r="D2176" s="2">
        <f>IFERROR(__xludf.DUMMYFUNCTION("""COMPUTED_VALUE"""),2.0)</f>
        <v>2</v>
      </c>
      <c r="E2176" s="2">
        <f>IFERROR(__xludf.DUMMYFUNCTION("""COMPUTED_VALUE"""),30.0)</f>
        <v>30</v>
      </c>
      <c r="F2176" s="2">
        <f>IFERROR(__xludf.DUMMYFUNCTION("""COMPUTED_VALUE"""),1.0)</f>
        <v>1</v>
      </c>
      <c r="G2176" s="2">
        <f>IFERROR(__xludf.DUMMYFUNCTION("""COMPUTED_VALUE"""),2.0)</f>
        <v>2</v>
      </c>
      <c r="H2176" s="2" t="str">
        <f>IFERROR(__xludf.DUMMYFUNCTION("""COMPUTED_VALUE"""),"Renov.")</f>
        <v>Renov.</v>
      </c>
      <c r="I2176" s="2" t="str">
        <f>IFERROR(__xludf.DUMMYFUNCTION("""COMPUTED_VALUE"""),"Wood")</f>
        <v>Wood</v>
      </c>
      <c r="J2176" s="2" t="str">
        <f>IFERROR(__xludf.DUMMYFUNCTION("""COMPUTED_VALUE"""),"All amenities")</f>
        <v>All amenities</v>
      </c>
      <c r="K2176" s="2">
        <f>IFERROR(__xludf.DUMMYFUNCTION("""COMPUTED_VALUE"""),21500.0)</f>
        <v>21500</v>
      </c>
      <c r="L2176" s="2">
        <f>IFERROR(__xludf.DUMMYFUNCTION("""COMPUTED_VALUE"""),56.9372249)</f>
        <v>56.9372249</v>
      </c>
      <c r="M2176" s="2">
        <f>IFERROR(__xludf.DUMMYFUNCTION("""COMPUTED_VALUE"""),24.059222740492)</f>
        <v>24.05922274</v>
      </c>
    </row>
    <row r="2177">
      <c r="A2177" s="2" t="str">
        <f>IFERROR(__xludf.DUMMYFUNCTION("""COMPUTED_VALUE"""),"For sale")</f>
        <v>For sale</v>
      </c>
      <c r="B2177" s="2" t="str">
        <f>IFERROR(__xludf.DUMMYFUNCTION("""COMPUTED_VALUE"""),"Iļģuciems")</f>
        <v>Iļģuciems</v>
      </c>
      <c r="C2177" s="2" t="str">
        <f>IFERROR(__xludf.DUMMYFUNCTION("""COMPUTED_VALUE"""),"Šauļu 2b")</f>
        <v>Šauļu 2b</v>
      </c>
      <c r="D2177" s="2">
        <f>IFERROR(__xludf.DUMMYFUNCTION("""COMPUTED_VALUE"""),2.0)</f>
        <v>2</v>
      </c>
      <c r="E2177" s="2">
        <f>IFERROR(__xludf.DUMMYFUNCTION("""COMPUTED_VALUE"""),46.0)</f>
        <v>46</v>
      </c>
      <c r="F2177" s="2">
        <f>IFERROR(__xludf.DUMMYFUNCTION("""COMPUTED_VALUE"""),2.0)</f>
        <v>2</v>
      </c>
      <c r="G2177" s="2">
        <f>IFERROR(__xludf.DUMMYFUNCTION("""COMPUTED_VALUE"""),3.0)</f>
        <v>3</v>
      </c>
      <c r="H2177" s="2" t="str">
        <f>IFERROR(__xludf.DUMMYFUNCTION("""COMPUTED_VALUE"""),"Hrušč.")</f>
        <v>Hrušč.</v>
      </c>
      <c r="I2177" s="2" t="str">
        <f>IFERROR(__xludf.DUMMYFUNCTION("""COMPUTED_VALUE"""),"Brick-Panel")</f>
        <v>Brick-Panel</v>
      </c>
      <c r="J2177" s="2" t="str">
        <f>IFERROR(__xludf.DUMMYFUNCTION("""COMPUTED_VALUE"""),"All amenities")</f>
        <v>All amenities</v>
      </c>
      <c r="K2177" s="2">
        <f>IFERROR(__xludf.DUMMYFUNCTION("""COMPUTED_VALUE"""),47000.0)</f>
        <v>47000</v>
      </c>
      <c r="L2177" s="2">
        <f>IFERROR(__xludf.DUMMYFUNCTION("""COMPUTED_VALUE"""),56.96666715)</f>
        <v>56.96666715</v>
      </c>
      <c r="M2177" s="2">
        <f>IFERROR(__xludf.DUMMYFUNCTION("""COMPUTED_VALUE"""),24.0593143731738)</f>
        <v>24.05931437</v>
      </c>
    </row>
    <row r="2178">
      <c r="A2178" s="2" t="str">
        <f>IFERROR(__xludf.DUMMYFUNCTION("""COMPUTED_VALUE"""),"For rent")</f>
        <v>For rent</v>
      </c>
      <c r="B2178" s="2" t="str">
        <f>IFERROR(__xludf.DUMMYFUNCTION("""COMPUTED_VALUE"""),"centrs")</f>
        <v>centrs</v>
      </c>
      <c r="C2178" s="2" t="str">
        <f>IFERROR(__xludf.DUMMYFUNCTION("""COMPUTED_VALUE"""),"Matīsa 46a")</f>
        <v>Matīsa 46a</v>
      </c>
      <c r="D2178" s="2">
        <f>IFERROR(__xludf.DUMMYFUNCTION("""COMPUTED_VALUE"""),2.0)</f>
        <v>2</v>
      </c>
      <c r="E2178" s="2">
        <f>IFERROR(__xludf.DUMMYFUNCTION("""COMPUTED_VALUE"""),62.0)</f>
        <v>62</v>
      </c>
      <c r="F2178" s="2">
        <f>IFERROR(__xludf.DUMMYFUNCTION("""COMPUTED_VALUE"""),4.0)</f>
        <v>4</v>
      </c>
      <c r="G2178" s="2">
        <f>IFERROR(__xludf.DUMMYFUNCTION("""COMPUTED_VALUE"""),5.0)</f>
        <v>5</v>
      </c>
      <c r="H2178" s="2" t="str">
        <f>IFERROR(__xludf.DUMMYFUNCTION("""COMPUTED_VALUE"""),"Jaun.")</f>
        <v>Jaun.</v>
      </c>
      <c r="I2178" s="2" t="str">
        <f>IFERROR(__xludf.DUMMYFUNCTION("""COMPUTED_VALUE"""),"Brick-Panel")</f>
        <v>Brick-Panel</v>
      </c>
      <c r="J2178" s="2" t="str">
        <f>IFERROR(__xludf.DUMMYFUNCTION("""COMPUTED_VALUE"""),"All amenities")</f>
        <v>All amenities</v>
      </c>
      <c r="K2178" s="2">
        <f>IFERROR(__xludf.DUMMYFUNCTION("""COMPUTED_VALUE"""),750.0)</f>
        <v>750</v>
      </c>
      <c r="L2178" s="2">
        <f>IFERROR(__xludf.DUMMYFUNCTION("""COMPUTED_VALUE"""),56.9547609)</f>
        <v>56.9547609</v>
      </c>
      <c r="M2178" s="2">
        <f>IFERROR(__xludf.DUMMYFUNCTION("""COMPUTED_VALUE"""),24.1379234)</f>
        <v>24.1379234</v>
      </c>
    </row>
    <row r="2179">
      <c r="A2179" s="2" t="str">
        <f>IFERROR(__xludf.DUMMYFUNCTION("""COMPUTED_VALUE"""),"For rent")</f>
        <v>For rent</v>
      </c>
      <c r="B2179" s="2" t="str">
        <f>IFERROR(__xludf.DUMMYFUNCTION("""COMPUTED_VALUE"""),"Ķīpsala")</f>
        <v>Ķīpsala</v>
      </c>
      <c r="C2179" s="2" t="str">
        <f>IFERROR(__xludf.DUMMYFUNCTION("""COMPUTED_VALUE"""),"Balasta d. 36")</f>
        <v>Balasta d. 36</v>
      </c>
      <c r="D2179" s="2">
        <f>IFERROR(__xludf.DUMMYFUNCTION("""COMPUTED_VALUE"""),4.0)</f>
        <v>4</v>
      </c>
      <c r="E2179" s="2">
        <f>IFERROR(__xludf.DUMMYFUNCTION("""COMPUTED_VALUE"""),90.0)</f>
        <v>90</v>
      </c>
      <c r="F2179" s="2">
        <f>IFERROR(__xludf.DUMMYFUNCTION("""COMPUTED_VALUE"""),2.0)</f>
        <v>2</v>
      </c>
      <c r="G2179" s="2">
        <f>IFERROR(__xludf.DUMMYFUNCTION("""COMPUTED_VALUE"""),2.0)</f>
        <v>2</v>
      </c>
      <c r="H2179" s="2" t="str">
        <f>IFERROR(__xludf.DUMMYFUNCTION("""COMPUTED_VALUE"""),"Jaun.")</f>
        <v>Jaun.</v>
      </c>
      <c r="I2179" s="2" t="str">
        <f>IFERROR(__xludf.DUMMYFUNCTION("""COMPUTED_VALUE"""),"Masonry")</f>
        <v>Masonry</v>
      </c>
      <c r="J2179" s="2" t="str">
        <f>IFERROR(__xludf.DUMMYFUNCTION("""COMPUTED_VALUE"""),"All amenities")</f>
        <v>All amenities</v>
      </c>
      <c r="K2179" s="2">
        <f>IFERROR(__xludf.DUMMYFUNCTION("""COMPUTED_VALUE"""),1500.0)</f>
        <v>1500</v>
      </c>
      <c r="L2179" s="2">
        <f>IFERROR(__xludf.DUMMYFUNCTION("""COMPUTED_VALUE"""),56.9489344)</f>
        <v>56.9489344</v>
      </c>
      <c r="M2179" s="2">
        <f>IFERROR(__xludf.DUMMYFUNCTION("""COMPUTED_VALUE"""),24.0882804)</f>
        <v>24.0882804</v>
      </c>
    </row>
    <row r="2180">
      <c r="A2180" s="2" t="str">
        <f>IFERROR(__xludf.DUMMYFUNCTION("""COMPUTED_VALUE"""),"For sale")</f>
        <v>For sale</v>
      </c>
      <c r="B2180" s="2" t="str">
        <f>IFERROR(__xludf.DUMMYFUNCTION("""COMPUTED_VALUE"""),"Purvciems")</f>
        <v>Purvciems</v>
      </c>
      <c r="C2180" s="2" t="str">
        <f>IFERROR(__xludf.DUMMYFUNCTION("""COMPUTED_VALUE"""),"Ķeguma 45")</f>
        <v>Ķeguma 45</v>
      </c>
      <c r="D2180" s="2">
        <f>IFERROR(__xludf.DUMMYFUNCTION("""COMPUTED_VALUE"""),1.0)</f>
        <v>1</v>
      </c>
      <c r="E2180" s="2">
        <f>IFERROR(__xludf.DUMMYFUNCTION("""COMPUTED_VALUE"""),42.0)</f>
        <v>42</v>
      </c>
      <c r="F2180" s="2">
        <f>IFERROR(__xludf.DUMMYFUNCTION("""COMPUTED_VALUE"""),4.0)</f>
        <v>4</v>
      </c>
      <c r="G2180" s="2">
        <f>IFERROR(__xludf.DUMMYFUNCTION("""COMPUTED_VALUE"""),5.0)</f>
        <v>5</v>
      </c>
      <c r="H2180" s="2" t="str">
        <f>IFERROR(__xludf.DUMMYFUNCTION("""COMPUTED_VALUE"""),"M. ģim.")</f>
        <v>M. ģim.</v>
      </c>
      <c r="I2180" s="2" t="str">
        <f>IFERROR(__xludf.DUMMYFUNCTION("""COMPUTED_VALUE"""),"Panel")</f>
        <v>Panel</v>
      </c>
      <c r="J2180" s="2" t="str">
        <f>IFERROR(__xludf.DUMMYFUNCTION("""COMPUTED_VALUE"""),"All amenities")</f>
        <v>All amenities</v>
      </c>
      <c r="K2180" s="2">
        <f>IFERROR(__xludf.DUMMYFUNCTION("""COMPUTED_VALUE"""),35900.0)</f>
        <v>35900</v>
      </c>
      <c r="L2180" s="2">
        <f>IFERROR(__xludf.DUMMYFUNCTION("""COMPUTED_VALUE"""),56.96328655)</f>
        <v>56.96328655</v>
      </c>
      <c r="M2180" s="2">
        <f>IFERROR(__xludf.DUMMYFUNCTION("""COMPUTED_VALUE"""),24.1970464994909)</f>
        <v>24.1970465</v>
      </c>
    </row>
    <row r="2181">
      <c r="A2181" s="2" t="str">
        <f>IFERROR(__xludf.DUMMYFUNCTION("""COMPUTED_VALUE"""),"For sale")</f>
        <v>For sale</v>
      </c>
      <c r="B2181" s="2" t="str">
        <f>IFERROR(__xludf.DUMMYFUNCTION("""COMPUTED_VALUE"""),"Purvciems")</f>
        <v>Purvciems</v>
      </c>
      <c r="C2181" s="2" t="str">
        <f>IFERROR(__xludf.DUMMYFUNCTION("""COMPUTED_VALUE"""),"Dzelzavas 81")</f>
        <v>Dzelzavas 81</v>
      </c>
      <c r="D2181" s="2">
        <f>IFERROR(__xludf.DUMMYFUNCTION("""COMPUTED_VALUE"""),3.0)</f>
        <v>3</v>
      </c>
      <c r="E2181" s="2">
        <f>IFERROR(__xludf.DUMMYFUNCTION("""COMPUTED_VALUE"""),59.0)</f>
        <v>59</v>
      </c>
      <c r="F2181" s="2">
        <f>IFERROR(__xludf.DUMMYFUNCTION("""COMPUTED_VALUE"""),2.0)</f>
        <v>2</v>
      </c>
      <c r="G2181" s="2">
        <f>IFERROR(__xludf.DUMMYFUNCTION("""COMPUTED_VALUE"""),9.0)</f>
        <v>9</v>
      </c>
      <c r="H2181" s="2">
        <f>IFERROR(__xludf.DUMMYFUNCTION("""COMPUTED_VALUE"""),467.0)</f>
        <v>467</v>
      </c>
      <c r="I2181" s="2" t="str">
        <f>IFERROR(__xludf.DUMMYFUNCTION("""COMPUTED_VALUE"""),"Panel")</f>
        <v>Panel</v>
      </c>
      <c r="J2181" s="2" t="str">
        <f>IFERROR(__xludf.DUMMYFUNCTION("""COMPUTED_VALUE"""),"All amenities")</f>
        <v>All amenities</v>
      </c>
      <c r="K2181" s="2">
        <f>IFERROR(__xludf.DUMMYFUNCTION("""COMPUTED_VALUE"""),54500.0)</f>
        <v>54500</v>
      </c>
      <c r="L2181" s="2">
        <f>IFERROR(__xludf.DUMMYFUNCTION("""COMPUTED_VALUE"""),56.95714135)</f>
        <v>56.95714135</v>
      </c>
      <c r="M2181" s="2">
        <f>IFERROR(__xludf.DUMMYFUNCTION("""COMPUTED_VALUE"""),24.2011722823789)</f>
        <v>24.20117228</v>
      </c>
    </row>
    <row r="2182">
      <c r="A2182" s="2" t="str">
        <f>IFERROR(__xludf.DUMMYFUNCTION("""COMPUTED_VALUE"""),"For rent")</f>
        <v>For rent</v>
      </c>
      <c r="B2182" s="2" t="str">
        <f>IFERROR(__xludf.DUMMYFUNCTION("""COMPUTED_VALUE"""),"Imanta")</f>
        <v>Imanta</v>
      </c>
      <c r="C2182" s="2" t="str">
        <f>IFERROR(__xludf.DUMMYFUNCTION("""COMPUTED_VALUE"""),"Imantas 1. l. 49")</f>
        <v>Imantas 1. l. 49</v>
      </c>
      <c r="D2182" s="2">
        <f>IFERROR(__xludf.DUMMYFUNCTION("""COMPUTED_VALUE"""),1.0)</f>
        <v>1</v>
      </c>
      <c r="E2182" s="2">
        <f>IFERROR(__xludf.DUMMYFUNCTION("""COMPUTED_VALUE"""),27.5)</f>
        <v>27.5</v>
      </c>
      <c r="F2182" s="2">
        <f>IFERROR(__xludf.DUMMYFUNCTION("""COMPUTED_VALUE"""),2.0)</f>
        <v>2</v>
      </c>
      <c r="G2182" s="2">
        <f>IFERROR(__xludf.DUMMYFUNCTION("""COMPUTED_VALUE"""),5.0)</f>
        <v>5</v>
      </c>
      <c r="H2182" s="2" t="str">
        <f>IFERROR(__xludf.DUMMYFUNCTION("""COMPUTED_VALUE"""),"LT proj.")</f>
        <v>LT proj.</v>
      </c>
      <c r="I2182" s="2" t="str">
        <f>IFERROR(__xludf.DUMMYFUNCTION("""COMPUTED_VALUE"""),"Panel")</f>
        <v>Panel</v>
      </c>
      <c r="J2182" s="2" t="str">
        <f>IFERROR(__xludf.DUMMYFUNCTION("""COMPUTED_VALUE"""),"All amenities")</f>
        <v>All amenities</v>
      </c>
      <c r="K2182" s="2">
        <f>IFERROR(__xludf.DUMMYFUNCTION("""COMPUTED_VALUE"""),219.0)</f>
        <v>219</v>
      </c>
      <c r="L2182" s="2" t="str">
        <f>IFERROR(__xludf.DUMMYFUNCTION("""COMPUTED_VALUE"""),"NaN")</f>
        <v>NaN</v>
      </c>
      <c r="M2182" s="2" t="str">
        <f>IFERROR(__xludf.DUMMYFUNCTION("""COMPUTED_VALUE"""),"NaN")</f>
        <v>NaN</v>
      </c>
    </row>
    <row r="2183">
      <c r="A2183" s="2" t="str">
        <f>IFERROR(__xludf.DUMMYFUNCTION("""COMPUTED_VALUE"""),"For sale")</f>
        <v>For sale</v>
      </c>
      <c r="B2183" s="2" t="str">
        <f>IFERROR(__xludf.DUMMYFUNCTION("""COMPUTED_VALUE"""),"centrs")</f>
        <v>centrs</v>
      </c>
      <c r="C2183" s="2" t="str">
        <f>IFERROR(__xludf.DUMMYFUNCTION("""COMPUTED_VALUE"""),"Birznieka-Upīša 20")</f>
        <v>Birznieka-Upīša 20</v>
      </c>
      <c r="D2183" s="2">
        <f>IFERROR(__xludf.DUMMYFUNCTION("""COMPUTED_VALUE"""),5.0)</f>
        <v>5</v>
      </c>
      <c r="E2183" s="2">
        <f>IFERROR(__xludf.DUMMYFUNCTION("""COMPUTED_VALUE"""),120.0)</f>
        <v>120</v>
      </c>
      <c r="F2183" s="2">
        <f>IFERROR(__xludf.DUMMYFUNCTION("""COMPUTED_VALUE"""),4.0)</f>
        <v>4</v>
      </c>
      <c r="G2183" s="2">
        <f>IFERROR(__xludf.DUMMYFUNCTION("""COMPUTED_VALUE"""),5.0)</f>
        <v>5</v>
      </c>
      <c r="H2183" s="2" t="str">
        <f>IFERROR(__xludf.DUMMYFUNCTION("""COMPUTED_VALUE"""),"P. kara")</f>
        <v>P. kara</v>
      </c>
      <c r="I2183" s="2" t="str">
        <f>IFERROR(__xludf.DUMMYFUNCTION("""COMPUTED_VALUE"""),"Masonry")</f>
        <v>Masonry</v>
      </c>
      <c r="J2183" s="2" t="str">
        <f>IFERROR(__xludf.DUMMYFUNCTION("""COMPUTED_VALUE"""),"All amenities")</f>
        <v>All amenities</v>
      </c>
      <c r="K2183" s="2">
        <f>IFERROR(__xludf.DUMMYFUNCTION("""COMPUTED_VALUE"""),135600.0)</f>
        <v>135600</v>
      </c>
      <c r="L2183" s="2">
        <f>IFERROR(__xludf.DUMMYFUNCTION("""COMPUTED_VALUE"""),56.9492707)</f>
        <v>56.9492707</v>
      </c>
      <c r="M2183" s="2">
        <f>IFERROR(__xludf.DUMMYFUNCTION("""COMPUTED_VALUE"""),24.1290193)</f>
        <v>24.1290193</v>
      </c>
    </row>
    <row r="2184">
      <c r="A2184" s="2" t="str">
        <f>IFERROR(__xludf.DUMMYFUNCTION("""COMPUTED_VALUE"""),"For rent")</f>
        <v>For rent</v>
      </c>
      <c r="B2184" s="2" t="str">
        <f>IFERROR(__xludf.DUMMYFUNCTION("""COMPUTED_VALUE"""),"centrs")</f>
        <v>centrs</v>
      </c>
      <c r="C2184" s="2" t="str">
        <f>IFERROR(__xludf.DUMMYFUNCTION("""COMPUTED_VALUE"""),"Kaļķu 6")</f>
        <v>Kaļķu 6</v>
      </c>
      <c r="D2184" s="2">
        <f>IFERROR(__xludf.DUMMYFUNCTION("""COMPUTED_VALUE"""),2.0)</f>
        <v>2</v>
      </c>
      <c r="E2184" s="2">
        <f>IFERROR(__xludf.DUMMYFUNCTION("""COMPUTED_VALUE"""),72.0)</f>
        <v>72</v>
      </c>
      <c r="F2184" s="2">
        <f>IFERROR(__xludf.DUMMYFUNCTION("""COMPUTED_VALUE"""),2.0)</f>
        <v>2</v>
      </c>
      <c r="G2184" s="2">
        <f>IFERROR(__xludf.DUMMYFUNCTION("""COMPUTED_VALUE"""),4.0)</f>
        <v>4</v>
      </c>
      <c r="H2184" s="2" t="str">
        <f>IFERROR(__xludf.DUMMYFUNCTION("""COMPUTED_VALUE"""),"P. kara")</f>
        <v>P. kara</v>
      </c>
      <c r="I2184" s="2" t="str">
        <f>IFERROR(__xludf.DUMMYFUNCTION("""COMPUTED_VALUE"""),"Masonry")</f>
        <v>Masonry</v>
      </c>
      <c r="J2184" s="2" t="str">
        <f>IFERROR(__xludf.DUMMYFUNCTION("""COMPUTED_VALUE"""),"All amenities")</f>
        <v>All amenities</v>
      </c>
      <c r="K2184" s="2">
        <f>IFERROR(__xludf.DUMMYFUNCTION("""COMPUTED_VALUE"""),550.0)</f>
        <v>550</v>
      </c>
      <c r="L2184" s="2">
        <f>IFERROR(__xludf.DUMMYFUNCTION("""COMPUTED_VALUE"""),56.9485304)</f>
        <v>56.9485304</v>
      </c>
      <c r="M2184" s="2">
        <f>IFERROR(__xludf.DUMMYFUNCTION("""COMPUTED_VALUE"""),24.1085148)</f>
        <v>24.1085148</v>
      </c>
    </row>
    <row r="2185">
      <c r="A2185" s="2" t="str">
        <f>IFERROR(__xludf.DUMMYFUNCTION("""COMPUTED_VALUE"""),"For rent")</f>
        <v>For rent</v>
      </c>
      <c r="B2185" s="2" t="str">
        <f>IFERROR(__xludf.DUMMYFUNCTION("""COMPUTED_VALUE"""),"Sarkandaugava")</f>
        <v>Sarkandaugava</v>
      </c>
      <c r="C2185" s="2" t="str">
        <f>IFERROR(__xludf.DUMMYFUNCTION("""COMPUTED_VALUE"""),"Tilta 3")</f>
        <v>Tilta 3</v>
      </c>
      <c r="D2185" s="2">
        <f>IFERROR(__xludf.DUMMYFUNCTION("""COMPUTED_VALUE"""),1.0)</f>
        <v>1</v>
      </c>
      <c r="E2185" s="2">
        <f>IFERROR(__xludf.DUMMYFUNCTION("""COMPUTED_VALUE"""),35.0)</f>
        <v>35</v>
      </c>
      <c r="F2185" s="2">
        <f>IFERROR(__xludf.DUMMYFUNCTION("""COMPUTED_VALUE"""),1.0)</f>
        <v>1</v>
      </c>
      <c r="G2185" s="2">
        <f>IFERROR(__xludf.DUMMYFUNCTION("""COMPUTED_VALUE"""),5.0)</f>
        <v>5</v>
      </c>
      <c r="H2185" s="2">
        <f>IFERROR(__xludf.DUMMYFUNCTION("""COMPUTED_VALUE"""),103.0)</f>
        <v>103</v>
      </c>
      <c r="I2185" s="2" t="str">
        <f>IFERROR(__xludf.DUMMYFUNCTION("""COMPUTED_VALUE"""),"Panel-Brick")</f>
        <v>Panel-Brick</v>
      </c>
      <c r="J2185" s="2" t="str">
        <f>IFERROR(__xludf.DUMMYFUNCTION("""COMPUTED_VALUE"""),"All amenities")</f>
        <v>All amenities</v>
      </c>
      <c r="K2185" s="2">
        <f>IFERROR(__xludf.DUMMYFUNCTION("""COMPUTED_VALUE"""),230.0)</f>
        <v>230</v>
      </c>
      <c r="L2185" s="2">
        <f>IFERROR(__xludf.DUMMYFUNCTION("""COMPUTED_VALUE"""),56.9950439499999)</f>
        <v>56.99504395</v>
      </c>
      <c r="M2185" s="2">
        <f>IFERROR(__xludf.DUMMYFUNCTION("""COMPUTED_VALUE"""),24.1270103106298)</f>
        <v>24.12701031</v>
      </c>
    </row>
    <row r="2186">
      <c r="A2186" s="2" t="str">
        <f>IFERROR(__xludf.DUMMYFUNCTION("""COMPUTED_VALUE"""),"For sale")</f>
        <v>For sale</v>
      </c>
      <c r="B2186" s="2" t="str">
        <f>IFERROR(__xludf.DUMMYFUNCTION("""COMPUTED_VALUE"""),"Āgenskalns")</f>
        <v>Āgenskalns</v>
      </c>
      <c r="C2186" s="2" t="str">
        <f>IFERROR(__xludf.DUMMYFUNCTION("""COMPUTED_VALUE"""),"M. Nometņu 76")</f>
        <v>M. Nometņu 76</v>
      </c>
      <c r="D2186" s="2">
        <f>IFERROR(__xludf.DUMMYFUNCTION("""COMPUTED_VALUE"""),2.0)</f>
        <v>2</v>
      </c>
      <c r="E2186" s="2">
        <f>IFERROR(__xludf.DUMMYFUNCTION("""COMPUTED_VALUE"""),49.0)</f>
        <v>49</v>
      </c>
      <c r="F2186" s="2">
        <f>IFERROR(__xludf.DUMMYFUNCTION("""COMPUTED_VALUE"""),2.0)</f>
        <v>2</v>
      </c>
      <c r="G2186" s="2">
        <f>IFERROR(__xludf.DUMMYFUNCTION("""COMPUTED_VALUE"""),2.0)</f>
        <v>2</v>
      </c>
      <c r="H2186" s="2" t="str">
        <f>IFERROR(__xludf.DUMMYFUNCTION("""COMPUTED_VALUE"""),"Renov.")</f>
        <v>Renov.</v>
      </c>
      <c r="I2186" s="2" t="str">
        <f>IFERROR(__xludf.DUMMYFUNCTION("""COMPUTED_VALUE"""),"Wood")</f>
        <v>Wood</v>
      </c>
      <c r="J2186" s="2" t="str">
        <f>IFERROR(__xludf.DUMMYFUNCTION("""COMPUTED_VALUE"""),"All amenities")</f>
        <v>All amenities</v>
      </c>
      <c r="K2186" s="2">
        <f>IFERROR(__xludf.DUMMYFUNCTION("""COMPUTED_VALUE"""),34300.0)</f>
        <v>34300</v>
      </c>
      <c r="L2186" s="2">
        <f>IFERROR(__xludf.DUMMYFUNCTION("""COMPUTED_VALUE"""),56.9372249)</f>
        <v>56.9372249</v>
      </c>
      <c r="M2186" s="2">
        <f>IFERROR(__xludf.DUMMYFUNCTION("""COMPUTED_VALUE"""),24.059222740492)</f>
        <v>24.05922274</v>
      </c>
    </row>
    <row r="2187">
      <c r="A2187" s="2" t="str">
        <f>IFERROR(__xludf.DUMMYFUNCTION("""COMPUTED_VALUE"""),"For sale")</f>
        <v>For sale</v>
      </c>
      <c r="B2187" s="2" t="str">
        <f>IFERROR(__xludf.DUMMYFUNCTION("""COMPUTED_VALUE"""),"Vecmīlgrāvis")</f>
        <v>Vecmīlgrāvis</v>
      </c>
      <c r="C2187" s="2" t="str">
        <f>IFERROR(__xludf.DUMMYFUNCTION("""COMPUTED_VALUE"""),"Kāvu 5a")</f>
        <v>Kāvu 5a</v>
      </c>
      <c r="D2187" s="2">
        <f>IFERROR(__xludf.DUMMYFUNCTION("""COMPUTED_VALUE"""),1.0)</f>
        <v>1</v>
      </c>
      <c r="E2187" s="2">
        <f>IFERROR(__xludf.DUMMYFUNCTION("""COMPUTED_VALUE"""),34.0)</f>
        <v>34</v>
      </c>
      <c r="F2187" s="2">
        <f>IFERROR(__xludf.DUMMYFUNCTION("""COMPUTED_VALUE"""),1.0)</f>
        <v>1</v>
      </c>
      <c r="G2187" s="2">
        <f>IFERROR(__xludf.DUMMYFUNCTION("""COMPUTED_VALUE"""),2.0)</f>
        <v>2</v>
      </c>
      <c r="H2187" s="2" t="str">
        <f>IFERROR(__xludf.DUMMYFUNCTION("""COMPUTED_VALUE"""),"Hrušč.")</f>
        <v>Hrušč.</v>
      </c>
      <c r="I2187" s="2" t="str">
        <f>IFERROR(__xludf.DUMMYFUNCTION("""COMPUTED_VALUE"""),"Brick")</f>
        <v>Brick</v>
      </c>
      <c r="J2187" s="2" t="str">
        <f>IFERROR(__xludf.DUMMYFUNCTION("""COMPUTED_VALUE"""),"All amenities")</f>
        <v>All amenities</v>
      </c>
      <c r="K2187" s="2">
        <f>IFERROR(__xludf.DUMMYFUNCTION("""COMPUTED_VALUE"""),37000.0)</f>
        <v>37000</v>
      </c>
      <c r="L2187" s="2">
        <f>IFERROR(__xludf.DUMMYFUNCTION("""COMPUTED_VALUE"""),57.0342321499999)</f>
        <v>57.03423215</v>
      </c>
      <c r="M2187" s="2">
        <f>IFERROR(__xludf.DUMMYFUNCTION("""COMPUTED_VALUE"""),24.10036775)</f>
        <v>24.10036775</v>
      </c>
    </row>
    <row r="2188">
      <c r="A2188" s="2" t="str">
        <f>IFERROR(__xludf.DUMMYFUNCTION("""COMPUTED_VALUE"""),"For rent")</f>
        <v>For rent</v>
      </c>
      <c r="B2188" s="2" t="str">
        <f>IFERROR(__xludf.DUMMYFUNCTION("""COMPUTED_VALUE"""),"centrs")</f>
        <v>centrs</v>
      </c>
      <c r="C2188" s="2" t="str">
        <f>IFERROR(__xludf.DUMMYFUNCTION("""COMPUTED_VALUE"""),"Eksporta 2")</f>
        <v>Eksporta 2</v>
      </c>
      <c r="D2188" s="2">
        <f>IFERROR(__xludf.DUMMYFUNCTION("""COMPUTED_VALUE"""),1.0)</f>
        <v>1</v>
      </c>
      <c r="E2188" s="2">
        <f>IFERROR(__xludf.DUMMYFUNCTION("""COMPUTED_VALUE"""),20.0)</f>
        <v>20</v>
      </c>
      <c r="F2188" s="2">
        <f>IFERROR(__xludf.DUMMYFUNCTION("""COMPUTED_VALUE"""),1.0)</f>
        <v>1</v>
      </c>
      <c r="G2188" s="2">
        <f>IFERROR(__xludf.DUMMYFUNCTION("""COMPUTED_VALUE"""),5.0)</f>
        <v>5</v>
      </c>
      <c r="H2188" s="2" t="str">
        <f>IFERROR(__xludf.DUMMYFUNCTION("""COMPUTED_VALUE"""),"P. kara")</f>
        <v>P. kara</v>
      </c>
      <c r="I2188" s="2" t="str">
        <f>IFERROR(__xludf.DUMMYFUNCTION("""COMPUTED_VALUE"""),"Masonry")</f>
        <v>Masonry</v>
      </c>
      <c r="J2188" s="2" t="str">
        <f>IFERROR(__xludf.DUMMYFUNCTION("""COMPUTED_VALUE"""),"All amenities")</f>
        <v>All amenities</v>
      </c>
      <c r="K2188" s="2">
        <f>IFERROR(__xludf.DUMMYFUNCTION("""COMPUTED_VALUE"""),125.0)</f>
        <v>125</v>
      </c>
      <c r="L2188" s="2">
        <f>IFERROR(__xludf.DUMMYFUNCTION("""COMPUTED_VALUE"""),56.95619685)</f>
        <v>56.95619685</v>
      </c>
      <c r="M2188" s="2">
        <f>IFERROR(__xludf.DUMMYFUNCTION("""COMPUTED_VALUE"""),24.098819615355)</f>
        <v>24.09881962</v>
      </c>
    </row>
    <row r="2189">
      <c r="A2189" s="2" t="str">
        <f>IFERROR(__xludf.DUMMYFUNCTION("""COMPUTED_VALUE"""),"For rent")</f>
        <v>For rent</v>
      </c>
      <c r="B2189" s="2" t="str">
        <f>IFERROR(__xludf.DUMMYFUNCTION("""COMPUTED_VALUE"""),"Āgenskalns")</f>
        <v>Āgenskalns</v>
      </c>
      <c r="C2189" s="2" t="str">
        <f>IFERROR(__xludf.DUMMYFUNCTION("""COMPUTED_VALUE"""),"Cieceres 5")</f>
        <v>Cieceres 5</v>
      </c>
      <c r="D2189" s="2">
        <f>IFERROR(__xludf.DUMMYFUNCTION("""COMPUTED_VALUE"""),2.0)</f>
        <v>2</v>
      </c>
      <c r="E2189" s="2">
        <f>IFERROR(__xludf.DUMMYFUNCTION("""COMPUTED_VALUE"""),43.0)</f>
        <v>43</v>
      </c>
      <c r="F2189" s="2">
        <f>IFERROR(__xludf.DUMMYFUNCTION("""COMPUTED_VALUE"""),3.0)</f>
        <v>3</v>
      </c>
      <c r="G2189" s="2">
        <f>IFERROR(__xludf.DUMMYFUNCTION("""COMPUTED_VALUE"""),3.0)</f>
        <v>3</v>
      </c>
      <c r="H2189" s="2" t="str">
        <f>IFERROR(__xludf.DUMMYFUNCTION("""COMPUTED_VALUE"""),"Staļina")</f>
        <v>Staļina</v>
      </c>
      <c r="I2189" s="2" t="str">
        <f>IFERROR(__xludf.DUMMYFUNCTION("""COMPUTED_VALUE"""),"Masonry")</f>
        <v>Masonry</v>
      </c>
      <c r="J2189" s="2" t="str">
        <f>IFERROR(__xludf.DUMMYFUNCTION("""COMPUTED_VALUE"""),"All amenities")</f>
        <v>All amenities</v>
      </c>
      <c r="K2189" s="2">
        <f>IFERROR(__xludf.DUMMYFUNCTION("""COMPUTED_VALUE"""),320.0)</f>
        <v>320</v>
      </c>
      <c r="L2189" s="2">
        <f>IFERROR(__xludf.DUMMYFUNCTION("""COMPUTED_VALUE"""),56.93178985)</f>
        <v>56.93178985</v>
      </c>
      <c r="M2189" s="2">
        <f>IFERROR(__xludf.DUMMYFUNCTION("""COMPUTED_VALUE"""),24.076087419374)</f>
        <v>24.07608742</v>
      </c>
    </row>
    <row r="2190">
      <c r="A2190" s="2" t="str">
        <f>IFERROR(__xludf.DUMMYFUNCTION("""COMPUTED_VALUE"""),"For sale")</f>
        <v>For sale</v>
      </c>
      <c r="B2190" s="2" t="str">
        <f>IFERROR(__xludf.DUMMYFUNCTION("""COMPUTED_VALUE"""),"Āgenskalns")</f>
        <v>Āgenskalns</v>
      </c>
      <c r="C2190" s="2" t="str">
        <f>IFERROR(__xludf.DUMMYFUNCTION("""COMPUTED_VALUE"""),"Vīlipa 3")</f>
        <v>Vīlipa 3</v>
      </c>
      <c r="D2190" s="2">
        <f>IFERROR(__xludf.DUMMYFUNCTION("""COMPUTED_VALUE"""),2.0)</f>
        <v>2</v>
      </c>
      <c r="E2190" s="2">
        <f>IFERROR(__xludf.DUMMYFUNCTION("""COMPUTED_VALUE"""),55.0)</f>
        <v>55</v>
      </c>
      <c r="F2190" s="2">
        <f>IFERROR(__xludf.DUMMYFUNCTION("""COMPUTED_VALUE"""),2.0)</f>
        <v>2</v>
      </c>
      <c r="G2190" s="2">
        <f>IFERROR(__xludf.DUMMYFUNCTION("""COMPUTED_VALUE"""),2.0)</f>
        <v>2</v>
      </c>
      <c r="H2190" s="2" t="str">
        <f>IFERROR(__xludf.DUMMYFUNCTION("""COMPUTED_VALUE"""),"Renov.")</f>
        <v>Renov.</v>
      </c>
      <c r="I2190" s="2" t="str">
        <f>IFERROR(__xludf.DUMMYFUNCTION("""COMPUTED_VALUE"""),"Wood")</f>
        <v>Wood</v>
      </c>
      <c r="J2190" s="2" t="str">
        <f>IFERROR(__xludf.DUMMYFUNCTION("""COMPUTED_VALUE"""),"All amenities")</f>
        <v>All amenities</v>
      </c>
      <c r="K2190" s="2">
        <f>IFERROR(__xludf.DUMMYFUNCTION("""COMPUTED_VALUE"""),62000.0)</f>
        <v>62000</v>
      </c>
      <c r="L2190" s="2">
        <f>IFERROR(__xludf.DUMMYFUNCTION("""COMPUTED_VALUE"""),56.94731475)</f>
        <v>56.94731475</v>
      </c>
      <c r="M2190" s="2">
        <f>IFERROR(__xludf.DUMMYFUNCTION("""COMPUTED_VALUE"""),24.0609152601247)</f>
        <v>24.06091526</v>
      </c>
    </row>
    <row r="2191">
      <c r="A2191" s="2" t="str">
        <f>IFERROR(__xludf.DUMMYFUNCTION("""COMPUTED_VALUE"""),"For sale")</f>
        <v>For sale</v>
      </c>
      <c r="B2191" s="2" t="str">
        <f>IFERROR(__xludf.DUMMYFUNCTION("""COMPUTED_VALUE"""),"centrs")</f>
        <v>centrs</v>
      </c>
      <c r="C2191" s="2" t="str">
        <f>IFERROR(__xludf.DUMMYFUNCTION("""COMPUTED_VALUE"""),"Blaumaņa 34")</f>
        <v>Blaumaņa 34</v>
      </c>
      <c r="D2191" s="2">
        <f>IFERROR(__xludf.DUMMYFUNCTION("""COMPUTED_VALUE"""),3.0)</f>
        <v>3</v>
      </c>
      <c r="E2191" s="2">
        <f>IFERROR(__xludf.DUMMYFUNCTION("""COMPUTED_VALUE"""),58.0)</f>
        <v>58</v>
      </c>
      <c r="F2191" s="2">
        <f>IFERROR(__xludf.DUMMYFUNCTION("""COMPUTED_VALUE"""),1.0)</f>
        <v>1</v>
      </c>
      <c r="G2191" s="2">
        <f>IFERROR(__xludf.DUMMYFUNCTION("""COMPUTED_VALUE"""),3.0)</f>
        <v>3</v>
      </c>
      <c r="H2191" s="2" t="str">
        <f>IFERROR(__xludf.DUMMYFUNCTION("""COMPUTED_VALUE"""),"Renov.")</f>
        <v>Renov.</v>
      </c>
      <c r="I2191" s="2" t="str">
        <f>IFERROR(__xludf.DUMMYFUNCTION("""COMPUTED_VALUE"""),"Masonry")</f>
        <v>Masonry</v>
      </c>
      <c r="J2191" s="2" t="str">
        <f>IFERROR(__xludf.DUMMYFUNCTION("""COMPUTED_VALUE"""),"All amenities")</f>
        <v>All amenities</v>
      </c>
      <c r="K2191" s="2">
        <f>IFERROR(__xludf.DUMMYFUNCTION("""COMPUTED_VALUE"""),87000.0)</f>
        <v>87000</v>
      </c>
      <c r="L2191" s="2">
        <f>IFERROR(__xludf.DUMMYFUNCTION("""COMPUTED_VALUE"""),56.9518761)</f>
        <v>56.9518761</v>
      </c>
      <c r="M2191" s="2">
        <f>IFERROR(__xludf.DUMMYFUNCTION("""COMPUTED_VALUE"""),24.1257094)</f>
        <v>24.1257094</v>
      </c>
    </row>
    <row r="2192">
      <c r="A2192" s="2" t="str">
        <f>IFERROR(__xludf.DUMMYFUNCTION("""COMPUTED_VALUE"""),"For sale")</f>
        <v>For sale</v>
      </c>
      <c r="B2192" s="2" t="str">
        <f>IFERROR(__xludf.DUMMYFUNCTION("""COMPUTED_VALUE"""),"Āgenskalns")</f>
        <v>Āgenskalns</v>
      </c>
      <c r="C2192" s="2" t="str">
        <f>IFERROR(__xludf.DUMMYFUNCTION("""COMPUTED_VALUE"""),"Ernestīnes 15")</f>
        <v>Ernestīnes 15</v>
      </c>
      <c r="D2192" s="2">
        <f>IFERROR(__xludf.DUMMYFUNCTION("""COMPUTED_VALUE"""),3.0)</f>
        <v>3</v>
      </c>
      <c r="E2192" s="2">
        <f>IFERROR(__xludf.DUMMYFUNCTION("""COMPUTED_VALUE"""),98.0)</f>
        <v>98</v>
      </c>
      <c r="F2192" s="2">
        <f>IFERROR(__xludf.DUMMYFUNCTION("""COMPUTED_VALUE"""),2.0)</f>
        <v>2</v>
      </c>
      <c r="G2192" s="2">
        <f>IFERROR(__xludf.DUMMYFUNCTION("""COMPUTED_VALUE"""),2.0)</f>
        <v>2</v>
      </c>
      <c r="H2192" s="2" t="str">
        <f>IFERROR(__xludf.DUMMYFUNCTION("""COMPUTED_VALUE"""),"Renov.")</f>
        <v>Renov.</v>
      </c>
      <c r="I2192" s="2" t="str">
        <f>IFERROR(__xludf.DUMMYFUNCTION("""COMPUTED_VALUE"""),"Wood")</f>
        <v>Wood</v>
      </c>
      <c r="J2192" s="2" t="str">
        <f>IFERROR(__xludf.DUMMYFUNCTION("""COMPUTED_VALUE"""),"All amenities")</f>
        <v>All amenities</v>
      </c>
      <c r="K2192" s="2">
        <f>IFERROR(__xludf.DUMMYFUNCTION("""COMPUTED_VALUE"""),160000.0)</f>
        <v>160000</v>
      </c>
      <c r="L2192" s="2">
        <f>IFERROR(__xludf.DUMMYFUNCTION("""COMPUTED_VALUE"""),56.9414334)</f>
        <v>56.9414334</v>
      </c>
      <c r="M2192" s="2">
        <f>IFERROR(__xludf.DUMMYFUNCTION("""COMPUTED_VALUE"""),24.0708978)</f>
        <v>24.0708978</v>
      </c>
    </row>
    <row r="2193">
      <c r="A2193" s="2" t="str">
        <f>IFERROR(__xludf.DUMMYFUNCTION("""COMPUTED_VALUE"""),"For sale")</f>
        <v>For sale</v>
      </c>
      <c r="B2193" s="2" t="str">
        <f>IFERROR(__xludf.DUMMYFUNCTION("""COMPUTED_VALUE"""),"Āgenskalns")</f>
        <v>Āgenskalns</v>
      </c>
      <c r="C2193" s="2" t="str">
        <f>IFERROR(__xludf.DUMMYFUNCTION("""COMPUTED_VALUE"""),"Kuldīgas 32")</f>
        <v>Kuldīgas 32</v>
      </c>
      <c r="D2193" s="2">
        <f>IFERROR(__xludf.DUMMYFUNCTION("""COMPUTED_VALUE"""),2.0)</f>
        <v>2</v>
      </c>
      <c r="E2193" s="2">
        <f>IFERROR(__xludf.DUMMYFUNCTION("""COMPUTED_VALUE"""),51.0)</f>
        <v>51</v>
      </c>
      <c r="F2193" s="2">
        <f>IFERROR(__xludf.DUMMYFUNCTION("""COMPUTED_VALUE"""),4.0)</f>
        <v>4</v>
      </c>
      <c r="G2193" s="2">
        <f>IFERROR(__xludf.DUMMYFUNCTION("""COMPUTED_VALUE"""),4.0)</f>
        <v>4</v>
      </c>
      <c r="H2193" s="2" t="str">
        <f>IFERROR(__xludf.DUMMYFUNCTION("""COMPUTED_VALUE"""),"Renov.")</f>
        <v>Renov.</v>
      </c>
      <c r="I2193" s="2" t="str">
        <f>IFERROR(__xludf.DUMMYFUNCTION("""COMPUTED_VALUE"""),"Masonry")</f>
        <v>Masonry</v>
      </c>
      <c r="J2193" s="2" t="str">
        <f>IFERROR(__xludf.DUMMYFUNCTION("""COMPUTED_VALUE"""),"All amenities")</f>
        <v>All amenities</v>
      </c>
      <c r="K2193" s="2">
        <f>IFERROR(__xludf.DUMMYFUNCTION("""COMPUTED_VALUE"""),66000.0)</f>
        <v>66000</v>
      </c>
      <c r="L2193" s="2">
        <f>IFERROR(__xludf.DUMMYFUNCTION("""COMPUTED_VALUE"""),56.9474705)</f>
        <v>56.9474705</v>
      </c>
      <c r="M2193" s="2">
        <f>IFERROR(__xludf.DUMMYFUNCTION("""COMPUTED_VALUE"""),24.0604076)</f>
        <v>24.0604076</v>
      </c>
    </row>
    <row r="2194">
      <c r="A2194" s="2" t="str">
        <f>IFERROR(__xludf.DUMMYFUNCTION("""COMPUTED_VALUE"""),"For rent")</f>
        <v>For rent</v>
      </c>
      <c r="B2194" s="2" t="str">
        <f>IFERROR(__xludf.DUMMYFUNCTION("""COMPUTED_VALUE"""),"centrs")</f>
        <v>centrs</v>
      </c>
      <c r="C2194" s="2" t="str">
        <f>IFERROR(__xludf.DUMMYFUNCTION("""COMPUTED_VALUE"""),"Čaka 117/1")</f>
        <v>Čaka 117/1</v>
      </c>
      <c r="D2194" s="2">
        <f>IFERROR(__xludf.DUMMYFUNCTION("""COMPUTED_VALUE"""),3.0)</f>
        <v>3</v>
      </c>
      <c r="E2194" s="2">
        <f>IFERROR(__xludf.DUMMYFUNCTION("""COMPUTED_VALUE"""),61.0)</f>
        <v>61</v>
      </c>
      <c r="F2194" s="2">
        <f>IFERROR(__xludf.DUMMYFUNCTION("""COMPUTED_VALUE"""),2.0)</f>
        <v>2</v>
      </c>
      <c r="G2194" s="2">
        <f>IFERROR(__xludf.DUMMYFUNCTION("""COMPUTED_VALUE"""),6.0)</f>
        <v>6</v>
      </c>
      <c r="H2194" s="2" t="str">
        <f>IFERROR(__xludf.DUMMYFUNCTION("""COMPUTED_VALUE"""),"Renov.")</f>
        <v>Renov.</v>
      </c>
      <c r="I2194" s="2" t="str">
        <f>IFERROR(__xludf.DUMMYFUNCTION("""COMPUTED_VALUE"""),"Masonry")</f>
        <v>Masonry</v>
      </c>
      <c r="J2194" s="2" t="str">
        <f>IFERROR(__xludf.DUMMYFUNCTION("""COMPUTED_VALUE"""),"All amenities")</f>
        <v>All amenities</v>
      </c>
      <c r="K2194" s="2">
        <f>IFERROR(__xludf.DUMMYFUNCTION("""COMPUTED_VALUE"""),500.0)</f>
        <v>500</v>
      </c>
      <c r="L2194" s="2">
        <f>IFERROR(__xludf.DUMMYFUNCTION("""COMPUTED_VALUE"""),56.9626863)</f>
        <v>56.9626863</v>
      </c>
      <c r="M2194" s="2">
        <f>IFERROR(__xludf.DUMMYFUNCTION("""COMPUTED_VALUE"""),24.1480584)</f>
        <v>24.1480584</v>
      </c>
    </row>
    <row r="2195">
      <c r="A2195" s="2" t="str">
        <f>IFERROR(__xludf.DUMMYFUNCTION("""COMPUTED_VALUE"""),"For sale")</f>
        <v>For sale</v>
      </c>
      <c r="B2195" s="2" t="str">
        <f>IFERROR(__xludf.DUMMYFUNCTION("""COMPUTED_VALUE"""),"Āgenskalns")</f>
        <v>Āgenskalns</v>
      </c>
      <c r="C2195" s="2" t="str">
        <f>IFERROR(__xludf.DUMMYFUNCTION("""COMPUTED_VALUE"""),"Kuldīgas 32")</f>
        <v>Kuldīgas 32</v>
      </c>
      <c r="D2195" s="2">
        <f>IFERROR(__xludf.DUMMYFUNCTION("""COMPUTED_VALUE"""),2.0)</f>
        <v>2</v>
      </c>
      <c r="E2195" s="2">
        <f>IFERROR(__xludf.DUMMYFUNCTION("""COMPUTED_VALUE"""),52.3)</f>
        <v>52.3</v>
      </c>
      <c r="F2195" s="2">
        <f>IFERROR(__xludf.DUMMYFUNCTION("""COMPUTED_VALUE"""),4.0)</f>
        <v>4</v>
      </c>
      <c r="G2195" s="2">
        <f>IFERROR(__xludf.DUMMYFUNCTION("""COMPUTED_VALUE"""),4.0)</f>
        <v>4</v>
      </c>
      <c r="H2195" s="2" t="str">
        <f>IFERROR(__xludf.DUMMYFUNCTION("""COMPUTED_VALUE"""),"Renov.")</f>
        <v>Renov.</v>
      </c>
      <c r="I2195" s="2" t="str">
        <f>IFERROR(__xludf.DUMMYFUNCTION("""COMPUTED_VALUE"""),"Masonry")</f>
        <v>Masonry</v>
      </c>
      <c r="J2195" s="2" t="str">
        <f>IFERROR(__xludf.DUMMYFUNCTION("""COMPUTED_VALUE"""),"All amenities")</f>
        <v>All amenities</v>
      </c>
      <c r="K2195" s="2">
        <f>IFERROR(__xludf.DUMMYFUNCTION("""COMPUTED_VALUE"""),67990.0)</f>
        <v>67990</v>
      </c>
      <c r="L2195" s="2">
        <f>IFERROR(__xludf.DUMMYFUNCTION("""COMPUTED_VALUE"""),56.9474705)</f>
        <v>56.9474705</v>
      </c>
      <c r="M2195" s="2">
        <f>IFERROR(__xludf.DUMMYFUNCTION("""COMPUTED_VALUE"""),24.0604076)</f>
        <v>24.0604076</v>
      </c>
    </row>
    <row r="2196">
      <c r="A2196" s="2" t="str">
        <f>IFERROR(__xludf.DUMMYFUNCTION("""COMPUTED_VALUE"""),"For sale")</f>
        <v>For sale</v>
      </c>
      <c r="B2196" s="2" t="str">
        <f>IFERROR(__xludf.DUMMYFUNCTION("""COMPUTED_VALUE"""),"Vecrīga")</f>
        <v>Vecrīga</v>
      </c>
      <c r="C2196" s="2" t="str">
        <f>IFERROR(__xludf.DUMMYFUNCTION("""COMPUTED_VALUE"""),"Šķūņu 6")</f>
        <v>Šķūņu 6</v>
      </c>
      <c r="D2196" s="2">
        <f>IFERROR(__xludf.DUMMYFUNCTION("""COMPUTED_VALUE"""),1.0)</f>
        <v>1</v>
      </c>
      <c r="E2196" s="2">
        <f>IFERROR(__xludf.DUMMYFUNCTION("""COMPUTED_VALUE"""),12.0)</f>
        <v>12</v>
      </c>
      <c r="F2196" s="2">
        <f>IFERROR(__xludf.DUMMYFUNCTION("""COMPUTED_VALUE"""),2.0)</f>
        <v>2</v>
      </c>
      <c r="G2196" s="2">
        <f>IFERROR(__xludf.DUMMYFUNCTION("""COMPUTED_VALUE"""),4.0)</f>
        <v>4</v>
      </c>
      <c r="H2196" s="2" t="str">
        <f>IFERROR(__xludf.DUMMYFUNCTION("""COMPUTED_VALUE"""),"P. kara")</f>
        <v>P. kara</v>
      </c>
      <c r="I2196" s="2" t="str">
        <f>IFERROR(__xludf.DUMMYFUNCTION("""COMPUTED_VALUE"""),"Masonry")</f>
        <v>Masonry</v>
      </c>
      <c r="J2196" s="2" t="str">
        <f>IFERROR(__xludf.DUMMYFUNCTION("""COMPUTED_VALUE"""),"All amenities")</f>
        <v>All amenities</v>
      </c>
      <c r="K2196" s="2">
        <f>IFERROR(__xludf.DUMMYFUNCTION("""COMPUTED_VALUE"""),44990.0)</f>
        <v>44990</v>
      </c>
      <c r="L2196" s="2">
        <f>IFERROR(__xludf.DUMMYFUNCTION("""COMPUTED_VALUE"""),56.9487783)</f>
        <v>56.9487783</v>
      </c>
      <c r="M2196" s="2">
        <f>IFERROR(__xludf.DUMMYFUNCTION("""COMPUTED_VALUE"""),24.1075908)</f>
        <v>24.1075908</v>
      </c>
    </row>
    <row r="2197">
      <c r="A2197" s="2" t="str">
        <f>IFERROR(__xludf.DUMMYFUNCTION("""COMPUTED_VALUE"""),"For sale")</f>
        <v>For sale</v>
      </c>
      <c r="B2197" s="2" t="str">
        <f>IFERROR(__xludf.DUMMYFUNCTION("""COMPUTED_VALUE"""),"Vecrīga")</f>
        <v>Vecrīga</v>
      </c>
      <c r="C2197" s="2" t="str">
        <f>IFERROR(__xludf.DUMMYFUNCTION("""COMPUTED_VALUE"""),"Šķūņu 6")</f>
        <v>Šķūņu 6</v>
      </c>
      <c r="D2197" s="2">
        <f>IFERROR(__xludf.DUMMYFUNCTION("""COMPUTED_VALUE"""),2.0)</f>
        <v>2</v>
      </c>
      <c r="E2197" s="2">
        <f>IFERROR(__xludf.DUMMYFUNCTION("""COMPUTED_VALUE"""),25.0)</f>
        <v>25</v>
      </c>
      <c r="F2197" s="2">
        <f>IFERROR(__xludf.DUMMYFUNCTION("""COMPUTED_VALUE"""),2.0)</f>
        <v>2</v>
      </c>
      <c r="G2197" s="2">
        <f>IFERROR(__xludf.DUMMYFUNCTION("""COMPUTED_VALUE"""),4.0)</f>
        <v>4</v>
      </c>
      <c r="H2197" s="2" t="str">
        <f>IFERROR(__xludf.DUMMYFUNCTION("""COMPUTED_VALUE"""),"P. kara")</f>
        <v>P. kara</v>
      </c>
      <c r="I2197" s="2" t="str">
        <f>IFERROR(__xludf.DUMMYFUNCTION("""COMPUTED_VALUE"""),"Masonry")</f>
        <v>Masonry</v>
      </c>
      <c r="J2197" s="2" t="str">
        <f>IFERROR(__xludf.DUMMYFUNCTION("""COMPUTED_VALUE"""),"All amenities")</f>
        <v>All amenities</v>
      </c>
      <c r="K2197" s="2">
        <f>IFERROR(__xludf.DUMMYFUNCTION("""COMPUTED_VALUE"""),69990.0)</f>
        <v>69990</v>
      </c>
      <c r="L2197" s="2">
        <f>IFERROR(__xludf.DUMMYFUNCTION("""COMPUTED_VALUE"""),56.9487783)</f>
        <v>56.9487783</v>
      </c>
      <c r="M2197" s="2">
        <f>IFERROR(__xludf.DUMMYFUNCTION("""COMPUTED_VALUE"""),24.1075908)</f>
        <v>24.1075908</v>
      </c>
    </row>
    <row r="2198">
      <c r="A2198" s="2" t="str">
        <f>IFERROR(__xludf.DUMMYFUNCTION("""COMPUTED_VALUE"""),"For rent")</f>
        <v>For rent</v>
      </c>
      <c r="B2198" s="2" t="str">
        <f>IFERROR(__xludf.DUMMYFUNCTION("""COMPUTED_VALUE"""),"centrs")</f>
        <v>centrs</v>
      </c>
      <c r="C2198" s="2" t="str">
        <f>IFERROR(__xludf.DUMMYFUNCTION("""COMPUTED_VALUE"""),"Vaļņu 35")</f>
        <v>Vaļņu 35</v>
      </c>
      <c r="D2198" s="2">
        <f>IFERROR(__xludf.DUMMYFUNCTION("""COMPUTED_VALUE"""),3.0)</f>
        <v>3</v>
      </c>
      <c r="E2198" s="2">
        <f>IFERROR(__xludf.DUMMYFUNCTION("""COMPUTED_VALUE"""),64.0)</f>
        <v>64</v>
      </c>
      <c r="F2198" s="2">
        <f>IFERROR(__xludf.DUMMYFUNCTION("""COMPUTED_VALUE"""),2.0)</f>
        <v>2</v>
      </c>
      <c r="G2198" s="2">
        <f>IFERROR(__xludf.DUMMYFUNCTION("""COMPUTED_VALUE"""),5.0)</f>
        <v>5</v>
      </c>
      <c r="H2198" s="2" t="str">
        <f>IFERROR(__xludf.DUMMYFUNCTION("""COMPUTED_VALUE"""),"Renov.")</f>
        <v>Renov.</v>
      </c>
      <c r="I2198" s="2" t="str">
        <f>IFERROR(__xludf.DUMMYFUNCTION("""COMPUTED_VALUE"""),"Brick")</f>
        <v>Brick</v>
      </c>
      <c r="J2198" s="2" t="str">
        <f>IFERROR(__xludf.DUMMYFUNCTION("""COMPUTED_VALUE"""),"All amenities")</f>
        <v>All amenities</v>
      </c>
      <c r="K2198" s="2">
        <f>IFERROR(__xludf.DUMMYFUNCTION("""COMPUTED_VALUE"""),600.0)</f>
        <v>600</v>
      </c>
      <c r="L2198" s="2">
        <f>IFERROR(__xludf.DUMMYFUNCTION("""COMPUTED_VALUE"""),56.9472036)</f>
        <v>56.9472036</v>
      </c>
      <c r="M2198" s="2">
        <f>IFERROR(__xludf.DUMMYFUNCTION("""COMPUTED_VALUE"""),24.1135378)</f>
        <v>24.1135378</v>
      </c>
    </row>
    <row r="2199">
      <c r="A2199" s="2" t="str">
        <f>IFERROR(__xludf.DUMMYFUNCTION("""COMPUTED_VALUE"""),"For sale")</f>
        <v>For sale</v>
      </c>
      <c r="B2199" s="2" t="str">
        <f>IFERROR(__xludf.DUMMYFUNCTION("""COMPUTED_VALUE"""),"Purvciems")</f>
        <v>Purvciems</v>
      </c>
      <c r="C2199" s="2" t="str">
        <f>IFERROR(__xludf.DUMMYFUNCTION("""COMPUTED_VALUE"""),"Dzelzavas 38")</f>
        <v>Dzelzavas 38</v>
      </c>
      <c r="D2199" s="2">
        <f>IFERROR(__xludf.DUMMYFUNCTION("""COMPUTED_VALUE"""),1.0)</f>
        <v>1</v>
      </c>
      <c r="E2199" s="2">
        <f>IFERROR(__xludf.DUMMYFUNCTION("""COMPUTED_VALUE"""),49.0)</f>
        <v>49</v>
      </c>
      <c r="F2199" s="2">
        <f>IFERROR(__xludf.DUMMYFUNCTION("""COMPUTED_VALUE"""),11.0)</f>
        <v>11</v>
      </c>
      <c r="G2199" s="2">
        <f>IFERROR(__xludf.DUMMYFUNCTION("""COMPUTED_VALUE"""),16.0)</f>
        <v>16</v>
      </c>
      <c r="H2199" s="2">
        <f>IFERROR(__xludf.DUMMYFUNCTION("""COMPUTED_VALUE"""),104.0)</f>
        <v>104</v>
      </c>
      <c r="I2199" s="2" t="str">
        <f>IFERROR(__xludf.DUMMYFUNCTION("""COMPUTED_VALUE"""),"Panel")</f>
        <v>Panel</v>
      </c>
      <c r="J2199" s="2" t="str">
        <f>IFERROR(__xludf.DUMMYFUNCTION("""COMPUTED_VALUE"""),"All amenities")</f>
        <v>All amenities</v>
      </c>
      <c r="K2199" s="2">
        <f>IFERROR(__xludf.DUMMYFUNCTION("""COMPUTED_VALUE"""),44000.0)</f>
        <v>44000</v>
      </c>
      <c r="L2199" s="2">
        <f>IFERROR(__xludf.DUMMYFUNCTION("""COMPUTED_VALUE"""),56.9583699)</f>
        <v>56.9583699</v>
      </c>
      <c r="M2199" s="2">
        <f>IFERROR(__xludf.DUMMYFUNCTION("""COMPUTED_VALUE"""),24.1789809)</f>
        <v>24.1789809</v>
      </c>
    </row>
    <row r="2200">
      <c r="A2200" s="2" t="str">
        <f>IFERROR(__xludf.DUMMYFUNCTION("""COMPUTED_VALUE"""),"For sale")</f>
        <v>For sale</v>
      </c>
      <c r="B2200" s="2" t="str">
        <f>IFERROR(__xludf.DUMMYFUNCTION("""COMPUTED_VALUE"""),"Purvciems")</f>
        <v>Purvciems</v>
      </c>
      <c r="C2200" s="2" t="str">
        <f>IFERROR(__xludf.DUMMYFUNCTION("""COMPUTED_VALUE"""),"Pūces 31")</f>
        <v>Pūces 31</v>
      </c>
      <c r="D2200" s="2">
        <f>IFERROR(__xludf.DUMMYFUNCTION("""COMPUTED_VALUE"""),3.0)</f>
        <v>3</v>
      </c>
      <c r="E2200" s="2">
        <f>IFERROR(__xludf.DUMMYFUNCTION("""COMPUTED_VALUE"""),110.0)</f>
        <v>110</v>
      </c>
      <c r="F2200" s="2">
        <f>IFERROR(__xludf.DUMMYFUNCTION("""COMPUTED_VALUE"""),2.0)</f>
        <v>2</v>
      </c>
      <c r="G2200" s="2">
        <f>IFERROR(__xludf.DUMMYFUNCTION("""COMPUTED_VALUE"""),3.0)</f>
        <v>3</v>
      </c>
      <c r="H2200" s="2" t="str">
        <f>IFERROR(__xludf.DUMMYFUNCTION("""COMPUTED_VALUE"""),"Jaun.")</f>
        <v>Jaun.</v>
      </c>
      <c r="I2200" s="2" t="str">
        <f>IFERROR(__xludf.DUMMYFUNCTION("""COMPUTED_VALUE"""),"Brick-Panel")</f>
        <v>Brick-Panel</v>
      </c>
      <c r="J2200" s="2" t="str">
        <f>IFERROR(__xludf.DUMMYFUNCTION("""COMPUTED_VALUE"""),"All amenities")</f>
        <v>All amenities</v>
      </c>
      <c r="K2200" s="2">
        <f>IFERROR(__xludf.DUMMYFUNCTION("""COMPUTED_VALUE"""),175000.0)</f>
        <v>175000</v>
      </c>
      <c r="L2200" s="2">
        <f>IFERROR(__xludf.DUMMYFUNCTION("""COMPUTED_VALUE"""),56.9546261)</f>
        <v>56.9546261</v>
      </c>
      <c r="M2200" s="2">
        <f>IFERROR(__xludf.DUMMYFUNCTION("""COMPUTED_VALUE"""),24.1871945494647)</f>
        <v>24.18719455</v>
      </c>
    </row>
    <row r="2201">
      <c r="A2201" s="2" t="str">
        <f>IFERROR(__xludf.DUMMYFUNCTION("""COMPUTED_VALUE"""),"For sale")</f>
        <v>For sale</v>
      </c>
      <c r="B2201" s="2" t="str">
        <f>IFERROR(__xludf.DUMMYFUNCTION("""COMPUTED_VALUE"""),"centrs")</f>
        <v>centrs</v>
      </c>
      <c r="C2201" s="2" t="str">
        <f>IFERROR(__xludf.DUMMYFUNCTION("""COMPUTED_VALUE"""),"Dzirnavu 60")</f>
        <v>Dzirnavu 60</v>
      </c>
      <c r="D2201" s="2">
        <f>IFERROR(__xludf.DUMMYFUNCTION("""COMPUTED_VALUE"""),2.0)</f>
        <v>2</v>
      </c>
      <c r="E2201" s="2">
        <f>IFERROR(__xludf.DUMMYFUNCTION("""COMPUTED_VALUE"""),74.4)</f>
        <v>74.4</v>
      </c>
      <c r="F2201" s="2">
        <f>IFERROR(__xludf.DUMMYFUNCTION("""COMPUTED_VALUE"""),4.0)</f>
        <v>4</v>
      </c>
      <c r="G2201" s="2">
        <f>IFERROR(__xludf.DUMMYFUNCTION("""COMPUTED_VALUE"""),5.0)</f>
        <v>5</v>
      </c>
      <c r="H2201" s="2" t="str">
        <f>IFERROR(__xludf.DUMMYFUNCTION("""COMPUTED_VALUE"""),"P. kara")</f>
        <v>P. kara</v>
      </c>
      <c r="I2201" s="2" t="str">
        <f>IFERROR(__xludf.DUMMYFUNCTION("""COMPUTED_VALUE"""),"Masonry")</f>
        <v>Masonry</v>
      </c>
      <c r="J2201" s="2" t="str">
        <f>IFERROR(__xludf.DUMMYFUNCTION("""COMPUTED_VALUE"""),"All amenities")</f>
        <v>All amenities</v>
      </c>
      <c r="K2201" s="2">
        <f>IFERROR(__xludf.DUMMYFUNCTION("""COMPUTED_VALUE"""),135000.0)</f>
        <v>135000</v>
      </c>
      <c r="L2201" s="2">
        <f>IFERROR(__xludf.DUMMYFUNCTION("""COMPUTED_VALUE"""),56.9544354)</f>
        <v>56.9544354</v>
      </c>
      <c r="M2201" s="2">
        <f>IFERROR(__xludf.DUMMYFUNCTION("""COMPUTED_VALUE"""),24.1200833)</f>
        <v>24.1200833</v>
      </c>
    </row>
    <row r="2202">
      <c r="A2202" s="2" t="str">
        <f>IFERROR(__xludf.DUMMYFUNCTION("""COMPUTED_VALUE"""),"For rent")</f>
        <v>For rent</v>
      </c>
      <c r="B2202" s="2" t="str">
        <f>IFERROR(__xludf.DUMMYFUNCTION("""COMPUTED_VALUE"""),"Torņakalns")</f>
        <v>Torņakalns</v>
      </c>
      <c r="C2202" s="2" t="str">
        <f>IFERROR(__xludf.DUMMYFUNCTION("""COMPUTED_VALUE"""),"Satiksmes 4")</f>
        <v>Satiksmes 4</v>
      </c>
      <c r="D2202" s="2">
        <f>IFERROR(__xludf.DUMMYFUNCTION("""COMPUTED_VALUE"""),2.0)</f>
        <v>2</v>
      </c>
      <c r="E2202" s="2">
        <f>IFERROR(__xludf.DUMMYFUNCTION("""COMPUTED_VALUE"""),44.0)</f>
        <v>44</v>
      </c>
      <c r="F2202" s="2">
        <f>IFERROR(__xludf.DUMMYFUNCTION("""COMPUTED_VALUE"""),1.0)</f>
        <v>1</v>
      </c>
      <c r="G2202" s="2">
        <f>IFERROR(__xludf.DUMMYFUNCTION("""COMPUTED_VALUE"""),2.0)</f>
        <v>2</v>
      </c>
      <c r="H2202" s="2" t="str">
        <f>IFERROR(__xludf.DUMMYFUNCTION("""COMPUTED_VALUE"""),"Priv. m.")</f>
        <v>Priv. m.</v>
      </c>
      <c r="I2202" s="2" t="str">
        <f>IFERROR(__xludf.DUMMYFUNCTION("""COMPUTED_VALUE"""),"Wood")</f>
        <v>Wood</v>
      </c>
      <c r="J2202" s="2" t="str">
        <f>IFERROR(__xludf.DUMMYFUNCTION("""COMPUTED_VALUE"""),"All amenities")</f>
        <v>All amenities</v>
      </c>
      <c r="K2202" s="2">
        <f>IFERROR(__xludf.DUMMYFUNCTION("""COMPUTED_VALUE"""),280.0)</f>
        <v>280</v>
      </c>
      <c r="L2202" s="2">
        <f>IFERROR(__xludf.DUMMYFUNCTION("""COMPUTED_VALUE"""),56.9269604)</f>
        <v>56.9269604</v>
      </c>
      <c r="M2202" s="2">
        <f>IFERROR(__xludf.DUMMYFUNCTION("""COMPUTED_VALUE"""),24.092061462774)</f>
        <v>24.09206146</v>
      </c>
    </row>
    <row r="2203">
      <c r="A2203" s="2" t="str">
        <f>IFERROR(__xludf.DUMMYFUNCTION("""COMPUTED_VALUE"""),"For sale")</f>
        <v>For sale</v>
      </c>
      <c r="B2203" s="2" t="str">
        <f>IFERROR(__xludf.DUMMYFUNCTION("""COMPUTED_VALUE"""),"centrs")</f>
        <v>centrs</v>
      </c>
      <c r="C2203" s="2" t="str">
        <f>IFERROR(__xludf.DUMMYFUNCTION("""COMPUTED_VALUE"""),"Bruņinieku 93")</f>
        <v>Bruņinieku 93</v>
      </c>
      <c r="D2203" s="2">
        <f>IFERROR(__xludf.DUMMYFUNCTION("""COMPUTED_VALUE"""),3.0)</f>
        <v>3</v>
      </c>
      <c r="E2203" s="2">
        <f>IFERROR(__xludf.DUMMYFUNCTION("""COMPUTED_VALUE"""),82.0)</f>
        <v>82</v>
      </c>
      <c r="F2203" s="2">
        <f>IFERROR(__xludf.DUMMYFUNCTION("""COMPUTED_VALUE"""),2.0)</f>
        <v>2</v>
      </c>
      <c r="G2203" s="2">
        <f>IFERROR(__xludf.DUMMYFUNCTION("""COMPUTED_VALUE"""),4.0)</f>
        <v>4</v>
      </c>
      <c r="H2203" s="2" t="str">
        <f>IFERROR(__xludf.DUMMYFUNCTION("""COMPUTED_VALUE"""),"P. kara")</f>
        <v>P. kara</v>
      </c>
      <c r="I2203" s="2" t="str">
        <f>IFERROR(__xludf.DUMMYFUNCTION("""COMPUTED_VALUE"""),"Masonry")</f>
        <v>Masonry</v>
      </c>
      <c r="J2203" s="2" t="str">
        <f>IFERROR(__xludf.DUMMYFUNCTION("""COMPUTED_VALUE"""),"All amenities")</f>
        <v>All amenities</v>
      </c>
      <c r="K2203" s="2">
        <f>IFERROR(__xludf.DUMMYFUNCTION("""COMPUTED_VALUE"""),90000.0)</f>
        <v>90000</v>
      </c>
      <c r="L2203" s="2">
        <f>IFERROR(__xludf.DUMMYFUNCTION("""COMPUTED_VALUE"""),56.9510944999999)</f>
        <v>56.9510945</v>
      </c>
      <c r="M2203" s="2">
        <f>IFERROR(__xludf.DUMMYFUNCTION("""COMPUTED_VALUE"""),24.1420216727895)</f>
        <v>24.14202167</v>
      </c>
    </row>
    <row r="2204">
      <c r="A2204" s="2" t="str">
        <f>IFERROR(__xludf.DUMMYFUNCTION("""COMPUTED_VALUE"""),"For sale")</f>
        <v>For sale</v>
      </c>
      <c r="B2204" s="2" t="str">
        <f>IFERROR(__xludf.DUMMYFUNCTION("""COMPUTED_VALUE"""),"Teika")</f>
        <v>Teika</v>
      </c>
      <c r="C2204" s="2" t="str">
        <f>IFERROR(__xludf.DUMMYFUNCTION("""COMPUTED_VALUE"""),"Brīvības gatve 313")</f>
        <v>Brīvības gatve 313</v>
      </c>
      <c r="D2204" s="2">
        <f>IFERROR(__xludf.DUMMYFUNCTION("""COMPUTED_VALUE"""),4.0)</f>
        <v>4</v>
      </c>
      <c r="E2204" s="2">
        <f>IFERROR(__xludf.DUMMYFUNCTION("""COMPUTED_VALUE"""),131.0)</f>
        <v>131</v>
      </c>
      <c r="F2204" s="2">
        <f>IFERROR(__xludf.DUMMYFUNCTION("""COMPUTED_VALUE"""),2.0)</f>
        <v>2</v>
      </c>
      <c r="G2204" s="2">
        <f>IFERROR(__xludf.DUMMYFUNCTION("""COMPUTED_VALUE"""),6.0)</f>
        <v>6</v>
      </c>
      <c r="H2204" s="2" t="str">
        <f>IFERROR(__xludf.DUMMYFUNCTION("""COMPUTED_VALUE"""),"Specpr.")</f>
        <v>Specpr.</v>
      </c>
      <c r="I2204" s="2" t="str">
        <f>IFERROR(__xludf.DUMMYFUNCTION("""COMPUTED_VALUE"""),"Panel-Brick")</f>
        <v>Panel-Brick</v>
      </c>
      <c r="J2204" s="2" t="str">
        <f>IFERROR(__xludf.DUMMYFUNCTION("""COMPUTED_VALUE"""),"All amenities")</f>
        <v>All amenities</v>
      </c>
      <c r="K2204" s="2">
        <f>IFERROR(__xludf.DUMMYFUNCTION("""COMPUTED_VALUE"""),110000.0)</f>
        <v>110000</v>
      </c>
      <c r="L2204" s="2">
        <f>IFERROR(__xludf.DUMMYFUNCTION("""COMPUTED_VALUE"""),56.98279245)</f>
        <v>56.98279245</v>
      </c>
      <c r="M2204" s="2">
        <f>IFERROR(__xludf.DUMMYFUNCTION("""COMPUTED_VALUE"""),24.1963668754421)</f>
        <v>24.19636688</v>
      </c>
    </row>
    <row r="2205">
      <c r="A2205" s="2" t="str">
        <f>IFERROR(__xludf.DUMMYFUNCTION("""COMPUTED_VALUE"""),"For rent")</f>
        <v>For rent</v>
      </c>
      <c r="B2205" s="2" t="str">
        <f>IFERROR(__xludf.DUMMYFUNCTION("""COMPUTED_VALUE"""),"Āgenskalns")</f>
        <v>Āgenskalns</v>
      </c>
      <c r="C2205" s="2" t="str">
        <f>IFERROR(__xludf.DUMMYFUNCTION("""COMPUTED_VALUE"""),"Kalnciema 39b")</f>
        <v>Kalnciema 39b</v>
      </c>
      <c r="D2205" s="2">
        <f>IFERROR(__xludf.DUMMYFUNCTION("""COMPUTED_VALUE"""),2.0)</f>
        <v>2</v>
      </c>
      <c r="E2205" s="2">
        <f>IFERROR(__xludf.DUMMYFUNCTION("""COMPUTED_VALUE"""),58.0)</f>
        <v>58</v>
      </c>
      <c r="F2205" s="2">
        <f>IFERROR(__xludf.DUMMYFUNCTION("""COMPUTED_VALUE"""),2.0)</f>
        <v>2</v>
      </c>
      <c r="G2205" s="2">
        <f>IFERROR(__xludf.DUMMYFUNCTION("""COMPUTED_VALUE"""),4.0)</f>
        <v>4</v>
      </c>
      <c r="H2205" s="2" t="str">
        <f>IFERROR(__xludf.DUMMYFUNCTION("""COMPUTED_VALUE"""),"P. kara")</f>
        <v>P. kara</v>
      </c>
      <c r="I2205" s="2" t="str">
        <f>IFERROR(__xludf.DUMMYFUNCTION("""COMPUTED_VALUE"""),"Masonry")</f>
        <v>Masonry</v>
      </c>
      <c r="J2205" s="2" t="str">
        <f>IFERROR(__xludf.DUMMYFUNCTION("""COMPUTED_VALUE"""),"All amenities")</f>
        <v>All amenities</v>
      </c>
      <c r="K2205" s="2">
        <f>IFERROR(__xludf.DUMMYFUNCTION("""COMPUTED_VALUE"""),450.0)</f>
        <v>450</v>
      </c>
      <c r="L2205" s="2">
        <f>IFERROR(__xludf.DUMMYFUNCTION("""COMPUTED_VALUE"""),56.9453372)</f>
        <v>56.9453372</v>
      </c>
      <c r="M2205" s="2">
        <f>IFERROR(__xludf.DUMMYFUNCTION("""COMPUTED_VALUE"""),24.0731765)</f>
        <v>24.0731765</v>
      </c>
    </row>
    <row r="2206">
      <c r="A2206" s="2" t="str">
        <f>IFERROR(__xludf.DUMMYFUNCTION("""COMPUTED_VALUE"""),"For rent")</f>
        <v>For rent</v>
      </c>
      <c r="B2206" s="2" t="str">
        <f>IFERROR(__xludf.DUMMYFUNCTION("""COMPUTED_VALUE"""),"Iļģuciems")</f>
        <v>Iļģuciems</v>
      </c>
      <c r="C2206" s="2" t="str">
        <f>IFERROR(__xludf.DUMMYFUNCTION("""COMPUTED_VALUE"""),"Grīvas 17")</f>
        <v>Grīvas 17</v>
      </c>
      <c r="D2206" s="2">
        <f>IFERROR(__xludf.DUMMYFUNCTION("""COMPUTED_VALUE"""),1.0)</f>
        <v>1</v>
      </c>
      <c r="E2206" s="2">
        <f>IFERROR(__xludf.DUMMYFUNCTION("""COMPUTED_VALUE"""),30.0)</f>
        <v>30</v>
      </c>
      <c r="F2206" s="2">
        <f>IFERROR(__xludf.DUMMYFUNCTION("""COMPUTED_VALUE"""),4.0)</f>
        <v>4</v>
      </c>
      <c r="G2206" s="2">
        <f>IFERROR(__xludf.DUMMYFUNCTION("""COMPUTED_VALUE"""),5.0)</f>
        <v>5</v>
      </c>
      <c r="H2206" s="2" t="str">
        <f>IFERROR(__xludf.DUMMYFUNCTION("""COMPUTED_VALUE"""),"Hrušč.")</f>
        <v>Hrušč.</v>
      </c>
      <c r="I2206" s="2" t="str">
        <f>IFERROR(__xludf.DUMMYFUNCTION("""COMPUTED_VALUE"""),"Brick")</f>
        <v>Brick</v>
      </c>
      <c r="J2206" s="2" t="str">
        <f>IFERROR(__xludf.DUMMYFUNCTION("""COMPUTED_VALUE"""),"All amenities")</f>
        <v>All amenities</v>
      </c>
      <c r="K2206" s="2">
        <f>IFERROR(__xludf.DUMMYFUNCTION("""COMPUTED_VALUE"""),230.0)</f>
        <v>230</v>
      </c>
      <c r="L2206" s="2">
        <f>IFERROR(__xludf.DUMMYFUNCTION("""COMPUTED_VALUE"""),56.96548875)</f>
        <v>56.96548875</v>
      </c>
      <c r="M2206" s="2">
        <f>IFERROR(__xludf.DUMMYFUNCTION("""COMPUTED_VALUE"""),24.0492982249842)</f>
        <v>24.04929822</v>
      </c>
    </row>
    <row r="2207">
      <c r="A2207" s="2" t="str">
        <f>IFERROR(__xludf.DUMMYFUNCTION("""COMPUTED_VALUE"""),"For sale")</f>
        <v>For sale</v>
      </c>
      <c r="B2207" s="2" t="str">
        <f>IFERROR(__xludf.DUMMYFUNCTION("""COMPUTED_VALUE"""),"Dārzciems")</f>
        <v>Dārzciems</v>
      </c>
      <c r="C2207" s="2" t="str">
        <f>IFERROR(__xludf.DUMMYFUNCTION("""COMPUTED_VALUE"""),"Nīcgales 38")</f>
        <v>Nīcgales 38</v>
      </c>
      <c r="D2207" s="2">
        <f>IFERROR(__xludf.DUMMYFUNCTION("""COMPUTED_VALUE"""),2.0)</f>
        <v>2</v>
      </c>
      <c r="E2207" s="2">
        <f>IFERROR(__xludf.DUMMYFUNCTION("""COMPUTED_VALUE"""),46.0)</f>
        <v>46</v>
      </c>
      <c r="F2207" s="2">
        <f>IFERROR(__xludf.DUMMYFUNCTION("""COMPUTED_VALUE"""),3.0)</f>
        <v>3</v>
      </c>
      <c r="G2207" s="2">
        <f>IFERROR(__xludf.DUMMYFUNCTION("""COMPUTED_VALUE"""),5.0)</f>
        <v>5</v>
      </c>
      <c r="H2207" s="2">
        <f>IFERROR(__xludf.DUMMYFUNCTION("""COMPUTED_VALUE"""),103.0)</f>
        <v>103</v>
      </c>
      <c r="I2207" s="2" t="str">
        <f>IFERROR(__xludf.DUMMYFUNCTION("""COMPUTED_VALUE"""),"Brick-Panel")</f>
        <v>Brick-Panel</v>
      </c>
      <c r="J2207" s="2" t="str">
        <f>IFERROR(__xludf.DUMMYFUNCTION("""COMPUTED_VALUE"""),"All amenities")</f>
        <v>All amenities</v>
      </c>
      <c r="K2207" s="2">
        <f>IFERROR(__xludf.DUMMYFUNCTION("""COMPUTED_VALUE"""),46000.0)</f>
        <v>46000</v>
      </c>
      <c r="L2207" s="2">
        <f>IFERROR(__xludf.DUMMYFUNCTION("""COMPUTED_VALUE"""),56.94805795)</f>
        <v>56.94805795</v>
      </c>
      <c r="M2207" s="2">
        <f>IFERROR(__xludf.DUMMYFUNCTION("""COMPUTED_VALUE"""),24.170844288344)</f>
        <v>24.17084429</v>
      </c>
    </row>
    <row r="2208">
      <c r="A2208" s="2" t="str">
        <f>IFERROR(__xludf.DUMMYFUNCTION("""COMPUTED_VALUE"""),"For rent")</f>
        <v>For rent</v>
      </c>
      <c r="B2208" s="2" t="str">
        <f>IFERROR(__xludf.DUMMYFUNCTION("""COMPUTED_VALUE"""),"Imanta")</f>
        <v>Imanta</v>
      </c>
      <c r="C2208" s="2" t="str">
        <f>IFERROR(__xludf.DUMMYFUNCTION("""COMPUTED_VALUE"""),"M. Krūmu 28")</f>
        <v>M. Krūmu 28</v>
      </c>
      <c r="D2208" s="2">
        <f>IFERROR(__xludf.DUMMYFUNCTION("""COMPUTED_VALUE"""),3.0)</f>
        <v>3</v>
      </c>
      <c r="E2208" s="2">
        <f>IFERROR(__xludf.DUMMYFUNCTION("""COMPUTED_VALUE"""),89.0)</f>
        <v>89</v>
      </c>
      <c r="F2208" s="2">
        <f>IFERROR(__xludf.DUMMYFUNCTION("""COMPUTED_VALUE"""),3.0)</f>
        <v>3</v>
      </c>
      <c r="G2208" s="2">
        <f>IFERROR(__xludf.DUMMYFUNCTION("""COMPUTED_VALUE"""),4.0)</f>
        <v>4</v>
      </c>
      <c r="H2208" s="2" t="str">
        <f>IFERROR(__xludf.DUMMYFUNCTION("""COMPUTED_VALUE"""),"Jaun.")</f>
        <v>Jaun.</v>
      </c>
      <c r="I2208" s="2" t="str">
        <f>IFERROR(__xludf.DUMMYFUNCTION("""COMPUTED_VALUE"""),"Brick-Panel")</f>
        <v>Brick-Panel</v>
      </c>
      <c r="J2208" s="2" t="str">
        <f>IFERROR(__xludf.DUMMYFUNCTION("""COMPUTED_VALUE"""),"All amenities")</f>
        <v>All amenities</v>
      </c>
      <c r="K2208" s="2">
        <f>IFERROR(__xludf.DUMMYFUNCTION("""COMPUTED_VALUE"""),50.0)</f>
        <v>50</v>
      </c>
      <c r="L2208" s="2">
        <f>IFERROR(__xludf.DUMMYFUNCTION("""COMPUTED_VALUE"""),56.9617208)</f>
        <v>56.9617208</v>
      </c>
      <c r="M2208" s="2">
        <f>IFERROR(__xludf.DUMMYFUNCTION("""COMPUTED_VALUE"""),24.0058212972619)</f>
        <v>24.0058213</v>
      </c>
    </row>
    <row r="2209">
      <c r="A2209" s="2" t="str">
        <f>IFERROR(__xludf.DUMMYFUNCTION("""COMPUTED_VALUE"""),"For sale")</f>
        <v>For sale</v>
      </c>
      <c r="B2209" s="2" t="str">
        <f>IFERROR(__xludf.DUMMYFUNCTION("""COMPUTED_VALUE"""),"Šampēteris-Pleskodāle")</f>
        <v>Šampēteris-Pleskodāle</v>
      </c>
      <c r="C2209" s="2" t="str">
        <f>IFERROR(__xludf.DUMMYFUNCTION("""COMPUTED_VALUE"""),"Stendes 7")</f>
        <v>Stendes 7</v>
      </c>
      <c r="D2209" s="2">
        <f>IFERROR(__xludf.DUMMYFUNCTION("""COMPUTED_VALUE"""),1.0)</f>
        <v>1</v>
      </c>
      <c r="E2209" s="2">
        <f>IFERROR(__xludf.DUMMYFUNCTION("""COMPUTED_VALUE"""),18.0)</f>
        <v>18</v>
      </c>
      <c r="F2209" s="2">
        <f>IFERROR(__xludf.DUMMYFUNCTION("""COMPUTED_VALUE"""),3.0)</f>
        <v>3</v>
      </c>
      <c r="G2209" s="2">
        <f>IFERROR(__xludf.DUMMYFUNCTION("""COMPUTED_VALUE"""),3.0)</f>
        <v>3</v>
      </c>
      <c r="H2209" s="2" t="str">
        <f>IFERROR(__xludf.DUMMYFUNCTION("""COMPUTED_VALUE"""),"Specpr.")</f>
        <v>Specpr.</v>
      </c>
      <c r="I2209" s="2" t="str">
        <f>IFERROR(__xludf.DUMMYFUNCTION("""COMPUTED_VALUE"""),"Brick")</f>
        <v>Brick</v>
      </c>
      <c r="J2209" s="2" t="str">
        <f>IFERROR(__xludf.DUMMYFUNCTION("""COMPUTED_VALUE"""),"All amenities")</f>
        <v>All amenities</v>
      </c>
      <c r="K2209" s="2">
        <f>IFERROR(__xludf.DUMMYFUNCTION("""COMPUTED_VALUE"""),10950.0)</f>
        <v>10950</v>
      </c>
      <c r="L2209" s="2">
        <f>IFERROR(__xludf.DUMMYFUNCTION("""COMPUTED_VALUE"""),56.9399149)</f>
        <v>56.9399149</v>
      </c>
      <c r="M2209" s="2">
        <f>IFERROR(__xludf.DUMMYFUNCTION("""COMPUTED_VALUE"""),24.0365127)</f>
        <v>24.0365127</v>
      </c>
    </row>
    <row r="2210">
      <c r="A2210" s="2" t="str">
        <f>IFERROR(__xludf.DUMMYFUNCTION("""COMPUTED_VALUE"""),"For rent")</f>
        <v>For rent</v>
      </c>
      <c r="B2210" s="2" t="str">
        <f>IFERROR(__xludf.DUMMYFUNCTION("""COMPUTED_VALUE"""),"centrs")</f>
        <v>centrs</v>
      </c>
      <c r="C2210" s="2" t="str">
        <f>IFERROR(__xludf.DUMMYFUNCTION("""COMPUTED_VALUE"""),"Vagonu 22")</f>
        <v>Vagonu 22</v>
      </c>
      <c r="D2210" s="2">
        <f>IFERROR(__xludf.DUMMYFUNCTION("""COMPUTED_VALUE"""),1.0)</f>
        <v>1</v>
      </c>
      <c r="E2210" s="2">
        <f>IFERROR(__xludf.DUMMYFUNCTION("""COMPUTED_VALUE"""),25.0)</f>
        <v>25</v>
      </c>
      <c r="F2210" s="2">
        <f>IFERROR(__xludf.DUMMYFUNCTION("""COMPUTED_VALUE"""),5.0)</f>
        <v>5</v>
      </c>
      <c r="G2210" s="2">
        <f>IFERROR(__xludf.DUMMYFUNCTION("""COMPUTED_VALUE"""),5.0)</f>
        <v>5</v>
      </c>
      <c r="H2210" s="2" t="str">
        <f>IFERROR(__xludf.DUMMYFUNCTION("""COMPUTED_VALUE"""),"Renov.")</f>
        <v>Renov.</v>
      </c>
      <c r="I2210" s="2" t="str">
        <f>IFERROR(__xludf.DUMMYFUNCTION("""COMPUTED_VALUE"""),"Brick")</f>
        <v>Brick</v>
      </c>
      <c r="J2210" s="2" t="str">
        <f>IFERROR(__xludf.DUMMYFUNCTION("""COMPUTED_VALUE"""),"All amenities")</f>
        <v>All amenities</v>
      </c>
      <c r="K2210" s="2">
        <f>IFERROR(__xludf.DUMMYFUNCTION("""COMPUTED_VALUE"""),23.0)</f>
        <v>23</v>
      </c>
      <c r="L2210" s="2">
        <f>IFERROR(__xludf.DUMMYFUNCTION("""COMPUTED_VALUE"""),56.94863315)</f>
        <v>56.94863315</v>
      </c>
      <c r="M2210" s="2">
        <f>IFERROR(__xludf.DUMMYFUNCTION("""COMPUTED_VALUE"""),24.1500322)</f>
        <v>24.1500322</v>
      </c>
    </row>
    <row r="2211">
      <c r="A2211" s="2" t="str">
        <f>IFERROR(__xludf.DUMMYFUNCTION("""COMPUTED_VALUE"""),"For sale")</f>
        <v>For sale</v>
      </c>
      <c r="B2211" s="2" t="str">
        <f>IFERROR(__xludf.DUMMYFUNCTION("""COMPUTED_VALUE"""),"Mežciems")</f>
        <v>Mežciems</v>
      </c>
      <c r="C2211" s="2" t="str">
        <f>IFERROR(__xludf.DUMMYFUNCTION("""COMPUTED_VALUE"""),"Mežciema 26")</f>
        <v>Mežciema 26</v>
      </c>
      <c r="D2211" s="2">
        <f>IFERROR(__xludf.DUMMYFUNCTION("""COMPUTED_VALUE"""),3.0)</f>
        <v>3</v>
      </c>
      <c r="E2211" s="2">
        <f>IFERROR(__xludf.DUMMYFUNCTION("""COMPUTED_VALUE"""),55.0)</f>
        <v>55</v>
      </c>
      <c r="F2211" s="2">
        <f>IFERROR(__xludf.DUMMYFUNCTION("""COMPUTED_VALUE"""),2.0)</f>
        <v>2</v>
      </c>
      <c r="G2211" s="2">
        <f>IFERROR(__xludf.DUMMYFUNCTION("""COMPUTED_VALUE"""),5.0)</f>
        <v>5</v>
      </c>
      <c r="H2211" s="2" t="str">
        <f>IFERROR(__xludf.DUMMYFUNCTION("""COMPUTED_VALUE"""),"LT proj.")</f>
        <v>LT proj.</v>
      </c>
      <c r="I2211" s="2" t="str">
        <f>IFERROR(__xludf.DUMMYFUNCTION("""COMPUTED_VALUE"""),"Panel")</f>
        <v>Panel</v>
      </c>
      <c r="J2211" s="2" t="str">
        <f>IFERROR(__xludf.DUMMYFUNCTION("""COMPUTED_VALUE"""),"All amenities")</f>
        <v>All amenities</v>
      </c>
      <c r="K2211" s="2">
        <f>IFERROR(__xludf.DUMMYFUNCTION("""COMPUTED_VALUE"""),48300.0)</f>
        <v>48300</v>
      </c>
      <c r="L2211" s="2">
        <f>IFERROR(__xludf.DUMMYFUNCTION("""COMPUTED_VALUE"""),56.9727809)</f>
        <v>56.9727809</v>
      </c>
      <c r="M2211" s="2">
        <f>IFERROR(__xludf.DUMMYFUNCTION("""COMPUTED_VALUE"""),24.23367245)</f>
        <v>24.23367245</v>
      </c>
    </row>
    <row r="2212">
      <c r="A2212" s="2" t="str">
        <f>IFERROR(__xludf.DUMMYFUNCTION("""COMPUTED_VALUE"""),"For sale")</f>
        <v>For sale</v>
      </c>
      <c r="B2212" s="2" t="str">
        <f>IFERROR(__xludf.DUMMYFUNCTION("""COMPUTED_VALUE"""),"Iļģuciems")</f>
        <v>Iļģuciems</v>
      </c>
      <c r="C2212" s="2" t="str">
        <f>IFERROR(__xludf.DUMMYFUNCTION("""COMPUTED_VALUE"""),"Baltā 9")</f>
        <v>Baltā 9</v>
      </c>
      <c r="D2212" s="2">
        <f>IFERROR(__xludf.DUMMYFUNCTION("""COMPUTED_VALUE"""),1.0)</f>
        <v>1</v>
      </c>
      <c r="E2212" s="2">
        <f>IFERROR(__xludf.DUMMYFUNCTION("""COMPUTED_VALUE"""),30.0)</f>
        <v>30</v>
      </c>
      <c r="F2212" s="2">
        <f>IFERROR(__xludf.DUMMYFUNCTION("""COMPUTED_VALUE"""),1.0)</f>
        <v>1</v>
      </c>
      <c r="G2212" s="2">
        <f>IFERROR(__xludf.DUMMYFUNCTION("""COMPUTED_VALUE"""),4.0)</f>
        <v>4</v>
      </c>
      <c r="H2212" s="2" t="str">
        <f>IFERROR(__xludf.DUMMYFUNCTION("""COMPUTED_VALUE"""),"Specpr.")</f>
        <v>Specpr.</v>
      </c>
      <c r="I2212" s="2" t="str">
        <f>IFERROR(__xludf.DUMMYFUNCTION("""COMPUTED_VALUE"""),"Brick")</f>
        <v>Brick</v>
      </c>
      <c r="J2212" s="2" t="str">
        <f>IFERROR(__xludf.DUMMYFUNCTION("""COMPUTED_VALUE"""),"All amenities")</f>
        <v>All amenities</v>
      </c>
      <c r="K2212" s="2">
        <f>IFERROR(__xludf.DUMMYFUNCTION("""COMPUTED_VALUE"""),25900.0)</f>
        <v>25900</v>
      </c>
      <c r="L2212" s="2">
        <f>IFERROR(__xludf.DUMMYFUNCTION("""COMPUTED_VALUE"""),56.96824655)</f>
        <v>56.96824655</v>
      </c>
      <c r="M2212" s="2">
        <f>IFERROR(__xludf.DUMMYFUNCTION("""COMPUTED_VALUE"""),24.066163499229)</f>
        <v>24.0661635</v>
      </c>
    </row>
    <row r="2213">
      <c r="A2213" s="2" t="str">
        <f>IFERROR(__xludf.DUMMYFUNCTION("""COMPUTED_VALUE"""),"For rent")</f>
        <v>For rent</v>
      </c>
      <c r="B2213" s="2" t="str">
        <f>IFERROR(__xludf.DUMMYFUNCTION("""COMPUTED_VALUE"""),"centrs")</f>
        <v>centrs</v>
      </c>
      <c r="C2213" s="2" t="str">
        <f>IFERROR(__xludf.DUMMYFUNCTION("""COMPUTED_VALUE"""),"Ģertrūdes 107")</f>
        <v>Ģertrūdes 107</v>
      </c>
      <c r="D2213" s="2">
        <f>IFERROR(__xludf.DUMMYFUNCTION("""COMPUTED_VALUE"""),1.0)</f>
        <v>1</v>
      </c>
      <c r="E2213" s="2">
        <f>IFERROR(__xludf.DUMMYFUNCTION("""COMPUTED_VALUE"""),13.0)</f>
        <v>13</v>
      </c>
      <c r="F2213" s="2">
        <f>IFERROR(__xludf.DUMMYFUNCTION("""COMPUTED_VALUE"""),5.0)</f>
        <v>5</v>
      </c>
      <c r="G2213" s="2">
        <f>IFERROR(__xludf.DUMMYFUNCTION("""COMPUTED_VALUE"""),5.0)</f>
        <v>5</v>
      </c>
      <c r="H2213" s="2" t="str">
        <f>IFERROR(__xludf.DUMMYFUNCTION("""COMPUTED_VALUE"""),"P. kara")</f>
        <v>P. kara</v>
      </c>
      <c r="I2213" s="2" t="str">
        <f>IFERROR(__xludf.DUMMYFUNCTION("""COMPUTED_VALUE"""),"Masonry")</f>
        <v>Masonry</v>
      </c>
      <c r="J2213" s="2" t="str">
        <f>IFERROR(__xludf.DUMMYFUNCTION("""COMPUTED_VALUE"""),"All amenities")</f>
        <v>All amenities</v>
      </c>
      <c r="K2213" s="2">
        <f>IFERROR(__xludf.DUMMYFUNCTION("""COMPUTED_VALUE"""),150.0)</f>
        <v>150</v>
      </c>
      <c r="L2213" s="2">
        <f>IFERROR(__xludf.DUMMYFUNCTION("""COMPUTED_VALUE"""),56.94970365)</f>
        <v>56.94970365</v>
      </c>
      <c r="M2213" s="2">
        <f>IFERROR(__xludf.DUMMYFUNCTION("""COMPUTED_VALUE"""),24.1381836611306)</f>
        <v>24.13818366</v>
      </c>
    </row>
    <row r="2214">
      <c r="A2214" s="2" t="str">
        <f>IFERROR(__xludf.DUMMYFUNCTION("""COMPUTED_VALUE"""),"For sale")</f>
        <v>For sale</v>
      </c>
      <c r="B2214" s="2" t="str">
        <f>IFERROR(__xludf.DUMMYFUNCTION("""COMPUTED_VALUE"""),"Imanta")</f>
        <v>Imanta</v>
      </c>
      <c r="C2214" s="2" t="str">
        <f>IFERROR(__xludf.DUMMYFUNCTION("""COMPUTED_VALUE"""),"Kleistu 21")</f>
        <v>Kleistu 21</v>
      </c>
      <c r="D2214" s="2">
        <f>IFERROR(__xludf.DUMMYFUNCTION("""COMPUTED_VALUE"""),2.0)</f>
        <v>2</v>
      </c>
      <c r="E2214" s="2">
        <f>IFERROR(__xludf.DUMMYFUNCTION("""COMPUTED_VALUE"""),50.0)</f>
        <v>50</v>
      </c>
      <c r="F2214" s="2">
        <f>IFERROR(__xludf.DUMMYFUNCTION("""COMPUTED_VALUE"""),5.0)</f>
        <v>5</v>
      </c>
      <c r="G2214" s="2">
        <f>IFERROR(__xludf.DUMMYFUNCTION("""COMPUTED_VALUE"""),9.0)</f>
        <v>9</v>
      </c>
      <c r="H2214" s="2">
        <f>IFERROR(__xludf.DUMMYFUNCTION("""COMPUTED_VALUE"""),602.0)</f>
        <v>602</v>
      </c>
      <c r="I2214" s="2" t="str">
        <f>IFERROR(__xludf.DUMMYFUNCTION("""COMPUTED_VALUE"""),"Panel")</f>
        <v>Panel</v>
      </c>
      <c r="J2214" s="2" t="str">
        <f>IFERROR(__xludf.DUMMYFUNCTION("""COMPUTED_VALUE"""),"All amenities")</f>
        <v>All amenities</v>
      </c>
      <c r="K2214" s="2">
        <f>IFERROR(__xludf.DUMMYFUNCTION("""COMPUTED_VALUE"""),57500.0)</f>
        <v>57500</v>
      </c>
      <c r="L2214" s="2">
        <f>IFERROR(__xludf.DUMMYFUNCTION("""COMPUTED_VALUE"""),56.96459075)</f>
        <v>56.96459075</v>
      </c>
      <c r="M2214" s="2">
        <f>IFERROR(__xludf.DUMMYFUNCTION("""COMPUTED_VALUE"""),24.0241874)</f>
        <v>24.0241874</v>
      </c>
    </row>
    <row r="2215">
      <c r="A2215" s="2" t="str">
        <f>IFERROR(__xludf.DUMMYFUNCTION("""COMPUTED_VALUE"""),"For rent")</f>
        <v>For rent</v>
      </c>
      <c r="B2215" s="2" t="str">
        <f>IFERROR(__xludf.DUMMYFUNCTION("""COMPUTED_VALUE"""),"centrs")</f>
        <v>centrs</v>
      </c>
      <c r="C2215" s="2" t="str">
        <f>IFERROR(__xludf.DUMMYFUNCTION("""COMPUTED_VALUE"""),"Valdemāra 41a")</f>
        <v>Valdemāra 41a</v>
      </c>
      <c r="D2215" s="2">
        <f>IFERROR(__xludf.DUMMYFUNCTION("""COMPUTED_VALUE"""),2.0)</f>
        <v>2</v>
      </c>
      <c r="E2215" s="2">
        <f>IFERROR(__xludf.DUMMYFUNCTION("""COMPUTED_VALUE"""),41.0)</f>
        <v>41</v>
      </c>
      <c r="F2215" s="2">
        <f>IFERROR(__xludf.DUMMYFUNCTION("""COMPUTED_VALUE"""),2.0)</f>
        <v>2</v>
      </c>
      <c r="G2215" s="2">
        <f>IFERROR(__xludf.DUMMYFUNCTION("""COMPUTED_VALUE"""),7.0)</f>
        <v>7</v>
      </c>
      <c r="H2215" s="2" t="str">
        <f>IFERROR(__xludf.DUMMYFUNCTION("""COMPUTED_VALUE"""),"Jaun.")</f>
        <v>Jaun.</v>
      </c>
      <c r="I2215" s="2" t="str">
        <f>IFERROR(__xludf.DUMMYFUNCTION("""COMPUTED_VALUE"""),"Panel-Brick")</f>
        <v>Panel-Brick</v>
      </c>
      <c r="J2215" s="2" t="str">
        <f>IFERROR(__xludf.DUMMYFUNCTION("""COMPUTED_VALUE"""),"All amenities")</f>
        <v>All amenities</v>
      </c>
      <c r="K2215" s="2">
        <f>IFERROR(__xludf.DUMMYFUNCTION("""COMPUTED_VALUE"""),670.0)</f>
        <v>670</v>
      </c>
      <c r="L2215" s="2">
        <f>IFERROR(__xludf.DUMMYFUNCTION("""COMPUTED_VALUE"""),56.9721861)</f>
        <v>56.9721861</v>
      </c>
      <c r="M2215" s="2">
        <f>IFERROR(__xludf.DUMMYFUNCTION("""COMPUTED_VALUE"""),24.1343196)</f>
        <v>24.1343196</v>
      </c>
    </row>
    <row r="2216">
      <c r="A2216" s="2" t="str">
        <f>IFERROR(__xludf.DUMMYFUNCTION("""COMPUTED_VALUE"""),"For sale")</f>
        <v>For sale</v>
      </c>
      <c r="B2216" s="2" t="str">
        <f>IFERROR(__xludf.DUMMYFUNCTION("""COMPUTED_VALUE"""),"Imanta")</f>
        <v>Imanta</v>
      </c>
      <c r="C2216" s="2" t="str">
        <f>IFERROR(__xludf.DUMMYFUNCTION("""COMPUTED_VALUE"""),"Anniņmuižas bulvāris 43")</f>
        <v>Anniņmuižas bulvāris 43</v>
      </c>
      <c r="D2216" s="2">
        <f>IFERROR(__xludf.DUMMYFUNCTION("""COMPUTED_VALUE"""),3.0)</f>
        <v>3</v>
      </c>
      <c r="E2216" s="2">
        <f>IFERROR(__xludf.DUMMYFUNCTION("""COMPUTED_VALUE"""),112.0)</f>
        <v>112</v>
      </c>
      <c r="F2216" s="2">
        <f>IFERROR(__xludf.DUMMYFUNCTION("""COMPUTED_VALUE"""),21.0)</f>
        <v>21</v>
      </c>
      <c r="G2216" s="2">
        <f>IFERROR(__xludf.DUMMYFUNCTION("""COMPUTED_VALUE"""),24.0)</f>
        <v>24</v>
      </c>
      <c r="H2216" s="2" t="str">
        <f>IFERROR(__xludf.DUMMYFUNCTION("""COMPUTED_VALUE"""),"Jaun.")</f>
        <v>Jaun.</v>
      </c>
      <c r="I2216" s="2" t="str">
        <f>IFERROR(__xludf.DUMMYFUNCTION("""COMPUTED_VALUE"""),"Masonry")</f>
        <v>Masonry</v>
      </c>
      <c r="J2216" s="2" t="str">
        <f>IFERROR(__xludf.DUMMYFUNCTION("""COMPUTED_VALUE"""),"All amenities")</f>
        <v>All amenities</v>
      </c>
      <c r="K2216" s="2">
        <f>IFERROR(__xludf.DUMMYFUNCTION("""COMPUTED_VALUE"""),147000.0)</f>
        <v>147000</v>
      </c>
      <c r="L2216" s="2">
        <f>IFERROR(__xludf.DUMMYFUNCTION("""COMPUTED_VALUE"""),56.9590306)</f>
        <v>56.9590306</v>
      </c>
      <c r="M2216" s="2">
        <f>IFERROR(__xludf.DUMMYFUNCTION("""COMPUTED_VALUE"""),24.013887042853)</f>
        <v>24.01388704</v>
      </c>
    </row>
    <row r="2217">
      <c r="A2217" s="2" t="str">
        <f>IFERROR(__xludf.DUMMYFUNCTION("""COMPUTED_VALUE"""),"For sale")</f>
        <v>For sale</v>
      </c>
      <c r="B2217" s="2" t="str">
        <f>IFERROR(__xludf.DUMMYFUNCTION("""COMPUTED_VALUE"""),"centrs")</f>
        <v>centrs</v>
      </c>
      <c r="C2217" s="2" t="str">
        <f>IFERROR(__xludf.DUMMYFUNCTION("""COMPUTED_VALUE"""),"Skolas 12a")</f>
        <v>Skolas 12a</v>
      </c>
      <c r="D2217" s="2">
        <f>IFERROR(__xludf.DUMMYFUNCTION("""COMPUTED_VALUE"""),3.0)</f>
        <v>3</v>
      </c>
      <c r="E2217" s="2">
        <f>IFERROR(__xludf.DUMMYFUNCTION("""COMPUTED_VALUE"""),220.0)</f>
        <v>220</v>
      </c>
      <c r="F2217" s="2">
        <f>IFERROR(__xludf.DUMMYFUNCTION("""COMPUTED_VALUE"""),5.0)</f>
        <v>5</v>
      </c>
      <c r="G2217" s="2">
        <f>IFERROR(__xludf.DUMMYFUNCTION("""COMPUTED_VALUE"""),6.0)</f>
        <v>6</v>
      </c>
      <c r="H2217" s="2" t="str">
        <f>IFERROR(__xludf.DUMMYFUNCTION("""COMPUTED_VALUE"""),"Renov.")</f>
        <v>Renov.</v>
      </c>
      <c r="I2217" s="2" t="str">
        <f>IFERROR(__xludf.DUMMYFUNCTION("""COMPUTED_VALUE"""),"Masonry")</f>
        <v>Masonry</v>
      </c>
      <c r="J2217" s="2" t="str">
        <f>IFERROR(__xludf.DUMMYFUNCTION("""COMPUTED_VALUE"""),"All amenities")</f>
        <v>All amenities</v>
      </c>
      <c r="K2217" s="2">
        <f>IFERROR(__xludf.DUMMYFUNCTION("""COMPUTED_VALUE"""),299000.0)</f>
        <v>299000</v>
      </c>
      <c r="L2217" s="2">
        <f>IFERROR(__xludf.DUMMYFUNCTION("""COMPUTED_VALUE"""),48.2969502)</f>
        <v>48.2969502</v>
      </c>
      <c r="M2217" s="2">
        <f>IFERROR(__xludf.DUMMYFUNCTION("""COMPUTED_VALUE"""),-100.7081938)</f>
        <v>-100.7081938</v>
      </c>
    </row>
    <row r="2218">
      <c r="A2218" s="2" t="str">
        <f>IFERROR(__xludf.DUMMYFUNCTION("""COMPUTED_VALUE"""),"For sale")</f>
        <v>For sale</v>
      </c>
      <c r="B2218" s="2" t="str">
        <f>IFERROR(__xludf.DUMMYFUNCTION("""COMPUTED_VALUE"""),"Klīversala")</f>
        <v>Klīversala</v>
      </c>
      <c r="C2218" s="2" t="str">
        <f>IFERROR(__xludf.DUMMYFUNCTION("""COMPUTED_VALUE"""),"Kuģu 15")</f>
        <v>Kuģu 15</v>
      </c>
      <c r="D2218" s="2">
        <f>IFERROR(__xludf.DUMMYFUNCTION("""COMPUTED_VALUE"""),3.0)</f>
        <v>3</v>
      </c>
      <c r="E2218" s="2">
        <f>IFERROR(__xludf.DUMMYFUNCTION("""COMPUTED_VALUE"""),86.0)</f>
        <v>86</v>
      </c>
      <c r="F2218" s="2">
        <f>IFERROR(__xludf.DUMMYFUNCTION("""COMPUTED_VALUE"""),2.0)</f>
        <v>2</v>
      </c>
      <c r="G2218" s="2">
        <f>IFERROR(__xludf.DUMMYFUNCTION("""COMPUTED_VALUE"""),3.0)</f>
        <v>3</v>
      </c>
      <c r="H2218" s="2" t="str">
        <f>IFERROR(__xludf.DUMMYFUNCTION("""COMPUTED_VALUE"""),"Renov.")</f>
        <v>Renov.</v>
      </c>
      <c r="I2218" s="2" t="str">
        <f>IFERROR(__xludf.DUMMYFUNCTION("""COMPUTED_VALUE"""),"Brick")</f>
        <v>Brick</v>
      </c>
      <c r="J2218" s="2" t="str">
        <f>IFERROR(__xludf.DUMMYFUNCTION("""COMPUTED_VALUE"""),"All amenities")</f>
        <v>All amenities</v>
      </c>
      <c r="K2218" s="2">
        <f>IFERROR(__xludf.DUMMYFUNCTION("""COMPUTED_VALUE"""),310000.0)</f>
        <v>310000</v>
      </c>
      <c r="L2218" s="2">
        <f>IFERROR(__xludf.DUMMYFUNCTION("""COMPUTED_VALUE"""),56.94308385)</f>
        <v>56.94308385</v>
      </c>
      <c r="M2218" s="2">
        <f>IFERROR(__xludf.DUMMYFUNCTION("""COMPUTED_VALUE"""),24.0955521471893)</f>
        <v>24.09555215</v>
      </c>
    </row>
    <row r="2219">
      <c r="A2219" s="2" t="str">
        <f>IFERROR(__xludf.DUMMYFUNCTION("""COMPUTED_VALUE"""),"For sale")</f>
        <v>For sale</v>
      </c>
      <c r="B2219" s="2" t="str">
        <f>IFERROR(__xludf.DUMMYFUNCTION("""COMPUTED_VALUE"""),"Purvciems")</f>
        <v>Purvciems</v>
      </c>
      <c r="C2219" s="2" t="str">
        <f>IFERROR(__xludf.DUMMYFUNCTION("""COMPUTED_VALUE"""),"Stirnu 49a")</f>
        <v>Stirnu 49a</v>
      </c>
      <c r="D2219" s="2">
        <f>IFERROR(__xludf.DUMMYFUNCTION("""COMPUTED_VALUE"""),2.0)</f>
        <v>2</v>
      </c>
      <c r="E2219" s="2">
        <f>IFERROR(__xludf.DUMMYFUNCTION("""COMPUTED_VALUE"""),37.0)</f>
        <v>37</v>
      </c>
      <c r="F2219" s="2">
        <f>IFERROR(__xludf.DUMMYFUNCTION("""COMPUTED_VALUE"""),5.0)</f>
        <v>5</v>
      </c>
      <c r="G2219" s="2">
        <f>IFERROR(__xludf.DUMMYFUNCTION("""COMPUTED_VALUE"""),5.0)</f>
        <v>5</v>
      </c>
      <c r="H2219" s="2" t="str">
        <f>IFERROR(__xludf.DUMMYFUNCTION("""COMPUTED_VALUE"""),"LT proj.")</f>
        <v>LT proj.</v>
      </c>
      <c r="I2219" s="2" t="str">
        <f>IFERROR(__xludf.DUMMYFUNCTION("""COMPUTED_VALUE"""),"Panel")</f>
        <v>Panel</v>
      </c>
      <c r="J2219" s="2" t="str">
        <f>IFERROR(__xludf.DUMMYFUNCTION("""COMPUTED_VALUE"""),"All amenities")</f>
        <v>All amenities</v>
      </c>
      <c r="K2219" s="2">
        <f>IFERROR(__xludf.DUMMYFUNCTION("""COMPUTED_VALUE"""),38000.0)</f>
        <v>38000</v>
      </c>
      <c r="L2219" s="2">
        <f>IFERROR(__xludf.DUMMYFUNCTION("""COMPUTED_VALUE"""),56.9624521)</f>
        <v>56.9624521</v>
      </c>
      <c r="M2219" s="2">
        <f>IFERROR(__xludf.DUMMYFUNCTION("""COMPUTED_VALUE"""),24.1914569809645)</f>
        <v>24.19145698</v>
      </c>
    </row>
    <row r="2220">
      <c r="A2220" s="2" t="str">
        <f>IFERROR(__xludf.DUMMYFUNCTION("""COMPUTED_VALUE"""),"For sale")</f>
        <v>For sale</v>
      </c>
      <c r="B2220" s="2" t="str">
        <f>IFERROR(__xludf.DUMMYFUNCTION("""COMPUTED_VALUE"""),"centrs")</f>
        <v>centrs</v>
      </c>
      <c r="C2220" s="2" t="str">
        <f>IFERROR(__xludf.DUMMYFUNCTION("""COMPUTED_VALUE"""),"Brīvības 103")</f>
        <v>Brīvības 103</v>
      </c>
      <c r="D2220" s="2">
        <f>IFERROR(__xludf.DUMMYFUNCTION("""COMPUTED_VALUE"""),3.0)</f>
        <v>3</v>
      </c>
      <c r="E2220" s="2">
        <f>IFERROR(__xludf.DUMMYFUNCTION("""COMPUTED_VALUE"""),100.0)</f>
        <v>100</v>
      </c>
      <c r="F2220" s="2">
        <f>IFERROR(__xludf.DUMMYFUNCTION("""COMPUTED_VALUE"""),6.0)</f>
        <v>6</v>
      </c>
      <c r="G2220" s="2">
        <f>IFERROR(__xludf.DUMMYFUNCTION("""COMPUTED_VALUE"""),6.0)</f>
        <v>6</v>
      </c>
      <c r="H2220" s="2" t="str">
        <f>IFERROR(__xludf.DUMMYFUNCTION("""COMPUTED_VALUE"""),"P. kara")</f>
        <v>P. kara</v>
      </c>
      <c r="I2220" s="2" t="str">
        <f>IFERROR(__xludf.DUMMYFUNCTION("""COMPUTED_VALUE"""),"Brick")</f>
        <v>Brick</v>
      </c>
      <c r="J2220" s="2" t="str">
        <f>IFERROR(__xludf.DUMMYFUNCTION("""COMPUTED_VALUE"""),"All amenities")</f>
        <v>All amenities</v>
      </c>
      <c r="K2220" s="2">
        <f>IFERROR(__xludf.DUMMYFUNCTION("""COMPUTED_VALUE"""),125999.0)</f>
        <v>125999</v>
      </c>
      <c r="L2220" s="2">
        <f>IFERROR(__xludf.DUMMYFUNCTION("""COMPUTED_VALUE"""),56.9614331)</f>
        <v>56.9614331</v>
      </c>
      <c r="M2220" s="2">
        <f>IFERROR(__xludf.DUMMYFUNCTION("""COMPUTED_VALUE"""),24.1331108)</f>
        <v>24.1331108</v>
      </c>
    </row>
    <row r="2221">
      <c r="A2221" s="2" t="str">
        <f>IFERROR(__xludf.DUMMYFUNCTION("""COMPUTED_VALUE"""),"For sale")</f>
        <v>For sale</v>
      </c>
      <c r="B2221" s="2" t="str">
        <f>IFERROR(__xludf.DUMMYFUNCTION("""COMPUTED_VALUE"""),"Klīversala")</f>
        <v>Klīversala</v>
      </c>
      <c r="C2221" s="2" t="str">
        <f>IFERROR(__xludf.DUMMYFUNCTION("""COMPUTED_VALUE"""),"Kuģu 15")</f>
        <v>Kuģu 15</v>
      </c>
      <c r="D2221" s="2">
        <f>IFERROR(__xludf.DUMMYFUNCTION("""COMPUTED_VALUE"""),2.0)</f>
        <v>2</v>
      </c>
      <c r="E2221" s="2">
        <f>IFERROR(__xludf.DUMMYFUNCTION("""COMPUTED_VALUE"""),61.0)</f>
        <v>61</v>
      </c>
      <c r="F2221" s="2">
        <f>IFERROR(__xludf.DUMMYFUNCTION("""COMPUTED_VALUE"""),1.0)</f>
        <v>1</v>
      </c>
      <c r="G2221" s="2">
        <f>IFERROR(__xludf.DUMMYFUNCTION("""COMPUTED_VALUE"""),3.0)</f>
        <v>3</v>
      </c>
      <c r="H2221" s="2" t="str">
        <f>IFERROR(__xludf.DUMMYFUNCTION("""COMPUTED_VALUE"""),"Renov.")</f>
        <v>Renov.</v>
      </c>
      <c r="I2221" s="2" t="str">
        <f>IFERROR(__xludf.DUMMYFUNCTION("""COMPUTED_VALUE"""),"Brick")</f>
        <v>Brick</v>
      </c>
      <c r="J2221" s="2" t="str">
        <f>IFERROR(__xludf.DUMMYFUNCTION("""COMPUTED_VALUE"""),"All amenities")</f>
        <v>All amenities</v>
      </c>
      <c r="K2221" s="2">
        <f>IFERROR(__xludf.DUMMYFUNCTION("""COMPUTED_VALUE"""),185000.0)</f>
        <v>185000</v>
      </c>
      <c r="L2221" s="2">
        <f>IFERROR(__xludf.DUMMYFUNCTION("""COMPUTED_VALUE"""),56.94308385)</f>
        <v>56.94308385</v>
      </c>
      <c r="M2221" s="2">
        <f>IFERROR(__xludf.DUMMYFUNCTION("""COMPUTED_VALUE"""),24.0955521471893)</f>
        <v>24.09555215</v>
      </c>
    </row>
    <row r="2222">
      <c r="A2222" s="2" t="str">
        <f>IFERROR(__xludf.DUMMYFUNCTION("""COMPUTED_VALUE"""),"For rent")</f>
        <v>For rent</v>
      </c>
      <c r="B2222" s="2" t="str">
        <f>IFERROR(__xludf.DUMMYFUNCTION("""COMPUTED_VALUE"""),"centrs")</f>
        <v>centrs</v>
      </c>
      <c r="C2222" s="2" t="str">
        <f>IFERROR(__xludf.DUMMYFUNCTION("""COMPUTED_VALUE"""),"Vīlandes 10")</f>
        <v>Vīlandes 10</v>
      </c>
      <c r="D2222" s="2">
        <f>IFERROR(__xludf.DUMMYFUNCTION("""COMPUTED_VALUE"""),3.0)</f>
        <v>3</v>
      </c>
      <c r="E2222" s="2">
        <f>IFERROR(__xludf.DUMMYFUNCTION("""COMPUTED_VALUE"""),106.0)</f>
        <v>106</v>
      </c>
      <c r="F2222" s="2">
        <f>IFERROR(__xludf.DUMMYFUNCTION("""COMPUTED_VALUE"""),4.0)</f>
        <v>4</v>
      </c>
      <c r="G2222" s="2">
        <f>IFERROR(__xludf.DUMMYFUNCTION("""COMPUTED_VALUE"""),5.0)</f>
        <v>5</v>
      </c>
      <c r="H2222" s="2" t="str">
        <f>IFERROR(__xludf.DUMMYFUNCTION("""COMPUTED_VALUE"""),"Renov.")</f>
        <v>Renov.</v>
      </c>
      <c r="I2222" s="2" t="str">
        <f>IFERROR(__xludf.DUMMYFUNCTION("""COMPUTED_VALUE"""),"Brick")</f>
        <v>Brick</v>
      </c>
      <c r="J2222" s="2" t="str">
        <f>IFERROR(__xludf.DUMMYFUNCTION("""COMPUTED_VALUE"""),"All amenities")</f>
        <v>All amenities</v>
      </c>
      <c r="K2222" s="2">
        <f>IFERROR(__xludf.DUMMYFUNCTION("""COMPUTED_VALUE"""),800.0)</f>
        <v>800</v>
      </c>
      <c r="L2222" s="2">
        <f>IFERROR(__xludf.DUMMYFUNCTION("""COMPUTED_VALUE"""),56.9603826)</f>
        <v>56.9603826</v>
      </c>
      <c r="M2222" s="2">
        <f>IFERROR(__xludf.DUMMYFUNCTION("""COMPUTED_VALUE"""),24.1022820415013)</f>
        <v>24.10228204</v>
      </c>
    </row>
    <row r="2223">
      <c r="A2223" s="2" t="str">
        <f>IFERROR(__xludf.DUMMYFUNCTION("""COMPUTED_VALUE"""),"For rent")</f>
        <v>For rent</v>
      </c>
      <c r="B2223" s="2" t="str">
        <f>IFERROR(__xludf.DUMMYFUNCTION("""COMPUTED_VALUE"""),"centrs")</f>
        <v>centrs</v>
      </c>
      <c r="C2223" s="2" t="str">
        <f>IFERROR(__xludf.DUMMYFUNCTION("""COMPUTED_VALUE"""),"Vīlandes 10")</f>
        <v>Vīlandes 10</v>
      </c>
      <c r="D2223" s="2">
        <f>IFERROR(__xludf.DUMMYFUNCTION("""COMPUTED_VALUE"""),4.0)</f>
        <v>4</v>
      </c>
      <c r="E2223" s="2">
        <f>IFERROR(__xludf.DUMMYFUNCTION("""COMPUTED_VALUE"""),155.0)</f>
        <v>155</v>
      </c>
      <c r="F2223" s="2">
        <f>IFERROR(__xludf.DUMMYFUNCTION("""COMPUTED_VALUE"""),2.0)</f>
        <v>2</v>
      </c>
      <c r="G2223" s="2">
        <f>IFERROR(__xludf.DUMMYFUNCTION("""COMPUTED_VALUE"""),6.0)</f>
        <v>6</v>
      </c>
      <c r="H2223" s="2" t="str">
        <f>IFERROR(__xludf.DUMMYFUNCTION("""COMPUTED_VALUE"""),"Renov.")</f>
        <v>Renov.</v>
      </c>
      <c r="I2223" s="2" t="str">
        <f>IFERROR(__xludf.DUMMYFUNCTION("""COMPUTED_VALUE"""),"Brick")</f>
        <v>Brick</v>
      </c>
      <c r="J2223" s="2" t="str">
        <f>IFERROR(__xludf.DUMMYFUNCTION("""COMPUTED_VALUE"""),"All amenities")</f>
        <v>All amenities</v>
      </c>
      <c r="K2223" s="2">
        <f>IFERROR(__xludf.DUMMYFUNCTION("""COMPUTED_VALUE"""),1200.0)</f>
        <v>1200</v>
      </c>
      <c r="L2223" s="2">
        <f>IFERROR(__xludf.DUMMYFUNCTION("""COMPUTED_VALUE"""),56.9603826)</f>
        <v>56.9603826</v>
      </c>
      <c r="M2223" s="2">
        <f>IFERROR(__xludf.DUMMYFUNCTION("""COMPUTED_VALUE"""),24.1022820415013)</f>
        <v>24.10228204</v>
      </c>
    </row>
    <row r="2224">
      <c r="A2224" s="2" t="str">
        <f>IFERROR(__xludf.DUMMYFUNCTION("""COMPUTED_VALUE"""),"For sale")</f>
        <v>For sale</v>
      </c>
      <c r="B2224" s="2" t="str">
        <f>IFERROR(__xludf.DUMMYFUNCTION("""COMPUTED_VALUE"""),"Mežciems")</f>
        <v>Mežciems</v>
      </c>
      <c r="C2224" s="2" t="str">
        <f>IFERROR(__xludf.DUMMYFUNCTION("""COMPUTED_VALUE"""),"Eizenšteina 71")</f>
        <v>Eizenšteina 71</v>
      </c>
      <c r="D2224" s="2">
        <f>IFERROR(__xludf.DUMMYFUNCTION("""COMPUTED_VALUE"""),3.0)</f>
        <v>3</v>
      </c>
      <c r="E2224" s="2">
        <f>IFERROR(__xludf.DUMMYFUNCTION("""COMPUTED_VALUE"""),63.0)</f>
        <v>63</v>
      </c>
      <c r="F2224" s="2">
        <f>IFERROR(__xludf.DUMMYFUNCTION("""COMPUTED_VALUE"""),9.0)</f>
        <v>9</v>
      </c>
      <c r="G2224" s="2">
        <f>IFERROR(__xludf.DUMMYFUNCTION("""COMPUTED_VALUE"""),9.0)</f>
        <v>9</v>
      </c>
      <c r="H2224" s="2">
        <f>IFERROR(__xludf.DUMMYFUNCTION("""COMPUTED_VALUE"""),602.0)</f>
        <v>602</v>
      </c>
      <c r="I2224" s="2" t="str">
        <f>IFERROR(__xludf.DUMMYFUNCTION("""COMPUTED_VALUE"""),"Panel")</f>
        <v>Panel</v>
      </c>
      <c r="J2224" s="2" t="str">
        <f>IFERROR(__xludf.DUMMYFUNCTION("""COMPUTED_VALUE"""),"All amenities")</f>
        <v>All amenities</v>
      </c>
      <c r="K2224" s="2">
        <f>IFERROR(__xludf.DUMMYFUNCTION("""COMPUTED_VALUE"""),54900.0)</f>
        <v>54900</v>
      </c>
      <c r="L2224" s="2">
        <f>IFERROR(__xludf.DUMMYFUNCTION("""COMPUTED_VALUE"""),56.9609321)</f>
        <v>56.9609321</v>
      </c>
      <c r="M2224" s="2">
        <f>IFERROR(__xludf.DUMMYFUNCTION("""COMPUTED_VALUE"""),24.2326877252113)</f>
        <v>24.23268773</v>
      </c>
    </row>
    <row r="2225">
      <c r="A2225" s="2" t="str">
        <f>IFERROR(__xludf.DUMMYFUNCTION("""COMPUTED_VALUE"""),"For sale")</f>
        <v>For sale</v>
      </c>
      <c r="B2225" s="2" t="str">
        <f>IFERROR(__xludf.DUMMYFUNCTION("""COMPUTED_VALUE"""),"Jugla")</f>
        <v>Jugla</v>
      </c>
      <c r="C2225" s="2" t="str">
        <f>IFERROR(__xludf.DUMMYFUNCTION("""COMPUTED_VALUE"""),"Silciema 13/3")</f>
        <v>Silciema 13/3</v>
      </c>
      <c r="D2225" s="2">
        <f>IFERROR(__xludf.DUMMYFUNCTION("""COMPUTED_VALUE"""),1.0)</f>
        <v>1</v>
      </c>
      <c r="E2225" s="2">
        <f>IFERROR(__xludf.DUMMYFUNCTION("""COMPUTED_VALUE"""),33.0)</f>
        <v>33</v>
      </c>
      <c r="F2225" s="2">
        <f>IFERROR(__xludf.DUMMYFUNCTION("""COMPUTED_VALUE"""),2.0)</f>
        <v>2</v>
      </c>
      <c r="G2225" s="2">
        <f>IFERROR(__xludf.DUMMYFUNCTION("""COMPUTED_VALUE"""),5.0)</f>
        <v>5</v>
      </c>
      <c r="H2225" s="2" t="str">
        <f>IFERROR(__xludf.DUMMYFUNCTION("""COMPUTED_VALUE"""),"LT proj.")</f>
        <v>LT proj.</v>
      </c>
      <c r="I2225" s="2" t="str">
        <f>IFERROR(__xludf.DUMMYFUNCTION("""COMPUTED_VALUE"""),"Panel")</f>
        <v>Panel</v>
      </c>
      <c r="J2225" s="2" t="str">
        <f>IFERROR(__xludf.DUMMYFUNCTION("""COMPUTED_VALUE"""),"All amenities")</f>
        <v>All amenities</v>
      </c>
      <c r="K2225" s="2">
        <f>IFERROR(__xludf.DUMMYFUNCTION("""COMPUTED_VALUE"""),35000.0)</f>
        <v>35000</v>
      </c>
      <c r="L2225" s="2">
        <f>IFERROR(__xludf.DUMMYFUNCTION("""COMPUTED_VALUE"""),56.9826782)</f>
        <v>56.9826782</v>
      </c>
      <c r="M2225" s="2">
        <f>IFERROR(__xludf.DUMMYFUNCTION("""COMPUTED_VALUE"""),24.2406588)</f>
        <v>24.2406588</v>
      </c>
    </row>
    <row r="2226">
      <c r="A2226" s="2" t="str">
        <f>IFERROR(__xludf.DUMMYFUNCTION("""COMPUTED_VALUE"""),"For sale")</f>
        <v>For sale</v>
      </c>
      <c r="B2226" s="2" t="str">
        <f>IFERROR(__xludf.DUMMYFUNCTION("""COMPUTED_VALUE"""),"Ķengarags")</f>
        <v>Ķengarags</v>
      </c>
      <c r="C2226" s="2" t="str">
        <f>IFERROR(__xludf.DUMMYFUNCTION("""COMPUTED_VALUE"""),"Maltas 21")</f>
        <v>Maltas 21</v>
      </c>
      <c r="D2226" s="2">
        <f>IFERROR(__xludf.DUMMYFUNCTION("""COMPUTED_VALUE"""),2.0)</f>
        <v>2</v>
      </c>
      <c r="E2226" s="2">
        <f>IFERROR(__xludf.DUMMYFUNCTION("""COMPUTED_VALUE"""),49.0)</f>
        <v>49</v>
      </c>
      <c r="F2226" s="2">
        <f>IFERROR(__xludf.DUMMYFUNCTION("""COMPUTED_VALUE"""),1.0)</f>
        <v>1</v>
      </c>
      <c r="G2226" s="2">
        <f>IFERROR(__xludf.DUMMYFUNCTION("""COMPUTED_VALUE"""),5.0)</f>
        <v>5</v>
      </c>
      <c r="H2226" s="2" t="str">
        <f>IFERROR(__xludf.DUMMYFUNCTION("""COMPUTED_VALUE"""),"LT proj.")</f>
        <v>LT proj.</v>
      </c>
      <c r="I2226" s="2" t="str">
        <f>IFERROR(__xludf.DUMMYFUNCTION("""COMPUTED_VALUE"""),"Panel")</f>
        <v>Panel</v>
      </c>
      <c r="J2226" s="2" t="str">
        <f>IFERROR(__xludf.DUMMYFUNCTION("""COMPUTED_VALUE"""),"All amenities")</f>
        <v>All amenities</v>
      </c>
      <c r="K2226" s="2">
        <f>IFERROR(__xludf.DUMMYFUNCTION("""COMPUTED_VALUE"""),40500.0)</f>
        <v>40500</v>
      </c>
      <c r="L2226" s="2">
        <f>IFERROR(__xludf.DUMMYFUNCTION("""COMPUTED_VALUE"""),56.909529)</f>
        <v>56.909529</v>
      </c>
      <c r="M2226" s="2">
        <f>IFERROR(__xludf.DUMMYFUNCTION("""COMPUTED_VALUE"""),24.1862380633367)</f>
        <v>24.18623806</v>
      </c>
    </row>
    <row r="2227">
      <c r="A2227" s="2" t="str">
        <f>IFERROR(__xludf.DUMMYFUNCTION("""COMPUTED_VALUE"""),"For sale")</f>
        <v>For sale</v>
      </c>
      <c r="B2227" s="2" t="str">
        <f>IFERROR(__xludf.DUMMYFUNCTION("""COMPUTED_VALUE"""),"centrs")</f>
        <v>centrs</v>
      </c>
      <c r="C2227" s="2" t="str">
        <f>IFERROR(__xludf.DUMMYFUNCTION("""COMPUTED_VALUE"""),"Strēlnieku 4b")</f>
        <v>Strēlnieku 4b</v>
      </c>
      <c r="D2227" s="2">
        <f>IFERROR(__xludf.DUMMYFUNCTION("""COMPUTED_VALUE"""),2.0)</f>
        <v>2</v>
      </c>
      <c r="E2227" s="2">
        <f>IFERROR(__xludf.DUMMYFUNCTION("""COMPUTED_VALUE"""),46.0)</f>
        <v>46</v>
      </c>
      <c r="F2227" s="2">
        <f>IFERROR(__xludf.DUMMYFUNCTION("""COMPUTED_VALUE"""),5.0)</f>
        <v>5</v>
      </c>
      <c r="G2227" s="2">
        <f>IFERROR(__xludf.DUMMYFUNCTION("""COMPUTED_VALUE"""),6.0)</f>
        <v>6</v>
      </c>
      <c r="H2227" s="2" t="str">
        <f>IFERROR(__xludf.DUMMYFUNCTION("""COMPUTED_VALUE"""),"Jaun.")</f>
        <v>Jaun.</v>
      </c>
      <c r="I2227" s="2" t="str">
        <f>IFERROR(__xludf.DUMMYFUNCTION("""COMPUTED_VALUE"""),"Masonry")</f>
        <v>Masonry</v>
      </c>
      <c r="J2227" s="2" t="str">
        <f>IFERROR(__xludf.DUMMYFUNCTION("""COMPUTED_VALUE"""),"All amenities")</f>
        <v>All amenities</v>
      </c>
      <c r="K2227" s="2">
        <f>IFERROR(__xludf.DUMMYFUNCTION("""COMPUTED_VALUE"""),149500.0)</f>
        <v>149500</v>
      </c>
      <c r="L2227" s="2">
        <f>IFERROR(__xludf.DUMMYFUNCTION("""COMPUTED_VALUE"""),56.9605444)</f>
        <v>56.9605444</v>
      </c>
      <c r="M2227" s="2">
        <f>IFERROR(__xludf.DUMMYFUNCTION("""COMPUTED_VALUE"""),24.1100298)</f>
        <v>24.1100298</v>
      </c>
    </row>
    <row r="2228">
      <c r="A2228" s="2" t="str">
        <f>IFERROR(__xludf.DUMMYFUNCTION("""COMPUTED_VALUE"""),"For rent")</f>
        <v>For rent</v>
      </c>
      <c r="B2228" s="2" t="str">
        <f>IFERROR(__xludf.DUMMYFUNCTION("""COMPUTED_VALUE"""),"Mežaparks")</f>
        <v>Mežaparks</v>
      </c>
      <c r="C2228" s="2" t="str">
        <f>IFERROR(__xludf.DUMMYFUNCTION("""COMPUTED_VALUE"""),"Visbijas pr. 17")</f>
        <v>Visbijas pr. 17</v>
      </c>
      <c r="D2228" s="2">
        <f>IFERROR(__xludf.DUMMYFUNCTION("""COMPUTED_VALUE"""),5.0)</f>
        <v>5</v>
      </c>
      <c r="E2228" s="2">
        <f>IFERROR(__xludf.DUMMYFUNCTION("""COMPUTED_VALUE"""),165.0)</f>
        <v>165</v>
      </c>
      <c r="F2228" s="2">
        <f>IFERROR(__xludf.DUMMYFUNCTION("""COMPUTED_VALUE"""),2.0)</f>
        <v>2</v>
      </c>
      <c r="G2228" s="2">
        <f>IFERROR(__xludf.DUMMYFUNCTION("""COMPUTED_VALUE"""),3.0)</f>
        <v>3</v>
      </c>
      <c r="H2228" s="2" t="str">
        <f>IFERROR(__xludf.DUMMYFUNCTION("""COMPUTED_VALUE"""),"Renov.")</f>
        <v>Renov.</v>
      </c>
      <c r="I2228" s="2" t="str">
        <f>IFERROR(__xludf.DUMMYFUNCTION("""COMPUTED_VALUE"""),"Masonry")</f>
        <v>Masonry</v>
      </c>
      <c r="J2228" s="2" t="str">
        <f>IFERROR(__xludf.DUMMYFUNCTION("""COMPUTED_VALUE"""),"All amenities")</f>
        <v>All amenities</v>
      </c>
      <c r="K2228" s="2">
        <f>IFERROR(__xludf.DUMMYFUNCTION("""COMPUTED_VALUE"""),1500.0)</f>
        <v>1500</v>
      </c>
      <c r="L2228" s="2" t="str">
        <f>IFERROR(__xludf.DUMMYFUNCTION("""COMPUTED_VALUE"""),"NaN")</f>
        <v>NaN</v>
      </c>
      <c r="M2228" s="2" t="str">
        <f>IFERROR(__xludf.DUMMYFUNCTION("""COMPUTED_VALUE"""),"NaN")</f>
        <v>NaN</v>
      </c>
    </row>
    <row r="2229">
      <c r="A2229" s="2" t="str">
        <f>IFERROR(__xludf.DUMMYFUNCTION("""COMPUTED_VALUE"""),"For rent")</f>
        <v>For rent</v>
      </c>
      <c r="B2229" s="2" t="str">
        <f>IFERROR(__xludf.DUMMYFUNCTION("""COMPUTED_VALUE"""),"Teika")</f>
        <v>Teika</v>
      </c>
      <c r="C2229" s="2" t="str">
        <f>IFERROR(__xludf.DUMMYFUNCTION("""COMPUTED_VALUE"""),"Vairoga 48")</f>
        <v>Vairoga 48</v>
      </c>
      <c r="D2229" s="2">
        <f>IFERROR(__xludf.DUMMYFUNCTION("""COMPUTED_VALUE"""),2.0)</f>
        <v>2</v>
      </c>
      <c r="E2229" s="2">
        <f>IFERROR(__xludf.DUMMYFUNCTION("""COMPUTED_VALUE"""),52.0)</f>
        <v>52</v>
      </c>
      <c r="F2229" s="2">
        <f>IFERROR(__xludf.DUMMYFUNCTION("""COMPUTED_VALUE"""),1.0)</f>
        <v>1</v>
      </c>
      <c r="G2229" s="2">
        <f>IFERROR(__xludf.DUMMYFUNCTION("""COMPUTED_VALUE"""),2.0)</f>
        <v>2</v>
      </c>
      <c r="H2229" s="2" t="str">
        <f>IFERROR(__xludf.DUMMYFUNCTION("""COMPUTED_VALUE"""),"P. kara")</f>
        <v>P. kara</v>
      </c>
      <c r="I2229" s="2" t="str">
        <f>IFERROR(__xludf.DUMMYFUNCTION("""COMPUTED_VALUE"""),"Brick")</f>
        <v>Brick</v>
      </c>
      <c r="J2229" s="2" t="str">
        <f>IFERROR(__xludf.DUMMYFUNCTION("""COMPUTED_VALUE"""),"All amenities")</f>
        <v>All amenities</v>
      </c>
      <c r="K2229" s="2">
        <f>IFERROR(__xludf.DUMMYFUNCTION("""COMPUTED_VALUE"""),450.0)</f>
        <v>450</v>
      </c>
      <c r="L2229" s="2">
        <f>IFERROR(__xludf.DUMMYFUNCTION("""COMPUTED_VALUE"""),56.96821235)</f>
        <v>56.96821235</v>
      </c>
      <c r="M2229" s="2">
        <f>IFERROR(__xludf.DUMMYFUNCTION("""COMPUTED_VALUE"""),24.1749930606992)</f>
        <v>24.17499306</v>
      </c>
    </row>
    <row r="2230">
      <c r="A2230" s="2" t="str">
        <f>IFERROR(__xludf.DUMMYFUNCTION("""COMPUTED_VALUE"""),"For sale")</f>
        <v>For sale</v>
      </c>
      <c r="B2230" s="2" t="str">
        <f>IFERROR(__xludf.DUMMYFUNCTION("""COMPUTED_VALUE"""),"Klīversala")</f>
        <v>Klīversala</v>
      </c>
      <c r="C2230" s="2" t="str">
        <f>IFERROR(__xludf.DUMMYFUNCTION("""COMPUTED_VALUE"""),"Kuģu 15")</f>
        <v>Kuģu 15</v>
      </c>
      <c r="D2230" s="2">
        <f>IFERROR(__xludf.DUMMYFUNCTION("""COMPUTED_VALUE"""),3.0)</f>
        <v>3</v>
      </c>
      <c r="E2230" s="2">
        <f>IFERROR(__xludf.DUMMYFUNCTION("""COMPUTED_VALUE"""),126.0)</f>
        <v>126</v>
      </c>
      <c r="F2230" s="2">
        <f>IFERROR(__xludf.DUMMYFUNCTION("""COMPUTED_VALUE"""),5.0)</f>
        <v>5</v>
      </c>
      <c r="G2230" s="2">
        <f>IFERROR(__xludf.DUMMYFUNCTION("""COMPUTED_VALUE"""),7.0)</f>
        <v>7</v>
      </c>
      <c r="H2230" s="2" t="str">
        <f>IFERROR(__xludf.DUMMYFUNCTION("""COMPUTED_VALUE"""),"Jaun.")</f>
        <v>Jaun.</v>
      </c>
      <c r="I2230" s="2" t="str">
        <f>IFERROR(__xludf.DUMMYFUNCTION("""COMPUTED_VALUE"""),"Masonry")</f>
        <v>Masonry</v>
      </c>
      <c r="J2230" s="2" t="str">
        <f>IFERROR(__xludf.DUMMYFUNCTION("""COMPUTED_VALUE"""),"All amenities")</f>
        <v>All amenities</v>
      </c>
      <c r="K2230" s="2">
        <f>IFERROR(__xludf.DUMMYFUNCTION("""COMPUTED_VALUE"""),590000.0)</f>
        <v>590000</v>
      </c>
      <c r="L2230" s="2">
        <f>IFERROR(__xludf.DUMMYFUNCTION("""COMPUTED_VALUE"""),56.94308385)</f>
        <v>56.94308385</v>
      </c>
      <c r="M2230" s="2">
        <f>IFERROR(__xludf.DUMMYFUNCTION("""COMPUTED_VALUE"""),24.0955521471893)</f>
        <v>24.09555215</v>
      </c>
    </row>
    <row r="2231">
      <c r="A2231" s="2" t="str">
        <f>IFERROR(__xludf.DUMMYFUNCTION("""COMPUTED_VALUE"""),"For sale")</f>
        <v>For sale</v>
      </c>
      <c r="B2231" s="2" t="str">
        <f>IFERROR(__xludf.DUMMYFUNCTION("""COMPUTED_VALUE"""),"centrs")</f>
        <v>centrs</v>
      </c>
      <c r="C2231" s="2" t="str">
        <f>IFERROR(__xludf.DUMMYFUNCTION("""COMPUTED_VALUE"""),"Antonijas 15")</f>
        <v>Antonijas 15</v>
      </c>
      <c r="D2231" s="2">
        <f>IFERROR(__xludf.DUMMYFUNCTION("""COMPUTED_VALUE"""),3.0)</f>
        <v>3</v>
      </c>
      <c r="E2231" s="2">
        <f>IFERROR(__xludf.DUMMYFUNCTION("""COMPUTED_VALUE"""),82.0)</f>
        <v>82</v>
      </c>
      <c r="F2231" s="2">
        <f>IFERROR(__xludf.DUMMYFUNCTION("""COMPUTED_VALUE"""),3.0)</f>
        <v>3</v>
      </c>
      <c r="G2231" s="2">
        <f>IFERROR(__xludf.DUMMYFUNCTION("""COMPUTED_VALUE"""),6.0)</f>
        <v>6</v>
      </c>
      <c r="H2231" s="2" t="str">
        <f>IFERROR(__xludf.DUMMYFUNCTION("""COMPUTED_VALUE"""),"P. kara")</f>
        <v>P. kara</v>
      </c>
      <c r="I2231" s="2" t="str">
        <f>IFERROR(__xludf.DUMMYFUNCTION("""COMPUTED_VALUE"""),"Masonry")</f>
        <v>Masonry</v>
      </c>
      <c r="J2231" s="2" t="str">
        <f>IFERROR(__xludf.DUMMYFUNCTION("""COMPUTED_VALUE"""),"All amenities")</f>
        <v>All amenities</v>
      </c>
      <c r="K2231" s="2">
        <f>IFERROR(__xludf.DUMMYFUNCTION("""COMPUTED_VALUE"""),136000.0)</f>
        <v>136000</v>
      </c>
      <c r="L2231" s="2">
        <f>IFERROR(__xludf.DUMMYFUNCTION("""COMPUTED_VALUE"""),56.95954305)</f>
        <v>56.95954305</v>
      </c>
      <c r="M2231" s="2">
        <f>IFERROR(__xludf.DUMMYFUNCTION("""COMPUTED_VALUE"""),24.1128740830288)</f>
        <v>24.11287408</v>
      </c>
    </row>
    <row r="2232">
      <c r="A2232" s="2" t="str">
        <f>IFERROR(__xludf.DUMMYFUNCTION("""COMPUTED_VALUE"""),"For sale")</f>
        <v>For sale</v>
      </c>
      <c r="B2232" s="2" t="str">
        <f>IFERROR(__xludf.DUMMYFUNCTION("""COMPUTED_VALUE"""),"Klīversala")</f>
        <v>Klīversala</v>
      </c>
      <c r="C2232" s="2" t="str">
        <f>IFERROR(__xludf.DUMMYFUNCTION("""COMPUTED_VALUE"""),"Kuģu 15")</f>
        <v>Kuģu 15</v>
      </c>
      <c r="D2232" s="2">
        <f>IFERROR(__xludf.DUMMYFUNCTION("""COMPUTED_VALUE"""),4.0)</f>
        <v>4</v>
      </c>
      <c r="E2232" s="2">
        <f>IFERROR(__xludf.DUMMYFUNCTION("""COMPUTED_VALUE"""),126.0)</f>
        <v>126</v>
      </c>
      <c r="F2232" s="2">
        <f>IFERROR(__xludf.DUMMYFUNCTION("""COMPUTED_VALUE"""),3.0)</f>
        <v>3</v>
      </c>
      <c r="G2232" s="2">
        <f>IFERROR(__xludf.DUMMYFUNCTION("""COMPUTED_VALUE"""),6.0)</f>
        <v>6</v>
      </c>
      <c r="H2232" s="2" t="str">
        <f>IFERROR(__xludf.DUMMYFUNCTION("""COMPUTED_VALUE"""),"Jaun.")</f>
        <v>Jaun.</v>
      </c>
      <c r="I2232" s="2" t="str">
        <f>IFERROR(__xludf.DUMMYFUNCTION("""COMPUTED_VALUE"""),"Masonry")</f>
        <v>Masonry</v>
      </c>
      <c r="J2232" s="2" t="str">
        <f>IFERROR(__xludf.DUMMYFUNCTION("""COMPUTED_VALUE"""),"All amenities")</f>
        <v>All amenities</v>
      </c>
      <c r="K2232" s="2">
        <f>IFERROR(__xludf.DUMMYFUNCTION("""COMPUTED_VALUE"""),550000.0)</f>
        <v>550000</v>
      </c>
      <c r="L2232" s="2">
        <f>IFERROR(__xludf.DUMMYFUNCTION("""COMPUTED_VALUE"""),56.94308385)</f>
        <v>56.94308385</v>
      </c>
      <c r="M2232" s="2">
        <f>IFERROR(__xludf.DUMMYFUNCTION("""COMPUTED_VALUE"""),24.0955521471893)</f>
        <v>24.09555215</v>
      </c>
    </row>
    <row r="2233">
      <c r="A2233" s="2" t="str">
        <f>IFERROR(__xludf.DUMMYFUNCTION("""COMPUTED_VALUE"""),"For sale")</f>
        <v>For sale</v>
      </c>
      <c r="B2233" s="2" t="str">
        <f>IFERROR(__xludf.DUMMYFUNCTION("""COMPUTED_VALUE"""),"Klīversala")</f>
        <v>Klīversala</v>
      </c>
      <c r="C2233" s="2" t="str">
        <f>IFERROR(__xludf.DUMMYFUNCTION("""COMPUTED_VALUE"""),"Kuģu 15")</f>
        <v>Kuģu 15</v>
      </c>
      <c r="D2233" s="2">
        <f>IFERROR(__xludf.DUMMYFUNCTION("""COMPUTED_VALUE"""),4.0)</f>
        <v>4</v>
      </c>
      <c r="E2233" s="2">
        <f>IFERROR(__xludf.DUMMYFUNCTION("""COMPUTED_VALUE"""),115.0)</f>
        <v>115</v>
      </c>
      <c r="F2233" s="2">
        <f>IFERROR(__xludf.DUMMYFUNCTION("""COMPUTED_VALUE"""),6.0)</f>
        <v>6</v>
      </c>
      <c r="G2233" s="2">
        <f>IFERROR(__xludf.DUMMYFUNCTION("""COMPUTED_VALUE"""),6.0)</f>
        <v>6</v>
      </c>
      <c r="H2233" s="2" t="str">
        <f>IFERROR(__xludf.DUMMYFUNCTION("""COMPUTED_VALUE"""),"Jaun.")</f>
        <v>Jaun.</v>
      </c>
      <c r="I2233" s="2" t="str">
        <f>IFERROR(__xludf.DUMMYFUNCTION("""COMPUTED_VALUE"""),"Masonry")</f>
        <v>Masonry</v>
      </c>
      <c r="J2233" s="2" t="str">
        <f>IFERROR(__xludf.DUMMYFUNCTION("""COMPUTED_VALUE"""),"All amenities")</f>
        <v>All amenities</v>
      </c>
      <c r="K2233" s="2">
        <f>IFERROR(__xludf.DUMMYFUNCTION("""COMPUTED_VALUE"""),550000.0)</f>
        <v>550000</v>
      </c>
      <c r="L2233" s="2">
        <f>IFERROR(__xludf.DUMMYFUNCTION("""COMPUTED_VALUE"""),56.94308385)</f>
        <v>56.94308385</v>
      </c>
      <c r="M2233" s="2">
        <f>IFERROR(__xludf.DUMMYFUNCTION("""COMPUTED_VALUE"""),24.0955521471893)</f>
        <v>24.09555215</v>
      </c>
    </row>
    <row r="2234">
      <c r="A2234" s="2" t="str">
        <f>IFERROR(__xludf.DUMMYFUNCTION("""COMPUTED_VALUE"""),"For sale")</f>
        <v>For sale</v>
      </c>
      <c r="B2234" s="2" t="str">
        <f>IFERROR(__xludf.DUMMYFUNCTION("""COMPUTED_VALUE"""),"Ķengarags")</f>
        <v>Ķengarags</v>
      </c>
      <c r="C2234" s="2" t="str">
        <f>IFERROR(__xludf.DUMMYFUNCTION("""COMPUTED_VALUE"""),"Prūšu 4")</f>
        <v>Prūšu 4</v>
      </c>
      <c r="D2234" s="2">
        <f>IFERROR(__xludf.DUMMYFUNCTION("""COMPUTED_VALUE"""),2.0)</f>
        <v>2</v>
      </c>
      <c r="E2234" s="2">
        <f>IFERROR(__xludf.DUMMYFUNCTION("""COMPUTED_VALUE"""),42.0)</f>
        <v>42</v>
      </c>
      <c r="F2234" s="2">
        <f>IFERROR(__xludf.DUMMYFUNCTION("""COMPUTED_VALUE"""),4.0)</f>
        <v>4</v>
      </c>
      <c r="G2234" s="2">
        <f>IFERROR(__xludf.DUMMYFUNCTION("""COMPUTED_VALUE"""),5.0)</f>
        <v>5</v>
      </c>
      <c r="H2234" s="2" t="str">
        <f>IFERROR(__xludf.DUMMYFUNCTION("""COMPUTED_VALUE"""),"Jaun.")</f>
        <v>Jaun.</v>
      </c>
      <c r="I2234" s="2" t="str">
        <f>IFERROR(__xludf.DUMMYFUNCTION("""COMPUTED_VALUE"""),"Panel")</f>
        <v>Panel</v>
      </c>
      <c r="J2234" s="2" t="str">
        <f>IFERROR(__xludf.DUMMYFUNCTION("""COMPUTED_VALUE"""),"All amenities")</f>
        <v>All amenities</v>
      </c>
      <c r="K2234" s="2">
        <f>IFERROR(__xludf.DUMMYFUNCTION("""COMPUTED_VALUE"""),52832.0)</f>
        <v>52832</v>
      </c>
      <c r="L2234" s="2">
        <f>IFERROR(__xludf.DUMMYFUNCTION("""COMPUTED_VALUE"""),56.9146747)</f>
        <v>56.9146747</v>
      </c>
      <c r="M2234" s="2">
        <f>IFERROR(__xludf.DUMMYFUNCTION("""COMPUTED_VALUE"""),24.1815079346418)</f>
        <v>24.18150793</v>
      </c>
    </row>
    <row r="2235">
      <c r="A2235" s="2" t="str">
        <f>IFERROR(__xludf.DUMMYFUNCTION("""COMPUTED_VALUE"""),"For sale")</f>
        <v>For sale</v>
      </c>
      <c r="B2235" s="2" t="str">
        <f>IFERROR(__xludf.DUMMYFUNCTION("""COMPUTED_VALUE"""),"Āgenskalns")</f>
        <v>Āgenskalns</v>
      </c>
      <c r="C2235" s="2" t="str">
        <f>IFERROR(__xludf.DUMMYFUNCTION("""COMPUTED_VALUE"""),"Gregora 6")</f>
        <v>Gregora 6</v>
      </c>
      <c r="D2235" s="2">
        <f>IFERROR(__xludf.DUMMYFUNCTION("""COMPUTED_VALUE"""),3.0)</f>
        <v>3</v>
      </c>
      <c r="E2235" s="2">
        <f>IFERROR(__xludf.DUMMYFUNCTION("""COMPUTED_VALUE"""),60.0)</f>
        <v>60</v>
      </c>
      <c r="F2235" s="2">
        <f>IFERROR(__xludf.DUMMYFUNCTION("""COMPUTED_VALUE"""),3.0)</f>
        <v>3</v>
      </c>
      <c r="G2235" s="2">
        <f>IFERROR(__xludf.DUMMYFUNCTION("""COMPUTED_VALUE"""),5.0)</f>
        <v>5</v>
      </c>
      <c r="H2235" s="2" t="str">
        <f>IFERROR(__xludf.DUMMYFUNCTION("""COMPUTED_VALUE"""),"LT proj.")</f>
        <v>LT proj.</v>
      </c>
      <c r="I2235" s="2" t="str">
        <f>IFERROR(__xludf.DUMMYFUNCTION("""COMPUTED_VALUE"""),"Panel")</f>
        <v>Panel</v>
      </c>
      <c r="J2235" s="2" t="str">
        <f>IFERROR(__xludf.DUMMYFUNCTION("""COMPUTED_VALUE"""),"All amenities")</f>
        <v>All amenities</v>
      </c>
      <c r="K2235" s="2">
        <f>IFERROR(__xludf.DUMMYFUNCTION("""COMPUTED_VALUE"""),60000.0)</f>
        <v>60000</v>
      </c>
      <c r="L2235" s="2">
        <f>IFERROR(__xludf.DUMMYFUNCTION("""COMPUTED_VALUE"""),56.945795)</f>
        <v>56.945795</v>
      </c>
      <c r="M2235" s="2">
        <f>IFERROR(__xludf.DUMMYFUNCTION("""COMPUTED_VALUE"""),24.0521562)</f>
        <v>24.0521562</v>
      </c>
    </row>
    <row r="2236">
      <c r="A2236" s="2" t="str">
        <f>IFERROR(__xludf.DUMMYFUNCTION("""COMPUTED_VALUE"""),"For sale")</f>
        <v>For sale</v>
      </c>
      <c r="B2236" s="2" t="str">
        <f>IFERROR(__xludf.DUMMYFUNCTION("""COMPUTED_VALUE"""),"Klīversala")</f>
        <v>Klīversala</v>
      </c>
      <c r="C2236" s="2" t="str">
        <f>IFERROR(__xludf.DUMMYFUNCTION("""COMPUTED_VALUE"""),"Kuģu 15")</f>
        <v>Kuģu 15</v>
      </c>
      <c r="D2236" s="2">
        <f>IFERROR(__xludf.DUMMYFUNCTION("""COMPUTED_VALUE"""),3.0)</f>
        <v>3</v>
      </c>
      <c r="E2236" s="2">
        <f>IFERROR(__xludf.DUMMYFUNCTION("""COMPUTED_VALUE"""),98.0)</f>
        <v>98</v>
      </c>
      <c r="F2236" s="2">
        <f>IFERROR(__xludf.DUMMYFUNCTION("""COMPUTED_VALUE"""),3.0)</f>
        <v>3</v>
      </c>
      <c r="G2236" s="2">
        <f>IFERROR(__xludf.DUMMYFUNCTION("""COMPUTED_VALUE"""),6.0)</f>
        <v>6</v>
      </c>
      <c r="H2236" s="2" t="str">
        <f>IFERROR(__xludf.DUMMYFUNCTION("""COMPUTED_VALUE"""),"Jaun.")</f>
        <v>Jaun.</v>
      </c>
      <c r="I2236" s="2" t="str">
        <f>IFERROR(__xludf.DUMMYFUNCTION("""COMPUTED_VALUE"""),"Masonry")</f>
        <v>Masonry</v>
      </c>
      <c r="J2236" s="2" t="str">
        <f>IFERROR(__xludf.DUMMYFUNCTION("""COMPUTED_VALUE"""),"All amenities")</f>
        <v>All amenities</v>
      </c>
      <c r="K2236" s="2">
        <f>IFERROR(__xludf.DUMMYFUNCTION("""COMPUTED_VALUE"""),375000.0)</f>
        <v>375000</v>
      </c>
      <c r="L2236" s="2">
        <f>IFERROR(__xludf.DUMMYFUNCTION("""COMPUTED_VALUE"""),56.94308385)</f>
        <v>56.94308385</v>
      </c>
      <c r="M2236" s="2">
        <f>IFERROR(__xludf.DUMMYFUNCTION("""COMPUTED_VALUE"""),24.0955521471893)</f>
        <v>24.09555215</v>
      </c>
    </row>
    <row r="2237">
      <c r="A2237" s="2" t="str">
        <f>IFERROR(__xludf.DUMMYFUNCTION("""COMPUTED_VALUE"""),"For sale")</f>
        <v>For sale</v>
      </c>
      <c r="B2237" s="2" t="str">
        <f>IFERROR(__xludf.DUMMYFUNCTION("""COMPUTED_VALUE"""),"Mangaļi")</f>
        <v>Mangaļi</v>
      </c>
      <c r="C2237" s="2" t="str">
        <f>IFERROR(__xludf.DUMMYFUNCTION("""COMPUTED_VALUE"""),"Ostas pr. 4")</f>
        <v>Ostas pr. 4</v>
      </c>
      <c r="D2237" s="2">
        <f>IFERROR(__xludf.DUMMYFUNCTION("""COMPUTED_VALUE"""),2.0)</f>
        <v>2</v>
      </c>
      <c r="E2237" s="2">
        <f>IFERROR(__xludf.DUMMYFUNCTION("""COMPUTED_VALUE"""),47.0)</f>
        <v>47</v>
      </c>
      <c r="F2237" s="2">
        <f>IFERROR(__xludf.DUMMYFUNCTION("""COMPUTED_VALUE"""),5.0)</f>
        <v>5</v>
      </c>
      <c r="G2237" s="2">
        <f>IFERROR(__xludf.DUMMYFUNCTION("""COMPUTED_VALUE"""),5.0)</f>
        <v>5</v>
      </c>
      <c r="H2237" s="2" t="str">
        <f>IFERROR(__xludf.DUMMYFUNCTION("""COMPUTED_VALUE"""),"Hrušč.")</f>
        <v>Hrušč.</v>
      </c>
      <c r="I2237" s="2" t="str">
        <f>IFERROR(__xludf.DUMMYFUNCTION("""COMPUTED_VALUE"""),"Brick")</f>
        <v>Brick</v>
      </c>
      <c r="J2237" s="2" t="str">
        <f>IFERROR(__xludf.DUMMYFUNCTION("""COMPUTED_VALUE"""),"All amenities")</f>
        <v>All amenities</v>
      </c>
      <c r="K2237" s="2">
        <f>IFERROR(__xludf.DUMMYFUNCTION("""COMPUTED_VALUE"""),42000.0)</f>
        <v>42000</v>
      </c>
      <c r="L2237" s="2" t="str">
        <f>IFERROR(__xludf.DUMMYFUNCTION("""COMPUTED_VALUE"""),"NaN")</f>
        <v>NaN</v>
      </c>
      <c r="M2237" s="2" t="str">
        <f>IFERROR(__xludf.DUMMYFUNCTION("""COMPUTED_VALUE"""),"NaN")</f>
        <v>NaN</v>
      </c>
    </row>
    <row r="2238">
      <c r="A2238" s="2" t="str">
        <f>IFERROR(__xludf.DUMMYFUNCTION("""COMPUTED_VALUE"""),"For sale")</f>
        <v>For sale</v>
      </c>
      <c r="B2238" s="2" t="str">
        <f>IFERROR(__xludf.DUMMYFUNCTION("""COMPUTED_VALUE"""),"Vecmīlgrāvis")</f>
        <v>Vecmīlgrāvis</v>
      </c>
      <c r="C2238" s="2" t="str">
        <f>IFERROR(__xludf.DUMMYFUNCTION("""COMPUTED_VALUE"""),"Emmas 5")</f>
        <v>Emmas 5</v>
      </c>
      <c r="D2238" s="2">
        <f>IFERROR(__xludf.DUMMYFUNCTION("""COMPUTED_VALUE"""),3.0)</f>
        <v>3</v>
      </c>
      <c r="E2238" s="2">
        <f>IFERROR(__xludf.DUMMYFUNCTION("""COMPUTED_VALUE"""),56.0)</f>
        <v>56</v>
      </c>
      <c r="F2238" s="2">
        <f>IFERROR(__xludf.DUMMYFUNCTION("""COMPUTED_VALUE"""),5.0)</f>
        <v>5</v>
      </c>
      <c r="G2238" s="2">
        <f>IFERROR(__xludf.DUMMYFUNCTION("""COMPUTED_VALUE"""),5.0)</f>
        <v>5</v>
      </c>
      <c r="H2238" s="2" t="str">
        <f>IFERROR(__xludf.DUMMYFUNCTION("""COMPUTED_VALUE"""),"LT proj.")</f>
        <v>LT proj.</v>
      </c>
      <c r="I2238" s="2" t="str">
        <f>IFERROR(__xludf.DUMMYFUNCTION("""COMPUTED_VALUE"""),"Panel")</f>
        <v>Panel</v>
      </c>
      <c r="J2238" s="2" t="str">
        <f>IFERROR(__xludf.DUMMYFUNCTION("""COMPUTED_VALUE"""),"All amenities")</f>
        <v>All amenities</v>
      </c>
      <c r="K2238" s="2">
        <f>IFERROR(__xludf.DUMMYFUNCTION("""COMPUTED_VALUE"""),35500.0)</f>
        <v>35500</v>
      </c>
      <c r="L2238" s="2">
        <f>IFERROR(__xludf.DUMMYFUNCTION("""COMPUTED_VALUE"""),57.02873485)</f>
        <v>57.02873485</v>
      </c>
      <c r="M2238" s="2">
        <f>IFERROR(__xludf.DUMMYFUNCTION("""COMPUTED_VALUE"""),24.1082808)</f>
        <v>24.1082808</v>
      </c>
    </row>
    <row r="2239">
      <c r="A2239" s="2" t="str">
        <f>IFERROR(__xludf.DUMMYFUNCTION("""COMPUTED_VALUE"""),"For sale")</f>
        <v>For sale</v>
      </c>
      <c r="B2239" s="2" t="str">
        <f>IFERROR(__xludf.DUMMYFUNCTION("""COMPUTED_VALUE"""),"Vecmīlgrāvis")</f>
        <v>Vecmīlgrāvis</v>
      </c>
      <c r="C2239" s="2" t="str">
        <f>IFERROR(__xludf.DUMMYFUNCTION("""COMPUTED_VALUE"""),"Baltāsbaznīcas 34")</f>
        <v>Baltāsbaznīcas 34</v>
      </c>
      <c r="D2239" s="2">
        <f>IFERROR(__xludf.DUMMYFUNCTION("""COMPUTED_VALUE"""),4.0)</f>
        <v>4</v>
      </c>
      <c r="E2239" s="2">
        <f>IFERROR(__xludf.DUMMYFUNCTION("""COMPUTED_VALUE"""),89.0)</f>
        <v>89</v>
      </c>
      <c r="F2239" s="2">
        <f>IFERROR(__xludf.DUMMYFUNCTION("""COMPUTED_VALUE"""),3.0)</f>
        <v>3</v>
      </c>
      <c r="G2239" s="2">
        <f>IFERROR(__xludf.DUMMYFUNCTION("""COMPUTED_VALUE"""),5.0)</f>
        <v>5</v>
      </c>
      <c r="H2239" s="2">
        <f>IFERROR(__xludf.DUMMYFUNCTION("""COMPUTED_VALUE"""),103.0)</f>
        <v>103</v>
      </c>
      <c r="I2239" s="2" t="str">
        <f>IFERROR(__xludf.DUMMYFUNCTION("""COMPUTED_VALUE"""),"Brick-Panel")</f>
        <v>Brick-Panel</v>
      </c>
      <c r="J2239" s="2" t="str">
        <f>IFERROR(__xludf.DUMMYFUNCTION("""COMPUTED_VALUE"""),"All amenities")</f>
        <v>All amenities</v>
      </c>
      <c r="K2239" s="2">
        <f>IFERROR(__xludf.DUMMYFUNCTION("""COMPUTED_VALUE"""),86000.0)</f>
        <v>86000</v>
      </c>
      <c r="L2239" s="2">
        <f>IFERROR(__xludf.DUMMYFUNCTION("""COMPUTED_VALUE"""),57.03641915)</f>
        <v>57.03641915</v>
      </c>
      <c r="M2239" s="2">
        <f>IFERROR(__xludf.DUMMYFUNCTION("""COMPUTED_VALUE"""),24.0937377546252)</f>
        <v>24.09373775</v>
      </c>
    </row>
    <row r="2240">
      <c r="A2240" s="2" t="str">
        <f>IFERROR(__xludf.DUMMYFUNCTION("""COMPUTED_VALUE"""),"For sale")</f>
        <v>For sale</v>
      </c>
      <c r="B2240" s="2" t="str">
        <f>IFERROR(__xludf.DUMMYFUNCTION("""COMPUTED_VALUE"""),"Klīversala")</f>
        <v>Klīversala</v>
      </c>
      <c r="C2240" s="2" t="str">
        <f>IFERROR(__xludf.DUMMYFUNCTION("""COMPUTED_VALUE"""),"Kuģu 15")</f>
        <v>Kuģu 15</v>
      </c>
      <c r="D2240" s="2">
        <f>IFERROR(__xludf.DUMMYFUNCTION("""COMPUTED_VALUE"""),2.0)</f>
        <v>2</v>
      </c>
      <c r="E2240" s="2">
        <f>IFERROR(__xludf.DUMMYFUNCTION("""COMPUTED_VALUE"""),41.0)</f>
        <v>41</v>
      </c>
      <c r="F2240" s="2">
        <f>IFERROR(__xludf.DUMMYFUNCTION("""COMPUTED_VALUE"""),2.0)</f>
        <v>2</v>
      </c>
      <c r="G2240" s="2">
        <f>IFERROR(__xludf.DUMMYFUNCTION("""COMPUTED_VALUE"""),6.0)</f>
        <v>6</v>
      </c>
      <c r="H2240" s="2" t="str">
        <f>IFERROR(__xludf.DUMMYFUNCTION("""COMPUTED_VALUE"""),"Jaun.")</f>
        <v>Jaun.</v>
      </c>
      <c r="I2240" s="2" t="str">
        <f>IFERROR(__xludf.DUMMYFUNCTION("""COMPUTED_VALUE"""),"Masonry")</f>
        <v>Masonry</v>
      </c>
      <c r="J2240" s="2" t="str">
        <f>IFERROR(__xludf.DUMMYFUNCTION("""COMPUTED_VALUE"""),"All amenities")</f>
        <v>All amenities</v>
      </c>
      <c r="K2240" s="2">
        <f>IFERROR(__xludf.DUMMYFUNCTION("""COMPUTED_VALUE"""),140000.0)</f>
        <v>140000</v>
      </c>
      <c r="L2240" s="2">
        <f>IFERROR(__xludf.DUMMYFUNCTION("""COMPUTED_VALUE"""),56.94308385)</f>
        <v>56.94308385</v>
      </c>
      <c r="M2240" s="2">
        <f>IFERROR(__xludf.DUMMYFUNCTION("""COMPUTED_VALUE"""),24.0955521471893)</f>
        <v>24.09555215</v>
      </c>
    </row>
    <row r="2241">
      <c r="A2241" s="2" t="str">
        <f>IFERROR(__xludf.DUMMYFUNCTION("""COMPUTED_VALUE"""),"For sale")</f>
        <v>For sale</v>
      </c>
      <c r="B2241" s="2" t="str">
        <f>IFERROR(__xludf.DUMMYFUNCTION("""COMPUTED_VALUE"""),"centrs")</f>
        <v>centrs</v>
      </c>
      <c r="C2241" s="2" t="str">
        <f>IFERROR(__xludf.DUMMYFUNCTION("""COMPUTED_VALUE"""),"Matīsa 82")</f>
        <v>Matīsa 82</v>
      </c>
      <c r="D2241" s="2">
        <f>IFERROR(__xludf.DUMMYFUNCTION("""COMPUTED_VALUE"""),1.0)</f>
        <v>1</v>
      </c>
      <c r="E2241" s="2">
        <f>IFERROR(__xludf.DUMMYFUNCTION("""COMPUTED_VALUE"""),18.0)</f>
        <v>18</v>
      </c>
      <c r="F2241" s="2">
        <f>IFERROR(__xludf.DUMMYFUNCTION("""COMPUTED_VALUE"""),2.0)</f>
        <v>2</v>
      </c>
      <c r="G2241" s="2">
        <f>IFERROR(__xludf.DUMMYFUNCTION("""COMPUTED_VALUE"""),2.0)</f>
        <v>2</v>
      </c>
      <c r="H2241" s="2" t="str">
        <f>IFERROR(__xludf.DUMMYFUNCTION("""COMPUTED_VALUE"""),"P. kara")</f>
        <v>P. kara</v>
      </c>
      <c r="I2241" s="2" t="str">
        <f>IFERROR(__xludf.DUMMYFUNCTION("""COMPUTED_VALUE"""),"Wood")</f>
        <v>Wood</v>
      </c>
      <c r="J2241" s="2" t="str">
        <f>IFERROR(__xludf.DUMMYFUNCTION("""COMPUTED_VALUE"""),"Partial amenities")</f>
        <v>Partial amenities</v>
      </c>
      <c r="K2241" s="2">
        <f>IFERROR(__xludf.DUMMYFUNCTION("""COMPUTED_VALUE"""),8200.0)</f>
        <v>8200</v>
      </c>
      <c r="L2241" s="2">
        <f>IFERROR(__xludf.DUMMYFUNCTION("""COMPUTED_VALUE"""),56.95092055)</f>
        <v>56.95092055</v>
      </c>
      <c r="M2241" s="2">
        <f>IFERROR(__xludf.DUMMYFUNCTION("""COMPUTED_VALUE"""),24.1461248193206)</f>
        <v>24.14612482</v>
      </c>
    </row>
    <row r="2242">
      <c r="A2242" s="2" t="str">
        <f>IFERROR(__xludf.DUMMYFUNCTION("""COMPUTED_VALUE"""),"For rent")</f>
        <v>For rent</v>
      </c>
      <c r="B2242" s="2" t="str">
        <f>IFERROR(__xludf.DUMMYFUNCTION("""COMPUTED_VALUE"""),"Āgenskalns")</f>
        <v>Āgenskalns</v>
      </c>
      <c r="C2242" s="2" t="str">
        <f>IFERROR(__xludf.DUMMYFUNCTION("""COMPUTED_VALUE"""),"Lielirbes 13")</f>
        <v>Lielirbes 13</v>
      </c>
      <c r="D2242" s="2">
        <f>IFERROR(__xludf.DUMMYFUNCTION("""COMPUTED_VALUE"""),3.0)</f>
        <v>3</v>
      </c>
      <c r="E2242" s="2">
        <f>IFERROR(__xludf.DUMMYFUNCTION("""COMPUTED_VALUE"""),90.0)</f>
        <v>90</v>
      </c>
      <c r="F2242" s="2">
        <f>IFERROR(__xludf.DUMMYFUNCTION("""COMPUTED_VALUE"""),17.0)</f>
        <v>17</v>
      </c>
      <c r="G2242" s="2">
        <f>IFERROR(__xludf.DUMMYFUNCTION("""COMPUTED_VALUE"""),30.0)</f>
        <v>30</v>
      </c>
      <c r="H2242" s="2" t="str">
        <f>IFERROR(__xludf.DUMMYFUNCTION("""COMPUTED_VALUE"""),"Jaun.")</f>
        <v>Jaun.</v>
      </c>
      <c r="I2242" s="2" t="str">
        <f>IFERROR(__xludf.DUMMYFUNCTION("""COMPUTED_VALUE"""),"Masonry")</f>
        <v>Masonry</v>
      </c>
      <c r="J2242" s="2" t="str">
        <f>IFERROR(__xludf.DUMMYFUNCTION("""COMPUTED_VALUE"""),"All amenities")</f>
        <v>All amenities</v>
      </c>
      <c r="K2242" s="2">
        <f>IFERROR(__xludf.DUMMYFUNCTION("""COMPUTED_VALUE"""),650.0)</f>
        <v>650</v>
      </c>
      <c r="L2242" s="2">
        <f>IFERROR(__xludf.DUMMYFUNCTION("""COMPUTED_VALUE"""),56.9334996)</f>
        <v>56.9334996</v>
      </c>
      <c r="M2242" s="2">
        <f>IFERROR(__xludf.DUMMYFUNCTION("""COMPUTED_VALUE"""),24.0424848)</f>
        <v>24.0424848</v>
      </c>
    </row>
    <row r="2243">
      <c r="A2243" s="2" t="str">
        <f>IFERROR(__xludf.DUMMYFUNCTION("""COMPUTED_VALUE"""),"For rent")</f>
        <v>For rent</v>
      </c>
      <c r="B2243" s="2" t="str">
        <f>IFERROR(__xludf.DUMMYFUNCTION("""COMPUTED_VALUE"""),"centrs")</f>
        <v>centrs</v>
      </c>
      <c r="C2243" s="2" t="str">
        <f>IFERROR(__xludf.DUMMYFUNCTION("""COMPUTED_VALUE"""),"Skanstes 29a")</f>
        <v>Skanstes 29a</v>
      </c>
      <c r="D2243" s="2">
        <f>IFERROR(__xludf.DUMMYFUNCTION("""COMPUTED_VALUE"""),4.0)</f>
        <v>4</v>
      </c>
      <c r="E2243" s="2">
        <f>IFERROR(__xludf.DUMMYFUNCTION("""COMPUTED_VALUE"""),105.0)</f>
        <v>105</v>
      </c>
      <c r="F2243" s="2">
        <f>IFERROR(__xludf.DUMMYFUNCTION("""COMPUTED_VALUE"""),4.0)</f>
        <v>4</v>
      </c>
      <c r="G2243" s="2">
        <f>IFERROR(__xludf.DUMMYFUNCTION("""COMPUTED_VALUE"""),24.0)</f>
        <v>24</v>
      </c>
      <c r="H2243" s="2" t="str">
        <f>IFERROR(__xludf.DUMMYFUNCTION("""COMPUTED_VALUE"""),"Jaun.")</f>
        <v>Jaun.</v>
      </c>
      <c r="I2243" s="2" t="str">
        <f>IFERROR(__xludf.DUMMYFUNCTION("""COMPUTED_VALUE"""),"Panel")</f>
        <v>Panel</v>
      </c>
      <c r="J2243" s="2" t="str">
        <f>IFERROR(__xludf.DUMMYFUNCTION("""COMPUTED_VALUE"""),"All amenities")</f>
        <v>All amenities</v>
      </c>
      <c r="K2243" s="2">
        <f>IFERROR(__xludf.DUMMYFUNCTION("""COMPUTED_VALUE"""),1000.0)</f>
        <v>1000</v>
      </c>
      <c r="L2243" s="2">
        <f>IFERROR(__xludf.DUMMYFUNCTION("""COMPUTED_VALUE"""),56.9722229)</f>
        <v>56.9722229</v>
      </c>
      <c r="M2243" s="2">
        <f>IFERROR(__xludf.DUMMYFUNCTION("""COMPUTED_VALUE"""),24.1239787042266)</f>
        <v>24.1239787</v>
      </c>
    </row>
    <row r="2244">
      <c r="A2244" s="2" t="str">
        <f>IFERROR(__xludf.DUMMYFUNCTION("""COMPUTED_VALUE"""),"For sale")</f>
        <v>For sale</v>
      </c>
      <c r="B2244" s="2" t="str">
        <f>IFERROR(__xludf.DUMMYFUNCTION("""COMPUTED_VALUE"""),"centrs")</f>
        <v>centrs</v>
      </c>
      <c r="C2244" s="2" t="str">
        <f>IFERROR(__xludf.DUMMYFUNCTION("""COMPUTED_VALUE"""),"Barona 92a")</f>
        <v>Barona 92a</v>
      </c>
      <c r="D2244" s="2">
        <f>IFERROR(__xludf.DUMMYFUNCTION("""COMPUTED_VALUE"""),1.0)</f>
        <v>1</v>
      </c>
      <c r="E2244" s="2">
        <f>IFERROR(__xludf.DUMMYFUNCTION("""COMPUTED_VALUE"""),32.0)</f>
        <v>32</v>
      </c>
      <c r="F2244" s="2">
        <f>IFERROR(__xludf.DUMMYFUNCTION("""COMPUTED_VALUE"""),1.0)</f>
        <v>1</v>
      </c>
      <c r="G2244" s="2">
        <f>IFERROR(__xludf.DUMMYFUNCTION("""COMPUTED_VALUE"""),2.0)</f>
        <v>2</v>
      </c>
      <c r="H2244" s="2" t="str">
        <f>IFERROR(__xludf.DUMMYFUNCTION("""COMPUTED_VALUE"""),"Renov.")</f>
        <v>Renov.</v>
      </c>
      <c r="I2244" s="2" t="str">
        <f>IFERROR(__xludf.DUMMYFUNCTION("""COMPUTED_VALUE"""),"Wood")</f>
        <v>Wood</v>
      </c>
      <c r="J2244" s="2" t="str">
        <f>IFERROR(__xludf.DUMMYFUNCTION("""COMPUTED_VALUE"""),"All amenities")</f>
        <v>All amenities</v>
      </c>
      <c r="K2244" s="2">
        <f>IFERROR(__xludf.DUMMYFUNCTION("""COMPUTED_VALUE"""),61000.0)</f>
        <v>61000</v>
      </c>
      <c r="L2244" s="2">
        <f>IFERROR(__xludf.DUMMYFUNCTION("""COMPUTED_VALUE"""),56.9667799)</f>
        <v>56.9667799</v>
      </c>
      <c r="M2244" s="2">
        <f>IFERROR(__xludf.DUMMYFUNCTION("""COMPUTED_VALUE"""),24.150157)</f>
        <v>24.150157</v>
      </c>
    </row>
    <row r="2245">
      <c r="A2245" s="2" t="str">
        <f>IFERROR(__xludf.DUMMYFUNCTION("""COMPUTED_VALUE"""),"For rent")</f>
        <v>For rent</v>
      </c>
      <c r="B2245" s="2" t="str">
        <f>IFERROR(__xludf.DUMMYFUNCTION("""COMPUTED_VALUE"""),"centrs")</f>
        <v>centrs</v>
      </c>
      <c r="C2245" s="2" t="str">
        <f>IFERROR(__xludf.DUMMYFUNCTION("""COMPUTED_VALUE"""),"Blaumaņa 3")</f>
        <v>Blaumaņa 3</v>
      </c>
      <c r="D2245" s="2">
        <f>IFERROR(__xludf.DUMMYFUNCTION("""COMPUTED_VALUE"""),4.0)</f>
        <v>4</v>
      </c>
      <c r="E2245" s="2">
        <f>IFERROR(__xludf.DUMMYFUNCTION("""COMPUTED_VALUE"""),200.0)</f>
        <v>200</v>
      </c>
      <c r="F2245" s="2">
        <f>IFERROR(__xludf.DUMMYFUNCTION("""COMPUTED_VALUE"""),5.0)</f>
        <v>5</v>
      </c>
      <c r="G2245" s="2">
        <f>IFERROR(__xludf.DUMMYFUNCTION("""COMPUTED_VALUE"""),5.0)</f>
        <v>5</v>
      </c>
      <c r="H2245" s="2" t="str">
        <f>IFERROR(__xludf.DUMMYFUNCTION("""COMPUTED_VALUE"""),"Renov.")</f>
        <v>Renov.</v>
      </c>
      <c r="I2245" s="2" t="str">
        <f>IFERROR(__xludf.DUMMYFUNCTION("""COMPUTED_VALUE"""),"Masonry")</f>
        <v>Masonry</v>
      </c>
      <c r="J2245" s="2" t="str">
        <f>IFERROR(__xludf.DUMMYFUNCTION("""COMPUTED_VALUE"""),"All amenities")</f>
        <v>All amenities</v>
      </c>
      <c r="K2245" s="2">
        <f>IFERROR(__xludf.DUMMYFUNCTION("""COMPUTED_VALUE"""),2900.0)</f>
        <v>2900</v>
      </c>
      <c r="L2245" s="2">
        <f>IFERROR(__xludf.DUMMYFUNCTION("""COMPUTED_VALUE"""),56.95530025)</f>
        <v>56.95530025</v>
      </c>
      <c r="M2245" s="2">
        <f>IFERROR(__xludf.DUMMYFUNCTION("""COMPUTED_VALUE"""),24.1221349751324)</f>
        <v>24.12213498</v>
      </c>
    </row>
    <row r="2246">
      <c r="A2246" s="2" t="str">
        <f>IFERROR(__xludf.DUMMYFUNCTION("""COMPUTED_VALUE"""),"For rent")</f>
        <v>For rent</v>
      </c>
      <c r="B2246" s="2" t="str">
        <f>IFERROR(__xludf.DUMMYFUNCTION("""COMPUTED_VALUE"""),"Āgenskalns")</f>
        <v>Āgenskalns</v>
      </c>
      <c r="C2246" s="2" t="str">
        <f>IFERROR(__xludf.DUMMYFUNCTION("""COMPUTED_VALUE"""),"Kuģu 26")</f>
        <v>Kuģu 26</v>
      </c>
      <c r="D2246" s="2">
        <f>IFERROR(__xludf.DUMMYFUNCTION("""COMPUTED_VALUE"""),3.0)</f>
        <v>3</v>
      </c>
      <c r="E2246" s="2">
        <f>IFERROR(__xludf.DUMMYFUNCTION("""COMPUTED_VALUE"""),82.0)</f>
        <v>82</v>
      </c>
      <c r="F2246" s="2">
        <f>IFERROR(__xludf.DUMMYFUNCTION("""COMPUTED_VALUE"""),1.0)</f>
        <v>1</v>
      </c>
      <c r="G2246" s="2">
        <f>IFERROR(__xludf.DUMMYFUNCTION("""COMPUTED_VALUE"""),5.0)</f>
        <v>5</v>
      </c>
      <c r="H2246" s="2" t="str">
        <f>IFERROR(__xludf.DUMMYFUNCTION("""COMPUTED_VALUE"""),"Jaun.")</f>
        <v>Jaun.</v>
      </c>
      <c r="I2246" s="2" t="str">
        <f>IFERROR(__xludf.DUMMYFUNCTION("""COMPUTED_VALUE"""),"Brick-Panel")</f>
        <v>Brick-Panel</v>
      </c>
      <c r="J2246" s="2" t="str">
        <f>IFERROR(__xludf.DUMMYFUNCTION("""COMPUTED_VALUE"""),"All amenities")</f>
        <v>All amenities</v>
      </c>
      <c r="K2246" s="2">
        <f>IFERROR(__xludf.DUMMYFUNCTION("""COMPUTED_VALUE"""),750.0)</f>
        <v>750</v>
      </c>
      <c r="L2246" s="2">
        <f>IFERROR(__xludf.DUMMYFUNCTION("""COMPUTED_VALUE"""),56.94553165)</f>
        <v>56.94553165</v>
      </c>
      <c r="M2246" s="2">
        <f>IFERROR(__xludf.DUMMYFUNCTION("""COMPUTED_VALUE"""),24.092327378378)</f>
        <v>24.09232738</v>
      </c>
    </row>
    <row r="2247">
      <c r="A2247" s="2" t="str">
        <f>IFERROR(__xludf.DUMMYFUNCTION("""COMPUTED_VALUE"""),"For rent")</f>
        <v>For rent</v>
      </c>
      <c r="B2247" s="2" t="str">
        <f>IFERROR(__xludf.DUMMYFUNCTION("""COMPUTED_VALUE"""),"centrs")</f>
        <v>centrs</v>
      </c>
      <c r="C2247" s="2" t="str">
        <f>IFERROR(__xludf.DUMMYFUNCTION("""COMPUTED_VALUE"""),"Jēkaba 26/28")</f>
        <v>Jēkaba 26/28</v>
      </c>
      <c r="D2247" s="2">
        <f>IFERROR(__xludf.DUMMYFUNCTION("""COMPUTED_VALUE"""),5.0)</f>
        <v>5</v>
      </c>
      <c r="E2247" s="2">
        <f>IFERROR(__xludf.DUMMYFUNCTION("""COMPUTED_VALUE"""),130.0)</f>
        <v>130</v>
      </c>
      <c r="F2247" s="2">
        <f>IFERROR(__xludf.DUMMYFUNCTION("""COMPUTED_VALUE"""),4.0)</f>
        <v>4</v>
      </c>
      <c r="G2247" s="2">
        <f>IFERROR(__xludf.DUMMYFUNCTION("""COMPUTED_VALUE"""),5.0)</f>
        <v>5</v>
      </c>
      <c r="H2247" s="2" t="str">
        <f>IFERROR(__xludf.DUMMYFUNCTION("""COMPUTED_VALUE"""),"Renov.")</f>
        <v>Renov.</v>
      </c>
      <c r="I2247" s="2" t="str">
        <f>IFERROR(__xludf.DUMMYFUNCTION("""COMPUTED_VALUE"""),"Masonry")</f>
        <v>Masonry</v>
      </c>
      <c r="J2247" s="2" t="str">
        <f>IFERROR(__xludf.DUMMYFUNCTION("""COMPUTED_VALUE"""),"All amenities")</f>
        <v>All amenities</v>
      </c>
      <c r="K2247" s="2">
        <f>IFERROR(__xludf.DUMMYFUNCTION("""COMPUTED_VALUE"""),990.0)</f>
        <v>990</v>
      </c>
      <c r="L2247" s="2">
        <f>IFERROR(__xludf.DUMMYFUNCTION("""COMPUTED_VALUE"""),56.952698)</f>
        <v>56.952698</v>
      </c>
      <c r="M2247" s="2">
        <f>IFERROR(__xludf.DUMMYFUNCTION("""COMPUTED_VALUE"""),24.1051471)</f>
        <v>24.1051471</v>
      </c>
    </row>
    <row r="2248">
      <c r="A2248" s="2" t="str">
        <f>IFERROR(__xludf.DUMMYFUNCTION("""COMPUTED_VALUE"""),"For sale")</f>
        <v>For sale</v>
      </c>
      <c r="B2248" s="2" t="str">
        <f>IFERROR(__xludf.DUMMYFUNCTION("""COMPUTED_VALUE"""),"Šampēteris-Pleskodāle")</f>
        <v>Šampēteris-Pleskodāle</v>
      </c>
      <c r="C2248" s="2" t="str">
        <f>IFERROR(__xludf.DUMMYFUNCTION("""COMPUTED_VALUE"""),"Lielirbes 11")</f>
        <v>Lielirbes 11</v>
      </c>
      <c r="D2248" s="2">
        <f>IFERROR(__xludf.DUMMYFUNCTION("""COMPUTED_VALUE"""),3.0)</f>
        <v>3</v>
      </c>
      <c r="E2248" s="2">
        <f>IFERROR(__xludf.DUMMYFUNCTION("""COMPUTED_VALUE"""),93.0)</f>
        <v>93</v>
      </c>
      <c r="F2248" s="2">
        <f>IFERROR(__xludf.DUMMYFUNCTION("""COMPUTED_VALUE"""),5.0)</f>
        <v>5</v>
      </c>
      <c r="G2248" s="2">
        <f>IFERROR(__xludf.DUMMYFUNCTION("""COMPUTED_VALUE"""),27.0)</f>
        <v>27</v>
      </c>
      <c r="H2248" s="2" t="str">
        <f>IFERROR(__xludf.DUMMYFUNCTION("""COMPUTED_VALUE"""),"Specpr.")</f>
        <v>Specpr.</v>
      </c>
      <c r="I2248" s="2" t="str">
        <f>IFERROR(__xludf.DUMMYFUNCTION("""COMPUTED_VALUE"""),"Panel")</f>
        <v>Panel</v>
      </c>
      <c r="J2248" s="2" t="str">
        <f>IFERROR(__xludf.DUMMYFUNCTION("""COMPUTED_VALUE"""),"All amenities")</f>
        <v>All amenities</v>
      </c>
      <c r="K2248" s="2">
        <f>IFERROR(__xludf.DUMMYFUNCTION("""COMPUTED_VALUE"""),150000.0)</f>
        <v>150000</v>
      </c>
      <c r="L2248" s="2">
        <f>IFERROR(__xludf.DUMMYFUNCTION("""COMPUTED_VALUE"""),56.9340645)</f>
        <v>56.9340645</v>
      </c>
      <c r="M2248" s="2">
        <f>IFERROR(__xludf.DUMMYFUNCTION("""COMPUTED_VALUE"""),24.0436381)</f>
        <v>24.0436381</v>
      </c>
    </row>
    <row r="2249">
      <c r="A2249" s="2" t="str">
        <f>IFERROR(__xludf.DUMMYFUNCTION("""COMPUTED_VALUE"""),"For rent")</f>
        <v>For rent</v>
      </c>
      <c r="B2249" s="2" t="str">
        <f>IFERROR(__xludf.DUMMYFUNCTION("""COMPUTED_VALUE"""),"Āgenskalns")</f>
        <v>Āgenskalns</v>
      </c>
      <c r="C2249" s="2" t="str">
        <f>IFERROR(__xludf.DUMMYFUNCTION("""COMPUTED_VALUE"""),"Kuģu 28")</f>
        <v>Kuģu 28</v>
      </c>
      <c r="D2249" s="2">
        <f>IFERROR(__xludf.DUMMYFUNCTION("""COMPUTED_VALUE"""),5.0)</f>
        <v>5</v>
      </c>
      <c r="E2249" s="2">
        <f>IFERROR(__xludf.DUMMYFUNCTION("""COMPUTED_VALUE"""),175.0)</f>
        <v>175</v>
      </c>
      <c r="F2249" s="2">
        <f>IFERROR(__xludf.DUMMYFUNCTION("""COMPUTED_VALUE"""),1.0)</f>
        <v>1</v>
      </c>
      <c r="G2249" s="2">
        <f>IFERROR(__xludf.DUMMYFUNCTION("""COMPUTED_VALUE"""),5.0)</f>
        <v>5</v>
      </c>
      <c r="H2249" s="2" t="str">
        <f>IFERROR(__xludf.DUMMYFUNCTION("""COMPUTED_VALUE"""),"Jaun.")</f>
        <v>Jaun.</v>
      </c>
      <c r="I2249" s="2" t="str">
        <f>IFERROR(__xludf.DUMMYFUNCTION("""COMPUTED_VALUE"""),"Panel")</f>
        <v>Panel</v>
      </c>
      <c r="J2249" s="2" t="str">
        <f>IFERROR(__xludf.DUMMYFUNCTION("""COMPUTED_VALUE"""),"All amenities")</f>
        <v>All amenities</v>
      </c>
      <c r="K2249" s="2">
        <f>IFERROR(__xludf.DUMMYFUNCTION("""COMPUTED_VALUE"""),3500.0)</f>
        <v>3500</v>
      </c>
      <c r="L2249" s="2">
        <f>IFERROR(__xludf.DUMMYFUNCTION("""COMPUTED_VALUE"""),56.9434633)</f>
        <v>56.9434633</v>
      </c>
      <c r="M2249" s="2">
        <f>IFERROR(__xludf.DUMMYFUNCTION("""COMPUTED_VALUE"""),24.0953686)</f>
        <v>24.0953686</v>
      </c>
    </row>
    <row r="2250">
      <c r="A2250" s="2" t="str">
        <f>IFERROR(__xludf.DUMMYFUNCTION("""COMPUTED_VALUE"""),"For rent")</f>
        <v>For rent</v>
      </c>
      <c r="B2250" s="2" t="str">
        <f>IFERROR(__xludf.DUMMYFUNCTION("""COMPUTED_VALUE"""),"Teika")</f>
        <v>Teika</v>
      </c>
      <c r="C2250" s="2" t="str">
        <f>IFERROR(__xludf.DUMMYFUNCTION("""COMPUTED_VALUE"""),"Brīvības gatve 293")</f>
        <v>Brīvības gatve 293</v>
      </c>
      <c r="D2250" s="2">
        <f>IFERROR(__xludf.DUMMYFUNCTION("""COMPUTED_VALUE"""),3.0)</f>
        <v>3</v>
      </c>
      <c r="E2250" s="2">
        <f>IFERROR(__xludf.DUMMYFUNCTION("""COMPUTED_VALUE"""),83.0)</f>
        <v>83</v>
      </c>
      <c r="F2250" s="2">
        <f>IFERROR(__xludf.DUMMYFUNCTION("""COMPUTED_VALUE"""),4.0)</f>
        <v>4</v>
      </c>
      <c r="G2250" s="2">
        <f>IFERROR(__xludf.DUMMYFUNCTION("""COMPUTED_VALUE"""),5.0)</f>
        <v>5</v>
      </c>
      <c r="H2250" s="2" t="str">
        <f>IFERROR(__xludf.DUMMYFUNCTION("""COMPUTED_VALUE"""),"Jaun.")</f>
        <v>Jaun.</v>
      </c>
      <c r="I2250" s="2" t="str">
        <f>IFERROR(__xludf.DUMMYFUNCTION("""COMPUTED_VALUE"""),"Masonry")</f>
        <v>Masonry</v>
      </c>
      <c r="J2250" s="2" t="str">
        <f>IFERROR(__xludf.DUMMYFUNCTION("""COMPUTED_VALUE"""),"All amenities")</f>
        <v>All amenities</v>
      </c>
      <c r="K2250" s="2">
        <f>IFERROR(__xludf.DUMMYFUNCTION("""COMPUTED_VALUE"""),830.0)</f>
        <v>830</v>
      </c>
      <c r="L2250" s="2">
        <f>IFERROR(__xludf.DUMMYFUNCTION("""COMPUTED_VALUE"""),56.9730973)</f>
        <v>56.9730973</v>
      </c>
      <c r="M2250" s="2">
        <f>IFERROR(__xludf.DUMMYFUNCTION("""COMPUTED_VALUE"""),24.1660728)</f>
        <v>24.1660728</v>
      </c>
    </row>
    <row r="2251">
      <c r="A2251" s="2" t="str">
        <f>IFERROR(__xludf.DUMMYFUNCTION("""COMPUTED_VALUE"""),"For sale")</f>
        <v>For sale</v>
      </c>
      <c r="B2251" s="2" t="str">
        <f>IFERROR(__xludf.DUMMYFUNCTION("""COMPUTED_VALUE"""),"centrs")</f>
        <v>centrs</v>
      </c>
      <c r="C2251" s="2" t="str">
        <f>IFERROR(__xludf.DUMMYFUNCTION("""COMPUTED_VALUE"""),"Ģertrūdes 99")</f>
        <v>Ģertrūdes 99</v>
      </c>
      <c r="D2251" s="2">
        <f>IFERROR(__xludf.DUMMYFUNCTION("""COMPUTED_VALUE"""),3.0)</f>
        <v>3</v>
      </c>
      <c r="E2251" s="2">
        <f>IFERROR(__xludf.DUMMYFUNCTION("""COMPUTED_VALUE"""),66.0)</f>
        <v>66</v>
      </c>
      <c r="F2251" s="2">
        <f>IFERROR(__xludf.DUMMYFUNCTION("""COMPUTED_VALUE"""),5.0)</f>
        <v>5</v>
      </c>
      <c r="G2251" s="2">
        <f>IFERROR(__xludf.DUMMYFUNCTION("""COMPUTED_VALUE"""),6.0)</f>
        <v>6</v>
      </c>
      <c r="H2251" s="2" t="str">
        <f>IFERROR(__xludf.DUMMYFUNCTION("""COMPUTED_VALUE"""),"P. kara")</f>
        <v>P. kara</v>
      </c>
      <c r="I2251" s="2" t="str">
        <f>IFERROR(__xludf.DUMMYFUNCTION("""COMPUTED_VALUE"""),"Masonry")</f>
        <v>Masonry</v>
      </c>
      <c r="J2251" s="2" t="str">
        <f>IFERROR(__xludf.DUMMYFUNCTION("""COMPUTED_VALUE"""),"All amenities")</f>
        <v>All amenities</v>
      </c>
      <c r="K2251" s="2">
        <f>IFERROR(__xludf.DUMMYFUNCTION("""COMPUTED_VALUE"""),112183.0)</f>
        <v>112183</v>
      </c>
      <c r="L2251" s="2">
        <f>IFERROR(__xludf.DUMMYFUNCTION("""COMPUTED_VALUE"""),56.94999685)</f>
        <v>56.94999685</v>
      </c>
      <c r="M2251" s="2">
        <f>IFERROR(__xludf.DUMMYFUNCTION("""COMPUTED_VALUE"""),24.1364139006283)</f>
        <v>24.1364139</v>
      </c>
    </row>
    <row r="2252">
      <c r="A2252" s="2" t="str">
        <f>IFERROR(__xludf.DUMMYFUNCTION("""COMPUTED_VALUE"""),"For sale")</f>
        <v>For sale</v>
      </c>
      <c r="B2252" s="2" t="str">
        <f>IFERROR(__xludf.DUMMYFUNCTION("""COMPUTED_VALUE"""),"Purvciems")</f>
        <v>Purvciems</v>
      </c>
      <c r="C2252" s="2" t="str">
        <f>IFERROR(__xludf.DUMMYFUNCTION("""COMPUTED_VALUE"""),"Ilūkstes 107")</f>
        <v>Ilūkstes 107</v>
      </c>
      <c r="D2252" s="2">
        <f>IFERROR(__xludf.DUMMYFUNCTION("""COMPUTED_VALUE"""),3.0)</f>
        <v>3</v>
      </c>
      <c r="E2252" s="2">
        <f>IFERROR(__xludf.DUMMYFUNCTION("""COMPUTED_VALUE"""),59.0)</f>
        <v>59</v>
      </c>
      <c r="F2252" s="2">
        <f>IFERROR(__xludf.DUMMYFUNCTION("""COMPUTED_VALUE"""),9.0)</f>
        <v>9</v>
      </c>
      <c r="G2252" s="2">
        <f>IFERROR(__xludf.DUMMYFUNCTION("""COMPUTED_VALUE"""),9.0)</f>
        <v>9</v>
      </c>
      <c r="H2252" s="2">
        <f>IFERROR(__xludf.DUMMYFUNCTION("""COMPUTED_VALUE"""),467.0)</f>
        <v>467</v>
      </c>
      <c r="I2252" s="2" t="str">
        <f>IFERROR(__xludf.DUMMYFUNCTION("""COMPUTED_VALUE"""),"Panel")</f>
        <v>Panel</v>
      </c>
      <c r="J2252" s="2" t="str">
        <f>IFERROR(__xludf.DUMMYFUNCTION("""COMPUTED_VALUE"""),"All amenities")</f>
        <v>All amenities</v>
      </c>
      <c r="K2252" s="2">
        <f>IFERROR(__xludf.DUMMYFUNCTION("""COMPUTED_VALUE"""),57500.0)</f>
        <v>57500</v>
      </c>
      <c r="L2252" s="2">
        <f>IFERROR(__xludf.DUMMYFUNCTION("""COMPUTED_VALUE"""),56.95369015)</f>
        <v>56.95369015</v>
      </c>
      <c r="M2252" s="2">
        <f>IFERROR(__xludf.DUMMYFUNCTION("""COMPUTED_VALUE"""),24.1977413)</f>
        <v>24.1977413</v>
      </c>
    </row>
    <row r="2253">
      <c r="A2253" s="2" t="str">
        <f>IFERROR(__xludf.DUMMYFUNCTION("""COMPUTED_VALUE"""),"For sale")</f>
        <v>For sale</v>
      </c>
      <c r="B2253" s="2" t="str">
        <f>IFERROR(__xludf.DUMMYFUNCTION("""COMPUTED_VALUE"""),"Teika")</f>
        <v>Teika</v>
      </c>
      <c r="C2253" s="2" t="str">
        <f>IFERROR(__xludf.DUMMYFUNCTION("""COMPUTED_VALUE"""),"Pudiķa 24")</f>
        <v>Pudiķa 24</v>
      </c>
      <c r="D2253" s="2">
        <f>IFERROR(__xludf.DUMMYFUNCTION("""COMPUTED_VALUE"""),4.0)</f>
        <v>4</v>
      </c>
      <c r="E2253" s="2">
        <f>IFERROR(__xludf.DUMMYFUNCTION("""COMPUTED_VALUE"""),137.0)</f>
        <v>137</v>
      </c>
      <c r="F2253" s="2">
        <f>IFERROR(__xludf.DUMMYFUNCTION("""COMPUTED_VALUE"""),1.0)</f>
        <v>1</v>
      </c>
      <c r="G2253" s="2">
        <f>IFERROR(__xludf.DUMMYFUNCTION("""COMPUTED_VALUE"""),2.0)</f>
        <v>2</v>
      </c>
      <c r="H2253" s="2" t="str">
        <f>IFERROR(__xludf.DUMMYFUNCTION("""COMPUTED_VALUE"""),"P. kara")</f>
        <v>P. kara</v>
      </c>
      <c r="I2253" s="2" t="str">
        <f>IFERROR(__xludf.DUMMYFUNCTION("""COMPUTED_VALUE"""),"Masonry")</f>
        <v>Masonry</v>
      </c>
      <c r="J2253" s="2" t="str">
        <f>IFERROR(__xludf.DUMMYFUNCTION("""COMPUTED_VALUE"""),"All amenities")</f>
        <v>All amenities</v>
      </c>
      <c r="K2253" s="2">
        <f>IFERROR(__xludf.DUMMYFUNCTION("""COMPUTED_VALUE"""),180000.0)</f>
        <v>180000</v>
      </c>
      <c r="L2253" s="2">
        <f>IFERROR(__xludf.DUMMYFUNCTION("""COMPUTED_VALUE"""),56.97638375)</f>
        <v>56.97638375</v>
      </c>
      <c r="M2253" s="2">
        <f>IFERROR(__xludf.DUMMYFUNCTION("""COMPUTED_VALUE"""),24.1794493475102)</f>
        <v>24.17944935</v>
      </c>
    </row>
    <row r="2254">
      <c r="A2254" s="2" t="str">
        <f>IFERROR(__xludf.DUMMYFUNCTION("""COMPUTED_VALUE"""),"For sale")</f>
        <v>For sale</v>
      </c>
      <c r="B2254" s="2" t="str">
        <f>IFERROR(__xludf.DUMMYFUNCTION("""COMPUTED_VALUE"""),"centrs")</f>
        <v>centrs</v>
      </c>
      <c r="C2254" s="2" t="str">
        <f>IFERROR(__xludf.DUMMYFUNCTION("""COMPUTED_VALUE"""),"Marijas 16")</f>
        <v>Marijas 16</v>
      </c>
      <c r="D2254" s="2">
        <f>IFERROR(__xludf.DUMMYFUNCTION("""COMPUTED_VALUE"""),2.0)</f>
        <v>2</v>
      </c>
      <c r="E2254" s="2">
        <f>IFERROR(__xludf.DUMMYFUNCTION("""COMPUTED_VALUE"""),45.0)</f>
        <v>45</v>
      </c>
      <c r="F2254" s="2">
        <f>IFERROR(__xludf.DUMMYFUNCTION("""COMPUTED_VALUE"""),7.0)</f>
        <v>7</v>
      </c>
      <c r="G2254" s="2">
        <f>IFERROR(__xludf.DUMMYFUNCTION("""COMPUTED_VALUE"""),7.0)</f>
        <v>7</v>
      </c>
      <c r="H2254" s="2" t="str">
        <f>IFERROR(__xludf.DUMMYFUNCTION("""COMPUTED_VALUE"""),"Renov.")</f>
        <v>Renov.</v>
      </c>
      <c r="I2254" s="2" t="str">
        <f>IFERROR(__xludf.DUMMYFUNCTION("""COMPUTED_VALUE"""),"Masonry")</f>
        <v>Masonry</v>
      </c>
      <c r="J2254" s="2" t="str">
        <f>IFERROR(__xludf.DUMMYFUNCTION("""COMPUTED_VALUE"""),"All amenities")</f>
        <v>All amenities</v>
      </c>
      <c r="K2254" s="2">
        <f>IFERROR(__xludf.DUMMYFUNCTION("""COMPUTED_VALUE"""),103730.0)</f>
        <v>103730</v>
      </c>
      <c r="L2254" s="2">
        <f>IFERROR(__xludf.DUMMYFUNCTION("""COMPUTED_VALUE"""),56.9505796)</f>
        <v>56.9505796</v>
      </c>
      <c r="M2254" s="2">
        <f>IFERROR(__xludf.DUMMYFUNCTION("""COMPUTED_VALUE"""),24.1255938)</f>
        <v>24.1255938</v>
      </c>
    </row>
    <row r="2255">
      <c r="A2255" s="2" t="str">
        <f>IFERROR(__xludf.DUMMYFUNCTION("""COMPUTED_VALUE"""),"For sale")</f>
        <v>For sale</v>
      </c>
      <c r="B2255" s="2" t="str">
        <f>IFERROR(__xludf.DUMMYFUNCTION("""COMPUTED_VALUE"""),"centrs")</f>
        <v>centrs</v>
      </c>
      <c r="C2255" s="2" t="str">
        <f>IFERROR(__xludf.DUMMYFUNCTION("""COMPUTED_VALUE"""),"Lāčplēša 13")</f>
        <v>Lāčplēša 13</v>
      </c>
      <c r="D2255" s="2">
        <f>IFERROR(__xludf.DUMMYFUNCTION("""COMPUTED_VALUE"""),3.0)</f>
        <v>3</v>
      </c>
      <c r="E2255" s="2">
        <f>IFERROR(__xludf.DUMMYFUNCTION("""COMPUTED_VALUE"""),83.0)</f>
        <v>83</v>
      </c>
      <c r="F2255" s="2">
        <f>IFERROR(__xludf.DUMMYFUNCTION("""COMPUTED_VALUE"""),2.0)</f>
        <v>2</v>
      </c>
      <c r="G2255" s="2">
        <f>IFERROR(__xludf.DUMMYFUNCTION("""COMPUTED_VALUE"""),6.0)</f>
        <v>6</v>
      </c>
      <c r="H2255" s="2" t="str">
        <f>IFERROR(__xludf.DUMMYFUNCTION("""COMPUTED_VALUE"""),"Renov.")</f>
        <v>Renov.</v>
      </c>
      <c r="I2255" s="2" t="str">
        <f>IFERROR(__xludf.DUMMYFUNCTION("""COMPUTED_VALUE"""),"Masonry")</f>
        <v>Masonry</v>
      </c>
      <c r="J2255" s="2" t="str">
        <f>IFERROR(__xludf.DUMMYFUNCTION("""COMPUTED_VALUE"""),"All amenities")</f>
        <v>All amenities</v>
      </c>
      <c r="K2255" s="2">
        <f>IFERROR(__xludf.DUMMYFUNCTION("""COMPUTED_VALUE"""),198960.0)</f>
        <v>198960</v>
      </c>
      <c r="L2255" s="2">
        <f>IFERROR(__xludf.DUMMYFUNCTION("""COMPUTED_VALUE"""),56.9567777)</f>
        <v>56.9567777</v>
      </c>
      <c r="M2255" s="2">
        <f>IFERROR(__xludf.DUMMYFUNCTION("""COMPUTED_VALUE"""),24.1207762)</f>
        <v>24.1207762</v>
      </c>
    </row>
    <row r="2256">
      <c r="A2256" s="2" t="str">
        <f>IFERROR(__xludf.DUMMYFUNCTION("""COMPUTED_VALUE"""),"For sale")</f>
        <v>For sale</v>
      </c>
      <c r="B2256" s="2" t="str">
        <f>IFERROR(__xludf.DUMMYFUNCTION("""COMPUTED_VALUE"""),"centrs")</f>
        <v>centrs</v>
      </c>
      <c r="C2256" s="2" t="str">
        <f>IFERROR(__xludf.DUMMYFUNCTION("""COMPUTED_VALUE"""),"Valdemāra 23")</f>
        <v>Valdemāra 23</v>
      </c>
      <c r="D2256" s="2">
        <f>IFERROR(__xludf.DUMMYFUNCTION("""COMPUTED_VALUE"""),5.0)</f>
        <v>5</v>
      </c>
      <c r="E2256" s="2">
        <f>IFERROR(__xludf.DUMMYFUNCTION("""COMPUTED_VALUE"""),164.0)</f>
        <v>164</v>
      </c>
      <c r="F2256" s="2">
        <f>IFERROR(__xludf.DUMMYFUNCTION("""COMPUTED_VALUE"""),4.0)</f>
        <v>4</v>
      </c>
      <c r="G2256" s="2">
        <f>IFERROR(__xludf.DUMMYFUNCTION("""COMPUTED_VALUE"""),6.0)</f>
        <v>6</v>
      </c>
      <c r="H2256" s="2" t="str">
        <f>IFERROR(__xludf.DUMMYFUNCTION("""COMPUTED_VALUE"""),"Renov.")</f>
        <v>Renov.</v>
      </c>
      <c r="I2256" s="2" t="str">
        <f>IFERROR(__xludf.DUMMYFUNCTION("""COMPUTED_VALUE"""),"Masonry")</f>
        <v>Masonry</v>
      </c>
      <c r="J2256" s="2" t="str">
        <f>IFERROR(__xludf.DUMMYFUNCTION("""COMPUTED_VALUE"""),"All amenities")</f>
        <v>All amenities</v>
      </c>
      <c r="K2256" s="2">
        <f>IFERROR(__xludf.DUMMYFUNCTION("""COMPUTED_VALUE"""),495000.0)</f>
        <v>495000</v>
      </c>
      <c r="L2256" s="2">
        <f>IFERROR(__xludf.DUMMYFUNCTION("""COMPUTED_VALUE"""),56.9570587)</f>
        <v>56.9570587</v>
      </c>
      <c r="M2256" s="2">
        <f>IFERROR(__xludf.DUMMYFUNCTION("""COMPUTED_VALUE"""),24.1144353)</f>
        <v>24.1144353</v>
      </c>
    </row>
    <row r="2257">
      <c r="A2257" s="2" t="str">
        <f>IFERROR(__xludf.DUMMYFUNCTION("""COMPUTED_VALUE"""),"For sale")</f>
        <v>For sale</v>
      </c>
      <c r="B2257" s="2" t="str">
        <f>IFERROR(__xludf.DUMMYFUNCTION("""COMPUTED_VALUE"""),"centrs")</f>
        <v>centrs</v>
      </c>
      <c r="C2257" s="2" t="str">
        <f>IFERROR(__xludf.DUMMYFUNCTION("""COMPUTED_VALUE"""),"Jeruzalemes 10")</f>
        <v>Jeruzalemes 10</v>
      </c>
      <c r="D2257" s="2">
        <f>IFERROR(__xludf.DUMMYFUNCTION("""COMPUTED_VALUE"""),3.0)</f>
        <v>3</v>
      </c>
      <c r="E2257" s="2">
        <f>IFERROR(__xludf.DUMMYFUNCTION("""COMPUTED_VALUE"""),109.0)</f>
        <v>109</v>
      </c>
      <c r="F2257" s="2">
        <f>IFERROR(__xludf.DUMMYFUNCTION("""COMPUTED_VALUE"""),6.0)</f>
        <v>6</v>
      </c>
      <c r="G2257" s="2">
        <f>IFERROR(__xludf.DUMMYFUNCTION("""COMPUTED_VALUE"""),6.0)</f>
        <v>6</v>
      </c>
      <c r="H2257" s="2" t="str">
        <f>IFERROR(__xludf.DUMMYFUNCTION("""COMPUTED_VALUE"""),"Jaun.")</f>
        <v>Jaun.</v>
      </c>
      <c r="I2257" s="2" t="str">
        <f>IFERROR(__xludf.DUMMYFUNCTION("""COMPUTED_VALUE"""),"Masonry")</f>
        <v>Masonry</v>
      </c>
      <c r="J2257" s="2" t="str">
        <f>IFERROR(__xludf.DUMMYFUNCTION("""COMPUTED_VALUE"""),"All amenities")</f>
        <v>All amenities</v>
      </c>
      <c r="K2257" s="2">
        <f>IFERROR(__xludf.DUMMYFUNCTION("""COMPUTED_VALUE"""),295000.0)</f>
        <v>295000</v>
      </c>
      <c r="L2257" s="2">
        <f>IFERROR(__xludf.DUMMYFUNCTION("""COMPUTED_VALUE"""),56.9578148)</f>
        <v>56.9578148</v>
      </c>
      <c r="M2257" s="2">
        <f>IFERROR(__xludf.DUMMYFUNCTION("""COMPUTED_VALUE"""),24.1142082)</f>
        <v>24.1142082</v>
      </c>
    </row>
    <row r="2258">
      <c r="A2258" s="2" t="str">
        <f>IFERROR(__xludf.DUMMYFUNCTION("""COMPUTED_VALUE"""),"For sale")</f>
        <v>For sale</v>
      </c>
      <c r="B2258" s="2" t="str">
        <f>IFERROR(__xludf.DUMMYFUNCTION("""COMPUTED_VALUE"""),"Ziepniekkalns")</f>
        <v>Ziepniekkalns</v>
      </c>
      <c r="C2258" s="2" t="str">
        <f>IFERROR(__xludf.DUMMYFUNCTION("""COMPUTED_VALUE"""),"Īslīces 3")</f>
        <v>Īslīces 3</v>
      </c>
      <c r="D2258" s="2">
        <f>IFERROR(__xludf.DUMMYFUNCTION("""COMPUTED_VALUE"""),5.0)</f>
        <v>5</v>
      </c>
      <c r="E2258" s="2">
        <f>IFERROR(__xludf.DUMMYFUNCTION("""COMPUTED_VALUE"""),140.0)</f>
        <v>140</v>
      </c>
      <c r="F2258" s="2">
        <f>IFERROR(__xludf.DUMMYFUNCTION("""COMPUTED_VALUE"""),3.0)</f>
        <v>3</v>
      </c>
      <c r="G2258" s="2">
        <f>IFERROR(__xludf.DUMMYFUNCTION("""COMPUTED_VALUE"""),9.0)</f>
        <v>9</v>
      </c>
      <c r="H2258" s="2">
        <f>IFERROR(__xludf.DUMMYFUNCTION("""COMPUTED_VALUE"""),119.0)</f>
        <v>119</v>
      </c>
      <c r="I2258" s="2" t="str">
        <f>IFERROR(__xludf.DUMMYFUNCTION("""COMPUTED_VALUE"""),"Panel")</f>
        <v>Panel</v>
      </c>
      <c r="J2258" s="2" t="str">
        <f>IFERROR(__xludf.DUMMYFUNCTION("""COMPUTED_VALUE"""),"All amenities")</f>
        <v>All amenities</v>
      </c>
      <c r="K2258" s="2">
        <f>IFERROR(__xludf.DUMMYFUNCTION("""COMPUTED_VALUE"""),105000.0)</f>
        <v>105000</v>
      </c>
      <c r="L2258" s="2">
        <f>IFERROR(__xludf.DUMMYFUNCTION("""COMPUTED_VALUE"""),56.9004074)</f>
        <v>56.9004074</v>
      </c>
      <c r="M2258" s="2">
        <f>IFERROR(__xludf.DUMMYFUNCTION("""COMPUTED_VALUE"""),24.0837422885217)</f>
        <v>24.08374229</v>
      </c>
    </row>
    <row r="2259">
      <c r="A2259" s="2" t="str">
        <f>IFERROR(__xludf.DUMMYFUNCTION("""COMPUTED_VALUE"""),"For sale")</f>
        <v>For sale</v>
      </c>
      <c r="B2259" s="2" t="str">
        <f>IFERROR(__xludf.DUMMYFUNCTION("""COMPUTED_VALUE"""),"Zolitūde")</f>
        <v>Zolitūde</v>
      </c>
      <c r="C2259" s="2" t="str">
        <f>IFERROR(__xludf.DUMMYFUNCTION("""COMPUTED_VALUE"""),"Bieziņa 12")</f>
        <v>Bieziņa 12</v>
      </c>
      <c r="D2259" s="2">
        <f>IFERROR(__xludf.DUMMYFUNCTION("""COMPUTED_VALUE"""),3.0)</f>
        <v>3</v>
      </c>
      <c r="E2259" s="2">
        <f>IFERROR(__xludf.DUMMYFUNCTION("""COMPUTED_VALUE"""),75.0)</f>
        <v>75</v>
      </c>
      <c r="F2259" s="2">
        <f>IFERROR(__xludf.DUMMYFUNCTION("""COMPUTED_VALUE"""),3.0)</f>
        <v>3</v>
      </c>
      <c r="G2259" s="2">
        <f>IFERROR(__xludf.DUMMYFUNCTION("""COMPUTED_VALUE"""),10.0)</f>
        <v>10</v>
      </c>
      <c r="H2259" s="2">
        <f>IFERROR(__xludf.DUMMYFUNCTION("""COMPUTED_VALUE"""),119.0)</f>
        <v>119</v>
      </c>
      <c r="I2259" s="2" t="str">
        <f>IFERROR(__xludf.DUMMYFUNCTION("""COMPUTED_VALUE"""),"Panel")</f>
        <v>Panel</v>
      </c>
      <c r="J2259" s="2" t="str">
        <f>IFERROR(__xludf.DUMMYFUNCTION("""COMPUTED_VALUE"""),"All amenities")</f>
        <v>All amenities</v>
      </c>
      <c r="K2259" s="2">
        <f>IFERROR(__xludf.DUMMYFUNCTION("""COMPUTED_VALUE"""),90000.0)</f>
        <v>90000</v>
      </c>
      <c r="L2259" s="2">
        <f>IFERROR(__xludf.DUMMYFUNCTION("""COMPUTED_VALUE"""),56.9455284)</f>
        <v>56.9455284</v>
      </c>
      <c r="M2259" s="2">
        <f>IFERROR(__xludf.DUMMYFUNCTION("""COMPUTED_VALUE"""),24.0242265674852)</f>
        <v>24.02422657</v>
      </c>
    </row>
    <row r="2260">
      <c r="A2260" s="2" t="str">
        <f>IFERROR(__xludf.DUMMYFUNCTION("""COMPUTED_VALUE"""),"For sale")</f>
        <v>For sale</v>
      </c>
      <c r="B2260" s="2" t="str">
        <f>IFERROR(__xludf.DUMMYFUNCTION("""COMPUTED_VALUE"""),"Ķengarags")</f>
        <v>Ķengarags</v>
      </c>
      <c r="C2260" s="2" t="str">
        <f>IFERROR(__xludf.DUMMYFUNCTION("""COMPUTED_VALUE"""),"Maskavas 315")</f>
        <v>Maskavas 315</v>
      </c>
      <c r="D2260" s="2">
        <f>IFERROR(__xludf.DUMMYFUNCTION("""COMPUTED_VALUE"""),1.0)</f>
        <v>1</v>
      </c>
      <c r="E2260" s="2">
        <f>IFERROR(__xludf.DUMMYFUNCTION("""COMPUTED_VALUE"""),32.0)</f>
        <v>32</v>
      </c>
      <c r="F2260" s="2">
        <f>IFERROR(__xludf.DUMMYFUNCTION("""COMPUTED_VALUE"""),3.0)</f>
        <v>3</v>
      </c>
      <c r="G2260" s="2">
        <f>IFERROR(__xludf.DUMMYFUNCTION("""COMPUTED_VALUE"""),12.0)</f>
        <v>12</v>
      </c>
      <c r="H2260" s="2" t="str">
        <f>IFERROR(__xludf.DUMMYFUNCTION("""COMPUTED_VALUE"""),"Specpr.")</f>
        <v>Specpr.</v>
      </c>
      <c r="I2260" s="2" t="str">
        <f>IFERROR(__xludf.DUMMYFUNCTION("""COMPUTED_VALUE"""),"Brick")</f>
        <v>Brick</v>
      </c>
      <c r="J2260" s="2" t="str">
        <f>IFERROR(__xludf.DUMMYFUNCTION("""COMPUTED_VALUE"""),"All amenities")</f>
        <v>All amenities</v>
      </c>
      <c r="K2260" s="2">
        <f>IFERROR(__xludf.DUMMYFUNCTION("""COMPUTED_VALUE"""),29500.0)</f>
        <v>29500</v>
      </c>
      <c r="L2260" s="2">
        <f>IFERROR(__xludf.DUMMYFUNCTION("""COMPUTED_VALUE"""),56.8597884)</f>
        <v>56.8597884</v>
      </c>
      <c r="M2260" s="2">
        <f>IFERROR(__xludf.DUMMYFUNCTION("""COMPUTED_VALUE"""),24.3083417)</f>
        <v>24.3083417</v>
      </c>
    </row>
    <row r="2261">
      <c r="A2261" s="2" t="str">
        <f>IFERROR(__xludf.DUMMYFUNCTION("""COMPUTED_VALUE"""),"For sale")</f>
        <v>For sale</v>
      </c>
      <c r="B2261" s="2" t="str">
        <f>IFERROR(__xludf.DUMMYFUNCTION("""COMPUTED_VALUE"""),"Imanta")</f>
        <v>Imanta</v>
      </c>
      <c r="C2261" s="2" t="str">
        <f>IFERROR(__xludf.DUMMYFUNCTION("""COMPUTED_VALUE"""),"Kurzemes pr. 40")</f>
        <v>Kurzemes pr. 40</v>
      </c>
      <c r="D2261" s="2">
        <f>IFERROR(__xludf.DUMMYFUNCTION("""COMPUTED_VALUE"""),2.0)</f>
        <v>2</v>
      </c>
      <c r="E2261" s="2">
        <f>IFERROR(__xludf.DUMMYFUNCTION("""COMPUTED_VALUE"""),50.0)</f>
        <v>50</v>
      </c>
      <c r="F2261" s="2">
        <f>IFERROR(__xludf.DUMMYFUNCTION("""COMPUTED_VALUE"""),1.0)</f>
        <v>1</v>
      </c>
      <c r="G2261" s="2">
        <f>IFERROR(__xludf.DUMMYFUNCTION("""COMPUTED_VALUE"""),5.0)</f>
        <v>5</v>
      </c>
      <c r="H2261" s="2" t="str">
        <f>IFERROR(__xludf.DUMMYFUNCTION("""COMPUTED_VALUE"""),"LT proj.")</f>
        <v>LT proj.</v>
      </c>
      <c r="I2261" s="2" t="str">
        <f>IFERROR(__xludf.DUMMYFUNCTION("""COMPUTED_VALUE"""),"Panel-Brick")</f>
        <v>Panel-Brick</v>
      </c>
      <c r="J2261" s="2" t="str">
        <f>IFERROR(__xludf.DUMMYFUNCTION("""COMPUTED_VALUE"""),"All amenities")</f>
        <v>All amenities</v>
      </c>
      <c r="K2261" s="2">
        <f>IFERROR(__xludf.DUMMYFUNCTION("""COMPUTED_VALUE"""),45500.0)</f>
        <v>45500</v>
      </c>
      <c r="L2261" s="2" t="str">
        <f>IFERROR(__xludf.DUMMYFUNCTION("""COMPUTED_VALUE"""),"NaN")</f>
        <v>NaN</v>
      </c>
      <c r="M2261" s="2" t="str">
        <f>IFERROR(__xludf.DUMMYFUNCTION("""COMPUTED_VALUE"""),"NaN")</f>
        <v>NaN</v>
      </c>
    </row>
    <row r="2262">
      <c r="A2262" s="2" t="str">
        <f>IFERROR(__xludf.DUMMYFUNCTION("""COMPUTED_VALUE"""),"For sale")</f>
        <v>For sale</v>
      </c>
      <c r="B2262" s="2" t="str">
        <f>IFERROR(__xludf.DUMMYFUNCTION("""COMPUTED_VALUE"""),"Jaunciems")</f>
        <v>Jaunciems</v>
      </c>
      <c r="C2262" s="2" t="str">
        <f>IFERROR(__xludf.DUMMYFUNCTION("""COMPUTED_VALUE"""),"Jaunciema g. 182")</f>
        <v>Jaunciema g. 182</v>
      </c>
      <c r="D2262" s="2">
        <f>IFERROR(__xludf.DUMMYFUNCTION("""COMPUTED_VALUE"""),2.0)</f>
        <v>2</v>
      </c>
      <c r="E2262" s="2">
        <f>IFERROR(__xludf.DUMMYFUNCTION("""COMPUTED_VALUE"""),40.0)</f>
        <v>40</v>
      </c>
      <c r="F2262" s="2">
        <f>IFERROR(__xludf.DUMMYFUNCTION("""COMPUTED_VALUE"""),5.0)</f>
        <v>5</v>
      </c>
      <c r="G2262" s="2">
        <f>IFERROR(__xludf.DUMMYFUNCTION("""COMPUTED_VALUE"""),5.0)</f>
        <v>5</v>
      </c>
      <c r="H2262" s="2" t="str">
        <f>IFERROR(__xludf.DUMMYFUNCTION("""COMPUTED_VALUE"""),"Hrušč.")</f>
        <v>Hrušč.</v>
      </c>
      <c r="I2262" s="2" t="str">
        <f>IFERROR(__xludf.DUMMYFUNCTION("""COMPUTED_VALUE"""),"Masonry")</f>
        <v>Masonry</v>
      </c>
      <c r="J2262" s="2" t="str">
        <f>IFERROR(__xludf.DUMMYFUNCTION("""COMPUTED_VALUE"""),"All amenities")</f>
        <v>All amenities</v>
      </c>
      <c r="K2262" s="2">
        <f>IFERROR(__xludf.DUMMYFUNCTION("""COMPUTED_VALUE"""),42000.0)</f>
        <v>42000</v>
      </c>
      <c r="L2262" s="2">
        <f>IFERROR(__xludf.DUMMYFUNCTION("""COMPUTED_VALUE"""),57.034118)</f>
        <v>57.034118</v>
      </c>
      <c r="M2262" s="2">
        <f>IFERROR(__xludf.DUMMYFUNCTION("""COMPUTED_VALUE"""),24.1267927)</f>
        <v>24.1267927</v>
      </c>
    </row>
    <row r="2263">
      <c r="A2263" s="2" t="str">
        <f>IFERROR(__xludf.DUMMYFUNCTION("""COMPUTED_VALUE"""),"For sale")</f>
        <v>For sale</v>
      </c>
      <c r="B2263" s="2" t="str">
        <f>IFERROR(__xludf.DUMMYFUNCTION("""COMPUTED_VALUE"""),"centrs")</f>
        <v>centrs</v>
      </c>
      <c r="C2263" s="2" t="str">
        <f>IFERROR(__xludf.DUMMYFUNCTION("""COMPUTED_VALUE"""),"Miera 91")</f>
        <v>Miera 91</v>
      </c>
      <c r="D2263" s="2">
        <f>IFERROR(__xludf.DUMMYFUNCTION("""COMPUTED_VALUE"""),1.0)</f>
        <v>1</v>
      </c>
      <c r="E2263" s="2">
        <f>IFERROR(__xludf.DUMMYFUNCTION("""COMPUTED_VALUE"""),85.0)</f>
        <v>85</v>
      </c>
      <c r="F2263" s="2">
        <f>IFERROR(__xludf.DUMMYFUNCTION("""COMPUTED_VALUE"""),7.0)</f>
        <v>7</v>
      </c>
      <c r="G2263" s="2">
        <f>IFERROR(__xludf.DUMMYFUNCTION("""COMPUTED_VALUE"""),7.0)</f>
        <v>7</v>
      </c>
      <c r="H2263" s="2" t="str">
        <f>IFERROR(__xludf.DUMMYFUNCTION("""COMPUTED_VALUE"""),"P. kara")</f>
        <v>P. kara</v>
      </c>
      <c r="I2263" s="2" t="str">
        <f>IFERROR(__xludf.DUMMYFUNCTION("""COMPUTED_VALUE"""),"Masonry")</f>
        <v>Masonry</v>
      </c>
      <c r="J2263" s="2" t="str">
        <f>IFERROR(__xludf.DUMMYFUNCTION("""COMPUTED_VALUE"""),"All amenities")</f>
        <v>All amenities</v>
      </c>
      <c r="K2263" s="2">
        <f>IFERROR(__xludf.DUMMYFUNCTION("""COMPUTED_VALUE"""),125000.0)</f>
        <v>125000</v>
      </c>
      <c r="L2263" s="2">
        <f>IFERROR(__xludf.DUMMYFUNCTION("""COMPUTED_VALUE"""),56.9730971)</f>
        <v>56.9730971</v>
      </c>
      <c r="M2263" s="2">
        <f>IFERROR(__xludf.DUMMYFUNCTION("""COMPUTED_VALUE"""),24.1414532)</f>
        <v>24.1414532</v>
      </c>
    </row>
    <row r="2264">
      <c r="A2264" s="2" t="str">
        <f>IFERROR(__xludf.DUMMYFUNCTION("""COMPUTED_VALUE"""),"For sale")</f>
        <v>For sale</v>
      </c>
      <c r="B2264" s="2" t="str">
        <f>IFERROR(__xludf.DUMMYFUNCTION("""COMPUTED_VALUE"""),"Imanta")</f>
        <v>Imanta</v>
      </c>
      <c r="C2264" s="2" t="str">
        <f>IFERROR(__xludf.DUMMYFUNCTION("""COMPUTED_VALUE"""),"Slokas 173")</f>
        <v>Slokas 173</v>
      </c>
      <c r="D2264" s="2">
        <f>IFERROR(__xludf.DUMMYFUNCTION("""COMPUTED_VALUE"""),3.0)</f>
        <v>3</v>
      </c>
      <c r="E2264" s="2">
        <f>IFERROR(__xludf.DUMMYFUNCTION("""COMPUTED_VALUE"""),54.0)</f>
        <v>54</v>
      </c>
      <c r="F2264" s="2">
        <f>IFERROR(__xludf.DUMMYFUNCTION("""COMPUTED_VALUE"""),5.0)</f>
        <v>5</v>
      </c>
      <c r="G2264" s="2">
        <f>IFERROR(__xludf.DUMMYFUNCTION("""COMPUTED_VALUE"""),1.0)</f>
        <v>1</v>
      </c>
      <c r="H2264" s="2" t="str">
        <f>IFERROR(__xludf.DUMMYFUNCTION("""COMPUTED_VALUE"""),"LT proj.")</f>
        <v>LT proj.</v>
      </c>
      <c r="I2264" s="2" t="str">
        <f>IFERROR(__xludf.DUMMYFUNCTION("""COMPUTED_VALUE"""),"Panel")</f>
        <v>Panel</v>
      </c>
      <c r="J2264" s="2" t="str">
        <f>IFERROR(__xludf.DUMMYFUNCTION("""COMPUTED_VALUE"""),"All amenities")</f>
        <v>All amenities</v>
      </c>
      <c r="K2264" s="2">
        <f>IFERROR(__xludf.DUMMYFUNCTION("""COMPUTED_VALUE"""),68800.0)</f>
        <v>68800</v>
      </c>
      <c r="L2264" s="2">
        <f>IFERROR(__xludf.DUMMYFUNCTION("""COMPUTED_VALUE"""),56.9605352)</f>
        <v>56.9605352</v>
      </c>
      <c r="M2264" s="2">
        <f>IFERROR(__xludf.DUMMYFUNCTION("""COMPUTED_VALUE"""),24.0273179999999)</f>
        <v>24.027318</v>
      </c>
    </row>
    <row r="2265">
      <c r="A2265" s="2" t="str">
        <f>IFERROR(__xludf.DUMMYFUNCTION("""COMPUTED_VALUE"""),"For sale")</f>
        <v>For sale</v>
      </c>
      <c r="B2265" s="2" t="str">
        <f>IFERROR(__xludf.DUMMYFUNCTION("""COMPUTED_VALUE"""),"Ziepniekkalns")</f>
        <v>Ziepniekkalns</v>
      </c>
      <c r="C2265" s="2" t="str">
        <f>IFERROR(__xludf.DUMMYFUNCTION("""COMPUTED_VALUE"""),"Zaļenieku 40")</f>
        <v>Zaļenieku 40</v>
      </c>
      <c r="D2265" s="2">
        <f>IFERROR(__xludf.DUMMYFUNCTION("""COMPUTED_VALUE"""),1.0)</f>
        <v>1</v>
      </c>
      <c r="E2265" s="2">
        <f>IFERROR(__xludf.DUMMYFUNCTION("""COMPUTED_VALUE"""),13.0)</f>
        <v>13</v>
      </c>
      <c r="F2265" s="2">
        <f>IFERROR(__xludf.DUMMYFUNCTION("""COMPUTED_VALUE"""),5.0)</f>
        <v>5</v>
      </c>
      <c r="G2265" s="2">
        <f>IFERROR(__xludf.DUMMYFUNCTION("""COMPUTED_VALUE"""),5.0)</f>
        <v>5</v>
      </c>
      <c r="H2265" s="2" t="str">
        <f>IFERROR(__xludf.DUMMYFUNCTION("""COMPUTED_VALUE"""),"Hrušč.")</f>
        <v>Hrušč.</v>
      </c>
      <c r="I2265" s="2" t="str">
        <f>IFERROR(__xludf.DUMMYFUNCTION("""COMPUTED_VALUE"""),"Masonry")</f>
        <v>Masonry</v>
      </c>
      <c r="J2265" s="2" t="str">
        <f>IFERROR(__xludf.DUMMYFUNCTION("""COMPUTED_VALUE"""),"All amenities")</f>
        <v>All amenities</v>
      </c>
      <c r="K2265" s="2">
        <f>IFERROR(__xludf.DUMMYFUNCTION("""COMPUTED_VALUE"""),6800.0)</f>
        <v>6800</v>
      </c>
      <c r="L2265" s="2">
        <f>IFERROR(__xludf.DUMMYFUNCTION("""COMPUTED_VALUE"""),56.9050603999999)</f>
        <v>56.9050604</v>
      </c>
      <c r="M2265" s="2">
        <f>IFERROR(__xludf.DUMMYFUNCTION("""COMPUTED_VALUE"""),24.1005756548797)</f>
        <v>24.10057565</v>
      </c>
    </row>
    <row r="2266">
      <c r="A2266" s="2" t="str">
        <f>IFERROR(__xludf.DUMMYFUNCTION("""COMPUTED_VALUE"""),"For sale")</f>
        <v>For sale</v>
      </c>
      <c r="B2266" s="2" t="str">
        <f>IFERROR(__xludf.DUMMYFUNCTION("""COMPUTED_VALUE"""),"Mežciems")</f>
        <v>Mežciems</v>
      </c>
      <c r="C2266" s="2" t="str">
        <f>IFERROR(__xludf.DUMMYFUNCTION("""COMPUTED_VALUE"""),"Gaiļezera 4")</f>
        <v>Gaiļezera 4</v>
      </c>
      <c r="D2266" s="2">
        <f>IFERROR(__xludf.DUMMYFUNCTION("""COMPUTED_VALUE"""),3.0)</f>
        <v>3</v>
      </c>
      <c r="E2266" s="2">
        <f>IFERROR(__xludf.DUMMYFUNCTION("""COMPUTED_VALUE"""),64.0)</f>
        <v>64</v>
      </c>
      <c r="F2266" s="2">
        <f>IFERROR(__xludf.DUMMYFUNCTION("""COMPUTED_VALUE"""),4.0)</f>
        <v>4</v>
      </c>
      <c r="G2266" s="2">
        <f>IFERROR(__xludf.DUMMYFUNCTION("""COMPUTED_VALUE"""),9.0)</f>
        <v>9</v>
      </c>
      <c r="H2266" s="2">
        <f>IFERROR(__xludf.DUMMYFUNCTION("""COMPUTED_VALUE"""),602.0)</f>
        <v>602</v>
      </c>
      <c r="I2266" s="2" t="str">
        <f>IFERROR(__xludf.DUMMYFUNCTION("""COMPUTED_VALUE"""),"Panel")</f>
        <v>Panel</v>
      </c>
      <c r="J2266" s="2" t="str">
        <f>IFERROR(__xludf.DUMMYFUNCTION("""COMPUTED_VALUE"""),"All amenities")</f>
        <v>All amenities</v>
      </c>
      <c r="K2266" s="2">
        <f>IFERROR(__xludf.DUMMYFUNCTION("""COMPUTED_VALUE"""),55000.0)</f>
        <v>55000</v>
      </c>
      <c r="L2266" s="2">
        <f>IFERROR(__xludf.DUMMYFUNCTION("""COMPUTED_VALUE"""),56.967948)</f>
        <v>56.967948</v>
      </c>
      <c r="M2266" s="2">
        <f>IFERROR(__xludf.DUMMYFUNCTION("""COMPUTED_VALUE"""),24.2351586311777)</f>
        <v>24.23515863</v>
      </c>
    </row>
    <row r="2267">
      <c r="A2267" s="2" t="str">
        <f>IFERROR(__xludf.DUMMYFUNCTION("""COMPUTED_VALUE"""),"For sale")</f>
        <v>For sale</v>
      </c>
      <c r="B2267" s="2" t="str">
        <f>IFERROR(__xludf.DUMMYFUNCTION("""COMPUTED_VALUE"""),"Mežciems")</f>
        <v>Mežciems</v>
      </c>
      <c r="C2267" s="2" t="str">
        <f>IFERROR(__xludf.DUMMYFUNCTION("""COMPUTED_VALUE"""),"Eizenšteina 53")</f>
        <v>Eizenšteina 53</v>
      </c>
      <c r="D2267" s="2">
        <f>IFERROR(__xludf.DUMMYFUNCTION("""COMPUTED_VALUE"""),4.0)</f>
        <v>4</v>
      </c>
      <c r="E2267" s="2">
        <f>IFERROR(__xludf.DUMMYFUNCTION("""COMPUTED_VALUE"""),78.0)</f>
        <v>78</v>
      </c>
      <c r="F2267" s="2">
        <f>IFERROR(__xludf.DUMMYFUNCTION("""COMPUTED_VALUE"""),9.0)</f>
        <v>9</v>
      </c>
      <c r="G2267" s="2">
        <f>IFERROR(__xludf.DUMMYFUNCTION("""COMPUTED_VALUE"""),2.0)</f>
        <v>2</v>
      </c>
      <c r="H2267" s="2">
        <f>IFERROR(__xludf.DUMMYFUNCTION("""COMPUTED_VALUE"""),602.0)</f>
        <v>602</v>
      </c>
      <c r="I2267" s="2" t="str">
        <f>IFERROR(__xludf.DUMMYFUNCTION("""COMPUTED_VALUE"""),"Panel")</f>
        <v>Panel</v>
      </c>
      <c r="J2267" s="2" t="str">
        <f>IFERROR(__xludf.DUMMYFUNCTION("""COMPUTED_VALUE"""),"All amenities")</f>
        <v>All amenities</v>
      </c>
      <c r="K2267" s="2">
        <f>IFERROR(__xludf.DUMMYFUNCTION("""COMPUTED_VALUE"""),83500.0)</f>
        <v>83500</v>
      </c>
      <c r="L2267" s="2">
        <f>IFERROR(__xludf.DUMMYFUNCTION("""COMPUTED_VALUE"""),56.9640876)</f>
        <v>56.9640876</v>
      </c>
      <c r="M2267" s="2">
        <f>IFERROR(__xludf.DUMMYFUNCTION("""COMPUTED_VALUE"""),24.2352214)</f>
        <v>24.2352214</v>
      </c>
    </row>
    <row r="2268">
      <c r="A2268" s="2" t="str">
        <f>IFERROR(__xludf.DUMMYFUNCTION("""COMPUTED_VALUE"""),"For sale")</f>
        <v>For sale</v>
      </c>
      <c r="B2268" s="2" t="str">
        <f>IFERROR(__xludf.DUMMYFUNCTION("""COMPUTED_VALUE"""),"Ziepniekkalns")</f>
        <v>Ziepniekkalns</v>
      </c>
      <c r="C2268" s="2" t="str">
        <f>IFERROR(__xludf.DUMMYFUNCTION("""COMPUTED_VALUE"""),"Liesmas 4")</f>
        <v>Liesmas 4</v>
      </c>
      <c r="D2268" s="2">
        <f>IFERROR(__xludf.DUMMYFUNCTION("""COMPUTED_VALUE"""),2.0)</f>
        <v>2</v>
      </c>
      <c r="E2268" s="2">
        <f>IFERROR(__xludf.DUMMYFUNCTION("""COMPUTED_VALUE"""),62.0)</f>
        <v>62</v>
      </c>
      <c r="F2268" s="2">
        <f>IFERROR(__xludf.DUMMYFUNCTION("""COMPUTED_VALUE"""),1.0)</f>
        <v>1</v>
      </c>
      <c r="G2268" s="2">
        <f>IFERROR(__xludf.DUMMYFUNCTION("""COMPUTED_VALUE"""),5.0)</f>
        <v>5</v>
      </c>
      <c r="H2268" s="2" t="str">
        <f>IFERROR(__xludf.DUMMYFUNCTION("""COMPUTED_VALUE"""),"Jaun.")</f>
        <v>Jaun.</v>
      </c>
      <c r="I2268" s="2" t="str">
        <f>IFERROR(__xludf.DUMMYFUNCTION("""COMPUTED_VALUE"""),"Panel")</f>
        <v>Panel</v>
      </c>
      <c r="J2268" s="2" t="str">
        <f>IFERROR(__xludf.DUMMYFUNCTION("""COMPUTED_VALUE"""),"All amenities")</f>
        <v>All amenities</v>
      </c>
      <c r="K2268" s="2">
        <f>IFERROR(__xludf.DUMMYFUNCTION("""COMPUTED_VALUE"""),91900.0)</f>
        <v>91900</v>
      </c>
      <c r="L2268" s="2">
        <f>IFERROR(__xludf.DUMMYFUNCTION("""COMPUTED_VALUE"""),56.8970109)</f>
        <v>56.8970109</v>
      </c>
      <c r="M2268" s="2">
        <f>IFERROR(__xludf.DUMMYFUNCTION("""COMPUTED_VALUE"""),24.0874323724137)</f>
        <v>24.08743237</v>
      </c>
    </row>
    <row r="2269">
      <c r="A2269" s="2" t="str">
        <f>IFERROR(__xludf.DUMMYFUNCTION("""COMPUTED_VALUE"""),"For sale")</f>
        <v>For sale</v>
      </c>
      <c r="B2269" s="2" t="str">
        <f>IFERROR(__xludf.DUMMYFUNCTION("""COMPUTED_VALUE"""),"Pļavnieki")</f>
        <v>Pļavnieki</v>
      </c>
      <c r="C2269" s="2" t="str">
        <f>IFERROR(__xludf.DUMMYFUNCTION("""COMPUTED_VALUE"""),"Ulbrokas 6")</f>
        <v>Ulbrokas 6</v>
      </c>
      <c r="D2269" s="2">
        <f>IFERROR(__xludf.DUMMYFUNCTION("""COMPUTED_VALUE"""),1.0)</f>
        <v>1</v>
      </c>
      <c r="E2269" s="2">
        <f>IFERROR(__xludf.DUMMYFUNCTION("""COMPUTED_VALUE"""),39.0)</f>
        <v>39</v>
      </c>
      <c r="F2269" s="2">
        <f>IFERROR(__xludf.DUMMYFUNCTION("""COMPUTED_VALUE"""),5.0)</f>
        <v>5</v>
      </c>
      <c r="G2269" s="2">
        <f>IFERROR(__xludf.DUMMYFUNCTION("""COMPUTED_VALUE"""),5.0)</f>
        <v>5</v>
      </c>
      <c r="H2269" s="2" t="str">
        <f>IFERROR(__xludf.DUMMYFUNCTION("""COMPUTED_VALUE"""),"M. ģim.")</f>
        <v>M. ģim.</v>
      </c>
      <c r="I2269" s="2" t="str">
        <f>IFERROR(__xludf.DUMMYFUNCTION("""COMPUTED_VALUE"""),"Brick-Panel")</f>
        <v>Brick-Panel</v>
      </c>
      <c r="J2269" s="2" t="str">
        <f>IFERROR(__xludf.DUMMYFUNCTION("""COMPUTED_VALUE"""),"All amenities")</f>
        <v>All amenities</v>
      </c>
      <c r="K2269" s="2">
        <f>IFERROR(__xludf.DUMMYFUNCTION("""COMPUTED_VALUE"""),33000.0)</f>
        <v>33000</v>
      </c>
      <c r="L2269" s="2">
        <f>IFERROR(__xludf.DUMMYFUNCTION("""COMPUTED_VALUE"""),56.94071245)</f>
        <v>56.94071245</v>
      </c>
      <c r="M2269" s="2">
        <f>IFERROR(__xludf.DUMMYFUNCTION("""COMPUTED_VALUE"""),24.2172181907848)</f>
        <v>24.21721819</v>
      </c>
    </row>
    <row r="2270">
      <c r="A2270" s="2" t="str">
        <f>IFERROR(__xludf.DUMMYFUNCTION("""COMPUTED_VALUE"""),"For sale")</f>
        <v>For sale</v>
      </c>
      <c r="B2270" s="2" t="str">
        <f>IFERROR(__xludf.DUMMYFUNCTION("""COMPUTED_VALUE"""),"centrs")</f>
        <v>centrs</v>
      </c>
      <c r="C2270" s="2" t="str">
        <f>IFERROR(__xludf.DUMMYFUNCTION("""COMPUTED_VALUE"""),"Blaumaņa 12")</f>
        <v>Blaumaņa 12</v>
      </c>
      <c r="D2270" s="2">
        <f>IFERROR(__xludf.DUMMYFUNCTION("""COMPUTED_VALUE"""),3.0)</f>
        <v>3</v>
      </c>
      <c r="E2270" s="2">
        <f>IFERROR(__xludf.DUMMYFUNCTION("""COMPUTED_VALUE"""),64.0)</f>
        <v>64</v>
      </c>
      <c r="F2270" s="2">
        <f>IFERROR(__xludf.DUMMYFUNCTION("""COMPUTED_VALUE"""),4.0)</f>
        <v>4</v>
      </c>
      <c r="G2270" s="2">
        <f>IFERROR(__xludf.DUMMYFUNCTION("""COMPUTED_VALUE"""),6.0)</f>
        <v>6</v>
      </c>
      <c r="H2270" s="2" t="str">
        <f>IFERROR(__xludf.DUMMYFUNCTION("""COMPUTED_VALUE"""),"Renov.")</f>
        <v>Renov.</v>
      </c>
      <c r="I2270" s="2" t="str">
        <f>IFERROR(__xludf.DUMMYFUNCTION("""COMPUTED_VALUE"""),"Masonry")</f>
        <v>Masonry</v>
      </c>
      <c r="J2270" s="2" t="str">
        <f>IFERROR(__xludf.DUMMYFUNCTION("""COMPUTED_VALUE"""),"All amenities")</f>
        <v>All amenities</v>
      </c>
      <c r="K2270" s="2">
        <f>IFERROR(__xludf.DUMMYFUNCTION("""COMPUTED_VALUE"""),152475.0)</f>
        <v>152475</v>
      </c>
      <c r="L2270" s="2">
        <f>IFERROR(__xludf.DUMMYFUNCTION("""COMPUTED_VALUE"""),56.9548306)</f>
        <v>56.9548306</v>
      </c>
      <c r="M2270" s="2">
        <f>IFERROR(__xludf.DUMMYFUNCTION("""COMPUTED_VALUE"""),24.1221141)</f>
        <v>24.1221141</v>
      </c>
    </row>
    <row r="2271">
      <c r="A2271" s="2" t="str">
        <f>IFERROR(__xludf.DUMMYFUNCTION("""COMPUTED_VALUE"""),"For rent")</f>
        <v>For rent</v>
      </c>
      <c r="B2271" s="2" t="str">
        <f>IFERROR(__xludf.DUMMYFUNCTION("""COMPUTED_VALUE"""),"centrs")</f>
        <v>centrs</v>
      </c>
      <c r="C2271" s="2" t="str">
        <f>IFERROR(__xludf.DUMMYFUNCTION("""COMPUTED_VALUE"""),"Lāčplēša 62")</f>
        <v>Lāčplēša 62</v>
      </c>
      <c r="D2271" s="2">
        <f>IFERROR(__xludf.DUMMYFUNCTION("""COMPUTED_VALUE"""),3.0)</f>
        <v>3</v>
      </c>
      <c r="E2271" s="2">
        <f>IFERROR(__xludf.DUMMYFUNCTION("""COMPUTED_VALUE"""),75.0)</f>
        <v>75</v>
      </c>
      <c r="F2271" s="2">
        <f>IFERROR(__xludf.DUMMYFUNCTION("""COMPUTED_VALUE"""),1.0)</f>
        <v>1</v>
      </c>
      <c r="G2271" s="2">
        <f>IFERROR(__xludf.DUMMYFUNCTION("""COMPUTED_VALUE"""),5.0)</f>
        <v>5</v>
      </c>
      <c r="H2271" s="2" t="str">
        <f>IFERROR(__xludf.DUMMYFUNCTION("""COMPUTED_VALUE"""),"P. kara")</f>
        <v>P. kara</v>
      </c>
      <c r="I2271" s="2" t="str">
        <f>IFERROR(__xludf.DUMMYFUNCTION("""COMPUTED_VALUE"""),"Brick")</f>
        <v>Brick</v>
      </c>
      <c r="J2271" s="2" t="str">
        <f>IFERROR(__xludf.DUMMYFUNCTION("""COMPUTED_VALUE"""),"All amenities")</f>
        <v>All amenities</v>
      </c>
      <c r="K2271" s="2">
        <f>IFERROR(__xludf.DUMMYFUNCTION("""COMPUTED_VALUE"""),700.0)</f>
        <v>700</v>
      </c>
      <c r="L2271" s="2">
        <f>IFERROR(__xludf.DUMMYFUNCTION("""COMPUTED_VALUE"""),56.9510949)</f>
        <v>56.9510949</v>
      </c>
      <c r="M2271" s="2">
        <f>IFERROR(__xludf.DUMMYFUNCTION("""COMPUTED_VALUE"""),24.1313031)</f>
        <v>24.1313031</v>
      </c>
    </row>
    <row r="2272">
      <c r="A2272" s="2" t="str">
        <f>IFERROR(__xludf.DUMMYFUNCTION("""COMPUTED_VALUE"""),"For sale")</f>
        <v>For sale</v>
      </c>
      <c r="B2272" s="2" t="str">
        <f>IFERROR(__xludf.DUMMYFUNCTION("""COMPUTED_VALUE"""),"centrs")</f>
        <v>centrs</v>
      </c>
      <c r="C2272" s="2" t="str">
        <f>IFERROR(__xludf.DUMMYFUNCTION("""COMPUTED_VALUE"""),"Ausekļa 3")</f>
        <v>Ausekļa 3</v>
      </c>
      <c r="D2272" s="2">
        <f>IFERROR(__xludf.DUMMYFUNCTION("""COMPUTED_VALUE"""),3.0)</f>
        <v>3</v>
      </c>
      <c r="E2272" s="2">
        <f>IFERROR(__xludf.DUMMYFUNCTION("""COMPUTED_VALUE"""),73.0)</f>
        <v>73</v>
      </c>
      <c r="F2272" s="2">
        <f>IFERROR(__xludf.DUMMYFUNCTION("""COMPUTED_VALUE"""),1.0)</f>
        <v>1</v>
      </c>
      <c r="G2272" s="2">
        <f>IFERROR(__xludf.DUMMYFUNCTION("""COMPUTED_VALUE"""),5.0)</f>
        <v>5</v>
      </c>
      <c r="H2272" s="2" t="str">
        <f>IFERROR(__xludf.DUMMYFUNCTION("""COMPUTED_VALUE"""),"P. kara")</f>
        <v>P. kara</v>
      </c>
      <c r="I2272" s="2" t="str">
        <f>IFERROR(__xludf.DUMMYFUNCTION("""COMPUTED_VALUE"""),"Brick")</f>
        <v>Brick</v>
      </c>
      <c r="J2272" s="2" t="str">
        <f>IFERROR(__xludf.DUMMYFUNCTION("""COMPUTED_VALUE"""),"All amenities")</f>
        <v>All amenities</v>
      </c>
      <c r="K2272" s="2">
        <f>IFERROR(__xludf.DUMMYFUNCTION("""COMPUTED_VALUE"""),99500.0)</f>
        <v>99500</v>
      </c>
      <c r="L2272" s="2">
        <f>IFERROR(__xludf.DUMMYFUNCTION("""COMPUTED_VALUE"""),56.9600455)</f>
        <v>56.9600455</v>
      </c>
      <c r="M2272" s="2">
        <f>IFERROR(__xludf.DUMMYFUNCTION("""COMPUTED_VALUE"""),24.0997626366536)</f>
        <v>24.09976264</v>
      </c>
    </row>
    <row r="2273">
      <c r="A2273" s="2" t="str">
        <f>IFERROR(__xludf.DUMMYFUNCTION("""COMPUTED_VALUE"""),"For sale")</f>
        <v>For sale</v>
      </c>
      <c r="B2273" s="2" t="str">
        <f>IFERROR(__xludf.DUMMYFUNCTION("""COMPUTED_VALUE"""),"Purvciems")</f>
        <v>Purvciems</v>
      </c>
      <c r="C2273" s="2" t="str">
        <f>IFERROR(__xludf.DUMMYFUNCTION("""COMPUTED_VALUE"""),"Stirnu 1")</f>
        <v>Stirnu 1</v>
      </c>
      <c r="D2273" s="2">
        <f>IFERROR(__xludf.DUMMYFUNCTION("""COMPUTED_VALUE"""),2.0)</f>
        <v>2</v>
      </c>
      <c r="E2273" s="2">
        <f>IFERROR(__xludf.DUMMYFUNCTION("""COMPUTED_VALUE"""),51.1)</f>
        <v>51.1</v>
      </c>
      <c r="F2273" s="2">
        <f>IFERROR(__xludf.DUMMYFUNCTION("""COMPUTED_VALUE"""),1.0)</f>
        <v>1</v>
      </c>
      <c r="G2273" s="2">
        <f>IFERROR(__xludf.DUMMYFUNCTION("""COMPUTED_VALUE"""),9.0)</f>
        <v>9</v>
      </c>
      <c r="H2273" s="2" t="str">
        <f>IFERROR(__xludf.DUMMYFUNCTION("""COMPUTED_VALUE"""),"Jaun.")</f>
        <v>Jaun.</v>
      </c>
      <c r="I2273" s="2" t="str">
        <f>IFERROR(__xludf.DUMMYFUNCTION("""COMPUTED_VALUE"""),"Brick")</f>
        <v>Brick</v>
      </c>
      <c r="J2273" s="2" t="str">
        <f>IFERROR(__xludf.DUMMYFUNCTION("""COMPUTED_VALUE"""),"All amenities")</f>
        <v>All amenities</v>
      </c>
      <c r="K2273" s="2">
        <f>IFERROR(__xludf.DUMMYFUNCTION("""COMPUTED_VALUE"""),68900.0)</f>
        <v>68900</v>
      </c>
      <c r="L2273" s="2">
        <f>IFERROR(__xludf.DUMMYFUNCTION("""COMPUTED_VALUE"""),56.9509836999999)</f>
        <v>56.9509837</v>
      </c>
      <c r="M2273" s="2">
        <f>IFERROR(__xludf.DUMMYFUNCTION("""COMPUTED_VALUE"""),24.1833731423407)</f>
        <v>24.18337314</v>
      </c>
    </row>
    <row r="2274">
      <c r="A2274" s="2" t="str">
        <f>IFERROR(__xludf.DUMMYFUNCTION("""COMPUTED_VALUE"""),"For rent")</f>
        <v>For rent</v>
      </c>
      <c r="B2274" s="2" t="str">
        <f>IFERROR(__xludf.DUMMYFUNCTION("""COMPUTED_VALUE"""),"Pļavnieki")</f>
        <v>Pļavnieki</v>
      </c>
      <c r="C2274" s="2" t="str">
        <f>IFERROR(__xludf.DUMMYFUNCTION("""COMPUTED_VALUE"""),"Ilūkstes 26")</f>
        <v>Ilūkstes 26</v>
      </c>
      <c r="D2274" s="2">
        <f>IFERROR(__xludf.DUMMYFUNCTION("""COMPUTED_VALUE"""),1.0)</f>
        <v>1</v>
      </c>
      <c r="E2274" s="2">
        <f>IFERROR(__xludf.DUMMYFUNCTION("""COMPUTED_VALUE"""),21.0)</f>
        <v>21</v>
      </c>
      <c r="F2274" s="2">
        <f>IFERROR(__xludf.DUMMYFUNCTION("""COMPUTED_VALUE"""),1.0)</f>
        <v>1</v>
      </c>
      <c r="G2274" s="2">
        <f>IFERROR(__xludf.DUMMYFUNCTION("""COMPUTED_VALUE"""),5.0)</f>
        <v>5</v>
      </c>
      <c r="H2274" s="2" t="str">
        <f>IFERROR(__xludf.DUMMYFUNCTION("""COMPUTED_VALUE"""),"M. ģim.")</f>
        <v>M. ģim.</v>
      </c>
      <c r="I2274" s="2" t="str">
        <f>IFERROR(__xludf.DUMMYFUNCTION("""COMPUTED_VALUE"""),"Brick-Panel")</f>
        <v>Brick-Panel</v>
      </c>
      <c r="J2274" s="2" t="str">
        <f>IFERROR(__xludf.DUMMYFUNCTION("""COMPUTED_VALUE"""),"All amenities")</f>
        <v>All amenities</v>
      </c>
      <c r="K2274" s="2">
        <f>IFERROR(__xludf.DUMMYFUNCTION("""COMPUTED_VALUE"""),225.0)</f>
        <v>225</v>
      </c>
      <c r="L2274" s="2">
        <f>IFERROR(__xludf.DUMMYFUNCTION("""COMPUTED_VALUE"""),56.94293985)</f>
        <v>56.94293985</v>
      </c>
      <c r="M2274" s="2">
        <f>IFERROR(__xludf.DUMMYFUNCTION("""COMPUTED_VALUE"""),24.1963394986068)</f>
        <v>24.1963395</v>
      </c>
    </row>
    <row r="2275">
      <c r="A2275" s="2" t="str">
        <f>IFERROR(__xludf.DUMMYFUNCTION("""COMPUTED_VALUE"""),"For sale")</f>
        <v>For sale</v>
      </c>
      <c r="B2275" s="2" t="str">
        <f>IFERROR(__xludf.DUMMYFUNCTION("""COMPUTED_VALUE"""),"Purvciems")</f>
        <v>Purvciems</v>
      </c>
      <c r="C2275" s="2" t="str">
        <f>IFERROR(__xludf.DUMMYFUNCTION("""COMPUTED_VALUE"""),"Stirnu 20a")</f>
        <v>Stirnu 20a</v>
      </c>
      <c r="D2275" s="2">
        <f>IFERROR(__xludf.DUMMYFUNCTION("""COMPUTED_VALUE"""),2.0)</f>
        <v>2</v>
      </c>
      <c r="E2275" s="2">
        <f>IFERROR(__xludf.DUMMYFUNCTION("""COMPUTED_VALUE"""),52.0)</f>
        <v>52</v>
      </c>
      <c r="F2275" s="2">
        <f>IFERROR(__xludf.DUMMYFUNCTION("""COMPUTED_VALUE"""),3.0)</f>
        <v>3</v>
      </c>
      <c r="G2275" s="2">
        <f>IFERROR(__xludf.DUMMYFUNCTION("""COMPUTED_VALUE"""),5.0)</f>
        <v>5</v>
      </c>
      <c r="H2275" s="2" t="str">
        <f>IFERROR(__xludf.DUMMYFUNCTION("""COMPUTED_VALUE"""),"Jaun.")</f>
        <v>Jaun.</v>
      </c>
      <c r="I2275" s="2" t="str">
        <f>IFERROR(__xludf.DUMMYFUNCTION("""COMPUTED_VALUE"""),"Masonry")</f>
        <v>Masonry</v>
      </c>
      <c r="J2275" s="2" t="str">
        <f>IFERROR(__xludf.DUMMYFUNCTION("""COMPUTED_VALUE"""),"All amenities")</f>
        <v>All amenities</v>
      </c>
      <c r="K2275" s="2">
        <f>IFERROR(__xludf.DUMMYFUNCTION("""COMPUTED_VALUE"""),115000.0)</f>
        <v>115000</v>
      </c>
      <c r="L2275" s="2">
        <f>IFERROR(__xludf.DUMMYFUNCTION("""COMPUTED_VALUE"""),56.9650621)</f>
        <v>56.9650621</v>
      </c>
      <c r="M2275" s="2">
        <f>IFERROR(__xludf.DUMMYFUNCTION("""COMPUTED_VALUE"""),24.1952933)</f>
        <v>24.1952933</v>
      </c>
    </row>
    <row r="2276">
      <c r="A2276" s="2" t="str">
        <f>IFERROR(__xludf.DUMMYFUNCTION("""COMPUTED_VALUE"""),"For sale")</f>
        <v>For sale</v>
      </c>
      <c r="B2276" s="2" t="str">
        <f>IFERROR(__xludf.DUMMYFUNCTION("""COMPUTED_VALUE"""),"centrs")</f>
        <v>centrs</v>
      </c>
      <c r="C2276" s="2" t="str">
        <f>IFERROR(__xludf.DUMMYFUNCTION("""COMPUTED_VALUE"""),"Valdemāra 77")</f>
        <v>Valdemāra 77</v>
      </c>
      <c r="D2276" s="2">
        <f>IFERROR(__xludf.DUMMYFUNCTION("""COMPUTED_VALUE"""),2.0)</f>
        <v>2</v>
      </c>
      <c r="E2276" s="2">
        <f>IFERROR(__xludf.DUMMYFUNCTION("""COMPUTED_VALUE"""),56.0)</f>
        <v>56</v>
      </c>
      <c r="F2276" s="2">
        <f>IFERROR(__xludf.DUMMYFUNCTION("""COMPUTED_VALUE"""),5.0)</f>
        <v>5</v>
      </c>
      <c r="G2276" s="2">
        <f>IFERROR(__xludf.DUMMYFUNCTION("""COMPUTED_VALUE"""),6.0)</f>
        <v>6</v>
      </c>
      <c r="H2276" s="2" t="str">
        <f>IFERROR(__xludf.DUMMYFUNCTION("""COMPUTED_VALUE"""),"P. kara")</f>
        <v>P. kara</v>
      </c>
      <c r="I2276" s="2" t="str">
        <f>IFERROR(__xludf.DUMMYFUNCTION("""COMPUTED_VALUE"""),"Brick")</f>
        <v>Brick</v>
      </c>
      <c r="J2276" s="2" t="str">
        <f>IFERROR(__xludf.DUMMYFUNCTION("""COMPUTED_VALUE"""),"All amenities")</f>
        <v>All amenities</v>
      </c>
      <c r="K2276" s="2">
        <f>IFERROR(__xludf.DUMMYFUNCTION("""COMPUTED_VALUE"""),112000.0)</f>
        <v>112000</v>
      </c>
      <c r="L2276" s="2">
        <f>IFERROR(__xludf.DUMMYFUNCTION("""COMPUTED_VALUE"""),56.9626669)</f>
        <v>56.9626669</v>
      </c>
      <c r="M2276" s="2">
        <f>IFERROR(__xludf.DUMMYFUNCTION("""COMPUTED_VALUE"""),24.1240534)</f>
        <v>24.1240534</v>
      </c>
    </row>
    <row r="2277">
      <c r="A2277" s="2" t="str">
        <f>IFERROR(__xludf.DUMMYFUNCTION("""COMPUTED_VALUE"""),"For sale")</f>
        <v>For sale</v>
      </c>
      <c r="B2277" s="2" t="str">
        <f>IFERROR(__xludf.DUMMYFUNCTION("""COMPUTED_VALUE"""),"centrs")</f>
        <v>centrs</v>
      </c>
      <c r="C2277" s="2" t="str">
        <f>IFERROR(__xludf.DUMMYFUNCTION("""COMPUTED_VALUE"""),"Lienes 27")</f>
        <v>Lienes 27</v>
      </c>
      <c r="D2277" s="2">
        <f>IFERROR(__xludf.DUMMYFUNCTION("""COMPUTED_VALUE"""),2.0)</f>
        <v>2</v>
      </c>
      <c r="E2277" s="2">
        <f>IFERROR(__xludf.DUMMYFUNCTION("""COMPUTED_VALUE"""),55.0)</f>
        <v>55</v>
      </c>
      <c r="F2277" s="2">
        <f>IFERROR(__xludf.DUMMYFUNCTION("""COMPUTED_VALUE"""),1.0)</f>
        <v>1</v>
      </c>
      <c r="G2277" s="2">
        <f>IFERROR(__xludf.DUMMYFUNCTION("""COMPUTED_VALUE"""),2.0)</f>
        <v>2</v>
      </c>
      <c r="H2277" s="2" t="str">
        <f>IFERROR(__xludf.DUMMYFUNCTION("""COMPUTED_VALUE"""),"P. kara")</f>
        <v>P. kara</v>
      </c>
      <c r="I2277" s="2" t="str">
        <f>IFERROR(__xludf.DUMMYFUNCTION("""COMPUTED_VALUE"""),"Wood")</f>
        <v>Wood</v>
      </c>
      <c r="J2277" s="2" t="str">
        <f>IFERROR(__xludf.DUMMYFUNCTION("""COMPUTED_VALUE"""),"All amenities")</f>
        <v>All amenities</v>
      </c>
      <c r="K2277" s="2">
        <f>IFERROR(__xludf.DUMMYFUNCTION("""COMPUTED_VALUE"""),32500.0)</f>
        <v>32500</v>
      </c>
      <c r="L2277" s="2">
        <f>IFERROR(__xludf.DUMMYFUNCTION("""COMPUTED_VALUE"""),56.95185735)</f>
        <v>56.95185735</v>
      </c>
      <c r="M2277" s="2">
        <f>IFERROR(__xludf.DUMMYFUNCTION("""COMPUTED_VALUE"""),24.1500680721728)</f>
        <v>24.15006807</v>
      </c>
    </row>
    <row r="2278">
      <c r="A2278" s="2" t="str">
        <f>IFERROR(__xludf.DUMMYFUNCTION("""COMPUTED_VALUE"""),"For sale")</f>
        <v>For sale</v>
      </c>
      <c r="B2278" s="2" t="str">
        <f>IFERROR(__xludf.DUMMYFUNCTION("""COMPUTED_VALUE"""),"Pļavnieki")</f>
        <v>Pļavnieki</v>
      </c>
      <c r="C2278" s="2" t="str">
        <f>IFERROR(__xludf.DUMMYFUNCTION("""COMPUTED_VALUE"""),"Pļavnieku 9")</f>
        <v>Pļavnieku 9</v>
      </c>
      <c r="D2278" s="2">
        <f>IFERROR(__xludf.DUMMYFUNCTION("""COMPUTED_VALUE"""),2.0)</f>
        <v>2</v>
      </c>
      <c r="E2278" s="2">
        <f>IFERROR(__xludf.DUMMYFUNCTION("""COMPUTED_VALUE"""),51.0)</f>
        <v>51</v>
      </c>
      <c r="F2278" s="2">
        <f>IFERROR(__xludf.DUMMYFUNCTION("""COMPUTED_VALUE"""),9.0)</f>
        <v>9</v>
      </c>
      <c r="G2278" s="2">
        <f>IFERROR(__xludf.DUMMYFUNCTION("""COMPUTED_VALUE"""),10.0)</f>
        <v>10</v>
      </c>
      <c r="H2278" s="2" t="str">
        <f>IFERROR(__xludf.DUMMYFUNCTION("""COMPUTED_VALUE"""),"Specpr.")</f>
        <v>Specpr.</v>
      </c>
      <c r="I2278" s="2" t="str">
        <f>IFERROR(__xludf.DUMMYFUNCTION("""COMPUTED_VALUE"""),"Brick-Panel")</f>
        <v>Brick-Panel</v>
      </c>
      <c r="J2278" s="2" t="str">
        <f>IFERROR(__xludf.DUMMYFUNCTION("""COMPUTED_VALUE"""),"All amenities")</f>
        <v>All amenities</v>
      </c>
      <c r="K2278" s="2">
        <f>IFERROR(__xludf.DUMMYFUNCTION("""COMPUTED_VALUE"""),69900.0)</f>
        <v>69900</v>
      </c>
      <c r="L2278" s="2">
        <f>IFERROR(__xludf.DUMMYFUNCTION("""COMPUTED_VALUE"""),56.94203495)</f>
        <v>56.94203495</v>
      </c>
      <c r="M2278" s="2">
        <f>IFERROR(__xludf.DUMMYFUNCTION("""COMPUTED_VALUE"""),24.2127513651119)</f>
        <v>24.21275137</v>
      </c>
    </row>
    <row r="2279">
      <c r="A2279" s="2" t="str">
        <f>IFERROR(__xludf.DUMMYFUNCTION("""COMPUTED_VALUE"""),"For rent")</f>
        <v>For rent</v>
      </c>
      <c r="B2279" s="2" t="str">
        <f>IFERROR(__xludf.DUMMYFUNCTION("""COMPUTED_VALUE"""),"Ziepniekkalns")</f>
        <v>Ziepniekkalns</v>
      </c>
      <c r="C2279" s="2" t="str">
        <f>IFERROR(__xludf.DUMMYFUNCTION("""COMPUTED_VALUE"""),"Ozolciema 12")</f>
        <v>Ozolciema 12</v>
      </c>
      <c r="D2279" s="2">
        <f>IFERROR(__xludf.DUMMYFUNCTION("""COMPUTED_VALUE"""),1.0)</f>
        <v>1</v>
      </c>
      <c r="E2279" s="2">
        <f>IFERROR(__xludf.DUMMYFUNCTION("""COMPUTED_VALUE"""),12.0)</f>
        <v>12</v>
      </c>
      <c r="F2279" s="2">
        <f>IFERROR(__xludf.DUMMYFUNCTION("""COMPUTED_VALUE"""),1.0)</f>
        <v>1</v>
      </c>
      <c r="G2279" s="2">
        <f>IFERROR(__xludf.DUMMYFUNCTION("""COMPUTED_VALUE"""),1.0)</f>
        <v>1</v>
      </c>
      <c r="H2279" s="2">
        <f>IFERROR(__xludf.DUMMYFUNCTION("""COMPUTED_VALUE"""),119.0)</f>
        <v>119</v>
      </c>
      <c r="I2279" s="2" t="str">
        <f>IFERROR(__xludf.DUMMYFUNCTION("""COMPUTED_VALUE"""),"Panel")</f>
        <v>Panel</v>
      </c>
      <c r="J2279" s="2" t="str">
        <f>IFERROR(__xludf.DUMMYFUNCTION("""COMPUTED_VALUE"""),"All amenities")</f>
        <v>All amenities</v>
      </c>
      <c r="K2279" s="2">
        <f>IFERROR(__xludf.DUMMYFUNCTION("""COMPUTED_VALUE"""),150.0)</f>
        <v>150</v>
      </c>
      <c r="L2279" s="2">
        <f>IFERROR(__xludf.DUMMYFUNCTION("""COMPUTED_VALUE"""),56.90028665)</f>
        <v>56.90028665</v>
      </c>
      <c r="M2279" s="2">
        <f>IFERROR(__xludf.DUMMYFUNCTION("""COMPUTED_VALUE"""),24.085078232952)</f>
        <v>24.08507823</v>
      </c>
    </row>
    <row r="2280">
      <c r="A2280" s="2" t="str">
        <f>IFERROR(__xludf.DUMMYFUNCTION("""COMPUTED_VALUE"""),"For sale")</f>
        <v>For sale</v>
      </c>
      <c r="B2280" s="2" t="str">
        <f>IFERROR(__xludf.DUMMYFUNCTION("""COMPUTED_VALUE"""),"Pļavnieki")</f>
        <v>Pļavnieki</v>
      </c>
      <c r="C2280" s="2" t="str">
        <f>IFERROR(__xludf.DUMMYFUNCTION("""COMPUTED_VALUE"""),"Grestes 4")</f>
        <v>Grestes 4</v>
      </c>
      <c r="D2280" s="2">
        <f>IFERROR(__xludf.DUMMYFUNCTION("""COMPUTED_VALUE"""),3.0)</f>
        <v>3</v>
      </c>
      <c r="E2280" s="2">
        <f>IFERROR(__xludf.DUMMYFUNCTION("""COMPUTED_VALUE"""),62.0)</f>
        <v>62</v>
      </c>
      <c r="F2280" s="2">
        <f>IFERROR(__xludf.DUMMYFUNCTION("""COMPUTED_VALUE"""),7.0)</f>
        <v>7</v>
      </c>
      <c r="G2280" s="2">
        <f>IFERROR(__xludf.DUMMYFUNCTION("""COMPUTED_VALUE"""),9.0)</f>
        <v>9</v>
      </c>
      <c r="H2280" s="2">
        <f>IFERROR(__xludf.DUMMYFUNCTION("""COMPUTED_VALUE"""),602.0)</f>
        <v>602</v>
      </c>
      <c r="I2280" s="2" t="str">
        <f>IFERROR(__xludf.DUMMYFUNCTION("""COMPUTED_VALUE"""),"Panel")</f>
        <v>Panel</v>
      </c>
      <c r="J2280" s="2" t="str">
        <f>IFERROR(__xludf.DUMMYFUNCTION("""COMPUTED_VALUE"""),"All amenities")</f>
        <v>All amenities</v>
      </c>
      <c r="K2280" s="2">
        <f>IFERROR(__xludf.DUMMYFUNCTION("""COMPUTED_VALUE"""),59000.0)</f>
        <v>59000</v>
      </c>
      <c r="L2280" s="2">
        <f>IFERROR(__xludf.DUMMYFUNCTION("""COMPUTED_VALUE"""),56.93637855)</f>
        <v>56.93637855</v>
      </c>
      <c r="M2280" s="2">
        <f>IFERROR(__xludf.DUMMYFUNCTION("""COMPUTED_VALUE"""),24.2066307499999)</f>
        <v>24.20663075</v>
      </c>
    </row>
    <row r="2281">
      <c r="A2281" s="2" t="str">
        <f>IFERROR(__xludf.DUMMYFUNCTION("""COMPUTED_VALUE"""),"For sale")</f>
        <v>For sale</v>
      </c>
      <c r="B2281" s="2" t="str">
        <f>IFERROR(__xludf.DUMMYFUNCTION("""COMPUTED_VALUE"""),"Vecmīlgrāvis")</f>
        <v>Vecmīlgrāvis</v>
      </c>
      <c r="C2281" s="2" t="str">
        <f>IFERROR(__xludf.DUMMYFUNCTION("""COMPUTED_VALUE"""),"Rūpnīcas 15")</f>
        <v>Rūpnīcas 15</v>
      </c>
      <c r="D2281" s="2">
        <f>IFERROR(__xludf.DUMMYFUNCTION("""COMPUTED_VALUE"""),2.0)</f>
        <v>2</v>
      </c>
      <c r="E2281" s="2">
        <f>IFERROR(__xludf.DUMMYFUNCTION("""COMPUTED_VALUE"""),35.0)</f>
        <v>35</v>
      </c>
      <c r="F2281" s="2">
        <f>IFERROR(__xludf.DUMMYFUNCTION("""COMPUTED_VALUE"""),1.0)</f>
        <v>1</v>
      </c>
      <c r="G2281" s="2">
        <f>IFERROR(__xludf.DUMMYFUNCTION("""COMPUTED_VALUE"""),2.0)</f>
        <v>2</v>
      </c>
      <c r="H2281" s="2" t="str">
        <f>IFERROR(__xludf.DUMMYFUNCTION("""COMPUTED_VALUE"""),"P. kara")</f>
        <v>P. kara</v>
      </c>
      <c r="I2281" s="2" t="str">
        <f>IFERROR(__xludf.DUMMYFUNCTION("""COMPUTED_VALUE"""),"Wood")</f>
        <v>Wood</v>
      </c>
      <c r="J2281" s="2" t="str">
        <f>IFERROR(__xludf.DUMMYFUNCTION("""COMPUTED_VALUE"""),"Partial amenities")</f>
        <v>Partial amenities</v>
      </c>
      <c r="K2281" s="2">
        <f>IFERROR(__xludf.DUMMYFUNCTION("""COMPUTED_VALUE"""),7490.0)</f>
        <v>7490</v>
      </c>
      <c r="L2281" s="2">
        <f>IFERROR(__xludf.DUMMYFUNCTION("""COMPUTED_VALUE"""),57.031049)</f>
        <v>57.031049</v>
      </c>
      <c r="M2281" s="2">
        <f>IFERROR(__xludf.DUMMYFUNCTION("""COMPUTED_VALUE"""),24.1149882)</f>
        <v>24.1149882</v>
      </c>
    </row>
    <row r="2282">
      <c r="A2282" s="2" t="str">
        <f>IFERROR(__xludf.DUMMYFUNCTION("""COMPUTED_VALUE"""),"For sale")</f>
        <v>For sale</v>
      </c>
      <c r="B2282" s="2" t="str">
        <f>IFERROR(__xludf.DUMMYFUNCTION("""COMPUTED_VALUE"""),"centrs")</f>
        <v>centrs</v>
      </c>
      <c r="C2282" s="2" t="str">
        <f>IFERROR(__xludf.DUMMYFUNCTION("""COMPUTED_VALUE"""),"Matīsa 82")</f>
        <v>Matīsa 82</v>
      </c>
      <c r="D2282" s="2">
        <f>IFERROR(__xludf.DUMMYFUNCTION("""COMPUTED_VALUE"""),3.0)</f>
        <v>3</v>
      </c>
      <c r="E2282" s="2">
        <f>IFERROR(__xludf.DUMMYFUNCTION("""COMPUTED_VALUE"""),55.0)</f>
        <v>55</v>
      </c>
      <c r="F2282" s="2">
        <f>IFERROR(__xludf.DUMMYFUNCTION("""COMPUTED_VALUE"""),2.0)</f>
        <v>2</v>
      </c>
      <c r="G2282" s="2">
        <f>IFERROR(__xludf.DUMMYFUNCTION("""COMPUTED_VALUE"""),2.0)</f>
        <v>2</v>
      </c>
      <c r="H2282" s="2" t="str">
        <f>IFERROR(__xludf.DUMMYFUNCTION("""COMPUTED_VALUE"""),"P. kara")</f>
        <v>P. kara</v>
      </c>
      <c r="I2282" s="2" t="str">
        <f>IFERROR(__xludf.DUMMYFUNCTION("""COMPUTED_VALUE"""),"Wood")</f>
        <v>Wood</v>
      </c>
      <c r="J2282" s="2" t="str">
        <f>IFERROR(__xludf.DUMMYFUNCTION("""COMPUTED_VALUE"""),"Partial amenities")</f>
        <v>Partial amenities</v>
      </c>
      <c r="K2282" s="2">
        <f>IFERROR(__xludf.DUMMYFUNCTION("""COMPUTED_VALUE"""),17690.0)</f>
        <v>17690</v>
      </c>
      <c r="L2282" s="2">
        <f>IFERROR(__xludf.DUMMYFUNCTION("""COMPUTED_VALUE"""),56.95092055)</f>
        <v>56.95092055</v>
      </c>
      <c r="M2282" s="2">
        <f>IFERROR(__xludf.DUMMYFUNCTION("""COMPUTED_VALUE"""),24.1461248193206)</f>
        <v>24.14612482</v>
      </c>
    </row>
    <row r="2283">
      <c r="A2283" s="2" t="str">
        <f>IFERROR(__xludf.DUMMYFUNCTION("""COMPUTED_VALUE"""),"For rent")</f>
        <v>For rent</v>
      </c>
      <c r="B2283" s="2" t="str">
        <f>IFERROR(__xludf.DUMMYFUNCTION("""COMPUTED_VALUE"""),"Ķengarags")</f>
        <v>Ķengarags</v>
      </c>
      <c r="C2283" s="2" t="str">
        <f>IFERROR(__xludf.DUMMYFUNCTION("""COMPUTED_VALUE"""),"Salaspils 2")</f>
        <v>Salaspils 2</v>
      </c>
      <c r="D2283" s="2">
        <f>IFERROR(__xludf.DUMMYFUNCTION("""COMPUTED_VALUE"""),1.0)</f>
        <v>1</v>
      </c>
      <c r="E2283" s="2">
        <f>IFERROR(__xludf.DUMMYFUNCTION("""COMPUTED_VALUE"""),33.0)</f>
        <v>33</v>
      </c>
      <c r="F2283" s="2">
        <f>IFERROR(__xludf.DUMMYFUNCTION("""COMPUTED_VALUE"""),6.0)</f>
        <v>6</v>
      </c>
      <c r="G2283" s="2">
        <f>IFERROR(__xludf.DUMMYFUNCTION("""COMPUTED_VALUE"""),9.0)</f>
        <v>9</v>
      </c>
      <c r="H2283" s="2">
        <f>IFERROR(__xludf.DUMMYFUNCTION("""COMPUTED_VALUE"""),467.0)</f>
        <v>467</v>
      </c>
      <c r="I2283" s="2" t="str">
        <f>IFERROR(__xludf.DUMMYFUNCTION("""COMPUTED_VALUE"""),"Panel")</f>
        <v>Panel</v>
      </c>
      <c r="J2283" s="2" t="str">
        <f>IFERROR(__xludf.DUMMYFUNCTION("""COMPUTED_VALUE"""),"All amenities")</f>
        <v>All amenities</v>
      </c>
      <c r="K2283" s="2">
        <f>IFERROR(__xludf.DUMMYFUNCTION("""COMPUTED_VALUE"""),27.0)</f>
        <v>27</v>
      </c>
      <c r="L2283" s="2">
        <f>IFERROR(__xludf.DUMMYFUNCTION("""COMPUTED_VALUE"""),56.9313316)</f>
        <v>56.9313316</v>
      </c>
      <c r="M2283" s="2">
        <f>IFERROR(__xludf.DUMMYFUNCTION("""COMPUTED_VALUE"""),24.1697208225839)</f>
        <v>24.16972082</v>
      </c>
    </row>
    <row r="2284">
      <c r="A2284" s="2" t="str">
        <f>IFERROR(__xludf.DUMMYFUNCTION("""COMPUTED_VALUE"""),"For sale")</f>
        <v>For sale</v>
      </c>
      <c r="B2284" s="2" t="str">
        <f>IFERROR(__xludf.DUMMYFUNCTION("""COMPUTED_VALUE"""),"Pļavnieki")</f>
        <v>Pļavnieki</v>
      </c>
      <c r="C2284" s="2" t="str">
        <f>IFERROR(__xludf.DUMMYFUNCTION("""COMPUTED_VALUE"""),"Deglava 108")</f>
        <v>Deglava 108</v>
      </c>
      <c r="D2284" s="2">
        <f>IFERROR(__xludf.DUMMYFUNCTION("""COMPUTED_VALUE"""),4.0)</f>
        <v>4</v>
      </c>
      <c r="E2284" s="2">
        <f>IFERROR(__xludf.DUMMYFUNCTION("""COMPUTED_VALUE"""),97.0)</f>
        <v>97</v>
      </c>
      <c r="F2284" s="2">
        <f>IFERROR(__xludf.DUMMYFUNCTION("""COMPUTED_VALUE"""),9.0)</f>
        <v>9</v>
      </c>
      <c r="G2284" s="2">
        <f>IFERROR(__xludf.DUMMYFUNCTION("""COMPUTED_VALUE"""),9.0)</f>
        <v>9</v>
      </c>
      <c r="H2284" s="2">
        <f>IFERROR(__xludf.DUMMYFUNCTION("""COMPUTED_VALUE"""),119.0)</f>
        <v>119</v>
      </c>
      <c r="I2284" s="2" t="str">
        <f>IFERROR(__xludf.DUMMYFUNCTION("""COMPUTED_VALUE"""),"Panel")</f>
        <v>Panel</v>
      </c>
      <c r="J2284" s="2" t="str">
        <f>IFERROR(__xludf.DUMMYFUNCTION("""COMPUTED_VALUE"""),"All amenities")</f>
        <v>All amenities</v>
      </c>
      <c r="K2284" s="2">
        <f>IFERROR(__xludf.DUMMYFUNCTION("""COMPUTED_VALUE"""),109000.0)</f>
        <v>109000</v>
      </c>
      <c r="L2284" s="2">
        <f>IFERROR(__xludf.DUMMYFUNCTION("""COMPUTED_VALUE"""),56.94719075)</f>
        <v>56.94719075</v>
      </c>
      <c r="M2284" s="2">
        <f>IFERROR(__xludf.DUMMYFUNCTION("""COMPUTED_VALUE"""),24.1867567338823)</f>
        <v>24.18675673</v>
      </c>
    </row>
    <row r="2285">
      <c r="A2285" s="2" t="str">
        <f>IFERROR(__xludf.DUMMYFUNCTION("""COMPUTED_VALUE"""),"For rent")</f>
        <v>For rent</v>
      </c>
      <c r="B2285" s="2" t="str">
        <f>IFERROR(__xludf.DUMMYFUNCTION("""COMPUTED_VALUE"""),"Purvciems")</f>
        <v>Purvciems</v>
      </c>
      <c r="C2285" s="2" t="str">
        <f>IFERROR(__xludf.DUMMYFUNCTION("""COMPUTED_VALUE"""),"Marsa g. 10")</f>
        <v>Marsa g. 10</v>
      </c>
      <c r="D2285" s="2">
        <f>IFERROR(__xludf.DUMMYFUNCTION("""COMPUTED_VALUE"""),3.0)</f>
        <v>3</v>
      </c>
      <c r="E2285" s="2">
        <f>IFERROR(__xludf.DUMMYFUNCTION("""COMPUTED_VALUE"""),67.0)</f>
        <v>67</v>
      </c>
      <c r="F2285" s="2">
        <f>IFERROR(__xludf.DUMMYFUNCTION("""COMPUTED_VALUE"""),1.0)</f>
        <v>1</v>
      </c>
      <c r="G2285" s="2">
        <f>IFERROR(__xludf.DUMMYFUNCTION("""COMPUTED_VALUE"""),5.0)</f>
        <v>5</v>
      </c>
      <c r="H2285" s="2" t="str">
        <f>IFERROR(__xludf.DUMMYFUNCTION("""COMPUTED_VALUE"""),"LT proj.")</f>
        <v>LT proj.</v>
      </c>
      <c r="I2285" s="2" t="str">
        <f>IFERROR(__xludf.DUMMYFUNCTION("""COMPUTED_VALUE"""),"Panel")</f>
        <v>Panel</v>
      </c>
      <c r="J2285" s="2" t="str">
        <f>IFERROR(__xludf.DUMMYFUNCTION("""COMPUTED_VALUE"""),"All amenities")</f>
        <v>All amenities</v>
      </c>
      <c r="K2285" s="2">
        <f>IFERROR(__xludf.DUMMYFUNCTION("""COMPUTED_VALUE"""),350.0)</f>
        <v>350</v>
      </c>
      <c r="L2285" s="2">
        <f>IFERROR(__xludf.DUMMYFUNCTION("""COMPUTED_VALUE"""),56.9518384)</f>
        <v>56.9518384</v>
      </c>
      <c r="M2285" s="2">
        <f>IFERROR(__xludf.DUMMYFUNCTION("""COMPUTED_VALUE"""),24.1999196)</f>
        <v>24.1999196</v>
      </c>
    </row>
    <row r="2286">
      <c r="A2286" s="2" t="str">
        <f>IFERROR(__xludf.DUMMYFUNCTION("""COMPUTED_VALUE"""),"For sale")</f>
        <v>For sale</v>
      </c>
      <c r="B2286" s="2" t="str">
        <f>IFERROR(__xludf.DUMMYFUNCTION("""COMPUTED_VALUE"""),"Āgenskalns")</f>
        <v>Āgenskalns</v>
      </c>
      <c r="C2286" s="2" t="str">
        <f>IFERROR(__xludf.DUMMYFUNCTION("""COMPUTED_VALUE"""),"Kalnciema 114")</f>
        <v>Kalnciema 114</v>
      </c>
      <c r="D2286" s="2">
        <f>IFERROR(__xludf.DUMMYFUNCTION("""COMPUTED_VALUE"""),3.0)</f>
        <v>3</v>
      </c>
      <c r="E2286" s="2">
        <f>IFERROR(__xludf.DUMMYFUNCTION("""COMPUTED_VALUE"""),66.0)</f>
        <v>66</v>
      </c>
      <c r="F2286" s="2">
        <f>IFERROR(__xludf.DUMMYFUNCTION("""COMPUTED_VALUE"""),4.0)</f>
        <v>4</v>
      </c>
      <c r="G2286" s="2">
        <f>IFERROR(__xludf.DUMMYFUNCTION("""COMPUTED_VALUE"""),5.0)</f>
        <v>5</v>
      </c>
      <c r="H2286" s="2">
        <f>IFERROR(__xludf.DUMMYFUNCTION("""COMPUTED_VALUE"""),103.0)</f>
        <v>103</v>
      </c>
      <c r="I2286" s="2" t="str">
        <f>IFERROR(__xludf.DUMMYFUNCTION("""COMPUTED_VALUE"""),"Brick-Panel")</f>
        <v>Brick-Panel</v>
      </c>
      <c r="J2286" s="2" t="str">
        <f>IFERROR(__xludf.DUMMYFUNCTION("""COMPUTED_VALUE"""),"All amenities")</f>
        <v>All amenities</v>
      </c>
      <c r="K2286" s="2">
        <f>IFERROR(__xludf.DUMMYFUNCTION("""COMPUTED_VALUE"""),57000.0)</f>
        <v>57000</v>
      </c>
      <c r="L2286" s="2">
        <f>IFERROR(__xludf.DUMMYFUNCTION("""COMPUTED_VALUE"""),56.9359249)</f>
        <v>56.9359249</v>
      </c>
      <c r="M2286" s="2">
        <f>IFERROR(__xludf.DUMMYFUNCTION("""COMPUTED_VALUE"""),24.0420920504638)</f>
        <v>24.04209205</v>
      </c>
    </row>
    <row r="2287">
      <c r="A2287" s="2" t="str">
        <f>IFERROR(__xludf.DUMMYFUNCTION("""COMPUTED_VALUE"""),"For sale")</f>
        <v>For sale</v>
      </c>
      <c r="B2287" s="2" t="str">
        <f>IFERROR(__xludf.DUMMYFUNCTION("""COMPUTED_VALUE"""),"Šampēteris-Pleskodāle")</f>
        <v>Šampēteris-Pleskodāle</v>
      </c>
      <c r="C2287" s="2" t="str">
        <f>IFERROR(__xludf.DUMMYFUNCTION("""COMPUTED_VALUE"""),"Kalnciema 114")</f>
        <v>Kalnciema 114</v>
      </c>
      <c r="D2287" s="2">
        <f>IFERROR(__xludf.DUMMYFUNCTION("""COMPUTED_VALUE"""),3.0)</f>
        <v>3</v>
      </c>
      <c r="E2287" s="2">
        <f>IFERROR(__xludf.DUMMYFUNCTION("""COMPUTED_VALUE"""),66.0)</f>
        <v>66</v>
      </c>
      <c r="F2287" s="2">
        <f>IFERROR(__xludf.DUMMYFUNCTION("""COMPUTED_VALUE"""),4.0)</f>
        <v>4</v>
      </c>
      <c r="G2287" s="2">
        <f>IFERROR(__xludf.DUMMYFUNCTION("""COMPUTED_VALUE"""),5.0)</f>
        <v>5</v>
      </c>
      <c r="H2287" s="2">
        <f>IFERROR(__xludf.DUMMYFUNCTION("""COMPUTED_VALUE"""),103.0)</f>
        <v>103</v>
      </c>
      <c r="I2287" s="2" t="str">
        <f>IFERROR(__xludf.DUMMYFUNCTION("""COMPUTED_VALUE"""),"Brick-Panel")</f>
        <v>Brick-Panel</v>
      </c>
      <c r="J2287" s="2" t="str">
        <f>IFERROR(__xludf.DUMMYFUNCTION("""COMPUTED_VALUE"""),"All amenities")</f>
        <v>All amenities</v>
      </c>
      <c r="K2287" s="2">
        <f>IFERROR(__xludf.DUMMYFUNCTION("""COMPUTED_VALUE"""),57000.0)</f>
        <v>57000</v>
      </c>
      <c r="L2287" s="2">
        <f>IFERROR(__xludf.DUMMYFUNCTION("""COMPUTED_VALUE"""),56.9359249)</f>
        <v>56.9359249</v>
      </c>
      <c r="M2287" s="2">
        <f>IFERROR(__xludf.DUMMYFUNCTION("""COMPUTED_VALUE"""),24.0420920504638)</f>
        <v>24.04209205</v>
      </c>
    </row>
    <row r="2288">
      <c r="A2288" s="2" t="str">
        <f>IFERROR(__xludf.DUMMYFUNCTION("""COMPUTED_VALUE"""),"For rent")</f>
        <v>For rent</v>
      </c>
      <c r="B2288" s="2" t="str">
        <f>IFERROR(__xludf.DUMMYFUNCTION("""COMPUTED_VALUE"""),"Purvciems")</f>
        <v>Purvciems</v>
      </c>
      <c r="C2288" s="2" t="str">
        <f>IFERROR(__xludf.DUMMYFUNCTION("""COMPUTED_VALUE"""),"Madonas 21")</f>
        <v>Madonas 21</v>
      </c>
      <c r="D2288" s="2">
        <f>IFERROR(__xludf.DUMMYFUNCTION("""COMPUTED_VALUE"""),2.0)</f>
        <v>2</v>
      </c>
      <c r="E2288" s="2">
        <f>IFERROR(__xludf.DUMMYFUNCTION("""COMPUTED_VALUE"""),63.0)</f>
        <v>63</v>
      </c>
      <c r="F2288" s="2">
        <f>IFERROR(__xludf.DUMMYFUNCTION("""COMPUTED_VALUE"""),16.0)</f>
        <v>16</v>
      </c>
      <c r="G2288" s="2">
        <f>IFERROR(__xludf.DUMMYFUNCTION("""COMPUTED_VALUE"""),5.0)</f>
        <v>5</v>
      </c>
      <c r="H2288" s="2" t="str">
        <f>IFERROR(__xludf.DUMMYFUNCTION("""COMPUTED_VALUE"""),"Specpr.")</f>
        <v>Specpr.</v>
      </c>
      <c r="I2288" s="2" t="str">
        <f>IFERROR(__xludf.DUMMYFUNCTION("""COMPUTED_VALUE"""),"Panel-Brick")</f>
        <v>Panel-Brick</v>
      </c>
      <c r="J2288" s="2" t="str">
        <f>IFERROR(__xludf.DUMMYFUNCTION("""COMPUTED_VALUE"""),"All amenities")</f>
        <v>All amenities</v>
      </c>
      <c r="K2288" s="2">
        <f>IFERROR(__xludf.DUMMYFUNCTION("""COMPUTED_VALUE"""),300.0)</f>
        <v>300</v>
      </c>
      <c r="L2288" s="2">
        <f>IFERROR(__xludf.DUMMYFUNCTION("""COMPUTED_VALUE"""),56.9609919)</f>
        <v>56.9609919</v>
      </c>
      <c r="M2288" s="2">
        <f>IFERROR(__xludf.DUMMYFUNCTION("""COMPUTED_VALUE"""),24.1711495)</f>
        <v>24.1711495</v>
      </c>
    </row>
    <row r="2289">
      <c r="A2289" s="2" t="str">
        <f>IFERROR(__xludf.DUMMYFUNCTION("""COMPUTED_VALUE"""),"For rent")</f>
        <v>For rent</v>
      </c>
      <c r="B2289" s="2" t="str">
        <f>IFERROR(__xludf.DUMMYFUNCTION("""COMPUTED_VALUE"""),"centrs")</f>
        <v>centrs</v>
      </c>
      <c r="C2289" s="2" t="str">
        <f>IFERROR(__xludf.DUMMYFUNCTION("""COMPUTED_VALUE"""),"Matīsa 41c")</f>
        <v>Matīsa 41c</v>
      </c>
      <c r="D2289" s="2">
        <f>IFERROR(__xludf.DUMMYFUNCTION("""COMPUTED_VALUE"""),2.0)</f>
        <v>2</v>
      </c>
      <c r="E2289" s="2">
        <f>IFERROR(__xludf.DUMMYFUNCTION("""COMPUTED_VALUE"""),40.0)</f>
        <v>40</v>
      </c>
      <c r="F2289" s="2">
        <f>IFERROR(__xludf.DUMMYFUNCTION("""COMPUTED_VALUE"""),1.0)</f>
        <v>1</v>
      </c>
      <c r="G2289" s="2">
        <f>IFERROR(__xludf.DUMMYFUNCTION("""COMPUTED_VALUE"""),5.0)</f>
        <v>5</v>
      </c>
      <c r="H2289" s="2" t="str">
        <f>IFERROR(__xludf.DUMMYFUNCTION("""COMPUTED_VALUE"""),"P. kara")</f>
        <v>P. kara</v>
      </c>
      <c r="I2289" s="2" t="str">
        <f>IFERROR(__xludf.DUMMYFUNCTION("""COMPUTED_VALUE"""),"Masonry")</f>
        <v>Masonry</v>
      </c>
      <c r="J2289" s="2" t="str">
        <f>IFERROR(__xludf.DUMMYFUNCTION("""COMPUTED_VALUE"""),"All amenities")</f>
        <v>All amenities</v>
      </c>
      <c r="K2289" s="2">
        <f>IFERROR(__xludf.DUMMYFUNCTION("""COMPUTED_VALUE"""),400.0)</f>
        <v>400</v>
      </c>
      <c r="L2289" s="2">
        <f>IFERROR(__xludf.DUMMYFUNCTION("""COMPUTED_VALUE"""),56.9559593)</f>
        <v>56.9559593</v>
      </c>
      <c r="M2289" s="2">
        <f>IFERROR(__xludf.DUMMYFUNCTION("""COMPUTED_VALUE"""),24.1377371)</f>
        <v>24.1377371</v>
      </c>
    </row>
    <row r="2290">
      <c r="A2290" s="2" t="str">
        <f>IFERROR(__xludf.DUMMYFUNCTION("""COMPUTED_VALUE"""),"For rent")</f>
        <v>For rent</v>
      </c>
      <c r="B2290" s="2" t="str">
        <f>IFERROR(__xludf.DUMMYFUNCTION("""COMPUTED_VALUE"""),"centrs")</f>
        <v>centrs</v>
      </c>
      <c r="C2290" s="2" t="str">
        <f>IFERROR(__xludf.DUMMYFUNCTION("""COMPUTED_VALUE"""),"Matīsa 35a")</f>
        <v>Matīsa 35a</v>
      </c>
      <c r="D2290" s="2">
        <f>IFERROR(__xludf.DUMMYFUNCTION("""COMPUTED_VALUE"""),2.0)</f>
        <v>2</v>
      </c>
      <c r="E2290" s="2">
        <f>IFERROR(__xludf.DUMMYFUNCTION("""COMPUTED_VALUE"""),74.0)</f>
        <v>74</v>
      </c>
      <c r="F2290" s="2">
        <f>IFERROR(__xludf.DUMMYFUNCTION("""COMPUTED_VALUE"""),4.0)</f>
        <v>4</v>
      </c>
      <c r="G2290" s="2">
        <f>IFERROR(__xludf.DUMMYFUNCTION("""COMPUTED_VALUE"""),4.0)</f>
        <v>4</v>
      </c>
      <c r="H2290" s="2" t="str">
        <f>IFERROR(__xludf.DUMMYFUNCTION("""COMPUTED_VALUE"""),"Renov.")</f>
        <v>Renov.</v>
      </c>
      <c r="I2290" s="2" t="str">
        <f>IFERROR(__xludf.DUMMYFUNCTION("""COMPUTED_VALUE"""),"Masonry")</f>
        <v>Masonry</v>
      </c>
      <c r="J2290" s="2" t="str">
        <f>IFERROR(__xludf.DUMMYFUNCTION("""COMPUTED_VALUE"""),"All amenities")</f>
        <v>All amenities</v>
      </c>
      <c r="K2290" s="2">
        <f>IFERROR(__xludf.DUMMYFUNCTION("""COMPUTED_VALUE"""),850.0)</f>
        <v>850</v>
      </c>
      <c r="L2290" s="2">
        <f>IFERROR(__xludf.DUMMYFUNCTION("""COMPUTED_VALUE"""),56.9581178)</f>
        <v>56.9581178</v>
      </c>
      <c r="M2290" s="2">
        <f>IFERROR(__xludf.DUMMYFUNCTION("""COMPUTED_VALUE"""),24.1311146)</f>
        <v>24.1311146</v>
      </c>
    </row>
    <row r="2291">
      <c r="A2291" s="2" t="str">
        <f>IFERROR(__xludf.DUMMYFUNCTION("""COMPUTED_VALUE"""),"For sale")</f>
        <v>For sale</v>
      </c>
      <c r="B2291" s="2" t="str">
        <f>IFERROR(__xludf.DUMMYFUNCTION("""COMPUTED_VALUE"""),"centrs")</f>
        <v>centrs</v>
      </c>
      <c r="C2291" s="2" t="str">
        <f>IFERROR(__xludf.DUMMYFUNCTION("""COMPUTED_VALUE"""),"Matīsa 41c")</f>
        <v>Matīsa 41c</v>
      </c>
      <c r="D2291" s="2">
        <f>IFERROR(__xludf.DUMMYFUNCTION("""COMPUTED_VALUE"""),2.0)</f>
        <v>2</v>
      </c>
      <c r="E2291" s="2">
        <f>IFERROR(__xludf.DUMMYFUNCTION("""COMPUTED_VALUE"""),41.0)</f>
        <v>41</v>
      </c>
      <c r="F2291" s="2">
        <f>IFERROR(__xludf.DUMMYFUNCTION("""COMPUTED_VALUE"""),1.0)</f>
        <v>1</v>
      </c>
      <c r="G2291" s="2">
        <f>IFERROR(__xludf.DUMMYFUNCTION("""COMPUTED_VALUE"""),5.0)</f>
        <v>5</v>
      </c>
      <c r="H2291" s="2" t="str">
        <f>IFERROR(__xludf.DUMMYFUNCTION("""COMPUTED_VALUE"""),"P. kara")</f>
        <v>P. kara</v>
      </c>
      <c r="I2291" s="2" t="str">
        <f>IFERROR(__xludf.DUMMYFUNCTION("""COMPUTED_VALUE"""),"Masonry")</f>
        <v>Masonry</v>
      </c>
      <c r="J2291" s="2" t="str">
        <f>IFERROR(__xludf.DUMMYFUNCTION("""COMPUTED_VALUE"""),"All amenities")</f>
        <v>All amenities</v>
      </c>
      <c r="K2291" s="2">
        <f>IFERROR(__xludf.DUMMYFUNCTION("""COMPUTED_VALUE"""),65200.0)</f>
        <v>65200</v>
      </c>
      <c r="L2291" s="2">
        <f>IFERROR(__xludf.DUMMYFUNCTION("""COMPUTED_VALUE"""),56.9559593)</f>
        <v>56.9559593</v>
      </c>
      <c r="M2291" s="2">
        <f>IFERROR(__xludf.DUMMYFUNCTION("""COMPUTED_VALUE"""),24.1377371)</f>
        <v>24.1377371</v>
      </c>
    </row>
    <row r="2292">
      <c r="A2292" s="2" t="str">
        <f>IFERROR(__xludf.DUMMYFUNCTION("""COMPUTED_VALUE"""),"For sale")</f>
        <v>For sale</v>
      </c>
      <c r="B2292" s="2" t="str">
        <f>IFERROR(__xludf.DUMMYFUNCTION("""COMPUTED_VALUE"""),"centrs")</f>
        <v>centrs</v>
      </c>
      <c r="C2292" s="2" t="str">
        <f>IFERROR(__xludf.DUMMYFUNCTION("""COMPUTED_VALUE"""),"Dzirnavu 92")</f>
        <v>Dzirnavu 92</v>
      </c>
      <c r="D2292" s="2">
        <f>IFERROR(__xludf.DUMMYFUNCTION("""COMPUTED_VALUE"""),6.0)</f>
        <v>6</v>
      </c>
      <c r="E2292" s="2">
        <f>IFERROR(__xludf.DUMMYFUNCTION("""COMPUTED_VALUE"""),290.0)</f>
        <v>290</v>
      </c>
      <c r="F2292" s="2">
        <f>IFERROR(__xludf.DUMMYFUNCTION("""COMPUTED_VALUE"""),2.0)</f>
        <v>2</v>
      </c>
      <c r="G2292" s="2">
        <f>IFERROR(__xludf.DUMMYFUNCTION("""COMPUTED_VALUE"""),5.0)</f>
        <v>5</v>
      </c>
      <c r="H2292" s="2" t="str">
        <f>IFERROR(__xludf.DUMMYFUNCTION("""COMPUTED_VALUE"""),"P. kara")</f>
        <v>P. kara</v>
      </c>
      <c r="I2292" s="2" t="str">
        <f>IFERROR(__xludf.DUMMYFUNCTION("""COMPUTED_VALUE"""),"Masonry")</f>
        <v>Masonry</v>
      </c>
      <c r="J2292" s="2" t="str">
        <f>IFERROR(__xludf.DUMMYFUNCTION("""COMPUTED_VALUE"""),"All amenities")</f>
        <v>All amenities</v>
      </c>
      <c r="K2292" s="2">
        <f>IFERROR(__xludf.DUMMYFUNCTION("""COMPUTED_VALUE"""),395000.0)</f>
        <v>395000</v>
      </c>
      <c r="L2292" s="2">
        <f>IFERROR(__xludf.DUMMYFUNCTION("""COMPUTED_VALUE"""),56.9504863)</f>
        <v>56.9504863</v>
      </c>
      <c r="M2292" s="2">
        <f>IFERROR(__xludf.DUMMYFUNCTION("""COMPUTED_VALUE"""),24.1240734)</f>
        <v>24.1240734</v>
      </c>
    </row>
    <row r="2293">
      <c r="A2293" s="2" t="str">
        <f>IFERROR(__xludf.DUMMYFUNCTION("""COMPUTED_VALUE"""),"For sale")</f>
        <v>For sale</v>
      </c>
      <c r="B2293" s="2" t="str">
        <f>IFERROR(__xludf.DUMMYFUNCTION("""COMPUTED_VALUE"""),"centrs")</f>
        <v>centrs</v>
      </c>
      <c r="C2293" s="2" t="str">
        <f>IFERROR(__xludf.DUMMYFUNCTION("""COMPUTED_VALUE"""),"Tallinas 86")</f>
        <v>Tallinas 86</v>
      </c>
      <c r="D2293" s="2">
        <f>IFERROR(__xludf.DUMMYFUNCTION("""COMPUTED_VALUE"""),3.0)</f>
        <v>3</v>
      </c>
      <c r="E2293" s="2">
        <f>IFERROR(__xludf.DUMMYFUNCTION("""COMPUTED_VALUE"""),68.0)</f>
        <v>68</v>
      </c>
      <c r="F2293" s="2">
        <f>IFERROR(__xludf.DUMMYFUNCTION("""COMPUTED_VALUE"""),2.0)</f>
        <v>2</v>
      </c>
      <c r="G2293" s="2">
        <f>IFERROR(__xludf.DUMMYFUNCTION("""COMPUTED_VALUE"""),5.0)</f>
        <v>5</v>
      </c>
      <c r="H2293" s="2" t="str">
        <f>IFERROR(__xludf.DUMMYFUNCTION("""COMPUTED_VALUE"""),"Renov.")</f>
        <v>Renov.</v>
      </c>
      <c r="I2293" s="2" t="str">
        <f>IFERROR(__xludf.DUMMYFUNCTION("""COMPUTED_VALUE"""),"Brick")</f>
        <v>Brick</v>
      </c>
      <c r="J2293" s="2" t="str">
        <f>IFERROR(__xludf.DUMMYFUNCTION("""COMPUTED_VALUE"""),"All amenities")</f>
        <v>All amenities</v>
      </c>
      <c r="K2293" s="2">
        <f>IFERROR(__xludf.DUMMYFUNCTION("""COMPUTED_VALUE"""),135000.0)</f>
        <v>135000</v>
      </c>
      <c r="L2293" s="2">
        <f>IFERROR(__xludf.DUMMYFUNCTION("""COMPUTED_VALUE"""),56.95652115)</f>
        <v>56.95652115</v>
      </c>
      <c r="M2293" s="2">
        <f>IFERROR(__xludf.DUMMYFUNCTION("""COMPUTED_VALUE"""),24.1476809000188)</f>
        <v>24.1476809</v>
      </c>
    </row>
    <row r="2294">
      <c r="A2294" s="2" t="str">
        <f>IFERROR(__xludf.DUMMYFUNCTION("""COMPUTED_VALUE"""),"For sale")</f>
        <v>For sale</v>
      </c>
      <c r="B2294" s="2" t="str">
        <f>IFERROR(__xludf.DUMMYFUNCTION("""COMPUTED_VALUE"""),"centrs")</f>
        <v>centrs</v>
      </c>
      <c r="C2294" s="2" t="str">
        <f>IFERROR(__xludf.DUMMYFUNCTION("""COMPUTED_VALUE"""),"Sapieru 3b")</f>
        <v>Sapieru 3b</v>
      </c>
      <c r="D2294" s="2">
        <f>IFERROR(__xludf.DUMMYFUNCTION("""COMPUTED_VALUE"""),1.0)</f>
        <v>1</v>
      </c>
      <c r="E2294" s="2">
        <f>IFERROR(__xludf.DUMMYFUNCTION("""COMPUTED_VALUE"""),33.0)</f>
        <v>33</v>
      </c>
      <c r="F2294" s="2">
        <f>IFERROR(__xludf.DUMMYFUNCTION("""COMPUTED_VALUE"""),5.0)</f>
        <v>5</v>
      </c>
      <c r="G2294" s="2">
        <f>IFERROR(__xludf.DUMMYFUNCTION("""COMPUTED_VALUE"""),5.0)</f>
        <v>5</v>
      </c>
      <c r="H2294" s="2" t="str">
        <f>IFERROR(__xludf.DUMMYFUNCTION("""COMPUTED_VALUE"""),"Renov.")</f>
        <v>Renov.</v>
      </c>
      <c r="I2294" s="2" t="str">
        <f>IFERROR(__xludf.DUMMYFUNCTION("""COMPUTED_VALUE"""),"Brick")</f>
        <v>Brick</v>
      </c>
      <c r="J2294" s="2" t="str">
        <f>IFERROR(__xludf.DUMMYFUNCTION("""COMPUTED_VALUE"""),"All amenities")</f>
        <v>All amenities</v>
      </c>
      <c r="K2294" s="2">
        <f>IFERROR(__xludf.DUMMYFUNCTION("""COMPUTED_VALUE"""),75000.0)</f>
        <v>75000</v>
      </c>
      <c r="L2294" s="2">
        <f>IFERROR(__xludf.DUMMYFUNCTION("""COMPUTED_VALUE"""),56.9630577)</f>
        <v>56.9630577</v>
      </c>
      <c r="M2294" s="2">
        <f>IFERROR(__xludf.DUMMYFUNCTION("""COMPUTED_VALUE"""),24.1531056)</f>
        <v>24.1531056</v>
      </c>
    </row>
    <row r="2295">
      <c r="A2295" s="2" t="str">
        <f>IFERROR(__xludf.DUMMYFUNCTION("""COMPUTED_VALUE"""),"For sale")</f>
        <v>For sale</v>
      </c>
      <c r="B2295" s="2" t="str">
        <f>IFERROR(__xludf.DUMMYFUNCTION("""COMPUTED_VALUE"""),"centrs")</f>
        <v>centrs</v>
      </c>
      <c r="C2295" s="2" t="str">
        <f>IFERROR(__xludf.DUMMYFUNCTION("""COMPUTED_VALUE"""),"Valdemāra 53")</f>
        <v>Valdemāra 53</v>
      </c>
      <c r="D2295" s="2">
        <f>IFERROR(__xludf.DUMMYFUNCTION("""COMPUTED_VALUE"""),1.0)</f>
        <v>1</v>
      </c>
      <c r="E2295" s="2">
        <f>IFERROR(__xludf.DUMMYFUNCTION("""COMPUTED_VALUE"""),44.0)</f>
        <v>44</v>
      </c>
      <c r="F2295" s="2">
        <f>IFERROR(__xludf.DUMMYFUNCTION("""COMPUTED_VALUE"""),2.0)</f>
        <v>2</v>
      </c>
      <c r="G2295" s="2">
        <f>IFERROR(__xludf.DUMMYFUNCTION("""COMPUTED_VALUE"""),5.0)</f>
        <v>5</v>
      </c>
      <c r="H2295" s="2" t="str">
        <f>IFERROR(__xludf.DUMMYFUNCTION("""COMPUTED_VALUE"""),"P. kara")</f>
        <v>P. kara</v>
      </c>
      <c r="I2295" s="2" t="str">
        <f>IFERROR(__xludf.DUMMYFUNCTION("""COMPUTED_VALUE"""),"Masonry")</f>
        <v>Masonry</v>
      </c>
      <c r="J2295" s="2" t="str">
        <f>IFERROR(__xludf.DUMMYFUNCTION("""COMPUTED_VALUE"""),"All amenities")</f>
        <v>All amenities</v>
      </c>
      <c r="K2295" s="2">
        <f>IFERROR(__xludf.DUMMYFUNCTION("""COMPUTED_VALUE"""),87500.0)</f>
        <v>87500</v>
      </c>
      <c r="L2295" s="2">
        <f>IFERROR(__xludf.DUMMYFUNCTION("""COMPUTED_VALUE"""),56.9596205)</f>
        <v>56.9596205</v>
      </c>
      <c r="M2295" s="2">
        <f>IFERROR(__xludf.DUMMYFUNCTION("""COMPUTED_VALUE"""),24.1190117)</f>
        <v>24.1190117</v>
      </c>
    </row>
    <row r="2296">
      <c r="A2296" s="2" t="str">
        <f>IFERROR(__xludf.DUMMYFUNCTION("""COMPUTED_VALUE"""),"For sale")</f>
        <v>For sale</v>
      </c>
      <c r="B2296" s="2" t="str">
        <f>IFERROR(__xludf.DUMMYFUNCTION("""COMPUTED_VALUE"""),"centrs")</f>
        <v>centrs</v>
      </c>
      <c r="C2296" s="2" t="str">
        <f>IFERROR(__xludf.DUMMYFUNCTION("""COMPUTED_VALUE"""),"Skanstes 29")</f>
        <v>Skanstes 29</v>
      </c>
      <c r="D2296" s="2">
        <f>IFERROR(__xludf.DUMMYFUNCTION("""COMPUTED_VALUE"""),1.0)</f>
        <v>1</v>
      </c>
      <c r="E2296" s="2">
        <f>IFERROR(__xludf.DUMMYFUNCTION("""COMPUTED_VALUE"""),51.0)</f>
        <v>51</v>
      </c>
      <c r="F2296" s="2">
        <f>IFERROR(__xludf.DUMMYFUNCTION("""COMPUTED_VALUE"""),5.0)</f>
        <v>5</v>
      </c>
      <c r="G2296" s="2">
        <f>IFERROR(__xludf.DUMMYFUNCTION("""COMPUTED_VALUE"""),23.0)</f>
        <v>23</v>
      </c>
      <c r="H2296" s="2" t="str">
        <f>IFERROR(__xludf.DUMMYFUNCTION("""COMPUTED_VALUE"""),"Jaun.")</f>
        <v>Jaun.</v>
      </c>
      <c r="I2296" s="2" t="str">
        <f>IFERROR(__xludf.DUMMYFUNCTION("""COMPUTED_VALUE"""),"Masonry")</f>
        <v>Masonry</v>
      </c>
      <c r="J2296" s="2" t="str">
        <f>IFERROR(__xludf.DUMMYFUNCTION("""COMPUTED_VALUE"""),"All amenities")</f>
        <v>All amenities</v>
      </c>
      <c r="K2296" s="2">
        <f>IFERROR(__xludf.DUMMYFUNCTION("""COMPUTED_VALUE"""),99000.0)</f>
        <v>99000</v>
      </c>
      <c r="L2296" s="2">
        <f>IFERROR(__xludf.DUMMYFUNCTION("""COMPUTED_VALUE"""),56.9726415)</f>
        <v>56.9726415</v>
      </c>
      <c r="M2296" s="2">
        <f>IFERROR(__xludf.DUMMYFUNCTION("""COMPUTED_VALUE"""),24.1250304839285)</f>
        <v>24.12503048</v>
      </c>
    </row>
    <row r="2297">
      <c r="A2297" s="2" t="str">
        <f>IFERROR(__xludf.DUMMYFUNCTION("""COMPUTED_VALUE"""),"For rent")</f>
        <v>For rent</v>
      </c>
      <c r="B2297" s="2" t="str">
        <f>IFERROR(__xludf.DUMMYFUNCTION("""COMPUTED_VALUE"""),"Šampēteris-Pleskodāle")</f>
        <v>Šampēteris-Pleskodāle</v>
      </c>
      <c r="C2297" s="2" t="str">
        <f>IFERROR(__xludf.DUMMYFUNCTION("""COMPUTED_VALUE"""),"Lielirbes 13")</f>
        <v>Lielirbes 13</v>
      </c>
      <c r="D2297" s="2">
        <f>IFERROR(__xludf.DUMMYFUNCTION("""COMPUTED_VALUE"""),2.0)</f>
        <v>2</v>
      </c>
      <c r="E2297" s="2">
        <f>IFERROR(__xludf.DUMMYFUNCTION("""COMPUTED_VALUE"""),68.0)</f>
        <v>68</v>
      </c>
      <c r="F2297" s="2">
        <f>IFERROR(__xludf.DUMMYFUNCTION("""COMPUTED_VALUE"""),17.0)</f>
        <v>17</v>
      </c>
      <c r="G2297" s="2">
        <f>IFERROR(__xludf.DUMMYFUNCTION("""COMPUTED_VALUE"""),30.0)</f>
        <v>30</v>
      </c>
      <c r="H2297" s="2" t="str">
        <f>IFERROR(__xludf.DUMMYFUNCTION("""COMPUTED_VALUE"""),"Jaun.")</f>
        <v>Jaun.</v>
      </c>
      <c r="I2297" s="2" t="str">
        <f>IFERROR(__xludf.DUMMYFUNCTION("""COMPUTED_VALUE"""),"Panel-Brick")</f>
        <v>Panel-Brick</v>
      </c>
      <c r="J2297" s="2" t="str">
        <f>IFERROR(__xludf.DUMMYFUNCTION("""COMPUTED_VALUE"""),"All amenities")</f>
        <v>All amenities</v>
      </c>
      <c r="K2297" s="2">
        <f>IFERROR(__xludf.DUMMYFUNCTION("""COMPUTED_VALUE"""),500.0)</f>
        <v>500</v>
      </c>
      <c r="L2297" s="2">
        <f>IFERROR(__xludf.DUMMYFUNCTION("""COMPUTED_VALUE"""),56.9334996)</f>
        <v>56.9334996</v>
      </c>
      <c r="M2297" s="2">
        <f>IFERROR(__xludf.DUMMYFUNCTION("""COMPUTED_VALUE"""),24.0424848)</f>
        <v>24.0424848</v>
      </c>
    </row>
    <row r="2298">
      <c r="A2298" s="2" t="str">
        <f>IFERROR(__xludf.DUMMYFUNCTION("""COMPUTED_VALUE"""),"For sale")</f>
        <v>For sale</v>
      </c>
      <c r="B2298" s="2" t="str">
        <f>IFERROR(__xludf.DUMMYFUNCTION("""COMPUTED_VALUE"""),"centrs")</f>
        <v>centrs</v>
      </c>
      <c r="C2298" s="2" t="str">
        <f>IFERROR(__xludf.DUMMYFUNCTION("""COMPUTED_VALUE"""),"Lāčplēša 13")</f>
        <v>Lāčplēša 13</v>
      </c>
      <c r="D2298" s="2">
        <f>IFERROR(__xludf.DUMMYFUNCTION("""COMPUTED_VALUE"""),5.0)</f>
        <v>5</v>
      </c>
      <c r="E2298" s="2">
        <f>IFERROR(__xludf.DUMMYFUNCTION("""COMPUTED_VALUE"""),129.0)</f>
        <v>129</v>
      </c>
      <c r="F2298" s="2">
        <f>IFERROR(__xludf.DUMMYFUNCTION("""COMPUTED_VALUE"""),5.0)</f>
        <v>5</v>
      </c>
      <c r="G2298" s="2">
        <f>IFERROR(__xludf.DUMMYFUNCTION("""COMPUTED_VALUE"""),6.0)</f>
        <v>6</v>
      </c>
      <c r="H2298" s="2" t="str">
        <f>IFERROR(__xludf.DUMMYFUNCTION("""COMPUTED_VALUE"""),"Renov.")</f>
        <v>Renov.</v>
      </c>
      <c r="I2298" s="2" t="str">
        <f>IFERROR(__xludf.DUMMYFUNCTION("""COMPUTED_VALUE"""),"Masonry")</f>
        <v>Masonry</v>
      </c>
      <c r="J2298" s="2" t="str">
        <f>IFERROR(__xludf.DUMMYFUNCTION("""COMPUTED_VALUE"""),"All amenities")</f>
        <v>All amenities</v>
      </c>
      <c r="K2298" s="2">
        <f>IFERROR(__xludf.DUMMYFUNCTION("""COMPUTED_VALUE"""),255715.0)</f>
        <v>255715</v>
      </c>
      <c r="L2298" s="2">
        <f>IFERROR(__xludf.DUMMYFUNCTION("""COMPUTED_VALUE"""),56.9567777)</f>
        <v>56.9567777</v>
      </c>
      <c r="M2298" s="2">
        <f>IFERROR(__xludf.DUMMYFUNCTION("""COMPUTED_VALUE"""),24.1207762)</f>
        <v>24.1207762</v>
      </c>
    </row>
    <row r="2299">
      <c r="A2299" s="2" t="str">
        <f>IFERROR(__xludf.DUMMYFUNCTION("""COMPUTED_VALUE"""),"For sale")</f>
        <v>For sale</v>
      </c>
      <c r="B2299" s="2" t="str">
        <f>IFERROR(__xludf.DUMMYFUNCTION("""COMPUTED_VALUE"""),"centrs")</f>
        <v>centrs</v>
      </c>
      <c r="C2299" s="2" t="str">
        <f>IFERROR(__xludf.DUMMYFUNCTION("""COMPUTED_VALUE"""),"Lāčplēša 13")</f>
        <v>Lāčplēša 13</v>
      </c>
      <c r="D2299" s="2">
        <f>IFERROR(__xludf.DUMMYFUNCTION("""COMPUTED_VALUE"""),5.0)</f>
        <v>5</v>
      </c>
      <c r="E2299" s="2">
        <f>IFERROR(__xludf.DUMMYFUNCTION("""COMPUTED_VALUE"""),92.0)</f>
        <v>92</v>
      </c>
      <c r="F2299" s="2">
        <f>IFERROR(__xludf.DUMMYFUNCTION("""COMPUTED_VALUE"""),4.0)</f>
        <v>4</v>
      </c>
      <c r="G2299" s="2">
        <f>IFERROR(__xludf.DUMMYFUNCTION("""COMPUTED_VALUE"""),6.0)</f>
        <v>6</v>
      </c>
      <c r="H2299" s="2" t="str">
        <f>IFERROR(__xludf.DUMMYFUNCTION("""COMPUTED_VALUE"""),"Renov.")</f>
        <v>Renov.</v>
      </c>
      <c r="I2299" s="2" t="str">
        <f>IFERROR(__xludf.DUMMYFUNCTION("""COMPUTED_VALUE"""),"Masonry")</f>
        <v>Masonry</v>
      </c>
      <c r="J2299" s="2" t="str">
        <f>IFERROR(__xludf.DUMMYFUNCTION("""COMPUTED_VALUE"""),"All amenities")</f>
        <v>All amenities</v>
      </c>
      <c r="K2299" s="2">
        <f>IFERROR(__xludf.DUMMYFUNCTION("""COMPUTED_VALUE"""),183677.0)</f>
        <v>183677</v>
      </c>
      <c r="L2299" s="2">
        <f>IFERROR(__xludf.DUMMYFUNCTION("""COMPUTED_VALUE"""),56.9567777)</f>
        <v>56.9567777</v>
      </c>
      <c r="M2299" s="2">
        <f>IFERROR(__xludf.DUMMYFUNCTION("""COMPUTED_VALUE"""),24.1207762)</f>
        <v>24.1207762</v>
      </c>
    </row>
    <row r="2300">
      <c r="A2300" s="2" t="str">
        <f>IFERROR(__xludf.DUMMYFUNCTION("""COMPUTED_VALUE"""),"For sale")</f>
        <v>For sale</v>
      </c>
      <c r="B2300" s="2" t="str">
        <f>IFERROR(__xludf.DUMMYFUNCTION("""COMPUTED_VALUE"""),"centrs")</f>
        <v>centrs</v>
      </c>
      <c r="C2300" s="2" t="str">
        <f>IFERROR(__xludf.DUMMYFUNCTION("""COMPUTED_VALUE"""),"Lāčplēša 13")</f>
        <v>Lāčplēša 13</v>
      </c>
      <c r="D2300" s="2">
        <f>IFERROR(__xludf.DUMMYFUNCTION("""COMPUTED_VALUE"""),3.0)</f>
        <v>3</v>
      </c>
      <c r="E2300" s="2">
        <f>IFERROR(__xludf.DUMMYFUNCTION("""COMPUTED_VALUE"""),85.0)</f>
        <v>85</v>
      </c>
      <c r="F2300" s="2">
        <f>IFERROR(__xludf.DUMMYFUNCTION("""COMPUTED_VALUE"""),3.0)</f>
        <v>3</v>
      </c>
      <c r="G2300" s="2">
        <f>IFERROR(__xludf.DUMMYFUNCTION("""COMPUTED_VALUE"""),6.0)</f>
        <v>6</v>
      </c>
      <c r="H2300" s="2" t="str">
        <f>IFERROR(__xludf.DUMMYFUNCTION("""COMPUTED_VALUE"""),"Renov.")</f>
        <v>Renov.</v>
      </c>
      <c r="I2300" s="2" t="str">
        <f>IFERROR(__xludf.DUMMYFUNCTION("""COMPUTED_VALUE"""),"Masonry")</f>
        <v>Masonry</v>
      </c>
      <c r="J2300" s="2" t="str">
        <f>IFERROR(__xludf.DUMMYFUNCTION("""COMPUTED_VALUE"""),"All amenities")</f>
        <v>All amenities</v>
      </c>
      <c r="K2300" s="2">
        <f>IFERROR(__xludf.DUMMYFUNCTION("""COMPUTED_VALUE"""),187660.0)</f>
        <v>187660</v>
      </c>
      <c r="L2300" s="2">
        <f>IFERROR(__xludf.DUMMYFUNCTION("""COMPUTED_VALUE"""),56.9567777)</f>
        <v>56.9567777</v>
      </c>
      <c r="M2300" s="2">
        <f>IFERROR(__xludf.DUMMYFUNCTION("""COMPUTED_VALUE"""),24.1207762)</f>
        <v>24.1207762</v>
      </c>
    </row>
    <row r="2301">
      <c r="A2301" s="2" t="str">
        <f>IFERROR(__xludf.DUMMYFUNCTION("""COMPUTED_VALUE"""),"For sale")</f>
        <v>For sale</v>
      </c>
      <c r="B2301" s="2" t="str">
        <f>IFERROR(__xludf.DUMMYFUNCTION("""COMPUTED_VALUE"""),"centrs")</f>
        <v>centrs</v>
      </c>
      <c r="C2301" s="2" t="str">
        <f>IFERROR(__xludf.DUMMYFUNCTION("""COMPUTED_VALUE"""),"Lāčplēša 13")</f>
        <v>Lāčplēša 13</v>
      </c>
      <c r="D2301" s="2">
        <f>IFERROR(__xludf.DUMMYFUNCTION("""COMPUTED_VALUE"""),2.0)</f>
        <v>2</v>
      </c>
      <c r="E2301" s="2">
        <f>IFERROR(__xludf.DUMMYFUNCTION("""COMPUTED_VALUE"""),61.0)</f>
        <v>61</v>
      </c>
      <c r="F2301" s="2">
        <f>IFERROR(__xludf.DUMMYFUNCTION("""COMPUTED_VALUE"""),3.0)</f>
        <v>3</v>
      </c>
      <c r="G2301" s="2">
        <f>IFERROR(__xludf.DUMMYFUNCTION("""COMPUTED_VALUE"""),6.0)</f>
        <v>6</v>
      </c>
      <c r="H2301" s="2" t="str">
        <f>IFERROR(__xludf.DUMMYFUNCTION("""COMPUTED_VALUE"""),"Renov.")</f>
        <v>Renov.</v>
      </c>
      <c r="I2301" s="2" t="str">
        <f>IFERROR(__xludf.DUMMYFUNCTION("""COMPUTED_VALUE"""),"Masonry")</f>
        <v>Masonry</v>
      </c>
      <c r="J2301" s="2" t="str">
        <f>IFERROR(__xludf.DUMMYFUNCTION("""COMPUTED_VALUE"""),"All amenities")</f>
        <v>All amenities</v>
      </c>
      <c r="K2301" s="2">
        <f>IFERROR(__xludf.DUMMYFUNCTION("""COMPUTED_VALUE"""),140070.0)</f>
        <v>140070</v>
      </c>
      <c r="L2301" s="2">
        <f>IFERROR(__xludf.DUMMYFUNCTION("""COMPUTED_VALUE"""),56.9567777)</f>
        <v>56.9567777</v>
      </c>
      <c r="M2301" s="2">
        <f>IFERROR(__xludf.DUMMYFUNCTION("""COMPUTED_VALUE"""),24.1207762)</f>
        <v>24.1207762</v>
      </c>
    </row>
    <row r="2302">
      <c r="A2302" s="2" t="str">
        <f>IFERROR(__xludf.DUMMYFUNCTION("""COMPUTED_VALUE"""),"For sale")</f>
        <v>For sale</v>
      </c>
      <c r="B2302" s="2" t="str">
        <f>IFERROR(__xludf.DUMMYFUNCTION("""COMPUTED_VALUE"""),"Ķengarags")</f>
        <v>Ķengarags</v>
      </c>
      <c r="C2302" s="2" t="str">
        <f>IFERROR(__xludf.DUMMYFUNCTION("""COMPUTED_VALUE"""),"Izvaltas 6")</f>
        <v>Izvaltas 6</v>
      </c>
      <c r="D2302" s="2">
        <f>IFERROR(__xludf.DUMMYFUNCTION("""COMPUTED_VALUE"""),1.0)</f>
        <v>1</v>
      </c>
      <c r="E2302" s="2">
        <f>IFERROR(__xludf.DUMMYFUNCTION("""COMPUTED_VALUE"""),39.0)</f>
        <v>39</v>
      </c>
      <c r="F2302" s="2">
        <f>IFERROR(__xludf.DUMMYFUNCTION("""COMPUTED_VALUE"""),3.0)</f>
        <v>3</v>
      </c>
      <c r="G2302" s="2">
        <f>IFERROR(__xludf.DUMMYFUNCTION("""COMPUTED_VALUE"""),5.0)</f>
        <v>5</v>
      </c>
      <c r="H2302" s="2" t="str">
        <f>IFERROR(__xludf.DUMMYFUNCTION("""COMPUTED_VALUE"""),"M. ģim.")</f>
        <v>M. ģim.</v>
      </c>
      <c r="I2302" s="2" t="str">
        <f>IFERROR(__xludf.DUMMYFUNCTION("""COMPUTED_VALUE"""),"Panel")</f>
        <v>Panel</v>
      </c>
      <c r="J2302" s="2" t="str">
        <f>IFERROR(__xludf.DUMMYFUNCTION("""COMPUTED_VALUE"""),"All amenities")</f>
        <v>All amenities</v>
      </c>
      <c r="K2302" s="2">
        <f>IFERROR(__xludf.DUMMYFUNCTION("""COMPUTED_VALUE"""),30750.0)</f>
        <v>30750</v>
      </c>
      <c r="L2302" s="2">
        <f>IFERROR(__xludf.DUMMYFUNCTION("""COMPUTED_VALUE"""),56.91192745)</f>
        <v>56.91192745</v>
      </c>
      <c r="M2302" s="2">
        <f>IFERROR(__xludf.DUMMYFUNCTION("""COMPUTED_VALUE"""),24.17994935)</f>
        <v>24.17994935</v>
      </c>
    </row>
    <row r="2303">
      <c r="A2303" s="2" t="str">
        <f>IFERROR(__xludf.DUMMYFUNCTION("""COMPUTED_VALUE"""),"For rent")</f>
        <v>For rent</v>
      </c>
      <c r="B2303" s="2" t="str">
        <f>IFERROR(__xludf.DUMMYFUNCTION("""COMPUTED_VALUE"""),"Vecmīlgrāvis")</f>
        <v>Vecmīlgrāvis</v>
      </c>
      <c r="C2303" s="2" t="str">
        <f>IFERROR(__xludf.DUMMYFUNCTION("""COMPUTED_VALUE"""),"Sniega 3")</f>
        <v>Sniega 3</v>
      </c>
      <c r="D2303" s="2">
        <f>IFERROR(__xludf.DUMMYFUNCTION("""COMPUTED_VALUE"""),1.0)</f>
        <v>1</v>
      </c>
      <c r="E2303" s="2">
        <f>IFERROR(__xludf.DUMMYFUNCTION("""COMPUTED_VALUE"""),36.0)</f>
        <v>36</v>
      </c>
      <c r="F2303" s="2">
        <f>IFERROR(__xludf.DUMMYFUNCTION("""COMPUTED_VALUE"""),1.0)</f>
        <v>1</v>
      </c>
      <c r="G2303" s="2">
        <f>IFERROR(__xludf.DUMMYFUNCTION("""COMPUTED_VALUE"""),4.0)</f>
        <v>4</v>
      </c>
      <c r="H2303" s="2" t="str">
        <f>IFERROR(__xludf.DUMMYFUNCTION("""COMPUTED_VALUE"""),"Jaun.")</f>
        <v>Jaun.</v>
      </c>
      <c r="I2303" s="2" t="str">
        <f>IFERROR(__xludf.DUMMYFUNCTION("""COMPUTED_VALUE"""),"Brick")</f>
        <v>Brick</v>
      </c>
      <c r="J2303" s="2" t="str">
        <f>IFERROR(__xludf.DUMMYFUNCTION("""COMPUTED_VALUE"""),"All amenities")</f>
        <v>All amenities</v>
      </c>
      <c r="K2303" s="2">
        <f>IFERROR(__xludf.DUMMYFUNCTION("""COMPUTED_VALUE"""),350.0)</f>
        <v>350</v>
      </c>
      <c r="L2303" s="2">
        <f>IFERROR(__xludf.DUMMYFUNCTION("""COMPUTED_VALUE"""),57.03465345)</f>
        <v>57.03465345</v>
      </c>
      <c r="M2303" s="2">
        <f>IFERROR(__xludf.DUMMYFUNCTION("""COMPUTED_VALUE"""),24.0980322090067)</f>
        <v>24.09803221</v>
      </c>
    </row>
    <row r="2304">
      <c r="A2304" s="2" t="str">
        <f>IFERROR(__xludf.DUMMYFUNCTION("""COMPUTED_VALUE"""),"For rent")</f>
        <v>For rent</v>
      </c>
      <c r="B2304" s="2" t="str">
        <f>IFERROR(__xludf.DUMMYFUNCTION("""COMPUTED_VALUE"""),"Teika")</f>
        <v>Teika</v>
      </c>
      <c r="C2304" s="2" t="str">
        <f>IFERROR(__xludf.DUMMYFUNCTION("""COMPUTED_VALUE"""),"Biķernieku 16a")</f>
        <v>Biķernieku 16a</v>
      </c>
      <c r="D2304" s="2">
        <f>IFERROR(__xludf.DUMMYFUNCTION("""COMPUTED_VALUE"""),2.0)</f>
        <v>2</v>
      </c>
      <c r="E2304" s="2">
        <f>IFERROR(__xludf.DUMMYFUNCTION("""COMPUTED_VALUE"""),56.0)</f>
        <v>56</v>
      </c>
      <c r="F2304" s="2">
        <f>IFERROR(__xludf.DUMMYFUNCTION("""COMPUTED_VALUE"""),3.0)</f>
        <v>3</v>
      </c>
      <c r="G2304" s="2">
        <f>IFERROR(__xludf.DUMMYFUNCTION("""COMPUTED_VALUE"""),5.0)</f>
        <v>5</v>
      </c>
      <c r="H2304" s="2" t="str">
        <f>IFERROR(__xludf.DUMMYFUNCTION("""COMPUTED_VALUE"""),"Jaun.")</f>
        <v>Jaun.</v>
      </c>
      <c r="I2304" s="2" t="str">
        <f>IFERROR(__xludf.DUMMYFUNCTION("""COMPUTED_VALUE"""),"Masonry")</f>
        <v>Masonry</v>
      </c>
      <c r="J2304" s="2" t="str">
        <f>IFERROR(__xludf.DUMMYFUNCTION("""COMPUTED_VALUE"""),"All amenities")</f>
        <v>All amenities</v>
      </c>
      <c r="K2304" s="2">
        <f>IFERROR(__xludf.DUMMYFUNCTION("""COMPUTED_VALUE"""),600.0)</f>
        <v>600</v>
      </c>
      <c r="L2304" s="2">
        <f>IFERROR(__xludf.DUMMYFUNCTION("""COMPUTED_VALUE"""),56.9707462)</f>
        <v>56.9707462</v>
      </c>
      <c r="M2304" s="2">
        <f>IFERROR(__xludf.DUMMYFUNCTION("""COMPUTED_VALUE"""),24.1809297)</f>
        <v>24.1809297</v>
      </c>
    </row>
    <row r="2305">
      <c r="A2305" s="2" t="str">
        <f>IFERROR(__xludf.DUMMYFUNCTION("""COMPUTED_VALUE"""),"For sale")</f>
        <v>For sale</v>
      </c>
      <c r="B2305" s="2" t="str">
        <f>IFERROR(__xludf.DUMMYFUNCTION("""COMPUTED_VALUE"""),"centrs")</f>
        <v>centrs</v>
      </c>
      <c r="C2305" s="2" t="str">
        <f>IFERROR(__xludf.DUMMYFUNCTION("""COMPUTED_VALUE"""),"Zaļā 10")</f>
        <v>Zaļā 10</v>
      </c>
      <c r="D2305" s="2">
        <f>IFERROR(__xludf.DUMMYFUNCTION("""COMPUTED_VALUE"""),3.0)</f>
        <v>3</v>
      </c>
      <c r="E2305" s="2">
        <f>IFERROR(__xludf.DUMMYFUNCTION("""COMPUTED_VALUE"""),87.0)</f>
        <v>87</v>
      </c>
      <c r="F2305" s="2">
        <f>IFERROR(__xludf.DUMMYFUNCTION("""COMPUTED_VALUE"""),2.0)</f>
        <v>2</v>
      </c>
      <c r="G2305" s="2">
        <f>IFERROR(__xludf.DUMMYFUNCTION("""COMPUTED_VALUE"""),5.0)</f>
        <v>5</v>
      </c>
      <c r="H2305" s="2" t="str">
        <f>IFERROR(__xludf.DUMMYFUNCTION("""COMPUTED_VALUE"""),"P. kara")</f>
        <v>P. kara</v>
      </c>
      <c r="I2305" s="2" t="str">
        <f>IFERROR(__xludf.DUMMYFUNCTION("""COMPUTED_VALUE"""),"Masonry")</f>
        <v>Masonry</v>
      </c>
      <c r="J2305" s="2" t="str">
        <f>IFERROR(__xludf.DUMMYFUNCTION("""COMPUTED_VALUE"""),"All amenities")</f>
        <v>All amenities</v>
      </c>
      <c r="K2305" s="2">
        <f>IFERROR(__xludf.DUMMYFUNCTION("""COMPUTED_VALUE"""),168800.0)</f>
        <v>168800</v>
      </c>
      <c r="L2305" s="2">
        <f>IFERROR(__xludf.DUMMYFUNCTION("""COMPUTED_VALUE"""),56.9594676)</f>
        <v>56.9594676</v>
      </c>
      <c r="M2305" s="2">
        <f>IFERROR(__xludf.DUMMYFUNCTION("""COMPUTED_VALUE"""),24.115743)</f>
        <v>24.115743</v>
      </c>
    </row>
    <row r="2306">
      <c r="A2306" s="2" t="str">
        <f>IFERROR(__xludf.DUMMYFUNCTION("""COMPUTED_VALUE"""),"For sale")</f>
        <v>For sale</v>
      </c>
      <c r="B2306" s="2" t="str">
        <f>IFERROR(__xludf.DUMMYFUNCTION("""COMPUTED_VALUE"""),"centrs")</f>
        <v>centrs</v>
      </c>
      <c r="C2306" s="2" t="str">
        <f>IFERROR(__xludf.DUMMYFUNCTION("""COMPUTED_VALUE"""),"Brīvības iela 136")</f>
        <v>Brīvības iela 136</v>
      </c>
      <c r="D2306" s="2">
        <f>IFERROR(__xludf.DUMMYFUNCTION("""COMPUTED_VALUE"""),3.0)</f>
        <v>3</v>
      </c>
      <c r="E2306" s="2">
        <f>IFERROR(__xludf.DUMMYFUNCTION("""COMPUTED_VALUE"""),81.0)</f>
        <v>81</v>
      </c>
      <c r="F2306" s="2">
        <f>IFERROR(__xludf.DUMMYFUNCTION("""COMPUTED_VALUE"""),2.0)</f>
        <v>2</v>
      </c>
      <c r="G2306" s="2">
        <f>IFERROR(__xludf.DUMMYFUNCTION("""COMPUTED_VALUE"""),5.0)</f>
        <v>5</v>
      </c>
      <c r="H2306" s="2" t="str">
        <f>IFERROR(__xludf.DUMMYFUNCTION("""COMPUTED_VALUE"""),"P. kara")</f>
        <v>P. kara</v>
      </c>
      <c r="I2306" s="2" t="str">
        <f>IFERROR(__xludf.DUMMYFUNCTION("""COMPUTED_VALUE"""),"Masonry")</f>
        <v>Masonry</v>
      </c>
      <c r="J2306" s="2" t="str">
        <f>IFERROR(__xludf.DUMMYFUNCTION("""COMPUTED_VALUE"""),"All amenities")</f>
        <v>All amenities</v>
      </c>
      <c r="K2306" s="2">
        <f>IFERROR(__xludf.DUMMYFUNCTION("""COMPUTED_VALUE"""),99600.0)</f>
        <v>99600</v>
      </c>
      <c r="L2306" s="2">
        <f>IFERROR(__xludf.DUMMYFUNCTION("""COMPUTED_VALUE"""),56.9636061)</f>
        <v>56.9636061</v>
      </c>
      <c r="M2306" s="2">
        <f>IFERROR(__xludf.DUMMYFUNCTION("""COMPUTED_VALUE"""),24.1388658)</f>
        <v>24.1388658</v>
      </c>
    </row>
    <row r="2307">
      <c r="A2307" s="2" t="str">
        <f>IFERROR(__xludf.DUMMYFUNCTION("""COMPUTED_VALUE"""),"For rent")</f>
        <v>For rent</v>
      </c>
      <c r="B2307" s="2" t="str">
        <f>IFERROR(__xludf.DUMMYFUNCTION("""COMPUTED_VALUE"""),"centrs")</f>
        <v>centrs</v>
      </c>
      <c r="C2307" s="2" t="str">
        <f>IFERROR(__xludf.DUMMYFUNCTION("""COMPUTED_VALUE"""),"Elizabetes 10b")</f>
        <v>Elizabetes 10b</v>
      </c>
      <c r="D2307" s="2">
        <f>IFERROR(__xludf.DUMMYFUNCTION("""COMPUTED_VALUE"""),4.0)</f>
        <v>4</v>
      </c>
      <c r="E2307" s="2">
        <f>IFERROR(__xludf.DUMMYFUNCTION("""COMPUTED_VALUE"""),153.0)</f>
        <v>153</v>
      </c>
      <c r="F2307" s="2">
        <f>IFERROR(__xludf.DUMMYFUNCTION("""COMPUTED_VALUE"""),2.0)</f>
        <v>2</v>
      </c>
      <c r="G2307" s="2">
        <f>IFERROR(__xludf.DUMMYFUNCTION("""COMPUTED_VALUE"""),5.0)</f>
        <v>5</v>
      </c>
      <c r="H2307" s="2" t="str">
        <f>IFERROR(__xludf.DUMMYFUNCTION("""COMPUTED_VALUE"""),"Renov.")</f>
        <v>Renov.</v>
      </c>
      <c r="I2307" s="2" t="str">
        <f>IFERROR(__xludf.DUMMYFUNCTION("""COMPUTED_VALUE"""),"Masonry")</f>
        <v>Masonry</v>
      </c>
      <c r="J2307" s="2" t="str">
        <f>IFERROR(__xludf.DUMMYFUNCTION("""COMPUTED_VALUE"""),"All amenities")</f>
        <v>All amenities</v>
      </c>
      <c r="K2307" s="2">
        <f>IFERROR(__xludf.DUMMYFUNCTION("""COMPUTED_VALUE"""),1500.0)</f>
        <v>1500</v>
      </c>
      <c r="L2307" s="2">
        <f>IFERROR(__xludf.DUMMYFUNCTION("""COMPUTED_VALUE"""),56.957491)</f>
        <v>56.957491</v>
      </c>
      <c r="M2307" s="2">
        <f>IFERROR(__xludf.DUMMYFUNCTION("""COMPUTED_VALUE"""),24.1113595)</f>
        <v>24.1113595</v>
      </c>
    </row>
    <row r="2308">
      <c r="A2308" s="2" t="str">
        <f>IFERROR(__xludf.DUMMYFUNCTION("""COMPUTED_VALUE"""),"For sale")</f>
        <v>For sale</v>
      </c>
      <c r="B2308" s="2" t="str">
        <f>IFERROR(__xludf.DUMMYFUNCTION("""COMPUTED_VALUE"""),"Jugla")</f>
        <v>Jugla</v>
      </c>
      <c r="C2308" s="2" t="str">
        <f>IFERROR(__xludf.DUMMYFUNCTION("""COMPUTED_VALUE"""),"Murjāņu 40")</f>
        <v>Murjāņu 40</v>
      </c>
      <c r="D2308" s="2">
        <f>IFERROR(__xludf.DUMMYFUNCTION("""COMPUTED_VALUE"""),2.0)</f>
        <v>2</v>
      </c>
      <c r="E2308" s="2">
        <f>IFERROR(__xludf.DUMMYFUNCTION("""COMPUTED_VALUE"""),45.2)</f>
        <v>45.2</v>
      </c>
      <c r="F2308" s="2">
        <f>IFERROR(__xludf.DUMMYFUNCTION("""COMPUTED_VALUE"""),2.0)</f>
        <v>2</v>
      </c>
      <c r="G2308" s="2">
        <f>IFERROR(__xludf.DUMMYFUNCTION("""COMPUTED_VALUE"""),5.0)</f>
        <v>5</v>
      </c>
      <c r="H2308" s="2" t="str">
        <f>IFERROR(__xludf.DUMMYFUNCTION("""COMPUTED_VALUE"""),"Hrušč.")</f>
        <v>Hrušč.</v>
      </c>
      <c r="I2308" s="2" t="str">
        <f>IFERROR(__xludf.DUMMYFUNCTION("""COMPUTED_VALUE"""),"Panel")</f>
        <v>Panel</v>
      </c>
      <c r="J2308" s="2" t="str">
        <f>IFERROR(__xludf.DUMMYFUNCTION("""COMPUTED_VALUE"""),"All amenities")</f>
        <v>All amenities</v>
      </c>
      <c r="K2308" s="2">
        <f>IFERROR(__xludf.DUMMYFUNCTION("""COMPUTED_VALUE"""),52000.0)</f>
        <v>52000</v>
      </c>
      <c r="L2308" s="2">
        <f>IFERROR(__xludf.DUMMYFUNCTION("""COMPUTED_VALUE"""),56.9782177999999)</f>
        <v>56.9782178</v>
      </c>
      <c r="M2308" s="2">
        <f>IFERROR(__xludf.DUMMYFUNCTION("""COMPUTED_VALUE"""),24.2486851147419)</f>
        <v>24.24868511</v>
      </c>
    </row>
    <row r="2309">
      <c r="A2309" s="2" t="str">
        <f>IFERROR(__xludf.DUMMYFUNCTION("""COMPUTED_VALUE"""),"For sale")</f>
        <v>For sale</v>
      </c>
      <c r="B2309" s="2" t="str">
        <f>IFERROR(__xludf.DUMMYFUNCTION("""COMPUTED_VALUE"""),"centrs")</f>
        <v>centrs</v>
      </c>
      <c r="C2309" s="2" t="str">
        <f>IFERROR(__xludf.DUMMYFUNCTION("""COMPUTED_VALUE"""),"Ģertrūdes 99")</f>
        <v>Ģertrūdes 99</v>
      </c>
      <c r="D2309" s="2">
        <f>IFERROR(__xludf.DUMMYFUNCTION("""COMPUTED_VALUE"""),3.0)</f>
        <v>3</v>
      </c>
      <c r="E2309" s="2">
        <f>IFERROR(__xludf.DUMMYFUNCTION("""COMPUTED_VALUE"""),55.0)</f>
        <v>55</v>
      </c>
      <c r="F2309" s="2">
        <f>IFERROR(__xludf.DUMMYFUNCTION("""COMPUTED_VALUE"""),2.0)</f>
        <v>2</v>
      </c>
      <c r="G2309" s="2">
        <f>IFERROR(__xludf.DUMMYFUNCTION("""COMPUTED_VALUE"""),6.0)</f>
        <v>6</v>
      </c>
      <c r="H2309" s="2" t="str">
        <f>IFERROR(__xludf.DUMMYFUNCTION("""COMPUTED_VALUE"""),"Renov.")</f>
        <v>Renov.</v>
      </c>
      <c r="I2309" s="2" t="str">
        <f>IFERROR(__xludf.DUMMYFUNCTION("""COMPUTED_VALUE"""),"Masonry")</f>
        <v>Masonry</v>
      </c>
      <c r="J2309" s="2" t="str">
        <f>IFERROR(__xludf.DUMMYFUNCTION("""COMPUTED_VALUE"""),"All amenities")</f>
        <v>All amenities</v>
      </c>
      <c r="K2309" s="2">
        <f>IFERROR(__xludf.DUMMYFUNCTION("""COMPUTED_VALUE"""),115794.0)</f>
        <v>115794</v>
      </c>
      <c r="L2309" s="2">
        <f>IFERROR(__xludf.DUMMYFUNCTION("""COMPUTED_VALUE"""),56.94999685)</f>
        <v>56.94999685</v>
      </c>
      <c r="M2309" s="2">
        <f>IFERROR(__xludf.DUMMYFUNCTION("""COMPUTED_VALUE"""),24.1364139006283)</f>
        <v>24.1364139</v>
      </c>
    </row>
    <row r="2310">
      <c r="A2310" s="2" t="str">
        <f>IFERROR(__xludf.DUMMYFUNCTION("""COMPUTED_VALUE"""),"For rent")</f>
        <v>For rent</v>
      </c>
      <c r="B2310" s="2" t="str">
        <f>IFERROR(__xludf.DUMMYFUNCTION("""COMPUTED_VALUE"""),"Iļģuciems")</f>
        <v>Iļģuciems</v>
      </c>
      <c r="C2310" s="2" t="str">
        <f>IFERROR(__xludf.DUMMYFUNCTION("""COMPUTED_VALUE"""),"Slokas 84")</f>
        <v>Slokas 84</v>
      </c>
      <c r="D2310" s="2">
        <f>IFERROR(__xludf.DUMMYFUNCTION("""COMPUTED_VALUE"""),2.0)</f>
        <v>2</v>
      </c>
      <c r="E2310" s="2">
        <f>IFERROR(__xludf.DUMMYFUNCTION("""COMPUTED_VALUE"""),45.0)</f>
        <v>45</v>
      </c>
      <c r="F2310" s="2">
        <f>IFERROR(__xludf.DUMMYFUNCTION("""COMPUTED_VALUE"""),3.0)</f>
        <v>3</v>
      </c>
      <c r="G2310" s="2">
        <f>IFERROR(__xludf.DUMMYFUNCTION("""COMPUTED_VALUE"""),4.0)</f>
        <v>4</v>
      </c>
      <c r="H2310" s="2" t="str">
        <f>IFERROR(__xludf.DUMMYFUNCTION("""COMPUTED_VALUE"""),"Jaun.")</f>
        <v>Jaun.</v>
      </c>
      <c r="I2310" s="2" t="str">
        <f>IFERROR(__xludf.DUMMYFUNCTION("""COMPUTED_VALUE"""),"Masonry")</f>
        <v>Masonry</v>
      </c>
      <c r="J2310" s="2" t="str">
        <f>IFERROR(__xludf.DUMMYFUNCTION("""COMPUTED_VALUE"""),"All amenities")</f>
        <v>All amenities</v>
      </c>
      <c r="K2310" s="2">
        <f>IFERROR(__xludf.DUMMYFUNCTION("""COMPUTED_VALUE"""),400.0)</f>
        <v>400</v>
      </c>
      <c r="L2310" s="2">
        <f>IFERROR(__xludf.DUMMYFUNCTION("""COMPUTED_VALUE"""),56.9606714)</f>
        <v>56.9606714</v>
      </c>
      <c r="M2310" s="2">
        <f>IFERROR(__xludf.DUMMYFUNCTION("""COMPUTED_VALUE"""),24.0564539976868)</f>
        <v>24.056454</v>
      </c>
    </row>
    <row r="2311">
      <c r="A2311" s="2" t="str">
        <f>IFERROR(__xludf.DUMMYFUNCTION("""COMPUTED_VALUE"""),"For sale")</f>
        <v>For sale</v>
      </c>
      <c r="B2311" s="2" t="str">
        <f>IFERROR(__xludf.DUMMYFUNCTION("""COMPUTED_VALUE"""),"Mežaparks")</f>
        <v>Mežaparks</v>
      </c>
      <c r="C2311" s="2" t="str">
        <f>IFERROR(__xludf.DUMMYFUNCTION("""COMPUTED_VALUE"""),"Hamburgas 17")</f>
        <v>Hamburgas 17</v>
      </c>
      <c r="D2311" s="2">
        <f>IFERROR(__xludf.DUMMYFUNCTION("""COMPUTED_VALUE"""),3.0)</f>
        <v>3</v>
      </c>
      <c r="E2311" s="2">
        <f>IFERROR(__xludf.DUMMYFUNCTION("""COMPUTED_VALUE"""),82.0)</f>
        <v>82</v>
      </c>
      <c r="F2311" s="2">
        <f>IFERROR(__xludf.DUMMYFUNCTION("""COMPUTED_VALUE"""),3.0)</f>
        <v>3</v>
      </c>
      <c r="G2311" s="2">
        <f>IFERROR(__xludf.DUMMYFUNCTION("""COMPUTED_VALUE"""),3.0)</f>
        <v>3</v>
      </c>
      <c r="H2311" s="2" t="str">
        <f>IFERROR(__xludf.DUMMYFUNCTION("""COMPUTED_VALUE"""),"P. kara")</f>
        <v>P. kara</v>
      </c>
      <c r="I2311" s="2" t="str">
        <f>IFERROR(__xludf.DUMMYFUNCTION("""COMPUTED_VALUE"""),"Masonry")</f>
        <v>Masonry</v>
      </c>
      <c r="J2311" s="2" t="str">
        <f>IFERROR(__xludf.DUMMYFUNCTION("""COMPUTED_VALUE"""),"All amenities")</f>
        <v>All amenities</v>
      </c>
      <c r="K2311" s="2">
        <f>IFERROR(__xludf.DUMMYFUNCTION("""COMPUTED_VALUE"""),158000.0)</f>
        <v>158000</v>
      </c>
      <c r="L2311" s="2">
        <f>IFERROR(__xludf.DUMMYFUNCTION("""COMPUTED_VALUE"""),56.9979992)</f>
        <v>56.9979992</v>
      </c>
      <c r="M2311" s="2">
        <f>IFERROR(__xludf.DUMMYFUNCTION("""COMPUTED_VALUE"""),24.1641228)</f>
        <v>24.1641228</v>
      </c>
    </row>
    <row r="2312">
      <c r="A2312" s="2" t="str">
        <f>IFERROR(__xludf.DUMMYFUNCTION("""COMPUTED_VALUE"""),"For rent")</f>
        <v>For rent</v>
      </c>
      <c r="B2312" s="2" t="str">
        <f>IFERROR(__xludf.DUMMYFUNCTION("""COMPUTED_VALUE"""),"Maskavas priekšpilsēta")</f>
        <v>Maskavas priekšpilsēta</v>
      </c>
      <c r="C2312" s="2" t="str">
        <f>IFERROR(__xludf.DUMMYFUNCTION("""COMPUTED_VALUE"""),"Maskavas 104")</f>
        <v>Maskavas 104</v>
      </c>
      <c r="D2312" s="2">
        <f>IFERROR(__xludf.DUMMYFUNCTION("""COMPUTED_VALUE"""),1.0)</f>
        <v>1</v>
      </c>
      <c r="E2312" s="2">
        <f>IFERROR(__xludf.DUMMYFUNCTION("""COMPUTED_VALUE"""),19.0)</f>
        <v>19</v>
      </c>
      <c r="F2312" s="2">
        <f>IFERROR(__xludf.DUMMYFUNCTION("""COMPUTED_VALUE"""),3.0)</f>
        <v>3</v>
      </c>
      <c r="G2312" s="2">
        <f>IFERROR(__xludf.DUMMYFUNCTION("""COMPUTED_VALUE"""),3.0)</f>
        <v>3</v>
      </c>
      <c r="H2312" s="2" t="str">
        <f>IFERROR(__xludf.DUMMYFUNCTION("""COMPUTED_VALUE"""),"Specpr.")</f>
        <v>Specpr.</v>
      </c>
      <c r="I2312" s="2" t="str">
        <f>IFERROR(__xludf.DUMMYFUNCTION("""COMPUTED_VALUE"""),"Wood")</f>
        <v>Wood</v>
      </c>
      <c r="J2312" s="2" t="str">
        <f>IFERROR(__xludf.DUMMYFUNCTION("""COMPUTED_VALUE"""),"All amenities")</f>
        <v>All amenities</v>
      </c>
      <c r="K2312" s="2">
        <f>IFERROR(__xludf.DUMMYFUNCTION("""COMPUTED_VALUE"""),140.0)</f>
        <v>140</v>
      </c>
      <c r="L2312" s="2">
        <f>IFERROR(__xludf.DUMMYFUNCTION("""COMPUTED_VALUE"""),56.8597884)</f>
        <v>56.8597884</v>
      </c>
      <c r="M2312" s="2">
        <f>IFERROR(__xludf.DUMMYFUNCTION("""COMPUTED_VALUE"""),24.3083417)</f>
        <v>24.3083417</v>
      </c>
    </row>
    <row r="2313">
      <c r="A2313" s="2" t="str">
        <f>IFERROR(__xludf.DUMMYFUNCTION("""COMPUTED_VALUE"""),"For rent")</f>
        <v>For rent</v>
      </c>
      <c r="B2313" s="2" t="str">
        <f>IFERROR(__xludf.DUMMYFUNCTION("""COMPUTED_VALUE"""),"Krasta r-ns")</f>
        <v>Krasta r-ns</v>
      </c>
      <c r="C2313" s="2" t="str">
        <f>IFERROR(__xludf.DUMMYFUNCTION("""COMPUTED_VALUE"""),"Salacas 26")</f>
        <v>Salacas 26</v>
      </c>
      <c r="D2313" s="2">
        <f>IFERROR(__xludf.DUMMYFUNCTION("""COMPUTED_VALUE"""),1.0)</f>
        <v>1</v>
      </c>
      <c r="E2313" s="2">
        <f>IFERROR(__xludf.DUMMYFUNCTION("""COMPUTED_VALUE"""),30.0)</f>
        <v>30</v>
      </c>
      <c r="F2313" s="2">
        <f>IFERROR(__xludf.DUMMYFUNCTION("""COMPUTED_VALUE"""),2.0)</f>
        <v>2</v>
      </c>
      <c r="G2313" s="2">
        <f>IFERROR(__xludf.DUMMYFUNCTION("""COMPUTED_VALUE"""),2.0)</f>
        <v>2</v>
      </c>
      <c r="H2313" s="2" t="str">
        <f>IFERROR(__xludf.DUMMYFUNCTION("""COMPUTED_VALUE"""),"Specpr.")</f>
        <v>Specpr.</v>
      </c>
      <c r="I2313" s="2" t="str">
        <f>IFERROR(__xludf.DUMMYFUNCTION("""COMPUTED_VALUE"""),"Wood")</f>
        <v>Wood</v>
      </c>
      <c r="J2313" s="2" t="str">
        <f>IFERROR(__xludf.DUMMYFUNCTION("""COMPUTED_VALUE"""),"All amenities")</f>
        <v>All amenities</v>
      </c>
      <c r="K2313" s="2">
        <f>IFERROR(__xludf.DUMMYFUNCTION("""COMPUTED_VALUE"""),160.0)</f>
        <v>160</v>
      </c>
      <c r="L2313" s="2">
        <f>IFERROR(__xludf.DUMMYFUNCTION("""COMPUTED_VALUE"""),56.92693735)</f>
        <v>56.92693735</v>
      </c>
      <c r="M2313" s="2">
        <f>IFERROR(__xludf.DUMMYFUNCTION("""COMPUTED_VALUE"""),24.1710772673441)</f>
        <v>24.17107727</v>
      </c>
    </row>
    <row r="2314">
      <c r="A2314" s="2" t="str">
        <f>IFERROR(__xludf.DUMMYFUNCTION("""COMPUTED_VALUE"""),"For rent")</f>
        <v>For rent</v>
      </c>
      <c r="B2314" s="2" t="str">
        <f>IFERROR(__xludf.DUMMYFUNCTION("""COMPUTED_VALUE"""),"centrs")</f>
        <v>centrs</v>
      </c>
      <c r="C2314" s="2" t="str">
        <f>IFERROR(__xludf.DUMMYFUNCTION("""COMPUTED_VALUE"""),"Brīvības 148")</f>
        <v>Brīvības 148</v>
      </c>
      <c r="D2314" s="2">
        <f>IFERROR(__xludf.DUMMYFUNCTION("""COMPUTED_VALUE"""),1.0)</f>
        <v>1</v>
      </c>
      <c r="E2314" s="2">
        <f>IFERROR(__xludf.DUMMYFUNCTION("""COMPUTED_VALUE"""),35.0)</f>
        <v>35</v>
      </c>
      <c r="F2314" s="2">
        <f>IFERROR(__xludf.DUMMYFUNCTION("""COMPUTED_VALUE"""),2.0)</f>
        <v>2</v>
      </c>
      <c r="G2314" s="2">
        <f>IFERROR(__xludf.DUMMYFUNCTION("""COMPUTED_VALUE"""),5.0)</f>
        <v>5</v>
      </c>
      <c r="H2314" s="2" t="str">
        <f>IFERROR(__xludf.DUMMYFUNCTION("""COMPUTED_VALUE"""),"P. kara")</f>
        <v>P. kara</v>
      </c>
      <c r="I2314" s="2" t="str">
        <f>IFERROR(__xludf.DUMMYFUNCTION("""COMPUTED_VALUE"""),"Masonry")</f>
        <v>Masonry</v>
      </c>
      <c r="J2314" s="2" t="str">
        <f>IFERROR(__xludf.DUMMYFUNCTION("""COMPUTED_VALUE"""),"All amenities")</f>
        <v>All amenities</v>
      </c>
      <c r="K2314" s="2">
        <f>IFERROR(__xludf.DUMMYFUNCTION("""COMPUTED_VALUE"""),30.0)</f>
        <v>30</v>
      </c>
      <c r="L2314" s="2">
        <f>IFERROR(__xludf.DUMMYFUNCTION("""COMPUTED_VALUE"""),56.964231)</f>
        <v>56.964231</v>
      </c>
      <c r="M2314" s="2">
        <f>IFERROR(__xludf.DUMMYFUNCTION("""COMPUTED_VALUE"""),24.140576370724)</f>
        <v>24.14057637</v>
      </c>
    </row>
    <row r="2315">
      <c r="A2315" s="2" t="str">
        <f>IFERROR(__xludf.DUMMYFUNCTION("""COMPUTED_VALUE"""),"For sale")</f>
        <v>For sale</v>
      </c>
      <c r="B2315" s="2" t="str">
        <f>IFERROR(__xludf.DUMMYFUNCTION("""COMPUTED_VALUE"""),"centrs")</f>
        <v>centrs</v>
      </c>
      <c r="C2315" s="2" t="str">
        <f>IFERROR(__xludf.DUMMYFUNCTION("""COMPUTED_VALUE"""),"Tērbatas 41/43")</f>
        <v>Tērbatas 41/43</v>
      </c>
      <c r="D2315" s="2">
        <f>IFERROR(__xludf.DUMMYFUNCTION("""COMPUTED_VALUE"""),5.0)</f>
        <v>5</v>
      </c>
      <c r="E2315" s="2">
        <f>IFERROR(__xludf.DUMMYFUNCTION("""COMPUTED_VALUE"""),164.0)</f>
        <v>164</v>
      </c>
      <c r="F2315" s="2">
        <f>IFERROR(__xludf.DUMMYFUNCTION("""COMPUTED_VALUE"""),4.0)</f>
        <v>4</v>
      </c>
      <c r="G2315" s="2">
        <f>IFERROR(__xludf.DUMMYFUNCTION("""COMPUTED_VALUE"""),5.0)</f>
        <v>5</v>
      </c>
      <c r="H2315" s="2" t="str">
        <f>IFERROR(__xludf.DUMMYFUNCTION("""COMPUTED_VALUE"""),"P. kara")</f>
        <v>P. kara</v>
      </c>
      <c r="I2315" s="2" t="str">
        <f>IFERROR(__xludf.DUMMYFUNCTION("""COMPUTED_VALUE"""),"Masonry")</f>
        <v>Masonry</v>
      </c>
      <c r="J2315" s="2" t="str">
        <f>IFERROR(__xludf.DUMMYFUNCTION("""COMPUTED_VALUE"""),"All amenities")</f>
        <v>All amenities</v>
      </c>
      <c r="K2315" s="2">
        <f>IFERROR(__xludf.DUMMYFUNCTION("""COMPUTED_VALUE"""),260000.0)</f>
        <v>260000</v>
      </c>
      <c r="L2315" s="2">
        <f>IFERROR(__xludf.DUMMYFUNCTION("""COMPUTED_VALUE"""),56.9557759)</f>
        <v>56.9557759</v>
      </c>
      <c r="M2315" s="2">
        <f>IFERROR(__xludf.DUMMYFUNCTION("""COMPUTED_VALUE"""),24.1253193)</f>
        <v>24.1253193</v>
      </c>
    </row>
    <row r="2316">
      <c r="A2316" s="2" t="str">
        <f>IFERROR(__xludf.DUMMYFUNCTION("""COMPUTED_VALUE"""),"For sale")</f>
        <v>For sale</v>
      </c>
      <c r="B2316" s="2" t="str">
        <f>IFERROR(__xludf.DUMMYFUNCTION("""COMPUTED_VALUE"""),"Teika")</f>
        <v>Teika</v>
      </c>
      <c r="C2316" s="2" t="str">
        <f>IFERROR(__xludf.DUMMYFUNCTION("""COMPUTED_VALUE"""),"Caunes 10")</f>
        <v>Caunes 10</v>
      </c>
      <c r="D2316" s="2">
        <f>IFERROR(__xludf.DUMMYFUNCTION("""COMPUTED_VALUE"""),3.0)</f>
        <v>3</v>
      </c>
      <c r="E2316" s="2">
        <f>IFERROR(__xludf.DUMMYFUNCTION("""COMPUTED_VALUE"""),86.0)</f>
        <v>86</v>
      </c>
      <c r="F2316" s="2">
        <f>IFERROR(__xludf.DUMMYFUNCTION("""COMPUTED_VALUE"""),3.0)</f>
        <v>3</v>
      </c>
      <c r="G2316" s="2">
        <f>IFERROR(__xludf.DUMMYFUNCTION("""COMPUTED_VALUE"""),7.0)</f>
        <v>7</v>
      </c>
      <c r="H2316" s="2" t="str">
        <f>IFERROR(__xludf.DUMMYFUNCTION("""COMPUTED_VALUE"""),"Specpr.")</f>
        <v>Specpr.</v>
      </c>
      <c r="I2316" s="2" t="str">
        <f>IFERROR(__xludf.DUMMYFUNCTION("""COMPUTED_VALUE"""),"Brick")</f>
        <v>Brick</v>
      </c>
      <c r="J2316" s="2" t="str">
        <f>IFERROR(__xludf.DUMMYFUNCTION("""COMPUTED_VALUE"""),"All amenities")</f>
        <v>All amenities</v>
      </c>
      <c r="K2316" s="2">
        <f>IFERROR(__xludf.DUMMYFUNCTION("""COMPUTED_VALUE"""),98000.0)</f>
        <v>98000</v>
      </c>
      <c r="L2316" s="2">
        <f>IFERROR(__xludf.DUMMYFUNCTION("""COMPUTED_VALUE"""),56.98133745)</f>
        <v>56.98133745</v>
      </c>
      <c r="M2316" s="2">
        <f>IFERROR(__xludf.DUMMYFUNCTION("""COMPUTED_VALUE"""),24.1877621027621)</f>
        <v>24.1877621</v>
      </c>
    </row>
    <row r="2317">
      <c r="A2317" s="2" t="str">
        <f>IFERROR(__xludf.DUMMYFUNCTION("""COMPUTED_VALUE"""),"For sale")</f>
        <v>For sale</v>
      </c>
      <c r="B2317" s="2" t="str">
        <f>IFERROR(__xludf.DUMMYFUNCTION("""COMPUTED_VALUE"""),"centrs")</f>
        <v>centrs</v>
      </c>
      <c r="C2317" s="2" t="str">
        <f>IFERROR(__xludf.DUMMYFUNCTION("""COMPUTED_VALUE"""),"Tērbatas 37")</f>
        <v>Tērbatas 37</v>
      </c>
      <c r="D2317" s="2">
        <f>IFERROR(__xludf.DUMMYFUNCTION("""COMPUTED_VALUE"""),5.0)</f>
        <v>5</v>
      </c>
      <c r="E2317" s="2">
        <f>IFERROR(__xludf.DUMMYFUNCTION("""COMPUTED_VALUE"""),109.0)</f>
        <v>109</v>
      </c>
      <c r="F2317" s="2">
        <f>IFERROR(__xludf.DUMMYFUNCTION("""COMPUTED_VALUE"""),5.0)</f>
        <v>5</v>
      </c>
      <c r="G2317" s="2">
        <f>IFERROR(__xludf.DUMMYFUNCTION("""COMPUTED_VALUE"""),5.0)</f>
        <v>5</v>
      </c>
      <c r="H2317" s="2" t="str">
        <f>IFERROR(__xludf.DUMMYFUNCTION("""COMPUTED_VALUE"""),"P. kara")</f>
        <v>P. kara</v>
      </c>
      <c r="I2317" s="2" t="str">
        <f>IFERROR(__xludf.DUMMYFUNCTION("""COMPUTED_VALUE"""),"Masonry")</f>
        <v>Masonry</v>
      </c>
      <c r="J2317" s="2" t="str">
        <f>IFERROR(__xludf.DUMMYFUNCTION("""COMPUTED_VALUE"""),"All amenities")</f>
        <v>All amenities</v>
      </c>
      <c r="K2317" s="2">
        <f>IFERROR(__xludf.DUMMYFUNCTION("""COMPUTED_VALUE"""),150000.0)</f>
        <v>150000</v>
      </c>
      <c r="L2317" s="2">
        <f>IFERROR(__xludf.DUMMYFUNCTION("""COMPUTED_VALUE"""),56.955472)</f>
        <v>56.955472</v>
      </c>
      <c r="M2317" s="2">
        <f>IFERROR(__xludf.DUMMYFUNCTION("""COMPUTED_VALUE"""),24.1246883)</f>
        <v>24.1246883</v>
      </c>
    </row>
    <row r="2318">
      <c r="A2318" s="2" t="str">
        <f>IFERROR(__xludf.DUMMYFUNCTION("""COMPUTED_VALUE"""),"For sale")</f>
        <v>For sale</v>
      </c>
      <c r="B2318" s="2" t="str">
        <f>IFERROR(__xludf.DUMMYFUNCTION("""COMPUTED_VALUE"""),"Āgenskalns")</f>
        <v>Āgenskalns</v>
      </c>
      <c r="C2318" s="2" t="str">
        <f>IFERROR(__xludf.DUMMYFUNCTION("""COMPUTED_VALUE"""),"Ormaņu 3")</f>
        <v>Ormaņu 3</v>
      </c>
      <c r="D2318" s="2">
        <f>IFERROR(__xludf.DUMMYFUNCTION("""COMPUTED_VALUE"""),1.0)</f>
        <v>1</v>
      </c>
      <c r="E2318" s="2">
        <f>IFERROR(__xludf.DUMMYFUNCTION("""COMPUTED_VALUE"""),23.0)</f>
        <v>23</v>
      </c>
      <c r="F2318" s="2">
        <f>IFERROR(__xludf.DUMMYFUNCTION("""COMPUTED_VALUE"""),2.0)</f>
        <v>2</v>
      </c>
      <c r="G2318" s="2">
        <f>IFERROR(__xludf.DUMMYFUNCTION("""COMPUTED_VALUE"""),2.0)</f>
        <v>2</v>
      </c>
      <c r="H2318" s="2" t="str">
        <f>IFERROR(__xludf.DUMMYFUNCTION("""COMPUTED_VALUE"""),"P. kara")</f>
        <v>P. kara</v>
      </c>
      <c r="I2318" s="2" t="str">
        <f>IFERROR(__xludf.DUMMYFUNCTION("""COMPUTED_VALUE"""),"Wood")</f>
        <v>Wood</v>
      </c>
      <c r="J2318" s="2" t="str">
        <f>IFERROR(__xludf.DUMMYFUNCTION("""COMPUTED_VALUE"""),"Partial amenities")</f>
        <v>Partial amenities</v>
      </c>
      <c r="K2318" s="2">
        <f>IFERROR(__xludf.DUMMYFUNCTION("""COMPUTED_VALUE"""),14900.0)</f>
        <v>14900</v>
      </c>
      <c r="L2318" s="2">
        <f>IFERROR(__xludf.DUMMYFUNCTION("""COMPUTED_VALUE"""),56.9386726)</f>
        <v>56.9386726</v>
      </c>
      <c r="M2318" s="2">
        <f>IFERROR(__xludf.DUMMYFUNCTION("""COMPUTED_VALUE"""),24.0704405)</f>
        <v>24.0704405</v>
      </c>
    </row>
    <row r="2319">
      <c r="A2319" s="2" t="str">
        <f>IFERROR(__xludf.DUMMYFUNCTION("""COMPUTED_VALUE"""),"For rent")</f>
        <v>For rent</v>
      </c>
      <c r="B2319" s="2" t="str">
        <f>IFERROR(__xludf.DUMMYFUNCTION("""COMPUTED_VALUE"""),"centrs")</f>
        <v>centrs</v>
      </c>
      <c r="C2319" s="2" t="str">
        <f>IFERROR(__xludf.DUMMYFUNCTION("""COMPUTED_VALUE"""),"Ģertrūdes 39")</f>
        <v>Ģertrūdes 39</v>
      </c>
      <c r="D2319" s="2">
        <f>IFERROR(__xludf.DUMMYFUNCTION("""COMPUTED_VALUE"""),2.0)</f>
        <v>2</v>
      </c>
      <c r="E2319" s="2">
        <f>IFERROR(__xludf.DUMMYFUNCTION("""COMPUTED_VALUE"""),71.0)</f>
        <v>71</v>
      </c>
      <c r="F2319" s="2">
        <f>IFERROR(__xludf.DUMMYFUNCTION("""COMPUTED_VALUE"""),3.0)</f>
        <v>3</v>
      </c>
      <c r="G2319" s="2">
        <f>IFERROR(__xludf.DUMMYFUNCTION("""COMPUTED_VALUE"""),6.0)</f>
        <v>6</v>
      </c>
      <c r="H2319" s="2" t="str">
        <f>IFERROR(__xludf.DUMMYFUNCTION("""COMPUTED_VALUE"""),"Renov.")</f>
        <v>Renov.</v>
      </c>
      <c r="I2319" s="2" t="str">
        <f>IFERROR(__xludf.DUMMYFUNCTION("""COMPUTED_VALUE"""),"Masonry")</f>
        <v>Masonry</v>
      </c>
      <c r="J2319" s="2" t="str">
        <f>IFERROR(__xludf.DUMMYFUNCTION("""COMPUTED_VALUE"""),"All amenities")</f>
        <v>All amenities</v>
      </c>
      <c r="K2319" s="2">
        <f>IFERROR(__xludf.DUMMYFUNCTION("""COMPUTED_VALUE"""),500.0)</f>
        <v>500</v>
      </c>
      <c r="L2319" s="2">
        <f>IFERROR(__xludf.DUMMYFUNCTION("""COMPUTED_VALUE"""),56.9541762)</f>
        <v>56.9541762</v>
      </c>
      <c r="M2319" s="2">
        <f>IFERROR(__xludf.DUMMYFUNCTION("""COMPUTED_VALUE"""),24.1287424)</f>
        <v>24.1287424</v>
      </c>
    </row>
    <row r="2320">
      <c r="A2320" s="2" t="str">
        <f>IFERROR(__xludf.DUMMYFUNCTION("""COMPUTED_VALUE"""),"For sale")</f>
        <v>For sale</v>
      </c>
      <c r="B2320" s="2" t="str">
        <f>IFERROR(__xludf.DUMMYFUNCTION("""COMPUTED_VALUE"""),"centrs")</f>
        <v>centrs</v>
      </c>
      <c r="C2320" s="2" t="str">
        <f>IFERROR(__xludf.DUMMYFUNCTION("""COMPUTED_VALUE"""),"Rūpniecības 44")</f>
        <v>Rūpniecības 44</v>
      </c>
      <c r="D2320" s="2">
        <f>IFERROR(__xludf.DUMMYFUNCTION("""COMPUTED_VALUE"""),4.0)</f>
        <v>4</v>
      </c>
      <c r="E2320" s="2">
        <f>IFERROR(__xludf.DUMMYFUNCTION("""COMPUTED_VALUE"""),236.0)</f>
        <v>236</v>
      </c>
      <c r="F2320" s="2">
        <f>IFERROR(__xludf.DUMMYFUNCTION("""COMPUTED_VALUE"""),7.0)</f>
        <v>7</v>
      </c>
      <c r="G2320" s="2">
        <f>IFERROR(__xludf.DUMMYFUNCTION("""COMPUTED_VALUE"""),7.0)</f>
        <v>7</v>
      </c>
      <c r="H2320" s="2" t="str">
        <f>IFERROR(__xludf.DUMMYFUNCTION("""COMPUTED_VALUE"""),"Jaun.")</f>
        <v>Jaun.</v>
      </c>
      <c r="I2320" s="2" t="str">
        <f>IFERROR(__xludf.DUMMYFUNCTION("""COMPUTED_VALUE"""),"Masonry")</f>
        <v>Masonry</v>
      </c>
      <c r="J2320" s="2" t="str">
        <f>IFERROR(__xludf.DUMMYFUNCTION("""COMPUTED_VALUE"""),"All amenities")</f>
        <v>All amenities</v>
      </c>
      <c r="K2320" s="2">
        <f>IFERROR(__xludf.DUMMYFUNCTION("""COMPUTED_VALUE"""),575000.0)</f>
        <v>575000</v>
      </c>
      <c r="L2320" s="2">
        <f>IFERROR(__xludf.DUMMYFUNCTION("""COMPUTED_VALUE"""),56.9663651)</f>
        <v>56.9663651</v>
      </c>
      <c r="M2320" s="2">
        <f>IFERROR(__xludf.DUMMYFUNCTION("""COMPUTED_VALUE"""),24.1051126038627)</f>
        <v>24.1051126</v>
      </c>
    </row>
    <row r="2321">
      <c r="A2321" s="2" t="str">
        <f>IFERROR(__xludf.DUMMYFUNCTION("""COMPUTED_VALUE"""),"For rent")</f>
        <v>For rent</v>
      </c>
      <c r="B2321" s="2" t="str">
        <f>IFERROR(__xludf.DUMMYFUNCTION("""COMPUTED_VALUE"""),"Imanta")</f>
        <v>Imanta</v>
      </c>
      <c r="C2321" s="2" t="str">
        <f>IFERROR(__xludf.DUMMYFUNCTION("""COMPUTED_VALUE"""),"Anniņmuižas bulvāris 90")</f>
        <v>Anniņmuižas bulvāris 90</v>
      </c>
      <c r="D2321" s="2">
        <f>IFERROR(__xludf.DUMMYFUNCTION("""COMPUTED_VALUE"""),3.0)</f>
        <v>3</v>
      </c>
      <c r="E2321" s="2">
        <f>IFERROR(__xludf.DUMMYFUNCTION("""COMPUTED_VALUE"""),75.0)</f>
        <v>75</v>
      </c>
      <c r="F2321" s="2">
        <f>IFERROR(__xludf.DUMMYFUNCTION("""COMPUTED_VALUE"""),1.0)</f>
        <v>1</v>
      </c>
      <c r="G2321" s="2">
        <f>IFERROR(__xludf.DUMMYFUNCTION("""COMPUTED_VALUE"""),2.0)</f>
        <v>2</v>
      </c>
      <c r="H2321" s="2" t="str">
        <f>IFERROR(__xludf.DUMMYFUNCTION("""COMPUTED_VALUE"""),"Priv. m.")</f>
        <v>Priv. m.</v>
      </c>
      <c r="I2321" s="2" t="str">
        <f>IFERROR(__xludf.DUMMYFUNCTION("""COMPUTED_VALUE"""),"Brick")</f>
        <v>Brick</v>
      </c>
      <c r="J2321" s="2" t="str">
        <f>IFERROR(__xludf.DUMMYFUNCTION("""COMPUTED_VALUE"""),"All amenities")</f>
        <v>All amenities</v>
      </c>
      <c r="K2321" s="2">
        <f>IFERROR(__xludf.DUMMYFUNCTION("""COMPUTED_VALUE"""),350.0)</f>
        <v>350</v>
      </c>
      <c r="L2321" s="2">
        <f>IFERROR(__xludf.DUMMYFUNCTION("""COMPUTED_VALUE"""),56.9542324)</f>
        <v>56.9542324</v>
      </c>
      <c r="M2321" s="2">
        <f>IFERROR(__xludf.DUMMYFUNCTION("""COMPUTED_VALUE"""),24.007968)</f>
        <v>24.007968</v>
      </c>
    </row>
    <row r="2322">
      <c r="A2322" s="2" t="str">
        <f>IFERROR(__xludf.DUMMYFUNCTION("""COMPUTED_VALUE"""),"For sale")</f>
        <v>For sale</v>
      </c>
      <c r="B2322" s="2" t="str">
        <f>IFERROR(__xludf.DUMMYFUNCTION("""COMPUTED_VALUE"""),"Maskavas priekšpilsēta")</f>
        <v>Maskavas priekšpilsēta</v>
      </c>
      <c r="C2322" s="2" t="str">
        <f>IFERROR(__xludf.DUMMYFUNCTION("""COMPUTED_VALUE"""),"Lomonosova 3")</f>
        <v>Lomonosova 3</v>
      </c>
      <c r="D2322" s="2">
        <f>IFERROR(__xludf.DUMMYFUNCTION("""COMPUTED_VALUE"""),2.0)</f>
        <v>2</v>
      </c>
      <c r="E2322" s="2">
        <f>IFERROR(__xludf.DUMMYFUNCTION("""COMPUTED_VALUE"""),49.0)</f>
        <v>49</v>
      </c>
      <c r="F2322" s="2">
        <f>IFERROR(__xludf.DUMMYFUNCTION("""COMPUTED_VALUE"""),5.0)</f>
        <v>5</v>
      </c>
      <c r="G2322" s="2">
        <f>IFERROR(__xludf.DUMMYFUNCTION("""COMPUTED_VALUE"""),6.0)</f>
        <v>6</v>
      </c>
      <c r="H2322" s="2" t="str">
        <f>IFERROR(__xludf.DUMMYFUNCTION("""COMPUTED_VALUE"""),"P. kara")</f>
        <v>P. kara</v>
      </c>
      <c r="I2322" s="2" t="str">
        <f>IFERROR(__xludf.DUMMYFUNCTION("""COMPUTED_VALUE"""),"Masonry")</f>
        <v>Masonry</v>
      </c>
      <c r="J2322" s="2" t="str">
        <f>IFERROR(__xludf.DUMMYFUNCTION("""COMPUTED_VALUE"""),"All amenities")</f>
        <v>All amenities</v>
      </c>
      <c r="K2322" s="2">
        <f>IFERROR(__xludf.DUMMYFUNCTION("""COMPUTED_VALUE"""),67000.0)</f>
        <v>67000</v>
      </c>
      <c r="L2322" s="2">
        <f>IFERROR(__xludf.DUMMYFUNCTION("""COMPUTED_VALUE"""),56.93915935)</f>
        <v>56.93915935</v>
      </c>
      <c r="M2322" s="2">
        <f>IFERROR(__xludf.DUMMYFUNCTION("""COMPUTED_VALUE"""),24.1561931429911)</f>
        <v>24.15619314</v>
      </c>
    </row>
    <row r="2323">
      <c r="A2323" s="2" t="str">
        <f>IFERROR(__xludf.DUMMYFUNCTION("""COMPUTED_VALUE"""),"For sale")</f>
        <v>For sale</v>
      </c>
      <c r="B2323" s="2" t="str">
        <f>IFERROR(__xludf.DUMMYFUNCTION("""COMPUTED_VALUE"""),"centrs")</f>
        <v>centrs</v>
      </c>
      <c r="C2323" s="2" t="str">
        <f>IFERROR(__xludf.DUMMYFUNCTION("""COMPUTED_VALUE"""),"Valmieras 30")</f>
        <v>Valmieras 30</v>
      </c>
      <c r="D2323" s="2">
        <f>IFERROR(__xludf.DUMMYFUNCTION("""COMPUTED_VALUE"""),1.0)</f>
        <v>1</v>
      </c>
      <c r="E2323" s="2">
        <f>IFERROR(__xludf.DUMMYFUNCTION("""COMPUTED_VALUE"""),20.0)</f>
        <v>20</v>
      </c>
      <c r="F2323" s="2">
        <f>IFERROR(__xludf.DUMMYFUNCTION("""COMPUTED_VALUE"""),2.0)</f>
        <v>2</v>
      </c>
      <c r="G2323" s="2">
        <f>IFERROR(__xludf.DUMMYFUNCTION("""COMPUTED_VALUE"""),2.0)</f>
        <v>2</v>
      </c>
      <c r="H2323" s="2" t="str">
        <f>IFERROR(__xludf.DUMMYFUNCTION("""COMPUTED_VALUE"""),"P. kara")</f>
        <v>P. kara</v>
      </c>
      <c r="I2323" s="2" t="str">
        <f>IFERROR(__xludf.DUMMYFUNCTION("""COMPUTED_VALUE"""),"Wood")</f>
        <v>Wood</v>
      </c>
      <c r="J2323" s="2" t="str">
        <f>IFERROR(__xludf.DUMMYFUNCTION("""COMPUTED_VALUE"""),"All amenities")</f>
        <v>All amenities</v>
      </c>
      <c r="K2323" s="2">
        <f>IFERROR(__xludf.DUMMYFUNCTION("""COMPUTED_VALUE"""),12000.0)</f>
        <v>12000</v>
      </c>
      <c r="L2323" s="2">
        <f>IFERROR(__xludf.DUMMYFUNCTION("""COMPUTED_VALUE"""),56.9524291)</f>
        <v>56.9524291</v>
      </c>
      <c r="M2323" s="2">
        <f>IFERROR(__xludf.DUMMYFUNCTION("""COMPUTED_VALUE"""),24.151222252628)</f>
        <v>24.15122225</v>
      </c>
    </row>
    <row r="2324">
      <c r="A2324" s="2" t="str">
        <f>IFERROR(__xludf.DUMMYFUNCTION("""COMPUTED_VALUE"""),"For sale")</f>
        <v>For sale</v>
      </c>
      <c r="B2324" s="2" t="str">
        <f>IFERROR(__xludf.DUMMYFUNCTION("""COMPUTED_VALUE"""),"Imanta")</f>
        <v>Imanta</v>
      </c>
      <c r="C2324" s="2" t="str">
        <f>IFERROR(__xludf.DUMMYFUNCTION("""COMPUTED_VALUE"""),"Anniņmuižas bulvāris 52")</f>
        <v>Anniņmuižas bulvāris 52</v>
      </c>
      <c r="D2324" s="2">
        <f>IFERROR(__xludf.DUMMYFUNCTION("""COMPUTED_VALUE"""),3.0)</f>
        <v>3</v>
      </c>
      <c r="E2324" s="2">
        <f>IFERROR(__xludf.DUMMYFUNCTION("""COMPUTED_VALUE"""),65.0)</f>
        <v>65</v>
      </c>
      <c r="F2324" s="2">
        <f>IFERROR(__xludf.DUMMYFUNCTION("""COMPUTED_VALUE"""),6.0)</f>
        <v>6</v>
      </c>
      <c r="G2324" s="2">
        <f>IFERROR(__xludf.DUMMYFUNCTION("""COMPUTED_VALUE"""),9.0)</f>
        <v>9</v>
      </c>
      <c r="H2324" s="2">
        <f>IFERROR(__xludf.DUMMYFUNCTION("""COMPUTED_VALUE"""),602.0)</f>
        <v>602</v>
      </c>
      <c r="I2324" s="2" t="str">
        <f>IFERROR(__xludf.DUMMYFUNCTION("""COMPUTED_VALUE"""),"Panel")</f>
        <v>Panel</v>
      </c>
      <c r="J2324" s="2" t="str">
        <f>IFERROR(__xludf.DUMMYFUNCTION("""COMPUTED_VALUE"""),"All amenities")</f>
        <v>All amenities</v>
      </c>
      <c r="K2324" s="2">
        <f>IFERROR(__xludf.DUMMYFUNCTION("""COMPUTED_VALUE"""),64000.0)</f>
        <v>64000</v>
      </c>
      <c r="L2324" s="2">
        <f>IFERROR(__xludf.DUMMYFUNCTION("""COMPUTED_VALUE"""),56.95911535)</f>
        <v>56.95911535</v>
      </c>
      <c r="M2324" s="2">
        <f>IFERROR(__xludf.DUMMYFUNCTION("""COMPUTED_VALUE"""),24.009544181028)</f>
        <v>24.00954418</v>
      </c>
    </row>
    <row r="2325">
      <c r="A2325" s="2" t="str">
        <f>IFERROR(__xludf.DUMMYFUNCTION("""COMPUTED_VALUE"""),"For sale")</f>
        <v>For sale</v>
      </c>
      <c r="B2325" s="2" t="str">
        <f>IFERROR(__xludf.DUMMYFUNCTION("""COMPUTED_VALUE"""),"Pļavnieki")</f>
        <v>Pļavnieki</v>
      </c>
      <c r="C2325" s="2" t="str">
        <f>IFERROR(__xludf.DUMMYFUNCTION("""COMPUTED_VALUE"""),"Zemes 2")</f>
        <v>Zemes 2</v>
      </c>
      <c r="D2325" s="2">
        <f>IFERROR(__xludf.DUMMYFUNCTION("""COMPUTED_VALUE"""),2.0)</f>
        <v>2</v>
      </c>
      <c r="E2325" s="2">
        <f>IFERROR(__xludf.DUMMYFUNCTION("""COMPUTED_VALUE"""),50.0)</f>
        <v>50</v>
      </c>
      <c r="F2325" s="2">
        <f>IFERROR(__xludf.DUMMYFUNCTION("""COMPUTED_VALUE"""),4.0)</f>
        <v>4</v>
      </c>
      <c r="G2325" s="2">
        <f>IFERROR(__xludf.DUMMYFUNCTION("""COMPUTED_VALUE"""),9.0)</f>
        <v>9</v>
      </c>
      <c r="H2325" s="2">
        <f>IFERROR(__xludf.DUMMYFUNCTION("""COMPUTED_VALUE"""),602.0)</f>
        <v>602</v>
      </c>
      <c r="I2325" s="2" t="str">
        <f>IFERROR(__xludf.DUMMYFUNCTION("""COMPUTED_VALUE"""),"Panel")</f>
        <v>Panel</v>
      </c>
      <c r="J2325" s="2" t="str">
        <f>IFERROR(__xludf.DUMMYFUNCTION("""COMPUTED_VALUE"""),"All amenities")</f>
        <v>All amenities</v>
      </c>
      <c r="K2325" s="2">
        <f>IFERROR(__xludf.DUMMYFUNCTION("""COMPUTED_VALUE"""),47000.0)</f>
        <v>47000</v>
      </c>
      <c r="L2325" s="2">
        <f>IFERROR(__xludf.DUMMYFUNCTION("""COMPUTED_VALUE"""),56.94175645)</f>
        <v>56.94175645</v>
      </c>
      <c r="M2325" s="2">
        <f>IFERROR(__xludf.DUMMYFUNCTION("""COMPUTED_VALUE"""),24.1975758860959)</f>
        <v>24.19757589</v>
      </c>
    </row>
    <row r="2326">
      <c r="A2326" s="2" t="str">
        <f>IFERROR(__xludf.DUMMYFUNCTION("""COMPUTED_VALUE"""),"For rent")</f>
        <v>For rent</v>
      </c>
      <c r="B2326" s="2" t="str">
        <f>IFERROR(__xludf.DUMMYFUNCTION("""COMPUTED_VALUE"""),"Vecrīga")</f>
        <v>Vecrīga</v>
      </c>
      <c r="C2326" s="2" t="str">
        <f>IFERROR(__xludf.DUMMYFUNCTION("""COMPUTED_VALUE"""),"Smilšu 10")</f>
        <v>Smilšu 10</v>
      </c>
      <c r="D2326" s="2">
        <f>IFERROR(__xludf.DUMMYFUNCTION("""COMPUTED_VALUE"""),2.0)</f>
        <v>2</v>
      </c>
      <c r="E2326" s="2">
        <f>IFERROR(__xludf.DUMMYFUNCTION("""COMPUTED_VALUE"""),50.0)</f>
        <v>50</v>
      </c>
      <c r="F2326" s="2">
        <f>IFERROR(__xludf.DUMMYFUNCTION("""COMPUTED_VALUE"""),3.0)</f>
        <v>3</v>
      </c>
      <c r="G2326" s="2">
        <f>IFERROR(__xludf.DUMMYFUNCTION("""COMPUTED_VALUE"""),6.0)</f>
        <v>6</v>
      </c>
      <c r="H2326" s="2" t="str">
        <f>IFERROR(__xludf.DUMMYFUNCTION("""COMPUTED_VALUE"""),"Jaun.")</f>
        <v>Jaun.</v>
      </c>
      <c r="I2326" s="2" t="str">
        <f>IFERROR(__xludf.DUMMYFUNCTION("""COMPUTED_VALUE"""),"Brick-Panel")</f>
        <v>Brick-Panel</v>
      </c>
      <c r="J2326" s="2" t="str">
        <f>IFERROR(__xludf.DUMMYFUNCTION("""COMPUTED_VALUE"""),"All amenities")</f>
        <v>All amenities</v>
      </c>
      <c r="K2326" s="2">
        <f>IFERROR(__xludf.DUMMYFUNCTION("""COMPUTED_VALUE"""),490.0)</f>
        <v>490</v>
      </c>
      <c r="L2326" s="2">
        <f>IFERROR(__xludf.DUMMYFUNCTION("""COMPUTED_VALUE"""),56.9503023)</f>
        <v>56.9503023</v>
      </c>
      <c r="M2326" s="2">
        <f>IFERROR(__xludf.DUMMYFUNCTION("""COMPUTED_VALUE"""),24.1092472)</f>
        <v>24.1092472</v>
      </c>
    </row>
    <row r="2327">
      <c r="A2327" s="2" t="str">
        <f>IFERROR(__xludf.DUMMYFUNCTION("""COMPUTED_VALUE"""),"For rent")</f>
        <v>For rent</v>
      </c>
      <c r="B2327" s="2" t="str">
        <f>IFERROR(__xludf.DUMMYFUNCTION("""COMPUTED_VALUE"""),"Vecrīga")</f>
        <v>Vecrīga</v>
      </c>
      <c r="C2327" s="2" t="str">
        <f>IFERROR(__xludf.DUMMYFUNCTION("""COMPUTED_VALUE"""),"Kungu 25")</f>
        <v>Kungu 25</v>
      </c>
      <c r="D2327" s="2">
        <f>IFERROR(__xludf.DUMMYFUNCTION("""COMPUTED_VALUE"""),2.0)</f>
        <v>2</v>
      </c>
      <c r="E2327" s="2">
        <f>IFERROR(__xludf.DUMMYFUNCTION("""COMPUTED_VALUE"""),65.0)</f>
        <v>65</v>
      </c>
      <c r="F2327" s="2">
        <f>IFERROR(__xludf.DUMMYFUNCTION("""COMPUTED_VALUE"""),2.0)</f>
        <v>2</v>
      </c>
      <c r="G2327" s="2">
        <f>IFERROR(__xludf.DUMMYFUNCTION("""COMPUTED_VALUE"""),6.0)</f>
        <v>6</v>
      </c>
      <c r="H2327" s="2" t="str">
        <f>IFERROR(__xludf.DUMMYFUNCTION("""COMPUTED_VALUE"""),"Jaun.")</f>
        <v>Jaun.</v>
      </c>
      <c r="I2327" s="2" t="str">
        <f>IFERROR(__xludf.DUMMYFUNCTION("""COMPUTED_VALUE"""),"Brick-Panel")</f>
        <v>Brick-Panel</v>
      </c>
      <c r="J2327" s="2" t="str">
        <f>IFERROR(__xludf.DUMMYFUNCTION("""COMPUTED_VALUE"""),"All amenities")</f>
        <v>All amenities</v>
      </c>
      <c r="K2327" s="2">
        <f>IFERROR(__xludf.DUMMYFUNCTION("""COMPUTED_VALUE"""),550.0)</f>
        <v>550</v>
      </c>
      <c r="L2327" s="2">
        <f>IFERROR(__xludf.DUMMYFUNCTION("""COMPUTED_VALUE"""),56.9453381999999)</f>
        <v>56.9453382</v>
      </c>
      <c r="M2327" s="2">
        <f>IFERROR(__xludf.DUMMYFUNCTION("""COMPUTED_VALUE"""),24.1094639533088)</f>
        <v>24.10946395</v>
      </c>
    </row>
    <row r="2328">
      <c r="A2328" s="2" t="str">
        <f>IFERROR(__xludf.DUMMYFUNCTION("""COMPUTED_VALUE"""),"For sale")</f>
        <v>For sale</v>
      </c>
      <c r="B2328" s="2" t="str">
        <f>IFERROR(__xludf.DUMMYFUNCTION("""COMPUTED_VALUE"""),"Torņakalns")</f>
        <v>Torņakalns</v>
      </c>
      <c r="C2328" s="2" t="str">
        <f>IFERROR(__xludf.DUMMYFUNCTION("""COMPUTED_VALUE"""),"Robežu 2")</f>
        <v>Robežu 2</v>
      </c>
      <c r="D2328" s="2">
        <f>IFERROR(__xludf.DUMMYFUNCTION("""COMPUTED_VALUE"""),2.0)</f>
        <v>2</v>
      </c>
      <c r="E2328" s="2">
        <f>IFERROR(__xludf.DUMMYFUNCTION("""COMPUTED_VALUE"""),45.0)</f>
        <v>45</v>
      </c>
      <c r="F2328" s="2">
        <f>IFERROR(__xludf.DUMMYFUNCTION("""COMPUTED_VALUE"""),1.0)</f>
        <v>1</v>
      </c>
      <c r="G2328" s="2">
        <f>IFERROR(__xludf.DUMMYFUNCTION("""COMPUTED_VALUE"""),2.0)</f>
        <v>2</v>
      </c>
      <c r="H2328" s="2" t="str">
        <f>IFERROR(__xludf.DUMMYFUNCTION("""COMPUTED_VALUE"""),"P. kara")</f>
        <v>P. kara</v>
      </c>
      <c r="I2328" s="2" t="str">
        <f>IFERROR(__xludf.DUMMYFUNCTION("""COMPUTED_VALUE"""),"Wood")</f>
        <v>Wood</v>
      </c>
      <c r="J2328" s="2" t="str">
        <f>IFERROR(__xludf.DUMMYFUNCTION("""COMPUTED_VALUE"""),"Partial amenities")</f>
        <v>Partial amenities</v>
      </c>
      <c r="K2328" s="2">
        <f>IFERROR(__xludf.DUMMYFUNCTION("""COMPUTED_VALUE"""),27500.0)</f>
        <v>27500</v>
      </c>
      <c r="L2328" s="2">
        <f>IFERROR(__xludf.DUMMYFUNCTION("""COMPUTED_VALUE"""),56.91992425)</f>
        <v>56.91992425</v>
      </c>
      <c r="M2328" s="2">
        <f>IFERROR(__xludf.DUMMYFUNCTION("""COMPUTED_VALUE"""),24.0874379893337)</f>
        <v>24.08743799</v>
      </c>
    </row>
    <row r="2329">
      <c r="A2329" s="2" t="str">
        <f>IFERROR(__xludf.DUMMYFUNCTION("""COMPUTED_VALUE"""),"For sale")</f>
        <v>For sale</v>
      </c>
      <c r="B2329" s="2" t="str">
        <f>IFERROR(__xludf.DUMMYFUNCTION("""COMPUTED_VALUE"""),"Iļģuciems")</f>
        <v>Iļģuciems</v>
      </c>
      <c r="C2329" s="2" t="str">
        <f>IFERROR(__xludf.DUMMYFUNCTION("""COMPUTED_VALUE"""),"Buļļu 42a")</f>
        <v>Buļļu 42a</v>
      </c>
      <c r="D2329" s="2">
        <f>IFERROR(__xludf.DUMMYFUNCTION("""COMPUTED_VALUE"""),1.0)</f>
        <v>1</v>
      </c>
      <c r="E2329" s="2">
        <f>IFERROR(__xludf.DUMMYFUNCTION("""COMPUTED_VALUE"""),45.0)</f>
        <v>45</v>
      </c>
      <c r="F2329" s="2">
        <f>IFERROR(__xludf.DUMMYFUNCTION("""COMPUTED_VALUE"""),5.0)</f>
        <v>5</v>
      </c>
      <c r="G2329" s="2">
        <f>IFERROR(__xludf.DUMMYFUNCTION("""COMPUTED_VALUE"""),9.0)</f>
        <v>9</v>
      </c>
      <c r="H2329" s="2">
        <f>IFERROR(__xludf.DUMMYFUNCTION("""COMPUTED_VALUE"""),119.0)</f>
        <v>119</v>
      </c>
      <c r="I2329" s="2" t="str">
        <f>IFERROR(__xludf.DUMMYFUNCTION("""COMPUTED_VALUE"""),"Panel")</f>
        <v>Panel</v>
      </c>
      <c r="J2329" s="2" t="str">
        <f>IFERROR(__xludf.DUMMYFUNCTION("""COMPUTED_VALUE"""),"All amenities")</f>
        <v>All amenities</v>
      </c>
      <c r="K2329" s="2">
        <f>IFERROR(__xludf.DUMMYFUNCTION("""COMPUTED_VALUE"""),47800.0)</f>
        <v>47800</v>
      </c>
      <c r="L2329" s="2">
        <f>IFERROR(__xludf.DUMMYFUNCTION("""COMPUTED_VALUE"""),56.9682471)</f>
        <v>56.9682471</v>
      </c>
      <c r="M2329" s="2">
        <f>IFERROR(__xludf.DUMMYFUNCTION("""COMPUTED_VALUE"""),24.0497274)</f>
        <v>24.0497274</v>
      </c>
    </row>
    <row r="2330">
      <c r="A2330" s="2" t="str">
        <f>IFERROR(__xludf.DUMMYFUNCTION("""COMPUTED_VALUE"""),"For rent")</f>
        <v>For rent</v>
      </c>
      <c r="B2330" s="2" t="str">
        <f>IFERROR(__xludf.DUMMYFUNCTION("""COMPUTED_VALUE"""),"Vecrīga")</f>
        <v>Vecrīga</v>
      </c>
      <c r="C2330" s="2" t="str">
        <f>IFERROR(__xludf.DUMMYFUNCTION("""COMPUTED_VALUE"""),"Smilšu 10")</f>
        <v>Smilšu 10</v>
      </c>
      <c r="D2330" s="2">
        <f>IFERROR(__xludf.DUMMYFUNCTION("""COMPUTED_VALUE"""),2.0)</f>
        <v>2</v>
      </c>
      <c r="E2330" s="2">
        <f>IFERROR(__xludf.DUMMYFUNCTION("""COMPUTED_VALUE"""),60.0)</f>
        <v>60</v>
      </c>
      <c r="F2330" s="2">
        <f>IFERROR(__xludf.DUMMYFUNCTION("""COMPUTED_VALUE"""),3.0)</f>
        <v>3</v>
      </c>
      <c r="G2330" s="2">
        <f>IFERROR(__xludf.DUMMYFUNCTION("""COMPUTED_VALUE"""),7.0)</f>
        <v>7</v>
      </c>
      <c r="H2330" s="2" t="str">
        <f>IFERROR(__xludf.DUMMYFUNCTION("""COMPUTED_VALUE"""),"Renov.")</f>
        <v>Renov.</v>
      </c>
      <c r="I2330" s="2" t="str">
        <f>IFERROR(__xludf.DUMMYFUNCTION("""COMPUTED_VALUE"""),"Masonry")</f>
        <v>Masonry</v>
      </c>
      <c r="J2330" s="2" t="str">
        <f>IFERROR(__xludf.DUMMYFUNCTION("""COMPUTED_VALUE"""),"All amenities")</f>
        <v>All amenities</v>
      </c>
      <c r="K2330" s="2">
        <f>IFERROR(__xludf.DUMMYFUNCTION("""COMPUTED_VALUE"""),490.0)</f>
        <v>490</v>
      </c>
      <c r="L2330" s="2">
        <f>IFERROR(__xludf.DUMMYFUNCTION("""COMPUTED_VALUE"""),56.9503023)</f>
        <v>56.9503023</v>
      </c>
      <c r="M2330" s="2">
        <f>IFERROR(__xludf.DUMMYFUNCTION("""COMPUTED_VALUE"""),24.1092472)</f>
        <v>24.1092472</v>
      </c>
    </row>
    <row r="2331">
      <c r="A2331" s="2" t="str">
        <f>IFERROR(__xludf.DUMMYFUNCTION("""COMPUTED_VALUE"""),"For rent")</f>
        <v>For rent</v>
      </c>
      <c r="B2331" s="2" t="str">
        <f>IFERROR(__xludf.DUMMYFUNCTION("""COMPUTED_VALUE"""),"Šampēteris-Pleskodāle")</f>
        <v>Šampēteris-Pleskodāle</v>
      </c>
      <c r="C2331" s="2" t="str">
        <f>IFERROR(__xludf.DUMMYFUNCTION("""COMPUTED_VALUE"""),"Lielirbes 13")</f>
        <v>Lielirbes 13</v>
      </c>
      <c r="D2331" s="2">
        <f>IFERROR(__xludf.DUMMYFUNCTION("""COMPUTED_VALUE"""),3.0)</f>
        <v>3</v>
      </c>
      <c r="E2331" s="2">
        <f>IFERROR(__xludf.DUMMYFUNCTION("""COMPUTED_VALUE"""),90.0)</f>
        <v>90</v>
      </c>
      <c r="F2331" s="2">
        <f>IFERROR(__xludf.DUMMYFUNCTION("""COMPUTED_VALUE"""),12.0)</f>
        <v>12</v>
      </c>
      <c r="G2331" s="2">
        <f>IFERROR(__xludf.DUMMYFUNCTION("""COMPUTED_VALUE"""),30.0)</f>
        <v>30</v>
      </c>
      <c r="H2331" s="2" t="str">
        <f>IFERROR(__xludf.DUMMYFUNCTION("""COMPUTED_VALUE"""),"Jaun.")</f>
        <v>Jaun.</v>
      </c>
      <c r="I2331" s="2" t="str">
        <f>IFERROR(__xludf.DUMMYFUNCTION("""COMPUTED_VALUE"""),"Masonry")</f>
        <v>Masonry</v>
      </c>
      <c r="J2331" s="2" t="str">
        <f>IFERROR(__xludf.DUMMYFUNCTION("""COMPUTED_VALUE"""),"All amenities")</f>
        <v>All amenities</v>
      </c>
      <c r="K2331" s="2">
        <f>IFERROR(__xludf.DUMMYFUNCTION("""COMPUTED_VALUE"""),650.0)</f>
        <v>650</v>
      </c>
      <c r="L2331" s="2">
        <f>IFERROR(__xludf.DUMMYFUNCTION("""COMPUTED_VALUE"""),56.9334996)</f>
        <v>56.9334996</v>
      </c>
      <c r="M2331" s="2">
        <f>IFERROR(__xludf.DUMMYFUNCTION("""COMPUTED_VALUE"""),24.0424848)</f>
        <v>24.0424848</v>
      </c>
    </row>
    <row r="2332">
      <c r="A2332" s="2" t="str">
        <f>IFERROR(__xludf.DUMMYFUNCTION("""COMPUTED_VALUE"""),"For sale")</f>
        <v>For sale</v>
      </c>
      <c r="B2332" s="2" t="str">
        <f>IFERROR(__xludf.DUMMYFUNCTION("""COMPUTED_VALUE"""),"Iļģuciems")</f>
        <v>Iļģuciems</v>
      </c>
      <c r="C2332" s="2" t="str">
        <f>IFERROR(__xludf.DUMMYFUNCTION("""COMPUTED_VALUE"""),"Skujenes 11")</f>
        <v>Skujenes 11</v>
      </c>
      <c r="D2332" s="2">
        <f>IFERROR(__xludf.DUMMYFUNCTION("""COMPUTED_VALUE"""),2.0)</f>
        <v>2</v>
      </c>
      <c r="E2332" s="2">
        <f>IFERROR(__xludf.DUMMYFUNCTION("""COMPUTED_VALUE"""),45.0)</f>
        <v>45</v>
      </c>
      <c r="F2332" s="2">
        <f>IFERROR(__xludf.DUMMYFUNCTION("""COMPUTED_VALUE"""),1.0)</f>
        <v>1</v>
      </c>
      <c r="G2332" s="2">
        <f>IFERROR(__xludf.DUMMYFUNCTION("""COMPUTED_VALUE"""),5.0)</f>
        <v>5</v>
      </c>
      <c r="H2332" s="2" t="str">
        <f>IFERROR(__xludf.DUMMYFUNCTION("""COMPUTED_VALUE"""),"Hrušč.")</f>
        <v>Hrušč.</v>
      </c>
      <c r="I2332" s="2" t="str">
        <f>IFERROR(__xludf.DUMMYFUNCTION("""COMPUTED_VALUE"""),"Brick")</f>
        <v>Brick</v>
      </c>
      <c r="J2332" s="2" t="str">
        <f>IFERROR(__xludf.DUMMYFUNCTION("""COMPUTED_VALUE"""),"All amenities")</f>
        <v>All amenities</v>
      </c>
      <c r="K2332" s="2">
        <f>IFERROR(__xludf.DUMMYFUNCTION("""COMPUTED_VALUE"""),47500.0)</f>
        <v>47500</v>
      </c>
      <c r="L2332" s="2">
        <f>IFERROR(__xludf.DUMMYFUNCTION("""COMPUTED_VALUE"""),56.96300795)</f>
        <v>56.96300795</v>
      </c>
      <c r="M2332" s="2">
        <f>IFERROR(__xludf.DUMMYFUNCTION("""COMPUTED_VALUE"""),24.0485982499999)</f>
        <v>24.04859825</v>
      </c>
    </row>
    <row r="2333">
      <c r="A2333" s="2" t="str">
        <f>IFERROR(__xludf.DUMMYFUNCTION("""COMPUTED_VALUE"""),"For rent")</f>
        <v>For rent</v>
      </c>
      <c r="B2333" s="2" t="str">
        <f>IFERROR(__xludf.DUMMYFUNCTION("""COMPUTED_VALUE"""),"Vecrīga")</f>
        <v>Vecrīga</v>
      </c>
      <c r="C2333" s="2" t="str">
        <f>IFERROR(__xludf.DUMMYFUNCTION("""COMPUTED_VALUE"""),"Smilšu 10")</f>
        <v>Smilšu 10</v>
      </c>
      <c r="D2333" s="2">
        <f>IFERROR(__xludf.DUMMYFUNCTION("""COMPUTED_VALUE"""),2.0)</f>
        <v>2</v>
      </c>
      <c r="E2333" s="2">
        <f>IFERROR(__xludf.DUMMYFUNCTION("""COMPUTED_VALUE"""),60.0)</f>
        <v>60</v>
      </c>
      <c r="F2333" s="2">
        <f>IFERROR(__xludf.DUMMYFUNCTION("""COMPUTED_VALUE"""),6.0)</f>
        <v>6</v>
      </c>
      <c r="G2333" s="2">
        <f>IFERROR(__xludf.DUMMYFUNCTION("""COMPUTED_VALUE"""),7.0)</f>
        <v>7</v>
      </c>
      <c r="H2333" s="2" t="str">
        <f>IFERROR(__xludf.DUMMYFUNCTION("""COMPUTED_VALUE"""),"Renov.")</f>
        <v>Renov.</v>
      </c>
      <c r="I2333" s="2" t="str">
        <f>IFERROR(__xludf.DUMMYFUNCTION("""COMPUTED_VALUE"""),"Brick")</f>
        <v>Brick</v>
      </c>
      <c r="J2333" s="2" t="str">
        <f>IFERROR(__xludf.DUMMYFUNCTION("""COMPUTED_VALUE"""),"All amenities")</f>
        <v>All amenities</v>
      </c>
      <c r="K2333" s="2">
        <f>IFERROR(__xludf.DUMMYFUNCTION("""COMPUTED_VALUE"""),490.0)</f>
        <v>490</v>
      </c>
      <c r="L2333" s="2">
        <f>IFERROR(__xludf.DUMMYFUNCTION("""COMPUTED_VALUE"""),56.9503023)</f>
        <v>56.9503023</v>
      </c>
      <c r="M2333" s="2">
        <f>IFERROR(__xludf.DUMMYFUNCTION("""COMPUTED_VALUE"""),24.1092472)</f>
        <v>24.1092472</v>
      </c>
    </row>
    <row r="2334">
      <c r="A2334" s="2" t="str">
        <f>IFERROR(__xludf.DUMMYFUNCTION("""COMPUTED_VALUE"""),"For sale")</f>
        <v>For sale</v>
      </c>
      <c r="B2334" s="2" t="str">
        <f>IFERROR(__xludf.DUMMYFUNCTION("""COMPUTED_VALUE"""),"Vecmīlgrāvis")</f>
        <v>Vecmīlgrāvis</v>
      </c>
      <c r="C2334" s="2" t="str">
        <f>IFERROR(__xludf.DUMMYFUNCTION("""COMPUTED_VALUE"""),"Stiebru 3")</f>
        <v>Stiebru 3</v>
      </c>
      <c r="D2334" s="2">
        <f>IFERROR(__xludf.DUMMYFUNCTION("""COMPUTED_VALUE"""),1.0)</f>
        <v>1</v>
      </c>
      <c r="E2334" s="2">
        <f>IFERROR(__xludf.DUMMYFUNCTION("""COMPUTED_VALUE"""),42.0)</f>
        <v>42</v>
      </c>
      <c r="F2334" s="2">
        <f>IFERROR(__xludf.DUMMYFUNCTION("""COMPUTED_VALUE"""),5.0)</f>
        <v>5</v>
      </c>
      <c r="G2334" s="2">
        <f>IFERROR(__xludf.DUMMYFUNCTION("""COMPUTED_VALUE"""),5.0)</f>
        <v>5</v>
      </c>
      <c r="H2334" s="2" t="str">
        <f>IFERROR(__xludf.DUMMYFUNCTION("""COMPUTED_VALUE"""),"M. ģim.")</f>
        <v>M. ģim.</v>
      </c>
      <c r="I2334" s="2" t="str">
        <f>IFERROR(__xludf.DUMMYFUNCTION("""COMPUTED_VALUE"""),"Panel")</f>
        <v>Panel</v>
      </c>
      <c r="J2334" s="2" t="str">
        <f>IFERROR(__xludf.DUMMYFUNCTION("""COMPUTED_VALUE"""),"All amenities")</f>
        <v>All amenities</v>
      </c>
      <c r="K2334" s="2">
        <f>IFERROR(__xludf.DUMMYFUNCTION("""COMPUTED_VALUE"""),29950.0)</f>
        <v>29950</v>
      </c>
      <c r="L2334" s="2">
        <f>IFERROR(__xludf.DUMMYFUNCTION("""COMPUTED_VALUE"""),57.03437255)</f>
        <v>57.03437255</v>
      </c>
      <c r="M2334" s="2">
        <f>IFERROR(__xludf.DUMMYFUNCTION("""COMPUTED_VALUE"""),24.0945721824565)</f>
        <v>24.09457218</v>
      </c>
    </row>
    <row r="2335">
      <c r="A2335" s="2" t="str">
        <f>IFERROR(__xludf.DUMMYFUNCTION("""COMPUTED_VALUE"""),"For sale")</f>
        <v>For sale</v>
      </c>
      <c r="B2335" s="2" t="str">
        <f>IFERROR(__xludf.DUMMYFUNCTION("""COMPUTED_VALUE"""),"Vecmīlgrāvis")</f>
        <v>Vecmīlgrāvis</v>
      </c>
      <c r="C2335" s="2" t="str">
        <f>IFERROR(__xludf.DUMMYFUNCTION("""COMPUTED_VALUE"""),"Emmas 11")</f>
        <v>Emmas 11</v>
      </c>
      <c r="D2335" s="2">
        <f>IFERROR(__xludf.DUMMYFUNCTION("""COMPUTED_VALUE"""),3.0)</f>
        <v>3</v>
      </c>
      <c r="E2335" s="2">
        <f>IFERROR(__xludf.DUMMYFUNCTION("""COMPUTED_VALUE"""),68.0)</f>
        <v>68</v>
      </c>
      <c r="F2335" s="2">
        <f>IFERROR(__xludf.DUMMYFUNCTION("""COMPUTED_VALUE"""),4.0)</f>
        <v>4</v>
      </c>
      <c r="G2335" s="2">
        <f>IFERROR(__xludf.DUMMYFUNCTION("""COMPUTED_VALUE"""),5.0)</f>
        <v>5</v>
      </c>
      <c r="H2335" s="2" t="str">
        <f>IFERROR(__xludf.DUMMYFUNCTION("""COMPUTED_VALUE"""),"LT proj.")</f>
        <v>LT proj.</v>
      </c>
      <c r="I2335" s="2" t="str">
        <f>IFERROR(__xludf.DUMMYFUNCTION("""COMPUTED_VALUE"""),"Panel")</f>
        <v>Panel</v>
      </c>
      <c r="J2335" s="2" t="str">
        <f>IFERROR(__xludf.DUMMYFUNCTION("""COMPUTED_VALUE"""),"All amenities")</f>
        <v>All amenities</v>
      </c>
      <c r="K2335" s="2">
        <f>IFERROR(__xludf.DUMMYFUNCTION("""COMPUTED_VALUE"""),48500.0)</f>
        <v>48500</v>
      </c>
      <c r="L2335" s="2">
        <f>IFERROR(__xludf.DUMMYFUNCTION("""COMPUTED_VALUE"""),57.02968905)</f>
        <v>57.02968905</v>
      </c>
      <c r="M2335" s="2">
        <f>IFERROR(__xludf.DUMMYFUNCTION("""COMPUTED_VALUE"""),24.108664502028)</f>
        <v>24.1086645</v>
      </c>
    </row>
    <row r="2336">
      <c r="A2336" s="2" t="str">
        <f>IFERROR(__xludf.DUMMYFUNCTION("""COMPUTED_VALUE"""),"For rent")</f>
        <v>For rent</v>
      </c>
      <c r="B2336" s="2" t="str">
        <f>IFERROR(__xludf.DUMMYFUNCTION("""COMPUTED_VALUE"""),"Ziepniekkalns")</f>
        <v>Ziepniekkalns</v>
      </c>
      <c r="C2336" s="2" t="str">
        <f>IFERROR(__xludf.DUMMYFUNCTION("""COMPUTED_VALUE"""),"Ozolciema 42k2")</f>
        <v>Ozolciema 42k2</v>
      </c>
      <c r="D2336" s="2">
        <f>IFERROR(__xludf.DUMMYFUNCTION("""COMPUTED_VALUE"""),1.0)</f>
        <v>1</v>
      </c>
      <c r="E2336" s="2">
        <f>IFERROR(__xludf.DUMMYFUNCTION("""COMPUTED_VALUE"""),35.0)</f>
        <v>35</v>
      </c>
      <c r="F2336" s="2">
        <f>IFERROR(__xludf.DUMMYFUNCTION("""COMPUTED_VALUE"""),3.0)</f>
        <v>3</v>
      </c>
      <c r="G2336" s="2">
        <f>IFERROR(__xludf.DUMMYFUNCTION("""COMPUTED_VALUE"""),9.0)</f>
        <v>9</v>
      </c>
      <c r="H2336" s="2">
        <f>IFERROR(__xludf.DUMMYFUNCTION("""COMPUTED_VALUE"""),602.0)</f>
        <v>602</v>
      </c>
      <c r="I2336" s="2" t="str">
        <f>IFERROR(__xludf.DUMMYFUNCTION("""COMPUTED_VALUE"""),"Panel")</f>
        <v>Panel</v>
      </c>
      <c r="J2336" s="2" t="str">
        <f>IFERROR(__xludf.DUMMYFUNCTION("""COMPUTED_VALUE"""),"All amenities")</f>
        <v>All amenities</v>
      </c>
      <c r="K2336" s="2">
        <f>IFERROR(__xludf.DUMMYFUNCTION("""COMPUTED_VALUE"""),260.0)</f>
        <v>260</v>
      </c>
      <c r="L2336" s="2">
        <f>IFERROR(__xludf.DUMMYFUNCTION("""COMPUTED_VALUE"""),56.8990307)</f>
        <v>56.8990307</v>
      </c>
      <c r="M2336" s="2">
        <f>IFERROR(__xludf.DUMMYFUNCTION("""COMPUTED_VALUE"""),24.0785989)</f>
        <v>24.0785989</v>
      </c>
    </row>
    <row r="2337">
      <c r="A2337" s="2" t="str">
        <f>IFERROR(__xludf.DUMMYFUNCTION("""COMPUTED_VALUE"""),"For sale")</f>
        <v>For sale</v>
      </c>
      <c r="B2337" s="2" t="str">
        <f>IFERROR(__xludf.DUMMYFUNCTION("""COMPUTED_VALUE"""),"Āgenskalns")</f>
        <v>Āgenskalns</v>
      </c>
      <c r="C2337" s="2" t="str">
        <f>IFERROR(__xludf.DUMMYFUNCTION("""COMPUTED_VALUE"""),"Kristapa 16")</f>
        <v>Kristapa 16</v>
      </c>
      <c r="D2337" s="2">
        <f>IFERROR(__xludf.DUMMYFUNCTION("""COMPUTED_VALUE"""),1.0)</f>
        <v>1</v>
      </c>
      <c r="E2337" s="2">
        <f>IFERROR(__xludf.DUMMYFUNCTION("""COMPUTED_VALUE"""),20.0)</f>
        <v>20</v>
      </c>
      <c r="F2337" s="2">
        <f>IFERROR(__xludf.DUMMYFUNCTION("""COMPUTED_VALUE"""),1.0)</f>
        <v>1</v>
      </c>
      <c r="G2337" s="2">
        <f>IFERROR(__xludf.DUMMYFUNCTION("""COMPUTED_VALUE"""),5.0)</f>
        <v>5</v>
      </c>
      <c r="H2337" s="2" t="str">
        <f>IFERROR(__xludf.DUMMYFUNCTION("""COMPUTED_VALUE"""),"Hrušč.")</f>
        <v>Hrušč.</v>
      </c>
      <c r="I2337" s="2" t="str">
        <f>IFERROR(__xludf.DUMMYFUNCTION("""COMPUTED_VALUE"""),"Brick")</f>
        <v>Brick</v>
      </c>
      <c r="J2337" s="2" t="str">
        <f>IFERROR(__xludf.DUMMYFUNCTION("""COMPUTED_VALUE"""),"All amenities")</f>
        <v>All amenities</v>
      </c>
      <c r="K2337" s="2">
        <f>IFERROR(__xludf.DUMMYFUNCTION("""COMPUTED_VALUE"""),33400.0)</f>
        <v>33400</v>
      </c>
      <c r="L2337" s="2">
        <f>IFERROR(__xludf.DUMMYFUNCTION("""COMPUTED_VALUE"""),56.9438277999999)</f>
        <v>56.9438278</v>
      </c>
      <c r="M2337" s="2">
        <f>IFERROR(__xludf.DUMMYFUNCTION("""COMPUTED_VALUE"""),24.062819336917)</f>
        <v>24.06281934</v>
      </c>
    </row>
    <row r="2338">
      <c r="A2338" s="2" t="str">
        <f>IFERROR(__xludf.DUMMYFUNCTION("""COMPUTED_VALUE"""),"For rent")</f>
        <v>For rent</v>
      </c>
      <c r="B2338" s="2" t="str">
        <f>IFERROR(__xludf.DUMMYFUNCTION("""COMPUTED_VALUE"""),"Vecmīlgrāvis")</f>
        <v>Vecmīlgrāvis</v>
      </c>
      <c r="C2338" s="2" t="str">
        <f>IFERROR(__xludf.DUMMYFUNCTION("""COMPUTED_VALUE"""),"Kāvu 10")</f>
        <v>Kāvu 10</v>
      </c>
      <c r="D2338" s="2">
        <f>IFERROR(__xludf.DUMMYFUNCTION("""COMPUTED_VALUE"""),3.0)</f>
        <v>3</v>
      </c>
      <c r="E2338" s="2">
        <f>IFERROR(__xludf.DUMMYFUNCTION("""COMPUTED_VALUE"""),60.0)</f>
        <v>60</v>
      </c>
      <c r="F2338" s="2">
        <f>IFERROR(__xludf.DUMMYFUNCTION("""COMPUTED_VALUE"""),4.0)</f>
        <v>4</v>
      </c>
      <c r="G2338" s="2">
        <f>IFERROR(__xludf.DUMMYFUNCTION("""COMPUTED_VALUE"""),5.0)</f>
        <v>5</v>
      </c>
      <c r="H2338" s="2" t="str">
        <f>IFERROR(__xludf.DUMMYFUNCTION("""COMPUTED_VALUE"""),"LT proj.")</f>
        <v>LT proj.</v>
      </c>
      <c r="I2338" s="2" t="str">
        <f>IFERROR(__xludf.DUMMYFUNCTION("""COMPUTED_VALUE"""),"Panel")</f>
        <v>Panel</v>
      </c>
      <c r="J2338" s="2" t="str">
        <f>IFERROR(__xludf.DUMMYFUNCTION("""COMPUTED_VALUE"""),"All amenities")</f>
        <v>All amenities</v>
      </c>
      <c r="K2338" s="2">
        <f>IFERROR(__xludf.DUMMYFUNCTION("""COMPUTED_VALUE"""),290.0)</f>
        <v>290</v>
      </c>
      <c r="L2338" s="2">
        <f>IFERROR(__xludf.DUMMYFUNCTION("""COMPUTED_VALUE"""),57.0338716499999)</f>
        <v>57.03387165</v>
      </c>
      <c r="M2338" s="2">
        <f>IFERROR(__xludf.DUMMYFUNCTION("""COMPUTED_VALUE"""),24.1016223840699)</f>
        <v>24.10162238</v>
      </c>
    </row>
    <row r="2339">
      <c r="A2339" s="2" t="str">
        <f>IFERROR(__xludf.DUMMYFUNCTION("""COMPUTED_VALUE"""),"For sale")</f>
        <v>For sale</v>
      </c>
      <c r="B2339" s="2" t="str">
        <f>IFERROR(__xludf.DUMMYFUNCTION("""COMPUTED_VALUE"""),"Purvciems")</f>
        <v>Purvciems</v>
      </c>
      <c r="C2339" s="2" t="str">
        <f>IFERROR(__xludf.DUMMYFUNCTION("""COMPUTED_VALUE"""),"Nīcgales 9")</f>
        <v>Nīcgales 9</v>
      </c>
      <c r="D2339" s="2">
        <f>IFERROR(__xludf.DUMMYFUNCTION("""COMPUTED_VALUE"""),3.0)</f>
        <v>3</v>
      </c>
      <c r="E2339" s="2">
        <f>IFERROR(__xludf.DUMMYFUNCTION("""COMPUTED_VALUE"""),63.0)</f>
        <v>63</v>
      </c>
      <c r="F2339" s="2">
        <f>IFERROR(__xludf.DUMMYFUNCTION("""COMPUTED_VALUE"""),4.0)</f>
        <v>4</v>
      </c>
      <c r="G2339" s="2">
        <f>IFERROR(__xludf.DUMMYFUNCTION("""COMPUTED_VALUE"""),5.0)</f>
        <v>5</v>
      </c>
      <c r="H2339" s="2" t="str">
        <f>IFERROR(__xludf.DUMMYFUNCTION("""COMPUTED_VALUE"""),"LT proj.")</f>
        <v>LT proj.</v>
      </c>
      <c r="I2339" s="2" t="str">
        <f>IFERROR(__xludf.DUMMYFUNCTION("""COMPUTED_VALUE"""),"Panel")</f>
        <v>Panel</v>
      </c>
      <c r="J2339" s="2" t="str">
        <f>IFERROR(__xludf.DUMMYFUNCTION("""COMPUTED_VALUE"""),"All amenities")</f>
        <v>All amenities</v>
      </c>
      <c r="K2339" s="2">
        <f>IFERROR(__xludf.DUMMYFUNCTION("""COMPUTED_VALUE"""),55990.0)</f>
        <v>55990</v>
      </c>
      <c r="L2339" s="2">
        <f>IFERROR(__xludf.DUMMYFUNCTION("""COMPUTED_VALUE"""),56.9572401)</f>
        <v>56.9572401</v>
      </c>
      <c r="M2339" s="2">
        <f>IFERROR(__xludf.DUMMYFUNCTION("""COMPUTED_VALUE"""),24.1779622)</f>
        <v>24.1779622</v>
      </c>
    </row>
    <row r="2340">
      <c r="A2340" s="2" t="str">
        <f>IFERROR(__xludf.DUMMYFUNCTION("""COMPUTED_VALUE"""),"For rent")</f>
        <v>For rent</v>
      </c>
      <c r="B2340" s="2" t="str">
        <f>IFERROR(__xludf.DUMMYFUNCTION("""COMPUTED_VALUE"""),"Torņakalns")</f>
        <v>Torņakalns</v>
      </c>
      <c r="C2340" s="2" t="str">
        <f>IFERROR(__xludf.DUMMYFUNCTION("""COMPUTED_VALUE"""),"Vēja 19")</f>
        <v>Vēja 19</v>
      </c>
      <c r="D2340" s="2">
        <f>IFERROR(__xludf.DUMMYFUNCTION("""COMPUTED_VALUE"""),1.0)</f>
        <v>1</v>
      </c>
      <c r="E2340" s="2">
        <f>IFERROR(__xludf.DUMMYFUNCTION("""COMPUTED_VALUE"""),26.0)</f>
        <v>26</v>
      </c>
      <c r="F2340" s="2">
        <f>IFERROR(__xludf.DUMMYFUNCTION("""COMPUTED_VALUE"""),1.0)</f>
        <v>1</v>
      </c>
      <c r="G2340" s="2">
        <f>IFERROR(__xludf.DUMMYFUNCTION("""COMPUTED_VALUE"""),2.0)</f>
        <v>2</v>
      </c>
      <c r="H2340" s="2" t="str">
        <f>IFERROR(__xludf.DUMMYFUNCTION("""COMPUTED_VALUE"""),"P. kara")</f>
        <v>P. kara</v>
      </c>
      <c r="I2340" s="2" t="str">
        <f>IFERROR(__xludf.DUMMYFUNCTION("""COMPUTED_VALUE"""),"Masonry")</f>
        <v>Masonry</v>
      </c>
      <c r="J2340" s="2" t="str">
        <f>IFERROR(__xludf.DUMMYFUNCTION("""COMPUTED_VALUE"""),"All amenities")</f>
        <v>All amenities</v>
      </c>
      <c r="K2340" s="2">
        <f>IFERROR(__xludf.DUMMYFUNCTION("""COMPUTED_VALUE"""),140.0)</f>
        <v>140</v>
      </c>
      <c r="L2340" s="2">
        <f>IFERROR(__xludf.DUMMYFUNCTION("""COMPUTED_VALUE"""),56.92484785)</f>
        <v>56.92484785</v>
      </c>
      <c r="M2340" s="2">
        <f>IFERROR(__xludf.DUMMYFUNCTION("""COMPUTED_VALUE"""),24.0957941811209)</f>
        <v>24.09579418</v>
      </c>
    </row>
    <row r="2341">
      <c r="A2341" s="2" t="str">
        <f>IFERROR(__xludf.DUMMYFUNCTION("""COMPUTED_VALUE"""),"For sale")</f>
        <v>For sale</v>
      </c>
      <c r="B2341" s="2" t="str">
        <f>IFERROR(__xludf.DUMMYFUNCTION("""COMPUTED_VALUE"""),"Purvciems")</f>
        <v>Purvciems</v>
      </c>
      <c r="C2341" s="2" t="str">
        <f>IFERROR(__xludf.DUMMYFUNCTION("""COMPUTED_VALUE"""),"Staiceles 15")</f>
        <v>Staiceles 15</v>
      </c>
      <c r="D2341" s="2">
        <f>IFERROR(__xludf.DUMMYFUNCTION("""COMPUTED_VALUE"""),3.0)</f>
        <v>3</v>
      </c>
      <c r="E2341" s="2">
        <f>IFERROR(__xludf.DUMMYFUNCTION("""COMPUTED_VALUE"""),63.0)</f>
        <v>63</v>
      </c>
      <c r="F2341" s="2">
        <f>IFERROR(__xludf.DUMMYFUNCTION("""COMPUTED_VALUE"""),4.0)</f>
        <v>4</v>
      </c>
      <c r="G2341" s="2">
        <f>IFERROR(__xludf.DUMMYFUNCTION("""COMPUTED_VALUE"""),9.0)</f>
        <v>9</v>
      </c>
      <c r="H2341" s="2">
        <f>IFERROR(__xludf.DUMMYFUNCTION("""COMPUTED_VALUE"""),602.0)</f>
        <v>602</v>
      </c>
      <c r="I2341" s="2" t="str">
        <f>IFERROR(__xludf.DUMMYFUNCTION("""COMPUTED_VALUE"""),"Panel")</f>
        <v>Panel</v>
      </c>
      <c r="J2341" s="2" t="str">
        <f>IFERROR(__xludf.DUMMYFUNCTION("""COMPUTED_VALUE"""),"All amenities")</f>
        <v>All amenities</v>
      </c>
      <c r="K2341" s="2">
        <f>IFERROR(__xludf.DUMMYFUNCTION("""COMPUTED_VALUE"""),58000.0)</f>
        <v>58000</v>
      </c>
      <c r="L2341" s="2">
        <f>IFERROR(__xludf.DUMMYFUNCTION("""COMPUTED_VALUE"""),56.95828335)</f>
        <v>56.95828335</v>
      </c>
      <c r="M2341" s="2">
        <f>IFERROR(__xludf.DUMMYFUNCTION("""COMPUTED_VALUE"""),24.1729105268554)</f>
        <v>24.17291053</v>
      </c>
    </row>
    <row r="2342">
      <c r="A2342" s="2" t="str">
        <f>IFERROR(__xludf.DUMMYFUNCTION("""COMPUTED_VALUE"""),"For sale")</f>
        <v>For sale</v>
      </c>
      <c r="B2342" s="2" t="str">
        <f>IFERROR(__xludf.DUMMYFUNCTION("""COMPUTED_VALUE"""),"Iļģuciems")</f>
        <v>Iļģuciems</v>
      </c>
      <c r="C2342" s="2" t="str">
        <f>IFERROR(__xludf.DUMMYFUNCTION("""COMPUTED_VALUE"""),"Lilijas 15")</f>
        <v>Lilijas 15</v>
      </c>
      <c r="D2342" s="2">
        <f>IFERROR(__xludf.DUMMYFUNCTION("""COMPUTED_VALUE"""),2.0)</f>
        <v>2</v>
      </c>
      <c r="E2342" s="2">
        <f>IFERROR(__xludf.DUMMYFUNCTION("""COMPUTED_VALUE"""),42.0)</f>
        <v>42</v>
      </c>
      <c r="F2342" s="2">
        <f>IFERROR(__xludf.DUMMYFUNCTION("""COMPUTED_VALUE"""),2.0)</f>
        <v>2</v>
      </c>
      <c r="G2342" s="2">
        <f>IFERROR(__xludf.DUMMYFUNCTION("""COMPUTED_VALUE"""),5.0)</f>
        <v>5</v>
      </c>
      <c r="H2342" s="2" t="str">
        <f>IFERROR(__xludf.DUMMYFUNCTION("""COMPUTED_VALUE"""),"Hrušč.")</f>
        <v>Hrušč.</v>
      </c>
      <c r="I2342" s="2" t="str">
        <f>IFERROR(__xludf.DUMMYFUNCTION("""COMPUTED_VALUE"""),"Brick")</f>
        <v>Brick</v>
      </c>
      <c r="J2342" s="2" t="str">
        <f>IFERROR(__xludf.DUMMYFUNCTION("""COMPUTED_VALUE"""),"All amenities")</f>
        <v>All amenities</v>
      </c>
      <c r="K2342" s="2">
        <f>IFERROR(__xludf.DUMMYFUNCTION("""COMPUTED_VALUE"""),41500.0)</f>
        <v>41500</v>
      </c>
      <c r="L2342" s="2">
        <f>IFERROR(__xludf.DUMMYFUNCTION("""COMPUTED_VALUE"""),56.96472115)</f>
        <v>56.96472115</v>
      </c>
      <c r="M2342" s="2">
        <f>IFERROR(__xludf.DUMMYFUNCTION("""COMPUTED_VALUE"""),24.065679850492)</f>
        <v>24.06567985</v>
      </c>
    </row>
    <row r="2343">
      <c r="A2343" s="2" t="str">
        <f>IFERROR(__xludf.DUMMYFUNCTION("""COMPUTED_VALUE"""),"For rent")</f>
        <v>For rent</v>
      </c>
      <c r="B2343" s="2" t="str">
        <f>IFERROR(__xludf.DUMMYFUNCTION("""COMPUTED_VALUE"""),"Pļavnieki")</f>
        <v>Pļavnieki</v>
      </c>
      <c r="C2343" s="2" t="str">
        <f>IFERROR(__xludf.DUMMYFUNCTION("""COMPUTED_VALUE"""),"Salnas 11")</f>
        <v>Salnas 11</v>
      </c>
      <c r="D2343" s="2">
        <f>IFERROR(__xludf.DUMMYFUNCTION("""COMPUTED_VALUE"""),2.0)</f>
        <v>2</v>
      </c>
      <c r="E2343" s="2">
        <f>IFERROR(__xludf.DUMMYFUNCTION("""COMPUTED_VALUE"""),50.0)</f>
        <v>50</v>
      </c>
      <c r="F2343" s="2">
        <f>IFERROR(__xludf.DUMMYFUNCTION("""COMPUTED_VALUE"""),7.0)</f>
        <v>7</v>
      </c>
      <c r="G2343" s="2">
        <f>IFERROR(__xludf.DUMMYFUNCTION("""COMPUTED_VALUE"""),9.0)</f>
        <v>9</v>
      </c>
      <c r="H2343" s="2">
        <f>IFERROR(__xludf.DUMMYFUNCTION("""COMPUTED_VALUE"""),602.0)</f>
        <v>602</v>
      </c>
      <c r="I2343" s="2" t="str">
        <f>IFERROR(__xludf.DUMMYFUNCTION("""COMPUTED_VALUE"""),"Panel")</f>
        <v>Panel</v>
      </c>
      <c r="J2343" s="2" t="str">
        <f>IFERROR(__xludf.DUMMYFUNCTION("""COMPUTED_VALUE"""),"All amenities")</f>
        <v>All amenities</v>
      </c>
      <c r="K2343" s="2">
        <f>IFERROR(__xludf.DUMMYFUNCTION("""COMPUTED_VALUE"""),25.0)</f>
        <v>25</v>
      </c>
      <c r="L2343" s="2">
        <f>IFERROR(__xludf.DUMMYFUNCTION("""COMPUTED_VALUE"""),56.9427474)</f>
        <v>56.9427474</v>
      </c>
      <c r="M2343" s="2">
        <f>IFERROR(__xludf.DUMMYFUNCTION("""COMPUTED_VALUE"""),24.2246202)</f>
        <v>24.2246202</v>
      </c>
    </row>
    <row r="2344">
      <c r="A2344" s="2" t="str">
        <f>IFERROR(__xludf.DUMMYFUNCTION("""COMPUTED_VALUE"""),"For sale")</f>
        <v>For sale</v>
      </c>
      <c r="B2344" s="2" t="str">
        <f>IFERROR(__xludf.DUMMYFUNCTION("""COMPUTED_VALUE"""),"Bolderāja")</f>
        <v>Bolderāja</v>
      </c>
      <c r="C2344" s="2" t="str">
        <f>IFERROR(__xludf.DUMMYFUNCTION("""COMPUTED_VALUE"""),"Lielupes 64")</f>
        <v>Lielupes 64</v>
      </c>
      <c r="D2344" s="2">
        <f>IFERROR(__xludf.DUMMYFUNCTION("""COMPUTED_VALUE"""),2.0)</f>
        <v>2</v>
      </c>
      <c r="E2344" s="2">
        <f>IFERROR(__xludf.DUMMYFUNCTION("""COMPUTED_VALUE"""),51.0)</f>
        <v>51</v>
      </c>
      <c r="F2344" s="2">
        <f>IFERROR(__xludf.DUMMYFUNCTION("""COMPUTED_VALUE"""),3.0)</f>
        <v>3</v>
      </c>
      <c r="G2344" s="2">
        <f>IFERROR(__xludf.DUMMYFUNCTION("""COMPUTED_VALUE"""),5.0)</f>
        <v>5</v>
      </c>
      <c r="H2344" s="2" t="str">
        <f>IFERROR(__xludf.DUMMYFUNCTION("""COMPUTED_VALUE"""),"LT proj.")</f>
        <v>LT proj.</v>
      </c>
      <c r="I2344" s="2" t="str">
        <f>IFERROR(__xludf.DUMMYFUNCTION("""COMPUTED_VALUE"""),"Panel")</f>
        <v>Panel</v>
      </c>
      <c r="J2344" s="2" t="str">
        <f>IFERROR(__xludf.DUMMYFUNCTION("""COMPUTED_VALUE"""),"All amenities")</f>
        <v>All amenities</v>
      </c>
      <c r="K2344" s="2">
        <f>IFERROR(__xludf.DUMMYFUNCTION("""COMPUTED_VALUE"""),33700.0)</f>
        <v>33700</v>
      </c>
      <c r="L2344" s="2">
        <f>IFERROR(__xludf.DUMMYFUNCTION("""COMPUTED_VALUE"""),57.0313424)</f>
        <v>57.0313424</v>
      </c>
      <c r="M2344" s="2">
        <f>IFERROR(__xludf.DUMMYFUNCTION("""COMPUTED_VALUE"""),24.05559245)</f>
        <v>24.05559245</v>
      </c>
    </row>
    <row r="2345">
      <c r="A2345" s="2" t="str">
        <f>IFERROR(__xludf.DUMMYFUNCTION("""COMPUTED_VALUE"""),"For sale")</f>
        <v>For sale</v>
      </c>
      <c r="B2345" s="2" t="str">
        <f>IFERROR(__xludf.DUMMYFUNCTION("""COMPUTED_VALUE"""),"Ķengarags")</f>
        <v>Ķengarags</v>
      </c>
      <c r="C2345" s="2" t="str">
        <f>IFERROR(__xludf.DUMMYFUNCTION("""COMPUTED_VALUE"""),"Rasas 4")</f>
        <v>Rasas 4</v>
      </c>
      <c r="D2345" s="2">
        <f>IFERROR(__xludf.DUMMYFUNCTION("""COMPUTED_VALUE"""),3.0)</f>
        <v>3</v>
      </c>
      <c r="E2345" s="2">
        <f>IFERROR(__xludf.DUMMYFUNCTION("""COMPUTED_VALUE"""),56.0)</f>
        <v>56</v>
      </c>
      <c r="F2345" s="2">
        <f>IFERROR(__xludf.DUMMYFUNCTION("""COMPUTED_VALUE"""),5.0)</f>
        <v>5</v>
      </c>
      <c r="G2345" s="2">
        <f>IFERROR(__xludf.DUMMYFUNCTION("""COMPUTED_VALUE"""),5.0)</f>
        <v>5</v>
      </c>
      <c r="H2345" s="2" t="str">
        <f>IFERROR(__xludf.DUMMYFUNCTION("""COMPUTED_VALUE"""),"LT proj.")</f>
        <v>LT proj.</v>
      </c>
      <c r="I2345" s="2" t="str">
        <f>IFERROR(__xludf.DUMMYFUNCTION("""COMPUTED_VALUE"""),"Panel")</f>
        <v>Panel</v>
      </c>
      <c r="J2345" s="2" t="str">
        <f>IFERROR(__xludf.DUMMYFUNCTION("""COMPUTED_VALUE"""),"All amenities")</f>
        <v>All amenities</v>
      </c>
      <c r="K2345" s="2">
        <f>IFERROR(__xludf.DUMMYFUNCTION("""COMPUTED_VALUE"""),49000.0)</f>
        <v>49000</v>
      </c>
      <c r="L2345" s="2">
        <f>IFERROR(__xludf.DUMMYFUNCTION("""COMPUTED_VALUE"""),56.90364565)</f>
        <v>56.90364565</v>
      </c>
      <c r="M2345" s="2">
        <f>IFERROR(__xludf.DUMMYFUNCTION("""COMPUTED_VALUE"""),24.2016746005807)</f>
        <v>24.2016746</v>
      </c>
    </row>
    <row r="2346">
      <c r="A2346" s="2" t="str">
        <f>IFERROR(__xludf.DUMMYFUNCTION("""COMPUTED_VALUE"""),"For sale")</f>
        <v>For sale</v>
      </c>
      <c r="B2346" s="2" t="str">
        <f>IFERROR(__xludf.DUMMYFUNCTION("""COMPUTED_VALUE"""),"Vecrīga")</f>
        <v>Vecrīga</v>
      </c>
      <c r="C2346" s="2" t="str">
        <f>IFERROR(__xludf.DUMMYFUNCTION("""COMPUTED_VALUE"""),"Vāgnera 12")</f>
        <v>Vāgnera 12</v>
      </c>
      <c r="D2346" s="2">
        <f>IFERROR(__xludf.DUMMYFUNCTION("""COMPUTED_VALUE"""),3.0)</f>
        <v>3</v>
      </c>
      <c r="E2346" s="2">
        <f>IFERROR(__xludf.DUMMYFUNCTION("""COMPUTED_VALUE"""),49.0)</f>
        <v>49</v>
      </c>
      <c r="F2346" s="2">
        <f>IFERROR(__xludf.DUMMYFUNCTION("""COMPUTED_VALUE"""),3.0)</f>
        <v>3</v>
      </c>
      <c r="G2346" s="2">
        <f>IFERROR(__xludf.DUMMYFUNCTION("""COMPUTED_VALUE"""),3.0)</f>
        <v>3</v>
      </c>
      <c r="H2346" s="2" t="str">
        <f>IFERROR(__xludf.DUMMYFUNCTION("""COMPUTED_VALUE"""),"P. kara")</f>
        <v>P. kara</v>
      </c>
      <c r="I2346" s="2" t="str">
        <f>IFERROR(__xludf.DUMMYFUNCTION("""COMPUTED_VALUE"""),"Masonry")</f>
        <v>Masonry</v>
      </c>
      <c r="J2346" s="2" t="str">
        <f>IFERROR(__xludf.DUMMYFUNCTION("""COMPUTED_VALUE"""),"All amenities")</f>
        <v>All amenities</v>
      </c>
      <c r="K2346" s="2">
        <f>IFERROR(__xludf.DUMMYFUNCTION("""COMPUTED_VALUE"""),123500.0)</f>
        <v>123500</v>
      </c>
      <c r="L2346" s="2">
        <f>IFERROR(__xludf.DUMMYFUNCTION("""COMPUTED_VALUE"""),56.94881585)</f>
        <v>56.94881585</v>
      </c>
      <c r="M2346" s="2">
        <f>IFERROR(__xludf.DUMMYFUNCTION("""COMPUTED_VALUE"""),24.1114738591085)</f>
        <v>24.11147386</v>
      </c>
    </row>
    <row r="2347">
      <c r="A2347" s="2" t="str">
        <f>IFERROR(__xludf.DUMMYFUNCTION("""COMPUTED_VALUE"""),"For rent")</f>
        <v>For rent</v>
      </c>
      <c r="B2347" s="2" t="str">
        <f>IFERROR(__xludf.DUMMYFUNCTION("""COMPUTED_VALUE"""),"Āgenskalns")</f>
        <v>Āgenskalns</v>
      </c>
      <c r="C2347" s="2" t="str">
        <f>IFERROR(__xludf.DUMMYFUNCTION("""COMPUTED_VALUE"""),"Kuldīgas 39")</f>
        <v>Kuldīgas 39</v>
      </c>
      <c r="D2347" s="2">
        <f>IFERROR(__xludf.DUMMYFUNCTION("""COMPUTED_VALUE"""),1.0)</f>
        <v>1</v>
      </c>
      <c r="E2347" s="2">
        <f>IFERROR(__xludf.DUMMYFUNCTION("""COMPUTED_VALUE"""),42.0)</f>
        <v>42</v>
      </c>
      <c r="F2347" s="2">
        <f>IFERROR(__xludf.DUMMYFUNCTION("""COMPUTED_VALUE"""),2.0)</f>
        <v>2</v>
      </c>
      <c r="G2347" s="2">
        <f>IFERROR(__xludf.DUMMYFUNCTION("""COMPUTED_VALUE"""),5.0)</f>
        <v>5</v>
      </c>
      <c r="H2347" s="2" t="str">
        <f>IFERROR(__xludf.DUMMYFUNCTION("""COMPUTED_VALUE"""),"Specpr.")</f>
        <v>Specpr.</v>
      </c>
      <c r="I2347" s="2" t="str">
        <f>IFERROR(__xludf.DUMMYFUNCTION("""COMPUTED_VALUE"""),"Masonry")</f>
        <v>Masonry</v>
      </c>
      <c r="J2347" s="2" t="str">
        <f>IFERROR(__xludf.DUMMYFUNCTION("""COMPUTED_VALUE"""),"All amenities")</f>
        <v>All amenities</v>
      </c>
      <c r="K2347" s="2">
        <f>IFERROR(__xludf.DUMMYFUNCTION("""COMPUTED_VALUE"""),410.0)</f>
        <v>410</v>
      </c>
      <c r="L2347" s="2">
        <f>IFERROR(__xludf.DUMMYFUNCTION("""COMPUTED_VALUE"""),56.9511923)</f>
        <v>56.9511923</v>
      </c>
      <c r="M2347" s="2">
        <f>IFERROR(__xludf.DUMMYFUNCTION("""COMPUTED_VALUE"""),24.0659141)</f>
        <v>24.0659141</v>
      </c>
    </row>
    <row r="2348">
      <c r="A2348" s="2" t="str">
        <f>IFERROR(__xludf.DUMMYFUNCTION("""COMPUTED_VALUE"""),"For sale")</f>
        <v>For sale</v>
      </c>
      <c r="B2348" s="2" t="str">
        <f>IFERROR(__xludf.DUMMYFUNCTION("""COMPUTED_VALUE"""),"Sarkandaugava")</f>
        <v>Sarkandaugava</v>
      </c>
      <c r="C2348" s="2" t="str">
        <f>IFERROR(__xludf.DUMMYFUNCTION("""COMPUTED_VALUE"""),"Aptiekas 8")</f>
        <v>Aptiekas 8</v>
      </c>
      <c r="D2348" s="2" t="str">
        <f>IFERROR(__xludf.DUMMYFUNCTION("""COMPUTED_VALUE"""),"Citi")</f>
        <v>Citi</v>
      </c>
      <c r="E2348" s="2">
        <f>IFERROR(__xludf.DUMMYFUNCTION("""COMPUTED_VALUE"""),427.0)</f>
        <v>427</v>
      </c>
      <c r="F2348" s="2">
        <f>IFERROR(__xludf.DUMMYFUNCTION("""COMPUTED_VALUE"""),1.0)</f>
        <v>1</v>
      </c>
      <c r="G2348" s="2">
        <f>IFERROR(__xludf.DUMMYFUNCTION("""COMPUTED_VALUE"""),5.0)</f>
        <v>5</v>
      </c>
      <c r="H2348" s="2" t="str">
        <f>IFERROR(__xludf.DUMMYFUNCTION("""COMPUTED_VALUE"""),"Staļina")</f>
        <v>Staļina</v>
      </c>
      <c r="I2348" s="2" t="str">
        <f>IFERROR(__xludf.DUMMYFUNCTION("""COMPUTED_VALUE"""),"Masonry")</f>
        <v>Masonry</v>
      </c>
      <c r="J2348" s="2" t="str">
        <f>IFERROR(__xludf.DUMMYFUNCTION("""COMPUTED_VALUE"""),"All amenities")</f>
        <v>All amenities</v>
      </c>
      <c r="K2348" s="2">
        <f>IFERROR(__xludf.DUMMYFUNCTION("""COMPUTED_VALUE"""),340000.0)</f>
        <v>340000</v>
      </c>
      <c r="L2348" s="2">
        <f>IFERROR(__xludf.DUMMYFUNCTION("""COMPUTED_VALUE"""),56.9969355)</f>
        <v>56.9969355</v>
      </c>
      <c r="M2348" s="2">
        <f>IFERROR(__xludf.DUMMYFUNCTION("""COMPUTED_VALUE"""),24.1233660473714)</f>
        <v>24.12336605</v>
      </c>
    </row>
    <row r="2349">
      <c r="A2349" s="2" t="str">
        <f>IFERROR(__xludf.DUMMYFUNCTION("""COMPUTED_VALUE"""),"For rent")</f>
        <v>For rent</v>
      </c>
      <c r="B2349" s="2" t="str">
        <f>IFERROR(__xludf.DUMMYFUNCTION("""COMPUTED_VALUE"""),"centrs")</f>
        <v>centrs</v>
      </c>
      <c r="C2349" s="2" t="str">
        <f>IFERROR(__xludf.DUMMYFUNCTION("""COMPUTED_VALUE"""),"Barona 24/26")</f>
        <v>Barona 24/26</v>
      </c>
      <c r="D2349" s="2">
        <f>IFERROR(__xludf.DUMMYFUNCTION("""COMPUTED_VALUE"""),1.0)</f>
        <v>1</v>
      </c>
      <c r="E2349" s="2">
        <f>IFERROR(__xludf.DUMMYFUNCTION("""COMPUTED_VALUE"""),21.0)</f>
        <v>21</v>
      </c>
      <c r="F2349" s="2">
        <f>IFERROR(__xludf.DUMMYFUNCTION("""COMPUTED_VALUE"""),3.0)</f>
        <v>3</v>
      </c>
      <c r="G2349" s="2">
        <f>IFERROR(__xludf.DUMMYFUNCTION("""COMPUTED_VALUE"""),6.0)</f>
        <v>6</v>
      </c>
      <c r="H2349" s="2" t="str">
        <f>IFERROR(__xludf.DUMMYFUNCTION("""COMPUTED_VALUE"""),"Renov.")</f>
        <v>Renov.</v>
      </c>
      <c r="I2349" s="2" t="str">
        <f>IFERROR(__xludf.DUMMYFUNCTION("""COMPUTED_VALUE"""),"Brick")</f>
        <v>Brick</v>
      </c>
      <c r="J2349" s="2" t="str">
        <f>IFERROR(__xludf.DUMMYFUNCTION("""COMPUTED_VALUE"""),"All amenities")</f>
        <v>All amenities</v>
      </c>
      <c r="K2349" s="2">
        <f>IFERROR(__xludf.DUMMYFUNCTION("""COMPUTED_VALUE"""),460.0)</f>
        <v>460</v>
      </c>
      <c r="L2349" s="2">
        <f>IFERROR(__xludf.DUMMYFUNCTION("""COMPUTED_VALUE"""),56.95161295)</f>
        <v>56.95161295</v>
      </c>
      <c r="M2349" s="2">
        <f>IFERROR(__xludf.DUMMYFUNCTION("""COMPUTED_VALUE"""),24.1224571478615)</f>
        <v>24.12245715</v>
      </c>
    </row>
    <row r="2350">
      <c r="A2350" s="2" t="str">
        <f>IFERROR(__xludf.DUMMYFUNCTION("""COMPUTED_VALUE"""),"For sale")</f>
        <v>For sale</v>
      </c>
      <c r="B2350" s="2" t="str">
        <f>IFERROR(__xludf.DUMMYFUNCTION("""COMPUTED_VALUE"""),"Purvciems")</f>
        <v>Purvciems</v>
      </c>
      <c r="C2350" s="2" t="str">
        <f>IFERROR(__xludf.DUMMYFUNCTION("""COMPUTED_VALUE"""),"Žagatu 20")</f>
        <v>Žagatu 20</v>
      </c>
      <c r="D2350" s="2">
        <f>IFERROR(__xludf.DUMMYFUNCTION("""COMPUTED_VALUE"""),3.0)</f>
        <v>3</v>
      </c>
      <c r="E2350" s="2">
        <f>IFERROR(__xludf.DUMMYFUNCTION("""COMPUTED_VALUE"""),64.0)</f>
        <v>64</v>
      </c>
      <c r="F2350" s="2">
        <f>IFERROR(__xludf.DUMMYFUNCTION("""COMPUTED_VALUE"""),8.0)</f>
        <v>8</v>
      </c>
      <c r="G2350" s="2">
        <f>IFERROR(__xludf.DUMMYFUNCTION("""COMPUTED_VALUE"""),9.0)</f>
        <v>9</v>
      </c>
      <c r="H2350" s="2">
        <f>IFERROR(__xludf.DUMMYFUNCTION("""COMPUTED_VALUE"""),602.0)</f>
        <v>602</v>
      </c>
      <c r="I2350" s="2" t="str">
        <f>IFERROR(__xludf.DUMMYFUNCTION("""COMPUTED_VALUE"""),"Panel")</f>
        <v>Panel</v>
      </c>
      <c r="J2350" s="2" t="str">
        <f>IFERROR(__xludf.DUMMYFUNCTION("""COMPUTED_VALUE"""),"All amenities")</f>
        <v>All amenities</v>
      </c>
      <c r="K2350" s="2">
        <f>IFERROR(__xludf.DUMMYFUNCTION("""COMPUTED_VALUE"""),66500.0)</f>
        <v>66500</v>
      </c>
      <c r="L2350" s="2">
        <f>IFERROR(__xludf.DUMMYFUNCTION("""COMPUTED_VALUE"""),56.9636591)</f>
        <v>56.9636591</v>
      </c>
      <c r="M2350" s="2">
        <f>IFERROR(__xludf.DUMMYFUNCTION("""COMPUTED_VALUE"""),24.1879779982164)</f>
        <v>24.187978</v>
      </c>
    </row>
    <row r="2351">
      <c r="A2351" s="2" t="str">
        <f>IFERROR(__xludf.DUMMYFUNCTION("""COMPUTED_VALUE"""),"For sale")</f>
        <v>For sale</v>
      </c>
      <c r="B2351" s="2" t="str">
        <f>IFERROR(__xludf.DUMMYFUNCTION("""COMPUTED_VALUE"""),"Teika")</f>
        <v>Teika</v>
      </c>
      <c r="C2351" s="2" t="str">
        <f>IFERROR(__xludf.DUMMYFUNCTION("""COMPUTED_VALUE"""),"Ropažu 17")</f>
        <v>Ropažu 17</v>
      </c>
      <c r="D2351" s="2">
        <f>IFERROR(__xludf.DUMMYFUNCTION("""COMPUTED_VALUE"""),1.0)</f>
        <v>1</v>
      </c>
      <c r="E2351" s="2">
        <f>IFERROR(__xludf.DUMMYFUNCTION("""COMPUTED_VALUE"""),35.0)</f>
        <v>35</v>
      </c>
      <c r="F2351" s="2">
        <f>IFERROR(__xludf.DUMMYFUNCTION("""COMPUTED_VALUE"""),1.0)</f>
        <v>1</v>
      </c>
      <c r="G2351" s="2">
        <f>IFERROR(__xludf.DUMMYFUNCTION("""COMPUTED_VALUE"""),3.0)</f>
        <v>3</v>
      </c>
      <c r="H2351" s="2" t="str">
        <f>IFERROR(__xludf.DUMMYFUNCTION("""COMPUTED_VALUE"""),"P. kara")</f>
        <v>P. kara</v>
      </c>
      <c r="I2351" s="2" t="str">
        <f>IFERROR(__xludf.DUMMYFUNCTION("""COMPUTED_VALUE"""),"Masonry")</f>
        <v>Masonry</v>
      </c>
      <c r="J2351" s="2" t="str">
        <f>IFERROR(__xludf.DUMMYFUNCTION("""COMPUTED_VALUE"""),"All amenities")</f>
        <v>All amenities</v>
      </c>
      <c r="K2351" s="2">
        <f>IFERROR(__xludf.DUMMYFUNCTION("""COMPUTED_VALUE"""),25000.0)</f>
        <v>25000</v>
      </c>
      <c r="L2351" s="2">
        <f>IFERROR(__xludf.DUMMYFUNCTION("""COMPUTED_VALUE"""),56.97693595)</f>
        <v>56.97693595</v>
      </c>
      <c r="M2351" s="2">
        <f>IFERROR(__xludf.DUMMYFUNCTION("""COMPUTED_VALUE"""),24.1717830114988)</f>
        <v>24.17178301</v>
      </c>
    </row>
    <row r="2352">
      <c r="A2352" s="2" t="str">
        <f>IFERROR(__xludf.DUMMYFUNCTION("""COMPUTED_VALUE"""),"For sale")</f>
        <v>For sale</v>
      </c>
      <c r="B2352" s="2" t="str">
        <f>IFERROR(__xludf.DUMMYFUNCTION("""COMPUTED_VALUE"""),"centrs")</f>
        <v>centrs</v>
      </c>
      <c r="C2352" s="2" t="str">
        <f>IFERROR(__xludf.DUMMYFUNCTION("""COMPUTED_VALUE"""),"Pērnavas 56")</f>
        <v>Pērnavas 56</v>
      </c>
      <c r="D2352" s="2">
        <f>IFERROR(__xludf.DUMMYFUNCTION("""COMPUTED_VALUE"""),1.0)</f>
        <v>1</v>
      </c>
      <c r="E2352" s="2">
        <f>IFERROR(__xludf.DUMMYFUNCTION("""COMPUTED_VALUE"""),24.0)</f>
        <v>24</v>
      </c>
      <c r="F2352" s="2">
        <f>IFERROR(__xludf.DUMMYFUNCTION("""COMPUTED_VALUE"""),1.0)</f>
        <v>1</v>
      </c>
      <c r="G2352" s="2">
        <f>IFERROR(__xludf.DUMMYFUNCTION("""COMPUTED_VALUE"""),2.0)</f>
        <v>2</v>
      </c>
      <c r="H2352" s="2" t="str">
        <f>IFERROR(__xludf.DUMMYFUNCTION("""COMPUTED_VALUE"""),"Specpr.")</f>
        <v>Specpr.</v>
      </c>
      <c r="I2352" s="2" t="str">
        <f>IFERROR(__xludf.DUMMYFUNCTION("""COMPUTED_VALUE"""),"Wood")</f>
        <v>Wood</v>
      </c>
      <c r="J2352" s="2" t="str">
        <f>IFERROR(__xludf.DUMMYFUNCTION("""COMPUTED_VALUE"""),"Partial amenities")</f>
        <v>Partial amenities</v>
      </c>
      <c r="K2352" s="2">
        <f>IFERROR(__xludf.DUMMYFUNCTION("""COMPUTED_VALUE"""),7300.0)</f>
        <v>7300</v>
      </c>
      <c r="L2352" s="2">
        <f>IFERROR(__xludf.DUMMYFUNCTION("""COMPUTED_VALUE"""),56.9570213)</f>
        <v>56.9570213</v>
      </c>
      <c r="M2352" s="2">
        <f>IFERROR(__xludf.DUMMYFUNCTION("""COMPUTED_VALUE"""),24.152592)</f>
        <v>24.152592</v>
      </c>
    </row>
    <row r="2353">
      <c r="A2353" s="2" t="str">
        <f>IFERROR(__xludf.DUMMYFUNCTION("""COMPUTED_VALUE"""),"For sale")</f>
        <v>For sale</v>
      </c>
      <c r="B2353" s="2" t="str">
        <f>IFERROR(__xludf.DUMMYFUNCTION("""COMPUTED_VALUE"""),"Ķengarags")</f>
        <v>Ķengarags</v>
      </c>
      <c r="C2353" s="2" t="str">
        <f>IFERROR(__xludf.DUMMYFUNCTION("""COMPUTED_VALUE"""),"Prūšu 21")</f>
        <v>Prūšu 21</v>
      </c>
      <c r="D2353" s="2">
        <f>IFERROR(__xludf.DUMMYFUNCTION("""COMPUTED_VALUE"""),1.0)</f>
        <v>1</v>
      </c>
      <c r="E2353" s="2">
        <f>IFERROR(__xludf.DUMMYFUNCTION("""COMPUTED_VALUE"""),13.0)</f>
        <v>13</v>
      </c>
      <c r="F2353" s="2">
        <f>IFERROR(__xludf.DUMMYFUNCTION("""COMPUTED_VALUE"""),2.0)</f>
        <v>2</v>
      </c>
      <c r="G2353" s="2">
        <f>IFERROR(__xludf.DUMMYFUNCTION("""COMPUTED_VALUE"""),4.0)</f>
        <v>4</v>
      </c>
      <c r="H2353" s="2" t="str">
        <f>IFERROR(__xludf.DUMMYFUNCTION("""COMPUTED_VALUE"""),"Hrušč.")</f>
        <v>Hrušč.</v>
      </c>
      <c r="I2353" s="2" t="str">
        <f>IFERROR(__xludf.DUMMYFUNCTION("""COMPUTED_VALUE"""),"Brick")</f>
        <v>Brick</v>
      </c>
      <c r="J2353" s="2" t="str">
        <f>IFERROR(__xludf.DUMMYFUNCTION("""COMPUTED_VALUE"""),"All amenities")</f>
        <v>All amenities</v>
      </c>
      <c r="K2353" s="2">
        <f>IFERROR(__xludf.DUMMYFUNCTION("""COMPUTED_VALUE"""),12500.0)</f>
        <v>12500</v>
      </c>
      <c r="L2353" s="2">
        <f>IFERROR(__xludf.DUMMYFUNCTION("""COMPUTED_VALUE"""),56.9118027)</f>
        <v>56.9118027</v>
      </c>
      <c r="M2353" s="2">
        <f>IFERROR(__xludf.DUMMYFUNCTION("""COMPUTED_VALUE"""),24.1926528)</f>
        <v>24.1926528</v>
      </c>
    </row>
    <row r="2354">
      <c r="A2354" s="2" t="str">
        <f>IFERROR(__xludf.DUMMYFUNCTION("""COMPUTED_VALUE"""),"For rent")</f>
        <v>For rent</v>
      </c>
      <c r="B2354" s="2" t="str">
        <f>IFERROR(__xludf.DUMMYFUNCTION("""COMPUTED_VALUE"""),"Purvciems")</f>
        <v>Purvciems</v>
      </c>
      <c r="C2354" s="2" t="str">
        <f>IFERROR(__xludf.DUMMYFUNCTION("""COMPUTED_VALUE"""),"Dzelzavas 15/1")</f>
        <v>Dzelzavas 15/1</v>
      </c>
      <c r="D2354" s="2">
        <f>IFERROR(__xludf.DUMMYFUNCTION("""COMPUTED_VALUE"""),2.0)</f>
        <v>2</v>
      </c>
      <c r="E2354" s="2">
        <f>IFERROR(__xludf.DUMMYFUNCTION("""COMPUTED_VALUE"""),43.0)</f>
        <v>43</v>
      </c>
      <c r="F2354" s="2">
        <f>IFERROR(__xludf.DUMMYFUNCTION("""COMPUTED_VALUE"""),3.0)</f>
        <v>3</v>
      </c>
      <c r="G2354" s="2">
        <f>IFERROR(__xludf.DUMMYFUNCTION("""COMPUTED_VALUE"""),5.0)</f>
        <v>5</v>
      </c>
      <c r="H2354" s="2" t="str">
        <f>IFERROR(__xludf.DUMMYFUNCTION("""COMPUTED_VALUE"""),"Hrušč.")</f>
        <v>Hrušč.</v>
      </c>
      <c r="I2354" s="2" t="str">
        <f>IFERROR(__xludf.DUMMYFUNCTION("""COMPUTED_VALUE"""),"Brick")</f>
        <v>Brick</v>
      </c>
      <c r="J2354" s="2" t="str">
        <f>IFERROR(__xludf.DUMMYFUNCTION("""COMPUTED_VALUE"""),"All amenities")</f>
        <v>All amenities</v>
      </c>
      <c r="K2354" s="2">
        <f>IFERROR(__xludf.DUMMYFUNCTION("""COMPUTED_VALUE"""),260.0)</f>
        <v>260</v>
      </c>
      <c r="L2354" s="2">
        <f>IFERROR(__xludf.DUMMYFUNCTION("""COMPUTED_VALUE"""),56.9641969)</f>
        <v>56.9641969</v>
      </c>
      <c r="M2354" s="2">
        <f>IFERROR(__xludf.DUMMYFUNCTION("""COMPUTED_VALUE"""),24.1678087)</f>
        <v>24.1678087</v>
      </c>
    </row>
    <row r="2355">
      <c r="A2355" s="2" t="str">
        <f>IFERROR(__xludf.DUMMYFUNCTION("""COMPUTED_VALUE"""),"For rent")</f>
        <v>For rent</v>
      </c>
      <c r="B2355" s="2" t="str">
        <f>IFERROR(__xludf.DUMMYFUNCTION("""COMPUTED_VALUE"""),"centrs")</f>
        <v>centrs</v>
      </c>
      <c r="C2355" s="2" t="str">
        <f>IFERROR(__xludf.DUMMYFUNCTION("""COMPUTED_VALUE"""),"Bruņinieku 111")</f>
        <v>Bruņinieku 111</v>
      </c>
      <c r="D2355" s="2">
        <f>IFERROR(__xludf.DUMMYFUNCTION("""COMPUTED_VALUE"""),1.0)</f>
        <v>1</v>
      </c>
      <c r="E2355" s="2">
        <f>IFERROR(__xludf.DUMMYFUNCTION("""COMPUTED_VALUE"""),12.0)</f>
        <v>12</v>
      </c>
      <c r="F2355" s="2">
        <f>IFERROR(__xludf.DUMMYFUNCTION("""COMPUTED_VALUE"""),1.0)</f>
        <v>1</v>
      </c>
      <c r="G2355" s="2">
        <f>IFERROR(__xludf.DUMMYFUNCTION("""COMPUTED_VALUE"""),4.0)</f>
        <v>4</v>
      </c>
      <c r="H2355" s="2" t="str">
        <f>IFERROR(__xludf.DUMMYFUNCTION("""COMPUTED_VALUE"""),"Renov.")</f>
        <v>Renov.</v>
      </c>
      <c r="I2355" s="2" t="str">
        <f>IFERROR(__xludf.DUMMYFUNCTION("""COMPUTED_VALUE"""),"Brick")</f>
        <v>Brick</v>
      </c>
      <c r="J2355" s="2" t="str">
        <f>IFERROR(__xludf.DUMMYFUNCTION("""COMPUTED_VALUE"""),"All amenities")</f>
        <v>All amenities</v>
      </c>
      <c r="K2355" s="2">
        <f>IFERROR(__xludf.DUMMYFUNCTION("""COMPUTED_VALUE"""),140.0)</f>
        <v>140</v>
      </c>
      <c r="L2355" s="2">
        <f>IFERROR(__xludf.DUMMYFUNCTION("""COMPUTED_VALUE"""),56.9502926)</f>
        <v>56.9502926</v>
      </c>
      <c r="M2355" s="2">
        <f>IFERROR(__xludf.DUMMYFUNCTION("""COMPUTED_VALUE"""),24.143564917498)</f>
        <v>24.14356492</v>
      </c>
    </row>
    <row r="2356">
      <c r="A2356" s="2" t="str">
        <f>IFERROR(__xludf.DUMMYFUNCTION("""COMPUTED_VALUE"""),"For sale")</f>
        <v>For sale</v>
      </c>
      <c r="B2356" s="2" t="str">
        <f>IFERROR(__xludf.DUMMYFUNCTION("""COMPUTED_VALUE"""),"Purvciems")</f>
        <v>Purvciems</v>
      </c>
      <c r="C2356" s="2" t="str">
        <f>IFERROR(__xludf.DUMMYFUNCTION("""COMPUTED_VALUE"""),"Dudajeva g. 12")</f>
        <v>Dudajeva g. 12</v>
      </c>
      <c r="D2356" s="2">
        <f>IFERROR(__xludf.DUMMYFUNCTION("""COMPUTED_VALUE"""),3.0)</f>
        <v>3</v>
      </c>
      <c r="E2356" s="2">
        <f>IFERROR(__xludf.DUMMYFUNCTION("""COMPUTED_VALUE"""),66.0)</f>
        <v>66</v>
      </c>
      <c r="F2356" s="2">
        <f>IFERROR(__xludf.DUMMYFUNCTION("""COMPUTED_VALUE"""),5.0)</f>
        <v>5</v>
      </c>
      <c r="G2356" s="2">
        <f>IFERROR(__xludf.DUMMYFUNCTION("""COMPUTED_VALUE"""),5.0)</f>
        <v>5</v>
      </c>
      <c r="H2356" s="2" t="str">
        <f>IFERROR(__xludf.DUMMYFUNCTION("""COMPUTED_VALUE"""),"LT proj.")</f>
        <v>LT proj.</v>
      </c>
      <c r="I2356" s="2" t="str">
        <f>IFERROR(__xludf.DUMMYFUNCTION("""COMPUTED_VALUE"""),"Panel")</f>
        <v>Panel</v>
      </c>
      <c r="J2356" s="2" t="str">
        <f>IFERROR(__xludf.DUMMYFUNCTION("""COMPUTED_VALUE"""),"All amenities")</f>
        <v>All amenities</v>
      </c>
      <c r="K2356" s="2">
        <f>IFERROR(__xludf.DUMMYFUNCTION("""COMPUTED_VALUE"""),93000.0)</f>
        <v>93000</v>
      </c>
      <c r="L2356" s="2">
        <f>IFERROR(__xludf.DUMMYFUNCTION("""COMPUTED_VALUE"""),56.9570069)</f>
        <v>56.9570069</v>
      </c>
      <c r="M2356" s="2">
        <f>IFERROR(__xludf.DUMMYFUNCTION("""COMPUTED_VALUE"""),24.1987368)</f>
        <v>24.1987368</v>
      </c>
    </row>
    <row r="2357">
      <c r="A2357" s="2" t="str">
        <f>IFERROR(__xludf.DUMMYFUNCTION("""COMPUTED_VALUE"""),"For sale")</f>
        <v>For sale</v>
      </c>
      <c r="B2357" s="2" t="str">
        <f>IFERROR(__xludf.DUMMYFUNCTION("""COMPUTED_VALUE"""),"Dārzciems")</f>
        <v>Dārzciems</v>
      </c>
      <c r="C2357" s="2" t="str">
        <f>IFERROR(__xludf.DUMMYFUNCTION("""COMPUTED_VALUE"""),"Stopiņu 14")</f>
        <v>Stopiņu 14</v>
      </c>
      <c r="D2357" s="2">
        <f>IFERROR(__xludf.DUMMYFUNCTION("""COMPUTED_VALUE"""),2.0)</f>
        <v>2</v>
      </c>
      <c r="E2357" s="2">
        <f>IFERROR(__xludf.DUMMYFUNCTION("""COMPUTED_VALUE"""),49.0)</f>
        <v>49</v>
      </c>
      <c r="F2357" s="2">
        <f>IFERROR(__xludf.DUMMYFUNCTION("""COMPUTED_VALUE"""),1.0)</f>
        <v>1</v>
      </c>
      <c r="G2357" s="2">
        <f>IFERROR(__xludf.DUMMYFUNCTION("""COMPUTED_VALUE"""),5.0)</f>
        <v>5</v>
      </c>
      <c r="H2357" s="2" t="str">
        <f>IFERROR(__xludf.DUMMYFUNCTION("""COMPUTED_VALUE"""),"Jaun.")</f>
        <v>Jaun.</v>
      </c>
      <c r="I2357" s="2" t="str">
        <f>IFERROR(__xludf.DUMMYFUNCTION("""COMPUTED_VALUE"""),"Masonry")</f>
        <v>Masonry</v>
      </c>
      <c r="J2357" s="2" t="str">
        <f>IFERROR(__xludf.DUMMYFUNCTION("""COMPUTED_VALUE"""),"All amenities")</f>
        <v>All amenities</v>
      </c>
      <c r="K2357" s="2">
        <f>IFERROR(__xludf.DUMMYFUNCTION("""COMPUTED_VALUE"""),63000.0)</f>
        <v>63000</v>
      </c>
      <c r="L2357" s="2">
        <f>IFERROR(__xludf.DUMMYFUNCTION("""COMPUTED_VALUE"""),56.9485064)</f>
        <v>56.9485064</v>
      </c>
      <c r="M2357" s="2">
        <f>IFERROR(__xludf.DUMMYFUNCTION("""COMPUTED_VALUE"""),24.1696077537097)</f>
        <v>24.16960775</v>
      </c>
    </row>
    <row r="2358">
      <c r="A2358" s="2" t="str">
        <f>IFERROR(__xludf.DUMMYFUNCTION("""COMPUTED_VALUE"""),"For sale")</f>
        <v>For sale</v>
      </c>
      <c r="B2358" s="2" t="str">
        <f>IFERROR(__xludf.DUMMYFUNCTION("""COMPUTED_VALUE"""),"Āgenskalns")</f>
        <v>Āgenskalns</v>
      </c>
      <c r="C2358" s="2" t="str">
        <f>IFERROR(__xludf.DUMMYFUNCTION("""COMPUTED_VALUE"""),"Alīses 5")</f>
        <v>Alīses 5</v>
      </c>
      <c r="D2358" s="2">
        <f>IFERROR(__xludf.DUMMYFUNCTION("""COMPUTED_VALUE"""),2.0)</f>
        <v>2</v>
      </c>
      <c r="E2358" s="2">
        <f>IFERROR(__xludf.DUMMYFUNCTION("""COMPUTED_VALUE"""),41.0)</f>
        <v>41</v>
      </c>
      <c r="F2358" s="2">
        <f>IFERROR(__xludf.DUMMYFUNCTION("""COMPUTED_VALUE"""),3.0)</f>
        <v>3</v>
      </c>
      <c r="G2358" s="2">
        <f>IFERROR(__xludf.DUMMYFUNCTION("""COMPUTED_VALUE"""),5.0)</f>
        <v>5</v>
      </c>
      <c r="H2358" s="2" t="str">
        <f>IFERROR(__xludf.DUMMYFUNCTION("""COMPUTED_VALUE"""),"Renov.")</f>
        <v>Renov.</v>
      </c>
      <c r="I2358" s="2" t="str">
        <f>IFERROR(__xludf.DUMMYFUNCTION("""COMPUTED_VALUE"""),"Masonry")</f>
        <v>Masonry</v>
      </c>
      <c r="J2358" s="2" t="str">
        <f>IFERROR(__xludf.DUMMYFUNCTION("""COMPUTED_VALUE"""),"All amenities")</f>
        <v>All amenities</v>
      </c>
      <c r="K2358" s="2">
        <f>IFERROR(__xludf.DUMMYFUNCTION("""COMPUTED_VALUE"""),89100.0)</f>
        <v>89100</v>
      </c>
      <c r="L2358" s="2">
        <f>IFERROR(__xludf.DUMMYFUNCTION("""COMPUTED_VALUE"""),56.9452001)</f>
        <v>56.9452001</v>
      </c>
      <c r="M2358" s="2">
        <f>IFERROR(__xludf.DUMMYFUNCTION("""COMPUTED_VALUE"""),24.0689877912799)</f>
        <v>24.06898779</v>
      </c>
    </row>
    <row r="2359">
      <c r="A2359" s="2" t="str">
        <f>IFERROR(__xludf.DUMMYFUNCTION("""COMPUTED_VALUE"""),"For sale")</f>
        <v>For sale</v>
      </c>
      <c r="B2359" s="2" t="str">
        <f>IFERROR(__xludf.DUMMYFUNCTION("""COMPUTED_VALUE"""),"Āgenskalns")</f>
        <v>Āgenskalns</v>
      </c>
      <c r="C2359" s="2" t="str">
        <f>IFERROR(__xludf.DUMMYFUNCTION("""COMPUTED_VALUE"""),"Alīses 5")</f>
        <v>Alīses 5</v>
      </c>
      <c r="D2359" s="2">
        <f>IFERROR(__xludf.DUMMYFUNCTION("""COMPUTED_VALUE"""),2.0)</f>
        <v>2</v>
      </c>
      <c r="E2359" s="2">
        <f>IFERROR(__xludf.DUMMYFUNCTION("""COMPUTED_VALUE"""),51.0)</f>
        <v>51</v>
      </c>
      <c r="F2359" s="2">
        <f>IFERROR(__xludf.DUMMYFUNCTION("""COMPUTED_VALUE"""),3.0)</f>
        <v>3</v>
      </c>
      <c r="G2359" s="2">
        <f>IFERROR(__xludf.DUMMYFUNCTION("""COMPUTED_VALUE"""),5.0)</f>
        <v>5</v>
      </c>
      <c r="H2359" s="2" t="str">
        <f>IFERROR(__xludf.DUMMYFUNCTION("""COMPUTED_VALUE"""),"Renov.")</f>
        <v>Renov.</v>
      </c>
      <c r="I2359" s="2" t="str">
        <f>IFERROR(__xludf.DUMMYFUNCTION("""COMPUTED_VALUE"""),"Masonry")</f>
        <v>Masonry</v>
      </c>
      <c r="J2359" s="2" t="str">
        <f>IFERROR(__xludf.DUMMYFUNCTION("""COMPUTED_VALUE"""),"All amenities")</f>
        <v>All amenities</v>
      </c>
      <c r="K2359" s="2">
        <f>IFERROR(__xludf.DUMMYFUNCTION("""COMPUTED_VALUE"""),112200.0)</f>
        <v>112200</v>
      </c>
      <c r="L2359" s="2">
        <f>IFERROR(__xludf.DUMMYFUNCTION("""COMPUTED_VALUE"""),56.9452001)</f>
        <v>56.9452001</v>
      </c>
      <c r="M2359" s="2">
        <f>IFERROR(__xludf.DUMMYFUNCTION("""COMPUTED_VALUE"""),24.0689877912799)</f>
        <v>24.06898779</v>
      </c>
    </row>
    <row r="2360">
      <c r="A2360" s="2" t="str">
        <f>IFERROR(__xludf.DUMMYFUNCTION("""COMPUTED_VALUE"""),"For sale")</f>
        <v>For sale</v>
      </c>
      <c r="B2360" s="2" t="str">
        <f>IFERROR(__xludf.DUMMYFUNCTION("""COMPUTED_VALUE"""),"Ziepniekkalns")</f>
        <v>Ziepniekkalns</v>
      </c>
      <c r="C2360" s="2" t="str">
        <f>IFERROR(__xludf.DUMMYFUNCTION("""COMPUTED_VALUE"""),"Komētas 22")</f>
        <v>Komētas 22</v>
      </c>
      <c r="D2360" s="2">
        <f>IFERROR(__xludf.DUMMYFUNCTION("""COMPUTED_VALUE"""),2.0)</f>
        <v>2</v>
      </c>
      <c r="E2360" s="2">
        <f>IFERROR(__xludf.DUMMYFUNCTION("""COMPUTED_VALUE"""),65.0)</f>
        <v>65</v>
      </c>
      <c r="F2360" s="2">
        <f>IFERROR(__xludf.DUMMYFUNCTION("""COMPUTED_VALUE"""),2.0)</f>
        <v>2</v>
      </c>
      <c r="G2360" s="2">
        <f>IFERROR(__xludf.DUMMYFUNCTION("""COMPUTED_VALUE"""),4.0)</f>
        <v>4</v>
      </c>
      <c r="H2360" s="2" t="str">
        <f>IFERROR(__xludf.DUMMYFUNCTION("""COMPUTED_VALUE"""),"Jaun.")</f>
        <v>Jaun.</v>
      </c>
      <c r="I2360" s="2" t="str">
        <f>IFERROR(__xludf.DUMMYFUNCTION("""COMPUTED_VALUE"""),"Panel-Brick")</f>
        <v>Panel-Brick</v>
      </c>
      <c r="J2360" s="2" t="str">
        <f>IFERROR(__xludf.DUMMYFUNCTION("""COMPUTED_VALUE"""),"All amenities")</f>
        <v>All amenities</v>
      </c>
      <c r="K2360" s="2">
        <f>IFERROR(__xludf.DUMMYFUNCTION("""COMPUTED_VALUE"""),99840.0)</f>
        <v>99840</v>
      </c>
      <c r="L2360" s="2">
        <f>IFERROR(__xludf.DUMMYFUNCTION("""COMPUTED_VALUE"""),56.914968)</f>
        <v>56.914968</v>
      </c>
      <c r="M2360" s="2">
        <f>IFERROR(__xludf.DUMMYFUNCTION("""COMPUTED_VALUE"""),24.12289)</f>
        <v>24.12289</v>
      </c>
    </row>
    <row r="2361">
      <c r="A2361" s="2" t="str">
        <f>IFERROR(__xludf.DUMMYFUNCTION("""COMPUTED_VALUE"""),"For sale")</f>
        <v>For sale</v>
      </c>
      <c r="B2361" s="2" t="str">
        <f>IFERROR(__xludf.DUMMYFUNCTION("""COMPUTED_VALUE"""),"Ziepniekkalns")</f>
        <v>Ziepniekkalns</v>
      </c>
      <c r="C2361" s="2" t="str">
        <f>IFERROR(__xludf.DUMMYFUNCTION("""COMPUTED_VALUE"""),"Komētas 20")</f>
        <v>Komētas 20</v>
      </c>
      <c r="D2361" s="2">
        <f>IFERROR(__xludf.DUMMYFUNCTION("""COMPUTED_VALUE"""),4.0)</f>
        <v>4</v>
      </c>
      <c r="E2361" s="2">
        <f>IFERROR(__xludf.DUMMYFUNCTION("""COMPUTED_VALUE"""),141.0)</f>
        <v>141</v>
      </c>
      <c r="F2361" s="2">
        <f>IFERROR(__xludf.DUMMYFUNCTION("""COMPUTED_VALUE"""),4.0)</f>
        <v>4</v>
      </c>
      <c r="G2361" s="2">
        <f>IFERROR(__xludf.DUMMYFUNCTION("""COMPUTED_VALUE"""),4.0)</f>
        <v>4</v>
      </c>
      <c r="H2361" s="2" t="str">
        <f>IFERROR(__xludf.DUMMYFUNCTION("""COMPUTED_VALUE"""),"Jaun.")</f>
        <v>Jaun.</v>
      </c>
      <c r="I2361" s="2" t="str">
        <f>IFERROR(__xludf.DUMMYFUNCTION("""COMPUTED_VALUE"""),"Panel-Brick")</f>
        <v>Panel-Brick</v>
      </c>
      <c r="J2361" s="2" t="str">
        <f>IFERROR(__xludf.DUMMYFUNCTION("""COMPUTED_VALUE"""),"All amenities")</f>
        <v>All amenities</v>
      </c>
      <c r="K2361" s="2">
        <f>IFERROR(__xludf.DUMMYFUNCTION("""COMPUTED_VALUE"""),199950.0)</f>
        <v>199950</v>
      </c>
      <c r="L2361" s="2">
        <f>IFERROR(__xludf.DUMMYFUNCTION("""COMPUTED_VALUE"""),56.914968)</f>
        <v>56.914968</v>
      </c>
      <c r="M2361" s="2">
        <f>IFERROR(__xludf.DUMMYFUNCTION("""COMPUTED_VALUE"""),24.12289)</f>
        <v>24.12289</v>
      </c>
    </row>
    <row r="2362">
      <c r="A2362" s="2" t="str">
        <f>IFERROR(__xludf.DUMMYFUNCTION("""COMPUTED_VALUE"""),"For sale")</f>
        <v>For sale</v>
      </c>
      <c r="B2362" s="2" t="str">
        <f>IFERROR(__xludf.DUMMYFUNCTION("""COMPUTED_VALUE"""),"Ziepniekkalns")</f>
        <v>Ziepniekkalns</v>
      </c>
      <c r="C2362" s="2" t="str">
        <f>IFERROR(__xludf.DUMMYFUNCTION("""COMPUTED_VALUE"""),"Komētas 22")</f>
        <v>Komētas 22</v>
      </c>
      <c r="D2362" s="2">
        <f>IFERROR(__xludf.DUMMYFUNCTION("""COMPUTED_VALUE"""),3.0)</f>
        <v>3</v>
      </c>
      <c r="E2362" s="2">
        <f>IFERROR(__xludf.DUMMYFUNCTION("""COMPUTED_VALUE"""),77.0)</f>
        <v>77</v>
      </c>
      <c r="F2362" s="2">
        <f>IFERROR(__xludf.DUMMYFUNCTION("""COMPUTED_VALUE"""),2.0)</f>
        <v>2</v>
      </c>
      <c r="G2362" s="2">
        <f>IFERROR(__xludf.DUMMYFUNCTION("""COMPUTED_VALUE"""),4.0)</f>
        <v>4</v>
      </c>
      <c r="H2362" s="2" t="str">
        <f>IFERROR(__xludf.DUMMYFUNCTION("""COMPUTED_VALUE"""),"Jaun.")</f>
        <v>Jaun.</v>
      </c>
      <c r="I2362" s="2" t="str">
        <f>IFERROR(__xludf.DUMMYFUNCTION("""COMPUTED_VALUE"""),"Panel-Brick")</f>
        <v>Panel-Brick</v>
      </c>
      <c r="J2362" s="2" t="str">
        <f>IFERROR(__xludf.DUMMYFUNCTION("""COMPUTED_VALUE"""),"All amenities")</f>
        <v>All amenities</v>
      </c>
      <c r="K2362" s="2">
        <f>IFERROR(__xludf.DUMMYFUNCTION("""COMPUTED_VALUE"""),126000.0)</f>
        <v>126000</v>
      </c>
      <c r="L2362" s="2">
        <f>IFERROR(__xludf.DUMMYFUNCTION("""COMPUTED_VALUE"""),56.914968)</f>
        <v>56.914968</v>
      </c>
      <c r="M2362" s="2">
        <f>IFERROR(__xludf.DUMMYFUNCTION("""COMPUTED_VALUE"""),24.12289)</f>
        <v>24.12289</v>
      </c>
    </row>
    <row r="2363">
      <c r="A2363" s="2" t="str">
        <f>IFERROR(__xludf.DUMMYFUNCTION("""COMPUTED_VALUE"""),"For rent")</f>
        <v>For rent</v>
      </c>
      <c r="B2363" s="2" t="str">
        <f>IFERROR(__xludf.DUMMYFUNCTION("""COMPUTED_VALUE"""),"Ziepniekkalns")</f>
        <v>Ziepniekkalns</v>
      </c>
      <c r="C2363" s="2" t="str">
        <f>IFERROR(__xludf.DUMMYFUNCTION("""COMPUTED_VALUE"""),"Valdeķu 62")</f>
        <v>Valdeķu 62</v>
      </c>
      <c r="D2363" s="2">
        <f>IFERROR(__xludf.DUMMYFUNCTION("""COMPUTED_VALUE"""),2.0)</f>
        <v>2</v>
      </c>
      <c r="E2363" s="2">
        <f>IFERROR(__xludf.DUMMYFUNCTION("""COMPUTED_VALUE"""),50.0)</f>
        <v>50</v>
      </c>
      <c r="F2363" s="2">
        <f>IFERROR(__xludf.DUMMYFUNCTION("""COMPUTED_VALUE"""),8.0)</f>
        <v>8</v>
      </c>
      <c r="G2363" s="2">
        <f>IFERROR(__xludf.DUMMYFUNCTION("""COMPUTED_VALUE"""),9.0)</f>
        <v>9</v>
      </c>
      <c r="H2363" s="2">
        <f>IFERROR(__xludf.DUMMYFUNCTION("""COMPUTED_VALUE"""),602.0)</f>
        <v>602</v>
      </c>
      <c r="I2363" s="2" t="str">
        <f>IFERROR(__xludf.DUMMYFUNCTION("""COMPUTED_VALUE"""),"Panel")</f>
        <v>Panel</v>
      </c>
      <c r="J2363" s="2" t="str">
        <f>IFERROR(__xludf.DUMMYFUNCTION("""COMPUTED_VALUE"""),"All amenities")</f>
        <v>All amenities</v>
      </c>
      <c r="K2363" s="2">
        <f>IFERROR(__xludf.DUMMYFUNCTION("""COMPUTED_VALUE"""),30.0)</f>
        <v>30</v>
      </c>
      <c r="L2363" s="2">
        <f>IFERROR(__xludf.DUMMYFUNCTION("""COMPUTED_VALUE"""),56.90102635)</f>
        <v>56.90102635</v>
      </c>
      <c r="M2363" s="2">
        <f>IFERROR(__xludf.DUMMYFUNCTION("""COMPUTED_VALUE"""),24.0939941127903)</f>
        <v>24.09399411</v>
      </c>
    </row>
    <row r="2364">
      <c r="A2364" s="2" t="str">
        <f>IFERROR(__xludf.DUMMYFUNCTION("""COMPUTED_VALUE"""),"For rent")</f>
        <v>For rent</v>
      </c>
      <c r="B2364" s="2" t="str">
        <f>IFERROR(__xludf.DUMMYFUNCTION("""COMPUTED_VALUE"""),"Purvciems")</f>
        <v>Purvciems</v>
      </c>
      <c r="C2364" s="2" t="str">
        <f>IFERROR(__xludf.DUMMYFUNCTION("""COMPUTED_VALUE"""),"Mārcienas 1")</f>
        <v>Mārcienas 1</v>
      </c>
      <c r="D2364" s="2">
        <f>IFERROR(__xludf.DUMMYFUNCTION("""COMPUTED_VALUE"""),2.0)</f>
        <v>2</v>
      </c>
      <c r="E2364" s="2">
        <f>IFERROR(__xludf.DUMMYFUNCTION("""COMPUTED_VALUE"""),60.0)</f>
        <v>60</v>
      </c>
      <c r="F2364" s="2">
        <f>IFERROR(__xludf.DUMMYFUNCTION("""COMPUTED_VALUE"""),9.0)</f>
        <v>9</v>
      </c>
      <c r="G2364" s="2">
        <f>IFERROR(__xludf.DUMMYFUNCTION("""COMPUTED_VALUE"""),9.0)</f>
        <v>9</v>
      </c>
      <c r="H2364" s="2">
        <f>IFERROR(__xludf.DUMMYFUNCTION("""COMPUTED_VALUE"""),119.0)</f>
        <v>119</v>
      </c>
      <c r="I2364" s="2" t="str">
        <f>IFERROR(__xludf.DUMMYFUNCTION("""COMPUTED_VALUE"""),"Panel")</f>
        <v>Panel</v>
      </c>
      <c r="J2364" s="2" t="str">
        <f>IFERROR(__xludf.DUMMYFUNCTION("""COMPUTED_VALUE"""),"All amenities")</f>
        <v>All amenities</v>
      </c>
      <c r="K2364" s="2">
        <f>IFERROR(__xludf.DUMMYFUNCTION("""COMPUTED_VALUE"""),320.0)</f>
        <v>320</v>
      </c>
      <c r="L2364" s="2">
        <f>IFERROR(__xludf.DUMMYFUNCTION("""COMPUTED_VALUE"""),56.95486825)</f>
        <v>56.95486825</v>
      </c>
      <c r="M2364" s="2">
        <f>IFERROR(__xludf.DUMMYFUNCTION("""COMPUTED_VALUE"""),24.1676608)</f>
        <v>24.1676608</v>
      </c>
    </row>
    <row r="2365">
      <c r="A2365" s="2" t="str">
        <f>IFERROR(__xludf.DUMMYFUNCTION("""COMPUTED_VALUE"""),"For sale")</f>
        <v>For sale</v>
      </c>
      <c r="B2365" s="2" t="str">
        <f>IFERROR(__xludf.DUMMYFUNCTION("""COMPUTED_VALUE"""),"centrs")</f>
        <v>centrs</v>
      </c>
      <c r="C2365" s="2" t="str">
        <f>IFERROR(__xludf.DUMMYFUNCTION("""COMPUTED_VALUE"""),"Briāna 4")</f>
        <v>Briāna 4</v>
      </c>
      <c r="D2365" s="2">
        <f>IFERROR(__xludf.DUMMYFUNCTION("""COMPUTED_VALUE"""),1.0)</f>
        <v>1</v>
      </c>
      <c r="E2365" s="2">
        <f>IFERROR(__xludf.DUMMYFUNCTION("""COMPUTED_VALUE"""),41.0)</f>
        <v>41</v>
      </c>
      <c r="F2365" s="2">
        <f>IFERROR(__xludf.DUMMYFUNCTION("""COMPUTED_VALUE"""),1.0)</f>
        <v>1</v>
      </c>
      <c r="G2365" s="2">
        <f>IFERROR(__xludf.DUMMYFUNCTION("""COMPUTED_VALUE"""),5.0)</f>
        <v>5</v>
      </c>
      <c r="H2365" s="2" t="str">
        <f>IFERROR(__xludf.DUMMYFUNCTION("""COMPUTED_VALUE"""),"Renov.")</f>
        <v>Renov.</v>
      </c>
      <c r="I2365" s="2" t="str">
        <f>IFERROR(__xludf.DUMMYFUNCTION("""COMPUTED_VALUE"""),"Masonry")</f>
        <v>Masonry</v>
      </c>
      <c r="J2365" s="2" t="str">
        <f>IFERROR(__xludf.DUMMYFUNCTION("""COMPUTED_VALUE"""),"All amenities")</f>
        <v>All amenities</v>
      </c>
      <c r="K2365" s="2">
        <f>IFERROR(__xludf.DUMMYFUNCTION("""COMPUTED_VALUE"""),68842.0)</f>
        <v>68842</v>
      </c>
      <c r="L2365" s="2">
        <f>IFERROR(__xludf.DUMMYFUNCTION("""COMPUTED_VALUE"""),56.9629058)</f>
        <v>56.9629058</v>
      </c>
      <c r="M2365" s="2">
        <f>IFERROR(__xludf.DUMMYFUNCTION("""COMPUTED_VALUE"""),24.1284176030358)</f>
        <v>24.1284176</v>
      </c>
    </row>
    <row r="2366">
      <c r="A2366" s="2" t="str">
        <f>IFERROR(__xludf.DUMMYFUNCTION("""COMPUTED_VALUE"""),"For rent")</f>
        <v>For rent</v>
      </c>
      <c r="B2366" s="2" t="str">
        <f>IFERROR(__xludf.DUMMYFUNCTION("""COMPUTED_VALUE"""),"centrs")</f>
        <v>centrs</v>
      </c>
      <c r="C2366" s="2" t="str">
        <f>IFERROR(__xludf.DUMMYFUNCTION("""COMPUTED_VALUE"""),"Barona 5")</f>
        <v>Barona 5</v>
      </c>
      <c r="D2366" s="2">
        <f>IFERROR(__xludf.DUMMYFUNCTION("""COMPUTED_VALUE"""),2.0)</f>
        <v>2</v>
      </c>
      <c r="E2366" s="2">
        <f>IFERROR(__xludf.DUMMYFUNCTION("""COMPUTED_VALUE"""),45.0)</f>
        <v>45</v>
      </c>
      <c r="F2366" s="2">
        <f>IFERROR(__xludf.DUMMYFUNCTION("""COMPUTED_VALUE"""),2.0)</f>
        <v>2</v>
      </c>
      <c r="G2366" s="2">
        <f>IFERROR(__xludf.DUMMYFUNCTION("""COMPUTED_VALUE"""),6.0)</f>
        <v>6</v>
      </c>
      <c r="H2366" s="2" t="str">
        <f>IFERROR(__xludf.DUMMYFUNCTION("""COMPUTED_VALUE"""),"Staļina")</f>
        <v>Staļina</v>
      </c>
      <c r="I2366" s="2" t="str">
        <f>IFERROR(__xludf.DUMMYFUNCTION("""COMPUTED_VALUE"""),"Masonry")</f>
        <v>Masonry</v>
      </c>
      <c r="J2366" s="2" t="str">
        <f>IFERROR(__xludf.DUMMYFUNCTION("""COMPUTED_VALUE"""),"All amenities")</f>
        <v>All amenities</v>
      </c>
      <c r="K2366" s="2">
        <f>IFERROR(__xludf.DUMMYFUNCTION("""COMPUTED_VALUE"""),590.0)</f>
        <v>590</v>
      </c>
      <c r="L2366" s="2">
        <f>IFERROR(__xludf.DUMMYFUNCTION("""COMPUTED_VALUE"""),56.9516291)</f>
        <v>56.9516291</v>
      </c>
      <c r="M2366" s="2">
        <f>IFERROR(__xludf.DUMMYFUNCTION("""COMPUTED_VALUE"""),24.1216147585912)</f>
        <v>24.12161476</v>
      </c>
    </row>
    <row r="2367">
      <c r="A2367" s="2" t="str">
        <f>IFERROR(__xludf.DUMMYFUNCTION("""COMPUTED_VALUE"""),"For sale")</f>
        <v>For sale</v>
      </c>
      <c r="B2367" s="2" t="str">
        <f>IFERROR(__xludf.DUMMYFUNCTION("""COMPUTED_VALUE"""),"centrs")</f>
        <v>centrs</v>
      </c>
      <c r="C2367" s="2" t="str">
        <f>IFERROR(__xludf.DUMMYFUNCTION("""COMPUTED_VALUE"""),"Blaumaņa 12")</f>
        <v>Blaumaņa 12</v>
      </c>
      <c r="D2367" s="2">
        <f>IFERROR(__xludf.DUMMYFUNCTION("""COMPUTED_VALUE"""),3.0)</f>
        <v>3</v>
      </c>
      <c r="E2367" s="2">
        <f>IFERROR(__xludf.DUMMYFUNCTION("""COMPUTED_VALUE"""),86.0)</f>
        <v>86</v>
      </c>
      <c r="F2367" s="2">
        <f>IFERROR(__xludf.DUMMYFUNCTION("""COMPUTED_VALUE"""),5.0)</f>
        <v>5</v>
      </c>
      <c r="G2367" s="2">
        <f>IFERROR(__xludf.DUMMYFUNCTION("""COMPUTED_VALUE"""),6.0)</f>
        <v>6</v>
      </c>
      <c r="H2367" s="2" t="str">
        <f>IFERROR(__xludf.DUMMYFUNCTION("""COMPUTED_VALUE"""),"Renov.")</f>
        <v>Renov.</v>
      </c>
      <c r="I2367" s="2" t="str">
        <f>IFERROR(__xludf.DUMMYFUNCTION("""COMPUTED_VALUE"""),"Masonry")</f>
        <v>Masonry</v>
      </c>
      <c r="J2367" s="2" t="str">
        <f>IFERROR(__xludf.DUMMYFUNCTION("""COMPUTED_VALUE"""),"All amenities")</f>
        <v>All amenities</v>
      </c>
      <c r="K2367" s="2">
        <f>IFERROR(__xludf.DUMMYFUNCTION("""COMPUTED_VALUE"""),205920.0)</f>
        <v>205920</v>
      </c>
      <c r="L2367" s="2">
        <f>IFERROR(__xludf.DUMMYFUNCTION("""COMPUTED_VALUE"""),56.9548306)</f>
        <v>56.9548306</v>
      </c>
      <c r="M2367" s="2">
        <f>IFERROR(__xludf.DUMMYFUNCTION("""COMPUTED_VALUE"""),24.1221141)</f>
        <v>24.1221141</v>
      </c>
    </row>
    <row r="2368">
      <c r="A2368" s="2" t="str">
        <f>IFERROR(__xludf.DUMMYFUNCTION("""COMPUTED_VALUE"""),"For sale")</f>
        <v>For sale</v>
      </c>
      <c r="B2368" s="2" t="str">
        <f>IFERROR(__xludf.DUMMYFUNCTION("""COMPUTED_VALUE"""),"Vecrīga")</f>
        <v>Vecrīga</v>
      </c>
      <c r="C2368" s="2" t="str">
        <f>IFERROR(__xludf.DUMMYFUNCTION("""COMPUTED_VALUE"""),"Vāgnera 12")</f>
        <v>Vāgnera 12</v>
      </c>
      <c r="D2368" s="2">
        <f>IFERROR(__xludf.DUMMYFUNCTION("""COMPUTED_VALUE"""),3.0)</f>
        <v>3</v>
      </c>
      <c r="E2368" s="2">
        <f>IFERROR(__xludf.DUMMYFUNCTION("""COMPUTED_VALUE"""),76.0)</f>
        <v>76</v>
      </c>
      <c r="F2368" s="2">
        <f>IFERROR(__xludf.DUMMYFUNCTION("""COMPUTED_VALUE"""),2.0)</f>
        <v>2</v>
      </c>
      <c r="G2368" s="2">
        <f>IFERROR(__xludf.DUMMYFUNCTION("""COMPUTED_VALUE"""),3.0)</f>
        <v>3</v>
      </c>
      <c r="H2368" s="2" t="str">
        <f>IFERROR(__xludf.DUMMYFUNCTION("""COMPUTED_VALUE"""),"Renov.")</f>
        <v>Renov.</v>
      </c>
      <c r="I2368" s="2" t="str">
        <f>IFERROR(__xludf.DUMMYFUNCTION("""COMPUTED_VALUE"""),"Brick")</f>
        <v>Brick</v>
      </c>
      <c r="J2368" s="2" t="str">
        <f>IFERROR(__xludf.DUMMYFUNCTION("""COMPUTED_VALUE"""),"All amenities")</f>
        <v>All amenities</v>
      </c>
      <c r="K2368" s="2">
        <f>IFERROR(__xludf.DUMMYFUNCTION("""COMPUTED_VALUE"""),158000.0)</f>
        <v>158000</v>
      </c>
      <c r="L2368" s="2">
        <f>IFERROR(__xludf.DUMMYFUNCTION("""COMPUTED_VALUE"""),56.94881585)</f>
        <v>56.94881585</v>
      </c>
      <c r="M2368" s="2">
        <f>IFERROR(__xludf.DUMMYFUNCTION("""COMPUTED_VALUE"""),24.1114738591085)</f>
        <v>24.11147386</v>
      </c>
    </row>
    <row r="2369">
      <c r="A2369" s="2" t="str">
        <f>IFERROR(__xludf.DUMMYFUNCTION("""COMPUTED_VALUE"""),"For sale")</f>
        <v>For sale</v>
      </c>
      <c r="B2369" s="2" t="str">
        <f>IFERROR(__xludf.DUMMYFUNCTION("""COMPUTED_VALUE"""),"Ķengarags")</f>
        <v>Ķengarags</v>
      </c>
      <c r="C2369" s="2" t="str">
        <f>IFERROR(__xludf.DUMMYFUNCTION("""COMPUTED_VALUE"""),"Maskavas 268/3")</f>
        <v>Maskavas 268/3</v>
      </c>
      <c r="D2369" s="2">
        <f>IFERROR(__xludf.DUMMYFUNCTION("""COMPUTED_VALUE"""),3.0)</f>
        <v>3</v>
      </c>
      <c r="E2369" s="2">
        <f>IFERROR(__xludf.DUMMYFUNCTION("""COMPUTED_VALUE"""),59.0)</f>
        <v>59</v>
      </c>
      <c r="F2369" s="2">
        <f>IFERROR(__xludf.DUMMYFUNCTION("""COMPUTED_VALUE"""),4.0)</f>
        <v>4</v>
      </c>
      <c r="G2369" s="2">
        <f>IFERROR(__xludf.DUMMYFUNCTION("""COMPUTED_VALUE"""),5.0)</f>
        <v>5</v>
      </c>
      <c r="H2369" s="2" t="str">
        <f>IFERROR(__xludf.DUMMYFUNCTION("""COMPUTED_VALUE"""),"LT proj.")</f>
        <v>LT proj.</v>
      </c>
      <c r="I2369" s="2" t="str">
        <f>IFERROR(__xludf.DUMMYFUNCTION("""COMPUTED_VALUE"""),"Brick-Panel")</f>
        <v>Brick-Panel</v>
      </c>
      <c r="J2369" s="2" t="str">
        <f>IFERROR(__xludf.DUMMYFUNCTION("""COMPUTED_VALUE"""),"All amenities")</f>
        <v>All amenities</v>
      </c>
      <c r="K2369" s="2">
        <f>IFERROR(__xludf.DUMMYFUNCTION("""COMPUTED_VALUE"""),60500.0)</f>
        <v>60500</v>
      </c>
      <c r="L2369" s="2">
        <f>IFERROR(__xludf.DUMMYFUNCTION("""COMPUTED_VALUE"""),56.94475115)</f>
        <v>56.94475115</v>
      </c>
      <c r="M2369" s="2">
        <f>IFERROR(__xludf.DUMMYFUNCTION("""COMPUTED_VALUE"""),24.1132172780624)</f>
        <v>24.11321728</v>
      </c>
    </row>
    <row r="2370">
      <c r="A2370" s="2" t="str">
        <f>IFERROR(__xludf.DUMMYFUNCTION("""COMPUTED_VALUE"""),"For rent")</f>
        <v>For rent</v>
      </c>
      <c r="B2370" s="2" t="str">
        <f>IFERROR(__xludf.DUMMYFUNCTION("""COMPUTED_VALUE"""),"Vecmīlgrāvis")</f>
        <v>Vecmīlgrāvis</v>
      </c>
      <c r="C2370" s="2" t="str">
        <f>IFERROR(__xludf.DUMMYFUNCTION("""COMPUTED_VALUE"""),"Vecmīlgrāvja 1. l. 50")</f>
        <v>Vecmīlgrāvja 1. l. 50</v>
      </c>
      <c r="D2370" s="2">
        <f>IFERROR(__xludf.DUMMYFUNCTION("""COMPUTED_VALUE"""),2.0)</f>
        <v>2</v>
      </c>
      <c r="E2370" s="2">
        <f>IFERROR(__xludf.DUMMYFUNCTION("""COMPUTED_VALUE"""),50.0)</f>
        <v>50</v>
      </c>
      <c r="F2370" s="2">
        <f>IFERROR(__xludf.DUMMYFUNCTION("""COMPUTED_VALUE"""),2.0)</f>
        <v>2</v>
      </c>
      <c r="G2370" s="2">
        <f>IFERROR(__xludf.DUMMYFUNCTION("""COMPUTED_VALUE"""),5.0)</f>
        <v>5</v>
      </c>
      <c r="H2370" s="2" t="str">
        <f>IFERROR(__xludf.DUMMYFUNCTION("""COMPUTED_VALUE"""),"LT proj.")</f>
        <v>LT proj.</v>
      </c>
      <c r="I2370" s="2" t="str">
        <f>IFERROR(__xludf.DUMMYFUNCTION("""COMPUTED_VALUE"""),"Panel")</f>
        <v>Panel</v>
      </c>
      <c r="J2370" s="2" t="str">
        <f>IFERROR(__xludf.DUMMYFUNCTION("""COMPUTED_VALUE"""),"All amenities")</f>
        <v>All amenities</v>
      </c>
      <c r="K2370" s="2">
        <f>IFERROR(__xludf.DUMMYFUNCTION("""COMPUTED_VALUE"""),250.0)</f>
        <v>250</v>
      </c>
      <c r="L2370" s="2" t="str">
        <f>IFERROR(__xludf.DUMMYFUNCTION("""COMPUTED_VALUE"""),"NaN")</f>
        <v>NaN</v>
      </c>
      <c r="M2370" s="2" t="str">
        <f>IFERROR(__xludf.DUMMYFUNCTION("""COMPUTED_VALUE"""),"NaN")</f>
        <v>NaN</v>
      </c>
    </row>
    <row r="2371">
      <c r="A2371" s="2" t="str">
        <f>IFERROR(__xludf.DUMMYFUNCTION("""COMPUTED_VALUE"""),"For rent")</f>
        <v>For rent</v>
      </c>
      <c r="B2371" s="2" t="str">
        <f>IFERROR(__xludf.DUMMYFUNCTION("""COMPUTED_VALUE"""),"centrs")</f>
        <v>centrs</v>
      </c>
      <c r="C2371" s="2" t="str">
        <f>IFERROR(__xludf.DUMMYFUNCTION("""COMPUTED_VALUE"""),"Ausekļa 3")</f>
        <v>Ausekļa 3</v>
      </c>
      <c r="D2371" s="2">
        <f>IFERROR(__xludf.DUMMYFUNCTION("""COMPUTED_VALUE"""),3.0)</f>
        <v>3</v>
      </c>
      <c r="E2371" s="2">
        <f>IFERROR(__xludf.DUMMYFUNCTION("""COMPUTED_VALUE"""),68.0)</f>
        <v>68</v>
      </c>
      <c r="F2371" s="2">
        <f>IFERROR(__xludf.DUMMYFUNCTION("""COMPUTED_VALUE"""),5.0)</f>
        <v>5</v>
      </c>
      <c r="G2371" s="2">
        <f>IFERROR(__xludf.DUMMYFUNCTION("""COMPUTED_VALUE"""),5.0)</f>
        <v>5</v>
      </c>
      <c r="H2371" s="2" t="str">
        <f>IFERROR(__xludf.DUMMYFUNCTION("""COMPUTED_VALUE"""),"P. kara")</f>
        <v>P. kara</v>
      </c>
      <c r="I2371" s="2" t="str">
        <f>IFERROR(__xludf.DUMMYFUNCTION("""COMPUTED_VALUE"""),"Brick")</f>
        <v>Brick</v>
      </c>
      <c r="J2371" s="2" t="str">
        <f>IFERROR(__xludf.DUMMYFUNCTION("""COMPUTED_VALUE"""),"All amenities")</f>
        <v>All amenities</v>
      </c>
      <c r="K2371" s="2">
        <f>IFERROR(__xludf.DUMMYFUNCTION("""COMPUTED_VALUE"""),950.0)</f>
        <v>950</v>
      </c>
      <c r="L2371" s="2">
        <f>IFERROR(__xludf.DUMMYFUNCTION("""COMPUTED_VALUE"""),56.9600455)</f>
        <v>56.9600455</v>
      </c>
      <c r="M2371" s="2">
        <f>IFERROR(__xludf.DUMMYFUNCTION("""COMPUTED_VALUE"""),24.0997626366536)</f>
        <v>24.09976264</v>
      </c>
    </row>
    <row r="2372">
      <c r="A2372" s="2" t="str">
        <f>IFERROR(__xludf.DUMMYFUNCTION("""COMPUTED_VALUE"""),"For sale")</f>
        <v>For sale</v>
      </c>
      <c r="B2372" s="2" t="str">
        <f>IFERROR(__xludf.DUMMYFUNCTION("""COMPUTED_VALUE"""),"centrs")</f>
        <v>centrs</v>
      </c>
      <c r="C2372" s="2" t="str">
        <f>IFERROR(__xludf.DUMMYFUNCTION("""COMPUTED_VALUE"""),"Tomsona 30")</f>
        <v>Tomsona 30</v>
      </c>
      <c r="D2372" s="2">
        <f>IFERROR(__xludf.DUMMYFUNCTION("""COMPUTED_VALUE"""),2.0)</f>
        <v>2</v>
      </c>
      <c r="E2372" s="2">
        <f>IFERROR(__xludf.DUMMYFUNCTION("""COMPUTED_VALUE"""),83.0)</f>
        <v>83</v>
      </c>
      <c r="F2372" s="2">
        <f>IFERROR(__xludf.DUMMYFUNCTION("""COMPUTED_VALUE"""),6.0)</f>
        <v>6</v>
      </c>
      <c r="G2372" s="2">
        <f>IFERROR(__xludf.DUMMYFUNCTION("""COMPUTED_VALUE"""),9.0)</f>
        <v>9</v>
      </c>
      <c r="H2372" s="2" t="str">
        <f>IFERROR(__xludf.DUMMYFUNCTION("""COMPUTED_VALUE"""),"Jaun.")</f>
        <v>Jaun.</v>
      </c>
      <c r="I2372" s="2" t="str">
        <f>IFERROR(__xludf.DUMMYFUNCTION("""COMPUTED_VALUE"""),"Brick-Panel")</f>
        <v>Brick-Panel</v>
      </c>
      <c r="J2372" s="2" t="str">
        <f>IFERROR(__xludf.DUMMYFUNCTION("""COMPUTED_VALUE"""),"All amenities")</f>
        <v>All amenities</v>
      </c>
      <c r="K2372" s="2">
        <f>IFERROR(__xludf.DUMMYFUNCTION("""COMPUTED_VALUE"""),160000.0)</f>
        <v>160000</v>
      </c>
      <c r="L2372" s="2">
        <f>IFERROR(__xludf.DUMMYFUNCTION("""COMPUTED_VALUE"""),56.9665863)</f>
        <v>56.9665863</v>
      </c>
      <c r="M2372" s="2">
        <f>IFERROR(__xludf.DUMMYFUNCTION("""COMPUTED_VALUE"""),24.1282258)</f>
        <v>24.1282258</v>
      </c>
    </row>
    <row r="2373">
      <c r="A2373" s="2" t="str">
        <f>IFERROR(__xludf.DUMMYFUNCTION("""COMPUTED_VALUE"""),"For sale")</f>
        <v>For sale</v>
      </c>
      <c r="B2373" s="2" t="str">
        <f>IFERROR(__xludf.DUMMYFUNCTION("""COMPUTED_VALUE"""),"centrs")</f>
        <v>centrs</v>
      </c>
      <c r="C2373" s="2" t="str">
        <f>IFERROR(__xludf.DUMMYFUNCTION("""COMPUTED_VALUE"""),"Tērbatas 46")</f>
        <v>Tērbatas 46</v>
      </c>
      <c r="D2373" s="2">
        <f>IFERROR(__xludf.DUMMYFUNCTION("""COMPUTED_VALUE"""),3.0)</f>
        <v>3</v>
      </c>
      <c r="E2373" s="2">
        <f>IFERROR(__xludf.DUMMYFUNCTION("""COMPUTED_VALUE"""),87.0)</f>
        <v>87</v>
      </c>
      <c r="F2373" s="2">
        <f>IFERROR(__xludf.DUMMYFUNCTION("""COMPUTED_VALUE"""),5.0)</f>
        <v>5</v>
      </c>
      <c r="G2373" s="2">
        <f>IFERROR(__xludf.DUMMYFUNCTION("""COMPUTED_VALUE"""),6.0)</f>
        <v>6</v>
      </c>
      <c r="H2373" s="2" t="str">
        <f>IFERROR(__xludf.DUMMYFUNCTION("""COMPUTED_VALUE"""),"P. kara")</f>
        <v>P. kara</v>
      </c>
      <c r="I2373" s="2" t="str">
        <f>IFERROR(__xludf.DUMMYFUNCTION("""COMPUTED_VALUE"""),"Brick")</f>
        <v>Brick</v>
      </c>
      <c r="J2373" s="2" t="str">
        <f>IFERROR(__xludf.DUMMYFUNCTION("""COMPUTED_VALUE"""),"All amenities")</f>
        <v>All amenities</v>
      </c>
      <c r="K2373" s="2">
        <f>IFERROR(__xludf.DUMMYFUNCTION("""COMPUTED_VALUE"""),193000.0)</f>
        <v>193000</v>
      </c>
      <c r="L2373" s="2">
        <f>IFERROR(__xludf.DUMMYFUNCTION("""COMPUTED_VALUE"""),56.9559527)</f>
        <v>56.9559527</v>
      </c>
      <c r="M2373" s="2">
        <f>IFERROR(__xludf.DUMMYFUNCTION("""COMPUTED_VALUE"""),24.1267505)</f>
        <v>24.1267505</v>
      </c>
    </row>
    <row r="2374">
      <c r="A2374" s="2" t="str">
        <f>IFERROR(__xludf.DUMMYFUNCTION("""COMPUTED_VALUE"""),"For rent")</f>
        <v>For rent</v>
      </c>
      <c r="B2374" s="2" t="str">
        <f>IFERROR(__xludf.DUMMYFUNCTION("""COMPUTED_VALUE"""),"Imanta")</f>
        <v>Imanta</v>
      </c>
      <c r="C2374" s="2" t="str">
        <f>IFERROR(__xludf.DUMMYFUNCTION("""COMPUTED_VALUE"""),"Slokas 165")</f>
        <v>Slokas 165</v>
      </c>
      <c r="D2374" s="2">
        <f>IFERROR(__xludf.DUMMYFUNCTION("""COMPUTED_VALUE"""),1.0)</f>
        <v>1</v>
      </c>
      <c r="E2374" s="2">
        <f>IFERROR(__xludf.DUMMYFUNCTION("""COMPUTED_VALUE"""),32.0)</f>
        <v>32</v>
      </c>
      <c r="F2374" s="2">
        <f>IFERROR(__xludf.DUMMYFUNCTION("""COMPUTED_VALUE"""),6.0)</f>
        <v>6</v>
      </c>
      <c r="G2374" s="2">
        <f>IFERROR(__xludf.DUMMYFUNCTION("""COMPUTED_VALUE"""),12.0)</f>
        <v>12</v>
      </c>
      <c r="H2374" s="2" t="str">
        <f>IFERROR(__xludf.DUMMYFUNCTION("""COMPUTED_VALUE"""),"Čehu pr.")</f>
        <v>Čehu pr.</v>
      </c>
      <c r="I2374" s="2" t="str">
        <f>IFERROR(__xludf.DUMMYFUNCTION("""COMPUTED_VALUE"""),"Brick")</f>
        <v>Brick</v>
      </c>
      <c r="J2374" s="2" t="str">
        <f>IFERROR(__xludf.DUMMYFUNCTION("""COMPUTED_VALUE"""),"All amenities")</f>
        <v>All amenities</v>
      </c>
      <c r="K2374" s="2">
        <f>IFERROR(__xludf.DUMMYFUNCTION("""COMPUTED_VALUE"""),25.0)</f>
        <v>25</v>
      </c>
      <c r="L2374" s="2">
        <f>IFERROR(__xludf.DUMMYFUNCTION("""COMPUTED_VALUE"""),56.9602878)</f>
        <v>56.9602878</v>
      </c>
      <c r="M2374" s="2">
        <f>IFERROR(__xludf.DUMMYFUNCTION("""COMPUTED_VALUE"""),24.0297672094224)</f>
        <v>24.02976721</v>
      </c>
    </row>
    <row r="2375">
      <c r="A2375" s="2" t="str">
        <f>IFERROR(__xludf.DUMMYFUNCTION("""COMPUTED_VALUE"""),"For rent")</f>
        <v>For rent</v>
      </c>
      <c r="B2375" s="2" t="str">
        <f>IFERROR(__xludf.DUMMYFUNCTION("""COMPUTED_VALUE"""),"Iļģuciems")</f>
        <v>Iļģuciems</v>
      </c>
      <c r="C2375" s="2" t="str">
        <f>IFERROR(__xludf.DUMMYFUNCTION("""COMPUTED_VALUE"""),"Lidoņu 29")</f>
        <v>Lidoņu 29</v>
      </c>
      <c r="D2375" s="2">
        <f>IFERROR(__xludf.DUMMYFUNCTION("""COMPUTED_VALUE"""),1.0)</f>
        <v>1</v>
      </c>
      <c r="E2375" s="2">
        <f>IFERROR(__xludf.DUMMYFUNCTION("""COMPUTED_VALUE"""),45.0)</f>
        <v>45</v>
      </c>
      <c r="F2375" s="2">
        <f>IFERROR(__xludf.DUMMYFUNCTION("""COMPUTED_VALUE"""),9.0)</f>
        <v>9</v>
      </c>
      <c r="G2375" s="2">
        <f>IFERROR(__xludf.DUMMYFUNCTION("""COMPUTED_VALUE"""),9.0)</f>
        <v>9</v>
      </c>
      <c r="H2375" s="2" t="str">
        <f>IFERROR(__xludf.DUMMYFUNCTION("""COMPUTED_VALUE"""),"Specpr.")</f>
        <v>Specpr.</v>
      </c>
      <c r="I2375" s="2" t="str">
        <f>IFERROR(__xludf.DUMMYFUNCTION("""COMPUTED_VALUE"""),"Panel-Brick")</f>
        <v>Panel-Brick</v>
      </c>
      <c r="J2375" s="2" t="str">
        <f>IFERROR(__xludf.DUMMYFUNCTION("""COMPUTED_VALUE"""),"All amenities")</f>
        <v>All amenities</v>
      </c>
      <c r="K2375" s="2">
        <f>IFERROR(__xludf.DUMMYFUNCTION("""COMPUTED_VALUE"""),25.0)</f>
        <v>25</v>
      </c>
      <c r="L2375" s="2">
        <f>IFERROR(__xludf.DUMMYFUNCTION("""COMPUTED_VALUE"""),56.96864425)</f>
        <v>56.96864425</v>
      </c>
      <c r="M2375" s="2">
        <f>IFERROR(__xludf.DUMMYFUNCTION("""COMPUTED_VALUE"""),24.0588636702623)</f>
        <v>24.05886367</v>
      </c>
    </row>
    <row r="2376">
      <c r="A2376" s="2" t="str">
        <f>IFERROR(__xludf.DUMMYFUNCTION("""COMPUTED_VALUE"""),"For sale")</f>
        <v>For sale</v>
      </c>
      <c r="B2376" s="2" t="str">
        <f>IFERROR(__xludf.DUMMYFUNCTION("""COMPUTED_VALUE"""),"centrs")</f>
        <v>centrs</v>
      </c>
      <c r="C2376" s="2" t="str">
        <f>IFERROR(__xludf.DUMMYFUNCTION("""COMPUTED_VALUE"""),"Blaumaņa 12")</f>
        <v>Blaumaņa 12</v>
      </c>
      <c r="D2376" s="2">
        <f>IFERROR(__xludf.DUMMYFUNCTION("""COMPUTED_VALUE"""),3.0)</f>
        <v>3</v>
      </c>
      <c r="E2376" s="2">
        <f>IFERROR(__xludf.DUMMYFUNCTION("""COMPUTED_VALUE"""),62.0)</f>
        <v>62</v>
      </c>
      <c r="F2376" s="2">
        <f>IFERROR(__xludf.DUMMYFUNCTION("""COMPUTED_VALUE"""),2.0)</f>
        <v>2</v>
      </c>
      <c r="G2376" s="2">
        <f>IFERROR(__xludf.DUMMYFUNCTION("""COMPUTED_VALUE"""),6.0)</f>
        <v>6</v>
      </c>
      <c r="H2376" s="2" t="str">
        <f>IFERROR(__xludf.DUMMYFUNCTION("""COMPUTED_VALUE"""),"Renov.")</f>
        <v>Renov.</v>
      </c>
      <c r="I2376" s="2" t="str">
        <f>IFERROR(__xludf.DUMMYFUNCTION("""COMPUTED_VALUE"""),"Masonry")</f>
        <v>Masonry</v>
      </c>
      <c r="J2376" s="2" t="str">
        <f>IFERROR(__xludf.DUMMYFUNCTION("""COMPUTED_VALUE"""),"All amenities")</f>
        <v>All amenities</v>
      </c>
      <c r="K2376" s="2">
        <f>IFERROR(__xludf.DUMMYFUNCTION("""COMPUTED_VALUE"""),141910.0)</f>
        <v>141910</v>
      </c>
      <c r="L2376" s="2">
        <f>IFERROR(__xludf.DUMMYFUNCTION("""COMPUTED_VALUE"""),56.9548306)</f>
        <v>56.9548306</v>
      </c>
      <c r="M2376" s="2">
        <f>IFERROR(__xludf.DUMMYFUNCTION("""COMPUTED_VALUE"""),24.1221141)</f>
        <v>24.1221141</v>
      </c>
    </row>
    <row r="2377">
      <c r="A2377" s="2" t="str">
        <f>IFERROR(__xludf.DUMMYFUNCTION("""COMPUTED_VALUE"""),"For sale")</f>
        <v>For sale</v>
      </c>
      <c r="B2377" s="2" t="str">
        <f>IFERROR(__xludf.DUMMYFUNCTION("""COMPUTED_VALUE"""),"Krasta r-ns")</f>
        <v>Krasta r-ns</v>
      </c>
      <c r="C2377" s="2" t="str">
        <f>IFERROR(__xludf.DUMMYFUNCTION("""COMPUTED_VALUE"""),"Dzērvju 3")</f>
        <v>Dzērvju 3</v>
      </c>
      <c r="D2377" s="2">
        <f>IFERROR(__xludf.DUMMYFUNCTION("""COMPUTED_VALUE"""),3.0)</f>
        <v>3</v>
      </c>
      <c r="E2377" s="2">
        <f>IFERROR(__xludf.DUMMYFUNCTION("""COMPUTED_VALUE"""),61.0)</f>
        <v>61</v>
      </c>
      <c r="F2377" s="2">
        <f>IFERROR(__xludf.DUMMYFUNCTION("""COMPUTED_VALUE"""),5.0)</f>
        <v>5</v>
      </c>
      <c r="G2377" s="2">
        <f>IFERROR(__xludf.DUMMYFUNCTION("""COMPUTED_VALUE"""),9.0)</f>
        <v>9</v>
      </c>
      <c r="H2377" s="2">
        <f>IFERROR(__xludf.DUMMYFUNCTION("""COMPUTED_VALUE"""),467.0)</f>
        <v>467</v>
      </c>
      <c r="I2377" s="2" t="str">
        <f>IFERROR(__xludf.DUMMYFUNCTION("""COMPUTED_VALUE"""),"Panel")</f>
        <v>Panel</v>
      </c>
      <c r="J2377" s="2" t="str">
        <f>IFERROR(__xludf.DUMMYFUNCTION("""COMPUTED_VALUE"""),"All amenities")</f>
        <v>All amenities</v>
      </c>
      <c r="K2377" s="2">
        <f>IFERROR(__xludf.DUMMYFUNCTION("""COMPUTED_VALUE"""),63000.0)</f>
        <v>63000</v>
      </c>
      <c r="L2377" s="2">
        <f>IFERROR(__xludf.DUMMYFUNCTION("""COMPUTED_VALUE"""),56.93086485)</f>
        <v>56.93086485</v>
      </c>
      <c r="M2377" s="2">
        <f>IFERROR(__xludf.DUMMYFUNCTION("""COMPUTED_VALUE"""),24.1650278688019)</f>
        <v>24.16502787</v>
      </c>
    </row>
    <row r="2378">
      <c r="A2378" s="2" t="str">
        <f>IFERROR(__xludf.DUMMYFUNCTION("""COMPUTED_VALUE"""),"For sale")</f>
        <v>For sale</v>
      </c>
      <c r="B2378" s="2" t="str">
        <f>IFERROR(__xludf.DUMMYFUNCTION("""COMPUTED_VALUE"""),"Vecrīga")</f>
        <v>Vecrīga</v>
      </c>
      <c r="C2378" s="2" t="str">
        <f>IFERROR(__xludf.DUMMYFUNCTION("""COMPUTED_VALUE"""),"Šķūņu 13")</f>
        <v>Šķūņu 13</v>
      </c>
      <c r="D2378" s="2">
        <f>IFERROR(__xludf.DUMMYFUNCTION("""COMPUTED_VALUE"""),4.0)</f>
        <v>4</v>
      </c>
      <c r="E2378" s="2">
        <f>IFERROR(__xludf.DUMMYFUNCTION("""COMPUTED_VALUE"""),134.0)</f>
        <v>134</v>
      </c>
      <c r="F2378" s="2">
        <f>IFERROR(__xludf.DUMMYFUNCTION("""COMPUTED_VALUE"""),6.0)</f>
        <v>6</v>
      </c>
      <c r="G2378" s="2">
        <f>IFERROR(__xludf.DUMMYFUNCTION("""COMPUTED_VALUE"""),7.0)</f>
        <v>7</v>
      </c>
      <c r="H2378" s="2" t="str">
        <f>IFERROR(__xludf.DUMMYFUNCTION("""COMPUTED_VALUE"""),"P. kara")</f>
        <v>P. kara</v>
      </c>
      <c r="I2378" s="2" t="str">
        <f>IFERROR(__xludf.DUMMYFUNCTION("""COMPUTED_VALUE"""),"Masonry")</f>
        <v>Masonry</v>
      </c>
      <c r="J2378" s="2" t="str">
        <f>IFERROR(__xludf.DUMMYFUNCTION("""COMPUTED_VALUE"""),"All amenities")</f>
        <v>All amenities</v>
      </c>
      <c r="K2378" s="2">
        <f>IFERROR(__xludf.DUMMYFUNCTION("""COMPUTED_VALUE"""),260000.0)</f>
        <v>260000</v>
      </c>
      <c r="L2378" s="2">
        <f>IFERROR(__xludf.DUMMYFUNCTION("""COMPUTED_VALUE"""),56.9492894)</f>
        <v>56.9492894</v>
      </c>
      <c r="M2378" s="2">
        <f>IFERROR(__xludf.DUMMYFUNCTION("""COMPUTED_VALUE"""),24.1070803)</f>
        <v>24.1070803</v>
      </c>
    </row>
    <row r="2379">
      <c r="A2379" s="2" t="str">
        <f>IFERROR(__xludf.DUMMYFUNCTION("""COMPUTED_VALUE"""),"For sale")</f>
        <v>For sale</v>
      </c>
      <c r="B2379" s="2" t="str">
        <f>IFERROR(__xludf.DUMMYFUNCTION("""COMPUTED_VALUE"""),"Ziepniekkalns")</f>
        <v>Ziepniekkalns</v>
      </c>
      <c r="C2379" s="2" t="str">
        <f>IFERROR(__xludf.DUMMYFUNCTION("""COMPUTED_VALUE"""),"Ozolciema 24/1")</f>
        <v>Ozolciema 24/1</v>
      </c>
      <c r="D2379" s="2">
        <f>IFERROR(__xludf.DUMMYFUNCTION("""COMPUTED_VALUE"""),3.0)</f>
        <v>3</v>
      </c>
      <c r="E2379" s="2">
        <f>IFERROR(__xludf.DUMMYFUNCTION("""COMPUTED_VALUE"""),75.0)</f>
        <v>75</v>
      </c>
      <c r="F2379" s="2">
        <f>IFERROR(__xludf.DUMMYFUNCTION("""COMPUTED_VALUE"""),3.0)</f>
        <v>3</v>
      </c>
      <c r="G2379" s="2">
        <f>IFERROR(__xludf.DUMMYFUNCTION("""COMPUTED_VALUE"""),10.0)</f>
        <v>10</v>
      </c>
      <c r="H2379" s="2">
        <f>IFERROR(__xludf.DUMMYFUNCTION("""COMPUTED_VALUE"""),119.0)</f>
        <v>119</v>
      </c>
      <c r="I2379" s="2" t="str">
        <f>IFERROR(__xludf.DUMMYFUNCTION("""COMPUTED_VALUE"""),"Panel")</f>
        <v>Panel</v>
      </c>
      <c r="J2379" s="2" t="str">
        <f>IFERROR(__xludf.DUMMYFUNCTION("""COMPUTED_VALUE"""),"All amenities")</f>
        <v>All amenities</v>
      </c>
      <c r="K2379" s="2">
        <f>IFERROR(__xludf.DUMMYFUNCTION("""COMPUTED_VALUE"""),72000.0)</f>
        <v>72000</v>
      </c>
      <c r="L2379" s="2">
        <f>IFERROR(__xludf.DUMMYFUNCTION("""COMPUTED_VALUE"""),56.8990307)</f>
        <v>56.8990307</v>
      </c>
      <c r="M2379" s="2">
        <f>IFERROR(__xludf.DUMMYFUNCTION("""COMPUTED_VALUE"""),24.0785989)</f>
        <v>24.0785989</v>
      </c>
    </row>
    <row r="2380">
      <c r="A2380" s="2" t="str">
        <f>IFERROR(__xludf.DUMMYFUNCTION("""COMPUTED_VALUE"""),"For sale")</f>
        <v>For sale</v>
      </c>
      <c r="B2380" s="2" t="str">
        <f>IFERROR(__xludf.DUMMYFUNCTION("""COMPUTED_VALUE"""),"centrs")</f>
        <v>centrs</v>
      </c>
      <c r="C2380" s="2" t="str">
        <f>IFERROR(__xludf.DUMMYFUNCTION("""COMPUTED_VALUE"""),"Miera 87")</f>
        <v>Miera 87</v>
      </c>
      <c r="D2380" s="2">
        <f>IFERROR(__xludf.DUMMYFUNCTION("""COMPUTED_VALUE"""),3.0)</f>
        <v>3</v>
      </c>
      <c r="E2380" s="2">
        <f>IFERROR(__xludf.DUMMYFUNCTION("""COMPUTED_VALUE"""),116.0)</f>
        <v>116</v>
      </c>
      <c r="F2380" s="2">
        <f>IFERROR(__xludf.DUMMYFUNCTION("""COMPUTED_VALUE"""),1.0)</f>
        <v>1</v>
      </c>
      <c r="G2380" s="2">
        <f>IFERROR(__xludf.DUMMYFUNCTION("""COMPUTED_VALUE"""),5.0)</f>
        <v>5</v>
      </c>
      <c r="H2380" s="2" t="str">
        <f>IFERROR(__xludf.DUMMYFUNCTION("""COMPUTED_VALUE"""),"P. kara")</f>
        <v>P. kara</v>
      </c>
      <c r="I2380" s="2" t="str">
        <f>IFERROR(__xludf.DUMMYFUNCTION("""COMPUTED_VALUE"""),"Masonry")</f>
        <v>Masonry</v>
      </c>
      <c r="J2380" s="2" t="str">
        <f>IFERROR(__xludf.DUMMYFUNCTION("""COMPUTED_VALUE"""),"All amenities")</f>
        <v>All amenities</v>
      </c>
      <c r="K2380" s="2">
        <f>IFERROR(__xludf.DUMMYFUNCTION("""COMPUTED_VALUE"""),150000.0)</f>
        <v>150000</v>
      </c>
      <c r="L2380" s="2">
        <f>IFERROR(__xludf.DUMMYFUNCTION("""COMPUTED_VALUE"""),56.9725816)</f>
        <v>56.9725816</v>
      </c>
      <c r="M2380" s="2">
        <f>IFERROR(__xludf.DUMMYFUNCTION("""COMPUTED_VALUE"""),24.1408089332819)</f>
        <v>24.14080893</v>
      </c>
    </row>
    <row r="2381">
      <c r="A2381" s="2" t="str">
        <f>IFERROR(__xludf.DUMMYFUNCTION("""COMPUTED_VALUE"""),"For sale")</f>
        <v>For sale</v>
      </c>
      <c r="B2381" s="2" t="str">
        <f>IFERROR(__xludf.DUMMYFUNCTION("""COMPUTED_VALUE"""),"Dzegužkalns")</f>
        <v>Dzegužkalns</v>
      </c>
      <c r="C2381" s="2" t="str">
        <f>IFERROR(__xludf.DUMMYFUNCTION("""COMPUTED_VALUE"""),"Dagmāras 4")</f>
        <v>Dagmāras 4</v>
      </c>
      <c r="D2381" s="2">
        <f>IFERROR(__xludf.DUMMYFUNCTION("""COMPUTED_VALUE"""),2.0)</f>
        <v>2</v>
      </c>
      <c r="E2381" s="2">
        <f>IFERROR(__xludf.DUMMYFUNCTION("""COMPUTED_VALUE"""),55.0)</f>
        <v>55</v>
      </c>
      <c r="F2381" s="2">
        <f>IFERROR(__xludf.DUMMYFUNCTION("""COMPUTED_VALUE"""),5.0)</f>
        <v>5</v>
      </c>
      <c r="G2381" s="2">
        <f>IFERROR(__xludf.DUMMYFUNCTION("""COMPUTED_VALUE"""),5.0)</f>
        <v>5</v>
      </c>
      <c r="H2381" s="2" t="str">
        <f>IFERROR(__xludf.DUMMYFUNCTION("""COMPUTED_VALUE"""),"Specpr.")</f>
        <v>Specpr.</v>
      </c>
      <c r="I2381" s="2" t="str">
        <f>IFERROR(__xludf.DUMMYFUNCTION("""COMPUTED_VALUE"""),"Brick")</f>
        <v>Brick</v>
      </c>
      <c r="J2381" s="2" t="str">
        <f>IFERROR(__xludf.DUMMYFUNCTION("""COMPUTED_VALUE"""),"All amenities")</f>
        <v>All amenities</v>
      </c>
      <c r="K2381" s="2">
        <f>IFERROR(__xludf.DUMMYFUNCTION("""COMPUTED_VALUE"""),47000.0)</f>
        <v>47000</v>
      </c>
      <c r="L2381" s="2">
        <f>IFERROR(__xludf.DUMMYFUNCTION("""COMPUTED_VALUE"""),56.96027135)</f>
        <v>56.96027135</v>
      </c>
      <c r="M2381" s="2">
        <f>IFERROR(__xludf.DUMMYFUNCTION("""COMPUTED_VALUE"""),24.0597034863947)</f>
        <v>24.05970349</v>
      </c>
    </row>
    <row r="2382">
      <c r="A2382" s="2" t="str">
        <f>IFERROR(__xludf.DUMMYFUNCTION("""COMPUTED_VALUE"""),"For rent")</f>
        <v>For rent</v>
      </c>
      <c r="B2382" s="2" t="str">
        <f>IFERROR(__xludf.DUMMYFUNCTION("""COMPUTED_VALUE"""),"Dzegužkalns")</f>
        <v>Dzegužkalns</v>
      </c>
      <c r="C2382" s="2" t="str">
        <f>IFERROR(__xludf.DUMMYFUNCTION("""COMPUTED_VALUE"""),"Daugavgrīvas 70")</f>
        <v>Daugavgrīvas 70</v>
      </c>
      <c r="D2382" s="2">
        <f>IFERROR(__xludf.DUMMYFUNCTION("""COMPUTED_VALUE"""),3.0)</f>
        <v>3</v>
      </c>
      <c r="E2382" s="2">
        <f>IFERROR(__xludf.DUMMYFUNCTION("""COMPUTED_VALUE"""),59.0)</f>
        <v>59</v>
      </c>
      <c r="F2382" s="2">
        <f>IFERROR(__xludf.DUMMYFUNCTION("""COMPUTED_VALUE"""),3.0)</f>
        <v>3</v>
      </c>
      <c r="G2382" s="2">
        <f>IFERROR(__xludf.DUMMYFUNCTION("""COMPUTED_VALUE"""),5.0)</f>
        <v>5</v>
      </c>
      <c r="H2382" s="2" t="str">
        <f>IFERROR(__xludf.DUMMYFUNCTION("""COMPUTED_VALUE"""),"Specpr.")</f>
        <v>Specpr.</v>
      </c>
      <c r="I2382" s="2" t="str">
        <f>IFERROR(__xludf.DUMMYFUNCTION("""COMPUTED_VALUE"""),"Brick")</f>
        <v>Brick</v>
      </c>
      <c r="J2382" s="2" t="str">
        <f>IFERROR(__xludf.DUMMYFUNCTION("""COMPUTED_VALUE"""),"All amenities")</f>
        <v>All amenities</v>
      </c>
      <c r="K2382" s="2">
        <f>IFERROR(__xludf.DUMMYFUNCTION("""COMPUTED_VALUE"""),370.0)</f>
        <v>370</v>
      </c>
      <c r="L2382" s="2">
        <f>IFERROR(__xludf.DUMMYFUNCTION("""COMPUTED_VALUE"""),56.95719445)</f>
        <v>56.95719445</v>
      </c>
      <c r="M2382" s="2">
        <f>IFERROR(__xludf.DUMMYFUNCTION("""COMPUTED_VALUE"""),24.0702211801407)</f>
        <v>24.07022118</v>
      </c>
    </row>
    <row r="2383">
      <c r="A2383" s="2" t="str">
        <f>IFERROR(__xludf.DUMMYFUNCTION("""COMPUTED_VALUE"""),"For rent")</f>
        <v>For rent</v>
      </c>
      <c r="B2383" s="2" t="str">
        <f>IFERROR(__xludf.DUMMYFUNCTION("""COMPUTED_VALUE"""),"Ziepniekkalns")</f>
        <v>Ziepniekkalns</v>
      </c>
      <c r="C2383" s="2" t="str">
        <f>IFERROR(__xludf.DUMMYFUNCTION("""COMPUTED_VALUE"""),"Ozolciema 56")</f>
        <v>Ozolciema 56</v>
      </c>
      <c r="D2383" s="2">
        <f>IFERROR(__xludf.DUMMYFUNCTION("""COMPUTED_VALUE"""),2.0)</f>
        <v>2</v>
      </c>
      <c r="E2383" s="2">
        <f>IFERROR(__xludf.DUMMYFUNCTION("""COMPUTED_VALUE"""),50.0)</f>
        <v>50</v>
      </c>
      <c r="F2383" s="2">
        <f>IFERROR(__xludf.DUMMYFUNCTION("""COMPUTED_VALUE"""),4.0)</f>
        <v>4</v>
      </c>
      <c r="G2383" s="2">
        <f>IFERROR(__xludf.DUMMYFUNCTION("""COMPUTED_VALUE"""),9.0)</f>
        <v>9</v>
      </c>
      <c r="H2383" s="2">
        <f>IFERROR(__xludf.DUMMYFUNCTION("""COMPUTED_VALUE"""),602.0)</f>
        <v>602</v>
      </c>
      <c r="I2383" s="2" t="str">
        <f>IFERROR(__xludf.DUMMYFUNCTION("""COMPUTED_VALUE"""),"Panel")</f>
        <v>Panel</v>
      </c>
      <c r="J2383" s="2" t="str">
        <f>IFERROR(__xludf.DUMMYFUNCTION("""COMPUTED_VALUE"""),"All amenities")</f>
        <v>All amenities</v>
      </c>
      <c r="K2383" s="2">
        <f>IFERROR(__xludf.DUMMYFUNCTION("""COMPUTED_VALUE"""),290.0)</f>
        <v>290</v>
      </c>
      <c r="L2383" s="2">
        <f>IFERROR(__xludf.DUMMYFUNCTION("""COMPUTED_VALUE"""),56.90069575)</f>
        <v>56.90069575</v>
      </c>
      <c r="M2383" s="2">
        <f>IFERROR(__xludf.DUMMYFUNCTION("""COMPUTED_VALUE"""),24.102280983175)</f>
        <v>24.10228098</v>
      </c>
    </row>
    <row r="2384">
      <c r="A2384" s="2" t="str">
        <f>IFERROR(__xludf.DUMMYFUNCTION("""COMPUTED_VALUE"""),"For sale")</f>
        <v>For sale</v>
      </c>
      <c r="B2384" s="2" t="str">
        <f>IFERROR(__xludf.DUMMYFUNCTION("""COMPUTED_VALUE"""),"centrs")</f>
        <v>centrs</v>
      </c>
      <c r="C2384" s="2" t="str">
        <f>IFERROR(__xludf.DUMMYFUNCTION("""COMPUTED_VALUE"""),"Matīsa 85")</f>
        <v>Matīsa 85</v>
      </c>
      <c r="D2384" s="2">
        <f>IFERROR(__xludf.DUMMYFUNCTION("""COMPUTED_VALUE"""),2.0)</f>
        <v>2</v>
      </c>
      <c r="E2384" s="2">
        <f>IFERROR(__xludf.DUMMYFUNCTION("""COMPUTED_VALUE"""),48.0)</f>
        <v>48</v>
      </c>
      <c r="F2384" s="2">
        <f>IFERROR(__xludf.DUMMYFUNCTION("""COMPUTED_VALUE"""),1.0)</f>
        <v>1</v>
      </c>
      <c r="G2384" s="2">
        <f>IFERROR(__xludf.DUMMYFUNCTION("""COMPUTED_VALUE"""),4.0)</f>
        <v>4</v>
      </c>
      <c r="H2384" s="2" t="str">
        <f>IFERROR(__xludf.DUMMYFUNCTION("""COMPUTED_VALUE"""),"P. kara")</f>
        <v>P. kara</v>
      </c>
      <c r="I2384" s="2" t="str">
        <f>IFERROR(__xludf.DUMMYFUNCTION("""COMPUTED_VALUE"""),"Masonry")</f>
        <v>Masonry</v>
      </c>
      <c r="J2384" s="2" t="str">
        <f>IFERROR(__xludf.DUMMYFUNCTION("""COMPUTED_VALUE"""),"All amenities")</f>
        <v>All amenities</v>
      </c>
      <c r="K2384" s="2">
        <f>IFERROR(__xludf.DUMMYFUNCTION("""COMPUTED_VALUE"""),77000.0)</f>
        <v>77000</v>
      </c>
      <c r="L2384" s="2">
        <f>IFERROR(__xludf.DUMMYFUNCTION("""COMPUTED_VALUE"""),56.9526541)</f>
        <v>56.9526541</v>
      </c>
      <c r="M2384" s="2">
        <f>IFERROR(__xludf.DUMMYFUNCTION("""COMPUTED_VALUE"""),24.1433157)</f>
        <v>24.1433157</v>
      </c>
    </row>
    <row r="2385">
      <c r="A2385" s="2" t="str">
        <f>IFERROR(__xludf.DUMMYFUNCTION("""COMPUTED_VALUE"""),"For sale")</f>
        <v>For sale</v>
      </c>
      <c r="B2385" s="2" t="str">
        <f>IFERROR(__xludf.DUMMYFUNCTION("""COMPUTED_VALUE"""),"Pļavnieki")</f>
        <v>Pļavnieki</v>
      </c>
      <c r="C2385" s="2" t="str">
        <f>IFERROR(__xludf.DUMMYFUNCTION("""COMPUTED_VALUE"""),"Jasmuižas 12")</f>
        <v>Jasmuižas 12</v>
      </c>
      <c r="D2385" s="2">
        <f>IFERROR(__xludf.DUMMYFUNCTION("""COMPUTED_VALUE"""),1.0)</f>
        <v>1</v>
      </c>
      <c r="E2385" s="2">
        <f>IFERROR(__xludf.DUMMYFUNCTION("""COMPUTED_VALUE"""),32.0)</f>
        <v>32</v>
      </c>
      <c r="F2385" s="2">
        <f>IFERROR(__xludf.DUMMYFUNCTION("""COMPUTED_VALUE"""),3.0)</f>
        <v>3</v>
      </c>
      <c r="G2385" s="2">
        <f>IFERROR(__xludf.DUMMYFUNCTION("""COMPUTED_VALUE"""),9.0)</f>
        <v>9</v>
      </c>
      <c r="H2385" s="2">
        <f>IFERROR(__xludf.DUMMYFUNCTION("""COMPUTED_VALUE"""),467.0)</f>
        <v>467</v>
      </c>
      <c r="I2385" s="2" t="str">
        <f>IFERROR(__xludf.DUMMYFUNCTION("""COMPUTED_VALUE"""),"Panel")</f>
        <v>Panel</v>
      </c>
      <c r="J2385" s="2" t="str">
        <f>IFERROR(__xludf.DUMMYFUNCTION("""COMPUTED_VALUE"""),"All amenities")</f>
        <v>All amenities</v>
      </c>
      <c r="K2385" s="2">
        <f>IFERROR(__xludf.DUMMYFUNCTION("""COMPUTED_VALUE"""),35000.0)</f>
        <v>35000</v>
      </c>
      <c r="L2385" s="2">
        <f>IFERROR(__xludf.DUMMYFUNCTION("""COMPUTED_VALUE"""),56.93620525)</f>
        <v>56.93620525</v>
      </c>
      <c r="M2385" s="2">
        <f>IFERROR(__xludf.DUMMYFUNCTION("""COMPUTED_VALUE"""),24.2123498134162)</f>
        <v>24.21234981</v>
      </c>
    </row>
    <row r="2386">
      <c r="A2386" s="2" t="str">
        <f>IFERROR(__xludf.DUMMYFUNCTION("""COMPUTED_VALUE"""),"For rent")</f>
        <v>For rent</v>
      </c>
      <c r="B2386" s="2" t="str">
        <f>IFERROR(__xludf.DUMMYFUNCTION("""COMPUTED_VALUE"""),"centrs")</f>
        <v>centrs</v>
      </c>
      <c r="C2386" s="2" t="str">
        <f>IFERROR(__xludf.DUMMYFUNCTION("""COMPUTED_VALUE"""),"Brīvības 68")</f>
        <v>Brīvības 68</v>
      </c>
      <c r="D2386" s="2">
        <f>IFERROR(__xludf.DUMMYFUNCTION("""COMPUTED_VALUE"""),5.0)</f>
        <v>5</v>
      </c>
      <c r="E2386" s="2">
        <f>IFERROR(__xludf.DUMMYFUNCTION("""COMPUTED_VALUE"""),200.0)</f>
        <v>200</v>
      </c>
      <c r="F2386" s="2">
        <f>IFERROR(__xludf.DUMMYFUNCTION("""COMPUTED_VALUE"""),5.0)</f>
        <v>5</v>
      </c>
      <c r="G2386" s="2">
        <f>IFERROR(__xludf.DUMMYFUNCTION("""COMPUTED_VALUE"""),6.0)</f>
        <v>6</v>
      </c>
      <c r="H2386" s="2" t="str">
        <f>IFERROR(__xludf.DUMMYFUNCTION("""COMPUTED_VALUE"""),"P. kara")</f>
        <v>P. kara</v>
      </c>
      <c r="I2386" s="2" t="str">
        <f>IFERROR(__xludf.DUMMYFUNCTION("""COMPUTED_VALUE"""),"Masonry")</f>
        <v>Masonry</v>
      </c>
      <c r="J2386" s="2" t="str">
        <f>IFERROR(__xludf.DUMMYFUNCTION("""COMPUTED_VALUE"""),"All amenities")</f>
        <v>All amenities</v>
      </c>
      <c r="K2386" s="2">
        <f>IFERROR(__xludf.DUMMYFUNCTION("""COMPUTED_VALUE"""),145.0)</f>
        <v>145</v>
      </c>
      <c r="L2386" s="2">
        <f>IFERROR(__xludf.DUMMYFUNCTION("""COMPUTED_VALUE"""),56.9572634)</f>
        <v>56.9572634</v>
      </c>
      <c r="M2386" s="2">
        <f>IFERROR(__xludf.DUMMYFUNCTION("""COMPUTED_VALUE"""),24.1232688)</f>
        <v>24.1232688</v>
      </c>
    </row>
    <row r="2387">
      <c r="A2387" s="2" t="str">
        <f>IFERROR(__xludf.DUMMYFUNCTION("""COMPUTED_VALUE"""),"For sale")</f>
        <v>For sale</v>
      </c>
      <c r="B2387" s="2" t="str">
        <f>IFERROR(__xludf.DUMMYFUNCTION("""COMPUTED_VALUE"""),"centrs")</f>
        <v>centrs</v>
      </c>
      <c r="C2387" s="2" t="str">
        <f>IFERROR(__xludf.DUMMYFUNCTION("""COMPUTED_VALUE"""),"Elizabetes 9")</f>
        <v>Elizabetes 9</v>
      </c>
      <c r="D2387" s="2">
        <f>IFERROR(__xludf.DUMMYFUNCTION("""COMPUTED_VALUE"""),1.0)</f>
        <v>1</v>
      </c>
      <c r="E2387" s="2">
        <f>IFERROR(__xludf.DUMMYFUNCTION("""COMPUTED_VALUE"""),27.0)</f>
        <v>27</v>
      </c>
      <c r="F2387" s="2">
        <f>IFERROR(__xludf.DUMMYFUNCTION("""COMPUTED_VALUE"""),1.0)</f>
        <v>1</v>
      </c>
      <c r="G2387" s="2">
        <f>IFERROR(__xludf.DUMMYFUNCTION("""COMPUTED_VALUE"""),5.0)</f>
        <v>5</v>
      </c>
      <c r="H2387" s="2" t="str">
        <f>IFERROR(__xludf.DUMMYFUNCTION("""COMPUTED_VALUE"""),"P. kara")</f>
        <v>P. kara</v>
      </c>
      <c r="I2387" s="2" t="str">
        <f>IFERROR(__xludf.DUMMYFUNCTION("""COMPUTED_VALUE"""),"Masonry")</f>
        <v>Masonry</v>
      </c>
      <c r="J2387" s="2" t="str">
        <f>IFERROR(__xludf.DUMMYFUNCTION("""COMPUTED_VALUE"""),"All amenities")</f>
        <v>All amenities</v>
      </c>
      <c r="K2387" s="2">
        <f>IFERROR(__xludf.DUMMYFUNCTION("""COMPUTED_VALUE"""),63000.0)</f>
        <v>63000</v>
      </c>
      <c r="L2387" s="2">
        <f>IFERROR(__xludf.DUMMYFUNCTION("""COMPUTED_VALUE"""),56.9592539)</f>
        <v>56.9592539</v>
      </c>
      <c r="M2387" s="2">
        <f>IFERROR(__xludf.DUMMYFUNCTION("""COMPUTED_VALUE"""),24.100972)</f>
        <v>24.100972</v>
      </c>
    </row>
    <row r="2388">
      <c r="A2388" s="2" t="str">
        <f>IFERROR(__xludf.DUMMYFUNCTION("""COMPUTED_VALUE"""),"For rent")</f>
        <v>For rent</v>
      </c>
      <c r="B2388" s="2" t="str">
        <f>IFERROR(__xludf.DUMMYFUNCTION("""COMPUTED_VALUE"""),"Imanta")</f>
        <v>Imanta</v>
      </c>
      <c r="C2388" s="2" t="str">
        <f>IFERROR(__xludf.DUMMYFUNCTION("""COMPUTED_VALUE"""),"Kurzemes pr. 42")</f>
        <v>Kurzemes pr. 42</v>
      </c>
      <c r="D2388" s="2">
        <f>IFERROR(__xludf.DUMMYFUNCTION("""COMPUTED_VALUE"""),1.0)</f>
        <v>1</v>
      </c>
      <c r="E2388" s="2">
        <f>IFERROR(__xludf.DUMMYFUNCTION("""COMPUTED_VALUE"""),50.0)</f>
        <v>50</v>
      </c>
      <c r="F2388" s="2">
        <f>IFERROR(__xludf.DUMMYFUNCTION("""COMPUTED_VALUE"""),3.0)</f>
        <v>3</v>
      </c>
      <c r="G2388" s="2">
        <f>IFERROR(__xludf.DUMMYFUNCTION("""COMPUTED_VALUE"""),5.0)</f>
        <v>5</v>
      </c>
      <c r="H2388" s="2" t="str">
        <f>IFERROR(__xludf.DUMMYFUNCTION("""COMPUTED_VALUE"""),"LT proj.")</f>
        <v>LT proj.</v>
      </c>
      <c r="I2388" s="2" t="str">
        <f>IFERROR(__xludf.DUMMYFUNCTION("""COMPUTED_VALUE"""),"Panel")</f>
        <v>Panel</v>
      </c>
      <c r="J2388" s="2" t="str">
        <f>IFERROR(__xludf.DUMMYFUNCTION("""COMPUTED_VALUE"""),"All amenities")</f>
        <v>All amenities</v>
      </c>
      <c r="K2388" s="2">
        <f>IFERROR(__xludf.DUMMYFUNCTION("""COMPUTED_VALUE"""),55.0)</f>
        <v>55</v>
      </c>
      <c r="L2388" s="2" t="str">
        <f>IFERROR(__xludf.DUMMYFUNCTION("""COMPUTED_VALUE"""),"NaN")</f>
        <v>NaN</v>
      </c>
      <c r="M2388" s="2" t="str">
        <f>IFERROR(__xludf.DUMMYFUNCTION("""COMPUTED_VALUE"""),"NaN")</f>
        <v>NaN</v>
      </c>
    </row>
    <row r="2389">
      <c r="A2389" s="2" t="str">
        <f>IFERROR(__xludf.DUMMYFUNCTION("""COMPUTED_VALUE"""),"For rent")</f>
        <v>For rent</v>
      </c>
      <c r="B2389" s="2" t="str">
        <f>IFERROR(__xludf.DUMMYFUNCTION("""COMPUTED_VALUE"""),"centrs")</f>
        <v>centrs</v>
      </c>
      <c r="C2389" s="2" t="str">
        <f>IFERROR(__xludf.DUMMYFUNCTION("""COMPUTED_VALUE"""),"Hospitāļu 5a")</f>
        <v>Hospitāļu 5a</v>
      </c>
      <c r="D2389" s="2">
        <f>IFERROR(__xludf.DUMMYFUNCTION("""COMPUTED_VALUE"""),3.0)</f>
        <v>3</v>
      </c>
      <c r="E2389" s="2">
        <f>IFERROR(__xludf.DUMMYFUNCTION("""COMPUTED_VALUE"""),70.0)</f>
        <v>70</v>
      </c>
      <c r="F2389" s="2">
        <f>IFERROR(__xludf.DUMMYFUNCTION("""COMPUTED_VALUE"""),3.0)</f>
        <v>3</v>
      </c>
      <c r="G2389" s="2">
        <f>IFERROR(__xludf.DUMMYFUNCTION("""COMPUTED_VALUE"""),3.0)</f>
        <v>3</v>
      </c>
      <c r="H2389" s="2" t="str">
        <f>IFERROR(__xludf.DUMMYFUNCTION("""COMPUTED_VALUE"""),"P. kara")</f>
        <v>P. kara</v>
      </c>
      <c r="I2389" s="2" t="str">
        <f>IFERROR(__xludf.DUMMYFUNCTION("""COMPUTED_VALUE"""),"Brick")</f>
        <v>Brick</v>
      </c>
      <c r="J2389" s="2" t="str">
        <f>IFERROR(__xludf.DUMMYFUNCTION("""COMPUTED_VALUE"""),"All amenities")</f>
        <v>All amenities</v>
      </c>
      <c r="K2389" s="2">
        <f>IFERROR(__xludf.DUMMYFUNCTION("""COMPUTED_VALUE"""),600.0)</f>
        <v>600</v>
      </c>
      <c r="L2389" s="2">
        <f>IFERROR(__xludf.DUMMYFUNCTION("""COMPUTED_VALUE"""),56.9764382)</f>
        <v>56.9764382</v>
      </c>
      <c r="M2389" s="2">
        <f>IFERROR(__xludf.DUMMYFUNCTION("""COMPUTED_VALUE"""),24.1391902)</f>
        <v>24.1391902</v>
      </c>
    </row>
    <row r="2390">
      <c r="A2390" s="2" t="str">
        <f>IFERROR(__xludf.DUMMYFUNCTION("""COMPUTED_VALUE"""),"For rent")</f>
        <v>For rent</v>
      </c>
      <c r="B2390" s="2" t="str">
        <f>IFERROR(__xludf.DUMMYFUNCTION("""COMPUTED_VALUE"""),"centrs")</f>
        <v>centrs</v>
      </c>
      <c r="C2390" s="2" t="str">
        <f>IFERROR(__xludf.DUMMYFUNCTION("""COMPUTED_VALUE"""),"Lāčplēša 98")</f>
        <v>Lāčplēša 98</v>
      </c>
      <c r="D2390" s="2">
        <f>IFERROR(__xludf.DUMMYFUNCTION("""COMPUTED_VALUE"""),1.0)</f>
        <v>1</v>
      </c>
      <c r="E2390" s="2">
        <f>IFERROR(__xludf.DUMMYFUNCTION("""COMPUTED_VALUE"""),20.0)</f>
        <v>20</v>
      </c>
      <c r="F2390" s="2">
        <f>IFERROR(__xludf.DUMMYFUNCTION("""COMPUTED_VALUE"""),3.0)</f>
        <v>3</v>
      </c>
      <c r="G2390" s="2">
        <f>IFERROR(__xludf.DUMMYFUNCTION("""COMPUTED_VALUE"""),5.0)</f>
        <v>5</v>
      </c>
      <c r="H2390" s="2" t="str">
        <f>IFERROR(__xludf.DUMMYFUNCTION("""COMPUTED_VALUE"""),"Renov.")</f>
        <v>Renov.</v>
      </c>
      <c r="I2390" s="2" t="str">
        <f>IFERROR(__xludf.DUMMYFUNCTION("""COMPUTED_VALUE"""),"Masonry")</f>
        <v>Masonry</v>
      </c>
      <c r="J2390" s="2" t="str">
        <f>IFERROR(__xludf.DUMMYFUNCTION("""COMPUTED_VALUE"""),"All amenities")</f>
        <v>All amenities</v>
      </c>
      <c r="K2390" s="2">
        <f>IFERROR(__xludf.DUMMYFUNCTION("""COMPUTED_VALUE"""),235.0)</f>
        <v>235</v>
      </c>
      <c r="L2390" s="2">
        <f>IFERROR(__xludf.DUMMYFUNCTION("""COMPUTED_VALUE"""),56.94440235)</f>
        <v>56.94440235</v>
      </c>
      <c r="M2390" s="2">
        <f>IFERROR(__xludf.DUMMYFUNCTION("""COMPUTED_VALUE"""),24.1323630232783)</f>
        <v>24.13236302</v>
      </c>
    </row>
    <row r="2391">
      <c r="A2391" s="2" t="str">
        <f>IFERROR(__xludf.DUMMYFUNCTION("""COMPUTED_VALUE"""),"For rent")</f>
        <v>For rent</v>
      </c>
      <c r="B2391" s="2" t="str">
        <f>IFERROR(__xludf.DUMMYFUNCTION("""COMPUTED_VALUE"""),"centrs")</f>
        <v>centrs</v>
      </c>
      <c r="C2391" s="2" t="str">
        <f>IFERROR(__xludf.DUMMYFUNCTION("""COMPUTED_VALUE"""),"Brīvības 162")</f>
        <v>Brīvības 162</v>
      </c>
      <c r="D2391" s="2">
        <f>IFERROR(__xludf.DUMMYFUNCTION("""COMPUTED_VALUE"""),1.0)</f>
        <v>1</v>
      </c>
      <c r="E2391" s="2">
        <f>IFERROR(__xludf.DUMMYFUNCTION("""COMPUTED_VALUE"""),33.0)</f>
        <v>33</v>
      </c>
      <c r="F2391" s="2">
        <f>IFERROR(__xludf.DUMMYFUNCTION("""COMPUTED_VALUE"""),1.0)</f>
        <v>1</v>
      </c>
      <c r="G2391" s="2">
        <f>IFERROR(__xludf.DUMMYFUNCTION("""COMPUTED_VALUE"""),8.0)</f>
        <v>8</v>
      </c>
      <c r="H2391" s="2" t="str">
        <f>IFERROR(__xludf.DUMMYFUNCTION("""COMPUTED_VALUE"""),"Specpr.")</f>
        <v>Specpr.</v>
      </c>
      <c r="I2391" s="2" t="str">
        <f>IFERROR(__xludf.DUMMYFUNCTION("""COMPUTED_VALUE"""),"Brick-Panel")</f>
        <v>Brick-Panel</v>
      </c>
      <c r="J2391" s="2" t="str">
        <f>IFERROR(__xludf.DUMMYFUNCTION("""COMPUTED_VALUE"""),"All amenities")</f>
        <v>All amenities</v>
      </c>
      <c r="K2391" s="2">
        <f>IFERROR(__xludf.DUMMYFUNCTION("""COMPUTED_VALUE"""),280.0)</f>
        <v>280</v>
      </c>
      <c r="L2391" s="2">
        <f>IFERROR(__xludf.DUMMYFUNCTION("""COMPUTED_VALUE"""),56.9655513)</f>
        <v>56.9655513</v>
      </c>
      <c r="M2391" s="2">
        <f>IFERROR(__xludf.DUMMYFUNCTION("""COMPUTED_VALUE"""),24.143597678962)</f>
        <v>24.14359768</v>
      </c>
    </row>
    <row r="2392">
      <c r="A2392" s="2" t="str">
        <f>IFERROR(__xludf.DUMMYFUNCTION("""COMPUTED_VALUE"""),"For sale")</f>
        <v>For sale</v>
      </c>
      <c r="B2392" s="2" t="str">
        <f>IFERROR(__xludf.DUMMYFUNCTION("""COMPUTED_VALUE"""),"Dzegužkalns")</f>
        <v>Dzegužkalns</v>
      </c>
      <c r="C2392" s="2" t="str">
        <f>IFERROR(__xludf.DUMMYFUNCTION("""COMPUTED_VALUE"""),"Dzirciema 52")</f>
        <v>Dzirciema 52</v>
      </c>
      <c r="D2392" s="2">
        <f>IFERROR(__xludf.DUMMYFUNCTION("""COMPUTED_VALUE"""),1.0)</f>
        <v>1</v>
      </c>
      <c r="E2392" s="2">
        <f>IFERROR(__xludf.DUMMYFUNCTION("""COMPUTED_VALUE"""),33.7)</f>
        <v>33.7</v>
      </c>
      <c r="F2392" s="2">
        <f>IFERROR(__xludf.DUMMYFUNCTION("""COMPUTED_VALUE"""),2.0)</f>
        <v>2</v>
      </c>
      <c r="G2392" s="2">
        <f>IFERROR(__xludf.DUMMYFUNCTION("""COMPUTED_VALUE"""),5.0)</f>
        <v>5</v>
      </c>
      <c r="H2392" s="2">
        <f>IFERROR(__xludf.DUMMYFUNCTION("""COMPUTED_VALUE"""),103.0)</f>
        <v>103</v>
      </c>
      <c r="I2392" s="2" t="str">
        <f>IFERROR(__xludf.DUMMYFUNCTION("""COMPUTED_VALUE"""),"Brick-Panel")</f>
        <v>Brick-Panel</v>
      </c>
      <c r="J2392" s="2" t="str">
        <f>IFERROR(__xludf.DUMMYFUNCTION("""COMPUTED_VALUE"""),"All amenities")</f>
        <v>All amenities</v>
      </c>
      <c r="K2392" s="2">
        <f>IFERROR(__xludf.DUMMYFUNCTION("""COMPUTED_VALUE"""),41900.0)</f>
        <v>41900</v>
      </c>
      <c r="L2392" s="2">
        <f>IFERROR(__xludf.DUMMYFUNCTION("""COMPUTED_VALUE"""),56.9618904999999)</f>
        <v>56.9618905</v>
      </c>
      <c r="M2392" s="2">
        <f>IFERROR(__xludf.DUMMYFUNCTION("""COMPUTED_VALUE"""),24.0546888371199)</f>
        <v>24.05468884</v>
      </c>
    </row>
    <row r="2393">
      <c r="A2393" s="2" t="str">
        <f>IFERROR(__xludf.DUMMYFUNCTION("""COMPUTED_VALUE"""),"For sale")</f>
        <v>For sale</v>
      </c>
      <c r="B2393" s="2" t="str">
        <f>IFERROR(__xludf.DUMMYFUNCTION("""COMPUTED_VALUE"""),"Iļģuciems")</f>
        <v>Iļģuciems</v>
      </c>
      <c r="C2393" s="2" t="str">
        <f>IFERROR(__xludf.DUMMYFUNCTION("""COMPUTED_VALUE"""),"Daugavgrīvas 132")</f>
        <v>Daugavgrīvas 132</v>
      </c>
      <c r="D2393" s="2">
        <f>IFERROR(__xludf.DUMMYFUNCTION("""COMPUTED_VALUE"""),2.0)</f>
        <v>2</v>
      </c>
      <c r="E2393" s="2">
        <f>IFERROR(__xludf.DUMMYFUNCTION("""COMPUTED_VALUE"""),73.0)</f>
        <v>73</v>
      </c>
      <c r="F2393" s="2">
        <f>IFERROR(__xludf.DUMMYFUNCTION("""COMPUTED_VALUE"""),2.0)</f>
        <v>2</v>
      </c>
      <c r="G2393" s="2">
        <f>IFERROR(__xludf.DUMMYFUNCTION("""COMPUTED_VALUE"""),4.0)</f>
        <v>4</v>
      </c>
      <c r="H2393" s="2" t="str">
        <f>IFERROR(__xludf.DUMMYFUNCTION("""COMPUTED_VALUE"""),"Staļina")</f>
        <v>Staļina</v>
      </c>
      <c r="I2393" s="2" t="str">
        <f>IFERROR(__xludf.DUMMYFUNCTION("""COMPUTED_VALUE"""),"Masonry")</f>
        <v>Masonry</v>
      </c>
      <c r="J2393" s="2" t="str">
        <f>IFERROR(__xludf.DUMMYFUNCTION("""COMPUTED_VALUE"""),"All amenities")</f>
        <v>All amenities</v>
      </c>
      <c r="K2393" s="2">
        <f>IFERROR(__xludf.DUMMYFUNCTION("""COMPUTED_VALUE"""),85000.0)</f>
        <v>85000</v>
      </c>
      <c r="L2393" s="2">
        <f>IFERROR(__xludf.DUMMYFUNCTION("""COMPUTED_VALUE"""),56.96895055)</f>
        <v>56.96895055</v>
      </c>
      <c r="M2393" s="2">
        <f>IFERROR(__xludf.DUMMYFUNCTION("""COMPUTED_VALUE"""),24.0712510907992)</f>
        <v>24.07125109</v>
      </c>
    </row>
    <row r="2394">
      <c r="A2394" s="2" t="str">
        <f>IFERROR(__xludf.DUMMYFUNCTION("""COMPUTED_VALUE"""),"For sale")</f>
        <v>For sale</v>
      </c>
      <c r="B2394" s="2" t="str">
        <f>IFERROR(__xludf.DUMMYFUNCTION("""COMPUTED_VALUE"""),"Sarkandaugava")</f>
        <v>Sarkandaugava</v>
      </c>
      <c r="C2394" s="2" t="str">
        <f>IFERROR(__xludf.DUMMYFUNCTION("""COMPUTED_VALUE"""),"Sliežu 29")</f>
        <v>Sliežu 29</v>
      </c>
      <c r="D2394" s="2">
        <f>IFERROR(__xludf.DUMMYFUNCTION("""COMPUTED_VALUE"""),2.0)</f>
        <v>2</v>
      </c>
      <c r="E2394" s="2">
        <f>IFERROR(__xludf.DUMMYFUNCTION("""COMPUTED_VALUE"""),44.0)</f>
        <v>44</v>
      </c>
      <c r="F2394" s="2">
        <f>IFERROR(__xludf.DUMMYFUNCTION("""COMPUTED_VALUE"""),3.0)</f>
        <v>3</v>
      </c>
      <c r="G2394" s="2">
        <f>IFERROR(__xludf.DUMMYFUNCTION("""COMPUTED_VALUE"""),3.0)</f>
        <v>3</v>
      </c>
      <c r="H2394" s="2" t="str">
        <f>IFERROR(__xludf.DUMMYFUNCTION("""COMPUTED_VALUE"""),"Specpr.")</f>
        <v>Specpr.</v>
      </c>
      <c r="I2394" s="2" t="str">
        <f>IFERROR(__xludf.DUMMYFUNCTION("""COMPUTED_VALUE"""),"Brick")</f>
        <v>Brick</v>
      </c>
      <c r="J2394" s="2" t="str">
        <f>IFERROR(__xludf.DUMMYFUNCTION("""COMPUTED_VALUE"""),"All amenities")</f>
        <v>All amenities</v>
      </c>
      <c r="K2394" s="2">
        <f>IFERROR(__xludf.DUMMYFUNCTION("""COMPUTED_VALUE"""),29500.0)</f>
        <v>29500</v>
      </c>
      <c r="L2394" s="2">
        <f>IFERROR(__xludf.DUMMYFUNCTION("""COMPUTED_VALUE"""),57.00751995)</f>
        <v>57.00751995</v>
      </c>
      <c r="M2394" s="2">
        <f>IFERROR(__xludf.DUMMYFUNCTION("""COMPUTED_VALUE"""),24.12498495)</f>
        <v>24.12498495</v>
      </c>
    </row>
    <row r="2395">
      <c r="A2395" s="2" t="str">
        <f>IFERROR(__xludf.DUMMYFUNCTION("""COMPUTED_VALUE"""),"For rent")</f>
        <v>For rent</v>
      </c>
      <c r="B2395" s="2" t="str">
        <f>IFERROR(__xludf.DUMMYFUNCTION("""COMPUTED_VALUE"""),"Āgenskalns")</f>
        <v>Āgenskalns</v>
      </c>
      <c r="C2395" s="2" t="str">
        <f>IFERROR(__xludf.DUMMYFUNCTION("""COMPUTED_VALUE"""),"Gardenes 4")</f>
        <v>Gardenes 4</v>
      </c>
      <c r="D2395" s="2">
        <f>IFERROR(__xludf.DUMMYFUNCTION("""COMPUTED_VALUE"""),1.0)</f>
        <v>1</v>
      </c>
      <c r="E2395" s="2">
        <f>IFERROR(__xludf.DUMMYFUNCTION("""COMPUTED_VALUE"""),16.0)</f>
        <v>16</v>
      </c>
      <c r="F2395" s="2">
        <f>IFERROR(__xludf.DUMMYFUNCTION("""COMPUTED_VALUE"""),2.0)</f>
        <v>2</v>
      </c>
      <c r="G2395" s="2">
        <f>IFERROR(__xludf.DUMMYFUNCTION("""COMPUTED_VALUE"""),2.0)</f>
        <v>2</v>
      </c>
      <c r="H2395" s="2" t="str">
        <f>IFERROR(__xludf.DUMMYFUNCTION("""COMPUTED_VALUE"""),"Staļina")</f>
        <v>Staļina</v>
      </c>
      <c r="I2395" s="2" t="str">
        <f>IFERROR(__xludf.DUMMYFUNCTION("""COMPUTED_VALUE"""),"Masonry")</f>
        <v>Masonry</v>
      </c>
      <c r="J2395" s="2" t="str">
        <f>IFERROR(__xludf.DUMMYFUNCTION("""COMPUTED_VALUE"""),"All amenities")</f>
        <v>All amenities</v>
      </c>
      <c r="K2395" s="2">
        <f>IFERROR(__xludf.DUMMYFUNCTION("""COMPUTED_VALUE"""),220.0)</f>
        <v>220</v>
      </c>
      <c r="L2395" s="2">
        <f>IFERROR(__xludf.DUMMYFUNCTION("""COMPUTED_VALUE"""),56.9285604)</f>
        <v>56.9285604</v>
      </c>
      <c r="M2395" s="2">
        <f>IFERROR(__xludf.DUMMYFUNCTION("""COMPUTED_VALUE"""),24.0735595237022)</f>
        <v>24.07355952</v>
      </c>
    </row>
    <row r="2396">
      <c r="A2396" s="2" t="str">
        <f>IFERROR(__xludf.DUMMYFUNCTION("""COMPUTED_VALUE"""),"For rent")</f>
        <v>For rent</v>
      </c>
      <c r="B2396" s="2" t="str">
        <f>IFERROR(__xludf.DUMMYFUNCTION("""COMPUTED_VALUE"""),"Šampēteris-Pleskodāle")</f>
        <v>Šampēteris-Pleskodāle</v>
      </c>
      <c r="C2396" s="2" t="str">
        <f>IFERROR(__xludf.DUMMYFUNCTION("""COMPUTED_VALUE"""),"Lielirbes 13")</f>
        <v>Lielirbes 13</v>
      </c>
      <c r="D2396" s="2">
        <f>IFERROR(__xludf.DUMMYFUNCTION("""COMPUTED_VALUE"""),2.0)</f>
        <v>2</v>
      </c>
      <c r="E2396" s="2">
        <f>IFERROR(__xludf.DUMMYFUNCTION("""COMPUTED_VALUE"""),90.0)</f>
        <v>90</v>
      </c>
      <c r="F2396" s="2">
        <f>IFERROR(__xludf.DUMMYFUNCTION("""COMPUTED_VALUE"""),20.0)</f>
        <v>20</v>
      </c>
      <c r="G2396" s="2">
        <f>IFERROR(__xludf.DUMMYFUNCTION("""COMPUTED_VALUE"""),30.0)</f>
        <v>30</v>
      </c>
      <c r="H2396" s="2" t="str">
        <f>IFERROR(__xludf.DUMMYFUNCTION("""COMPUTED_VALUE"""),"Jaun.")</f>
        <v>Jaun.</v>
      </c>
      <c r="I2396" s="2" t="str">
        <f>IFERROR(__xludf.DUMMYFUNCTION("""COMPUTED_VALUE"""),"Masonry")</f>
        <v>Masonry</v>
      </c>
      <c r="J2396" s="2" t="str">
        <f>IFERROR(__xludf.DUMMYFUNCTION("""COMPUTED_VALUE"""),"All amenities")</f>
        <v>All amenities</v>
      </c>
      <c r="K2396" s="2">
        <f>IFERROR(__xludf.DUMMYFUNCTION("""COMPUTED_VALUE"""),650.0)</f>
        <v>650</v>
      </c>
      <c r="L2396" s="2">
        <f>IFERROR(__xludf.DUMMYFUNCTION("""COMPUTED_VALUE"""),56.9334996)</f>
        <v>56.9334996</v>
      </c>
      <c r="M2396" s="2">
        <f>IFERROR(__xludf.DUMMYFUNCTION("""COMPUTED_VALUE"""),24.0424848)</f>
        <v>24.0424848</v>
      </c>
    </row>
    <row r="2397">
      <c r="A2397" s="2" t="str">
        <f>IFERROR(__xludf.DUMMYFUNCTION("""COMPUTED_VALUE"""),"For sale")</f>
        <v>For sale</v>
      </c>
      <c r="B2397" s="2" t="str">
        <f>IFERROR(__xludf.DUMMYFUNCTION("""COMPUTED_VALUE"""),"Vecmīlgrāvis")</f>
        <v>Vecmīlgrāvis</v>
      </c>
      <c r="C2397" s="2" t="str">
        <f>IFERROR(__xludf.DUMMYFUNCTION("""COMPUTED_VALUE"""),"Baltāsbaznīcas 44")</f>
        <v>Baltāsbaznīcas 44</v>
      </c>
      <c r="D2397" s="2">
        <f>IFERROR(__xludf.DUMMYFUNCTION("""COMPUTED_VALUE"""),2.0)</f>
        <v>2</v>
      </c>
      <c r="E2397" s="2">
        <f>IFERROR(__xludf.DUMMYFUNCTION("""COMPUTED_VALUE"""),52.0)</f>
        <v>52</v>
      </c>
      <c r="F2397" s="2">
        <f>IFERROR(__xludf.DUMMYFUNCTION("""COMPUTED_VALUE"""),2.0)</f>
        <v>2</v>
      </c>
      <c r="G2397" s="2">
        <f>IFERROR(__xludf.DUMMYFUNCTION("""COMPUTED_VALUE"""),3.0)</f>
        <v>3</v>
      </c>
      <c r="H2397" s="2" t="str">
        <f>IFERROR(__xludf.DUMMYFUNCTION("""COMPUTED_VALUE"""),"Staļina")</f>
        <v>Staļina</v>
      </c>
      <c r="I2397" s="2" t="str">
        <f>IFERROR(__xludf.DUMMYFUNCTION("""COMPUTED_VALUE"""),"Masonry")</f>
        <v>Masonry</v>
      </c>
      <c r="J2397" s="2" t="str">
        <f>IFERROR(__xludf.DUMMYFUNCTION("""COMPUTED_VALUE"""),"All amenities")</f>
        <v>All amenities</v>
      </c>
      <c r="K2397" s="2">
        <f>IFERROR(__xludf.DUMMYFUNCTION("""COMPUTED_VALUE"""),42000.0)</f>
        <v>42000</v>
      </c>
      <c r="L2397" s="2">
        <f>IFERROR(__xludf.DUMMYFUNCTION("""COMPUTED_VALUE"""),57.0366979)</f>
        <v>57.0366979</v>
      </c>
      <c r="M2397" s="2">
        <f>IFERROR(__xludf.DUMMYFUNCTION("""COMPUTED_VALUE"""),24.0897398)</f>
        <v>24.0897398</v>
      </c>
    </row>
    <row r="2398">
      <c r="A2398" s="2" t="str">
        <f>IFERROR(__xludf.DUMMYFUNCTION("""COMPUTED_VALUE"""),"For sale")</f>
        <v>For sale</v>
      </c>
      <c r="B2398" s="2" t="str">
        <f>IFERROR(__xludf.DUMMYFUNCTION("""COMPUTED_VALUE"""),"Purvciems")</f>
        <v>Purvciems</v>
      </c>
      <c r="C2398" s="2" t="str">
        <f>IFERROR(__xludf.DUMMYFUNCTION("""COMPUTED_VALUE"""),"Ieriķu 58")</f>
        <v>Ieriķu 58</v>
      </c>
      <c r="D2398" s="2">
        <f>IFERROR(__xludf.DUMMYFUNCTION("""COMPUTED_VALUE"""),1.0)</f>
        <v>1</v>
      </c>
      <c r="E2398" s="2">
        <f>IFERROR(__xludf.DUMMYFUNCTION("""COMPUTED_VALUE"""),43.0)</f>
        <v>43</v>
      </c>
      <c r="F2398" s="2">
        <f>IFERROR(__xludf.DUMMYFUNCTION("""COMPUTED_VALUE"""),7.0)</f>
        <v>7</v>
      </c>
      <c r="G2398" s="2">
        <f>IFERROR(__xludf.DUMMYFUNCTION("""COMPUTED_VALUE"""),9.0)</f>
        <v>9</v>
      </c>
      <c r="H2398" s="2" t="str">
        <f>IFERROR(__xludf.DUMMYFUNCTION("""COMPUTED_VALUE"""),"Specpr.")</f>
        <v>Specpr.</v>
      </c>
      <c r="I2398" s="2" t="str">
        <f>IFERROR(__xludf.DUMMYFUNCTION("""COMPUTED_VALUE"""),"Brick")</f>
        <v>Brick</v>
      </c>
      <c r="J2398" s="2" t="str">
        <f>IFERROR(__xludf.DUMMYFUNCTION("""COMPUTED_VALUE"""),"All amenities")</f>
        <v>All amenities</v>
      </c>
      <c r="K2398" s="2">
        <f>IFERROR(__xludf.DUMMYFUNCTION("""COMPUTED_VALUE"""),49000.0)</f>
        <v>49000</v>
      </c>
      <c r="L2398" s="2">
        <f>IFERROR(__xludf.DUMMYFUNCTION("""COMPUTED_VALUE"""),56.9655674)</f>
        <v>56.9655674</v>
      </c>
      <c r="M2398" s="2">
        <f>IFERROR(__xludf.DUMMYFUNCTION("""COMPUTED_VALUE"""),24.1830043136253)</f>
        <v>24.18300431</v>
      </c>
    </row>
    <row r="2399">
      <c r="A2399" s="2" t="str">
        <f>IFERROR(__xludf.DUMMYFUNCTION("""COMPUTED_VALUE"""),"For sale")</f>
        <v>For sale</v>
      </c>
      <c r="B2399" s="2" t="str">
        <f>IFERROR(__xludf.DUMMYFUNCTION("""COMPUTED_VALUE"""),"Bolderāja")</f>
        <v>Bolderāja</v>
      </c>
      <c r="C2399" s="2" t="str">
        <f>IFERROR(__xludf.DUMMYFUNCTION("""COMPUTED_VALUE"""),"Lemešu 3 k-1")</f>
        <v>Lemešu 3 k-1</v>
      </c>
      <c r="D2399" s="2">
        <f>IFERROR(__xludf.DUMMYFUNCTION("""COMPUTED_VALUE"""),3.0)</f>
        <v>3</v>
      </c>
      <c r="E2399" s="2">
        <f>IFERROR(__xludf.DUMMYFUNCTION("""COMPUTED_VALUE"""),54.0)</f>
        <v>54</v>
      </c>
      <c r="F2399" s="2">
        <f>IFERROR(__xludf.DUMMYFUNCTION("""COMPUTED_VALUE"""),5.0)</f>
        <v>5</v>
      </c>
      <c r="G2399" s="2">
        <f>IFERROR(__xludf.DUMMYFUNCTION("""COMPUTED_VALUE"""),5.0)</f>
        <v>5</v>
      </c>
      <c r="H2399" s="2" t="str">
        <f>IFERROR(__xludf.DUMMYFUNCTION("""COMPUTED_VALUE"""),"LT proj.")</f>
        <v>LT proj.</v>
      </c>
      <c r="I2399" s="2" t="str">
        <f>IFERROR(__xludf.DUMMYFUNCTION("""COMPUTED_VALUE"""),"Panel")</f>
        <v>Panel</v>
      </c>
      <c r="J2399" s="2" t="str">
        <f>IFERROR(__xludf.DUMMYFUNCTION("""COMPUTED_VALUE"""),"All amenities")</f>
        <v>All amenities</v>
      </c>
      <c r="K2399" s="2">
        <f>IFERROR(__xludf.DUMMYFUNCTION("""COMPUTED_VALUE"""),52000.0)</f>
        <v>52000</v>
      </c>
      <c r="L2399" s="2" t="str">
        <f>IFERROR(__xludf.DUMMYFUNCTION("""COMPUTED_VALUE"""),"NaN")</f>
        <v>NaN</v>
      </c>
      <c r="M2399" s="2" t="str">
        <f>IFERROR(__xludf.DUMMYFUNCTION("""COMPUTED_VALUE"""),"NaN")</f>
        <v>NaN</v>
      </c>
    </row>
    <row r="2400">
      <c r="A2400" s="2" t="str">
        <f>IFERROR(__xludf.DUMMYFUNCTION("""COMPUTED_VALUE"""),"For sale")</f>
        <v>For sale</v>
      </c>
      <c r="B2400" s="2" t="str">
        <f>IFERROR(__xludf.DUMMYFUNCTION("""COMPUTED_VALUE"""),"centrs")</f>
        <v>centrs</v>
      </c>
      <c r="C2400" s="2" t="str">
        <f>IFERROR(__xludf.DUMMYFUNCTION("""COMPUTED_VALUE"""),"Dzirnavu 6")</f>
        <v>Dzirnavu 6</v>
      </c>
      <c r="D2400" s="2">
        <f>IFERROR(__xludf.DUMMYFUNCTION("""COMPUTED_VALUE"""),2.0)</f>
        <v>2</v>
      </c>
      <c r="E2400" s="2">
        <f>IFERROR(__xludf.DUMMYFUNCTION("""COMPUTED_VALUE"""),34.0)</f>
        <v>34</v>
      </c>
      <c r="F2400" s="2">
        <f>IFERROR(__xludf.DUMMYFUNCTION("""COMPUTED_VALUE"""),2.0)</f>
        <v>2</v>
      </c>
      <c r="G2400" s="2">
        <f>IFERROR(__xludf.DUMMYFUNCTION("""COMPUTED_VALUE"""),4.0)</f>
        <v>4</v>
      </c>
      <c r="H2400" s="2" t="str">
        <f>IFERROR(__xludf.DUMMYFUNCTION("""COMPUTED_VALUE"""),"Renov.")</f>
        <v>Renov.</v>
      </c>
      <c r="I2400" s="2" t="str">
        <f>IFERROR(__xludf.DUMMYFUNCTION("""COMPUTED_VALUE"""),"Masonry")</f>
        <v>Masonry</v>
      </c>
      <c r="J2400" s="2" t="str">
        <f>IFERROR(__xludf.DUMMYFUNCTION("""COMPUTED_VALUE"""),"All amenities")</f>
        <v>All amenities</v>
      </c>
      <c r="K2400" s="2">
        <f>IFERROR(__xludf.DUMMYFUNCTION("""COMPUTED_VALUE"""),75000.0)</f>
        <v>75000</v>
      </c>
      <c r="L2400" s="2">
        <f>IFERROR(__xludf.DUMMYFUNCTION("""COMPUTED_VALUE"""),56.9612002)</f>
        <v>56.9612002</v>
      </c>
      <c r="M2400" s="2">
        <f>IFERROR(__xludf.DUMMYFUNCTION("""COMPUTED_VALUE"""),24.1075394109907)</f>
        <v>24.10753941</v>
      </c>
    </row>
    <row r="2401">
      <c r="A2401" s="2" t="str">
        <f>IFERROR(__xludf.DUMMYFUNCTION("""COMPUTED_VALUE"""),"For sale")</f>
        <v>For sale</v>
      </c>
      <c r="B2401" s="2" t="str">
        <f>IFERROR(__xludf.DUMMYFUNCTION("""COMPUTED_VALUE"""),"Jugla")</f>
        <v>Jugla</v>
      </c>
      <c r="C2401" s="2" t="str">
        <f>IFERROR(__xludf.DUMMYFUNCTION("""COMPUTED_VALUE"""),"Veldres 11")</f>
        <v>Veldres 11</v>
      </c>
      <c r="D2401" s="2">
        <f>IFERROR(__xludf.DUMMYFUNCTION("""COMPUTED_VALUE"""),1.0)</f>
        <v>1</v>
      </c>
      <c r="E2401" s="2">
        <f>IFERROR(__xludf.DUMMYFUNCTION("""COMPUTED_VALUE"""),32.0)</f>
        <v>32</v>
      </c>
      <c r="F2401" s="2">
        <f>IFERROR(__xludf.DUMMYFUNCTION("""COMPUTED_VALUE"""),4.0)</f>
        <v>4</v>
      </c>
      <c r="G2401" s="2">
        <f>IFERROR(__xludf.DUMMYFUNCTION("""COMPUTED_VALUE"""),5.0)</f>
        <v>5</v>
      </c>
      <c r="H2401" s="2" t="str">
        <f>IFERROR(__xludf.DUMMYFUNCTION("""COMPUTED_VALUE"""),"LT proj.")</f>
        <v>LT proj.</v>
      </c>
      <c r="I2401" s="2" t="str">
        <f>IFERROR(__xludf.DUMMYFUNCTION("""COMPUTED_VALUE"""),"Brick-Panel")</f>
        <v>Brick-Panel</v>
      </c>
      <c r="J2401" s="2" t="str">
        <f>IFERROR(__xludf.DUMMYFUNCTION("""COMPUTED_VALUE"""),"All amenities")</f>
        <v>All amenities</v>
      </c>
      <c r="K2401" s="2">
        <f>IFERROR(__xludf.DUMMYFUNCTION("""COMPUTED_VALUE"""),35000.0)</f>
        <v>35000</v>
      </c>
      <c r="L2401" s="2">
        <f>IFERROR(__xludf.DUMMYFUNCTION("""COMPUTED_VALUE"""),56.97476385)</f>
        <v>56.97476385</v>
      </c>
      <c r="M2401" s="2">
        <f>IFERROR(__xludf.DUMMYFUNCTION("""COMPUTED_VALUE"""),24.2461666750996)</f>
        <v>24.24616668</v>
      </c>
    </row>
    <row r="2402">
      <c r="A2402" s="2" t="str">
        <f>IFERROR(__xludf.DUMMYFUNCTION("""COMPUTED_VALUE"""),"For rent")</f>
        <v>For rent</v>
      </c>
      <c r="B2402" s="2" t="str">
        <f>IFERROR(__xludf.DUMMYFUNCTION("""COMPUTED_VALUE"""),"Sarkandaugava")</f>
        <v>Sarkandaugava</v>
      </c>
      <c r="C2402" s="2" t="str">
        <f>IFERROR(__xludf.DUMMYFUNCTION("""COMPUTED_VALUE"""),"Hāpsalas 5")</f>
        <v>Hāpsalas 5</v>
      </c>
      <c r="D2402" s="2">
        <f>IFERROR(__xludf.DUMMYFUNCTION("""COMPUTED_VALUE"""),1.0)</f>
        <v>1</v>
      </c>
      <c r="E2402" s="2">
        <f>IFERROR(__xludf.DUMMYFUNCTION("""COMPUTED_VALUE"""),18.0)</f>
        <v>18</v>
      </c>
      <c r="F2402" s="2">
        <f>IFERROR(__xludf.DUMMYFUNCTION("""COMPUTED_VALUE"""),5.0)</f>
        <v>5</v>
      </c>
      <c r="G2402" s="2">
        <f>IFERROR(__xludf.DUMMYFUNCTION("""COMPUTED_VALUE"""),5.0)</f>
        <v>5</v>
      </c>
      <c r="H2402" s="2" t="str">
        <f>IFERROR(__xludf.DUMMYFUNCTION("""COMPUTED_VALUE"""),"M. ģim.")</f>
        <v>M. ģim.</v>
      </c>
      <c r="I2402" s="2" t="str">
        <f>IFERROR(__xludf.DUMMYFUNCTION("""COMPUTED_VALUE"""),"Brick-Panel")</f>
        <v>Brick-Panel</v>
      </c>
      <c r="J2402" s="2" t="str">
        <f>IFERROR(__xludf.DUMMYFUNCTION("""COMPUTED_VALUE"""),"All amenities")</f>
        <v>All amenities</v>
      </c>
      <c r="K2402" s="2">
        <f>IFERROR(__xludf.DUMMYFUNCTION("""COMPUTED_VALUE"""),120.0)</f>
        <v>120</v>
      </c>
      <c r="L2402" s="2">
        <f>IFERROR(__xludf.DUMMYFUNCTION("""COMPUTED_VALUE"""),57.000974)</f>
        <v>57.000974</v>
      </c>
      <c r="M2402" s="2">
        <f>IFERROR(__xludf.DUMMYFUNCTION("""COMPUTED_VALUE"""),24.12127055)</f>
        <v>24.12127055</v>
      </c>
    </row>
    <row r="2403">
      <c r="A2403" s="2" t="str">
        <f>IFERROR(__xludf.DUMMYFUNCTION("""COMPUTED_VALUE"""),"For sale")</f>
        <v>For sale</v>
      </c>
      <c r="B2403" s="2" t="str">
        <f>IFERROR(__xludf.DUMMYFUNCTION("""COMPUTED_VALUE"""),"Purvciems")</f>
        <v>Purvciems</v>
      </c>
      <c r="C2403" s="2" t="str">
        <f>IFERROR(__xludf.DUMMYFUNCTION("""COMPUTED_VALUE"""),"Stirnu 22")</f>
        <v>Stirnu 22</v>
      </c>
      <c r="D2403" s="2">
        <f>IFERROR(__xludf.DUMMYFUNCTION("""COMPUTED_VALUE"""),2.0)</f>
        <v>2</v>
      </c>
      <c r="E2403" s="2">
        <f>IFERROR(__xludf.DUMMYFUNCTION("""COMPUTED_VALUE"""),39.0)</f>
        <v>39</v>
      </c>
      <c r="F2403" s="2">
        <f>IFERROR(__xludf.DUMMYFUNCTION("""COMPUTED_VALUE"""),2.0)</f>
        <v>2</v>
      </c>
      <c r="G2403" s="2">
        <f>IFERROR(__xludf.DUMMYFUNCTION("""COMPUTED_VALUE"""),5.0)</f>
        <v>5</v>
      </c>
      <c r="H2403" s="2" t="str">
        <f>IFERROR(__xludf.DUMMYFUNCTION("""COMPUTED_VALUE"""),"Specpr.")</f>
        <v>Specpr.</v>
      </c>
      <c r="I2403" s="2" t="str">
        <f>IFERROR(__xludf.DUMMYFUNCTION("""COMPUTED_VALUE"""),"Brick-Panel")</f>
        <v>Brick-Panel</v>
      </c>
      <c r="J2403" s="2" t="str">
        <f>IFERROR(__xludf.DUMMYFUNCTION("""COMPUTED_VALUE"""),"All amenities")</f>
        <v>All amenities</v>
      </c>
      <c r="K2403" s="2">
        <f>IFERROR(__xludf.DUMMYFUNCTION("""COMPUTED_VALUE"""),40000.0)</f>
        <v>40000</v>
      </c>
      <c r="L2403" s="2">
        <f>IFERROR(__xludf.DUMMYFUNCTION("""COMPUTED_VALUE"""),56.9561795)</f>
        <v>56.9561795</v>
      </c>
      <c r="M2403" s="2">
        <f>IFERROR(__xludf.DUMMYFUNCTION("""COMPUTED_VALUE"""),24.1835724)</f>
        <v>24.1835724</v>
      </c>
    </row>
    <row r="2404">
      <c r="A2404" s="2" t="str">
        <f>IFERROR(__xludf.DUMMYFUNCTION("""COMPUTED_VALUE"""),"For sale")</f>
        <v>For sale</v>
      </c>
      <c r="B2404" s="2" t="str">
        <f>IFERROR(__xludf.DUMMYFUNCTION("""COMPUTED_VALUE"""),"centrs")</f>
        <v>centrs</v>
      </c>
      <c r="C2404" s="2" t="str">
        <f>IFERROR(__xludf.DUMMYFUNCTION("""COMPUTED_VALUE"""),"Maskavas 93")</f>
        <v>Maskavas 93</v>
      </c>
      <c r="D2404" s="2">
        <f>IFERROR(__xludf.DUMMYFUNCTION("""COMPUTED_VALUE"""),2.0)</f>
        <v>2</v>
      </c>
      <c r="E2404" s="2">
        <f>IFERROR(__xludf.DUMMYFUNCTION("""COMPUTED_VALUE"""),49.0)</f>
        <v>49</v>
      </c>
      <c r="F2404" s="2">
        <f>IFERROR(__xludf.DUMMYFUNCTION("""COMPUTED_VALUE"""),3.0)</f>
        <v>3</v>
      </c>
      <c r="G2404" s="2">
        <f>IFERROR(__xludf.DUMMYFUNCTION("""COMPUTED_VALUE"""),4.0)</f>
        <v>4</v>
      </c>
      <c r="H2404" s="2" t="str">
        <f>IFERROR(__xludf.DUMMYFUNCTION("""COMPUTED_VALUE"""),"P. kara")</f>
        <v>P. kara</v>
      </c>
      <c r="I2404" s="2" t="str">
        <f>IFERROR(__xludf.DUMMYFUNCTION("""COMPUTED_VALUE"""),"Brick")</f>
        <v>Brick</v>
      </c>
      <c r="J2404" s="2" t="str">
        <f>IFERROR(__xludf.DUMMYFUNCTION("""COMPUTED_VALUE"""),"All amenities")</f>
        <v>All amenities</v>
      </c>
      <c r="K2404" s="2">
        <f>IFERROR(__xludf.DUMMYFUNCTION("""COMPUTED_VALUE"""),55500.0)</f>
        <v>55500</v>
      </c>
      <c r="L2404" s="2">
        <f>IFERROR(__xludf.DUMMYFUNCTION("""COMPUTED_VALUE"""),56.9392397999999)</f>
        <v>56.9392398</v>
      </c>
      <c r="M2404" s="2">
        <f>IFERROR(__xludf.DUMMYFUNCTION("""COMPUTED_VALUE"""),24.1400505298294)</f>
        <v>24.14005053</v>
      </c>
    </row>
    <row r="2405">
      <c r="A2405" s="2" t="str">
        <f>IFERROR(__xludf.DUMMYFUNCTION("""COMPUTED_VALUE"""),"For sale")</f>
        <v>For sale</v>
      </c>
      <c r="B2405" s="2" t="str">
        <f>IFERROR(__xludf.DUMMYFUNCTION("""COMPUTED_VALUE"""),"Maskavas priekšpilsēta")</f>
        <v>Maskavas priekšpilsēta</v>
      </c>
      <c r="C2405" s="2" t="str">
        <f>IFERROR(__xludf.DUMMYFUNCTION("""COMPUTED_VALUE"""),"Pirts 9")</f>
        <v>Pirts 9</v>
      </c>
      <c r="D2405" s="2">
        <f>IFERROR(__xludf.DUMMYFUNCTION("""COMPUTED_VALUE"""),2.0)</f>
        <v>2</v>
      </c>
      <c r="E2405" s="2">
        <f>IFERROR(__xludf.DUMMYFUNCTION("""COMPUTED_VALUE"""),49.0)</f>
        <v>49</v>
      </c>
      <c r="F2405" s="2">
        <f>IFERROR(__xludf.DUMMYFUNCTION("""COMPUTED_VALUE"""),3.0)</f>
        <v>3</v>
      </c>
      <c r="G2405" s="2">
        <f>IFERROR(__xludf.DUMMYFUNCTION("""COMPUTED_VALUE"""),4.0)</f>
        <v>4</v>
      </c>
      <c r="H2405" s="2" t="str">
        <f>IFERROR(__xludf.DUMMYFUNCTION("""COMPUTED_VALUE"""),"P. kara")</f>
        <v>P. kara</v>
      </c>
      <c r="I2405" s="2" t="str">
        <f>IFERROR(__xludf.DUMMYFUNCTION("""COMPUTED_VALUE"""),"Masonry")</f>
        <v>Masonry</v>
      </c>
      <c r="J2405" s="2" t="str">
        <f>IFERROR(__xludf.DUMMYFUNCTION("""COMPUTED_VALUE"""),"All amenities")</f>
        <v>All amenities</v>
      </c>
      <c r="K2405" s="2">
        <f>IFERROR(__xludf.DUMMYFUNCTION("""COMPUTED_VALUE"""),55500.0)</f>
        <v>55500</v>
      </c>
      <c r="L2405" s="2">
        <f>IFERROR(__xludf.DUMMYFUNCTION("""COMPUTED_VALUE"""),56.9390032)</f>
        <v>56.9390032</v>
      </c>
      <c r="M2405" s="2">
        <f>IFERROR(__xludf.DUMMYFUNCTION("""COMPUTED_VALUE"""),24.1374188453488)</f>
        <v>24.13741885</v>
      </c>
    </row>
    <row r="2406">
      <c r="A2406" s="2" t="str">
        <f>IFERROR(__xludf.DUMMYFUNCTION("""COMPUTED_VALUE"""),"For sale")</f>
        <v>For sale</v>
      </c>
      <c r="B2406" s="2" t="str">
        <f>IFERROR(__xludf.DUMMYFUNCTION("""COMPUTED_VALUE"""),"Purvciems")</f>
        <v>Purvciems</v>
      </c>
      <c r="C2406" s="2" t="str">
        <f>IFERROR(__xludf.DUMMYFUNCTION("""COMPUTED_VALUE"""),"Purvciema 46")</f>
        <v>Purvciema 46</v>
      </c>
      <c r="D2406" s="2">
        <f>IFERROR(__xludf.DUMMYFUNCTION("""COMPUTED_VALUE"""),1.0)</f>
        <v>1</v>
      </c>
      <c r="E2406" s="2">
        <f>IFERROR(__xludf.DUMMYFUNCTION("""COMPUTED_VALUE"""),46.0)</f>
        <v>46</v>
      </c>
      <c r="F2406" s="2">
        <f>IFERROR(__xludf.DUMMYFUNCTION("""COMPUTED_VALUE"""),5.0)</f>
        <v>5</v>
      </c>
      <c r="G2406" s="2">
        <f>IFERROR(__xludf.DUMMYFUNCTION("""COMPUTED_VALUE"""),5.0)</f>
        <v>5</v>
      </c>
      <c r="H2406" s="2" t="str">
        <f>IFERROR(__xludf.DUMMYFUNCTION("""COMPUTED_VALUE"""),"M. ģim.")</f>
        <v>M. ģim.</v>
      </c>
      <c r="I2406" s="2" t="str">
        <f>IFERROR(__xludf.DUMMYFUNCTION("""COMPUTED_VALUE"""),"Panel")</f>
        <v>Panel</v>
      </c>
      <c r="J2406" s="2" t="str">
        <f>IFERROR(__xludf.DUMMYFUNCTION("""COMPUTED_VALUE"""),"All amenities")</f>
        <v>All amenities</v>
      </c>
      <c r="K2406" s="2">
        <f>IFERROR(__xludf.DUMMYFUNCTION("""COMPUTED_VALUE"""),31500.0)</f>
        <v>31500</v>
      </c>
      <c r="L2406" s="2">
        <f>IFERROR(__xludf.DUMMYFUNCTION("""COMPUTED_VALUE"""),56.95423785)</f>
        <v>56.95423785</v>
      </c>
      <c r="M2406" s="2">
        <f>IFERROR(__xludf.DUMMYFUNCTION("""COMPUTED_VALUE"""),24.183842)</f>
        <v>24.183842</v>
      </c>
    </row>
    <row r="2407">
      <c r="A2407" s="2" t="str">
        <f>IFERROR(__xludf.DUMMYFUNCTION("""COMPUTED_VALUE"""),"For sale")</f>
        <v>For sale</v>
      </c>
      <c r="B2407" s="2" t="str">
        <f>IFERROR(__xludf.DUMMYFUNCTION("""COMPUTED_VALUE"""),"centrs")</f>
        <v>centrs</v>
      </c>
      <c r="C2407" s="2" t="str">
        <f>IFERROR(__xludf.DUMMYFUNCTION("""COMPUTED_VALUE"""),"Pulkv. Brieža 35")</f>
        <v>Pulkv. Brieža 35</v>
      </c>
      <c r="D2407" s="2">
        <f>IFERROR(__xludf.DUMMYFUNCTION("""COMPUTED_VALUE"""),3.0)</f>
        <v>3</v>
      </c>
      <c r="E2407" s="2">
        <f>IFERROR(__xludf.DUMMYFUNCTION("""COMPUTED_VALUE"""),73.0)</f>
        <v>73</v>
      </c>
      <c r="F2407" s="2">
        <f>IFERROR(__xludf.DUMMYFUNCTION("""COMPUTED_VALUE"""),2.0)</f>
        <v>2</v>
      </c>
      <c r="G2407" s="2">
        <f>IFERROR(__xludf.DUMMYFUNCTION("""COMPUTED_VALUE"""),7.0)</f>
        <v>7</v>
      </c>
      <c r="H2407" s="2" t="str">
        <f>IFERROR(__xludf.DUMMYFUNCTION("""COMPUTED_VALUE"""),"Jaun.")</f>
        <v>Jaun.</v>
      </c>
      <c r="I2407" s="2" t="str">
        <f>IFERROR(__xludf.DUMMYFUNCTION("""COMPUTED_VALUE"""),"Brick-Panel")</f>
        <v>Brick-Panel</v>
      </c>
      <c r="J2407" s="2" t="str">
        <f>IFERROR(__xludf.DUMMYFUNCTION("""COMPUTED_VALUE"""),"All amenities")</f>
        <v>All amenities</v>
      </c>
      <c r="K2407" s="2">
        <f>IFERROR(__xludf.DUMMYFUNCTION("""COMPUTED_VALUE"""),145000.0)</f>
        <v>145000</v>
      </c>
      <c r="L2407" s="2" t="str">
        <f>IFERROR(__xludf.DUMMYFUNCTION("""COMPUTED_VALUE"""),"NaN")</f>
        <v>NaN</v>
      </c>
      <c r="M2407" s="2" t="str">
        <f>IFERROR(__xludf.DUMMYFUNCTION("""COMPUTED_VALUE"""),"NaN")</f>
        <v>NaN</v>
      </c>
    </row>
    <row r="2408">
      <c r="A2408" s="2" t="str">
        <f>IFERROR(__xludf.DUMMYFUNCTION("""COMPUTED_VALUE"""),"For sale")</f>
        <v>For sale</v>
      </c>
      <c r="B2408" s="2" t="str">
        <f>IFERROR(__xludf.DUMMYFUNCTION("""COMPUTED_VALUE"""),"centrs")</f>
        <v>centrs</v>
      </c>
      <c r="C2408" s="2" t="str">
        <f>IFERROR(__xludf.DUMMYFUNCTION("""COMPUTED_VALUE"""),"Merķeļa 7")</f>
        <v>Merķeļa 7</v>
      </c>
      <c r="D2408" s="2">
        <f>IFERROR(__xludf.DUMMYFUNCTION("""COMPUTED_VALUE"""),1.0)</f>
        <v>1</v>
      </c>
      <c r="E2408" s="2">
        <f>IFERROR(__xludf.DUMMYFUNCTION("""COMPUTED_VALUE"""),25.0)</f>
        <v>25</v>
      </c>
      <c r="F2408" s="2">
        <f>IFERROR(__xludf.DUMMYFUNCTION("""COMPUTED_VALUE"""),5.0)</f>
        <v>5</v>
      </c>
      <c r="G2408" s="2">
        <f>IFERROR(__xludf.DUMMYFUNCTION("""COMPUTED_VALUE"""),5.0)</f>
        <v>5</v>
      </c>
      <c r="H2408" s="2" t="str">
        <f>IFERROR(__xludf.DUMMYFUNCTION("""COMPUTED_VALUE"""),"P. kara")</f>
        <v>P. kara</v>
      </c>
      <c r="I2408" s="2" t="str">
        <f>IFERROR(__xludf.DUMMYFUNCTION("""COMPUTED_VALUE"""),"Masonry")</f>
        <v>Masonry</v>
      </c>
      <c r="J2408" s="2" t="str">
        <f>IFERROR(__xludf.DUMMYFUNCTION("""COMPUTED_VALUE"""),"All amenities")</f>
        <v>All amenities</v>
      </c>
      <c r="K2408" s="2">
        <f>IFERROR(__xludf.DUMMYFUNCTION("""COMPUTED_VALUE"""),64990.0)</f>
        <v>64990</v>
      </c>
      <c r="L2408" s="2">
        <f>IFERROR(__xludf.DUMMYFUNCTION("""COMPUTED_VALUE"""),56.9489016)</f>
        <v>56.9489016</v>
      </c>
      <c r="M2408" s="2">
        <f>IFERROR(__xludf.DUMMYFUNCTION("""COMPUTED_VALUE"""),24.1191083)</f>
        <v>24.1191083</v>
      </c>
    </row>
    <row r="2409">
      <c r="A2409" s="2" t="str">
        <f>IFERROR(__xludf.DUMMYFUNCTION("""COMPUTED_VALUE"""),"For sale")</f>
        <v>For sale</v>
      </c>
      <c r="B2409" s="2" t="str">
        <f>IFERROR(__xludf.DUMMYFUNCTION("""COMPUTED_VALUE"""),"centrs")</f>
        <v>centrs</v>
      </c>
      <c r="C2409" s="2" t="str">
        <f>IFERROR(__xludf.DUMMYFUNCTION("""COMPUTED_VALUE"""),"Merķeļa 7")</f>
        <v>Merķeļa 7</v>
      </c>
      <c r="D2409" s="2">
        <f>IFERROR(__xludf.DUMMYFUNCTION("""COMPUTED_VALUE"""),1.0)</f>
        <v>1</v>
      </c>
      <c r="E2409" s="2">
        <f>IFERROR(__xludf.DUMMYFUNCTION("""COMPUTED_VALUE"""),19.77)</f>
        <v>19.77</v>
      </c>
      <c r="F2409" s="2">
        <f>IFERROR(__xludf.DUMMYFUNCTION("""COMPUTED_VALUE"""),3.0)</f>
        <v>3</v>
      </c>
      <c r="G2409" s="2">
        <f>IFERROR(__xludf.DUMMYFUNCTION("""COMPUTED_VALUE"""),5.0)</f>
        <v>5</v>
      </c>
      <c r="H2409" s="2" t="str">
        <f>IFERROR(__xludf.DUMMYFUNCTION("""COMPUTED_VALUE"""),"P. kara")</f>
        <v>P. kara</v>
      </c>
      <c r="I2409" s="2" t="str">
        <f>IFERROR(__xludf.DUMMYFUNCTION("""COMPUTED_VALUE"""),"Masonry")</f>
        <v>Masonry</v>
      </c>
      <c r="J2409" s="2" t="str">
        <f>IFERROR(__xludf.DUMMYFUNCTION("""COMPUTED_VALUE"""),"All amenities")</f>
        <v>All amenities</v>
      </c>
      <c r="K2409" s="2">
        <f>IFERROR(__xludf.DUMMYFUNCTION("""COMPUTED_VALUE"""),42990.0)</f>
        <v>42990</v>
      </c>
      <c r="L2409" s="2">
        <f>IFERROR(__xludf.DUMMYFUNCTION("""COMPUTED_VALUE"""),56.9489016)</f>
        <v>56.9489016</v>
      </c>
      <c r="M2409" s="2">
        <f>IFERROR(__xludf.DUMMYFUNCTION("""COMPUTED_VALUE"""),24.1191083)</f>
        <v>24.1191083</v>
      </c>
    </row>
    <row r="2410">
      <c r="A2410" s="2" t="str">
        <f>IFERROR(__xludf.DUMMYFUNCTION("""COMPUTED_VALUE"""),"For rent")</f>
        <v>For rent</v>
      </c>
      <c r="B2410" s="2" t="str">
        <f>IFERROR(__xludf.DUMMYFUNCTION("""COMPUTED_VALUE"""),"Purvciems")</f>
        <v>Purvciems</v>
      </c>
      <c r="C2410" s="2" t="str">
        <f>IFERROR(__xludf.DUMMYFUNCTION("""COMPUTED_VALUE"""),"Ilūkstes 103")</f>
        <v>Ilūkstes 103</v>
      </c>
      <c r="D2410" s="2">
        <f>IFERROR(__xludf.DUMMYFUNCTION("""COMPUTED_VALUE"""),1.0)</f>
        <v>1</v>
      </c>
      <c r="E2410" s="2">
        <f>IFERROR(__xludf.DUMMYFUNCTION("""COMPUTED_VALUE"""),33.0)</f>
        <v>33</v>
      </c>
      <c r="F2410" s="2">
        <f>IFERROR(__xludf.DUMMYFUNCTION("""COMPUTED_VALUE"""),4.0)</f>
        <v>4</v>
      </c>
      <c r="G2410" s="2">
        <f>IFERROR(__xludf.DUMMYFUNCTION("""COMPUTED_VALUE"""),5.0)</f>
        <v>5</v>
      </c>
      <c r="H2410" s="2">
        <f>IFERROR(__xludf.DUMMYFUNCTION("""COMPUTED_VALUE"""),103.0)</f>
        <v>103</v>
      </c>
      <c r="I2410" s="2" t="str">
        <f>IFERROR(__xludf.DUMMYFUNCTION("""COMPUTED_VALUE"""),"Brick-Panel")</f>
        <v>Brick-Panel</v>
      </c>
      <c r="J2410" s="2" t="str">
        <f>IFERROR(__xludf.DUMMYFUNCTION("""COMPUTED_VALUE"""),"All amenities")</f>
        <v>All amenities</v>
      </c>
      <c r="K2410" s="2">
        <f>IFERROR(__xludf.DUMMYFUNCTION("""COMPUTED_VALUE"""),220.0)</f>
        <v>220</v>
      </c>
      <c r="L2410" s="2">
        <f>IFERROR(__xludf.DUMMYFUNCTION("""COMPUTED_VALUE"""),56.95239265)</f>
        <v>56.95239265</v>
      </c>
      <c r="M2410" s="2">
        <f>IFERROR(__xludf.DUMMYFUNCTION("""COMPUTED_VALUE"""),24.19793891505)</f>
        <v>24.19793892</v>
      </c>
    </row>
    <row r="2411">
      <c r="A2411" s="2" t="str">
        <f>IFERROR(__xludf.DUMMYFUNCTION("""COMPUTED_VALUE"""),"For sale")</f>
        <v>For sale</v>
      </c>
      <c r="B2411" s="2" t="str">
        <f>IFERROR(__xludf.DUMMYFUNCTION("""COMPUTED_VALUE"""),"centrs")</f>
        <v>centrs</v>
      </c>
      <c r="C2411" s="2" t="str">
        <f>IFERROR(__xludf.DUMMYFUNCTION("""COMPUTED_VALUE"""),"Pērses 13")</f>
        <v>Pērses 13</v>
      </c>
      <c r="D2411" s="2">
        <f>IFERROR(__xludf.DUMMYFUNCTION("""COMPUTED_VALUE"""),4.0)</f>
        <v>4</v>
      </c>
      <c r="E2411" s="2">
        <f>IFERROR(__xludf.DUMMYFUNCTION("""COMPUTED_VALUE"""),97.0)</f>
        <v>97</v>
      </c>
      <c r="F2411" s="2">
        <f>IFERROR(__xludf.DUMMYFUNCTION("""COMPUTED_VALUE"""),4.0)</f>
        <v>4</v>
      </c>
      <c r="G2411" s="2">
        <f>IFERROR(__xludf.DUMMYFUNCTION("""COMPUTED_VALUE"""),5.0)</f>
        <v>5</v>
      </c>
      <c r="H2411" s="2" t="str">
        <f>IFERROR(__xludf.DUMMYFUNCTION("""COMPUTED_VALUE"""),"P. kara")</f>
        <v>P. kara</v>
      </c>
      <c r="I2411" s="2" t="str">
        <f>IFERROR(__xludf.DUMMYFUNCTION("""COMPUTED_VALUE"""),"Masonry")</f>
        <v>Masonry</v>
      </c>
      <c r="J2411" s="2" t="str">
        <f>IFERROR(__xludf.DUMMYFUNCTION("""COMPUTED_VALUE"""),"All amenities")</f>
        <v>All amenities</v>
      </c>
      <c r="K2411" s="2">
        <f>IFERROR(__xludf.DUMMYFUNCTION("""COMPUTED_VALUE"""),165000.0)</f>
        <v>165000</v>
      </c>
      <c r="L2411" s="2">
        <f>IFERROR(__xludf.DUMMYFUNCTION("""COMPUTED_VALUE"""),56.9512979)</f>
        <v>56.9512979</v>
      </c>
      <c r="M2411" s="2">
        <f>IFERROR(__xludf.DUMMYFUNCTION("""COMPUTED_VALUE"""),24.1255555)</f>
        <v>24.1255555</v>
      </c>
    </row>
    <row r="2412">
      <c r="A2412" s="2" t="str">
        <f>IFERROR(__xludf.DUMMYFUNCTION("""COMPUTED_VALUE"""),"For rent")</f>
        <v>For rent</v>
      </c>
      <c r="B2412" s="2" t="str">
        <f>IFERROR(__xludf.DUMMYFUNCTION("""COMPUTED_VALUE"""),"Mežaparks")</f>
        <v>Mežaparks</v>
      </c>
      <c r="C2412" s="2" t="str">
        <f>IFERROR(__xludf.DUMMYFUNCTION("""COMPUTED_VALUE"""),"Stokholmas 33")</f>
        <v>Stokholmas 33</v>
      </c>
      <c r="D2412" s="2">
        <f>IFERROR(__xludf.DUMMYFUNCTION("""COMPUTED_VALUE"""),6.0)</f>
        <v>6</v>
      </c>
      <c r="E2412" s="2">
        <f>IFERROR(__xludf.DUMMYFUNCTION("""COMPUTED_VALUE"""),140.0)</f>
        <v>140</v>
      </c>
      <c r="F2412" s="2">
        <f>IFERROR(__xludf.DUMMYFUNCTION("""COMPUTED_VALUE"""),1.0)</f>
        <v>1</v>
      </c>
      <c r="G2412" s="2">
        <f>IFERROR(__xludf.DUMMYFUNCTION("""COMPUTED_VALUE"""),2.0)</f>
        <v>2</v>
      </c>
      <c r="H2412" s="2" t="str">
        <f>IFERROR(__xludf.DUMMYFUNCTION("""COMPUTED_VALUE"""),"P. kara")</f>
        <v>P. kara</v>
      </c>
      <c r="I2412" s="2" t="str">
        <f>IFERROR(__xludf.DUMMYFUNCTION("""COMPUTED_VALUE"""),"Wood")</f>
        <v>Wood</v>
      </c>
      <c r="J2412" s="2" t="str">
        <f>IFERROR(__xludf.DUMMYFUNCTION("""COMPUTED_VALUE"""),"All amenities")</f>
        <v>All amenities</v>
      </c>
      <c r="K2412" s="2">
        <f>IFERROR(__xludf.DUMMYFUNCTION("""COMPUTED_VALUE"""),1300.0)</f>
        <v>1300</v>
      </c>
      <c r="L2412" s="2">
        <f>IFERROR(__xludf.DUMMYFUNCTION("""COMPUTED_VALUE"""),59.3474706)</f>
        <v>59.3474706</v>
      </c>
      <c r="M2412" s="2">
        <f>IFERROR(__xludf.DUMMYFUNCTION("""COMPUTED_VALUE"""),18.1129039)</f>
        <v>18.1129039</v>
      </c>
    </row>
    <row r="2413">
      <c r="A2413" s="2" t="str">
        <f>IFERROR(__xludf.DUMMYFUNCTION("""COMPUTED_VALUE"""),"For rent")</f>
        <v>For rent</v>
      </c>
      <c r="B2413" s="2" t="str">
        <f>IFERROR(__xludf.DUMMYFUNCTION("""COMPUTED_VALUE"""),"Imanta")</f>
        <v>Imanta</v>
      </c>
      <c r="C2413" s="2" t="str">
        <f>IFERROR(__xludf.DUMMYFUNCTION("""COMPUTED_VALUE"""),"Kurzemes pr. 76")</f>
        <v>Kurzemes pr. 76</v>
      </c>
      <c r="D2413" s="2">
        <f>IFERROR(__xludf.DUMMYFUNCTION("""COMPUTED_VALUE"""),2.0)</f>
        <v>2</v>
      </c>
      <c r="E2413" s="2">
        <f>IFERROR(__xludf.DUMMYFUNCTION("""COMPUTED_VALUE"""),50.0)</f>
        <v>50</v>
      </c>
      <c r="F2413" s="2">
        <f>IFERROR(__xludf.DUMMYFUNCTION("""COMPUTED_VALUE"""),2.0)</f>
        <v>2</v>
      </c>
      <c r="G2413" s="2">
        <f>IFERROR(__xludf.DUMMYFUNCTION("""COMPUTED_VALUE"""),5.0)</f>
        <v>5</v>
      </c>
      <c r="H2413" s="2" t="str">
        <f>IFERROR(__xludf.DUMMYFUNCTION("""COMPUTED_VALUE"""),"LT proj.")</f>
        <v>LT proj.</v>
      </c>
      <c r="I2413" s="2" t="str">
        <f>IFERROR(__xludf.DUMMYFUNCTION("""COMPUTED_VALUE"""),"Panel")</f>
        <v>Panel</v>
      </c>
      <c r="J2413" s="2" t="str">
        <f>IFERROR(__xludf.DUMMYFUNCTION("""COMPUTED_VALUE"""),"All amenities")</f>
        <v>All amenities</v>
      </c>
      <c r="K2413" s="2">
        <f>IFERROR(__xludf.DUMMYFUNCTION("""COMPUTED_VALUE"""),330.0)</f>
        <v>330</v>
      </c>
      <c r="L2413" s="2">
        <f>IFERROR(__xludf.DUMMYFUNCTION("""COMPUTED_VALUE"""),56.9567829)</f>
        <v>56.9567829</v>
      </c>
      <c r="M2413" s="2">
        <f>IFERROR(__xludf.DUMMYFUNCTION("""COMPUTED_VALUE"""),24.0344957)</f>
        <v>24.0344957</v>
      </c>
    </row>
    <row r="2414">
      <c r="A2414" s="2" t="str">
        <f>IFERROR(__xludf.DUMMYFUNCTION("""COMPUTED_VALUE"""),"For sale")</f>
        <v>For sale</v>
      </c>
      <c r="B2414" s="2" t="str">
        <f>IFERROR(__xludf.DUMMYFUNCTION("""COMPUTED_VALUE"""),"Purvciems")</f>
        <v>Purvciems</v>
      </c>
      <c r="C2414" s="2" t="str">
        <f>IFERROR(__xludf.DUMMYFUNCTION("""COMPUTED_VALUE"""),"Dzelzavas 33")</f>
        <v>Dzelzavas 33</v>
      </c>
      <c r="D2414" s="2">
        <f>IFERROR(__xludf.DUMMYFUNCTION("""COMPUTED_VALUE"""),1.0)</f>
        <v>1</v>
      </c>
      <c r="E2414" s="2">
        <f>IFERROR(__xludf.DUMMYFUNCTION("""COMPUTED_VALUE"""),32.0)</f>
        <v>32</v>
      </c>
      <c r="F2414" s="2">
        <f>IFERROR(__xludf.DUMMYFUNCTION("""COMPUTED_VALUE"""),4.0)</f>
        <v>4</v>
      </c>
      <c r="G2414" s="2">
        <f>IFERROR(__xludf.DUMMYFUNCTION("""COMPUTED_VALUE"""),5.0)</f>
        <v>5</v>
      </c>
      <c r="H2414" s="2" t="str">
        <f>IFERROR(__xludf.DUMMYFUNCTION("""COMPUTED_VALUE"""),"LT proj.")</f>
        <v>LT proj.</v>
      </c>
      <c r="I2414" s="2" t="str">
        <f>IFERROR(__xludf.DUMMYFUNCTION("""COMPUTED_VALUE"""),"Brick-Panel")</f>
        <v>Brick-Panel</v>
      </c>
      <c r="J2414" s="2" t="str">
        <f>IFERROR(__xludf.DUMMYFUNCTION("""COMPUTED_VALUE"""),"All amenities")</f>
        <v>All amenities</v>
      </c>
      <c r="K2414" s="2">
        <f>IFERROR(__xludf.DUMMYFUNCTION("""COMPUTED_VALUE"""),36000.0)</f>
        <v>36000</v>
      </c>
      <c r="L2414" s="2">
        <f>IFERROR(__xludf.DUMMYFUNCTION("""COMPUTED_VALUE"""),56.9601830999999)</f>
        <v>56.9601831</v>
      </c>
      <c r="M2414" s="2">
        <f>IFERROR(__xludf.DUMMYFUNCTION("""COMPUTED_VALUE"""),24.1809677999999)</f>
        <v>24.1809678</v>
      </c>
    </row>
    <row r="2415">
      <c r="A2415" s="2" t="str">
        <f>IFERROR(__xludf.DUMMYFUNCTION("""COMPUTED_VALUE"""),"For sale")</f>
        <v>For sale</v>
      </c>
      <c r="B2415" s="2" t="str">
        <f>IFERROR(__xludf.DUMMYFUNCTION("""COMPUTED_VALUE"""),"Ziepniekkalns")</f>
        <v>Ziepniekkalns</v>
      </c>
      <c r="C2415" s="2" t="str">
        <f>IFERROR(__xludf.DUMMYFUNCTION("""COMPUTED_VALUE"""),"Ozolciema 34")</f>
        <v>Ozolciema 34</v>
      </c>
      <c r="D2415" s="2">
        <f>IFERROR(__xludf.DUMMYFUNCTION("""COMPUTED_VALUE"""),1.0)</f>
        <v>1</v>
      </c>
      <c r="E2415" s="2">
        <f>IFERROR(__xludf.DUMMYFUNCTION("""COMPUTED_VALUE"""),44.0)</f>
        <v>44</v>
      </c>
      <c r="F2415" s="2">
        <f>IFERROR(__xludf.DUMMYFUNCTION("""COMPUTED_VALUE"""),3.0)</f>
        <v>3</v>
      </c>
      <c r="G2415" s="2">
        <f>IFERROR(__xludf.DUMMYFUNCTION("""COMPUTED_VALUE"""),9.0)</f>
        <v>9</v>
      </c>
      <c r="H2415" s="2" t="str">
        <f>IFERROR(__xludf.DUMMYFUNCTION("""COMPUTED_VALUE"""),"M. ģim.")</f>
        <v>M. ģim.</v>
      </c>
      <c r="I2415" s="2" t="str">
        <f>IFERROR(__xludf.DUMMYFUNCTION("""COMPUTED_VALUE"""),"Panel")</f>
        <v>Panel</v>
      </c>
      <c r="J2415" s="2" t="str">
        <f>IFERROR(__xludf.DUMMYFUNCTION("""COMPUTED_VALUE"""),"All amenities")</f>
        <v>All amenities</v>
      </c>
      <c r="K2415" s="2">
        <f>IFERROR(__xludf.DUMMYFUNCTION("""COMPUTED_VALUE"""),35500.0)</f>
        <v>35500</v>
      </c>
      <c r="L2415" s="2">
        <f>IFERROR(__xludf.DUMMYFUNCTION("""COMPUTED_VALUE"""),56.90025155)</f>
        <v>56.90025155</v>
      </c>
      <c r="M2415" s="2">
        <f>IFERROR(__xludf.DUMMYFUNCTION("""COMPUTED_VALUE"""),24.0985274782545)</f>
        <v>24.09852748</v>
      </c>
    </row>
    <row r="2416">
      <c r="A2416" s="2" t="str">
        <f>IFERROR(__xludf.DUMMYFUNCTION("""COMPUTED_VALUE"""),"For sale")</f>
        <v>For sale</v>
      </c>
      <c r="B2416" s="2" t="str">
        <f>IFERROR(__xludf.DUMMYFUNCTION("""COMPUTED_VALUE"""),"Ziepniekkalns")</f>
        <v>Ziepniekkalns</v>
      </c>
      <c r="C2416" s="2" t="str">
        <f>IFERROR(__xludf.DUMMYFUNCTION("""COMPUTED_VALUE"""),"Komētas 8")</f>
        <v>Komētas 8</v>
      </c>
      <c r="D2416" s="2">
        <f>IFERROR(__xludf.DUMMYFUNCTION("""COMPUTED_VALUE"""),4.0)</f>
        <v>4</v>
      </c>
      <c r="E2416" s="2">
        <f>IFERROR(__xludf.DUMMYFUNCTION("""COMPUTED_VALUE"""),141.01)</f>
        <v>141.01</v>
      </c>
      <c r="F2416" s="2">
        <f>IFERROR(__xludf.DUMMYFUNCTION("""COMPUTED_VALUE"""),4.0)</f>
        <v>4</v>
      </c>
      <c r="G2416" s="2">
        <f>IFERROR(__xludf.DUMMYFUNCTION("""COMPUTED_VALUE"""),4.0)</f>
        <v>4</v>
      </c>
      <c r="H2416" s="2" t="str">
        <f>IFERROR(__xludf.DUMMYFUNCTION("""COMPUTED_VALUE"""),"Jaun.")</f>
        <v>Jaun.</v>
      </c>
      <c r="I2416" s="2" t="str">
        <f>IFERROR(__xludf.DUMMYFUNCTION("""COMPUTED_VALUE"""),"Panel-Brick")</f>
        <v>Panel-Brick</v>
      </c>
      <c r="J2416" s="2" t="str">
        <f>IFERROR(__xludf.DUMMYFUNCTION("""COMPUTED_VALUE"""),"All amenities")</f>
        <v>All amenities</v>
      </c>
      <c r="K2416" s="2">
        <f>IFERROR(__xludf.DUMMYFUNCTION("""COMPUTED_VALUE"""),199000.0)</f>
        <v>199000</v>
      </c>
      <c r="L2416" s="2">
        <f>IFERROR(__xludf.DUMMYFUNCTION("""COMPUTED_VALUE"""),56.91394475)</f>
        <v>56.91394475</v>
      </c>
      <c r="M2416" s="2">
        <f>IFERROR(__xludf.DUMMYFUNCTION("""COMPUTED_VALUE"""),24.1253739379909)</f>
        <v>24.12537394</v>
      </c>
    </row>
    <row r="2417">
      <c r="A2417" s="2" t="str">
        <f>IFERROR(__xludf.DUMMYFUNCTION("""COMPUTED_VALUE"""),"For rent")</f>
        <v>For rent</v>
      </c>
      <c r="B2417" s="2" t="str">
        <f>IFERROR(__xludf.DUMMYFUNCTION("""COMPUTED_VALUE"""),"Sarkandaugava")</f>
        <v>Sarkandaugava</v>
      </c>
      <c r="C2417" s="2" t="str">
        <f>IFERROR(__xludf.DUMMYFUNCTION("""COMPUTED_VALUE"""),"Viestura pr. 33")</f>
        <v>Viestura pr. 33</v>
      </c>
      <c r="D2417" s="2">
        <f>IFERROR(__xludf.DUMMYFUNCTION("""COMPUTED_VALUE"""),2.0)</f>
        <v>2</v>
      </c>
      <c r="E2417" s="2">
        <f>IFERROR(__xludf.DUMMYFUNCTION("""COMPUTED_VALUE"""),50.0)</f>
        <v>50</v>
      </c>
      <c r="F2417" s="2">
        <f>IFERROR(__xludf.DUMMYFUNCTION("""COMPUTED_VALUE"""),3.0)</f>
        <v>3</v>
      </c>
      <c r="G2417" s="2">
        <f>IFERROR(__xludf.DUMMYFUNCTION("""COMPUTED_VALUE"""),9.0)</f>
        <v>9</v>
      </c>
      <c r="H2417" s="2" t="str">
        <f>IFERROR(__xludf.DUMMYFUNCTION("""COMPUTED_VALUE"""),"Specpr.")</f>
        <v>Specpr.</v>
      </c>
      <c r="I2417" s="2" t="str">
        <f>IFERROR(__xludf.DUMMYFUNCTION("""COMPUTED_VALUE"""),"Brick")</f>
        <v>Brick</v>
      </c>
      <c r="J2417" s="2" t="str">
        <f>IFERROR(__xludf.DUMMYFUNCTION("""COMPUTED_VALUE"""),"All amenities")</f>
        <v>All amenities</v>
      </c>
      <c r="K2417" s="2">
        <f>IFERROR(__xludf.DUMMYFUNCTION("""COMPUTED_VALUE"""),320.0)</f>
        <v>320</v>
      </c>
      <c r="L2417" s="2" t="str">
        <f>IFERROR(__xludf.DUMMYFUNCTION("""COMPUTED_VALUE"""),"NaN")</f>
        <v>NaN</v>
      </c>
      <c r="M2417" s="2" t="str">
        <f>IFERROR(__xludf.DUMMYFUNCTION("""COMPUTED_VALUE"""),"NaN")</f>
        <v>NaN</v>
      </c>
    </row>
    <row r="2418">
      <c r="A2418" s="2" t="str">
        <f>IFERROR(__xludf.DUMMYFUNCTION("""COMPUTED_VALUE"""),"For sale")</f>
        <v>For sale</v>
      </c>
      <c r="B2418" s="2" t="str">
        <f>IFERROR(__xludf.DUMMYFUNCTION("""COMPUTED_VALUE"""),"Dzegužkalns")</f>
        <v>Dzegužkalns</v>
      </c>
      <c r="C2418" s="2" t="str">
        <f>IFERROR(__xludf.DUMMYFUNCTION("""COMPUTED_VALUE"""),"Buļļu 33")</f>
        <v>Buļļu 33</v>
      </c>
      <c r="D2418" s="2">
        <f>IFERROR(__xludf.DUMMYFUNCTION("""COMPUTED_VALUE"""),4.0)</f>
        <v>4</v>
      </c>
      <c r="E2418" s="2">
        <f>IFERROR(__xludf.DUMMYFUNCTION("""COMPUTED_VALUE"""),160.1)</f>
        <v>160.1</v>
      </c>
      <c r="F2418" s="2">
        <f>IFERROR(__xludf.DUMMYFUNCTION("""COMPUTED_VALUE"""),6.0)</f>
        <v>6</v>
      </c>
      <c r="G2418" s="2">
        <f>IFERROR(__xludf.DUMMYFUNCTION("""COMPUTED_VALUE"""),7.0)</f>
        <v>7</v>
      </c>
      <c r="H2418" s="2" t="str">
        <f>IFERROR(__xludf.DUMMYFUNCTION("""COMPUTED_VALUE"""),"Jaun.")</f>
        <v>Jaun.</v>
      </c>
      <c r="I2418" s="2" t="str">
        <f>IFERROR(__xludf.DUMMYFUNCTION("""COMPUTED_VALUE"""),"Brick")</f>
        <v>Brick</v>
      </c>
      <c r="J2418" s="2" t="str">
        <f>IFERROR(__xludf.DUMMYFUNCTION("""COMPUTED_VALUE"""),"All amenities")</f>
        <v>All amenities</v>
      </c>
      <c r="K2418" s="2">
        <f>IFERROR(__xludf.DUMMYFUNCTION("""COMPUTED_VALUE"""),162000.0)</f>
        <v>162000</v>
      </c>
      <c r="L2418" s="2">
        <f>IFERROR(__xludf.DUMMYFUNCTION("""COMPUTED_VALUE"""),56.96845095)</f>
        <v>56.96845095</v>
      </c>
      <c r="M2418" s="2">
        <f>IFERROR(__xludf.DUMMYFUNCTION("""COMPUTED_VALUE"""),24.0520103188272)</f>
        <v>24.05201032</v>
      </c>
    </row>
    <row r="2419">
      <c r="A2419" s="2" t="str">
        <f>IFERROR(__xludf.DUMMYFUNCTION("""COMPUTED_VALUE"""),"For rent")</f>
        <v>For rent</v>
      </c>
      <c r="B2419" s="2" t="str">
        <f>IFERROR(__xludf.DUMMYFUNCTION("""COMPUTED_VALUE"""),"Jugla")</f>
        <v>Jugla</v>
      </c>
      <c r="C2419" s="2" t="str">
        <f>IFERROR(__xludf.DUMMYFUNCTION("""COMPUTED_VALUE"""),"M. Juglas 3a")</f>
        <v>M. Juglas 3a</v>
      </c>
      <c r="D2419" s="2">
        <f>IFERROR(__xludf.DUMMYFUNCTION("""COMPUTED_VALUE"""),3.0)</f>
        <v>3</v>
      </c>
      <c r="E2419" s="2">
        <f>IFERROR(__xludf.DUMMYFUNCTION("""COMPUTED_VALUE"""),166.0)</f>
        <v>166</v>
      </c>
      <c r="F2419" s="2">
        <f>IFERROR(__xludf.DUMMYFUNCTION("""COMPUTED_VALUE"""),2.0)</f>
        <v>2</v>
      </c>
      <c r="G2419" s="2">
        <f>IFERROR(__xludf.DUMMYFUNCTION("""COMPUTED_VALUE"""),3.0)</f>
        <v>3</v>
      </c>
      <c r="H2419" s="2" t="str">
        <f>IFERROR(__xludf.DUMMYFUNCTION("""COMPUTED_VALUE"""),"Jaun.")</f>
        <v>Jaun.</v>
      </c>
      <c r="I2419" s="2" t="str">
        <f>IFERROR(__xludf.DUMMYFUNCTION("""COMPUTED_VALUE"""),"Brick")</f>
        <v>Brick</v>
      </c>
      <c r="J2419" s="2" t="str">
        <f>IFERROR(__xludf.DUMMYFUNCTION("""COMPUTED_VALUE"""),"All amenities")</f>
        <v>All amenities</v>
      </c>
      <c r="K2419" s="2">
        <f>IFERROR(__xludf.DUMMYFUNCTION("""COMPUTED_VALUE"""),900.0)</f>
        <v>900</v>
      </c>
      <c r="L2419" s="2">
        <f>IFERROR(__xludf.DUMMYFUNCTION("""COMPUTED_VALUE"""),56.9761694)</f>
        <v>56.9761694</v>
      </c>
      <c r="M2419" s="2">
        <f>IFERROR(__xludf.DUMMYFUNCTION("""COMPUTED_VALUE"""),24.2544503)</f>
        <v>24.2544503</v>
      </c>
    </row>
    <row r="2420">
      <c r="A2420" s="2" t="str">
        <f>IFERROR(__xludf.DUMMYFUNCTION("""COMPUTED_VALUE"""),"For sale")</f>
        <v>For sale</v>
      </c>
      <c r="B2420" s="2" t="str">
        <f>IFERROR(__xludf.DUMMYFUNCTION("""COMPUTED_VALUE"""),"centrs")</f>
        <v>centrs</v>
      </c>
      <c r="C2420" s="2" t="str">
        <f>IFERROR(__xludf.DUMMYFUNCTION("""COMPUTED_VALUE"""),"Pērnavas 39")</f>
        <v>Pērnavas 39</v>
      </c>
      <c r="D2420" s="2">
        <f>IFERROR(__xludf.DUMMYFUNCTION("""COMPUTED_VALUE"""),1.0)</f>
        <v>1</v>
      </c>
      <c r="E2420" s="2">
        <f>IFERROR(__xludf.DUMMYFUNCTION("""COMPUTED_VALUE"""),26.0)</f>
        <v>26</v>
      </c>
      <c r="F2420" s="2">
        <f>IFERROR(__xludf.DUMMYFUNCTION("""COMPUTED_VALUE"""),2.0)</f>
        <v>2</v>
      </c>
      <c r="G2420" s="2">
        <f>IFERROR(__xludf.DUMMYFUNCTION("""COMPUTED_VALUE"""),6.0)</f>
        <v>6</v>
      </c>
      <c r="H2420" s="2" t="str">
        <f>IFERROR(__xludf.DUMMYFUNCTION("""COMPUTED_VALUE"""),"P. kara")</f>
        <v>P. kara</v>
      </c>
      <c r="I2420" s="2" t="str">
        <f>IFERROR(__xludf.DUMMYFUNCTION("""COMPUTED_VALUE"""),"Brick")</f>
        <v>Brick</v>
      </c>
      <c r="J2420" s="2" t="str">
        <f>IFERROR(__xludf.DUMMYFUNCTION("""COMPUTED_VALUE"""),"All amenities")</f>
        <v>All amenities</v>
      </c>
      <c r="K2420" s="2">
        <f>IFERROR(__xludf.DUMMYFUNCTION("""COMPUTED_VALUE"""),33150.0)</f>
        <v>33150</v>
      </c>
      <c r="L2420" s="2">
        <f>IFERROR(__xludf.DUMMYFUNCTION("""COMPUTED_VALUE"""),56.9555074999999)</f>
        <v>56.9555075</v>
      </c>
      <c r="M2420" s="2">
        <f>IFERROR(__xludf.DUMMYFUNCTION("""COMPUTED_VALUE"""),24.1534989394562)</f>
        <v>24.15349894</v>
      </c>
    </row>
    <row r="2421">
      <c r="A2421" s="2" t="str">
        <f>IFERROR(__xludf.DUMMYFUNCTION("""COMPUTED_VALUE"""),"For sale")</f>
        <v>For sale</v>
      </c>
      <c r="B2421" s="2" t="str">
        <f>IFERROR(__xludf.DUMMYFUNCTION("""COMPUTED_VALUE"""),"centrs")</f>
        <v>centrs</v>
      </c>
      <c r="C2421" s="2" t="str">
        <f>IFERROR(__xludf.DUMMYFUNCTION("""COMPUTED_VALUE"""),"Eksporta 14")</f>
        <v>Eksporta 14</v>
      </c>
      <c r="D2421" s="2">
        <f>IFERROR(__xludf.DUMMYFUNCTION("""COMPUTED_VALUE"""),2.0)</f>
        <v>2</v>
      </c>
      <c r="E2421" s="2">
        <f>IFERROR(__xludf.DUMMYFUNCTION("""COMPUTED_VALUE"""),56.0)</f>
        <v>56</v>
      </c>
      <c r="F2421" s="2">
        <f>IFERROR(__xludf.DUMMYFUNCTION("""COMPUTED_VALUE"""),1.0)</f>
        <v>1</v>
      </c>
      <c r="G2421" s="2">
        <f>IFERROR(__xludf.DUMMYFUNCTION("""COMPUTED_VALUE"""),5.0)</f>
        <v>5</v>
      </c>
      <c r="H2421" s="2" t="str">
        <f>IFERROR(__xludf.DUMMYFUNCTION("""COMPUTED_VALUE"""),"P. kara")</f>
        <v>P. kara</v>
      </c>
      <c r="I2421" s="2" t="str">
        <f>IFERROR(__xludf.DUMMYFUNCTION("""COMPUTED_VALUE"""),"Brick")</f>
        <v>Brick</v>
      </c>
      <c r="J2421" s="2" t="str">
        <f>IFERROR(__xludf.DUMMYFUNCTION("""COMPUTED_VALUE"""),"All amenities")</f>
        <v>All amenities</v>
      </c>
      <c r="K2421" s="2">
        <f>IFERROR(__xludf.DUMMYFUNCTION("""COMPUTED_VALUE"""),83000.0)</f>
        <v>83000</v>
      </c>
      <c r="L2421" s="2">
        <f>IFERROR(__xludf.DUMMYFUNCTION("""COMPUTED_VALUE"""),56.956763)</f>
        <v>56.956763</v>
      </c>
      <c r="M2421" s="2">
        <f>IFERROR(__xludf.DUMMYFUNCTION("""COMPUTED_VALUE"""),24.0954531)</f>
        <v>24.0954531</v>
      </c>
    </row>
    <row r="2422">
      <c r="A2422" s="2" t="str">
        <f>IFERROR(__xludf.DUMMYFUNCTION("""COMPUTED_VALUE"""),"For rent")</f>
        <v>For rent</v>
      </c>
      <c r="B2422" s="2" t="str">
        <f>IFERROR(__xludf.DUMMYFUNCTION("""COMPUTED_VALUE"""),"Vecrīga")</f>
        <v>Vecrīga</v>
      </c>
      <c r="C2422" s="2" t="str">
        <f>IFERROR(__xludf.DUMMYFUNCTION("""COMPUTED_VALUE"""),"Republikas laukums 3")</f>
        <v>Republikas laukums 3</v>
      </c>
      <c r="D2422" s="2">
        <f>IFERROR(__xludf.DUMMYFUNCTION("""COMPUTED_VALUE"""),4.0)</f>
        <v>4</v>
      </c>
      <c r="E2422" s="2">
        <f>IFERROR(__xludf.DUMMYFUNCTION("""COMPUTED_VALUE"""),160.0)</f>
        <v>160</v>
      </c>
      <c r="F2422" s="2">
        <f>IFERROR(__xludf.DUMMYFUNCTION("""COMPUTED_VALUE"""),3.0)</f>
        <v>3</v>
      </c>
      <c r="G2422" s="2">
        <f>IFERROR(__xludf.DUMMYFUNCTION("""COMPUTED_VALUE"""),7.0)</f>
        <v>7</v>
      </c>
      <c r="H2422" s="2" t="str">
        <f>IFERROR(__xludf.DUMMYFUNCTION("""COMPUTED_VALUE"""),"Jaun.")</f>
        <v>Jaun.</v>
      </c>
      <c r="I2422" s="2" t="str">
        <f>IFERROR(__xludf.DUMMYFUNCTION("""COMPUTED_VALUE"""),"Brick")</f>
        <v>Brick</v>
      </c>
      <c r="J2422" s="2" t="str">
        <f>IFERROR(__xludf.DUMMYFUNCTION("""COMPUTED_VALUE"""),"All amenities")</f>
        <v>All amenities</v>
      </c>
      <c r="K2422" s="2">
        <f>IFERROR(__xludf.DUMMYFUNCTION("""COMPUTED_VALUE"""),2000.0)</f>
        <v>2000</v>
      </c>
      <c r="L2422" s="2">
        <f>IFERROR(__xludf.DUMMYFUNCTION("""COMPUTED_VALUE"""),56.9552522)</f>
        <v>56.9552522</v>
      </c>
      <c r="M2422" s="2">
        <f>IFERROR(__xludf.DUMMYFUNCTION("""COMPUTED_VALUE"""),24.0999991251943)</f>
        <v>24.09999913</v>
      </c>
    </row>
    <row r="2423">
      <c r="A2423" s="2" t="str">
        <f>IFERROR(__xludf.DUMMYFUNCTION("""COMPUTED_VALUE"""),"For sale")</f>
        <v>For sale</v>
      </c>
      <c r="B2423" s="2" t="str">
        <f>IFERROR(__xludf.DUMMYFUNCTION("""COMPUTED_VALUE"""),"Sarkandaugava")</f>
        <v>Sarkandaugava</v>
      </c>
      <c r="C2423" s="2" t="str">
        <f>IFERROR(__xludf.DUMMYFUNCTION("""COMPUTED_VALUE"""),"Allažu 1")</f>
        <v>Allažu 1</v>
      </c>
      <c r="D2423" s="2">
        <f>IFERROR(__xludf.DUMMYFUNCTION("""COMPUTED_VALUE"""),1.0)</f>
        <v>1</v>
      </c>
      <c r="E2423" s="2">
        <f>IFERROR(__xludf.DUMMYFUNCTION("""COMPUTED_VALUE"""),29.0)</f>
        <v>29</v>
      </c>
      <c r="F2423" s="2">
        <f>IFERROR(__xludf.DUMMYFUNCTION("""COMPUTED_VALUE"""),4.0)</f>
        <v>4</v>
      </c>
      <c r="G2423" s="2">
        <f>IFERROR(__xludf.DUMMYFUNCTION("""COMPUTED_VALUE"""),5.0)</f>
        <v>5</v>
      </c>
      <c r="H2423" s="2" t="str">
        <f>IFERROR(__xludf.DUMMYFUNCTION("""COMPUTED_VALUE"""),"Hrušč.")</f>
        <v>Hrušč.</v>
      </c>
      <c r="I2423" s="2" t="str">
        <f>IFERROR(__xludf.DUMMYFUNCTION("""COMPUTED_VALUE"""),"Brick")</f>
        <v>Brick</v>
      </c>
      <c r="J2423" s="2" t="str">
        <f>IFERROR(__xludf.DUMMYFUNCTION("""COMPUTED_VALUE"""),"All amenities")</f>
        <v>All amenities</v>
      </c>
      <c r="K2423" s="2">
        <f>IFERROR(__xludf.DUMMYFUNCTION("""COMPUTED_VALUE"""),25450.0)</f>
        <v>25450</v>
      </c>
      <c r="L2423" s="2">
        <f>IFERROR(__xludf.DUMMYFUNCTION("""COMPUTED_VALUE"""),56.997753)</f>
        <v>56.997753</v>
      </c>
      <c r="M2423" s="2">
        <f>IFERROR(__xludf.DUMMYFUNCTION("""COMPUTED_VALUE"""),24.1197427)</f>
        <v>24.1197427</v>
      </c>
    </row>
    <row r="2424">
      <c r="A2424" s="2" t="str">
        <f>IFERROR(__xludf.DUMMYFUNCTION("""COMPUTED_VALUE"""),"For sale")</f>
        <v>For sale</v>
      </c>
      <c r="B2424" s="2" t="str">
        <f>IFERROR(__xludf.DUMMYFUNCTION("""COMPUTED_VALUE"""),"Mežciems")</f>
        <v>Mežciems</v>
      </c>
      <c r="C2424" s="2" t="str">
        <f>IFERROR(__xludf.DUMMYFUNCTION("""COMPUTED_VALUE"""),"Kaivas 50/1")</f>
        <v>Kaivas 50/1</v>
      </c>
      <c r="D2424" s="2">
        <f>IFERROR(__xludf.DUMMYFUNCTION("""COMPUTED_VALUE"""),4.0)</f>
        <v>4</v>
      </c>
      <c r="E2424" s="2">
        <f>IFERROR(__xludf.DUMMYFUNCTION("""COMPUTED_VALUE"""),75.0)</f>
        <v>75</v>
      </c>
      <c r="F2424" s="2">
        <f>IFERROR(__xludf.DUMMYFUNCTION("""COMPUTED_VALUE"""),5.0)</f>
        <v>5</v>
      </c>
      <c r="G2424" s="2">
        <f>IFERROR(__xludf.DUMMYFUNCTION("""COMPUTED_VALUE"""),5.0)</f>
        <v>5</v>
      </c>
      <c r="H2424" s="2" t="str">
        <f>IFERROR(__xludf.DUMMYFUNCTION("""COMPUTED_VALUE"""),"Jaun.")</f>
        <v>Jaun.</v>
      </c>
      <c r="I2424" s="2" t="str">
        <f>IFERROR(__xludf.DUMMYFUNCTION("""COMPUTED_VALUE"""),"Brick-Panel")</f>
        <v>Brick-Panel</v>
      </c>
      <c r="J2424" s="2" t="str">
        <f>IFERROR(__xludf.DUMMYFUNCTION("""COMPUTED_VALUE"""),"All amenities")</f>
        <v>All amenities</v>
      </c>
      <c r="K2424" s="2">
        <f>IFERROR(__xludf.DUMMYFUNCTION("""COMPUTED_VALUE"""),82830.0)</f>
        <v>82830</v>
      </c>
      <c r="L2424" s="2">
        <f>IFERROR(__xludf.DUMMYFUNCTION("""COMPUTED_VALUE"""),56.9541725)</f>
        <v>56.9541725</v>
      </c>
      <c r="M2424" s="2">
        <f>IFERROR(__xludf.DUMMYFUNCTION("""COMPUTED_VALUE"""),24.2443253)</f>
        <v>24.2443253</v>
      </c>
    </row>
    <row r="2425">
      <c r="A2425" s="2" t="str">
        <f>IFERROR(__xludf.DUMMYFUNCTION("""COMPUTED_VALUE"""),"For sale")</f>
        <v>For sale</v>
      </c>
      <c r="B2425" s="2" t="str">
        <f>IFERROR(__xludf.DUMMYFUNCTION("""COMPUTED_VALUE"""),"Mežciems")</f>
        <v>Mežciems</v>
      </c>
      <c r="C2425" s="2" t="str">
        <f>IFERROR(__xludf.DUMMYFUNCTION("""COMPUTED_VALUE"""),"Kaivas 50/1")</f>
        <v>Kaivas 50/1</v>
      </c>
      <c r="D2425" s="2">
        <f>IFERROR(__xludf.DUMMYFUNCTION("""COMPUTED_VALUE"""),3.0)</f>
        <v>3</v>
      </c>
      <c r="E2425" s="2">
        <f>IFERROR(__xludf.DUMMYFUNCTION("""COMPUTED_VALUE"""),75.0)</f>
        <v>75</v>
      </c>
      <c r="F2425" s="2">
        <f>IFERROR(__xludf.DUMMYFUNCTION("""COMPUTED_VALUE"""),1.0)</f>
        <v>1</v>
      </c>
      <c r="G2425" s="2">
        <f>IFERROR(__xludf.DUMMYFUNCTION("""COMPUTED_VALUE"""),5.0)</f>
        <v>5</v>
      </c>
      <c r="H2425" s="2" t="str">
        <f>IFERROR(__xludf.DUMMYFUNCTION("""COMPUTED_VALUE"""),"Jaun.")</f>
        <v>Jaun.</v>
      </c>
      <c r="I2425" s="2" t="str">
        <f>IFERROR(__xludf.DUMMYFUNCTION("""COMPUTED_VALUE"""),"Brick-Panel")</f>
        <v>Brick-Panel</v>
      </c>
      <c r="J2425" s="2" t="str">
        <f>IFERROR(__xludf.DUMMYFUNCTION("""COMPUTED_VALUE"""),"All amenities")</f>
        <v>All amenities</v>
      </c>
      <c r="K2425" s="2">
        <f>IFERROR(__xludf.DUMMYFUNCTION("""COMPUTED_VALUE"""),82500.0)</f>
        <v>82500</v>
      </c>
      <c r="L2425" s="2">
        <f>IFERROR(__xludf.DUMMYFUNCTION("""COMPUTED_VALUE"""),56.9541725)</f>
        <v>56.9541725</v>
      </c>
      <c r="M2425" s="2">
        <f>IFERROR(__xludf.DUMMYFUNCTION("""COMPUTED_VALUE"""),24.2443253)</f>
        <v>24.2443253</v>
      </c>
    </row>
    <row r="2426">
      <c r="A2426" s="2" t="str">
        <f>IFERROR(__xludf.DUMMYFUNCTION("""COMPUTED_VALUE"""),"For sale")</f>
        <v>For sale</v>
      </c>
      <c r="B2426" s="2" t="str">
        <f>IFERROR(__xludf.DUMMYFUNCTION("""COMPUTED_VALUE"""),"Mežciems")</f>
        <v>Mežciems</v>
      </c>
      <c r="C2426" s="2" t="str">
        <f>IFERROR(__xludf.DUMMYFUNCTION("""COMPUTED_VALUE"""),"Kaivas 50/1")</f>
        <v>Kaivas 50/1</v>
      </c>
      <c r="D2426" s="2">
        <f>IFERROR(__xludf.DUMMYFUNCTION("""COMPUTED_VALUE"""),2.0)</f>
        <v>2</v>
      </c>
      <c r="E2426" s="2">
        <f>IFERROR(__xludf.DUMMYFUNCTION("""COMPUTED_VALUE"""),46.0)</f>
        <v>46</v>
      </c>
      <c r="F2426" s="2">
        <f>IFERROR(__xludf.DUMMYFUNCTION("""COMPUTED_VALUE"""),3.0)</f>
        <v>3</v>
      </c>
      <c r="G2426" s="2">
        <f>IFERROR(__xludf.DUMMYFUNCTION("""COMPUTED_VALUE"""),5.0)</f>
        <v>5</v>
      </c>
      <c r="H2426" s="2" t="str">
        <f>IFERROR(__xludf.DUMMYFUNCTION("""COMPUTED_VALUE"""),"Jaun.")</f>
        <v>Jaun.</v>
      </c>
      <c r="I2426" s="2" t="str">
        <f>IFERROR(__xludf.DUMMYFUNCTION("""COMPUTED_VALUE"""),"Brick-Panel")</f>
        <v>Brick-Panel</v>
      </c>
      <c r="J2426" s="2" t="str">
        <f>IFERROR(__xludf.DUMMYFUNCTION("""COMPUTED_VALUE"""),"All amenities")</f>
        <v>All amenities</v>
      </c>
      <c r="K2426" s="2">
        <f>IFERROR(__xludf.DUMMYFUNCTION("""COMPUTED_VALUE"""),53245.0)</f>
        <v>53245</v>
      </c>
      <c r="L2426" s="2">
        <f>IFERROR(__xludf.DUMMYFUNCTION("""COMPUTED_VALUE"""),56.9541725)</f>
        <v>56.9541725</v>
      </c>
      <c r="M2426" s="2">
        <f>IFERROR(__xludf.DUMMYFUNCTION("""COMPUTED_VALUE"""),24.2443253)</f>
        <v>24.2443253</v>
      </c>
    </row>
    <row r="2427">
      <c r="A2427" s="2" t="str">
        <f>IFERROR(__xludf.DUMMYFUNCTION("""COMPUTED_VALUE"""),"For sale")</f>
        <v>For sale</v>
      </c>
      <c r="B2427" s="2" t="str">
        <f>IFERROR(__xludf.DUMMYFUNCTION("""COMPUTED_VALUE"""),"Mežciems")</f>
        <v>Mežciems</v>
      </c>
      <c r="C2427" s="2" t="str">
        <f>IFERROR(__xludf.DUMMYFUNCTION("""COMPUTED_VALUE"""),"Kaivas 50/1")</f>
        <v>Kaivas 50/1</v>
      </c>
      <c r="D2427" s="2">
        <f>IFERROR(__xludf.DUMMYFUNCTION("""COMPUTED_VALUE"""),2.0)</f>
        <v>2</v>
      </c>
      <c r="E2427" s="2">
        <f>IFERROR(__xludf.DUMMYFUNCTION("""COMPUTED_VALUE"""),57.0)</f>
        <v>57</v>
      </c>
      <c r="F2427" s="2">
        <f>IFERROR(__xludf.DUMMYFUNCTION("""COMPUTED_VALUE"""),3.0)</f>
        <v>3</v>
      </c>
      <c r="G2427" s="2">
        <f>IFERROR(__xludf.DUMMYFUNCTION("""COMPUTED_VALUE"""),5.0)</f>
        <v>5</v>
      </c>
      <c r="H2427" s="2" t="str">
        <f>IFERROR(__xludf.DUMMYFUNCTION("""COMPUTED_VALUE"""),"Jaun.")</f>
        <v>Jaun.</v>
      </c>
      <c r="I2427" s="2" t="str">
        <f>IFERROR(__xludf.DUMMYFUNCTION("""COMPUTED_VALUE"""),"Brick-Panel")</f>
        <v>Brick-Panel</v>
      </c>
      <c r="J2427" s="2" t="str">
        <f>IFERROR(__xludf.DUMMYFUNCTION("""COMPUTED_VALUE"""),"All amenities")</f>
        <v>All amenities</v>
      </c>
      <c r="K2427" s="2">
        <f>IFERROR(__xludf.DUMMYFUNCTION("""COMPUTED_VALUE"""),64975.0)</f>
        <v>64975</v>
      </c>
      <c r="L2427" s="2">
        <f>IFERROR(__xludf.DUMMYFUNCTION("""COMPUTED_VALUE"""),56.9541725)</f>
        <v>56.9541725</v>
      </c>
      <c r="M2427" s="2">
        <f>IFERROR(__xludf.DUMMYFUNCTION("""COMPUTED_VALUE"""),24.2443253)</f>
        <v>24.2443253</v>
      </c>
    </row>
    <row r="2428">
      <c r="A2428" s="2" t="str">
        <f>IFERROR(__xludf.DUMMYFUNCTION("""COMPUTED_VALUE"""),"For sale")</f>
        <v>For sale</v>
      </c>
      <c r="B2428" s="2" t="str">
        <f>IFERROR(__xludf.DUMMYFUNCTION("""COMPUTED_VALUE"""),"Imanta")</f>
        <v>Imanta</v>
      </c>
      <c r="C2428" s="2" t="str">
        <f>IFERROR(__xludf.DUMMYFUNCTION("""COMPUTED_VALUE"""),"Akāciju 2d")</f>
        <v>Akāciju 2d</v>
      </c>
      <c r="D2428" s="2">
        <f>IFERROR(__xludf.DUMMYFUNCTION("""COMPUTED_VALUE"""),4.0)</f>
        <v>4</v>
      </c>
      <c r="E2428" s="2">
        <f>IFERROR(__xludf.DUMMYFUNCTION("""COMPUTED_VALUE"""),78.0)</f>
        <v>78</v>
      </c>
      <c r="F2428" s="2">
        <f>IFERROR(__xludf.DUMMYFUNCTION("""COMPUTED_VALUE"""),2.0)</f>
        <v>2</v>
      </c>
      <c r="G2428" s="2">
        <f>IFERROR(__xludf.DUMMYFUNCTION("""COMPUTED_VALUE"""),9.0)</f>
        <v>9</v>
      </c>
      <c r="H2428" s="2" t="str">
        <f>IFERROR(__xludf.DUMMYFUNCTION("""COMPUTED_VALUE"""),"Jaun.")</f>
        <v>Jaun.</v>
      </c>
      <c r="I2428" s="2" t="str">
        <f>IFERROR(__xludf.DUMMYFUNCTION("""COMPUTED_VALUE"""),"Panel")</f>
        <v>Panel</v>
      </c>
      <c r="J2428" s="2" t="str">
        <f>IFERROR(__xludf.DUMMYFUNCTION("""COMPUTED_VALUE"""),"All amenities")</f>
        <v>All amenities</v>
      </c>
      <c r="K2428" s="2">
        <f>IFERROR(__xludf.DUMMYFUNCTION("""COMPUTED_VALUE"""),148799.0)</f>
        <v>148799</v>
      </c>
      <c r="L2428" s="2">
        <f>IFERROR(__xludf.DUMMYFUNCTION("""COMPUTED_VALUE"""),56.9514132)</f>
        <v>56.9514132</v>
      </c>
      <c r="M2428" s="2">
        <f>IFERROR(__xludf.DUMMYFUNCTION("""COMPUTED_VALUE"""),24.0038761753746)</f>
        <v>24.00387618</v>
      </c>
    </row>
    <row r="2429">
      <c r="A2429" s="2" t="str">
        <f>IFERROR(__xludf.DUMMYFUNCTION("""COMPUTED_VALUE"""),"For sale")</f>
        <v>For sale</v>
      </c>
      <c r="B2429" s="2" t="str">
        <f>IFERROR(__xludf.DUMMYFUNCTION("""COMPUTED_VALUE"""),"Katlakalns")</f>
        <v>Katlakalns</v>
      </c>
      <c r="C2429" s="2" t="str">
        <f>IFERROR(__xludf.DUMMYFUNCTION("""COMPUTED_VALUE"""),"Bauskas 190a")</f>
        <v>Bauskas 190a</v>
      </c>
      <c r="D2429" s="2">
        <f>IFERROR(__xludf.DUMMYFUNCTION("""COMPUTED_VALUE"""),2.0)</f>
        <v>2</v>
      </c>
      <c r="E2429" s="2">
        <f>IFERROR(__xludf.DUMMYFUNCTION("""COMPUTED_VALUE"""),46.0)</f>
        <v>46</v>
      </c>
      <c r="F2429" s="2">
        <f>IFERROR(__xludf.DUMMYFUNCTION("""COMPUTED_VALUE"""),1.0)</f>
        <v>1</v>
      </c>
      <c r="G2429" s="2">
        <f>IFERROR(__xludf.DUMMYFUNCTION("""COMPUTED_VALUE"""),5.0)</f>
        <v>5</v>
      </c>
      <c r="H2429" s="2" t="str">
        <f>IFERROR(__xludf.DUMMYFUNCTION("""COMPUTED_VALUE"""),"Hrušč.")</f>
        <v>Hrušč.</v>
      </c>
      <c r="I2429" s="2" t="str">
        <f>IFERROR(__xludf.DUMMYFUNCTION("""COMPUTED_VALUE"""),"Brick")</f>
        <v>Brick</v>
      </c>
      <c r="J2429" s="2" t="str">
        <f>IFERROR(__xludf.DUMMYFUNCTION("""COMPUTED_VALUE"""),"All amenities")</f>
        <v>All amenities</v>
      </c>
      <c r="K2429" s="2">
        <f>IFERROR(__xludf.DUMMYFUNCTION("""COMPUTED_VALUE"""),70000.0)</f>
        <v>70000</v>
      </c>
      <c r="L2429" s="2">
        <f>IFERROR(__xludf.DUMMYFUNCTION("""COMPUTED_VALUE"""),56.9141787)</f>
        <v>56.9141787</v>
      </c>
      <c r="M2429" s="2">
        <f>IFERROR(__xludf.DUMMYFUNCTION("""COMPUTED_VALUE"""),24.1217522)</f>
        <v>24.1217522</v>
      </c>
    </row>
    <row r="2430">
      <c r="A2430" s="2" t="str">
        <f>IFERROR(__xludf.DUMMYFUNCTION("""COMPUTED_VALUE"""),"For sale")</f>
        <v>For sale</v>
      </c>
      <c r="B2430" s="2" t="str">
        <f>IFERROR(__xludf.DUMMYFUNCTION("""COMPUTED_VALUE"""),"Kleisti")</f>
        <v>Kleisti</v>
      </c>
      <c r="C2430" s="2" t="str">
        <f>IFERROR(__xludf.DUMMYFUNCTION("""COMPUTED_VALUE"""),"Rātsupītes 3")</f>
        <v>Rātsupītes 3</v>
      </c>
      <c r="D2430" s="2">
        <f>IFERROR(__xludf.DUMMYFUNCTION("""COMPUTED_VALUE"""),3.0)</f>
        <v>3</v>
      </c>
      <c r="E2430" s="2">
        <f>IFERROR(__xludf.DUMMYFUNCTION("""COMPUTED_VALUE"""),78.0)</f>
        <v>78</v>
      </c>
      <c r="F2430" s="2">
        <f>IFERROR(__xludf.DUMMYFUNCTION("""COMPUTED_VALUE"""),5.0)</f>
        <v>5</v>
      </c>
      <c r="G2430" s="2">
        <f>IFERROR(__xludf.DUMMYFUNCTION("""COMPUTED_VALUE"""),6.0)</f>
        <v>6</v>
      </c>
      <c r="H2430" s="2" t="str">
        <f>IFERROR(__xludf.DUMMYFUNCTION("""COMPUTED_VALUE"""),"Jaun.")</f>
        <v>Jaun.</v>
      </c>
      <c r="I2430" s="2" t="str">
        <f>IFERROR(__xludf.DUMMYFUNCTION("""COMPUTED_VALUE"""),"Masonry")</f>
        <v>Masonry</v>
      </c>
      <c r="J2430" s="2" t="str">
        <f>IFERROR(__xludf.DUMMYFUNCTION("""COMPUTED_VALUE"""),"All amenities")</f>
        <v>All amenities</v>
      </c>
      <c r="K2430" s="2">
        <f>IFERROR(__xludf.DUMMYFUNCTION("""COMPUTED_VALUE"""),103500.0)</f>
        <v>103500</v>
      </c>
      <c r="L2430" s="2">
        <f>IFERROR(__xludf.DUMMYFUNCTION("""COMPUTED_VALUE"""),56.9832818)</f>
        <v>56.9832818</v>
      </c>
      <c r="M2430" s="2">
        <f>IFERROR(__xludf.DUMMYFUNCTION("""COMPUTED_VALUE"""),24.0298770515569)</f>
        <v>24.02987705</v>
      </c>
    </row>
    <row r="2431">
      <c r="A2431" s="2" t="str">
        <f>IFERROR(__xludf.DUMMYFUNCTION("""COMPUTED_VALUE"""),"For sale")</f>
        <v>For sale</v>
      </c>
      <c r="B2431" s="2" t="str">
        <f>IFERROR(__xludf.DUMMYFUNCTION("""COMPUTED_VALUE"""),"Voleri")</f>
        <v>Voleri</v>
      </c>
      <c r="C2431" s="2" t="str">
        <f>IFERROR(__xludf.DUMMYFUNCTION("""COMPUTED_VALUE"""),"Daugavgrīvas š. 1b")</f>
        <v>Daugavgrīvas š. 1b</v>
      </c>
      <c r="D2431" s="2">
        <f>IFERROR(__xludf.DUMMYFUNCTION("""COMPUTED_VALUE"""),2.0)</f>
        <v>2</v>
      </c>
      <c r="E2431" s="2">
        <f>IFERROR(__xludf.DUMMYFUNCTION("""COMPUTED_VALUE"""),38.0)</f>
        <v>38</v>
      </c>
      <c r="F2431" s="2">
        <f>IFERROR(__xludf.DUMMYFUNCTION("""COMPUTED_VALUE"""),2.0)</f>
        <v>2</v>
      </c>
      <c r="G2431" s="2">
        <f>IFERROR(__xludf.DUMMYFUNCTION("""COMPUTED_VALUE"""),2.0)</f>
        <v>2</v>
      </c>
      <c r="H2431" s="2" t="str">
        <f>IFERROR(__xludf.DUMMYFUNCTION("""COMPUTED_VALUE"""),"Specpr.")</f>
        <v>Specpr.</v>
      </c>
      <c r="I2431" s="2" t="str">
        <f>IFERROR(__xludf.DUMMYFUNCTION("""COMPUTED_VALUE"""),"Masonry")</f>
        <v>Masonry</v>
      </c>
      <c r="J2431" s="2" t="str">
        <f>IFERROR(__xludf.DUMMYFUNCTION("""COMPUTED_VALUE"""),"Partial amenities")</f>
        <v>Partial amenities</v>
      </c>
      <c r="K2431" s="2">
        <f>IFERROR(__xludf.DUMMYFUNCTION("""COMPUTED_VALUE"""),15600.0)</f>
        <v>15600</v>
      </c>
      <c r="L2431" s="2" t="str">
        <f>IFERROR(__xludf.DUMMYFUNCTION("""COMPUTED_VALUE"""),"NaN")</f>
        <v>NaN</v>
      </c>
      <c r="M2431" s="2" t="str">
        <f>IFERROR(__xludf.DUMMYFUNCTION("""COMPUTED_VALUE"""),"NaN")</f>
        <v>NaN</v>
      </c>
    </row>
    <row r="2432">
      <c r="A2432" s="2" t="str">
        <f>IFERROR(__xludf.DUMMYFUNCTION("""COMPUTED_VALUE"""),"For sale")</f>
        <v>For sale</v>
      </c>
      <c r="B2432" s="2" t="str">
        <f>IFERROR(__xludf.DUMMYFUNCTION("""COMPUTED_VALUE"""),"Katlakalns")</f>
        <v>Katlakalns</v>
      </c>
      <c r="C2432" s="2" t="str">
        <f>IFERROR(__xludf.DUMMYFUNCTION("""COMPUTED_VALUE"""),"Bauskas 187")</f>
        <v>Bauskas 187</v>
      </c>
      <c r="D2432" s="2">
        <f>IFERROR(__xludf.DUMMYFUNCTION("""COMPUTED_VALUE"""),2.0)</f>
        <v>2</v>
      </c>
      <c r="E2432" s="2">
        <f>IFERROR(__xludf.DUMMYFUNCTION("""COMPUTED_VALUE"""),57.0)</f>
        <v>57</v>
      </c>
      <c r="F2432" s="2">
        <f>IFERROR(__xludf.DUMMYFUNCTION("""COMPUTED_VALUE"""),9.0)</f>
        <v>9</v>
      </c>
      <c r="G2432" s="2">
        <f>IFERROR(__xludf.DUMMYFUNCTION("""COMPUTED_VALUE"""),9.0)</f>
        <v>9</v>
      </c>
      <c r="H2432" s="2" t="str">
        <f>IFERROR(__xludf.DUMMYFUNCTION("""COMPUTED_VALUE"""),"Specpr.")</f>
        <v>Specpr.</v>
      </c>
      <c r="I2432" s="2" t="str">
        <f>IFERROR(__xludf.DUMMYFUNCTION("""COMPUTED_VALUE"""),"Brick-Panel")</f>
        <v>Brick-Panel</v>
      </c>
      <c r="J2432" s="2" t="str">
        <f>IFERROR(__xludf.DUMMYFUNCTION("""COMPUTED_VALUE"""),"All amenities")</f>
        <v>All amenities</v>
      </c>
      <c r="K2432" s="2">
        <f>IFERROR(__xludf.DUMMYFUNCTION("""COMPUTED_VALUE"""),62000.0)</f>
        <v>62000</v>
      </c>
      <c r="L2432" s="2">
        <f>IFERROR(__xludf.DUMMYFUNCTION("""COMPUTED_VALUE"""),56.9141787)</f>
        <v>56.9141787</v>
      </c>
      <c r="M2432" s="2">
        <f>IFERROR(__xludf.DUMMYFUNCTION("""COMPUTED_VALUE"""),24.1217522)</f>
        <v>24.1217522</v>
      </c>
    </row>
    <row r="2433">
      <c r="A2433" s="2" t="str">
        <f>IFERROR(__xludf.DUMMYFUNCTION("""COMPUTED_VALUE"""),"For rent")</f>
        <v>For rent</v>
      </c>
      <c r="B2433" s="2" t="str">
        <f>IFERROR(__xludf.DUMMYFUNCTION("""COMPUTED_VALUE"""),"Vecāķi")</f>
        <v>Vecāķi</v>
      </c>
      <c r="C2433" s="2" t="str">
        <f>IFERROR(__xludf.DUMMYFUNCTION("""COMPUTED_VALUE"""),"Vecāķu pr. 191")</f>
        <v>Vecāķu pr. 191</v>
      </c>
      <c r="D2433" s="2">
        <f>IFERROR(__xludf.DUMMYFUNCTION("""COMPUTED_VALUE"""),2.0)</f>
        <v>2</v>
      </c>
      <c r="E2433" s="2">
        <f>IFERROR(__xludf.DUMMYFUNCTION("""COMPUTED_VALUE"""),294.0)</f>
        <v>294</v>
      </c>
      <c r="F2433" s="2">
        <f>IFERROR(__xludf.DUMMYFUNCTION("""COMPUTED_VALUE"""),4.0)</f>
        <v>4</v>
      </c>
      <c r="G2433" s="2">
        <f>IFERROR(__xludf.DUMMYFUNCTION("""COMPUTED_VALUE"""),4.0)</f>
        <v>4</v>
      </c>
      <c r="H2433" s="2" t="str">
        <f>IFERROR(__xludf.DUMMYFUNCTION("""COMPUTED_VALUE"""),"Specpr.")</f>
        <v>Specpr.</v>
      </c>
      <c r="I2433" s="2" t="str">
        <f>IFERROR(__xludf.DUMMYFUNCTION("""COMPUTED_VALUE"""),"Masonry")</f>
        <v>Masonry</v>
      </c>
      <c r="J2433" s="2" t="str">
        <f>IFERROR(__xludf.DUMMYFUNCTION("""COMPUTED_VALUE"""),"All amenities")</f>
        <v>All amenities</v>
      </c>
      <c r="K2433" s="2">
        <f>IFERROR(__xludf.DUMMYFUNCTION("""COMPUTED_VALUE"""),650.0)</f>
        <v>650</v>
      </c>
      <c r="L2433" s="2" t="str">
        <f>IFERROR(__xludf.DUMMYFUNCTION("""COMPUTED_VALUE"""),"NaN")</f>
        <v>NaN</v>
      </c>
      <c r="M2433" s="2" t="str">
        <f>IFERROR(__xludf.DUMMYFUNCTION("""COMPUTED_VALUE"""),"NaN")</f>
        <v>NaN</v>
      </c>
    </row>
    <row r="2434">
      <c r="A2434" s="2" t="str">
        <f>IFERROR(__xludf.DUMMYFUNCTION("""COMPUTED_VALUE"""),"For sale")</f>
        <v>For sale</v>
      </c>
      <c r="B2434" s="2" t="str">
        <f>IFERROR(__xludf.DUMMYFUNCTION("""COMPUTED_VALUE"""),"Katlakalns")</f>
        <v>Katlakalns</v>
      </c>
      <c r="C2434" s="2" t="str">
        <f>IFERROR(__xludf.DUMMYFUNCTION("""COMPUTED_VALUE"""),"Gulbju 1a")</f>
        <v>Gulbju 1a</v>
      </c>
      <c r="D2434" s="2">
        <f>IFERROR(__xludf.DUMMYFUNCTION("""COMPUTED_VALUE"""),1.0)</f>
        <v>1</v>
      </c>
      <c r="E2434" s="2">
        <f>IFERROR(__xludf.DUMMYFUNCTION("""COMPUTED_VALUE"""),12.0)</f>
        <v>12</v>
      </c>
      <c r="F2434" s="2">
        <f>IFERROR(__xludf.DUMMYFUNCTION("""COMPUTED_VALUE"""),1.0)</f>
        <v>1</v>
      </c>
      <c r="G2434" s="2">
        <f>IFERROR(__xludf.DUMMYFUNCTION("""COMPUTED_VALUE"""),2.0)</f>
        <v>2</v>
      </c>
      <c r="H2434" s="2" t="str">
        <f>IFERROR(__xludf.DUMMYFUNCTION("""COMPUTED_VALUE"""),"Specpr.")</f>
        <v>Specpr.</v>
      </c>
      <c r="I2434" s="2" t="str">
        <f>IFERROR(__xludf.DUMMYFUNCTION("""COMPUTED_VALUE"""),"Brick")</f>
        <v>Brick</v>
      </c>
      <c r="J2434" s="2" t="str">
        <f>IFERROR(__xludf.DUMMYFUNCTION("""COMPUTED_VALUE"""),"Partial amenities")</f>
        <v>Partial amenities</v>
      </c>
      <c r="K2434" s="2">
        <f>IFERROR(__xludf.DUMMYFUNCTION("""COMPUTED_VALUE"""),10110.0)</f>
        <v>10110</v>
      </c>
      <c r="L2434" s="2">
        <f>IFERROR(__xludf.DUMMYFUNCTION("""COMPUTED_VALUE"""),56.9114313)</f>
        <v>56.9114313</v>
      </c>
      <c r="M2434" s="2">
        <f>IFERROR(__xludf.DUMMYFUNCTION("""COMPUTED_VALUE"""),24.1399792)</f>
        <v>24.1399792</v>
      </c>
    </row>
    <row r="2435">
      <c r="A2435" s="2" t="str">
        <f>IFERROR(__xludf.DUMMYFUNCTION("""COMPUTED_VALUE"""),"For sale")</f>
        <v>For sale</v>
      </c>
      <c r="B2435" s="2" t="str">
        <f>IFERROR(__xludf.DUMMYFUNCTION("""COMPUTED_VALUE"""),"Kleisti")</f>
        <v>Kleisti</v>
      </c>
      <c r="C2435" s="2" t="str">
        <f>IFERROR(__xludf.DUMMYFUNCTION("""COMPUTED_VALUE"""),"Rātsupītes 3")</f>
        <v>Rātsupītes 3</v>
      </c>
      <c r="D2435" s="2">
        <f>IFERROR(__xludf.DUMMYFUNCTION("""COMPUTED_VALUE"""),2.0)</f>
        <v>2</v>
      </c>
      <c r="E2435" s="2">
        <f>IFERROR(__xludf.DUMMYFUNCTION("""COMPUTED_VALUE"""),68.0)</f>
        <v>68</v>
      </c>
      <c r="F2435" s="2">
        <f>IFERROR(__xludf.DUMMYFUNCTION("""COMPUTED_VALUE"""),5.0)</f>
        <v>5</v>
      </c>
      <c r="G2435" s="2">
        <f>IFERROR(__xludf.DUMMYFUNCTION("""COMPUTED_VALUE"""),6.0)</f>
        <v>6</v>
      </c>
      <c r="H2435" s="2" t="str">
        <f>IFERROR(__xludf.DUMMYFUNCTION("""COMPUTED_VALUE"""),"Jaun.")</f>
        <v>Jaun.</v>
      </c>
      <c r="I2435" s="2" t="str">
        <f>IFERROR(__xludf.DUMMYFUNCTION("""COMPUTED_VALUE"""),"Masonry")</f>
        <v>Masonry</v>
      </c>
      <c r="J2435" s="2" t="str">
        <f>IFERROR(__xludf.DUMMYFUNCTION("""COMPUTED_VALUE"""),"All amenities")</f>
        <v>All amenities</v>
      </c>
      <c r="K2435" s="2">
        <f>IFERROR(__xludf.DUMMYFUNCTION("""COMPUTED_VALUE"""),101500.0)</f>
        <v>101500</v>
      </c>
      <c r="L2435" s="2">
        <f>IFERROR(__xludf.DUMMYFUNCTION("""COMPUTED_VALUE"""),56.9832818)</f>
        <v>56.9832818</v>
      </c>
      <c r="M2435" s="2">
        <f>IFERROR(__xludf.DUMMYFUNCTION("""COMPUTED_VALUE"""),24.0298770515569)</f>
        <v>24.02987705</v>
      </c>
    </row>
    <row r="2436">
      <c r="A2436" s="2" t="str">
        <f>IFERROR(__xludf.DUMMYFUNCTION("""COMPUTED_VALUE"""),"For sale")</f>
        <v>For sale</v>
      </c>
      <c r="B2436" s="2" t="str">
        <f>IFERROR(__xludf.DUMMYFUNCTION("""COMPUTED_VALUE"""),"Brekši")</f>
        <v>Brekši</v>
      </c>
      <c r="C2436" s="2" t="str">
        <f>IFERROR(__xludf.DUMMYFUNCTION("""COMPUTED_VALUE"""),"Biķernieku 218")</f>
        <v>Biķernieku 218</v>
      </c>
      <c r="D2436" s="2">
        <f>IFERROR(__xludf.DUMMYFUNCTION("""COMPUTED_VALUE"""),3.0)</f>
        <v>3</v>
      </c>
      <c r="E2436" s="2">
        <f>IFERROR(__xludf.DUMMYFUNCTION("""COMPUTED_VALUE"""),66.0)</f>
        <v>66</v>
      </c>
      <c r="F2436" s="2">
        <f>IFERROR(__xludf.DUMMYFUNCTION("""COMPUTED_VALUE"""),2.0)</f>
        <v>2</v>
      </c>
      <c r="G2436" s="2">
        <f>IFERROR(__xludf.DUMMYFUNCTION("""COMPUTED_VALUE"""),5.0)</f>
        <v>5</v>
      </c>
      <c r="H2436" s="2">
        <f>IFERROR(__xludf.DUMMYFUNCTION("""COMPUTED_VALUE"""),103.0)</f>
        <v>103</v>
      </c>
      <c r="I2436" s="2" t="str">
        <f>IFERROR(__xludf.DUMMYFUNCTION("""COMPUTED_VALUE"""),"Brick-Panel")</f>
        <v>Brick-Panel</v>
      </c>
      <c r="J2436" s="2" t="str">
        <f>IFERROR(__xludf.DUMMYFUNCTION("""COMPUTED_VALUE"""),"All amenities")</f>
        <v>All amenities</v>
      </c>
      <c r="K2436" s="2">
        <f>IFERROR(__xludf.DUMMYFUNCTION("""COMPUTED_VALUE"""),45000.0)</f>
        <v>45000</v>
      </c>
      <c r="L2436" s="2">
        <f>IFERROR(__xludf.DUMMYFUNCTION("""COMPUTED_VALUE"""),56.95765645)</f>
        <v>56.95765645</v>
      </c>
      <c r="M2436" s="2">
        <f>IFERROR(__xludf.DUMMYFUNCTION("""COMPUTED_VALUE"""),24.2911644248424)</f>
        <v>24.29116442</v>
      </c>
    </row>
    <row r="2437">
      <c r="A2437" s="2" t="str">
        <f>IFERROR(__xludf.DUMMYFUNCTION("""COMPUTED_VALUE"""),"For sale")</f>
        <v>For sale</v>
      </c>
      <c r="B2437" s="2" t="str">
        <f>IFERROR(__xludf.DUMMYFUNCTION("""COMPUTED_VALUE"""),"Buļļi")</f>
        <v>Buļļi</v>
      </c>
      <c r="C2437" s="2" t="str">
        <f>IFERROR(__xludf.DUMMYFUNCTION("""COMPUTED_VALUE"""),"Vētras 8a")</f>
        <v>Vētras 8a</v>
      </c>
      <c r="D2437" s="2">
        <f>IFERROR(__xludf.DUMMYFUNCTION("""COMPUTED_VALUE"""),4.0)</f>
        <v>4</v>
      </c>
      <c r="E2437" s="2">
        <f>IFERROR(__xludf.DUMMYFUNCTION("""COMPUTED_VALUE"""),159.0)</f>
        <v>159</v>
      </c>
      <c r="F2437" s="2">
        <f>IFERROR(__xludf.DUMMYFUNCTION("""COMPUTED_VALUE"""),2.0)</f>
        <v>2</v>
      </c>
      <c r="G2437" s="2">
        <f>IFERROR(__xludf.DUMMYFUNCTION("""COMPUTED_VALUE"""),2.0)</f>
        <v>2</v>
      </c>
      <c r="H2437" s="2" t="str">
        <f>IFERROR(__xludf.DUMMYFUNCTION("""COMPUTED_VALUE"""),"P. kara")</f>
        <v>P. kara</v>
      </c>
      <c r="I2437" s="2" t="str">
        <f>IFERROR(__xludf.DUMMYFUNCTION("""COMPUTED_VALUE"""),"Wood")</f>
        <v>Wood</v>
      </c>
      <c r="J2437" s="2" t="str">
        <f>IFERROR(__xludf.DUMMYFUNCTION("""COMPUTED_VALUE"""),"All amenities")</f>
        <v>All amenities</v>
      </c>
      <c r="K2437" s="2">
        <f>IFERROR(__xludf.DUMMYFUNCTION("""COMPUTED_VALUE"""),98000.0)</f>
        <v>98000</v>
      </c>
      <c r="L2437" s="2">
        <f>IFERROR(__xludf.DUMMYFUNCTION("""COMPUTED_VALUE"""),57.0128169)</f>
        <v>57.0128169</v>
      </c>
      <c r="M2437" s="2">
        <f>IFERROR(__xludf.DUMMYFUNCTION("""COMPUTED_VALUE"""),23.9752968)</f>
        <v>23.9752968</v>
      </c>
    </row>
    <row r="2438">
      <c r="A2438" s="2" t="str">
        <f>IFERROR(__xludf.DUMMYFUNCTION("""COMPUTED_VALUE"""),"For sale")</f>
        <v>For sale</v>
      </c>
      <c r="B2438" s="2" t="str">
        <f>IFERROR(__xludf.DUMMYFUNCTION("""COMPUTED_VALUE"""),"Jaunmīlgrāvis")</f>
        <v>Jaunmīlgrāvis</v>
      </c>
      <c r="C2438" s="2" t="str">
        <f>IFERROR(__xludf.DUMMYFUNCTION("""COMPUTED_VALUE"""),"Lēdurgas 2/4")</f>
        <v>Lēdurgas 2/4</v>
      </c>
      <c r="D2438" s="2">
        <f>IFERROR(__xludf.DUMMYFUNCTION("""COMPUTED_VALUE"""),2.0)</f>
        <v>2</v>
      </c>
      <c r="E2438" s="2">
        <f>IFERROR(__xludf.DUMMYFUNCTION("""COMPUTED_VALUE"""),36.0)</f>
        <v>36</v>
      </c>
      <c r="F2438" s="2">
        <f>IFERROR(__xludf.DUMMYFUNCTION("""COMPUTED_VALUE"""),2.0)</f>
        <v>2</v>
      </c>
      <c r="G2438" s="2">
        <f>IFERROR(__xludf.DUMMYFUNCTION("""COMPUTED_VALUE"""),3.0)</f>
        <v>3</v>
      </c>
      <c r="H2438" s="2" t="str">
        <f>IFERROR(__xludf.DUMMYFUNCTION("""COMPUTED_VALUE"""),"P. kara")</f>
        <v>P. kara</v>
      </c>
      <c r="I2438" s="2" t="str">
        <f>IFERROR(__xludf.DUMMYFUNCTION("""COMPUTED_VALUE"""),"Masonry")</f>
        <v>Masonry</v>
      </c>
      <c r="J2438" s="2" t="str">
        <f>IFERROR(__xludf.DUMMYFUNCTION("""COMPUTED_VALUE"""),"Without amenities")</f>
        <v>Without amenities</v>
      </c>
      <c r="K2438" s="2">
        <f>IFERROR(__xludf.DUMMYFUNCTION("""COMPUTED_VALUE"""),12500.0)</f>
        <v>12500</v>
      </c>
      <c r="L2438" s="2">
        <f>IFERROR(__xludf.DUMMYFUNCTION("""COMPUTED_VALUE"""),57.0197401)</f>
        <v>57.0197401</v>
      </c>
      <c r="M2438" s="2">
        <f>IFERROR(__xludf.DUMMYFUNCTION("""COMPUTED_VALUE"""),24.1288213)</f>
        <v>24.1288213</v>
      </c>
    </row>
    <row r="2439">
      <c r="A2439" s="2" t="str">
        <f>IFERROR(__xludf.DUMMYFUNCTION("""COMPUTED_VALUE"""),"For sale")</f>
        <v>For sale</v>
      </c>
      <c r="B2439" s="2" t="str">
        <f>IFERROR(__xludf.DUMMYFUNCTION("""COMPUTED_VALUE"""),"Mangaļsala")</f>
        <v>Mangaļsala</v>
      </c>
      <c r="C2439" s="2" t="str">
        <f>IFERROR(__xludf.DUMMYFUNCTION("""COMPUTED_VALUE"""),"Traleru 3")</f>
        <v>Traleru 3</v>
      </c>
      <c r="D2439" s="2">
        <f>IFERROR(__xludf.DUMMYFUNCTION("""COMPUTED_VALUE"""),2.0)</f>
        <v>2</v>
      </c>
      <c r="E2439" s="2">
        <f>IFERROR(__xludf.DUMMYFUNCTION("""COMPUTED_VALUE"""),43.0)</f>
        <v>43</v>
      </c>
      <c r="F2439" s="2">
        <f>IFERROR(__xludf.DUMMYFUNCTION("""COMPUTED_VALUE"""),1.0)</f>
        <v>1</v>
      </c>
      <c r="G2439" s="2">
        <f>IFERROR(__xludf.DUMMYFUNCTION("""COMPUTED_VALUE"""),2.0)</f>
        <v>2</v>
      </c>
      <c r="H2439" s="2" t="str">
        <f>IFERROR(__xludf.DUMMYFUNCTION("""COMPUTED_VALUE"""),"Specpr.")</f>
        <v>Specpr.</v>
      </c>
      <c r="I2439" s="2" t="str">
        <f>IFERROR(__xludf.DUMMYFUNCTION("""COMPUTED_VALUE"""),"Brick")</f>
        <v>Brick</v>
      </c>
      <c r="J2439" s="2" t="str">
        <f>IFERROR(__xludf.DUMMYFUNCTION("""COMPUTED_VALUE"""),"Partial amenities")</f>
        <v>Partial amenities</v>
      </c>
      <c r="K2439" s="2">
        <f>IFERROR(__xludf.DUMMYFUNCTION("""COMPUTED_VALUE"""),17000.0)</f>
        <v>17000</v>
      </c>
      <c r="L2439" s="2">
        <f>IFERROR(__xludf.DUMMYFUNCTION("""COMPUTED_VALUE"""),57.0621312)</f>
        <v>57.0621312</v>
      </c>
      <c r="M2439" s="2">
        <f>IFERROR(__xludf.DUMMYFUNCTION("""COMPUTED_VALUE"""),24.0542515)</f>
        <v>24.0542515</v>
      </c>
    </row>
    <row r="2440">
      <c r="A2440" s="2" t="str">
        <f>IFERROR(__xludf.DUMMYFUNCTION("""COMPUTED_VALUE"""),"For sale")</f>
        <v>For sale</v>
      </c>
      <c r="B2440" s="2" t="str">
        <f>IFERROR(__xludf.DUMMYFUNCTION("""COMPUTED_VALUE"""),"Jaunmīlgrāvis")</f>
        <v>Jaunmīlgrāvis</v>
      </c>
      <c r="C2440" s="2" t="str">
        <f>IFERROR(__xludf.DUMMYFUNCTION("""COMPUTED_VALUE"""),"Ezera 5")</f>
        <v>Ezera 5</v>
      </c>
      <c r="D2440" s="2">
        <f>IFERROR(__xludf.DUMMYFUNCTION("""COMPUTED_VALUE"""),1.0)</f>
        <v>1</v>
      </c>
      <c r="E2440" s="2">
        <f>IFERROR(__xludf.DUMMYFUNCTION("""COMPUTED_VALUE"""),29.0)</f>
        <v>29</v>
      </c>
      <c r="F2440" s="2">
        <f>IFERROR(__xludf.DUMMYFUNCTION("""COMPUTED_VALUE"""),1.0)</f>
        <v>1</v>
      </c>
      <c r="G2440" s="2">
        <f>IFERROR(__xludf.DUMMYFUNCTION("""COMPUTED_VALUE"""),2.0)</f>
        <v>2</v>
      </c>
      <c r="H2440" s="2" t="str">
        <f>IFERROR(__xludf.DUMMYFUNCTION("""COMPUTED_VALUE"""),"P. kara")</f>
        <v>P. kara</v>
      </c>
      <c r="I2440" s="2" t="str">
        <f>IFERROR(__xludf.DUMMYFUNCTION("""COMPUTED_VALUE"""),"Wood")</f>
        <v>Wood</v>
      </c>
      <c r="J2440" s="2" t="str">
        <f>IFERROR(__xludf.DUMMYFUNCTION("""COMPUTED_VALUE"""),"All amenities")</f>
        <v>All amenities</v>
      </c>
      <c r="K2440" s="2">
        <f>IFERROR(__xludf.DUMMYFUNCTION("""COMPUTED_VALUE"""),12000.0)</f>
        <v>12000</v>
      </c>
      <c r="L2440" s="2">
        <f>IFERROR(__xludf.DUMMYFUNCTION("""COMPUTED_VALUE"""),57.01927645)</f>
        <v>57.01927645</v>
      </c>
      <c r="M2440" s="2">
        <f>IFERROR(__xludf.DUMMYFUNCTION("""COMPUTED_VALUE"""),24.127157633502)</f>
        <v>24.12715763</v>
      </c>
    </row>
    <row r="2441">
      <c r="A2441" s="2" t="str">
        <f>IFERROR(__xludf.DUMMYFUNCTION("""COMPUTED_VALUE"""),"For sale")</f>
        <v>For sale</v>
      </c>
      <c r="B2441" s="2" t="str">
        <f>IFERROR(__xludf.DUMMYFUNCTION("""COMPUTED_VALUE"""),"VEF")</f>
        <v>VEF</v>
      </c>
      <c r="C2441" s="2" t="str">
        <f>IFERROR(__xludf.DUMMYFUNCTION("""COMPUTED_VALUE"""),"Ieriķu 54")</f>
        <v>Ieriķu 54</v>
      </c>
      <c r="D2441" s="2">
        <f>IFERROR(__xludf.DUMMYFUNCTION("""COMPUTED_VALUE"""),2.0)</f>
        <v>2</v>
      </c>
      <c r="E2441" s="2">
        <f>IFERROR(__xludf.DUMMYFUNCTION("""COMPUTED_VALUE"""),60.0)</f>
        <v>60</v>
      </c>
      <c r="F2441" s="2">
        <f>IFERROR(__xludf.DUMMYFUNCTION("""COMPUTED_VALUE"""),1.0)</f>
        <v>1</v>
      </c>
      <c r="G2441" s="2">
        <f>IFERROR(__xludf.DUMMYFUNCTION("""COMPUTED_VALUE"""),2.0)</f>
        <v>2</v>
      </c>
      <c r="H2441" s="2" t="str">
        <f>IFERROR(__xludf.DUMMYFUNCTION("""COMPUTED_VALUE"""),"Staļina")</f>
        <v>Staļina</v>
      </c>
      <c r="I2441" s="2" t="str">
        <f>IFERROR(__xludf.DUMMYFUNCTION("""COMPUTED_VALUE"""),"Masonry")</f>
        <v>Masonry</v>
      </c>
      <c r="J2441" s="2" t="str">
        <f>IFERROR(__xludf.DUMMYFUNCTION("""COMPUTED_VALUE"""),"All amenities")</f>
        <v>All amenities</v>
      </c>
      <c r="K2441" s="2">
        <f>IFERROR(__xludf.DUMMYFUNCTION("""COMPUTED_VALUE"""),39999.0)</f>
        <v>39999</v>
      </c>
      <c r="L2441" s="2">
        <f>IFERROR(__xludf.DUMMYFUNCTION("""COMPUTED_VALUE"""),56.9653522)</f>
        <v>56.9653522</v>
      </c>
      <c r="M2441" s="2">
        <f>IFERROR(__xludf.DUMMYFUNCTION("""COMPUTED_VALUE"""),24.1647985)</f>
        <v>24.1647985</v>
      </c>
    </row>
    <row r="2442">
      <c r="A2442" s="2" t="str">
        <f>IFERROR(__xludf.DUMMYFUNCTION("""COMPUTED_VALUE"""),"For sale")</f>
        <v>For sale</v>
      </c>
      <c r="B2442" s="2" t="str">
        <f>IFERROR(__xludf.DUMMYFUNCTION("""COMPUTED_VALUE"""),"Mangaļsala")</f>
        <v>Mangaļsala</v>
      </c>
      <c r="C2442" s="2" t="str">
        <f>IFERROR(__xludf.DUMMYFUNCTION("""COMPUTED_VALUE"""),"Albatrosu 22")</f>
        <v>Albatrosu 22</v>
      </c>
      <c r="D2442" s="2">
        <f>IFERROR(__xludf.DUMMYFUNCTION("""COMPUTED_VALUE"""),1.0)</f>
        <v>1</v>
      </c>
      <c r="E2442" s="2">
        <f>IFERROR(__xludf.DUMMYFUNCTION("""COMPUTED_VALUE"""),34.0)</f>
        <v>34</v>
      </c>
      <c r="F2442" s="2">
        <f>IFERROR(__xludf.DUMMYFUNCTION("""COMPUTED_VALUE"""),4.0)</f>
        <v>4</v>
      </c>
      <c r="G2442" s="2">
        <f>IFERROR(__xludf.DUMMYFUNCTION("""COMPUTED_VALUE"""),5.0)</f>
        <v>5</v>
      </c>
      <c r="H2442" s="2" t="str">
        <f>IFERROR(__xludf.DUMMYFUNCTION("""COMPUTED_VALUE"""),"Specpr.")</f>
        <v>Specpr.</v>
      </c>
      <c r="I2442" s="2" t="str">
        <f>IFERROR(__xludf.DUMMYFUNCTION("""COMPUTED_VALUE"""),"Brick-Panel")</f>
        <v>Brick-Panel</v>
      </c>
      <c r="J2442" s="2" t="str">
        <f>IFERROR(__xludf.DUMMYFUNCTION("""COMPUTED_VALUE"""),"All amenities")</f>
        <v>All amenities</v>
      </c>
      <c r="K2442" s="2">
        <f>IFERROR(__xludf.DUMMYFUNCTION("""COMPUTED_VALUE"""),26000.0)</f>
        <v>26000</v>
      </c>
      <c r="L2442" s="2">
        <f>IFERROR(__xludf.DUMMYFUNCTION("""COMPUTED_VALUE"""),57.0520138)</f>
        <v>57.0520138</v>
      </c>
      <c r="M2442" s="2">
        <f>IFERROR(__xludf.DUMMYFUNCTION("""COMPUTED_VALUE"""),24.0678711)</f>
        <v>24.0678711</v>
      </c>
    </row>
    <row r="2443">
      <c r="A2443" s="2" t="str">
        <f>IFERROR(__xludf.DUMMYFUNCTION("""COMPUTED_VALUE"""),"For sale")</f>
        <v>For sale</v>
      </c>
      <c r="B2443" s="2" t="str">
        <f>IFERROR(__xludf.DUMMYFUNCTION("""COMPUTED_VALUE"""),"Bukulti")</f>
        <v>Bukulti</v>
      </c>
      <c r="C2443" s="2" t="str">
        <f>IFERROR(__xludf.DUMMYFUNCTION("""COMPUTED_VALUE"""),"Ādažu 11")</f>
        <v>Ādažu 11</v>
      </c>
      <c r="D2443" s="2">
        <f>IFERROR(__xludf.DUMMYFUNCTION("""COMPUTED_VALUE"""),4.0)</f>
        <v>4</v>
      </c>
      <c r="E2443" s="2">
        <f>IFERROR(__xludf.DUMMYFUNCTION("""COMPUTED_VALUE"""),158.0)</f>
        <v>158</v>
      </c>
      <c r="F2443" s="2">
        <f>IFERROR(__xludf.DUMMYFUNCTION("""COMPUTED_VALUE"""),2.0)</f>
        <v>2</v>
      </c>
      <c r="G2443" s="2">
        <f>IFERROR(__xludf.DUMMYFUNCTION("""COMPUTED_VALUE"""),3.0)</f>
        <v>3</v>
      </c>
      <c r="H2443" s="2" t="str">
        <f>IFERROR(__xludf.DUMMYFUNCTION("""COMPUTED_VALUE"""),"Jaun.")</f>
        <v>Jaun.</v>
      </c>
      <c r="I2443" s="2" t="str">
        <f>IFERROR(__xludf.DUMMYFUNCTION("""COMPUTED_VALUE"""),"Brick-Panel")</f>
        <v>Brick-Panel</v>
      </c>
      <c r="J2443" s="2" t="str">
        <f>IFERROR(__xludf.DUMMYFUNCTION("""COMPUTED_VALUE"""),"All amenities")</f>
        <v>All amenities</v>
      </c>
      <c r="K2443" s="2">
        <f>IFERROR(__xludf.DUMMYFUNCTION("""COMPUTED_VALUE"""),199000.0)</f>
        <v>199000</v>
      </c>
      <c r="L2443" s="2">
        <f>IFERROR(__xludf.DUMMYFUNCTION("""COMPUTED_VALUE"""),57.0212347)</f>
        <v>57.0212347</v>
      </c>
      <c r="M2443" s="2">
        <f>IFERROR(__xludf.DUMMYFUNCTION("""COMPUTED_VALUE"""),24.129702)</f>
        <v>24.129702</v>
      </c>
    </row>
    <row r="2444">
      <c r="A2444" s="2" t="str">
        <f>IFERROR(__xludf.DUMMYFUNCTION("""COMPUTED_VALUE"""),"For sale")</f>
        <v>For sale</v>
      </c>
      <c r="B2444" s="2" t="str">
        <f>IFERROR(__xludf.DUMMYFUNCTION("""COMPUTED_VALUE"""),"Ķengarags")</f>
        <v>Ķengarags</v>
      </c>
      <c r="C2444" s="2" t="str">
        <f>IFERROR(__xludf.DUMMYFUNCTION("""COMPUTED_VALUE"""),"Ķengaraga 7")</f>
        <v>Ķengaraga 7</v>
      </c>
      <c r="D2444" s="2">
        <f>IFERROR(__xludf.DUMMYFUNCTION("""COMPUTED_VALUE"""),2.0)</f>
        <v>2</v>
      </c>
      <c r="E2444" s="2">
        <f>IFERROR(__xludf.DUMMYFUNCTION("""COMPUTED_VALUE"""),38.0)</f>
        <v>38</v>
      </c>
      <c r="F2444" s="2">
        <f>IFERROR(__xludf.DUMMYFUNCTION("""COMPUTED_VALUE"""),2.0)</f>
        <v>2</v>
      </c>
      <c r="G2444" s="2">
        <f>IFERROR(__xludf.DUMMYFUNCTION("""COMPUTED_VALUE"""),5.0)</f>
        <v>5</v>
      </c>
      <c r="H2444" s="2" t="str">
        <f>IFERROR(__xludf.DUMMYFUNCTION("""COMPUTED_VALUE"""),"LT proj.")</f>
        <v>LT proj.</v>
      </c>
      <c r="I2444" s="2" t="str">
        <f>IFERROR(__xludf.DUMMYFUNCTION("""COMPUTED_VALUE"""),"Panel")</f>
        <v>Panel</v>
      </c>
      <c r="J2444" s="2" t="str">
        <f>IFERROR(__xludf.DUMMYFUNCTION("""COMPUTED_VALUE"""),"All amenities")</f>
        <v>All amenities</v>
      </c>
      <c r="K2444" s="2">
        <f>IFERROR(__xludf.DUMMYFUNCTION("""COMPUTED_VALUE"""),28900.0)</f>
        <v>28900</v>
      </c>
      <c r="L2444" s="2">
        <f>IFERROR(__xludf.DUMMYFUNCTION("""COMPUTED_VALUE"""),56.91540985)</f>
        <v>56.91540985</v>
      </c>
      <c r="M2444" s="2">
        <f>IFERROR(__xludf.DUMMYFUNCTION("""COMPUTED_VALUE"""),24.1694183999999)</f>
        <v>24.1694184</v>
      </c>
    </row>
    <row r="2445">
      <c r="A2445" s="2" t="str">
        <f>IFERROR(__xludf.DUMMYFUNCTION("""COMPUTED_VALUE"""),"For rent")</f>
        <v>For rent</v>
      </c>
      <c r="B2445" s="2" t="str">
        <f>IFERROR(__xludf.DUMMYFUNCTION("""COMPUTED_VALUE"""),"centrs")</f>
        <v>centrs</v>
      </c>
      <c r="C2445" s="2" t="str">
        <f>IFERROR(__xludf.DUMMYFUNCTION("""COMPUTED_VALUE"""),"Lāčplēša 96")</f>
        <v>Lāčplēša 96</v>
      </c>
      <c r="D2445" s="2">
        <f>IFERROR(__xludf.DUMMYFUNCTION("""COMPUTED_VALUE"""),1.0)</f>
        <v>1</v>
      </c>
      <c r="E2445" s="2">
        <f>IFERROR(__xludf.DUMMYFUNCTION("""COMPUTED_VALUE"""),16.0)</f>
        <v>16</v>
      </c>
      <c r="F2445" s="2">
        <f>IFERROR(__xludf.DUMMYFUNCTION("""COMPUTED_VALUE"""),1.0)</f>
        <v>1</v>
      </c>
      <c r="G2445" s="2">
        <f>IFERROR(__xludf.DUMMYFUNCTION("""COMPUTED_VALUE"""),5.0)</f>
        <v>5</v>
      </c>
      <c r="H2445" s="2" t="str">
        <f>IFERROR(__xludf.DUMMYFUNCTION("""COMPUTED_VALUE"""),"Renov.")</f>
        <v>Renov.</v>
      </c>
      <c r="I2445" s="2" t="str">
        <f>IFERROR(__xludf.DUMMYFUNCTION("""COMPUTED_VALUE"""),"Brick")</f>
        <v>Brick</v>
      </c>
      <c r="J2445" s="2" t="str">
        <f>IFERROR(__xludf.DUMMYFUNCTION("""COMPUTED_VALUE"""),"All amenities")</f>
        <v>All amenities</v>
      </c>
      <c r="K2445" s="2">
        <f>IFERROR(__xludf.DUMMYFUNCTION("""COMPUTED_VALUE"""),19.0)</f>
        <v>19</v>
      </c>
      <c r="L2445" s="2">
        <f>IFERROR(__xludf.DUMMYFUNCTION("""COMPUTED_VALUE"""),56.94468895)</f>
        <v>56.94468895</v>
      </c>
      <c r="M2445" s="2">
        <f>IFERROR(__xludf.DUMMYFUNCTION("""COMPUTED_VALUE"""),24.1327201596803)</f>
        <v>24.13272016</v>
      </c>
    </row>
    <row r="2446">
      <c r="A2446" s="2" t="str">
        <f>IFERROR(__xludf.DUMMYFUNCTION("""COMPUTED_VALUE"""),"For sale")</f>
        <v>For sale</v>
      </c>
      <c r="B2446" s="2" t="str">
        <f>IFERROR(__xludf.DUMMYFUNCTION("""COMPUTED_VALUE"""),"Āgenskalns")</f>
        <v>Āgenskalns</v>
      </c>
      <c r="C2446" s="2" t="str">
        <f>IFERROR(__xludf.DUMMYFUNCTION("""COMPUTED_VALUE"""),"Mūkusalas 9")</f>
        <v>Mūkusalas 9</v>
      </c>
      <c r="D2446" s="2">
        <f>IFERROR(__xludf.DUMMYFUNCTION("""COMPUTED_VALUE"""),2.0)</f>
        <v>2</v>
      </c>
      <c r="E2446" s="2">
        <f>IFERROR(__xludf.DUMMYFUNCTION("""COMPUTED_VALUE"""),28.0)</f>
        <v>28</v>
      </c>
      <c r="F2446" s="2">
        <f>IFERROR(__xludf.DUMMYFUNCTION("""COMPUTED_VALUE"""),2.0)</f>
        <v>2</v>
      </c>
      <c r="G2446" s="2">
        <f>IFERROR(__xludf.DUMMYFUNCTION("""COMPUTED_VALUE"""),2.0)</f>
        <v>2</v>
      </c>
      <c r="H2446" s="2" t="str">
        <f>IFERROR(__xludf.DUMMYFUNCTION("""COMPUTED_VALUE"""),"P. kara")</f>
        <v>P. kara</v>
      </c>
      <c r="I2446" s="2" t="str">
        <f>IFERROR(__xludf.DUMMYFUNCTION("""COMPUTED_VALUE"""),"Wood")</f>
        <v>Wood</v>
      </c>
      <c r="J2446" s="2" t="str">
        <f>IFERROR(__xludf.DUMMYFUNCTION("""COMPUTED_VALUE"""),"All amenities")</f>
        <v>All amenities</v>
      </c>
      <c r="K2446" s="2">
        <f>IFERROR(__xludf.DUMMYFUNCTION("""COMPUTED_VALUE"""),10500.0)</f>
        <v>10500</v>
      </c>
      <c r="L2446" s="2">
        <f>IFERROR(__xludf.DUMMYFUNCTION("""COMPUTED_VALUE"""),56.9386094)</f>
        <v>56.9386094</v>
      </c>
      <c r="M2446" s="2">
        <f>IFERROR(__xludf.DUMMYFUNCTION("""COMPUTED_VALUE"""),24.0996305837371)</f>
        <v>24.09963058</v>
      </c>
    </row>
    <row r="2447">
      <c r="A2447" s="2" t="str">
        <f>IFERROR(__xludf.DUMMYFUNCTION("""COMPUTED_VALUE"""),"For sale")</f>
        <v>For sale</v>
      </c>
      <c r="B2447" s="2" t="str">
        <f>IFERROR(__xludf.DUMMYFUNCTION("""COMPUTED_VALUE"""),"Bolderāja")</f>
        <v>Bolderāja</v>
      </c>
      <c r="C2447" s="2" t="str">
        <f>IFERROR(__xludf.DUMMYFUNCTION("""COMPUTED_VALUE"""),"Miglas 11a")</f>
        <v>Miglas 11a</v>
      </c>
      <c r="D2447" s="2">
        <f>IFERROR(__xludf.DUMMYFUNCTION("""COMPUTED_VALUE"""),1.0)</f>
        <v>1</v>
      </c>
      <c r="E2447" s="2">
        <f>IFERROR(__xludf.DUMMYFUNCTION("""COMPUTED_VALUE"""),29.0)</f>
        <v>29</v>
      </c>
      <c r="F2447" s="2">
        <f>IFERROR(__xludf.DUMMYFUNCTION("""COMPUTED_VALUE"""),1.0)</f>
        <v>1</v>
      </c>
      <c r="G2447" s="2">
        <f>IFERROR(__xludf.DUMMYFUNCTION("""COMPUTED_VALUE"""),2.0)</f>
        <v>2</v>
      </c>
      <c r="H2447" s="2" t="str">
        <f>IFERROR(__xludf.DUMMYFUNCTION("""COMPUTED_VALUE"""),"Priv. m.")</f>
        <v>Priv. m.</v>
      </c>
      <c r="I2447" s="2" t="str">
        <f>IFERROR(__xludf.DUMMYFUNCTION("""COMPUTED_VALUE"""),"Wood")</f>
        <v>Wood</v>
      </c>
      <c r="J2447" s="2" t="str">
        <f>IFERROR(__xludf.DUMMYFUNCTION("""COMPUTED_VALUE"""),"Without amenities")</f>
        <v>Without amenities</v>
      </c>
      <c r="K2447" s="2">
        <f>IFERROR(__xludf.DUMMYFUNCTION("""COMPUTED_VALUE"""),10000.0)</f>
        <v>10000</v>
      </c>
      <c r="L2447" s="2">
        <f>IFERROR(__xludf.DUMMYFUNCTION("""COMPUTED_VALUE"""),57.0368101)</f>
        <v>57.0368101</v>
      </c>
      <c r="M2447" s="2">
        <f>IFERROR(__xludf.DUMMYFUNCTION("""COMPUTED_VALUE"""),24.0454551)</f>
        <v>24.0454551</v>
      </c>
    </row>
    <row r="2448">
      <c r="A2448" s="2" t="str">
        <f>IFERROR(__xludf.DUMMYFUNCTION("""COMPUTED_VALUE"""),"For sale")</f>
        <v>For sale</v>
      </c>
      <c r="B2448" s="2" t="str">
        <f>IFERROR(__xludf.DUMMYFUNCTION("""COMPUTED_VALUE"""),"Ziepniekkalns")</f>
        <v>Ziepniekkalns</v>
      </c>
      <c r="C2448" s="2" t="str">
        <f>IFERROR(__xludf.DUMMYFUNCTION("""COMPUTED_VALUE"""),"Bauskas 55")</f>
        <v>Bauskas 55</v>
      </c>
      <c r="D2448" s="2">
        <f>IFERROR(__xludf.DUMMYFUNCTION("""COMPUTED_VALUE"""),2.0)</f>
        <v>2</v>
      </c>
      <c r="E2448" s="2">
        <f>IFERROR(__xludf.DUMMYFUNCTION("""COMPUTED_VALUE"""),41.0)</f>
        <v>41</v>
      </c>
      <c r="F2448" s="2">
        <f>IFERROR(__xludf.DUMMYFUNCTION("""COMPUTED_VALUE"""),1.0)</f>
        <v>1</v>
      </c>
      <c r="G2448" s="2">
        <f>IFERROR(__xludf.DUMMYFUNCTION("""COMPUTED_VALUE"""),4.0)</f>
        <v>4</v>
      </c>
      <c r="H2448" s="2" t="str">
        <f>IFERROR(__xludf.DUMMYFUNCTION("""COMPUTED_VALUE"""),"Hrušč.")</f>
        <v>Hrušč.</v>
      </c>
      <c r="I2448" s="2" t="str">
        <f>IFERROR(__xludf.DUMMYFUNCTION("""COMPUTED_VALUE"""),"Brick")</f>
        <v>Brick</v>
      </c>
      <c r="J2448" s="2" t="str">
        <f>IFERROR(__xludf.DUMMYFUNCTION("""COMPUTED_VALUE"""),"All amenities")</f>
        <v>All amenities</v>
      </c>
      <c r="K2448" s="2">
        <f>IFERROR(__xludf.DUMMYFUNCTION("""COMPUTED_VALUE"""),55000.0)</f>
        <v>55000</v>
      </c>
      <c r="L2448" s="2">
        <f>IFERROR(__xludf.DUMMYFUNCTION("""COMPUTED_VALUE"""),56.91740615)</f>
        <v>56.91740615</v>
      </c>
      <c r="M2448" s="2">
        <f>IFERROR(__xludf.DUMMYFUNCTION("""COMPUTED_VALUE"""),24.1039282)</f>
        <v>24.1039282</v>
      </c>
    </row>
    <row r="2449">
      <c r="A2449" s="2" t="str">
        <f>IFERROR(__xludf.DUMMYFUNCTION("""COMPUTED_VALUE"""),"For rent")</f>
        <v>For rent</v>
      </c>
      <c r="B2449" s="2" t="str">
        <f>IFERROR(__xludf.DUMMYFUNCTION("""COMPUTED_VALUE"""),"Āgenskalns")</f>
        <v>Āgenskalns</v>
      </c>
      <c r="C2449" s="2" t="str">
        <f>IFERROR(__xludf.DUMMYFUNCTION("""COMPUTED_VALUE"""),"M. Nometņu 5")</f>
        <v>M. Nometņu 5</v>
      </c>
      <c r="D2449" s="2">
        <f>IFERROR(__xludf.DUMMYFUNCTION("""COMPUTED_VALUE"""),1.0)</f>
        <v>1</v>
      </c>
      <c r="E2449" s="2">
        <f>IFERROR(__xludf.DUMMYFUNCTION("""COMPUTED_VALUE"""),38.0)</f>
        <v>38</v>
      </c>
      <c r="F2449" s="2">
        <f>IFERROR(__xludf.DUMMYFUNCTION("""COMPUTED_VALUE"""),2.0)</f>
        <v>2</v>
      </c>
      <c r="G2449" s="2">
        <f>IFERROR(__xludf.DUMMYFUNCTION("""COMPUTED_VALUE"""),5.0)</f>
        <v>5</v>
      </c>
      <c r="H2449" s="2" t="str">
        <f>IFERROR(__xludf.DUMMYFUNCTION("""COMPUTED_VALUE"""),"P. kara")</f>
        <v>P. kara</v>
      </c>
      <c r="I2449" s="2" t="str">
        <f>IFERROR(__xludf.DUMMYFUNCTION("""COMPUTED_VALUE"""),"Masonry")</f>
        <v>Masonry</v>
      </c>
      <c r="J2449" s="2" t="str">
        <f>IFERROR(__xludf.DUMMYFUNCTION("""COMPUTED_VALUE"""),"Partial amenities")</f>
        <v>Partial amenities</v>
      </c>
      <c r="K2449" s="2">
        <f>IFERROR(__xludf.DUMMYFUNCTION("""COMPUTED_VALUE"""),240.0)</f>
        <v>240</v>
      </c>
      <c r="L2449" s="2">
        <f>IFERROR(__xludf.DUMMYFUNCTION("""COMPUTED_VALUE"""),56.9437505)</f>
        <v>56.9437505</v>
      </c>
      <c r="M2449" s="2">
        <f>IFERROR(__xludf.DUMMYFUNCTION("""COMPUTED_VALUE"""),24.078654)</f>
        <v>24.078654</v>
      </c>
    </row>
    <row r="2450">
      <c r="A2450" s="2" t="str">
        <f>IFERROR(__xludf.DUMMYFUNCTION("""COMPUTED_VALUE"""),"For sale")</f>
        <v>For sale</v>
      </c>
      <c r="B2450" s="2" t="str">
        <f>IFERROR(__xludf.DUMMYFUNCTION("""COMPUTED_VALUE"""),"Zolitūde")</f>
        <v>Zolitūde</v>
      </c>
      <c r="C2450" s="2" t="str">
        <f>IFERROR(__xludf.DUMMYFUNCTION("""COMPUTED_VALUE"""),"Anniņmuižas 2")</f>
        <v>Anniņmuižas 2</v>
      </c>
      <c r="D2450" s="2">
        <f>IFERROR(__xludf.DUMMYFUNCTION("""COMPUTED_VALUE"""),3.0)</f>
        <v>3</v>
      </c>
      <c r="E2450" s="2">
        <f>IFERROR(__xludf.DUMMYFUNCTION("""COMPUTED_VALUE"""),75.0)</f>
        <v>75</v>
      </c>
      <c r="F2450" s="2">
        <f>IFERROR(__xludf.DUMMYFUNCTION("""COMPUTED_VALUE"""),7.0)</f>
        <v>7</v>
      </c>
      <c r="G2450" s="2">
        <f>IFERROR(__xludf.DUMMYFUNCTION("""COMPUTED_VALUE"""),16.0)</f>
        <v>16</v>
      </c>
      <c r="H2450" s="2">
        <f>IFERROR(__xludf.DUMMYFUNCTION("""COMPUTED_VALUE"""),104.0)</f>
        <v>104</v>
      </c>
      <c r="I2450" s="2" t="str">
        <f>IFERROR(__xludf.DUMMYFUNCTION("""COMPUTED_VALUE"""),"Panel")</f>
        <v>Panel</v>
      </c>
      <c r="J2450" s="2" t="str">
        <f>IFERROR(__xludf.DUMMYFUNCTION("""COMPUTED_VALUE"""),"All amenities")</f>
        <v>All amenities</v>
      </c>
      <c r="K2450" s="2">
        <f>IFERROR(__xludf.DUMMYFUNCTION("""COMPUTED_VALUE"""),71500.0)</f>
        <v>71500</v>
      </c>
      <c r="L2450" s="2">
        <f>IFERROR(__xludf.DUMMYFUNCTION("""COMPUTED_VALUE"""),56.9472774)</f>
        <v>56.9472774</v>
      </c>
      <c r="M2450" s="2">
        <f>IFERROR(__xludf.DUMMYFUNCTION("""COMPUTED_VALUE"""),24.0094508)</f>
        <v>24.0094508</v>
      </c>
    </row>
    <row r="2451">
      <c r="A2451" s="2" t="str">
        <f>IFERROR(__xludf.DUMMYFUNCTION("""COMPUTED_VALUE"""),"For sale")</f>
        <v>For sale</v>
      </c>
      <c r="B2451" s="2" t="str">
        <f>IFERROR(__xludf.DUMMYFUNCTION("""COMPUTED_VALUE"""),"centrs")</f>
        <v>centrs</v>
      </c>
      <c r="C2451" s="2" t="str">
        <f>IFERROR(__xludf.DUMMYFUNCTION("""COMPUTED_VALUE"""),"Kazarmu 7")</f>
        <v>Kazarmu 7</v>
      </c>
      <c r="D2451" s="2">
        <f>IFERROR(__xludf.DUMMYFUNCTION("""COMPUTED_VALUE"""),3.0)</f>
        <v>3</v>
      </c>
      <c r="E2451" s="2">
        <f>IFERROR(__xludf.DUMMYFUNCTION("""COMPUTED_VALUE"""),79.0)</f>
        <v>79</v>
      </c>
      <c r="F2451" s="2">
        <f>IFERROR(__xludf.DUMMYFUNCTION("""COMPUTED_VALUE"""),1.0)</f>
        <v>1</v>
      </c>
      <c r="G2451" s="2">
        <f>IFERROR(__xludf.DUMMYFUNCTION("""COMPUTED_VALUE"""),4.0)</f>
        <v>4</v>
      </c>
      <c r="H2451" s="2" t="str">
        <f>IFERROR(__xludf.DUMMYFUNCTION("""COMPUTED_VALUE"""),"P. kara")</f>
        <v>P. kara</v>
      </c>
      <c r="I2451" s="2" t="str">
        <f>IFERROR(__xludf.DUMMYFUNCTION("""COMPUTED_VALUE"""),"Brick")</f>
        <v>Brick</v>
      </c>
      <c r="J2451" s="2" t="str">
        <f>IFERROR(__xludf.DUMMYFUNCTION("""COMPUTED_VALUE"""),"All amenities")</f>
        <v>All amenities</v>
      </c>
      <c r="K2451" s="2">
        <f>IFERROR(__xludf.DUMMYFUNCTION("""COMPUTED_VALUE"""),69000.0)</f>
        <v>69000</v>
      </c>
      <c r="L2451" s="2">
        <f>IFERROR(__xludf.DUMMYFUNCTION("""COMPUTED_VALUE"""),56.9735033)</f>
        <v>56.9735033</v>
      </c>
      <c r="M2451" s="2">
        <f>IFERROR(__xludf.DUMMYFUNCTION("""COMPUTED_VALUE"""),24.1407662)</f>
        <v>24.1407662</v>
      </c>
    </row>
    <row r="2452">
      <c r="A2452" s="2" t="str">
        <f>IFERROR(__xludf.DUMMYFUNCTION("""COMPUTED_VALUE"""),"For rent")</f>
        <v>For rent</v>
      </c>
      <c r="B2452" s="2" t="str">
        <f>IFERROR(__xludf.DUMMYFUNCTION("""COMPUTED_VALUE"""),"Torņakalns")</f>
        <v>Torņakalns</v>
      </c>
      <c r="C2452" s="2" t="str">
        <f>IFERROR(__xludf.DUMMYFUNCTION("""COMPUTED_VALUE"""),"Jelgavas 63")</f>
        <v>Jelgavas 63</v>
      </c>
      <c r="D2452" s="2">
        <f>IFERROR(__xludf.DUMMYFUNCTION("""COMPUTED_VALUE"""),4.0)</f>
        <v>4</v>
      </c>
      <c r="E2452" s="2">
        <f>IFERROR(__xludf.DUMMYFUNCTION("""COMPUTED_VALUE"""),170.0)</f>
        <v>170</v>
      </c>
      <c r="F2452" s="2">
        <f>IFERROR(__xludf.DUMMYFUNCTION("""COMPUTED_VALUE"""),6.0)</f>
        <v>6</v>
      </c>
      <c r="G2452" s="2">
        <f>IFERROR(__xludf.DUMMYFUNCTION("""COMPUTED_VALUE"""),7.0)</f>
        <v>7</v>
      </c>
      <c r="H2452" s="2" t="str">
        <f>IFERROR(__xludf.DUMMYFUNCTION("""COMPUTED_VALUE"""),"Jaun.")</f>
        <v>Jaun.</v>
      </c>
      <c r="I2452" s="2" t="str">
        <f>IFERROR(__xludf.DUMMYFUNCTION("""COMPUTED_VALUE"""),"Panel")</f>
        <v>Panel</v>
      </c>
      <c r="J2452" s="2" t="str">
        <f>IFERROR(__xludf.DUMMYFUNCTION("""COMPUTED_VALUE"""),"All amenities")</f>
        <v>All amenities</v>
      </c>
      <c r="K2452" s="2">
        <f>IFERROR(__xludf.DUMMYFUNCTION("""COMPUTED_VALUE"""),1000.0)</f>
        <v>1000</v>
      </c>
      <c r="L2452" s="2">
        <f>IFERROR(__xludf.DUMMYFUNCTION("""COMPUTED_VALUE"""),56.9273343)</f>
        <v>56.9273343</v>
      </c>
      <c r="M2452" s="2">
        <f>IFERROR(__xludf.DUMMYFUNCTION("""COMPUTED_VALUE"""),24.0927797020755)</f>
        <v>24.0927797</v>
      </c>
    </row>
    <row r="2453">
      <c r="A2453" s="2" t="str">
        <f>IFERROR(__xludf.DUMMYFUNCTION("""COMPUTED_VALUE"""),"For rent")</f>
        <v>For rent</v>
      </c>
      <c r="B2453" s="2" t="str">
        <f>IFERROR(__xludf.DUMMYFUNCTION("""COMPUTED_VALUE"""),"Dārzciems")</f>
        <v>Dārzciems</v>
      </c>
      <c r="C2453" s="2" t="str">
        <f>IFERROR(__xludf.DUMMYFUNCTION("""COMPUTED_VALUE"""),"Zeltiņu 3")</f>
        <v>Zeltiņu 3</v>
      </c>
      <c r="D2453" s="2">
        <f>IFERROR(__xludf.DUMMYFUNCTION("""COMPUTED_VALUE"""),3.0)</f>
        <v>3</v>
      </c>
      <c r="E2453" s="2">
        <f>IFERROR(__xludf.DUMMYFUNCTION("""COMPUTED_VALUE"""),62.0)</f>
        <v>62</v>
      </c>
      <c r="F2453" s="2">
        <f>IFERROR(__xludf.DUMMYFUNCTION("""COMPUTED_VALUE"""),4.0)</f>
        <v>4</v>
      </c>
      <c r="G2453" s="2">
        <f>IFERROR(__xludf.DUMMYFUNCTION("""COMPUTED_VALUE"""),9.0)</f>
        <v>9</v>
      </c>
      <c r="H2453" s="2">
        <f>IFERROR(__xludf.DUMMYFUNCTION("""COMPUTED_VALUE"""),602.0)</f>
        <v>602</v>
      </c>
      <c r="I2453" s="2" t="str">
        <f>IFERROR(__xludf.DUMMYFUNCTION("""COMPUTED_VALUE"""),"Panel")</f>
        <v>Panel</v>
      </c>
      <c r="J2453" s="2" t="str">
        <f>IFERROR(__xludf.DUMMYFUNCTION("""COMPUTED_VALUE"""),"All amenities")</f>
        <v>All amenities</v>
      </c>
      <c r="K2453" s="2">
        <f>IFERROR(__xludf.DUMMYFUNCTION("""COMPUTED_VALUE"""),550.0)</f>
        <v>550</v>
      </c>
      <c r="L2453" s="2">
        <f>IFERROR(__xludf.DUMMYFUNCTION("""COMPUTED_VALUE"""),56.94830925)</f>
        <v>56.94830925</v>
      </c>
      <c r="M2453" s="2">
        <f>IFERROR(__xludf.DUMMYFUNCTION("""COMPUTED_VALUE"""),24.1654682750602)</f>
        <v>24.16546828</v>
      </c>
    </row>
    <row r="2454">
      <c r="A2454" s="2" t="str">
        <f>IFERROR(__xludf.DUMMYFUNCTION("""COMPUTED_VALUE"""),"For sale")</f>
        <v>For sale</v>
      </c>
      <c r="B2454" s="2" t="str">
        <f>IFERROR(__xludf.DUMMYFUNCTION("""COMPUTED_VALUE"""),"Imanta")</f>
        <v>Imanta</v>
      </c>
      <c r="C2454" s="2" t="str">
        <f>IFERROR(__xludf.DUMMYFUNCTION("""COMPUTED_VALUE"""),"Akāciju 2d")</f>
        <v>Akāciju 2d</v>
      </c>
      <c r="D2454" s="2">
        <f>IFERROR(__xludf.DUMMYFUNCTION("""COMPUTED_VALUE"""),2.0)</f>
        <v>2</v>
      </c>
      <c r="E2454" s="2">
        <f>IFERROR(__xludf.DUMMYFUNCTION("""COMPUTED_VALUE"""),51.0)</f>
        <v>51</v>
      </c>
      <c r="F2454" s="2">
        <f>IFERROR(__xludf.DUMMYFUNCTION("""COMPUTED_VALUE"""),2.0)</f>
        <v>2</v>
      </c>
      <c r="G2454" s="2">
        <f>IFERROR(__xludf.DUMMYFUNCTION("""COMPUTED_VALUE"""),9.0)</f>
        <v>9</v>
      </c>
      <c r="H2454" s="2" t="str">
        <f>IFERROR(__xludf.DUMMYFUNCTION("""COMPUTED_VALUE"""),"Jaun.")</f>
        <v>Jaun.</v>
      </c>
      <c r="I2454" s="2" t="str">
        <f>IFERROR(__xludf.DUMMYFUNCTION("""COMPUTED_VALUE"""),"Panel")</f>
        <v>Panel</v>
      </c>
      <c r="J2454" s="2" t="str">
        <f>IFERROR(__xludf.DUMMYFUNCTION("""COMPUTED_VALUE"""),"All amenities")</f>
        <v>All amenities</v>
      </c>
      <c r="K2454" s="2">
        <f>IFERROR(__xludf.DUMMYFUNCTION("""COMPUTED_VALUE"""),99899.0)</f>
        <v>99899</v>
      </c>
      <c r="L2454" s="2">
        <f>IFERROR(__xludf.DUMMYFUNCTION("""COMPUTED_VALUE"""),56.9514132)</f>
        <v>56.9514132</v>
      </c>
      <c r="M2454" s="2">
        <f>IFERROR(__xludf.DUMMYFUNCTION("""COMPUTED_VALUE"""),24.0038761753746)</f>
        <v>24.00387618</v>
      </c>
    </row>
    <row r="2455">
      <c r="A2455" s="2" t="str">
        <f>IFERROR(__xludf.DUMMYFUNCTION("""COMPUTED_VALUE"""),"For sale")</f>
        <v>For sale</v>
      </c>
      <c r="B2455" s="2" t="str">
        <f>IFERROR(__xludf.DUMMYFUNCTION("""COMPUTED_VALUE"""),"Mežciems")</f>
        <v>Mežciems</v>
      </c>
      <c r="C2455" s="2" t="str">
        <f>IFERROR(__xludf.DUMMYFUNCTION("""COMPUTED_VALUE"""),"Kaivas 50-161d")</f>
        <v>Kaivas 50-161d</v>
      </c>
      <c r="D2455" s="2">
        <f>IFERROR(__xludf.DUMMYFUNCTION("""COMPUTED_VALUE"""),3.0)</f>
        <v>3</v>
      </c>
      <c r="E2455" s="2">
        <f>IFERROR(__xludf.DUMMYFUNCTION("""COMPUTED_VALUE"""),88.2)</f>
        <v>88.2</v>
      </c>
      <c r="F2455" s="2">
        <f>IFERROR(__xludf.DUMMYFUNCTION("""COMPUTED_VALUE"""),4.0)</f>
        <v>4</v>
      </c>
      <c r="G2455" s="2">
        <f>IFERROR(__xludf.DUMMYFUNCTION("""COMPUTED_VALUE"""),5.0)</f>
        <v>5</v>
      </c>
      <c r="H2455" s="2" t="str">
        <f>IFERROR(__xludf.DUMMYFUNCTION("""COMPUTED_VALUE"""),"Jaun.")</f>
        <v>Jaun.</v>
      </c>
      <c r="I2455" s="2" t="str">
        <f>IFERROR(__xludf.DUMMYFUNCTION("""COMPUTED_VALUE"""),"Brick-Panel")</f>
        <v>Brick-Panel</v>
      </c>
      <c r="J2455" s="2" t="str">
        <f>IFERROR(__xludf.DUMMYFUNCTION("""COMPUTED_VALUE"""),"All amenities")</f>
        <v>All amenities</v>
      </c>
      <c r="K2455" s="2">
        <f>IFERROR(__xludf.DUMMYFUNCTION("""COMPUTED_VALUE"""),110250.0)</f>
        <v>110250</v>
      </c>
      <c r="L2455" s="2" t="str">
        <f>IFERROR(__xludf.DUMMYFUNCTION("""COMPUTED_VALUE"""),"NaN")</f>
        <v>NaN</v>
      </c>
      <c r="M2455" s="2" t="str">
        <f>IFERROR(__xludf.DUMMYFUNCTION("""COMPUTED_VALUE"""),"NaN")</f>
        <v>NaN</v>
      </c>
    </row>
    <row r="2456">
      <c r="A2456" s="2" t="str">
        <f>IFERROR(__xludf.DUMMYFUNCTION("""COMPUTED_VALUE"""),"For sale")</f>
        <v>For sale</v>
      </c>
      <c r="B2456" s="2" t="str">
        <f>IFERROR(__xludf.DUMMYFUNCTION("""COMPUTED_VALUE"""),"Mežciems")</f>
        <v>Mežciems</v>
      </c>
      <c r="C2456" s="2" t="str">
        <f>IFERROR(__xludf.DUMMYFUNCTION("""COMPUTED_VALUE"""),"Kaivas 50k-1")</f>
        <v>Kaivas 50k-1</v>
      </c>
      <c r="D2456" s="2">
        <f>IFERROR(__xludf.DUMMYFUNCTION("""COMPUTED_VALUE"""),4.0)</f>
        <v>4</v>
      </c>
      <c r="E2456" s="2">
        <f>IFERROR(__xludf.DUMMYFUNCTION("""COMPUTED_VALUE"""),113.0)</f>
        <v>113</v>
      </c>
      <c r="F2456" s="2">
        <f>IFERROR(__xludf.DUMMYFUNCTION("""COMPUTED_VALUE"""),3.0)</f>
        <v>3</v>
      </c>
      <c r="G2456" s="2">
        <f>IFERROR(__xludf.DUMMYFUNCTION("""COMPUTED_VALUE"""),5.0)</f>
        <v>5</v>
      </c>
      <c r="H2456" s="2" t="str">
        <f>IFERROR(__xludf.DUMMYFUNCTION("""COMPUTED_VALUE"""),"Jaun.")</f>
        <v>Jaun.</v>
      </c>
      <c r="I2456" s="2" t="str">
        <f>IFERROR(__xludf.DUMMYFUNCTION("""COMPUTED_VALUE"""),"Panel-Brick")</f>
        <v>Panel-Brick</v>
      </c>
      <c r="J2456" s="2" t="str">
        <f>IFERROR(__xludf.DUMMYFUNCTION("""COMPUTED_VALUE"""),"Partial amenities")</f>
        <v>Partial amenities</v>
      </c>
      <c r="K2456" s="2">
        <f>IFERROR(__xludf.DUMMYFUNCTION("""COMPUTED_VALUE"""),141375.0)</f>
        <v>141375</v>
      </c>
      <c r="L2456" s="2">
        <f>IFERROR(__xludf.DUMMYFUNCTION("""COMPUTED_VALUE"""),56.9541725)</f>
        <v>56.9541725</v>
      </c>
      <c r="M2456" s="2">
        <f>IFERROR(__xludf.DUMMYFUNCTION("""COMPUTED_VALUE"""),24.2443253)</f>
        <v>24.2443253</v>
      </c>
    </row>
    <row r="2457">
      <c r="A2457" s="2" t="str">
        <f>IFERROR(__xludf.DUMMYFUNCTION("""COMPUTED_VALUE"""),"For rent")</f>
        <v>For rent</v>
      </c>
      <c r="B2457" s="2" t="str">
        <f>IFERROR(__xludf.DUMMYFUNCTION("""COMPUTED_VALUE"""),"Āgenskalns")</f>
        <v>Āgenskalns</v>
      </c>
      <c r="C2457" s="2" t="str">
        <f>IFERROR(__xludf.DUMMYFUNCTION("""COMPUTED_VALUE"""),"Slokas 28")</f>
        <v>Slokas 28</v>
      </c>
      <c r="D2457" s="2">
        <f>IFERROR(__xludf.DUMMYFUNCTION("""COMPUTED_VALUE"""),1.0)</f>
        <v>1</v>
      </c>
      <c r="E2457" s="2">
        <f>IFERROR(__xludf.DUMMYFUNCTION("""COMPUTED_VALUE"""),16.0)</f>
        <v>16</v>
      </c>
      <c r="F2457" s="2">
        <f>IFERROR(__xludf.DUMMYFUNCTION("""COMPUTED_VALUE"""),1.0)</f>
        <v>1</v>
      </c>
      <c r="G2457" s="2">
        <f>IFERROR(__xludf.DUMMYFUNCTION("""COMPUTED_VALUE"""),1.0)</f>
        <v>1</v>
      </c>
      <c r="H2457" s="2" t="str">
        <f>IFERROR(__xludf.DUMMYFUNCTION("""COMPUTED_VALUE"""),"P. kara")</f>
        <v>P. kara</v>
      </c>
      <c r="I2457" s="2" t="str">
        <f>IFERROR(__xludf.DUMMYFUNCTION("""COMPUTED_VALUE"""),"Masonry")</f>
        <v>Masonry</v>
      </c>
      <c r="J2457" s="2" t="str">
        <f>IFERROR(__xludf.DUMMYFUNCTION("""COMPUTED_VALUE"""),"All amenities")</f>
        <v>All amenities</v>
      </c>
      <c r="K2457" s="2">
        <f>IFERROR(__xludf.DUMMYFUNCTION("""COMPUTED_VALUE"""),25.0)</f>
        <v>25</v>
      </c>
      <c r="L2457" s="2">
        <f>IFERROR(__xludf.DUMMYFUNCTION("""COMPUTED_VALUE"""),56.9401616)</f>
        <v>56.9401616</v>
      </c>
      <c r="M2457" s="2">
        <f>IFERROR(__xludf.DUMMYFUNCTION("""COMPUTED_VALUE"""),24.0896935)</f>
        <v>24.0896935</v>
      </c>
    </row>
    <row r="2458">
      <c r="A2458" s="2" t="str">
        <f>IFERROR(__xludf.DUMMYFUNCTION("""COMPUTED_VALUE"""),"For sale")</f>
        <v>For sale</v>
      </c>
      <c r="B2458" s="2" t="str">
        <f>IFERROR(__xludf.DUMMYFUNCTION("""COMPUTED_VALUE"""),"Āgenskalns")</f>
        <v>Āgenskalns</v>
      </c>
      <c r="C2458" s="2" t="str">
        <f>IFERROR(__xludf.DUMMYFUNCTION("""COMPUTED_VALUE"""),"Smiļģa 32")</f>
        <v>Smiļģa 32</v>
      </c>
      <c r="D2458" s="2">
        <f>IFERROR(__xludf.DUMMYFUNCTION("""COMPUTED_VALUE"""),1.0)</f>
        <v>1</v>
      </c>
      <c r="E2458" s="2">
        <f>IFERROR(__xludf.DUMMYFUNCTION("""COMPUTED_VALUE"""),30.0)</f>
        <v>30</v>
      </c>
      <c r="F2458" s="2">
        <f>IFERROR(__xludf.DUMMYFUNCTION("""COMPUTED_VALUE"""),1.0)</f>
        <v>1</v>
      </c>
      <c r="G2458" s="2">
        <f>IFERROR(__xludf.DUMMYFUNCTION("""COMPUTED_VALUE"""),5.0)</f>
        <v>5</v>
      </c>
      <c r="H2458" s="2" t="str">
        <f>IFERROR(__xludf.DUMMYFUNCTION("""COMPUTED_VALUE"""),"Hrušč.")</f>
        <v>Hrušč.</v>
      </c>
      <c r="I2458" s="2" t="str">
        <f>IFERROR(__xludf.DUMMYFUNCTION("""COMPUTED_VALUE"""),"Brick")</f>
        <v>Brick</v>
      </c>
      <c r="J2458" s="2" t="str">
        <f>IFERROR(__xludf.DUMMYFUNCTION("""COMPUTED_VALUE"""),"All amenities")</f>
        <v>All amenities</v>
      </c>
      <c r="K2458" s="2">
        <f>IFERROR(__xludf.DUMMYFUNCTION("""COMPUTED_VALUE"""),31000.0)</f>
        <v>31000</v>
      </c>
      <c r="L2458" s="2">
        <f>IFERROR(__xludf.DUMMYFUNCTION("""COMPUTED_VALUE"""),56.93870705)</f>
        <v>56.93870705</v>
      </c>
      <c r="M2458" s="2">
        <f>IFERROR(__xludf.DUMMYFUNCTION("""COMPUTED_VALUE"""),24.0789177765693)</f>
        <v>24.07891778</v>
      </c>
    </row>
    <row r="2459">
      <c r="A2459" s="2" t="str">
        <f>IFERROR(__xludf.DUMMYFUNCTION("""COMPUTED_VALUE"""),"For sale")</f>
        <v>For sale</v>
      </c>
      <c r="B2459" s="2" t="str">
        <f>IFERROR(__xludf.DUMMYFUNCTION("""COMPUTED_VALUE"""),"Imanta")</f>
        <v>Imanta</v>
      </c>
      <c r="C2459" s="2" t="str">
        <f>IFERROR(__xludf.DUMMYFUNCTION("""COMPUTED_VALUE"""),"Jūrmalas g. 99")</f>
        <v>Jūrmalas g. 99</v>
      </c>
      <c r="D2459" s="2">
        <f>IFERROR(__xludf.DUMMYFUNCTION("""COMPUTED_VALUE"""),3.0)</f>
        <v>3</v>
      </c>
      <c r="E2459" s="2">
        <f>IFERROR(__xludf.DUMMYFUNCTION("""COMPUTED_VALUE"""),64.0)</f>
        <v>64</v>
      </c>
      <c r="F2459" s="2">
        <f>IFERROR(__xludf.DUMMYFUNCTION("""COMPUTED_VALUE"""),4.0)</f>
        <v>4</v>
      </c>
      <c r="G2459" s="2">
        <f>IFERROR(__xludf.DUMMYFUNCTION("""COMPUTED_VALUE"""),9.0)</f>
        <v>9</v>
      </c>
      <c r="H2459" s="2">
        <f>IFERROR(__xludf.DUMMYFUNCTION("""COMPUTED_VALUE"""),602.0)</f>
        <v>602</v>
      </c>
      <c r="I2459" s="2" t="str">
        <f>IFERROR(__xludf.DUMMYFUNCTION("""COMPUTED_VALUE"""),"Panel")</f>
        <v>Panel</v>
      </c>
      <c r="J2459" s="2" t="str">
        <f>IFERROR(__xludf.DUMMYFUNCTION("""COMPUTED_VALUE"""),"All amenities")</f>
        <v>All amenities</v>
      </c>
      <c r="K2459" s="2">
        <f>IFERROR(__xludf.DUMMYFUNCTION("""COMPUTED_VALUE"""),75000.0)</f>
        <v>75000</v>
      </c>
      <c r="L2459" s="2">
        <f>IFERROR(__xludf.DUMMYFUNCTION("""COMPUTED_VALUE"""),56.952975)</f>
        <v>56.952975</v>
      </c>
      <c r="M2459" s="2">
        <f>IFERROR(__xludf.DUMMYFUNCTION("""COMPUTED_VALUE"""),24.0166971)</f>
        <v>24.0166971</v>
      </c>
    </row>
    <row r="2460">
      <c r="A2460" s="2" t="str">
        <f>IFERROR(__xludf.DUMMYFUNCTION("""COMPUTED_VALUE"""),"For rent")</f>
        <v>For rent</v>
      </c>
      <c r="B2460" s="2" t="str">
        <f>IFERROR(__xludf.DUMMYFUNCTION("""COMPUTED_VALUE"""),"centrs")</f>
        <v>centrs</v>
      </c>
      <c r="C2460" s="2" t="str">
        <f>IFERROR(__xludf.DUMMYFUNCTION("""COMPUTED_VALUE"""),"Valdemāra 37")</f>
        <v>Valdemāra 37</v>
      </c>
      <c r="D2460" s="2">
        <f>IFERROR(__xludf.DUMMYFUNCTION("""COMPUTED_VALUE"""),3.0)</f>
        <v>3</v>
      </c>
      <c r="E2460" s="2">
        <f>IFERROR(__xludf.DUMMYFUNCTION("""COMPUTED_VALUE"""),110.0)</f>
        <v>110</v>
      </c>
      <c r="F2460" s="2">
        <f>IFERROR(__xludf.DUMMYFUNCTION("""COMPUTED_VALUE"""),5.0)</f>
        <v>5</v>
      </c>
      <c r="G2460" s="2">
        <f>IFERROR(__xludf.DUMMYFUNCTION("""COMPUTED_VALUE"""),6.0)</f>
        <v>6</v>
      </c>
      <c r="H2460" s="2" t="str">
        <f>IFERROR(__xludf.DUMMYFUNCTION("""COMPUTED_VALUE"""),"Renov.")</f>
        <v>Renov.</v>
      </c>
      <c r="I2460" s="2" t="str">
        <f>IFERROR(__xludf.DUMMYFUNCTION("""COMPUTED_VALUE"""),"Masonry")</f>
        <v>Masonry</v>
      </c>
      <c r="J2460" s="2" t="str">
        <f>IFERROR(__xludf.DUMMYFUNCTION("""COMPUTED_VALUE"""),"All amenities")</f>
        <v>All amenities</v>
      </c>
      <c r="K2460" s="2">
        <f>IFERROR(__xludf.DUMMYFUNCTION("""COMPUTED_VALUE"""),1400.0)</f>
        <v>1400</v>
      </c>
      <c r="L2460" s="2">
        <f>IFERROR(__xludf.DUMMYFUNCTION("""COMPUTED_VALUE"""),56.958482)</f>
        <v>56.958482</v>
      </c>
      <c r="M2460" s="2">
        <f>IFERROR(__xludf.DUMMYFUNCTION("""COMPUTED_VALUE"""),24.116859)</f>
        <v>24.116859</v>
      </c>
    </row>
    <row r="2461">
      <c r="A2461" s="2" t="str">
        <f>IFERROR(__xludf.DUMMYFUNCTION("""COMPUTED_VALUE"""),"For rent")</f>
        <v>For rent</v>
      </c>
      <c r="B2461" s="2" t="str">
        <f>IFERROR(__xludf.DUMMYFUNCTION("""COMPUTED_VALUE"""),"centrs")</f>
        <v>centrs</v>
      </c>
      <c r="C2461" s="2" t="str">
        <f>IFERROR(__xludf.DUMMYFUNCTION("""COMPUTED_VALUE"""),"Lāčplēša 114")</f>
        <v>Lāčplēša 114</v>
      </c>
      <c r="D2461" s="2">
        <f>IFERROR(__xludf.DUMMYFUNCTION("""COMPUTED_VALUE"""),2.0)</f>
        <v>2</v>
      </c>
      <c r="E2461" s="2">
        <f>IFERROR(__xludf.DUMMYFUNCTION("""COMPUTED_VALUE"""),42.0)</f>
        <v>42</v>
      </c>
      <c r="F2461" s="2">
        <f>IFERROR(__xludf.DUMMYFUNCTION("""COMPUTED_VALUE"""),5.0)</f>
        <v>5</v>
      </c>
      <c r="G2461" s="2">
        <f>IFERROR(__xludf.DUMMYFUNCTION("""COMPUTED_VALUE"""),5.0)</f>
        <v>5</v>
      </c>
      <c r="H2461" s="2" t="str">
        <f>IFERROR(__xludf.DUMMYFUNCTION("""COMPUTED_VALUE"""),"P. kara")</f>
        <v>P. kara</v>
      </c>
      <c r="I2461" s="2" t="str">
        <f>IFERROR(__xludf.DUMMYFUNCTION("""COMPUTED_VALUE"""),"Masonry")</f>
        <v>Masonry</v>
      </c>
      <c r="J2461" s="2" t="str">
        <f>IFERROR(__xludf.DUMMYFUNCTION("""COMPUTED_VALUE"""),"All amenities")</f>
        <v>All amenities</v>
      </c>
      <c r="K2461" s="2">
        <f>IFERROR(__xludf.DUMMYFUNCTION("""COMPUTED_VALUE"""),350.0)</f>
        <v>350</v>
      </c>
      <c r="L2461" s="2">
        <f>IFERROR(__xludf.DUMMYFUNCTION("""COMPUTED_VALUE"""),56.9411923)</f>
        <v>56.9411923</v>
      </c>
      <c r="M2461" s="2">
        <f>IFERROR(__xludf.DUMMYFUNCTION("""COMPUTED_VALUE"""),24.1300900106299)</f>
        <v>24.13009001</v>
      </c>
    </row>
    <row r="2462">
      <c r="A2462" s="2" t="str">
        <f>IFERROR(__xludf.DUMMYFUNCTION("""COMPUTED_VALUE"""),"For sale")</f>
        <v>For sale</v>
      </c>
      <c r="B2462" s="2" t="str">
        <f>IFERROR(__xludf.DUMMYFUNCTION("""COMPUTED_VALUE"""),"centrs")</f>
        <v>centrs</v>
      </c>
      <c r="C2462" s="2" t="str">
        <f>IFERROR(__xludf.DUMMYFUNCTION("""COMPUTED_VALUE"""),"Lāčplēša 87e")</f>
        <v>Lāčplēša 87e</v>
      </c>
      <c r="D2462" s="2">
        <f>IFERROR(__xludf.DUMMYFUNCTION("""COMPUTED_VALUE"""),5.0)</f>
        <v>5</v>
      </c>
      <c r="E2462" s="2">
        <f>IFERROR(__xludf.DUMMYFUNCTION("""COMPUTED_VALUE"""),135.0)</f>
        <v>135</v>
      </c>
      <c r="F2462" s="2">
        <f>IFERROR(__xludf.DUMMYFUNCTION("""COMPUTED_VALUE"""),4.0)</f>
        <v>4</v>
      </c>
      <c r="G2462" s="2">
        <f>IFERROR(__xludf.DUMMYFUNCTION("""COMPUTED_VALUE"""),5.0)</f>
        <v>5</v>
      </c>
      <c r="H2462" s="2" t="str">
        <f>IFERROR(__xludf.DUMMYFUNCTION("""COMPUTED_VALUE"""),"P. kara")</f>
        <v>P. kara</v>
      </c>
      <c r="I2462" s="2" t="str">
        <f>IFERROR(__xludf.DUMMYFUNCTION("""COMPUTED_VALUE"""),"Brick")</f>
        <v>Brick</v>
      </c>
      <c r="J2462" s="2" t="str">
        <f>IFERROR(__xludf.DUMMYFUNCTION("""COMPUTED_VALUE"""),"All amenities")</f>
        <v>All amenities</v>
      </c>
      <c r="K2462" s="2">
        <f>IFERROR(__xludf.DUMMYFUNCTION("""COMPUTED_VALUE"""),179000.0)</f>
        <v>179000</v>
      </c>
      <c r="L2462" s="2">
        <f>IFERROR(__xludf.DUMMYFUNCTION("""COMPUTED_VALUE"""),56.9488752)</f>
        <v>56.9488752</v>
      </c>
      <c r="M2462" s="2">
        <f>IFERROR(__xludf.DUMMYFUNCTION("""COMPUTED_VALUE"""),24.1345071084256)</f>
        <v>24.13450711</v>
      </c>
    </row>
    <row r="2463">
      <c r="A2463" s="2" t="str">
        <f>IFERROR(__xludf.DUMMYFUNCTION("""COMPUTED_VALUE"""),"For sale")</f>
        <v>For sale</v>
      </c>
      <c r="B2463" s="2" t="str">
        <f>IFERROR(__xludf.DUMMYFUNCTION("""COMPUTED_VALUE"""),"Teika")</f>
        <v>Teika</v>
      </c>
      <c r="C2463" s="2" t="str">
        <f>IFERROR(__xludf.DUMMYFUNCTION("""COMPUTED_VALUE"""),"Ropažu 93")</f>
        <v>Ropažu 93</v>
      </c>
      <c r="D2463" s="2">
        <f>IFERROR(__xludf.DUMMYFUNCTION("""COMPUTED_VALUE"""),1.0)</f>
        <v>1</v>
      </c>
      <c r="E2463" s="2">
        <f>IFERROR(__xludf.DUMMYFUNCTION("""COMPUTED_VALUE"""),26.0)</f>
        <v>26</v>
      </c>
      <c r="F2463" s="2">
        <f>IFERROR(__xludf.DUMMYFUNCTION("""COMPUTED_VALUE"""),2.0)</f>
        <v>2</v>
      </c>
      <c r="G2463" s="2">
        <f>IFERROR(__xludf.DUMMYFUNCTION("""COMPUTED_VALUE"""),2.0)</f>
        <v>2</v>
      </c>
      <c r="H2463" s="2" t="str">
        <f>IFERROR(__xludf.DUMMYFUNCTION("""COMPUTED_VALUE"""),"P. kara")</f>
        <v>P. kara</v>
      </c>
      <c r="I2463" s="2" t="str">
        <f>IFERROR(__xludf.DUMMYFUNCTION("""COMPUTED_VALUE"""),"Wood")</f>
        <v>Wood</v>
      </c>
      <c r="J2463" s="2" t="str">
        <f>IFERROR(__xludf.DUMMYFUNCTION("""COMPUTED_VALUE"""),"Partial amenities")</f>
        <v>Partial amenities</v>
      </c>
      <c r="K2463" s="2">
        <f>IFERROR(__xludf.DUMMYFUNCTION("""COMPUTED_VALUE"""),14000.0)</f>
        <v>14000</v>
      </c>
      <c r="L2463" s="2">
        <f>IFERROR(__xludf.DUMMYFUNCTION("""COMPUTED_VALUE"""),56.9825039)</f>
        <v>56.9825039</v>
      </c>
      <c r="M2463" s="2">
        <f>IFERROR(__xludf.DUMMYFUNCTION("""COMPUTED_VALUE"""),24.1917693040602)</f>
        <v>24.1917693</v>
      </c>
    </row>
    <row r="2464">
      <c r="A2464" s="2" t="str">
        <f>IFERROR(__xludf.DUMMYFUNCTION("""COMPUTED_VALUE"""),"For rent")</f>
        <v>For rent</v>
      </c>
      <c r="B2464" s="2" t="str">
        <f>IFERROR(__xludf.DUMMYFUNCTION("""COMPUTED_VALUE"""),"centrs")</f>
        <v>centrs</v>
      </c>
      <c r="C2464" s="2" t="str">
        <f>IFERROR(__xludf.DUMMYFUNCTION("""COMPUTED_VALUE"""),"Miera 90")</f>
        <v>Miera 90</v>
      </c>
      <c r="D2464" s="2">
        <f>IFERROR(__xludf.DUMMYFUNCTION("""COMPUTED_VALUE"""),3.0)</f>
        <v>3</v>
      </c>
      <c r="E2464" s="2">
        <f>IFERROR(__xludf.DUMMYFUNCTION("""COMPUTED_VALUE"""),65.0)</f>
        <v>65</v>
      </c>
      <c r="F2464" s="2">
        <f>IFERROR(__xludf.DUMMYFUNCTION("""COMPUTED_VALUE"""),6.0)</f>
        <v>6</v>
      </c>
      <c r="G2464" s="2">
        <f>IFERROR(__xludf.DUMMYFUNCTION("""COMPUTED_VALUE"""),4.0)</f>
        <v>4</v>
      </c>
      <c r="H2464" s="2" t="str">
        <f>IFERROR(__xludf.DUMMYFUNCTION("""COMPUTED_VALUE"""),"Specpr.")</f>
        <v>Specpr.</v>
      </c>
      <c r="I2464" s="2" t="str">
        <f>IFERROR(__xludf.DUMMYFUNCTION("""COMPUTED_VALUE"""),"Brick")</f>
        <v>Brick</v>
      </c>
      <c r="J2464" s="2" t="str">
        <f>IFERROR(__xludf.DUMMYFUNCTION("""COMPUTED_VALUE"""),"All amenities")</f>
        <v>All amenities</v>
      </c>
      <c r="K2464" s="2">
        <f>IFERROR(__xludf.DUMMYFUNCTION("""COMPUTED_VALUE"""),550.0)</f>
        <v>550</v>
      </c>
      <c r="L2464" s="2">
        <f>IFERROR(__xludf.DUMMYFUNCTION("""COMPUTED_VALUE"""),56.9665763)</f>
        <v>56.9665763</v>
      </c>
      <c r="M2464" s="2">
        <f>IFERROR(__xludf.DUMMYFUNCTION("""COMPUTED_VALUE"""),24.1337504)</f>
        <v>24.1337504</v>
      </c>
    </row>
    <row r="2465">
      <c r="A2465" s="2" t="str">
        <f>IFERROR(__xludf.DUMMYFUNCTION("""COMPUTED_VALUE"""),"For rent")</f>
        <v>For rent</v>
      </c>
      <c r="B2465" s="2" t="str">
        <f>IFERROR(__xludf.DUMMYFUNCTION("""COMPUTED_VALUE"""),"Šampēteris-Pleskodāle")</f>
        <v>Šampēteris-Pleskodāle</v>
      </c>
      <c r="C2465" s="2" t="str">
        <f>IFERROR(__xludf.DUMMYFUNCTION("""COMPUTED_VALUE"""),"Lielirbes 13")</f>
        <v>Lielirbes 13</v>
      </c>
      <c r="D2465" s="2">
        <f>IFERROR(__xludf.DUMMYFUNCTION("""COMPUTED_VALUE"""),3.0)</f>
        <v>3</v>
      </c>
      <c r="E2465" s="2">
        <f>IFERROR(__xludf.DUMMYFUNCTION("""COMPUTED_VALUE"""),90.0)</f>
        <v>90</v>
      </c>
      <c r="F2465" s="2">
        <f>IFERROR(__xludf.DUMMYFUNCTION("""COMPUTED_VALUE"""),11.0)</f>
        <v>11</v>
      </c>
      <c r="G2465" s="2">
        <f>IFERROR(__xludf.DUMMYFUNCTION("""COMPUTED_VALUE"""),30.0)</f>
        <v>30</v>
      </c>
      <c r="H2465" s="2" t="str">
        <f>IFERROR(__xludf.DUMMYFUNCTION("""COMPUTED_VALUE"""),"Jaun.")</f>
        <v>Jaun.</v>
      </c>
      <c r="I2465" s="2" t="str">
        <f>IFERROR(__xludf.DUMMYFUNCTION("""COMPUTED_VALUE"""),"Panel-Brick")</f>
        <v>Panel-Brick</v>
      </c>
      <c r="J2465" s="2" t="str">
        <f>IFERROR(__xludf.DUMMYFUNCTION("""COMPUTED_VALUE"""),"All amenities")</f>
        <v>All amenities</v>
      </c>
      <c r="K2465" s="2">
        <f>IFERROR(__xludf.DUMMYFUNCTION("""COMPUTED_VALUE"""),650.0)</f>
        <v>650</v>
      </c>
      <c r="L2465" s="2">
        <f>IFERROR(__xludf.DUMMYFUNCTION("""COMPUTED_VALUE"""),56.9334996)</f>
        <v>56.9334996</v>
      </c>
      <c r="M2465" s="2">
        <f>IFERROR(__xludf.DUMMYFUNCTION("""COMPUTED_VALUE"""),24.0424848)</f>
        <v>24.0424848</v>
      </c>
    </row>
    <row r="2466">
      <c r="A2466" s="2" t="str">
        <f>IFERROR(__xludf.DUMMYFUNCTION("""COMPUTED_VALUE"""),"For sale")</f>
        <v>For sale</v>
      </c>
      <c r="B2466" s="2" t="str">
        <f>IFERROR(__xludf.DUMMYFUNCTION("""COMPUTED_VALUE"""),"centrs")</f>
        <v>centrs</v>
      </c>
      <c r="C2466" s="2" t="str">
        <f>IFERROR(__xludf.DUMMYFUNCTION("""COMPUTED_VALUE"""),"Strēlnieku 19")</f>
        <v>Strēlnieku 19</v>
      </c>
      <c r="D2466" s="2">
        <f>IFERROR(__xludf.DUMMYFUNCTION("""COMPUTED_VALUE"""),3.0)</f>
        <v>3</v>
      </c>
      <c r="E2466" s="2">
        <f>IFERROR(__xludf.DUMMYFUNCTION("""COMPUTED_VALUE"""),77.0)</f>
        <v>77</v>
      </c>
      <c r="F2466" s="2">
        <f>IFERROR(__xludf.DUMMYFUNCTION("""COMPUTED_VALUE"""),1.0)</f>
        <v>1</v>
      </c>
      <c r="G2466" s="2">
        <f>IFERROR(__xludf.DUMMYFUNCTION("""COMPUTED_VALUE"""),3.0)</f>
        <v>3</v>
      </c>
      <c r="H2466" s="2" t="str">
        <f>IFERROR(__xludf.DUMMYFUNCTION("""COMPUTED_VALUE"""),"P. kara")</f>
        <v>P. kara</v>
      </c>
      <c r="I2466" s="2" t="str">
        <f>IFERROR(__xludf.DUMMYFUNCTION("""COMPUTED_VALUE"""),"Masonry")</f>
        <v>Masonry</v>
      </c>
      <c r="J2466" s="2" t="str">
        <f>IFERROR(__xludf.DUMMYFUNCTION("""COMPUTED_VALUE"""),"All amenities")</f>
        <v>All amenities</v>
      </c>
      <c r="K2466" s="2">
        <f>IFERROR(__xludf.DUMMYFUNCTION("""COMPUTED_VALUE"""),135000.0)</f>
        <v>135000</v>
      </c>
      <c r="L2466" s="2">
        <f>IFERROR(__xludf.DUMMYFUNCTION("""COMPUTED_VALUE"""),56.96130605)</f>
        <v>56.96130605</v>
      </c>
      <c r="M2466" s="2">
        <f>IFERROR(__xludf.DUMMYFUNCTION("""COMPUTED_VALUE"""),24.1105821948041)</f>
        <v>24.11058219</v>
      </c>
    </row>
    <row r="2467">
      <c r="A2467" s="2" t="str">
        <f>IFERROR(__xludf.DUMMYFUNCTION("""COMPUTED_VALUE"""),"For sale")</f>
        <v>For sale</v>
      </c>
      <c r="B2467" s="2" t="str">
        <f>IFERROR(__xludf.DUMMYFUNCTION("""COMPUTED_VALUE"""),"Ķengarags")</f>
        <v>Ķengarags</v>
      </c>
      <c r="C2467" s="2" t="str">
        <f>IFERROR(__xludf.DUMMYFUNCTION("""COMPUTED_VALUE"""),"Maskavas 266/3")</f>
        <v>Maskavas 266/3</v>
      </c>
      <c r="D2467" s="2">
        <f>IFERROR(__xludf.DUMMYFUNCTION("""COMPUTED_VALUE"""),2.0)</f>
        <v>2</v>
      </c>
      <c r="E2467" s="2">
        <f>IFERROR(__xludf.DUMMYFUNCTION("""COMPUTED_VALUE"""),46.0)</f>
        <v>46</v>
      </c>
      <c r="F2467" s="2">
        <f>IFERROR(__xludf.DUMMYFUNCTION("""COMPUTED_VALUE"""),1.0)</f>
        <v>1</v>
      </c>
      <c r="G2467" s="2">
        <f>IFERROR(__xludf.DUMMYFUNCTION("""COMPUTED_VALUE"""),5.0)</f>
        <v>5</v>
      </c>
      <c r="H2467" s="2" t="str">
        <f>IFERROR(__xludf.DUMMYFUNCTION("""COMPUTED_VALUE"""),"Hrušč.")</f>
        <v>Hrušč.</v>
      </c>
      <c r="I2467" s="2" t="str">
        <f>IFERROR(__xludf.DUMMYFUNCTION("""COMPUTED_VALUE"""),"Panel")</f>
        <v>Panel</v>
      </c>
      <c r="J2467" s="2" t="str">
        <f>IFERROR(__xludf.DUMMYFUNCTION("""COMPUTED_VALUE"""),"All amenities")</f>
        <v>All amenities</v>
      </c>
      <c r="K2467" s="2">
        <f>IFERROR(__xludf.DUMMYFUNCTION("""COMPUTED_VALUE"""),41000.0)</f>
        <v>41000</v>
      </c>
      <c r="L2467" s="2">
        <f>IFERROR(__xludf.DUMMYFUNCTION("""COMPUTED_VALUE"""),56.94475115)</f>
        <v>56.94475115</v>
      </c>
      <c r="M2467" s="2">
        <f>IFERROR(__xludf.DUMMYFUNCTION("""COMPUTED_VALUE"""),24.1132172780624)</f>
        <v>24.11321728</v>
      </c>
    </row>
    <row r="2468">
      <c r="A2468" s="2" t="str">
        <f>IFERROR(__xludf.DUMMYFUNCTION("""COMPUTED_VALUE"""),"For sale")</f>
        <v>For sale</v>
      </c>
      <c r="B2468" s="2" t="str">
        <f>IFERROR(__xludf.DUMMYFUNCTION("""COMPUTED_VALUE"""),"Ķengarags")</f>
        <v>Ķengarags</v>
      </c>
      <c r="C2468" s="2" t="str">
        <f>IFERROR(__xludf.DUMMYFUNCTION("""COMPUTED_VALUE"""),"Prūšu 73")</f>
        <v>Prūšu 73</v>
      </c>
      <c r="D2468" s="2">
        <f>IFERROR(__xludf.DUMMYFUNCTION("""COMPUTED_VALUE"""),2.0)</f>
        <v>2</v>
      </c>
      <c r="E2468" s="2">
        <f>IFERROR(__xludf.DUMMYFUNCTION("""COMPUTED_VALUE"""),38.0)</f>
        <v>38</v>
      </c>
      <c r="F2468" s="2">
        <f>IFERROR(__xludf.DUMMYFUNCTION("""COMPUTED_VALUE"""),3.0)</f>
        <v>3</v>
      </c>
      <c r="G2468" s="2">
        <f>IFERROR(__xludf.DUMMYFUNCTION("""COMPUTED_VALUE"""),5.0)</f>
        <v>5</v>
      </c>
      <c r="H2468" s="2" t="str">
        <f>IFERROR(__xludf.DUMMYFUNCTION("""COMPUTED_VALUE"""),"LT proj.")</f>
        <v>LT proj.</v>
      </c>
      <c r="I2468" s="2" t="str">
        <f>IFERROR(__xludf.DUMMYFUNCTION("""COMPUTED_VALUE"""),"Panel")</f>
        <v>Panel</v>
      </c>
      <c r="J2468" s="2" t="str">
        <f>IFERROR(__xludf.DUMMYFUNCTION("""COMPUTED_VALUE"""),"All amenities")</f>
        <v>All amenities</v>
      </c>
      <c r="K2468" s="2">
        <f>IFERROR(__xludf.DUMMYFUNCTION("""COMPUTED_VALUE"""),39900.0)</f>
        <v>39900</v>
      </c>
      <c r="L2468" s="2">
        <f>IFERROR(__xludf.DUMMYFUNCTION("""COMPUTED_VALUE"""),56.9068216)</f>
        <v>56.9068216</v>
      </c>
      <c r="M2468" s="2">
        <f>IFERROR(__xludf.DUMMYFUNCTION("""COMPUTED_VALUE"""),24.2021046)</f>
        <v>24.2021046</v>
      </c>
    </row>
    <row r="2469">
      <c r="A2469" s="2" t="str">
        <f>IFERROR(__xludf.DUMMYFUNCTION("""COMPUTED_VALUE"""),"For sale")</f>
        <v>For sale</v>
      </c>
      <c r="B2469" s="2" t="str">
        <f>IFERROR(__xludf.DUMMYFUNCTION("""COMPUTED_VALUE"""),"Iļģuciems")</f>
        <v>Iļģuciems</v>
      </c>
      <c r="C2469" s="2" t="str">
        <f>IFERROR(__xludf.DUMMYFUNCTION("""COMPUTED_VALUE"""),"Lidoņu 12")</f>
        <v>Lidoņu 12</v>
      </c>
      <c r="D2469" s="2">
        <f>IFERROR(__xludf.DUMMYFUNCTION("""COMPUTED_VALUE"""),2.0)</f>
        <v>2</v>
      </c>
      <c r="E2469" s="2">
        <f>IFERROR(__xludf.DUMMYFUNCTION("""COMPUTED_VALUE"""),49.0)</f>
        <v>49</v>
      </c>
      <c r="F2469" s="2">
        <f>IFERROR(__xludf.DUMMYFUNCTION("""COMPUTED_VALUE"""),1.0)</f>
        <v>1</v>
      </c>
      <c r="G2469" s="2">
        <f>IFERROR(__xludf.DUMMYFUNCTION("""COMPUTED_VALUE"""),2.0)</f>
        <v>2</v>
      </c>
      <c r="H2469" s="2" t="str">
        <f>IFERROR(__xludf.DUMMYFUNCTION("""COMPUTED_VALUE"""),"Specpr.")</f>
        <v>Specpr.</v>
      </c>
      <c r="I2469" s="2" t="str">
        <f>IFERROR(__xludf.DUMMYFUNCTION("""COMPUTED_VALUE"""),"Brick")</f>
        <v>Brick</v>
      </c>
      <c r="J2469" s="2" t="str">
        <f>IFERROR(__xludf.DUMMYFUNCTION("""COMPUTED_VALUE"""),"All amenities")</f>
        <v>All amenities</v>
      </c>
      <c r="K2469" s="2">
        <f>IFERROR(__xludf.DUMMYFUNCTION("""COMPUTED_VALUE"""),49900.0)</f>
        <v>49900</v>
      </c>
      <c r="L2469" s="2">
        <f>IFERROR(__xludf.DUMMYFUNCTION("""COMPUTED_VALUE"""),56.9714749)</f>
        <v>56.9714749</v>
      </c>
      <c r="M2469" s="2">
        <f>IFERROR(__xludf.DUMMYFUNCTION("""COMPUTED_VALUE"""),24.0611875546552)</f>
        <v>24.06118755</v>
      </c>
    </row>
    <row r="2470">
      <c r="A2470" s="2" t="str">
        <f>IFERROR(__xludf.DUMMYFUNCTION("""COMPUTED_VALUE"""),"For sale")</f>
        <v>For sale</v>
      </c>
      <c r="B2470" s="2" t="str">
        <f>IFERROR(__xludf.DUMMYFUNCTION("""COMPUTED_VALUE"""),"Mežciems")</f>
        <v>Mežciems</v>
      </c>
      <c r="C2470" s="2" t="str">
        <f>IFERROR(__xludf.DUMMYFUNCTION("""COMPUTED_VALUE"""),"Hipokrāta 37")</f>
        <v>Hipokrāta 37</v>
      </c>
      <c r="D2470" s="2">
        <f>IFERROR(__xludf.DUMMYFUNCTION("""COMPUTED_VALUE"""),3.0)</f>
        <v>3</v>
      </c>
      <c r="E2470" s="2">
        <f>IFERROR(__xludf.DUMMYFUNCTION("""COMPUTED_VALUE"""),64.0)</f>
        <v>64</v>
      </c>
      <c r="F2470" s="2">
        <f>IFERROR(__xludf.DUMMYFUNCTION("""COMPUTED_VALUE"""),2.0)</f>
        <v>2</v>
      </c>
      <c r="G2470" s="2">
        <f>IFERROR(__xludf.DUMMYFUNCTION("""COMPUTED_VALUE"""),9.0)</f>
        <v>9</v>
      </c>
      <c r="H2470" s="2">
        <f>IFERROR(__xludf.DUMMYFUNCTION("""COMPUTED_VALUE"""),602.0)</f>
        <v>602</v>
      </c>
      <c r="I2470" s="2" t="str">
        <f>IFERROR(__xludf.DUMMYFUNCTION("""COMPUTED_VALUE"""),"Panel")</f>
        <v>Panel</v>
      </c>
      <c r="J2470" s="2" t="str">
        <f>IFERROR(__xludf.DUMMYFUNCTION("""COMPUTED_VALUE"""),"All amenities")</f>
        <v>All amenities</v>
      </c>
      <c r="K2470" s="2">
        <f>IFERROR(__xludf.DUMMYFUNCTION("""COMPUTED_VALUE"""),54000.0)</f>
        <v>54000</v>
      </c>
      <c r="L2470" s="2">
        <f>IFERROR(__xludf.DUMMYFUNCTION("""COMPUTED_VALUE"""),56.95979295)</f>
        <v>56.95979295</v>
      </c>
      <c r="M2470" s="2">
        <f>IFERROR(__xludf.DUMMYFUNCTION("""COMPUTED_VALUE"""),24.23773255)</f>
        <v>24.23773255</v>
      </c>
    </row>
    <row r="2471">
      <c r="A2471" s="2" t="str">
        <f>IFERROR(__xludf.DUMMYFUNCTION("""COMPUTED_VALUE"""),"For sale")</f>
        <v>For sale</v>
      </c>
      <c r="B2471" s="2" t="str">
        <f>IFERROR(__xludf.DUMMYFUNCTION("""COMPUTED_VALUE"""),"Teika")</f>
        <v>Teika</v>
      </c>
      <c r="C2471" s="2" t="str">
        <f>IFERROR(__xludf.DUMMYFUNCTION("""COMPUTED_VALUE"""),"Ropažu 78")</f>
        <v>Ropažu 78</v>
      </c>
      <c r="D2471" s="2">
        <f>IFERROR(__xludf.DUMMYFUNCTION("""COMPUTED_VALUE"""),2.0)</f>
        <v>2</v>
      </c>
      <c r="E2471" s="2">
        <f>IFERROR(__xludf.DUMMYFUNCTION("""COMPUTED_VALUE"""),39.0)</f>
        <v>39</v>
      </c>
      <c r="F2471" s="2">
        <f>IFERROR(__xludf.DUMMYFUNCTION("""COMPUTED_VALUE"""),5.0)</f>
        <v>5</v>
      </c>
      <c r="G2471" s="2">
        <f>IFERROR(__xludf.DUMMYFUNCTION("""COMPUTED_VALUE"""),5.0)</f>
        <v>5</v>
      </c>
      <c r="H2471" s="2" t="str">
        <f>IFERROR(__xludf.DUMMYFUNCTION("""COMPUTED_VALUE"""),"Hrušč.")</f>
        <v>Hrušč.</v>
      </c>
      <c r="I2471" s="2" t="str">
        <f>IFERROR(__xludf.DUMMYFUNCTION("""COMPUTED_VALUE"""),"Brick")</f>
        <v>Brick</v>
      </c>
      <c r="J2471" s="2" t="str">
        <f>IFERROR(__xludf.DUMMYFUNCTION("""COMPUTED_VALUE"""),"All amenities")</f>
        <v>All amenities</v>
      </c>
      <c r="K2471" s="2">
        <f>IFERROR(__xludf.DUMMYFUNCTION("""COMPUTED_VALUE"""),55000.0)</f>
        <v>55000</v>
      </c>
      <c r="L2471" s="2">
        <f>IFERROR(__xludf.DUMMYFUNCTION("""COMPUTED_VALUE"""),56.9824574)</f>
        <v>56.9824574</v>
      </c>
      <c r="M2471" s="2">
        <f>IFERROR(__xludf.DUMMYFUNCTION("""COMPUTED_VALUE"""),24.1870750334298)</f>
        <v>24.18707503</v>
      </c>
    </row>
    <row r="2472">
      <c r="A2472" s="2" t="str">
        <f>IFERROR(__xludf.DUMMYFUNCTION("""COMPUTED_VALUE"""),"For sale")</f>
        <v>For sale</v>
      </c>
      <c r="B2472" s="2" t="str">
        <f>IFERROR(__xludf.DUMMYFUNCTION("""COMPUTED_VALUE"""),"centrs")</f>
        <v>centrs</v>
      </c>
      <c r="C2472" s="2" t="str">
        <f>IFERROR(__xludf.DUMMYFUNCTION("""COMPUTED_VALUE"""),"Klijānu 16")</f>
        <v>Klijānu 16</v>
      </c>
      <c r="D2472" s="2">
        <f>IFERROR(__xludf.DUMMYFUNCTION("""COMPUTED_VALUE"""),3.0)</f>
        <v>3</v>
      </c>
      <c r="E2472" s="2">
        <f>IFERROR(__xludf.DUMMYFUNCTION("""COMPUTED_VALUE"""),121.0)</f>
        <v>121</v>
      </c>
      <c r="F2472" s="2">
        <f>IFERROR(__xludf.DUMMYFUNCTION("""COMPUTED_VALUE"""),8.0)</f>
        <v>8</v>
      </c>
      <c r="G2472" s="2">
        <f>IFERROR(__xludf.DUMMYFUNCTION("""COMPUTED_VALUE"""),9.0)</f>
        <v>9</v>
      </c>
      <c r="H2472" s="2" t="str">
        <f>IFERROR(__xludf.DUMMYFUNCTION("""COMPUTED_VALUE"""),"Jaun.")</f>
        <v>Jaun.</v>
      </c>
      <c r="I2472" s="2" t="str">
        <f>IFERROR(__xludf.DUMMYFUNCTION("""COMPUTED_VALUE"""),"Masonry")</f>
        <v>Masonry</v>
      </c>
      <c r="J2472" s="2" t="str">
        <f>IFERROR(__xludf.DUMMYFUNCTION("""COMPUTED_VALUE"""),"All amenities")</f>
        <v>All amenities</v>
      </c>
      <c r="K2472" s="2">
        <f>IFERROR(__xludf.DUMMYFUNCTION("""COMPUTED_VALUE"""),240000.0)</f>
        <v>240000</v>
      </c>
      <c r="L2472" s="2">
        <f>IFERROR(__xludf.DUMMYFUNCTION("""COMPUTED_VALUE"""),56.9742195)</f>
        <v>56.9742195</v>
      </c>
      <c r="M2472" s="2">
        <f>IFERROR(__xludf.DUMMYFUNCTION("""COMPUTED_VALUE"""),24.1483510382088)</f>
        <v>24.14835104</v>
      </c>
    </row>
    <row r="2473">
      <c r="A2473" s="2" t="str">
        <f>IFERROR(__xludf.DUMMYFUNCTION("""COMPUTED_VALUE"""),"For rent")</f>
        <v>For rent</v>
      </c>
      <c r="B2473" s="2" t="str">
        <f>IFERROR(__xludf.DUMMYFUNCTION("""COMPUTED_VALUE"""),"Ķengarags")</f>
        <v>Ķengarags</v>
      </c>
      <c r="C2473" s="2" t="str">
        <f>IFERROR(__xludf.DUMMYFUNCTION("""COMPUTED_VALUE"""),"Aviācijas 2e")</f>
        <v>Aviācijas 2e</v>
      </c>
      <c r="D2473" s="2">
        <f>IFERROR(__xludf.DUMMYFUNCTION("""COMPUTED_VALUE"""),1.0)</f>
        <v>1</v>
      </c>
      <c r="E2473" s="2">
        <f>IFERROR(__xludf.DUMMYFUNCTION("""COMPUTED_VALUE"""),30.0)</f>
        <v>30</v>
      </c>
      <c r="F2473" s="2">
        <f>IFERROR(__xludf.DUMMYFUNCTION("""COMPUTED_VALUE"""),3.0)</f>
        <v>3</v>
      </c>
      <c r="G2473" s="2">
        <f>IFERROR(__xludf.DUMMYFUNCTION("""COMPUTED_VALUE"""),12.0)</f>
        <v>12</v>
      </c>
      <c r="H2473" s="2" t="str">
        <f>IFERROR(__xludf.DUMMYFUNCTION("""COMPUTED_VALUE"""),"M. ģim.")</f>
        <v>M. ģim.</v>
      </c>
      <c r="I2473" s="2" t="str">
        <f>IFERROR(__xludf.DUMMYFUNCTION("""COMPUTED_VALUE"""),"Brick-Panel")</f>
        <v>Brick-Panel</v>
      </c>
      <c r="J2473" s="2" t="str">
        <f>IFERROR(__xludf.DUMMYFUNCTION("""COMPUTED_VALUE"""),"All amenities")</f>
        <v>All amenities</v>
      </c>
      <c r="K2473" s="2">
        <f>IFERROR(__xludf.DUMMYFUNCTION("""COMPUTED_VALUE"""),230.0)</f>
        <v>230</v>
      </c>
      <c r="L2473" s="2">
        <f>IFERROR(__xludf.DUMMYFUNCTION("""COMPUTED_VALUE"""),56.9032135)</f>
        <v>56.9032135</v>
      </c>
      <c r="M2473" s="2">
        <f>IFERROR(__xludf.DUMMYFUNCTION("""COMPUTED_VALUE"""),24.2004029731428)</f>
        <v>24.20040297</v>
      </c>
    </row>
    <row r="2474">
      <c r="A2474" s="2" t="str">
        <f>IFERROR(__xludf.DUMMYFUNCTION("""COMPUTED_VALUE"""),"For sale")</f>
        <v>For sale</v>
      </c>
      <c r="B2474" s="2" t="str">
        <f>IFERROR(__xludf.DUMMYFUNCTION("""COMPUTED_VALUE"""),"Mežaparks")</f>
        <v>Mežaparks</v>
      </c>
      <c r="C2474" s="2" t="str">
        <f>IFERROR(__xludf.DUMMYFUNCTION("""COMPUTED_VALUE"""),"Visbijas pr. 45")</f>
        <v>Visbijas pr. 45</v>
      </c>
      <c r="D2474" s="2">
        <f>IFERROR(__xludf.DUMMYFUNCTION("""COMPUTED_VALUE"""),3.0)</f>
        <v>3</v>
      </c>
      <c r="E2474" s="2">
        <f>IFERROR(__xludf.DUMMYFUNCTION("""COMPUTED_VALUE"""),110.0)</f>
        <v>110</v>
      </c>
      <c r="F2474" s="2">
        <f>IFERROR(__xludf.DUMMYFUNCTION("""COMPUTED_VALUE"""),2.0)</f>
        <v>2</v>
      </c>
      <c r="G2474" s="2">
        <f>IFERROR(__xludf.DUMMYFUNCTION("""COMPUTED_VALUE"""),3.0)</f>
        <v>3</v>
      </c>
      <c r="H2474" s="2" t="str">
        <f>IFERROR(__xludf.DUMMYFUNCTION("""COMPUTED_VALUE"""),"Jaun.")</f>
        <v>Jaun.</v>
      </c>
      <c r="I2474" s="2" t="str">
        <f>IFERROR(__xludf.DUMMYFUNCTION("""COMPUTED_VALUE"""),"Masonry")</f>
        <v>Masonry</v>
      </c>
      <c r="J2474" s="2" t="str">
        <f>IFERROR(__xludf.DUMMYFUNCTION("""COMPUTED_VALUE"""),"All amenities")</f>
        <v>All amenities</v>
      </c>
      <c r="K2474" s="2">
        <f>IFERROR(__xludf.DUMMYFUNCTION("""COMPUTED_VALUE"""),270000.0)</f>
        <v>270000</v>
      </c>
      <c r="L2474" s="2" t="str">
        <f>IFERROR(__xludf.DUMMYFUNCTION("""COMPUTED_VALUE"""),"NaN")</f>
        <v>NaN</v>
      </c>
      <c r="M2474" s="2" t="str">
        <f>IFERROR(__xludf.DUMMYFUNCTION("""COMPUTED_VALUE"""),"NaN")</f>
        <v>NaN</v>
      </c>
    </row>
    <row r="2475">
      <c r="A2475" s="2" t="str">
        <f>IFERROR(__xludf.DUMMYFUNCTION("""COMPUTED_VALUE"""),"For rent")</f>
        <v>For rent</v>
      </c>
      <c r="B2475" s="2" t="str">
        <f>IFERROR(__xludf.DUMMYFUNCTION("""COMPUTED_VALUE"""),"Purvciems")</f>
        <v>Purvciems</v>
      </c>
      <c r="C2475" s="2" t="str">
        <f>IFERROR(__xludf.DUMMYFUNCTION("""COMPUTED_VALUE"""),"Stirnu 20a")</f>
        <v>Stirnu 20a</v>
      </c>
      <c r="D2475" s="2">
        <f>IFERROR(__xludf.DUMMYFUNCTION("""COMPUTED_VALUE"""),2.0)</f>
        <v>2</v>
      </c>
      <c r="E2475" s="2">
        <f>IFERROR(__xludf.DUMMYFUNCTION("""COMPUTED_VALUE"""),52.0)</f>
        <v>52</v>
      </c>
      <c r="F2475" s="2">
        <f>IFERROR(__xludf.DUMMYFUNCTION("""COMPUTED_VALUE"""),3.0)</f>
        <v>3</v>
      </c>
      <c r="G2475" s="2">
        <f>IFERROR(__xludf.DUMMYFUNCTION("""COMPUTED_VALUE"""),5.0)</f>
        <v>5</v>
      </c>
      <c r="H2475" s="2" t="str">
        <f>IFERROR(__xludf.DUMMYFUNCTION("""COMPUTED_VALUE"""),"Jaun.")</f>
        <v>Jaun.</v>
      </c>
      <c r="I2475" s="2" t="str">
        <f>IFERROR(__xludf.DUMMYFUNCTION("""COMPUTED_VALUE"""),"Masonry")</f>
        <v>Masonry</v>
      </c>
      <c r="J2475" s="2" t="str">
        <f>IFERROR(__xludf.DUMMYFUNCTION("""COMPUTED_VALUE"""),"All amenities")</f>
        <v>All amenities</v>
      </c>
      <c r="K2475" s="2">
        <f>IFERROR(__xludf.DUMMYFUNCTION("""COMPUTED_VALUE"""),50.0)</f>
        <v>50</v>
      </c>
      <c r="L2475" s="2">
        <f>IFERROR(__xludf.DUMMYFUNCTION("""COMPUTED_VALUE"""),56.9650621)</f>
        <v>56.9650621</v>
      </c>
      <c r="M2475" s="2">
        <f>IFERROR(__xludf.DUMMYFUNCTION("""COMPUTED_VALUE"""),24.1952933)</f>
        <v>24.1952933</v>
      </c>
    </row>
    <row r="2476">
      <c r="A2476" s="2" t="str">
        <f>IFERROR(__xludf.DUMMYFUNCTION("""COMPUTED_VALUE"""),"For sale")</f>
        <v>For sale</v>
      </c>
      <c r="B2476" s="2" t="str">
        <f>IFERROR(__xludf.DUMMYFUNCTION("""COMPUTED_VALUE"""),"Vecmīlgrāvis")</f>
        <v>Vecmīlgrāvis</v>
      </c>
      <c r="C2476" s="2" t="str">
        <f>IFERROR(__xludf.DUMMYFUNCTION("""COMPUTED_VALUE"""),"Kalngales 1")</f>
        <v>Kalngales 1</v>
      </c>
      <c r="D2476" s="2">
        <f>IFERROR(__xludf.DUMMYFUNCTION("""COMPUTED_VALUE"""),2.0)</f>
        <v>2</v>
      </c>
      <c r="E2476" s="2">
        <f>IFERROR(__xludf.DUMMYFUNCTION("""COMPUTED_VALUE"""),50.0)</f>
        <v>50</v>
      </c>
      <c r="F2476" s="2">
        <f>IFERROR(__xludf.DUMMYFUNCTION("""COMPUTED_VALUE"""),1.0)</f>
        <v>1</v>
      </c>
      <c r="G2476" s="2">
        <f>IFERROR(__xludf.DUMMYFUNCTION("""COMPUTED_VALUE"""),9.0)</f>
        <v>9</v>
      </c>
      <c r="H2476" s="2">
        <f>IFERROR(__xludf.DUMMYFUNCTION("""COMPUTED_VALUE"""),602.0)</f>
        <v>602</v>
      </c>
      <c r="I2476" s="2" t="str">
        <f>IFERROR(__xludf.DUMMYFUNCTION("""COMPUTED_VALUE"""),"Panel")</f>
        <v>Panel</v>
      </c>
      <c r="J2476" s="2" t="str">
        <f>IFERROR(__xludf.DUMMYFUNCTION("""COMPUTED_VALUE"""),"All amenities")</f>
        <v>All amenities</v>
      </c>
      <c r="K2476" s="2">
        <f>IFERROR(__xludf.DUMMYFUNCTION("""COMPUTED_VALUE"""),47000.0)</f>
        <v>47000</v>
      </c>
      <c r="L2476" s="2">
        <f>IFERROR(__xludf.DUMMYFUNCTION("""COMPUTED_VALUE"""),57.03824475)</f>
        <v>57.03824475</v>
      </c>
      <c r="M2476" s="2">
        <f>IFERROR(__xludf.DUMMYFUNCTION("""COMPUTED_VALUE"""),24.0993423582241)</f>
        <v>24.09934236</v>
      </c>
    </row>
    <row r="2477">
      <c r="A2477" s="2" t="str">
        <f>IFERROR(__xludf.DUMMYFUNCTION("""COMPUTED_VALUE"""),"For rent")</f>
        <v>For rent</v>
      </c>
      <c r="B2477" s="2" t="str">
        <f>IFERROR(__xludf.DUMMYFUNCTION("""COMPUTED_VALUE"""),"Ziepniekkalns")</f>
        <v>Ziepniekkalns</v>
      </c>
      <c r="C2477" s="2" t="str">
        <f>IFERROR(__xludf.DUMMYFUNCTION("""COMPUTED_VALUE"""),"Kartupeļu 47")</f>
        <v>Kartupeļu 47</v>
      </c>
      <c r="D2477" s="2">
        <f>IFERROR(__xludf.DUMMYFUNCTION("""COMPUTED_VALUE"""),2.0)</f>
        <v>2</v>
      </c>
      <c r="E2477" s="2">
        <f>IFERROR(__xludf.DUMMYFUNCTION("""COMPUTED_VALUE"""),56.0)</f>
        <v>56</v>
      </c>
      <c r="F2477" s="2">
        <f>IFERROR(__xludf.DUMMYFUNCTION("""COMPUTED_VALUE"""),9.0)</f>
        <v>9</v>
      </c>
      <c r="G2477" s="2">
        <f>IFERROR(__xludf.DUMMYFUNCTION("""COMPUTED_VALUE"""),9.0)</f>
        <v>9</v>
      </c>
      <c r="H2477" s="2" t="str">
        <f>IFERROR(__xludf.DUMMYFUNCTION("""COMPUTED_VALUE"""),"Specpr.")</f>
        <v>Specpr.</v>
      </c>
      <c r="I2477" s="2" t="str">
        <f>IFERROR(__xludf.DUMMYFUNCTION("""COMPUTED_VALUE"""),"Brick")</f>
        <v>Brick</v>
      </c>
      <c r="J2477" s="2" t="str">
        <f>IFERROR(__xludf.DUMMYFUNCTION("""COMPUTED_VALUE"""),"All amenities")</f>
        <v>All amenities</v>
      </c>
      <c r="K2477" s="2">
        <f>IFERROR(__xludf.DUMMYFUNCTION("""COMPUTED_VALUE"""),400.0)</f>
        <v>400</v>
      </c>
      <c r="L2477" s="2">
        <f>IFERROR(__xludf.DUMMYFUNCTION("""COMPUTED_VALUE"""),56.91095995)</f>
        <v>56.91095995</v>
      </c>
      <c r="M2477" s="2">
        <f>IFERROR(__xludf.DUMMYFUNCTION("""COMPUTED_VALUE"""),24.1100004569314)</f>
        <v>24.11000046</v>
      </c>
    </row>
    <row r="2478">
      <c r="A2478" s="2" t="str">
        <f>IFERROR(__xludf.DUMMYFUNCTION("""COMPUTED_VALUE"""),"For rent")</f>
        <v>For rent</v>
      </c>
      <c r="B2478" s="2" t="str">
        <f>IFERROR(__xludf.DUMMYFUNCTION("""COMPUTED_VALUE"""),"Iļģuciems")</f>
        <v>Iļģuciems</v>
      </c>
      <c r="C2478" s="2" t="str">
        <f>IFERROR(__xludf.DUMMYFUNCTION("""COMPUTED_VALUE"""),"Dzirciema 37")</f>
        <v>Dzirciema 37</v>
      </c>
      <c r="D2478" s="2">
        <f>IFERROR(__xludf.DUMMYFUNCTION("""COMPUTED_VALUE"""),1.0)</f>
        <v>1</v>
      </c>
      <c r="E2478" s="2">
        <f>IFERROR(__xludf.DUMMYFUNCTION("""COMPUTED_VALUE"""),30.0)</f>
        <v>30</v>
      </c>
      <c r="F2478" s="2">
        <f>IFERROR(__xludf.DUMMYFUNCTION("""COMPUTED_VALUE"""),4.0)</f>
        <v>4</v>
      </c>
      <c r="G2478" s="2">
        <f>IFERROR(__xludf.DUMMYFUNCTION("""COMPUTED_VALUE"""),5.0)</f>
        <v>5</v>
      </c>
      <c r="H2478" s="2" t="str">
        <f>IFERROR(__xludf.DUMMYFUNCTION("""COMPUTED_VALUE"""),"LT proj.")</f>
        <v>LT proj.</v>
      </c>
      <c r="I2478" s="2" t="str">
        <f>IFERROR(__xludf.DUMMYFUNCTION("""COMPUTED_VALUE"""),"Panel")</f>
        <v>Panel</v>
      </c>
      <c r="J2478" s="2" t="str">
        <f>IFERROR(__xludf.DUMMYFUNCTION("""COMPUTED_VALUE"""),"All amenities")</f>
        <v>All amenities</v>
      </c>
      <c r="K2478" s="2">
        <f>IFERROR(__xludf.DUMMYFUNCTION("""COMPUTED_VALUE"""),160.0)</f>
        <v>160</v>
      </c>
      <c r="L2478" s="2">
        <f>IFERROR(__xludf.DUMMYFUNCTION("""COMPUTED_VALUE"""),56.95658335)</f>
        <v>56.95658335</v>
      </c>
      <c r="M2478" s="2">
        <f>IFERROR(__xludf.DUMMYFUNCTION("""COMPUTED_VALUE"""),24.05134355)</f>
        <v>24.05134355</v>
      </c>
    </row>
    <row r="2479">
      <c r="A2479" s="2" t="str">
        <f>IFERROR(__xludf.DUMMYFUNCTION("""COMPUTED_VALUE"""),"For sale")</f>
        <v>For sale</v>
      </c>
      <c r="B2479" s="2" t="str">
        <f>IFERROR(__xludf.DUMMYFUNCTION("""COMPUTED_VALUE"""),"Āgenskalns")</f>
        <v>Āgenskalns</v>
      </c>
      <c r="C2479" s="2" t="str">
        <f>IFERROR(__xludf.DUMMYFUNCTION("""COMPUTED_VALUE"""),"Zeļļu 13")</f>
        <v>Zeļļu 13</v>
      </c>
      <c r="D2479" s="2">
        <f>IFERROR(__xludf.DUMMYFUNCTION("""COMPUTED_VALUE"""),2.0)</f>
        <v>2</v>
      </c>
      <c r="E2479" s="2">
        <f>IFERROR(__xludf.DUMMYFUNCTION("""COMPUTED_VALUE"""),50.0)</f>
        <v>50</v>
      </c>
      <c r="F2479" s="2">
        <f>IFERROR(__xludf.DUMMYFUNCTION("""COMPUTED_VALUE"""),2.0)</f>
        <v>2</v>
      </c>
      <c r="G2479" s="2">
        <f>IFERROR(__xludf.DUMMYFUNCTION("""COMPUTED_VALUE"""),3.0)</f>
        <v>3</v>
      </c>
      <c r="H2479" s="2" t="str">
        <f>IFERROR(__xludf.DUMMYFUNCTION("""COMPUTED_VALUE"""),"P. kara")</f>
        <v>P. kara</v>
      </c>
      <c r="I2479" s="2" t="str">
        <f>IFERROR(__xludf.DUMMYFUNCTION("""COMPUTED_VALUE"""),"Wood")</f>
        <v>Wood</v>
      </c>
      <c r="J2479" s="2" t="str">
        <f>IFERROR(__xludf.DUMMYFUNCTION("""COMPUTED_VALUE"""),"All amenities")</f>
        <v>All amenities</v>
      </c>
      <c r="K2479" s="2">
        <f>IFERROR(__xludf.DUMMYFUNCTION("""COMPUTED_VALUE"""),105000.0)</f>
        <v>105000</v>
      </c>
      <c r="L2479" s="2">
        <f>IFERROR(__xludf.DUMMYFUNCTION("""COMPUTED_VALUE"""),56.93524705)</f>
        <v>56.93524705</v>
      </c>
      <c r="M2479" s="2">
        <f>IFERROR(__xludf.DUMMYFUNCTION("""COMPUTED_VALUE"""),24.0750776309247)</f>
        <v>24.07507763</v>
      </c>
    </row>
    <row r="2480">
      <c r="A2480" s="2" t="str">
        <f>IFERROR(__xludf.DUMMYFUNCTION("""COMPUTED_VALUE"""),"For rent")</f>
        <v>For rent</v>
      </c>
      <c r="B2480" s="2" t="str">
        <f>IFERROR(__xludf.DUMMYFUNCTION("""COMPUTED_VALUE"""),"centrs")</f>
        <v>centrs</v>
      </c>
      <c r="C2480" s="2" t="str">
        <f>IFERROR(__xludf.DUMMYFUNCTION("""COMPUTED_VALUE"""),"Bruņinieku 28")</f>
        <v>Bruņinieku 28</v>
      </c>
      <c r="D2480" s="2">
        <f>IFERROR(__xludf.DUMMYFUNCTION("""COMPUTED_VALUE"""),3.0)</f>
        <v>3</v>
      </c>
      <c r="E2480" s="2">
        <f>IFERROR(__xludf.DUMMYFUNCTION("""COMPUTED_VALUE"""),75.0)</f>
        <v>75</v>
      </c>
      <c r="F2480" s="2">
        <f>IFERROR(__xludf.DUMMYFUNCTION("""COMPUTED_VALUE"""),3.0)</f>
        <v>3</v>
      </c>
      <c r="G2480" s="2">
        <f>IFERROR(__xludf.DUMMYFUNCTION("""COMPUTED_VALUE"""),6.0)</f>
        <v>6</v>
      </c>
      <c r="H2480" s="2" t="str">
        <f>IFERROR(__xludf.DUMMYFUNCTION("""COMPUTED_VALUE"""),"P. kara")</f>
        <v>P. kara</v>
      </c>
      <c r="I2480" s="2" t="str">
        <f>IFERROR(__xludf.DUMMYFUNCTION("""COMPUTED_VALUE"""),"Masonry")</f>
        <v>Masonry</v>
      </c>
      <c r="J2480" s="2" t="str">
        <f>IFERROR(__xludf.DUMMYFUNCTION("""COMPUTED_VALUE"""),"All amenities")</f>
        <v>All amenities</v>
      </c>
      <c r="K2480" s="2">
        <f>IFERROR(__xludf.DUMMYFUNCTION("""COMPUTED_VALUE"""),670.0)</f>
        <v>670</v>
      </c>
      <c r="L2480" s="2">
        <f>IFERROR(__xludf.DUMMYFUNCTION("""COMPUTED_VALUE"""),56.95567115)</f>
        <v>56.95567115</v>
      </c>
      <c r="M2480" s="2">
        <f>IFERROR(__xludf.DUMMYFUNCTION("""COMPUTED_VALUE"""),24.1314109608833)</f>
        <v>24.13141096</v>
      </c>
    </row>
    <row r="2481">
      <c r="A2481" s="2" t="str">
        <f>IFERROR(__xludf.DUMMYFUNCTION("""COMPUTED_VALUE"""),"For sale")</f>
        <v>For sale</v>
      </c>
      <c r="B2481" s="2" t="str">
        <f>IFERROR(__xludf.DUMMYFUNCTION("""COMPUTED_VALUE"""),"Pļavnieki")</f>
        <v>Pļavnieki</v>
      </c>
      <c r="C2481" s="2" t="str">
        <f>IFERROR(__xludf.DUMMYFUNCTION("""COMPUTED_VALUE"""),"Ulbrokas 12")</f>
        <v>Ulbrokas 12</v>
      </c>
      <c r="D2481" s="2">
        <f>IFERROR(__xludf.DUMMYFUNCTION("""COMPUTED_VALUE"""),2.0)</f>
        <v>2</v>
      </c>
      <c r="E2481" s="2">
        <f>IFERROR(__xludf.DUMMYFUNCTION("""COMPUTED_VALUE"""),67.2)</f>
        <v>67.2</v>
      </c>
      <c r="F2481" s="2">
        <f>IFERROR(__xludf.DUMMYFUNCTION("""COMPUTED_VALUE"""),7.0)</f>
        <v>7</v>
      </c>
      <c r="G2481" s="2">
        <f>IFERROR(__xludf.DUMMYFUNCTION("""COMPUTED_VALUE"""),9.0)</f>
        <v>9</v>
      </c>
      <c r="H2481" s="2" t="str">
        <f>IFERROR(__xludf.DUMMYFUNCTION("""COMPUTED_VALUE"""),"Jaun.")</f>
        <v>Jaun.</v>
      </c>
      <c r="I2481" s="2" t="str">
        <f>IFERROR(__xludf.DUMMYFUNCTION("""COMPUTED_VALUE"""),"Brick-Panel")</f>
        <v>Brick-Panel</v>
      </c>
      <c r="J2481" s="2" t="str">
        <f>IFERROR(__xludf.DUMMYFUNCTION("""COMPUTED_VALUE"""),"All amenities")</f>
        <v>All amenities</v>
      </c>
      <c r="K2481" s="2">
        <f>IFERROR(__xludf.DUMMYFUNCTION("""COMPUTED_VALUE"""),116000.0)</f>
        <v>116000</v>
      </c>
      <c r="L2481" s="2">
        <f>IFERROR(__xludf.DUMMYFUNCTION("""COMPUTED_VALUE"""),56.94122905)</f>
        <v>56.94122905</v>
      </c>
      <c r="M2481" s="2">
        <f>IFERROR(__xludf.DUMMYFUNCTION("""COMPUTED_VALUE"""),24.2174231674689)</f>
        <v>24.21742317</v>
      </c>
    </row>
    <row r="2482">
      <c r="A2482" s="2" t="str">
        <f>IFERROR(__xludf.DUMMYFUNCTION("""COMPUTED_VALUE"""),"For rent")</f>
        <v>For rent</v>
      </c>
      <c r="B2482" s="2" t="str">
        <f>IFERROR(__xludf.DUMMYFUNCTION("""COMPUTED_VALUE"""),"centrs")</f>
        <v>centrs</v>
      </c>
      <c r="C2482" s="2" t="str">
        <f>IFERROR(__xludf.DUMMYFUNCTION("""COMPUTED_VALUE"""),"Brīvības 156")</f>
        <v>Brīvības 156</v>
      </c>
      <c r="D2482" s="2">
        <f>IFERROR(__xludf.DUMMYFUNCTION("""COMPUTED_VALUE"""),1.0)</f>
        <v>1</v>
      </c>
      <c r="E2482" s="2">
        <f>IFERROR(__xludf.DUMMYFUNCTION("""COMPUTED_VALUE"""),30.0)</f>
        <v>30</v>
      </c>
      <c r="F2482" s="2">
        <f>IFERROR(__xludf.DUMMYFUNCTION("""COMPUTED_VALUE"""),5.0)</f>
        <v>5</v>
      </c>
      <c r="G2482" s="2">
        <f>IFERROR(__xludf.DUMMYFUNCTION("""COMPUTED_VALUE"""),5.0)</f>
        <v>5</v>
      </c>
      <c r="H2482" s="2" t="str">
        <f>IFERROR(__xludf.DUMMYFUNCTION("""COMPUTED_VALUE"""),"Specpr.")</f>
        <v>Specpr.</v>
      </c>
      <c r="I2482" s="2" t="str">
        <f>IFERROR(__xludf.DUMMYFUNCTION("""COMPUTED_VALUE"""),"Panel")</f>
        <v>Panel</v>
      </c>
      <c r="J2482" s="2" t="str">
        <f>IFERROR(__xludf.DUMMYFUNCTION("""COMPUTED_VALUE"""),"All amenities")</f>
        <v>All amenities</v>
      </c>
      <c r="K2482" s="2">
        <f>IFERROR(__xludf.DUMMYFUNCTION("""COMPUTED_VALUE"""),30.0)</f>
        <v>30</v>
      </c>
      <c r="L2482" s="2">
        <f>IFERROR(__xludf.DUMMYFUNCTION("""COMPUTED_VALUE"""),56.9651947)</f>
        <v>56.9651947</v>
      </c>
      <c r="M2482" s="2">
        <f>IFERROR(__xludf.DUMMYFUNCTION("""COMPUTED_VALUE"""),24.1427693772217)</f>
        <v>24.14276938</v>
      </c>
    </row>
    <row r="2483">
      <c r="A2483" s="2" t="str">
        <f>IFERROR(__xludf.DUMMYFUNCTION("""COMPUTED_VALUE"""),"For sale")</f>
        <v>For sale</v>
      </c>
      <c r="B2483" s="2" t="str">
        <f>IFERROR(__xludf.DUMMYFUNCTION("""COMPUTED_VALUE"""),"centrs")</f>
        <v>centrs</v>
      </c>
      <c r="C2483" s="2" t="str">
        <f>IFERROR(__xludf.DUMMYFUNCTION("""COMPUTED_VALUE"""),"Valdemāra 37")</f>
        <v>Valdemāra 37</v>
      </c>
      <c r="D2483" s="2">
        <f>IFERROR(__xludf.DUMMYFUNCTION("""COMPUTED_VALUE"""),3.0)</f>
        <v>3</v>
      </c>
      <c r="E2483" s="2">
        <f>IFERROR(__xludf.DUMMYFUNCTION("""COMPUTED_VALUE"""),77.6)</f>
        <v>77.6</v>
      </c>
      <c r="F2483" s="2">
        <f>IFERROR(__xludf.DUMMYFUNCTION("""COMPUTED_VALUE"""),5.0)</f>
        <v>5</v>
      </c>
      <c r="G2483" s="2">
        <f>IFERROR(__xludf.DUMMYFUNCTION("""COMPUTED_VALUE"""),6.0)</f>
        <v>6</v>
      </c>
      <c r="H2483" s="2" t="str">
        <f>IFERROR(__xludf.DUMMYFUNCTION("""COMPUTED_VALUE"""),"Renov.")</f>
        <v>Renov.</v>
      </c>
      <c r="I2483" s="2" t="str">
        <f>IFERROR(__xludf.DUMMYFUNCTION("""COMPUTED_VALUE"""),"Masonry")</f>
        <v>Masonry</v>
      </c>
      <c r="J2483" s="2" t="str">
        <f>IFERROR(__xludf.DUMMYFUNCTION("""COMPUTED_VALUE"""),"All amenities")</f>
        <v>All amenities</v>
      </c>
      <c r="K2483" s="2">
        <f>IFERROR(__xludf.DUMMYFUNCTION("""COMPUTED_VALUE"""),166840.0)</f>
        <v>166840</v>
      </c>
      <c r="L2483" s="2">
        <f>IFERROR(__xludf.DUMMYFUNCTION("""COMPUTED_VALUE"""),56.958482)</f>
        <v>56.958482</v>
      </c>
      <c r="M2483" s="2">
        <f>IFERROR(__xludf.DUMMYFUNCTION("""COMPUTED_VALUE"""),24.116859)</f>
        <v>24.116859</v>
      </c>
    </row>
    <row r="2484">
      <c r="A2484" s="2" t="str">
        <f>IFERROR(__xludf.DUMMYFUNCTION("""COMPUTED_VALUE"""),"For sale")</f>
        <v>For sale</v>
      </c>
      <c r="B2484" s="2" t="str">
        <f>IFERROR(__xludf.DUMMYFUNCTION("""COMPUTED_VALUE"""),"Imanta")</f>
        <v>Imanta</v>
      </c>
      <c r="C2484" s="2" t="str">
        <f>IFERROR(__xludf.DUMMYFUNCTION("""COMPUTED_VALUE"""),"Anniņmuižas bulvāris 43")</f>
        <v>Anniņmuižas bulvāris 43</v>
      </c>
      <c r="D2484" s="2">
        <f>IFERROR(__xludf.DUMMYFUNCTION("""COMPUTED_VALUE"""),2.0)</f>
        <v>2</v>
      </c>
      <c r="E2484" s="2">
        <f>IFERROR(__xludf.DUMMYFUNCTION("""COMPUTED_VALUE"""),54.0)</f>
        <v>54</v>
      </c>
      <c r="F2484" s="2">
        <f>IFERROR(__xludf.DUMMYFUNCTION("""COMPUTED_VALUE"""),17.0)</f>
        <v>17</v>
      </c>
      <c r="G2484" s="2">
        <f>IFERROR(__xludf.DUMMYFUNCTION("""COMPUTED_VALUE"""),24.0)</f>
        <v>24</v>
      </c>
      <c r="H2484" s="2" t="str">
        <f>IFERROR(__xludf.DUMMYFUNCTION("""COMPUTED_VALUE"""),"Jaun.")</f>
        <v>Jaun.</v>
      </c>
      <c r="I2484" s="2" t="str">
        <f>IFERROR(__xludf.DUMMYFUNCTION("""COMPUTED_VALUE"""),"Panel")</f>
        <v>Panel</v>
      </c>
      <c r="J2484" s="2" t="str">
        <f>IFERROR(__xludf.DUMMYFUNCTION("""COMPUTED_VALUE"""),"All amenities")</f>
        <v>All amenities</v>
      </c>
      <c r="K2484" s="2">
        <f>IFERROR(__xludf.DUMMYFUNCTION("""COMPUTED_VALUE"""),91000.0)</f>
        <v>91000</v>
      </c>
      <c r="L2484" s="2">
        <f>IFERROR(__xludf.DUMMYFUNCTION("""COMPUTED_VALUE"""),56.9590306)</f>
        <v>56.9590306</v>
      </c>
      <c r="M2484" s="2">
        <f>IFERROR(__xludf.DUMMYFUNCTION("""COMPUTED_VALUE"""),24.013887042853)</f>
        <v>24.01388704</v>
      </c>
    </row>
    <row r="2485">
      <c r="A2485" s="2" t="str">
        <f>IFERROR(__xludf.DUMMYFUNCTION("""COMPUTED_VALUE"""),"For rent")</f>
        <v>For rent</v>
      </c>
      <c r="B2485" s="2" t="str">
        <f>IFERROR(__xludf.DUMMYFUNCTION("""COMPUTED_VALUE"""),"Jugla")</f>
        <v>Jugla</v>
      </c>
      <c r="C2485" s="2" t="str">
        <f>IFERROR(__xludf.DUMMYFUNCTION("""COMPUTED_VALUE"""),"Brīvības gatve 432k1")</f>
        <v>Brīvības gatve 432k1</v>
      </c>
      <c r="D2485" s="2">
        <f>IFERROR(__xludf.DUMMYFUNCTION("""COMPUTED_VALUE"""),1.0)</f>
        <v>1</v>
      </c>
      <c r="E2485" s="2">
        <f>IFERROR(__xludf.DUMMYFUNCTION("""COMPUTED_VALUE"""),30.0)</f>
        <v>30</v>
      </c>
      <c r="F2485" s="2">
        <f>IFERROR(__xludf.DUMMYFUNCTION("""COMPUTED_VALUE"""),1.0)</f>
        <v>1</v>
      </c>
      <c r="G2485" s="2">
        <f>IFERROR(__xludf.DUMMYFUNCTION("""COMPUTED_VALUE"""),9.0)</f>
        <v>9</v>
      </c>
      <c r="H2485" s="2" t="str">
        <f>IFERROR(__xludf.DUMMYFUNCTION("""COMPUTED_VALUE"""),"Specpr.")</f>
        <v>Specpr.</v>
      </c>
      <c r="I2485" s="2" t="str">
        <f>IFERROR(__xludf.DUMMYFUNCTION("""COMPUTED_VALUE"""),"Brick")</f>
        <v>Brick</v>
      </c>
      <c r="J2485" s="2" t="str">
        <f>IFERROR(__xludf.DUMMYFUNCTION("""COMPUTED_VALUE"""),"All amenities")</f>
        <v>All amenities</v>
      </c>
      <c r="K2485" s="2">
        <f>IFERROR(__xludf.DUMMYFUNCTION("""COMPUTED_VALUE"""),300.0)</f>
        <v>300</v>
      </c>
      <c r="L2485" s="2" t="str">
        <f>IFERROR(__xludf.DUMMYFUNCTION("""COMPUTED_VALUE"""),"NaN")</f>
        <v>NaN</v>
      </c>
      <c r="M2485" s="2" t="str">
        <f>IFERROR(__xludf.DUMMYFUNCTION("""COMPUTED_VALUE"""),"NaN")</f>
        <v>NaN</v>
      </c>
    </row>
    <row r="2486">
      <c r="A2486" s="2" t="str">
        <f>IFERROR(__xludf.DUMMYFUNCTION("""COMPUTED_VALUE"""),"For rent")</f>
        <v>For rent</v>
      </c>
      <c r="B2486" s="2" t="str">
        <f>IFERROR(__xludf.DUMMYFUNCTION("""COMPUTED_VALUE"""),"Pļavnieki")</f>
        <v>Pļavnieki</v>
      </c>
      <c r="C2486" s="2" t="str">
        <f>IFERROR(__xludf.DUMMYFUNCTION("""COMPUTED_VALUE"""),"Dravnieku 13")</f>
        <v>Dravnieku 13</v>
      </c>
      <c r="D2486" s="2">
        <f>IFERROR(__xludf.DUMMYFUNCTION("""COMPUTED_VALUE"""),2.0)</f>
        <v>2</v>
      </c>
      <c r="E2486" s="2">
        <f>IFERROR(__xludf.DUMMYFUNCTION("""COMPUTED_VALUE"""),50.0)</f>
        <v>50</v>
      </c>
      <c r="F2486" s="2">
        <f>IFERROR(__xludf.DUMMYFUNCTION("""COMPUTED_VALUE"""),9.0)</f>
        <v>9</v>
      </c>
      <c r="G2486" s="2">
        <f>IFERROR(__xludf.DUMMYFUNCTION("""COMPUTED_VALUE"""),9.0)</f>
        <v>9</v>
      </c>
      <c r="H2486" s="2">
        <f>IFERROR(__xludf.DUMMYFUNCTION("""COMPUTED_VALUE"""),602.0)</f>
        <v>602</v>
      </c>
      <c r="I2486" s="2" t="str">
        <f>IFERROR(__xludf.DUMMYFUNCTION("""COMPUTED_VALUE"""),"Panel")</f>
        <v>Panel</v>
      </c>
      <c r="J2486" s="2" t="str">
        <f>IFERROR(__xludf.DUMMYFUNCTION("""COMPUTED_VALUE"""),"All amenities")</f>
        <v>All amenities</v>
      </c>
      <c r="K2486" s="2">
        <f>IFERROR(__xludf.DUMMYFUNCTION("""COMPUTED_VALUE"""),29.0)</f>
        <v>29</v>
      </c>
      <c r="L2486" s="2">
        <f>IFERROR(__xludf.DUMMYFUNCTION("""COMPUTED_VALUE"""),56.94404435)</f>
        <v>56.94404435</v>
      </c>
      <c r="M2486" s="2">
        <f>IFERROR(__xludf.DUMMYFUNCTION("""COMPUTED_VALUE"""),24.21522315)</f>
        <v>24.21522315</v>
      </c>
    </row>
    <row r="2487">
      <c r="A2487" s="2" t="str">
        <f>IFERROR(__xludf.DUMMYFUNCTION("""COMPUTED_VALUE"""),"For rent")</f>
        <v>For rent</v>
      </c>
      <c r="B2487" s="2" t="str">
        <f>IFERROR(__xludf.DUMMYFUNCTION("""COMPUTED_VALUE"""),"centrs")</f>
        <v>centrs</v>
      </c>
      <c r="C2487" s="2" t="str">
        <f>IFERROR(__xludf.DUMMYFUNCTION("""COMPUTED_VALUE"""),"Stabu 49a")</f>
        <v>Stabu 49a</v>
      </c>
      <c r="D2487" s="2">
        <f>IFERROR(__xludf.DUMMYFUNCTION("""COMPUTED_VALUE"""),1.0)</f>
        <v>1</v>
      </c>
      <c r="E2487" s="2">
        <f>IFERROR(__xludf.DUMMYFUNCTION("""COMPUTED_VALUE"""),40.0)</f>
        <v>40</v>
      </c>
      <c r="F2487" s="2">
        <f>IFERROR(__xludf.DUMMYFUNCTION("""COMPUTED_VALUE"""),2.0)</f>
        <v>2</v>
      </c>
      <c r="G2487" s="2">
        <f>IFERROR(__xludf.DUMMYFUNCTION("""COMPUTED_VALUE"""),5.0)</f>
        <v>5</v>
      </c>
      <c r="H2487" s="2" t="str">
        <f>IFERROR(__xludf.DUMMYFUNCTION("""COMPUTED_VALUE"""),"P. kara")</f>
        <v>P. kara</v>
      </c>
      <c r="I2487" s="2" t="str">
        <f>IFERROR(__xludf.DUMMYFUNCTION("""COMPUTED_VALUE"""),"Masonry")</f>
        <v>Masonry</v>
      </c>
      <c r="J2487" s="2" t="str">
        <f>IFERROR(__xludf.DUMMYFUNCTION("""COMPUTED_VALUE"""),"All amenities")</f>
        <v>All amenities</v>
      </c>
      <c r="K2487" s="2">
        <f>IFERROR(__xludf.DUMMYFUNCTION("""COMPUTED_VALUE"""),300.0)</f>
        <v>300</v>
      </c>
      <c r="L2487" s="2">
        <f>IFERROR(__xludf.DUMMYFUNCTION("""COMPUTED_VALUE"""),56.95468425)</f>
        <v>56.95468425</v>
      </c>
      <c r="M2487" s="2">
        <f>IFERROR(__xludf.DUMMYFUNCTION("""COMPUTED_VALUE"""),24.1322506039386)</f>
        <v>24.1322506</v>
      </c>
    </row>
    <row r="2488">
      <c r="A2488" s="2" t="str">
        <f>IFERROR(__xludf.DUMMYFUNCTION("""COMPUTED_VALUE"""),"For rent")</f>
        <v>For rent</v>
      </c>
      <c r="B2488" s="2" t="str">
        <f>IFERROR(__xludf.DUMMYFUNCTION("""COMPUTED_VALUE"""),"centrs")</f>
        <v>centrs</v>
      </c>
      <c r="C2488" s="2" t="str">
        <f>IFERROR(__xludf.DUMMYFUNCTION("""COMPUTED_VALUE"""),"Stabu 49")</f>
        <v>Stabu 49</v>
      </c>
      <c r="D2488" s="2">
        <f>IFERROR(__xludf.DUMMYFUNCTION("""COMPUTED_VALUE"""),3.0)</f>
        <v>3</v>
      </c>
      <c r="E2488" s="2">
        <f>IFERROR(__xludf.DUMMYFUNCTION("""COMPUTED_VALUE"""),60.0)</f>
        <v>60</v>
      </c>
      <c r="F2488" s="2">
        <f>IFERROR(__xludf.DUMMYFUNCTION("""COMPUTED_VALUE"""),2.0)</f>
        <v>2</v>
      </c>
      <c r="G2488" s="2">
        <f>IFERROR(__xludf.DUMMYFUNCTION("""COMPUTED_VALUE"""),5.0)</f>
        <v>5</v>
      </c>
      <c r="H2488" s="2" t="str">
        <f>IFERROR(__xludf.DUMMYFUNCTION("""COMPUTED_VALUE"""),"P. kara")</f>
        <v>P. kara</v>
      </c>
      <c r="I2488" s="2" t="str">
        <f>IFERROR(__xludf.DUMMYFUNCTION("""COMPUTED_VALUE"""),"Masonry")</f>
        <v>Masonry</v>
      </c>
      <c r="J2488" s="2" t="str">
        <f>IFERROR(__xludf.DUMMYFUNCTION("""COMPUTED_VALUE"""),"All amenities")</f>
        <v>All amenities</v>
      </c>
      <c r="K2488" s="2">
        <f>IFERROR(__xludf.DUMMYFUNCTION("""COMPUTED_VALUE"""),350.0)</f>
        <v>350</v>
      </c>
      <c r="L2488" s="2">
        <f>IFERROR(__xludf.DUMMYFUNCTION("""COMPUTED_VALUE"""),56.9548643)</f>
        <v>56.9548643</v>
      </c>
      <c r="M2488" s="2">
        <f>IFERROR(__xludf.DUMMYFUNCTION("""COMPUTED_VALUE"""),24.1318858796428)</f>
        <v>24.13188588</v>
      </c>
    </row>
    <row r="2489">
      <c r="A2489" s="2" t="str">
        <f>IFERROR(__xludf.DUMMYFUNCTION("""COMPUTED_VALUE"""),"For rent")</f>
        <v>For rent</v>
      </c>
      <c r="B2489" s="2" t="str">
        <f>IFERROR(__xludf.DUMMYFUNCTION("""COMPUTED_VALUE"""),"Mežaparks")</f>
        <v>Mežaparks</v>
      </c>
      <c r="C2489" s="2" t="str">
        <f>IFERROR(__xludf.DUMMYFUNCTION("""COMPUTED_VALUE"""),"Ezermalas 27")</f>
        <v>Ezermalas 27</v>
      </c>
      <c r="D2489" s="2">
        <f>IFERROR(__xludf.DUMMYFUNCTION("""COMPUTED_VALUE"""),2.0)</f>
        <v>2</v>
      </c>
      <c r="E2489" s="2">
        <f>IFERROR(__xludf.DUMMYFUNCTION("""COMPUTED_VALUE"""),52.0)</f>
        <v>52</v>
      </c>
      <c r="F2489" s="2">
        <f>IFERROR(__xludf.DUMMYFUNCTION("""COMPUTED_VALUE"""),4.0)</f>
        <v>4</v>
      </c>
      <c r="G2489" s="2">
        <f>IFERROR(__xludf.DUMMYFUNCTION("""COMPUTED_VALUE"""),12.0)</f>
        <v>12</v>
      </c>
      <c r="H2489" s="2" t="str">
        <f>IFERROR(__xludf.DUMMYFUNCTION("""COMPUTED_VALUE"""),"Specpr.")</f>
        <v>Specpr.</v>
      </c>
      <c r="I2489" s="2" t="str">
        <f>IFERROR(__xludf.DUMMYFUNCTION("""COMPUTED_VALUE"""),"Brick")</f>
        <v>Brick</v>
      </c>
      <c r="J2489" s="2" t="str">
        <f>IFERROR(__xludf.DUMMYFUNCTION("""COMPUTED_VALUE"""),"All amenities")</f>
        <v>All amenities</v>
      </c>
      <c r="K2489" s="2">
        <f>IFERROR(__xludf.DUMMYFUNCTION("""COMPUTED_VALUE"""),290.0)</f>
        <v>290</v>
      </c>
      <c r="L2489" s="2">
        <f>IFERROR(__xludf.DUMMYFUNCTION("""COMPUTED_VALUE"""),57.00109145)</f>
        <v>57.00109145</v>
      </c>
      <c r="M2489" s="2">
        <f>IFERROR(__xludf.DUMMYFUNCTION("""COMPUTED_VALUE"""),24.1694669907625)</f>
        <v>24.16946699</v>
      </c>
    </row>
    <row r="2490">
      <c r="A2490" s="2" t="str">
        <f>IFERROR(__xludf.DUMMYFUNCTION("""COMPUTED_VALUE"""),"For sale")</f>
        <v>For sale</v>
      </c>
      <c r="B2490" s="2" t="str">
        <f>IFERROR(__xludf.DUMMYFUNCTION("""COMPUTED_VALUE"""),"centrs")</f>
        <v>centrs</v>
      </c>
      <c r="C2490" s="2" t="str">
        <f>IFERROR(__xludf.DUMMYFUNCTION("""COMPUTED_VALUE"""),"Tallinas 20")</f>
        <v>Tallinas 20</v>
      </c>
      <c r="D2490" s="2">
        <f>IFERROR(__xludf.DUMMYFUNCTION("""COMPUTED_VALUE"""),3.0)</f>
        <v>3</v>
      </c>
      <c r="E2490" s="2">
        <f>IFERROR(__xludf.DUMMYFUNCTION("""COMPUTED_VALUE"""),49.0)</f>
        <v>49</v>
      </c>
      <c r="F2490" s="2">
        <f>IFERROR(__xludf.DUMMYFUNCTION("""COMPUTED_VALUE"""),4.0)</f>
        <v>4</v>
      </c>
      <c r="G2490" s="2">
        <f>IFERROR(__xludf.DUMMYFUNCTION("""COMPUTED_VALUE"""),5.0)</f>
        <v>5</v>
      </c>
      <c r="H2490" s="2" t="str">
        <f>IFERROR(__xludf.DUMMYFUNCTION("""COMPUTED_VALUE"""),"P. kara")</f>
        <v>P. kara</v>
      </c>
      <c r="I2490" s="2" t="str">
        <f>IFERROR(__xludf.DUMMYFUNCTION("""COMPUTED_VALUE"""),"Brick")</f>
        <v>Brick</v>
      </c>
      <c r="J2490" s="2" t="str">
        <f>IFERROR(__xludf.DUMMYFUNCTION("""COMPUTED_VALUE"""),"All amenities")</f>
        <v>All amenities</v>
      </c>
      <c r="K2490" s="2">
        <f>IFERROR(__xludf.DUMMYFUNCTION("""COMPUTED_VALUE"""),72000.0)</f>
        <v>72000</v>
      </c>
      <c r="L2490" s="2">
        <f>IFERROR(__xludf.DUMMYFUNCTION("""COMPUTED_VALUE"""),56.9636967999999)</f>
        <v>56.9636968</v>
      </c>
      <c r="M2490" s="2">
        <f>IFERROR(__xludf.DUMMYFUNCTION("""COMPUTED_VALUE"""),24.1357898691473)</f>
        <v>24.13578987</v>
      </c>
    </row>
    <row r="2491">
      <c r="A2491" s="2" t="str">
        <f>IFERROR(__xludf.DUMMYFUNCTION("""COMPUTED_VALUE"""),"For sale")</f>
        <v>For sale</v>
      </c>
      <c r="B2491" s="2" t="str">
        <f>IFERROR(__xludf.DUMMYFUNCTION("""COMPUTED_VALUE"""),"Jugla")</f>
        <v>Jugla</v>
      </c>
      <c r="C2491" s="2" t="str">
        <f>IFERROR(__xludf.DUMMYFUNCTION("""COMPUTED_VALUE"""),"Vangažu 15")</f>
        <v>Vangažu 15</v>
      </c>
      <c r="D2491" s="2">
        <f>IFERROR(__xludf.DUMMYFUNCTION("""COMPUTED_VALUE"""),1.0)</f>
        <v>1</v>
      </c>
      <c r="E2491" s="2">
        <f>IFERROR(__xludf.DUMMYFUNCTION("""COMPUTED_VALUE"""),33.0)</f>
        <v>33</v>
      </c>
      <c r="F2491" s="2">
        <f>IFERROR(__xludf.DUMMYFUNCTION("""COMPUTED_VALUE"""),1.0)</f>
        <v>1</v>
      </c>
      <c r="G2491" s="2">
        <f>IFERROR(__xludf.DUMMYFUNCTION("""COMPUTED_VALUE"""),12.0)</f>
        <v>12</v>
      </c>
      <c r="H2491" s="2" t="str">
        <f>IFERROR(__xludf.DUMMYFUNCTION("""COMPUTED_VALUE"""),"Specpr.")</f>
        <v>Specpr.</v>
      </c>
      <c r="I2491" s="2" t="str">
        <f>IFERROR(__xludf.DUMMYFUNCTION("""COMPUTED_VALUE"""),"Brick-Panel")</f>
        <v>Brick-Panel</v>
      </c>
      <c r="J2491" s="2" t="str">
        <f>IFERROR(__xludf.DUMMYFUNCTION("""COMPUTED_VALUE"""),"All amenities")</f>
        <v>All amenities</v>
      </c>
      <c r="K2491" s="2">
        <f>IFERROR(__xludf.DUMMYFUNCTION("""COMPUTED_VALUE"""),30000.0)</f>
        <v>30000</v>
      </c>
      <c r="L2491" s="2">
        <f>IFERROR(__xludf.DUMMYFUNCTION("""COMPUTED_VALUE"""),56.9872837)</f>
        <v>56.9872837</v>
      </c>
      <c r="M2491" s="2">
        <f>IFERROR(__xludf.DUMMYFUNCTION("""COMPUTED_VALUE"""),24.2298159546237)</f>
        <v>24.22981595</v>
      </c>
    </row>
    <row r="2492">
      <c r="A2492" s="2" t="str">
        <f>IFERROR(__xludf.DUMMYFUNCTION("""COMPUTED_VALUE"""),"For sale")</f>
        <v>For sale</v>
      </c>
      <c r="B2492" s="2" t="str">
        <f>IFERROR(__xludf.DUMMYFUNCTION("""COMPUTED_VALUE"""),"Pļavnieki")</f>
        <v>Pļavnieki</v>
      </c>
      <c r="C2492" s="2" t="str">
        <f>IFERROR(__xludf.DUMMYFUNCTION("""COMPUTED_VALUE"""),"Saharova 5")</f>
        <v>Saharova 5</v>
      </c>
      <c r="D2492" s="2">
        <f>IFERROR(__xludf.DUMMYFUNCTION("""COMPUTED_VALUE"""),3.0)</f>
        <v>3</v>
      </c>
      <c r="E2492" s="2">
        <f>IFERROR(__xludf.DUMMYFUNCTION("""COMPUTED_VALUE"""),62.0)</f>
        <v>62</v>
      </c>
      <c r="F2492" s="2">
        <f>IFERROR(__xludf.DUMMYFUNCTION("""COMPUTED_VALUE"""),8.0)</f>
        <v>8</v>
      </c>
      <c r="G2492" s="2">
        <f>IFERROR(__xludf.DUMMYFUNCTION("""COMPUTED_VALUE"""),9.0)</f>
        <v>9</v>
      </c>
      <c r="H2492" s="2">
        <f>IFERROR(__xludf.DUMMYFUNCTION("""COMPUTED_VALUE"""),602.0)</f>
        <v>602</v>
      </c>
      <c r="I2492" s="2" t="str">
        <f>IFERROR(__xludf.DUMMYFUNCTION("""COMPUTED_VALUE"""),"Panel")</f>
        <v>Panel</v>
      </c>
      <c r="J2492" s="2" t="str">
        <f>IFERROR(__xludf.DUMMYFUNCTION("""COMPUTED_VALUE"""),"All amenities")</f>
        <v>All amenities</v>
      </c>
      <c r="K2492" s="2">
        <f>IFERROR(__xludf.DUMMYFUNCTION("""COMPUTED_VALUE"""),72000.0)</f>
        <v>72000</v>
      </c>
      <c r="L2492" s="2">
        <f>IFERROR(__xludf.DUMMYFUNCTION("""COMPUTED_VALUE"""),56.934949)</f>
        <v>56.934949</v>
      </c>
      <c r="M2492" s="2">
        <f>IFERROR(__xludf.DUMMYFUNCTION("""COMPUTED_VALUE"""),24.2012871647176)</f>
        <v>24.20128716</v>
      </c>
    </row>
    <row r="2493">
      <c r="A2493" s="2" t="str">
        <f>IFERROR(__xludf.DUMMYFUNCTION("""COMPUTED_VALUE"""),"For rent")</f>
        <v>For rent</v>
      </c>
      <c r="B2493" s="2" t="str">
        <f>IFERROR(__xludf.DUMMYFUNCTION("""COMPUTED_VALUE"""),"Vecrīga")</f>
        <v>Vecrīga</v>
      </c>
      <c r="C2493" s="2" t="str">
        <f>IFERROR(__xludf.DUMMYFUNCTION("""COMPUTED_VALUE"""),"Kaļķu 6")</f>
        <v>Kaļķu 6</v>
      </c>
      <c r="D2493" s="2">
        <f>IFERROR(__xludf.DUMMYFUNCTION("""COMPUTED_VALUE"""),2.0)</f>
        <v>2</v>
      </c>
      <c r="E2493" s="2">
        <f>IFERROR(__xludf.DUMMYFUNCTION("""COMPUTED_VALUE"""),72.0)</f>
        <v>72</v>
      </c>
      <c r="F2493" s="2">
        <f>IFERROR(__xludf.DUMMYFUNCTION("""COMPUTED_VALUE"""),2.0)</f>
        <v>2</v>
      </c>
      <c r="G2493" s="2">
        <f>IFERROR(__xludf.DUMMYFUNCTION("""COMPUTED_VALUE"""),4.0)</f>
        <v>4</v>
      </c>
      <c r="H2493" s="2" t="str">
        <f>IFERROR(__xludf.DUMMYFUNCTION("""COMPUTED_VALUE"""),"P. kara")</f>
        <v>P. kara</v>
      </c>
      <c r="I2493" s="2" t="str">
        <f>IFERROR(__xludf.DUMMYFUNCTION("""COMPUTED_VALUE"""),"Masonry")</f>
        <v>Masonry</v>
      </c>
      <c r="J2493" s="2" t="str">
        <f>IFERROR(__xludf.DUMMYFUNCTION("""COMPUTED_VALUE"""),"All amenities")</f>
        <v>All amenities</v>
      </c>
      <c r="K2493" s="2">
        <f>IFERROR(__xludf.DUMMYFUNCTION("""COMPUTED_VALUE"""),550.0)</f>
        <v>550</v>
      </c>
      <c r="L2493" s="2">
        <f>IFERROR(__xludf.DUMMYFUNCTION("""COMPUTED_VALUE"""),56.9485304)</f>
        <v>56.9485304</v>
      </c>
      <c r="M2493" s="2">
        <f>IFERROR(__xludf.DUMMYFUNCTION("""COMPUTED_VALUE"""),24.1085148)</f>
        <v>24.1085148</v>
      </c>
    </row>
    <row r="2494">
      <c r="A2494" s="2" t="str">
        <f>IFERROR(__xludf.DUMMYFUNCTION("""COMPUTED_VALUE"""),"For rent")</f>
        <v>For rent</v>
      </c>
      <c r="B2494" s="2" t="str">
        <f>IFERROR(__xludf.DUMMYFUNCTION("""COMPUTED_VALUE"""),"centrs")</f>
        <v>centrs</v>
      </c>
      <c r="C2494" s="2" t="str">
        <f>IFERROR(__xludf.DUMMYFUNCTION("""COMPUTED_VALUE"""),"J. Daliņa 8")</f>
        <v>J. Daliņa 8</v>
      </c>
      <c r="D2494" s="2">
        <f>IFERROR(__xludf.DUMMYFUNCTION("""COMPUTED_VALUE"""),3.0)</f>
        <v>3</v>
      </c>
      <c r="E2494" s="2">
        <f>IFERROR(__xludf.DUMMYFUNCTION("""COMPUTED_VALUE"""),120.0)</f>
        <v>120</v>
      </c>
      <c r="F2494" s="2">
        <f>IFERROR(__xludf.DUMMYFUNCTION("""COMPUTED_VALUE"""),13.0)</f>
        <v>13</v>
      </c>
      <c r="G2494" s="2">
        <f>IFERROR(__xludf.DUMMYFUNCTION("""COMPUTED_VALUE"""),23.0)</f>
        <v>23</v>
      </c>
      <c r="H2494" s="2" t="str">
        <f>IFERROR(__xludf.DUMMYFUNCTION("""COMPUTED_VALUE"""),"Jaun.")</f>
        <v>Jaun.</v>
      </c>
      <c r="I2494" s="2" t="str">
        <f>IFERROR(__xludf.DUMMYFUNCTION("""COMPUTED_VALUE"""),"Brick-Panel")</f>
        <v>Brick-Panel</v>
      </c>
      <c r="J2494" s="2" t="str">
        <f>IFERROR(__xludf.DUMMYFUNCTION("""COMPUTED_VALUE"""),"All amenities")</f>
        <v>All amenities</v>
      </c>
      <c r="K2494" s="2">
        <f>IFERROR(__xludf.DUMMYFUNCTION("""COMPUTED_VALUE"""),1500.0)</f>
        <v>1500</v>
      </c>
      <c r="L2494" s="2" t="str">
        <f>IFERROR(__xludf.DUMMYFUNCTION("""COMPUTED_VALUE"""),"NaN")</f>
        <v>NaN</v>
      </c>
      <c r="M2494" s="2" t="str">
        <f>IFERROR(__xludf.DUMMYFUNCTION("""COMPUTED_VALUE"""),"NaN")</f>
        <v>NaN</v>
      </c>
    </row>
    <row r="2495">
      <c r="A2495" s="2" t="str">
        <f>IFERROR(__xludf.DUMMYFUNCTION("""COMPUTED_VALUE"""),"For rent")</f>
        <v>For rent</v>
      </c>
      <c r="B2495" s="2" t="str">
        <f>IFERROR(__xludf.DUMMYFUNCTION("""COMPUTED_VALUE"""),"centrs")</f>
        <v>centrs</v>
      </c>
      <c r="C2495" s="2" t="str">
        <f>IFERROR(__xludf.DUMMYFUNCTION("""COMPUTED_VALUE"""),"Ganību d. 15")</f>
        <v>Ganību d. 15</v>
      </c>
      <c r="D2495" s="2">
        <f>IFERROR(__xludf.DUMMYFUNCTION("""COMPUTED_VALUE"""),2.0)</f>
        <v>2</v>
      </c>
      <c r="E2495" s="2">
        <f>IFERROR(__xludf.DUMMYFUNCTION("""COMPUTED_VALUE"""),40.0)</f>
        <v>40</v>
      </c>
      <c r="F2495" s="2">
        <f>IFERROR(__xludf.DUMMYFUNCTION("""COMPUTED_VALUE"""),3.0)</f>
        <v>3</v>
      </c>
      <c r="G2495" s="2">
        <f>IFERROR(__xludf.DUMMYFUNCTION("""COMPUTED_VALUE"""),5.0)</f>
        <v>5</v>
      </c>
      <c r="H2495" s="2" t="str">
        <f>IFERROR(__xludf.DUMMYFUNCTION("""COMPUTED_VALUE"""),"P. kara")</f>
        <v>P. kara</v>
      </c>
      <c r="I2495" s="2" t="str">
        <f>IFERROR(__xludf.DUMMYFUNCTION("""COMPUTED_VALUE"""),"Masonry")</f>
        <v>Masonry</v>
      </c>
      <c r="J2495" s="2" t="str">
        <f>IFERROR(__xludf.DUMMYFUNCTION("""COMPUTED_VALUE"""),"All amenities")</f>
        <v>All amenities</v>
      </c>
      <c r="K2495" s="2">
        <f>IFERROR(__xludf.DUMMYFUNCTION("""COMPUTED_VALUE"""),575.0)</f>
        <v>575</v>
      </c>
      <c r="L2495" s="2">
        <f>IFERROR(__xludf.DUMMYFUNCTION("""COMPUTED_VALUE"""),56.9928319)</f>
        <v>56.9928319</v>
      </c>
      <c r="M2495" s="2">
        <f>IFERROR(__xludf.DUMMYFUNCTION("""COMPUTED_VALUE"""),24.1224521)</f>
        <v>24.1224521</v>
      </c>
    </row>
    <row r="2496">
      <c r="A2496" s="2" t="str">
        <f>IFERROR(__xludf.DUMMYFUNCTION("""COMPUTED_VALUE"""),"For sale")</f>
        <v>For sale</v>
      </c>
      <c r="B2496" s="2" t="str">
        <f>IFERROR(__xludf.DUMMYFUNCTION("""COMPUTED_VALUE"""),"centrs")</f>
        <v>centrs</v>
      </c>
      <c r="C2496" s="2" t="str">
        <f>IFERROR(__xludf.DUMMYFUNCTION("""COMPUTED_VALUE"""),"Marijas 16")</f>
        <v>Marijas 16</v>
      </c>
      <c r="D2496" s="2">
        <f>IFERROR(__xludf.DUMMYFUNCTION("""COMPUTED_VALUE"""),2.0)</f>
        <v>2</v>
      </c>
      <c r="E2496" s="2">
        <f>IFERROR(__xludf.DUMMYFUNCTION("""COMPUTED_VALUE"""),45.0)</f>
        <v>45</v>
      </c>
      <c r="F2496" s="2">
        <f>IFERROR(__xludf.DUMMYFUNCTION("""COMPUTED_VALUE"""),7.0)</f>
        <v>7</v>
      </c>
      <c r="G2496" s="2">
        <f>IFERROR(__xludf.DUMMYFUNCTION("""COMPUTED_VALUE"""),7.0)</f>
        <v>7</v>
      </c>
      <c r="H2496" s="2" t="str">
        <f>IFERROR(__xludf.DUMMYFUNCTION("""COMPUTED_VALUE"""),"Renov.")</f>
        <v>Renov.</v>
      </c>
      <c r="I2496" s="2" t="str">
        <f>IFERROR(__xludf.DUMMYFUNCTION("""COMPUTED_VALUE"""),"Masonry")</f>
        <v>Masonry</v>
      </c>
      <c r="J2496" s="2" t="str">
        <f>IFERROR(__xludf.DUMMYFUNCTION("""COMPUTED_VALUE"""),"All amenities")</f>
        <v>All amenities</v>
      </c>
      <c r="K2496" s="2">
        <f>IFERROR(__xludf.DUMMYFUNCTION("""COMPUTED_VALUE"""),103500.0)</f>
        <v>103500</v>
      </c>
      <c r="L2496" s="2">
        <f>IFERROR(__xludf.DUMMYFUNCTION("""COMPUTED_VALUE"""),56.9505796)</f>
        <v>56.9505796</v>
      </c>
      <c r="M2496" s="2">
        <f>IFERROR(__xludf.DUMMYFUNCTION("""COMPUTED_VALUE"""),24.1255938)</f>
        <v>24.1255938</v>
      </c>
    </row>
    <row r="2497">
      <c r="A2497" s="2" t="str">
        <f>IFERROR(__xludf.DUMMYFUNCTION("""COMPUTED_VALUE"""),"For sale")</f>
        <v>For sale</v>
      </c>
      <c r="B2497" s="2" t="str">
        <f>IFERROR(__xludf.DUMMYFUNCTION("""COMPUTED_VALUE"""),"centrs")</f>
        <v>centrs</v>
      </c>
      <c r="C2497" s="2" t="str">
        <f>IFERROR(__xludf.DUMMYFUNCTION("""COMPUTED_VALUE"""),"Valdemāra 37")</f>
        <v>Valdemāra 37</v>
      </c>
      <c r="D2497" s="2">
        <f>IFERROR(__xludf.DUMMYFUNCTION("""COMPUTED_VALUE"""),3.0)</f>
        <v>3</v>
      </c>
      <c r="E2497" s="2">
        <f>IFERROR(__xludf.DUMMYFUNCTION("""COMPUTED_VALUE"""),78.0)</f>
        <v>78</v>
      </c>
      <c r="F2497" s="2">
        <f>IFERROR(__xludf.DUMMYFUNCTION("""COMPUTED_VALUE"""),3.0)</f>
        <v>3</v>
      </c>
      <c r="G2497" s="2">
        <f>IFERROR(__xludf.DUMMYFUNCTION("""COMPUTED_VALUE"""),6.0)</f>
        <v>6</v>
      </c>
      <c r="H2497" s="2" t="str">
        <f>IFERROR(__xludf.DUMMYFUNCTION("""COMPUTED_VALUE"""),"Renov.")</f>
        <v>Renov.</v>
      </c>
      <c r="I2497" s="2" t="str">
        <f>IFERROR(__xludf.DUMMYFUNCTION("""COMPUTED_VALUE"""),"Masonry")</f>
        <v>Masonry</v>
      </c>
      <c r="J2497" s="2" t="str">
        <f>IFERROR(__xludf.DUMMYFUNCTION("""COMPUTED_VALUE"""),"All amenities")</f>
        <v>All amenities</v>
      </c>
      <c r="K2497" s="2">
        <f>IFERROR(__xludf.DUMMYFUNCTION("""COMPUTED_VALUE"""),159732.0)</f>
        <v>159732</v>
      </c>
      <c r="L2497" s="2">
        <f>IFERROR(__xludf.DUMMYFUNCTION("""COMPUTED_VALUE"""),56.958482)</f>
        <v>56.958482</v>
      </c>
      <c r="M2497" s="2">
        <f>IFERROR(__xludf.DUMMYFUNCTION("""COMPUTED_VALUE"""),24.116859)</f>
        <v>24.116859</v>
      </c>
    </row>
    <row r="2498">
      <c r="A2498" s="2" t="str">
        <f>IFERROR(__xludf.DUMMYFUNCTION("""COMPUTED_VALUE"""),"For sale")</f>
        <v>For sale</v>
      </c>
      <c r="B2498" s="2" t="str">
        <f>IFERROR(__xludf.DUMMYFUNCTION("""COMPUTED_VALUE"""),"Krasta r-ns")</f>
        <v>Krasta r-ns</v>
      </c>
      <c r="C2498" s="2" t="str">
        <f>IFERROR(__xludf.DUMMYFUNCTION("""COMPUTED_VALUE"""),"Maskavas 198")</f>
        <v>Maskavas 198</v>
      </c>
      <c r="D2498" s="2">
        <f>IFERROR(__xludf.DUMMYFUNCTION("""COMPUTED_VALUE"""),2.0)</f>
        <v>2</v>
      </c>
      <c r="E2498" s="2">
        <f>IFERROR(__xludf.DUMMYFUNCTION("""COMPUTED_VALUE"""),56.0)</f>
        <v>56</v>
      </c>
      <c r="F2498" s="2">
        <f>IFERROR(__xludf.DUMMYFUNCTION("""COMPUTED_VALUE"""),5.0)</f>
        <v>5</v>
      </c>
      <c r="G2498" s="2">
        <f>IFERROR(__xludf.DUMMYFUNCTION("""COMPUTED_VALUE"""),5.0)</f>
        <v>5</v>
      </c>
      <c r="H2498" s="2" t="str">
        <f>IFERROR(__xludf.DUMMYFUNCTION("""COMPUTED_VALUE"""),"Staļina")</f>
        <v>Staļina</v>
      </c>
      <c r="I2498" s="2" t="str">
        <f>IFERROR(__xludf.DUMMYFUNCTION("""COMPUTED_VALUE"""),"Brick")</f>
        <v>Brick</v>
      </c>
      <c r="J2498" s="2" t="str">
        <f>IFERROR(__xludf.DUMMYFUNCTION("""COMPUTED_VALUE"""),"All amenities")</f>
        <v>All amenities</v>
      </c>
      <c r="K2498" s="2">
        <f>IFERROR(__xludf.DUMMYFUNCTION("""COMPUTED_VALUE"""),43770.0)</f>
        <v>43770</v>
      </c>
      <c r="L2498" s="2">
        <f>IFERROR(__xludf.DUMMYFUNCTION("""COMPUTED_VALUE"""),56.92851835)</f>
        <v>56.92851835</v>
      </c>
      <c r="M2498" s="2">
        <f>IFERROR(__xludf.DUMMYFUNCTION("""COMPUTED_VALUE"""),24.1640911499999)</f>
        <v>24.16409115</v>
      </c>
    </row>
    <row r="2499">
      <c r="A2499" s="2" t="str">
        <f>IFERROR(__xludf.DUMMYFUNCTION("""COMPUTED_VALUE"""),"For sale")</f>
        <v>For sale</v>
      </c>
      <c r="B2499" s="2" t="str">
        <f>IFERROR(__xludf.DUMMYFUNCTION("""COMPUTED_VALUE"""),"Grīziņkalns")</f>
        <v>Grīziņkalns</v>
      </c>
      <c r="C2499" s="2" t="str">
        <f>IFERROR(__xludf.DUMMYFUNCTION("""COMPUTED_VALUE"""),"Asara 12")</f>
        <v>Asara 12</v>
      </c>
      <c r="D2499" s="2">
        <f>IFERROR(__xludf.DUMMYFUNCTION("""COMPUTED_VALUE"""),2.0)</f>
        <v>2</v>
      </c>
      <c r="E2499" s="2">
        <f>IFERROR(__xludf.DUMMYFUNCTION("""COMPUTED_VALUE"""),37.0)</f>
        <v>37</v>
      </c>
      <c r="F2499" s="2">
        <f>IFERROR(__xludf.DUMMYFUNCTION("""COMPUTED_VALUE"""),4.0)</f>
        <v>4</v>
      </c>
      <c r="G2499" s="2">
        <f>IFERROR(__xludf.DUMMYFUNCTION("""COMPUTED_VALUE"""),5.0)</f>
        <v>5</v>
      </c>
      <c r="H2499" s="2" t="str">
        <f>IFERROR(__xludf.DUMMYFUNCTION("""COMPUTED_VALUE"""),"Renov.")</f>
        <v>Renov.</v>
      </c>
      <c r="I2499" s="2" t="str">
        <f>IFERROR(__xludf.DUMMYFUNCTION("""COMPUTED_VALUE"""),"Masonry")</f>
        <v>Masonry</v>
      </c>
      <c r="J2499" s="2" t="str">
        <f>IFERROR(__xludf.DUMMYFUNCTION("""COMPUTED_VALUE"""),"All amenities")</f>
        <v>All amenities</v>
      </c>
      <c r="K2499" s="2">
        <f>IFERROR(__xludf.DUMMYFUNCTION("""COMPUTED_VALUE"""),74000.0)</f>
        <v>74000</v>
      </c>
      <c r="L2499" s="2">
        <f>IFERROR(__xludf.DUMMYFUNCTION("""COMPUTED_VALUE"""),56.9553833)</f>
        <v>56.9553833</v>
      </c>
      <c r="M2499" s="2">
        <f>IFERROR(__xludf.DUMMYFUNCTION("""COMPUTED_VALUE"""),24.1488881)</f>
        <v>24.1488881</v>
      </c>
    </row>
    <row r="2500">
      <c r="A2500" s="2" t="str">
        <f>IFERROR(__xludf.DUMMYFUNCTION("""COMPUTED_VALUE"""),"For sale")</f>
        <v>For sale</v>
      </c>
      <c r="B2500" s="2" t="str">
        <f>IFERROR(__xludf.DUMMYFUNCTION("""COMPUTED_VALUE"""),"centrs")</f>
        <v>centrs</v>
      </c>
      <c r="C2500" s="2" t="str">
        <f>IFERROR(__xludf.DUMMYFUNCTION("""COMPUTED_VALUE"""),"Čaka 36")</f>
        <v>Čaka 36</v>
      </c>
      <c r="D2500" s="2">
        <f>IFERROR(__xludf.DUMMYFUNCTION("""COMPUTED_VALUE"""),2.0)</f>
        <v>2</v>
      </c>
      <c r="E2500" s="2">
        <f>IFERROR(__xludf.DUMMYFUNCTION("""COMPUTED_VALUE"""),48.0)</f>
        <v>48</v>
      </c>
      <c r="F2500" s="2">
        <f>IFERROR(__xludf.DUMMYFUNCTION("""COMPUTED_VALUE"""),2.0)</f>
        <v>2</v>
      </c>
      <c r="G2500" s="2">
        <f>IFERROR(__xludf.DUMMYFUNCTION("""COMPUTED_VALUE"""),4.0)</f>
        <v>4</v>
      </c>
      <c r="H2500" s="2" t="str">
        <f>IFERROR(__xludf.DUMMYFUNCTION("""COMPUTED_VALUE"""),"Renov.")</f>
        <v>Renov.</v>
      </c>
      <c r="I2500" s="2" t="str">
        <f>IFERROR(__xludf.DUMMYFUNCTION("""COMPUTED_VALUE"""),"Masonry")</f>
        <v>Masonry</v>
      </c>
      <c r="J2500" s="2" t="str">
        <f>IFERROR(__xludf.DUMMYFUNCTION("""COMPUTED_VALUE"""),"All amenities")</f>
        <v>All amenities</v>
      </c>
      <c r="K2500" s="2">
        <f>IFERROR(__xludf.DUMMYFUNCTION("""COMPUTED_VALUE"""),96390.0)</f>
        <v>96390</v>
      </c>
      <c r="L2500" s="2">
        <f>IFERROR(__xludf.DUMMYFUNCTION("""COMPUTED_VALUE"""),56.952698)</f>
        <v>56.952698</v>
      </c>
      <c r="M2500" s="2">
        <f>IFERROR(__xludf.DUMMYFUNCTION("""COMPUTED_VALUE"""),24.1299733)</f>
        <v>24.1299733</v>
      </c>
    </row>
    <row r="2501">
      <c r="A2501" s="2" t="str">
        <f>IFERROR(__xludf.DUMMYFUNCTION("""COMPUTED_VALUE"""),"For sale")</f>
        <v>For sale</v>
      </c>
      <c r="B2501" s="2" t="str">
        <f>IFERROR(__xludf.DUMMYFUNCTION("""COMPUTED_VALUE"""),"centrs")</f>
        <v>centrs</v>
      </c>
      <c r="C2501" s="2" t="str">
        <f>IFERROR(__xludf.DUMMYFUNCTION("""COMPUTED_VALUE"""),"Stabu 57")</f>
        <v>Stabu 57</v>
      </c>
      <c r="D2501" s="2">
        <f>IFERROR(__xludf.DUMMYFUNCTION("""COMPUTED_VALUE"""),3.0)</f>
        <v>3</v>
      </c>
      <c r="E2501" s="2">
        <f>IFERROR(__xludf.DUMMYFUNCTION("""COMPUTED_VALUE"""),99.0)</f>
        <v>99</v>
      </c>
      <c r="F2501" s="2">
        <f>IFERROR(__xludf.DUMMYFUNCTION("""COMPUTED_VALUE"""),4.0)</f>
        <v>4</v>
      </c>
      <c r="G2501" s="2">
        <f>IFERROR(__xludf.DUMMYFUNCTION("""COMPUTED_VALUE"""),4.0)</f>
        <v>4</v>
      </c>
      <c r="H2501" s="2" t="str">
        <f>IFERROR(__xludf.DUMMYFUNCTION("""COMPUTED_VALUE"""),"P. kara")</f>
        <v>P. kara</v>
      </c>
      <c r="I2501" s="2" t="str">
        <f>IFERROR(__xludf.DUMMYFUNCTION("""COMPUTED_VALUE"""),"Brick")</f>
        <v>Brick</v>
      </c>
      <c r="J2501" s="2" t="str">
        <f>IFERROR(__xludf.DUMMYFUNCTION("""COMPUTED_VALUE"""),"All amenities")</f>
        <v>All amenities</v>
      </c>
      <c r="K2501" s="2">
        <f>IFERROR(__xludf.DUMMYFUNCTION("""COMPUTED_VALUE"""),129900.0)</f>
        <v>129900</v>
      </c>
      <c r="L2501" s="2">
        <f>IFERROR(__xludf.DUMMYFUNCTION("""COMPUTED_VALUE"""),56.9599606)</f>
        <v>56.9599606</v>
      </c>
      <c r="M2501" s="2">
        <f>IFERROR(__xludf.DUMMYFUNCTION("""COMPUTED_VALUE"""),24.1209763)</f>
        <v>24.1209763</v>
      </c>
    </row>
    <row r="2502">
      <c r="A2502" s="2" t="str">
        <f>IFERROR(__xludf.DUMMYFUNCTION("""COMPUTED_VALUE"""),"For sale")</f>
        <v>For sale</v>
      </c>
      <c r="B2502" s="2" t="str">
        <f>IFERROR(__xludf.DUMMYFUNCTION("""COMPUTED_VALUE"""),"centrs")</f>
        <v>centrs</v>
      </c>
      <c r="C2502" s="2" t="str">
        <f>IFERROR(__xludf.DUMMYFUNCTION("""COMPUTED_VALUE"""),"Upes 3")</f>
        <v>Upes 3</v>
      </c>
      <c r="D2502" s="2">
        <f>IFERROR(__xludf.DUMMYFUNCTION("""COMPUTED_VALUE"""),2.0)</f>
        <v>2</v>
      </c>
      <c r="E2502" s="2">
        <f>IFERROR(__xludf.DUMMYFUNCTION("""COMPUTED_VALUE"""),44.0)</f>
        <v>44</v>
      </c>
      <c r="F2502" s="2">
        <f>IFERROR(__xludf.DUMMYFUNCTION("""COMPUTED_VALUE"""),1.0)</f>
        <v>1</v>
      </c>
      <c r="G2502" s="2">
        <f>IFERROR(__xludf.DUMMYFUNCTION("""COMPUTED_VALUE"""),4.0)</f>
        <v>4</v>
      </c>
      <c r="H2502" s="2" t="str">
        <f>IFERROR(__xludf.DUMMYFUNCTION("""COMPUTED_VALUE"""),"Hrušč.")</f>
        <v>Hrušč.</v>
      </c>
      <c r="I2502" s="2" t="str">
        <f>IFERROR(__xludf.DUMMYFUNCTION("""COMPUTED_VALUE"""),"Brick")</f>
        <v>Brick</v>
      </c>
      <c r="J2502" s="2" t="str">
        <f>IFERROR(__xludf.DUMMYFUNCTION("""COMPUTED_VALUE"""),"All amenities")</f>
        <v>All amenities</v>
      </c>
      <c r="K2502" s="2">
        <f>IFERROR(__xludf.DUMMYFUNCTION("""COMPUTED_VALUE"""),39000.0)</f>
        <v>39000</v>
      </c>
      <c r="L2502" s="2">
        <f>IFERROR(__xludf.DUMMYFUNCTION("""COMPUTED_VALUE"""),56.9766924)</f>
        <v>56.9766924</v>
      </c>
      <c r="M2502" s="2">
        <f>IFERROR(__xludf.DUMMYFUNCTION("""COMPUTED_VALUE"""),24.14165)</f>
        <v>24.14165</v>
      </c>
    </row>
    <row r="2503">
      <c r="A2503" s="2" t="str">
        <f>IFERROR(__xludf.DUMMYFUNCTION("""COMPUTED_VALUE"""),"For rent")</f>
        <v>For rent</v>
      </c>
      <c r="B2503" s="2" t="str">
        <f>IFERROR(__xludf.DUMMYFUNCTION("""COMPUTED_VALUE"""),"centrs")</f>
        <v>centrs</v>
      </c>
      <c r="C2503" s="2" t="str">
        <f>IFERROR(__xludf.DUMMYFUNCTION("""COMPUTED_VALUE"""),"Dzirnavu 51")</f>
        <v>Dzirnavu 51</v>
      </c>
      <c r="D2503" s="2">
        <f>IFERROR(__xludf.DUMMYFUNCTION("""COMPUTED_VALUE"""),2.0)</f>
        <v>2</v>
      </c>
      <c r="E2503" s="2">
        <f>IFERROR(__xludf.DUMMYFUNCTION("""COMPUTED_VALUE"""),60.0)</f>
        <v>60</v>
      </c>
      <c r="F2503" s="2">
        <f>IFERROR(__xludf.DUMMYFUNCTION("""COMPUTED_VALUE"""),3.0)</f>
        <v>3</v>
      </c>
      <c r="G2503" s="2">
        <f>IFERROR(__xludf.DUMMYFUNCTION("""COMPUTED_VALUE"""),5.0)</f>
        <v>5</v>
      </c>
      <c r="H2503" s="2" t="str">
        <f>IFERROR(__xludf.DUMMYFUNCTION("""COMPUTED_VALUE"""),"P. kara")</f>
        <v>P. kara</v>
      </c>
      <c r="I2503" s="2" t="str">
        <f>IFERROR(__xludf.DUMMYFUNCTION("""COMPUTED_VALUE"""),"Brick")</f>
        <v>Brick</v>
      </c>
      <c r="J2503" s="2" t="str">
        <f>IFERROR(__xludf.DUMMYFUNCTION("""COMPUTED_VALUE"""),"All amenities")</f>
        <v>All amenities</v>
      </c>
      <c r="K2503" s="2">
        <f>IFERROR(__xludf.DUMMYFUNCTION("""COMPUTED_VALUE"""),700.0)</f>
        <v>700</v>
      </c>
      <c r="L2503" s="2">
        <f>IFERROR(__xludf.DUMMYFUNCTION("""COMPUTED_VALUE"""),56.9568138)</f>
        <v>56.9568138</v>
      </c>
      <c r="M2503" s="2">
        <f>IFERROR(__xludf.DUMMYFUNCTION("""COMPUTED_VALUE"""),24.1172697)</f>
        <v>24.1172697</v>
      </c>
    </row>
    <row r="2504">
      <c r="A2504" s="2" t="str">
        <f>IFERROR(__xludf.DUMMYFUNCTION("""COMPUTED_VALUE"""),"For sale")</f>
        <v>For sale</v>
      </c>
      <c r="B2504" s="2" t="str">
        <f>IFERROR(__xludf.DUMMYFUNCTION("""COMPUTED_VALUE"""),"centrs")</f>
        <v>centrs</v>
      </c>
      <c r="C2504" s="2" t="str">
        <f>IFERROR(__xludf.DUMMYFUNCTION("""COMPUTED_VALUE"""),"Blaumaņa 27")</f>
        <v>Blaumaņa 27</v>
      </c>
      <c r="D2504" s="2">
        <f>IFERROR(__xludf.DUMMYFUNCTION("""COMPUTED_VALUE"""),3.0)</f>
        <v>3</v>
      </c>
      <c r="E2504" s="2">
        <f>IFERROR(__xludf.DUMMYFUNCTION("""COMPUTED_VALUE"""),101.0)</f>
        <v>101</v>
      </c>
      <c r="F2504" s="2">
        <f>IFERROR(__xludf.DUMMYFUNCTION("""COMPUTED_VALUE"""),5.0)</f>
        <v>5</v>
      </c>
      <c r="G2504" s="2">
        <f>IFERROR(__xludf.DUMMYFUNCTION("""COMPUTED_VALUE"""),5.0)</f>
        <v>5</v>
      </c>
      <c r="H2504" s="2" t="str">
        <f>IFERROR(__xludf.DUMMYFUNCTION("""COMPUTED_VALUE"""),"P. kara")</f>
        <v>P. kara</v>
      </c>
      <c r="I2504" s="2" t="str">
        <f>IFERROR(__xludf.DUMMYFUNCTION("""COMPUTED_VALUE"""),"Brick")</f>
        <v>Brick</v>
      </c>
      <c r="J2504" s="2" t="str">
        <f>IFERROR(__xludf.DUMMYFUNCTION("""COMPUTED_VALUE"""),"All amenities")</f>
        <v>All amenities</v>
      </c>
      <c r="K2504" s="2">
        <f>IFERROR(__xludf.DUMMYFUNCTION("""COMPUTED_VALUE"""),125000.0)</f>
        <v>125000</v>
      </c>
      <c r="L2504" s="2">
        <f>IFERROR(__xludf.DUMMYFUNCTION("""COMPUTED_VALUE"""),56.9519769)</f>
        <v>56.9519769</v>
      </c>
      <c r="M2504" s="2">
        <f>IFERROR(__xludf.DUMMYFUNCTION("""COMPUTED_VALUE"""),24.1261897680555)</f>
        <v>24.12618977</v>
      </c>
    </row>
    <row r="2505">
      <c r="A2505" s="2" t="str">
        <f>IFERROR(__xludf.DUMMYFUNCTION("""COMPUTED_VALUE"""),"For rent")</f>
        <v>For rent</v>
      </c>
      <c r="B2505" s="2" t="str">
        <f>IFERROR(__xludf.DUMMYFUNCTION("""COMPUTED_VALUE"""),"Vecrīga")</f>
        <v>Vecrīga</v>
      </c>
      <c r="C2505" s="2" t="str">
        <f>IFERROR(__xludf.DUMMYFUNCTION("""COMPUTED_VALUE"""),"Vaļņu 8")</f>
        <v>Vaļņu 8</v>
      </c>
      <c r="D2505" s="2">
        <f>IFERROR(__xludf.DUMMYFUNCTION("""COMPUTED_VALUE"""),4.0)</f>
        <v>4</v>
      </c>
      <c r="E2505" s="2">
        <f>IFERROR(__xludf.DUMMYFUNCTION("""COMPUTED_VALUE"""),107.0)</f>
        <v>107</v>
      </c>
      <c r="F2505" s="2">
        <f>IFERROR(__xludf.DUMMYFUNCTION("""COMPUTED_VALUE"""),5.0)</f>
        <v>5</v>
      </c>
      <c r="G2505" s="2">
        <f>IFERROR(__xludf.DUMMYFUNCTION("""COMPUTED_VALUE"""),5.0)</f>
        <v>5</v>
      </c>
      <c r="H2505" s="2" t="str">
        <f>IFERROR(__xludf.DUMMYFUNCTION("""COMPUTED_VALUE"""),"P. kara")</f>
        <v>P. kara</v>
      </c>
      <c r="I2505" s="2" t="str">
        <f>IFERROR(__xludf.DUMMYFUNCTION("""COMPUTED_VALUE"""),"Masonry")</f>
        <v>Masonry</v>
      </c>
      <c r="J2505" s="2" t="str">
        <f>IFERROR(__xludf.DUMMYFUNCTION("""COMPUTED_VALUE"""),"All amenities")</f>
        <v>All amenities</v>
      </c>
      <c r="K2505" s="2">
        <f>IFERROR(__xludf.DUMMYFUNCTION("""COMPUTED_VALUE"""),850.0)</f>
        <v>850</v>
      </c>
      <c r="L2505" s="2">
        <f>IFERROR(__xludf.DUMMYFUNCTION("""COMPUTED_VALUE"""),56.9505804)</f>
        <v>56.9505804</v>
      </c>
      <c r="M2505" s="2">
        <f>IFERROR(__xludf.DUMMYFUNCTION("""COMPUTED_VALUE"""),24.1100756)</f>
        <v>24.1100756</v>
      </c>
    </row>
    <row r="2506">
      <c r="A2506" s="2" t="str">
        <f>IFERROR(__xludf.DUMMYFUNCTION("""COMPUTED_VALUE"""),"For sale")</f>
        <v>For sale</v>
      </c>
      <c r="B2506" s="2" t="str">
        <f>IFERROR(__xludf.DUMMYFUNCTION("""COMPUTED_VALUE"""),"Purvciems")</f>
        <v>Purvciems</v>
      </c>
      <c r="C2506" s="2" t="str">
        <f>IFERROR(__xludf.DUMMYFUNCTION("""COMPUTED_VALUE"""),"Mārcienas 8")</f>
        <v>Mārcienas 8</v>
      </c>
      <c r="D2506" s="2">
        <f>IFERROR(__xludf.DUMMYFUNCTION("""COMPUTED_VALUE"""),4.0)</f>
        <v>4</v>
      </c>
      <c r="E2506" s="2">
        <f>IFERROR(__xludf.DUMMYFUNCTION("""COMPUTED_VALUE"""),94.0)</f>
        <v>94</v>
      </c>
      <c r="F2506" s="2">
        <f>IFERROR(__xludf.DUMMYFUNCTION("""COMPUTED_VALUE"""),9.0)</f>
        <v>9</v>
      </c>
      <c r="G2506" s="2">
        <f>IFERROR(__xludf.DUMMYFUNCTION("""COMPUTED_VALUE"""),9.0)</f>
        <v>9</v>
      </c>
      <c r="H2506" s="2">
        <f>IFERROR(__xludf.DUMMYFUNCTION("""COMPUTED_VALUE"""),119.0)</f>
        <v>119</v>
      </c>
      <c r="I2506" s="2" t="str">
        <f>IFERROR(__xludf.DUMMYFUNCTION("""COMPUTED_VALUE"""),"Panel")</f>
        <v>Panel</v>
      </c>
      <c r="J2506" s="2" t="str">
        <f>IFERROR(__xludf.DUMMYFUNCTION("""COMPUTED_VALUE"""),"All amenities")</f>
        <v>All amenities</v>
      </c>
      <c r="K2506" s="2">
        <f>IFERROR(__xludf.DUMMYFUNCTION("""COMPUTED_VALUE"""),91000.0)</f>
        <v>91000</v>
      </c>
      <c r="L2506" s="2">
        <f>IFERROR(__xludf.DUMMYFUNCTION("""COMPUTED_VALUE"""),56.9536789)</f>
        <v>56.9536789</v>
      </c>
      <c r="M2506" s="2">
        <f>IFERROR(__xludf.DUMMYFUNCTION("""COMPUTED_VALUE"""),24.1668081)</f>
        <v>24.1668081</v>
      </c>
    </row>
    <row r="2507">
      <c r="A2507" s="2" t="str">
        <f>IFERROR(__xludf.DUMMYFUNCTION("""COMPUTED_VALUE"""),"For sale")</f>
        <v>For sale</v>
      </c>
      <c r="B2507" s="2" t="str">
        <f>IFERROR(__xludf.DUMMYFUNCTION("""COMPUTED_VALUE"""),"Mežaparks")</f>
        <v>Mežaparks</v>
      </c>
      <c r="C2507" s="2" t="str">
        <f>IFERROR(__xludf.DUMMYFUNCTION("""COMPUTED_VALUE"""),"Ezermalas 19")</f>
        <v>Ezermalas 19</v>
      </c>
      <c r="D2507" s="2">
        <f>IFERROR(__xludf.DUMMYFUNCTION("""COMPUTED_VALUE"""),3.0)</f>
        <v>3</v>
      </c>
      <c r="E2507" s="2">
        <f>IFERROR(__xludf.DUMMYFUNCTION("""COMPUTED_VALUE"""),70.0)</f>
        <v>70</v>
      </c>
      <c r="F2507" s="2">
        <f>IFERROR(__xludf.DUMMYFUNCTION("""COMPUTED_VALUE"""),1.0)</f>
        <v>1</v>
      </c>
      <c r="G2507" s="2">
        <f>IFERROR(__xludf.DUMMYFUNCTION("""COMPUTED_VALUE"""),12.0)</f>
        <v>12</v>
      </c>
      <c r="H2507" s="2" t="str">
        <f>IFERROR(__xludf.DUMMYFUNCTION("""COMPUTED_VALUE"""),"Specpr.")</f>
        <v>Specpr.</v>
      </c>
      <c r="I2507" s="2" t="str">
        <f>IFERROR(__xludf.DUMMYFUNCTION("""COMPUTED_VALUE"""),"Brick-Panel")</f>
        <v>Brick-Panel</v>
      </c>
      <c r="J2507" s="2" t="str">
        <f>IFERROR(__xludf.DUMMYFUNCTION("""COMPUTED_VALUE"""),"All amenities")</f>
        <v>All amenities</v>
      </c>
      <c r="K2507" s="2">
        <f>IFERROR(__xludf.DUMMYFUNCTION("""COMPUTED_VALUE"""),78000.0)</f>
        <v>78000</v>
      </c>
      <c r="L2507" s="2">
        <f>IFERROR(__xludf.DUMMYFUNCTION("""COMPUTED_VALUE"""),57.00012555)</f>
        <v>57.00012555</v>
      </c>
      <c r="M2507" s="2">
        <f>IFERROR(__xludf.DUMMYFUNCTION("""COMPUTED_VALUE"""),24.1694573977143)</f>
        <v>24.1694574</v>
      </c>
    </row>
    <row r="2508">
      <c r="A2508" s="2" t="str">
        <f>IFERROR(__xludf.DUMMYFUNCTION("""COMPUTED_VALUE"""),"For rent")</f>
        <v>For rent</v>
      </c>
      <c r="B2508" s="2" t="str">
        <f>IFERROR(__xludf.DUMMYFUNCTION("""COMPUTED_VALUE"""),"Zolitūde")</f>
        <v>Zolitūde</v>
      </c>
      <c r="C2508" s="2" t="str">
        <f>IFERROR(__xludf.DUMMYFUNCTION("""COMPUTED_VALUE"""),"Ruses 16")</f>
        <v>Ruses 16</v>
      </c>
      <c r="D2508" s="2">
        <f>IFERROR(__xludf.DUMMYFUNCTION("""COMPUTED_VALUE"""),2.0)</f>
        <v>2</v>
      </c>
      <c r="E2508" s="2">
        <f>IFERROR(__xludf.DUMMYFUNCTION("""COMPUTED_VALUE"""),55.0)</f>
        <v>55</v>
      </c>
      <c r="F2508" s="2">
        <f>IFERROR(__xludf.DUMMYFUNCTION("""COMPUTED_VALUE"""),4.0)</f>
        <v>4</v>
      </c>
      <c r="G2508" s="2">
        <f>IFERROR(__xludf.DUMMYFUNCTION("""COMPUTED_VALUE"""),9.0)</f>
        <v>9</v>
      </c>
      <c r="H2508" s="2">
        <f>IFERROR(__xludf.DUMMYFUNCTION("""COMPUTED_VALUE"""),119.0)</f>
        <v>119</v>
      </c>
      <c r="I2508" s="2" t="str">
        <f>IFERROR(__xludf.DUMMYFUNCTION("""COMPUTED_VALUE"""),"Panel")</f>
        <v>Panel</v>
      </c>
      <c r="J2508" s="2" t="str">
        <f>IFERROR(__xludf.DUMMYFUNCTION("""COMPUTED_VALUE"""),"All amenities")</f>
        <v>All amenities</v>
      </c>
      <c r="K2508" s="2">
        <f>IFERROR(__xludf.DUMMYFUNCTION("""COMPUTED_VALUE"""),300.0)</f>
        <v>300</v>
      </c>
      <c r="L2508" s="2">
        <f>IFERROR(__xludf.DUMMYFUNCTION("""COMPUTED_VALUE"""),56.94627775)</f>
        <v>56.94627775</v>
      </c>
      <c r="M2508" s="2">
        <f>IFERROR(__xludf.DUMMYFUNCTION("""COMPUTED_VALUE"""),24.0038639173023)</f>
        <v>24.00386392</v>
      </c>
    </row>
    <row r="2509">
      <c r="A2509" s="2" t="str">
        <f>IFERROR(__xludf.DUMMYFUNCTION("""COMPUTED_VALUE"""),"For rent")</f>
        <v>For rent</v>
      </c>
      <c r="B2509" s="2" t="str">
        <f>IFERROR(__xludf.DUMMYFUNCTION("""COMPUTED_VALUE"""),"Āgenskalns")</f>
        <v>Āgenskalns</v>
      </c>
      <c r="C2509" s="2" t="str">
        <f>IFERROR(__xludf.DUMMYFUNCTION("""COMPUTED_VALUE"""),"Kristapa 16")</f>
        <v>Kristapa 16</v>
      </c>
      <c r="D2509" s="2">
        <f>IFERROR(__xludf.DUMMYFUNCTION("""COMPUTED_VALUE"""),1.0)</f>
        <v>1</v>
      </c>
      <c r="E2509" s="2">
        <f>IFERROR(__xludf.DUMMYFUNCTION("""COMPUTED_VALUE"""),24.0)</f>
        <v>24</v>
      </c>
      <c r="F2509" s="2">
        <f>IFERROR(__xludf.DUMMYFUNCTION("""COMPUTED_VALUE"""),1.0)</f>
        <v>1</v>
      </c>
      <c r="G2509" s="2">
        <f>IFERROR(__xludf.DUMMYFUNCTION("""COMPUTED_VALUE"""),5.0)</f>
        <v>5</v>
      </c>
      <c r="H2509" s="2" t="str">
        <f>IFERROR(__xludf.DUMMYFUNCTION("""COMPUTED_VALUE"""),"Hrušč.")</f>
        <v>Hrušč.</v>
      </c>
      <c r="I2509" s="2" t="str">
        <f>IFERROR(__xludf.DUMMYFUNCTION("""COMPUTED_VALUE"""),"Brick")</f>
        <v>Brick</v>
      </c>
      <c r="J2509" s="2" t="str">
        <f>IFERROR(__xludf.DUMMYFUNCTION("""COMPUTED_VALUE"""),"All amenities")</f>
        <v>All amenities</v>
      </c>
      <c r="K2509" s="2">
        <f>IFERROR(__xludf.DUMMYFUNCTION("""COMPUTED_VALUE"""),220.0)</f>
        <v>220</v>
      </c>
      <c r="L2509" s="2">
        <f>IFERROR(__xludf.DUMMYFUNCTION("""COMPUTED_VALUE"""),56.9438277999999)</f>
        <v>56.9438278</v>
      </c>
      <c r="M2509" s="2">
        <f>IFERROR(__xludf.DUMMYFUNCTION("""COMPUTED_VALUE"""),24.062819336917)</f>
        <v>24.06281934</v>
      </c>
    </row>
    <row r="2510">
      <c r="A2510" s="2" t="str">
        <f>IFERROR(__xludf.DUMMYFUNCTION("""COMPUTED_VALUE"""),"For sale")</f>
        <v>For sale</v>
      </c>
      <c r="B2510" s="2" t="str">
        <f>IFERROR(__xludf.DUMMYFUNCTION("""COMPUTED_VALUE"""),"Iļģuciems")</f>
        <v>Iļģuciems</v>
      </c>
      <c r="C2510" s="2" t="str">
        <f>IFERROR(__xludf.DUMMYFUNCTION("""COMPUTED_VALUE"""),"Buļļu 25")</f>
        <v>Buļļu 25</v>
      </c>
      <c r="D2510" s="2">
        <f>IFERROR(__xludf.DUMMYFUNCTION("""COMPUTED_VALUE"""),1.0)</f>
        <v>1</v>
      </c>
      <c r="E2510" s="2">
        <f>IFERROR(__xludf.DUMMYFUNCTION("""COMPUTED_VALUE"""),44.0)</f>
        <v>44</v>
      </c>
      <c r="F2510" s="2">
        <f>IFERROR(__xludf.DUMMYFUNCTION("""COMPUTED_VALUE"""),7.0)</f>
        <v>7</v>
      </c>
      <c r="G2510" s="2">
        <f>IFERROR(__xludf.DUMMYFUNCTION("""COMPUTED_VALUE"""),9.0)</f>
        <v>9</v>
      </c>
      <c r="H2510" s="2" t="str">
        <f>IFERROR(__xludf.DUMMYFUNCTION("""COMPUTED_VALUE"""),"Specpr.")</f>
        <v>Specpr.</v>
      </c>
      <c r="I2510" s="2" t="str">
        <f>IFERROR(__xludf.DUMMYFUNCTION("""COMPUTED_VALUE"""),"Panel")</f>
        <v>Panel</v>
      </c>
      <c r="J2510" s="2" t="str">
        <f>IFERROR(__xludf.DUMMYFUNCTION("""COMPUTED_VALUE"""),"All amenities")</f>
        <v>All amenities</v>
      </c>
      <c r="K2510" s="2">
        <f>IFERROR(__xludf.DUMMYFUNCTION("""COMPUTED_VALUE"""),42990.0)</f>
        <v>42990</v>
      </c>
      <c r="L2510" s="2">
        <f>IFERROR(__xludf.DUMMYFUNCTION("""COMPUTED_VALUE"""),56.9664355)</f>
        <v>56.9664355</v>
      </c>
      <c r="M2510" s="2">
        <f>IFERROR(__xludf.DUMMYFUNCTION("""COMPUTED_VALUE"""),24.0528963087278)</f>
        <v>24.05289631</v>
      </c>
    </row>
    <row r="2511">
      <c r="A2511" s="2" t="str">
        <f>IFERROR(__xludf.DUMMYFUNCTION("""COMPUTED_VALUE"""),"For sale")</f>
        <v>For sale</v>
      </c>
      <c r="B2511" s="2" t="str">
        <f>IFERROR(__xludf.DUMMYFUNCTION("""COMPUTED_VALUE"""),"Sarkandaugava")</f>
        <v>Sarkandaugava</v>
      </c>
      <c r="C2511" s="2" t="str">
        <f>IFERROR(__xludf.DUMMYFUNCTION("""COMPUTED_VALUE"""),"Sarkandaugavas 26")</f>
        <v>Sarkandaugavas 26</v>
      </c>
      <c r="D2511" s="2">
        <f>IFERROR(__xludf.DUMMYFUNCTION("""COMPUTED_VALUE"""),2.0)</f>
        <v>2</v>
      </c>
      <c r="E2511" s="2">
        <f>IFERROR(__xludf.DUMMYFUNCTION("""COMPUTED_VALUE"""),45.0)</f>
        <v>45</v>
      </c>
      <c r="F2511" s="2">
        <f>IFERROR(__xludf.DUMMYFUNCTION("""COMPUTED_VALUE"""),5.0)</f>
        <v>5</v>
      </c>
      <c r="G2511" s="2">
        <f>IFERROR(__xludf.DUMMYFUNCTION("""COMPUTED_VALUE"""),5.0)</f>
        <v>5</v>
      </c>
      <c r="H2511" s="2" t="str">
        <f>IFERROR(__xludf.DUMMYFUNCTION("""COMPUTED_VALUE"""),"Hrušč.")</f>
        <v>Hrušč.</v>
      </c>
      <c r="I2511" s="2" t="str">
        <f>IFERROR(__xludf.DUMMYFUNCTION("""COMPUTED_VALUE"""),"Brick")</f>
        <v>Brick</v>
      </c>
      <c r="J2511" s="2" t="str">
        <f>IFERROR(__xludf.DUMMYFUNCTION("""COMPUTED_VALUE"""),"All amenities")</f>
        <v>All amenities</v>
      </c>
      <c r="K2511" s="2">
        <f>IFERROR(__xludf.DUMMYFUNCTION("""COMPUTED_VALUE"""),32000.0)</f>
        <v>32000</v>
      </c>
      <c r="L2511" s="2">
        <f>IFERROR(__xludf.DUMMYFUNCTION("""COMPUTED_VALUE"""),57.0021488)</f>
        <v>57.0021488</v>
      </c>
      <c r="M2511" s="2">
        <f>IFERROR(__xludf.DUMMYFUNCTION("""COMPUTED_VALUE"""),24.1248028)</f>
        <v>24.1248028</v>
      </c>
    </row>
    <row r="2512">
      <c r="A2512" s="2" t="str">
        <f>IFERROR(__xludf.DUMMYFUNCTION("""COMPUTED_VALUE"""),"For sale")</f>
        <v>For sale</v>
      </c>
      <c r="B2512" s="2" t="str">
        <f>IFERROR(__xludf.DUMMYFUNCTION("""COMPUTED_VALUE"""),"Sarkandaugava")</f>
        <v>Sarkandaugava</v>
      </c>
      <c r="C2512" s="2" t="str">
        <f>IFERROR(__xludf.DUMMYFUNCTION("""COMPUTED_VALUE"""),"Sarkandaugavas 26")</f>
        <v>Sarkandaugavas 26</v>
      </c>
      <c r="D2512" s="2">
        <f>IFERROR(__xludf.DUMMYFUNCTION("""COMPUTED_VALUE"""),2.0)</f>
        <v>2</v>
      </c>
      <c r="E2512" s="2">
        <f>IFERROR(__xludf.DUMMYFUNCTION("""COMPUTED_VALUE"""),41.0)</f>
        <v>41</v>
      </c>
      <c r="F2512" s="2">
        <f>IFERROR(__xludf.DUMMYFUNCTION("""COMPUTED_VALUE"""),1.0)</f>
        <v>1</v>
      </c>
      <c r="G2512" s="2">
        <f>IFERROR(__xludf.DUMMYFUNCTION("""COMPUTED_VALUE"""),5.0)</f>
        <v>5</v>
      </c>
      <c r="H2512" s="2" t="str">
        <f>IFERROR(__xludf.DUMMYFUNCTION("""COMPUTED_VALUE"""),"Hrušč.")</f>
        <v>Hrušč.</v>
      </c>
      <c r="I2512" s="2" t="str">
        <f>IFERROR(__xludf.DUMMYFUNCTION("""COMPUTED_VALUE"""),"Brick")</f>
        <v>Brick</v>
      </c>
      <c r="J2512" s="2" t="str">
        <f>IFERROR(__xludf.DUMMYFUNCTION("""COMPUTED_VALUE"""),"All amenities")</f>
        <v>All amenities</v>
      </c>
      <c r="K2512" s="2">
        <f>IFERROR(__xludf.DUMMYFUNCTION("""COMPUTED_VALUE"""),28000.0)</f>
        <v>28000</v>
      </c>
      <c r="L2512" s="2">
        <f>IFERROR(__xludf.DUMMYFUNCTION("""COMPUTED_VALUE"""),57.0021488)</f>
        <v>57.0021488</v>
      </c>
      <c r="M2512" s="2">
        <f>IFERROR(__xludf.DUMMYFUNCTION("""COMPUTED_VALUE"""),24.1248028)</f>
        <v>24.1248028</v>
      </c>
    </row>
    <row r="2513">
      <c r="A2513" s="2" t="str">
        <f>IFERROR(__xludf.DUMMYFUNCTION("""COMPUTED_VALUE"""),"For sale")</f>
        <v>For sale</v>
      </c>
      <c r="B2513" s="2" t="str">
        <f>IFERROR(__xludf.DUMMYFUNCTION("""COMPUTED_VALUE"""),"Ķengarags")</f>
        <v>Ķengarags</v>
      </c>
      <c r="C2513" s="2" t="str">
        <f>IFERROR(__xludf.DUMMYFUNCTION("""COMPUTED_VALUE"""),"Maltas 15")</f>
        <v>Maltas 15</v>
      </c>
      <c r="D2513" s="2">
        <f>IFERROR(__xludf.DUMMYFUNCTION("""COMPUTED_VALUE"""),3.0)</f>
        <v>3</v>
      </c>
      <c r="E2513" s="2">
        <f>IFERROR(__xludf.DUMMYFUNCTION("""COMPUTED_VALUE"""),60.0)</f>
        <v>60</v>
      </c>
      <c r="F2513" s="2">
        <f>IFERROR(__xludf.DUMMYFUNCTION("""COMPUTED_VALUE"""),5.0)</f>
        <v>5</v>
      </c>
      <c r="G2513" s="2">
        <f>IFERROR(__xludf.DUMMYFUNCTION("""COMPUTED_VALUE"""),5.0)</f>
        <v>5</v>
      </c>
      <c r="H2513" s="2" t="str">
        <f>IFERROR(__xludf.DUMMYFUNCTION("""COMPUTED_VALUE"""),"LT proj.")</f>
        <v>LT proj.</v>
      </c>
      <c r="I2513" s="2" t="str">
        <f>IFERROR(__xludf.DUMMYFUNCTION("""COMPUTED_VALUE"""),"Panel")</f>
        <v>Panel</v>
      </c>
      <c r="J2513" s="2" t="str">
        <f>IFERROR(__xludf.DUMMYFUNCTION("""COMPUTED_VALUE"""),"All amenities")</f>
        <v>All amenities</v>
      </c>
      <c r="K2513" s="2">
        <f>IFERROR(__xludf.DUMMYFUNCTION("""COMPUTED_VALUE"""),43000.0)</f>
        <v>43000</v>
      </c>
      <c r="L2513" s="2">
        <f>IFERROR(__xludf.DUMMYFUNCTION("""COMPUTED_VALUE"""),56.9106275)</f>
        <v>56.9106275</v>
      </c>
      <c r="M2513" s="2">
        <f>IFERROR(__xludf.DUMMYFUNCTION("""COMPUTED_VALUE"""),24.1836694706489)</f>
        <v>24.18366947</v>
      </c>
    </row>
    <row r="2514">
      <c r="A2514" s="2" t="str">
        <f>IFERROR(__xludf.DUMMYFUNCTION("""COMPUTED_VALUE"""),"For rent")</f>
        <v>For rent</v>
      </c>
      <c r="B2514" s="2" t="str">
        <f>IFERROR(__xludf.DUMMYFUNCTION("""COMPUTED_VALUE"""),"Sarkandaugava")</f>
        <v>Sarkandaugava</v>
      </c>
      <c r="C2514" s="2" t="str">
        <f>IFERROR(__xludf.DUMMYFUNCTION("""COMPUTED_VALUE"""),"Viestura pr. 95")</f>
        <v>Viestura pr. 95</v>
      </c>
      <c r="D2514" s="2">
        <f>IFERROR(__xludf.DUMMYFUNCTION("""COMPUTED_VALUE"""),1.0)</f>
        <v>1</v>
      </c>
      <c r="E2514" s="2">
        <f>IFERROR(__xludf.DUMMYFUNCTION("""COMPUTED_VALUE"""),30.0)</f>
        <v>30</v>
      </c>
      <c r="F2514" s="2">
        <f>IFERROR(__xludf.DUMMYFUNCTION("""COMPUTED_VALUE"""),8.0)</f>
        <v>8</v>
      </c>
      <c r="G2514" s="2">
        <f>IFERROR(__xludf.DUMMYFUNCTION("""COMPUTED_VALUE"""),10.0)</f>
        <v>10</v>
      </c>
      <c r="H2514" s="2" t="str">
        <f>IFERROR(__xludf.DUMMYFUNCTION("""COMPUTED_VALUE"""),"Jaun.")</f>
        <v>Jaun.</v>
      </c>
      <c r="I2514" s="2" t="str">
        <f>IFERROR(__xludf.DUMMYFUNCTION("""COMPUTED_VALUE"""),"Brick-Panel")</f>
        <v>Brick-Panel</v>
      </c>
      <c r="J2514" s="2" t="str">
        <f>IFERROR(__xludf.DUMMYFUNCTION("""COMPUTED_VALUE"""),"All amenities")</f>
        <v>All amenities</v>
      </c>
      <c r="K2514" s="2">
        <f>IFERROR(__xludf.DUMMYFUNCTION("""COMPUTED_VALUE"""),300.0)</f>
        <v>300</v>
      </c>
      <c r="L2514" s="2" t="str">
        <f>IFERROR(__xludf.DUMMYFUNCTION("""COMPUTED_VALUE"""),"NaN")</f>
        <v>NaN</v>
      </c>
      <c r="M2514" s="2" t="str">
        <f>IFERROR(__xludf.DUMMYFUNCTION("""COMPUTED_VALUE"""),"NaN")</f>
        <v>NaN</v>
      </c>
    </row>
    <row r="2515">
      <c r="A2515" s="2" t="str">
        <f>IFERROR(__xludf.DUMMYFUNCTION("""COMPUTED_VALUE"""),"For rent")</f>
        <v>For rent</v>
      </c>
      <c r="B2515" s="2" t="str">
        <f>IFERROR(__xludf.DUMMYFUNCTION("""COMPUTED_VALUE"""),"Āgenskalns")</f>
        <v>Āgenskalns</v>
      </c>
      <c r="C2515" s="2" t="str">
        <f>IFERROR(__xludf.DUMMYFUNCTION("""COMPUTED_VALUE"""),"Kuldīgas 32")</f>
        <v>Kuldīgas 32</v>
      </c>
      <c r="D2515" s="2">
        <f>IFERROR(__xludf.DUMMYFUNCTION("""COMPUTED_VALUE"""),4.0)</f>
        <v>4</v>
      </c>
      <c r="E2515" s="2">
        <f>IFERROR(__xludf.DUMMYFUNCTION("""COMPUTED_VALUE"""),110.0)</f>
        <v>110</v>
      </c>
      <c r="F2515" s="2">
        <f>IFERROR(__xludf.DUMMYFUNCTION("""COMPUTED_VALUE"""),2.0)</f>
        <v>2</v>
      </c>
      <c r="G2515" s="2">
        <f>IFERROR(__xludf.DUMMYFUNCTION("""COMPUTED_VALUE"""),6.0)</f>
        <v>6</v>
      </c>
      <c r="H2515" s="2" t="str">
        <f>IFERROR(__xludf.DUMMYFUNCTION("""COMPUTED_VALUE"""),"P. kara")</f>
        <v>P. kara</v>
      </c>
      <c r="I2515" s="2" t="str">
        <f>IFERROR(__xludf.DUMMYFUNCTION("""COMPUTED_VALUE"""),"Masonry")</f>
        <v>Masonry</v>
      </c>
      <c r="J2515" s="2" t="str">
        <f>IFERROR(__xludf.DUMMYFUNCTION("""COMPUTED_VALUE"""),"All amenities")</f>
        <v>All amenities</v>
      </c>
      <c r="K2515" s="2">
        <f>IFERROR(__xludf.DUMMYFUNCTION("""COMPUTED_VALUE"""),850.0)</f>
        <v>850</v>
      </c>
      <c r="L2515" s="2">
        <f>IFERROR(__xludf.DUMMYFUNCTION("""COMPUTED_VALUE"""),56.9474705)</f>
        <v>56.9474705</v>
      </c>
      <c r="M2515" s="2">
        <f>IFERROR(__xludf.DUMMYFUNCTION("""COMPUTED_VALUE"""),24.0604076)</f>
        <v>24.0604076</v>
      </c>
    </row>
    <row r="2516">
      <c r="A2516" s="2" t="str">
        <f>IFERROR(__xludf.DUMMYFUNCTION("""COMPUTED_VALUE"""),"For sale")</f>
        <v>For sale</v>
      </c>
      <c r="B2516" s="2" t="str">
        <f>IFERROR(__xludf.DUMMYFUNCTION("""COMPUTED_VALUE"""),"Purvciems")</f>
        <v>Purvciems</v>
      </c>
      <c r="C2516" s="2" t="str">
        <f>IFERROR(__xludf.DUMMYFUNCTION("""COMPUTED_VALUE"""),"Vaidavas 8")</f>
        <v>Vaidavas 8</v>
      </c>
      <c r="D2516" s="2">
        <f>IFERROR(__xludf.DUMMYFUNCTION("""COMPUTED_VALUE"""),2.0)</f>
        <v>2</v>
      </c>
      <c r="E2516" s="2">
        <f>IFERROR(__xludf.DUMMYFUNCTION("""COMPUTED_VALUE"""),42.0)</f>
        <v>42</v>
      </c>
      <c r="F2516" s="2">
        <f>IFERROR(__xludf.DUMMYFUNCTION("""COMPUTED_VALUE"""),3.0)</f>
        <v>3</v>
      </c>
      <c r="G2516" s="2">
        <f>IFERROR(__xludf.DUMMYFUNCTION("""COMPUTED_VALUE"""),5.0)</f>
        <v>5</v>
      </c>
      <c r="H2516" s="2" t="str">
        <f>IFERROR(__xludf.DUMMYFUNCTION("""COMPUTED_VALUE"""),"Hrušč.")</f>
        <v>Hrušč.</v>
      </c>
      <c r="I2516" s="2" t="str">
        <f>IFERROR(__xludf.DUMMYFUNCTION("""COMPUTED_VALUE"""),"Brick")</f>
        <v>Brick</v>
      </c>
      <c r="J2516" s="2" t="str">
        <f>IFERROR(__xludf.DUMMYFUNCTION("""COMPUTED_VALUE"""),"All amenities")</f>
        <v>All amenities</v>
      </c>
      <c r="K2516" s="2">
        <f>IFERROR(__xludf.DUMMYFUNCTION("""COMPUTED_VALUE"""),52100.0)</f>
        <v>52100</v>
      </c>
      <c r="L2516" s="2">
        <f>IFERROR(__xludf.DUMMYFUNCTION("""COMPUTED_VALUE"""),56.96199595)</f>
        <v>56.96199595</v>
      </c>
      <c r="M2516" s="2">
        <f>IFERROR(__xludf.DUMMYFUNCTION("""COMPUTED_VALUE"""),24.17552785)</f>
        <v>24.17552785</v>
      </c>
    </row>
    <row r="2517">
      <c r="A2517" s="2" t="str">
        <f>IFERROR(__xludf.DUMMYFUNCTION("""COMPUTED_VALUE"""),"For sale")</f>
        <v>For sale</v>
      </c>
      <c r="B2517" s="2" t="str">
        <f>IFERROR(__xludf.DUMMYFUNCTION("""COMPUTED_VALUE"""),"Krasta r-ns")</f>
        <v>Krasta r-ns</v>
      </c>
      <c r="C2517" s="2" t="str">
        <f>IFERROR(__xludf.DUMMYFUNCTION("""COMPUTED_VALUE"""),"Dzērvju 10")</f>
        <v>Dzērvju 10</v>
      </c>
      <c r="D2517" s="2">
        <f>IFERROR(__xludf.DUMMYFUNCTION("""COMPUTED_VALUE"""),3.0)</f>
        <v>3</v>
      </c>
      <c r="E2517" s="2">
        <f>IFERROR(__xludf.DUMMYFUNCTION("""COMPUTED_VALUE"""),60.0)</f>
        <v>60</v>
      </c>
      <c r="F2517" s="2">
        <f>IFERROR(__xludf.DUMMYFUNCTION("""COMPUTED_VALUE"""),4.0)</f>
        <v>4</v>
      </c>
      <c r="G2517" s="2">
        <f>IFERROR(__xludf.DUMMYFUNCTION("""COMPUTED_VALUE"""),9.0)</f>
        <v>9</v>
      </c>
      <c r="H2517" s="2">
        <f>IFERROR(__xludf.DUMMYFUNCTION("""COMPUTED_VALUE"""),467.0)</f>
        <v>467</v>
      </c>
      <c r="I2517" s="2" t="str">
        <f>IFERROR(__xludf.DUMMYFUNCTION("""COMPUTED_VALUE"""),"Panel")</f>
        <v>Panel</v>
      </c>
      <c r="J2517" s="2" t="str">
        <f>IFERROR(__xludf.DUMMYFUNCTION("""COMPUTED_VALUE"""),"All amenities")</f>
        <v>All amenities</v>
      </c>
      <c r="K2517" s="2">
        <f>IFERROR(__xludf.DUMMYFUNCTION("""COMPUTED_VALUE"""),44900.0)</f>
        <v>44900</v>
      </c>
      <c r="L2517" s="2">
        <f>IFERROR(__xludf.DUMMYFUNCTION("""COMPUTED_VALUE"""),56.93090445)</f>
        <v>56.93090445</v>
      </c>
      <c r="M2517" s="2">
        <f>IFERROR(__xludf.DUMMYFUNCTION("""COMPUTED_VALUE"""),24.1684845907759)</f>
        <v>24.16848459</v>
      </c>
    </row>
    <row r="2518">
      <c r="A2518" s="2" t="str">
        <f>IFERROR(__xludf.DUMMYFUNCTION("""COMPUTED_VALUE"""),"For sale")</f>
        <v>For sale</v>
      </c>
      <c r="B2518" s="2" t="str">
        <f>IFERROR(__xludf.DUMMYFUNCTION("""COMPUTED_VALUE"""),"Imanta")</f>
        <v>Imanta</v>
      </c>
      <c r="C2518" s="2" t="str">
        <f>IFERROR(__xludf.DUMMYFUNCTION("""COMPUTED_VALUE"""),"Jūrmalas g. 95")</f>
        <v>Jūrmalas g. 95</v>
      </c>
      <c r="D2518" s="2">
        <f>IFERROR(__xludf.DUMMYFUNCTION("""COMPUTED_VALUE"""),2.0)</f>
        <v>2</v>
      </c>
      <c r="E2518" s="2">
        <f>IFERROR(__xludf.DUMMYFUNCTION("""COMPUTED_VALUE"""),50.0)</f>
        <v>50</v>
      </c>
      <c r="F2518" s="2">
        <f>IFERROR(__xludf.DUMMYFUNCTION("""COMPUTED_VALUE"""),4.0)</f>
        <v>4</v>
      </c>
      <c r="G2518" s="2">
        <f>IFERROR(__xludf.DUMMYFUNCTION("""COMPUTED_VALUE"""),9.0)</f>
        <v>9</v>
      </c>
      <c r="H2518" s="2">
        <f>IFERROR(__xludf.DUMMYFUNCTION("""COMPUTED_VALUE"""),602.0)</f>
        <v>602</v>
      </c>
      <c r="I2518" s="2" t="str">
        <f>IFERROR(__xludf.DUMMYFUNCTION("""COMPUTED_VALUE"""),"Panel")</f>
        <v>Panel</v>
      </c>
      <c r="J2518" s="2" t="str">
        <f>IFERROR(__xludf.DUMMYFUNCTION("""COMPUTED_VALUE"""),"All amenities")</f>
        <v>All amenities</v>
      </c>
      <c r="K2518" s="2">
        <f>IFERROR(__xludf.DUMMYFUNCTION("""COMPUTED_VALUE"""),46500.0)</f>
        <v>46500</v>
      </c>
      <c r="L2518" s="2">
        <f>IFERROR(__xludf.DUMMYFUNCTION("""COMPUTED_VALUE"""),56.952975)</f>
        <v>56.952975</v>
      </c>
      <c r="M2518" s="2">
        <f>IFERROR(__xludf.DUMMYFUNCTION("""COMPUTED_VALUE"""),24.0166971)</f>
        <v>24.0166971</v>
      </c>
    </row>
    <row r="2519">
      <c r="A2519" s="2" t="str">
        <f>IFERROR(__xludf.DUMMYFUNCTION("""COMPUTED_VALUE"""),"For sale")</f>
        <v>For sale</v>
      </c>
      <c r="B2519" s="2" t="str">
        <f>IFERROR(__xludf.DUMMYFUNCTION("""COMPUTED_VALUE"""),"Jugla")</f>
        <v>Jugla</v>
      </c>
      <c r="C2519" s="2" t="str">
        <f>IFERROR(__xludf.DUMMYFUNCTION("""COMPUTED_VALUE"""),"Ciemupes 1")</f>
        <v>Ciemupes 1</v>
      </c>
      <c r="D2519" s="2">
        <f>IFERROR(__xludf.DUMMYFUNCTION("""COMPUTED_VALUE"""),3.0)</f>
        <v>3</v>
      </c>
      <c r="E2519" s="2">
        <f>IFERROR(__xludf.DUMMYFUNCTION("""COMPUTED_VALUE"""),100.0)</f>
        <v>100</v>
      </c>
      <c r="F2519" s="2">
        <f>IFERROR(__xludf.DUMMYFUNCTION("""COMPUTED_VALUE"""),2.0)</f>
        <v>2</v>
      </c>
      <c r="G2519" s="2">
        <f>IFERROR(__xludf.DUMMYFUNCTION("""COMPUTED_VALUE"""),9.0)</f>
        <v>9</v>
      </c>
      <c r="H2519" s="2" t="str">
        <f>IFERROR(__xludf.DUMMYFUNCTION("""COMPUTED_VALUE"""),"Jaun.")</f>
        <v>Jaun.</v>
      </c>
      <c r="I2519" s="2" t="str">
        <f>IFERROR(__xludf.DUMMYFUNCTION("""COMPUTED_VALUE"""),"Masonry")</f>
        <v>Masonry</v>
      </c>
      <c r="J2519" s="2" t="str">
        <f>IFERROR(__xludf.DUMMYFUNCTION("""COMPUTED_VALUE"""),"All amenities")</f>
        <v>All amenities</v>
      </c>
      <c r="K2519" s="2">
        <f>IFERROR(__xludf.DUMMYFUNCTION("""COMPUTED_VALUE"""),125000.0)</f>
        <v>125000</v>
      </c>
      <c r="L2519" s="2">
        <f>IFERROR(__xludf.DUMMYFUNCTION("""COMPUTED_VALUE"""),56.9879952999999)</f>
        <v>56.9879953</v>
      </c>
      <c r="M2519" s="2">
        <f>IFERROR(__xludf.DUMMYFUNCTION("""COMPUTED_VALUE"""),24.2461035663916)</f>
        <v>24.24610357</v>
      </c>
    </row>
    <row r="2520">
      <c r="A2520" s="2" t="str">
        <f>IFERROR(__xludf.DUMMYFUNCTION("""COMPUTED_VALUE"""),"For sale")</f>
        <v>For sale</v>
      </c>
      <c r="B2520" s="2" t="str">
        <f>IFERROR(__xludf.DUMMYFUNCTION("""COMPUTED_VALUE"""),"Imanta")</f>
        <v>Imanta</v>
      </c>
      <c r="C2520" s="2" t="str">
        <f>IFERROR(__xludf.DUMMYFUNCTION("""COMPUTED_VALUE"""),"Dammes 31")</f>
        <v>Dammes 31</v>
      </c>
      <c r="D2520" s="2">
        <f>IFERROR(__xludf.DUMMYFUNCTION("""COMPUTED_VALUE"""),2.0)</f>
        <v>2</v>
      </c>
      <c r="E2520" s="2">
        <f>IFERROR(__xludf.DUMMYFUNCTION("""COMPUTED_VALUE"""),49.0)</f>
        <v>49</v>
      </c>
      <c r="F2520" s="2">
        <f>IFERROR(__xludf.DUMMYFUNCTION("""COMPUTED_VALUE"""),9.0)</f>
        <v>9</v>
      </c>
      <c r="G2520" s="2">
        <f>IFERROR(__xludf.DUMMYFUNCTION("""COMPUTED_VALUE"""),9.0)</f>
        <v>9</v>
      </c>
      <c r="H2520" s="2">
        <f>IFERROR(__xludf.DUMMYFUNCTION("""COMPUTED_VALUE"""),602.0)</f>
        <v>602</v>
      </c>
      <c r="I2520" s="2" t="str">
        <f>IFERROR(__xludf.DUMMYFUNCTION("""COMPUTED_VALUE"""),"Panel")</f>
        <v>Panel</v>
      </c>
      <c r="J2520" s="2" t="str">
        <f>IFERROR(__xludf.DUMMYFUNCTION("""COMPUTED_VALUE"""),"All amenities")</f>
        <v>All amenities</v>
      </c>
      <c r="K2520" s="2">
        <f>IFERROR(__xludf.DUMMYFUNCTION("""COMPUTED_VALUE"""),51000.0)</f>
        <v>51000</v>
      </c>
      <c r="L2520" s="2">
        <f>IFERROR(__xludf.DUMMYFUNCTION("""COMPUTED_VALUE"""),56.96469885)</f>
        <v>56.96469885</v>
      </c>
      <c r="M2520" s="2">
        <f>IFERROR(__xludf.DUMMYFUNCTION("""COMPUTED_VALUE"""),24.0075821758969)</f>
        <v>24.00758218</v>
      </c>
    </row>
    <row r="2521">
      <c r="A2521" s="2" t="str">
        <f>IFERROR(__xludf.DUMMYFUNCTION("""COMPUTED_VALUE"""),"For sale")</f>
        <v>For sale</v>
      </c>
      <c r="B2521" s="2" t="str">
        <f>IFERROR(__xludf.DUMMYFUNCTION("""COMPUTED_VALUE"""),"Imanta")</f>
        <v>Imanta</v>
      </c>
      <c r="C2521" s="2" t="str">
        <f>IFERROR(__xludf.DUMMYFUNCTION("""COMPUTED_VALUE"""),"Kooperatīva 4a")</f>
        <v>Kooperatīva 4a</v>
      </c>
      <c r="D2521" s="2">
        <f>IFERROR(__xludf.DUMMYFUNCTION("""COMPUTED_VALUE"""),3.0)</f>
        <v>3</v>
      </c>
      <c r="E2521" s="2">
        <f>IFERROR(__xludf.DUMMYFUNCTION("""COMPUTED_VALUE"""),61.0)</f>
        <v>61</v>
      </c>
      <c r="F2521" s="2">
        <f>IFERROR(__xludf.DUMMYFUNCTION("""COMPUTED_VALUE"""),1.0)</f>
        <v>1</v>
      </c>
      <c r="G2521" s="2">
        <f>IFERROR(__xludf.DUMMYFUNCTION("""COMPUTED_VALUE"""),5.0)</f>
        <v>5</v>
      </c>
      <c r="H2521" s="2" t="str">
        <f>IFERROR(__xludf.DUMMYFUNCTION("""COMPUTED_VALUE"""),"LT proj.")</f>
        <v>LT proj.</v>
      </c>
      <c r="I2521" s="2" t="str">
        <f>IFERROR(__xludf.DUMMYFUNCTION("""COMPUTED_VALUE"""),"Panel")</f>
        <v>Panel</v>
      </c>
      <c r="J2521" s="2" t="str">
        <f>IFERROR(__xludf.DUMMYFUNCTION("""COMPUTED_VALUE"""),"All amenities")</f>
        <v>All amenities</v>
      </c>
      <c r="K2521" s="2">
        <f>IFERROR(__xludf.DUMMYFUNCTION("""COMPUTED_VALUE"""),62999.0)</f>
        <v>62999</v>
      </c>
      <c r="L2521" s="2">
        <f>IFERROR(__xludf.DUMMYFUNCTION("""COMPUTED_VALUE"""),56.95369035)</f>
        <v>56.95369035</v>
      </c>
      <c r="M2521" s="2">
        <f>IFERROR(__xludf.DUMMYFUNCTION("""COMPUTED_VALUE"""),24.0309696516515)</f>
        <v>24.03096965</v>
      </c>
    </row>
    <row r="2522">
      <c r="A2522" s="2" t="str">
        <f>IFERROR(__xludf.DUMMYFUNCTION("""COMPUTED_VALUE"""),"For sale")</f>
        <v>For sale</v>
      </c>
      <c r="B2522" s="2" t="str">
        <f>IFERROR(__xludf.DUMMYFUNCTION("""COMPUTED_VALUE"""),"centrs")</f>
        <v>centrs</v>
      </c>
      <c r="C2522" s="2" t="str">
        <f>IFERROR(__xludf.DUMMYFUNCTION("""COMPUTED_VALUE"""),"Zaļā 10")</f>
        <v>Zaļā 10</v>
      </c>
      <c r="D2522" s="2">
        <f>IFERROR(__xludf.DUMMYFUNCTION("""COMPUTED_VALUE"""),3.0)</f>
        <v>3</v>
      </c>
      <c r="E2522" s="2">
        <f>IFERROR(__xludf.DUMMYFUNCTION("""COMPUTED_VALUE"""),86.0)</f>
        <v>86</v>
      </c>
      <c r="F2522" s="2">
        <f>IFERROR(__xludf.DUMMYFUNCTION("""COMPUTED_VALUE"""),1.0)</f>
        <v>1</v>
      </c>
      <c r="G2522" s="2">
        <f>IFERROR(__xludf.DUMMYFUNCTION("""COMPUTED_VALUE"""),5.0)</f>
        <v>5</v>
      </c>
      <c r="H2522" s="2" t="str">
        <f>IFERROR(__xludf.DUMMYFUNCTION("""COMPUTED_VALUE"""),"P. kara")</f>
        <v>P. kara</v>
      </c>
      <c r="I2522" s="2" t="str">
        <f>IFERROR(__xludf.DUMMYFUNCTION("""COMPUTED_VALUE"""),"Masonry")</f>
        <v>Masonry</v>
      </c>
      <c r="J2522" s="2" t="str">
        <f>IFERROR(__xludf.DUMMYFUNCTION("""COMPUTED_VALUE"""),"All amenities")</f>
        <v>All amenities</v>
      </c>
      <c r="K2522" s="2">
        <f>IFERROR(__xludf.DUMMYFUNCTION("""COMPUTED_VALUE"""),168000.0)</f>
        <v>168000</v>
      </c>
      <c r="L2522" s="2">
        <f>IFERROR(__xludf.DUMMYFUNCTION("""COMPUTED_VALUE"""),56.9594676)</f>
        <v>56.9594676</v>
      </c>
      <c r="M2522" s="2">
        <f>IFERROR(__xludf.DUMMYFUNCTION("""COMPUTED_VALUE"""),24.115743)</f>
        <v>24.115743</v>
      </c>
    </row>
    <row r="2523">
      <c r="A2523" s="2" t="str">
        <f>IFERROR(__xludf.DUMMYFUNCTION("""COMPUTED_VALUE"""),"For sale")</f>
        <v>For sale</v>
      </c>
      <c r="B2523" s="2" t="str">
        <f>IFERROR(__xludf.DUMMYFUNCTION("""COMPUTED_VALUE"""),"Bolderāja")</f>
        <v>Bolderāja</v>
      </c>
      <c r="C2523" s="2" t="str">
        <f>IFERROR(__xludf.DUMMYFUNCTION("""COMPUTED_VALUE"""),"Gobas 35")</f>
        <v>Gobas 35</v>
      </c>
      <c r="D2523" s="2">
        <f>IFERROR(__xludf.DUMMYFUNCTION("""COMPUTED_VALUE"""),2.0)</f>
        <v>2</v>
      </c>
      <c r="E2523" s="2">
        <f>IFERROR(__xludf.DUMMYFUNCTION("""COMPUTED_VALUE"""),49.0)</f>
        <v>49</v>
      </c>
      <c r="F2523" s="2">
        <f>IFERROR(__xludf.DUMMYFUNCTION("""COMPUTED_VALUE"""),5.0)</f>
        <v>5</v>
      </c>
      <c r="G2523" s="2">
        <f>IFERROR(__xludf.DUMMYFUNCTION("""COMPUTED_VALUE"""),5.0)</f>
        <v>5</v>
      </c>
      <c r="H2523" s="2" t="str">
        <f>IFERROR(__xludf.DUMMYFUNCTION("""COMPUTED_VALUE"""),"LT proj.")</f>
        <v>LT proj.</v>
      </c>
      <c r="I2523" s="2" t="str">
        <f>IFERROR(__xludf.DUMMYFUNCTION("""COMPUTED_VALUE"""),"Panel")</f>
        <v>Panel</v>
      </c>
      <c r="J2523" s="2" t="str">
        <f>IFERROR(__xludf.DUMMYFUNCTION("""COMPUTED_VALUE"""),"All amenities")</f>
        <v>All amenities</v>
      </c>
      <c r="K2523" s="2">
        <f>IFERROR(__xludf.DUMMYFUNCTION("""COMPUTED_VALUE"""),27450.0)</f>
        <v>27450</v>
      </c>
      <c r="L2523" s="2">
        <f>IFERROR(__xludf.DUMMYFUNCTION("""COMPUTED_VALUE"""),57.0322103)</f>
        <v>57.0322103</v>
      </c>
      <c r="M2523" s="2">
        <f>IFERROR(__xludf.DUMMYFUNCTION("""COMPUTED_VALUE"""),24.0541375022314)</f>
        <v>24.0541375</v>
      </c>
    </row>
    <row r="2524">
      <c r="A2524" s="2" t="str">
        <f>IFERROR(__xludf.DUMMYFUNCTION("""COMPUTED_VALUE"""),"For sale")</f>
        <v>For sale</v>
      </c>
      <c r="B2524" s="2" t="str">
        <f>IFERROR(__xludf.DUMMYFUNCTION("""COMPUTED_VALUE"""),"centrs")</f>
        <v>centrs</v>
      </c>
      <c r="C2524" s="2" t="str">
        <f>IFERROR(__xludf.DUMMYFUNCTION("""COMPUTED_VALUE"""),"Ģertrūdes 98")</f>
        <v>Ģertrūdes 98</v>
      </c>
      <c r="D2524" s="2">
        <f>IFERROR(__xludf.DUMMYFUNCTION("""COMPUTED_VALUE"""),1.0)</f>
        <v>1</v>
      </c>
      <c r="E2524" s="2">
        <f>IFERROR(__xludf.DUMMYFUNCTION("""COMPUTED_VALUE"""),21.0)</f>
        <v>21</v>
      </c>
      <c r="F2524" s="2">
        <f>IFERROR(__xludf.DUMMYFUNCTION("""COMPUTED_VALUE"""),4.0)</f>
        <v>4</v>
      </c>
      <c r="G2524" s="2">
        <f>IFERROR(__xludf.DUMMYFUNCTION("""COMPUTED_VALUE"""),5.0)</f>
        <v>5</v>
      </c>
      <c r="H2524" s="2" t="str">
        <f>IFERROR(__xludf.DUMMYFUNCTION("""COMPUTED_VALUE"""),"P. kara")</f>
        <v>P. kara</v>
      </c>
      <c r="I2524" s="2" t="str">
        <f>IFERROR(__xludf.DUMMYFUNCTION("""COMPUTED_VALUE"""),"Masonry")</f>
        <v>Masonry</v>
      </c>
      <c r="J2524" s="2" t="str">
        <f>IFERROR(__xludf.DUMMYFUNCTION("""COMPUTED_VALUE"""),"Partial amenities")</f>
        <v>Partial amenities</v>
      </c>
      <c r="K2524" s="2">
        <f>IFERROR(__xludf.DUMMYFUNCTION("""COMPUTED_VALUE"""),19000.0)</f>
        <v>19000</v>
      </c>
      <c r="L2524" s="2">
        <f>IFERROR(__xludf.DUMMYFUNCTION("""COMPUTED_VALUE"""),56.9480533)</f>
        <v>56.9480533</v>
      </c>
      <c r="M2524" s="2">
        <f>IFERROR(__xludf.DUMMYFUNCTION("""COMPUTED_VALUE"""),24.1384676767433)</f>
        <v>24.13846768</v>
      </c>
    </row>
    <row r="2525">
      <c r="A2525" s="2" t="str">
        <f>IFERROR(__xludf.DUMMYFUNCTION("""COMPUTED_VALUE"""),"For sale")</f>
        <v>For sale</v>
      </c>
      <c r="B2525" s="2" t="str">
        <f>IFERROR(__xludf.DUMMYFUNCTION("""COMPUTED_VALUE"""),"Mežaparks")</f>
        <v>Mežaparks</v>
      </c>
      <c r="C2525" s="2" t="str">
        <f>IFERROR(__xludf.DUMMYFUNCTION("""COMPUTED_VALUE"""),"Viestura pr. 16")</f>
        <v>Viestura pr. 16</v>
      </c>
      <c r="D2525" s="2">
        <f>IFERROR(__xludf.DUMMYFUNCTION("""COMPUTED_VALUE"""),2.0)</f>
        <v>2</v>
      </c>
      <c r="E2525" s="2">
        <f>IFERROR(__xludf.DUMMYFUNCTION("""COMPUTED_VALUE"""),49.0)</f>
        <v>49</v>
      </c>
      <c r="F2525" s="2">
        <f>IFERROR(__xludf.DUMMYFUNCTION("""COMPUTED_VALUE"""),2.0)</f>
        <v>2</v>
      </c>
      <c r="G2525" s="2">
        <f>IFERROR(__xludf.DUMMYFUNCTION("""COMPUTED_VALUE"""),9.0)</f>
        <v>9</v>
      </c>
      <c r="H2525" s="2">
        <f>IFERROR(__xludf.DUMMYFUNCTION("""COMPUTED_VALUE"""),467.0)</f>
        <v>467</v>
      </c>
      <c r="I2525" s="2" t="str">
        <f>IFERROR(__xludf.DUMMYFUNCTION("""COMPUTED_VALUE"""),"Panel")</f>
        <v>Panel</v>
      </c>
      <c r="J2525" s="2" t="str">
        <f>IFERROR(__xludf.DUMMYFUNCTION("""COMPUTED_VALUE"""),"All amenities")</f>
        <v>All amenities</v>
      </c>
      <c r="K2525" s="2">
        <f>IFERROR(__xludf.DUMMYFUNCTION("""COMPUTED_VALUE"""),43000.0)</f>
        <v>43000</v>
      </c>
      <c r="L2525" s="2" t="str">
        <f>IFERROR(__xludf.DUMMYFUNCTION("""COMPUTED_VALUE"""),"NaN")</f>
        <v>NaN</v>
      </c>
      <c r="M2525" s="2" t="str">
        <f>IFERROR(__xludf.DUMMYFUNCTION("""COMPUTED_VALUE"""),"NaN")</f>
        <v>NaN</v>
      </c>
    </row>
    <row r="2526">
      <c r="A2526" s="2" t="str">
        <f>IFERROR(__xludf.DUMMYFUNCTION("""COMPUTED_VALUE"""),"For sale")</f>
        <v>For sale</v>
      </c>
      <c r="B2526" s="2" t="str">
        <f>IFERROR(__xludf.DUMMYFUNCTION("""COMPUTED_VALUE"""),"Jugla")</f>
        <v>Jugla</v>
      </c>
      <c r="C2526" s="2" t="str">
        <f>IFERROR(__xludf.DUMMYFUNCTION("""COMPUTED_VALUE"""),"Ciemupes 1")</f>
        <v>Ciemupes 1</v>
      </c>
      <c r="D2526" s="2">
        <f>IFERROR(__xludf.DUMMYFUNCTION("""COMPUTED_VALUE"""),2.0)</f>
        <v>2</v>
      </c>
      <c r="E2526" s="2">
        <f>IFERROR(__xludf.DUMMYFUNCTION("""COMPUTED_VALUE"""),102.0)</f>
        <v>102</v>
      </c>
      <c r="F2526" s="2">
        <f>IFERROR(__xludf.DUMMYFUNCTION("""COMPUTED_VALUE"""),5.0)</f>
        <v>5</v>
      </c>
      <c r="G2526" s="2">
        <f>IFERROR(__xludf.DUMMYFUNCTION("""COMPUTED_VALUE"""),9.0)</f>
        <v>9</v>
      </c>
      <c r="H2526" s="2" t="str">
        <f>IFERROR(__xludf.DUMMYFUNCTION("""COMPUTED_VALUE"""),"Jaun.")</f>
        <v>Jaun.</v>
      </c>
      <c r="I2526" s="2" t="str">
        <f>IFERROR(__xludf.DUMMYFUNCTION("""COMPUTED_VALUE"""),"Brick-Panel")</f>
        <v>Brick-Panel</v>
      </c>
      <c r="J2526" s="2" t="str">
        <f>IFERROR(__xludf.DUMMYFUNCTION("""COMPUTED_VALUE"""),"All amenities")</f>
        <v>All amenities</v>
      </c>
      <c r="K2526" s="2">
        <f>IFERROR(__xludf.DUMMYFUNCTION("""COMPUTED_VALUE"""),130000.0)</f>
        <v>130000</v>
      </c>
      <c r="L2526" s="2">
        <f>IFERROR(__xludf.DUMMYFUNCTION("""COMPUTED_VALUE"""),56.9879952999999)</f>
        <v>56.9879953</v>
      </c>
      <c r="M2526" s="2">
        <f>IFERROR(__xludf.DUMMYFUNCTION("""COMPUTED_VALUE"""),24.2461035663916)</f>
        <v>24.24610357</v>
      </c>
    </row>
    <row r="2527">
      <c r="A2527" s="2" t="str">
        <f>IFERROR(__xludf.DUMMYFUNCTION("""COMPUTED_VALUE"""),"For sale")</f>
        <v>For sale</v>
      </c>
      <c r="B2527" s="2" t="str">
        <f>IFERROR(__xludf.DUMMYFUNCTION("""COMPUTED_VALUE"""),"Maskavas priekšpilsēta")</f>
        <v>Maskavas priekšpilsēta</v>
      </c>
      <c r="C2527" s="2" t="str">
        <f>IFERROR(__xludf.DUMMYFUNCTION("""COMPUTED_VALUE"""),"Katoļu 9")</f>
        <v>Katoļu 9</v>
      </c>
      <c r="D2527" s="2">
        <f>IFERROR(__xludf.DUMMYFUNCTION("""COMPUTED_VALUE"""),2.0)</f>
        <v>2</v>
      </c>
      <c r="E2527" s="2">
        <f>IFERROR(__xludf.DUMMYFUNCTION("""COMPUTED_VALUE"""),61.0)</f>
        <v>61</v>
      </c>
      <c r="F2527" s="2">
        <f>IFERROR(__xludf.DUMMYFUNCTION("""COMPUTED_VALUE"""),3.0)</f>
        <v>3</v>
      </c>
      <c r="G2527" s="2">
        <f>IFERROR(__xludf.DUMMYFUNCTION("""COMPUTED_VALUE"""),6.0)</f>
        <v>6</v>
      </c>
      <c r="H2527" s="2" t="str">
        <f>IFERROR(__xludf.DUMMYFUNCTION("""COMPUTED_VALUE"""),"Renov.")</f>
        <v>Renov.</v>
      </c>
      <c r="I2527" s="2" t="str">
        <f>IFERROR(__xludf.DUMMYFUNCTION("""COMPUTED_VALUE"""),"Brick-Panel")</f>
        <v>Brick-Panel</v>
      </c>
      <c r="J2527" s="2" t="str">
        <f>IFERROR(__xludf.DUMMYFUNCTION("""COMPUTED_VALUE"""),"All amenities")</f>
        <v>All amenities</v>
      </c>
      <c r="K2527" s="2">
        <f>IFERROR(__xludf.DUMMYFUNCTION("""COMPUTED_VALUE"""),91000.0)</f>
        <v>91000</v>
      </c>
      <c r="L2527" s="2">
        <f>IFERROR(__xludf.DUMMYFUNCTION("""COMPUTED_VALUE"""),56.94181855)</f>
        <v>56.94181855</v>
      </c>
      <c r="M2527" s="2">
        <f>IFERROR(__xludf.DUMMYFUNCTION("""COMPUTED_VALUE"""),24.136004360151)</f>
        <v>24.13600436</v>
      </c>
    </row>
    <row r="2528">
      <c r="A2528" s="2" t="str">
        <f>IFERROR(__xludf.DUMMYFUNCTION("""COMPUTED_VALUE"""),"For sale")</f>
        <v>For sale</v>
      </c>
      <c r="B2528" s="2" t="str">
        <f>IFERROR(__xludf.DUMMYFUNCTION("""COMPUTED_VALUE"""),"Purvciems")</f>
        <v>Purvciems</v>
      </c>
      <c r="C2528" s="2" t="str">
        <f>IFERROR(__xludf.DUMMYFUNCTION("""COMPUTED_VALUE"""),"Madonas 23")</f>
        <v>Madonas 23</v>
      </c>
      <c r="D2528" s="2">
        <f>IFERROR(__xludf.DUMMYFUNCTION("""COMPUTED_VALUE"""),1.0)</f>
        <v>1</v>
      </c>
      <c r="E2528" s="2">
        <f>IFERROR(__xludf.DUMMYFUNCTION("""COMPUTED_VALUE"""),53.0)</f>
        <v>53</v>
      </c>
      <c r="F2528" s="2">
        <f>IFERROR(__xludf.DUMMYFUNCTION("""COMPUTED_VALUE"""),4.0)</f>
        <v>4</v>
      </c>
      <c r="G2528" s="2">
        <f>IFERROR(__xludf.DUMMYFUNCTION("""COMPUTED_VALUE"""),17.0)</f>
        <v>17</v>
      </c>
      <c r="H2528" s="2" t="str">
        <f>IFERROR(__xludf.DUMMYFUNCTION("""COMPUTED_VALUE"""),"Specpr.")</f>
        <v>Specpr.</v>
      </c>
      <c r="I2528" s="2" t="str">
        <f>IFERROR(__xludf.DUMMYFUNCTION("""COMPUTED_VALUE"""),"Brick-Panel")</f>
        <v>Brick-Panel</v>
      </c>
      <c r="J2528" s="2" t="str">
        <f>IFERROR(__xludf.DUMMYFUNCTION("""COMPUTED_VALUE"""),"All amenities")</f>
        <v>All amenities</v>
      </c>
      <c r="K2528" s="2">
        <f>IFERROR(__xludf.DUMMYFUNCTION("""COMPUTED_VALUE"""),49000.0)</f>
        <v>49000</v>
      </c>
      <c r="L2528" s="2">
        <f>IFERROR(__xludf.DUMMYFUNCTION("""COMPUTED_VALUE"""),56.9612457)</f>
        <v>56.9612457</v>
      </c>
      <c r="M2528" s="2">
        <f>IFERROR(__xludf.DUMMYFUNCTION("""COMPUTED_VALUE"""),24.1717202)</f>
        <v>24.1717202</v>
      </c>
    </row>
    <row r="2529">
      <c r="A2529" s="2" t="str">
        <f>IFERROR(__xludf.DUMMYFUNCTION("""COMPUTED_VALUE"""),"For rent")</f>
        <v>For rent</v>
      </c>
      <c r="B2529" s="2" t="str">
        <f>IFERROR(__xludf.DUMMYFUNCTION("""COMPUTED_VALUE"""),"Vecrīga")</f>
        <v>Vecrīga</v>
      </c>
      <c r="C2529" s="2" t="str">
        <f>IFERROR(__xludf.DUMMYFUNCTION("""COMPUTED_VALUE"""),"Krāmu 4")</f>
        <v>Krāmu 4</v>
      </c>
      <c r="D2529" s="2">
        <f>IFERROR(__xludf.DUMMYFUNCTION("""COMPUTED_VALUE"""),2.0)</f>
        <v>2</v>
      </c>
      <c r="E2529" s="2">
        <f>IFERROR(__xludf.DUMMYFUNCTION("""COMPUTED_VALUE"""),80.0)</f>
        <v>80</v>
      </c>
      <c r="F2529" s="2">
        <f>IFERROR(__xludf.DUMMYFUNCTION("""COMPUTED_VALUE"""),3.0)</f>
        <v>3</v>
      </c>
      <c r="G2529" s="2">
        <f>IFERROR(__xludf.DUMMYFUNCTION("""COMPUTED_VALUE"""),4.0)</f>
        <v>4</v>
      </c>
      <c r="H2529" s="2" t="str">
        <f>IFERROR(__xludf.DUMMYFUNCTION("""COMPUTED_VALUE"""),"Renov.")</f>
        <v>Renov.</v>
      </c>
      <c r="I2529" s="2" t="str">
        <f>IFERROR(__xludf.DUMMYFUNCTION("""COMPUTED_VALUE"""),"Brick")</f>
        <v>Brick</v>
      </c>
      <c r="J2529" s="2" t="str">
        <f>IFERROR(__xludf.DUMMYFUNCTION("""COMPUTED_VALUE"""),"All amenities")</f>
        <v>All amenities</v>
      </c>
      <c r="K2529" s="2">
        <f>IFERROR(__xludf.DUMMYFUNCTION("""COMPUTED_VALUE"""),590.0)</f>
        <v>590</v>
      </c>
      <c r="L2529" s="2">
        <f>IFERROR(__xludf.DUMMYFUNCTION("""COMPUTED_VALUE"""),56.9483707)</f>
        <v>56.9483707</v>
      </c>
      <c r="M2529" s="2">
        <f>IFERROR(__xludf.DUMMYFUNCTION("""COMPUTED_VALUE"""),24.1061468)</f>
        <v>24.1061468</v>
      </c>
    </row>
    <row r="2530">
      <c r="A2530" s="2" t="str">
        <f>IFERROR(__xludf.DUMMYFUNCTION("""COMPUTED_VALUE"""),"For sale")</f>
        <v>For sale</v>
      </c>
      <c r="B2530" s="2" t="str">
        <f>IFERROR(__xludf.DUMMYFUNCTION("""COMPUTED_VALUE"""),"Purvciems")</f>
        <v>Purvciems</v>
      </c>
      <c r="C2530" s="2" t="str">
        <f>IFERROR(__xludf.DUMMYFUNCTION("""COMPUTED_VALUE"""),"Andromedas g. 12")</f>
        <v>Andromedas g. 12</v>
      </c>
      <c r="D2530" s="2">
        <f>IFERROR(__xludf.DUMMYFUNCTION("""COMPUTED_VALUE"""),1.0)</f>
        <v>1</v>
      </c>
      <c r="E2530" s="2">
        <f>IFERROR(__xludf.DUMMYFUNCTION("""COMPUTED_VALUE"""),29.0)</f>
        <v>29</v>
      </c>
      <c r="F2530" s="2">
        <f>IFERROR(__xludf.DUMMYFUNCTION("""COMPUTED_VALUE"""),4.0)</f>
        <v>4</v>
      </c>
      <c r="G2530" s="2">
        <f>IFERROR(__xludf.DUMMYFUNCTION("""COMPUTED_VALUE"""),5.0)</f>
        <v>5</v>
      </c>
      <c r="H2530" s="2" t="str">
        <f>IFERROR(__xludf.DUMMYFUNCTION("""COMPUTED_VALUE"""),"LT proj.")</f>
        <v>LT proj.</v>
      </c>
      <c r="I2530" s="2" t="str">
        <f>IFERROR(__xludf.DUMMYFUNCTION("""COMPUTED_VALUE"""),"Panel")</f>
        <v>Panel</v>
      </c>
      <c r="J2530" s="2" t="str">
        <f>IFERROR(__xludf.DUMMYFUNCTION("""COMPUTED_VALUE"""),"All amenities")</f>
        <v>All amenities</v>
      </c>
      <c r="K2530" s="2">
        <f>IFERROR(__xludf.DUMMYFUNCTION("""COMPUTED_VALUE"""),28400.0)</f>
        <v>28400</v>
      </c>
      <c r="L2530" s="2">
        <f>IFERROR(__xludf.DUMMYFUNCTION("""COMPUTED_VALUE"""),56.9604259)</f>
        <v>56.9604259</v>
      </c>
      <c r="M2530" s="2">
        <f>IFERROR(__xludf.DUMMYFUNCTION("""COMPUTED_VALUE"""),24.201209)</f>
        <v>24.201209</v>
      </c>
    </row>
    <row r="2531">
      <c r="A2531" s="2" t="str">
        <f>IFERROR(__xludf.DUMMYFUNCTION("""COMPUTED_VALUE"""),"For rent")</f>
        <v>For rent</v>
      </c>
      <c r="B2531" s="2" t="str">
        <f>IFERROR(__xludf.DUMMYFUNCTION("""COMPUTED_VALUE"""),"Teika")</f>
        <v>Teika</v>
      </c>
      <c r="C2531" s="2" t="str">
        <f>IFERROR(__xludf.DUMMYFUNCTION("""COMPUTED_VALUE"""),"Brīvības gatve 234")</f>
        <v>Brīvības gatve 234</v>
      </c>
      <c r="D2531" s="2">
        <f>IFERROR(__xludf.DUMMYFUNCTION("""COMPUTED_VALUE"""),2.0)</f>
        <v>2</v>
      </c>
      <c r="E2531" s="2">
        <f>IFERROR(__xludf.DUMMYFUNCTION("""COMPUTED_VALUE"""),48.0)</f>
        <v>48</v>
      </c>
      <c r="F2531" s="2">
        <f>IFERROR(__xludf.DUMMYFUNCTION("""COMPUTED_VALUE"""),5.0)</f>
        <v>5</v>
      </c>
      <c r="G2531" s="2">
        <f>IFERROR(__xludf.DUMMYFUNCTION("""COMPUTED_VALUE"""),5.0)</f>
        <v>5</v>
      </c>
      <c r="H2531" s="2" t="str">
        <f>IFERROR(__xludf.DUMMYFUNCTION("""COMPUTED_VALUE"""),"Staļina")</f>
        <v>Staļina</v>
      </c>
      <c r="I2531" s="2" t="str">
        <f>IFERROR(__xludf.DUMMYFUNCTION("""COMPUTED_VALUE"""),"Masonry")</f>
        <v>Masonry</v>
      </c>
      <c r="J2531" s="2" t="str">
        <f>IFERROR(__xludf.DUMMYFUNCTION("""COMPUTED_VALUE"""),"All amenities")</f>
        <v>All amenities</v>
      </c>
      <c r="K2531" s="2">
        <f>IFERROR(__xludf.DUMMYFUNCTION("""COMPUTED_VALUE"""),380.0)</f>
        <v>380</v>
      </c>
      <c r="L2531" s="2">
        <f>IFERROR(__xludf.DUMMYFUNCTION("""COMPUTED_VALUE"""),56.973443)</f>
        <v>56.973443</v>
      </c>
      <c r="M2531" s="2">
        <f>IFERROR(__xludf.DUMMYFUNCTION("""COMPUTED_VALUE"""),24.1683895171948)</f>
        <v>24.16838952</v>
      </c>
    </row>
    <row r="2532">
      <c r="A2532" s="2" t="str">
        <f>IFERROR(__xludf.DUMMYFUNCTION("""COMPUTED_VALUE"""),"For rent")</f>
        <v>For rent</v>
      </c>
      <c r="B2532" s="2" t="str">
        <f>IFERROR(__xludf.DUMMYFUNCTION("""COMPUTED_VALUE"""),"Purvciems")</f>
        <v>Purvciems</v>
      </c>
      <c r="C2532" s="2" t="str">
        <f>IFERROR(__xludf.DUMMYFUNCTION("""COMPUTED_VALUE"""),"Kastrānes 1/2")</f>
        <v>Kastrānes 1/2</v>
      </c>
      <c r="D2532" s="2">
        <f>IFERROR(__xludf.DUMMYFUNCTION("""COMPUTED_VALUE"""),1.0)</f>
        <v>1</v>
      </c>
      <c r="E2532" s="2">
        <f>IFERROR(__xludf.DUMMYFUNCTION("""COMPUTED_VALUE"""),25.0)</f>
        <v>25</v>
      </c>
      <c r="F2532" s="2">
        <f>IFERROR(__xludf.DUMMYFUNCTION("""COMPUTED_VALUE"""),2.0)</f>
        <v>2</v>
      </c>
      <c r="G2532" s="2">
        <f>IFERROR(__xludf.DUMMYFUNCTION("""COMPUTED_VALUE"""),5.0)</f>
        <v>5</v>
      </c>
      <c r="H2532" s="2" t="str">
        <f>IFERROR(__xludf.DUMMYFUNCTION("""COMPUTED_VALUE"""),"Renov.")</f>
        <v>Renov.</v>
      </c>
      <c r="I2532" s="2" t="str">
        <f>IFERROR(__xludf.DUMMYFUNCTION("""COMPUTED_VALUE"""),"Masonry")</f>
        <v>Masonry</v>
      </c>
      <c r="J2532" s="2" t="str">
        <f>IFERROR(__xludf.DUMMYFUNCTION("""COMPUTED_VALUE"""),"All amenities")</f>
        <v>All amenities</v>
      </c>
      <c r="K2532" s="2">
        <f>IFERROR(__xludf.DUMMYFUNCTION("""COMPUTED_VALUE"""),25.0)</f>
        <v>25</v>
      </c>
      <c r="L2532" s="2">
        <f>IFERROR(__xludf.DUMMYFUNCTION("""COMPUTED_VALUE"""),56.9697688)</f>
        <v>56.9697688</v>
      </c>
      <c r="M2532" s="2">
        <f>IFERROR(__xludf.DUMMYFUNCTION("""COMPUTED_VALUE"""),24.1782343)</f>
        <v>24.1782343</v>
      </c>
    </row>
    <row r="2533">
      <c r="A2533" s="2" t="str">
        <f>IFERROR(__xludf.DUMMYFUNCTION("""COMPUTED_VALUE"""),"For sale")</f>
        <v>For sale</v>
      </c>
      <c r="B2533" s="2" t="str">
        <f>IFERROR(__xludf.DUMMYFUNCTION("""COMPUTED_VALUE"""),"Vecrīga")</f>
        <v>Vecrīga</v>
      </c>
      <c r="C2533" s="2" t="str">
        <f>IFERROR(__xludf.DUMMYFUNCTION("""COMPUTED_VALUE"""),"Mārstaļu 2k4")</f>
        <v>Mārstaļu 2k4</v>
      </c>
      <c r="D2533" s="2">
        <f>IFERROR(__xludf.DUMMYFUNCTION("""COMPUTED_VALUE"""),4.0)</f>
        <v>4</v>
      </c>
      <c r="E2533" s="2">
        <f>IFERROR(__xludf.DUMMYFUNCTION("""COMPUTED_VALUE"""),126.0)</f>
        <v>126</v>
      </c>
      <c r="F2533" s="2">
        <f>IFERROR(__xludf.DUMMYFUNCTION("""COMPUTED_VALUE"""),4.0)</f>
        <v>4</v>
      </c>
      <c r="G2533" s="2">
        <f>IFERROR(__xludf.DUMMYFUNCTION("""COMPUTED_VALUE"""),4.0)</f>
        <v>4</v>
      </c>
      <c r="H2533" s="2" t="str">
        <f>IFERROR(__xludf.DUMMYFUNCTION("""COMPUTED_VALUE"""),"Specpr.")</f>
        <v>Specpr.</v>
      </c>
      <c r="I2533" s="2" t="str">
        <f>IFERROR(__xludf.DUMMYFUNCTION("""COMPUTED_VALUE"""),"Masonry")</f>
        <v>Masonry</v>
      </c>
      <c r="J2533" s="2" t="str">
        <f>IFERROR(__xludf.DUMMYFUNCTION("""COMPUTED_VALUE"""),"All amenities")</f>
        <v>All amenities</v>
      </c>
      <c r="K2533" s="2">
        <f>IFERROR(__xludf.DUMMYFUNCTION("""COMPUTED_VALUE"""),220000.0)</f>
        <v>220000</v>
      </c>
      <c r="L2533" s="2">
        <f>IFERROR(__xludf.DUMMYFUNCTION("""COMPUTED_VALUE"""),56.9451747)</f>
        <v>56.9451747</v>
      </c>
      <c r="M2533" s="2">
        <f>IFERROR(__xludf.DUMMYFUNCTION("""COMPUTED_VALUE"""),24.1075711)</f>
        <v>24.1075711</v>
      </c>
    </row>
    <row r="2534">
      <c r="A2534" s="2" t="str">
        <f>IFERROR(__xludf.DUMMYFUNCTION("""COMPUTED_VALUE"""),"For sale")</f>
        <v>For sale</v>
      </c>
      <c r="B2534" s="2" t="str">
        <f>IFERROR(__xludf.DUMMYFUNCTION("""COMPUTED_VALUE"""),"centrs")</f>
        <v>centrs</v>
      </c>
      <c r="C2534" s="2" t="str">
        <f>IFERROR(__xludf.DUMMYFUNCTION("""COMPUTED_VALUE"""),"Tallinas 38")</f>
        <v>Tallinas 38</v>
      </c>
      <c r="D2534" s="2">
        <f>IFERROR(__xludf.DUMMYFUNCTION("""COMPUTED_VALUE"""),3.0)</f>
        <v>3</v>
      </c>
      <c r="E2534" s="2">
        <f>IFERROR(__xludf.DUMMYFUNCTION("""COMPUTED_VALUE"""),75.0)</f>
        <v>75</v>
      </c>
      <c r="F2534" s="2">
        <f>IFERROR(__xludf.DUMMYFUNCTION("""COMPUTED_VALUE"""),2.0)</f>
        <v>2</v>
      </c>
      <c r="G2534" s="2">
        <f>IFERROR(__xludf.DUMMYFUNCTION("""COMPUTED_VALUE"""),4.0)</f>
        <v>4</v>
      </c>
      <c r="H2534" s="2" t="str">
        <f>IFERROR(__xludf.DUMMYFUNCTION("""COMPUTED_VALUE"""),"P. kara")</f>
        <v>P. kara</v>
      </c>
      <c r="I2534" s="2" t="str">
        <f>IFERROR(__xludf.DUMMYFUNCTION("""COMPUTED_VALUE"""),"Masonry")</f>
        <v>Masonry</v>
      </c>
      <c r="J2534" s="2" t="str">
        <f>IFERROR(__xludf.DUMMYFUNCTION("""COMPUTED_VALUE"""),"All amenities")</f>
        <v>All amenities</v>
      </c>
      <c r="K2534" s="2">
        <f>IFERROR(__xludf.DUMMYFUNCTION("""COMPUTED_VALUE"""),95000.0)</f>
        <v>95000</v>
      </c>
      <c r="L2534" s="2">
        <f>IFERROR(__xludf.DUMMYFUNCTION("""COMPUTED_VALUE"""),56.9614076999999)</f>
        <v>56.9614077</v>
      </c>
      <c r="M2534" s="2">
        <f>IFERROR(__xludf.DUMMYFUNCTION("""COMPUTED_VALUE"""),24.1394561330557)</f>
        <v>24.13945613</v>
      </c>
    </row>
    <row r="2535">
      <c r="A2535" s="2" t="str">
        <f>IFERROR(__xludf.DUMMYFUNCTION("""COMPUTED_VALUE"""),"For sale")</f>
        <v>For sale</v>
      </c>
      <c r="B2535" s="2" t="str">
        <f>IFERROR(__xludf.DUMMYFUNCTION("""COMPUTED_VALUE"""),"centrs")</f>
        <v>centrs</v>
      </c>
      <c r="C2535" s="2" t="str">
        <f>IFERROR(__xludf.DUMMYFUNCTION("""COMPUTED_VALUE"""),"Ģertrūdes 30")</f>
        <v>Ģertrūdes 30</v>
      </c>
      <c r="D2535" s="2">
        <f>IFERROR(__xludf.DUMMYFUNCTION("""COMPUTED_VALUE"""),5.0)</f>
        <v>5</v>
      </c>
      <c r="E2535" s="2">
        <f>IFERROR(__xludf.DUMMYFUNCTION("""COMPUTED_VALUE"""),140.0)</f>
        <v>140</v>
      </c>
      <c r="F2535" s="2">
        <f>IFERROR(__xludf.DUMMYFUNCTION("""COMPUTED_VALUE"""),6.0)</f>
        <v>6</v>
      </c>
      <c r="G2535" s="2">
        <f>IFERROR(__xludf.DUMMYFUNCTION("""COMPUTED_VALUE"""),6.0)</f>
        <v>6</v>
      </c>
      <c r="H2535" s="2" t="str">
        <f>IFERROR(__xludf.DUMMYFUNCTION("""COMPUTED_VALUE"""),"Renov.")</f>
        <v>Renov.</v>
      </c>
      <c r="I2535" s="2" t="str">
        <f>IFERROR(__xludf.DUMMYFUNCTION("""COMPUTED_VALUE"""),"Masonry")</f>
        <v>Masonry</v>
      </c>
      <c r="J2535" s="2" t="str">
        <f>IFERROR(__xludf.DUMMYFUNCTION("""COMPUTED_VALUE"""),"All amenities")</f>
        <v>All amenities</v>
      </c>
      <c r="K2535" s="2">
        <f>IFERROR(__xludf.DUMMYFUNCTION("""COMPUTED_VALUE"""),240000.0)</f>
        <v>240000</v>
      </c>
      <c r="L2535" s="2">
        <f>IFERROR(__xludf.DUMMYFUNCTION("""COMPUTED_VALUE"""),56.9552195)</f>
        <v>56.9552195</v>
      </c>
      <c r="M2535" s="2">
        <f>IFERROR(__xludf.DUMMYFUNCTION("""COMPUTED_VALUE"""),24.1262819)</f>
        <v>24.1262819</v>
      </c>
    </row>
    <row r="2536">
      <c r="A2536" s="2" t="str">
        <f>IFERROR(__xludf.DUMMYFUNCTION("""COMPUTED_VALUE"""),"For sale")</f>
        <v>For sale</v>
      </c>
      <c r="B2536" s="2" t="str">
        <f>IFERROR(__xludf.DUMMYFUNCTION("""COMPUTED_VALUE"""),"centrs")</f>
        <v>centrs</v>
      </c>
      <c r="C2536" s="2" t="str">
        <f>IFERROR(__xludf.DUMMYFUNCTION("""COMPUTED_VALUE"""),"Barona 36")</f>
        <v>Barona 36</v>
      </c>
      <c r="D2536" s="2">
        <f>IFERROR(__xludf.DUMMYFUNCTION("""COMPUTED_VALUE"""),3.0)</f>
        <v>3</v>
      </c>
      <c r="E2536" s="2">
        <f>IFERROR(__xludf.DUMMYFUNCTION("""COMPUTED_VALUE"""),87.0)</f>
        <v>87</v>
      </c>
      <c r="F2536" s="2">
        <f>IFERROR(__xludf.DUMMYFUNCTION("""COMPUTED_VALUE"""),4.0)</f>
        <v>4</v>
      </c>
      <c r="G2536" s="2">
        <f>IFERROR(__xludf.DUMMYFUNCTION("""COMPUTED_VALUE"""),6.0)</f>
        <v>6</v>
      </c>
      <c r="H2536" s="2" t="str">
        <f>IFERROR(__xludf.DUMMYFUNCTION("""COMPUTED_VALUE"""),"Renov.")</f>
        <v>Renov.</v>
      </c>
      <c r="I2536" s="2" t="str">
        <f>IFERROR(__xludf.DUMMYFUNCTION("""COMPUTED_VALUE"""),"Masonry")</f>
        <v>Masonry</v>
      </c>
      <c r="J2536" s="2" t="str">
        <f>IFERROR(__xludf.DUMMYFUNCTION("""COMPUTED_VALUE"""),"All amenities")</f>
        <v>All amenities</v>
      </c>
      <c r="K2536" s="2">
        <f>IFERROR(__xludf.DUMMYFUNCTION("""COMPUTED_VALUE"""),250000.0)</f>
        <v>250000</v>
      </c>
      <c r="L2536" s="2">
        <f>IFERROR(__xludf.DUMMYFUNCTION("""COMPUTED_VALUE"""),56.9531436)</f>
        <v>56.9531436</v>
      </c>
      <c r="M2536" s="2">
        <f>IFERROR(__xludf.DUMMYFUNCTION("""COMPUTED_VALUE"""),24.1255034)</f>
        <v>24.1255034</v>
      </c>
    </row>
    <row r="2537">
      <c r="A2537" s="2" t="str">
        <f>IFERROR(__xludf.DUMMYFUNCTION("""COMPUTED_VALUE"""),"For sale")</f>
        <v>For sale</v>
      </c>
      <c r="B2537" s="2" t="str">
        <f>IFERROR(__xludf.DUMMYFUNCTION("""COMPUTED_VALUE"""),"centrs")</f>
        <v>centrs</v>
      </c>
      <c r="C2537" s="2" t="str">
        <f>IFERROR(__xludf.DUMMYFUNCTION("""COMPUTED_VALUE"""),"Stabu 60")</f>
        <v>Stabu 60</v>
      </c>
      <c r="D2537" s="2">
        <f>IFERROR(__xludf.DUMMYFUNCTION("""COMPUTED_VALUE"""),4.0)</f>
        <v>4</v>
      </c>
      <c r="E2537" s="2">
        <f>IFERROR(__xludf.DUMMYFUNCTION("""COMPUTED_VALUE"""),123.0)</f>
        <v>123</v>
      </c>
      <c r="F2537" s="2">
        <f>IFERROR(__xludf.DUMMYFUNCTION("""COMPUTED_VALUE"""),3.0)</f>
        <v>3</v>
      </c>
      <c r="G2537" s="2">
        <f>IFERROR(__xludf.DUMMYFUNCTION("""COMPUTED_VALUE"""),5.0)</f>
        <v>5</v>
      </c>
      <c r="H2537" s="2" t="str">
        <f>IFERROR(__xludf.DUMMYFUNCTION("""COMPUTED_VALUE"""),"P. kara")</f>
        <v>P. kara</v>
      </c>
      <c r="I2537" s="2" t="str">
        <f>IFERROR(__xludf.DUMMYFUNCTION("""COMPUTED_VALUE"""),"Brick")</f>
        <v>Brick</v>
      </c>
      <c r="J2537" s="2" t="str">
        <f>IFERROR(__xludf.DUMMYFUNCTION("""COMPUTED_VALUE"""),"All amenities")</f>
        <v>All amenities</v>
      </c>
      <c r="K2537" s="2">
        <f>IFERROR(__xludf.DUMMYFUNCTION("""COMPUTED_VALUE"""),163000.0)</f>
        <v>163000</v>
      </c>
      <c r="L2537" s="2">
        <f>IFERROR(__xludf.DUMMYFUNCTION("""COMPUTED_VALUE"""),56.9530173499999)</f>
        <v>56.95301735</v>
      </c>
      <c r="M2537" s="2">
        <f>IFERROR(__xludf.DUMMYFUNCTION("""COMPUTED_VALUE"""),24.1348632816502)</f>
        <v>24.13486328</v>
      </c>
    </row>
    <row r="2538">
      <c r="A2538" s="2" t="str">
        <f>IFERROR(__xludf.DUMMYFUNCTION("""COMPUTED_VALUE"""),"For rent")</f>
        <v>For rent</v>
      </c>
      <c r="B2538" s="2" t="str">
        <f>IFERROR(__xludf.DUMMYFUNCTION("""COMPUTED_VALUE"""),"centrs")</f>
        <v>centrs</v>
      </c>
      <c r="C2538" s="2" t="str">
        <f>IFERROR(__xludf.DUMMYFUNCTION("""COMPUTED_VALUE"""),"Elizabetes 63")</f>
        <v>Elizabetes 63</v>
      </c>
      <c r="D2538" s="2">
        <f>IFERROR(__xludf.DUMMYFUNCTION("""COMPUTED_VALUE"""),2.0)</f>
        <v>2</v>
      </c>
      <c r="E2538" s="2">
        <f>IFERROR(__xludf.DUMMYFUNCTION("""COMPUTED_VALUE"""),80.0)</f>
        <v>80</v>
      </c>
      <c r="F2538" s="2">
        <f>IFERROR(__xludf.DUMMYFUNCTION("""COMPUTED_VALUE"""),4.0)</f>
        <v>4</v>
      </c>
      <c r="G2538" s="2">
        <f>IFERROR(__xludf.DUMMYFUNCTION("""COMPUTED_VALUE"""),6.0)</f>
        <v>6</v>
      </c>
      <c r="H2538" s="2" t="str">
        <f>IFERROR(__xludf.DUMMYFUNCTION("""COMPUTED_VALUE"""),"Renov.")</f>
        <v>Renov.</v>
      </c>
      <c r="I2538" s="2" t="str">
        <f>IFERROR(__xludf.DUMMYFUNCTION("""COMPUTED_VALUE"""),"Masonry")</f>
        <v>Masonry</v>
      </c>
      <c r="J2538" s="2" t="str">
        <f>IFERROR(__xludf.DUMMYFUNCTION("""COMPUTED_VALUE"""),"All amenities")</f>
        <v>All amenities</v>
      </c>
      <c r="K2538" s="2">
        <f>IFERROR(__xludf.DUMMYFUNCTION("""COMPUTED_VALUE"""),1000.0)</f>
        <v>1000</v>
      </c>
      <c r="L2538" s="2">
        <f>IFERROR(__xludf.DUMMYFUNCTION("""COMPUTED_VALUE"""),56.9531617)</f>
        <v>56.9531617</v>
      </c>
      <c r="M2538" s="2">
        <f>IFERROR(__xludf.DUMMYFUNCTION("""COMPUTED_VALUE"""),24.119692)</f>
        <v>24.119692</v>
      </c>
    </row>
    <row r="2539">
      <c r="A2539" s="2" t="str">
        <f>IFERROR(__xludf.DUMMYFUNCTION("""COMPUTED_VALUE"""),"For sale")</f>
        <v>For sale</v>
      </c>
      <c r="B2539" s="2" t="str">
        <f>IFERROR(__xludf.DUMMYFUNCTION("""COMPUTED_VALUE"""),"Ķengarags")</f>
        <v>Ķengarags</v>
      </c>
      <c r="C2539" s="2" t="str">
        <f>IFERROR(__xludf.DUMMYFUNCTION("""COMPUTED_VALUE"""),"Maskavas 252 k-6")</f>
        <v>Maskavas 252 k-6</v>
      </c>
      <c r="D2539" s="2">
        <f>IFERROR(__xludf.DUMMYFUNCTION("""COMPUTED_VALUE"""),2.0)</f>
        <v>2</v>
      </c>
      <c r="E2539" s="2">
        <f>IFERROR(__xludf.DUMMYFUNCTION("""COMPUTED_VALUE"""),47.0)</f>
        <v>47</v>
      </c>
      <c r="F2539" s="2">
        <f>IFERROR(__xludf.DUMMYFUNCTION("""COMPUTED_VALUE"""),4.0)</f>
        <v>4</v>
      </c>
      <c r="G2539" s="2">
        <f>IFERROR(__xludf.DUMMYFUNCTION("""COMPUTED_VALUE"""),5.0)</f>
        <v>5</v>
      </c>
      <c r="H2539" s="2" t="str">
        <f>IFERROR(__xludf.DUMMYFUNCTION("""COMPUTED_VALUE"""),"LT proj.")</f>
        <v>LT proj.</v>
      </c>
      <c r="I2539" s="2" t="str">
        <f>IFERROR(__xludf.DUMMYFUNCTION("""COMPUTED_VALUE"""),"Panel")</f>
        <v>Panel</v>
      </c>
      <c r="J2539" s="2" t="str">
        <f>IFERROR(__xludf.DUMMYFUNCTION("""COMPUTED_VALUE"""),"All amenities")</f>
        <v>All amenities</v>
      </c>
      <c r="K2539" s="2">
        <f>IFERROR(__xludf.DUMMYFUNCTION("""COMPUTED_VALUE"""),41500.0)</f>
        <v>41500</v>
      </c>
      <c r="L2539" s="2">
        <f>IFERROR(__xludf.DUMMYFUNCTION("""COMPUTED_VALUE"""),56.9133542)</f>
        <v>56.9133542</v>
      </c>
      <c r="M2539" s="2">
        <f>IFERROR(__xludf.DUMMYFUNCTION("""COMPUTED_VALUE"""),24.1721873525418)</f>
        <v>24.17218735</v>
      </c>
    </row>
    <row r="2540">
      <c r="A2540" s="2" t="str">
        <f>IFERROR(__xludf.DUMMYFUNCTION("""COMPUTED_VALUE"""),"For sale")</f>
        <v>For sale</v>
      </c>
      <c r="B2540" s="2" t="str">
        <f>IFERROR(__xludf.DUMMYFUNCTION("""COMPUTED_VALUE"""),"centrs")</f>
        <v>centrs</v>
      </c>
      <c r="C2540" s="2" t="str">
        <f>IFERROR(__xludf.DUMMYFUNCTION("""COMPUTED_VALUE"""),"Valdemāra 69")</f>
        <v>Valdemāra 69</v>
      </c>
      <c r="D2540" s="2">
        <f>IFERROR(__xludf.DUMMYFUNCTION("""COMPUTED_VALUE"""),1.0)</f>
        <v>1</v>
      </c>
      <c r="E2540" s="2">
        <f>IFERROR(__xludf.DUMMYFUNCTION("""COMPUTED_VALUE"""),14.0)</f>
        <v>14</v>
      </c>
      <c r="F2540" s="2">
        <f>IFERROR(__xludf.DUMMYFUNCTION("""COMPUTED_VALUE"""),3.0)</f>
        <v>3</v>
      </c>
      <c r="G2540" s="2">
        <f>IFERROR(__xludf.DUMMYFUNCTION("""COMPUTED_VALUE"""),6.0)</f>
        <v>6</v>
      </c>
      <c r="H2540" s="2" t="str">
        <f>IFERROR(__xludf.DUMMYFUNCTION("""COMPUTED_VALUE"""),"Renov.")</f>
        <v>Renov.</v>
      </c>
      <c r="I2540" s="2" t="str">
        <f>IFERROR(__xludf.DUMMYFUNCTION("""COMPUTED_VALUE"""),"Masonry")</f>
        <v>Masonry</v>
      </c>
      <c r="J2540" s="2" t="str">
        <f>IFERROR(__xludf.DUMMYFUNCTION("""COMPUTED_VALUE"""),"All amenities")</f>
        <v>All amenities</v>
      </c>
      <c r="K2540" s="2">
        <f>IFERROR(__xludf.DUMMYFUNCTION("""COMPUTED_VALUE"""),45000.0)</f>
        <v>45000</v>
      </c>
      <c r="L2540" s="2">
        <f>IFERROR(__xludf.DUMMYFUNCTION("""COMPUTED_VALUE"""),56.9620417)</f>
        <v>56.9620417</v>
      </c>
      <c r="M2540" s="2">
        <f>IFERROR(__xludf.DUMMYFUNCTION("""COMPUTED_VALUE"""),24.1224439)</f>
        <v>24.1224439</v>
      </c>
    </row>
    <row r="2541">
      <c r="A2541" s="2" t="str">
        <f>IFERROR(__xludf.DUMMYFUNCTION("""COMPUTED_VALUE"""),"For sale")</f>
        <v>For sale</v>
      </c>
      <c r="B2541" s="2" t="str">
        <f>IFERROR(__xludf.DUMMYFUNCTION("""COMPUTED_VALUE"""),"centrs")</f>
        <v>centrs</v>
      </c>
      <c r="C2541" s="2" t="str">
        <f>IFERROR(__xludf.DUMMYFUNCTION("""COMPUTED_VALUE"""),"Lāčplēša 7")</f>
        <v>Lāčplēša 7</v>
      </c>
      <c r="D2541" s="2">
        <f>IFERROR(__xludf.DUMMYFUNCTION("""COMPUTED_VALUE"""),3.0)</f>
        <v>3</v>
      </c>
      <c r="E2541" s="2">
        <f>IFERROR(__xludf.DUMMYFUNCTION("""COMPUTED_VALUE"""),82.0)</f>
        <v>82</v>
      </c>
      <c r="F2541" s="2">
        <f>IFERROR(__xludf.DUMMYFUNCTION("""COMPUTED_VALUE"""),2.0)</f>
        <v>2</v>
      </c>
      <c r="G2541" s="2">
        <f>IFERROR(__xludf.DUMMYFUNCTION("""COMPUTED_VALUE"""),5.0)</f>
        <v>5</v>
      </c>
      <c r="H2541" s="2" t="str">
        <f>IFERROR(__xludf.DUMMYFUNCTION("""COMPUTED_VALUE"""),"P. kara")</f>
        <v>P. kara</v>
      </c>
      <c r="I2541" s="2" t="str">
        <f>IFERROR(__xludf.DUMMYFUNCTION("""COMPUTED_VALUE"""),"Masonry")</f>
        <v>Masonry</v>
      </c>
      <c r="J2541" s="2" t="str">
        <f>IFERROR(__xludf.DUMMYFUNCTION("""COMPUTED_VALUE"""),"All amenities")</f>
        <v>All amenities</v>
      </c>
      <c r="K2541" s="2">
        <f>IFERROR(__xludf.DUMMYFUNCTION("""COMPUTED_VALUE"""),265000.0)</f>
        <v>265000</v>
      </c>
      <c r="L2541" s="2">
        <f>IFERROR(__xludf.DUMMYFUNCTION("""COMPUTED_VALUE"""),56.957715)</f>
        <v>56.957715</v>
      </c>
      <c r="M2541" s="2">
        <f>IFERROR(__xludf.DUMMYFUNCTION("""COMPUTED_VALUE"""),24.1191109634786)</f>
        <v>24.11911096</v>
      </c>
    </row>
    <row r="2542">
      <c r="A2542" s="2" t="str">
        <f>IFERROR(__xludf.DUMMYFUNCTION("""COMPUTED_VALUE"""),"For rent")</f>
        <v>For rent</v>
      </c>
      <c r="B2542" s="2" t="str">
        <f>IFERROR(__xludf.DUMMYFUNCTION("""COMPUTED_VALUE"""),"Maskavas priekšpilsēta")</f>
        <v>Maskavas priekšpilsēta</v>
      </c>
      <c r="C2542" s="2" t="str">
        <f>IFERROR(__xludf.DUMMYFUNCTION("""COMPUTED_VALUE"""),"Viļānu 7")</f>
        <v>Viļānu 7</v>
      </c>
      <c r="D2542" s="2">
        <f>IFERROR(__xludf.DUMMYFUNCTION("""COMPUTED_VALUE"""),1.0)</f>
        <v>1</v>
      </c>
      <c r="E2542" s="2">
        <f>IFERROR(__xludf.DUMMYFUNCTION("""COMPUTED_VALUE"""),26.0)</f>
        <v>26</v>
      </c>
      <c r="F2542" s="2">
        <f>IFERROR(__xludf.DUMMYFUNCTION("""COMPUTED_VALUE"""),2.0)</f>
        <v>2</v>
      </c>
      <c r="G2542" s="2">
        <f>IFERROR(__xludf.DUMMYFUNCTION("""COMPUTED_VALUE"""),5.0)</f>
        <v>5</v>
      </c>
      <c r="H2542" s="2" t="str">
        <f>IFERROR(__xludf.DUMMYFUNCTION("""COMPUTED_VALUE"""),"Renov.")</f>
        <v>Renov.</v>
      </c>
      <c r="I2542" s="2" t="str">
        <f>IFERROR(__xludf.DUMMYFUNCTION("""COMPUTED_VALUE"""),"Masonry")</f>
        <v>Masonry</v>
      </c>
      <c r="J2542" s="2" t="str">
        <f>IFERROR(__xludf.DUMMYFUNCTION("""COMPUTED_VALUE"""),"All amenities")</f>
        <v>All amenities</v>
      </c>
      <c r="K2542" s="2">
        <f>IFERROR(__xludf.DUMMYFUNCTION("""COMPUTED_VALUE"""),210.0)</f>
        <v>210</v>
      </c>
      <c r="L2542" s="2">
        <f>IFERROR(__xludf.DUMMYFUNCTION("""COMPUTED_VALUE"""),56.9403767999999)</f>
        <v>56.9403768</v>
      </c>
      <c r="M2542" s="2">
        <f>IFERROR(__xludf.DUMMYFUNCTION("""COMPUTED_VALUE"""),24.152561548619)</f>
        <v>24.15256155</v>
      </c>
    </row>
    <row r="2543">
      <c r="A2543" s="2" t="str">
        <f>IFERROR(__xludf.DUMMYFUNCTION("""COMPUTED_VALUE"""),"For rent")</f>
        <v>For rent</v>
      </c>
      <c r="B2543" s="2" t="str">
        <f>IFERROR(__xludf.DUMMYFUNCTION("""COMPUTED_VALUE"""),"Sarkandaugava")</f>
        <v>Sarkandaugava</v>
      </c>
      <c r="C2543" s="2" t="str">
        <f>IFERROR(__xludf.DUMMYFUNCTION("""COMPUTED_VALUE"""),"Aptiekas 6")</f>
        <v>Aptiekas 6</v>
      </c>
      <c r="D2543" s="2">
        <f>IFERROR(__xludf.DUMMYFUNCTION("""COMPUTED_VALUE"""),2.0)</f>
        <v>2</v>
      </c>
      <c r="E2543" s="2">
        <f>IFERROR(__xludf.DUMMYFUNCTION("""COMPUTED_VALUE"""),44.0)</f>
        <v>44</v>
      </c>
      <c r="F2543" s="2">
        <f>IFERROR(__xludf.DUMMYFUNCTION("""COMPUTED_VALUE"""),2.0)</f>
        <v>2</v>
      </c>
      <c r="G2543" s="2">
        <f>IFERROR(__xludf.DUMMYFUNCTION("""COMPUTED_VALUE"""),5.0)</f>
        <v>5</v>
      </c>
      <c r="H2543" s="2" t="str">
        <f>IFERROR(__xludf.DUMMYFUNCTION("""COMPUTED_VALUE"""),"Staļina")</f>
        <v>Staļina</v>
      </c>
      <c r="I2543" s="2" t="str">
        <f>IFERROR(__xludf.DUMMYFUNCTION("""COMPUTED_VALUE"""),"Brick")</f>
        <v>Brick</v>
      </c>
      <c r="J2543" s="2" t="str">
        <f>IFERROR(__xludf.DUMMYFUNCTION("""COMPUTED_VALUE"""),"All amenities")</f>
        <v>All amenities</v>
      </c>
      <c r="K2543" s="2">
        <f>IFERROR(__xludf.DUMMYFUNCTION("""COMPUTED_VALUE"""),380.0)</f>
        <v>380</v>
      </c>
      <c r="L2543" s="2">
        <f>IFERROR(__xludf.DUMMYFUNCTION("""COMPUTED_VALUE"""),56.9959975999999)</f>
        <v>56.9959976</v>
      </c>
      <c r="M2543" s="2">
        <f>IFERROR(__xludf.DUMMYFUNCTION("""COMPUTED_VALUE"""),24.1236683231425)</f>
        <v>24.12366832</v>
      </c>
    </row>
    <row r="2544">
      <c r="A2544" s="2" t="str">
        <f>IFERROR(__xludf.DUMMYFUNCTION("""COMPUTED_VALUE"""),"For sale")</f>
        <v>For sale</v>
      </c>
      <c r="B2544" s="2" t="str">
        <f>IFERROR(__xludf.DUMMYFUNCTION("""COMPUTED_VALUE"""),"Ķengarags")</f>
        <v>Ķengarags</v>
      </c>
      <c r="C2544" s="2" t="str">
        <f>IFERROR(__xludf.DUMMYFUNCTION("""COMPUTED_VALUE"""),"Maskavas 252k5")</f>
        <v>Maskavas 252k5</v>
      </c>
      <c r="D2544" s="2">
        <f>IFERROR(__xludf.DUMMYFUNCTION("""COMPUTED_VALUE"""),2.0)</f>
        <v>2</v>
      </c>
      <c r="E2544" s="2">
        <f>IFERROR(__xludf.DUMMYFUNCTION("""COMPUTED_VALUE"""),48.0)</f>
        <v>48</v>
      </c>
      <c r="F2544" s="2">
        <f>IFERROR(__xludf.DUMMYFUNCTION("""COMPUTED_VALUE"""),3.0)</f>
        <v>3</v>
      </c>
      <c r="G2544" s="2">
        <f>IFERROR(__xludf.DUMMYFUNCTION("""COMPUTED_VALUE"""),5.0)</f>
        <v>5</v>
      </c>
      <c r="H2544" s="2" t="str">
        <f>IFERROR(__xludf.DUMMYFUNCTION("""COMPUTED_VALUE"""),"LT proj.")</f>
        <v>LT proj.</v>
      </c>
      <c r="I2544" s="2" t="str">
        <f>IFERROR(__xludf.DUMMYFUNCTION("""COMPUTED_VALUE"""),"Panel")</f>
        <v>Panel</v>
      </c>
      <c r="J2544" s="2" t="str">
        <f>IFERROR(__xludf.DUMMYFUNCTION("""COMPUTED_VALUE"""),"All amenities")</f>
        <v>All amenities</v>
      </c>
      <c r="K2544" s="2">
        <f>IFERROR(__xludf.DUMMYFUNCTION("""COMPUTED_VALUE"""),34999.0)</f>
        <v>34999</v>
      </c>
      <c r="L2544" s="2" t="str">
        <f>IFERROR(__xludf.DUMMYFUNCTION("""COMPUTED_VALUE"""),"NaN")</f>
        <v>NaN</v>
      </c>
      <c r="M2544" s="2" t="str">
        <f>IFERROR(__xludf.DUMMYFUNCTION("""COMPUTED_VALUE"""),"NaN")</f>
        <v>NaN</v>
      </c>
    </row>
    <row r="2545">
      <c r="A2545" s="2" t="str">
        <f>IFERROR(__xludf.DUMMYFUNCTION("""COMPUTED_VALUE"""),"For sale")</f>
        <v>For sale</v>
      </c>
      <c r="B2545" s="2" t="str">
        <f>IFERROR(__xludf.DUMMYFUNCTION("""COMPUTED_VALUE"""),"Ķīpsala")</f>
        <v>Ķīpsala</v>
      </c>
      <c r="C2545" s="2" t="str">
        <f>IFERROR(__xludf.DUMMYFUNCTION("""COMPUTED_VALUE"""),"Zvejnieku 9")</f>
        <v>Zvejnieku 9</v>
      </c>
      <c r="D2545" s="2">
        <f>IFERROR(__xludf.DUMMYFUNCTION("""COMPUTED_VALUE"""),1.0)</f>
        <v>1</v>
      </c>
      <c r="E2545" s="2">
        <f>IFERROR(__xludf.DUMMYFUNCTION("""COMPUTED_VALUE"""),33.0)</f>
        <v>33</v>
      </c>
      <c r="F2545" s="2">
        <f>IFERROR(__xludf.DUMMYFUNCTION("""COMPUTED_VALUE"""),1.0)</f>
        <v>1</v>
      </c>
      <c r="G2545" s="2">
        <f>IFERROR(__xludf.DUMMYFUNCTION("""COMPUTED_VALUE"""),1.0)</f>
        <v>1</v>
      </c>
      <c r="H2545" s="2" t="str">
        <f>IFERROR(__xludf.DUMMYFUNCTION("""COMPUTED_VALUE"""),"P. kara")</f>
        <v>P. kara</v>
      </c>
      <c r="I2545" s="2" t="str">
        <f>IFERROR(__xludf.DUMMYFUNCTION("""COMPUTED_VALUE"""),"Brick")</f>
        <v>Brick</v>
      </c>
      <c r="J2545" s="2" t="str">
        <f>IFERROR(__xludf.DUMMYFUNCTION("""COMPUTED_VALUE"""),"All amenities")</f>
        <v>All amenities</v>
      </c>
      <c r="K2545" s="2">
        <f>IFERROR(__xludf.DUMMYFUNCTION("""COMPUTED_VALUE"""),46000.0)</f>
        <v>46000</v>
      </c>
      <c r="L2545" s="2">
        <f>IFERROR(__xludf.DUMMYFUNCTION("""COMPUTED_VALUE"""),56.9599982)</f>
        <v>56.9599982</v>
      </c>
      <c r="M2545" s="2">
        <f>IFERROR(__xludf.DUMMYFUNCTION("""COMPUTED_VALUE"""),24.0811385254711)</f>
        <v>24.08113853</v>
      </c>
    </row>
    <row r="2546">
      <c r="A2546" s="2" t="str">
        <f>IFERROR(__xludf.DUMMYFUNCTION("""COMPUTED_VALUE"""),"For sale")</f>
        <v>For sale</v>
      </c>
      <c r="B2546" s="2" t="str">
        <f>IFERROR(__xludf.DUMMYFUNCTION("""COMPUTED_VALUE"""),"Iļģuciems")</f>
        <v>Iļģuciems</v>
      </c>
      <c r="C2546" s="2" t="str">
        <f>IFERROR(__xludf.DUMMYFUNCTION("""COMPUTED_VALUE"""),"Saulgožu 13")</f>
        <v>Saulgožu 13</v>
      </c>
      <c r="D2546" s="2">
        <f>IFERROR(__xludf.DUMMYFUNCTION("""COMPUTED_VALUE"""),2.0)</f>
        <v>2</v>
      </c>
      <c r="E2546" s="2">
        <f>IFERROR(__xludf.DUMMYFUNCTION("""COMPUTED_VALUE"""),41.0)</f>
        <v>41</v>
      </c>
      <c r="F2546" s="2">
        <f>IFERROR(__xludf.DUMMYFUNCTION("""COMPUTED_VALUE"""),5.0)</f>
        <v>5</v>
      </c>
      <c r="G2546" s="2">
        <f>IFERROR(__xludf.DUMMYFUNCTION("""COMPUTED_VALUE"""),6.0)</f>
        <v>6</v>
      </c>
      <c r="H2546" s="2" t="str">
        <f>IFERROR(__xludf.DUMMYFUNCTION("""COMPUTED_VALUE"""),"Hrušč.")</f>
        <v>Hrušč.</v>
      </c>
      <c r="I2546" s="2" t="str">
        <f>IFERROR(__xludf.DUMMYFUNCTION("""COMPUTED_VALUE"""),"Brick")</f>
        <v>Brick</v>
      </c>
      <c r="J2546" s="2" t="str">
        <f>IFERROR(__xludf.DUMMYFUNCTION("""COMPUTED_VALUE"""),"All amenities")</f>
        <v>All amenities</v>
      </c>
      <c r="K2546" s="2">
        <f>IFERROR(__xludf.DUMMYFUNCTION("""COMPUTED_VALUE"""),39000.0)</f>
        <v>39000</v>
      </c>
      <c r="L2546" s="2">
        <f>IFERROR(__xludf.DUMMYFUNCTION("""COMPUTED_VALUE"""),56.96529995)</f>
        <v>56.96529995</v>
      </c>
      <c r="M2546" s="2">
        <f>IFERROR(__xludf.DUMMYFUNCTION("""COMPUTED_VALUE"""),24.0479072840418)</f>
        <v>24.04790728</v>
      </c>
    </row>
    <row r="2547">
      <c r="A2547" s="2" t="str">
        <f>IFERROR(__xludf.DUMMYFUNCTION("""COMPUTED_VALUE"""),"For sale")</f>
        <v>For sale</v>
      </c>
      <c r="B2547" s="2" t="str">
        <f>IFERROR(__xludf.DUMMYFUNCTION("""COMPUTED_VALUE"""),"centrs")</f>
        <v>centrs</v>
      </c>
      <c r="C2547" s="2" t="str">
        <f>IFERROR(__xludf.DUMMYFUNCTION("""COMPUTED_VALUE"""),"Ausekļa 7")</f>
        <v>Ausekļa 7</v>
      </c>
      <c r="D2547" s="2">
        <f>IFERROR(__xludf.DUMMYFUNCTION("""COMPUTED_VALUE"""),2.0)</f>
        <v>2</v>
      </c>
      <c r="E2547" s="2">
        <f>IFERROR(__xludf.DUMMYFUNCTION("""COMPUTED_VALUE"""),70.0)</f>
        <v>70</v>
      </c>
      <c r="F2547" s="2">
        <f>IFERROR(__xludf.DUMMYFUNCTION("""COMPUTED_VALUE"""),5.0)</f>
        <v>5</v>
      </c>
      <c r="G2547" s="2">
        <f>IFERROR(__xludf.DUMMYFUNCTION("""COMPUTED_VALUE"""),6.0)</f>
        <v>6</v>
      </c>
      <c r="H2547" s="2" t="str">
        <f>IFERROR(__xludf.DUMMYFUNCTION("""COMPUTED_VALUE"""),"P. kara")</f>
        <v>P. kara</v>
      </c>
      <c r="I2547" s="2" t="str">
        <f>IFERROR(__xludf.DUMMYFUNCTION("""COMPUTED_VALUE"""),"Masonry")</f>
        <v>Masonry</v>
      </c>
      <c r="J2547" s="2" t="str">
        <f>IFERROR(__xludf.DUMMYFUNCTION("""COMPUTED_VALUE"""),"All amenities")</f>
        <v>All amenities</v>
      </c>
      <c r="K2547" s="2">
        <f>IFERROR(__xludf.DUMMYFUNCTION("""COMPUTED_VALUE"""),250000.0)</f>
        <v>250000</v>
      </c>
      <c r="L2547" s="2">
        <f>IFERROR(__xludf.DUMMYFUNCTION("""COMPUTED_VALUE"""),56.96104425)</f>
        <v>56.96104425</v>
      </c>
      <c r="M2547" s="2">
        <f>IFERROR(__xludf.DUMMYFUNCTION("""COMPUTED_VALUE"""),24.0996557553473)</f>
        <v>24.09965576</v>
      </c>
    </row>
    <row r="2548">
      <c r="A2548" s="2" t="str">
        <f>IFERROR(__xludf.DUMMYFUNCTION("""COMPUTED_VALUE"""),"For sale")</f>
        <v>For sale</v>
      </c>
      <c r="B2548" s="2" t="str">
        <f>IFERROR(__xludf.DUMMYFUNCTION("""COMPUTED_VALUE"""),"Teika")</f>
        <v>Teika</v>
      </c>
      <c r="C2548" s="2" t="str">
        <f>IFERROR(__xludf.DUMMYFUNCTION("""COMPUTED_VALUE"""),"Ūnijas 58a")</f>
        <v>Ūnijas 58a</v>
      </c>
      <c r="D2548" s="2">
        <f>IFERROR(__xludf.DUMMYFUNCTION("""COMPUTED_VALUE"""),3.0)</f>
        <v>3</v>
      </c>
      <c r="E2548" s="2">
        <f>IFERROR(__xludf.DUMMYFUNCTION("""COMPUTED_VALUE"""),59.0)</f>
        <v>59</v>
      </c>
      <c r="F2548" s="2">
        <f>IFERROR(__xludf.DUMMYFUNCTION("""COMPUTED_VALUE"""),4.0)</f>
        <v>4</v>
      </c>
      <c r="G2548" s="2">
        <f>IFERROR(__xludf.DUMMYFUNCTION("""COMPUTED_VALUE"""),5.0)</f>
        <v>5</v>
      </c>
      <c r="H2548" s="2" t="str">
        <f>IFERROR(__xludf.DUMMYFUNCTION("""COMPUTED_VALUE"""),"LT proj.")</f>
        <v>LT proj.</v>
      </c>
      <c r="I2548" s="2" t="str">
        <f>IFERROR(__xludf.DUMMYFUNCTION("""COMPUTED_VALUE"""),"Panel")</f>
        <v>Panel</v>
      </c>
      <c r="J2548" s="2" t="str">
        <f>IFERROR(__xludf.DUMMYFUNCTION("""COMPUTED_VALUE"""),"All amenities")</f>
        <v>All amenities</v>
      </c>
      <c r="K2548" s="2">
        <f>IFERROR(__xludf.DUMMYFUNCTION("""COMPUTED_VALUE"""),55000.0)</f>
        <v>55000</v>
      </c>
      <c r="L2548" s="2">
        <f>IFERROR(__xludf.DUMMYFUNCTION("""COMPUTED_VALUE"""),56.96372375)</f>
        <v>56.96372375</v>
      </c>
      <c r="M2548" s="2">
        <f>IFERROR(__xludf.DUMMYFUNCTION("""COMPUTED_VALUE"""),24.178713829735)</f>
        <v>24.17871383</v>
      </c>
    </row>
    <row r="2549">
      <c r="A2549" s="2" t="str">
        <f>IFERROR(__xludf.DUMMYFUNCTION("""COMPUTED_VALUE"""),"For sale")</f>
        <v>For sale</v>
      </c>
      <c r="B2549" s="2" t="str">
        <f>IFERROR(__xludf.DUMMYFUNCTION("""COMPUTED_VALUE"""),"Ziepniekkalns")</f>
        <v>Ziepniekkalns</v>
      </c>
      <c r="C2549" s="2" t="str">
        <f>IFERROR(__xludf.DUMMYFUNCTION("""COMPUTED_VALUE"""),"Dignājas 3")</f>
        <v>Dignājas 3</v>
      </c>
      <c r="D2549" s="2">
        <f>IFERROR(__xludf.DUMMYFUNCTION("""COMPUTED_VALUE"""),4.0)</f>
        <v>4</v>
      </c>
      <c r="E2549" s="2">
        <f>IFERROR(__xludf.DUMMYFUNCTION("""COMPUTED_VALUE"""),94.0)</f>
        <v>94</v>
      </c>
      <c r="F2549" s="2">
        <f>IFERROR(__xludf.DUMMYFUNCTION("""COMPUTED_VALUE"""),5.0)</f>
        <v>5</v>
      </c>
      <c r="G2549" s="2">
        <f>IFERROR(__xludf.DUMMYFUNCTION("""COMPUTED_VALUE"""),5.0)</f>
        <v>5</v>
      </c>
      <c r="H2549" s="2" t="str">
        <f>IFERROR(__xludf.DUMMYFUNCTION("""COMPUTED_VALUE"""),"Jaun.")</f>
        <v>Jaun.</v>
      </c>
      <c r="I2549" s="2" t="str">
        <f>IFERROR(__xludf.DUMMYFUNCTION("""COMPUTED_VALUE"""),"Panel")</f>
        <v>Panel</v>
      </c>
      <c r="J2549" s="2" t="str">
        <f>IFERROR(__xludf.DUMMYFUNCTION("""COMPUTED_VALUE"""),"All amenities")</f>
        <v>All amenities</v>
      </c>
      <c r="K2549" s="2">
        <f>IFERROR(__xludf.DUMMYFUNCTION("""COMPUTED_VALUE"""),176000.0)</f>
        <v>176000</v>
      </c>
      <c r="L2549" s="2">
        <f>IFERROR(__xludf.DUMMYFUNCTION("""COMPUTED_VALUE"""),56.912781)</f>
        <v>56.912781</v>
      </c>
      <c r="M2549" s="2">
        <f>IFERROR(__xludf.DUMMYFUNCTION("""COMPUTED_VALUE"""),24.1191914534271)</f>
        <v>24.11919145</v>
      </c>
    </row>
    <row r="2550">
      <c r="A2550" s="2" t="str">
        <f>IFERROR(__xludf.DUMMYFUNCTION("""COMPUTED_VALUE"""),"For sale")</f>
        <v>For sale</v>
      </c>
      <c r="B2550" s="2" t="str">
        <f>IFERROR(__xludf.DUMMYFUNCTION("""COMPUTED_VALUE"""),"Purvciems")</f>
        <v>Purvciems</v>
      </c>
      <c r="C2550" s="2" t="str">
        <f>IFERROR(__xludf.DUMMYFUNCTION("""COMPUTED_VALUE"""),"Deglava 164")</f>
        <v>Deglava 164</v>
      </c>
      <c r="D2550" s="2">
        <f>IFERROR(__xludf.DUMMYFUNCTION("""COMPUTED_VALUE"""),1.0)</f>
        <v>1</v>
      </c>
      <c r="E2550" s="2">
        <f>IFERROR(__xludf.DUMMYFUNCTION("""COMPUTED_VALUE"""),32.0)</f>
        <v>32</v>
      </c>
      <c r="F2550" s="2">
        <f>IFERROR(__xludf.DUMMYFUNCTION("""COMPUTED_VALUE"""),4.0)</f>
        <v>4</v>
      </c>
      <c r="G2550" s="2">
        <f>IFERROR(__xludf.DUMMYFUNCTION("""COMPUTED_VALUE"""),9.0)</f>
        <v>9</v>
      </c>
      <c r="H2550" s="2">
        <f>IFERROR(__xludf.DUMMYFUNCTION("""COMPUTED_VALUE"""),602.0)</f>
        <v>602</v>
      </c>
      <c r="I2550" s="2" t="str">
        <f>IFERROR(__xludf.DUMMYFUNCTION("""COMPUTED_VALUE"""),"Panel-Brick")</f>
        <v>Panel-Brick</v>
      </c>
      <c r="J2550" s="2" t="str">
        <f>IFERROR(__xludf.DUMMYFUNCTION("""COMPUTED_VALUE"""),"All amenities")</f>
        <v>All amenities</v>
      </c>
      <c r="K2550" s="2">
        <f>IFERROR(__xludf.DUMMYFUNCTION("""COMPUTED_VALUE"""),42000.0)</f>
        <v>42000</v>
      </c>
      <c r="L2550" s="2">
        <f>IFERROR(__xludf.DUMMYFUNCTION("""COMPUTED_VALUE"""),56.94351315)</f>
        <v>56.94351315</v>
      </c>
      <c r="M2550" s="2">
        <f>IFERROR(__xludf.DUMMYFUNCTION("""COMPUTED_VALUE"""),24.2248030269986)</f>
        <v>24.22480303</v>
      </c>
    </row>
    <row r="2551">
      <c r="A2551" s="2" t="str">
        <f>IFERROR(__xludf.DUMMYFUNCTION("""COMPUTED_VALUE"""),"For sale")</f>
        <v>For sale</v>
      </c>
      <c r="B2551" s="2" t="str">
        <f>IFERROR(__xludf.DUMMYFUNCTION("""COMPUTED_VALUE"""),"centrs")</f>
        <v>centrs</v>
      </c>
      <c r="C2551" s="2" t="str">
        <f>IFERROR(__xludf.DUMMYFUNCTION("""COMPUTED_VALUE"""),"Ģertrūdes 30")</f>
        <v>Ģertrūdes 30</v>
      </c>
      <c r="D2551" s="2">
        <f>IFERROR(__xludf.DUMMYFUNCTION("""COMPUTED_VALUE"""),5.0)</f>
        <v>5</v>
      </c>
      <c r="E2551" s="2">
        <f>IFERROR(__xludf.DUMMYFUNCTION("""COMPUTED_VALUE"""),139.0)</f>
        <v>139</v>
      </c>
      <c r="F2551" s="2">
        <f>IFERROR(__xludf.DUMMYFUNCTION("""COMPUTED_VALUE"""),3.0)</f>
        <v>3</v>
      </c>
      <c r="G2551" s="2">
        <f>IFERROR(__xludf.DUMMYFUNCTION("""COMPUTED_VALUE"""),6.0)</f>
        <v>6</v>
      </c>
      <c r="H2551" s="2" t="str">
        <f>IFERROR(__xludf.DUMMYFUNCTION("""COMPUTED_VALUE"""),"Renov.")</f>
        <v>Renov.</v>
      </c>
      <c r="I2551" s="2" t="str">
        <f>IFERROR(__xludf.DUMMYFUNCTION("""COMPUTED_VALUE"""),"Masonry")</f>
        <v>Masonry</v>
      </c>
      <c r="J2551" s="2" t="str">
        <f>IFERROR(__xludf.DUMMYFUNCTION("""COMPUTED_VALUE"""),"All amenities")</f>
        <v>All amenities</v>
      </c>
      <c r="K2551" s="2">
        <f>IFERROR(__xludf.DUMMYFUNCTION("""COMPUTED_VALUE"""),320000.0)</f>
        <v>320000</v>
      </c>
      <c r="L2551" s="2">
        <f>IFERROR(__xludf.DUMMYFUNCTION("""COMPUTED_VALUE"""),56.9552195)</f>
        <v>56.9552195</v>
      </c>
      <c r="M2551" s="2">
        <f>IFERROR(__xludf.DUMMYFUNCTION("""COMPUTED_VALUE"""),24.1262819)</f>
        <v>24.1262819</v>
      </c>
    </row>
    <row r="2552">
      <c r="A2552" s="2" t="str">
        <f>IFERROR(__xludf.DUMMYFUNCTION("""COMPUTED_VALUE"""),"For sale")</f>
        <v>For sale</v>
      </c>
      <c r="B2552" s="2" t="str">
        <f>IFERROR(__xludf.DUMMYFUNCTION("""COMPUTED_VALUE"""),"centrs")</f>
        <v>centrs</v>
      </c>
      <c r="C2552" s="2" t="str">
        <f>IFERROR(__xludf.DUMMYFUNCTION("""COMPUTED_VALUE"""),"Barona 80")</f>
        <v>Barona 80</v>
      </c>
      <c r="D2552" s="2">
        <f>IFERROR(__xludf.DUMMYFUNCTION("""COMPUTED_VALUE"""),1.0)</f>
        <v>1</v>
      </c>
      <c r="E2552" s="2">
        <f>IFERROR(__xludf.DUMMYFUNCTION("""COMPUTED_VALUE"""),32.0)</f>
        <v>32</v>
      </c>
      <c r="F2552" s="2">
        <f>IFERROR(__xludf.DUMMYFUNCTION("""COMPUTED_VALUE"""),3.0)</f>
        <v>3</v>
      </c>
      <c r="G2552" s="2">
        <f>IFERROR(__xludf.DUMMYFUNCTION("""COMPUTED_VALUE"""),4.0)</f>
        <v>4</v>
      </c>
      <c r="H2552" s="2" t="str">
        <f>IFERROR(__xludf.DUMMYFUNCTION("""COMPUTED_VALUE"""),"Staļina")</f>
        <v>Staļina</v>
      </c>
      <c r="I2552" s="2" t="str">
        <f>IFERROR(__xludf.DUMMYFUNCTION("""COMPUTED_VALUE"""),"Brick")</f>
        <v>Brick</v>
      </c>
      <c r="J2552" s="2" t="str">
        <f>IFERROR(__xludf.DUMMYFUNCTION("""COMPUTED_VALUE"""),"All amenities")</f>
        <v>All amenities</v>
      </c>
      <c r="K2552" s="2">
        <f>IFERROR(__xludf.DUMMYFUNCTION("""COMPUTED_VALUE"""),48900.0)</f>
        <v>48900</v>
      </c>
      <c r="L2552" s="2">
        <f>IFERROR(__xludf.DUMMYFUNCTION("""COMPUTED_VALUE"""),56.957651)</f>
        <v>56.957651</v>
      </c>
      <c r="M2552" s="2">
        <f>IFERROR(__xludf.DUMMYFUNCTION("""COMPUTED_VALUE"""),24.1345779478904)</f>
        <v>24.13457795</v>
      </c>
    </row>
    <row r="2553">
      <c r="A2553" s="2" t="str">
        <f>IFERROR(__xludf.DUMMYFUNCTION("""COMPUTED_VALUE"""),"For sale")</f>
        <v>For sale</v>
      </c>
      <c r="B2553" s="2" t="str">
        <f>IFERROR(__xludf.DUMMYFUNCTION("""COMPUTED_VALUE"""),"Teika")</f>
        <v>Teika</v>
      </c>
      <c r="C2553" s="2" t="str">
        <f>IFERROR(__xludf.DUMMYFUNCTION("""COMPUTED_VALUE"""),"Bērzpils 1")</f>
        <v>Bērzpils 1</v>
      </c>
      <c r="D2553" s="2">
        <f>IFERROR(__xludf.DUMMYFUNCTION("""COMPUTED_VALUE"""),2.0)</f>
        <v>2</v>
      </c>
      <c r="E2553" s="2">
        <f>IFERROR(__xludf.DUMMYFUNCTION("""COMPUTED_VALUE"""),47.0)</f>
        <v>47</v>
      </c>
      <c r="F2553" s="2">
        <f>IFERROR(__xludf.DUMMYFUNCTION("""COMPUTED_VALUE"""),2.0)</f>
        <v>2</v>
      </c>
      <c r="G2553" s="2">
        <f>IFERROR(__xludf.DUMMYFUNCTION("""COMPUTED_VALUE"""),5.0)</f>
        <v>5</v>
      </c>
      <c r="H2553" s="2" t="str">
        <f>IFERROR(__xludf.DUMMYFUNCTION("""COMPUTED_VALUE"""),"Specpr.")</f>
        <v>Specpr.</v>
      </c>
      <c r="I2553" s="2" t="str">
        <f>IFERROR(__xludf.DUMMYFUNCTION("""COMPUTED_VALUE"""),"Brick")</f>
        <v>Brick</v>
      </c>
      <c r="J2553" s="2" t="str">
        <f>IFERROR(__xludf.DUMMYFUNCTION("""COMPUTED_VALUE"""),"All amenities")</f>
        <v>All amenities</v>
      </c>
      <c r="K2553" s="2">
        <f>IFERROR(__xludf.DUMMYFUNCTION("""COMPUTED_VALUE"""),47000.0)</f>
        <v>47000</v>
      </c>
      <c r="L2553" s="2">
        <f>IFERROR(__xludf.DUMMYFUNCTION("""COMPUTED_VALUE"""),56.97918625)</f>
        <v>56.97918625</v>
      </c>
      <c r="M2553" s="2">
        <f>IFERROR(__xludf.DUMMYFUNCTION("""COMPUTED_VALUE"""),24.1706639381423)</f>
        <v>24.17066394</v>
      </c>
    </row>
    <row r="2554">
      <c r="A2554" s="2" t="str">
        <f>IFERROR(__xludf.DUMMYFUNCTION("""COMPUTED_VALUE"""),"For rent")</f>
        <v>For rent</v>
      </c>
      <c r="B2554" s="2" t="str">
        <f>IFERROR(__xludf.DUMMYFUNCTION("""COMPUTED_VALUE"""),"centrs")</f>
        <v>centrs</v>
      </c>
      <c r="C2554" s="2" t="str">
        <f>IFERROR(__xludf.DUMMYFUNCTION("""COMPUTED_VALUE"""),"Riepnieku 4")</f>
        <v>Riepnieku 4</v>
      </c>
      <c r="D2554" s="2">
        <f>IFERROR(__xludf.DUMMYFUNCTION("""COMPUTED_VALUE"""),2.0)</f>
        <v>2</v>
      </c>
      <c r="E2554" s="2">
        <f>IFERROR(__xludf.DUMMYFUNCTION("""COMPUTED_VALUE"""),53.0)</f>
        <v>53</v>
      </c>
      <c r="F2554" s="2">
        <f>IFERROR(__xludf.DUMMYFUNCTION("""COMPUTED_VALUE"""),3.0)</f>
        <v>3</v>
      </c>
      <c r="G2554" s="2">
        <f>IFERROR(__xludf.DUMMYFUNCTION("""COMPUTED_VALUE"""),5.0)</f>
        <v>5</v>
      </c>
      <c r="H2554" s="2" t="str">
        <f>IFERROR(__xludf.DUMMYFUNCTION("""COMPUTED_VALUE"""),"P. kara")</f>
        <v>P. kara</v>
      </c>
      <c r="I2554" s="2" t="str">
        <f>IFERROR(__xludf.DUMMYFUNCTION("""COMPUTED_VALUE"""),"Masonry")</f>
        <v>Masonry</v>
      </c>
      <c r="J2554" s="2" t="str">
        <f>IFERROR(__xludf.DUMMYFUNCTION("""COMPUTED_VALUE"""),"All amenities")</f>
        <v>All amenities</v>
      </c>
      <c r="K2554" s="2">
        <f>IFERROR(__xludf.DUMMYFUNCTION("""COMPUTED_VALUE"""),450.0)</f>
        <v>450</v>
      </c>
      <c r="L2554" s="2">
        <f>IFERROR(__xludf.DUMMYFUNCTION("""COMPUTED_VALUE"""),56.94400335)</f>
        <v>56.94400335</v>
      </c>
      <c r="M2554" s="2">
        <f>IFERROR(__xludf.DUMMYFUNCTION("""COMPUTED_VALUE"""),24.125780302131)</f>
        <v>24.1257803</v>
      </c>
    </row>
    <row r="2555">
      <c r="A2555" s="2" t="str">
        <f>IFERROR(__xludf.DUMMYFUNCTION("""COMPUTED_VALUE"""),"For sale")</f>
        <v>For sale</v>
      </c>
      <c r="B2555" s="2" t="str">
        <f>IFERROR(__xludf.DUMMYFUNCTION("""COMPUTED_VALUE"""),"Krasta r-ns")</f>
        <v>Krasta r-ns</v>
      </c>
      <c r="C2555" s="2" t="str">
        <f>IFERROR(__xludf.DUMMYFUNCTION("""COMPUTED_VALUE"""),"Zilupes 23")</f>
        <v>Zilupes 23</v>
      </c>
      <c r="D2555" s="2">
        <f>IFERROR(__xludf.DUMMYFUNCTION("""COMPUTED_VALUE"""),1.0)</f>
        <v>1</v>
      </c>
      <c r="E2555" s="2">
        <f>IFERROR(__xludf.DUMMYFUNCTION("""COMPUTED_VALUE"""),26.0)</f>
        <v>26</v>
      </c>
      <c r="F2555" s="2">
        <f>IFERROR(__xludf.DUMMYFUNCTION("""COMPUTED_VALUE"""),2.0)</f>
        <v>2</v>
      </c>
      <c r="G2555" s="2">
        <f>IFERROR(__xludf.DUMMYFUNCTION("""COMPUTED_VALUE"""),2.0)</f>
        <v>2</v>
      </c>
      <c r="H2555" s="2" t="str">
        <f>IFERROR(__xludf.DUMMYFUNCTION("""COMPUTED_VALUE"""),"P. kara")</f>
        <v>P. kara</v>
      </c>
      <c r="I2555" s="2" t="str">
        <f>IFERROR(__xludf.DUMMYFUNCTION("""COMPUTED_VALUE"""),"Wood")</f>
        <v>Wood</v>
      </c>
      <c r="J2555" s="2" t="str">
        <f>IFERROR(__xludf.DUMMYFUNCTION("""COMPUTED_VALUE"""),"Partial amenities")</f>
        <v>Partial amenities</v>
      </c>
      <c r="K2555" s="2">
        <f>IFERROR(__xludf.DUMMYFUNCTION("""COMPUTED_VALUE"""),12700.0)</f>
        <v>12700</v>
      </c>
      <c r="L2555" s="2">
        <f>IFERROR(__xludf.DUMMYFUNCTION("""COMPUTED_VALUE"""),56.926804)</f>
        <v>56.926804</v>
      </c>
      <c r="M2555" s="2">
        <f>IFERROR(__xludf.DUMMYFUNCTION("""COMPUTED_VALUE"""),24.1697312016684)</f>
        <v>24.1697312</v>
      </c>
    </row>
    <row r="2556">
      <c r="A2556" s="2" t="str">
        <f>IFERROR(__xludf.DUMMYFUNCTION("""COMPUTED_VALUE"""),"For sale")</f>
        <v>For sale</v>
      </c>
      <c r="B2556" s="2" t="str">
        <f>IFERROR(__xludf.DUMMYFUNCTION("""COMPUTED_VALUE"""),"centrs")</f>
        <v>centrs</v>
      </c>
      <c r="C2556" s="2" t="str">
        <f>IFERROR(__xludf.DUMMYFUNCTION("""COMPUTED_VALUE"""),"Tallinas 86")</f>
        <v>Tallinas 86</v>
      </c>
      <c r="D2556" s="2">
        <f>IFERROR(__xludf.DUMMYFUNCTION("""COMPUTED_VALUE"""),3.0)</f>
        <v>3</v>
      </c>
      <c r="E2556" s="2">
        <f>IFERROR(__xludf.DUMMYFUNCTION("""COMPUTED_VALUE"""),72.0)</f>
        <v>72</v>
      </c>
      <c r="F2556" s="2">
        <f>IFERROR(__xludf.DUMMYFUNCTION("""COMPUTED_VALUE"""),3.0)</f>
        <v>3</v>
      </c>
      <c r="G2556" s="2">
        <f>IFERROR(__xludf.DUMMYFUNCTION("""COMPUTED_VALUE"""),5.0)</f>
        <v>5</v>
      </c>
      <c r="H2556" s="2" t="str">
        <f>IFERROR(__xludf.DUMMYFUNCTION("""COMPUTED_VALUE"""),"Renov.")</f>
        <v>Renov.</v>
      </c>
      <c r="I2556" s="2" t="str">
        <f>IFERROR(__xludf.DUMMYFUNCTION("""COMPUTED_VALUE"""),"Masonry")</f>
        <v>Masonry</v>
      </c>
      <c r="J2556" s="2" t="str">
        <f>IFERROR(__xludf.DUMMYFUNCTION("""COMPUTED_VALUE"""),"All amenities")</f>
        <v>All amenities</v>
      </c>
      <c r="K2556" s="2">
        <f>IFERROR(__xludf.DUMMYFUNCTION("""COMPUTED_VALUE"""),141400.0)</f>
        <v>141400</v>
      </c>
      <c r="L2556" s="2">
        <f>IFERROR(__xludf.DUMMYFUNCTION("""COMPUTED_VALUE"""),56.95652115)</f>
        <v>56.95652115</v>
      </c>
      <c r="M2556" s="2">
        <f>IFERROR(__xludf.DUMMYFUNCTION("""COMPUTED_VALUE"""),24.1476809000188)</f>
        <v>24.1476809</v>
      </c>
    </row>
    <row r="2557">
      <c r="A2557" s="2" t="str">
        <f>IFERROR(__xludf.DUMMYFUNCTION("""COMPUTED_VALUE"""),"For sale")</f>
        <v>For sale</v>
      </c>
      <c r="B2557" s="2" t="str">
        <f>IFERROR(__xludf.DUMMYFUNCTION("""COMPUTED_VALUE"""),"Šampēteris-Pleskodāle")</f>
        <v>Šampēteris-Pleskodāle</v>
      </c>
      <c r="C2557" s="2" t="str">
        <f>IFERROR(__xludf.DUMMYFUNCTION("""COMPUTED_VALUE"""),"Šampētera 9")</f>
        <v>Šampētera 9</v>
      </c>
      <c r="D2557" s="2">
        <f>IFERROR(__xludf.DUMMYFUNCTION("""COMPUTED_VALUE"""),2.0)</f>
        <v>2</v>
      </c>
      <c r="E2557" s="2">
        <f>IFERROR(__xludf.DUMMYFUNCTION("""COMPUTED_VALUE"""),53.0)</f>
        <v>53</v>
      </c>
      <c r="F2557" s="2">
        <f>IFERROR(__xludf.DUMMYFUNCTION("""COMPUTED_VALUE"""),2.0)</f>
        <v>2</v>
      </c>
      <c r="G2557" s="2">
        <f>IFERROR(__xludf.DUMMYFUNCTION("""COMPUTED_VALUE"""),2.0)</f>
        <v>2</v>
      </c>
      <c r="H2557" s="2" t="str">
        <f>IFERROR(__xludf.DUMMYFUNCTION("""COMPUTED_VALUE"""),"Renov.")</f>
        <v>Renov.</v>
      </c>
      <c r="I2557" s="2" t="str">
        <f>IFERROR(__xludf.DUMMYFUNCTION("""COMPUTED_VALUE"""),"Wood")</f>
        <v>Wood</v>
      </c>
      <c r="J2557" s="2" t="str">
        <f>IFERROR(__xludf.DUMMYFUNCTION("""COMPUTED_VALUE"""),"All amenities")</f>
        <v>All amenities</v>
      </c>
      <c r="K2557" s="2">
        <f>IFERROR(__xludf.DUMMYFUNCTION("""COMPUTED_VALUE"""),65000.0)</f>
        <v>65000</v>
      </c>
      <c r="L2557" s="2">
        <f>IFERROR(__xludf.DUMMYFUNCTION("""COMPUTED_VALUE"""),56.9418126)</f>
        <v>56.9418126</v>
      </c>
      <c r="M2557" s="2">
        <f>IFERROR(__xludf.DUMMYFUNCTION("""COMPUTED_VALUE"""),24.038539163099)</f>
        <v>24.03853916</v>
      </c>
    </row>
    <row r="2558">
      <c r="A2558" s="2" t="str">
        <f>IFERROR(__xludf.DUMMYFUNCTION("""COMPUTED_VALUE"""),"For sale")</f>
        <v>For sale</v>
      </c>
      <c r="B2558" s="2" t="str">
        <f>IFERROR(__xludf.DUMMYFUNCTION("""COMPUTED_VALUE"""),"centrs")</f>
        <v>centrs</v>
      </c>
      <c r="C2558" s="2" t="str">
        <f>IFERROR(__xludf.DUMMYFUNCTION("""COMPUTED_VALUE"""),"Tomsona 21")</f>
        <v>Tomsona 21</v>
      </c>
      <c r="D2558" s="2">
        <f>IFERROR(__xludf.DUMMYFUNCTION("""COMPUTED_VALUE"""),2.0)</f>
        <v>2</v>
      </c>
      <c r="E2558" s="2">
        <f>IFERROR(__xludf.DUMMYFUNCTION("""COMPUTED_VALUE"""),57.0)</f>
        <v>57</v>
      </c>
      <c r="F2558" s="2">
        <f>IFERROR(__xludf.DUMMYFUNCTION("""COMPUTED_VALUE"""),1.0)</f>
        <v>1</v>
      </c>
      <c r="G2558" s="2">
        <f>IFERROR(__xludf.DUMMYFUNCTION("""COMPUTED_VALUE"""),6.0)</f>
        <v>6</v>
      </c>
      <c r="H2558" s="2" t="str">
        <f>IFERROR(__xludf.DUMMYFUNCTION("""COMPUTED_VALUE"""),"P. kara")</f>
        <v>P. kara</v>
      </c>
      <c r="I2558" s="2" t="str">
        <f>IFERROR(__xludf.DUMMYFUNCTION("""COMPUTED_VALUE"""),"Masonry")</f>
        <v>Masonry</v>
      </c>
      <c r="J2558" s="2" t="str">
        <f>IFERROR(__xludf.DUMMYFUNCTION("""COMPUTED_VALUE"""),"All amenities")</f>
        <v>All amenities</v>
      </c>
      <c r="K2558" s="2">
        <f>IFERROR(__xludf.DUMMYFUNCTION("""COMPUTED_VALUE"""),54900.0)</f>
        <v>54900</v>
      </c>
      <c r="L2558" s="2">
        <f>IFERROR(__xludf.DUMMYFUNCTION("""COMPUTED_VALUE"""),56.9650449)</f>
        <v>56.9650449</v>
      </c>
      <c r="M2558" s="2">
        <f>IFERROR(__xludf.DUMMYFUNCTION("""COMPUTED_VALUE"""),24.1258164562245)</f>
        <v>24.12581646</v>
      </c>
    </row>
    <row r="2559">
      <c r="A2559" s="2" t="str">
        <f>IFERROR(__xludf.DUMMYFUNCTION("""COMPUTED_VALUE"""),"For sale")</f>
        <v>For sale</v>
      </c>
      <c r="B2559" s="2" t="str">
        <f>IFERROR(__xludf.DUMMYFUNCTION("""COMPUTED_VALUE"""),"Bolderāja")</f>
        <v>Bolderāja</v>
      </c>
      <c r="C2559" s="2" t="str">
        <f>IFERROR(__xludf.DUMMYFUNCTION("""COMPUTED_VALUE"""),"Stagaru 4")</f>
        <v>Stagaru 4</v>
      </c>
      <c r="D2559" s="2">
        <f>IFERROR(__xludf.DUMMYFUNCTION("""COMPUTED_VALUE"""),1.0)</f>
        <v>1</v>
      </c>
      <c r="E2559" s="2">
        <f>IFERROR(__xludf.DUMMYFUNCTION("""COMPUTED_VALUE"""),35.0)</f>
        <v>35</v>
      </c>
      <c r="F2559" s="2">
        <f>IFERROR(__xludf.DUMMYFUNCTION("""COMPUTED_VALUE"""),4.0)</f>
        <v>4</v>
      </c>
      <c r="G2559" s="2">
        <f>IFERROR(__xludf.DUMMYFUNCTION("""COMPUTED_VALUE"""),5.0)</f>
        <v>5</v>
      </c>
      <c r="H2559" s="2" t="str">
        <f>IFERROR(__xludf.DUMMYFUNCTION("""COMPUTED_VALUE"""),"Hrušč.")</f>
        <v>Hrušč.</v>
      </c>
      <c r="I2559" s="2" t="str">
        <f>IFERROR(__xludf.DUMMYFUNCTION("""COMPUTED_VALUE"""),"Brick-Panel")</f>
        <v>Brick-Panel</v>
      </c>
      <c r="J2559" s="2" t="str">
        <f>IFERROR(__xludf.DUMMYFUNCTION("""COMPUTED_VALUE"""),"All amenities")</f>
        <v>All amenities</v>
      </c>
      <c r="K2559" s="2">
        <f>IFERROR(__xludf.DUMMYFUNCTION("""COMPUTED_VALUE"""),23000.0)</f>
        <v>23000</v>
      </c>
      <c r="L2559" s="2">
        <f>IFERROR(__xludf.DUMMYFUNCTION("""COMPUTED_VALUE"""),57.02965155)</f>
        <v>57.02965155</v>
      </c>
      <c r="M2559" s="2">
        <f>IFERROR(__xludf.DUMMYFUNCTION("""COMPUTED_VALUE"""),24.0359751945236)</f>
        <v>24.03597519</v>
      </c>
    </row>
    <row r="2560">
      <c r="A2560" s="2" t="str">
        <f>IFERROR(__xludf.DUMMYFUNCTION("""COMPUTED_VALUE"""),"For sale")</f>
        <v>For sale</v>
      </c>
      <c r="B2560" s="2" t="str">
        <f>IFERROR(__xludf.DUMMYFUNCTION("""COMPUTED_VALUE"""),"Dzegužkalns")</f>
        <v>Dzegužkalns</v>
      </c>
      <c r="C2560" s="2" t="str">
        <f>IFERROR(__xludf.DUMMYFUNCTION("""COMPUTED_VALUE"""),"Purva 25")</f>
        <v>Purva 25</v>
      </c>
      <c r="D2560" s="2">
        <f>IFERROR(__xludf.DUMMYFUNCTION("""COMPUTED_VALUE"""),2.0)</f>
        <v>2</v>
      </c>
      <c r="E2560" s="2">
        <f>IFERROR(__xludf.DUMMYFUNCTION("""COMPUTED_VALUE"""),37.4)</f>
        <v>37.4</v>
      </c>
      <c r="F2560" s="2">
        <f>IFERROR(__xludf.DUMMYFUNCTION("""COMPUTED_VALUE"""),4.0)</f>
        <v>4</v>
      </c>
      <c r="G2560" s="2">
        <f>IFERROR(__xludf.DUMMYFUNCTION("""COMPUTED_VALUE"""),5.0)</f>
        <v>5</v>
      </c>
      <c r="H2560" s="2" t="str">
        <f>IFERROR(__xludf.DUMMYFUNCTION("""COMPUTED_VALUE"""),"LT proj.")</f>
        <v>LT proj.</v>
      </c>
      <c r="I2560" s="2" t="str">
        <f>IFERROR(__xludf.DUMMYFUNCTION("""COMPUTED_VALUE"""),"Panel")</f>
        <v>Panel</v>
      </c>
      <c r="J2560" s="2" t="str">
        <f>IFERROR(__xludf.DUMMYFUNCTION("""COMPUTED_VALUE"""),"All amenities")</f>
        <v>All amenities</v>
      </c>
      <c r="K2560" s="2">
        <f>IFERROR(__xludf.DUMMYFUNCTION("""COMPUTED_VALUE"""),37000.0)</f>
        <v>37000</v>
      </c>
      <c r="L2560" s="2">
        <f>IFERROR(__xludf.DUMMYFUNCTION("""COMPUTED_VALUE"""),56.95770335)</f>
        <v>56.95770335</v>
      </c>
      <c r="M2560" s="2">
        <f>IFERROR(__xludf.DUMMYFUNCTION("""COMPUTED_VALUE"""),24.0505207014209)</f>
        <v>24.0505207</v>
      </c>
    </row>
    <row r="2561">
      <c r="A2561" s="2" t="str">
        <f>IFERROR(__xludf.DUMMYFUNCTION("""COMPUTED_VALUE"""),"For rent")</f>
        <v>For rent</v>
      </c>
      <c r="B2561" s="2" t="str">
        <f>IFERROR(__xludf.DUMMYFUNCTION("""COMPUTED_VALUE"""),"centrs")</f>
        <v>centrs</v>
      </c>
      <c r="C2561" s="2" t="str">
        <f>IFERROR(__xludf.DUMMYFUNCTION("""COMPUTED_VALUE"""),"Kalniņa 8")</f>
        <v>Kalniņa 8</v>
      </c>
      <c r="D2561" s="2">
        <f>IFERROR(__xludf.DUMMYFUNCTION("""COMPUTED_VALUE"""),2.0)</f>
        <v>2</v>
      </c>
      <c r="E2561" s="2">
        <f>IFERROR(__xludf.DUMMYFUNCTION("""COMPUTED_VALUE"""),50.0)</f>
        <v>50</v>
      </c>
      <c r="F2561" s="2">
        <f>IFERROR(__xludf.DUMMYFUNCTION("""COMPUTED_VALUE"""),2.0)</f>
        <v>2</v>
      </c>
      <c r="G2561" s="2">
        <f>IFERROR(__xludf.DUMMYFUNCTION("""COMPUTED_VALUE"""),5.0)</f>
        <v>5</v>
      </c>
      <c r="H2561" s="2" t="str">
        <f>IFERROR(__xludf.DUMMYFUNCTION("""COMPUTED_VALUE"""),"P. kara")</f>
        <v>P. kara</v>
      </c>
      <c r="I2561" s="2" t="str">
        <f>IFERROR(__xludf.DUMMYFUNCTION("""COMPUTED_VALUE"""),"Brick")</f>
        <v>Brick</v>
      </c>
      <c r="J2561" s="2" t="str">
        <f>IFERROR(__xludf.DUMMYFUNCTION("""COMPUTED_VALUE"""),"All amenities")</f>
        <v>All amenities</v>
      </c>
      <c r="K2561" s="2">
        <f>IFERROR(__xludf.DUMMYFUNCTION("""COMPUTED_VALUE"""),800.0)</f>
        <v>800</v>
      </c>
      <c r="L2561" s="2">
        <f>IFERROR(__xludf.DUMMYFUNCTION("""COMPUTED_VALUE"""),56.949924)</f>
        <v>56.949924</v>
      </c>
      <c r="M2561" s="2">
        <f>IFERROR(__xludf.DUMMYFUNCTION("""COMPUTED_VALUE"""),24.1206586)</f>
        <v>24.1206586</v>
      </c>
    </row>
    <row r="2562">
      <c r="A2562" s="2" t="str">
        <f>IFERROR(__xludf.DUMMYFUNCTION("""COMPUTED_VALUE"""),"For sale")</f>
        <v>For sale</v>
      </c>
      <c r="B2562" s="2" t="str">
        <f>IFERROR(__xludf.DUMMYFUNCTION("""COMPUTED_VALUE"""),"Purvciems")</f>
        <v>Purvciems</v>
      </c>
      <c r="C2562" s="2" t="str">
        <f>IFERROR(__xludf.DUMMYFUNCTION("""COMPUTED_VALUE"""),"Ūnijas 67")</f>
        <v>Ūnijas 67</v>
      </c>
      <c r="D2562" s="2">
        <f>IFERROR(__xludf.DUMMYFUNCTION("""COMPUTED_VALUE"""),3.0)</f>
        <v>3</v>
      </c>
      <c r="E2562" s="2">
        <f>IFERROR(__xludf.DUMMYFUNCTION("""COMPUTED_VALUE"""),88.0)</f>
        <v>88</v>
      </c>
      <c r="F2562" s="2">
        <f>IFERROR(__xludf.DUMMYFUNCTION("""COMPUTED_VALUE"""),6.0)</f>
        <v>6</v>
      </c>
      <c r="G2562" s="2">
        <f>IFERROR(__xludf.DUMMYFUNCTION("""COMPUTED_VALUE"""),6.0)</f>
        <v>6</v>
      </c>
      <c r="H2562" s="2" t="str">
        <f>IFERROR(__xludf.DUMMYFUNCTION("""COMPUTED_VALUE"""),"Jaun.")</f>
        <v>Jaun.</v>
      </c>
      <c r="I2562" s="2" t="str">
        <f>IFERROR(__xludf.DUMMYFUNCTION("""COMPUTED_VALUE"""),"Panel")</f>
        <v>Panel</v>
      </c>
      <c r="J2562" s="2" t="str">
        <f>IFERROR(__xludf.DUMMYFUNCTION("""COMPUTED_VALUE"""),"All amenities")</f>
        <v>All amenities</v>
      </c>
      <c r="K2562" s="2">
        <f>IFERROR(__xludf.DUMMYFUNCTION("""COMPUTED_VALUE"""),164373.0)</f>
        <v>164373</v>
      </c>
      <c r="L2562" s="2">
        <f>IFERROR(__xludf.DUMMYFUNCTION("""COMPUTED_VALUE"""),56.9651554999999)</f>
        <v>56.9651555</v>
      </c>
      <c r="M2562" s="2">
        <f>IFERROR(__xludf.DUMMYFUNCTION("""COMPUTED_VALUE"""),24.1783224911961)</f>
        <v>24.17832249</v>
      </c>
    </row>
    <row r="2563">
      <c r="A2563" s="2" t="str">
        <f>IFERROR(__xludf.DUMMYFUNCTION("""COMPUTED_VALUE"""),"For sale")</f>
        <v>For sale</v>
      </c>
      <c r="B2563" s="2" t="str">
        <f>IFERROR(__xludf.DUMMYFUNCTION("""COMPUTED_VALUE"""),"Purvciems")</f>
        <v>Purvciems</v>
      </c>
      <c r="C2563" s="2" t="str">
        <f>IFERROR(__xludf.DUMMYFUNCTION("""COMPUTED_VALUE"""),"Ūnijas 67")</f>
        <v>Ūnijas 67</v>
      </c>
      <c r="D2563" s="2">
        <f>IFERROR(__xludf.DUMMYFUNCTION("""COMPUTED_VALUE"""),3.0)</f>
        <v>3</v>
      </c>
      <c r="E2563" s="2">
        <f>IFERROR(__xludf.DUMMYFUNCTION("""COMPUTED_VALUE"""),79.8)</f>
        <v>79.8</v>
      </c>
      <c r="F2563" s="2">
        <f>IFERROR(__xludf.DUMMYFUNCTION("""COMPUTED_VALUE"""),2.0)</f>
        <v>2</v>
      </c>
      <c r="G2563" s="2">
        <f>IFERROR(__xludf.DUMMYFUNCTION("""COMPUTED_VALUE"""),6.0)</f>
        <v>6</v>
      </c>
      <c r="H2563" s="2" t="str">
        <f>IFERROR(__xludf.DUMMYFUNCTION("""COMPUTED_VALUE"""),"Jaun.")</f>
        <v>Jaun.</v>
      </c>
      <c r="I2563" s="2" t="str">
        <f>IFERROR(__xludf.DUMMYFUNCTION("""COMPUTED_VALUE"""),"Panel")</f>
        <v>Panel</v>
      </c>
      <c r="J2563" s="2" t="str">
        <f>IFERROR(__xludf.DUMMYFUNCTION("""COMPUTED_VALUE"""),"All amenities")</f>
        <v>All amenities</v>
      </c>
      <c r="K2563" s="2">
        <f>IFERROR(__xludf.DUMMYFUNCTION("""COMPUTED_VALUE"""),149226.0)</f>
        <v>149226</v>
      </c>
      <c r="L2563" s="2">
        <f>IFERROR(__xludf.DUMMYFUNCTION("""COMPUTED_VALUE"""),56.9651554999999)</f>
        <v>56.9651555</v>
      </c>
      <c r="M2563" s="2">
        <f>IFERROR(__xludf.DUMMYFUNCTION("""COMPUTED_VALUE"""),24.1783224911961)</f>
        <v>24.17832249</v>
      </c>
    </row>
    <row r="2564">
      <c r="A2564" s="2" t="str">
        <f>IFERROR(__xludf.DUMMYFUNCTION("""COMPUTED_VALUE"""),"For sale")</f>
        <v>For sale</v>
      </c>
      <c r="B2564" s="2" t="str">
        <f>IFERROR(__xludf.DUMMYFUNCTION("""COMPUTED_VALUE"""),"Purvciems")</f>
        <v>Purvciems</v>
      </c>
      <c r="C2564" s="2" t="str">
        <f>IFERROR(__xludf.DUMMYFUNCTION("""COMPUTED_VALUE"""),"Ūnijas 67")</f>
        <v>Ūnijas 67</v>
      </c>
      <c r="D2564" s="2">
        <f>IFERROR(__xludf.DUMMYFUNCTION("""COMPUTED_VALUE"""),3.0)</f>
        <v>3</v>
      </c>
      <c r="E2564" s="2">
        <f>IFERROR(__xludf.DUMMYFUNCTION("""COMPUTED_VALUE"""),87.0)</f>
        <v>87</v>
      </c>
      <c r="F2564" s="2">
        <f>IFERROR(__xludf.DUMMYFUNCTION("""COMPUTED_VALUE"""),2.0)</f>
        <v>2</v>
      </c>
      <c r="G2564" s="2">
        <f>IFERROR(__xludf.DUMMYFUNCTION("""COMPUTED_VALUE"""),6.0)</f>
        <v>6</v>
      </c>
      <c r="H2564" s="2" t="str">
        <f>IFERROR(__xludf.DUMMYFUNCTION("""COMPUTED_VALUE"""),"Jaun.")</f>
        <v>Jaun.</v>
      </c>
      <c r="I2564" s="2" t="str">
        <f>IFERROR(__xludf.DUMMYFUNCTION("""COMPUTED_VALUE"""),"Panel")</f>
        <v>Panel</v>
      </c>
      <c r="J2564" s="2" t="str">
        <f>IFERROR(__xludf.DUMMYFUNCTION("""COMPUTED_VALUE"""),"All amenities")</f>
        <v>All amenities</v>
      </c>
      <c r="K2564" s="2">
        <f>IFERROR(__xludf.DUMMYFUNCTION("""COMPUTED_VALUE"""),170871.0)</f>
        <v>170871</v>
      </c>
      <c r="L2564" s="2">
        <f>IFERROR(__xludf.DUMMYFUNCTION("""COMPUTED_VALUE"""),56.9651554999999)</f>
        <v>56.9651555</v>
      </c>
      <c r="M2564" s="2">
        <f>IFERROR(__xludf.DUMMYFUNCTION("""COMPUTED_VALUE"""),24.1783224911961)</f>
        <v>24.17832249</v>
      </c>
    </row>
    <row r="2565">
      <c r="A2565" s="2" t="str">
        <f>IFERROR(__xludf.DUMMYFUNCTION("""COMPUTED_VALUE"""),"For sale")</f>
        <v>For sale</v>
      </c>
      <c r="B2565" s="2" t="str">
        <f>IFERROR(__xludf.DUMMYFUNCTION("""COMPUTED_VALUE"""),"Purvciems")</f>
        <v>Purvciems</v>
      </c>
      <c r="C2565" s="2" t="str">
        <f>IFERROR(__xludf.DUMMYFUNCTION("""COMPUTED_VALUE"""),"Ūnijas 67")</f>
        <v>Ūnijas 67</v>
      </c>
      <c r="D2565" s="2">
        <f>IFERROR(__xludf.DUMMYFUNCTION("""COMPUTED_VALUE"""),3.0)</f>
        <v>3</v>
      </c>
      <c r="E2565" s="2">
        <f>IFERROR(__xludf.DUMMYFUNCTION("""COMPUTED_VALUE"""),88.4)</f>
        <v>88.4</v>
      </c>
      <c r="F2565" s="2">
        <f>IFERROR(__xludf.DUMMYFUNCTION("""COMPUTED_VALUE"""),6.0)</f>
        <v>6</v>
      </c>
      <c r="G2565" s="2">
        <f>IFERROR(__xludf.DUMMYFUNCTION("""COMPUTED_VALUE"""),6.0)</f>
        <v>6</v>
      </c>
      <c r="H2565" s="2" t="str">
        <f>IFERROR(__xludf.DUMMYFUNCTION("""COMPUTED_VALUE"""),"Jaun.")</f>
        <v>Jaun.</v>
      </c>
      <c r="I2565" s="2" t="str">
        <f>IFERROR(__xludf.DUMMYFUNCTION("""COMPUTED_VALUE"""),"Panel")</f>
        <v>Panel</v>
      </c>
      <c r="J2565" s="2" t="str">
        <f>IFERROR(__xludf.DUMMYFUNCTION("""COMPUTED_VALUE"""),"All amenities")</f>
        <v>All amenities</v>
      </c>
      <c r="K2565" s="2">
        <f>IFERROR(__xludf.DUMMYFUNCTION("""COMPUTED_VALUE"""),165308.0)</f>
        <v>165308</v>
      </c>
      <c r="L2565" s="2">
        <f>IFERROR(__xludf.DUMMYFUNCTION("""COMPUTED_VALUE"""),56.9651554999999)</f>
        <v>56.9651555</v>
      </c>
      <c r="M2565" s="2">
        <f>IFERROR(__xludf.DUMMYFUNCTION("""COMPUTED_VALUE"""),24.1783224911961)</f>
        <v>24.17832249</v>
      </c>
    </row>
    <row r="2566">
      <c r="A2566" s="2" t="str">
        <f>IFERROR(__xludf.DUMMYFUNCTION("""COMPUTED_VALUE"""),"For rent")</f>
        <v>For rent</v>
      </c>
      <c r="B2566" s="2" t="str">
        <f>IFERROR(__xludf.DUMMYFUNCTION("""COMPUTED_VALUE"""),"Vecrīga")</f>
        <v>Vecrīga</v>
      </c>
      <c r="C2566" s="2" t="str">
        <f>IFERROR(__xludf.DUMMYFUNCTION("""COMPUTED_VALUE"""),"Brīvības bulvāris 19")</f>
        <v>Brīvības bulvāris 19</v>
      </c>
      <c r="D2566" s="2">
        <f>IFERROR(__xludf.DUMMYFUNCTION("""COMPUTED_VALUE"""),2.0)</f>
        <v>2</v>
      </c>
      <c r="E2566" s="2">
        <f>IFERROR(__xludf.DUMMYFUNCTION("""COMPUTED_VALUE"""),64.0)</f>
        <v>64</v>
      </c>
      <c r="F2566" s="2">
        <f>IFERROR(__xludf.DUMMYFUNCTION("""COMPUTED_VALUE"""),5.0)</f>
        <v>5</v>
      </c>
      <c r="G2566" s="2">
        <f>IFERROR(__xludf.DUMMYFUNCTION("""COMPUTED_VALUE"""),6.0)</f>
        <v>6</v>
      </c>
      <c r="H2566" s="2" t="str">
        <f>IFERROR(__xludf.DUMMYFUNCTION("""COMPUTED_VALUE"""),"Renov.")</f>
        <v>Renov.</v>
      </c>
      <c r="I2566" s="2" t="str">
        <f>IFERROR(__xludf.DUMMYFUNCTION("""COMPUTED_VALUE"""),"Masonry")</f>
        <v>Masonry</v>
      </c>
      <c r="J2566" s="2" t="str">
        <f>IFERROR(__xludf.DUMMYFUNCTION("""COMPUTED_VALUE"""),"All amenities")</f>
        <v>All amenities</v>
      </c>
      <c r="K2566" s="2">
        <f>IFERROR(__xludf.DUMMYFUNCTION("""COMPUTED_VALUE"""),49.0)</f>
        <v>49</v>
      </c>
      <c r="L2566" s="2">
        <f>IFERROR(__xludf.DUMMYFUNCTION("""COMPUTED_VALUE"""),56.9521409)</f>
        <v>56.9521409</v>
      </c>
      <c r="M2566" s="2">
        <f>IFERROR(__xludf.DUMMYFUNCTION("""COMPUTED_VALUE"""),24.1137239)</f>
        <v>24.1137239</v>
      </c>
    </row>
    <row r="2567">
      <c r="A2567" s="2" t="str">
        <f>IFERROR(__xludf.DUMMYFUNCTION("""COMPUTED_VALUE"""),"For rent")</f>
        <v>For rent</v>
      </c>
      <c r="B2567" s="2" t="str">
        <f>IFERROR(__xludf.DUMMYFUNCTION("""COMPUTED_VALUE"""),"Purvciems")</f>
        <v>Purvciems</v>
      </c>
      <c r="C2567" s="2" t="str">
        <f>IFERROR(__xludf.DUMMYFUNCTION("""COMPUTED_VALUE"""),"Ūnijas 67")</f>
        <v>Ūnijas 67</v>
      </c>
      <c r="D2567" s="2">
        <f>IFERROR(__xludf.DUMMYFUNCTION("""COMPUTED_VALUE"""),3.0)</f>
        <v>3</v>
      </c>
      <c r="E2567" s="2">
        <f>IFERROR(__xludf.DUMMYFUNCTION("""COMPUTED_VALUE"""),91.0)</f>
        <v>91</v>
      </c>
      <c r="F2567" s="2">
        <f>IFERROR(__xludf.DUMMYFUNCTION("""COMPUTED_VALUE"""),2.0)</f>
        <v>2</v>
      </c>
      <c r="G2567" s="2">
        <f>IFERROR(__xludf.DUMMYFUNCTION("""COMPUTED_VALUE"""),6.0)</f>
        <v>6</v>
      </c>
      <c r="H2567" s="2" t="str">
        <f>IFERROR(__xludf.DUMMYFUNCTION("""COMPUTED_VALUE"""),"Jaun.")</f>
        <v>Jaun.</v>
      </c>
      <c r="I2567" s="2" t="str">
        <f>IFERROR(__xludf.DUMMYFUNCTION("""COMPUTED_VALUE"""),"Panel")</f>
        <v>Panel</v>
      </c>
      <c r="J2567" s="2" t="str">
        <f>IFERROR(__xludf.DUMMYFUNCTION("""COMPUTED_VALUE"""),"All amenities")</f>
        <v>All amenities</v>
      </c>
      <c r="K2567" s="2">
        <f>IFERROR(__xludf.DUMMYFUNCTION("""COMPUTED_VALUE"""),890.0)</f>
        <v>890</v>
      </c>
      <c r="L2567" s="2">
        <f>IFERROR(__xludf.DUMMYFUNCTION("""COMPUTED_VALUE"""),56.9651554999999)</f>
        <v>56.9651555</v>
      </c>
      <c r="M2567" s="2">
        <f>IFERROR(__xludf.DUMMYFUNCTION("""COMPUTED_VALUE"""),24.1783224911961)</f>
        <v>24.17832249</v>
      </c>
    </row>
    <row r="2568">
      <c r="A2568" s="2" t="str">
        <f>IFERROR(__xludf.DUMMYFUNCTION("""COMPUTED_VALUE"""),"For sale")</f>
        <v>For sale</v>
      </c>
      <c r="B2568" s="2" t="str">
        <f>IFERROR(__xludf.DUMMYFUNCTION("""COMPUTED_VALUE"""),"Purvciems")</f>
        <v>Purvciems</v>
      </c>
      <c r="C2568" s="2" t="str">
        <f>IFERROR(__xludf.DUMMYFUNCTION("""COMPUTED_VALUE"""),"Ūnijas 67")</f>
        <v>Ūnijas 67</v>
      </c>
      <c r="D2568" s="2">
        <f>IFERROR(__xludf.DUMMYFUNCTION("""COMPUTED_VALUE"""),4.0)</f>
        <v>4</v>
      </c>
      <c r="E2568" s="2">
        <f>IFERROR(__xludf.DUMMYFUNCTION("""COMPUTED_VALUE"""),107.5)</f>
        <v>107.5</v>
      </c>
      <c r="F2568" s="2">
        <f>IFERROR(__xludf.DUMMYFUNCTION("""COMPUTED_VALUE"""),5.0)</f>
        <v>5</v>
      </c>
      <c r="G2568" s="2">
        <f>IFERROR(__xludf.DUMMYFUNCTION("""COMPUTED_VALUE"""),6.0)</f>
        <v>6</v>
      </c>
      <c r="H2568" s="2" t="str">
        <f>IFERROR(__xludf.DUMMYFUNCTION("""COMPUTED_VALUE"""),"Jaun.")</f>
        <v>Jaun.</v>
      </c>
      <c r="I2568" s="2" t="str">
        <f>IFERROR(__xludf.DUMMYFUNCTION("""COMPUTED_VALUE"""),"Panel")</f>
        <v>Panel</v>
      </c>
      <c r="J2568" s="2" t="str">
        <f>IFERROR(__xludf.DUMMYFUNCTION("""COMPUTED_VALUE"""),"All amenities")</f>
        <v>All amenities</v>
      </c>
      <c r="K2568" s="2">
        <f>IFERROR(__xludf.DUMMYFUNCTION("""COMPUTED_VALUE"""),206000.0)</f>
        <v>206000</v>
      </c>
      <c r="L2568" s="2">
        <f>IFERROR(__xludf.DUMMYFUNCTION("""COMPUTED_VALUE"""),56.9651554999999)</f>
        <v>56.9651555</v>
      </c>
      <c r="M2568" s="2">
        <f>IFERROR(__xludf.DUMMYFUNCTION("""COMPUTED_VALUE"""),24.1783224911961)</f>
        <v>24.17832249</v>
      </c>
    </row>
    <row r="2569">
      <c r="A2569" s="2" t="str">
        <f>IFERROR(__xludf.DUMMYFUNCTION("""COMPUTED_VALUE"""),"For sale")</f>
        <v>For sale</v>
      </c>
      <c r="B2569" s="2" t="str">
        <f>IFERROR(__xludf.DUMMYFUNCTION("""COMPUTED_VALUE"""),"Ķengarags")</f>
        <v>Ķengarags</v>
      </c>
      <c r="C2569" s="2" t="str">
        <f>IFERROR(__xludf.DUMMYFUNCTION("""COMPUTED_VALUE"""),"Maskavas 381")</f>
        <v>Maskavas 381</v>
      </c>
      <c r="D2569" s="2">
        <f>IFERROR(__xludf.DUMMYFUNCTION("""COMPUTED_VALUE"""),1.0)</f>
        <v>1</v>
      </c>
      <c r="E2569" s="2">
        <f>IFERROR(__xludf.DUMMYFUNCTION("""COMPUTED_VALUE"""),17.0)</f>
        <v>17</v>
      </c>
      <c r="F2569" s="2">
        <f>IFERROR(__xludf.DUMMYFUNCTION("""COMPUTED_VALUE"""),1.0)</f>
        <v>1</v>
      </c>
      <c r="G2569" s="2">
        <f>IFERROR(__xludf.DUMMYFUNCTION("""COMPUTED_VALUE"""),4.0)</f>
        <v>4</v>
      </c>
      <c r="H2569" s="2" t="str">
        <f>IFERROR(__xludf.DUMMYFUNCTION("""COMPUTED_VALUE"""),"Staļina")</f>
        <v>Staļina</v>
      </c>
      <c r="I2569" s="2" t="str">
        <f>IFERROR(__xludf.DUMMYFUNCTION("""COMPUTED_VALUE"""),"Masonry")</f>
        <v>Masonry</v>
      </c>
      <c r="J2569" s="2" t="str">
        <f>IFERROR(__xludf.DUMMYFUNCTION("""COMPUTED_VALUE"""),"All amenities")</f>
        <v>All amenities</v>
      </c>
      <c r="K2569" s="2">
        <f>IFERROR(__xludf.DUMMYFUNCTION("""COMPUTED_VALUE"""),7890.0)</f>
        <v>7890</v>
      </c>
      <c r="L2569" s="2">
        <f>IFERROR(__xludf.DUMMYFUNCTION("""COMPUTED_VALUE"""),56.8597884)</f>
        <v>56.8597884</v>
      </c>
      <c r="M2569" s="2">
        <f>IFERROR(__xludf.DUMMYFUNCTION("""COMPUTED_VALUE"""),24.3083417)</f>
        <v>24.3083417</v>
      </c>
    </row>
    <row r="2570">
      <c r="A2570" s="2" t="str">
        <f>IFERROR(__xludf.DUMMYFUNCTION("""COMPUTED_VALUE"""),"For sale")</f>
        <v>For sale</v>
      </c>
      <c r="B2570" s="2" t="str">
        <f>IFERROR(__xludf.DUMMYFUNCTION("""COMPUTED_VALUE"""),"Šampēteris-Pleskodāle")</f>
        <v>Šampēteris-Pleskodāle</v>
      </c>
      <c r="C2570" s="2" t="str">
        <f>IFERROR(__xludf.DUMMYFUNCTION("""COMPUTED_VALUE"""),"Irlavas 20")</f>
        <v>Irlavas 20</v>
      </c>
      <c r="D2570" s="2">
        <f>IFERROR(__xludf.DUMMYFUNCTION("""COMPUTED_VALUE"""),4.0)</f>
        <v>4</v>
      </c>
      <c r="E2570" s="2">
        <f>IFERROR(__xludf.DUMMYFUNCTION("""COMPUTED_VALUE"""),98.0)</f>
        <v>98</v>
      </c>
      <c r="F2570" s="2">
        <f>IFERROR(__xludf.DUMMYFUNCTION("""COMPUTED_VALUE"""),2.0)</f>
        <v>2</v>
      </c>
      <c r="G2570" s="2">
        <f>IFERROR(__xludf.DUMMYFUNCTION("""COMPUTED_VALUE"""),5.0)</f>
        <v>5</v>
      </c>
      <c r="H2570" s="2" t="str">
        <f>IFERROR(__xludf.DUMMYFUNCTION("""COMPUTED_VALUE"""),"Specpr.")</f>
        <v>Specpr.</v>
      </c>
      <c r="I2570" s="2" t="str">
        <f>IFERROR(__xludf.DUMMYFUNCTION("""COMPUTED_VALUE"""),"Brick-Panel")</f>
        <v>Brick-Panel</v>
      </c>
      <c r="J2570" s="2" t="str">
        <f>IFERROR(__xludf.DUMMYFUNCTION("""COMPUTED_VALUE"""),"All amenities")</f>
        <v>All amenities</v>
      </c>
      <c r="K2570" s="2">
        <f>IFERROR(__xludf.DUMMYFUNCTION("""COMPUTED_VALUE"""),120000.0)</f>
        <v>120000</v>
      </c>
      <c r="L2570" s="2">
        <f>IFERROR(__xludf.DUMMYFUNCTION("""COMPUTED_VALUE"""),56.9394231)</f>
        <v>56.9394231</v>
      </c>
      <c r="M2570" s="2">
        <f>IFERROR(__xludf.DUMMYFUNCTION("""COMPUTED_VALUE"""),24.0359489118193)</f>
        <v>24.03594891</v>
      </c>
    </row>
    <row r="2571">
      <c r="A2571" s="2" t="str">
        <f>IFERROR(__xludf.DUMMYFUNCTION("""COMPUTED_VALUE"""),"For sale")</f>
        <v>For sale</v>
      </c>
      <c r="B2571" s="2" t="str">
        <f>IFERROR(__xludf.DUMMYFUNCTION("""COMPUTED_VALUE"""),"Purvciems")</f>
        <v>Purvciems</v>
      </c>
      <c r="C2571" s="2" t="str">
        <f>IFERROR(__xludf.DUMMYFUNCTION("""COMPUTED_VALUE"""),"Ūnijas 67")</f>
        <v>Ūnijas 67</v>
      </c>
      <c r="D2571" s="2">
        <f>IFERROR(__xludf.DUMMYFUNCTION("""COMPUTED_VALUE"""),3.0)</f>
        <v>3</v>
      </c>
      <c r="E2571" s="2">
        <f>IFERROR(__xludf.DUMMYFUNCTION("""COMPUTED_VALUE"""),67.0)</f>
        <v>67</v>
      </c>
      <c r="F2571" s="2">
        <f>IFERROR(__xludf.DUMMYFUNCTION("""COMPUTED_VALUE"""),3.0)</f>
        <v>3</v>
      </c>
      <c r="G2571" s="2">
        <f>IFERROR(__xludf.DUMMYFUNCTION("""COMPUTED_VALUE"""),6.0)</f>
        <v>6</v>
      </c>
      <c r="H2571" s="2" t="str">
        <f>IFERROR(__xludf.DUMMYFUNCTION("""COMPUTED_VALUE"""),"Jaun.")</f>
        <v>Jaun.</v>
      </c>
      <c r="I2571" s="2" t="str">
        <f>IFERROR(__xludf.DUMMYFUNCTION("""COMPUTED_VALUE"""),"Panel")</f>
        <v>Panel</v>
      </c>
      <c r="J2571" s="2" t="str">
        <f>IFERROR(__xludf.DUMMYFUNCTION("""COMPUTED_VALUE"""),"All amenities")</f>
        <v>All amenities</v>
      </c>
      <c r="K2571" s="2">
        <f>IFERROR(__xludf.DUMMYFUNCTION("""COMPUTED_VALUE"""),135000.0)</f>
        <v>135000</v>
      </c>
      <c r="L2571" s="2">
        <f>IFERROR(__xludf.DUMMYFUNCTION("""COMPUTED_VALUE"""),56.9651554999999)</f>
        <v>56.9651555</v>
      </c>
      <c r="M2571" s="2">
        <f>IFERROR(__xludf.DUMMYFUNCTION("""COMPUTED_VALUE"""),24.1783224911961)</f>
        <v>24.17832249</v>
      </c>
    </row>
    <row r="2572">
      <c r="A2572" s="2" t="str">
        <f>IFERROR(__xludf.DUMMYFUNCTION("""COMPUTED_VALUE"""),"For sale")</f>
        <v>For sale</v>
      </c>
      <c r="B2572" s="2" t="str">
        <f>IFERROR(__xludf.DUMMYFUNCTION("""COMPUTED_VALUE"""),"centrs")</f>
        <v>centrs</v>
      </c>
      <c r="C2572" s="2" t="str">
        <f>IFERROR(__xludf.DUMMYFUNCTION("""COMPUTED_VALUE"""),"Indrānu 8")</f>
        <v>Indrānu 8</v>
      </c>
      <c r="D2572" s="2">
        <f>IFERROR(__xludf.DUMMYFUNCTION("""COMPUTED_VALUE"""),2.0)</f>
        <v>2</v>
      </c>
      <c r="E2572" s="2">
        <f>IFERROR(__xludf.DUMMYFUNCTION("""COMPUTED_VALUE"""),56.0)</f>
        <v>56</v>
      </c>
      <c r="F2572" s="2">
        <f>IFERROR(__xludf.DUMMYFUNCTION("""COMPUTED_VALUE"""),2.0)</f>
        <v>2</v>
      </c>
      <c r="G2572" s="2">
        <f>IFERROR(__xludf.DUMMYFUNCTION("""COMPUTED_VALUE"""),7.0)</f>
        <v>7</v>
      </c>
      <c r="H2572" s="2" t="str">
        <f>IFERROR(__xludf.DUMMYFUNCTION("""COMPUTED_VALUE"""),"Jaun.")</f>
        <v>Jaun.</v>
      </c>
      <c r="I2572" s="2" t="str">
        <f>IFERROR(__xludf.DUMMYFUNCTION("""COMPUTED_VALUE"""),"Brick-Panel")</f>
        <v>Brick-Panel</v>
      </c>
      <c r="J2572" s="2" t="str">
        <f>IFERROR(__xludf.DUMMYFUNCTION("""COMPUTED_VALUE"""),"All amenities")</f>
        <v>All amenities</v>
      </c>
      <c r="K2572" s="2">
        <f>IFERROR(__xludf.DUMMYFUNCTION("""COMPUTED_VALUE"""),108000.0)</f>
        <v>108000</v>
      </c>
      <c r="L2572" s="2">
        <f>IFERROR(__xludf.DUMMYFUNCTION("""COMPUTED_VALUE"""),56.9684979)</f>
        <v>56.9684979</v>
      </c>
      <c r="M2572" s="2">
        <f>IFERROR(__xludf.DUMMYFUNCTION("""COMPUTED_VALUE"""),24.1467035)</f>
        <v>24.1467035</v>
      </c>
    </row>
    <row r="2573">
      <c r="A2573" s="2" t="str">
        <f>IFERROR(__xludf.DUMMYFUNCTION("""COMPUTED_VALUE"""),"For rent")</f>
        <v>For rent</v>
      </c>
      <c r="B2573" s="2" t="str">
        <f>IFERROR(__xludf.DUMMYFUNCTION("""COMPUTED_VALUE"""),"centrs")</f>
        <v>centrs</v>
      </c>
      <c r="C2573" s="2" t="str">
        <f>IFERROR(__xludf.DUMMYFUNCTION("""COMPUTED_VALUE"""),"Klusā 20")</f>
        <v>Klusā 20</v>
      </c>
      <c r="D2573" s="2">
        <f>IFERROR(__xludf.DUMMYFUNCTION("""COMPUTED_VALUE"""),1.0)</f>
        <v>1</v>
      </c>
      <c r="E2573" s="2">
        <f>IFERROR(__xludf.DUMMYFUNCTION("""COMPUTED_VALUE"""),38.0)</f>
        <v>38</v>
      </c>
      <c r="F2573" s="2">
        <f>IFERROR(__xludf.DUMMYFUNCTION("""COMPUTED_VALUE"""),2.0)</f>
        <v>2</v>
      </c>
      <c r="G2573" s="2">
        <f>IFERROR(__xludf.DUMMYFUNCTION("""COMPUTED_VALUE"""),9.0)</f>
        <v>9</v>
      </c>
      <c r="H2573" s="2" t="str">
        <f>IFERROR(__xludf.DUMMYFUNCTION("""COMPUTED_VALUE"""),"Jaun.")</f>
        <v>Jaun.</v>
      </c>
      <c r="I2573" s="2" t="str">
        <f>IFERROR(__xludf.DUMMYFUNCTION("""COMPUTED_VALUE"""),"Panel")</f>
        <v>Panel</v>
      </c>
      <c r="J2573" s="2" t="str">
        <f>IFERROR(__xludf.DUMMYFUNCTION("""COMPUTED_VALUE"""),"All amenities")</f>
        <v>All amenities</v>
      </c>
      <c r="K2573" s="2">
        <f>IFERROR(__xludf.DUMMYFUNCTION("""COMPUTED_VALUE"""),420.0)</f>
        <v>420</v>
      </c>
      <c r="L2573" s="2">
        <f>IFERROR(__xludf.DUMMYFUNCTION("""COMPUTED_VALUE"""),56.97650505)</f>
        <v>56.97650505</v>
      </c>
      <c r="M2573" s="2">
        <f>IFERROR(__xludf.DUMMYFUNCTION("""COMPUTED_VALUE"""),24.1464958357009)</f>
        <v>24.14649584</v>
      </c>
    </row>
    <row r="2574">
      <c r="A2574" s="2" t="str">
        <f>IFERROR(__xludf.DUMMYFUNCTION("""COMPUTED_VALUE"""),"For sale")</f>
        <v>For sale</v>
      </c>
      <c r="B2574" s="2" t="str">
        <f>IFERROR(__xludf.DUMMYFUNCTION("""COMPUTED_VALUE"""),"Čiekurkalns")</f>
        <v>Čiekurkalns</v>
      </c>
      <c r="C2574" s="2" t="str">
        <f>IFERROR(__xludf.DUMMYFUNCTION("""COMPUTED_VALUE"""),"Čiekurkalna 2. l. 23")</f>
        <v>Čiekurkalna 2. l. 23</v>
      </c>
      <c r="D2574" s="2">
        <f>IFERROR(__xludf.DUMMYFUNCTION("""COMPUTED_VALUE"""),1.0)</f>
        <v>1</v>
      </c>
      <c r="E2574" s="2">
        <f>IFERROR(__xludf.DUMMYFUNCTION("""COMPUTED_VALUE"""),28.0)</f>
        <v>28</v>
      </c>
      <c r="F2574" s="2">
        <f>IFERROR(__xludf.DUMMYFUNCTION("""COMPUTED_VALUE"""),2.0)</f>
        <v>2</v>
      </c>
      <c r="G2574" s="2">
        <f>IFERROR(__xludf.DUMMYFUNCTION("""COMPUTED_VALUE"""),2.0)</f>
        <v>2</v>
      </c>
      <c r="H2574" s="2" t="str">
        <f>IFERROR(__xludf.DUMMYFUNCTION("""COMPUTED_VALUE"""),"P. kara")</f>
        <v>P. kara</v>
      </c>
      <c r="I2574" s="2" t="str">
        <f>IFERROR(__xludf.DUMMYFUNCTION("""COMPUTED_VALUE"""),"Brick")</f>
        <v>Brick</v>
      </c>
      <c r="J2574" s="2" t="str">
        <f>IFERROR(__xludf.DUMMYFUNCTION("""COMPUTED_VALUE"""),"All amenities")</f>
        <v>All amenities</v>
      </c>
      <c r="K2574" s="2">
        <f>IFERROR(__xludf.DUMMYFUNCTION("""COMPUTED_VALUE"""),18890.0)</f>
        <v>18890</v>
      </c>
      <c r="L2574" s="2" t="str">
        <f>IFERROR(__xludf.DUMMYFUNCTION("""COMPUTED_VALUE"""),"NaN")</f>
        <v>NaN</v>
      </c>
      <c r="M2574" s="2" t="str">
        <f>IFERROR(__xludf.DUMMYFUNCTION("""COMPUTED_VALUE"""),"NaN")</f>
        <v>NaN</v>
      </c>
    </row>
    <row r="2575">
      <c r="A2575" s="2" t="str">
        <f>IFERROR(__xludf.DUMMYFUNCTION("""COMPUTED_VALUE"""),"For sale")</f>
        <v>For sale</v>
      </c>
      <c r="B2575" s="2" t="str">
        <f>IFERROR(__xludf.DUMMYFUNCTION("""COMPUTED_VALUE"""),"Imanta")</f>
        <v>Imanta</v>
      </c>
      <c r="C2575" s="2" t="str">
        <f>IFERROR(__xludf.DUMMYFUNCTION("""COMPUTED_VALUE"""),"Kurzemes pr. 34")</f>
        <v>Kurzemes pr. 34</v>
      </c>
      <c r="D2575" s="2">
        <f>IFERROR(__xludf.DUMMYFUNCTION("""COMPUTED_VALUE"""),3.0)</f>
        <v>3</v>
      </c>
      <c r="E2575" s="2">
        <f>IFERROR(__xludf.DUMMYFUNCTION("""COMPUTED_VALUE"""),66.0)</f>
        <v>66</v>
      </c>
      <c r="F2575" s="2">
        <f>IFERROR(__xludf.DUMMYFUNCTION("""COMPUTED_VALUE"""),5.0)</f>
        <v>5</v>
      </c>
      <c r="G2575" s="2">
        <f>IFERROR(__xludf.DUMMYFUNCTION("""COMPUTED_VALUE"""),5.0)</f>
        <v>5</v>
      </c>
      <c r="H2575" s="2" t="str">
        <f>IFERROR(__xludf.DUMMYFUNCTION("""COMPUTED_VALUE"""),"LT proj.")</f>
        <v>LT proj.</v>
      </c>
      <c r="I2575" s="2" t="str">
        <f>IFERROR(__xludf.DUMMYFUNCTION("""COMPUTED_VALUE"""),"Panel")</f>
        <v>Panel</v>
      </c>
      <c r="J2575" s="2" t="str">
        <f>IFERROR(__xludf.DUMMYFUNCTION("""COMPUTED_VALUE"""),"All amenities")</f>
        <v>All amenities</v>
      </c>
      <c r="K2575" s="2">
        <f>IFERROR(__xludf.DUMMYFUNCTION("""COMPUTED_VALUE"""),63000.0)</f>
        <v>63000</v>
      </c>
      <c r="L2575" s="2" t="str">
        <f>IFERROR(__xludf.DUMMYFUNCTION("""COMPUTED_VALUE"""),"NaN")</f>
        <v>NaN</v>
      </c>
      <c r="M2575" s="2" t="str">
        <f>IFERROR(__xludf.DUMMYFUNCTION("""COMPUTED_VALUE"""),"NaN")</f>
        <v>NaN</v>
      </c>
    </row>
    <row r="2576">
      <c r="A2576" s="2" t="str">
        <f>IFERROR(__xludf.DUMMYFUNCTION("""COMPUTED_VALUE"""),"For sale")</f>
        <v>For sale</v>
      </c>
      <c r="B2576" s="2" t="str">
        <f>IFERROR(__xludf.DUMMYFUNCTION("""COMPUTED_VALUE"""),"Iļģuciems")</f>
        <v>Iļģuciems</v>
      </c>
      <c r="C2576" s="2" t="str">
        <f>IFERROR(__xludf.DUMMYFUNCTION("""COMPUTED_VALUE"""),"Dzirciema 59")</f>
        <v>Dzirciema 59</v>
      </c>
      <c r="D2576" s="2">
        <f>IFERROR(__xludf.DUMMYFUNCTION("""COMPUTED_VALUE"""),2.0)</f>
        <v>2</v>
      </c>
      <c r="E2576" s="2">
        <f>IFERROR(__xludf.DUMMYFUNCTION("""COMPUTED_VALUE"""),50.0)</f>
        <v>50</v>
      </c>
      <c r="F2576" s="2">
        <f>IFERROR(__xludf.DUMMYFUNCTION("""COMPUTED_VALUE"""),5.0)</f>
        <v>5</v>
      </c>
      <c r="G2576" s="2">
        <f>IFERROR(__xludf.DUMMYFUNCTION("""COMPUTED_VALUE"""),9.0)</f>
        <v>9</v>
      </c>
      <c r="H2576" s="2">
        <f>IFERROR(__xludf.DUMMYFUNCTION("""COMPUTED_VALUE"""),467.0)</f>
        <v>467</v>
      </c>
      <c r="I2576" s="2" t="str">
        <f>IFERROR(__xludf.DUMMYFUNCTION("""COMPUTED_VALUE"""),"Panel")</f>
        <v>Panel</v>
      </c>
      <c r="J2576" s="2" t="str">
        <f>IFERROR(__xludf.DUMMYFUNCTION("""COMPUTED_VALUE"""),"All amenities")</f>
        <v>All amenities</v>
      </c>
      <c r="K2576" s="2">
        <f>IFERROR(__xludf.DUMMYFUNCTION("""COMPUTED_VALUE"""),42300.0)</f>
        <v>42300</v>
      </c>
      <c r="L2576" s="2">
        <f>IFERROR(__xludf.DUMMYFUNCTION("""COMPUTED_VALUE"""),56.9623515)</f>
        <v>56.9623515</v>
      </c>
      <c r="M2576" s="2">
        <f>IFERROR(__xludf.DUMMYFUNCTION("""COMPUTED_VALUE"""),24.053733811965)</f>
        <v>24.05373381</v>
      </c>
    </row>
    <row r="2577">
      <c r="A2577" s="2" t="str">
        <f>IFERROR(__xludf.DUMMYFUNCTION("""COMPUTED_VALUE"""),"For rent")</f>
        <v>For rent</v>
      </c>
      <c r="B2577" s="2" t="str">
        <f>IFERROR(__xludf.DUMMYFUNCTION("""COMPUTED_VALUE"""),"centrs")</f>
        <v>centrs</v>
      </c>
      <c r="C2577" s="2" t="str">
        <f>IFERROR(__xludf.DUMMYFUNCTION("""COMPUTED_VALUE"""),"Lāčplēša 54")</f>
        <v>Lāčplēša 54</v>
      </c>
      <c r="D2577" s="2">
        <f>IFERROR(__xludf.DUMMYFUNCTION("""COMPUTED_VALUE"""),1.0)</f>
        <v>1</v>
      </c>
      <c r="E2577" s="2">
        <f>IFERROR(__xludf.DUMMYFUNCTION("""COMPUTED_VALUE"""),29.0)</f>
        <v>29</v>
      </c>
      <c r="F2577" s="2">
        <f>IFERROR(__xludf.DUMMYFUNCTION("""COMPUTED_VALUE"""),3.0)</f>
        <v>3</v>
      </c>
      <c r="G2577" s="2">
        <f>IFERROR(__xludf.DUMMYFUNCTION("""COMPUTED_VALUE"""),5.0)</f>
        <v>5</v>
      </c>
      <c r="H2577" s="2" t="str">
        <f>IFERROR(__xludf.DUMMYFUNCTION("""COMPUTED_VALUE"""),"P. kara")</f>
        <v>P. kara</v>
      </c>
      <c r="I2577" s="2" t="str">
        <f>IFERROR(__xludf.DUMMYFUNCTION("""COMPUTED_VALUE"""),"Masonry")</f>
        <v>Masonry</v>
      </c>
      <c r="J2577" s="2" t="str">
        <f>IFERROR(__xludf.DUMMYFUNCTION("""COMPUTED_VALUE"""),"All amenities")</f>
        <v>All amenities</v>
      </c>
      <c r="K2577" s="2">
        <f>IFERROR(__xludf.DUMMYFUNCTION("""COMPUTED_VALUE"""),150.0)</f>
        <v>150</v>
      </c>
      <c r="L2577" s="2">
        <f>IFERROR(__xludf.DUMMYFUNCTION("""COMPUTED_VALUE"""),56.9513816)</f>
        <v>56.9513816</v>
      </c>
      <c r="M2577" s="2">
        <f>IFERROR(__xludf.DUMMYFUNCTION("""COMPUTED_VALUE"""),24.1289619)</f>
        <v>24.1289619</v>
      </c>
    </row>
    <row r="2578">
      <c r="A2578" s="2" t="str">
        <f>IFERROR(__xludf.DUMMYFUNCTION("""COMPUTED_VALUE"""),"For rent")</f>
        <v>For rent</v>
      </c>
      <c r="B2578" s="2" t="str">
        <f>IFERROR(__xludf.DUMMYFUNCTION("""COMPUTED_VALUE"""),"Maskavas priekšpilsēta")</f>
        <v>Maskavas priekšpilsēta</v>
      </c>
      <c r="C2578" s="2" t="str">
        <f>IFERROR(__xludf.DUMMYFUNCTION("""COMPUTED_VALUE"""),"Lomonosova 2")</f>
        <v>Lomonosova 2</v>
      </c>
      <c r="D2578" s="2">
        <f>IFERROR(__xludf.DUMMYFUNCTION("""COMPUTED_VALUE"""),1.0)</f>
        <v>1</v>
      </c>
      <c r="E2578" s="2">
        <f>IFERROR(__xludf.DUMMYFUNCTION("""COMPUTED_VALUE"""),40.0)</f>
        <v>40</v>
      </c>
      <c r="F2578" s="2">
        <f>IFERROR(__xludf.DUMMYFUNCTION("""COMPUTED_VALUE"""),2.0)</f>
        <v>2</v>
      </c>
      <c r="G2578" s="2">
        <f>IFERROR(__xludf.DUMMYFUNCTION("""COMPUTED_VALUE"""),5.0)</f>
        <v>5</v>
      </c>
      <c r="H2578" s="2" t="str">
        <f>IFERROR(__xludf.DUMMYFUNCTION("""COMPUTED_VALUE"""),"P. kara")</f>
        <v>P. kara</v>
      </c>
      <c r="I2578" s="2" t="str">
        <f>IFERROR(__xludf.DUMMYFUNCTION("""COMPUTED_VALUE"""),"Masonry")</f>
        <v>Masonry</v>
      </c>
      <c r="J2578" s="2" t="str">
        <f>IFERROR(__xludf.DUMMYFUNCTION("""COMPUTED_VALUE"""),"All amenities")</f>
        <v>All amenities</v>
      </c>
      <c r="K2578" s="2">
        <f>IFERROR(__xludf.DUMMYFUNCTION("""COMPUTED_VALUE"""),290.0)</f>
        <v>290</v>
      </c>
      <c r="L2578" s="2">
        <f>IFERROR(__xludf.DUMMYFUNCTION("""COMPUTED_VALUE"""),56.9383325999999)</f>
        <v>56.9383326</v>
      </c>
      <c r="M2578" s="2">
        <f>IFERROR(__xludf.DUMMYFUNCTION("""COMPUTED_VALUE"""),24.1558851119791)</f>
        <v>24.15588511</v>
      </c>
    </row>
    <row r="2579">
      <c r="A2579" s="2" t="str">
        <f>IFERROR(__xludf.DUMMYFUNCTION("""COMPUTED_VALUE"""),"For sale")</f>
        <v>For sale</v>
      </c>
      <c r="B2579" s="2" t="str">
        <f>IFERROR(__xludf.DUMMYFUNCTION("""COMPUTED_VALUE"""),"Daugavgrīva")</f>
        <v>Daugavgrīva</v>
      </c>
      <c r="C2579" s="2" t="str">
        <f>IFERROR(__xludf.DUMMYFUNCTION("""COMPUTED_VALUE"""),"Parādes 1")</f>
        <v>Parādes 1</v>
      </c>
      <c r="D2579" s="2">
        <f>IFERROR(__xludf.DUMMYFUNCTION("""COMPUTED_VALUE"""),3.0)</f>
        <v>3</v>
      </c>
      <c r="E2579" s="2">
        <f>IFERROR(__xludf.DUMMYFUNCTION("""COMPUTED_VALUE"""),67.0)</f>
        <v>67</v>
      </c>
      <c r="F2579" s="2">
        <f>IFERROR(__xludf.DUMMYFUNCTION("""COMPUTED_VALUE"""),5.0)</f>
        <v>5</v>
      </c>
      <c r="G2579" s="2">
        <f>IFERROR(__xludf.DUMMYFUNCTION("""COMPUTED_VALUE"""),5.0)</f>
        <v>5</v>
      </c>
      <c r="H2579" s="2">
        <f>IFERROR(__xludf.DUMMYFUNCTION("""COMPUTED_VALUE"""),103.0)</f>
        <v>103</v>
      </c>
      <c r="I2579" s="2" t="str">
        <f>IFERROR(__xludf.DUMMYFUNCTION("""COMPUTED_VALUE"""),"Brick-Panel")</f>
        <v>Brick-Panel</v>
      </c>
      <c r="J2579" s="2" t="str">
        <f>IFERROR(__xludf.DUMMYFUNCTION("""COMPUTED_VALUE"""),"All amenities")</f>
        <v>All amenities</v>
      </c>
      <c r="K2579" s="2">
        <f>IFERROR(__xludf.DUMMYFUNCTION("""COMPUTED_VALUE"""),45000.0)</f>
        <v>45000</v>
      </c>
      <c r="L2579" s="2">
        <f>IFERROR(__xludf.DUMMYFUNCTION("""COMPUTED_VALUE"""),57.0420376)</f>
        <v>57.0420376</v>
      </c>
      <c r="M2579" s="2">
        <f>IFERROR(__xludf.DUMMYFUNCTION("""COMPUTED_VALUE"""),24.0328874)</f>
        <v>24.0328874</v>
      </c>
    </row>
    <row r="2580">
      <c r="A2580" s="2" t="str">
        <f>IFERROR(__xludf.DUMMYFUNCTION("""COMPUTED_VALUE"""),"For rent")</f>
        <v>For rent</v>
      </c>
      <c r="B2580" s="2" t="str">
        <f>IFERROR(__xludf.DUMMYFUNCTION("""COMPUTED_VALUE"""),"centrs")</f>
        <v>centrs</v>
      </c>
      <c r="C2580" s="2" t="str">
        <f>IFERROR(__xludf.DUMMYFUNCTION("""COMPUTED_VALUE"""),"Baznīcas 35")</f>
        <v>Baznīcas 35</v>
      </c>
      <c r="D2580" s="2">
        <f>IFERROR(__xludf.DUMMYFUNCTION("""COMPUTED_VALUE"""),2.0)</f>
        <v>2</v>
      </c>
      <c r="E2580" s="2">
        <f>IFERROR(__xludf.DUMMYFUNCTION("""COMPUTED_VALUE"""),54.0)</f>
        <v>54</v>
      </c>
      <c r="F2580" s="2">
        <f>IFERROR(__xludf.DUMMYFUNCTION("""COMPUTED_VALUE"""),4.0)</f>
        <v>4</v>
      </c>
      <c r="G2580" s="2">
        <f>IFERROR(__xludf.DUMMYFUNCTION("""COMPUTED_VALUE"""),5.0)</f>
        <v>5</v>
      </c>
      <c r="H2580" s="2" t="str">
        <f>IFERROR(__xludf.DUMMYFUNCTION("""COMPUTED_VALUE"""),"Specpr.")</f>
        <v>Specpr.</v>
      </c>
      <c r="I2580" s="2" t="str">
        <f>IFERROR(__xludf.DUMMYFUNCTION("""COMPUTED_VALUE"""),"Masonry")</f>
        <v>Masonry</v>
      </c>
      <c r="J2580" s="2" t="str">
        <f>IFERROR(__xludf.DUMMYFUNCTION("""COMPUTED_VALUE"""),"All amenities")</f>
        <v>All amenities</v>
      </c>
      <c r="K2580" s="2">
        <f>IFERROR(__xludf.DUMMYFUNCTION("""COMPUTED_VALUE"""),590.0)</f>
        <v>590</v>
      </c>
      <c r="L2580" s="2">
        <f>IFERROR(__xludf.DUMMYFUNCTION("""COMPUTED_VALUE"""),56.9584801)</f>
        <v>56.9584801</v>
      </c>
      <c r="M2580" s="2">
        <f>IFERROR(__xludf.DUMMYFUNCTION("""COMPUTED_VALUE"""),24.1222427)</f>
        <v>24.1222427</v>
      </c>
    </row>
    <row r="2581">
      <c r="A2581" s="2" t="str">
        <f>IFERROR(__xludf.DUMMYFUNCTION("""COMPUTED_VALUE"""),"For rent")</f>
        <v>For rent</v>
      </c>
      <c r="B2581" s="2" t="str">
        <f>IFERROR(__xludf.DUMMYFUNCTION("""COMPUTED_VALUE"""),"Āgenskalns")</f>
        <v>Āgenskalns</v>
      </c>
      <c r="C2581" s="2" t="str">
        <f>IFERROR(__xludf.DUMMYFUNCTION("""COMPUTED_VALUE"""),"Kuģu 26")</f>
        <v>Kuģu 26</v>
      </c>
      <c r="D2581" s="2">
        <f>IFERROR(__xludf.DUMMYFUNCTION("""COMPUTED_VALUE"""),3.0)</f>
        <v>3</v>
      </c>
      <c r="E2581" s="2">
        <f>IFERROR(__xludf.DUMMYFUNCTION("""COMPUTED_VALUE"""),110.0)</f>
        <v>110</v>
      </c>
      <c r="F2581" s="2">
        <f>IFERROR(__xludf.DUMMYFUNCTION("""COMPUTED_VALUE"""),2.0)</f>
        <v>2</v>
      </c>
      <c r="G2581" s="2">
        <f>IFERROR(__xludf.DUMMYFUNCTION("""COMPUTED_VALUE"""),5.0)</f>
        <v>5</v>
      </c>
      <c r="H2581" s="2" t="str">
        <f>IFERROR(__xludf.DUMMYFUNCTION("""COMPUTED_VALUE"""),"Jaun.")</f>
        <v>Jaun.</v>
      </c>
      <c r="I2581" s="2" t="str">
        <f>IFERROR(__xludf.DUMMYFUNCTION("""COMPUTED_VALUE"""),"Brick-Panel")</f>
        <v>Brick-Panel</v>
      </c>
      <c r="J2581" s="2" t="str">
        <f>IFERROR(__xludf.DUMMYFUNCTION("""COMPUTED_VALUE"""),"All amenities")</f>
        <v>All amenities</v>
      </c>
      <c r="K2581" s="2">
        <f>IFERROR(__xludf.DUMMYFUNCTION("""COMPUTED_VALUE"""),1100.0)</f>
        <v>1100</v>
      </c>
      <c r="L2581" s="2">
        <f>IFERROR(__xludf.DUMMYFUNCTION("""COMPUTED_VALUE"""),56.94553165)</f>
        <v>56.94553165</v>
      </c>
      <c r="M2581" s="2">
        <f>IFERROR(__xludf.DUMMYFUNCTION("""COMPUTED_VALUE"""),24.092327378378)</f>
        <v>24.09232738</v>
      </c>
    </row>
    <row r="2582">
      <c r="A2582" s="2" t="str">
        <f>IFERROR(__xludf.DUMMYFUNCTION("""COMPUTED_VALUE"""),"For sale")</f>
        <v>For sale</v>
      </c>
      <c r="B2582" s="2" t="str">
        <f>IFERROR(__xludf.DUMMYFUNCTION("""COMPUTED_VALUE"""),"Pļavnieki")</f>
        <v>Pļavnieki</v>
      </c>
      <c r="C2582" s="2" t="str">
        <f>IFERROR(__xludf.DUMMYFUNCTION("""COMPUTED_VALUE"""),"Pļavnieku 12")</f>
        <v>Pļavnieku 12</v>
      </c>
      <c r="D2582" s="2">
        <f>IFERROR(__xludf.DUMMYFUNCTION("""COMPUTED_VALUE"""),1.0)</f>
        <v>1</v>
      </c>
      <c r="E2582" s="2">
        <f>IFERROR(__xludf.DUMMYFUNCTION("""COMPUTED_VALUE"""),40.0)</f>
        <v>40</v>
      </c>
      <c r="F2582" s="2">
        <f>IFERROR(__xludf.DUMMYFUNCTION("""COMPUTED_VALUE"""),2.0)</f>
        <v>2</v>
      </c>
      <c r="G2582" s="2">
        <f>IFERROR(__xludf.DUMMYFUNCTION("""COMPUTED_VALUE"""),9.0)</f>
        <v>9</v>
      </c>
      <c r="H2582" s="2" t="str">
        <f>IFERROR(__xludf.DUMMYFUNCTION("""COMPUTED_VALUE"""),"M. ģim.")</f>
        <v>M. ģim.</v>
      </c>
      <c r="I2582" s="2" t="str">
        <f>IFERROR(__xludf.DUMMYFUNCTION("""COMPUTED_VALUE"""),"Panel")</f>
        <v>Panel</v>
      </c>
      <c r="J2582" s="2" t="str">
        <f>IFERROR(__xludf.DUMMYFUNCTION("""COMPUTED_VALUE"""),"All amenities")</f>
        <v>All amenities</v>
      </c>
      <c r="K2582" s="2">
        <f>IFERROR(__xludf.DUMMYFUNCTION("""COMPUTED_VALUE"""),41500.0)</f>
        <v>41500</v>
      </c>
      <c r="L2582" s="2">
        <f>IFERROR(__xludf.DUMMYFUNCTION("""COMPUTED_VALUE"""),56.94116275)</f>
        <v>56.94116275</v>
      </c>
      <c r="M2582" s="2">
        <f>IFERROR(__xludf.DUMMYFUNCTION("""COMPUTED_VALUE"""),24.2125698528788)</f>
        <v>24.21256985</v>
      </c>
    </row>
    <row r="2583">
      <c r="A2583" s="2" t="str">
        <f>IFERROR(__xludf.DUMMYFUNCTION("""COMPUTED_VALUE"""),"For sale")</f>
        <v>For sale</v>
      </c>
      <c r="B2583" s="2" t="str">
        <f>IFERROR(__xludf.DUMMYFUNCTION("""COMPUTED_VALUE"""),"Klīversala")</f>
        <v>Klīversala</v>
      </c>
      <c r="C2583" s="2" t="str">
        <f>IFERROR(__xludf.DUMMYFUNCTION("""COMPUTED_VALUE"""),"Kuģu 15")</f>
        <v>Kuģu 15</v>
      </c>
      <c r="D2583" s="2">
        <f>IFERROR(__xludf.DUMMYFUNCTION("""COMPUTED_VALUE"""),2.0)</f>
        <v>2</v>
      </c>
      <c r="E2583" s="2">
        <f>IFERROR(__xludf.DUMMYFUNCTION("""COMPUTED_VALUE"""),68.0)</f>
        <v>68</v>
      </c>
      <c r="F2583" s="2">
        <f>IFERROR(__xludf.DUMMYFUNCTION("""COMPUTED_VALUE"""),6.0)</f>
        <v>6</v>
      </c>
      <c r="G2583" s="2">
        <f>IFERROR(__xludf.DUMMYFUNCTION("""COMPUTED_VALUE"""),6.0)</f>
        <v>6</v>
      </c>
      <c r="H2583" s="2" t="str">
        <f>IFERROR(__xludf.DUMMYFUNCTION("""COMPUTED_VALUE"""),"Jaun.")</f>
        <v>Jaun.</v>
      </c>
      <c r="I2583" s="2" t="str">
        <f>IFERROR(__xludf.DUMMYFUNCTION("""COMPUTED_VALUE"""),"Masonry")</f>
        <v>Masonry</v>
      </c>
      <c r="J2583" s="2" t="str">
        <f>IFERROR(__xludf.DUMMYFUNCTION("""COMPUTED_VALUE"""),"All amenities")</f>
        <v>All amenities</v>
      </c>
      <c r="K2583" s="2">
        <f>IFERROR(__xludf.DUMMYFUNCTION("""COMPUTED_VALUE"""),310000.0)</f>
        <v>310000</v>
      </c>
      <c r="L2583" s="2">
        <f>IFERROR(__xludf.DUMMYFUNCTION("""COMPUTED_VALUE"""),56.94308385)</f>
        <v>56.94308385</v>
      </c>
      <c r="M2583" s="2">
        <f>IFERROR(__xludf.DUMMYFUNCTION("""COMPUTED_VALUE"""),24.0955521471893)</f>
        <v>24.09555215</v>
      </c>
    </row>
    <row r="2584">
      <c r="A2584" s="2" t="str">
        <f>IFERROR(__xludf.DUMMYFUNCTION("""COMPUTED_VALUE"""),"For sale")</f>
        <v>For sale</v>
      </c>
      <c r="B2584" s="2" t="str">
        <f>IFERROR(__xludf.DUMMYFUNCTION("""COMPUTED_VALUE"""),"Mežciems")</f>
        <v>Mežciems</v>
      </c>
      <c r="C2584" s="2" t="str">
        <f>IFERROR(__xludf.DUMMYFUNCTION("""COMPUTED_VALUE"""),"Druvienas 34")</f>
        <v>Druvienas 34</v>
      </c>
      <c r="D2584" s="2">
        <f>IFERROR(__xludf.DUMMYFUNCTION("""COMPUTED_VALUE"""),2.0)</f>
        <v>2</v>
      </c>
      <c r="E2584" s="2">
        <f>IFERROR(__xludf.DUMMYFUNCTION("""COMPUTED_VALUE"""),49.0)</f>
        <v>49</v>
      </c>
      <c r="F2584" s="2">
        <f>IFERROR(__xludf.DUMMYFUNCTION("""COMPUTED_VALUE"""),4.0)</f>
        <v>4</v>
      </c>
      <c r="G2584" s="2">
        <f>IFERROR(__xludf.DUMMYFUNCTION("""COMPUTED_VALUE"""),5.0)</f>
        <v>5</v>
      </c>
      <c r="H2584" s="2" t="str">
        <f>IFERROR(__xludf.DUMMYFUNCTION("""COMPUTED_VALUE"""),"LT proj.")</f>
        <v>LT proj.</v>
      </c>
      <c r="I2584" s="2" t="str">
        <f>IFERROR(__xludf.DUMMYFUNCTION("""COMPUTED_VALUE"""),"Panel")</f>
        <v>Panel</v>
      </c>
      <c r="J2584" s="2" t="str">
        <f>IFERROR(__xludf.DUMMYFUNCTION("""COMPUTED_VALUE"""),"All amenities")</f>
        <v>All amenities</v>
      </c>
      <c r="K2584" s="2">
        <f>IFERROR(__xludf.DUMMYFUNCTION("""COMPUTED_VALUE"""),47500.0)</f>
        <v>47500</v>
      </c>
      <c r="L2584" s="2">
        <f>IFERROR(__xludf.DUMMYFUNCTION("""COMPUTED_VALUE"""),56.9698178999999)</f>
        <v>56.9698179</v>
      </c>
      <c r="M2584" s="2">
        <f>IFERROR(__xludf.DUMMYFUNCTION("""COMPUTED_VALUE"""),24.23250115)</f>
        <v>24.23250115</v>
      </c>
    </row>
    <row r="2585">
      <c r="A2585" s="2" t="str">
        <f>IFERROR(__xludf.DUMMYFUNCTION("""COMPUTED_VALUE"""),"For sale")</f>
        <v>For sale</v>
      </c>
      <c r="B2585" s="2" t="str">
        <f>IFERROR(__xludf.DUMMYFUNCTION("""COMPUTED_VALUE"""),"Teika")</f>
        <v>Teika</v>
      </c>
      <c r="C2585" s="2" t="str">
        <f>IFERROR(__xludf.DUMMYFUNCTION("""COMPUTED_VALUE"""),"Brīvības gatve 236")</f>
        <v>Brīvības gatve 236</v>
      </c>
      <c r="D2585" s="2">
        <f>IFERROR(__xludf.DUMMYFUNCTION("""COMPUTED_VALUE"""),2.0)</f>
        <v>2</v>
      </c>
      <c r="E2585" s="2">
        <f>IFERROR(__xludf.DUMMYFUNCTION("""COMPUTED_VALUE"""),57.0)</f>
        <v>57</v>
      </c>
      <c r="F2585" s="2">
        <f>IFERROR(__xludf.DUMMYFUNCTION("""COMPUTED_VALUE"""),4.0)</f>
        <v>4</v>
      </c>
      <c r="G2585" s="2">
        <f>IFERROR(__xludf.DUMMYFUNCTION("""COMPUTED_VALUE"""),5.0)</f>
        <v>5</v>
      </c>
      <c r="H2585" s="2" t="str">
        <f>IFERROR(__xludf.DUMMYFUNCTION("""COMPUTED_VALUE"""),"Staļina")</f>
        <v>Staļina</v>
      </c>
      <c r="I2585" s="2" t="str">
        <f>IFERROR(__xludf.DUMMYFUNCTION("""COMPUTED_VALUE"""),"Masonry")</f>
        <v>Masonry</v>
      </c>
      <c r="J2585" s="2" t="str">
        <f>IFERROR(__xludf.DUMMYFUNCTION("""COMPUTED_VALUE"""),"All amenities")</f>
        <v>All amenities</v>
      </c>
      <c r="K2585" s="2">
        <f>IFERROR(__xludf.DUMMYFUNCTION("""COMPUTED_VALUE"""),85000.0)</f>
        <v>85000</v>
      </c>
      <c r="L2585" s="2">
        <f>IFERROR(__xludf.DUMMYFUNCTION("""COMPUTED_VALUE"""),56.9738101)</f>
        <v>56.9738101</v>
      </c>
      <c r="M2585" s="2">
        <f>IFERROR(__xludf.DUMMYFUNCTION("""COMPUTED_VALUE"""),24.1700665892821)</f>
        <v>24.17006659</v>
      </c>
    </row>
    <row r="2586">
      <c r="A2586" s="2" t="str">
        <f>IFERROR(__xludf.DUMMYFUNCTION("""COMPUTED_VALUE"""),"For sale")</f>
        <v>For sale</v>
      </c>
      <c r="B2586" s="2" t="str">
        <f>IFERROR(__xludf.DUMMYFUNCTION("""COMPUTED_VALUE"""),"Klīversala")</f>
        <v>Klīversala</v>
      </c>
      <c r="C2586" s="2" t="str">
        <f>IFERROR(__xludf.DUMMYFUNCTION("""COMPUTED_VALUE"""),"Kuģu 15")</f>
        <v>Kuģu 15</v>
      </c>
      <c r="D2586" s="2">
        <f>IFERROR(__xludf.DUMMYFUNCTION("""COMPUTED_VALUE"""),4.0)</f>
        <v>4</v>
      </c>
      <c r="E2586" s="2">
        <f>IFERROR(__xludf.DUMMYFUNCTION("""COMPUTED_VALUE"""),171.0)</f>
        <v>171</v>
      </c>
      <c r="F2586" s="2">
        <f>IFERROR(__xludf.DUMMYFUNCTION("""COMPUTED_VALUE"""),6.0)</f>
        <v>6</v>
      </c>
      <c r="G2586" s="2">
        <f>IFERROR(__xludf.DUMMYFUNCTION("""COMPUTED_VALUE"""),7.0)</f>
        <v>7</v>
      </c>
      <c r="H2586" s="2" t="str">
        <f>IFERROR(__xludf.DUMMYFUNCTION("""COMPUTED_VALUE"""),"Jaun.")</f>
        <v>Jaun.</v>
      </c>
      <c r="I2586" s="2" t="str">
        <f>IFERROR(__xludf.DUMMYFUNCTION("""COMPUTED_VALUE"""),"Masonry")</f>
        <v>Masonry</v>
      </c>
      <c r="J2586" s="2" t="str">
        <f>IFERROR(__xludf.DUMMYFUNCTION("""COMPUTED_VALUE"""),"All amenities")</f>
        <v>All amenities</v>
      </c>
      <c r="K2586" s="2">
        <f>IFERROR(__xludf.DUMMYFUNCTION("""COMPUTED_VALUE"""),830000.0)</f>
        <v>830000</v>
      </c>
      <c r="L2586" s="2">
        <f>IFERROR(__xludf.DUMMYFUNCTION("""COMPUTED_VALUE"""),56.94308385)</f>
        <v>56.94308385</v>
      </c>
      <c r="M2586" s="2">
        <f>IFERROR(__xludf.DUMMYFUNCTION("""COMPUTED_VALUE"""),24.0955521471893)</f>
        <v>24.09555215</v>
      </c>
    </row>
    <row r="2587">
      <c r="A2587" s="2" t="str">
        <f>IFERROR(__xludf.DUMMYFUNCTION("""COMPUTED_VALUE"""),"For sale")</f>
        <v>For sale</v>
      </c>
      <c r="B2587" s="2" t="str">
        <f>IFERROR(__xludf.DUMMYFUNCTION("""COMPUTED_VALUE"""),"Ķengarags")</f>
        <v>Ķengarags</v>
      </c>
      <c r="C2587" s="2" t="str">
        <f>IFERROR(__xludf.DUMMYFUNCTION("""COMPUTED_VALUE"""),"Lokomotīves 22")</f>
        <v>Lokomotīves 22</v>
      </c>
      <c r="D2587" s="2">
        <f>IFERROR(__xludf.DUMMYFUNCTION("""COMPUTED_VALUE"""),3.0)</f>
        <v>3</v>
      </c>
      <c r="E2587" s="2">
        <f>IFERROR(__xludf.DUMMYFUNCTION("""COMPUTED_VALUE"""),58.0)</f>
        <v>58</v>
      </c>
      <c r="F2587" s="2">
        <f>IFERROR(__xludf.DUMMYFUNCTION("""COMPUTED_VALUE"""),5.0)</f>
        <v>5</v>
      </c>
      <c r="G2587" s="2">
        <f>IFERROR(__xludf.DUMMYFUNCTION("""COMPUTED_VALUE"""),5.0)</f>
        <v>5</v>
      </c>
      <c r="H2587" s="2" t="str">
        <f>IFERROR(__xludf.DUMMYFUNCTION("""COMPUTED_VALUE"""),"Specpr.")</f>
        <v>Specpr.</v>
      </c>
      <c r="I2587" s="2" t="str">
        <f>IFERROR(__xludf.DUMMYFUNCTION("""COMPUTED_VALUE"""),"Brick")</f>
        <v>Brick</v>
      </c>
      <c r="J2587" s="2" t="str">
        <f>IFERROR(__xludf.DUMMYFUNCTION("""COMPUTED_VALUE"""),"All amenities")</f>
        <v>All amenities</v>
      </c>
      <c r="K2587" s="2">
        <f>IFERROR(__xludf.DUMMYFUNCTION("""COMPUTED_VALUE"""),56000.0)</f>
        <v>56000</v>
      </c>
      <c r="L2587" s="2">
        <f>IFERROR(__xludf.DUMMYFUNCTION("""COMPUTED_VALUE"""),56.915126)</f>
        <v>56.915126</v>
      </c>
      <c r="M2587" s="2">
        <f>IFERROR(__xludf.DUMMYFUNCTION("""COMPUTED_VALUE"""),24.1882386)</f>
        <v>24.1882386</v>
      </c>
    </row>
    <row r="2588">
      <c r="A2588" s="2" t="str">
        <f>IFERROR(__xludf.DUMMYFUNCTION("""COMPUTED_VALUE"""),"For sale")</f>
        <v>For sale</v>
      </c>
      <c r="B2588" s="2" t="str">
        <f>IFERROR(__xludf.DUMMYFUNCTION("""COMPUTED_VALUE"""),"Pļavnieki")</f>
        <v>Pļavnieki</v>
      </c>
      <c r="C2588" s="2" t="str">
        <f>IFERROR(__xludf.DUMMYFUNCTION("""COMPUTED_VALUE"""),"Pļavnieku 8")</f>
        <v>Pļavnieku 8</v>
      </c>
      <c r="D2588" s="2">
        <f>IFERROR(__xludf.DUMMYFUNCTION("""COMPUTED_VALUE"""),3.0)</f>
        <v>3</v>
      </c>
      <c r="E2588" s="2">
        <f>IFERROR(__xludf.DUMMYFUNCTION("""COMPUTED_VALUE"""),63.0)</f>
        <v>63</v>
      </c>
      <c r="F2588" s="2">
        <f>IFERROR(__xludf.DUMMYFUNCTION("""COMPUTED_VALUE"""),1.0)</f>
        <v>1</v>
      </c>
      <c r="G2588" s="2">
        <f>IFERROR(__xludf.DUMMYFUNCTION("""COMPUTED_VALUE"""),9.0)</f>
        <v>9</v>
      </c>
      <c r="H2588" s="2">
        <f>IFERROR(__xludf.DUMMYFUNCTION("""COMPUTED_VALUE"""),602.0)</f>
        <v>602</v>
      </c>
      <c r="I2588" s="2" t="str">
        <f>IFERROR(__xludf.DUMMYFUNCTION("""COMPUTED_VALUE"""),"Panel")</f>
        <v>Panel</v>
      </c>
      <c r="J2588" s="2" t="str">
        <f>IFERROR(__xludf.DUMMYFUNCTION("""COMPUTED_VALUE"""),"All amenities")</f>
        <v>All amenities</v>
      </c>
      <c r="K2588" s="2">
        <f>IFERROR(__xludf.DUMMYFUNCTION("""COMPUTED_VALUE"""),71000.0)</f>
        <v>71000</v>
      </c>
      <c r="L2588" s="2">
        <f>IFERROR(__xludf.DUMMYFUNCTION("""COMPUTED_VALUE"""),56.94168555)</f>
        <v>56.94168555</v>
      </c>
      <c r="M2588" s="2">
        <f>IFERROR(__xludf.DUMMYFUNCTION("""COMPUTED_VALUE"""),24.2119894120109)</f>
        <v>24.21198941</v>
      </c>
    </row>
    <row r="2589">
      <c r="A2589" s="2" t="str">
        <f>IFERROR(__xludf.DUMMYFUNCTION("""COMPUTED_VALUE"""),"For sale")</f>
        <v>For sale</v>
      </c>
      <c r="B2589" s="2" t="str">
        <f>IFERROR(__xludf.DUMMYFUNCTION("""COMPUTED_VALUE"""),"Klīversala")</f>
        <v>Klīversala</v>
      </c>
      <c r="C2589" s="2" t="str">
        <f>IFERROR(__xludf.DUMMYFUNCTION("""COMPUTED_VALUE"""),"Kuģu 15")</f>
        <v>Kuģu 15</v>
      </c>
      <c r="D2589" s="2">
        <f>IFERROR(__xludf.DUMMYFUNCTION("""COMPUTED_VALUE"""),3.0)</f>
        <v>3</v>
      </c>
      <c r="E2589" s="2">
        <f>IFERROR(__xludf.DUMMYFUNCTION("""COMPUTED_VALUE"""),78.0)</f>
        <v>78</v>
      </c>
      <c r="F2589" s="2">
        <f>IFERROR(__xludf.DUMMYFUNCTION("""COMPUTED_VALUE"""),3.0)</f>
        <v>3</v>
      </c>
      <c r="G2589" s="2">
        <f>IFERROR(__xludf.DUMMYFUNCTION("""COMPUTED_VALUE"""),3.0)</f>
        <v>3</v>
      </c>
      <c r="H2589" s="2" t="str">
        <f>IFERROR(__xludf.DUMMYFUNCTION("""COMPUTED_VALUE"""),"Renov.")</f>
        <v>Renov.</v>
      </c>
      <c r="I2589" s="2" t="str">
        <f>IFERROR(__xludf.DUMMYFUNCTION("""COMPUTED_VALUE"""),"Brick")</f>
        <v>Brick</v>
      </c>
      <c r="J2589" s="2" t="str">
        <f>IFERROR(__xludf.DUMMYFUNCTION("""COMPUTED_VALUE"""),"All amenities")</f>
        <v>All amenities</v>
      </c>
      <c r="K2589" s="2">
        <f>IFERROR(__xludf.DUMMYFUNCTION("""COMPUTED_VALUE"""),310000.0)</f>
        <v>310000</v>
      </c>
      <c r="L2589" s="2">
        <f>IFERROR(__xludf.DUMMYFUNCTION("""COMPUTED_VALUE"""),56.94308385)</f>
        <v>56.94308385</v>
      </c>
      <c r="M2589" s="2">
        <f>IFERROR(__xludf.DUMMYFUNCTION("""COMPUTED_VALUE"""),24.0955521471893)</f>
        <v>24.09555215</v>
      </c>
    </row>
    <row r="2590">
      <c r="A2590" s="2" t="str">
        <f>IFERROR(__xludf.DUMMYFUNCTION("""COMPUTED_VALUE"""),"For sale")</f>
        <v>For sale</v>
      </c>
      <c r="B2590" s="2" t="str">
        <f>IFERROR(__xludf.DUMMYFUNCTION("""COMPUTED_VALUE"""),"Klīversala")</f>
        <v>Klīversala</v>
      </c>
      <c r="C2590" s="2" t="str">
        <f>IFERROR(__xludf.DUMMYFUNCTION("""COMPUTED_VALUE"""),"Kuģu 15")</f>
        <v>Kuģu 15</v>
      </c>
      <c r="D2590" s="2">
        <f>IFERROR(__xludf.DUMMYFUNCTION("""COMPUTED_VALUE"""),2.0)</f>
        <v>2</v>
      </c>
      <c r="E2590" s="2">
        <f>IFERROR(__xludf.DUMMYFUNCTION("""COMPUTED_VALUE"""),42.0)</f>
        <v>42</v>
      </c>
      <c r="F2590" s="2">
        <f>IFERROR(__xludf.DUMMYFUNCTION("""COMPUTED_VALUE"""),2.0)</f>
        <v>2</v>
      </c>
      <c r="G2590" s="2">
        <f>IFERROR(__xludf.DUMMYFUNCTION("""COMPUTED_VALUE"""),3.0)</f>
        <v>3</v>
      </c>
      <c r="H2590" s="2" t="str">
        <f>IFERROR(__xludf.DUMMYFUNCTION("""COMPUTED_VALUE"""),"Renov.")</f>
        <v>Renov.</v>
      </c>
      <c r="I2590" s="2" t="str">
        <f>IFERROR(__xludf.DUMMYFUNCTION("""COMPUTED_VALUE"""),"Brick")</f>
        <v>Brick</v>
      </c>
      <c r="J2590" s="2" t="str">
        <f>IFERROR(__xludf.DUMMYFUNCTION("""COMPUTED_VALUE"""),"All amenities")</f>
        <v>All amenities</v>
      </c>
      <c r="K2590" s="2">
        <f>IFERROR(__xludf.DUMMYFUNCTION("""COMPUTED_VALUE"""),150000.0)</f>
        <v>150000</v>
      </c>
      <c r="L2590" s="2">
        <f>IFERROR(__xludf.DUMMYFUNCTION("""COMPUTED_VALUE"""),56.94308385)</f>
        <v>56.94308385</v>
      </c>
      <c r="M2590" s="2">
        <f>IFERROR(__xludf.DUMMYFUNCTION("""COMPUTED_VALUE"""),24.0955521471893)</f>
        <v>24.09555215</v>
      </c>
    </row>
    <row r="2591">
      <c r="A2591" s="2" t="str">
        <f>IFERROR(__xludf.DUMMYFUNCTION("""COMPUTED_VALUE"""),"For sale")</f>
        <v>For sale</v>
      </c>
      <c r="B2591" s="2" t="str">
        <f>IFERROR(__xludf.DUMMYFUNCTION("""COMPUTED_VALUE"""),"Mangaļi")</f>
        <v>Mangaļi</v>
      </c>
      <c r="C2591" s="2" t="str">
        <f>IFERROR(__xludf.DUMMYFUNCTION("""COMPUTED_VALUE"""),"Mores 17")</f>
        <v>Mores 17</v>
      </c>
      <c r="D2591" s="2">
        <f>IFERROR(__xludf.DUMMYFUNCTION("""COMPUTED_VALUE"""),2.0)</f>
        <v>2</v>
      </c>
      <c r="E2591" s="2">
        <f>IFERROR(__xludf.DUMMYFUNCTION("""COMPUTED_VALUE"""),53.0)</f>
        <v>53</v>
      </c>
      <c r="F2591" s="2">
        <f>IFERROR(__xludf.DUMMYFUNCTION("""COMPUTED_VALUE"""),1.0)</f>
        <v>1</v>
      </c>
      <c r="G2591" s="2">
        <f>IFERROR(__xludf.DUMMYFUNCTION("""COMPUTED_VALUE"""),3.0)</f>
        <v>3</v>
      </c>
      <c r="H2591" s="2" t="str">
        <f>IFERROR(__xludf.DUMMYFUNCTION("""COMPUTED_VALUE"""),"Jaun.")</f>
        <v>Jaun.</v>
      </c>
      <c r="I2591" s="2" t="str">
        <f>IFERROR(__xludf.DUMMYFUNCTION("""COMPUTED_VALUE"""),"Masonry")</f>
        <v>Masonry</v>
      </c>
      <c r="J2591" s="2" t="str">
        <f>IFERROR(__xludf.DUMMYFUNCTION("""COMPUTED_VALUE"""),"All amenities")</f>
        <v>All amenities</v>
      </c>
      <c r="K2591" s="2">
        <f>IFERROR(__xludf.DUMMYFUNCTION("""COMPUTED_VALUE"""),74087.0)</f>
        <v>74087</v>
      </c>
      <c r="L2591" s="2">
        <f>IFERROR(__xludf.DUMMYFUNCTION("""COMPUTED_VALUE"""),57.0200178)</f>
        <v>57.0200178</v>
      </c>
      <c r="M2591" s="2">
        <f>IFERROR(__xludf.DUMMYFUNCTION("""COMPUTED_VALUE"""),24.1371463)</f>
        <v>24.1371463</v>
      </c>
    </row>
    <row r="2592">
      <c r="A2592" s="2" t="str">
        <f>IFERROR(__xludf.DUMMYFUNCTION("""COMPUTED_VALUE"""),"For sale")</f>
        <v>For sale</v>
      </c>
      <c r="B2592" s="2" t="str">
        <f>IFERROR(__xludf.DUMMYFUNCTION("""COMPUTED_VALUE"""),"centrs")</f>
        <v>centrs</v>
      </c>
      <c r="C2592" s="2" t="str">
        <f>IFERROR(__xludf.DUMMYFUNCTION("""COMPUTED_VALUE"""),"Ģertrūdes 113")</f>
        <v>Ģertrūdes 113</v>
      </c>
      <c r="D2592" s="2">
        <f>IFERROR(__xludf.DUMMYFUNCTION("""COMPUTED_VALUE"""),2.0)</f>
        <v>2</v>
      </c>
      <c r="E2592" s="2">
        <f>IFERROR(__xludf.DUMMYFUNCTION("""COMPUTED_VALUE"""),43.0)</f>
        <v>43</v>
      </c>
      <c r="F2592" s="2">
        <f>IFERROR(__xludf.DUMMYFUNCTION("""COMPUTED_VALUE"""),3.0)</f>
        <v>3</v>
      </c>
      <c r="G2592" s="2">
        <f>IFERROR(__xludf.DUMMYFUNCTION("""COMPUTED_VALUE"""),7.0)</f>
        <v>7</v>
      </c>
      <c r="H2592" s="2" t="str">
        <f>IFERROR(__xludf.DUMMYFUNCTION("""COMPUTED_VALUE"""),"P. kara")</f>
        <v>P. kara</v>
      </c>
      <c r="I2592" s="2" t="str">
        <f>IFERROR(__xludf.DUMMYFUNCTION("""COMPUTED_VALUE"""),"Masonry")</f>
        <v>Masonry</v>
      </c>
      <c r="J2592" s="2" t="str">
        <f>IFERROR(__xludf.DUMMYFUNCTION("""COMPUTED_VALUE"""),"All amenities")</f>
        <v>All amenities</v>
      </c>
      <c r="K2592" s="2">
        <f>IFERROR(__xludf.DUMMYFUNCTION("""COMPUTED_VALUE"""),58000.0)</f>
        <v>58000</v>
      </c>
      <c r="L2592" s="2">
        <f>IFERROR(__xludf.DUMMYFUNCTION("""COMPUTED_VALUE"""),56.9488564)</f>
        <v>56.9488564</v>
      </c>
      <c r="M2592" s="2">
        <f>IFERROR(__xludf.DUMMYFUNCTION("""COMPUTED_VALUE"""),24.1384970339502)</f>
        <v>24.13849703</v>
      </c>
    </row>
    <row r="2593">
      <c r="A2593" s="2" t="str">
        <f>IFERROR(__xludf.DUMMYFUNCTION("""COMPUTED_VALUE"""),"For sale")</f>
        <v>For sale</v>
      </c>
      <c r="B2593" s="2" t="str">
        <f>IFERROR(__xludf.DUMMYFUNCTION("""COMPUTED_VALUE"""),"Purvciems")</f>
        <v>Purvciems</v>
      </c>
      <c r="C2593" s="2" t="str">
        <f>IFERROR(__xludf.DUMMYFUNCTION("""COMPUTED_VALUE"""),"Ķeguma 60")</f>
        <v>Ķeguma 60</v>
      </c>
      <c r="D2593" s="2">
        <f>IFERROR(__xludf.DUMMYFUNCTION("""COMPUTED_VALUE"""),1.0)</f>
        <v>1</v>
      </c>
      <c r="E2593" s="2">
        <f>IFERROR(__xludf.DUMMYFUNCTION("""COMPUTED_VALUE"""),40.0)</f>
        <v>40</v>
      </c>
      <c r="F2593" s="2">
        <f>IFERROR(__xludf.DUMMYFUNCTION("""COMPUTED_VALUE"""),5.0)</f>
        <v>5</v>
      </c>
      <c r="G2593" s="2">
        <f>IFERROR(__xludf.DUMMYFUNCTION("""COMPUTED_VALUE"""),5.0)</f>
        <v>5</v>
      </c>
      <c r="H2593" s="2" t="str">
        <f>IFERROR(__xludf.DUMMYFUNCTION("""COMPUTED_VALUE"""),"M. ģim.")</f>
        <v>M. ģim.</v>
      </c>
      <c r="I2593" s="2" t="str">
        <f>IFERROR(__xludf.DUMMYFUNCTION("""COMPUTED_VALUE"""),"Panel")</f>
        <v>Panel</v>
      </c>
      <c r="J2593" s="2" t="str">
        <f>IFERROR(__xludf.DUMMYFUNCTION("""COMPUTED_VALUE"""),"All amenities")</f>
        <v>All amenities</v>
      </c>
      <c r="K2593" s="2">
        <f>IFERROR(__xludf.DUMMYFUNCTION("""COMPUTED_VALUE"""),27499.0)</f>
        <v>27499</v>
      </c>
      <c r="L2593" s="2">
        <f>IFERROR(__xludf.DUMMYFUNCTION("""COMPUTED_VALUE"""),56.964717)</f>
        <v>56.964717</v>
      </c>
      <c r="M2593" s="2">
        <f>IFERROR(__xludf.DUMMYFUNCTION("""COMPUTED_VALUE"""),24.1962984488949)</f>
        <v>24.19629845</v>
      </c>
    </row>
    <row r="2594">
      <c r="A2594" s="2" t="str">
        <f>IFERROR(__xludf.DUMMYFUNCTION("""COMPUTED_VALUE"""),"For sale")</f>
        <v>For sale</v>
      </c>
      <c r="B2594" s="2" t="str">
        <f>IFERROR(__xludf.DUMMYFUNCTION("""COMPUTED_VALUE"""),"Ķengarags")</f>
        <v>Ķengarags</v>
      </c>
      <c r="C2594" s="2" t="str">
        <f>IFERROR(__xludf.DUMMYFUNCTION("""COMPUTED_VALUE"""),"Aglonas 2")</f>
        <v>Aglonas 2</v>
      </c>
      <c r="D2594" s="2">
        <f>IFERROR(__xludf.DUMMYFUNCTION("""COMPUTED_VALUE"""),2.0)</f>
        <v>2</v>
      </c>
      <c r="E2594" s="2">
        <f>IFERROR(__xludf.DUMMYFUNCTION("""COMPUTED_VALUE"""),50.0)</f>
        <v>50</v>
      </c>
      <c r="F2594" s="2">
        <f>IFERROR(__xludf.DUMMYFUNCTION("""COMPUTED_VALUE"""),7.0)</f>
        <v>7</v>
      </c>
      <c r="G2594" s="2">
        <f>IFERROR(__xludf.DUMMYFUNCTION("""COMPUTED_VALUE"""),12.0)</f>
        <v>12</v>
      </c>
      <c r="H2594" s="2" t="str">
        <f>IFERROR(__xludf.DUMMYFUNCTION("""COMPUTED_VALUE"""),"Čehu pr.")</f>
        <v>Čehu pr.</v>
      </c>
      <c r="I2594" s="2" t="str">
        <f>IFERROR(__xludf.DUMMYFUNCTION("""COMPUTED_VALUE"""),"Brick")</f>
        <v>Brick</v>
      </c>
      <c r="J2594" s="2" t="str">
        <f>IFERROR(__xludf.DUMMYFUNCTION("""COMPUTED_VALUE"""),"All amenities")</f>
        <v>All amenities</v>
      </c>
      <c r="K2594" s="2">
        <f>IFERROR(__xludf.DUMMYFUNCTION("""COMPUTED_VALUE"""),46700.0)</f>
        <v>46700</v>
      </c>
      <c r="L2594" s="2">
        <f>IFERROR(__xludf.DUMMYFUNCTION("""COMPUTED_VALUE"""),56.91103805)</f>
        <v>56.91103805</v>
      </c>
      <c r="M2594" s="2">
        <f>IFERROR(__xludf.DUMMYFUNCTION("""COMPUTED_VALUE"""),24.1842762000681)</f>
        <v>24.1842762</v>
      </c>
    </row>
    <row r="2595">
      <c r="A2595" s="2" t="str">
        <f>IFERROR(__xludf.DUMMYFUNCTION("""COMPUTED_VALUE"""),"For sale")</f>
        <v>For sale</v>
      </c>
      <c r="B2595" s="2" t="str">
        <f>IFERROR(__xludf.DUMMYFUNCTION("""COMPUTED_VALUE"""),"centrs")</f>
        <v>centrs</v>
      </c>
      <c r="C2595" s="2" t="str">
        <f>IFERROR(__xludf.DUMMYFUNCTION("""COMPUTED_VALUE"""),"Brīvības 147")</f>
        <v>Brīvības 147</v>
      </c>
      <c r="D2595" s="2">
        <f>IFERROR(__xludf.DUMMYFUNCTION("""COMPUTED_VALUE"""),3.0)</f>
        <v>3</v>
      </c>
      <c r="E2595" s="2">
        <f>IFERROR(__xludf.DUMMYFUNCTION("""COMPUTED_VALUE"""),75.0)</f>
        <v>75</v>
      </c>
      <c r="F2595" s="2">
        <f>IFERROR(__xludf.DUMMYFUNCTION("""COMPUTED_VALUE"""),3.0)</f>
        <v>3</v>
      </c>
      <c r="G2595" s="2">
        <f>IFERROR(__xludf.DUMMYFUNCTION("""COMPUTED_VALUE"""),6.0)</f>
        <v>6</v>
      </c>
      <c r="H2595" s="2" t="str">
        <f>IFERROR(__xludf.DUMMYFUNCTION("""COMPUTED_VALUE"""),"Renov.")</f>
        <v>Renov.</v>
      </c>
      <c r="I2595" s="2" t="str">
        <f>IFERROR(__xludf.DUMMYFUNCTION("""COMPUTED_VALUE"""),"Masonry")</f>
        <v>Masonry</v>
      </c>
      <c r="J2595" s="2" t="str">
        <f>IFERROR(__xludf.DUMMYFUNCTION("""COMPUTED_VALUE"""),"All amenities")</f>
        <v>All amenities</v>
      </c>
      <c r="K2595" s="2">
        <f>IFERROR(__xludf.DUMMYFUNCTION("""COMPUTED_VALUE"""),124000.0)</f>
        <v>124000</v>
      </c>
      <c r="L2595" s="2">
        <f>IFERROR(__xludf.DUMMYFUNCTION("""COMPUTED_VALUE"""),56.96548375)</f>
        <v>56.96548375</v>
      </c>
      <c r="M2595" s="2">
        <f>IFERROR(__xludf.DUMMYFUNCTION("""COMPUTED_VALUE"""),24.1424979596359)</f>
        <v>24.14249796</v>
      </c>
    </row>
    <row r="2596">
      <c r="A2596" s="2" t="str">
        <f>IFERROR(__xludf.DUMMYFUNCTION("""COMPUTED_VALUE"""),"For sale")</f>
        <v>For sale</v>
      </c>
      <c r="B2596" s="2" t="str">
        <f>IFERROR(__xludf.DUMMYFUNCTION("""COMPUTED_VALUE"""),"Ziepniekkalns")</f>
        <v>Ziepniekkalns</v>
      </c>
      <c r="C2596" s="2" t="str">
        <f>IFERROR(__xludf.DUMMYFUNCTION("""COMPUTED_VALUE"""),"Bauskas 151")</f>
        <v>Bauskas 151</v>
      </c>
      <c r="D2596" s="2">
        <f>IFERROR(__xludf.DUMMYFUNCTION("""COMPUTED_VALUE"""),2.0)</f>
        <v>2</v>
      </c>
      <c r="E2596" s="2">
        <f>IFERROR(__xludf.DUMMYFUNCTION("""COMPUTED_VALUE"""),33.0)</f>
        <v>33</v>
      </c>
      <c r="F2596" s="2">
        <f>IFERROR(__xludf.DUMMYFUNCTION("""COMPUTED_VALUE"""),2.0)</f>
        <v>2</v>
      </c>
      <c r="G2596" s="2">
        <f>IFERROR(__xludf.DUMMYFUNCTION("""COMPUTED_VALUE"""),2.0)</f>
        <v>2</v>
      </c>
      <c r="H2596" s="2" t="str">
        <f>IFERROR(__xludf.DUMMYFUNCTION("""COMPUTED_VALUE"""),"P. kara")</f>
        <v>P. kara</v>
      </c>
      <c r="I2596" s="2" t="str">
        <f>IFERROR(__xludf.DUMMYFUNCTION("""COMPUTED_VALUE"""),"Wood")</f>
        <v>Wood</v>
      </c>
      <c r="J2596" s="2" t="str">
        <f>IFERROR(__xludf.DUMMYFUNCTION("""COMPUTED_VALUE"""),"Partial amenities")</f>
        <v>Partial amenities</v>
      </c>
      <c r="K2596" s="2">
        <f>IFERROR(__xludf.DUMMYFUNCTION("""COMPUTED_VALUE"""),16000.0)</f>
        <v>16000</v>
      </c>
      <c r="L2596" s="2">
        <f>IFERROR(__xludf.DUMMYFUNCTION("""COMPUTED_VALUE"""),56.9137631499999)</f>
        <v>56.91376315</v>
      </c>
      <c r="M2596" s="2">
        <f>IFERROR(__xludf.DUMMYFUNCTION("""COMPUTED_VALUE"""),24.1416595870278)</f>
        <v>24.14165959</v>
      </c>
    </row>
    <row r="2597">
      <c r="A2597" s="2" t="str">
        <f>IFERROR(__xludf.DUMMYFUNCTION("""COMPUTED_VALUE"""),"For sale")</f>
        <v>For sale</v>
      </c>
      <c r="B2597" s="2" t="str">
        <f>IFERROR(__xludf.DUMMYFUNCTION("""COMPUTED_VALUE"""),"Vecrīga")</f>
        <v>Vecrīga</v>
      </c>
      <c r="C2597" s="2" t="str">
        <f>IFERROR(__xludf.DUMMYFUNCTION("""COMPUTED_VALUE"""),"Kungu 25")</f>
        <v>Kungu 25</v>
      </c>
      <c r="D2597" s="2">
        <f>IFERROR(__xludf.DUMMYFUNCTION("""COMPUTED_VALUE"""),4.0)</f>
        <v>4</v>
      </c>
      <c r="E2597" s="2">
        <f>IFERROR(__xludf.DUMMYFUNCTION("""COMPUTED_VALUE"""),93.0)</f>
        <v>93</v>
      </c>
      <c r="F2597" s="2">
        <f>IFERROR(__xludf.DUMMYFUNCTION("""COMPUTED_VALUE"""),3.0)</f>
        <v>3</v>
      </c>
      <c r="G2597" s="2">
        <f>IFERROR(__xludf.DUMMYFUNCTION("""COMPUTED_VALUE"""),5.0)</f>
        <v>5</v>
      </c>
      <c r="H2597" s="2" t="str">
        <f>IFERROR(__xludf.DUMMYFUNCTION("""COMPUTED_VALUE"""),"Jaun.")</f>
        <v>Jaun.</v>
      </c>
      <c r="I2597" s="2" t="str">
        <f>IFERROR(__xludf.DUMMYFUNCTION("""COMPUTED_VALUE"""),"Masonry")</f>
        <v>Masonry</v>
      </c>
      <c r="J2597" s="2" t="str">
        <f>IFERROR(__xludf.DUMMYFUNCTION("""COMPUTED_VALUE"""),"All amenities")</f>
        <v>All amenities</v>
      </c>
      <c r="K2597" s="2">
        <f>IFERROR(__xludf.DUMMYFUNCTION("""COMPUTED_VALUE"""),185000.0)</f>
        <v>185000</v>
      </c>
      <c r="L2597" s="2">
        <f>IFERROR(__xludf.DUMMYFUNCTION("""COMPUTED_VALUE"""),56.9453381999999)</f>
        <v>56.9453382</v>
      </c>
      <c r="M2597" s="2">
        <f>IFERROR(__xludf.DUMMYFUNCTION("""COMPUTED_VALUE"""),24.1094639533088)</f>
        <v>24.10946395</v>
      </c>
    </row>
    <row r="2598">
      <c r="A2598" s="2" t="str">
        <f>IFERROR(__xludf.DUMMYFUNCTION("""COMPUTED_VALUE"""),"For sale")</f>
        <v>For sale</v>
      </c>
      <c r="B2598" s="2" t="str">
        <f>IFERROR(__xludf.DUMMYFUNCTION("""COMPUTED_VALUE"""),"Vecmīlgrāvis")</f>
        <v>Vecmīlgrāvis</v>
      </c>
      <c r="C2598" s="2" t="str">
        <f>IFERROR(__xludf.DUMMYFUNCTION("""COMPUTED_VALUE"""),"Melīdas 11")</f>
        <v>Melīdas 11</v>
      </c>
      <c r="D2598" s="2">
        <f>IFERROR(__xludf.DUMMYFUNCTION("""COMPUTED_VALUE"""),4.0)</f>
        <v>4</v>
      </c>
      <c r="E2598" s="2">
        <f>IFERROR(__xludf.DUMMYFUNCTION("""COMPUTED_VALUE"""),78.0)</f>
        <v>78</v>
      </c>
      <c r="F2598" s="2">
        <f>IFERROR(__xludf.DUMMYFUNCTION("""COMPUTED_VALUE"""),3.0)</f>
        <v>3</v>
      </c>
      <c r="G2598" s="2">
        <f>IFERROR(__xludf.DUMMYFUNCTION("""COMPUTED_VALUE"""),9.0)</f>
        <v>9</v>
      </c>
      <c r="H2598" s="2">
        <f>IFERROR(__xludf.DUMMYFUNCTION("""COMPUTED_VALUE"""),467.0)</f>
        <v>467</v>
      </c>
      <c r="I2598" s="2" t="str">
        <f>IFERROR(__xludf.DUMMYFUNCTION("""COMPUTED_VALUE"""),"Panel-Brick")</f>
        <v>Panel-Brick</v>
      </c>
      <c r="J2598" s="2" t="str">
        <f>IFERROR(__xludf.DUMMYFUNCTION("""COMPUTED_VALUE"""),"All amenities")</f>
        <v>All amenities</v>
      </c>
      <c r="K2598" s="2">
        <f>IFERROR(__xludf.DUMMYFUNCTION("""COMPUTED_VALUE"""),67000.0)</f>
        <v>67000</v>
      </c>
      <c r="L2598" s="2">
        <f>IFERROR(__xludf.DUMMYFUNCTION("""COMPUTED_VALUE"""),57.0318969)</f>
        <v>57.0318969</v>
      </c>
      <c r="M2598" s="2">
        <f>IFERROR(__xludf.DUMMYFUNCTION("""COMPUTED_VALUE"""),24.1109505)</f>
        <v>24.1109505</v>
      </c>
    </row>
    <row r="2599">
      <c r="A2599" s="2" t="str">
        <f>IFERROR(__xludf.DUMMYFUNCTION("""COMPUTED_VALUE"""),"For sale")</f>
        <v>For sale</v>
      </c>
      <c r="B2599" s="2" t="str">
        <f>IFERROR(__xludf.DUMMYFUNCTION("""COMPUTED_VALUE"""),"Āgenskalns")</f>
        <v>Āgenskalns</v>
      </c>
      <c r="C2599" s="2" t="str">
        <f>IFERROR(__xludf.DUMMYFUNCTION("""COMPUTED_VALUE"""),"Kalnciema 81")</f>
        <v>Kalnciema 81</v>
      </c>
      <c r="D2599" s="2">
        <f>IFERROR(__xludf.DUMMYFUNCTION("""COMPUTED_VALUE"""),4.0)</f>
        <v>4</v>
      </c>
      <c r="E2599" s="2">
        <f>IFERROR(__xludf.DUMMYFUNCTION("""COMPUTED_VALUE"""),87.0)</f>
        <v>87</v>
      </c>
      <c r="F2599" s="2">
        <f>IFERROR(__xludf.DUMMYFUNCTION("""COMPUTED_VALUE"""),2.0)</f>
        <v>2</v>
      </c>
      <c r="G2599" s="2">
        <f>IFERROR(__xludf.DUMMYFUNCTION("""COMPUTED_VALUE"""),2.0)</f>
        <v>2</v>
      </c>
      <c r="H2599" s="2" t="str">
        <f>IFERROR(__xludf.DUMMYFUNCTION("""COMPUTED_VALUE"""),"P. kara")</f>
        <v>P. kara</v>
      </c>
      <c r="I2599" s="2" t="str">
        <f>IFERROR(__xludf.DUMMYFUNCTION("""COMPUTED_VALUE"""),"Masonry")</f>
        <v>Masonry</v>
      </c>
      <c r="J2599" s="2" t="str">
        <f>IFERROR(__xludf.DUMMYFUNCTION("""COMPUTED_VALUE"""),"All amenities")</f>
        <v>All amenities</v>
      </c>
      <c r="K2599" s="2">
        <f>IFERROR(__xludf.DUMMYFUNCTION("""COMPUTED_VALUE"""),57000.0)</f>
        <v>57000</v>
      </c>
      <c r="L2599" s="2">
        <f>IFERROR(__xludf.DUMMYFUNCTION("""COMPUTED_VALUE"""),56.9386534)</f>
        <v>56.9386534</v>
      </c>
      <c r="M2599" s="2">
        <f>IFERROR(__xludf.DUMMYFUNCTION("""COMPUTED_VALUE"""),24.05182415)</f>
        <v>24.05182415</v>
      </c>
    </row>
    <row r="2600">
      <c r="A2600" s="2" t="str">
        <f>IFERROR(__xludf.DUMMYFUNCTION("""COMPUTED_VALUE"""),"For rent")</f>
        <v>For rent</v>
      </c>
      <c r="B2600" s="2" t="str">
        <f>IFERROR(__xludf.DUMMYFUNCTION("""COMPUTED_VALUE"""),"Šampēteris-Pleskodāle")</f>
        <v>Šampēteris-Pleskodāle</v>
      </c>
      <c r="C2600" s="2" t="str">
        <f>IFERROR(__xludf.DUMMYFUNCTION("""COMPUTED_VALUE"""),"Lielirbes 13")</f>
        <v>Lielirbes 13</v>
      </c>
      <c r="D2600" s="2">
        <f>IFERROR(__xludf.DUMMYFUNCTION("""COMPUTED_VALUE"""),3.0)</f>
        <v>3</v>
      </c>
      <c r="E2600" s="2">
        <f>IFERROR(__xludf.DUMMYFUNCTION("""COMPUTED_VALUE"""),90.0)</f>
        <v>90</v>
      </c>
      <c r="F2600" s="2">
        <f>IFERROR(__xludf.DUMMYFUNCTION("""COMPUTED_VALUE"""),11.0)</f>
        <v>11</v>
      </c>
      <c r="G2600" s="2">
        <f>IFERROR(__xludf.DUMMYFUNCTION("""COMPUTED_VALUE"""),30.0)</f>
        <v>30</v>
      </c>
      <c r="H2600" s="2" t="str">
        <f>IFERROR(__xludf.DUMMYFUNCTION("""COMPUTED_VALUE"""),"Jaun.")</f>
        <v>Jaun.</v>
      </c>
      <c r="I2600" s="2" t="str">
        <f>IFERROR(__xludf.DUMMYFUNCTION("""COMPUTED_VALUE"""),"Masonry")</f>
        <v>Masonry</v>
      </c>
      <c r="J2600" s="2" t="str">
        <f>IFERROR(__xludf.DUMMYFUNCTION("""COMPUTED_VALUE"""),"All amenities")</f>
        <v>All amenities</v>
      </c>
      <c r="K2600" s="2">
        <f>IFERROR(__xludf.DUMMYFUNCTION("""COMPUTED_VALUE"""),650.0)</f>
        <v>650</v>
      </c>
      <c r="L2600" s="2">
        <f>IFERROR(__xludf.DUMMYFUNCTION("""COMPUTED_VALUE"""),56.9334996)</f>
        <v>56.9334996</v>
      </c>
      <c r="M2600" s="2">
        <f>IFERROR(__xludf.DUMMYFUNCTION("""COMPUTED_VALUE"""),24.0424848)</f>
        <v>24.0424848</v>
      </c>
    </row>
    <row r="2601">
      <c r="A2601" s="2" t="str">
        <f>IFERROR(__xludf.DUMMYFUNCTION("""COMPUTED_VALUE"""),"For sale")</f>
        <v>For sale</v>
      </c>
      <c r="B2601" s="2" t="str">
        <f>IFERROR(__xludf.DUMMYFUNCTION("""COMPUTED_VALUE"""),"Mežciems")</f>
        <v>Mežciems</v>
      </c>
      <c r="C2601" s="2" t="str">
        <f>IFERROR(__xludf.DUMMYFUNCTION("""COMPUTED_VALUE"""),"Biķernieku 160")</f>
        <v>Biķernieku 160</v>
      </c>
      <c r="D2601" s="2">
        <f>IFERROR(__xludf.DUMMYFUNCTION("""COMPUTED_VALUE"""),3.0)</f>
        <v>3</v>
      </c>
      <c r="E2601" s="2">
        <f>IFERROR(__xludf.DUMMYFUNCTION("""COMPUTED_VALUE"""),77.0)</f>
        <v>77</v>
      </c>
      <c r="F2601" s="2">
        <f>IFERROR(__xludf.DUMMYFUNCTION("""COMPUTED_VALUE"""),2.0)</f>
        <v>2</v>
      </c>
      <c r="G2601" s="2">
        <f>IFERROR(__xludf.DUMMYFUNCTION("""COMPUTED_VALUE"""),4.0)</f>
        <v>4</v>
      </c>
      <c r="H2601" s="2" t="str">
        <f>IFERROR(__xludf.DUMMYFUNCTION("""COMPUTED_VALUE"""),"Jaun.")</f>
        <v>Jaun.</v>
      </c>
      <c r="I2601" s="2" t="str">
        <f>IFERROR(__xludf.DUMMYFUNCTION("""COMPUTED_VALUE"""),"Panel-Brick")</f>
        <v>Panel-Brick</v>
      </c>
      <c r="J2601" s="2" t="str">
        <f>IFERROR(__xludf.DUMMYFUNCTION("""COMPUTED_VALUE"""),"All amenities")</f>
        <v>All amenities</v>
      </c>
      <c r="K2601" s="2">
        <f>IFERROR(__xludf.DUMMYFUNCTION("""COMPUTED_VALUE"""),129500.0)</f>
        <v>129500</v>
      </c>
      <c r="L2601" s="2">
        <f>IFERROR(__xludf.DUMMYFUNCTION("""COMPUTED_VALUE"""),56.9569585)</f>
        <v>56.9569585</v>
      </c>
      <c r="M2601" s="2">
        <f>IFERROR(__xludf.DUMMYFUNCTION("""COMPUTED_VALUE"""),24.2536804)</f>
        <v>24.2536804</v>
      </c>
    </row>
    <row r="2602">
      <c r="A2602" s="2" t="str">
        <f>IFERROR(__xludf.DUMMYFUNCTION("""COMPUTED_VALUE"""),"For rent")</f>
        <v>For rent</v>
      </c>
      <c r="B2602" s="2" t="str">
        <f>IFERROR(__xludf.DUMMYFUNCTION("""COMPUTED_VALUE"""),"centrs")</f>
        <v>centrs</v>
      </c>
      <c r="C2602" s="2" t="str">
        <f>IFERROR(__xludf.DUMMYFUNCTION("""COMPUTED_VALUE"""),"Artilērijas 33")</f>
        <v>Artilērijas 33</v>
      </c>
      <c r="D2602" s="2">
        <f>IFERROR(__xludf.DUMMYFUNCTION("""COMPUTED_VALUE"""),1.0)</f>
        <v>1</v>
      </c>
      <c r="E2602" s="2">
        <f>IFERROR(__xludf.DUMMYFUNCTION("""COMPUTED_VALUE"""),17.0)</f>
        <v>17</v>
      </c>
      <c r="F2602" s="2">
        <f>IFERROR(__xludf.DUMMYFUNCTION("""COMPUTED_VALUE"""),2.0)</f>
        <v>2</v>
      </c>
      <c r="G2602" s="2">
        <f>IFERROR(__xludf.DUMMYFUNCTION("""COMPUTED_VALUE"""),5.0)</f>
        <v>5</v>
      </c>
      <c r="H2602" s="2" t="str">
        <f>IFERROR(__xludf.DUMMYFUNCTION("""COMPUTED_VALUE"""),"Jaun.")</f>
        <v>Jaun.</v>
      </c>
      <c r="I2602" s="2" t="str">
        <f>IFERROR(__xludf.DUMMYFUNCTION("""COMPUTED_VALUE"""),"Panel")</f>
        <v>Panel</v>
      </c>
      <c r="J2602" s="2" t="str">
        <f>IFERROR(__xludf.DUMMYFUNCTION("""COMPUTED_VALUE"""),"All amenities")</f>
        <v>All amenities</v>
      </c>
      <c r="K2602" s="2">
        <f>IFERROR(__xludf.DUMMYFUNCTION("""COMPUTED_VALUE"""),170.0)</f>
        <v>170</v>
      </c>
      <c r="L2602" s="2">
        <f>IFERROR(__xludf.DUMMYFUNCTION("""COMPUTED_VALUE"""),56.9575761499999)</f>
        <v>56.95757615</v>
      </c>
      <c r="M2602" s="2">
        <f>IFERROR(__xludf.DUMMYFUNCTION("""COMPUTED_VALUE"""),24.1425400300487)</f>
        <v>24.14254003</v>
      </c>
    </row>
    <row r="2603">
      <c r="A2603" s="2" t="str">
        <f>IFERROR(__xludf.DUMMYFUNCTION("""COMPUTED_VALUE"""),"For rent")</f>
        <v>For rent</v>
      </c>
      <c r="B2603" s="2" t="str">
        <f>IFERROR(__xludf.DUMMYFUNCTION("""COMPUTED_VALUE"""),"centrs")</f>
        <v>centrs</v>
      </c>
      <c r="C2603" s="2" t="str">
        <f>IFERROR(__xludf.DUMMYFUNCTION("""COMPUTED_VALUE"""),"Artilērijas 33")</f>
        <v>Artilērijas 33</v>
      </c>
      <c r="D2603" s="2">
        <f>IFERROR(__xludf.DUMMYFUNCTION("""COMPUTED_VALUE"""),1.0)</f>
        <v>1</v>
      </c>
      <c r="E2603" s="2">
        <f>IFERROR(__xludf.DUMMYFUNCTION("""COMPUTED_VALUE"""),24.0)</f>
        <v>24</v>
      </c>
      <c r="F2603" s="2">
        <f>IFERROR(__xludf.DUMMYFUNCTION("""COMPUTED_VALUE"""),2.0)</f>
        <v>2</v>
      </c>
      <c r="G2603" s="2">
        <f>IFERROR(__xludf.DUMMYFUNCTION("""COMPUTED_VALUE"""),5.0)</f>
        <v>5</v>
      </c>
      <c r="H2603" s="2" t="str">
        <f>IFERROR(__xludf.DUMMYFUNCTION("""COMPUTED_VALUE"""),"Jaun.")</f>
        <v>Jaun.</v>
      </c>
      <c r="I2603" s="2" t="str">
        <f>IFERROR(__xludf.DUMMYFUNCTION("""COMPUTED_VALUE"""),"Panel-Brick")</f>
        <v>Panel-Brick</v>
      </c>
      <c r="J2603" s="2" t="str">
        <f>IFERROR(__xludf.DUMMYFUNCTION("""COMPUTED_VALUE"""),"All amenities")</f>
        <v>All amenities</v>
      </c>
      <c r="K2603" s="2">
        <f>IFERROR(__xludf.DUMMYFUNCTION("""COMPUTED_VALUE"""),200.0)</f>
        <v>200</v>
      </c>
      <c r="L2603" s="2">
        <f>IFERROR(__xludf.DUMMYFUNCTION("""COMPUTED_VALUE"""),56.9575761499999)</f>
        <v>56.95757615</v>
      </c>
      <c r="M2603" s="2">
        <f>IFERROR(__xludf.DUMMYFUNCTION("""COMPUTED_VALUE"""),24.1425400300487)</f>
        <v>24.14254003</v>
      </c>
    </row>
    <row r="2604">
      <c r="A2604" s="2" t="str">
        <f>IFERROR(__xludf.DUMMYFUNCTION("""COMPUTED_VALUE"""),"For sale")</f>
        <v>For sale</v>
      </c>
      <c r="B2604" s="2" t="str">
        <f>IFERROR(__xludf.DUMMYFUNCTION("""COMPUTED_VALUE"""),"Imanta")</f>
        <v>Imanta</v>
      </c>
      <c r="C2604" s="2" t="str">
        <f>IFERROR(__xludf.DUMMYFUNCTION("""COMPUTED_VALUE"""),"Anniņmuižas bulvāris 38k1")</f>
        <v>Anniņmuižas bulvāris 38k1</v>
      </c>
      <c r="D2604" s="2">
        <f>IFERROR(__xludf.DUMMYFUNCTION("""COMPUTED_VALUE"""),3.0)</f>
        <v>3</v>
      </c>
      <c r="E2604" s="2">
        <f>IFERROR(__xludf.DUMMYFUNCTION("""COMPUTED_VALUE"""),80.0)</f>
        <v>80</v>
      </c>
      <c r="F2604" s="2">
        <f>IFERROR(__xludf.DUMMYFUNCTION("""COMPUTED_VALUE"""),14.0)</f>
        <v>14</v>
      </c>
      <c r="G2604" s="2">
        <f>IFERROR(__xludf.DUMMYFUNCTION("""COMPUTED_VALUE"""),18.0)</f>
        <v>18</v>
      </c>
      <c r="H2604" s="2" t="str">
        <f>IFERROR(__xludf.DUMMYFUNCTION("""COMPUTED_VALUE"""),"Jaun.")</f>
        <v>Jaun.</v>
      </c>
      <c r="I2604" s="2" t="str">
        <f>IFERROR(__xludf.DUMMYFUNCTION("""COMPUTED_VALUE"""),"Brick-Panel")</f>
        <v>Brick-Panel</v>
      </c>
      <c r="J2604" s="2" t="str">
        <f>IFERROR(__xludf.DUMMYFUNCTION("""COMPUTED_VALUE"""),"All amenities")</f>
        <v>All amenities</v>
      </c>
      <c r="K2604" s="2">
        <f>IFERROR(__xludf.DUMMYFUNCTION("""COMPUTED_VALUE"""),145000.0)</f>
        <v>145000</v>
      </c>
      <c r="L2604" s="2">
        <f>IFERROR(__xludf.DUMMYFUNCTION("""COMPUTED_VALUE"""),56.9543914)</f>
        <v>56.9543914</v>
      </c>
      <c r="M2604" s="2">
        <f>IFERROR(__xludf.DUMMYFUNCTION("""COMPUTED_VALUE"""),24.0086771)</f>
        <v>24.0086771</v>
      </c>
    </row>
    <row r="2605">
      <c r="A2605" s="2" t="str">
        <f>IFERROR(__xludf.DUMMYFUNCTION("""COMPUTED_VALUE"""),"For sale")</f>
        <v>For sale</v>
      </c>
      <c r="B2605" s="2" t="str">
        <f>IFERROR(__xludf.DUMMYFUNCTION("""COMPUTED_VALUE"""),"Pļavnieki")</f>
        <v>Pļavnieki</v>
      </c>
      <c r="C2605" s="2" t="str">
        <f>IFERROR(__xludf.DUMMYFUNCTION("""COMPUTED_VALUE"""),"Rudens 5")</f>
        <v>Rudens 5</v>
      </c>
      <c r="D2605" s="2">
        <f>IFERROR(__xludf.DUMMYFUNCTION("""COMPUTED_VALUE"""),1.0)</f>
        <v>1</v>
      </c>
      <c r="E2605" s="2">
        <f>IFERROR(__xludf.DUMMYFUNCTION("""COMPUTED_VALUE"""),35.0)</f>
        <v>35</v>
      </c>
      <c r="F2605" s="2">
        <f>IFERROR(__xludf.DUMMYFUNCTION("""COMPUTED_VALUE"""),1.0)</f>
        <v>1</v>
      </c>
      <c r="G2605" s="2">
        <f>IFERROR(__xludf.DUMMYFUNCTION("""COMPUTED_VALUE"""),9.0)</f>
        <v>9</v>
      </c>
      <c r="H2605" s="2">
        <f>IFERROR(__xludf.DUMMYFUNCTION("""COMPUTED_VALUE"""),602.0)</f>
        <v>602</v>
      </c>
      <c r="I2605" s="2" t="str">
        <f>IFERROR(__xludf.DUMMYFUNCTION("""COMPUTED_VALUE"""),"Panel")</f>
        <v>Panel</v>
      </c>
      <c r="J2605" s="2" t="str">
        <f>IFERROR(__xludf.DUMMYFUNCTION("""COMPUTED_VALUE"""),"All amenities")</f>
        <v>All amenities</v>
      </c>
      <c r="K2605" s="2">
        <f>IFERROR(__xludf.DUMMYFUNCTION("""COMPUTED_VALUE"""),27900.0)</f>
        <v>27900</v>
      </c>
      <c r="L2605" s="2">
        <f>IFERROR(__xludf.DUMMYFUNCTION("""COMPUTED_VALUE"""),56.93860365)</f>
        <v>56.93860365</v>
      </c>
      <c r="M2605" s="2">
        <f>IFERROR(__xludf.DUMMYFUNCTION("""COMPUTED_VALUE"""),24.1990404998415)</f>
        <v>24.1990405</v>
      </c>
    </row>
    <row r="2606">
      <c r="A2606" s="2" t="str">
        <f>IFERROR(__xludf.DUMMYFUNCTION("""COMPUTED_VALUE"""),"For sale")</f>
        <v>For sale</v>
      </c>
      <c r="B2606" s="2" t="str">
        <f>IFERROR(__xludf.DUMMYFUNCTION("""COMPUTED_VALUE"""),"Purvciems")</f>
        <v>Purvciems</v>
      </c>
      <c r="C2606" s="2" t="str">
        <f>IFERROR(__xludf.DUMMYFUNCTION("""COMPUTED_VALUE"""),"Kurmju 7")</f>
        <v>Kurmju 7</v>
      </c>
      <c r="D2606" s="2">
        <f>IFERROR(__xludf.DUMMYFUNCTION("""COMPUTED_VALUE"""),2.0)</f>
        <v>2</v>
      </c>
      <c r="E2606" s="2">
        <f>IFERROR(__xludf.DUMMYFUNCTION("""COMPUTED_VALUE"""),42.0)</f>
        <v>42</v>
      </c>
      <c r="F2606" s="2">
        <f>IFERROR(__xludf.DUMMYFUNCTION("""COMPUTED_VALUE"""),2.0)</f>
        <v>2</v>
      </c>
      <c r="G2606" s="2">
        <f>IFERROR(__xludf.DUMMYFUNCTION("""COMPUTED_VALUE"""),2.0)</f>
        <v>2</v>
      </c>
      <c r="H2606" s="2" t="str">
        <f>IFERROR(__xludf.DUMMYFUNCTION("""COMPUTED_VALUE"""),"Specpr.")</f>
        <v>Specpr.</v>
      </c>
      <c r="I2606" s="2" t="str">
        <f>IFERROR(__xludf.DUMMYFUNCTION("""COMPUTED_VALUE"""),"Brick")</f>
        <v>Brick</v>
      </c>
      <c r="J2606" s="2" t="str">
        <f>IFERROR(__xludf.DUMMYFUNCTION("""COMPUTED_VALUE"""),"All amenities")</f>
        <v>All amenities</v>
      </c>
      <c r="K2606" s="2">
        <f>IFERROR(__xludf.DUMMYFUNCTION("""COMPUTED_VALUE"""),47000.0)</f>
        <v>47000</v>
      </c>
      <c r="L2606" s="2">
        <f>IFERROR(__xludf.DUMMYFUNCTION("""COMPUTED_VALUE"""),56.953575)</f>
        <v>56.953575</v>
      </c>
      <c r="M2606" s="2">
        <f>IFERROR(__xludf.DUMMYFUNCTION("""COMPUTED_VALUE"""),24.1861001019558)</f>
        <v>24.1861001</v>
      </c>
    </row>
    <row r="2607">
      <c r="A2607" s="2" t="str">
        <f>IFERROR(__xludf.DUMMYFUNCTION("""COMPUTED_VALUE"""),"For sale")</f>
        <v>For sale</v>
      </c>
      <c r="B2607" s="2" t="str">
        <f>IFERROR(__xludf.DUMMYFUNCTION("""COMPUTED_VALUE"""),"centrs")</f>
        <v>centrs</v>
      </c>
      <c r="C2607" s="2" t="str">
        <f>IFERROR(__xludf.DUMMYFUNCTION("""COMPUTED_VALUE"""),"Stabu 62")</f>
        <v>Stabu 62</v>
      </c>
      <c r="D2607" s="2">
        <f>IFERROR(__xludf.DUMMYFUNCTION("""COMPUTED_VALUE"""),3.0)</f>
        <v>3</v>
      </c>
      <c r="E2607" s="2">
        <f>IFERROR(__xludf.DUMMYFUNCTION("""COMPUTED_VALUE"""),83.0)</f>
        <v>83</v>
      </c>
      <c r="F2607" s="2">
        <f>IFERROR(__xludf.DUMMYFUNCTION("""COMPUTED_VALUE"""),4.0)</f>
        <v>4</v>
      </c>
      <c r="G2607" s="2">
        <f>IFERROR(__xludf.DUMMYFUNCTION("""COMPUTED_VALUE"""),5.0)</f>
        <v>5</v>
      </c>
      <c r="H2607" s="2" t="str">
        <f>IFERROR(__xludf.DUMMYFUNCTION("""COMPUTED_VALUE"""),"P. kara")</f>
        <v>P. kara</v>
      </c>
      <c r="I2607" s="2" t="str">
        <f>IFERROR(__xludf.DUMMYFUNCTION("""COMPUTED_VALUE"""),"Masonry")</f>
        <v>Masonry</v>
      </c>
      <c r="J2607" s="2" t="str">
        <f>IFERROR(__xludf.DUMMYFUNCTION("""COMPUTED_VALUE"""),"All amenities")</f>
        <v>All amenities</v>
      </c>
      <c r="K2607" s="2">
        <f>IFERROR(__xludf.DUMMYFUNCTION("""COMPUTED_VALUE"""),112000.0)</f>
        <v>112000</v>
      </c>
      <c r="L2607" s="2">
        <f>IFERROR(__xludf.DUMMYFUNCTION("""COMPUTED_VALUE"""),56.9527501)</f>
        <v>56.9527501</v>
      </c>
      <c r="M2607" s="2">
        <f>IFERROR(__xludf.DUMMYFUNCTION("""COMPUTED_VALUE"""),24.1355324)</f>
        <v>24.1355324</v>
      </c>
    </row>
    <row r="2608">
      <c r="A2608" s="2" t="str">
        <f>IFERROR(__xludf.DUMMYFUNCTION("""COMPUTED_VALUE"""),"For sale")</f>
        <v>For sale</v>
      </c>
      <c r="B2608" s="2" t="str">
        <f>IFERROR(__xludf.DUMMYFUNCTION("""COMPUTED_VALUE"""),"Pļavnieki")</f>
        <v>Pļavnieki</v>
      </c>
      <c r="C2608" s="2" t="str">
        <f>IFERROR(__xludf.DUMMYFUNCTION("""COMPUTED_VALUE"""),"Salnas 3")</f>
        <v>Salnas 3</v>
      </c>
      <c r="D2608" s="2">
        <f>IFERROR(__xludf.DUMMYFUNCTION("""COMPUTED_VALUE"""),4.0)</f>
        <v>4</v>
      </c>
      <c r="E2608" s="2">
        <f>IFERROR(__xludf.DUMMYFUNCTION("""COMPUTED_VALUE"""),77.0)</f>
        <v>77</v>
      </c>
      <c r="F2608" s="2">
        <f>IFERROR(__xludf.DUMMYFUNCTION("""COMPUTED_VALUE"""),7.0)</f>
        <v>7</v>
      </c>
      <c r="G2608" s="2">
        <f>IFERROR(__xludf.DUMMYFUNCTION("""COMPUTED_VALUE"""),9.0)</f>
        <v>9</v>
      </c>
      <c r="H2608" s="2">
        <f>IFERROR(__xludf.DUMMYFUNCTION("""COMPUTED_VALUE"""),602.0)</f>
        <v>602</v>
      </c>
      <c r="I2608" s="2" t="str">
        <f>IFERROR(__xludf.DUMMYFUNCTION("""COMPUTED_VALUE"""),"Panel")</f>
        <v>Panel</v>
      </c>
      <c r="J2608" s="2" t="str">
        <f>IFERROR(__xludf.DUMMYFUNCTION("""COMPUTED_VALUE"""),"All amenities")</f>
        <v>All amenities</v>
      </c>
      <c r="K2608" s="2">
        <f>IFERROR(__xludf.DUMMYFUNCTION("""COMPUTED_VALUE"""),63900.0)</f>
        <v>63900</v>
      </c>
      <c r="L2608" s="2">
        <f>IFERROR(__xludf.DUMMYFUNCTION("""COMPUTED_VALUE"""),56.9436071)</f>
        <v>56.9436071</v>
      </c>
      <c r="M2608" s="2">
        <f>IFERROR(__xludf.DUMMYFUNCTION("""COMPUTED_VALUE"""),24.2189393107488)</f>
        <v>24.21893931</v>
      </c>
    </row>
    <row r="2609">
      <c r="A2609" s="2" t="str">
        <f>IFERROR(__xludf.DUMMYFUNCTION("""COMPUTED_VALUE"""),"For sale")</f>
        <v>For sale</v>
      </c>
      <c r="B2609" s="2" t="str">
        <f>IFERROR(__xludf.DUMMYFUNCTION("""COMPUTED_VALUE"""),"Purvciems")</f>
        <v>Purvciems</v>
      </c>
      <c r="C2609" s="2" t="str">
        <f>IFERROR(__xludf.DUMMYFUNCTION("""COMPUTED_VALUE"""),"Dzelzavas 23")</f>
        <v>Dzelzavas 23</v>
      </c>
      <c r="D2609" s="2">
        <f>IFERROR(__xludf.DUMMYFUNCTION("""COMPUTED_VALUE"""),3.0)</f>
        <v>3</v>
      </c>
      <c r="E2609" s="2">
        <f>IFERROR(__xludf.DUMMYFUNCTION("""COMPUTED_VALUE"""),64.0)</f>
        <v>64</v>
      </c>
      <c r="F2609" s="2">
        <f>IFERROR(__xludf.DUMMYFUNCTION("""COMPUTED_VALUE"""),7.0)</f>
        <v>7</v>
      </c>
      <c r="G2609" s="2">
        <f>IFERROR(__xludf.DUMMYFUNCTION("""COMPUTED_VALUE"""),9.0)</f>
        <v>9</v>
      </c>
      <c r="H2609" s="2">
        <f>IFERROR(__xludf.DUMMYFUNCTION("""COMPUTED_VALUE"""),602.0)</f>
        <v>602</v>
      </c>
      <c r="I2609" s="2" t="str">
        <f>IFERROR(__xludf.DUMMYFUNCTION("""COMPUTED_VALUE"""),"Panel")</f>
        <v>Panel</v>
      </c>
      <c r="J2609" s="2" t="str">
        <f>IFERROR(__xludf.DUMMYFUNCTION("""COMPUTED_VALUE"""),"All amenities")</f>
        <v>All amenities</v>
      </c>
      <c r="K2609" s="2">
        <f>IFERROR(__xludf.DUMMYFUNCTION("""COMPUTED_VALUE"""),62000.0)</f>
        <v>62000</v>
      </c>
      <c r="L2609" s="2">
        <f>IFERROR(__xludf.DUMMYFUNCTION("""COMPUTED_VALUE"""),56.9601343)</f>
        <v>56.9601343</v>
      </c>
      <c r="M2609" s="2">
        <f>IFERROR(__xludf.DUMMYFUNCTION("""COMPUTED_VALUE"""),24.1765388172837)</f>
        <v>24.17653882</v>
      </c>
    </row>
    <row r="2610">
      <c r="A2610" s="2" t="str">
        <f>IFERROR(__xludf.DUMMYFUNCTION("""COMPUTED_VALUE"""),"For sale")</f>
        <v>For sale</v>
      </c>
      <c r="B2610" s="2" t="str">
        <f>IFERROR(__xludf.DUMMYFUNCTION("""COMPUTED_VALUE"""),"Pļavnieki")</f>
        <v>Pļavnieki</v>
      </c>
      <c r="C2610" s="2" t="str">
        <f>IFERROR(__xludf.DUMMYFUNCTION("""COMPUTED_VALUE"""),"J. Vācieša 2g")</f>
        <v>J. Vācieša 2g</v>
      </c>
      <c r="D2610" s="2">
        <f>IFERROR(__xludf.DUMMYFUNCTION("""COMPUTED_VALUE"""),1.0)</f>
        <v>1</v>
      </c>
      <c r="E2610" s="2">
        <f>IFERROR(__xludf.DUMMYFUNCTION("""COMPUTED_VALUE"""),44.0)</f>
        <v>44</v>
      </c>
      <c r="F2610" s="2">
        <f>IFERROR(__xludf.DUMMYFUNCTION("""COMPUTED_VALUE"""),5.0)</f>
        <v>5</v>
      </c>
      <c r="G2610" s="2">
        <f>IFERROR(__xludf.DUMMYFUNCTION("""COMPUTED_VALUE"""),16.0)</f>
        <v>16</v>
      </c>
      <c r="H2610" s="2" t="str">
        <f>IFERROR(__xludf.DUMMYFUNCTION("""COMPUTED_VALUE"""),"Specpr.")</f>
        <v>Specpr.</v>
      </c>
      <c r="I2610" s="2" t="str">
        <f>IFERROR(__xludf.DUMMYFUNCTION("""COMPUTED_VALUE"""),"Panel")</f>
        <v>Panel</v>
      </c>
      <c r="J2610" s="2" t="str">
        <f>IFERROR(__xludf.DUMMYFUNCTION("""COMPUTED_VALUE"""),"All amenities")</f>
        <v>All amenities</v>
      </c>
      <c r="K2610" s="2">
        <f>IFERROR(__xludf.DUMMYFUNCTION("""COMPUTED_VALUE"""),45000.0)</f>
        <v>45000</v>
      </c>
      <c r="L2610" s="2" t="str">
        <f>IFERROR(__xludf.DUMMYFUNCTION("""COMPUTED_VALUE"""),"NaN")</f>
        <v>NaN</v>
      </c>
      <c r="M2610" s="2" t="str">
        <f>IFERROR(__xludf.DUMMYFUNCTION("""COMPUTED_VALUE"""),"NaN")</f>
        <v>NaN</v>
      </c>
    </row>
    <row r="2611">
      <c r="A2611" s="2" t="str">
        <f>IFERROR(__xludf.DUMMYFUNCTION("""COMPUTED_VALUE"""),"For sale")</f>
        <v>For sale</v>
      </c>
      <c r="B2611" s="2" t="str">
        <f>IFERROR(__xludf.DUMMYFUNCTION("""COMPUTED_VALUE"""),"Čiekurkalns")</f>
        <v>Čiekurkalns</v>
      </c>
      <c r="C2611" s="2" t="str">
        <f>IFERROR(__xludf.DUMMYFUNCTION("""COMPUTED_VALUE"""),"Rusova 9")</f>
        <v>Rusova 9</v>
      </c>
      <c r="D2611" s="2">
        <f>IFERROR(__xludf.DUMMYFUNCTION("""COMPUTED_VALUE"""),3.0)</f>
        <v>3</v>
      </c>
      <c r="E2611" s="2">
        <f>IFERROR(__xludf.DUMMYFUNCTION("""COMPUTED_VALUE"""),77.0)</f>
        <v>77</v>
      </c>
      <c r="F2611" s="2">
        <f>IFERROR(__xludf.DUMMYFUNCTION("""COMPUTED_VALUE"""),1.0)</f>
        <v>1</v>
      </c>
      <c r="G2611" s="2">
        <f>IFERROR(__xludf.DUMMYFUNCTION("""COMPUTED_VALUE"""),7.0)</f>
        <v>7</v>
      </c>
      <c r="H2611" s="2" t="str">
        <f>IFERROR(__xludf.DUMMYFUNCTION("""COMPUTED_VALUE"""),"Jaun.")</f>
        <v>Jaun.</v>
      </c>
      <c r="I2611" s="2" t="str">
        <f>IFERROR(__xludf.DUMMYFUNCTION("""COMPUTED_VALUE"""),"Brick")</f>
        <v>Brick</v>
      </c>
      <c r="J2611" s="2" t="str">
        <f>IFERROR(__xludf.DUMMYFUNCTION("""COMPUTED_VALUE"""),"All amenities")</f>
        <v>All amenities</v>
      </c>
      <c r="K2611" s="2">
        <f>IFERROR(__xludf.DUMMYFUNCTION("""COMPUTED_VALUE"""),121000.0)</f>
        <v>121000</v>
      </c>
      <c r="L2611" s="2">
        <f>IFERROR(__xludf.DUMMYFUNCTION("""COMPUTED_VALUE"""),56.98909155)</f>
        <v>56.98909155</v>
      </c>
      <c r="M2611" s="2">
        <f>IFERROR(__xludf.DUMMYFUNCTION("""COMPUTED_VALUE"""),24.1703344302515)</f>
        <v>24.17033443</v>
      </c>
    </row>
    <row r="2612">
      <c r="A2612" s="2" t="str">
        <f>IFERROR(__xludf.DUMMYFUNCTION("""COMPUTED_VALUE"""),"For sale")</f>
        <v>For sale</v>
      </c>
      <c r="B2612" s="2" t="str">
        <f>IFERROR(__xludf.DUMMYFUNCTION("""COMPUTED_VALUE"""),"Ziepniekkalns")</f>
        <v>Ziepniekkalns</v>
      </c>
      <c r="C2612" s="2" t="str">
        <f>IFERROR(__xludf.DUMMYFUNCTION("""COMPUTED_VALUE"""),"Zaļenieku 22")</f>
        <v>Zaļenieku 22</v>
      </c>
      <c r="D2612" s="2">
        <f>IFERROR(__xludf.DUMMYFUNCTION("""COMPUTED_VALUE"""),3.0)</f>
        <v>3</v>
      </c>
      <c r="E2612" s="2">
        <f>IFERROR(__xludf.DUMMYFUNCTION("""COMPUTED_VALUE"""),55.0)</f>
        <v>55</v>
      </c>
      <c r="F2612" s="2">
        <f>IFERROR(__xludf.DUMMYFUNCTION("""COMPUTED_VALUE"""),2.0)</f>
        <v>2</v>
      </c>
      <c r="G2612" s="2">
        <f>IFERROR(__xludf.DUMMYFUNCTION("""COMPUTED_VALUE"""),5.0)</f>
        <v>5</v>
      </c>
      <c r="H2612" s="2" t="str">
        <f>IFERROR(__xludf.DUMMYFUNCTION("""COMPUTED_VALUE"""),"Hrušč.")</f>
        <v>Hrušč.</v>
      </c>
      <c r="I2612" s="2" t="str">
        <f>IFERROR(__xludf.DUMMYFUNCTION("""COMPUTED_VALUE"""),"Brick")</f>
        <v>Brick</v>
      </c>
      <c r="J2612" s="2" t="str">
        <f>IFERROR(__xludf.DUMMYFUNCTION("""COMPUTED_VALUE"""),"All amenities")</f>
        <v>All amenities</v>
      </c>
      <c r="K2612" s="2">
        <f>IFERROR(__xludf.DUMMYFUNCTION("""COMPUTED_VALUE"""),65000.0)</f>
        <v>65000</v>
      </c>
      <c r="L2612" s="2">
        <f>IFERROR(__xludf.DUMMYFUNCTION("""COMPUTED_VALUE"""),56.90813455)</f>
        <v>56.90813455</v>
      </c>
      <c r="M2612" s="2">
        <f>IFERROR(__xludf.DUMMYFUNCTION("""COMPUTED_VALUE"""),24.0977731)</f>
        <v>24.0977731</v>
      </c>
    </row>
    <row r="2613">
      <c r="A2613" s="2" t="str">
        <f>IFERROR(__xludf.DUMMYFUNCTION("""COMPUTED_VALUE"""),"For rent")</f>
        <v>For rent</v>
      </c>
      <c r="B2613" s="2" t="str">
        <f>IFERROR(__xludf.DUMMYFUNCTION("""COMPUTED_VALUE"""),"Klīversala")</f>
        <v>Klīversala</v>
      </c>
      <c r="C2613" s="2" t="str">
        <f>IFERROR(__xludf.DUMMYFUNCTION("""COMPUTED_VALUE"""),"Valguma 17")</f>
        <v>Valguma 17</v>
      </c>
      <c r="D2613" s="2">
        <f>IFERROR(__xludf.DUMMYFUNCTION("""COMPUTED_VALUE"""),2.0)</f>
        <v>2</v>
      </c>
      <c r="E2613" s="2">
        <f>IFERROR(__xludf.DUMMYFUNCTION("""COMPUTED_VALUE"""),49.0)</f>
        <v>49</v>
      </c>
      <c r="F2613" s="2">
        <f>IFERROR(__xludf.DUMMYFUNCTION("""COMPUTED_VALUE"""),1.0)</f>
        <v>1</v>
      </c>
      <c r="G2613" s="2">
        <f>IFERROR(__xludf.DUMMYFUNCTION("""COMPUTED_VALUE"""),5.0)</f>
        <v>5</v>
      </c>
      <c r="H2613" s="2" t="str">
        <f>IFERROR(__xludf.DUMMYFUNCTION("""COMPUTED_VALUE"""),"P. kara")</f>
        <v>P. kara</v>
      </c>
      <c r="I2613" s="2" t="str">
        <f>IFERROR(__xludf.DUMMYFUNCTION("""COMPUTED_VALUE"""),"Masonry")</f>
        <v>Masonry</v>
      </c>
      <c r="J2613" s="2" t="str">
        <f>IFERROR(__xludf.DUMMYFUNCTION("""COMPUTED_VALUE"""),"All amenities")</f>
        <v>All amenities</v>
      </c>
      <c r="K2613" s="2">
        <f>IFERROR(__xludf.DUMMYFUNCTION("""COMPUTED_VALUE"""),250.0)</f>
        <v>250</v>
      </c>
      <c r="L2613" s="2">
        <f>IFERROR(__xludf.DUMMYFUNCTION("""COMPUTED_VALUE"""),56.9422907)</f>
        <v>56.9422907</v>
      </c>
      <c r="M2613" s="2">
        <f>IFERROR(__xludf.DUMMYFUNCTION("""COMPUTED_VALUE"""),24.0941256210549)</f>
        <v>24.09412562</v>
      </c>
    </row>
    <row r="2614">
      <c r="A2614" s="2" t="str">
        <f>IFERROR(__xludf.DUMMYFUNCTION("""COMPUTED_VALUE"""),"For sale")</f>
        <v>For sale</v>
      </c>
      <c r="B2614" s="2" t="str">
        <f>IFERROR(__xludf.DUMMYFUNCTION("""COMPUTED_VALUE"""),"Iļģuciems")</f>
        <v>Iļģuciems</v>
      </c>
      <c r="C2614" s="2" t="str">
        <f>IFERROR(__xludf.DUMMYFUNCTION("""COMPUTED_VALUE"""),"Grīvas 25")</f>
        <v>Grīvas 25</v>
      </c>
      <c r="D2614" s="2">
        <f>IFERROR(__xludf.DUMMYFUNCTION("""COMPUTED_VALUE"""),1.0)</f>
        <v>1</v>
      </c>
      <c r="E2614" s="2">
        <f>IFERROR(__xludf.DUMMYFUNCTION("""COMPUTED_VALUE"""),39.0)</f>
        <v>39</v>
      </c>
      <c r="F2614" s="2">
        <f>IFERROR(__xludf.DUMMYFUNCTION("""COMPUTED_VALUE"""),1.0)</f>
        <v>1</v>
      </c>
      <c r="G2614" s="2">
        <f>IFERROR(__xludf.DUMMYFUNCTION("""COMPUTED_VALUE"""),5.0)</f>
        <v>5</v>
      </c>
      <c r="H2614" s="2" t="str">
        <f>IFERROR(__xludf.DUMMYFUNCTION("""COMPUTED_VALUE"""),"Hrušč.")</f>
        <v>Hrušč.</v>
      </c>
      <c r="I2614" s="2" t="str">
        <f>IFERROR(__xludf.DUMMYFUNCTION("""COMPUTED_VALUE"""),"Brick")</f>
        <v>Brick</v>
      </c>
      <c r="J2614" s="2" t="str">
        <f>IFERROR(__xludf.DUMMYFUNCTION("""COMPUTED_VALUE"""),"All amenities")</f>
        <v>All amenities</v>
      </c>
      <c r="K2614" s="2">
        <f>IFERROR(__xludf.DUMMYFUNCTION("""COMPUTED_VALUE"""),38500.0)</f>
        <v>38500</v>
      </c>
      <c r="L2614" s="2">
        <f>IFERROR(__xludf.DUMMYFUNCTION("""COMPUTED_VALUE"""),56.9640088)</f>
        <v>56.9640088</v>
      </c>
      <c r="M2614" s="2">
        <f>IFERROR(__xludf.DUMMYFUNCTION("""COMPUTED_VALUE"""),24.0471928461308)</f>
        <v>24.04719285</v>
      </c>
    </row>
    <row r="2615">
      <c r="A2615" s="2" t="str">
        <f>IFERROR(__xludf.DUMMYFUNCTION("""COMPUTED_VALUE"""),"For sale")</f>
        <v>For sale</v>
      </c>
      <c r="B2615" s="2" t="str">
        <f>IFERROR(__xludf.DUMMYFUNCTION("""COMPUTED_VALUE"""),"Purvciems")</f>
        <v>Purvciems</v>
      </c>
      <c r="C2615" s="2" t="str">
        <f>IFERROR(__xludf.DUMMYFUNCTION("""COMPUTED_VALUE"""),"Deglava 61")</f>
        <v>Deglava 61</v>
      </c>
      <c r="D2615" s="2">
        <f>IFERROR(__xludf.DUMMYFUNCTION("""COMPUTED_VALUE"""),4.0)</f>
        <v>4</v>
      </c>
      <c r="E2615" s="2">
        <f>IFERROR(__xludf.DUMMYFUNCTION("""COMPUTED_VALUE"""),92.0)</f>
        <v>92</v>
      </c>
      <c r="F2615" s="2">
        <f>IFERROR(__xludf.DUMMYFUNCTION("""COMPUTED_VALUE"""),7.0)</f>
        <v>7</v>
      </c>
      <c r="G2615" s="2">
        <f>IFERROR(__xludf.DUMMYFUNCTION("""COMPUTED_VALUE"""),10.0)</f>
        <v>10</v>
      </c>
      <c r="H2615" s="2">
        <f>IFERROR(__xludf.DUMMYFUNCTION("""COMPUTED_VALUE"""),119.0)</f>
        <v>119</v>
      </c>
      <c r="I2615" s="2" t="str">
        <f>IFERROR(__xludf.DUMMYFUNCTION("""COMPUTED_VALUE"""),"Panel")</f>
        <v>Panel</v>
      </c>
      <c r="J2615" s="2" t="str">
        <f>IFERROR(__xludf.DUMMYFUNCTION("""COMPUTED_VALUE"""),"All amenities")</f>
        <v>All amenities</v>
      </c>
      <c r="K2615" s="2">
        <f>IFERROR(__xludf.DUMMYFUNCTION("""COMPUTED_VALUE"""),129000.0)</f>
        <v>129000</v>
      </c>
      <c r="L2615" s="2">
        <f>IFERROR(__xludf.DUMMYFUNCTION("""COMPUTED_VALUE"""),56.9509836)</f>
        <v>56.9509836</v>
      </c>
      <c r="M2615" s="2">
        <f>IFERROR(__xludf.DUMMYFUNCTION("""COMPUTED_VALUE"""),24.1816357245661)</f>
        <v>24.18163572</v>
      </c>
    </row>
    <row r="2616">
      <c r="A2616" s="2" t="str">
        <f>IFERROR(__xludf.DUMMYFUNCTION("""COMPUTED_VALUE"""),"For sale")</f>
        <v>For sale</v>
      </c>
      <c r="B2616" s="2" t="str">
        <f>IFERROR(__xludf.DUMMYFUNCTION("""COMPUTED_VALUE"""),"Imanta")</f>
        <v>Imanta</v>
      </c>
      <c r="C2616" s="2" t="str">
        <f>IFERROR(__xludf.DUMMYFUNCTION("""COMPUTED_VALUE"""),"Anniņmuižas bulvāris 38k4")</f>
        <v>Anniņmuižas bulvāris 38k4</v>
      </c>
      <c r="D2616" s="2">
        <f>IFERROR(__xludf.DUMMYFUNCTION("""COMPUTED_VALUE"""),3.0)</f>
        <v>3</v>
      </c>
      <c r="E2616" s="2">
        <f>IFERROR(__xludf.DUMMYFUNCTION("""COMPUTED_VALUE"""),82.0)</f>
        <v>82</v>
      </c>
      <c r="F2616" s="2">
        <f>IFERROR(__xludf.DUMMYFUNCTION("""COMPUTED_VALUE"""),9.0)</f>
        <v>9</v>
      </c>
      <c r="G2616" s="2">
        <f>IFERROR(__xludf.DUMMYFUNCTION("""COMPUTED_VALUE"""),18.0)</f>
        <v>18</v>
      </c>
      <c r="H2616" s="2" t="str">
        <f>IFERROR(__xludf.DUMMYFUNCTION("""COMPUTED_VALUE"""),"Jaun.")</f>
        <v>Jaun.</v>
      </c>
      <c r="I2616" s="2" t="str">
        <f>IFERROR(__xludf.DUMMYFUNCTION("""COMPUTED_VALUE"""),"Panel")</f>
        <v>Panel</v>
      </c>
      <c r="J2616" s="2" t="str">
        <f>IFERROR(__xludf.DUMMYFUNCTION("""COMPUTED_VALUE"""),"All amenities")</f>
        <v>All amenities</v>
      </c>
      <c r="K2616" s="2">
        <f>IFERROR(__xludf.DUMMYFUNCTION("""COMPUTED_VALUE"""),120000.0)</f>
        <v>120000</v>
      </c>
      <c r="L2616" s="2">
        <f>IFERROR(__xludf.DUMMYFUNCTION("""COMPUTED_VALUE"""),56.9543914)</f>
        <v>56.9543914</v>
      </c>
      <c r="M2616" s="2">
        <f>IFERROR(__xludf.DUMMYFUNCTION("""COMPUTED_VALUE"""),24.0086771)</f>
        <v>24.0086771</v>
      </c>
    </row>
    <row r="2617">
      <c r="A2617" s="2" t="str">
        <f>IFERROR(__xludf.DUMMYFUNCTION("""COMPUTED_VALUE"""),"For sale")</f>
        <v>For sale</v>
      </c>
      <c r="B2617" s="2" t="str">
        <f>IFERROR(__xludf.DUMMYFUNCTION("""COMPUTED_VALUE"""),"Āgenskalns")</f>
        <v>Āgenskalns</v>
      </c>
      <c r="C2617" s="2" t="str">
        <f>IFERROR(__xludf.DUMMYFUNCTION("""COMPUTED_VALUE"""),"Mārupes 10")</f>
        <v>Mārupes 10</v>
      </c>
      <c r="D2617" s="2">
        <f>IFERROR(__xludf.DUMMYFUNCTION("""COMPUTED_VALUE"""),2.0)</f>
        <v>2</v>
      </c>
      <c r="E2617" s="2">
        <f>IFERROR(__xludf.DUMMYFUNCTION("""COMPUTED_VALUE"""),50.0)</f>
        <v>50</v>
      </c>
      <c r="F2617" s="2">
        <f>IFERROR(__xludf.DUMMYFUNCTION("""COMPUTED_VALUE"""),2.0)</f>
        <v>2</v>
      </c>
      <c r="G2617" s="2">
        <f>IFERROR(__xludf.DUMMYFUNCTION("""COMPUTED_VALUE"""),4.0)</f>
        <v>4</v>
      </c>
      <c r="H2617" s="2" t="str">
        <f>IFERROR(__xludf.DUMMYFUNCTION("""COMPUTED_VALUE"""),"Staļina")</f>
        <v>Staļina</v>
      </c>
      <c r="I2617" s="2" t="str">
        <f>IFERROR(__xludf.DUMMYFUNCTION("""COMPUTED_VALUE"""),"Brick")</f>
        <v>Brick</v>
      </c>
      <c r="J2617" s="2" t="str">
        <f>IFERROR(__xludf.DUMMYFUNCTION("""COMPUTED_VALUE"""),"All amenities")</f>
        <v>All amenities</v>
      </c>
      <c r="K2617" s="2">
        <f>IFERROR(__xludf.DUMMYFUNCTION("""COMPUTED_VALUE"""),62000.0)</f>
        <v>62000</v>
      </c>
      <c r="L2617" s="2">
        <f>IFERROR(__xludf.DUMMYFUNCTION("""COMPUTED_VALUE"""),56.9326289)</f>
        <v>56.9326289</v>
      </c>
      <c r="M2617" s="2">
        <f>IFERROR(__xludf.DUMMYFUNCTION("""COMPUTED_VALUE"""),24.0720247)</f>
        <v>24.0720247</v>
      </c>
    </row>
    <row r="2618">
      <c r="A2618" s="2" t="str">
        <f>IFERROR(__xludf.DUMMYFUNCTION("""COMPUTED_VALUE"""),"For rent")</f>
        <v>For rent</v>
      </c>
      <c r="B2618" s="2" t="str">
        <f>IFERROR(__xludf.DUMMYFUNCTION("""COMPUTED_VALUE"""),"centrs")</f>
        <v>centrs</v>
      </c>
      <c r="C2618" s="2" t="str">
        <f>IFERROR(__xludf.DUMMYFUNCTION("""COMPUTED_VALUE"""),"Ģertrūdes 50")</f>
        <v>Ģertrūdes 50</v>
      </c>
      <c r="D2618" s="2">
        <f>IFERROR(__xludf.DUMMYFUNCTION("""COMPUTED_VALUE"""),3.0)</f>
        <v>3</v>
      </c>
      <c r="E2618" s="2">
        <f>IFERROR(__xludf.DUMMYFUNCTION("""COMPUTED_VALUE"""),94.0)</f>
        <v>94</v>
      </c>
      <c r="F2618" s="2">
        <f>IFERROR(__xludf.DUMMYFUNCTION("""COMPUTED_VALUE"""),5.0)</f>
        <v>5</v>
      </c>
      <c r="G2618" s="2">
        <f>IFERROR(__xludf.DUMMYFUNCTION("""COMPUTED_VALUE"""),6.0)</f>
        <v>6</v>
      </c>
      <c r="H2618" s="2" t="str">
        <f>IFERROR(__xludf.DUMMYFUNCTION("""COMPUTED_VALUE"""),"P. kara")</f>
        <v>P. kara</v>
      </c>
      <c r="I2618" s="2" t="str">
        <f>IFERROR(__xludf.DUMMYFUNCTION("""COMPUTED_VALUE"""),"Masonry")</f>
        <v>Masonry</v>
      </c>
      <c r="J2618" s="2" t="str">
        <f>IFERROR(__xludf.DUMMYFUNCTION("""COMPUTED_VALUE"""),"All amenities")</f>
        <v>All amenities</v>
      </c>
      <c r="K2618" s="2">
        <f>IFERROR(__xludf.DUMMYFUNCTION("""COMPUTED_VALUE"""),600.0)</f>
        <v>600</v>
      </c>
      <c r="L2618" s="2">
        <f>IFERROR(__xludf.DUMMYFUNCTION("""COMPUTED_VALUE"""),56.9524681)</f>
        <v>56.9524681</v>
      </c>
      <c r="M2618" s="2">
        <f>IFERROR(__xludf.DUMMYFUNCTION("""COMPUTED_VALUE"""),24.1310843043399)</f>
        <v>24.1310843</v>
      </c>
    </row>
    <row r="2619">
      <c r="A2619" s="2" t="str">
        <f>IFERROR(__xludf.DUMMYFUNCTION("""COMPUTED_VALUE"""),"For sale")</f>
        <v>For sale</v>
      </c>
      <c r="B2619" s="2" t="str">
        <f>IFERROR(__xludf.DUMMYFUNCTION("""COMPUTED_VALUE"""),"Mangaļi")</f>
        <v>Mangaļi</v>
      </c>
      <c r="C2619" s="2" t="str">
        <f>IFERROR(__xludf.DUMMYFUNCTION("""COMPUTED_VALUE"""),"Ezera 21")</f>
        <v>Ezera 21</v>
      </c>
      <c r="D2619" s="2">
        <f>IFERROR(__xludf.DUMMYFUNCTION("""COMPUTED_VALUE"""),2.0)</f>
        <v>2</v>
      </c>
      <c r="E2619" s="2">
        <f>IFERROR(__xludf.DUMMYFUNCTION("""COMPUTED_VALUE"""),55.0)</f>
        <v>55</v>
      </c>
      <c r="F2619" s="2">
        <f>IFERROR(__xludf.DUMMYFUNCTION("""COMPUTED_VALUE"""),4.0)</f>
        <v>4</v>
      </c>
      <c r="G2619" s="2">
        <f>IFERROR(__xludf.DUMMYFUNCTION("""COMPUTED_VALUE"""),4.0)</f>
        <v>4</v>
      </c>
      <c r="H2619" s="2" t="str">
        <f>IFERROR(__xludf.DUMMYFUNCTION("""COMPUTED_VALUE"""),"Staļina")</f>
        <v>Staļina</v>
      </c>
      <c r="I2619" s="2" t="str">
        <f>IFERROR(__xludf.DUMMYFUNCTION("""COMPUTED_VALUE"""),"Brick")</f>
        <v>Brick</v>
      </c>
      <c r="J2619" s="2" t="str">
        <f>IFERROR(__xludf.DUMMYFUNCTION("""COMPUTED_VALUE"""),"All amenities")</f>
        <v>All amenities</v>
      </c>
      <c r="K2619" s="2">
        <f>IFERROR(__xludf.DUMMYFUNCTION("""COMPUTED_VALUE"""),47800.0)</f>
        <v>47800</v>
      </c>
      <c r="L2619" s="2">
        <f>IFERROR(__xludf.DUMMYFUNCTION("""COMPUTED_VALUE"""),57.02158285)</f>
        <v>57.02158285</v>
      </c>
      <c r="M2619" s="2">
        <f>IFERROR(__xludf.DUMMYFUNCTION("""COMPUTED_VALUE"""),24.1306671234784)</f>
        <v>24.13066712</v>
      </c>
    </row>
    <row r="2620">
      <c r="A2620" s="2" t="str">
        <f>IFERROR(__xludf.DUMMYFUNCTION("""COMPUTED_VALUE"""),"For rent")</f>
        <v>For rent</v>
      </c>
      <c r="B2620" s="2" t="str">
        <f>IFERROR(__xludf.DUMMYFUNCTION("""COMPUTED_VALUE"""),"Mežaparks")</f>
        <v>Mežaparks</v>
      </c>
      <c r="C2620" s="2" t="str">
        <f>IFERROR(__xludf.DUMMYFUNCTION("""COMPUTED_VALUE"""),"Ezermalas 2k-1")</f>
        <v>Ezermalas 2k-1</v>
      </c>
      <c r="D2620" s="2">
        <f>IFERROR(__xludf.DUMMYFUNCTION("""COMPUTED_VALUE"""),1.0)</f>
        <v>1</v>
      </c>
      <c r="E2620" s="2">
        <f>IFERROR(__xludf.DUMMYFUNCTION("""COMPUTED_VALUE"""),33.0)</f>
        <v>33</v>
      </c>
      <c r="F2620" s="2">
        <f>IFERROR(__xludf.DUMMYFUNCTION("""COMPUTED_VALUE"""),5.0)</f>
        <v>5</v>
      </c>
      <c r="G2620" s="2">
        <f>IFERROR(__xludf.DUMMYFUNCTION("""COMPUTED_VALUE"""),12.0)</f>
        <v>12</v>
      </c>
      <c r="H2620" s="2" t="str">
        <f>IFERROR(__xludf.DUMMYFUNCTION("""COMPUTED_VALUE"""),"Specpr.")</f>
        <v>Specpr.</v>
      </c>
      <c r="I2620" s="2" t="str">
        <f>IFERROR(__xludf.DUMMYFUNCTION("""COMPUTED_VALUE"""),"Brick")</f>
        <v>Brick</v>
      </c>
      <c r="J2620" s="2" t="str">
        <f>IFERROR(__xludf.DUMMYFUNCTION("""COMPUTED_VALUE"""),"All amenities")</f>
        <v>All amenities</v>
      </c>
      <c r="K2620" s="2">
        <f>IFERROR(__xludf.DUMMYFUNCTION("""COMPUTED_VALUE"""),300.0)</f>
        <v>300</v>
      </c>
      <c r="L2620" s="2">
        <f>IFERROR(__xludf.DUMMYFUNCTION("""COMPUTED_VALUE"""),56.9940605)</f>
        <v>56.9940605</v>
      </c>
      <c r="M2620" s="2">
        <f>IFERROR(__xludf.DUMMYFUNCTION("""COMPUTED_VALUE"""),24.1756989)</f>
        <v>24.1756989</v>
      </c>
    </row>
    <row r="2621">
      <c r="A2621" s="2" t="str">
        <f>IFERROR(__xludf.DUMMYFUNCTION("""COMPUTED_VALUE"""),"For rent")</f>
        <v>For rent</v>
      </c>
      <c r="B2621" s="2" t="str">
        <f>IFERROR(__xludf.DUMMYFUNCTION("""COMPUTED_VALUE"""),"Šampēteris-Pleskodāle")</f>
        <v>Šampēteris-Pleskodāle</v>
      </c>
      <c r="C2621" s="2" t="str">
        <f>IFERROR(__xludf.DUMMYFUNCTION("""COMPUTED_VALUE"""),"Lielirbes 13")</f>
        <v>Lielirbes 13</v>
      </c>
      <c r="D2621" s="2">
        <f>IFERROR(__xludf.DUMMYFUNCTION("""COMPUTED_VALUE"""),3.0)</f>
        <v>3</v>
      </c>
      <c r="E2621" s="2">
        <f>IFERROR(__xludf.DUMMYFUNCTION("""COMPUTED_VALUE"""),92.0)</f>
        <v>92</v>
      </c>
      <c r="F2621" s="2">
        <f>IFERROR(__xludf.DUMMYFUNCTION("""COMPUTED_VALUE"""),9.0)</f>
        <v>9</v>
      </c>
      <c r="G2621" s="2">
        <f>IFERROR(__xludf.DUMMYFUNCTION("""COMPUTED_VALUE"""),30.0)</f>
        <v>30</v>
      </c>
      <c r="H2621" s="2" t="str">
        <f>IFERROR(__xludf.DUMMYFUNCTION("""COMPUTED_VALUE"""),"Jaun.")</f>
        <v>Jaun.</v>
      </c>
      <c r="I2621" s="2" t="str">
        <f>IFERROR(__xludf.DUMMYFUNCTION("""COMPUTED_VALUE"""),"Brick-Panel")</f>
        <v>Brick-Panel</v>
      </c>
      <c r="J2621" s="2" t="str">
        <f>IFERROR(__xludf.DUMMYFUNCTION("""COMPUTED_VALUE"""),"All amenities")</f>
        <v>All amenities</v>
      </c>
      <c r="K2621" s="2">
        <f>IFERROR(__xludf.DUMMYFUNCTION("""COMPUTED_VALUE"""),550.0)</f>
        <v>550</v>
      </c>
      <c r="L2621" s="2">
        <f>IFERROR(__xludf.DUMMYFUNCTION("""COMPUTED_VALUE"""),56.9334996)</f>
        <v>56.9334996</v>
      </c>
      <c r="M2621" s="2">
        <f>IFERROR(__xludf.DUMMYFUNCTION("""COMPUTED_VALUE"""),24.0424848)</f>
        <v>24.0424848</v>
      </c>
    </row>
    <row r="2622">
      <c r="A2622" s="2" t="str">
        <f>IFERROR(__xludf.DUMMYFUNCTION("""COMPUTED_VALUE"""),"For sale")</f>
        <v>For sale</v>
      </c>
      <c r="B2622" s="2" t="str">
        <f>IFERROR(__xludf.DUMMYFUNCTION("""COMPUTED_VALUE"""),"Āgenskalns")</f>
        <v>Āgenskalns</v>
      </c>
      <c r="C2622" s="2" t="str">
        <f>IFERROR(__xludf.DUMMYFUNCTION("""COMPUTED_VALUE"""),"M. Nometņu 76")</f>
        <v>M. Nometņu 76</v>
      </c>
      <c r="D2622" s="2">
        <f>IFERROR(__xludf.DUMMYFUNCTION("""COMPUTED_VALUE"""),2.0)</f>
        <v>2</v>
      </c>
      <c r="E2622" s="2">
        <f>IFERROR(__xludf.DUMMYFUNCTION("""COMPUTED_VALUE"""),49.0)</f>
        <v>49</v>
      </c>
      <c r="F2622" s="2">
        <f>IFERROR(__xludf.DUMMYFUNCTION("""COMPUTED_VALUE"""),2.0)</f>
        <v>2</v>
      </c>
      <c r="G2622" s="2">
        <f>IFERROR(__xludf.DUMMYFUNCTION("""COMPUTED_VALUE"""),2.0)</f>
        <v>2</v>
      </c>
      <c r="H2622" s="2" t="str">
        <f>IFERROR(__xludf.DUMMYFUNCTION("""COMPUTED_VALUE"""),"Renov.")</f>
        <v>Renov.</v>
      </c>
      <c r="I2622" s="2" t="str">
        <f>IFERROR(__xludf.DUMMYFUNCTION("""COMPUTED_VALUE"""),"Wood")</f>
        <v>Wood</v>
      </c>
      <c r="J2622" s="2" t="str">
        <f>IFERROR(__xludf.DUMMYFUNCTION("""COMPUTED_VALUE"""),"All amenities")</f>
        <v>All amenities</v>
      </c>
      <c r="K2622" s="2">
        <f>IFERROR(__xludf.DUMMYFUNCTION("""COMPUTED_VALUE"""),34300.0)</f>
        <v>34300</v>
      </c>
      <c r="L2622" s="2">
        <f>IFERROR(__xludf.DUMMYFUNCTION("""COMPUTED_VALUE"""),56.9372249)</f>
        <v>56.9372249</v>
      </c>
      <c r="M2622" s="2">
        <f>IFERROR(__xludf.DUMMYFUNCTION("""COMPUTED_VALUE"""),24.059222740492)</f>
        <v>24.05922274</v>
      </c>
    </row>
    <row r="2623">
      <c r="A2623" s="2" t="str">
        <f>IFERROR(__xludf.DUMMYFUNCTION("""COMPUTED_VALUE"""),"For sale")</f>
        <v>For sale</v>
      </c>
      <c r="B2623" s="2" t="str">
        <f>IFERROR(__xludf.DUMMYFUNCTION("""COMPUTED_VALUE"""),"centrs")</f>
        <v>centrs</v>
      </c>
      <c r="C2623" s="2" t="str">
        <f>IFERROR(__xludf.DUMMYFUNCTION("""COMPUTED_VALUE"""),"Merķeļa 7")</f>
        <v>Merķeļa 7</v>
      </c>
      <c r="D2623" s="2">
        <f>IFERROR(__xludf.DUMMYFUNCTION("""COMPUTED_VALUE"""),1.0)</f>
        <v>1</v>
      </c>
      <c r="E2623" s="2">
        <f>IFERROR(__xludf.DUMMYFUNCTION("""COMPUTED_VALUE"""),19.21)</f>
        <v>19.21</v>
      </c>
      <c r="F2623" s="2">
        <f>IFERROR(__xludf.DUMMYFUNCTION("""COMPUTED_VALUE"""),2.0)</f>
        <v>2</v>
      </c>
      <c r="G2623" s="2">
        <f>IFERROR(__xludf.DUMMYFUNCTION("""COMPUTED_VALUE"""),5.0)</f>
        <v>5</v>
      </c>
      <c r="H2623" s="2" t="str">
        <f>IFERROR(__xludf.DUMMYFUNCTION("""COMPUTED_VALUE"""),"P. kara")</f>
        <v>P. kara</v>
      </c>
      <c r="I2623" s="2" t="str">
        <f>IFERROR(__xludf.DUMMYFUNCTION("""COMPUTED_VALUE"""),"Masonry")</f>
        <v>Masonry</v>
      </c>
      <c r="J2623" s="2" t="str">
        <f>IFERROR(__xludf.DUMMYFUNCTION("""COMPUTED_VALUE"""),"All amenities")</f>
        <v>All amenities</v>
      </c>
      <c r="K2623" s="2">
        <f>IFERROR(__xludf.DUMMYFUNCTION("""COMPUTED_VALUE"""),42990.0)</f>
        <v>42990</v>
      </c>
      <c r="L2623" s="2">
        <f>IFERROR(__xludf.DUMMYFUNCTION("""COMPUTED_VALUE"""),56.9489016)</f>
        <v>56.9489016</v>
      </c>
      <c r="M2623" s="2">
        <f>IFERROR(__xludf.DUMMYFUNCTION("""COMPUTED_VALUE"""),24.1191083)</f>
        <v>24.1191083</v>
      </c>
    </row>
    <row r="2624">
      <c r="A2624" s="2" t="str">
        <f>IFERROR(__xludf.DUMMYFUNCTION("""COMPUTED_VALUE"""),"For sale")</f>
        <v>For sale</v>
      </c>
      <c r="B2624" s="2" t="str">
        <f>IFERROR(__xludf.DUMMYFUNCTION("""COMPUTED_VALUE"""),"centrs")</f>
        <v>centrs</v>
      </c>
      <c r="C2624" s="2" t="str">
        <f>IFERROR(__xludf.DUMMYFUNCTION("""COMPUTED_VALUE"""),"Merķeļa 7")</f>
        <v>Merķeļa 7</v>
      </c>
      <c r="D2624" s="2">
        <f>IFERROR(__xludf.DUMMYFUNCTION("""COMPUTED_VALUE"""),1.0)</f>
        <v>1</v>
      </c>
      <c r="E2624" s="2">
        <f>IFERROR(__xludf.DUMMYFUNCTION("""COMPUTED_VALUE"""),31.88)</f>
        <v>31.88</v>
      </c>
      <c r="F2624" s="2">
        <f>IFERROR(__xludf.DUMMYFUNCTION("""COMPUTED_VALUE"""),2.0)</f>
        <v>2</v>
      </c>
      <c r="G2624" s="2">
        <f>IFERROR(__xludf.DUMMYFUNCTION("""COMPUTED_VALUE"""),5.0)</f>
        <v>5</v>
      </c>
      <c r="H2624" s="2" t="str">
        <f>IFERROR(__xludf.DUMMYFUNCTION("""COMPUTED_VALUE"""),"P. kara")</f>
        <v>P. kara</v>
      </c>
      <c r="I2624" s="2" t="str">
        <f>IFERROR(__xludf.DUMMYFUNCTION("""COMPUTED_VALUE"""),"Masonry")</f>
        <v>Masonry</v>
      </c>
      <c r="J2624" s="2" t="str">
        <f>IFERROR(__xludf.DUMMYFUNCTION("""COMPUTED_VALUE"""),"All amenities")</f>
        <v>All amenities</v>
      </c>
      <c r="K2624" s="2">
        <f>IFERROR(__xludf.DUMMYFUNCTION("""COMPUTED_VALUE"""),63990.0)</f>
        <v>63990</v>
      </c>
      <c r="L2624" s="2">
        <f>IFERROR(__xludf.DUMMYFUNCTION("""COMPUTED_VALUE"""),56.9489016)</f>
        <v>56.9489016</v>
      </c>
      <c r="M2624" s="2">
        <f>IFERROR(__xludf.DUMMYFUNCTION("""COMPUTED_VALUE"""),24.1191083)</f>
        <v>24.1191083</v>
      </c>
    </row>
    <row r="2625">
      <c r="A2625" s="2" t="str">
        <f>IFERROR(__xludf.DUMMYFUNCTION("""COMPUTED_VALUE"""),"For sale")</f>
        <v>For sale</v>
      </c>
      <c r="B2625" s="2" t="str">
        <f>IFERROR(__xludf.DUMMYFUNCTION("""COMPUTED_VALUE"""),"centrs")</f>
        <v>centrs</v>
      </c>
      <c r="C2625" s="2" t="str">
        <f>IFERROR(__xludf.DUMMYFUNCTION("""COMPUTED_VALUE"""),"Merķeļa 7")</f>
        <v>Merķeļa 7</v>
      </c>
      <c r="D2625" s="2">
        <f>IFERROR(__xludf.DUMMYFUNCTION("""COMPUTED_VALUE"""),1.0)</f>
        <v>1</v>
      </c>
      <c r="E2625" s="2">
        <f>IFERROR(__xludf.DUMMYFUNCTION("""COMPUTED_VALUE"""),31.52)</f>
        <v>31.52</v>
      </c>
      <c r="F2625" s="2">
        <f>IFERROR(__xludf.DUMMYFUNCTION("""COMPUTED_VALUE"""),3.0)</f>
        <v>3</v>
      </c>
      <c r="G2625" s="2">
        <f>IFERROR(__xludf.DUMMYFUNCTION("""COMPUTED_VALUE"""),5.0)</f>
        <v>5</v>
      </c>
      <c r="H2625" s="2" t="str">
        <f>IFERROR(__xludf.DUMMYFUNCTION("""COMPUTED_VALUE"""),"P. kara")</f>
        <v>P. kara</v>
      </c>
      <c r="I2625" s="2" t="str">
        <f>IFERROR(__xludf.DUMMYFUNCTION("""COMPUTED_VALUE"""),"Masonry")</f>
        <v>Masonry</v>
      </c>
      <c r="J2625" s="2" t="str">
        <f>IFERROR(__xludf.DUMMYFUNCTION("""COMPUTED_VALUE"""),"All amenities")</f>
        <v>All amenities</v>
      </c>
      <c r="K2625" s="2">
        <f>IFERROR(__xludf.DUMMYFUNCTION("""COMPUTED_VALUE"""),63990.0)</f>
        <v>63990</v>
      </c>
      <c r="L2625" s="2">
        <f>IFERROR(__xludf.DUMMYFUNCTION("""COMPUTED_VALUE"""),56.9489016)</f>
        <v>56.9489016</v>
      </c>
      <c r="M2625" s="2">
        <f>IFERROR(__xludf.DUMMYFUNCTION("""COMPUTED_VALUE"""),24.1191083)</f>
        <v>24.1191083</v>
      </c>
    </row>
    <row r="2626">
      <c r="A2626" s="2" t="str">
        <f>IFERROR(__xludf.DUMMYFUNCTION("""COMPUTED_VALUE"""),"For sale")</f>
        <v>For sale</v>
      </c>
      <c r="B2626" s="2" t="str">
        <f>IFERROR(__xludf.DUMMYFUNCTION("""COMPUTED_VALUE"""),"centrs")</f>
        <v>centrs</v>
      </c>
      <c r="C2626" s="2" t="str">
        <f>IFERROR(__xludf.DUMMYFUNCTION("""COMPUTED_VALUE"""),"Merķeļa 7")</f>
        <v>Merķeļa 7</v>
      </c>
      <c r="D2626" s="2">
        <f>IFERROR(__xludf.DUMMYFUNCTION("""COMPUTED_VALUE"""),1.0)</f>
        <v>1</v>
      </c>
      <c r="E2626" s="2">
        <f>IFERROR(__xludf.DUMMYFUNCTION("""COMPUTED_VALUE"""),23.82)</f>
        <v>23.82</v>
      </c>
      <c r="F2626" s="2">
        <f>IFERROR(__xludf.DUMMYFUNCTION("""COMPUTED_VALUE"""),3.0)</f>
        <v>3</v>
      </c>
      <c r="G2626" s="2">
        <f>IFERROR(__xludf.DUMMYFUNCTION("""COMPUTED_VALUE"""),5.0)</f>
        <v>5</v>
      </c>
      <c r="H2626" s="2" t="str">
        <f>IFERROR(__xludf.DUMMYFUNCTION("""COMPUTED_VALUE"""),"P. kara")</f>
        <v>P. kara</v>
      </c>
      <c r="I2626" s="2" t="str">
        <f>IFERROR(__xludf.DUMMYFUNCTION("""COMPUTED_VALUE"""),"Masonry")</f>
        <v>Masonry</v>
      </c>
      <c r="J2626" s="2" t="str">
        <f>IFERROR(__xludf.DUMMYFUNCTION("""COMPUTED_VALUE"""),"All amenities")</f>
        <v>All amenities</v>
      </c>
      <c r="K2626" s="2">
        <f>IFERROR(__xludf.DUMMYFUNCTION("""COMPUTED_VALUE"""),46990.0)</f>
        <v>46990</v>
      </c>
      <c r="L2626" s="2">
        <f>IFERROR(__xludf.DUMMYFUNCTION("""COMPUTED_VALUE"""),56.9489016)</f>
        <v>56.9489016</v>
      </c>
      <c r="M2626" s="2">
        <f>IFERROR(__xludf.DUMMYFUNCTION("""COMPUTED_VALUE"""),24.1191083)</f>
        <v>24.1191083</v>
      </c>
    </row>
    <row r="2627">
      <c r="A2627" s="2" t="str">
        <f>IFERROR(__xludf.DUMMYFUNCTION("""COMPUTED_VALUE"""),"For sale")</f>
        <v>For sale</v>
      </c>
      <c r="B2627" s="2" t="str">
        <f>IFERROR(__xludf.DUMMYFUNCTION("""COMPUTED_VALUE"""),"Vecrīga")</f>
        <v>Vecrīga</v>
      </c>
      <c r="C2627" s="2" t="str">
        <f>IFERROR(__xludf.DUMMYFUNCTION("""COMPUTED_VALUE"""),"Šķūņu 6")</f>
        <v>Šķūņu 6</v>
      </c>
      <c r="D2627" s="2">
        <f>IFERROR(__xludf.DUMMYFUNCTION("""COMPUTED_VALUE"""),1.0)</f>
        <v>1</v>
      </c>
      <c r="E2627" s="2">
        <f>IFERROR(__xludf.DUMMYFUNCTION("""COMPUTED_VALUE"""),20.0)</f>
        <v>20</v>
      </c>
      <c r="F2627" s="2">
        <f>IFERROR(__xludf.DUMMYFUNCTION("""COMPUTED_VALUE"""),2.0)</f>
        <v>2</v>
      </c>
      <c r="G2627" s="2">
        <f>IFERROR(__xludf.DUMMYFUNCTION("""COMPUTED_VALUE"""),4.0)</f>
        <v>4</v>
      </c>
      <c r="H2627" s="2" t="str">
        <f>IFERROR(__xludf.DUMMYFUNCTION("""COMPUTED_VALUE"""),"P. kara")</f>
        <v>P. kara</v>
      </c>
      <c r="I2627" s="2" t="str">
        <f>IFERROR(__xludf.DUMMYFUNCTION("""COMPUTED_VALUE"""),"Masonry")</f>
        <v>Masonry</v>
      </c>
      <c r="J2627" s="2" t="str">
        <f>IFERROR(__xludf.DUMMYFUNCTION("""COMPUTED_VALUE"""),"All amenities")</f>
        <v>All amenities</v>
      </c>
      <c r="K2627" s="2">
        <f>IFERROR(__xludf.DUMMYFUNCTION("""COMPUTED_VALUE"""),66990.0)</f>
        <v>66990</v>
      </c>
      <c r="L2627" s="2">
        <f>IFERROR(__xludf.DUMMYFUNCTION("""COMPUTED_VALUE"""),56.9487783)</f>
        <v>56.9487783</v>
      </c>
      <c r="M2627" s="2">
        <f>IFERROR(__xludf.DUMMYFUNCTION("""COMPUTED_VALUE"""),24.1075908)</f>
        <v>24.1075908</v>
      </c>
    </row>
    <row r="2628">
      <c r="A2628" s="2" t="str">
        <f>IFERROR(__xludf.DUMMYFUNCTION("""COMPUTED_VALUE"""),"For sale")</f>
        <v>For sale</v>
      </c>
      <c r="B2628" s="2" t="str">
        <f>IFERROR(__xludf.DUMMYFUNCTION("""COMPUTED_VALUE"""),"Vecrīga")</f>
        <v>Vecrīga</v>
      </c>
      <c r="C2628" s="2" t="str">
        <f>IFERROR(__xludf.DUMMYFUNCTION("""COMPUTED_VALUE"""),"Šķūņu 6")</f>
        <v>Šķūņu 6</v>
      </c>
      <c r="D2628" s="2">
        <f>IFERROR(__xludf.DUMMYFUNCTION("""COMPUTED_VALUE"""),1.0)</f>
        <v>1</v>
      </c>
      <c r="E2628" s="2">
        <f>IFERROR(__xludf.DUMMYFUNCTION("""COMPUTED_VALUE"""),25.0)</f>
        <v>25</v>
      </c>
      <c r="F2628" s="2">
        <f>IFERROR(__xludf.DUMMYFUNCTION("""COMPUTED_VALUE"""),2.0)</f>
        <v>2</v>
      </c>
      <c r="G2628" s="2">
        <f>IFERROR(__xludf.DUMMYFUNCTION("""COMPUTED_VALUE"""),4.0)</f>
        <v>4</v>
      </c>
      <c r="H2628" s="2" t="str">
        <f>IFERROR(__xludf.DUMMYFUNCTION("""COMPUTED_VALUE"""),"P. kara")</f>
        <v>P. kara</v>
      </c>
      <c r="I2628" s="2" t="str">
        <f>IFERROR(__xludf.DUMMYFUNCTION("""COMPUTED_VALUE"""),"Masonry")</f>
        <v>Masonry</v>
      </c>
      <c r="J2628" s="2" t="str">
        <f>IFERROR(__xludf.DUMMYFUNCTION("""COMPUTED_VALUE"""),"All amenities")</f>
        <v>All amenities</v>
      </c>
      <c r="K2628" s="2">
        <f>IFERROR(__xludf.DUMMYFUNCTION("""COMPUTED_VALUE"""),74990.0)</f>
        <v>74990</v>
      </c>
      <c r="L2628" s="2">
        <f>IFERROR(__xludf.DUMMYFUNCTION("""COMPUTED_VALUE"""),56.9487783)</f>
        <v>56.9487783</v>
      </c>
      <c r="M2628" s="2">
        <f>IFERROR(__xludf.DUMMYFUNCTION("""COMPUTED_VALUE"""),24.1075908)</f>
        <v>24.1075908</v>
      </c>
    </row>
    <row r="2629">
      <c r="A2629" s="2" t="str">
        <f>IFERROR(__xludf.DUMMYFUNCTION("""COMPUTED_VALUE"""),"For sale")</f>
        <v>For sale</v>
      </c>
      <c r="B2629" s="2" t="str">
        <f>IFERROR(__xludf.DUMMYFUNCTION("""COMPUTED_VALUE"""),"Vecrīga")</f>
        <v>Vecrīga</v>
      </c>
      <c r="C2629" s="2" t="str">
        <f>IFERROR(__xludf.DUMMYFUNCTION("""COMPUTED_VALUE"""),"Šķūņu 6")</f>
        <v>Šķūņu 6</v>
      </c>
      <c r="D2629" s="2">
        <f>IFERROR(__xludf.DUMMYFUNCTION("""COMPUTED_VALUE"""),2.0)</f>
        <v>2</v>
      </c>
      <c r="E2629" s="2">
        <f>IFERROR(__xludf.DUMMYFUNCTION("""COMPUTED_VALUE"""),47.0)</f>
        <v>47</v>
      </c>
      <c r="F2629" s="2">
        <f>IFERROR(__xludf.DUMMYFUNCTION("""COMPUTED_VALUE"""),2.0)</f>
        <v>2</v>
      </c>
      <c r="G2629" s="2">
        <f>IFERROR(__xludf.DUMMYFUNCTION("""COMPUTED_VALUE"""),4.0)</f>
        <v>4</v>
      </c>
      <c r="H2629" s="2" t="str">
        <f>IFERROR(__xludf.DUMMYFUNCTION("""COMPUTED_VALUE"""),"P. kara")</f>
        <v>P. kara</v>
      </c>
      <c r="I2629" s="2" t="str">
        <f>IFERROR(__xludf.DUMMYFUNCTION("""COMPUTED_VALUE"""),"Masonry")</f>
        <v>Masonry</v>
      </c>
      <c r="J2629" s="2" t="str">
        <f>IFERROR(__xludf.DUMMYFUNCTION("""COMPUTED_VALUE"""),"All amenities")</f>
        <v>All amenities</v>
      </c>
      <c r="K2629" s="2">
        <f>IFERROR(__xludf.DUMMYFUNCTION("""COMPUTED_VALUE"""),119990.0)</f>
        <v>119990</v>
      </c>
      <c r="L2629" s="2">
        <f>IFERROR(__xludf.DUMMYFUNCTION("""COMPUTED_VALUE"""),56.9487783)</f>
        <v>56.9487783</v>
      </c>
      <c r="M2629" s="2">
        <f>IFERROR(__xludf.DUMMYFUNCTION("""COMPUTED_VALUE"""),24.1075908)</f>
        <v>24.1075908</v>
      </c>
    </row>
    <row r="2630">
      <c r="A2630" s="2" t="str">
        <f>IFERROR(__xludf.DUMMYFUNCTION("""COMPUTED_VALUE"""),"For sale")</f>
        <v>For sale</v>
      </c>
      <c r="B2630" s="2" t="str">
        <f>IFERROR(__xludf.DUMMYFUNCTION("""COMPUTED_VALUE"""),"Vecrīga")</f>
        <v>Vecrīga</v>
      </c>
      <c r="C2630" s="2" t="str">
        <f>IFERROR(__xludf.DUMMYFUNCTION("""COMPUTED_VALUE"""),"Šķūņu 6")</f>
        <v>Šķūņu 6</v>
      </c>
      <c r="D2630" s="2">
        <f>IFERROR(__xludf.DUMMYFUNCTION("""COMPUTED_VALUE"""),1.0)</f>
        <v>1</v>
      </c>
      <c r="E2630" s="2">
        <f>IFERROR(__xludf.DUMMYFUNCTION("""COMPUTED_VALUE"""),34.0)</f>
        <v>34</v>
      </c>
      <c r="F2630" s="2">
        <f>IFERROR(__xludf.DUMMYFUNCTION("""COMPUTED_VALUE"""),4.0)</f>
        <v>4</v>
      </c>
      <c r="G2630" s="2">
        <f>IFERROR(__xludf.DUMMYFUNCTION("""COMPUTED_VALUE"""),4.0)</f>
        <v>4</v>
      </c>
      <c r="H2630" s="2" t="str">
        <f>IFERROR(__xludf.DUMMYFUNCTION("""COMPUTED_VALUE"""),"P. kara")</f>
        <v>P. kara</v>
      </c>
      <c r="I2630" s="2" t="str">
        <f>IFERROR(__xludf.DUMMYFUNCTION("""COMPUTED_VALUE"""),"Masonry")</f>
        <v>Masonry</v>
      </c>
      <c r="J2630" s="2" t="str">
        <f>IFERROR(__xludf.DUMMYFUNCTION("""COMPUTED_VALUE"""),"All amenities")</f>
        <v>All amenities</v>
      </c>
      <c r="K2630" s="2">
        <f>IFERROR(__xludf.DUMMYFUNCTION("""COMPUTED_VALUE"""),76990.0)</f>
        <v>76990</v>
      </c>
      <c r="L2630" s="2">
        <f>IFERROR(__xludf.DUMMYFUNCTION("""COMPUTED_VALUE"""),56.9487783)</f>
        <v>56.9487783</v>
      </c>
      <c r="M2630" s="2">
        <f>IFERROR(__xludf.DUMMYFUNCTION("""COMPUTED_VALUE"""),24.1075908)</f>
        <v>24.1075908</v>
      </c>
    </row>
    <row r="2631">
      <c r="A2631" s="2" t="str">
        <f>IFERROR(__xludf.DUMMYFUNCTION("""COMPUTED_VALUE"""),"For rent")</f>
        <v>For rent</v>
      </c>
      <c r="B2631" s="2" t="str">
        <f>IFERROR(__xludf.DUMMYFUNCTION("""COMPUTED_VALUE"""),"Šampēteris-Pleskodāle")</f>
        <v>Šampēteris-Pleskodāle</v>
      </c>
      <c r="C2631" s="2" t="str">
        <f>IFERROR(__xludf.DUMMYFUNCTION("""COMPUTED_VALUE"""),"Lielirbes 13")</f>
        <v>Lielirbes 13</v>
      </c>
      <c r="D2631" s="2">
        <f>IFERROR(__xludf.DUMMYFUNCTION("""COMPUTED_VALUE"""),2.0)</f>
        <v>2</v>
      </c>
      <c r="E2631" s="2">
        <f>IFERROR(__xludf.DUMMYFUNCTION("""COMPUTED_VALUE"""),68.0)</f>
        <v>68</v>
      </c>
      <c r="F2631" s="2">
        <f>IFERROR(__xludf.DUMMYFUNCTION("""COMPUTED_VALUE"""),8.0)</f>
        <v>8</v>
      </c>
      <c r="G2631" s="2">
        <f>IFERROR(__xludf.DUMMYFUNCTION("""COMPUTED_VALUE"""),30.0)</f>
        <v>30</v>
      </c>
      <c r="H2631" s="2" t="str">
        <f>IFERROR(__xludf.DUMMYFUNCTION("""COMPUTED_VALUE"""),"Jaun.")</f>
        <v>Jaun.</v>
      </c>
      <c r="I2631" s="2" t="str">
        <f>IFERROR(__xludf.DUMMYFUNCTION("""COMPUTED_VALUE"""),"Brick-Panel")</f>
        <v>Brick-Panel</v>
      </c>
      <c r="J2631" s="2" t="str">
        <f>IFERROR(__xludf.DUMMYFUNCTION("""COMPUTED_VALUE"""),"All amenities")</f>
        <v>All amenities</v>
      </c>
      <c r="K2631" s="2">
        <f>IFERROR(__xludf.DUMMYFUNCTION("""COMPUTED_VALUE"""),450.0)</f>
        <v>450</v>
      </c>
      <c r="L2631" s="2">
        <f>IFERROR(__xludf.DUMMYFUNCTION("""COMPUTED_VALUE"""),56.9334996)</f>
        <v>56.9334996</v>
      </c>
      <c r="M2631" s="2">
        <f>IFERROR(__xludf.DUMMYFUNCTION("""COMPUTED_VALUE"""),24.0424848)</f>
        <v>24.0424848</v>
      </c>
    </row>
    <row r="2632">
      <c r="A2632" s="2" t="str">
        <f>IFERROR(__xludf.DUMMYFUNCTION("""COMPUTED_VALUE"""),"For sale")</f>
        <v>For sale</v>
      </c>
      <c r="B2632" s="2" t="str">
        <f>IFERROR(__xludf.DUMMYFUNCTION("""COMPUTED_VALUE"""),"Daugavgrīva")</f>
        <v>Daugavgrīva</v>
      </c>
      <c r="C2632" s="2" t="str">
        <f>IFERROR(__xludf.DUMMYFUNCTION("""COMPUTED_VALUE"""),"Lēpju 5")</f>
        <v>Lēpju 5</v>
      </c>
      <c r="D2632" s="2">
        <f>IFERROR(__xludf.DUMMYFUNCTION("""COMPUTED_VALUE"""),3.0)</f>
        <v>3</v>
      </c>
      <c r="E2632" s="2">
        <f>IFERROR(__xludf.DUMMYFUNCTION("""COMPUTED_VALUE"""),60.0)</f>
        <v>60</v>
      </c>
      <c r="F2632" s="2">
        <f>IFERROR(__xludf.DUMMYFUNCTION("""COMPUTED_VALUE"""),5.0)</f>
        <v>5</v>
      </c>
      <c r="G2632" s="2">
        <f>IFERROR(__xludf.DUMMYFUNCTION("""COMPUTED_VALUE"""),5.0)</f>
        <v>5</v>
      </c>
      <c r="H2632" s="2" t="str">
        <f>IFERROR(__xludf.DUMMYFUNCTION("""COMPUTED_VALUE"""),"Specpr.")</f>
        <v>Specpr.</v>
      </c>
      <c r="I2632" s="2" t="str">
        <f>IFERROR(__xludf.DUMMYFUNCTION("""COMPUTED_VALUE"""),"Brick")</f>
        <v>Brick</v>
      </c>
      <c r="J2632" s="2" t="str">
        <f>IFERROR(__xludf.DUMMYFUNCTION("""COMPUTED_VALUE"""),"All amenities")</f>
        <v>All amenities</v>
      </c>
      <c r="K2632" s="2">
        <f>IFERROR(__xludf.DUMMYFUNCTION("""COMPUTED_VALUE"""),41000.0)</f>
        <v>41000</v>
      </c>
      <c r="L2632" s="2">
        <f>IFERROR(__xludf.DUMMYFUNCTION("""COMPUTED_VALUE"""),57.04141455)</f>
        <v>57.04141455</v>
      </c>
      <c r="M2632" s="2">
        <f>IFERROR(__xludf.DUMMYFUNCTION("""COMPUTED_VALUE"""),24.02751815)</f>
        <v>24.02751815</v>
      </c>
    </row>
    <row r="2633">
      <c r="A2633" s="2" t="str">
        <f>IFERROR(__xludf.DUMMYFUNCTION("""COMPUTED_VALUE"""),"For sale")</f>
        <v>For sale</v>
      </c>
      <c r="B2633" s="2" t="str">
        <f>IFERROR(__xludf.DUMMYFUNCTION("""COMPUTED_VALUE"""),"centrs")</f>
        <v>centrs</v>
      </c>
      <c r="C2633" s="2" t="str">
        <f>IFERROR(__xludf.DUMMYFUNCTION("""COMPUTED_VALUE"""),"Čaka 36")</f>
        <v>Čaka 36</v>
      </c>
      <c r="D2633" s="2">
        <f>IFERROR(__xludf.DUMMYFUNCTION("""COMPUTED_VALUE"""),4.0)</f>
        <v>4</v>
      </c>
      <c r="E2633" s="2">
        <f>IFERROR(__xludf.DUMMYFUNCTION("""COMPUTED_VALUE"""),84.0)</f>
        <v>84</v>
      </c>
      <c r="F2633" s="2">
        <f>IFERROR(__xludf.DUMMYFUNCTION("""COMPUTED_VALUE"""),2.0)</f>
        <v>2</v>
      </c>
      <c r="G2633" s="2">
        <f>IFERROR(__xludf.DUMMYFUNCTION("""COMPUTED_VALUE"""),5.0)</f>
        <v>5</v>
      </c>
      <c r="H2633" s="2" t="str">
        <f>IFERROR(__xludf.DUMMYFUNCTION("""COMPUTED_VALUE"""),"P. kara")</f>
        <v>P. kara</v>
      </c>
      <c r="I2633" s="2" t="str">
        <f>IFERROR(__xludf.DUMMYFUNCTION("""COMPUTED_VALUE"""),"Masonry")</f>
        <v>Masonry</v>
      </c>
      <c r="J2633" s="2" t="str">
        <f>IFERROR(__xludf.DUMMYFUNCTION("""COMPUTED_VALUE"""),"All amenities")</f>
        <v>All amenities</v>
      </c>
      <c r="K2633" s="2">
        <f>IFERROR(__xludf.DUMMYFUNCTION("""COMPUTED_VALUE"""),149810.0)</f>
        <v>149810</v>
      </c>
      <c r="L2633" s="2">
        <f>IFERROR(__xludf.DUMMYFUNCTION("""COMPUTED_VALUE"""),56.952698)</f>
        <v>56.952698</v>
      </c>
      <c r="M2633" s="2">
        <f>IFERROR(__xludf.DUMMYFUNCTION("""COMPUTED_VALUE"""),24.1299733)</f>
        <v>24.1299733</v>
      </c>
    </row>
    <row r="2634">
      <c r="A2634" s="2" t="str">
        <f>IFERROR(__xludf.DUMMYFUNCTION("""COMPUTED_VALUE"""),"For sale")</f>
        <v>For sale</v>
      </c>
      <c r="B2634" s="2" t="str">
        <f>IFERROR(__xludf.DUMMYFUNCTION("""COMPUTED_VALUE"""),"Sarkandaugava")</f>
        <v>Sarkandaugava</v>
      </c>
      <c r="C2634" s="2" t="str">
        <f>IFERROR(__xludf.DUMMYFUNCTION("""COMPUTED_VALUE"""),"Aptiekas 6")</f>
        <v>Aptiekas 6</v>
      </c>
      <c r="D2634" s="2">
        <f>IFERROR(__xludf.DUMMYFUNCTION("""COMPUTED_VALUE"""),2.0)</f>
        <v>2</v>
      </c>
      <c r="E2634" s="2">
        <f>IFERROR(__xludf.DUMMYFUNCTION("""COMPUTED_VALUE"""),45.4)</f>
        <v>45.4</v>
      </c>
      <c r="F2634" s="2">
        <f>IFERROR(__xludf.DUMMYFUNCTION("""COMPUTED_VALUE"""),2.0)</f>
        <v>2</v>
      </c>
      <c r="G2634" s="2">
        <f>IFERROR(__xludf.DUMMYFUNCTION("""COMPUTED_VALUE"""),5.0)</f>
        <v>5</v>
      </c>
      <c r="H2634" s="2" t="str">
        <f>IFERROR(__xludf.DUMMYFUNCTION("""COMPUTED_VALUE"""),"Staļina")</f>
        <v>Staļina</v>
      </c>
      <c r="I2634" s="2" t="str">
        <f>IFERROR(__xludf.DUMMYFUNCTION("""COMPUTED_VALUE"""),"Brick")</f>
        <v>Brick</v>
      </c>
      <c r="J2634" s="2" t="str">
        <f>IFERROR(__xludf.DUMMYFUNCTION("""COMPUTED_VALUE"""),"All amenities")</f>
        <v>All amenities</v>
      </c>
      <c r="K2634" s="2">
        <f>IFERROR(__xludf.DUMMYFUNCTION("""COMPUTED_VALUE"""),59000.0)</f>
        <v>59000</v>
      </c>
      <c r="L2634" s="2">
        <f>IFERROR(__xludf.DUMMYFUNCTION("""COMPUTED_VALUE"""),56.9959975999999)</f>
        <v>56.9959976</v>
      </c>
      <c r="M2634" s="2">
        <f>IFERROR(__xludf.DUMMYFUNCTION("""COMPUTED_VALUE"""),24.1236683231425)</f>
        <v>24.12366832</v>
      </c>
    </row>
    <row r="2635">
      <c r="A2635" s="2" t="str">
        <f>IFERROR(__xludf.DUMMYFUNCTION("""COMPUTED_VALUE"""),"For sale")</f>
        <v>For sale</v>
      </c>
      <c r="B2635" s="2" t="str">
        <f>IFERROR(__xludf.DUMMYFUNCTION("""COMPUTED_VALUE"""),"Ķengarags")</f>
        <v>Ķengarags</v>
      </c>
      <c r="C2635" s="2" t="str">
        <f>IFERROR(__xludf.DUMMYFUNCTION("""COMPUTED_VALUE"""),"Aviācijas 1")</f>
        <v>Aviācijas 1</v>
      </c>
      <c r="D2635" s="2">
        <f>IFERROR(__xludf.DUMMYFUNCTION("""COMPUTED_VALUE"""),2.0)</f>
        <v>2</v>
      </c>
      <c r="E2635" s="2">
        <f>IFERROR(__xludf.DUMMYFUNCTION("""COMPUTED_VALUE"""),51.0)</f>
        <v>51</v>
      </c>
      <c r="F2635" s="2">
        <f>IFERROR(__xludf.DUMMYFUNCTION("""COMPUTED_VALUE"""),1.0)</f>
        <v>1</v>
      </c>
      <c r="G2635" s="2">
        <f>IFERROR(__xludf.DUMMYFUNCTION("""COMPUTED_VALUE"""),5.0)</f>
        <v>5</v>
      </c>
      <c r="H2635" s="2" t="str">
        <f>IFERROR(__xludf.DUMMYFUNCTION("""COMPUTED_VALUE"""),"LT proj.")</f>
        <v>LT proj.</v>
      </c>
      <c r="I2635" s="2" t="str">
        <f>IFERROR(__xludf.DUMMYFUNCTION("""COMPUTED_VALUE"""),"Panel")</f>
        <v>Panel</v>
      </c>
      <c r="J2635" s="2" t="str">
        <f>IFERROR(__xludf.DUMMYFUNCTION("""COMPUTED_VALUE"""),"All amenities")</f>
        <v>All amenities</v>
      </c>
      <c r="K2635" s="2">
        <f>IFERROR(__xludf.DUMMYFUNCTION("""COMPUTED_VALUE"""),43000.0)</f>
        <v>43000</v>
      </c>
      <c r="L2635" s="2">
        <f>IFERROR(__xludf.DUMMYFUNCTION("""COMPUTED_VALUE"""),56.9063124)</f>
        <v>56.9063124</v>
      </c>
      <c r="M2635" s="2">
        <f>IFERROR(__xludf.DUMMYFUNCTION("""COMPUTED_VALUE"""),24.19464765)</f>
        <v>24.19464765</v>
      </c>
    </row>
    <row r="2636">
      <c r="A2636" s="2" t="str">
        <f>IFERROR(__xludf.DUMMYFUNCTION("""COMPUTED_VALUE"""),"For sale")</f>
        <v>For sale</v>
      </c>
      <c r="B2636" s="2" t="str">
        <f>IFERROR(__xludf.DUMMYFUNCTION("""COMPUTED_VALUE"""),"centrs")</f>
        <v>centrs</v>
      </c>
      <c r="C2636" s="2" t="str">
        <f>IFERROR(__xludf.DUMMYFUNCTION("""COMPUTED_VALUE"""),"Lāčplēša 11")</f>
        <v>Lāčplēša 11</v>
      </c>
      <c r="D2636" s="2">
        <f>IFERROR(__xludf.DUMMYFUNCTION("""COMPUTED_VALUE"""),4.0)</f>
        <v>4</v>
      </c>
      <c r="E2636" s="2">
        <f>IFERROR(__xludf.DUMMYFUNCTION("""COMPUTED_VALUE"""),142.0)</f>
        <v>142</v>
      </c>
      <c r="F2636" s="2">
        <f>IFERROR(__xludf.DUMMYFUNCTION("""COMPUTED_VALUE"""),5.0)</f>
        <v>5</v>
      </c>
      <c r="G2636" s="2">
        <f>IFERROR(__xludf.DUMMYFUNCTION("""COMPUTED_VALUE"""),7.0)</f>
        <v>7</v>
      </c>
      <c r="H2636" s="2" t="str">
        <f>IFERROR(__xludf.DUMMYFUNCTION("""COMPUTED_VALUE"""),"Jaun.")</f>
        <v>Jaun.</v>
      </c>
      <c r="I2636" s="2" t="str">
        <f>IFERROR(__xludf.DUMMYFUNCTION("""COMPUTED_VALUE"""),"Masonry")</f>
        <v>Masonry</v>
      </c>
      <c r="J2636" s="2" t="str">
        <f>IFERROR(__xludf.DUMMYFUNCTION("""COMPUTED_VALUE"""),"All amenities")</f>
        <v>All amenities</v>
      </c>
      <c r="K2636" s="2">
        <f>IFERROR(__xludf.DUMMYFUNCTION("""COMPUTED_VALUE"""),618995.0)</f>
        <v>618995</v>
      </c>
      <c r="L2636" s="2">
        <f>IFERROR(__xludf.DUMMYFUNCTION("""COMPUTED_VALUE"""),56.950124)</f>
        <v>56.950124</v>
      </c>
      <c r="M2636" s="2">
        <f>IFERROR(__xludf.DUMMYFUNCTION("""COMPUTED_VALUE"""),24.1325244)</f>
        <v>24.1325244</v>
      </c>
    </row>
    <row r="2637">
      <c r="A2637" s="2" t="str">
        <f>IFERROR(__xludf.DUMMYFUNCTION("""COMPUTED_VALUE"""),"For rent")</f>
        <v>For rent</v>
      </c>
      <c r="B2637" s="2" t="str">
        <f>IFERROR(__xludf.DUMMYFUNCTION("""COMPUTED_VALUE"""),"Teika")</f>
        <v>Teika</v>
      </c>
      <c r="C2637" s="2" t="str">
        <f>IFERROR(__xludf.DUMMYFUNCTION("""COMPUTED_VALUE"""),"Ropažu 60")</f>
        <v>Ropažu 60</v>
      </c>
      <c r="D2637" s="2">
        <f>IFERROR(__xludf.DUMMYFUNCTION("""COMPUTED_VALUE"""),3.0)</f>
        <v>3</v>
      </c>
      <c r="E2637" s="2">
        <f>IFERROR(__xludf.DUMMYFUNCTION("""COMPUTED_VALUE"""),62.0)</f>
        <v>62</v>
      </c>
      <c r="F2637" s="2">
        <f>IFERROR(__xludf.DUMMYFUNCTION("""COMPUTED_VALUE"""),2.0)</f>
        <v>2</v>
      </c>
      <c r="G2637" s="2">
        <f>IFERROR(__xludf.DUMMYFUNCTION("""COMPUTED_VALUE"""),3.0)</f>
        <v>3</v>
      </c>
      <c r="H2637" s="2" t="str">
        <f>IFERROR(__xludf.DUMMYFUNCTION("""COMPUTED_VALUE"""),"Staļina")</f>
        <v>Staļina</v>
      </c>
      <c r="I2637" s="2" t="str">
        <f>IFERROR(__xludf.DUMMYFUNCTION("""COMPUTED_VALUE"""),"Brick")</f>
        <v>Brick</v>
      </c>
      <c r="J2637" s="2" t="str">
        <f>IFERROR(__xludf.DUMMYFUNCTION("""COMPUTED_VALUE"""),"All amenities")</f>
        <v>All amenities</v>
      </c>
      <c r="K2637" s="2">
        <f>IFERROR(__xludf.DUMMYFUNCTION("""COMPUTED_VALUE"""),400.0)</f>
        <v>400</v>
      </c>
      <c r="L2637" s="2">
        <f>IFERROR(__xludf.DUMMYFUNCTION("""COMPUTED_VALUE"""),56.9805296)</f>
        <v>56.9805296</v>
      </c>
      <c r="M2637" s="2">
        <f>IFERROR(__xludf.DUMMYFUNCTION("""COMPUTED_VALUE"""),24.1803331425683)</f>
        <v>24.18033314</v>
      </c>
    </row>
    <row r="2638">
      <c r="A2638" s="2" t="str">
        <f>IFERROR(__xludf.DUMMYFUNCTION("""COMPUTED_VALUE"""),"For sale")</f>
        <v>For sale</v>
      </c>
      <c r="B2638" s="2" t="str">
        <f>IFERROR(__xludf.DUMMYFUNCTION("""COMPUTED_VALUE"""),"Pļavnieki")</f>
        <v>Pļavnieki</v>
      </c>
      <c r="C2638" s="2" t="str">
        <f>IFERROR(__xludf.DUMMYFUNCTION("""COMPUTED_VALUE"""),"Saharova 1")</f>
        <v>Saharova 1</v>
      </c>
      <c r="D2638" s="2">
        <f>IFERROR(__xludf.DUMMYFUNCTION("""COMPUTED_VALUE"""),3.0)</f>
        <v>3</v>
      </c>
      <c r="E2638" s="2">
        <f>IFERROR(__xludf.DUMMYFUNCTION("""COMPUTED_VALUE"""),60.0)</f>
        <v>60</v>
      </c>
      <c r="F2638" s="2">
        <f>IFERROR(__xludf.DUMMYFUNCTION("""COMPUTED_VALUE"""),4.0)</f>
        <v>4</v>
      </c>
      <c r="G2638" s="2">
        <f>IFERROR(__xludf.DUMMYFUNCTION("""COMPUTED_VALUE"""),9.0)</f>
        <v>9</v>
      </c>
      <c r="H2638" s="2">
        <f>IFERROR(__xludf.DUMMYFUNCTION("""COMPUTED_VALUE"""),602.0)</f>
        <v>602</v>
      </c>
      <c r="I2638" s="2" t="str">
        <f>IFERROR(__xludf.DUMMYFUNCTION("""COMPUTED_VALUE"""),"Panel")</f>
        <v>Panel</v>
      </c>
      <c r="J2638" s="2" t="str">
        <f>IFERROR(__xludf.DUMMYFUNCTION("""COMPUTED_VALUE"""),"All amenities")</f>
        <v>All amenities</v>
      </c>
      <c r="K2638" s="2">
        <f>IFERROR(__xludf.DUMMYFUNCTION("""COMPUTED_VALUE"""),55000.0)</f>
        <v>55000</v>
      </c>
      <c r="L2638" s="2">
        <f>IFERROR(__xludf.DUMMYFUNCTION("""COMPUTED_VALUE"""),56.9331169)</f>
        <v>56.9331169</v>
      </c>
      <c r="M2638" s="2">
        <f>IFERROR(__xludf.DUMMYFUNCTION("""COMPUTED_VALUE"""),24.2004933431801)</f>
        <v>24.20049334</v>
      </c>
    </row>
    <row r="2639">
      <c r="A2639" s="2" t="str">
        <f>IFERROR(__xludf.DUMMYFUNCTION("""COMPUTED_VALUE"""),"For sale")</f>
        <v>For sale</v>
      </c>
      <c r="B2639" s="2" t="str">
        <f>IFERROR(__xludf.DUMMYFUNCTION("""COMPUTED_VALUE"""),"Teika")</f>
        <v>Teika</v>
      </c>
      <c r="C2639" s="2" t="str">
        <f>IFERROR(__xludf.DUMMYFUNCTION("""COMPUTED_VALUE"""),"Launkalnes 12")</f>
        <v>Launkalnes 12</v>
      </c>
      <c r="D2639" s="2">
        <f>IFERROR(__xludf.DUMMYFUNCTION("""COMPUTED_VALUE"""),1.0)</f>
        <v>1</v>
      </c>
      <c r="E2639" s="2">
        <f>IFERROR(__xludf.DUMMYFUNCTION("""COMPUTED_VALUE"""),33.0)</f>
        <v>33</v>
      </c>
      <c r="F2639" s="2">
        <f>IFERROR(__xludf.DUMMYFUNCTION("""COMPUTED_VALUE"""),4.0)</f>
        <v>4</v>
      </c>
      <c r="G2639" s="2">
        <f>IFERROR(__xludf.DUMMYFUNCTION("""COMPUTED_VALUE"""),5.0)</f>
        <v>5</v>
      </c>
      <c r="H2639" s="2">
        <f>IFERROR(__xludf.DUMMYFUNCTION("""COMPUTED_VALUE"""),103.0)</f>
        <v>103</v>
      </c>
      <c r="I2639" s="2" t="str">
        <f>IFERROR(__xludf.DUMMYFUNCTION("""COMPUTED_VALUE"""),"Brick-Panel")</f>
        <v>Brick-Panel</v>
      </c>
      <c r="J2639" s="2" t="str">
        <f>IFERROR(__xludf.DUMMYFUNCTION("""COMPUTED_VALUE"""),"All amenities")</f>
        <v>All amenities</v>
      </c>
      <c r="K2639" s="2">
        <f>IFERROR(__xludf.DUMMYFUNCTION("""COMPUTED_VALUE"""),35000.0)</f>
        <v>35000</v>
      </c>
      <c r="L2639" s="2">
        <f>IFERROR(__xludf.DUMMYFUNCTION("""COMPUTED_VALUE"""),56.972242)</f>
        <v>56.972242</v>
      </c>
      <c r="M2639" s="2">
        <f>IFERROR(__xludf.DUMMYFUNCTION("""COMPUTED_VALUE"""),24.1758673076121)</f>
        <v>24.17586731</v>
      </c>
    </row>
    <row r="2640">
      <c r="A2640" s="2" t="str">
        <f>IFERROR(__xludf.DUMMYFUNCTION("""COMPUTED_VALUE"""),"For rent")</f>
        <v>For rent</v>
      </c>
      <c r="B2640" s="2" t="str">
        <f>IFERROR(__xludf.DUMMYFUNCTION("""COMPUTED_VALUE"""),"centrs")</f>
        <v>centrs</v>
      </c>
      <c r="C2640" s="2" t="str">
        <f>IFERROR(__xludf.DUMMYFUNCTION("""COMPUTED_VALUE"""),"Ganību d. 17")</f>
        <v>Ganību d. 17</v>
      </c>
      <c r="D2640" s="2">
        <f>IFERROR(__xludf.DUMMYFUNCTION("""COMPUTED_VALUE"""),1.0)</f>
        <v>1</v>
      </c>
      <c r="E2640" s="2">
        <f>IFERROR(__xludf.DUMMYFUNCTION("""COMPUTED_VALUE"""),39.0)</f>
        <v>39</v>
      </c>
      <c r="F2640" s="2">
        <f>IFERROR(__xludf.DUMMYFUNCTION("""COMPUTED_VALUE"""),5.0)</f>
        <v>5</v>
      </c>
      <c r="G2640" s="2">
        <f>IFERROR(__xludf.DUMMYFUNCTION("""COMPUTED_VALUE"""),6.0)</f>
        <v>6</v>
      </c>
      <c r="H2640" s="2" t="str">
        <f>IFERROR(__xludf.DUMMYFUNCTION("""COMPUTED_VALUE"""),"P. kara")</f>
        <v>P. kara</v>
      </c>
      <c r="I2640" s="2" t="str">
        <f>IFERROR(__xludf.DUMMYFUNCTION("""COMPUTED_VALUE"""),"Masonry")</f>
        <v>Masonry</v>
      </c>
      <c r="J2640" s="2" t="str">
        <f>IFERROR(__xludf.DUMMYFUNCTION("""COMPUTED_VALUE"""),"All amenities")</f>
        <v>All amenities</v>
      </c>
      <c r="K2640" s="2">
        <f>IFERROR(__xludf.DUMMYFUNCTION("""COMPUTED_VALUE"""),200.0)</f>
        <v>200</v>
      </c>
      <c r="L2640" s="2">
        <f>IFERROR(__xludf.DUMMYFUNCTION("""COMPUTED_VALUE"""),56.9928319)</f>
        <v>56.9928319</v>
      </c>
      <c r="M2640" s="2">
        <f>IFERROR(__xludf.DUMMYFUNCTION("""COMPUTED_VALUE"""),24.1224521)</f>
        <v>24.1224521</v>
      </c>
    </row>
    <row r="2641">
      <c r="A2641" s="2" t="str">
        <f>IFERROR(__xludf.DUMMYFUNCTION("""COMPUTED_VALUE"""),"For sale")</f>
        <v>For sale</v>
      </c>
      <c r="B2641" s="2" t="str">
        <f>IFERROR(__xludf.DUMMYFUNCTION("""COMPUTED_VALUE"""),"Iļģuciems")</f>
        <v>Iļģuciems</v>
      </c>
      <c r="C2641" s="2" t="str">
        <f>IFERROR(__xludf.DUMMYFUNCTION("""COMPUTED_VALUE"""),"Buļļu 42 a")</f>
        <v>Buļļu 42 a</v>
      </c>
      <c r="D2641" s="2">
        <f>IFERROR(__xludf.DUMMYFUNCTION("""COMPUTED_VALUE"""),1.0)</f>
        <v>1</v>
      </c>
      <c r="E2641" s="2">
        <f>IFERROR(__xludf.DUMMYFUNCTION("""COMPUTED_VALUE"""),45.0)</f>
        <v>45</v>
      </c>
      <c r="F2641" s="2">
        <f>IFERROR(__xludf.DUMMYFUNCTION("""COMPUTED_VALUE"""),5.0)</f>
        <v>5</v>
      </c>
      <c r="G2641" s="2">
        <f>IFERROR(__xludf.DUMMYFUNCTION("""COMPUTED_VALUE"""),9.0)</f>
        <v>9</v>
      </c>
      <c r="H2641" s="2">
        <f>IFERROR(__xludf.DUMMYFUNCTION("""COMPUTED_VALUE"""),119.0)</f>
        <v>119</v>
      </c>
      <c r="I2641" s="2" t="str">
        <f>IFERROR(__xludf.DUMMYFUNCTION("""COMPUTED_VALUE"""),"Panel")</f>
        <v>Panel</v>
      </c>
      <c r="J2641" s="2" t="str">
        <f>IFERROR(__xludf.DUMMYFUNCTION("""COMPUTED_VALUE"""),"All amenities")</f>
        <v>All amenities</v>
      </c>
      <c r="K2641" s="2">
        <f>IFERROR(__xludf.DUMMYFUNCTION("""COMPUTED_VALUE"""),43000.0)</f>
        <v>43000</v>
      </c>
      <c r="L2641" s="2">
        <f>IFERROR(__xludf.DUMMYFUNCTION("""COMPUTED_VALUE"""),56.965298)</f>
        <v>56.965298</v>
      </c>
      <c r="M2641" s="2">
        <f>IFERROR(__xludf.DUMMYFUNCTION("""COMPUTED_VALUE"""),24.0573721)</f>
        <v>24.0573721</v>
      </c>
    </row>
    <row r="2642">
      <c r="A2642" s="2" t="str">
        <f>IFERROR(__xludf.DUMMYFUNCTION("""COMPUTED_VALUE"""),"For rent")</f>
        <v>For rent</v>
      </c>
      <c r="B2642" s="2" t="str">
        <f>IFERROR(__xludf.DUMMYFUNCTION("""COMPUTED_VALUE"""),"centrs")</f>
        <v>centrs</v>
      </c>
      <c r="C2642" s="2" t="str">
        <f>IFERROR(__xludf.DUMMYFUNCTION("""COMPUTED_VALUE"""),"Brīvības iela 101")</f>
        <v>Brīvības iela 101</v>
      </c>
      <c r="D2642" s="2">
        <f>IFERROR(__xludf.DUMMYFUNCTION("""COMPUTED_VALUE"""),1.0)</f>
        <v>1</v>
      </c>
      <c r="E2642" s="2">
        <f>IFERROR(__xludf.DUMMYFUNCTION("""COMPUTED_VALUE"""),25.0)</f>
        <v>25</v>
      </c>
      <c r="F2642" s="2">
        <f>IFERROR(__xludf.DUMMYFUNCTION("""COMPUTED_VALUE"""),1.0)</f>
        <v>1</v>
      </c>
      <c r="G2642" s="2">
        <f>IFERROR(__xludf.DUMMYFUNCTION("""COMPUTED_VALUE"""),5.0)</f>
        <v>5</v>
      </c>
      <c r="H2642" s="2" t="str">
        <f>IFERROR(__xludf.DUMMYFUNCTION("""COMPUTED_VALUE"""),"P. kara")</f>
        <v>P. kara</v>
      </c>
      <c r="I2642" s="2" t="str">
        <f>IFERROR(__xludf.DUMMYFUNCTION("""COMPUTED_VALUE"""),"Masonry")</f>
        <v>Masonry</v>
      </c>
      <c r="J2642" s="2" t="str">
        <f>IFERROR(__xludf.DUMMYFUNCTION("""COMPUTED_VALUE"""),"All amenities")</f>
        <v>All amenities</v>
      </c>
      <c r="K2642" s="2">
        <f>IFERROR(__xludf.DUMMYFUNCTION("""COMPUTED_VALUE"""),300.0)</f>
        <v>300</v>
      </c>
      <c r="L2642" s="2">
        <f>IFERROR(__xludf.DUMMYFUNCTION("""COMPUTED_VALUE"""),56.96137025)</f>
        <v>56.96137025</v>
      </c>
      <c r="M2642" s="2">
        <f>IFERROR(__xludf.DUMMYFUNCTION("""COMPUTED_VALUE"""),24.1328759405172)</f>
        <v>24.13287594</v>
      </c>
    </row>
    <row r="2643">
      <c r="A2643" s="2" t="str">
        <f>IFERROR(__xludf.DUMMYFUNCTION("""COMPUTED_VALUE"""),"For sale")</f>
        <v>For sale</v>
      </c>
      <c r="B2643" s="2" t="str">
        <f>IFERROR(__xludf.DUMMYFUNCTION("""COMPUTED_VALUE"""),"Dzegužkalns")</f>
        <v>Dzegužkalns</v>
      </c>
      <c r="C2643" s="2" t="str">
        <f>IFERROR(__xludf.DUMMYFUNCTION("""COMPUTED_VALUE"""),"Ūdens 12")</f>
        <v>Ūdens 12</v>
      </c>
      <c r="D2643" s="2">
        <f>IFERROR(__xludf.DUMMYFUNCTION("""COMPUTED_VALUE"""),3.0)</f>
        <v>3</v>
      </c>
      <c r="E2643" s="2">
        <f>IFERROR(__xludf.DUMMYFUNCTION("""COMPUTED_VALUE"""),88.0)</f>
        <v>88</v>
      </c>
      <c r="F2643" s="2">
        <f>IFERROR(__xludf.DUMMYFUNCTION("""COMPUTED_VALUE"""),4.0)</f>
        <v>4</v>
      </c>
      <c r="G2643" s="2">
        <f>IFERROR(__xludf.DUMMYFUNCTION("""COMPUTED_VALUE"""),6.0)</f>
        <v>6</v>
      </c>
      <c r="H2643" s="2" t="str">
        <f>IFERROR(__xludf.DUMMYFUNCTION("""COMPUTED_VALUE"""),"Renov.")</f>
        <v>Renov.</v>
      </c>
      <c r="I2643" s="2" t="str">
        <f>IFERROR(__xludf.DUMMYFUNCTION("""COMPUTED_VALUE"""),"Brick-Panel")</f>
        <v>Brick-Panel</v>
      </c>
      <c r="J2643" s="2" t="str">
        <f>IFERROR(__xludf.DUMMYFUNCTION("""COMPUTED_VALUE"""),"All amenities")</f>
        <v>All amenities</v>
      </c>
      <c r="K2643" s="2">
        <f>IFERROR(__xludf.DUMMYFUNCTION("""COMPUTED_VALUE"""),177000.0)</f>
        <v>177000</v>
      </c>
      <c r="L2643" s="2">
        <f>IFERROR(__xludf.DUMMYFUNCTION("""COMPUTED_VALUE"""),56.95518535)</f>
        <v>56.95518535</v>
      </c>
      <c r="M2643" s="2">
        <f>IFERROR(__xludf.DUMMYFUNCTION("""COMPUTED_VALUE"""),24.0724323050318)</f>
        <v>24.07243231</v>
      </c>
    </row>
    <row r="2644">
      <c r="A2644" s="2" t="str">
        <f>IFERROR(__xludf.DUMMYFUNCTION("""COMPUTED_VALUE"""),"For rent")</f>
        <v>For rent</v>
      </c>
      <c r="B2644" s="2" t="str">
        <f>IFERROR(__xludf.DUMMYFUNCTION("""COMPUTED_VALUE"""),"Teika")</f>
        <v>Teika</v>
      </c>
      <c r="C2644" s="2" t="str">
        <f>IFERROR(__xludf.DUMMYFUNCTION("""COMPUTED_VALUE"""),"Brīvības gatve 296")</f>
        <v>Brīvības gatve 296</v>
      </c>
      <c r="D2644" s="2">
        <f>IFERROR(__xludf.DUMMYFUNCTION("""COMPUTED_VALUE"""),2.0)</f>
        <v>2</v>
      </c>
      <c r="E2644" s="2">
        <f>IFERROR(__xludf.DUMMYFUNCTION("""COMPUTED_VALUE"""),50.0)</f>
        <v>50</v>
      </c>
      <c r="F2644" s="2">
        <f>IFERROR(__xludf.DUMMYFUNCTION("""COMPUTED_VALUE"""),3.0)</f>
        <v>3</v>
      </c>
      <c r="G2644" s="2">
        <f>IFERROR(__xludf.DUMMYFUNCTION("""COMPUTED_VALUE"""),3.0)</f>
        <v>3</v>
      </c>
      <c r="H2644" s="2" t="str">
        <f>IFERROR(__xludf.DUMMYFUNCTION("""COMPUTED_VALUE"""),"P. kara")</f>
        <v>P. kara</v>
      </c>
      <c r="I2644" s="2" t="str">
        <f>IFERROR(__xludf.DUMMYFUNCTION("""COMPUTED_VALUE"""),"Masonry")</f>
        <v>Masonry</v>
      </c>
      <c r="J2644" s="2" t="str">
        <f>IFERROR(__xludf.DUMMYFUNCTION("""COMPUTED_VALUE"""),"All amenities")</f>
        <v>All amenities</v>
      </c>
      <c r="K2644" s="2">
        <f>IFERROR(__xludf.DUMMYFUNCTION("""COMPUTED_VALUE"""),330.0)</f>
        <v>330</v>
      </c>
      <c r="L2644" s="2">
        <f>IFERROR(__xludf.DUMMYFUNCTION("""COMPUTED_VALUE"""),56.9777177)</f>
        <v>56.9777177</v>
      </c>
      <c r="M2644" s="2">
        <f>IFERROR(__xludf.DUMMYFUNCTION("""COMPUTED_VALUE"""),24.182276456222)</f>
        <v>24.18227646</v>
      </c>
    </row>
    <row r="2645">
      <c r="A2645" s="2" t="str">
        <f>IFERROR(__xludf.DUMMYFUNCTION("""COMPUTED_VALUE"""),"For sale")</f>
        <v>For sale</v>
      </c>
      <c r="B2645" s="2" t="str">
        <f>IFERROR(__xludf.DUMMYFUNCTION("""COMPUTED_VALUE"""),"Teika")</f>
        <v>Teika</v>
      </c>
      <c r="C2645" s="2" t="str">
        <f>IFERROR(__xludf.DUMMYFUNCTION("""COMPUTED_VALUE"""),"Ropažu 91")</f>
        <v>Ropažu 91</v>
      </c>
      <c r="D2645" s="2">
        <f>IFERROR(__xludf.DUMMYFUNCTION("""COMPUTED_VALUE"""),1.0)</f>
        <v>1</v>
      </c>
      <c r="E2645" s="2">
        <f>IFERROR(__xludf.DUMMYFUNCTION("""COMPUTED_VALUE"""),21.0)</f>
        <v>21</v>
      </c>
      <c r="F2645" s="2">
        <f>IFERROR(__xludf.DUMMYFUNCTION("""COMPUTED_VALUE"""),1.0)</f>
        <v>1</v>
      </c>
      <c r="G2645" s="2">
        <f>IFERROR(__xludf.DUMMYFUNCTION("""COMPUTED_VALUE"""),2.0)</f>
        <v>2</v>
      </c>
      <c r="H2645" s="2" t="str">
        <f>IFERROR(__xludf.DUMMYFUNCTION("""COMPUTED_VALUE"""),"P. kara")</f>
        <v>P. kara</v>
      </c>
      <c r="I2645" s="2" t="str">
        <f>IFERROR(__xludf.DUMMYFUNCTION("""COMPUTED_VALUE"""),"Wood")</f>
        <v>Wood</v>
      </c>
      <c r="J2645" s="2" t="str">
        <f>IFERROR(__xludf.DUMMYFUNCTION("""COMPUTED_VALUE"""),"Partial amenities")</f>
        <v>Partial amenities</v>
      </c>
      <c r="K2645" s="2">
        <f>IFERROR(__xludf.DUMMYFUNCTION("""COMPUTED_VALUE"""),17000.0)</f>
        <v>17000</v>
      </c>
      <c r="L2645" s="2">
        <f>IFERROR(__xludf.DUMMYFUNCTION("""COMPUTED_VALUE"""),56.9827633999999)</f>
        <v>56.9827634</v>
      </c>
      <c r="M2645" s="2">
        <f>IFERROR(__xludf.DUMMYFUNCTION("""COMPUTED_VALUE"""),24.1912189088567)</f>
        <v>24.19121891</v>
      </c>
    </row>
    <row r="2646">
      <c r="A2646" s="2" t="str">
        <f>IFERROR(__xludf.DUMMYFUNCTION("""COMPUTED_VALUE"""),"For rent")</f>
        <v>For rent</v>
      </c>
      <c r="B2646" s="2" t="str">
        <f>IFERROR(__xludf.DUMMYFUNCTION("""COMPUTED_VALUE"""),"Jugla")</f>
        <v>Jugla</v>
      </c>
      <c r="C2646" s="2" t="str">
        <f>IFERROR(__xludf.DUMMYFUNCTION("""COMPUTED_VALUE"""),"Juglas 29")</f>
        <v>Juglas 29</v>
      </c>
      <c r="D2646" s="2">
        <f>IFERROR(__xludf.DUMMYFUNCTION("""COMPUTED_VALUE"""),3.0)</f>
        <v>3</v>
      </c>
      <c r="E2646" s="2">
        <f>IFERROR(__xludf.DUMMYFUNCTION("""COMPUTED_VALUE"""),56.0)</f>
        <v>56</v>
      </c>
      <c r="F2646" s="2">
        <f>IFERROR(__xludf.DUMMYFUNCTION("""COMPUTED_VALUE"""),1.0)</f>
        <v>1</v>
      </c>
      <c r="G2646" s="2">
        <f>IFERROR(__xludf.DUMMYFUNCTION("""COMPUTED_VALUE"""),5.0)</f>
        <v>5</v>
      </c>
      <c r="H2646" s="2" t="str">
        <f>IFERROR(__xludf.DUMMYFUNCTION("""COMPUTED_VALUE"""),"Hrušč.")</f>
        <v>Hrušč.</v>
      </c>
      <c r="I2646" s="2" t="str">
        <f>IFERROR(__xludf.DUMMYFUNCTION("""COMPUTED_VALUE"""),"Panel")</f>
        <v>Panel</v>
      </c>
      <c r="J2646" s="2" t="str">
        <f>IFERROR(__xludf.DUMMYFUNCTION("""COMPUTED_VALUE"""),"All amenities")</f>
        <v>All amenities</v>
      </c>
      <c r="K2646" s="2">
        <f>IFERROR(__xludf.DUMMYFUNCTION("""COMPUTED_VALUE"""),250.0)</f>
        <v>250</v>
      </c>
      <c r="L2646" s="2">
        <f>IFERROR(__xludf.DUMMYFUNCTION("""COMPUTED_VALUE"""),56.9820832)</f>
        <v>56.9820832</v>
      </c>
      <c r="M2646" s="2">
        <f>IFERROR(__xludf.DUMMYFUNCTION("""COMPUTED_VALUE"""),24.2512169555717)</f>
        <v>24.25121696</v>
      </c>
    </row>
    <row r="2647">
      <c r="A2647" s="2" t="str">
        <f>IFERROR(__xludf.DUMMYFUNCTION("""COMPUTED_VALUE"""),"For rent")</f>
        <v>For rent</v>
      </c>
      <c r="B2647" s="2" t="str">
        <f>IFERROR(__xludf.DUMMYFUNCTION("""COMPUTED_VALUE"""),"centrs")</f>
        <v>centrs</v>
      </c>
      <c r="C2647" s="2" t="str">
        <f>IFERROR(__xludf.DUMMYFUNCTION("""COMPUTED_VALUE"""),"Gogoļa 13")</f>
        <v>Gogoļa 13</v>
      </c>
      <c r="D2647" s="2">
        <f>IFERROR(__xludf.DUMMYFUNCTION("""COMPUTED_VALUE"""),1.0)</f>
        <v>1</v>
      </c>
      <c r="E2647" s="2">
        <f>IFERROR(__xludf.DUMMYFUNCTION("""COMPUTED_VALUE"""),13.0)</f>
        <v>13</v>
      </c>
      <c r="F2647" s="2">
        <f>IFERROR(__xludf.DUMMYFUNCTION("""COMPUTED_VALUE"""),5.0)</f>
        <v>5</v>
      </c>
      <c r="G2647" s="2">
        <f>IFERROR(__xludf.DUMMYFUNCTION("""COMPUTED_VALUE"""),5.0)</f>
        <v>5</v>
      </c>
      <c r="H2647" s="2" t="str">
        <f>IFERROR(__xludf.DUMMYFUNCTION("""COMPUTED_VALUE"""),"P. kara")</f>
        <v>P. kara</v>
      </c>
      <c r="I2647" s="2" t="str">
        <f>IFERROR(__xludf.DUMMYFUNCTION("""COMPUTED_VALUE"""),"Brick-Panel")</f>
        <v>Brick-Panel</v>
      </c>
      <c r="J2647" s="2" t="str">
        <f>IFERROR(__xludf.DUMMYFUNCTION("""COMPUTED_VALUE"""),"All amenities")</f>
        <v>All amenities</v>
      </c>
      <c r="K2647" s="2">
        <f>IFERROR(__xludf.DUMMYFUNCTION("""COMPUTED_VALUE"""),150.0)</f>
        <v>150</v>
      </c>
      <c r="L2647" s="2">
        <f>IFERROR(__xludf.DUMMYFUNCTION("""COMPUTED_VALUE"""),56.9436873)</f>
        <v>56.9436873</v>
      </c>
      <c r="M2647" s="2">
        <f>IFERROR(__xludf.DUMMYFUNCTION("""COMPUTED_VALUE"""),24.1240204945916)</f>
        <v>24.12402049</v>
      </c>
    </row>
    <row r="2648">
      <c r="A2648" s="2" t="str">
        <f>IFERROR(__xludf.DUMMYFUNCTION("""COMPUTED_VALUE"""),"For sale")</f>
        <v>For sale</v>
      </c>
      <c r="B2648" s="2" t="str">
        <f>IFERROR(__xludf.DUMMYFUNCTION("""COMPUTED_VALUE"""),"Purvciems")</f>
        <v>Purvciems</v>
      </c>
      <c r="C2648" s="2" t="str">
        <f>IFERROR(__xludf.DUMMYFUNCTION("""COMPUTED_VALUE"""),"Stirnu 35a")</f>
        <v>Stirnu 35a</v>
      </c>
      <c r="D2648" s="2">
        <f>IFERROR(__xludf.DUMMYFUNCTION("""COMPUTED_VALUE"""),3.0)</f>
        <v>3</v>
      </c>
      <c r="E2648" s="2">
        <f>IFERROR(__xludf.DUMMYFUNCTION("""COMPUTED_VALUE"""),61.0)</f>
        <v>61</v>
      </c>
      <c r="F2648" s="2">
        <f>IFERROR(__xludf.DUMMYFUNCTION("""COMPUTED_VALUE"""),4.0)</f>
        <v>4</v>
      </c>
      <c r="G2648" s="2">
        <f>IFERROR(__xludf.DUMMYFUNCTION("""COMPUTED_VALUE"""),9.0)</f>
        <v>9</v>
      </c>
      <c r="H2648" s="2">
        <f>IFERROR(__xludf.DUMMYFUNCTION("""COMPUTED_VALUE"""),602.0)</f>
        <v>602</v>
      </c>
      <c r="I2648" s="2" t="str">
        <f>IFERROR(__xludf.DUMMYFUNCTION("""COMPUTED_VALUE"""),"Panel")</f>
        <v>Panel</v>
      </c>
      <c r="J2648" s="2" t="str">
        <f>IFERROR(__xludf.DUMMYFUNCTION("""COMPUTED_VALUE"""),"All amenities")</f>
        <v>All amenities</v>
      </c>
      <c r="K2648" s="2">
        <f>IFERROR(__xludf.DUMMYFUNCTION("""COMPUTED_VALUE"""),58900.0)</f>
        <v>58900</v>
      </c>
      <c r="L2648" s="2">
        <f>IFERROR(__xludf.DUMMYFUNCTION("""COMPUTED_VALUE"""),56.9609581999999)</f>
        <v>56.9609582</v>
      </c>
      <c r="M2648" s="2">
        <f>IFERROR(__xludf.DUMMYFUNCTION("""COMPUTED_VALUE"""),24.1870629147243)</f>
        <v>24.18706291</v>
      </c>
    </row>
    <row r="2649">
      <c r="A2649" s="2" t="str">
        <f>IFERROR(__xludf.DUMMYFUNCTION("""COMPUTED_VALUE"""),"For rent")</f>
        <v>For rent</v>
      </c>
      <c r="B2649" s="2" t="str">
        <f>IFERROR(__xludf.DUMMYFUNCTION("""COMPUTED_VALUE"""),"centrs")</f>
        <v>centrs</v>
      </c>
      <c r="C2649" s="2" t="str">
        <f>IFERROR(__xludf.DUMMYFUNCTION("""COMPUTED_VALUE"""),"Elizabetes 9")</f>
        <v>Elizabetes 9</v>
      </c>
      <c r="D2649" s="2">
        <f>IFERROR(__xludf.DUMMYFUNCTION("""COMPUTED_VALUE"""),3.0)</f>
        <v>3</v>
      </c>
      <c r="E2649" s="2">
        <f>IFERROR(__xludf.DUMMYFUNCTION("""COMPUTED_VALUE"""),70.0)</f>
        <v>70</v>
      </c>
      <c r="F2649" s="2">
        <f>IFERROR(__xludf.DUMMYFUNCTION("""COMPUTED_VALUE"""),2.0)</f>
        <v>2</v>
      </c>
      <c r="G2649" s="2">
        <f>IFERROR(__xludf.DUMMYFUNCTION("""COMPUTED_VALUE"""),5.0)</f>
        <v>5</v>
      </c>
      <c r="H2649" s="2" t="str">
        <f>IFERROR(__xludf.DUMMYFUNCTION("""COMPUTED_VALUE"""),"P. kara")</f>
        <v>P. kara</v>
      </c>
      <c r="I2649" s="2" t="str">
        <f>IFERROR(__xludf.DUMMYFUNCTION("""COMPUTED_VALUE"""),"Masonry")</f>
        <v>Masonry</v>
      </c>
      <c r="J2649" s="2" t="str">
        <f>IFERROR(__xludf.DUMMYFUNCTION("""COMPUTED_VALUE"""),"All amenities")</f>
        <v>All amenities</v>
      </c>
      <c r="K2649" s="2">
        <f>IFERROR(__xludf.DUMMYFUNCTION("""COMPUTED_VALUE"""),850.0)</f>
        <v>850</v>
      </c>
      <c r="L2649" s="2">
        <f>IFERROR(__xludf.DUMMYFUNCTION("""COMPUTED_VALUE"""),56.9592539)</f>
        <v>56.9592539</v>
      </c>
      <c r="M2649" s="2">
        <f>IFERROR(__xludf.DUMMYFUNCTION("""COMPUTED_VALUE"""),24.100972)</f>
        <v>24.100972</v>
      </c>
    </row>
    <row r="2650">
      <c r="A2650" s="2" t="str">
        <f>IFERROR(__xludf.DUMMYFUNCTION("""COMPUTED_VALUE"""),"For sale")</f>
        <v>For sale</v>
      </c>
      <c r="B2650" s="2" t="str">
        <f>IFERROR(__xludf.DUMMYFUNCTION("""COMPUTED_VALUE"""),"Ķengarags")</f>
        <v>Ķengarags</v>
      </c>
      <c r="C2650" s="2" t="str">
        <f>IFERROR(__xludf.DUMMYFUNCTION("""COMPUTED_VALUE"""),"Maskavas 321")</f>
        <v>Maskavas 321</v>
      </c>
      <c r="D2650" s="2">
        <f>IFERROR(__xludf.DUMMYFUNCTION("""COMPUTED_VALUE"""),2.0)</f>
        <v>2</v>
      </c>
      <c r="E2650" s="2">
        <f>IFERROR(__xludf.DUMMYFUNCTION("""COMPUTED_VALUE"""),39.0)</f>
        <v>39</v>
      </c>
      <c r="F2650" s="2">
        <f>IFERROR(__xludf.DUMMYFUNCTION("""COMPUTED_VALUE"""),2.0)</f>
        <v>2</v>
      </c>
      <c r="G2650" s="2">
        <f>IFERROR(__xludf.DUMMYFUNCTION("""COMPUTED_VALUE"""),5.0)</f>
        <v>5</v>
      </c>
      <c r="H2650" s="2" t="str">
        <f>IFERROR(__xludf.DUMMYFUNCTION("""COMPUTED_VALUE"""),"LT proj.")</f>
        <v>LT proj.</v>
      </c>
      <c r="I2650" s="2" t="str">
        <f>IFERROR(__xludf.DUMMYFUNCTION("""COMPUTED_VALUE"""),"Panel")</f>
        <v>Panel</v>
      </c>
      <c r="J2650" s="2" t="str">
        <f>IFERROR(__xludf.DUMMYFUNCTION("""COMPUTED_VALUE"""),"All amenities")</f>
        <v>All amenities</v>
      </c>
      <c r="K2650" s="2">
        <f>IFERROR(__xludf.DUMMYFUNCTION("""COMPUTED_VALUE"""),42000.0)</f>
        <v>42000</v>
      </c>
      <c r="L2650" s="2">
        <f>IFERROR(__xludf.DUMMYFUNCTION("""COMPUTED_VALUE"""),56.8597884)</f>
        <v>56.8597884</v>
      </c>
      <c r="M2650" s="2">
        <f>IFERROR(__xludf.DUMMYFUNCTION("""COMPUTED_VALUE"""),24.3083417)</f>
        <v>24.3083417</v>
      </c>
    </row>
    <row r="2651">
      <c r="A2651" s="2" t="str">
        <f>IFERROR(__xludf.DUMMYFUNCTION("""COMPUTED_VALUE"""),"For rent")</f>
        <v>For rent</v>
      </c>
      <c r="B2651" s="2" t="str">
        <f>IFERROR(__xludf.DUMMYFUNCTION("""COMPUTED_VALUE"""),"Pļavnieki")</f>
        <v>Pļavnieki</v>
      </c>
      <c r="C2651" s="2" t="str">
        <f>IFERROR(__xludf.DUMMYFUNCTION("""COMPUTED_VALUE"""),"Salnas 3")</f>
        <v>Salnas 3</v>
      </c>
      <c r="D2651" s="2">
        <f>IFERROR(__xludf.DUMMYFUNCTION("""COMPUTED_VALUE"""),3.0)</f>
        <v>3</v>
      </c>
      <c r="E2651" s="2">
        <f>IFERROR(__xludf.DUMMYFUNCTION("""COMPUTED_VALUE"""),62.0)</f>
        <v>62</v>
      </c>
      <c r="F2651" s="2">
        <f>IFERROR(__xludf.DUMMYFUNCTION("""COMPUTED_VALUE"""),8.0)</f>
        <v>8</v>
      </c>
      <c r="G2651" s="2">
        <f>IFERROR(__xludf.DUMMYFUNCTION("""COMPUTED_VALUE"""),9.0)</f>
        <v>9</v>
      </c>
      <c r="H2651" s="2">
        <f>IFERROR(__xludf.DUMMYFUNCTION("""COMPUTED_VALUE"""),602.0)</f>
        <v>602</v>
      </c>
      <c r="I2651" s="2" t="str">
        <f>IFERROR(__xludf.DUMMYFUNCTION("""COMPUTED_VALUE"""),"Panel")</f>
        <v>Panel</v>
      </c>
      <c r="J2651" s="2" t="str">
        <f>IFERROR(__xludf.DUMMYFUNCTION("""COMPUTED_VALUE"""),"All amenities")</f>
        <v>All amenities</v>
      </c>
      <c r="K2651" s="2">
        <f>IFERROR(__xludf.DUMMYFUNCTION("""COMPUTED_VALUE"""),340.0)</f>
        <v>340</v>
      </c>
      <c r="L2651" s="2">
        <f>IFERROR(__xludf.DUMMYFUNCTION("""COMPUTED_VALUE"""),56.9436071)</f>
        <v>56.9436071</v>
      </c>
      <c r="M2651" s="2">
        <f>IFERROR(__xludf.DUMMYFUNCTION("""COMPUTED_VALUE"""),24.2189393107488)</f>
        <v>24.21893931</v>
      </c>
    </row>
    <row r="2652">
      <c r="A2652" s="2" t="str">
        <f>IFERROR(__xludf.DUMMYFUNCTION("""COMPUTED_VALUE"""),"For sale")</f>
        <v>For sale</v>
      </c>
      <c r="B2652" s="2" t="str">
        <f>IFERROR(__xludf.DUMMYFUNCTION("""COMPUTED_VALUE"""),"Vecrīga")</f>
        <v>Vecrīga</v>
      </c>
      <c r="C2652" s="2" t="str">
        <f>IFERROR(__xludf.DUMMYFUNCTION("""COMPUTED_VALUE"""),"Grēcinieku 26")</f>
        <v>Grēcinieku 26</v>
      </c>
      <c r="D2652" s="2">
        <f>IFERROR(__xludf.DUMMYFUNCTION("""COMPUTED_VALUE"""),3.0)</f>
        <v>3</v>
      </c>
      <c r="E2652" s="2">
        <f>IFERROR(__xludf.DUMMYFUNCTION("""COMPUTED_VALUE"""),89.3)</f>
        <v>89.3</v>
      </c>
      <c r="F2652" s="2">
        <f>IFERROR(__xludf.DUMMYFUNCTION("""COMPUTED_VALUE"""),3.0)</f>
        <v>3</v>
      </c>
      <c r="G2652" s="2">
        <f>IFERROR(__xludf.DUMMYFUNCTION("""COMPUTED_VALUE"""),4.0)</f>
        <v>4</v>
      </c>
      <c r="H2652" s="2" t="str">
        <f>IFERROR(__xludf.DUMMYFUNCTION("""COMPUTED_VALUE"""),"Renov.")</f>
        <v>Renov.</v>
      </c>
      <c r="I2652" s="2" t="str">
        <f>IFERROR(__xludf.DUMMYFUNCTION("""COMPUTED_VALUE"""),"Masonry")</f>
        <v>Masonry</v>
      </c>
      <c r="J2652" s="2" t="str">
        <f>IFERROR(__xludf.DUMMYFUNCTION("""COMPUTED_VALUE"""),"All amenities")</f>
        <v>All amenities</v>
      </c>
      <c r="K2652" s="2">
        <f>IFERROR(__xludf.DUMMYFUNCTION("""COMPUTED_VALUE"""),184000.0)</f>
        <v>184000</v>
      </c>
      <c r="L2652" s="2">
        <f>IFERROR(__xludf.DUMMYFUNCTION("""COMPUTED_VALUE"""),56.9466569)</f>
        <v>56.9466569</v>
      </c>
      <c r="M2652" s="2">
        <f>IFERROR(__xludf.DUMMYFUNCTION("""COMPUTED_VALUE"""),24.1073804)</f>
        <v>24.1073804</v>
      </c>
    </row>
    <row r="2653">
      <c r="A2653" s="2" t="str">
        <f>IFERROR(__xludf.DUMMYFUNCTION("""COMPUTED_VALUE"""),"For sale")</f>
        <v>For sale</v>
      </c>
      <c r="B2653" s="2" t="str">
        <f>IFERROR(__xludf.DUMMYFUNCTION("""COMPUTED_VALUE"""),"centrs")</f>
        <v>centrs</v>
      </c>
      <c r="C2653" s="2" t="str">
        <f>IFERROR(__xludf.DUMMYFUNCTION("""COMPUTED_VALUE"""),"Brīvības iela 48")</f>
        <v>Brīvības iela 48</v>
      </c>
      <c r="D2653" s="2">
        <f>IFERROR(__xludf.DUMMYFUNCTION("""COMPUTED_VALUE"""),4.0)</f>
        <v>4</v>
      </c>
      <c r="E2653" s="2">
        <f>IFERROR(__xludf.DUMMYFUNCTION("""COMPUTED_VALUE"""),136.0)</f>
        <v>136</v>
      </c>
      <c r="F2653" s="2">
        <f>IFERROR(__xludf.DUMMYFUNCTION("""COMPUTED_VALUE"""),4.0)</f>
        <v>4</v>
      </c>
      <c r="G2653" s="2">
        <f>IFERROR(__xludf.DUMMYFUNCTION("""COMPUTED_VALUE"""),5.0)</f>
        <v>5</v>
      </c>
      <c r="H2653" s="2" t="str">
        <f>IFERROR(__xludf.DUMMYFUNCTION("""COMPUTED_VALUE"""),"P. kara")</f>
        <v>P. kara</v>
      </c>
      <c r="I2653" s="2" t="str">
        <f>IFERROR(__xludf.DUMMYFUNCTION("""COMPUTED_VALUE"""),"Masonry")</f>
        <v>Masonry</v>
      </c>
      <c r="J2653" s="2" t="str">
        <f>IFERROR(__xludf.DUMMYFUNCTION("""COMPUTED_VALUE"""),"All amenities")</f>
        <v>All amenities</v>
      </c>
      <c r="K2653" s="2">
        <f>IFERROR(__xludf.DUMMYFUNCTION("""COMPUTED_VALUE"""),196000.0)</f>
        <v>196000</v>
      </c>
      <c r="L2653" s="2">
        <f>IFERROR(__xludf.DUMMYFUNCTION("""COMPUTED_VALUE"""),56.9552183499999)</f>
        <v>56.95521835</v>
      </c>
      <c r="M2653" s="2">
        <f>IFERROR(__xludf.DUMMYFUNCTION("""COMPUTED_VALUE"""),24.1201280275563)</f>
        <v>24.12012803</v>
      </c>
    </row>
    <row r="2654">
      <c r="A2654" s="2" t="str">
        <f>IFERROR(__xludf.DUMMYFUNCTION("""COMPUTED_VALUE"""),"For rent")</f>
        <v>For rent</v>
      </c>
      <c r="B2654" s="2" t="str">
        <f>IFERROR(__xludf.DUMMYFUNCTION("""COMPUTED_VALUE"""),"Ziepniekkalns")</f>
        <v>Ziepniekkalns</v>
      </c>
      <c r="C2654" s="2" t="str">
        <f>IFERROR(__xludf.DUMMYFUNCTION("""COMPUTED_VALUE"""),"Kartupeļu 47")</f>
        <v>Kartupeļu 47</v>
      </c>
      <c r="D2654" s="2">
        <f>IFERROR(__xludf.DUMMYFUNCTION("""COMPUTED_VALUE"""),1.0)</f>
        <v>1</v>
      </c>
      <c r="E2654" s="2">
        <f>IFERROR(__xludf.DUMMYFUNCTION("""COMPUTED_VALUE"""),38.0)</f>
        <v>38</v>
      </c>
      <c r="F2654" s="2">
        <f>IFERROR(__xludf.DUMMYFUNCTION("""COMPUTED_VALUE"""),6.0)</f>
        <v>6</v>
      </c>
      <c r="G2654" s="2">
        <f>IFERROR(__xludf.DUMMYFUNCTION("""COMPUTED_VALUE"""),9.0)</f>
        <v>9</v>
      </c>
      <c r="H2654" s="2" t="str">
        <f>IFERROR(__xludf.DUMMYFUNCTION("""COMPUTED_VALUE"""),"Specpr.")</f>
        <v>Specpr.</v>
      </c>
      <c r="I2654" s="2" t="str">
        <f>IFERROR(__xludf.DUMMYFUNCTION("""COMPUTED_VALUE"""),"Brick-Panel")</f>
        <v>Brick-Panel</v>
      </c>
      <c r="J2654" s="2" t="str">
        <f>IFERROR(__xludf.DUMMYFUNCTION("""COMPUTED_VALUE"""),"All amenities")</f>
        <v>All amenities</v>
      </c>
      <c r="K2654" s="2">
        <f>IFERROR(__xludf.DUMMYFUNCTION("""COMPUTED_VALUE"""),250.0)</f>
        <v>250</v>
      </c>
      <c r="L2654" s="2">
        <f>IFERROR(__xludf.DUMMYFUNCTION("""COMPUTED_VALUE"""),56.91095995)</f>
        <v>56.91095995</v>
      </c>
      <c r="M2654" s="2">
        <f>IFERROR(__xludf.DUMMYFUNCTION("""COMPUTED_VALUE"""),24.1100004569314)</f>
        <v>24.11000046</v>
      </c>
    </row>
    <row r="2655">
      <c r="A2655" s="2" t="str">
        <f>IFERROR(__xludf.DUMMYFUNCTION("""COMPUTED_VALUE"""),"For rent")</f>
        <v>For rent</v>
      </c>
      <c r="B2655" s="2" t="str">
        <f>IFERROR(__xludf.DUMMYFUNCTION("""COMPUTED_VALUE"""),"centrs")</f>
        <v>centrs</v>
      </c>
      <c r="C2655" s="2" t="str">
        <f>IFERROR(__xludf.DUMMYFUNCTION("""COMPUTED_VALUE"""),"Čaka 114")</f>
        <v>Čaka 114</v>
      </c>
      <c r="D2655" s="2">
        <f>IFERROR(__xludf.DUMMYFUNCTION("""COMPUTED_VALUE"""),6.0)</f>
        <v>6</v>
      </c>
      <c r="E2655" s="2">
        <f>IFERROR(__xludf.DUMMYFUNCTION("""COMPUTED_VALUE"""),16.0)</f>
        <v>16</v>
      </c>
      <c r="F2655" s="2">
        <f>IFERROR(__xludf.DUMMYFUNCTION("""COMPUTED_VALUE"""),2.0)</f>
        <v>2</v>
      </c>
      <c r="G2655" s="2">
        <f>IFERROR(__xludf.DUMMYFUNCTION("""COMPUTED_VALUE"""),5.0)</f>
        <v>5</v>
      </c>
      <c r="H2655" s="2" t="str">
        <f>IFERROR(__xludf.DUMMYFUNCTION("""COMPUTED_VALUE"""),"P. kara")</f>
        <v>P. kara</v>
      </c>
      <c r="I2655" s="2" t="str">
        <f>IFERROR(__xludf.DUMMYFUNCTION("""COMPUTED_VALUE"""),"Masonry")</f>
        <v>Masonry</v>
      </c>
      <c r="J2655" s="2" t="str">
        <f>IFERROR(__xludf.DUMMYFUNCTION("""COMPUTED_VALUE"""),"All amenities")</f>
        <v>All amenities</v>
      </c>
      <c r="K2655" s="2">
        <f>IFERROR(__xludf.DUMMYFUNCTION("""COMPUTED_VALUE"""),200.0)</f>
        <v>200</v>
      </c>
      <c r="L2655" s="2">
        <f>IFERROR(__xludf.DUMMYFUNCTION("""COMPUTED_VALUE"""),56.9626863)</f>
        <v>56.9626863</v>
      </c>
      <c r="M2655" s="2">
        <f>IFERROR(__xludf.DUMMYFUNCTION("""COMPUTED_VALUE"""),24.1480584)</f>
        <v>24.1480584</v>
      </c>
    </row>
    <row r="2656">
      <c r="A2656" s="2" t="str">
        <f>IFERROR(__xludf.DUMMYFUNCTION("""COMPUTED_VALUE"""),"For rent")</f>
        <v>For rent</v>
      </c>
      <c r="B2656" s="2" t="str">
        <f>IFERROR(__xludf.DUMMYFUNCTION("""COMPUTED_VALUE"""),"Ziepniekkalns")</f>
        <v>Ziepniekkalns</v>
      </c>
      <c r="C2656" s="2" t="str">
        <f>IFERROR(__xludf.DUMMYFUNCTION("""COMPUTED_VALUE"""),"Ozolciema 50")</f>
        <v>Ozolciema 50</v>
      </c>
      <c r="D2656" s="2">
        <f>IFERROR(__xludf.DUMMYFUNCTION("""COMPUTED_VALUE"""),1.0)</f>
        <v>1</v>
      </c>
      <c r="E2656" s="2">
        <f>IFERROR(__xludf.DUMMYFUNCTION("""COMPUTED_VALUE"""),34.0)</f>
        <v>34</v>
      </c>
      <c r="F2656" s="2">
        <f>IFERROR(__xludf.DUMMYFUNCTION("""COMPUTED_VALUE"""),5.0)</f>
        <v>5</v>
      </c>
      <c r="G2656" s="2">
        <f>IFERROR(__xludf.DUMMYFUNCTION("""COMPUTED_VALUE"""),9.0)</f>
        <v>9</v>
      </c>
      <c r="H2656" s="2">
        <f>IFERROR(__xludf.DUMMYFUNCTION("""COMPUTED_VALUE"""),602.0)</f>
        <v>602</v>
      </c>
      <c r="I2656" s="2" t="str">
        <f>IFERROR(__xludf.DUMMYFUNCTION("""COMPUTED_VALUE"""),"Panel")</f>
        <v>Panel</v>
      </c>
      <c r="J2656" s="2" t="str">
        <f>IFERROR(__xludf.DUMMYFUNCTION("""COMPUTED_VALUE"""),"All amenities")</f>
        <v>All amenities</v>
      </c>
      <c r="K2656" s="2">
        <f>IFERROR(__xludf.DUMMYFUNCTION("""COMPUTED_VALUE"""),220.0)</f>
        <v>220</v>
      </c>
      <c r="L2656" s="2">
        <f>IFERROR(__xludf.DUMMYFUNCTION("""COMPUTED_VALUE"""),56.9008096)</f>
        <v>56.9008096</v>
      </c>
      <c r="M2656" s="2">
        <f>IFERROR(__xludf.DUMMYFUNCTION("""COMPUTED_VALUE"""),24.1002449658235)</f>
        <v>24.10024497</v>
      </c>
    </row>
    <row r="2657">
      <c r="A2657" s="2" t="str">
        <f>IFERROR(__xludf.DUMMYFUNCTION("""COMPUTED_VALUE"""),"For sale")</f>
        <v>For sale</v>
      </c>
      <c r="B2657" s="2" t="str">
        <f>IFERROR(__xludf.DUMMYFUNCTION("""COMPUTED_VALUE"""),"Purvciems")</f>
        <v>Purvciems</v>
      </c>
      <c r="C2657" s="2" t="str">
        <f>IFERROR(__xludf.DUMMYFUNCTION("""COMPUTED_VALUE"""),"Dzelzavas 37")</f>
        <v>Dzelzavas 37</v>
      </c>
      <c r="D2657" s="2">
        <f>IFERROR(__xludf.DUMMYFUNCTION("""COMPUTED_VALUE"""),4.0)</f>
        <v>4</v>
      </c>
      <c r="E2657" s="2">
        <f>IFERROR(__xludf.DUMMYFUNCTION("""COMPUTED_VALUE"""),74.0)</f>
        <v>74</v>
      </c>
      <c r="F2657" s="2">
        <f>IFERROR(__xludf.DUMMYFUNCTION("""COMPUTED_VALUE"""),1.0)</f>
        <v>1</v>
      </c>
      <c r="G2657" s="2">
        <f>IFERROR(__xludf.DUMMYFUNCTION("""COMPUTED_VALUE"""),9.0)</f>
        <v>9</v>
      </c>
      <c r="H2657" s="2">
        <f>IFERROR(__xludf.DUMMYFUNCTION("""COMPUTED_VALUE"""),602.0)</f>
        <v>602</v>
      </c>
      <c r="I2657" s="2" t="str">
        <f>IFERROR(__xludf.DUMMYFUNCTION("""COMPUTED_VALUE"""),"Panel")</f>
        <v>Panel</v>
      </c>
      <c r="J2657" s="2" t="str">
        <f>IFERROR(__xludf.DUMMYFUNCTION("""COMPUTED_VALUE"""),"All amenities")</f>
        <v>All amenities</v>
      </c>
      <c r="K2657" s="2">
        <f>IFERROR(__xludf.DUMMYFUNCTION("""COMPUTED_VALUE"""),65000.0)</f>
        <v>65000</v>
      </c>
      <c r="L2657" s="2">
        <f>IFERROR(__xludf.DUMMYFUNCTION("""COMPUTED_VALUE"""),56.95922675)</f>
        <v>56.95922675</v>
      </c>
      <c r="M2657" s="2">
        <f>IFERROR(__xludf.DUMMYFUNCTION("""COMPUTED_VALUE"""),24.1820870162061)</f>
        <v>24.18208702</v>
      </c>
    </row>
    <row r="2658">
      <c r="A2658" s="2" t="str">
        <f>IFERROR(__xludf.DUMMYFUNCTION("""COMPUTED_VALUE"""),"For sale")</f>
        <v>For sale</v>
      </c>
      <c r="B2658" s="2" t="str">
        <f>IFERROR(__xludf.DUMMYFUNCTION("""COMPUTED_VALUE"""),"Pļavnieki")</f>
        <v>Pļavnieki</v>
      </c>
      <c r="C2658" s="2" t="str">
        <f>IFERROR(__xludf.DUMMYFUNCTION("""COMPUTED_VALUE"""),"Jasmuižas 11")</f>
        <v>Jasmuižas 11</v>
      </c>
      <c r="D2658" s="2">
        <f>IFERROR(__xludf.DUMMYFUNCTION("""COMPUTED_VALUE"""),2.0)</f>
        <v>2</v>
      </c>
      <c r="E2658" s="2">
        <f>IFERROR(__xludf.DUMMYFUNCTION("""COMPUTED_VALUE"""),47.0)</f>
        <v>47</v>
      </c>
      <c r="F2658" s="2">
        <f>IFERROR(__xludf.DUMMYFUNCTION("""COMPUTED_VALUE"""),4.0)</f>
        <v>4</v>
      </c>
      <c r="G2658" s="2">
        <f>IFERROR(__xludf.DUMMYFUNCTION("""COMPUTED_VALUE"""),8.0)</f>
        <v>8</v>
      </c>
      <c r="H2658" s="2">
        <f>IFERROR(__xludf.DUMMYFUNCTION("""COMPUTED_VALUE"""),602.0)</f>
        <v>602</v>
      </c>
      <c r="I2658" s="2" t="str">
        <f>IFERROR(__xludf.DUMMYFUNCTION("""COMPUTED_VALUE"""),"Panel")</f>
        <v>Panel</v>
      </c>
      <c r="J2658" s="2" t="str">
        <f>IFERROR(__xludf.DUMMYFUNCTION("""COMPUTED_VALUE"""),"All amenities")</f>
        <v>All amenities</v>
      </c>
      <c r="K2658" s="2">
        <f>IFERROR(__xludf.DUMMYFUNCTION("""COMPUTED_VALUE"""),52900.0)</f>
        <v>52900</v>
      </c>
      <c r="L2658" s="2">
        <f>IFERROR(__xludf.DUMMYFUNCTION("""COMPUTED_VALUE"""),56.936719)</f>
        <v>56.936719</v>
      </c>
      <c r="M2658" s="2">
        <f>IFERROR(__xludf.DUMMYFUNCTION("""COMPUTED_VALUE"""),24.2115553169076)</f>
        <v>24.21155532</v>
      </c>
    </row>
    <row r="2659">
      <c r="A2659" s="2" t="str">
        <f>IFERROR(__xludf.DUMMYFUNCTION("""COMPUTED_VALUE"""),"For sale")</f>
        <v>For sale</v>
      </c>
      <c r="B2659" s="2" t="str">
        <f>IFERROR(__xludf.DUMMYFUNCTION("""COMPUTED_VALUE"""),"Mežciems")</f>
        <v>Mežciems</v>
      </c>
      <c r="C2659" s="2" t="str">
        <f>IFERROR(__xludf.DUMMYFUNCTION("""COMPUTED_VALUE"""),"Druvienas 36")</f>
        <v>Druvienas 36</v>
      </c>
      <c r="D2659" s="2">
        <f>IFERROR(__xludf.DUMMYFUNCTION("""COMPUTED_VALUE"""),3.0)</f>
        <v>3</v>
      </c>
      <c r="E2659" s="2">
        <f>IFERROR(__xludf.DUMMYFUNCTION("""COMPUTED_VALUE"""),62.0)</f>
        <v>62</v>
      </c>
      <c r="F2659" s="2">
        <f>IFERROR(__xludf.DUMMYFUNCTION("""COMPUTED_VALUE"""),5.0)</f>
        <v>5</v>
      </c>
      <c r="G2659" s="2">
        <f>IFERROR(__xludf.DUMMYFUNCTION("""COMPUTED_VALUE"""),9.0)</f>
        <v>9</v>
      </c>
      <c r="H2659" s="2">
        <f>IFERROR(__xludf.DUMMYFUNCTION("""COMPUTED_VALUE"""),602.0)</f>
        <v>602</v>
      </c>
      <c r="I2659" s="2" t="str">
        <f>IFERROR(__xludf.DUMMYFUNCTION("""COMPUTED_VALUE"""),"Panel")</f>
        <v>Panel</v>
      </c>
      <c r="J2659" s="2" t="str">
        <f>IFERROR(__xludf.DUMMYFUNCTION("""COMPUTED_VALUE"""),"All amenities")</f>
        <v>All amenities</v>
      </c>
      <c r="K2659" s="2">
        <f>IFERROR(__xludf.DUMMYFUNCTION("""COMPUTED_VALUE"""),65000.0)</f>
        <v>65000</v>
      </c>
      <c r="L2659" s="2">
        <f>IFERROR(__xludf.DUMMYFUNCTION("""COMPUTED_VALUE"""),56.970495)</f>
        <v>56.970495</v>
      </c>
      <c r="M2659" s="2">
        <f>IFERROR(__xludf.DUMMYFUNCTION("""COMPUTED_VALUE"""),24.2327076100665)</f>
        <v>24.23270761</v>
      </c>
    </row>
    <row r="2660">
      <c r="A2660" s="2" t="str">
        <f>IFERROR(__xludf.DUMMYFUNCTION("""COMPUTED_VALUE"""),"For sale")</f>
        <v>For sale</v>
      </c>
      <c r="B2660" s="2" t="str">
        <f>IFERROR(__xludf.DUMMYFUNCTION("""COMPUTED_VALUE"""),"Ķengarags")</f>
        <v>Ķengarags</v>
      </c>
      <c r="C2660" s="2" t="str">
        <f>IFERROR(__xludf.DUMMYFUNCTION("""COMPUTED_VALUE"""),"Maskavas 250/6")</f>
        <v>Maskavas 250/6</v>
      </c>
      <c r="D2660" s="2">
        <f>IFERROR(__xludf.DUMMYFUNCTION("""COMPUTED_VALUE"""),2.0)</f>
        <v>2</v>
      </c>
      <c r="E2660" s="2">
        <f>IFERROR(__xludf.DUMMYFUNCTION("""COMPUTED_VALUE"""),37.0)</f>
        <v>37</v>
      </c>
      <c r="F2660" s="2">
        <f>IFERROR(__xludf.DUMMYFUNCTION("""COMPUTED_VALUE"""),1.0)</f>
        <v>1</v>
      </c>
      <c r="G2660" s="2">
        <f>IFERROR(__xludf.DUMMYFUNCTION("""COMPUTED_VALUE"""),5.0)</f>
        <v>5</v>
      </c>
      <c r="H2660" s="2" t="str">
        <f>IFERROR(__xludf.DUMMYFUNCTION("""COMPUTED_VALUE"""),"LT proj.")</f>
        <v>LT proj.</v>
      </c>
      <c r="I2660" s="2" t="str">
        <f>IFERROR(__xludf.DUMMYFUNCTION("""COMPUTED_VALUE"""),"Panel")</f>
        <v>Panel</v>
      </c>
      <c r="J2660" s="2" t="str">
        <f>IFERROR(__xludf.DUMMYFUNCTION("""COMPUTED_VALUE"""),"All amenities")</f>
        <v>All amenities</v>
      </c>
      <c r="K2660" s="2">
        <f>IFERROR(__xludf.DUMMYFUNCTION("""COMPUTED_VALUE"""),25700.0)</f>
        <v>25700</v>
      </c>
      <c r="L2660" s="2">
        <f>IFERROR(__xludf.DUMMYFUNCTION("""COMPUTED_VALUE"""),56.887204)</f>
        <v>56.887204</v>
      </c>
      <c r="M2660" s="2">
        <f>IFERROR(__xludf.DUMMYFUNCTION("""COMPUTED_VALUE"""),24.2335864)</f>
        <v>24.2335864</v>
      </c>
    </row>
    <row r="2661">
      <c r="A2661" s="2" t="str">
        <f>IFERROR(__xludf.DUMMYFUNCTION("""COMPUTED_VALUE"""),"For sale")</f>
        <v>For sale</v>
      </c>
      <c r="B2661" s="2" t="str">
        <f>IFERROR(__xludf.DUMMYFUNCTION("""COMPUTED_VALUE"""),"Purvciems")</f>
        <v>Purvciems</v>
      </c>
      <c r="C2661" s="2" t="str">
        <f>IFERROR(__xludf.DUMMYFUNCTION("""COMPUTED_VALUE"""),"Nīcgales 53")</f>
        <v>Nīcgales 53</v>
      </c>
      <c r="D2661" s="2">
        <f>IFERROR(__xludf.DUMMYFUNCTION("""COMPUTED_VALUE"""),1.0)</f>
        <v>1</v>
      </c>
      <c r="E2661" s="2">
        <f>IFERROR(__xludf.DUMMYFUNCTION("""COMPUTED_VALUE"""),42.0)</f>
        <v>42</v>
      </c>
      <c r="F2661" s="2">
        <f>IFERROR(__xludf.DUMMYFUNCTION("""COMPUTED_VALUE"""),5.0)</f>
        <v>5</v>
      </c>
      <c r="G2661" s="2">
        <f>IFERROR(__xludf.DUMMYFUNCTION("""COMPUTED_VALUE"""),5.0)</f>
        <v>5</v>
      </c>
      <c r="H2661" s="2" t="str">
        <f>IFERROR(__xludf.DUMMYFUNCTION("""COMPUTED_VALUE"""),"M. ģim.")</f>
        <v>M. ģim.</v>
      </c>
      <c r="I2661" s="2" t="str">
        <f>IFERROR(__xludf.DUMMYFUNCTION("""COMPUTED_VALUE"""),"Brick-Panel")</f>
        <v>Brick-Panel</v>
      </c>
      <c r="J2661" s="2" t="str">
        <f>IFERROR(__xludf.DUMMYFUNCTION("""COMPUTED_VALUE"""),"All amenities")</f>
        <v>All amenities</v>
      </c>
      <c r="K2661" s="2">
        <f>IFERROR(__xludf.DUMMYFUNCTION("""COMPUTED_VALUE"""),27000.0)</f>
        <v>27000</v>
      </c>
      <c r="L2661" s="2">
        <f>IFERROR(__xludf.DUMMYFUNCTION("""COMPUTED_VALUE"""),56.9449973)</f>
        <v>56.9449973</v>
      </c>
      <c r="M2661" s="2">
        <f>IFERROR(__xludf.DUMMYFUNCTION("""COMPUTED_VALUE"""),24.1732463)</f>
        <v>24.1732463</v>
      </c>
    </row>
    <row r="2662">
      <c r="A2662" s="2" t="str">
        <f>IFERROR(__xludf.DUMMYFUNCTION("""COMPUTED_VALUE"""),"For rent")</f>
        <v>For rent</v>
      </c>
      <c r="B2662" s="2" t="str">
        <f>IFERROR(__xludf.DUMMYFUNCTION("""COMPUTED_VALUE"""),"Mežciems")</f>
        <v>Mežciems</v>
      </c>
      <c r="C2662" s="2" t="str">
        <f>IFERROR(__xludf.DUMMYFUNCTION("""COMPUTED_VALUE"""),"Kaivas 29")</f>
        <v>Kaivas 29</v>
      </c>
      <c r="D2662" s="2">
        <f>IFERROR(__xludf.DUMMYFUNCTION("""COMPUTED_VALUE"""),2.0)</f>
        <v>2</v>
      </c>
      <c r="E2662" s="2">
        <f>IFERROR(__xludf.DUMMYFUNCTION("""COMPUTED_VALUE"""),62.0)</f>
        <v>62</v>
      </c>
      <c r="F2662" s="2">
        <f>IFERROR(__xludf.DUMMYFUNCTION("""COMPUTED_VALUE"""),1.0)</f>
        <v>1</v>
      </c>
      <c r="G2662" s="2">
        <f>IFERROR(__xludf.DUMMYFUNCTION("""COMPUTED_VALUE"""),4.0)</f>
        <v>4</v>
      </c>
      <c r="H2662" s="2" t="str">
        <f>IFERROR(__xludf.DUMMYFUNCTION("""COMPUTED_VALUE"""),"Jaun.")</f>
        <v>Jaun.</v>
      </c>
      <c r="I2662" s="2" t="str">
        <f>IFERROR(__xludf.DUMMYFUNCTION("""COMPUTED_VALUE"""),"Panel")</f>
        <v>Panel</v>
      </c>
      <c r="J2662" s="2" t="str">
        <f>IFERROR(__xludf.DUMMYFUNCTION("""COMPUTED_VALUE"""),"All amenities")</f>
        <v>All amenities</v>
      </c>
      <c r="K2662" s="2">
        <f>IFERROR(__xludf.DUMMYFUNCTION("""COMPUTED_VALUE"""),50.0)</f>
        <v>50</v>
      </c>
      <c r="L2662" s="2">
        <f>IFERROR(__xludf.DUMMYFUNCTION("""COMPUTED_VALUE"""),56.9503372)</f>
        <v>56.9503372</v>
      </c>
      <c r="M2662" s="2">
        <f>IFERROR(__xludf.DUMMYFUNCTION("""COMPUTED_VALUE"""),24.2445141015604)</f>
        <v>24.2445141</v>
      </c>
    </row>
    <row r="2663">
      <c r="A2663" s="2" t="str">
        <f>IFERROR(__xludf.DUMMYFUNCTION("""COMPUTED_VALUE"""),"For rent")</f>
        <v>For rent</v>
      </c>
      <c r="B2663" s="2" t="str">
        <f>IFERROR(__xludf.DUMMYFUNCTION("""COMPUTED_VALUE"""),"centrs")</f>
        <v>centrs</v>
      </c>
      <c r="C2663" s="2" t="str">
        <f>IFERROR(__xludf.DUMMYFUNCTION("""COMPUTED_VALUE"""),"Pērnavas 57")</f>
        <v>Pērnavas 57</v>
      </c>
      <c r="D2663" s="2">
        <f>IFERROR(__xludf.DUMMYFUNCTION("""COMPUTED_VALUE"""),2.0)</f>
        <v>2</v>
      </c>
      <c r="E2663" s="2">
        <f>IFERROR(__xludf.DUMMYFUNCTION("""COMPUTED_VALUE"""),50.0)</f>
        <v>50</v>
      </c>
      <c r="F2663" s="2">
        <f>IFERROR(__xludf.DUMMYFUNCTION("""COMPUTED_VALUE"""),4.0)</f>
        <v>4</v>
      </c>
      <c r="G2663" s="2">
        <f>IFERROR(__xludf.DUMMYFUNCTION("""COMPUTED_VALUE"""),4.0)</f>
        <v>4</v>
      </c>
      <c r="H2663" s="2" t="str">
        <f>IFERROR(__xludf.DUMMYFUNCTION("""COMPUTED_VALUE"""),"P. kara")</f>
        <v>P. kara</v>
      </c>
      <c r="I2663" s="2" t="str">
        <f>IFERROR(__xludf.DUMMYFUNCTION("""COMPUTED_VALUE"""),"Masonry")</f>
        <v>Masonry</v>
      </c>
      <c r="J2663" s="2" t="str">
        <f>IFERROR(__xludf.DUMMYFUNCTION("""COMPUTED_VALUE"""),"Partial amenities")</f>
        <v>Partial amenities</v>
      </c>
      <c r="K2663" s="2">
        <f>IFERROR(__xludf.DUMMYFUNCTION("""COMPUTED_VALUE"""),250.0)</f>
        <v>250</v>
      </c>
      <c r="L2663" s="2">
        <f>IFERROR(__xludf.DUMMYFUNCTION("""COMPUTED_VALUE"""),56.9528832999999)</f>
        <v>56.9528833</v>
      </c>
      <c r="M2663" s="2">
        <f>IFERROR(__xludf.DUMMYFUNCTION("""COMPUTED_VALUE"""),24.1541402979014)</f>
        <v>24.1541403</v>
      </c>
    </row>
    <row r="2664">
      <c r="A2664" s="2" t="str">
        <f>IFERROR(__xludf.DUMMYFUNCTION("""COMPUTED_VALUE"""),"For rent")</f>
        <v>For rent</v>
      </c>
      <c r="B2664" s="2" t="str">
        <f>IFERROR(__xludf.DUMMYFUNCTION("""COMPUTED_VALUE"""),"centrs")</f>
        <v>centrs</v>
      </c>
      <c r="C2664" s="2" t="str">
        <f>IFERROR(__xludf.DUMMYFUNCTION("""COMPUTED_VALUE"""),"Vesetas 24")</f>
        <v>Vesetas 24</v>
      </c>
      <c r="D2664" s="2">
        <f>IFERROR(__xludf.DUMMYFUNCTION("""COMPUTED_VALUE"""),2.0)</f>
        <v>2</v>
      </c>
      <c r="E2664" s="2">
        <f>IFERROR(__xludf.DUMMYFUNCTION("""COMPUTED_VALUE"""),43.0)</f>
        <v>43</v>
      </c>
      <c r="F2664" s="2">
        <f>IFERROR(__xludf.DUMMYFUNCTION("""COMPUTED_VALUE"""),7.0)</f>
        <v>7</v>
      </c>
      <c r="G2664" s="2">
        <f>IFERROR(__xludf.DUMMYFUNCTION("""COMPUTED_VALUE"""),10.0)</f>
        <v>10</v>
      </c>
      <c r="H2664" s="2" t="str">
        <f>IFERROR(__xludf.DUMMYFUNCTION("""COMPUTED_VALUE"""),"Jaun.")</f>
        <v>Jaun.</v>
      </c>
      <c r="I2664" s="2" t="str">
        <f>IFERROR(__xludf.DUMMYFUNCTION("""COMPUTED_VALUE"""),"Panel")</f>
        <v>Panel</v>
      </c>
      <c r="J2664" s="2" t="str">
        <f>IFERROR(__xludf.DUMMYFUNCTION("""COMPUTED_VALUE"""),"All amenities")</f>
        <v>All amenities</v>
      </c>
      <c r="K2664" s="2">
        <f>IFERROR(__xludf.DUMMYFUNCTION("""COMPUTED_VALUE"""),600.0)</f>
        <v>600</v>
      </c>
      <c r="L2664" s="2">
        <f>IFERROR(__xludf.DUMMYFUNCTION("""COMPUTED_VALUE"""),56.9628209)</f>
        <v>56.9628209</v>
      </c>
      <c r="M2664" s="2">
        <f>IFERROR(__xludf.DUMMYFUNCTION("""COMPUTED_VALUE"""),24.1203782)</f>
        <v>24.1203782</v>
      </c>
    </row>
    <row r="2665">
      <c r="A2665" s="2" t="str">
        <f>IFERROR(__xludf.DUMMYFUNCTION("""COMPUTED_VALUE"""),"For sale")</f>
        <v>For sale</v>
      </c>
      <c r="B2665" s="2" t="str">
        <f>IFERROR(__xludf.DUMMYFUNCTION("""COMPUTED_VALUE"""),"Krasta r-ns")</f>
        <v>Krasta r-ns</v>
      </c>
      <c r="C2665" s="2" t="str">
        <f>IFERROR(__xludf.DUMMYFUNCTION("""COMPUTED_VALUE"""),"Kojusalas 25")</f>
        <v>Kojusalas 25</v>
      </c>
      <c r="D2665" s="2">
        <f>IFERROR(__xludf.DUMMYFUNCTION("""COMPUTED_VALUE"""),2.0)</f>
        <v>2</v>
      </c>
      <c r="E2665" s="2">
        <f>IFERROR(__xludf.DUMMYFUNCTION("""COMPUTED_VALUE"""),37.0)</f>
        <v>37</v>
      </c>
      <c r="F2665" s="2">
        <f>IFERROR(__xludf.DUMMYFUNCTION("""COMPUTED_VALUE"""),2.0)</f>
        <v>2</v>
      </c>
      <c r="G2665" s="2">
        <f>IFERROR(__xludf.DUMMYFUNCTION("""COMPUTED_VALUE"""),3.0)</f>
        <v>3</v>
      </c>
      <c r="H2665" s="2" t="str">
        <f>IFERROR(__xludf.DUMMYFUNCTION("""COMPUTED_VALUE"""),"P. kara")</f>
        <v>P. kara</v>
      </c>
      <c r="I2665" s="2" t="str">
        <f>IFERROR(__xludf.DUMMYFUNCTION("""COMPUTED_VALUE"""),"Brick")</f>
        <v>Brick</v>
      </c>
      <c r="J2665" s="2" t="str">
        <f>IFERROR(__xludf.DUMMYFUNCTION("""COMPUTED_VALUE"""),"All amenities")</f>
        <v>All amenities</v>
      </c>
      <c r="K2665" s="2">
        <f>IFERROR(__xludf.DUMMYFUNCTION("""COMPUTED_VALUE"""),42800.0)</f>
        <v>42800</v>
      </c>
      <c r="L2665" s="2">
        <f>IFERROR(__xludf.DUMMYFUNCTION("""COMPUTED_VALUE"""),56.93353555)</f>
        <v>56.93353555</v>
      </c>
      <c r="M2665" s="2">
        <f>IFERROR(__xludf.DUMMYFUNCTION("""COMPUTED_VALUE"""),24.1560216471009)</f>
        <v>24.15602165</v>
      </c>
    </row>
    <row r="2666">
      <c r="A2666" s="2" t="str">
        <f>IFERROR(__xludf.DUMMYFUNCTION("""COMPUTED_VALUE"""),"For rent")</f>
        <v>For rent</v>
      </c>
      <c r="B2666" s="2" t="str">
        <f>IFERROR(__xludf.DUMMYFUNCTION("""COMPUTED_VALUE"""),"Iļģuciems")</f>
        <v>Iļģuciems</v>
      </c>
      <c r="C2666" s="2" t="str">
        <f>IFERROR(__xludf.DUMMYFUNCTION("""COMPUTED_VALUE"""),"Motoru 7")</f>
        <v>Motoru 7</v>
      </c>
      <c r="D2666" s="2">
        <f>IFERROR(__xludf.DUMMYFUNCTION("""COMPUTED_VALUE"""),1.0)</f>
        <v>1</v>
      </c>
      <c r="E2666" s="2">
        <f>IFERROR(__xludf.DUMMYFUNCTION("""COMPUTED_VALUE"""),27.0)</f>
        <v>27</v>
      </c>
      <c r="F2666" s="2">
        <f>IFERROR(__xludf.DUMMYFUNCTION("""COMPUTED_VALUE"""),1.0)</f>
        <v>1</v>
      </c>
      <c r="G2666" s="2">
        <f>IFERROR(__xludf.DUMMYFUNCTION("""COMPUTED_VALUE"""),5.0)</f>
        <v>5</v>
      </c>
      <c r="H2666" s="2" t="str">
        <f>IFERROR(__xludf.DUMMYFUNCTION("""COMPUTED_VALUE"""),"LT proj.")</f>
        <v>LT proj.</v>
      </c>
      <c r="I2666" s="2" t="str">
        <f>IFERROR(__xludf.DUMMYFUNCTION("""COMPUTED_VALUE"""),"Panel")</f>
        <v>Panel</v>
      </c>
      <c r="J2666" s="2" t="str">
        <f>IFERROR(__xludf.DUMMYFUNCTION("""COMPUTED_VALUE"""),"All amenities")</f>
        <v>All amenities</v>
      </c>
      <c r="K2666" s="2">
        <f>IFERROR(__xludf.DUMMYFUNCTION("""COMPUTED_VALUE"""),250.0)</f>
        <v>250</v>
      </c>
      <c r="L2666" s="2">
        <f>IFERROR(__xludf.DUMMYFUNCTION("""COMPUTED_VALUE"""),56.97008835)</f>
        <v>56.97008835</v>
      </c>
      <c r="M2666" s="2">
        <f>IFERROR(__xludf.DUMMYFUNCTION("""COMPUTED_VALUE"""),24.0668175830755)</f>
        <v>24.06681758</v>
      </c>
    </row>
    <row r="2667">
      <c r="A2667" s="2" t="str">
        <f>IFERROR(__xludf.DUMMYFUNCTION("""COMPUTED_VALUE"""),"For sale")</f>
        <v>For sale</v>
      </c>
      <c r="B2667" s="2" t="str">
        <f>IFERROR(__xludf.DUMMYFUNCTION("""COMPUTED_VALUE"""),"Purvciems")</f>
        <v>Purvciems</v>
      </c>
      <c r="C2667" s="2" t="str">
        <f>IFERROR(__xludf.DUMMYFUNCTION("""COMPUTED_VALUE"""),"Dzelzavas 11")</f>
        <v>Dzelzavas 11</v>
      </c>
      <c r="D2667" s="2">
        <f>IFERROR(__xludf.DUMMYFUNCTION("""COMPUTED_VALUE"""),2.0)</f>
        <v>2</v>
      </c>
      <c r="E2667" s="2">
        <f>IFERROR(__xludf.DUMMYFUNCTION("""COMPUTED_VALUE"""),42.0)</f>
        <v>42</v>
      </c>
      <c r="F2667" s="2">
        <f>IFERROR(__xludf.DUMMYFUNCTION("""COMPUTED_VALUE"""),5.0)</f>
        <v>5</v>
      </c>
      <c r="G2667" s="2">
        <f>IFERROR(__xludf.DUMMYFUNCTION("""COMPUTED_VALUE"""),5.0)</f>
        <v>5</v>
      </c>
      <c r="H2667" s="2" t="str">
        <f>IFERROR(__xludf.DUMMYFUNCTION("""COMPUTED_VALUE"""),"Hrušč.")</f>
        <v>Hrušč.</v>
      </c>
      <c r="I2667" s="2" t="str">
        <f>IFERROR(__xludf.DUMMYFUNCTION("""COMPUTED_VALUE"""),"Brick")</f>
        <v>Brick</v>
      </c>
      <c r="J2667" s="2" t="str">
        <f>IFERROR(__xludf.DUMMYFUNCTION("""COMPUTED_VALUE"""),"All amenities")</f>
        <v>All amenities</v>
      </c>
      <c r="K2667" s="2">
        <f>IFERROR(__xludf.DUMMYFUNCTION("""COMPUTED_VALUE"""),55000.0)</f>
        <v>55000</v>
      </c>
      <c r="L2667" s="2">
        <f>IFERROR(__xludf.DUMMYFUNCTION("""COMPUTED_VALUE"""),56.96388685)</f>
        <v>56.96388685</v>
      </c>
      <c r="M2667" s="2">
        <f>IFERROR(__xludf.DUMMYFUNCTION("""COMPUTED_VALUE"""),24.1697506352613)</f>
        <v>24.16975064</v>
      </c>
    </row>
    <row r="2668">
      <c r="A2668" s="2" t="str">
        <f>IFERROR(__xludf.DUMMYFUNCTION("""COMPUTED_VALUE"""),"For sale")</f>
        <v>For sale</v>
      </c>
      <c r="B2668" s="2" t="str">
        <f>IFERROR(__xludf.DUMMYFUNCTION("""COMPUTED_VALUE"""),"Imanta")</f>
        <v>Imanta</v>
      </c>
      <c r="C2668" s="2" t="str">
        <f>IFERROR(__xludf.DUMMYFUNCTION("""COMPUTED_VALUE"""),"Rigondas g. 10")</f>
        <v>Rigondas g. 10</v>
      </c>
      <c r="D2668" s="2">
        <f>IFERROR(__xludf.DUMMYFUNCTION("""COMPUTED_VALUE"""),2.0)</f>
        <v>2</v>
      </c>
      <c r="E2668" s="2">
        <f>IFERROR(__xludf.DUMMYFUNCTION("""COMPUTED_VALUE"""),52.0)</f>
        <v>52</v>
      </c>
      <c r="F2668" s="2">
        <f>IFERROR(__xludf.DUMMYFUNCTION("""COMPUTED_VALUE"""),8.0)</f>
        <v>8</v>
      </c>
      <c r="G2668" s="2">
        <f>IFERROR(__xludf.DUMMYFUNCTION("""COMPUTED_VALUE"""),9.0)</f>
        <v>9</v>
      </c>
      <c r="H2668" s="2">
        <f>IFERROR(__xludf.DUMMYFUNCTION("""COMPUTED_VALUE"""),602.0)</f>
        <v>602</v>
      </c>
      <c r="I2668" s="2" t="str">
        <f>IFERROR(__xludf.DUMMYFUNCTION("""COMPUTED_VALUE"""),"Panel")</f>
        <v>Panel</v>
      </c>
      <c r="J2668" s="2" t="str">
        <f>IFERROR(__xludf.DUMMYFUNCTION("""COMPUTED_VALUE"""),"All amenities")</f>
        <v>All amenities</v>
      </c>
      <c r="K2668" s="2">
        <f>IFERROR(__xludf.DUMMYFUNCTION("""COMPUTED_VALUE"""),54000.0)</f>
        <v>54000</v>
      </c>
      <c r="L2668" s="2">
        <f>IFERROR(__xludf.DUMMYFUNCTION("""COMPUTED_VALUE"""),56.9648157)</f>
        <v>56.9648157</v>
      </c>
      <c r="M2668" s="2">
        <f>IFERROR(__xludf.DUMMYFUNCTION("""COMPUTED_VALUE"""),24.0190534)</f>
        <v>24.0190534</v>
      </c>
    </row>
    <row r="2669">
      <c r="A2669" s="2" t="str">
        <f>IFERROR(__xludf.DUMMYFUNCTION("""COMPUTED_VALUE"""),"For sale")</f>
        <v>For sale</v>
      </c>
      <c r="B2669" s="2" t="str">
        <f>IFERROR(__xludf.DUMMYFUNCTION("""COMPUTED_VALUE"""),"centrs")</f>
        <v>centrs</v>
      </c>
      <c r="C2669" s="2" t="str">
        <f>IFERROR(__xludf.DUMMYFUNCTION("""COMPUTED_VALUE"""),"Teātra 12")</f>
        <v>Teātra 12</v>
      </c>
      <c r="D2669" s="2">
        <f>IFERROR(__xludf.DUMMYFUNCTION("""COMPUTED_VALUE"""),5.0)</f>
        <v>5</v>
      </c>
      <c r="E2669" s="2">
        <f>IFERROR(__xludf.DUMMYFUNCTION("""COMPUTED_VALUE"""),136.0)</f>
        <v>136</v>
      </c>
      <c r="F2669" s="2">
        <f>IFERROR(__xludf.DUMMYFUNCTION("""COMPUTED_VALUE"""),6.0)</f>
        <v>6</v>
      </c>
      <c r="G2669" s="2">
        <f>IFERROR(__xludf.DUMMYFUNCTION("""COMPUTED_VALUE"""),7.0)</f>
        <v>7</v>
      </c>
      <c r="H2669" s="2" t="str">
        <f>IFERROR(__xludf.DUMMYFUNCTION("""COMPUTED_VALUE"""),"P. kara")</f>
        <v>P. kara</v>
      </c>
      <c r="I2669" s="2" t="str">
        <f>IFERROR(__xludf.DUMMYFUNCTION("""COMPUTED_VALUE"""),"Masonry")</f>
        <v>Masonry</v>
      </c>
      <c r="J2669" s="2" t="str">
        <f>IFERROR(__xludf.DUMMYFUNCTION("""COMPUTED_VALUE"""),"All amenities")</f>
        <v>All amenities</v>
      </c>
      <c r="K2669" s="2">
        <f>IFERROR(__xludf.DUMMYFUNCTION("""COMPUTED_VALUE"""),315000.0)</f>
        <v>315000</v>
      </c>
      <c r="L2669" s="2">
        <f>IFERROR(__xludf.DUMMYFUNCTION("""COMPUTED_VALUE"""),56.948853)</f>
        <v>56.948853</v>
      </c>
      <c r="M2669" s="2">
        <f>IFERROR(__xludf.DUMMYFUNCTION("""COMPUTED_VALUE"""),24.1124748)</f>
        <v>24.1124748</v>
      </c>
    </row>
    <row r="2670">
      <c r="A2670" s="2" t="str">
        <f>IFERROR(__xludf.DUMMYFUNCTION("""COMPUTED_VALUE"""),"For sale")</f>
        <v>For sale</v>
      </c>
      <c r="B2670" s="2" t="str">
        <f>IFERROR(__xludf.DUMMYFUNCTION("""COMPUTED_VALUE"""),"Dzegužkalns")</f>
        <v>Dzegužkalns</v>
      </c>
      <c r="C2670" s="2" t="str">
        <f>IFERROR(__xludf.DUMMYFUNCTION("""COMPUTED_VALUE"""),"Kreslera 1")</f>
        <v>Kreslera 1</v>
      </c>
      <c r="D2670" s="2">
        <f>IFERROR(__xludf.DUMMYFUNCTION("""COMPUTED_VALUE"""),4.0)</f>
        <v>4</v>
      </c>
      <c r="E2670" s="2">
        <f>IFERROR(__xludf.DUMMYFUNCTION("""COMPUTED_VALUE"""),89.6)</f>
        <v>89.6</v>
      </c>
      <c r="F2670" s="2">
        <f>IFERROR(__xludf.DUMMYFUNCTION("""COMPUTED_VALUE"""),1.0)</f>
        <v>1</v>
      </c>
      <c r="G2670" s="2">
        <f>IFERROR(__xludf.DUMMYFUNCTION("""COMPUTED_VALUE"""),3.0)</f>
        <v>3</v>
      </c>
      <c r="H2670" s="2" t="str">
        <f>IFERROR(__xludf.DUMMYFUNCTION("""COMPUTED_VALUE"""),"Specpr.")</f>
        <v>Specpr.</v>
      </c>
      <c r="I2670" s="2" t="str">
        <f>IFERROR(__xludf.DUMMYFUNCTION("""COMPUTED_VALUE"""),"Brick-Panel")</f>
        <v>Brick-Panel</v>
      </c>
      <c r="J2670" s="2" t="str">
        <f>IFERROR(__xludf.DUMMYFUNCTION("""COMPUTED_VALUE"""),"Partial amenities")</f>
        <v>Partial amenities</v>
      </c>
      <c r="K2670" s="2">
        <f>IFERROR(__xludf.DUMMYFUNCTION("""COMPUTED_VALUE"""),41000.0)</f>
        <v>41000</v>
      </c>
      <c r="L2670" s="2">
        <f>IFERROR(__xludf.DUMMYFUNCTION("""COMPUTED_VALUE"""),56.96337905)</f>
        <v>56.96337905</v>
      </c>
      <c r="M2670" s="2">
        <f>IFERROR(__xludf.DUMMYFUNCTION("""COMPUTED_VALUE"""),24.0651286264855)</f>
        <v>24.06512863</v>
      </c>
    </row>
    <row r="2671">
      <c r="A2671" s="2" t="str">
        <f>IFERROR(__xludf.DUMMYFUNCTION("""COMPUTED_VALUE"""),"For sale")</f>
        <v>For sale</v>
      </c>
      <c r="B2671" s="2" t="str">
        <f>IFERROR(__xludf.DUMMYFUNCTION("""COMPUTED_VALUE"""),"Sarkandaugava")</f>
        <v>Sarkandaugava</v>
      </c>
      <c r="C2671" s="2" t="str">
        <f>IFERROR(__xludf.DUMMYFUNCTION("""COMPUTED_VALUE"""),"Ceļinieku 12")</f>
        <v>Ceļinieku 12</v>
      </c>
      <c r="D2671" s="2">
        <f>IFERROR(__xludf.DUMMYFUNCTION("""COMPUTED_VALUE"""),1.0)</f>
        <v>1</v>
      </c>
      <c r="E2671" s="2">
        <f>IFERROR(__xludf.DUMMYFUNCTION("""COMPUTED_VALUE"""),15.0)</f>
        <v>15</v>
      </c>
      <c r="F2671" s="2">
        <f>IFERROR(__xludf.DUMMYFUNCTION("""COMPUTED_VALUE"""),2.0)</f>
        <v>2</v>
      </c>
      <c r="G2671" s="2">
        <f>IFERROR(__xludf.DUMMYFUNCTION("""COMPUTED_VALUE"""),3.0)</f>
        <v>3</v>
      </c>
      <c r="H2671" s="2" t="str">
        <f>IFERROR(__xludf.DUMMYFUNCTION("""COMPUTED_VALUE"""),"P. kara")</f>
        <v>P. kara</v>
      </c>
      <c r="I2671" s="2" t="str">
        <f>IFERROR(__xludf.DUMMYFUNCTION("""COMPUTED_VALUE"""),"Masonry")</f>
        <v>Masonry</v>
      </c>
      <c r="J2671" s="2" t="str">
        <f>IFERROR(__xludf.DUMMYFUNCTION("""COMPUTED_VALUE"""),"Partial amenities")</f>
        <v>Partial amenities</v>
      </c>
      <c r="K2671" s="2">
        <f>IFERROR(__xludf.DUMMYFUNCTION("""COMPUTED_VALUE"""),5370.0)</f>
        <v>5370</v>
      </c>
      <c r="L2671" s="2">
        <f>IFERROR(__xludf.DUMMYFUNCTION("""COMPUTED_VALUE"""),56.99682205)</f>
        <v>56.99682205</v>
      </c>
      <c r="M2671" s="2">
        <f>IFERROR(__xludf.DUMMYFUNCTION("""COMPUTED_VALUE"""),24.1280636132716)</f>
        <v>24.12806361</v>
      </c>
    </row>
    <row r="2672">
      <c r="A2672" s="2" t="str">
        <f>IFERROR(__xludf.DUMMYFUNCTION("""COMPUTED_VALUE"""),"For sale")</f>
        <v>For sale</v>
      </c>
      <c r="B2672" s="2" t="str">
        <f>IFERROR(__xludf.DUMMYFUNCTION("""COMPUTED_VALUE"""),"Vecrīga")</f>
        <v>Vecrīga</v>
      </c>
      <c r="C2672" s="2" t="str">
        <f>IFERROR(__xludf.DUMMYFUNCTION("""COMPUTED_VALUE"""),"Teātra 12")</f>
        <v>Teātra 12</v>
      </c>
      <c r="D2672" s="2">
        <f>IFERROR(__xludf.DUMMYFUNCTION("""COMPUTED_VALUE"""),5.0)</f>
        <v>5</v>
      </c>
      <c r="E2672" s="2">
        <f>IFERROR(__xludf.DUMMYFUNCTION("""COMPUTED_VALUE"""),136.0)</f>
        <v>136</v>
      </c>
      <c r="F2672" s="2">
        <f>IFERROR(__xludf.DUMMYFUNCTION("""COMPUTED_VALUE"""),6.0)</f>
        <v>6</v>
      </c>
      <c r="G2672" s="2">
        <f>IFERROR(__xludf.DUMMYFUNCTION("""COMPUTED_VALUE"""),7.0)</f>
        <v>7</v>
      </c>
      <c r="H2672" s="2" t="str">
        <f>IFERROR(__xludf.DUMMYFUNCTION("""COMPUTED_VALUE"""),"P. kara")</f>
        <v>P. kara</v>
      </c>
      <c r="I2672" s="2" t="str">
        <f>IFERROR(__xludf.DUMMYFUNCTION("""COMPUTED_VALUE"""),"Masonry")</f>
        <v>Masonry</v>
      </c>
      <c r="J2672" s="2" t="str">
        <f>IFERROR(__xludf.DUMMYFUNCTION("""COMPUTED_VALUE"""),"All amenities")</f>
        <v>All amenities</v>
      </c>
      <c r="K2672" s="2">
        <f>IFERROR(__xludf.DUMMYFUNCTION("""COMPUTED_VALUE"""),315000.0)</f>
        <v>315000</v>
      </c>
      <c r="L2672" s="2">
        <f>IFERROR(__xludf.DUMMYFUNCTION("""COMPUTED_VALUE"""),56.948853)</f>
        <v>56.948853</v>
      </c>
      <c r="M2672" s="2">
        <f>IFERROR(__xludf.DUMMYFUNCTION("""COMPUTED_VALUE"""),24.1124748)</f>
        <v>24.1124748</v>
      </c>
    </row>
    <row r="2673">
      <c r="A2673" s="2" t="str">
        <f>IFERROR(__xludf.DUMMYFUNCTION("""COMPUTED_VALUE"""),"For rent")</f>
        <v>For rent</v>
      </c>
      <c r="B2673" s="2" t="str">
        <f>IFERROR(__xludf.DUMMYFUNCTION("""COMPUTED_VALUE"""),"centrs")</f>
        <v>centrs</v>
      </c>
      <c r="C2673" s="2" t="str">
        <f>IFERROR(__xludf.DUMMYFUNCTION("""COMPUTED_VALUE"""),"Brīvības iela 47")</f>
        <v>Brīvības iela 47</v>
      </c>
      <c r="D2673" s="2">
        <f>IFERROR(__xludf.DUMMYFUNCTION("""COMPUTED_VALUE"""),3.0)</f>
        <v>3</v>
      </c>
      <c r="E2673" s="2">
        <f>IFERROR(__xludf.DUMMYFUNCTION("""COMPUTED_VALUE"""),73.0)</f>
        <v>73</v>
      </c>
      <c r="F2673" s="2">
        <f>IFERROR(__xludf.DUMMYFUNCTION("""COMPUTED_VALUE"""),3.0)</f>
        <v>3</v>
      </c>
      <c r="G2673" s="2">
        <f>IFERROR(__xludf.DUMMYFUNCTION("""COMPUTED_VALUE"""),6.0)</f>
        <v>6</v>
      </c>
      <c r="H2673" s="2" t="str">
        <f>IFERROR(__xludf.DUMMYFUNCTION("""COMPUTED_VALUE"""),"P. kara")</f>
        <v>P. kara</v>
      </c>
      <c r="I2673" s="2" t="str">
        <f>IFERROR(__xludf.DUMMYFUNCTION("""COMPUTED_VALUE"""),"Masonry")</f>
        <v>Masonry</v>
      </c>
      <c r="J2673" s="2" t="str">
        <f>IFERROR(__xludf.DUMMYFUNCTION("""COMPUTED_VALUE"""),"All amenities")</f>
        <v>All amenities</v>
      </c>
      <c r="K2673" s="2">
        <f>IFERROR(__xludf.DUMMYFUNCTION("""COMPUTED_VALUE"""),850.0)</f>
        <v>850</v>
      </c>
      <c r="L2673" s="2">
        <f>IFERROR(__xludf.DUMMYFUNCTION("""COMPUTED_VALUE"""),56.956564)</f>
        <v>56.956564</v>
      </c>
      <c r="M2673" s="2">
        <f>IFERROR(__xludf.DUMMYFUNCTION("""COMPUTED_VALUE"""),24.1211605)</f>
        <v>24.1211605</v>
      </c>
    </row>
    <row r="2674">
      <c r="A2674" s="2" t="str">
        <f>IFERROR(__xludf.DUMMYFUNCTION("""COMPUTED_VALUE"""),"For rent")</f>
        <v>For rent</v>
      </c>
      <c r="B2674" s="2" t="str">
        <f>IFERROR(__xludf.DUMMYFUNCTION("""COMPUTED_VALUE"""),"centrs")</f>
        <v>centrs</v>
      </c>
      <c r="C2674" s="2" t="str">
        <f>IFERROR(__xludf.DUMMYFUNCTION("""COMPUTED_VALUE"""),"Tērbatas 83")</f>
        <v>Tērbatas 83</v>
      </c>
      <c r="D2674" s="2">
        <f>IFERROR(__xludf.DUMMYFUNCTION("""COMPUTED_VALUE"""),1.0)</f>
        <v>1</v>
      </c>
      <c r="E2674" s="2">
        <f>IFERROR(__xludf.DUMMYFUNCTION("""COMPUTED_VALUE"""),25.0)</f>
        <v>25</v>
      </c>
      <c r="F2674" s="2">
        <f>IFERROR(__xludf.DUMMYFUNCTION("""COMPUTED_VALUE"""),3.0)</f>
        <v>3</v>
      </c>
      <c r="G2674" s="2">
        <f>IFERROR(__xludf.DUMMYFUNCTION("""COMPUTED_VALUE"""),5.0)</f>
        <v>5</v>
      </c>
      <c r="H2674" s="2" t="str">
        <f>IFERROR(__xludf.DUMMYFUNCTION("""COMPUTED_VALUE"""),"Specpr.")</f>
        <v>Specpr.</v>
      </c>
      <c r="I2674" s="2" t="str">
        <f>IFERROR(__xludf.DUMMYFUNCTION("""COMPUTED_VALUE"""),"Panel")</f>
        <v>Panel</v>
      </c>
      <c r="J2674" s="2" t="str">
        <f>IFERROR(__xludf.DUMMYFUNCTION("""COMPUTED_VALUE"""),"All amenities")</f>
        <v>All amenities</v>
      </c>
      <c r="K2674" s="2">
        <f>IFERROR(__xludf.DUMMYFUNCTION("""COMPUTED_VALUE"""),24.0)</f>
        <v>24</v>
      </c>
      <c r="L2674" s="2">
        <f>IFERROR(__xludf.DUMMYFUNCTION("""COMPUTED_VALUE"""),56.9546515)</f>
        <v>56.9546515</v>
      </c>
      <c r="M2674" s="2">
        <f>IFERROR(__xludf.DUMMYFUNCTION("""COMPUTED_VALUE"""),24.1234373)</f>
        <v>24.1234373</v>
      </c>
    </row>
    <row r="2675">
      <c r="A2675" s="2" t="str">
        <f>IFERROR(__xludf.DUMMYFUNCTION("""COMPUTED_VALUE"""),"For sale")</f>
        <v>For sale</v>
      </c>
      <c r="B2675" s="2" t="str">
        <f>IFERROR(__xludf.DUMMYFUNCTION("""COMPUTED_VALUE"""),"Vecrīga")</f>
        <v>Vecrīga</v>
      </c>
      <c r="C2675" s="2" t="str">
        <f>IFERROR(__xludf.DUMMYFUNCTION("""COMPUTED_VALUE"""),"Jēkaba 26")</f>
        <v>Jēkaba 26</v>
      </c>
      <c r="D2675" s="2">
        <f>IFERROR(__xludf.DUMMYFUNCTION("""COMPUTED_VALUE"""),2.0)</f>
        <v>2</v>
      </c>
      <c r="E2675" s="2">
        <f>IFERROR(__xludf.DUMMYFUNCTION("""COMPUTED_VALUE"""),67.0)</f>
        <v>67</v>
      </c>
      <c r="F2675" s="2">
        <f>IFERROR(__xludf.DUMMYFUNCTION("""COMPUTED_VALUE"""),5.0)</f>
        <v>5</v>
      </c>
      <c r="G2675" s="2">
        <f>IFERROR(__xludf.DUMMYFUNCTION("""COMPUTED_VALUE"""),5.0)</f>
        <v>5</v>
      </c>
      <c r="H2675" s="2" t="str">
        <f>IFERROR(__xludf.DUMMYFUNCTION("""COMPUTED_VALUE"""),"P. kara")</f>
        <v>P. kara</v>
      </c>
      <c r="I2675" s="2" t="str">
        <f>IFERROR(__xludf.DUMMYFUNCTION("""COMPUTED_VALUE"""),"Masonry")</f>
        <v>Masonry</v>
      </c>
      <c r="J2675" s="2" t="str">
        <f>IFERROR(__xludf.DUMMYFUNCTION("""COMPUTED_VALUE"""),"All amenities")</f>
        <v>All amenities</v>
      </c>
      <c r="K2675" s="2">
        <f>IFERROR(__xludf.DUMMYFUNCTION("""COMPUTED_VALUE"""),145000.0)</f>
        <v>145000</v>
      </c>
      <c r="L2675" s="2">
        <f>IFERROR(__xludf.DUMMYFUNCTION("""COMPUTED_VALUE"""),56.952698)</f>
        <v>56.952698</v>
      </c>
      <c r="M2675" s="2">
        <f>IFERROR(__xludf.DUMMYFUNCTION("""COMPUTED_VALUE"""),24.1051471)</f>
        <v>24.1051471</v>
      </c>
    </row>
    <row r="2676">
      <c r="A2676" s="2" t="str">
        <f>IFERROR(__xludf.DUMMYFUNCTION("""COMPUTED_VALUE"""),"For sale")</f>
        <v>For sale</v>
      </c>
      <c r="B2676" s="2" t="str">
        <f>IFERROR(__xludf.DUMMYFUNCTION("""COMPUTED_VALUE"""),"Šķirotava")</f>
        <v>Šķirotava</v>
      </c>
      <c r="C2676" s="2" t="str">
        <f>IFERROR(__xludf.DUMMYFUNCTION("""COMPUTED_VALUE"""),"Šķirotavas 3a")</f>
        <v>Šķirotavas 3a</v>
      </c>
      <c r="D2676" s="2">
        <f>IFERROR(__xludf.DUMMYFUNCTION("""COMPUTED_VALUE"""),3.0)</f>
        <v>3</v>
      </c>
      <c r="E2676" s="2">
        <f>IFERROR(__xludf.DUMMYFUNCTION("""COMPUTED_VALUE"""),56.0)</f>
        <v>56</v>
      </c>
      <c r="F2676" s="2">
        <f>IFERROR(__xludf.DUMMYFUNCTION("""COMPUTED_VALUE"""),4.0)</f>
        <v>4</v>
      </c>
      <c r="G2676" s="2">
        <f>IFERROR(__xludf.DUMMYFUNCTION("""COMPUTED_VALUE"""),5.0)</f>
        <v>5</v>
      </c>
      <c r="H2676" s="2" t="str">
        <f>IFERROR(__xludf.DUMMYFUNCTION("""COMPUTED_VALUE"""),"Specpr.")</f>
        <v>Specpr.</v>
      </c>
      <c r="I2676" s="2" t="str">
        <f>IFERROR(__xludf.DUMMYFUNCTION("""COMPUTED_VALUE"""),"Brick")</f>
        <v>Brick</v>
      </c>
      <c r="J2676" s="2" t="str">
        <f>IFERROR(__xludf.DUMMYFUNCTION("""COMPUTED_VALUE"""),"All amenities")</f>
        <v>All amenities</v>
      </c>
      <c r="K2676" s="2">
        <f>IFERROR(__xludf.DUMMYFUNCTION("""COMPUTED_VALUE"""),34500.0)</f>
        <v>34500</v>
      </c>
      <c r="L2676" s="2">
        <f>IFERROR(__xludf.DUMMYFUNCTION("""COMPUTED_VALUE"""),56.9054036)</f>
        <v>56.9054036</v>
      </c>
      <c r="M2676" s="2">
        <f>IFERROR(__xludf.DUMMYFUNCTION("""COMPUTED_VALUE"""),24.2216505)</f>
        <v>24.2216505</v>
      </c>
    </row>
    <row r="2677">
      <c r="A2677" s="2" t="str">
        <f>IFERROR(__xludf.DUMMYFUNCTION("""COMPUTED_VALUE"""),"For sale")</f>
        <v>For sale</v>
      </c>
      <c r="B2677" s="2" t="str">
        <f>IFERROR(__xludf.DUMMYFUNCTION("""COMPUTED_VALUE"""),"Pļavnieki")</f>
        <v>Pļavnieki</v>
      </c>
      <c r="C2677" s="2" t="str">
        <f>IFERROR(__xludf.DUMMYFUNCTION("""COMPUTED_VALUE"""),"Salnas 28")</f>
        <v>Salnas 28</v>
      </c>
      <c r="D2677" s="2">
        <f>IFERROR(__xludf.DUMMYFUNCTION("""COMPUTED_VALUE"""),2.0)</f>
        <v>2</v>
      </c>
      <c r="E2677" s="2">
        <f>IFERROR(__xludf.DUMMYFUNCTION("""COMPUTED_VALUE"""),53.0)</f>
        <v>53</v>
      </c>
      <c r="F2677" s="2">
        <f>IFERROR(__xludf.DUMMYFUNCTION("""COMPUTED_VALUE"""),3.0)</f>
        <v>3</v>
      </c>
      <c r="G2677" s="2">
        <f>IFERROR(__xludf.DUMMYFUNCTION("""COMPUTED_VALUE"""),9.0)</f>
        <v>9</v>
      </c>
      <c r="H2677" s="2">
        <f>IFERROR(__xludf.DUMMYFUNCTION("""COMPUTED_VALUE"""),602.0)</f>
        <v>602</v>
      </c>
      <c r="I2677" s="2" t="str">
        <f>IFERROR(__xludf.DUMMYFUNCTION("""COMPUTED_VALUE"""),"Panel")</f>
        <v>Panel</v>
      </c>
      <c r="J2677" s="2" t="str">
        <f>IFERROR(__xludf.DUMMYFUNCTION("""COMPUTED_VALUE"""),"All amenities")</f>
        <v>All amenities</v>
      </c>
      <c r="K2677" s="2">
        <f>IFERROR(__xludf.DUMMYFUNCTION("""COMPUTED_VALUE"""),56000.0)</f>
        <v>56000</v>
      </c>
      <c r="L2677" s="2">
        <f>IFERROR(__xludf.DUMMYFUNCTION("""COMPUTED_VALUE"""),56.94096295)</f>
        <v>56.94096295</v>
      </c>
      <c r="M2677" s="2">
        <f>IFERROR(__xludf.DUMMYFUNCTION("""COMPUTED_VALUE"""),24.2262600527306)</f>
        <v>24.22626005</v>
      </c>
    </row>
    <row r="2678">
      <c r="A2678" s="2" t="str">
        <f>IFERROR(__xludf.DUMMYFUNCTION("""COMPUTED_VALUE"""),"For rent")</f>
        <v>For rent</v>
      </c>
      <c r="B2678" s="2" t="str">
        <f>IFERROR(__xludf.DUMMYFUNCTION("""COMPUTED_VALUE"""),"centrs")</f>
        <v>centrs</v>
      </c>
      <c r="C2678" s="2" t="str">
        <f>IFERROR(__xludf.DUMMYFUNCTION("""COMPUTED_VALUE"""),"Republikas laukums 3")</f>
        <v>Republikas laukums 3</v>
      </c>
      <c r="D2678" s="2">
        <f>IFERROR(__xludf.DUMMYFUNCTION("""COMPUTED_VALUE"""),2.0)</f>
        <v>2</v>
      </c>
      <c r="E2678" s="2">
        <f>IFERROR(__xludf.DUMMYFUNCTION("""COMPUTED_VALUE"""),40.0)</f>
        <v>40</v>
      </c>
      <c r="F2678" s="2">
        <f>IFERROR(__xludf.DUMMYFUNCTION("""COMPUTED_VALUE"""),3.0)</f>
        <v>3</v>
      </c>
      <c r="G2678" s="2">
        <f>IFERROR(__xludf.DUMMYFUNCTION("""COMPUTED_VALUE"""),6.0)</f>
        <v>6</v>
      </c>
      <c r="H2678" s="2" t="str">
        <f>IFERROR(__xludf.DUMMYFUNCTION("""COMPUTED_VALUE"""),"Jaun.")</f>
        <v>Jaun.</v>
      </c>
      <c r="I2678" s="2" t="str">
        <f>IFERROR(__xludf.DUMMYFUNCTION("""COMPUTED_VALUE"""),"Panel")</f>
        <v>Panel</v>
      </c>
      <c r="J2678" s="2" t="str">
        <f>IFERROR(__xludf.DUMMYFUNCTION("""COMPUTED_VALUE"""),"All amenities")</f>
        <v>All amenities</v>
      </c>
      <c r="K2678" s="2">
        <f>IFERROR(__xludf.DUMMYFUNCTION("""COMPUTED_VALUE"""),440.0)</f>
        <v>440</v>
      </c>
      <c r="L2678" s="2">
        <f>IFERROR(__xludf.DUMMYFUNCTION("""COMPUTED_VALUE"""),56.9552522)</f>
        <v>56.9552522</v>
      </c>
      <c r="M2678" s="2">
        <f>IFERROR(__xludf.DUMMYFUNCTION("""COMPUTED_VALUE"""),24.0999991251943)</f>
        <v>24.09999913</v>
      </c>
    </row>
    <row r="2679">
      <c r="A2679" s="2" t="str">
        <f>IFERROR(__xludf.DUMMYFUNCTION("""COMPUTED_VALUE"""),"For sale")</f>
        <v>For sale</v>
      </c>
      <c r="B2679" s="2" t="str">
        <f>IFERROR(__xludf.DUMMYFUNCTION("""COMPUTED_VALUE"""),"Mežciems")</f>
        <v>Mežciems</v>
      </c>
      <c r="C2679" s="2" t="str">
        <f>IFERROR(__xludf.DUMMYFUNCTION("""COMPUTED_VALUE"""),"Gaiļezera 4")</f>
        <v>Gaiļezera 4</v>
      </c>
      <c r="D2679" s="2">
        <f>IFERROR(__xludf.DUMMYFUNCTION("""COMPUTED_VALUE"""),4.0)</f>
        <v>4</v>
      </c>
      <c r="E2679" s="2">
        <f>IFERROR(__xludf.DUMMYFUNCTION("""COMPUTED_VALUE"""),124.0)</f>
        <v>124</v>
      </c>
      <c r="F2679" s="2">
        <f>IFERROR(__xludf.DUMMYFUNCTION("""COMPUTED_VALUE"""),9.0)</f>
        <v>9</v>
      </c>
      <c r="G2679" s="2">
        <f>IFERROR(__xludf.DUMMYFUNCTION("""COMPUTED_VALUE"""),10.0)</f>
        <v>10</v>
      </c>
      <c r="H2679" s="2">
        <f>IFERROR(__xludf.DUMMYFUNCTION("""COMPUTED_VALUE"""),602.0)</f>
        <v>602</v>
      </c>
      <c r="I2679" s="2" t="str">
        <f>IFERROR(__xludf.DUMMYFUNCTION("""COMPUTED_VALUE"""),"Panel")</f>
        <v>Panel</v>
      </c>
      <c r="J2679" s="2" t="str">
        <f>IFERROR(__xludf.DUMMYFUNCTION("""COMPUTED_VALUE"""),"All amenities")</f>
        <v>All amenities</v>
      </c>
      <c r="K2679" s="2">
        <f>IFERROR(__xludf.DUMMYFUNCTION("""COMPUTED_VALUE"""),103000.0)</f>
        <v>103000</v>
      </c>
      <c r="L2679" s="2">
        <f>IFERROR(__xludf.DUMMYFUNCTION("""COMPUTED_VALUE"""),56.967948)</f>
        <v>56.967948</v>
      </c>
      <c r="M2679" s="2">
        <f>IFERROR(__xludf.DUMMYFUNCTION("""COMPUTED_VALUE"""),24.2351586311777)</f>
        <v>24.23515863</v>
      </c>
    </row>
    <row r="2680">
      <c r="A2680" s="2" t="str">
        <f>IFERROR(__xludf.DUMMYFUNCTION("""COMPUTED_VALUE"""),"For sale")</f>
        <v>For sale</v>
      </c>
      <c r="B2680" s="2" t="str">
        <f>IFERROR(__xludf.DUMMYFUNCTION("""COMPUTED_VALUE"""),"centrs")</f>
        <v>centrs</v>
      </c>
      <c r="C2680" s="2" t="str">
        <f>IFERROR(__xludf.DUMMYFUNCTION("""COMPUTED_VALUE"""),"Zaļā 7")</f>
        <v>Zaļā 7</v>
      </c>
      <c r="D2680" s="2">
        <f>IFERROR(__xludf.DUMMYFUNCTION("""COMPUTED_VALUE"""),3.0)</f>
        <v>3</v>
      </c>
      <c r="E2680" s="2">
        <f>IFERROR(__xludf.DUMMYFUNCTION("""COMPUTED_VALUE"""),75.0)</f>
        <v>75</v>
      </c>
      <c r="F2680" s="2">
        <f>IFERROR(__xludf.DUMMYFUNCTION("""COMPUTED_VALUE"""),1.0)</f>
        <v>1</v>
      </c>
      <c r="G2680" s="2">
        <f>IFERROR(__xludf.DUMMYFUNCTION("""COMPUTED_VALUE"""),4.0)</f>
        <v>4</v>
      </c>
      <c r="H2680" s="2" t="str">
        <f>IFERROR(__xludf.DUMMYFUNCTION("""COMPUTED_VALUE"""),"P. kara")</f>
        <v>P. kara</v>
      </c>
      <c r="I2680" s="2" t="str">
        <f>IFERROR(__xludf.DUMMYFUNCTION("""COMPUTED_VALUE"""),"Brick")</f>
        <v>Brick</v>
      </c>
      <c r="J2680" s="2" t="str">
        <f>IFERROR(__xludf.DUMMYFUNCTION("""COMPUTED_VALUE"""),"All amenities")</f>
        <v>All amenities</v>
      </c>
      <c r="K2680" s="2">
        <f>IFERROR(__xludf.DUMMYFUNCTION("""COMPUTED_VALUE"""),129000.0)</f>
        <v>129000</v>
      </c>
      <c r="L2680" s="2">
        <f>IFERROR(__xludf.DUMMYFUNCTION("""COMPUTED_VALUE"""),56.9589017)</f>
        <v>56.9589017</v>
      </c>
      <c r="M2680" s="2">
        <f>IFERROR(__xludf.DUMMYFUNCTION("""COMPUTED_VALUE"""),24.1144608)</f>
        <v>24.1144608</v>
      </c>
    </row>
    <row r="2681">
      <c r="A2681" s="2" t="str">
        <f>IFERROR(__xludf.DUMMYFUNCTION("""COMPUTED_VALUE"""),"For sale")</f>
        <v>For sale</v>
      </c>
      <c r="B2681" s="2" t="str">
        <f>IFERROR(__xludf.DUMMYFUNCTION("""COMPUTED_VALUE"""),"Mežciems")</f>
        <v>Mežciems</v>
      </c>
      <c r="C2681" s="2" t="str">
        <f>IFERROR(__xludf.DUMMYFUNCTION("""COMPUTED_VALUE"""),"Kaivas 50")</f>
        <v>Kaivas 50</v>
      </c>
      <c r="D2681" s="2">
        <f>IFERROR(__xludf.DUMMYFUNCTION("""COMPUTED_VALUE"""),3.0)</f>
        <v>3</v>
      </c>
      <c r="E2681" s="2">
        <f>IFERROR(__xludf.DUMMYFUNCTION("""COMPUTED_VALUE"""),88.0)</f>
        <v>88</v>
      </c>
      <c r="F2681" s="2">
        <f>IFERROR(__xludf.DUMMYFUNCTION("""COMPUTED_VALUE"""),4.0)</f>
        <v>4</v>
      </c>
      <c r="G2681" s="2">
        <f>IFERROR(__xludf.DUMMYFUNCTION("""COMPUTED_VALUE"""),5.0)</f>
        <v>5</v>
      </c>
      <c r="H2681" s="2" t="str">
        <f>IFERROR(__xludf.DUMMYFUNCTION("""COMPUTED_VALUE"""),"Jaun.")</f>
        <v>Jaun.</v>
      </c>
      <c r="I2681" s="2" t="str">
        <f>IFERROR(__xludf.DUMMYFUNCTION("""COMPUTED_VALUE"""),"Panel-Brick")</f>
        <v>Panel-Brick</v>
      </c>
      <c r="J2681" s="2" t="str">
        <f>IFERROR(__xludf.DUMMYFUNCTION("""COMPUTED_VALUE"""),"All amenities")</f>
        <v>All amenities</v>
      </c>
      <c r="K2681" s="2">
        <f>IFERROR(__xludf.DUMMYFUNCTION("""COMPUTED_VALUE"""),110250.0)</f>
        <v>110250</v>
      </c>
      <c r="L2681" s="2">
        <f>IFERROR(__xludf.DUMMYFUNCTION("""COMPUTED_VALUE"""),56.95546705)</f>
        <v>56.95546705</v>
      </c>
      <c r="M2681" s="2">
        <f>IFERROR(__xludf.DUMMYFUNCTION("""COMPUTED_VALUE"""),24.24181865)</f>
        <v>24.24181865</v>
      </c>
    </row>
    <row r="2682">
      <c r="A2682" s="2" t="str">
        <f>IFERROR(__xludf.DUMMYFUNCTION("""COMPUTED_VALUE"""),"For rent")</f>
        <v>For rent</v>
      </c>
      <c r="B2682" s="2" t="str">
        <f>IFERROR(__xludf.DUMMYFUNCTION("""COMPUTED_VALUE"""),"Imanta")</f>
        <v>Imanta</v>
      </c>
      <c r="C2682" s="2" t="str">
        <f>IFERROR(__xludf.DUMMYFUNCTION("""COMPUTED_VALUE"""),"Dammes 34")</f>
        <v>Dammes 34</v>
      </c>
      <c r="D2682" s="2">
        <f>IFERROR(__xludf.DUMMYFUNCTION("""COMPUTED_VALUE"""),3.0)</f>
        <v>3</v>
      </c>
      <c r="E2682" s="2">
        <f>IFERROR(__xludf.DUMMYFUNCTION("""COMPUTED_VALUE"""),62.0)</f>
        <v>62</v>
      </c>
      <c r="F2682" s="2">
        <f>IFERROR(__xludf.DUMMYFUNCTION("""COMPUTED_VALUE"""),3.0)</f>
        <v>3</v>
      </c>
      <c r="G2682" s="2">
        <f>IFERROR(__xludf.DUMMYFUNCTION("""COMPUTED_VALUE"""),9.0)</f>
        <v>9</v>
      </c>
      <c r="H2682" s="2">
        <f>IFERROR(__xludf.DUMMYFUNCTION("""COMPUTED_VALUE"""),602.0)</f>
        <v>602</v>
      </c>
      <c r="I2682" s="2" t="str">
        <f>IFERROR(__xludf.DUMMYFUNCTION("""COMPUTED_VALUE"""),"Panel")</f>
        <v>Panel</v>
      </c>
      <c r="J2682" s="2" t="str">
        <f>IFERROR(__xludf.DUMMYFUNCTION("""COMPUTED_VALUE"""),"All amenities")</f>
        <v>All amenities</v>
      </c>
      <c r="K2682" s="2">
        <f>IFERROR(__xludf.DUMMYFUNCTION("""COMPUTED_VALUE"""),320.0)</f>
        <v>320</v>
      </c>
      <c r="L2682" s="2">
        <f>IFERROR(__xludf.DUMMYFUNCTION("""COMPUTED_VALUE"""),56.9650257)</f>
        <v>56.9650257</v>
      </c>
      <c r="M2682" s="2">
        <f>IFERROR(__xludf.DUMMYFUNCTION("""COMPUTED_VALUE"""),24.0105547470344)</f>
        <v>24.01055475</v>
      </c>
    </row>
    <row r="2683">
      <c r="A2683" s="2" t="str">
        <f>IFERROR(__xludf.DUMMYFUNCTION("""COMPUTED_VALUE"""),"For rent")</f>
        <v>For rent</v>
      </c>
      <c r="B2683" s="2" t="str">
        <f>IFERROR(__xludf.DUMMYFUNCTION("""COMPUTED_VALUE"""),"centrs")</f>
        <v>centrs</v>
      </c>
      <c r="C2683" s="2" t="str">
        <f>IFERROR(__xludf.DUMMYFUNCTION("""COMPUTED_VALUE"""),"Bruņinieku 89")</f>
        <v>Bruņinieku 89</v>
      </c>
      <c r="D2683" s="2">
        <f>IFERROR(__xludf.DUMMYFUNCTION("""COMPUTED_VALUE"""),1.0)</f>
        <v>1</v>
      </c>
      <c r="E2683" s="2">
        <f>IFERROR(__xludf.DUMMYFUNCTION("""COMPUTED_VALUE"""),30.0)</f>
        <v>30</v>
      </c>
      <c r="F2683" s="2">
        <f>IFERROR(__xludf.DUMMYFUNCTION("""COMPUTED_VALUE"""),1.0)</f>
        <v>1</v>
      </c>
      <c r="G2683" s="2">
        <f>IFERROR(__xludf.DUMMYFUNCTION("""COMPUTED_VALUE"""),5.0)</f>
        <v>5</v>
      </c>
      <c r="H2683" s="2" t="str">
        <f>IFERROR(__xludf.DUMMYFUNCTION("""COMPUTED_VALUE"""),"P. kara")</f>
        <v>P. kara</v>
      </c>
      <c r="I2683" s="2" t="str">
        <f>IFERROR(__xludf.DUMMYFUNCTION("""COMPUTED_VALUE"""),"Masonry")</f>
        <v>Masonry</v>
      </c>
      <c r="J2683" s="2" t="str">
        <f>IFERROR(__xludf.DUMMYFUNCTION("""COMPUTED_VALUE"""),"All amenities")</f>
        <v>All amenities</v>
      </c>
      <c r="K2683" s="2">
        <f>IFERROR(__xludf.DUMMYFUNCTION("""COMPUTED_VALUE"""),320.0)</f>
        <v>320</v>
      </c>
      <c r="L2683" s="2">
        <f>IFERROR(__xludf.DUMMYFUNCTION("""COMPUTED_VALUE"""),56.95137875)</f>
        <v>56.95137875</v>
      </c>
      <c r="M2683" s="2">
        <f>IFERROR(__xludf.DUMMYFUNCTION("""COMPUTED_VALUE"""),24.141451250289)</f>
        <v>24.14145125</v>
      </c>
    </row>
    <row r="2684">
      <c r="A2684" s="2" t="str">
        <f>IFERROR(__xludf.DUMMYFUNCTION("""COMPUTED_VALUE"""),"For rent")</f>
        <v>For rent</v>
      </c>
      <c r="B2684" s="2" t="str">
        <f>IFERROR(__xludf.DUMMYFUNCTION("""COMPUTED_VALUE"""),"centrs")</f>
        <v>centrs</v>
      </c>
      <c r="C2684" s="2" t="str">
        <f>IFERROR(__xludf.DUMMYFUNCTION("""COMPUTED_VALUE"""),"Marijas 19")</f>
        <v>Marijas 19</v>
      </c>
      <c r="D2684" s="2">
        <f>IFERROR(__xludf.DUMMYFUNCTION("""COMPUTED_VALUE"""),1.0)</f>
        <v>1</v>
      </c>
      <c r="E2684" s="2">
        <f>IFERROR(__xludf.DUMMYFUNCTION("""COMPUTED_VALUE"""),28.0)</f>
        <v>28</v>
      </c>
      <c r="F2684" s="2">
        <f>IFERROR(__xludf.DUMMYFUNCTION("""COMPUTED_VALUE"""),5.0)</f>
        <v>5</v>
      </c>
      <c r="G2684" s="2">
        <f>IFERROR(__xludf.DUMMYFUNCTION("""COMPUTED_VALUE"""),5.0)</f>
        <v>5</v>
      </c>
      <c r="H2684" s="2" t="str">
        <f>IFERROR(__xludf.DUMMYFUNCTION("""COMPUTED_VALUE"""),"P. kara")</f>
        <v>P. kara</v>
      </c>
      <c r="I2684" s="2" t="str">
        <f>IFERROR(__xludf.DUMMYFUNCTION("""COMPUTED_VALUE"""),"Masonry")</f>
        <v>Masonry</v>
      </c>
      <c r="J2684" s="2" t="str">
        <f>IFERROR(__xludf.DUMMYFUNCTION("""COMPUTED_VALUE"""),"All amenities")</f>
        <v>All amenities</v>
      </c>
      <c r="K2684" s="2">
        <f>IFERROR(__xludf.DUMMYFUNCTION("""COMPUTED_VALUE"""),170.0)</f>
        <v>170</v>
      </c>
      <c r="L2684" s="2">
        <f>IFERROR(__xludf.DUMMYFUNCTION("""COMPUTED_VALUE"""),56.9506608)</f>
        <v>56.9506608</v>
      </c>
      <c r="M2684" s="2">
        <f>IFERROR(__xludf.DUMMYFUNCTION("""COMPUTED_VALUE"""),24.125067)</f>
        <v>24.125067</v>
      </c>
    </row>
    <row r="2685">
      <c r="A2685" s="2" t="str">
        <f>IFERROR(__xludf.DUMMYFUNCTION("""COMPUTED_VALUE"""),"For rent")</f>
        <v>For rent</v>
      </c>
      <c r="B2685" s="2" t="str">
        <f>IFERROR(__xludf.DUMMYFUNCTION("""COMPUTED_VALUE"""),"Pļavnieki")</f>
        <v>Pļavnieki</v>
      </c>
      <c r="C2685" s="2" t="str">
        <f>IFERROR(__xludf.DUMMYFUNCTION("""COMPUTED_VALUE"""),"Ulbrokas 10")</f>
        <v>Ulbrokas 10</v>
      </c>
      <c r="D2685" s="2">
        <f>IFERROR(__xludf.DUMMYFUNCTION("""COMPUTED_VALUE"""),1.0)</f>
        <v>1</v>
      </c>
      <c r="E2685" s="2">
        <f>IFERROR(__xludf.DUMMYFUNCTION("""COMPUTED_VALUE"""),40.0)</f>
        <v>40</v>
      </c>
      <c r="F2685" s="2">
        <f>IFERROR(__xludf.DUMMYFUNCTION("""COMPUTED_VALUE"""),1.0)</f>
        <v>1</v>
      </c>
      <c r="G2685" s="2">
        <f>IFERROR(__xludf.DUMMYFUNCTION("""COMPUTED_VALUE"""),5.0)</f>
        <v>5</v>
      </c>
      <c r="H2685" s="2" t="str">
        <f>IFERROR(__xludf.DUMMYFUNCTION("""COMPUTED_VALUE"""),"M. ģim.")</f>
        <v>M. ģim.</v>
      </c>
      <c r="I2685" s="2" t="str">
        <f>IFERROR(__xludf.DUMMYFUNCTION("""COMPUTED_VALUE"""),"Panel-Brick")</f>
        <v>Panel-Brick</v>
      </c>
      <c r="J2685" s="2" t="str">
        <f>IFERROR(__xludf.DUMMYFUNCTION("""COMPUTED_VALUE"""),"All amenities")</f>
        <v>All amenities</v>
      </c>
      <c r="K2685" s="2">
        <f>IFERROR(__xludf.DUMMYFUNCTION("""COMPUTED_VALUE"""),230.0)</f>
        <v>230</v>
      </c>
      <c r="L2685" s="2">
        <f>IFERROR(__xludf.DUMMYFUNCTION("""COMPUTED_VALUE"""),56.94153595)</f>
        <v>56.94153595</v>
      </c>
      <c r="M2685" s="2">
        <f>IFERROR(__xludf.DUMMYFUNCTION("""COMPUTED_VALUE"""),24.2167896872756)</f>
        <v>24.21678969</v>
      </c>
    </row>
    <row r="2686">
      <c r="A2686" s="2" t="str">
        <f>IFERROR(__xludf.DUMMYFUNCTION("""COMPUTED_VALUE"""),"For rent")</f>
        <v>For rent</v>
      </c>
      <c r="B2686" s="2" t="str">
        <f>IFERROR(__xludf.DUMMYFUNCTION("""COMPUTED_VALUE"""),"centrs")</f>
        <v>centrs</v>
      </c>
      <c r="C2686" s="2" t="str">
        <f>IFERROR(__xludf.DUMMYFUNCTION("""COMPUTED_VALUE"""),"Maskavas 39")</f>
        <v>Maskavas 39</v>
      </c>
      <c r="D2686" s="2">
        <f>IFERROR(__xludf.DUMMYFUNCTION("""COMPUTED_VALUE"""),2.0)</f>
        <v>2</v>
      </c>
      <c r="E2686" s="2">
        <f>IFERROR(__xludf.DUMMYFUNCTION("""COMPUTED_VALUE"""),50.0)</f>
        <v>50</v>
      </c>
      <c r="F2686" s="2">
        <f>IFERROR(__xludf.DUMMYFUNCTION("""COMPUTED_VALUE"""),2.0)</f>
        <v>2</v>
      </c>
      <c r="G2686" s="2">
        <f>IFERROR(__xludf.DUMMYFUNCTION("""COMPUTED_VALUE"""),6.0)</f>
        <v>6</v>
      </c>
      <c r="H2686" s="2" t="str">
        <f>IFERROR(__xludf.DUMMYFUNCTION("""COMPUTED_VALUE"""),"P. kara")</f>
        <v>P. kara</v>
      </c>
      <c r="I2686" s="2" t="str">
        <f>IFERROR(__xludf.DUMMYFUNCTION("""COMPUTED_VALUE"""),"Masonry")</f>
        <v>Masonry</v>
      </c>
      <c r="J2686" s="2" t="str">
        <f>IFERROR(__xludf.DUMMYFUNCTION("""COMPUTED_VALUE"""),"All amenities")</f>
        <v>All amenities</v>
      </c>
      <c r="K2686" s="2">
        <f>IFERROR(__xludf.DUMMYFUNCTION("""COMPUTED_VALUE"""),300.0)</f>
        <v>300</v>
      </c>
      <c r="L2686" s="2">
        <f>IFERROR(__xludf.DUMMYFUNCTION("""COMPUTED_VALUE"""),56.8597884)</f>
        <v>56.8597884</v>
      </c>
      <c r="M2686" s="2">
        <f>IFERROR(__xludf.DUMMYFUNCTION("""COMPUTED_VALUE"""),24.3083417)</f>
        <v>24.3083417</v>
      </c>
    </row>
    <row r="2687">
      <c r="A2687" s="2" t="str">
        <f>IFERROR(__xludf.DUMMYFUNCTION("""COMPUTED_VALUE"""),"For sale")</f>
        <v>For sale</v>
      </c>
      <c r="B2687" s="2" t="str">
        <f>IFERROR(__xludf.DUMMYFUNCTION("""COMPUTED_VALUE"""),"Maskavas priekšpilsēta")</f>
        <v>Maskavas priekšpilsēta</v>
      </c>
      <c r="C2687" s="2" t="str">
        <f>IFERROR(__xludf.DUMMYFUNCTION("""COMPUTED_VALUE"""),"Viļānu 6")</f>
        <v>Viļānu 6</v>
      </c>
      <c r="D2687" s="2">
        <f>IFERROR(__xludf.DUMMYFUNCTION("""COMPUTED_VALUE"""),2.0)</f>
        <v>2</v>
      </c>
      <c r="E2687" s="2">
        <f>IFERROR(__xludf.DUMMYFUNCTION("""COMPUTED_VALUE"""),50.0)</f>
        <v>50</v>
      </c>
      <c r="F2687" s="2">
        <f>IFERROR(__xludf.DUMMYFUNCTION("""COMPUTED_VALUE"""),3.0)</f>
        <v>3</v>
      </c>
      <c r="G2687" s="2">
        <f>IFERROR(__xludf.DUMMYFUNCTION("""COMPUTED_VALUE"""),5.0)</f>
        <v>5</v>
      </c>
      <c r="H2687" s="2" t="str">
        <f>IFERROR(__xludf.DUMMYFUNCTION("""COMPUTED_VALUE"""),"LT proj.")</f>
        <v>LT proj.</v>
      </c>
      <c r="I2687" s="2" t="str">
        <f>IFERROR(__xludf.DUMMYFUNCTION("""COMPUTED_VALUE"""),"Panel")</f>
        <v>Panel</v>
      </c>
      <c r="J2687" s="2" t="str">
        <f>IFERROR(__xludf.DUMMYFUNCTION("""COMPUTED_VALUE"""),"All amenities")</f>
        <v>All amenities</v>
      </c>
      <c r="K2687" s="2">
        <f>IFERROR(__xludf.DUMMYFUNCTION("""COMPUTED_VALUE"""),68000.0)</f>
        <v>68000</v>
      </c>
      <c r="L2687" s="2">
        <f>IFERROR(__xludf.DUMMYFUNCTION("""COMPUTED_VALUE"""),56.9397657)</f>
        <v>56.9397657</v>
      </c>
      <c r="M2687" s="2">
        <f>IFERROR(__xludf.DUMMYFUNCTION("""COMPUTED_VALUE"""),24.1531645)</f>
        <v>24.1531645</v>
      </c>
    </row>
    <row r="2688">
      <c r="A2688" s="2" t="str">
        <f>IFERROR(__xludf.DUMMYFUNCTION("""COMPUTED_VALUE"""),"For sale")</f>
        <v>For sale</v>
      </c>
      <c r="B2688" s="2" t="str">
        <f>IFERROR(__xludf.DUMMYFUNCTION("""COMPUTED_VALUE"""),"Pļavnieki")</f>
        <v>Pļavnieki</v>
      </c>
      <c r="C2688" s="2" t="str">
        <f>IFERROR(__xludf.DUMMYFUNCTION("""COMPUTED_VALUE"""),"Jasmuižas 18")</f>
        <v>Jasmuižas 18</v>
      </c>
      <c r="D2688" s="2">
        <f>IFERROR(__xludf.DUMMYFUNCTION("""COMPUTED_VALUE"""),2.0)</f>
        <v>2</v>
      </c>
      <c r="E2688" s="2">
        <f>IFERROR(__xludf.DUMMYFUNCTION("""COMPUTED_VALUE"""),62.0)</f>
        <v>62</v>
      </c>
      <c r="F2688" s="2">
        <f>IFERROR(__xludf.DUMMYFUNCTION("""COMPUTED_VALUE"""),1.0)</f>
        <v>1</v>
      </c>
      <c r="G2688" s="2">
        <f>IFERROR(__xludf.DUMMYFUNCTION("""COMPUTED_VALUE"""),10.0)</f>
        <v>10</v>
      </c>
      <c r="H2688" s="2" t="str">
        <f>IFERROR(__xludf.DUMMYFUNCTION("""COMPUTED_VALUE"""),"Jaun.")</f>
        <v>Jaun.</v>
      </c>
      <c r="I2688" s="2" t="str">
        <f>IFERROR(__xludf.DUMMYFUNCTION("""COMPUTED_VALUE"""),"Masonry")</f>
        <v>Masonry</v>
      </c>
      <c r="J2688" s="2" t="str">
        <f>IFERROR(__xludf.DUMMYFUNCTION("""COMPUTED_VALUE"""),"All amenities")</f>
        <v>All amenities</v>
      </c>
      <c r="K2688" s="2">
        <f>IFERROR(__xludf.DUMMYFUNCTION("""COMPUTED_VALUE"""),89990.0)</f>
        <v>89990</v>
      </c>
      <c r="L2688" s="2">
        <f>IFERROR(__xludf.DUMMYFUNCTION("""COMPUTED_VALUE"""),56.93600265)</f>
        <v>56.93600265</v>
      </c>
      <c r="M2688" s="2">
        <f>IFERROR(__xludf.DUMMYFUNCTION("""COMPUTED_VALUE"""),24.2142701017903)</f>
        <v>24.2142701</v>
      </c>
    </row>
    <row r="2689">
      <c r="A2689" s="2" t="str">
        <f>IFERROR(__xludf.DUMMYFUNCTION("""COMPUTED_VALUE"""),"For sale")</f>
        <v>For sale</v>
      </c>
      <c r="B2689" s="2" t="str">
        <f>IFERROR(__xludf.DUMMYFUNCTION("""COMPUTED_VALUE"""),"Ziepniekkalns")</f>
        <v>Ziepniekkalns</v>
      </c>
      <c r="C2689" s="2" t="str">
        <f>IFERROR(__xludf.DUMMYFUNCTION("""COMPUTED_VALUE"""),"Tadaiķu 1")</f>
        <v>Tadaiķu 1</v>
      </c>
      <c r="D2689" s="2">
        <f>IFERROR(__xludf.DUMMYFUNCTION("""COMPUTED_VALUE"""),1.0)</f>
        <v>1</v>
      </c>
      <c r="E2689" s="2">
        <f>IFERROR(__xludf.DUMMYFUNCTION("""COMPUTED_VALUE"""),32.0)</f>
        <v>32</v>
      </c>
      <c r="F2689" s="2">
        <f>IFERROR(__xludf.DUMMYFUNCTION("""COMPUTED_VALUE"""),5.0)</f>
        <v>5</v>
      </c>
      <c r="G2689" s="2">
        <f>IFERROR(__xludf.DUMMYFUNCTION("""COMPUTED_VALUE"""),5.0)</f>
        <v>5</v>
      </c>
      <c r="H2689" s="2" t="str">
        <f>IFERROR(__xludf.DUMMYFUNCTION("""COMPUTED_VALUE"""),"LT proj.")</f>
        <v>LT proj.</v>
      </c>
      <c r="I2689" s="2" t="str">
        <f>IFERROR(__xludf.DUMMYFUNCTION("""COMPUTED_VALUE"""),"Panel")</f>
        <v>Panel</v>
      </c>
      <c r="J2689" s="2" t="str">
        <f>IFERROR(__xludf.DUMMYFUNCTION("""COMPUTED_VALUE"""),"All amenities")</f>
        <v>All amenities</v>
      </c>
      <c r="K2689" s="2">
        <f>IFERROR(__xludf.DUMMYFUNCTION("""COMPUTED_VALUE"""),36500.0)</f>
        <v>36500</v>
      </c>
      <c r="L2689" s="2">
        <f>IFERROR(__xludf.DUMMYFUNCTION("""COMPUTED_VALUE"""),56.91580105)</f>
        <v>56.91580105</v>
      </c>
      <c r="M2689" s="2">
        <f>IFERROR(__xludf.DUMMYFUNCTION("""COMPUTED_VALUE"""),24.0922380228697)</f>
        <v>24.09223802</v>
      </c>
    </row>
    <row r="2690">
      <c r="A2690" s="2" t="str">
        <f>IFERROR(__xludf.DUMMYFUNCTION("""COMPUTED_VALUE"""),"For rent")</f>
        <v>For rent</v>
      </c>
      <c r="B2690" s="2" t="str">
        <f>IFERROR(__xludf.DUMMYFUNCTION("""COMPUTED_VALUE"""),"centrs")</f>
        <v>centrs</v>
      </c>
      <c r="C2690" s="2" t="str">
        <f>IFERROR(__xludf.DUMMYFUNCTION("""COMPUTED_VALUE"""),"Vesetas 25")</f>
        <v>Vesetas 25</v>
      </c>
      <c r="D2690" s="2">
        <f>IFERROR(__xludf.DUMMYFUNCTION("""COMPUTED_VALUE"""),1.0)</f>
        <v>1</v>
      </c>
      <c r="E2690" s="2">
        <f>IFERROR(__xludf.DUMMYFUNCTION("""COMPUTED_VALUE"""),35.0)</f>
        <v>35</v>
      </c>
      <c r="F2690" s="2">
        <f>IFERROR(__xludf.DUMMYFUNCTION("""COMPUTED_VALUE"""),4.0)</f>
        <v>4</v>
      </c>
      <c r="G2690" s="2">
        <f>IFERROR(__xludf.DUMMYFUNCTION("""COMPUTED_VALUE"""),5.0)</f>
        <v>5</v>
      </c>
      <c r="H2690" s="2" t="str">
        <f>IFERROR(__xludf.DUMMYFUNCTION("""COMPUTED_VALUE"""),"Specpr.")</f>
        <v>Specpr.</v>
      </c>
      <c r="I2690" s="2" t="str">
        <f>IFERROR(__xludf.DUMMYFUNCTION("""COMPUTED_VALUE"""),"Panel-Brick")</f>
        <v>Panel-Brick</v>
      </c>
      <c r="J2690" s="2" t="str">
        <f>IFERROR(__xludf.DUMMYFUNCTION("""COMPUTED_VALUE"""),"All amenities")</f>
        <v>All amenities</v>
      </c>
      <c r="K2690" s="2">
        <f>IFERROR(__xludf.DUMMYFUNCTION("""COMPUTED_VALUE"""),250.0)</f>
        <v>250</v>
      </c>
      <c r="L2690" s="2">
        <f>IFERROR(__xludf.DUMMYFUNCTION("""COMPUTED_VALUE"""),56.9736022999999)</f>
        <v>56.9736023</v>
      </c>
      <c r="M2690" s="2">
        <f>IFERROR(__xludf.DUMMYFUNCTION("""COMPUTED_VALUE"""),24.1300761999999)</f>
        <v>24.1300762</v>
      </c>
    </row>
    <row r="2691">
      <c r="A2691" s="2" t="str">
        <f>IFERROR(__xludf.DUMMYFUNCTION("""COMPUTED_VALUE"""),"For sale")</f>
        <v>For sale</v>
      </c>
      <c r="B2691" s="2" t="str">
        <f>IFERROR(__xludf.DUMMYFUNCTION("""COMPUTED_VALUE"""),"Jaunciems")</f>
        <v>Jaunciems</v>
      </c>
      <c r="C2691" s="2" t="str">
        <f>IFERROR(__xludf.DUMMYFUNCTION("""COMPUTED_VALUE"""),"Jaunciema g. 167")</f>
        <v>Jaunciema g. 167</v>
      </c>
      <c r="D2691" s="2">
        <f>IFERROR(__xludf.DUMMYFUNCTION("""COMPUTED_VALUE"""),1.0)</f>
        <v>1</v>
      </c>
      <c r="E2691" s="2">
        <f>IFERROR(__xludf.DUMMYFUNCTION("""COMPUTED_VALUE"""),24.0)</f>
        <v>24</v>
      </c>
      <c r="F2691" s="2">
        <f>IFERROR(__xludf.DUMMYFUNCTION("""COMPUTED_VALUE"""),1.0)</f>
        <v>1</v>
      </c>
      <c r="G2691" s="2">
        <f>IFERROR(__xludf.DUMMYFUNCTION("""COMPUTED_VALUE"""),2.0)</f>
        <v>2</v>
      </c>
      <c r="H2691" s="2" t="str">
        <f>IFERROR(__xludf.DUMMYFUNCTION("""COMPUTED_VALUE"""),"Specpr.")</f>
        <v>Specpr.</v>
      </c>
      <c r="I2691" s="2" t="str">
        <f>IFERROR(__xludf.DUMMYFUNCTION("""COMPUTED_VALUE"""),"Wood")</f>
        <v>Wood</v>
      </c>
      <c r="J2691" s="2" t="str">
        <f>IFERROR(__xludf.DUMMYFUNCTION("""COMPUTED_VALUE"""),"Partial amenities")</f>
        <v>Partial amenities</v>
      </c>
      <c r="K2691" s="2">
        <f>IFERROR(__xludf.DUMMYFUNCTION("""COMPUTED_VALUE"""),7390.0)</f>
        <v>7390</v>
      </c>
      <c r="L2691" s="2">
        <f>IFERROR(__xludf.DUMMYFUNCTION("""COMPUTED_VALUE"""),57.034118)</f>
        <v>57.034118</v>
      </c>
      <c r="M2691" s="2">
        <f>IFERROR(__xludf.DUMMYFUNCTION("""COMPUTED_VALUE"""),24.1267927)</f>
        <v>24.1267927</v>
      </c>
    </row>
    <row r="2692">
      <c r="A2692" s="2" t="str">
        <f>IFERROR(__xludf.DUMMYFUNCTION("""COMPUTED_VALUE"""),"For sale")</f>
        <v>For sale</v>
      </c>
      <c r="B2692" s="2" t="str">
        <f>IFERROR(__xludf.DUMMYFUNCTION("""COMPUTED_VALUE"""),"Ziepniekkalns")</f>
        <v>Ziepniekkalns</v>
      </c>
      <c r="C2692" s="2" t="str">
        <f>IFERROR(__xludf.DUMMYFUNCTION("""COMPUTED_VALUE"""),"Bauskas 30")</f>
        <v>Bauskas 30</v>
      </c>
      <c r="D2692" s="2">
        <f>IFERROR(__xludf.DUMMYFUNCTION("""COMPUTED_VALUE"""),1.0)</f>
        <v>1</v>
      </c>
      <c r="E2692" s="2">
        <f>IFERROR(__xludf.DUMMYFUNCTION("""COMPUTED_VALUE"""),26.0)</f>
        <v>26</v>
      </c>
      <c r="F2692" s="2">
        <f>IFERROR(__xludf.DUMMYFUNCTION("""COMPUTED_VALUE"""),2.0)</f>
        <v>2</v>
      </c>
      <c r="G2692" s="2">
        <f>IFERROR(__xludf.DUMMYFUNCTION("""COMPUTED_VALUE"""),2.0)</f>
        <v>2</v>
      </c>
      <c r="H2692" s="2" t="str">
        <f>IFERROR(__xludf.DUMMYFUNCTION("""COMPUTED_VALUE"""),"Specpr.")</f>
        <v>Specpr.</v>
      </c>
      <c r="I2692" s="2" t="str">
        <f>IFERROR(__xludf.DUMMYFUNCTION("""COMPUTED_VALUE"""),"Wood")</f>
        <v>Wood</v>
      </c>
      <c r="J2692" s="2" t="str">
        <f>IFERROR(__xludf.DUMMYFUNCTION("""COMPUTED_VALUE"""),"Partial amenities")</f>
        <v>Partial amenities</v>
      </c>
      <c r="K2692" s="2">
        <f>IFERROR(__xludf.DUMMYFUNCTION("""COMPUTED_VALUE"""),8590.0)</f>
        <v>8590</v>
      </c>
      <c r="L2692" s="2">
        <f>IFERROR(__xludf.DUMMYFUNCTION("""COMPUTED_VALUE"""),56.9141787)</f>
        <v>56.9141787</v>
      </c>
      <c r="M2692" s="2">
        <f>IFERROR(__xludf.DUMMYFUNCTION("""COMPUTED_VALUE"""),24.1217522)</f>
        <v>24.1217522</v>
      </c>
    </row>
    <row r="2693">
      <c r="A2693" s="2" t="str">
        <f>IFERROR(__xludf.DUMMYFUNCTION("""COMPUTED_VALUE"""),"For sale")</f>
        <v>For sale</v>
      </c>
      <c r="B2693" s="2" t="str">
        <f>IFERROR(__xludf.DUMMYFUNCTION("""COMPUTED_VALUE"""),"Iļģuciems")</f>
        <v>Iļģuciems</v>
      </c>
      <c r="C2693" s="2" t="str">
        <f>IFERROR(__xludf.DUMMYFUNCTION("""COMPUTED_VALUE"""),"Daugavgrīvas 91")</f>
        <v>Daugavgrīvas 91</v>
      </c>
      <c r="D2693" s="2">
        <f>IFERROR(__xludf.DUMMYFUNCTION("""COMPUTED_VALUE"""),2.0)</f>
        <v>2</v>
      </c>
      <c r="E2693" s="2">
        <f>IFERROR(__xludf.DUMMYFUNCTION("""COMPUTED_VALUE"""),37.0)</f>
        <v>37</v>
      </c>
      <c r="F2693" s="2">
        <f>IFERROR(__xludf.DUMMYFUNCTION("""COMPUTED_VALUE"""),2.0)</f>
        <v>2</v>
      </c>
      <c r="G2693" s="2">
        <f>IFERROR(__xludf.DUMMYFUNCTION("""COMPUTED_VALUE"""),3.0)</f>
        <v>3</v>
      </c>
      <c r="H2693" s="2" t="str">
        <f>IFERROR(__xludf.DUMMYFUNCTION("""COMPUTED_VALUE"""),"Specpr.")</f>
        <v>Specpr.</v>
      </c>
      <c r="I2693" s="2" t="str">
        <f>IFERROR(__xludf.DUMMYFUNCTION("""COMPUTED_VALUE"""),"Masonry")</f>
        <v>Masonry</v>
      </c>
      <c r="J2693" s="2" t="str">
        <f>IFERROR(__xludf.DUMMYFUNCTION("""COMPUTED_VALUE"""),"Partial amenities")</f>
        <v>Partial amenities</v>
      </c>
      <c r="K2693" s="2">
        <f>IFERROR(__xludf.DUMMYFUNCTION("""COMPUTED_VALUE"""),15400.0)</f>
        <v>15400</v>
      </c>
      <c r="L2693" s="2">
        <f>IFERROR(__xludf.DUMMYFUNCTION("""COMPUTED_VALUE"""),57.0164335)</f>
        <v>57.0164335</v>
      </c>
      <c r="M2693" s="2">
        <f>IFERROR(__xludf.DUMMYFUNCTION("""COMPUTED_VALUE"""),24.0628649)</f>
        <v>24.0628649</v>
      </c>
    </row>
    <row r="2694">
      <c r="A2694" s="2" t="str">
        <f>IFERROR(__xludf.DUMMYFUNCTION("""COMPUTED_VALUE"""),"For sale")</f>
        <v>For sale</v>
      </c>
      <c r="B2694" s="2" t="str">
        <f>IFERROR(__xludf.DUMMYFUNCTION("""COMPUTED_VALUE"""),"Bolderāja")</f>
        <v>Bolderāja</v>
      </c>
      <c r="C2694" s="2" t="str">
        <f>IFERROR(__xludf.DUMMYFUNCTION("""COMPUTED_VALUE"""),"Lielā 69")</f>
        <v>Lielā 69</v>
      </c>
      <c r="D2694" s="2">
        <f>IFERROR(__xludf.DUMMYFUNCTION("""COMPUTED_VALUE"""),2.0)</f>
        <v>2</v>
      </c>
      <c r="E2694" s="2">
        <f>IFERROR(__xludf.DUMMYFUNCTION("""COMPUTED_VALUE"""),37.0)</f>
        <v>37</v>
      </c>
      <c r="F2694" s="2">
        <f>IFERROR(__xludf.DUMMYFUNCTION("""COMPUTED_VALUE"""),1.0)</f>
        <v>1</v>
      </c>
      <c r="G2694" s="2">
        <f>IFERROR(__xludf.DUMMYFUNCTION("""COMPUTED_VALUE"""),1.0)</f>
        <v>1</v>
      </c>
      <c r="H2694" s="2" t="str">
        <f>IFERROR(__xludf.DUMMYFUNCTION("""COMPUTED_VALUE"""),"Specpr.")</f>
        <v>Specpr.</v>
      </c>
      <c r="I2694" s="2" t="str">
        <f>IFERROR(__xludf.DUMMYFUNCTION("""COMPUTED_VALUE"""),"Wood")</f>
        <v>Wood</v>
      </c>
      <c r="J2694" s="2" t="str">
        <f>IFERROR(__xludf.DUMMYFUNCTION("""COMPUTED_VALUE"""),"Partial amenities")</f>
        <v>Partial amenities</v>
      </c>
      <c r="K2694" s="2">
        <f>IFERROR(__xludf.DUMMYFUNCTION("""COMPUTED_VALUE"""),13000.0)</f>
        <v>13000</v>
      </c>
      <c r="L2694" s="2">
        <f>IFERROR(__xludf.DUMMYFUNCTION("""COMPUTED_VALUE"""),57.1465149)</f>
        <v>57.1465149</v>
      </c>
      <c r="M2694" s="2">
        <f>IFERROR(__xludf.DUMMYFUNCTION("""COMPUTED_VALUE"""),24.3408657)</f>
        <v>24.3408657</v>
      </c>
    </row>
    <row r="2695">
      <c r="A2695" s="2" t="str">
        <f>IFERROR(__xludf.DUMMYFUNCTION("""COMPUTED_VALUE"""),"For sale")</f>
        <v>For sale</v>
      </c>
      <c r="B2695" s="2" t="str">
        <f>IFERROR(__xludf.DUMMYFUNCTION("""COMPUTED_VALUE"""),"Ziepniekkalns")</f>
        <v>Ziepniekkalns</v>
      </c>
      <c r="C2695" s="2" t="str">
        <f>IFERROR(__xludf.DUMMYFUNCTION("""COMPUTED_VALUE"""),"Bauskas 135")</f>
        <v>Bauskas 135</v>
      </c>
      <c r="D2695" s="2">
        <f>IFERROR(__xludf.DUMMYFUNCTION("""COMPUTED_VALUE"""),1.0)</f>
        <v>1</v>
      </c>
      <c r="E2695" s="2">
        <f>IFERROR(__xludf.DUMMYFUNCTION("""COMPUTED_VALUE"""),19.0)</f>
        <v>19</v>
      </c>
      <c r="F2695" s="2">
        <f>IFERROR(__xludf.DUMMYFUNCTION("""COMPUTED_VALUE"""),2.0)</f>
        <v>2</v>
      </c>
      <c r="G2695" s="2">
        <f>IFERROR(__xludf.DUMMYFUNCTION("""COMPUTED_VALUE"""),2.0)</f>
        <v>2</v>
      </c>
      <c r="H2695" s="2" t="str">
        <f>IFERROR(__xludf.DUMMYFUNCTION("""COMPUTED_VALUE"""),"Specpr.")</f>
        <v>Specpr.</v>
      </c>
      <c r="I2695" s="2" t="str">
        <f>IFERROR(__xludf.DUMMYFUNCTION("""COMPUTED_VALUE"""),"Wood")</f>
        <v>Wood</v>
      </c>
      <c r="J2695" s="2" t="str">
        <f>IFERROR(__xludf.DUMMYFUNCTION("""COMPUTED_VALUE"""),"Partial amenities")</f>
        <v>Partial amenities</v>
      </c>
      <c r="K2695" s="2">
        <f>IFERROR(__xludf.DUMMYFUNCTION("""COMPUTED_VALUE"""),7400.0)</f>
        <v>7400</v>
      </c>
      <c r="L2695" s="2">
        <f>IFERROR(__xludf.DUMMYFUNCTION("""COMPUTED_VALUE"""),56.9141787)</f>
        <v>56.9141787</v>
      </c>
      <c r="M2695" s="2">
        <f>IFERROR(__xludf.DUMMYFUNCTION("""COMPUTED_VALUE"""),24.1217522)</f>
        <v>24.1217522</v>
      </c>
    </row>
    <row r="2696">
      <c r="A2696" s="2" t="str">
        <f>IFERROR(__xludf.DUMMYFUNCTION("""COMPUTED_VALUE"""),"For rent")</f>
        <v>For rent</v>
      </c>
      <c r="B2696" s="2" t="str">
        <f>IFERROR(__xludf.DUMMYFUNCTION("""COMPUTED_VALUE"""),"Mežciems")</f>
        <v>Mežciems</v>
      </c>
      <c r="C2696" s="2" t="str">
        <f>IFERROR(__xludf.DUMMYFUNCTION("""COMPUTED_VALUE"""),"Biķernieku 244")</f>
        <v>Biķernieku 244</v>
      </c>
      <c r="D2696" s="2">
        <f>IFERROR(__xludf.DUMMYFUNCTION("""COMPUTED_VALUE"""),1.0)</f>
        <v>1</v>
      </c>
      <c r="E2696" s="2">
        <f>IFERROR(__xludf.DUMMYFUNCTION("""COMPUTED_VALUE"""),20.0)</f>
        <v>20</v>
      </c>
      <c r="F2696" s="2">
        <f>IFERROR(__xludf.DUMMYFUNCTION("""COMPUTED_VALUE"""),2.0)</f>
        <v>2</v>
      </c>
      <c r="G2696" s="2">
        <f>IFERROR(__xludf.DUMMYFUNCTION("""COMPUTED_VALUE"""),2.0)</f>
        <v>2</v>
      </c>
      <c r="H2696" s="2" t="str">
        <f>IFERROR(__xludf.DUMMYFUNCTION("""COMPUTED_VALUE"""),"Staļina")</f>
        <v>Staļina</v>
      </c>
      <c r="I2696" s="2" t="str">
        <f>IFERROR(__xludf.DUMMYFUNCTION("""COMPUTED_VALUE"""),"Masonry")</f>
        <v>Masonry</v>
      </c>
      <c r="J2696" s="2" t="str">
        <f>IFERROR(__xludf.DUMMYFUNCTION("""COMPUTED_VALUE"""),"All amenities")</f>
        <v>All amenities</v>
      </c>
      <c r="K2696" s="2">
        <f>IFERROR(__xludf.DUMMYFUNCTION("""COMPUTED_VALUE"""),160.0)</f>
        <v>160</v>
      </c>
      <c r="L2696" s="2">
        <f>IFERROR(__xludf.DUMMYFUNCTION("""COMPUTED_VALUE"""),56.95965205)</f>
        <v>56.95965205</v>
      </c>
      <c r="M2696" s="2">
        <f>IFERROR(__xludf.DUMMYFUNCTION("""COMPUTED_VALUE"""),24.2988376817985)</f>
        <v>24.29883768</v>
      </c>
    </row>
    <row r="2697">
      <c r="A2697" s="2" t="str">
        <f>IFERROR(__xludf.DUMMYFUNCTION("""COMPUTED_VALUE"""),"For sale")</f>
        <v>For sale</v>
      </c>
      <c r="B2697" s="2" t="str">
        <f>IFERROR(__xludf.DUMMYFUNCTION("""COMPUTED_VALUE"""),"Bolderāja")</f>
        <v>Bolderāja</v>
      </c>
      <c r="C2697" s="2" t="str">
        <f>IFERROR(__xludf.DUMMYFUNCTION("""COMPUTED_VALUE"""),"Kodola 5")</f>
        <v>Kodola 5</v>
      </c>
      <c r="D2697" s="2">
        <f>IFERROR(__xludf.DUMMYFUNCTION("""COMPUTED_VALUE"""),1.0)</f>
        <v>1</v>
      </c>
      <c r="E2697" s="2">
        <f>IFERROR(__xludf.DUMMYFUNCTION("""COMPUTED_VALUE"""),25.0)</f>
        <v>25</v>
      </c>
      <c r="F2697" s="2">
        <f>IFERROR(__xludf.DUMMYFUNCTION("""COMPUTED_VALUE"""),2.0)</f>
        <v>2</v>
      </c>
      <c r="G2697" s="2">
        <f>IFERROR(__xludf.DUMMYFUNCTION("""COMPUTED_VALUE"""),2.0)</f>
        <v>2</v>
      </c>
      <c r="H2697" s="2" t="str">
        <f>IFERROR(__xludf.DUMMYFUNCTION("""COMPUTED_VALUE"""),"Specpr.")</f>
        <v>Specpr.</v>
      </c>
      <c r="I2697" s="2" t="str">
        <f>IFERROR(__xludf.DUMMYFUNCTION("""COMPUTED_VALUE"""),"Wood")</f>
        <v>Wood</v>
      </c>
      <c r="J2697" s="2" t="str">
        <f>IFERROR(__xludf.DUMMYFUNCTION("""COMPUTED_VALUE"""),"Partial amenities")</f>
        <v>Partial amenities</v>
      </c>
      <c r="K2697" s="2">
        <f>IFERROR(__xludf.DUMMYFUNCTION("""COMPUTED_VALUE"""),8250.0)</f>
        <v>8250</v>
      </c>
      <c r="L2697" s="2">
        <f>IFERROR(__xludf.DUMMYFUNCTION("""COMPUTED_VALUE"""),57.03729585)</f>
        <v>57.03729585</v>
      </c>
      <c r="M2697" s="2">
        <f>IFERROR(__xludf.DUMMYFUNCTION("""COMPUTED_VALUE"""),24.0439706360091)</f>
        <v>24.04397064</v>
      </c>
    </row>
    <row r="2698">
      <c r="A2698" s="2" t="str">
        <f>IFERROR(__xludf.DUMMYFUNCTION("""COMPUTED_VALUE"""),"For sale")</f>
        <v>For sale</v>
      </c>
      <c r="B2698" s="2" t="str">
        <f>IFERROR(__xludf.DUMMYFUNCTION("""COMPUTED_VALUE"""),"Sarkandaugava")</f>
        <v>Sarkandaugava</v>
      </c>
      <c r="C2698" s="2" t="str">
        <f>IFERROR(__xludf.DUMMYFUNCTION("""COMPUTED_VALUE"""),"Zāģeru 6")</f>
        <v>Zāģeru 6</v>
      </c>
      <c r="D2698" s="2">
        <f>IFERROR(__xludf.DUMMYFUNCTION("""COMPUTED_VALUE"""),1.0)</f>
        <v>1</v>
      </c>
      <c r="E2698" s="2">
        <f>IFERROR(__xludf.DUMMYFUNCTION("""COMPUTED_VALUE"""),31.0)</f>
        <v>31</v>
      </c>
      <c r="F2698" s="2">
        <f>IFERROR(__xludf.DUMMYFUNCTION("""COMPUTED_VALUE"""),3.0)</f>
        <v>3</v>
      </c>
      <c r="G2698" s="2">
        <f>IFERROR(__xludf.DUMMYFUNCTION("""COMPUTED_VALUE"""),4.0)</f>
        <v>4</v>
      </c>
      <c r="H2698" s="2" t="str">
        <f>IFERROR(__xludf.DUMMYFUNCTION("""COMPUTED_VALUE"""),"Specpr.")</f>
        <v>Specpr.</v>
      </c>
      <c r="I2698" s="2" t="str">
        <f>IFERROR(__xludf.DUMMYFUNCTION("""COMPUTED_VALUE"""),"Masonry")</f>
        <v>Masonry</v>
      </c>
      <c r="J2698" s="2" t="str">
        <f>IFERROR(__xludf.DUMMYFUNCTION("""COMPUTED_VALUE"""),"Partial amenities")</f>
        <v>Partial amenities</v>
      </c>
      <c r="K2698" s="2">
        <f>IFERROR(__xludf.DUMMYFUNCTION("""COMPUTED_VALUE"""),11900.0)</f>
        <v>11900</v>
      </c>
      <c r="L2698" s="2">
        <f>IFERROR(__xludf.DUMMYFUNCTION("""COMPUTED_VALUE"""),57.003108)</f>
        <v>57.003108</v>
      </c>
      <c r="M2698" s="2">
        <f>IFERROR(__xludf.DUMMYFUNCTION("""COMPUTED_VALUE"""),24.1212272)</f>
        <v>24.1212272</v>
      </c>
    </row>
    <row r="2699">
      <c r="A2699" s="2" t="str">
        <f>IFERROR(__xludf.DUMMYFUNCTION("""COMPUTED_VALUE"""),"For sale")</f>
        <v>For sale</v>
      </c>
      <c r="B2699" s="2" t="str">
        <f>IFERROR(__xludf.DUMMYFUNCTION("""COMPUTED_VALUE"""),"Sarkandaugava")</f>
        <v>Sarkandaugava</v>
      </c>
      <c r="C2699" s="2" t="str">
        <f>IFERROR(__xludf.DUMMYFUNCTION("""COMPUTED_VALUE"""),"Limbažu 7")</f>
        <v>Limbažu 7</v>
      </c>
      <c r="D2699" s="2">
        <f>IFERROR(__xludf.DUMMYFUNCTION("""COMPUTED_VALUE"""),3.0)</f>
        <v>3</v>
      </c>
      <c r="E2699" s="2">
        <f>IFERROR(__xludf.DUMMYFUNCTION("""COMPUTED_VALUE"""),44.0)</f>
        <v>44</v>
      </c>
      <c r="F2699" s="2">
        <f>IFERROR(__xludf.DUMMYFUNCTION("""COMPUTED_VALUE"""),1.0)</f>
        <v>1</v>
      </c>
      <c r="G2699" s="2">
        <f>IFERROR(__xludf.DUMMYFUNCTION("""COMPUTED_VALUE"""),3.0)</f>
        <v>3</v>
      </c>
      <c r="H2699" s="2" t="str">
        <f>IFERROR(__xludf.DUMMYFUNCTION("""COMPUTED_VALUE"""),"P. kara")</f>
        <v>P. kara</v>
      </c>
      <c r="I2699" s="2" t="str">
        <f>IFERROR(__xludf.DUMMYFUNCTION("""COMPUTED_VALUE"""),"Masonry")</f>
        <v>Masonry</v>
      </c>
      <c r="J2699" s="2" t="str">
        <f>IFERROR(__xludf.DUMMYFUNCTION("""COMPUTED_VALUE"""),"Partial amenities")</f>
        <v>Partial amenities</v>
      </c>
      <c r="K2699" s="2">
        <f>IFERROR(__xludf.DUMMYFUNCTION("""COMPUTED_VALUE"""),13000.0)</f>
        <v>13000</v>
      </c>
      <c r="L2699" s="2">
        <f>IFERROR(__xludf.DUMMYFUNCTION("""COMPUTED_VALUE"""),57.0002664)</f>
        <v>57.0002664</v>
      </c>
      <c r="M2699" s="2">
        <f>IFERROR(__xludf.DUMMYFUNCTION("""COMPUTED_VALUE"""),24.1233286079259)</f>
        <v>24.12332861</v>
      </c>
    </row>
    <row r="2700">
      <c r="A2700" s="2" t="str">
        <f>IFERROR(__xludf.DUMMYFUNCTION("""COMPUTED_VALUE"""),"For sale")</f>
        <v>For sale</v>
      </c>
      <c r="B2700" s="2" t="str">
        <f>IFERROR(__xludf.DUMMYFUNCTION("""COMPUTED_VALUE"""),"Vecmīlgrāvis")</f>
        <v>Vecmīlgrāvis</v>
      </c>
      <c r="C2700" s="2" t="str">
        <f>IFERROR(__xludf.DUMMYFUNCTION("""COMPUTED_VALUE"""),"Emmas 14")</f>
        <v>Emmas 14</v>
      </c>
      <c r="D2700" s="2">
        <f>IFERROR(__xludf.DUMMYFUNCTION("""COMPUTED_VALUE"""),1.0)</f>
        <v>1</v>
      </c>
      <c r="E2700" s="2">
        <f>IFERROR(__xludf.DUMMYFUNCTION("""COMPUTED_VALUE"""),12.0)</f>
        <v>12</v>
      </c>
      <c r="F2700" s="2">
        <f>IFERROR(__xludf.DUMMYFUNCTION("""COMPUTED_VALUE"""),3.0)</f>
        <v>3</v>
      </c>
      <c r="G2700" s="2">
        <f>IFERROR(__xludf.DUMMYFUNCTION("""COMPUTED_VALUE"""),3.0)</f>
        <v>3</v>
      </c>
      <c r="H2700" s="2" t="str">
        <f>IFERROR(__xludf.DUMMYFUNCTION("""COMPUTED_VALUE"""),"Specpr.")</f>
        <v>Specpr.</v>
      </c>
      <c r="I2700" s="2" t="str">
        <f>IFERROR(__xludf.DUMMYFUNCTION("""COMPUTED_VALUE"""),"Masonry")</f>
        <v>Masonry</v>
      </c>
      <c r="J2700" s="2" t="str">
        <f>IFERROR(__xludf.DUMMYFUNCTION("""COMPUTED_VALUE"""),"All amenities")</f>
        <v>All amenities</v>
      </c>
      <c r="K2700" s="2">
        <f>IFERROR(__xludf.DUMMYFUNCTION("""COMPUTED_VALUE"""),5000.0)</f>
        <v>5000</v>
      </c>
      <c r="L2700" s="2">
        <f>IFERROR(__xludf.DUMMYFUNCTION("""COMPUTED_VALUE"""),57.0300308)</f>
        <v>57.0300308</v>
      </c>
      <c r="M2700" s="2">
        <f>IFERROR(__xludf.DUMMYFUNCTION("""COMPUTED_VALUE"""),24.1122349)</f>
        <v>24.1122349</v>
      </c>
    </row>
    <row r="2701">
      <c r="A2701" s="2" t="str">
        <f>IFERROR(__xludf.DUMMYFUNCTION("""COMPUTED_VALUE"""),"For sale")</f>
        <v>For sale</v>
      </c>
      <c r="B2701" s="2" t="str">
        <f>IFERROR(__xludf.DUMMYFUNCTION("""COMPUTED_VALUE"""),"Šķirotava")</f>
        <v>Šķirotava</v>
      </c>
      <c r="C2701" s="2" t="str">
        <f>IFERROR(__xludf.DUMMYFUNCTION("""COMPUTED_VALUE"""),"Sila 16")</f>
        <v>Sila 16</v>
      </c>
      <c r="D2701" s="2">
        <f>IFERROR(__xludf.DUMMYFUNCTION("""COMPUTED_VALUE"""),1.0)</f>
        <v>1</v>
      </c>
      <c r="E2701" s="2">
        <f>IFERROR(__xludf.DUMMYFUNCTION("""COMPUTED_VALUE"""),18.0)</f>
        <v>18</v>
      </c>
      <c r="F2701" s="2">
        <f>IFERROR(__xludf.DUMMYFUNCTION("""COMPUTED_VALUE"""),3.0)</f>
        <v>3</v>
      </c>
      <c r="G2701" s="2">
        <f>IFERROR(__xludf.DUMMYFUNCTION("""COMPUTED_VALUE"""),4.0)</f>
        <v>4</v>
      </c>
      <c r="H2701" s="2" t="str">
        <f>IFERROR(__xludf.DUMMYFUNCTION("""COMPUTED_VALUE"""),"Specpr.")</f>
        <v>Specpr.</v>
      </c>
      <c r="I2701" s="2" t="str">
        <f>IFERROR(__xludf.DUMMYFUNCTION("""COMPUTED_VALUE"""),"Brick")</f>
        <v>Brick</v>
      </c>
      <c r="J2701" s="2" t="str">
        <f>IFERROR(__xludf.DUMMYFUNCTION("""COMPUTED_VALUE"""),"All amenities")</f>
        <v>All amenities</v>
      </c>
      <c r="K2701" s="2">
        <f>IFERROR(__xludf.DUMMYFUNCTION("""COMPUTED_VALUE"""),6500.0)</f>
        <v>6500</v>
      </c>
      <c r="L2701" s="2">
        <f>IFERROR(__xludf.DUMMYFUNCTION("""COMPUTED_VALUE"""),56.9077347)</f>
        <v>56.9077347</v>
      </c>
      <c r="M2701" s="2">
        <f>IFERROR(__xludf.DUMMYFUNCTION("""COMPUTED_VALUE"""),24.2226369)</f>
        <v>24.2226369</v>
      </c>
    </row>
    <row r="2702">
      <c r="A2702" s="2" t="str">
        <f>IFERROR(__xludf.DUMMYFUNCTION("""COMPUTED_VALUE"""),"For rent")</f>
        <v>For rent</v>
      </c>
      <c r="B2702" s="2" t="str">
        <f>IFERROR(__xludf.DUMMYFUNCTION("""COMPUTED_VALUE"""),"Imanta")</f>
        <v>Imanta</v>
      </c>
      <c r="C2702" s="2" t="str">
        <f>IFERROR(__xludf.DUMMYFUNCTION("""COMPUTED_VALUE"""),"Progresa 4")</f>
        <v>Progresa 4</v>
      </c>
      <c r="D2702" s="2">
        <f>IFERROR(__xludf.DUMMYFUNCTION("""COMPUTED_VALUE"""),2.0)</f>
        <v>2</v>
      </c>
      <c r="E2702" s="2">
        <f>IFERROR(__xludf.DUMMYFUNCTION("""COMPUTED_VALUE"""),49.0)</f>
        <v>49</v>
      </c>
      <c r="F2702" s="2">
        <f>IFERROR(__xludf.DUMMYFUNCTION("""COMPUTED_VALUE"""),3.0)</f>
        <v>3</v>
      </c>
      <c r="G2702" s="2">
        <f>IFERROR(__xludf.DUMMYFUNCTION("""COMPUTED_VALUE"""),5.0)</f>
        <v>5</v>
      </c>
      <c r="H2702" s="2" t="str">
        <f>IFERROR(__xludf.DUMMYFUNCTION("""COMPUTED_VALUE"""),"LT proj.")</f>
        <v>LT proj.</v>
      </c>
      <c r="I2702" s="2" t="str">
        <f>IFERROR(__xludf.DUMMYFUNCTION("""COMPUTED_VALUE"""),"Panel")</f>
        <v>Panel</v>
      </c>
      <c r="J2702" s="2" t="str">
        <f>IFERROR(__xludf.DUMMYFUNCTION("""COMPUTED_VALUE"""),"Partial amenities")</f>
        <v>Partial amenities</v>
      </c>
      <c r="K2702" s="2">
        <f>IFERROR(__xludf.DUMMYFUNCTION("""COMPUTED_VALUE"""),390.0)</f>
        <v>390</v>
      </c>
      <c r="L2702" s="2">
        <f>IFERROR(__xludf.DUMMYFUNCTION("""COMPUTED_VALUE"""),56.95322835)</f>
        <v>56.95322835</v>
      </c>
      <c r="M2702" s="2">
        <f>IFERROR(__xludf.DUMMYFUNCTION("""COMPUTED_VALUE"""),24.0330999513569)</f>
        <v>24.03309995</v>
      </c>
    </row>
    <row r="2703">
      <c r="A2703" s="2" t="str">
        <f>IFERROR(__xludf.DUMMYFUNCTION("""COMPUTED_VALUE"""),"For sale")</f>
        <v>For sale</v>
      </c>
      <c r="B2703" s="2" t="str">
        <f>IFERROR(__xludf.DUMMYFUNCTION("""COMPUTED_VALUE"""),"centrs")</f>
        <v>centrs</v>
      </c>
      <c r="C2703" s="2" t="str">
        <f>IFERROR(__xludf.DUMMYFUNCTION("""COMPUTED_VALUE"""),"Čaka 41")</f>
        <v>Čaka 41</v>
      </c>
      <c r="D2703" s="2">
        <f>IFERROR(__xludf.DUMMYFUNCTION("""COMPUTED_VALUE"""),5.0)</f>
        <v>5</v>
      </c>
      <c r="E2703" s="2">
        <f>IFERROR(__xludf.DUMMYFUNCTION("""COMPUTED_VALUE"""),97.0)</f>
        <v>97</v>
      </c>
      <c r="F2703" s="2">
        <f>IFERROR(__xludf.DUMMYFUNCTION("""COMPUTED_VALUE"""),2.0)</f>
        <v>2</v>
      </c>
      <c r="G2703" s="2">
        <f>IFERROR(__xludf.DUMMYFUNCTION("""COMPUTED_VALUE"""),2.0)</f>
        <v>2</v>
      </c>
      <c r="H2703" s="2" t="str">
        <f>IFERROR(__xludf.DUMMYFUNCTION("""COMPUTED_VALUE"""),"P. kara")</f>
        <v>P. kara</v>
      </c>
      <c r="I2703" s="2" t="str">
        <f>IFERROR(__xludf.DUMMYFUNCTION("""COMPUTED_VALUE"""),"Wood")</f>
        <v>Wood</v>
      </c>
      <c r="J2703" s="2" t="str">
        <f>IFERROR(__xludf.DUMMYFUNCTION("""COMPUTED_VALUE"""),"All amenities")</f>
        <v>All amenities</v>
      </c>
      <c r="K2703" s="2">
        <f>IFERROR(__xludf.DUMMYFUNCTION("""COMPUTED_VALUE"""),105000.0)</f>
        <v>105000</v>
      </c>
      <c r="L2703" s="2">
        <f>IFERROR(__xludf.DUMMYFUNCTION("""COMPUTED_VALUE"""),56.9528907)</f>
        <v>56.9528907</v>
      </c>
      <c r="M2703" s="2">
        <f>IFERROR(__xludf.DUMMYFUNCTION("""COMPUTED_VALUE"""),24.129681)</f>
        <v>24.129681</v>
      </c>
    </row>
    <row r="2704">
      <c r="A2704" s="2" t="str">
        <f>IFERROR(__xludf.DUMMYFUNCTION("""COMPUTED_VALUE"""),"For sale")</f>
        <v>For sale</v>
      </c>
      <c r="B2704" s="2" t="str">
        <f>IFERROR(__xludf.DUMMYFUNCTION("""COMPUTED_VALUE"""),"Jugla")</f>
        <v>Jugla</v>
      </c>
      <c r="C2704" s="2" t="str">
        <f>IFERROR(__xludf.DUMMYFUNCTION("""COMPUTED_VALUE"""),"Juglas 2")</f>
        <v>Juglas 2</v>
      </c>
      <c r="D2704" s="2">
        <f>IFERROR(__xludf.DUMMYFUNCTION("""COMPUTED_VALUE"""),4.0)</f>
        <v>4</v>
      </c>
      <c r="E2704" s="2">
        <f>IFERROR(__xludf.DUMMYFUNCTION("""COMPUTED_VALUE"""),97.0)</f>
        <v>97</v>
      </c>
      <c r="F2704" s="2">
        <f>IFERROR(__xludf.DUMMYFUNCTION("""COMPUTED_VALUE"""),2.0)</f>
        <v>2</v>
      </c>
      <c r="G2704" s="2">
        <f>IFERROR(__xludf.DUMMYFUNCTION("""COMPUTED_VALUE"""),9.0)</f>
        <v>9</v>
      </c>
      <c r="H2704" s="2" t="str">
        <f>IFERROR(__xludf.DUMMYFUNCTION("""COMPUTED_VALUE"""),"Specpr.")</f>
        <v>Specpr.</v>
      </c>
      <c r="I2704" s="2" t="str">
        <f>IFERROR(__xludf.DUMMYFUNCTION("""COMPUTED_VALUE"""),"Brick")</f>
        <v>Brick</v>
      </c>
      <c r="J2704" s="2" t="str">
        <f>IFERROR(__xludf.DUMMYFUNCTION("""COMPUTED_VALUE"""),"All amenities")</f>
        <v>All amenities</v>
      </c>
      <c r="K2704" s="2">
        <f>IFERROR(__xludf.DUMMYFUNCTION("""COMPUTED_VALUE"""),125130.0)</f>
        <v>125130</v>
      </c>
      <c r="L2704" s="2">
        <f>IFERROR(__xludf.DUMMYFUNCTION("""COMPUTED_VALUE"""),56.98865355)</f>
        <v>56.98865355</v>
      </c>
      <c r="M2704" s="2">
        <f>IFERROR(__xludf.DUMMYFUNCTION("""COMPUTED_VALUE"""),24.244177981528)</f>
        <v>24.24417798</v>
      </c>
    </row>
    <row r="2705">
      <c r="A2705" s="2" t="str">
        <f>IFERROR(__xludf.DUMMYFUNCTION("""COMPUTED_VALUE"""),"For rent")</f>
        <v>For rent</v>
      </c>
      <c r="B2705" s="2" t="str">
        <f>IFERROR(__xludf.DUMMYFUNCTION("""COMPUTED_VALUE"""),"Teika")</f>
        <v>Teika</v>
      </c>
      <c r="C2705" s="2" t="str">
        <f>IFERROR(__xludf.DUMMYFUNCTION("""COMPUTED_VALUE"""),"Biķernieku 79")</f>
        <v>Biķernieku 79</v>
      </c>
      <c r="D2705" s="2">
        <f>IFERROR(__xludf.DUMMYFUNCTION("""COMPUTED_VALUE"""),2.0)</f>
        <v>2</v>
      </c>
      <c r="E2705" s="2">
        <f>IFERROR(__xludf.DUMMYFUNCTION("""COMPUTED_VALUE"""),39.0)</f>
        <v>39</v>
      </c>
      <c r="F2705" s="2">
        <f>IFERROR(__xludf.DUMMYFUNCTION("""COMPUTED_VALUE"""),3.0)</f>
        <v>3</v>
      </c>
      <c r="G2705" s="2">
        <f>IFERROR(__xludf.DUMMYFUNCTION("""COMPUTED_VALUE"""),5.0)</f>
        <v>5</v>
      </c>
      <c r="H2705" s="2" t="str">
        <f>IFERROR(__xludf.DUMMYFUNCTION("""COMPUTED_VALUE"""),"Hrušč.")</f>
        <v>Hrušč.</v>
      </c>
      <c r="I2705" s="2" t="str">
        <f>IFERROR(__xludf.DUMMYFUNCTION("""COMPUTED_VALUE"""),"Brick")</f>
        <v>Brick</v>
      </c>
      <c r="J2705" s="2" t="str">
        <f>IFERROR(__xludf.DUMMYFUNCTION("""COMPUTED_VALUE"""),"All amenities")</f>
        <v>All amenities</v>
      </c>
      <c r="K2705" s="2">
        <f>IFERROR(__xludf.DUMMYFUNCTION("""COMPUTED_VALUE"""),350.0)</f>
        <v>350</v>
      </c>
      <c r="L2705" s="2">
        <f>IFERROR(__xludf.DUMMYFUNCTION("""COMPUTED_VALUE"""),56.96861735)</f>
        <v>56.96861735</v>
      </c>
      <c r="M2705" s="2">
        <f>IFERROR(__xludf.DUMMYFUNCTION("""COMPUTED_VALUE"""),24.1888526917563)</f>
        <v>24.18885269</v>
      </c>
    </row>
    <row r="2706">
      <c r="A2706" s="2" t="str">
        <f>IFERROR(__xludf.DUMMYFUNCTION("""COMPUTED_VALUE"""),"For sale")</f>
        <v>For sale</v>
      </c>
      <c r="B2706" s="2" t="str">
        <f>IFERROR(__xludf.DUMMYFUNCTION("""COMPUTED_VALUE"""),"Torņakalns")</f>
        <v>Torņakalns</v>
      </c>
      <c r="C2706" s="2" t="str">
        <f>IFERROR(__xludf.DUMMYFUNCTION("""COMPUTED_VALUE"""),"Vienības g. x")</f>
        <v>Vienības g. x</v>
      </c>
      <c r="D2706" s="2">
        <f>IFERROR(__xludf.DUMMYFUNCTION("""COMPUTED_VALUE"""),1.0)</f>
        <v>1</v>
      </c>
      <c r="E2706" s="2">
        <f>IFERROR(__xludf.DUMMYFUNCTION("""COMPUTED_VALUE"""),28.0)</f>
        <v>28</v>
      </c>
      <c r="F2706" s="2">
        <f>IFERROR(__xludf.DUMMYFUNCTION("""COMPUTED_VALUE"""),4.0)</f>
        <v>4</v>
      </c>
      <c r="G2706" s="2">
        <f>IFERROR(__xludf.DUMMYFUNCTION("""COMPUTED_VALUE"""),5.0)</f>
        <v>5</v>
      </c>
      <c r="H2706" s="2" t="str">
        <f>IFERROR(__xludf.DUMMYFUNCTION("""COMPUTED_VALUE"""),"Specpr.")</f>
        <v>Specpr.</v>
      </c>
      <c r="I2706" s="2" t="str">
        <f>IFERROR(__xludf.DUMMYFUNCTION("""COMPUTED_VALUE"""),"Brick")</f>
        <v>Brick</v>
      </c>
      <c r="J2706" s="2" t="str">
        <f>IFERROR(__xludf.DUMMYFUNCTION("""COMPUTED_VALUE"""),"All amenities")</f>
        <v>All amenities</v>
      </c>
      <c r="K2706" s="2">
        <f>IFERROR(__xludf.DUMMYFUNCTION("""COMPUTED_VALUE"""),25000.0)</f>
        <v>25000</v>
      </c>
      <c r="L2706" s="2" t="str">
        <f>IFERROR(__xludf.DUMMYFUNCTION("""COMPUTED_VALUE"""),"NaN")</f>
        <v>NaN</v>
      </c>
      <c r="M2706" s="2" t="str">
        <f>IFERROR(__xludf.DUMMYFUNCTION("""COMPUTED_VALUE"""),"NaN")</f>
        <v>NaN</v>
      </c>
    </row>
    <row r="2707">
      <c r="A2707" s="2" t="str">
        <f>IFERROR(__xludf.DUMMYFUNCTION("""COMPUTED_VALUE"""),"For rent")</f>
        <v>For rent</v>
      </c>
      <c r="B2707" s="2" t="str">
        <f>IFERROR(__xludf.DUMMYFUNCTION("""COMPUTED_VALUE"""),"Iļģuciems")</f>
        <v>Iļģuciems</v>
      </c>
      <c r="C2707" s="2" t="str">
        <f>IFERROR(__xludf.DUMMYFUNCTION("""COMPUTED_VALUE"""),"Spilves 21")</f>
        <v>Spilves 21</v>
      </c>
      <c r="D2707" s="2">
        <f>IFERROR(__xludf.DUMMYFUNCTION("""COMPUTED_VALUE"""),2.0)</f>
        <v>2</v>
      </c>
      <c r="E2707" s="2">
        <f>IFERROR(__xludf.DUMMYFUNCTION("""COMPUTED_VALUE"""),50.0)</f>
        <v>50</v>
      </c>
      <c r="F2707" s="2">
        <f>IFERROR(__xludf.DUMMYFUNCTION("""COMPUTED_VALUE"""),6.0)</f>
        <v>6</v>
      </c>
      <c r="G2707" s="2">
        <f>IFERROR(__xludf.DUMMYFUNCTION("""COMPUTED_VALUE"""),9.0)</f>
        <v>9</v>
      </c>
      <c r="H2707" s="2" t="str">
        <f>IFERROR(__xludf.DUMMYFUNCTION("""COMPUTED_VALUE"""),"Jaun.")</f>
        <v>Jaun.</v>
      </c>
      <c r="I2707" s="2" t="str">
        <f>IFERROR(__xludf.DUMMYFUNCTION("""COMPUTED_VALUE"""),"Panel")</f>
        <v>Panel</v>
      </c>
      <c r="J2707" s="2" t="str">
        <f>IFERROR(__xludf.DUMMYFUNCTION("""COMPUTED_VALUE"""),"All amenities")</f>
        <v>All amenities</v>
      </c>
      <c r="K2707" s="2">
        <f>IFERROR(__xludf.DUMMYFUNCTION("""COMPUTED_VALUE"""),320.0)</f>
        <v>320</v>
      </c>
      <c r="L2707" s="2">
        <f>IFERROR(__xludf.DUMMYFUNCTION("""COMPUTED_VALUE"""),56.97354585)</f>
        <v>56.97354585</v>
      </c>
      <c r="M2707" s="2">
        <f>IFERROR(__xludf.DUMMYFUNCTION("""COMPUTED_VALUE"""),24.0591831044198)</f>
        <v>24.0591831</v>
      </c>
    </row>
    <row r="2708">
      <c r="A2708" s="2" t="str">
        <f>IFERROR(__xludf.DUMMYFUNCTION("""COMPUTED_VALUE"""),"For sale")</f>
        <v>For sale</v>
      </c>
      <c r="B2708" s="2" t="str">
        <f>IFERROR(__xludf.DUMMYFUNCTION("""COMPUTED_VALUE"""),"Ziepniekkalns")</f>
        <v>Ziepniekkalns</v>
      </c>
      <c r="C2708" s="2" t="str">
        <f>IFERROR(__xludf.DUMMYFUNCTION("""COMPUTED_VALUE"""),"Komētas 30")</f>
        <v>Komētas 30</v>
      </c>
      <c r="D2708" s="2">
        <f>IFERROR(__xludf.DUMMYFUNCTION("""COMPUTED_VALUE"""),2.0)</f>
        <v>2</v>
      </c>
      <c r="E2708" s="2">
        <f>IFERROR(__xludf.DUMMYFUNCTION("""COMPUTED_VALUE"""),66.0)</f>
        <v>66</v>
      </c>
      <c r="F2708" s="2">
        <f>IFERROR(__xludf.DUMMYFUNCTION("""COMPUTED_VALUE"""),2.0)</f>
        <v>2</v>
      </c>
      <c r="G2708" s="2">
        <f>IFERROR(__xludf.DUMMYFUNCTION("""COMPUTED_VALUE"""),4.0)</f>
        <v>4</v>
      </c>
      <c r="H2708" s="2" t="str">
        <f>IFERROR(__xludf.DUMMYFUNCTION("""COMPUTED_VALUE"""),"Jaun.")</f>
        <v>Jaun.</v>
      </c>
      <c r="I2708" s="2" t="str">
        <f>IFERROR(__xludf.DUMMYFUNCTION("""COMPUTED_VALUE"""),"Panel-Brick")</f>
        <v>Panel-Brick</v>
      </c>
      <c r="J2708" s="2" t="str">
        <f>IFERROR(__xludf.DUMMYFUNCTION("""COMPUTED_VALUE"""),"All amenities")</f>
        <v>All amenities</v>
      </c>
      <c r="K2708" s="2">
        <f>IFERROR(__xludf.DUMMYFUNCTION("""COMPUTED_VALUE"""),101000.0)</f>
        <v>101000</v>
      </c>
      <c r="L2708" s="2">
        <f>IFERROR(__xludf.DUMMYFUNCTION("""COMPUTED_VALUE"""),56.914968)</f>
        <v>56.914968</v>
      </c>
      <c r="M2708" s="2">
        <f>IFERROR(__xludf.DUMMYFUNCTION("""COMPUTED_VALUE"""),24.12289)</f>
        <v>24.12289</v>
      </c>
    </row>
    <row r="2709">
      <c r="A2709" s="2" t="str">
        <f>IFERROR(__xludf.DUMMYFUNCTION("""COMPUTED_VALUE"""),"For sale")</f>
        <v>For sale</v>
      </c>
      <c r="B2709" s="2" t="str">
        <f>IFERROR(__xludf.DUMMYFUNCTION("""COMPUTED_VALUE"""),"centrs")</f>
        <v>centrs</v>
      </c>
      <c r="C2709" s="2" t="str">
        <f>IFERROR(__xludf.DUMMYFUNCTION("""COMPUTED_VALUE"""),"Dzirnavu 115")</f>
        <v>Dzirnavu 115</v>
      </c>
      <c r="D2709" s="2">
        <f>IFERROR(__xludf.DUMMYFUNCTION("""COMPUTED_VALUE"""),3.0)</f>
        <v>3</v>
      </c>
      <c r="E2709" s="2">
        <f>IFERROR(__xludf.DUMMYFUNCTION("""COMPUTED_VALUE"""),47.0)</f>
        <v>47</v>
      </c>
      <c r="F2709" s="2">
        <f>IFERROR(__xludf.DUMMYFUNCTION("""COMPUTED_VALUE"""),4.0)</f>
        <v>4</v>
      </c>
      <c r="G2709" s="2">
        <f>IFERROR(__xludf.DUMMYFUNCTION("""COMPUTED_VALUE"""),4.0)</f>
        <v>4</v>
      </c>
      <c r="H2709" s="2" t="str">
        <f>IFERROR(__xludf.DUMMYFUNCTION("""COMPUTED_VALUE"""),"P. kara")</f>
        <v>P. kara</v>
      </c>
      <c r="I2709" s="2" t="str">
        <f>IFERROR(__xludf.DUMMYFUNCTION("""COMPUTED_VALUE"""),"Brick")</f>
        <v>Brick</v>
      </c>
      <c r="J2709" s="2" t="str">
        <f>IFERROR(__xludf.DUMMYFUNCTION("""COMPUTED_VALUE"""),"All amenities")</f>
        <v>All amenities</v>
      </c>
      <c r="K2709" s="2">
        <f>IFERROR(__xludf.DUMMYFUNCTION("""COMPUTED_VALUE"""),57810.0)</f>
        <v>57810</v>
      </c>
      <c r="L2709" s="2">
        <f>IFERROR(__xludf.DUMMYFUNCTION("""COMPUTED_VALUE"""),56.9443854)</f>
        <v>56.9443854</v>
      </c>
      <c r="M2709" s="2">
        <f>IFERROR(__xludf.DUMMYFUNCTION("""COMPUTED_VALUE"""),24.1264321)</f>
        <v>24.1264321</v>
      </c>
    </row>
    <row r="2710">
      <c r="A2710" s="2" t="str">
        <f>IFERROR(__xludf.DUMMYFUNCTION("""COMPUTED_VALUE"""),"For rent")</f>
        <v>For rent</v>
      </c>
      <c r="B2710" s="2" t="str">
        <f>IFERROR(__xludf.DUMMYFUNCTION("""COMPUTED_VALUE"""),"Ķengarags")</f>
        <v>Ķengarags</v>
      </c>
      <c r="C2710" s="2" t="str">
        <f>IFERROR(__xludf.DUMMYFUNCTION("""COMPUTED_VALUE"""),"Prūšu 4")</f>
        <v>Prūšu 4</v>
      </c>
      <c r="D2710" s="2">
        <f>IFERROR(__xludf.DUMMYFUNCTION("""COMPUTED_VALUE"""),2.0)</f>
        <v>2</v>
      </c>
      <c r="E2710" s="2">
        <f>IFERROR(__xludf.DUMMYFUNCTION("""COMPUTED_VALUE"""),38.0)</f>
        <v>38</v>
      </c>
      <c r="F2710" s="2">
        <f>IFERROR(__xludf.DUMMYFUNCTION("""COMPUTED_VALUE"""),2.0)</f>
        <v>2</v>
      </c>
      <c r="G2710" s="2">
        <f>IFERROR(__xludf.DUMMYFUNCTION("""COMPUTED_VALUE"""),5.0)</f>
        <v>5</v>
      </c>
      <c r="H2710" s="2" t="str">
        <f>IFERROR(__xludf.DUMMYFUNCTION("""COMPUTED_VALUE"""),"Jaun.")</f>
        <v>Jaun.</v>
      </c>
      <c r="I2710" s="2" t="str">
        <f>IFERROR(__xludf.DUMMYFUNCTION("""COMPUTED_VALUE"""),"Panel")</f>
        <v>Panel</v>
      </c>
      <c r="J2710" s="2" t="str">
        <f>IFERROR(__xludf.DUMMYFUNCTION("""COMPUTED_VALUE"""),"All amenities")</f>
        <v>All amenities</v>
      </c>
      <c r="K2710" s="2">
        <f>IFERROR(__xludf.DUMMYFUNCTION("""COMPUTED_VALUE"""),300.0)</f>
        <v>300</v>
      </c>
      <c r="L2710" s="2">
        <f>IFERROR(__xludf.DUMMYFUNCTION("""COMPUTED_VALUE"""),56.9146747)</f>
        <v>56.9146747</v>
      </c>
      <c r="M2710" s="2">
        <f>IFERROR(__xludf.DUMMYFUNCTION("""COMPUTED_VALUE"""),24.1815079346418)</f>
        <v>24.18150793</v>
      </c>
    </row>
    <row r="2711">
      <c r="A2711" s="2" t="str">
        <f>IFERROR(__xludf.DUMMYFUNCTION("""COMPUTED_VALUE"""),"For rent")</f>
        <v>For rent</v>
      </c>
      <c r="B2711" s="2" t="str">
        <f>IFERROR(__xludf.DUMMYFUNCTION("""COMPUTED_VALUE"""),"centrs")</f>
        <v>centrs</v>
      </c>
      <c r="C2711" s="2" t="str">
        <f>IFERROR(__xludf.DUMMYFUNCTION("""COMPUTED_VALUE"""),"Pētersalas 9")</f>
        <v>Pētersalas 9</v>
      </c>
      <c r="D2711" s="2">
        <f>IFERROR(__xludf.DUMMYFUNCTION("""COMPUTED_VALUE"""),1.0)</f>
        <v>1</v>
      </c>
      <c r="E2711" s="2">
        <f>IFERROR(__xludf.DUMMYFUNCTION("""COMPUTED_VALUE"""),30.0)</f>
        <v>30</v>
      </c>
      <c r="F2711" s="2">
        <f>IFERROR(__xludf.DUMMYFUNCTION("""COMPUTED_VALUE"""),1.0)</f>
        <v>1</v>
      </c>
      <c r="G2711" s="2">
        <f>IFERROR(__xludf.DUMMYFUNCTION("""COMPUTED_VALUE"""),4.0)</f>
        <v>4</v>
      </c>
      <c r="H2711" s="2" t="str">
        <f>IFERROR(__xludf.DUMMYFUNCTION("""COMPUTED_VALUE"""),"P. kara")</f>
        <v>P. kara</v>
      </c>
      <c r="I2711" s="2" t="str">
        <f>IFERROR(__xludf.DUMMYFUNCTION("""COMPUTED_VALUE"""),"Masonry")</f>
        <v>Masonry</v>
      </c>
      <c r="J2711" s="2" t="str">
        <f>IFERROR(__xludf.DUMMYFUNCTION("""COMPUTED_VALUE"""),"All amenities")</f>
        <v>All amenities</v>
      </c>
      <c r="K2711" s="2">
        <f>IFERROR(__xludf.DUMMYFUNCTION("""COMPUTED_VALUE"""),280.0)</f>
        <v>280</v>
      </c>
      <c r="L2711" s="2">
        <f>IFERROR(__xludf.DUMMYFUNCTION("""COMPUTED_VALUE"""),56.9678084)</f>
        <v>56.9678084</v>
      </c>
      <c r="M2711" s="2">
        <f>IFERROR(__xludf.DUMMYFUNCTION("""COMPUTED_VALUE"""),24.1032332)</f>
        <v>24.1032332</v>
      </c>
    </row>
    <row r="2712">
      <c r="A2712" s="2" t="str">
        <f>IFERROR(__xludf.DUMMYFUNCTION("""COMPUTED_VALUE"""),"For rent")</f>
        <v>For rent</v>
      </c>
      <c r="B2712" s="2" t="str">
        <f>IFERROR(__xludf.DUMMYFUNCTION("""COMPUTED_VALUE"""),"centrs")</f>
        <v>centrs</v>
      </c>
      <c r="C2712" s="2" t="str">
        <f>IFERROR(__xludf.DUMMYFUNCTION("""COMPUTED_VALUE"""),"Valdemāra 83")</f>
        <v>Valdemāra 83</v>
      </c>
      <c r="D2712" s="2">
        <f>IFERROR(__xludf.DUMMYFUNCTION("""COMPUTED_VALUE"""),3.0)</f>
        <v>3</v>
      </c>
      <c r="E2712" s="2">
        <f>IFERROR(__xludf.DUMMYFUNCTION("""COMPUTED_VALUE"""),80.0)</f>
        <v>80</v>
      </c>
      <c r="F2712" s="2">
        <f>IFERROR(__xludf.DUMMYFUNCTION("""COMPUTED_VALUE"""),4.0)</f>
        <v>4</v>
      </c>
      <c r="G2712" s="2">
        <f>IFERROR(__xludf.DUMMYFUNCTION("""COMPUTED_VALUE"""),7.0)</f>
        <v>7</v>
      </c>
      <c r="H2712" s="2" t="str">
        <f>IFERROR(__xludf.DUMMYFUNCTION("""COMPUTED_VALUE"""),"Renov.")</f>
        <v>Renov.</v>
      </c>
      <c r="I2712" s="2" t="str">
        <f>IFERROR(__xludf.DUMMYFUNCTION("""COMPUTED_VALUE"""),"Brick")</f>
        <v>Brick</v>
      </c>
      <c r="J2712" s="2" t="str">
        <f>IFERROR(__xludf.DUMMYFUNCTION("""COMPUTED_VALUE"""),"All amenities")</f>
        <v>All amenities</v>
      </c>
      <c r="K2712" s="2">
        <f>IFERROR(__xludf.DUMMYFUNCTION("""COMPUTED_VALUE"""),680.0)</f>
        <v>680</v>
      </c>
      <c r="L2712" s="2">
        <f>IFERROR(__xludf.DUMMYFUNCTION("""COMPUTED_VALUE"""),56.9634352)</f>
        <v>56.9634352</v>
      </c>
      <c r="M2712" s="2">
        <f>IFERROR(__xludf.DUMMYFUNCTION("""COMPUTED_VALUE"""),24.125212429824)</f>
        <v>24.12521243</v>
      </c>
    </row>
    <row r="2713">
      <c r="A2713" s="2" t="str">
        <f>IFERROR(__xludf.DUMMYFUNCTION("""COMPUTED_VALUE"""),"For sale")</f>
        <v>For sale</v>
      </c>
      <c r="B2713" s="2" t="str">
        <f>IFERROR(__xludf.DUMMYFUNCTION("""COMPUTED_VALUE"""),"Āgenskalns")</f>
        <v>Āgenskalns</v>
      </c>
      <c r="C2713" s="2" t="str">
        <f>IFERROR(__xludf.DUMMYFUNCTION("""COMPUTED_VALUE"""),"Tapešu 19")</f>
        <v>Tapešu 19</v>
      </c>
      <c r="D2713" s="2">
        <f>IFERROR(__xludf.DUMMYFUNCTION("""COMPUTED_VALUE"""),4.0)</f>
        <v>4</v>
      </c>
      <c r="E2713" s="2">
        <f>IFERROR(__xludf.DUMMYFUNCTION("""COMPUTED_VALUE"""),74.0)</f>
        <v>74</v>
      </c>
      <c r="F2713" s="2">
        <f>IFERROR(__xludf.DUMMYFUNCTION("""COMPUTED_VALUE"""),5.0)</f>
        <v>5</v>
      </c>
      <c r="G2713" s="2">
        <f>IFERROR(__xludf.DUMMYFUNCTION("""COMPUTED_VALUE"""),5.0)</f>
        <v>5</v>
      </c>
      <c r="H2713" s="2" t="str">
        <f>IFERROR(__xludf.DUMMYFUNCTION("""COMPUTED_VALUE"""),"Specpr.")</f>
        <v>Specpr.</v>
      </c>
      <c r="I2713" s="2" t="str">
        <f>IFERROR(__xludf.DUMMYFUNCTION("""COMPUTED_VALUE"""),"Brick")</f>
        <v>Brick</v>
      </c>
      <c r="J2713" s="2" t="str">
        <f>IFERROR(__xludf.DUMMYFUNCTION("""COMPUTED_VALUE"""),"All amenities")</f>
        <v>All amenities</v>
      </c>
      <c r="K2713" s="2">
        <f>IFERROR(__xludf.DUMMYFUNCTION("""COMPUTED_VALUE"""),82000.0)</f>
        <v>82000</v>
      </c>
      <c r="L2713" s="2">
        <f>IFERROR(__xludf.DUMMYFUNCTION("""COMPUTED_VALUE"""),56.9469754)</f>
        <v>56.9469754</v>
      </c>
      <c r="M2713" s="2">
        <f>IFERROR(__xludf.DUMMYFUNCTION("""COMPUTED_VALUE"""),24.0486161999999)</f>
        <v>24.0486162</v>
      </c>
    </row>
    <row r="2714">
      <c r="A2714" s="2" t="str">
        <f>IFERROR(__xludf.DUMMYFUNCTION("""COMPUTED_VALUE"""),"For rent")</f>
        <v>For rent</v>
      </c>
      <c r="B2714" s="2" t="str">
        <f>IFERROR(__xludf.DUMMYFUNCTION("""COMPUTED_VALUE"""),"Āgenskalns")</f>
        <v>Āgenskalns</v>
      </c>
      <c r="C2714" s="2" t="str">
        <f>IFERROR(__xludf.DUMMYFUNCTION("""COMPUTED_VALUE"""),"Nomales 6")</f>
        <v>Nomales 6</v>
      </c>
      <c r="D2714" s="2">
        <f>IFERROR(__xludf.DUMMYFUNCTION("""COMPUTED_VALUE"""),2.0)</f>
        <v>2</v>
      </c>
      <c r="E2714" s="2">
        <f>IFERROR(__xludf.DUMMYFUNCTION("""COMPUTED_VALUE"""),43.0)</f>
        <v>43</v>
      </c>
      <c r="F2714" s="2">
        <f>IFERROR(__xludf.DUMMYFUNCTION("""COMPUTED_VALUE"""),3.0)</f>
        <v>3</v>
      </c>
      <c r="G2714" s="2">
        <f>IFERROR(__xludf.DUMMYFUNCTION("""COMPUTED_VALUE"""),4.0)</f>
        <v>4</v>
      </c>
      <c r="H2714" s="2" t="str">
        <f>IFERROR(__xludf.DUMMYFUNCTION("""COMPUTED_VALUE"""),"Hrušč.")</f>
        <v>Hrušč.</v>
      </c>
      <c r="I2714" s="2" t="str">
        <f>IFERROR(__xludf.DUMMYFUNCTION("""COMPUTED_VALUE"""),"Brick")</f>
        <v>Brick</v>
      </c>
      <c r="J2714" s="2" t="str">
        <f>IFERROR(__xludf.DUMMYFUNCTION("""COMPUTED_VALUE"""),"All amenities")</f>
        <v>All amenities</v>
      </c>
      <c r="K2714" s="2">
        <f>IFERROR(__xludf.DUMMYFUNCTION("""COMPUTED_VALUE"""),32.0)</f>
        <v>32</v>
      </c>
      <c r="L2714" s="2">
        <f>IFERROR(__xludf.DUMMYFUNCTION("""COMPUTED_VALUE"""),56.9365339999999)</f>
        <v>56.936534</v>
      </c>
      <c r="M2714" s="2">
        <f>IFERROR(__xludf.DUMMYFUNCTION("""COMPUTED_VALUE"""),24.0571713764132)</f>
        <v>24.05717138</v>
      </c>
    </row>
    <row r="2715">
      <c r="A2715" s="2" t="str">
        <f>IFERROR(__xludf.DUMMYFUNCTION("""COMPUTED_VALUE"""),"For rent")</f>
        <v>For rent</v>
      </c>
      <c r="B2715" s="2" t="str">
        <f>IFERROR(__xludf.DUMMYFUNCTION("""COMPUTED_VALUE"""),"Vecrīga")</f>
        <v>Vecrīga</v>
      </c>
      <c r="C2715" s="2" t="str">
        <f>IFERROR(__xludf.DUMMYFUNCTION("""COMPUTED_VALUE"""),"Vaļņu 4")</f>
        <v>Vaļņu 4</v>
      </c>
      <c r="D2715" s="2">
        <f>IFERROR(__xludf.DUMMYFUNCTION("""COMPUTED_VALUE"""),3.0)</f>
        <v>3</v>
      </c>
      <c r="E2715" s="2">
        <f>IFERROR(__xludf.DUMMYFUNCTION("""COMPUTED_VALUE"""),90.0)</f>
        <v>90</v>
      </c>
      <c r="F2715" s="2">
        <f>IFERROR(__xludf.DUMMYFUNCTION("""COMPUTED_VALUE"""),2.0)</f>
        <v>2</v>
      </c>
      <c r="G2715" s="2">
        <f>IFERROR(__xludf.DUMMYFUNCTION("""COMPUTED_VALUE"""),6.0)</f>
        <v>6</v>
      </c>
      <c r="H2715" s="2" t="str">
        <f>IFERROR(__xludf.DUMMYFUNCTION("""COMPUTED_VALUE"""),"Jaun.")</f>
        <v>Jaun.</v>
      </c>
      <c r="I2715" s="2" t="str">
        <f>IFERROR(__xludf.DUMMYFUNCTION("""COMPUTED_VALUE"""),"Masonry")</f>
        <v>Masonry</v>
      </c>
      <c r="J2715" s="2" t="str">
        <f>IFERROR(__xludf.DUMMYFUNCTION("""COMPUTED_VALUE"""),"All amenities")</f>
        <v>All amenities</v>
      </c>
      <c r="K2715" s="2">
        <f>IFERROR(__xludf.DUMMYFUNCTION("""COMPUTED_VALUE"""),1000.0)</f>
        <v>1000</v>
      </c>
      <c r="L2715" s="2">
        <f>IFERROR(__xludf.DUMMYFUNCTION("""COMPUTED_VALUE"""),56.9507117)</f>
        <v>56.9507117</v>
      </c>
      <c r="M2715" s="2">
        <f>IFERROR(__xludf.DUMMYFUNCTION("""COMPUTED_VALUE"""),24.1098309)</f>
        <v>24.1098309</v>
      </c>
    </row>
    <row r="2716">
      <c r="A2716" s="2" t="str">
        <f>IFERROR(__xludf.DUMMYFUNCTION("""COMPUTED_VALUE"""),"For sale")</f>
        <v>For sale</v>
      </c>
      <c r="B2716" s="2" t="str">
        <f>IFERROR(__xludf.DUMMYFUNCTION("""COMPUTED_VALUE"""),"Purvciems")</f>
        <v>Purvciems</v>
      </c>
      <c r="C2716" s="2" t="str">
        <f>IFERROR(__xludf.DUMMYFUNCTION("""COMPUTED_VALUE"""),"Pūces 51")</f>
        <v>Pūces 51</v>
      </c>
      <c r="D2716" s="2">
        <f>IFERROR(__xludf.DUMMYFUNCTION("""COMPUTED_VALUE"""),3.0)</f>
        <v>3</v>
      </c>
      <c r="E2716" s="2">
        <f>IFERROR(__xludf.DUMMYFUNCTION("""COMPUTED_VALUE"""),62.0)</f>
        <v>62</v>
      </c>
      <c r="F2716" s="2">
        <f>IFERROR(__xludf.DUMMYFUNCTION("""COMPUTED_VALUE"""),3.0)</f>
        <v>3</v>
      </c>
      <c r="G2716" s="2">
        <f>IFERROR(__xludf.DUMMYFUNCTION("""COMPUTED_VALUE"""),9.0)</f>
        <v>9</v>
      </c>
      <c r="H2716" s="2">
        <f>IFERROR(__xludf.DUMMYFUNCTION("""COMPUTED_VALUE"""),602.0)</f>
        <v>602</v>
      </c>
      <c r="I2716" s="2" t="str">
        <f>IFERROR(__xludf.DUMMYFUNCTION("""COMPUTED_VALUE"""),"Panel")</f>
        <v>Panel</v>
      </c>
      <c r="J2716" s="2" t="str">
        <f>IFERROR(__xludf.DUMMYFUNCTION("""COMPUTED_VALUE"""),"All amenities")</f>
        <v>All amenities</v>
      </c>
      <c r="K2716" s="2">
        <f>IFERROR(__xludf.DUMMYFUNCTION("""COMPUTED_VALUE"""),55000.0)</f>
        <v>55000</v>
      </c>
      <c r="L2716" s="2">
        <f>IFERROR(__xludf.DUMMYFUNCTION("""COMPUTED_VALUE"""),56.95350215)</f>
        <v>56.95350215</v>
      </c>
      <c r="M2716" s="2">
        <f>IFERROR(__xludf.DUMMYFUNCTION("""COMPUTED_VALUE"""),24.192131770328)</f>
        <v>24.19213177</v>
      </c>
    </row>
    <row r="2717">
      <c r="A2717" s="2" t="str">
        <f>IFERROR(__xludf.DUMMYFUNCTION("""COMPUTED_VALUE"""),"For sale")</f>
        <v>For sale</v>
      </c>
      <c r="B2717" s="2" t="str">
        <f>IFERROR(__xludf.DUMMYFUNCTION("""COMPUTED_VALUE"""),"Āgenskalns")</f>
        <v>Āgenskalns</v>
      </c>
      <c r="C2717" s="2" t="str">
        <f>IFERROR(__xludf.DUMMYFUNCTION("""COMPUTED_VALUE"""),"Kapseļu 25a")</f>
        <v>Kapseļu 25a</v>
      </c>
      <c r="D2717" s="2">
        <f>IFERROR(__xludf.DUMMYFUNCTION("""COMPUTED_VALUE"""),4.0)</f>
        <v>4</v>
      </c>
      <c r="E2717" s="2">
        <f>IFERROR(__xludf.DUMMYFUNCTION("""COMPUTED_VALUE"""),166.0)</f>
        <v>166</v>
      </c>
      <c r="F2717" s="2">
        <f>IFERROR(__xludf.DUMMYFUNCTION("""COMPUTED_VALUE"""),4.0)</f>
        <v>4</v>
      </c>
      <c r="G2717" s="2">
        <f>IFERROR(__xludf.DUMMYFUNCTION("""COMPUTED_VALUE"""),4.0)</f>
        <v>4</v>
      </c>
      <c r="H2717" s="2" t="str">
        <f>IFERROR(__xludf.DUMMYFUNCTION("""COMPUTED_VALUE"""),"Jaun.")</f>
        <v>Jaun.</v>
      </c>
      <c r="I2717" s="2" t="str">
        <f>IFERROR(__xludf.DUMMYFUNCTION("""COMPUTED_VALUE"""),"Masonry")</f>
        <v>Masonry</v>
      </c>
      <c r="J2717" s="2" t="str">
        <f>IFERROR(__xludf.DUMMYFUNCTION("""COMPUTED_VALUE"""),"All amenities")</f>
        <v>All amenities</v>
      </c>
      <c r="K2717" s="2">
        <f>IFERROR(__xludf.DUMMYFUNCTION("""COMPUTED_VALUE"""),286700.0)</f>
        <v>286700</v>
      </c>
      <c r="L2717" s="2">
        <f>IFERROR(__xludf.DUMMYFUNCTION("""COMPUTED_VALUE"""),56.9406155)</f>
        <v>56.9406155</v>
      </c>
      <c r="M2717" s="2">
        <f>IFERROR(__xludf.DUMMYFUNCTION("""COMPUTED_VALUE"""),24.0635273)</f>
        <v>24.0635273</v>
      </c>
    </row>
    <row r="2718">
      <c r="A2718" s="2" t="str">
        <f>IFERROR(__xludf.DUMMYFUNCTION("""COMPUTED_VALUE"""),"For sale")</f>
        <v>For sale</v>
      </c>
      <c r="B2718" s="2" t="str">
        <f>IFERROR(__xludf.DUMMYFUNCTION("""COMPUTED_VALUE"""),"Āgenskalns")</f>
        <v>Āgenskalns</v>
      </c>
      <c r="C2718" s="2" t="str">
        <f>IFERROR(__xludf.DUMMYFUNCTION("""COMPUTED_VALUE"""),"Kapseļu 25a")</f>
        <v>Kapseļu 25a</v>
      </c>
      <c r="D2718" s="2">
        <f>IFERROR(__xludf.DUMMYFUNCTION("""COMPUTED_VALUE"""),3.0)</f>
        <v>3</v>
      </c>
      <c r="E2718" s="2">
        <f>IFERROR(__xludf.DUMMYFUNCTION("""COMPUTED_VALUE"""),166.0)</f>
        <v>166</v>
      </c>
      <c r="F2718" s="2">
        <f>IFERROR(__xludf.DUMMYFUNCTION("""COMPUTED_VALUE"""),4.0)</f>
        <v>4</v>
      </c>
      <c r="G2718" s="2">
        <f>IFERROR(__xludf.DUMMYFUNCTION("""COMPUTED_VALUE"""),4.0)</f>
        <v>4</v>
      </c>
      <c r="H2718" s="2" t="str">
        <f>IFERROR(__xludf.DUMMYFUNCTION("""COMPUTED_VALUE"""),"Jaun.")</f>
        <v>Jaun.</v>
      </c>
      <c r="I2718" s="2" t="str">
        <f>IFERROR(__xludf.DUMMYFUNCTION("""COMPUTED_VALUE"""),"Masonry")</f>
        <v>Masonry</v>
      </c>
      <c r="J2718" s="2" t="str">
        <f>IFERROR(__xludf.DUMMYFUNCTION("""COMPUTED_VALUE"""),"All amenities")</f>
        <v>All amenities</v>
      </c>
      <c r="K2718" s="2">
        <f>IFERROR(__xludf.DUMMYFUNCTION("""COMPUTED_VALUE"""),286700.0)</f>
        <v>286700</v>
      </c>
      <c r="L2718" s="2">
        <f>IFERROR(__xludf.DUMMYFUNCTION("""COMPUTED_VALUE"""),56.9406155)</f>
        <v>56.9406155</v>
      </c>
      <c r="M2718" s="2">
        <f>IFERROR(__xludf.DUMMYFUNCTION("""COMPUTED_VALUE"""),24.0635273)</f>
        <v>24.0635273</v>
      </c>
    </row>
    <row r="2719">
      <c r="A2719" s="2" t="str">
        <f>IFERROR(__xludf.DUMMYFUNCTION("""COMPUTED_VALUE"""),"For sale")</f>
        <v>For sale</v>
      </c>
      <c r="B2719" s="2" t="str">
        <f>IFERROR(__xludf.DUMMYFUNCTION("""COMPUTED_VALUE"""),"Āgenskalns")</f>
        <v>Āgenskalns</v>
      </c>
      <c r="C2719" s="2" t="str">
        <f>IFERROR(__xludf.DUMMYFUNCTION("""COMPUTED_VALUE"""),"Kapseļu 25a")</f>
        <v>Kapseļu 25a</v>
      </c>
      <c r="D2719" s="2">
        <f>IFERROR(__xludf.DUMMYFUNCTION("""COMPUTED_VALUE"""),2.0)</f>
        <v>2</v>
      </c>
      <c r="E2719" s="2">
        <f>IFERROR(__xludf.DUMMYFUNCTION("""COMPUTED_VALUE"""),67.1)</f>
        <v>67.1</v>
      </c>
      <c r="F2719" s="2">
        <f>IFERROR(__xludf.DUMMYFUNCTION("""COMPUTED_VALUE"""),1.0)</f>
        <v>1</v>
      </c>
      <c r="G2719" s="2">
        <f>IFERROR(__xludf.DUMMYFUNCTION("""COMPUTED_VALUE"""),4.0)</f>
        <v>4</v>
      </c>
      <c r="H2719" s="2" t="str">
        <f>IFERROR(__xludf.DUMMYFUNCTION("""COMPUTED_VALUE"""),"Jaun.")</f>
        <v>Jaun.</v>
      </c>
      <c r="I2719" s="2" t="str">
        <f>IFERROR(__xludf.DUMMYFUNCTION("""COMPUTED_VALUE"""),"Masonry")</f>
        <v>Masonry</v>
      </c>
      <c r="J2719" s="2" t="str">
        <f>IFERROR(__xludf.DUMMYFUNCTION("""COMPUTED_VALUE"""),"All amenities")</f>
        <v>All amenities</v>
      </c>
      <c r="K2719" s="2">
        <f>IFERROR(__xludf.DUMMYFUNCTION("""COMPUTED_VALUE"""),134200.0)</f>
        <v>134200</v>
      </c>
      <c r="L2719" s="2">
        <f>IFERROR(__xludf.DUMMYFUNCTION("""COMPUTED_VALUE"""),56.9406155)</f>
        <v>56.9406155</v>
      </c>
      <c r="M2719" s="2">
        <f>IFERROR(__xludf.DUMMYFUNCTION("""COMPUTED_VALUE"""),24.0635273)</f>
        <v>24.0635273</v>
      </c>
    </row>
    <row r="2720">
      <c r="A2720" s="2" t="str">
        <f>IFERROR(__xludf.DUMMYFUNCTION("""COMPUTED_VALUE"""),"For sale")</f>
        <v>For sale</v>
      </c>
      <c r="B2720" s="2" t="str">
        <f>IFERROR(__xludf.DUMMYFUNCTION("""COMPUTED_VALUE"""),"Āgenskalns")</f>
        <v>Āgenskalns</v>
      </c>
      <c r="C2720" s="2" t="str">
        <f>IFERROR(__xludf.DUMMYFUNCTION("""COMPUTED_VALUE"""),"Kapseļu 25a")</f>
        <v>Kapseļu 25a</v>
      </c>
      <c r="D2720" s="2">
        <f>IFERROR(__xludf.DUMMYFUNCTION("""COMPUTED_VALUE"""),2.0)</f>
        <v>2</v>
      </c>
      <c r="E2720" s="2">
        <f>IFERROR(__xludf.DUMMYFUNCTION("""COMPUTED_VALUE"""),65.0)</f>
        <v>65</v>
      </c>
      <c r="F2720" s="2">
        <f>IFERROR(__xludf.DUMMYFUNCTION("""COMPUTED_VALUE"""),3.0)</f>
        <v>3</v>
      </c>
      <c r="G2720" s="2">
        <f>IFERROR(__xludf.DUMMYFUNCTION("""COMPUTED_VALUE"""),4.0)</f>
        <v>4</v>
      </c>
      <c r="H2720" s="2" t="str">
        <f>IFERROR(__xludf.DUMMYFUNCTION("""COMPUTED_VALUE"""),"Jaun.")</f>
        <v>Jaun.</v>
      </c>
      <c r="I2720" s="2" t="str">
        <f>IFERROR(__xludf.DUMMYFUNCTION("""COMPUTED_VALUE"""),"Masonry")</f>
        <v>Masonry</v>
      </c>
      <c r="J2720" s="2" t="str">
        <f>IFERROR(__xludf.DUMMYFUNCTION("""COMPUTED_VALUE"""),"All amenities")</f>
        <v>All amenities</v>
      </c>
      <c r="K2720" s="2">
        <f>IFERROR(__xludf.DUMMYFUNCTION("""COMPUTED_VALUE"""),142340.0)</f>
        <v>142340</v>
      </c>
      <c r="L2720" s="2">
        <f>IFERROR(__xludf.DUMMYFUNCTION("""COMPUTED_VALUE"""),56.9406155)</f>
        <v>56.9406155</v>
      </c>
      <c r="M2720" s="2">
        <f>IFERROR(__xludf.DUMMYFUNCTION("""COMPUTED_VALUE"""),24.0635273)</f>
        <v>24.0635273</v>
      </c>
    </row>
    <row r="2721">
      <c r="A2721" s="2" t="str">
        <f>IFERROR(__xludf.DUMMYFUNCTION("""COMPUTED_VALUE"""),"For rent")</f>
        <v>For rent</v>
      </c>
      <c r="B2721" s="2" t="str">
        <f>IFERROR(__xludf.DUMMYFUNCTION("""COMPUTED_VALUE"""),"Ķengarags")</f>
        <v>Ķengarags</v>
      </c>
      <c r="C2721" s="2" t="str">
        <f>IFERROR(__xludf.DUMMYFUNCTION("""COMPUTED_VALUE"""),"Salaspils 22")</f>
        <v>Salaspils 22</v>
      </c>
      <c r="D2721" s="2">
        <f>IFERROR(__xludf.DUMMYFUNCTION("""COMPUTED_VALUE"""),1.0)</f>
        <v>1</v>
      </c>
      <c r="E2721" s="2">
        <f>IFERROR(__xludf.DUMMYFUNCTION("""COMPUTED_VALUE"""),38.0)</f>
        <v>38</v>
      </c>
      <c r="F2721" s="2">
        <f>IFERROR(__xludf.DUMMYFUNCTION("""COMPUTED_VALUE"""),4.0)</f>
        <v>4</v>
      </c>
      <c r="G2721" s="2">
        <f>IFERROR(__xludf.DUMMYFUNCTION("""COMPUTED_VALUE"""),4.0)</f>
        <v>4</v>
      </c>
      <c r="H2721" s="2" t="str">
        <f>IFERROR(__xludf.DUMMYFUNCTION("""COMPUTED_VALUE"""),"Renov.")</f>
        <v>Renov.</v>
      </c>
      <c r="I2721" s="2" t="str">
        <f>IFERROR(__xludf.DUMMYFUNCTION("""COMPUTED_VALUE"""),"Masonry")</f>
        <v>Masonry</v>
      </c>
      <c r="J2721" s="2" t="str">
        <f>IFERROR(__xludf.DUMMYFUNCTION("""COMPUTED_VALUE"""),"All amenities")</f>
        <v>All amenities</v>
      </c>
      <c r="K2721" s="2">
        <f>IFERROR(__xludf.DUMMYFUNCTION("""COMPUTED_VALUE"""),320.0)</f>
        <v>320</v>
      </c>
      <c r="L2721" s="2">
        <f>IFERROR(__xludf.DUMMYFUNCTION("""COMPUTED_VALUE"""),56.8597884)</f>
        <v>56.8597884</v>
      </c>
      <c r="M2721" s="2">
        <f>IFERROR(__xludf.DUMMYFUNCTION("""COMPUTED_VALUE"""),24.3083417)</f>
        <v>24.3083417</v>
      </c>
    </row>
    <row r="2722">
      <c r="A2722" s="2" t="str">
        <f>IFERROR(__xludf.DUMMYFUNCTION("""COMPUTED_VALUE"""),"For sale")</f>
        <v>For sale</v>
      </c>
      <c r="B2722" s="2" t="str">
        <f>IFERROR(__xludf.DUMMYFUNCTION("""COMPUTED_VALUE"""),"Āgenskalns")</f>
        <v>Āgenskalns</v>
      </c>
      <c r="C2722" s="2" t="str">
        <f>IFERROR(__xludf.DUMMYFUNCTION("""COMPUTED_VALUE"""),"Kapseļu 25a")</f>
        <v>Kapseļu 25a</v>
      </c>
      <c r="D2722" s="2">
        <f>IFERROR(__xludf.DUMMYFUNCTION("""COMPUTED_VALUE"""),2.0)</f>
        <v>2</v>
      </c>
      <c r="E2722" s="2">
        <f>IFERROR(__xludf.DUMMYFUNCTION("""COMPUTED_VALUE"""),63.0)</f>
        <v>63</v>
      </c>
      <c r="F2722" s="2">
        <f>IFERROR(__xludf.DUMMYFUNCTION("""COMPUTED_VALUE"""),3.0)</f>
        <v>3</v>
      </c>
      <c r="G2722" s="2">
        <f>IFERROR(__xludf.DUMMYFUNCTION("""COMPUTED_VALUE"""),4.0)</f>
        <v>4</v>
      </c>
      <c r="H2722" s="2" t="str">
        <f>IFERROR(__xludf.DUMMYFUNCTION("""COMPUTED_VALUE"""),"Jaun.")</f>
        <v>Jaun.</v>
      </c>
      <c r="I2722" s="2" t="str">
        <f>IFERROR(__xludf.DUMMYFUNCTION("""COMPUTED_VALUE"""),"Masonry")</f>
        <v>Masonry</v>
      </c>
      <c r="J2722" s="2" t="str">
        <f>IFERROR(__xludf.DUMMYFUNCTION("""COMPUTED_VALUE"""),"All amenities")</f>
        <v>All amenities</v>
      </c>
      <c r="K2722" s="2">
        <f>IFERROR(__xludf.DUMMYFUNCTION("""COMPUTED_VALUE"""),139040.0)</f>
        <v>139040</v>
      </c>
      <c r="L2722" s="2">
        <f>IFERROR(__xludf.DUMMYFUNCTION("""COMPUTED_VALUE"""),56.9406155)</f>
        <v>56.9406155</v>
      </c>
      <c r="M2722" s="2">
        <f>IFERROR(__xludf.DUMMYFUNCTION("""COMPUTED_VALUE"""),24.0635273)</f>
        <v>24.0635273</v>
      </c>
    </row>
    <row r="2723">
      <c r="A2723" s="2" t="str">
        <f>IFERROR(__xludf.DUMMYFUNCTION("""COMPUTED_VALUE"""),"For sale")</f>
        <v>For sale</v>
      </c>
      <c r="B2723" s="2" t="str">
        <f>IFERROR(__xludf.DUMMYFUNCTION("""COMPUTED_VALUE"""),"Āgenskalns")</f>
        <v>Āgenskalns</v>
      </c>
      <c r="C2723" s="2" t="str">
        <f>IFERROR(__xludf.DUMMYFUNCTION("""COMPUTED_VALUE"""),"Kapseļu 25a")</f>
        <v>Kapseļu 25a</v>
      </c>
      <c r="D2723" s="2">
        <f>IFERROR(__xludf.DUMMYFUNCTION("""COMPUTED_VALUE"""),2.0)</f>
        <v>2</v>
      </c>
      <c r="E2723" s="2">
        <f>IFERROR(__xludf.DUMMYFUNCTION("""COMPUTED_VALUE"""),59.8)</f>
        <v>59.8</v>
      </c>
      <c r="F2723" s="2">
        <f>IFERROR(__xludf.DUMMYFUNCTION("""COMPUTED_VALUE"""),1.0)</f>
        <v>1</v>
      </c>
      <c r="G2723" s="2">
        <f>IFERROR(__xludf.DUMMYFUNCTION("""COMPUTED_VALUE"""),4.0)</f>
        <v>4</v>
      </c>
      <c r="H2723" s="2" t="str">
        <f>IFERROR(__xludf.DUMMYFUNCTION("""COMPUTED_VALUE"""),"Jaun.")</f>
        <v>Jaun.</v>
      </c>
      <c r="I2723" s="2" t="str">
        <f>IFERROR(__xludf.DUMMYFUNCTION("""COMPUTED_VALUE"""),"Masonry")</f>
        <v>Masonry</v>
      </c>
      <c r="J2723" s="2" t="str">
        <f>IFERROR(__xludf.DUMMYFUNCTION("""COMPUTED_VALUE"""),"All amenities")</f>
        <v>All amenities</v>
      </c>
      <c r="K2723" s="2">
        <f>IFERROR(__xludf.DUMMYFUNCTION("""COMPUTED_VALUE"""),113620.0)</f>
        <v>113620</v>
      </c>
      <c r="L2723" s="2">
        <f>IFERROR(__xludf.DUMMYFUNCTION("""COMPUTED_VALUE"""),56.9406155)</f>
        <v>56.9406155</v>
      </c>
      <c r="M2723" s="2">
        <f>IFERROR(__xludf.DUMMYFUNCTION("""COMPUTED_VALUE"""),24.0635273)</f>
        <v>24.0635273</v>
      </c>
    </row>
    <row r="2724">
      <c r="A2724" s="2" t="str">
        <f>IFERROR(__xludf.DUMMYFUNCTION("""COMPUTED_VALUE"""),"For rent")</f>
        <v>For rent</v>
      </c>
      <c r="B2724" s="2" t="str">
        <f>IFERROR(__xludf.DUMMYFUNCTION("""COMPUTED_VALUE"""),"centrs")</f>
        <v>centrs</v>
      </c>
      <c r="C2724" s="2" t="str">
        <f>IFERROR(__xludf.DUMMYFUNCTION("""COMPUTED_VALUE"""),"Vēžu 14")</f>
        <v>Vēžu 14</v>
      </c>
      <c r="D2724" s="2">
        <f>IFERROR(__xludf.DUMMYFUNCTION("""COMPUTED_VALUE"""),3.0)</f>
        <v>3</v>
      </c>
      <c r="E2724" s="2">
        <f>IFERROR(__xludf.DUMMYFUNCTION("""COMPUTED_VALUE"""),100.0)</f>
        <v>100</v>
      </c>
      <c r="F2724" s="2">
        <f>IFERROR(__xludf.DUMMYFUNCTION("""COMPUTED_VALUE"""),6.0)</f>
        <v>6</v>
      </c>
      <c r="G2724" s="2">
        <f>IFERROR(__xludf.DUMMYFUNCTION("""COMPUTED_VALUE"""),6.0)</f>
        <v>6</v>
      </c>
      <c r="H2724" s="2" t="str">
        <f>IFERROR(__xludf.DUMMYFUNCTION("""COMPUTED_VALUE"""),"Jaun.")</f>
        <v>Jaun.</v>
      </c>
      <c r="I2724" s="2" t="str">
        <f>IFERROR(__xludf.DUMMYFUNCTION("""COMPUTED_VALUE"""),"Masonry")</f>
        <v>Masonry</v>
      </c>
      <c r="J2724" s="2" t="str">
        <f>IFERROR(__xludf.DUMMYFUNCTION("""COMPUTED_VALUE"""),"All amenities")</f>
        <v>All amenities</v>
      </c>
      <c r="K2724" s="2">
        <f>IFERROR(__xludf.DUMMYFUNCTION("""COMPUTED_VALUE"""),1400.0)</f>
        <v>1400</v>
      </c>
      <c r="L2724" s="2">
        <f>IFERROR(__xludf.DUMMYFUNCTION("""COMPUTED_VALUE"""),56.9703444)</f>
        <v>56.9703444</v>
      </c>
      <c r="M2724" s="2">
        <f>IFERROR(__xludf.DUMMYFUNCTION("""COMPUTED_VALUE"""),24.1001017)</f>
        <v>24.1001017</v>
      </c>
    </row>
    <row r="2725">
      <c r="A2725" s="2" t="str">
        <f>IFERROR(__xludf.DUMMYFUNCTION("""COMPUTED_VALUE"""),"For sale")</f>
        <v>For sale</v>
      </c>
      <c r="B2725" s="2" t="str">
        <f>IFERROR(__xludf.DUMMYFUNCTION("""COMPUTED_VALUE"""),"Iļģuciems")</f>
        <v>Iļģuciems</v>
      </c>
      <c r="C2725" s="2" t="str">
        <f>IFERROR(__xludf.DUMMYFUNCTION("""COMPUTED_VALUE"""),"Slokas 72")</f>
        <v>Slokas 72</v>
      </c>
      <c r="D2725" s="2">
        <f>IFERROR(__xludf.DUMMYFUNCTION("""COMPUTED_VALUE"""),3.0)</f>
        <v>3</v>
      </c>
      <c r="E2725" s="2">
        <f>IFERROR(__xludf.DUMMYFUNCTION("""COMPUTED_VALUE"""),80.0)</f>
        <v>80</v>
      </c>
      <c r="F2725" s="2">
        <f>IFERROR(__xludf.DUMMYFUNCTION("""COMPUTED_VALUE"""),1.0)</f>
        <v>1</v>
      </c>
      <c r="G2725" s="2">
        <f>IFERROR(__xludf.DUMMYFUNCTION("""COMPUTED_VALUE"""),3.0)</f>
        <v>3</v>
      </c>
      <c r="H2725" s="2" t="str">
        <f>IFERROR(__xludf.DUMMYFUNCTION("""COMPUTED_VALUE"""),"Staļina")</f>
        <v>Staļina</v>
      </c>
      <c r="I2725" s="2" t="str">
        <f>IFERROR(__xludf.DUMMYFUNCTION("""COMPUTED_VALUE"""),"Brick")</f>
        <v>Brick</v>
      </c>
      <c r="J2725" s="2" t="str">
        <f>IFERROR(__xludf.DUMMYFUNCTION("""COMPUTED_VALUE"""),"All amenities")</f>
        <v>All amenities</v>
      </c>
      <c r="K2725" s="2">
        <f>IFERROR(__xludf.DUMMYFUNCTION("""COMPUTED_VALUE"""),69000.0)</f>
        <v>69000</v>
      </c>
      <c r="L2725" s="2">
        <f>IFERROR(__xludf.DUMMYFUNCTION("""COMPUTED_VALUE"""),56.9593385)</f>
        <v>56.9593385</v>
      </c>
      <c r="M2725" s="2">
        <f>IFERROR(__xludf.DUMMYFUNCTION("""COMPUTED_VALUE"""),24.0605045430597)</f>
        <v>24.06050454</v>
      </c>
    </row>
    <row r="2726">
      <c r="A2726" s="2" t="str">
        <f>IFERROR(__xludf.DUMMYFUNCTION("""COMPUTED_VALUE"""),"For sale")</f>
        <v>For sale</v>
      </c>
      <c r="B2726" s="2" t="str">
        <f>IFERROR(__xludf.DUMMYFUNCTION("""COMPUTED_VALUE"""),"Krasta r-ns")</f>
        <v>Krasta r-ns</v>
      </c>
      <c r="C2726" s="2" t="str">
        <f>IFERROR(__xludf.DUMMYFUNCTION("""COMPUTED_VALUE"""),"Lubānas 10")</f>
        <v>Lubānas 10</v>
      </c>
      <c r="D2726" s="2">
        <f>IFERROR(__xludf.DUMMYFUNCTION("""COMPUTED_VALUE"""),3.0)</f>
        <v>3</v>
      </c>
      <c r="E2726" s="2">
        <f>IFERROR(__xludf.DUMMYFUNCTION("""COMPUTED_VALUE"""),57.0)</f>
        <v>57</v>
      </c>
      <c r="F2726" s="2">
        <f>IFERROR(__xludf.DUMMYFUNCTION("""COMPUTED_VALUE"""),3.0)</f>
        <v>3</v>
      </c>
      <c r="G2726" s="2">
        <f>IFERROR(__xludf.DUMMYFUNCTION("""COMPUTED_VALUE"""),9.0)</f>
        <v>9</v>
      </c>
      <c r="H2726" s="2">
        <f>IFERROR(__xludf.DUMMYFUNCTION("""COMPUTED_VALUE"""),467.0)</f>
        <v>467</v>
      </c>
      <c r="I2726" s="2" t="str">
        <f>IFERROR(__xludf.DUMMYFUNCTION("""COMPUTED_VALUE"""),"Panel")</f>
        <v>Panel</v>
      </c>
      <c r="J2726" s="2" t="str">
        <f>IFERROR(__xludf.DUMMYFUNCTION("""COMPUTED_VALUE"""),"All amenities")</f>
        <v>All amenities</v>
      </c>
      <c r="K2726" s="2">
        <f>IFERROR(__xludf.DUMMYFUNCTION("""COMPUTED_VALUE"""),47000.0)</f>
        <v>47000</v>
      </c>
      <c r="L2726" s="2">
        <f>IFERROR(__xludf.DUMMYFUNCTION("""COMPUTED_VALUE"""),56.9336224)</f>
        <v>56.9336224</v>
      </c>
      <c r="M2726" s="2">
        <f>IFERROR(__xludf.DUMMYFUNCTION("""COMPUTED_VALUE"""),24.1626901)</f>
        <v>24.1626901</v>
      </c>
    </row>
    <row r="2727">
      <c r="A2727" s="2" t="str">
        <f>IFERROR(__xludf.DUMMYFUNCTION("""COMPUTED_VALUE"""),"For sale")</f>
        <v>For sale</v>
      </c>
      <c r="B2727" s="2" t="str">
        <f>IFERROR(__xludf.DUMMYFUNCTION("""COMPUTED_VALUE"""),"Ziepniekkalns")</f>
        <v>Ziepniekkalns</v>
      </c>
      <c r="C2727" s="2" t="str">
        <f>IFERROR(__xludf.DUMMYFUNCTION("""COMPUTED_VALUE"""),"Ozolciema 16")</f>
        <v>Ozolciema 16</v>
      </c>
      <c r="D2727" s="2">
        <f>IFERROR(__xludf.DUMMYFUNCTION("""COMPUTED_VALUE"""),4.0)</f>
        <v>4</v>
      </c>
      <c r="E2727" s="2">
        <f>IFERROR(__xludf.DUMMYFUNCTION("""COMPUTED_VALUE"""),90.0)</f>
        <v>90</v>
      </c>
      <c r="F2727" s="2">
        <f>IFERROR(__xludf.DUMMYFUNCTION("""COMPUTED_VALUE"""),1.0)</f>
        <v>1</v>
      </c>
      <c r="G2727" s="2">
        <f>IFERROR(__xludf.DUMMYFUNCTION("""COMPUTED_VALUE"""),7.0)</f>
        <v>7</v>
      </c>
      <c r="H2727" s="2">
        <f>IFERROR(__xludf.DUMMYFUNCTION("""COMPUTED_VALUE"""),119.0)</f>
        <v>119</v>
      </c>
      <c r="I2727" s="2" t="str">
        <f>IFERROR(__xludf.DUMMYFUNCTION("""COMPUTED_VALUE"""),"Panel")</f>
        <v>Panel</v>
      </c>
      <c r="J2727" s="2" t="str">
        <f>IFERROR(__xludf.DUMMYFUNCTION("""COMPUTED_VALUE"""),"All amenities")</f>
        <v>All amenities</v>
      </c>
      <c r="K2727" s="2">
        <f>IFERROR(__xludf.DUMMYFUNCTION("""COMPUTED_VALUE"""),81000.0)</f>
        <v>81000</v>
      </c>
      <c r="L2727" s="2">
        <f>IFERROR(__xludf.DUMMYFUNCTION("""COMPUTED_VALUE"""),56.9008065999999)</f>
        <v>56.9008066</v>
      </c>
      <c r="M2727" s="2">
        <f>IFERROR(__xludf.DUMMYFUNCTION("""COMPUTED_VALUE"""),24.0862561999999)</f>
        <v>24.0862562</v>
      </c>
    </row>
    <row r="2728">
      <c r="A2728" s="2" t="str">
        <f>IFERROR(__xludf.DUMMYFUNCTION("""COMPUTED_VALUE"""),"For sale")</f>
        <v>For sale</v>
      </c>
      <c r="B2728" s="2" t="str">
        <f>IFERROR(__xludf.DUMMYFUNCTION("""COMPUTED_VALUE"""),"Jugla")</f>
        <v>Jugla</v>
      </c>
      <c r="C2728" s="2" t="str">
        <f>IFERROR(__xludf.DUMMYFUNCTION("""COMPUTED_VALUE"""),"Skrudalienas 7")</f>
        <v>Skrudalienas 7</v>
      </c>
      <c r="D2728" s="2">
        <f>IFERROR(__xludf.DUMMYFUNCTION("""COMPUTED_VALUE"""),2.0)</f>
        <v>2</v>
      </c>
      <c r="E2728" s="2">
        <f>IFERROR(__xludf.DUMMYFUNCTION("""COMPUTED_VALUE"""),49.0)</f>
        <v>49</v>
      </c>
      <c r="F2728" s="2">
        <f>IFERROR(__xludf.DUMMYFUNCTION("""COMPUTED_VALUE"""),1.0)</f>
        <v>1</v>
      </c>
      <c r="G2728" s="2">
        <f>IFERROR(__xludf.DUMMYFUNCTION("""COMPUTED_VALUE"""),2.0)</f>
        <v>2</v>
      </c>
      <c r="H2728" s="2" t="str">
        <f>IFERROR(__xludf.DUMMYFUNCTION("""COMPUTED_VALUE"""),"Specpr.")</f>
        <v>Specpr.</v>
      </c>
      <c r="I2728" s="2" t="str">
        <f>IFERROR(__xludf.DUMMYFUNCTION("""COMPUTED_VALUE"""),"Panel-Brick")</f>
        <v>Panel-Brick</v>
      </c>
      <c r="J2728" s="2" t="str">
        <f>IFERROR(__xludf.DUMMYFUNCTION("""COMPUTED_VALUE"""),"All amenities")</f>
        <v>All amenities</v>
      </c>
      <c r="K2728" s="2">
        <f>IFERROR(__xludf.DUMMYFUNCTION("""COMPUTED_VALUE"""),37500.0)</f>
        <v>37500</v>
      </c>
      <c r="L2728" s="2">
        <f>IFERROR(__xludf.DUMMYFUNCTION("""COMPUTED_VALUE"""),56.9817147)</f>
        <v>56.9817147</v>
      </c>
      <c r="M2728" s="2">
        <f>IFERROR(__xludf.DUMMYFUNCTION("""COMPUTED_VALUE"""),24.2509372751934)</f>
        <v>24.25093728</v>
      </c>
    </row>
    <row r="2729">
      <c r="A2729" s="2" t="str">
        <f>IFERROR(__xludf.DUMMYFUNCTION("""COMPUTED_VALUE"""),"For sale")</f>
        <v>For sale</v>
      </c>
      <c r="B2729" s="2" t="str">
        <f>IFERROR(__xludf.DUMMYFUNCTION("""COMPUTED_VALUE"""),"centrs")</f>
        <v>centrs</v>
      </c>
      <c r="C2729" s="2" t="str">
        <f>IFERROR(__xludf.DUMMYFUNCTION("""COMPUTED_VALUE"""),"Baznīcas 26a")</f>
        <v>Baznīcas 26a</v>
      </c>
      <c r="D2729" s="2">
        <f>IFERROR(__xludf.DUMMYFUNCTION("""COMPUTED_VALUE"""),3.0)</f>
        <v>3</v>
      </c>
      <c r="E2729" s="2">
        <f>IFERROR(__xludf.DUMMYFUNCTION("""COMPUTED_VALUE"""),104.0)</f>
        <v>104</v>
      </c>
      <c r="F2729" s="2">
        <f>IFERROR(__xludf.DUMMYFUNCTION("""COMPUTED_VALUE"""),6.0)</f>
        <v>6</v>
      </c>
      <c r="G2729" s="2">
        <f>IFERROR(__xludf.DUMMYFUNCTION("""COMPUTED_VALUE"""),6.0)</f>
        <v>6</v>
      </c>
      <c r="H2729" s="2" t="str">
        <f>IFERROR(__xludf.DUMMYFUNCTION("""COMPUTED_VALUE"""),"Renov.")</f>
        <v>Renov.</v>
      </c>
      <c r="I2729" s="2" t="str">
        <f>IFERROR(__xludf.DUMMYFUNCTION("""COMPUTED_VALUE"""),"Brick")</f>
        <v>Brick</v>
      </c>
      <c r="J2729" s="2" t="str">
        <f>IFERROR(__xludf.DUMMYFUNCTION("""COMPUTED_VALUE"""),"All amenities")</f>
        <v>All amenities</v>
      </c>
      <c r="K2729" s="2">
        <f>IFERROR(__xludf.DUMMYFUNCTION("""COMPUTED_VALUE"""),230000.0)</f>
        <v>230000</v>
      </c>
      <c r="L2729" s="2">
        <f>IFERROR(__xludf.DUMMYFUNCTION("""COMPUTED_VALUE"""),56.9585108)</f>
        <v>56.9585108</v>
      </c>
      <c r="M2729" s="2">
        <f>IFERROR(__xludf.DUMMYFUNCTION("""COMPUTED_VALUE"""),24.1228978201077)</f>
        <v>24.12289782</v>
      </c>
    </row>
    <row r="2730">
      <c r="A2730" s="2" t="str">
        <f>IFERROR(__xludf.DUMMYFUNCTION("""COMPUTED_VALUE"""),"For rent")</f>
        <v>For rent</v>
      </c>
      <c r="B2730" s="2" t="str">
        <f>IFERROR(__xludf.DUMMYFUNCTION("""COMPUTED_VALUE"""),"Šampēteris-Pleskodāle")</f>
        <v>Šampēteris-Pleskodāle</v>
      </c>
      <c r="C2730" s="2" t="str">
        <f>IFERROR(__xludf.DUMMYFUNCTION("""COMPUTED_VALUE"""),"Lielirbes 13")</f>
        <v>Lielirbes 13</v>
      </c>
      <c r="D2730" s="2">
        <f>IFERROR(__xludf.DUMMYFUNCTION("""COMPUTED_VALUE"""),2.0)</f>
        <v>2</v>
      </c>
      <c r="E2730" s="2">
        <f>IFERROR(__xludf.DUMMYFUNCTION("""COMPUTED_VALUE"""),68.0)</f>
        <v>68</v>
      </c>
      <c r="F2730" s="2">
        <f>IFERROR(__xludf.DUMMYFUNCTION("""COMPUTED_VALUE"""),4.0)</f>
        <v>4</v>
      </c>
      <c r="G2730" s="2">
        <f>IFERROR(__xludf.DUMMYFUNCTION("""COMPUTED_VALUE"""),23.0)</f>
        <v>23</v>
      </c>
      <c r="H2730" s="2" t="str">
        <f>IFERROR(__xludf.DUMMYFUNCTION("""COMPUTED_VALUE"""),"Jaun.")</f>
        <v>Jaun.</v>
      </c>
      <c r="I2730" s="2" t="str">
        <f>IFERROR(__xludf.DUMMYFUNCTION("""COMPUTED_VALUE"""),"Panel")</f>
        <v>Panel</v>
      </c>
      <c r="J2730" s="2" t="str">
        <f>IFERROR(__xludf.DUMMYFUNCTION("""COMPUTED_VALUE"""),"All amenities")</f>
        <v>All amenities</v>
      </c>
      <c r="K2730" s="2">
        <f>IFERROR(__xludf.DUMMYFUNCTION("""COMPUTED_VALUE"""),460.0)</f>
        <v>460</v>
      </c>
      <c r="L2730" s="2">
        <f>IFERROR(__xludf.DUMMYFUNCTION("""COMPUTED_VALUE"""),56.9334996)</f>
        <v>56.9334996</v>
      </c>
      <c r="M2730" s="2">
        <f>IFERROR(__xludf.DUMMYFUNCTION("""COMPUTED_VALUE"""),24.0424848)</f>
        <v>24.0424848</v>
      </c>
    </row>
    <row r="2731">
      <c r="A2731" s="2" t="str">
        <f>IFERROR(__xludf.DUMMYFUNCTION("""COMPUTED_VALUE"""),"For sale")</f>
        <v>For sale</v>
      </c>
      <c r="B2731" s="2" t="str">
        <f>IFERROR(__xludf.DUMMYFUNCTION("""COMPUTED_VALUE"""),"Mežciems")</f>
        <v>Mežciems</v>
      </c>
      <c r="C2731" s="2" t="str">
        <f>IFERROR(__xludf.DUMMYFUNCTION("""COMPUTED_VALUE"""),"Eizenšteina 79")</f>
        <v>Eizenšteina 79</v>
      </c>
      <c r="D2731" s="2">
        <f>IFERROR(__xludf.DUMMYFUNCTION("""COMPUTED_VALUE"""),3.0)</f>
        <v>3</v>
      </c>
      <c r="E2731" s="2">
        <f>IFERROR(__xludf.DUMMYFUNCTION("""COMPUTED_VALUE"""),64.0)</f>
        <v>64</v>
      </c>
      <c r="F2731" s="2">
        <f>IFERROR(__xludf.DUMMYFUNCTION("""COMPUTED_VALUE"""),7.0)</f>
        <v>7</v>
      </c>
      <c r="G2731" s="2">
        <f>IFERROR(__xludf.DUMMYFUNCTION("""COMPUTED_VALUE"""),9.0)</f>
        <v>9</v>
      </c>
      <c r="H2731" s="2">
        <f>IFERROR(__xludf.DUMMYFUNCTION("""COMPUTED_VALUE"""),602.0)</f>
        <v>602</v>
      </c>
      <c r="I2731" s="2" t="str">
        <f>IFERROR(__xludf.DUMMYFUNCTION("""COMPUTED_VALUE"""),"Panel")</f>
        <v>Panel</v>
      </c>
      <c r="J2731" s="2" t="str">
        <f>IFERROR(__xludf.DUMMYFUNCTION("""COMPUTED_VALUE"""),"All amenities")</f>
        <v>All amenities</v>
      </c>
      <c r="K2731" s="2">
        <f>IFERROR(__xludf.DUMMYFUNCTION("""COMPUTED_VALUE"""),55000.0)</f>
        <v>55000</v>
      </c>
      <c r="L2731" s="2">
        <f>IFERROR(__xludf.DUMMYFUNCTION("""COMPUTED_VALUE"""),56.9613221)</f>
        <v>56.9613221</v>
      </c>
      <c r="M2731" s="2">
        <f>IFERROR(__xludf.DUMMYFUNCTION("""COMPUTED_VALUE"""),24.2342410751615)</f>
        <v>24.23424108</v>
      </c>
    </row>
    <row r="2732">
      <c r="A2732" s="2" t="str">
        <f>IFERROR(__xludf.DUMMYFUNCTION("""COMPUTED_VALUE"""),"For sale")</f>
        <v>For sale</v>
      </c>
      <c r="B2732" s="2" t="str">
        <f>IFERROR(__xludf.DUMMYFUNCTION("""COMPUTED_VALUE"""),"centrs")</f>
        <v>centrs</v>
      </c>
      <c r="C2732" s="2" t="str">
        <f>IFERROR(__xludf.DUMMYFUNCTION("""COMPUTED_VALUE"""),"Arsenāla 7")</f>
        <v>Arsenāla 7</v>
      </c>
      <c r="D2732" s="2">
        <f>IFERROR(__xludf.DUMMYFUNCTION("""COMPUTED_VALUE"""),3.0)</f>
        <v>3</v>
      </c>
      <c r="E2732" s="2">
        <f>IFERROR(__xludf.DUMMYFUNCTION("""COMPUTED_VALUE"""),80.0)</f>
        <v>80</v>
      </c>
      <c r="F2732" s="2">
        <f>IFERROR(__xludf.DUMMYFUNCTION("""COMPUTED_VALUE"""),3.0)</f>
        <v>3</v>
      </c>
      <c r="G2732" s="2">
        <f>IFERROR(__xludf.DUMMYFUNCTION("""COMPUTED_VALUE"""),5.0)</f>
        <v>5</v>
      </c>
      <c r="H2732" s="2" t="str">
        <f>IFERROR(__xludf.DUMMYFUNCTION("""COMPUTED_VALUE"""),"P. kara")</f>
        <v>P. kara</v>
      </c>
      <c r="I2732" s="2" t="str">
        <f>IFERROR(__xludf.DUMMYFUNCTION("""COMPUTED_VALUE"""),"Masonry")</f>
        <v>Masonry</v>
      </c>
      <c r="J2732" s="2" t="str">
        <f>IFERROR(__xludf.DUMMYFUNCTION("""COMPUTED_VALUE"""),"All amenities")</f>
        <v>All amenities</v>
      </c>
      <c r="K2732" s="2">
        <f>IFERROR(__xludf.DUMMYFUNCTION("""COMPUTED_VALUE"""),110000.0)</f>
        <v>110000</v>
      </c>
      <c r="L2732" s="2">
        <f>IFERROR(__xludf.DUMMYFUNCTION("""COMPUTED_VALUE"""),56.9508065499999)</f>
        <v>56.95080655</v>
      </c>
      <c r="M2732" s="2">
        <f>IFERROR(__xludf.DUMMYFUNCTION("""COMPUTED_VALUE"""),24.102981459375)</f>
        <v>24.10298146</v>
      </c>
    </row>
    <row r="2733">
      <c r="A2733" s="2" t="str">
        <f>IFERROR(__xludf.DUMMYFUNCTION("""COMPUTED_VALUE"""),"For rent")</f>
        <v>For rent</v>
      </c>
      <c r="B2733" s="2" t="str">
        <f>IFERROR(__xludf.DUMMYFUNCTION("""COMPUTED_VALUE"""),"Vecrīga")</f>
        <v>Vecrīga</v>
      </c>
      <c r="C2733" s="2" t="str">
        <f>IFERROR(__xludf.DUMMYFUNCTION("""COMPUTED_VALUE"""),"Bīskapa gāte 3")</f>
        <v>Bīskapa gāte 3</v>
      </c>
      <c r="D2733" s="2">
        <f>IFERROR(__xludf.DUMMYFUNCTION("""COMPUTED_VALUE"""),3.0)</f>
        <v>3</v>
      </c>
      <c r="E2733" s="2">
        <f>IFERROR(__xludf.DUMMYFUNCTION("""COMPUTED_VALUE"""),79.0)</f>
        <v>79</v>
      </c>
      <c r="F2733" s="2">
        <f>IFERROR(__xludf.DUMMYFUNCTION("""COMPUTED_VALUE"""),3.0)</f>
        <v>3</v>
      </c>
      <c r="G2733" s="2">
        <f>IFERROR(__xludf.DUMMYFUNCTION("""COMPUTED_VALUE"""),5.0)</f>
        <v>5</v>
      </c>
      <c r="H2733" s="2" t="str">
        <f>IFERROR(__xludf.DUMMYFUNCTION("""COMPUTED_VALUE"""),"Staļina")</f>
        <v>Staļina</v>
      </c>
      <c r="I2733" s="2" t="str">
        <f>IFERROR(__xludf.DUMMYFUNCTION("""COMPUTED_VALUE"""),"Masonry")</f>
        <v>Masonry</v>
      </c>
      <c r="J2733" s="2" t="str">
        <f>IFERROR(__xludf.DUMMYFUNCTION("""COMPUTED_VALUE"""),"All amenities")</f>
        <v>All amenities</v>
      </c>
      <c r="K2733" s="2">
        <f>IFERROR(__xludf.DUMMYFUNCTION("""COMPUTED_VALUE"""),670.0)</f>
        <v>670</v>
      </c>
      <c r="L2733" s="2">
        <f>IFERROR(__xludf.DUMMYFUNCTION("""COMPUTED_VALUE"""),56.948717)</f>
        <v>56.948717</v>
      </c>
      <c r="M2733" s="2">
        <f>IFERROR(__xludf.DUMMYFUNCTION("""COMPUTED_VALUE"""),24.1026014276418)</f>
        <v>24.10260143</v>
      </c>
    </row>
    <row r="2734">
      <c r="A2734" s="2" t="str">
        <f>IFERROR(__xludf.DUMMYFUNCTION("""COMPUTED_VALUE"""),"For sale")</f>
        <v>For sale</v>
      </c>
      <c r="B2734" s="2" t="str">
        <f>IFERROR(__xludf.DUMMYFUNCTION("""COMPUTED_VALUE"""),"centrs")</f>
        <v>centrs</v>
      </c>
      <c r="C2734" s="2" t="str">
        <f>IFERROR(__xludf.DUMMYFUNCTION("""COMPUTED_VALUE"""),"Republikas laukums 3")</f>
        <v>Republikas laukums 3</v>
      </c>
      <c r="D2734" s="2">
        <f>IFERROR(__xludf.DUMMYFUNCTION("""COMPUTED_VALUE"""),3.0)</f>
        <v>3</v>
      </c>
      <c r="E2734" s="2">
        <f>IFERROR(__xludf.DUMMYFUNCTION("""COMPUTED_VALUE"""),127.0)</f>
        <v>127</v>
      </c>
      <c r="F2734" s="2">
        <f>IFERROR(__xludf.DUMMYFUNCTION("""COMPUTED_VALUE"""),7.0)</f>
        <v>7</v>
      </c>
      <c r="G2734" s="2">
        <f>IFERROR(__xludf.DUMMYFUNCTION("""COMPUTED_VALUE"""),7.0)</f>
        <v>7</v>
      </c>
      <c r="H2734" s="2" t="str">
        <f>IFERROR(__xludf.DUMMYFUNCTION("""COMPUTED_VALUE"""),"Jaun.")</f>
        <v>Jaun.</v>
      </c>
      <c r="I2734" s="2" t="str">
        <f>IFERROR(__xludf.DUMMYFUNCTION("""COMPUTED_VALUE"""),"Panel")</f>
        <v>Panel</v>
      </c>
      <c r="J2734" s="2" t="str">
        <f>IFERROR(__xludf.DUMMYFUNCTION("""COMPUTED_VALUE"""),"All amenities")</f>
        <v>All amenities</v>
      </c>
      <c r="K2734" s="2">
        <f>IFERROR(__xludf.DUMMYFUNCTION("""COMPUTED_VALUE"""),273000.0)</f>
        <v>273000</v>
      </c>
      <c r="L2734" s="2">
        <f>IFERROR(__xludf.DUMMYFUNCTION("""COMPUTED_VALUE"""),56.9552522)</f>
        <v>56.9552522</v>
      </c>
      <c r="M2734" s="2">
        <f>IFERROR(__xludf.DUMMYFUNCTION("""COMPUTED_VALUE"""),24.0999991251943)</f>
        <v>24.09999913</v>
      </c>
    </row>
    <row r="2735">
      <c r="A2735" s="2" t="str">
        <f>IFERROR(__xludf.DUMMYFUNCTION("""COMPUTED_VALUE"""),"For sale")</f>
        <v>For sale</v>
      </c>
      <c r="B2735" s="2" t="str">
        <f>IFERROR(__xludf.DUMMYFUNCTION("""COMPUTED_VALUE"""),"Ķengarags")</f>
        <v>Ķengarags</v>
      </c>
      <c r="C2735" s="2" t="str">
        <f>IFERROR(__xludf.DUMMYFUNCTION("""COMPUTED_VALUE"""),"Krustpils 73")</f>
        <v>Krustpils 73</v>
      </c>
      <c r="D2735" s="2">
        <f>IFERROR(__xludf.DUMMYFUNCTION("""COMPUTED_VALUE"""),1.0)</f>
        <v>1</v>
      </c>
      <c r="E2735" s="2">
        <f>IFERROR(__xludf.DUMMYFUNCTION("""COMPUTED_VALUE"""),12.0)</f>
        <v>12</v>
      </c>
      <c r="F2735" s="2">
        <f>IFERROR(__xludf.DUMMYFUNCTION("""COMPUTED_VALUE"""),2.0)</f>
        <v>2</v>
      </c>
      <c r="G2735" s="2">
        <f>IFERROR(__xludf.DUMMYFUNCTION("""COMPUTED_VALUE"""),3.0)</f>
        <v>3</v>
      </c>
      <c r="H2735" s="2" t="str">
        <f>IFERROR(__xludf.DUMMYFUNCTION("""COMPUTED_VALUE"""),"M. ģim.")</f>
        <v>M. ģim.</v>
      </c>
      <c r="I2735" s="2" t="str">
        <f>IFERROR(__xludf.DUMMYFUNCTION("""COMPUTED_VALUE"""),"Masonry")</f>
        <v>Masonry</v>
      </c>
      <c r="J2735" s="2" t="str">
        <f>IFERROR(__xludf.DUMMYFUNCTION("""COMPUTED_VALUE"""),"All amenities")</f>
        <v>All amenities</v>
      </c>
      <c r="K2735" s="2">
        <f>IFERROR(__xludf.DUMMYFUNCTION("""COMPUTED_VALUE"""),11300.0)</f>
        <v>11300</v>
      </c>
      <c r="L2735" s="2">
        <f>IFERROR(__xludf.DUMMYFUNCTION("""COMPUTED_VALUE"""),56.91229505)</f>
        <v>56.91229505</v>
      </c>
      <c r="M2735" s="2">
        <f>IFERROR(__xludf.DUMMYFUNCTION("""COMPUTED_VALUE"""),24.2059117623488)</f>
        <v>24.20591176</v>
      </c>
    </row>
    <row r="2736">
      <c r="A2736" s="2" t="str">
        <f>IFERROR(__xludf.DUMMYFUNCTION("""COMPUTED_VALUE"""),"For rent")</f>
        <v>For rent</v>
      </c>
      <c r="B2736" s="2" t="str">
        <f>IFERROR(__xludf.DUMMYFUNCTION("""COMPUTED_VALUE"""),"Jaunciems")</f>
        <v>Jaunciems</v>
      </c>
      <c r="C2736" s="2" t="str">
        <f>IFERROR(__xludf.DUMMYFUNCTION("""COMPUTED_VALUE"""),"Jaunciema 2. l. 5")</f>
        <v>Jaunciema 2. l. 5</v>
      </c>
      <c r="D2736" s="2">
        <f>IFERROR(__xludf.DUMMYFUNCTION("""COMPUTED_VALUE"""),1.0)</f>
        <v>1</v>
      </c>
      <c r="E2736" s="2">
        <f>IFERROR(__xludf.DUMMYFUNCTION("""COMPUTED_VALUE"""),30.0)</f>
        <v>30</v>
      </c>
      <c r="F2736" s="2">
        <f>IFERROR(__xludf.DUMMYFUNCTION("""COMPUTED_VALUE"""),3.0)</f>
        <v>3</v>
      </c>
      <c r="G2736" s="2">
        <f>IFERROR(__xludf.DUMMYFUNCTION("""COMPUTED_VALUE"""),5.0)</f>
        <v>5</v>
      </c>
      <c r="H2736" s="2" t="str">
        <f>IFERROR(__xludf.DUMMYFUNCTION("""COMPUTED_VALUE"""),"Hrušč.")</f>
        <v>Hrušč.</v>
      </c>
      <c r="I2736" s="2" t="str">
        <f>IFERROR(__xludf.DUMMYFUNCTION("""COMPUTED_VALUE"""),"Brick")</f>
        <v>Brick</v>
      </c>
      <c r="J2736" s="2" t="str">
        <f>IFERROR(__xludf.DUMMYFUNCTION("""COMPUTED_VALUE"""),"All amenities")</f>
        <v>All amenities</v>
      </c>
      <c r="K2736" s="2">
        <f>IFERROR(__xludf.DUMMYFUNCTION("""COMPUTED_VALUE"""),200.0)</f>
        <v>200</v>
      </c>
      <c r="L2736" s="2" t="str">
        <f>IFERROR(__xludf.DUMMYFUNCTION("""COMPUTED_VALUE"""),"NaN")</f>
        <v>NaN</v>
      </c>
      <c r="M2736" s="2" t="str">
        <f>IFERROR(__xludf.DUMMYFUNCTION("""COMPUTED_VALUE"""),"NaN")</f>
        <v>NaN</v>
      </c>
    </row>
    <row r="2737">
      <c r="A2737" s="2" t="str">
        <f>IFERROR(__xludf.DUMMYFUNCTION("""COMPUTED_VALUE"""),"For sale")</f>
        <v>For sale</v>
      </c>
      <c r="B2737" s="2" t="str">
        <f>IFERROR(__xludf.DUMMYFUNCTION("""COMPUTED_VALUE"""),"centrs")</f>
        <v>centrs</v>
      </c>
      <c r="C2737" s="2" t="str">
        <f>IFERROR(__xludf.DUMMYFUNCTION("""COMPUTED_VALUE"""),"Stabu 100")</f>
        <v>Stabu 100</v>
      </c>
      <c r="D2737" s="2">
        <f>IFERROR(__xludf.DUMMYFUNCTION("""COMPUTED_VALUE"""),2.0)</f>
        <v>2</v>
      </c>
      <c r="E2737" s="2">
        <f>IFERROR(__xludf.DUMMYFUNCTION("""COMPUTED_VALUE"""),41.0)</f>
        <v>41</v>
      </c>
      <c r="F2737" s="2">
        <f>IFERROR(__xludf.DUMMYFUNCTION("""COMPUTED_VALUE"""),3.0)</f>
        <v>3</v>
      </c>
      <c r="G2737" s="2">
        <f>IFERROR(__xludf.DUMMYFUNCTION("""COMPUTED_VALUE"""),7.0)</f>
        <v>7</v>
      </c>
      <c r="H2737" s="2" t="str">
        <f>IFERROR(__xludf.DUMMYFUNCTION("""COMPUTED_VALUE"""),"Jaun.")</f>
        <v>Jaun.</v>
      </c>
      <c r="I2737" s="2" t="str">
        <f>IFERROR(__xludf.DUMMYFUNCTION("""COMPUTED_VALUE"""),"Masonry")</f>
        <v>Masonry</v>
      </c>
      <c r="J2737" s="2" t="str">
        <f>IFERROR(__xludf.DUMMYFUNCTION("""COMPUTED_VALUE"""),"All amenities")</f>
        <v>All amenities</v>
      </c>
      <c r="K2737" s="2">
        <f>IFERROR(__xludf.DUMMYFUNCTION("""COMPUTED_VALUE"""),94164.0)</f>
        <v>94164</v>
      </c>
      <c r="L2737" s="2">
        <f>IFERROR(__xludf.DUMMYFUNCTION("""COMPUTED_VALUE"""),56.9484721)</f>
        <v>56.9484721</v>
      </c>
      <c r="M2737" s="2">
        <f>IFERROR(__xludf.DUMMYFUNCTION("""COMPUTED_VALUE"""),24.1446057)</f>
        <v>24.1446057</v>
      </c>
    </row>
    <row r="2738">
      <c r="A2738" s="2" t="str">
        <f>IFERROR(__xludf.DUMMYFUNCTION("""COMPUTED_VALUE"""),"For sale")</f>
        <v>For sale</v>
      </c>
      <c r="B2738" s="2" t="str">
        <f>IFERROR(__xludf.DUMMYFUNCTION("""COMPUTED_VALUE"""),"centrs")</f>
        <v>centrs</v>
      </c>
      <c r="C2738" s="2" t="str">
        <f>IFERROR(__xludf.DUMMYFUNCTION("""COMPUTED_VALUE"""),"Klijānu 3")</f>
        <v>Klijānu 3</v>
      </c>
      <c r="D2738" s="2">
        <f>IFERROR(__xludf.DUMMYFUNCTION("""COMPUTED_VALUE"""),2.0)</f>
        <v>2</v>
      </c>
      <c r="E2738" s="2">
        <f>IFERROR(__xludf.DUMMYFUNCTION("""COMPUTED_VALUE"""),50.0)</f>
        <v>50</v>
      </c>
      <c r="F2738" s="2">
        <f>IFERROR(__xludf.DUMMYFUNCTION("""COMPUTED_VALUE"""),2.0)</f>
        <v>2</v>
      </c>
      <c r="G2738" s="2">
        <f>IFERROR(__xludf.DUMMYFUNCTION("""COMPUTED_VALUE"""),5.0)</f>
        <v>5</v>
      </c>
      <c r="H2738" s="2" t="str">
        <f>IFERROR(__xludf.DUMMYFUNCTION("""COMPUTED_VALUE"""),"P. kara")</f>
        <v>P. kara</v>
      </c>
      <c r="I2738" s="2" t="str">
        <f>IFERROR(__xludf.DUMMYFUNCTION("""COMPUTED_VALUE"""),"Masonry")</f>
        <v>Masonry</v>
      </c>
      <c r="J2738" s="2" t="str">
        <f>IFERROR(__xludf.DUMMYFUNCTION("""COMPUTED_VALUE"""),"All amenities")</f>
        <v>All amenities</v>
      </c>
      <c r="K2738" s="2">
        <f>IFERROR(__xludf.DUMMYFUNCTION("""COMPUTED_VALUE"""),67000.0)</f>
        <v>67000</v>
      </c>
      <c r="L2738" s="2">
        <f>IFERROR(__xludf.DUMMYFUNCTION("""COMPUTED_VALUE"""),56.96965905)</f>
        <v>56.96965905</v>
      </c>
      <c r="M2738" s="2">
        <f>IFERROR(__xludf.DUMMYFUNCTION("""COMPUTED_VALUE"""),24.1519980482086)</f>
        <v>24.15199805</v>
      </c>
    </row>
    <row r="2739">
      <c r="A2739" s="2" t="str">
        <f>IFERROR(__xludf.DUMMYFUNCTION("""COMPUTED_VALUE"""),"For sale")</f>
        <v>For sale</v>
      </c>
      <c r="B2739" s="2" t="str">
        <f>IFERROR(__xludf.DUMMYFUNCTION("""COMPUTED_VALUE"""),"Jugla")</f>
        <v>Jugla</v>
      </c>
      <c r="C2739" s="2" t="str">
        <f>IFERROR(__xludf.DUMMYFUNCTION("""COMPUTED_VALUE"""),"Juglas 3")</f>
        <v>Juglas 3</v>
      </c>
      <c r="D2739" s="2">
        <f>IFERROR(__xludf.DUMMYFUNCTION("""COMPUTED_VALUE"""),2.0)</f>
        <v>2</v>
      </c>
      <c r="E2739" s="2">
        <f>IFERROR(__xludf.DUMMYFUNCTION("""COMPUTED_VALUE"""),47.0)</f>
        <v>47</v>
      </c>
      <c r="F2739" s="2">
        <f>IFERROR(__xludf.DUMMYFUNCTION("""COMPUTED_VALUE"""),2.0)</f>
        <v>2</v>
      </c>
      <c r="G2739" s="2">
        <f>IFERROR(__xludf.DUMMYFUNCTION("""COMPUTED_VALUE"""),5.0)</f>
        <v>5</v>
      </c>
      <c r="H2739" s="2" t="str">
        <f>IFERROR(__xludf.DUMMYFUNCTION("""COMPUTED_VALUE"""),"LT proj.")</f>
        <v>LT proj.</v>
      </c>
      <c r="I2739" s="2" t="str">
        <f>IFERROR(__xludf.DUMMYFUNCTION("""COMPUTED_VALUE"""),"Panel")</f>
        <v>Panel</v>
      </c>
      <c r="J2739" s="2" t="str">
        <f>IFERROR(__xludf.DUMMYFUNCTION("""COMPUTED_VALUE"""),"All amenities")</f>
        <v>All amenities</v>
      </c>
      <c r="K2739" s="2">
        <f>IFERROR(__xludf.DUMMYFUNCTION("""COMPUTED_VALUE"""),44850.0)</f>
        <v>44850</v>
      </c>
      <c r="L2739" s="2">
        <f>IFERROR(__xludf.DUMMYFUNCTION("""COMPUTED_VALUE"""),56.98820105)</f>
        <v>56.98820105</v>
      </c>
      <c r="M2739" s="2">
        <f>IFERROR(__xludf.DUMMYFUNCTION("""COMPUTED_VALUE"""),24.2432239392002)</f>
        <v>24.24322394</v>
      </c>
    </row>
    <row r="2740">
      <c r="A2740" s="2" t="str">
        <f>IFERROR(__xludf.DUMMYFUNCTION("""COMPUTED_VALUE"""),"For rent")</f>
        <v>For rent</v>
      </c>
      <c r="B2740" s="2" t="str">
        <f>IFERROR(__xludf.DUMMYFUNCTION("""COMPUTED_VALUE"""),"centrs")</f>
        <v>centrs</v>
      </c>
      <c r="C2740" s="2" t="str">
        <f>IFERROR(__xludf.DUMMYFUNCTION("""COMPUTED_VALUE"""),"Brīvības 131")</f>
        <v>Brīvības 131</v>
      </c>
      <c r="D2740" s="2">
        <f>IFERROR(__xludf.DUMMYFUNCTION("""COMPUTED_VALUE"""),3.0)</f>
        <v>3</v>
      </c>
      <c r="E2740" s="2">
        <f>IFERROR(__xludf.DUMMYFUNCTION("""COMPUTED_VALUE"""),64.0)</f>
        <v>64</v>
      </c>
      <c r="F2740" s="2">
        <f>IFERROR(__xludf.DUMMYFUNCTION("""COMPUTED_VALUE"""),3.0)</f>
        <v>3</v>
      </c>
      <c r="G2740" s="2">
        <f>IFERROR(__xludf.DUMMYFUNCTION("""COMPUTED_VALUE"""),5.0)</f>
        <v>5</v>
      </c>
      <c r="H2740" s="2" t="str">
        <f>IFERROR(__xludf.DUMMYFUNCTION("""COMPUTED_VALUE"""),"Staļina")</f>
        <v>Staļina</v>
      </c>
      <c r="I2740" s="2" t="str">
        <f>IFERROR(__xludf.DUMMYFUNCTION("""COMPUTED_VALUE"""),"Brick")</f>
        <v>Brick</v>
      </c>
      <c r="J2740" s="2" t="str">
        <f>IFERROR(__xludf.DUMMYFUNCTION("""COMPUTED_VALUE"""),"All amenities")</f>
        <v>All amenities</v>
      </c>
      <c r="K2740" s="2">
        <f>IFERROR(__xludf.DUMMYFUNCTION("""COMPUTED_VALUE"""),500.0)</f>
        <v>500</v>
      </c>
      <c r="L2740" s="2">
        <f>IFERROR(__xludf.DUMMYFUNCTION("""COMPUTED_VALUE"""),56.9641143)</f>
        <v>56.9641143</v>
      </c>
      <c r="M2740" s="2">
        <f>IFERROR(__xludf.DUMMYFUNCTION("""COMPUTED_VALUE"""),24.1393325)</f>
        <v>24.1393325</v>
      </c>
    </row>
    <row r="2741">
      <c r="A2741" s="2" t="str">
        <f>IFERROR(__xludf.DUMMYFUNCTION("""COMPUTED_VALUE"""),"For sale")</f>
        <v>For sale</v>
      </c>
      <c r="B2741" s="2" t="str">
        <f>IFERROR(__xludf.DUMMYFUNCTION("""COMPUTED_VALUE"""),"centrs")</f>
        <v>centrs</v>
      </c>
      <c r="C2741" s="2" t="str">
        <f>IFERROR(__xludf.DUMMYFUNCTION("""COMPUTED_VALUE"""),"Stabu 100")</f>
        <v>Stabu 100</v>
      </c>
      <c r="D2741" s="2">
        <f>IFERROR(__xludf.DUMMYFUNCTION("""COMPUTED_VALUE"""),4.0)</f>
        <v>4</v>
      </c>
      <c r="E2741" s="2">
        <f>IFERROR(__xludf.DUMMYFUNCTION("""COMPUTED_VALUE"""),101.0)</f>
        <v>101</v>
      </c>
      <c r="F2741" s="2">
        <f>IFERROR(__xludf.DUMMYFUNCTION("""COMPUTED_VALUE"""),3.0)</f>
        <v>3</v>
      </c>
      <c r="G2741" s="2">
        <f>IFERROR(__xludf.DUMMYFUNCTION("""COMPUTED_VALUE"""),7.0)</f>
        <v>7</v>
      </c>
      <c r="H2741" s="2" t="str">
        <f>IFERROR(__xludf.DUMMYFUNCTION("""COMPUTED_VALUE"""),"Jaun.")</f>
        <v>Jaun.</v>
      </c>
      <c r="I2741" s="2" t="str">
        <f>IFERROR(__xludf.DUMMYFUNCTION("""COMPUTED_VALUE"""),"Masonry")</f>
        <v>Masonry</v>
      </c>
      <c r="J2741" s="2" t="str">
        <f>IFERROR(__xludf.DUMMYFUNCTION("""COMPUTED_VALUE"""),"All amenities")</f>
        <v>All amenities</v>
      </c>
      <c r="K2741" s="2">
        <f>IFERROR(__xludf.DUMMYFUNCTION("""COMPUTED_VALUE"""),222220.0)</f>
        <v>222220</v>
      </c>
      <c r="L2741" s="2">
        <f>IFERROR(__xludf.DUMMYFUNCTION("""COMPUTED_VALUE"""),56.9484721)</f>
        <v>56.9484721</v>
      </c>
      <c r="M2741" s="2">
        <f>IFERROR(__xludf.DUMMYFUNCTION("""COMPUTED_VALUE"""),24.1446057)</f>
        <v>24.1446057</v>
      </c>
    </row>
    <row r="2742">
      <c r="A2742" s="2" t="str">
        <f>IFERROR(__xludf.DUMMYFUNCTION("""COMPUTED_VALUE"""),"For rent")</f>
        <v>For rent</v>
      </c>
      <c r="B2742" s="2" t="str">
        <f>IFERROR(__xludf.DUMMYFUNCTION("""COMPUTED_VALUE"""),"centrs")</f>
        <v>centrs</v>
      </c>
      <c r="C2742" s="2" t="str">
        <f>IFERROR(__xludf.DUMMYFUNCTION("""COMPUTED_VALUE"""),"Dzirnavu 9")</f>
        <v>Dzirnavu 9</v>
      </c>
      <c r="D2742" s="2">
        <f>IFERROR(__xludf.DUMMYFUNCTION("""COMPUTED_VALUE"""),1.0)</f>
        <v>1</v>
      </c>
      <c r="E2742" s="2">
        <f>IFERROR(__xludf.DUMMYFUNCTION("""COMPUTED_VALUE"""),33.0)</f>
        <v>33</v>
      </c>
      <c r="F2742" s="2">
        <f>IFERROR(__xludf.DUMMYFUNCTION("""COMPUTED_VALUE"""),1.0)</f>
        <v>1</v>
      </c>
      <c r="G2742" s="2">
        <f>IFERROR(__xludf.DUMMYFUNCTION("""COMPUTED_VALUE"""),4.0)</f>
        <v>4</v>
      </c>
      <c r="H2742" s="2" t="str">
        <f>IFERROR(__xludf.DUMMYFUNCTION("""COMPUTED_VALUE"""),"Renov.")</f>
        <v>Renov.</v>
      </c>
      <c r="I2742" s="2" t="str">
        <f>IFERROR(__xludf.DUMMYFUNCTION("""COMPUTED_VALUE"""),"Masonry")</f>
        <v>Masonry</v>
      </c>
      <c r="J2742" s="2" t="str">
        <f>IFERROR(__xludf.DUMMYFUNCTION("""COMPUTED_VALUE"""),"All amenities")</f>
        <v>All amenities</v>
      </c>
      <c r="K2742" s="2">
        <f>IFERROR(__xludf.DUMMYFUNCTION("""COMPUTED_VALUE"""),330.0)</f>
        <v>330</v>
      </c>
      <c r="L2742" s="2">
        <f>IFERROR(__xludf.DUMMYFUNCTION("""COMPUTED_VALUE"""),56.9610245)</f>
        <v>56.9610245</v>
      </c>
      <c r="M2742" s="2">
        <f>IFERROR(__xludf.DUMMYFUNCTION("""COMPUTED_VALUE"""),24.1085131)</f>
        <v>24.1085131</v>
      </c>
    </row>
    <row r="2743">
      <c r="A2743" s="2" t="str">
        <f>IFERROR(__xludf.DUMMYFUNCTION("""COMPUTED_VALUE"""),"For sale")</f>
        <v>For sale</v>
      </c>
      <c r="B2743" s="2" t="str">
        <f>IFERROR(__xludf.DUMMYFUNCTION("""COMPUTED_VALUE"""),"Imanta")</f>
        <v>Imanta</v>
      </c>
      <c r="C2743" s="2" t="str">
        <f>IFERROR(__xludf.DUMMYFUNCTION("""COMPUTED_VALUE"""),"Kurzemes pr. 34")</f>
        <v>Kurzemes pr. 34</v>
      </c>
      <c r="D2743" s="2">
        <f>IFERROR(__xludf.DUMMYFUNCTION("""COMPUTED_VALUE"""),2.0)</f>
        <v>2</v>
      </c>
      <c r="E2743" s="2">
        <f>IFERROR(__xludf.DUMMYFUNCTION("""COMPUTED_VALUE"""),49.0)</f>
        <v>49</v>
      </c>
      <c r="F2743" s="2">
        <f>IFERROR(__xludf.DUMMYFUNCTION("""COMPUTED_VALUE"""),1.0)</f>
        <v>1</v>
      </c>
      <c r="G2743" s="2">
        <f>IFERROR(__xludf.DUMMYFUNCTION("""COMPUTED_VALUE"""),5.0)</f>
        <v>5</v>
      </c>
      <c r="H2743" s="2" t="str">
        <f>IFERROR(__xludf.DUMMYFUNCTION("""COMPUTED_VALUE"""),"LT proj.")</f>
        <v>LT proj.</v>
      </c>
      <c r="I2743" s="2" t="str">
        <f>IFERROR(__xludf.DUMMYFUNCTION("""COMPUTED_VALUE"""),"Panel")</f>
        <v>Panel</v>
      </c>
      <c r="J2743" s="2" t="str">
        <f>IFERROR(__xludf.DUMMYFUNCTION("""COMPUTED_VALUE"""),"All amenities")</f>
        <v>All amenities</v>
      </c>
      <c r="K2743" s="2">
        <f>IFERROR(__xludf.DUMMYFUNCTION("""COMPUTED_VALUE"""),41000.0)</f>
        <v>41000</v>
      </c>
      <c r="L2743" s="2" t="str">
        <f>IFERROR(__xludf.DUMMYFUNCTION("""COMPUTED_VALUE"""),"NaN")</f>
        <v>NaN</v>
      </c>
      <c r="M2743" s="2" t="str">
        <f>IFERROR(__xludf.DUMMYFUNCTION("""COMPUTED_VALUE"""),"NaN")</f>
        <v>NaN</v>
      </c>
    </row>
    <row r="2744">
      <c r="A2744" s="2" t="str">
        <f>IFERROR(__xludf.DUMMYFUNCTION("""COMPUTED_VALUE"""),"For rent")</f>
        <v>For rent</v>
      </c>
      <c r="B2744" s="2" t="str">
        <f>IFERROR(__xludf.DUMMYFUNCTION("""COMPUTED_VALUE"""),"Mežciems")</f>
        <v>Mežciems</v>
      </c>
      <c r="C2744" s="2" t="str">
        <f>IFERROR(__xludf.DUMMYFUNCTION("""COMPUTED_VALUE"""),"Kaivas 50")</f>
        <v>Kaivas 50</v>
      </c>
      <c r="D2744" s="2">
        <f>IFERROR(__xludf.DUMMYFUNCTION("""COMPUTED_VALUE"""),3.0)</f>
        <v>3</v>
      </c>
      <c r="E2744" s="2">
        <f>IFERROR(__xludf.DUMMYFUNCTION("""COMPUTED_VALUE"""),65.0)</f>
        <v>65</v>
      </c>
      <c r="F2744" s="2">
        <f>IFERROR(__xludf.DUMMYFUNCTION("""COMPUTED_VALUE"""),5.0)</f>
        <v>5</v>
      </c>
      <c r="G2744" s="2">
        <f>IFERROR(__xludf.DUMMYFUNCTION("""COMPUTED_VALUE"""),5.0)</f>
        <v>5</v>
      </c>
      <c r="H2744" s="2" t="str">
        <f>IFERROR(__xludf.DUMMYFUNCTION("""COMPUTED_VALUE"""),"Specpr.")</f>
        <v>Specpr.</v>
      </c>
      <c r="I2744" s="2" t="str">
        <f>IFERROR(__xludf.DUMMYFUNCTION("""COMPUTED_VALUE"""),"Panel")</f>
        <v>Panel</v>
      </c>
      <c r="J2744" s="2" t="str">
        <f>IFERROR(__xludf.DUMMYFUNCTION("""COMPUTED_VALUE"""),"All amenities")</f>
        <v>All amenities</v>
      </c>
      <c r="K2744" s="2">
        <f>IFERROR(__xludf.DUMMYFUNCTION("""COMPUTED_VALUE"""),550.0)</f>
        <v>550</v>
      </c>
      <c r="L2744" s="2">
        <f>IFERROR(__xludf.DUMMYFUNCTION("""COMPUTED_VALUE"""),56.95546705)</f>
        <v>56.95546705</v>
      </c>
      <c r="M2744" s="2">
        <f>IFERROR(__xludf.DUMMYFUNCTION("""COMPUTED_VALUE"""),24.24181865)</f>
        <v>24.24181865</v>
      </c>
    </row>
    <row r="2745">
      <c r="A2745" s="2" t="str">
        <f>IFERROR(__xludf.DUMMYFUNCTION("""COMPUTED_VALUE"""),"For sale")</f>
        <v>For sale</v>
      </c>
      <c r="B2745" s="2" t="str">
        <f>IFERROR(__xludf.DUMMYFUNCTION("""COMPUTED_VALUE"""),"centrs")</f>
        <v>centrs</v>
      </c>
      <c r="C2745" s="2" t="str">
        <f>IFERROR(__xludf.DUMMYFUNCTION("""COMPUTED_VALUE"""),"Rūpniecības 16")</f>
        <v>Rūpniecības 16</v>
      </c>
      <c r="D2745" s="2">
        <f>IFERROR(__xludf.DUMMYFUNCTION("""COMPUTED_VALUE"""),4.0)</f>
        <v>4</v>
      </c>
      <c r="E2745" s="2">
        <f>IFERROR(__xludf.DUMMYFUNCTION("""COMPUTED_VALUE"""),110.0)</f>
        <v>110</v>
      </c>
      <c r="F2745" s="2">
        <f>IFERROR(__xludf.DUMMYFUNCTION("""COMPUTED_VALUE"""),2.0)</f>
        <v>2</v>
      </c>
      <c r="G2745" s="2">
        <f>IFERROR(__xludf.DUMMYFUNCTION("""COMPUTED_VALUE"""),6.0)</f>
        <v>6</v>
      </c>
      <c r="H2745" s="2" t="str">
        <f>IFERROR(__xludf.DUMMYFUNCTION("""COMPUTED_VALUE"""),"P. kara")</f>
        <v>P. kara</v>
      </c>
      <c r="I2745" s="2" t="str">
        <f>IFERROR(__xludf.DUMMYFUNCTION("""COMPUTED_VALUE"""),"Masonry")</f>
        <v>Masonry</v>
      </c>
      <c r="J2745" s="2" t="str">
        <f>IFERROR(__xludf.DUMMYFUNCTION("""COMPUTED_VALUE"""),"All amenities")</f>
        <v>All amenities</v>
      </c>
      <c r="K2745" s="2">
        <f>IFERROR(__xludf.DUMMYFUNCTION("""COMPUTED_VALUE"""),172000.0)</f>
        <v>172000</v>
      </c>
      <c r="L2745" s="2">
        <f>IFERROR(__xludf.DUMMYFUNCTION("""COMPUTED_VALUE"""),56.9606867)</f>
        <v>56.9606867</v>
      </c>
      <c r="M2745" s="2">
        <f>IFERROR(__xludf.DUMMYFUNCTION("""COMPUTED_VALUE"""),24.1035085)</f>
        <v>24.1035085</v>
      </c>
    </row>
    <row r="2746">
      <c r="A2746" s="2" t="str">
        <f>IFERROR(__xludf.DUMMYFUNCTION("""COMPUTED_VALUE"""),"For sale")</f>
        <v>For sale</v>
      </c>
      <c r="B2746" s="2" t="str">
        <f>IFERROR(__xludf.DUMMYFUNCTION("""COMPUTED_VALUE"""),"Mežciems")</f>
        <v>Mežciems</v>
      </c>
      <c r="C2746" s="2" t="str">
        <f>IFERROR(__xludf.DUMMYFUNCTION("""COMPUTED_VALUE"""),"Eizenšteina 63")</f>
        <v>Eizenšteina 63</v>
      </c>
      <c r="D2746" s="2">
        <f>IFERROR(__xludf.DUMMYFUNCTION("""COMPUTED_VALUE"""),1.0)</f>
        <v>1</v>
      </c>
      <c r="E2746" s="2">
        <f>IFERROR(__xludf.DUMMYFUNCTION("""COMPUTED_VALUE"""),32.0)</f>
        <v>32</v>
      </c>
      <c r="F2746" s="2">
        <f>IFERROR(__xludf.DUMMYFUNCTION("""COMPUTED_VALUE"""),6.0)</f>
        <v>6</v>
      </c>
      <c r="G2746" s="2">
        <f>IFERROR(__xludf.DUMMYFUNCTION("""COMPUTED_VALUE"""),9.0)</f>
        <v>9</v>
      </c>
      <c r="H2746" s="2">
        <f>IFERROR(__xludf.DUMMYFUNCTION("""COMPUTED_VALUE"""),602.0)</f>
        <v>602</v>
      </c>
      <c r="I2746" s="2" t="str">
        <f>IFERROR(__xludf.DUMMYFUNCTION("""COMPUTED_VALUE"""),"Panel")</f>
        <v>Panel</v>
      </c>
      <c r="J2746" s="2" t="str">
        <f>IFERROR(__xludf.DUMMYFUNCTION("""COMPUTED_VALUE"""),"All amenities")</f>
        <v>All amenities</v>
      </c>
      <c r="K2746" s="2">
        <f>IFERROR(__xludf.DUMMYFUNCTION("""COMPUTED_VALUE"""),34500.0)</f>
        <v>34500</v>
      </c>
      <c r="L2746" s="2">
        <f>IFERROR(__xludf.DUMMYFUNCTION("""COMPUTED_VALUE"""),56.9622593)</f>
        <v>56.9622593</v>
      </c>
      <c r="M2746" s="2">
        <f>IFERROR(__xludf.DUMMYFUNCTION("""COMPUTED_VALUE"""),24.2347236771608)</f>
        <v>24.23472368</v>
      </c>
    </row>
    <row r="2747">
      <c r="A2747" s="2" t="str">
        <f>IFERROR(__xludf.DUMMYFUNCTION("""COMPUTED_VALUE"""),"For sale")</f>
        <v>For sale</v>
      </c>
      <c r="B2747" s="2" t="str">
        <f>IFERROR(__xludf.DUMMYFUNCTION("""COMPUTED_VALUE"""),"centrs")</f>
        <v>centrs</v>
      </c>
      <c r="C2747" s="2" t="str">
        <f>IFERROR(__xludf.DUMMYFUNCTION("""COMPUTED_VALUE"""),"Bruņinieku 28")</f>
        <v>Bruņinieku 28</v>
      </c>
      <c r="D2747" s="2">
        <f>IFERROR(__xludf.DUMMYFUNCTION("""COMPUTED_VALUE"""),3.0)</f>
        <v>3</v>
      </c>
      <c r="E2747" s="2">
        <f>IFERROR(__xludf.DUMMYFUNCTION("""COMPUTED_VALUE"""),84.0)</f>
        <v>84</v>
      </c>
      <c r="F2747" s="2">
        <f>IFERROR(__xludf.DUMMYFUNCTION("""COMPUTED_VALUE"""),6.0)</f>
        <v>6</v>
      </c>
      <c r="G2747" s="2">
        <f>IFERROR(__xludf.DUMMYFUNCTION("""COMPUTED_VALUE"""),6.0)</f>
        <v>6</v>
      </c>
      <c r="H2747" s="2" t="str">
        <f>IFERROR(__xludf.DUMMYFUNCTION("""COMPUTED_VALUE"""),"P. kara")</f>
        <v>P. kara</v>
      </c>
      <c r="I2747" s="2" t="str">
        <f>IFERROR(__xludf.DUMMYFUNCTION("""COMPUTED_VALUE"""),"Masonry")</f>
        <v>Masonry</v>
      </c>
      <c r="J2747" s="2" t="str">
        <f>IFERROR(__xludf.DUMMYFUNCTION("""COMPUTED_VALUE"""),"All amenities")</f>
        <v>All amenities</v>
      </c>
      <c r="K2747" s="2">
        <f>IFERROR(__xludf.DUMMYFUNCTION("""COMPUTED_VALUE"""),149000.0)</f>
        <v>149000</v>
      </c>
      <c r="L2747" s="2">
        <f>IFERROR(__xludf.DUMMYFUNCTION("""COMPUTED_VALUE"""),56.95567115)</f>
        <v>56.95567115</v>
      </c>
      <c r="M2747" s="2">
        <f>IFERROR(__xludf.DUMMYFUNCTION("""COMPUTED_VALUE"""),24.1314109608833)</f>
        <v>24.13141096</v>
      </c>
    </row>
    <row r="2748">
      <c r="A2748" s="2" t="str">
        <f>IFERROR(__xludf.DUMMYFUNCTION("""COMPUTED_VALUE"""),"For sale")</f>
        <v>For sale</v>
      </c>
      <c r="B2748" s="2" t="str">
        <f>IFERROR(__xludf.DUMMYFUNCTION("""COMPUTED_VALUE"""),"Purvciems")</f>
        <v>Purvciems</v>
      </c>
      <c r="C2748" s="2" t="str">
        <f>IFERROR(__xludf.DUMMYFUNCTION("""COMPUTED_VALUE"""),"Purvciema 22")</f>
        <v>Purvciema 22</v>
      </c>
      <c r="D2748" s="2">
        <f>IFERROR(__xludf.DUMMYFUNCTION("""COMPUTED_VALUE"""),1.0)</f>
        <v>1</v>
      </c>
      <c r="E2748" s="2">
        <f>IFERROR(__xludf.DUMMYFUNCTION("""COMPUTED_VALUE"""),50.0)</f>
        <v>50</v>
      </c>
      <c r="F2748" s="2">
        <f>IFERROR(__xludf.DUMMYFUNCTION("""COMPUTED_VALUE"""),6.0)</f>
        <v>6</v>
      </c>
      <c r="G2748" s="2">
        <f>IFERROR(__xludf.DUMMYFUNCTION("""COMPUTED_VALUE"""),9.0)</f>
        <v>9</v>
      </c>
      <c r="H2748" s="2">
        <f>IFERROR(__xludf.DUMMYFUNCTION("""COMPUTED_VALUE"""),119.0)</f>
        <v>119</v>
      </c>
      <c r="I2748" s="2" t="str">
        <f>IFERROR(__xludf.DUMMYFUNCTION("""COMPUTED_VALUE"""),"Panel")</f>
        <v>Panel</v>
      </c>
      <c r="J2748" s="2" t="str">
        <f>IFERROR(__xludf.DUMMYFUNCTION("""COMPUTED_VALUE"""),"All amenities")</f>
        <v>All amenities</v>
      </c>
      <c r="K2748" s="2">
        <f>IFERROR(__xludf.DUMMYFUNCTION("""COMPUTED_VALUE"""),50000.0)</f>
        <v>50000</v>
      </c>
      <c r="L2748" s="2">
        <f>IFERROR(__xludf.DUMMYFUNCTION("""COMPUTED_VALUE"""),56.95329855)</f>
        <v>56.95329855</v>
      </c>
      <c r="M2748" s="2">
        <f>IFERROR(__xludf.DUMMYFUNCTION("""COMPUTED_VALUE"""),24.1711981373759)</f>
        <v>24.17119814</v>
      </c>
    </row>
    <row r="2749">
      <c r="A2749" s="2" t="str">
        <f>IFERROR(__xludf.DUMMYFUNCTION("""COMPUTED_VALUE"""),"For rent")</f>
        <v>For rent</v>
      </c>
      <c r="B2749" s="2" t="str">
        <f>IFERROR(__xludf.DUMMYFUNCTION("""COMPUTED_VALUE"""),"Pļavnieki")</f>
        <v>Pļavnieki</v>
      </c>
      <c r="C2749" s="2" t="str">
        <f>IFERROR(__xludf.DUMMYFUNCTION("""COMPUTED_VALUE"""),"Dravnieku 12")</f>
        <v>Dravnieku 12</v>
      </c>
      <c r="D2749" s="2">
        <f>IFERROR(__xludf.DUMMYFUNCTION("""COMPUTED_VALUE"""),1.0)</f>
        <v>1</v>
      </c>
      <c r="E2749" s="2">
        <f>IFERROR(__xludf.DUMMYFUNCTION("""COMPUTED_VALUE"""),39.0)</f>
        <v>39</v>
      </c>
      <c r="F2749" s="2">
        <f>IFERROR(__xludf.DUMMYFUNCTION("""COMPUTED_VALUE"""),5.0)</f>
        <v>5</v>
      </c>
      <c r="G2749" s="2">
        <f>IFERROR(__xludf.DUMMYFUNCTION("""COMPUTED_VALUE"""),9.0)</f>
        <v>9</v>
      </c>
      <c r="H2749" s="2" t="str">
        <f>IFERROR(__xludf.DUMMYFUNCTION("""COMPUTED_VALUE"""),"M. ģim.")</f>
        <v>M. ģim.</v>
      </c>
      <c r="I2749" s="2" t="str">
        <f>IFERROR(__xludf.DUMMYFUNCTION("""COMPUTED_VALUE"""),"Panel")</f>
        <v>Panel</v>
      </c>
      <c r="J2749" s="2" t="str">
        <f>IFERROR(__xludf.DUMMYFUNCTION("""COMPUTED_VALUE"""),"All amenities")</f>
        <v>All amenities</v>
      </c>
      <c r="K2749" s="2">
        <f>IFERROR(__xludf.DUMMYFUNCTION("""COMPUTED_VALUE"""),300.0)</f>
        <v>300</v>
      </c>
      <c r="L2749" s="2">
        <f>IFERROR(__xludf.DUMMYFUNCTION("""COMPUTED_VALUE"""),56.94315815)</f>
        <v>56.94315815</v>
      </c>
      <c r="M2749" s="2">
        <f>IFERROR(__xludf.DUMMYFUNCTION("""COMPUTED_VALUE"""),24.212789903353)</f>
        <v>24.2127899</v>
      </c>
    </row>
    <row r="2750">
      <c r="A2750" s="2" t="str">
        <f>IFERROR(__xludf.DUMMYFUNCTION("""COMPUTED_VALUE"""),"For rent")</f>
        <v>For rent</v>
      </c>
      <c r="B2750" s="2" t="str">
        <f>IFERROR(__xludf.DUMMYFUNCTION("""COMPUTED_VALUE"""),"Pļavnieki")</f>
        <v>Pļavnieki</v>
      </c>
      <c r="C2750" s="2" t="str">
        <f>IFERROR(__xludf.DUMMYFUNCTION("""COMPUTED_VALUE"""),"Dravnieku 13")</f>
        <v>Dravnieku 13</v>
      </c>
      <c r="D2750" s="2">
        <f>IFERROR(__xludf.DUMMYFUNCTION("""COMPUTED_VALUE"""),3.0)</f>
        <v>3</v>
      </c>
      <c r="E2750" s="2">
        <f>IFERROR(__xludf.DUMMYFUNCTION("""COMPUTED_VALUE"""),62.0)</f>
        <v>62</v>
      </c>
      <c r="F2750" s="2">
        <f>IFERROR(__xludf.DUMMYFUNCTION("""COMPUTED_VALUE"""),2.0)</f>
        <v>2</v>
      </c>
      <c r="G2750" s="2">
        <f>IFERROR(__xludf.DUMMYFUNCTION("""COMPUTED_VALUE"""),9.0)</f>
        <v>9</v>
      </c>
      <c r="H2750" s="2">
        <f>IFERROR(__xludf.DUMMYFUNCTION("""COMPUTED_VALUE"""),602.0)</f>
        <v>602</v>
      </c>
      <c r="I2750" s="2" t="str">
        <f>IFERROR(__xludf.DUMMYFUNCTION("""COMPUTED_VALUE"""),"Panel")</f>
        <v>Panel</v>
      </c>
      <c r="J2750" s="2" t="str">
        <f>IFERROR(__xludf.DUMMYFUNCTION("""COMPUTED_VALUE"""),"All amenities")</f>
        <v>All amenities</v>
      </c>
      <c r="K2750" s="2">
        <f>IFERROR(__xludf.DUMMYFUNCTION("""COMPUTED_VALUE"""),350.0)</f>
        <v>350</v>
      </c>
      <c r="L2750" s="2">
        <f>IFERROR(__xludf.DUMMYFUNCTION("""COMPUTED_VALUE"""),56.94404435)</f>
        <v>56.94404435</v>
      </c>
      <c r="M2750" s="2">
        <f>IFERROR(__xludf.DUMMYFUNCTION("""COMPUTED_VALUE"""),24.21522315)</f>
        <v>24.21522315</v>
      </c>
    </row>
    <row r="2751">
      <c r="A2751" s="2" t="str">
        <f>IFERROR(__xludf.DUMMYFUNCTION("""COMPUTED_VALUE"""),"For rent")</f>
        <v>For rent</v>
      </c>
      <c r="B2751" s="2" t="str">
        <f>IFERROR(__xludf.DUMMYFUNCTION("""COMPUTED_VALUE"""),"centrs")</f>
        <v>centrs</v>
      </c>
      <c r="C2751" s="2" t="str">
        <f>IFERROR(__xludf.DUMMYFUNCTION("""COMPUTED_VALUE"""),"Antonijas 14")</f>
        <v>Antonijas 14</v>
      </c>
      <c r="D2751" s="2">
        <f>IFERROR(__xludf.DUMMYFUNCTION("""COMPUTED_VALUE"""),1.0)</f>
        <v>1</v>
      </c>
      <c r="E2751" s="2">
        <f>IFERROR(__xludf.DUMMYFUNCTION("""COMPUTED_VALUE"""),26.0)</f>
        <v>26</v>
      </c>
      <c r="F2751" s="2">
        <f>IFERROR(__xludf.DUMMYFUNCTION("""COMPUTED_VALUE"""),3.0)</f>
        <v>3</v>
      </c>
      <c r="G2751" s="2">
        <f>IFERROR(__xludf.DUMMYFUNCTION("""COMPUTED_VALUE"""),8.0)</f>
        <v>8</v>
      </c>
      <c r="H2751" s="2" t="str">
        <f>IFERROR(__xludf.DUMMYFUNCTION("""COMPUTED_VALUE"""),"Renov.")</f>
        <v>Renov.</v>
      </c>
      <c r="I2751" s="2" t="str">
        <f>IFERROR(__xludf.DUMMYFUNCTION("""COMPUTED_VALUE"""),"Brick-Panel")</f>
        <v>Brick-Panel</v>
      </c>
      <c r="J2751" s="2" t="str">
        <f>IFERROR(__xludf.DUMMYFUNCTION("""COMPUTED_VALUE"""),"All amenities")</f>
        <v>All amenities</v>
      </c>
      <c r="K2751" s="2">
        <f>IFERROR(__xludf.DUMMYFUNCTION("""COMPUTED_VALUE"""),360.0)</f>
        <v>360</v>
      </c>
      <c r="L2751" s="2">
        <f>IFERROR(__xludf.DUMMYFUNCTION("""COMPUTED_VALUE"""),56.9589948)</f>
        <v>56.9589948</v>
      </c>
      <c r="M2751" s="2">
        <f>IFERROR(__xludf.DUMMYFUNCTION("""COMPUTED_VALUE"""),24.1130565349601)</f>
        <v>24.11305653</v>
      </c>
    </row>
    <row r="2752">
      <c r="A2752" s="2" t="str">
        <f>IFERROR(__xludf.DUMMYFUNCTION("""COMPUTED_VALUE"""),"For sale")</f>
        <v>For sale</v>
      </c>
      <c r="B2752" s="2" t="str">
        <f>IFERROR(__xludf.DUMMYFUNCTION("""COMPUTED_VALUE"""),"Mežaparks")</f>
        <v>Mežaparks</v>
      </c>
      <c r="C2752" s="2" t="str">
        <f>IFERROR(__xludf.DUMMYFUNCTION("""COMPUTED_VALUE"""),"Viestura pr. 69")</f>
        <v>Viestura pr. 69</v>
      </c>
      <c r="D2752" s="2">
        <f>IFERROR(__xludf.DUMMYFUNCTION("""COMPUTED_VALUE"""),2.0)</f>
        <v>2</v>
      </c>
      <c r="E2752" s="2">
        <f>IFERROR(__xludf.DUMMYFUNCTION("""COMPUTED_VALUE"""),46.0)</f>
        <v>46</v>
      </c>
      <c r="F2752" s="2">
        <f>IFERROR(__xludf.DUMMYFUNCTION("""COMPUTED_VALUE"""),4.0)</f>
        <v>4</v>
      </c>
      <c r="G2752" s="2">
        <f>IFERROR(__xludf.DUMMYFUNCTION("""COMPUTED_VALUE"""),5.0)</f>
        <v>5</v>
      </c>
      <c r="H2752" s="2" t="str">
        <f>IFERROR(__xludf.DUMMYFUNCTION("""COMPUTED_VALUE"""),"Hrušč.")</f>
        <v>Hrušč.</v>
      </c>
      <c r="I2752" s="2" t="str">
        <f>IFERROR(__xludf.DUMMYFUNCTION("""COMPUTED_VALUE"""),"Brick-Panel")</f>
        <v>Brick-Panel</v>
      </c>
      <c r="J2752" s="2" t="str">
        <f>IFERROR(__xludf.DUMMYFUNCTION("""COMPUTED_VALUE"""),"All amenities")</f>
        <v>All amenities</v>
      </c>
      <c r="K2752" s="2">
        <f>IFERROR(__xludf.DUMMYFUNCTION("""COMPUTED_VALUE"""),49500.0)</f>
        <v>49500</v>
      </c>
      <c r="L2752" s="2">
        <f>IFERROR(__xludf.DUMMYFUNCTION("""COMPUTED_VALUE"""),56.9984366)</f>
        <v>56.9984366</v>
      </c>
      <c r="M2752" s="2">
        <f>IFERROR(__xludf.DUMMYFUNCTION("""COMPUTED_VALUE"""),24.1328951)</f>
        <v>24.1328951</v>
      </c>
    </row>
    <row r="2753">
      <c r="A2753" s="2" t="str">
        <f>IFERROR(__xludf.DUMMYFUNCTION("""COMPUTED_VALUE"""),"For sale")</f>
        <v>For sale</v>
      </c>
      <c r="B2753" s="2" t="str">
        <f>IFERROR(__xludf.DUMMYFUNCTION("""COMPUTED_VALUE"""),"centrs")</f>
        <v>centrs</v>
      </c>
      <c r="C2753" s="2" t="str">
        <f>IFERROR(__xludf.DUMMYFUNCTION("""COMPUTED_VALUE"""),"Valdemāra 37")</f>
        <v>Valdemāra 37</v>
      </c>
      <c r="D2753" s="2">
        <f>IFERROR(__xludf.DUMMYFUNCTION("""COMPUTED_VALUE"""),3.0)</f>
        <v>3</v>
      </c>
      <c r="E2753" s="2">
        <f>IFERROR(__xludf.DUMMYFUNCTION("""COMPUTED_VALUE"""),77.0)</f>
        <v>77</v>
      </c>
      <c r="F2753" s="2">
        <f>IFERROR(__xludf.DUMMYFUNCTION("""COMPUTED_VALUE"""),4.0)</f>
        <v>4</v>
      </c>
      <c r="G2753" s="2">
        <f>IFERROR(__xludf.DUMMYFUNCTION("""COMPUTED_VALUE"""),6.0)</f>
        <v>6</v>
      </c>
      <c r="H2753" s="2" t="str">
        <f>IFERROR(__xludf.DUMMYFUNCTION("""COMPUTED_VALUE"""),"Renov.")</f>
        <v>Renov.</v>
      </c>
      <c r="I2753" s="2" t="str">
        <f>IFERROR(__xludf.DUMMYFUNCTION("""COMPUTED_VALUE"""),"Masonry")</f>
        <v>Masonry</v>
      </c>
      <c r="J2753" s="2" t="str">
        <f>IFERROR(__xludf.DUMMYFUNCTION("""COMPUTED_VALUE"""),"All amenities")</f>
        <v>All amenities</v>
      </c>
      <c r="K2753" s="2">
        <f>IFERROR(__xludf.DUMMYFUNCTION("""COMPUTED_VALUE"""),159600.0)</f>
        <v>159600</v>
      </c>
      <c r="L2753" s="2">
        <f>IFERROR(__xludf.DUMMYFUNCTION("""COMPUTED_VALUE"""),56.958482)</f>
        <v>56.958482</v>
      </c>
      <c r="M2753" s="2">
        <f>IFERROR(__xludf.DUMMYFUNCTION("""COMPUTED_VALUE"""),24.116859)</f>
        <v>24.116859</v>
      </c>
    </row>
    <row r="2754">
      <c r="A2754" s="2" t="str">
        <f>IFERROR(__xludf.DUMMYFUNCTION("""COMPUTED_VALUE"""),"For sale")</f>
        <v>For sale</v>
      </c>
      <c r="B2754" s="2" t="str">
        <f>IFERROR(__xludf.DUMMYFUNCTION("""COMPUTED_VALUE"""),"centrs")</f>
        <v>centrs</v>
      </c>
      <c r="C2754" s="2" t="str">
        <f>IFERROR(__xludf.DUMMYFUNCTION("""COMPUTED_VALUE"""),"Muitas 1")</f>
        <v>Muitas 1</v>
      </c>
      <c r="D2754" s="2">
        <f>IFERROR(__xludf.DUMMYFUNCTION("""COMPUTED_VALUE"""),3.0)</f>
        <v>3</v>
      </c>
      <c r="E2754" s="2">
        <f>IFERROR(__xludf.DUMMYFUNCTION("""COMPUTED_VALUE"""),104.5)</f>
        <v>104.5</v>
      </c>
      <c r="F2754" s="2">
        <f>IFERROR(__xludf.DUMMYFUNCTION("""COMPUTED_VALUE"""),2.0)</f>
        <v>2</v>
      </c>
      <c r="G2754" s="2">
        <f>IFERROR(__xludf.DUMMYFUNCTION("""COMPUTED_VALUE"""),4.0)</f>
        <v>4</v>
      </c>
      <c r="H2754" s="2" t="str">
        <f>IFERROR(__xludf.DUMMYFUNCTION("""COMPUTED_VALUE"""),"Jaun.")</f>
        <v>Jaun.</v>
      </c>
      <c r="I2754" s="2" t="str">
        <f>IFERROR(__xludf.DUMMYFUNCTION("""COMPUTED_VALUE"""),"Brick-Panel")</f>
        <v>Brick-Panel</v>
      </c>
      <c r="J2754" s="2" t="str">
        <f>IFERROR(__xludf.DUMMYFUNCTION("""COMPUTED_VALUE"""),"All amenities")</f>
        <v>All amenities</v>
      </c>
      <c r="K2754" s="2">
        <f>IFERROR(__xludf.DUMMYFUNCTION("""COMPUTED_VALUE"""),289000.0)</f>
        <v>289000</v>
      </c>
      <c r="L2754" s="2">
        <f>IFERROR(__xludf.DUMMYFUNCTION("""COMPUTED_VALUE"""),56.9537092)</f>
        <v>56.9537092</v>
      </c>
      <c r="M2754" s="2">
        <f>IFERROR(__xludf.DUMMYFUNCTION("""COMPUTED_VALUE"""),24.1021092)</f>
        <v>24.1021092</v>
      </c>
    </row>
    <row r="2755">
      <c r="A2755" s="2" t="str">
        <f>IFERROR(__xludf.DUMMYFUNCTION("""COMPUTED_VALUE"""),"For rent")</f>
        <v>For rent</v>
      </c>
      <c r="B2755" s="2" t="str">
        <f>IFERROR(__xludf.DUMMYFUNCTION("""COMPUTED_VALUE"""),"centrs")</f>
        <v>centrs</v>
      </c>
      <c r="C2755" s="2" t="str">
        <f>IFERROR(__xludf.DUMMYFUNCTION("""COMPUTED_VALUE"""),"Krāsotāju 24")</f>
        <v>Krāsotāju 24</v>
      </c>
      <c r="D2755" s="2">
        <f>IFERROR(__xludf.DUMMYFUNCTION("""COMPUTED_VALUE"""),2.0)</f>
        <v>2</v>
      </c>
      <c r="E2755" s="2">
        <f>IFERROR(__xludf.DUMMYFUNCTION("""COMPUTED_VALUE"""),44.0)</f>
        <v>44</v>
      </c>
      <c r="F2755" s="2">
        <f>IFERROR(__xludf.DUMMYFUNCTION("""COMPUTED_VALUE"""),3.0)</f>
        <v>3</v>
      </c>
      <c r="G2755" s="2">
        <f>IFERROR(__xludf.DUMMYFUNCTION("""COMPUTED_VALUE"""),5.0)</f>
        <v>5</v>
      </c>
      <c r="H2755" s="2" t="str">
        <f>IFERROR(__xludf.DUMMYFUNCTION("""COMPUTED_VALUE"""),"P. kara")</f>
        <v>P. kara</v>
      </c>
      <c r="I2755" s="2" t="str">
        <f>IFERROR(__xludf.DUMMYFUNCTION("""COMPUTED_VALUE"""),"Masonry")</f>
        <v>Masonry</v>
      </c>
      <c r="J2755" s="2" t="str">
        <f>IFERROR(__xludf.DUMMYFUNCTION("""COMPUTED_VALUE"""),"All amenities")</f>
        <v>All amenities</v>
      </c>
      <c r="K2755" s="2">
        <f>IFERROR(__xludf.DUMMYFUNCTION("""COMPUTED_VALUE"""),40.0)</f>
        <v>40</v>
      </c>
      <c r="L2755" s="2">
        <f>IFERROR(__xludf.DUMMYFUNCTION("""COMPUTED_VALUE"""),56.95595215)</f>
        <v>56.95595215</v>
      </c>
      <c r="M2755" s="2">
        <f>IFERROR(__xludf.DUMMYFUNCTION("""COMPUTED_VALUE"""),24.146706704663)</f>
        <v>24.1467067</v>
      </c>
    </row>
    <row r="2756">
      <c r="A2756" s="2" t="str">
        <f>IFERROR(__xludf.DUMMYFUNCTION("""COMPUTED_VALUE"""),"For sale")</f>
        <v>For sale</v>
      </c>
      <c r="B2756" s="2" t="str">
        <f>IFERROR(__xludf.DUMMYFUNCTION("""COMPUTED_VALUE"""),"Šampēteris-Pleskodāle")</f>
        <v>Šampēteris-Pleskodāle</v>
      </c>
      <c r="C2756" s="2" t="str">
        <f>IFERROR(__xludf.DUMMYFUNCTION("""COMPUTED_VALUE"""),"Stendes 7/4")</f>
        <v>Stendes 7/4</v>
      </c>
      <c r="D2756" s="2">
        <f>IFERROR(__xludf.DUMMYFUNCTION("""COMPUTED_VALUE"""),1.0)</f>
        <v>1</v>
      </c>
      <c r="E2756" s="2">
        <f>IFERROR(__xludf.DUMMYFUNCTION("""COMPUTED_VALUE"""),25.0)</f>
        <v>25</v>
      </c>
      <c r="F2756" s="2">
        <f>IFERROR(__xludf.DUMMYFUNCTION("""COMPUTED_VALUE"""),3.0)</f>
        <v>3</v>
      </c>
      <c r="G2756" s="2">
        <f>IFERROR(__xludf.DUMMYFUNCTION("""COMPUTED_VALUE"""),3.0)</f>
        <v>3</v>
      </c>
      <c r="H2756" s="2" t="str">
        <f>IFERROR(__xludf.DUMMYFUNCTION("""COMPUTED_VALUE"""),"M. ģim.")</f>
        <v>M. ģim.</v>
      </c>
      <c r="I2756" s="2" t="str">
        <f>IFERROR(__xludf.DUMMYFUNCTION("""COMPUTED_VALUE"""),"Brick")</f>
        <v>Brick</v>
      </c>
      <c r="J2756" s="2" t="str">
        <f>IFERROR(__xludf.DUMMYFUNCTION("""COMPUTED_VALUE"""),"All amenities")</f>
        <v>All amenities</v>
      </c>
      <c r="K2756" s="2">
        <f>IFERROR(__xludf.DUMMYFUNCTION("""COMPUTED_VALUE"""),12500.0)</f>
        <v>12500</v>
      </c>
      <c r="L2756" s="2">
        <f>IFERROR(__xludf.DUMMYFUNCTION("""COMPUTED_VALUE"""),56.9406706)</f>
        <v>56.9406706</v>
      </c>
      <c r="M2756" s="2">
        <f>IFERROR(__xludf.DUMMYFUNCTION("""COMPUTED_VALUE"""),24.0386236)</f>
        <v>24.0386236</v>
      </c>
    </row>
    <row r="2757">
      <c r="A2757" s="2" t="str">
        <f>IFERROR(__xludf.DUMMYFUNCTION("""COMPUTED_VALUE"""),"For sale")</f>
        <v>For sale</v>
      </c>
      <c r="B2757" s="2" t="str">
        <f>IFERROR(__xludf.DUMMYFUNCTION("""COMPUTED_VALUE"""),"centrs")</f>
        <v>centrs</v>
      </c>
      <c r="C2757" s="2" t="str">
        <f>IFERROR(__xludf.DUMMYFUNCTION("""COMPUTED_VALUE"""),"Klusā 20")</f>
        <v>Klusā 20</v>
      </c>
      <c r="D2757" s="2">
        <f>IFERROR(__xludf.DUMMYFUNCTION("""COMPUTED_VALUE"""),3.0)</f>
        <v>3</v>
      </c>
      <c r="E2757" s="2">
        <f>IFERROR(__xludf.DUMMYFUNCTION("""COMPUTED_VALUE"""),60.0)</f>
        <v>60</v>
      </c>
      <c r="F2757" s="2">
        <f>IFERROR(__xludf.DUMMYFUNCTION("""COMPUTED_VALUE"""),3.0)</f>
        <v>3</v>
      </c>
      <c r="G2757" s="2">
        <f>IFERROR(__xludf.DUMMYFUNCTION("""COMPUTED_VALUE"""),9.0)</f>
        <v>9</v>
      </c>
      <c r="H2757" s="2" t="str">
        <f>IFERROR(__xludf.DUMMYFUNCTION("""COMPUTED_VALUE"""),"Renov.")</f>
        <v>Renov.</v>
      </c>
      <c r="I2757" s="2" t="str">
        <f>IFERROR(__xludf.DUMMYFUNCTION("""COMPUTED_VALUE"""),"Panel-Brick")</f>
        <v>Panel-Brick</v>
      </c>
      <c r="J2757" s="2" t="str">
        <f>IFERROR(__xludf.DUMMYFUNCTION("""COMPUTED_VALUE"""),"All amenities")</f>
        <v>All amenities</v>
      </c>
      <c r="K2757" s="2">
        <f>IFERROR(__xludf.DUMMYFUNCTION("""COMPUTED_VALUE"""),69000.0)</f>
        <v>69000</v>
      </c>
      <c r="L2757" s="2">
        <f>IFERROR(__xludf.DUMMYFUNCTION("""COMPUTED_VALUE"""),56.97650505)</f>
        <v>56.97650505</v>
      </c>
      <c r="M2757" s="2">
        <f>IFERROR(__xludf.DUMMYFUNCTION("""COMPUTED_VALUE"""),24.1464958357009)</f>
        <v>24.14649584</v>
      </c>
    </row>
    <row r="2758">
      <c r="A2758" s="2" t="str">
        <f>IFERROR(__xludf.DUMMYFUNCTION("""COMPUTED_VALUE"""),"For rent")</f>
        <v>For rent</v>
      </c>
      <c r="B2758" s="2" t="str">
        <f>IFERROR(__xludf.DUMMYFUNCTION("""COMPUTED_VALUE"""),"Grīziņkalns")</f>
        <v>Grīziņkalns</v>
      </c>
      <c r="C2758" s="2" t="str">
        <f>IFERROR(__xludf.DUMMYFUNCTION("""COMPUTED_VALUE"""),"Zvaigžņu 14a")</f>
        <v>Zvaigžņu 14a</v>
      </c>
      <c r="D2758" s="2">
        <f>IFERROR(__xludf.DUMMYFUNCTION("""COMPUTED_VALUE"""),1.0)</f>
        <v>1</v>
      </c>
      <c r="E2758" s="2">
        <f>IFERROR(__xludf.DUMMYFUNCTION("""COMPUTED_VALUE"""),19.0)</f>
        <v>19</v>
      </c>
      <c r="F2758" s="2">
        <f>IFERROR(__xludf.DUMMYFUNCTION("""COMPUTED_VALUE"""),2.0)</f>
        <v>2</v>
      </c>
      <c r="G2758" s="2">
        <f>IFERROR(__xludf.DUMMYFUNCTION("""COMPUTED_VALUE"""),2.0)</f>
        <v>2</v>
      </c>
      <c r="H2758" s="2" t="str">
        <f>IFERROR(__xludf.DUMMYFUNCTION("""COMPUTED_VALUE"""),"Renov.")</f>
        <v>Renov.</v>
      </c>
      <c r="I2758" s="2" t="str">
        <f>IFERROR(__xludf.DUMMYFUNCTION("""COMPUTED_VALUE"""),"Masonry")</f>
        <v>Masonry</v>
      </c>
      <c r="J2758" s="2" t="str">
        <f>IFERROR(__xludf.DUMMYFUNCTION("""COMPUTED_VALUE"""),"All amenities")</f>
        <v>All amenities</v>
      </c>
      <c r="K2758" s="2">
        <f>IFERROR(__xludf.DUMMYFUNCTION("""COMPUTED_VALUE"""),220.0)</f>
        <v>220</v>
      </c>
      <c r="L2758" s="2">
        <f>IFERROR(__xludf.DUMMYFUNCTION("""COMPUTED_VALUE"""),56.959738)</f>
        <v>56.959738</v>
      </c>
      <c r="M2758" s="2">
        <f>IFERROR(__xludf.DUMMYFUNCTION("""COMPUTED_VALUE"""),24.1478191)</f>
        <v>24.1478191</v>
      </c>
    </row>
    <row r="2759">
      <c r="A2759" s="2" t="str">
        <f>IFERROR(__xludf.DUMMYFUNCTION("""COMPUTED_VALUE"""),"For sale")</f>
        <v>For sale</v>
      </c>
      <c r="B2759" s="2" t="str">
        <f>IFERROR(__xludf.DUMMYFUNCTION("""COMPUTED_VALUE"""),"Mežaparks")</f>
        <v>Mežaparks</v>
      </c>
      <c r="C2759" s="2" t="str">
        <f>IFERROR(__xludf.DUMMYFUNCTION("""COMPUTED_VALUE"""),"Sakses 2")</f>
        <v>Sakses 2</v>
      </c>
      <c r="D2759" s="2">
        <f>IFERROR(__xludf.DUMMYFUNCTION("""COMPUTED_VALUE"""),3.0)</f>
        <v>3</v>
      </c>
      <c r="E2759" s="2">
        <f>IFERROR(__xludf.DUMMYFUNCTION("""COMPUTED_VALUE"""),100.0)</f>
        <v>100</v>
      </c>
      <c r="F2759" s="2">
        <f>IFERROR(__xludf.DUMMYFUNCTION("""COMPUTED_VALUE"""),2.0)</f>
        <v>2</v>
      </c>
      <c r="G2759" s="2">
        <f>IFERROR(__xludf.DUMMYFUNCTION("""COMPUTED_VALUE"""),3.0)</f>
        <v>3</v>
      </c>
      <c r="H2759" s="2" t="str">
        <f>IFERROR(__xludf.DUMMYFUNCTION("""COMPUTED_VALUE"""),"P. kara")</f>
        <v>P. kara</v>
      </c>
      <c r="I2759" s="2" t="str">
        <f>IFERROR(__xludf.DUMMYFUNCTION("""COMPUTED_VALUE"""),"Wood")</f>
        <v>Wood</v>
      </c>
      <c r="J2759" s="2" t="str">
        <f>IFERROR(__xludf.DUMMYFUNCTION("""COMPUTED_VALUE"""),"All amenities")</f>
        <v>All amenities</v>
      </c>
      <c r="K2759" s="2">
        <f>IFERROR(__xludf.DUMMYFUNCTION("""COMPUTED_VALUE"""),250000.0)</f>
        <v>250000</v>
      </c>
      <c r="L2759" s="2">
        <f>IFERROR(__xludf.DUMMYFUNCTION("""COMPUTED_VALUE"""),56.9983158999999)</f>
        <v>56.9983159</v>
      </c>
      <c r="M2759" s="2">
        <f>IFERROR(__xludf.DUMMYFUNCTION("""COMPUTED_VALUE"""),24.1614570264157)</f>
        <v>24.16145703</v>
      </c>
    </row>
    <row r="2760">
      <c r="A2760" s="2" t="str">
        <f>IFERROR(__xludf.DUMMYFUNCTION("""COMPUTED_VALUE"""),"For sale")</f>
        <v>For sale</v>
      </c>
      <c r="B2760" s="2" t="str">
        <f>IFERROR(__xludf.DUMMYFUNCTION("""COMPUTED_VALUE"""),"centrs")</f>
        <v>centrs</v>
      </c>
      <c r="C2760" s="2" t="str">
        <f>IFERROR(__xludf.DUMMYFUNCTION("""COMPUTED_VALUE"""),"Barona 24/26")</f>
        <v>Barona 24/26</v>
      </c>
      <c r="D2760" s="2">
        <f>IFERROR(__xludf.DUMMYFUNCTION("""COMPUTED_VALUE"""),2.0)</f>
        <v>2</v>
      </c>
      <c r="E2760" s="2">
        <f>IFERROR(__xludf.DUMMYFUNCTION("""COMPUTED_VALUE"""),41.0)</f>
        <v>41</v>
      </c>
      <c r="F2760" s="2">
        <f>IFERROR(__xludf.DUMMYFUNCTION("""COMPUTED_VALUE"""),6.0)</f>
        <v>6</v>
      </c>
      <c r="G2760" s="2">
        <f>IFERROR(__xludf.DUMMYFUNCTION("""COMPUTED_VALUE"""),6.0)</f>
        <v>6</v>
      </c>
      <c r="H2760" s="2" t="str">
        <f>IFERROR(__xludf.DUMMYFUNCTION("""COMPUTED_VALUE"""),"Renov.")</f>
        <v>Renov.</v>
      </c>
      <c r="I2760" s="2" t="str">
        <f>IFERROR(__xludf.DUMMYFUNCTION("""COMPUTED_VALUE"""),"Masonry")</f>
        <v>Masonry</v>
      </c>
      <c r="J2760" s="2" t="str">
        <f>IFERROR(__xludf.DUMMYFUNCTION("""COMPUTED_VALUE"""),"All amenities")</f>
        <v>All amenities</v>
      </c>
      <c r="K2760" s="2">
        <f>IFERROR(__xludf.DUMMYFUNCTION("""COMPUTED_VALUE"""),102750.0)</f>
        <v>102750</v>
      </c>
      <c r="L2760" s="2">
        <f>IFERROR(__xludf.DUMMYFUNCTION("""COMPUTED_VALUE"""),56.95161295)</f>
        <v>56.95161295</v>
      </c>
      <c r="M2760" s="2">
        <f>IFERROR(__xludf.DUMMYFUNCTION("""COMPUTED_VALUE"""),24.1224571478615)</f>
        <v>24.12245715</v>
      </c>
    </row>
    <row r="2761">
      <c r="A2761" s="2" t="str">
        <f>IFERROR(__xludf.DUMMYFUNCTION("""COMPUTED_VALUE"""),"For sale")</f>
        <v>For sale</v>
      </c>
      <c r="B2761" s="2" t="str">
        <f>IFERROR(__xludf.DUMMYFUNCTION("""COMPUTED_VALUE"""),"Maskavas priekšpilsēta")</f>
        <v>Maskavas priekšpilsēta</v>
      </c>
      <c r="C2761" s="2" t="str">
        <f>IFERROR(__xludf.DUMMYFUNCTION("""COMPUTED_VALUE"""),"Katoļu 9")</f>
        <v>Katoļu 9</v>
      </c>
      <c r="D2761" s="2">
        <f>IFERROR(__xludf.DUMMYFUNCTION("""COMPUTED_VALUE"""),1.0)</f>
        <v>1</v>
      </c>
      <c r="E2761" s="2">
        <f>IFERROR(__xludf.DUMMYFUNCTION("""COMPUTED_VALUE"""),29.0)</f>
        <v>29</v>
      </c>
      <c r="F2761" s="2">
        <f>IFERROR(__xludf.DUMMYFUNCTION("""COMPUTED_VALUE"""),4.0)</f>
        <v>4</v>
      </c>
      <c r="G2761" s="2">
        <f>IFERROR(__xludf.DUMMYFUNCTION("""COMPUTED_VALUE"""),6.0)</f>
        <v>6</v>
      </c>
      <c r="H2761" s="2" t="str">
        <f>IFERROR(__xludf.DUMMYFUNCTION("""COMPUTED_VALUE"""),"Renov.")</f>
        <v>Renov.</v>
      </c>
      <c r="I2761" s="2" t="str">
        <f>IFERROR(__xludf.DUMMYFUNCTION("""COMPUTED_VALUE"""),"Masonry")</f>
        <v>Masonry</v>
      </c>
      <c r="J2761" s="2" t="str">
        <f>IFERROR(__xludf.DUMMYFUNCTION("""COMPUTED_VALUE"""),"All amenities")</f>
        <v>All amenities</v>
      </c>
      <c r="K2761" s="2">
        <f>IFERROR(__xludf.DUMMYFUNCTION("""COMPUTED_VALUE"""),44500.0)</f>
        <v>44500</v>
      </c>
      <c r="L2761" s="2">
        <f>IFERROR(__xludf.DUMMYFUNCTION("""COMPUTED_VALUE"""),56.94181855)</f>
        <v>56.94181855</v>
      </c>
      <c r="M2761" s="2">
        <f>IFERROR(__xludf.DUMMYFUNCTION("""COMPUTED_VALUE"""),24.136004360151)</f>
        <v>24.13600436</v>
      </c>
    </row>
    <row r="2762">
      <c r="A2762" s="2" t="str">
        <f>IFERROR(__xludf.DUMMYFUNCTION("""COMPUTED_VALUE"""),"For sale")</f>
        <v>For sale</v>
      </c>
      <c r="B2762" s="2" t="str">
        <f>IFERROR(__xludf.DUMMYFUNCTION("""COMPUTED_VALUE"""),"Maskavas priekšpilsēta")</f>
        <v>Maskavas priekšpilsēta</v>
      </c>
      <c r="C2762" s="2" t="str">
        <f>IFERROR(__xludf.DUMMYFUNCTION("""COMPUTED_VALUE"""),"Katoļu 9")</f>
        <v>Katoļu 9</v>
      </c>
      <c r="D2762" s="2">
        <f>IFERROR(__xludf.DUMMYFUNCTION("""COMPUTED_VALUE"""),3.0)</f>
        <v>3</v>
      </c>
      <c r="E2762" s="2">
        <f>IFERROR(__xludf.DUMMYFUNCTION("""COMPUTED_VALUE"""),50.2)</f>
        <v>50.2</v>
      </c>
      <c r="F2762" s="2">
        <f>IFERROR(__xludf.DUMMYFUNCTION("""COMPUTED_VALUE"""),3.0)</f>
        <v>3</v>
      </c>
      <c r="G2762" s="2">
        <f>IFERROR(__xludf.DUMMYFUNCTION("""COMPUTED_VALUE"""),6.0)</f>
        <v>6</v>
      </c>
      <c r="H2762" s="2" t="str">
        <f>IFERROR(__xludf.DUMMYFUNCTION("""COMPUTED_VALUE"""),"Jaun.")</f>
        <v>Jaun.</v>
      </c>
      <c r="I2762" s="2" t="str">
        <f>IFERROR(__xludf.DUMMYFUNCTION("""COMPUTED_VALUE"""),"Masonry")</f>
        <v>Masonry</v>
      </c>
      <c r="J2762" s="2" t="str">
        <f>IFERROR(__xludf.DUMMYFUNCTION("""COMPUTED_VALUE"""),"All amenities")</f>
        <v>All amenities</v>
      </c>
      <c r="K2762" s="2">
        <f>IFERROR(__xludf.DUMMYFUNCTION("""COMPUTED_VALUE"""),69500.0)</f>
        <v>69500</v>
      </c>
      <c r="L2762" s="2">
        <f>IFERROR(__xludf.DUMMYFUNCTION("""COMPUTED_VALUE"""),56.94181855)</f>
        <v>56.94181855</v>
      </c>
      <c r="M2762" s="2">
        <f>IFERROR(__xludf.DUMMYFUNCTION("""COMPUTED_VALUE"""),24.136004360151)</f>
        <v>24.13600436</v>
      </c>
    </row>
    <row r="2763">
      <c r="A2763" s="2" t="str">
        <f>IFERROR(__xludf.DUMMYFUNCTION("""COMPUTED_VALUE"""),"For sale")</f>
        <v>For sale</v>
      </c>
      <c r="B2763" s="2" t="str">
        <f>IFERROR(__xludf.DUMMYFUNCTION("""COMPUTED_VALUE"""),"Jugla")</f>
        <v>Jugla</v>
      </c>
      <c r="C2763" s="2" t="str">
        <f>IFERROR(__xludf.DUMMYFUNCTION("""COMPUTED_VALUE"""),"Lilastes 5")</f>
        <v>Lilastes 5</v>
      </c>
      <c r="D2763" s="2">
        <f>IFERROR(__xludf.DUMMYFUNCTION("""COMPUTED_VALUE"""),3.0)</f>
        <v>3</v>
      </c>
      <c r="E2763" s="2">
        <f>IFERROR(__xludf.DUMMYFUNCTION("""COMPUTED_VALUE"""),57.64)</f>
        <v>57.64</v>
      </c>
      <c r="F2763" s="2">
        <f>IFERROR(__xludf.DUMMYFUNCTION("""COMPUTED_VALUE"""),1.0)</f>
        <v>1</v>
      </c>
      <c r="G2763" s="2">
        <f>IFERROR(__xludf.DUMMYFUNCTION("""COMPUTED_VALUE"""),5.0)</f>
        <v>5</v>
      </c>
      <c r="H2763" s="2" t="str">
        <f>IFERROR(__xludf.DUMMYFUNCTION("""COMPUTED_VALUE"""),"Hrušč.")</f>
        <v>Hrušč.</v>
      </c>
      <c r="I2763" s="2" t="str">
        <f>IFERROR(__xludf.DUMMYFUNCTION("""COMPUTED_VALUE"""),"Brick-Panel")</f>
        <v>Brick-Panel</v>
      </c>
      <c r="J2763" s="2" t="str">
        <f>IFERROR(__xludf.DUMMYFUNCTION("""COMPUTED_VALUE"""),"All amenities")</f>
        <v>All amenities</v>
      </c>
      <c r="K2763" s="2">
        <f>IFERROR(__xludf.DUMMYFUNCTION("""COMPUTED_VALUE"""),45900.0)</f>
        <v>45900</v>
      </c>
      <c r="L2763" s="2">
        <f>IFERROR(__xludf.DUMMYFUNCTION("""COMPUTED_VALUE"""),56.98077435)</f>
        <v>56.98077435</v>
      </c>
      <c r="M2763" s="2">
        <f>IFERROR(__xludf.DUMMYFUNCTION("""COMPUTED_VALUE"""),24.2503451750686)</f>
        <v>24.25034518</v>
      </c>
    </row>
    <row r="2764">
      <c r="A2764" s="2" t="str">
        <f>IFERROR(__xludf.DUMMYFUNCTION("""COMPUTED_VALUE"""),"For sale")</f>
        <v>For sale</v>
      </c>
      <c r="B2764" s="2" t="str">
        <f>IFERROR(__xludf.DUMMYFUNCTION("""COMPUTED_VALUE"""),"centrs")</f>
        <v>centrs</v>
      </c>
      <c r="C2764" s="2" t="str">
        <f>IFERROR(__xludf.DUMMYFUNCTION("""COMPUTED_VALUE"""),"Tallinas 90")</f>
        <v>Tallinas 90</v>
      </c>
      <c r="D2764" s="2">
        <f>IFERROR(__xludf.DUMMYFUNCTION("""COMPUTED_VALUE"""),2.0)</f>
        <v>2</v>
      </c>
      <c r="E2764" s="2">
        <f>IFERROR(__xludf.DUMMYFUNCTION("""COMPUTED_VALUE"""),50.0)</f>
        <v>50</v>
      </c>
      <c r="F2764" s="2">
        <f>IFERROR(__xludf.DUMMYFUNCTION("""COMPUTED_VALUE"""),2.0)</f>
        <v>2</v>
      </c>
      <c r="G2764" s="2">
        <f>IFERROR(__xludf.DUMMYFUNCTION("""COMPUTED_VALUE"""),5.0)</f>
        <v>5</v>
      </c>
      <c r="H2764" s="2" t="str">
        <f>IFERROR(__xludf.DUMMYFUNCTION("""COMPUTED_VALUE"""),"P. kara")</f>
        <v>P. kara</v>
      </c>
      <c r="I2764" s="2" t="str">
        <f>IFERROR(__xludf.DUMMYFUNCTION("""COMPUTED_VALUE"""),"Masonry")</f>
        <v>Masonry</v>
      </c>
      <c r="J2764" s="2" t="str">
        <f>IFERROR(__xludf.DUMMYFUNCTION("""COMPUTED_VALUE"""),"All amenities")</f>
        <v>All amenities</v>
      </c>
      <c r="K2764" s="2">
        <f>IFERROR(__xludf.DUMMYFUNCTION("""COMPUTED_VALUE"""),90000.0)</f>
        <v>90000</v>
      </c>
      <c r="L2764" s="2">
        <f>IFERROR(__xludf.DUMMYFUNCTION("""COMPUTED_VALUE"""),56.9561637)</f>
        <v>56.9561637</v>
      </c>
      <c r="M2764" s="2">
        <f>IFERROR(__xludf.DUMMYFUNCTION("""COMPUTED_VALUE"""),24.1488230999999)</f>
        <v>24.1488231</v>
      </c>
    </row>
    <row r="2765">
      <c r="A2765" s="2" t="str">
        <f>IFERROR(__xludf.DUMMYFUNCTION("""COMPUTED_VALUE"""),"For sale")</f>
        <v>For sale</v>
      </c>
      <c r="B2765" s="2" t="str">
        <f>IFERROR(__xludf.DUMMYFUNCTION("""COMPUTED_VALUE"""),"Vecrīga")</f>
        <v>Vecrīga</v>
      </c>
      <c r="C2765" s="2" t="str">
        <f>IFERROR(__xludf.DUMMYFUNCTION("""COMPUTED_VALUE"""),"Republikas laukums 3")</f>
        <v>Republikas laukums 3</v>
      </c>
      <c r="D2765" s="2">
        <f>IFERROR(__xludf.DUMMYFUNCTION("""COMPUTED_VALUE"""),2.0)</f>
        <v>2</v>
      </c>
      <c r="E2765" s="2">
        <f>IFERROR(__xludf.DUMMYFUNCTION("""COMPUTED_VALUE"""),54.0)</f>
        <v>54</v>
      </c>
      <c r="F2765" s="2">
        <f>IFERROR(__xludf.DUMMYFUNCTION("""COMPUTED_VALUE"""),6.0)</f>
        <v>6</v>
      </c>
      <c r="G2765" s="2">
        <f>IFERROR(__xludf.DUMMYFUNCTION("""COMPUTED_VALUE"""),7.0)</f>
        <v>7</v>
      </c>
      <c r="H2765" s="2" t="str">
        <f>IFERROR(__xludf.DUMMYFUNCTION("""COMPUTED_VALUE"""),"Jaun.")</f>
        <v>Jaun.</v>
      </c>
      <c r="I2765" s="2" t="str">
        <f>IFERROR(__xludf.DUMMYFUNCTION("""COMPUTED_VALUE"""),"Panel")</f>
        <v>Panel</v>
      </c>
      <c r="J2765" s="2" t="str">
        <f>IFERROR(__xludf.DUMMYFUNCTION("""COMPUTED_VALUE"""),"All amenities")</f>
        <v>All amenities</v>
      </c>
      <c r="K2765" s="2">
        <f>IFERROR(__xludf.DUMMYFUNCTION("""COMPUTED_VALUE"""),130000.0)</f>
        <v>130000</v>
      </c>
      <c r="L2765" s="2">
        <f>IFERROR(__xludf.DUMMYFUNCTION("""COMPUTED_VALUE"""),56.9552522)</f>
        <v>56.9552522</v>
      </c>
      <c r="M2765" s="2">
        <f>IFERROR(__xludf.DUMMYFUNCTION("""COMPUTED_VALUE"""),24.0999991251943)</f>
        <v>24.09999913</v>
      </c>
    </row>
    <row r="2766">
      <c r="A2766" s="2" t="str">
        <f>IFERROR(__xludf.DUMMYFUNCTION("""COMPUTED_VALUE"""),"For rent")</f>
        <v>For rent</v>
      </c>
      <c r="B2766" s="2" t="str">
        <f>IFERROR(__xludf.DUMMYFUNCTION("""COMPUTED_VALUE"""),"centrs")</f>
        <v>centrs</v>
      </c>
      <c r="C2766" s="2" t="str">
        <f>IFERROR(__xludf.DUMMYFUNCTION("""COMPUTED_VALUE"""),"Ganu 4")</f>
        <v>Ganu 4</v>
      </c>
      <c r="D2766" s="2">
        <f>IFERROR(__xludf.DUMMYFUNCTION("""COMPUTED_VALUE"""),5.0)</f>
        <v>5</v>
      </c>
      <c r="E2766" s="2">
        <f>IFERROR(__xludf.DUMMYFUNCTION("""COMPUTED_VALUE"""),145.0)</f>
        <v>145</v>
      </c>
      <c r="F2766" s="2">
        <f>IFERROR(__xludf.DUMMYFUNCTION("""COMPUTED_VALUE"""),4.0)</f>
        <v>4</v>
      </c>
      <c r="G2766" s="2">
        <f>IFERROR(__xludf.DUMMYFUNCTION("""COMPUTED_VALUE"""),5.0)</f>
        <v>5</v>
      </c>
      <c r="H2766" s="2" t="str">
        <f>IFERROR(__xludf.DUMMYFUNCTION("""COMPUTED_VALUE"""),"P. kara")</f>
        <v>P. kara</v>
      </c>
      <c r="I2766" s="2" t="str">
        <f>IFERROR(__xludf.DUMMYFUNCTION("""COMPUTED_VALUE"""),"Masonry")</f>
        <v>Masonry</v>
      </c>
      <c r="J2766" s="2" t="str">
        <f>IFERROR(__xludf.DUMMYFUNCTION("""COMPUTED_VALUE"""),"All amenities")</f>
        <v>All amenities</v>
      </c>
      <c r="K2766" s="2">
        <f>IFERROR(__xludf.DUMMYFUNCTION("""COMPUTED_VALUE"""),1400.0)</f>
        <v>1400</v>
      </c>
      <c r="L2766" s="2">
        <f>IFERROR(__xludf.DUMMYFUNCTION("""COMPUTED_VALUE"""),56.9614591499999)</f>
        <v>56.96145915</v>
      </c>
      <c r="M2766" s="2">
        <f>IFERROR(__xludf.DUMMYFUNCTION("""COMPUTED_VALUE"""),24.1092928040999)</f>
        <v>24.1092928</v>
      </c>
    </row>
    <row r="2767">
      <c r="A2767" s="2" t="str">
        <f>IFERROR(__xludf.DUMMYFUNCTION("""COMPUTED_VALUE"""),"For sale")</f>
        <v>For sale</v>
      </c>
      <c r="B2767" s="2" t="str">
        <f>IFERROR(__xludf.DUMMYFUNCTION("""COMPUTED_VALUE"""),"Āgenskalns")</f>
        <v>Āgenskalns</v>
      </c>
      <c r="C2767" s="2" t="str">
        <f>IFERROR(__xludf.DUMMYFUNCTION("""COMPUTED_VALUE"""),"Lielirbes 11")</f>
        <v>Lielirbes 11</v>
      </c>
      <c r="D2767" s="2">
        <f>IFERROR(__xludf.DUMMYFUNCTION("""COMPUTED_VALUE"""),2.0)</f>
        <v>2</v>
      </c>
      <c r="E2767" s="2">
        <f>IFERROR(__xludf.DUMMYFUNCTION("""COMPUTED_VALUE"""),68.0)</f>
        <v>68</v>
      </c>
      <c r="F2767" s="2">
        <f>IFERROR(__xludf.DUMMYFUNCTION("""COMPUTED_VALUE"""),5.0)</f>
        <v>5</v>
      </c>
      <c r="G2767" s="2">
        <f>IFERROR(__xludf.DUMMYFUNCTION("""COMPUTED_VALUE"""),25.0)</f>
        <v>25</v>
      </c>
      <c r="H2767" s="2" t="str">
        <f>IFERROR(__xludf.DUMMYFUNCTION("""COMPUTED_VALUE"""),"Jaun.")</f>
        <v>Jaun.</v>
      </c>
      <c r="I2767" s="2" t="str">
        <f>IFERROR(__xludf.DUMMYFUNCTION("""COMPUTED_VALUE"""),"Brick-Panel")</f>
        <v>Brick-Panel</v>
      </c>
      <c r="J2767" s="2" t="str">
        <f>IFERROR(__xludf.DUMMYFUNCTION("""COMPUTED_VALUE"""),"All amenities")</f>
        <v>All amenities</v>
      </c>
      <c r="K2767" s="2">
        <f>IFERROR(__xludf.DUMMYFUNCTION("""COMPUTED_VALUE"""),108000.0)</f>
        <v>108000</v>
      </c>
      <c r="L2767" s="2">
        <f>IFERROR(__xludf.DUMMYFUNCTION("""COMPUTED_VALUE"""),56.9340645)</f>
        <v>56.9340645</v>
      </c>
      <c r="M2767" s="2">
        <f>IFERROR(__xludf.DUMMYFUNCTION("""COMPUTED_VALUE"""),24.0436381)</f>
        <v>24.0436381</v>
      </c>
    </row>
    <row r="2768">
      <c r="A2768" s="2" t="str">
        <f>IFERROR(__xludf.DUMMYFUNCTION("""COMPUTED_VALUE"""),"For sale")</f>
        <v>For sale</v>
      </c>
      <c r="B2768" s="2" t="str">
        <f>IFERROR(__xludf.DUMMYFUNCTION("""COMPUTED_VALUE"""),"Iļģuciems")</f>
        <v>Iļģuciems</v>
      </c>
      <c r="C2768" s="2" t="str">
        <f>IFERROR(__xludf.DUMMYFUNCTION("""COMPUTED_VALUE"""),"Lilijas 21")</f>
        <v>Lilijas 21</v>
      </c>
      <c r="D2768" s="2">
        <f>IFERROR(__xludf.DUMMYFUNCTION("""COMPUTED_VALUE"""),2.0)</f>
        <v>2</v>
      </c>
      <c r="E2768" s="2">
        <f>IFERROR(__xludf.DUMMYFUNCTION("""COMPUTED_VALUE"""),53.0)</f>
        <v>53</v>
      </c>
      <c r="F2768" s="2">
        <f>IFERROR(__xludf.DUMMYFUNCTION("""COMPUTED_VALUE"""),7.0)</f>
        <v>7</v>
      </c>
      <c r="G2768" s="2">
        <f>IFERROR(__xludf.DUMMYFUNCTION("""COMPUTED_VALUE"""),7.0)</f>
        <v>7</v>
      </c>
      <c r="H2768" s="2" t="str">
        <f>IFERROR(__xludf.DUMMYFUNCTION("""COMPUTED_VALUE"""),"Specpr.")</f>
        <v>Specpr.</v>
      </c>
      <c r="I2768" s="2" t="str">
        <f>IFERROR(__xludf.DUMMYFUNCTION("""COMPUTED_VALUE"""),"Brick-Panel")</f>
        <v>Brick-Panel</v>
      </c>
      <c r="J2768" s="2" t="str">
        <f>IFERROR(__xludf.DUMMYFUNCTION("""COMPUTED_VALUE"""),"All amenities")</f>
        <v>All amenities</v>
      </c>
      <c r="K2768" s="2">
        <f>IFERROR(__xludf.DUMMYFUNCTION("""COMPUTED_VALUE"""),62500.0)</f>
        <v>62500</v>
      </c>
      <c r="L2768" s="2">
        <f>IFERROR(__xludf.DUMMYFUNCTION("""COMPUTED_VALUE"""),56.9645991)</f>
        <v>56.9645991</v>
      </c>
      <c r="M2768" s="2">
        <f>IFERROR(__xludf.DUMMYFUNCTION("""COMPUTED_VALUE"""),24.0620749977842)</f>
        <v>24.062075</v>
      </c>
    </row>
    <row r="2769">
      <c r="A2769" s="2" t="str">
        <f>IFERROR(__xludf.DUMMYFUNCTION("""COMPUTED_VALUE"""),"For sale")</f>
        <v>For sale</v>
      </c>
      <c r="B2769" s="2" t="str">
        <f>IFERROR(__xludf.DUMMYFUNCTION("""COMPUTED_VALUE"""),"Āgenskalns")</f>
        <v>Āgenskalns</v>
      </c>
      <c r="C2769" s="2" t="str">
        <f>IFERROR(__xludf.DUMMYFUNCTION("""COMPUTED_VALUE"""),"Trijādības 2")</f>
        <v>Trijādības 2</v>
      </c>
      <c r="D2769" s="2">
        <f>IFERROR(__xludf.DUMMYFUNCTION("""COMPUTED_VALUE"""),6.0)</f>
        <v>6</v>
      </c>
      <c r="E2769" s="2">
        <f>IFERROR(__xludf.DUMMYFUNCTION("""COMPUTED_VALUE"""),228.0)</f>
        <v>228</v>
      </c>
      <c r="F2769" s="2">
        <f>IFERROR(__xludf.DUMMYFUNCTION("""COMPUTED_VALUE"""),6.0)</f>
        <v>6</v>
      </c>
      <c r="G2769" s="2">
        <f>IFERROR(__xludf.DUMMYFUNCTION("""COMPUTED_VALUE"""),7.0)</f>
        <v>7</v>
      </c>
      <c r="H2769" s="2" t="str">
        <f>IFERROR(__xludf.DUMMYFUNCTION("""COMPUTED_VALUE"""),"Jaun.")</f>
        <v>Jaun.</v>
      </c>
      <c r="I2769" s="2" t="str">
        <f>IFERROR(__xludf.DUMMYFUNCTION("""COMPUTED_VALUE"""),"Masonry")</f>
        <v>Masonry</v>
      </c>
      <c r="J2769" s="2" t="str">
        <f>IFERROR(__xludf.DUMMYFUNCTION("""COMPUTED_VALUE"""),"All amenities")</f>
        <v>All amenities</v>
      </c>
      <c r="K2769" s="2">
        <f>IFERROR(__xludf.DUMMYFUNCTION("""COMPUTED_VALUE"""),225000.0)</f>
        <v>225000</v>
      </c>
      <c r="L2769" s="2">
        <f>IFERROR(__xludf.DUMMYFUNCTION("""COMPUTED_VALUE"""),56.94429185)</f>
        <v>56.94429185</v>
      </c>
      <c r="M2769" s="2">
        <f>IFERROR(__xludf.DUMMYFUNCTION("""COMPUTED_VALUE"""),24.0920730385488)</f>
        <v>24.09207304</v>
      </c>
    </row>
    <row r="2770">
      <c r="A2770" s="2" t="str">
        <f>IFERROR(__xludf.DUMMYFUNCTION("""COMPUTED_VALUE"""),"For sale")</f>
        <v>For sale</v>
      </c>
      <c r="B2770" s="2" t="str">
        <f>IFERROR(__xludf.DUMMYFUNCTION("""COMPUTED_VALUE"""),"Āgenskalns")</f>
        <v>Āgenskalns</v>
      </c>
      <c r="C2770" s="2" t="str">
        <f>IFERROR(__xludf.DUMMYFUNCTION("""COMPUTED_VALUE"""),"Daugavgrīvas 34")</f>
        <v>Daugavgrīvas 34</v>
      </c>
      <c r="D2770" s="2">
        <f>IFERROR(__xludf.DUMMYFUNCTION("""COMPUTED_VALUE"""),4.0)</f>
        <v>4</v>
      </c>
      <c r="E2770" s="2">
        <f>IFERROR(__xludf.DUMMYFUNCTION("""COMPUTED_VALUE"""),61.0)</f>
        <v>61</v>
      </c>
      <c r="F2770" s="2">
        <f>IFERROR(__xludf.DUMMYFUNCTION("""COMPUTED_VALUE"""),1.0)</f>
        <v>1</v>
      </c>
      <c r="G2770" s="2">
        <f>IFERROR(__xludf.DUMMYFUNCTION("""COMPUTED_VALUE"""),2.0)</f>
        <v>2</v>
      </c>
      <c r="H2770" s="2" t="str">
        <f>IFERROR(__xludf.DUMMYFUNCTION("""COMPUTED_VALUE"""),"P. kara")</f>
        <v>P. kara</v>
      </c>
      <c r="I2770" s="2" t="str">
        <f>IFERROR(__xludf.DUMMYFUNCTION("""COMPUTED_VALUE"""),"Wood")</f>
        <v>Wood</v>
      </c>
      <c r="J2770" s="2" t="str">
        <f>IFERROR(__xludf.DUMMYFUNCTION("""COMPUTED_VALUE"""),"All amenities")</f>
        <v>All amenities</v>
      </c>
      <c r="K2770" s="2">
        <f>IFERROR(__xludf.DUMMYFUNCTION("""COMPUTED_VALUE"""),76000.0)</f>
        <v>76000</v>
      </c>
      <c r="L2770" s="2">
        <f>IFERROR(__xludf.DUMMYFUNCTION("""COMPUTED_VALUE"""),57.0164335)</f>
        <v>57.0164335</v>
      </c>
      <c r="M2770" s="2">
        <f>IFERROR(__xludf.DUMMYFUNCTION("""COMPUTED_VALUE"""),24.0628649)</f>
        <v>24.0628649</v>
      </c>
    </row>
    <row r="2771">
      <c r="A2771" s="2" t="str">
        <f>IFERROR(__xludf.DUMMYFUNCTION("""COMPUTED_VALUE"""),"For sale")</f>
        <v>For sale</v>
      </c>
      <c r="B2771" s="2" t="str">
        <f>IFERROR(__xludf.DUMMYFUNCTION("""COMPUTED_VALUE"""),"Zolitūde")</f>
        <v>Zolitūde</v>
      </c>
      <c r="C2771" s="2" t="str">
        <f>IFERROR(__xludf.DUMMYFUNCTION("""COMPUTED_VALUE"""),"Zolitūdes 34")</f>
        <v>Zolitūdes 34</v>
      </c>
      <c r="D2771" s="2">
        <f>IFERROR(__xludf.DUMMYFUNCTION("""COMPUTED_VALUE"""),3.0)</f>
        <v>3</v>
      </c>
      <c r="E2771" s="2">
        <f>IFERROR(__xludf.DUMMYFUNCTION("""COMPUTED_VALUE"""),75.0)</f>
        <v>75</v>
      </c>
      <c r="F2771" s="2">
        <f>IFERROR(__xludf.DUMMYFUNCTION("""COMPUTED_VALUE"""),12.0)</f>
        <v>12</v>
      </c>
      <c r="G2771" s="2">
        <f>IFERROR(__xludf.DUMMYFUNCTION("""COMPUTED_VALUE"""),16.0)</f>
        <v>16</v>
      </c>
      <c r="H2771" s="2">
        <f>IFERROR(__xludf.DUMMYFUNCTION("""COMPUTED_VALUE"""),104.0)</f>
        <v>104</v>
      </c>
      <c r="I2771" s="2" t="str">
        <f>IFERROR(__xludf.DUMMYFUNCTION("""COMPUTED_VALUE"""),"Panel")</f>
        <v>Panel</v>
      </c>
      <c r="J2771" s="2" t="str">
        <f>IFERROR(__xludf.DUMMYFUNCTION("""COMPUTED_VALUE"""),"All amenities")</f>
        <v>All amenities</v>
      </c>
      <c r="K2771" s="2">
        <f>IFERROR(__xludf.DUMMYFUNCTION("""COMPUTED_VALUE"""),68000.0)</f>
        <v>68000</v>
      </c>
      <c r="L2771" s="2">
        <f>IFERROR(__xludf.DUMMYFUNCTION("""COMPUTED_VALUE"""),56.9491401)</f>
        <v>56.9491401</v>
      </c>
      <c r="M2771" s="2">
        <f>IFERROR(__xludf.DUMMYFUNCTION("""COMPUTED_VALUE"""),23.9998514)</f>
        <v>23.9998514</v>
      </c>
    </row>
    <row r="2772">
      <c r="A2772" s="2" t="str">
        <f>IFERROR(__xludf.DUMMYFUNCTION("""COMPUTED_VALUE"""),"For sale")</f>
        <v>For sale</v>
      </c>
      <c r="B2772" s="2" t="str">
        <f>IFERROR(__xludf.DUMMYFUNCTION("""COMPUTED_VALUE"""),"Āgenskalns")</f>
        <v>Āgenskalns</v>
      </c>
      <c r="C2772" s="2" t="str">
        <f>IFERROR(__xludf.DUMMYFUNCTION("""COMPUTED_VALUE"""),"Kalnciema 57a")</f>
        <v>Kalnciema 57a</v>
      </c>
      <c r="D2772" s="2">
        <f>IFERROR(__xludf.DUMMYFUNCTION("""COMPUTED_VALUE"""),2.0)</f>
        <v>2</v>
      </c>
      <c r="E2772" s="2">
        <f>IFERROR(__xludf.DUMMYFUNCTION("""COMPUTED_VALUE"""),43.0)</f>
        <v>43</v>
      </c>
      <c r="F2772" s="2">
        <f>IFERROR(__xludf.DUMMYFUNCTION("""COMPUTED_VALUE"""),1.0)</f>
        <v>1</v>
      </c>
      <c r="G2772" s="2">
        <f>IFERROR(__xludf.DUMMYFUNCTION("""COMPUTED_VALUE"""),4.0)</f>
        <v>4</v>
      </c>
      <c r="H2772" s="2" t="str">
        <f>IFERROR(__xludf.DUMMYFUNCTION("""COMPUTED_VALUE"""),"Hrušč.")</f>
        <v>Hrušč.</v>
      </c>
      <c r="I2772" s="2" t="str">
        <f>IFERROR(__xludf.DUMMYFUNCTION("""COMPUTED_VALUE"""),"Brick")</f>
        <v>Brick</v>
      </c>
      <c r="J2772" s="2" t="str">
        <f>IFERROR(__xludf.DUMMYFUNCTION("""COMPUTED_VALUE"""),"All amenities")</f>
        <v>All amenities</v>
      </c>
      <c r="K2772" s="2">
        <f>IFERROR(__xludf.DUMMYFUNCTION("""COMPUTED_VALUE"""),41800.0)</f>
        <v>41800</v>
      </c>
      <c r="L2772" s="2">
        <f>IFERROR(__xludf.DUMMYFUNCTION("""COMPUTED_VALUE"""),56.94143975)</f>
        <v>56.94143975</v>
      </c>
      <c r="M2772" s="2">
        <f>IFERROR(__xludf.DUMMYFUNCTION("""COMPUTED_VALUE"""),24.05811295)</f>
        <v>24.05811295</v>
      </c>
    </row>
    <row r="2773">
      <c r="A2773" s="2" t="str">
        <f>IFERROR(__xludf.DUMMYFUNCTION("""COMPUTED_VALUE"""),"For rent")</f>
        <v>For rent</v>
      </c>
      <c r="B2773" s="2" t="str">
        <f>IFERROR(__xludf.DUMMYFUNCTION("""COMPUTED_VALUE"""),"centrs")</f>
        <v>centrs</v>
      </c>
      <c r="C2773" s="2" t="str">
        <f>IFERROR(__xludf.DUMMYFUNCTION("""COMPUTED_VALUE"""),"Vīlandes 7")</f>
        <v>Vīlandes 7</v>
      </c>
      <c r="D2773" s="2">
        <f>IFERROR(__xludf.DUMMYFUNCTION("""COMPUTED_VALUE"""),6.0)</f>
        <v>6</v>
      </c>
      <c r="E2773" s="2">
        <f>IFERROR(__xludf.DUMMYFUNCTION("""COMPUTED_VALUE"""),189.0)</f>
        <v>189</v>
      </c>
      <c r="F2773" s="2">
        <f>IFERROR(__xludf.DUMMYFUNCTION("""COMPUTED_VALUE"""),1.0)</f>
        <v>1</v>
      </c>
      <c r="G2773" s="2">
        <f>IFERROR(__xludf.DUMMYFUNCTION("""COMPUTED_VALUE"""),5.0)</f>
        <v>5</v>
      </c>
      <c r="H2773" s="2" t="str">
        <f>IFERROR(__xludf.DUMMYFUNCTION("""COMPUTED_VALUE"""),"Renov.")</f>
        <v>Renov.</v>
      </c>
      <c r="I2773" s="2" t="str">
        <f>IFERROR(__xludf.DUMMYFUNCTION("""COMPUTED_VALUE"""),"Brick")</f>
        <v>Brick</v>
      </c>
      <c r="J2773" s="2" t="str">
        <f>IFERROR(__xludf.DUMMYFUNCTION("""COMPUTED_VALUE"""),"All amenities")</f>
        <v>All amenities</v>
      </c>
      <c r="K2773" s="2">
        <f>IFERROR(__xludf.DUMMYFUNCTION("""COMPUTED_VALUE"""),900.0)</f>
        <v>900</v>
      </c>
      <c r="L2773" s="2">
        <f>IFERROR(__xludf.DUMMYFUNCTION("""COMPUTED_VALUE"""),56.9602579)</f>
        <v>56.9602579</v>
      </c>
      <c r="M2773" s="2">
        <f>IFERROR(__xludf.DUMMYFUNCTION("""COMPUTED_VALUE"""),24.1013204)</f>
        <v>24.1013204</v>
      </c>
    </row>
    <row r="2774">
      <c r="A2774" s="2" t="str">
        <f>IFERROR(__xludf.DUMMYFUNCTION("""COMPUTED_VALUE"""),"For sale")</f>
        <v>For sale</v>
      </c>
      <c r="B2774" s="2" t="str">
        <f>IFERROR(__xludf.DUMMYFUNCTION("""COMPUTED_VALUE"""),"Āgenskalns")</f>
        <v>Āgenskalns</v>
      </c>
      <c r="C2774" s="2" t="str">
        <f>IFERROR(__xludf.DUMMYFUNCTION("""COMPUTED_VALUE"""),"Kalnciema 116c")</f>
        <v>Kalnciema 116c</v>
      </c>
      <c r="D2774" s="2">
        <f>IFERROR(__xludf.DUMMYFUNCTION("""COMPUTED_VALUE"""),2.0)</f>
        <v>2</v>
      </c>
      <c r="E2774" s="2">
        <f>IFERROR(__xludf.DUMMYFUNCTION("""COMPUTED_VALUE"""),40.0)</f>
        <v>40</v>
      </c>
      <c r="F2774" s="2">
        <f>IFERROR(__xludf.DUMMYFUNCTION("""COMPUTED_VALUE"""),3.0)</f>
        <v>3</v>
      </c>
      <c r="G2774" s="2">
        <f>IFERROR(__xludf.DUMMYFUNCTION("""COMPUTED_VALUE"""),4.0)</f>
        <v>4</v>
      </c>
      <c r="H2774" s="2" t="str">
        <f>IFERROR(__xludf.DUMMYFUNCTION("""COMPUTED_VALUE"""),"Hrušč.")</f>
        <v>Hrušč.</v>
      </c>
      <c r="I2774" s="2" t="str">
        <f>IFERROR(__xludf.DUMMYFUNCTION("""COMPUTED_VALUE"""),"Brick")</f>
        <v>Brick</v>
      </c>
      <c r="J2774" s="2" t="str">
        <f>IFERROR(__xludf.DUMMYFUNCTION("""COMPUTED_VALUE"""),"All amenities")</f>
        <v>All amenities</v>
      </c>
      <c r="K2774" s="2">
        <f>IFERROR(__xludf.DUMMYFUNCTION("""COMPUTED_VALUE"""),34000.0)</f>
        <v>34000</v>
      </c>
      <c r="L2774" s="2">
        <f>IFERROR(__xludf.DUMMYFUNCTION("""COMPUTED_VALUE"""),56.9350026)</f>
        <v>56.9350026</v>
      </c>
      <c r="M2774" s="2">
        <f>IFERROR(__xludf.DUMMYFUNCTION("""COMPUTED_VALUE"""),24.0379815500343)</f>
        <v>24.03798155</v>
      </c>
    </row>
    <row r="2775">
      <c r="A2775" s="2" t="str">
        <f>IFERROR(__xludf.DUMMYFUNCTION("""COMPUTED_VALUE"""),"For sale")</f>
        <v>For sale</v>
      </c>
      <c r="B2775" s="2" t="str">
        <f>IFERROR(__xludf.DUMMYFUNCTION("""COMPUTED_VALUE"""),"Šampēteris-Pleskodāle")</f>
        <v>Šampēteris-Pleskodāle</v>
      </c>
      <c r="C2775" s="2" t="str">
        <f>IFERROR(__xludf.DUMMYFUNCTION("""COMPUTED_VALUE"""),"Kalnciema 116c")</f>
        <v>Kalnciema 116c</v>
      </c>
      <c r="D2775" s="2">
        <f>IFERROR(__xludf.DUMMYFUNCTION("""COMPUTED_VALUE"""),2.0)</f>
        <v>2</v>
      </c>
      <c r="E2775" s="2">
        <f>IFERROR(__xludf.DUMMYFUNCTION("""COMPUTED_VALUE"""),40.0)</f>
        <v>40</v>
      </c>
      <c r="F2775" s="2">
        <f>IFERROR(__xludf.DUMMYFUNCTION("""COMPUTED_VALUE"""),3.0)</f>
        <v>3</v>
      </c>
      <c r="G2775" s="2">
        <f>IFERROR(__xludf.DUMMYFUNCTION("""COMPUTED_VALUE"""),4.0)</f>
        <v>4</v>
      </c>
      <c r="H2775" s="2" t="str">
        <f>IFERROR(__xludf.DUMMYFUNCTION("""COMPUTED_VALUE"""),"Hrušč.")</f>
        <v>Hrušč.</v>
      </c>
      <c r="I2775" s="2" t="str">
        <f>IFERROR(__xludf.DUMMYFUNCTION("""COMPUTED_VALUE"""),"Brick")</f>
        <v>Brick</v>
      </c>
      <c r="J2775" s="2" t="str">
        <f>IFERROR(__xludf.DUMMYFUNCTION("""COMPUTED_VALUE"""),"All amenities")</f>
        <v>All amenities</v>
      </c>
      <c r="K2775" s="2">
        <f>IFERROR(__xludf.DUMMYFUNCTION("""COMPUTED_VALUE"""),34000.0)</f>
        <v>34000</v>
      </c>
      <c r="L2775" s="2">
        <f>IFERROR(__xludf.DUMMYFUNCTION("""COMPUTED_VALUE"""),56.9350026)</f>
        <v>56.9350026</v>
      </c>
      <c r="M2775" s="2">
        <f>IFERROR(__xludf.DUMMYFUNCTION("""COMPUTED_VALUE"""),24.0379815500343)</f>
        <v>24.03798155</v>
      </c>
    </row>
    <row r="2776">
      <c r="A2776" s="2" t="str">
        <f>IFERROR(__xludf.DUMMYFUNCTION("""COMPUTED_VALUE"""),"For sale")</f>
        <v>For sale</v>
      </c>
      <c r="B2776" s="2" t="str">
        <f>IFERROR(__xludf.DUMMYFUNCTION("""COMPUTED_VALUE"""),"centrs")</f>
        <v>centrs</v>
      </c>
      <c r="C2776" s="2" t="str">
        <f>IFERROR(__xludf.DUMMYFUNCTION("""COMPUTED_VALUE"""),"Rūpniecības 21")</f>
        <v>Rūpniecības 21</v>
      </c>
      <c r="D2776" s="2">
        <f>IFERROR(__xludf.DUMMYFUNCTION("""COMPUTED_VALUE"""),4.0)</f>
        <v>4</v>
      </c>
      <c r="E2776" s="2">
        <f>IFERROR(__xludf.DUMMYFUNCTION("""COMPUTED_VALUE"""),170.0)</f>
        <v>170</v>
      </c>
      <c r="F2776" s="2">
        <f>IFERROR(__xludf.DUMMYFUNCTION("""COMPUTED_VALUE"""),6.0)</f>
        <v>6</v>
      </c>
      <c r="G2776" s="2">
        <f>IFERROR(__xludf.DUMMYFUNCTION("""COMPUTED_VALUE"""),7.0)</f>
        <v>7</v>
      </c>
      <c r="H2776" s="2" t="str">
        <f>IFERROR(__xludf.DUMMYFUNCTION("""COMPUTED_VALUE"""),"Jaun.")</f>
        <v>Jaun.</v>
      </c>
      <c r="I2776" s="2" t="str">
        <f>IFERROR(__xludf.DUMMYFUNCTION("""COMPUTED_VALUE"""),"Brick-Panel")</f>
        <v>Brick-Panel</v>
      </c>
      <c r="J2776" s="2" t="str">
        <f>IFERROR(__xludf.DUMMYFUNCTION("""COMPUTED_VALUE"""),"All amenities")</f>
        <v>All amenities</v>
      </c>
      <c r="K2776" s="2">
        <f>IFERROR(__xludf.DUMMYFUNCTION("""COMPUTED_VALUE"""),430000.0)</f>
        <v>430000</v>
      </c>
      <c r="L2776" s="2">
        <f>IFERROR(__xludf.DUMMYFUNCTION("""COMPUTED_VALUE"""),56.9660465)</f>
        <v>56.9660465</v>
      </c>
      <c r="M2776" s="2">
        <f>IFERROR(__xludf.DUMMYFUNCTION("""COMPUTED_VALUE"""),24.1019662)</f>
        <v>24.1019662</v>
      </c>
    </row>
    <row r="2777">
      <c r="A2777" s="2" t="str">
        <f>IFERROR(__xludf.DUMMYFUNCTION("""COMPUTED_VALUE"""),"For sale")</f>
        <v>For sale</v>
      </c>
      <c r="B2777" s="2" t="str">
        <f>IFERROR(__xludf.DUMMYFUNCTION("""COMPUTED_VALUE"""),"Āgenskalns")</f>
        <v>Āgenskalns</v>
      </c>
      <c r="C2777" s="2" t="str">
        <f>IFERROR(__xludf.DUMMYFUNCTION("""COMPUTED_VALUE"""),"Sabiles 8")</f>
        <v>Sabiles 8</v>
      </c>
      <c r="D2777" s="2">
        <f>IFERROR(__xludf.DUMMYFUNCTION("""COMPUTED_VALUE"""),4.0)</f>
        <v>4</v>
      </c>
      <c r="E2777" s="2">
        <f>IFERROR(__xludf.DUMMYFUNCTION("""COMPUTED_VALUE"""),101.0)</f>
        <v>101</v>
      </c>
      <c r="F2777" s="2">
        <f>IFERROR(__xludf.DUMMYFUNCTION("""COMPUTED_VALUE"""),3.0)</f>
        <v>3</v>
      </c>
      <c r="G2777" s="2">
        <f>IFERROR(__xludf.DUMMYFUNCTION("""COMPUTED_VALUE"""),3.0)</f>
        <v>3</v>
      </c>
      <c r="H2777" s="2" t="str">
        <f>IFERROR(__xludf.DUMMYFUNCTION("""COMPUTED_VALUE"""),"Jaun.")</f>
        <v>Jaun.</v>
      </c>
      <c r="I2777" s="2" t="str">
        <f>IFERROR(__xludf.DUMMYFUNCTION("""COMPUTED_VALUE"""),"Masonry")</f>
        <v>Masonry</v>
      </c>
      <c r="J2777" s="2" t="str">
        <f>IFERROR(__xludf.DUMMYFUNCTION("""COMPUTED_VALUE"""),"All amenities")</f>
        <v>All amenities</v>
      </c>
      <c r="K2777" s="2">
        <f>IFERROR(__xludf.DUMMYFUNCTION("""COMPUTED_VALUE"""),172500.0)</f>
        <v>172500</v>
      </c>
      <c r="L2777" s="2">
        <f>IFERROR(__xludf.DUMMYFUNCTION("""COMPUTED_VALUE"""),56.9394528)</f>
        <v>56.9394528</v>
      </c>
      <c r="M2777" s="2">
        <f>IFERROR(__xludf.DUMMYFUNCTION("""COMPUTED_VALUE"""),24.0668604)</f>
        <v>24.0668604</v>
      </c>
    </row>
    <row r="2778">
      <c r="A2778" s="2" t="str">
        <f>IFERROR(__xludf.DUMMYFUNCTION("""COMPUTED_VALUE"""),"For sale")</f>
        <v>For sale</v>
      </c>
      <c r="B2778" s="2" t="str">
        <f>IFERROR(__xludf.DUMMYFUNCTION("""COMPUTED_VALUE"""),"Imanta")</f>
        <v>Imanta</v>
      </c>
      <c r="C2778" s="2" t="str">
        <f>IFERROR(__xludf.DUMMYFUNCTION("""COMPUTED_VALUE"""),"Jūrmalas g. 92")</f>
        <v>Jūrmalas g. 92</v>
      </c>
      <c r="D2778" s="2">
        <f>IFERROR(__xludf.DUMMYFUNCTION("""COMPUTED_VALUE"""),4.0)</f>
        <v>4</v>
      </c>
      <c r="E2778" s="2">
        <f>IFERROR(__xludf.DUMMYFUNCTION("""COMPUTED_VALUE"""),77.7)</f>
        <v>77.7</v>
      </c>
      <c r="F2778" s="2">
        <f>IFERROR(__xludf.DUMMYFUNCTION("""COMPUTED_VALUE"""),3.0)</f>
        <v>3</v>
      </c>
      <c r="G2778" s="2">
        <f>IFERROR(__xludf.DUMMYFUNCTION("""COMPUTED_VALUE"""),9.0)</f>
        <v>9</v>
      </c>
      <c r="H2778" s="2" t="str">
        <f>IFERROR(__xludf.DUMMYFUNCTION("""COMPUTED_VALUE"""),"Jaun.")</f>
        <v>Jaun.</v>
      </c>
      <c r="I2778" s="2" t="str">
        <f>IFERROR(__xludf.DUMMYFUNCTION("""COMPUTED_VALUE"""),"Panel")</f>
        <v>Panel</v>
      </c>
      <c r="J2778" s="2" t="str">
        <f>IFERROR(__xludf.DUMMYFUNCTION("""COMPUTED_VALUE"""),"All amenities")</f>
        <v>All amenities</v>
      </c>
      <c r="K2778" s="2">
        <f>IFERROR(__xludf.DUMMYFUNCTION("""COMPUTED_VALUE"""),159950.0)</f>
        <v>159950</v>
      </c>
      <c r="L2778" s="2">
        <f>IFERROR(__xludf.DUMMYFUNCTION("""COMPUTED_VALUE"""),56.9520352499999)</f>
        <v>56.95203525</v>
      </c>
      <c r="M2778" s="2">
        <f>IFERROR(__xludf.DUMMYFUNCTION("""COMPUTED_VALUE"""),24.0038532251639)</f>
        <v>24.00385323</v>
      </c>
    </row>
    <row r="2779">
      <c r="A2779" s="2" t="str">
        <f>IFERROR(__xludf.DUMMYFUNCTION("""COMPUTED_VALUE"""),"For sale")</f>
        <v>For sale</v>
      </c>
      <c r="B2779" s="2" t="str">
        <f>IFERROR(__xludf.DUMMYFUNCTION("""COMPUTED_VALUE"""),"Imanta")</f>
        <v>Imanta</v>
      </c>
      <c r="C2779" s="2" t="str">
        <f>IFERROR(__xludf.DUMMYFUNCTION("""COMPUTED_VALUE"""),"Jūrmalas g. 92")</f>
        <v>Jūrmalas g. 92</v>
      </c>
      <c r="D2779" s="2">
        <f>IFERROR(__xludf.DUMMYFUNCTION("""COMPUTED_VALUE"""),3.0)</f>
        <v>3</v>
      </c>
      <c r="E2779" s="2">
        <f>IFERROR(__xludf.DUMMYFUNCTION("""COMPUTED_VALUE"""),60.2)</f>
        <v>60.2</v>
      </c>
      <c r="F2779" s="2">
        <f>IFERROR(__xludf.DUMMYFUNCTION("""COMPUTED_VALUE"""),3.0)</f>
        <v>3</v>
      </c>
      <c r="G2779" s="2">
        <f>IFERROR(__xludf.DUMMYFUNCTION("""COMPUTED_VALUE"""),9.0)</f>
        <v>9</v>
      </c>
      <c r="H2779" s="2" t="str">
        <f>IFERROR(__xludf.DUMMYFUNCTION("""COMPUTED_VALUE"""),"Jaun.")</f>
        <v>Jaun.</v>
      </c>
      <c r="I2779" s="2" t="str">
        <f>IFERROR(__xludf.DUMMYFUNCTION("""COMPUTED_VALUE"""),"Panel")</f>
        <v>Panel</v>
      </c>
      <c r="J2779" s="2" t="str">
        <f>IFERROR(__xludf.DUMMYFUNCTION("""COMPUTED_VALUE"""),"All amenities")</f>
        <v>All amenities</v>
      </c>
      <c r="K2779" s="2">
        <f>IFERROR(__xludf.DUMMYFUNCTION("""COMPUTED_VALUE"""),129999.0)</f>
        <v>129999</v>
      </c>
      <c r="L2779" s="2">
        <f>IFERROR(__xludf.DUMMYFUNCTION("""COMPUTED_VALUE"""),56.9520352499999)</f>
        <v>56.95203525</v>
      </c>
      <c r="M2779" s="2">
        <f>IFERROR(__xludf.DUMMYFUNCTION("""COMPUTED_VALUE"""),24.0038532251639)</f>
        <v>24.00385323</v>
      </c>
    </row>
    <row r="2780">
      <c r="A2780" s="2" t="str">
        <f>IFERROR(__xludf.DUMMYFUNCTION("""COMPUTED_VALUE"""),"For sale")</f>
        <v>For sale</v>
      </c>
      <c r="B2780" s="2" t="str">
        <f>IFERROR(__xludf.DUMMYFUNCTION("""COMPUTED_VALUE"""),"Imanta")</f>
        <v>Imanta</v>
      </c>
      <c r="C2780" s="2" t="str">
        <f>IFERROR(__xludf.DUMMYFUNCTION("""COMPUTED_VALUE"""),"Jūrmalas g. 92")</f>
        <v>Jūrmalas g. 92</v>
      </c>
      <c r="D2780" s="2">
        <f>IFERROR(__xludf.DUMMYFUNCTION("""COMPUTED_VALUE"""),2.0)</f>
        <v>2</v>
      </c>
      <c r="E2780" s="2">
        <f>IFERROR(__xludf.DUMMYFUNCTION("""COMPUTED_VALUE"""),45.0)</f>
        <v>45</v>
      </c>
      <c r="F2780" s="2">
        <f>IFERROR(__xludf.DUMMYFUNCTION("""COMPUTED_VALUE"""),3.0)</f>
        <v>3</v>
      </c>
      <c r="G2780" s="2">
        <f>IFERROR(__xludf.DUMMYFUNCTION("""COMPUTED_VALUE"""),9.0)</f>
        <v>9</v>
      </c>
      <c r="H2780" s="2" t="str">
        <f>IFERROR(__xludf.DUMMYFUNCTION("""COMPUTED_VALUE"""),"Jaun.")</f>
        <v>Jaun.</v>
      </c>
      <c r="I2780" s="2" t="str">
        <f>IFERROR(__xludf.DUMMYFUNCTION("""COMPUTED_VALUE"""),"Panel")</f>
        <v>Panel</v>
      </c>
      <c r="J2780" s="2" t="str">
        <f>IFERROR(__xludf.DUMMYFUNCTION("""COMPUTED_VALUE"""),"All amenities")</f>
        <v>All amenities</v>
      </c>
      <c r="K2780" s="2">
        <f>IFERROR(__xludf.DUMMYFUNCTION("""COMPUTED_VALUE"""),95500.0)</f>
        <v>95500</v>
      </c>
      <c r="L2780" s="2">
        <f>IFERROR(__xludf.DUMMYFUNCTION("""COMPUTED_VALUE"""),56.9520352499999)</f>
        <v>56.95203525</v>
      </c>
      <c r="M2780" s="2">
        <f>IFERROR(__xludf.DUMMYFUNCTION("""COMPUTED_VALUE"""),24.0038532251639)</f>
        <v>24.00385323</v>
      </c>
    </row>
    <row r="2781">
      <c r="A2781" s="2" t="str">
        <f>IFERROR(__xludf.DUMMYFUNCTION("""COMPUTED_VALUE"""),"For sale")</f>
        <v>For sale</v>
      </c>
      <c r="B2781" s="2" t="str">
        <f>IFERROR(__xludf.DUMMYFUNCTION("""COMPUTED_VALUE"""),"centrs")</f>
        <v>centrs</v>
      </c>
      <c r="C2781" s="2" t="str">
        <f>IFERROR(__xludf.DUMMYFUNCTION("""COMPUTED_VALUE"""),"Antonijas 15")</f>
        <v>Antonijas 15</v>
      </c>
      <c r="D2781" s="2">
        <f>IFERROR(__xludf.DUMMYFUNCTION("""COMPUTED_VALUE"""),2.0)</f>
        <v>2</v>
      </c>
      <c r="E2781" s="2">
        <f>IFERROR(__xludf.DUMMYFUNCTION("""COMPUTED_VALUE"""),35.0)</f>
        <v>35</v>
      </c>
      <c r="F2781" s="2">
        <f>IFERROR(__xludf.DUMMYFUNCTION("""COMPUTED_VALUE"""),2.0)</f>
        <v>2</v>
      </c>
      <c r="G2781" s="2">
        <f>IFERROR(__xludf.DUMMYFUNCTION("""COMPUTED_VALUE"""),5.0)</f>
        <v>5</v>
      </c>
      <c r="H2781" s="2" t="str">
        <f>IFERROR(__xludf.DUMMYFUNCTION("""COMPUTED_VALUE"""),"P. kara")</f>
        <v>P. kara</v>
      </c>
      <c r="I2781" s="2" t="str">
        <f>IFERROR(__xludf.DUMMYFUNCTION("""COMPUTED_VALUE"""),"Masonry")</f>
        <v>Masonry</v>
      </c>
      <c r="J2781" s="2" t="str">
        <f>IFERROR(__xludf.DUMMYFUNCTION("""COMPUTED_VALUE"""),"All amenities")</f>
        <v>All amenities</v>
      </c>
      <c r="K2781" s="2">
        <f>IFERROR(__xludf.DUMMYFUNCTION("""COMPUTED_VALUE"""),89900.0)</f>
        <v>89900</v>
      </c>
      <c r="L2781" s="2">
        <f>IFERROR(__xludf.DUMMYFUNCTION("""COMPUTED_VALUE"""),56.95954305)</f>
        <v>56.95954305</v>
      </c>
      <c r="M2781" s="2">
        <f>IFERROR(__xludf.DUMMYFUNCTION("""COMPUTED_VALUE"""),24.1128740830288)</f>
        <v>24.11287408</v>
      </c>
    </row>
    <row r="2782">
      <c r="A2782" s="2" t="str">
        <f>IFERROR(__xludf.DUMMYFUNCTION("""COMPUTED_VALUE"""),"For sale")</f>
        <v>For sale</v>
      </c>
      <c r="B2782" s="2" t="str">
        <f>IFERROR(__xludf.DUMMYFUNCTION("""COMPUTED_VALUE"""),"Imanta")</f>
        <v>Imanta</v>
      </c>
      <c r="C2782" s="2" t="str">
        <f>IFERROR(__xludf.DUMMYFUNCTION("""COMPUTED_VALUE"""),"Akāciju 2d")</f>
        <v>Akāciju 2d</v>
      </c>
      <c r="D2782" s="2">
        <f>IFERROR(__xludf.DUMMYFUNCTION("""COMPUTED_VALUE"""),2.0)</f>
        <v>2</v>
      </c>
      <c r="E2782" s="2">
        <f>IFERROR(__xludf.DUMMYFUNCTION("""COMPUTED_VALUE"""),45.0)</f>
        <v>45</v>
      </c>
      <c r="F2782" s="2">
        <f>IFERROR(__xludf.DUMMYFUNCTION("""COMPUTED_VALUE"""),6.0)</f>
        <v>6</v>
      </c>
      <c r="G2782" s="2">
        <f>IFERROR(__xludf.DUMMYFUNCTION("""COMPUTED_VALUE"""),9.0)</f>
        <v>9</v>
      </c>
      <c r="H2782" s="2" t="str">
        <f>IFERROR(__xludf.DUMMYFUNCTION("""COMPUTED_VALUE"""),"Jaun.")</f>
        <v>Jaun.</v>
      </c>
      <c r="I2782" s="2" t="str">
        <f>IFERROR(__xludf.DUMMYFUNCTION("""COMPUTED_VALUE"""),"Panel")</f>
        <v>Panel</v>
      </c>
      <c r="J2782" s="2" t="str">
        <f>IFERROR(__xludf.DUMMYFUNCTION("""COMPUTED_VALUE"""),"All amenities")</f>
        <v>All amenities</v>
      </c>
      <c r="K2782" s="2">
        <f>IFERROR(__xludf.DUMMYFUNCTION("""COMPUTED_VALUE"""),78369.0)</f>
        <v>78369</v>
      </c>
      <c r="L2782" s="2">
        <f>IFERROR(__xludf.DUMMYFUNCTION("""COMPUTED_VALUE"""),56.9514132)</f>
        <v>56.9514132</v>
      </c>
      <c r="M2782" s="2">
        <f>IFERROR(__xludf.DUMMYFUNCTION("""COMPUTED_VALUE"""),24.0038761753746)</f>
        <v>24.00387618</v>
      </c>
    </row>
    <row r="2783">
      <c r="A2783" s="2" t="str">
        <f>IFERROR(__xludf.DUMMYFUNCTION("""COMPUTED_VALUE"""),"For rent")</f>
        <v>For rent</v>
      </c>
      <c r="B2783" s="2" t="str">
        <f>IFERROR(__xludf.DUMMYFUNCTION("""COMPUTED_VALUE"""),"centrs")</f>
        <v>centrs</v>
      </c>
      <c r="C2783" s="2" t="str">
        <f>IFERROR(__xludf.DUMMYFUNCTION("""COMPUTED_VALUE"""),"Rūpniecības 1")</f>
        <v>Rūpniecības 1</v>
      </c>
      <c r="D2783" s="2">
        <f>IFERROR(__xludf.DUMMYFUNCTION("""COMPUTED_VALUE"""),2.0)</f>
        <v>2</v>
      </c>
      <c r="E2783" s="2">
        <f>IFERROR(__xludf.DUMMYFUNCTION("""COMPUTED_VALUE"""),56.0)</f>
        <v>56</v>
      </c>
      <c r="F2783" s="2">
        <f>IFERROR(__xludf.DUMMYFUNCTION("""COMPUTED_VALUE"""),2.0)</f>
        <v>2</v>
      </c>
      <c r="G2783" s="2">
        <f>IFERROR(__xludf.DUMMYFUNCTION("""COMPUTED_VALUE"""),6.0)</f>
        <v>6</v>
      </c>
      <c r="H2783" s="2" t="str">
        <f>IFERROR(__xludf.DUMMYFUNCTION("""COMPUTED_VALUE"""),"Renov.")</f>
        <v>Renov.</v>
      </c>
      <c r="I2783" s="2" t="str">
        <f>IFERROR(__xludf.DUMMYFUNCTION("""COMPUTED_VALUE"""),"Masonry")</f>
        <v>Masonry</v>
      </c>
      <c r="J2783" s="2" t="str">
        <f>IFERROR(__xludf.DUMMYFUNCTION("""COMPUTED_VALUE"""),"All amenities")</f>
        <v>All amenities</v>
      </c>
      <c r="K2783" s="2">
        <f>IFERROR(__xludf.DUMMYFUNCTION("""COMPUTED_VALUE"""),1200.0)</f>
        <v>1200</v>
      </c>
      <c r="L2783" s="2">
        <f>IFERROR(__xludf.DUMMYFUNCTION("""COMPUTED_VALUE"""),56.9591583)</f>
        <v>56.9591583</v>
      </c>
      <c r="M2783" s="2">
        <f>IFERROR(__xludf.DUMMYFUNCTION("""COMPUTED_VALUE"""),24.1026741144114)</f>
        <v>24.10267411</v>
      </c>
    </row>
    <row r="2784">
      <c r="A2784" s="2" t="str">
        <f>IFERROR(__xludf.DUMMYFUNCTION("""COMPUTED_VALUE"""),"For sale")</f>
        <v>For sale</v>
      </c>
      <c r="B2784" s="2" t="str">
        <f>IFERROR(__xludf.DUMMYFUNCTION("""COMPUTED_VALUE"""),"Vecmīlgrāvis")</f>
        <v>Vecmīlgrāvis</v>
      </c>
      <c r="C2784" s="2" t="str">
        <f>IFERROR(__xludf.DUMMYFUNCTION("""COMPUTED_VALUE"""),"Ledus 2")</f>
        <v>Ledus 2</v>
      </c>
      <c r="D2784" s="2">
        <f>IFERROR(__xludf.DUMMYFUNCTION("""COMPUTED_VALUE"""),1.0)</f>
        <v>1</v>
      </c>
      <c r="E2784" s="2">
        <f>IFERROR(__xludf.DUMMYFUNCTION("""COMPUTED_VALUE"""),35.0)</f>
        <v>35</v>
      </c>
      <c r="F2784" s="2">
        <f>IFERROR(__xludf.DUMMYFUNCTION("""COMPUTED_VALUE"""),2.0)</f>
        <v>2</v>
      </c>
      <c r="G2784" s="2">
        <f>IFERROR(__xludf.DUMMYFUNCTION("""COMPUTED_VALUE"""),9.0)</f>
        <v>9</v>
      </c>
      <c r="H2784" s="2">
        <f>IFERROR(__xludf.DUMMYFUNCTION("""COMPUTED_VALUE"""),602.0)</f>
        <v>602</v>
      </c>
      <c r="I2784" s="2" t="str">
        <f>IFERROR(__xludf.DUMMYFUNCTION("""COMPUTED_VALUE"""),"Panel")</f>
        <v>Panel</v>
      </c>
      <c r="J2784" s="2" t="str">
        <f>IFERROR(__xludf.DUMMYFUNCTION("""COMPUTED_VALUE"""),"All amenities")</f>
        <v>All amenities</v>
      </c>
      <c r="K2784" s="2">
        <f>IFERROR(__xludf.DUMMYFUNCTION("""COMPUTED_VALUE"""),36000.0)</f>
        <v>36000</v>
      </c>
      <c r="L2784" s="2">
        <f>IFERROR(__xludf.DUMMYFUNCTION("""COMPUTED_VALUE"""),57.03751635)</f>
        <v>57.03751635</v>
      </c>
      <c r="M2784" s="2">
        <f>IFERROR(__xludf.DUMMYFUNCTION("""COMPUTED_VALUE"""),24.0956591311191)</f>
        <v>24.09565913</v>
      </c>
    </row>
    <row r="2785">
      <c r="A2785" s="2" t="str">
        <f>IFERROR(__xludf.DUMMYFUNCTION("""COMPUTED_VALUE"""),"For sale")</f>
        <v>For sale</v>
      </c>
      <c r="B2785" s="2" t="str">
        <f>IFERROR(__xludf.DUMMYFUNCTION("""COMPUTED_VALUE"""),"Ķengarags")</f>
        <v>Ķengarags</v>
      </c>
      <c r="C2785" s="2" t="str">
        <f>IFERROR(__xludf.DUMMYFUNCTION("""COMPUTED_VALUE"""),"Maskavas 275")</f>
        <v>Maskavas 275</v>
      </c>
      <c r="D2785" s="2">
        <f>IFERROR(__xludf.DUMMYFUNCTION("""COMPUTED_VALUE"""),2.0)</f>
        <v>2</v>
      </c>
      <c r="E2785" s="2">
        <f>IFERROR(__xludf.DUMMYFUNCTION("""COMPUTED_VALUE"""),47.0)</f>
        <v>47</v>
      </c>
      <c r="F2785" s="2">
        <f>IFERROR(__xludf.DUMMYFUNCTION("""COMPUTED_VALUE"""),10.0)</f>
        <v>10</v>
      </c>
      <c r="G2785" s="2">
        <f>IFERROR(__xludf.DUMMYFUNCTION("""COMPUTED_VALUE"""),12.0)</f>
        <v>12</v>
      </c>
      <c r="H2785" s="2" t="str">
        <f>IFERROR(__xludf.DUMMYFUNCTION("""COMPUTED_VALUE"""),"Čehu pr.")</f>
        <v>Čehu pr.</v>
      </c>
      <c r="I2785" s="2" t="str">
        <f>IFERROR(__xludf.DUMMYFUNCTION("""COMPUTED_VALUE"""),"Panel-Brick")</f>
        <v>Panel-Brick</v>
      </c>
      <c r="J2785" s="2" t="str">
        <f>IFERROR(__xludf.DUMMYFUNCTION("""COMPUTED_VALUE"""),"All amenities")</f>
        <v>All amenities</v>
      </c>
      <c r="K2785" s="2">
        <f>IFERROR(__xludf.DUMMYFUNCTION("""COMPUTED_VALUE"""),47500.0)</f>
        <v>47500</v>
      </c>
      <c r="L2785" s="2">
        <f>IFERROR(__xludf.DUMMYFUNCTION("""COMPUTED_VALUE"""),56.91983035)</f>
        <v>56.91983035</v>
      </c>
      <c r="M2785" s="2">
        <f>IFERROR(__xludf.DUMMYFUNCTION("""COMPUTED_VALUE"""),24.1728899892471)</f>
        <v>24.17288999</v>
      </c>
    </row>
    <row r="2786">
      <c r="A2786" s="2" t="str">
        <f>IFERROR(__xludf.DUMMYFUNCTION("""COMPUTED_VALUE"""),"For rent")</f>
        <v>For rent</v>
      </c>
      <c r="B2786" s="2" t="str">
        <f>IFERROR(__xludf.DUMMYFUNCTION("""COMPUTED_VALUE"""),"Teika")</f>
        <v>Teika</v>
      </c>
      <c r="C2786" s="2" t="str">
        <f>IFERROR(__xludf.DUMMYFUNCTION("""COMPUTED_VALUE"""),"Piebalgas 12")</f>
        <v>Piebalgas 12</v>
      </c>
      <c r="D2786" s="2">
        <f>IFERROR(__xludf.DUMMYFUNCTION("""COMPUTED_VALUE"""),1.0)</f>
        <v>1</v>
      </c>
      <c r="E2786" s="2">
        <f>IFERROR(__xludf.DUMMYFUNCTION("""COMPUTED_VALUE"""),26.0)</f>
        <v>26</v>
      </c>
      <c r="F2786" s="2">
        <f>IFERROR(__xludf.DUMMYFUNCTION("""COMPUTED_VALUE"""),2.0)</f>
        <v>2</v>
      </c>
      <c r="G2786" s="2">
        <f>IFERROR(__xludf.DUMMYFUNCTION("""COMPUTED_VALUE"""),2.0)</f>
        <v>2</v>
      </c>
      <c r="H2786" s="2" t="str">
        <f>IFERROR(__xludf.DUMMYFUNCTION("""COMPUTED_VALUE"""),"Priv. m.")</f>
        <v>Priv. m.</v>
      </c>
      <c r="I2786" s="2" t="str">
        <f>IFERROR(__xludf.DUMMYFUNCTION("""COMPUTED_VALUE"""),"Brick")</f>
        <v>Brick</v>
      </c>
      <c r="J2786" s="2" t="str">
        <f>IFERROR(__xludf.DUMMYFUNCTION("""COMPUTED_VALUE"""),"All amenities")</f>
        <v>All amenities</v>
      </c>
      <c r="K2786" s="2">
        <f>IFERROR(__xludf.DUMMYFUNCTION("""COMPUTED_VALUE"""),330.0)</f>
        <v>330</v>
      </c>
      <c r="L2786" s="2">
        <f>IFERROR(__xludf.DUMMYFUNCTION("""COMPUTED_VALUE"""),56.9778012)</f>
        <v>56.9778012</v>
      </c>
      <c r="M2786" s="2">
        <f>IFERROR(__xludf.DUMMYFUNCTION("""COMPUTED_VALUE"""),24.1792498014705)</f>
        <v>24.1792498</v>
      </c>
    </row>
    <row r="2787">
      <c r="A2787" s="2" t="str">
        <f>IFERROR(__xludf.DUMMYFUNCTION("""COMPUTED_VALUE"""),"For rent")</f>
        <v>For rent</v>
      </c>
      <c r="B2787" s="2" t="str">
        <f>IFERROR(__xludf.DUMMYFUNCTION("""COMPUTED_VALUE"""),"Pļavnieki")</f>
        <v>Pļavnieki</v>
      </c>
      <c r="C2787" s="2" t="str">
        <f>IFERROR(__xludf.DUMMYFUNCTION("""COMPUTED_VALUE"""),"Salnas 7")</f>
        <v>Salnas 7</v>
      </c>
      <c r="D2787" s="2">
        <f>IFERROR(__xludf.DUMMYFUNCTION("""COMPUTED_VALUE"""),2.0)</f>
        <v>2</v>
      </c>
      <c r="E2787" s="2">
        <f>IFERROR(__xludf.DUMMYFUNCTION("""COMPUTED_VALUE"""),50.0)</f>
        <v>50</v>
      </c>
      <c r="F2787" s="2">
        <f>IFERROR(__xludf.DUMMYFUNCTION("""COMPUTED_VALUE"""),5.0)</f>
        <v>5</v>
      </c>
      <c r="G2787" s="2">
        <f>IFERROR(__xludf.DUMMYFUNCTION("""COMPUTED_VALUE"""),9.0)</f>
        <v>9</v>
      </c>
      <c r="H2787" s="2">
        <f>IFERROR(__xludf.DUMMYFUNCTION("""COMPUTED_VALUE"""),602.0)</f>
        <v>602</v>
      </c>
      <c r="I2787" s="2" t="str">
        <f>IFERROR(__xludf.DUMMYFUNCTION("""COMPUTED_VALUE"""),"Panel")</f>
        <v>Panel</v>
      </c>
      <c r="J2787" s="2" t="str">
        <f>IFERROR(__xludf.DUMMYFUNCTION("""COMPUTED_VALUE"""),"All amenities")</f>
        <v>All amenities</v>
      </c>
      <c r="K2787" s="2">
        <f>IFERROR(__xludf.DUMMYFUNCTION("""COMPUTED_VALUE"""),320.0)</f>
        <v>320</v>
      </c>
      <c r="L2787" s="2">
        <f>IFERROR(__xludf.DUMMYFUNCTION("""COMPUTED_VALUE"""),56.9426158)</f>
        <v>56.9426158</v>
      </c>
      <c r="M2787" s="2">
        <f>IFERROR(__xludf.DUMMYFUNCTION("""COMPUTED_VALUE"""),24.2218763)</f>
        <v>24.2218763</v>
      </c>
    </row>
    <row r="2788">
      <c r="A2788" s="2" t="str">
        <f>IFERROR(__xludf.DUMMYFUNCTION("""COMPUTED_VALUE"""),"For sale")</f>
        <v>For sale</v>
      </c>
      <c r="B2788" s="2" t="str">
        <f>IFERROR(__xludf.DUMMYFUNCTION("""COMPUTED_VALUE"""),"Vecmīlgrāvis")</f>
        <v>Vecmīlgrāvis</v>
      </c>
      <c r="C2788" s="2" t="str">
        <f>IFERROR(__xludf.DUMMYFUNCTION("""COMPUTED_VALUE"""),"Emmas 1")</f>
        <v>Emmas 1</v>
      </c>
      <c r="D2788" s="2">
        <f>IFERROR(__xludf.DUMMYFUNCTION("""COMPUTED_VALUE"""),3.0)</f>
        <v>3</v>
      </c>
      <c r="E2788" s="2">
        <f>IFERROR(__xludf.DUMMYFUNCTION("""COMPUTED_VALUE"""),58.0)</f>
        <v>58</v>
      </c>
      <c r="F2788" s="2">
        <f>IFERROR(__xludf.DUMMYFUNCTION("""COMPUTED_VALUE"""),3.0)</f>
        <v>3</v>
      </c>
      <c r="G2788" s="2">
        <f>IFERROR(__xludf.DUMMYFUNCTION("""COMPUTED_VALUE"""),5.0)</f>
        <v>5</v>
      </c>
      <c r="H2788" s="2" t="str">
        <f>IFERROR(__xludf.DUMMYFUNCTION("""COMPUTED_VALUE"""),"Hrušč.")</f>
        <v>Hrušč.</v>
      </c>
      <c r="I2788" s="2" t="str">
        <f>IFERROR(__xludf.DUMMYFUNCTION("""COMPUTED_VALUE"""),"Brick")</f>
        <v>Brick</v>
      </c>
      <c r="J2788" s="2" t="str">
        <f>IFERROR(__xludf.DUMMYFUNCTION("""COMPUTED_VALUE"""),"All amenities")</f>
        <v>All amenities</v>
      </c>
      <c r="K2788" s="2">
        <f>IFERROR(__xludf.DUMMYFUNCTION("""COMPUTED_VALUE"""),32000.0)</f>
        <v>32000</v>
      </c>
      <c r="L2788" s="2">
        <f>IFERROR(__xludf.DUMMYFUNCTION("""COMPUTED_VALUE"""),57.02737355)</f>
        <v>57.02737355</v>
      </c>
      <c r="M2788" s="2">
        <f>IFERROR(__xludf.DUMMYFUNCTION("""COMPUTED_VALUE"""),24.10533045)</f>
        <v>24.10533045</v>
      </c>
    </row>
    <row r="2789">
      <c r="A2789" s="2" t="str">
        <f>IFERROR(__xludf.DUMMYFUNCTION("""COMPUTED_VALUE"""),"For rent")</f>
        <v>For rent</v>
      </c>
      <c r="B2789" s="2" t="str">
        <f>IFERROR(__xludf.DUMMYFUNCTION("""COMPUTED_VALUE"""),"centrs")</f>
        <v>centrs</v>
      </c>
      <c r="C2789" s="2" t="str">
        <f>IFERROR(__xludf.DUMMYFUNCTION("""COMPUTED_VALUE"""),"Baznīcas 27/29")</f>
        <v>Baznīcas 27/29</v>
      </c>
      <c r="D2789" s="2">
        <f>IFERROR(__xludf.DUMMYFUNCTION("""COMPUTED_VALUE"""),3.0)</f>
        <v>3</v>
      </c>
      <c r="E2789" s="2">
        <f>IFERROR(__xludf.DUMMYFUNCTION("""COMPUTED_VALUE"""),85.0)</f>
        <v>85</v>
      </c>
      <c r="F2789" s="2">
        <f>IFERROR(__xludf.DUMMYFUNCTION("""COMPUTED_VALUE"""),4.0)</f>
        <v>4</v>
      </c>
      <c r="G2789" s="2">
        <f>IFERROR(__xludf.DUMMYFUNCTION("""COMPUTED_VALUE"""),5.0)</f>
        <v>5</v>
      </c>
      <c r="H2789" s="2" t="str">
        <f>IFERROR(__xludf.DUMMYFUNCTION("""COMPUTED_VALUE"""),"P. kara")</f>
        <v>P. kara</v>
      </c>
      <c r="I2789" s="2" t="str">
        <f>IFERROR(__xludf.DUMMYFUNCTION("""COMPUTED_VALUE"""),"Brick")</f>
        <v>Brick</v>
      </c>
      <c r="J2789" s="2" t="str">
        <f>IFERROR(__xludf.DUMMYFUNCTION("""COMPUTED_VALUE"""),"All amenities")</f>
        <v>All amenities</v>
      </c>
      <c r="K2789" s="2">
        <f>IFERROR(__xludf.DUMMYFUNCTION("""COMPUTED_VALUE"""),850.0)</f>
        <v>850</v>
      </c>
      <c r="L2789" s="2">
        <f>IFERROR(__xludf.DUMMYFUNCTION("""COMPUTED_VALUE"""),56.9574801)</f>
        <v>56.9574801</v>
      </c>
      <c r="M2789" s="2">
        <f>IFERROR(__xludf.DUMMYFUNCTION("""COMPUTED_VALUE"""),24.1204934)</f>
        <v>24.1204934</v>
      </c>
    </row>
    <row r="2790">
      <c r="A2790" s="2" t="str">
        <f>IFERROR(__xludf.DUMMYFUNCTION("""COMPUTED_VALUE"""),"For rent")</f>
        <v>For rent</v>
      </c>
      <c r="B2790" s="2" t="str">
        <f>IFERROR(__xludf.DUMMYFUNCTION("""COMPUTED_VALUE"""),"centrs")</f>
        <v>centrs</v>
      </c>
      <c r="C2790" s="2" t="str">
        <f>IFERROR(__xludf.DUMMYFUNCTION("""COMPUTED_VALUE"""),"Čaka 117")</f>
        <v>Čaka 117</v>
      </c>
      <c r="D2790" s="2">
        <f>IFERROR(__xludf.DUMMYFUNCTION("""COMPUTED_VALUE"""),3.0)</f>
        <v>3</v>
      </c>
      <c r="E2790" s="2">
        <f>IFERROR(__xludf.DUMMYFUNCTION("""COMPUTED_VALUE"""),59.0)</f>
        <v>59</v>
      </c>
      <c r="F2790" s="2">
        <f>IFERROR(__xludf.DUMMYFUNCTION("""COMPUTED_VALUE"""),5.0)</f>
        <v>5</v>
      </c>
      <c r="G2790" s="2">
        <f>IFERROR(__xludf.DUMMYFUNCTION("""COMPUTED_VALUE"""),6.0)</f>
        <v>6</v>
      </c>
      <c r="H2790" s="2" t="str">
        <f>IFERROR(__xludf.DUMMYFUNCTION("""COMPUTED_VALUE"""),"P. kara")</f>
        <v>P. kara</v>
      </c>
      <c r="I2790" s="2" t="str">
        <f>IFERROR(__xludf.DUMMYFUNCTION("""COMPUTED_VALUE"""),"Masonry")</f>
        <v>Masonry</v>
      </c>
      <c r="J2790" s="2" t="str">
        <f>IFERROR(__xludf.DUMMYFUNCTION("""COMPUTED_VALUE"""),"All amenities")</f>
        <v>All amenities</v>
      </c>
      <c r="K2790" s="2">
        <f>IFERROR(__xludf.DUMMYFUNCTION("""COMPUTED_VALUE"""),530.0)</f>
        <v>530</v>
      </c>
      <c r="L2790" s="2">
        <f>IFERROR(__xludf.DUMMYFUNCTION("""COMPUTED_VALUE"""),56.9590876)</f>
        <v>56.9590876</v>
      </c>
      <c r="M2790" s="2">
        <f>IFERROR(__xludf.DUMMYFUNCTION("""COMPUTED_VALUE"""),24.1412317647326)</f>
        <v>24.14123176</v>
      </c>
    </row>
    <row r="2791">
      <c r="A2791" s="2" t="str">
        <f>IFERROR(__xludf.DUMMYFUNCTION("""COMPUTED_VALUE"""),"For sale")</f>
        <v>For sale</v>
      </c>
      <c r="B2791" s="2" t="str">
        <f>IFERROR(__xludf.DUMMYFUNCTION("""COMPUTED_VALUE"""),"centrs")</f>
        <v>centrs</v>
      </c>
      <c r="C2791" s="2" t="str">
        <f>IFERROR(__xludf.DUMMYFUNCTION("""COMPUTED_VALUE"""),"Tērbatas 33")</f>
        <v>Tērbatas 33</v>
      </c>
      <c r="D2791" s="2">
        <f>IFERROR(__xludf.DUMMYFUNCTION("""COMPUTED_VALUE"""),4.0)</f>
        <v>4</v>
      </c>
      <c r="E2791" s="2">
        <f>IFERROR(__xludf.DUMMYFUNCTION("""COMPUTED_VALUE"""),118.0)</f>
        <v>118</v>
      </c>
      <c r="F2791" s="2">
        <f>IFERROR(__xludf.DUMMYFUNCTION("""COMPUTED_VALUE"""),5.0)</f>
        <v>5</v>
      </c>
      <c r="G2791" s="2">
        <f>IFERROR(__xludf.DUMMYFUNCTION("""COMPUTED_VALUE"""),6.0)</f>
        <v>6</v>
      </c>
      <c r="H2791" s="2" t="str">
        <f>IFERROR(__xludf.DUMMYFUNCTION("""COMPUTED_VALUE"""),"Renov.")</f>
        <v>Renov.</v>
      </c>
      <c r="I2791" s="2" t="str">
        <f>IFERROR(__xludf.DUMMYFUNCTION("""COMPUTED_VALUE"""),"Masonry")</f>
        <v>Masonry</v>
      </c>
      <c r="J2791" s="2" t="str">
        <f>IFERROR(__xludf.DUMMYFUNCTION("""COMPUTED_VALUE"""),"All amenities")</f>
        <v>All amenities</v>
      </c>
      <c r="K2791" s="2">
        <f>IFERROR(__xludf.DUMMYFUNCTION("""COMPUTED_VALUE"""),294000.0)</f>
        <v>294000</v>
      </c>
      <c r="L2791" s="2">
        <f>IFERROR(__xludf.DUMMYFUNCTION("""COMPUTED_VALUE"""),56.9554229)</f>
        <v>56.9554229</v>
      </c>
      <c r="M2791" s="2">
        <f>IFERROR(__xludf.DUMMYFUNCTION("""COMPUTED_VALUE"""),24.1240481)</f>
        <v>24.1240481</v>
      </c>
    </row>
    <row r="2792">
      <c r="A2792" s="2" t="str">
        <f>IFERROR(__xludf.DUMMYFUNCTION("""COMPUTED_VALUE"""),"For sale")</f>
        <v>For sale</v>
      </c>
      <c r="B2792" s="2" t="str">
        <f>IFERROR(__xludf.DUMMYFUNCTION("""COMPUTED_VALUE"""),"centrs")</f>
        <v>centrs</v>
      </c>
      <c r="C2792" s="2" t="str">
        <f>IFERROR(__xludf.DUMMYFUNCTION("""COMPUTED_VALUE"""),"Tērbatas 33")</f>
        <v>Tērbatas 33</v>
      </c>
      <c r="D2792" s="2">
        <f>IFERROR(__xludf.DUMMYFUNCTION("""COMPUTED_VALUE"""),3.0)</f>
        <v>3</v>
      </c>
      <c r="E2792" s="2">
        <f>IFERROR(__xludf.DUMMYFUNCTION("""COMPUTED_VALUE"""),80.0)</f>
        <v>80</v>
      </c>
      <c r="F2792" s="2">
        <f>IFERROR(__xludf.DUMMYFUNCTION("""COMPUTED_VALUE"""),5.0)</f>
        <v>5</v>
      </c>
      <c r="G2792" s="2">
        <f>IFERROR(__xludf.DUMMYFUNCTION("""COMPUTED_VALUE"""),6.0)</f>
        <v>6</v>
      </c>
      <c r="H2792" s="2" t="str">
        <f>IFERROR(__xludf.DUMMYFUNCTION("""COMPUTED_VALUE"""),"Renov.")</f>
        <v>Renov.</v>
      </c>
      <c r="I2792" s="2" t="str">
        <f>IFERROR(__xludf.DUMMYFUNCTION("""COMPUTED_VALUE"""),"Masonry")</f>
        <v>Masonry</v>
      </c>
      <c r="J2792" s="2" t="str">
        <f>IFERROR(__xludf.DUMMYFUNCTION("""COMPUTED_VALUE"""),"All amenities")</f>
        <v>All amenities</v>
      </c>
      <c r="K2792" s="2">
        <f>IFERROR(__xludf.DUMMYFUNCTION("""COMPUTED_VALUE"""),208520.0)</f>
        <v>208520</v>
      </c>
      <c r="L2792" s="2">
        <f>IFERROR(__xludf.DUMMYFUNCTION("""COMPUTED_VALUE"""),56.9554229)</f>
        <v>56.9554229</v>
      </c>
      <c r="M2792" s="2">
        <f>IFERROR(__xludf.DUMMYFUNCTION("""COMPUTED_VALUE"""),24.1240481)</f>
        <v>24.1240481</v>
      </c>
    </row>
    <row r="2793">
      <c r="A2793" s="2" t="str">
        <f>IFERROR(__xludf.DUMMYFUNCTION("""COMPUTED_VALUE"""),"For sale")</f>
        <v>For sale</v>
      </c>
      <c r="B2793" s="2" t="str">
        <f>IFERROR(__xludf.DUMMYFUNCTION("""COMPUTED_VALUE"""),"centrs")</f>
        <v>centrs</v>
      </c>
      <c r="C2793" s="2" t="str">
        <f>IFERROR(__xludf.DUMMYFUNCTION("""COMPUTED_VALUE"""),"Tērbatas 33")</f>
        <v>Tērbatas 33</v>
      </c>
      <c r="D2793" s="2">
        <f>IFERROR(__xludf.DUMMYFUNCTION("""COMPUTED_VALUE"""),2.0)</f>
        <v>2</v>
      </c>
      <c r="E2793" s="2">
        <f>IFERROR(__xludf.DUMMYFUNCTION("""COMPUTED_VALUE"""),51.9)</f>
        <v>51.9</v>
      </c>
      <c r="F2793" s="2">
        <f>IFERROR(__xludf.DUMMYFUNCTION("""COMPUTED_VALUE"""),2.0)</f>
        <v>2</v>
      </c>
      <c r="G2793" s="2">
        <f>IFERROR(__xludf.DUMMYFUNCTION("""COMPUTED_VALUE"""),6.0)</f>
        <v>6</v>
      </c>
      <c r="H2793" s="2" t="str">
        <f>IFERROR(__xludf.DUMMYFUNCTION("""COMPUTED_VALUE"""),"Renov.")</f>
        <v>Renov.</v>
      </c>
      <c r="I2793" s="2" t="str">
        <f>IFERROR(__xludf.DUMMYFUNCTION("""COMPUTED_VALUE"""),"Masonry")</f>
        <v>Masonry</v>
      </c>
      <c r="J2793" s="2" t="str">
        <f>IFERROR(__xludf.DUMMYFUNCTION("""COMPUTED_VALUE"""),"All amenities")</f>
        <v>All amenities</v>
      </c>
      <c r="K2793" s="2">
        <f>IFERROR(__xludf.DUMMYFUNCTION("""COMPUTED_VALUE"""),124560.0)</f>
        <v>124560</v>
      </c>
      <c r="L2793" s="2">
        <f>IFERROR(__xludf.DUMMYFUNCTION("""COMPUTED_VALUE"""),56.9554229)</f>
        <v>56.9554229</v>
      </c>
      <c r="M2793" s="2">
        <f>IFERROR(__xludf.DUMMYFUNCTION("""COMPUTED_VALUE"""),24.1240481)</f>
        <v>24.1240481</v>
      </c>
    </row>
    <row r="2794">
      <c r="A2794" s="2" t="str">
        <f>IFERROR(__xludf.DUMMYFUNCTION("""COMPUTED_VALUE"""),"For sale")</f>
        <v>For sale</v>
      </c>
      <c r="B2794" s="2" t="str">
        <f>IFERROR(__xludf.DUMMYFUNCTION("""COMPUTED_VALUE"""),"centrs")</f>
        <v>centrs</v>
      </c>
      <c r="C2794" s="2" t="str">
        <f>IFERROR(__xludf.DUMMYFUNCTION("""COMPUTED_VALUE"""),"Tērbatas 33")</f>
        <v>Tērbatas 33</v>
      </c>
      <c r="D2794" s="2">
        <f>IFERROR(__xludf.DUMMYFUNCTION("""COMPUTED_VALUE"""),5.0)</f>
        <v>5</v>
      </c>
      <c r="E2794" s="2">
        <f>IFERROR(__xludf.DUMMYFUNCTION("""COMPUTED_VALUE"""),111.3)</f>
        <v>111.3</v>
      </c>
      <c r="F2794" s="2">
        <f>IFERROR(__xludf.DUMMYFUNCTION("""COMPUTED_VALUE"""),5.0)</f>
        <v>5</v>
      </c>
      <c r="G2794" s="2">
        <f>IFERROR(__xludf.DUMMYFUNCTION("""COMPUTED_VALUE"""),6.0)</f>
        <v>6</v>
      </c>
      <c r="H2794" s="2" t="str">
        <f>IFERROR(__xludf.DUMMYFUNCTION("""COMPUTED_VALUE"""),"P. kara")</f>
        <v>P. kara</v>
      </c>
      <c r="I2794" s="2" t="str">
        <f>IFERROR(__xludf.DUMMYFUNCTION("""COMPUTED_VALUE"""),"Masonry")</f>
        <v>Masonry</v>
      </c>
      <c r="J2794" s="2" t="str">
        <f>IFERROR(__xludf.DUMMYFUNCTION("""COMPUTED_VALUE"""),"All amenities")</f>
        <v>All amenities</v>
      </c>
      <c r="K2794" s="2">
        <f>IFERROR(__xludf.DUMMYFUNCTION("""COMPUTED_VALUE"""),139125.0)</f>
        <v>139125</v>
      </c>
      <c r="L2794" s="2">
        <f>IFERROR(__xludf.DUMMYFUNCTION("""COMPUTED_VALUE"""),56.9554229)</f>
        <v>56.9554229</v>
      </c>
      <c r="M2794" s="2">
        <f>IFERROR(__xludf.DUMMYFUNCTION("""COMPUTED_VALUE"""),24.1240481)</f>
        <v>24.1240481</v>
      </c>
    </row>
    <row r="2795">
      <c r="A2795" s="2" t="str">
        <f>IFERROR(__xludf.DUMMYFUNCTION("""COMPUTED_VALUE"""),"For sale")</f>
        <v>For sale</v>
      </c>
      <c r="B2795" s="2" t="str">
        <f>IFERROR(__xludf.DUMMYFUNCTION("""COMPUTED_VALUE"""),"Purvciems")</f>
        <v>Purvciems</v>
      </c>
      <c r="C2795" s="2" t="str">
        <f>IFERROR(__xludf.DUMMYFUNCTION("""COMPUTED_VALUE"""),"Ūnijas 66")</f>
        <v>Ūnijas 66</v>
      </c>
      <c r="D2795" s="2">
        <f>IFERROR(__xludf.DUMMYFUNCTION("""COMPUTED_VALUE"""),3.0)</f>
        <v>3</v>
      </c>
      <c r="E2795" s="2">
        <f>IFERROR(__xludf.DUMMYFUNCTION("""COMPUTED_VALUE"""),72.0)</f>
        <v>72</v>
      </c>
      <c r="F2795" s="2">
        <f>IFERROR(__xludf.DUMMYFUNCTION("""COMPUTED_VALUE"""),9.0)</f>
        <v>9</v>
      </c>
      <c r="G2795" s="2">
        <f>IFERROR(__xludf.DUMMYFUNCTION("""COMPUTED_VALUE"""),9.0)</f>
        <v>9</v>
      </c>
      <c r="H2795" s="2" t="str">
        <f>IFERROR(__xludf.DUMMYFUNCTION("""COMPUTED_VALUE"""),"Specpr.")</f>
        <v>Specpr.</v>
      </c>
      <c r="I2795" s="2" t="str">
        <f>IFERROR(__xludf.DUMMYFUNCTION("""COMPUTED_VALUE"""),"Brick")</f>
        <v>Brick</v>
      </c>
      <c r="J2795" s="2" t="str">
        <f>IFERROR(__xludf.DUMMYFUNCTION("""COMPUTED_VALUE"""),"All amenities")</f>
        <v>All amenities</v>
      </c>
      <c r="K2795" s="2">
        <f>IFERROR(__xludf.DUMMYFUNCTION("""COMPUTED_VALUE"""),79920.0)</f>
        <v>79920</v>
      </c>
      <c r="L2795" s="2">
        <f>IFERROR(__xludf.DUMMYFUNCTION("""COMPUTED_VALUE"""),56.9626668)</f>
        <v>56.9626668</v>
      </c>
      <c r="M2795" s="2">
        <f>IFERROR(__xludf.DUMMYFUNCTION("""COMPUTED_VALUE"""),24.1807308)</f>
        <v>24.1807308</v>
      </c>
    </row>
    <row r="2796">
      <c r="A2796" s="2" t="str">
        <f>IFERROR(__xludf.DUMMYFUNCTION("""COMPUTED_VALUE"""),"For sale")</f>
        <v>For sale</v>
      </c>
      <c r="B2796" s="2" t="str">
        <f>IFERROR(__xludf.DUMMYFUNCTION("""COMPUTED_VALUE"""),"Pļavnieki")</f>
        <v>Pļavnieki</v>
      </c>
      <c r="C2796" s="2" t="str">
        <f>IFERROR(__xludf.DUMMYFUNCTION("""COMPUTED_VALUE"""),"J. Vācieša 2g")</f>
        <v>J. Vācieša 2g</v>
      </c>
      <c r="D2796" s="2">
        <f>IFERROR(__xludf.DUMMYFUNCTION("""COMPUTED_VALUE"""),3.0)</f>
        <v>3</v>
      </c>
      <c r="E2796" s="2">
        <f>IFERROR(__xludf.DUMMYFUNCTION("""COMPUTED_VALUE"""),68.0)</f>
        <v>68</v>
      </c>
      <c r="F2796" s="2">
        <f>IFERROR(__xludf.DUMMYFUNCTION("""COMPUTED_VALUE"""),14.0)</f>
        <v>14</v>
      </c>
      <c r="G2796" s="2">
        <f>IFERROR(__xludf.DUMMYFUNCTION("""COMPUTED_VALUE"""),16.0)</f>
        <v>16</v>
      </c>
      <c r="H2796" s="2" t="str">
        <f>IFERROR(__xludf.DUMMYFUNCTION("""COMPUTED_VALUE"""),"Specpr.")</f>
        <v>Specpr.</v>
      </c>
      <c r="I2796" s="2" t="str">
        <f>IFERROR(__xludf.DUMMYFUNCTION("""COMPUTED_VALUE"""),"Panel")</f>
        <v>Panel</v>
      </c>
      <c r="J2796" s="2" t="str">
        <f>IFERROR(__xludf.DUMMYFUNCTION("""COMPUTED_VALUE"""),"All amenities")</f>
        <v>All amenities</v>
      </c>
      <c r="K2796" s="2">
        <f>IFERROR(__xludf.DUMMYFUNCTION("""COMPUTED_VALUE"""),72000.0)</f>
        <v>72000</v>
      </c>
      <c r="L2796" s="2" t="str">
        <f>IFERROR(__xludf.DUMMYFUNCTION("""COMPUTED_VALUE"""),"NaN")</f>
        <v>NaN</v>
      </c>
      <c r="M2796" s="2" t="str">
        <f>IFERROR(__xludf.DUMMYFUNCTION("""COMPUTED_VALUE"""),"NaN")</f>
        <v>NaN</v>
      </c>
    </row>
    <row r="2797">
      <c r="A2797" s="2" t="str">
        <f>IFERROR(__xludf.DUMMYFUNCTION("""COMPUTED_VALUE"""),"For sale")</f>
        <v>For sale</v>
      </c>
      <c r="B2797" s="2" t="str">
        <f>IFERROR(__xludf.DUMMYFUNCTION("""COMPUTED_VALUE"""),"Sarkandaugava")</f>
        <v>Sarkandaugava</v>
      </c>
      <c r="C2797" s="2" t="str">
        <f>IFERROR(__xludf.DUMMYFUNCTION("""COMPUTED_VALUE"""),"Sliežu 33")</f>
        <v>Sliežu 33</v>
      </c>
      <c r="D2797" s="2">
        <f>IFERROR(__xludf.DUMMYFUNCTION("""COMPUTED_VALUE"""),1.0)</f>
        <v>1</v>
      </c>
      <c r="E2797" s="2">
        <f>IFERROR(__xludf.DUMMYFUNCTION("""COMPUTED_VALUE"""),40.0)</f>
        <v>40</v>
      </c>
      <c r="F2797" s="2">
        <f>IFERROR(__xludf.DUMMYFUNCTION("""COMPUTED_VALUE"""),5.0)</f>
        <v>5</v>
      </c>
      <c r="G2797" s="2">
        <f>IFERROR(__xludf.DUMMYFUNCTION("""COMPUTED_VALUE"""),5.0)</f>
        <v>5</v>
      </c>
      <c r="H2797" s="2" t="str">
        <f>IFERROR(__xludf.DUMMYFUNCTION("""COMPUTED_VALUE"""),"Specpr.")</f>
        <v>Specpr.</v>
      </c>
      <c r="I2797" s="2" t="str">
        <f>IFERROR(__xludf.DUMMYFUNCTION("""COMPUTED_VALUE"""),"Brick")</f>
        <v>Brick</v>
      </c>
      <c r="J2797" s="2" t="str">
        <f>IFERROR(__xludf.DUMMYFUNCTION("""COMPUTED_VALUE"""),"All amenities")</f>
        <v>All amenities</v>
      </c>
      <c r="K2797" s="2">
        <f>IFERROR(__xludf.DUMMYFUNCTION("""COMPUTED_VALUE"""),27000.0)</f>
        <v>27000</v>
      </c>
      <c r="L2797" s="2">
        <f>IFERROR(__xludf.DUMMYFUNCTION("""COMPUTED_VALUE"""),57.00848)</f>
        <v>57.00848</v>
      </c>
      <c r="M2797" s="2">
        <f>IFERROR(__xludf.DUMMYFUNCTION("""COMPUTED_VALUE"""),24.1253070957052)</f>
        <v>24.1253071</v>
      </c>
    </row>
    <row r="2798">
      <c r="A2798" s="2" t="str">
        <f>IFERROR(__xludf.DUMMYFUNCTION("""COMPUTED_VALUE"""),"For sale")</f>
        <v>For sale</v>
      </c>
      <c r="B2798" s="2" t="str">
        <f>IFERROR(__xludf.DUMMYFUNCTION("""COMPUTED_VALUE"""),"Jugla")</f>
        <v>Jugla</v>
      </c>
      <c r="C2798" s="2" t="str">
        <f>IFERROR(__xludf.DUMMYFUNCTION("""COMPUTED_VALUE"""),"Juglas 10")</f>
        <v>Juglas 10</v>
      </c>
      <c r="D2798" s="2">
        <f>IFERROR(__xludf.DUMMYFUNCTION("""COMPUTED_VALUE"""),2.0)</f>
        <v>2</v>
      </c>
      <c r="E2798" s="2">
        <f>IFERROR(__xludf.DUMMYFUNCTION("""COMPUTED_VALUE"""),91.0)</f>
        <v>91</v>
      </c>
      <c r="F2798" s="2">
        <f>IFERROR(__xludf.DUMMYFUNCTION("""COMPUTED_VALUE"""),4.0)</f>
        <v>4</v>
      </c>
      <c r="G2798" s="2">
        <f>IFERROR(__xludf.DUMMYFUNCTION("""COMPUTED_VALUE"""),9.0)</f>
        <v>9</v>
      </c>
      <c r="H2798" s="2" t="str">
        <f>IFERROR(__xludf.DUMMYFUNCTION("""COMPUTED_VALUE"""),"Jaun.")</f>
        <v>Jaun.</v>
      </c>
      <c r="I2798" s="2" t="str">
        <f>IFERROR(__xludf.DUMMYFUNCTION("""COMPUTED_VALUE"""),"Brick")</f>
        <v>Brick</v>
      </c>
      <c r="J2798" s="2" t="str">
        <f>IFERROR(__xludf.DUMMYFUNCTION("""COMPUTED_VALUE"""),"All amenities")</f>
        <v>All amenities</v>
      </c>
      <c r="K2798" s="2">
        <f>IFERROR(__xludf.DUMMYFUNCTION("""COMPUTED_VALUE"""),115000.0)</f>
        <v>115000</v>
      </c>
      <c r="L2798" s="2">
        <f>IFERROR(__xludf.DUMMYFUNCTION("""COMPUTED_VALUE"""),56.9865865)</f>
        <v>56.9865865</v>
      </c>
      <c r="M2798" s="2">
        <f>IFERROR(__xludf.DUMMYFUNCTION("""COMPUTED_VALUE"""),24.2472562883399)</f>
        <v>24.24725629</v>
      </c>
    </row>
    <row r="2799">
      <c r="A2799" s="2" t="str">
        <f>IFERROR(__xludf.DUMMYFUNCTION("""COMPUTED_VALUE"""),"For sale")</f>
        <v>For sale</v>
      </c>
      <c r="B2799" s="2" t="str">
        <f>IFERROR(__xludf.DUMMYFUNCTION("""COMPUTED_VALUE"""),"Mežaparks")</f>
        <v>Mežaparks</v>
      </c>
      <c r="C2799" s="2" t="str">
        <f>IFERROR(__xludf.DUMMYFUNCTION("""COMPUTED_VALUE"""),"Viestura pr. 95")</f>
        <v>Viestura pr. 95</v>
      </c>
      <c r="D2799" s="2">
        <f>IFERROR(__xludf.DUMMYFUNCTION("""COMPUTED_VALUE"""),3.0)</f>
        <v>3</v>
      </c>
      <c r="E2799" s="2">
        <f>IFERROR(__xludf.DUMMYFUNCTION("""COMPUTED_VALUE"""),117.0)</f>
        <v>117</v>
      </c>
      <c r="F2799" s="2">
        <f>IFERROR(__xludf.DUMMYFUNCTION("""COMPUTED_VALUE"""),10.0)</f>
        <v>10</v>
      </c>
      <c r="G2799" s="2">
        <f>IFERROR(__xludf.DUMMYFUNCTION("""COMPUTED_VALUE"""),11.0)</f>
        <v>11</v>
      </c>
      <c r="H2799" s="2" t="str">
        <f>IFERROR(__xludf.DUMMYFUNCTION("""COMPUTED_VALUE"""),"Jaun.")</f>
        <v>Jaun.</v>
      </c>
      <c r="I2799" s="2" t="str">
        <f>IFERROR(__xludf.DUMMYFUNCTION("""COMPUTED_VALUE"""),"Panel-Brick")</f>
        <v>Panel-Brick</v>
      </c>
      <c r="J2799" s="2" t="str">
        <f>IFERROR(__xludf.DUMMYFUNCTION("""COMPUTED_VALUE"""),"All amenities")</f>
        <v>All amenities</v>
      </c>
      <c r="K2799" s="2">
        <f>IFERROR(__xludf.DUMMYFUNCTION("""COMPUTED_VALUE"""),175500.0)</f>
        <v>175500</v>
      </c>
      <c r="L2799" s="2" t="str">
        <f>IFERROR(__xludf.DUMMYFUNCTION("""COMPUTED_VALUE"""),"NaN")</f>
        <v>NaN</v>
      </c>
      <c r="M2799" s="2" t="str">
        <f>IFERROR(__xludf.DUMMYFUNCTION("""COMPUTED_VALUE"""),"NaN")</f>
        <v>NaN</v>
      </c>
    </row>
    <row r="2800">
      <c r="A2800" s="2" t="str">
        <f>IFERROR(__xludf.DUMMYFUNCTION("""COMPUTED_VALUE"""),"For rent")</f>
        <v>For rent</v>
      </c>
      <c r="B2800" s="2" t="str">
        <f>IFERROR(__xludf.DUMMYFUNCTION("""COMPUTED_VALUE"""),"centrs")</f>
        <v>centrs</v>
      </c>
      <c r="C2800" s="2" t="str">
        <f>IFERROR(__xludf.DUMMYFUNCTION("""COMPUTED_VALUE"""),"Gogoļa 11")</f>
        <v>Gogoļa 11</v>
      </c>
      <c r="D2800" s="2">
        <f>IFERROR(__xludf.DUMMYFUNCTION("""COMPUTED_VALUE"""),3.0)</f>
        <v>3</v>
      </c>
      <c r="E2800" s="2">
        <f>IFERROR(__xludf.DUMMYFUNCTION("""COMPUTED_VALUE"""),94.0)</f>
        <v>94</v>
      </c>
      <c r="F2800" s="2">
        <f>IFERROR(__xludf.DUMMYFUNCTION("""COMPUTED_VALUE"""),2.0)</f>
        <v>2</v>
      </c>
      <c r="G2800" s="2">
        <f>IFERROR(__xludf.DUMMYFUNCTION("""COMPUTED_VALUE"""),2.0)</f>
        <v>2</v>
      </c>
      <c r="H2800" s="2" t="str">
        <f>IFERROR(__xludf.DUMMYFUNCTION("""COMPUTED_VALUE"""),"P. kara")</f>
        <v>P. kara</v>
      </c>
      <c r="I2800" s="2" t="str">
        <f>IFERROR(__xludf.DUMMYFUNCTION("""COMPUTED_VALUE"""),"Masonry")</f>
        <v>Masonry</v>
      </c>
      <c r="J2800" s="2" t="str">
        <f>IFERROR(__xludf.DUMMYFUNCTION("""COMPUTED_VALUE"""),"All amenities")</f>
        <v>All amenities</v>
      </c>
      <c r="K2800" s="2">
        <f>IFERROR(__xludf.DUMMYFUNCTION("""COMPUTED_VALUE"""),500.0)</f>
        <v>500</v>
      </c>
      <c r="L2800" s="2">
        <f>IFERROR(__xludf.DUMMYFUNCTION("""COMPUTED_VALUE"""),56.9436067)</f>
        <v>56.9436067</v>
      </c>
      <c r="M2800" s="2">
        <f>IFERROR(__xludf.DUMMYFUNCTION("""COMPUTED_VALUE"""),24.1233886)</f>
        <v>24.1233886</v>
      </c>
    </row>
    <row r="2801">
      <c r="A2801" s="2" t="str">
        <f>IFERROR(__xludf.DUMMYFUNCTION("""COMPUTED_VALUE"""),"For sale")</f>
        <v>For sale</v>
      </c>
      <c r="B2801" s="2" t="str">
        <f>IFERROR(__xludf.DUMMYFUNCTION("""COMPUTED_VALUE"""),"Ķengarags")</f>
        <v>Ķengarags</v>
      </c>
      <c r="C2801" s="2" t="str">
        <f>IFERROR(__xludf.DUMMYFUNCTION("""COMPUTED_VALUE"""),"Ikšķiles 4")</f>
        <v>Ikšķiles 4</v>
      </c>
      <c r="D2801" s="2">
        <f>IFERROR(__xludf.DUMMYFUNCTION("""COMPUTED_VALUE"""),2.0)</f>
        <v>2</v>
      </c>
      <c r="E2801" s="2">
        <f>IFERROR(__xludf.DUMMYFUNCTION("""COMPUTED_VALUE"""),44.0)</f>
        <v>44</v>
      </c>
      <c r="F2801" s="2">
        <f>IFERROR(__xludf.DUMMYFUNCTION("""COMPUTED_VALUE"""),1.0)</f>
        <v>1</v>
      </c>
      <c r="G2801" s="2">
        <f>IFERROR(__xludf.DUMMYFUNCTION("""COMPUTED_VALUE"""),5.0)</f>
        <v>5</v>
      </c>
      <c r="H2801" s="2" t="str">
        <f>IFERROR(__xludf.DUMMYFUNCTION("""COMPUTED_VALUE"""),"LT proj.")</f>
        <v>LT proj.</v>
      </c>
      <c r="I2801" s="2" t="str">
        <f>IFERROR(__xludf.DUMMYFUNCTION("""COMPUTED_VALUE"""),"Panel")</f>
        <v>Panel</v>
      </c>
      <c r="J2801" s="2" t="str">
        <f>IFERROR(__xludf.DUMMYFUNCTION("""COMPUTED_VALUE"""),"All amenities")</f>
        <v>All amenities</v>
      </c>
      <c r="K2801" s="2">
        <f>IFERROR(__xludf.DUMMYFUNCTION("""COMPUTED_VALUE"""),35000.0)</f>
        <v>35000</v>
      </c>
      <c r="L2801" s="2">
        <f>IFERROR(__xludf.DUMMYFUNCTION("""COMPUTED_VALUE"""),56.90080385)</f>
        <v>56.90080385</v>
      </c>
      <c r="M2801" s="2">
        <f>IFERROR(__xludf.DUMMYFUNCTION("""COMPUTED_VALUE"""),24.2070322999999)</f>
        <v>24.2070323</v>
      </c>
    </row>
    <row r="2802">
      <c r="A2802" s="2" t="str">
        <f>IFERROR(__xludf.DUMMYFUNCTION("""COMPUTED_VALUE"""),"For sale")</f>
        <v>For sale</v>
      </c>
      <c r="B2802" s="2" t="str">
        <f>IFERROR(__xludf.DUMMYFUNCTION("""COMPUTED_VALUE"""),"Vecmīlgrāvis")</f>
        <v>Vecmīlgrāvis</v>
      </c>
      <c r="C2802" s="2" t="str">
        <f>IFERROR(__xludf.DUMMYFUNCTION("""COMPUTED_VALUE"""),"Emmas 28")</f>
        <v>Emmas 28</v>
      </c>
      <c r="D2802" s="2">
        <f>IFERROR(__xludf.DUMMYFUNCTION("""COMPUTED_VALUE"""),6.0)</f>
        <v>6</v>
      </c>
      <c r="E2802" s="2">
        <f>IFERROR(__xludf.DUMMYFUNCTION("""COMPUTED_VALUE"""),179.0)</f>
        <v>179</v>
      </c>
      <c r="F2802" s="2">
        <f>IFERROR(__xludf.DUMMYFUNCTION("""COMPUTED_VALUE"""),2.0)</f>
        <v>2</v>
      </c>
      <c r="G2802" s="2">
        <f>IFERROR(__xludf.DUMMYFUNCTION("""COMPUTED_VALUE"""),4.0)</f>
        <v>4</v>
      </c>
      <c r="H2802" s="2" t="str">
        <f>IFERROR(__xludf.DUMMYFUNCTION("""COMPUTED_VALUE"""),"Renov.")</f>
        <v>Renov.</v>
      </c>
      <c r="I2802" s="2" t="str">
        <f>IFERROR(__xludf.DUMMYFUNCTION("""COMPUTED_VALUE"""),"Panel-Brick")</f>
        <v>Panel-Brick</v>
      </c>
      <c r="J2802" s="2" t="str">
        <f>IFERROR(__xludf.DUMMYFUNCTION("""COMPUTED_VALUE"""),"All amenities")</f>
        <v>All amenities</v>
      </c>
      <c r="K2802" s="2">
        <f>IFERROR(__xludf.DUMMYFUNCTION("""COMPUTED_VALUE"""),250000.0)</f>
        <v>250000</v>
      </c>
      <c r="L2802" s="2">
        <f>IFERROR(__xludf.DUMMYFUNCTION("""COMPUTED_VALUE"""),57.03179875)</f>
        <v>57.03179875</v>
      </c>
      <c r="M2802" s="2">
        <f>IFERROR(__xludf.DUMMYFUNCTION("""COMPUTED_VALUE"""),24.1166644346289)</f>
        <v>24.11666443</v>
      </c>
    </row>
    <row r="2803">
      <c r="A2803" s="2" t="str">
        <f>IFERROR(__xludf.DUMMYFUNCTION("""COMPUTED_VALUE"""),"For sale")</f>
        <v>For sale</v>
      </c>
      <c r="B2803" s="2" t="str">
        <f>IFERROR(__xludf.DUMMYFUNCTION("""COMPUTED_VALUE"""),"Jugla")</f>
        <v>Jugla</v>
      </c>
      <c r="C2803" s="2" t="str">
        <f>IFERROR(__xludf.DUMMYFUNCTION("""COMPUTED_VALUE"""),"Silciema 15")</f>
        <v>Silciema 15</v>
      </c>
      <c r="D2803" s="2">
        <f>IFERROR(__xludf.DUMMYFUNCTION("""COMPUTED_VALUE"""),2.0)</f>
        <v>2</v>
      </c>
      <c r="E2803" s="2">
        <f>IFERROR(__xludf.DUMMYFUNCTION("""COMPUTED_VALUE"""),49.0)</f>
        <v>49</v>
      </c>
      <c r="F2803" s="2">
        <f>IFERROR(__xludf.DUMMYFUNCTION("""COMPUTED_VALUE"""),2.0)</f>
        <v>2</v>
      </c>
      <c r="G2803" s="2">
        <f>IFERROR(__xludf.DUMMYFUNCTION("""COMPUTED_VALUE"""),5.0)</f>
        <v>5</v>
      </c>
      <c r="H2803" s="2" t="str">
        <f>IFERROR(__xludf.DUMMYFUNCTION("""COMPUTED_VALUE"""),"Hrušč.")</f>
        <v>Hrušč.</v>
      </c>
      <c r="I2803" s="2" t="str">
        <f>IFERROR(__xludf.DUMMYFUNCTION("""COMPUTED_VALUE"""),"Panel")</f>
        <v>Panel</v>
      </c>
      <c r="J2803" s="2" t="str">
        <f>IFERROR(__xludf.DUMMYFUNCTION("""COMPUTED_VALUE"""),"All amenities")</f>
        <v>All amenities</v>
      </c>
      <c r="K2803" s="2">
        <f>IFERROR(__xludf.DUMMYFUNCTION("""COMPUTED_VALUE"""),33099.0)</f>
        <v>33099</v>
      </c>
      <c r="L2803" s="2">
        <f>IFERROR(__xludf.DUMMYFUNCTION("""COMPUTED_VALUE"""),56.9851479)</f>
        <v>56.9851479</v>
      </c>
      <c r="M2803" s="2">
        <f>IFERROR(__xludf.DUMMYFUNCTION("""COMPUTED_VALUE"""),24.239462)</f>
        <v>24.239462</v>
      </c>
    </row>
    <row r="2804">
      <c r="A2804" s="2" t="str">
        <f>IFERROR(__xludf.DUMMYFUNCTION("""COMPUTED_VALUE"""),"For sale")</f>
        <v>For sale</v>
      </c>
      <c r="B2804" s="2" t="str">
        <f>IFERROR(__xludf.DUMMYFUNCTION("""COMPUTED_VALUE"""),"Purvciems")</f>
        <v>Purvciems</v>
      </c>
      <c r="C2804" s="2" t="str">
        <f>IFERROR(__xludf.DUMMYFUNCTION("""COMPUTED_VALUE"""),"Deglava 104")</f>
        <v>Deglava 104</v>
      </c>
      <c r="D2804" s="2">
        <f>IFERROR(__xludf.DUMMYFUNCTION("""COMPUTED_VALUE"""),3.0)</f>
        <v>3</v>
      </c>
      <c r="E2804" s="2">
        <f>IFERROR(__xludf.DUMMYFUNCTION("""COMPUTED_VALUE"""),75.0)</f>
        <v>75</v>
      </c>
      <c r="F2804" s="2">
        <f>IFERROR(__xludf.DUMMYFUNCTION("""COMPUTED_VALUE"""),5.0)</f>
        <v>5</v>
      </c>
      <c r="G2804" s="2">
        <f>IFERROR(__xludf.DUMMYFUNCTION("""COMPUTED_VALUE"""),9.0)</f>
        <v>9</v>
      </c>
      <c r="H2804" s="2">
        <f>IFERROR(__xludf.DUMMYFUNCTION("""COMPUTED_VALUE"""),119.0)</f>
        <v>119</v>
      </c>
      <c r="I2804" s="2" t="str">
        <f>IFERROR(__xludf.DUMMYFUNCTION("""COMPUTED_VALUE"""),"Panel")</f>
        <v>Panel</v>
      </c>
      <c r="J2804" s="2" t="str">
        <f>IFERROR(__xludf.DUMMYFUNCTION("""COMPUTED_VALUE"""),"All amenities")</f>
        <v>All amenities</v>
      </c>
      <c r="K2804" s="2">
        <f>IFERROR(__xludf.DUMMYFUNCTION("""COMPUTED_VALUE"""),67000.0)</f>
        <v>67000</v>
      </c>
      <c r="L2804" s="2">
        <f>IFERROR(__xludf.DUMMYFUNCTION("""COMPUTED_VALUE"""),56.9480278)</f>
        <v>56.9480278</v>
      </c>
      <c r="M2804" s="2">
        <f>IFERROR(__xludf.DUMMYFUNCTION("""COMPUTED_VALUE"""),24.1884904499999)</f>
        <v>24.18849045</v>
      </c>
    </row>
    <row r="2805">
      <c r="A2805" s="2" t="str">
        <f>IFERROR(__xludf.DUMMYFUNCTION("""COMPUTED_VALUE"""),"For rent")</f>
        <v>For rent</v>
      </c>
      <c r="B2805" s="2" t="str">
        <f>IFERROR(__xludf.DUMMYFUNCTION("""COMPUTED_VALUE"""),"centrs")</f>
        <v>centrs</v>
      </c>
      <c r="C2805" s="2" t="str">
        <f>IFERROR(__xludf.DUMMYFUNCTION("""COMPUTED_VALUE"""),"Rūpniecības 5")</f>
        <v>Rūpniecības 5</v>
      </c>
      <c r="D2805" s="2">
        <f>IFERROR(__xludf.DUMMYFUNCTION("""COMPUTED_VALUE"""),3.0)</f>
        <v>3</v>
      </c>
      <c r="E2805" s="2">
        <f>IFERROR(__xludf.DUMMYFUNCTION("""COMPUTED_VALUE"""),100.0)</f>
        <v>100</v>
      </c>
      <c r="F2805" s="2">
        <f>IFERROR(__xludf.DUMMYFUNCTION("""COMPUTED_VALUE"""),2.0)</f>
        <v>2</v>
      </c>
      <c r="G2805" s="2">
        <f>IFERROR(__xludf.DUMMYFUNCTION("""COMPUTED_VALUE"""),6.0)</f>
        <v>6</v>
      </c>
      <c r="H2805" s="2" t="str">
        <f>IFERROR(__xludf.DUMMYFUNCTION("""COMPUTED_VALUE"""),"Renov.")</f>
        <v>Renov.</v>
      </c>
      <c r="I2805" s="2" t="str">
        <f>IFERROR(__xludf.DUMMYFUNCTION("""COMPUTED_VALUE"""),"Brick")</f>
        <v>Brick</v>
      </c>
      <c r="J2805" s="2" t="str">
        <f>IFERROR(__xludf.DUMMYFUNCTION("""COMPUTED_VALUE"""),"All amenities")</f>
        <v>All amenities</v>
      </c>
      <c r="K2805" s="2">
        <f>IFERROR(__xludf.DUMMYFUNCTION("""COMPUTED_VALUE"""),800.0)</f>
        <v>800</v>
      </c>
      <c r="L2805" s="2">
        <f>IFERROR(__xludf.DUMMYFUNCTION("""COMPUTED_VALUE"""),56.9596778)</f>
        <v>56.9596778</v>
      </c>
      <c r="M2805" s="2">
        <f>IFERROR(__xludf.DUMMYFUNCTION("""COMPUTED_VALUE"""),24.1027358)</f>
        <v>24.1027358</v>
      </c>
    </row>
    <row r="2806">
      <c r="A2806" s="2" t="str">
        <f>IFERROR(__xludf.DUMMYFUNCTION("""COMPUTED_VALUE"""),"For sale")</f>
        <v>For sale</v>
      </c>
      <c r="B2806" s="2" t="str">
        <f>IFERROR(__xludf.DUMMYFUNCTION("""COMPUTED_VALUE"""),"Sarkandaugava")</f>
        <v>Sarkandaugava</v>
      </c>
      <c r="C2806" s="2" t="str">
        <f>IFERROR(__xludf.DUMMYFUNCTION("""COMPUTED_VALUE"""),"Viestura pr. 77")</f>
        <v>Viestura pr. 77</v>
      </c>
      <c r="D2806" s="2">
        <f>IFERROR(__xludf.DUMMYFUNCTION("""COMPUTED_VALUE"""),2.0)</f>
        <v>2</v>
      </c>
      <c r="E2806" s="2">
        <f>IFERROR(__xludf.DUMMYFUNCTION("""COMPUTED_VALUE"""),46.0)</f>
        <v>46</v>
      </c>
      <c r="F2806" s="2">
        <f>IFERROR(__xludf.DUMMYFUNCTION("""COMPUTED_VALUE"""),5.0)</f>
        <v>5</v>
      </c>
      <c r="G2806" s="2">
        <f>IFERROR(__xludf.DUMMYFUNCTION("""COMPUTED_VALUE"""),5.0)</f>
        <v>5</v>
      </c>
      <c r="H2806" s="2">
        <f>IFERROR(__xludf.DUMMYFUNCTION("""COMPUTED_VALUE"""),103.0)</f>
        <v>103</v>
      </c>
      <c r="I2806" s="2" t="str">
        <f>IFERROR(__xludf.DUMMYFUNCTION("""COMPUTED_VALUE"""),"Brick-Panel")</f>
        <v>Brick-Panel</v>
      </c>
      <c r="J2806" s="2" t="str">
        <f>IFERROR(__xludf.DUMMYFUNCTION("""COMPUTED_VALUE"""),"All amenities")</f>
        <v>All amenities</v>
      </c>
      <c r="K2806" s="2">
        <f>IFERROR(__xludf.DUMMYFUNCTION("""COMPUTED_VALUE"""),41500.0)</f>
        <v>41500</v>
      </c>
      <c r="L2806" s="2">
        <f>IFERROR(__xludf.DUMMYFUNCTION("""COMPUTED_VALUE"""),56.9984366)</f>
        <v>56.9984366</v>
      </c>
      <c r="M2806" s="2">
        <f>IFERROR(__xludf.DUMMYFUNCTION("""COMPUTED_VALUE"""),24.1328951)</f>
        <v>24.1328951</v>
      </c>
    </row>
    <row r="2807">
      <c r="A2807" s="2" t="str">
        <f>IFERROR(__xludf.DUMMYFUNCTION("""COMPUTED_VALUE"""),"For sale")</f>
        <v>For sale</v>
      </c>
      <c r="B2807" s="2" t="str">
        <f>IFERROR(__xludf.DUMMYFUNCTION("""COMPUTED_VALUE"""),"Ķengarags")</f>
        <v>Ķengarags</v>
      </c>
      <c r="C2807" s="2" t="str">
        <f>IFERROR(__xludf.DUMMYFUNCTION("""COMPUTED_VALUE"""),"Maskavas 291 k-3")</f>
        <v>Maskavas 291 k-3</v>
      </c>
      <c r="D2807" s="2">
        <f>IFERROR(__xludf.DUMMYFUNCTION("""COMPUTED_VALUE"""),3.0)</f>
        <v>3</v>
      </c>
      <c r="E2807" s="2">
        <f>IFERROR(__xludf.DUMMYFUNCTION("""COMPUTED_VALUE"""),60.0)</f>
        <v>60</v>
      </c>
      <c r="F2807" s="2">
        <f>IFERROR(__xludf.DUMMYFUNCTION("""COMPUTED_VALUE"""),5.0)</f>
        <v>5</v>
      </c>
      <c r="G2807" s="2">
        <f>IFERROR(__xludf.DUMMYFUNCTION("""COMPUTED_VALUE"""),5.0)</f>
        <v>5</v>
      </c>
      <c r="H2807" s="2" t="str">
        <f>IFERROR(__xludf.DUMMYFUNCTION("""COMPUTED_VALUE"""),"LT proj.")</f>
        <v>LT proj.</v>
      </c>
      <c r="I2807" s="2" t="str">
        <f>IFERROR(__xludf.DUMMYFUNCTION("""COMPUTED_VALUE"""),"Panel")</f>
        <v>Panel</v>
      </c>
      <c r="J2807" s="2" t="str">
        <f>IFERROR(__xludf.DUMMYFUNCTION("""COMPUTED_VALUE"""),"All amenities")</f>
        <v>All amenities</v>
      </c>
      <c r="K2807" s="2">
        <f>IFERROR(__xludf.DUMMYFUNCTION("""COMPUTED_VALUE"""),59990.0)</f>
        <v>59990</v>
      </c>
      <c r="L2807" s="2">
        <f>IFERROR(__xludf.DUMMYFUNCTION("""COMPUTED_VALUE"""),56.9168339)</f>
        <v>56.9168339</v>
      </c>
      <c r="M2807" s="2">
        <f>IFERROR(__xludf.DUMMYFUNCTION("""COMPUTED_VALUE"""),24.17698295)</f>
        <v>24.17698295</v>
      </c>
    </row>
    <row r="2808">
      <c r="A2808" s="2" t="str">
        <f>IFERROR(__xludf.DUMMYFUNCTION("""COMPUTED_VALUE"""),"For sale")</f>
        <v>For sale</v>
      </c>
      <c r="B2808" s="2" t="str">
        <f>IFERROR(__xludf.DUMMYFUNCTION("""COMPUTED_VALUE"""),"Ziepniekkalns")</f>
        <v>Ziepniekkalns</v>
      </c>
      <c r="C2808" s="2" t="str">
        <f>IFERROR(__xludf.DUMMYFUNCTION("""COMPUTED_VALUE"""),"Valdeķu 52-4")</f>
        <v>Valdeķu 52-4</v>
      </c>
      <c r="D2808" s="2">
        <f>IFERROR(__xludf.DUMMYFUNCTION("""COMPUTED_VALUE"""),3.0)</f>
        <v>3</v>
      </c>
      <c r="E2808" s="2">
        <f>IFERROR(__xludf.DUMMYFUNCTION("""COMPUTED_VALUE"""),62.0)</f>
        <v>62</v>
      </c>
      <c r="F2808" s="2">
        <f>IFERROR(__xludf.DUMMYFUNCTION("""COMPUTED_VALUE"""),9.0)</f>
        <v>9</v>
      </c>
      <c r="G2808" s="2">
        <f>IFERROR(__xludf.DUMMYFUNCTION("""COMPUTED_VALUE"""),9.0)</f>
        <v>9</v>
      </c>
      <c r="H2808" s="2">
        <f>IFERROR(__xludf.DUMMYFUNCTION("""COMPUTED_VALUE"""),602.0)</f>
        <v>602</v>
      </c>
      <c r="I2808" s="2" t="str">
        <f>IFERROR(__xludf.DUMMYFUNCTION("""COMPUTED_VALUE"""),"Panel")</f>
        <v>Panel</v>
      </c>
      <c r="J2808" s="2" t="str">
        <f>IFERROR(__xludf.DUMMYFUNCTION("""COMPUTED_VALUE"""),"All amenities")</f>
        <v>All amenities</v>
      </c>
      <c r="K2808" s="2">
        <f>IFERROR(__xludf.DUMMYFUNCTION("""COMPUTED_VALUE"""),70000.0)</f>
        <v>70000</v>
      </c>
      <c r="L2808" s="2">
        <f>IFERROR(__xludf.DUMMYFUNCTION("""COMPUTED_VALUE"""),56.9150015)</f>
        <v>56.9150015</v>
      </c>
      <c r="M2808" s="2">
        <f>IFERROR(__xludf.DUMMYFUNCTION("""COMPUTED_VALUE"""),24.0967059)</f>
        <v>24.0967059</v>
      </c>
    </row>
    <row r="2809">
      <c r="A2809" s="2" t="str">
        <f>IFERROR(__xludf.DUMMYFUNCTION("""COMPUTED_VALUE"""),"For rent")</f>
        <v>For rent</v>
      </c>
      <c r="B2809" s="2" t="str">
        <f>IFERROR(__xludf.DUMMYFUNCTION("""COMPUTED_VALUE"""),"Teika")</f>
        <v>Teika</v>
      </c>
      <c r="C2809" s="2" t="str">
        <f>IFERROR(__xludf.DUMMYFUNCTION("""COMPUTED_VALUE"""),"Brīvības gatve 233")</f>
        <v>Brīvības gatve 233</v>
      </c>
      <c r="D2809" s="2">
        <f>IFERROR(__xludf.DUMMYFUNCTION("""COMPUTED_VALUE"""),2.0)</f>
        <v>2</v>
      </c>
      <c r="E2809" s="2">
        <f>IFERROR(__xludf.DUMMYFUNCTION("""COMPUTED_VALUE"""),63.0)</f>
        <v>63</v>
      </c>
      <c r="F2809" s="2">
        <f>IFERROR(__xludf.DUMMYFUNCTION("""COMPUTED_VALUE"""),2.0)</f>
        <v>2</v>
      </c>
      <c r="G2809" s="2">
        <f>IFERROR(__xludf.DUMMYFUNCTION("""COMPUTED_VALUE"""),3.0)</f>
        <v>3</v>
      </c>
      <c r="H2809" s="2" t="str">
        <f>IFERROR(__xludf.DUMMYFUNCTION("""COMPUTED_VALUE"""),"P. kara")</f>
        <v>P. kara</v>
      </c>
      <c r="I2809" s="2" t="str">
        <f>IFERROR(__xludf.DUMMYFUNCTION("""COMPUTED_VALUE"""),"Brick")</f>
        <v>Brick</v>
      </c>
      <c r="J2809" s="2" t="str">
        <f>IFERROR(__xludf.DUMMYFUNCTION("""COMPUTED_VALUE"""),"All amenities")</f>
        <v>All amenities</v>
      </c>
      <c r="K2809" s="2">
        <f>IFERROR(__xludf.DUMMYFUNCTION("""COMPUTED_VALUE"""),460.0)</f>
        <v>460</v>
      </c>
      <c r="L2809" s="2">
        <f>IFERROR(__xludf.DUMMYFUNCTION("""COMPUTED_VALUE"""),56.97690435)</f>
        <v>56.97690435</v>
      </c>
      <c r="M2809" s="2">
        <f>IFERROR(__xludf.DUMMYFUNCTION("""COMPUTED_VALUE"""),24.1768326628887)</f>
        <v>24.17683266</v>
      </c>
    </row>
    <row r="2810">
      <c r="A2810" s="2" t="str">
        <f>IFERROR(__xludf.DUMMYFUNCTION("""COMPUTED_VALUE"""),"For sale")</f>
        <v>For sale</v>
      </c>
      <c r="B2810" s="2" t="str">
        <f>IFERROR(__xludf.DUMMYFUNCTION("""COMPUTED_VALUE"""),"centrs")</f>
        <v>centrs</v>
      </c>
      <c r="C2810" s="2" t="str">
        <f>IFERROR(__xludf.DUMMYFUNCTION("""COMPUTED_VALUE"""),"Ieroču 1")</f>
        <v>Ieroču 1</v>
      </c>
      <c r="D2810" s="2">
        <f>IFERROR(__xludf.DUMMYFUNCTION("""COMPUTED_VALUE"""),2.0)</f>
        <v>2</v>
      </c>
      <c r="E2810" s="2">
        <f>IFERROR(__xludf.DUMMYFUNCTION("""COMPUTED_VALUE"""),83.0)</f>
        <v>83</v>
      </c>
      <c r="F2810" s="2">
        <f>IFERROR(__xludf.DUMMYFUNCTION("""COMPUTED_VALUE"""),5.0)</f>
        <v>5</v>
      </c>
      <c r="G2810" s="2">
        <f>IFERROR(__xludf.DUMMYFUNCTION("""COMPUTED_VALUE"""),6.0)</f>
        <v>6</v>
      </c>
      <c r="H2810" s="2" t="str">
        <f>IFERROR(__xludf.DUMMYFUNCTION("""COMPUTED_VALUE"""),"Staļina")</f>
        <v>Staļina</v>
      </c>
      <c r="I2810" s="2" t="str">
        <f>IFERROR(__xludf.DUMMYFUNCTION("""COMPUTED_VALUE"""),"Masonry")</f>
        <v>Masonry</v>
      </c>
      <c r="J2810" s="2" t="str">
        <f>IFERROR(__xludf.DUMMYFUNCTION("""COMPUTED_VALUE"""),"Partial amenities")</f>
        <v>Partial amenities</v>
      </c>
      <c r="K2810" s="2">
        <f>IFERROR(__xludf.DUMMYFUNCTION("""COMPUTED_VALUE"""),56000.0)</f>
        <v>56000</v>
      </c>
      <c r="L2810" s="2">
        <f>IFERROR(__xludf.DUMMYFUNCTION("""COMPUTED_VALUE"""),56.97568045)</f>
        <v>56.97568045</v>
      </c>
      <c r="M2810" s="2">
        <f>IFERROR(__xludf.DUMMYFUNCTION("""COMPUTED_VALUE"""),24.1399743)</f>
        <v>24.1399743</v>
      </c>
    </row>
    <row r="2811">
      <c r="A2811" s="2" t="str">
        <f>IFERROR(__xludf.DUMMYFUNCTION("""COMPUTED_VALUE"""),"For rent")</f>
        <v>For rent</v>
      </c>
      <c r="B2811" s="2" t="str">
        <f>IFERROR(__xludf.DUMMYFUNCTION("""COMPUTED_VALUE"""),"Purvciems")</f>
        <v>Purvciems</v>
      </c>
      <c r="C2811" s="2" t="str">
        <f>IFERROR(__xludf.DUMMYFUNCTION("""COMPUTED_VALUE"""),"Ainavas 2a")</f>
        <v>Ainavas 2a</v>
      </c>
      <c r="D2811" s="2">
        <f>IFERROR(__xludf.DUMMYFUNCTION("""COMPUTED_VALUE"""),3.0)</f>
        <v>3</v>
      </c>
      <c r="E2811" s="2">
        <f>IFERROR(__xludf.DUMMYFUNCTION("""COMPUTED_VALUE"""),82.0)</f>
        <v>82</v>
      </c>
      <c r="F2811" s="2">
        <f>IFERROR(__xludf.DUMMYFUNCTION("""COMPUTED_VALUE"""),5.0)</f>
        <v>5</v>
      </c>
      <c r="G2811" s="2">
        <f>IFERROR(__xludf.DUMMYFUNCTION("""COMPUTED_VALUE"""),6.0)</f>
        <v>6</v>
      </c>
      <c r="H2811" s="2" t="str">
        <f>IFERROR(__xludf.DUMMYFUNCTION("""COMPUTED_VALUE"""),"Jaun.")</f>
        <v>Jaun.</v>
      </c>
      <c r="I2811" s="2" t="str">
        <f>IFERROR(__xludf.DUMMYFUNCTION("""COMPUTED_VALUE"""),"Masonry")</f>
        <v>Masonry</v>
      </c>
      <c r="J2811" s="2" t="str">
        <f>IFERROR(__xludf.DUMMYFUNCTION("""COMPUTED_VALUE"""),"All amenities")</f>
        <v>All amenities</v>
      </c>
      <c r="K2811" s="2">
        <f>IFERROR(__xludf.DUMMYFUNCTION("""COMPUTED_VALUE"""),680.0)</f>
        <v>680</v>
      </c>
      <c r="L2811" s="2">
        <f>IFERROR(__xludf.DUMMYFUNCTION("""COMPUTED_VALUE"""),56.9638199)</f>
        <v>56.9638199</v>
      </c>
      <c r="M2811" s="2">
        <f>IFERROR(__xludf.DUMMYFUNCTION("""COMPUTED_VALUE"""),24.1897360840843)</f>
        <v>24.18973608</v>
      </c>
    </row>
    <row r="2812">
      <c r="A2812" s="2" t="str">
        <f>IFERROR(__xludf.DUMMYFUNCTION("""COMPUTED_VALUE"""),"For sale")</f>
        <v>For sale</v>
      </c>
      <c r="B2812" s="2" t="str">
        <f>IFERROR(__xludf.DUMMYFUNCTION("""COMPUTED_VALUE"""),"Teika")</f>
        <v>Teika</v>
      </c>
      <c r="C2812" s="2" t="str">
        <f>IFERROR(__xludf.DUMMYFUNCTION("""COMPUTED_VALUE"""),"Ropažu 98")</f>
        <v>Ropažu 98</v>
      </c>
      <c r="D2812" s="2">
        <f>IFERROR(__xludf.DUMMYFUNCTION("""COMPUTED_VALUE"""),1.0)</f>
        <v>1</v>
      </c>
      <c r="E2812" s="2">
        <f>IFERROR(__xludf.DUMMYFUNCTION("""COMPUTED_VALUE"""),23.0)</f>
        <v>23</v>
      </c>
      <c r="F2812" s="2">
        <f>IFERROR(__xludf.DUMMYFUNCTION("""COMPUTED_VALUE"""),2.0)</f>
        <v>2</v>
      </c>
      <c r="G2812" s="2">
        <f>IFERROR(__xludf.DUMMYFUNCTION("""COMPUTED_VALUE"""),3.0)</f>
        <v>3</v>
      </c>
      <c r="H2812" s="2" t="str">
        <f>IFERROR(__xludf.DUMMYFUNCTION("""COMPUTED_VALUE"""),"Staļina")</f>
        <v>Staļina</v>
      </c>
      <c r="I2812" s="2" t="str">
        <f>IFERROR(__xludf.DUMMYFUNCTION("""COMPUTED_VALUE"""),"Masonry")</f>
        <v>Masonry</v>
      </c>
      <c r="J2812" s="2" t="str">
        <f>IFERROR(__xludf.DUMMYFUNCTION("""COMPUTED_VALUE"""),"All amenities")</f>
        <v>All amenities</v>
      </c>
      <c r="K2812" s="2">
        <f>IFERROR(__xludf.DUMMYFUNCTION("""COMPUTED_VALUE"""),15500.0)</f>
        <v>15500</v>
      </c>
      <c r="L2812" s="2">
        <f>IFERROR(__xludf.DUMMYFUNCTION("""COMPUTED_VALUE"""),56.9829103999999)</f>
        <v>56.9829104</v>
      </c>
      <c r="M2812" s="2">
        <f>IFERROR(__xludf.DUMMYFUNCTION("""COMPUTED_VALUE"""),24.1898681)</f>
        <v>24.1898681</v>
      </c>
    </row>
    <row r="2813">
      <c r="A2813" s="2" t="str">
        <f>IFERROR(__xludf.DUMMYFUNCTION("""COMPUTED_VALUE"""),"For sale")</f>
        <v>For sale</v>
      </c>
      <c r="B2813" s="2" t="str">
        <f>IFERROR(__xludf.DUMMYFUNCTION("""COMPUTED_VALUE"""),"Purvciems")</f>
        <v>Purvciems</v>
      </c>
      <c r="C2813" s="2" t="str">
        <f>IFERROR(__xludf.DUMMYFUNCTION("""COMPUTED_VALUE"""),"Dzelzavas 2")</f>
        <v>Dzelzavas 2</v>
      </c>
      <c r="D2813" s="2">
        <f>IFERROR(__xludf.DUMMYFUNCTION("""COMPUTED_VALUE"""),3.0)</f>
        <v>3</v>
      </c>
      <c r="E2813" s="2">
        <f>IFERROR(__xludf.DUMMYFUNCTION("""COMPUTED_VALUE"""),91.8)</f>
        <v>91.8</v>
      </c>
      <c r="F2813" s="2">
        <f>IFERROR(__xludf.DUMMYFUNCTION("""COMPUTED_VALUE"""),2.0)</f>
        <v>2</v>
      </c>
      <c r="G2813" s="2">
        <f>IFERROR(__xludf.DUMMYFUNCTION("""COMPUTED_VALUE"""),2.0)</f>
        <v>2</v>
      </c>
      <c r="H2813" s="2" t="str">
        <f>IFERROR(__xludf.DUMMYFUNCTION("""COMPUTED_VALUE"""),"P. kara")</f>
        <v>P. kara</v>
      </c>
      <c r="I2813" s="2" t="str">
        <f>IFERROR(__xludf.DUMMYFUNCTION("""COMPUTED_VALUE"""),"Brick")</f>
        <v>Brick</v>
      </c>
      <c r="J2813" s="2" t="str">
        <f>IFERROR(__xludf.DUMMYFUNCTION("""COMPUTED_VALUE"""),"All amenities")</f>
        <v>All amenities</v>
      </c>
      <c r="K2813" s="2">
        <f>IFERROR(__xludf.DUMMYFUNCTION("""COMPUTED_VALUE"""),85000.0)</f>
        <v>85000</v>
      </c>
      <c r="L2813" s="2">
        <f>IFERROR(__xludf.DUMMYFUNCTION("""COMPUTED_VALUE"""),56.96446795)</f>
        <v>56.96446795</v>
      </c>
      <c r="M2813" s="2">
        <f>IFERROR(__xludf.DUMMYFUNCTION("""COMPUTED_VALUE"""),24.166697337245)</f>
        <v>24.16669734</v>
      </c>
    </row>
    <row r="2814">
      <c r="A2814" s="2" t="str">
        <f>IFERROR(__xludf.DUMMYFUNCTION("""COMPUTED_VALUE"""),"For sale")</f>
        <v>For sale</v>
      </c>
      <c r="B2814" s="2" t="str">
        <f>IFERROR(__xludf.DUMMYFUNCTION("""COMPUTED_VALUE"""),"Teika")</f>
        <v>Teika</v>
      </c>
      <c r="C2814" s="2" t="str">
        <f>IFERROR(__xludf.DUMMYFUNCTION("""COMPUTED_VALUE"""),"Pēkšēna 11")</f>
        <v>Pēkšēna 11</v>
      </c>
      <c r="D2814" s="2">
        <f>IFERROR(__xludf.DUMMYFUNCTION("""COMPUTED_VALUE"""),2.0)</f>
        <v>2</v>
      </c>
      <c r="E2814" s="2">
        <f>IFERROR(__xludf.DUMMYFUNCTION("""COMPUTED_VALUE"""),39.0)</f>
        <v>39</v>
      </c>
      <c r="F2814" s="2">
        <f>IFERROR(__xludf.DUMMYFUNCTION("""COMPUTED_VALUE"""),1.0)</f>
        <v>1</v>
      </c>
      <c r="G2814" s="2">
        <f>IFERROR(__xludf.DUMMYFUNCTION("""COMPUTED_VALUE"""),2.0)</f>
        <v>2</v>
      </c>
      <c r="H2814" s="2" t="str">
        <f>IFERROR(__xludf.DUMMYFUNCTION("""COMPUTED_VALUE"""),"P. kara")</f>
        <v>P. kara</v>
      </c>
      <c r="I2814" s="2" t="str">
        <f>IFERROR(__xludf.DUMMYFUNCTION("""COMPUTED_VALUE"""),"Wood")</f>
        <v>Wood</v>
      </c>
      <c r="J2814" s="2" t="str">
        <f>IFERROR(__xludf.DUMMYFUNCTION("""COMPUTED_VALUE"""),"All amenities")</f>
        <v>All amenities</v>
      </c>
      <c r="K2814" s="2">
        <f>IFERROR(__xludf.DUMMYFUNCTION("""COMPUTED_VALUE"""),56800.0)</f>
        <v>56800</v>
      </c>
      <c r="L2814" s="2">
        <f>IFERROR(__xludf.DUMMYFUNCTION("""COMPUTED_VALUE"""),56.97539405)</f>
        <v>56.97539405</v>
      </c>
      <c r="M2814" s="2">
        <f>IFERROR(__xludf.DUMMYFUNCTION("""COMPUTED_VALUE"""),24.1796033885698)</f>
        <v>24.17960339</v>
      </c>
    </row>
    <row r="2815">
      <c r="A2815" s="2" t="str">
        <f>IFERROR(__xludf.DUMMYFUNCTION("""COMPUTED_VALUE"""),"For rent")</f>
        <v>For rent</v>
      </c>
      <c r="B2815" s="2" t="str">
        <f>IFERROR(__xludf.DUMMYFUNCTION("""COMPUTED_VALUE"""),"Ķengarags")</f>
        <v>Ķengarags</v>
      </c>
      <c r="C2815" s="2" t="str">
        <f>IFERROR(__xludf.DUMMYFUNCTION("""COMPUTED_VALUE"""),"Maskavas 299")</f>
        <v>Maskavas 299</v>
      </c>
      <c r="D2815" s="2">
        <f>IFERROR(__xludf.DUMMYFUNCTION("""COMPUTED_VALUE"""),1.0)</f>
        <v>1</v>
      </c>
      <c r="E2815" s="2">
        <f>IFERROR(__xludf.DUMMYFUNCTION("""COMPUTED_VALUE"""),30.0)</f>
        <v>30</v>
      </c>
      <c r="F2815" s="2">
        <f>IFERROR(__xludf.DUMMYFUNCTION("""COMPUTED_VALUE"""),10.0)</f>
        <v>10</v>
      </c>
      <c r="G2815" s="2">
        <f>IFERROR(__xludf.DUMMYFUNCTION("""COMPUTED_VALUE"""),12.0)</f>
        <v>12</v>
      </c>
      <c r="H2815" s="2" t="str">
        <f>IFERROR(__xludf.DUMMYFUNCTION("""COMPUTED_VALUE"""),"Čehu pr.")</f>
        <v>Čehu pr.</v>
      </c>
      <c r="I2815" s="2" t="str">
        <f>IFERROR(__xludf.DUMMYFUNCTION("""COMPUTED_VALUE"""),"Brick-Panel")</f>
        <v>Brick-Panel</v>
      </c>
      <c r="J2815" s="2" t="str">
        <f>IFERROR(__xludf.DUMMYFUNCTION("""COMPUTED_VALUE"""),"All amenities")</f>
        <v>All amenities</v>
      </c>
      <c r="K2815" s="2">
        <f>IFERROR(__xludf.DUMMYFUNCTION("""COMPUTED_VALUE"""),260.0)</f>
        <v>260</v>
      </c>
      <c r="L2815" s="2">
        <f>IFERROR(__xludf.DUMMYFUNCTION("""COMPUTED_VALUE"""),56.8597884)</f>
        <v>56.8597884</v>
      </c>
      <c r="M2815" s="2">
        <f>IFERROR(__xludf.DUMMYFUNCTION("""COMPUTED_VALUE"""),24.3083417)</f>
        <v>24.3083417</v>
      </c>
    </row>
    <row r="2816">
      <c r="A2816" s="2" t="str">
        <f>IFERROR(__xludf.DUMMYFUNCTION("""COMPUTED_VALUE"""),"For sale")</f>
        <v>For sale</v>
      </c>
      <c r="B2816" s="2" t="str">
        <f>IFERROR(__xludf.DUMMYFUNCTION("""COMPUTED_VALUE"""),"centrs")</f>
        <v>centrs</v>
      </c>
      <c r="C2816" s="2" t="str">
        <f>IFERROR(__xludf.DUMMYFUNCTION("""COMPUTED_VALUE"""),"Brīvības iela 1")</f>
        <v>Brīvības iela 1</v>
      </c>
      <c r="D2816" s="2">
        <f>IFERROR(__xludf.DUMMYFUNCTION("""COMPUTED_VALUE"""),3.0)</f>
        <v>3</v>
      </c>
      <c r="E2816" s="2">
        <f>IFERROR(__xludf.DUMMYFUNCTION("""COMPUTED_VALUE"""),75.0)</f>
        <v>75</v>
      </c>
      <c r="F2816" s="2">
        <f>IFERROR(__xludf.DUMMYFUNCTION("""COMPUTED_VALUE"""),5.0)</f>
        <v>5</v>
      </c>
      <c r="G2816" s="2">
        <f>IFERROR(__xludf.DUMMYFUNCTION("""COMPUTED_VALUE"""),5.0)</f>
        <v>5</v>
      </c>
      <c r="H2816" s="2" t="str">
        <f>IFERROR(__xludf.DUMMYFUNCTION("""COMPUTED_VALUE"""),"P. kara")</f>
        <v>P. kara</v>
      </c>
      <c r="I2816" s="2" t="str">
        <f>IFERROR(__xludf.DUMMYFUNCTION("""COMPUTED_VALUE"""),"Masonry")</f>
        <v>Masonry</v>
      </c>
      <c r="J2816" s="2" t="str">
        <f>IFERROR(__xludf.DUMMYFUNCTION("""COMPUTED_VALUE"""),"All amenities")</f>
        <v>All amenities</v>
      </c>
      <c r="K2816" s="2">
        <f>IFERROR(__xludf.DUMMYFUNCTION("""COMPUTED_VALUE"""),157920.0)</f>
        <v>157920</v>
      </c>
      <c r="L2816" s="2">
        <f>IFERROR(__xludf.DUMMYFUNCTION("""COMPUTED_VALUE"""),56.96490685)</f>
        <v>56.96490685</v>
      </c>
      <c r="M2816" s="2">
        <f>IFERROR(__xludf.DUMMYFUNCTION("""COMPUTED_VALUE"""),24.143051645708)</f>
        <v>24.14305165</v>
      </c>
    </row>
    <row r="2817">
      <c r="A2817" s="2" t="str">
        <f>IFERROR(__xludf.DUMMYFUNCTION("""COMPUTED_VALUE"""),"For rent")</f>
        <v>For rent</v>
      </c>
      <c r="B2817" s="2" t="str">
        <f>IFERROR(__xludf.DUMMYFUNCTION("""COMPUTED_VALUE"""),"Pļavnieki")</f>
        <v>Pļavnieki</v>
      </c>
      <c r="C2817" s="2" t="str">
        <f>IFERROR(__xludf.DUMMYFUNCTION("""COMPUTED_VALUE"""),"Tīnūžu 3")</f>
        <v>Tīnūžu 3</v>
      </c>
      <c r="D2817" s="2">
        <f>IFERROR(__xludf.DUMMYFUNCTION("""COMPUTED_VALUE"""),1.0)</f>
        <v>1</v>
      </c>
      <c r="E2817" s="2">
        <f>IFERROR(__xludf.DUMMYFUNCTION("""COMPUTED_VALUE"""),35.0)</f>
        <v>35</v>
      </c>
      <c r="F2817" s="2">
        <f>IFERROR(__xludf.DUMMYFUNCTION("""COMPUTED_VALUE"""),1.0)</f>
        <v>1</v>
      </c>
      <c r="G2817" s="2">
        <f>IFERROR(__xludf.DUMMYFUNCTION("""COMPUTED_VALUE"""),8.0)</f>
        <v>8</v>
      </c>
      <c r="H2817" s="2">
        <f>IFERROR(__xludf.DUMMYFUNCTION("""COMPUTED_VALUE"""),602.0)</f>
        <v>602</v>
      </c>
      <c r="I2817" s="2" t="str">
        <f>IFERROR(__xludf.DUMMYFUNCTION("""COMPUTED_VALUE"""),"Panel")</f>
        <v>Panel</v>
      </c>
      <c r="J2817" s="2" t="str">
        <f>IFERROR(__xludf.DUMMYFUNCTION("""COMPUTED_VALUE"""),"All amenities")</f>
        <v>All amenities</v>
      </c>
      <c r="K2817" s="2">
        <f>IFERROR(__xludf.DUMMYFUNCTION("""COMPUTED_VALUE"""),280.0)</f>
        <v>280</v>
      </c>
      <c r="L2817" s="2">
        <f>IFERROR(__xludf.DUMMYFUNCTION("""COMPUTED_VALUE"""),56.93481935)</f>
        <v>56.93481935</v>
      </c>
      <c r="M2817" s="2">
        <f>IFERROR(__xludf.DUMMYFUNCTION("""COMPUTED_VALUE"""),24.2076626)</f>
        <v>24.2076626</v>
      </c>
    </row>
    <row r="2818">
      <c r="A2818" s="2" t="str">
        <f>IFERROR(__xludf.DUMMYFUNCTION("""COMPUTED_VALUE"""),"For sale")</f>
        <v>For sale</v>
      </c>
      <c r="B2818" s="2" t="str">
        <f>IFERROR(__xludf.DUMMYFUNCTION("""COMPUTED_VALUE"""),"Teika")</f>
        <v>Teika</v>
      </c>
      <c r="C2818" s="2" t="str">
        <f>IFERROR(__xludf.DUMMYFUNCTION("""COMPUTED_VALUE"""),"Ropažu 122 k-5")</f>
        <v>Ropažu 122 k-5</v>
      </c>
      <c r="D2818" s="2">
        <f>IFERROR(__xludf.DUMMYFUNCTION("""COMPUTED_VALUE"""),1.0)</f>
        <v>1</v>
      </c>
      <c r="E2818" s="2">
        <f>IFERROR(__xludf.DUMMYFUNCTION("""COMPUTED_VALUE"""),37.0)</f>
        <v>37</v>
      </c>
      <c r="F2818" s="2">
        <f>IFERROR(__xludf.DUMMYFUNCTION("""COMPUTED_VALUE"""),1.0)</f>
        <v>1</v>
      </c>
      <c r="G2818" s="2">
        <f>IFERROR(__xludf.DUMMYFUNCTION("""COMPUTED_VALUE"""),2.0)</f>
        <v>2</v>
      </c>
      <c r="H2818" s="2" t="str">
        <f>IFERROR(__xludf.DUMMYFUNCTION("""COMPUTED_VALUE"""),"Staļina")</f>
        <v>Staļina</v>
      </c>
      <c r="I2818" s="2" t="str">
        <f>IFERROR(__xludf.DUMMYFUNCTION("""COMPUTED_VALUE"""),"Masonry")</f>
        <v>Masonry</v>
      </c>
      <c r="J2818" s="2" t="str">
        <f>IFERROR(__xludf.DUMMYFUNCTION("""COMPUTED_VALUE"""),"All amenities")</f>
        <v>All amenities</v>
      </c>
      <c r="K2818" s="2">
        <f>IFERROR(__xludf.DUMMYFUNCTION("""COMPUTED_VALUE"""),34800.0)</f>
        <v>34800</v>
      </c>
      <c r="L2818" s="2">
        <f>IFERROR(__xludf.DUMMYFUNCTION("""COMPUTED_VALUE"""),56.9837612)</f>
        <v>56.9837612</v>
      </c>
      <c r="M2818" s="2">
        <f>IFERROR(__xludf.DUMMYFUNCTION("""COMPUTED_VALUE"""),24.1959440359576)</f>
        <v>24.19594404</v>
      </c>
    </row>
    <row r="2819">
      <c r="A2819" s="2" t="str">
        <f>IFERROR(__xludf.DUMMYFUNCTION("""COMPUTED_VALUE"""),"For sale")</f>
        <v>For sale</v>
      </c>
      <c r="B2819" s="2" t="str">
        <f>IFERROR(__xludf.DUMMYFUNCTION("""COMPUTED_VALUE"""),"Imanta")</f>
        <v>Imanta</v>
      </c>
      <c r="C2819" s="2" t="str">
        <f>IFERROR(__xludf.DUMMYFUNCTION("""COMPUTED_VALUE"""),"Jūrmalas g. 113b")</f>
        <v>Jūrmalas g. 113b</v>
      </c>
      <c r="D2819" s="2">
        <f>IFERROR(__xludf.DUMMYFUNCTION("""COMPUTED_VALUE"""),4.0)</f>
        <v>4</v>
      </c>
      <c r="E2819" s="2">
        <f>IFERROR(__xludf.DUMMYFUNCTION("""COMPUTED_VALUE"""),102.0)</f>
        <v>102</v>
      </c>
      <c r="F2819" s="2">
        <f>IFERROR(__xludf.DUMMYFUNCTION("""COMPUTED_VALUE"""),2.0)</f>
        <v>2</v>
      </c>
      <c r="G2819" s="2">
        <f>IFERROR(__xludf.DUMMYFUNCTION("""COMPUTED_VALUE"""),3.0)</f>
        <v>3</v>
      </c>
      <c r="H2819" s="2" t="str">
        <f>IFERROR(__xludf.DUMMYFUNCTION("""COMPUTED_VALUE"""),"Jaun.")</f>
        <v>Jaun.</v>
      </c>
      <c r="I2819" s="2" t="str">
        <f>IFERROR(__xludf.DUMMYFUNCTION("""COMPUTED_VALUE"""),"Masonry")</f>
        <v>Masonry</v>
      </c>
      <c r="J2819" s="2" t="str">
        <f>IFERROR(__xludf.DUMMYFUNCTION("""COMPUTED_VALUE"""),"All amenities")</f>
        <v>All amenities</v>
      </c>
      <c r="K2819" s="2">
        <f>IFERROR(__xludf.DUMMYFUNCTION("""COMPUTED_VALUE"""),151200.0)</f>
        <v>151200</v>
      </c>
      <c r="L2819" s="2">
        <f>IFERROR(__xludf.DUMMYFUNCTION("""COMPUTED_VALUE"""),56.9540025999999)</f>
        <v>56.9540026</v>
      </c>
      <c r="M2819" s="2">
        <f>IFERROR(__xludf.DUMMYFUNCTION("""COMPUTED_VALUE"""),23.9896591361657)</f>
        <v>23.98965914</v>
      </c>
    </row>
    <row r="2820">
      <c r="A2820" s="2" t="str">
        <f>IFERROR(__xludf.DUMMYFUNCTION("""COMPUTED_VALUE"""),"For rent")</f>
        <v>For rent</v>
      </c>
      <c r="B2820" s="2" t="str">
        <f>IFERROR(__xludf.DUMMYFUNCTION("""COMPUTED_VALUE"""),"Imanta")</f>
        <v>Imanta</v>
      </c>
      <c r="C2820" s="2" t="str">
        <f>IFERROR(__xludf.DUMMYFUNCTION("""COMPUTED_VALUE"""),"Jūrmalas g. 113b")</f>
        <v>Jūrmalas g. 113b</v>
      </c>
      <c r="D2820" s="2">
        <f>IFERROR(__xludf.DUMMYFUNCTION("""COMPUTED_VALUE"""),3.0)</f>
        <v>3</v>
      </c>
      <c r="E2820" s="2">
        <f>IFERROR(__xludf.DUMMYFUNCTION("""COMPUTED_VALUE"""),55.0)</f>
        <v>55</v>
      </c>
      <c r="F2820" s="2">
        <f>IFERROR(__xludf.DUMMYFUNCTION("""COMPUTED_VALUE"""),1.0)</f>
        <v>1</v>
      </c>
      <c r="G2820" s="2">
        <f>IFERROR(__xludf.DUMMYFUNCTION("""COMPUTED_VALUE"""),3.0)</f>
        <v>3</v>
      </c>
      <c r="H2820" s="2" t="str">
        <f>IFERROR(__xludf.DUMMYFUNCTION("""COMPUTED_VALUE"""),"Jaun.")</f>
        <v>Jaun.</v>
      </c>
      <c r="I2820" s="2" t="str">
        <f>IFERROR(__xludf.DUMMYFUNCTION("""COMPUTED_VALUE"""),"Panel-Brick")</f>
        <v>Panel-Brick</v>
      </c>
      <c r="J2820" s="2" t="str">
        <f>IFERROR(__xludf.DUMMYFUNCTION("""COMPUTED_VALUE"""),"All amenities")</f>
        <v>All amenities</v>
      </c>
      <c r="K2820" s="2">
        <f>IFERROR(__xludf.DUMMYFUNCTION("""COMPUTED_VALUE"""),600.0)</f>
        <v>600</v>
      </c>
      <c r="L2820" s="2">
        <f>IFERROR(__xludf.DUMMYFUNCTION("""COMPUTED_VALUE"""),56.9540025999999)</f>
        <v>56.9540026</v>
      </c>
      <c r="M2820" s="2">
        <f>IFERROR(__xludf.DUMMYFUNCTION("""COMPUTED_VALUE"""),23.9896591361657)</f>
        <v>23.98965914</v>
      </c>
    </row>
    <row r="2821">
      <c r="A2821" s="2" t="str">
        <f>IFERROR(__xludf.DUMMYFUNCTION("""COMPUTED_VALUE"""),"For sale")</f>
        <v>For sale</v>
      </c>
      <c r="B2821" s="2" t="str">
        <f>IFERROR(__xludf.DUMMYFUNCTION("""COMPUTED_VALUE"""),"Imanta")</f>
        <v>Imanta</v>
      </c>
      <c r="C2821" s="2" t="str">
        <f>IFERROR(__xludf.DUMMYFUNCTION("""COMPUTED_VALUE"""),"Jūrmalas g. 113b")</f>
        <v>Jūrmalas g. 113b</v>
      </c>
      <c r="D2821" s="2">
        <f>IFERROR(__xludf.DUMMYFUNCTION("""COMPUTED_VALUE"""),3.0)</f>
        <v>3</v>
      </c>
      <c r="E2821" s="2">
        <f>IFERROR(__xludf.DUMMYFUNCTION("""COMPUTED_VALUE"""),57.0)</f>
        <v>57</v>
      </c>
      <c r="F2821" s="2">
        <f>IFERROR(__xludf.DUMMYFUNCTION("""COMPUTED_VALUE"""),1.0)</f>
        <v>1</v>
      </c>
      <c r="G2821" s="2">
        <f>IFERROR(__xludf.DUMMYFUNCTION("""COMPUTED_VALUE"""),3.0)</f>
        <v>3</v>
      </c>
      <c r="H2821" s="2" t="str">
        <f>IFERROR(__xludf.DUMMYFUNCTION("""COMPUTED_VALUE"""),"Jaun.")</f>
        <v>Jaun.</v>
      </c>
      <c r="I2821" s="2" t="str">
        <f>IFERROR(__xludf.DUMMYFUNCTION("""COMPUTED_VALUE"""),"Panel-Brick")</f>
        <v>Panel-Brick</v>
      </c>
      <c r="J2821" s="2" t="str">
        <f>IFERROR(__xludf.DUMMYFUNCTION("""COMPUTED_VALUE"""),"All amenities")</f>
        <v>All amenities</v>
      </c>
      <c r="K2821" s="2">
        <f>IFERROR(__xludf.DUMMYFUNCTION("""COMPUTED_VALUE"""),94500.0)</f>
        <v>94500</v>
      </c>
      <c r="L2821" s="2">
        <f>IFERROR(__xludf.DUMMYFUNCTION("""COMPUTED_VALUE"""),56.9540025999999)</f>
        <v>56.9540026</v>
      </c>
      <c r="M2821" s="2">
        <f>IFERROR(__xludf.DUMMYFUNCTION("""COMPUTED_VALUE"""),23.9896591361657)</f>
        <v>23.98965914</v>
      </c>
    </row>
    <row r="2822">
      <c r="A2822" s="2" t="str">
        <f>IFERROR(__xludf.DUMMYFUNCTION("""COMPUTED_VALUE"""),"For sale")</f>
        <v>For sale</v>
      </c>
      <c r="B2822" s="2" t="str">
        <f>IFERROR(__xludf.DUMMYFUNCTION("""COMPUTED_VALUE"""),"centrs")</f>
        <v>centrs</v>
      </c>
      <c r="C2822" s="2" t="str">
        <f>IFERROR(__xludf.DUMMYFUNCTION("""COMPUTED_VALUE"""),"Hospitāļu 40")</f>
        <v>Hospitāļu 40</v>
      </c>
      <c r="D2822" s="2">
        <f>IFERROR(__xludf.DUMMYFUNCTION("""COMPUTED_VALUE"""),4.0)</f>
        <v>4</v>
      </c>
      <c r="E2822" s="2">
        <f>IFERROR(__xludf.DUMMYFUNCTION("""COMPUTED_VALUE"""),180.0)</f>
        <v>180</v>
      </c>
      <c r="F2822" s="2">
        <f>IFERROR(__xludf.DUMMYFUNCTION("""COMPUTED_VALUE"""),1.0)</f>
        <v>1</v>
      </c>
      <c r="G2822" s="2">
        <f>IFERROR(__xludf.DUMMYFUNCTION("""COMPUTED_VALUE"""),3.0)</f>
        <v>3</v>
      </c>
      <c r="H2822" s="2" t="str">
        <f>IFERROR(__xludf.DUMMYFUNCTION("""COMPUTED_VALUE"""),"Staļina")</f>
        <v>Staļina</v>
      </c>
      <c r="I2822" s="2" t="str">
        <f>IFERROR(__xludf.DUMMYFUNCTION("""COMPUTED_VALUE"""),"Masonry")</f>
        <v>Masonry</v>
      </c>
      <c r="J2822" s="2" t="str">
        <f>IFERROR(__xludf.DUMMYFUNCTION("""COMPUTED_VALUE"""),"All amenities")</f>
        <v>All amenities</v>
      </c>
      <c r="K2822" s="2">
        <f>IFERROR(__xludf.DUMMYFUNCTION("""COMPUTED_VALUE"""),165000.0)</f>
        <v>165000</v>
      </c>
      <c r="L2822" s="2">
        <f>IFERROR(__xludf.DUMMYFUNCTION("""COMPUTED_VALUE"""),56.9758863499999)</f>
        <v>56.97588635</v>
      </c>
      <c r="M2822" s="2">
        <f>IFERROR(__xludf.DUMMYFUNCTION("""COMPUTED_VALUE"""),24.1391725207381)</f>
        <v>24.13917252</v>
      </c>
    </row>
    <row r="2823">
      <c r="A2823" s="2" t="str">
        <f>IFERROR(__xludf.DUMMYFUNCTION("""COMPUTED_VALUE"""),"For sale")</f>
        <v>For sale</v>
      </c>
      <c r="B2823" s="2" t="str">
        <f>IFERROR(__xludf.DUMMYFUNCTION("""COMPUTED_VALUE"""),"Jugla")</f>
        <v>Jugla</v>
      </c>
      <c r="C2823" s="2" t="str">
        <f>IFERROR(__xludf.DUMMYFUNCTION("""COMPUTED_VALUE"""),"Bākūžu 13a")</f>
        <v>Bākūžu 13a</v>
      </c>
      <c r="D2823" s="2">
        <f>IFERROR(__xludf.DUMMYFUNCTION("""COMPUTED_VALUE"""),4.0)</f>
        <v>4</v>
      </c>
      <c r="E2823" s="2">
        <f>IFERROR(__xludf.DUMMYFUNCTION("""COMPUTED_VALUE"""),96.0)</f>
        <v>96</v>
      </c>
      <c r="F2823" s="2">
        <f>IFERROR(__xludf.DUMMYFUNCTION("""COMPUTED_VALUE"""),1.0)</f>
        <v>1</v>
      </c>
      <c r="G2823" s="2">
        <f>IFERROR(__xludf.DUMMYFUNCTION("""COMPUTED_VALUE"""),3.0)</f>
        <v>3</v>
      </c>
      <c r="H2823" s="2" t="str">
        <f>IFERROR(__xludf.DUMMYFUNCTION("""COMPUTED_VALUE"""),"Jaun.")</f>
        <v>Jaun.</v>
      </c>
      <c r="I2823" s="2" t="str">
        <f>IFERROR(__xludf.DUMMYFUNCTION("""COMPUTED_VALUE"""),"Brick-Panel")</f>
        <v>Brick-Panel</v>
      </c>
      <c r="J2823" s="2" t="str">
        <f>IFERROR(__xludf.DUMMYFUNCTION("""COMPUTED_VALUE"""),"All amenities")</f>
        <v>All amenities</v>
      </c>
      <c r="K2823" s="2">
        <f>IFERROR(__xludf.DUMMYFUNCTION("""COMPUTED_VALUE"""),150000.0)</f>
        <v>150000</v>
      </c>
      <c r="L2823" s="2">
        <f>IFERROR(__xludf.DUMMYFUNCTION("""COMPUTED_VALUE"""),56.9876991)</f>
        <v>56.9876991</v>
      </c>
      <c r="M2823" s="2">
        <f>IFERROR(__xludf.DUMMYFUNCTION("""COMPUTED_VALUE"""),24.2350567)</f>
        <v>24.2350567</v>
      </c>
    </row>
    <row r="2824">
      <c r="A2824" s="2" t="str">
        <f>IFERROR(__xludf.DUMMYFUNCTION("""COMPUTED_VALUE"""),"For sale")</f>
        <v>For sale</v>
      </c>
      <c r="B2824" s="2" t="str">
        <f>IFERROR(__xludf.DUMMYFUNCTION("""COMPUTED_VALUE"""),"Krasta r-ns")</f>
        <v>Krasta r-ns</v>
      </c>
      <c r="C2824" s="2" t="str">
        <f>IFERROR(__xludf.DUMMYFUNCTION("""COMPUTED_VALUE"""),"Salacas 5")</f>
        <v>Salacas 5</v>
      </c>
      <c r="D2824" s="2">
        <f>IFERROR(__xludf.DUMMYFUNCTION("""COMPUTED_VALUE"""),2.0)</f>
        <v>2</v>
      </c>
      <c r="E2824" s="2">
        <f>IFERROR(__xludf.DUMMYFUNCTION("""COMPUTED_VALUE"""),48.0)</f>
        <v>48</v>
      </c>
      <c r="F2824" s="2">
        <f>IFERROR(__xludf.DUMMYFUNCTION("""COMPUTED_VALUE"""),3.0)</f>
        <v>3</v>
      </c>
      <c r="G2824" s="2">
        <f>IFERROR(__xludf.DUMMYFUNCTION("""COMPUTED_VALUE"""),3.0)</f>
        <v>3</v>
      </c>
      <c r="H2824" s="2" t="str">
        <f>IFERROR(__xludf.DUMMYFUNCTION("""COMPUTED_VALUE"""),"Specpr.")</f>
        <v>Specpr.</v>
      </c>
      <c r="I2824" s="2" t="str">
        <f>IFERROR(__xludf.DUMMYFUNCTION("""COMPUTED_VALUE"""),"Masonry")</f>
        <v>Masonry</v>
      </c>
      <c r="J2824" s="2" t="str">
        <f>IFERROR(__xludf.DUMMYFUNCTION("""COMPUTED_VALUE"""),"All amenities")</f>
        <v>All amenities</v>
      </c>
      <c r="K2824" s="2">
        <f>IFERROR(__xludf.DUMMYFUNCTION("""COMPUTED_VALUE"""),46900.0)</f>
        <v>46900</v>
      </c>
      <c r="L2824" s="2">
        <f>IFERROR(__xludf.DUMMYFUNCTION("""COMPUTED_VALUE"""),56.92977845)</f>
        <v>56.92977845</v>
      </c>
      <c r="M2824" s="2">
        <f>IFERROR(__xludf.DUMMYFUNCTION("""COMPUTED_VALUE"""),24.16933105)</f>
        <v>24.16933105</v>
      </c>
    </row>
    <row r="2825">
      <c r="A2825" s="2" t="str">
        <f>IFERROR(__xludf.DUMMYFUNCTION("""COMPUTED_VALUE"""),"For sale")</f>
        <v>For sale</v>
      </c>
      <c r="B2825" s="2" t="str">
        <f>IFERROR(__xludf.DUMMYFUNCTION("""COMPUTED_VALUE"""),"Krasta r-ns")</f>
        <v>Krasta r-ns</v>
      </c>
      <c r="C2825" s="2" t="str">
        <f>IFERROR(__xludf.DUMMYFUNCTION("""COMPUTED_VALUE"""),"Pļaviņu 15")</f>
        <v>Pļaviņu 15</v>
      </c>
      <c r="D2825" s="2">
        <f>IFERROR(__xludf.DUMMYFUNCTION("""COMPUTED_VALUE"""),2.0)</f>
        <v>2</v>
      </c>
      <c r="E2825" s="2">
        <f>IFERROR(__xludf.DUMMYFUNCTION("""COMPUTED_VALUE"""),48.0)</f>
        <v>48</v>
      </c>
      <c r="F2825" s="2">
        <f>IFERROR(__xludf.DUMMYFUNCTION("""COMPUTED_VALUE"""),6.0)</f>
        <v>6</v>
      </c>
      <c r="G2825" s="2">
        <f>IFERROR(__xludf.DUMMYFUNCTION("""COMPUTED_VALUE"""),9.0)</f>
        <v>9</v>
      </c>
      <c r="H2825" s="2">
        <f>IFERROR(__xludf.DUMMYFUNCTION("""COMPUTED_VALUE"""),467.0)</f>
        <v>467</v>
      </c>
      <c r="I2825" s="2" t="str">
        <f>IFERROR(__xludf.DUMMYFUNCTION("""COMPUTED_VALUE"""),"Panel")</f>
        <v>Panel</v>
      </c>
      <c r="J2825" s="2" t="str">
        <f>IFERROR(__xludf.DUMMYFUNCTION("""COMPUTED_VALUE"""),"All amenities")</f>
        <v>All amenities</v>
      </c>
      <c r="K2825" s="2">
        <f>IFERROR(__xludf.DUMMYFUNCTION("""COMPUTED_VALUE"""),40000.0)</f>
        <v>40000</v>
      </c>
      <c r="L2825" s="2">
        <f>IFERROR(__xludf.DUMMYFUNCTION("""COMPUTED_VALUE"""),56.93217605)</f>
        <v>56.93217605</v>
      </c>
      <c r="M2825" s="2">
        <f>IFERROR(__xludf.DUMMYFUNCTION("""COMPUTED_VALUE"""),24.16330335)</f>
        <v>24.16330335</v>
      </c>
    </row>
    <row r="2826">
      <c r="A2826" s="2" t="str">
        <f>IFERROR(__xludf.DUMMYFUNCTION("""COMPUTED_VALUE"""),"For sale")</f>
        <v>For sale</v>
      </c>
      <c r="B2826" s="2" t="str">
        <f>IFERROR(__xludf.DUMMYFUNCTION("""COMPUTED_VALUE"""),"Purvciems")</f>
        <v>Purvciems</v>
      </c>
      <c r="C2826" s="2" t="str">
        <f>IFERROR(__xludf.DUMMYFUNCTION("""COMPUTED_VALUE"""),"Brantkalna 2")</f>
        <v>Brantkalna 2</v>
      </c>
      <c r="D2826" s="2">
        <f>IFERROR(__xludf.DUMMYFUNCTION("""COMPUTED_VALUE"""),2.0)</f>
        <v>2</v>
      </c>
      <c r="E2826" s="2">
        <f>IFERROR(__xludf.DUMMYFUNCTION("""COMPUTED_VALUE"""),60.0)</f>
        <v>60</v>
      </c>
      <c r="F2826" s="2">
        <f>IFERROR(__xludf.DUMMYFUNCTION("""COMPUTED_VALUE"""),9.0)</f>
        <v>9</v>
      </c>
      <c r="G2826" s="2">
        <f>IFERROR(__xludf.DUMMYFUNCTION("""COMPUTED_VALUE"""),9.0)</f>
        <v>9</v>
      </c>
      <c r="H2826" s="2">
        <f>IFERROR(__xludf.DUMMYFUNCTION("""COMPUTED_VALUE"""),119.0)</f>
        <v>119</v>
      </c>
      <c r="I2826" s="2" t="str">
        <f>IFERROR(__xludf.DUMMYFUNCTION("""COMPUTED_VALUE"""),"Panel")</f>
        <v>Panel</v>
      </c>
      <c r="J2826" s="2" t="str">
        <f>IFERROR(__xludf.DUMMYFUNCTION("""COMPUTED_VALUE"""),"All amenities")</f>
        <v>All amenities</v>
      </c>
      <c r="K2826" s="2">
        <f>IFERROR(__xludf.DUMMYFUNCTION("""COMPUTED_VALUE"""),64300.0)</f>
        <v>64300</v>
      </c>
      <c r="L2826" s="2">
        <f>IFERROR(__xludf.DUMMYFUNCTION("""COMPUTED_VALUE"""),56.95076315)</f>
        <v>56.95076315</v>
      </c>
      <c r="M2826" s="2">
        <f>IFERROR(__xludf.DUMMYFUNCTION("""COMPUTED_VALUE"""),24.1895691110482)</f>
        <v>24.18956911</v>
      </c>
    </row>
    <row r="2827">
      <c r="A2827" s="2" t="str">
        <f>IFERROR(__xludf.DUMMYFUNCTION("""COMPUTED_VALUE"""),"For sale")</f>
        <v>For sale</v>
      </c>
      <c r="B2827" s="2" t="str">
        <f>IFERROR(__xludf.DUMMYFUNCTION("""COMPUTED_VALUE"""),"Bieriņi")</f>
        <v>Bieriņi</v>
      </c>
      <c r="C2827" s="2" t="str">
        <f>IFERROR(__xludf.DUMMYFUNCTION("""COMPUTED_VALUE"""),"Sējas 47")</f>
        <v>Sējas 47</v>
      </c>
      <c r="D2827" s="2">
        <f>IFERROR(__xludf.DUMMYFUNCTION("""COMPUTED_VALUE"""),4.0)</f>
        <v>4</v>
      </c>
      <c r="E2827" s="2">
        <f>IFERROR(__xludf.DUMMYFUNCTION("""COMPUTED_VALUE"""),100.0)</f>
        <v>100</v>
      </c>
      <c r="F2827" s="2">
        <f>IFERROR(__xludf.DUMMYFUNCTION("""COMPUTED_VALUE"""),2.0)</f>
        <v>2</v>
      </c>
      <c r="G2827" s="2">
        <f>IFERROR(__xludf.DUMMYFUNCTION("""COMPUTED_VALUE"""),2.0)</f>
        <v>2</v>
      </c>
      <c r="H2827" s="2" t="str">
        <f>IFERROR(__xludf.DUMMYFUNCTION("""COMPUTED_VALUE"""),"Priv. m.")</f>
        <v>Priv. m.</v>
      </c>
      <c r="I2827" s="2" t="str">
        <f>IFERROR(__xludf.DUMMYFUNCTION("""COMPUTED_VALUE"""),"Wood")</f>
        <v>Wood</v>
      </c>
      <c r="J2827" s="2" t="str">
        <f>IFERROR(__xludf.DUMMYFUNCTION("""COMPUTED_VALUE"""),"All amenities")</f>
        <v>All amenities</v>
      </c>
      <c r="K2827" s="2">
        <f>IFERROR(__xludf.DUMMYFUNCTION("""COMPUTED_VALUE"""),125000.0)</f>
        <v>125000</v>
      </c>
      <c r="L2827" s="2">
        <f>IFERROR(__xludf.DUMMYFUNCTION("""COMPUTED_VALUE"""),56.9126948)</f>
        <v>56.9126948</v>
      </c>
      <c r="M2827" s="2">
        <f>IFERROR(__xludf.DUMMYFUNCTION("""COMPUTED_VALUE"""),24.0606033019609)</f>
        <v>24.0606033</v>
      </c>
    </row>
    <row r="2828">
      <c r="A2828" s="2" t="str">
        <f>IFERROR(__xludf.DUMMYFUNCTION("""COMPUTED_VALUE"""),"For sale")</f>
        <v>For sale</v>
      </c>
      <c r="B2828" s="2" t="str">
        <f>IFERROR(__xludf.DUMMYFUNCTION("""COMPUTED_VALUE"""),"centrs")</f>
        <v>centrs</v>
      </c>
      <c r="C2828" s="2" t="str">
        <f>IFERROR(__xludf.DUMMYFUNCTION("""COMPUTED_VALUE"""),"Eksporta 6")</f>
        <v>Eksporta 6</v>
      </c>
      <c r="D2828" s="2">
        <f>IFERROR(__xludf.DUMMYFUNCTION("""COMPUTED_VALUE"""),3.0)</f>
        <v>3</v>
      </c>
      <c r="E2828" s="2">
        <f>IFERROR(__xludf.DUMMYFUNCTION("""COMPUTED_VALUE"""),148.0)</f>
        <v>148</v>
      </c>
      <c r="F2828" s="2">
        <f>IFERROR(__xludf.DUMMYFUNCTION("""COMPUTED_VALUE"""),6.0)</f>
        <v>6</v>
      </c>
      <c r="G2828" s="2">
        <f>IFERROR(__xludf.DUMMYFUNCTION("""COMPUTED_VALUE"""),6.0)</f>
        <v>6</v>
      </c>
      <c r="H2828" s="2" t="str">
        <f>IFERROR(__xludf.DUMMYFUNCTION("""COMPUTED_VALUE"""),"Renov.")</f>
        <v>Renov.</v>
      </c>
      <c r="I2828" s="2" t="str">
        <f>IFERROR(__xludf.DUMMYFUNCTION("""COMPUTED_VALUE"""),"Masonry")</f>
        <v>Masonry</v>
      </c>
      <c r="J2828" s="2" t="str">
        <f>IFERROR(__xludf.DUMMYFUNCTION("""COMPUTED_VALUE"""),"All amenities")</f>
        <v>All amenities</v>
      </c>
      <c r="K2828" s="2">
        <f>IFERROR(__xludf.DUMMYFUNCTION("""COMPUTED_VALUE"""),198000.0)</f>
        <v>198000</v>
      </c>
      <c r="L2828" s="2">
        <f>IFERROR(__xludf.DUMMYFUNCTION("""COMPUTED_VALUE"""),56.956763)</f>
        <v>56.956763</v>
      </c>
      <c r="M2828" s="2">
        <f>IFERROR(__xludf.DUMMYFUNCTION("""COMPUTED_VALUE"""),24.0954531)</f>
        <v>24.0954531</v>
      </c>
    </row>
    <row r="2829">
      <c r="A2829" s="2" t="str">
        <f>IFERROR(__xludf.DUMMYFUNCTION("""COMPUTED_VALUE"""),"For sale")</f>
        <v>For sale</v>
      </c>
      <c r="B2829" s="2" t="str">
        <f>IFERROR(__xludf.DUMMYFUNCTION("""COMPUTED_VALUE"""),"centrs")</f>
        <v>centrs</v>
      </c>
      <c r="C2829" s="2" t="str">
        <f>IFERROR(__xludf.DUMMYFUNCTION("""COMPUTED_VALUE"""),"Čaka 70")</f>
        <v>Čaka 70</v>
      </c>
      <c r="D2829" s="2">
        <f>IFERROR(__xludf.DUMMYFUNCTION("""COMPUTED_VALUE"""),6.0)</f>
        <v>6</v>
      </c>
      <c r="E2829" s="2">
        <f>IFERROR(__xludf.DUMMYFUNCTION("""COMPUTED_VALUE"""),180.0)</f>
        <v>180</v>
      </c>
      <c r="F2829" s="2">
        <f>IFERROR(__xludf.DUMMYFUNCTION("""COMPUTED_VALUE"""),3.0)</f>
        <v>3</v>
      </c>
      <c r="G2829" s="2">
        <f>IFERROR(__xludf.DUMMYFUNCTION("""COMPUTED_VALUE"""),6.0)</f>
        <v>6</v>
      </c>
      <c r="H2829" s="2" t="str">
        <f>IFERROR(__xludf.DUMMYFUNCTION("""COMPUTED_VALUE"""),"P. kara")</f>
        <v>P. kara</v>
      </c>
      <c r="I2829" s="2" t="str">
        <f>IFERROR(__xludf.DUMMYFUNCTION("""COMPUTED_VALUE"""),"Masonry")</f>
        <v>Masonry</v>
      </c>
      <c r="J2829" s="2" t="str">
        <f>IFERROR(__xludf.DUMMYFUNCTION("""COMPUTED_VALUE"""),"All amenities")</f>
        <v>All amenities</v>
      </c>
      <c r="K2829" s="2">
        <f>IFERROR(__xludf.DUMMYFUNCTION("""COMPUTED_VALUE"""),199000.0)</f>
        <v>199000</v>
      </c>
      <c r="L2829" s="2">
        <f>IFERROR(__xludf.DUMMYFUNCTION("""COMPUTED_VALUE"""),56.9557185)</f>
        <v>56.9557185</v>
      </c>
      <c r="M2829" s="2">
        <f>IFERROR(__xludf.DUMMYFUNCTION("""COMPUTED_VALUE"""),24.1356095)</f>
        <v>24.1356095</v>
      </c>
    </row>
    <row r="2830">
      <c r="A2830" s="2" t="str">
        <f>IFERROR(__xludf.DUMMYFUNCTION("""COMPUTED_VALUE"""),"For sale")</f>
        <v>For sale</v>
      </c>
      <c r="B2830" s="2" t="str">
        <f>IFERROR(__xludf.DUMMYFUNCTION("""COMPUTED_VALUE"""),"centrs")</f>
        <v>centrs</v>
      </c>
      <c r="C2830" s="2" t="str">
        <f>IFERROR(__xludf.DUMMYFUNCTION("""COMPUTED_VALUE"""),"Miesnieku 14")</f>
        <v>Miesnieku 14</v>
      </c>
      <c r="D2830" s="2">
        <f>IFERROR(__xludf.DUMMYFUNCTION("""COMPUTED_VALUE"""),2.0)</f>
        <v>2</v>
      </c>
      <c r="E2830" s="2">
        <f>IFERROR(__xludf.DUMMYFUNCTION("""COMPUTED_VALUE"""),57.0)</f>
        <v>57</v>
      </c>
      <c r="F2830" s="2">
        <f>IFERROR(__xludf.DUMMYFUNCTION("""COMPUTED_VALUE"""),5.0)</f>
        <v>5</v>
      </c>
      <c r="G2830" s="2">
        <f>IFERROR(__xludf.DUMMYFUNCTION("""COMPUTED_VALUE"""),5.0)</f>
        <v>5</v>
      </c>
      <c r="H2830" s="2" t="str">
        <f>IFERROR(__xludf.DUMMYFUNCTION("""COMPUTED_VALUE"""),"P. kara")</f>
        <v>P. kara</v>
      </c>
      <c r="I2830" s="2" t="str">
        <f>IFERROR(__xludf.DUMMYFUNCTION("""COMPUTED_VALUE"""),"Masonry")</f>
        <v>Masonry</v>
      </c>
      <c r="J2830" s="2" t="str">
        <f>IFERROR(__xludf.DUMMYFUNCTION("""COMPUTED_VALUE"""),"All amenities")</f>
        <v>All amenities</v>
      </c>
      <c r="K2830" s="2">
        <f>IFERROR(__xludf.DUMMYFUNCTION("""COMPUTED_VALUE"""),119800.0)</f>
        <v>119800</v>
      </c>
      <c r="L2830" s="2">
        <f>IFERROR(__xludf.DUMMYFUNCTION("""COMPUTED_VALUE"""),56.9488883)</f>
        <v>56.9488883</v>
      </c>
      <c r="M2830" s="2">
        <f>IFERROR(__xludf.DUMMYFUNCTION("""COMPUTED_VALUE"""),24.1023279)</f>
        <v>24.1023279</v>
      </c>
    </row>
    <row r="2831">
      <c r="A2831" s="2" t="str">
        <f>IFERROR(__xludf.DUMMYFUNCTION("""COMPUTED_VALUE"""),"For sale")</f>
        <v>For sale</v>
      </c>
      <c r="B2831" s="2" t="str">
        <f>IFERROR(__xludf.DUMMYFUNCTION("""COMPUTED_VALUE"""),"centrs")</f>
        <v>centrs</v>
      </c>
      <c r="C2831" s="2" t="str">
        <f>IFERROR(__xludf.DUMMYFUNCTION("""COMPUTED_VALUE"""),"Bruņinieku 104")</f>
        <v>Bruņinieku 104</v>
      </c>
      <c r="D2831" s="2">
        <f>IFERROR(__xludf.DUMMYFUNCTION("""COMPUTED_VALUE"""),2.0)</f>
        <v>2</v>
      </c>
      <c r="E2831" s="2">
        <f>IFERROR(__xludf.DUMMYFUNCTION("""COMPUTED_VALUE"""),53.0)</f>
        <v>53</v>
      </c>
      <c r="F2831" s="2">
        <f>IFERROR(__xludf.DUMMYFUNCTION("""COMPUTED_VALUE"""),4.0)</f>
        <v>4</v>
      </c>
      <c r="G2831" s="2">
        <f>IFERROR(__xludf.DUMMYFUNCTION("""COMPUTED_VALUE"""),4.0)</f>
        <v>4</v>
      </c>
      <c r="H2831" s="2" t="str">
        <f>IFERROR(__xludf.DUMMYFUNCTION("""COMPUTED_VALUE"""),"Renov.")</f>
        <v>Renov.</v>
      </c>
      <c r="I2831" s="2" t="str">
        <f>IFERROR(__xludf.DUMMYFUNCTION("""COMPUTED_VALUE"""),"Masonry")</f>
        <v>Masonry</v>
      </c>
      <c r="J2831" s="2" t="str">
        <f>IFERROR(__xludf.DUMMYFUNCTION("""COMPUTED_VALUE"""),"All amenities")</f>
        <v>All amenities</v>
      </c>
      <c r="K2831" s="2">
        <f>IFERROR(__xludf.DUMMYFUNCTION("""COMPUTED_VALUE"""),72000.0)</f>
        <v>72000</v>
      </c>
      <c r="L2831" s="2">
        <f>IFERROR(__xludf.DUMMYFUNCTION("""COMPUTED_VALUE"""),56.9494342)</f>
        <v>56.9494342</v>
      </c>
      <c r="M2831" s="2">
        <f>IFERROR(__xludf.DUMMYFUNCTION("""COMPUTED_VALUE"""),24.1445478216108)</f>
        <v>24.14454782</v>
      </c>
    </row>
    <row r="2832">
      <c r="A2832" s="2" t="str">
        <f>IFERROR(__xludf.DUMMYFUNCTION("""COMPUTED_VALUE"""),"For sale")</f>
        <v>For sale</v>
      </c>
      <c r="B2832" s="2" t="str">
        <f>IFERROR(__xludf.DUMMYFUNCTION("""COMPUTED_VALUE"""),"Vecrīga")</f>
        <v>Vecrīga</v>
      </c>
      <c r="C2832" s="2" t="str">
        <f>IFERROR(__xludf.DUMMYFUNCTION("""COMPUTED_VALUE"""),"Mārstaļu 2k4")</f>
        <v>Mārstaļu 2k4</v>
      </c>
      <c r="D2832" s="2">
        <f>IFERROR(__xludf.DUMMYFUNCTION("""COMPUTED_VALUE"""),4.0)</f>
        <v>4</v>
      </c>
      <c r="E2832" s="2">
        <f>IFERROR(__xludf.DUMMYFUNCTION("""COMPUTED_VALUE"""),126.0)</f>
        <v>126</v>
      </c>
      <c r="F2832" s="2">
        <f>IFERROR(__xludf.DUMMYFUNCTION("""COMPUTED_VALUE"""),4.0)</f>
        <v>4</v>
      </c>
      <c r="G2832" s="2">
        <f>IFERROR(__xludf.DUMMYFUNCTION("""COMPUTED_VALUE"""),4.0)</f>
        <v>4</v>
      </c>
      <c r="H2832" s="2" t="str">
        <f>IFERROR(__xludf.DUMMYFUNCTION("""COMPUTED_VALUE"""),"P. kara")</f>
        <v>P. kara</v>
      </c>
      <c r="I2832" s="2" t="str">
        <f>IFERROR(__xludf.DUMMYFUNCTION("""COMPUTED_VALUE"""),"Brick")</f>
        <v>Brick</v>
      </c>
      <c r="J2832" s="2" t="str">
        <f>IFERROR(__xludf.DUMMYFUNCTION("""COMPUTED_VALUE"""),"All amenities")</f>
        <v>All amenities</v>
      </c>
      <c r="K2832" s="2">
        <f>IFERROR(__xludf.DUMMYFUNCTION("""COMPUTED_VALUE"""),220000.0)</f>
        <v>220000</v>
      </c>
      <c r="L2832" s="2">
        <f>IFERROR(__xludf.DUMMYFUNCTION("""COMPUTED_VALUE"""),56.9451747)</f>
        <v>56.9451747</v>
      </c>
      <c r="M2832" s="2">
        <f>IFERROR(__xludf.DUMMYFUNCTION("""COMPUTED_VALUE"""),24.1075711)</f>
        <v>24.1075711</v>
      </c>
    </row>
    <row r="2833">
      <c r="A2833" s="2" t="str">
        <f>IFERROR(__xludf.DUMMYFUNCTION("""COMPUTED_VALUE"""),"For sale")</f>
        <v>For sale</v>
      </c>
      <c r="B2833" s="2" t="str">
        <f>IFERROR(__xludf.DUMMYFUNCTION("""COMPUTED_VALUE"""),"centrs")</f>
        <v>centrs</v>
      </c>
      <c r="C2833" s="2" t="str">
        <f>IFERROR(__xludf.DUMMYFUNCTION("""COMPUTED_VALUE"""),"Zvaigžņu 24")</f>
        <v>Zvaigžņu 24</v>
      </c>
      <c r="D2833" s="2">
        <f>IFERROR(__xludf.DUMMYFUNCTION("""COMPUTED_VALUE"""),1.0)</f>
        <v>1</v>
      </c>
      <c r="E2833" s="2">
        <f>IFERROR(__xludf.DUMMYFUNCTION("""COMPUTED_VALUE"""),20.0)</f>
        <v>20</v>
      </c>
      <c r="F2833" s="2">
        <f>IFERROR(__xludf.DUMMYFUNCTION("""COMPUTED_VALUE"""),3.0)</f>
        <v>3</v>
      </c>
      <c r="G2833" s="2">
        <f>IFERROR(__xludf.DUMMYFUNCTION("""COMPUTED_VALUE"""),5.0)</f>
        <v>5</v>
      </c>
      <c r="H2833" s="2" t="str">
        <f>IFERROR(__xludf.DUMMYFUNCTION("""COMPUTED_VALUE"""),"P. kara")</f>
        <v>P. kara</v>
      </c>
      <c r="I2833" s="2" t="str">
        <f>IFERROR(__xludf.DUMMYFUNCTION("""COMPUTED_VALUE"""),"Masonry")</f>
        <v>Masonry</v>
      </c>
      <c r="J2833" s="2" t="str">
        <f>IFERROR(__xludf.DUMMYFUNCTION("""COMPUTED_VALUE"""),"All amenities")</f>
        <v>All amenities</v>
      </c>
      <c r="K2833" s="2">
        <f>IFERROR(__xludf.DUMMYFUNCTION("""COMPUTED_VALUE"""),35000.0)</f>
        <v>35000</v>
      </c>
      <c r="L2833" s="2">
        <f>IFERROR(__xludf.DUMMYFUNCTION("""COMPUTED_VALUE"""),56.9607411)</f>
        <v>56.9607411</v>
      </c>
      <c r="M2833" s="2">
        <f>IFERROR(__xludf.DUMMYFUNCTION("""COMPUTED_VALUE"""),24.1497716)</f>
        <v>24.1497716</v>
      </c>
    </row>
    <row r="2834">
      <c r="A2834" s="2" t="str">
        <f>IFERROR(__xludf.DUMMYFUNCTION("""COMPUTED_VALUE"""),"For rent")</f>
        <v>For rent</v>
      </c>
      <c r="B2834" s="2" t="str">
        <f>IFERROR(__xludf.DUMMYFUNCTION("""COMPUTED_VALUE"""),"centrs")</f>
        <v>centrs</v>
      </c>
      <c r="C2834" s="2" t="str">
        <f>IFERROR(__xludf.DUMMYFUNCTION("""COMPUTED_VALUE"""),"13. janvāra 21")</f>
        <v>13. janvāra 21</v>
      </c>
      <c r="D2834" s="2">
        <f>IFERROR(__xludf.DUMMYFUNCTION("""COMPUTED_VALUE"""),2.0)</f>
        <v>2</v>
      </c>
      <c r="E2834" s="2">
        <f>IFERROR(__xludf.DUMMYFUNCTION("""COMPUTED_VALUE"""),60.0)</f>
        <v>60</v>
      </c>
      <c r="F2834" s="2">
        <f>IFERROR(__xludf.DUMMYFUNCTION("""COMPUTED_VALUE"""),2.0)</f>
        <v>2</v>
      </c>
      <c r="G2834" s="2">
        <f>IFERROR(__xludf.DUMMYFUNCTION("""COMPUTED_VALUE"""),6.0)</f>
        <v>6</v>
      </c>
      <c r="H2834" s="2" t="str">
        <f>IFERROR(__xludf.DUMMYFUNCTION("""COMPUTED_VALUE"""),"Jaun.")</f>
        <v>Jaun.</v>
      </c>
      <c r="I2834" s="2" t="str">
        <f>IFERROR(__xludf.DUMMYFUNCTION("""COMPUTED_VALUE"""),"Brick-Panel")</f>
        <v>Brick-Panel</v>
      </c>
      <c r="J2834" s="2" t="str">
        <f>IFERROR(__xludf.DUMMYFUNCTION("""COMPUTED_VALUE"""),"All amenities")</f>
        <v>All amenities</v>
      </c>
      <c r="K2834" s="2">
        <f>IFERROR(__xludf.DUMMYFUNCTION("""COMPUTED_VALUE"""),850.0)</f>
        <v>850</v>
      </c>
      <c r="L2834" s="2">
        <f>IFERROR(__xludf.DUMMYFUNCTION("""COMPUTED_VALUE"""),56.9443781)</f>
        <v>56.9443781</v>
      </c>
      <c r="M2834" s="2">
        <f>IFERROR(__xludf.DUMMYFUNCTION("""COMPUTED_VALUE"""),24.1105085)</f>
        <v>24.1105085</v>
      </c>
    </row>
    <row r="2835">
      <c r="A2835" s="2" t="str">
        <f>IFERROR(__xludf.DUMMYFUNCTION("""COMPUTED_VALUE"""),"For sale")</f>
        <v>For sale</v>
      </c>
      <c r="B2835" s="2" t="str">
        <f>IFERROR(__xludf.DUMMYFUNCTION("""COMPUTED_VALUE"""),"centrs")</f>
        <v>centrs</v>
      </c>
      <c r="C2835" s="2" t="str">
        <f>IFERROR(__xludf.DUMMYFUNCTION("""COMPUTED_VALUE"""),"Zaubes 1")</f>
        <v>Zaubes 1</v>
      </c>
      <c r="D2835" s="2">
        <f>IFERROR(__xludf.DUMMYFUNCTION("""COMPUTED_VALUE"""),5.0)</f>
        <v>5</v>
      </c>
      <c r="E2835" s="2">
        <f>IFERROR(__xludf.DUMMYFUNCTION("""COMPUTED_VALUE"""),149.0)</f>
        <v>149</v>
      </c>
      <c r="F2835" s="2">
        <f>IFERROR(__xludf.DUMMYFUNCTION("""COMPUTED_VALUE"""),2.0)</f>
        <v>2</v>
      </c>
      <c r="G2835" s="2">
        <f>IFERROR(__xludf.DUMMYFUNCTION("""COMPUTED_VALUE"""),5.0)</f>
        <v>5</v>
      </c>
      <c r="H2835" s="2" t="str">
        <f>IFERROR(__xludf.DUMMYFUNCTION("""COMPUTED_VALUE"""),"P. kara")</f>
        <v>P. kara</v>
      </c>
      <c r="I2835" s="2" t="str">
        <f>IFERROR(__xludf.DUMMYFUNCTION("""COMPUTED_VALUE"""),"Masonry")</f>
        <v>Masonry</v>
      </c>
      <c r="J2835" s="2" t="str">
        <f>IFERROR(__xludf.DUMMYFUNCTION("""COMPUTED_VALUE"""),"All amenities")</f>
        <v>All amenities</v>
      </c>
      <c r="K2835" s="2">
        <f>IFERROR(__xludf.DUMMYFUNCTION("""COMPUTED_VALUE"""),238000.0)</f>
        <v>238000</v>
      </c>
      <c r="L2835" s="2">
        <f>IFERROR(__xludf.DUMMYFUNCTION("""COMPUTED_VALUE"""),56.9627744)</f>
        <v>56.9627744</v>
      </c>
      <c r="M2835" s="2">
        <f>IFERROR(__xludf.DUMMYFUNCTION("""COMPUTED_VALUE"""),24.1230397822419)</f>
        <v>24.12303978</v>
      </c>
    </row>
    <row r="2836">
      <c r="A2836" s="2" t="str">
        <f>IFERROR(__xludf.DUMMYFUNCTION("""COMPUTED_VALUE"""),"For sale")</f>
        <v>For sale</v>
      </c>
      <c r="B2836" s="2" t="str">
        <f>IFERROR(__xludf.DUMMYFUNCTION("""COMPUTED_VALUE"""),"Teika")</f>
        <v>Teika</v>
      </c>
      <c r="C2836" s="2" t="str">
        <f>IFERROR(__xludf.DUMMYFUNCTION("""COMPUTED_VALUE"""),"Caunes 11")</f>
        <v>Caunes 11</v>
      </c>
      <c r="D2836" s="2">
        <f>IFERROR(__xludf.DUMMYFUNCTION("""COMPUTED_VALUE"""),5.0)</f>
        <v>5</v>
      </c>
      <c r="E2836" s="2">
        <f>IFERROR(__xludf.DUMMYFUNCTION("""COMPUTED_VALUE"""),168.0)</f>
        <v>168</v>
      </c>
      <c r="F2836" s="2">
        <f>IFERROR(__xludf.DUMMYFUNCTION("""COMPUTED_VALUE"""),1.0)</f>
        <v>1</v>
      </c>
      <c r="G2836" s="2">
        <f>IFERROR(__xludf.DUMMYFUNCTION("""COMPUTED_VALUE"""),3.0)</f>
        <v>3</v>
      </c>
      <c r="H2836" s="2" t="str">
        <f>IFERROR(__xludf.DUMMYFUNCTION("""COMPUTED_VALUE"""),"Priv. m.")</f>
        <v>Priv. m.</v>
      </c>
      <c r="I2836" s="2" t="str">
        <f>IFERROR(__xludf.DUMMYFUNCTION("""COMPUTED_VALUE"""),"Masonry")</f>
        <v>Masonry</v>
      </c>
      <c r="J2836" s="2" t="str">
        <f>IFERROR(__xludf.DUMMYFUNCTION("""COMPUTED_VALUE"""),"All amenities")</f>
        <v>All amenities</v>
      </c>
      <c r="K2836" s="2">
        <f>IFERROR(__xludf.DUMMYFUNCTION("""COMPUTED_VALUE"""),200000.0)</f>
        <v>200000</v>
      </c>
      <c r="L2836" s="2">
        <f>IFERROR(__xludf.DUMMYFUNCTION("""COMPUTED_VALUE"""),56.9810586499999)</f>
        <v>56.98105865</v>
      </c>
      <c r="M2836" s="2">
        <f>IFERROR(__xludf.DUMMYFUNCTION("""COMPUTED_VALUE"""),24.1899005585312)</f>
        <v>24.18990056</v>
      </c>
    </row>
    <row r="2837">
      <c r="A2837" s="2" t="str">
        <f>IFERROR(__xludf.DUMMYFUNCTION("""COMPUTED_VALUE"""),"For sale")</f>
        <v>For sale</v>
      </c>
      <c r="B2837" s="2" t="str">
        <f>IFERROR(__xludf.DUMMYFUNCTION("""COMPUTED_VALUE"""),"Jugla")</f>
        <v>Jugla</v>
      </c>
      <c r="C2837" s="2" t="str">
        <f>IFERROR(__xludf.DUMMYFUNCTION("""COMPUTED_VALUE"""),"Kvēles 15")</f>
        <v>Kvēles 15</v>
      </c>
      <c r="D2837" s="2">
        <f>IFERROR(__xludf.DUMMYFUNCTION("""COMPUTED_VALUE"""),2.0)</f>
        <v>2</v>
      </c>
      <c r="E2837" s="2">
        <f>IFERROR(__xludf.DUMMYFUNCTION("""COMPUTED_VALUE"""),47.0)</f>
        <v>47</v>
      </c>
      <c r="F2837" s="2">
        <f>IFERROR(__xludf.DUMMYFUNCTION("""COMPUTED_VALUE"""),5.0)</f>
        <v>5</v>
      </c>
      <c r="G2837" s="2">
        <f>IFERROR(__xludf.DUMMYFUNCTION("""COMPUTED_VALUE"""),5.0)</f>
        <v>5</v>
      </c>
      <c r="H2837" s="2" t="str">
        <f>IFERROR(__xludf.DUMMYFUNCTION("""COMPUTED_VALUE"""),"LT proj.")</f>
        <v>LT proj.</v>
      </c>
      <c r="I2837" s="2" t="str">
        <f>IFERROR(__xludf.DUMMYFUNCTION("""COMPUTED_VALUE"""),"Panel")</f>
        <v>Panel</v>
      </c>
      <c r="J2837" s="2" t="str">
        <f>IFERROR(__xludf.DUMMYFUNCTION("""COMPUTED_VALUE"""),"All amenities")</f>
        <v>All amenities</v>
      </c>
      <c r="K2837" s="2">
        <f>IFERROR(__xludf.DUMMYFUNCTION("""COMPUTED_VALUE"""),46000.0)</f>
        <v>46000</v>
      </c>
      <c r="L2837" s="2">
        <f>IFERROR(__xludf.DUMMYFUNCTION("""COMPUTED_VALUE"""),56.9812953499999)</f>
        <v>56.98129535</v>
      </c>
      <c r="M2837" s="2">
        <f>IFERROR(__xludf.DUMMYFUNCTION("""COMPUTED_VALUE"""),24.2455558499999)</f>
        <v>24.24555585</v>
      </c>
    </row>
    <row r="2838">
      <c r="A2838" s="2" t="str">
        <f>IFERROR(__xludf.DUMMYFUNCTION("""COMPUTED_VALUE"""),"For sale")</f>
        <v>For sale</v>
      </c>
      <c r="B2838" s="2" t="str">
        <f>IFERROR(__xludf.DUMMYFUNCTION("""COMPUTED_VALUE"""),"Mežciems")</f>
        <v>Mežciems</v>
      </c>
      <c r="C2838" s="2" t="str">
        <f>IFERROR(__xludf.DUMMYFUNCTION("""COMPUTED_VALUE"""),"Kaivas 50-45")</f>
        <v>Kaivas 50-45</v>
      </c>
      <c r="D2838" s="2">
        <f>IFERROR(__xludf.DUMMYFUNCTION("""COMPUTED_VALUE"""),2.0)</f>
        <v>2</v>
      </c>
      <c r="E2838" s="2">
        <f>IFERROR(__xludf.DUMMYFUNCTION("""COMPUTED_VALUE"""),51.0)</f>
        <v>51</v>
      </c>
      <c r="F2838" s="2">
        <f>IFERROR(__xludf.DUMMYFUNCTION("""COMPUTED_VALUE"""),2.0)</f>
        <v>2</v>
      </c>
      <c r="G2838" s="2">
        <f>IFERROR(__xludf.DUMMYFUNCTION("""COMPUTED_VALUE"""),5.0)</f>
        <v>5</v>
      </c>
      <c r="H2838" s="2" t="str">
        <f>IFERROR(__xludf.DUMMYFUNCTION("""COMPUTED_VALUE"""),"Jaun.")</f>
        <v>Jaun.</v>
      </c>
      <c r="I2838" s="2" t="str">
        <f>IFERROR(__xludf.DUMMYFUNCTION("""COMPUTED_VALUE"""),"Masonry")</f>
        <v>Masonry</v>
      </c>
      <c r="J2838" s="2" t="str">
        <f>IFERROR(__xludf.DUMMYFUNCTION("""COMPUTED_VALUE"""),"All amenities")</f>
        <v>All amenities</v>
      </c>
      <c r="K2838" s="2">
        <f>IFERROR(__xludf.DUMMYFUNCTION("""COMPUTED_VALUE"""),65500.0)</f>
        <v>65500</v>
      </c>
      <c r="L2838" s="2">
        <f>IFERROR(__xludf.DUMMYFUNCTION("""COMPUTED_VALUE"""),56.9541725)</f>
        <v>56.9541725</v>
      </c>
      <c r="M2838" s="2">
        <f>IFERROR(__xludf.DUMMYFUNCTION("""COMPUTED_VALUE"""),24.2443253)</f>
        <v>24.2443253</v>
      </c>
    </row>
    <row r="2839">
      <c r="A2839" s="2" t="str">
        <f>IFERROR(__xludf.DUMMYFUNCTION("""COMPUTED_VALUE"""),"For rent")</f>
        <v>For rent</v>
      </c>
      <c r="B2839" s="2" t="str">
        <f>IFERROR(__xludf.DUMMYFUNCTION("""COMPUTED_VALUE"""),"Āgenskalns")</f>
        <v>Āgenskalns</v>
      </c>
      <c r="C2839" s="2" t="str">
        <f>IFERROR(__xludf.DUMMYFUNCTION("""COMPUTED_VALUE"""),"Valguma 20")</f>
        <v>Valguma 20</v>
      </c>
      <c r="D2839" s="2">
        <f>IFERROR(__xludf.DUMMYFUNCTION("""COMPUTED_VALUE"""),2.0)</f>
        <v>2</v>
      </c>
      <c r="E2839" s="2">
        <f>IFERROR(__xludf.DUMMYFUNCTION("""COMPUTED_VALUE"""),50.0)</f>
        <v>50</v>
      </c>
      <c r="F2839" s="2">
        <f>IFERROR(__xludf.DUMMYFUNCTION("""COMPUTED_VALUE"""),4.0)</f>
        <v>4</v>
      </c>
      <c r="G2839" s="2">
        <f>IFERROR(__xludf.DUMMYFUNCTION("""COMPUTED_VALUE"""),4.0)</f>
        <v>4</v>
      </c>
      <c r="H2839" s="2" t="str">
        <f>IFERROR(__xludf.DUMMYFUNCTION("""COMPUTED_VALUE"""),"P. kara")</f>
        <v>P. kara</v>
      </c>
      <c r="I2839" s="2" t="str">
        <f>IFERROR(__xludf.DUMMYFUNCTION("""COMPUTED_VALUE"""),"Masonry")</f>
        <v>Masonry</v>
      </c>
      <c r="J2839" s="2" t="str">
        <f>IFERROR(__xludf.DUMMYFUNCTION("""COMPUTED_VALUE"""),"All amenities")</f>
        <v>All amenities</v>
      </c>
      <c r="K2839" s="2">
        <f>IFERROR(__xludf.DUMMYFUNCTION("""COMPUTED_VALUE"""),450.0)</f>
        <v>450</v>
      </c>
      <c r="L2839" s="2">
        <f>IFERROR(__xludf.DUMMYFUNCTION("""COMPUTED_VALUE"""),56.942365)</f>
        <v>56.942365</v>
      </c>
      <c r="M2839" s="2">
        <f>IFERROR(__xludf.DUMMYFUNCTION("""COMPUTED_VALUE"""),24.0921715)</f>
        <v>24.0921715</v>
      </c>
    </row>
    <row r="2840">
      <c r="A2840" s="2" t="str">
        <f>IFERROR(__xludf.DUMMYFUNCTION("""COMPUTED_VALUE"""),"For sale")</f>
        <v>For sale</v>
      </c>
      <c r="B2840" s="2" t="str">
        <f>IFERROR(__xludf.DUMMYFUNCTION("""COMPUTED_VALUE"""),"centrs")</f>
        <v>centrs</v>
      </c>
      <c r="C2840" s="2" t="str">
        <f>IFERROR(__xludf.DUMMYFUNCTION("""COMPUTED_VALUE"""),"Tomsona 4")</f>
        <v>Tomsona 4</v>
      </c>
      <c r="D2840" s="2">
        <f>IFERROR(__xludf.DUMMYFUNCTION("""COMPUTED_VALUE"""),3.0)</f>
        <v>3</v>
      </c>
      <c r="E2840" s="2">
        <f>IFERROR(__xludf.DUMMYFUNCTION("""COMPUTED_VALUE"""),71.0)</f>
        <v>71</v>
      </c>
      <c r="F2840" s="2">
        <f>IFERROR(__xludf.DUMMYFUNCTION("""COMPUTED_VALUE"""),3.0)</f>
        <v>3</v>
      </c>
      <c r="G2840" s="2">
        <f>IFERROR(__xludf.DUMMYFUNCTION("""COMPUTED_VALUE"""),6.0)</f>
        <v>6</v>
      </c>
      <c r="H2840" s="2" t="str">
        <f>IFERROR(__xludf.DUMMYFUNCTION("""COMPUTED_VALUE"""),"Specpr.")</f>
        <v>Specpr.</v>
      </c>
      <c r="I2840" s="2" t="str">
        <f>IFERROR(__xludf.DUMMYFUNCTION("""COMPUTED_VALUE"""),"Masonry")</f>
        <v>Masonry</v>
      </c>
      <c r="J2840" s="2" t="str">
        <f>IFERROR(__xludf.DUMMYFUNCTION("""COMPUTED_VALUE"""),"All amenities")</f>
        <v>All amenities</v>
      </c>
      <c r="K2840" s="2">
        <f>IFERROR(__xludf.DUMMYFUNCTION("""COMPUTED_VALUE"""),127000.0)</f>
        <v>127000</v>
      </c>
      <c r="L2840" s="2">
        <f>IFERROR(__xludf.DUMMYFUNCTION("""COMPUTED_VALUE"""),56.96362585)</f>
        <v>56.96362585</v>
      </c>
      <c r="M2840" s="2">
        <f>IFERROR(__xludf.DUMMYFUNCTION("""COMPUTED_VALUE"""),24.1243187075168)</f>
        <v>24.12431871</v>
      </c>
    </row>
    <row r="2841">
      <c r="A2841" s="2" t="str">
        <f>IFERROR(__xludf.DUMMYFUNCTION("""COMPUTED_VALUE"""),"For sale")</f>
        <v>For sale</v>
      </c>
      <c r="B2841" s="2" t="str">
        <f>IFERROR(__xludf.DUMMYFUNCTION("""COMPUTED_VALUE"""),"Šampēteris-Pleskodāle")</f>
        <v>Šampēteris-Pleskodāle</v>
      </c>
      <c r="C2841" s="2" t="str">
        <f>IFERROR(__xludf.DUMMYFUNCTION("""COMPUTED_VALUE"""),"Lielirbes 11")</f>
        <v>Lielirbes 11</v>
      </c>
      <c r="D2841" s="2">
        <f>IFERROR(__xludf.DUMMYFUNCTION("""COMPUTED_VALUE"""),2.0)</f>
        <v>2</v>
      </c>
      <c r="E2841" s="2">
        <f>IFERROR(__xludf.DUMMYFUNCTION("""COMPUTED_VALUE"""),68.0)</f>
        <v>68</v>
      </c>
      <c r="F2841" s="2">
        <f>IFERROR(__xludf.DUMMYFUNCTION("""COMPUTED_VALUE"""),5.0)</f>
        <v>5</v>
      </c>
      <c r="G2841" s="2">
        <f>IFERROR(__xludf.DUMMYFUNCTION("""COMPUTED_VALUE"""),25.0)</f>
        <v>25</v>
      </c>
      <c r="H2841" s="2" t="str">
        <f>IFERROR(__xludf.DUMMYFUNCTION("""COMPUTED_VALUE"""),"Jaun.")</f>
        <v>Jaun.</v>
      </c>
      <c r="I2841" s="2" t="str">
        <f>IFERROR(__xludf.DUMMYFUNCTION("""COMPUTED_VALUE"""),"Brick-Panel")</f>
        <v>Brick-Panel</v>
      </c>
      <c r="J2841" s="2" t="str">
        <f>IFERROR(__xludf.DUMMYFUNCTION("""COMPUTED_VALUE"""),"All amenities")</f>
        <v>All amenities</v>
      </c>
      <c r="K2841" s="2">
        <f>IFERROR(__xludf.DUMMYFUNCTION("""COMPUTED_VALUE"""),108000.0)</f>
        <v>108000</v>
      </c>
      <c r="L2841" s="2">
        <f>IFERROR(__xludf.DUMMYFUNCTION("""COMPUTED_VALUE"""),56.9340645)</f>
        <v>56.9340645</v>
      </c>
      <c r="M2841" s="2">
        <f>IFERROR(__xludf.DUMMYFUNCTION("""COMPUTED_VALUE"""),24.0436381)</f>
        <v>24.0436381</v>
      </c>
    </row>
    <row r="2842">
      <c r="A2842" s="2" t="str">
        <f>IFERROR(__xludf.DUMMYFUNCTION("""COMPUTED_VALUE"""),"For sale")</f>
        <v>For sale</v>
      </c>
      <c r="B2842" s="2" t="str">
        <f>IFERROR(__xludf.DUMMYFUNCTION("""COMPUTED_VALUE"""),"centrs")</f>
        <v>centrs</v>
      </c>
      <c r="C2842" s="2" t="str">
        <f>IFERROR(__xludf.DUMMYFUNCTION("""COMPUTED_VALUE"""),"Skolas 30")</f>
        <v>Skolas 30</v>
      </c>
      <c r="D2842" s="2">
        <f>IFERROR(__xludf.DUMMYFUNCTION("""COMPUTED_VALUE"""),4.0)</f>
        <v>4</v>
      </c>
      <c r="E2842" s="2">
        <f>IFERROR(__xludf.DUMMYFUNCTION("""COMPUTED_VALUE"""),126.0)</f>
        <v>126</v>
      </c>
      <c r="F2842" s="2">
        <f>IFERROR(__xludf.DUMMYFUNCTION("""COMPUTED_VALUE"""),5.0)</f>
        <v>5</v>
      </c>
      <c r="G2842" s="2">
        <f>IFERROR(__xludf.DUMMYFUNCTION("""COMPUTED_VALUE"""),6.0)</f>
        <v>6</v>
      </c>
      <c r="H2842" s="2" t="str">
        <f>IFERROR(__xludf.DUMMYFUNCTION("""COMPUTED_VALUE"""),"P. kara")</f>
        <v>P. kara</v>
      </c>
      <c r="I2842" s="2" t="str">
        <f>IFERROR(__xludf.DUMMYFUNCTION("""COMPUTED_VALUE"""),"Masonry")</f>
        <v>Masonry</v>
      </c>
      <c r="J2842" s="2" t="str">
        <f>IFERROR(__xludf.DUMMYFUNCTION("""COMPUTED_VALUE"""),"All amenities")</f>
        <v>All amenities</v>
      </c>
      <c r="K2842" s="2">
        <f>IFERROR(__xludf.DUMMYFUNCTION("""COMPUTED_VALUE"""),200000.0)</f>
        <v>200000</v>
      </c>
      <c r="L2842" s="2">
        <f>IFERROR(__xludf.DUMMYFUNCTION("""COMPUTED_VALUE"""),48.2969502)</f>
        <v>48.2969502</v>
      </c>
      <c r="M2842" s="2">
        <f>IFERROR(__xludf.DUMMYFUNCTION("""COMPUTED_VALUE"""),-100.7081938)</f>
        <v>-100.7081938</v>
      </c>
    </row>
    <row r="2843">
      <c r="A2843" s="2" t="str">
        <f>IFERROR(__xludf.DUMMYFUNCTION("""COMPUTED_VALUE"""),"For sale")</f>
        <v>For sale</v>
      </c>
      <c r="B2843" s="2" t="str">
        <f>IFERROR(__xludf.DUMMYFUNCTION("""COMPUTED_VALUE"""),"Purvciems")</f>
        <v>Purvciems</v>
      </c>
      <c r="C2843" s="2" t="str">
        <f>IFERROR(__xludf.DUMMYFUNCTION("""COMPUTED_VALUE"""),"Viršu 3")</f>
        <v>Viršu 3</v>
      </c>
      <c r="D2843" s="2">
        <f>IFERROR(__xludf.DUMMYFUNCTION("""COMPUTED_VALUE"""),3.0)</f>
        <v>3</v>
      </c>
      <c r="E2843" s="2">
        <f>IFERROR(__xludf.DUMMYFUNCTION("""COMPUTED_VALUE"""),77.0)</f>
        <v>77</v>
      </c>
      <c r="F2843" s="2">
        <f>IFERROR(__xludf.DUMMYFUNCTION("""COMPUTED_VALUE"""),9.0)</f>
        <v>9</v>
      </c>
      <c r="G2843" s="2">
        <f>IFERROR(__xludf.DUMMYFUNCTION("""COMPUTED_VALUE"""),9.0)</f>
        <v>9</v>
      </c>
      <c r="H2843" s="2">
        <f>IFERROR(__xludf.DUMMYFUNCTION("""COMPUTED_VALUE"""),119.0)</f>
        <v>119</v>
      </c>
      <c r="I2843" s="2" t="str">
        <f>IFERROR(__xludf.DUMMYFUNCTION("""COMPUTED_VALUE"""),"Panel")</f>
        <v>Panel</v>
      </c>
      <c r="J2843" s="2" t="str">
        <f>IFERROR(__xludf.DUMMYFUNCTION("""COMPUTED_VALUE"""),"All amenities")</f>
        <v>All amenities</v>
      </c>
      <c r="K2843" s="2">
        <f>IFERROR(__xludf.DUMMYFUNCTION("""COMPUTED_VALUE"""),68000.0)</f>
        <v>68000</v>
      </c>
      <c r="L2843" s="2">
        <f>IFERROR(__xludf.DUMMYFUNCTION("""COMPUTED_VALUE"""),56.9521256999999)</f>
        <v>56.9521257</v>
      </c>
      <c r="M2843" s="2">
        <f>IFERROR(__xludf.DUMMYFUNCTION("""COMPUTED_VALUE"""),24.1761138)</f>
        <v>24.1761138</v>
      </c>
    </row>
    <row r="2844">
      <c r="A2844" s="2" t="str">
        <f>IFERROR(__xludf.DUMMYFUNCTION("""COMPUTED_VALUE"""),"For sale")</f>
        <v>For sale</v>
      </c>
      <c r="B2844" s="2" t="str">
        <f>IFERROR(__xludf.DUMMYFUNCTION("""COMPUTED_VALUE"""),"centrs")</f>
        <v>centrs</v>
      </c>
      <c r="C2844" s="2" t="str">
        <f>IFERROR(__xludf.DUMMYFUNCTION("""COMPUTED_VALUE"""),"Ģertrūdes 113")</f>
        <v>Ģertrūdes 113</v>
      </c>
      <c r="D2844" s="2">
        <f>IFERROR(__xludf.DUMMYFUNCTION("""COMPUTED_VALUE"""),3.0)</f>
        <v>3</v>
      </c>
      <c r="E2844" s="2">
        <f>IFERROR(__xludf.DUMMYFUNCTION("""COMPUTED_VALUE"""),68.0)</f>
        <v>68</v>
      </c>
      <c r="F2844" s="2">
        <f>IFERROR(__xludf.DUMMYFUNCTION("""COMPUTED_VALUE"""),6.0)</f>
        <v>6</v>
      </c>
      <c r="G2844" s="2">
        <f>IFERROR(__xludf.DUMMYFUNCTION("""COMPUTED_VALUE"""),6.0)</f>
        <v>6</v>
      </c>
      <c r="H2844" s="2" t="str">
        <f>IFERROR(__xludf.DUMMYFUNCTION("""COMPUTED_VALUE"""),"P. kara")</f>
        <v>P. kara</v>
      </c>
      <c r="I2844" s="2" t="str">
        <f>IFERROR(__xludf.DUMMYFUNCTION("""COMPUTED_VALUE"""),"Masonry")</f>
        <v>Masonry</v>
      </c>
      <c r="J2844" s="2" t="str">
        <f>IFERROR(__xludf.DUMMYFUNCTION("""COMPUTED_VALUE"""),"All amenities")</f>
        <v>All amenities</v>
      </c>
      <c r="K2844" s="2">
        <f>IFERROR(__xludf.DUMMYFUNCTION("""COMPUTED_VALUE"""),91800.0)</f>
        <v>91800</v>
      </c>
      <c r="L2844" s="2">
        <f>IFERROR(__xludf.DUMMYFUNCTION("""COMPUTED_VALUE"""),56.9488564)</f>
        <v>56.9488564</v>
      </c>
      <c r="M2844" s="2">
        <f>IFERROR(__xludf.DUMMYFUNCTION("""COMPUTED_VALUE"""),24.1384970339502)</f>
        <v>24.13849703</v>
      </c>
    </row>
    <row r="2845">
      <c r="A2845" s="2" t="str">
        <f>IFERROR(__xludf.DUMMYFUNCTION("""COMPUTED_VALUE"""),"For rent")</f>
        <v>For rent</v>
      </c>
      <c r="B2845" s="2" t="str">
        <f>IFERROR(__xludf.DUMMYFUNCTION("""COMPUTED_VALUE"""),"centrs")</f>
        <v>centrs</v>
      </c>
      <c r="C2845" s="2" t="str">
        <f>IFERROR(__xludf.DUMMYFUNCTION("""COMPUTED_VALUE"""),"Brīvības 76")</f>
        <v>Brīvības 76</v>
      </c>
      <c r="D2845" s="2">
        <f>IFERROR(__xludf.DUMMYFUNCTION("""COMPUTED_VALUE"""),5.0)</f>
        <v>5</v>
      </c>
      <c r="E2845" s="2">
        <f>IFERROR(__xludf.DUMMYFUNCTION("""COMPUTED_VALUE"""),180.0)</f>
        <v>180</v>
      </c>
      <c r="F2845" s="2">
        <f>IFERROR(__xludf.DUMMYFUNCTION("""COMPUTED_VALUE"""),5.0)</f>
        <v>5</v>
      </c>
      <c r="G2845" s="2">
        <f>IFERROR(__xludf.DUMMYFUNCTION("""COMPUTED_VALUE"""),6.0)</f>
        <v>6</v>
      </c>
      <c r="H2845" s="2" t="str">
        <f>IFERROR(__xludf.DUMMYFUNCTION("""COMPUTED_VALUE"""),"Renov.")</f>
        <v>Renov.</v>
      </c>
      <c r="I2845" s="2" t="str">
        <f>IFERROR(__xludf.DUMMYFUNCTION("""COMPUTED_VALUE"""),"Masonry")</f>
        <v>Masonry</v>
      </c>
      <c r="J2845" s="2" t="str">
        <f>IFERROR(__xludf.DUMMYFUNCTION("""COMPUTED_VALUE"""),"All amenities")</f>
        <v>All amenities</v>
      </c>
      <c r="K2845" s="2">
        <f>IFERROR(__xludf.DUMMYFUNCTION("""COMPUTED_VALUE"""),1490.0)</f>
        <v>1490</v>
      </c>
      <c r="L2845" s="2">
        <f>IFERROR(__xludf.DUMMYFUNCTION("""COMPUTED_VALUE"""),56.9583571)</f>
        <v>56.9583571</v>
      </c>
      <c r="M2845" s="2">
        <f>IFERROR(__xludf.DUMMYFUNCTION("""COMPUTED_VALUE"""),24.1252547)</f>
        <v>24.1252547</v>
      </c>
    </row>
    <row r="2846">
      <c r="A2846" s="2" t="str">
        <f>IFERROR(__xludf.DUMMYFUNCTION("""COMPUTED_VALUE"""),"For sale")</f>
        <v>For sale</v>
      </c>
      <c r="B2846" s="2" t="str">
        <f>IFERROR(__xludf.DUMMYFUNCTION("""COMPUTED_VALUE"""),"Vecrīga")</f>
        <v>Vecrīga</v>
      </c>
      <c r="C2846" s="2" t="str">
        <f>IFERROR(__xludf.DUMMYFUNCTION("""COMPUTED_VALUE"""),"Kungu 25")</f>
        <v>Kungu 25</v>
      </c>
      <c r="D2846" s="2">
        <f>IFERROR(__xludf.DUMMYFUNCTION("""COMPUTED_VALUE"""),2.0)</f>
        <v>2</v>
      </c>
      <c r="E2846" s="2">
        <f>IFERROR(__xludf.DUMMYFUNCTION("""COMPUTED_VALUE"""),68.0)</f>
        <v>68</v>
      </c>
      <c r="F2846" s="2">
        <f>IFERROR(__xludf.DUMMYFUNCTION("""COMPUTED_VALUE"""),3.0)</f>
        <v>3</v>
      </c>
      <c r="G2846" s="2">
        <f>IFERROR(__xludf.DUMMYFUNCTION("""COMPUTED_VALUE"""),6.0)</f>
        <v>6</v>
      </c>
      <c r="H2846" s="2" t="str">
        <f>IFERROR(__xludf.DUMMYFUNCTION("""COMPUTED_VALUE"""),"Jaun.")</f>
        <v>Jaun.</v>
      </c>
      <c r="I2846" s="2" t="str">
        <f>IFERROR(__xludf.DUMMYFUNCTION("""COMPUTED_VALUE"""),"Masonry")</f>
        <v>Masonry</v>
      </c>
      <c r="J2846" s="2" t="str">
        <f>IFERROR(__xludf.DUMMYFUNCTION("""COMPUTED_VALUE"""),"All amenities")</f>
        <v>All amenities</v>
      </c>
      <c r="K2846" s="2">
        <f>IFERROR(__xludf.DUMMYFUNCTION("""COMPUTED_VALUE"""),136400.0)</f>
        <v>136400</v>
      </c>
      <c r="L2846" s="2">
        <f>IFERROR(__xludf.DUMMYFUNCTION("""COMPUTED_VALUE"""),56.9453381999999)</f>
        <v>56.9453382</v>
      </c>
      <c r="M2846" s="2">
        <f>IFERROR(__xludf.DUMMYFUNCTION("""COMPUTED_VALUE"""),24.1094639533088)</f>
        <v>24.10946395</v>
      </c>
    </row>
    <row r="2847">
      <c r="A2847" s="2" t="str">
        <f>IFERROR(__xludf.DUMMYFUNCTION("""COMPUTED_VALUE"""),"For sale")</f>
        <v>For sale</v>
      </c>
      <c r="B2847" s="2" t="str">
        <f>IFERROR(__xludf.DUMMYFUNCTION("""COMPUTED_VALUE"""),"Imanta")</f>
        <v>Imanta</v>
      </c>
      <c r="C2847" s="2" t="str">
        <f>IFERROR(__xludf.DUMMYFUNCTION("""COMPUTED_VALUE"""),"Anniņmuižas bulvāris 38/4")</f>
        <v>Anniņmuižas bulvāris 38/4</v>
      </c>
      <c r="D2847" s="2">
        <f>IFERROR(__xludf.DUMMYFUNCTION("""COMPUTED_VALUE"""),4.0)</f>
        <v>4</v>
      </c>
      <c r="E2847" s="2">
        <f>IFERROR(__xludf.DUMMYFUNCTION("""COMPUTED_VALUE"""),74.0)</f>
        <v>74</v>
      </c>
      <c r="F2847" s="2">
        <f>IFERROR(__xludf.DUMMYFUNCTION("""COMPUTED_VALUE"""),2.0)</f>
        <v>2</v>
      </c>
      <c r="G2847" s="2">
        <f>IFERROR(__xludf.DUMMYFUNCTION("""COMPUTED_VALUE"""),18.0)</f>
        <v>18</v>
      </c>
      <c r="H2847" s="2" t="str">
        <f>IFERROR(__xludf.DUMMYFUNCTION("""COMPUTED_VALUE"""),"Jaun.")</f>
        <v>Jaun.</v>
      </c>
      <c r="I2847" s="2" t="str">
        <f>IFERROR(__xludf.DUMMYFUNCTION("""COMPUTED_VALUE"""),"Panel")</f>
        <v>Panel</v>
      </c>
      <c r="J2847" s="2" t="str">
        <f>IFERROR(__xludf.DUMMYFUNCTION("""COMPUTED_VALUE"""),"All amenities")</f>
        <v>All amenities</v>
      </c>
      <c r="K2847" s="2">
        <f>IFERROR(__xludf.DUMMYFUNCTION("""COMPUTED_VALUE"""),125000.0)</f>
        <v>125000</v>
      </c>
      <c r="L2847" s="2">
        <f>IFERROR(__xludf.DUMMYFUNCTION("""COMPUTED_VALUE"""),56.9597946)</f>
        <v>56.9597946</v>
      </c>
      <c r="M2847" s="2">
        <f>IFERROR(__xludf.DUMMYFUNCTION("""COMPUTED_VALUE"""),24.0121597)</f>
        <v>24.0121597</v>
      </c>
    </row>
    <row r="2848">
      <c r="A2848" s="2" t="str">
        <f>IFERROR(__xludf.DUMMYFUNCTION("""COMPUTED_VALUE"""),"For sale")</f>
        <v>For sale</v>
      </c>
      <c r="B2848" s="2" t="str">
        <f>IFERROR(__xludf.DUMMYFUNCTION("""COMPUTED_VALUE"""),"centrs")</f>
        <v>centrs</v>
      </c>
      <c r="C2848" s="2" t="str">
        <f>IFERROR(__xludf.DUMMYFUNCTION("""COMPUTED_VALUE"""),"Visvalža 7")</f>
        <v>Visvalža 7</v>
      </c>
      <c r="D2848" s="2">
        <f>IFERROR(__xludf.DUMMYFUNCTION("""COMPUTED_VALUE"""),4.0)</f>
        <v>4</v>
      </c>
      <c r="E2848" s="2">
        <f>IFERROR(__xludf.DUMMYFUNCTION("""COMPUTED_VALUE"""),113.0)</f>
        <v>113</v>
      </c>
      <c r="F2848" s="2">
        <f>IFERROR(__xludf.DUMMYFUNCTION("""COMPUTED_VALUE"""),5.0)</f>
        <v>5</v>
      </c>
      <c r="G2848" s="2">
        <f>IFERROR(__xludf.DUMMYFUNCTION("""COMPUTED_VALUE"""),6.0)</f>
        <v>6</v>
      </c>
      <c r="H2848" s="2" t="str">
        <f>IFERROR(__xludf.DUMMYFUNCTION("""COMPUTED_VALUE"""),"P. kara")</f>
        <v>P. kara</v>
      </c>
      <c r="I2848" s="2" t="str">
        <f>IFERROR(__xludf.DUMMYFUNCTION("""COMPUTED_VALUE"""),"Brick")</f>
        <v>Brick</v>
      </c>
      <c r="J2848" s="2" t="str">
        <f>IFERROR(__xludf.DUMMYFUNCTION("""COMPUTED_VALUE"""),"All amenities")</f>
        <v>All amenities</v>
      </c>
      <c r="K2848" s="2">
        <f>IFERROR(__xludf.DUMMYFUNCTION("""COMPUTED_VALUE"""),132000.0)</f>
        <v>132000</v>
      </c>
      <c r="L2848" s="2">
        <f>IFERROR(__xludf.DUMMYFUNCTION("""COMPUTED_VALUE"""),56.9479492499999)</f>
        <v>56.94794925</v>
      </c>
      <c r="M2848" s="2">
        <f>IFERROR(__xludf.DUMMYFUNCTION("""COMPUTED_VALUE"""),24.1304457682304)</f>
        <v>24.13044577</v>
      </c>
    </row>
    <row r="2849">
      <c r="A2849" s="2" t="str">
        <f>IFERROR(__xludf.DUMMYFUNCTION("""COMPUTED_VALUE"""),"For sale")</f>
        <v>For sale</v>
      </c>
      <c r="B2849" s="2" t="str">
        <f>IFERROR(__xludf.DUMMYFUNCTION("""COMPUTED_VALUE"""),"Šampēteris-Pleskodāle")</f>
        <v>Šampēteris-Pleskodāle</v>
      </c>
      <c r="C2849" s="2" t="str">
        <f>IFERROR(__xludf.DUMMYFUNCTION("""COMPUTED_VALUE"""),"Volguntes 40")</f>
        <v>Volguntes 40</v>
      </c>
      <c r="D2849" s="2">
        <f>IFERROR(__xludf.DUMMYFUNCTION("""COMPUTED_VALUE"""),3.0)</f>
        <v>3</v>
      </c>
      <c r="E2849" s="2">
        <f>IFERROR(__xludf.DUMMYFUNCTION("""COMPUTED_VALUE"""),90.0)</f>
        <v>90</v>
      </c>
      <c r="F2849" s="2">
        <f>IFERROR(__xludf.DUMMYFUNCTION("""COMPUTED_VALUE"""),1.0)</f>
        <v>1</v>
      </c>
      <c r="G2849" s="2">
        <f>IFERROR(__xludf.DUMMYFUNCTION("""COMPUTED_VALUE"""),4.0)</f>
        <v>4</v>
      </c>
      <c r="H2849" s="2" t="str">
        <f>IFERROR(__xludf.DUMMYFUNCTION("""COMPUTED_VALUE"""),"Jaun.")</f>
        <v>Jaun.</v>
      </c>
      <c r="I2849" s="2" t="str">
        <f>IFERROR(__xludf.DUMMYFUNCTION("""COMPUTED_VALUE"""),"Brick-Panel")</f>
        <v>Brick-Panel</v>
      </c>
      <c r="J2849" s="2" t="str">
        <f>IFERROR(__xludf.DUMMYFUNCTION("""COMPUTED_VALUE"""),"All amenities")</f>
        <v>All amenities</v>
      </c>
      <c r="K2849" s="2">
        <f>IFERROR(__xludf.DUMMYFUNCTION("""COMPUTED_VALUE"""),145000.0)</f>
        <v>145000</v>
      </c>
      <c r="L2849" s="2">
        <f>IFERROR(__xludf.DUMMYFUNCTION("""COMPUTED_VALUE"""),56.9375737999999)</f>
        <v>56.9375738</v>
      </c>
      <c r="M2849" s="2">
        <f>IFERROR(__xludf.DUMMYFUNCTION("""COMPUTED_VALUE"""),24.03746545)</f>
        <v>24.03746545</v>
      </c>
    </row>
    <row r="2850">
      <c r="A2850" s="2" t="str">
        <f>IFERROR(__xludf.DUMMYFUNCTION("""COMPUTED_VALUE"""),"For sale")</f>
        <v>For sale</v>
      </c>
      <c r="B2850" s="2" t="str">
        <f>IFERROR(__xludf.DUMMYFUNCTION("""COMPUTED_VALUE"""),"Ziepniekkalns")</f>
        <v>Ziepniekkalns</v>
      </c>
      <c r="C2850" s="2" t="str">
        <f>IFERROR(__xludf.DUMMYFUNCTION("""COMPUTED_VALUE"""),"Svētes 1")</f>
        <v>Svētes 1</v>
      </c>
      <c r="D2850" s="2">
        <f>IFERROR(__xludf.DUMMYFUNCTION("""COMPUTED_VALUE"""),3.0)</f>
        <v>3</v>
      </c>
      <c r="E2850" s="2">
        <f>IFERROR(__xludf.DUMMYFUNCTION("""COMPUTED_VALUE"""),99.0)</f>
        <v>99</v>
      </c>
      <c r="F2850" s="2">
        <f>IFERROR(__xludf.DUMMYFUNCTION("""COMPUTED_VALUE"""),1.0)</f>
        <v>1</v>
      </c>
      <c r="G2850" s="2">
        <f>IFERROR(__xludf.DUMMYFUNCTION("""COMPUTED_VALUE"""),4.0)</f>
        <v>4</v>
      </c>
      <c r="H2850" s="2" t="str">
        <f>IFERROR(__xludf.DUMMYFUNCTION("""COMPUTED_VALUE"""),"Jaun.")</f>
        <v>Jaun.</v>
      </c>
      <c r="I2850" s="2" t="str">
        <f>IFERROR(__xludf.DUMMYFUNCTION("""COMPUTED_VALUE"""),"Brick")</f>
        <v>Brick</v>
      </c>
      <c r="J2850" s="2" t="str">
        <f>IFERROR(__xludf.DUMMYFUNCTION("""COMPUTED_VALUE"""),"All amenities")</f>
        <v>All amenities</v>
      </c>
      <c r="K2850" s="2">
        <f>IFERROR(__xludf.DUMMYFUNCTION("""COMPUTED_VALUE"""),159000.0)</f>
        <v>159000</v>
      </c>
      <c r="L2850" s="2">
        <f>IFERROR(__xludf.DUMMYFUNCTION("""COMPUTED_VALUE"""),56.91537545)</f>
        <v>56.91537545</v>
      </c>
      <c r="M2850" s="2">
        <f>IFERROR(__xludf.DUMMYFUNCTION("""COMPUTED_VALUE"""),24.0947705636546)</f>
        <v>24.09477056</v>
      </c>
    </row>
    <row r="2851">
      <c r="A2851" s="2" t="str">
        <f>IFERROR(__xludf.DUMMYFUNCTION("""COMPUTED_VALUE"""),"For sale")</f>
        <v>For sale</v>
      </c>
      <c r="B2851" s="2" t="str">
        <f>IFERROR(__xludf.DUMMYFUNCTION("""COMPUTED_VALUE"""),"Mežaparks")</f>
        <v>Mežaparks</v>
      </c>
      <c r="C2851" s="2" t="str">
        <f>IFERROR(__xludf.DUMMYFUNCTION("""COMPUTED_VALUE"""),"Viestura pr. 95")</f>
        <v>Viestura pr. 95</v>
      </c>
      <c r="D2851" s="2">
        <f>IFERROR(__xludf.DUMMYFUNCTION("""COMPUTED_VALUE"""),3.0)</f>
        <v>3</v>
      </c>
      <c r="E2851" s="2">
        <f>IFERROR(__xludf.DUMMYFUNCTION("""COMPUTED_VALUE"""),117.0)</f>
        <v>117</v>
      </c>
      <c r="F2851" s="2">
        <f>IFERROR(__xludf.DUMMYFUNCTION("""COMPUTED_VALUE"""),10.0)</f>
        <v>10</v>
      </c>
      <c r="G2851" s="2">
        <f>IFERROR(__xludf.DUMMYFUNCTION("""COMPUTED_VALUE"""),11.0)</f>
        <v>11</v>
      </c>
      <c r="H2851" s="2" t="str">
        <f>IFERROR(__xludf.DUMMYFUNCTION("""COMPUTED_VALUE"""),"Jaun.")</f>
        <v>Jaun.</v>
      </c>
      <c r="I2851" s="2" t="str">
        <f>IFERROR(__xludf.DUMMYFUNCTION("""COMPUTED_VALUE"""),"Brick")</f>
        <v>Brick</v>
      </c>
      <c r="J2851" s="2" t="str">
        <f>IFERROR(__xludf.DUMMYFUNCTION("""COMPUTED_VALUE"""),"All amenities")</f>
        <v>All amenities</v>
      </c>
      <c r="K2851" s="2">
        <f>IFERROR(__xludf.DUMMYFUNCTION("""COMPUTED_VALUE"""),185000.0)</f>
        <v>185000</v>
      </c>
      <c r="L2851" s="2" t="str">
        <f>IFERROR(__xludf.DUMMYFUNCTION("""COMPUTED_VALUE"""),"NaN")</f>
        <v>NaN</v>
      </c>
      <c r="M2851" s="2" t="str">
        <f>IFERROR(__xludf.DUMMYFUNCTION("""COMPUTED_VALUE"""),"NaN")</f>
        <v>NaN</v>
      </c>
    </row>
    <row r="2852">
      <c r="A2852" s="2" t="str">
        <f>IFERROR(__xludf.DUMMYFUNCTION("""COMPUTED_VALUE"""),"For sale")</f>
        <v>For sale</v>
      </c>
      <c r="B2852" s="2" t="str">
        <f>IFERROR(__xludf.DUMMYFUNCTION("""COMPUTED_VALUE"""),"Vecrīga")</f>
        <v>Vecrīga</v>
      </c>
      <c r="C2852" s="2" t="str">
        <f>IFERROR(__xludf.DUMMYFUNCTION("""COMPUTED_VALUE"""),"Kungu 25")</f>
        <v>Kungu 25</v>
      </c>
      <c r="D2852" s="2">
        <f>IFERROR(__xludf.DUMMYFUNCTION("""COMPUTED_VALUE"""),4.0)</f>
        <v>4</v>
      </c>
      <c r="E2852" s="2">
        <f>IFERROR(__xludf.DUMMYFUNCTION("""COMPUTED_VALUE"""),93.0)</f>
        <v>93</v>
      </c>
      <c r="F2852" s="2">
        <f>IFERROR(__xludf.DUMMYFUNCTION("""COMPUTED_VALUE"""),3.0)</f>
        <v>3</v>
      </c>
      <c r="G2852" s="2">
        <f>IFERROR(__xludf.DUMMYFUNCTION("""COMPUTED_VALUE"""),6.0)</f>
        <v>6</v>
      </c>
      <c r="H2852" s="2" t="str">
        <f>IFERROR(__xludf.DUMMYFUNCTION("""COMPUTED_VALUE"""),"Jaun.")</f>
        <v>Jaun.</v>
      </c>
      <c r="I2852" s="2" t="str">
        <f>IFERROR(__xludf.DUMMYFUNCTION("""COMPUTED_VALUE"""),"Masonry")</f>
        <v>Masonry</v>
      </c>
      <c r="J2852" s="2" t="str">
        <f>IFERROR(__xludf.DUMMYFUNCTION("""COMPUTED_VALUE"""),"All amenities")</f>
        <v>All amenities</v>
      </c>
      <c r="K2852" s="2">
        <f>IFERROR(__xludf.DUMMYFUNCTION("""COMPUTED_VALUE"""),185200.0)</f>
        <v>185200</v>
      </c>
      <c r="L2852" s="2">
        <f>IFERROR(__xludf.DUMMYFUNCTION("""COMPUTED_VALUE"""),56.9453381999999)</f>
        <v>56.9453382</v>
      </c>
      <c r="M2852" s="2">
        <f>IFERROR(__xludf.DUMMYFUNCTION("""COMPUTED_VALUE"""),24.1094639533088)</f>
        <v>24.10946395</v>
      </c>
    </row>
    <row r="2853">
      <c r="A2853" s="2" t="str">
        <f>IFERROR(__xludf.DUMMYFUNCTION("""COMPUTED_VALUE"""),"For rent")</f>
        <v>For rent</v>
      </c>
      <c r="B2853" s="2" t="str">
        <f>IFERROR(__xludf.DUMMYFUNCTION("""COMPUTED_VALUE"""),"Purvciems")</f>
        <v>Purvciems</v>
      </c>
      <c r="C2853" s="2" t="str">
        <f>IFERROR(__xludf.DUMMYFUNCTION("""COMPUTED_VALUE"""),"Dzelzavas 33")</f>
        <v>Dzelzavas 33</v>
      </c>
      <c r="D2853" s="2">
        <f>IFERROR(__xludf.DUMMYFUNCTION("""COMPUTED_VALUE"""),1.0)</f>
        <v>1</v>
      </c>
      <c r="E2853" s="2">
        <f>IFERROR(__xludf.DUMMYFUNCTION("""COMPUTED_VALUE"""),30.0)</f>
        <v>30</v>
      </c>
      <c r="F2853" s="2">
        <f>IFERROR(__xludf.DUMMYFUNCTION("""COMPUTED_VALUE"""),5.0)</f>
        <v>5</v>
      </c>
      <c r="G2853" s="2">
        <f>IFERROR(__xludf.DUMMYFUNCTION("""COMPUTED_VALUE"""),5.0)</f>
        <v>5</v>
      </c>
      <c r="H2853" s="2" t="str">
        <f>IFERROR(__xludf.DUMMYFUNCTION("""COMPUTED_VALUE"""),"LT proj.")</f>
        <v>LT proj.</v>
      </c>
      <c r="I2853" s="2" t="str">
        <f>IFERROR(__xludf.DUMMYFUNCTION("""COMPUTED_VALUE"""),"Panel")</f>
        <v>Panel</v>
      </c>
      <c r="J2853" s="2" t="str">
        <f>IFERROR(__xludf.DUMMYFUNCTION("""COMPUTED_VALUE"""),"All amenities")</f>
        <v>All amenities</v>
      </c>
      <c r="K2853" s="2">
        <f>IFERROR(__xludf.DUMMYFUNCTION("""COMPUTED_VALUE"""),20.0)</f>
        <v>20</v>
      </c>
      <c r="L2853" s="2">
        <f>IFERROR(__xludf.DUMMYFUNCTION("""COMPUTED_VALUE"""),56.9601830999999)</f>
        <v>56.9601831</v>
      </c>
      <c r="M2853" s="2">
        <f>IFERROR(__xludf.DUMMYFUNCTION("""COMPUTED_VALUE"""),24.1809677999999)</f>
        <v>24.1809678</v>
      </c>
    </row>
    <row r="2854">
      <c r="A2854" s="2" t="str">
        <f>IFERROR(__xludf.DUMMYFUNCTION("""COMPUTED_VALUE"""),"For rent")</f>
        <v>For rent</v>
      </c>
      <c r="B2854" s="2" t="str">
        <f>IFERROR(__xludf.DUMMYFUNCTION("""COMPUTED_VALUE"""),"centrs")</f>
        <v>centrs</v>
      </c>
      <c r="C2854" s="2" t="str">
        <f>IFERROR(__xludf.DUMMYFUNCTION("""COMPUTED_VALUE"""),"Čaka 70")</f>
        <v>Čaka 70</v>
      </c>
      <c r="D2854" s="2">
        <f>IFERROR(__xludf.DUMMYFUNCTION("""COMPUTED_VALUE"""),1.0)</f>
        <v>1</v>
      </c>
      <c r="E2854" s="2">
        <f>IFERROR(__xludf.DUMMYFUNCTION("""COMPUTED_VALUE"""),30.0)</f>
        <v>30</v>
      </c>
      <c r="F2854" s="2">
        <f>IFERROR(__xludf.DUMMYFUNCTION("""COMPUTED_VALUE"""),3.0)</f>
        <v>3</v>
      </c>
      <c r="G2854" s="2">
        <f>IFERROR(__xludf.DUMMYFUNCTION("""COMPUTED_VALUE"""),5.0)</f>
        <v>5</v>
      </c>
      <c r="H2854" s="2" t="str">
        <f>IFERROR(__xludf.DUMMYFUNCTION("""COMPUTED_VALUE"""),"P. kara")</f>
        <v>P. kara</v>
      </c>
      <c r="I2854" s="2" t="str">
        <f>IFERROR(__xludf.DUMMYFUNCTION("""COMPUTED_VALUE"""),"Brick")</f>
        <v>Brick</v>
      </c>
      <c r="J2854" s="2" t="str">
        <f>IFERROR(__xludf.DUMMYFUNCTION("""COMPUTED_VALUE"""),"All amenities")</f>
        <v>All amenities</v>
      </c>
      <c r="K2854" s="2">
        <f>IFERROR(__xludf.DUMMYFUNCTION("""COMPUTED_VALUE"""),25.0)</f>
        <v>25</v>
      </c>
      <c r="L2854" s="2">
        <f>IFERROR(__xludf.DUMMYFUNCTION("""COMPUTED_VALUE"""),56.9557185)</f>
        <v>56.9557185</v>
      </c>
      <c r="M2854" s="2">
        <f>IFERROR(__xludf.DUMMYFUNCTION("""COMPUTED_VALUE"""),24.1356095)</f>
        <v>24.1356095</v>
      </c>
    </row>
    <row r="2855">
      <c r="A2855" s="2" t="str">
        <f>IFERROR(__xludf.DUMMYFUNCTION("""COMPUTED_VALUE"""),"For sale")</f>
        <v>For sale</v>
      </c>
      <c r="B2855" s="2" t="str">
        <f>IFERROR(__xludf.DUMMYFUNCTION("""COMPUTED_VALUE"""),"Šampēteris-Pleskodāle")</f>
        <v>Šampēteris-Pleskodāle</v>
      </c>
      <c r="C2855" s="2" t="str">
        <f>IFERROR(__xludf.DUMMYFUNCTION("""COMPUTED_VALUE"""),"Volguntes 40")</f>
        <v>Volguntes 40</v>
      </c>
      <c r="D2855" s="2">
        <f>IFERROR(__xludf.DUMMYFUNCTION("""COMPUTED_VALUE"""),3.0)</f>
        <v>3</v>
      </c>
      <c r="E2855" s="2">
        <f>IFERROR(__xludf.DUMMYFUNCTION("""COMPUTED_VALUE"""),89.5)</f>
        <v>89.5</v>
      </c>
      <c r="F2855" s="2">
        <f>IFERROR(__xludf.DUMMYFUNCTION("""COMPUTED_VALUE"""),1.0)</f>
        <v>1</v>
      </c>
      <c r="G2855" s="2">
        <f>IFERROR(__xludf.DUMMYFUNCTION("""COMPUTED_VALUE"""),4.0)</f>
        <v>4</v>
      </c>
      <c r="H2855" s="2" t="str">
        <f>IFERROR(__xludf.DUMMYFUNCTION("""COMPUTED_VALUE"""),"Jaun.")</f>
        <v>Jaun.</v>
      </c>
      <c r="I2855" s="2" t="str">
        <f>IFERROR(__xludf.DUMMYFUNCTION("""COMPUTED_VALUE"""),"Brick")</f>
        <v>Brick</v>
      </c>
      <c r="J2855" s="2" t="str">
        <f>IFERROR(__xludf.DUMMYFUNCTION("""COMPUTED_VALUE"""),"All amenities")</f>
        <v>All amenities</v>
      </c>
      <c r="K2855" s="2">
        <f>IFERROR(__xludf.DUMMYFUNCTION("""COMPUTED_VALUE"""),145000.0)</f>
        <v>145000</v>
      </c>
      <c r="L2855" s="2">
        <f>IFERROR(__xludf.DUMMYFUNCTION("""COMPUTED_VALUE"""),56.9375737999999)</f>
        <v>56.9375738</v>
      </c>
      <c r="M2855" s="2">
        <f>IFERROR(__xludf.DUMMYFUNCTION("""COMPUTED_VALUE"""),24.03746545)</f>
        <v>24.03746545</v>
      </c>
    </row>
    <row r="2856">
      <c r="A2856" s="2" t="str">
        <f>IFERROR(__xludf.DUMMYFUNCTION("""COMPUTED_VALUE"""),"For sale")</f>
        <v>For sale</v>
      </c>
      <c r="B2856" s="2" t="str">
        <f>IFERROR(__xludf.DUMMYFUNCTION("""COMPUTED_VALUE"""),"Purvciems")</f>
        <v>Purvciems</v>
      </c>
      <c r="C2856" s="2" t="str">
        <f>IFERROR(__xludf.DUMMYFUNCTION("""COMPUTED_VALUE"""),"Stirnu 12")</f>
        <v>Stirnu 12</v>
      </c>
      <c r="D2856" s="2">
        <f>IFERROR(__xludf.DUMMYFUNCTION("""COMPUTED_VALUE"""),1.0)</f>
        <v>1</v>
      </c>
      <c r="E2856" s="2">
        <f>IFERROR(__xludf.DUMMYFUNCTION("""COMPUTED_VALUE"""),40.0)</f>
        <v>40</v>
      </c>
      <c r="F2856" s="2">
        <f>IFERROR(__xludf.DUMMYFUNCTION("""COMPUTED_VALUE"""),5.0)</f>
        <v>5</v>
      </c>
      <c r="G2856" s="2">
        <f>IFERROR(__xludf.DUMMYFUNCTION("""COMPUTED_VALUE"""),5.0)</f>
        <v>5</v>
      </c>
      <c r="H2856" s="2" t="str">
        <f>IFERROR(__xludf.DUMMYFUNCTION("""COMPUTED_VALUE"""),"M. ģim.")</f>
        <v>M. ģim.</v>
      </c>
      <c r="I2856" s="2" t="str">
        <f>IFERROR(__xludf.DUMMYFUNCTION("""COMPUTED_VALUE"""),"Panel")</f>
        <v>Panel</v>
      </c>
      <c r="J2856" s="2" t="str">
        <f>IFERROR(__xludf.DUMMYFUNCTION("""COMPUTED_VALUE"""),"All amenities")</f>
        <v>All amenities</v>
      </c>
      <c r="K2856" s="2">
        <f>IFERROR(__xludf.DUMMYFUNCTION("""COMPUTED_VALUE"""),39900.0)</f>
        <v>39900</v>
      </c>
      <c r="L2856" s="2">
        <f>IFERROR(__xludf.DUMMYFUNCTION("""COMPUTED_VALUE"""),56.95355685)</f>
        <v>56.95355685</v>
      </c>
      <c r="M2856" s="2">
        <f>IFERROR(__xludf.DUMMYFUNCTION("""COMPUTED_VALUE"""),24.1840903268546)</f>
        <v>24.18409033</v>
      </c>
    </row>
    <row r="2857">
      <c r="A2857" s="2" t="str">
        <f>IFERROR(__xludf.DUMMYFUNCTION("""COMPUTED_VALUE"""),"For sale")</f>
        <v>For sale</v>
      </c>
      <c r="B2857" s="2" t="str">
        <f>IFERROR(__xludf.DUMMYFUNCTION("""COMPUTED_VALUE"""),"centrs")</f>
        <v>centrs</v>
      </c>
      <c r="C2857" s="2" t="str">
        <f>IFERROR(__xludf.DUMMYFUNCTION("""COMPUTED_VALUE"""),"Katrīnas d. 24/18")</f>
        <v>Katrīnas d. 24/18</v>
      </c>
      <c r="D2857" s="2">
        <f>IFERROR(__xludf.DUMMYFUNCTION("""COMPUTED_VALUE"""),4.0)</f>
        <v>4</v>
      </c>
      <c r="E2857" s="2">
        <f>IFERROR(__xludf.DUMMYFUNCTION("""COMPUTED_VALUE"""),100.0)</f>
        <v>100</v>
      </c>
      <c r="F2857" s="2">
        <f>IFERROR(__xludf.DUMMYFUNCTION("""COMPUTED_VALUE"""),2.0)</f>
        <v>2</v>
      </c>
      <c r="G2857" s="2">
        <f>IFERROR(__xludf.DUMMYFUNCTION("""COMPUTED_VALUE"""),3.0)</f>
        <v>3</v>
      </c>
      <c r="H2857" s="2" t="str">
        <f>IFERROR(__xludf.DUMMYFUNCTION("""COMPUTED_VALUE"""),"Staļina")</f>
        <v>Staļina</v>
      </c>
      <c r="I2857" s="2" t="str">
        <f>IFERROR(__xludf.DUMMYFUNCTION("""COMPUTED_VALUE"""),"Masonry")</f>
        <v>Masonry</v>
      </c>
      <c r="J2857" s="2" t="str">
        <f>IFERROR(__xludf.DUMMYFUNCTION("""COMPUTED_VALUE"""),"All amenities")</f>
        <v>All amenities</v>
      </c>
      <c r="K2857" s="2">
        <f>IFERROR(__xludf.DUMMYFUNCTION("""COMPUTED_VALUE"""),98000.0)</f>
        <v>98000</v>
      </c>
      <c r="L2857" s="2" t="str">
        <f>IFERROR(__xludf.DUMMYFUNCTION("""COMPUTED_VALUE"""),"NaN")</f>
        <v>NaN</v>
      </c>
      <c r="M2857" s="2" t="str">
        <f>IFERROR(__xludf.DUMMYFUNCTION("""COMPUTED_VALUE"""),"NaN")</f>
        <v>NaN</v>
      </c>
    </row>
    <row r="2858">
      <c r="A2858" s="2" t="str">
        <f>IFERROR(__xludf.DUMMYFUNCTION("""COMPUTED_VALUE"""),"For rent")</f>
        <v>For rent</v>
      </c>
      <c r="B2858" s="2" t="str">
        <f>IFERROR(__xludf.DUMMYFUNCTION("""COMPUTED_VALUE"""),"centrs")</f>
        <v>centrs</v>
      </c>
      <c r="C2858" s="2" t="str">
        <f>IFERROR(__xludf.DUMMYFUNCTION("""COMPUTED_VALUE"""),"Maskavas 15")</f>
        <v>Maskavas 15</v>
      </c>
      <c r="D2858" s="2">
        <f>IFERROR(__xludf.DUMMYFUNCTION("""COMPUTED_VALUE"""),2.0)</f>
        <v>2</v>
      </c>
      <c r="E2858" s="2">
        <f>IFERROR(__xludf.DUMMYFUNCTION("""COMPUTED_VALUE"""),42.0)</f>
        <v>42</v>
      </c>
      <c r="F2858" s="2">
        <f>IFERROR(__xludf.DUMMYFUNCTION("""COMPUTED_VALUE"""),4.0)</f>
        <v>4</v>
      </c>
      <c r="G2858" s="2">
        <f>IFERROR(__xludf.DUMMYFUNCTION("""COMPUTED_VALUE"""),4.0)</f>
        <v>4</v>
      </c>
      <c r="H2858" s="2" t="str">
        <f>IFERROR(__xludf.DUMMYFUNCTION("""COMPUTED_VALUE"""),"Renov.")</f>
        <v>Renov.</v>
      </c>
      <c r="I2858" s="2" t="str">
        <f>IFERROR(__xludf.DUMMYFUNCTION("""COMPUTED_VALUE"""),"Brick")</f>
        <v>Brick</v>
      </c>
      <c r="J2858" s="2" t="str">
        <f>IFERROR(__xludf.DUMMYFUNCTION("""COMPUTED_VALUE"""),"All amenities")</f>
        <v>All amenities</v>
      </c>
      <c r="K2858" s="2">
        <f>IFERROR(__xludf.DUMMYFUNCTION("""COMPUTED_VALUE"""),450.0)</f>
        <v>450</v>
      </c>
      <c r="L2858" s="2">
        <f>IFERROR(__xludf.DUMMYFUNCTION("""COMPUTED_VALUE"""),56.8597884)</f>
        <v>56.8597884</v>
      </c>
      <c r="M2858" s="2">
        <f>IFERROR(__xludf.DUMMYFUNCTION("""COMPUTED_VALUE"""),24.3083417)</f>
        <v>24.3083417</v>
      </c>
    </row>
    <row r="2859">
      <c r="A2859" s="2" t="str">
        <f>IFERROR(__xludf.DUMMYFUNCTION("""COMPUTED_VALUE"""),"For rent")</f>
        <v>For rent</v>
      </c>
      <c r="B2859" s="2" t="str">
        <f>IFERROR(__xludf.DUMMYFUNCTION("""COMPUTED_VALUE"""),"centrs")</f>
        <v>centrs</v>
      </c>
      <c r="C2859" s="2" t="str">
        <f>IFERROR(__xludf.DUMMYFUNCTION("""COMPUTED_VALUE"""),"Matīsa 69")</f>
        <v>Matīsa 69</v>
      </c>
      <c r="D2859" s="2">
        <f>IFERROR(__xludf.DUMMYFUNCTION("""COMPUTED_VALUE"""),2.0)</f>
        <v>2</v>
      </c>
      <c r="E2859" s="2">
        <f>IFERROR(__xludf.DUMMYFUNCTION("""COMPUTED_VALUE"""),66.0)</f>
        <v>66</v>
      </c>
      <c r="F2859" s="2">
        <f>IFERROR(__xludf.DUMMYFUNCTION("""COMPUTED_VALUE"""),4.0)</f>
        <v>4</v>
      </c>
      <c r="G2859" s="2">
        <f>IFERROR(__xludf.DUMMYFUNCTION("""COMPUTED_VALUE"""),7.0)</f>
        <v>7</v>
      </c>
      <c r="H2859" s="2" t="str">
        <f>IFERROR(__xludf.DUMMYFUNCTION("""COMPUTED_VALUE"""),"Jaun.")</f>
        <v>Jaun.</v>
      </c>
      <c r="I2859" s="2" t="str">
        <f>IFERROR(__xludf.DUMMYFUNCTION("""COMPUTED_VALUE"""),"Brick")</f>
        <v>Brick</v>
      </c>
      <c r="J2859" s="2" t="str">
        <f>IFERROR(__xludf.DUMMYFUNCTION("""COMPUTED_VALUE"""),"All amenities")</f>
        <v>All amenities</v>
      </c>
      <c r="K2859" s="2">
        <f>IFERROR(__xludf.DUMMYFUNCTION("""COMPUTED_VALUE"""),700.0)</f>
        <v>700</v>
      </c>
      <c r="L2859" s="2">
        <f>IFERROR(__xludf.DUMMYFUNCTION("""COMPUTED_VALUE"""),56.9538485)</f>
        <v>56.9538485</v>
      </c>
      <c r="M2859" s="2">
        <f>IFERROR(__xludf.DUMMYFUNCTION("""COMPUTED_VALUE"""),24.1405336)</f>
        <v>24.1405336</v>
      </c>
    </row>
    <row r="2860">
      <c r="A2860" s="2" t="str">
        <f>IFERROR(__xludf.DUMMYFUNCTION("""COMPUTED_VALUE"""),"For sale")</f>
        <v>For sale</v>
      </c>
      <c r="B2860" s="2" t="str">
        <f>IFERROR(__xludf.DUMMYFUNCTION("""COMPUTED_VALUE"""),"Ķengarags")</f>
        <v>Ķengarags</v>
      </c>
      <c r="C2860" s="2" t="str">
        <f>IFERROR(__xludf.DUMMYFUNCTION("""COMPUTED_VALUE"""),"Prūšu 4")</f>
        <v>Prūšu 4</v>
      </c>
      <c r="D2860" s="2">
        <f>IFERROR(__xludf.DUMMYFUNCTION("""COMPUTED_VALUE"""),2.0)</f>
        <v>2</v>
      </c>
      <c r="E2860" s="2">
        <f>IFERROR(__xludf.DUMMYFUNCTION("""COMPUTED_VALUE"""),41.0)</f>
        <v>41</v>
      </c>
      <c r="F2860" s="2">
        <f>IFERROR(__xludf.DUMMYFUNCTION("""COMPUTED_VALUE"""),3.0)</f>
        <v>3</v>
      </c>
      <c r="G2860" s="2">
        <f>IFERROR(__xludf.DUMMYFUNCTION("""COMPUTED_VALUE"""),5.0)</f>
        <v>5</v>
      </c>
      <c r="H2860" s="2" t="str">
        <f>IFERROR(__xludf.DUMMYFUNCTION("""COMPUTED_VALUE"""),"Jaun.")</f>
        <v>Jaun.</v>
      </c>
      <c r="I2860" s="2" t="str">
        <f>IFERROR(__xludf.DUMMYFUNCTION("""COMPUTED_VALUE"""),"Panel")</f>
        <v>Panel</v>
      </c>
      <c r="J2860" s="2" t="str">
        <f>IFERROR(__xludf.DUMMYFUNCTION("""COMPUTED_VALUE"""),"All amenities")</f>
        <v>All amenities</v>
      </c>
      <c r="K2860" s="2">
        <f>IFERROR(__xludf.DUMMYFUNCTION("""COMPUTED_VALUE"""),52578.0)</f>
        <v>52578</v>
      </c>
      <c r="L2860" s="2">
        <f>IFERROR(__xludf.DUMMYFUNCTION("""COMPUTED_VALUE"""),56.9146747)</f>
        <v>56.9146747</v>
      </c>
      <c r="M2860" s="2">
        <f>IFERROR(__xludf.DUMMYFUNCTION("""COMPUTED_VALUE"""),24.1815079346418)</f>
        <v>24.18150793</v>
      </c>
    </row>
    <row r="2861">
      <c r="A2861" s="2" t="str">
        <f>IFERROR(__xludf.DUMMYFUNCTION("""COMPUTED_VALUE"""),"For sale")</f>
        <v>For sale</v>
      </c>
      <c r="B2861" s="2" t="str">
        <f>IFERROR(__xludf.DUMMYFUNCTION("""COMPUTED_VALUE"""),"Mežciems")</f>
        <v>Mežciems</v>
      </c>
      <c r="C2861" s="2" t="str">
        <f>IFERROR(__xludf.DUMMYFUNCTION("""COMPUTED_VALUE"""),"Kaivas 50")</f>
        <v>Kaivas 50</v>
      </c>
      <c r="D2861" s="2">
        <f>IFERROR(__xludf.DUMMYFUNCTION("""COMPUTED_VALUE"""),3.0)</f>
        <v>3</v>
      </c>
      <c r="E2861" s="2">
        <f>IFERROR(__xludf.DUMMYFUNCTION("""COMPUTED_VALUE"""),54.0)</f>
        <v>54</v>
      </c>
      <c r="F2861" s="2">
        <f>IFERROR(__xludf.DUMMYFUNCTION("""COMPUTED_VALUE"""),5.0)</f>
        <v>5</v>
      </c>
      <c r="G2861" s="2">
        <f>IFERROR(__xludf.DUMMYFUNCTION("""COMPUTED_VALUE"""),5.0)</f>
        <v>5</v>
      </c>
      <c r="H2861" s="2" t="str">
        <f>IFERROR(__xludf.DUMMYFUNCTION("""COMPUTED_VALUE"""),"Jaun.")</f>
        <v>Jaun.</v>
      </c>
      <c r="I2861" s="2" t="str">
        <f>IFERROR(__xludf.DUMMYFUNCTION("""COMPUTED_VALUE"""),"Panel")</f>
        <v>Panel</v>
      </c>
      <c r="J2861" s="2" t="str">
        <f>IFERROR(__xludf.DUMMYFUNCTION("""COMPUTED_VALUE"""),"All amenities")</f>
        <v>All amenities</v>
      </c>
      <c r="K2861" s="2">
        <f>IFERROR(__xludf.DUMMYFUNCTION("""COMPUTED_VALUE"""),80900.0)</f>
        <v>80900</v>
      </c>
      <c r="L2861" s="2">
        <f>IFERROR(__xludf.DUMMYFUNCTION("""COMPUTED_VALUE"""),56.95546705)</f>
        <v>56.95546705</v>
      </c>
      <c r="M2861" s="2">
        <f>IFERROR(__xludf.DUMMYFUNCTION("""COMPUTED_VALUE"""),24.24181865)</f>
        <v>24.24181865</v>
      </c>
    </row>
    <row r="2862">
      <c r="A2862" s="2" t="str">
        <f>IFERROR(__xludf.DUMMYFUNCTION("""COMPUTED_VALUE"""),"For sale")</f>
        <v>For sale</v>
      </c>
      <c r="B2862" s="2" t="str">
        <f>IFERROR(__xludf.DUMMYFUNCTION("""COMPUTED_VALUE"""),"Imanta")</f>
        <v>Imanta</v>
      </c>
      <c r="C2862" s="2" t="str">
        <f>IFERROR(__xludf.DUMMYFUNCTION("""COMPUTED_VALUE"""),"Anniņmuižas bulvāris 54")</f>
        <v>Anniņmuižas bulvāris 54</v>
      </c>
      <c r="D2862" s="2">
        <f>IFERROR(__xludf.DUMMYFUNCTION("""COMPUTED_VALUE"""),3.0)</f>
        <v>3</v>
      </c>
      <c r="E2862" s="2">
        <f>IFERROR(__xludf.DUMMYFUNCTION("""COMPUTED_VALUE"""),63.0)</f>
        <v>63</v>
      </c>
      <c r="F2862" s="2">
        <f>IFERROR(__xludf.DUMMYFUNCTION("""COMPUTED_VALUE"""),9.0)</f>
        <v>9</v>
      </c>
      <c r="G2862" s="2">
        <f>IFERROR(__xludf.DUMMYFUNCTION("""COMPUTED_VALUE"""),9.0)</f>
        <v>9</v>
      </c>
      <c r="H2862" s="2">
        <f>IFERROR(__xludf.DUMMYFUNCTION("""COMPUTED_VALUE"""),602.0)</f>
        <v>602</v>
      </c>
      <c r="I2862" s="2" t="str">
        <f>IFERROR(__xludf.DUMMYFUNCTION("""COMPUTED_VALUE"""),"Panel")</f>
        <v>Panel</v>
      </c>
      <c r="J2862" s="2" t="str">
        <f>IFERROR(__xludf.DUMMYFUNCTION("""COMPUTED_VALUE"""),"All amenities")</f>
        <v>All amenities</v>
      </c>
      <c r="K2862" s="2">
        <f>IFERROR(__xludf.DUMMYFUNCTION("""COMPUTED_VALUE"""),64000.0)</f>
        <v>64000</v>
      </c>
      <c r="L2862" s="2">
        <f>IFERROR(__xludf.DUMMYFUNCTION("""COMPUTED_VALUE"""),56.9576685)</f>
        <v>56.9576685</v>
      </c>
      <c r="M2862" s="2">
        <f>IFERROR(__xludf.DUMMYFUNCTION("""COMPUTED_VALUE"""),24.008248)</f>
        <v>24.008248</v>
      </c>
    </row>
    <row r="2863">
      <c r="A2863" s="2" t="str">
        <f>IFERROR(__xludf.DUMMYFUNCTION("""COMPUTED_VALUE"""),"For sale")</f>
        <v>For sale</v>
      </c>
      <c r="B2863" s="2" t="str">
        <f>IFERROR(__xludf.DUMMYFUNCTION("""COMPUTED_VALUE"""),"Berģi")</f>
        <v>Berģi</v>
      </c>
      <c r="C2863" s="2" t="str">
        <f>IFERROR(__xludf.DUMMYFUNCTION("""COMPUTED_VALUE"""),"Lauvu 22")</f>
        <v>Lauvu 22</v>
      </c>
      <c r="D2863" s="2">
        <f>IFERROR(__xludf.DUMMYFUNCTION("""COMPUTED_VALUE"""),2.0)</f>
        <v>2</v>
      </c>
      <c r="E2863" s="2">
        <f>IFERROR(__xludf.DUMMYFUNCTION("""COMPUTED_VALUE"""),85.0)</f>
        <v>85</v>
      </c>
      <c r="F2863" s="2">
        <f>IFERROR(__xludf.DUMMYFUNCTION("""COMPUTED_VALUE"""),1.0)</f>
        <v>1</v>
      </c>
      <c r="G2863" s="2">
        <f>IFERROR(__xludf.DUMMYFUNCTION("""COMPUTED_VALUE"""),2.0)</f>
        <v>2</v>
      </c>
      <c r="H2863" s="2" t="str">
        <f>IFERROR(__xludf.DUMMYFUNCTION("""COMPUTED_VALUE"""),"Jaun.")</f>
        <v>Jaun.</v>
      </c>
      <c r="I2863" s="2" t="str">
        <f>IFERROR(__xludf.DUMMYFUNCTION("""COMPUTED_VALUE"""),"Masonry")</f>
        <v>Masonry</v>
      </c>
      <c r="J2863" s="2" t="str">
        <f>IFERROR(__xludf.DUMMYFUNCTION("""COMPUTED_VALUE"""),"All amenities")</f>
        <v>All amenities</v>
      </c>
      <c r="K2863" s="2">
        <f>IFERROR(__xludf.DUMMYFUNCTION("""COMPUTED_VALUE"""),125000.0)</f>
        <v>125000</v>
      </c>
      <c r="L2863" s="2" t="str">
        <f>IFERROR(__xludf.DUMMYFUNCTION("""COMPUTED_VALUE"""),"NaN")</f>
        <v>NaN</v>
      </c>
      <c r="M2863" s="2" t="str">
        <f>IFERROR(__xludf.DUMMYFUNCTION("""COMPUTED_VALUE"""),"NaN")</f>
        <v>NaN</v>
      </c>
    </row>
    <row r="2864">
      <c r="A2864" s="2" t="str">
        <f>IFERROR(__xludf.DUMMYFUNCTION("""COMPUTED_VALUE"""),"For sale")</f>
        <v>For sale</v>
      </c>
      <c r="B2864" s="2" t="str">
        <f>IFERROR(__xludf.DUMMYFUNCTION("""COMPUTED_VALUE"""),"Āgenskalns")</f>
        <v>Āgenskalns</v>
      </c>
      <c r="C2864" s="2" t="str">
        <f>IFERROR(__xludf.DUMMYFUNCTION("""COMPUTED_VALUE"""),"Ērģeļu 1")</f>
        <v>Ērģeļu 1</v>
      </c>
      <c r="D2864" s="2">
        <f>IFERROR(__xludf.DUMMYFUNCTION("""COMPUTED_VALUE"""),5.0)</f>
        <v>5</v>
      </c>
      <c r="E2864" s="2">
        <f>IFERROR(__xludf.DUMMYFUNCTION("""COMPUTED_VALUE"""),210.0)</f>
        <v>210</v>
      </c>
      <c r="F2864" s="2">
        <f>IFERROR(__xludf.DUMMYFUNCTION("""COMPUTED_VALUE"""),1.0)</f>
        <v>1</v>
      </c>
      <c r="G2864" s="2">
        <f>IFERROR(__xludf.DUMMYFUNCTION("""COMPUTED_VALUE"""),2.0)</f>
        <v>2</v>
      </c>
      <c r="H2864" s="2" t="str">
        <f>IFERROR(__xludf.DUMMYFUNCTION("""COMPUTED_VALUE"""),"P. kara")</f>
        <v>P. kara</v>
      </c>
      <c r="I2864" s="2" t="str">
        <f>IFERROR(__xludf.DUMMYFUNCTION("""COMPUTED_VALUE"""),"Wood")</f>
        <v>Wood</v>
      </c>
      <c r="J2864" s="2" t="str">
        <f>IFERROR(__xludf.DUMMYFUNCTION("""COMPUTED_VALUE"""),"All amenities")</f>
        <v>All amenities</v>
      </c>
      <c r="K2864" s="2">
        <f>IFERROR(__xludf.DUMMYFUNCTION("""COMPUTED_VALUE"""),135000.0)</f>
        <v>135000</v>
      </c>
      <c r="L2864" s="2">
        <f>IFERROR(__xludf.DUMMYFUNCTION("""COMPUTED_VALUE"""),56.9462032)</f>
        <v>56.9462032</v>
      </c>
      <c r="M2864" s="2">
        <f>IFERROR(__xludf.DUMMYFUNCTION("""COMPUTED_VALUE"""),24.0786089595566)</f>
        <v>24.07860896</v>
      </c>
    </row>
    <row r="2865">
      <c r="A2865" s="2" t="str">
        <f>IFERROR(__xludf.DUMMYFUNCTION("""COMPUTED_VALUE"""),"For sale")</f>
        <v>For sale</v>
      </c>
      <c r="B2865" s="2" t="str">
        <f>IFERROR(__xludf.DUMMYFUNCTION("""COMPUTED_VALUE"""),"centrs")</f>
        <v>centrs</v>
      </c>
      <c r="C2865" s="2" t="str">
        <f>IFERROR(__xludf.DUMMYFUNCTION("""COMPUTED_VALUE"""),"Martas 9")</f>
        <v>Martas 9</v>
      </c>
      <c r="D2865" s="2">
        <f>IFERROR(__xludf.DUMMYFUNCTION("""COMPUTED_VALUE"""),4.0)</f>
        <v>4</v>
      </c>
      <c r="E2865" s="2">
        <f>IFERROR(__xludf.DUMMYFUNCTION("""COMPUTED_VALUE"""),104.0)</f>
        <v>104</v>
      </c>
      <c r="F2865" s="2">
        <f>IFERROR(__xludf.DUMMYFUNCTION("""COMPUTED_VALUE"""),2.0)</f>
        <v>2</v>
      </c>
      <c r="G2865" s="2">
        <f>IFERROR(__xludf.DUMMYFUNCTION("""COMPUTED_VALUE"""),5.0)</f>
        <v>5</v>
      </c>
      <c r="H2865" s="2" t="str">
        <f>IFERROR(__xludf.DUMMYFUNCTION("""COMPUTED_VALUE"""),"P. kara")</f>
        <v>P. kara</v>
      </c>
      <c r="I2865" s="2" t="str">
        <f>IFERROR(__xludf.DUMMYFUNCTION("""COMPUTED_VALUE"""),"Masonry")</f>
        <v>Masonry</v>
      </c>
      <c r="J2865" s="2" t="str">
        <f>IFERROR(__xludf.DUMMYFUNCTION("""COMPUTED_VALUE"""),"All amenities")</f>
        <v>All amenities</v>
      </c>
      <c r="K2865" s="2">
        <f>IFERROR(__xludf.DUMMYFUNCTION("""COMPUTED_VALUE"""),135000.0)</f>
        <v>135000</v>
      </c>
      <c r="L2865" s="2" t="str">
        <f>IFERROR(__xludf.DUMMYFUNCTION("""COMPUTED_VALUE"""),"NaN")</f>
        <v>NaN</v>
      </c>
      <c r="M2865" s="2" t="str">
        <f>IFERROR(__xludf.DUMMYFUNCTION("""COMPUTED_VALUE"""),"NaN")</f>
        <v>NaN</v>
      </c>
    </row>
    <row r="2866">
      <c r="A2866" s="2" t="str">
        <f>IFERROR(__xludf.DUMMYFUNCTION("""COMPUTED_VALUE"""),"For rent")</f>
        <v>For rent</v>
      </c>
      <c r="B2866" s="2" t="str">
        <f>IFERROR(__xludf.DUMMYFUNCTION("""COMPUTED_VALUE"""),"centrs")</f>
        <v>centrs</v>
      </c>
      <c r="C2866" s="2" t="str">
        <f>IFERROR(__xludf.DUMMYFUNCTION("""COMPUTED_VALUE"""),"Lāčplēša 221")</f>
        <v>Lāčplēša 221</v>
      </c>
      <c r="D2866" s="2">
        <f>IFERROR(__xludf.DUMMYFUNCTION("""COMPUTED_VALUE"""),2.0)</f>
        <v>2</v>
      </c>
      <c r="E2866" s="2">
        <f>IFERROR(__xludf.DUMMYFUNCTION("""COMPUTED_VALUE"""),41.0)</f>
        <v>41</v>
      </c>
      <c r="F2866" s="2">
        <f>IFERROR(__xludf.DUMMYFUNCTION("""COMPUTED_VALUE"""),3.0)</f>
        <v>3</v>
      </c>
      <c r="G2866" s="2">
        <f>IFERROR(__xludf.DUMMYFUNCTION("""COMPUTED_VALUE"""),4.0)</f>
        <v>4</v>
      </c>
      <c r="H2866" s="2" t="str">
        <f>IFERROR(__xludf.DUMMYFUNCTION("""COMPUTED_VALUE"""),"P. kara")</f>
        <v>P. kara</v>
      </c>
      <c r="I2866" s="2" t="str">
        <f>IFERROR(__xludf.DUMMYFUNCTION("""COMPUTED_VALUE"""),"Masonry")</f>
        <v>Masonry</v>
      </c>
      <c r="J2866" s="2" t="str">
        <f>IFERROR(__xludf.DUMMYFUNCTION("""COMPUTED_VALUE"""),"All amenities")</f>
        <v>All amenities</v>
      </c>
      <c r="K2866" s="2">
        <f>IFERROR(__xludf.DUMMYFUNCTION("""COMPUTED_VALUE"""),35.0)</f>
        <v>35</v>
      </c>
      <c r="L2866" s="2">
        <f>IFERROR(__xludf.DUMMYFUNCTION("""COMPUTED_VALUE"""),56.9468471)</f>
        <v>56.9468471</v>
      </c>
      <c r="M2866" s="2">
        <f>IFERROR(__xludf.DUMMYFUNCTION("""COMPUTED_VALUE"""),24.133767)</f>
        <v>24.133767</v>
      </c>
    </row>
    <row r="2867">
      <c r="A2867" s="2" t="str">
        <f>IFERROR(__xludf.DUMMYFUNCTION("""COMPUTED_VALUE"""),"For sale")</f>
        <v>For sale</v>
      </c>
      <c r="B2867" s="2" t="str">
        <f>IFERROR(__xludf.DUMMYFUNCTION("""COMPUTED_VALUE"""),"centrs")</f>
        <v>centrs</v>
      </c>
      <c r="C2867" s="2" t="str">
        <f>IFERROR(__xludf.DUMMYFUNCTION("""COMPUTED_VALUE"""),"Miera 5")</f>
        <v>Miera 5</v>
      </c>
      <c r="D2867" s="2">
        <f>IFERROR(__xludf.DUMMYFUNCTION("""COMPUTED_VALUE"""),4.0)</f>
        <v>4</v>
      </c>
      <c r="E2867" s="2">
        <f>IFERROR(__xludf.DUMMYFUNCTION("""COMPUTED_VALUE"""),110.0)</f>
        <v>110</v>
      </c>
      <c r="F2867" s="2">
        <f>IFERROR(__xludf.DUMMYFUNCTION("""COMPUTED_VALUE"""),3.0)</f>
        <v>3</v>
      </c>
      <c r="G2867" s="2">
        <f>IFERROR(__xludf.DUMMYFUNCTION("""COMPUTED_VALUE"""),6.0)</f>
        <v>6</v>
      </c>
      <c r="H2867" s="2" t="str">
        <f>IFERROR(__xludf.DUMMYFUNCTION("""COMPUTED_VALUE"""),"P. kara")</f>
        <v>P. kara</v>
      </c>
      <c r="I2867" s="2" t="str">
        <f>IFERROR(__xludf.DUMMYFUNCTION("""COMPUTED_VALUE"""),"Masonry")</f>
        <v>Masonry</v>
      </c>
      <c r="J2867" s="2" t="str">
        <f>IFERROR(__xludf.DUMMYFUNCTION("""COMPUTED_VALUE"""),"All amenities")</f>
        <v>All amenities</v>
      </c>
      <c r="K2867" s="2">
        <f>IFERROR(__xludf.DUMMYFUNCTION("""COMPUTED_VALUE"""),149715.0)</f>
        <v>149715</v>
      </c>
      <c r="L2867" s="2">
        <f>IFERROR(__xludf.DUMMYFUNCTION("""COMPUTED_VALUE"""),56.9665763)</f>
        <v>56.9665763</v>
      </c>
      <c r="M2867" s="2">
        <f>IFERROR(__xludf.DUMMYFUNCTION("""COMPUTED_VALUE"""),24.1337504)</f>
        <v>24.1337504</v>
      </c>
    </row>
    <row r="2868">
      <c r="A2868" s="2" t="str">
        <f>IFERROR(__xludf.DUMMYFUNCTION("""COMPUTED_VALUE"""),"For sale")</f>
        <v>For sale</v>
      </c>
      <c r="B2868" s="2" t="str">
        <f>IFERROR(__xludf.DUMMYFUNCTION("""COMPUTED_VALUE"""),"centrs")</f>
        <v>centrs</v>
      </c>
      <c r="C2868" s="2" t="str">
        <f>IFERROR(__xludf.DUMMYFUNCTION("""COMPUTED_VALUE"""),"Miera 5")</f>
        <v>Miera 5</v>
      </c>
      <c r="D2868" s="2">
        <f>IFERROR(__xludf.DUMMYFUNCTION("""COMPUTED_VALUE"""),3.0)</f>
        <v>3</v>
      </c>
      <c r="E2868" s="2">
        <f>IFERROR(__xludf.DUMMYFUNCTION("""COMPUTED_VALUE"""),77.0)</f>
        <v>77</v>
      </c>
      <c r="F2868" s="2">
        <f>IFERROR(__xludf.DUMMYFUNCTION("""COMPUTED_VALUE"""),3.0)</f>
        <v>3</v>
      </c>
      <c r="G2868" s="2">
        <f>IFERROR(__xludf.DUMMYFUNCTION("""COMPUTED_VALUE"""),6.0)</f>
        <v>6</v>
      </c>
      <c r="H2868" s="2" t="str">
        <f>IFERROR(__xludf.DUMMYFUNCTION("""COMPUTED_VALUE"""),"P. kara")</f>
        <v>P. kara</v>
      </c>
      <c r="I2868" s="2" t="str">
        <f>IFERROR(__xludf.DUMMYFUNCTION("""COMPUTED_VALUE"""),"Masonry")</f>
        <v>Masonry</v>
      </c>
      <c r="J2868" s="2" t="str">
        <f>IFERROR(__xludf.DUMMYFUNCTION("""COMPUTED_VALUE"""),"All amenities")</f>
        <v>All amenities</v>
      </c>
      <c r="K2868" s="2">
        <f>IFERROR(__xludf.DUMMYFUNCTION("""COMPUTED_VALUE"""),119660.0)</f>
        <v>119660</v>
      </c>
      <c r="L2868" s="2">
        <f>IFERROR(__xludf.DUMMYFUNCTION("""COMPUTED_VALUE"""),56.9665763)</f>
        <v>56.9665763</v>
      </c>
      <c r="M2868" s="2">
        <f>IFERROR(__xludf.DUMMYFUNCTION("""COMPUTED_VALUE"""),24.1337504)</f>
        <v>24.1337504</v>
      </c>
    </row>
    <row r="2869">
      <c r="A2869" s="2" t="str">
        <f>IFERROR(__xludf.DUMMYFUNCTION("""COMPUTED_VALUE"""),"For rent")</f>
        <v>For rent</v>
      </c>
      <c r="B2869" s="2" t="str">
        <f>IFERROR(__xludf.DUMMYFUNCTION("""COMPUTED_VALUE"""),"Iļģuciems")</f>
        <v>Iļģuciems</v>
      </c>
      <c r="C2869" s="2" t="str">
        <f>IFERROR(__xludf.DUMMYFUNCTION("""COMPUTED_VALUE"""),"Dzirciema 57")</f>
        <v>Dzirciema 57</v>
      </c>
      <c r="D2869" s="2">
        <f>IFERROR(__xludf.DUMMYFUNCTION("""COMPUTED_VALUE"""),3.0)</f>
        <v>3</v>
      </c>
      <c r="E2869" s="2">
        <f>IFERROR(__xludf.DUMMYFUNCTION("""COMPUTED_VALUE"""),57.0)</f>
        <v>57</v>
      </c>
      <c r="F2869" s="2">
        <f>IFERROR(__xludf.DUMMYFUNCTION("""COMPUTED_VALUE"""),4.0)</f>
        <v>4</v>
      </c>
      <c r="G2869" s="2">
        <f>IFERROR(__xludf.DUMMYFUNCTION("""COMPUTED_VALUE"""),9.0)</f>
        <v>9</v>
      </c>
      <c r="H2869" s="2">
        <f>IFERROR(__xludf.DUMMYFUNCTION("""COMPUTED_VALUE"""),467.0)</f>
        <v>467</v>
      </c>
      <c r="I2869" s="2" t="str">
        <f>IFERROR(__xludf.DUMMYFUNCTION("""COMPUTED_VALUE"""),"Panel")</f>
        <v>Panel</v>
      </c>
      <c r="J2869" s="2" t="str">
        <f>IFERROR(__xludf.DUMMYFUNCTION("""COMPUTED_VALUE"""),"All amenities")</f>
        <v>All amenities</v>
      </c>
      <c r="K2869" s="2">
        <f>IFERROR(__xludf.DUMMYFUNCTION("""COMPUTED_VALUE"""),300.0)</f>
        <v>300</v>
      </c>
      <c r="L2869" s="2">
        <f>IFERROR(__xludf.DUMMYFUNCTION("""COMPUTED_VALUE"""),56.96156055)</f>
        <v>56.96156055</v>
      </c>
      <c r="M2869" s="2">
        <f>IFERROR(__xludf.DUMMYFUNCTION("""COMPUTED_VALUE"""),24.0529558016831)</f>
        <v>24.0529558</v>
      </c>
    </row>
    <row r="2870">
      <c r="A2870" s="2" t="str">
        <f>IFERROR(__xludf.DUMMYFUNCTION("""COMPUTED_VALUE"""),"For sale")</f>
        <v>For sale</v>
      </c>
      <c r="B2870" s="2" t="str">
        <f>IFERROR(__xludf.DUMMYFUNCTION("""COMPUTED_VALUE"""),"centrs")</f>
        <v>centrs</v>
      </c>
      <c r="C2870" s="2" t="str">
        <f>IFERROR(__xludf.DUMMYFUNCTION("""COMPUTED_VALUE"""),"Alberta 7")</f>
        <v>Alberta 7</v>
      </c>
      <c r="D2870" s="2">
        <f>IFERROR(__xludf.DUMMYFUNCTION("""COMPUTED_VALUE"""),5.0)</f>
        <v>5</v>
      </c>
      <c r="E2870" s="2">
        <f>IFERROR(__xludf.DUMMYFUNCTION("""COMPUTED_VALUE"""),173.0)</f>
        <v>173</v>
      </c>
      <c r="F2870" s="2">
        <f>IFERROR(__xludf.DUMMYFUNCTION("""COMPUTED_VALUE"""),4.0)</f>
        <v>4</v>
      </c>
      <c r="G2870" s="2">
        <f>IFERROR(__xludf.DUMMYFUNCTION("""COMPUTED_VALUE"""),5.0)</f>
        <v>5</v>
      </c>
      <c r="H2870" s="2" t="str">
        <f>IFERROR(__xludf.DUMMYFUNCTION("""COMPUTED_VALUE"""),"P. kara")</f>
        <v>P. kara</v>
      </c>
      <c r="I2870" s="2" t="str">
        <f>IFERROR(__xludf.DUMMYFUNCTION("""COMPUTED_VALUE"""),"Masonry")</f>
        <v>Masonry</v>
      </c>
      <c r="J2870" s="2" t="str">
        <f>IFERROR(__xludf.DUMMYFUNCTION("""COMPUTED_VALUE"""),"All amenities")</f>
        <v>All amenities</v>
      </c>
      <c r="K2870" s="2">
        <f>IFERROR(__xludf.DUMMYFUNCTION("""COMPUTED_VALUE"""),480000.0)</f>
        <v>480000</v>
      </c>
      <c r="L2870" s="2">
        <f>IFERROR(__xludf.DUMMYFUNCTION("""COMPUTED_VALUE"""),56.95892215)</f>
        <v>56.95892215</v>
      </c>
      <c r="M2870" s="2">
        <f>IFERROR(__xludf.DUMMYFUNCTION("""COMPUTED_VALUE"""),24.1096105097308)</f>
        <v>24.10961051</v>
      </c>
    </row>
    <row r="2871">
      <c r="A2871" s="2" t="str">
        <f>IFERROR(__xludf.DUMMYFUNCTION("""COMPUTED_VALUE"""),"For sale")</f>
        <v>For sale</v>
      </c>
      <c r="B2871" s="2" t="str">
        <f>IFERROR(__xludf.DUMMYFUNCTION("""COMPUTED_VALUE"""),"Zolitūde")</f>
        <v>Zolitūde</v>
      </c>
      <c r="C2871" s="2" t="str">
        <f>IFERROR(__xludf.DUMMYFUNCTION("""COMPUTED_VALUE"""),"Anniņmuižas 7")</f>
        <v>Anniņmuižas 7</v>
      </c>
      <c r="D2871" s="2">
        <f>IFERROR(__xludf.DUMMYFUNCTION("""COMPUTED_VALUE"""),3.0)</f>
        <v>3</v>
      </c>
      <c r="E2871" s="2">
        <f>IFERROR(__xludf.DUMMYFUNCTION("""COMPUTED_VALUE"""),97.1)</f>
        <v>97.1</v>
      </c>
      <c r="F2871" s="2">
        <f>IFERROR(__xludf.DUMMYFUNCTION("""COMPUTED_VALUE"""),12.0)</f>
        <v>12</v>
      </c>
      <c r="G2871" s="2">
        <f>IFERROR(__xludf.DUMMYFUNCTION("""COMPUTED_VALUE"""),13.0)</f>
        <v>13</v>
      </c>
      <c r="H2871" s="2" t="str">
        <f>IFERROR(__xludf.DUMMYFUNCTION("""COMPUTED_VALUE"""),"Jaun.")</f>
        <v>Jaun.</v>
      </c>
      <c r="I2871" s="2" t="str">
        <f>IFERROR(__xludf.DUMMYFUNCTION("""COMPUTED_VALUE"""),"Brick")</f>
        <v>Brick</v>
      </c>
      <c r="J2871" s="2" t="str">
        <f>IFERROR(__xludf.DUMMYFUNCTION("""COMPUTED_VALUE"""),"All amenities")</f>
        <v>All amenities</v>
      </c>
      <c r="K2871" s="2">
        <f>IFERROR(__xludf.DUMMYFUNCTION("""COMPUTED_VALUE"""),128000.0)</f>
        <v>128000</v>
      </c>
      <c r="L2871" s="2">
        <f>IFERROR(__xludf.DUMMYFUNCTION("""COMPUTED_VALUE"""),56.94666195)</f>
        <v>56.94666195</v>
      </c>
      <c r="M2871" s="2">
        <f>IFERROR(__xludf.DUMMYFUNCTION("""COMPUTED_VALUE"""),24.0130196500717)</f>
        <v>24.01301965</v>
      </c>
    </row>
    <row r="2872">
      <c r="A2872" s="2" t="str">
        <f>IFERROR(__xludf.DUMMYFUNCTION("""COMPUTED_VALUE"""),"For sale")</f>
        <v>For sale</v>
      </c>
      <c r="B2872" s="2" t="str">
        <f>IFERROR(__xludf.DUMMYFUNCTION("""COMPUTED_VALUE"""),"Āgenskalns")</f>
        <v>Āgenskalns</v>
      </c>
      <c r="C2872" s="2" t="str">
        <f>IFERROR(__xludf.DUMMYFUNCTION("""COMPUTED_VALUE"""),"Melnsila 24")</f>
        <v>Melnsila 24</v>
      </c>
      <c r="D2872" s="2">
        <f>IFERROR(__xludf.DUMMYFUNCTION("""COMPUTED_VALUE"""),3.0)</f>
        <v>3</v>
      </c>
      <c r="E2872" s="2">
        <f>IFERROR(__xludf.DUMMYFUNCTION("""COMPUTED_VALUE"""),60.0)</f>
        <v>60</v>
      </c>
      <c r="F2872" s="2">
        <f>IFERROR(__xludf.DUMMYFUNCTION("""COMPUTED_VALUE"""),5.0)</f>
        <v>5</v>
      </c>
      <c r="G2872" s="2">
        <f>IFERROR(__xludf.DUMMYFUNCTION("""COMPUTED_VALUE"""),5.0)</f>
        <v>5</v>
      </c>
      <c r="H2872" s="2" t="str">
        <f>IFERROR(__xludf.DUMMYFUNCTION("""COMPUTED_VALUE"""),"Hrušč.")</f>
        <v>Hrušč.</v>
      </c>
      <c r="I2872" s="2" t="str">
        <f>IFERROR(__xludf.DUMMYFUNCTION("""COMPUTED_VALUE"""),"Panel")</f>
        <v>Panel</v>
      </c>
      <c r="J2872" s="2" t="str">
        <f>IFERROR(__xludf.DUMMYFUNCTION("""COMPUTED_VALUE"""),"All amenities")</f>
        <v>All amenities</v>
      </c>
      <c r="K2872" s="2">
        <f>IFERROR(__xludf.DUMMYFUNCTION("""COMPUTED_VALUE"""),75000.0)</f>
        <v>75000</v>
      </c>
      <c r="L2872" s="2">
        <f>IFERROR(__xludf.DUMMYFUNCTION("""COMPUTED_VALUE"""),56.94578335)</f>
        <v>56.94578335</v>
      </c>
      <c r="M2872" s="2">
        <f>IFERROR(__xludf.DUMMYFUNCTION("""COMPUTED_VALUE"""),24.0643504483302)</f>
        <v>24.06435045</v>
      </c>
    </row>
    <row r="2873">
      <c r="A2873" s="2" t="str">
        <f>IFERROR(__xludf.DUMMYFUNCTION("""COMPUTED_VALUE"""),"For sale")</f>
        <v>For sale</v>
      </c>
      <c r="B2873" s="2" t="str">
        <f>IFERROR(__xludf.DUMMYFUNCTION("""COMPUTED_VALUE"""),"Āgenskalns")</f>
        <v>Āgenskalns</v>
      </c>
      <c r="C2873" s="2" t="str">
        <f>IFERROR(__xludf.DUMMYFUNCTION("""COMPUTED_VALUE"""),"Āgenskalna 22")</f>
        <v>Āgenskalna 22</v>
      </c>
      <c r="D2873" s="2">
        <f>IFERROR(__xludf.DUMMYFUNCTION("""COMPUTED_VALUE"""),1.0)</f>
        <v>1</v>
      </c>
      <c r="E2873" s="2">
        <f>IFERROR(__xludf.DUMMYFUNCTION("""COMPUTED_VALUE"""),31.0)</f>
        <v>31</v>
      </c>
      <c r="F2873" s="2">
        <f>IFERROR(__xludf.DUMMYFUNCTION("""COMPUTED_VALUE"""),4.0)</f>
        <v>4</v>
      </c>
      <c r="G2873" s="2">
        <f>IFERROR(__xludf.DUMMYFUNCTION("""COMPUTED_VALUE"""),5.0)</f>
        <v>5</v>
      </c>
      <c r="H2873" s="2" t="str">
        <f>IFERROR(__xludf.DUMMYFUNCTION("""COMPUTED_VALUE"""),"Hrušč.")</f>
        <v>Hrušč.</v>
      </c>
      <c r="I2873" s="2" t="str">
        <f>IFERROR(__xludf.DUMMYFUNCTION("""COMPUTED_VALUE"""),"Brick")</f>
        <v>Brick</v>
      </c>
      <c r="J2873" s="2" t="str">
        <f>IFERROR(__xludf.DUMMYFUNCTION("""COMPUTED_VALUE"""),"All amenities")</f>
        <v>All amenities</v>
      </c>
      <c r="K2873" s="2">
        <f>IFERROR(__xludf.DUMMYFUNCTION("""COMPUTED_VALUE"""),42500.0)</f>
        <v>42500</v>
      </c>
      <c r="L2873" s="2">
        <f>IFERROR(__xludf.DUMMYFUNCTION("""COMPUTED_VALUE"""),56.9456104)</f>
        <v>56.9456104</v>
      </c>
      <c r="M2873" s="2">
        <f>IFERROR(__xludf.DUMMYFUNCTION("""COMPUTED_VALUE"""),24.0623652)</f>
        <v>24.0623652</v>
      </c>
    </row>
    <row r="2874">
      <c r="A2874" s="2" t="str">
        <f>IFERROR(__xludf.DUMMYFUNCTION("""COMPUTED_VALUE"""),"For rent")</f>
        <v>For rent</v>
      </c>
      <c r="B2874" s="2" t="str">
        <f>IFERROR(__xludf.DUMMYFUNCTION("""COMPUTED_VALUE"""),"centrs")</f>
        <v>centrs</v>
      </c>
      <c r="C2874" s="2" t="str">
        <f>IFERROR(__xludf.DUMMYFUNCTION("""COMPUTED_VALUE"""),"Ģertrūdes 129")</f>
        <v>Ģertrūdes 129</v>
      </c>
      <c r="D2874" s="2">
        <f>IFERROR(__xludf.DUMMYFUNCTION("""COMPUTED_VALUE"""),1.0)</f>
        <v>1</v>
      </c>
      <c r="E2874" s="2">
        <f>IFERROR(__xludf.DUMMYFUNCTION("""COMPUTED_VALUE"""),27.0)</f>
        <v>27</v>
      </c>
      <c r="F2874" s="2">
        <f>IFERROR(__xludf.DUMMYFUNCTION("""COMPUTED_VALUE"""),1.0)</f>
        <v>1</v>
      </c>
      <c r="G2874" s="2">
        <f>IFERROR(__xludf.DUMMYFUNCTION("""COMPUTED_VALUE"""),5.0)</f>
        <v>5</v>
      </c>
      <c r="H2874" s="2" t="str">
        <f>IFERROR(__xludf.DUMMYFUNCTION("""COMPUTED_VALUE"""),"Renov.")</f>
        <v>Renov.</v>
      </c>
      <c r="I2874" s="2" t="str">
        <f>IFERROR(__xludf.DUMMYFUNCTION("""COMPUTED_VALUE"""),"Brick")</f>
        <v>Brick</v>
      </c>
      <c r="J2874" s="2" t="str">
        <f>IFERROR(__xludf.DUMMYFUNCTION("""COMPUTED_VALUE"""),"All amenities")</f>
        <v>All amenities</v>
      </c>
      <c r="K2874" s="2">
        <f>IFERROR(__xludf.DUMMYFUNCTION("""COMPUTED_VALUE"""),25.0)</f>
        <v>25</v>
      </c>
      <c r="L2874" s="2">
        <f>IFERROR(__xludf.DUMMYFUNCTION("""COMPUTED_VALUE"""),56.9477411)</f>
        <v>56.9477411</v>
      </c>
      <c r="M2874" s="2">
        <f>IFERROR(__xludf.DUMMYFUNCTION("""COMPUTED_VALUE"""),24.1417055671983)</f>
        <v>24.14170557</v>
      </c>
    </row>
    <row r="2875">
      <c r="A2875" s="2" t="str">
        <f>IFERROR(__xludf.DUMMYFUNCTION("""COMPUTED_VALUE"""),"For rent")</f>
        <v>For rent</v>
      </c>
      <c r="B2875" s="2" t="str">
        <f>IFERROR(__xludf.DUMMYFUNCTION("""COMPUTED_VALUE"""),"centrs")</f>
        <v>centrs</v>
      </c>
      <c r="C2875" s="2" t="str">
        <f>IFERROR(__xludf.DUMMYFUNCTION("""COMPUTED_VALUE"""),"Ģertrūdes 129")</f>
        <v>Ģertrūdes 129</v>
      </c>
      <c r="D2875" s="2">
        <f>IFERROR(__xludf.DUMMYFUNCTION("""COMPUTED_VALUE"""),3.0)</f>
        <v>3</v>
      </c>
      <c r="E2875" s="2">
        <f>IFERROR(__xludf.DUMMYFUNCTION("""COMPUTED_VALUE"""),75.0)</f>
        <v>75</v>
      </c>
      <c r="F2875" s="2">
        <f>IFERROR(__xludf.DUMMYFUNCTION("""COMPUTED_VALUE"""),5.0)</f>
        <v>5</v>
      </c>
      <c r="G2875" s="2">
        <f>IFERROR(__xludf.DUMMYFUNCTION("""COMPUTED_VALUE"""),5.0)</f>
        <v>5</v>
      </c>
      <c r="H2875" s="2" t="str">
        <f>IFERROR(__xludf.DUMMYFUNCTION("""COMPUTED_VALUE"""),"Renov.")</f>
        <v>Renov.</v>
      </c>
      <c r="I2875" s="2" t="str">
        <f>IFERROR(__xludf.DUMMYFUNCTION("""COMPUTED_VALUE"""),"Brick")</f>
        <v>Brick</v>
      </c>
      <c r="J2875" s="2" t="str">
        <f>IFERROR(__xludf.DUMMYFUNCTION("""COMPUTED_VALUE"""),"All amenities")</f>
        <v>All amenities</v>
      </c>
      <c r="K2875" s="2">
        <f>IFERROR(__xludf.DUMMYFUNCTION("""COMPUTED_VALUE"""),45.0)</f>
        <v>45</v>
      </c>
      <c r="L2875" s="2">
        <f>IFERROR(__xludf.DUMMYFUNCTION("""COMPUTED_VALUE"""),56.9477411)</f>
        <v>56.9477411</v>
      </c>
      <c r="M2875" s="2">
        <f>IFERROR(__xludf.DUMMYFUNCTION("""COMPUTED_VALUE"""),24.1417055671983)</f>
        <v>24.14170557</v>
      </c>
    </row>
    <row r="2876">
      <c r="A2876" s="2" t="str">
        <f>IFERROR(__xludf.DUMMYFUNCTION("""COMPUTED_VALUE"""),"For sale")</f>
        <v>For sale</v>
      </c>
      <c r="B2876" s="2" t="str">
        <f>IFERROR(__xludf.DUMMYFUNCTION("""COMPUTED_VALUE"""),"Zolitūde")</f>
        <v>Zolitūde</v>
      </c>
      <c r="C2876" s="2" t="str">
        <f>IFERROR(__xludf.DUMMYFUNCTION("""COMPUTED_VALUE"""),"Zolitūdes 34")</f>
        <v>Zolitūdes 34</v>
      </c>
      <c r="D2876" s="2">
        <f>IFERROR(__xludf.DUMMYFUNCTION("""COMPUTED_VALUE"""),1.0)</f>
        <v>1</v>
      </c>
      <c r="E2876" s="2">
        <f>IFERROR(__xludf.DUMMYFUNCTION("""COMPUTED_VALUE"""),45.0)</f>
        <v>45</v>
      </c>
      <c r="F2876" s="2">
        <f>IFERROR(__xludf.DUMMYFUNCTION("""COMPUTED_VALUE"""),13.0)</f>
        <v>13</v>
      </c>
      <c r="G2876" s="2">
        <f>IFERROR(__xludf.DUMMYFUNCTION("""COMPUTED_VALUE"""),16.0)</f>
        <v>16</v>
      </c>
      <c r="H2876" s="2">
        <f>IFERROR(__xludf.DUMMYFUNCTION("""COMPUTED_VALUE"""),104.0)</f>
        <v>104</v>
      </c>
      <c r="I2876" s="2" t="str">
        <f>IFERROR(__xludf.DUMMYFUNCTION("""COMPUTED_VALUE"""),"Panel")</f>
        <v>Panel</v>
      </c>
      <c r="J2876" s="2" t="str">
        <f>IFERROR(__xludf.DUMMYFUNCTION("""COMPUTED_VALUE"""),"All amenities")</f>
        <v>All amenities</v>
      </c>
      <c r="K2876" s="2">
        <f>IFERROR(__xludf.DUMMYFUNCTION("""COMPUTED_VALUE"""),43500.0)</f>
        <v>43500</v>
      </c>
      <c r="L2876" s="2">
        <f>IFERROR(__xludf.DUMMYFUNCTION("""COMPUTED_VALUE"""),56.9491401)</f>
        <v>56.9491401</v>
      </c>
      <c r="M2876" s="2">
        <f>IFERROR(__xludf.DUMMYFUNCTION("""COMPUTED_VALUE"""),23.9998514)</f>
        <v>23.9998514</v>
      </c>
    </row>
    <row r="2877">
      <c r="A2877" s="2" t="str">
        <f>IFERROR(__xludf.DUMMYFUNCTION("""COMPUTED_VALUE"""),"For sale")</f>
        <v>For sale</v>
      </c>
      <c r="B2877" s="2" t="str">
        <f>IFERROR(__xludf.DUMMYFUNCTION("""COMPUTED_VALUE"""),"Ziepniekkalns")</f>
        <v>Ziepniekkalns</v>
      </c>
      <c r="C2877" s="2" t="str">
        <f>IFERROR(__xludf.DUMMYFUNCTION("""COMPUTED_VALUE"""),"Zaļenieku 18")</f>
        <v>Zaļenieku 18</v>
      </c>
      <c r="D2877" s="2">
        <f>IFERROR(__xludf.DUMMYFUNCTION("""COMPUTED_VALUE"""),3.0)</f>
        <v>3</v>
      </c>
      <c r="E2877" s="2">
        <f>IFERROR(__xludf.DUMMYFUNCTION("""COMPUTED_VALUE"""),88.0)</f>
        <v>88</v>
      </c>
      <c r="F2877" s="2">
        <f>IFERROR(__xludf.DUMMYFUNCTION("""COMPUTED_VALUE"""),1.0)</f>
        <v>1</v>
      </c>
      <c r="G2877" s="2">
        <f>IFERROR(__xludf.DUMMYFUNCTION("""COMPUTED_VALUE"""),6.0)</f>
        <v>6</v>
      </c>
      <c r="H2877" s="2" t="str">
        <f>IFERROR(__xludf.DUMMYFUNCTION("""COMPUTED_VALUE"""),"Jaun.")</f>
        <v>Jaun.</v>
      </c>
      <c r="I2877" s="2" t="str">
        <f>IFERROR(__xludf.DUMMYFUNCTION("""COMPUTED_VALUE"""),"Masonry")</f>
        <v>Masonry</v>
      </c>
      <c r="J2877" s="2" t="str">
        <f>IFERROR(__xludf.DUMMYFUNCTION("""COMPUTED_VALUE"""),"All amenities")</f>
        <v>All amenities</v>
      </c>
      <c r="K2877" s="2">
        <f>IFERROR(__xludf.DUMMYFUNCTION("""COMPUTED_VALUE"""),119999.0)</f>
        <v>119999</v>
      </c>
      <c r="L2877" s="2">
        <f>IFERROR(__xludf.DUMMYFUNCTION("""COMPUTED_VALUE"""),56.9093617)</f>
        <v>56.9093617</v>
      </c>
      <c r="M2877" s="2">
        <f>IFERROR(__xludf.DUMMYFUNCTION("""COMPUTED_VALUE"""),24.0964724202145)</f>
        <v>24.09647242</v>
      </c>
    </row>
    <row r="2878">
      <c r="A2878" s="2" t="str">
        <f>IFERROR(__xludf.DUMMYFUNCTION("""COMPUTED_VALUE"""),"For sale")</f>
        <v>For sale</v>
      </c>
      <c r="B2878" s="2" t="str">
        <f>IFERROR(__xludf.DUMMYFUNCTION("""COMPUTED_VALUE"""),"centrs")</f>
        <v>centrs</v>
      </c>
      <c r="C2878" s="2" t="str">
        <f>IFERROR(__xludf.DUMMYFUNCTION("""COMPUTED_VALUE"""),"Ģertrūdes 98")</f>
        <v>Ģertrūdes 98</v>
      </c>
      <c r="D2878" s="2">
        <f>IFERROR(__xludf.DUMMYFUNCTION("""COMPUTED_VALUE"""),2.0)</f>
        <v>2</v>
      </c>
      <c r="E2878" s="2">
        <f>IFERROR(__xludf.DUMMYFUNCTION("""COMPUTED_VALUE"""),36.0)</f>
        <v>36</v>
      </c>
      <c r="F2878" s="2">
        <f>IFERROR(__xludf.DUMMYFUNCTION("""COMPUTED_VALUE"""),5.0)</f>
        <v>5</v>
      </c>
      <c r="G2878" s="2">
        <f>IFERROR(__xludf.DUMMYFUNCTION("""COMPUTED_VALUE"""),5.0)</f>
        <v>5</v>
      </c>
      <c r="H2878" s="2" t="str">
        <f>IFERROR(__xludf.DUMMYFUNCTION("""COMPUTED_VALUE"""),"P. kara")</f>
        <v>P. kara</v>
      </c>
      <c r="I2878" s="2" t="str">
        <f>IFERROR(__xludf.DUMMYFUNCTION("""COMPUTED_VALUE"""),"Brick")</f>
        <v>Brick</v>
      </c>
      <c r="J2878" s="2" t="str">
        <f>IFERROR(__xludf.DUMMYFUNCTION("""COMPUTED_VALUE"""),"Partial amenities")</f>
        <v>Partial amenities</v>
      </c>
      <c r="K2878" s="2">
        <f>IFERROR(__xludf.DUMMYFUNCTION("""COMPUTED_VALUE"""),32900.0)</f>
        <v>32900</v>
      </c>
      <c r="L2878" s="2">
        <f>IFERROR(__xludf.DUMMYFUNCTION("""COMPUTED_VALUE"""),56.9480533)</f>
        <v>56.9480533</v>
      </c>
      <c r="M2878" s="2">
        <f>IFERROR(__xludf.DUMMYFUNCTION("""COMPUTED_VALUE"""),24.1384676767433)</f>
        <v>24.13846768</v>
      </c>
    </row>
    <row r="2879">
      <c r="A2879" s="2" t="str">
        <f>IFERROR(__xludf.DUMMYFUNCTION("""COMPUTED_VALUE"""),"For rent")</f>
        <v>For rent</v>
      </c>
      <c r="B2879" s="2" t="str">
        <f>IFERROR(__xludf.DUMMYFUNCTION("""COMPUTED_VALUE"""),"centrs")</f>
        <v>centrs</v>
      </c>
      <c r="C2879" s="2" t="str">
        <f>IFERROR(__xludf.DUMMYFUNCTION("""COMPUTED_VALUE"""),"Miera 10")</f>
        <v>Miera 10</v>
      </c>
      <c r="D2879" s="2">
        <f>IFERROR(__xludf.DUMMYFUNCTION("""COMPUTED_VALUE"""),1.0)</f>
        <v>1</v>
      </c>
      <c r="E2879" s="2">
        <f>IFERROR(__xludf.DUMMYFUNCTION("""COMPUTED_VALUE"""),187.0)</f>
        <v>187</v>
      </c>
      <c r="F2879" s="2">
        <f>IFERROR(__xludf.DUMMYFUNCTION("""COMPUTED_VALUE"""),1.0)</f>
        <v>1</v>
      </c>
      <c r="G2879" s="2">
        <f>IFERROR(__xludf.DUMMYFUNCTION("""COMPUTED_VALUE"""),5.0)</f>
        <v>5</v>
      </c>
      <c r="H2879" s="2" t="str">
        <f>IFERROR(__xludf.DUMMYFUNCTION("""COMPUTED_VALUE"""),"P. kara")</f>
        <v>P. kara</v>
      </c>
      <c r="I2879" s="2" t="str">
        <f>IFERROR(__xludf.DUMMYFUNCTION("""COMPUTED_VALUE"""),"Masonry")</f>
        <v>Masonry</v>
      </c>
      <c r="J2879" s="2" t="str">
        <f>IFERROR(__xludf.DUMMYFUNCTION("""COMPUTED_VALUE"""),"All amenities")</f>
        <v>All amenities</v>
      </c>
      <c r="K2879" s="2">
        <f>IFERROR(__xludf.DUMMYFUNCTION("""COMPUTED_VALUE"""),150.0)</f>
        <v>150</v>
      </c>
      <c r="L2879" s="2">
        <f>IFERROR(__xludf.DUMMYFUNCTION("""COMPUTED_VALUE"""),56.9665763)</f>
        <v>56.9665763</v>
      </c>
      <c r="M2879" s="2">
        <f>IFERROR(__xludf.DUMMYFUNCTION("""COMPUTED_VALUE"""),24.1337504)</f>
        <v>24.1337504</v>
      </c>
    </row>
    <row r="2880">
      <c r="A2880" s="2" t="str">
        <f>IFERROR(__xludf.DUMMYFUNCTION("""COMPUTED_VALUE"""),"For sale")</f>
        <v>For sale</v>
      </c>
      <c r="B2880" s="2" t="str">
        <f>IFERROR(__xludf.DUMMYFUNCTION("""COMPUTED_VALUE"""),"centrs")</f>
        <v>centrs</v>
      </c>
      <c r="C2880" s="2" t="str">
        <f>IFERROR(__xludf.DUMMYFUNCTION("""COMPUTED_VALUE"""),"Ausekļa 8")</f>
        <v>Ausekļa 8</v>
      </c>
      <c r="D2880" s="2">
        <f>IFERROR(__xludf.DUMMYFUNCTION("""COMPUTED_VALUE"""),3.0)</f>
        <v>3</v>
      </c>
      <c r="E2880" s="2">
        <f>IFERROR(__xludf.DUMMYFUNCTION("""COMPUTED_VALUE"""),75.0)</f>
        <v>75</v>
      </c>
      <c r="F2880" s="2">
        <f>IFERROR(__xludf.DUMMYFUNCTION("""COMPUTED_VALUE"""),3.0)</f>
        <v>3</v>
      </c>
      <c r="G2880" s="2">
        <f>IFERROR(__xludf.DUMMYFUNCTION("""COMPUTED_VALUE"""),6.0)</f>
        <v>6</v>
      </c>
      <c r="H2880" s="2" t="str">
        <f>IFERROR(__xludf.DUMMYFUNCTION("""COMPUTED_VALUE"""),"Specpr.")</f>
        <v>Specpr.</v>
      </c>
      <c r="I2880" s="2" t="str">
        <f>IFERROR(__xludf.DUMMYFUNCTION("""COMPUTED_VALUE"""),"Brick")</f>
        <v>Brick</v>
      </c>
      <c r="J2880" s="2" t="str">
        <f>IFERROR(__xludf.DUMMYFUNCTION("""COMPUTED_VALUE"""),"All amenities")</f>
        <v>All amenities</v>
      </c>
      <c r="K2880" s="2">
        <f>IFERROR(__xludf.DUMMYFUNCTION("""COMPUTED_VALUE"""),148000.0)</f>
        <v>148000</v>
      </c>
      <c r="L2880" s="2">
        <f>IFERROR(__xludf.DUMMYFUNCTION("""COMPUTED_VALUE"""),56.9606806)</f>
        <v>56.9606806</v>
      </c>
      <c r="M2880" s="2">
        <f>IFERROR(__xludf.DUMMYFUNCTION("""COMPUTED_VALUE"""),24.1003622)</f>
        <v>24.1003622</v>
      </c>
    </row>
    <row r="2881">
      <c r="A2881" s="2" t="str">
        <f>IFERROR(__xludf.DUMMYFUNCTION("""COMPUTED_VALUE"""),"For sale")</f>
        <v>For sale</v>
      </c>
      <c r="B2881" s="2" t="str">
        <f>IFERROR(__xludf.DUMMYFUNCTION("""COMPUTED_VALUE"""),"Pļavnieki")</f>
        <v>Pļavnieki</v>
      </c>
      <c r="C2881" s="2" t="str">
        <f>IFERROR(__xludf.DUMMYFUNCTION("""COMPUTED_VALUE"""),"Jasmuižas 13")</f>
        <v>Jasmuižas 13</v>
      </c>
      <c r="D2881" s="2">
        <f>IFERROR(__xludf.DUMMYFUNCTION("""COMPUTED_VALUE"""),1.0)</f>
        <v>1</v>
      </c>
      <c r="E2881" s="2">
        <f>IFERROR(__xludf.DUMMYFUNCTION("""COMPUTED_VALUE"""),32.0)</f>
        <v>32</v>
      </c>
      <c r="F2881" s="2">
        <f>IFERROR(__xludf.DUMMYFUNCTION("""COMPUTED_VALUE"""),7.0)</f>
        <v>7</v>
      </c>
      <c r="G2881" s="2">
        <f>IFERROR(__xludf.DUMMYFUNCTION("""COMPUTED_VALUE"""),9.0)</f>
        <v>9</v>
      </c>
      <c r="H2881" s="2">
        <f>IFERROR(__xludf.DUMMYFUNCTION("""COMPUTED_VALUE"""),467.0)</f>
        <v>467</v>
      </c>
      <c r="I2881" s="2" t="str">
        <f>IFERROR(__xludf.DUMMYFUNCTION("""COMPUTED_VALUE"""),"Panel")</f>
        <v>Panel</v>
      </c>
      <c r="J2881" s="2" t="str">
        <f>IFERROR(__xludf.DUMMYFUNCTION("""COMPUTED_VALUE"""),"All amenities")</f>
        <v>All amenities</v>
      </c>
      <c r="K2881" s="2">
        <f>IFERROR(__xludf.DUMMYFUNCTION("""COMPUTED_VALUE"""),30800.0)</f>
        <v>30800</v>
      </c>
      <c r="L2881" s="2">
        <f>IFERROR(__xludf.DUMMYFUNCTION("""COMPUTED_VALUE"""),56.9367253)</f>
        <v>56.9367253</v>
      </c>
      <c r="M2881" s="2">
        <f>IFERROR(__xludf.DUMMYFUNCTION("""COMPUTED_VALUE"""),24.2129281)</f>
        <v>24.2129281</v>
      </c>
    </row>
    <row r="2882">
      <c r="A2882" s="2" t="str">
        <f>IFERROR(__xludf.DUMMYFUNCTION("""COMPUTED_VALUE"""),"For sale")</f>
        <v>For sale</v>
      </c>
      <c r="B2882" s="2" t="str">
        <f>IFERROR(__xludf.DUMMYFUNCTION("""COMPUTED_VALUE"""),"Bieriņi")</f>
        <v>Bieriņi</v>
      </c>
      <c r="C2882" s="2" t="str">
        <f>IFERROR(__xludf.DUMMYFUNCTION("""COMPUTED_VALUE"""),"Liepājas 78c")</f>
        <v>Liepājas 78c</v>
      </c>
      <c r="D2882" s="2">
        <f>IFERROR(__xludf.DUMMYFUNCTION("""COMPUTED_VALUE"""),3.0)</f>
        <v>3</v>
      </c>
      <c r="E2882" s="2">
        <f>IFERROR(__xludf.DUMMYFUNCTION("""COMPUTED_VALUE"""),93.0)</f>
        <v>93</v>
      </c>
      <c r="F2882" s="2">
        <f>IFERROR(__xludf.DUMMYFUNCTION("""COMPUTED_VALUE"""),3.0)</f>
        <v>3</v>
      </c>
      <c r="G2882" s="2">
        <f>IFERROR(__xludf.DUMMYFUNCTION("""COMPUTED_VALUE"""),4.0)</f>
        <v>4</v>
      </c>
      <c r="H2882" s="2" t="str">
        <f>IFERROR(__xludf.DUMMYFUNCTION("""COMPUTED_VALUE"""),"Jaun.")</f>
        <v>Jaun.</v>
      </c>
      <c r="I2882" s="2" t="str">
        <f>IFERROR(__xludf.DUMMYFUNCTION("""COMPUTED_VALUE"""),"Brick-Panel")</f>
        <v>Brick-Panel</v>
      </c>
      <c r="J2882" s="2" t="str">
        <f>IFERROR(__xludf.DUMMYFUNCTION("""COMPUTED_VALUE"""),"All amenities")</f>
        <v>All amenities</v>
      </c>
      <c r="K2882" s="2">
        <f>IFERROR(__xludf.DUMMYFUNCTION("""COMPUTED_VALUE"""),123000.0)</f>
        <v>123000</v>
      </c>
      <c r="L2882" s="2">
        <f>IFERROR(__xludf.DUMMYFUNCTION("""COMPUTED_VALUE"""),56.9236832)</f>
        <v>56.9236832</v>
      </c>
      <c r="M2882" s="2">
        <f>IFERROR(__xludf.DUMMYFUNCTION("""COMPUTED_VALUE"""),24.0550457207665)</f>
        <v>24.05504572</v>
      </c>
    </row>
    <row r="2883">
      <c r="A2883" s="2" t="str">
        <f>IFERROR(__xludf.DUMMYFUNCTION("""COMPUTED_VALUE"""),"For sale")</f>
        <v>For sale</v>
      </c>
      <c r="B2883" s="2" t="str">
        <f>IFERROR(__xludf.DUMMYFUNCTION("""COMPUTED_VALUE"""),"Mežciems")</f>
        <v>Mežciems</v>
      </c>
      <c r="C2883" s="2" t="str">
        <f>IFERROR(__xludf.DUMMYFUNCTION("""COMPUTED_VALUE"""),"Hipokrāta 37/34")</f>
        <v>Hipokrāta 37/34</v>
      </c>
      <c r="D2883" s="2">
        <f>IFERROR(__xludf.DUMMYFUNCTION("""COMPUTED_VALUE"""),2.0)</f>
        <v>2</v>
      </c>
      <c r="E2883" s="2">
        <f>IFERROR(__xludf.DUMMYFUNCTION("""COMPUTED_VALUE"""),48.96)</f>
        <v>48.96</v>
      </c>
      <c r="F2883" s="2">
        <f>IFERROR(__xludf.DUMMYFUNCTION("""COMPUTED_VALUE"""),9.0)</f>
        <v>9</v>
      </c>
      <c r="G2883" s="2">
        <f>IFERROR(__xludf.DUMMYFUNCTION("""COMPUTED_VALUE"""),9.0)</f>
        <v>9</v>
      </c>
      <c r="H2883" s="2">
        <f>IFERROR(__xludf.DUMMYFUNCTION("""COMPUTED_VALUE"""),602.0)</f>
        <v>602</v>
      </c>
      <c r="I2883" s="2" t="str">
        <f>IFERROR(__xludf.DUMMYFUNCTION("""COMPUTED_VALUE"""),"Panel")</f>
        <v>Panel</v>
      </c>
      <c r="J2883" s="2" t="str">
        <f>IFERROR(__xludf.DUMMYFUNCTION("""COMPUTED_VALUE"""),"All amenities")</f>
        <v>All amenities</v>
      </c>
      <c r="K2883" s="2">
        <f>IFERROR(__xludf.DUMMYFUNCTION("""COMPUTED_VALUE"""),60000.0)</f>
        <v>60000</v>
      </c>
      <c r="L2883" s="2">
        <f>IFERROR(__xludf.DUMMYFUNCTION("""COMPUTED_VALUE"""),56.9580423)</f>
        <v>56.9580423</v>
      </c>
      <c r="M2883" s="2">
        <f>IFERROR(__xludf.DUMMYFUNCTION("""COMPUTED_VALUE"""),24.2381625)</f>
        <v>24.2381625</v>
      </c>
    </row>
    <row r="2884">
      <c r="A2884" s="2" t="str">
        <f>IFERROR(__xludf.DUMMYFUNCTION("""COMPUTED_VALUE"""),"For rent")</f>
        <v>For rent</v>
      </c>
      <c r="B2884" s="2" t="str">
        <f>IFERROR(__xludf.DUMMYFUNCTION("""COMPUTED_VALUE"""),"centrs")</f>
        <v>centrs</v>
      </c>
      <c r="C2884" s="2" t="str">
        <f>IFERROR(__xludf.DUMMYFUNCTION("""COMPUTED_VALUE"""),"Miera 87a")</f>
        <v>Miera 87a</v>
      </c>
      <c r="D2884" s="2">
        <f>IFERROR(__xludf.DUMMYFUNCTION("""COMPUTED_VALUE"""),4.0)</f>
        <v>4</v>
      </c>
      <c r="E2884" s="2">
        <f>IFERROR(__xludf.DUMMYFUNCTION("""COMPUTED_VALUE"""),112.0)</f>
        <v>112</v>
      </c>
      <c r="F2884" s="2">
        <f>IFERROR(__xludf.DUMMYFUNCTION("""COMPUTED_VALUE"""),2.0)</f>
        <v>2</v>
      </c>
      <c r="G2884" s="2">
        <f>IFERROR(__xludf.DUMMYFUNCTION("""COMPUTED_VALUE"""),4.0)</f>
        <v>4</v>
      </c>
      <c r="H2884" s="2" t="str">
        <f>IFERROR(__xludf.DUMMYFUNCTION("""COMPUTED_VALUE"""),"Renov.")</f>
        <v>Renov.</v>
      </c>
      <c r="I2884" s="2" t="str">
        <f>IFERROR(__xludf.DUMMYFUNCTION("""COMPUTED_VALUE"""),"Brick")</f>
        <v>Brick</v>
      </c>
      <c r="J2884" s="2" t="str">
        <f>IFERROR(__xludf.DUMMYFUNCTION("""COMPUTED_VALUE"""),"All amenities")</f>
        <v>All amenities</v>
      </c>
      <c r="K2884" s="2">
        <f>IFERROR(__xludf.DUMMYFUNCTION("""COMPUTED_VALUE"""),950.0)</f>
        <v>950</v>
      </c>
      <c r="L2884" s="2">
        <f>IFERROR(__xludf.DUMMYFUNCTION("""COMPUTED_VALUE"""),56.9704076)</f>
        <v>56.9704076</v>
      </c>
      <c r="M2884" s="2">
        <f>IFERROR(__xludf.DUMMYFUNCTION("""COMPUTED_VALUE"""),24.1377874)</f>
        <v>24.1377874</v>
      </c>
    </row>
    <row r="2885">
      <c r="A2885" s="2" t="str">
        <f>IFERROR(__xludf.DUMMYFUNCTION("""COMPUTED_VALUE"""),"For rent")</f>
        <v>For rent</v>
      </c>
      <c r="B2885" s="2" t="str">
        <f>IFERROR(__xludf.DUMMYFUNCTION("""COMPUTED_VALUE"""),"centrs")</f>
        <v>centrs</v>
      </c>
      <c r="C2885" s="2" t="str">
        <f>IFERROR(__xludf.DUMMYFUNCTION("""COMPUTED_VALUE"""),"Barona 5")</f>
        <v>Barona 5</v>
      </c>
      <c r="D2885" s="2">
        <f>IFERROR(__xludf.DUMMYFUNCTION("""COMPUTED_VALUE"""),2.0)</f>
        <v>2</v>
      </c>
      <c r="E2885" s="2">
        <f>IFERROR(__xludf.DUMMYFUNCTION("""COMPUTED_VALUE"""),45.0)</f>
        <v>45</v>
      </c>
      <c r="F2885" s="2">
        <f>IFERROR(__xludf.DUMMYFUNCTION("""COMPUTED_VALUE"""),2.0)</f>
        <v>2</v>
      </c>
      <c r="G2885" s="2">
        <f>IFERROR(__xludf.DUMMYFUNCTION("""COMPUTED_VALUE"""),6.0)</f>
        <v>6</v>
      </c>
      <c r="H2885" s="2" t="str">
        <f>IFERROR(__xludf.DUMMYFUNCTION("""COMPUTED_VALUE"""),"Staļina")</f>
        <v>Staļina</v>
      </c>
      <c r="I2885" s="2" t="str">
        <f>IFERROR(__xludf.DUMMYFUNCTION("""COMPUTED_VALUE"""),"Masonry")</f>
        <v>Masonry</v>
      </c>
      <c r="J2885" s="2" t="str">
        <f>IFERROR(__xludf.DUMMYFUNCTION("""COMPUTED_VALUE"""),"All amenities")</f>
        <v>All amenities</v>
      </c>
      <c r="K2885" s="2">
        <f>IFERROR(__xludf.DUMMYFUNCTION("""COMPUTED_VALUE"""),30.0)</f>
        <v>30</v>
      </c>
      <c r="L2885" s="2">
        <f>IFERROR(__xludf.DUMMYFUNCTION("""COMPUTED_VALUE"""),56.9516291)</f>
        <v>56.9516291</v>
      </c>
      <c r="M2885" s="2">
        <f>IFERROR(__xludf.DUMMYFUNCTION("""COMPUTED_VALUE"""),24.1216147585912)</f>
        <v>24.12161476</v>
      </c>
    </row>
    <row r="2886">
      <c r="A2886" s="2" t="str">
        <f>IFERROR(__xludf.DUMMYFUNCTION("""COMPUTED_VALUE"""),"For rent")</f>
        <v>For rent</v>
      </c>
      <c r="B2886" s="2" t="str">
        <f>IFERROR(__xludf.DUMMYFUNCTION("""COMPUTED_VALUE"""),"centrs")</f>
        <v>centrs</v>
      </c>
      <c r="C2886" s="2" t="str">
        <f>IFERROR(__xludf.DUMMYFUNCTION("""COMPUTED_VALUE"""),"Jēkaba 28")</f>
        <v>Jēkaba 28</v>
      </c>
      <c r="D2886" s="2">
        <f>IFERROR(__xludf.DUMMYFUNCTION("""COMPUTED_VALUE"""),1.0)</f>
        <v>1</v>
      </c>
      <c r="E2886" s="2">
        <f>IFERROR(__xludf.DUMMYFUNCTION("""COMPUTED_VALUE"""),22.0)</f>
        <v>22</v>
      </c>
      <c r="F2886" s="2">
        <f>IFERROR(__xludf.DUMMYFUNCTION("""COMPUTED_VALUE"""),1.0)</f>
        <v>1</v>
      </c>
      <c r="G2886" s="2">
        <f>IFERROR(__xludf.DUMMYFUNCTION("""COMPUTED_VALUE"""),6.0)</f>
        <v>6</v>
      </c>
      <c r="H2886" s="2" t="str">
        <f>IFERROR(__xludf.DUMMYFUNCTION("""COMPUTED_VALUE"""),"P. kara")</f>
        <v>P. kara</v>
      </c>
      <c r="I2886" s="2" t="str">
        <f>IFERROR(__xludf.DUMMYFUNCTION("""COMPUTED_VALUE"""),"Masonry")</f>
        <v>Masonry</v>
      </c>
      <c r="J2886" s="2" t="str">
        <f>IFERROR(__xludf.DUMMYFUNCTION("""COMPUTED_VALUE"""),"All amenities")</f>
        <v>All amenities</v>
      </c>
      <c r="K2886" s="2">
        <f>IFERROR(__xludf.DUMMYFUNCTION("""COMPUTED_VALUE"""),25.0)</f>
        <v>25</v>
      </c>
      <c r="L2886" s="2">
        <f>IFERROR(__xludf.DUMMYFUNCTION("""COMPUTED_VALUE"""),56.952698)</f>
        <v>56.952698</v>
      </c>
      <c r="M2886" s="2">
        <f>IFERROR(__xludf.DUMMYFUNCTION("""COMPUTED_VALUE"""),24.1051471)</f>
        <v>24.1051471</v>
      </c>
    </row>
    <row r="2887">
      <c r="A2887" s="2" t="str">
        <f>IFERROR(__xludf.DUMMYFUNCTION("""COMPUTED_VALUE"""),"For sale")</f>
        <v>For sale</v>
      </c>
      <c r="B2887" s="2" t="str">
        <f>IFERROR(__xludf.DUMMYFUNCTION("""COMPUTED_VALUE"""),"Purvciems")</f>
        <v>Purvciems</v>
      </c>
      <c r="C2887" s="2" t="str">
        <f>IFERROR(__xludf.DUMMYFUNCTION("""COMPUTED_VALUE"""),"Vaidavas 15/1")</f>
        <v>Vaidavas 15/1</v>
      </c>
      <c r="D2887" s="2">
        <f>IFERROR(__xludf.DUMMYFUNCTION("""COMPUTED_VALUE"""),4.0)</f>
        <v>4</v>
      </c>
      <c r="E2887" s="2">
        <f>IFERROR(__xludf.DUMMYFUNCTION("""COMPUTED_VALUE"""),134.0)</f>
        <v>134</v>
      </c>
      <c r="F2887" s="2">
        <f>IFERROR(__xludf.DUMMYFUNCTION("""COMPUTED_VALUE"""),6.0)</f>
        <v>6</v>
      </c>
      <c r="G2887" s="2">
        <f>IFERROR(__xludf.DUMMYFUNCTION("""COMPUTED_VALUE"""),7.0)</f>
        <v>7</v>
      </c>
      <c r="H2887" s="2" t="str">
        <f>IFERROR(__xludf.DUMMYFUNCTION("""COMPUTED_VALUE"""),"Jaun.")</f>
        <v>Jaun.</v>
      </c>
      <c r="I2887" s="2" t="str">
        <f>IFERROR(__xludf.DUMMYFUNCTION("""COMPUTED_VALUE"""),"Brick-Panel")</f>
        <v>Brick-Panel</v>
      </c>
      <c r="J2887" s="2" t="str">
        <f>IFERROR(__xludf.DUMMYFUNCTION("""COMPUTED_VALUE"""),"All amenities")</f>
        <v>All amenities</v>
      </c>
      <c r="K2887" s="2">
        <f>IFERROR(__xludf.DUMMYFUNCTION("""COMPUTED_VALUE"""),201000.0)</f>
        <v>201000</v>
      </c>
      <c r="L2887" s="2">
        <f>IFERROR(__xludf.DUMMYFUNCTION("""COMPUTED_VALUE"""),56.9622136)</f>
        <v>56.9622136</v>
      </c>
      <c r="M2887" s="2">
        <f>IFERROR(__xludf.DUMMYFUNCTION("""COMPUTED_VALUE"""),24.1761063)</f>
        <v>24.1761063</v>
      </c>
    </row>
    <row r="2888">
      <c r="A2888" s="2" t="str">
        <f>IFERROR(__xludf.DUMMYFUNCTION("""COMPUTED_VALUE"""),"For rent")</f>
        <v>For rent</v>
      </c>
      <c r="B2888" s="2" t="str">
        <f>IFERROR(__xludf.DUMMYFUNCTION("""COMPUTED_VALUE"""),"centrs")</f>
        <v>centrs</v>
      </c>
      <c r="C2888" s="2" t="str">
        <f>IFERROR(__xludf.DUMMYFUNCTION("""COMPUTED_VALUE"""),"Barona 24/26")</f>
        <v>Barona 24/26</v>
      </c>
      <c r="D2888" s="2">
        <f>IFERROR(__xludf.DUMMYFUNCTION("""COMPUTED_VALUE"""),2.0)</f>
        <v>2</v>
      </c>
      <c r="E2888" s="2">
        <f>IFERROR(__xludf.DUMMYFUNCTION("""COMPUTED_VALUE"""),45.0)</f>
        <v>45</v>
      </c>
      <c r="F2888" s="2">
        <f>IFERROR(__xludf.DUMMYFUNCTION("""COMPUTED_VALUE"""),3.0)</f>
        <v>3</v>
      </c>
      <c r="G2888" s="2">
        <f>IFERROR(__xludf.DUMMYFUNCTION("""COMPUTED_VALUE"""),6.0)</f>
        <v>6</v>
      </c>
      <c r="H2888" s="2" t="str">
        <f>IFERROR(__xludf.DUMMYFUNCTION("""COMPUTED_VALUE"""),"Renov.")</f>
        <v>Renov.</v>
      </c>
      <c r="I2888" s="2" t="str">
        <f>IFERROR(__xludf.DUMMYFUNCTION("""COMPUTED_VALUE"""),"Brick")</f>
        <v>Brick</v>
      </c>
      <c r="J2888" s="2" t="str">
        <f>IFERROR(__xludf.DUMMYFUNCTION("""COMPUTED_VALUE"""),"All amenities")</f>
        <v>All amenities</v>
      </c>
      <c r="K2888" s="2">
        <f>IFERROR(__xludf.DUMMYFUNCTION("""COMPUTED_VALUE"""),35.0)</f>
        <v>35</v>
      </c>
      <c r="L2888" s="2">
        <f>IFERROR(__xludf.DUMMYFUNCTION("""COMPUTED_VALUE"""),56.95161295)</f>
        <v>56.95161295</v>
      </c>
      <c r="M2888" s="2">
        <f>IFERROR(__xludf.DUMMYFUNCTION("""COMPUTED_VALUE"""),24.1224571478615)</f>
        <v>24.12245715</v>
      </c>
    </row>
    <row r="2889">
      <c r="A2889" s="2" t="str">
        <f>IFERROR(__xludf.DUMMYFUNCTION("""COMPUTED_VALUE"""),"For sale")</f>
        <v>For sale</v>
      </c>
      <c r="B2889" s="2" t="str">
        <f>IFERROR(__xludf.DUMMYFUNCTION("""COMPUTED_VALUE"""),"Pļavnieki")</f>
        <v>Pļavnieki</v>
      </c>
      <c r="C2889" s="2" t="str">
        <f>IFERROR(__xludf.DUMMYFUNCTION("""COMPUTED_VALUE"""),"Dzeņu 7-1")</f>
        <v>Dzeņu 7-1</v>
      </c>
      <c r="D2889" s="2">
        <f>IFERROR(__xludf.DUMMYFUNCTION("""COMPUTED_VALUE"""),2.0)</f>
        <v>2</v>
      </c>
      <c r="E2889" s="2">
        <f>IFERROR(__xludf.DUMMYFUNCTION("""COMPUTED_VALUE"""),72.0)</f>
        <v>72</v>
      </c>
      <c r="F2889" s="2">
        <f>IFERROR(__xludf.DUMMYFUNCTION("""COMPUTED_VALUE"""),7.0)</f>
        <v>7</v>
      </c>
      <c r="G2889" s="2">
        <f>IFERROR(__xludf.DUMMYFUNCTION("""COMPUTED_VALUE"""),7.0)</f>
        <v>7</v>
      </c>
      <c r="H2889" s="2" t="str">
        <f>IFERROR(__xludf.DUMMYFUNCTION("""COMPUTED_VALUE"""),"Jaun.")</f>
        <v>Jaun.</v>
      </c>
      <c r="I2889" s="2" t="str">
        <f>IFERROR(__xludf.DUMMYFUNCTION("""COMPUTED_VALUE"""),"Brick-Panel")</f>
        <v>Brick-Panel</v>
      </c>
      <c r="J2889" s="2" t="str">
        <f>IFERROR(__xludf.DUMMYFUNCTION("""COMPUTED_VALUE"""),"All amenities")</f>
        <v>All amenities</v>
      </c>
      <c r="K2889" s="2">
        <f>IFERROR(__xludf.DUMMYFUNCTION("""COMPUTED_VALUE"""),105000.0)</f>
        <v>105000</v>
      </c>
      <c r="L2889" s="2">
        <f>IFERROR(__xludf.DUMMYFUNCTION("""COMPUTED_VALUE"""),56.9401889)</f>
        <v>56.9401889</v>
      </c>
      <c r="M2889" s="2">
        <f>IFERROR(__xludf.DUMMYFUNCTION("""COMPUTED_VALUE"""),24.2111828)</f>
        <v>24.2111828</v>
      </c>
    </row>
    <row r="2890">
      <c r="A2890" s="2" t="str">
        <f>IFERROR(__xludf.DUMMYFUNCTION("""COMPUTED_VALUE"""),"For sale")</f>
        <v>For sale</v>
      </c>
      <c r="B2890" s="2" t="str">
        <f>IFERROR(__xludf.DUMMYFUNCTION("""COMPUTED_VALUE"""),"Zolitūde")</f>
        <v>Zolitūde</v>
      </c>
      <c r="C2890" s="2" t="str">
        <f>IFERROR(__xludf.DUMMYFUNCTION("""COMPUTED_VALUE"""),"Gramzdas 19")</f>
        <v>Gramzdas 19</v>
      </c>
      <c r="D2890" s="2">
        <f>IFERROR(__xludf.DUMMYFUNCTION("""COMPUTED_VALUE"""),4.0)</f>
        <v>4</v>
      </c>
      <c r="E2890" s="2">
        <f>IFERROR(__xludf.DUMMYFUNCTION("""COMPUTED_VALUE"""),90.0)</f>
        <v>90</v>
      </c>
      <c r="F2890" s="2">
        <f>IFERROR(__xludf.DUMMYFUNCTION("""COMPUTED_VALUE"""),4.0)</f>
        <v>4</v>
      </c>
      <c r="G2890" s="2">
        <f>IFERROR(__xludf.DUMMYFUNCTION("""COMPUTED_VALUE"""),9.0)</f>
        <v>9</v>
      </c>
      <c r="H2890" s="2">
        <f>IFERROR(__xludf.DUMMYFUNCTION("""COMPUTED_VALUE"""),119.0)</f>
        <v>119</v>
      </c>
      <c r="I2890" s="2" t="str">
        <f>IFERROR(__xludf.DUMMYFUNCTION("""COMPUTED_VALUE"""),"Panel")</f>
        <v>Panel</v>
      </c>
      <c r="J2890" s="2" t="str">
        <f>IFERROR(__xludf.DUMMYFUNCTION("""COMPUTED_VALUE"""),"All amenities")</f>
        <v>All amenities</v>
      </c>
      <c r="K2890" s="2">
        <f>IFERROR(__xludf.DUMMYFUNCTION("""COMPUTED_VALUE"""),90000.0)</f>
        <v>90000</v>
      </c>
      <c r="L2890" s="2">
        <f>IFERROR(__xludf.DUMMYFUNCTION("""COMPUTED_VALUE"""),56.94351315)</f>
        <v>56.94351315</v>
      </c>
      <c r="M2890" s="2">
        <f>IFERROR(__xludf.DUMMYFUNCTION("""COMPUTED_VALUE"""),24.0076244266968)</f>
        <v>24.00762443</v>
      </c>
    </row>
    <row r="2891">
      <c r="A2891" s="2" t="str">
        <f>IFERROR(__xludf.DUMMYFUNCTION("""COMPUTED_VALUE"""),"For sale")</f>
        <v>For sale</v>
      </c>
      <c r="B2891" s="2" t="str">
        <f>IFERROR(__xludf.DUMMYFUNCTION("""COMPUTED_VALUE"""),"centrs")</f>
        <v>centrs</v>
      </c>
      <c r="C2891" s="2" t="str">
        <f>IFERROR(__xludf.DUMMYFUNCTION("""COMPUTED_VALUE"""),"Ģertrūdes 110")</f>
        <v>Ģertrūdes 110</v>
      </c>
      <c r="D2891" s="2">
        <f>IFERROR(__xludf.DUMMYFUNCTION("""COMPUTED_VALUE"""),4.0)</f>
        <v>4</v>
      </c>
      <c r="E2891" s="2">
        <f>IFERROR(__xludf.DUMMYFUNCTION("""COMPUTED_VALUE"""),83.0)</f>
        <v>83</v>
      </c>
      <c r="F2891" s="2">
        <f>IFERROR(__xludf.DUMMYFUNCTION("""COMPUTED_VALUE"""),5.0)</f>
        <v>5</v>
      </c>
      <c r="G2891" s="2">
        <f>IFERROR(__xludf.DUMMYFUNCTION("""COMPUTED_VALUE"""),6.0)</f>
        <v>6</v>
      </c>
      <c r="H2891" s="2" t="str">
        <f>IFERROR(__xludf.DUMMYFUNCTION("""COMPUTED_VALUE"""),"P. kara")</f>
        <v>P. kara</v>
      </c>
      <c r="I2891" s="2" t="str">
        <f>IFERROR(__xludf.DUMMYFUNCTION("""COMPUTED_VALUE"""),"Masonry")</f>
        <v>Masonry</v>
      </c>
      <c r="J2891" s="2" t="str">
        <f>IFERROR(__xludf.DUMMYFUNCTION("""COMPUTED_VALUE"""),"All amenities")</f>
        <v>All amenities</v>
      </c>
      <c r="K2891" s="2">
        <f>IFERROR(__xludf.DUMMYFUNCTION("""COMPUTED_VALUE"""),125000.0)</f>
        <v>125000</v>
      </c>
      <c r="L2891" s="2">
        <f>IFERROR(__xludf.DUMMYFUNCTION("""COMPUTED_VALUE"""),56.94718845)</f>
        <v>56.94718845</v>
      </c>
      <c r="M2891" s="2">
        <f>IFERROR(__xludf.DUMMYFUNCTION("""COMPUTED_VALUE"""),24.1407031907539)</f>
        <v>24.14070319</v>
      </c>
    </row>
    <row r="2892">
      <c r="A2892" s="2" t="str">
        <f>IFERROR(__xludf.DUMMYFUNCTION("""COMPUTED_VALUE"""),"For sale")</f>
        <v>For sale</v>
      </c>
      <c r="B2892" s="2" t="str">
        <f>IFERROR(__xludf.DUMMYFUNCTION("""COMPUTED_VALUE"""),"Imanta")</f>
        <v>Imanta</v>
      </c>
      <c r="C2892" s="2" t="str">
        <f>IFERROR(__xludf.DUMMYFUNCTION("""COMPUTED_VALUE"""),"M. Krūmu 9")</f>
        <v>M. Krūmu 9</v>
      </c>
      <c r="D2892" s="2">
        <f>IFERROR(__xludf.DUMMYFUNCTION("""COMPUTED_VALUE"""),3.0)</f>
        <v>3</v>
      </c>
      <c r="E2892" s="2">
        <f>IFERROR(__xludf.DUMMYFUNCTION("""COMPUTED_VALUE"""),64.0)</f>
        <v>64</v>
      </c>
      <c r="F2892" s="2">
        <f>IFERROR(__xludf.DUMMYFUNCTION("""COMPUTED_VALUE"""),1.0)</f>
        <v>1</v>
      </c>
      <c r="G2892" s="2">
        <f>IFERROR(__xludf.DUMMYFUNCTION("""COMPUTED_VALUE"""),9.0)</f>
        <v>9</v>
      </c>
      <c r="H2892" s="2">
        <f>IFERROR(__xludf.DUMMYFUNCTION("""COMPUTED_VALUE"""),602.0)</f>
        <v>602</v>
      </c>
      <c r="I2892" s="2" t="str">
        <f>IFERROR(__xludf.DUMMYFUNCTION("""COMPUTED_VALUE"""),"Panel")</f>
        <v>Panel</v>
      </c>
      <c r="J2892" s="2" t="str">
        <f>IFERROR(__xludf.DUMMYFUNCTION("""COMPUTED_VALUE"""),"All amenities")</f>
        <v>All amenities</v>
      </c>
      <c r="K2892" s="2">
        <f>IFERROR(__xludf.DUMMYFUNCTION("""COMPUTED_VALUE"""),49900.0)</f>
        <v>49900</v>
      </c>
      <c r="L2892" s="2">
        <f>IFERROR(__xludf.DUMMYFUNCTION("""COMPUTED_VALUE"""),56.95864045)</f>
        <v>56.95864045</v>
      </c>
      <c r="M2892" s="2">
        <f>IFERROR(__xludf.DUMMYFUNCTION("""COMPUTED_VALUE"""),24.004669071001)</f>
        <v>24.00466907</v>
      </c>
    </row>
    <row r="2893">
      <c r="A2893" s="2" t="str">
        <f>IFERROR(__xludf.DUMMYFUNCTION("""COMPUTED_VALUE"""),"For sale")</f>
        <v>For sale</v>
      </c>
      <c r="B2893" s="2" t="str">
        <f>IFERROR(__xludf.DUMMYFUNCTION("""COMPUTED_VALUE"""),"Sarkandaugava")</f>
        <v>Sarkandaugava</v>
      </c>
      <c r="C2893" s="2" t="str">
        <f>IFERROR(__xludf.DUMMYFUNCTION("""COMPUTED_VALUE"""),"Duntes 24a")</f>
        <v>Duntes 24a</v>
      </c>
      <c r="D2893" s="2">
        <f>IFERROR(__xludf.DUMMYFUNCTION("""COMPUTED_VALUE"""),1.0)</f>
        <v>1</v>
      </c>
      <c r="E2893" s="2">
        <f>IFERROR(__xludf.DUMMYFUNCTION("""COMPUTED_VALUE"""),21.0)</f>
        <v>21</v>
      </c>
      <c r="F2893" s="2">
        <f>IFERROR(__xludf.DUMMYFUNCTION("""COMPUTED_VALUE"""),2.0)</f>
        <v>2</v>
      </c>
      <c r="G2893" s="2">
        <f>IFERROR(__xludf.DUMMYFUNCTION("""COMPUTED_VALUE"""),2.0)</f>
        <v>2</v>
      </c>
      <c r="H2893" s="2" t="str">
        <f>IFERROR(__xludf.DUMMYFUNCTION("""COMPUTED_VALUE"""),"P. kara")</f>
        <v>P. kara</v>
      </c>
      <c r="I2893" s="2" t="str">
        <f>IFERROR(__xludf.DUMMYFUNCTION("""COMPUTED_VALUE"""),"Brick")</f>
        <v>Brick</v>
      </c>
      <c r="J2893" s="2" t="str">
        <f>IFERROR(__xludf.DUMMYFUNCTION("""COMPUTED_VALUE"""),"Partial amenities")</f>
        <v>Partial amenities</v>
      </c>
      <c r="K2893" s="2">
        <f>IFERROR(__xludf.DUMMYFUNCTION("""COMPUTED_VALUE"""),6900.0)</f>
        <v>6900</v>
      </c>
      <c r="L2893" s="2">
        <f>IFERROR(__xludf.DUMMYFUNCTION("""COMPUTED_VALUE"""),56.976516)</f>
        <v>56.976516</v>
      </c>
      <c r="M2893" s="2">
        <f>IFERROR(__xludf.DUMMYFUNCTION("""COMPUTED_VALUE"""),24.1354853)</f>
        <v>24.1354853</v>
      </c>
    </row>
    <row r="2894">
      <c r="A2894" s="2" t="str">
        <f>IFERROR(__xludf.DUMMYFUNCTION("""COMPUTED_VALUE"""),"For sale")</f>
        <v>For sale</v>
      </c>
      <c r="B2894" s="2" t="str">
        <f>IFERROR(__xludf.DUMMYFUNCTION("""COMPUTED_VALUE"""),"Teika")</f>
        <v>Teika</v>
      </c>
      <c r="C2894" s="2" t="str">
        <f>IFERROR(__xludf.DUMMYFUNCTION("""COMPUTED_VALUE"""),"Bajāru 59")</f>
        <v>Bajāru 59</v>
      </c>
      <c r="D2894" s="2">
        <f>IFERROR(__xludf.DUMMYFUNCTION("""COMPUTED_VALUE"""),5.0)</f>
        <v>5</v>
      </c>
      <c r="E2894" s="2">
        <f>IFERROR(__xludf.DUMMYFUNCTION("""COMPUTED_VALUE"""),154.0)</f>
        <v>154</v>
      </c>
      <c r="F2894" s="2">
        <f>IFERROR(__xludf.DUMMYFUNCTION("""COMPUTED_VALUE"""),1.0)</f>
        <v>1</v>
      </c>
      <c r="G2894" s="2">
        <f>IFERROR(__xludf.DUMMYFUNCTION("""COMPUTED_VALUE"""),3.0)</f>
        <v>3</v>
      </c>
      <c r="H2894" s="2" t="str">
        <f>IFERROR(__xludf.DUMMYFUNCTION("""COMPUTED_VALUE"""),"Specpr.")</f>
        <v>Specpr.</v>
      </c>
      <c r="I2894" s="2" t="str">
        <f>IFERROR(__xludf.DUMMYFUNCTION("""COMPUTED_VALUE"""),"Brick")</f>
        <v>Brick</v>
      </c>
      <c r="J2894" s="2" t="str">
        <f>IFERROR(__xludf.DUMMYFUNCTION("""COMPUTED_VALUE"""),"All amenities")</f>
        <v>All amenities</v>
      </c>
      <c r="K2894" s="2">
        <f>IFERROR(__xludf.DUMMYFUNCTION("""COMPUTED_VALUE"""),195000.0)</f>
        <v>195000</v>
      </c>
      <c r="L2894" s="2">
        <f>IFERROR(__xludf.DUMMYFUNCTION("""COMPUTED_VALUE"""),56.9713263999999)</f>
        <v>56.9713264</v>
      </c>
      <c r="M2894" s="2">
        <f>IFERROR(__xludf.DUMMYFUNCTION("""COMPUTED_VALUE"""),24.1922190269637)</f>
        <v>24.19221903</v>
      </c>
    </row>
    <row r="2895">
      <c r="A2895" s="2" t="str">
        <f>IFERROR(__xludf.DUMMYFUNCTION("""COMPUTED_VALUE"""),"For sale")</f>
        <v>For sale</v>
      </c>
      <c r="B2895" s="2" t="str">
        <f>IFERROR(__xludf.DUMMYFUNCTION("""COMPUTED_VALUE"""),"centrs")</f>
        <v>centrs</v>
      </c>
      <c r="C2895" s="2" t="str">
        <f>IFERROR(__xludf.DUMMYFUNCTION("""COMPUTED_VALUE"""),"Klusā 18")</f>
        <v>Klusā 18</v>
      </c>
      <c r="D2895" s="2">
        <f>IFERROR(__xludf.DUMMYFUNCTION("""COMPUTED_VALUE"""),2.0)</f>
        <v>2</v>
      </c>
      <c r="E2895" s="2">
        <f>IFERROR(__xludf.DUMMYFUNCTION("""COMPUTED_VALUE"""),47.0)</f>
        <v>47</v>
      </c>
      <c r="F2895" s="2">
        <f>IFERROR(__xludf.DUMMYFUNCTION("""COMPUTED_VALUE"""),5.0)</f>
        <v>5</v>
      </c>
      <c r="G2895" s="2">
        <f>IFERROR(__xludf.DUMMYFUNCTION("""COMPUTED_VALUE"""),8.0)</f>
        <v>8</v>
      </c>
      <c r="H2895" s="2" t="str">
        <f>IFERROR(__xludf.DUMMYFUNCTION("""COMPUTED_VALUE"""),"Renov.")</f>
        <v>Renov.</v>
      </c>
      <c r="I2895" s="2" t="str">
        <f>IFERROR(__xludf.DUMMYFUNCTION("""COMPUTED_VALUE"""),"Panel-Brick")</f>
        <v>Panel-Brick</v>
      </c>
      <c r="J2895" s="2" t="str">
        <f>IFERROR(__xludf.DUMMYFUNCTION("""COMPUTED_VALUE"""),"All amenities")</f>
        <v>All amenities</v>
      </c>
      <c r="K2895" s="2">
        <f>IFERROR(__xludf.DUMMYFUNCTION("""COMPUTED_VALUE"""),72000.0)</f>
        <v>72000</v>
      </c>
      <c r="L2895" s="2">
        <f>IFERROR(__xludf.DUMMYFUNCTION("""COMPUTED_VALUE"""),56.9762119)</f>
        <v>56.9762119</v>
      </c>
      <c r="M2895" s="2">
        <f>IFERROR(__xludf.DUMMYFUNCTION("""COMPUTED_VALUE"""),24.1462619497695)</f>
        <v>24.14626195</v>
      </c>
    </row>
    <row r="2896">
      <c r="A2896" s="2" t="str">
        <f>IFERROR(__xludf.DUMMYFUNCTION("""COMPUTED_VALUE"""),"For sale")</f>
        <v>For sale</v>
      </c>
      <c r="B2896" s="2" t="str">
        <f>IFERROR(__xludf.DUMMYFUNCTION("""COMPUTED_VALUE"""),"Teika")</f>
        <v>Teika</v>
      </c>
      <c r="C2896" s="2" t="str">
        <f>IFERROR(__xludf.DUMMYFUNCTION("""COMPUTED_VALUE"""),"Ropažu 12")</f>
        <v>Ropažu 12</v>
      </c>
      <c r="D2896" s="2">
        <f>IFERROR(__xludf.DUMMYFUNCTION("""COMPUTED_VALUE"""),2.0)</f>
        <v>2</v>
      </c>
      <c r="E2896" s="2">
        <f>IFERROR(__xludf.DUMMYFUNCTION("""COMPUTED_VALUE"""),71.0)</f>
        <v>71</v>
      </c>
      <c r="F2896" s="2">
        <f>IFERROR(__xludf.DUMMYFUNCTION("""COMPUTED_VALUE"""),4.0)</f>
        <v>4</v>
      </c>
      <c r="G2896" s="2">
        <f>IFERROR(__xludf.DUMMYFUNCTION("""COMPUTED_VALUE"""),10.0)</f>
        <v>10</v>
      </c>
      <c r="H2896" s="2" t="str">
        <f>IFERROR(__xludf.DUMMYFUNCTION("""COMPUTED_VALUE"""),"Jaun.")</f>
        <v>Jaun.</v>
      </c>
      <c r="I2896" s="2" t="str">
        <f>IFERROR(__xludf.DUMMYFUNCTION("""COMPUTED_VALUE"""),"Masonry")</f>
        <v>Masonry</v>
      </c>
      <c r="J2896" s="2" t="str">
        <f>IFERROR(__xludf.DUMMYFUNCTION("""COMPUTED_VALUE"""),"All amenities")</f>
        <v>All amenities</v>
      </c>
      <c r="K2896" s="2">
        <f>IFERROR(__xludf.DUMMYFUNCTION("""COMPUTED_VALUE"""),135000.0)</f>
        <v>135000</v>
      </c>
      <c r="L2896" s="2">
        <f>IFERROR(__xludf.DUMMYFUNCTION("""COMPUTED_VALUE"""),56.97725905)</f>
        <v>56.97725905</v>
      </c>
      <c r="M2896" s="2">
        <f>IFERROR(__xludf.DUMMYFUNCTION("""COMPUTED_VALUE"""),24.1667266999254)</f>
        <v>24.1667267</v>
      </c>
    </row>
    <row r="2897">
      <c r="A2897" s="2" t="str">
        <f>IFERROR(__xludf.DUMMYFUNCTION("""COMPUTED_VALUE"""),"For sale")</f>
        <v>For sale</v>
      </c>
      <c r="B2897" s="2" t="str">
        <f>IFERROR(__xludf.DUMMYFUNCTION("""COMPUTED_VALUE"""),"centrs")</f>
        <v>centrs</v>
      </c>
      <c r="C2897" s="2" t="str">
        <f>IFERROR(__xludf.DUMMYFUNCTION("""COMPUTED_VALUE"""),"Valdemāra 37")</f>
        <v>Valdemāra 37</v>
      </c>
      <c r="D2897" s="2">
        <f>IFERROR(__xludf.DUMMYFUNCTION("""COMPUTED_VALUE"""),3.0)</f>
        <v>3</v>
      </c>
      <c r="E2897" s="2">
        <f>IFERROR(__xludf.DUMMYFUNCTION("""COMPUTED_VALUE"""),78.3)</f>
        <v>78.3</v>
      </c>
      <c r="F2897" s="2">
        <f>IFERROR(__xludf.DUMMYFUNCTION("""COMPUTED_VALUE"""),4.0)</f>
        <v>4</v>
      </c>
      <c r="G2897" s="2">
        <f>IFERROR(__xludf.DUMMYFUNCTION("""COMPUTED_VALUE"""),6.0)</f>
        <v>6</v>
      </c>
      <c r="H2897" s="2" t="str">
        <f>IFERROR(__xludf.DUMMYFUNCTION("""COMPUTED_VALUE"""),"Renov.")</f>
        <v>Renov.</v>
      </c>
      <c r="I2897" s="2" t="str">
        <f>IFERROR(__xludf.DUMMYFUNCTION("""COMPUTED_VALUE"""),"Masonry")</f>
        <v>Masonry</v>
      </c>
      <c r="J2897" s="2" t="str">
        <f>IFERROR(__xludf.DUMMYFUNCTION("""COMPUTED_VALUE"""),"All amenities")</f>
        <v>All amenities</v>
      </c>
      <c r="K2897" s="2">
        <f>IFERROR(__xludf.DUMMYFUNCTION("""COMPUTED_VALUE"""),159732.0)</f>
        <v>159732</v>
      </c>
      <c r="L2897" s="2">
        <f>IFERROR(__xludf.DUMMYFUNCTION("""COMPUTED_VALUE"""),56.958482)</f>
        <v>56.958482</v>
      </c>
      <c r="M2897" s="2">
        <f>IFERROR(__xludf.DUMMYFUNCTION("""COMPUTED_VALUE"""),24.116859)</f>
        <v>24.116859</v>
      </c>
    </row>
    <row r="2898">
      <c r="A2898" s="2" t="str">
        <f>IFERROR(__xludf.DUMMYFUNCTION("""COMPUTED_VALUE"""),"For sale")</f>
        <v>For sale</v>
      </c>
      <c r="B2898" s="2" t="str">
        <f>IFERROR(__xludf.DUMMYFUNCTION("""COMPUTED_VALUE"""),"Ziepniekkalns")</f>
        <v>Ziepniekkalns</v>
      </c>
      <c r="C2898" s="2" t="str">
        <f>IFERROR(__xludf.DUMMYFUNCTION("""COMPUTED_VALUE"""),"Bikstu 6")</f>
        <v>Bikstu 6</v>
      </c>
      <c r="D2898" s="2">
        <f>IFERROR(__xludf.DUMMYFUNCTION("""COMPUTED_VALUE"""),2.0)</f>
        <v>2</v>
      </c>
      <c r="E2898" s="2">
        <f>IFERROR(__xludf.DUMMYFUNCTION("""COMPUTED_VALUE"""),75.0)</f>
        <v>75</v>
      </c>
      <c r="F2898" s="2">
        <f>IFERROR(__xludf.DUMMYFUNCTION("""COMPUTED_VALUE"""),5.0)</f>
        <v>5</v>
      </c>
      <c r="G2898" s="2">
        <f>IFERROR(__xludf.DUMMYFUNCTION("""COMPUTED_VALUE"""),6.0)</f>
        <v>6</v>
      </c>
      <c r="H2898" s="2" t="str">
        <f>IFERROR(__xludf.DUMMYFUNCTION("""COMPUTED_VALUE"""),"Jaun.")</f>
        <v>Jaun.</v>
      </c>
      <c r="I2898" s="2" t="str">
        <f>IFERROR(__xludf.DUMMYFUNCTION("""COMPUTED_VALUE"""),"Brick")</f>
        <v>Brick</v>
      </c>
      <c r="J2898" s="2" t="str">
        <f>IFERROR(__xludf.DUMMYFUNCTION("""COMPUTED_VALUE"""),"All amenities")</f>
        <v>All amenities</v>
      </c>
      <c r="K2898" s="2">
        <f>IFERROR(__xludf.DUMMYFUNCTION("""COMPUTED_VALUE"""),88500.0)</f>
        <v>88500</v>
      </c>
      <c r="L2898" s="2">
        <f>IFERROR(__xludf.DUMMYFUNCTION("""COMPUTED_VALUE"""),56.90884755)</f>
        <v>56.90884755</v>
      </c>
      <c r="M2898" s="2">
        <f>IFERROR(__xludf.DUMMYFUNCTION("""COMPUTED_VALUE"""),24.0794370513523)</f>
        <v>24.07943705</v>
      </c>
    </row>
    <row r="2899">
      <c r="A2899" s="2" t="str">
        <f>IFERROR(__xludf.DUMMYFUNCTION("""COMPUTED_VALUE"""),"For rent")</f>
        <v>For rent</v>
      </c>
      <c r="B2899" s="2" t="str">
        <f>IFERROR(__xludf.DUMMYFUNCTION("""COMPUTED_VALUE"""),"centrs")</f>
        <v>centrs</v>
      </c>
      <c r="C2899" s="2" t="str">
        <f>IFERROR(__xludf.DUMMYFUNCTION("""COMPUTED_VALUE"""),"Brīvības iela 170")</f>
        <v>Brīvības iela 170</v>
      </c>
      <c r="D2899" s="2">
        <f>IFERROR(__xludf.DUMMYFUNCTION("""COMPUTED_VALUE"""),2.0)</f>
        <v>2</v>
      </c>
      <c r="E2899" s="2">
        <f>IFERROR(__xludf.DUMMYFUNCTION("""COMPUTED_VALUE"""),51.0)</f>
        <v>51</v>
      </c>
      <c r="F2899" s="2">
        <f>IFERROR(__xludf.DUMMYFUNCTION("""COMPUTED_VALUE"""),3.0)</f>
        <v>3</v>
      </c>
      <c r="G2899" s="2">
        <f>IFERROR(__xludf.DUMMYFUNCTION("""COMPUTED_VALUE"""),6.0)</f>
        <v>6</v>
      </c>
      <c r="H2899" s="2" t="str">
        <f>IFERROR(__xludf.DUMMYFUNCTION("""COMPUTED_VALUE"""),"P. kara")</f>
        <v>P. kara</v>
      </c>
      <c r="I2899" s="2" t="str">
        <f>IFERROR(__xludf.DUMMYFUNCTION("""COMPUTED_VALUE"""),"Masonry")</f>
        <v>Masonry</v>
      </c>
      <c r="J2899" s="2" t="str">
        <f>IFERROR(__xludf.DUMMYFUNCTION("""COMPUTED_VALUE"""),"All amenities")</f>
        <v>All amenities</v>
      </c>
      <c r="K2899" s="2">
        <f>IFERROR(__xludf.DUMMYFUNCTION("""COMPUTED_VALUE"""),320.0)</f>
        <v>320</v>
      </c>
      <c r="L2899" s="2">
        <f>IFERROR(__xludf.DUMMYFUNCTION("""COMPUTED_VALUE"""),56.965966)</f>
        <v>56.965966</v>
      </c>
      <c r="M2899" s="2">
        <f>IFERROR(__xludf.DUMMYFUNCTION("""COMPUTED_VALUE"""),24.1445041)</f>
        <v>24.1445041</v>
      </c>
    </row>
    <row r="2900">
      <c r="A2900" s="2" t="str">
        <f>IFERROR(__xludf.DUMMYFUNCTION("""COMPUTED_VALUE"""),"For sale")</f>
        <v>For sale</v>
      </c>
      <c r="B2900" s="2" t="str">
        <f>IFERROR(__xludf.DUMMYFUNCTION("""COMPUTED_VALUE"""),"centrs")</f>
        <v>centrs</v>
      </c>
      <c r="C2900" s="2" t="str">
        <f>IFERROR(__xludf.DUMMYFUNCTION("""COMPUTED_VALUE"""),"Strēlnieku 13")</f>
        <v>Strēlnieku 13</v>
      </c>
      <c r="D2900" s="2">
        <f>IFERROR(__xludf.DUMMYFUNCTION("""COMPUTED_VALUE"""),3.0)</f>
        <v>3</v>
      </c>
      <c r="E2900" s="2">
        <f>IFERROR(__xludf.DUMMYFUNCTION("""COMPUTED_VALUE"""),74.0)</f>
        <v>74</v>
      </c>
      <c r="F2900" s="2">
        <f>IFERROR(__xludf.DUMMYFUNCTION("""COMPUTED_VALUE"""),4.0)</f>
        <v>4</v>
      </c>
      <c r="G2900" s="2">
        <f>IFERROR(__xludf.DUMMYFUNCTION("""COMPUTED_VALUE"""),5.0)</f>
        <v>5</v>
      </c>
      <c r="H2900" s="2" t="str">
        <f>IFERROR(__xludf.DUMMYFUNCTION("""COMPUTED_VALUE"""),"P. kara")</f>
        <v>P. kara</v>
      </c>
      <c r="I2900" s="2" t="str">
        <f>IFERROR(__xludf.DUMMYFUNCTION("""COMPUTED_VALUE"""),"Masonry")</f>
        <v>Masonry</v>
      </c>
      <c r="J2900" s="2" t="str">
        <f>IFERROR(__xludf.DUMMYFUNCTION("""COMPUTED_VALUE"""),"All amenities")</f>
        <v>All amenities</v>
      </c>
      <c r="K2900" s="2">
        <f>IFERROR(__xludf.DUMMYFUNCTION("""COMPUTED_VALUE"""),156000.0)</f>
        <v>156000</v>
      </c>
      <c r="L2900" s="2">
        <f>IFERROR(__xludf.DUMMYFUNCTION("""COMPUTED_VALUE"""),56.9589644)</f>
        <v>56.9589644</v>
      </c>
      <c r="M2900" s="2">
        <f>IFERROR(__xludf.DUMMYFUNCTION("""COMPUTED_VALUE"""),24.1081412)</f>
        <v>24.1081412</v>
      </c>
    </row>
    <row r="2901">
      <c r="A2901" s="2" t="str">
        <f>IFERROR(__xludf.DUMMYFUNCTION("""COMPUTED_VALUE"""),"For sale")</f>
        <v>For sale</v>
      </c>
      <c r="B2901" s="2" t="str">
        <f>IFERROR(__xludf.DUMMYFUNCTION("""COMPUTED_VALUE"""),"Teika")</f>
        <v>Teika</v>
      </c>
      <c r="C2901" s="2" t="str">
        <f>IFERROR(__xludf.DUMMYFUNCTION("""COMPUTED_VALUE"""),"Vidrižu 4")</f>
        <v>Vidrižu 4</v>
      </c>
      <c r="D2901" s="2">
        <f>IFERROR(__xludf.DUMMYFUNCTION("""COMPUTED_VALUE"""),3.0)</f>
        <v>3</v>
      </c>
      <c r="E2901" s="2">
        <f>IFERROR(__xludf.DUMMYFUNCTION("""COMPUTED_VALUE"""),76.0)</f>
        <v>76</v>
      </c>
      <c r="F2901" s="2">
        <f>IFERROR(__xludf.DUMMYFUNCTION("""COMPUTED_VALUE"""),5.0)</f>
        <v>5</v>
      </c>
      <c r="G2901" s="2">
        <f>IFERROR(__xludf.DUMMYFUNCTION("""COMPUTED_VALUE"""),9.0)</f>
        <v>9</v>
      </c>
      <c r="H2901" s="2" t="str">
        <f>IFERROR(__xludf.DUMMYFUNCTION("""COMPUTED_VALUE"""),"Specpr.")</f>
        <v>Specpr.</v>
      </c>
      <c r="I2901" s="2" t="str">
        <f>IFERROR(__xludf.DUMMYFUNCTION("""COMPUTED_VALUE"""),"Brick-Panel")</f>
        <v>Brick-Panel</v>
      </c>
      <c r="J2901" s="2" t="str">
        <f>IFERROR(__xludf.DUMMYFUNCTION("""COMPUTED_VALUE"""),"All amenities")</f>
        <v>All amenities</v>
      </c>
      <c r="K2901" s="2">
        <f>IFERROR(__xludf.DUMMYFUNCTION("""COMPUTED_VALUE"""),93000.0)</f>
        <v>93000</v>
      </c>
      <c r="L2901" s="2" t="str">
        <f>IFERROR(__xludf.DUMMYFUNCTION("""COMPUTED_VALUE"""),"NaN")</f>
        <v>NaN</v>
      </c>
      <c r="M2901" s="2" t="str">
        <f>IFERROR(__xludf.DUMMYFUNCTION("""COMPUTED_VALUE"""),"NaN")</f>
        <v>NaN</v>
      </c>
    </row>
    <row r="2902">
      <c r="A2902" s="2" t="str">
        <f>IFERROR(__xludf.DUMMYFUNCTION("""COMPUTED_VALUE"""),"For sale")</f>
        <v>For sale</v>
      </c>
      <c r="B2902" s="2" t="str">
        <f>IFERROR(__xludf.DUMMYFUNCTION("""COMPUTED_VALUE"""),"Ķengarags")</f>
        <v>Ķengarags</v>
      </c>
      <c r="C2902" s="2" t="str">
        <f>IFERROR(__xludf.DUMMYFUNCTION("""COMPUTED_VALUE"""),"Maskavas 321")</f>
        <v>Maskavas 321</v>
      </c>
      <c r="D2902" s="2">
        <f>IFERROR(__xludf.DUMMYFUNCTION("""COMPUTED_VALUE"""),2.0)</f>
        <v>2</v>
      </c>
      <c r="E2902" s="2">
        <f>IFERROR(__xludf.DUMMYFUNCTION("""COMPUTED_VALUE"""),48.0)</f>
        <v>48</v>
      </c>
      <c r="F2902" s="2">
        <f>IFERROR(__xludf.DUMMYFUNCTION("""COMPUTED_VALUE"""),5.0)</f>
        <v>5</v>
      </c>
      <c r="G2902" s="2">
        <f>IFERROR(__xludf.DUMMYFUNCTION("""COMPUTED_VALUE"""),5.0)</f>
        <v>5</v>
      </c>
      <c r="H2902" s="2" t="str">
        <f>IFERROR(__xludf.DUMMYFUNCTION("""COMPUTED_VALUE"""),"LT proj.")</f>
        <v>LT proj.</v>
      </c>
      <c r="I2902" s="2" t="str">
        <f>IFERROR(__xludf.DUMMYFUNCTION("""COMPUTED_VALUE"""),"Panel")</f>
        <v>Panel</v>
      </c>
      <c r="J2902" s="2" t="str">
        <f>IFERROR(__xludf.DUMMYFUNCTION("""COMPUTED_VALUE"""),"All amenities")</f>
        <v>All amenities</v>
      </c>
      <c r="K2902" s="2">
        <f>IFERROR(__xludf.DUMMYFUNCTION("""COMPUTED_VALUE"""),38900.0)</f>
        <v>38900</v>
      </c>
      <c r="L2902" s="2">
        <f>IFERROR(__xludf.DUMMYFUNCTION("""COMPUTED_VALUE"""),56.8597884)</f>
        <v>56.8597884</v>
      </c>
      <c r="M2902" s="2">
        <f>IFERROR(__xludf.DUMMYFUNCTION("""COMPUTED_VALUE"""),24.3083417)</f>
        <v>24.3083417</v>
      </c>
    </row>
    <row r="2903">
      <c r="A2903" s="2" t="str">
        <f>IFERROR(__xludf.DUMMYFUNCTION("""COMPUTED_VALUE"""),"For sale")</f>
        <v>For sale</v>
      </c>
      <c r="B2903" s="2" t="str">
        <f>IFERROR(__xludf.DUMMYFUNCTION("""COMPUTED_VALUE"""),"centrs")</f>
        <v>centrs</v>
      </c>
      <c r="C2903" s="2" t="str">
        <f>IFERROR(__xludf.DUMMYFUNCTION("""COMPUTED_VALUE"""),"Blaumaņa 34")</f>
        <v>Blaumaņa 34</v>
      </c>
      <c r="D2903" s="2">
        <f>IFERROR(__xludf.DUMMYFUNCTION("""COMPUTED_VALUE"""),3.0)</f>
        <v>3</v>
      </c>
      <c r="E2903" s="2">
        <f>IFERROR(__xludf.DUMMYFUNCTION("""COMPUTED_VALUE"""),89.0)</f>
        <v>89</v>
      </c>
      <c r="F2903" s="2">
        <f>IFERROR(__xludf.DUMMYFUNCTION("""COMPUTED_VALUE"""),6.0)</f>
        <v>6</v>
      </c>
      <c r="G2903" s="2">
        <f>IFERROR(__xludf.DUMMYFUNCTION("""COMPUTED_VALUE"""),7.0)</f>
        <v>7</v>
      </c>
      <c r="H2903" s="2" t="str">
        <f>IFERROR(__xludf.DUMMYFUNCTION("""COMPUTED_VALUE"""),"Renov.")</f>
        <v>Renov.</v>
      </c>
      <c r="I2903" s="2" t="str">
        <f>IFERROR(__xludf.DUMMYFUNCTION("""COMPUTED_VALUE"""),"Masonry")</f>
        <v>Masonry</v>
      </c>
      <c r="J2903" s="2" t="str">
        <f>IFERROR(__xludf.DUMMYFUNCTION("""COMPUTED_VALUE"""),"All amenities")</f>
        <v>All amenities</v>
      </c>
      <c r="K2903" s="2">
        <f>IFERROR(__xludf.DUMMYFUNCTION("""COMPUTED_VALUE"""),163910.0)</f>
        <v>163910</v>
      </c>
      <c r="L2903" s="2">
        <f>IFERROR(__xludf.DUMMYFUNCTION("""COMPUTED_VALUE"""),56.9518761)</f>
        <v>56.9518761</v>
      </c>
      <c r="M2903" s="2">
        <f>IFERROR(__xludf.DUMMYFUNCTION("""COMPUTED_VALUE"""),24.1257094)</f>
        <v>24.1257094</v>
      </c>
    </row>
    <row r="2904">
      <c r="A2904" s="2" t="str">
        <f>IFERROR(__xludf.DUMMYFUNCTION("""COMPUTED_VALUE"""),"For sale")</f>
        <v>For sale</v>
      </c>
      <c r="B2904" s="2" t="str">
        <f>IFERROR(__xludf.DUMMYFUNCTION("""COMPUTED_VALUE"""),"Maskavas priekšpilsēta")</f>
        <v>Maskavas priekšpilsēta</v>
      </c>
      <c r="C2904" s="2" t="str">
        <f>IFERROR(__xludf.DUMMYFUNCTION("""COMPUTED_VALUE"""),"Rēznas 5")</f>
        <v>Rēznas 5</v>
      </c>
      <c r="D2904" s="2">
        <f>IFERROR(__xludf.DUMMYFUNCTION("""COMPUTED_VALUE"""),2.0)</f>
        <v>2</v>
      </c>
      <c r="E2904" s="2">
        <f>IFERROR(__xludf.DUMMYFUNCTION("""COMPUTED_VALUE"""),64.0)</f>
        <v>64</v>
      </c>
      <c r="F2904" s="2">
        <f>IFERROR(__xludf.DUMMYFUNCTION("""COMPUTED_VALUE"""),3.0)</f>
        <v>3</v>
      </c>
      <c r="G2904" s="2">
        <f>IFERROR(__xludf.DUMMYFUNCTION("""COMPUTED_VALUE"""),5.0)</f>
        <v>5</v>
      </c>
      <c r="H2904" s="2" t="str">
        <f>IFERROR(__xludf.DUMMYFUNCTION("""COMPUTED_VALUE"""),"Staļina")</f>
        <v>Staļina</v>
      </c>
      <c r="I2904" s="2" t="str">
        <f>IFERROR(__xludf.DUMMYFUNCTION("""COMPUTED_VALUE"""),"Masonry")</f>
        <v>Masonry</v>
      </c>
      <c r="J2904" s="2" t="str">
        <f>IFERROR(__xludf.DUMMYFUNCTION("""COMPUTED_VALUE"""),"All amenities")</f>
        <v>All amenities</v>
      </c>
      <c r="K2904" s="2">
        <f>IFERROR(__xludf.DUMMYFUNCTION("""COMPUTED_VALUE"""),77000.0)</f>
        <v>77000</v>
      </c>
      <c r="L2904" s="2">
        <f>IFERROR(__xludf.DUMMYFUNCTION("""COMPUTED_VALUE"""),56.9360312)</f>
        <v>56.9360312</v>
      </c>
      <c r="M2904" s="2">
        <f>IFERROR(__xludf.DUMMYFUNCTION("""COMPUTED_VALUE"""),24.1617323)</f>
        <v>24.1617323</v>
      </c>
    </row>
    <row r="2905">
      <c r="A2905" s="2" t="str">
        <f>IFERROR(__xludf.DUMMYFUNCTION("""COMPUTED_VALUE"""),"For sale")</f>
        <v>For sale</v>
      </c>
      <c r="B2905" s="2" t="str">
        <f>IFERROR(__xludf.DUMMYFUNCTION("""COMPUTED_VALUE"""),"Iļģuciems")</f>
        <v>Iļģuciems</v>
      </c>
      <c r="C2905" s="2" t="str">
        <f>IFERROR(__xludf.DUMMYFUNCTION("""COMPUTED_VALUE"""),"Palangas 1")</f>
        <v>Palangas 1</v>
      </c>
      <c r="D2905" s="2">
        <f>IFERROR(__xludf.DUMMYFUNCTION("""COMPUTED_VALUE"""),3.0)</f>
        <v>3</v>
      </c>
      <c r="E2905" s="2">
        <f>IFERROR(__xludf.DUMMYFUNCTION("""COMPUTED_VALUE"""),66.0)</f>
        <v>66</v>
      </c>
      <c r="F2905" s="2">
        <f>IFERROR(__xludf.DUMMYFUNCTION("""COMPUTED_VALUE"""),1.0)</f>
        <v>1</v>
      </c>
      <c r="G2905" s="2">
        <f>IFERROR(__xludf.DUMMYFUNCTION("""COMPUTED_VALUE"""),5.0)</f>
        <v>5</v>
      </c>
      <c r="H2905" s="2" t="str">
        <f>IFERROR(__xludf.DUMMYFUNCTION("""COMPUTED_VALUE"""),"LT proj.")</f>
        <v>LT proj.</v>
      </c>
      <c r="I2905" s="2" t="str">
        <f>IFERROR(__xludf.DUMMYFUNCTION("""COMPUTED_VALUE"""),"Panel")</f>
        <v>Panel</v>
      </c>
      <c r="J2905" s="2" t="str">
        <f>IFERROR(__xludf.DUMMYFUNCTION("""COMPUTED_VALUE"""),"All amenities")</f>
        <v>All amenities</v>
      </c>
      <c r="K2905" s="2">
        <f>IFERROR(__xludf.DUMMYFUNCTION("""COMPUTED_VALUE"""),50000.0)</f>
        <v>50000</v>
      </c>
      <c r="L2905" s="2">
        <f>IFERROR(__xludf.DUMMYFUNCTION("""COMPUTED_VALUE"""),56.9694761)</f>
        <v>56.9694761</v>
      </c>
      <c r="M2905" s="2">
        <f>IFERROR(__xludf.DUMMYFUNCTION("""COMPUTED_VALUE"""),24.0541638042451)</f>
        <v>24.0541638</v>
      </c>
    </row>
    <row r="2906">
      <c r="A2906" s="2" t="str">
        <f>IFERROR(__xludf.DUMMYFUNCTION("""COMPUTED_VALUE"""),"For sale")</f>
        <v>For sale</v>
      </c>
      <c r="B2906" s="2" t="str">
        <f>IFERROR(__xludf.DUMMYFUNCTION("""COMPUTED_VALUE"""),"centrs")</f>
        <v>centrs</v>
      </c>
      <c r="C2906" s="2" t="str">
        <f>IFERROR(__xludf.DUMMYFUNCTION("""COMPUTED_VALUE"""),"Bruņinieku 28")</f>
        <v>Bruņinieku 28</v>
      </c>
      <c r="D2906" s="2">
        <f>IFERROR(__xludf.DUMMYFUNCTION("""COMPUTED_VALUE"""),3.0)</f>
        <v>3</v>
      </c>
      <c r="E2906" s="2">
        <f>IFERROR(__xludf.DUMMYFUNCTION("""COMPUTED_VALUE"""),79.0)</f>
        <v>79</v>
      </c>
      <c r="F2906" s="2">
        <f>IFERROR(__xludf.DUMMYFUNCTION("""COMPUTED_VALUE"""),5.0)</f>
        <v>5</v>
      </c>
      <c r="G2906" s="2">
        <f>IFERROR(__xludf.DUMMYFUNCTION("""COMPUTED_VALUE"""),6.0)</f>
        <v>6</v>
      </c>
      <c r="H2906" s="2" t="str">
        <f>IFERROR(__xludf.DUMMYFUNCTION("""COMPUTED_VALUE"""),"P. kara")</f>
        <v>P. kara</v>
      </c>
      <c r="I2906" s="2" t="str">
        <f>IFERROR(__xludf.DUMMYFUNCTION("""COMPUTED_VALUE"""),"Brick")</f>
        <v>Brick</v>
      </c>
      <c r="J2906" s="2" t="str">
        <f>IFERROR(__xludf.DUMMYFUNCTION("""COMPUTED_VALUE"""),"All amenities")</f>
        <v>All amenities</v>
      </c>
      <c r="K2906" s="2">
        <f>IFERROR(__xludf.DUMMYFUNCTION("""COMPUTED_VALUE"""),143000.0)</f>
        <v>143000</v>
      </c>
      <c r="L2906" s="2">
        <f>IFERROR(__xludf.DUMMYFUNCTION("""COMPUTED_VALUE"""),56.95567115)</f>
        <v>56.95567115</v>
      </c>
      <c r="M2906" s="2">
        <f>IFERROR(__xludf.DUMMYFUNCTION("""COMPUTED_VALUE"""),24.1314109608833)</f>
        <v>24.13141096</v>
      </c>
    </row>
    <row r="2907">
      <c r="A2907" s="2" t="str">
        <f>IFERROR(__xludf.DUMMYFUNCTION("""COMPUTED_VALUE"""),"For rent")</f>
        <v>For rent</v>
      </c>
      <c r="B2907" s="2" t="str">
        <f>IFERROR(__xludf.DUMMYFUNCTION("""COMPUTED_VALUE"""),"Jugla")</f>
        <v>Jugla</v>
      </c>
      <c r="C2907" s="2" t="str">
        <f>IFERROR(__xludf.DUMMYFUNCTION("""COMPUTED_VALUE"""),"Murjāņu 61")</f>
        <v>Murjāņu 61</v>
      </c>
      <c r="D2907" s="2">
        <f>IFERROR(__xludf.DUMMYFUNCTION("""COMPUTED_VALUE"""),2.0)</f>
        <v>2</v>
      </c>
      <c r="E2907" s="2">
        <f>IFERROR(__xludf.DUMMYFUNCTION("""COMPUTED_VALUE"""),37.0)</f>
        <v>37</v>
      </c>
      <c r="F2907" s="2">
        <f>IFERROR(__xludf.DUMMYFUNCTION("""COMPUTED_VALUE"""),4.0)</f>
        <v>4</v>
      </c>
      <c r="G2907" s="2">
        <f>IFERROR(__xludf.DUMMYFUNCTION("""COMPUTED_VALUE"""),4.0)</f>
        <v>4</v>
      </c>
      <c r="H2907" s="2" t="str">
        <f>IFERROR(__xludf.DUMMYFUNCTION("""COMPUTED_VALUE"""),"Renov.")</f>
        <v>Renov.</v>
      </c>
      <c r="I2907" s="2" t="str">
        <f>IFERROR(__xludf.DUMMYFUNCTION("""COMPUTED_VALUE"""),"Panel")</f>
        <v>Panel</v>
      </c>
      <c r="J2907" s="2" t="str">
        <f>IFERROR(__xludf.DUMMYFUNCTION("""COMPUTED_VALUE"""),"All amenities")</f>
        <v>All amenities</v>
      </c>
      <c r="K2907" s="2">
        <f>IFERROR(__xludf.DUMMYFUNCTION("""COMPUTED_VALUE"""),30.0)</f>
        <v>30</v>
      </c>
      <c r="L2907" s="2">
        <f>IFERROR(__xludf.DUMMYFUNCTION("""COMPUTED_VALUE"""),56.98048335)</f>
        <v>56.98048335</v>
      </c>
      <c r="M2907" s="2">
        <f>IFERROR(__xludf.DUMMYFUNCTION("""COMPUTED_VALUE"""),24.2453219495258)</f>
        <v>24.24532195</v>
      </c>
    </row>
    <row r="2908">
      <c r="A2908" s="2" t="str">
        <f>IFERROR(__xludf.DUMMYFUNCTION("""COMPUTED_VALUE"""),"For sale")</f>
        <v>For sale</v>
      </c>
      <c r="B2908" s="2" t="str">
        <f>IFERROR(__xludf.DUMMYFUNCTION("""COMPUTED_VALUE"""),"Klīversala")</f>
        <v>Klīversala</v>
      </c>
      <c r="C2908" s="2" t="str">
        <f>IFERROR(__xludf.DUMMYFUNCTION("""COMPUTED_VALUE"""),"Raņķa d. 9")</f>
        <v>Raņķa d. 9</v>
      </c>
      <c r="D2908" s="2">
        <f>IFERROR(__xludf.DUMMYFUNCTION("""COMPUTED_VALUE"""),3.0)</f>
        <v>3</v>
      </c>
      <c r="E2908" s="2">
        <f>IFERROR(__xludf.DUMMYFUNCTION("""COMPUTED_VALUE"""),115.0)</f>
        <v>115</v>
      </c>
      <c r="F2908" s="2">
        <f>IFERROR(__xludf.DUMMYFUNCTION("""COMPUTED_VALUE"""),6.0)</f>
        <v>6</v>
      </c>
      <c r="G2908" s="2">
        <f>IFERROR(__xludf.DUMMYFUNCTION("""COMPUTED_VALUE"""),6.0)</f>
        <v>6</v>
      </c>
      <c r="H2908" s="2" t="str">
        <f>IFERROR(__xludf.DUMMYFUNCTION("""COMPUTED_VALUE"""),"Jaun.")</f>
        <v>Jaun.</v>
      </c>
      <c r="I2908" s="2" t="str">
        <f>IFERROR(__xludf.DUMMYFUNCTION("""COMPUTED_VALUE"""),"Masonry")</f>
        <v>Masonry</v>
      </c>
      <c r="J2908" s="2" t="str">
        <f>IFERROR(__xludf.DUMMYFUNCTION("""COMPUTED_VALUE"""),"All amenities")</f>
        <v>All amenities</v>
      </c>
      <c r="K2908" s="2">
        <f>IFERROR(__xludf.DUMMYFUNCTION("""COMPUTED_VALUE"""),172500.0)</f>
        <v>172500</v>
      </c>
      <c r="L2908" s="2">
        <f>IFERROR(__xludf.DUMMYFUNCTION("""COMPUTED_VALUE"""),56.9483074)</f>
        <v>56.9483074</v>
      </c>
      <c r="M2908" s="2">
        <f>IFERROR(__xludf.DUMMYFUNCTION("""COMPUTED_VALUE"""),24.0801468)</f>
        <v>24.0801468</v>
      </c>
    </row>
    <row r="2909">
      <c r="A2909" s="2" t="str">
        <f>IFERROR(__xludf.DUMMYFUNCTION("""COMPUTED_VALUE"""),"For rent")</f>
        <v>For rent</v>
      </c>
      <c r="B2909" s="2" t="str">
        <f>IFERROR(__xludf.DUMMYFUNCTION("""COMPUTED_VALUE"""),"Ziepniekkalns")</f>
        <v>Ziepniekkalns</v>
      </c>
      <c r="C2909" s="2" t="str">
        <f>IFERROR(__xludf.DUMMYFUNCTION("""COMPUTED_VALUE"""),"Īslīces 1")</f>
        <v>Īslīces 1</v>
      </c>
      <c r="D2909" s="2">
        <f>IFERROR(__xludf.DUMMYFUNCTION("""COMPUTED_VALUE"""),1.0)</f>
        <v>1</v>
      </c>
      <c r="E2909" s="2">
        <f>IFERROR(__xludf.DUMMYFUNCTION("""COMPUTED_VALUE"""),44.0)</f>
        <v>44</v>
      </c>
      <c r="F2909" s="2">
        <f>IFERROR(__xludf.DUMMYFUNCTION("""COMPUTED_VALUE"""),6.0)</f>
        <v>6</v>
      </c>
      <c r="G2909" s="2">
        <f>IFERROR(__xludf.DUMMYFUNCTION("""COMPUTED_VALUE"""),10.0)</f>
        <v>10</v>
      </c>
      <c r="H2909" s="2">
        <f>IFERROR(__xludf.DUMMYFUNCTION("""COMPUTED_VALUE"""),119.0)</f>
        <v>119</v>
      </c>
      <c r="I2909" s="2" t="str">
        <f>IFERROR(__xludf.DUMMYFUNCTION("""COMPUTED_VALUE"""),"Panel")</f>
        <v>Panel</v>
      </c>
      <c r="J2909" s="2" t="str">
        <f>IFERROR(__xludf.DUMMYFUNCTION("""COMPUTED_VALUE"""),"All amenities")</f>
        <v>All amenities</v>
      </c>
      <c r="K2909" s="2">
        <f>IFERROR(__xludf.DUMMYFUNCTION("""COMPUTED_VALUE"""),230.0)</f>
        <v>230</v>
      </c>
      <c r="L2909" s="2">
        <f>IFERROR(__xludf.DUMMYFUNCTION("""COMPUTED_VALUE"""),56.90158855)</f>
        <v>56.90158855</v>
      </c>
      <c r="M2909" s="2">
        <f>IFERROR(__xludf.DUMMYFUNCTION("""COMPUTED_VALUE"""),24.0846961606636)</f>
        <v>24.08469616</v>
      </c>
    </row>
    <row r="2910">
      <c r="A2910" s="2" t="str">
        <f>IFERROR(__xludf.DUMMYFUNCTION("""COMPUTED_VALUE"""),"For sale")</f>
        <v>For sale</v>
      </c>
      <c r="B2910" s="2" t="str">
        <f>IFERROR(__xludf.DUMMYFUNCTION("""COMPUTED_VALUE"""),"Teika")</f>
        <v>Teika</v>
      </c>
      <c r="C2910" s="2" t="str">
        <f>IFERROR(__xludf.DUMMYFUNCTION("""COMPUTED_VALUE"""),"Kuršu 25a")</f>
        <v>Kuršu 25a</v>
      </c>
      <c r="D2910" s="2">
        <f>IFERROR(__xludf.DUMMYFUNCTION("""COMPUTED_VALUE"""),2.0)</f>
        <v>2</v>
      </c>
      <c r="E2910" s="2">
        <f>IFERROR(__xludf.DUMMYFUNCTION("""COMPUTED_VALUE"""),43.0)</f>
        <v>43</v>
      </c>
      <c r="F2910" s="2">
        <f>IFERROR(__xludf.DUMMYFUNCTION("""COMPUTED_VALUE"""),3.0)</f>
        <v>3</v>
      </c>
      <c r="G2910" s="2">
        <f>IFERROR(__xludf.DUMMYFUNCTION("""COMPUTED_VALUE"""),3.0)</f>
        <v>3</v>
      </c>
      <c r="H2910" s="2" t="str">
        <f>IFERROR(__xludf.DUMMYFUNCTION("""COMPUTED_VALUE"""),"Staļina")</f>
        <v>Staļina</v>
      </c>
      <c r="I2910" s="2" t="str">
        <f>IFERROR(__xludf.DUMMYFUNCTION("""COMPUTED_VALUE"""),"Brick")</f>
        <v>Brick</v>
      </c>
      <c r="J2910" s="2" t="str">
        <f>IFERROR(__xludf.DUMMYFUNCTION("""COMPUTED_VALUE"""),"All amenities")</f>
        <v>All amenities</v>
      </c>
      <c r="K2910" s="2">
        <f>IFERROR(__xludf.DUMMYFUNCTION("""COMPUTED_VALUE"""),53000.0)</f>
        <v>53000</v>
      </c>
      <c r="L2910" s="2">
        <f>IFERROR(__xludf.DUMMYFUNCTION("""COMPUTED_VALUE"""),56.9803373999999)</f>
        <v>56.9803374</v>
      </c>
      <c r="M2910" s="2">
        <f>IFERROR(__xludf.DUMMYFUNCTION("""COMPUTED_VALUE"""),24.1930558280892)</f>
        <v>24.19305583</v>
      </c>
    </row>
    <row r="2911">
      <c r="A2911" s="2" t="str">
        <f>IFERROR(__xludf.DUMMYFUNCTION("""COMPUTED_VALUE"""),"For rent")</f>
        <v>For rent</v>
      </c>
      <c r="B2911" s="2" t="str">
        <f>IFERROR(__xludf.DUMMYFUNCTION("""COMPUTED_VALUE"""),"centrs")</f>
        <v>centrs</v>
      </c>
      <c r="C2911" s="2" t="str">
        <f>IFERROR(__xludf.DUMMYFUNCTION("""COMPUTED_VALUE"""),"Bruņinieku 81")</f>
        <v>Bruņinieku 81</v>
      </c>
      <c r="D2911" s="2">
        <f>IFERROR(__xludf.DUMMYFUNCTION("""COMPUTED_VALUE"""),1.0)</f>
        <v>1</v>
      </c>
      <c r="E2911" s="2">
        <f>IFERROR(__xludf.DUMMYFUNCTION("""COMPUTED_VALUE"""),12.0)</f>
        <v>12</v>
      </c>
      <c r="F2911" s="2">
        <f>IFERROR(__xludf.DUMMYFUNCTION("""COMPUTED_VALUE"""),3.0)</f>
        <v>3</v>
      </c>
      <c r="G2911" s="2">
        <f>IFERROR(__xludf.DUMMYFUNCTION("""COMPUTED_VALUE"""),5.0)</f>
        <v>5</v>
      </c>
      <c r="H2911" s="2" t="str">
        <f>IFERROR(__xludf.DUMMYFUNCTION("""COMPUTED_VALUE"""),"P. kara")</f>
        <v>P. kara</v>
      </c>
      <c r="I2911" s="2" t="str">
        <f>IFERROR(__xludf.DUMMYFUNCTION("""COMPUTED_VALUE"""),"Masonry")</f>
        <v>Masonry</v>
      </c>
      <c r="J2911" s="2" t="str">
        <f>IFERROR(__xludf.DUMMYFUNCTION("""COMPUTED_VALUE"""),"All amenities")</f>
        <v>All amenities</v>
      </c>
      <c r="K2911" s="2">
        <f>IFERROR(__xludf.DUMMYFUNCTION("""COMPUTED_VALUE"""),210.0)</f>
        <v>210</v>
      </c>
      <c r="L2911" s="2">
        <f>IFERROR(__xludf.DUMMYFUNCTION("""COMPUTED_VALUE"""),56.9519155)</f>
        <v>56.9519155</v>
      </c>
      <c r="M2911" s="2">
        <f>IFERROR(__xludf.DUMMYFUNCTION("""COMPUTED_VALUE"""),24.1404527160079)</f>
        <v>24.14045272</v>
      </c>
    </row>
    <row r="2912">
      <c r="A2912" s="2" t="str">
        <f>IFERROR(__xludf.DUMMYFUNCTION("""COMPUTED_VALUE"""),"For sale")</f>
        <v>For sale</v>
      </c>
      <c r="B2912" s="2" t="str">
        <f>IFERROR(__xludf.DUMMYFUNCTION("""COMPUTED_VALUE"""),"Maskavas priekšpilsēta")</f>
        <v>Maskavas priekšpilsēta</v>
      </c>
      <c r="C2912" s="2" t="str">
        <f>IFERROR(__xludf.DUMMYFUNCTION("""COMPUTED_VALUE"""),"Daugavpils 8a")</f>
        <v>Daugavpils 8a</v>
      </c>
      <c r="D2912" s="2">
        <f>IFERROR(__xludf.DUMMYFUNCTION("""COMPUTED_VALUE"""),2.0)</f>
        <v>2</v>
      </c>
      <c r="E2912" s="2">
        <f>IFERROR(__xludf.DUMMYFUNCTION("""COMPUTED_VALUE"""),58.0)</f>
        <v>58</v>
      </c>
      <c r="F2912" s="2">
        <f>IFERROR(__xludf.DUMMYFUNCTION("""COMPUTED_VALUE"""),3.0)</f>
        <v>3</v>
      </c>
      <c r="G2912" s="2">
        <f>IFERROR(__xludf.DUMMYFUNCTION("""COMPUTED_VALUE"""),4.0)</f>
        <v>4</v>
      </c>
      <c r="H2912" s="2" t="str">
        <f>IFERROR(__xludf.DUMMYFUNCTION("""COMPUTED_VALUE"""),"Jaun.")</f>
        <v>Jaun.</v>
      </c>
      <c r="I2912" s="2" t="str">
        <f>IFERROR(__xludf.DUMMYFUNCTION("""COMPUTED_VALUE"""),"Brick-Panel")</f>
        <v>Brick-Panel</v>
      </c>
      <c r="J2912" s="2" t="str">
        <f>IFERROR(__xludf.DUMMYFUNCTION("""COMPUTED_VALUE"""),"All amenities")</f>
        <v>All amenities</v>
      </c>
      <c r="K2912" s="2">
        <f>IFERROR(__xludf.DUMMYFUNCTION("""COMPUTED_VALUE"""),79500.0)</f>
        <v>79500</v>
      </c>
      <c r="L2912" s="2">
        <f>IFERROR(__xludf.DUMMYFUNCTION("""COMPUTED_VALUE"""),56.93994095)</f>
        <v>56.93994095</v>
      </c>
      <c r="M2912" s="2">
        <f>IFERROR(__xludf.DUMMYFUNCTION("""COMPUTED_VALUE"""),24.1419740459493)</f>
        <v>24.14197405</v>
      </c>
    </row>
    <row r="2913">
      <c r="A2913" s="2" t="str">
        <f>IFERROR(__xludf.DUMMYFUNCTION("""COMPUTED_VALUE"""),"For rent")</f>
        <v>For rent</v>
      </c>
      <c r="B2913" s="2" t="str">
        <f>IFERROR(__xludf.DUMMYFUNCTION("""COMPUTED_VALUE"""),"centrs")</f>
        <v>centrs</v>
      </c>
      <c r="C2913" s="2" t="str">
        <f>IFERROR(__xludf.DUMMYFUNCTION("""COMPUTED_VALUE"""),"Pulkv. Brieža 13")</f>
        <v>Pulkv. Brieža 13</v>
      </c>
      <c r="D2913" s="2">
        <f>IFERROR(__xludf.DUMMYFUNCTION("""COMPUTED_VALUE"""),3.0)</f>
        <v>3</v>
      </c>
      <c r="E2913" s="2">
        <f>IFERROR(__xludf.DUMMYFUNCTION("""COMPUTED_VALUE"""),75.0)</f>
        <v>75</v>
      </c>
      <c r="F2913" s="2">
        <f>IFERROR(__xludf.DUMMYFUNCTION("""COMPUTED_VALUE"""),4.0)</f>
        <v>4</v>
      </c>
      <c r="G2913" s="2">
        <f>IFERROR(__xludf.DUMMYFUNCTION("""COMPUTED_VALUE"""),6.0)</f>
        <v>6</v>
      </c>
      <c r="H2913" s="2" t="str">
        <f>IFERROR(__xludf.DUMMYFUNCTION("""COMPUTED_VALUE"""),"Renov.")</f>
        <v>Renov.</v>
      </c>
      <c r="I2913" s="2" t="str">
        <f>IFERROR(__xludf.DUMMYFUNCTION("""COMPUTED_VALUE"""),"Masonry")</f>
        <v>Masonry</v>
      </c>
      <c r="J2913" s="2" t="str">
        <f>IFERROR(__xludf.DUMMYFUNCTION("""COMPUTED_VALUE"""),"All amenities")</f>
        <v>All amenities</v>
      </c>
      <c r="K2913" s="2">
        <f>IFERROR(__xludf.DUMMYFUNCTION("""COMPUTED_VALUE"""),600.0)</f>
        <v>600</v>
      </c>
      <c r="L2913" s="2" t="str">
        <f>IFERROR(__xludf.DUMMYFUNCTION("""COMPUTED_VALUE"""),"NaN")</f>
        <v>NaN</v>
      </c>
      <c r="M2913" s="2" t="str">
        <f>IFERROR(__xludf.DUMMYFUNCTION("""COMPUTED_VALUE"""),"NaN")</f>
        <v>NaN</v>
      </c>
    </row>
    <row r="2914">
      <c r="A2914" s="2" t="str">
        <f>IFERROR(__xludf.DUMMYFUNCTION("""COMPUTED_VALUE"""),"For sale")</f>
        <v>For sale</v>
      </c>
      <c r="B2914" s="2" t="str">
        <f>IFERROR(__xludf.DUMMYFUNCTION("""COMPUTED_VALUE"""),"Purvciems")</f>
        <v>Purvciems</v>
      </c>
      <c r="C2914" s="2" t="str">
        <f>IFERROR(__xludf.DUMMYFUNCTION("""COMPUTED_VALUE"""),"Deglava 56")</f>
        <v>Deglava 56</v>
      </c>
      <c r="D2914" s="2">
        <f>IFERROR(__xludf.DUMMYFUNCTION("""COMPUTED_VALUE"""),2.0)</f>
        <v>2</v>
      </c>
      <c r="E2914" s="2">
        <f>IFERROR(__xludf.DUMMYFUNCTION("""COMPUTED_VALUE"""),53.0)</f>
        <v>53</v>
      </c>
      <c r="F2914" s="2">
        <f>IFERROR(__xludf.DUMMYFUNCTION("""COMPUTED_VALUE"""),1.0)</f>
        <v>1</v>
      </c>
      <c r="G2914" s="2">
        <f>IFERROR(__xludf.DUMMYFUNCTION("""COMPUTED_VALUE"""),2.0)</f>
        <v>2</v>
      </c>
      <c r="H2914" s="2" t="str">
        <f>IFERROR(__xludf.DUMMYFUNCTION("""COMPUTED_VALUE"""),"P. kara")</f>
        <v>P. kara</v>
      </c>
      <c r="I2914" s="2" t="str">
        <f>IFERROR(__xludf.DUMMYFUNCTION("""COMPUTED_VALUE"""),"Masonry")</f>
        <v>Masonry</v>
      </c>
      <c r="J2914" s="2" t="str">
        <f>IFERROR(__xludf.DUMMYFUNCTION("""COMPUTED_VALUE"""),"All amenities")</f>
        <v>All amenities</v>
      </c>
      <c r="K2914" s="2">
        <f>IFERROR(__xludf.DUMMYFUNCTION("""COMPUTED_VALUE"""),47500.0)</f>
        <v>47500</v>
      </c>
      <c r="L2914" s="2">
        <f>IFERROR(__xludf.DUMMYFUNCTION("""COMPUTED_VALUE"""),56.950576)</f>
        <v>56.950576</v>
      </c>
      <c r="M2914" s="2">
        <f>IFERROR(__xludf.DUMMYFUNCTION("""COMPUTED_VALUE"""),24.1723616)</f>
        <v>24.1723616</v>
      </c>
    </row>
    <row r="2915">
      <c r="A2915" s="2" t="str">
        <f>IFERROR(__xludf.DUMMYFUNCTION("""COMPUTED_VALUE"""),"For sale")</f>
        <v>For sale</v>
      </c>
      <c r="B2915" s="2" t="str">
        <f>IFERROR(__xludf.DUMMYFUNCTION("""COMPUTED_VALUE"""),"Mežciems")</f>
        <v>Mežciems</v>
      </c>
      <c r="C2915" s="2" t="str">
        <f>IFERROR(__xludf.DUMMYFUNCTION("""COMPUTED_VALUE"""),"Kaivas 50k-1")</f>
        <v>Kaivas 50k-1</v>
      </c>
      <c r="D2915" s="2">
        <f>IFERROR(__xludf.DUMMYFUNCTION("""COMPUTED_VALUE"""),2.0)</f>
        <v>2</v>
      </c>
      <c r="E2915" s="2">
        <f>IFERROR(__xludf.DUMMYFUNCTION("""COMPUTED_VALUE"""),51.0)</f>
        <v>51</v>
      </c>
      <c r="F2915" s="2">
        <f>IFERROR(__xludf.DUMMYFUNCTION("""COMPUTED_VALUE"""),1.0)</f>
        <v>1</v>
      </c>
      <c r="G2915" s="2">
        <f>IFERROR(__xludf.DUMMYFUNCTION("""COMPUTED_VALUE"""),5.0)</f>
        <v>5</v>
      </c>
      <c r="H2915" s="2" t="str">
        <f>IFERROR(__xludf.DUMMYFUNCTION("""COMPUTED_VALUE"""),"Jaun.")</f>
        <v>Jaun.</v>
      </c>
      <c r="I2915" s="2" t="str">
        <f>IFERROR(__xludf.DUMMYFUNCTION("""COMPUTED_VALUE"""),"Brick-Panel")</f>
        <v>Brick-Panel</v>
      </c>
      <c r="J2915" s="2" t="str">
        <f>IFERROR(__xludf.DUMMYFUNCTION("""COMPUTED_VALUE"""),"All amenities")</f>
        <v>All amenities</v>
      </c>
      <c r="K2915" s="2">
        <f>IFERROR(__xludf.DUMMYFUNCTION("""COMPUTED_VALUE"""),64170.0)</f>
        <v>64170</v>
      </c>
      <c r="L2915" s="2">
        <f>IFERROR(__xludf.DUMMYFUNCTION("""COMPUTED_VALUE"""),56.9541725)</f>
        <v>56.9541725</v>
      </c>
      <c r="M2915" s="2">
        <f>IFERROR(__xludf.DUMMYFUNCTION("""COMPUTED_VALUE"""),24.2443253)</f>
        <v>24.2443253</v>
      </c>
    </row>
    <row r="2916">
      <c r="A2916" s="2" t="str">
        <f>IFERROR(__xludf.DUMMYFUNCTION("""COMPUTED_VALUE"""),"For sale")</f>
        <v>For sale</v>
      </c>
      <c r="B2916" s="2" t="str">
        <f>IFERROR(__xludf.DUMMYFUNCTION("""COMPUTED_VALUE"""),"centrs")</f>
        <v>centrs</v>
      </c>
      <c r="C2916" s="2" t="str">
        <f>IFERROR(__xludf.DUMMYFUNCTION("""COMPUTED_VALUE"""),"Melngaiļa 2")</f>
        <v>Melngaiļa 2</v>
      </c>
      <c r="D2916" s="2">
        <f>IFERROR(__xludf.DUMMYFUNCTION("""COMPUTED_VALUE"""),6.0)</f>
        <v>6</v>
      </c>
      <c r="E2916" s="2">
        <f>IFERROR(__xludf.DUMMYFUNCTION("""COMPUTED_VALUE"""),224.0)</f>
        <v>224</v>
      </c>
      <c r="F2916" s="2">
        <f>IFERROR(__xludf.DUMMYFUNCTION("""COMPUTED_VALUE"""),6.0)</f>
        <v>6</v>
      </c>
      <c r="G2916" s="2">
        <f>IFERROR(__xludf.DUMMYFUNCTION("""COMPUTED_VALUE"""),7.0)</f>
        <v>7</v>
      </c>
      <c r="H2916" s="2" t="str">
        <f>IFERROR(__xludf.DUMMYFUNCTION("""COMPUTED_VALUE"""),"Jaun.")</f>
        <v>Jaun.</v>
      </c>
      <c r="I2916" s="2" t="str">
        <f>IFERROR(__xludf.DUMMYFUNCTION("""COMPUTED_VALUE"""),"Brick-Panel")</f>
        <v>Brick-Panel</v>
      </c>
      <c r="J2916" s="2" t="str">
        <f>IFERROR(__xludf.DUMMYFUNCTION("""COMPUTED_VALUE"""),"All amenities")</f>
        <v>All amenities</v>
      </c>
      <c r="K2916" s="2">
        <f>IFERROR(__xludf.DUMMYFUNCTION("""COMPUTED_VALUE"""),460000.0)</f>
        <v>460000</v>
      </c>
      <c r="L2916" s="2">
        <f>IFERROR(__xludf.DUMMYFUNCTION("""COMPUTED_VALUE"""),56.9596689)</f>
        <v>56.9596689</v>
      </c>
      <c r="M2916" s="2">
        <f>IFERROR(__xludf.DUMMYFUNCTION("""COMPUTED_VALUE"""),24.1163722795669)</f>
        <v>24.11637228</v>
      </c>
    </row>
    <row r="2917">
      <c r="A2917" s="2" t="str">
        <f>IFERROR(__xludf.DUMMYFUNCTION("""COMPUTED_VALUE"""),"For sale")</f>
        <v>For sale</v>
      </c>
      <c r="B2917" s="2" t="str">
        <f>IFERROR(__xludf.DUMMYFUNCTION("""COMPUTED_VALUE"""),"Bolderāja")</f>
        <v>Bolderāja</v>
      </c>
      <c r="C2917" s="2" t="str">
        <f>IFERROR(__xludf.DUMMYFUNCTION("""COMPUTED_VALUE"""),"Platā 3")</f>
        <v>Platā 3</v>
      </c>
      <c r="D2917" s="2">
        <f>IFERROR(__xludf.DUMMYFUNCTION("""COMPUTED_VALUE"""),2.0)</f>
        <v>2</v>
      </c>
      <c r="E2917" s="2">
        <f>IFERROR(__xludf.DUMMYFUNCTION("""COMPUTED_VALUE"""),50.0)</f>
        <v>50</v>
      </c>
      <c r="F2917" s="2">
        <f>IFERROR(__xludf.DUMMYFUNCTION("""COMPUTED_VALUE"""),2.0)</f>
        <v>2</v>
      </c>
      <c r="G2917" s="2">
        <f>IFERROR(__xludf.DUMMYFUNCTION("""COMPUTED_VALUE"""),2.0)</f>
        <v>2</v>
      </c>
      <c r="H2917" s="2" t="str">
        <f>IFERROR(__xludf.DUMMYFUNCTION("""COMPUTED_VALUE"""),"Staļina")</f>
        <v>Staļina</v>
      </c>
      <c r="I2917" s="2" t="str">
        <f>IFERROR(__xludf.DUMMYFUNCTION("""COMPUTED_VALUE"""),"Brick")</f>
        <v>Brick</v>
      </c>
      <c r="J2917" s="2" t="str">
        <f>IFERROR(__xludf.DUMMYFUNCTION("""COMPUTED_VALUE"""),"All amenities")</f>
        <v>All amenities</v>
      </c>
      <c r="K2917" s="2">
        <f>IFERROR(__xludf.DUMMYFUNCTION("""COMPUTED_VALUE"""),49900.0)</f>
        <v>49900</v>
      </c>
      <c r="L2917" s="2">
        <f>IFERROR(__xludf.DUMMYFUNCTION("""COMPUTED_VALUE"""),46.770384)</f>
        <v>46.770384</v>
      </c>
      <c r="M2917" s="2">
        <f>IFERROR(__xludf.DUMMYFUNCTION("""COMPUTED_VALUE"""),11.6396833)</f>
        <v>11.6396833</v>
      </c>
    </row>
    <row r="2918">
      <c r="A2918" s="2" t="str">
        <f>IFERROR(__xludf.DUMMYFUNCTION("""COMPUTED_VALUE"""),"For sale")</f>
        <v>For sale</v>
      </c>
      <c r="B2918" s="2" t="str">
        <f>IFERROR(__xludf.DUMMYFUNCTION("""COMPUTED_VALUE"""),"Sarkandaugava")</f>
        <v>Sarkandaugava</v>
      </c>
      <c r="C2918" s="2" t="str">
        <f>IFERROR(__xludf.DUMMYFUNCTION("""COMPUTED_VALUE"""),"Hāpsalas 1/1")</f>
        <v>Hāpsalas 1/1</v>
      </c>
      <c r="D2918" s="2">
        <f>IFERROR(__xludf.DUMMYFUNCTION("""COMPUTED_VALUE"""),3.0)</f>
        <v>3</v>
      </c>
      <c r="E2918" s="2">
        <f>IFERROR(__xludf.DUMMYFUNCTION("""COMPUTED_VALUE"""),64.0)</f>
        <v>64</v>
      </c>
      <c r="F2918" s="2">
        <f>IFERROR(__xludf.DUMMYFUNCTION("""COMPUTED_VALUE"""),6.0)</f>
        <v>6</v>
      </c>
      <c r="G2918" s="2">
        <f>IFERROR(__xludf.DUMMYFUNCTION("""COMPUTED_VALUE"""),8.0)</f>
        <v>8</v>
      </c>
      <c r="H2918" s="2" t="str">
        <f>IFERROR(__xludf.DUMMYFUNCTION("""COMPUTED_VALUE"""),"Renov.")</f>
        <v>Renov.</v>
      </c>
      <c r="I2918" s="2" t="str">
        <f>IFERROR(__xludf.DUMMYFUNCTION("""COMPUTED_VALUE"""),"Brick-Panel")</f>
        <v>Brick-Panel</v>
      </c>
      <c r="J2918" s="2" t="str">
        <f>IFERROR(__xludf.DUMMYFUNCTION("""COMPUTED_VALUE"""),"All amenities")</f>
        <v>All amenities</v>
      </c>
      <c r="K2918" s="2">
        <f>IFERROR(__xludf.DUMMYFUNCTION("""COMPUTED_VALUE"""),77000.0)</f>
        <v>77000</v>
      </c>
      <c r="L2918" s="2">
        <f>IFERROR(__xludf.DUMMYFUNCTION("""COMPUTED_VALUE"""),57.0002634)</f>
        <v>57.0002634</v>
      </c>
      <c r="M2918" s="2">
        <f>IFERROR(__xludf.DUMMYFUNCTION("""COMPUTED_VALUE"""),24.121861)</f>
        <v>24.121861</v>
      </c>
    </row>
    <row r="2919">
      <c r="A2919" s="2" t="str">
        <f>IFERROR(__xludf.DUMMYFUNCTION("""COMPUTED_VALUE"""),"For sale")</f>
        <v>For sale</v>
      </c>
      <c r="B2919" s="2" t="str">
        <f>IFERROR(__xludf.DUMMYFUNCTION("""COMPUTED_VALUE"""),"centrs")</f>
        <v>centrs</v>
      </c>
      <c r="C2919" s="2" t="str">
        <f>IFERROR(__xludf.DUMMYFUNCTION("""COMPUTED_VALUE"""),"Maskavas 108")</f>
        <v>Maskavas 108</v>
      </c>
      <c r="D2919" s="2">
        <f>IFERROR(__xludf.DUMMYFUNCTION("""COMPUTED_VALUE"""),4.0)</f>
        <v>4</v>
      </c>
      <c r="E2919" s="2">
        <f>IFERROR(__xludf.DUMMYFUNCTION("""COMPUTED_VALUE"""),96.0)</f>
        <v>96</v>
      </c>
      <c r="F2919" s="2">
        <f>IFERROR(__xludf.DUMMYFUNCTION("""COMPUTED_VALUE"""),1.0)</f>
        <v>1</v>
      </c>
      <c r="G2919" s="2">
        <f>IFERROR(__xludf.DUMMYFUNCTION("""COMPUTED_VALUE"""),2.0)</f>
        <v>2</v>
      </c>
      <c r="H2919" s="2" t="str">
        <f>IFERROR(__xludf.DUMMYFUNCTION("""COMPUTED_VALUE"""),"Specpr.")</f>
        <v>Specpr.</v>
      </c>
      <c r="I2919" s="2" t="str">
        <f>IFERROR(__xludf.DUMMYFUNCTION("""COMPUTED_VALUE"""),"Wood")</f>
        <v>Wood</v>
      </c>
      <c r="J2919" s="2" t="str">
        <f>IFERROR(__xludf.DUMMYFUNCTION("""COMPUTED_VALUE"""),"All amenities")</f>
        <v>All amenities</v>
      </c>
      <c r="K2919" s="2">
        <f>IFERROR(__xludf.DUMMYFUNCTION("""COMPUTED_VALUE"""),28890.0)</f>
        <v>28890</v>
      </c>
      <c r="L2919" s="2">
        <f>IFERROR(__xludf.DUMMYFUNCTION("""COMPUTED_VALUE"""),56.8597884)</f>
        <v>56.8597884</v>
      </c>
      <c r="M2919" s="2">
        <f>IFERROR(__xludf.DUMMYFUNCTION("""COMPUTED_VALUE"""),24.3083417)</f>
        <v>24.3083417</v>
      </c>
    </row>
    <row r="2920">
      <c r="A2920" s="2" t="str">
        <f>IFERROR(__xludf.DUMMYFUNCTION("""COMPUTED_VALUE"""),"For sale")</f>
        <v>For sale</v>
      </c>
      <c r="B2920" s="2" t="str">
        <f>IFERROR(__xludf.DUMMYFUNCTION("""COMPUTED_VALUE"""),"Āgenskalns")</f>
        <v>Āgenskalns</v>
      </c>
      <c r="C2920" s="2" t="str">
        <f>IFERROR(__xludf.DUMMYFUNCTION("""COMPUTED_VALUE"""),"Ventspils 13")</f>
        <v>Ventspils 13</v>
      </c>
      <c r="D2920" s="2">
        <f>IFERROR(__xludf.DUMMYFUNCTION("""COMPUTED_VALUE"""),2.0)</f>
        <v>2</v>
      </c>
      <c r="E2920" s="2">
        <f>IFERROR(__xludf.DUMMYFUNCTION("""COMPUTED_VALUE"""),58.0)</f>
        <v>58</v>
      </c>
      <c r="F2920" s="2">
        <f>IFERROR(__xludf.DUMMYFUNCTION("""COMPUTED_VALUE"""),2.0)</f>
        <v>2</v>
      </c>
      <c r="G2920" s="2">
        <f>IFERROR(__xludf.DUMMYFUNCTION("""COMPUTED_VALUE"""),5.0)</f>
        <v>5</v>
      </c>
      <c r="H2920" s="2" t="str">
        <f>IFERROR(__xludf.DUMMYFUNCTION("""COMPUTED_VALUE"""),"P. kara")</f>
        <v>P. kara</v>
      </c>
      <c r="I2920" s="2" t="str">
        <f>IFERROR(__xludf.DUMMYFUNCTION("""COMPUTED_VALUE"""),"Masonry")</f>
        <v>Masonry</v>
      </c>
      <c r="J2920" s="2" t="str">
        <f>IFERROR(__xludf.DUMMYFUNCTION("""COMPUTED_VALUE"""),"All amenities")</f>
        <v>All amenities</v>
      </c>
      <c r="K2920" s="2">
        <f>IFERROR(__xludf.DUMMYFUNCTION("""COMPUTED_VALUE"""),75000.0)</f>
        <v>75000</v>
      </c>
      <c r="L2920" s="2">
        <f>IFERROR(__xludf.DUMMYFUNCTION("""COMPUTED_VALUE"""),56.9492021)</f>
        <v>56.9492021</v>
      </c>
      <c r="M2920" s="2">
        <f>IFERROR(__xludf.DUMMYFUNCTION("""COMPUTED_VALUE"""),23.9587415)</f>
        <v>23.9587415</v>
      </c>
    </row>
    <row r="2921">
      <c r="A2921" s="2" t="str">
        <f>IFERROR(__xludf.DUMMYFUNCTION("""COMPUTED_VALUE"""),"For rent")</f>
        <v>For rent</v>
      </c>
      <c r="B2921" s="2" t="str">
        <f>IFERROR(__xludf.DUMMYFUNCTION("""COMPUTED_VALUE"""),"centrs")</f>
        <v>centrs</v>
      </c>
      <c r="C2921" s="2" t="str">
        <f>IFERROR(__xludf.DUMMYFUNCTION("""COMPUTED_VALUE"""),"Vārnu 4")</f>
        <v>Vārnu 4</v>
      </c>
      <c r="D2921" s="2">
        <f>IFERROR(__xludf.DUMMYFUNCTION("""COMPUTED_VALUE"""),1.0)</f>
        <v>1</v>
      </c>
      <c r="E2921" s="2">
        <f>IFERROR(__xludf.DUMMYFUNCTION("""COMPUTED_VALUE"""),22.0)</f>
        <v>22</v>
      </c>
      <c r="F2921" s="2">
        <f>IFERROR(__xludf.DUMMYFUNCTION("""COMPUTED_VALUE"""),2.0)</f>
        <v>2</v>
      </c>
      <c r="G2921" s="2">
        <f>IFERROR(__xludf.DUMMYFUNCTION("""COMPUTED_VALUE"""),2.0)</f>
        <v>2</v>
      </c>
      <c r="H2921" s="2" t="str">
        <f>IFERROR(__xludf.DUMMYFUNCTION("""COMPUTED_VALUE"""),"P. kara")</f>
        <v>P. kara</v>
      </c>
      <c r="I2921" s="2" t="str">
        <f>IFERROR(__xludf.DUMMYFUNCTION("""COMPUTED_VALUE"""),"Wood")</f>
        <v>Wood</v>
      </c>
      <c r="J2921" s="2" t="str">
        <f>IFERROR(__xludf.DUMMYFUNCTION("""COMPUTED_VALUE"""),"All amenities")</f>
        <v>All amenities</v>
      </c>
      <c r="K2921" s="2">
        <f>IFERROR(__xludf.DUMMYFUNCTION("""COMPUTED_VALUE"""),25.0)</f>
        <v>25</v>
      </c>
      <c r="L2921" s="2">
        <f>IFERROR(__xludf.DUMMYFUNCTION("""COMPUTED_VALUE"""),56.95777395)</f>
        <v>56.95777395</v>
      </c>
      <c r="M2921" s="2">
        <f>IFERROR(__xludf.DUMMYFUNCTION("""COMPUTED_VALUE"""),24.1481044414316)</f>
        <v>24.14810444</v>
      </c>
    </row>
    <row r="2922">
      <c r="A2922" s="2" t="str">
        <f>IFERROR(__xludf.DUMMYFUNCTION("""COMPUTED_VALUE"""),"For rent")</f>
        <v>For rent</v>
      </c>
      <c r="B2922" s="2" t="str">
        <f>IFERROR(__xludf.DUMMYFUNCTION("""COMPUTED_VALUE"""),"centrs")</f>
        <v>centrs</v>
      </c>
      <c r="C2922" s="2" t="str">
        <f>IFERROR(__xludf.DUMMYFUNCTION("""COMPUTED_VALUE"""),"Bruņinieku 42a")</f>
        <v>Bruņinieku 42a</v>
      </c>
      <c r="D2922" s="2">
        <f>IFERROR(__xludf.DUMMYFUNCTION("""COMPUTED_VALUE"""),2.0)</f>
        <v>2</v>
      </c>
      <c r="E2922" s="2">
        <f>IFERROR(__xludf.DUMMYFUNCTION("""COMPUTED_VALUE"""),42.0)</f>
        <v>42</v>
      </c>
      <c r="F2922" s="2">
        <f>IFERROR(__xludf.DUMMYFUNCTION("""COMPUTED_VALUE"""),4.0)</f>
        <v>4</v>
      </c>
      <c r="G2922" s="2">
        <f>IFERROR(__xludf.DUMMYFUNCTION("""COMPUTED_VALUE"""),6.0)</f>
        <v>6</v>
      </c>
      <c r="H2922" s="2" t="str">
        <f>IFERROR(__xludf.DUMMYFUNCTION("""COMPUTED_VALUE"""),"P. kara")</f>
        <v>P. kara</v>
      </c>
      <c r="I2922" s="2" t="str">
        <f>IFERROR(__xludf.DUMMYFUNCTION("""COMPUTED_VALUE"""),"Brick")</f>
        <v>Brick</v>
      </c>
      <c r="J2922" s="2" t="str">
        <f>IFERROR(__xludf.DUMMYFUNCTION("""COMPUTED_VALUE"""),"All amenities")</f>
        <v>All amenities</v>
      </c>
      <c r="K2922" s="2">
        <f>IFERROR(__xludf.DUMMYFUNCTION("""COMPUTED_VALUE"""),460.0)</f>
        <v>460</v>
      </c>
      <c r="L2922" s="2">
        <f>IFERROR(__xludf.DUMMYFUNCTION("""COMPUTED_VALUE"""),56.9541845)</f>
        <v>56.9541845</v>
      </c>
      <c r="M2922" s="2">
        <f>IFERROR(__xludf.DUMMYFUNCTION("""COMPUTED_VALUE"""),24.1348134)</f>
        <v>24.1348134</v>
      </c>
    </row>
    <row r="2923">
      <c r="A2923" s="2" t="str">
        <f>IFERROR(__xludf.DUMMYFUNCTION("""COMPUTED_VALUE"""),"For sale")</f>
        <v>For sale</v>
      </c>
      <c r="B2923" s="2" t="str">
        <f>IFERROR(__xludf.DUMMYFUNCTION("""COMPUTED_VALUE"""),"centrs")</f>
        <v>centrs</v>
      </c>
      <c r="C2923" s="2" t="str">
        <f>IFERROR(__xludf.DUMMYFUNCTION("""COMPUTED_VALUE"""),"Stabu 100")</f>
        <v>Stabu 100</v>
      </c>
      <c r="D2923" s="2">
        <f>IFERROR(__xludf.DUMMYFUNCTION("""COMPUTED_VALUE"""),2.0)</f>
        <v>2</v>
      </c>
      <c r="E2923" s="2">
        <f>IFERROR(__xludf.DUMMYFUNCTION("""COMPUTED_VALUE"""),40.83)</f>
        <v>40.83</v>
      </c>
      <c r="F2923" s="2">
        <f>IFERROR(__xludf.DUMMYFUNCTION("""COMPUTED_VALUE"""),2.0)</f>
        <v>2</v>
      </c>
      <c r="G2923" s="2">
        <f>IFERROR(__xludf.DUMMYFUNCTION("""COMPUTED_VALUE"""),7.0)</f>
        <v>7</v>
      </c>
      <c r="H2923" s="2" t="str">
        <f>IFERROR(__xludf.DUMMYFUNCTION("""COMPUTED_VALUE"""),"Jaun.")</f>
        <v>Jaun.</v>
      </c>
      <c r="I2923" s="2" t="str">
        <f>IFERROR(__xludf.DUMMYFUNCTION("""COMPUTED_VALUE"""),"Panel")</f>
        <v>Panel</v>
      </c>
      <c r="J2923" s="2" t="str">
        <f>IFERROR(__xludf.DUMMYFUNCTION("""COMPUTED_VALUE"""),"All amenities")</f>
        <v>All amenities</v>
      </c>
      <c r="K2923" s="2">
        <f>IFERROR(__xludf.DUMMYFUNCTION("""COMPUTED_VALUE"""),95950.0)</f>
        <v>95950</v>
      </c>
      <c r="L2923" s="2">
        <f>IFERROR(__xludf.DUMMYFUNCTION("""COMPUTED_VALUE"""),56.9484721)</f>
        <v>56.9484721</v>
      </c>
      <c r="M2923" s="2">
        <f>IFERROR(__xludf.DUMMYFUNCTION("""COMPUTED_VALUE"""),24.1446057)</f>
        <v>24.1446057</v>
      </c>
    </row>
    <row r="2924">
      <c r="A2924" s="2" t="str">
        <f>IFERROR(__xludf.DUMMYFUNCTION("""COMPUTED_VALUE"""),"For rent")</f>
        <v>For rent</v>
      </c>
      <c r="B2924" s="2" t="str">
        <f>IFERROR(__xludf.DUMMYFUNCTION("""COMPUTED_VALUE"""),"centrs")</f>
        <v>centrs</v>
      </c>
      <c r="C2924" s="2" t="str">
        <f>IFERROR(__xludf.DUMMYFUNCTION("""COMPUTED_VALUE"""),"Miera 95")</f>
        <v>Miera 95</v>
      </c>
      <c r="D2924" s="2">
        <f>IFERROR(__xludf.DUMMYFUNCTION("""COMPUTED_VALUE"""),1.0)</f>
        <v>1</v>
      </c>
      <c r="E2924" s="2">
        <f>IFERROR(__xludf.DUMMYFUNCTION("""COMPUTED_VALUE"""),32.0)</f>
        <v>32</v>
      </c>
      <c r="F2924" s="2">
        <f>IFERROR(__xludf.DUMMYFUNCTION("""COMPUTED_VALUE"""),4.0)</f>
        <v>4</v>
      </c>
      <c r="G2924" s="2">
        <f>IFERROR(__xludf.DUMMYFUNCTION("""COMPUTED_VALUE"""),6.0)</f>
        <v>6</v>
      </c>
      <c r="H2924" s="2" t="str">
        <f>IFERROR(__xludf.DUMMYFUNCTION("""COMPUTED_VALUE"""),"P. kara")</f>
        <v>P. kara</v>
      </c>
      <c r="I2924" s="2" t="str">
        <f>IFERROR(__xludf.DUMMYFUNCTION("""COMPUTED_VALUE"""),"Masonry")</f>
        <v>Masonry</v>
      </c>
      <c r="J2924" s="2" t="str">
        <f>IFERROR(__xludf.DUMMYFUNCTION("""COMPUTED_VALUE"""),"All amenities")</f>
        <v>All amenities</v>
      </c>
      <c r="K2924" s="2">
        <f>IFERROR(__xludf.DUMMYFUNCTION("""COMPUTED_VALUE"""),365.0)</f>
        <v>365</v>
      </c>
      <c r="L2924" s="2">
        <f>IFERROR(__xludf.DUMMYFUNCTION("""COMPUTED_VALUE"""),56.9665763)</f>
        <v>56.9665763</v>
      </c>
      <c r="M2924" s="2">
        <f>IFERROR(__xludf.DUMMYFUNCTION("""COMPUTED_VALUE"""),24.1337504)</f>
        <v>24.1337504</v>
      </c>
    </row>
    <row r="2925">
      <c r="A2925" s="2" t="str">
        <f>IFERROR(__xludf.DUMMYFUNCTION("""COMPUTED_VALUE"""),"For rent")</f>
        <v>For rent</v>
      </c>
      <c r="B2925" s="2" t="str">
        <f>IFERROR(__xludf.DUMMYFUNCTION("""COMPUTED_VALUE"""),"centrs")</f>
        <v>centrs</v>
      </c>
      <c r="C2925" s="2" t="str">
        <f>IFERROR(__xludf.DUMMYFUNCTION("""COMPUTED_VALUE"""),"Čaka 67/69")</f>
        <v>Čaka 67/69</v>
      </c>
      <c r="D2925" s="2">
        <f>IFERROR(__xludf.DUMMYFUNCTION("""COMPUTED_VALUE"""),3.0)</f>
        <v>3</v>
      </c>
      <c r="E2925" s="2">
        <f>IFERROR(__xludf.DUMMYFUNCTION("""COMPUTED_VALUE"""),96.0)</f>
        <v>96</v>
      </c>
      <c r="F2925" s="2">
        <f>IFERROR(__xludf.DUMMYFUNCTION("""COMPUTED_VALUE"""),2.0)</f>
        <v>2</v>
      </c>
      <c r="G2925" s="2">
        <f>IFERROR(__xludf.DUMMYFUNCTION("""COMPUTED_VALUE"""),5.0)</f>
        <v>5</v>
      </c>
      <c r="H2925" s="2" t="str">
        <f>IFERROR(__xludf.DUMMYFUNCTION("""COMPUTED_VALUE"""),"Renov.")</f>
        <v>Renov.</v>
      </c>
      <c r="I2925" s="2" t="str">
        <f>IFERROR(__xludf.DUMMYFUNCTION("""COMPUTED_VALUE"""),"Brick-Panel")</f>
        <v>Brick-Panel</v>
      </c>
      <c r="J2925" s="2" t="str">
        <f>IFERROR(__xludf.DUMMYFUNCTION("""COMPUTED_VALUE"""),"All amenities")</f>
        <v>All amenities</v>
      </c>
      <c r="K2925" s="2">
        <f>IFERROR(__xludf.DUMMYFUNCTION("""COMPUTED_VALUE"""),400.0)</f>
        <v>400</v>
      </c>
      <c r="L2925" s="2">
        <f>IFERROR(__xludf.DUMMYFUNCTION("""COMPUTED_VALUE"""),56.9559351)</f>
        <v>56.9559351</v>
      </c>
      <c r="M2925" s="2">
        <f>IFERROR(__xludf.DUMMYFUNCTION("""COMPUTED_VALUE"""),24.1353956)</f>
        <v>24.1353956</v>
      </c>
    </row>
    <row r="2926">
      <c r="A2926" s="2" t="str">
        <f>IFERROR(__xludf.DUMMYFUNCTION("""COMPUTED_VALUE"""),"For sale")</f>
        <v>For sale</v>
      </c>
      <c r="B2926" s="2" t="str">
        <f>IFERROR(__xludf.DUMMYFUNCTION("""COMPUTED_VALUE"""),"Ķengarags")</f>
        <v>Ķengarags</v>
      </c>
      <c r="C2926" s="2" t="str">
        <f>IFERROR(__xludf.DUMMYFUNCTION("""COMPUTED_VALUE"""),"Prūšu 17/3")</f>
        <v>Prūšu 17/3</v>
      </c>
      <c r="D2926" s="2">
        <f>IFERROR(__xludf.DUMMYFUNCTION("""COMPUTED_VALUE"""),2.0)</f>
        <v>2</v>
      </c>
      <c r="E2926" s="2">
        <f>IFERROR(__xludf.DUMMYFUNCTION("""COMPUTED_VALUE"""),46.0)</f>
        <v>46</v>
      </c>
      <c r="F2926" s="2">
        <f>IFERROR(__xludf.DUMMYFUNCTION("""COMPUTED_VALUE"""),2.0)</f>
        <v>2</v>
      </c>
      <c r="G2926" s="2">
        <f>IFERROR(__xludf.DUMMYFUNCTION("""COMPUTED_VALUE"""),4.0)</f>
        <v>4</v>
      </c>
      <c r="H2926" s="2" t="str">
        <f>IFERROR(__xludf.DUMMYFUNCTION("""COMPUTED_VALUE"""),"Hrušč.")</f>
        <v>Hrušč.</v>
      </c>
      <c r="I2926" s="2" t="str">
        <f>IFERROR(__xludf.DUMMYFUNCTION("""COMPUTED_VALUE"""),"Panel")</f>
        <v>Panel</v>
      </c>
      <c r="J2926" s="2" t="str">
        <f>IFERROR(__xludf.DUMMYFUNCTION("""COMPUTED_VALUE"""),"All amenities")</f>
        <v>All amenities</v>
      </c>
      <c r="K2926" s="2">
        <f>IFERROR(__xludf.DUMMYFUNCTION("""COMPUTED_VALUE"""),33000.0)</f>
        <v>33000</v>
      </c>
      <c r="L2926" s="2">
        <f>IFERROR(__xludf.DUMMYFUNCTION("""COMPUTED_VALUE"""),56.9150027)</f>
        <v>56.9150027</v>
      </c>
      <c r="M2926" s="2">
        <f>IFERROR(__xludf.DUMMYFUNCTION("""COMPUTED_VALUE"""),24.1755593)</f>
        <v>24.1755593</v>
      </c>
    </row>
    <row r="2927">
      <c r="A2927" s="2" t="str">
        <f>IFERROR(__xludf.DUMMYFUNCTION("""COMPUTED_VALUE"""),"For rent")</f>
        <v>For rent</v>
      </c>
      <c r="B2927" s="2" t="str">
        <f>IFERROR(__xludf.DUMMYFUNCTION("""COMPUTED_VALUE"""),"centrs")</f>
        <v>centrs</v>
      </c>
      <c r="C2927" s="2" t="str">
        <f>IFERROR(__xludf.DUMMYFUNCTION("""COMPUTED_VALUE"""),"Hospitāļu 5a")</f>
        <v>Hospitāļu 5a</v>
      </c>
      <c r="D2927" s="2">
        <f>IFERROR(__xludf.DUMMYFUNCTION("""COMPUTED_VALUE"""),1.0)</f>
        <v>1</v>
      </c>
      <c r="E2927" s="2">
        <f>IFERROR(__xludf.DUMMYFUNCTION("""COMPUTED_VALUE"""),30.0)</f>
        <v>30</v>
      </c>
      <c r="F2927" s="2">
        <f>IFERROR(__xludf.DUMMYFUNCTION("""COMPUTED_VALUE"""),3.0)</f>
        <v>3</v>
      </c>
      <c r="G2927" s="2">
        <f>IFERROR(__xludf.DUMMYFUNCTION("""COMPUTED_VALUE"""),3.0)</f>
        <v>3</v>
      </c>
      <c r="H2927" s="2" t="str">
        <f>IFERROR(__xludf.DUMMYFUNCTION("""COMPUTED_VALUE"""),"Specpr.")</f>
        <v>Specpr.</v>
      </c>
      <c r="I2927" s="2" t="str">
        <f>IFERROR(__xludf.DUMMYFUNCTION("""COMPUTED_VALUE"""),"Brick")</f>
        <v>Brick</v>
      </c>
      <c r="J2927" s="2" t="str">
        <f>IFERROR(__xludf.DUMMYFUNCTION("""COMPUTED_VALUE"""),"All amenities")</f>
        <v>All amenities</v>
      </c>
      <c r="K2927" s="2">
        <f>IFERROR(__xludf.DUMMYFUNCTION("""COMPUTED_VALUE"""),380.0)</f>
        <v>380</v>
      </c>
      <c r="L2927" s="2">
        <f>IFERROR(__xludf.DUMMYFUNCTION("""COMPUTED_VALUE"""),56.9764382)</f>
        <v>56.9764382</v>
      </c>
      <c r="M2927" s="2">
        <f>IFERROR(__xludf.DUMMYFUNCTION("""COMPUTED_VALUE"""),24.1391902)</f>
        <v>24.1391902</v>
      </c>
    </row>
    <row r="2928">
      <c r="A2928" s="2" t="str">
        <f>IFERROR(__xludf.DUMMYFUNCTION("""COMPUTED_VALUE"""),"For rent")</f>
        <v>For rent</v>
      </c>
      <c r="B2928" s="2" t="str">
        <f>IFERROR(__xludf.DUMMYFUNCTION("""COMPUTED_VALUE"""),"Ziepniekkalns")</f>
        <v>Ziepniekkalns</v>
      </c>
      <c r="C2928" s="2" t="str">
        <f>IFERROR(__xludf.DUMMYFUNCTION("""COMPUTED_VALUE"""),"Valdeķu 67")</f>
        <v>Valdeķu 67</v>
      </c>
      <c r="D2928" s="2">
        <f>IFERROR(__xludf.DUMMYFUNCTION("""COMPUTED_VALUE"""),3.0)</f>
        <v>3</v>
      </c>
      <c r="E2928" s="2">
        <f>IFERROR(__xludf.DUMMYFUNCTION("""COMPUTED_VALUE"""),75.0)</f>
        <v>75</v>
      </c>
      <c r="F2928" s="2">
        <f>IFERROR(__xludf.DUMMYFUNCTION("""COMPUTED_VALUE"""),6.0)</f>
        <v>6</v>
      </c>
      <c r="G2928" s="2">
        <f>IFERROR(__xludf.DUMMYFUNCTION("""COMPUTED_VALUE"""),9.0)</f>
        <v>9</v>
      </c>
      <c r="H2928" s="2">
        <f>IFERROR(__xludf.DUMMYFUNCTION("""COMPUTED_VALUE"""),119.0)</f>
        <v>119</v>
      </c>
      <c r="I2928" s="2" t="str">
        <f>IFERROR(__xludf.DUMMYFUNCTION("""COMPUTED_VALUE"""),"Panel")</f>
        <v>Panel</v>
      </c>
      <c r="J2928" s="2" t="str">
        <f>IFERROR(__xludf.DUMMYFUNCTION("""COMPUTED_VALUE"""),"All amenities")</f>
        <v>All amenities</v>
      </c>
      <c r="K2928" s="2">
        <f>IFERROR(__xludf.DUMMYFUNCTION("""COMPUTED_VALUE"""),400.0)</f>
        <v>400</v>
      </c>
      <c r="L2928" s="2">
        <f>IFERROR(__xludf.DUMMYFUNCTION("""COMPUTED_VALUE"""),56.89894185)</f>
        <v>56.89894185</v>
      </c>
      <c r="M2928" s="2">
        <f>IFERROR(__xludf.DUMMYFUNCTION("""COMPUTED_VALUE"""),24.0913864994306)</f>
        <v>24.0913865</v>
      </c>
    </row>
    <row r="2929">
      <c r="A2929" s="2" t="str">
        <f>IFERROR(__xludf.DUMMYFUNCTION("""COMPUTED_VALUE"""),"For sale")</f>
        <v>For sale</v>
      </c>
      <c r="B2929" s="2" t="str">
        <f>IFERROR(__xludf.DUMMYFUNCTION("""COMPUTED_VALUE"""),"centrs")</f>
        <v>centrs</v>
      </c>
      <c r="C2929" s="2" t="str">
        <f>IFERROR(__xludf.DUMMYFUNCTION("""COMPUTED_VALUE"""),"Čaka 36")</f>
        <v>Čaka 36</v>
      </c>
      <c r="D2929" s="2">
        <f>IFERROR(__xludf.DUMMYFUNCTION("""COMPUTED_VALUE"""),2.0)</f>
        <v>2</v>
      </c>
      <c r="E2929" s="2">
        <f>IFERROR(__xludf.DUMMYFUNCTION("""COMPUTED_VALUE"""),64.5)</f>
        <v>64.5</v>
      </c>
      <c r="F2929" s="2">
        <f>IFERROR(__xludf.DUMMYFUNCTION("""COMPUTED_VALUE"""),2.0)</f>
        <v>2</v>
      </c>
      <c r="G2929" s="2">
        <f>IFERROR(__xludf.DUMMYFUNCTION("""COMPUTED_VALUE"""),5.0)</f>
        <v>5</v>
      </c>
      <c r="H2929" s="2" t="str">
        <f>IFERROR(__xludf.DUMMYFUNCTION("""COMPUTED_VALUE"""),"P. kara")</f>
        <v>P. kara</v>
      </c>
      <c r="I2929" s="2" t="str">
        <f>IFERROR(__xludf.DUMMYFUNCTION("""COMPUTED_VALUE"""),"Masonry")</f>
        <v>Masonry</v>
      </c>
      <c r="J2929" s="2" t="str">
        <f>IFERROR(__xludf.DUMMYFUNCTION("""COMPUTED_VALUE"""),"All amenities")</f>
        <v>All amenities</v>
      </c>
      <c r="K2929" s="2">
        <f>IFERROR(__xludf.DUMMYFUNCTION("""COMPUTED_VALUE"""),124163.0)</f>
        <v>124163</v>
      </c>
      <c r="L2929" s="2">
        <f>IFERROR(__xludf.DUMMYFUNCTION("""COMPUTED_VALUE"""),56.952698)</f>
        <v>56.952698</v>
      </c>
      <c r="M2929" s="2">
        <f>IFERROR(__xludf.DUMMYFUNCTION("""COMPUTED_VALUE"""),24.1299733)</f>
        <v>24.1299733</v>
      </c>
    </row>
    <row r="2930">
      <c r="A2930" s="2" t="str">
        <f>IFERROR(__xludf.DUMMYFUNCTION("""COMPUTED_VALUE"""),"For sale")</f>
        <v>For sale</v>
      </c>
      <c r="B2930" s="2" t="str">
        <f>IFERROR(__xludf.DUMMYFUNCTION("""COMPUTED_VALUE"""),"Purvciems")</f>
        <v>Purvciems</v>
      </c>
      <c r="C2930" s="2" t="str">
        <f>IFERROR(__xludf.DUMMYFUNCTION("""COMPUTED_VALUE"""),"Pūces 47")</f>
        <v>Pūces 47</v>
      </c>
      <c r="D2930" s="2">
        <f>IFERROR(__xludf.DUMMYFUNCTION("""COMPUTED_VALUE"""),2.0)</f>
        <v>2</v>
      </c>
      <c r="E2930" s="2">
        <f>IFERROR(__xludf.DUMMYFUNCTION("""COMPUTED_VALUE"""),80.0)</f>
        <v>80</v>
      </c>
      <c r="F2930" s="2">
        <f>IFERROR(__xludf.DUMMYFUNCTION("""COMPUTED_VALUE"""),5.0)</f>
        <v>5</v>
      </c>
      <c r="G2930" s="2">
        <f>IFERROR(__xludf.DUMMYFUNCTION("""COMPUTED_VALUE"""),7.0)</f>
        <v>7</v>
      </c>
      <c r="H2930" s="2" t="str">
        <f>IFERROR(__xludf.DUMMYFUNCTION("""COMPUTED_VALUE"""),"Jaun.")</f>
        <v>Jaun.</v>
      </c>
      <c r="I2930" s="2" t="str">
        <f>IFERROR(__xludf.DUMMYFUNCTION("""COMPUTED_VALUE"""),"Masonry")</f>
        <v>Masonry</v>
      </c>
      <c r="J2930" s="2" t="str">
        <f>IFERROR(__xludf.DUMMYFUNCTION("""COMPUTED_VALUE"""),"All amenities")</f>
        <v>All amenities</v>
      </c>
      <c r="K2930" s="2">
        <f>IFERROR(__xludf.DUMMYFUNCTION("""COMPUTED_VALUE"""),128500.0)</f>
        <v>128500</v>
      </c>
      <c r="L2930" s="2">
        <f>IFERROR(__xludf.DUMMYFUNCTION("""COMPUTED_VALUE"""),56.9533905499999)</f>
        <v>56.95339055</v>
      </c>
      <c r="M2930" s="2">
        <f>IFERROR(__xludf.DUMMYFUNCTION("""COMPUTED_VALUE"""),24.191105315029)</f>
        <v>24.19110532</v>
      </c>
    </row>
    <row r="2931">
      <c r="A2931" s="2" t="str">
        <f>IFERROR(__xludf.DUMMYFUNCTION("""COMPUTED_VALUE"""),"For sale")</f>
        <v>For sale</v>
      </c>
      <c r="B2931" s="2" t="str">
        <f>IFERROR(__xludf.DUMMYFUNCTION("""COMPUTED_VALUE"""),"Ziepniekkalns")</f>
        <v>Ziepniekkalns</v>
      </c>
      <c r="C2931" s="2" t="str">
        <f>IFERROR(__xludf.DUMMYFUNCTION("""COMPUTED_VALUE"""),"Valdeķu 67")</f>
        <v>Valdeķu 67</v>
      </c>
      <c r="D2931" s="2">
        <f>IFERROR(__xludf.DUMMYFUNCTION("""COMPUTED_VALUE"""),3.0)</f>
        <v>3</v>
      </c>
      <c r="E2931" s="2">
        <f>IFERROR(__xludf.DUMMYFUNCTION("""COMPUTED_VALUE"""),75.0)</f>
        <v>75</v>
      </c>
      <c r="F2931" s="2">
        <f>IFERROR(__xludf.DUMMYFUNCTION("""COMPUTED_VALUE"""),6.0)</f>
        <v>6</v>
      </c>
      <c r="G2931" s="2">
        <f>IFERROR(__xludf.DUMMYFUNCTION("""COMPUTED_VALUE"""),9.0)</f>
        <v>9</v>
      </c>
      <c r="H2931" s="2">
        <f>IFERROR(__xludf.DUMMYFUNCTION("""COMPUTED_VALUE"""),119.0)</f>
        <v>119</v>
      </c>
      <c r="I2931" s="2" t="str">
        <f>IFERROR(__xludf.DUMMYFUNCTION("""COMPUTED_VALUE"""),"Panel")</f>
        <v>Panel</v>
      </c>
      <c r="J2931" s="2" t="str">
        <f>IFERROR(__xludf.DUMMYFUNCTION("""COMPUTED_VALUE"""),"All amenities")</f>
        <v>All amenities</v>
      </c>
      <c r="K2931" s="2">
        <f>IFERROR(__xludf.DUMMYFUNCTION("""COMPUTED_VALUE"""),78900.0)</f>
        <v>78900</v>
      </c>
      <c r="L2931" s="2">
        <f>IFERROR(__xludf.DUMMYFUNCTION("""COMPUTED_VALUE"""),56.89894185)</f>
        <v>56.89894185</v>
      </c>
      <c r="M2931" s="2">
        <f>IFERROR(__xludf.DUMMYFUNCTION("""COMPUTED_VALUE"""),24.0913864994306)</f>
        <v>24.0913865</v>
      </c>
    </row>
    <row r="2932">
      <c r="A2932" s="2" t="str">
        <f>IFERROR(__xludf.DUMMYFUNCTION("""COMPUTED_VALUE"""),"For sale")</f>
        <v>For sale</v>
      </c>
      <c r="B2932" s="2" t="str">
        <f>IFERROR(__xludf.DUMMYFUNCTION("""COMPUTED_VALUE"""),"Purvciems")</f>
        <v>Purvciems</v>
      </c>
      <c r="C2932" s="2" t="str">
        <f>IFERROR(__xludf.DUMMYFUNCTION("""COMPUTED_VALUE"""),"Pūces 12")</f>
        <v>Pūces 12</v>
      </c>
      <c r="D2932" s="2">
        <f>IFERROR(__xludf.DUMMYFUNCTION("""COMPUTED_VALUE"""),2.0)</f>
        <v>2</v>
      </c>
      <c r="E2932" s="2">
        <f>IFERROR(__xludf.DUMMYFUNCTION("""COMPUTED_VALUE"""),47.0)</f>
        <v>47</v>
      </c>
      <c r="F2932" s="2">
        <f>IFERROR(__xludf.DUMMYFUNCTION("""COMPUTED_VALUE"""),1.0)</f>
        <v>1</v>
      </c>
      <c r="G2932" s="2">
        <f>IFERROR(__xludf.DUMMYFUNCTION("""COMPUTED_VALUE"""),2.0)</f>
        <v>2</v>
      </c>
      <c r="H2932" s="2" t="str">
        <f>IFERROR(__xludf.DUMMYFUNCTION("""COMPUTED_VALUE"""),"Staļina")</f>
        <v>Staļina</v>
      </c>
      <c r="I2932" s="2" t="str">
        <f>IFERROR(__xludf.DUMMYFUNCTION("""COMPUTED_VALUE"""),"Masonry")</f>
        <v>Masonry</v>
      </c>
      <c r="J2932" s="2" t="str">
        <f>IFERROR(__xludf.DUMMYFUNCTION("""COMPUTED_VALUE"""),"All amenities")</f>
        <v>All amenities</v>
      </c>
      <c r="K2932" s="2">
        <f>IFERROR(__xludf.DUMMYFUNCTION("""COMPUTED_VALUE"""),48000.0)</f>
        <v>48000</v>
      </c>
      <c r="L2932" s="2">
        <f>IFERROR(__xludf.DUMMYFUNCTION("""COMPUTED_VALUE"""),56.95578965)</f>
        <v>56.95578965</v>
      </c>
      <c r="M2932" s="2">
        <f>IFERROR(__xludf.DUMMYFUNCTION("""COMPUTED_VALUE"""),24.1841924)</f>
        <v>24.1841924</v>
      </c>
    </row>
    <row r="2933">
      <c r="A2933" s="2" t="str">
        <f>IFERROR(__xludf.DUMMYFUNCTION("""COMPUTED_VALUE"""),"For rent")</f>
        <v>For rent</v>
      </c>
      <c r="B2933" s="2" t="str">
        <f>IFERROR(__xludf.DUMMYFUNCTION("""COMPUTED_VALUE"""),"centrs")</f>
        <v>centrs</v>
      </c>
      <c r="C2933" s="2" t="str">
        <f>IFERROR(__xludf.DUMMYFUNCTION("""COMPUTED_VALUE"""),"Merķeļa 6")</f>
        <v>Merķeļa 6</v>
      </c>
      <c r="D2933" s="2">
        <f>IFERROR(__xludf.DUMMYFUNCTION("""COMPUTED_VALUE"""),2.0)</f>
        <v>2</v>
      </c>
      <c r="E2933" s="2">
        <f>IFERROR(__xludf.DUMMYFUNCTION("""COMPUTED_VALUE"""),43.0)</f>
        <v>43</v>
      </c>
      <c r="F2933" s="2">
        <f>IFERROR(__xludf.DUMMYFUNCTION("""COMPUTED_VALUE"""),3.0)</f>
        <v>3</v>
      </c>
      <c r="G2933" s="2">
        <f>IFERROR(__xludf.DUMMYFUNCTION("""COMPUTED_VALUE"""),5.0)</f>
        <v>5</v>
      </c>
      <c r="H2933" s="2" t="str">
        <f>IFERROR(__xludf.DUMMYFUNCTION("""COMPUTED_VALUE"""),"P. kara")</f>
        <v>P. kara</v>
      </c>
      <c r="I2933" s="2" t="str">
        <f>IFERROR(__xludf.DUMMYFUNCTION("""COMPUTED_VALUE"""),"Masonry")</f>
        <v>Masonry</v>
      </c>
      <c r="J2933" s="2" t="str">
        <f>IFERROR(__xludf.DUMMYFUNCTION("""COMPUTED_VALUE"""),"All amenities")</f>
        <v>All amenities</v>
      </c>
      <c r="K2933" s="2">
        <f>IFERROR(__xludf.DUMMYFUNCTION("""COMPUTED_VALUE"""),37.0)</f>
        <v>37</v>
      </c>
      <c r="L2933" s="2">
        <f>IFERROR(__xludf.DUMMYFUNCTION("""COMPUTED_VALUE"""),56.9490942)</f>
        <v>56.9490942</v>
      </c>
      <c r="M2933" s="2">
        <f>IFERROR(__xludf.DUMMYFUNCTION("""COMPUTED_VALUE"""),24.1194941)</f>
        <v>24.1194941</v>
      </c>
    </row>
    <row r="2934">
      <c r="A2934" s="2" t="str">
        <f>IFERROR(__xludf.DUMMYFUNCTION("""COMPUTED_VALUE"""),"For sale")</f>
        <v>For sale</v>
      </c>
      <c r="B2934" s="2" t="str">
        <f>IFERROR(__xludf.DUMMYFUNCTION("""COMPUTED_VALUE"""),"centrs")</f>
        <v>centrs</v>
      </c>
      <c r="C2934" s="2" t="str">
        <f>IFERROR(__xludf.DUMMYFUNCTION("""COMPUTED_VALUE"""),"Katrīnas d. 17")</f>
        <v>Katrīnas d. 17</v>
      </c>
      <c r="D2934" s="2">
        <f>IFERROR(__xludf.DUMMYFUNCTION("""COMPUTED_VALUE"""),3.0)</f>
        <v>3</v>
      </c>
      <c r="E2934" s="2">
        <f>IFERROR(__xludf.DUMMYFUNCTION("""COMPUTED_VALUE"""),78.0)</f>
        <v>78</v>
      </c>
      <c r="F2934" s="2">
        <f>IFERROR(__xludf.DUMMYFUNCTION("""COMPUTED_VALUE"""),1.0)</f>
        <v>1</v>
      </c>
      <c r="G2934" s="2">
        <f>IFERROR(__xludf.DUMMYFUNCTION("""COMPUTED_VALUE"""),6.0)</f>
        <v>6</v>
      </c>
      <c r="H2934" s="2" t="str">
        <f>IFERROR(__xludf.DUMMYFUNCTION("""COMPUTED_VALUE"""),"Specpr.")</f>
        <v>Specpr.</v>
      </c>
      <c r="I2934" s="2" t="str">
        <f>IFERROR(__xludf.DUMMYFUNCTION("""COMPUTED_VALUE"""),"Panel-Brick")</f>
        <v>Panel-Brick</v>
      </c>
      <c r="J2934" s="2" t="str">
        <f>IFERROR(__xludf.DUMMYFUNCTION("""COMPUTED_VALUE"""),"All amenities")</f>
        <v>All amenities</v>
      </c>
      <c r="K2934" s="2">
        <f>IFERROR(__xludf.DUMMYFUNCTION("""COMPUTED_VALUE"""),93500.0)</f>
        <v>93500</v>
      </c>
      <c r="L2934" s="2">
        <f>IFERROR(__xludf.DUMMYFUNCTION("""COMPUTED_VALUE"""),56.9716816)</f>
        <v>56.9716816</v>
      </c>
      <c r="M2934" s="2">
        <f>IFERROR(__xludf.DUMMYFUNCTION("""COMPUTED_VALUE"""),24.1021951)</f>
        <v>24.1021951</v>
      </c>
    </row>
    <row r="2935">
      <c r="A2935" s="2" t="str">
        <f>IFERROR(__xludf.DUMMYFUNCTION("""COMPUTED_VALUE"""),"For sale")</f>
        <v>For sale</v>
      </c>
      <c r="B2935" s="2" t="str">
        <f>IFERROR(__xludf.DUMMYFUNCTION("""COMPUTED_VALUE"""),"Purvciems")</f>
        <v>Purvciems</v>
      </c>
      <c r="C2935" s="2" t="str">
        <f>IFERROR(__xludf.DUMMYFUNCTION("""COMPUTED_VALUE"""),"Dzelzavas 68")</f>
        <v>Dzelzavas 68</v>
      </c>
      <c r="D2935" s="2">
        <f>IFERROR(__xludf.DUMMYFUNCTION("""COMPUTED_VALUE"""),3.0)</f>
        <v>3</v>
      </c>
      <c r="E2935" s="2">
        <f>IFERROR(__xludf.DUMMYFUNCTION("""COMPUTED_VALUE"""),80.0)</f>
        <v>80</v>
      </c>
      <c r="F2935" s="2">
        <f>IFERROR(__xludf.DUMMYFUNCTION("""COMPUTED_VALUE"""),14.0)</f>
        <v>14</v>
      </c>
      <c r="G2935" s="2">
        <f>IFERROR(__xludf.DUMMYFUNCTION("""COMPUTED_VALUE"""),16.0)</f>
        <v>16</v>
      </c>
      <c r="H2935" s="2" t="str">
        <f>IFERROR(__xludf.DUMMYFUNCTION("""COMPUTED_VALUE"""),"Specpr.")</f>
        <v>Specpr.</v>
      </c>
      <c r="I2935" s="2" t="str">
        <f>IFERROR(__xludf.DUMMYFUNCTION("""COMPUTED_VALUE"""),"Brick-Panel")</f>
        <v>Brick-Panel</v>
      </c>
      <c r="J2935" s="2" t="str">
        <f>IFERROR(__xludf.DUMMYFUNCTION("""COMPUTED_VALUE"""),"All amenities")</f>
        <v>All amenities</v>
      </c>
      <c r="K2935" s="2">
        <f>IFERROR(__xludf.DUMMYFUNCTION("""COMPUTED_VALUE"""),110000.0)</f>
        <v>110000</v>
      </c>
      <c r="L2935" s="2">
        <f>IFERROR(__xludf.DUMMYFUNCTION("""COMPUTED_VALUE"""),56.95650225)</f>
        <v>56.95650225</v>
      </c>
      <c r="M2935" s="2">
        <f>IFERROR(__xludf.DUMMYFUNCTION("""COMPUTED_VALUE"""),24.1867783069729)</f>
        <v>24.18677831</v>
      </c>
    </row>
    <row r="2936">
      <c r="A2936" s="2" t="str">
        <f>IFERROR(__xludf.DUMMYFUNCTION("""COMPUTED_VALUE"""),"For sale")</f>
        <v>For sale</v>
      </c>
      <c r="B2936" s="2" t="str">
        <f>IFERROR(__xludf.DUMMYFUNCTION("""COMPUTED_VALUE"""),"Jugla")</f>
        <v>Jugla</v>
      </c>
      <c r="C2936" s="2" t="str">
        <f>IFERROR(__xludf.DUMMYFUNCTION("""COMPUTED_VALUE"""),"Ciemupes 1")</f>
        <v>Ciemupes 1</v>
      </c>
      <c r="D2936" s="2">
        <f>IFERROR(__xludf.DUMMYFUNCTION("""COMPUTED_VALUE"""),2.0)</f>
        <v>2</v>
      </c>
      <c r="E2936" s="2">
        <f>IFERROR(__xludf.DUMMYFUNCTION("""COMPUTED_VALUE"""),102.0)</f>
        <v>102</v>
      </c>
      <c r="F2936" s="2">
        <f>IFERROR(__xludf.DUMMYFUNCTION("""COMPUTED_VALUE"""),2.0)</f>
        <v>2</v>
      </c>
      <c r="G2936" s="2">
        <f>IFERROR(__xludf.DUMMYFUNCTION("""COMPUTED_VALUE"""),9.0)</f>
        <v>9</v>
      </c>
      <c r="H2936" s="2" t="str">
        <f>IFERROR(__xludf.DUMMYFUNCTION("""COMPUTED_VALUE"""),"Jaun.")</f>
        <v>Jaun.</v>
      </c>
      <c r="I2936" s="2" t="str">
        <f>IFERROR(__xludf.DUMMYFUNCTION("""COMPUTED_VALUE"""),"Brick-Panel")</f>
        <v>Brick-Panel</v>
      </c>
      <c r="J2936" s="2" t="str">
        <f>IFERROR(__xludf.DUMMYFUNCTION("""COMPUTED_VALUE"""),"All amenities")</f>
        <v>All amenities</v>
      </c>
      <c r="K2936" s="2">
        <f>IFERROR(__xludf.DUMMYFUNCTION("""COMPUTED_VALUE"""),125000.0)</f>
        <v>125000</v>
      </c>
      <c r="L2936" s="2">
        <f>IFERROR(__xludf.DUMMYFUNCTION("""COMPUTED_VALUE"""),56.9879952999999)</f>
        <v>56.9879953</v>
      </c>
      <c r="M2936" s="2">
        <f>IFERROR(__xludf.DUMMYFUNCTION("""COMPUTED_VALUE"""),24.2461035663916)</f>
        <v>24.24610357</v>
      </c>
    </row>
    <row r="2937">
      <c r="A2937" s="2" t="str">
        <f>IFERROR(__xludf.DUMMYFUNCTION("""COMPUTED_VALUE"""),"For sale")</f>
        <v>For sale</v>
      </c>
      <c r="B2937" s="2" t="str">
        <f>IFERROR(__xludf.DUMMYFUNCTION("""COMPUTED_VALUE"""),"Klīversala")</f>
        <v>Klīversala</v>
      </c>
      <c r="C2937" s="2" t="str">
        <f>IFERROR(__xludf.DUMMYFUNCTION("""COMPUTED_VALUE"""),"Valguma 17")</f>
        <v>Valguma 17</v>
      </c>
      <c r="D2937" s="2">
        <f>IFERROR(__xludf.DUMMYFUNCTION("""COMPUTED_VALUE"""),2.0)</f>
        <v>2</v>
      </c>
      <c r="E2937" s="2">
        <f>IFERROR(__xludf.DUMMYFUNCTION("""COMPUTED_VALUE"""),49.0)</f>
        <v>49</v>
      </c>
      <c r="F2937" s="2">
        <f>IFERROR(__xludf.DUMMYFUNCTION("""COMPUTED_VALUE"""),1.0)</f>
        <v>1</v>
      </c>
      <c r="G2937" s="2">
        <f>IFERROR(__xludf.DUMMYFUNCTION("""COMPUTED_VALUE"""),5.0)</f>
        <v>5</v>
      </c>
      <c r="H2937" s="2" t="str">
        <f>IFERROR(__xludf.DUMMYFUNCTION("""COMPUTED_VALUE"""),"P. kara")</f>
        <v>P. kara</v>
      </c>
      <c r="I2937" s="2" t="str">
        <f>IFERROR(__xludf.DUMMYFUNCTION("""COMPUTED_VALUE"""),"Masonry")</f>
        <v>Masonry</v>
      </c>
      <c r="J2937" s="2" t="str">
        <f>IFERROR(__xludf.DUMMYFUNCTION("""COMPUTED_VALUE"""),"All amenities")</f>
        <v>All amenities</v>
      </c>
      <c r="K2937" s="2">
        <f>IFERROR(__xludf.DUMMYFUNCTION("""COMPUTED_VALUE"""),59000.0)</f>
        <v>59000</v>
      </c>
      <c r="L2937" s="2">
        <f>IFERROR(__xludf.DUMMYFUNCTION("""COMPUTED_VALUE"""),56.9422907)</f>
        <v>56.9422907</v>
      </c>
      <c r="M2937" s="2">
        <f>IFERROR(__xludf.DUMMYFUNCTION("""COMPUTED_VALUE"""),24.0941256210549)</f>
        <v>24.09412562</v>
      </c>
    </row>
    <row r="2938">
      <c r="A2938" s="2" t="str">
        <f>IFERROR(__xludf.DUMMYFUNCTION("""COMPUTED_VALUE"""),"For rent")</f>
        <v>For rent</v>
      </c>
      <c r="B2938" s="2" t="str">
        <f>IFERROR(__xludf.DUMMYFUNCTION("""COMPUTED_VALUE"""),"Dārzciems")</f>
        <v>Dārzciems</v>
      </c>
      <c r="C2938" s="2" t="str">
        <f>IFERROR(__xludf.DUMMYFUNCTION("""COMPUTED_VALUE"""),"Zeltiņu 45")</f>
        <v>Zeltiņu 45</v>
      </c>
      <c r="D2938" s="2">
        <f>IFERROR(__xludf.DUMMYFUNCTION("""COMPUTED_VALUE"""),1.0)</f>
        <v>1</v>
      </c>
      <c r="E2938" s="2">
        <f>IFERROR(__xludf.DUMMYFUNCTION("""COMPUTED_VALUE"""),20.0)</f>
        <v>20</v>
      </c>
      <c r="F2938" s="2">
        <f>IFERROR(__xludf.DUMMYFUNCTION("""COMPUTED_VALUE"""),1.0)</f>
        <v>1</v>
      </c>
      <c r="G2938" s="2">
        <f>IFERROR(__xludf.DUMMYFUNCTION("""COMPUTED_VALUE"""),2.0)</f>
        <v>2</v>
      </c>
      <c r="H2938" s="2" t="str">
        <f>IFERROR(__xludf.DUMMYFUNCTION("""COMPUTED_VALUE"""),"Staļina")</f>
        <v>Staļina</v>
      </c>
      <c r="I2938" s="2" t="str">
        <f>IFERROR(__xludf.DUMMYFUNCTION("""COMPUTED_VALUE"""),"Panel")</f>
        <v>Panel</v>
      </c>
      <c r="J2938" s="2" t="str">
        <f>IFERROR(__xludf.DUMMYFUNCTION("""COMPUTED_VALUE"""),"All amenities")</f>
        <v>All amenities</v>
      </c>
      <c r="K2938" s="2">
        <f>IFERROR(__xludf.DUMMYFUNCTION("""COMPUTED_VALUE"""),150.0)</f>
        <v>150</v>
      </c>
      <c r="L2938" s="2">
        <f>IFERROR(__xludf.DUMMYFUNCTION("""COMPUTED_VALUE"""),56.9465912)</f>
        <v>56.9465912</v>
      </c>
      <c r="M2938" s="2">
        <f>IFERROR(__xludf.DUMMYFUNCTION("""COMPUTED_VALUE"""),24.17507065)</f>
        <v>24.17507065</v>
      </c>
    </row>
    <row r="2939">
      <c r="A2939" s="2" t="str">
        <f>IFERROR(__xludf.DUMMYFUNCTION("""COMPUTED_VALUE"""),"For sale")</f>
        <v>For sale</v>
      </c>
      <c r="B2939" s="2" t="str">
        <f>IFERROR(__xludf.DUMMYFUNCTION("""COMPUTED_VALUE"""),"centrs")</f>
        <v>centrs</v>
      </c>
      <c r="C2939" s="2" t="str">
        <f>IFERROR(__xludf.DUMMYFUNCTION("""COMPUTED_VALUE"""),"Melngaiļa 8")</f>
        <v>Melngaiļa 8</v>
      </c>
      <c r="D2939" s="2">
        <f>IFERROR(__xludf.DUMMYFUNCTION("""COMPUTED_VALUE"""),2.0)</f>
        <v>2</v>
      </c>
      <c r="E2939" s="2">
        <f>IFERROR(__xludf.DUMMYFUNCTION("""COMPUTED_VALUE"""),43.0)</f>
        <v>43</v>
      </c>
      <c r="F2939" s="2">
        <f>IFERROR(__xludf.DUMMYFUNCTION("""COMPUTED_VALUE"""),3.0)</f>
        <v>3</v>
      </c>
      <c r="G2939" s="2">
        <f>IFERROR(__xludf.DUMMYFUNCTION("""COMPUTED_VALUE"""),7.0)</f>
        <v>7</v>
      </c>
      <c r="H2939" s="2" t="str">
        <f>IFERROR(__xludf.DUMMYFUNCTION("""COMPUTED_VALUE"""),"Jaun.")</f>
        <v>Jaun.</v>
      </c>
      <c r="I2939" s="2" t="str">
        <f>IFERROR(__xludf.DUMMYFUNCTION("""COMPUTED_VALUE"""),"Brick-Panel")</f>
        <v>Brick-Panel</v>
      </c>
      <c r="J2939" s="2" t="str">
        <f>IFERROR(__xludf.DUMMYFUNCTION("""COMPUTED_VALUE"""),"All amenities")</f>
        <v>All amenities</v>
      </c>
      <c r="K2939" s="2">
        <f>IFERROR(__xludf.DUMMYFUNCTION("""COMPUTED_VALUE"""),115000.0)</f>
        <v>115000</v>
      </c>
      <c r="L2939" s="2">
        <f>IFERROR(__xludf.DUMMYFUNCTION("""COMPUTED_VALUE"""),56.95911955)</f>
        <v>56.95911955</v>
      </c>
      <c r="M2939" s="2">
        <f>IFERROR(__xludf.DUMMYFUNCTION("""COMPUTED_VALUE"""),24.1175834)</f>
        <v>24.1175834</v>
      </c>
    </row>
    <row r="2940">
      <c r="A2940" s="2" t="str">
        <f>IFERROR(__xludf.DUMMYFUNCTION("""COMPUTED_VALUE"""),"For sale")</f>
        <v>For sale</v>
      </c>
      <c r="B2940" s="2" t="str">
        <f>IFERROR(__xludf.DUMMYFUNCTION("""COMPUTED_VALUE"""),"centrs")</f>
        <v>centrs</v>
      </c>
      <c r="C2940" s="2" t="str">
        <f>IFERROR(__xludf.DUMMYFUNCTION("""COMPUTED_VALUE"""),"Strēlnieku 15/2")</f>
        <v>Strēlnieku 15/2</v>
      </c>
      <c r="D2940" s="2">
        <f>IFERROR(__xludf.DUMMYFUNCTION("""COMPUTED_VALUE"""),4.0)</f>
        <v>4</v>
      </c>
      <c r="E2940" s="2">
        <f>IFERROR(__xludf.DUMMYFUNCTION("""COMPUTED_VALUE"""),107.0)</f>
        <v>107</v>
      </c>
      <c r="F2940" s="2">
        <f>IFERROR(__xludf.DUMMYFUNCTION("""COMPUTED_VALUE"""),3.0)</f>
        <v>3</v>
      </c>
      <c r="G2940" s="2">
        <f>IFERROR(__xludf.DUMMYFUNCTION("""COMPUTED_VALUE"""),5.0)</f>
        <v>5</v>
      </c>
      <c r="H2940" s="2" t="str">
        <f>IFERROR(__xludf.DUMMYFUNCTION("""COMPUTED_VALUE"""),"P. kara")</f>
        <v>P. kara</v>
      </c>
      <c r="I2940" s="2" t="str">
        <f>IFERROR(__xludf.DUMMYFUNCTION("""COMPUTED_VALUE"""),"Masonry")</f>
        <v>Masonry</v>
      </c>
      <c r="J2940" s="2" t="str">
        <f>IFERROR(__xludf.DUMMYFUNCTION("""COMPUTED_VALUE"""),"All amenities")</f>
        <v>All amenities</v>
      </c>
      <c r="K2940" s="2">
        <f>IFERROR(__xludf.DUMMYFUNCTION("""COMPUTED_VALUE"""),175000.0)</f>
        <v>175000</v>
      </c>
      <c r="L2940" s="2">
        <f>IFERROR(__xludf.DUMMYFUNCTION("""COMPUTED_VALUE"""),56.9605444)</f>
        <v>56.9605444</v>
      </c>
      <c r="M2940" s="2">
        <f>IFERROR(__xludf.DUMMYFUNCTION("""COMPUTED_VALUE"""),24.1100298)</f>
        <v>24.1100298</v>
      </c>
    </row>
    <row r="2941">
      <c r="A2941" s="2" t="str">
        <f>IFERROR(__xludf.DUMMYFUNCTION("""COMPUTED_VALUE"""),"For sale")</f>
        <v>For sale</v>
      </c>
      <c r="B2941" s="2" t="str">
        <f>IFERROR(__xludf.DUMMYFUNCTION("""COMPUTED_VALUE"""),"centrs")</f>
        <v>centrs</v>
      </c>
      <c r="C2941" s="2" t="str">
        <f>IFERROR(__xludf.DUMMYFUNCTION("""COMPUTED_VALUE"""),"Čaka 68")</f>
        <v>Čaka 68</v>
      </c>
      <c r="D2941" s="2">
        <f>IFERROR(__xludf.DUMMYFUNCTION("""COMPUTED_VALUE"""),3.0)</f>
        <v>3</v>
      </c>
      <c r="E2941" s="2">
        <f>IFERROR(__xludf.DUMMYFUNCTION("""COMPUTED_VALUE"""),74.0)</f>
        <v>74</v>
      </c>
      <c r="F2941" s="2">
        <f>IFERROR(__xludf.DUMMYFUNCTION("""COMPUTED_VALUE"""),2.0)</f>
        <v>2</v>
      </c>
      <c r="G2941" s="2">
        <f>IFERROR(__xludf.DUMMYFUNCTION("""COMPUTED_VALUE"""),2.0)</f>
        <v>2</v>
      </c>
      <c r="H2941" s="2" t="str">
        <f>IFERROR(__xludf.DUMMYFUNCTION("""COMPUTED_VALUE"""),"Specpr.")</f>
        <v>Specpr.</v>
      </c>
      <c r="I2941" s="2" t="str">
        <f>IFERROR(__xludf.DUMMYFUNCTION("""COMPUTED_VALUE"""),"Brick-Panel")</f>
        <v>Brick-Panel</v>
      </c>
      <c r="J2941" s="2" t="str">
        <f>IFERROR(__xludf.DUMMYFUNCTION("""COMPUTED_VALUE"""),"All amenities")</f>
        <v>All amenities</v>
      </c>
      <c r="K2941" s="2">
        <f>IFERROR(__xludf.DUMMYFUNCTION("""COMPUTED_VALUE"""),89000.0)</f>
        <v>89000</v>
      </c>
      <c r="L2941" s="2">
        <f>IFERROR(__xludf.DUMMYFUNCTION("""COMPUTED_VALUE"""),56.9555119)</f>
        <v>56.9555119</v>
      </c>
      <c r="M2941" s="2">
        <f>IFERROR(__xludf.DUMMYFUNCTION("""COMPUTED_VALUE"""),24.1352351)</f>
        <v>24.1352351</v>
      </c>
    </row>
    <row r="2942">
      <c r="A2942" s="2" t="str">
        <f>IFERROR(__xludf.DUMMYFUNCTION("""COMPUTED_VALUE"""),"For rent")</f>
        <v>For rent</v>
      </c>
      <c r="B2942" s="2" t="str">
        <f>IFERROR(__xludf.DUMMYFUNCTION("""COMPUTED_VALUE"""),"centrs")</f>
        <v>centrs</v>
      </c>
      <c r="C2942" s="2" t="str">
        <f>IFERROR(__xludf.DUMMYFUNCTION("""COMPUTED_VALUE"""),"Marijas 16")</f>
        <v>Marijas 16</v>
      </c>
      <c r="D2942" s="2">
        <f>IFERROR(__xludf.DUMMYFUNCTION("""COMPUTED_VALUE"""),2.0)</f>
        <v>2</v>
      </c>
      <c r="E2942" s="2">
        <f>IFERROR(__xludf.DUMMYFUNCTION("""COMPUTED_VALUE"""),40.0)</f>
        <v>40</v>
      </c>
      <c r="F2942" s="2">
        <f>IFERROR(__xludf.DUMMYFUNCTION("""COMPUTED_VALUE"""),2.0)</f>
        <v>2</v>
      </c>
      <c r="G2942" s="2">
        <f>IFERROR(__xludf.DUMMYFUNCTION("""COMPUTED_VALUE"""),6.0)</f>
        <v>6</v>
      </c>
      <c r="H2942" s="2" t="str">
        <f>IFERROR(__xludf.DUMMYFUNCTION("""COMPUTED_VALUE"""),"P. kara")</f>
        <v>P. kara</v>
      </c>
      <c r="I2942" s="2" t="str">
        <f>IFERROR(__xludf.DUMMYFUNCTION("""COMPUTED_VALUE"""),"Masonry")</f>
        <v>Masonry</v>
      </c>
      <c r="J2942" s="2" t="str">
        <f>IFERROR(__xludf.DUMMYFUNCTION("""COMPUTED_VALUE"""),"All amenities")</f>
        <v>All amenities</v>
      </c>
      <c r="K2942" s="2">
        <f>IFERROR(__xludf.DUMMYFUNCTION("""COMPUTED_VALUE"""),450.0)</f>
        <v>450</v>
      </c>
      <c r="L2942" s="2">
        <f>IFERROR(__xludf.DUMMYFUNCTION("""COMPUTED_VALUE"""),56.9505796)</f>
        <v>56.9505796</v>
      </c>
      <c r="M2942" s="2">
        <f>IFERROR(__xludf.DUMMYFUNCTION("""COMPUTED_VALUE"""),24.1255938)</f>
        <v>24.1255938</v>
      </c>
    </row>
    <row r="2943">
      <c r="A2943" s="2" t="str">
        <f>IFERROR(__xludf.DUMMYFUNCTION("""COMPUTED_VALUE"""),"For rent")</f>
        <v>For rent</v>
      </c>
      <c r="B2943" s="2" t="str">
        <f>IFERROR(__xludf.DUMMYFUNCTION("""COMPUTED_VALUE"""),"centrs")</f>
        <v>centrs</v>
      </c>
      <c r="C2943" s="2" t="str">
        <f>IFERROR(__xludf.DUMMYFUNCTION("""COMPUTED_VALUE"""),"Merķeļa 17")</f>
        <v>Merķeļa 17</v>
      </c>
      <c r="D2943" s="2">
        <f>IFERROR(__xludf.DUMMYFUNCTION("""COMPUTED_VALUE"""),4.0)</f>
        <v>4</v>
      </c>
      <c r="E2943" s="2">
        <f>IFERROR(__xludf.DUMMYFUNCTION("""COMPUTED_VALUE"""),143.0)</f>
        <v>143</v>
      </c>
      <c r="F2943" s="2">
        <f>IFERROR(__xludf.DUMMYFUNCTION("""COMPUTED_VALUE"""),3.0)</f>
        <v>3</v>
      </c>
      <c r="G2943" s="2">
        <f>IFERROR(__xludf.DUMMYFUNCTION("""COMPUTED_VALUE"""),4.0)</f>
        <v>4</v>
      </c>
      <c r="H2943" s="2" t="str">
        <f>IFERROR(__xludf.DUMMYFUNCTION("""COMPUTED_VALUE"""),"P. kara")</f>
        <v>P. kara</v>
      </c>
      <c r="I2943" s="2" t="str">
        <f>IFERROR(__xludf.DUMMYFUNCTION("""COMPUTED_VALUE"""),"Masonry")</f>
        <v>Masonry</v>
      </c>
      <c r="J2943" s="2" t="str">
        <f>IFERROR(__xludf.DUMMYFUNCTION("""COMPUTED_VALUE"""),"All amenities")</f>
        <v>All amenities</v>
      </c>
      <c r="K2943" s="2">
        <f>IFERROR(__xludf.DUMMYFUNCTION("""COMPUTED_VALUE"""),1100.0)</f>
        <v>1100</v>
      </c>
      <c r="L2943" s="2">
        <f>IFERROR(__xludf.DUMMYFUNCTION("""COMPUTED_VALUE"""),56.9515994)</f>
        <v>56.9515994</v>
      </c>
      <c r="M2943" s="2">
        <f>IFERROR(__xludf.DUMMYFUNCTION("""COMPUTED_VALUE"""),24.1159776)</f>
        <v>24.1159776</v>
      </c>
    </row>
    <row r="2944">
      <c r="A2944" s="2" t="str">
        <f>IFERROR(__xludf.DUMMYFUNCTION("""COMPUTED_VALUE"""),"For sale")</f>
        <v>For sale</v>
      </c>
      <c r="B2944" s="2" t="str">
        <f>IFERROR(__xludf.DUMMYFUNCTION("""COMPUTED_VALUE"""),"centrs")</f>
        <v>centrs</v>
      </c>
      <c r="C2944" s="2" t="str">
        <f>IFERROR(__xludf.DUMMYFUNCTION("""COMPUTED_VALUE"""),"Rūpniecības 22")</f>
        <v>Rūpniecības 22</v>
      </c>
      <c r="D2944" s="2">
        <f>IFERROR(__xludf.DUMMYFUNCTION("""COMPUTED_VALUE"""),4.0)</f>
        <v>4</v>
      </c>
      <c r="E2944" s="2">
        <f>IFERROR(__xludf.DUMMYFUNCTION("""COMPUTED_VALUE"""),114.0)</f>
        <v>114</v>
      </c>
      <c r="F2944" s="2">
        <f>IFERROR(__xludf.DUMMYFUNCTION("""COMPUTED_VALUE"""),5.0)</f>
        <v>5</v>
      </c>
      <c r="G2944" s="2">
        <f>IFERROR(__xludf.DUMMYFUNCTION("""COMPUTED_VALUE"""),7.0)</f>
        <v>7</v>
      </c>
      <c r="H2944" s="2" t="str">
        <f>IFERROR(__xludf.DUMMYFUNCTION("""COMPUTED_VALUE"""),"Specpr.")</f>
        <v>Specpr.</v>
      </c>
      <c r="I2944" s="2" t="str">
        <f>IFERROR(__xludf.DUMMYFUNCTION("""COMPUTED_VALUE"""),"Brick")</f>
        <v>Brick</v>
      </c>
      <c r="J2944" s="2" t="str">
        <f>IFERROR(__xludf.DUMMYFUNCTION("""COMPUTED_VALUE"""),"All amenities")</f>
        <v>All amenities</v>
      </c>
      <c r="K2944" s="2">
        <f>IFERROR(__xludf.DUMMYFUNCTION("""COMPUTED_VALUE"""),199000.0)</f>
        <v>199000</v>
      </c>
      <c r="L2944" s="2">
        <f>IFERROR(__xludf.DUMMYFUNCTION("""COMPUTED_VALUE"""),56.96134855)</f>
        <v>56.96134855</v>
      </c>
      <c r="M2944" s="2">
        <f>IFERROR(__xludf.DUMMYFUNCTION("""COMPUTED_VALUE"""),24.1036355661932)</f>
        <v>24.10363557</v>
      </c>
    </row>
    <row r="2945">
      <c r="A2945" s="2" t="str">
        <f>IFERROR(__xludf.DUMMYFUNCTION("""COMPUTED_VALUE"""),"For sale")</f>
        <v>For sale</v>
      </c>
      <c r="B2945" s="2" t="str">
        <f>IFERROR(__xludf.DUMMYFUNCTION("""COMPUTED_VALUE"""),"Aplokciems")</f>
        <v>Aplokciems</v>
      </c>
      <c r="C2945" s="2" t="str">
        <f>IFERROR(__xludf.DUMMYFUNCTION("""COMPUTED_VALUE"""),"Briežu 9")</f>
        <v>Briežu 9</v>
      </c>
      <c r="D2945" s="2">
        <f>IFERROR(__xludf.DUMMYFUNCTION("""COMPUTED_VALUE"""),3.0)</f>
        <v>3</v>
      </c>
      <c r="E2945" s="2">
        <f>IFERROR(__xludf.DUMMYFUNCTION("""COMPUTED_VALUE"""),55.0)</f>
        <v>55</v>
      </c>
      <c r="F2945" s="2">
        <f>IFERROR(__xludf.DUMMYFUNCTION("""COMPUTED_VALUE"""),1.0)</f>
        <v>1</v>
      </c>
      <c r="G2945" s="2">
        <f>IFERROR(__xludf.DUMMYFUNCTION("""COMPUTED_VALUE"""),6.0)</f>
        <v>6</v>
      </c>
      <c r="H2945" s="2" t="str">
        <f>IFERROR(__xludf.DUMMYFUNCTION("""COMPUTED_VALUE"""),"Jaun.")</f>
        <v>Jaun.</v>
      </c>
      <c r="I2945" s="2" t="str">
        <f>IFERROR(__xludf.DUMMYFUNCTION("""COMPUTED_VALUE"""),"Masonry")</f>
        <v>Masonry</v>
      </c>
      <c r="J2945" s="2" t="str">
        <f>IFERROR(__xludf.DUMMYFUNCTION("""COMPUTED_VALUE"""),"All amenities")</f>
        <v>All amenities</v>
      </c>
      <c r="K2945" s="2">
        <f>IFERROR(__xludf.DUMMYFUNCTION("""COMPUTED_VALUE"""),78000.0)</f>
        <v>78000</v>
      </c>
      <c r="L2945" s="2">
        <f>IFERROR(__xludf.DUMMYFUNCTION("""COMPUTED_VALUE"""),57.0229234499999)</f>
        <v>57.02292345</v>
      </c>
      <c r="M2945" s="2">
        <f>IFERROR(__xludf.DUMMYFUNCTION("""COMPUTED_VALUE"""),24.1376648769917)</f>
        <v>24.13766488</v>
      </c>
    </row>
    <row r="2946">
      <c r="A2946" s="2" t="str">
        <f>IFERROR(__xludf.DUMMYFUNCTION("""COMPUTED_VALUE"""),"For sale")</f>
        <v>For sale</v>
      </c>
      <c r="B2946" s="2" t="str">
        <f>IFERROR(__xludf.DUMMYFUNCTION("""COMPUTED_VALUE"""),"Aplokciems")</f>
        <v>Aplokciems</v>
      </c>
      <c r="C2946" s="2" t="str">
        <f>IFERROR(__xludf.DUMMYFUNCTION("""COMPUTED_VALUE"""),"Briežu 9")</f>
        <v>Briežu 9</v>
      </c>
      <c r="D2946" s="2">
        <f>IFERROR(__xludf.DUMMYFUNCTION("""COMPUTED_VALUE"""),4.0)</f>
        <v>4</v>
      </c>
      <c r="E2946" s="2">
        <f>IFERROR(__xludf.DUMMYFUNCTION("""COMPUTED_VALUE"""),68.0)</f>
        <v>68</v>
      </c>
      <c r="F2946" s="2">
        <f>IFERROR(__xludf.DUMMYFUNCTION("""COMPUTED_VALUE"""),1.0)</f>
        <v>1</v>
      </c>
      <c r="G2946" s="2">
        <f>IFERROR(__xludf.DUMMYFUNCTION("""COMPUTED_VALUE"""),6.0)</f>
        <v>6</v>
      </c>
      <c r="H2946" s="2" t="str">
        <f>IFERROR(__xludf.DUMMYFUNCTION("""COMPUTED_VALUE"""),"Jaun.")</f>
        <v>Jaun.</v>
      </c>
      <c r="I2946" s="2" t="str">
        <f>IFERROR(__xludf.DUMMYFUNCTION("""COMPUTED_VALUE"""),"Masonry")</f>
        <v>Masonry</v>
      </c>
      <c r="J2946" s="2" t="str">
        <f>IFERROR(__xludf.DUMMYFUNCTION("""COMPUTED_VALUE"""),"All amenities")</f>
        <v>All amenities</v>
      </c>
      <c r="K2946" s="2">
        <f>IFERROR(__xludf.DUMMYFUNCTION("""COMPUTED_VALUE"""),95600.0)</f>
        <v>95600</v>
      </c>
      <c r="L2946" s="2">
        <f>IFERROR(__xludf.DUMMYFUNCTION("""COMPUTED_VALUE"""),57.0229234499999)</f>
        <v>57.02292345</v>
      </c>
      <c r="M2946" s="2">
        <f>IFERROR(__xludf.DUMMYFUNCTION("""COMPUTED_VALUE"""),24.1376648769917)</f>
        <v>24.13766488</v>
      </c>
    </row>
    <row r="2947">
      <c r="A2947" s="2" t="str">
        <f>IFERROR(__xludf.DUMMYFUNCTION("""COMPUTED_VALUE"""),"For rent")</f>
        <v>For rent</v>
      </c>
      <c r="B2947" s="2" t="str">
        <f>IFERROR(__xludf.DUMMYFUNCTION("""COMPUTED_VALUE"""),"centrs")</f>
        <v>centrs</v>
      </c>
      <c r="C2947" s="2" t="str">
        <f>IFERROR(__xludf.DUMMYFUNCTION("""COMPUTED_VALUE"""),"Indrānu 5")</f>
        <v>Indrānu 5</v>
      </c>
      <c r="D2947" s="2">
        <f>IFERROR(__xludf.DUMMYFUNCTION("""COMPUTED_VALUE"""),3.0)</f>
        <v>3</v>
      </c>
      <c r="E2947" s="2">
        <f>IFERROR(__xludf.DUMMYFUNCTION("""COMPUTED_VALUE"""),86.0)</f>
        <v>86</v>
      </c>
      <c r="F2947" s="2">
        <f>IFERROR(__xludf.DUMMYFUNCTION("""COMPUTED_VALUE"""),5.0)</f>
        <v>5</v>
      </c>
      <c r="G2947" s="2">
        <f>IFERROR(__xludf.DUMMYFUNCTION("""COMPUTED_VALUE"""),5.0)</f>
        <v>5</v>
      </c>
      <c r="H2947" s="2" t="str">
        <f>IFERROR(__xludf.DUMMYFUNCTION("""COMPUTED_VALUE"""),"Jaun.")</f>
        <v>Jaun.</v>
      </c>
      <c r="I2947" s="2" t="str">
        <f>IFERROR(__xludf.DUMMYFUNCTION("""COMPUTED_VALUE"""),"Panel-Brick")</f>
        <v>Panel-Brick</v>
      </c>
      <c r="J2947" s="2" t="str">
        <f>IFERROR(__xludf.DUMMYFUNCTION("""COMPUTED_VALUE"""),"All amenities")</f>
        <v>All amenities</v>
      </c>
      <c r="K2947" s="2">
        <f>IFERROR(__xludf.DUMMYFUNCTION("""COMPUTED_VALUE"""),890.0)</f>
        <v>890</v>
      </c>
      <c r="L2947" s="2">
        <f>IFERROR(__xludf.DUMMYFUNCTION("""COMPUTED_VALUE"""),56.9681431)</f>
        <v>56.9681431</v>
      </c>
      <c r="M2947" s="2">
        <f>IFERROR(__xludf.DUMMYFUNCTION("""COMPUTED_VALUE"""),24.1468839653253)</f>
        <v>24.14688397</v>
      </c>
    </row>
    <row r="2948">
      <c r="A2948" s="2" t="str">
        <f>IFERROR(__xludf.DUMMYFUNCTION("""COMPUTED_VALUE"""),"For rent")</f>
        <v>For rent</v>
      </c>
      <c r="B2948" s="2" t="str">
        <f>IFERROR(__xludf.DUMMYFUNCTION("""COMPUTED_VALUE"""),"Klīversala")</f>
        <v>Klīversala</v>
      </c>
      <c r="C2948" s="2" t="str">
        <f>IFERROR(__xludf.DUMMYFUNCTION("""COMPUTED_VALUE"""),"Valguma 24")</f>
        <v>Valguma 24</v>
      </c>
      <c r="D2948" s="2">
        <f>IFERROR(__xludf.DUMMYFUNCTION("""COMPUTED_VALUE"""),2.0)</f>
        <v>2</v>
      </c>
      <c r="E2948" s="2">
        <f>IFERROR(__xludf.DUMMYFUNCTION("""COMPUTED_VALUE"""),42.0)</f>
        <v>42</v>
      </c>
      <c r="F2948" s="2">
        <f>IFERROR(__xludf.DUMMYFUNCTION("""COMPUTED_VALUE"""),1.0)</f>
        <v>1</v>
      </c>
      <c r="G2948" s="2">
        <f>IFERROR(__xludf.DUMMYFUNCTION("""COMPUTED_VALUE"""),5.0)</f>
        <v>5</v>
      </c>
      <c r="H2948" s="2" t="str">
        <f>IFERROR(__xludf.DUMMYFUNCTION("""COMPUTED_VALUE"""),"Hrušč.")</f>
        <v>Hrušč.</v>
      </c>
      <c r="I2948" s="2" t="str">
        <f>IFERROR(__xludf.DUMMYFUNCTION("""COMPUTED_VALUE"""),"Brick")</f>
        <v>Brick</v>
      </c>
      <c r="J2948" s="2" t="str">
        <f>IFERROR(__xludf.DUMMYFUNCTION("""COMPUTED_VALUE"""),"All amenities")</f>
        <v>All amenities</v>
      </c>
      <c r="K2948" s="2">
        <f>IFERROR(__xludf.DUMMYFUNCTION("""COMPUTED_VALUE"""),400.0)</f>
        <v>400</v>
      </c>
      <c r="L2948" s="2">
        <f>IFERROR(__xludf.DUMMYFUNCTION("""COMPUTED_VALUE"""),56.94312495)</f>
        <v>56.94312495</v>
      </c>
      <c r="M2948" s="2">
        <f>IFERROR(__xludf.DUMMYFUNCTION("""COMPUTED_VALUE"""),24.0902665694297)</f>
        <v>24.09026657</v>
      </c>
    </row>
    <row r="2949">
      <c r="A2949" s="2" t="str">
        <f>IFERROR(__xludf.DUMMYFUNCTION("""COMPUTED_VALUE"""),"For sale")</f>
        <v>For sale</v>
      </c>
      <c r="B2949" s="2" t="str">
        <f>IFERROR(__xludf.DUMMYFUNCTION("""COMPUTED_VALUE"""),"Šampēteris-Pleskodāle")</f>
        <v>Šampēteris-Pleskodāle</v>
      </c>
      <c r="C2949" s="2" t="str">
        <f>IFERROR(__xludf.DUMMYFUNCTION("""COMPUTED_VALUE"""),"Stendes 7/4")</f>
        <v>Stendes 7/4</v>
      </c>
      <c r="D2949" s="2">
        <f>IFERROR(__xludf.DUMMYFUNCTION("""COMPUTED_VALUE"""),1.0)</f>
        <v>1</v>
      </c>
      <c r="E2949" s="2">
        <f>IFERROR(__xludf.DUMMYFUNCTION("""COMPUTED_VALUE"""),18.0)</f>
        <v>18</v>
      </c>
      <c r="F2949" s="2">
        <f>IFERROR(__xludf.DUMMYFUNCTION("""COMPUTED_VALUE"""),3.0)</f>
        <v>3</v>
      </c>
      <c r="G2949" s="2">
        <f>IFERROR(__xludf.DUMMYFUNCTION("""COMPUTED_VALUE"""),3.0)</f>
        <v>3</v>
      </c>
      <c r="H2949" s="2" t="str">
        <f>IFERROR(__xludf.DUMMYFUNCTION("""COMPUTED_VALUE"""),"M. ģim.")</f>
        <v>M. ģim.</v>
      </c>
      <c r="I2949" s="2" t="str">
        <f>IFERROR(__xludf.DUMMYFUNCTION("""COMPUTED_VALUE"""),"Brick")</f>
        <v>Brick</v>
      </c>
      <c r="J2949" s="2" t="str">
        <f>IFERROR(__xludf.DUMMYFUNCTION("""COMPUTED_VALUE"""),"All amenities")</f>
        <v>All amenities</v>
      </c>
      <c r="K2949" s="2">
        <f>IFERROR(__xludf.DUMMYFUNCTION("""COMPUTED_VALUE"""),11700.0)</f>
        <v>11700</v>
      </c>
      <c r="L2949" s="2">
        <f>IFERROR(__xludf.DUMMYFUNCTION("""COMPUTED_VALUE"""),56.9406706)</f>
        <v>56.9406706</v>
      </c>
      <c r="M2949" s="2">
        <f>IFERROR(__xludf.DUMMYFUNCTION("""COMPUTED_VALUE"""),24.0386236)</f>
        <v>24.0386236</v>
      </c>
    </row>
    <row r="2950">
      <c r="A2950" s="2" t="str">
        <f>IFERROR(__xludf.DUMMYFUNCTION("""COMPUTED_VALUE"""),"For sale")</f>
        <v>For sale</v>
      </c>
      <c r="B2950" s="2" t="str">
        <f>IFERROR(__xludf.DUMMYFUNCTION("""COMPUTED_VALUE"""),"Purvciems")</f>
        <v>Purvciems</v>
      </c>
      <c r="C2950" s="2" t="str">
        <f>IFERROR(__xludf.DUMMYFUNCTION("""COMPUTED_VALUE"""),"Pūces 49")</f>
        <v>Pūces 49</v>
      </c>
      <c r="D2950" s="2">
        <f>IFERROR(__xludf.DUMMYFUNCTION("""COMPUTED_VALUE"""),2.0)</f>
        <v>2</v>
      </c>
      <c r="E2950" s="2">
        <f>IFERROR(__xludf.DUMMYFUNCTION("""COMPUTED_VALUE"""),86.0)</f>
        <v>86</v>
      </c>
      <c r="F2950" s="2">
        <f>IFERROR(__xludf.DUMMYFUNCTION("""COMPUTED_VALUE"""),5.0)</f>
        <v>5</v>
      </c>
      <c r="G2950" s="2">
        <f>IFERROR(__xludf.DUMMYFUNCTION("""COMPUTED_VALUE"""),6.0)</f>
        <v>6</v>
      </c>
      <c r="H2950" s="2" t="str">
        <f>IFERROR(__xludf.DUMMYFUNCTION("""COMPUTED_VALUE"""),"Jaun.")</f>
        <v>Jaun.</v>
      </c>
      <c r="I2950" s="2" t="str">
        <f>IFERROR(__xludf.DUMMYFUNCTION("""COMPUTED_VALUE"""),"Panel-Brick")</f>
        <v>Panel-Brick</v>
      </c>
      <c r="J2950" s="2" t="str">
        <f>IFERROR(__xludf.DUMMYFUNCTION("""COMPUTED_VALUE"""),"All amenities")</f>
        <v>All amenities</v>
      </c>
      <c r="K2950" s="2">
        <f>IFERROR(__xludf.DUMMYFUNCTION("""COMPUTED_VALUE"""),135000.0)</f>
        <v>135000</v>
      </c>
      <c r="L2950" s="2">
        <f>IFERROR(__xludf.DUMMYFUNCTION("""COMPUTED_VALUE"""),56.9540449)</f>
        <v>56.9540449</v>
      </c>
      <c r="M2950" s="2">
        <f>IFERROR(__xludf.DUMMYFUNCTION("""COMPUTED_VALUE"""),24.1913645631942)</f>
        <v>24.19136456</v>
      </c>
    </row>
    <row r="2951">
      <c r="A2951" s="2" t="str">
        <f>IFERROR(__xludf.DUMMYFUNCTION("""COMPUTED_VALUE"""),"For sale")</f>
        <v>For sale</v>
      </c>
      <c r="B2951" s="2" t="str">
        <f>IFERROR(__xludf.DUMMYFUNCTION("""COMPUTED_VALUE"""),"Zolitūde")</f>
        <v>Zolitūde</v>
      </c>
      <c r="C2951" s="2" t="str">
        <f>IFERROR(__xludf.DUMMYFUNCTION("""COMPUTED_VALUE"""),"Skrīnes 4")</f>
        <v>Skrīnes 4</v>
      </c>
      <c r="D2951" s="2">
        <f>IFERROR(__xludf.DUMMYFUNCTION("""COMPUTED_VALUE"""),3.0)</f>
        <v>3</v>
      </c>
      <c r="E2951" s="2">
        <f>IFERROR(__xludf.DUMMYFUNCTION("""COMPUTED_VALUE"""),76.0)</f>
        <v>76</v>
      </c>
      <c r="F2951" s="2">
        <f>IFERROR(__xludf.DUMMYFUNCTION("""COMPUTED_VALUE"""),1.0)</f>
        <v>1</v>
      </c>
      <c r="G2951" s="2">
        <f>IFERROR(__xludf.DUMMYFUNCTION("""COMPUTED_VALUE"""),3.0)</f>
        <v>3</v>
      </c>
      <c r="H2951" s="2" t="str">
        <f>IFERROR(__xludf.DUMMYFUNCTION("""COMPUTED_VALUE"""),"Jaun.")</f>
        <v>Jaun.</v>
      </c>
      <c r="I2951" s="2" t="str">
        <f>IFERROR(__xludf.DUMMYFUNCTION("""COMPUTED_VALUE"""),"Panel")</f>
        <v>Panel</v>
      </c>
      <c r="J2951" s="2" t="str">
        <f>IFERROR(__xludf.DUMMYFUNCTION("""COMPUTED_VALUE"""),"All amenities")</f>
        <v>All amenities</v>
      </c>
      <c r="K2951" s="2">
        <f>IFERROR(__xludf.DUMMYFUNCTION("""COMPUTED_VALUE"""),119255.0)</f>
        <v>119255</v>
      </c>
      <c r="L2951" s="2">
        <f>IFERROR(__xludf.DUMMYFUNCTION("""COMPUTED_VALUE"""),56.9421021)</f>
        <v>56.9421021</v>
      </c>
      <c r="M2951" s="2">
        <f>IFERROR(__xludf.DUMMYFUNCTION("""COMPUTED_VALUE"""),24.0243648)</f>
        <v>24.0243648</v>
      </c>
    </row>
    <row r="2952">
      <c r="A2952" s="2" t="str">
        <f>IFERROR(__xludf.DUMMYFUNCTION("""COMPUTED_VALUE"""),"For sale")</f>
        <v>For sale</v>
      </c>
      <c r="B2952" s="2" t="str">
        <f>IFERROR(__xludf.DUMMYFUNCTION("""COMPUTED_VALUE"""),"Grīziņkalns")</f>
        <v>Grīziņkalns</v>
      </c>
      <c r="C2952" s="2" t="str">
        <f>IFERROR(__xludf.DUMMYFUNCTION("""COMPUTED_VALUE"""),"Asara 12")</f>
        <v>Asara 12</v>
      </c>
      <c r="D2952" s="2">
        <f>IFERROR(__xludf.DUMMYFUNCTION("""COMPUTED_VALUE"""),2.0)</f>
        <v>2</v>
      </c>
      <c r="E2952" s="2">
        <f>IFERROR(__xludf.DUMMYFUNCTION("""COMPUTED_VALUE"""),47.0)</f>
        <v>47</v>
      </c>
      <c r="F2952" s="2">
        <f>IFERROR(__xludf.DUMMYFUNCTION("""COMPUTED_VALUE"""),1.0)</f>
        <v>1</v>
      </c>
      <c r="G2952" s="2">
        <f>IFERROR(__xludf.DUMMYFUNCTION("""COMPUTED_VALUE"""),5.0)</f>
        <v>5</v>
      </c>
      <c r="H2952" s="2" t="str">
        <f>IFERROR(__xludf.DUMMYFUNCTION("""COMPUTED_VALUE"""),"Renov.")</f>
        <v>Renov.</v>
      </c>
      <c r="I2952" s="2" t="str">
        <f>IFERROR(__xludf.DUMMYFUNCTION("""COMPUTED_VALUE"""),"Masonry")</f>
        <v>Masonry</v>
      </c>
      <c r="J2952" s="2" t="str">
        <f>IFERROR(__xludf.DUMMYFUNCTION("""COMPUTED_VALUE"""),"All amenities")</f>
        <v>All amenities</v>
      </c>
      <c r="K2952" s="2">
        <f>IFERROR(__xludf.DUMMYFUNCTION("""COMPUTED_VALUE"""),80000.0)</f>
        <v>80000</v>
      </c>
      <c r="L2952" s="2">
        <f>IFERROR(__xludf.DUMMYFUNCTION("""COMPUTED_VALUE"""),56.9553833)</f>
        <v>56.9553833</v>
      </c>
      <c r="M2952" s="2">
        <f>IFERROR(__xludf.DUMMYFUNCTION("""COMPUTED_VALUE"""),24.1488881)</f>
        <v>24.1488881</v>
      </c>
    </row>
    <row r="2953">
      <c r="A2953" s="2" t="str">
        <f>IFERROR(__xludf.DUMMYFUNCTION("""COMPUTED_VALUE"""),"For sale")</f>
        <v>For sale</v>
      </c>
      <c r="B2953" s="2" t="str">
        <f>IFERROR(__xludf.DUMMYFUNCTION("""COMPUTED_VALUE"""),"Imanta")</f>
        <v>Imanta</v>
      </c>
      <c r="C2953" s="2" t="str">
        <f>IFERROR(__xludf.DUMMYFUNCTION("""COMPUTED_VALUE"""),"Slokas 195")</f>
        <v>Slokas 195</v>
      </c>
      <c r="D2953" s="2">
        <f>IFERROR(__xludf.DUMMYFUNCTION("""COMPUTED_VALUE"""),3.0)</f>
        <v>3</v>
      </c>
      <c r="E2953" s="2">
        <f>IFERROR(__xludf.DUMMYFUNCTION("""COMPUTED_VALUE"""),68.0)</f>
        <v>68</v>
      </c>
      <c r="F2953" s="2">
        <f>IFERROR(__xludf.DUMMYFUNCTION("""COMPUTED_VALUE"""),5.0)</f>
        <v>5</v>
      </c>
      <c r="G2953" s="2">
        <f>IFERROR(__xludf.DUMMYFUNCTION("""COMPUTED_VALUE"""),5.0)</f>
        <v>5</v>
      </c>
      <c r="H2953" s="2" t="str">
        <f>IFERROR(__xludf.DUMMYFUNCTION("""COMPUTED_VALUE"""),"LT proj.")</f>
        <v>LT proj.</v>
      </c>
      <c r="I2953" s="2" t="str">
        <f>IFERROR(__xludf.DUMMYFUNCTION("""COMPUTED_VALUE"""),"Panel")</f>
        <v>Panel</v>
      </c>
      <c r="J2953" s="2" t="str">
        <f>IFERROR(__xludf.DUMMYFUNCTION("""COMPUTED_VALUE"""),"All amenities")</f>
        <v>All amenities</v>
      </c>
      <c r="K2953" s="2">
        <f>IFERROR(__xludf.DUMMYFUNCTION("""COMPUTED_VALUE"""),68000.0)</f>
        <v>68000</v>
      </c>
      <c r="L2953" s="2">
        <f>IFERROR(__xludf.DUMMYFUNCTION("""COMPUTED_VALUE"""),56.9623408)</f>
        <v>56.9623408</v>
      </c>
      <c r="M2953" s="2">
        <f>IFERROR(__xludf.DUMMYFUNCTION("""COMPUTED_VALUE"""),24.0167995274108)</f>
        <v>24.01679953</v>
      </c>
    </row>
    <row r="2954">
      <c r="A2954" s="2" t="str">
        <f>IFERROR(__xludf.DUMMYFUNCTION("""COMPUTED_VALUE"""),"For sale")</f>
        <v>For sale</v>
      </c>
      <c r="B2954" s="2" t="str">
        <f>IFERROR(__xludf.DUMMYFUNCTION("""COMPUTED_VALUE"""),"Zolitūde")</f>
        <v>Zolitūde</v>
      </c>
      <c r="C2954" s="2" t="str">
        <f>IFERROR(__xludf.DUMMYFUNCTION("""COMPUTED_VALUE"""),"Apuzes 51a")</f>
        <v>Apuzes 51a</v>
      </c>
      <c r="D2954" s="2">
        <f>IFERROR(__xludf.DUMMYFUNCTION("""COMPUTED_VALUE"""),2.0)</f>
        <v>2</v>
      </c>
      <c r="E2954" s="2">
        <f>IFERROR(__xludf.DUMMYFUNCTION("""COMPUTED_VALUE"""),76.0)</f>
        <v>76</v>
      </c>
      <c r="F2954" s="2">
        <f>IFERROR(__xludf.DUMMYFUNCTION("""COMPUTED_VALUE"""),1.0)</f>
        <v>1</v>
      </c>
      <c r="G2954" s="2">
        <f>IFERROR(__xludf.DUMMYFUNCTION("""COMPUTED_VALUE"""),3.0)</f>
        <v>3</v>
      </c>
      <c r="H2954" s="2" t="str">
        <f>IFERROR(__xludf.DUMMYFUNCTION("""COMPUTED_VALUE"""),"Jaun.")</f>
        <v>Jaun.</v>
      </c>
      <c r="I2954" s="2" t="str">
        <f>IFERROR(__xludf.DUMMYFUNCTION("""COMPUTED_VALUE"""),"Panel-Brick")</f>
        <v>Panel-Brick</v>
      </c>
      <c r="J2954" s="2" t="str">
        <f>IFERROR(__xludf.DUMMYFUNCTION("""COMPUTED_VALUE"""),"All amenities")</f>
        <v>All amenities</v>
      </c>
      <c r="K2954" s="2">
        <f>IFERROR(__xludf.DUMMYFUNCTION("""COMPUTED_VALUE"""),97680.0)</f>
        <v>97680</v>
      </c>
      <c r="L2954" s="2">
        <f>IFERROR(__xludf.DUMMYFUNCTION("""COMPUTED_VALUE"""),56.9371904)</f>
        <v>56.9371904</v>
      </c>
      <c r="M2954" s="2">
        <f>IFERROR(__xludf.DUMMYFUNCTION("""COMPUTED_VALUE"""),24.0257892)</f>
        <v>24.0257892</v>
      </c>
    </row>
    <row r="2955">
      <c r="A2955" s="2" t="str">
        <f>IFERROR(__xludf.DUMMYFUNCTION("""COMPUTED_VALUE"""),"For sale")</f>
        <v>For sale</v>
      </c>
      <c r="B2955" s="2" t="str">
        <f>IFERROR(__xludf.DUMMYFUNCTION("""COMPUTED_VALUE"""),"Zolitūde")</f>
        <v>Zolitūde</v>
      </c>
      <c r="C2955" s="2" t="str">
        <f>IFERROR(__xludf.DUMMYFUNCTION("""COMPUTED_VALUE"""),"Apuzes 51")</f>
        <v>Apuzes 51</v>
      </c>
      <c r="D2955" s="2">
        <f>IFERROR(__xludf.DUMMYFUNCTION("""COMPUTED_VALUE"""),2.0)</f>
        <v>2</v>
      </c>
      <c r="E2955" s="2">
        <f>IFERROR(__xludf.DUMMYFUNCTION("""COMPUTED_VALUE"""),66.0)</f>
        <v>66</v>
      </c>
      <c r="F2955" s="2">
        <f>IFERROR(__xludf.DUMMYFUNCTION("""COMPUTED_VALUE"""),1.0)</f>
        <v>1</v>
      </c>
      <c r="G2955" s="2">
        <f>IFERROR(__xludf.DUMMYFUNCTION("""COMPUTED_VALUE"""),3.0)</f>
        <v>3</v>
      </c>
      <c r="H2955" s="2" t="str">
        <f>IFERROR(__xludf.DUMMYFUNCTION("""COMPUTED_VALUE"""),"Jaun.")</f>
        <v>Jaun.</v>
      </c>
      <c r="I2955" s="2" t="str">
        <f>IFERROR(__xludf.DUMMYFUNCTION("""COMPUTED_VALUE"""),"Panel-Brick")</f>
        <v>Panel-Brick</v>
      </c>
      <c r="J2955" s="2" t="str">
        <f>IFERROR(__xludf.DUMMYFUNCTION("""COMPUTED_VALUE"""),"All amenities")</f>
        <v>All amenities</v>
      </c>
      <c r="K2955" s="2">
        <f>IFERROR(__xludf.DUMMYFUNCTION("""COMPUTED_VALUE"""),97680.0)</f>
        <v>97680</v>
      </c>
      <c r="L2955" s="2">
        <f>IFERROR(__xludf.DUMMYFUNCTION("""COMPUTED_VALUE"""),56.9371904)</f>
        <v>56.9371904</v>
      </c>
      <c r="M2955" s="2">
        <f>IFERROR(__xludf.DUMMYFUNCTION("""COMPUTED_VALUE"""),24.0257892)</f>
        <v>24.0257892</v>
      </c>
    </row>
    <row r="2956">
      <c r="A2956" s="2" t="str">
        <f>IFERROR(__xludf.DUMMYFUNCTION("""COMPUTED_VALUE"""),"For sale")</f>
        <v>For sale</v>
      </c>
      <c r="B2956" s="2" t="str">
        <f>IFERROR(__xludf.DUMMYFUNCTION("""COMPUTED_VALUE"""),"Šampēteris-Pleskodāle")</f>
        <v>Šampēteris-Pleskodāle</v>
      </c>
      <c r="C2956" s="2" t="str">
        <f>IFERROR(__xludf.DUMMYFUNCTION("""COMPUTED_VALUE"""),"Apuzes 51")</f>
        <v>Apuzes 51</v>
      </c>
      <c r="D2956" s="2">
        <f>IFERROR(__xludf.DUMMYFUNCTION("""COMPUTED_VALUE"""),4.0)</f>
        <v>4</v>
      </c>
      <c r="E2956" s="2">
        <f>IFERROR(__xludf.DUMMYFUNCTION("""COMPUTED_VALUE"""),103.0)</f>
        <v>103</v>
      </c>
      <c r="F2956" s="2">
        <f>IFERROR(__xludf.DUMMYFUNCTION("""COMPUTED_VALUE"""),3.0)</f>
        <v>3</v>
      </c>
      <c r="G2956" s="2">
        <f>IFERROR(__xludf.DUMMYFUNCTION("""COMPUTED_VALUE"""),3.0)</f>
        <v>3</v>
      </c>
      <c r="H2956" s="2" t="str">
        <f>IFERROR(__xludf.DUMMYFUNCTION("""COMPUTED_VALUE"""),"Jaun.")</f>
        <v>Jaun.</v>
      </c>
      <c r="I2956" s="2" t="str">
        <f>IFERROR(__xludf.DUMMYFUNCTION("""COMPUTED_VALUE"""),"Panel")</f>
        <v>Panel</v>
      </c>
      <c r="J2956" s="2" t="str">
        <f>IFERROR(__xludf.DUMMYFUNCTION("""COMPUTED_VALUE"""),"All amenities")</f>
        <v>All amenities</v>
      </c>
      <c r="K2956" s="2">
        <f>IFERROR(__xludf.DUMMYFUNCTION("""COMPUTED_VALUE"""),169660.0)</f>
        <v>169660</v>
      </c>
      <c r="L2956" s="2">
        <f>IFERROR(__xludf.DUMMYFUNCTION("""COMPUTED_VALUE"""),56.9371904)</f>
        <v>56.9371904</v>
      </c>
      <c r="M2956" s="2">
        <f>IFERROR(__xludf.DUMMYFUNCTION("""COMPUTED_VALUE"""),24.0257892)</f>
        <v>24.0257892</v>
      </c>
    </row>
    <row r="2957">
      <c r="A2957" s="2" t="str">
        <f>IFERROR(__xludf.DUMMYFUNCTION("""COMPUTED_VALUE"""),"For rent")</f>
        <v>For rent</v>
      </c>
      <c r="B2957" s="2" t="str">
        <f>IFERROR(__xludf.DUMMYFUNCTION("""COMPUTED_VALUE"""),"Jugla")</f>
        <v>Jugla</v>
      </c>
      <c r="C2957" s="2" t="str">
        <f>IFERROR(__xludf.DUMMYFUNCTION("""COMPUTED_VALUE"""),"Brīvības gatve 386")</f>
        <v>Brīvības gatve 386</v>
      </c>
      <c r="D2957" s="2">
        <f>IFERROR(__xludf.DUMMYFUNCTION("""COMPUTED_VALUE"""),1.0)</f>
        <v>1</v>
      </c>
      <c r="E2957" s="2">
        <f>IFERROR(__xludf.DUMMYFUNCTION("""COMPUTED_VALUE"""),33.0)</f>
        <v>33</v>
      </c>
      <c r="F2957" s="2">
        <f>IFERROR(__xludf.DUMMYFUNCTION("""COMPUTED_VALUE"""),5.0)</f>
        <v>5</v>
      </c>
      <c r="G2957" s="2">
        <f>IFERROR(__xludf.DUMMYFUNCTION("""COMPUTED_VALUE"""),13.0)</f>
        <v>13</v>
      </c>
      <c r="H2957" s="2" t="str">
        <f>IFERROR(__xludf.DUMMYFUNCTION("""COMPUTED_VALUE"""),"Jaun.")</f>
        <v>Jaun.</v>
      </c>
      <c r="I2957" s="2" t="str">
        <f>IFERROR(__xludf.DUMMYFUNCTION("""COMPUTED_VALUE"""),"Brick-Panel")</f>
        <v>Brick-Panel</v>
      </c>
      <c r="J2957" s="2" t="str">
        <f>IFERROR(__xludf.DUMMYFUNCTION("""COMPUTED_VALUE"""),"All amenities")</f>
        <v>All amenities</v>
      </c>
      <c r="K2957" s="2">
        <f>IFERROR(__xludf.DUMMYFUNCTION("""COMPUTED_VALUE"""),280.0)</f>
        <v>280</v>
      </c>
      <c r="L2957" s="2">
        <f>IFERROR(__xludf.DUMMYFUNCTION("""COMPUTED_VALUE"""),56.9865422999999)</f>
        <v>56.9865423</v>
      </c>
      <c r="M2957" s="2">
        <f>IFERROR(__xludf.DUMMYFUNCTION("""COMPUTED_VALUE"""),24.2199392)</f>
        <v>24.2199392</v>
      </c>
    </row>
    <row r="2958">
      <c r="A2958" s="2" t="str">
        <f>IFERROR(__xludf.DUMMYFUNCTION("""COMPUTED_VALUE"""),"For sale")</f>
        <v>For sale</v>
      </c>
      <c r="B2958" s="2" t="str">
        <f>IFERROR(__xludf.DUMMYFUNCTION("""COMPUTED_VALUE"""),"centrs")</f>
        <v>centrs</v>
      </c>
      <c r="C2958" s="2" t="str">
        <f>IFERROR(__xludf.DUMMYFUNCTION("""COMPUTED_VALUE"""),"Pērnavas 23")</f>
        <v>Pērnavas 23</v>
      </c>
      <c r="D2958" s="2">
        <f>IFERROR(__xludf.DUMMYFUNCTION("""COMPUTED_VALUE"""),1.0)</f>
        <v>1</v>
      </c>
      <c r="E2958" s="2">
        <f>IFERROR(__xludf.DUMMYFUNCTION("""COMPUTED_VALUE"""),30.0)</f>
        <v>30</v>
      </c>
      <c r="F2958" s="2">
        <f>IFERROR(__xludf.DUMMYFUNCTION("""COMPUTED_VALUE"""),6.0)</f>
        <v>6</v>
      </c>
      <c r="G2958" s="2">
        <f>IFERROR(__xludf.DUMMYFUNCTION("""COMPUTED_VALUE"""),6.0)</f>
        <v>6</v>
      </c>
      <c r="H2958" s="2" t="str">
        <f>IFERROR(__xludf.DUMMYFUNCTION("""COMPUTED_VALUE"""),"P. kara")</f>
        <v>P. kara</v>
      </c>
      <c r="I2958" s="2" t="str">
        <f>IFERROR(__xludf.DUMMYFUNCTION("""COMPUTED_VALUE"""),"Brick")</f>
        <v>Brick</v>
      </c>
      <c r="J2958" s="2" t="str">
        <f>IFERROR(__xludf.DUMMYFUNCTION("""COMPUTED_VALUE"""),"All amenities")</f>
        <v>All amenities</v>
      </c>
      <c r="K2958" s="2">
        <f>IFERROR(__xludf.DUMMYFUNCTION("""COMPUTED_VALUE"""),56700.0)</f>
        <v>56700</v>
      </c>
      <c r="L2958" s="2">
        <f>IFERROR(__xludf.DUMMYFUNCTION("""COMPUTED_VALUE"""),56.9622774)</f>
        <v>56.9622774</v>
      </c>
      <c r="M2958" s="2">
        <f>IFERROR(__xludf.DUMMYFUNCTION("""COMPUTED_VALUE"""),24.1515090216724)</f>
        <v>24.15150902</v>
      </c>
    </row>
    <row r="2959">
      <c r="A2959" s="2" t="str">
        <f>IFERROR(__xludf.DUMMYFUNCTION("""COMPUTED_VALUE"""),"For sale")</f>
        <v>For sale</v>
      </c>
      <c r="B2959" s="2" t="str">
        <f>IFERROR(__xludf.DUMMYFUNCTION("""COMPUTED_VALUE"""),"Purvciems")</f>
        <v>Purvciems</v>
      </c>
      <c r="C2959" s="2" t="str">
        <f>IFERROR(__xludf.DUMMYFUNCTION("""COMPUTED_VALUE"""),"Pūces 43")</f>
        <v>Pūces 43</v>
      </c>
      <c r="D2959" s="2">
        <f>IFERROR(__xludf.DUMMYFUNCTION("""COMPUTED_VALUE"""),2.0)</f>
        <v>2</v>
      </c>
      <c r="E2959" s="2">
        <f>IFERROR(__xludf.DUMMYFUNCTION("""COMPUTED_VALUE"""),108.0)</f>
        <v>108</v>
      </c>
      <c r="F2959" s="2">
        <f>IFERROR(__xludf.DUMMYFUNCTION("""COMPUTED_VALUE"""),5.0)</f>
        <v>5</v>
      </c>
      <c r="G2959" s="2">
        <f>IFERROR(__xludf.DUMMYFUNCTION("""COMPUTED_VALUE"""),8.0)</f>
        <v>8</v>
      </c>
      <c r="H2959" s="2" t="str">
        <f>IFERROR(__xludf.DUMMYFUNCTION("""COMPUTED_VALUE"""),"Jaun.")</f>
        <v>Jaun.</v>
      </c>
      <c r="I2959" s="2" t="str">
        <f>IFERROR(__xludf.DUMMYFUNCTION("""COMPUTED_VALUE"""),"Panel")</f>
        <v>Panel</v>
      </c>
      <c r="J2959" s="2" t="str">
        <f>IFERROR(__xludf.DUMMYFUNCTION("""COMPUTED_VALUE"""),"All amenities")</f>
        <v>All amenities</v>
      </c>
      <c r="K2959" s="2">
        <f>IFERROR(__xludf.DUMMYFUNCTION("""COMPUTED_VALUE"""),155000.0)</f>
        <v>155000</v>
      </c>
      <c r="L2959" s="2">
        <f>IFERROR(__xludf.DUMMYFUNCTION("""COMPUTED_VALUE"""),56.95305905)</f>
        <v>56.95305905</v>
      </c>
      <c r="M2959" s="2">
        <f>IFERROR(__xludf.DUMMYFUNCTION("""COMPUTED_VALUE"""),24.1895784205048)</f>
        <v>24.18957842</v>
      </c>
    </row>
    <row r="2960">
      <c r="A2960" s="2" t="str">
        <f>IFERROR(__xludf.DUMMYFUNCTION("""COMPUTED_VALUE"""),"For sale")</f>
        <v>For sale</v>
      </c>
      <c r="B2960" s="2" t="str">
        <f>IFERROR(__xludf.DUMMYFUNCTION("""COMPUTED_VALUE"""),"Teika")</f>
        <v>Teika</v>
      </c>
      <c r="C2960" s="2" t="str">
        <f>IFERROR(__xludf.DUMMYFUNCTION("""COMPUTED_VALUE"""),"Aizkraukles 30")</f>
        <v>Aizkraukles 30</v>
      </c>
      <c r="D2960" s="2">
        <f>IFERROR(__xludf.DUMMYFUNCTION("""COMPUTED_VALUE"""),2.0)</f>
        <v>2</v>
      </c>
      <c r="E2960" s="2">
        <f>IFERROR(__xludf.DUMMYFUNCTION("""COMPUTED_VALUE"""),49.0)</f>
        <v>49</v>
      </c>
      <c r="F2960" s="2">
        <f>IFERROR(__xludf.DUMMYFUNCTION("""COMPUTED_VALUE"""),3.0)</f>
        <v>3</v>
      </c>
      <c r="G2960" s="2">
        <f>IFERROR(__xludf.DUMMYFUNCTION("""COMPUTED_VALUE"""),3.0)</f>
        <v>3</v>
      </c>
      <c r="H2960" s="2" t="str">
        <f>IFERROR(__xludf.DUMMYFUNCTION("""COMPUTED_VALUE"""),"Hrušč.")</f>
        <v>Hrušč.</v>
      </c>
      <c r="I2960" s="2" t="str">
        <f>IFERROR(__xludf.DUMMYFUNCTION("""COMPUTED_VALUE"""),"Brick")</f>
        <v>Brick</v>
      </c>
      <c r="J2960" s="2" t="str">
        <f>IFERROR(__xludf.DUMMYFUNCTION("""COMPUTED_VALUE"""),"All amenities")</f>
        <v>All amenities</v>
      </c>
      <c r="K2960" s="2">
        <f>IFERROR(__xludf.DUMMYFUNCTION("""COMPUTED_VALUE"""),56000.0)</f>
        <v>56000</v>
      </c>
      <c r="L2960" s="2">
        <f>IFERROR(__xludf.DUMMYFUNCTION("""COMPUTED_VALUE"""),56.9768701)</f>
        <v>56.9768701</v>
      </c>
      <c r="M2960" s="2">
        <f>IFERROR(__xludf.DUMMYFUNCTION("""COMPUTED_VALUE"""),24.1904915982105)</f>
        <v>24.1904916</v>
      </c>
    </row>
    <row r="2961">
      <c r="A2961" s="2" t="str">
        <f>IFERROR(__xludf.DUMMYFUNCTION("""COMPUTED_VALUE"""),"For sale")</f>
        <v>For sale</v>
      </c>
      <c r="B2961" s="2" t="str">
        <f>IFERROR(__xludf.DUMMYFUNCTION("""COMPUTED_VALUE"""),"Aplokciems")</f>
        <v>Aplokciems</v>
      </c>
      <c r="C2961" s="2" t="str">
        <f>IFERROR(__xludf.DUMMYFUNCTION("""COMPUTED_VALUE"""),"Briežu 9")</f>
        <v>Briežu 9</v>
      </c>
      <c r="D2961" s="2">
        <f>IFERROR(__xludf.DUMMYFUNCTION("""COMPUTED_VALUE"""),1.0)</f>
        <v>1</v>
      </c>
      <c r="E2961" s="2">
        <f>IFERROR(__xludf.DUMMYFUNCTION("""COMPUTED_VALUE"""),27.0)</f>
        <v>27</v>
      </c>
      <c r="F2961" s="2">
        <f>IFERROR(__xludf.DUMMYFUNCTION("""COMPUTED_VALUE"""),2.0)</f>
        <v>2</v>
      </c>
      <c r="G2961" s="2">
        <f>IFERROR(__xludf.DUMMYFUNCTION("""COMPUTED_VALUE"""),6.0)</f>
        <v>6</v>
      </c>
      <c r="H2961" s="2" t="str">
        <f>IFERROR(__xludf.DUMMYFUNCTION("""COMPUTED_VALUE"""),"Jaun.")</f>
        <v>Jaun.</v>
      </c>
      <c r="I2961" s="2" t="str">
        <f>IFERROR(__xludf.DUMMYFUNCTION("""COMPUTED_VALUE"""),"Panel")</f>
        <v>Panel</v>
      </c>
      <c r="J2961" s="2" t="str">
        <f>IFERROR(__xludf.DUMMYFUNCTION("""COMPUTED_VALUE"""),"All amenities")</f>
        <v>All amenities</v>
      </c>
      <c r="K2961" s="2">
        <f>IFERROR(__xludf.DUMMYFUNCTION("""COMPUTED_VALUE"""),40500.0)</f>
        <v>40500</v>
      </c>
      <c r="L2961" s="2">
        <f>IFERROR(__xludf.DUMMYFUNCTION("""COMPUTED_VALUE"""),57.0229234499999)</f>
        <v>57.02292345</v>
      </c>
      <c r="M2961" s="2">
        <f>IFERROR(__xludf.DUMMYFUNCTION("""COMPUTED_VALUE"""),24.1376648769917)</f>
        <v>24.13766488</v>
      </c>
    </row>
    <row r="2962">
      <c r="A2962" s="2" t="str">
        <f>IFERROR(__xludf.DUMMYFUNCTION("""COMPUTED_VALUE"""),"For sale")</f>
        <v>For sale</v>
      </c>
      <c r="B2962" s="2" t="str">
        <f>IFERROR(__xludf.DUMMYFUNCTION("""COMPUTED_VALUE"""),"Purvciems")</f>
        <v>Purvciems</v>
      </c>
      <c r="C2962" s="2" t="str">
        <f>IFERROR(__xludf.DUMMYFUNCTION("""COMPUTED_VALUE"""),"Deglava 106 k-2")</f>
        <v>Deglava 106 k-2</v>
      </c>
      <c r="D2962" s="2">
        <f>IFERROR(__xludf.DUMMYFUNCTION("""COMPUTED_VALUE"""),4.0)</f>
        <v>4</v>
      </c>
      <c r="E2962" s="2">
        <f>IFERROR(__xludf.DUMMYFUNCTION("""COMPUTED_VALUE"""),94.0)</f>
        <v>94</v>
      </c>
      <c r="F2962" s="2">
        <f>IFERROR(__xludf.DUMMYFUNCTION("""COMPUTED_VALUE"""),9.0)</f>
        <v>9</v>
      </c>
      <c r="G2962" s="2">
        <f>IFERROR(__xludf.DUMMYFUNCTION("""COMPUTED_VALUE"""),9.0)</f>
        <v>9</v>
      </c>
      <c r="H2962" s="2">
        <f>IFERROR(__xludf.DUMMYFUNCTION("""COMPUTED_VALUE"""),119.0)</f>
        <v>119</v>
      </c>
      <c r="I2962" s="2" t="str">
        <f>IFERROR(__xludf.DUMMYFUNCTION("""COMPUTED_VALUE"""),"Panel")</f>
        <v>Panel</v>
      </c>
      <c r="J2962" s="2" t="str">
        <f>IFERROR(__xludf.DUMMYFUNCTION("""COMPUTED_VALUE"""),"All amenities")</f>
        <v>All amenities</v>
      </c>
      <c r="K2962" s="2">
        <f>IFERROR(__xludf.DUMMYFUNCTION("""COMPUTED_VALUE"""),86000.0)</f>
        <v>86000</v>
      </c>
      <c r="L2962" s="2">
        <f>IFERROR(__xludf.DUMMYFUNCTION("""COMPUTED_VALUE"""),56.9479582)</f>
        <v>56.9479582</v>
      </c>
      <c r="M2962" s="2">
        <f>IFERROR(__xludf.DUMMYFUNCTION("""COMPUTED_VALUE"""),24.1909557999999)</f>
        <v>24.1909558</v>
      </c>
    </row>
    <row r="2963">
      <c r="A2963" s="2" t="str">
        <f>IFERROR(__xludf.DUMMYFUNCTION("""COMPUTED_VALUE"""),"For sale")</f>
        <v>For sale</v>
      </c>
      <c r="B2963" s="2" t="str">
        <f>IFERROR(__xludf.DUMMYFUNCTION("""COMPUTED_VALUE"""),"Maskavas priekšpilsēta")</f>
        <v>Maskavas priekšpilsēta</v>
      </c>
      <c r="C2963" s="2" t="str">
        <f>IFERROR(__xludf.DUMMYFUNCTION("""COMPUTED_VALUE"""),"Maskavas 237a")</f>
        <v>Maskavas 237a</v>
      </c>
      <c r="D2963" s="2">
        <f>IFERROR(__xludf.DUMMYFUNCTION("""COMPUTED_VALUE"""),1.0)</f>
        <v>1</v>
      </c>
      <c r="E2963" s="2">
        <f>IFERROR(__xludf.DUMMYFUNCTION("""COMPUTED_VALUE"""),32.0)</f>
        <v>32</v>
      </c>
      <c r="F2963" s="2">
        <f>IFERROR(__xludf.DUMMYFUNCTION("""COMPUTED_VALUE"""),2.0)</f>
        <v>2</v>
      </c>
      <c r="G2963" s="2">
        <f>IFERROR(__xludf.DUMMYFUNCTION("""COMPUTED_VALUE"""),5.0)</f>
        <v>5</v>
      </c>
      <c r="H2963" s="2" t="str">
        <f>IFERROR(__xludf.DUMMYFUNCTION("""COMPUTED_VALUE"""),"Hrušč.")</f>
        <v>Hrušč.</v>
      </c>
      <c r="I2963" s="2" t="str">
        <f>IFERROR(__xludf.DUMMYFUNCTION("""COMPUTED_VALUE"""),"Brick")</f>
        <v>Brick</v>
      </c>
      <c r="J2963" s="2" t="str">
        <f>IFERROR(__xludf.DUMMYFUNCTION("""COMPUTED_VALUE"""),"All amenities")</f>
        <v>All amenities</v>
      </c>
      <c r="K2963" s="2">
        <f>IFERROR(__xludf.DUMMYFUNCTION("""COMPUTED_VALUE"""),34500.0)</f>
        <v>34500</v>
      </c>
      <c r="L2963" s="2">
        <f>IFERROR(__xludf.DUMMYFUNCTION("""COMPUTED_VALUE"""),56.9271387999999)</f>
        <v>56.9271388</v>
      </c>
      <c r="M2963" s="2">
        <f>IFERROR(__xludf.DUMMYFUNCTION("""COMPUTED_VALUE"""),24.1674973819472)</f>
        <v>24.16749738</v>
      </c>
    </row>
    <row r="2964">
      <c r="A2964" s="2" t="str">
        <f>IFERROR(__xludf.DUMMYFUNCTION("""COMPUTED_VALUE"""),"For sale")</f>
        <v>For sale</v>
      </c>
      <c r="B2964" s="2" t="str">
        <f>IFERROR(__xludf.DUMMYFUNCTION("""COMPUTED_VALUE"""),"Āgenskalns")</f>
        <v>Āgenskalns</v>
      </c>
      <c r="C2964" s="2" t="str">
        <f>IFERROR(__xludf.DUMMYFUNCTION("""COMPUTED_VALUE"""),"Zemaišu 4")</f>
        <v>Zemaišu 4</v>
      </c>
      <c r="D2964" s="2">
        <f>IFERROR(__xludf.DUMMYFUNCTION("""COMPUTED_VALUE"""),1.0)</f>
        <v>1</v>
      </c>
      <c r="E2964" s="2">
        <f>IFERROR(__xludf.DUMMYFUNCTION("""COMPUTED_VALUE"""),31.0)</f>
        <v>31</v>
      </c>
      <c r="F2964" s="2">
        <f>IFERROR(__xludf.DUMMYFUNCTION("""COMPUTED_VALUE"""),3.0)</f>
        <v>3</v>
      </c>
      <c r="G2964" s="2">
        <f>IFERROR(__xludf.DUMMYFUNCTION("""COMPUTED_VALUE"""),4.0)</f>
        <v>4</v>
      </c>
      <c r="H2964" s="2" t="str">
        <f>IFERROR(__xludf.DUMMYFUNCTION("""COMPUTED_VALUE"""),"Hrušč.")</f>
        <v>Hrušč.</v>
      </c>
      <c r="I2964" s="2" t="str">
        <f>IFERROR(__xludf.DUMMYFUNCTION("""COMPUTED_VALUE"""),"Brick")</f>
        <v>Brick</v>
      </c>
      <c r="J2964" s="2" t="str">
        <f>IFERROR(__xludf.DUMMYFUNCTION("""COMPUTED_VALUE"""),"All amenities")</f>
        <v>All amenities</v>
      </c>
      <c r="K2964" s="2">
        <f>IFERROR(__xludf.DUMMYFUNCTION("""COMPUTED_VALUE"""),32900.0)</f>
        <v>32900</v>
      </c>
      <c r="L2964" s="2">
        <f>IFERROR(__xludf.DUMMYFUNCTION("""COMPUTED_VALUE"""),56.92963225)</f>
        <v>56.92963225</v>
      </c>
      <c r="M2964" s="2">
        <f>IFERROR(__xludf.DUMMYFUNCTION("""COMPUTED_VALUE"""),24.069660351551)</f>
        <v>24.06966035</v>
      </c>
    </row>
    <row r="2965">
      <c r="A2965" s="2" t="str">
        <f>IFERROR(__xludf.DUMMYFUNCTION("""COMPUTED_VALUE"""),"For sale")</f>
        <v>For sale</v>
      </c>
      <c r="B2965" s="2" t="str">
        <f>IFERROR(__xludf.DUMMYFUNCTION("""COMPUTED_VALUE"""),"centrs")</f>
        <v>centrs</v>
      </c>
      <c r="C2965" s="2" t="str">
        <f>IFERROR(__xludf.DUMMYFUNCTION("""COMPUTED_VALUE"""),"Strēlnieku 13")</f>
        <v>Strēlnieku 13</v>
      </c>
      <c r="D2965" s="2">
        <f>IFERROR(__xludf.DUMMYFUNCTION("""COMPUTED_VALUE"""),2.0)</f>
        <v>2</v>
      </c>
      <c r="E2965" s="2">
        <f>IFERROR(__xludf.DUMMYFUNCTION("""COMPUTED_VALUE"""),65.0)</f>
        <v>65</v>
      </c>
      <c r="F2965" s="2">
        <f>IFERROR(__xludf.DUMMYFUNCTION("""COMPUTED_VALUE"""),5.0)</f>
        <v>5</v>
      </c>
      <c r="G2965" s="2">
        <f>IFERROR(__xludf.DUMMYFUNCTION("""COMPUTED_VALUE"""),5.0)</f>
        <v>5</v>
      </c>
      <c r="H2965" s="2" t="str">
        <f>IFERROR(__xludf.DUMMYFUNCTION("""COMPUTED_VALUE"""),"Renov.")</f>
        <v>Renov.</v>
      </c>
      <c r="I2965" s="2" t="str">
        <f>IFERROR(__xludf.DUMMYFUNCTION("""COMPUTED_VALUE"""),"Masonry")</f>
        <v>Masonry</v>
      </c>
      <c r="J2965" s="2" t="str">
        <f>IFERROR(__xludf.DUMMYFUNCTION("""COMPUTED_VALUE"""),"All amenities")</f>
        <v>All amenities</v>
      </c>
      <c r="K2965" s="2">
        <f>IFERROR(__xludf.DUMMYFUNCTION("""COMPUTED_VALUE"""),140000.0)</f>
        <v>140000</v>
      </c>
      <c r="L2965" s="2">
        <f>IFERROR(__xludf.DUMMYFUNCTION("""COMPUTED_VALUE"""),56.9589644)</f>
        <v>56.9589644</v>
      </c>
      <c r="M2965" s="2">
        <f>IFERROR(__xludf.DUMMYFUNCTION("""COMPUTED_VALUE"""),24.1081412)</f>
        <v>24.1081412</v>
      </c>
    </row>
    <row r="2966">
      <c r="A2966" s="2" t="str">
        <f>IFERROR(__xludf.DUMMYFUNCTION("""COMPUTED_VALUE"""),"For sale")</f>
        <v>For sale</v>
      </c>
      <c r="B2966" s="2" t="str">
        <f>IFERROR(__xludf.DUMMYFUNCTION("""COMPUTED_VALUE"""),"Aplokciems")</f>
        <v>Aplokciems</v>
      </c>
      <c r="C2966" s="2" t="str">
        <f>IFERROR(__xludf.DUMMYFUNCTION("""COMPUTED_VALUE"""),"Briežu 9")</f>
        <v>Briežu 9</v>
      </c>
      <c r="D2966" s="2">
        <f>IFERROR(__xludf.DUMMYFUNCTION("""COMPUTED_VALUE"""),2.0)</f>
        <v>2</v>
      </c>
      <c r="E2966" s="2">
        <f>IFERROR(__xludf.DUMMYFUNCTION("""COMPUTED_VALUE"""),46.0)</f>
        <v>46</v>
      </c>
      <c r="F2966" s="2">
        <f>IFERROR(__xludf.DUMMYFUNCTION("""COMPUTED_VALUE"""),1.0)</f>
        <v>1</v>
      </c>
      <c r="G2966" s="2">
        <f>IFERROR(__xludf.DUMMYFUNCTION("""COMPUTED_VALUE"""),6.0)</f>
        <v>6</v>
      </c>
      <c r="H2966" s="2" t="str">
        <f>IFERROR(__xludf.DUMMYFUNCTION("""COMPUTED_VALUE"""),"Jaun.")</f>
        <v>Jaun.</v>
      </c>
      <c r="I2966" s="2" t="str">
        <f>IFERROR(__xludf.DUMMYFUNCTION("""COMPUTED_VALUE"""),"Panel")</f>
        <v>Panel</v>
      </c>
      <c r="J2966" s="2" t="str">
        <f>IFERROR(__xludf.DUMMYFUNCTION("""COMPUTED_VALUE"""),"All amenities")</f>
        <v>All amenities</v>
      </c>
      <c r="K2966" s="2">
        <f>IFERROR(__xludf.DUMMYFUNCTION("""COMPUTED_VALUE"""),66000.0)</f>
        <v>66000</v>
      </c>
      <c r="L2966" s="2">
        <f>IFERROR(__xludf.DUMMYFUNCTION("""COMPUTED_VALUE"""),57.0229234499999)</f>
        <v>57.02292345</v>
      </c>
      <c r="M2966" s="2">
        <f>IFERROR(__xludf.DUMMYFUNCTION("""COMPUTED_VALUE"""),24.1376648769917)</f>
        <v>24.13766488</v>
      </c>
    </row>
    <row r="2967">
      <c r="A2967" s="2" t="str">
        <f>IFERROR(__xludf.DUMMYFUNCTION("""COMPUTED_VALUE"""),"For sale")</f>
        <v>For sale</v>
      </c>
      <c r="B2967" s="2" t="str">
        <f>IFERROR(__xludf.DUMMYFUNCTION("""COMPUTED_VALUE"""),"Aplokciems")</f>
        <v>Aplokciems</v>
      </c>
      <c r="C2967" s="2" t="str">
        <f>IFERROR(__xludf.DUMMYFUNCTION("""COMPUTED_VALUE"""),"Briežu 9")</f>
        <v>Briežu 9</v>
      </c>
      <c r="D2967" s="2">
        <f>IFERROR(__xludf.DUMMYFUNCTION("""COMPUTED_VALUE"""),3.0)</f>
        <v>3</v>
      </c>
      <c r="E2967" s="2">
        <f>IFERROR(__xludf.DUMMYFUNCTION("""COMPUTED_VALUE"""),54.0)</f>
        <v>54</v>
      </c>
      <c r="F2967" s="2">
        <f>IFERROR(__xludf.DUMMYFUNCTION("""COMPUTED_VALUE"""),3.0)</f>
        <v>3</v>
      </c>
      <c r="G2967" s="2">
        <f>IFERROR(__xludf.DUMMYFUNCTION("""COMPUTED_VALUE"""),6.0)</f>
        <v>6</v>
      </c>
      <c r="H2967" s="2" t="str">
        <f>IFERROR(__xludf.DUMMYFUNCTION("""COMPUTED_VALUE"""),"Jaun.")</f>
        <v>Jaun.</v>
      </c>
      <c r="I2967" s="2" t="str">
        <f>IFERROR(__xludf.DUMMYFUNCTION("""COMPUTED_VALUE"""),"Brick")</f>
        <v>Brick</v>
      </c>
      <c r="J2967" s="2" t="str">
        <f>IFERROR(__xludf.DUMMYFUNCTION("""COMPUTED_VALUE"""),"All amenities")</f>
        <v>All amenities</v>
      </c>
      <c r="K2967" s="2">
        <f>IFERROR(__xludf.DUMMYFUNCTION("""COMPUTED_VALUE"""),83000.0)</f>
        <v>83000</v>
      </c>
      <c r="L2967" s="2">
        <f>IFERROR(__xludf.DUMMYFUNCTION("""COMPUTED_VALUE"""),57.0229234499999)</f>
        <v>57.02292345</v>
      </c>
      <c r="M2967" s="2">
        <f>IFERROR(__xludf.DUMMYFUNCTION("""COMPUTED_VALUE"""),24.1376648769917)</f>
        <v>24.13766488</v>
      </c>
    </row>
    <row r="2968">
      <c r="A2968" s="2" t="str">
        <f>IFERROR(__xludf.DUMMYFUNCTION("""COMPUTED_VALUE"""),"For sale")</f>
        <v>For sale</v>
      </c>
      <c r="B2968" s="2" t="str">
        <f>IFERROR(__xludf.DUMMYFUNCTION("""COMPUTED_VALUE"""),"centrs")</f>
        <v>centrs</v>
      </c>
      <c r="C2968" s="2" t="str">
        <f>IFERROR(__xludf.DUMMYFUNCTION("""COMPUTED_VALUE"""),"Veru 3")</f>
        <v>Veru 3</v>
      </c>
      <c r="D2968" s="2">
        <f>IFERROR(__xludf.DUMMYFUNCTION("""COMPUTED_VALUE"""),4.0)</f>
        <v>4</v>
      </c>
      <c r="E2968" s="2">
        <f>IFERROR(__xludf.DUMMYFUNCTION("""COMPUTED_VALUE"""),82.0)</f>
        <v>82</v>
      </c>
      <c r="F2968" s="2">
        <f>IFERROR(__xludf.DUMMYFUNCTION("""COMPUTED_VALUE"""),5.0)</f>
        <v>5</v>
      </c>
      <c r="G2968" s="2">
        <f>IFERROR(__xludf.DUMMYFUNCTION("""COMPUTED_VALUE"""),5.0)</f>
        <v>5</v>
      </c>
      <c r="H2968" s="2" t="str">
        <f>IFERROR(__xludf.DUMMYFUNCTION("""COMPUTED_VALUE"""),"P. kara")</f>
        <v>P. kara</v>
      </c>
      <c r="I2968" s="2" t="str">
        <f>IFERROR(__xludf.DUMMYFUNCTION("""COMPUTED_VALUE"""),"Brick")</f>
        <v>Brick</v>
      </c>
      <c r="J2968" s="2" t="str">
        <f>IFERROR(__xludf.DUMMYFUNCTION("""COMPUTED_VALUE"""),"All amenities")</f>
        <v>All amenities</v>
      </c>
      <c r="K2968" s="2">
        <f>IFERROR(__xludf.DUMMYFUNCTION("""COMPUTED_VALUE"""),140000.0)</f>
        <v>140000</v>
      </c>
      <c r="L2968" s="2">
        <f>IFERROR(__xludf.DUMMYFUNCTION("""COMPUTED_VALUE"""),56.961845)</f>
        <v>56.961845</v>
      </c>
      <c r="M2968" s="2">
        <f>IFERROR(__xludf.DUMMYFUNCTION("""COMPUTED_VALUE"""),24.1010000181305)</f>
        <v>24.10100002</v>
      </c>
    </row>
    <row r="2969">
      <c r="A2969" s="2" t="str">
        <f>IFERROR(__xludf.DUMMYFUNCTION("""COMPUTED_VALUE"""),"For sale")</f>
        <v>For sale</v>
      </c>
      <c r="B2969" s="2" t="str">
        <f>IFERROR(__xludf.DUMMYFUNCTION("""COMPUTED_VALUE"""),"Aplokciems")</f>
        <v>Aplokciems</v>
      </c>
      <c r="C2969" s="2" t="str">
        <f>IFERROR(__xludf.DUMMYFUNCTION("""COMPUTED_VALUE"""),"Briežu 9")</f>
        <v>Briežu 9</v>
      </c>
      <c r="D2969" s="2">
        <f>IFERROR(__xludf.DUMMYFUNCTION("""COMPUTED_VALUE"""),4.0)</f>
        <v>4</v>
      </c>
      <c r="E2969" s="2">
        <f>IFERROR(__xludf.DUMMYFUNCTION("""COMPUTED_VALUE"""),68.0)</f>
        <v>68</v>
      </c>
      <c r="F2969" s="2">
        <f>IFERROR(__xludf.DUMMYFUNCTION("""COMPUTED_VALUE"""),2.0)</f>
        <v>2</v>
      </c>
      <c r="G2969" s="2">
        <f>IFERROR(__xludf.DUMMYFUNCTION("""COMPUTED_VALUE"""),6.0)</f>
        <v>6</v>
      </c>
      <c r="H2969" s="2" t="str">
        <f>IFERROR(__xludf.DUMMYFUNCTION("""COMPUTED_VALUE"""),"Jaun.")</f>
        <v>Jaun.</v>
      </c>
      <c r="I2969" s="2" t="str">
        <f>IFERROR(__xludf.DUMMYFUNCTION("""COMPUTED_VALUE"""),"Panel")</f>
        <v>Panel</v>
      </c>
      <c r="J2969" s="2" t="str">
        <f>IFERROR(__xludf.DUMMYFUNCTION("""COMPUTED_VALUE"""),"All amenities")</f>
        <v>All amenities</v>
      </c>
      <c r="K2969" s="2">
        <f>IFERROR(__xludf.DUMMYFUNCTION("""COMPUTED_VALUE"""),105000.0)</f>
        <v>105000</v>
      </c>
      <c r="L2969" s="2">
        <f>IFERROR(__xludf.DUMMYFUNCTION("""COMPUTED_VALUE"""),57.0229234499999)</f>
        <v>57.02292345</v>
      </c>
      <c r="M2969" s="2">
        <f>IFERROR(__xludf.DUMMYFUNCTION("""COMPUTED_VALUE"""),24.1376648769917)</f>
        <v>24.13766488</v>
      </c>
    </row>
    <row r="2970">
      <c r="A2970" s="2" t="str">
        <f>IFERROR(__xludf.DUMMYFUNCTION("""COMPUTED_VALUE"""),"For sale")</f>
        <v>For sale</v>
      </c>
      <c r="B2970" s="2" t="str">
        <f>IFERROR(__xludf.DUMMYFUNCTION("""COMPUTED_VALUE"""),"Jugla")</f>
        <v>Jugla</v>
      </c>
      <c r="C2970" s="2" t="str">
        <f>IFERROR(__xludf.DUMMYFUNCTION("""COMPUTED_VALUE"""),"Tirzas 3")</f>
        <v>Tirzas 3</v>
      </c>
      <c r="D2970" s="2">
        <f>IFERROR(__xludf.DUMMYFUNCTION("""COMPUTED_VALUE"""),2.0)</f>
        <v>2</v>
      </c>
      <c r="E2970" s="2">
        <f>IFERROR(__xludf.DUMMYFUNCTION("""COMPUTED_VALUE"""),45.0)</f>
        <v>45</v>
      </c>
      <c r="F2970" s="2">
        <f>IFERROR(__xludf.DUMMYFUNCTION("""COMPUTED_VALUE"""),3.0)</f>
        <v>3</v>
      </c>
      <c r="G2970" s="2">
        <f>IFERROR(__xludf.DUMMYFUNCTION("""COMPUTED_VALUE"""),5.0)</f>
        <v>5</v>
      </c>
      <c r="H2970" s="2" t="str">
        <f>IFERROR(__xludf.DUMMYFUNCTION("""COMPUTED_VALUE"""),"Specpr.")</f>
        <v>Specpr.</v>
      </c>
      <c r="I2970" s="2" t="str">
        <f>IFERROR(__xludf.DUMMYFUNCTION("""COMPUTED_VALUE"""),"Brick")</f>
        <v>Brick</v>
      </c>
      <c r="J2970" s="2" t="str">
        <f>IFERROR(__xludf.DUMMYFUNCTION("""COMPUTED_VALUE"""),"All amenities")</f>
        <v>All amenities</v>
      </c>
      <c r="K2970" s="2">
        <f>IFERROR(__xludf.DUMMYFUNCTION("""COMPUTED_VALUE"""),55000.0)</f>
        <v>55000</v>
      </c>
      <c r="L2970" s="2">
        <f>IFERROR(__xludf.DUMMYFUNCTION("""COMPUTED_VALUE"""),56.98890605)</f>
        <v>56.98890605</v>
      </c>
      <c r="M2970" s="2">
        <f>IFERROR(__xludf.DUMMYFUNCTION("""COMPUTED_VALUE"""),24.2261097456964)</f>
        <v>24.22610975</v>
      </c>
    </row>
    <row r="2971">
      <c r="A2971" s="2" t="str">
        <f>IFERROR(__xludf.DUMMYFUNCTION("""COMPUTED_VALUE"""),"For sale")</f>
        <v>For sale</v>
      </c>
      <c r="B2971" s="2" t="str">
        <f>IFERROR(__xludf.DUMMYFUNCTION("""COMPUTED_VALUE"""),"centrs")</f>
        <v>centrs</v>
      </c>
      <c r="C2971" s="2" t="str">
        <f>IFERROR(__xludf.DUMMYFUNCTION("""COMPUTED_VALUE"""),"Ģertrūdes 99")</f>
        <v>Ģertrūdes 99</v>
      </c>
      <c r="D2971" s="2">
        <f>IFERROR(__xludf.DUMMYFUNCTION("""COMPUTED_VALUE"""),3.0)</f>
        <v>3</v>
      </c>
      <c r="E2971" s="2">
        <f>IFERROR(__xludf.DUMMYFUNCTION("""COMPUTED_VALUE"""),64.0)</f>
        <v>64</v>
      </c>
      <c r="F2971" s="2">
        <f>IFERROR(__xludf.DUMMYFUNCTION("""COMPUTED_VALUE"""),6.0)</f>
        <v>6</v>
      </c>
      <c r="G2971" s="2">
        <f>IFERROR(__xludf.DUMMYFUNCTION("""COMPUTED_VALUE"""),6.0)</f>
        <v>6</v>
      </c>
      <c r="H2971" s="2" t="str">
        <f>IFERROR(__xludf.DUMMYFUNCTION("""COMPUTED_VALUE"""),"P. kara")</f>
        <v>P. kara</v>
      </c>
      <c r="I2971" s="2" t="str">
        <f>IFERROR(__xludf.DUMMYFUNCTION("""COMPUTED_VALUE"""),"Masonry")</f>
        <v>Masonry</v>
      </c>
      <c r="J2971" s="2" t="str">
        <f>IFERROR(__xludf.DUMMYFUNCTION("""COMPUTED_VALUE"""),"Without amenities")</f>
        <v>Without amenities</v>
      </c>
      <c r="K2971" s="2">
        <f>IFERROR(__xludf.DUMMYFUNCTION("""COMPUTED_VALUE"""),74000.0)</f>
        <v>74000</v>
      </c>
      <c r="L2971" s="2">
        <f>IFERROR(__xludf.DUMMYFUNCTION("""COMPUTED_VALUE"""),56.94999685)</f>
        <v>56.94999685</v>
      </c>
      <c r="M2971" s="2">
        <f>IFERROR(__xludf.DUMMYFUNCTION("""COMPUTED_VALUE"""),24.1364139006283)</f>
        <v>24.1364139</v>
      </c>
    </row>
    <row r="2972">
      <c r="A2972" s="2" t="str">
        <f>IFERROR(__xludf.DUMMYFUNCTION("""COMPUTED_VALUE"""),"For sale")</f>
        <v>For sale</v>
      </c>
      <c r="B2972" s="2" t="str">
        <f>IFERROR(__xludf.DUMMYFUNCTION("""COMPUTED_VALUE"""),"Āgenskalns")</f>
        <v>Āgenskalns</v>
      </c>
      <c r="C2972" s="2" t="str">
        <f>IFERROR(__xludf.DUMMYFUNCTION("""COMPUTED_VALUE"""),"Vīlipa 3")</f>
        <v>Vīlipa 3</v>
      </c>
      <c r="D2972" s="2">
        <f>IFERROR(__xludf.DUMMYFUNCTION("""COMPUTED_VALUE"""),3.0)</f>
        <v>3</v>
      </c>
      <c r="E2972" s="2">
        <f>IFERROR(__xludf.DUMMYFUNCTION("""COMPUTED_VALUE"""),62.0)</f>
        <v>62</v>
      </c>
      <c r="F2972" s="2">
        <f>IFERROR(__xludf.DUMMYFUNCTION("""COMPUTED_VALUE"""),1.0)</f>
        <v>1</v>
      </c>
      <c r="G2972" s="2">
        <f>IFERROR(__xludf.DUMMYFUNCTION("""COMPUTED_VALUE"""),2.0)</f>
        <v>2</v>
      </c>
      <c r="H2972" s="2" t="str">
        <f>IFERROR(__xludf.DUMMYFUNCTION("""COMPUTED_VALUE"""),"Renov.")</f>
        <v>Renov.</v>
      </c>
      <c r="I2972" s="2" t="str">
        <f>IFERROR(__xludf.DUMMYFUNCTION("""COMPUTED_VALUE"""),"Wood")</f>
        <v>Wood</v>
      </c>
      <c r="J2972" s="2" t="str">
        <f>IFERROR(__xludf.DUMMYFUNCTION("""COMPUTED_VALUE"""),"All amenities")</f>
        <v>All amenities</v>
      </c>
      <c r="K2972" s="2">
        <f>IFERROR(__xludf.DUMMYFUNCTION("""COMPUTED_VALUE"""),43400.0)</f>
        <v>43400</v>
      </c>
      <c r="L2972" s="2">
        <f>IFERROR(__xludf.DUMMYFUNCTION("""COMPUTED_VALUE"""),56.94731475)</f>
        <v>56.94731475</v>
      </c>
      <c r="M2972" s="2">
        <f>IFERROR(__xludf.DUMMYFUNCTION("""COMPUTED_VALUE"""),24.0609152601247)</f>
        <v>24.06091526</v>
      </c>
    </row>
    <row r="2973">
      <c r="A2973" s="2" t="str">
        <f>IFERROR(__xludf.DUMMYFUNCTION("""COMPUTED_VALUE"""),"For sale")</f>
        <v>For sale</v>
      </c>
      <c r="B2973" s="2" t="str">
        <f>IFERROR(__xludf.DUMMYFUNCTION("""COMPUTED_VALUE"""),"centrs")</f>
        <v>centrs</v>
      </c>
      <c r="C2973" s="2" t="str">
        <f>IFERROR(__xludf.DUMMYFUNCTION("""COMPUTED_VALUE"""),"Antonijas 18")</f>
        <v>Antonijas 18</v>
      </c>
      <c r="D2973" s="2">
        <f>IFERROR(__xludf.DUMMYFUNCTION("""COMPUTED_VALUE"""),3.0)</f>
        <v>3</v>
      </c>
      <c r="E2973" s="2">
        <f>IFERROR(__xludf.DUMMYFUNCTION("""COMPUTED_VALUE"""),100.0)</f>
        <v>100</v>
      </c>
      <c r="F2973" s="2">
        <f>IFERROR(__xludf.DUMMYFUNCTION("""COMPUTED_VALUE"""),2.0)</f>
        <v>2</v>
      </c>
      <c r="G2973" s="2">
        <f>IFERROR(__xludf.DUMMYFUNCTION("""COMPUTED_VALUE"""),6.0)</f>
        <v>6</v>
      </c>
      <c r="H2973" s="2" t="str">
        <f>IFERROR(__xludf.DUMMYFUNCTION("""COMPUTED_VALUE"""),"Renov.")</f>
        <v>Renov.</v>
      </c>
      <c r="I2973" s="2" t="str">
        <f>IFERROR(__xludf.DUMMYFUNCTION("""COMPUTED_VALUE"""),"Masonry")</f>
        <v>Masonry</v>
      </c>
      <c r="J2973" s="2" t="str">
        <f>IFERROR(__xludf.DUMMYFUNCTION("""COMPUTED_VALUE"""),"All amenities")</f>
        <v>All amenities</v>
      </c>
      <c r="K2973" s="2">
        <f>IFERROR(__xludf.DUMMYFUNCTION("""COMPUTED_VALUE"""),237500.0)</f>
        <v>237500</v>
      </c>
      <c r="L2973" s="2">
        <f>IFERROR(__xludf.DUMMYFUNCTION("""COMPUTED_VALUE"""),56.9598383)</f>
        <v>56.9598383</v>
      </c>
      <c r="M2973" s="2">
        <f>IFERROR(__xludf.DUMMYFUNCTION("""COMPUTED_VALUE"""),24.1137052)</f>
        <v>24.1137052</v>
      </c>
    </row>
    <row r="2974">
      <c r="A2974" s="2" t="str">
        <f>IFERROR(__xludf.DUMMYFUNCTION("""COMPUTED_VALUE"""),"For rent")</f>
        <v>For rent</v>
      </c>
      <c r="B2974" s="2" t="str">
        <f>IFERROR(__xludf.DUMMYFUNCTION("""COMPUTED_VALUE"""),"centrs")</f>
        <v>centrs</v>
      </c>
      <c r="C2974" s="2" t="str">
        <f>IFERROR(__xludf.DUMMYFUNCTION("""COMPUTED_VALUE"""),"Lāčplēša 127")</f>
        <v>Lāčplēša 127</v>
      </c>
      <c r="D2974" s="2">
        <f>IFERROR(__xludf.DUMMYFUNCTION("""COMPUTED_VALUE"""),2.0)</f>
        <v>2</v>
      </c>
      <c r="E2974" s="2">
        <f>IFERROR(__xludf.DUMMYFUNCTION("""COMPUTED_VALUE"""),95.0)</f>
        <v>95</v>
      </c>
      <c r="F2974" s="2">
        <f>IFERROR(__xludf.DUMMYFUNCTION("""COMPUTED_VALUE"""),3.0)</f>
        <v>3</v>
      </c>
      <c r="G2974" s="2">
        <f>IFERROR(__xludf.DUMMYFUNCTION("""COMPUTED_VALUE"""),3.0)</f>
        <v>3</v>
      </c>
      <c r="H2974" s="2" t="str">
        <f>IFERROR(__xludf.DUMMYFUNCTION("""COMPUTED_VALUE"""),"Renov.")</f>
        <v>Renov.</v>
      </c>
      <c r="I2974" s="2" t="str">
        <f>IFERROR(__xludf.DUMMYFUNCTION("""COMPUTED_VALUE"""),"Masonry")</f>
        <v>Masonry</v>
      </c>
      <c r="J2974" s="2" t="str">
        <f>IFERROR(__xludf.DUMMYFUNCTION("""COMPUTED_VALUE"""),"All amenities")</f>
        <v>All amenities</v>
      </c>
      <c r="K2974" s="2">
        <f>IFERROR(__xludf.DUMMYFUNCTION("""COMPUTED_VALUE"""),850.0)</f>
        <v>850</v>
      </c>
      <c r="L2974" s="2">
        <f>IFERROR(__xludf.DUMMYFUNCTION("""COMPUTED_VALUE"""),56.9468471)</f>
        <v>56.9468471</v>
      </c>
      <c r="M2974" s="2">
        <f>IFERROR(__xludf.DUMMYFUNCTION("""COMPUTED_VALUE"""),24.133767)</f>
        <v>24.133767</v>
      </c>
    </row>
    <row r="2975">
      <c r="A2975" s="2" t="str">
        <f>IFERROR(__xludf.DUMMYFUNCTION("""COMPUTED_VALUE"""),"For sale")</f>
        <v>For sale</v>
      </c>
      <c r="B2975" s="2" t="str">
        <f>IFERROR(__xludf.DUMMYFUNCTION("""COMPUTED_VALUE"""),"Šampēteris-Pleskodāle")</f>
        <v>Šampēteris-Pleskodāle</v>
      </c>
      <c r="C2975" s="2" t="str">
        <f>IFERROR(__xludf.DUMMYFUNCTION("""COMPUTED_VALUE"""),"Apuzes 51")</f>
        <v>Apuzes 51</v>
      </c>
      <c r="D2975" s="2">
        <f>IFERROR(__xludf.DUMMYFUNCTION("""COMPUTED_VALUE"""),3.0)</f>
        <v>3</v>
      </c>
      <c r="E2975" s="2">
        <f>IFERROR(__xludf.DUMMYFUNCTION("""COMPUTED_VALUE"""),87.0)</f>
        <v>87</v>
      </c>
      <c r="F2975" s="2">
        <f>IFERROR(__xludf.DUMMYFUNCTION("""COMPUTED_VALUE"""),1.0)</f>
        <v>1</v>
      </c>
      <c r="G2975" s="2">
        <f>IFERROR(__xludf.DUMMYFUNCTION("""COMPUTED_VALUE"""),3.0)</f>
        <v>3</v>
      </c>
      <c r="H2975" s="2" t="str">
        <f>IFERROR(__xludf.DUMMYFUNCTION("""COMPUTED_VALUE"""),"Jaun.")</f>
        <v>Jaun.</v>
      </c>
      <c r="I2975" s="2" t="str">
        <f>IFERROR(__xludf.DUMMYFUNCTION("""COMPUTED_VALUE"""),"Panel")</f>
        <v>Panel</v>
      </c>
      <c r="J2975" s="2" t="str">
        <f>IFERROR(__xludf.DUMMYFUNCTION("""COMPUTED_VALUE"""),"All amenities")</f>
        <v>All amenities</v>
      </c>
      <c r="K2975" s="2">
        <f>IFERROR(__xludf.DUMMYFUNCTION("""COMPUTED_VALUE"""),128336.0)</f>
        <v>128336</v>
      </c>
      <c r="L2975" s="2">
        <f>IFERROR(__xludf.DUMMYFUNCTION("""COMPUTED_VALUE"""),56.9371904)</f>
        <v>56.9371904</v>
      </c>
      <c r="M2975" s="2">
        <f>IFERROR(__xludf.DUMMYFUNCTION("""COMPUTED_VALUE"""),24.0257892)</f>
        <v>24.0257892</v>
      </c>
    </row>
    <row r="2976">
      <c r="A2976" s="2" t="str">
        <f>IFERROR(__xludf.DUMMYFUNCTION("""COMPUTED_VALUE"""),"For sale")</f>
        <v>For sale</v>
      </c>
      <c r="B2976" s="2" t="str">
        <f>IFERROR(__xludf.DUMMYFUNCTION("""COMPUTED_VALUE"""),"Imanta")</f>
        <v>Imanta</v>
      </c>
      <c r="C2976" s="2" t="str">
        <f>IFERROR(__xludf.DUMMYFUNCTION("""COMPUTED_VALUE"""),"Kurzemes pr. 30")</f>
        <v>Kurzemes pr. 30</v>
      </c>
      <c r="D2976" s="2">
        <f>IFERROR(__xludf.DUMMYFUNCTION("""COMPUTED_VALUE"""),3.0)</f>
        <v>3</v>
      </c>
      <c r="E2976" s="2">
        <f>IFERROR(__xludf.DUMMYFUNCTION("""COMPUTED_VALUE"""),54.0)</f>
        <v>54</v>
      </c>
      <c r="F2976" s="2">
        <f>IFERROR(__xludf.DUMMYFUNCTION("""COMPUTED_VALUE"""),5.0)</f>
        <v>5</v>
      </c>
      <c r="G2976" s="2">
        <f>IFERROR(__xludf.DUMMYFUNCTION("""COMPUTED_VALUE"""),5.0)</f>
        <v>5</v>
      </c>
      <c r="H2976" s="2" t="str">
        <f>IFERROR(__xludf.DUMMYFUNCTION("""COMPUTED_VALUE"""),"LT proj.")</f>
        <v>LT proj.</v>
      </c>
      <c r="I2976" s="2" t="str">
        <f>IFERROR(__xludf.DUMMYFUNCTION("""COMPUTED_VALUE"""),"Panel")</f>
        <v>Panel</v>
      </c>
      <c r="J2976" s="2" t="str">
        <f>IFERROR(__xludf.DUMMYFUNCTION("""COMPUTED_VALUE"""),"All amenities")</f>
        <v>All amenities</v>
      </c>
      <c r="K2976" s="2">
        <f>IFERROR(__xludf.DUMMYFUNCTION("""COMPUTED_VALUE"""),49600.0)</f>
        <v>49600</v>
      </c>
      <c r="L2976" s="2" t="str">
        <f>IFERROR(__xludf.DUMMYFUNCTION("""COMPUTED_VALUE"""),"NaN")</f>
        <v>NaN</v>
      </c>
      <c r="M2976" s="2" t="str">
        <f>IFERROR(__xludf.DUMMYFUNCTION("""COMPUTED_VALUE"""),"NaN")</f>
        <v>NaN</v>
      </c>
    </row>
    <row r="2977">
      <c r="A2977" s="2" t="str">
        <f>IFERROR(__xludf.DUMMYFUNCTION("""COMPUTED_VALUE"""),"For sale")</f>
        <v>For sale</v>
      </c>
      <c r="B2977" s="2" t="str">
        <f>IFERROR(__xludf.DUMMYFUNCTION("""COMPUTED_VALUE"""),"Šampēteris-Pleskodāle")</f>
        <v>Šampēteris-Pleskodāle</v>
      </c>
      <c r="C2977" s="2" t="str">
        <f>IFERROR(__xludf.DUMMYFUNCTION("""COMPUTED_VALUE"""),"Ventspils 65")</f>
        <v>Ventspils 65</v>
      </c>
      <c r="D2977" s="2">
        <f>IFERROR(__xludf.DUMMYFUNCTION("""COMPUTED_VALUE"""),1.0)</f>
        <v>1</v>
      </c>
      <c r="E2977" s="2">
        <f>IFERROR(__xludf.DUMMYFUNCTION("""COMPUTED_VALUE"""),39.0)</f>
        <v>39</v>
      </c>
      <c r="F2977" s="2">
        <f>IFERROR(__xludf.DUMMYFUNCTION("""COMPUTED_VALUE"""),2.0)</f>
        <v>2</v>
      </c>
      <c r="G2977" s="2">
        <f>IFERROR(__xludf.DUMMYFUNCTION("""COMPUTED_VALUE"""),3.0)</f>
        <v>3</v>
      </c>
      <c r="H2977" s="2" t="str">
        <f>IFERROR(__xludf.DUMMYFUNCTION("""COMPUTED_VALUE"""),"Renov.")</f>
        <v>Renov.</v>
      </c>
      <c r="I2977" s="2" t="str">
        <f>IFERROR(__xludf.DUMMYFUNCTION("""COMPUTED_VALUE"""),"Masonry")</f>
        <v>Masonry</v>
      </c>
      <c r="J2977" s="2" t="str">
        <f>IFERROR(__xludf.DUMMYFUNCTION("""COMPUTED_VALUE"""),"All amenities")</f>
        <v>All amenities</v>
      </c>
      <c r="K2977" s="2">
        <f>IFERROR(__xludf.DUMMYFUNCTION("""COMPUTED_VALUE"""),38700.0)</f>
        <v>38700</v>
      </c>
      <c r="L2977" s="2">
        <f>IFERROR(__xludf.DUMMYFUNCTION("""COMPUTED_VALUE"""),56.9492021)</f>
        <v>56.9492021</v>
      </c>
      <c r="M2977" s="2">
        <f>IFERROR(__xludf.DUMMYFUNCTION("""COMPUTED_VALUE"""),23.9587415)</f>
        <v>23.9587415</v>
      </c>
    </row>
    <row r="2978">
      <c r="A2978" s="2" t="str">
        <f>IFERROR(__xludf.DUMMYFUNCTION("""COMPUTED_VALUE"""),"For sale")</f>
        <v>For sale</v>
      </c>
      <c r="B2978" s="2" t="str">
        <f>IFERROR(__xludf.DUMMYFUNCTION("""COMPUTED_VALUE"""),"centrs")</f>
        <v>centrs</v>
      </c>
      <c r="C2978" s="2" t="str">
        <f>IFERROR(__xludf.DUMMYFUNCTION("""COMPUTED_VALUE"""),"Brīvības iela 114")</f>
        <v>Brīvības iela 114</v>
      </c>
      <c r="D2978" s="2">
        <f>IFERROR(__xludf.DUMMYFUNCTION("""COMPUTED_VALUE"""),2.0)</f>
        <v>2</v>
      </c>
      <c r="E2978" s="2">
        <f>IFERROR(__xludf.DUMMYFUNCTION("""COMPUTED_VALUE"""),63.0)</f>
        <v>63</v>
      </c>
      <c r="F2978" s="2">
        <f>IFERROR(__xludf.DUMMYFUNCTION("""COMPUTED_VALUE"""),4.0)</f>
        <v>4</v>
      </c>
      <c r="G2978" s="2">
        <f>IFERROR(__xludf.DUMMYFUNCTION("""COMPUTED_VALUE"""),6.0)</f>
        <v>6</v>
      </c>
      <c r="H2978" s="2" t="str">
        <f>IFERROR(__xludf.DUMMYFUNCTION("""COMPUTED_VALUE"""),"Renov.")</f>
        <v>Renov.</v>
      </c>
      <c r="I2978" s="2" t="str">
        <f>IFERROR(__xludf.DUMMYFUNCTION("""COMPUTED_VALUE"""),"Panel-Brick")</f>
        <v>Panel-Brick</v>
      </c>
      <c r="J2978" s="2" t="str">
        <f>IFERROR(__xludf.DUMMYFUNCTION("""COMPUTED_VALUE"""),"All amenities")</f>
        <v>All amenities</v>
      </c>
      <c r="K2978" s="2">
        <f>IFERROR(__xludf.DUMMYFUNCTION("""COMPUTED_VALUE"""),114000.0)</f>
        <v>114000</v>
      </c>
      <c r="L2978" s="2">
        <f>IFERROR(__xludf.DUMMYFUNCTION("""COMPUTED_VALUE"""),56.9619771)</f>
        <v>56.9619771</v>
      </c>
      <c r="M2978" s="2">
        <f>IFERROR(__xludf.DUMMYFUNCTION("""COMPUTED_VALUE"""),24.1348346)</f>
        <v>24.1348346</v>
      </c>
    </row>
    <row r="2979">
      <c r="A2979" s="2" t="str">
        <f>IFERROR(__xludf.DUMMYFUNCTION("""COMPUTED_VALUE"""),"For rent")</f>
        <v>For rent</v>
      </c>
      <c r="B2979" s="2" t="str">
        <f>IFERROR(__xludf.DUMMYFUNCTION("""COMPUTED_VALUE"""),"Purvciems")</f>
        <v>Purvciems</v>
      </c>
      <c r="C2979" s="2" t="str">
        <f>IFERROR(__xludf.DUMMYFUNCTION("""COMPUTED_VALUE"""),"Ilūkstes 32")</f>
        <v>Ilūkstes 32</v>
      </c>
      <c r="D2979" s="2">
        <f>IFERROR(__xludf.DUMMYFUNCTION("""COMPUTED_VALUE"""),1.0)</f>
        <v>1</v>
      </c>
      <c r="E2979" s="2">
        <f>IFERROR(__xludf.DUMMYFUNCTION("""COMPUTED_VALUE"""),13.0)</f>
        <v>13</v>
      </c>
      <c r="F2979" s="2">
        <f>IFERROR(__xludf.DUMMYFUNCTION("""COMPUTED_VALUE"""),2.0)</f>
        <v>2</v>
      </c>
      <c r="G2979" s="2">
        <f>IFERROR(__xludf.DUMMYFUNCTION("""COMPUTED_VALUE"""),9.0)</f>
        <v>9</v>
      </c>
      <c r="H2979" s="2">
        <f>IFERROR(__xludf.DUMMYFUNCTION("""COMPUTED_VALUE"""),119.0)</f>
        <v>119</v>
      </c>
      <c r="I2979" s="2" t="str">
        <f>IFERROR(__xludf.DUMMYFUNCTION("""COMPUTED_VALUE"""),"Panel")</f>
        <v>Panel</v>
      </c>
      <c r="J2979" s="2" t="str">
        <f>IFERROR(__xludf.DUMMYFUNCTION("""COMPUTED_VALUE"""),"All amenities")</f>
        <v>All amenities</v>
      </c>
      <c r="K2979" s="2">
        <f>IFERROR(__xludf.DUMMYFUNCTION("""COMPUTED_VALUE"""),200.0)</f>
        <v>200</v>
      </c>
      <c r="L2979" s="2">
        <f>IFERROR(__xludf.DUMMYFUNCTION("""COMPUTED_VALUE"""),56.9456426499999)</f>
        <v>56.94564265</v>
      </c>
      <c r="M2979" s="2">
        <f>IFERROR(__xludf.DUMMYFUNCTION("""COMPUTED_VALUE"""),24.19744365)</f>
        <v>24.19744365</v>
      </c>
    </row>
    <row r="2980">
      <c r="A2980" s="2" t="str">
        <f>IFERROR(__xludf.DUMMYFUNCTION("""COMPUTED_VALUE"""),"For sale")</f>
        <v>For sale</v>
      </c>
      <c r="B2980" s="2" t="str">
        <f>IFERROR(__xludf.DUMMYFUNCTION("""COMPUTED_VALUE"""),"Mangaļi")</f>
        <v>Mangaļi</v>
      </c>
      <c r="C2980" s="2" t="str">
        <f>IFERROR(__xludf.DUMMYFUNCTION("""COMPUTED_VALUE"""),"Ezera 11")</f>
        <v>Ezera 11</v>
      </c>
      <c r="D2980" s="2">
        <f>IFERROR(__xludf.DUMMYFUNCTION("""COMPUTED_VALUE"""),1.0)</f>
        <v>1</v>
      </c>
      <c r="E2980" s="2">
        <f>IFERROR(__xludf.DUMMYFUNCTION("""COMPUTED_VALUE"""),24.0)</f>
        <v>24</v>
      </c>
      <c r="F2980" s="2">
        <f>IFERROR(__xludf.DUMMYFUNCTION("""COMPUTED_VALUE"""),1.0)</f>
        <v>1</v>
      </c>
      <c r="G2980" s="2">
        <f>IFERROR(__xludf.DUMMYFUNCTION("""COMPUTED_VALUE"""),4.0)</f>
        <v>4</v>
      </c>
      <c r="H2980" s="2" t="str">
        <f>IFERROR(__xludf.DUMMYFUNCTION("""COMPUTED_VALUE"""),"Staļina")</f>
        <v>Staļina</v>
      </c>
      <c r="I2980" s="2" t="str">
        <f>IFERROR(__xludf.DUMMYFUNCTION("""COMPUTED_VALUE"""),"Masonry")</f>
        <v>Masonry</v>
      </c>
      <c r="J2980" s="2" t="str">
        <f>IFERROR(__xludf.DUMMYFUNCTION("""COMPUTED_VALUE"""),"All amenities")</f>
        <v>All amenities</v>
      </c>
      <c r="K2980" s="2">
        <f>IFERROR(__xludf.DUMMYFUNCTION("""COMPUTED_VALUE"""),6900.0)</f>
        <v>6900</v>
      </c>
      <c r="L2980" s="2">
        <f>IFERROR(__xludf.DUMMYFUNCTION("""COMPUTED_VALUE"""),57.0205705)</f>
        <v>57.0205705</v>
      </c>
      <c r="M2980" s="2">
        <f>IFERROR(__xludf.DUMMYFUNCTION("""COMPUTED_VALUE"""),24.1291659148654)</f>
        <v>24.12916591</v>
      </c>
    </row>
    <row r="2981">
      <c r="A2981" s="2" t="str">
        <f>IFERROR(__xludf.DUMMYFUNCTION("""COMPUTED_VALUE"""),"For rent")</f>
        <v>For rent</v>
      </c>
      <c r="B2981" s="2" t="str">
        <f>IFERROR(__xludf.DUMMYFUNCTION("""COMPUTED_VALUE"""),"centrs")</f>
        <v>centrs</v>
      </c>
      <c r="C2981" s="2" t="str">
        <f>IFERROR(__xludf.DUMMYFUNCTION("""COMPUTED_VALUE"""),"Barona 76")</f>
        <v>Barona 76</v>
      </c>
      <c r="D2981" s="2">
        <f>IFERROR(__xludf.DUMMYFUNCTION("""COMPUTED_VALUE"""),3.0)</f>
        <v>3</v>
      </c>
      <c r="E2981" s="2">
        <f>IFERROR(__xludf.DUMMYFUNCTION("""COMPUTED_VALUE"""),79.4)</f>
        <v>79.4</v>
      </c>
      <c r="F2981" s="2">
        <f>IFERROR(__xludf.DUMMYFUNCTION("""COMPUTED_VALUE"""),2.0)</f>
        <v>2</v>
      </c>
      <c r="G2981" s="2">
        <f>IFERROR(__xludf.DUMMYFUNCTION("""COMPUTED_VALUE"""),6.0)</f>
        <v>6</v>
      </c>
      <c r="H2981" s="2" t="str">
        <f>IFERROR(__xludf.DUMMYFUNCTION("""COMPUTED_VALUE"""),"Renov.")</f>
        <v>Renov.</v>
      </c>
      <c r="I2981" s="2" t="str">
        <f>IFERROR(__xludf.DUMMYFUNCTION("""COMPUTED_VALUE"""),"Masonry")</f>
        <v>Masonry</v>
      </c>
      <c r="J2981" s="2" t="str">
        <f>IFERROR(__xludf.DUMMYFUNCTION("""COMPUTED_VALUE"""),"All amenities")</f>
        <v>All amenities</v>
      </c>
      <c r="K2981" s="2">
        <f>IFERROR(__xludf.DUMMYFUNCTION("""COMPUTED_VALUE"""),830.0)</f>
        <v>830</v>
      </c>
      <c r="L2981" s="2">
        <f>IFERROR(__xludf.DUMMYFUNCTION("""COMPUTED_VALUE"""),56.95643795)</f>
        <v>56.95643795</v>
      </c>
      <c r="M2981" s="2">
        <f>IFERROR(__xludf.DUMMYFUNCTION("""COMPUTED_VALUE"""),24.1325729821556)</f>
        <v>24.13257298</v>
      </c>
    </row>
    <row r="2982">
      <c r="A2982" s="2" t="str">
        <f>IFERROR(__xludf.DUMMYFUNCTION("""COMPUTED_VALUE"""),"For sale")</f>
        <v>For sale</v>
      </c>
      <c r="B2982" s="2" t="str">
        <f>IFERROR(__xludf.DUMMYFUNCTION("""COMPUTED_VALUE"""),"Purvciems")</f>
        <v>Purvciems</v>
      </c>
      <c r="C2982" s="2" t="str">
        <f>IFERROR(__xludf.DUMMYFUNCTION("""COMPUTED_VALUE"""),"Stirnu 50b")</f>
        <v>Stirnu 50b</v>
      </c>
      <c r="D2982" s="2">
        <f>IFERROR(__xludf.DUMMYFUNCTION("""COMPUTED_VALUE"""),3.0)</f>
        <v>3</v>
      </c>
      <c r="E2982" s="2">
        <f>IFERROR(__xludf.DUMMYFUNCTION("""COMPUTED_VALUE"""),56.0)</f>
        <v>56</v>
      </c>
      <c r="F2982" s="2">
        <f>IFERROR(__xludf.DUMMYFUNCTION("""COMPUTED_VALUE"""),2.0)</f>
        <v>2</v>
      </c>
      <c r="G2982" s="2">
        <f>IFERROR(__xludf.DUMMYFUNCTION("""COMPUTED_VALUE"""),4.0)</f>
        <v>4</v>
      </c>
      <c r="H2982" s="2" t="str">
        <f>IFERROR(__xludf.DUMMYFUNCTION("""COMPUTED_VALUE"""),"Jaun.")</f>
        <v>Jaun.</v>
      </c>
      <c r="I2982" s="2" t="str">
        <f>IFERROR(__xludf.DUMMYFUNCTION("""COMPUTED_VALUE"""),"Masonry")</f>
        <v>Masonry</v>
      </c>
      <c r="J2982" s="2" t="str">
        <f>IFERROR(__xludf.DUMMYFUNCTION("""COMPUTED_VALUE"""),"All amenities")</f>
        <v>All amenities</v>
      </c>
      <c r="K2982" s="2">
        <f>IFERROR(__xludf.DUMMYFUNCTION("""COMPUTED_VALUE"""),83000.0)</f>
        <v>83000</v>
      </c>
      <c r="L2982" s="2">
        <f>IFERROR(__xludf.DUMMYFUNCTION("""COMPUTED_VALUE"""),56.9650621)</f>
        <v>56.9650621</v>
      </c>
      <c r="M2982" s="2">
        <f>IFERROR(__xludf.DUMMYFUNCTION("""COMPUTED_VALUE"""),24.1952933)</f>
        <v>24.1952933</v>
      </c>
    </row>
    <row r="2983">
      <c r="A2983" s="2" t="str">
        <f>IFERROR(__xludf.DUMMYFUNCTION("""COMPUTED_VALUE"""),"For rent")</f>
        <v>For rent</v>
      </c>
      <c r="B2983" s="2" t="str">
        <f>IFERROR(__xludf.DUMMYFUNCTION("""COMPUTED_VALUE"""),"centrs")</f>
        <v>centrs</v>
      </c>
      <c r="C2983" s="2" t="str">
        <f>IFERROR(__xludf.DUMMYFUNCTION("""COMPUTED_VALUE"""),"Grostonas 17")</f>
        <v>Grostonas 17</v>
      </c>
      <c r="D2983" s="2">
        <f>IFERROR(__xludf.DUMMYFUNCTION("""COMPUTED_VALUE"""),3.0)</f>
        <v>3</v>
      </c>
      <c r="E2983" s="2">
        <f>IFERROR(__xludf.DUMMYFUNCTION("""COMPUTED_VALUE"""),89.0)</f>
        <v>89</v>
      </c>
      <c r="F2983" s="2">
        <f>IFERROR(__xludf.DUMMYFUNCTION("""COMPUTED_VALUE"""),6.0)</f>
        <v>6</v>
      </c>
      <c r="G2983" s="2">
        <f>IFERROR(__xludf.DUMMYFUNCTION("""COMPUTED_VALUE"""),8.0)</f>
        <v>8</v>
      </c>
      <c r="H2983" s="2" t="str">
        <f>IFERROR(__xludf.DUMMYFUNCTION("""COMPUTED_VALUE"""),"Jaun.")</f>
        <v>Jaun.</v>
      </c>
      <c r="I2983" s="2" t="str">
        <f>IFERROR(__xludf.DUMMYFUNCTION("""COMPUTED_VALUE"""),"Panel")</f>
        <v>Panel</v>
      </c>
      <c r="J2983" s="2" t="str">
        <f>IFERROR(__xludf.DUMMYFUNCTION("""COMPUTED_VALUE"""),"All amenities")</f>
        <v>All amenities</v>
      </c>
      <c r="K2983" s="2">
        <f>IFERROR(__xludf.DUMMYFUNCTION("""COMPUTED_VALUE"""),900.0)</f>
        <v>900</v>
      </c>
      <c r="L2983" s="2">
        <f>IFERROR(__xludf.DUMMYFUNCTION("""COMPUTED_VALUE"""),56.96998705)</f>
        <v>56.96998705</v>
      </c>
      <c r="M2983" s="2">
        <f>IFERROR(__xludf.DUMMYFUNCTION("""COMPUTED_VALUE"""),24.1242108827278)</f>
        <v>24.12421088</v>
      </c>
    </row>
    <row r="2984">
      <c r="A2984" s="2" t="str">
        <f>IFERROR(__xludf.DUMMYFUNCTION("""COMPUTED_VALUE"""),"For sale")</f>
        <v>For sale</v>
      </c>
      <c r="B2984" s="2" t="str">
        <f>IFERROR(__xludf.DUMMYFUNCTION("""COMPUTED_VALUE"""),"Pļavnieki")</f>
        <v>Pļavnieki</v>
      </c>
      <c r="C2984" s="2" t="str">
        <f>IFERROR(__xludf.DUMMYFUNCTION("""COMPUTED_VALUE"""),"Ulbrokas 12/3")</f>
        <v>Ulbrokas 12/3</v>
      </c>
      <c r="D2984" s="2">
        <f>IFERROR(__xludf.DUMMYFUNCTION("""COMPUTED_VALUE"""),3.0)</f>
        <v>3</v>
      </c>
      <c r="E2984" s="2">
        <f>IFERROR(__xludf.DUMMYFUNCTION("""COMPUTED_VALUE"""),94.0)</f>
        <v>94</v>
      </c>
      <c r="F2984" s="2">
        <f>IFERROR(__xludf.DUMMYFUNCTION("""COMPUTED_VALUE"""),8.0)</f>
        <v>8</v>
      </c>
      <c r="G2984" s="2">
        <f>IFERROR(__xludf.DUMMYFUNCTION("""COMPUTED_VALUE"""),9.0)</f>
        <v>9</v>
      </c>
      <c r="H2984" s="2" t="str">
        <f>IFERROR(__xludf.DUMMYFUNCTION("""COMPUTED_VALUE"""),"Jaun.")</f>
        <v>Jaun.</v>
      </c>
      <c r="I2984" s="2" t="str">
        <f>IFERROR(__xludf.DUMMYFUNCTION("""COMPUTED_VALUE"""),"Panel")</f>
        <v>Panel</v>
      </c>
      <c r="J2984" s="2" t="str">
        <f>IFERROR(__xludf.DUMMYFUNCTION("""COMPUTED_VALUE"""),"All amenities")</f>
        <v>All amenities</v>
      </c>
      <c r="K2984" s="2">
        <f>IFERROR(__xludf.DUMMYFUNCTION("""COMPUTED_VALUE"""),125000.0)</f>
        <v>125000</v>
      </c>
      <c r="L2984" s="2">
        <f>IFERROR(__xludf.DUMMYFUNCTION("""COMPUTED_VALUE"""),56.9451394)</f>
        <v>56.9451394</v>
      </c>
      <c r="M2984" s="2">
        <f>IFERROR(__xludf.DUMMYFUNCTION("""COMPUTED_VALUE"""),24.217608)</f>
        <v>24.217608</v>
      </c>
    </row>
    <row r="2985">
      <c r="A2985" s="2" t="str">
        <f>IFERROR(__xludf.DUMMYFUNCTION("""COMPUTED_VALUE"""),"For sale")</f>
        <v>For sale</v>
      </c>
      <c r="B2985" s="2" t="str">
        <f>IFERROR(__xludf.DUMMYFUNCTION("""COMPUTED_VALUE"""),"Ziepniekkalns")</f>
        <v>Ziepniekkalns</v>
      </c>
      <c r="C2985" s="2" t="str">
        <f>IFERROR(__xludf.DUMMYFUNCTION("""COMPUTED_VALUE"""),"Vienības g. x")</f>
        <v>Vienības g. x</v>
      </c>
      <c r="D2985" s="2">
        <f>IFERROR(__xludf.DUMMYFUNCTION("""COMPUTED_VALUE"""),1.0)</f>
        <v>1</v>
      </c>
      <c r="E2985" s="2">
        <f>IFERROR(__xludf.DUMMYFUNCTION("""COMPUTED_VALUE"""),28.0)</f>
        <v>28</v>
      </c>
      <c r="F2985" s="2">
        <f>IFERROR(__xludf.DUMMYFUNCTION("""COMPUTED_VALUE"""),4.0)</f>
        <v>4</v>
      </c>
      <c r="G2985" s="2">
        <f>IFERROR(__xludf.DUMMYFUNCTION("""COMPUTED_VALUE"""),5.0)</f>
        <v>5</v>
      </c>
      <c r="H2985" s="2" t="str">
        <f>IFERROR(__xludf.DUMMYFUNCTION("""COMPUTED_VALUE"""),"Hrušč.")</f>
        <v>Hrušč.</v>
      </c>
      <c r="I2985" s="2" t="str">
        <f>IFERROR(__xludf.DUMMYFUNCTION("""COMPUTED_VALUE"""),"Brick")</f>
        <v>Brick</v>
      </c>
      <c r="J2985" s="2" t="str">
        <f>IFERROR(__xludf.DUMMYFUNCTION("""COMPUTED_VALUE"""),"All amenities")</f>
        <v>All amenities</v>
      </c>
      <c r="K2985" s="2">
        <f>IFERROR(__xludf.DUMMYFUNCTION("""COMPUTED_VALUE"""),25000.0)</f>
        <v>25000</v>
      </c>
      <c r="L2985" s="2" t="str">
        <f>IFERROR(__xludf.DUMMYFUNCTION("""COMPUTED_VALUE"""),"NaN")</f>
        <v>NaN</v>
      </c>
      <c r="M2985" s="2" t="str">
        <f>IFERROR(__xludf.DUMMYFUNCTION("""COMPUTED_VALUE"""),"NaN")</f>
        <v>NaN</v>
      </c>
    </row>
    <row r="2986">
      <c r="A2986" s="2" t="str">
        <f>IFERROR(__xludf.DUMMYFUNCTION("""COMPUTED_VALUE"""),"For sale")</f>
        <v>For sale</v>
      </c>
      <c r="B2986" s="2" t="str">
        <f>IFERROR(__xludf.DUMMYFUNCTION("""COMPUTED_VALUE"""),"centrs")</f>
        <v>centrs</v>
      </c>
      <c r="C2986" s="2" t="str">
        <f>IFERROR(__xludf.DUMMYFUNCTION("""COMPUTED_VALUE"""),"Asara 12")</f>
        <v>Asara 12</v>
      </c>
      <c r="D2986" s="2">
        <f>IFERROR(__xludf.DUMMYFUNCTION("""COMPUTED_VALUE"""),4.0)</f>
        <v>4</v>
      </c>
      <c r="E2986" s="2">
        <f>IFERROR(__xludf.DUMMYFUNCTION("""COMPUTED_VALUE"""),128.0)</f>
        <v>128</v>
      </c>
      <c r="F2986" s="2">
        <f>IFERROR(__xludf.DUMMYFUNCTION("""COMPUTED_VALUE"""),1.0)</f>
        <v>1</v>
      </c>
      <c r="G2986" s="2">
        <f>IFERROR(__xludf.DUMMYFUNCTION("""COMPUTED_VALUE"""),2.0)</f>
        <v>2</v>
      </c>
      <c r="H2986" s="2" t="str">
        <f>IFERROR(__xludf.DUMMYFUNCTION("""COMPUTED_VALUE"""),"Renov.")</f>
        <v>Renov.</v>
      </c>
      <c r="I2986" s="2" t="str">
        <f>IFERROR(__xludf.DUMMYFUNCTION("""COMPUTED_VALUE"""),"Brick")</f>
        <v>Brick</v>
      </c>
      <c r="J2986" s="2" t="str">
        <f>IFERROR(__xludf.DUMMYFUNCTION("""COMPUTED_VALUE"""),"All amenities")</f>
        <v>All amenities</v>
      </c>
      <c r="K2986" s="2">
        <f>IFERROR(__xludf.DUMMYFUNCTION("""COMPUTED_VALUE"""),200000.0)</f>
        <v>200000</v>
      </c>
      <c r="L2986" s="2">
        <f>IFERROR(__xludf.DUMMYFUNCTION("""COMPUTED_VALUE"""),56.9553833)</f>
        <v>56.9553833</v>
      </c>
      <c r="M2986" s="2">
        <f>IFERROR(__xludf.DUMMYFUNCTION("""COMPUTED_VALUE"""),24.1488881)</f>
        <v>24.1488881</v>
      </c>
    </row>
    <row r="2987">
      <c r="A2987" s="2" t="str">
        <f>IFERROR(__xludf.DUMMYFUNCTION("""COMPUTED_VALUE"""),"For sale")</f>
        <v>For sale</v>
      </c>
      <c r="B2987" s="2" t="str">
        <f>IFERROR(__xludf.DUMMYFUNCTION("""COMPUTED_VALUE"""),"Jugla")</f>
        <v>Jugla</v>
      </c>
      <c r="C2987" s="2" t="str">
        <f>IFERROR(__xludf.DUMMYFUNCTION("""COMPUTED_VALUE"""),"Juglas 10")</f>
        <v>Juglas 10</v>
      </c>
      <c r="D2987" s="2">
        <f>IFERROR(__xludf.DUMMYFUNCTION("""COMPUTED_VALUE"""),2.0)</f>
        <v>2</v>
      </c>
      <c r="E2987" s="2">
        <f>IFERROR(__xludf.DUMMYFUNCTION("""COMPUTED_VALUE"""),104.0)</f>
        <v>104</v>
      </c>
      <c r="F2987" s="2">
        <f>IFERROR(__xludf.DUMMYFUNCTION("""COMPUTED_VALUE"""),5.0)</f>
        <v>5</v>
      </c>
      <c r="G2987" s="2">
        <f>IFERROR(__xludf.DUMMYFUNCTION("""COMPUTED_VALUE"""),9.0)</f>
        <v>9</v>
      </c>
      <c r="H2987" s="2" t="str">
        <f>IFERROR(__xludf.DUMMYFUNCTION("""COMPUTED_VALUE"""),"Jaun.")</f>
        <v>Jaun.</v>
      </c>
      <c r="I2987" s="2" t="str">
        <f>IFERROR(__xludf.DUMMYFUNCTION("""COMPUTED_VALUE"""),"Panel")</f>
        <v>Panel</v>
      </c>
      <c r="J2987" s="2" t="str">
        <f>IFERROR(__xludf.DUMMYFUNCTION("""COMPUTED_VALUE"""),"All amenities")</f>
        <v>All amenities</v>
      </c>
      <c r="K2987" s="2">
        <f>IFERROR(__xludf.DUMMYFUNCTION("""COMPUTED_VALUE"""),129000.0)</f>
        <v>129000</v>
      </c>
      <c r="L2987" s="2">
        <f>IFERROR(__xludf.DUMMYFUNCTION("""COMPUTED_VALUE"""),56.9865865)</f>
        <v>56.9865865</v>
      </c>
      <c r="M2987" s="2">
        <f>IFERROR(__xludf.DUMMYFUNCTION("""COMPUTED_VALUE"""),24.2472562883399)</f>
        <v>24.24725629</v>
      </c>
    </row>
    <row r="2988">
      <c r="A2988" s="2" t="str">
        <f>IFERROR(__xludf.DUMMYFUNCTION("""COMPUTED_VALUE"""),"For sale")</f>
        <v>For sale</v>
      </c>
      <c r="B2988" s="2" t="str">
        <f>IFERROR(__xludf.DUMMYFUNCTION("""COMPUTED_VALUE"""),"Purvciems")</f>
        <v>Purvciems</v>
      </c>
      <c r="C2988" s="2" t="str">
        <f>IFERROR(__xludf.DUMMYFUNCTION("""COMPUTED_VALUE"""),"Andromedas g. 4")</f>
        <v>Andromedas g. 4</v>
      </c>
      <c r="D2988" s="2">
        <f>IFERROR(__xludf.DUMMYFUNCTION("""COMPUTED_VALUE"""),3.0)</f>
        <v>3</v>
      </c>
      <c r="E2988" s="2">
        <f>IFERROR(__xludf.DUMMYFUNCTION("""COMPUTED_VALUE"""),66.0)</f>
        <v>66</v>
      </c>
      <c r="F2988" s="2">
        <f>IFERROR(__xludf.DUMMYFUNCTION("""COMPUTED_VALUE"""),4.0)</f>
        <v>4</v>
      </c>
      <c r="G2988" s="2">
        <f>IFERROR(__xludf.DUMMYFUNCTION("""COMPUTED_VALUE"""),5.0)</f>
        <v>5</v>
      </c>
      <c r="H2988" s="2" t="str">
        <f>IFERROR(__xludf.DUMMYFUNCTION("""COMPUTED_VALUE"""),"LT proj.")</f>
        <v>LT proj.</v>
      </c>
      <c r="I2988" s="2" t="str">
        <f>IFERROR(__xludf.DUMMYFUNCTION("""COMPUTED_VALUE"""),"Panel")</f>
        <v>Panel</v>
      </c>
      <c r="J2988" s="2" t="str">
        <f>IFERROR(__xludf.DUMMYFUNCTION("""COMPUTED_VALUE"""),"All amenities")</f>
        <v>All amenities</v>
      </c>
      <c r="K2988" s="2">
        <f>IFERROR(__xludf.DUMMYFUNCTION("""COMPUTED_VALUE"""),51000.0)</f>
        <v>51000</v>
      </c>
      <c r="L2988" s="2">
        <f>IFERROR(__xludf.DUMMYFUNCTION("""COMPUTED_VALUE"""),56.9604259)</f>
        <v>56.9604259</v>
      </c>
      <c r="M2988" s="2">
        <f>IFERROR(__xludf.DUMMYFUNCTION("""COMPUTED_VALUE"""),24.201209)</f>
        <v>24.201209</v>
      </c>
    </row>
    <row r="2989">
      <c r="A2989" s="2" t="str">
        <f>IFERROR(__xludf.DUMMYFUNCTION("""COMPUTED_VALUE"""),"For rent")</f>
        <v>For rent</v>
      </c>
      <c r="B2989" s="2" t="str">
        <f>IFERROR(__xludf.DUMMYFUNCTION("""COMPUTED_VALUE"""),"Āgenskalns")</f>
        <v>Āgenskalns</v>
      </c>
      <c r="C2989" s="2" t="str">
        <f>IFERROR(__xludf.DUMMYFUNCTION("""COMPUTED_VALUE"""),"Smiļģa 20")</f>
        <v>Smiļģa 20</v>
      </c>
      <c r="D2989" s="2">
        <f>IFERROR(__xludf.DUMMYFUNCTION("""COMPUTED_VALUE"""),1.0)</f>
        <v>1</v>
      </c>
      <c r="E2989" s="2">
        <f>IFERROR(__xludf.DUMMYFUNCTION("""COMPUTED_VALUE"""),38.0)</f>
        <v>38</v>
      </c>
      <c r="F2989" s="2">
        <f>IFERROR(__xludf.DUMMYFUNCTION("""COMPUTED_VALUE"""),3.0)</f>
        <v>3</v>
      </c>
      <c r="G2989" s="2">
        <f>IFERROR(__xludf.DUMMYFUNCTION("""COMPUTED_VALUE"""),5.0)</f>
        <v>5</v>
      </c>
      <c r="H2989" s="2" t="str">
        <f>IFERROR(__xludf.DUMMYFUNCTION("""COMPUTED_VALUE"""),"P. kara")</f>
        <v>P. kara</v>
      </c>
      <c r="I2989" s="2" t="str">
        <f>IFERROR(__xludf.DUMMYFUNCTION("""COMPUTED_VALUE"""),"Brick")</f>
        <v>Brick</v>
      </c>
      <c r="J2989" s="2" t="str">
        <f>IFERROR(__xludf.DUMMYFUNCTION("""COMPUTED_VALUE"""),"All amenities")</f>
        <v>All amenities</v>
      </c>
      <c r="K2989" s="2">
        <f>IFERROR(__xludf.DUMMYFUNCTION("""COMPUTED_VALUE"""),250.0)</f>
        <v>250</v>
      </c>
      <c r="L2989" s="2">
        <f>IFERROR(__xludf.DUMMYFUNCTION("""COMPUTED_VALUE"""),56.9397842)</f>
        <v>56.9397842</v>
      </c>
      <c r="M2989" s="2">
        <f>IFERROR(__xludf.DUMMYFUNCTION("""COMPUTED_VALUE"""),24.0791923)</f>
        <v>24.0791923</v>
      </c>
    </row>
    <row r="2990">
      <c r="A2990" s="2" t="str">
        <f>IFERROR(__xludf.DUMMYFUNCTION("""COMPUTED_VALUE"""),"For rent")</f>
        <v>For rent</v>
      </c>
      <c r="B2990" s="2" t="str">
        <f>IFERROR(__xludf.DUMMYFUNCTION("""COMPUTED_VALUE"""),"centrs")</f>
        <v>centrs</v>
      </c>
      <c r="C2990" s="2" t="str">
        <f>IFERROR(__xludf.DUMMYFUNCTION("""COMPUTED_VALUE"""),"Turgeņeva 21a")</f>
        <v>Turgeņeva 21a</v>
      </c>
      <c r="D2990" s="2">
        <f>IFERROR(__xludf.DUMMYFUNCTION("""COMPUTED_VALUE"""),2.0)</f>
        <v>2</v>
      </c>
      <c r="E2990" s="2">
        <f>IFERROR(__xludf.DUMMYFUNCTION("""COMPUTED_VALUE"""),55.0)</f>
        <v>55</v>
      </c>
      <c r="F2990" s="2">
        <f>IFERROR(__xludf.DUMMYFUNCTION("""COMPUTED_VALUE"""),2.0)</f>
        <v>2</v>
      </c>
      <c r="G2990" s="2">
        <f>IFERROR(__xludf.DUMMYFUNCTION("""COMPUTED_VALUE"""),6.0)</f>
        <v>6</v>
      </c>
      <c r="H2990" s="2" t="str">
        <f>IFERROR(__xludf.DUMMYFUNCTION("""COMPUTED_VALUE"""),"P. kara")</f>
        <v>P. kara</v>
      </c>
      <c r="I2990" s="2" t="str">
        <f>IFERROR(__xludf.DUMMYFUNCTION("""COMPUTED_VALUE"""),"Masonry")</f>
        <v>Masonry</v>
      </c>
      <c r="J2990" s="2" t="str">
        <f>IFERROR(__xludf.DUMMYFUNCTION("""COMPUTED_VALUE"""),"All amenities")</f>
        <v>All amenities</v>
      </c>
      <c r="K2990" s="2">
        <f>IFERROR(__xludf.DUMMYFUNCTION("""COMPUTED_VALUE"""),350.0)</f>
        <v>350</v>
      </c>
      <c r="L2990" s="2">
        <f>IFERROR(__xludf.DUMMYFUNCTION("""COMPUTED_VALUE"""),56.9446613)</f>
        <v>56.9446613</v>
      </c>
      <c r="M2990" s="2">
        <f>IFERROR(__xludf.DUMMYFUNCTION("""COMPUTED_VALUE"""),24.1236455352572)</f>
        <v>24.12364554</v>
      </c>
    </row>
    <row r="2991">
      <c r="A2991" s="2" t="str">
        <f>IFERROR(__xludf.DUMMYFUNCTION("""COMPUTED_VALUE"""),"For rent")</f>
        <v>For rent</v>
      </c>
      <c r="B2991" s="2" t="str">
        <f>IFERROR(__xludf.DUMMYFUNCTION("""COMPUTED_VALUE"""),"Purvciems")</f>
        <v>Purvciems</v>
      </c>
      <c r="C2991" s="2" t="str">
        <f>IFERROR(__xludf.DUMMYFUNCTION("""COMPUTED_VALUE"""),"Brantkalna 4")</f>
        <v>Brantkalna 4</v>
      </c>
      <c r="D2991" s="2">
        <f>IFERROR(__xludf.DUMMYFUNCTION("""COMPUTED_VALUE"""),3.0)</f>
        <v>3</v>
      </c>
      <c r="E2991" s="2">
        <f>IFERROR(__xludf.DUMMYFUNCTION("""COMPUTED_VALUE"""),75.0)</f>
        <v>75</v>
      </c>
      <c r="F2991" s="2">
        <f>IFERROR(__xludf.DUMMYFUNCTION("""COMPUTED_VALUE"""),5.0)</f>
        <v>5</v>
      </c>
      <c r="G2991" s="2">
        <f>IFERROR(__xludf.DUMMYFUNCTION("""COMPUTED_VALUE"""),9.0)</f>
        <v>9</v>
      </c>
      <c r="H2991" s="2">
        <f>IFERROR(__xludf.DUMMYFUNCTION("""COMPUTED_VALUE"""),119.0)</f>
        <v>119</v>
      </c>
      <c r="I2991" s="2" t="str">
        <f>IFERROR(__xludf.DUMMYFUNCTION("""COMPUTED_VALUE"""),"Panel")</f>
        <v>Panel</v>
      </c>
      <c r="J2991" s="2" t="str">
        <f>IFERROR(__xludf.DUMMYFUNCTION("""COMPUTED_VALUE"""),"All amenities")</f>
        <v>All amenities</v>
      </c>
      <c r="K2991" s="2">
        <f>IFERROR(__xludf.DUMMYFUNCTION("""COMPUTED_VALUE"""),420.0)</f>
        <v>420</v>
      </c>
      <c r="L2991" s="2">
        <f>IFERROR(__xludf.DUMMYFUNCTION("""COMPUTED_VALUE"""),56.95030235)</f>
        <v>56.95030235</v>
      </c>
      <c r="M2991" s="2">
        <f>IFERROR(__xludf.DUMMYFUNCTION("""COMPUTED_VALUE"""),24.1898001999999)</f>
        <v>24.1898002</v>
      </c>
    </row>
    <row r="2992">
      <c r="A2992" s="2" t="str">
        <f>IFERROR(__xludf.DUMMYFUNCTION("""COMPUTED_VALUE"""),"For rent")</f>
        <v>For rent</v>
      </c>
      <c r="B2992" s="2" t="str">
        <f>IFERROR(__xludf.DUMMYFUNCTION("""COMPUTED_VALUE"""),"Purvciems")</f>
        <v>Purvciems</v>
      </c>
      <c r="C2992" s="2" t="str">
        <f>IFERROR(__xludf.DUMMYFUNCTION("""COMPUTED_VALUE"""),"Vaidavas 3a")</f>
        <v>Vaidavas 3a</v>
      </c>
      <c r="D2992" s="2">
        <f>IFERROR(__xludf.DUMMYFUNCTION("""COMPUTED_VALUE"""),2.0)</f>
        <v>2</v>
      </c>
      <c r="E2992" s="2">
        <f>IFERROR(__xludf.DUMMYFUNCTION("""COMPUTED_VALUE"""),63.0)</f>
        <v>63</v>
      </c>
      <c r="F2992" s="2">
        <f>IFERROR(__xludf.DUMMYFUNCTION("""COMPUTED_VALUE"""),4.0)</f>
        <v>4</v>
      </c>
      <c r="G2992" s="2">
        <f>IFERROR(__xludf.DUMMYFUNCTION("""COMPUTED_VALUE"""),6.0)</f>
        <v>6</v>
      </c>
      <c r="H2992" s="2" t="str">
        <f>IFERROR(__xludf.DUMMYFUNCTION("""COMPUTED_VALUE"""),"Jaun.")</f>
        <v>Jaun.</v>
      </c>
      <c r="I2992" s="2" t="str">
        <f>IFERROR(__xludf.DUMMYFUNCTION("""COMPUTED_VALUE"""),"Brick")</f>
        <v>Brick</v>
      </c>
      <c r="J2992" s="2" t="str">
        <f>IFERROR(__xludf.DUMMYFUNCTION("""COMPUTED_VALUE"""),"All amenities")</f>
        <v>All amenities</v>
      </c>
      <c r="K2992" s="2">
        <f>IFERROR(__xludf.DUMMYFUNCTION("""COMPUTED_VALUE"""),400.0)</f>
        <v>400</v>
      </c>
      <c r="L2992" s="2">
        <f>IFERROR(__xludf.DUMMYFUNCTION("""COMPUTED_VALUE"""),56.9633219)</f>
        <v>56.9633219</v>
      </c>
      <c r="M2992" s="2">
        <f>IFERROR(__xludf.DUMMYFUNCTION("""COMPUTED_VALUE"""),24.1777938037585)</f>
        <v>24.1777938</v>
      </c>
    </row>
    <row r="2993">
      <c r="A2993" s="2" t="str">
        <f>IFERROR(__xludf.DUMMYFUNCTION("""COMPUTED_VALUE"""),"For sale")</f>
        <v>For sale</v>
      </c>
      <c r="B2993" s="2" t="str">
        <f>IFERROR(__xludf.DUMMYFUNCTION("""COMPUTED_VALUE"""),"Āgenskalns")</f>
        <v>Āgenskalns</v>
      </c>
      <c r="C2993" s="2" t="str">
        <f>IFERROR(__xludf.DUMMYFUNCTION("""COMPUTED_VALUE"""),"Mūkusalas 25")</f>
        <v>Mūkusalas 25</v>
      </c>
      <c r="D2993" s="2">
        <f>IFERROR(__xludf.DUMMYFUNCTION("""COMPUTED_VALUE"""),4.0)</f>
        <v>4</v>
      </c>
      <c r="E2993" s="2">
        <f>IFERROR(__xludf.DUMMYFUNCTION("""COMPUTED_VALUE"""),89.7)</f>
        <v>89.7</v>
      </c>
      <c r="F2993" s="2">
        <f>IFERROR(__xludf.DUMMYFUNCTION("""COMPUTED_VALUE"""),5.0)</f>
        <v>5</v>
      </c>
      <c r="G2993" s="2">
        <f>IFERROR(__xludf.DUMMYFUNCTION("""COMPUTED_VALUE"""),6.0)</f>
        <v>6</v>
      </c>
      <c r="H2993" s="2" t="str">
        <f>IFERROR(__xludf.DUMMYFUNCTION("""COMPUTED_VALUE"""),"Jaun.")</f>
        <v>Jaun.</v>
      </c>
      <c r="I2993" s="2" t="str">
        <f>IFERROR(__xludf.DUMMYFUNCTION("""COMPUTED_VALUE"""),"Masonry")</f>
        <v>Masonry</v>
      </c>
      <c r="J2993" s="2" t="str">
        <f>IFERROR(__xludf.DUMMYFUNCTION("""COMPUTED_VALUE"""),"All amenities")</f>
        <v>All amenities</v>
      </c>
      <c r="K2993" s="2">
        <f>IFERROR(__xludf.DUMMYFUNCTION("""COMPUTED_VALUE"""),180000.0)</f>
        <v>180000</v>
      </c>
      <c r="L2993" s="2">
        <f>IFERROR(__xludf.DUMMYFUNCTION("""COMPUTED_VALUE"""),56.9374039)</f>
        <v>56.9374039</v>
      </c>
      <c r="M2993" s="2">
        <f>IFERROR(__xludf.DUMMYFUNCTION("""COMPUTED_VALUE"""),24.101176263114)</f>
        <v>24.10117626</v>
      </c>
    </row>
    <row r="2994">
      <c r="A2994" s="2" t="str">
        <f>IFERROR(__xludf.DUMMYFUNCTION("""COMPUTED_VALUE"""),"For sale")</f>
        <v>For sale</v>
      </c>
      <c r="B2994" s="2" t="str">
        <f>IFERROR(__xludf.DUMMYFUNCTION("""COMPUTED_VALUE"""),"Ziepniekkalns")</f>
        <v>Ziepniekkalns</v>
      </c>
      <c r="C2994" s="2" t="str">
        <f>IFERROR(__xludf.DUMMYFUNCTION("""COMPUTED_VALUE"""),"Līvciema 31")</f>
        <v>Līvciema 31</v>
      </c>
      <c r="D2994" s="2">
        <f>IFERROR(__xludf.DUMMYFUNCTION("""COMPUTED_VALUE"""),2.0)</f>
        <v>2</v>
      </c>
      <c r="E2994" s="2">
        <f>IFERROR(__xludf.DUMMYFUNCTION("""COMPUTED_VALUE"""),48.0)</f>
        <v>48</v>
      </c>
      <c r="F2994" s="2">
        <f>IFERROR(__xludf.DUMMYFUNCTION("""COMPUTED_VALUE"""),2.0)</f>
        <v>2</v>
      </c>
      <c r="G2994" s="2">
        <f>IFERROR(__xludf.DUMMYFUNCTION("""COMPUTED_VALUE"""),2.0)</f>
        <v>2</v>
      </c>
      <c r="H2994" s="2" t="str">
        <f>IFERROR(__xludf.DUMMYFUNCTION("""COMPUTED_VALUE"""),"Hrušč.")</f>
        <v>Hrušč.</v>
      </c>
      <c r="I2994" s="2" t="str">
        <f>IFERROR(__xludf.DUMMYFUNCTION("""COMPUTED_VALUE"""),"Brick")</f>
        <v>Brick</v>
      </c>
      <c r="J2994" s="2" t="str">
        <f>IFERROR(__xludf.DUMMYFUNCTION("""COMPUTED_VALUE"""),"All amenities")</f>
        <v>All amenities</v>
      </c>
      <c r="K2994" s="2">
        <f>IFERROR(__xludf.DUMMYFUNCTION("""COMPUTED_VALUE"""),48500.0)</f>
        <v>48500</v>
      </c>
      <c r="L2994" s="2">
        <f>IFERROR(__xludf.DUMMYFUNCTION("""COMPUTED_VALUE"""),56.9066938499999)</f>
        <v>56.90669385</v>
      </c>
      <c r="M2994" s="2">
        <f>IFERROR(__xludf.DUMMYFUNCTION("""COMPUTED_VALUE"""),24.1008035)</f>
        <v>24.1008035</v>
      </c>
    </row>
    <row r="2995">
      <c r="A2995" s="2" t="str">
        <f>IFERROR(__xludf.DUMMYFUNCTION("""COMPUTED_VALUE"""),"For sale")</f>
        <v>For sale</v>
      </c>
      <c r="B2995" s="2" t="str">
        <f>IFERROR(__xludf.DUMMYFUNCTION("""COMPUTED_VALUE"""),"centrs")</f>
        <v>centrs</v>
      </c>
      <c r="C2995" s="2" t="str">
        <f>IFERROR(__xludf.DUMMYFUNCTION("""COMPUTED_VALUE"""),"Avotu 73")</f>
        <v>Avotu 73</v>
      </c>
      <c r="D2995" s="2">
        <f>IFERROR(__xludf.DUMMYFUNCTION("""COMPUTED_VALUE"""),2.0)</f>
        <v>2</v>
      </c>
      <c r="E2995" s="2">
        <f>IFERROR(__xludf.DUMMYFUNCTION("""COMPUTED_VALUE"""),51.0)</f>
        <v>51</v>
      </c>
      <c r="F2995" s="2">
        <f>IFERROR(__xludf.DUMMYFUNCTION("""COMPUTED_VALUE"""),5.0)</f>
        <v>5</v>
      </c>
      <c r="G2995" s="2">
        <f>IFERROR(__xludf.DUMMYFUNCTION("""COMPUTED_VALUE"""),6.0)</f>
        <v>6</v>
      </c>
      <c r="H2995" s="2" t="str">
        <f>IFERROR(__xludf.DUMMYFUNCTION("""COMPUTED_VALUE"""),"P. kara")</f>
        <v>P. kara</v>
      </c>
      <c r="I2995" s="2" t="str">
        <f>IFERROR(__xludf.DUMMYFUNCTION("""COMPUTED_VALUE"""),"Masonry")</f>
        <v>Masonry</v>
      </c>
      <c r="J2995" s="2" t="str">
        <f>IFERROR(__xludf.DUMMYFUNCTION("""COMPUTED_VALUE"""),"All amenities")</f>
        <v>All amenities</v>
      </c>
      <c r="K2995" s="2">
        <f>IFERROR(__xludf.DUMMYFUNCTION("""COMPUTED_VALUE"""),57000.0)</f>
        <v>57000</v>
      </c>
      <c r="L2995" s="2">
        <f>IFERROR(__xludf.DUMMYFUNCTION("""COMPUTED_VALUE"""),56.9507767)</f>
        <v>56.9507767</v>
      </c>
      <c r="M2995" s="2">
        <f>IFERROR(__xludf.DUMMYFUNCTION("""COMPUTED_VALUE"""),24.1332307)</f>
        <v>24.1332307</v>
      </c>
    </row>
    <row r="2996">
      <c r="A2996" s="2" t="str">
        <f>IFERROR(__xludf.DUMMYFUNCTION("""COMPUTED_VALUE"""),"For sale")</f>
        <v>For sale</v>
      </c>
      <c r="B2996" s="2" t="str">
        <f>IFERROR(__xludf.DUMMYFUNCTION("""COMPUTED_VALUE"""),"centrs")</f>
        <v>centrs</v>
      </c>
      <c r="C2996" s="2" t="str">
        <f>IFERROR(__xludf.DUMMYFUNCTION("""COMPUTED_VALUE"""),"Valdemāra 53")</f>
        <v>Valdemāra 53</v>
      </c>
      <c r="D2996" s="2">
        <f>IFERROR(__xludf.DUMMYFUNCTION("""COMPUTED_VALUE"""),1.0)</f>
        <v>1</v>
      </c>
      <c r="E2996" s="2">
        <f>IFERROR(__xludf.DUMMYFUNCTION("""COMPUTED_VALUE"""),44.0)</f>
        <v>44</v>
      </c>
      <c r="F2996" s="2">
        <f>IFERROR(__xludf.DUMMYFUNCTION("""COMPUTED_VALUE"""),2.0)</f>
        <v>2</v>
      </c>
      <c r="G2996" s="2">
        <f>IFERROR(__xludf.DUMMYFUNCTION("""COMPUTED_VALUE"""),5.0)</f>
        <v>5</v>
      </c>
      <c r="H2996" s="2" t="str">
        <f>IFERROR(__xludf.DUMMYFUNCTION("""COMPUTED_VALUE"""),"P. kara")</f>
        <v>P. kara</v>
      </c>
      <c r="I2996" s="2" t="str">
        <f>IFERROR(__xludf.DUMMYFUNCTION("""COMPUTED_VALUE"""),"Masonry")</f>
        <v>Masonry</v>
      </c>
      <c r="J2996" s="2" t="str">
        <f>IFERROR(__xludf.DUMMYFUNCTION("""COMPUTED_VALUE"""),"All amenities")</f>
        <v>All amenities</v>
      </c>
      <c r="K2996" s="2">
        <f>IFERROR(__xludf.DUMMYFUNCTION("""COMPUTED_VALUE"""),85500.0)</f>
        <v>85500</v>
      </c>
      <c r="L2996" s="2">
        <f>IFERROR(__xludf.DUMMYFUNCTION("""COMPUTED_VALUE"""),56.9596205)</f>
        <v>56.9596205</v>
      </c>
      <c r="M2996" s="2">
        <f>IFERROR(__xludf.DUMMYFUNCTION("""COMPUTED_VALUE"""),24.1190117)</f>
        <v>24.1190117</v>
      </c>
    </row>
    <row r="2997">
      <c r="A2997" s="2" t="str">
        <f>IFERROR(__xludf.DUMMYFUNCTION("""COMPUTED_VALUE"""),"For sale")</f>
        <v>For sale</v>
      </c>
      <c r="B2997" s="2" t="str">
        <f>IFERROR(__xludf.DUMMYFUNCTION("""COMPUTED_VALUE"""),"Teika")</f>
        <v>Teika</v>
      </c>
      <c r="C2997" s="2" t="str">
        <f>IFERROR(__xludf.DUMMYFUNCTION("""COMPUTED_VALUE"""),"Stāmerienas 2/1")</f>
        <v>Stāmerienas 2/1</v>
      </c>
      <c r="D2997" s="2">
        <f>IFERROR(__xludf.DUMMYFUNCTION("""COMPUTED_VALUE"""),2.0)</f>
        <v>2</v>
      </c>
      <c r="E2997" s="2">
        <f>IFERROR(__xludf.DUMMYFUNCTION("""COMPUTED_VALUE"""),48.0)</f>
        <v>48</v>
      </c>
      <c r="F2997" s="2">
        <f>IFERROR(__xludf.DUMMYFUNCTION("""COMPUTED_VALUE"""),2.0)</f>
        <v>2</v>
      </c>
      <c r="G2997" s="2">
        <f>IFERROR(__xludf.DUMMYFUNCTION("""COMPUTED_VALUE"""),3.0)</f>
        <v>3</v>
      </c>
      <c r="H2997" s="2" t="str">
        <f>IFERROR(__xludf.DUMMYFUNCTION("""COMPUTED_VALUE"""),"Staļina")</f>
        <v>Staļina</v>
      </c>
      <c r="I2997" s="2" t="str">
        <f>IFERROR(__xludf.DUMMYFUNCTION("""COMPUTED_VALUE"""),"Brick")</f>
        <v>Brick</v>
      </c>
      <c r="J2997" s="2" t="str">
        <f>IFERROR(__xludf.DUMMYFUNCTION("""COMPUTED_VALUE"""),"All amenities")</f>
        <v>All amenities</v>
      </c>
      <c r="K2997" s="2">
        <f>IFERROR(__xludf.DUMMYFUNCTION("""COMPUTED_VALUE"""),69000.0)</f>
        <v>69000</v>
      </c>
      <c r="L2997" s="2">
        <f>IFERROR(__xludf.DUMMYFUNCTION("""COMPUTED_VALUE"""),56.9827053)</f>
        <v>56.9827053</v>
      </c>
      <c r="M2997" s="2">
        <f>IFERROR(__xludf.DUMMYFUNCTION("""COMPUTED_VALUE"""),24.2009953)</f>
        <v>24.2009953</v>
      </c>
    </row>
    <row r="2998">
      <c r="A2998" s="2" t="str">
        <f>IFERROR(__xludf.DUMMYFUNCTION("""COMPUTED_VALUE"""),"For sale")</f>
        <v>For sale</v>
      </c>
      <c r="B2998" s="2" t="str">
        <f>IFERROR(__xludf.DUMMYFUNCTION("""COMPUTED_VALUE"""),"Vecmīlgrāvis")</f>
        <v>Vecmīlgrāvis</v>
      </c>
      <c r="C2998" s="2" t="str">
        <f>IFERROR(__xludf.DUMMYFUNCTION("""COMPUTED_VALUE"""),"Meldru 4")</f>
        <v>Meldru 4</v>
      </c>
      <c r="D2998" s="2">
        <f>IFERROR(__xludf.DUMMYFUNCTION("""COMPUTED_VALUE"""),2.0)</f>
        <v>2</v>
      </c>
      <c r="E2998" s="2">
        <f>IFERROR(__xludf.DUMMYFUNCTION("""COMPUTED_VALUE"""),46.0)</f>
        <v>46</v>
      </c>
      <c r="F2998" s="2">
        <f>IFERROR(__xludf.DUMMYFUNCTION("""COMPUTED_VALUE"""),2.0)</f>
        <v>2</v>
      </c>
      <c r="G2998" s="2">
        <f>IFERROR(__xludf.DUMMYFUNCTION("""COMPUTED_VALUE"""),5.0)</f>
        <v>5</v>
      </c>
      <c r="H2998" s="2" t="str">
        <f>IFERROR(__xludf.DUMMYFUNCTION("""COMPUTED_VALUE"""),"Hrušč.")</f>
        <v>Hrušč.</v>
      </c>
      <c r="I2998" s="2" t="str">
        <f>IFERROR(__xludf.DUMMYFUNCTION("""COMPUTED_VALUE"""),"Brick")</f>
        <v>Brick</v>
      </c>
      <c r="J2998" s="2" t="str">
        <f>IFERROR(__xludf.DUMMYFUNCTION("""COMPUTED_VALUE"""),"All amenities")</f>
        <v>All amenities</v>
      </c>
      <c r="K2998" s="2">
        <f>IFERROR(__xludf.DUMMYFUNCTION("""COMPUTED_VALUE"""),42365.0)</f>
        <v>42365</v>
      </c>
      <c r="L2998" s="2">
        <f>IFERROR(__xludf.DUMMYFUNCTION("""COMPUTED_VALUE"""),57.0278589)</f>
        <v>57.0278589</v>
      </c>
      <c r="M2998" s="2">
        <f>IFERROR(__xludf.DUMMYFUNCTION("""COMPUTED_VALUE"""),24.1029177)</f>
        <v>24.1029177</v>
      </c>
    </row>
    <row r="2999">
      <c r="A2999" s="2" t="str">
        <f>IFERROR(__xludf.DUMMYFUNCTION("""COMPUTED_VALUE"""),"For sale")</f>
        <v>For sale</v>
      </c>
      <c r="B2999" s="2" t="str">
        <f>IFERROR(__xludf.DUMMYFUNCTION("""COMPUTED_VALUE"""),"Pļavnieki")</f>
        <v>Pļavnieki</v>
      </c>
      <c r="C2999" s="2" t="str">
        <f>IFERROR(__xludf.DUMMYFUNCTION("""COMPUTED_VALUE"""),"Deglava 152")</f>
        <v>Deglava 152</v>
      </c>
      <c r="D2999" s="2">
        <f>IFERROR(__xludf.DUMMYFUNCTION("""COMPUTED_VALUE"""),1.0)</f>
        <v>1</v>
      </c>
      <c r="E2999" s="2">
        <f>IFERROR(__xludf.DUMMYFUNCTION("""COMPUTED_VALUE"""),35.0)</f>
        <v>35</v>
      </c>
      <c r="F2999" s="2">
        <f>IFERROR(__xludf.DUMMYFUNCTION("""COMPUTED_VALUE"""),6.0)</f>
        <v>6</v>
      </c>
      <c r="G2999" s="2">
        <f>IFERROR(__xludf.DUMMYFUNCTION("""COMPUTED_VALUE"""),9.0)</f>
        <v>9</v>
      </c>
      <c r="H2999" s="2">
        <f>IFERROR(__xludf.DUMMYFUNCTION("""COMPUTED_VALUE"""),602.0)</f>
        <v>602</v>
      </c>
      <c r="I2999" s="2" t="str">
        <f>IFERROR(__xludf.DUMMYFUNCTION("""COMPUTED_VALUE"""),"Panel")</f>
        <v>Panel</v>
      </c>
      <c r="J2999" s="2" t="str">
        <f>IFERROR(__xludf.DUMMYFUNCTION("""COMPUTED_VALUE"""),"All amenities")</f>
        <v>All amenities</v>
      </c>
      <c r="K2999" s="2">
        <f>IFERROR(__xludf.DUMMYFUNCTION("""COMPUTED_VALUE"""),32000.0)</f>
        <v>32000</v>
      </c>
      <c r="L2999" s="2">
        <f>IFERROR(__xludf.DUMMYFUNCTION("""COMPUTED_VALUE"""),56.9446815999999)</f>
        <v>56.9446816</v>
      </c>
      <c r="M2999" s="2">
        <f>IFERROR(__xludf.DUMMYFUNCTION("""COMPUTED_VALUE"""),24.2145409359572)</f>
        <v>24.21454094</v>
      </c>
    </row>
    <row r="3000">
      <c r="A3000" s="2" t="str">
        <f>IFERROR(__xludf.DUMMYFUNCTION("""COMPUTED_VALUE"""),"For rent")</f>
        <v>For rent</v>
      </c>
      <c r="B3000" s="2" t="str">
        <f>IFERROR(__xludf.DUMMYFUNCTION("""COMPUTED_VALUE"""),"Āgenskalns")</f>
        <v>Āgenskalns</v>
      </c>
      <c r="C3000" s="2" t="str">
        <f>IFERROR(__xludf.DUMMYFUNCTION("""COMPUTED_VALUE"""),"Kalnciema 9")</f>
        <v>Kalnciema 9</v>
      </c>
      <c r="D3000" s="2">
        <f>IFERROR(__xludf.DUMMYFUNCTION("""COMPUTED_VALUE"""),1.0)</f>
        <v>1</v>
      </c>
      <c r="E3000" s="2">
        <f>IFERROR(__xludf.DUMMYFUNCTION("""COMPUTED_VALUE"""),43.0)</f>
        <v>43</v>
      </c>
      <c r="F3000" s="2">
        <f>IFERROR(__xludf.DUMMYFUNCTION("""COMPUTED_VALUE"""),2.0)</f>
        <v>2</v>
      </c>
      <c r="G3000" s="2">
        <f>IFERROR(__xludf.DUMMYFUNCTION("""COMPUTED_VALUE"""),9.0)</f>
        <v>9</v>
      </c>
      <c r="H3000" s="2" t="str">
        <f>IFERROR(__xludf.DUMMYFUNCTION("""COMPUTED_VALUE"""),"Jaun.")</f>
        <v>Jaun.</v>
      </c>
      <c r="I3000" s="2" t="str">
        <f>IFERROR(__xludf.DUMMYFUNCTION("""COMPUTED_VALUE"""),"Panel")</f>
        <v>Panel</v>
      </c>
      <c r="J3000" s="2" t="str">
        <f>IFERROR(__xludf.DUMMYFUNCTION("""COMPUTED_VALUE"""),"All amenities")</f>
        <v>All amenities</v>
      </c>
      <c r="K3000" s="2">
        <f>IFERROR(__xludf.DUMMYFUNCTION("""COMPUTED_VALUE"""),400.0)</f>
        <v>400</v>
      </c>
      <c r="L3000" s="2">
        <f>IFERROR(__xludf.DUMMYFUNCTION("""COMPUTED_VALUE"""),56.9462443)</f>
        <v>56.9462443</v>
      </c>
      <c r="M3000" s="2">
        <f>IFERROR(__xludf.DUMMYFUNCTION("""COMPUTED_VALUE"""),24.0771849097587)</f>
        <v>24.07718491</v>
      </c>
    </row>
    <row r="3001">
      <c r="A3001" s="2" t="str">
        <f>IFERROR(__xludf.DUMMYFUNCTION("""COMPUTED_VALUE"""),"For rent")</f>
        <v>For rent</v>
      </c>
      <c r="B3001" s="2" t="str">
        <f>IFERROR(__xludf.DUMMYFUNCTION("""COMPUTED_VALUE"""),"centrs")</f>
        <v>centrs</v>
      </c>
      <c r="C3001" s="2" t="str">
        <f>IFERROR(__xludf.DUMMYFUNCTION("""COMPUTED_VALUE"""),"Eksporta 2a")</f>
        <v>Eksporta 2a</v>
      </c>
      <c r="D3001" s="2">
        <f>IFERROR(__xludf.DUMMYFUNCTION("""COMPUTED_VALUE"""),2.0)</f>
        <v>2</v>
      </c>
      <c r="E3001" s="2">
        <f>IFERROR(__xludf.DUMMYFUNCTION("""COMPUTED_VALUE"""),60.0)</f>
        <v>60</v>
      </c>
      <c r="F3001" s="2">
        <f>IFERROR(__xludf.DUMMYFUNCTION("""COMPUTED_VALUE"""),4.0)</f>
        <v>4</v>
      </c>
      <c r="G3001" s="2">
        <f>IFERROR(__xludf.DUMMYFUNCTION("""COMPUTED_VALUE"""),5.0)</f>
        <v>5</v>
      </c>
      <c r="H3001" s="2" t="str">
        <f>IFERROR(__xludf.DUMMYFUNCTION("""COMPUTED_VALUE"""),"Specpr.")</f>
        <v>Specpr.</v>
      </c>
      <c r="I3001" s="2" t="str">
        <f>IFERROR(__xludf.DUMMYFUNCTION("""COMPUTED_VALUE"""),"Brick")</f>
        <v>Brick</v>
      </c>
      <c r="J3001" s="2" t="str">
        <f>IFERROR(__xludf.DUMMYFUNCTION("""COMPUTED_VALUE"""),"All amenities")</f>
        <v>All amenities</v>
      </c>
      <c r="K3001" s="2">
        <f>IFERROR(__xludf.DUMMYFUNCTION("""COMPUTED_VALUE"""),650.0)</f>
        <v>650</v>
      </c>
      <c r="L3001" s="2">
        <f>IFERROR(__xludf.DUMMYFUNCTION("""COMPUTED_VALUE"""),56.95661335)</f>
        <v>56.95661335</v>
      </c>
      <c r="M3001" s="2">
        <f>IFERROR(__xludf.DUMMYFUNCTION("""COMPUTED_VALUE"""),24.0987304306377)</f>
        <v>24.09873043</v>
      </c>
    </row>
    <row r="3002">
      <c r="A3002" s="2" t="str">
        <f>IFERROR(__xludf.DUMMYFUNCTION("""COMPUTED_VALUE"""),"For sale")</f>
        <v>For sale</v>
      </c>
      <c r="B3002" s="2" t="str">
        <f>IFERROR(__xludf.DUMMYFUNCTION("""COMPUTED_VALUE"""),"centrs")</f>
        <v>centrs</v>
      </c>
      <c r="C3002" s="2" t="str">
        <f>IFERROR(__xludf.DUMMYFUNCTION("""COMPUTED_VALUE"""),"Pulkv. Brieža 9")</f>
        <v>Pulkv. Brieža 9</v>
      </c>
      <c r="D3002" s="2">
        <f>IFERROR(__xludf.DUMMYFUNCTION("""COMPUTED_VALUE"""),3.0)</f>
        <v>3</v>
      </c>
      <c r="E3002" s="2">
        <f>IFERROR(__xludf.DUMMYFUNCTION("""COMPUTED_VALUE"""),108.0)</f>
        <v>108</v>
      </c>
      <c r="F3002" s="2">
        <f>IFERROR(__xludf.DUMMYFUNCTION("""COMPUTED_VALUE"""),4.0)</f>
        <v>4</v>
      </c>
      <c r="G3002" s="2">
        <f>IFERROR(__xludf.DUMMYFUNCTION("""COMPUTED_VALUE"""),4.0)</f>
        <v>4</v>
      </c>
      <c r="H3002" s="2" t="str">
        <f>IFERROR(__xludf.DUMMYFUNCTION("""COMPUTED_VALUE"""),"Jaun.")</f>
        <v>Jaun.</v>
      </c>
      <c r="I3002" s="2" t="str">
        <f>IFERROR(__xludf.DUMMYFUNCTION("""COMPUTED_VALUE"""),"Masonry")</f>
        <v>Masonry</v>
      </c>
      <c r="J3002" s="2" t="str">
        <f>IFERROR(__xludf.DUMMYFUNCTION("""COMPUTED_VALUE"""),"All amenities")</f>
        <v>All amenities</v>
      </c>
      <c r="K3002" s="2">
        <f>IFERROR(__xludf.DUMMYFUNCTION("""COMPUTED_VALUE"""),170000.0)</f>
        <v>170000</v>
      </c>
      <c r="L3002" s="2" t="str">
        <f>IFERROR(__xludf.DUMMYFUNCTION("""COMPUTED_VALUE"""),"NaN")</f>
        <v>NaN</v>
      </c>
      <c r="M3002" s="2" t="str">
        <f>IFERROR(__xludf.DUMMYFUNCTION("""COMPUTED_VALUE"""),"NaN")</f>
        <v>NaN</v>
      </c>
    </row>
    <row r="3003">
      <c r="A3003" s="2" t="str">
        <f>IFERROR(__xludf.DUMMYFUNCTION("""COMPUTED_VALUE"""),"For sale")</f>
        <v>For sale</v>
      </c>
      <c r="B3003" s="2" t="str">
        <f>IFERROR(__xludf.DUMMYFUNCTION("""COMPUTED_VALUE"""),"Ķengarags")</f>
        <v>Ķengarags</v>
      </c>
      <c r="C3003" s="2" t="str">
        <f>IFERROR(__xludf.DUMMYFUNCTION("""COMPUTED_VALUE"""),"Prūšu 22, k-3")</f>
        <v>Prūšu 22, k-3</v>
      </c>
      <c r="D3003" s="2">
        <f>IFERROR(__xludf.DUMMYFUNCTION("""COMPUTED_VALUE"""),2.0)</f>
        <v>2</v>
      </c>
      <c r="E3003" s="2">
        <f>IFERROR(__xludf.DUMMYFUNCTION("""COMPUTED_VALUE"""),42.0)</f>
        <v>42</v>
      </c>
      <c r="F3003" s="2">
        <f>IFERROR(__xludf.DUMMYFUNCTION("""COMPUTED_VALUE"""),2.0)</f>
        <v>2</v>
      </c>
      <c r="G3003" s="2">
        <f>IFERROR(__xludf.DUMMYFUNCTION("""COMPUTED_VALUE"""),5.0)</f>
        <v>5</v>
      </c>
      <c r="H3003" s="2" t="str">
        <f>IFERROR(__xludf.DUMMYFUNCTION("""COMPUTED_VALUE"""),"Hrušč.")</f>
        <v>Hrušč.</v>
      </c>
      <c r="I3003" s="2" t="str">
        <f>IFERROR(__xludf.DUMMYFUNCTION("""COMPUTED_VALUE"""),"Brick")</f>
        <v>Brick</v>
      </c>
      <c r="J3003" s="2" t="str">
        <f>IFERROR(__xludf.DUMMYFUNCTION("""COMPUTED_VALUE"""),"All amenities")</f>
        <v>All amenities</v>
      </c>
      <c r="K3003" s="2">
        <f>IFERROR(__xludf.DUMMYFUNCTION("""COMPUTED_VALUE"""),45400.0)</f>
        <v>45400</v>
      </c>
      <c r="L3003" s="2">
        <f>IFERROR(__xludf.DUMMYFUNCTION("""COMPUTED_VALUE"""),56.9133625)</f>
        <v>56.9133625</v>
      </c>
      <c r="M3003" s="2">
        <f>IFERROR(__xludf.DUMMYFUNCTION("""COMPUTED_VALUE"""),24.1874936748822)</f>
        <v>24.18749367</v>
      </c>
    </row>
    <row r="3004">
      <c r="A3004" s="2" t="str">
        <f>IFERROR(__xludf.DUMMYFUNCTION("""COMPUTED_VALUE"""),"For sale")</f>
        <v>For sale</v>
      </c>
      <c r="B3004" s="2" t="str">
        <f>IFERROR(__xludf.DUMMYFUNCTION("""COMPUTED_VALUE"""),"centrs")</f>
        <v>centrs</v>
      </c>
      <c r="C3004" s="2" t="str">
        <f>IFERROR(__xludf.DUMMYFUNCTION("""COMPUTED_VALUE"""),"Stabu 96")</f>
        <v>Stabu 96</v>
      </c>
      <c r="D3004" s="2">
        <f>IFERROR(__xludf.DUMMYFUNCTION("""COMPUTED_VALUE"""),3.0)</f>
        <v>3</v>
      </c>
      <c r="E3004" s="2">
        <f>IFERROR(__xludf.DUMMYFUNCTION("""COMPUTED_VALUE"""),71.0)</f>
        <v>71</v>
      </c>
      <c r="F3004" s="2">
        <f>IFERROR(__xludf.DUMMYFUNCTION("""COMPUTED_VALUE"""),4.0)</f>
        <v>4</v>
      </c>
      <c r="G3004" s="2">
        <f>IFERROR(__xludf.DUMMYFUNCTION("""COMPUTED_VALUE"""),5.0)</f>
        <v>5</v>
      </c>
      <c r="H3004" s="2" t="str">
        <f>IFERROR(__xludf.DUMMYFUNCTION("""COMPUTED_VALUE"""),"P. kara")</f>
        <v>P. kara</v>
      </c>
      <c r="I3004" s="2" t="str">
        <f>IFERROR(__xludf.DUMMYFUNCTION("""COMPUTED_VALUE"""),"Masonry")</f>
        <v>Masonry</v>
      </c>
      <c r="J3004" s="2" t="str">
        <f>IFERROR(__xludf.DUMMYFUNCTION("""COMPUTED_VALUE"""),"All amenities")</f>
        <v>All amenities</v>
      </c>
      <c r="K3004" s="2">
        <f>IFERROR(__xludf.DUMMYFUNCTION("""COMPUTED_VALUE"""),70000.0)</f>
        <v>70000</v>
      </c>
      <c r="L3004" s="2">
        <f>IFERROR(__xludf.DUMMYFUNCTION("""COMPUTED_VALUE"""),56.94979075)</f>
        <v>56.94979075</v>
      </c>
      <c r="M3004" s="2">
        <f>IFERROR(__xludf.DUMMYFUNCTION("""COMPUTED_VALUE"""),24.1415616845318)</f>
        <v>24.14156168</v>
      </c>
    </row>
    <row r="3005">
      <c r="A3005" s="2" t="str">
        <f>IFERROR(__xludf.DUMMYFUNCTION("""COMPUTED_VALUE"""),"For sale")</f>
        <v>For sale</v>
      </c>
      <c r="B3005" s="2" t="str">
        <f>IFERROR(__xludf.DUMMYFUNCTION("""COMPUTED_VALUE"""),"Mežciems")</f>
        <v>Mežciems</v>
      </c>
      <c r="C3005" s="2" t="str">
        <f>IFERROR(__xludf.DUMMYFUNCTION("""COMPUTED_VALUE"""),"Kaivas 50")</f>
        <v>Kaivas 50</v>
      </c>
      <c r="D3005" s="2">
        <f>IFERROR(__xludf.DUMMYFUNCTION("""COMPUTED_VALUE"""),2.0)</f>
        <v>2</v>
      </c>
      <c r="E3005" s="2">
        <f>IFERROR(__xludf.DUMMYFUNCTION("""COMPUTED_VALUE"""),48.0)</f>
        <v>48</v>
      </c>
      <c r="F3005" s="2">
        <f>IFERROR(__xludf.DUMMYFUNCTION("""COMPUTED_VALUE"""),2.0)</f>
        <v>2</v>
      </c>
      <c r="G3005" s="2">
        <f>IFERROR(__xludf.DUMMYFUNCTION("""COMPUTED_VALUE"""),5.0)</f>
        <v>5</v>
      </c>
      <c r="H3005" s="2" t="str">
        <f>IFERROR(__xludf.DUMMYFUNCTION("""COMPUTED_VALUE"""),"Specpr.")</f>
        <v>Specpr.</v>
      </c>
      <c r="I3005" s="2" t="str">
        <f>IFERROR(__xludf.DUMMYFUNCTION("""COMPUTED_VALUE"""),"Masonry")</f>
        <v>Masonry</v>
      </c>
      <c r="J3005" s="2" t="str">
        <f>IFERROR(__xludf.DUMMYFUNCTION("""COMPUTED_VALUE"""),"All amenities")</f>
        <v>All amenities</v>
      </c>
      <c r="K3005" s="2">
        <f>IFERROR(__xludf.DUMMYFUNCTION("""COMPUTED_VALUE"""),69500.0)</f>
        <v>69500</v>
      </c>
      <c r="L3005" s="2">
        <f>IFERROR(__xludf.DUMMYFUNCTION("""COMPUTED_VALUE"""),56.95546705)</f>
        <v>56.95546705</v>
      </c>
      <c r="M3005" s="2">
        <f>IFERROR(__xludf.DUMMYFUNCTION("""COMPUTED_VALUE"""),24.24181865)</f>
        <v>24.24181865</v>
      </c>
    </row>
    <row r="3006">
      <c r="A3006" s="2" t="str">
        <f>IFERROR(__xludf.DUMMYFUNCTION("""COMPUTED_VALUE"""),"For sale")</f>
        <v>For sale</v>
      </c>
      <c r="B3006" s="2" t="str">
        <f>IFERROR(__xludf.DUMMYFUNCTION("""COMPUTED_VALUE"""),"centrs")</f>
        <v>centrs</v>
      </c>
      <c r="C3006" s="2" t="str">
        <f>IFERROR(__xludf.DUMMYFUNCTION("""COMPUTED_VALUE"""),"Sermuliņu 10")</f>
        <v>Sermuliņu 10</v>
      </c>
      <c r="D3006" s="2">
        <f>IFERROR(__xludf.DUMMYFUNCTION("""COMPUTED_VALUE"""),1.0)</f>
        <v>1</v>
      </c>
      <c r="E3006" s="2">
        <f>IFERROR(__xludf.DUMMYFUNCTION("""COMPUTED_VALUE"""),23.0)</f>
        <v>23</v>
      </c>
      <c r="F3006" s="2">
        <f>IFERROR(__xludf.DUMMYFUNCTION("""COMPUTED_VALUE"""),1.0)</f>
        <v>1</v>
      </c>
      <c r="G3006" s="2">
        <f>IFERROR(__xludf.DUMMYFUNCTION("""COMPUTED_VALUE"""),4.0)</f>
        <v>4</v>
      </c>
      <c r="H3006" s="2" t="str">
        <f>IFERROR(__xludf.DUMMYFUNCTION("""COMPUTED_VALUE"""),"P. kara")</f>
        <v>P. kara</v>
      </c>
      <c r="I3006" s="2" t="str">
        <f>IFERROR(__xludf.DUMMYFUNCTION("""COMPUTED_VALUE"""),"Brick")</f>
        <v>Brick</v>
      </c>
      <c r="J3006" s="2" t="str">
        <f>IFERROR(__xludf.DUMMYFUNCTION("""COMPUTED_VALUE"""),"Partial amenities")</f>
        <v>Partial amenities</v>
      </c>
      <c r="K3006" s="2">
        <f>IFERROR(__xludf.DUMMYFUNCTION("""COMPUTED_VALUE"""),28900.0)</f>
        <v>28900</v>
      </c>
      <c r="L3006" s="2">
        <f>IFERROR(__xludf.DUMMYFUNCTION("""COMPUTED_VALUE"""),56.9683499)</f>
        <v>56.9683499</v>
      </c>
      <c r="M3006" s="2">
        <f>IFERROR(__xludf.DUMMYFUNCTION("""COMPUTED_VALUE"""),24.1052617)</f>
        <v>24.1052617</v>
      </c>
    </row>
    <row r="3007">
      <c r="A3007" s="2" t="str">
        <f>IFERROR(__xludf.DUMMYFUNCTION("""COMPUTED_VALUE"""),"For sale")</f>
        <v>For sale</v>
      </c>
      <c r="B3007" s="2" t="str">
        <f>IFERROR(__xludf.DUMMYFUNCTION("""COMPUTED_VALUE"""),"Šampēteris-Pleskodāle")</f>
        <v>Šampēteris-Pleskodāle</v>
      </c>
      <c r="C3007" s="2" t="str">
        <f>IFERROR(__xludf.DUMMYFUNCTION("""COMPUTED_VALUE"""),"Šampētera 9")</f>
        <v>Šampētera 9</v>
      </c>
      <c r="D3007" s="2">
        <f>IFERROR(__xludf.DUMMYFUNCTION("""COMPUTED_VALUE"""),4.0)</f>
        <v>4</v>
      </c>
      <c r="E3007" s="2">
        <f>IFERROR(__xludf.DUMMYFUNCTION("""COMPUTED_VALUE"""),100.0)</f>
        <v>100</v>
      </c>
      <c r="F3007" s="2">
        <f>IFERROR(__xludf.DUMMYFUNCTION("""COMPUTED_VALUE"""),1.0)</f>
        <v>1</v>
      </c>
      <c r="G3007" s="2">
        <f>IFERROR(__xludf.DUMMYFUNCTION("""COMPUTED_VALUE"""),2.0)</f>
        <v>2</v>
      </c>
      <c r="H3007" s="2" t="str">
        <f>IFERROR(__xludf.DUMMYFUNCTION("""COMPUTED_VALUE"""),"P. kara")</f>
        <v>P. kara</v>
      </c>
      <c r="I3007" s="2" t="str">
        <f>IFERROR(__xludf.DUMMYFUNCTION("""COMPUTED_VALUE"""),"Wood")</f>
        <v>Wood</v>
      </c>
      <c r="J3007" s="2" t="str">
        <f>IFERROR(__xludf.DUMMYFUNCTION("""COMPUTED_VALUE"""),"All amenities")</f>
        <v>All amenities</v>
      </c>
      <c r="K3007" s="2">
        <f>IFERROR(__xludf.DUMMYFUNCTION("""COMPUTED_VALUE"""),76000.0)</f>
        <v>76000</v>
      </c>
      <c r="L3007" s="2">
        <f>IFERROR(__xludf.DUMMYFUNCTION("""COMPUTED_VALUE"""),56.9418126)</f>
        <v>56.9418126</v>
      </c>
      <c r="M3007" s="2">
        <f>IFERROR(__xludf.DUMMYFUNCTION("""COMPUTED_VALUE"""),24.038539163099)</f>
        <v>24.03853916</v>
      </c>
    </row>
    <row r="3008">
      <c r="A3008" s="2" t="str">
        <f>IFERROR(__xludf.DUMMYFUNCTION("""COMPUTED_VALUE"""),"For sale")</f>
        <v>For sale</v>
      </c>
      <c r="B3008" s="2" t="str">
        <f>IFERROR(__xludf.DUMMYFUNCTION("""COMPUTED_VALUE"""),"Mežciems")</f>
        <v>Mežciems</v>
      </c>
      <c r="C3008" s="2" t="str">
        <f>IFERROR(__xludf.DUMMYFUNCTION("""COMPUTED_VALUE"""),"Kaivas 50k-1")</f>
        <v>Kaivas 50k-1</v>
      </c>
      <c r="D3008" s="2">
        <f>IFERROR(__xludf.DUMMYFUNCTION("""COMPUTED_VALUE"""),3.0)</f>
        <v>3</v>
      </c>
      <c r="E3008" s="2">
        <f>IFERROR(__xludf.DUMMYFUNCTION("""COMPUTED_VALUE"""),74.2)</f>
        <v>74.2</v>
      </c>
      <c r="F3008" s="2">
        <f>IFERROR(__xludf.DUMMYFUNCTION("""COMPUTED_VALUE"""),1.0)</f>
        <v>1</v>
      </c>
      <c r="G3008" s="2">
        <f>IFERROR(__xludf.DUMMYFUNCTION("""COMPUTED_VALUE"""),5.0)</f>
        <v>5</v>
      </c>
      <c r="H3008" s="2" t="str">
        <f>IFERROR(__xludf.DUMMYFUNCTION("""COMPUTED_VALUE"""),"Jaun.")</f>
        <v>Jaun.</v>
      </c>
      <c r="I3008" s="2" t="str">
        <f>IFERROR(__xludf.DUMMYFUNCTION("""COMPUTED_VALUE"""),"Brick-Panel")</f>
        <v>Brick-Panel</v>
      </c>
      <c r="J3008" s="2" t="str">
        <f>IFERROR(__xludf.DUMMYFUNCTION("""COMPUTED_VALUE"""),"All amenities")</f>
        <v>All amenities</v>
      </c>
      <c r="K3008" s="2">
        <f>IFERROR(__xludf.DUMMYFUNCTION("""COMPUTED_VALUE"""),92750.0)</f>
        <v>92750</v>
      </c>
      <c r="L3008" s="2">
        <f>IFERROR(__xludf.DUMMYFUNCTION("""COMPUTED_VALUE"""),56.9541725)</f>
        <v>56.9541725</v>
      </c>
      <c r="M3008" s="2">
        <f>IFERROR(__xludf.DUMMYFUNCTION("""COMPUTED_VALUE"""),24.2443253)</f>
        <v>24.2443253</v>
      </c>
    </row>
    <row r="3009">
      <c r="A3009" s="2" t="str">
        <f>IFERROR(__xludf.DUMMYFUNCTION("""COMPUTED_VALUE"""),"For sale")</f>
        <v>For sale</v>
      </c>
      <c r="B3009" s="2" t="str">
        <f>IFERROR(__xludf.DUMMYFUNCTION("""COMPUTED_VALUE"""),"centrs")</f>
        <v>centrs</v>
      </c>
      <c r="C3009" s="2" t="str">
        <f>IFERROR(__xludf.DUMMYFUNCTION("""COMPUTED_VALUE"""),"Pulkv. Brieža 35")</f>
        <v>Pulkv. Brieža 35</v>
      </c>
      <c r="D3009" s="2">
        <f>IFERROR(__xludf.DUMMYFUNCTION("""COMPUTED_VALUE"""),2.0)</f>
        <v>2</v>
      </c>
      <c r="E3009" s="2">
        <f>IFERROR(__xludf.DUMMYFUNCTION("""COMPUTED_VALUE"""),59.0)</f>
        <v>59</v>
      </c>
      <c r="F3009" s="2">
        <f>IFERROR(__xludf.DUMMYFUNCTION("""COMPUTED_VALUE"""),7.0)</f>
        <v>7</v>
      </c>
      <c r="G3009" s="2">
        <f>IFERROR(__xludf.DUMMYFUNCTION("""COMPUTED_VALUE"""),7.0)</f>
        <v>7</v>
      </c>
      <c r="H3009" s="2" t="str">
        <f>IFERROR(__xludf.DUMMYFUNCTION("""COMPUTED_VALUE"""),"Jaun.")</f>
        <v>Jaun.</v>
      </c>
      <c r="I3009" s="2" t="str">
        <f>IFERROR(__xludf.DUMMYFUNCTION("""COMPUTED_VALUE"""),"Brick-Panel")</f>
        <v>Brick-Panel</v>
      </c>
      <c r="J3009" s="2" t="str">
        <f>IFERROR(__xludf.DUMMYFUNCTION("""COMPUTED_VALUE"""),"All amenities")</f>
        <v>All amenities</v>
      </c>
      <c r="K3009" s="2">
        <f>IFERROR(__xludf.DUMMYFUNCTION("""COMPUTED_VALUE"""),132000.0)</f>
        <v>132000</v>
      </c>
      <c r="L3009" s="2" t="str">
        <f>IFERROR(__xludf.DUMMYFUNCTION("""COMPUTED_VALUE"""),"NaN")</f>
        <v>NaN</v>
      </c>
      <c r="M3009" s="2" t="str">
        <f>IFERROR(__xludf.DUMMYFUNCTION("""COMPUTED_VALUE"""),"NaN")</f>
        <v>NaN</v>
      </c>
    </row>
    <row r="3010">
      <c r="A3010" s="2" t="str">
        <f>IFERROR(__xludf.DUMMYFUNCTION("""COMPUTED_VALUE"""),"For sale")</f>
        <v>For sale</v>
      </c>
      <c r="B3010" s="2" t="str">
        <f>IFERROR(__xludf.DUMMYFUNCTION("""COMPUTED_VALUE"""),"Vecrīga")</f>
        <v>Vecrīga</v>
      </c>
      <c r="C3010" s="2" t="str">
        <f>IFERROR(__xludf.DUMMYFUNCTION("""COMPUTED_VALUE"""),"Kungu 25")</f>
        <v>Kungu 25</v>
      </c>
      <c r="D3010" s="2">
        <f>IFERROR(__xludf.DUMMYFUNCTION("""COMPUTED_VALUE"""),4.0)</f>
        <v>4</v>
      </c>
      <c r="E3010" s="2">
        <f>IFERROR(__xludf.DUMMYFUNCTION("""COMPUTED_VALUE"""),88.0)</f>
        <v>88</v>
      </c>
      <c r="F3010" s="2">
        <f>IFERROR(__xludf.DUMMYFUNCTION("""COMPUTED_VALUE"""),3.0)</f>
        <v>3</v>
      </c>
      <c r="G3010" s="2">
        <f>IFERROR(__xludf.DUMMYFUNCTION("""COMPUTED_VALUE"""),6.0)</f>
        <v>6</v>
      </c>
      <c r="H3010" s="2" t="str">
        <f>IFERROR(__xludf.DUMMYFUNCTION("""COMPUTED_VALUE"""),"Jaun.")</f>
        <v>Jaun.</v>
      </c>
      <c r="I3010" s="2" t="str">
        <f>IFERROR(__xludf.DUMMYFUNCTION("""COMPUTED_VALUE"""),"Panel-Brick")</f>
        <v>Panel-Brick</v>
      </c>
      <c r="J3010" s="2" t="str">
        <f>IFERROR(__xludf.DUMMYFUNCTION("""COMPUTED_VALUE"""),"All amenities")</f>
        <v>All amenities</v>
      </c>
      <c r="K3010" s="2">
        <f>IFERROR(__xludf.DUMMYFUNCTION("""COMPUTED_VALUE"""),190000.0)</f>
        <v>190000</v>
      </c>
      <c r="L3010" s="2">
        <f>IFERROR(__xludf.DUMMYFUNCTION("""COMPUTED_VALUE"""),56.9453381999999)</f>
        <v>56.9453382</v>
      </c>
      <c r="M3010" s="2">
        <f>IFERROR(__xludf.DUMMYFUNCTION("""COMPUTED_VALUE"""),24.1094639533088)</f>
        <v>24.10946395</v>
      </c>
    </row>
    <row r="3011">
      <c r="A3011" s="2" t="str">
        <f>IFERROR(__xludf.DUMMYFUNCTION("""COMPUTED_VALUE"""),"For sale")</f>
        <v>For sale</v>
      </c>
      <c r="B3011" s="2" t="str">
        <f>IFERROR(__xludf.DUMMYFUNCTION("""COMPUTED_VALUE"""),"centrs")</f>
        <v>centrs</v>
      </c>
      <c r="C3011" s="2" t="str">
        <f>IFERROR(__xludf.DUMMYFUNCTION("""COMPUTED_VALUE"""),"Maskavas 79")</f>
        <v>Maskavas 79</v>
      </c>
      <c r="D3011" s="2">
        <f>IFERROR(__xludf.DUMMYFUNCTION("""COMPUTED_VALUE"""),2.0)</f>
        <v>2</v>
      </c>
      <c r="E3011" s="2">
        <f>IFERROR(__xludf.DUMMYFUNCTION("""COMPUTED_VALUE"""),40.0)</f>
        <v>40</v>
      </c>
      <c r="F3011" s="2">
        <f>IFERROR(__xludf.DUMMYFUNCTION("""COMPUTED_VALUE"""),1.0)</f>
        <v>1</v>
      </c>
      <c r="G3011" s="2">
        <f>IFERROR(__xludf.DUMMYFUNCTION("""COMPUTED_VALUE"""),5.0)</f>
        <v>5</v>
      </c>
      <c r="H3011" s="2" t="str">
        <f>IFERROR(__xludf.DUMMYFUNCTION("""COMPUTED_VALUE"""),"P. kara")</f>
        <v>P. kara</v>
      </c>
      <c r="I3011" s="2" t="str">
        <f>IFERROR(__xludf.DUMMYFUNCTION("""COMPUTED_VALUE"""),"Masonry")</f>
        <v>Masonry</v>
      </c>
      <c r="J3011" s="2" t="str">
        <f>IFERROR(__xludf.DUMMYFUNCTION("""COMPUTED_VALUE"""),"All amenities")</f>
        <v>All amenities</v>
      </c>
      <c r="K3011" s="2">
        <f>IFERROR(__xludf.DUMMYFUNCTION("""COMPUTED_VALUE"""),46300.0)</f>
        <v>46300</v>
      </c>
      <c r="L3011" s="2">
        <f>IFERROR(__xludf.DUMMYFUNCTION("""COMPUTED_VALUE"""),56.8597884)</f>
        <v>56.8597884</v>
      </c>
      <c r="M3011" s="2">
        <f>IFERROR(__xludf.DUMMYFUNCTION("""COMPUTED_VALUE"""),24.3083417)</f>
        <v>24.3083417</v>
      </c>
    </row>
    <row r="3012">
      <c r="A3012" s="2" t="str">
        <f>IFERROR(__xludf.DUMMYFUNCTION("""COMPUTED_VALUE"""),"For sale")</f>
        <v>For sale</v>
      </c>
      <c r="B3012" s="2" t="str">
        <f>IFERROR(__xludf.DUMMYFUNCTION("""COMPUTED_VALUE"""),"Ziepniekkalns")</f>
        <v>Ziepniekkalns</v>
      </c>
      <c r="C3012" s="2" t="str">
        <f>IFERROR(__xludf.DUMMYFUNCTION("""COMPUTED_VALUE"""),"Komētas 15")</f>
        <v>Komētas 15</v>
      </c>
      <c r="D3012" s="2">
        <f>IFERROR(__xludf.DUMMYFUNCTION("""COMPUTED_VALUE"""),3.0)</f>
        <v>3</v>
      </c>
      <c r="E3012" s="2">
        <f>IFERROR(__xludf.DUMMYFUNCTION("""COMPUTED_VALUE"""),76.0)</f>
        <v>76</v>
      </c>
      <c r="F3012" s="2">
        <f>IFERROR(__xludf.DUMMYFUNCTION("""COMPUTED_VALUE"""),3.0)</f>
        <v>3</v>
      </c>
      <c r="G3012" s="2">
        <f>IFERROR(__xludf.DUMMYFUNCTION("""COMPUTED_VALUE"""),3.0)</f>
        <v>3</v>
      </c>
      <c r="H3012" s="2" t="str">
        <f>IFERROR(__xludf.DUMMYFUNCTION("""COMPUTED_VALUE"""),"Jaun.")</f>
        <v>Jaun.</v>
      </c>
      <c r="I3012" s="2" t="str">
        <f>IFERROR(__xludf.DUMMYFUNCTION("""COMPUTED_VALUE"""),"Brick-Panel")</f>
        <v>Brick-Panel</v>
      </c>
      <c r="J3012" s="2" t="str">
        <f>IFERROR(__xludf.DUMMYFUNCTION("""COMPUTED_VALUE"""),"All amenities")</f>
        <v>All amenities</v>
      </c>
      <c r="K3012" s="2">
        <f>IFERROR(__xludf.DUMMYFUNCTION("""COMPUTED_VALUE"""),115900.0)</f>
        <v>115900</v>
      </c>
      <c r="L3012" s="2">
        <f>IFERROR(__xludf.DUMMYFUNCTION("""COMPUTED_VALUE"""),56.914968)</f>
        <v>56.914968</v>
      </c>
      <c r="M3012" s="2">
        <f>IFERROR(__xludf.DUMMYFUNCTION("""COMPUTED_VALUE"""),24.12289)</f>
        <v>24.12289</v>
      </c>
    </row>
    <row r="3013">
      <c r="A3013" s="2" t="str">
        <f>IFERROR(__xludf.DUMMYFUNCTION("""COMPUTED_VALUE"""),"For sale")</f>
        <v>For sale</v>
      </c>
      <c r="B3013" s="2" t="str">
        <f>IFERROR(__xludf.DUMMYFUNCTION("""COMPUTED_VALUE"""),"centrs")</f>
        <v>centrs</v>
      </c>
      <c r="C3013" s="2" t="str">
        <f>IFERROR(__xludf.DUMMYFUNCTION("""COMPUTED_VALUE"""),"Maskavas 22")</f>
        <v>Maskavas 22</v>
      </c>
      <c r="D3013" s="2">
        <f>IFERROR(__xludf.DUMMYFUNCTION("""COMPUTED_VALUE"""),3.0)</f>
        <v>3</v>
      </c>
      <c r="E3013" s="2">
        <f>IFERROR(__xludf.DUMMYFUNCTION("""COMPUTED_VALUE"""),50.0)</f>
        <v>50</v>
      </c>
      <c r="F3013" s="2">
        <f>IFERROR(__xludf.DUMMYFUNCTION("""COMPUTED_VALUE"""),2.0)</f>
        <v>2</v>
      </c>
      <c r="G3013" s="2">
        <f>IFERROR(__xludf.DUMMYFUNCTION("""COMPUTED_VALUE"""),5.0)</f>
        <v>5</v>
      </c>
      <c r="H3013" s="2" t="str">
        <f>IFERROR(__xludf.DUMMYFUNCTION("""COMPUTED_VALUE"""),"P. kara")</f>
        <v>P. kara</v>
      </c>
      <c r="I3013" s="2" t="str">
        <f>IFERROR(__xludf.DUMMYFUNCTION("""COMPUTED_VALUE"""),"Masonry")</f>
        <v>Masonry</v>
      </c>
      <c r="J3013" s="2" t="str">
        <f>IFERROR(__xludf.DUMMYFUNCTION("""COMPUTED_VALUE"""),"All amenities")</f>
        <v>All amenities</v>
      </c>
      <c r="K3013" s="2">
        <f>IFERROR(__xludf.DUMMYFUNCTION("""COMPUTED_VALUE"""),61100.0)</f>
        <v>61100</v>
      </c>
      <c r="L3013" s="2">
        <f>IFERROR(__xludf.DUMMYFUNCTION("""COMPUTED_VALUE"""),56.8597884)</f>
        <v>56.8597884</v>
      </c>
      <c r="M3013" s="2">
        <f>IFERROR(__xludf.DUMMYFUNCTION("""COMPUTED_VALUE"""),24.3083417)</f>
        <v>24.3083417</v>
      </c>
    </row>
    <row r="3014">
      <c r="A3014" s="2" t="str">
        <f>IFERROR(__xludf.DUMMYFUNCTION("""COMPUTED_VALUE"""),"For rent")</f>
        <v>For rent</v>
      </c>
      <c r="B3014" s="2" t="str">
        <f>IFERROR(__xludf.DUMMYFUNCTION("""COMPUTED_VALUE"""),"centrs")</f>
        <v>centrs</v>
      </c>
      <c r="C3014" s="2" t="str">
        <f>IFERROR(__xludf.DUMMYFUNCTION("""COMPUTED_VALUE"""),"Maskavas 79")</f>
        <v>Maskavas 79</v>
      </c>
      <c r="D3014" s="2">
        <f>IFERROR(__xludf.DUMMYFUNCTION("""COMPUTED_VALUE"""),2.0)</f>
        <v>2</v>
      </c>
      <c r="E3014" s="2">
        <f>IFERROR(__xludf.DUMMYFUNCTION("""COMPUTED_VALUE"""),40.0)</f>
        <v>40</v>
      </c>
      <c r="F3014" s="2">
        <f>IFERROR(__xludf.DUMMYFUNCTION("""COMPUTED_VALUE"""),1.0)</f>
        <v>1</v>
      </c>
      <c r="G3014" s="2">
        <f>IFERROR(__xludf.DUMMYFUNCTION("""COMPUTED_VALUE"""),5.0)</f>
        <v>5</v>
      </c>
      <c r="H3014" s="2" t="str">
        <f>IFERROR(__xludf.DUMMYFUNCTION("""COMPUTED_VALUE"""),"P. kara")</f>
        <v>P. kara</v>
      </c>
      <c r="I3014" s="2" t="str">
        <f>IFERROR(__xludf.DUMMYFUNCTION("""COMPUTED_VALUE"""),"Masonry")</f>
        <v>Masonry</v>
      </c>
      <c r="J3014" s="2" t="str">
        <f>IFERROR(__xludf.DUMMYFUNCTION("""COMPUTED_VALUE"""),"All amenities")</f>
        <v>All amenities</v>
      </c>
      <c r="K3014" s="2">
        <f>IFERROR(__xludf.DUMMYFUNCTION("""COMPUTED_VALUE"""),380.0)</f>
        <v>380</v>
      </c>
      <c r="L3014" s="2">
        <f>IFERROR(__xludf.DUMMYFUNCTION("""COMPUTED_VALUE"""),56.8597884)</f>
        <v>56.8597884</v>
      </c>
      <c r="M3014" s="2">
        <f>IFERROR(__xludf.DUMMYFUNCTION("""COMPUTED_VALUE"""),24.3083417)</f>
        <v>24.3083417</v>
      </c>
    </row>
    <row r="3015">
      <c r="A3015" s="2" t="str">
        <f>IFERROR(__xludf.DUMMYFUNCTION("""COMPUTED_VALUE"""),"For sale")</f>
        <v>For sale</v>
      </c>
      <c r="B3015" s="2" t="str">
        <f>IFERROR(__xludf.DUMMYFUNCTION("""COMPUTED_VALUE"""),"Teika")</f>
        <v>Teika</v>
      </c>
      <c r="C3015" s="2" t="str">
        <f>IFERROR(__xludf.DUMMYFUNCTION("""COMPUTED_VALUE"""),"Ropažu 30")</f>
        <v>Ropažu 30</v>
      </c>
      <c r="D3015" s="2">
        <f>IFERROR(__xludf.DUMMYFUNCTION("""COMPUTED_VALUE"""),1.0)</f>
        <v>1</v>
      </c>
      <c r="E3015" s="2">
        <f>IFERROR(__xludf.DUMMYFUNCTION("""COMPUTED_VALUE"""),30.0)</f>
        <v>30</v>
      </c>
      <c r="F3015" s="2">
        <f>IFERROR(__xludf.DUMMYFUNCTION("""COMPUTED_VALUE"""),5.0)</f>
        <v>5</v>
      </c>
      <c r="G3015" s="2">
        <f>IFERROR(__xludf.DUMMYFUNCTION("""COMPUTED_VALUE"""),5.0)</f>
        <v>5</v>
      </c>
      <c r="H3015" s="2" t="str">
        <f>IFERROR(__xludf.DUMMYFUNCTION("""COMPUTED_VALUE"""),"Hrušč.")</f>
        <v>Hrušč.</v>
      </c>
      <c r="I3015" s="2" t="str">
        <f>IFERROR(__xludf.DUMMYFUNCTION("""COMPUTED_VALUE"""),"Brick")</f>
        <v>Brick</v>
      </c>
      <c r="J3015" s="2" t="str">
        <f>IFERROR(__xludf.DUMMYFUNCTION("""COMPUTED_VALUE"""),"All amenities")</f>
        <v>All amenities</v>
      </c>
      <c r="K3015" s="2">
        <f>IFERROR(__xludf.DUMMYFUNCTION("""COMPUTED_VALUE"""),27500.0)</f>
        <v>27500</v>
      </c>
      <c r="L3015" s="2">
        <f>IFERROR(__xludf.DUMMYFUNCTION("""COMPUTED_VALUE"""),56.9818802)</f>
        <v>56.9818802</v>
      </c>
      <c r="M3015" s="2">
        <f>IFERROR(__xludf.DUMMYFUNCTION("""COMPUTED_VALUE"""),24.1860321)</f>
        <v>24.1860321</v>
      </c>
    </row>
    <row r="3016">
      <c r="A3016" s="2" t="str">
        <f>IFERROR(__xludf.DUMMYFUNCTION("""COMPUTED_VALUE"""),"For rent")</f>
        <v>For rent</v>
      </c>
      <c r="B3016" s="2" t="str">
        <f>IFERROR(__xludf.DUMMYFUNCTION("""COMPUTED_VALUE"""),"centrs")</f>
        <v>centrs</v>
      </c>
      <c r="C3016" s="2" t="str">
        <f>IFERROR(__xludf.DUMMYFUNCTION("""COMPUTED_VALUE"""),"Čaka 31")</f>
        <v>Čaka 31</v>
      </c>
      <c r="D3016" s="2">
        <f>IFERROR(__xludf.DUMMYFUNCTION("""COMPUTED_VALUE"""),5.0)</f>
        <v>5</v>
      </c>
      <c r="E3016" s="2">
        <f>IFERROR(__xludf.DUMMYFUNCTION("""COMPUTED_VALUE"""),85.0)</f>
        <v>85</v>
      </c>
      <c r="F3016" s="2">
        <f>IFERROR(__xludf.DUMMYFUNCTION("""COMPUTED_VALUE"""),2.0)</f>
        <v>2</v>
      </c>
      <c r="G3016" s="2">
        <f>IFERROR(__xludf.DUMMYFUNCTION("""COMPUTED_VALUE"""),5.0)</f>
        <v>5</v>
      </c>
      <c r="H3016" s="2" t="str">
        <f>IFERROR(__xludf.DUMMYFUNCTION("""COMPUTED_VALUE"""),"Renov.")</f>
        <v>Renov.</v>
      </c>
      <c r="I3016" s="2" t="str">
        <f>IFERROR(__xludf.DUMMYFUNCTION("""COMPUTED_VALUE"""),"Masonry")</f>
        <v>Masonry</v>
      </c>
      <c r="J3016" s="2" t="str">
        <f>IFERROR(__xludf.DUMMYFUNCTION("""COMPUTED_VALUE"""),"All amenities")</f>
        <v>All amenities</v>
      </c>
      <c r="K3016" s="2">
        <f>IFERROR(__xludf.DUMMYFUNCTION("""COMPUTED_VALUE"""),680.0)</f>
        <v>680</v>
      </c>
      <c r="L3016" s="2">
        <f>IFERROR(__xludf.DUMMYFUNCTION("""COMPUTED_VALUE"""),56.9517282)</f>
        <v>56.9517282</v>
      </c>
      <c r="M3016" s="2">
        <f>IFERROR(__xludf.DUMMYFUNCTION("""COMPUTED_VALUE"""),24.127484)</f>
        <v>24.127484</v>
      </c>
    </row>
    <row r="3017">
      <c r="A3017" s="2" t="str">
        <f>IFERROR(__xludf.DUMMYFUNCTION("""COMPUTED_VALUE"""),"For rent")</f>
        <v>For rent</v>
      </c>
      <c r="B3017" s="2" t="str">
        <f>IFERROR(__xludf.DUMMYFUNCTION("""COMPUTED_VALUE"""),"centrs")</f>
        <v>centrs</v>
      </c>
      <c r="C3017" s="2" t="str">
        <f>IFERROR(__xludf.DUMMYFUNCTION("""COMPUTED_VALUE"""),"Eksporta 2")</f>
        <v>Eksporta 2</v>
      </c>
      <c r="D3017" s="2">
        <f>IFERROR(__xludf.DUMMYFUNCTION("""COMPUTED_VALUE"""),2.0)</f>
        <v>2</v>
      </c>
      <c r="E3017" s="2">
        <f>IFERROR(__xludf.DUMMYFUNCTION("""COMPUTED_VALUE"""),62.0)</f>
        <v>62</v>
      </c>
      <c r="F3017" s="2">
        <f>IFERROR(__xludf.DUMMYFUNCTION("""COMPUTED_VALUE"""),5.0)</f>
        <v>5</v>
      </c>
      <c r="G3017" s="2">
        <f>IFERROR(__xludf.DUMMYFUNCTION("""COMPUTED_VALUE"""),5.0)</f>
        <v>5</v>
      </c>
      <c r="H3017" s="2" t="str">
        <f>IFERROR(__xludf.DUMMYFUNCTION("""COMPUTED_VALUE"""),"Specpr.")</f>
        <v>Specpr.</v>
      </c>
      <c r="I3017" s="2" t="str">
        <f>IFERROR(__xludf.DUMMYFUNCTION("""COMPUTED_VALUE"""),"Brick")</f>
        <v>Brick</v>
      </c>
      <c r="J3017" s="2" t="str">
        <f>IFERROR(__xludf.DUMMYFUNCTION("""COMPUTED_VALUE"""),"All amenities")</f>
        <v>All amenities</v>
      </c>
      <c r="K3017" s="2">
        <f>IFERROR(__xludf.DUMMYFUNCTION("""COMPUTED_VALUE"""),690.0)</f>
        <v>690</v>
      </c>
      <c r="L3017" s="2">
        <f>IFERROR(__xludf.DUMMYFUNCTION("""COMPUTED_VALUE"""),56.95619685)</f>
        <v>56.95619685</v>
      </c>
      <c r="M3017" s="2">
        <f>IFERROR(__xludf.DUMMYFUNCTION("""COMPUTED_VALUE"""),24.098819615355)</f>
        <v>24.09881962</v>
      </c>
    </row>
    <row r="3018">
      <c r="A3018" s="2" t="str">
        <f>IFERROR(__xludf.DUMMYFUNCTION("""COMPUTED_VALUE"""),"For sale")</f>
        <v>For sale</v>
      </c>
      <c r="B3018" s="2" t="str">
        <f>IFERROR(__xludf.DUMMYFUNCTION("""COMPUTED_VALUE"""),"centrs")</f>
        <v>centrs</v>
      </c>
      <c r="C3018" s="2" t="str">
        <f>IFERROR(__xludf.DUMMYFUNCTION("""COMPUTED_VALUE"""),"Pērnavas 21")</f>
        <v>Pērnavas 21</v>
      </c>
      <c r="D3018" s="2">
        <f>IFERROR(__xludf.DUMMYFUNCTION("""COMPUTED_VALUE"""),3.0)</f>
        <v>3</v>
      </c>
      <c r="E3018" s="2">
        <f>IFERROR(__xludf.DUMMYFUNCTION("""COMPUTED_VALUE"""),86.0)</f>
        <v>86</v>
      </c>
      <c r="F3018" s="2">
        <f>IFERROR(__xludf.DUMMYFUNCTION("""COMPUTED_VALUE"""),6.0)</f>
        <v>6</v>
      </c>
      <c r="G3018" s="2">
        <f>IFERROR(__xludf.DUMMYFUNCTION("""COMPUTED_VALUE"""),6.0)</f>
        <v>6</v>
      </c>
      <c r="H3018" s="2" t="str">
        <f>IFERROR(__xludf.DUMMYFUNCTION("""COMPUTED_VALUE"""),"P. kara")</f>
        <v>P. kara</v>
      </c>
      <c r="I3018" s="2" t="str">
        <f>IFERROR(__xludf.DUMMYFUNCTION("""COMPUTED_VALUE"""),"Masonry")</f>
        <v>Masonry</v>
      </c>
      <c r="J3018" s="2" t="str">
        <f>IFERROR(__xludf.DUMMYFUNCTION("""COMPUTED_VALUE"""),"All amenities")</f>
        <v>All amenities</v>
      </c>
      <c r="K3018" s="2">
        <f>IFERROR(__xludf.DUMMYFUNCTION("""COMPUTED_VALUE"""),88000.0)</f>
        <v>88000</v>
      </c>
      <c r="L3018" s="2">
        <f>IFERROR(__xludf.DUMMYFUNCTION("""COMPUTED_VALUE"""),56.9625058)</f>
        <v>56.9625058</v>
      </c>
      <c r="M3018" s="2">
        <f>IFERROR(__xludf.DUMMYFUNCTION("""COMPUTED_VALUE"""),24.1514395764121)</f>
        <v>24.15143958</v>
      </c>
    </row>
    <row r="3019">
      <c r="A3019" s="2" t="str">
        <f>IFERROR(__xludf.DUMMYFUNCTION("""COMPUTED_VALUE"""),"For sale")</f>
        <v>For sale</v>
      </c>
      <c r="B3019" s="2" t="str">
        <f>IFERROR(__xludf.DUMMYFUNCTION("""COMPUTED_VALUE"""),"centrs")</f>
        <v>centrs</v>
      </c>
      <c r="C3019" s="2" t="str">
        <f>IFERROR(__xludf.DUMMYFUNCTION("""COMPUTED_VALUE"""),"13. janvāra 33")</f>
        <v>13. janvāra 33</v>
      </c>
      <c r="D3019" s="2">
        <f>IFERROR(__xludf.DUMMYFUNCTION("""COMPUTED_VALUE"""),2.0)</f>
        <v>2</v>
      </c>
      <c r="E3019" s="2">
        <f>IFERROR(__xludf.DUMMYFUNCTION("""COMPUTED_VALUE"""),82.0)</f>
        <v>82</v>
      </c>
      <c r="F3019" s="2">
        <f>IFERROR(__xludf.DUMMYFUNCTION("""COMPUTED_VALUE"""),2.0)</f>
        <v>2</v>
      </c>
      <c r="G3019" s="2">
        <f>IFERROR(__xludf.DUMMYFUNCTION("""COMPUTED_VALUE"""),5.0)</f>
        <v>5</v>
      </c>
      <c r="H3019" s="2" t="str">
        <f>IFERROR(__xludf.DUMMYFUNCTION("""COMPUTED_VALUE"""),"P. kara")</f>
        <v>P. kara</v>
      </c>
      <c r="I3019" s="2" t="str">
        <f>IFERROR(__xludf.DUMMYFUNCTION("""COMPUTED_VALUE"""),"Masonry")</f>
        <v>Masonry</v>
      </c>
      <c r="J3019" s="2" t="str">
        <f>IFERROR(__xludf.DUMMYFUNCTION("""COMPUTED_VALUE"""),"All amenities")</f>
        <v>All amenities</v>
      </c>
      <c r="K3019" s="2">
        <f>IFERROR(__xludf.DUMMYFUNCTION("""COMPUTED_VALUE"""),125000.0)</f>
        <v>125000</v>
      </c>
      <c r="L3019" s="2">
        <f>IFERROR(__xludf.DUMMYFUNCTION("""COMPUTED_VALUE"""),56.94451965)</f>
        <v>56.94451965</v>
      </c>
      <c r="M3019" s="2">
        <f>IFERROR(__xludf.DUMMYFUNCTION("""COMPUTED_VALUE"""),24.1097848172545)</f>
        <v>24.10978482</v>
      </c>
    </row>
    <row r="3020">
      <c r="A3020" s="2" t="str">
        <f>IFERROR(__xludf.DUMMYFUNCTION("""COMPUTED_VALUE"""),"For sale")</f>
        <v>For sale</v>
      </c>
      <c r="B3020" s="2" t="str">
        <f>IFERROR(__xludf.DUMMYFUNCTION("""COMPUTED_VALUE"""),"Grīziņkalns")</f>
        <v>Grīziņkalns</v>
      </c>
      <c r="C3020" s="2" t="str">
        <f>IFERROR(__xludf.DUMMYFUNCTION("""COMPUTED_VALUE"""),"Alauksta 16")</f>
        <v>Alauksta 16</v>
      </c>
      <c r="D3020" s="2">
        <f>IFERROR(__xludf.DUMMYFUNCTION("""COMPUTED_VALUE"""),3.0)</f>
        <v>3</v>
      </c>
      <c r="E3020" s="2">
        <f>IFERROR(__xludf.DUMMYFUNCTION("""COMPUTED_VALUE"""),69.0)</f>
        <v>69</v>
      </c>
      <c r="F3020" s="2">
        <f>IFERROR(__xludf.DUMMYFUNCTION("""COMPUTED_VALUE"""),5.0)</f>
        <v>5</v>
      </c>
      <c r="G3020" s="2">
        <f>IFERROR(__xludf.DUMMYFUNCTION("""COMPUTED_VALUE"""),5.0)</f>
        <v>5</v>
      </c>
      <c r="H3020" s="2">
        <f>IFERROR(__xludf.DUMMYFUNCTION("""COMPUTED_VALUE"""),103.0)</f>
        <v>103</v>
      </c>
      <c r="I3020" s="2" t="str">
        <f>IFERROR(__xludf.DUMMYFUNCTION("""COMPUTED_VALUE"""),"Brick")</f>
        <v>Brick</v>
      </c>
      <c r="J3020" s="2" t="str">
        <f>IFERROR(__xludf.DUMMYFUNCTION("""COMPUTED_VALUE"""),"All amenities")</f>
        <v>All amenities</v>
      </c>
      <c r="K3020" s="2">
        <f>IFERROR(__xludf.DUMMYFUNCTION("""COMPUTED_VALUE"""),109500.0)</f>
        <v>109500</v>
      </c>
      <c r="L3020" s="2">
        <f>IFERROR(__xludf.DUMMYFUNCTION("""COMPUTED_VALUE"""),56.9598704)</f>
        <v>56.9598704</v>
      </c>
      <c r="M3020" s="2">
        <f>IFERROR(__xludf.DUMMYFUNCTION("""COMPUTED_VALUE"""),24.1507061737864)</f>
        <v>24.15070617</v>
      </c>
    </row>
    <row r="3021">
      <c r="A3021" s="2" t="str">
        <f>IFERROR(__xludf.DUMMYFUNCTION("""COMPUTED_VALUE"""),"For rent")</f>
        <v>For rent</v>
      </c>
      <c r="B3021" s="2" t="str">
        <f>IFERROR(__xludf.DUMMYFUNCTION("""COMPUTED_VALUE"""),"centrs")</f>
        <v>centrs</v>
      </c>
      <c r="C3021" s="2" t="str">
        <f>IFERROR(__xludf.DUMMYFUNCTION("""COMPUTED_VALUE"""),"Maskavas 146")</f>
        <v>Maskavas 146</v>
      </c>
      <c r="D3021" s="2">
        <f>IFERROR(__xludf.DUMMYFUNCTION("""COMPUTED_VALUE"""),1.0)</f>
        <v>1</v>
      </c>
      <c r="E3021" s="2">
        <f>IFERROR(__xludf.DUMMYFUNCTION("""COMPUTED_VALUE"""),26.0)</f>
        <v>26</v>
      </c>
      <c r="F3021" s="2">
        <f>IFERROR(__xludf.DUMMYFUNCTION("""COMPUTED_VALUE"""),4.0)</f>
        <v>4</v>
      </c>
      <c r="G3021" s="2">
        <f>IFERROR(__xludf.DUMMYFUNCTION("""COMPUTED_VALUE"""),6.0)</f>
        <v>6</v>
      </c>
      <c r="H3021" s="2" t="str">
        <f>IFERROR(__xludf.DUMMYFUNCTION("""COMPUTED_VALUE"""),"Renov.")</f>
        <v>Renov.</v>
      </c>
      <c r="I3021" s="2" t="str">
        <f>IFERROR(__xludf.DUMMYFUNCTION("""COMPUTED_VALUE"""),"Masonry")</f>
        <v>Masonry</v>
      </c>
      <c r="J3021" s="2" t="str">
        <f>IFERROR(__xludf.DUMMYFUNCTION("""COMPUTED_VALUE"""),"All amenities")</f>
        <v>All amenities</v>
      </c>
      <c r="K3021" s="2">
        <f>IFERROR(__xludf.DUMMYFUNCTION("""COMPUTED_VALUE"""),260.0)</f>
        <v>260</v>
      </c>
      <c r="L3021" s="2">
        <f>IFERROR(__xludf.DUMMYFUNCTION("""COMPUTED_VALUE"""),56.8597884)</f>
        <v>56.8597884</v>
      </c>
      <c r="M3021" s="2">
        <f>IFERROR(__xludf.DUMMYFUNCTION("""COMPUTED_VALUE"""),24.3083417)</f>
        <v>24.3083417</v>
      </c>
    </row>
    <row r="3022">
      <c r="A3022" s="2" t="str">
        <f>IFERROR(__xludf.DUMMYFUNCTION("""COMPUTED_VALUE"""),"For sale")</f>
        <v>For sale</v>
      </c>
      <c r="B3022" s="2" t="str">
        <f>IFERROR(__xludf.DUMMYFUNCTION("""COMPUTED_VALUE"""),"Āgenskalns")</f>
        <v>Āgenskalns</v>
      </c>
      <c r="C3022" s="2" t="str">
        <f>IFERROR(__xludf.DUMMYFUNCTION("""COMPUTED_VALUE"""),"Vienības g. 87")</f>
        <v>Vienības g. 87</v>
      </c>
      <c r="D3022" s="2">
        <f>IFERROR(__xludf.DUMMYFUNCTION("""COMPUTED_VALUE"""),2.0)</f>
        <v>2</v>
      </c>
      <c r="E3022" s="2">
        <f>IFERROR(__xludf.DUMMYFUNCTION("""COMPUTED_VALUE"""),72.0)</f>
        <v>72</v>
      </c>
      <c r="F3022" s="2">
        <f>IFERROR(__xludf.DUMMYFUNCTION("""COMPUTED_VALUE"""),2.0)</f>
        <v>2</v>
      </c>
      <c r="G3022" s="2">
        <f>IFERROR(__xludf.DUMMYFUNCTION("""COMPUTED_VALUE"""),3.0)</f>
        <v>3</v>
      </c>
      <c r="H3022" s="2" t="str">
        <f>IFERROR(__xludf.DUMMYFUNCTION("""COMPUTED_VALUE"""),"Renov.")</f>
        <v>Renov.</v>
      </c>
      <c r="I3022" s="2" t="str">
        <f>IFERROR(__xludf.DUMMYFUNCTION("""COMPUTED_VALUE"""),"Brick")</f>
        <v>Brick</v>
      </c>
      <c r="J3022" s="2" t="str">
        <f>IFERROR(__xludf.DUMMYFUNCTION("""COMPUTED_VALUE"""),"All amenities")</f>
        <v>All amenities</v>
      </c>
      <c r="K3022" s="2">
        <f>IFERROR(__xludf.DUMMYFUNCTION("""COMPUTED_VALUE"""),95000.0)</f>
        <v>95000</v>
      </c>
      <c r="L3022" s="2">
        <f>IFERROR(__xludf.DUMMYFUNCTION("""COMPUTED_VALUE"""),56.918403)</f>
        <v>56.918403</v>
      </c>
      <c r="M3022" s="2">
        <f>IFERROR(__xludf.DUMMYFUNCTION("""COMPUTED_VALUE"""),24.0883001)</f>
        <v>24.0883001</v>
      </c>
    </row>
    <row r="3023">
      <c r="A3023" s="2" t="str">
        <f>IFERROR(__xludf.DUMMYFUNCTION("""COMPUTED_VALUE"""),"For rent")</f>
        <v>For rent</v>
      </c>
      <c r="B3023" s="2" t="str">
        <f>IFERROR(__xludf.DUMMYFUNCTION("""COMPUTED_VALUE"""),"Mežciems")</f>
        <v>Mežciems</v>
      </c>
      <c r="C3023" s="2" t="str">
        <f>IFERROR(__xludf.DUMMYFUNCTION("""COMPUTED_VALUE"""),"Celmu 5")</f>
        <v>Celmu 5</v>
      </c>
      <c r="D3023" s="2">
        <f>IFERROR(__xludf.DUMMYFUNCTION("""COMPUTED_VALUE"""),2.0)</f>
        <v>2</v>
      </c>
      <c r="E3023" s="2">
        <f>IFERROR(__xludf.DUMMYFUNCTION("""COMPUTED_VALUE"""),50.0)</f>
        <v>50</v>
      </c>
      <c r="F3023" s="2">
        <f>IFERROR(__xludf.DUMMYFUNCTION("""COMPUTED_VALUE"""),5.0)</f>
        <v>5</v>
      </c>
      <c r="G3023" s="2">
        <f>IFERROR(__xludf.DUMMYFUNCTION("""COMPUTED_VALUE"""),5.0)</f>
        <v>5</v>
      </c>
      <c r="H3023" s="2" t="str">
        <f>IFERROR(__xludf.DUMMYFUNCTION("""COMPUTED_VALUE"""),"LT proj.")</f>
        <v>LT proj.</v>
      </c>
      <c r="I3023" s="2" t="str">
        <f>IFERROR(__xludf.DUMMYFUNCTION("""COMPUTED_VALUE"""),"Panel")</f>
        <v>Panel</v>
      </c>
      <c r="J3023" s="2" t="str">
        <f>IFERROR(__xludf.DUMMYFUNCTION("""COMPUTED_VALUE"""),"All amenities")</f>
        <v>All amenities</v>
      </c>
      <c r="K3023" s="2">
        <f>IFERROR(__xludf.DUMMYFUNCTION("""COMPUTED_VALUE"""),300.0)</f>
        <v>300</v>
      </c>
      <c r="L3023" s="2">
        <f>IFERROR(__xludf.DUMMYFUNCTION("""COMPUTED_VALUE"""),56.9736358)</f>
        <v>56.9736358</v>
      </c>
      <c r="M3023" s="2">
        <f>IFERROR(__xludf.DUMMYFUNCTION("""COMPUTED_VALUE"""),24.2335309150293)</f>
        <v>24.23353092</v>
      </c>
    </row>
    <row r="3024">
      <c r="A3024" s="2" t="str">
        <f>IFERROR(__xludf.DUMMYFUNCTION("""COMPUTED_VALUE"""),"For rent")</f>
        <v>For rent</v>
      </c>
      <c r="B3024" s="2" t="str">
        <f>IFERROR(__xludf.DUMMYFUNCTION("""COMPUTED_VALUE"""),"Mežciems")</f>
        <v>Mežciems</v>
      </c>
      <c r="C3024" s="2" t="str">
        <f>IFERROR(__xludf.DUMMYFUNCTION("""COMPUTED_VALUE"""),"Eizenšteina 65")</f>
        <v>Eizenšteina 65</v>
      </c>
      <c r="D3024" s="2">
        <f>IFERROR(__xludf.DUMMYFUNCTION("""COMPUTED_VALUE"""),2.0)</f>
        <v>2</v>
      </c>
      <c r="E3024" s="2">
        <f>IFERROR(__xludf.DUMMYFUNCTION("""COMPUTED_VALUE"""),50.0)</f>
        <v>50</v>
      </c>
      <c r="F3024" s="2">
        <f>IFERROR(__xludf.DUMMYFUNCTION("""COMPUTED_VALUE"""),4.0)</f>
        <v>4</v>
      </c>
      <c r="G3024" s="2">
        <f>IFERROR(__xludf.DUMMYFUNCTION("""COMPUTED_VALUE"""),9.0)</f>
        <v>9</v>
      </c>
      <c r="H3024" s="2">
        <f>IFERROR(__xludf.DUMMYFUNCTION("""COMPUTED_VALUE"""),602.0)</f>
        <v>602</v>
      </c>
      <c r="I3024" s="2" t="str">
        <f>IFERROR(__xludf.DUMMYFUNCTION("""COMPUTED_VALUE"""),"Panel")</f>
        <v>Panel</v>
      </c>
      <c r="J3024" s="2" t="str">
        <f>IFERROR(__xludf.DUMMYFUNCTION("""COMPUTED_VALUE"""),"All amenities")</f>
        <v>All amenities</v>
      </c>
      <c r="K3024" s="2">
        <f>IFERROR(__xludf.DUMMYFUNCTION("""COMPUTED_VALUE"""),350.0)</f>
        <v>350</v>
      </c>
      <c r="L3024" s="2">
        <f>IFERROR(__xludf.DUMMYFUNCTION("""COMPUTED_VALUE"""),56.962789)</f>
        <v>56.962789</v>
      </c>
      <c r="M3024" s="2">
        <f>IFERROR(__xludf.DUMMYFUNCTION("""COMPUTED_VALUE"""),24.2339038299438)</f>
        <v>24.23390383</v>
      </c>
    </row>
    <row r="3025">
      <c r="A3025" s="2" t="str">
        <f>IFERROR(__xludf.DUMMYFUNCTION("""COMPUTED_VALUE"""),"For rent")</f>
        <v>For rent</v>
      </c>
      <c r="B3025" s="2" t="str">
        <f>IFERROR(__xludf.DUMMYFUNCTION("""COMPUTED_VALUE"""),"centrs")</f>
        <v>centrs</v>
      </c>
      <c r="C3025" s="2" t="str">
        <f>IFERROR(__xludf.DUMMYFUNCTION("""COMPUTED_VALUE"""),"Maskavas 79")</f>
        <v>Maskavas 79</v>
      </c>
      <c r="D3025" s="2">
        <f>IFERROR(__xludf.DUMMYFUNCTION("""COMPUTED_VALUE"""),1.0)</f>
        <v>1</v>
      </c>
      <c r="E3025" s="2">
        <f>IFERROR(__xludf.DUMMYFUNCTION("""COMPUTED_VALUE"""),35.0)</f>
        <v>35</v>
      </c>
      <c r="F3025" s="2">
        <f>IFERROR(__xludf.DUMMYFUNCTION("""COMPUTED_VALUE"""),3.0)</f>
        <v>3</v>
      </c>
      <c r="G3025" s="2">
        <f>IFERROR(__xludf.DUMMYFUNCTION("""COMPUTED_VALUE"""),5.0)</f>
        <v>5</v>
      </c>
      <c r="H3025" s="2" t="str">
        <f>IFERROR(__xludf.DUMMYFUNCTION("""COMPUTED_VALUE"""),"P. kara")</f>
        <v>P. kara</v>
      </c>
      <c r="I3025" s="2" t="str">
        <f>IFERROR(__xludf.DUMMYFUNCTION("""COMPUTED_VALUE"""),"Brick")</f>
        <v>Brick</v>
      </c>
      <c r="J3025" s="2" t="str">
        <f>IFERROR(__xludf.DUMMYFUNCTION("""COMPUTED_VALUE"""),"Partial amenities")</f>
        <v>Partial amenities</v>
      </c>
      <c r="K3025" s="2">
        <f>IFERROR(__xludf.DUMMYFUNCTION("""COMPUTED_VALUE"""),210.0)</f>
        <v>210</v>
      </c>
      <c r="L3025" s="2">
        <f>IFERROR(__xludf.DUMMYFUNCTION("""COMPUTED_VALUE"""),56.8597884)</f>
        <v>56.8597884</v>
      </c>
      <c r="M3025" s="2">
        <f>IFERROR(__xludf.DUMMYFUNCTION("""COMPUTED_VALUE"""),24.3083417)</f>
        <v>24.3083417</v>
      </c>
    </row>
    <row r="3026">
      <c r="A3026" s="2" t="str">
        <f>IFERROR(__xludf.DUMMYFUNCTION("""COMPUTED_VALUE"""),"For rent")</f>
        <v>For rent</v>
      </c>
      <c r="B3026" s="2" t="str">
        <f>IFERROR(__xludf.DUMMYFUNCTION("""COMPUTED_VALUE"""),"centrs")</f>
        <v>centrs</v>
      </c>
      <c r="C3026" s="2" t="str">
        <f>IFERROR(__xludf.DUMMYFUNCTION("""COMPUTED_VALUE"""),"Katrīnas d. 24/18")</f>
        <v>Katrīnas d. 24/18</v>
      </c>
      <c r="D3026" s="2">
        <f>IFERROR(__xludf.DUMMYFUNCTION("""COMPUTED_VALUE"""),3.0)</f>
        <v>3</v>
      </c>
      <c r="E3026" s="2">
        <f>IFERROR(__xludf.DUMMYFUNCTION("""COMPUTED_VALUE"""),90.0)</f>
        <v>90</v>
      </c>
      <c r="F3026" s="2">
        <f>IFERROR(__xludf.DUMMYFUNCTION("""COMPUTED_VALUE"""),2.0)</f>
        <v>2</v>
      </c>
      <c r="G3026" s="2">
        <f>IFERROR(__xludf.DUMMYFUNCTION("""COMPUTED_VALUE"""),3.0)</f>
        <v>3</v>
      </c>
      <c r="H3026" s="2" t="str">
        <f>IFERROR(__xludf.DUMMYFUNCTION("""COMPUTED_VALUE"""),"Staļina")</f>
        <v>Staļina</v>
      </c>
      <c r="I3026" s="2" t="str">
        <f>IFERROR(__xludf.DUMMYFUNCTION("""COMPUTED_VALUE"""),"Masonry")</f>
        <v>Masonry</v>
      </c>
      <c r="J3026" s="2" t="str">
        <f>IFERROR(__xludf.DUMMYFUNCTION("""COMPUTED_VALUE"""),"All amenities")</f>
        <v>All amenities</v>
      </c>
      <c r="K3026" s="2">
        <f>IFERROR(__xludf.DUMMYFUNCTION("""COMPUTED_VALUE"""),500.0)</f>
        <v>500</v>
      </c>
      <c r="L3026" s="2" t="str">
        <f>IFERROR(__xludf.DUMMYFUNCTION("""COMPUTED_VALUE"""),"NaN")</f>
        <v>NaN</v>
      </c>
      <c r="M3026" s="2" t="str">
        <f>IFERROR(__xludf.DUMMYFUNCTION("""COMPUTED_VALUE"""),"NaN")</f>
        <v>NaN</v>
      </c>
    </row>
    <row r="3027">
      <c r="A3027" s="2" t="str">
        <f>IFERROR(__xludf.DUMMYFUNCTION("""COMPUTED_VALUE"""),"For sale")</f>
        <v>For sale</v>
      </c>
      <c r="B3027" s="2" t="str">
        <f>IFERROR(__xludf.DUMMYFUNCTION("""COMPUTED_VALUE"""),"Daugavgrīva")</f>
        <v>Daugavgrīva</v>
      </c>
      <c r="C3027" s="2" t="str">
        <f>IFERROR(__xludf.DUMMYFUNCTION("""COMPUTED_VALUE"""),"Lēpju 11")</f>
        <v>Lēpju 11</v>
      </c>
      <c r="D3027" s="2">
        <f>IFERROR(__xludf.DUMMYFUNCTION("""COMPUTED_VALUE"""),2.0)</f>
        <v>2</v>
      </c>
      <c r="E3027" s="2">
        <f>IFERROR(__xludf.DUMMYFUNCTION("""COMPUTED_VALUE"""),46.0)</f>
        <v>46</v>
      </c>
      <c r="F3027" s="2">
        <f>IFERROR(__xludf.DUMMYFUNCTION("""COMPUTED_VALUE"""),1.0)</f>
        <v>1</v>
      </c>
      <c r="G3027" s="2">
        <f>IFERROR(__xludf.DUMMYFUNCTION("""COMPUTED_VALUE"""),5.0)</f>
        <v>5</v>
      </c>
      <c r="H3027" s="2" t="str">
        <f>IFERROR(__xludf.DUMMYFUNCTION("""COMPUTED_VALUE"""),"Specpr.")</f>
        <v>Specpr.</v>
      </c>
      <c r="I3027" s="2" t="str">
        <f>IFERROR(__xludf.DUMMYFUNCTION("""COMPUTED_VALUE"""),"Brick")</f>
        <v>Brick</v>
      </c>
      <c r="J3027" s="2" t="str">
        <f>IFERROR(__xludf.DUMMYFUNCTION("""COMPUTED_VALUE"""),"All amenities")</f>
        <v>All amenities</v>
      </c>
      <c r="K3027" s="2">
        <f>IFERROR(__xludf.DUMMYFUNCTION("""COMPUTED_VALUE"""),31500.0)</f>
        <v>31500</v>
      </c>
      <c r="L3027" s="2">
        <f>IFERROR(__xludf.DUMMYFUNCTION("""COMPUTED_VALUE"""),57.0394776)</f>
        <v>57.0394776</v>
      </c>
      <c r="M3027" s="2">
        <f>IFERROR(__xludf.DUMMYFUNCTION("""COMPUTED_VALUE"""),24.0232375042541)</f>
        <v>24.0232375</v>
      </c>
    </row>
    <row r="3028">
      <c r="A3028" s="2" t="str">
        <f>IFERROR(__xludf.DUMMYFUNCTION("""COMPUTED_VALUE"""),"For sale")</f>
        <v>For sale</v>
      </c>
      <c r="B3028" s="2" t="str">
        <f>IFERROR(__xludf.DUMMYFUNCTION("""COMPUTED_VALUE"""),"Jugla")</f>
        <v>Jugla</v>
      </c>
      <c r="C3028" s="2" t="str">
        <f>IFERROR(__xludf.DUMMYFUNCTION("""COMPUTED_VALUE"""),"Juglas krastm. 1")</f>
        <v>Juglas krastm. 1</v>
      </c>
      <c r="D3028" s="2">
        <f>IFERROR(__xludf.DUMMYFUNCTION("""COMPUTED_VALUE"""),1.0)</f>
        <v>1</v>
      </c>
      <c r="E3028" s="2">
        <f>IFERROR(__xludf.DUMMYFUNCTION("""COMPUTED_VALUE"""),42.0)</f>
        <v>42</v>
      </c>
      <c r="F3028" s="2">
        <f>IFERROR(__xludf.DUMMYFUNCTION("""COMPUTED_VALUE"""),2.0)</f>
        <v>2</v>
      </c>
      <c r="G3028" s="2">
        <f>IFERROR(__xludf.DUMMYFUNCTION("""COMPUTED_VALUE"""),2.0)</f>
        <v>2</v>
      </c>
      <c r="H3028" s="2" t="str">
        <f>IFERROR(__xludf.DUMMYFUNCTION("""COMPUTED_VALUE"""),"Hrušč.")</f>
        <v>Hrušč.</v>
      </c>
      <c r="I3028" s="2" t="str">
        <f>IFERROR(__xludf.DUMMYFUNCTION("""COMPUTED_VALUE"""),"Brick")</f>
        <v>Brick</v>
      </c>
      <c r="J3028" s="2" t="str">
        <f>IFERROR(__xludf.DUMMYFUNCTION("""COMPUTED_VALUE"""),"Partial amenities")</f>
        <v>Partial amenities</v>
      </c>
      <c r="K3028" s="2">
        <f>IFERROR(__xludf.DUMMYFUNCTION("""COMPUTED_VALUE"""),18000.0)</f>
        <v>18000</v>
      </c>
      <c r="L3028" s="2" t="str">
        <f>IFERROR(__xludf.DUMMYFUNCTION("""COMPUTED_VALUE"""),"NaN")</f>
        <v>NaN</v>
      </c>
      <c r="M3028" s="2" t="str">
        <f>IFERROR(__xludf.DUMMYFUNCTION("""COMPUTED_VALUE"""),"NaN")</f>
        <v>NaN</v>
      </c>
    </row>
    <row r="3029">
      <c r="A3029" s="2" t="str">
        <f>IFERROR(__xludf.DUMMYFUNCTION("""COMPUTED_VALUE"""),"For sale")</f>
        <v>For sale</v>
      </c>
      <c r="B3029" s="2" t="str">
        <f>IFERROR(__xludf.DUMMYFUNCTION("""COMPUTED_VALUE"""),"Bolderāja")</f>
        <v>Bolderāja</v>
      </c>
      <c r="C3029" s="2" t="str">
        <f>IFERROR(__xludf.DUMMYFUNCTION("""COMPUTED_VALUE"""),"Stagaru 4")</f>
        <v>Stagaru 4</v>
      </c>
      <c r="D3029" s="2">
        <f>IFERROR(__xludf.DUMMYFUNCTION("""COMPUTED_VALUE"""),2.0)</f>
        <v>2</v>
      </c>
      <c r="E3029" s="2">
        <f>IFERROR(__xludf.DUMMYFUNCTION("""COMPUTED_VALUE"""),52.0)</f>
        <v>52</v>
      </c>
      <c r="F3029" s="2">
        <f>IFERROR(__xludf.DUMMYFUNCTION("""COMPUTED_VALUE"""),5.0)</f>
        <v>5</v>
      </c>
      <c r="G3029" s="2">
        <f>IFERROR(__xludf.DUMMYFUNCTION("""COMPUTED_VALUE"""),5.0)</f>
        <v>5</v>
      </c>
      <c r="H3029" s="2" t="str">
        <f>IFERROR(__xludf.DUMMYFUNCTION("""COMPUTED_VALUE"""),"Specpr.")</f>
        <v>Specpr.</v>
      </c>
      <c r="I3029" s="2" t="str">
        <f>IFERROR(__xludf.DUMMYFUNCTION("""COMPUTED_VALUE"""),"Panel")</f>
        <v>Panel</v>
      </c>
      <c r="J3029" s="2" t="str">
        <f>IFERROR(__xludf.DUMMYFUNCTION("""COMPUTED_VALUE"""),"All amenities")</f>
        <v>All amenities</v>
      </c>
      <c r="K3029" s="2">
        <f>IFERROR(__xludf.DUMMYFUNCTION("""COMPUTED_VALUE"""),30000.0)</f>
        <v>30000</v>
      </c>
      <c r="L3029" s="2">
        <f>IFERROR(__xludf.DUMMYFUNCTION("""COMPUTED_VALUE"""),57.02965155)</f>
        <v>57.02965155</v>
      </c>
      <c r="M3029" s="2">
        <f>IFERROR(__xludf.DUMMYFUNCTION("""COMPUTED_VALUE"""),24.0359751945236)</f>
        <v>24.03597519</v>
      </c>
    </row>
    <row r="3030">
      <c r="A3030" s="2" t="str">
        <f>IFERROR(__xludf.DUMMYFUNCTION("""COMPUTED_VALUE"""),"For rent")</f>
        <v>For rent</v>
      </c>
      <c r="B3030" s="2" t="str">
        <f>IFERROR(__xludf.DUMMYFUNCTION("""COMPUTED_VALUE"""),"centrs")</f>
        <v>centrs</v>
      </c>
      <c r="C3030" s="2" t="str">
        <f>IFERROR(__xludf.DUMMYFUNCTION("""COMPUTED_VALUE"""),"Valdemāra 41")</f>
        <v>Valdemāra 41</v>
      </c>
      <c r="D3030" s="2">
        <f>IFERROR(__xludf.DUMMYFUNCTION("""COMPUTED_VALUE"""),4.0)</f>
        <v>4</v>
      </c>
      <c r="E3030" s="2">
        <f>IFERROR(__xludf.DUMMYFUNCTION("""COMPUTED_VALUE"""),114.0)</f>
        <v>114</v>
      </c>
      <c r="F3030" s="2">
        <f>IFERROR(__xludf.DUMMYFUNCTION("""COMPUTED_VALUE"""),2.0)</f>
        <v>2</v>
      </c>
      <c r="G3030" s="2">
        <f>IFERROR(__xludf.DUMMYFUNCTION("""COMPUTED_VALUE"""),6.0)</f>
        <v>6</v>
      </c>
      <c r="H3030" s="2" t="str">
        <f>IFERROR(__xludf.DUMMYFUNCTION("""COMPUTED_VALUE"""),"Jaun.")</f>
        <v>Jaun.</v>
      </c>
      <c r="I3030" s="2" t="str">
        <f>IFERROR(__xludf.DUMMYFUNCTION("""COMPUTED_VALUE"""),"Masonry")</f>
        <v>Masonry</v>
      </c>
      <c r="J3030" s="2" t="str">
        <f>IFERROR(__xludf.DUMMYFUNCTION("""COMPUTED_VALUE"""),"All amenities")</f>
        <v>All amenities</v>
      </c>
      <c r="K3030" s="2">
        <f>IFERROR(__xludf.DUMMYFUNCTION("""COMPUTED_VALUE"""),1950.0)</f>
        <v>1950</v>
      </c>
      <c r="L3030" s="2">
        <f>IFERROR(__xludf.DUMMYFUNCTION("""COMPUTED_VALUE"""),56.9586919)</f>
        <v>56.9586919</v>
      </c>
      <c r="M3030" s="2">
        <f>IFERROR(__xludf.DUMMYFUNCTION("""COMPUTED_VALUE"""),24.1173418465596)</f>
        <v>24.11734185</v>
      </c>
    </row>
    <row r="3031">
      <c r="A3031" s="2" t="str">
        <f>IFERROR(__xludf.DUMMYFUNCTION("""COMPUTED_VALUE"""),"For rent")</f>
        <v>For rent</v>
      </c>
      <c r="B3031" s="2" t="str">
        <f>IFERROR(__xludf.DUMMYFUNCTION("""COMPUTED_VALUE"""),"centrs")</f>
        <v>centrs</v>
      </c>
      <c r="C3031" s="2" t="str">
        <f>IFERROR(__xludf.DUMMYFUNCTION("""COMPUTED_VALUE"""),"Sapieru 13b")</f>
        <v>Sapieru 13b</v>
      </c>
      <c r="D3031" s="2">
        <f>IFERROR(__xludf.DUMMYFUNCTION("""COMPUTED_VALUE"""),1.0)</f>
        <v>1</v>
      </c>
      <c r="E3031" s="2">
        <f>IFERROR(__xludf.DUMMYFUNCTION("""COMPUTED_VALUE"""),25.0)</f>
        <v>25</v>
      </c>
      <c r="F3031" s="2">
        <f>IFERROR(__xludf.DUMMYFUNCTION("""COMPUTED_VALUE"""),1.0)</f>
        <v>1</v>
      </c>
      <c r="G3031" s="2">
        <f>IFERROR(__xludf.DUMMYFUNCTION("""COMPUTED_VALUE"""),4.0)</f>
        <v>4</v>
      </c>
      <c r="H3031" s="2" t="str">
        <f>IFERROR(__xludf.DUMMYFUNCTION("""COMPUTED_VALUE"""),"Jaun.")</f>
        <v>Jaun.</v>
      </c>
      <c r="I3031" s="2" t="str">
        <f>IFERROR(__xludf.DUMMYFUNCTION("""COMPUTED_VALUE"""),"Panel-Brick")</f>
        <v>Panel-Brick</v>
      </c>
      <c r="J3031" s="2" t="str">
        <f>IFERROR(__xludf.DUMMYFUNCTION("""COMPUTED_VALUE"""),"All amenities")</f>
        <v>All amenities</v>
      </c>
      <c r="K3031" s="2">
        <f>IFERROR(__xludf.DUMMYFUNCTION("""COMPUTED_VALUE"""),295.0)</f>
        <v>295</v>
      </c>
      <c r="L3031" s="2">
        <f>IFERROR(__xludf.DUMMYFUNCTION("""COMPUTED_VALUE"""),56.9630577)</f>
        <v>56.9630577</v>
      </c>
      <c r="M3031" s="2">
        <f>IFERROR(__xludf.DUMMYFUNCTION("""COMPUTED_VALUE"""),24.1531056)</f>
        <v>24.1531056</v>
      </c>
    </row>
    <row r="3032">
      <c r="A3032" s="2" t="str">
        <f>IFERROR(__xludf.DUMMYFUNCTION("""COMPUTED_VALUE"""),"For sale")</f>
        <v>For sale</v>
      </c>
      <c r="B3032" s="2" t="str">
        <f>IFERROR(__xludf.DUMMYFUNCTION("""COMPUTED_VALUE"""),"Imanta")</f>
        <v>Imanta</v>
      </c>
      <c r="C3032" s="2" t="str">
        <f>IFERROR(__xludf.DUMMYFUNCTION("""COMPUTED_VALUE"""),"Zentenes 30")</f>
        <v>Zentenes 30</v>
      </c>
      <c r="D3032" s="2">
        <f>IFERROR(__xludf.DUMMYFUNCTION("""COMPUTED_VALUE"""),3.0)</f>
        <v>3</v>
      </c>
      <c r="E3032" s="2">
        <f>IFERROR(__xludf.DUMMYFUNCTION("""COMPUTED_VALUE"""),54.0)</f>
        <v>54</v>
      </c>
      <c r="F3032" s="2">
        <f>IFERROR(__xludf.DUMMYFUNCTION("""COMPUTED_VALUE"""),4.0)</f>
        <v>4</v>
      </c>
      <c r="G3032" s="2">
        <f>IFERROR(__xludf.DUMMYFUNCTION("""COMPUTED_VALUE"""),5.0)</f>
        <v>5</v>
      </c>
      <c r="H3032" s="2" t="str">
        <f>IFERROR(__xludf.DUMMYFUNCTION("""COMPUTED_VALUE"""),"LT proj.")</f>
        <v>LT proj.</v>
      </c>
      <c r="I3032" s="2" t="str">
        <f>IFERROR(__xludf.DUMMYFUNCTION("""COMPUTED_VALUE"""),"Panel")</f>
        <v>Panel</v>
      </c>
      <c r="J3032" s="2" t="str">
        <f>IFERROR(__xludf.DUMMYFUNCTION("""COMPUTED_VALUE"""),"All amenities")</f>
        <v>All amenities</v>
      </c>
      <c r="K3032" s="2">
        <f>IFERROR(__xludf.DUMMYFUNCTION("""COMPUTED_VALUE"""),40000.0)</f>
        <v>40000</v>
      </c>
      <c r="L3032" s="2">
        <f>IFERROR(__xludf.DUMMYFUNCTION("""COMPUTED_VALUE"""),56.9619135)</f>
        <v>56.9619135</v>
      </c>
      <c r="M3032" s="2">
        <f>IFERROR(__xludf.DUMMYFUNCTION("""COMPUTED_VALUE"""),24.0013316683233)</f>
        <v>24.00133167</v>
      </c>
    </row>
    <row r="3033">
      <c r="A3033" s="2" t="str">
        <f>IFERROR(__xludf.DUMMYFUNCTION("""COMPUTED_VALUE"""),"For rent")</f>
        <v>For rent</v>
      </c>
      <c r="B3033" s="2" t="str">
        <f>IFERROR(__xludf.DUMMYFUNCTION("""COMPUTED_VALUE"""),"Purvciems")</f>
        <v>Purvciems</v>
      </c>
      <c r="C3033" s="2" t="str">
        <f>IFERROR(__xludf.DUMMYFUNCTION("""COMPUTED_VALUE"""),"Nīcgales 46")</f>
        <v>Nīcgales 46</v>
      </c>
      <c r="D3033" s="2">
        <f>IFERROR(__xludf.DUMMYFUNCTION("""COMPUTED_VALUE"""),1.0)</f>
        <v>1</v>
      </c>
      <c r="E3033" s="2">
        <f>IFERROR(__xludf.DUMMYFUNCTION("""COMPUTED_VALUE"""),30.0)</f>
        <v>30</v>
      </c>
      <c r="F3033" s="2">
        <f>IFERROR(__xludf.DUMMYFUNCTION("""COMPUTED_VALUE"""),1.0)</f>
        <v>1</v>
      </c>
      <c r="G3033" s="2">
        <f>IFERROR(__xludf.DUMMYFUNCTION("""COMPUTED_VALUE"""),5.0)</f>
        <v>5</v>
      </c>
      <c r="H3033" s="2">
        <f>IFERROR(__xludf.DUMMYFUNCTION("""COMPUTED_VALUE"""),103.0)</f>
        <v>103</v>
      </c>
      <c r="I3033" s="2" t="str">
        <f>IFERROR(__xludf.DUMMYFUNCTION("""COMPUTED_VALUE"""),"Brick-Panel")</f>
        <v>Brick-Panel</v>
      </c>
      <c r="J3033" s="2" t="str">
        <f>IFERROR(__xludf.DUMMYFUNCTION("""COMPUTED_VALUE"""),"All amenities")</f>
        <v>All amenities</v>
      </c>
      <c r="K3033" s="2">
        <f>IFERROR(__xludf.DUMMYFUNCTION("""COMPUTED_VALUE"""),24.0)</f>
        <v>24</v>
      </c>
      <c r="L3033" s="2">
        <f>IFERROR(__xludf.DUMMYFUNCTION("""COMPUTED_VALUE"""),56.945342)</f>
        <v>56.945342</v>
      </c>
      <c r="M3033" s="2">
        <f>IFERROR(__xludf.DUMMYFUNCTION("""COMPUTED_VALUE"""),24.1709469488025)</f>
        <v>24.17094695</v>
      </c>
    </row>
    <row r="3034">
      <c r="A3034" s="2" t="str">
        <f>IFERROR(__xludf.DUMMYFUNCTION("""COMPUTED_VALUE"""),"For sale")</f>
        <v>For sale</v>
      </c>
      <c r="B3034" s="2" t="str">
        <f>IFERROR(__xludf.DUMMYFUNCTION("""COMPUTED_VALUE"""),"centrs")</f>
        <v>centrs</v>
      </c>
      <c r="C3034" s="2" t="str">
        <f>IFERROR(__xludf.DUMMYFUNCTION("""COMPUTED_VALUE"""),"Miera 10")</f>
        <v>Miera 10</v>
      </c>
      <c r="D3034" s="2">
        <f>IFERROR(__xludf.DUMMYFUNCTION("""COMPUTED_VALUE"""),2.0)</f>
        <v>2</v>
      </c>
      <c r="E3034" s="2">
        <f>IFERROR(__xludf.DUMMYFUNCTION("""COMPUTED_VALUE"""),54.0)</f>
        <v>54</v>
      </c>
      <c r="F3034" s="2">
        <f>IFERROR(__xludf.DUMMYFUNCTION("""COMPUTED_VALUE"""),4.0)</f>
        <v>4</v>
      </c>
      <c r="G3034" s="2">
        <f>IFERROR(__xludf.DUMMYFUNCTION("""COMPUTED_VALUE"""),5.0)</f>
        <v>5</v>
      </c>
      <c r="H3034" s="2" t="str">
        <f>IFERROR(__xludf.DUMMYFUNCTION("""COMPUTED_VALUE"""),"P. kara")</f>
        <v>P. kara</v>
      </c>
      <c r="I3034" s="2" t="str">
        <f>IFERROR(__xludf.DUMMYFUNCTION("""COMPUTED_VALUE"""),"Masonry")</f>
        <v>Masonry</v>
      </c>
      <c r="J3034" s="2" t="str">
        <f>IFERROR(__xludf.DUMMYFUNCTION("""COMPUTED_VALUE"""),"All amenities")</f>
        <v>All amenities</v>
      </c>
      <c r="K3034" s="2">
        <f>IFERROR(__xludf.DUMMYFUNCTION("""COMPUTED_VALUE"""),115000.0)</f>
        <v>115000</v>
      </c>
      <c r="L3034" s="2">
        <f>IFERROR(__xludf.DUMMYFUNCTION("""COMPUTED_VALUE"""),56.9665763)</f>
        <v>56.9665763</v>
      </c>
      <c r="M3034" s="2">
        <f>IFERROR(__xludf.DUMMYFUNCTION("""COMPUTED_VALUE"""),24.1337504)</f>
        <v>24.1337504</v>
      </c>
    </row>
    <row r="3035">
      <c r="A3035" s="2" t="str">
        <f>IFERROR(__xludf.DUMMYFUNCTION("""COMPUTED_VALUE"""),"For sale")</f>
        <v>For sale</v>
      </c>
      <c r="B3035" s="2" t="str">
        <f>IFERROR(__xludf.DUMMYFUNCTION("""COMPUTED_VALUE"""),"centrs")</f>
        <v>centrs</v>
      </c>
      <c r="C3035" s="2" t="str">
        <f>IFERROR(__xludf.DUMMYFUNCTION("""COMPUTED_VALUE"""),"Merķeļa 17/19")</f>
        <v>Merķeļa 17/19</v>
      </c>
      <c r="D3035" s="2">
        <f>IFERROR(__xludf.DUMMYFUNCTION("""COMPUTED_VALUE"""),3.0)</f>
        <v>3</v>
      </c>
      <c r="E3035" s="2">
        <f>IFERROR(__xludf.DUMMYFUNCTION("""COMPUTED_VALUE"""),59.0)</f>
        <v>59</v>
      </c>
      <c r="F3035" s="2">
        <f>IFERROR(__xludf.DUMMYFUNCTION("""COMPUTED_VALUE"""),5.0)</f>
        <v>5</v>
      </c>
      <c r="G3035" s="2">
        <f>IFERROR(__xludf.DUMMYFUNCTION("""COMPUTED_VALUE"""),5.0)</f>
        <v>5</v>
      </c>
      <c r="H3035" s="2" t="str">
        <f>IFERROR(__xludf.DUMMYFUNCTION("""COMPUTED_VALUE"""),"Renov.")</f>
        <v>Renov.</v>
      </c>
      <c r="I3035" s="2" t="str">
        <f>IFERROR(__xludf.DUMMYFUNCTION("""COMPUTED_VALUE"""),"Masonry")</f>
        <v>Masonry</v>
      </c>
      <c r="J3035" s="2" t="str">
        <f>IFERROR(__xludf.DUMMYFUNCTION("""COMPUTED_VALUE"""),"All amenities")</f>
        <v>All amenities</v>
      </c>
      <c r="K3035" s="2">
        <f>IFERROR(__xludf.DUMMYFUNCTION("""COMPUTED_VALUE"""),145000.0)</f>
        <v>145000</v>
      </c>
      <c r="L3035" s="2">
        <f>IFERROR(__xludf.DUMMYFUNCTION("""COMPUTED_VALUE"""),56.9515994)</f>
        <v>56.9515994</v>
      </c>
      <c r="M3035" s="2">
        <f>IFERROR(__xludf.DUMMYFUNCTION("""COMPUTED_VALUE"""),24.1159776)</f>
        <v>24.1159776</v>
      </c>
    </row>
    <row r="3036">
      <c r="A3036" s="2" t="str">
        <f>IFERROR(__xludf.DUMMYFUNCTION("""COMPUTED_VALUE"""),"For sale")</f>
        <v>For sale</v>
      </c>
      <c r="B3036" s="2" t="str">
        <f>IFERROR(__xludf.DUMMYFUNCTION("""COMPUTED_VALUE"""),"centrs")</f>
        <v>centrs</v>
      </c>
      <c r="C3036" s="2" t="str">
        <f>IFERROR(__xludf.DUMMYFUNCTION("""COMPUTED_VALUE"""),"Merķeļa 17")</f>
        <v>Merķeļa 17</v>
      </c>
      <c r="D3036" s="2">
        <f>IFERROR(__xludf.DUMMYFUNCTION("""COMPUTED_VALUE"""),2.0)</f>
        <v>2</v>
      </c>
      <c r="E3036" s="2">
        <f>IFERROR(__xludf.DUMMYFUNCTION("""COMPUTED_VALUE"""),68.0)</f>
        <v>68</v>
      </c>
      <c r="F3036" s="2">
        <f>IFERROR(__xludf.DUMMYFUNCTION("""COMPUTED_VALUE"""),4.0)</f>
        <v>4</v>
      </c>
      <c r="G3036" s="2">
        <f>IFERROR(__xludf.DUMMYFUNCTION("""COMPUTED_VALUE"""),5.0)</f>
        <v>5</v>
      </c>
      <c r="H3036" s="2" t="str">
        <f>IFERROR(__xludf.DUMMYFUNCTION("""COMPUTED_VALUE"""),"P. kara")</f>
        <v>P. kara</v>
      </c>
      <c r="I3036" s="2" t="str">
        <f>IFERROR(__xludf.DUMMYFUNCTION("""COMPUTED_VALUE"""),"Masonry")</f>
        <v>Masonry</v>
      </c>
      <c r="J3036" s="2" t="str">
        <f>IFERROR(__xludf.DUMMYFUNCTION("""COMPUTED_VALUE"""),"All amenities")</f>
        <v>All amenities</v>
      </c>
      <c r="K3036" s="2">
        <f>IFERROR(__xludf.DUMMYFUNCTION("""COMPUTED_VALUE"""),169250.0)</f>
        <v>169250</v>
      </c>
      <c r="L3036" s="2">
        <f>IFERROR(__xludf.DUMMYFUNCTION("""COMPUTED_VALUE"""),56.9515994)</f>
        <v>56.9515994</v>
      </c>
      <c r="M3036" s="2">
        <f>IFERROR(__xludf.DUMMYFUNCTION("""COMPUTED_VALUE"""),24.1159776)</f>
        <v>24.1159776</v>
      </c>
    </row>
    <row r="3037">
      <c r="A3037" s="2" t="str">
        <f>IFERROR(__xludf.DUMMYFUNCTION("""COMPUTED_VALUE"""),"For sale")</f>
        <v>For sale</v>
      </c>
      <c r="B3037" s="2" t="str">
        <f>IFERROR(__xludf.DUMMYFUNCTION("""COMPUTED_VALUE"""),"centrs")</f>
        <v>centrs</v>
      </c>
      <c r="C3037" s="2" t="str">
        <f>IFERROR(__xludf.DUMMYFUNCTION("""COMPUTED_VALUE"""),"Merķeļa 17/19")</f>
        <v>Merķeļa 17/19</v>
      </c>
      <c r="D3037" s="2">
        <f>IFERROR(__xludf.DUMMYFUNCTION("""COMPUTED_VALUE"""),3.0)</f>
        <v>3</v>
      </c>
      <c r="E3037" s="2">
        <f>IFERROR(__xludf.DUMMYFUNCTION("""COMPUTED_VALUE"""),67.0)</f>
        <v>67</v>
      </c>
      <c r="F3037" s="2">
        <f>IFERROR(__xludf.DUMMYFUNCTION("""COMPUTED_VALUE"""),4.0)</f>
        <v>4</v>
      </c>
      <c r="G3037" s="2">
        <f>IFERROR(__xludf.DUMMYFUNCTION("""COMPUTED_VALUE"""),5.0)</f>
        <v>5</v>
      </c>
      <c r="H3037" s="2" t="str">
        <f>IFERROR(__xludf.DUMMYFUNCTION("""COMPUTED_VALUE"""),"Renov.")</f>
        <v>Renov.</v>
      </c>
      <c r="I3037" s="2" t="str">
        <f>IFERROR(__xludf.DUMMYFUNCTION("""COMPUTED_VALUE"""),"Masonry")</f>
        <v>Masonry</v>
      </c>
      <c r="J3037" s="2" t="str">
        <f>IFERROR(__xludf.DUMMYFUNCTION("""COMPUTED_VALUE"""),"All amenities")</f>
        <v>All amenities</v>
      </c>
      <c r="K3037" s="2">
        <f>IFERROR(__xludf.DUMMYFUNCTION("""COMPUTED_VALUE"""),167000.0)</f>
        <v>167000</v>
      </c>
      <c r="L3037" s="2">
        <f>IFERROR(__xludf.DUMMYFUNCTION("""COMPUTED_VALUE"""),56.9515994)</f>
        <v>56.9515994</v>
      </c>
      <c r="M3037" s="2">
        <f>IFERROR(__xludf.DUMMYFUNCTION("""COMPUTED_VALUE"""),24.1159776)</f>
        <v>24.1159776</v>
      </c>
    </row>
    <row r="3038">
      <c r="A3038" s="2" t="str">
        <f>IFERROR(__xludf.DUMMYFUNCTION("""COMPUTED_VALUE"""),"For sale")</f>
        <v>For sale</v>
      </c>
      <c r="B3038" s="2" t="str">
        <f>IFERROR(__xludf.DUMMYFUNCTION("""COMPUTED_VALUE"""),"centrs")</f>
        <v>centrs</v>
      </c>
      <c r="C3038" s="2" t="str">
        <f>IFERROR(__xludf.DUMMYFUNCTION("""COMPUTED_VALUE"""),"Merķeļa 17/19")</f>
        <v>Merķeļa 17/19</v>
      </c>
      <c r="D3038" s="2">
        <f>IFERROR(__xludf.DUMMYFUNCTION("""COMPUTED_VALUE"""),2.0)</f>
        <v>2</v>
      </c>
      <c r="E3038" s="2">
        <f>IFERROR(__xludf.DUMMYFUNCTION("""COMPUTED_VALUE"""),61.0)</f>
        <v>61</v>
      </c>
      <c r="F3038" s="2">
        <f>IFERROR(__xludf.DUMMYFUNCTION("""COMPUTED_VALUE"""),4.0)</f>
        <v>4</v>
      </c>
      <c r="G3038" s="2">
        <f>IFERROR(__xludf.DUMMYFUNCTION("""COMPUTED_VALUE"""),5.0)</f>
        <v>5</v>
      </c>
      <c r="H3038" s="2" t="str">
        <f>IFERROR(__xludf.DUMMYFUNCTION("""COMPUTED_VALUE"""),"Renov.")</f>
        <v>Renov.</v>
      </c>
      <c r="I3038" s="2" t="str">
        <f>IFERROR(__xludf.DUMMYFUNCTION("""COMPUTED_VALUE"""),"Brick")</f>
        <v>Brick</v>
      </c>
      <c r="J3038" s="2" t="str">
        <f>IFERROR(__xludf.DUMMYFUNCTION("""COMPUTED_VALUE"""),"All amenities")</f>
        <v>All amenities</v>
      </c>
      <c r="K3038" s="2">
        <f>IFERROR(__xludf.DUMMYFUNCTION("""COMPUTED_VALUE"""),152000.0)</f>
        <v>152000</v>
      </c>
      <c r="L3038" s="2">
        <f>IFERROR(__xludf.DUMMYFUNCTION("""COMPUTED_VALUE"""),56.9515994)</f>
        <v>56.9515994</v>
      </c>
      <c r="M3038" s="2">
        <f>IFERROR(__xludf.DUMMYFUNCTION("""COMPUTED_VALUE"""),24.1159776)</f>
        <v>24.1159776</v>
      </c>
    </row>
    <row r="3039">
      <c r="A3039" s="2" t="str">
        <f>IFERROR(__xludf.DUMMYFUNCTION("""COMPUTED_VALUE"""),"For sale")</f>
        <v>For sale</v>
      </c>
      <c r="B3039" s="2" t="str">
        <f>IFERROR(__xludf.DUMMYFUNCTION("""COMPUTED_VALUE"""),"centrs")</f>
        <v>centrs</v>
      </c>
      <c r="C3039" s="2" t="str">
        <f>IFERROR(__xludf.DUMMYFUNCTION("""COMPUTED_VALUE"""),"Dzirnavu 31")</f>
        <v>Dzirnavu 31</v>
      </c>
      <c r="D3039" s="2">
        <f>IFERROR(__xludf.DUMMYFUNCTION("""COMPUTED_VALUE"""),4.0)</f>
        <v>4</v>
      </c>
      <c r="E3039" s="2">
        <f>IFERROR(__xludf.DUMMYFUNCTION("""COMPUTED_VALUE"""),90.0)</f>
        <v>90</v>
      </c>
      <c r="F3039" s="2">
        <f>IFERROR(__xludf.DUMMYFUNCTION("""COMPUTED_VALUE"""),5.0)</f>
        <v>5</v>
      </c>
      <c r="G3039" s="2">
        <f>IFERROR(__xludf.DUMMYFUNCTION("""COMPUTED_VALUE"""),7.0)</f>
        <v>7</v>
      </c>
      <c r="H3039" s="2" t="str">
        <f>IFERROR(__xludf.DUMMYFUNCTION("""COMPUTED_VALUE"""),"P. kara")</f>
        <v>P. kara</v>
      </c>
      <c r="I3039" s="2" t="str">
        <f>IFERROR(__xludf.DUMMYFUNCTION("""COMPUTED_VALUE"""),"Masonry")</f>
        <v>Masonry</v>
      </c>
      <c r="J3039" s="2" t="str">
        <f>IFERROR(__xludf.DUMMYFUNCTION("""COMPUTED_VALUE"""),"All amenities")</f>
        <v>All amenities</v>
      </c>
      <c r="K3039" s="2">
        <f>IFERROR(__xludf.DUMMYFUNCTION("""COMPUTED_VALUE"""),155000.0)</f>
        <v>155000</v>
      </c>
      <c r="L3039" s="2">
        <f>IFERROR(__xludf.DUMMYFUNCTION("""COMPUTED_VALUE"""),56.9592805)</f>
        <v>56.9592805</v>
      </c>
      <c r="M3039" s="2">
        <f>IFERROR(__xludf.DUMMYFUNCTION("""COMPUTED_VALUE"""),24.1128099)</f>
        <v>24.1128099</v>
      </c>
    </row>
    <row r="3040">
      <c r="A3040" s="2" t="str">
        <f>IFERROR(__xludf.DUMMYFUNCTION("""COMPUTED_VALUE"""),"For sale")</f>
        <v>For sale</v>
      </c>
      <c r="B3040" s="2" t="str">
        <f>IFERROR(__xludf.DUMMYFUNCTION("""COMPUTED_VALUE"""),"Āgenskalns")</f>
        <v>Āgenskalns</v>
      </c>
      <c r="C3040" s="2" t="str">
        <f>IFERROR(__xludf.DUMMYFUNCTION("""COMPUTED_VALUE"""),"Mārtiņa 8")</f>
        <v>Mārtiņa 8</v>
      </c>
      <c r="D3040" s="2">
        <f>IFERROR(__xludf.DUMMYFUNCTION("""COMPUTED_VALUE"""),4.0)</f>
        <v>4</v>
      </c>
      <c r="E3040" s="2">
        <f>IFERROR(__xludf.DUMMYFUNCTION("""COMPUTED_VALUE"""),123.0)</f>
        <v>123</v>
      </c>
      <c r="F3040" s="2">
        <f>IFERROR(__xludf.DUMMYFUNCTION("""COMPUTED_VALUE"""),3.0)</f>
        <v>3</v>
      </c>
      <c r="G3040" s="2">
        <f>IFERROR(__xludf.DUMMYFUNCTION("""COMPUTED_VALUE"""),5.0)</f>
        <v>5</v>
      </c>
      <c r="H3040" s="2" t="str">
        <f>IFERROR(__xludf.DUMMYFUNCTION("""COMPUTED_VALUE"""),"Renov.")</f>
        <v>Renov.</v>
      </c>
      <c r="I3040" s="2" t="str">
        <f>IFERROR(__xludf.DUMMYFUNCTION("""COMPUTED_VALUE"""),"Masonry")</f>
        <v>Masonry</v>
      </c>
      <c r="J3040" s="2" t="str">
        <f>IFERROR(__xludf.DUMMYFUNCTION("""COMPUTED_VALUE"""),"All amenities")</f>
        <v>All amenities</v>
      </c>
      <c r="K3040" s="2">
        <f>IFERROR(__xludf.DUMMYFUNCTION("""COMPUTED_VALUE"""),215000.0)</f>
        <v>215000</v>
      </c>
      <c r="L3040" s="2">
        <f>IFERROR(__xludf.DUMMYFUNCTION("""COMPUTED_VALUE"""),56.947906)</f>
        <v>56.947906</v>
      </c>
      <c r="M3040" s="2">
        <f>IFERROR(__xludf.DUMMYFUNCTION("""COMPUTED_VALUE"""),24.070950274442)</f>
        <v>24.07095027</v>
      </c>
    </row>
    <row r="3041">
      <c r="A3041" s="2" t="str">
        <f>IFERROR(__xludf.DUMMYFUNCTION("""COMPUTED_VALUE"""),"For rent")</f>
        <v>For rent</v>
      </c>
      <c r="B3041" s="2" t="str">
        <f>IFERROR(__xludf.DUMMYFUNCTION("""COMPUTED_VALUE"""),"Ziepniekkalns")</f>
        <v>Ziepniekkalns</v>
      </c>
      <c r="C3041" s="2" t="str">
        <f>IFERROR(__xludf.DUMMYFUNCTION("""COMPUTED_VALUE"""),"Ozolciema 18")</f>
        <v>Ozolciema 18</v>
      </c>
      <c r="D3041" s="2">
        <f>IFERROR(__xludf.DUMMYFUNCTION("""COMPUTED_VALUE"""),2.0)</f>
        <v>2</v>
      </c>
      <c r="E3041" s="2">
        <f>IFERROR(__xludf.DUMMYFUNCTION("""COMPUTED_VALUE"""),62.0)</f>
        <v>62</v>
      </c>
      <c r="F3041" s="2">
        <f>IFERROR(__xludf.DUMMYFUNCTION("""COMPUTED_VALUE"""),1.0)</f>
        <v>1</v>
      </c>
      <c r="G3041" s="2">
        <f>IFERROR(__xludf.DUMMYFUNCTION("""COMPUTED_VALUE"""),9.0)</f>
        <v>9</v>
      </c>
      <c r="H3041" s="2">
        <f>IFERROR(__xludf.DUMMYFUNCTION("""COMPUTED_VALUE"""),119.0)</f>
        <v>119</v>
      </c>
      <c r="I3041" s="2" t="str">
        <f>IFERROR(__xludf.DUMMYFUNCTION("""COMPUTED_VALUE"""),"Panel")</f>
        <v>Panel</v>
      </c>
      <c r="J3041" s="2" t="str">
        <f>IFERROR(__xludf.DUMMYFUNCTION("""COMPUTED_VALUE"""),"All amenities")</f>
        <v>All amenities</v>
      </c>
      <c r="K3041" s="2">
        <f>IFERROR(__xludf.DUMMYFUNCTION("""COMPUTED_VALUE"""),350.0)</f>
        <v>350</v>
      </c>
      <c r="L3041" s="2">
        <f>IFERROR(__xludf.DUMMYFUNCTION("""COMPUTED_VALUE"""),56.89859735)</f>
        <v>56.89859735</v>
      </c>
      <c r="M3041" s="2">
        <f>IFERROR(__xludf.DUMMYFUNCTION("""COMPUTED_VALUE"""),24.0876707999998)</f>
        <v>24.0876708</v>
      </c>
    </row>
    <row r="3042">
      <c r="A3042" s="2" t="str">
        <f>IFERROR(__xludf.DUMMYFUNCTION("""COMPUTED_VALUE"""),"For rent")</f>
        <v>For rent</v>
      </c>
      <c r="B3042" s="2" t="str">
        <f>IFERROR(__xludf.DUMMYFUNCTION("""COMPUTED_VALUE"""),"Grīziņkalns")</f>
        <v>Grīziņkalns</v>
      </c>
      <c r="C3042" s="2" t="str">
        <f>IFERROR(__xludf.DUMMYFUNCTION("""COMPUTED_VALUE"""),"Alauksta 9")</f>
        <v>Alauksta 9</v>
      </c>
      <c r="D3042" s="2">
        <f>IFERROR(__xludf.DUMMYFUNCTION("""COMPUTED_VALUE"""),1.0)</f>
        <v>1</v>
      </c>
      <c r="E3042" s="2">
        <f>IFERROR(__xludf.DUMMYFUNCTION("""COMPUTED_VALUE"""),45.0)</f>
        <v>45</v>
      </c>
      <c r="F3042" s="2">
        <f>IFERROR(__xludf.DUMMYFUNCTION("""COMPUTED_VALUE"""),5.0)</f>
        <v>5</v>
      </c>
      <c r="G3042" s="2">
        <f>IFERROR(__xludf.DUMMYFUNCTION("""COMPUTED_VALUE"""),6.0)</f>
        <v>6</v>
      </c>
      <c r="H3042" s="2" t="str">
        <f>IFERROR(__xludf.DUMMYFUNCTION("""COMPUTED_VALUE"""),"Jaun.")</f>
        <v>Jaun.</v>
      </c>
      <c r="I3042" s="2" t="str">
        <f>IFERROR(__xludf.DUMMYFUNCTION("""COMPUTED_VALUE"""),"Brick-Panel")</f>
        <v>Brick-Panel</v>
      </c>
      <c r="J3042" s="2" t="str">
        <f>IFERROR(__xludf.DUMMYFUNCTION("""COMPUTED_VALUE"""),"All amenities")</f>
        <v>All amenities</v>
      </c>
      <c r="K3042" s="2">
        <f>IFERROR(__xludf.DUMMYFUNCTION("""COMPUTED_VALUE"""),375.0)</f>
        <v>375</v>
      </c>
      <c r="L3042" s="2">
        <f>IFERROR(__xludf.DUMMYFUNCTION("""COMPUTED_VALUE"""),56.9610476)</f>
        <v>56.9610476</v>
      </c>
      <c r="M3042" s="2">
        <f>IFERROR(__xludf.DUMMYFUNCTION("""COMPUTED_VALUE"""),24.1493694905674)</f>
        <v>24.14936949</v>
      </c>
    </row>
    <row r="3043">
      <c r="A3043" s="2" t="str">
        <f>IFERROR(__xludf.DUMMYFUNCTION("""COMPUTED_VALUE"""),"For sale")</f>
        <v>For sale</v>
      </c>
      <c r="B3043" s="2" t="str">
        <f>IFERROR(__xludf.DUMMYFUNCTION("""COMPUTED_VALUE"""),"Teika")</f>
        <v>Teika</v>
      </c>
      <c r="C3043" s="2" t="str">
        <f>IFERROR(__xludf.DUMMYFUNCTION("""COMPUTED_VALUE"""),"Ropažu 58")</f>
        <v>Ropažu 58</v>
      </c>
      <c r="D3043" s="2">
        <f>IFERROR(__xludf.DUMMYFUNCTION("""COMPUTED_VALUE"""),2.0)</f>
        <v>2</v>
      </c>
      <c r="E3043" s="2">
        <f>IFERROR(__xludf.DUMMYFUNCTION("""COMPUTED_VALUE"""),71.0)</f>
        <v>71</v>
      </c>
      <c r="F3043" s="2">
        <f>IFERROR(__xludf.DUMMYFUNCTION("""COMPUTED_VALUE"""),2.0)</f>
        <v>2</v>
      </c>
      <c r="G3043" s="2">
        <f>IFERROR(__xludf.DUMMYFUNCTION("""COMPUTED_VALUE"""),4.0)</f>
        <v>4</v>
      </c>
      <c r="H3043" s="2" t="str">
        <f>IFERROR(__xludf.DUMMYFUNCTION("""COMPUTED_VALUE"""),"Renov.")</f>
        <v>Renov.</v>
      </c>
      <c r="I3043" s="2" t="str">
        <f>IFERROR(__xludf.DUMMYFUNCTION("""COMPUTED_VALUE"""),"Masonry")</f>
        <v>Masonry</v>
      </c>
      <c r="J3043" s="2" t="str">
        <f>IFERROR(__xludf.DUMMYFUNCTION("""COMPUTED_VALUE"""),"All amenities")</f>
        <v>All amenities</v>
      </c>
      <c r="K3043" s="2">
        <f>IFERROR(__xludf.DUMMYFUNCTION("""COMPUTED_VALUE"""),90000.0)</f>
        <v>90000</v>
      </c>
      <c r="L3043" s="2">
        <f>IFERROR(__xludf.DUMMYFUNCTION("""COMPUTED_VALUE"""),56.9802806999999)</f>
        <v>56.9802807</v>
      </c>
      <c r="M3043" s="2">
        <f>IFERROR(__xludf.DUMMYFUNCTION("""COMPUTED_VALUE"""),24.1796812530036)</f>
        <v>24.17968125</v>
      </c>
    </row>
    <row r="3044">
      <c r="A3044" s="2" t="str">
        <f>IFERROR(__xludf.DUMMYFUNCTION("""COMPUTED_VALUE"""),"For sale")</f>
        <v>For sale</v>
      </c>
      <c r="B3044" s="2" t="str">
        <f>IFERROR(__xludf.DUMMYFUNCTION("""COMPUTED_VALUE"""),"Vecrīga")</f>
        <v>Vecrīga</v>
      </c>
      <c r="C3044" s="2" t="str">
        <f>IFERROR(__xludf.DUMMYFUNCTION("""COMPUTED_VALUE"""),"Jēkaba 26/28")</f>
        <v>Jēkaba 26/28</v>
      </c>
      <c r="D3044" s="2">
        <f>IFERROR(__xludf.DUMMYFUNCTION("""COMPUTED_VALUE"""),2.0)</f>
        <v>2</v>
      </c>
      <c r="E3044" s="2">
        <f>IFERROR(__xludf.DUMMYFUNCTION("""COMPUTED_VALUE"""),34.0)</f>
        <v>34</v>
      </c>
      <c r="F3044" s="2">
        <f>IFERROR(__xludf.DUMMYFUNCTION("""COMPUTED_VALUE"""),3.0)</f>
        <v>3</v>
      </c>
      <c r="G3044" s="2">
        <f>IFERROR(__xludf.DUMMYFUNCTION("""COMPUTED_VALUE"""),5.0)</f>
        <v>5</v>
      </c>
      <c r="H3044" s="2" t="str">
        <f>IFERROR(__xludf.DUMMYFUNCTION("""COMPUTED_VALUE"""),"P. kara")</f>
        <v>P. kara</v>
      </c>
      <c r="I3044" s="2" t="str">
        <f>IFERROR(__xludf.DUMMYFUNCTION("""COMPUTED_VALUE"""),"Masonry")</f>
        <v>Masonry</v>
      </c>
      <c r="J3044" s="2" t="str">
        <f>IFERROR(__xludf.DUMMYFUNCTION("""COMPUTED_VALUE"""),"All amenities")</f>
        <v>All amenities</v>
      </c>
      <c r="K3044" s="2">
        <f>IFERROR(__xludf.DUMMYFUNCTION("""COMPUTED_VALUE"""),98000.0)</f>
        <v>98000</v>
      </c>
      <c r="L3044" s="2">
        <f>IFERROR(__xludf.DUMMYFUNCTION("""COMPUTED_VALUE"""),56.952698)</f>
        <v>56.952698</v>
      </c>
      <c r="M3044" s="2">
        <f>IFERROR(__xludf.DUMMYFUNCTION("""COMPUTED_VALUE"""),24.1051471)</f>
        <v>24.1051471</v>
      </c>
    </row>
    <row r="3045">
      <c r="A3045" s="2" t="str">
        <f>IFERROR(__xludf.DUMMYFUNCTION("""COMPUTED_VALUE"""),"For rent")</f>
        <v>For rent</v>
      </c>
      <c r="B3045" s="2" t="str">
        <f>IFERROR(__xludf.DUMMYFUNCTION("""COMPUTED_VALUE"""),"Purvciems")</f>
        <v>Purvciems</v>
      </c>
      <c r="C3045" s="2" t="str">
        <f>IFERROR(__xludf.DUMMYFUNCTION("""COMPUTED_VALUE"""),"Dzelzavas 95")</f>
        <v>Dzelzavas 95</v>
      </c>
      <c r="D3045" s="2">
        <f>IFERROR(__xludf.DUMMYFUNCTION("""COMPUTED_VALUE"""),3.0)</f>
        <v>3</v>
      </c>
      <c r="E3045" s="2">
        <f>IFERROR(__xludf.DUMMYFUNCTION("""COMPUTED_VALUE"""),53.0)</f>
        <v>53</v>
      </c>
      <c r="F3045" s="2">
        <f>IFERROR(__xludf.DUMMYFUNCTION("""COMPUTED_VALUE"""),2.0)</f>
        <v>2</v>
      </c>
      <c r="G3045" s="2">
        <f>IFERROR(__xludf.DUMMYFUNCTION("""COMPUTED_VALUE"""),5.0)</f>
        <v>5</v>
      </c>
      <c r="H3045" s="2" t="str">
        <f>IFERROR(__xludf.DUMMYFUNCTION("""COMPUTED_VALUE"""),"LT proj.")</f>
        <v>LT proj.</v>
      </c>
      <c r="I3045" s="2" t="str">
        <f>IFERROR(__xludf.DUMMYFUNCTION("""COMPUTED_VALUE"""),"Brick-Panel")</f>
        <v>Brick-Panel</v>
      </c>
      <c r="J3045" s="2" t="str">
        <f>IFERROR(__xludf.DUMMYFUNCTION("""COMPUTED_VALUE"""),"All amenities")</f>
        <v>All amenities</v>
      </c>
      <c r="K3045" s="2">
        <f>IFERROR(__xludf.DUMMYFUNCTION("""COMPUTED_VALUE"""),370.0)</f>
        <v>370</v>
      </c>
      <c r="L3045" s="2">
        <f>IFERROR(__xludf.DUMMYFUNCTION("""COMPUTED_VALUE"""),56.9555825)</f>
        <v>56.9555825</v>
      </c>
      <c r="M3045" s="2">
        <f>IFERROR(__xludf.DUMMYFUNCTION("""COMPUTED_VALUE"""),24.2032005)</f>
        <v>24.2032005</v>
      </c>
    </row>
    <row r="3046">
      <c r="A3046" s="2" t="str">
        <f>IFERROR(__xludf.DUMMYFUNCTION("""COMPUTED_VALUE"""),"For rent")</f>
        <v>For rent</v>
      </c>
      <c r="B3046" s="2" t="str">
        <f>IFERROR(__xludf.DUMMYFUNCTION("""COMPUTED_VALUE"""),"Āgenskalns")</f>
        <v>Āgenskalns</v>
      </c>
      <c r="C3046" s="2" t="str">
        <f>IFERROR(__xludf.DUMMYFUNCTION("""COMPUTED_VALUE"""),"Kalnciema 15")</f>
        <v>Kalnciema 15</v>
      </c>
      <c r="D3046" s="2">
        <f>IFERROR(__xludf.DUMMYFUNCTION("""COMPUTED_VALUE"""),2.0)</f>
        <v>2</v>
      </c>
      <c r="E3046" s="2">
        <f>IFERROR(__xludf.DUMMYFUNCTION("""COMPUTED_VALUE"""),52.0)</f>
        <v>52</v>
      </c>
      <c r="F3046" s="2">
        <f>IFERROR(__xludf.DUMMYFUNCTION("""COMPUTED_VALUE"""),2.0)</f>
        <v>2</v>
      </c>
      <c r="G3046" s="2">
        <f>IFERROR(__xludf.DUMMYFUNCTION("""COMPUTED_VALUE"""),2.0)</f>
        <v>2</v>
      </c>
      <c r="H3046" s="2" t="str">
        <f>IFERROR(__xludf.DUMMYFUNCTION("""COMPUTED_VALUE"""),"P. kara")</f>
        <v>P. kara</v>
      </c>
      <c r="I3046" s="2" t="str">
        <f>IFERROR(__xludf.DUMMYFUNCTION("""COMPUTED_VALUE"""),"Masonry")</f>
        <v>Masonry</v>
      </c>
      <c r="J3046" s="2" t="str">
        <f>IFERROR(__xludf.DUMMYFUNCTION("""COMPUTED_VALUE"""),"All amenities")</f>
        <v>All amenities</v>
      </c>
      <c r="K3046" s="2">
        <f>IFERROR(__xludf.DUMMYFUNCTION("""COMPUTED_VALUE"""),400.0)</f>
        <v>400</v>
      </c>
      <c r="L3046" s="2">
        <f>IFERROR(__xludf.DUMMYFUNCTION("""COMPUTED_VALUE"""),56.945976)</f>
        <v>56.945976</v>
      </c>
      <c r="M3046" s="2">
        <f>IFERROR(__xludf.DUMMYFUNCTION("""COMPUTED_VALUE"""),24.073467)</f>
        <v>24.073467</v>
      </c>
    </row>
    <row r="3047">
      <c r="A3047" s="2" t="str">
        <f>IFERROR(__xludf.DUMMYFUNCTION("""COMPUTED_VALUE"""),"For sale")</f>
        <v>For sale</v>
      </c>
      <c r="B3047" s="2" t="str">
        <f>IFERROR(__xludf.DUMMYFUNCTION("""COMPUTED_VALUE"""),"Krasta r-ns")</f>
        <v>Krasta r-ns</v>
      </c>
      <c r="C3047" s="2" t="str">
        <f>IFERROR(__xludf.DUMMYFUNCTION("""COMPUTED_VALUE"""),"Salacas 19")</f>
        <v>Salacas 19</v>
      </c>
      <c r="D3047" s="2">
        <f>IFERROR(__xludf.DUMMYFUNCTION("""COMPUTED_VALUE"""),3.0)</f>
        <v>3</v>
      </c>
      <c r="E3047" s="2">
        <f>IFERROR(__xludf.DUMMYFUNCTION("""COMPUTED_VALUE"""),60.0)</f>
        <v>60</v>
      </c>
      <c r="F3047" s="2">
        <f>IFERROR(__xludf.DUMMYFUNCTION("""COMPUTED_VALUE"""),1.0)</f>
        <v>1</v>
      </c>
      <c r="G3047" s="2">
        <f>IFERROR(__xludf.DUMMYFUNCTION("""COMPUTED_VALUE"""),9.0)</f>
        <v>9</v>
      </c>
      <c r="H3047" s="2">
        <f>IFERROR(__xludf.DUMMYFUNCTION("""COMPUTED_VALUE"""),467.0)</f>
        <v>467</v>
      </c>
      <c r="I3047" s="2" t="str">
        <f>IFERROR(__xludf.DUMMYFUNCTION("""COMPUTED_VALUE"""),"Panel")</f>
        <v>Panel</v>
      </c>
      <c r="J3047" s="2" t="str">
        <f>IFERROR(__xludf.DUMMYFUNCTION("""COMPUTED_VALUE"""),"All amenities")</f>
        <v>All amenities</v>
      </c>
      <c r="K3047" s="2">
        <f>IFERROR(__xludf.DUMMYFUNCTION("""COMPUTED_VALUE"""),43000.0)</f>
        <v>43000</v>
      </c>
      <c r="L3047" s="2">
        <f>IFERROR(__xludf.DUMMYFUNCTION("""COMPUTED_VALUE"""),56.92792645)</f>
        <v>56.92792645</v>
      </c>
      <c r="M3047" s="2">
        <f>IFERROR(__xludf.DUMMYFUNCTION("""COMPUTED_VALUE"""),24.17132315)</f>
        <v>24.17132315</v>
      </c>
    </row>
    <row r="3048">
      <c r="A3048" s="2" t="str">
        <f>IFERROR(__xludf.DUMMYFUNCTION("""COMPUTED_VALUE"""),"For sale")</f>
        <v>For sale</v>
      </c>
      <c r="B3048" s="2" t="str">
        <f>IFERROR(__xludf.DUMMYFUNCTION("""COMPUTED_VALUE"""),"Purvciems")</f>
        <v>Purvciems</v>
      </c>
      <c r="C3048" s="2" t="str">
        <f>IFERROR(__xludf.DUMMYFUNCTION("""COMPUTED_VALUE"""),"Raunas 3")</f>
        <v>Raunas 3</v>
      </c>
      <c r="D3048" s="2">
        <f>IFERROR(__xludf.DUMMYFUNCTION("""COMPUTED_VALUE"""),2.0)</f>
        <v>2</v>
      </c>
      <c r="E3048" s="2">
        <f>IFERROR(__xludf.DUMMYFUNCTION("""COMPUTED_VALUE"""),32.0)</f>
        <v>32</v>
      </c>
      <c r="F3048" s="2">
        <f>IFERROR(__xludf.DUMMYFUNCTION("""COMPUTED_VALUE"""),2.0)</f>
        <v>2</v>
      </c>
      <c r="G3048" s="2">
        <f>IFERROR(__xludf.DUMMYFUNCTION("""COMPUTED_VALUE"""),2.0)</f>
        <v>2</v>
      </c>
      <c r="H3048" s="2" t="str">
        <f>IFERROR(__xludf.DUMMYFUNCTION("""COMPUTED_VALUE"""),"P. kara")</f>
        <v>P. kara</v>
      </c>
      <c r="I3048" s="2" t="str">
        <f>IFERROR(__xludf.DUMMYFUNCTION("""COMPUTED_VALUE"""),"Wood")</f>
        <v>Wood</v>
      </c>
      <c r="J3048" s="2" t="str">
        <f>IFERROR(__xludf.DUMMYFUNCTION("""COMPUTED_VALUE"""),"All amenities")</f>
        <v>All amenities</v>
      </c>
      <c r="K3048" s="2">
        <f>IFERROR(__xludf.DUMMYFUNCTION("""COMPUTED_VALUE"""),22000.0)</f>
        <v>22000</v>
      </c>
      <c r="L3048" s="2">
        <f>IFERROR(__xludf.DUMMYFUNCTION("""COMPUTED_VALUE"""),56.9699683)</f>
        <v>56.9699683</v>
      </c>
      <c r="M3048" s="2">
        <f>IFERROR(__xludf.DUMMYFUNCTION("""COMPUTED_VALUE"""),24.1694931999999)</f>
        <v>24.1694932</v>
      </c>
    </row>
    <row r="3049">
      <c r="A3049" s="2" t="str">
        <f>IFERROR(__xludf.DUMMYFUNCTION("""COMPUTED_VALUE"""),"For sale")</f>
        <v>For sale</v>
      </c>
      <c r="B3049" s="2" t="str">
        <f>IFERROR(__xludf.DUMMYFUNCTION("""COMPUTED_VALUE"""),"Purvciems")</f>
        <v>Purvciems</v>
      </c>
      <c r="C3049" s="2" t="str">
        <f>IFERROR(__xludf.DUMMYFUNCTION("""COMPUTED_VALUE"""),"Stirnu 55")</f>
        <v>Stirnu 55</v>
      </c>
      <c r="D3049" s="2">
        <f>IFERROR(__xludf.DUMMYFUNCTION("""COMPUTED_VALUE"""),1.0)</f>
        <v>1</v>
      </c>
      <c r="E3049" s="2">
        <f>IFERROR(__xludf.DUMMYFUNCTION("""COMPUTED_VALUE"""),30.0)</f>
        <v>30</v>
      </c>
      <c r="F3049" s="2">
        <f>IFERROR(__xludf.DUMMYFUNCTION("""COMPUTED_VALUE"""),4.0)</f>
        <v>4</v>
      </c>
      <c r="G3049" s="2">
        <f>IFERROR(__xludf.DUMMYFUNCTION("""COMPUTED_VALUE"""),5.0)</f>
        <v>5</v>
      </c>
      <c r="H3049" s="2" t="str">
        <f>IFERROR(__xludf.DUMMYFUNCTION("""COMPUTED_VALUE"""),"LT proj.")</f>
        <v>LT proj.</v>
      </c>
      <c r="I3049" s="2" t="str">
        <f>IFERROR(__xludf.DUMMYFUNCTION("""COMPUTED_VALUE"""),"Panel")</f>
        <v>Panel</v>
      </c>
      <c r="J3049" s="2" t="str">
        <f>IFERROR(__xludf.DUMMYFUNCTION("""COMPUTED_VALUE"""),"All amenities")</f>
        <v>All amenities</v>
      </c>
      <c r="K3049" s="2">
        <f>IFERROR(__xludf.DUMMYFUNCTION("""COMPUTED_VALUE"""),28000.0)</f>
        <v>28000</v>
      </c>
      <c r="L3049" s="2">
        <f>IFERROR(__xludf.DUMMYFUNCTION("""COMPUTED_VALUE"""),56.96423965)</f>
        <v>56.96423965</v>
      </c>
      <c r="M3049" s="2">
        <f>IFERROR(__xludf.DUMMYFUNCTION("""COMPUTED_VALUE"""),24.1939779)</f>
        <v>24.1939779</v>
      </c>
    </row>
    <row r="3050">
      <c r="A3050" s="2" t="str">
        <f>IFERROR(__xludf.DUMMYFUNCTION("""COMPUTED_VALUE"""),"For sale")</f>
        <v>For sale</v>
      </c>
      <c r="B3050" s="2" t="str">
        <f>IFERROR(__xludf.DUMMYFUNCTION("""COMPUTED_VALUE"""),"Zolitūde")</f>
        <v>Zolitūde</v>
      </c>
      <c r="C3050" s="2" t="str">
        <f>IFERROR(__xludf.DUMMYFUNCTION("""COMPUTED_VALUE"""),"Anniņmuižas 13")</f>
        <v>Anniņmuižas 13</v>
      </c>
      <c r="D3050" s="2">
        <f>IFERROR(__xludf.DUMMYFUNCTION("""COMPUTED_VALUE"""),2.0)</f>
        <v>2</v>
      </c>
      <c r="E3050" s="2">
        <f>IFERROR(__xludf.DUMMYFUNCTION("""COMPUTED_VALUE"""),77.0)</f>
        <v>77</v>
      </c>
      <c r="F3050" s="2">
        <f>IFERROR(__xludf.DUMMYFUNCTION("""COMPUTED_VALUE"""),5.0)</f>
        <v>5</v>
      </c>
      <c r="G3050" s="2">
        <f>IFERROR(__xludf.DUMMYFUNCTION("""COMPUTED_VALUE"""),12.0)</f>
        <v>12</v>
      </c>
      <c r="H3050" s="2" t="str">
        <f>IFERROR(__xludf.DUMMYFUNCTION("""COMPUTED_VALUE"""),"Specpr.")</f>
        <v>Specpr.</v>
      </c>
      <c r="I3050" s="2" t="str">
        <f>IFERROR(__xludf.DUMMYFUNCTION("""COMPUTED_VALUE"""),"Brick-Panel")</f>
        <v>Brick-Panel</v>
      </c>
      <c r="J3050" s="2" t="str">
        <f>IFERROR(__xludf.DUMMYFUNCTION("""COMPUTED_VALUE"""),"All amenities")</f>
        <v>All amenities</v>
      </c>
      <c r="K3050" s="2">
        <f>IFERROR(__xludf.DUMMYFUNCTION("""COMPUTED_VALUE"""),97000.0)</f>
        <v>97000</v>
      </c>
      <c r="L3050" s="2">
        <f>IFERROR(__xludf.DUMMYFUNCTION("""COMPUTED_VALUE"""),56.94568225)</f>
        <v>56.94568225</v>
      </c>
      <c r="M3050" s="2">
        <f>IFERROR(__xludf.DUMMYFUNCTION("""COMPUTED_VALUE"""),24.0146821801241)</f>
        <v>24.01468218</v>
      </c>
    </row>
    <row r="3051">
      <c r="A3051" s="2" t="str">
        <f>IFERROR(__xludf.DUMMYFUNCTION("""COMPUTED_VALUE"""),"For rent")</f>
        <v>For rent</v>
      </c>
      <c r="B3051" s="2" t="str">
        <f>IFERROR(__xludf.DUMMYFUNCTION("""COMPUTED_VALUE"""),"centrs")</f>
        <v>centrs</v>
      </c>
      <c r="C3051" s="2" t="str">
        <f>IFERROR(__xludf.DUMMYFUNCTION("""COMPUTED_VALUE"""),"Pils lauk. 2b")</f>
        <v>Pils lauk. 2b</v>
      </c>
      <c r="D3051" s="2">
        <f>IFERROR(__xludf.DUMMYFUNCTION("""COMPUTED_VALUE"""),4.0)</f>
        <v>4</v>
      </c>
      <c r="E3051" s="2">
        <f>IFERROR(__xludf.DUMMYFUNCTION("""COMPUTED_VALUE"""),150.0)</f>
        <v>150</v>
      </c>
      <c r="F3051" s="2">
        <f>IFERROR(__xludf.DUMMYFUNCTION("""COMPUTED_VALUE"""),2.0)</f>
        <v>2</v>
      </c>
      <c r="G3051" s="2">
        <f>IFERROR(__xludf.DUMMYFUNCTION("""COMPUTED_VALUE"""),2.0)</f>
        <v>2</v>
      </c>
      <c r="H3051" s="2" t="str">
        <f>IFERROR(__xludf.DUMMYFUNCTION("""COMPUTED_VALUE"""),"Renov.")</f>
        <v>Renov.</v>
      </c>
      <c r="I3051" s="2" t="str">
        <f>IFERROR(__xludf.DUMMYFUNCTION("""COMPUTED_VALUE"""),"Brick")</f>
        <v>Brick</v>
      </c>
      <c r="J3051" s="2" t="str">
        <f>IFERROR(__xludf.DUMMYFUNCTION("""COMPUTED_VALUE"""),"All amenities")</f>
        <v>All amenities</v>
      </c>
      <c r="K3051" s="2">
        <f>IFERROR(__xludf.DUMMYFUNCTION("""COMPUTED_VALUE"""),100.0)</f>
        <v>100</v>
      </c>
      <c r="L3051" s="2" t="str">
        <f>IFERROR(__xludf.DUMMYFUNCTION("""COMPUTED_VALUE"""),"NaN")</f>
        <v>NaN</v>
      </c>
      <c r="M3051" s="2" t="str">
        <f>IFERROR(__xludf.DUMMYFUNCTION("""COMPUTED_VALUE"""),"NaN")</f>
        <v>NaN</v>
      </c>
    </row>
    <row r="3052">
      <c r="A3052" s="2" t="str">
        <f>IFERROR(__xludf.DUMMYFUNCTION("""COMPUTED_VALUE"""),"For sale")</f>
        <v>For sale</v>
      </c>
      <c r="B3052" s="2" t="str">
        <f>IFERROR(__xludf.DUMMYFUNCTION("""COMPUTED_VALUE"""),"Mežaparks")</f>
        <v>Mežaparks</v>
      </c>
      <c r="C3052" s="2" t="str">
        <f>IFERROR(__xludf.DUMMYFUNCTION("""COMPUTED_VALUE"""),"Viestura pr. 95")</f>
        <v>Viestura pr. 95</v>
      </c>
      <c r="D3052" s="2">
        <f>IFERROR(__xludf.DUMMYFUNCTION("""COMPUTED_VALUE"""),2.0)</f>
        <v>2</v>
      </c>
      <c r="E3052" s="2">
        <f>IFERROR(__xludf.DUMMYFUNCTION("""COMPUTED_VALUE"""),43.0)</f>
        <v>43</v>
      </c>
      <c r="F3052" s="2">
        <f>IFERROR(__xludf.DUMMYFUNCTION("""COMPUTED_VALUE"""),5.0)</f>
        <v>5</v>
      </c>
      <c r="G3052" s="2">
        <f>IFERROR(__xludf.DUMMYFUNCTION("""COMPUTED_VALUE"""),11.0)</f>
        <v>11</v>
      </c>
      <c r="H3052" s="2" t="str">
        <f>IFERROR(__xludf.DUMMYFUNCTION("""COMPUTED_VALUE"""),"Jaun.")</f>
        <v>Jaun.</v>
      </c>
      <c r="I3052" s="2" t="str">
        <f>IFERROR(__xludf.DUMMYFUNCTION("""COMPUTED_VALUE"""),"Brick-Panel")</f>
        <v>Brick-Panel</v>
      </c>
      <c r="J3052" s="2" t="str">
        <f>IFERROR(__xludf.DUMMYFUNCTION("""COMPUTED_VALUE"""),"All amenities")</f>
        <v>All amenities</v>
      </c>
      <c r="K3052" s="2">
        <f>IFERROR(__xludf.DUMMYFUNCTION("""COMPUTED_VALUE"""),74900.0)</f>
        <v>74900</v>
      </c>
      <c r="L3052" s="2" t="str">
        <f>IFERROR(__xludf.DUMMYFUNCTION("""COMPUTED_VALUE"""),"NaN")</f>
        <v>NaN</v>
      </c>
      <c r="M3052" s="2" t="str">
        <f>IFERROR(__xludf.DUMMYFUNCTION("""COMPUTED_VALUE"""),"NaN")</f>
        <v>NaN</v>
      </c>
    </row>
    <row r="3053">
      <c r="A3053" s="2" t="str">
        <f>IFERROR(__xludf.DUMMYFUNCTION("""COMPUTED_VALUE"""),"For sale")</f>
        <v>For sale</v>
      </c>
      <c r="B3053" s="2" t="str">
        <f>IFERROR(__xludf.DUMMYFUNCTION("""COMPUTED_VALUE"""),"Sarkandaugava")</f>
        <v>Sarkandaugava</v>
      </c>
      <c r="C3053" s="2" t="str">
        <f>IFERROR(__xludf.DUMMYFUNCTION("""COMPUTED_VALUE"""),"Patversmes 22")</f>
        <v>Patversmes 22</v>
      </c>
      <c r="D3053" s="2">
        <f>IFERROR(__xludf.DUMMYFUNCTION("""COMPUTED_VALUE"""),1.0)</f>
        <v>1</v>
      </c>
      <c r="E3053" s="2">
        <f>IFERROR(__xludf.DUMMYFUNCTION("""COMPUTED_VALUE"""),30.0)</f>
        <v>30</v>
      </c>
      <c r="F3053" s="2">
        <f>IFERROR(__xludf.DUMMYFUNCTION("""COMPUTED_VALUE"""),5.0)</f>
        <v>5</v>
      </c>
      <c r="G3053" s="2">
        <f>IFERROR(__xludf.DUMMYFUNCTION("""COMPUTED_VALUE"""),5.0)</f>
        <v>5</v>
      </c>
      <c r="H3053" s="2" t="str">
        <f>IFERROR(__xludf.DUMMYFUNCTION("""COMPUTED_VALUE"""),"Specpr.")</f>
        <v>Specpr.</v>
      </c>
      <c r="I3053" s="2" t="str">
        <f>IFERROR(__xludf.DUMMYFUNCTION("""COMPUTED_VALUE"""),"Brick")</f>
        <v>Brick</v>
      </c>
      <c r="J3053" s="2" t="str">
        <f>IFERROR(__xludf.DUMMYFUNCTION("""COMPUTED_VALUE"""),"All amenities")</f>
        <v>All amenities</v>
      </c>
      <c r="K3053" s="2">
        <f>IFERROR(__xludf.DUMMYFUNCTION("""COMPUTED_VALUE"""),28000.0)</f>
        <v>28000</v>
      </c>
      <c r="L3053" s="2">
        <f>IFERROR(__xludf.DUMMYFUNCTION("""COMPUTED_VALUE"""),56.9896783)</f>
        <v>56.9896783</v>
      </c>
      <c r="M3053" s="2">
        <f>IFERROR(__xludf.DUMMYFUNCTION("""COMPUTED_VALUE"""),24.1342425459972)</f>
        <v>24.13424255</v>
      </c>
    </row>
    <row r="3054">
      <c r="A3054" s="2" t="str">
        <f>IFERROR(__xludf.DUMMYFUNCTION("""COMPUTED_VALUE"""),"For rent")</f>
        <v>For rent</v>
      </c>
      <c r="B3054" s="2" t="str">
        <f>IFERROR(__xludf.DUMMYFUNCTION("""COMPUTED_VALUE"""),"Āgenskalns")</f>
        <v>Āgenskalns</v>
      </c>
      <c r="C3054" s="2" t="str">
        <f>IFERROR(__xludf.DUMMYFUNCTION("""COMPUTED_VALUE"""),"Ernestīnes 18a")</f>
        <v>Ernestīnes 18a</v>
      </c>
      <c r="D3054" s="2">
        <f>IFERROR(__xludf.DUMMYFUNCTION("""COMPUTED_VALUE"""),1.0)</f>
        <v>1</v>
      </c>
      <c r="E3054" s="2">
        <f>IFERROR(__xludf.DUMMYFUNCTION("""COMPUTED_VALUE"""),30.0)</f>
        <v>30</v>
      </c>
      <c r="F3054" s="2">
        <f>IFERROR(__xludf.DUMMYFUNCTION("""COMPUTED_VALUE"""),5.0)</f>
        <v>5</v>
      </c>
      <c r="G3054" s="2">
        <f>IFERROR(__xludf.DUMMYFUNCTION("""COMPUTED_VALUE"""),5.0)</f>
        <v>5</v>
      </c>
      <c r="H3054" s="2" t="str">
        <f>IFERROR(__xludf.DUMMYFUNCTION("""COMPUTED_VALUE"""),"Hrušč.")</f>
        <v>Hrušč.</v>
      </c>
      <c r="I3054" s="2" t="str">
        <f>IFERROR(__xludf.DUMMYFUNCTION("""COMPUTED_VALUE"""),"Brick")</f>
        <v>Brick</v>
      </c>
      <c r="J3054" s="2" t="str">
        <f>IFERROR(__xludf.DUMMYFUNCTION("""COMPUTED_VALUE"""),"All amenities")</f>
        <v>All amenities</v>
      </c>
      <c r="K3054" s="2">
        <f>IFERROR(__xludf.DUMMYFUNCTION("""COMPUTED_VALUE"""),320.0)</f>
        <v>320</v>
      </c>
      <c r="L3054" s="2">
        <f>IFERROR(__xludf.DUMMYFUNCTION("""COMPUTED_VALUE"""),56.9433213)</f>
        <v>56.9433213</v>
      </c>
      <c r="M3054" s="2">
        <f>IFERROR(__xludf.DUMMYFUNCTION("""COMPUTED_VALUE"""),24.0736221)</f>
        <v>24.0736221</v>
      </c>
    </row>
    <row r="3055">
      <c r="A3055" s="2" t="str">
        <f>IFERROR(__xludf.DUMMYFUNCTION("""COMPUTED_VALUE"""),"For sale")</f>
        <v>For sale</v>
      </c>
      <c r="B3055" s="2" t="str">
        <f>IFERROR(__xludf.DUMMYFUNCTION("""COMPUTED_VALUE"""),"Purvciems")</f>
        <v>Purvciems</v>
      </c>
      <c r="C3055" s="2" t="str">
        <f>IFERROR(__xludf.DUMMYFUNCTION("""COMPUTED_VALUE"""),"Dzelzavas 76")</f>
        <v>Dzelzavas 76</v>
      </c>
      <c r="D3055" s="2">
        <f>IFERROR(__xludf.DUMMYFUNCTION("""COMPUTED_VALUE"""),3.0)</f>
        <v>3</v>
      </c>
      <c r="E3055" s="2">
        <f>IFERROR(__xludf.DUMMYFUNCTION("""COMPUTED_VALUE"""),63.0)</f>
        <v>63</v>
      </c>
      <c r="F3055" s="2">
        <f>IFERROR(__xludf.DUMMYFUNCTION("""COMPUTED_VALUE"""),8.0)</f>
        <v>8</v>
      </c>
      <c r="G3055" s="2">
        <f>IFERROR(__xludf.DUMMYFUNCTION("""COMPUTED_VALUE"""),9.0)</f>
        <v>9</v>
      </c>
      <c r="H3055" s="2">
        <f>IFERROR(__xludf.DUMMYFUNCTION("""COMPUTED_VALUE"""),602.0)</f>
        <v>602</v>
      </c>
      <c r="I3055" s="2" t="str">
        <f>IFERROR(__xludf.DUMMYFUNCTION("""COMPUTED_VALUE"""),"Panel")</f>
        <v>Panel</v>
      </c>
      <c r="J3055" s="2" t="str">
        <f>IFERROR(__xludf.DUMMYFUNCTION("""COMPUTED_VALUE"""),"All amenities")</f>
        <v>All amenities</v>
      </c>
      <c r="K3055" s="2">
        <f>IFERROR(__xludf.DUMMYFUNCTION("""COMPUTED_VALUE"""),57500.0)</f>
        <v>57500</v>
      </c>
      <c r="L3055" s="2">
        <f>IFERROR(__xludf.DUMMYFUNCTION("""COMPUTED_VALUE"""),56.9550112)</f>
        <v>56.9550112</v>
      </c>
      <c r="M3055" s="2">
        <f>IFERROR(__xludf.DUMMYFUNCTION("""COMPUTED_VALUE"""),24.1985621)</f>
        <v>24.1985621</v>
      </c>
    </row>
    <row r="3056">
      <c r="A3056" s="2" t="str">
        <f>IFERROR(__xludf.DUMMYFUNCTION("""COMPUTED_VALUE"""),"For sale")</f>
        <v>For sale</v>
      </c>
      <c r="B3056" s="2" t="str">
        <f>IFERROR(__xludf.DUMMYFUNCTION("""COMPUTED_VALUE"""),"Daugavgrīva")</f>
        <v>Daugavgrīva</v>
      </c>
      <c r="C3056" s="2" t="str">
        <f>IFERROR(__xludf.DUMMYFUNCTION("""COMPUTED_VALUE"""),"Parādes 18")</f>
        <v>Parādes 18</v>
      </c>
      <c r="D3056" s="2">
        <f>IFERROR(__xludf.DUMMYFUNCTION("""COMPUTED_VALUE"""),2.0)</f>
        <v>2</v>
      </c>
      <c r="E3056" s="2">
        <f>IFERROR(__xludf.DUMMYFUNCTION("""COMPUTED_VALUE"""),41.0)</f>
        <v>41</v>
      </c>
      <c r="F3056" s="2">
        <f>IFERROR(__xludf.DUMMYFUNCTION("""COMPUTED_VALUE"""),2.0)</f>
        <v>2</v>
      </c>
      <c r="G3056" s="2">
        <f>IFERROR(__xludf.DUMMYFUNCTION("""COMPUTED_VALUE"""),2.0)</f>
        <v>2</v>
      </c>
      <c r="H3056" s="2" t="str">
        <f>IFERROR(__xludf.DUMMYFUNCTION("""COMPUTED_VALUE"""),"Hrušč.")</f>
        <v>Hrušč.</v>
      </c>
      <c r="I3056" s="2" t="str">
        <f>IFERROR(__xludf.DUMMYFUNCTION("""COMPUTED_VALUE"""),"Brick")</f>
        <v>Brick</v>
      </c>
      <c r="J3056" s="2" t="str">
        <f>IFERROR(__xludf.DUMMYFUNCTION("""COMPUTED_VALUE"""),"All amenities")</f>
        <v>All amenities</v>
      </c>
      <c r="K3056" s="2">
        <f>IFERROR(__xludf.DUMMYFUNCTION("""COMPUTED_VALUE"""),24900.0)</f>
        <v>24900</v>
      </c>
      <c r="L3056" s="2">
        <f>IFERROR(__xludf.DUMMYFUNCTION("""COMPUTED_VALUE"""),57.0395394)</f>
        <v>57.0395394</v>
      </c>
      <c r="M3056" s="2">
        <f>IFERROR(__xludf.DUMMYFUNCTION("""COMPUTED_VALUE"""),24.0268141)</f>
        <v>24.0268141</v>
      </c>
    </row>
    <row r="3057">
      <c r="A3057" s="2" t="str">
        <f>IFERROR(__xludf.DUMMYFUNCTION("""COMPUTED_VALUE"""),"For sale")</f>
        <v>For sale</v>
      </c>
      <c r="B3057" s="2" t="str">
        <f>IFERROR(__xludf.DUMMYFUNCTION("""COMPUTED_VALUE"""),"centrs")</f>
        <v>centrs</v>
      </c>
      <c r="C3057" s="2" t="str">
        <f>IFERROR(__xludf.DUMMYFUNCTION("""COMPUTED_VALUE"""),"Valmieras 32")</f>
        <v>Valmieras 32</v>
      </c>
      <c r="D3057" s="2">
        <f>IFERROR(__xludf.DUMMYFUNCTION("""COMPUTED_VALUE"""),1.0)</f>
        <v>1</v>
      </c>
      <c r="E3057" s="2">
        <f>IFERROR(__xludf.DUMMYFUNCTION("""COMPUTED_VALUE"""),20.0)</f>
        <v>20</v>
      </c>
      <c r="F3057" s="2">
        <f>IFERROR(__xludf.DUMMYFUNCTION("""COMPUTED_VALUE"""),2.0)</f>
        <v>2</v>
      </c>
      <c r="G3057" s="2">
        <f>IFERROR(__xludf.DUMMYFUNCTION("""COMPUTED_VALUE"""),2.0)</f>
        <v>2</v>
      </c>
      <c r="H3057" s="2" t="str">
        <f>IFERROR(__xludf.DUMMYFUNCTION("""COMPUTED_VALUE"""),"P. kara")</f>
        <v>P. kara</v>
      </c>
      <c r="I3057" s="2" t="str">
        <f>IFERROR(__xludf.DUMMYFUNCTION("""COMPUTED_VALUE"""),"Wood")</f>
        <v>Wood</v>
      </c>
      <c r="J3057" s="2" t="str">
        <f>IFERROR(__xludf.DUMMYFUNCTION("""COMPUTED_VALUE"""),"Partial amenities")</f>
        <v>Partial amenities</v>
      </c>
      <c r="K3057" s="2">
        <f>IFERROR(__xludf.DUMMYFUNCTION("""COMPUTED_VALUE"""),11900.0)</f>
        <v>11900</v>
      </c>
      <c r="L3057" s="2">
        <f>IFERROR(__xludf.DUMMYFUNCTION("""COMPUTED_VALUE"""),56.95275325)</f>
        <v>56.95275325</v>
      </c>
      <c r="M3057" s="2">
        <f>IFERROR(__xludf.DUMMYFUNCTION("""COMPUTED_VALUE"""),24.1516129451998)</f>
        <v>24.15161295</v>
      </c>
    </row>
    <row r="3058">
      <c r="A3058" s="2" t="str">
        <f>IFERROR(__xludf.DUMMYFUNCTION("""COMPUTED_VALUE"""),"For sale")</f>
        <v>For sale</v>
      </c>
      <c r="B3058" s="2" t="str">
        <f>IFERROR(__xludf.DUMMYFUNCTION("""COMPUTED_VALUE"""),"Āgenskalns")</f>
        <v>Āgenskalns</v>
      </c>
      <c r="C3058" s="2" t="str">
        <f>IFERROR(__xludf.DUMMYFUNCTION("""COMPUTED_VALUE"""),"M. Nometņu 17 a")</f>
        <v>M. Nometņu 17 a</v>
      </c>
      <c r="D3058" s="2">
        <f>IFERROR(__xludf.DUMMYFUNCTION("""COMPUTED_VALUE"""),2.0)</f>
        <v>2</v>
      </c>
      <c r="E3058" s="2">
        <f>IFERROR(__xludf.DUMMYFUNCTION("""COMPUTED_VALUE"""),42.0)</f>
        <v>42</v>
      </c>
      <c r="F3058" s="2">
        <f>IFERROR(__xludf.DUMMYFUNCTION("""COMPUTED_VALUE"""),2.0)</f>
        <v>2</v>
      </c>
      <c r="G3058" s="2">
        <f>IFERROR(__xludf.DUMMYFUNCTION("""COMPUTED_VALUE"""),3.0)</f>
        <v>3</v>
      </c>
      <c r="H3058" s="2" t="str">
        <f>IFERROR(__xludf.DUMMYFUNCTION("""COMPUTED_VALUE"""),"Renov.")</f>
        <v>Renov.</v>
      </c>
      <c r="I3058" s="2" t="str">
        <f>IFERROR(__xludf.DUMMYFUNCTION("""COMPUTED_VALUE"""),"Wood")</f>
        <v>Wood</v>
      </c>
      <c r="J3058" s="2" t="str">
        <f>IFERROR(__xludf.DUMMYFUNCTION("""COMPUTED_VALUE"""),"All amenities")</f>
        <v>All amenities</v>
      </c>
      <c r="K3058" s="2">
        <f>IFERROR(__xludf.DUMMYFUNCTION("""COMPUTED_VALUE"""),85500.0)</f>
        <v>85500</v>
      </c>
      <c r="L3058" s="2" t="str">
        <f>IFERROR(__xludf.DUMMYFUNCTION("""COMPUTED_VALUE"""),"NaN")</f>
        <v>NaN</v>
      </c>
      <c r="M3058" s="2" t="str">
        <f>IFERROR(__xludf.DUMMYFUNCTION("""COMPUTED_VALUE"""),"NaN")</f>
        <v>NaN</v>
      </c>
    </row>
    <row r="3059">
      <c r="A3059" s="2" t="str">
        <f>IFERROR(__xludf.DUMMYFUNCTION("""COMPUTED_VALUE"""),"For sale")</f>
        <v>For sale</v>
      </c>
      <c r="B3059" s="2" t="str">
        <f>IFERROR(__xludf.DUMMYFUNCTION("""COMPUTED_VALUE"""),"Āgenskalns")</f>
        <v>Āgenskalns</v>
      </c>
      <c r="C3059" s="2" t="str">
        <f>IFERROR(__xludf.DUMMYFUNCTION("""COMPUTED_VALUE"""),"M. Nometņu 17 a")</f>
        <v>M. Nometņu 17 a</v>
      </c>
      <c r="D3059" s="2">
        <f>IFERROR(__xludf.DUMMYFUNCTION("""COMPUTED_VALUE"""),4.0)</f>
        <v>4</v>
      </c>
      <c r="E3059" s="2">
        <f>IFERROR(__xludf.DUMMYFUNCTION("""COMPUTED_VALUE"""),83.0)</f>
        <v>83</v>
      </c>
      <c r="F3059" s="2">
        <f>IFERROR(__xludf.DUMMYFUNCTION("""COMPUTED_VALUE"""),3.0)</f>
        <v>3</v>
      </c>
      <c r="G3059" s="2">
        <f>IFERROR(__xludf.DUMMYFUNCTION("""COMPUTED_VALUE"""),3.0)</f>
        <v>3</v>
      </c>
      <c r="H3059" s="2" t="str">
        <f>IFERROR(__xludf.DUMMYFUNCTION("""COMPUTED_VALUE"""),"Renov.")</f>
        <v>Renov.</v>
      </c>
      <c r="I3059" s="2" t="str">
        <f>IFERROR(__xludf.DUMMYFUNCTION("""COMPUTED_VALUE"""),"Wood")</f>
        <v>Wood</v>
      </c>
      <c r="J3059" s="2" t="str">
        <f>IFERROR(__xludf.DUMMYFUNCTION("""COMPUTED_VALUE"""),"All amenities")</f>
        <v>All amenities</v>
      </c>
      <c r="K3059" s="2">
        <f>IFERROR(__xludf.DUMMYFUNCTION("""COMPUTED_VALUE"""),150735.0)</f>
        <v>150735</v>
      </c>
      <c r="L3059" s="2" t="str">
        <f>IFERROR(__xludf.DUMMYFUNCTION("""COMPUTED_VALUE"""),"NaN")</f>
        <v>NaN</v>
      </c>
      <c r="M3059" s="2" t="str">
        <f>IFERROR(__xludf.DUMMYFUNCTION("""COMPUTED_VALUE"""),"NaN")</f>
        <v>NaN</v>
      </c>
    </row>
    <row r="3060">
      <c r="A3060" s="2" t="str">
        <f>IFERROR(__xludf.DUMMYFUNCTION("""COMPUTED_VALUE"""),"For sale")</f>
        <v>For sale</v>
      </c>
      <c r="B3060" s="2" t="str">
        <f>IFERROR(__xludf.DUMMYFUNCTION("""COMPUTED_VALUE"""),"Torņakalns")</f>
        <v>Torņakalns</v>
      </c>
      <c r="C3060" s="2" t="str">
        <f>IFERROR(__xludf.DUMMYFUNCTION("""COMPUTED_VALUE"""),"Olīvu 100")</f>
        <v>Olīvu 100</v>
      </c>
      <c r="D3060" s="2">
        <f>IFERROR(__xludf.DUMMYFUNCTION("""COMPUTED_VALUE"""),2.0)</f>
        <v>2</v>
      </c>
      <c r="E3060" s="2">
        <f>IFERROR(__xludf.DUMMYFUNCTION("""COMPUTED_VALUE"""),43.0)</f>
        <v>43</v>
      </c>
      <c r="F3060" s="2">
        <f>IFERROR(__xludf.DUMMYFUNCTION("""COMPUTED_VALUE"""),1.0)</f>
        <v>1</v>
      </c>
      <c r="G3060" s="2">
        <f>IFERROR(__xludf.DUMMYFUNCTION("""COMPUTED_VALUE"""),1.0)</f>
        <v>1</v>
      </c>
      <c r="H3060" s="2" t="str">
        <f>IFERROR(__xludf.DUMMYFUNCTION("""COMPUTED_VALUE"""),"Specpr.")</f>
        <v>Specpr.</v>
      </c>
      <c r="I3060" s="2" t="str">
        <f>IFERROR(__xludf.DUMMYFUNCTION("""COMPUTED_VALUE"""),"Wood")</f>
        <v>Wood</v>
      </c>
      <c r="J3060" s="2" t="str">
        <f>IFERROR(__xludf.DUMMYFUNCTION("""COMPUTED_VALUE"""),"All amenities")</f>
        <v>All amenities</v>
      </c>
      <c r="K3060" s="2">
        <f>IFERROR(__xludf.DUMMYFUNCTION("""COMPUTED_VALUE"""),17500.0)</f>
        <v>17500</v>
      </c>
      <c r="L3060" s="2">
        <f>IFERROR(__xludf.DUMMYFUNCTION("""COMPUTED_VALUE"""),56.9243824)</f>
        <v>56.9243824</v>
      </c>
      <c r="M3060" s="2">
        <f>IFERROR(__xludf.DUMMYFUNCTION("""COMPUTED_VALUE"""),24.0878904)</f>
        <v>24.0878904</v>
      </c>
    </row>
    <row r="3061">
      <c r="A3061" s="2" t="str">
        <f>IFERROR(__xludf.DUMMYFUNCTION("""COMPUTED_VALUE"""),"For rent")</f>
        <v>For rent</v>
      </c>
      <c r="B3061" s="2" t="str">
        <f>IFERROR(__xludf.DUMMYFUNCTION("""COMPUTED_VALUE"""),"Imanta")</f>
        <v>Imanta</v>
      </c>
      <c r="C3061" s="2" t="str">
        <f>IFERROR(__xludf.DUMMYFUNCTION("""COMPUTED_VALUE"""),"Kurzemes pr. 138")</f>
        <v>Kurzemes pr. 138</v>
      </c>
      <c r="D3061" s="2">
        <f>IFERROR(__xludf.DUMMYFUNCTION("""COMPUTED_VALUE"""),2.0)</f>
        <v>2</v>
      </c>
      <c r="E3061" s="2">
        <f>IFERROR(__xludf.DUMMYFUNCTION("""COMPUTED_VALUE"""),50.0)</f>
        <v>50</v>
      </c>
      <c r="F3061" s="2">
        <f>IFERROR(__xludf.DUMMYFUNCTION("""COMPUTED_VALUE"""),2.0)</f>
        <v>2</v>
      </c>
      <c r="G3061" s="2">
        <f>IFERROR(__xludf.DUMMYFUNCTION("""COMPUTED_VALUE"""),9.0)</f>
        <v>9</v>
      </c>
      <c r="H3061" s="2">
        <f>IFERROR(__xludf.DUMMYFUNCTION("""COMPUTED_VALUE"""),602.0)</f>
        <v>602</v>
      </c>
      <c r="I3061" s="2" t="str">
        <f>IFERROR(__xludf.DUMMYFUNCTION("""COMPUTED_VALUE"""),"Panel")</f>
        <v>Panel</v>
      </c>
      <c r="J3061" s="2" t="str">
        <f>IFERROR(__xludf.DUMMYFUNCTION("""COMPUTED_VALUE"""),"All amenities")</f>
        <v>All amenities</v>
      </c>
      <c r="K3061" s="2">
        <f>IFERROR(__xludf.DUMMYFUNCTION("""COMPUTED_VALUE"""),340.0)</f>
        <v>340</v>
      </c>
      <c r="L3061" s="2" t="str">
        <f>IFERROR(__xludf.DUMMYFUNCTION("""COMPUTED_VALUE"""),"NaN")</f>
        <v>NaN</v>
      </c>
      <c r="M3061" s="2" t="str">
        <f>IFERROR(__xludf.DUMMYFUNCTION("""COMPUTED_VALUE"""),"NaN")</f>
        <v>NaN</v>
      </c>
    </row>
    <row r="3062">
      <c r="A3062" s="2" t="str">
        <f>IFERROR(__xludf.DUMMYFUNCTION("""COMPUTED_VALUE"""),"For rent")</f>
        <v>For rent</v>
      </c>
      <c r="B3062" s="2" t="str">
        <f>IFERROR(__xludf.DUMMYFUNCTION("""COMPUTED_VALUE"""),"Purvciems")</f>
        <v>Purvciems</v>
      </c>
      <c r="C3062" s="2" t="str">
        <f>IFERROR(__xludf.DUMMYFUNCTION("""COMPUTED_VALUE"""),"Braslas 19")</f>
        <v>Braslas 19</v>
      </c>
      <c r="D3062" s="2">
        <f>IFERROR(__xludf.DUMMYFUNCTION("""COMPUTED_VALUE"""),2.0)</f>
        <v>2</v>
      </c>
      <c r="E3062" s="2">
        <f>IFERROR(__xludf.DUMMYFUNCTION("""COMPUTED_VALUE"""),46.0)</f>
        <v>46</v>
      </c>
      <c r="F3062" s="2">
        <f>IFERROR(__xludf.DUMMYFUNCTION("""COMPUTED_VALUE"""),5.0)</f>
        <v>5</v>
      </c>
      <c r="G3062" s="2">
        <f>IFERROR(__xludf.DUMMYFUNCTION("""COMPUTED_VALUE"""),6.0)</f>
        <v>6</v>
      </c>
      <c r="H3062" s="2" t="str">
        <f>IFERROR(__xludf.DUMMYFUNCTION("""COMPUTED_VALUE"""),"Jaun.")</f>
        <v>Jaun.</v>
      </c>
      <c r="I3062" s="2" t="str">
        <f>IFERROR(__xludf.DUMMYFUNCTION("""COMPUTED_VALUE"""),"Masonry")</f>
        <v>Masonry</v>
      </c>
      <c r="J3062" s="2" t="str">
        <f>IFERROR(__xludf.DUMMYFUNCTION("""COMPUTED_VALUE"""),"All amenities")</f>
        <v>All amenities</v>
      </c>
      <c r="K3062" s="2">
        <f>IFERROR(__xludf.DUMMYFUNCTION("""COMPUTED_VALUE"""),380.0)</f>
        <v>380</v>
      </c>
      <c r="L3062" s="2">
        <f>IFERROR(__xludf.DUMMYFUNCTION("""COMPUTED_VALUE"""),56.96374145)</f>
        <v>56.96374145</v>
      </c>
      <c r="M3062" s="2">
        <f>IFERROR(__xludf.DUMMYFUNCTION("""COMPUTED_VALUE"""),24.16575778752)</f>
        <v>24.16575779</v>
      </c>
    </row>
    <row r="3063">
      <c r="A3063" s="2" t="str">
        <f>IFERROR(__xludf.DUMMYFUNCTION("""COMPUTED_VALUE"""),"For rent")</f>
        <v>For rent</v>
      </c>
      <c r="B3063" s="2" t="str">
        <f>IFERROR(__xludf.DUMMYFUNCTION("""COMPUTED_VALUE"""),"centrs")</f>
        <v>centrs</v>
      </c>
      <c r="C3063" s="2" t="str">
        <f>IFERROR(__xludf.DUMMYFUNCTION("""COMPUTED_VALUE"""),"Miera 101")</f>
        <v>Miera 101</v>
      </c>
      <c r="D3063" s="2">
        <f>IFERROR(__xludf.DUMMYFUNCTION("""COMPUTED_VALUE"""),1.0)</f>
        <v>1</v>
      </c>
      <c r="E3063" s="2">
        <f>IFERROR(__xludf.DUMMYFUNCTION("""COMPUTED_VALUE"""),34.0)</f>
        <v>34</v>
      </c>
      <c r="F3063" s="2">
        <f>IFERROR(__xludf.DUMMYFUNCTION("""COMPUTED_VALUE"""),5.0)</f>
        <v>5</v>
      </c>
      <c r="G3063" s="2">
        <f>IFERROR(__xludf.DUMMYFUNCTION("""COMPUTED_VALUE"""),5.0)</f>
        <v>5</v>
      </c>
      <c r="H3063" s="2" t="str">
        <f>IFERROR(__xludf.DUMMYFUNCTION("""COMPUTED_VALUE"""),"P. kara")</f>
        <v>P. kara</v>
      </c>
      <c r="I3063" s="2" t="str">
        <f>IFERROR(__xludf.DUMMYFUNCTION("""COMPUTED_VALUE"""),"Masonry")</f>
        <v>Masonry</v>
      </c>
      <c r="J3063" s="2" t="str">
        <f>IFERROR(__xludf.DUMMYFUNCTION("""COMPUTED_VALUE"""),"All amenities")</f>
        <v>All amenities</v>
      </c>
      <c r="K3063" s="2">
        <f>IFERROR(__xludf.DUMMYFUNCTION("""COMPUTED_VALUE"""),150.0)</f>
        <v>150</v>
      </c>
      <c r="L3063" s="2">
        <f>IFERROR(__xludf.DUMMYFUNCTION("""COMPUTED_VALUE"""),56.9665763)</f>
        <v>56.9665763</v>
      </c>
      <c r="M3063" s="2">
        <f>IFERROR(__xludf.DUMMYFUNCTION("""COMPUTED_VALUE"""),24.1337504)</f>
        <v>24.1337504</v>
      </c>
    </row>
    <row r="3064">
      <c r="A3064" s="2" t="str">
        <f>IFERROR(__xludf.DUMMYFUNCTION("""COMPUTED_VALUE"""),"For sale")</f>
        <v>For sale</v>
      </c>
      <c r="B3064" s="2" t="str">
        <f>IFERROR(__xludf.DUMMYFUNCTION("""COMPUTED_VALUE"""),"centrs")</f>
        <v>centrs</v>
      </c>
      <c r="C3064" s="2" t="str">
        <f>IFERROR(__xludf.DUMMYFUNCTION("""COMPUTED_VALUE"""),"Birznieka-Upīša 13")</f>
        <v>Birznieka-Upīša 13</v>
      </c>
      <c r="D3064" s="2">
        <f>IFERROR(__xludf.DUMMYFUNCTION("""COMPUTED_VALUE"""),3.0)</f>
        <v>3</v>
      </c>
      <c r="E3064" s="2">
        <f>IFERROR(__xludf.DUMMYFUNCTION("""COMPUTED_VALUE"""),121.0)</f>
        <v>121</v>
      </c>
      <c r="F3064" s="2">
        <f>IFERROR(__xludf.DUMMYFUNCTION("""COMPUTED_VALUE"""),1.0)</f>
        <v>1</v>
      </c>
      <c r="G3064" s="2">
        <f>IFERROR(__xludf.DUMMYFUNCTION("""COMPUTED_VALUE"""),7.0)</f>
        <v>7</v>
      </c>
      <c r="H3064" s="2" t="str">
        <f>IFERROR(__xludf.DUMMYFUNCTION("""COMPUTED_VALUE"""),"Jaun.")</f>
        <v>Jaun.</v>
      </c>
      <c r="I3064" s="2" t="str">
        <f>IFERROR(__xludf.DUMMYFUNCTION("""COMPUTED_VALUE"""),"Masonry")</f>
        <v>Masonry</v>
      </c>
      <c r="J3064" s="2" t="str">
        <f>IFERROR(__xludf.DUMMYFUNCTION("""COMPUTED_VALUE"""),"All amenities")</f>
        <v>All amenities</v>
      </c>
      <c r="K3064" s="2">
        <f>IFERROR(__xludf.DUMMYFUNCTION("""COMPUTED_VALUE"""),297000.0)</f>
        <v>297000</v>
      </c>
      <c r="L3064" s="2">
        <f>IFERROR(__xludf.DUMMYFUNCTION("""COMPUTED_VALUE"""),56.9493295)</f>
        <v>56.9493295</v>
      </c>
      <c r="M3064" s="2">
        <f>IFERROR(__xludf.DUMMYFUNCTION("""COMPUTED_VALUE"""),24.1264892056074)</f>
        <v>24.12648921</v>
      </c>
    </row>
    <row r="3065">
      <c r="A3065" s="2" t="str">
        <f>IFERROR(__xludf.DUMMYFUNCTION("""COMPUTED_VALUE"""),"For sale")</f>
        <v>For sale</v>
      </c>
      <c r="B3065" s="2" t="str">
        <f>IFERROR(__xludf.DUMMYFUNCTION("""COMPUTED_VALUE"""),"centrs")</f>
        <v>centrs</v>
      </c>
      <c r="C3065" s="2" t="str">
        <f>IFERROR(__xludf.DUMMYFUNCTION("""COMPUTED_VALUE"""),"Valdemāra 37")</f>
        <v>Valdemāra 37</v>
      </c>
      <c r="D3065" s="2">
        <f>IFERROR(__xludf.DUMMYFUNCTION("""COMPUTED_VALUE"""),3.0)</f>
        <v>3</v>
      </c>
      <c r="E3065" s="2">
        <f>IFERROR(__xludf.DUMMYFUNCTION("""COMPUTED_VALUE"""),78.0)</f>
        <v>78</v>
      </c>
      <c r="F3065" s="2">
        <f>IFERROR(__xludf.DUMMYFUNCTION("""COMPUTED_VALUE"""),5.0)</f>
        <v>5</v>
      </c>
      <c r="G3065" s="2">
        <f>IFERROR(__xludf.DUMMYFUNCTION("""COMPUTED_VALUE"""),6.0)</f>
        <v>6</v>
      </c>
      <c r="H3065" s="2" t="str">
        <f>IFERROR(__xludf.DUMMYFUNCTION("""COMPUTED_VALUE"""),"Renov.")</f>
        <v>Renov.</v>
      </c>
      <c r="I3065" s="2" t="str">
        <f>IFERROR(__xludf.DUMMYFUNCTION("""COMPUTED_VALUE"""),"Brick")</f>
        <v>Brick</v>
      </c>
      <c r="J3065" s="2" t="str">
        <f>IFERROR(__xludf.DUMMYFUNCTION("""COMPUTED_VALUE"""),"All amenities")</f>
        <v>All amenities</v>
      </c>
      <c r="K3065" s="2">
        <f>IFERROR(__xludf.DUMMYFUNCTION("""COMPUTED_VALUE"""),166840.0)</f>
        <v>166840</v>
      </c>
      <c r="L3065" s="2">
        <f>IFERROR(__xludf.DUMMYFUNCTION("""COMPUTED_VALUE"""),56.958482)</f>
        <v>56.958482</v>
      </c>
      <c r="M3065" s="2">
        <f>IFERROR(__xludf.DUMMYFUNCTION("""COMPUTED_VALUE"""),24.116859)</f>
        <v>24.116859</v>
      </c>
    </row>
    <row r="3066">
      <c r="A3066" s="2" t="str">
        <f>IFERROR(__xludf.DUMMYFUNCTION("""COMPUTED_VALUE"""),"For sale")</f>
        <v>For sale</v>
      </c>
      <c r="B3066" s="2" t="str">
        <f>IFERROR(__xludf.DUMMYFUNCTION("""COMPUTED_VALUE"""),"Bolderāja")</f>
        <v>Bolderāja</v>
      </c>
      <c r="C3066" s="2" t="str">
        <f>IFERROR(__xludf.DUMMYFUNCTION("""COMPUTED_VALUE"""),"Silikātu 4")</f>
        <v>Silikātu 4</v>
      </c>
      <c r="D3066" s="2">
        <f>IFERROR(__xludf.DUMMYFUNCTION("""COMPUTED_VALUE"""),4.0)</f>
        <v>4</v>
      </c>
      <c r="E3066" s="2">
        <f>IFERROR(__xludf.DUMMYFUNCTION("""COMPUTED_VALUE"""),101.0)</f>
        <v>101</v>
      </c>
      <c r="F3066" s="2">
        <f>IFERROR(__xludf.DUMMYFUNCTION("""COMPUTED_VALUE"""),3.0)</f>
        <v>3</v>
      </c>
      <c r="G3066" s="2">
        <f>IFERROR(__xludf.DUMMYFUNCTION("""COMPUTED_VALUE"""),3.0)</f>
        <v>3</v>
      </c>
      <c r="H3066" s="2" t="str">
        <f>IFERROR(__xludf.DUMMYFUNCTION("""COMPUTED_VALUE"""),"Staļina")</f>
        <v>Staļina</v>
      </c>
      <c r="I3066" s="2" t="str">
        <f>IFERROR(__xludf.DUMMYFUNCTION("""COMPUTED_VALUE"""),"Brick")</f>
        <v>Brick</v>
      </c>
      <c r="J3066" s="2" t="str">
        <f>IFERROR(__xludf.DUMMYFUNCTION("""COMPUTED_VALUE"""),"All amenities")</f>
        <v>All amenities</v>
      </c>
      <c r="K3066" s="2">
        <f>IFERROR(__xludf.DUMMYFUNCTION("""COMPUTED_VALUE"""),80000.0)</f>
        <v>80000</v>
      </c>
      <c r="L3066" s="2">
        <f>IFERROR(__xludf.DUMMYFUNCTION("""COMPUTED_VALUE"""),57.0277908)</f>
        <v>57.0277908</v>
      </c>
      <c r="M3066" s="2">
        <f>IFERROR(__xludf.DUMMYFUNCTION("""COMPUTED_VALUE"""),24.0429215309859)</f>
        <v>24.04292153</v>
      </c>
    </row>
    <row r="3067">
      <c r="A3067" s="2" t="str">
        <f>IFERROR(__xludf.DUMMYFUNCTION("""COMPUTED_VALUE"""),"For sale")</f>
        <v>For sale</v>
      </c>
      <c r="B3067" s="2" t="str">
        <f>IFERROR(__xludf.DUMMYFUNCTION("""COMPUTED_VALUE"""),"Pļavnieki")</f>
        <v>Pļavnieki</v>
      </c>
      <c r="C3067" s="2" t="str">
        <f>IFERROR(__xludf.DUMMYFUNCTION("""COMPUTED_VALUE"""),"Salnas 32")</f>
        <v>Salnas 32</v>
      </c>
      <c r="D3067" s="2">
        <f>IFERROR(__xludf.DUMMYFUNCTION("""COMPUTED_VALUE"""),1.0)</f>
        <v>1</v>
      </c>
      <c r="E3067" s="2">
        <f>IFERROR(__xludf.DUMMYFUNCTION("""COMPUTED_VALUE"""),34.0)</f>
        <v>34</v>
      </c>
      <c r="F3067" s="2">
        <f>IFERROR(__xludf.DUMMYFUNCTION("""COMPUTED_VALUE"""),2.0)</f>
        <v>2</v>
      </c>
      <c r="G3067" s="2">
        <f>IFERROR(__xludf.DUMMYFUNCTION("""COMPUTED_VALUE"""),9.0)</f>
        <v>9</v>
      </c>
      <c r="H3067" s="2">
        <f>IFERROR(__xludf.DUMMYFUNCTION("""COMPUTED_VALUE"""),602.0)</f>
        <v>602</v>
      </c>
      <c r="I3067" s="2" t="str">
        <f>IFERROR(__xludf.DUMMYFUNCTION("""COMPUTED_VALUE"""),"Panel")</f>
        <v>Panel</v>
      </c>
      <c r="J3067" s="2" t="str">
        <f>IFERROR(__xludf.DUMMYFUNCTION("""COMPUTED_VALUE"""),"All amenities")</f>
        <v>All amenities</v>
      </c>
      <c r="K3067" s="2">
        <f>IFERROR(__xludf.DUMMYFUNCTION("""COMPUTED_VALUE"""),31000.0)</f>
        <v>31000</v>
      </c>
      <c r="L3067" s="2">
        <f>IFERROR(__xludf.DUMMYFUNCTION("""COMPUTED_VALUE"""),56.94192195)</f>
        <v>56.94192195</v>
      </c>
      <c r="M3067" s="2">
        <f>IFERROR(__xludf.DUMMYFUNCTION("""COMPUTED_VALUE"""),24.2280812053247)</f>
        <v>24.22808121</v>
      </c>
    </row>
    <row r="3068">
      <c r="A3068" s="2" t="str">
        <f>IFERROR(__xludf.DUMMYFUNCTION("""COMPUTED_VALUE"""),"For rent")</f>
        <v>For rent</v>
      </c>
      <c r="B3068" s="2" t="str">
        <f>IFERROR(__xludf.DUMMYFUNCTION("""COMPUTED_VALUE"""),"Sarkandaugava")</f>
        <v>Sarkandaugava</v>
      </c>
      <c r="C3068" s="2" t="str">
        <f>IFERROR(__xludf.DUMMYFUNCTION("""COMPUTED_VALUE"""),"Hāpsalas 5")</f>
        <v>Hāpsalas 5</v>
      </c>
      <c r="D3068" s="2">
        <f>IFERROR(__xludf.DUMMYFUNCTION("""COMPUTED_VALUE"""),1.0)</f>
        <v>1</v>
      </c>
      <c r="E3068" s="2">
        <f>IFERROR(__xludf.DUMMYFUNCTION("""COMPUTED_VALUE"""),19.0)</f>
        <v>19</v>
      </c>
      <c r="F3068" s="2">
        <f>IFERROR(__xludf.DUMMYFUNCTION("""COMPUTED_VALUE"""),5.0)</f>
        <v>5</v>
      </c>
      <c r="G3068" s="2">
        <f>IFERROR(__xludf.DUMMYFUNCTION("""COMPUTED_VALUE"""),5.0)</f>
        <v>5</v>
      </c>
      <c r="H3068" s="2" t="str">
        <f>IFERROR(__xludf.DUMMYFUNCTION("""COMPUTED_VALUE"""),"M. ģim.")</f>
        <v>M. ģim.</v>
      </c>
      <c r="I3068" s="2" t="str">
        <f>IFERROR(__xludf.DUMMYFUNCTION("""COMPUTED_VALUE"""),"Brick")</f>
        <v>Brick</v>
      </c>
      <c r="J3068" s="2" t="str">
        <f>IFERROR(__xludf.DUMMYFUNCTION("""COMPUTED_VALUE"""),"All amenities")</f>
        <v>All amenities</v>
      </c>
      <c r="K3068" s="2">
        <f>IFERROR(__xludf.DUMMYFUNCTION("""COMPUTED_VALUE"""),120.0)</f>
        <v>120</v>
      </c>
      <c r="L3068" s="2">
        <f>IFERROR(__xludf.DUMMYFUNCTION("""COMPUTED_VALUE"""),57.000974)</f>
        <v>57.000974</v>
      </c>
      <c r="M3068" s="2">
        <f>IFERROR(__xludf.DUMMYFUNCTION("""COMPUTED_VALUE"""),24.12127055)</f>
        <v>24.12127055</v>
      </c>
    </row>
    <row r="3069">
      <c r="A3069" s="2" t="str">
        <f>IFERROR(__xludf.DUMMYFUNCTION("""COMPUTED_VALUE"""),"For sale")</f>
        <v>For sale</v>
      </c>
      <c r="B3069" s="2" t="str">
        <f>IFERROR(__xludf.DUMMYFUNCTION("""COMPUTED_VALUE"""),"Dārzciems")</f>
        <v>Dārzciems</v>
      </c>
      <c r="C3069" s="2" t="str">
        <f>IFERROR(__xludf.DUMMYFUNCTION("""COMPUTED_VALUE"""),"Stopiņu 14")</f>
        <v>Stopiņu 14</v>
      </c>
      <c r="D3069" s="2">
        <f>IFERROR(__xludf.DUMMYFUNCTION("""COMPUTED_VALUE"""),1.0)</f>
        <v>1</v>
      </c>
      <c r="E3069" s="2">
        <f>IFERROR(__xludf.DUMMYFUNCTION("""COMPUTED_VALUE"""),37.0)</f>
        <v>37</v>
      </c>
      <c r="F3069" s="2">
        <f>IFERROR(__xludf.DUMMYFUNCTION("""COMPUTED_VALUE"""),3.0)</f>
        <v>3</v>
      </c>
      <c r="G3069" s="2">
        <f>IFERROR(__xludf.DUMMYFUNCTION("""COMPUTED_VALUE"""),5.0)</f>
        <v>5</v>
      </c>
      <c r="H3069" s="2" t="str">
        <f>IFERROR(__xludf.DUMMYFUNCTION("""COMPUTED_VALUE"""),"Jaun.")</f>
        <v>Jaun.</v>
      </c>
      <c r="I3069" s="2" t="str">
        <f>IFERROR(__xludf.DUMMYFUNCTION("""COMPUTED_VALUE"""),"Masonry")</f>
        <v>Masonry</v>
      </c>
      <c r="J3069" s="2" t="str">
        <f>IFERROR(__xludf.DUMMYFUNCTION("""COMPUTED_VALUE"""),"All amenities")</f>
        <v>All amenities</v>
      </c>
      <c r="K3069" s="2">
        <f>IFERROR(__xludf.DUMMYFUNCTION("""COMPUTED_VALUE"""),49500.0)</f>
        <v>49500</v>
      </c>
      <c r="L3069" s="2">
        <f>IFERROR(__xludf.DUMMYFUNCTION("""COMPUTED_VALUE"""),56.9485064)</f>
        <v>56.9485064</v>
      </c>
      <c r="M3069" s="2">
        <f>IFERROR(__xludf.DUMMYFUNCTION("""COMPUTED_VALUE"""),24.1696077537097)</f>
        <v>24.16960775</v>
      </c>
    </row>
    <row r="3070">
      <c r="A3070" s="2" t="str">
        <f>IFERROR(__xludf.DUMMYFUNCTION("""COMPUTED_VALUE"""),"For sale")</f>
        <v>For sale</v>
      </c>
      <c r="B3070" s="2" t="str">
        <f>IFERROR(__xludf.DUMMYFUNCTION("""COMPUTED_VALUE"""),"Dārzciems")</f>
        <v>Dārzciems</v>
      </c>
      <c r="C3070" s="2" t="str">
        <f>IFERROR(__xludf.DUMMYFUNCTION("""COMPUTED_VALUE"""),"Stopiņu 14")</f>
        <v>Stopiņu 14</v>
      </c>
      <c r="D3070" s="2">
        <f>IFERROR(__xludf.DUMMYFUNCTION("""COMPUTED_VALUE"""),3.0)</f>
        <v>3</v>
      </c>
      <c r="E3070" s="2">
        <f>IFERROR(__xludf.DUMMYFUNCTION("""COMPUTED_VALUE"""),82.0)</f>
        <v>82</v>
      </c>
      <c r="F3070" s="2">
        <f>IFERROR(__xludf.DUMMYFUNCTION("""COMPUTED_VALUE"""),1.0)</f>
        <v>1</v>
      </c>
      <c r="G3070" s="2">
        <f>IFERROR(__xludf.DUMMYFUNCTION("""COMPUTED_VALUE"""),5.0)</f>
        <v>5</v>
      </c>
      <c r="H3070" s="2" t="str">
        <f>IFERROR(__xludf.DUMMYFUNCTION("""COMPUTED_VALUE"""),"Jaun.")</f>
        <v>Jaun.</v>
      </c>
      <c r="I3070" s="2" t="str">
        <f>IFERROR(__xludf.DUMMYFUNCTION("""COMPUTED_VALUE"""),"Masonry")</f>
        <v>Masonry</v>
      </c>
      <c r="J3070" s="2" t="str">
        <f>IFERROR(__xludf.DUMMYFUNCTION("""COMPUTED_VALUE"""),"All amenities")</f>
        <v>All amenities</v>
      </c>
      <c r="K3070" s="2">
        <f>IFERROR(__xludf.DUMMYFUNCTION("""COMPUTED_VALUE"""),95000.0)</f>
        <v>95000</v>
      </c>
      <c r="L3070" s="2">
        <f>IFERROR(__xludf.DUMMYFUNCTION("""COMPUTED_VALUE"""),56.9485064)</f>
        <v>56.9485064</v>
      </c>
      <c r="M3070" s="2">
        <f>IFERROR(__xludf.DUMMYFUNCTION("""COMPUTED_VALUE"""),24.1696077537097)</f>
        <v>24.16960775</v>
      </c>
    </row>
    <row r="3071">
      <c r="A3071" s="2" t="str">
        <f>IFERROR(__xludf.DUMMYFUNCTION("""COMPUTED_VALUE"""),"For rent")</f>
        <v>For rent</v>
      </c>
      <c r="B3071" s="2" t="str">
        <f>IFERROR(__xludf.DUMMYFUNCTION("""COMPUTED_VALUE"""),"centrs")</f>
        <v>centrs</v>
      </c>
      <c r="C3071" s="2" t="str">
        <f>IFERROR(__xludf.DUMMYFUNCTION("""COMPUTED_VALUE"""),"Republikas laukums 3")</f>
        <v>Republikas laukums 3</v>
      </c>
      <c r="D3071" s="2">
        <f>IFERROR(__xludf.DUMMYFUNCTION("""COMPUTED_VALUE"""),3.0)</f>
        <v>3</v>
      </c>
      <c r="E3071" s="2">
        <f>IFERROR(__xludf.DUMMYFUNCTION("""COMPUTED_VALUE"""),106.0)</f>
        <v>106</v>
      </c>
      <c r="F3071" s="2">
        <f>IFERROR(__xludf.DUMMYFUNCTION("""COMPUTED_VALUE"""),3.0)</f>
        <v>3</v>
      </c>
      <c r="G3071" s="2">
        <f>IFERROR(__xludf.DUMMYFUNCTION("""COMPUTED_VALUE"""),8.0)</f>
        <v>8</v>
      </c>
      <c r="H3071" s="2" t="str">
        <f>IFERROR(__xludf.DUMMYFUNCTION("""COMPUTED_VALUE"""),"Jaun.")</f>
        <v>Jaun.</v>
      </c>
      <c r="I3071" s="2" t="str">
        <f>IFERROR(__xludf.DUMMYFUNCTION("""COMPUTED_VALUE"""),"Masonry")</f>
        <v>Masonry</v>
      </c>
      <c r="J3071" s="2" t="str">
        <f>IFERROR(__xludf.DUMMYFUNCTION("""COMPUTED_VALUE"""),"All amenities")</f>
        <v>All amenities</v>
      </c>
      <c r="K3071" s="2">
        <f>IFERROR(__xludf.DUMMYFUNCTION("""COMPUTED_VALUE"""),1200.0)</f>
        <v>1200</v>
      </c>
      <c r="L3071" s="2">
        <f>IFERROR(__xludf.DUMMYFUNCTION("""COMPUTED_VALUE"""),56.9552522)</f>
        <v>56.9552522</v>
      </c>
      <c r="M3071" s="2">
        <f>IFERROR(__xludf.DUMMYFUNCTION("""COMPUTED_VALUE"""),24.0999991251943)</f>
        <v>24.09999913</v>
      </c>
    </row>
    <row r="3072">
      <c r="A3072" s="2" t="str">
        <f>IFERROR(__xludf.DUMMYFUNCTION("""COMPUTED_VALUE"""),"For sale")</f>
        <v>For sale</v>
      </c>
      <c r="B3072" s="2" t="str">
        <f>IFERROR(__xludf.DUMMYFUNCTION("""COMPUTED_VALUE"""),"Āgenskalns")</f>
        <v>Āgenskalns</v>
      </c>
      <c r="C3072" s="2" t="str">
        <f>IFERROR(__xludf.DUMMYFUNCTION("""COMPUTED_VALUE"""),"Kuldīgas 32")</f>
        <v>Kuldīgas 32</v>
      </c>
      <c r="D3072" s="2">
        <f>IFERROR(__xludf.DUMMYFUNCTION("""COMPUTED_VALUE"""),2.0)</f>
        <v>2</v>
      </c>
      <c r="E3072" s="2">
        <f>IFERROR(__xludf.DUMMYFUNCTION("""COMPUTED_VALUE"""),49.0)</f>
        <v>49</v>
      </c>
      <c r="F3072" s="2">
        <f>IFERROR(__xludf.DUMMYFUNCTION("""COMPUTED_VALUE"""),4.0)</f>
        <v>4</v>
      </c>
      <c r="G3072" s="2">
        <f>IFERROR(__xludf.DUMMYFUNCTION("""COMPUTED_VALUE"""),4.0)</f>
        <v>4</v>
      </c>
      <c r="H3072" s="2" t="str">
        <f>IFERROR(__xludf.DUMMYFUNCTION("""COMPUTED_VALUE"""),"Renov.")</f>
        <v>Renov.</v>
      </c>
      <c r="I3072" s="2" t="str">
        <f>IFERROR(__xludf.DUMMYFUNCTION("""COMPUTED_VALUE"""),"Masonry")</f>
        <v>Masonry</v>
      </c>
      <c r="J3072" s="2" t="str">
        <f>IFERROR(__xludf.DUMMYFUNCTION("""COMPUTED_VALUE"""),"All amenities")</f>
        <v>All amenities</v>
      </c>
      <c r="K3072" s="2">
        <f>IFERROR(__xludf.DUMMYFUNCTION("""COMPUTED_VALUE"""),59000.0)</f>
        <v>59000</v>
      </c>
      <c r="L3072" s="2">
        <f>IFERROR(__xludf.DUMMYFUNCTION("""COMPUTED_VALUE"""),56.9474705)</f>
        <v>56.9474705</v>
      </c>
      <c r="M3072" s="2">
        <f>IFERROR(__xludf.DUMMYFUNCTION("""COMPUTED_VALUE"""),24.0604076)</f>
        <v>24.0604076</v>
      </c>
    </row>
    <row r="3073">
      <c r="A3073" s="2" t="str">
        <f>IFERROR(__xludf.DUMMYFUNCTION("""COMPUTED_VALUE"""),"For rent")</f>
        <v>For rent</v>
      </c>
      <c r="B3073" s="2" t="str">
        <f>IFERROR(__xludf.DUMMYFUNCTION("""COMPUTED_VALUE"""),"Purvciems")</f>
        <v>Purvciems</v>
      </c>
      <c r="C3073" s="2" t="str">
        <f>IFERROR(__xludf.DUMMYFUNCTION("""COMPUTED_VALUE"""),"Dzelzavas 38")</f>
        <v>Dzelzavas 38</v>
      </c>
      <c r="D3073" s="2">
        <f>IFERROR(__xludf.DUMMYFUNCTION("""COMPUTED_VALUE"""),1.0)</f>
        <v>1</v>
      </c>
      <c r="E3073" s="2">
        <f>IFERROR(__xludf.DUMMYFUNCTION("""COMPUTED_VALUE"""),48.0)</f>
        <v>48</v>
      </c>
      <c r="F3073" s="2">
        <f>IFERROR(__xludf.DUMMYFUNCTION("""COMPUTED_VALUE"""),2.0)</f>
        <v>2</v>
      </c>
      <c r="G3073" s="2">
        <f>IFERROR(__xludf.DUMMYFUNCTION("""COMPUTED_VALUE"""),12.0)</f>
        <v>12</v>
      </c>
      <c r="H3073" s="2">
        <f>IFERROR(__xludf.DUMMYFUNCTION("""COMPUTED_VALUE"""),104.0)</f>
        <v>104</v>
      </c>
      <c r="I3073" s="2" t="str">
        <f>IFERROR(__xludf.DUMMYFUNCTION("""COMPUTED_VALUE"""),"Panel")</f>
        <v>Panel</v>
      </c>
      <c r="J3073" s="2" t="str">
        <f>IFERROR(__xludf.DUMMYFUNCTION("""COMPUTED_VALUE"""),"All amenities")</f>
        <v>All amenities</v>
      </c>
      <c r="K3073" s="2">
        <f>IFERROR(__xludf.DUMMYFUNCTION("""COMPUTED_VALUE"""),280.0)</f>
        <v>280</v>
      </c>
      <c r="L3073" s="2">
        <f>IFERROR(__xludf.DUMMYFUNCTION("""COMPUTED_VALUE"""),56.9583699)</f>
        <v>56.9583699</v>
      </c>
      <c r="M3073" s="2">
        <f>IFERROR(__xludf.DUMMYFUNCTION("""COMPUTED_VALUE"""),24.1789809)</f>
        <v>24.1789809</v>
      </c>
    </row>
    <row r="3074">
      <c r="A3074" s="2" t="str">
        <f>IFERROR(__xludf.DUMMYFUNCTION("""COMPUTED_VALUE"""),"For rent")</f>
        <v>For rent</v>
      </c>
      <c r="B3074" s="2" t="str">
        <f>IFERROR(__xludf.DUMMYFUNCTION("""COMPUTED_VALUE"""),"centrs")</f>
        <v>centrs</v>
      </c>
      <c r="C3074" s="2" t="str">
        <f>IFERROR(__xludf.DUMMYFUNCTION("""COMPUTED_VALUE"""),"Matīsa 42")</f>
        <v>Matīsa 42</v>
      </c>
      <c r="D3074" s="2" t="str">
        <f>IFERROR(__xludf.DUMMYFUNCTION("""COMPUTED_VALUE"""),"Citi")</f>
        <v>Citi</v>
      </c>
      <c r="E3074" s="2">
        <f>IFERROR(__xludf.DUMMYFUNCTION("""COMPUTED_VALUE"""),20.0)</f>
        <v>20</v>
      </c>
      <c r="F3074" s="2">
        <f>IFERROR(__xludf.DUMMYFUNCTION("""COMPUTED_VALUE"""),5.0)</f>
        <v>5</v>
      </c>
      <c r="G3074" s="2">
        <f>IFERROR(__xludf.DUMMYFUNCTION("""COMPUTED_VALUE"""),5.0)</f>
        <v>5</v>
      </c>
      <c r="H3074" s="2" t="str">
        <f>IFERROR(__xludf.DUMMYFUNCTION("""COMPUTED_VALUE"""),"P. kara")</f>
        <v>P. kara</v>
      </c>
      <c r="I3074" s="2" t="str">
        <f>IFERROR(__xludf.DUMMYFUNCTION("""COMPUTED_VALUE"""),"Brick")</f>
        <v>Brick</v>
      </c>
      <c r="J3074" s="2" t="str">
        <f>IFERROR(__xludf.DUMMYFUNCTION("""COMPUTED_VALUE"""),"All amenities")</f>
        <v>All amenities</v>
      </c>
      <c r="K3074" s="2">
        <f>IFERROR(__xludf.DUMMYFUNCTION("""COMPUTED_VALUE"""),135.0)</f>
        <v>135</v>
      </c>
      <c r="L3074" s="2">
        <f>IFERROR(__xludf.DUMMYFUNCTION("""COMPUTED_VALUE"""),56.9551881)</f>
        <v>56.9551881</v>
      </c>
      <c r="M3074" s="2">
        <f>IFERROR(__xludf.DUMMYFUNCTION("""COMPUTED_VALUE"""),24.1370161)</f>
        <v>24.1370161</v>
      </c>
    </row>
    <row r="3075">
      <c r="A3075" s="2" t="str">
        <f>IFERROR(__xludf.DUMMYFUNCTION("""COMPUTED_VALUE"""),"For sale")</f>
        <v>For sale</v>
      </c>
      <c r="B3075" s="2" t="str">
        <f>IFERROR(__xludf.DUMMYFUNCTION("""COMPUTED_VALUE"""),"Ķengarags")</f>
        <v>Ķengarags</v>
      </c>
      <c r="C3075" s="2" t="str">
        <f>IFERROR(__xludf.DUMMYFUNCTION("""COMPUTED_VALUE"""),"Lokomotīves 44")</f>
        <v>Lokomotīves 44</v>
      </c>
      <c r="D3075" s="2">
        <f>IFERROR(__xludf.DUMMYFUNCTION("""COMPUTED_VALUE"""),2.0)</f>
        <v>2</v>
      </c>
      <c r="E3075" s="2">
        <f>IFERROR(__xludf.DUMMYFUNCTION("""COMPUTED_VALUE"""),50.0)</f>
        <v>50</v>
      </c>
      <c r="F3075" s="2">
        <f>IFERROR(__xludf.DUMMYFUNCTION("""COMPUTED_VALUE"""),1.0)</f>
        <v>1</v>
      </c>
      <c r="G3075" s="2">
        <f>IFERROR(__xludf.DUMMYFUNCTION("""COMPUTED_VALUE"""),5.0)</f>
        <v>5</v>
      </c>
      <c r="H3075" s="2" t="str">
        <f>IFERROR(__xludf.DUMMYFUNCTION("""COMPUTED_VALUE"""),"LT proj.")</f>
        <v>LT proj.</v>
      </c>
      <c r="I3075" s="2" t="str">
        <f>IFERROR(__xludf.DUMMYFUNCTION("""COMPUTED_VALUE"""),"Panel")</f>
        <v>Panel</v>
      </c>
      <c r="J3075" s="2" t="str">
        <f>IFERROR(__xludf.DUMMYFUNCTION("""COMPUTED_VALUE"""),"All amenities")</f>
        <v>All amenities</v>
      </c>
      <c r="K3075" s="2">
        <f>IFERROR(__xludf.DUMMYFUNCTION("""COMPUTED_VALUE"""),33000.0)</f>
        <v>33000</v>
      </c>
      <c r="L3075" s="2">
        <f>IFERROR(__xludf.DUMMYFUNCTION("""COMPUTED_VALUE"""),56.9099260499999)</f>
        <v>56.90992605</v>
      </c>
      <c r="M3075" s="2">
        <f>IFERROR(__xludf.DUMMYFUNCTION("""COMPUTED_VALUE"""),24.1985565266479)</f>
        <v>24.19855653</v>
      </c>
    </row>
    <row r="3076">
      <c r="A3076" s="2" t="str">
        <f>IFERROR(__xludf.DUMMYFUNCTION("""COMPUTED_VALUE"""),"For sale")</f>
        <v>For sale</v>
      </c>
      <c r="B3076" s="2" t="str">
        <f>IFERROR(__xludf.DUMMYFUNCTION("""COMPUTED_VALUE"""),"centrs")</f>
        <v>centrs</v>
      </c>
      <c r="C3076" s="2" t="str">
        <f>IFERROR(__xludf.DUMMYFUNCTION("""COMPUTED_VALUE"""),"Pērnavas 21")</f>
        <v>Pērnavas 21</v>
      </c>
      <c r="D3076" s="2">
        <f>IFERROR(__xludf.DUMMYFUNCTION("""COMPUTED_VALUE"""),3.0)</f>
        <v>3</v>
      </c>
      <c r="E3076" s="2">
        <f>IFERROR(__xludf.DUMMYFUNCTION("""COMPUTED_VALUE"""),86.0)</f>
        <v>86</v>
      </c>
      <c r="F3076" s="2">
        <f>IFERROR(__xludf.DUMMYFUNCTION("""COMPUTED_VALUE"""),6.0)</f>
        <v>6</v>
      </c>
      <c r="G3076" s="2">
        <f>IFERROR(__xludf.DUMMYFUNCTION("""COMPUTED_VALUE"""),6.0)</f>
        <v>6</v>
      </c>
      <c r="H3076" s="2" t="str">
        <f>IFERROR(__xludf.DUMMYFUNCTION("""COMPUTED_VALUE"""),"P. kara")</f>
        <v>P. kara</v>
      </c>
      <c r="I3076" s="2" t="str">
        <f>IFERROR(__xludf.DUMMYFUNCTION("""COMPUTED_VALUE"""),"Brick-Panel")</f>
        <v>Brick-Panel</v>
      </c>
      <c r="J3076" s="2" t="str">
        <f>IFERROR(__xludf.DUMMYFUNCTION("""COMPUTED_VALUE"""),"All amenities")</f>
        <v>All amenities</v>
      </c>
      <c r="K3076" s="2">
        <f>IFERROR(__xludf.DUMMYFUNCTION("""COMPUTED_VALUE"""),88000.0)</f>
        <v>88000</v>
      </c>
      <c r="L3076" s="2">
        <f>IFERROR(__xludf.DUMMYFUNCTION("""COMPUTED_VALUE"""),56.9625058)</f>
        <v>56.9625058</v>
      </c>
      <c r="M3076" s="2">
        <f>IFERROR(__xludf.DUMMYFUNCTION("""COMPUTED_VALUE"""),24.1514395764121)</f>
        <v>24.15143958</v>
      </c>
    </row>
    <row r="3077">
      <c r="A3077" s="2" t="str">
        <f>IFERROR(__xludf.DUMMYFUNCTION("""COMPUTED_VALUE"""),"For sale")</f>
        <v>For sale</v>
      </c>
      <c r="B3077" s="2" t="str">
        <f>IFERROR(__xludf.DUMMYFUNCTION("""COMPUTED_VALUE"""),"Jugla")</f>
        <v>Jugla</v>
      </c>
      <c r="C3077" s="2" t="str">
        <f>IFERROR(__xludf.DUMMYFUNCTION("""COMPUTED_VALUE"""),"Juglas 2e")</f>
        <v>Juglas 2e</v>
      </c>
      <c r="D3077" s="2">
        <f>IFERROR(__xludf.DUMMYFUNCTION("""COMPUTED_VALUE"""),2.0)</f>
        <v>2</v>
      </c>
      <c r="E3077" s="2">
        <f>IFERROR(__xludf.DUMMYFUNCTION("""COMPUTED_VALUE"""),53.0)</f>
        <v>53</v>
      </c>
      <c r="F3077" s="2">
        <f>IFERROR(__xludf.DUMMYFUNCTION("""COMPUTED_VALUE"""),2.0)</f>
        <v>2</v>
      </c>
      <c r="G3077" s="2">
        <f>IFERROR(__xludf.DUMMYFUNCTION("""COMPUTED_VALUE"""),6.0)</f>
        <v>6</v>
      </c>
      <c r="H3077" s="2" t="str">
        <f>IFERROR(__xludf.DUMMYFUNCTION("""COMPUTED_VALUE"""),"Specpr.")</f>
        <v>Specpr.</v>
      </c>
      <c r="I3077" s="2" t="str">
        <f>IFERROR(__xludf.DUMMYFUNCTION("""COMPUTED_VALUE"""),"Brick")</f>
        <v>Brick</v>
      </c>
      <c r="J3077" s="2" t="str">
        <f>IFERROR(__xludf.DUMMYFUNCTION("""COMPUTED_VALUE"""),"All amenities")</f>
        <v>All amenities</v>
      </c>
      <c r="K3077" s="2">
        <f>IFERROR(__xludf.DUMMYFUNCTION("""COMPUTED_VALUE"""),63700.0)</f>
        <v>63700</v>
      </c>
      <c r="L3077" s="2">
        <f>IFERROR(__xludf.DUMMYFUNCTION("""COMPUTED_VALUE"""),56.9888182)</f>
        <v>56.9888182</v>
      </c>
      <c r="M3077" s="2">
        <f>IFERROR(__xludf.DUMMYFUNCTION("""COMPUTED_VALUE"""),24.2464041853389)</f>
        <v>24.24640419</v>
      </c>
    </row>
    <row r="3078">
      <c r="A3078" s="2" t="str">
        <f>IFERROR(__xludf.DUMMYFUNCTION("""COMPUTED_VALUE"""),"For sale")</f>
        <v>For sale</v>
      </c>
      <c r="B3078" s="2" t="str">
        <f>IFERROR(__xludf.DUMMYFUNCTION("""COMPUTED_VALUE"""),"Purvciems")</f>
        <v>Purvciems</v>
      </c>
      <c r="C3078" s="2" t="str">
        <f>IFERROR(__xludf.DUMMYFUNCTION("""COMPUTED_VALUE"""),"Raunas 15a")</f>
        <v>Raunas 15a</v>
      </c>
      <c r="D3078" s="2">
        <f>IFERROR(__xludf.DUMMYFUNCTION("""COMPUTED_VALUE"""),3.0)</f>
        <v>3</v>
      </c>
      <c r="E3078" s="2">
        <f>IFERROR(__xludf.DUMMYFUNCTION("""COMPUTED_VALUE"""),65.0)</f>
        <v>65</v>
      </c>
      <c r="F3078" s="2">
        <f>IFERROR(__xludf.DUMMYFUNCTION("""COMPUTED_VALUE"""),3.0)</f>
        <v>3</v>
      </c>
      <c r="G3078" s="2">
        <f>IFERROR(__xludf.DUMMYFUNCTION("""COMPUTED_VALUE"""),3.0)</f>
        <v>3</v>
      </c>
      <c r="H3078" s="2" t="str">
        <f>IFERROR(__xludf.DUMMYFUNCTION("""COMPUTED_VALUE"""),"Renov.")</f>
        <v>Renov.</v>
      </c>
      <c r="I3078" s="2" t="str">
        <f>IFERROR(__xludf.DUMMYFUNCTION("""COMPUTED_VALUE"""),"Brick-Panel")</f>
        <v>Brick-Panel</v>
      </c>
      <c r="J3078" s="2" t="str">
        <f>IFERROR(__xludf.DUMMYFUNCTION("""COMPUTED_VALUE"""),"All amenities")</f>
        <v>All amenities</v>
      </c>
      <c r="K3078" s="2">
        <f>IFERROR(__xludf.DUMMYFUNCTION("""COMPUTED_VALUE"""),129000.0)</f>
        <v>129000</v>
      </c>
      <c r="L3078" s="2">
        <f>IFERROR(__xludf.DUMMYFUNCTION("""COMPUTED_VALUE"""),56.9676199)</f>
        <v>56.9676199</v>
      </c>
      <c r="M3078" s="2">
        <f>IFERROR(__xludf.DUMMYFUNCTION("""COMPUTED_VALUE"""),24.1852575)</f>
        <v>24.1852575</v>
      </c>
    </row>
    <row r="3079">
      <c r="A3079" s="2" t="str">
        <f>IFERROR(__xludf.DUMMYFUNCTION("""COMPUTED_VALUE"""),"For sale")</f>
        <v>For sale</v>
      </c>
      <c r="B3079" s="2" t="str">
        <f>IFERROR(__xludf.DUMMYFUNCTION("""COMPUTED_VALUE"""),"Teika")</f>
        <v>Teika</v>
      </c>
      <c r="C3079" s="2" t="str">
        <f>IFERROR(__xludf.DUMMYFUNCTION("""COMPUTED_VALUE"""),"Vairoga 32")</f>
        <v>Vairoga 32</v>
      </c>
      <c r="D3079" s="2">
        <f>IFERROR(__xludf.DUMMYFUNCTION("""COMPUTED_VALUE"""),3.0)</f>
        <v>3</v>
      </c>
      <c r="E3079" s="2">
        <f>IFERROR(__xludf.DUMMYFUNCTION("""COMPUTED_VALUE"""),65.0)</f>
        <v>65</v>
      </c>
      <c r="F3079" s="2">
        <f>IFERROR(__xludf.DUMMYFUNCTION("""COMPUTED_VALUE"""),3.0)</f>
        <v>3</v>
      </c>
      <c r="G3079" s="2">
        <f>IFERROR(__xludf.DUMMYFUNCTION("""COMPUTED_VALUE"""),3.0)</f>
        <v>3</v>
      </c>
      <c r="H3079" s="2" t="str">
        <f>IFERROR(__xludf.DUMMYFUNCTION("""COMPUTED_VALUE"""),"Renov.")</f>
        <v>Renov.</v>
      </c>
      <c r="I3079" s="2" t="str">
        <f>IFERROR(__xludf.DUMMYFUNCTION("""COMPUTED_VALUE"""),"Brick-Panel")</f>
        <v>Brick-Panel</v>
      </c>
      <c r="J3079" s="2" t="str">
        <f>IFERROR(__xludf.DUMMYFUNCTION("""COMPUTED_VALUE"""),"All amenities")</f>
        <v>All amenities</v>
      </c>
      <c r="K3079" s="2">
        <f>IFERROR(__xludf.DUMMYFUNCTION("""COMPUTED_VALUE"""),129000.0)</f>
        <v>129000</v>
      </c>
      <c r="L3079" s="2">
        <f>IFERROR(__xludf.DUMMYFUNCTION("""COMPUTED_VALUE"""),56.9690716)</f>
        <v>56.9690716</v>
      </c>
      <c r="M3079" s="2">
        <f>IFERROR(__xludf.DUMMYFUNCTION("""COMPUTED_VALUE"""),24.1716498860135)</f>
        <v>24.17164989</v>
      </c>
    </row>
    <row r="3080">
      <c r="A3080" s="2" t="str">
        <f>IFERROR(__xludf.DUMMYFUNCTION("""COMPUTED_VALUE"""),"For sale")</f>
        <v>For sale</v>
      </c>
      <c r="B3080" s="2" t="str">
        <f>IFERROR(__xludf.DUMMYFUNCTION("""COMPUTED_VALUE"""),"Teika")</f>
        <v>Teika</v>
      </c>
      <c r="C3080" s="2" t="str">
        <f>IFERROR(__xludf.DUMMYFUNCTION("""COMPUTED_VALUE"""),"Vairoga 32")</f>
        <v>Vairoga 32</v>
      </c>
      <c r="D3080" s="2">
        <f>IFERROR(__xludf.DUMMYFUNCTION("""COMPUTED_VALUE"""),4.0)</f>
        <v>4</v>
      </c>
      <c r="E3080" s="2">
        <f>IFERROR(__xludf.DUMMYFUNCTION("""COMPUTED_VALUE"""),58.0)</f>
        <v>58</v>
      </c>
      <c r="F3080" s="2">
        <f>IFERROR(__xludf.DUMMYFUNCTION("""COMPUTED_VALUE"""),1.0)</f>
        <v>1</v>
      </c>
      <c r="G3080" s="2">
        <f>IFERROR(__xludf.DUMMYFUNCTION("""COMPUTED_VALUE"""),3.0)</f>
        <v>3</v>
      </c>
      <c r="H3080" s="2" t="str">
        <f>IFERROR(__xludf.DUMMYFUNCTION("""COMPUTED_VALUE"""),"Renov.")</f>
        <v>Renov.</v>
      </c>
      <c r="I3080" s="2" t="str">
        <f>IFERROR(__xludf.DUMMYFUNCTION("""COMPUTED_VALUE"""),"Brick-Panel")</f>
        <v>Brick-Panel</v>
      </c>
      <c r="J3080" s="2" t="str">
        <f>IFERROR(__xludf.DUMMYFUNCTION("""COMPUTED_VALUE"""),"All amenities")</f>
        <v>All amenities</v>
      </c>
      <c r="K3080" s="2">
        <f>IFERROR(__xludf.DUMMYFUNCTION("""COMPUTED_VALUE"""),108500.0)</f>
        <v>108500</v>
      </c>
      <c r="L3080" s="2">
        <f>IFERROR(__xludf.DUMMYFUNCTION("""COMPUTED_VALUE"""),56.9690716)</f>
        <v>56.9690716</v>
      </c>
      <c r="M3080" s="2">
        <f>IFERROR(__xludf.DUMMYFUNCTION("""COMPUTED_VALUE"""),24.1716498860135)</f>
        <v>24.17164989</v>
      </c>
    </row>
    <row r="3081">
      <c r="A3081" s="2" t="str">
        <f>IFERROR(__xludf.DUMMYFUNCTION("""COMPUTED_VALUE"""),"For sale")</f>
        <v>For sale</v>
      </c>
      <c r="B3081" s="2" t="str">
        <f>IFERROR(__xludf.DUMMYFUNCTION("""COMPUTED_VALUE"""),"Purvciems")</f>
        <v>Purvciems</v>
      </c>
      <c r="C3081" s="2" t="str">
        <f>IFERROR(__xludf.DUMMYFUNCTION("""COMPUTED_VALUE"""),"Raunas 15a")</f>
        <v>Raunas 15a</v>
      </c>
      <c r="D3081" s="2">
        <f>IFERROR(__xludf.DUMMYFUNCTION("""COMPUTED_VALUE"""),4.0)</f>
        <v>4</v>
      </c>
      <c r="E3081" s="2">
        <f>IFERROR(__xludf.DUMMYFUNCTION("""COMPUTED_VALUE"""),58.0)</f>
        <v>58</v>
      </c>
      <c r="F3081" s="2">
        <f>IFERROR(__xludf.DUMMYFUNCTION("""COMPUTED_VALUE"""),1.0)</f>
        <v>1</v>
      </c>
      <c r="G3081" s="2">
        <f>IFERROR(__xludf.DUMMYFUNCTION("""COMPUTED_VALUE"""),3.0)</f>
        <v>3</v>
      </c>
      <c r="H3081" s="2" t="str">
        <f>IFERROR(__xludf.DUMMYFUNCTION("""COMPUTED_VALUE"""),"Renov.")</f>
        <v>Renov.</v>
      </c>
      <c r="I3081" s="2" t="str">
        <f>IFERROR(__xludf.DUMMYFUNCTION("""COMPUTED_VALUE"""),"Brick-Panel")</f>
        <v>Brick-Panel</v>
      </c>
      <c r="J3081" s="2" t="str">
        <f>IFERROR(__xludf.DUMMYFUNCTION("""COMPUTED_VALUE"""),"All amenities")</f>
        <v>All amenities</v>
      </c>
      <c r="K3081" s="2">
        <f>IFERROR(__xludf.DUMMYFUNCTION("""COMPUTED_VALUE"""),108500.0)</f>
        <v>108500</v>
      </c>
      <c r="L3081" s="2">
        <f>IFERROR(__xludf.DUMMYFUNCTION("""COMPUTED_VALUE"""),56.9676199)</f>
        <v>56.9676199</v>
      </c>
      <c r="M3081" s="2">
        <f>IFERROR(__xludf.DUMMYFUNCTION("""COMPUTED_VALUE"""),24.1852575)</f>
        <v>24.1852575</v>
      </c>
    </row>
    <row r="3082">
      <c r="A3082" s="2" t="str">
        <f>IFERROR(__xludf.DUMMYFUNCTION("""COMPUTED_VALUE"""),"For rent")</f>
        <v>For rent</v>
      </c>
      <c r="B3082" s="2" t="str">
        <f>IFERROR(__xludf.DUMMYFUNCTION("""COMPUTED_VALUE"""),"Zolitūde")</f>
        <v>Zolitūde</v>
      </c>
      <c r="C3082" s="2" t="str">
        <f>IFERROR(__xludf.DUMMYFUNCTION("""COMPUTED_VALUE"""),"Rostokas 50")</f>
        <v>Rostokas 50</v>
      </c>
      <c r="D3082" s="2">
        <f>IFERROR(__xludf.DUMMYFUNCTION("""COMPUTED_VALUE"""),2.0)</f>
        <v>2</v>
      </c>
      <c r="E3082" s="2">
        <f>IFERROR(__xludf.DUMMYFUNCTION("""COMPUTED_VALUE"""),57.0)</f>
        <v>57</v>
      </c>
      <c r="F3082" s="2">
        <f>IFERROR(__xludf.DUMMYFUNCTION("""COMPUTED_VALUE"""),1.0)</f>
        <v>1</v>
      </c>
      <c r="G3082" s="2">
        <f>IFERROR(__xludf.DUMMYFUNCTION("""COMPUTED_VALUE"""),9.0)</f>
        <v>9</v>
      </c>
      <c r="H3082" s="2">
        <f>IFERROR(__xludf.DUMMYFUNCTION("""COMPUTED_VALUE"""),119.0)</f>
        <v>119</v>
      </c>
      <c r="I3082" s="2" t="str">
        <f>IFERROR(__xludf.DUMMYFUNCTION("""COMPUTED_VALUE"""),"Brick-Panel")</f>
        <v>Brick-Panel</v>
      </c>
      <c r="J3082" s="2" t="str">
        <f>IFERROR(__xludf.DUMMYFUNCTION("""COMPUTED_VALUE"""),"All amenities")</f>
        <v>All amenities</v>
      </c>
      <c r="K3082" s="2">
        <f>IFERROR(__xludf.DUMMYFUNCTION("""COMPUTED_VALUE"""),20.0)</f>
        <v>20</v>
      </c>
      <c r="L3082" s="2">
        <f>IFERROR(__xludf.DUMMYFUNCTION("""COMPUTED_VALUE"""),54.1436099999999)</f>
        <v>54.14361</v>
      </c>
      <c r="M3082" s="2">
        <f>IFERROR(__xludf.DUMMYFUNCTION("""COMPUTED_VALUE"""),12.05044145)</f>
        <v>12.05044145</v>
      </c>
    </row>
    <row r="3083">
      <c r="A3083" s="2" t="str">
        <f>IFERROR(__xludf.DUMMYFUNCTION("""COMPUTED_VALUE"""),"For rent")</f>
        <v>For rent</v>
      </c>
      <c r="B3083" s="2" t="str">
        <f>IFERROR(__xludf.DUMMYFUNCTION("""COMPUTED_VALUE"""),"centrs")</f>
        <v>centrs</v>
      </c>
      <c r="C3083" s="2" t="str">
        <f>IFERROR(__xludf.DUMMYFUNCTION("""COMPUTED_VALUE"""),"Krasta 66")</f>
        <v>Krasta 66</v>
      </c>
      <c r="D3083" s="2">
        <f>IFERROR(__xludf.DUMMYFUNCTION("""COMPUTED_VALUE"""),1.0)</f>
        <v>1</v>
      </c>
      <c r="E3083" s="2">
        <f>IFERROR(__xludf.DUMMYFUNCTION("""COMPUTED_VALUE"""),25.0)</f>
        <v>25</v>
      </c>
      <c r="F3083" s="2">
        <f>IFERROR(__xludf.DUMMYFUNCTION("""COMPUTED_VALUE"""),3.0)</f>
        <v>3</v>
      </c>
      <c r="G3083" s="2">
        <f>IFERROR(__xludf.DUMMYFUNCTION("""COMPUTED_VALUE"""),3.0)</f>
        <v>3</v>
      </c>
      <c r="H3083" s="2" t="str">
        <f>IFERROR(__xludf.DUMMYFUNCTION("""COMPUTED_VALUE"""),"Specpr.")</f>
        <v>Specpr.</v>
      </c>
      <c r="I3083" s="2" t="str">
        <f>IFERROR(__xludf.DUMMYFUNCTION("""COMPUTED_VALUE"""),"Brick")</f>
        <v>Brick</v>
      </c>
      <c r="J3083" s="2" t="str">
        <f>IFERROR(__xludf.DUMMYFUNCTION("""COMPUTED_VALUE"""),"All amenities")</f>
        <v>All amenities</v>
      </c>
      <c r="K3083" s="2">
        <f>IFERROR(__xludf.DUMMYFUNCTION("""COMPUTED_VALUE"""),260.0)</f>
        <v>260</v>
      </c>
      <c r="L3083" s="2">
        <f>IFERROR(__xludf.DUMMYFUNCTION("""COMPUTED_VALUE"""),56.9309878)</f>
        <v>56.9309878</v>
      </c>
      <c r="M3083" s="2">
        <f>IFERROR(__xludf.DUMMYFUNCTION("""COMPUTED_VALUE"""),24.15327815617)</f>
        <v>24.15327816</v>
      </c>
    </row>
    <row r="3084">
      <c r="A3084" s="2" t="str">
        <f>IFERROR(__xludf.DUMMYFUNCTION("""COMPUTED_VALUE"""),"For sale")</f>
        <v>For sale</v>
      </c>
      <c r="B3084" s="2" t="str">
        <f>IFERROR(__xludf.DUMMYFUNCTION("""COMPUTED_VALUE"""),"Imanta")</f>
        <v>Imanta</v>
      </c>
      <c r="C3084" s="2" t="str">
        <f>IFERROR(__xludf.DUMMYFUNCTION("""COMPUTED_VALUE"""),"Dubultu 16")</f>
        <v>Dubultu 16</v>
      </c>
      <c r="D3084" s="2">
        <f>IFERROR(__xludf.DUMMYFUNCTION("""COMPUTED_VALUE"""),2.0)</f>
        <v>2</v>
      </c>
      <c r="E3084" s="2">
        <f>IFERROR(__xludf.DUMMYFUNCTION("""COMPUTED_VALUE"""),49.0)</f>
        <v>49</v>
      </c>
      <c r="F3084" s="2">
        <f>IFERROR(__xludf.DUMMYFUNCTION("""COMPUTED_VALUE"""),2.0)</f>
        <v>2</v>
      </c>
      <c r="G3084" s="2">
        <f>IFERROR(__xludf.DUMMYFUNCTION("""COMPUTED_VALUE"""),5.0)</f>
        <v>5</v>
      </c>
      <c r="H3084" s="2" t="str">
        <f>IFERROR(__xludf.DUMMYFUNCTION("""COMPUTED_VALUE"""),"LT proj.")</f>
        <v>LT proj.</v>
      </c>
      <c r="I3084" s="2" t="str">
        <f>IFERROR(__xludf.DUMMYFUNCTION("""COMPUTED_VALUE"""),"Panel")</f>
        <v>Panel</v>
      </c>
      <c r="J3084" s="2" t="str">
        <f>IFERROR(__xludf.DUMMYFUNCTION("""COMPUTED_VALUE"""),"All amenities")</f>
        <v>All amenities</v>
      </c>
      <c r="K3084" s="2">
        <f>IFERROR(__xludf.DUMMYFUNCTION("""COMPUTED_VALUE"""),40500.0)</f>
        <v>40500</v>
      </c>
      <c r="L3084" s="2">
        <f>IFERROR(__xludf.DUMMYFUNCTION("""COMPUTED_VALUE"""),56.957361)</f>
        <v>56.957361</v>
      </c>
      <c r="M3084" s="2">
        <f>IFERROR(__xludf.DUMMYFUNCTION("""COMPUTED_VALUE"""),24.0061017402107)</f>
        <v>24.00610174</v>
      </c>
    </row>
    <row r="3085">
      <c r="A3085" s="2" t="str">
        <f>IFERROR(__xludf.DUMMYFUNCTION("""COMPUTED_VALUE"""),"For sale")</f>
        <v>For sale</v>
      </c>
      <c r="B3085" s="2" t="str">
        <f>IFERROR(__xludf.DUMMYFUNCTION("""COMPUTED_VALUE"""),"centrs")</f>
        <v>centrs</v>
      </c>
      <c r="C3085" s="2" t="str">
        <f>IFERROR(__xludf.DUMMYFUNCTION("""COMPUTED_VALUE"""),"Dzirnavu 92")</f>
        <v>Dzirnavu 92</v>
      </c>
      <c r="D3085" s="2">
        <f>IFERROR(__xludf.DUMMYFUNCTION("""COMPUTED_VALUE"""),4.0)</f>
        <v>4</v>
      </c>
      <c r="E3085" s="2">
        <f>IFERROR(__xludf.DUMMYFUNCTION("""COMPUTED_VALUE"""),124.0)</f>
        <v>124</v>
      </c>
      <c r="F3085" s="2">
        <f>IFERROR(__xludf.DUMMYFUNCTION("""COMPUTED_VALUE"""),1.0)</f>
        <v>1</v>
      </c>
      <c r="G3085" s="2">
        <f>IFERROR(__xludf.DUMMYFUNCTION("""COMPUTED_VALUE"""),5.0)</f>
        <v>5</v>
      </c>
      <c r="H3085" s="2" t="str">
        <f>IFERROR(__xludf.DUMMYFUNCTION("""COMPUTED_VALUE"""),"P. kara")</f>
        <v>P. kara</v>
      </c>
      <c r="I3085" s="2" t="str">
        <f>IFERROR(__xludf.DUMMYFUNCTION("""COMPUTED_VALUE"""),"Masonry")</f>
        <v>Masonry</v>
      </c>
      <c r="J3085" s="2" t="str">
        <f>IFERROR(__xludf.DUMMYFUNCTION("""COMPUTED_VALUE"""),"All amenities")</f>
        <v>All amenities</v>
      </c>
      <c r="K3085" s="2">
        <f>IFERROR(__xludf.DUMMYFUNCTION("""COMPUTED_VALUE"""),125000.0)</f>
        <v>125000</v>
      </c>
      <c r="L3085" s="2">
        <f>IFERROR(__xludf.DUMMYFUNCTION("""COMPUTED_VALUE"""),56.9504863)</f>
        <v>56.9504863</v>
      </c>
      <c r="M3085" s="2">
        <f>IFERROR(__xludf.DUMMYFUNCTION("""COMPUTED_VALUE"""),24.1240734)</f>
        <v>24.1240734</v>
      </c>
    </row>
    <row r="3086">
      <c r="A3086" s="2" t="str">
        <f>IFERROR(__xludf.DUMMYFUNCTION("""COMPUTED_VALUE"""),"For sale")</f>
        <v>For sale</v>
      </c>
      <c r="B3086" s="2" t="str">
        <f>IFERROR(__xludf.DUMMYFUNCTION("""COMPUTED_VALUE"""),"Teika")</f>
        <v>Teika</v>
      </c>
      <c r="C3086" s="2" t="str">
        <f>IFERROR(__xludf.DUMMYFUNCTION("""COMPUTED_VALUE"""),"Vairoga 32")</f>
        <v>Vairoga 32</v>
      </c>
      <c r="D3086" s="2">
        <f>IFERROR(__xludf.DUMMYFUNCTION("""COMPUTED_VALUE"""),3.0)</f>
        <v>3</v>
      </c>
      <c r="E3086" s="2">
        <f>IFERROR(__xludf.DUMMYFUNCTION("""COMPUTED_VALUE"""),51.0)</f>
        <v>51</v>
      </c>
      <c r="F3086" s="2">
        <f>IFERROR(__xludf.DUMMYFUNCTION("""COMPUTED_VALUE"""),1.0)</f>
        <v>1</v>
      </c>
      <c r="G3086" s="2">
        <f>IFERROR(__xludf.DUMMYFUNCTION("""COMPUTED_VALUE"""),3.0)</f>
        <v>3</v>
      </c>
      <c r="H3086" s="2" t="str">
        <f>IFERROR(__xludf.DUMMYFUNCTION("""COMPUTED_VALUE"""),"Renov.")</f>
        <v>Renov.</v>
      </c>
      <c r="I3086" s="2" t="str">
        <f>IFERROR(__xludf.DUMMYFUNCTION("""COMPUTED_VALUE"""),"Panel")</f>
        <v>Panel</v>
      </c>
      <c r="J3086" s="2" t="str">
        <f>IFERROR(__xludf.DUMMYFUNCTION("""COMPUTED_VALUE"""),"All amenities")</f>
        <v>All amenities</v>
      </c>
      <c r="K3086" s="2">
        <f>IFERROR(__xludf.DUMMYFUNCTION("""COMPUTED_VALUE"""),98500.0)</f>
        <v>98500</v>
      </c>
      <c r="L3086" s="2">
        <f>IFERROR(__xludf.DUMMYFUNCTION("""COMPUTED_VALUE"""),56.9690716)</f>
        <v>56.9690716</v>
      </c>
      <c r="M3086" s="2">
        <f>IFERROR(__xludf.DUMMYFUNCTION("""COMPUTED_VALUE"""),24.1716498860135)</f>
        <v>24.17164989</v>
      </c>
    </row>
    <row r="3087">
      <c r="A3087" s="2" t="str">
        <f>IFERROR(__xludf.DUMMYFUNCTION("""COMPUTED_VALUE"""),"For sale")</f>
        <v>For sale</v>
      </c>
      <c r="B3087" s="2" t="str">
        <f>IFERROR(__xludf.DUMMYFUNCTION("""COMPUTED_VALUE"""),"Purvciems")</f>
        <v>Purvciems</v>
      </c>
      <c r="C3087" s="2" t="str">
        <f>IFERROR(__xludf.DUMMYFUNCTION("""COMPUTED_VALUE"""),"Raunas 15a")</f>
        <v>Raunas 15a</v>
      </c>
      <c r="D3087" s="2">
        <f>IFERROR(__xludf.DUMMYFUNCTION("""COMPUTED_VALUE"""),3.0)</f>
        <v>3</v>
      </c>
      <c r="E3087" s="2">
        <f>IFERROR(__xludf.DUMMYFUNCTION("""COMPUTED_VALUE"""),51.0)</f>
        <v>51</v>
      </c>
      <c r="F3087" s="2">
        <f>IFERROR(__xludf.DUMMYFUNCTION("""COMPUTED_VALUE"""),1.0)</f>
        <v>1</v>
      </c>
      <c r="G3087" s="2">
        <f>IFERROR(__xludf.DUMMYFUNCTION("""COMPUTED_VALUE"""),3.0)</f>
        <v>3</v>
      </c>
      <c r="H3087" s="2" t="str">
        <f>IFERROR(__xludf.DUMMYFUNCTION("""COMPUTED_VALUE"""),"Renov.")</f>
        <v>Renov.</v>
      </c>
      <c r="I3087" s="2" t="str">
        <f>IFERROR(__xludf.DUMMYFUNCTION("""COMPUTED_VALUE"""),"Brick-Panel")</f>
        <v>Brick-Panel</v>
      </c>
      <c r="J3087" s="2" t="str">
        <f>IFERROR(__xludf.DUMMYFUNCTION("""COMPUTED_VALUE"""),"All amenities")</f>
        <v>All amenities</v>
      </c>
      <c r="K3087" s="2">
        <f>IFERROR(__xludf.DUMMYFUNCTION("""COMPUTED_VALUE"""),98500.0)</f>
        <v>98500</v>
      </c>
      <c r="L3087" s="2">
        <f>IFERROR(__xludf.DUMMYFUNCTION("""COMPUTED_VALUE"""),56.9676199)</f>
        <v>56.9676199</v>
      </c>
      <c r="M3087" s="2">
        <f>IFERROR(__xludf.DUMMYFUNCTION("""COMPUTED_VALUE"""),24.1852575)</f>
        <v>24.1852575</v>
      </c>
    </row>
    <row r="3088">
      <c r="A3088" s="2" t="str">
        <f>IFERROR(__xludf.DUMMYFUNCTION("""COMPUTED_VALUE"""),"For sale")</f>
        <v>For sale</v>
      </c>
      <c r="B3088" s="2" t="str">
        <f>IFERROR(__xludf.DUMMYFUNCTION("""COMPUTED_VALUE"""),"Purvciems")</f>
        <v>Purvciems</v>
      </c>
      <c r="C3088" s="2" t="str">
        <f>IFERROR(__xludf.DUMMYFUNCTION("""COMPUTED_VALUE"""),"Raunas 15a")</f>
        <v>Raunas 15a</v>
      </c>
      <c r="D3088" s="2">
        <f>IFERROR(__xludf.DUMMYFUNCTION("""COMPUTED_VALUE"""),3.0)</f>
        <v>3</v>
      </c>
      <c r="E3088" s="2">
        <f>IFERROR(__xludf.DUMMYFUNCTION("""COMPUTED_VALUE"""),56.0)</f>
        <v>56</v>
      </c>
      <c r="F3088" s="2">
        <f>IFERROR(__xludf.DUMMYFUNCTION("""COMPUTED_VALUE"""),4.0)</f>
        <v>4</v>
      </c>
      <c r="G3088" s="2">
        <f>IFERROR(__xludf.DUMMYFUNCTION("""COMPUTED_VALUE"""),4.0)</f>
        <v>4</v>
      </c>
      <c r="H3088" s="2" t="str">
        <f>IFERROR(__xludf.DUMMYFUNCTION("""COMPUTED_VALUE"""),"Renov.")</f>
        <v>Renov.</v>
      </c>
      <c r="I3088" s="2" t="str">
        <f>IFERROR(__xludf.DUMMYFUNCTION("""COMPUTED_VALUE"""),"Panel")</f>
        <v>Panel</v>
      </c>
      <c r="J3088" s="2" t="str">
        <f>IFERROR(__xludf.DUMMYFUNCTION("""COMPUTED_VALUE"""),"All amenities")</f>
        <v>All amenities</v>
      </c>
      <c r="K3088" s="2">
        <f>IFERROR(__xludf.DUMMYFUNCTION("""COMPUTED_VALUE"""),109000.0)</f>
        <v>109000</v>
      </c>
      <c r="L3088" s="2">
        <f>IFERROR(__xludf.DUMMYFUNCTION("""COMPUTED_VALUE"""),56.9676199)</f>
        <v>56.9676199</v>
      </c>
      <c r="M3088" s="2">
        <f>IFERROR(__xludf.DUMMYFUNCTION("""COMPUTED_VALUE"""),24.1852575)</f>
        <v>24.1852575</v>
      </c>
    </row>
    <row r="3089">
      <c r="A3089" s="2" t="str">
        <f>IFERROR(__xludf.DUMMYFUNCTION("""COMPUTED_VALUE"""),"For sale")</f>
        <v>For sale</v>
      </c>
      <c r="B3089" s="2" t="str">
        <f>IFERROR(__xludf.DUMMYFUNCTION("""COMPUTED_VALUE"""),"Teika")</f>
        <v>Teika</v>
      </c>
      <c r="C3089" s="2" t="str">
        <f>IFERROR(__xludf.DUMMYFUNCTION("""COMPUTED_VALUE"""),"Vairoga 32")</f>
        <v>Vairoga 32</v>
      </c>
      <c r="D3089" s="2">
        <f>IFERROR(__xludf.DUMMYFUNCTION("""COMPUTED_VALUE"""),3.0)</f>
        <v>3</v>
      </c>
      <c r="E3089" s="2">
        <f>IFERROR(__xludf.DUMMYFUNCTION("""COMPUTED_VALUE"""),56.0)</f>
        <v>56</v>
      </c>
      <c r="F3089" s="2">
        <f>IFERROR(__xludf.DUMMYFUNCTION("""COMPUTED_VALUE"""),4.0)</f>
        <v>4</v>
      </c>
      <c r="G3089" s="2">
        <f>IFERROR(__xludf.DUMMYFUNCTION("""COMPUTED_VALUE"""),4.0)</f>
        <v>4</v>
      </c>
      <c r="H3089" s="2" t="str">
        <f>IFERROR(__xludf.DUMMYFUNCTION("""COMPUTED_VALUE"""),"Renov.")</f>
        <v>Renov.</v>
      </c>
      <c r="I3089" s="2" t="str">
        <f>IFERROR(__xludf.DUMMYFUNCTION("""COMPUTED_VALUE"""),"Panel")</f>
        <v>Panel</v>
      </c>
      <c r="J3089" s="2" t="str">
        <f>IFERROR(__xludf.DUMMYFUNCTION("""COMPUTED_VALUE"""),"All amenities")</f>
        <v>All amenities</v>
      </c>
      <c r="K3089" s="2">
        <f>IFERROR(__xludf.DUMMYFUNCTION("""COMPUTED_VALUE"""),109000.0)</f>
        <v>109000</v>
      </c>
      <c r="L3089" s="2">
        <f>IFERROR(__xludf.DUMMYFUNCTION("""COMPUTED_VALUE"""),56.9690716)</f>
        <v>56.9690716</v>
      </c>
      <c r="M3089" s="2">
        <f>IFERROR(__xludf.DUMMYFUNCTION("""COMPUTED_VALUE"""),24.1716498860135)</f>
        <v>24.17164989</v>
      </c>
    </row>
    <row r="3090">
      <c r="A3090" s="2" t="str">
        <f>IFERROR(__xludf.DUMMYFUNCTION("""COMPUTED_VALUE"""),"For sale")</f>
        <v>For sale</v>
      </c>
      <c r="B3090" s="2" t="str">
        <f>IFERROR(__xludf.DUMMYFUNCTION("""COMPUTED_VALUE"""),"Purvciems")</f>
        <v>Purvciems</v>
      </c>
      <c r="C3090" s="2" t="str">
        <f>IFERROR(__xludf.DUMMYFUNCTION("""COMPUTED_VALUE"""),"Raunas 15a")</f>
        <v>Raunas 15a</v>
      </c>
      <c r="D3090" s="2">
        <f>IFERROR(__xludf.DUMMYFUNCTION("""COMPUTED_VALUE"""),3.0)</f>
        <v>3</v>
      </c>
      <c r="E3090" s="2">
        <f>IFERROR(__xludf.DUMMYFUNCTION("""COMPUTED_VALUE"""),86.0)</f>
        <v>86</v>
      </c>
      <c r="F3090" s="2">
        <f>IFERROR(__xludf.DUMMYFUNCTION("""COMPUTED_VALUE"""),3.0)</f>
        <v>3</v>
      </c>
      <c r="G3090" s="2">
        <f>IFERROR(__xludf.DUMMYFUNCTION("""COMPUTED_VALUE"""),3.0)</f>
        <v>3</v>
      </c>
      <c r="H3090" s="2" t="str">
        <f>IFERROR(__xludf.DUMMYFUNCTION("""COMPUTED_VALUE"""),"Renov.")</f>
        <v>Renov.</v>
      </c>
      <c r="I3090" s="2" t="str">
        <f>IFERROR(__xludf.DUMMYFUNCTION("""COMPUTED_VALUE"""),"Brick-Panel")</f>
        <v>Brick-Panel</v>
      </c>
      <c r="J3090" s="2" t="str">
        <f>IFERROR(__xludf.DUMMYFUNCTION("""COMPUTED_VALUE"""),"All amenities")</f>
        <v>All amenities</v>
      </c>
      <c r="K3090" s="2">
        <f>IFERROR(__xludf.DUMMYFUNCTION("""COMPUTED_VALUE"""),129000.0)</f>
        <v>129000</v>
      </c>
      <c r="L3090" s="2">
        <f>IFERROR(__xludf.DUMMYFUNCTION("""COMPUTED_VALUE"""),56.9676199)</f>
        <v>56.9676199</v>
      </c>
      <c r="M3090" s="2">
        <f>IFERROR(__xludf.DUMMYFUNCTION("""COMPUTED_VALUE"""),24.1852575)</f>
        <v>24.1852575</v>
      </c>
    </row>
    <row r="3091">
      <c r="A3091" s="2" t="str">
        <f>IFERROR(__xludf.DUMMYFUNCTION("""COMPUTED_VALUE"""),"For rent")</f>
        <v>For rent</v>
      </c>
      <c r="B3091" s="2" t="str">
        <f>IFERROR(__xludf.DUMMYFUNCTION("""COMPUTED_VALUE"""),"centrs")</f>
        <v>centrs</v>
      </c>
      <c r="C3091" s="2" t="str">
        <f>IFERROR(__xludf.DUMMYFUNCTION("""COMPUTED_VALUE"""),"Pētersalas 9")</f>
        <v>Pētersalas 9</v>
      </c>
      <c r="D3091" s="2">
        <f>IFERROR(__xludf.DUMMYFUNCTION("""COMPUTED_VALUE"""),1.0)</f>
        <v>1</v>
      </c>
      <c r="E3091" s="2">
        <f>IFERROR(__xludf.DUMMYFUNCTION("""COMPUTED_VALUE"""),30.0)</f>
        <v>30</v>
      </c>
      <c r="F3091" s="2">
        <f>IFERROR(__xludf.DUMMYFUNCTION("""COMPUTED_VALUE"""),1.0)</f>
        <v>1</v>
      </c>
      <c r="G3091" s="2">
        <f>IFERROR(__xludf.DUMMYFUNCTION("""COMPUTED_VALUE"""),4.0)</f>
        <v>4</v>
      </c>
      <c r="H3091" s="2" t="str">
        <f>IFERROR(__xludf.DUMMYFUNCTION("""COMPUTED_VALUE"""),"P. kara")</f>
        <v>P. kara</v>
      </c>
      <c r="I3091" s="2" t="str">
        <f>IFERROR(__xludf.DUMMYFUNCTION("""COMPUTED_VALUE"""),"Masonry")</f>
        <v>Masonry</v>
      </c>
      <c r="J3091" s="2" t="str">
        <f>IFERROR(__xludf.DUMMYFUNCTION("""COMPUTED_VALUE"""),"All amenities")</f>
        <v>All amenities</v>
      </c>
      <c r="K3091" s="2">
        <f>IFERROR(__xludf.DUMMYFUNCTION("""COMPUTED_VALUE"""),30.0)</f>
        <v>30</v>
      </c>
      <c r="L3091" s="2">
        <f>IFERROR(__xludf.DUMMYFUNCTION("""COMPUTED_VALUE"""),56.9678084)</f>
        <v>56.9678084</v>
      </c>
      <c r="M3091" s="2">
        <f>IFERROR(__xludf.DUMMYFUNCTION("""COMPUTED_VALUE"""),24.1032332)</f>
        <v>24.1032332</v>
      </c>
    </row>
    <row r="3092">
      <c r="A3092" s="2" t="str">
        <f>IFERROR(__xludf.DUMMYFUNCTION("""COMPUTED_VALUE"""),"For rent")</f>
        <v>For rent</v>
      </c>
      <c r="B3092" s="2" t="str">
        <f>IFERROR(__xludf.DUMMYFUNCTION("""COMPUTED_VALUE"""),"Dzegužkalns")</f>
        <v>Dzegužkalns</v>
      </c>
      <c r="C3092" s="2" t="str">
        <f>IFERROR(__xludf.DUMMYFUNCTION("""COMPUTED_VALUE"""),"Jaunsaules 18")</f>
        <v>Jaunsaules 18</v>
      </c>
      <c r="D3092" s="2">
        <f>IFERROR(__xludf.DUMMYFUNCTION("""COMPUTED_VALUE"""),2.0)</f>
        <v>2</v>
      </c>
      <c r="E3092" s="2">
        <f>IFERROR(__xludf.DUMMYFUNCTION("""COMPUTED_VALUE"""),60.0)</f>
        <v>60</v>
      </c>
      <c r="F3092" s="2">
        <f>IFERROR(__xludf.DUMMYFUNCTION("""COMPUTED_VALUE"""),2.0)</f>
        <v>2</v>
      </c>
      <c r="G3092" s="2">
        <f>IFERROR(__xludf.DUMMYFUNCTION("""COMPUTED_VALUE"""),5.0)</f>
        <v>5</v>
      </c>
      <c r="H3092" s="2" t="str">
        <f>IFERROR(__xludf.DUMMYFUNCTION("""COMPUTED_VALUE"""),"LT proj.")</f>
        <v>LT proj.</v>
      </c>
      <c r="I3092" s="2" t="str">
        <f>IFERROR(__xludf.DUMMYFUNCTION("""COMPUTED_VALUE"""),"Panel")</f>
        <v>Panel</v>
      </c>
      <c r="J3092" s="2" t="str">
        <f>IFERROR(__xludf.DUMMYFUNCTION("""COMPUTED_VALUE"""),"All amenities")</f>
        <v>All amenities</v>
      </c>
      <c r="K3092" s="2">
        <f>IFERROR(__xludf.DUMMYFUNCTION("""COMPUTED_VALUE"""),250.0)</f>
        <v>250</v>
      </c>
      <c r="L3092" s="2">
        <f>IFERROR(__xludf.DUMMYFUNCTION("""COMPUTED_VALUE"""),56.9547666499999)</f>
        <v>56.95476665</v>
      </c>
      <c r="M3092" s="2">
        <f>IFERROR(__xludf.DUMMYFUNCTION("""COMPUTED_VALUE"""),24.0479287499999)</f>
        <v>24.04792875</v>
      </c>
    </row>
    <row r="3093">
      <c r="A3093" s="2" t="str">
        <f>IFERROR(__xludf.DUMMYFUNCTION("""COMPUTED_VALUE"""),"For sale")</f>
        <v>For sale</v>
      </c>
      <c r="B3093" s="2" t="str">
        <f>IFERROR(__xludf.DUMMYFUNCTION("""COMPUTED_VALUE"""),"centrs")</f>
        <v>centrs</v>
      </c>
      <c r="C3093" s="2" t="str">
        <f>IFERROR(__xludf.DUMMYFUNCTION("""COMPUTED_VALUE"""),"Ģertrūdes 99")</f>
        <v>Ģertrūdes 99</v>
      </c>
      <c r="D3093" s="2">
        <f>IFERROR(__xludf.DUMMYFUNCTION("""COMPUTED_VALUE"""),2.0)</f>
        <v>2</v>
      </c>
      <c r="E3093" s="2">
        <f>IFERROR(__xludf.DUMMYFUNCTION("""COMPUTED_VALUE"""),46.0)</f>
        <v>46</v>
      </c>
      <c r="F3093" s="2">
        <f>IFERROR(__xludf.DUMMYFUNCTION("""COMPUTED_VALUE"""),2.0)</f>
        <v>2</v>
      </c>
      <c r="G3093" s="2">
        <f>IFERROR(__xludf.DUMMYFUNCTION("""COMPUTED_VALUE"""),6.0)</f>
        <v>6</v>
      </c>
      <c r="H3093" s="2" t="str">
        <f>IFERROR(__xludf.DUMMYFUNCTION("""COMPUTED_VALUE"""),"Renov.")</f>
        <v>Renov.</v>
      </c>
      <c r="I3093" s="2" t="str">
        <f>IFERROR(__xludf.DUMMYFUNCTION("""COMPUTED_VALUE"""),"Masonry")</f>
        <v>Masonry</v>
      </c>
      <c r="J3093" s="2" t="str">
        <f>IFERROR(__xludf.DUMMYFUNCTION("""COMPUTED_VALUE"""),"All amenities")</f>
        <v>All amenities</v>
      </c>
      <c r="K3093" s="2">
        <f>IFERROR(__xludf.DUMMYFUNCTION("""COMPUTED_VALUE"""),99029.0)</f>
        <v>99029</v>
      </c>
      <c r="L3093" s="2">
        <f>IFERROR(__xludf.DUMMYFUNCTION("""COMPUTED_VALUE"""),56.94999685)</f>
        <v>56.94999685</v>
      </c>
      <c r="M3093" s="2">
        <f>IFERROR(__xludf.DUMMYFUNCTION("""COMPUTED_VALUE"""),24.1364139006283)</f>
        <v>24.1364139</v>
      </c>
    </row>
    <row r="3094">
      <c r="A3094" s="2" t="str">
        <f>IFERROR(__xludf.DUMMYFUNCTION("""COMPUTED_VALUE"""),"For sale")</f>
        <v>For sale</v>
      </c>
      <c r="B3094" s="2" t="str">
        <f>IFERROR(__xludf.DUMMYFUNCTION("""COMPUTED_VALUE"""),"centrs")</f>
        <v>centrs</v>
      </c>
      <c r="C3094" s="2" t="str">
        <f>IFERROR(__xludf.DUMMYFUNCTION("""COMPUTED_VALUE"""),"Ģertrūdes 99")</f>
        <v>Ģertrūdes 99</v>
      </c>
      <c r="D3094" s="2">
        <f>IFERROR(__xludf.DUMMYFUNCTION("""COMPUTED_VALUE"""),3.0)</f>
        <v>3</v>
      </c>
      <c r="E3094" s="2">
        <f>IFERROR(__xludf.DUMMYFUNCTION("""COMPUTED_VALUE"""),63.0)</f>
        <v>63</v>
      </c>
      <c r="F3094" s="2">
        <f>IFERROR(__xludf.DUMMYFUNCTION("""COMPUTED_VALUE"""),2.0)</f>
        <v>2</v>
      </c>
      <c r="G3094" s="2">
        <f>IFERROR(__xludf.DUMMYFUNCTION("""COMPUTED_VALUE"""),6.0)</f>
        <v>6</v>
      </c>
      <c r="H3094" s="2" t="str">
        <f>IFERROR(__xludf.DUMMYFUNCTION("""COMPUTED_VALUE"""),"Renov.")</f>
        <v>Renov.</v>
      </c>
      <c r="I3094" s="2" t="str">
        <f>IFERROR(__xludf.DUMMYFUNCTION("""COMPUTED_VALUE"""),"Masonry")</f>
        <v>Masonry</v>
      </c>
      <c r="J3094" s="2" t="str">
        <f>IFERROR(__xludf.DUMMYFUNCTION("""COMPUTED_VALUE"""),"All amenities")</f>
        <v>All amenities</v>
      </c>
      <c r="K3094" s="2">
        <f>IFERROR(__xludf.DUMMYFUNCTION("""COMPUTED_VALUE"""),119225.0)</f>
        <v>119225</v>
      </c>
      <c r="L3094" s="2">
        <f>IFERROR(__xludf.DUMMYFUNCTION("""COMPUTED_VALUE"""),56.94999685)</f>
        <v>56.94999685</v>
      </c>
      <c r="M3094" s="2">
        <f>IFERROR(__xludf.DUMMYFUNCTION("""COMPUTED_VALUE"""),24.1364139006283)</f>
        <v>24.1364139</v>
      </c>
    </row>
    <row r="3095">
      <c r="A3095" s="2" t="str">
        <f>IFERROR(__xludf.DUMMYFUNCTION("""COMPUTED_VALUE"""),"For sale")</f>
        <v>For sale</v>
      </c>
      <c r="B3095" s="2" t="str">
        <f>IFERROR(__xludf.DUMMYFUNCTION("""COMPUTED_VALUE"""),"centrs")</f>
        <v>centrs</v>
      </c>
      <c r="C3095" s="2" t="str">
        <f>IFERROR(__xludf.DUMMYFUNCTION("""COMPUTED_VALUE"""),"Stabu 21")</f>
        <v>Stabu 21</v>
      </c>
      <c r="D3095" s="2">
        <f>IFERROR(__xludf.DUMMYFUNCTION("""COMPUTED_VALUE"""),3.0)</f>
        <v>3</v>
      </c>
      <c r="E3095" s="2">
        <f>IFERROR(__xludf.DUMMYFUNCTION("""COMPUTED_VALUE"""),131.0)</f>
        <v>131</v>
      </c>
      <c r="F3095" s="2">
        <f>IFERROR(__xludf.DUMMYFUNCTION("""COMPUTED_VALUE"""),5.0)</f>
        <v>5</v>
      </c>
      <c r="G3095" s="2">
        <f>IFERROR(__xludf.DUMMYFUNCTION("""COMPUTED_VALUE"""),6.0)</f>
        <v>6</v>
      </c>
      <c r="H3095" s="2" t="str">
        <f>IFERROR(__xludf.DUMMYFUNCTION("""COMPUTED_VALUE"""),"Renov.")</f>
        <v>Renov.</v>
      </c>
      <c r="I3095" s="2" t="str">
        <f>IFERROR(__xludf.DUMMYFUNCTION("""COMPUTED_VALUE"""),"Brick")</f>
        <v>Brick</v>
      </c>
      <c r="J3095" s="2" t="str">
        <f>IFERROR(__xludf.DUMMYFUNCTION("""COMPUTED_VALUE"""),"All amenities")</f>
        <v>All amenities</v>
      </c>
      <c r="K3095" s="2">
        <f>IFERROR(__xludf.DUMMYFUNCTION("""COMPUTED_VALUE"""),189500.0)</f>
        <v>189500</v>
      </c>
      <c r="L3095" s="2">
        <f>IFERROR(__xludf.DUMMYFUNCTION("""COMPUTED_VALUE"""),56.95734025)</f>
        <v>56.95734025</v>
      </c>
      <c r="M3095" s="2">
        <f>IFERROR(__xludf.DUMMYFUNCTION("""COMPUTED_VALUE"""),24.1266455390229)</f>
        <v>24.12664554</v>
      </c>
    </row>
    <row r="3096">
      <c r="A3096" s="2" t="str">
        <f>IFERROR(__xludf.DUMMYFUNCTION("""COMPUTED_VALUE"""),"For sale")</f>
        <v>For sale</v>
      </c>
      <c r="B3096" s="2" t="str">
        <f>IFERROR(__xludf.DUMMYFUNCTION("""COMPUTED_VALUE"""),"Teika")</f>
        <v>Teika</v>
      </c>
      <c r="C3096" s="2" t="str">
        <f>IFERROR(__xludf.DUMMYFUNCTION("""COMPUTED_VALUE"""),"Ropažu 14a")</f>
        <v>Ropažu 14a</v>
      </c>
      <c r="D3096" s="2">
        <f>IFERROR(__xludf.DUMMYFUNCTION("""COMPUTED_VALUE"""),3.0)</f>
        <v>3</v>
      </c>
      <c r="E3096" s="2">
        <f>IFERROR(__xludf.DUMMYFUNCTION("""COMPUTED_VALUE"""),69.0)</f>
        <v>69</v>
      </c>
      <c r="F3096" s="2">
        <f>IFERROR(__xludf.DUMMYFUNCTION("""COMPUTED_VALUE"""),3.0)</f>
        <v>3</v>
      </c>
      <c r="G3096" s="2">
        <f>IFERROR(__xludf.DUMMYFUNCTION("""COMPUTED_VALUE"""),10.0)</f>
        <v>10</v>
      </c>
      <c r="H3096" s="2" t="str">
        <f>IFERROR(__xludf.DUMMYFUNCTION("""COMPUTED_VALUE"""),"Jaun.")</f>
        <v>Jaun.</v>
      </c>
      <c r="I3096" s="2" t="str">
        <f>IFERROR(__xludf.DUMMYFUNCTION("""COMPUTED_VALUE"""),"Masonry")</f>
        <v>Masonry</v>
      </c>
      <c r="J3096" s="2" t="str">
        <f>IFERROR(__xludf.DUMMYFUNCTION("""COMPUTED_VALUE"""),"All amenities")</f>
        <v>All amenities</v>
      </c>
      <c r="K3096" s="2">
        <f>IFERROR(__xludf.DUMMYFUNCTION("""COMPUTED_VALUE"""),120000.0)</f>
        <v>120000</v>
      </c>
      <c r="L3096" s="2">
        <f>IFERROR(__xludf.DUMMYFUNCTION("""COMPUTED_VALUE"""),56.97584815)</f>
        <v>56.97584815</v>
      </c>
      <c r="M3096" s="2">
        <f>IFERROR(__xludf.DUMMYFUNCTION("""COMPUTED_VALUE"""),24.1689365790638)</f>
        <v>24.16893658</v>
      </c>
    </row>
    <row r="3097">
      <c r="A3097" s="2" t="str">
        <f>IFERROR(__xludf.DUMMYFUNCTION("""COMPUTED_VALUE"""),"For sale")</f>
        <v>For sale</v>
      </c>
      <c r="B3097" s="2" t="str">
        <f>IFERROR(__xludf.DUMMYFUNCTION("""COMPUTED_VALUE"""),"centrs")</f>
        <v>centrs</v>
      </c>
      <c r="C3097" s="2" t="str">
        <f>IFERROR(__xludf.DUMMYFUNCTION("""COMPUTED_VALUE"""),"Dzirnavu 62")</f>
        <v>Dzirnavu 62</v>
      </c>
      <c r="D3097" s="2">
        <f>IFERROR(__xludf.DUMMYFUNCTION("""COMPUTED_VALUE"""),5.0)</f>
        <v>5</v>
      </c>
      <c r="E3097" s="2">
        <f>IFERROR(__xludf.DUMMYFUNCTION("""COMPUTED_VALUE"""),132.0)</f>
        <v>132</v>
      </c>
      <c r="F3097" s="2">
        <f>IFERROR(__xludf.DUMMYFUNCTION("""COMPUTED_VALUE"""),4.0)</f>
        <v>4</v>
      </c>
      <c r="G3097" s="2">
        <f>IFERROR(__xludf.DUMMYFUNCTION("""COMPUTED_VALUE"""),5.0)</f>
        <v>5</v>
      </c>
      <c r="H3097" s="2" t="str">
        <f>IFERROR(__xludf.DUMMYFUNCTION("""COMPUTED_VALUE"""),"P. kara")</f>
        <v>P. kara</v>
      </c>
      <c r="I3097" s="2" t="str">
        <f>IFERROR(__xludf.DUMMYFUNCTION("""COMPUTED_VALUE"""),"Masonry")</f>
        <v>Masonry</v>
      </c>
      <c r="J3097" s="2" t="str">
        <f>IFERROR(__xludf.DUMMYFUNCTION("""COMPUTED_VALUE"""),"All amenities")</f>
        <v>All amenities</v>
      </c>
      <c r="K3097" s="2">
        <f>IFERROR(__xludf.DUMMYFUNCTION("""COMPUTED_VALUE"""),232000.0)</f>
        <v>232000</v>
      </c>
      <c r="L3097" s="2">
        <f>IFERROR(__xludf.DUMMYFUNCTION("""COMPUTED_VALUE"""),56.9542735)</f>
        <v>56.9542735</v>
      </c>
      <c r="M3097" s="2">
        <f>IFERROR(__xludf.DUMMYFUNCTION("""COMPUTED_VALUE"""),24.1202367)</f>
        <v>24.1202367</v>
      </c>
    </row>
    <row r="3098">
      <c r="A3098" s="2" t="str">
        <f>IFERROR(__xludf.DUMMYFUNCTION("""COMPUTED_VALUE"""),"For rent")</f>
        <v>For rent</v>
      </c>
      <c r="B3098" s="2" t="str">
        <f>IFERROR(__xludf.DUMMYFUNCTION("""COMPUTED_VALUE"""),"Purvciems")</f>
        <v>Purvciems</v>
      </c>
      <c r="C3098" s="2" t="str">
        <f>IFERROR(__xludf.DUMMYFUNCTION("""COMPUTED_VALUE"""),"Stirnu 4")</f>
        <v>Stirnu 4</v>
      </c>
      <c r="D3098" s="2">
        <f>IFERROR(__xludf.DUMMYFUNCTION("""COMPUTED_VALUE"""),2.0)</f>
        <v>2</v>
      </c>
      <c r="E3098" s="2">
        <f>IFERROR(__xludf.DUMMYFUNCTION("""COMPUTED_VALUE"""),40.0)</f>
        <v>40</v>
      </c>
      <c r="F3098" s="2">
        <f>IFERROR(__xludf.DUMMYFUNCTION("""COMPUTED_VALUE"""),2.0)</f>
        <v>2</v>
      </c>
      <c r="G3098" s="2">
        <f>IFERROR(__xludf.DUMMYFUNCTION("""COMPUTED_VALUE"""),5.0)</f>
        <v>5</v>
      </c>
      <c r="H3098" s="2" t="str">
        <f>IFERROR(__xludf.DUMMYFUNCTION("""COMPUTED_VALUE"""),"LT proj.")</f>
        <v>LT proj.</v>
      </c>
      <c r="I3098" s="2" t="str">
        <f>IFERROR(__xludf.DUMMYFUNCTION("""COMPUTED_VALUE"""),"Panel-Brick")</f>
        <v>Panel-Brick</v>
      </c>
      <c r="J3098" s="2" t="str">
        <f>IFERROR(__xludf.DUMMYFUNCTION("""COMPUTED_VALUE"""),"All amenities")</f>
        <v>All amenities</v>
      </c>
      <c r="K3098" s="2">
        <f>IFERROR(__xludf.DUMMYFUNCTION("""COMPUTED_VALUE"""),30.0)</f>
        <v>30</v>
      </c>
      <c r="L3098" s="2">
        <f>IFERROR(__xludf.DUMMYFUNCTION("""COMPUTED_VALUE"""),56.9513344)</f>
        <v>56.9513344</v>
      </c>
      <c r="M3098" s="2">
        <f>IFERROR(__xludf.DUMMYFUNCTION("""COMPUTED_VALUE"""),24.184393)</f>
        <v>24.184393</v>
      </c>
    </row>
    <row r="3099">
      <c r="A3099" s="2" t="str">
        <f>IFERROR(__xludf.DUMMYFUNCTION("""COMPUTED_VALUE"""),"For sale")</f>
        <v>For sale</v>
      </c>
      <c r="B3099" s="2" t="str">
        <f>IFERROR(__xludf.DUMMYFUNCTION("""COMPUTED_VALUE"""),"Imanta")</f>
        <v>Imanta</v>
      </c>
      <c r="C3099" s="2" t="str">
        <f>IFERROR(__xludf.DUMMYFUNCTION("""COMPUTED_VALUE"""),"Rigondas g. 10")</f>
        <v>Rigondas g. 10</v>
      </c>
      <c r="D3099" s="2">
        <f>IFERROR(__xludf.DUMMYFUNCTION("""COMPUTED_VALUE"""),3.0)</f>
        <v>3</v>
      </c>
      <c r="E3099" s="2">
        <f>IFERROR(__xludf.DUMMYFUNCTION("""COMPUTED_VALUE"""),63.0)</f>
        <v>63</v>
      </c>
      <c r="F3099" s="2">
        <f>IFERROR(__xludf.DUMMYFUNCTION("""COMPUTED_VALUE"""),9.0)</f>
        <v>9</v>
      </c>
      <c r="G3099" s="2">
        <f>IFERROR(__xludf.DUMMYFUNCTION("""COMPUTED_VALUE"""),9.0)</f>
        <v>9</v>
      </c>
      <c r="H3099" s="2">
        <f>IFERROR(__xludf.DUMMYFUNCTION("""COMPUTED_VALUE"""),602.0)</f>
        <v>602</v>
      </c>
      <c r="I3099" s="2" t="str">
        <f>IFERROR(__xludf.DUMMYFUNCTION("""COMPUTED_VALUE"""),"Panel")</f>
        <v>Panel</v>
      </c>
      <c r="J3099" s="2" t="str">
        <f>IFERROR(__xludf.DUMMYFUNCTION("""COMPUTED_VALUE"""),"All amenities")</f>
        <v>All amenities</v>
      </c>
      <c r="K3099" s="2">
        <f>IFERROR(__xludf.DUMMYFUNCTION("""COMPUTED_VALUE"""),72800.0)</f>
        <v>72800</v>
      </c>
      <c r="L3099" s="2">
        <f>IFERROR(__xludf.DUMMYFUNCTION("""COMPUTED_VALUE"""),56.9648157)</f>
        <v>56.9648157</v>
      </c>
      <c r="M3099" s="2">
        <f>IFERROR(__xludf.DUMMYFUNCTION("""COMPUTED_VALUE"""),24.0190534)</f>
        <v>24.0190534</v>
      </c>
    </row>
    <row r="3100">
      <c r="A3100" s="2" t="str">
        <f>IFERROR(__xludf.DUMMYFUNCTION("""COMPUTED_VALUE"""),"For sale")</f>
        <v>For sale</v>
      </c>
      <c r="B3100" s="2" t="str">
        <f>IFERROR(__xludf.DUMMYFUNCTION("""COMPUTED_VALUE"""),"Šķirotava")</f>
        <v>Šķirotava</v>
      </c>
      <c r="C3100" s="2" t="str">
        <f>IFERROR(__xludf.DUMMYFUNCTION("""COMPUTED_VALUE"""),"Gravas 17")</f>
        <v>Gravas 17</v>
      </c>
      <c r="D3100" s="2">
        <f>IFERROR(__xludf.DUMMYFUNCTION("""COMPUTED_VALUE"""),4.0)</f>
        <v>4</v>
      </c>
      <c r="E3100" s="2">
        <f>IFERROR(__xludf.DUMMYFUNCTION("""COMPUTED_VALUE"""),101.0)</f>
        <v>101</v>
      </c>
      <c r="F3100" s="2">
        <f>IFERROR(__xludf.DUMMYFUNCTION("""COMPUTED_VALUE"""),5.0)</f>
        <v>5</v>
      </c>
      <c r="G3100" s="2">
        <f>IFERROR(__xludf.DUMMYFUNCTION("""COMPUTED_VALUE"""),5.0)</f>
        <v>5</v>
      </c>
      <c r="H3100" s="2" t="str">
        <f>IFERROR(__xludf.DUMMYFUNCTION("""COMPUTED_VALUE"""),"Jaun.")</f>
        <v>Jaun.</v>
      </c>
      <c r="I3100" s="2" t="str">
        <f>IFERROR(__xludf.DUMMYFUNCTION("""COMPUTED_VALUE"""),"Masonry")</f>
        <v>Masonry</v>
      </c>
      <c r="J3100" s="2" t="str">
        <f>IFERROR(__xludf.DUMMYFUNCTION("""COMPUTED_VALUE"""),"All amenities")</f>
        <v>All amenities</v>
      </c>
      <c r="K3100" s="2">
        <f>IFERROR(__xludf.DUMMYFUNCTION("""COMPUTED_VALUE"""),95000.0)</f>
        <v>95000</v>
      </c>
      <c r="L3100" s="2">
        <f>IFERROR(__xludf.DUMMYFUNCTION("""COMPUTED_VALUE"""),56.9051508999999)</f>
        <v>56.9051509</v>
      </c>
      <c r="M3100" s="2">
        <f>IFERROR(__xludf.DUMMYFUNCTION("""COMPUTED_VALUE"""),24.2295887977555)</f>
        <v>24.2295888</v>
      </c>
    </row>
    <row r="3101">
      <c r="A3101" s="2" t="str">
        <f>IFERROR(__xludf.DUMMYFUNCTION("""COMPUTED_VALUE"""),"For sale")</f>
        <v>For sale</v>
      </c>
      <c r="B3101" s="2" t="str">
        <f>IFERROR(__xludf.DUMMYFUNCTION("""COMPUTED_VALUE"""),"centrs")</f>
        <v>centrs</v>
      </c>
      <c r="C3101" s="2" t="str">
        <f>IFERROR(__xludf.DUMMYFUNCTION("""COMPUTED_VALUE"""),"J. Daliņa 8")</f>
        <v>J. Daliņa 8</v>
      </c>
      <c r="D3101" s="2">
        <f>IFERROR(__xludf.DUMMYFUNCTION("""COMPUTED_VALUE"""),4.0)</f>
        <v>4</v>
      </c>
      <c r="E3101" s="2">
        <f>IFERROR(__xludf.DUMMYFUNCTION("""COMPUTED_VALUE"""),130.4)</f>
        <v>130.4</v>
      </c>
      <c r="F3101" s="2">
        <f>IFERROR(__xludf.DUMMYFUNCTION("""COMPUTED_VALUE"""),12.0)</f>
        <v>12</v>
      </c>
      <c r="G3101" s="2">
        <f>IFERROR(__xludf.DUMMYFUNCTION("""COMPUTED_VALUE"""),24.0)</f>
        <v>24</v>
      </c>
      <c r="H3101" s="2" t="str">
        <f>IFERROR(__xludf.DUMMYFUNCTION("""COMPUTED_VALUE"""),"Jaun.")</f>
        <v>Jaun.</v>
      </c>
      <c r="I3101" s="2" t="str">
        <f>IFERROR(__xludf.DUMMYFUNCTION("""COMPUTED_VALUE"""),"Panel")</f>
        <v>Panel</v>
      </c>
      <c r="J3101" s="2" t="str">
        <f>IFERROR(__xludf.DUMMYFUNCTION("""COMPUTED_VALUE"""),"All amenities")</f>
        <v>All amenities</v>
      </c>
      <c r="K3101" s="2">
        <f>IFERROR(__xludf.DUMMYFUNCTION("""COMPUTED_VALUE"""),309000.0)</f>
        <v>309000</v>
      </c>
      <c r="L3101" s="2" t="str">
        <f>IFERROR(__xludf.DUMMYFUNCTION("""COMPUTED_VALUE"""),"NaN")</f>
        <v>NaN</v>
      </c>
      <c r="M3101" s="2" t="str">
        <f>IFERROR(__xludf.DUMMYFUNCTION("""COMPUTED_VALUE"""),"NaN")</f>
        <v>NaN</v>
      </c>
    </row>
    <row r="3102">
      <c r="A3102" s="2" t="str">
        <f>IFERROR(__xludf.DUMMYFUNCTION("""COMPUTED_VALUE"""),"For rent")</f>
        <v>For rent</v>
      </c>
      <c r="B3102" s="2" t="str">
        <f>IFERROR(__xludf.DUMMYFUNCTION("""COMPUTED_VALUE"""),"Klīversala")</f>
        <v>Klīversala</v>
      </c>
      <c r="C3102" s="2" t="str">
        <f>IFERROR(__xludf.DUMMYFUNCTION("""COMPUTED_VALUE"""),"Akmeņu 16a")</f>
        <v>Akmeņu 16a</v>
      </c>
      <c r="D3102" s="2">
        <f>IFERROR(__xludf.DUMMYFUNCTION("""COMPUTED_VALUE"""),2.0)</f>
        <v>2</v>
      </c>
      <c r="E3102" s="2">
        <f>IFERROR(__xludf.DUMMYFUNCTION("""COMPUTED_VALUE"""),81.0)</f>
        <v>81</v>
      </c>
      <c r="F3102" s="2">
        <f>IFERROR(__xludf.DUMMYFUNCTION("""COMPUTED_VALUE"""),3.0)</f>
        <v>3</v>
      </c>
      <c r="G3102" s="2">
        <f>IFERROR(__xludf.DUMMYFUNCTION("""COMPUTED_VALUE"""),4.0)</f>
        <v>4</v>
      </c>
      <c r="H3102" s="2" t="str">
        <f>IFERROR(__xludf.DUMMYFUNCTION("""COMPUTED_VALUE"""),"P. kara")</f>
        <v>P. kara</v>
      </c>
      <c r="I3102" s="2" t="str">
        <f>IFERROR(__xludf.DUMMYFUNCTION("""COMPUTED_VALUE"""),"Brick")</f>
        <v>Brick</v>
      </c>
      <c r="J3102" s="2" t="str">
        <f>IFERROR(__xludf.DUMMYFUNCTION("""COMPUTED_VALUE"""),"All amenities")</f>
        <v>All amenities</v>
      </c>
      <c r="K3102" s="2">
        <f>IFERROR(__xludf.DUMMYFUNCTION("""COMPUTED_VALUE"""),550.0)</f>
        <v>550</v>
      </c>
      <c r="L3102" s="2">
        <f>IFERROR(__xludf.DUMMYFUNCTION("""COMPUTED_VALUE"""),56.93929165)</f>
        <v>56.93929165</v>
      </c>
      <c r="M3102" s="2">
        <f>IFERROR(__xludf.DUMMYFUNCTION("""COMPUTED_VALUE"""),24.0974332)</f>
        <v>24.0974332</v>
      </c>
    </row>
    <row r="3103">
      <c r="A3103" s="2" t="str">
        <f>IFERROR(__xludf.DUMMYFUNCTION("""COMPUTED_VALUE"""),"For rent")</f>
        <v>For rent</v>
      </c>
      <c r="B3103" s="2" t="str">
        <f>IFERROR(__xludf.DUMMYFUNCTION("""COMPUTED_VALUE"""),"Maskavas priekšpilsēta")</f>
        <v>Maskavas priekšpilsēta</v>
      </c>
      <c r="C3103" s="2" t="str">
        <f>IFERROR(__xludf.DUMMYFUNCTION("""COMPUTED_VALUE"""),"Krāslavas 24")</f>
        <v>Krāslavas 24</v>
      </c>
      <c r="D3103" s="2">
        <f>IFERROR(__xludf.DUMMYFUNCTION("""COMPUTED_VALUE"""),1.0)</f>
        <v>1</v>
      </c>
      <c r="E3103" s="2">
        <f>IFERROR(__xludf.DUMMYFUNCTION("""COMPUTED_VALUE"""),26.0)</f>
        <v>26</v>
      </c>
      <c r="F3103" s="2">
        <f>IFERROR(__xludf.DUMMYFUNCTION("""COMPUTED_VALUE"""),3.0)</f>
        <v>3</v>
      </c>
      <c r="G3103" s="2">
        <f>IFERROR(__xludf.DUMMYFUNCTION("""COMPUTED_VALUE"""),5.0)</f>
        <v>5</v>
      </c>
      <c r="H3103" s="2" t="str">
        <f>IFERROR(__xludf.DUMMYFUNCTION("""COMPUTED_VALUE"""),"Renov.")</f>
        <v>Renov.</v>
      </c>
      <c r="I3103" s="2" t="str">
        <f>IFERROR(__xludf.DUMMYFUNCTION("""COMPUTED_VALUE"""),"Masonry")</f>
        <v>Masonry</v>
      </c>
      <c r="J3103" s="2" t="str">
        <f>IFERROR(__xludf.DUMMYFUNCTION("""COMPUTED_VALUE"""),"All amenities")</f>
        <v>All amenities</v>
      </c>
      <c r="K3103" s="2">
        <f>IFERROR(__xludf.DUMMYFUNCTION("""COMPUTED_VALUE"""),300.0)</f>
        <v>300</v>
      </c>
      <c r="L3103" s="2">
        <f>IFERROR(__xludf.DUMMYFUNCTION("""COMPUTED_VALUE"""),56.9442174)</f>
        <v>56.9442174</v>
      </c>
      <c r="M3103" s="2">
        <f>IFERROR(__xludf.DUMMYFUNCTION("""COMPUTED_VALUE"""),24.1347447914631)</f>
        <v>24.13474479</v>
      </c>
    </row>
    <row r="3104">
      <c r="A3104" s="2" t="str">
        <f>IFERROR(__xludf.DUMMYFUNCTION("""COMPUTED_VALUE"""),"For sale")</f>
        <v>For sale</v>
      </c>
      <c r="B3104" s="2" t="str">
        <f>IFERROR(__xludf.DUMMYFUNCTION("""COMPUTED_VALUE"""),"centrs")</f>
        <v>centrs</v>
      </c>
      <c r="C3104" s="2" t="str">
        <f>IFERROR(__xludf.DUMMYFUNCTION("""COMPUTED_VALUE"""),"Rūpniecības 16/2")</f>
        <v>Rūpniecības 16/2</v>
      </c>
      <c r="D3104" s="2">
        <f>IFERROR(__xludf.DUMMYFUNCTION("""COMPUTED_VALUE"""),2.0)</f>
        <v>2</v>
      </c>
      <c r="E3104" s="2">
        <f>IFERROR(__xludf.DUMMYFUNCTION("""COMPUTED_VALUE"""),60.0)</f>
        <v>60</v>
      </c>
      <c r="F3104" s="2">
        <f>IFERROR(__xludf.DUMMYFUNCTION("""COMPUTED_VALUE"""),2.0)</f>
        <v>2</v>
      </c>
      <c r="G3104" s="2">
        <f>IFERROR(__xludf.DUMMYFUNCTION("""COMPUTED_VALUE"""),6.0)</f>
        <v>6</v>
      </c>
      <c r="H3104" s="2" t="str">
        <f>IFERROR(__xludf.DUMMYFUNCTION("""COMPUTED_VALUE"""),"P. kara")</f>
        <v>P. kara</v>
      </c>
      <c r="I3104" s="2" t="str">
        <f>IFERROR(__xludf.DUMMYFUNCTION("""COMPUTED_VALUE"""),"Brick")</f>
        <v>Brick</v>
      </c>
      <c r="J3104" s="2" t="str">
        <f>IFERROR(__xludf.DUMMYFUNCTION("""COMPUTED_VALUE"""),"All amenities")</f>
        <v>All amenities</v>
      </c>
      <c r="K3104" s="2">
        <f>IFERROR(__xludf.DUMMYFUNCTION("""COMPUTED_VALUE"""),103000.0)</f>
        <v>103000</v>
      </c>
      <c r="L3104" s="2">
        <f>IFERROR(__xludf.DUMMYFUNCTION("""COMPUTED_VALUE"""),56.9651385)</f>
        <v>56.9651385</v>
      </c>
      <c r="M3104" s="2">
        <f>IFERROR(__xludf.DUMMYFUNCTION("""COMPUTED_VALUE"""),24.1039375)</f>
        <v>24.1039375</v>
      </c>
    </row>
    <row r="3105">
      <c r="A3105" s="2" t="str">
        <f>IFERROR(__xludf.DUMMYFUNCTION("""COMPUTED_VALUE"""),"For sale")</f>
        <v>For sale</v>
      </c>
      <c r="B3105" s="2" t="str">
        <f>IFERROR(__xludf.DUMMYFUNCTION("""COMPUTED_VALUE"""),"centrs")</f>
        <v>centrs</v>
      </c>
      <c r="C3105" s="2" t="str">
        <f>IFERROR(__xludf.DUMMYFUNCTION("""COMPUTED_VALUE"""),"Akas 8")</f>
        <v>Akas 8</v>
      </c>
      <c r="D3105" s="2">
        <f>IFERROR(__xludf.DUMMYFUNCTION("""COMPUTED_VALUE"""),4.0)</f>
        <v>4</v>
      </c>
      <c r="E3105" s="2">
        <f>IFERROR(__xludf.DUMMYFUNCTION("""COMPUTED_VALUE"""),112.0)</f>
        <v>112</v>
      </c>
      <c r="F3105" s="2">
        <f>IFERROR(__xludf.DUMMYFUNCTION("""COMPUTED_VALUE"""),5.0)</f>
        <v>5</v>
      </c>
      <c r="G3105" s="2">
        <f>IFERROR(__xludf.DUMMYFUNCTION("""COMPUTED_VALUE"""),5.0)</f>
        <v>5</v>
      </c>
      <c r="H3105" s="2" t="str">
        <f>IFERROR(__xludf.DUMMYFUNCTION("""COMPUTED_VALUE"""),"Renov.")</f>
        <v>Renov.</v>
      </c>
      <c r="I3105" s="2" t="str">
        <f>IFERROR(__xludf.DUMMYFUNCTION("""COMPUTED_VALUE"""),"Masonry")</f>
        <v>Masonry</v>
      </c>
      <c r="J3105" s="2" t="str">
        <f>IFERROR(__xludf.DUMMYFUNCTION("""COMPUTED_VALUE"""),"All amenities")</f>
        <v>All amenities</v>
      </c>
      <c r="K3105" s="2">
        <f>IFERROR(__xludf.DUMMYFUNCTION("""COMPUTED_VALUE"""),250000.0)</f>
        <v>250000</v>
      </c>
      <c r="L3105" s="2">
        <f>IFERROR(__xludf.DUMMYFUNCTION("""COMPUTED_VALUE"""),56.9563965)</f>
        <v>56.9563965</v>
      </c>
      <c r="M3105" s="2">
        <f>IFERROR(__xludf.DUMMYFUNCTION("""COMPUTED_VALUE"""),24.1252722046352)</f>
        <v>24.1252722</v>
      </c>
    </row>
    <row r="3106">
      <c r="A3106" s="2" t="str">
        <f>IFERROR(__xludf.DUMMYFUNCTION("""COMPUTED_VALUE"""),"For sale")</f>
        <v>For sale</v>
      </c>
      <c r="B3106" s="2" t="str">
        <f>IFERROR(__xludf.DUMMYFUNCTION("""COMPUTED_VALUE"""),"Klīversala")</f>
        <v>Klīversala</v>
      </c>
      <c r="C3106" s="2" t="str">
        <f>IFERROR(__xludf.DUMMYFUNCTION("""COMPUTED_VALUE"""),"St. Rusas 22a")</f>
        <v>St. Rusas 22a</v>
      </c>
      <c r="D3106" s="2">
        <f>IFERROR(__xludf.DUMMYFUNCTION("""COMPUTED_VALUE"""),3.0)</f>
        <v>3</v>
      </c>
      <c r="E3106" s="2">
        <f>IFERROR(__xludf.DUMMYFUNCTION("""COMPUTED_VALUE"""),97.0)</f>
        <v>97</v>
      </c>
      <c r="F3106" s="2">
        <f>IFERROR(__xludf.DUMMYFUNCTION("""COMPUTED_VALUE"""),5.0)</f>
        <v>5</v>
      </c>
      <c r="G3106" s="2">
        <f>IFERROR(__xludf.DUMMYFUNCTION("""COMPUTED_VALUE"""),6.0)</f>
        <v>6</v>
      </c>
      <c r="H3106" s="2" t="str">
        <f>IFERROR(__xludf.DUMMYFUNCTION("""COMPUTED_VALUE"""),"Jaun.")</f>
        <v>Jaun.</v>
      </c>
      <c r="I3106" s="2" t="str">
        <f>IFERROR(__xludf.DUMMYFUNCTION("""COMPUTED_VALUE"""),"Panel")</f>
        <v>Panel</v>
      </c>
      <c r="J3106" s="2" t="str">
        <f>IFERROR(__xludf.DUMMYFUNCTION("""COMPUTED_VALUE"""),"All amenities")</f>
        <v>All amenities</v>
      </c>
      <c r="K3106" s="2">
        <f>IFERROR(__xludf.DUMMYFUNCTION("""COMPUTED_VALUE"""),190000.0)</f>
        <v>190000</v>
      </c>
      <c r="L3106" s="2">
        <f>IFERROR(__xludf.DUMMYFUNCTION("""COMPUTED_VALUE"""),56.94358355)</f>
        <v>56.94358355</v>
      </c>
      <c r="M3106" s="2">
        <f>IFERROR(__xludf.DUMMYFUNCTION("""COMPUTED_VALUE"""),24.0916786902004)</f>
        <v>24.09167869</v>
      </c>
    </row>
    <row r="3107">
      <c r="A3107" s="2" t="str">
        <f>IFERROR(__xludf.DUMMYFUNCTION("""COMPUTED_VALUE"""),"For sale")</f>
        <v>For sale</v>
      </c>
      <c r="B3107" s="2" t="str">
        <f>IFERROR(__xludf.DUMMYFUNCTION("""COMPUTED_VALUE"""),"Pļavnieki")</f>
        <v>Pļavnieki</v>
      </c>
      <c r="C3107" s="2" t="str">
        <f>IFERROR(__xludf.DUMMYFUNCTION("""COMPUTED_VALUE"""),"Dzeņu 7-1")</f>
        <v>Dzeņu 7-1</v>
      </c>
      <c r="D3107" s="2">
        <f>IFERROR(__xludf.DUMMYFUNCTION("""COMPUTED_VALUE"""),2.0)</f>
        <v>2</v>
      </c>
      <c r="E3107" s="2">
        <f>IFERROR(__xludf.DUMMYFUNCTION("""COMPUTED_VALUE"""),65.0)</f>
        <v>65</v>
      </c>
      <c r="F3107" s="2">
        <f>IFERROR(__xludf.DUMMYFUNCTION("""COMPUTED_VALUE"""),2.0)</f>
        <v>2</v>
      </c>
      <c r="G3107" s="2">
        <f>IFERROR(__xludf.DUMMYFUNCTION("""COMPUTED_VALUE"""),9.0)</f>
        <v>9</v>
      </c>
      <c r="H3107" s="2" t="str">
        <f>IFERROR(__xludf.DUMMYFUNCTION("""COMPUTED_VALUE"""),"Jaun.")</f>
        <v>Jaun.</v>
      </c>
      <c r="I3107" s="2" t="str">
        <f>IFERROR(__xludf.DUMMYFUNCTION("""COMPUTED_VALUE"""),"Brick")</f>
        <v>Brick</v>
      </c>
      <c r="J3107" s="2" t="str">
        <f>IFERROR(__xludf.DUMMYFUNCTION("""COMPUTED_VALUE"""),"All amenities")</f>
        <v>All amenities</v>
      </c>
      <c r="K3107" s="2">
        <f>IFERROR(__xludf.DUMMYFUNCTION("""COMPUTED_VALUE"""),92950.0)</f>
        <v>92950</v>
      </c>
      <c r="L3107" s="2">
        <f>IFERROR(__xludf.DUMMYFUNCTION("""COMPUTED_VALUE"""),56.9401889)</f>
        <v>56.9401889</v>
      </c>
      <c r="M3107" s="2">
        <f>IFERROR(__xludf.DUMMYFUNCTION("""COMPUTED_VALUE"""),24.2111828)</f>
        <v>24.2111828</v>
      </c>
    </row>
    <row r="3108">
      <c r="A3108" s="2" t="str">
        <f>IFERROR(__xludf.DUMMYFUNCTION("""COMPUTED_VALUE"""),"For sale")</f>
        <v>For sale</v>
      </c>
      <c r="B3108" s="2" t="str">
        <f>IFERROR(__xludf.DUMMYFUNCTION("""COMPUTED_VALUE"""),"centrs")</f>
        <v>centrs</v>
      </c>
      <c r="C3108" s="2" t="str">
        <f>IFERROR(__xludf.DUMMYFUNCTION("""COMPUTED_VALUE"""),"Čaka 146")</f>
        <v>Čaka 146</v>
      </c>
      <c r="D3108" s="2">
        <f>IFERROR(__xludf.DUMMYFUNCTION("""COMPUTED_VALUE"""),2.0)</f>
        <v>2</v>
      </c>
      <c r="E3108" s="2">
        <f>IFERROR(__xludf.DUMMYFUNCTION("""COMPUTED_VALUE"""),76.0)</f>
        <v>76</v>
      </c>
      <c r="F3108" s="2">
        <f>IFERROR(__xludf.DUMMYFUNCTION("""COMPUTED_VALUE"""),2.0)</f>
        <v>2</v>
      </c>
      <c r="G3108" s="2">
        <f>IFERROR(__xludf.DUMMYFUNCTION("""COMPUTED_VALUE"""),5.0)</f>
        <v>5</v>
      </c>
      <c r="H3108" s="2" t="str">
        <f>IFERROR(__xludf.DUMMYFUNCTION("""COMPUTED_VALUE"""),"P. kara")</f>
        <v>P. kara</v>
      </c>
      <c r="I3108" s="2" t="str">
        <f>IFERROR(__xludf.DUMMYFUNCTION("""COMPUTED_VALUE"""),"Masonry")</f>
        <v>Masonry</v>
      </c>
      <c r="J3108" s="2" t="str">
        <f>IFERROR(__xludf.DUMMYFUNCTION("""COMPUTED_VALUE"""),"All amenities")</f>
        <v>All amenities</v>
      </c>
      <c r="K3108" s="2">
        <f>IFERROR(__xludf.DUMMYFUNCTION("""COMPUTED_VALUE"""),110000.0)</f>
        <v>110000</v>
      </c>
      <c r="L3108" s="2">
        <f>IFERROR(__xludf.DUMMYFUNCTION("""COMPUTED_VALUE"""),56.962802)</f>
        <v>56.962802</v>
      </c>
      <c r="M3108" s="2">
        <f>IFERROR(__xludf.DUMMYFUNCTION("""COMPUTED_VALUE"""),24.1495316)</f>
        <v>24.1495316</v>
      </c>
    </row>
    <row r="3109">
      <c r="A3109" s="2" t="str">
        <f>IFERROR(__xludf.DUMMYFUNCTION("""COMPUTED_VALUE"""),"For sale")</f>
        <v>For sale</v>
      </c>
      <c r="B3109" s="2" t="str">
        <f>IFERROR(__xludf.DUMMYFUNCTION("""COMPUTED_VALUE"""),"Āgenskalns")</f>
        <v>Āgenskalns</v>
      </c>
      <c r="C3109" s="2" t="str">
        <f>IFERROR(__xludf.DUMMYFUNCTION("""COMPUTED_VALUE"""),"Zemaišu 1")</f>
        <v>Zemaišu 1</v>
      </c>
      <c r="D3109" s="2">
        <f>IFERROR(__xludf.DUMMYFUNCTION("""COMPUTED_VALUE"""),1.0)</f>
        <v>1</v>
      </c>
      <c r="E3109" s="2">
        <f>IFERROR(__xludf.DUMMYFUNCTION("""COMPUTED_VALUE"""),40.0)</f>
        <v>40</v>
      </c>
      <c r="F3109" s="2">
        <f>IFERROR(__xludf.DUMMYFUNCTION("""COMPUTED_VALUE"""),4.0)</f>
        <v>4</v>
      </c>
      <c r="G3109" s="2">
        <f>IFERROR(__xludf.DUMMYFUNCTION("""COMPUTED_VALUE"""),4.0)</f>
        <v>4</v>
      </c>
      <c r="H3109" s="2" t="str">
        <f>IFERROR(__xludf.DUMMYFUNCTION("""COMPUTED_VALUE"""),"Hrušč.")</f>
        <v>Hrušč.</v>
      </c>
      <c r="I3109" s="2" t="str">
        <f>IFERROR(__xludf.DUMMYFUNCTION("""COMPUTED_VALUE"""),"Panel")</f>
        <v>Panel</v>
      </c>
      <c r="J3109" s="2" t="str">
        <f>IFERROR(__xludf.DUMMYFUNCTION("""COMPUTED_VALUE"""),"All amenities")</f>
        <v>All amenities</v>
      </c>
      <c r="K3109" s="2">
        <f>IFERROR(__xludf.DUMMYFUNCTION("""COMPUTED_VALUE"""),47000.0)</f>
        <v>47000</v>
      </c>
      <c r="L3109" s="2">
        <f>IFERROR(__xludf.DUMMYFUNCTION("""COMPUTED_VALUE"""),56.9310912)</f>
        <v>56.9310912</v>
      </c>
      <c r="M3109" s="2">
        <f>IFERROR(__xludf.DUMMYFUNCTION("""COMPUTED_VALUE"""),24.0716055432673)</f>
        <v>24.07160554</v>
      </c>
    </row>
    <row r="3110">
      <c r="A3110" s="2" t="str">
        <f>IFERROR(__xludf.DUMMYFUNCTION("""COMPUTED_VALUE"""),"For sale")</f>
        <v>For sale</v>
      </c>
      <c r="B3110" s="2" t="str">
        <f>IFERROR(__xludf.DUMMYFUNCTION("""COMPUTED_VALUE"""),"Purvciems")</f>
        <v>Purvciems</v>
      </c>
      <c r="C3110" s="2" t="str">
        <f>IFERROR(__xludf.DUMMYFUNCTION("""COMPUTED_VALUE"""),"Nīcgales 9")</f>
        <v>Nīcgales 9</v>
      </c>
      <c r="D3110" s="2">
        <f>IFERROR(__xludf.DUMMYFUNCTION("""COMPUTED_VALUE"""),2.0)</f>
        <v>2</v>
      </c>
      <c r="E3110" s="2">
        <f>IFERROR(__xludf.DUMMYFUNCTION("""COMPUTED_VALUE"""),49.0)</f>
        <v>49</v>
      </c>
      <c r="F3110" s="2">
        <f>IFERROR(__xludf.DUMMYFUNCTION("""COMPUTED_VALUE"""),1.0)</f>
        <v>1</v>
      </c>
      <c r="G3110" s="2">
        <f>IFERROR(__xludf.DUMMYFUNCTION("""COMPUTED_VALUE"""),5.0)</f>
        <v>5</v>
      </c>
      <c r="H3110" s="2" t="str">
        <f>IFERROR(__xludf.DUMMYFUNCTION("""COMPUTED_VALUE"""),"LT proj.")</f>
        <v>LT proj.</v>
      </c>
      <c r="I3110" s="2" t="str">
        <f>IFERROR(__xludf.DUMMYFUNCTION("""COMPUTED_VALUE"""),"Panel-Brick")</f>
        <v>Panel-Brick</v>
      </c>
      <c r="J3110" s="2" t="str">
        <f>IFERROR(__xludf.DUMMYFUNCTION("""COMPUTED_VALUE"""),"All amenities")</f>
        <v>All amenities</v>
      </c>
      <c r="K3110" s="2">
        <f>IFERROR(__xludf.DUMMYFUNCTION("""COMPUTED_VALUE"""),48000.0)</f>
        <v>48000</v>
      </c>
      <c r="L3110" s="2">
        <f>IFERROR(__xludf.DUMMYFUNCTION("""COMPUTED_VALUE"""),56.9572401)</f>
        <v>56.9572401</v>
      </c>
      <c r="M3110" s="2">
        <f>IFERROR(__xludf.DUMMYFUNCTION("""COMPUTED_VALUE"""),24.1779622)</f>
        <v>24.1779622</v>
      </c>
    </row>
    <row r="3111">
      <c r="A3111" s="2" t="str">
        <f>IFERROR(__xludf.DUMMYFUNCTION("""COMPUTED_VALUE"""),"For sale")</f>
        <v>For sale</v>
      </c>
      <c r="B3111" s="2" t="str">
        <f>IFERROR(__xludf.DUMMYFUNCTION("""COMPUTED_VALUE"""),"Jugla")</f>
        <v>Jugla</v>
      </c>
      <c r="C3111" s="2" t="str">
        <f>IFERROR(__xludf.DUMMYFUNCTION("""COMPUTED_VALUE"""),"Murjāņu 34")</f>
        <v>Murjāņu 34</v>
      </c>
      <c r="D3111" s="2">
        <f>IFERROR(__xludf.DUMMYFUNCTION("""COMPUTED_VALUE"""),2.0)</f>
        <v>2</v>
      </c>
      <c r="E3111" s="2">
        <f>IFERROR(__xludf.DUMMYFUNCTION("""COMPUTED_VALUE"""),47.0)</f>
        <v>47</v>
      </c>
      <c r="F3111" s="2">
        <f>IFERROR(__xludf.DUMMYFUNCTION("""COMPUTED_VALUE"""),5.0)</f>
        <v>5</v>
      </c>
      <c r="G3111" s="2">
        <f>IFERROR(__xludf.DUMMYFUNCTION("""COMPUTED_VALUE"""),5.0)</f>
        <v>5</v>
      </c>
      <c r="H3111" s="2" t="str">
        <f>IFERROR(__xludf.DUMMYFUNCTION("""COMPUTED_VALUE"""),"Hrušč.")</f>
        <v>Hrušč.</v>
      </c>
      <c r="I3111" s="2" t="str">
        <f>IFERROR(__xludf.DUMMYFUNCTION("""COMPUTED_VALUE"""),"Panel")</f>
        <v>Panel</v>
      </c>
      <c r="J3111" s="2" t="str">
        <f>IFERROR(__xludf.DUMMYFUNCTION("""COMPUTED_VALUE"""),"All amenities")</f>
        <v>All amenities</v>
      </c>
      <c r="K3111" s="2">
        <f>IFERROR(__xludf.DUMMYFUNCTION("""COMPUTED_VALUE"""),40000.0)</f>
        <v>40000</v>
      </c>
      <c r="L3111" s="2">
        <f>IFERROR(__xludf.DUMMYFUNCTION("""COMPUTED_VALUE"""),56.97925895)</f>
        <v>56.97925895</v>
      </c>
      <c r="M3111" s="2">
        <f>IFERROR(__xludf.DUMMYFUNCTION("""COMPUTED_VALUE"""),24.2475975230015)</f>
        <v>24.24759752</v>
      </c>
    </row>
    <row r="3112">
      <c r="A3112" s="2" t="str">
        <f>IFERROR(__xludf.DUMMYFUNCTION("""COMPUTED_VALUE"""),"For sale")</f>
        <v>For sale</v>
      </c>
      <c r="B3112" s="2" t="str">
        <f>IFERROR(__xludf.DUMMYFUNCTION("""COMPUTED_VALUE"""),"centrs")</f>
        <v>centrs</v>
      </c>
      <c r="C3112" s="2" t="str">
        <f>IFERROR(__xludf.DUMMYFUNCTION("""COMPUTED_VALUE"""),"Tomsona 34")</f>
        <v>Tomsona 34</v>
      </c>
      <c r="D3112" s="2">
        <f>IFERROR(__xludf.DUMMYFUNCTION("""COMPUTED_VALUE"""),2.0)</f>
        <v>2</v>
      </c>
      <c r="E3112" s="2">
        <f>IFERROR(__xludf.DUMMYFUNCTION("""COMPUTED_VALUE"""),43.0)</f>
        <v>43</v>
      </c>
      <c r="F3112" s="2">
        <f>IFERROR(__xludf.DUMMYFUNCTION("""COMPUTED_VALUE"""),5.0)</f>
        <v>5</v>
      </c>
      <c r="G3112" s="2">
        <f>IFERROR(__xludf.DUMMYFUNCTION("""COMPUTED_VALUE"""),5.0)</f>
        <v>5</v>
      </c>
      <c r="H3112" s="2" t="str">
        <f>IFERROR(__xludf.DUMMYFUNCTION("""COMPUTED_VALUE"""),"Hrušč.")</f>
        <v>Hrušč.</v>
      </c>
      <c r="I3112" s="2" t="str">
        <f>IFERROR(__xludf.DUMMYFUNCTION("""COMPUTED_VALUE"""),"Brick")</f>
        <v>Brick</v>
      </c>
      <c r="J3112" s="2" t="str">
        <f>IFERROR(__xludf.DUMMYFUNCTION("""COMPUTED_VALUE"""),"All amenities")</f>
        <v>All amenities</v>
      </c>
      <c r="K3112" s="2">
        <f>IFERROR(__xludf.DUMMYFUNCTION("""COMPUTED_VALUE"""),62000.0)</f>
        <v>62000</v>
      </c>
      <c r="L3112" s="2">
        <f>IFERROR(__xludf.DUMMYFUNCTION("""COMPUTED_VALUE"""),56.96762)</f>
        <v>56.96762</v>
      </c>
      <c r="M3112" s="2">
        <f>IFERROR(__xludf.DUMMYFUNCTION("""COMPUTED_VALUE"""),24.1292726749723)</f>
        <v>24.12927267</v>
      </c>
    </row>
    <row r="3113">
      <c r="A3113" s="2" t="str">
        <f>IFERROR(__xludf.DUMMYFUNCTION("""COMPUTED_VALUE"""),"For rent")</f>
        <v>For rent</v>
      </c>
      <c r="B3113" s="2" t="str">
        <f>IFERROR(__xludf.DUMMYFUNCTION("""COMPUTED_VALUE"""),"Maskavas priekšpilsēta")</f>
        <v>Maskavas priekšpilsēta</v>
      </c>
      <c r="C3113" s="2" t="str">
        <f>IFERROR(__xludf.DUMMYFUNCTION("""COMPUTED_VALUE"""),"Krāslavas 24")</f>
        <v>Krāslavas 24</v>
      </c>
      <c r="D3113" s="2">
        <f>IFERROR(__xludf.DUMMYFUNCTION("""COMPUTED_VALUE"""),2.0)</f>
        <v>2</v>
      </c>
      <c r="E3113" s="2">
        <f>IFERROR(__xludf.DUMMYFUNCTION("""COMPUTED_VALUE"""),32.0)</f>
        <v>32</v>
      </c>
      <c r="F3113" s="2">
        <f>IFERROR(__xludf.DUMMYFUNCTION("""COMPUTED_VALUE"""),3.0)</f>
        <v>3</v>
      </c>
      <c r="G3113" s="2">
        <f>IFERROR(__xludf.DUMMYFUNCTION("""COMPUTED_VALUE"""),5.0)</f>
        <v>5</v>
      </c>
      <c r="H3113" s="2" t="str">
        <f>IFERROR(__xludf.DUMMYFUNCTION("""COMPUTED_VALUE"""),"Renov.")</f>
        <v>Renov.</v>
      </c>
      <c r="I3113" s="2" t="str">
        <f>IFERROR(__xludf.DUMMYFUNCTION("""COMPUTED_VALUE"""),"Masonry")</f>
        <v>Masonry</v>
      </c>
      <c r="J3113" s="2" t="str">
        <f>IFERROR(__xludf.DUMMYFUNCTION("""COMPUTED_VALUE"""),"All amenities")</f>
        <v>All amenities</v>
      </c>
      <c r="K3113" s="2">
        <f>IFERROR(__xludf.DUMMYFUNCTION("""COMPUTED_VALUE"""),350.0)</f>
        <v>350</v>
      </c>
      <c r="L3113" s="2">
        <f>IFERROR(__xludf.DUMMYFUNCTION("""COMPUTED_VALUE"""),56.9442174)</f>
        <v>56.9442174</v>
      </c>
      <c r="M3113" s="2">
        <f>IFERROR(__xludf.DUMMYFUNCTION("""COMPUTED_VALUE"""),24.1347447914631)</f>
        <v>24.13474479</v>
      </c>
    </row>
    <row r="3114">
      <c r="A3114" s="2" t="str">
        <f>IFERROR(__xludf.DUMMYFUNCTION("""COMPUTED_VALUE"""),"For rent")</f>
        <v>For rent</v>
      </c>
      <c r="B3114" s="2" t="str">
        <f>IFERROR(__xludf.DUMMYFUNCTION("""COMPUTED_VALUE"""),"centrs")</f>
        <v>centrs</v>
      </c>
      <c r="C3114" s="2" t="str">
        <f>IFERROR(__xludf.DUMMYFUNCTION("""COMPUTED_VALUE"""),"Brīvības bulvāris 19")</f>
        <v>Brīvības bulvāris 19</v>
      </c>
      <c r="D3114" s="2">
        <f>IFERROR(__xludf.DUMMYFUNCTION("""COMPUTED_VALUE"""),3.0)</f>
        <v>3</v>
      </c>
      <c r="E3114" s="2">
        <f>IFERROR(__xludf.DUMMYFUNCTION("""COMPUTED_VALUE"""),200.0)</f>
        <v>200</v>
      </c>
      <c r="F3114" s="2">
        <f>IFERROR(__xludf.DUMMYFUNCTION("""COMPUTED_VALUE"""),5.0)</f>
        <v>5</v>
      </c>
      <c r="G3114" s="2">
        <f>IFERROR(__xludf.DUMMYFUNCTION("""COMPUTED_VALUE"""),6.0)</f>
        <v>6</v>
      </c>
      <c r="H3114" s="2" t="str">
        <f>IFERROR(__xludf.DUMMYFUNCTION("""COMPUTED_VALUE"""),"Renov.")</f>
        <v>Renov.</v>
      </c>
      <c r="I3114" s="2" t="str">
        <f>IFERROR(__xludf.DUMMYFUNCTION("""COMPUTED_VALUE"""),"Masonry")</f>
        <v>Masonry</v>
      </c>
      <c r="J3114" s="2" t="str">
        <f>IFERROR(__xludf.DUMMYFUNCTION("""COMPUTED_VALUE"""),"All amenities")</f>
        <v>All amenities</v>
      </c>
      <c r="K3114" s="2">
        <f>IFERROR(__xludf.DUMMYFUNCTION("""COMPUTED_VALUE"""),1600.0)</f>
        <v>1600</v>
      </c>
      <c r="L3114" s="2">
        <f>IFERROR(__xludf.DUMMYFUNCTION("""COMPUTED_VALUE"""),56.9521409)</f>
        <v>56.9521409</v>
      </c>
      <c r="M3114" s="2">
        <f>IFERROR(__xludf.DUMMYFUNCTION("""COMPUTED_VALUE"""),24.1137239)</f>
        <v>24.1137239</v>
      </c>
    </row>
    <row r="3115">
      <c r="A3115" s="2" t="str">
        <f>IFERROR(__xludf.DUMMYFUNCTION("""COMPUTED_VALUE"""),"For sale")</f>
        <v>For sale</v>
      </c>
      <c r="B3115" s="2" t="str">
        <f>IFERROR(__xludf.DUMMYFUNCTION("""COMPUTED_VALUE"""),"Vecrīga")</f>
        <v>Vecrīga</v>
      </c>
      <c r="C3115" s="2" t="str">
        <f>IFERROR(__xludf.DUMMYFUNCTION("""COMPUTED_VALUE"""),"Skārņu 25")</f>
        <v>Skārņu 25</v>
      </c>
      <c r="D3115" s="2">
        <f>IFERROR(__xludf.DUMMYFUNCTION("""COMPUTED_VALUE"""),3.0)</f>
        <v>3</v>
      </c>
      <c r="E3115" s="2">
        <f>IFERROR(__xludf.DUMMYFUNCTION("""COMPUTED_VALUE"""),85.0)</f>
        <v>85</v>
      </c>
      <c r="F3115" s="2">
        <f>IFERROR(__xludf.DUMMYFUNCTION("""COMPUTED_VALUE"""),5.0)</f>
        <v>5</v>
      </c>
      <c r="G3115" s="2">
        <f>IFERROR(__xludf.DUMMYFUNCTION("""COMPUTED_VALUE"""),5.0)</f>
        <v>5</v>
      </c>
      <c r="H3115" s="2" t="str">
        <f>IFERROR(__xludf.DUMMYFUNCTION("""COMPUTED_VALUE"""),"P. kara")</f>
        <v>P. kara</v>
      </c>
      <c r="I3115" s="2" t="str">
        <f>IFERROR(__xludf.DUMMYFUNCTION("""COMPUTED_VALUE"""),"Masonry")</f>
        <v>Masonry</v>
      </c>
      <c r="J3115" s="2" t="str">
        <f>IFERROR(__xludf.DUMMYFUNCTION("""COMPUTED_VALUE"""),"All amenities")</f>
        <v>All amenities</v>
      </c>
      <c r="K3115" s="2">
        <f>IFERROR(__xludf.DUMMYFUNCTION("""COMPUTED_VALUE"""),140000.0)</f>
        <v>140000</v>
      </c>
      <c r="L3115" s="2">
        <f>IFERROR(__xludf.DUMMYFUNCTION("""COMPUTED_VALUE"""),56.9473175)</f>
        <v>56.9473175</v>
      </c>
      <c r="M3115" s="2">
        <f>IFERROR(__xludf.DUMMYFUNCTION("""COMPUTED_VALUE"""),24.1105898)</f>
        <v>24.1105898</v>
      </c>
    </row>
    <row r="3116">
      <c r="A3116" s="2" t="str">
        <f>IFERROR(__xludf.DUMMYFUNCTION("""COMPUTED_VALUE"""),"For rent")</f>
        <v>For rent</v>
      </c>
      <c r="B3116" s="2" t="str">
        <f>IFERROR(__xludf.DUMMYFUNCTION("""COMPUTED_VALUE"""),"centrs")</f>
        <v>centrs</v>
      </c>
      <c r="C3116" s="2" t="str">
        <f>IFERROR(__xludf.DUMMYFUNCTION("""COMPUTED_VALUE"""),"Čaka 41")</f>
        <v>Čaka 41</v>
      </c>
      <c r="D3116" s="2">
        <f>IFERROR(__xludf.DUMMYFUNCTION("""COMPUTED_VALUE"""),2.0)</f>
        <v>2</v>
      </c>
      <c r="E3116" s="2">
        <f>IFERROR(__xludf.DUMMYFUNCTION("""COMPUTED_VALUE"""),40.0)</f>
        <v>40</v>
      </c>
      <c r="F3116" s="2">
        <f>IFERROR(__xludf.DUMMYFUNCTION("""COMPUTED_VALUE"""),1.0)</f>
        <v>1</v>
      </c>
      <c r="G3116" s="2">
        <f>IFERROR(__xludf.DUMMYFUNCTION("""COMPUTED_VALUE"""),2.0)</f>
        <v>2</v>
      </c>
      <c r="H3116" s="2" t="str">
        <f>IFERROR(__xludf.DUMMYFUNCTION("""COMPUTED_VALUE"""),"P. kara")</f>
        <v>P. kara</v>
      </c>
      <c r="I3116" s="2" t="str">
        <f>IFERROR(__xludf.DUMMYFUNCTION("""COMPUTED_VALUE"""),"Wood")</f>
        <v>Wood</v>
      </c>
      <c r="J3116" s="2" t="str">
        <f>IFERROR(__xludf.DUMMYFUNCTION("""COMPUTED_VALUE"""),"All amenities")</f>
        <v>All amenities</v>
      </c>
      <c r="K3116" s="2">
        <f>IFERROR(__xludf.DUMMYFUNCTION("""COMPUTED_VALUE"""),400.0)</f>
        <v>400</v>
      </c>
      <c r="L3116" s="2">
        <f>IFERROR(__xludf.DUMMYFUNCTION("""COMPUTED_VALUE"""),56.9528907)</f>
        <v>56.9528907</v>
      </c>
      <c r="M3116" s="2">
        <f>IFERROR(__xludf.DUMMYFUNCTION("""COMPUTED_VALUE"""),24.129681)</f>
        <v>24.129681</v>
      </c>
    </row>
    <row r="3117">
      <c r="A3117" s="2" t="str">
        <f>IFERROR(__xludf.DUMMYFUNCTION("""COMPUTED_VALUE"""),"For sale")</f>
        <v>For sale</v>
      </c>
      <c r="B3117" s="2" t="str">
        <f>IFERROR(__xludf.DUMMYFUNCTION("""COMPUTED_VALUE"""),"Ķengarags")</f>
        <v>Ķengarags</v>
      </c>
      <c r="C3117" s="2" t="str">
        <f>IFERROR(__xludf.DUMMYFUNCTION("""COMPUTED_VALUE"""),"Maskavas 254")</f>
        <v>Maskavas 254</v>
      </c>
      <c r="D3117" s="2">
        <f>IFERROR(__xludf.DUMMYFUNCTION("""COMPUTED_VALUE"""),3.0)</f>
        <v>3</v>
      </c>
      <c r="E3117" s="2">
        <f>IFERROR(__xludf.DUMMYFUNCTION("""COMPUTED_VALUE"""),59.0)</f>
        <v>59</v>
      </c>
      <c r="F3117" s="2">
        <f>IFERROR(__xludf.DUMMYFUNCTION("""COMPUTED_VALUE"""),3.0)</f>
        <v>3</v>
      </c>
      <c r="G3117" s="2">
        <f>IFERROR(__xludf.DUMMYFUNCTION("""COMPUTED_VALUE"""),5.0)</f>
        <v>5</v>
      </c>
      <c r="H3117" s="2" t="str">
        <f>IFERROR(__xludf.DUMMYFUNCTION("""COMPUTED_VALUE"""),"LT proj.")</f>
        <v>LT proj.</v>
      </c>
      <c r="I3117" s="2" t="str">
        <f>IFERROR(__xludf.DUMMYFUNCTION("""COMPUTED_VALUE"""),"Brick")</f>
        <v>Brick</v>
      </c>
      <c r="J3117" s="2" t="str">
        <f>IFERROR(__xludf.DUMMYFUNCTION("""COMPUTED_VALUE"""),"All amenities")</f>
        <v>All amenities</v>
      </c>
      <c r="K3117" s="2">
        <f>IFERROR(__xludf.DUMMYFUNCTION("""COMPUTED_VALUE"""),46900.0)</f>
        <v>46900</v>
      </c>
      <c r="L3117" s="2">
        <f>IFERROR(__xludf.DUMMYFUNCTION("""COMPUTED_VALUE"""),56.91162465)</f>
        <v>56.91162465</v>
      </c>
      <c r="M3117" s="2">
        <f>IFERROR(__xludf.DUMMYFUNCTION("""COMPUTED_VALUE"""),24.1743748269825)</f>
        <v>24.17437483</v>
      </c>
    </row>
    <row r="3118">
      <c r="A3118" s="2" t="str">
        <f>IFERROR(__xludf.DUMMYFUNCTION("""COMPUTED_VALUE"""),"For sale")</f>
        <v>For sale</v>
      </c>
      <c r="B3118" s="2" t="str">
        <f>IFERROR(__xludf.DUMMYFUNCTION("""COMPUTED_VALUE"""),"centrs")</f>
        <v>centrs</v>
      </c>
      <c r="C3118" s="2" t="str">
        <f>IFERROR(__xludf.DUMMYFUNCTION("""COMPUTED_VALUE"""),"Stabu 18a")</f>
        <v>Stabu 18a</v>
      </c>
      <c r="D3118" s="2">
        <f>IFERROR(__xludf.DUMMYFUNCTION("""COMPUTED_VALUE"""),5.0)</f>
        <v>5</v>
      </c>
      <c r="E3118" s="2">
        <f>IFERROR(__xludf.DUMMYFUNCTION("""COMPUTED_VALUE"""),137.0)</f>
        <v>137</v>
      </c>
      <c r="F3118" s="2">
        <f>IFERROR(__xludf.DUMMYFUNCTION("""COMPUTED_VALUE"""),3.0)</f>
        <v>3</v>
      </c>
      <c r="G3118" s="2">
        <f>IFERROR(__xludf.DUMMYFUNCTION("""COMPUTED_VALUE"""),5.0)</f>
        <v>5</v>
      </c>
      <c r="H3118" s="2" t="str">
        <f>IFERROR(__xludf.DUMMYFUNCTION("""COMPUTED_VALUE"""),"P. kara")</f>
        <v>P. kara</v>
      </c>
      <c r="I3118" s="2" t="str">
        <f>IFERROR(__xludf.DUMMYFUNCTION("""COMPUTED_VALUE"""),"Masonry")</f>
        <v>Masonry</v>
      </c>
      <c r="J3118" s="2" t="str">
        <f>IFERROR(__xludf.DUMMYFUNCTION("""COMPUTED_VALUE"""),"All amenities")</f>
        <v>All amenities</v>
      </c>
      <c r="K3118" s="2">
        <f>IFERROR(__xludf.DUMMYFUNCTION("""COMPUTED_VALUE"""),199000.0)</f>
        <v>199000</v>
      </c>
      <c r="L3118" s="2">
        <f>IFERROR(__xludf.DUMMYFUNCTION("""COMPUTED_VALUE"""),56.9599606)</f>
        <v>56.9599606</v>
      </c>
      <c r="M3118" s="2">
        <f>IFERROR(__xludf.DUMMYFUNCTION("""COMPUTED_VALUE"""),24.1209763)</f>
        <v>24.1209763</v>
      </c>
    </row>
    <row r="3119">
      <c r="A3119" s="2" t="str">
        <f>IFERROR(__xludf.DUMMYFUNCTION("""COMPUTED_VALUE"""),"For sale")</f>
        <v>For sale</v>
      </c>
      <c r="B3119" s="2" t="str">
        <f>IFERROR(__xludf.DUMMYFUNCTION("""COMPUTED_VALUE"""),"Ķengarags")</f>
        <v>Ķengarags</v>
      </c>
      <c r="C3119" s="2" t="str">
        <f>IFERROR(__xludf.DUMMYFUNCTION("""COMPUTED_VALUE"""),"Rušonu 24/1")</f>
        <v>Rušonu 24/1</v>
      </c>
      <c r="D3119" s="2">
        <f>IFERROR(__xludf.DUMMYFUNCTION("""COMPUTED_VALUE"""),1.0)</f>
        <v>1</v>
      </c>
      <c r="E3119" s="2">
        <f>IFERROR(__xludf.DUMMYFUNCTION("""COMPUTED_VALUE"""),34.0)</f>
        <v>34</v>
      </c>
      <c r="F3119" s="2">
        <f>IFERROR(__xludf.DUMMYFUNCTION("""COMPUTED_VALUE"""),3.0)</f>
        <v>3</v>
      </c>
      <c r="G3119" s="2">
        <f>IFERROR(__xludf.DUMMYFUNCTION("""COMPUTED_VALUE"""),5.0)</f>
        <v>5</v>
      </c>
      <c r="H3119" s="2" t="str">
        <f>IFERROR(__xludf.DUMMYFUNCTION("""COMPUTED_VALUE"""),"LT proj.")</f>
        <v>LT proj.</v>
      </c>
      <c r="I3119" s="2" t="str">
        <f>IFERROR(__xludf.DUMMYFUNCTION("""COMPUTED_VALUE"""),"Brick-Panel")</f>
        <v>Brick-Panel</v>
      </c>
      <c r="J3119" s="2" t="str">
        <f>IFERROR(__xludf.DUMMYFUNCTION("""COMPUTED_VALUE"""),"All amenities")</f>
        <v>All amenities</v>
      </c>
      <c r="K3119" s="2">
        <f>IFERROR(__xludf.DUMMYFUNCTION("""COMPUTED_VALUE"""),40000.0)</f>
        <v>40000</v>
      </c>
      <c r="L3119" s="2">
        <f>IFERROR(__xludf.DUMMYFUNCTION("""COMPUTED_VALUE"""),56.9160082)</f>
        <v>56.9160082</v>
      </c>
      <c r="M3119" s="2">
        <f>IFERROR(__xludf.DUMMYFUNCTION("""COMPUTED_VALUE"""),24.1862147)</f>
        <v>24.1862147</v>
      </c>
    </row>
    <row r="3120">
      <c r="A3120" s="2" t="str">
        <f>IFERROR(__xludf.DUMMYFUNCTION("""COMPUTED_VALUE"""),"For sale")</f>
        <v>For sale</v>
      </c>
      <c r="B3120" s="2" t="str">
        <f>IFERROR(__xludf.DUMMYFUNCTION("""COMPUTED_VALUE"""),"centrs")</f>
        <v>centrs</v>
      </c>
      <c r="C3120" s="2" t="str">
        <f>IFERROR(__xludf.DUMMYFUNCTION("""COMPUTED_VALUE"""),"Katrīnas d. 20/1")</f>
        <v>Katrīnas d. 20/1</v>
      </c>
      <c r="D3120" s="2">
        <f>IFERROR(__xludf.DUMMYFUNCTION("""COMPUTED_VALUE"""),2.0)</f>
        <v>2</v>
      </c>
      <c r="E3120" s="2">
        <f>IFERROR(__xludf.DUMMYFUNCTION("""COMPUTED_VALUE"""),41.0)</f>
        <v>41</v>
      </c>
      <c r="F3120" s="2">
        <f>IFERROR(__xludf.DUMMYFUNCTION("""COMPUTED_VALUE"""),5.0)</f>
        <v>5</v>
      </c>
      <c r="G3120" s="2">
        <f>IFERROR(__xludf.DUMMYFUNCTION("""COMPUTED_VALUE"""),5.0)</f>
        <v>5</v>
      </c>
      <c r="H3120" s="2" t="str">
        <f>IFERROR(__xludf.DUMMYFUNCTION("""COMPUTED_VALUE"""),"Hrušč.")</f>
        <v>Hrušč.</v>
      </c>
      <c r="I3120" s="2" t="str">
        <f>IFERROR(__xludf.DUMMYFUNCTION("""COMPUTED_VALUE"""),"Brick")</f>
        <v>Brick</v>
      </c>
      <c r="J3120" s="2" t="str">
        <f>IFERROR(__xludf.DUMMYFUNCTION("""COMPUTED_VALUE"""),"Partial amenities")</f>
        <v>Partial amenities</v>
      </c>
      <c r="K3120" s="2">
        <f>IFERROR(__xludf.DUMMYFUNCTION("""COMPUTED_VALUE"""),40000.0)</f>
        <v>40000</v>
      </c>
      <c r="L3120" s="2" t="str">
        <f>IFERROR(__xludf.DUMMYFUNCTION("""COMPUTED_VALUE"""),"NaN")</f>
        <v>NaN</v>
      </c>
      <c r="M3120" s="2" t="str">
        <f>IFERROR(__xludf.DUMMYFUNCTION("""COMPUTED_VALUE"""),"NaN")</f>
        <v>NaN</v>
      </c>
    </row>
    <row r="3121">
      <c r="A3121" s="2" t="str">
        <f>IFERROR(__xludf.DUMMYFUNCTION("""COMPUTED_VALUE"""),"For rent")</f>
        <v>For rent</v>
      </c>
      <c r="B3121" s="2" t="str">
        <f>IFERROR(__xludf.DUMMYFUNCTION("""COMPUTED_VALUE"""),"Purvciems")</f>
        <v>Purvciems</v>
      </c>
      <c r="C3121" s="2" t="str">
        <f>IFERROR(__xludf.DUMMYFUNCTION("""COMPUTED_VALUE"""),"Ilūkstes 54/3")</f>
        <v>Ilūkstes 54/3</v>
      </c>
      <c r="D3121" s="2">
        <f>IFERROR(__xludf.DUMMYFUNCTION("""COMPUTED_VALUE"""),1.0)</f>
        <v>1</v>
      </c>
      <c r="E3121" s="2">
        <f>IFERROR(__xludf.DUMMYFUNCTION("""COMPUTED_VALUE"""),40.0)</f>
        <v>40</v>
      </c>
      <c r="F3121" s="2">
        <f>IFERROR(__xludf.DUMMYFUNCTION("""COMPUTED_VALUE"""),5.0)</f>
        <v>5</v>
      </c>
      <c r="G3121" s="2">
        <f>IFERROR(__xludf.DUMMYFUNCTION("""COMPUTED_VALUE"""),5.0)</f>
        <v>5</v>
      </c>
      <c r="H3121" s="2" t="str">
        <f>IFERROR(__xludf.DUMMYFUNCTION("""COMPUTED_VALUE"""),"M. ģim.")</f>
        <v>M. ģim.</v>
      </c>
      <c r="I3121" s="2" t="str">
        <f>IFERROR(__xludf.DUMMYFUNCTION("""COMPUTED_VALUE"""),"Panel")</f>
        <v>Panel</v>
      </c>
      <c r="J3121" s="2" t="str">
        <f>IFERROR(__xludf.DUMMYFUNCTION("""COMPUTED_VALUE"""),"All amenities")</f>
        <v>All amenities</v>
      </c>
      <c r="K3121" s="2">
        <f>IFERROR(__xludf.DUMMYFUNCTION("""COMPUTED_VALUE"""),250.0)</f>
        <v>250</v>
      </c>
      <c r="L3121" s="2">
        <f>IFERROR(__xludf.DUMMYFUNCTION("""COMPUTED_VALUE"""),56.9346287)</f>
        <v>56.9346287</v>
      </c>
      <c r="M3121" s="2">
        <f>IFERROR(__xludf.DUMMYFUNCTION("""COMPUTED_VALUE"""),24.195207)</f>
        <v>24.195207</v>
      </c>
    </row>
    <row r="3122">
      <c r="A3122" s="2" t="str">
        <f>IFERROR(__xludf.DUMMYFUNCTION("""COMPUTED_VALUE"""),"For sale")</f>
        <v>For sale</v>
      </c>
      <c r="B3122" s="2" t="str">
        <f>IFERROR(__xludf.DUMMYFUNCTION("""COMPUTED_VALUE"""),"Ķengarags")</f>
        <v>Ķengarags</v>
      </c>
      <c r="C3122" s="2" t="str">
        <f>IFERROR(__xludf.DUMMYFUNCTION("""COMPUTED_VALUE"""),"Salaspils 7")</f>
        <v>Salaspils 7</v>
      </c>
      <c r="D3122" s="2">
        <f>IFERROR(__xludf.DUMMYFUNCTION("""COMPUTED_VALUE"""),2.0)</f>
        <v>2</v>
      </c>
      <c r="E3122" s="2">
        <f>IFERROR(__xludf.DUMMYFUNCTION("""COMPUTED_VALUE"""),46.0)</f>
        <v>46</v>
      </c>
      <c r="F3122" s="2">
        <f>IFERROR(__xludf.DUMMYFUNCTION("""COMPUTED_VALUE"""),5.0)</f>
        <v>5</v>
      </c>
      <c r="G3122" s="2">
        <f>IFERROR(__xludf.DUMMYFUNCTION("""COMPUTED_VALUE"""),12.0)</f>
        <v>12</v>
      </c>
      <c r="H3122" s="2" t="str">
        <f>IFERROR(__xludf.DUMMYFUNCTION("""COMPUTED_VALUE"""),"Čehu pr.")</f>
        <v>Čehu pr.</v>
      </c>
      <c r="I3122" s="2" t="str">
        <f>IFERROR(__xludf.DUMMYFUNCTION("""COMPUTED_VALUE"""),"Brick-Panel")</f>
        <v>Brick-Panel</v>
      </c>
      <c r="J3122" s="2" t="str">
        <f>IFERROR(__xludf.DUMMYFUNCTION("""COMPUTED_VALUE"""),"All amenities")</f>
        <v>All amenities</v>
      </c>
      <c r="K3122" s="2">
        <f>IFERROR(__xludf.DUMMYFUNCTION("""COMPUTED_VALUE"""),55000.0)</f>
        <v>55000</v>
      </c>
      <c r="L3122" s="2">
        <f>IFERROR(__xludf.DUMMYFUNCTION("""COMPUTED_VALUE"""),56.8597884)</f>
        <v>56.8597884</v>
      </c>
      <c r="M3122" s="2">
        <f>IFERROR(__xludf.DUMMYFUNCTION("""COMPUTED_VALUE"""),24.3083417)</f>
        <v>24.3083417</v>
      </c>
    </row>
    <row r="3123">
      <c r="A3123" s="2" t="str">
        <f>IFERROR(__xludf.DUMMYFUNCTION("""COMPUTED_VALUE"""),"For sale")</f>
        <v>For sale</v>
      </c>
      <c r="B3123" s="2" t="str">
        <f>IFERROR(__xludf.DUMMYFUNCTION("""COMPUTED_VALUE"""),"centrs")</f>
        <v>centrs</v>
      </c>
      <c r="C3123" s="2" t="str">
        <f>IFERROR(__xludf.DUMMYFUNCTION("""COMPUTED_VALUE"""),"Stabu 41")</f>
        <v>Stabu 41</v>
      </c>
      <c r="D3123" s="2" t="str">
        <f>IFERROR(__xludf.DUMMYFUNCTION("""COMPUTED_VALUE"""),"Citi")</f>
        <v>Citi</v>
      </c>
      <c r="E3123" s="2">
        <f>IFERROR(__xludf.DUMMYFUNCTION("""COMPUTED_VALUE"""),149.0)</f>
        <v>149</v>
      </c>
      <c r="F3123" s="2">
        <f>IFERROR(__xludf.DUMMYFUNCTION("""COMPUTED_VALUE"""),2.0)</f>
        <v>2</v>
      </c>
      <c r="G3123" s="2">
        <f>IFERROR(__xludf.DUMMYFUNCTION("""COMPUTED_VALUE"""),5.0)</f>
        <v>5</v>
      </c>
      <c r="H3123" s="2" t="str">
        <f>IFERROR(__xludf.DUMMYFUNCTION("""COMPUTED_VALUE"""),"P. kara")</f>
        <v>P. kara</v>
      </c>
      <c r="I3123" s="2" t="str">
        <f>IFERROR(__xludf.DUMMYFUNCTION("""COMPUTED_VALUE"""),"Masonry")</f>
        <v>Masonry</v>
      </c>
      <c r="J3123" s="2" t="str">
        <f>IFERROR(__xludf.DUMMYFUNCTION("""COMPUTED_VALUE"""),"All amenities")</f>
        <v>All amenities</v>
      </c>
      <c r="K3123" s="2">
        <f>IFERROR(__xludf.DUMMYFUNCTION("""COMPUTED_VALUE"""),210000.0)</f>
        <v>210000</v>
      </c>
      <c r="L3123" s="2">
        <f>IFERROR(__xludf.DUMMYFUNCTION("""COMPUTED_VALUE"""),56.9554409)</f>
        <v>56.9554409</v>
      </c>
      <c r="M3123" s="2">
        <f>IFERROR(__xludf.DUMMYFUNCTION("""COMPUTED_VALUE"""),24.1306476898054)</f>
        <v>24.13064769</v>
      </c>
    </row>
    <row r="3124">
      <c r="A3124" s="2" t="str">
        <f>IFERROR(__xludf.DUMMYFUNCTION("""COMPUTED_VALUE"""),"For sale")</f>
        <v>For sale</v>
      </c>
      <c r="B3124" s="2" t="str">
        <f>IFERROR(__xludf.DUMMYFUNCTION("""COMPUTED_VALUE"""),"Ķengarags")</f>
        <v>Ķengarags</v>
      </c>
      <c r="C3124" s="2" t="str">
        <f>IFERROR(__xludf.DUMMYFUNCTION("""COMPUTED_VALUE"""),"Maskavas 268 k-7")</f>
        <v>Maskavas 268 k-7</v>
      </c>
      <c r="D3124" s="2">
        <f>IFERROR(__xludf.DUMMYFUNCTION("""COMPUTED_VALUE"""),2.0)</f>
        <v>2</v>
      </c>
      <c r="E3124" s="2">
        <f>IFERROR(__xludf.DUMMYFUNCTION("""COMPUTED_VALUE"""),44.0)</f>
        <v>44</v>
      </c>
      <c r="F3124" s="2">
        <f>IFERROR(__xludf.DUMMYFUNCTION("""COMPUTED_VALUE"""),1.0)</f>
        <v>1</v>
      </c>
      <c r="G3124" s="2">
        <f>IFERROR(__xludf.DUMMYFUNCTION("""COMPUTED_VALUE"""),5.0)</f>
        <v>5</v>
      </c>
      <c r="H3124" s="2" t="str">
        <f>IFERROR(__xludf.DUMMYFUNCTION("""COMPUTED_VALUE"""),"Hrušč.")</f>
        <v>Hrušč.</v>
      </c>
      <c r="I3124" s="2" t="str">
        <f>IFERROR(__xludf.DUMMYFUNCTION("""COMPUTED_VALUE"""),"Panel")</f>
        <v>Panel</v>
      </c>
      <c r="J3124" s="2" t="str">
        <f>IFERROR(__xludf.DUMMYFUNCTION("""COMPUTED_VALUE"""),"All amenities")</f>
        <v>All amenities</v>
      </c>
      <c r="K3124" s="2">
        <f>IFERROR(__xludf.DUMMYFUNCTION("""COMPUTED_VALUE"""),34800.0)</f>
        <v>34800</v>
      </c>
      <c r="L3124" s="2">
        <f>IFERROR(__xludf.DUMMYFUNCTION("""COMPUTED_VALUE"""),56.9048218)</f>
        <v>56.9048218</v>
      </c>
      <c r="M3124" s="2">
        <f>IFERROR(__xludf.DUMMYFUNCTION("""COMPUTED_VALUE"""),24.18525795)</f>
        <v>24.18525795</v>
      </c>
    </row>
    <row r="3125">
      <c r="A3125" s="2" t="str">
        <f>IFERROR(__xludf.DUMMYFUNCTION("""COMPUTED_VALUE"""),"For sale")</f>
        <v>For sale</v>
      </c>
      <c r="B3125" s="2" t="str">
        <f>IFERROR(__xludf.DUMMYFUNCTION("""COMPUTED_VALUE"""),"Mežaparks")</f>
        <v>Mežaparks</v>
      </c>
      <c r="C3125" s="2" t="str">
        <f>IFERROR(__xludf.DUMMYFUNCTION("""COMPUTED_VALUE"""),"Ezermalas 18b")</f>
        <v>Ezermalas 18b</v>
      </c>
      <c r="D3125" s="2">
        <f>IFERROR(__xludf.DUMMYFUNCTION("""COMPUTED_VALUE"""),3.0)</f>
        <v>3</v>
      </c>
      <c r="E3125" s="2">
        <f>IFERROR(__xludf.DUMMYFUNCTION("""COMPUTED_VALUE"""),228.0)</f>
        <v>228</v>
      </c>
      <c r="F3125" s="2">
        <f>IFERROR(__xludf.DUMMYFUNCTION("""COMPUTED_VALUE"""),3.0)</f>
        <v>3</v>
      </c>
      <c r="G3125" s="2">
        <f>IFERROR(__xludf.DUMMYFUNCTION("""COMPUTED_VALUE"""),3.0)</f>
        <v>3</v>
      </c>
      <c r="H3125" s="2" t="str">
        <f>IFERROR(__xludf.DUMMYFUNCTION("""COMPUTED_VALUE"""),"Jaun.")</f>
        <v>Jaun.</v>
      </c>
      <c r="I3125" s="2" t="str">
        <f>IFERROR(__xludf.DUMMYFUNCTION("""COMPUTED_VALUE"""),"Masonry")</f>
        <v>Masonry</v>
      </c>
      <c r="J3125" s="2" t="str">
        <f>IFERROR(__xludf.DUMMYFUNCTION("""COMPUTED_VALUE"""),"All amenities")</f>
        <v>All amenities</v>
      </c>
      <c r="K3125" s="2">
        <f>IFERROR(__xludf.DUMMYFUNCTION("""COMPUTED_VALUE"""),278000.0)</f>
        <v>278000</v>
      </c>
      <c r="L3125" s="2">
        <f>IFERROR(__xludf.DUMMYFUNCTION("""COMPUTED_VALUE"""),56.99726155)</f>
        <v>56.99726155</v>
      </c>
      <c r="M3125" s="2">
        <f>IFERROR(__xludf.DUMMYFUNCTION("""COMPUTED_VALUE"""),24.1724670701311)</f>
        <v>24.17246707</v>
      </c>
    </row>
    <row r="3126">
      <c r="A3126" s="2" t="str">
        <f>IFERROR(__xludf.DUMMYFUNCTION("""COMPUTED_VALUE"""),"For sale")</f>
        <v>For sale</v>
      </c>
      <c r="B3126" s="2" t="str">
        <f>IFERROR(__xludf.DUMMYFUNCTION("""COMPUTED_VALUE"""),"Imanta")</f>
        <v>Imanta</v>
      </c>
      <c r="C3126" s="2" t="str">
        <f>IFERROR(__xludf.DUMMYFUNCTION("""COMPUTED_VALUE"""),"M. Krūmu 10")</f>
        <v>M. Krūmu 10</v>
      </c>
      <c r="D3126" s="2">
        <f>IFERROR(__xludf.DUMMYFUNCTION("""COMPUTED_VALUE"""),1.0)</f>
        <v>1</v>
      </c>
      <c r="E3126" s="2">
        <f>IFERROR(__xludf.DUMMYFUNCTION("""COMPUTED_VALUE"""),31.6)</f>
        <v>31.6</v>
      </c>
      <c r="F3126" s="2">
        <f>IFERROR(__xludf.DUMMYFUNCTION("""COMPUTED_VALUE"""),2.0)</f>
        <v>2</v>
      </c>
      <c r="G3126" s="2">
        <f>IFERROR(__xludf.DUMMYFUNCTION("""COMPUTED_VALUE"""),9.0)</f>
        <v>9</v>
      </c>
      <c r="H3126" s="2">
        <f>IFERROR(__xludf.DUMMYFUNCTION("""COMPUTED_VALUE"""),602.0)</f>
        <v>602</v>
      </c>
      <c r="I3126" s="2" t="str">
        <f>IFERROR(__xludf.DUMMYFUNCTION("""COMPUTED_VALUE"""),"Panel")</f>
        <v>Panel</v>
      </c>
      <c r="J3126" s="2" t="str">
        <f>IFERROR(__xludf.DUMMYFUNCTION("""COMPUTED_VALUE"""),"All amenities")</f>
        <v>All amenities</v>
      </c>
      <c r="K3126" s="2">
        <f>IFERROR(__xludf.DUMMYFUNCTION("""COMPUTED_VALUE"""),42800.0)</f>
        <v>42800</v>
      </c>
      <c r="L3126" s="2">
        <f>IFERROR(__xludf.DUMMYFUNCTION("""COMPUTED_VALUE"""),56.95924615)</f>
        <v>56.95924615</v>
      </c>
      <c r="M3126" s="2">
        <f>IFERROR(__xludf.DUMMYFUNCTION("""COMPUTED_VALUE"""),24.0038878)</f>
        <v>24.0038878</v>
      </c>
    </row>
    <row r="3127">
      <c r="A3127" s="2" t="str">
        <f>IFERROR(__xludf.DUMMYFUNCTION("""COMPUTED_VALUE"""),"For sale")</f>
        <v>For sale</v>
      </c>
      <c r="B3127" s="2" t="str">
        <f>IFERROR(__xludf.DUMMYFUNCTION("""COMPUTED_VALUE"""),"Imanta")</f>
        <v>Imanta</v>
      </c>
      <c r="C3127" s="2" t="str">
        <f>IFERROR(__xludf.DUMMYFUNCTION("""COMPUTED_VALUE"""),"Slokas 215")</f>
        <v>Slokas 215</v>
      </c>
      <c r="D3127" s="2">
        <f>IFERROR(__xludf.DUMMYFUNCTION("""COMPUTED_VALUE"""),2.0)</f>
        <v>2</v>
      </c>
      <c r="E3127" s="2">
        <f>IFERROR(__xludf.DUMMYFUNCTION("""COMPUTED_VALUE"""),50.0)</f>
        <v>50</v>
      </c>
      <c r="F3127" s="2">
        <f>IFERROR(__xludf.DUMMYFUNCTION("""COMPUTED_VALUE"""),5.0)</f>
        <v>5</v>
      </c>
      <c r="G3127" s="2">
        <f>IFERROR(__xludf.DUMMYFUNCTION("""COMPUTED_VALUE"""),5.0)</f>
        <v>5</v>
      </c>
      <c r="H3127" s="2" t="str">
        <f>IFERROR(__xludf.DUMMYFUNCTION("""COMPUTED_VALUE"""),"LT proj.")</f>
        <v>LT proj.</v>
      </c>
      <c r="I3127" s="2" t="str">
        <f>IFERROR(__xludf.DUMMYFUNCTION("""COMPUTED_VALUE"""),"Panel")</f>
        <v>Panel</v>
      </c>
      <c r="J3127" s="2" t="str">
        <f>IFERROR(__xludf.DUMMYFUNCTION("""COMPUTED_VALUE"""),"All amenities")</f>
        <v>All amenities</v>
      </c>
      <c r="K3127" s="2">
        <f>IFERROR(__xludf.DUMMYFUNCTION("""COMPUTED_VALUE"""),48000.0)</f>
        <v>48000</v>
      </c>
      <c r="L3127" s="2">
        <f>IFERROR(__xludf.DUMMYFUNCTION("""COMPUTED_VALUE"""),56.96259715)</f>
        <v>56.96259715</v>
      </c>
      <c r="M3127" s="2">
        <f>IFERROR(__xludf.DUMMYFUNCTION("""COMPUTED_VALUE"""),24.0033091)</f>
        <v>24.0033091</v>
      </c>
    </row>
    <row r="3128">
      <c r="A3128" s="2" t="str">
        <f>IFERROR(__xludf.DUMMYFUNCTION("""COMPUTED_VALUE"""),"For sale")</f>
        <v>For sale</v>
      </c>
      <c r="B3128" s="2" t="str">
        <f>IFERROR(__xludf.DUMMYFUNCTION("""COMPUTED_VALUE"""),"Iļģuciems")</f>
        <v>Iļģuciems</v>
      </c>
      <c r="C3128" s="2" t="str">
        <f>IFERROR(__xludf.DUMMYFUNCTION("""COMPUTED_VALUE"""),"Daugavgrīvas 55")</f>
        <v>Daugavgrīvas 55</v>
      </c>
      <c r="D3128" s="2">
        <f>IFERROR(__xludf.DUMMYFUNCTION("""COMPUTED_VALUE"""),1.0)</f>
        <v>1</v>
      </c>
      <c r="E3128" s="2">
        <f>IFERROR(__xludf.DUMMYFUNCTION("""COMPUTED_VALUE"""),24.0)</f>
        <v>24</v>
      </c>
      <c r="F3128" s="2">
        <f>IFERROR(__xludf.DUMMYFUNCTION("""COMPUTED_VALUE"""),1.0)</f>
        <v>1</v>
      </c>
      <c r="G3128" s="2">
        <f>IFERROR(__xludf.DUMMYFUNCTION("""COMPUTED_VALUE"""),2.0)</f>
        <v>2</v>
      </c>
      <c r="H3128" s="2" t="str">
        <f>IFERROR(__xludf.DUMMYFUNCTION("""COMPUTED_VALUE"""),"P. kara")</f>
        <v>P. kara</v>
      </c>
      <c r="I3128" s="2" t="str">
        <f>IFERROR(__xludf.DUMMYFUNCTION("""COMPUTED_VALUE"""),"Wood")</f>
        <v>Wood</v>
      </c>
      <c r="J3128" s="2" t="str">
        <f>IFERROR(__xludf.DUMMYFUNCTION("""COMPUTED_VALUE"""),"All amenities")</f>
        <v>All amenities</v>
      </c>
      <c r="K3128" s="2">
        <f>IFERROR(__xludf.DUMMYFUNCTION("""COMPUTED_VALUE"""),17500.0)</f>
        <v>17500</v>
      </c>
      <c r="L3128" s="2">
        <f>IFERROR(__xludf.DUMMYFUNCTION("""COMPUTED_VALUE"""),56.9581357)</f>
        <v>56.9581357</v>
      </c>
      <c r="M3128" s="2">
        <f>IFERROR(__xludf.DUMMYFUNCTION("""COMPUTED_VALUE"""),24.0711634602382)</f>
        <v>24.07116346</v>
      </c>
    </row>
    <row r="3129">
      <c r="A3129" s="2" t="str">
        <f>IFERROR(__xludf.DUMMYFUNCTION("""COMPUTED_VALUE"""),"For sale")</f>
        <v>For sale</v>
      </c>
      <c r="B3129" s="2" t="str">
        <f>IFERROR(__xludf.DUMMYFUNCTION("""COMPUTED_VALUE"""),"Iļģuciems")</f>
        <v>Iļģuciems</v>
      </c>
      <c r="C3129" s="2" t="str">
        <f>IFERROR(__xludf.DUMMYFUNCTION("""COMPUTED_VALUE"""),"Daugavgrīvas 55")</f>
        <v>Daugavgrīvas 55</v>
      </c>
      <c r="D3129" s="2">
        <f>IFERROR(__xludf.DUMMYFUNCTION("""COMPUTED_VALUE"""),1.0)</f>
        <v>1</v>
      </c>
      <c r="E3129" s="2">
        <f>IFERROR(__xludf.DUMMYFUNCTION("""COMPUTED_VALUE"""),28.0)</f>
        <v>28</v>
      </c>
      <c r="F3129" s="2">
        <f>IFERROR(__xludf.DUMMYFUNCTION("""COMPUTED_VALUE"""),2.0)</f>
        <v>2</v>
      </c>
      <c r="G3129" s="2">
        <f>IFERROR(__xludf.DUMMYFUNCTION("""COMPUTED_VALUE"""),2.0)</f>
        <v>2</v>
      </c>
      <c r="H3129" s="2" t="str">
        <f>IFERROR(__xludf.DUMMYFUNCTION("""COMPUTED_VALUE"""),"P. kara")</f>
        <v>P. kara</v>
      </c>
      <c r="I3129" s="2" t="str">
        <f>IFERROR(__xludf.DUMMYFUNCTION("""COMPUTED_VALUE"""),"Wood")</f>
        <v>Wood</v>
      </c>
      <c r="J3129" s="2" t="str">
        <f>IFERROR(__xludf.DUMMYFUNCTION("""COMPUTED_VALUE"""),"All amenities")</f>
        <v>All amenities</v>
      </c>
      <c r="K3129" s="2">
        <f>IFERROR(__xludf.DUMMYFUNCTION("""COMPUTED_VALUE"""),20500.0)</f>
        <v>20500</v>
      </c>
      <c r="L3129" s="2">
        <f>IFERROR(__xludf.DUMMYFUNCTION("""COMPUTED_VALUE"""),56.9581357)</f>
        <v>56.9581357</v>
      </c>
      <c r="M3129" s="2">
        <f>IFERROR(__xludf.DUMMYFUNCTION("""COMPUTED_VALUE"""),24.0711634602382)</f>
        <v>24.07116346</v>
      </c>
    </row>
    <row r="3130">
      <c r="A3130" s="2" t="str">
        <f>IFERROR(__xludf.DUMMYFUNCTION("""COMPUTED_VALUE"""),"For sale")</f>
        <v>For sale</v>
      </c>
      <c r="B3130" s="2" t="str">
        <f>IFERROR(__xludf.DUMMYFUNCTION("""COMPUTED_VALUE"""),"Ķengarags")</f>
        <v>Ķengarags</v>
      </c>
      <c r="C3130" s="2" t="str">
        <f>IFERROR(__xludf.DUMMYFUNCTION("""COMPUTED_VALUE"""),"Maskavas 317")</f>
        <v>Maskavas 317</v>
      </c>
      <c r="D3130" s="2">
        <f>IFERROR(__xludf.DUMMYFUNCTION("""COMPUTED_VALUE"""),1.0)</f>
        <v>1</v>
      </c>
      <c r="E3130" s="2">
        <f>IFERROR(__xludf.DUMMYFUNCTION("""COMPUTED_VALUE"""),31.0)</f>
        <v>31</v>
      </c>
      <c r="F3130" s="2">
        <f>IFERROR(__xludf.DUMMYFUNCTION("""COMPUTED_VALUE"""),12.0)</f>
        <v>12</v>
      </c>
      <c r="G3130" s="2">
        <f>IFERROR(__xludf.DUMMYFUNCTION("""COMPUTED_VALUE"""),12.0)</f>
        <v>12</v>
      </c>
      <c r="H3130" s="2" t="str">
        <f>IFERROR(__xludf.DUMMYFUNCTION("""COMPUTED_VALUE"""),"M. ģim.")</f>
        <v>M. ģim.</v>
      </c>
      <c r="I3130" s="2" t="str">
        <f>IFERROR(__xludf.DUMMYFUNCTION("""COMPUTED_VALUE"""),"Brick-Panel")</f>
        <v>Brick-Panel</v>
      </c>
      <c r="J3130" s="2" t="str">
        <f>IFERROR(__xludf.DUMMYFUNCTION("""COMPUTED_VALUE"""),"All amenities")</f>
        <v>All amenities</v>
      </c>
      <c r="K3130" s="2">
        <f>IFERROR(__xludf.DUMMYFUNCTION("""COMPUTED_VALUE"""),28500.0)</f>
        <v>28500</v>
      </c>
      <c r="L3130" s="2">
        <f>IFERROR(__xludf.DUMMYFUNCTION("""COMPUTED_VALUE"""),56.8597884)</f>
        <v>56.8597884</v>
      </c>
      <c r="M3130" s="2">
        <f>IFERROR(__xludf.DUMMYFUNCTION("""COMPUTED_VALUE"""),24.3083417)</f>
        <v>24.3083417</v>
      </c>
    </row>
    <row r="3131">
      <c r="A3131" s="2" t="str">
        <f>IFERROR(__xludf.DUMMYFUNCTION("""COMPUTED_VALUE"""),"For rent")</f>
        <v>For rent</v>
      </c>
      <c r="B3131" s="2" t="str">
        <f>IFERROR(__xludf.DUMMYFUNCTION("""COMPUTED_VALUE"""),"Ķengarags")</f>
        <v>Ķengarags</v>
      </c>
      <c r="C3131" s="2" t="str">
        <f>IFERROR(__xludf.DUMMYFUNCTION("""COMPUTED_VALUE"""),"Lokomotīves 54")</f>
        <v>Lokomotīves 54</v>
      </c>
      <c r="D3131" s="2">
        <f>IFERROR(__xludf.DUMMYFUNCTION("""COMPUTED_VALUE"""),1.0)</f>
        <v>1</v>
      </c>
      <c r="E3131" s="2">
        <f>IFERROR(__xludf.DUMMYFUNCTION("""COMPUTED_VALUE"""),32.0)</f>
        <v>32</v>
      </c>
      <c r="F3131" s="2">
        <f>IFERROR(__xludf.DUMMYFUNCTION("""COMPUTED_VALUE"""),12.0)</f>
        <v>12</v>
      </c>
      <c r="G3131" s="2">
        <f>IFERROR(__xludf.DUMMYFUNCTION("""COMPUTED_VALUE"""),12.0)</f>
        <v>12</v>
      </c>
      <c r="H3131" s="2" t="str">
        <f>IFERROR(__xludf.DUMMYFUNCTION("""COMPUTED_VALUE"""),"Čehu pr.")</f>
        <v>Čehu pr.</v>
      </c>
      <c r="I3131" s="2" t="str">
        <f>IFERROR(__xludf.DUMMYFUNCTION("""COMPUTED_VALUE"""),"Panel-Brick")</f>
        <v>Panel-Brick</v>
      </c>
      <c r="J3131" s="2" t="str">
        <f>IFERROR(__xludf.DUMMYFUNCTION("""COMPUTED_VALUE"""),"All amenities")</f>
        <v>All amenities</v>
      </c>
      <c r="K3131" s="2">
        <f>IFERROR(__xludf.DUMMYFUNCTION("""COMPUTED_VALUE"""),25.0)</f>
        <v>25</v>
      </c>
      <c r="L3131" s="2">
        <f>IFERROR(__xludf.DUMMYFUNCTION("""COMPUTED_VALUE"""),56.9075339)</f>
        <v>56.9075339</v>
      </c>
      <c r="M3131" s="2">
        <f>IFERROR(__xludf.DUMMYFUNCTION("""COMPUTED_VALUE"""),24.2019891658871)</f>
        <v>24.20198917</v>
      </c>
    </row>
    <row r="3132">
      <c r="A3132" s="2" t="str">
        <f>IFERROR(__xludf.DUMMYFUNCTION("""COMPUTED_VALUE"""),"For sale")</f>
        <v>For sale</v>
      </c>
      <c r="B3132" s="2" t="str">
        <f>IFERROR(__xludf.DUMMYFUNCTION("""COMPUTED_VALUE"""),"Iļģuciems")</f>
        <v>Iļģuciems</v>
      </c>
      <c r="C3132" s="2" t="str">
        <f>IFERROR(__xludf.DUMMYFUNCTION("""COMPUTED_VALUE"""),"Dzirciema 89")</f>
        <v>Dzirciema 89</v>
      </c>
      <c r="D3132" s="2">
        <f>IFERROR(__xludf.DUMMYFUNCTION("""COMPUTED_VALUE"""),3.0)</f>
        <v>3</v>
      </c>
      <c r="E3132" s="2">
        <f>IFERROR(__xludf.DUMMYFUNCTION("""COMPUTED_VALUE"""),56.0)</f>
        <v>56</v>
      </c>
      <c r="F3132" s="2">
        <f>IFERROR(__xludf.DUMMYFUNCTION("""COMPUTED_VALUE"""),3.0)</f>
        <v>3</v>
      </c>
      <c r="G3132" s="2">
        <f>IFERROR(__xludf.DUMMYFUNCTION("""COMPUTED_VALUE"""),5.0)</f>
        <v>5</v>
      </c>
      <c r="H3132" s="2" t="str">
        <f>IFERROR(__xludf.DUMMYFUNCTION("""COMPUTED_VALUE"""),"LT proj.")</f>
        <v>LT proj.</v>
      </c>
      <c r="I3132" s="2" t="str">
        <f>IFERROR(__xludf.DUMMYFUNCTION("""COMPUTED_VALUE"""),"Panel")</f>
        <v>Panel</v>
      </c>
      <c r="J3132" s="2" t="str">
        <f>IFERROR(__xludf.DUMMYFUNCTION("""COMPUTED_VALUE"""),"All amenities")</f>
        <v>All amenities</v>
      </c>
      <c r="K3132" s="2">
        <f>IFERROR(__xludf.DUMMYFUNCTION("""COMPUTED_VALUE"""),51500.0)</f>
        <v>51500</v>
      </c>
      <c r="L3132" s="2">
        <f>IFERROR(__xludf.DUMMYFUNCTION("""COMPUTED_VALUE"""),56.9671678)</f>
        <v>56.9671678</v>
      </c>
      <c r="M3132" s="2">
        <f>IFERROR(__xludf.DUMMYFUNCTION("""COMPUTED_VALUE"""),24.0569596822562)</f>
        <v>24.05695968</v>
      </c>
    </row>
    <row r="3133">
      <c r="A3133" s="2" t="str">
        <f>IFERROR(__xludf.DUMMYFUNCTION("""COMPUTED_VALUE"""),"For rent")</f>
        <v>For rent</v>
      </c>
      <c r="B3133" s="2" t="str">
        <f>IFERROR(__xludf.DUMMYFUNCTION("""COMPUTED_VALUE"""),"centrs")</f>
        <v>centrs</v>
      </c>
      <c r="C3133" s="2" t="str">
        <f>IFERROR(__xludf.DUMMYFUNCTION("""COMPUTED_VALUE"""),"Pulkv. Brieža 13")</f>
        <v>Pulkv. Brieža 13</v>
      </c>
      <c r="D3133" s="2">
        <f>IFERROR(__xludf.DUMMYFUNCTION("""COMPUTED_VALUE"""),3.0)</f>
        <v>3</v>
      </c>
      <c r="E3133" s="2">
        <f>IFERROR(__xludf.DUMMYFUNCTION("""COMPUTED_VALUE"""),90.0)</f>
        <v>90</v>
      </c>
      <c r="F3133" s="2">
        <f>IFERROR(__xludf.DUMMYFUNCTION("""COMPUTED_VALUE"""),3.0)</f>
        <v>3</v>
      </c>
      <c r="G3133" s="2">
        <f>IFERROR(__xludf.DUMMYFUNCTION("""COMPUTED_VALUE"""),5.0)</f>
        <v>5</v>
      </c>
      <c r="H3133" s="2" t="str">
        <f>IFERROR(__xludf.DUMMYFUNCTION("""COMPUTED_VALUE"""),"P. kara")</f>
        <v>P. kara</v>
      </c>
      <c r="I3133" s="2" t="str">
        <f>IFERROR(__xludf.DUMMYFUNCTION("""COMPUTED_VALUE"""),"Masonry")</f>
        <v>Masonry</v>
      </c>
      <c r="J3133" s="2" t="str">
        <f>IFERROR(__xludf.DUMMYFUNCTION("""COMPUTED_VALUE"""),"All amenities")</f>
        <v>All amenities</v>
      </c>
      <c r="K3133" s="2">
        <f>IFERROR(__xludf.DUMMYFUNCTION("""COMPUTED_VALUE"""),1100.0)</f>
        <v>1100</v>
      </c>
      <c r="L3133" s="2" t="str">
        <f>IFERROR(__xludf.DUMMYFUNCTION("""COMPUTED_VALUE"""),"NaN")</f>
        <v>NaN</v>
      </c>
      <c r="M3133" s="2" t="str">
        <f>IFERROR(__xludf.DUMMYFUNCTION("""COMPUTED_VALUE"""),"NaN")</f>
        <v>NaN</v>
      </c>
    </row>
    <row r="3134">
      <c r="A3134" s="2" t="str">
        <f>IFERROR(__xludf.DUMMYFUNCTION("""COMPUTED_VALUE"""),"For rent")</f>
        <v>For rent</v>
      </c>
      <c r="B3134" s="2" t="str">
        <f>IFERROR(__xludf.DUMMYFUNCTION("""COMPUTED_VALUE"""),"centrs")</f>
        <v>centrs</v>
      </c>
      <c r="C3134" s="2" t="str">
        <f>IFERROR(__xludf.DUMMYFUNCTION("""COMPUTED_VALUE"""),"Rūpniecības 16")</f>
        <v>Rūpniecības 16</v>
      </c>
      <c r="D3134" s="2">
        <f>IFERROR(__xludf.DUMMYFUNCTION("""COMPUTED_VALUE"""),2.0)</f>
        <v>2</v>
      </c>
      <c r="E3134" s="2">
        <f>IFERROR(__xludf.DUMMYFUNCTION("""COMPUTED_VALUE"""),52.0)</f>
        <v>52</v>
      </c>
      <c r="F3134" s="2">
        <f>IFERROR(__xludf.DUMMYFUNCTION("""COMPUTED_VALUE"""),1.0)</f>
        <v>1</v>
      </c>
      <c r="G3134" s="2">
        <f>IFERROR(__xludf.DUMMYFUNCTION("""COMPUTED_VALUE"""),6.0)</f>
        <v>6</v>
      </c>
      <c r="H3134" s="2" t="str">
        <f>IFERROR(__xludf.DUMMYFUNCTION("""COMPUTED_VALUE"""),"P. kara")</f>
        <v>P. kara</v>
      </c>
      <c r="I3134" s="2" t="str">
        <f>IFERROR(__xludf.DUMMYFUNCTION("""COMPUTED_VALUE"""),"Brick")</f>
        <v>Brick</v>
      </c>
      <c r="J3134" s="2" t="str">
        <f>IFERROR(__xludf.DUMMYFUNCTION("""COMPUTED_VALUE"""),"All amenities")</f>
        <v>All amenities</v>
      </c>
      <c r="K3134" s="2">
        <f>IFERROR(__xludf.DUMMYFUNCTION("""COMPUTED_VALUE"""),700.0)</f>
        <v>700</v>
      </c>
      <c r="L3134" s="2">
        <f>IFERROR(__xludf.DUMMYFUNCTION("""COMPUTED_VALUE"""),56.9606867)</f>
        <v>56.9606867</v>
      </c>
      <c r="M3134" s="2">
        <f>IFERROR(__xludf.DUMMYFUNCTION("""COMPUTED_VALUE"""),24.1035085)</f>
        <v>24.1035085</v>
      </c>
    </row>
    <row r="3135">
      <c r="A3135" s="2" t="str">
        <f>IFERROR(__xludf.DUMMYFUNCTION("""COMPUTED_VALUE"""),"For rent")</f>
        <v>For rent</v>
      </c>
      <c r="B3135" s="2" t="str">
        <f>IFERROR(__xludf.DUMMYFUNCTION("""COMPUTED_VALUE"""),"centrs")</f>
        <v>centrs</v>
      </c>
      <c r="C3135" s="2" t="str">
        <f>IFERROR(__xludf.DUMMYFUNCTION("""COMPUTED_VALUE"""),"Stabu 53")</f>
        <v>Stabu 53</v>
      </c>
      <c r="D3135" s="2">
        <f>IFERROR(__xludf.DUMMYFUNCTION("""COMPUTED_VALUE"""),2.0)</f>
        <v>2</v>
      </c>
      <c r="E3135" s="2">
        <f>IFERROR(__xludf.DUMMYFUNCTION("""COMPUTED_VALUE"""),52.0)</f>
        <v>52</v>
      </c>
      <c r="F3135" s="2">
        <f>IFERROR(__xludf.DUMMYFUNCTION("""COMPUTED_VALUE"""),2.0)</f>
        <v>2</v>
      </c>
      <c r="G3135" s="2">
        <f>IFERROR(__xludf.DUMMYFUNCTION("""COMPUTED_VALUE"""),2.0)</f>
        <v>2</v>
      </c>
      <c r="H3135" s="2" t="str">
        <f>IFERROR(__xludf.DUMMYFUNCTION("""COMPUTED_VALUE"""),"P. kara")</f>
        <v>P. kara</v>
      </c>
      <c r="I3135" s="2" t="str">
        <f>IFERROR(__xludf.DUMMYFUNCTION("""COMPUTED_VALUE"""),"Brick")</f>
        <v>Brick</v>
      </c>
      <c r="J3135" s="2" t="str">
        <f>IFERROR(__xludf.DUMMYFUNCTION("""COMPUTED_VALUE"""),"All amenities")</f>
        <v>All amenities</v>
      </c>
      <c r="K3135" s="2">
        <f>IFERROR(__xludf.DUMMYFUNCTION("""COMPUTED_VALUE"""),600.0)</f>
        <v>600</v>
      </c>
      <c r="L3135" s="2">
        <f>IFERROR(__xludf.DUMMYFUNCTION("""COMPUTED_VALUE"""),56.953749)</f>
        <v>56.953749</v>
      </c>
      <c r="M3135" s="2">
        <f>IFERROR(__xludf.DUMMYFUNCTION("""COMPUTED_VALUE"""),24.1340229)</f>
        <v>24.1340229</v>
      </c>
    </row>
    <row r="3136">
      <c r="A3136" s="2" t="str">
        <f>IFERROR(__xludf.DUMMYFUNCTION("""COMPUTED_VALUE"""),"For rent")</f>
        <v>For rent</v>
      </c>
      <c r="B3136" s="2" t="str">
        <f>IFERROR(__xludf.DUMMYFUNCTION("""COMPUTED_VALUE"""),"Pļavnieki")</f>
        <v>Pļavnieki</v>
      </c>
      <c r="C3136" s="2" t="str">
        <f>IFERROR(__xludf.DUMMYFUNCTION("""COMPUTED_VALUE"""),"Saharova 15")</f>
        <v>Saharova 15</v>
      </c>
      <c r="D3136" s="2">
        <f>IFERROR(__xludf.DUMMYFUNCTION("""COMPUTED_VALUE"""),1.0)</f>
        <v>1</v>
      </c>
      <c r="E3136" s="2">
        <f>IFERROR(__xludf.DUMMYFUNCTION("""COMPUTED_VALUE"""),49.0)</f>
        <v>49</v>
      </c>
      <c r="F3136" s="2">
        <f>IFERROR(__xludf.DUMMYFUNCTION("""COMPUTED_VALUE"""),11.0)</f>
        <v>11</v>
      </c>
      <c r="G3136" s="2">
        <f>IFERROR(__xludf.DUMMYFUNCTION("""COMPUTED_VALUE"""),12.0)</f>
        <v>12</v>
      </c>
      <c r="H3136" s="2">
        <f>IFERROR(__xludf.DUMMYFUNCTION("""COMPUTED_VALUE"""),104.0)</f>
        <v>104</v>
      </c>
      <c r="I3136" s="2" t="str">
        <f>IFERROR(__xludf.DUMMYFUNCTION("""COMPUTED_VALUE"""),"Panel-Brick")</f>
        <v>Panel-Brick</v>
      </c>
      <c r="J3136" s="2" t="str">
        <f>IFERROR(__xludf.DUMMYFUNCTION("""COMPUTED_VALUE"""),"All amenities")</f>
        <v>All amenities</v>
      </c>
      <c r="K3136" s="2">
        <f>IFERROR(__xludf.DUMMYFUNCTION("""COMPUTED_VALUE"""),25.0)</f>
        <v>25</v>
      </c>
      <c r="L3136" s="2">
        <f>IFERROR(__xludf.DUMMYFUNCTION("""COMPUTED_VALUE"""),56.93679455)</f>
        <v>56.93679455</v>
      </c>
      <c r="M3136" s="2">
        <f>IFERROR(__xludf.DUMMYFUNCTION("""COMPUTED_VALUE"""),24.2018369722633)</f>
        <v>24.20183697</v>
      </c>
    </row>
    <row r="3137">
      <c r="A3137" s="2" t="str">
        <f>IFERROR(__xludf.DUMMYFUNCTION("""COMPUTED_VALUE"""),"For sale")</f>
        <v>For sale</v>
      </c>
      <c r="B3137" s="2" t="str">
        <f>IFERROR(__xludf.DUMMYFUNCTION("""COMPUTED_VALUE"""),"centrs")</f>
        <v>centrs</v>
      </c>
      <c r="C3137" s="2" t="str">
        <f>IFERROR(__xludf.DUMMYFUNCTION("""COMPUTED_VALUE"""),"Birznieka-Upīša 13")</f>
        <v>Birznieka-Upīša 13</v>
      </c>
      <c r="D3137" s="2">
        <f>IFERROR(__xludf.DUMMYFUNCTION("""COMPUTED_VALUE"""),3.0)</f>
        <v>3</v>
      </c>
      <c r="E3137" s="2">
        <f>IFERROR(__xludf.DUMMYFUNCTION("""COMPUTED_VALUE"""),76.0)</f>
        <v>76</v>
      </c>
      <c r="F3137" s="2">
        <f>IFERROR(__xludf.DUMMYFUNCTION("""COMPUTED_VALUE"""),6.0)</f>
        <v>6</v>
      </c>
      <c r="G3137" s="2">
        <f>IFERROR(__xludf.DUMMYFUNCTION("""COMPUTED_VALUE"""),7.0)</f>
        <v>7</v>
      </c>
      <c r="H3137" s="2" t="str">
        <f>IFERROR(__xludf.DUMMYFUNCTION("""COMPUTED_VALUE"""),"Jaun.")</f>
        <v>Jaun.</v>
      </c>
      <c r="I3137" s="2" t="str">
        <f>IFERROR(__xludf.DUMMYFUNCTION("""COMPUTED_VALUE"""),"Masonry")</f>
        <v>Masonry</v>
      </c>
      <c r="J3137" s="2" t="str">
        <f>IFERROR(__xludf.DUMMYFUNCTION("""COMPUTED_VALUE"""),"All amenities")</f>
        <v>All amenities</v>
      </c>
      <c r="K3137" s="2">
        <f>IFERROR(__xludf.DUMMYFUNCTION("""COMPUTED_VALUE"""),188500.0)</f>
        <v>188500</v>
      </c>
      <c r="L3137" s="2">
        <f>IFERROR(__xludf.DUMMYFUNCTION("""COMPUTED_VALUE"""),56.9493295)</f>
        <v>56.9493295</v>
      </c>
      <c r="M3137" s="2">
        <f>IFERROR(__xludf.DUMMYFUNCTION("""COMPUTED_VALUE"""),24.1264892056074)</f>
        <v>24.12648921</v>
      </c>
    </row>
    <row r="3138">
      <c r="A3138" s="2" t="str">
        <f>IFERROR(__xludf.DUMMYFUNCTION("""COMPUTED_VALUE"""),"For sale")</f>
        <v>For sale</v>
      </c>
      <c r="B3138" s="2" t="str">
        <f>IFERROR(__xludf.DUMMYFUNCTION("""COMPUTED_VALUE"""),"Purvciems")</f>
        <v>Purvciems</v>
      </c>
      <c r="C3138" s="2" t="str">
        <f>IFERROR(__xludf.DUMMYFUNCTION("""COMPUTED_VALUE"""),"Žagatu 24")</f>
        <v>Žagatu 24</v>
      </c>
      <c r="D3138" s="2">
        <f>IFERROR(__xludf.DUMMYFUNCTION("""COMPUTED_VALUE"""),1.0)</f>
        <v>1</v>
      </c>
      <c r="E3138" s="2">
        <f>IFERROR(__xludf.DUMMYFUNCTION("""COMPUTED_VALUE"""),30.0)</f>
        <v>30</v>
      </c>
      <c r="F3138" s="2">
        <f>IFERROR(__xludf.DUMMYFUNCTION("""COMPUTED_VALUE"""),5.0)</f>
        <v>5</v>
      </c>
      <c r="G3138" s="2">
        <f>IFERROR(__xludf.DUMMYFUNCTION("""COMPUTED_VALUE"""),5.0)</f>
        <v>5</v>
      </c>
      <c r="H3138" s="2" t="str">
        <f>IFERROR(__xludf.DUMMYFUNCTION("""COMPUTED_VALUE"""),"LT proj.")</f>
        <v>LT proj.</v>
      </c>
      <c r="I3138" s="2" t="str">
        <f>IFERROR(__xludf.DUMMYFUNCTION("""COMPUTED_VALUE"""),"Panel")</f>
        <v>Panel</v>
      </c>
      <c r="J3138" s="2" t="str">
        <f>IFERROR(__xludf.DUMMYFUNCTION("""COMPUTED_VALUE"""),"All amenities")</f>
        <v>All amenities</v>
      </c>
      <c r="K3138" s="2">
        <f>IFERROR(__xludf.DUMMYFUNCTION("""COMPUTED_VALUE"""),30200.0)</f>
        <v>30200</v>
      </c>
      <c r="L3138" s="2">
        <f>IFERROR(__xludf.DUMMYFUNCTION("""COMPUTED_VALUE"""),56.9634571)</f>
        <v>56.9634571</v>
      </c>
      <c r="M3138" s="2">
        <f>IFERROR(__xludf.DUMMYFUNCTION("""COMPUTED_VALUE"""),24.1900096)</f>
        <v>24.1900096</v>
      </c>
    </row>
    <row r="3139">
      <c r="A3139" s="2" t="str">
        <f>IFERROR(__xludf.DUMMYFUNCTION("""COMPUTED_VALUE"""),"For sale")</f>
        <v>For sale</v>
      </c>
      <c r="B3139" s="2" t="str">
        <f>IFERROR(__xludf.DUMMYFUNCTION("""COMPUTED_VALUE"""),"centrs")</f>
        <v>centrs</v>
      </c>
      <c r="C3139" s="2" t="str">
        <f>IFERROR(__xludf.DUMMYFUNCTION("""COMPUTED_VALUE"""),"Ģertrūdes 91")</f>
        <v>Ģertrūdes 91</v>
      </c>
      <c r="D3139" s="2">
        <f>IFERROR(__xludf.DUMMYFUNCTION("""COMPUTED_VALUE"""),1.0)</f>
        <v>1</v>
      </c>
      <c r="E3139" s="2">
        <f>IFERROR(__xludf.DUMMYFUNCTION("""COMPUTED_VALUE"""),19.0)</f>
        <v>19</v>
      </c>
      <c r="F3139" s="2">
        <f>IFERROR(__xludf.DUMMYFUNCTION("""COMPUTED_VALUE"""),4.0)</f>
        <v>4</v>
      </c>
      <c r="G3139" s="2">
        <f>IFERROR(__xludf.DUMMYFUNCTION("""COMPUTED_VALUE"""),5.0)</f>
        <v>5</v>
      </c>
      <c r="H3139" s="2" t="str">
        <f>IFERROR(__xludf.DUMMYFUNCTION("""COMPUTED_VALUE"""),"P. kara")</f>
        <v>P. kara</v>
      </c>
      <c r="I3139" s="2" t="str">
        <f>IFERROR(__xludf.DUMMYFUNCTION("""COMPUTED_VALUE"""),"Masonry")</f>
        <v>Masonry</v>
      </c>
      <c r="J3139" s="2" t="str">
        <f>IFERROR(__xludf.DUMMYFUNCTION("""COMPUTED_VALUE"""),"All amenities")</f>
        <v>All amenities</v>
      </c>
      <c r="K3139" s="2">
        <f>IFERROR(__xludf.DUMMYFUNCTION("""COMPUTED_VALUE"""),28000.0)</f>
        <v>28000</v>
      </c>
      <c r="L3139" s="2">
        <f>IFERROR(__xludf.DUMMYFUNCTION("""COMPUTED_VALUE"""),56.95035715)</f>
        <v>56.95035715</v>
      </c>
      <c r="M3139" s="2">
        <f>IFERROR(__xludf.DUMMYFUNCTION("""COMPUTED_VALUE"""),24.1357606589646)</f>
        <v>24.13576066</v>
      </c>
    </row>
    <row r="3140">
      <c r="A3140" s="2" t="str">
        <f>IFERROR(__xludf.DUMMYFUNCTION("""COMPUTED_VALUE"""),"For rent")</f>
        <v>For rent</v>
      </c>
      <c r="B3140" s="2" t="str">
        <f>IFERROR(__xludf.DUMMYFUNCTION("""COMPUTED_VALUE"""),"Torņakalns")</f>
        <v>Torņakalns</v>
      </c>
      <c r="C3140" s="2" t="str">
        <f>IFERROR(__xludf.DUMMYFUNCTION("""COMPUTED_VALUE"""),"Jelgavas 50")</f>
        <v>Jelgavas 50</v>
      </c>
      <c r="D3140" s="2">
        <f>IFERROR(__xludf.DUMMYFUNCTION("""COMPUTED_VALUE"""),1.0)</f>
        <v>1</v>
      </c>
      <c r="E3140" s="2">
        <f>IFERROR(__xludf.DUMMYFUNCTION("""COMPUTED_VALUE"""),22.0)</f>
        <v>22</v>
      </c>
      <c r="F3140" s="2">
        <f>IFERROR(__xludf.DUMMYFUNCTION("""COMPUTED_VALUE"""),1.0)</f>
        <v>1</v>
      </c>
      <c r="G3140" s="2">
        <f>IFERROR(__xludf.DUMMYFUNCTION("""COMPUTED_VALUE"""),2.0)</f>
        <v>2</v>
      </c>
      <c r="H3140" s="2" t="str">
        <f>IFERROR(__xludf.DUMMYFUNCTION("""COMPUTED_VALUE"""),"P. kara")</f>
        <v>P. kara</v>
      </c>
      <c r="I3140" s="2" t="str">
        <f>IFERROR(__xludf.DUMMYFUNCTION("""COMPUTED_VALUE"""),"Brick")</f>
        <v>Brick</v>
      </c>
      <c r="J3140" s="2" t="str">
        <f>IFERROR(__xludf.DUMMYFUNCTION("""COMPUTED_VALUE"""),"All amenities")</f>
        <v>All amenities</v>
      </c>
      <c r="K3140" s="2">
        <f>IFERROR(__xludf.DUMMYFUNCTION("""COMPUTED_VALUE"""),220.0)</f>
        <v>220</v>
      </c>
      <c r="L3140" s="2">
        <f>IFERROR(__xludf.DUMMYFUNCTION("""COMPUTED_VALUE"""),56.92952585)</f>
        <v>56.92952585</v>
      </c>
      <c r="M3140" s="2">
        <f>IFERROR(__xludf.DUMMYFUNCTION("""COMPUTED_VALUE"""),24.0965296521524)</f>
        <v>24.09652965</v>
      </c>
    </row>
    <row r="3141">
      <c r="A3141" s="2" t="str">
        <f>IFERROR(__xludf.DUMMYFUNCTION("""COMPUTED_VALUE"""),"For sale")</f>
        <v>For sale</v>
      </c>
      <c r="B3141" s="2" t="str">
        <f>IFERROR(__xludf.DUMMYFUNCTION("""COMPUTED_VALUE"""),"Zolitūde")</f>
        <v>Zolitūde</v>
      </c>
      <c r="C3141" s="2" t="str">
        <f>IFERROR(__xludf.DUMMYFUNCTION("""COMPUTED_VALUE"""),"Zolitūdes 36")</f>
        <v>Zolitūdes 36</v>
      </c>
      <c r="D3141" s="2">
        <f>IFERROR(__xludf.DUMMYFUNCTION("""COMPUTED_VALUE"""),3.0)</f>
        <v>3</v>
      </c>
      <c r="E3141" s="2">
        <f>IFERROR(__xludf.DUMMYFUNCTION("""COMPUTED_VALUE"""),77.0)</f>
        <v>77</v>
      </c>
      <c r="F3141" s="2">
        <f>IFERROR(__xludf.DUMMYFUNCTION("""COMPUTED_VALUE"""),9.0)</f>
        <v>9</v>
      </c>
      <c r="G3141" s="2">
        <f>IFERROR(__xludf.DUMMYFUNCTION("""COMPUTED_VALUE"""),9.0)</f>
        <v>9</v>
      </c>
      <c r="H3141" s="2">
        <f>IFERROR(__xludf.DUMMYFUNCTION("""COMPUTED_VALUE"""),119.0)</f>
        <v>119</v>
      </c>
      <c r="I3141" s="2" t="str">
        <f>IFERROR(__xludf.DUMMYFUNCTION("""COMPUTED_VALUE"""),"Panel")</f>
        <v>Panel</v>
      </c>
      <c r="J3141" s="2" t="str">
        <f>IFERROR(__xludf.DUMMYFUNCTION("""COMPUTED_VALUE"""),"All amenities")</f>
        <v>All amenities</v>
      </c>
      <c r="K3141" s="2">
        <f>IFERROR(__xludf.DUMMYFUNCTION("""COMPUTED_VALUE"""),73000.0)</f>
        <v>73000</v>
      </c>
      <c r="L3141" s="2">
        <f>IFERROR(__xludf.DUMMYFUNCTION("""COMPUTED_VALUE"""),56.9469888)</f>
        <v>56.9469888</v>
      </c>
      <c r="M3141" s="2">
        <f>IFERROR(__xludf.DUMMYFUNCTION("""COMPUTED_VALUE"""),24.0013103304718)</f>
        <v>24.00131033</v>
      </c>
    </row>
    <row r="3142">
      <c r="A3142" s="2" t="str">
        <f>IFERROR(__xludf.DUMMYFUNCTION("""COMPUTED_VALUE"""),"For sale")</f>
        <v>For sale</v>
      </c>
      <c r="B3142" s="2" t="str">
        <f>IFERROR(__xludf.DUMMYFUNCTION("""COMPUTED_VALUE"""),"Šampēteris-Pleskodāle")</f>
        <v>Šampēteris-Pleskodāle</v>
      </c>
      <c r="C3142" s="2" t="str">
        <f>IFERROR(__xludf.DUMMYFUNCTION("""COMPUTED_VALUE"""),"Lielirbes 13")</f>
        <v>Lielirbes 13</v>
      </c>
      <c r="D3142" s="2">
        <f>IFERROR(__xludf.DUMMYFUNCTION("""COMPUTED_VALUE"""),2.0)</f>
        <v>2</v>
      </c>
      <c r="E3142" s="2">
        <f>IFERROR(__xludf.DUMMYFUNCTION("""COMPUTED_VALUE"""),68.0)</f>
        <v>68</v>
      </c>
      <c r="F3142" s="2">
        <f>IFERROR(__xludf.DUMMYFUNCTION("""COMPUTED_VALUE"""),20.0)</f>
        <v>20</v>
      </c>
      <c r="G3142" s="2">
        <f>IFERROR(__xludf.DUMMYFUNCTION("""COMPUTED_VALUE"""),24.0)</f>
        <v>24</v>
      </c>
      <c r="H3142" s="2" t="str">
        <f>IFERROR(__xludf.DUMMYFUNCTION("""COMPUTED_VALUE"""),"Jaun.")</f>
        <v>Jaun.</v>
      </c>
      <c r="I3142" s="2" t="str">
        <f>IFERROR(__xludf.DUMMYFUNCTION("""COMPUTED_VALUE"""),"Masonry")</f>
        <v>Masonry</v>
      </c>
      <c r="J3142" s="2" t="str">
        <f>IFERROR(__xludf.DUMMYFUNCTION("""COMPUTED_VALUE"""),"All amenities")</f>
        <v>All amenities</v>
      </c>
      <c r="K3142" s="2">
        <f>IFERROR(__xludf.DUMMYFUNCTION("""COMPUTED_VALUE"""),115000.0)</f>
        <v>115000</v>
      </c>
      <c r="L3142" s="2">
        <f>IFERROR(__xludf.DUMMYFUNCTION("""COMPUTED_VALUE"""),56.9334996)</f>
        <v>56.9334996</v>
      </c>
      <c r="M3142" s="2">
        <f>IFERROR(__xludf.DUMMYFUNCTION("""COMPUTED_VALUE"""),24.0424848)</f>
        <v>24.0424848</v>
      </c>
    </row>
    <row r="3143">
      <c r="A3143" s="2" t="str">
        <f>IFERROR(__xludf.DUMMYFUNCTION("""COMPUTED_VALUE"""),"For sale")</f>
        <v>For sale</v>
      </c>
      <c r="B3143" s="2" t="str">
        <f>IFERROR(__xludf.DUMMYFUNCTION("""COMPUTED_VALUE"""),"centrs")</f>
        <v>centrs</v>
      </c>
      <c r="C3143" s="2" t="str">
        <f>IFERROR(__xludf.DUMMYFUNCTION("""COMPUTED_VALUE"""),"Stabu 96")</f>
        <v>Stabu 96</v>
      </c>
      <c r="D3143" s="2">
        <f>IFERROR(__xludf.DUMMYFUNCTION("""COMPUTED_VALUE"""),3.0)</f>
        <v>3</v>
      </c>
      <c r="E3143" s="2">
        <f>IFERROR(__xludf.DUMMYFUNCTION("""COMPUTED_VALUE"""),71.0)</f>
        <v>71</v>
      </c>
      <c r="F3143" s="2">
        <f>IFERROR(__xludf.DUMMYFUNCTION("""COMPUTED_VALUE"""),5.0)</f>
        <v>5</v>
      </c>
      <c r="G3143" s="2">
        <f>IFERROR(__xludf.DUMMYFUNCTION("""COMPUTED_VALUE"""),5.0)</f>
        <v>5</v>
      </c>
      <c r="H3143" s="2" t="str">
        <f>IFERROR(__xludf.DUMMYFUNCTION("""COMPUTED_VALUE"""),"P. kara")</f>
        <v>P. kara</v>
      </c>
      <c r="I3143" s="2" t="str">
        <f>IFERROR(__xludf.DUMMYFUNCTION("""COMPUTED_VALUE"""),"Brick")</f>
        <v>Brick</v>
      </c>
      <c r="J3143" s="2" t="str">
        <f>IFERROR(__xludf.DUMMYFUNCTION("""COMPUTED_VALUE"""),"All amenities")</f>
        <v>All amenities</v>
      </c>
      <c r="K3143" s="2">
        <f>IFERROR(__xludf.DUMMYFUNCTION("""COMPUTED_VALUE"""),125000.0)</f>
        <v>125000</v>
      </c>
      <c r="L3143" s="2">
        <f>IFERROR(__xludf.DUMMYFUNCTION("""COMPUTED_VALUE"""),56.94979075)</f>
        <v>56.94979075</v>
      </c>
      <c r="M3143" s="2">
        <f>IFERROR(__xludf.DUMMYFUNCTION("""COMPUTED_VALUE"""),24.1415616845318)</f>
        <v>24.14156168</v>
      </c>
    </row>
    <row r="3144">
      <c r="A3144" s="2" t="str">
        <f>IFERROR(__xludf.DUMMYFUNCTION("""COMPUTED_VALUE"""),"For sale")</f>
        <v>For sale</v>
      </c>
      <c r="B3144" s="2" t="str">
        <f>IFERROR(__xludf.DUMMYFUNCTION("""COMPUTED_VALUE"""),"centrs")</f>
        <v>centrs</v>
      </c>
      <c r="C3144" s="2" t="str">
        <f>IFERROR(__xludf.DUMMYFUNCTION("""COMPUTED_VALUE"""),"Lāčplēša 83")</f>
        <v>Lāčplēša 83</v>
      </c>
      <c r="D3144" s="2">
        <f>IFERROR(__xludf.DUMMYFUNCTION("""COMPUTED_VALUE"""),3.0)</f>
        <v>3</v>
      </c>
      <c r="E3144" s="2">
        <f>IFERROR(__xludf.DUMMYFUNCTION("""COMPUTED_VALUE"""),49.0)</f>
        <v>49</v>
      </c>
      <c r="F3144" s="2">
        <f>IFERROR(__xludf.DUMMYFUNCTION("""COMPUTED_VALUE"""),2.0)</f>
        <v>2</v>
      </c>
      <c r="G3144" s="2">
        <f>IFERROR(__xludf.DUMMYFUNCTION("""COMPUTED_VALUE"""),2.0)</f>
        <v>2</v>
      </c>
      <c r="H3144" s="2" t="str">
        <f>IFERROR(__xludf.DUMMYFUNCTION("""COMPUTED_VALUE"""),"P. kara")</f>
        <v>P. kara</v>
      </c>
      <c r="I3144" s="2" t="str">
        <f>IFERROR(__xludf.DUMMYFUNCTION("""COMPUTED_VALUE"""),"Wood")</f>
        <v>Wood</v>
      </c>
      <c r="J3144" s="2" t="str">
        <f>IFERROR(__xludf.DUMMYFUNCTION("""COMPUTED_VALUE"""),"Partial amenities")</f>
        <v>Partial amenities</v>
      </c>
      <c r="K3144" s="2">
        <f>IFERROR(__xludf.DUMMYFUNCTION("""COMPUTED_VALUE"""),18000.0)</f>
        <v>18000</v>
      </c>
      <c r="L3144" s="2">
        <f>IFERROR(__xludf.DUMMYFUNCTION("""COMPUTED_VALUE"""),56.9491789)</f>
        <v>56.9491789</v>
      </c>
      <c r="M3144" s="2">
        <f>IFERROR(__xludf.DUMMYFUNCTION("""COMPUTED_VALUE"""),24.1334933759442)</f>
        <v>24.13349338</v>
      </c>
    </row>
    <row r="3145">
      <c r="A3145" s="2" t="str">
        <f>IFERROR(__xludf.DUMMYFUNCTION("""COMPUTED_VALUE"""),"For sale")</f>
        <v>For sale</v>
      </c>
      <c r="B3145" s="2" t="str">
        <f>IFERROR(__xludf.DUMMYFUNCTION("""COMPUTED_VALUE"""),"centrs")</f>
        <v>centrs</v>
      </c>
      <c r="C3145" s="2" t="str">
        <f>IFERROR(__xludf.DUMMYFUNCTION("""COMPUTED_VALUE"""),"Eksporta 2a")</f>
        <v>Eksporta 2a</v>
      </c>
      <c r="D3145" s="2">
        <f>IFERROR(__xludf.DUMMYFUNCTION("""COMPUTED_VALUE"""),3.0)</f>
        <v>3</v>
      </c>
      <c r="E3145" s="2">
        <f>IFERROR(__xludf.DUMMYFUNCTION("""COMPUTED_VALUE"""),73.0)</f>
        <v>73</v>
      </c>
      <c r="F3145" s="2">
        <f>IFERROR(__xludf.DUMMYFUNCTION("""COMPUTED_VALUE"""),2.0)</f>
        <v>2</v>
      </c>
      <c r="G3145" s="2">
        <f>IFERROR(__xludf.DUMMYFUNCTION("""COMPUTED_VALUE"""),5.0)</f>
        <v>5</v>
      </c>
      <c r="H3145" s="2" t="str">
        <f>IFERROR(__xludf.DUMMYFUNCTION("""COMPUTED_VALUE"""),"Specpr.")</f>
        <v>Specpr.</v>
      </c>
      <c r="I3145" s="2" t="str">
        <f>IFERROR(__xludf.DUMMYFUNCTION("""COMPUTED_VALUE"""),"Brick")</f>
        <v>Brick</v>
      </c>
      <c r="J3145" s="2" t="str">
        <f>IFERROR(__xludf.DUMMYFUNCTION("""COMPUTED_VALUE"""),"All amenities")</f>
        <v>All amenities</v>
      </c>
      <c r="K3145" s="2">
        <f>IFERROR(__xludf.DUMMYFUNCTION("""COMPUTED_VALUE"""),102000.0)</f>
        <v>102000</v>
      </c>
      <c r="L3145" s="2">
        <f>IFERROR(__xludf.DUMMYFUNCTION("""COMPUTED_VALUE"""),56.95661335)</f>
        <v>56.95661335</v>
      </c>
      <c r="M3145" s="2">
        <f>IFERROR(__xludf.DUMMYFUNCTION("""COMPUTED_VALUE"""),24.0987304306377)</f>
        <v>24.09873043</v>
      </c>
    </row>
    <row r="3146">
      <c r="A3146" s="2" t="str">
        <f>IFERROR(__xludf.DUMMYFUNCTION("""COMPUTED_VALUE"""),"For sale")</f>
        <v>For sale</v>
      </c>
      <c r="B3146" s="2" t="str">
        <f>IFERROR(__xludf.DUMMYFUNCTION("""COMPUTED_VALUE"""),"Pļavnieki")</f>
        <v>Pļavnieki</v>
      </c>
      <c r="C3146" s="2" t="str">
        <f>IFERROR(__xludf.DUMMYFUNCTION("""COMPUTED_VALUE"""),"Slāvu 23a")</f>
        <v>Slāvu 23a</v>
      </c>
      <c r="D3146" s="2">
        <f>IFERROR(__xludf.DUMMYFUNCTION("""COMPUTED_VALUE"""),3.0)</f>
        <v>3</v>
      </c>
      <c r="E3146" s="2">
        <f>IFERROR(__xludf.DUMMYFUNCTION("""COMPUTED_VALUE"""),62.0)</f>
        <v>62</v>
      </c>
      <c r="F3146" s="2">
        <f>IFERROR(__xludf.DUMMYFUNCTION("""COMPUTED_VALUE"""),3.0)</f>
        <v>3</v>
      </c>
      <c r="G3146" s="2">
        <f>IFERROR(__xludf.DUMMYFUNCTION("""COMPUTED_VALUE"""),9.0)</f>
        <v>9</v>
      </c>
      <c r="H3146" s="2">
        <f>IFERROR(__xludf.DUMMYFUNCTION("""COMPUTED_VALUE"""),602.0)</f>
        <v>602</v>
      </c>
      <c r="I3146" s="2" t="str">
        <f>IFERROR(__xludf.DUMMYFUNCTION("""COMPUTED_VALUE"""),"Panel")</f>
        <v>Panel</v>
      </c>
      <c r="J3146" s="2" t="str">
        <f>IFERROR(__xludf.DUMMYFUNCTION("""COMPUTED_VALUE"""),"All amenities")</f>
        <v>All amenities</v>
      </c>
      <c r="K3146" s="2">
        <f>IFERROR(__xludf.DUMMYFUNCTION("""COMPUTED_VALUE"""),57000.0)</f>
        <v>57000</v>
      </c>
      <c r="L3146" s="2">
        <f>IFERROR(__xludf.DUMMYFUNCTION("""COMPUTED_VALUE"""),56.93115325)</f>
        <v>56.93115325</v>
      </c>
      <c r="M3146" s="2">
        <f>IFERROR(__xludf.DUMMYFUNCTION("""COMPUTED_VALUE"""),24.1775645554618)</f>
        <v>24.17756456</v>
      </c>
    </row>
    <row r="3147">
      <c r="A3147" s="2" t="str">
        <f>IFERROR(__xludf.DUMMYFUNCTION("""COMPUTED_VALUE"""),"For sale")</f>
        <v>For sale</v>
      </c>
      <c r="B3147" s="2" t="str">
        <f>IFERROR(__xludf.DUMMYFUNCTION("""COMPUTED_VALUE"""),"Purvciems")</f>
        <v>Purvciems</v>
      </c>
      <c r="C3147" s="2" t="str">
        <f>IFERROR(__xludf.DUMMYFUNCTION("""COMPUTED_VALUE"""),"Staiceles 15")</f>
        <v>Staiceles 15</v>
      </c>
      <c r="D3147" s="2">
        <f>IFERROR(__xludf.DUMMYFUNCTION("""COMPUTED_VALUE"""),2.0)</f>
        <v>2</v>
      </c>
      <c r="E3147" s="2">
        <f>IFERROR(__xludf.DUMMYFUNCTION("""COMPUTED_VALUE"""),50.0)</f>
        <v>50</v>
      </c>
      <c r="F3147" s="2">
        <f>IFERROR(__xludf.DUMMYFUNCTION("""COMPUTED_VALUE"""),5.0)</f>
        <v>5</v>
      </c>
      <c r="G3147" s="2">
        <f>IFERROR(__xludf.DUMMYFUNCTION("""COMPUTED_VALUE"""),9.0)</f>
        <v>9</v>
      </c>
      <c r="H3147" s="2">
        <f>IFERROR(__xludf.DUMMYFUNCTION("""COMPUTED_VALUE"""),602.0)</f>
        <v>602</v>
      </c>
      <c r="I3147" s="2" t="str">
        <f>IFERROR(__xludf.DUMMYFUNCTION("""COMPUTED_VALUE"""),"Panel")</f>
        <v>Panel</v>
      </c>
      <c r="J3147" s="2" t="str">
        <f>IFERROR(__xludf.DUMMYFUNCTION("""COMPUTED_VALUE"""),"All amenities")</f>
        <v>All amenities</v>
      </c>
      <c r="K3147" s="2">
        <f>IFERROR(__xludf.DUMMYFUNCTION("""COMPUTED_VALUE"""),57000.0)</f>
        <v>57000</v>
      </c>
      <c r="L3147" s="2">
        <f>IFERROR(__xludf.DUMMYFUNCTION("""COMPUTED_VALUE"""),56.95828335)</f>
        <v>56.95828335</v>
      </c>
      <c r="M3147" s="2">
        <f>IFERROR(__xludf.DUMMYFUNCTION("""COMPUTED_VALUE"""),24.1729105268554)</f>
        <v>24.17291053</v>
      </c>
    </row>
    <row r="3148">
      <c r="A3148" s="2" t="str">
        <f>IFERROR(__xludf.DUMMYFUNCTION("""COMPUTED_VALUE"""),"For rent")</f>
        <v>For rent</v>
      </c>
      <c r="B3148" s="2" t="str">
        <f>IFERROR(__xludf.DUMMYFUNCTION("""COMPUTED_VALUE"""),"Dārzciems")</f>
        <v>Dārzciems</v>
      </c>
      <c r="C3148" s="2" t="str">
        <f>IFERROR(__xludf.DUMMYFUNCTION("""COMPUTED_VALUE"""),"Zeltiņu 6")</f>
        <v>Zeltiņu 6</v>
      </c>
      <c r="D3148" s="2">
        <f>IFERROR(__xludf.DUMMYFUNCTION("""COMPUTED_VALUE"""),2.0)</f>
        <v>2</v>
      </c>
      <c r="E3148" s="2">
        <f>IFERROR(__xludf.DUMMYFUNCTION("""COMPUTED_VALUE"""),53.0)</f>
        <v>53</v>
      </c>
      <c r="F3148" s="2">
        <f>IFERROR(__xludf.DUMMYFUNCTION("""COMPUTED_VALUE"""),4.0)</f>
        <v>4</v>
      </c>
      <c r="G3148" s="2">
        <f>IFERROR(__xludf.DUMMYFUNCTION("""COMPUTED_VALUE"""),5.0)</f>
        <v>5</v>
      </c>
      <c r="H3148" s="2">
        <f>IFERROR(__xludf.DUMMYFUNCTION("""COMPUTED_VALUE"""),103.0)</f>
        <v>103</v>
      </c>
      <c r="I3148" s="2" t="str">
        <f>IFERROR(__xludf.DUMMYFUNCTION("""COMPUTED_VALUE"""),"Brick")</f>
        <v>Brick</v>
      </c>
      <c r="J3148" s="2" t="str">
        <f>IFERROR(__xludf.DUMMYFUNCTION("""COMPUTED_VALUE"""),"All amenities")</f>
        <v>All amenities</v>
      </c>
      <c r="K3148" s="2">
        <f>IFERROR(__xludf.DUMMYFUNCTION("""COMPUTED_VALUE"""),360.0)</f>
        <v>360</v>
      </c>
      <c r="L3148" s="2">
        <f>IFERROR(__xludf.DUMMYFUNCTION("""COMPUTED_VALUE"""),56.9472543)</f>
        <v>56.9472543</v>
      </c>
      <c r="M3148" s="2">
        <f>IFERROR(__xludf.DUMMYFUNCTION("""COMPUTED_VALUE"""),24.1696263)</f>
        <v>24.1696263</v>
      </c>
    </row>
    <row r="3149">
      <c r="A3149" s="2" t="str">
        <f>IFERROR(__xludf.DUMMYFUNCTION("""COMPUTED_VALUE"""),"For sale")</f>
        <v>For sale</v>
      </c>
      <c r="B3149" s="2" t="str">
        <f>IFERROR(__xludf.DUMMYFUNCTION("""COMPUTED_VALUE"""),"centrs")</f>
        <v>centrs</v>
      </c>
      <c r="C3149" s="2" t="str">
        <f>IFERROR(__xludf.DUMMYFUNCTION("""COMPUTED_VALUE"""),"Valdemāra 57")</f>
        <v>Valdemāra 57</v>
      </c>
      <c r="D3149" s="2">
        <f>IFERROR(__xludf.DUMMYFUNCTION("""COMPUTED_VALUE"""),3.0)</f>
        <v>3</v>
      </c>
      <c r="E3149" s="2">
        <f>IFERROR(__xludf.DUMMYFUNCTION("""COMPUTED_VALUE"""),93.0)</f>
        <v>93</v>
      </c>
      <c r="F3149" s="2">
        <f>IFERROR(__xludf.DUMMYFUNCTION("""COMPUTED_VALUE"""),7.0)</f>
        <v>7</v>
      </c>
      <c r="G3149" s="2">
        <f>IFERROR(__xludf.DUMMYFUNCTION("""COMPUTED_VALUE"""),7.0)</f>
        <v>7</v>
      </c>
      <c r="H3149" s="2" t="str">
        <f>IFERROR(__xludf.DUMMYFUNCTION("""COMPUTED_VALUE"""),"Renov.")</f>
        <v>Renov.</v>
      </c>
      <c r="I3149" s="2" t="str">
        <f>IFERROR(__xludf.DUMMYFUNCTION("""COMPUTED_VALUE"""),"Masonry")</f>
        <v>Masonry</v>
      </c>
      <c r="J3149" s="2" t="str">
        <f>IFERROR(__xludf.DUMMYFUNCTION("""COMPUTED_VALUE"""),"All amenities")</f>
        <v>All amenities</v>
      </c>
      <c r="K3149" s="2">
        <f>IFERROR(__xludf.DUMMYFUNCTION("""COMPUTED_VALUE"""),185000.0)</f>
        <v>185000</v>
      </c>
      <c r="L3149" s="2">
        <f>IFERROR(__xludf.DUMMYFUNCTION("""COMPUTED_VALUE"""),56.960378)</f>
        <v>56.960378</v>
      </c>
      <c r="M3149" s="2">
        <f>IFERROR(__xludf.DUMMYFUNCTION("""COMPUTED_VALUE"""),24.1197764)</f>
        <v>24.1197764</v>
      </c>
    </row>
    <row r="3150">
      <c r="A3150" s="2" t="str">
        <f>IFERROR(__xludf.DUMMYFUNCTION("""COMPUTED_VALUE"""),"For sale")</f>
        <v>For sale</v>
      </c>
      <c r="B3150" s="2" t="str">
        <f>IFERROR(__xludf.DUMMYFUNCTION("""COMPUTED_VALUE"""),"Krasta r-ns")</f>
        <v>Krasta r-ns</v>
      </c>
      <c r="C3150" s="2" t="str">
        <f>IFERROR(__xludf.DUMMYFUNCTION("""COMPUTED_VALUE"""),"Rītupes 12")</f>
        <v>Rītupes 12</v>
      </c>
      <c r="D3150" s="2">
        <f>IFERROR(__xludf.DUMMYFUNCTION("""COMPUTED_VALUE"""),1.0)</f>
        <v>1</v>
      </c>
      <c r="E3150" s="2">
        <f>IFERROR(__xludf.DUMMYFUNCTION("""COMPUTED_VALUE"""),26.0)</f>
        <v>26</v>
      </c>
      <c r="F3150" s="2">
        <f>IFERROR(__xludf.DUMMYFUNCTION("""COMPUTED_VALUE"""),1.0)</f>
        <v>1</v>
      </c>
      <c r="G3150" s="2">
        <f>IFERROR(__xludf.DUMMYFUNCTION("""COMPUTED_VALUE"""),2.0)</f>
        <v>2</v>
      </c>
      <c r="H3150" s="2" t="str">
        <f>IFERROR(__xludf.DUMMYFUNCTION("""COMPUTED_VALUE"""),"P. kara")</f>
        <v>P. kara</v>
      </c>
      <c r="I3150" s="2" t="str">
        <f>IFERROR(__xludf.DUMMYFUNCTION("""COMPUTED_VALUE"""),"Wood")</f>
        <v>Wood</v>
      </c>
      <c r="J3150" s="2" t="str">
        <f>IFERROR(__xludf.DUMMYFUNCTION("""COMPUTED_VALUE"""),"Partial amenities")</f>
        <v>Partial amenities</v>
      </c>
      <c r="K3150" s="2">
        <f>IFERROR(__xludf.DUMMYFUNCTION("""COMPUTED_VALUE"""),12500.0)</f>
        <v>12500</v>
      </c>
      <c r="L3150" s="2">
        <f>IFERROR(__xludf.DUMMYFUNCTION("""COMPUTED_VALUE"""),56.92991675)</f>
        <v>56.92991675</v>
      </c>
      <c r="M3150" s="2">
        <f>IFERROR(__xludf.DUMMYFUNCTION("""COMPUTED_VALUE"""),24.1699068499999)</f>
        <v>24.16990685</v>
      </c>
    </row>
    <row r="3151">
      <c r="A3151" s="2" t="str">
        <f>IFERROR(__xludf.DUMMYFUNCTION("""COMPUTED_VALUE"""),"For sale")</f>
        <v>For sale</v>
      </c>
      <c r="B3151" s="2" t="str">
        <f>IFERROR(__xludf.DUMMYFUNCTION("""COMPUTED_VALUE"""),"Imanta")</f>
        <v>Imanta</v>
      </c>
      <c r="C3151" s="2" t="str">
        <f>IFERROR(__xludf.DUMMYFUNCTION("""COMPUTED_VALUE"""),"Kurzemes pr. 124")</f>
        <v>Kurzemes pr. 124</v>
      </c>
      <c r="D3151" s="2">
        <f>IFERROR(__xludf.DUMMYFUNCTION("""COMPUTED_VALUE"""),2.0)</f>
        <v>2</v>
      </c>
      <c r="E3151" s="2">
        <f>IFERROR(__xludf.DUMMYFUNCTION("""COMPUTED_VALUE"""),49.2)</f>
        <v>49.2</v>
      </c>
      <c r="F3151" s="2">
        <f>IFERROR(__xludf.DUMMYFUNCTION("""COMPUTED_VALUE"""),7.0)</f>
        <v>7</v>
      </c>
      <c r="G3151" s="2">
        <f>IFERROR(__xludf.DUMMYFUNCTION("""COMPUTED_VALUE"""),9.0)</f>
        <v>9</v>
      </c>
      <c r="H3151" s="2">
        <f>IFERROR(__xludf.DUMMYFUNCTION("""COMPUTED_VALUE"""),602.0)</f>
        <v>602</v>
      </c>
      <c r="I3151" s="2" t="str">
        <f>IFERROR(__xludf.DUMMYFUNCTION("""COMPUTED_VALUE"""),"Panel")</f>
        <v>Panel</v>
      </c>
      <c r="J3151" s="2" t="str">
        <f>IFERROR(__xludf.DUMMYFUNCTION("""COMPUTED_VALUE"""),"All amenities")</f>
        <v>All amenities</v>
      </c>
      <c r="K3151" s="2">
        <f>IFERROR(__xludf.DUMMYFUNCTION("""COMPUTED_VALUE"""),63500.0)</f>
        <v>63500</v>
      </c>
      <c r="L3151" s="2" t="str">
        <f>IFERROR(__xludf.DUMMYFUNCTION("""COMPUTED_VALUE"""),"NaN")</f>
        <v>NaN</v>
      </c>
      <c r="M3151" s="2" t="str">
        <f>IFERROR(__xludf.DUMMYFUNCTION("""COMPUTED_VALUE"""),"NaN")</f>
        <v>NaN</v>
      </c>
    </row>
    <row r="3152">
      <c r="A3152" s="2" t="str">
        <f>IFERROR(__xludf.DUMMYFUNCTION("""COMPUTED_VALUE"""),"For sale")</f>
        <v>For sale</v>
      </c>
      <c r="B3152" s="2" t="str">
        <f>IFERROR(__xludf.DUMMYFUNCTION("""COMPUTED_VALUE"""),"Pļavnieki")</f>
        <v>Pļavnieki</v>
      </c>
      <c r="C3152" s="2" t="str">
        <f>IFERROR(__xludf.DUMMYFUNCTION("""COMPUTED_VALUE"""),"Ilūkstes 6")</f>
        <v>Ilūkstes 6</v>
      </c>
      <c r="D3152" s="2">
        <f>IFERROR(__xludf.DUMMYFUNCTION("""COMPUTED_VALUE"""),1.0)</f>
        <v>1</v>
      </c>
      <c r="E3152" s="2">
        <f>IFERROR(__xludf.DUMMYFUNCTION("""COMPUTED_VALUE"""),46.0)</f>
        <v>46</v>
      </c>
      <c r="F3152" s="2">
        <f>IFERROR(__xludf.DUMMYFUNCTION("""COMPUTED_VALUE"""),2.0)</f>
        <v>2</v>
      </c>
      <c r="G3152" s="2">
        <f>IFERROR(__xludf.DUMMYFUNCTION("""COMPUTED_VALUE"""),9.0)</f>
        <v>9</v>
      </c>
      <c r="H3152" s="2" t="str">
        <f>IFERROR(__xludf.DUMMYFUNCTION("""COMPUTED_VALUE"""),"M. ģim.")</f>
        <v>M. ģim.</v>
      </c>
      <c r="I3152" s="2" t="str">
        <f>IFERROR(__xludf.DUMMYFUNCTION("""COMPUTED_VALUE"""),"Panel")</f>
        <v>Panel</v>
      </c>
      <c r="J3152" s="2" t="str">
        <f>IFERROR(__xludf.DUMMYFUNCTION("""COMPUTED_VALUE"""),"All amenities")</f>
        <v>All amenities</v>
      </c>
      <c r="K3152" s="2">
        <f>IFERROR(__xludf.DUMMYFUNCTION("""COMPUTED_VALUE"""),38000.0)</f>
        <v>38000</v>
      </c>
      <c r="L3152" s="2">
        <f>IFERROR(__xludf.DUMMYFUNCTION("""COMPUTED_VALUE"""),56.9339826)</f>
        <v>56.9339826</v>
      </c>
      <c r="M3152" s="2">
        <f>IFERROR(__xludf.DUMMYFUNCTION("""COMPUTED_VALUE"""),24.197050844516)</f>
        <v>24.19705084</v>
      </c>
    </row>
    <row r="3153">
      <c r="A3153" s="2" t="str">
        <f>IFERROR(__xludf.DUMMYFUNCTION("""COMPUTED_VALUE"""),"For rent")</f>
        <v>For rent</v>
      </c>
      <c r="B3153" s="2" t="str">
        <f>IFERROR(__xludf.DUMMYFUNCTION("""COMPUTED_VALUE"""),"Sarkandaugava")</f>
        <v>Sarkandaugava</v>
      </c>
      <c r="C3153" s="2" t="str">
        <f>IFERROR(__xludf.DUMMYFUNCTION("""COMPUTED_VALUE"""),"Sarkandaugavas 26")</f>
        <v>Sarkandaugavas 26</v>
      </c>
      <c r="D3153" s="2">
        <f>IFERROR(__xludf.DUMMYFUNCTION("""COMPUTED_VALUE"""),2.0)</f>
        <v>2</v>
      </c>
      <c r="E3153" s="2">
        <f>IFERROR(__xludf.DUMMYFUNCTION("""COMPUTED_VALUE"""),41.0)</f>
        <v>41</v>
      </c>
      <c r="F3153" s="2">
        <f>IFERROR(__xludf.DUMMYFUNCTION("""COMPUTED_VALUE"""),4.0)</f>
        <v>4</v>
      </c>
      <c r="G3153" s="2">
        <f>IFERROR(__xludf.DUMMYFUNCTION("""COMPUTED_VALUE"""),5.0)</f>
        <v>5</v>
      </c>
      <c r="H3153" s="2" t="str">
        <f>IFERROR(__xludf.DUMMYFUNCTION("""COMPUTED_VALUE"""),"Hrušč.")</f>
        <v>Hrušč.</v>
      </c>
      <c r="I3153" s="2" t="str">
        <f>IFERROR(__xludf.DUMMYFUNCTION("""COMPUTED_VALUE"""),"Brick")</f>
        <v>Brick</v>
      </c>
      <c r="J3153" s="2" t="str">
        <f>IFERROR(__xludf.DUMMYFUNCTION("""COMPUTED_VALUE"""),"All amenities")</f>
        <v>All amenities</v>
      </c>
      <c r="K3153" s="2">
        <f>IFERROR(__xludf.DUMMYFUNCTION("""COMPUTED_VALUE"""),340.0)</f>
        <v>340</v>
      </c>
      <c r="L3153" s="2">
        <f>IFERROR(__xludf.DUMMYFUNCTION("""COMPUTED_VALUE"""),57.0021488)</f>
        <v>57.0021488</v>
      </c>
      <c r="M3153" s="2">
        <f>IFERROR(__xludf.DUMMYFUNCTION("""COMPUTED_VALUE"""),24.1248028)</f>
        <v>24.1248028</v>
      </c>
    </row>
    <row r="3154">
      <c r="A3154" s="2" t="str">
        <f>IFERROR(__xludf.DUMMYFUNCTION("""COMPUTED_VALUE"""),"For rent")</f>
        <v>For rent</v>
      </c>
      <c r="B3154" s="2" t="str">
        <f>IFERROR(__xludf.DUMMYFUNCTION("""COMPUTED_VALUE"""),"Imanta")</f>
        <v>Imanta</v>
      </c>
      <c r="C3154" s="2" t="str">
        <f>IFERROR(__xludf.DUMMYFUNCTION("""COMPUTED_VALUE"""),"Kooperatīva 20")</f>
        <v>Kooperatīva 20</v>
      </c>
      <c r="D3154" s="2">
        <f>IFERROR(__xludf.DUMMYFUNCTION("""COMPUTED_VALUE"""),1.0)</f>
        <v>1</v>
      </c>
      <c r="E3154" s="2">
        <f>IFERROR(__xludf.DUMMYFUNCTION("""COMPUTED_VALUE"""),18.0)</f>
        <v>18</v>
      </c>
      <c r="F3154" s="2">
        <f>IFERROR(__xludf.DUMMYFUNCTION("""COMPUTED_VALUE"""),2.0)</f>
        <v>2</v>
      </c>
      <c r="G3154" s="2">
        <f>IFERROR(__xludf.DUMMYFUNCTION("""COMPUTED_VALUE"""),2.0)</f>
        <v>2</v>
      </c>
      <c r="H3154" s="2" t="str">
        <f>IFERROR(__xludf.DUMMYFUNCTION("""COMPUTED_VALUE"""),"Priv. m.")</f>
        <v>Priv. m.</v>
      </c>
      <c r="I3154" s="2" t="str">
        <f>IFERROR(__xludf.DUMMYFUNCTION("""COMPUTED_VALUE"""),"Brick")</f>
        <v>Brick</v>
      </c>
      <c r="J3154" s="2" t="str">
        <f>IFERROR(__xludf.DUMMYFUNCTION("""COMPUTED_VALUE"""),"All amenities")</f>
        <v>All amenities</v>
      </c>
      <c r="K3154" s="2">
        <f>IFERROR(__xludf.DUMMYFUNCTION("""COMPUTED_VALUE"""),300.0)</f>
        <v>300</v>
      </c>
      <c r="L3154" s="2">
        <f>IFERROR(__xludf.DUMMYFUNCTION("""COMPUTED_VALUE"""),56.9547815)</f>
        <v>56.9547815</v>
      </c>
      <c r="M3154" s="2">
        <f>IFERROR(__xludf.DUMMYFUNCTION("""COMPUTED_VALUE"""),24.030075)</f>
        <v>24.030075</v>
      </c>
    </row>
    <row r="3155">
      <c r="A3155" s="2" t="str">
        <f>IFERROR(__xludf.DUMMYFUNCTION("""COMPUTED_VALUE"""),"For sale")</f>
        <v>For sale</v>
      </c>
      <c r="B3155" s="2" t="str">
        <f>IFERROR(__xludf.DUMMYFUNCTION("""COMPUTED_VALUE"""),"Ķengarags")</f>
        <v>Ķengarags</v>
      </c>
      <c r="C3155" s="2" t="str">
        <f>IFERROR(__xludf.DUMMYFUNCTION("""COMPUTED_VALUE"""),"Rušonu 30")</f>
        <v>Rušonu 30</v>
      </c>
      <c r="D3155" s="2">
        <f>IFERROR(__xludf.DUMMYFUNCTION("""COMPUTED_VALUE"""),2.0)</f>
        <v>2</v>
      </c>
      <c r="E3155" s="2">
        <f>IFERROR(__xludf.DUMMYFUNCTION("""COMPUTED_VALUE"""),49.0)</f>
        <v>49</v>
      </c>
      <c r="F3155" s="2">
        <f>IFERROR(__xludf.DUMMYFUNCTION("""COMPUTED_VALUE"""),5.0)</f>
        <v>5</v>
      </c>
      <c r="G3155" s="2">
        <f>IFERROR(__xludf.DUMMYFUNCTION("""COMPUTED_VALUE"""),5.0)</f>
        <v>5</v>
      </c>
      <c r="H3155" s="2" t="str">
        <f>IFERROR(__xludf.DUMMYFUNCTION("""COMPUTED_VALUE"""),"Specpr.")</f>
        <v>Specpr.</v>
      </c>
      <c r="I3155" s="2" t="str">
        <f>IFERROR(__xludf.DUMMYFUNCTION("""COMPUTED_VALUE"""),"Brick")</f>
        <v>Brick</v>
      </c>
      <c r="J3155" s="2" t="str">
        <f>IFERROR(__xludf.DUMMYFUNCTION("""COMPUTED_VALUE"""),"All amenities")</f>
        <v>All amenities</v>
      </c>
      <c r="K3155" s="2">
        <f>IFERROR(__xludf.DUMMYFUNCTION("""COMPUTED_VALUE"""),46000.0)</f>
        <v>46000</v>
      </c>
      <c r="L3155" s="2">
        <f>IFERROR(__xludf.DUMMYFUNCTION("""COMPUTED_VALUE"""),56.91613955)</f>
        <v>56.91613955</v>
      </c>
      <c r="M3155" s="2">
        <f>IFERROR(__xludf.DUMMYFUNCTION("""COMPUTED_VALUE"""),24.1868169499999)</f>
        <v>24.18681695</v>
      </c>
    </row>
    <row r="3156">
      <c r="A3156" s="2" t="str">
        <f>IFERROR(__xludf.DUMMYFUNCTION("""COMPUTED_VALUE"""),"For sale")</f>
        <v>For sale</v>
      </c>
      <c r="B3156" s="2" t="str">
        <f>IFERROR(__xludf.DUMMYFUNCTION("""COMPUTED_VALUE"""),"Zolitūde")</f>
        <v>Zolitūde</v>
      </c>
      <c r="C3156" s="2" t="str">
        <f>IFERROR(__xludf.DUMMYFUNCTION("""COMPUTED_VALUE"""),"Anniņmuižas 7")</f>
        <v>Anniņmuižas 7</v>
      </c>
      <c r="D3156" s="2">
        <f>IFERROR(__xludf.DUMMYFUNCTION("""COMPUTED_VALUE"""),2.0)</f>
        <v>2</v>
      </c>
      <c r="E3156" s="2">
        <f>IFERROR(__xludf.DUMMYFUNCTION("""COMPUTED_VALUE"""),65.0)</f>
        <v>65</v>
      </c>
      <c r="F3156" s="2">
        <f>IFERROR(__xludf.DUMMYFUNCTION("""COMPUTED_VALUE"""),8.0)</f>
        <v>8</v>
      </c>
      <c r="G3156" s="2">
        <f>IFERROR(__xludf.DUMMYFUNCTION("""COMPUTED_VALUE"""),13.0)</f>
        <v>13</v>
      </c>
      <c r="H3156" s="2" t="str">
        <f>IFERROR(__xludf.DUMMYFUNCTION("""COMPUTED_VALUE"""),"Jaun.")</f>
        <v>Jaun.</v>
      </c>
      <c r="I3156" s="2" t="str">
        <f>IFERROR(__xludf.DUMMYFUNCTION("""COMPUTED_VALUE"""),"Panel-Brick")</f>
        <v>Panel-Brick</v>
      </c>
      <c r="J3156" s="2" t="str">
        <f>IFERROR(__xludf.DUMMYFUNCTION("""COMPUTED_VALUE"""),"All amenities")</f>
        <v>All amenities</v>
      </c>
      <c r="K3156" s="2">
        <f>IFERROR(__xludf.DUMMYFUNCTION("""COMPUTED_VALUE"""),98000.0)</f>
        <v>98000</v>
      </c>
      <c r="L3156" s="2">
        <f>IFERROR(__xludf.DUMMYFUNCTION("""COMPUTED_VALUE"""),56.94666195)</f>
        <v>56.94666195</v>
      </c>
      <c r="M3156" s="2">
        <f>IFERROR(__xludf.DUMMYFUNCTION("""COMPUTED_VALUE"""),24.0130196500717)</f>
        <v>24.01301965</v>
      </c>
    </row>
    <row r="3157">
      <c r="A3157" s="2" t="str">
        <f>IFERROR(__xludf.DUMMYFUNCTION("""COMPUTED_VALUE"""),"For sale")</f>
        <v>For sale</v>
      </c>
      <c r="B3157" s="2" t="str">
        <f>IFERROR(__xludf.DUMMYFUNCTION("""COMPUTED_VALUE"""),"Bolderāja")</f>
        <v>Bolderāja</v>
      </c>
      <c r="C3157" s="2" t="str">
        <f>IFERROR(__xludf.DUMMYFUNCTION("""COMPUTED_VALUE"""),"Gaigalas 23a")</f>
        <v>Gaigalas 23a</v>
      </c>
      <c r="D3157" s="2">
        <f>IFERROR(__xludf.DUMMYFUNCTION("""COMPUTED_VALUE"""),1.0)</f>
        <v>1</v>
      </c>
      <c r="E3157" s="2">
        <f>IFERROR(__xludf.DUMMYFUNCTION("""COMPUTED_VALUE"""),34.0)</f>
        <v>34</v>
      </c>
      <c r="F3157" s="2">
        <f>IFERROR(__xludf.DUMMYFUNCTION("""COMPUTED_VALUE"""),1.0)</f>
        <v>1</v>
      </c>
      <c r="G3157" s="2">
        <f>IFERROR(__xludf.DUMMYFUNCTION("""COMPUTED_VALUE"""),5.0)</f>
        <v>5</v>
      </c>
      <c r="H3157" s="2">
        <f>IFERROR(__xludf.DUMMYFUNCTION("""COMPUTED_VALUE"""),103.0)</f>
        <v>103</v>
      </c>
      <c r="I3157" s="2" t="str">
        <f>IFERROR(__xludf.DUMMYFUNCTION("""COMPUTED_VALUE"""),"Panel-Brick")</f>
        <v>Panel-Brick</v>
      </c>
      <c r="J3157" s="2" t="str">
        <f>IFERROR(__xludf.DUMMYFUNCTION("""COMPUTED_VALUE"""),"All amenities")</f>
        <v>All amenities</v>
      </c>
      <c r="K3157" s="2">
        <f>IFERROR(__xludf.DUMMYFUNCTION("""COMPUTED_VALUE"""),33000.0)</f>
        <v>33000</v>
      </c>
      <c r="L3157" s="2">
        <f>IFERROR(__xludf.DUMMYFUNCTION("""COMPUTED_VALUE"""),57.0280588499999)</f>
        <v>57.02805885</v>
      </c>
      <c r="M3157" s="2">
        <f>IFERROR(__xludf.DUMMYFUNCTION("""COMPUTED_VALUE"""),24.0499994138029)</f>
        <v>24.04999941</v>
      </c>
    </row>
    <row r="3158">
      <c r="A3158" s="2" t="str">
        <f>IFERROR(__xludf.DUMMYFUNCTION("""COMPUTED_VALUE"""),"For sale")</f>
        <v>For sale</v>
      </c>
      <c r="B3158" s="2" t="str">
        <f>IFERROR(__xludf.DUMMYFUNCTION("""COMPUTED_VALUE"""),"Mežciems")</f>
        <v>Mežciems</v>
      </c>
      <c r="C3158" s="2" t="str">
        <f>IFERROR(__xludf.DUMMYFUNCTION("""COMPUTED_VALUE"""),"Hipokrāta 11")</f>
        <v>Hipokrāta 11</v>
      </c>
      <c r="D3158" s="2">
        <f>IFERROR(__xludf.DUMMYFUNCTION("""COMPUTED_VALUE"""),1.0)</f>
        <v>1</v>
      </c>
      <c r="E3158" s="2">
        <f>IFERROR(__xludf.DUMMYFUNCTION("""COMPUTED_VALUE"""),46.0)</f>
        <v>46</v>
      </c>
      <c r="F3158" s="2">
        <f>IFERROR(__xludf.DUMMYFUNCTION("""COMPUTED_VALUE"""),7.0)</f>
        <v>7</v>
      </c>
      <c r="G3158" s="2">
        <f>IFERROR(__xludf.DUMMYFUNCTION("""COMPUTED_VALUE"""),16.0)</f>
        <v>16</v>
      </c>
      <c r="H3158" s="2">
        <f>IFERROR(__xludf.DUMMYFUNCTION("""COMPUTED_VALUE"""),104.0)</f>
        <v>104</v>
      </c>
      <c r="I3158" s="2" t="str">
        <f>IFERROR(__xludf.DUMMYFUNCTION("""COMPUTED_VALUE"""),"Brick-Panel")</f>
        <v>Brick-Panel</v>
      </c>
      <c r="J3158" s="2" t="str">
        <f>IFERROR(__xludf.DUMMYFUNCTION("""COMPUTED_VALUE"""),"All amenities")</f>
        <v>All amenities</v>
      </c>
      <c r="K3158" s="2">
        <f>IFERROR(__xludf.DUMMYFUNCTION("""COMPUTED_VALUE"""),48000.0)</f>
        <v>48000</v>
      </c>
      <c r="L3158" s="2">
        <f>IFERROR(__xludf.DUMMYFUNCTION("""COMPUTED_VALUE"""),56.9671489)</f>
        <v>56.9671489</v>
      </c>
      <c r="M3158" s="2">
        <f>IFERROR(__xludf.DUMMYFUNCTION("""COMPUTED_VALUE"""),24.2375509025527)</f>
        <v>24.2375509</v>
      </c>
    </row>
    <row r="3159">
      <c r="A3159" s="2" t="str">
        <f>IFERROR(__xludf.DUMMYFUNCTION("""COMPUTED_VALUE"""),"For sale")</f>
        <v>For sale</v>
      </c>
      <c r="B3159" s="2" t="str">
        <f>IFERROR(__xludf.DUMMYFUNCTION("""COMPUTED_VALUE"""),"Pļavnieki")</f>
        <v>Pļavnieki</v>
      </c>
      <c r="C3159" s="2" t="str">
        <f>IFERROR(__xludf.DUMMYFUNCTION("""COMPUTED_VALUE"""),"Dzeņu 7k1")</f>
        <v>Dzeņu 7k1</v>
      </c>
      <c r="D3159" s="2">
        <f>IFERROR(__xludf.DUMMYFUNCTION("""COMPUTED_VALUE"""),2.0)</f>
        <v>2</v>
      </c>
      <c r="E3159" s="2">
        <f>IFERROR(__xludf.DUMMYFUNCTION("""COMPUTED_VALUE"""),64.0)</f>
        <v>64</v>
      </c>
      <c r="F3159" s="2">
        <f>IFERROR(__xludf.DUMMYFUNCTION("""COMPUTED_VALUE"""),2.0)</f>
        <v>2</v>
      </c>
      <c r="G3159" s="2">
        <f>IFERROR(__xludf.DUMMYFUNCTION("""COMPUTED_VALUE"""),8.0)</f>
        <v>8</v>
      </c>
      <c r="H3159" s="2" t="str">
        <f>IFERROR(__xludf.DUMMYFUNCTION("""COMPUTED_VALUE"""),"Jaun.")</f>
        <v>Jaun.</v>
      </c>
      <c r="I3159" s="2" t="str">
        <f>IFERROR(__xludf.DUMMYFUNCTION("""COMPUTED_VALUE"""),"Panel-Brick")</f>
        <v>Panel-Brick</v>
      </c>
      <c r="J3159" s="2" t="str">
        <f>IFERROR(__xludf.DUMMYFUNCTION("""COMPUTED_VALUE"""),"All amenities")</f>
        <v>All amenities</v>
      </c>
      <c r="K3159" s="2">
        <f>IFERROR(__xludf.DUMMYFUNCTION("""COMPUTED_VALUE"""),92950.0)</f>
        <v>92950</v>
      </c>
      <c r="L3159" s="2">
        <f>IFERROR(__xludf.DUMMYFUNCTION("""COMPUTED_VALUE"""),56.9401889)</f>
        <v>56.9401889</v>
      </c>
      <c r="M3159" s="2">
        <f>IFERROR(__xludf.DUMMYFUNCTION("""COMPUTED_VALUE"""),24.2111828)</f>
        <v>24.2111828</v>
      </c>
    </row>
    <row r="3160">
      <c r="A3160" s="2" t="str">
        <f>IFERROR(__xludf.DUMMYFUNCTION("""COMPUTED_VALUE"""),"For sale")</f>
        <v>For sale</v>
      </c>
      <c r="B3160" s="2" t="str">
        <f>IFERROR(__xludf.DUMMYFUNCTION("""COMPUTED_VALUE"""),"Sarkandaugava")</f>
        <v>Sarkandaugava</v>
      </c>
      <c r="C3160" s="2" t="str">
        <f>IFERROR(__xludf.DUMMYFUNCTION("""COMPUTED_VALUE"""),"Sliežu 27")</f>
        <v>Sliežu 27</v>
      </c>
      <c r="D3160" s="2">
        <f>IFERROR(__xludf.DUMMYFUNCTION("""COMPUTED_VALUE"""),3.0)</f>
        <v>3</v>
      </c>
      <c r="E3160" s="2">
        <f>IFERROR(__xludf.DUMMYFUNCTION("""COMPUTED_VALUE"""),60.0)</f>
        <v>60</v>
      </c>
      <c r="F3160" s="2">
        <f>IFERROR(__xludf.DUMMYFUNCTION("""COMPUTED_VALUE"""),1.0)</f>
        <v>1</v>
      </c>
      <c r="G3160" s="2">
        <f>IFERROR(__xludf.DUMMYFUNCTION("""COMPUTED_VALUE"""),3.0)</f>
        <v>3</v>
      </c>
      <c r="H3160" s="2" t="str">
        <f>IFERROR(__xludf.DUMMYFUNCTION("""COMPUTED_VALUE"""),"Specpr.")</f>
        <v>Specpr.</v>
      </c>
      <c r="I3160" s="2" t="str">
        <f>IFERROR(__xludf.DUMMYFUNCTION("""COMPUTED_VALUE"""),"Brick")</f>
        <v>Brick</v>
      </c>
      <c r="J3160" s="2" t="str">
        <f>IFERROR(__xludf.DUMMYFUNCTION("""COMPUTED_VALUE"""),"All amenities")</f>
        <v>All amenities</v>
      </c>
      <c r="K3160" s="2">
        <f>IFERROR(__xludf.DUMMYFUNCTION("""COMPUTED_VALUE"""),60000.0)</f>
        <v>60000</v>
      </c>
      <c r="L3160" s="2">
        <f>IFERROR(__xludf.DUMMYFUNCTION("""COMPUTED_VALUE"""),57.0070931)</f>
        <v>57.0070931</v>
      </c>
      <c r="M3160" s="2">
        <f>IFERROR(__xludf.DUMMYFUNCTION("""COMPUTED_VALUE"""),24.12490865)</f>
        <v>24.12490865</v>
      </c>
    </row>
    <row r="3161">
      <c r="A3161" s="2" t="str">
        <f>IFERROR(__xludf.DUMMYFUNCTION("""COMPUTED_VALUE"""),"For sale")</f>
        <v>For sale</v>
      </c>
      <c r="B3161" s="2" t="str">
        <f>IFERROR(__xludf.DUMMYFUNCTION("""COMPUTED_VALUE"""),"Maskavas priekšpilsēta")</f>
        <v>Maskavas priekšpilsēta</v>
      </c>
      <c r="C3161" s="2" t="str">
        <f>IFERROR(__xludf.DUMMYFUNCTION("""COMPUTED_VALUE"""),"Jersikas 25")</f>
        <v>Jersikas 25</v>
      </c>
      <c r="D3161" s="2">
        <f>IFERROR(__xludf.DUMMYFUNCTION("""COMPUTED_VALUE"""),1.0)</f>
        <v>1</v>
      </c>
      <c r="E3161" s="2">
        <f>IFERROR(__xludf.DUMMYFUNCTION("""COMPUTED_VALUE"""),30.0)</f>
        <v>30</v>
      </c>
      <c r="F3161" s="2">
        <f>IFERROR(__xludf.DUMMYFUNCTION("""COMPUTED_VALUE"""),2.0)</f>
        <v>2</v>
      </c>
      <c r="G3161" s="2">
        <f>IFERROR(__xludf.DUMMYFUNCTION("""COMPUTED_VALUE"""),2.0)</f>
        <v>2</v>
      </c>
      <c r="H3161" s="2" t="str">
        <f>IFERROR(__xludf.DUMMYFUNCTION("""COMPUTED_VALUE"""),"Specpr.")</f>
        <v>Specpr.</v>
      </c>
      <c r="I3161" s="2" t="str">
        <f>IFERROR(__xludf.DUMMYFUNCTION("""COMPUTED_VALUE"""),"Wood")</f>
        <v>Wood</v>
      </c>
      <c r="J3161" s="2" t="str">
        <f>IFERROR(__xludf.DUMMYFUNCTION("""COMPUTED_VALUE"""),"Partial amenities")</f>
        <v>Partial amenities</v>
      </c>
      <c r="K3161" s="2">
        <f>IFERROR(__xludf.DUMMYFUNCTION("""COMPUTED_VALUE"""),8890.0)</f>
        <v>8890</v>
      </c>
      <c r="L3161" s="2">
        <f>IFERROR(__xludf.DUMMYFUNCTION("""COMPUTED_VALUE"""),56.9388472)</f>
        <v>56.9388472</v>
      </c>
      <c r="M3161" s="2">
        <f>IFERROR(__xludf.DUMMYFUNCTION("""COMPUTED_VALUE"""),24.1451816996405)</f>
        <v>24.1451817</v>
      </c>
    </row>
    <row r="3162">
      <c r="A3162" s="2" t="str">
        <f>IFERROR(__xludf.DUMMYFUNCTION("""COMPUTED_VALUE"""),"For sale")</f>
        <v>For sale</v>
      </c>
      <c r="B3162" s="2" t="str">
        <f>IFERROR(__xludf.DUMMYFUNCTION("""COMPUTED_VALUE"""),"Zasulauks")</f>
        <v>Zasulauks</v>
      </c>
      <c r="C3162" s="2" t="str">
        <f>IFERROR(__xludf.DUMMYFUNCTION("""COMPUTED_VALUE"""),"M. Kuldīgas 4")</f>
        <v>M. Kuldīgas 4</v>
      </c>
      <c r="D3162" s="2">
        <f>IFERROR(__xludf.DUMMYFUNCTION("""COMPUTED_VALUE"""),4.0)</f>
        <v>4</v>
      </c>
      <c r="E3162" s="2">
        <f>IFERROR(__xludf.DUMMYFUNCTION("""COMPUTED_VALUE"""),92.0)</f>
        <v>92</v>
      </c>
      <c r="F3162" s="2">
        <f>IFERROR(__xludf.DUMMYFUNCTION("""COMPUTED_VALUE"""),1.0)</f>
        <v>1</v>
      </c>
      <c r="G3162" s="2">
        <f>IFERROR(__xludf.DUMMYFUNCTION("""COMPUTED_VALUE"""),2.0)</f>
        <v>2</v>
      </c>
      <c r="H3162" s="2" t="str">
        <f>IFERROR(__xludf.DUMMYFUNCTION("""COMPUTED_VALUE"""),"Specpr.")</f>
        <v>Specpr.</v>
      </c>
      <c r="I3162" s="2" t="str">
        <f>IFERROR(__xludf.DUMMYFUNCTION("""COMPUTED_VALUE"""),"Wood")</f>
        <v>Wood</v>
      </c>
      <c r="J3162" s="2" t="str">
        <f>IFERROR(__xludf.DUMMYFUNCTION("""COMPUTED_VALUE"""),"All amenities")</f>
        <v>All amenities</v>
      </c>
      <c r="K3162" s="2">
        <f>IFERROR(__xludf.DUMMYFUNCTION("""COMPUTED_VALUE"""),33500.0)</f>
        <v>33500</v>
      </c>
      <c r="L3162" s="2">
        <f>IFERROR(__xludf.DUMMYFUNCTION("""COMPUTED_VALUE"""),56.94158095)</f>
        <v>56.94158095</v>
      </c>
      <c r="M3162" s="2">
        <f>IFERROR(__xludf.DUMMYFUNCTION("""COMPUTED_VALUE"""),24.0539487289344)</f>
        <v>24.05394873</v>
      </c>
    </row>
    <row r="3163">
      <c r="A3163" s="2" t="str">
        <f>IFERROR(__xludf.DUMMYFUNCTION("""COMPUTED_VALUE"""),"For sale")</f>
        <v>For sale</v>
      </c>
      <c r="B3163" s="2" t="str">
        <f>IFERROR(__xludf.DUMMYFUNCTION("""COMPUTED_VALUE"""),"Sarkandaugava")</f>
        <v>Sarkandaugava</v>
      </c>
      <c r="C3163" s="2" t="str">
        <f>IFERROR(__xludf.DUMMYFUNCTION("""COMPUTED_VALUE"""),"Hāpsalas 5")</f>
        <v>Hāpsalas 5</v>
      </c>
      <c r="D3163" s="2">
        <f>IFERROR(__xludf.DUMMYFUNCTION("""COMPUTED_VALUE"""),1.0)</f>
        <v>1</v>
      </c>
      <c r="E3163" s="2">
        <f>IFERROR(__xludf.DUMMYFUNCTION("""COMPUTED_VALUE"""),18.0)</f>
        <v>18</v>
      </c>
      <c r="F3163" s="2">
        <f>IFERROR(__xludf.DUMMYFUNCTION("""COMPUTED_VALUE"""),4.0)</f>
        <v>4</v>
      </c>
      <c r="G3163" s="2">
        <f>IFERROR(__xludf.DUMMYFUNCTION("""COMPUTED_VALUE"""),5.0)</f>
        <v>5</v>
      </c>
      <c r="H3163" s="2" t="str">
        <f>IFERROR(__xludf.DUMMYFUNCTION("""COMPUTED_VALUE"""),"Specpr.")</f>
        <v>Specpr.</v>
      </c>
      <c r="I3163" s="2" t="str">
        <f>IFERROR(__xludf.DUMMYFUNCTION("""COMPUTED_VALUE"""),"Panel-Brick")</f>
        <v>Panel-Brick</v>
      </c>
      <c r="J3163" s="2" t="str">
        <f>IFERROR(__xludf.DUMMYFUNCTION("""COMPUTED_VALUE"""),"All amenities")</f>
        <v>All amenities</v>
      </c>
      <c r="K3163" s="2">
        <f>IFERROR(__xludf.DUMMYFUNCTION("""COMPUTED_VALUE"""),13500.0)</f>
        <v>13500</v>
      </c>
      <c r="L3163" s="2">
        <f>IFERROR(__xludf.DUMMYFUNCTION("""COMPUTED_VALUE"""),57.000974)</f>
        <v>57.000974</v>
      </c>
      <c r="M3163" s="2">
        <f>IFERROR(__xludf.DUMMYFUNCTION("""COMPUTED_VALUE"""),24.12127055)</f>
        <v>24.12127055</v>
      </c>
    </row>
    <row r="3164">
      <c r="A3164" s="2" t="str">
        <f>IFERROR(__xludf.DUMMYFUNCTION("""COMPUTED_VALUE"""),"For rent")</f>
        <v>For rent</v>
      </c>
      <c r="B3164" s="2" t="str">
        <f>IFERROR(__xludf.DUMMYFUNCTION("""COMPUTED_VALUE"""),"centrs")</f>
        <v>centrs</v>
      </c>
      <c r="C3164" s="2" t="str">
        <f>IFERROR(__xludf.DUMMYFUNCTION("""COMPUTED_VALUE"""),"Lāčplēša 98")</f>
        <v>Lāčplēša 98</v>
      </c>
      <c r="D3164" s="2">
        <f>IFERROR(__xludf.DUMMYFUNCTION("""COMPUTED_VALUE"""),1.0)</f>
        <v>1</v>
      </c>
      <c r="E3164" s="2">
        <f>IFERROR(__xludf.DUMMYFUNCTION("""COMPUTED_VALUE"""),20.0)</f>
        <v>20</v>
      </c>
      <c r="F3164" s="2">
        <f>IFERROR(__xludf.DUMMYFUNCTION("""COMPUTED_VALUE"""),6.0)</f>
        <v>6</v>
      </c>
      <c r="G3164" s="2">
        <f>IFERROR(__xludf.DUMMYFUNCTION("""COMPUTED_VALUE"""),6.0)</f>
        <v>6</v>
      </c>
      <c r="H3164" s="2" t="str">
        <f>IFERROR(__xludf.DUMMYFUNCTION("""COMPUTED_VALUE"""),"Renov.")</f>
        <v>Renov.</v>
      </c>
      <c r="I3164" s="2" t="str">
        <f>IFERROR(__xludf.DUMMYFUNCTION("""COMPUTED_VALUE"""),"Masonry")</f>
        <v>Masonry</v>
      </c>
      <c r="J3164" s="2" t="str">
        <f>IFERROR(__xludf.DUMMYFUNCTION("""COMPUTED_VALUE"""),"All amenities")</f>
        <v>All amenities</v>
      </c>
      <c r="K3164" s="2">
        <f>IFERROR(__xludf.DUMMYFUNCTION("""COMPUTED_VALUE"""),225.0)</f>
        <v>225</v>
      </c>
      <c r="L3164" s="2">
        <f>IFERROR(__xludf.DUMMYFUNCTION("""COMPUTED_VALUE"""),56.94440235)</f>
        <v>56.94440235</v>
      </c>
      <c r="M3164" s="2">
        <f>IFERROR(__xludf.DUMMYFUNCTION("""COMPUTED_VALUE"""),24.1323630232783)</f>
        <v>24.13236302</v>
      </c>
    </row>
    <row r="3165">
      <c r="A3165" s="2" t="str">
        <f>IFERROR(__xludf.DUMMYFUNCTION("""COMPUTED_VALUE"""),"For sale")</f>
        <v>For sale</v>
      </c>
      <c r="B3165" s="2" t="str">
        <f>IFERROR(__xludf.DUMMYFUNCTION("""COMPUTED_VALUE"""),"Ķengarags")</f>
        <v>Ķengarags</v>
      </c>
      <c r="C3165" s="2" t="str">
        <f>IFERROR(__xludf.DUMMYFUNCTION("""COMPUTED_VALUE"""),"Pelnu 1")</f>
        <v>Pelnu 1</v>
      </c>
      <c r="D3165" s="2">
        <f>IFERROR(__xludf.DUMMYFUNCTION("""COMPUTED_VALUE"""),2.0)</f>
        <v>2</v>
      </c>
      <c r="E3165" s="2">
        <f>IFERROR(__xludf.DUMMYFUNCTION("""COMPUTED_VALUE"""),49.0)</f>
        <v>49</v>
      </c>
      <c r="F3165" s="2">
        <f>IFERROR(__xludf.DUMMYFUNCTION("""COMPUTED_VALUE"""),2.0)</f>
        <v>2</v>
      </c>
      <c r="G3165" s="2">
        <f>IFERROR(__xludf.DUMMYFUNCTION("""COMPUTED_VALUE"""),9.0)</f>
        <v>9</v>
      </c>
      <c r="H3165" s="2">
        <f>IFERROR(__xludf.DUMMYFUNCTION("""COMPUTED_VALUE"""),467.0)</f>
        <v>467</v>
      </c>
      <c r="I3165" s="2" t="str">
        <f>IFERROR(__xludf.DUMMYFUNCTION("""COMPUTED_VALUE"""),"Panel")</f>
        <v>Panel</v>
      </c>
      <c r="J3165" s="2" t="str">
        <f>IFERROR(__xludf.DUMMYFUNCTION("""COMPUTED_VALUE"""),"All amenities")</f>
        <v>All amenities</v>
      </c>
      <c r="K3165" s="2">
        <f>IFERROR(__xludf.DUMMYFUNCTION("""COMPUTED_VALUE"""),49700.0)</f>
        <v>49700</v>
      </c>
      <c r="L3165" s="2">
        <f>IFERROR(__xludf.DUMMYFUNCTION("""COMPUTED_VALUE"""),56.9080231)</f>
        <v>56.9080231</v>
      </c>
      <c r="M3165" s="2">
        <f>IFERROR(__xludf.DUMMYFUNCTION("""COMPUTED_VALUE"""),24.1990921017509)</f>
        <v>24.1990921</v>
      </c>
    </row>
    <row r="3166">
      <c r="A3166" s="2" t="str">
        <f>IFERROR(__xludf.DUMMYFUNCTION("""COMPUTED_VALUE"""),"For sale")</f>
        <v>For sale</v>
      </c>
      <c r="B3166" s="2"/>
      <c r="C3166" s="2" t="str">
        <f>IFERROR(__xludf.DUMMYFUNCTION("""COMPUTED_VALUE"""),"Pupuku iela 9")</f>
        <v>Pupuku iela 9</v>
      </c>
      <c r="D3166" s="2">
        <f>IFERROR(__xludf.DUMMYFUNCTION("""COMPUTED_VALUE"""),2.0)</f>
        <v>2</v>
      </c>
      <c r="E3166" s="2">
        <f>IFERROR(__xludf.DUMMYFUNCTION("""COMPUTED_VALUE"""),55.0)</f>
        <v>55</v>
      </c>
      <c r="F3166" s="2">
        <f>IFERROR(__xludf.DUMMYFUNCTION("""COMPUTED_VALUE"""),1.0)</f>
        <v>1</v>
      </c>
      <c r="G3166" s="2">
        <f>IFERROR(__xludf.DUMMYFUNCTION("""COMPUTED_VALUE"""),5.0)</f>
        <v>5</v>
      </c>
      <c r="H3166" s="2" t="str">
        <f>IFERROR(__xludf.DUMMYFUNCTION("""COMPUTED_VALUE"""),"Jaun.")</f>
        <v>Jaun.</v>
      </c>
      <c r="I3166" s="2" t="str">
        <f>IFERROR(__xludf.DUMMYFUNCTION("""COMPUTED_VALUE"""),"Panel")</f>
        <v>Panel</v>
      </c>
      <c r="J3166" s="2" t="str">
        <f>IFERROR(__xludf.DUMMYFUNCTION("""COMPUTED_VALUE"""),"All amenities")</f>
        <v>All amenities</v>
      </c>
      <c r="K3166" s="2">
        <f>IFERROR(__xludf.DUMMYFUNCTION("""COMPUTED_VALUE"""),90000.0)</f>
        <v>90000</v>
      </c>
      <c r="L3166" s="2">
        <f>IFERROR(__xludf.DUMMYFUNCTION("""COMPUTED_VALUE"""),56.90511365)</f>
        <v>56.90511365</v>
      </c>
      <c r="M3166" s="2">
        <f>IFERROR(__xludf.DUMMYFUNCTION("""COMPUTED_VALUE"""),24.1432388249002)</f>
        <v>24.14323882</v>
      </c>
    </row>
    <row r="3167">
      <c r="A3167" s="2" t="str">
        <f>IFERROR(__xludf.DUMMYFUNCTION("""COMPUTED_VALUE"""),"For rent")</f>
        <v>For rent</v>
      </c>
      <c r="B3167" s="2" t="str">
        <f>IFERROR(__xludf.DUMMYFUNCTION("""COMPUTED_VALUE"""),"centrs")</f>
        <v>centrs</v>
      </c>
      <c r="C3167" s="2" t="str">
        <f>IFERROR(__xludf.DUMMYFUNCTION("""COMPUTED_VALUE"""),"Čaka 33")</f>
        <v>Čaka 33</v>
      </c>
      <c r="D3167" s="2">
        <f>IFERROR(__xludf.DUMMYFUNCTION("""COMPUTED_VALUE"""),3.0)</f>
        <v>3</v>
      </c>
      <c r="E3167" s="2">
        <f>IFERROR(__xludf.DUMMYFUNCTION("""COMPUTED_VALUE"""),86.0)</f>
        <v>86</v>
      </c>
      <c r="F3167" s="2">
        <f>IFERROR(__xludf.DUMMYFUNCTION("""COMPUTED_VALUE"""),5.0)</f>
        <v>5</v>
      </c>
      <c r="G3167" s="2">
        <f>IFERROR(__xludf.DUMMYFUNCTION("""COMPUTED_VALUE"""),6.0)</f>
        <v>6</v>
      </c>
      <c r="H3167" s="2" t="str">
        <f>IFERROR(__xludf.DUMMYFUNCTION("""COMPUTED_VALUE"""),"P. kara")</f>
        <v>P. kara</v>
      </c>
      <c r="I3167" s="2" t="str">
        <f>IFERROR(__xludf.DUMMYFUNCTION("""COMPUTED_VALUE"""),"Brick")</f>
        <v>Brick</v>
      </c>
      <c r="J3167" s="2" t="str">
        <f>IFERROR(__xludf.DUMMYFUNCTION("""COMPUTED_VALUE"""),"All amenities")</f>
        <v>All amenities</v>
      </c>
      <c r="K3167" s="2">
        <f>IFERROR(__xludf.DUMMYFUNCTION("""COMPUTED_VALUE"""),520.0)</f>
        <v>520</v>
      </c>
      <c r="L3167" s="2">
        <f>IFERROR(__xludf.DUMMYFUNCTION("""COMPUTED_VALUE"""),56.9521436)</f>
        <v>56.9521436</v>
      </c>
      <c r="M3167" s="2">
        <f>IFERROR(__xludf.DUMMYFUNCTION("""COMPUTED_VALUE"""),24.1276865)</f>
        <v>24.1276865</v>
      </c>
    </row>
    <row r="3168">
      <c r="A3168" s="2" t="str">
        <f>IFERROR(__xludf.DUMMYFUNCTION("""COMPUTED_VALUE"""),"For rent")</f>
        <v>For rent</v>
      </c>
      <c r="B3168" s="2" t="str">
        <f>IFERROR(__xludf.DUMMYFUNCTION("""COMPUTED_VALUE"""),"Mežciems")</f>
        <v>Mežciems</v>
      </c>
      <c r="C3168" s="2" t="str">
        <f>IFERROR(__xludf.DUMMYFUNCTION("""COMPUTED_VALUE"""),"Kaivas 50")</f>
        <v>Kaivas 50</v>
      </c>
      <c r="D3168" s="2">
        <f>IFERROR(__xludf.DUMMYFUNCTION("""COMPUTED_VALUE"""),1.0)</f>
        <v>1</v>
      </c>
      <c r="E3168" s="2">
        <f>IFERROR(__xludf.DUMMYFUNCTION("""COMPUTED_VALUE"""),32.0)</f>
        <v>32</v>
      </c>
      <c r="F3168" s="2">
        <f>IFERROR(__xludf.DUMMYFUNCTION("""COMPUTED_VALUE"""),3.0)</f>
        <v>3</v>
      </c>
      <c r="G3168" s="2">
        <f>IFERROR(__xludf.DUMMYFUNCTION("""COMPUTED_VALUE"""),5.0)</f>
        <v>5</v>
      </c>
      <c r="H3168" s="2" t="str">
        <f>IFERROR(__xludf.DUMMYFUNCTION("""COMPUTED_VALUE"""),"Jaun.")</f>
        <v>Jaun.</v>
      </c>
      <c r="I3168" s="2" t="str">
        <f>IFERROR(__xludf.DUMMYFUNCTION("""COMPUTED_VALUE"""),"Masonry")</f>
        <v>Masonry</v>
      </c>
      <c r="J3168" s="2" t="str">
        <f>IFERROR(__xludf.DUMMYFUNCTION("""COMPUTED_VALUE"""),"All amenities")</f>
        <v>All amenities</v>
      </c>
      <c r="K3168" s="2">
        <f>IFERROR(__xludf.DUMMYFUNCTION("""COMPUTED_VALUE"""),320.0)</f>
        <v>320</v>
      </c>
      <c r="L3168" s="2">
        <f>IFERROR(__xludf.DUMMYFUNCTION("""COMPUTED_VALUE"""),56.95546705)</f>
        <v>56.95546705</v>
      </c>
      <c r="M3168" s="2">
        <f>IFERROR(__xludf.DUMMYFUNCTION("""COMPUTED_VALUE"""),24.24181865)</f>
        <v>24.24181865</v>
      </c>
    </row>
    <row r="3169">
      <c r="A3169" s="2" t="str">
        <f>IFERROR(__xludf.DUMMYFUNCTION("""COMPUTED_VALUE"""),"For rent")</f>
        <v>For rent</v>
      </c>
      <c r="B3169" s="2" t="str">
        <f>IFERROR(__xludf.DUMMYFUNCTION("""COMPUTED_VALUE"""),"Purvciems")</f>
        <v>Purvciems</v>
      </c>
      <c r="C3169" s="2" t="str">
        <f>IFERROR(__xludf.DUMMYFUNCTION("""COMPUTED_VALUE"""),"Dzelzavas 76")</f>
        <v>Dzelzavas 76</v>
      </c>
      <c r="D3169" s="2">
        <f>IFERROR(__xludf.DUMMYFUNCTION("""COMPUTED_VALUE"""),3.0)</f>
        <v>3</v>
      </c>
      <c r="E3169" s="2">
        <f>IFERROR(__xludf.DUMMYFUNCTION("""COMPUTED_VALUE"""),62.0)</f>
        <v>62</v>
      </c>
      <c r="F3169" s="2">
        <f>IFERROR(__xludf.DUMMYFUNCTION("""COMPUTED_VALUE"""),4.0)</f>
        <v>4</v>
      </c>
      <c r="G3169" s="2">
        <f>IFERROR(__xludf.DUMMYFUNCTION("""COMPUTED_VALUE"""),9.0)</f>
        <v>9</v>
      </c>
      <c r="H3169" s="2">
        <f>IFERROR(__xludf.DUMMYFUNCTION("""COMPUTED_VALUE"""),602.0)</f>
        <v>602</v>
      </c>
      <c r="I3169" s="2" t="str">
        <f>IFERROR(__xludf.DUMMYFUNCTION("""COMPUTED_VALUE"""),"Panel")</f>
        <v>Panel</v>
      </c>
      <c r="J3169" s="2" t="str">
        <f>IFERROR(__xludf.DUMMYFUNCTION("""COMPUTED_VALUE"""),"All amenities")</f>
        <v>All amenities</v>
      </c>
      <c r="K3169" s="2">
        <f>IFERROR(__xludf.DUMMYFUNCTION("""COMPUTED_VALUE"""),460.0)</f>
        <v>460</v>
      </c>
      <c r="L3169" s="2">
        <f>IFERROR(__xludf.DUMMYFUNCTION("""COMPUTED_VALUE"""),56.9550112)</f>
        <v>56.9550112</v>
      </c>
      <c r="M3169" s="2">
        <f>IFERROR(__xludf.DUMMYFUNCTION("""COMPUTED_VALUE"""),24.1985621)</f>
        <v>24.1985621</v>
      </c>
    </row>
    <row r="3170">
      <c r="A3170" s="2" t="str">
        <f>IFERROR(__xludf.DUMMYFUNCTION("""COMPUTED_VALUE"""),"For rent")</f>
        <v>For rent</v>
      </c>
      <c r="B3170" s="2" t="str">
        <f>IFERROR(__xludf.DUMMYFUNCTION("""COMPUTED_VALUE"""),"Pļavnieki")</f>
        <v>Pļavnieki</v>
      </c>
      <c r="C3170" s="2" t="str">
        <f>IFERROR(__xludf.DUMMYFUNCTION("""COMPUTED_VALUE"""),"Ilūkstes 4")</f>
        <v>Ilūkstes 4</v>
      </c>
      <c r="D3170" s="2">
        <f>IFERROR(__xludf.DUMMYFUNCTION("""COMPUTED_VALUE"""),1.0)</f>
        <v>1</v>
      </c>
      <c r="E3170" s="2">
        <f>IFERROR(__xludf.DUMMYFUNCTION("""COMPUTED_VALUE"""),41.0)</f>
        <v>41</v>
      </c>
      <c r="F3170" s="2">
        <f>IFERROR(__xludf.DUMMYFUNCTION("""COMPUTED_VALUE"""),8.0)</f>
        <v>8</v>
      </c>
      <c r="G3170" s="2">
        <f>IFERROR(__xludf.DUMMYFUNCTION("""COMPUTED_VALUE"""),9.0)</f>
        <v>9</v>
      </c>
      <c r="H3170" s="2" t="str">
        <f>IFERROR(__xludf.DUMMYFUNCTION("""COMPUTED_VALUE"""),"M. ģim.")</f>
        <v>M. ģim.</v>
      </c>
      <c r="I3170" s="2" t="str">
        <f>IFERROR(__xludf.DUMMYFUNCTION("""COMPUTED_VALUE"""),"Panel-Brick")</f>
        <v>Panel-Brick</v>
      </c>
      <c r="J3170" s="2" t="str">
        <f>IFERROR(__xludf.DUMMYFUNCTION("""COMPUTED_VALUE"""),"All amenities")</f>
        <v>All amenities</v>
      </c>
      <c r="K3170" s="2">
        <f>IFERROR(__xludf.DUMMYFUNCTION("""COMPUTED_VALUE"""),25.0)</f>
        <v>25</v>
      </c>
      <c r="L3170" s="2">
        <f>IFERROR(__xludf.DUMMYFUNCTION("""COMPUTED_VALUE"""),56.93391825)</f>
        <v>56.93391825</v>
      </c>
      <c r="M3170" s="2">
        <f>IFERROR(__xludf.DUMMYFUNCTION("""COMPUTED_VALUE"""),24.1961130586527)</f>
        <v>24.19611306</v>
      </c>
    </row>
    <row r="3171">
      <c r="A3171" s="2" t="str">
        <f>IFERROR(__xludf.DUMMYFUNCTION("""COMPUTED_VALUE"""),"For sale")</f>
        <v>For sale</v>
      </c>
      <c r="B3171" s="2" t="str">
        <f>IFERROR(__xludf.DUMMYFUNCTION("""COMPUTED_VALUE"""),"Ķengarags")</f>
        <v>Ķengarags</v>
      </c>
      <c r="C3171" s="2" t="str">
        <f>IFERROR(__xludf.DUMMYFUNCTION("""COMPUTED_VALUE"""),"Aviācijas 2c")</f>
        <v>Aviācijas 2c</v>
      </c>
      <c r="D3171" s="2">
        <f>IFERROR(__xludf.DUMMYFUNCTION("""COMPUTED_VALUE"""),1.0)</f>
        <v>1</v>
      </c>
      <c r="E3171" s="2">
        <f>IFERROR(__xludf.DUMMYFUNCTION("""COMPUTED_VALUE"""),35.0)</f>
        <v>35</v>
      </c>
      <c r="F3171" s="2">
        <f>IFERROR(__xludf.DUMMYFUNCTION("""COMPUTED_VALUE"""),6.0)</f>
        <v>6</v>
      </c>
      <c r="G3171" s="2">
        <f>IFERROR(__xludf.DUMMYFUNCTION("""COMPUTED_VALUE"""),12.0)</f>
        <v>12</v>
      </c>
      <c r="H3171" s="2" t="str">
        <f>IFERROR(__xludf.DUMMYFUNCTION("""COMPUTED_VALUE"""),"Specpr.")</f>
        <v>Specpr.</v>
      </c>
      <c r="I3171" s="2" t="str">
        <f>IFERROR(__xludf.DUMMYFUNCTION("""COMPUTED_VALUE"""),"Brick-Panel")</f>
        <v>Brick-Panel</v>
      </c>
      <c r="J3171" s="2" t="str">
        <f>IFERROR(__xludf.DUMMYFUNCTION("""COMPUTED_VALUE"""),"All amenities")</f>
        <v>All amenities</v>
      </c>
      <c r="K3171" s="2">
        <f>IFERROR(__xludf.DUMMYFUNCTION("""COMPUTED_VALUE"""),34500.0)</f>
        <v>34500</v>
      </c>
      <c r="L3171" s="2">
        <f>IFERROR(__xludf.DUMMYFUNCTION("""COMPUTED_VALUE"""),56.9038744)</f>
        <v>56.9038744</v>
      </c>
      <c r="M3171" s="2">
        <f>IFERROR(__xludf.DUMMYFUNCTION("""COMPUTED_VALUE"""),24.1987997038064)</f>
        <v>24.1987997</v>
      </c>
    </row>
    <row r="3172">
      <c r="A3172" s="2" t="str">
        <f>IFERROR(__xludf.DUMMYFUNCTION("""COMPUTED_VALUE"""),"For rent")</f>
        <v>For rent</v>
      </c>
      <c r="B3172" s="2" t="str">
        <f>IFERROR(__xludf.DUMMYFUNCTION("""COMPUTED_VALUE"""),"Āgenskalns")</f>
        <v>Āgenskalns</v>
      </c>
      <c r="C3172" s="2" t="str">
        <f>IFERROR(__xludf.DUMMYFUNCTION("""COMPUTED_VALUE"""),"Alīses 8")</f>
        <v>Alīses 8</v>
      </c>
      <c r="D3172" s="2">
        <f>IFERROR(__xludf.DUMMYFUNCTION("""COMPUTED_VALUE"""),2.0)</f>
        <v>2</v>
      </c>
      <c r="E3172" s="2">
        <f>IFERROR(__xludf.DUMMYFUNCTION("""COMPUTED_VALUE"""),44.0)</f>
        <v>44</v>
      </c>
      <c r="F3172" s="2">
        <f>IFERROR(__xludf.DUMMYFUNCTION("""COMPUTED_VALUE"""),5.0)</f>
        <v>5</v>
      </c>
      <c r="G3172" s="2">
        <f>IFERROR(__xludf.DUMMYFUNCTION("""COMPUTED_VALUE"""),5.0)</f>
        <v>5</v>
      </c>
      <c r="H3172" s="2" t="str">
        <f>IFERROR(__xludf.DUMMYFUNCTION("""COMPUTED_VALUE"""),"Hrušč.")</f>
        <v>Hrušč.</v>
      </c>
      <c r="I3172" s="2" t="str">
        <f>IFERROR(__xludf.DUMMYFUNCTION("""COMPUTED_VALUE"""),"Panel")</f>
        <v>Panel</v>
      </c>
      <c r="J3172" s="2" t="str">
        <f>IFERROR(__xludf.DUMMYFUNCTION("""COMPUTED_VALUE"""),"All amenities")</f>
        <v>All amenities</v>
      </c>
      <c r="K3172" s="2">
        <f>IFERROR(__xludf.DUMMYFUNCTION("""COMPUTED_VALUE"""),300.0)</f>
        <v>300</v>
      </c>
      <c r="L3172" s="2">
        <f>IFERROR(__xludf.DUMMYFUNCTION("""COMPUTED_VALUE"""),56.94661035)</f>
        <v>56.94661035</v>
      </c>
      <c r="M3172" s="2">
        <f>IFERROR(__xludf.DUMMYFUNCTION("""COMPUTED_VALUE"""),24.0666173966587)</f>
        <v>24.0666174</v>
      </c>
    </row>
    <row r="3173">
      <c r="A3173" s="2" t="str">
        <f>IFERROR(__xludf.DUMMYFUNCTION("""COMPUTED_VALUE"""),"For sale")</f>
        <v>For sale</v>
      </c>
      <c r="B3173" s="2" t="str">
        <f>IFERROR(__xludf.DUMMYFUNCTION("""COMPUTED_VALUE"""),"Purvciems")</f>
        <v>Purvciems</v>
      </c>
      <c r="C3173" s="2" t="str">
        <f>IFERROR(__xludf.DUMMYFUNCTION("""COMPUTED_VALUE"""),"Žagatu 22")</f>
        <v>Žagatu 22</v>
      </c>
      <c r="D3173" s="2">
        <f>IFERROR(__xludf.DUMMYFUNCTION("""COMPUTED_VALUE"""),2.0)</f>
        <v>2</v>
      </c>
      <c r="E3173" s="2">
        <f>IFERROR(__xludf.DUMMYFUNCTION("""COMPUTED_VALUE"""),46.0)</f>
        <v>46</v>
      </c>
      <c r="F3173" s="2">
        <f>IFERROR(__xludf.DUMMYFUNCTION("""COMPUTED_VALUE"""),4.0)</f>
        <v>4</v>
      </c>
      <c r="G3173" s="2">
        <f>IFERROR(__xludf.DUMMYFUNCTION("""COMPUTED_VALUE"""),5.0)</f>
        <v>5</v>
      </c>
      <c r="H3173" s="2" t="str">
        <f>IFERROR(__xludf.DUMMYFUNCTION("""COMPUTED_VALUE"""),"LT proj.")</f>
        <v>LT proj.</v>
      </c>
      <c r="I3173" s="2" t="str">
        <f>IFERROR(__xludf.DUMMYFUNCTION("""COMPUTED_VALUE"""),"Panel")</f>
        <v>Panel</v>
      </c>
      <c r="J3173" s="2" t="str">
        <f>IFERROR(__xludf.DUMMYFUNCTION("""COMPUTED_VALUE"""),"All amenities")</f>
        <v>All amenities</v>
      </c>
      <c r="K3173" s="2">
        <f>IFERROR(__xludf.DUMMYFUNCTION("""COMPUTED_VALUE"""),44000.0)</f>
        <v>44000</v>
      </c>
      <c r="L3173" s="2">
        <f>IFERROR(__xludf.DUMMYFUNCTION("""COMPUTED_VALUE"""),56.9633342)</f>
        <v>56.9633342</v>
      </c>
      <c r="M3173" s="2">
        <f>IFERROR(__xludf.DUMMYFUNCTION("""COMPUTED_VALUE"""),24.1887981539815)</f>
        <v>24.18879815</v>
      </c>
    </row>
    <row r="3174">
      <c r="A3174" s="2" t="str">
        <f>IFERROR(__xludf.DUMMYFUNCTION("""COMPUTED_VALUE"""),"For sale")</f>
        <v>For sale</v>
      </c>
      <c r="B3174" s="2" t="str">
        <f>IFERROR(__xludf.DUMMYFUNCTION("""COMPUTED_VALUE"""),"Ķengarags")</f>
        <v>Ķengarags</v>
      </c>
      <c r="C3174" s="2" t="str">
        <f>IFERROR(__xludf.DUMMYFUNCTION("""COMPUTED_VALUE"""),"Glūdas 6")</f>
        <v>Glūdas 6</v>
      </c>
      <c r="D3174" s="2">
        <f>IFERROR(__xludf.DUMMYFUNCTION("""COMPUTED_VALUE"""),2.0)</f>
        <v>2</v>
      </c>
      <c r="E3174" s="2">
        <f>IFERROR(__xludf.DUMMYFUNCTION("""COMPUTED_VALUE"""),44.0)</f>
        <v>44</v>
      </c>
      <c r="F3174" s="2">
        <f>IFERROR(__xludf.DUMMYFUNCTION("""COMPUTED_VALUE"""),5.0)</f>
        <v>5</v>
      </c>
      <c r="G3174" s="2">
        <f>IFERROR(__xludf.DUMMYFUNCTION("""COMPUTED_VALUE"""),5.0)</f>
        <v>5</v>
      </c>
      <c r="H3174" s="2" t="str">
        <f>IFERROR(__xludf.DUMMYFUNCTION("""COMPUTED_VALUE"""),"LT proj.")</f>
        <v>LT proj.</v>
      </c>
      <c r="I3174" s="2" t="str">
        <f>IFERROR(__xludf.DUMMYFUNCTION("""COMPUTED_VALUE"""),"Panel")</f>
        <v>Panel</v>
      </c>
      <c r="J3174" s="2" t="str">
        <f>IFERROR(__xludf.DUMMYFUNCTION("""COMPUTED_VALUE"""),"All amenities")</f>
        <v>All amenities</v>
      </c>
      <c r="K3174" s="2">
        <f>IFERROR(__xludf.DUMMYFUNCTION("""COMPUTED_VALUE"""),45000.0)</f>
        <v>45000</v>
      </c>
      <c r="L3174" s="2">
        <f>IFERROR(__xludf.DUMMYFUNCTION("""COMPUTED_VALUE"""),56.9119415)</f>
        <v>56.9119415</v>
      </c>
      <c r="M3174" s="2">
        <f>IFERROR(__xludf.DUMMYFUNCTION("""COMPUTED_VALUE"""),24.1733953943026)</f>
        <v>24.17339539</v>
      </c>
    </row>
    <row r="3175">
      <c r="A3175" s="2" t="str">
        <f>IFERROR(__xludf.DUMMYFUNCTION("""COMPUTED_VALUE"""),"For rent")</f>
        <v>For rent</v>
      </c>
      <c r="B3175" s="2" t="str">
        <f>IFERROR(__xludf.DUMMYFUNCTION("""COMPUTED_VALUE"""),"centrs")</f>
        <v>centrs</v>
      </c>
      <c r="C3175" s="2" t="str">
        <f>IFERROR(__xludf.DUMMYFUNCTION("""COMPUTED_VALUE"""),"Indrānu 8")</f>
        <v>Indrānu 8</v>
      </c>
      <c r="D3175" s="2">
        <f>IFERROR(__xludf.DUMMYFUNCTION("""COMPUTED_VALUE"""),1.0)</f>
        <v>1</v>
      </c>
      <c r="E3175" s="2">
        <f>IFERROR(__xludf.DUMMYFUNCTION("""COMPUTED_VALUE"""),31.0)</f>
        <v>31</v>
      </c>
      <c r="F3175" s="2">
        <f>IFERROR(__xludf.DUMMYFUNCTION("""COMPUTED_VALUE"""),7.0)</f>
        <v>7</v>
      </c>
      <c r="G3175" s="2">
        <f>IFERROR(__xludf.DUMMYFUNCTION("""COMPUTED_VALUE"""),1.0)</f>
        <v>1</v>
      </c>
      <c r="H3175" s="2" t="str">
        <f>IFERROR(__xludf.DUMMYFUNCTION("""COMPUTED_VALUE"""),"Jaun.")</f>
        <v>Jaun.</v>
      </c>
      <c r="I3175" s="2" t="str">
        <f>IFERROR(__xludf.DUMMYFUNCTION("""COMPUTED_VALUE"""),"Brick-Panel")</f>
        <v>Brick-Panel</v>
      </c>
      <c r="J3175" s="2" t="str">
        <f>IFERROR(__xludf.DUMMYFUNCTION("""COMPUTED_VALUE"""),"All amenities")</f>
        <v>All amenities</v>
      </c>
      <c r="K3175" s="2">
        <f>IFERROR(__xludf.DUMMYFUNCTION("""COMPUTED_VALUE"""),290.0)</f>
        <v>290</v>
      </c>
      <c r="L3175" s="2">
        <f>IFERROR(__xludf.DUMMYFUNCTION("""COMPUTED_VALUE"""),56.9684979)</f>
        <v>56.9684979</v>
      </c>
      <c r="M3175" s="2">
        <f>IFERROR(__xludf.DUMMYFUNCTION("""COMPUTED_VALUE"""),24.1467035)</f>
        <v>24.1467035</v>
      </c>
    </row>
    <row r="3176">
      <c r="A3176" s="2" t="str">
        <f>IFERROR(__xludf.DUMMYFUNCTION("""COMPUTED_VALUE"""),"For sale")</f>
        <v>For sale</v>
      </c>
      <c r="B3176" s="2" t="str">
        <f>IFERROR(__xludf.DUMMYFUNCTION("""COMPUTED_VALUE"""),"Āgenskalns")</f>
        <v>Āgenskalns</v>
      </c>
      <c r="C3176" s="2" t="str">
        <f>IFERROR(__xludf.DUMMYFUNCTION("""COMPUTED_VALUE"""),"Ventspils 45/1")</f>
        <v>Ventspils 45/1</v>
      </c>
      <c r="D3176" s="2">
        <f>IFERROR(__xludf.DUMMYFUNCTION("""COMPUTED_VALUE"""),2.0)</f>
        <v>2</v>
      </c>
      <c r="E3176" s="2">
        <f>IFERROR(__xludf.DUMMYFUNCTION("""COMPUTED_VALUE"""),46.0)</f>
        <v>46</v>
      </c>
      <c r="F3176" s="2">
        <f>IFERROR(__xludf.DUMMYFUNCTION("""COMPUTED_VALUE"""),3.0)</f>
        <v>3</v>
      </c>
      <c r="G3176" s="2">
        <f>IFERROR(__xludf.DUMMYFUNCTION("""COMPUTED_VALUE"""),3.0)</f>
        <v>3</v>
      </c>
      <c r="H3176" s="2" t="str">
        <f>IFERROR(__xludf.DUMMYFUNCTION("""COMPUTED_VALUE"""),"Specpr.")</f>
        <v>Specpr.</v>
      </c>
      <c r="I3176" s="2" t="str">
        <f>IFERROR(__xludf.DUMMYFUNCTION("""COMPUTED_VALUE"""),"Brick")</f>
        <v>Brick</v>
      </c>
      <c r="J3176" s="2" t="str">
        <f>IFERROR(__xludf.DUMMYFUNCTION("""COMPUTED_VALUE"""),"All amenities")</f>
        <v>All amenities</v>
      </c>
      <c r="K3176" s="2">
        <f>IFERROR(__xludf.DUMMYFUNCTION("""COMPUTED_VALUE"""),65000.0)</f>
        <v>65000</v>
      </c>
      <c r="L3176" s="2">
        <f>IFERROR(__xludf.DUMMYFUNCTION("""COMPUTED_VALUE"""),56.9335665)</f>
        <v>56.9335665</v>
      </c>
      <c r="M3176" s="2">
        <f>IFERROR(__xludf.DUMMYFUNCTION("""COMPUTED_VALUE"""),24.0460096)</f>
        <v>24.0460096</v>
      </c>
    </row>
    <row r="3177">
      <c r="A3177" s="2" t="str">
        <f>IFERROR(__xludf.DUMMYFUNCTION("""COMPUTED_VALUE"""),"For sale")</f>
        <v>For sale</v>
      </c>
      <c r="B3177" s="2" t="str">
        <f>IFERROR(__xludf.DUMMYFUNCTION("""COMPUTED_VALUE"""),"Bolderāja")</f>
        <v>Bolderāja</v>
      </c>
      <c r="C3177" s="2" t="str">
        <f>IFERROR(__xludf.DUMMYFUNCTION("""COMPUTED_VALUE"""),"Silikātu 3/2")</f>
        <v>Silikātu 3/2</v>
      </c>
      <c r="D3177" s="2">
        <f>IFERROR(__xludf.DUMMYFUNCTION("""COMPUTED_VALUE"""),2.0)</f>
        <v>2</v>
      </c>
      <c r="E3177" s="2">
        <f>IFERROR(__xludf.DUMMYFUNCTION("""COMPUTED_VALUE"""),55.0)</f>
        <v>55</v>
      </c>
      <c r="F3177" s="2">
        <f>IFERROR(__xludf.DUMMYFUNCTION("""COMPUTED_VALUE"""),3.0)</f>
        <v>3</v>
      </c>
      <c r="G3177" s="2">
        <f>IFERROR(__xludf.DUMMYFUNCTION("""COMPUTED_VALUE"""),3.0)</f>
        <v>3</v>
      </c>
      <c r="H3177" s="2" t="str">
        <f>IFERROR(__xludf.DUMMYFUNCTION("""COMPUTED_VALUE"""),"Staļina")</f>
        <v>Staļina</v>
      </c>
      <c r="I3177" s="2" t="str">
        <f>IFERROR(__xludf.DUMMYFUNCTION("""COMPUTED_VALUE"""),"Brick")</f>
        <v>Brick</v>
      </c>
      <c r="J3177" s="2" t="str">
        <f>IFERROR(__xludf.DUMMYFUNCTION("""COMPUTED_VALUE"""),"All amenities")</f>
        <v>All amenities</v>
      </c>
      <c r="K3177" s="2">
        <f>IFERROR(__xludf.DUMMYFUNCTION("""COMPUTED_VALUE"""),30200.0)</f>
        <v>30200</v>
      </c>
      <c r="L3177" s="2" t="str">
        <f>IFERROR(__xludf.DUMMYFUNCTION("""COMPUTED_VALUE"""),"NaN")</f>
        <v>NaN</v>
      </c>
      <c r="M3177" s="2" t="str">
        <f>IFERROR(__xludf.DUMMYFUNCTION("""COMPUTED_VALUE"""),"NaN")</f>
        <v>NaN</v>
      </c>
    </row>
    <row r="3178">
      <c r="A3178" s="2" t="str">
        <f>IFERROR(__xludf.DUMMYFUNCTION("""COMPUTED_VALUE"""),"For sale")</f>
        <v>For sale</v>
      </c>
      <c r="B3178" s="2" t="str">
        <f>IFERROR(__xludf.DUMMYFUNCTION("""COMPUTED_VALUE"""),"Purvciems")</f>
        <v>Purvciems</v>
      </c>
      <c r="C3178" s="2" t="str">
        <f>IFERROR(__xludf.DUMMYFUNCTION("""COMPUTED_VALUE"""),"Purvciema 44")</f>
        <v>Purvciema 44</v>
      </c>
      <c r="D3178" s="2">
        <f>IFERROR(__xludf.DUMMYFUNCTION("""COMPUTED_VALUE"""),2.0)</f>
        <v>2</v>
      </c>
      <c r="E3178" s="2">
        <f>IFERROR(__xludf.DUMMYFUNCTION("""COMPUTED_VALUE"""),48.0)</f>
        <v>48</v>
      </c>
      <c r="F3178" s="2">
        <f>IFERROR(__xludf.DUMMYFUNCTION("""COMPUTED_VALUE"""),1.0)</f>
        <v>1</v>
      </c>
      <c r="G3178" s="2">
        <f>IFERROR(__xludf.DUMMYFUNCTION("""COMPUTED_VALUE"""),2.0)</f>
        <v>2</v>
      </c>
      <c r="H3178" s="2" t="str">
        <f>IFERROR(__xludf.DUMMYFUNCTION("""COMPUTED_VALUE"""),"Staļina")</f>
        <v>Staļina</v>
      </c>
      <c r="I3178" s="2" t="str">
        <f>IFERROR(__xludf.DUMMYFUNCTION("""COMPUTED_VALUE"""),"Masonry")</f>
        <v>Masonry</v>
      </c>
      <c r="J3178" s="2" t="str">
        <f>IFERROR(__xludf.DUMMYFUNCTION("""COMPUTED_VALUE"""),"All amenities")</f>
        <v>All amenities</v>
      </c>
      <c r="K3178" s="2">
        <f>IFERROR(__xludf.DUMMYFUNCTION("""COMPUTED_VALUE"""),36000.0)</f>
        <v>36000</v>
      </c>
      <c r="L3178" s="2">
        <f>IFERROR(__xludf.DUMMYFUNCTION("""COMPUTED_VALUE"""),56.9542113)</f>
        <v>56.9542113</v>
      </c>
      <c r="M3178" s="2">
        <f>IFERROR(__xludf.DUMMYFUNCTION("""COMPUTED_VALUE"""),24.1828296789282)</f>
        <v>24.18282968</v>
      </c>
    </row>
    <row r="3179">
      <c r="A3179" s="2" t="str">
        <f>IFERROR(__xludf.DUMMYFUNCTION("""COMPUTED_VALUE"""),"For sale")</f>
        <v>For sale</v>
      </c>
      <c r="B3179" s="2" t="str">
        <f>IFERROR(__xludf.DUMMYFUNCTION("""COMPUTED_VALUE"""),"Ķengarags")</f>
        <v>Ķengarags</v>
      </c>
      <c r="C3179" s="2" t="str">
        <f>IFERROR(__xludf.DUMMYFUNCTION("""COMPUTED_VALUE"""),"Maskavas 415")</f>
        <v>Maskavas 415</v>
      </c>
      <c r="D3179" s="2">
        <f>IFERROR(__xludf.DUMMYFUNCTION("""COMPUTED_VALUE"""),4.0)</f>
        <v>4</v>
      </c>
      <c r="E3179" s="2">
        <f>IFERROR(__xludf.DUMMYFUNCTION("""COMPUTED_VALUE"""),76.0)</f>
        <v>76</v>
      </c>
      <c r="F3179" s="2">
        <f>IFERROR(__xludf.DUMMYFUNCTION("""COMPUTED_VALUE"""),3.0)</f>
        <v>3</v>
      </c>
      <c r="G3179" s="2">
        <f>IFERROR(__xludf.DUMMYFUNCTION("""COMPUTED_VALUE"""),9.0)</f>
        <v>9</v>
      </c>
      <c r="H3179" s="2">
        <f>IFERROR(__xludf.DUMMYFUNCTION("""COMPUTED_VALUE"""),467.0)</f>
        <v>467</v>
      </c>
      <c r="I3179" s="2" t="str">
        <f>IFERROR(__xludf.DUMMYFUNCTION("""COMPUTED_VALUE"""),"Brick-Panel")</f>
        <v>Brick-Panel</v>
      </c>
      <c r="J3179" s="2" t="str">
        <f>IFERROR(__xludf.DUMMYFUNCTION("""COMPUTED_VALUE"""),"All amenities")</f>
        <v>All amenities</v>
      </c>
      <c r="K3179" s="2">
        <f>IFERROR(__xludf.DUMMYFUNCTION("""COMPUTED_VALUE"""),70210.0)</f>
        <v>70210</v>
      </c>
      <c r="L3179" s="2">
        <f>IFERROR(__xludf.DUMMYFUNCTION("""COMPUTED_VALUE"""),56.8597884)</f>
        <v>56.8597884</v>
      </c>
      <c r="M3179" s="2">
        <f>IFERROR(__xludf.DUMMYFUNCTION("""COMPUTED_VALUE"""),24.3083417)</f>
        <v>24.3083417</v>
      </c>
    </row>
    <row r="3180">
      <c r="A3180" s="2" t="str">
        <f>IFERROR(__xludf.DUMMYFUNCTION("""COMPUTED_VALUE"""),"For sale")</f>
        <v>For sale</v>
      </c>
      <c r="B3180" s="2" t="str">
        <f>IFERROR(__xludf.DUMMYFUNCTION("""COMPUTED_VALUE"""),"Ķengarags")</f>
        <v>Ķengarags</v>
      </c>
      <c r="C3180" s="2" t="str">
        <f>IFERROR(__xludf.DUMMYFUNCTION("""COMPUTED_VALUE"""),"Maskavas 254/1")</f>
        <v>Maskavas 254/1</v>
      </c>
      <c r="D3180" s="2">
        <f>IFERROR(__xludf.DUMMYFUNCTION("""COMPUTED_VALUE"""),2.0)</f>
        <v>2</v>
      </c>
      <c r="E3180" s="2">
        <f>IFERROR(__xludf.DUMMYFUNCTION("""COMPUTED_VALUE"""),46.0)</f>
        <v>46</v>
      </c>
      <c r="F3180" s="2">
        <f>IFERROR(__xludf.DUMMYFUNCTION("""COMPUTED_VALUE"""),1.0)</f>
        <v>1</v>
      </c>
      <c r="G3180" s="2">
        <f>IFERROR(__xludf.DUMMYFUNCTION("""COMPUTED_VALUE"""),5.0)</f>
        <v>5</v>
      </c>
      <c r="H3180" s="2" t="str">
        <f>IFERROR(__xludf.DUMMYFUNCTION("""COMPUTED_VALUE"""),"LT proj.")</f>
        <v>LT proj.</v>
      </c>
      <c r="I3180" s="2" t="str">
        <f>IFERROR(__xludf.DUMMYFUNCTION("""COMPUTED_VALUE"""),"Panel")</f>
        <v>Panel</v>
      </c>
      <c r="J3180" s="2" t="str">
        <f>IFERROR(__xludf.DUMMYFUNCTION("""COMPUTED_VALUE"""),"All amenities")</f>
        <v>All amenities</v>
      </c>
      <c r="K3180" s="2">
        <f>IFERROR(__xludf.DUMMYFUNCTION("""COMPUTED_VALUE"""),52900.0)</f>
        <v>52900</v>
      </c>
      <c r="L3180" s="2">
        <f>IFERROR(__xludf.DUMMYFUNCTION("""COMPUTED_VALUE"""),56.9228069)</f>
        <v>56.9228069</v>
      </c>
      <c r="M3180" s="2">
        <f>IFERROR(__xludf.DUMMYFUNCTION("""COMPUTED_VALUE"""),24.1703845)</f>
        <v>24.1703845</v>
      </c>
    </row>
    <row r="3181">
      <c r="A3181" s="2" t="str">
        <f>IFERROR(__xludf.DUMMYFUNCTION("""COMPUTED_VALUE"""),"For rent")</f>
        <v>For rent</v>
      </c>
      <c r="B3181" s="2" t="str">
        <f>IFERROR(__xludf.DUMMYFUNCTION("""COMPUTED_VALUE"""),"centrs")</f>
        <v>centrs</v>
      </c>
      <c r="C3181" s="2" t="str">
        <f>IFERROR(__xludf.DUMMYFUNCTION("""COMPUTED_VALUE"""),"Pulkv. Brieža 7")</f>
        <v>Pulkv. Brieža 7</v>
      </c>
      <c r="D3181" s="2">
        <f>IFERROR(__xludf.DUMMYFUNCTION("""COMPUTED_VALUE"""),3.0)</f>
        <v>3</v>
      </c>
      <c r="E3181" s="2">
        <f>IFERROR(__xludf.DUMMYFUNCTION("""COMPUTED_VALUE"""),83.0)</f>
        <v>83</v>
      </c>
      <c r="F3181" s="2">
        <f>IFERROR(__xludf.DUMMYFUNCTION("""COMPUTED_VALUE"""),2.0)</f>
        <v>2</v>
      </c>
      <c r="G3181" s="2">
        <f>IFERROR(__xludf.DUMMYFUNCTION("""COMPUTED_VALUE"""),6.0)</f>
        <v>6</v>
      </c>
      <c r="H3181" s="2" t="str">
        <f>IFERROR(__xludf.DUMMYFUNCTION("""COMPUTED_VALUE"""),"Renov.")</f>
        <v>Renov.</v>
      </c>
      <c r="I3181" s="2" t="str">
        <f>IFERROR(__xludf.DUMMYFUNCTION("""COMPUTED_VALUE"""),"Masonry")</f>
        <v>Masonry</v>
      </c>
      <c r="J3181" s="2" t="str">
        <f>IFERROR(__xludf.DUMMYFUNCTION("""COMPUTED_VALUE"""),"All amenities")</f>
        <v>All amenities</v>
      </c>
      <c r="K3181" s="2">
        <f>IFERROR(__xludf.DUMMYFUNCTION("""COMPUTED_VALUE"""),650.0)</f>
        <v>650</v>
      </c>
      <c r="L3181" s="2" t="str">
        <f>IFERROR(__xludf.DUMMYFUNCTION("""COMPUTED_VALUE"""),"NaN")</f>
        <v>NaN</v>
      </c>
      <c r="M3181" s="2" t="str">
        <f>IFERROR(__xludf.DUMMYFUNCTION("""COMPUTED_VALUE"""),"NaN")</f>
        <v>NaN</v>
      </c>
    </row>
    <row r="3182">
      <c r="A3182" s="2" t="str">
        <f>IFERROR(__xludf.DUMMYFUNCTION("""COMPUTED_VALUE"""),"For sale")</f>
        <v>For sale</v>
      </c>
      <c r="B3182" s="2" t="str">
        <f>IFERROR(__xludf.DUMMYFUNCTION("""COMPUTED_VALUE"""),"Imanta")</f>
        <v>Imanta</v>
      </c>
      <c r="C3182" s="2" t="str">
        <f>IFERROR(__xludf.DUMMYFUNCTION("""COMPUTED_VALUE"""),"Kurzemes pr. 56")</f>
        <v>Kurzemes pr. 56</v>
      </c>
      <c r="D3182" s="2">
        <f>IFERROR(__xludf.DUMMYFUNCTION("""COMPUTED_VALUE"""),2.0)</f>
        <v>2</v>
      </c>
      <c r="E3182" s="2">
        <f>IFERROR(__xludf.DUMMYFUNCTION("""COMPUTED_VALUE"""),49.0)</f>
        <v>49</v>
      </c>
      <c r="F3182" s="2">
        <f>IFERROR(__xludf.DUMMYFUNCTION("""COMPUTED_VALUE"""),3.0)</f>
        <v>3</v>
      </c>
      <c r="G3182" s="2">
        <f>IFERROR(__xludf.DUMMYFUNCTION("""COMPUTED_VALUE"""),5.0)</f>
        <v>5</v>
      </c>
      <c r="H3182" s="2" t="str">
        <f>IFERROR(__xludf.DUMMYFUNCTION("""COMPUTED_VALUE"""),"LT proj.")</f>
        <v>LT proj.</v>
      </c>
      <c r="I3182" s="2" t="str">
        <f>IFERROR(__xludf.DUMMYFUNCTION("""COMPUTED_VALUE"""),"Panel")</f>
        <v>Panel</v>
      </c>
      <c r="J3182" s="2" t="str">
        <f>IFERROR(__xludf.DUMMYFUNCTION("""COMPUTED_VALUE"""),"All amenities")</f>
        <v>All amenities</v>
      </c>
      <c r="K3182" s="2">
        <f>IFERROR(__xludf.DUMMYFUNCTION("""COMPUTED_VALUE"""),41000.0)</f>
        <v>41000</v>
      </c>
      <c r="L3182" s="2">
        <f>IFERROR(__xludf.DUMMYFUNCTION("""COMPUTED_VALUE"""),56.9567829)</f>
        <v>56.9567829</v>
      </c>
      <c r="M3182" s="2">
        <f>IFERROR(__xludf.DUMMYFUNCTION("""COMPUTED_VALUE"""),24.0344957)</f>
        <v>24.0344957</v>
      </c>
    </row>
    <row r="3183">
      <c r="A3183" s="2" t="str">
        <f>IFERROR(__xludf.DUMMYFUNCTION("""COMPUTED_VALUE"""),"For rent")</f>
        <v>For rent</v>
      </c>
      <c r="B3183" s="2" t="str">
        <f>IFERROR(__xludf.DUMMYFUNCTION("""COMPUTED_VALUE"""),"centrs")</f>
        <v>centrs</v>
      </c>
      <c r="C3183" s="2" t="str">
        <f>IFERROR(__xludf.DUMMYFUNCTION("""COMPUTED_VALUE"""),"Tomsona 2")</f>
        <v>Tomsona 2</v>
      </c>
      <c r="D3183" s="2">
        <f>IFERROR(__xludf.DUMMYFUNCTION("""COMPUTED_VALUE"""),2.0)</f>
        <v>2</v>
      </c>
      <c r="E3183" s="2">
        <f>IFERROR(__xludf.DUMMYFUNCTION("""COMPUTED_VALUE"""),47.0)</f>
        <v>47</v>
      </c>
      <c r="F3183" s="2">
        <f>IFERROR(__xludf.DUMMYFUNCTION("""COMPUTED_VALUE"""),3.0)</f>
        <v>3</v>
      </c>
      <c r="G3183" s="2">
        <f>IFERROR(__xludf.DUMMYFUNCTION("""COMPUTED_VALUE"""),5.0)</f>
        <v>5</v>
      </c>
      <c r="H3183" s="2" t="str">
        <f>IFERROR(__xludf.DUMMYFUNCTION("""COMPUTED_VALUE"""),"Staļina")</f>
        <v>Staļina</v>
      </c>
      <c r="I3183" s="2" t="str">
        <f>IFERROR(__xludf.DUMMYFUNCTION("""COMPUTED_VALUE"""),"Panel-Brick")</f>
        <v>Panel-Brick</v>
      </c>
      <c r="J3183" s="2" t="str">
        <f>IFERROR(__xludf.DUMMYFUNCTION("""COMPUTED_VALUE"""),"All amenities")</f>
        <v>All amenities</v>
      </c>
      <c r="K3183" s="2">
        <f>IFERROR(__xludf.DUMMYFUNCTION("""COMPUTED_VALUE"""),380.0)</f>
        <v>380</v>
      </c>
      <c r="L3183" s="2">
        <f>IFERROR(__xludf.DUMMYFUNCTION("""COMPUTED_VALUE"""),56.96346405)</f>
        <v>56.96346405</v>
      </c>
      <c r="M3183" s="2">
        <f>IFERROR(__xludf.DUMMYFUNCTION("""COMPUTED_VALUE"""),24.1240559778693)</f>
        <v>24.12405598</v>
      </c>
    </row>
    <row r="3184">
      <c r="A3184" s="2" t="str">
        <f>IFERROR(__xludf.DUMMYFUNCTION("""COMPUTED_VALUE"""),"For rent")</f>
        <v>For rent</v>
      </c>
      <c r="B3184" s="2" t="str">
        <f>IFERROR(__xludf.DUMMYFUNCTION("""COMPUTED_VALUE"""),"Vecrīga")</f>
        <v>Vecrīga</v>
      </c>
      <c r="C3184" s="2" t="str">
        <f>IFERROR(__xludf.DUMMYFUNCTION("""COMPUTED_VALUE"""),"Jāņa 3")</f>
        <v>Jāņa 3</v>
      </c>
      <c r="D3184" s="2">
        <f>IFERROR(__xludf.DUMMYFUNCTION("""COMPUTED_VALUE"""),3.0)</f>
        <v>3</v>
      </c>
      <c r="E3184" s="2">
        <f>IFERROR(__xludf.DUMMYFUNCTION("""COMPUTED_VALUE"""),45.0)</f>
        <v>45</v>
      </c>
      <c r="F3184" s="2">
        <f>IFERROR(__xludf.DUMMYFUNCTION("""COMPUTED_VALUE"""),4.0)</f>
        <v>4</v>
      </c>
      <c r="G3184" s="2">
        <f>IFERROR(__xludf.DUMMYFUNCTION("""COMPUTED_VALUE"""),4.0)</f>
        <v>4</v>
      </c>
      <c r="H3184" s="2" t="str">
        <f>IFERROR(__xludf.DUMMYFUNCTION("""COMPUTED_VALUE"""),"P. kara")</f>
        <v>P. kara</v>
      </c>
      <c r="I3184" s="2" t="str">
        <f>IFERROR(__xludf.DUMMYFUNCTION("""COMPUTED_VALUE"""),"Masonry")</f>
        <v>Masonry</v>
      </c>
      <c r="J3184" s="2" t="str">
        <f>IFERROR(__xludf.DUMMYFUNCTION("""COMPUTED_VALUE"""),"All amenities")</f>
        <v>All amenities</v>
      </c>
      <c r="K3184" s="2">
        <f>IFERROR(__xludf.DUMMYFUNCTION("""COMPUTED_VALUE"""),900.0)</f>
        <v>900</v>
      </c>
      <c r="L3184" s="2">
        <f>IFERROR(__xludf.DUMMYFUNCTION("""COMPUTED_VALUE"""),56.9367838)</f>
        <v>56.9367838</v>
      </c>
      <c r="M3184" s="2">
        <f>IFERROR(__xludf.DUMMYFUNCTION("""COMPUTED_VALUE"""),24.2081637056631)</f>
        <v>24.20816371</v>
      </c>
    </row>
    <row r="3185">
      <c r="A3185" s="2" t="str">
        <f>IFERROR(__xludf.DUMMYFUNCTION("""COMPUTED_VALUE"""),"For sale")</f>
        <v>For sale</v>
      </c>
      <c r="B3185" s="2" t="str">
        <f>IFERROR(__xludf.DUMMYFUNCTION("""COMPUTED_VALUE"""),"Zolitūde")</f>
        <v>Zolitūde</v>
      </c>
      <c r="C3185" s="2" t="str">
        <f>IFERROR(__xludf.DUMMYFUNCTION("""COMPUTED_VALUE"""),"Rostokas 50")</f>
        <v>Rostokas 50</v>
      </c>
      <c r="D3185" s="2">
        <f>IFERROR(__xludf.DUMMYFUNCTION("""COMPUTED_VALUE"""),2.0)</f>
        <v>2</v>
      </c>
      <c r="E3185" s="2">
        <f>IFERROR(__xludf.DUMMYFUNCTION("""COMPUTED_VALUE"""),58.0)</f>
        <v>58</v>
      </c>
      <c r="F3185" s="2">
        <f>IFERROR(__xludf.DUMMYFUNCTION("""COMPUTED_VALUE"""),6.0)</f>
        <v>6</v>
      </c>
      <c r="G3185" s="2">
        <f>IFERROR(__xludf.DUMMYFUNCTION("""COMPUTED_VALUE"""),6.0)</f>
        <v>6</v>
      </c>
      <c r="H3185" s="2">
        <f>IFERROR(__xludf.DUMMYFUNCTION("""COMPUTED_VALUE"""),119.0)</f>
        <v>119</v>
      </c>
      <c r="I3185" s="2" t="str">
        <f>IFERROR(__xludf.DUMMYFUNCTION("""COMPUTED_VALUE"""),"Panel")</f>
        <v>Panel</v>
      </c>
      <c r="J3185" s="2" t="str">
        <f>IFERROR(__xludf.DUMMYFUNCTION("""COMPUTED_VALUE"""),"All amenities")</f>
        <v>All amenities</v>
      </c>
      <c r="K3185" s="2">
        <f>IFERROR(__xludf.DUMMYFUNCTION("""COMPUTED_VALUE"""),55900.0)</f>
        <v>55900</v>
      </c>
      <c r="L3185" s="2">
        <f>IFERROR(__xludf.DUMMYFUNCTION("""COMPUTED_VALUE"""),54.1436099999999)</f>
        <v>54.14361</v>
      </c>
      <c r="M3185" s="2">
        <f>IFERROR(__xludf.DUMMYFUNCTION("""COMPUTED_VALUE"""),12.05044145)</f>
        <v>12.05044145</v>
      </c>
    </row>
    <row r="3186">
      <c r="A3186" s="2" t="str">
        <f>IFERROR(__xludf.DUMMYFUNCTION("""COMPUTED_VALUE"""),"For sale")</f>
        <v>For sale</v>
      </c>
      <c r="B3186" s="2" t="str">
        <f>IFERROR(__xludf.DUMMYFUNCTION("""COMPUTED_VALUE"""),"Purvciems")</f>
        <v>Purvciems</v>
      </c>
      <c r="C3186" s="2" t="str">
        <f>IFERROR(__xludf.DUMMYFUNCTION("""COMPUTED_VALUE"""),"Stirnu 15a")</f>
        <v>Stirnu 15a</v>
      </c>
      <c r="D3186" s="2">
        <f>IFERROR(__xludf.DUMMYFUNCTION("""COMPUTED_VALUE"""),3.0)</f>
        <v>3</v>
      </c>
      <c r="E3186" s="2">
        <f>IFERROR(__xludf.DUMMYFUNCTION("""COMPUTED_VALUE"""),60.0)</f>
        <v>60</v>
      </c>
      <c r="F3186" s="2">
        <f>IFERROR(__xludf.DUMMYFUNCTION("""COMPUTED_VALUE"""),3.0)</f>
        <v>3</v>
      </c>
      <c r="G3186" s="2">
        <f>IFERROR(__xludf.DUMMYFUNCTION("""COMPUTED_VALUE"""),5.0)</f>
        <v>5</v>
      </c>
      <c r="H3186" s="2" t="str">
        <f>IFERROR(__xludf.DUMMYFUNCTION("""COMPUTED_VALUE"""),"LT proj.")</f>
        <v>LT proj.</v>
      </c>
      <c r="I3186" s="2" t="str">
        <f>IFERROR(__xludf.DUMMYFUNCTION("""COMPUTED_VALUE"""),"Panel")</f>
        <v>Panel</v>
      </c>
      <c r="J3186" s="2" t="str">
        <f>IFERROR(__xludf.DUMMYFUNCTION("""COMPUTED_VALUE"""),"All amenities")</f>
        <v>All amenities</v>
      </c>
      <c r="K3186" s="2">
        <f>IFERROR(__xludf.DUMMYFUNCTION("""COMPUTED_VALUE"""),56400.0)</f>
        <v>56400</v>
      </c>
      <c r="L3186" s="2">
        <f>IFERROR(__xludf.DUMMYFUNCTION("""COMPUTED_VALUE"""),56.9561863499999)</f>
        <v>56.95618635</v>
      </c>
      <c r="M3186" s="2">
        <f>IFERROR(__xludf.DUMMYFUNCTION("""COMPUTED_VALUE"""),24.1820070602452)</f>
        <v>24.18200706</v>
      </c>
    </row>
    <row r="3187">
      <c r="A3187" s="2" t="str">
        <f>IFERROR(__xludf.DUMMYFUNCTION("""COMPUTED_VALUE"""),"For sale")</f>
        <v>For sale</v>
      </c>
      <c r="B3187" s="2" t="str">
        <f>IFERROR(__xludf.DUMMYFUNCTION("""COMPUTED_VALUE"""),"Iļģuciems")</f>
        <v>Iļģuciems</v>
      </c>
      <c r="C3187" s="2" t="str">
        <f>IFERROR(__xludf.DUMMYFUNCTION("""COMPUTED_VALUE"""),"Lidoņu 14b")</f>
        <v>Lidoņu 14b</v>
      </c>
      <c r="D3187" s="2">
        <f>IFERROR(__xludf.DUMMYFUNCTION("""COMPUTED_VALUE"""),2.0)</f>
        <v>2</v>
      </c>
      <c r="E3187" s="2">
        <f>IFERROR(__xludf.DUMMYFUNCTION("""COMPUTED_VALUE"""),42.0)</f>
        <v>42</v>
      </c>
      <c r="F3187" s="2">
        <f>IFERROR(__xludf.DUMMYFUNCTION("""COMPUTED_VALUE"""),2.0)</f>
        <v>2</v>
      </c>
      <c r="G3187" s="2">
        <f>IFERROR(__xludf.DUMMYFUNCTION("""COMPUTED_VALUE"""),2.0)</f>
        <v>2</v>
      </c>
      <c r="H3187" s="2" t="str">
        <f>IFERROR(__xludf.DUMMYFUNCTION("""COMPUTED_VALUE"""),"Specpr.")</f>
        <v>Specpr.</v>
      </c>
      <c r="I3187" s="2" t="str">
        <f>IFERROR(__xludf.DUMMYFUNCTION("""COMPUTED_VALUE"""),"Brick")</f>
        <v>Brick</v>
      </c>
      <c r="J3187" s="2" t="str">
        <f>IFERROR(__xludf.DUMMYFUNCTION("""COMPUTED_VALUE"""),"All amenities")</f>
        <v>All amenities</v>
      </c>
      <c r="K3187" s="2">
        <f>IFERROR(__xludf.DUMMYFUNCTION("""COMPUTED_VALUE"""),38000.0)</f>
        <v>38000</v>
      </c>
      <c r="L3187" s="2">
        <f>IFERROR(__xludf.DUMMYFUNCTION("""COMPUTED_VALUE"""),56.97200975)</f>
        <v>56.97200975</v>
      </c>
      <c r="M3187" s="2">
        <f>IFERROR(__xludf.DUMMYFUNCTION("""COMPUTED_VALUE"""),24.0603999500448)</f>
        <v>24.06039995</v>
      </c>
    </row>
    <row r="3188">
      <c r="A3188" s="2" t="str">
        <f>IFERROR(__xludf.DUMMYFUNCTION("""COMPUTED_VALUE"""),"For rent")</f>
        <v>For rent</v>
      </c>
      <c r="B3188" s="2" t="str">
        <f>IFERROR(__xludf.DUMMYFUNCTION("""COMPUTED_VALUE"""),"Jugla")</f>
        <v>Jugla</v>
      </c>
      <c r="C3188" s="2" t="str">
        <f>IFERROR(__xludf.DUMMYFUNCTION("""COMPUTED_VALUE"""),"Vangažu 32")</f>
        <v>Vangažu 32</v>
      </c>
      <c r="D3188" s="2">
        <f>IFERROR(__xludf.DUMMYFUNCTION("""COMPUTED_VALUE"""),2.0)</f>
        <v>2</v>
      </c>
      <c r="E3188" s="2">
        <f>IFERROR(__xludf.DUMMYFUNCTION("""COMPUTED_VALUE"""),48.0)</f>
        <v>48</v>
      </c>
      <c r="F3188" s="2">
        <f>IFERROR(__xludf.DUMMYFUNCTION("""COMPUTED_VALUE"""),10.0)</f>
        <v>10</v>
      </c>
      <c r="G3188" s="2">
        <f>IFERROR(__xludf.DUMMYFUNCTION("""COMPUTED_VALUE"""),12.0)</f>
        <v>12</v>
      </c>
      <c r="H3188" s="2" t="str">
        <f>IFERROR(__xludf.DUMMYFUNCTION("""COMPUTED_VALUE"""),"Čehu pr.")</f>
        <v>Čehu pr.</v>
      </c>
      <c r="I3188" s="2" t="str">
        <f>IFERROR(__xludf.DUMMYFUNCTION("""COMPUTED_VALUE"""),"Brick-Panel")</f>
        <v>Brick-Panel</v>
      </c>
      <c r="J3188" s="2" t="str">
        <f>IFERROR(__xludf.DUMMYFUNCTION("""COMPUTED_VALUE"""),"All amenities")</f>
        <v>All amenities</v>
      </c>
      <c r="K3188" s="2">
        <f>IFERROR(__xludf.DUMMYFUNCTION("""COMPUTED_VALUE"""),350.0)</f>
        <v>350</v>
      </c>
      <c r="L3188" s="2">
        <f>IFERROR(__xludf.DUMMYFUNCTION("""COMPUTED_VALUE"""),56.98669595)</f>
        <v>56.98669595</v>
      </c>
      <c r="M3188" s="2">
        <f>IFERROR(__xludf.DUMMYFUNCTION("""COMPUTED_VALUE"""),24.230461083872)</f>
        <v>24.23046108</v>
      </c>
    </row>
    <row r="3189">
      <c r="A3189" s="2" t="str">
        <f>IFERROR(__xludf.DUMMYFUNCTION("""COMPUTED_VALUE"""),"For rent")</f>
        <v>For rent</v>
      </c>
      <c r="B3189" s="2" t="str">
        <f>IFERROR(__xludf.DUMMYFUNCTION("""COMPUTED_VALUE"""),"Pļavnieki")</f>
        <v>Pļavnieki</v>
      </c>
      <c r="C3189" s="2" t="str">
        <f>IFERROR(__xludf.DUMMYFUNCTION("""COMPUTED_VALUE"""),"Keldiša 12")</f>
        <v>Keldiša 12</v>
      </c>
      <c r="D3189" s="2">
        <f>IFERROR(__xludf.DUMMYFUNCTION("""COMPUTED_VALUE"""),1.0)</f>
        <v>1</v>
      </c>
      <c r="E3189" s="2">
        <f>IFERROR(__xludf.DUMMYFUNCTION("""COMPUTED_VALUE"""),36.0)</f>
        <v>36</v>
      </c>
      <c r="F3189" s="2">
        <f>IFERROR(__xludf.DUMMYFUNCTION("""COMPUTED_VALUE"""),3.0)</f>
        <v>3</v>
      </c>
      <c r="G3189" s="2">
        <f>IFERROR(__xludf.DUMMYFUNCTION("""COMPUTED_VALUE"""),9.0)</f>
        <v>9</v>
      </c>
      <c r="H3189" s="2">
        <f>IFERROR(__xludf.DUMMYFUNCTION("""COMPUTED_VALUE"""),602.0)</f>
        <v>602</v>
      </c>
      <c r="I3189" s="2" t="str">
        <f>IFERROR(__xludf.DUMMYFUNCTION("""COMPUTED_VALUE"""),"Panel")</f>
        <v>Panel</v>
      </c>
      <c r="J3189" s="2" t="str">
        <f>IFERROR(__xludf.DUMMYFUNCTION("""COMPUTED_VALUE"""),"All amenities")</f>
        <v>All amenities</v>
      </c>
      <c r="K3189" s="2">
        <f>IFERROR(__xludf.DUMMYFUNCTION("""COMPUTED_VALUE"""),35.0)</f>
        <v>35</v>
      </c>
      <c r="L3189" s="2">
        <f>IFERROR(__xludf.DUMMYFUNCTION("""COMPUTED_VALUE"""),56.9392107)</f>
        <v>56.9392107</v>
      </c>
      <c r="M3189" s="2">
        <f>IFERROR(__xludf.DUMMYFUNCTION("""COMPUTED_VALUE"""),24.2006683)</f>
        <v>24.2006683</v>
      </c>
    </row>
    <row r="3190">
      <c r="A3190" s="2" t="str">
        <f>IFERROR(__xludf.DUMMYFUNCTION("""COMPUTED_VALUE"""),"For sale")</f>
        <v>For sale</v>
      </c>
      <c r="B3190" s="2" t="str">
        <f>IFERROR(__xludf.DUMMYFUNCTION("""COMPUTED_VALUE"""),"Imanta")</f>
        <v>Imanta</v>
      </c>
      <c r="C3190" s="2" t="str">
        <f>IFERROR(__xludf.DUMMYFUNCTION("""COMPUTED_VALUE"""),"Imantas 2")</f>
        <v>Imantas 2</v>
      </c>
      <c r="D3190" s="2">
        <f>IFERROR(__xludf.DUMMYFUNCTION("""COMPUTED_VALUE"""),2.0)</f>
        <v>2</v>
      </c>
      <c r="E3190" s="2">
        <f>IFERROR(__xludf.DUMMYFUNCTION("""COMPUTED_VALUE"""),50.0)</f>
        <v>50</v>
      </c>
      <c r="F3190" s="2">
        <f>IFERROR(__xludf.DUMMYFUNCTION("""COMPUTED_VALUE"""),3.0)</f>
        <v>3</v>
      </c>
      <c r="G3190" s="2">
        <f>IFERROR(__xludf.DUMMYFUNCTION("""COMPUTED_VALUE"""),5.0)</f>
        <v>5</v>
      </c>
      <c r="H3190" s="2" t="str">
        <f>IFERROR(__xludf.DUMMYFUNCTION("""COMPUTED_VALUE"""),"LT proj.")</f>
        <v>LT proj.</v>
      </c>
      <c r="I3190" s="2" t="str">
        <f>IFERROR(__xludf.DUMMYFUNCTION("""COMPUTED_VALUE"""),"Panel")</f>
        <v>Panel</v>
      </c>
      <c r="J3190" s="2" t="str">
        <f>IFERROR(__xludf.DUMMYFUNCTION("""COMPUTED_VALUE"""),"All amenities")</f>
        <v>All amenities</v>
      </c>
      <c r="K3190" s="2">
        <f>IFERROR(__xludf.DUMMYFUNCTION("""COMPUTED_VALUE"""),49000.0)</f>
        <v>49000</v>
      </c>
      <c r="L3190" s="2">
        <f>IFERROR(__xludf.DUMMYFUNCTION("""COMPUTED_VALUE"""),56.9533366)</f>
        <v>56.9533366</v>
      </c>
      <c r="M3190" s="2">
        <f>IFERROR(__xludf.DUMMYFUNCTION("""COMPUTED_VALUE"""),24.02841445)</f>
        <v>24.02841445</v>
      </c>
    </row>
    <row r="3191">
      <c r="A3191" s="2" t="str">
        <f>IFERROR(__xludf.DUMMYFUNCTION("""COMPUTED_VALUE"""),"For rent")</f>
        <v>For rent</v>
      </c>
      <c r="B3191" s="2" t="str">
        <f>IFERROR(__xludf.DUMMYFUNCTION("""COMPUTED_VALUE"""),"Iļģuciems")</f>
        <v>Iļģuciems</v>
      </c>
      <c r="C3191" s="2" t="str">
        <f>IFERROR(__xludf.DUMMYFUNCTION("""COMPUTED_VALUE"""),"Vaidelotes 11")</f>
        <v>Vaidelotes 11</v>
      </c>
      <c r="D3191" s="2">
        <f>IFERROR(__xludf.DUMMYFUNCTION("""COMPUTED_VALUE"""),2.0)</f>
        <v>2</v>
      </c>
      <c r="E3191" s="2">
        <f>IFERROR(__xludf.DUMMYFUNCTION("""COMPUTED_VALUE"""),45.0)</f>
        <v>45</v>
      </c>
      <c r="F3191" s="2">
        <f>IFERROR(__xludf.DUMMYFUNCTION("""COMPUTED_VALUE"""),2.0)</f>
        <v>2</v>
      </c>
      <c r="G3191" s="2">
        <f>IFERROR(__xludf.DUMMYFUNCTION("""COMPUTED_VALUE"""),5.0)</f>
        <v>5</v>
      </c>
      <c r="H3191" s="2" t="str">
        <f>IFERROR(__xludf.DUMMYFUNCTION("""COMPUTED_VALUE"""),"Hrušč.")</f>
        <v>Hrušč.</v>
      </c>
      <c r="I3191" s="2" t="str">
        <f>IFERROR(__xludf.DUMMYFUNCTION("""COMPUTED_VALUE"""),"Brick")</f>
        <v>Brick</v>
      </c>
      <c r="J3191" s="2" t="str">
        <f>IFERROR(__xludf.DUMMYFUNCTION("""COMPUTED_VALUE"""),"All amenities")</f>
        <v>All amenities</v>
      </c>
      <c r="K3191" s="2">
        <f>IFERROR(__xludf.DUMMYFUNCTION("""COMPUTED_VALUE"""),380.0)</f>
        <v>380</v>
      </c>
      <c r="L3191" s="2">
        <f>IFERROR(__xludf.DUMMYFUNCTION("""COMPUTED_VALUE"""),56.96557365)</f>
        <v>56.96557365</v>
      </c>
      <c r="M3191" s="2">
        <f>IFERROR(__xludf.DUMMYFUNCTION("""COMPUTED_VALUE"""),24.0531386988068)</f>
        <v>24.0531387</v>
      </c>
    </row>
    <row r="3192">
      <c r="A3192" s="2" t="str">
        <f>IFERROR(__xludf.DUMMYFUNCTION("""COMPUTED_VALUE"""),"For sale")</f>
        <v>For sale</v>
      </c>
      <c r="B3192" s="2" t="str">
        <f>IFERROR(__xludf.DUMMYFUNCTION("""COMPUTED_VALUE"""),"centrs")</f>
        <v>centrs</v>
      </c>
      <c r="C3192" s="2" t="str">
        <f>IFERROR(__xludf.DUMMYFUNCTION("""COMPUTED_VALUE"""),"Ganu 6")</f>
        <v>Ganu 6</v>
      </c>
      <c r="D3192" s="2">
        <f>IFERROR(__xludf.DUMMYFUNCTION("""COMPUTED_VALUE"""),4.0)</f>
        <v>4</v>
      </c>
      <c r="E3192" s="2">
        <f>IFERROR(__xludf.DUMMYFUNCTION("""COMPUTED_VALUE"""),113.0)</f>
        <v>113</v>
      </c>
      <c r="F3192" s="2">
        <f>IFERROR(__xludf.DUMMYFUNCTION("""COMPUTED_VALUE"""),7.0)</f>
        <v>7</v>
      </c>
      <c r="G3192" s="2">
        <f>IFERROR(__xludf.DUMMYFUNCTION("""COMPUTED_VALUE"""),7.0)</f>
        <v>7</v>
      </c>
      <c r="H3192" s="2" t="str">
        <f>IFERROR(__xludf.DUMMYFUNCTION("""COMPUTED_VALUE"""),"P. kara")</f>
        <v>P. kara</v>
      </c>
      <c r="I3192" s="2" t="str">
        <f>IFERROR(__xludf.DUMMYFUNCTION("""COMPUTED_VALUE"""),"Brick")</f>
        <v>Brick</v>
      </c>
      <c r="J3192" s="2" t="str">
        <f>IFERROR(__xludf.DUMMYFUNCTION("""COMPUTED_VALUE"""),"All amenities")</f>
        <v>All amenities</v>
      </c>
      <c r="K3192" s="2">
        <f>IFERROR(__xludf.DUMMYFUNCTION("""COMPUTED_VALUE"""),250000.0)</f>
        <v>250000</v>
      </c>
      <c r="L3192" s="2">
        <f>IFERROR(__xludf.DUMMYFUNCTION("""COMPUTED_VALUE"""),56.96172495)</f>
        <v>56.96172495</v>
      </c>
      <c r="M3192" s="2">
        <f>IFERROR(__xludf.DUMMYFUNCTION("""COMPUTED_VALUE"""),24.1097055902472)</f>
        <v>24.10970559</v>
      </c>
    </row>
    <row r="3193">
      <c r="A3193" s="2" t="str">
        <f>IFERROR(__xludf.DUMMYFUNCTION("""COMPUTED_VALUE"""),"For rent")</f>
        <v>For rent</v>
      </c>
      <c r="B3193" s="2" t="str">
        <f>IFERROR(__xludf.DUMMYFUNCTION("""COMPUTED_VALUE"""),"centrs")</f>
        <v>centrs</v>
      </c>
      <c r="C3193" s="2" t="str">
        <f>IFERROR(__xludf.DUMMYFUNCTION("""COMPUTED_VALUE"""),"Alūksnes 3")</f>
        <v>Alūksnes 3</v>
      </c>
      <c r="D3193" s="2">
        <f>IFERROR(__xludf.DUMMYFUNCTION("""COMPUTED_VALUE"""),1.0)</f>
        <v>1</v>
      </c>
      <c r="E3193" s="2">
        <f>IFERROR(__xludf.DUMMYFUNCTION("""COMPUTED_VALUE"""),22.0)</f>
        <v>22</v>
      </c>
      <c r="F3193" s="2">
        <f>IFERROR(__xludf.DUMMYFUNCTION("""COMPUTED_VALUE"""),1.0)</f>
        <v>1</v>
      </c>
      <c r="G3193" s="2">
        <f>IFERROR(__xludf.DUMMYFUNCTION("""COMPUTED_VALUE"""),5.0)</f>
        <v>5</v>
      </c>
      <c r="H3193" s="2" t="str">
        <f>IFERROR(__xludf.DUMMYFUNCTION("""COMPUTED_VALUE"""),"Renov.")</f>
        <v>Renov.</v>
      </c>
      <c r="I3193" s="2" t="str">
        <f>IFERROR(__xludf.DUMMYFUNCTION("""COMPUTED_VALUE"""),"Brick")</f>
        <v>Brick</v>
      </c>
      <c r="J3193" s="2" t="str">
        <f>IFERROR(__xludf.DUMMYFUNCTION("""COMPUTED_VALUE"""),"All amenities")</f>
        <v>All amenities</v>
      </c>
      <c r="K3193" s="2">
        <f>IFERROR(__xludf.DUMMYFUNCTION("""COMPUTED_VALUE"""),295.0)</f>
        <v>295</v>
      </c>
      <c r="L3193" s="2">
        <f>IFERROR(__xludf.DUMMYFUNCTION("""COMPUTED_VALUE"""),56.9695576)</f>
        <v>56.9695576</v>
      </c>
      <c r="M3193" s="2">
        <f>IFERROR(__xludf.DUMMYFUNCTION("""COMPUTED_VALUE"""),24.0993637)</f>
        <v>24.0993637</v>
      </c>
    </row>
    <row r="3194">
      <c r="A3194" s="2" t="str">
        <f>IFERROR(__xludf.DUMMYFUNCTION("""COMPUTED_VALUE"""),"For rent")</f>
        <v>For rent</v>
      </c>
      <c r="B3194" s="2" t="str">
        <f>IFERROR(__xludf.DUMMYFUNCTION("""COMPUTED_VALUE"""),"Āgenskalns")</f>
        <v>Āgenskalns</v>
      </c>
      <c r="C3194" s="2" t="str">
        <f>IFERROR(__xludf.DUMMYFUNCTION("""COMPUTED_VALUE"""),"Kalnciema 22")</f>
        <v>Kalnciema 22</v>
      </c>
      <c r="D3194" s="2">
        <f>IFERROR(__xludf.DUMMYFUNCTION("""COMPUTED_VALUE"""),3.0)</f>
        <v>3</v>
      </c>
      <c r="E3194" s="2">
        <f>IFERROR(__xludf.DUMMYFUNCTION("""COMPUTED_VALUE"""),66.0)</f>
        <v>66</v>
      </c>
      <c r="F3194" s="2">
        <f>IFERROR(__xludf.DUMMYFUNCTION("""COMPUTED_VALUE"""),1.0)</f>
        <v>1</v>
      </c>
      <c r="G3194" s="2">
        <f>IFERROR(__xludf.DUMMYFUNCTION("""COMPUTED_VALUE"""),2.0)</f>
        <v>2</v>
      </c>
      <c r="H3194" s="2" t="str">
        <f>IFERROR(__xludf.DUMMYFUNCTION("""COMPUTED_VALUE"""),"P. kara")</f>
        <v>P. kara</v>
      </c>
      <c r="I3194" s="2" t="str">
        <f>IFERROR(__xludf.DUMMYFUNCTION("""COMPUTED_VALUE"""),"Wood")</f>
        <v>Wood</v>
      </c>
      <c r="J3194" s="2" t="str">
        <f>IFERROR(__xludf.DUMMYFUNCTION("""COMPUTED_VALUE"""),"All amenities")</f>
        <v>All amenities</v>
      </c>
      <c r="K3194" s="2">
        <f>IFERROR(__xludf.DUMMYFUNCTION("""COMPUTED_VALUE"""),640.0)</f>
        <v>640</v>
      </c>
      <c r="L3194" s="2">
        <f>IFERROR(__xludf.DUMMYFUNCTION("""COMPUTED_VALUE"""),56.94450585)</f>
        <v>56.94450585</v>
      </c>
      <c r="M3194" s="2">
        <f>IFERROR(__xludf.DUMMYFUNCTION("""COMPUTED_VALUE"""),24.0718588118181)</f>
        <v>24.07185881</v>
      </c>
    </row>
    <row r="3195">
      <c r="A3195" s="2" t="str">
        <f>IFERROR(__xludf.DUMMYFUNCTION("""COMPUTED_VALUE"""),"For sale")</f>
        <v>For sale</v>
      </c>
      <c r="B3195" s="2" t="str">
        <f>IFERROR(__xludf.DUMMYFUNCTION("""COMPUTED_VALUE"""),"Zolitūde")</f>
        <v>Zolitūde</v>
      </c>
      <c r="C3195" s="2" t="str">
        <f>IFERROR(__xludf.DUMMYFUNCTION("""COMPUTED_VALUE"""),"Gramzdas 21")</f>
        <v>Gramzdas 21</v>
      </c>
      <c r="D3195" s="2">
        <f>IFERROR(__xludf.DUMMYFUNCTION("""COMPUTED_VALUE"""),4.0)</f>
        <v>4</v>
      </c>
      <c r="E3195" s="2">
        <f>IFERROR(__xludf.DUMMYFUNCTION("""COMPUTED_VALUE"""),90.0)</f>
        <v>90</v>
      </c>
      <c r="F3195" s="2">
        <f>IFERROR(__xludf.DUMMYFUNCTION("""COMPUTED_VALUE"""),5.0)</f>
        <v>5</v>
      </c>
      <c r="G3195" s="2">
        <f>IFERROR(__xludf.DUMMYFUNCTION("""COMPUTED_VALUE"""),9.0)</f>
        <v>9</v>
      </c>
      <c r="H3195" s="2">
        <f>IFERROR(__xludf.DUMMYFUNCTION("""COMPUTED_VALUE"""),119.0)</f>
        <v>119</v>
      </c>
      <c r="I3195" s="2" t="str">
        <f>IFERROR(__xludf.DUMMYFUNCTION("""COMPUTED_VALUE"""),"Panel-Brick")</f>
        <v>Panel-Brick</v>
      </c>
      <c r="J3195" s="2" t="str">
        <f>IFERROR(__xludf.DUMMYFUNCTION("""COMPUTED_VALUE"""),"All amenities")</f>
        <v>All amenities</v>
      </c>
      <c r="K3195" s="2">
        <f>IFERROR(__xludf.DUMMYFUNCTION("""COMPUTED_VALUE"""),96000.0)</f>
        <v>96000</v>
      </c>
      <c r="L3195" s="2">
        <f>IFERROR(__xludf.DUMMYFUNCTION("""COMPUTED_VALUE"""),56.9432218)</f>
        <v>56.9432218</v>
      </c>
      <c r="M3195" s="2">
        <f>IFERROR(__xludf.DUMMYFUNCTION("""COMPUTED_VALUE"""),24.0062318671885)</f>
        <v>24.00623187</v>
      </c>
    </row>
    <row r="3196">
      <c r="A3196" s="2" t="str">
        <f>IFERROR(__xludf.DUMMYFUNCTION("""COMPUTED_VALUE"""),"For sale")</f>
        <v>For sale</v>
      </c>
      <c r="B3196" s="2" t="str">
        <f>IFERROR(__xludf.DUMMYFUNCTION("""COMPUTED_VALUE"""),"Pļavnieki")</f>
        <v>Pļavnieki</v>
      </c>
      <c r="C3196" s="2" t="str">
        <f>IFERROR(__xludf.DUMMYFUNCTION("""COMPUTED_VALUE"""),"Ulbrokas 5")</f>
        <v>Ulbrokas 5</v>
      </c>
      <c r="D3196" s="2">
        <f>IFERROR(__xludf.DUMMYFUNCTION("""COMPUTED_VALUE"""),1.0)</f>
        <v>1</v>
      </c>
      <c r="E3196" s="2">
        <f>IFERROR(__xludf.DUMMYFUNCTION("""COMPUTED_VALUE"""),41.0)</f>
        <v>41</v>
      </c>
      <c r="F3196" s="2">
        <f>IFERROR(__xludf.DUMMYFUNCTION("""COMPUTED_VALUE"""),2.0)</f>
        <v>2</v>
      </c>
      <c r="G3196" s="2">
        <f>IFERROR(__xludf.DUMMYFUNCTION("""COMPUTED_VALUE"""),9.0)</f>
        <v>9</v>
      </c>
      <c r="H3196" s="2" t="str">
        <f>IFERROR(__xludf.DUMMYFUNCTION("""COMPUTED_VALUE"""),"M. ģim.")</f>
        <v>M. ģim.</v>
      </c>
      <c r="I3196" s="2" t="str">
        <f>IFERROR(__xludf.DUMMYFUNCTION("""COMPUTED_VALUE"""),"Brick-Panel")</f>
        <v>Brick-Panel</v>
      </c>
      <c r="J3196" s="2" t="str">
        <f>IFERROR(__xludf.DUMMYFUNCTION("""COMPUTED_VALUE"""),"All amenities")</f>
        <v>All amenities</v>
      </c>
      <c r="K3196" s="2">
        <f>IFERROR(__xludf.DUMMYFUNCTION("""COMPUTED_VALUE"""),32000.0)</f>
        <v>32000</v>
      </c>
      <c r="L3196" s="2">
        <f>IFERROR(__xludf.DUMMYFUNCTION("""COMPUTED_VALUE"""),56.94243255)</f>
        <v>56.94243255</v>
      </c>
      <c r="M3196" s="2">
        <f>IFERROR(__xludf.DUMMYFUNCTION("""COMPUTED_VALUE"""),24.2154761019363)</f>
        <v>24.2154761</v>
      </c>
    </row>
    <row r="3197">
      <c r="A3197" s="2" t="str">
        <f>IFERROR(__xludf.DUMMYFUNCTION("""COMPUTED_VALUE"""),"For sale")</f>
        <v>For sale</v>
      </c>
      <c r="B3197" s="2" t="str">
        <f>IFERROR(__xludf.DUMMYFUNCTION("""COMPUTED_VALUE"""),"Mežciems")</f>
        <v>Mežciems</v>
      </c>
      <c r="C3197" s="2" t="str">
        <f>IFERROR(__xludf.DUMMYFUNCTION("""COMPUTED_VALUE"""),"Biķernieku 124")</f>
        <v>Biķernieku 124</v>
      </c>
      <c r="D3197" s="2">
        <f>IFERROR(__xludf.DUMMYFUNCTION("""COMPUTED_VALUE"""),3.0)</f>
        <v>3</v>
      </c>
      <c r="E3197" s="2">
        <f>IFERROR(__xludf.DUMMYFUNCTION("""COMPUTED_VALUE"""),85.0)</f>
        <v>85</v>
      </c>
      <c r="F3197" s="2">
        <f>IFERROR(__xludf.DUMMYFUNCTION("""COMPUTED_VALUE"""),3.0)</f>
        <v>3</v>
      </c>
      <c r="G3197" s="2">
        <f>IFERROR(__xludf.DUMMYFUNCTION("""COMPUTED_VALUE"""),4.0)</f>
        <v>4</v>
      </c>
      <c r="H3197" s="2" t="str">
        <f>IFERROR(__xludf.DUMMYFUNCTION("""COMPUTED_VALUE"""),"Jaun.")</f>
        <v>Jaun.</v>
      </c>
      <c r="I3197" s="2" t="str">
        <f>IFERROR(__xludf.DUMMYFUNCTION("""COMPUTED_VALUE"""),"Panel")</f>
        <v>Panel</v>
      </c>
      <c r="J3197" s="2" t="str">
        <f>IFERROR(__xludf.DUMMYFUNCTION("""COMPUTED_VALUE"""),"All amenities")</f>
        <v>All amenities</v>
      </c>
      <c r="K3197" s="2">
        <f>IFERROR(__xludf.DUMMYFUNCTION("""COMPUTED_VALUE"""),135000.0)</f>
        <v>135000</v>
      </c>
      <c r="L3197" s="2">
        <f>IFERROR(__xludf.DUMMYFUNCTION("""COMPUTED_VALUE"""),56.9575184)</f>
        <v>56.9575184</v>
      </c>
      <c r="M3197" s="2">
        <f>IFERROR(__xludf.DUMMYFUNCTION("""COMPUTED_VALUE"""),24.2777127)</f>
        <v>24.2777127</v>
      </c>
    </row>
    <row r="3198">
      <c r="A3198" s="2" t="str">
        <f>IFERROR(__xludf.DUMMYFUNCTION("""COMPUTED_VALUE"""),"For rent")</f>
        <v>For rent</v>
      </c>
      <c r="B3198" s="2" t="str">
        <f>IFERROR(__xludf.DUMMYFUNCTION("""COMPUTED_VALUE"""),"Ziepniekkalns")</f>
        <v>Ziepniekkalns</v>
      </c>
      <c r="C3198" s="2" t="str">
        <f>IFERROR(__xludf.DUMMYFUNCTION("""COMPUTED_VALUE"""),"Ozolciema 18")</f>
        <v>Ozolciema 18</v>
      </c>
      <c r="D3198" s="2">
        <f>IFERROR(__xludf.DUMMYFUNCTION("""COMPUTED_VALUE"""),2.0)</f>
        <v>2</v>
      </c>
      <c r="E3198" s="2">
        <f>IFERROR(__xludf.DUMMYFUNCTION("""COMPUTED_VALUE"""),60.0)</f>
        <v>60</v>
      </c>
      <c r="F3198" s="2">
        <f>IFERROR(__xludf.DUMMYFUNCTION("""COMPUTED_VALUE"""),4.0)</f>
        <v>4</v>
      </c>
      <c r="G3198" s="2">
        <f>IFERROR(__xludf.DUMMYFUNCTION("""COMPUTED_VALUE"""),9.0)</f>
        <v>9</v>
      </c>
      <c r="H3198" s="2">
        <f>IFERROR(__xludf.DUMMYFUNCTION("""COMPUTED_VALUE"""),119.0)</f>
        <v>119</v>
      </c>
      <c r="I3198" s="2" t="str">
        <f>IFERROR(__xludf.DUMMYFUNCTION("""COMPUTED_VALUE"""),"Panel")</f>
        <v>Panel</v>
      </c>
      <c r="J3198" s="2" t="str">
        <f>IFERROR(__xludf.DUMMYFUNCTION("""COMPUTED_VALUE"""),"All amenities")</f>
        <v>All amenities</v>
      </c>
      <c r="K3198" s="2">
        <f>IFERROR(__xludf.DUMMYFUNCTION("""COMPUTED_VALUE"""),270.0)</f>
        <v>270</v>
      </c>
      <c r="L3198" s="2">
        <f>IFERROR(__xludf.DUMMYFUNCTION("""COMPUTED_VALUE"""),56.89859735)</f>
        <v>56.89859735</v>
      </c>
      <c r="M3198" s="2">
        <f>IFERROR(__xludf.DUMMYFUNCTION("""COMPUTED_VALUE"""),24.0876707999998)</f>
        <v>24.0876708</v>
      </c>
    </row>
    <row r="3199">
      <c r="A3199" s="2" t="str">
        <f>IFERROR(__xludf.DUMMYFUNCTION("""COMPUTED_VALUE"""),"For rent")</f>
        <v>For rent</v>
      </c>
      <c r="B3199" s="2" t="str">
        <f>IFERROR(__xludf.DUMMYFUNCTION("""COMPUTED_VALUE"""),"centrs")</f>
        <v>centrs</v>
      </c>
      <c r="C3199" s="2" t="str">
        <f>IFERROR(__xludf.DUMMYFUNCTION("""COMPUTED_VALUE"""),"Čaka 96")</f>
        <v>Čaka 96</v>
      </c>
      <c r="D3199" s="2">
        <f>IFERROR(__xludf.DUMMYFUNCTION("""COMPUTED_VALUE"""),2.0)</f>
        <v>2</v>
      </c>
      <c r="E3199" s="2">
        <f>IFERROR(__xludf.DUMMYFUNCTION("""COMPUTED_VALUE"""),61.0)</f>
        <v>61</v>
      </c>
      <c r="F3199" s="2">
        <f>IFERROR(__xludf.DUMMYFUNCTION("""COMPUTED_VALUE"""),3.0)</f>
        <v>3</v>
      </c>
      <c r="G3199" s="2">
        <f>IFERROR(__xludf.DUMMYFUNCTION("""COMPUTED_VALUE"""),5.0)</f>
        <v>5</v>
      </c>
      <c r="H3199" s="2" t="str">
        <f>IFERROR(__xludf.DUMMYFUNCTION("""COMPUTED_VALUE"""),"Jaun.")</f>
        <v>Jaun.</v>
      </c>
      <c r="I3199" s="2" t="str">
        <f>IFERROR(__xludf.DUMMYFUNCTION("""COMPUTED_VALUE"""),"Brick-Panel")</f>
        <v>Brick-Panel</v>
      </c>
      <c r="J3199" s="2" t="str">
        <f>IFERROR(__xludf.DUMMYFUNCTION("""COMPUTED_VALUE"""),"All amenities")</f>
        <v>All amenities</v>
      </c>
      <c r="K3199" s="2">
        <f>IFERROR(__xludf.DUMMYFUNCTION("""COMPUTED_VALUE"""),780.0)</f>
        <v>780</v>
      </c>
      <c r="L3199" s="2">
        <f>IFERROR(__xludf.DUMMYFUNCTION("""COMPUTED_VALUE"""),56.9571813)</f>
        <v>56.9571813</v>
      </c>
      <c r="M3199" s="2">
        <f>IFERROR(__xludf.DUMMYFUNCTION("""COMPUTED_VALUE"""),24.1394667939636)</f>
        <v>24.13946679</v>
      </c>
    </row>
    <row r="3200">
      <c r="A3200" s="2" t="str">
        <f>IFERROR(__xludf.DUMMYFUNCTION("""COMPUTED_VALUE"""),"For rent")</f>
        <v>For rent</v>
      </c>
      <c r="B3200" s="2" t="str">
        <f>IFERROR(__xludf.DUMMYFUNCTION("""COMPUTED_VALUE"""),"centrs")</f>
        <v>centrs</v>
      </c>
      <c r="C3200" s="2" t="str">
        <f>IFERROR(__xludf.DUMMYFUNCTION("""COMPUTED_VALUE"""),"Dzirnavu 50")</f>
        <v>Dzirnavu 50</v>
      </c>
      <c r="D3200" s="2">
        <f>IFERROR(__xludf.DUMMYFUNCTION("""COMPUTED_VALUE"""),1.0)</f>
        <v>1</v>
      </c>
      <c r="E3200" s="2">
        <f>IFERROR(__xludf.DUMMYFUNCTION("""COMPUTED_VALUE"""),16.0)</f>
        <v>16</v>
      </c>
      <c r="F3200" s="2">
        <f>IFERROR(__xludf.DUMMYFUNCTION("""COMPUTED_VALUE"""),1.0)</f>
        <v>1</v>
      </c>
      <c r="G3200" s="2">
        <f>IFERROR(__xludf.DUMMYFUNCTION("""COMPUTED_VALUE"""),6.0)</f>
        <v>6</v>
      </c>
      <c r="H3200" s="2" t="str">
        <f>IFERROR(__xludf.DUMMYFUNCTION("""COMPUTED_VALUE"""),"P. kara")</f>
        <v>P. kara</v>
      </c>
      <c r="I3200" s="2" t="str">
        <f>IFERROR(__xludf.DUMMYFUNCTION("""COMPUTED_VALUE"""),"Masonry")</f>
        <v>Masonry</v>
      </c>
      <c r="J3200" s="2" t="str">
        <f>IFERROR(__xludf.DUMMYFUNCTION("""COMPUTED_VALUE"""),"All amenities")</f>
        <v>All amenities</v>
      </c>
      <c r="K3200" s="2">
        <f>IFERROR(__xludf.DUMMYFUNCTION("""COMPUTED_VALUE"""),150.0)</f>
        <v>150</v>
      </c>
      <c r="L3200" s="2">
        <f>IFERROR(__xludf.DUMMYFUNCTION("""COMPUTED_VALUE"""),56.9421782)</f>
        <v>56.9421782</v>
      </c>
      <c r="M3200" s="2">
        <f>IFERROR(__xludf.DUMMYFUNCTION("""COMPUTED_VALUE"""),24.1272241)</f>
        <v>24.1272241</v>
      </c>
    </row>
    <row r="3201">
      <c r="A3201" s="2" t="str">
        <f>IFERROR(__xludf.DUMMYFUNCTION("""COMPUTED_VALUE"""),"For sale")</f>
        <v>For sale</v>
      </c>
      <c r="B3201" s="2" t="str">
        <f>IFERROR(__xludf.DUMMYFUNCTION("""COMPUTED_VALUE"""),"Ķengarags")</f>
        <v>Ķengarags</v>
      </c>
      <c r="C3201" s="2" t="str">
        <f>IFERROR(__xludf.DUMMYFUNCTION("""COMPUTED_VALUE"""),"Plostu 12")</f>
        <v>Plostu 12</v>
      </c>
      <c r="D3201" s="2">
        <f>IFERROR(__xludf.DUMMYFUNCTION("""COMPUTED_VALUE"""),1.0)</f>
        <v>1</v>
      </c>
      <c r="E3201" s="2">
        <f>IFERROR(__xludf.DUMMYFUNCTION("""COMPUTED_VALUE"""),36.0)</f>
        <v>36</v>
      </c>
      <c r="F3201" s="2">
        <f>IFERROR(__xludf.DUMMYFUNCTION("""COMPUTED_VALUE"""),6.0)</f>
        <v>6</v>
      </c>
      <c r="G3201" s="2">
        <f>IFERROR(__xludf.DUMMYFUNCTION("""COMPUTED_VALUE"""),12.0)</f>
        <v>12</v>
      </c>
      <c r="H3201" s="2" t="str">
        <f>IFERROR(__xludf.DUMMYFUNCTION("""COMPUTED_VALUE"""),"Čehu pr.")</f>
        <v>Čehu pr.</v>
      </c>
      <c r="I3201" s="2" t="str">
        <f>IFERROR(__xludf.DUMMYFUNCTION("""COMPUTED_VALUE"""),"Brick")</f>
        <v>Brick</v>
      </c>
      <c r="J3201" s="2" t="str">
        <f>IFERROR(__xludf.DUMMYFUNCTION("""COMPUTED_VALUE"""),"All amenities")</f>
        <v>All amenities</v>
      </c>
      <c r="K3201" s="2">
        <f>IFERROR(__xludf.DUMMYFUNCTION("""COMPUTED_VALUE"""),37000.0)</f>
        <v>37000</v>
      </c>
      <c r="L3201" s="2">
        <f>IFERROR(__xludf.DUMMYFUNCTION("""COMPUTED_VALUE"""),56.9048408999999)</f>
        <v>56.9048409</v>
      </c>
      <c r="M3201" s="2">
        <f>IFERROR(__xludf.DUMMYFUNCTION("""COMPUTED_VALUE"""),24.1964386901315)</f>
        <v>24.19643869</v>
      </c>
    </row>
    <row r="3202">
      <c r="A3202" s="2" t="str">
        <f>IFERROR(__xludf.DUMMYFUNCTION("""COMPUTED_VALUE"""),"For sale")</f>
        <v>For sale</v>
      </c>
      <c r="B3202" s="2" t="str">
        <f>IFERROR(__xludf.DUMMYFUNCTION("""COMPUTED_VALUE"""),"Sarkandaugava")</f>
        <v>Sarkandaugava</v>
      </c>
      <c r="C3202" s="2" t="str">
        <f>IFERROR(__xludf.DUMMYFUNCTION("""COMPUTED_VALUE"""),"Ziemeļu 3")</f>
        <v>Ziemeļu 3</v>
      </c>
      <c r="D3202" s="2">
        <f>IFERROR(__xludf.DUMMYFUNCTION("""COMPUTED_VALUE"""),3.0)</f>
        <v>3</v>
      </c>
      <c r="E3202" s="2">
        <f>IFERROR(__xludf.DUMMYFUNCTION("""COMPUTED_VALUE"""),71.0)</f>
        <v>71</v>
      </c>
      <c r="F3202" s="2">
        <f>IFERROR(__xludf.DUMMYFUNCTION("""COMPUTED_VALUE"""),1.0)</f>
        <v>1</v>
      </c>
      <c r="G3202" s="2">
        <f>IFERROR(__xludf.DUMMYFUNCTION("""COMPUTED_VALUE"""),6.0)</f>
        <v>6</v>
      </c>
      <c r="H3202" s="2" t="str">
        <f>IFERROR(__xludf.DUMMYFUNCTION("""COMPUTED_VALUE"""),"Renov.")</f>
        <v>Renov.</v>
      </c>
      <c r="I3202" s="2" t="str">
        <f>IFERROR(__xludf.DUMMYFUNCTION("""COMPUTED_VALUE"""),"Brick-Panel")</f>
        <v>Brick-Panel</v>
      </c>
      <c r="J3202" s="2" t="str">
        <f>IFERROR(__xludf.DUMMYFUNCTION("""COMPUTED_VALUE"""),"All amenities")</f>
        <v>All amenities</v>
      </c>
      <c r="K3202" s="2">
        <f>IFERROR(__xludf.DUMMYFUNCTION("""COMPUTED_VALUE"""),75000.0)</f>
        <v>75000</v>
      </c>
      <c r="L3202" s="2">
        <f>IFERROR(__xludf.DUMMYFUNCTION("""COMPUTED_VALUE"""),57.0025614)</f>
        <v>57.0025614</v>
      </c>
      <c r="M3202" s="2">
        <f>IFERROR(__xludf.DUMMYFUNCTION("""COMPUTED_VALUE"""),24.2835188)</f>
        <v>24.2835188</v>
      </c>
    </row>
    <row r="3203">
      <c r="A3203" s="2" t="str">
        <f>IFERROR(__xludf.DUMMYFUNCTION("""COMPUTED_VALUE"""),"For sale")</f>
        <v>For sale</v>
      </c>
      <c r="B3203" s="2" t="str">
        <f>IFERROR(__xludf.DUMMYFUNCTION("""COMPUTED_VALUE"""),"Pļavnieki")</f>
        <v>Pļavnieki</v>
      </c>
      <c r="C3203" s="2" t="str">
        <f>IFERROR(__xludf.DUMMYFUNCTION("""COMPUTED_VALUE"""),"Lubānas 143")</f>
        <v>Lubānas 143</v>
      </c>
      <c r="D3203" s="2">
        <f>IFERROR(__xludf.DUMMYFUNCTION("""COMPUTED_VALUE"""),3.0)</f>
        <v>3</v>
      </c>
      <c r="E3203" s="2">
        <f>IFERROR(__xludf.DUMMYFUNCTION("""COMPUTED_VALUE"""),100.0)</f>
        <v>100</v>
      </c>
      <c r="F3203" s="2">
        <f>IFERROR(__xludf.DUMMYFUNCTION("""COMPUTED_VALUE"""),2.0)</f>
        <v>2</v>
      </c>
      <c r="G3203" s="2">
        <f>IFERROR(__xludf.DUMMYFUNCTION("""COMPUTED_VALUE"""),2.0)</f>
        <v>2</v>
      </c>
      <c r="H3203" s="2" t="str">
        <f>IFERROR(__xludf.DUMMYFUNCTION("""COMPUTED_VALUE"""),"Jaun.")</f>
        <v>Jaun.</v>
      </c>
      <c r="I3203" s="2" t="str">
        <f>IFERROR(__xludf.DUMMYFUNCTION("""COMPUTED_VALUE"""),"Panel")</f>
        <v>Panel</v>
      </c>
      <c r="J3203" s="2" t="str">
        <f>IFERROR(__xludf.DUMMYFUNCTION("""COMPUTED_VALUE"""),"All amenities")</f>
        <v>All amenities</v>
      </c>
      <c r="K3203" s="2">
        <f>IFERROR(__xludf.DUMMYFUNCTION("""COMPUTED_VALUE"""),136000.0)</f>
        <v>136000</v>
      </c>
      <c r="L3203" s="2">
        <f>IFERROR(__xludf.DUMMYFUNCTION("""COMPUTED_VALUE"""),56.9382249)</f>
        <v>56.9382249</v>
      </c>
      <c r="M3203" s="2">
        <f>IFERROR(__xludf.DUMMYFUNCTION("""COMPUTED_VALUE"""),24.2268933)</f>
        <v>24.2268933</v>
      </c>
    </row>
    <row r="3204">
      <c r="A3204" s="2" t="str">
        <f>IFERROR(__xludf.DUMMYFUNCTION("""COMPUTED_VALUE"""),"For sale")</f>
        <v>For sale</v>
      </c>
      <c r="B3204" s="2" t="str">
        <f>IFERROR(__xludf.DUMMYFUNCTION("""COMPUTED_VALUE"""),"Pļavnieki")</f>
        <v>Pļavnieki</v>
      </c>
      <c r="C3204" s="2" t="str">
        <f>IFERROR(__xludf.DUMMYFUNCTION("""COMPUTED_VALUE"""),"Dravnieku 13")</f>
        <v>Dravnieku 13</v>
      </c>
      <c r="D3204" s="2">
        <f>IFERROR(__xludf.DUMMYFUNCTION("""COMPUTED_VALUE"""),2.0)</f>
        <v>2</v>
      </c>
      <c r="E3204" s="2">
        <f>IFERROR(__xludf.DUMMYFUNCTION("""COMPUTED_VALUE"""),51.0)</f>
        <v>51</v>
      </c>
      <c r="F3204" s="2">
        <f>IFERROR(__xludf.DUMMYFUNCTION("""COMPUTED_VALUE"""),6.0)</f>
        <v>6</v>
      </c>
      <c r="G3204" s="2">
        <f>IFERROR(__xludf.DUMMYFUNCTION("""COMPUTED_VALUE"""),9.0)</f>
        <v>9</v>
      </c>
      <c r="H3204" s="2">
        <f>IFERROR(__xludf.DUMMYFUNCTION("""COMPUTED_VALUE"""),602.0)</f>
        <v>602</v>
      </c>
      <c r="I3204" s="2" t="str">
        <f>IFERROR(__xludf.DUMMYFUNCTION("""COMPUTED_VALUE"""),"Panel")</f>
        <v>Panel</v>
      </c>
      <c r="J3204" s="2" t="str">
        <f>IFERROR(__xludf.DUMMYFUNCTION("""COMPUTED_VALUE"""),"All amenities")</f>
        <v>All amenities</v>
      </c>
      <c r="K3204" s="2">
        <f>IFERROR(__xludf.DUMMYFUNCTION("""COMPUTED_VALUE"""),56000.0)</f>
        <v>56000</v>
      </c>
      <c r="L3204" s="2">
        <f>IFERROR(__xludf.DUMMYFUNCTION("""COMPUTED_VALUE"""),56.94404435)</f>
        <v>56.94404435</v>
      </c>
      <c r="M3204" s="2">
        <f>IFERROR(__xludf.DUMMYFUNCTION("""COMPUTED_VALUE"""),24.21522315)</f>
        <v>24.21522315</v>
      </c>
    </row>
    <row r="3205">
      <c r="A3205" s="2" t="str">
        <f>IFERROR(__xludf.DUMMYFUNCTION("""COMPUTED_VALUE"""),"For rent")</f>
        <v>For rent</v>
      </c>
      <c r="B3205" s="2" t="str">
        <f>IFERROR(__xludf.DUMMYFUNCTION("""COMPUTED_VALUE"""),"Daugavgrīva")</f>
        <v>Daugavgrīva</v>
      </c>
      <c r="C3205" s="2" t="str">
        <f>IFERROR(__xludf.DUMMYFUNCTION("""COMPUTED_VALUE"""),"Zvīņu 6")</f>
        <v>Zvīņu 6</v>
      </c>
      <c r="D3205" s="2">
        <f>IFERROR(__xludf.DUMMYFUNCTION("""COMPUTED_VALUE"""),2.0)</f>
        <v>2</v>
      </c>
      <c r="E3205" s="2">
        <f>IFERROR(__xludf.DUMMYFUNCTION("""COMPUTED_VALUE"""),46.0)</f>
        <v>46</v>
      </c>
      <c r="F3205" s="2">
        <f>IFERROR(__xludf.DUMMYFUNCTION("""COMPUTED_VALUE"""),1.0)</f>
        <v>1</v>
      </c>
      <c r="G3205" s="2">
        <f>IFERROR(__xludf.DUMMYFUNCTION("""COMPUTED_VALUE"""),5.0)</f>
        <v>5</v>
      </c>
      <c r="H3205" s="2" t="str">
        <f>IFERROR(__xludf.DUMMYFUNCTION("""COMPUTED_VALUE"""),"Specpr.")</f>
        <v>Specpr.</v>
      </c>
      <c r="I3205" s="2" t="str">
        <f>IFERROR(__xludf.DUMMYFUNCTION("""COMPUTED_VALUE"""),"Brick")</f>
        <v>Brick</v>
      </c>
      <c r="J3205" s="2" t="str">
        <f>IFERROR(__xludf.DUMMYFUNCTION("""COMPUTED_VALUE"""),"All amenities")</f>
        <v>All amenities</v>
      </c>
      <c r="K3205" s="2">
        <f>IFERROR(__xludf.DUMMYFUNCTION("""COMPUTED_VALUE"""),230.0)</f>
        <v>230</v>
      </c>
      <c r="L3205" s="2">
        <f>IFERROR(__xludf.DUMMYFUNCTION("""COMPUTED_VALUE"""),57.0374654)</f>
        <v>57.0374654</v>
      </c>
      <c r="M3205" s="2">
        <f>IFERROR(__xludf.DUMMYFUNCTION("""COMPUTED_VALUE"""),24.0247952)</f>
        <v>24.0247952</v>
      </c>
    </row>
    <row r="3206">
      <c r="A3206" s="2" t="str">
        <f>IFERROR(__xludf.DUMMYFUNCTION("""COMPUTED_VALUE"""),"For rent")</f>
        <v>For rent</v>
      </c>
      <c r="B3206" s="2" t="str">
        <f>IFERROR(__xludf.DUMMYFUNCTION("""COMPUTED_VALUE"""),"Āgenskalns")</f>
        <v>Āgenskalns</v>
      </c>
      <c r="C3206" s="2" t="str">
        <f>IFERROR(__xludf.DUMMYFUNCTION("""COMPUTED_VALUE"""),"Slokas 28")</f>
        <v>Slokas 28</v>
      </c>
      <c r="D3206" s="2">
        <f>IFERROR(__xludf.DUMMYFUNCTION("""COMPUTED_VALUE"""),1.0)</f>
        <v>1</v>
      </c>
      <c r="E3206" s="2">
        <f>IFERROR(__xludf.DUMMYFUNCTION("""COMPUTED_VALUE"""),20.0)</f>
        <v>20</v>
      </c>
      <c r="F3206" s="2">
        <f>IFERROR(__xludf.DUMMYFUNCTION("""COMPUTED_VALUE"""),1.0)</f>
        <v>1</v>
      </c>
      <c r="G3206" s="2">
        <f>IFERROR(__xludf.DUMMYFUNCTION("""COMPUTED_VALUE"""),1.0)</f>
        <v>1</v>
      </c>
      <c r="H3206" s="2" t="str">
        <f>IFERROR(__xludf.DUMMYFUNCTION("""COMPUTED_VALUE"""),"Renov.")</f>
        <v>Renov.</v>
      </c>
      <c r="I3206" s="2" t="str">
        <f>IFERROR(__xludf.DUMMYFUNCTION("""COMPUTED_VALUE"""),"Masonry")</f>
        <v>Masonry</v>
      </c>
      <c r="J3206" s="2" t="str">
        <f>IFERROR(__xludf.DUMMYFUNCTION("""COMPUTED_VALUE"""),"All amenities")</f>
        <v>All amenities</v>
      </c>
      <c r="K3206" s="2">
        <f>IFERROR(__xludf.DUMMYFUNCTION("""COMPUTED_VALUE"""),25.0)</f>
        <v>25</v>
      </c>
      <c r="L3206" s="2">
        <f>IFERROR(__xludf.DUMMYFUNCTION("""COMPUTED_VALUE"""),56.9401616)</f>
        <v>56.9401616</v>
      </c>
      <c r="M3206" s="2">
        <f>IFERROR(__xludf.DUMMYFUNCTION("""COMPUTED_VALUE"""),24.0896935)</f>
        <v>24.0896935</v>
      </c>
    </row>
    <row r="3207">
      <c r="A3207" s="2" t="str">
        <f>IFERROR(__xludf.DUMMYFUNCTION("""COMPUTED_VALUE"""),"For sale")</f>
        <v>For sale</v>
      </c>
      <c r="B3207" s="2" t="str">
        <f>IFERROR(__xludf.DUMMYFUNCTION("""COMPUTED_VALUE"""),"Vecrīga")</f>
        <v>Vecrīga</v>
      </c>
      <c r="C3207" s="2" t="str">
        <f>IFERROR(__xludf.DUMMYFUNCTION("""COMPUTED_VALUE"""),"Republikas laukums 3")</f>
        <v>Republikas laukums 3</v>
      </c>
      <c r="D3207" s="2">
        <f>IFERROR(__xludf.DUMMYFUNCTION("""COMPUTED_VALUE"""),4.0)</f>
        <v>4</v>
      </c>
      <c r="E3207" s="2">
        <f>IFERROR(__xludf.DUMMYFUNCTION("""COMPUTED_VALUE"""),160.0)</f>
        <v>160</v>
      </c>
      <c r="F3207" s="2">
        <f>IFERROR(__xludf.DUMMYFUNCTION("""COMPUTED_VALUE"""),3.0)</f>
        <v>3</v>
      </c>
      <c r="G3207" s="2">
        <f>IFERROR(__xludf.DUMMYFUNCTION("""COMPUTED_VALUE"""),7.0)</f>
        <v>7</v>
      </c>
      <c r="H3207" s="2" t="str">
        <f>IFERROR(__xludf.DUMMYFUNCTION("""COMPUTED_VALUE"""),"Jaun.")</f>
        <v>Jaun.</v>
      </c>
      <c r="I3207" s="2" t="str">
        <f>IFERROR(__xludf.DUMMYFUNCTION("""COMPUTED_VALUE"""),"Brick")</f>
        <v>Brick</v>
      </c>
      <c r="J3207" s="2" t="str">
        <f>IFERROR(__xludf.DUMMYFUNCTION("""COMPUTED_VALUE"""),"All amenities")</f>
        <v>All amenities</v>
      </c>
      <c r="K3207" s="2">
        <f>IFERROR(__xludf.DUMMYFUNCTION("""COMPUTED_VALUE"""),381000.0)</f>
        <v>381000</v>
      </c>
      <c r="L3207" s="2">
        <f>IFERROR(__xludf.DUMMYFUNCTION("""COMPUTED_VALUE"""),56.9552522)</f>
        <v>56.9552522</v>
      </c>
      <c r="M3207" s="2">
        <f>IFERROR(__xludf.DUMMYFUNCTION("""COMPUTED_VALUE"""),24.0999991251943)</f>
        <v>24.09999913</v>
      </c>
    </row>
    <row r="3208">
      <c r="A3208" s="2" t="str">
        <f>IFERROR(__xludf.DUMMYFUNCTION("""COMPUTED_VALUE"""),"For sale")</f>
        <v>For sale</v>
      </c>
      <c r="B3208" s="2" t="str">
        <f>IFERROR(__xludf.DUMMYFUNCTION("""COMPUTED_VALUE"""),"centrs")</f>
        <v>centrs</v>
      </c>
      <c r="C3208" s="2" t="str">
        <f>IFERROR(__xludf.DUMMYFUNCTION("""COMPUTED_VALUE"""),"Tomsona 42")</f>
        <v>Tomsona 42</v>
      </c>
      <c r="D3208" s="2">
        <f>IFERROR(__xludf.DUMMYFUNCTION("""COMPUTED_VALUE"""),2.0)</f>
        <v>2</v>
      </c>
      <c r="E3208" s="2">
        <f>IFERROR(__xludf.DUMMYFUNCTION("""COMPUTED_VALUE"""),44.0)</f>
        <v>44</v>
      </c>
      <c r="F3208" s="2">
        <f>IFERROR(__xludf.DUMMYFUNCTION("""COMPUTED_VALUE"""),4.0)</f>
        <v>4</v>
      </c>
      <c r="G3208" s="2">
        <f>IFERROR(__xludf.DUMMYFUNCTION("""COMPUTED_VALUE"""),5.0)</f>
        <v>5</v>
      </c>
      <c r="H3208" s="2" t="str">
        <f>IFERROR(__xludf.DUMMYFUNCTION("""COMPUTED_VALUE"""),"Hrušč.")</f>
        <v>Hrušč.</v>
      </c>
      <c r="I3208" s="2" t="str">
        <f>IFERROR(__xludf.DUMMYFUNCTION("""COMPUTED_VALUE"""),"Brick")</f>
        <v>Brick</v>
      </c>
      <c r="J3208" s="2" t="str">
        <f>IFERROR(__xludf.DUMMYFUNCTION("""COMPUTED_VALUE"""),"All amenities")</f>
        <v>All amenities</v>
      </c>
      <c r="K3208" s="2">
        <f>IFERROR(__xludf.DUMMYFUNCTION("""COMPUTED_VALUE"""),68000.0)</f>
        <v>68000</v>
      </c>
      <c r="L3208" s="2">
        <f>IFERROR(__xludf.DUMMYFUNCTION("""COMPUTED_VALUE"""),56.96867625)</f>
        <v>56.96867625</v>
      </c>
      <c r="M3208" s="2">
        <f>IFERROR(__xludf.DUMMYFUNCTION("""COMPUTED_VALUE"""),24.13004095)</f>
        <v>24.13004095</v>
      </c>
    </row>
    <row r="3209">
      <c r="A3209" s="2" t="str">
        <f>IFERROR(__xludf.DUMMYFUNCTION("""COMPUTED_VALUE"""),"For rent")</f>
        <v>For rent</v>
      </c>
      <c r="B3209" s="2" t="str">
        <f>IFERROR(__xludf.DUMMYFUNCTION("""COMPUTED_VALUE"""),"centrs")</f>
        <v>centrs</v>
      </c>
      <c r="C3209" s="2" t="str">
        <f>IFERROR(__xludf.DUMMYFUNCTION("""COMPUTED_VALUE"""),"Alauksta 5")</f>
        <v>Alauksta 5</v>
      </c>
      <c r="D3209" s="2">
        <f>IFERROR(__xludf.DUMMYFUNCTION("""COMPUTED_VALUE"""),2.0)</f>
        <v>2</v>
      </c>
      <c r="E3209" s="2">
        <f>IFERROR(__xludf.DUMMYFUNCTION("""COMPUTED_VALUE"""),54.0)</f>
        <v>54</v>
      </c>
      <c r="F3209" s="2">
        <f>IFERROR(__xludf.DUMMYFUNCTION("""COMPUTED_VALUE"""),5.0)</f>
        <v>5</v>
      </c>
      <c r="G3209" s="2">
        <f>IFERROR(__xludf.DUMMYFUNCTION("""COMPUTED_VALUE"""),6.0)</f>
        <v>6</v>
      </c>
      <c r="H3209" s="2" t="str">
        <f>IFERROR(__xludf.DUMMYFUNCTION("""COMPUTED_VALUE"""),"P. kara")</f>
        <v>P. kara</v>
      </c>
      <c r="I3209" s="2" t="str">
        <f>IFERROR(__xludf.DUMMYFUNCTION("""COMPUTED_VALUE"""),"Masonry")</f>
        <v>Masonry</v>
      </c>
      <c r="J3209" s="2" t="str">
        <f>IFERROR(__xludf.DUMMYFUNCTION("""COMPUTED_VALUE"""),"All amenities")</f>
        <v>All amenities</v>
      </c>
      <c r="K3209" s="2">
        <f>IFERROR(__xludf.DUMMYFUNCTION("""COMPUTED_VALUE"""),310.0)</f>
        <v>310</v>
      </c>
      <c r="L3209" s="2">
        <f>IFERROR(__xludf.DUMMYFUNCTION("""COMPUTED_VALUE"""),56.9614459)</f>
        <v>56.9614459</v>
      </c>
      <c r="M3209" s="2">
        <f>IFERROR(__xludf.DUMMYFUNCTION("""COMPUTED_VALUE"""),24.1485592928315)</f>
        <v>24.14855929</v>
      </c>
    </row>
    <row r="3210">
      <c r="A3210" s="2" t="str">
        <f>IFERROR(__xludf.DUMMYFUNCTION("""COMPUTED_VALUE"""),"For sale")</f>
        <v>For sale</v>
      </c>
      <c r="B3210" s="2" t="str">
        <f>IFERROR(__xludf.DUMMYFUNCTION("""COMPUTED_VALUE"""),"Vecmīlgrāvis")</f>
        <v>Vecmīlgrāvis</v>
      </c>
      <c r="C3210" s="2" t="str">
        <f>IFERROR(__xludf.DUMMYFUNCTION("""COMPUTED_VALUE"""),"Baltāsbaznīcas 36")</f>
        <v>Baltāsbaznīcas 36</v>
      </c>
      <c r="D3210" s="2">
        <f>IFERROR(__xludf.DUMMYFUNCTION("""COMPUTED_VALUE"""),2.0)</f>
        <v>2</v>
      </c>
      <c r="E3210" s="2">
        <f>IFERROR(__xludf.DUMMYFUNCTION("""COMPUTED_VALUE"""),37.0)</f>
        <v>37</v>
      </c>
      <c r="F3210" s="2">
        <f>IFERROR(__xludf.DUMMYFUNCTION("""COMPUTED_VALUE"""),3.0)</f>
        <v>3</v>
      </c>
      <c r="G3210" s="2">
        <f>IFERROR(__xludf.DUMMYFUNCTION("""COMPUTED_VALUE"""),5.0)</f>
        <v>5</v>
      </c>
      <c r="H3210" s="2">
        <f>IFERROR(__xludf.DUMMYFUNCTION("""COMPUTED_VALUE"""),103.0)</f>
        <v>103</v>
      </c>
      <c r="I3210" s="2" t="str">
        <f>IFERROR(__xludf.DUMMYFUNCTION("""COMPUTED_VALUE"""),"Brick-Panel")</f>
        <v>Brick-Panel</v>
      </c>
      <c r="J3210" s="2" t="str">
        <f>IFERROR(__xludf.DUMMYFUNCTION("""COMPUTED_VALUE"""),"All amenities")</f>
        <v>All amenities</v>
      </c>
      <c r="K3210" s="2">
        <f>IFERROR(__xludf.DUMMYFUNCTION("""COMPUTED_VALUE"""),36000.0)</f>
        <v>36000</v>
      </c>
      <c r="L3210" s="2">
        <f>IFERROR(__xludf.DUMMYFUNCTION("""COMPUTED_VALUE"""),57.0367567499999)</f>
        <v>57.03675675</v>
      </c>
      <c r="M3210" s="2">
        <f>IFERROR(__xludf.DUMMYFUNCTION("""COMPUTED_VALUE"""),24.092690325)</f>
        <v>24.09269033</v>
      </c>
    </row>
    <row r="3211">
      <c r="A3211" s="2" t="str">
        <f>IFERROR(__xludf.DUMMYFUNCTION("""COMPUTED_VALUE"""),"For sale")</f>
        <v>For sale</v>
      </c>
      <c r="B3211" s="2" t="str">
        <f>IFERROR(__xludf.DUMMYFUNCTION("""COMPUTED_VALUE"""),"Purvciems")</f>
        <v>Purvciems</v>
      </c>
      <c r="C3211" s="2" t="str">
        <f>IFERROR(__xludf.DUMMYFUNCTION("""COMPUTED_VALUE"""),"Andromedas g. 7")</f>
        <v>Andromedas g. 7</v>
      </c>
      <c r="D3211" s="2">
        <f>IFERROR(__xludf.DUMMYFUNCTION("""COMPUTED_VALUE"""),3.0)</f>
        <v>3</v>
      </c>
      <c r="E3211" s="2">
        <f>IFERROR(__xludf.DUMMYFUNCTION("""COMPUTED_VALUE"""),60.0)</f>
        <v>60</v>
      </c>
      <c r="F3211" s="2">
        <f>IFERROR(__xludf.DUMMYFUNCTION("""COMPUTED_VALUE"""),1.0)</f>
        <v>1</v>
      </c>
      <c r="G3211" s="2">
        <f>IFERROR(__xludf.DUMMYFUNCTION("""COMPUTED_VALUE"""),5.0)</f>
        <v>5</v>
      </c>
      <c r="H3211" s="2" t="str">
        <f>IFERROR(__xludf.DUMMYFUNCTION("""COMPUTED_VALUE"""),"LT proj.")</f>
        <v>LT proj.</v>
      </c>
      <c r="I3211" s="2" t="str">
        <f>IFERROR(__xludf.DUMMYFUNCTION("""COMPUTED_VALUE"""),"Panel")</f>
        <v>Panel</v>
      </c>
      <c r="J3211" s="2" t="str">
        <f>IFERROR(__xludf.DUMMYFUNCTION("""COMPUTED_VALUE"""),"All amenities")</f>
        <v>All amenities</v>
      </c>
      <c r="K3211" s="2">
        <f>IFERROR(__xludf.DUMMYFUNCTION("""COMPUTED_VALUE"""),49000.0)</f>
        <v>49000</v>
      </c>
      <c r="L3211" s="2">
        <f>IFERROR(__xludf.DUMMYFUNCTION("""COMPUTED_VALUE"""),56.9604259)</f>
        <v>56.9604259</v>
      </c>
      <c r="M3211" s="2">
        <f>IFERROR(__xludf.DUMMYFUNCTION("""COMPUTED_VALUE"""),24.201209)</f>
        <v>24.201209</v>
      </c>
    </row>
    <row r="3212">
      <c r="A3212" s="2" t="str">
        <f>IFERROR(__xludf.DUMMYFUNCTION("""COMPUTED_VALUE"""),"For sale")</f>
        <v>For sale</v>
      </c>
      <c r="B3212" s="2" t="str">
        <f>IFERROR(__xludf.DUMMYFUNCTION("""COMPUTED_VALUE"""),"Ziepniekkalns")</f>
        <v>Ziepniekkalns</v>
      </c>
      <c r="C3212" s="2" t="str">
        <f>IFERROR(__xludf.DUMMYFUNCTION("""COMPUTED_VALUE"""),"Zaļenieku 18")</f>
        <v>Zaļenieku 18</v>
      </c>
      <c r="D3212" s="2">
        <f>IFERROR(__xludf.DUMMYFUNCTION("""COMPUTED_VALUE"""),4.0)</f>
        <v>4</v>
      </c>
      <c r="E3212" s="2">
        <f>IFERROR(__xludf.DUMMYFUNCTION("""COMPUTED_VALUE"""),126.0)</f>
        <v>126</v>
      </c>
      <c r="F3212" s="2">
        <f>IFERROR(__xludf.DUMMYFUNCTION("""COMPUTED_VALUE"""),1.0)</f>
        <v>1</v>
      </c>
      <c r="G3212" s="2">
        <f>IFERROR(__xludf.DUMMYFUNCTION("""COMPUTED_VALUE"""),6.0)</f>
        <v>6</v>
      </c>
      <c r="H3212" s="2" t="str">
        <f>IFERROR(__xludf.DUMMYFUNCTION("""COMPUTED_VALUE"""),"Jaun.")</f>
        <v>Jaun.</v>
      </c>
      <c r="I3212" s="2" t="str">
        <f>IFERROR(__xludf.DUMMYFUNCTION("""COMPUTED_VALUE"""),"Masonry")</f>
        <v>Masonry</v>
      </c>
      <c r="J3212" s="2" t="str">
        <f>IFERROR(__xludf.DUMMYFUNCTION("""COMPUTED_VALUE"""),"All amenities")</f>
        <v>All amenities</v>
      </c>
      <c r="K3212" s="2">
        <f>IFERROR(__xludf.DUMMYFUNCTION("""COMPUTED_VALUE"""),150000.0)</f>
        <v>150000</v>
      </c>
      <c r="L3212" s="2">
        <f>IFERROR(__xludf.DUMMYFUNCTION("""COMPUTED_VALUE"""),56.9093617)</f>
        <v>56.9093617</v>
      </c>
      <c r="M3212" s="2">
        <f>IFERROR(__xludf.DUMMYFUNCTION("""COMPUTED_VALUE"""),24.0964724202145)</f>
        <v>24.09647242</v>
      </c>
    </row>
    <row r="3213">
      <c r="A3213" s="2" t="str">
        <f>IFERROR(__xludf.DUMMYFUNCTION("""COMPUTED_VALUE"""),"For sale")</f>
        <v>For sale</v>
      </c>
      <c r="B3213" s="2" t="str">
        <f>IFERROR(__xludf.DUMMYFUNCTION("""COMPUTED_VALUE"""),"Zolitūde")</f>
        <v>Zolitūde</v>
      </c>
      <c r="C3213" s="2" t="str">
        <f>IFERROR(__xludf.DUMMYFUNCTION("""COMPUTED_VALUE"""),"Apuzes 37c")</f>
        <v>Apuzes 37c</v>
      </c>
      <c r="D3213" s="2">
        <f>IFERROR(__xludf.DUMMYFUNCTION("""COMPUTED_VALUE"""),5.0)</f>
        <v>5</v>
      </c>
      <c r="E3213" s="2">
        <f>IFERROR(__xludf.DUMMYFUNCTION("""COMPUTED_VALUE"""),125.0)</f>
        <v>125</v>
      </c>
      <c r="F3213" s="2">
        <f>IFERROR(__xludf.DUMMYFUNCTION("""COMPUTED_VALUE"""),2.0)</f>
        <v>2</v>
      </c>
      <c r="G3213" s="2">
        <f>IFERROR(__xludf.DUMMYFUNCTION("""COMPUTED_VALUE"""),2.0)</f>
        <v>2</v>
      </c>
      <c r="H3213" s="2" t="str">
        <f>IFERROR(__xludf.DUMMYFUNCTION("""COMPUTED_VALUE"""),"Jaun.")</f>
        <v>Jaun.</v>
      </c>
      <c r="I3213" s="2" t="str">
        <f>IFERROR(__xludf.DUMMYFUNCTION("""COMPUTED_VALUE"""),"Brick")</f>
        <v>Brick</v>
      </c>
      <c r="J3213" s="2" t="str">
        <f>IFERROR(__xludf.DUMMYFUNCTION("""COMPUTED_VALUE"""),"All amenities")</f>
        <v>All amenities</v>
      </c>
      <c r="K3213" s="2">
        <f>IFERROR(__xludf.DUMMYFUNCTION("""COMPUTED_VALUE"""),159000.0)</f>
        <v>159000</v>
      </c>
      <c r="L3213" s="2">
        <f>IFERROR(__xludf.DUMMYFUNCTION("""COMPUTED_VALUE"""),56.9371904)</f>
        <v>56.9371904</v>
      </c>
      <c r="M3213" s="2">
        <f>IFERROR(__xludf.DUMMYFUNCTION("""COMPUTED_VALUE"""),24.0257892)</f>
        <v>24.0257892</v>
      </c>
    </row>
    <row r="3214">
      <c r="A3214" s="2" t="str">
        <f>IFERROR(__xludf.DUMMYFUNCTION("""COMPUTED_VALUE"""),"For sale")</f>
        <v>For sale</v>
      </c>
      <c r="B3214" s="2" t="str">
        <f>IFERROR(__xludf.DUMMYFUNCTION("""COMPUTED_VALUE"""),"Daugavgrīva")</f>
        <v>Daugavgrīva</v>
      </c>
      <c r="C3214" s="2" t="str">
        <f>IFERROR(__xludf.DUMMYFUNCTION("""COMPUTED_VALUE"""),"Parādes 20a")</f>
        <v>Parādes 20a</v>
      </c>
      <c r="D3214" s="2">
        <f>IFERROR(__xludf.DUMMYFUNCTION("""COMPUTED_VALUE"""),2.0)</f>
        <v>2</v>
      </c>
      <c r="E3214" s="2">
        <f>IFERROR(__xludf.DUMMYFUNCTION("""COMPUTED_VALUE"""),42.0)</f>
        <v>42</v>
      </c>
      <c r="F3214" s="2">
        <f>IFERROR(__xludf.DUMMYFUNCTION("""COMPUTED_VALUE"""),4.0)</f>
        <v>4</v>
      </c>
      <c r="G3214" s="2">
        <f>IFERROR(__xludf.DUMMYFUNCTION("""COMPUTED_VALUE"""),5.0)</f>
        <v>5</v>
      </c>
      <c r="H3214" s="2" t="str">
        <f>IFERROR(__xludf.DUMMYFUNCTION("""COMPUTED_VALUE"""),"Specpr.")</f>
        <v>Specpr.</v>
      </c>
      <c r="I3214" s="2" t="str">
        <f>IFERROR(__xludf.DUMMYFUNCTION("""COMPUTED_VALUE"""),"Brick")</f>
        <v>Brick</v>
      </c>
      <c r="J3214" s="2" t="str">
        <f>IFERROR(__xludf.DUMMYFUNCTION("""COMPUTED_VALUE"""),"All amenities")</f>
        <v>All amenities</v>
      </c>
      <c r="K3214" s="2">
        <f>IFERROR(__xludf.DUMMYFUNCTION("""COMPUTED_VALUE"""),34500.0)</f>
        <v>34500</v>
      </c>
      <c r="L3214" s="2">
        <f>IFERROR(__xludf.DUMMYFUNCTION("""COMPUTED_VALUE"""),57.0397183)</f>
        <v>57.0397183</v>
      </c>
      <c r="M3214" s="2">
        <f>IFERROR(__xludf.DUMMYFUNCTION("""COMPUTED_VALUE"""),24.0260067999999)</f>
        <v>24.0260068</v>
      </c>
    </row>
    <row r="3215">
      <c r="A3215" s="2" t="str">
        <f>IFERROR(__xludf.DUMMYFUNCTION("""COMPUTED_VALUE"""),"For sale")</f>
        <v>For sale</v>
      </c>
      <c r="B3215" s="2" t="str">
        <f>IFERROR(__xludf.DUMMYFUNCTION("""COMPUTED_VALUE"""),"Mežciems")</f>
        <v>Mežciems</v>
      </c>
      <c r="C3215" s="2" t="str">
        <f>IFERROR(__xludf.DUMMYFUNCTION("""COMPUTED_VALUE"""),"Hipokrāta 9")</f>
        <v>Hipokrāta 9</v>
      </c>
      <c r="D3215" s="2">
        <f>IFERROR(__xludf.DUMMYFUNCTION("""COMPUTED_VALUE"""),2.0)</f>
        <v>2</v>
      </c>
      <c r="E3215" s="2">
        <f>IFERROR(__xludf.DUMMYFUNCTION("""COMPUTED_VALUE"""),58.0)</f>
        <v>58</v>
      </c>
      <c r="F3215" s="2">
        <f>IFERROR(__xludf.DUMMYFUNCTION("""COMPUTED_VALUE"""),4.0)</f>
        <v>4</v>
      </c>
      <c r="G3215" s="2">
        <f>IFERROR(__xludf.DUMMYFUNCTION("""COMPUTED_VALUE"""),16.0)</f>
        <v>16</v>
      </c>
      <c r="H3215" s="2">
        <f>IFERROR(__xludf.DUMMYFUNCTION("""COMPUTED_VALUE"""),104.0)</f>
        <v>104</v>
      </c>
      <c r="I3215" s="2" t="str">
        <f>IFERROR(__xludf.DUMMYFUNCTION("""COMPUTED_VALUE"""),"Panel-Brick")</f>
        <v>Panel-Brick</v>
      </c>
      <c r="J3215" s="2" t="str">
        <f>IFERROR(__xludf.DUMMYFUNCTION("""COMPUTED_VALUE"""),"All amenities")</f>
        <v>All amenities</v>
      </c>
      <c r="K3215" s="2">
        <f>IFERROR(__xludf.DUMMYFUNCTION("""COMPUTED_VALUE"""),67900.0)</f>
        <v>67900</v>
      </c>
      <c r="L3215" s="2">
        <f>IFERROR(__xludf.DUMMYFUNCTION("""COMPUTED_VALUE"""),56.96758455)</f>
        <v>56.96758455</v>
      </c>
      <c r="M3215" s="2">
        <f>IFERROR(__xludf.DUMMYFUNCTION("""COMPUTED_VALUE"""),24.238078024789)</f>
        <v>24.23807802</v>
      </c>
    </row>
    <row r="3216">
      <c r="A3216" s="2" t="str">
        <f>IFERROR(__xludf.DUMMYFUNCTION("""COMPUTED_VALUE"""),"For rent")</f>
        <v>For rent</v>
      </c>
      <c r="B3216" s="2" t="str">
        <f>IFERROR(__xludf.DUMMYFUNCTION("""COMPUTED_VALUE"""),"Imanta")</f>
        <v>Imanta</v>
      </c>
      <c r="C3216" s="2" t="str">
        <f>IFERROR(__xludf.DUMMYFUNCTION("""COMPUTED_VALUE"""),"Auru 5a")</f>
        <v>Auru 5a</v>
      </c>
      <c r="D3216" s="2">
        <f>IFERROR(__xludf.DUMMYFUNCTION("""COMPUTED_VALUE"""),1.0)</f>
        <v>1</v>
      </c>
      <c r="E3216" s="2">
        <f>IFERROR(__xludf.DUMMYFUNCTION("""COMPUTED_VALUE"""),27.0)</f>
        <v>27</v>
      </c>
      <c r="F3216" s="2">
        <f>IFERROR(__xludf.DUMMYFUNCTION("""COMPUTED_VALUE"""),4.0)</f>
        <v>4</v>
      </c>
      <c r="G3216" s="2">
        <f>IFERROR(__xludf.DUMMYFUNCTION("""COMPUTED_VALUE"""),5.0)</f>
        <v>5</v>
      </c>
      <c r="H3216" s="2" t="str">
        <f>IFERROR(__xludf.DUMMYFUNCTION("""COMPUTED_VALUE"""),"LT proj.")</f>
        <v>LT proj.</v>
      </c>
      <c r="I3216" s="2" t="str">
        <f>IFERROR(__xludf.DUMMYFUNCTION("""COMPUTED_VALUE"""),"Panel")</f>
        <v>Panel</v>
      </c>
      <c r="J3216" s="2" t="str">
        <f>IFERROR(__xludf.DUMMYFUNCTION("""COMPUTED_VALUE"""),"All amenities")</f>
        <v>All amenities</v>
      </c>
      <c r="K3216" s="2">
        <f>IFERROR(__xludf.DUMMYFUNCTION("""COMPUTED_VALUE"""),270.0)</f>
        <v>270</v>
      </c>
      <c r="L3216" s="2">
        <f>IFERROR(__xludf.DUMMYFUNCTION("""COMPUTED_VALUE"""),56.95987425)</f>
        <v>56.95987425</v>
      </c>
      <c r="M3216" s="2">
        <f>IFERROR(__xludf.DUMMYFUNCTION("""COMPUTED_VALUE"""),24.0074628076701)</f>
        <v>24.00746281</v>
      </c>
    </row>
    <row r="3217">
      <c r="A3217" s="2" t="str">
        <f>IFERROR(__xludf.DUMMYFUNCTION("""COMPUTED_VALUE"""),"For sale")</f>
        <v>For sale</v>
      </c>
      <c r="B3217" s="2" t="str">
        <f>IFERROR(__xludf.DUMMYFUNCTION("""COMPUTED_VALUE"""),"Purvciems")</f>
        <v>Purvciems</v>
      </c>
      <c r="C3217" s="2" t="str">
        <f>IFERROR(__xludf.DUMMYFUNCTION("""COMPUTED_VALUE"""),"Pūces 19")</f>
        <v>Pūces 19</v>
      </c>
      <c r="D3217" s="2">
        <f>IFERROR(__xludf.DUMMYFUNCTION("""COMPUTED_VALUE"""),1.0)</f>
        <v>1</v>
      </c>
      <c r="E3217" s="2">
        <f>IFERROR(__xludf.DUMMYFUNCTION("""COMPUTED_VALUE"""),26.4)</f>
        <v>26.4</v>
      </c>
      <c r="F3217" s="2">
        <f>IFERROR(__xludf.DUMMYFUNCTION("""COMPUTED_VALUE"""),1.0)</f>
        <v>1</v>
      </c>
      <c r="G3217" s="2">
        <f>IFERROR(__xludf.DUMMYFUNCTION("""COMPUTED_VALUE"""),5.0)</f>
        <v>5</v>
      </c>
      <c r="H3217" s="2" t="str">
        <f>IFERROR(__xludf.DUMMYFUNCTION("""COMPUTED_VALUE"""),"Jaun.")</f>
        <v>Jaun.</v>
      </c>
      <c r="I3217" s="2" t="str">
        <f>IFERROR(__xludf.DUMMYFUNCTION("""COMPUTED_VALUE"""),"Masonry")</f>
        <v>Masonry</v>
      </c>
      <c r="J3217" s="2" t="str">
        <f>IFERROR(__xludf.DUMMYFUNCTION("""COMPUTED_VALUE"""),"All amenities")</f>
        <v>All amenities</v>
      </c>
      <c r="K3217" s="2">
        <f>IFERROR(__xludf.DUMMYFUNCTION("""COMPUTED_VALUE"""),51000.0)</f>
        <v>51000</v>
      </c>
      <c r="L3217" s="2">
        <f>IFERROR(__xludf.DUMMYFUNCTION("""COMPUTED_VALUE"""),56.95632235)</f>
        <v>56.95632235</v>
      </c>
      <c r="M3217" s="2">
        <f>IFERROR(__xludf.DUMMYFUNCTION("""COMPUTED_VALUE"""),24.1859785589656)</f>
        <v>24.18597856</v>
      </c>
    </row>
    <row r="3218">
      <c r="A3218" s="2" t="str">
        <f>IFERROR(__xludf.DUMMYFUNCTION("""COMPUTED_VALUE"""),"For rent")</f>
        <v>For rent</v>
      </c>
      <c r="B3218" s="2" t="str">
        <f>IFERROR(__xludf.DUMMYFUNCTION("""COMPUTED_VALUE"""),"centrs")</f>
        <v>centrs</v>
      </c>
      <c r="C3218" s="2" t="str">
        <f>IFERROR(__xludf.DUMMYFUNCTION("""COMPUTED_VALUE"""),"Stabu 70")</f>
        <v>Stabu 70</v>
      </c>
      <c r="D3218" s="2">
        <f>IFERROR(__xludf.DUMMYFUNCTION("""COMPUTED_VALUE"""),2.0)</f>
        <v>2</v>
      </c>
      <c r="E3218" s="2">
        <f>IFERROR(__xludf.DUMMYFUNCTION("""COMPUTED_VALUE"""),50.0)</f>
        <v>50</v>
      </c>
      <c r="F3218" s="2">
        <f>IFERROR(__xludf.DUMMYFUNCTION("""COMPUTED_VALUE"""),2.0)</f>
        <v>2</v>
      </c>
      <c r="G3218" s="2">
        <f>IFERROR(__xludf.DUMMYFUNCTION("""COMPUTED_VALUE"""),6.0)</f>
        <v>6</v>
      </c>
      <c r="H3218" s="2" t="str">
        <f>IFERROR(__xludf.DUMMYFUNCTION("""COMPUTED_VALUE"""),"P. kara")</f>
        <v>P. kara</v>
      </c>
      <c r="I3218" s="2" t="str">
        <f>IFERROR(__xludf.DUMMYFUNCTION("""COMPUTED_VALUE"""),"Brick")</f>
        <v>Brick</v>
      </c>
      <c r="J3218" s="2" t="str">
        <f>IFERROR(__xludf.DUMMYFUNCTION("""COMPUTED_VALUE"""),"All amenities")</f>
        <v>All amenities</v>
      </c>
      <c r="K3218" s="2">
        <f>IFERROR(__xludf.DUMMYFUNCTION("""COMPUTED_VALUE"""),26.0)</f>
        <v>26</v>
      </c>
      <c r="L3218" s="2">
        <f>IFERROR(__xludf.DUMMYFUNCTION("""COMPUTED_VALUE"""),56.952235)</f>
        <v>56.952235</v>
      </c>
      <c r="M3218" s="2">
        <f>IFERROR(__xludf.DUMMYFUNCTION("""COMPUTED_VALUE"""),24.1366039)</f>
        <v>24.1366039</v>
      </c>
    </row>
    <row r="3219">
      <c r="A3219" s="2" t="str">
        <f>IFERROR(__xludf.DUMMYFUNCTION("""COMPUTED_VALUE"""),"For sale")</f>
        <v>For sale</v>
      </c>
      <c r="B3219" s="2" t="str">
        <f>IFERROR(__xludf.DUMMYFUNCTION("""COMPUTED_VALUE"""),"Bolderāja")</f>
        <v>Bolderāja</v>
      </c>
      <c r="C3219" s="2" t="str">
        <f>IFERROR(__xludf.DUMMYFUNCTION("""COMPUTED_VALUE"""),"Platā 30")</f>
        <v>Platā 30</v>
      </c>
      <c r="D3219" s="2">
        <f>IFERROR(__xludf.DUMMYFUNCTION("""COMPUTED_VALUE"""),1.0)</f>
        <v>1</v>
      </c>
      <c r="E3219" s="2">
        <f>IFERROR(__xludf.DUMMYFUNCTION("""COMPUTED_VALUE"""),34.0)</f>
        <v>34</v>
      </c>
      <c r="F3219" s="2">
        <f>IFERROR(__xludf.DUMMYFUNCTION("""COMPUTED_VALUE"""),5.0)</f>
        <v>5</v>
      </c>
      <c r="G3219" s="2">
        <f>IFERROR(__xludf.DUMMYFUNCTION("""COMPUTED_VALUE"""),5.0)</f>
        <v>5</v>
      </c>
      <c r="H3219" s="2">
        <f>IFERROR(__xludf.DUMMYFUNCTION("""COMPUTED_VALUE"""),103.0)</f>
        <v>103</v>
      </c>
      <c r="I3219" s="2" t="str">
        <f>IFERROR(__xludf.DUMMYFUNCTION("""COMPUTED_VALUE"""),"Brick-Panel")</f>
        <v>Brick-Panel</v>
      </c>
      <c r="J3219" s="2" t="str">
        <f>IFERROR(__xludf.DUMMYFUNCTION("""COMPUTED_VALUE"""),"All amenities")</f>
        <v>All amenities</v>
      </c>
      <c r="K3219" s="2">
        <f>IFERROR(__xludf.DUMMYFUNCTION("""COMPUTED_VALUE"""),27000.0)</f>
        <v>27000</v>
      </c>
      <c r="L3219" s="2">
        <f>IFERROR(__xludf.DUMMYFUNCTION("""COMPUTED_VALUE"""),46.770384)</f>
        <v>46.770384</v>
      </c>
      <c r="M3219" s="2">
        <f>IFERROR(__xludf.DUMMYFUNCTION("""COMPUTED_VALUE"""),11.6396833)</f>
        <v>11.6396833</v>
      </c>
    </row>
    <row r="3220">
      <c r="A3220" s="2" t="str">
        <f>IFERROR(__xludf.DUMMYFUNCTION("""COMPUTED_VALUE"""),"For sale")</f>
        <v>For sale</v>
      </c>
      <c r="B3220" s="2" t="str">
        <f>IFERROR(__xludf.DUMMYFUNCTION("""COMPUTED_VALUE"""),"Ķengarags")</f>
        <v>Ķengarags</v>
      </c>
      <c r="C3220" s="2" t="str">
        <f>IFERROR(__xludf.DUMMYFUNCTION("""COMPUTED_VALUE"""),"Višķu 19")</f>
        <v>Višķu 19</v>
      </c>
      <c r="D3220" s="2">
        <f>IFERROR(__xludf.DUMMYFUNCTION("""COMPUTED_VALUE"""),2.0)</f>
        <v>2</v>
      </c>
      <c r="E3220" s="2">
        <f>IFERROR(__xludf.DUMMYFUNCTION("""COMPUTED_VALUE"""),45.0)</f>
        <v>45</v>
      </c>
      <c r="F3220" s="2">
        <f>IFERROR(__xludf.DUMMYFUNCTION("""COMPUTED_VALUE"""),4.0)</f>
        <v>4</v>
      </c>
      <c r="G3220" s="2">
        <f>IFERROR(__xludf.DUMMYFUNCTION("""COMPUTED_VALUE"""),5.0)</f>
        <v>5</v>
      </c>
      <c r="H3220" s="2" t="str">
        <f>IFERROR(__xludf.DUMMYFUNCTION("""COMPUTED_VALUE"""),"LT proj.")</f>
        <v>LT proj.</v>
      </c>
      <c r="I3220" s="2" t="str">
        <f>IFERROR(__xludf.DUMMYFUNCTION("""COMPUTED_VALUE"""),"Panel")</f>
        <v>Panel</v>
      </c>
      <c r="J3220" s="2" t="str">
        <f>IFERROR(__xludf.DUMMYFUNCTION("""COMPUTED_VALUE"""),"All amenities")</f>
        <v>All amenities</v>
      </c>
      <c r="K3220" s="2">
        <f>IFERROR(__xludf.DUMMYFUNCTION("""COMPUTED_VALUE"""),36500.0)</f>
        <v>36500</v>
      </c>
      <c r="L3220" s="2">
        <f>IFERROR(__xludf.DUMMYFUNCTION("""COMPUTED_VALUE"""),56.90032605)</f>
        <v>56.90032605</v>
      </c>
      <c r="M3220" s="2">
        <f>IFERROR(__xludf.DUMMYFUNCTION("""COMPUTED_VALUE"""),24.2142653999999)</f>
        <v>24.2142654</v>
      </c>
    </row>
    <row r="3221">
      <c r="A3221" s="2" t="str">
        <f>IFERROR(__xludf.DUMMYFUNCTION("""COMPUTED_VALUE"""),"For sale")</f>
        <v>For sale</v>
      </c>
      <c r="B3221" s="2" t="str">
        <f>IFERROR(__xludf.DUMMYFUNCTION("""COMPUTED_VALUE"""),"centrs")</f>
        <v>centrs</v>
      </c>
      <c r="C3221" s="2" t="str">
        <f>IFERROR(__xludf.DUMMYFUNCTION("""COMPUTED_VALUE"""),"Birznieka-Upīša 10")</f>
        <v>Birznieka-Upīša 10</v>
      </c>
      <c r="D3221" s="2">
        <f>IFERROR(__xludf.DUMMYFUNCTION("""COMPUTED_VALUE"""),3.0)</f>
        <v>3</v>
      </c>
      <c r="E3221" s="2">
        <f>IFERROR(__xludf.DUMMYFUNCTION("""COMPUTED_VALUE"""),57.0)</f>
        <v>57</v>
      </c>
      <c r="F3221" s="2">
        <f>IFERROR(__xludf.DUMMYFUNCTION("""COMPUTED_VALUE"""),6.0)</f>
        <v>6</v>
      </c>
      <c r="G3221" s="2">
        <f>IFERROR(__xludf.DUMMYFUNCTION("""COMPUTED_VALUE"""),6.0)</f>
        <v>6</v>
      </c>
      <c r="H3221" s="2" t="str">
        <f>IFERROR(__xludf.DUMMYFUNCTION("""COMPUTED_VALUE"""),"Renov.")</f>
        <v>Renov.</v>
      </c>
      <c r="I3221" s="2" t="str">
        <f>IFERROR(__xludf.DUMMYFUNCTION("""COMPUTED_VALUE"""),"Masonry")</f>
        <v>Masonry</v>
      </c>
      <c r="J3221" s="2" t="str">
        <f>IFERROR(__xludf.DUMMYFUNCTION("""COMPUTED_VALUE"""),"All amenities")</f>
        <v>All amenities</v>
      </c>
      <c r="K3221" s="2">
        <f>IFERROR(__xludf.DUMMYFUNCTION("""COMPUTED_VALUE"""),136800.0)</f>
        <v>136800</v>
      </c>
      <c r="L3221" s="2">
        <f>IFERROR(__xludf.DUMMYFUNCTION("""COMPUTED_VALUE"""),56.9488745)</f>
        <v>56.9488745</v>
      </c>
      <c r="M3221" s="2">
        <f>IFERROR(__xludf.DUMMYFUNCTION("""COMPUTED_VALUE"""),24.1266027446091)</f>
        <v>24.12660274</v>
      </c>
    </row>
    <row r="3222">
      <c r="A3222" s="2" t="str">
        <f>IFERROR(__xludf.DUMMYFUNCTION("""COMPUTED_VALUE"""),"For sale")</f>
        <v>For sale</v>
      </c>
      <c r="B3222" s="2" t="str">
        <f>IFERROR(__xludf.DUMMYFUNCTION("""COMPUTED_VALUE"""),"Ķengarags")</f>
        <v>Ķengarags</v>
      </c>
      <c r="C3222" s="2" t="str">
        <f>IFERROR(__xludf.DUMMYFUNCTION("""COMPUTED_VALUE"""),"Maskavas 216")</f>
        <v>Maskavas 216</v>
      </c>
      <c r="D3222" s="2">
        <f>IFERROR(__xludf.DUMMYFUNCTION("""COMPUTED_VALUE"""),1.0)</f>
        <v>1</v>
      </c>
      <c r="E3222" s="2">
        <f>IFERROR(__xludf.DUMMYFUNCTION("""COMPUTED_VALUE"""),34.0)</f>
        <v>34</v>
      </c>
      <c r="F3222" s="2">
        <f>IFERROR(__xludf.DUMMYFUNCTION("""COMPUTED_VALUE"""),1.0)</f>
        <v>1</v>
      </c>
      <c r="G3222" s="2">
        <f>IFERROR(__xludf.DUMMYFUNCTION("""COMPUTED_VALUE"""),9.0)</f>
        <v>9</v>
      </c>
      <c r="H3222" s="2">
        <f>IFERROR(__xludf.DUMMYFUNCTION("""COMPUTED_VALUE"""),467.0)</f>
        <v>467</v>
      </c>
      <c r="I3222" s="2" t="str">
        <f>IFERROR(__xludf.DUMMYFUNCTION("""COMPUTED_VALUE"""),"Panel")</f>
        <v>Panel</v>
      </c>
      <c r="J3222" s="2" t="str">
        <f>IFERROR(__xludf.DUMMYFUNCTION("""COMPUTED_VALUE"""),"All amenities")</f>
        <v>All amenities</v>
      </c>
      <c r="K3222" s="2">
        <f>IFERROR(__xludf.DUMMYFUNCTION("""COMPUTED_VALUE"""),31500.0)</f>
        <v>31500</v>
      </c>
      <c r="L3222" s="2">
        <f>IFERROR(__xludf.DUMMYFUNCTION("""COMPUTED_VALUE"""),56.9256893)</f>
        <v>56.9256893</v>
      </c>
      <c r="M3222" s="2">
        <f>IFERROR(__xludf.DUMMYFUNCTION("""COMPUTED_VALUE"""),24.1673684379577)</f>
        <v>24.16736844</v>
      </c>
    </row>
    <row r="3223">
      <c r="A3223" s="2" t="str">
        <f>IFERROR(__xludf.DUMMYFUNCTION("""COMPUTED_VALUE"""),"For rent")</f>
        <v>For rent</v>
      </c>
      <c r="B3223" s="2" t="str">
        <f>IFERROR(__xludf.DUMMYFUNCTION("""COMPUTED_VALUE"""),"Maskavas priekšpilsēta")</f>
        <v>Maskavas priekšpilsēta</v>
      </c>
      <c r="C3223" s="2" t="str">
        <f>IFERROR(__xludf.DUMMYFUNCTION("""COMPUTED_VALUE"""),"M. Krasta 37")</f>
        <v>M. Krasta 37</v>
      </c>
      <c r="D3223" s="2">
        <f>IFERROR(__xludf.DUMMYFUNCTION("""COMPUTED_VALUE"""),2.0)</f>
        <v>2</v>
      </c>
      <c r="E3223" s="2">
        <f>IFERROR(__xludf.DUMMYFUNCTION("""COMPUTED_VALUE"""),45.0)</f>
        <v>45</v>
      </c>
      <c r="F3223" s="2">
        <f>IFERROR(__xludf.DUMMYFUNCTION("""COMPUTED_VALUE"""),1.0)</f>
        <v>1</v>
      </c>
      <c r="G3223" s="2">
        <f>IFERROR(__xludf.DUMMYFUNCTION("""COMPUTED_VALUE"""),2.0)</f>
        <v>2</v>
      </c>
      <c r="H3223" s="2" t="str">
        <f>IFERROR(__xludf.DUMMYFUNCTION("""COMPUTED_VALUE"""),"P. kara")</f>
        <v>P. kara</v>
      </c>
      <c r="I3223" s="2" t="str">
        <f>IFERROR(__xludf.DUMMYFUNCTION("""COMPUTED_VALUE"""),"Brick")</f>
        <v>Brick</v>
      </c>
      <c r="J3223" s="2" t="str">
        <f>IFERROR(__xludf.DUMMYFUNCTION("""COMPUTED_VALUE"""),"All amenities")</f>
        <v>All amenities</v>
      </c>
      <c r="K3223" s="2">
        <f>IFERROR(__xludf.DUMMYFUNCTION("""COMPUTED_VALUE"""),220.0)</f>
        <v>220</v>
      </c>
      <c r="L3223" s="2">
        <f>IFERROR(__xludf.DUMMYFUNCTION("""COMPUTED_VALUE"""),56.9394081)</f>
        <v>56.9394081</v>
      </c>
      <c r="M3223" s="2">
        <f>IFERROR(__xludf.DUMMYFUNCTION("""COMPUTED_VALUE"""),24.1257097764562)</f>
        <v>24.12570978</v>
      </c>
    </row>
    <row r="3224">
      <c r="A3224" s="2" t="str">
        <f>IFERROR(__xludf.DUMMYFUNCTION("""COMPUTED_VALUE"""),"For sale")</f>
        <v>For sale</v>
      </c>
      <c r="B3224" s="2" t="str">
        <f>IFERROR(__xludf.DUMMYFUNCTION("""COMPUTED_VALUE"""),"Āgenskalns")</f>
        <v>Āgenskalns</v>
      </c>
      <c r="C3224" s="2" t="str">
        <f>IFERROR(__xludf.DUMMYFUNCTION("""COMPUTED_VALUE"""),"Dzirciema 31")</f>
        <v>Dzirciema 31</v>
      </c>
      <c r="D3224" s="2">
        <f>IFERROR(__xludf.DUMMYFUNCTION("""COMPUTED_VALUE"""),2.0)</f>
        <v>2</v>
      </c>
      <c r="E3224" s="2">
        <f>IFERROR(__xludf.DUMMYFUNCTION("""COMPUTED_VALUE"""),54.0)</f>
        <v>54</v>
      </c>
      <c r="F3224" s="2">
        <f>IFERROR(__xludf.DUMMYFUNCTION("""COMPUTED_VALUE"""),2.0)</f>
        <v>2</v>
      </c>
      <c r="G3224" s="2">
        <f>IFERROR(__xludf.DUMMYFUNCTION("""COMPUTED_VALUE"""),5.0)</f>
        <v>5</v>
      </c>
      <c r="H3224" s="2" t="str">
        <f>IFERROR(__xludf.DUMMYFUNCTION("""COMPUTED_VALUE"""),"Jaun.")</f>
        <v>Jaun.</v>
      </c>
      <c r="I3224" s="2" t="str">
        <f>IFERROR(__xludf.DUMMYFUNCTION("""COMPUTED_VALUE"""),"Brick")</f>
        <v>Brick</v>
      </c>
      <c r="J3224" s="2" t="str">
        <f>IFERROR(__xludf.DUMMYFUNCTION("""COMPUTED_VALUE"""),"All amenities")</f>
        <v>All amenities</v>
      </c>
      <c r="K3224" s="2">
        <f>IFERROR(__xludf.DUMMYFUNCTION("""COMPUTED_VALUE"""),97133.0)</f>
        <v>97133</v>
      </c>
      <c r="L3224" s="2">
        <f>IFERROR(__xludf.DUMMYFUNCTION("""COMPUTED_VALUE"""),56.9556302999999)</f>
        <v>56.9556303</v>
      </c>
      <c r="M3224" s="2">
        <f>IFERROR(__xludf.DUMMYFUNCTION("""COMPUTED_VALUE"""),24.0521164571975)</f>
        <v>24.05211646</v>
      </c>
    </row>
    <row r="3225">
      <c r="A3225" s="2" t="str">
        <f>IFERROR(__xludf.DUMMYFUNCTION("""COMPUTED_VALUE"""),"For sale")</f>
        <v>For sale</v>
      </c>
      <c r="B3225" s="2" t="str">
        <f>IFERROR(__xludf.DUMMYFUNCTION("""COMPUTED_VALUE"""),"Purvciems")</f>
        <v>Purvciems</v>
      </c>
      <c r="C3225" s="2" t="str">
        <f>IFERROR(__xludf.DUMMYFUNCTION("""COMPUTED_VALUE"""),"Ilūkstes 107 k-2")</f>
        <v>Ilūkstes 107 k-2</v>
      </c>
      <c r="D3225" s="2">
        <f>IFERROR(__xludf.DUMMYFUNCTION("""COMPUTED_VALUE"""),3.0)</f>
        <v>3</v>
      </c>
      <c r="E3225" s="2">
        <f>IFERROR(__xludf.DUMMYFUNCTION("""COMPUTED_VALUE"""),57.0)</f>
        <v>57</v>
      </c>
      <c r="F3225" s="2">
        <f>IFERROR(__xludf.DUMMYFUNCTION("""COMPUTED_VALUE"""),1.0)</f>
        <v>1</v>
      </c>
      <c r="G3225" s="2">
        <f>IFERROR(__xludf.DUMMYFUNCTION("""COMPUTED_VALUE"""),9.0)</f>
        <v>9</v>
      </c>
      <c r="H3225" s="2">
        <f>IFERROR(__xludf.DUMMYFUNCTION("""COMPUTED_VALUE"""),467.0)</f>
        <v>467</v>
      </c>
      <c r="I3225" s="2" t="str">
        <f>IFERROR(__xludf.DUMMYFUNCTION("""COMPUTED_VALUE"""),"Panel")</f>
        <v>Panel</v>
      </c>
      <c r="J3225" s="2" t="str">
        <f>IFERROR(__xludf.DUMMYFUNCTION("""COMPUTED_VALUE"""),"All amenities")</f>
        <v>All amenities</v>
      </c>
      <c r="K3225" s="2">
        <f>IFERROR(__xludf.DUMMYFUNCTION("""COMPUTED_VALUE"""),59800.0)</f>
        <v>59800</v>
      </c>
      <c r="L3225" s="2">
        <f>IFERROR(__xludf.DUMMYFUNCTION("""COMPUTED_VALUE"""),56.95408345)</f>
        <v>56.95408345</v>
      </c>
      <c r="M3225" s="2">
        <f>IFERROR(__xludf.DUMMYFUNCTION("""COMPUTED_VALUE"""),24.1950366307164)</f>
        <v>24.19503663</v>
      </c>
    </row>
    <row r="3226">
      <c r="A3226" s="2" t="str">
        <f>IFERROR(__xludf.DUMMYFUNCTION("""COMPUTED_VALUE"""),"For rent")</f>
        <v>For rent</v>
      </c>
      <c r="B3226" s="2" t="str">
        <f>IFERROR(__xludf.DUMMYFUNCTION("""COMPUTED_VALUE"""),"Ķīpsala")</f>
        <v>Ķīpsala</v>
      </c>
      <c r="C3226" s="2" t="str">
        <f>IFERROR(__xludf.DUMMYFUNCTION("""COMPUTED_VALUE"""),"Balasta d. 70")</f>
        <v>Balasta d. 70</v>
      </c>
      <c r="D3226" s="2">
        <f>IFERROR(__xludf.DUMMYFUNCTION("""COMPUTED_VALUE"""),2.0)</f>
        <v>2</v>
      </c>
      <c r="E3226" s="2">
        <f>IFERROR(__xludf.DUMMYFUNCTION("""COMPUTED_VALUE"""),77.0)</f>
        <v>77</v>
      </c>
      <c r="F3226" s="2">
        <f>IFERROR(__xludf.DUMMYFUNCTION("""COMPUTED_VALUE"""),3.0)</f>
        <v>3</v>
      </c>
      <c r="G3226" s="2">
        <f>IFERROR(__xludf.DUMMYFUNCTION("""COMPUTED_VALUE"""),3.0)</f>
        <v>3</v>
      </c>
      <c r="H3226" s="2" t="str">
        <f>IFERROR(__xludf.DUMMYFUNCTION("""COMPUTED_VALUE"""),"Jaun.")</f>
        <v>Jaun.</v>
      </c>
      <c r="I3226" s="2" t="str">
        <f>IFERROR(__xludf.DUMMYFUNCTION("""COMPUTED_VALUE"""),"Masonry")</f>
        <v>Masonry</v>
      </c>
      <c r="J3226" s="2" t="str">
        <f>IFERROR(__xludf.DUMMYFUNCTION("""COMPUTED_VALUE"""),"All amenities")</f>
        <v>All amenities</v>
      </c>
      <c r="K3226" s="2">
        <f>IFERROR(__xludf.DUMMYFUNCTION("""COMPUTED_VALUE"""),850.0)</f>
        <v>850</v>
      </c>
      <c r="L3226" s="2">
        <f>IFERROR(__xludf.DUMMYFUNCTION("""COMPUTED_VALUE"""),56.9489344)</f>
        <v>56.9489344</v>
      </c>
      <c r="M3226" s="2">
        <f>IFERROR(__xludf.DUMMYFUNCTION("""COMPUTED_VALUE"""),24.0882804)</f>
        <v>24.0882804</v>
      </c>
    </row>
    <row r="3227">
      <c r="A3227" s="2" t="str">
        <f>IFERROR(__xludf.DUMMYFUNCTION("""COMPUTED_VALUE"""),"For sale")</f>
        <v>For sale</v>
      </c>
      <c r="B3227" s="2" t="str">
        <f>IFERROR(__xludf.DUMMYFUNCTION("""COMPUTED_VALUE"""),"Pļavnieki")</f>
        <v>Pļavnieki</v>
      </c>
      <c r="C3227" s="2" t="str">
        <f>IFERROR(__xludf.DUMMYFUNCTION("""COMPUTED_VALUE"""),"Ulbrokas 7")</f>
        <v>Ulbrokas 7</v>
      </c>
      <c r="D3227" s="2">
        <f>IFERROR(__xludf.DUMMYFUNCTION("""COMPUTED_VALUE"""),2.0)</f>
        <v>2</v>
      </c>
      <c r="E3227" s="2">
        <f>IFERROR(__xludf.DUMMYFUNCTION("""COMPUTED_VALUE"""),61.0)</f>
        <v>61</v>
      </c>
      <c r="F3227" s="2">
        <f>IFERROR(__xludf.DUMMYFUNCTION("""COMPUTED_VALUE"""),6.0)</f>
        <v>6</v>
      </c>
      <c r="G3227" s="2">
        <f>IFERROR(__xludf.DUMMYFUNCTION("""COMPUTED_VALUE"""),12.0)</f>
        <v>12</v>
      </c>
      <c r="H3227" s="2">
        <f>IFERROR(__xludf.DUMMYFUNCTION("""COMPUTED_VALUE"""),104.0)</f>
        <v>104</v>
      </c>
      <c r="I3227" s="2" t="str">
        <f>IFERROR(__xludf.DUMMYFUNCTION("""COMPUTED_VALUE"""),"Brick-Panel")</f>
        <v>Brick-Panel</v>
      </c>
      <c r="J3227" s="2" t="str">
        <f>IFERROR(__xludf.DUMMYFUNCTION("""COMPUTED_VALUE"""),"All amenities")</f>
        <v>All amenities</v>
      </c>
      <c r="K3227" s="2">
        <f>IFERROR(__xludf.DUMMYFUNCTION("""COMPUTED_VALUE"""),56000.0)</f>
        <v>56000</v>
      </c>
      <c r="L3227" s="2">
        <f>IFERROR(__xludf.DUMMYFUNCTION("""COMPUTED_VALUE"""),56.9435433)</f>
        <v>56.9435433</v>
      </c>
      <c r="M3227" s="2">
        <f>IFERROR(__xludf.DUMMYFUNCTION("""COMPUTED_VALUE"""),24.2160183)</f>
        <v>24.2160183</v>
      </c>
    </row>
    <row r="3228">
      <c r="A3228" s="2" t="str">
        <f>IFERROR(__xludf.DUMMYFUNCTION("""COMPUTED_VALUE"""),"For rent")</f>
        <v>For rent</v>
      </c>
      <c r="B3228" s="2" t="str">
        <f>IFERROR(__xludf.DUMMYFUNCTION("""COMPUTED_VALUE"""),"centrs")</f>
        <v>centrs</v>
      </c>
      <c r="C3228" s="2" t="str">
        <f>IFERROR(__xludf.DUMMYFUNCTION("""COMPUTED_VALUE"""),"Brīvības 161")</f>
        <v>Brīvības 161</v>
      </c>
      <c r="D3228" s="2">
        <f>IFERROR(__xludf.DUMMYFUNCTION("""COMPUTED_VALUE"""),1.0)</f>
        <v>1</v>
      </c>
      <c r="E3228" s="2">
        <f>IFERROR(__xludf.DUMMYFUNCTION("""COMPUTED_VALUE"""),38.0)</f>
        <v>38</v>
      </c>
      <c r="F3228" s="2">
        <f>IFERROR(__xludf.DUMMYFUNCTION("""COMPUTED_VALUE"""),1.0)</f>
        <v>1</v>
      </c>
      <c r="G3228" s="2">
        <f>IFERROR(__xludf.DUMMYFUNCTION("""COMPUTED_VALUE"""),5.0)</f>
        <v>5</v>
      </c>
      <c r="H3228" s="2" t="str">
        <f>IFERROR(__xludf.DUMMYFUNCTION("""COMPUTED_VALUE"""),"Renov.")</f>
        <v>Renov.</v>
      </c>
      <c r="I3228" s="2" t="str">
        <f>IFERROR(__xludf.DUMMYFUNCTION("""COMPUTED_VALUE"""),"Masonry")</f>
        <v>Masonry</v>
      </c>
      <c r="J3228" s="2" t="str">
        <f>IFERROR(__xludf.DUMMYFUNCTION("""COMPUTED_VALUE"""),"All amenities")</f>
        <v>All amenities</v>
      </c>
      <c r="K3228" s="2">
        <f>IFERROR(__xludf.DUMMYFUNCTION("""COMPUTED_VALUE"""),430.0)</f>
        <v>430</v>
      </c>
      <c r="L3228" s="2">
        <f>IFERROR(__xludf.DUMMYFUNCTION("""COMPUTED_VALUE"""),56.9667357999999)</f>
        <v>56.9667358</v>
      </c>
      <c r="M3228" s="2">
        <f>IFERROR(__xludf.DUMMYFUNCTION("""COMPUTED_VALUE"""),24.1456351053152)</f>
        <v>24.14563511</v>
      </c>
    </row>
    <row r="3229">
      <c r="A3229" s="2" t="str">
        <f>IFERROR(__xludf.DUMMYFUNCTION("""COMPUTED_VALUE"""),"For sale")</f>
        <v>For sale</v>
      </c>
      <c r="B3229" s="2" t="str">
        <f>IFERROR(__xludf.DUMMYFUNCTION("""COMPUTED_VALUE"""),"Jugla")</f>
        <v>Jugla</v>
      </c>
      <c r="C3229" s="2" t="str">
        <f>IFERROR(__xludf.DUMMYFUNCTION("""COMPUTED_VALUE"""),"Ciemupes 1")</f>
        <v>Ciemupes 1</v>
      </c>
      <c r="D3229" s="2">
        <f>IFERROR(__xludf.DUMMYFUNCTION("""COMPUTED_VALUE"""),4.0)</f>
        <v>4</v>
      </c>
      <c r="E3229" s="2">
        <f>IFERROR(__xludf.DUMMYFUNCTION("""COMPUTED_VALUE"""),172.0)</f>
        <v>172</v>
      </c>
      <c r="F3229" s="2">
        <f>IFERROR(__xludf.DUMMYFUNCTION("""COMPUTED_VALUE"""),9.0)</f>
        <v>9</v>
      </c>
      <c r="G3229" s="2">
        <f>IFERROR(__xludf.DUMMYFUNCTION("""COMPUTED_VALUE"""),11.0)</f>
        <v>11</v>
      </c>
      <c r="H3229" s="2" t="str">
        <f>IFERROR(__xludf.DUMMYFUNCTION("""COMPUTED_VALUE"""),"Jaun.")</f>
        <v>Jaun.</v>
      </c>
      <c r="I3229" s="2" t="str">
        <f>IFERROR(__xludf.DUMMYFUNCTION("""COMPUTED_VALUE"""),"Masonry")</f>
        <v>Masonry</v>
      </c>
      <c r="J3229" s="2" t="str">
        <f>IFERROR(__xludf.DUMMYFUNCTION("""COMPUTED_VALUE"""),"All amenities")</f>
        <v>All amenities</v>
      </c>
      <c r="K3229" s="2">
        <f>IFERROR(__xludf.DUMMYFUNCTION("""COMPUTED_VALUE"""),200000.0)</f>
        <v>200000</v>
      </c>
      <c r="L3229" s="2">
        <f>IFERROR(__xludf.DUMMYFUNCTION("""COMPUTED_VALUE"""),56.9879952999999)</f>
        <v>56.9879953</v>
      </c>
      <c r="M3229" s="2">
        <f>IFERROR(__xludf.DUMMYFUNCTION("""COMPUTED_VALUE"""),24.2461035663916)</f>
        <v>24.24610357</v>
      </c>
    </row>
    <row r="3230">
      <c r="A3230" s="2" t="str">
        <f>IFERROR(__xludf.DUMMYFUNCTION("""COMPUTED_VALUE"""),"For rent")</f>
        <v>For rent</v>
      </c>
      <c r="B3230" s="2" t="str">
        <f>IFERROR(__xludf.DUMMYFUNCTION("""COMPUTED_VALUE"""),"Pļavnieki")</f>
        <v>Pļavnieki</v>
      </c>
      <c r="C3230" s="2" t="str">
        <f>IFERROR(__xludf.DUMMYFUNCTION("""COMPUTED_VALUE"""),"Dzeņu 1")</f>
        <v>Dzeņu 1</v>
      </c>
      <c r="D3230" s="2">
        <f>IFERROR(__xludf.DUMMYFUNCTION("""COMPUTED_VALUE"""),2.0)</f>
        <v>2</v>
      </c>
      <c r="E3230" s="2">
        <f>IFERROR(__xludf.DUMMYFUNCTION("""COMPUTED_VALUE"""),50.0)</f>
        <v>50</v>
      </c>
      <c r="F3230" s="2">
        <f>IFERROR(__xludf.DUMMYFUNCTION("""COMPUTED_VALUE"""),5.0)</f>
        <v>5</v>
      </c>
      <c r="G3230" s="2">
        <f>IFERROR(__xludf.DUMMYFUNCTION("""COMPUTED_VALUE"""),9.0)</f>
        <v>9</v>
      </c>
      <c r="H3230" s="2">
        <f>IFERROR(__xludf.DUMMYFUNCTION("""COMPUTED_VALUE"""),602.0)</f>
        <v>602</v>
      </c>
      <c r="I3230" s="2" t="str">
        <f>IFERROR(__xludf.DUMMYFUNCTION("""COMPUTED_VALUE"""),"Panel")</f>
        <v>Panel</v>
      </c>
      <c r="J3230" s="2" t="str">
        <f>IFERROR(__xludf.DUMMYFUNCTION("""COMPUTED_VALUE"""),"All amenities")</f>
        <v>All amenities</v>
      </c>
      <c r="K3230" s="2">
        <f>IFERROR(__xludf.DUMMYFUNCTION("""COMPUTED_VALUE"""),40.0)</f>
        <v>40</v>
      </c>
      <c r="L3230" s="2">
        <f>IFERROR(__xludf.DUMMYFUNCTION("""COMPUTED_VALUE"""),56.9408074)</f>
        <v>56.9408074</v>
      </c>
      <c r="M3230" s="2">
        <f>IFERROR(__xludf.DUMMYFUNCTION("""COMPUTED_VALUE"""),24.2087805127631)</f>
        <v>24.20878051</v>
      </c>
    </row>
    <row r="3231">
      <c r="A3231" s="2" t="str">
        <f>IFERROR(__xludf.DUMMYFUNCTION("""COMPUTED_VALUE"""),"For sale")</f>
        <v>For sale</v>
      </c>
      <c r="B3231" s="2" t="str">
        <f>IFERROR(__xludf.DUMMYFUNCTION("""COMPUTED_VALUE"""),"Vecmīlgrāvis")</f>
        <v>Vecmīlgrāvis</v>
      </c>
      <c r="C3231" s="2" t="str">
        <f>IFERROR(__xludf.DUMMYFUNCTION("""COMPUTED_VALUE"""),"Sarmas 7")</f>
        <v>Sarmas 7</v>
      </c>
      <c r="D3231" s="2">
        <f>IFERROR(__xludf.DUMMYFUNCTION("""COMPUTED_VALUE"""),3.0)</f>
        <v>3</v>
      </c>
      <c r="E3231" s="2">
        <f>IFERROR(__xludf.DUMMYFUNCTION("""COMPUTED_VALUE"""),65.0)</f>
        <v>65</v>
      </c>
      <c r="F3231" s="2">
        <f>IFERROR(__xludf.DUMMYFUNCTION("""COMPUTED_VALUE"""),5.0)</f>
        <v>5</v>
      </c>
      <c r="G3231" s="2">
        <f>IFERROR(__xludf.DUMMYFUNCTION("""COMPUTED_VALUE"""),9.0)</f>
        <v>9</v>
      </c>
      <c r="H3231" s="2">
        <f>IFERROR(__xludf.DUMMYFUNCTION("""COMPUTED_VALUE"""),602.0)</f>
        <v>602</v>
      </c>
      <c r="I3231" s="2" t="str">
        <f>IFERROR(__xludf.DUMMYFUNCTION("""COMPUTED_VALUE"""),"Panel")</f>
        <v>Panel</v>
      </c>
      <c r="J3231" s="2" t="str">
        <f>IFERROR(__xludf.DUMMYFUNCTION("""COMPUTED_VALUE"""),"All amenities")</f>
        <v>All amenities</v>
      </c>
      <c r="K3231" s="2">
        <f>IFERROR(__xludf.DUMMYFUNCTION("""COMPUTED_VALUE"""),69000.0)</f>
        <v>69000</v>
      </c>
      <c r="L3231" s="2">
        <f>IFERROR(__xludf.DUMMYFUNCTION("""COMPUTED_VALUE"""),57.03912275)</f>
        <v>57.03912275</v>
      </c>
      <c r="M3231" s="2">
        <f>IFERROR(__xludf.DUMMYFUNCTION("""COMPUTED_VALUE"""),24.1003615894216)</f>
        <v>24.10036159</v>
      </c>
    </row>
    <row r="3232">
      <c r="A3232" s="2" t="str">
        <f>IFERROR(__xludf.DUMMYFUNCTION("""COMPUTED_VALUE"""),"For sale")</f>
        <v>For sale</v>
      </c>
      <c r="B3232" s="2" t="str">
        <f>IFERROR(__xludf.DUMMYFUNCTION("""COMPUTED_VALUE"""),"Mežciems")</f>
        <v>Mežciems</v>
      </c>
      <c r="C3232" s="2" t="str">
        <f>IFERROR(__xludf.DUMMYFUNCTION("""COMPUTED_VALUE"""),"Hipokrāta 62")</f>
        <v>Hipokrāta 62</v>
      </c>
      <c r="D3232" s="2">
        <f>IFERROR(__xludf.DUMMYFUNCTION("""COMPUTED_VALUE"""),2.0)</f>
        <v>2</v>
      </c>
      <c r="E3232" s="2">
        <f>IFERROR(__xludf.DUMMYFUNCTION("""COMPUTED_VALUE"""),50.0)</f>
        <v>50</v>
      </c>
      <c r="F3232" s="2">
        <f>IFERROR(__xludf.DUMMYFUNCTION("""COMPUTED_VALUE"""),7.0)</f>
        <v>7</v>
      </c>
      <c r="G3232" s="2">
        <f>IFERROR(__xludf.DUMMYFUNCTION("""COMPUTED_VALUE"""),9.0)</f>
        <v>9</v>
      </c>
      <c r="H3232" s="2">
        <f>IFERROR(__xludf.DUMMYFUNCTION("""COMPUTED_VALUE"""),602.0)</f>
        <v>602</v>
      </c>
      <c r="I3232" s="2" t="str">
        <f>IFERROR(__xludf.DUMMYFUNCTION("""COMPUTED_VALUE"""),"Panel")</f>
        <v>Panel</v>
      </c>
      <c r="J3232" s="2" t="str">
        <f>IFERROR(__xludf.DUMMYFUNCTION("""COMPUTED_VALUE"""),"All amenities")</f>
        <v>All amenities</v>
      </c>
      <c r="K3232" s="2">
        <f>IFERROR(__xludf.DUMMYFUNCTION("""COMPUTED_VALUE"""),51000.0)</f>
        <v>51000</v>
      </c>
      <c r="L3232" s="2">
        <f>IFERROR(__xludf.DUMMYFUNCTION("""COMPUTED_VALUE"""),56.9580423)</f>
        <v>56.9580423</v>
      </c>
      <c r="M3232" s="2">
        <f>IFERROR(__xludf.DUMMYFUNCTION("""COMPUTED_VALUE"""),24.2381625)</f>
        <v>24.2381625</v>
      </c>
    </row>
    <row r="3233">
      <c r="A3233" s="2" t="str">
        <f>IFERROR(__xludf.DUMMYFUNCTION("""COMPUTED_VALUE"""),"For sale")</f>
        <v>For sale</v>
      </c>
      <c r="B3233" s="2" t="str">
        <f>IFERROR(__xludf.DUMMYFUNCTION("""COMPUTED_VALUE"""),"Āgenskalns")</f>
        <v>Āgenskalns</v>
      </c>
      <c r="C3233" s="2" t="str">
        <f>IFERROR(__xludf.DUMMYFUNCTION("""COMPUTED_VALUE"""),"Kalnciema 62")</f>
        <v>Kalnciema 62</v>
      </c>
      <c r="D3233" s="2">
        <f>IFERROR(__xludf.DUMMYFUNCTION("""COMPUTED_VALUE"""),1.0)</f>
        <v>1</v>
      </c>
      <c r="E3233" s="2">
        <f>IFERROR(__xludf.DUMMYFUNCTION("""COMPUTED_VALUE"""),22.0)</f>
        <v>22</v>
      </c>
      <c r="F3233" s="2">
        <f>IFERROR(__xludf.DUMMYFUNCTION("""COMPUTED_VALUE"""),1.0)</f>
        <v>1</v>
      </c>
      <c r="G3233" s="2">
        <f>IFERROR(__xludf.DUMMYFUNCTION("""COMPUTED_VALUE"""),2.0)</f>
        <v>2</v>
      </c>
      <c r="H3233" s="2" t="str">
        <f>IFERROR(__xludf.DUMMYFUNCTION("""COMPUTED_VALUE"""),"P. kara")</f>
        <v>P. kara</v>
      </c>
      <c r="I3233" s="2" t="str">
        <f>IFERROR(__xludf.DUMMYFUNCTION("""COMPUTED_VALUE"""),"Wood")</f>
        <v>Wood</v>
      </c>
      <c r="J3233" s="2" t="str">
        <f>IFERROR(__xludf.DUMMYFUNCTION("""COMPUTED_VALUE"""),"Partial amenities")</f>
        <v>Partial amenities</v>
      </c>
      <c r="K3233" s="2">
        <f>IFERROR(__xludf.DUMMYFUNCTION("""COMPUTED_VALUE"""),15900.0)</f>
        <v>15900</v>
      </c>
      <c r="L3233" s="2">
        <f>IFERROR(__xludf.DUMMYFUNCTION("""COMPUTED_VALUE"""),56.94035005)</f>
        <v>56.94035005</v>
      </c>
      <c r="M3233" s="2">
        <f>IFERROR(__xludf.DUMMYFUNCTION("""COMPUTED_VALUE"""),24.0571659040533)</f>
        <v>24.0571659</v>
      </c>
    </row>
    <row r="3234">
      <c r="A3234" s="2" t="str">
        <f>IFERROR(__xludf.DUMMYFUNCTION("""COMPUTED_VALUE"""),"For sale")</f>
        <v>For sale</v>
      </c>
      <c r="B3234" s="2" t="str">
        <f>IFERROR(__xludf.DUMMYFUNCTION("""COMPUTED_VALUE"""),"Ķengarags")</f>
        <v>Ķengarags</v>
      </c>
      <c r="C3234" s="2" t="str">
        <f>IFERROR(__xludf.DUMMYFUNCTION("""COMPUTED_VALUE"""),"Maskavas 268/7")</f>
        <v>Maskavas 268/7</v>
      </c>
      <c r="D3234" s="2">
        <f>IFERROR(__xludf.DUMMYFUNCTION("""COMPUTED_VALUE"""),3.0)</f>
        <v>3</v>
      </c>
      <c r="E3234" s="2">
        <f>IFERROR(__xludf.DUMMYFUNCTION("""COMPUTED_VALUE"""),59.0)</f>
        <v>59</v>
      </c>
      <c r="F3234" s="2">
        <f>IFERROR(__xludf.DUMMYFUNCTION("""COMPUTED_VALUE"""),5.0)</f>
        <v>5</v>
      </c>
      <c r="G3234" s="2">
        <f>IFERROR(__xludf.DUMMYFUNCTION("""COMPUTED_VALUE"""),5.0)</f>
        <v>5</v>
      </c>
      <c r="H3234" s="2" t="str">
        <f>IFERROR(__xludf.DUMMYFUNCTION("""COMPUTED_VALUE"""),"LT proj.")</f>
        <v>LT proj.</v>
      </c>
      <c r="I3234" s="2" t="str">
        <f>IFERROR(__xludf.DUMMYFUNCTION("""COMPUTED_VALUE"""),"Panel")</f>
        <v>Panel</v>
      </c>
      <c r="J3234" s="2" t="str">
        <f>IFERROR(__xludf.DUMMYFUNCTION("""COMPUTED_VALUE"""),"All amenities")</f>
        <v>All amenities</v>
      </c>
      <c r="K3234" s="2">
        <f>IFERROR(__xludf.DUMMYFUNCTION("""COMPUTED_VALUE"""),47000.0)</f>
        <v>47000</v>
      </c>
      <c r="L3234" s="2">
        <f>IFERROR(__xludf.DUMMYFUNCTION("""COMPUTED_VALUE"""),56.9445851)</f>
        <v>56.9445851</v>
      </c>
      <c r="M3234" s="2">
        <f>IFERROR(__xludf.DUMMYFUNCTION("""COMPUTED_VALUE"""),24.1127805007715)</f>
        <v>24.1127805</v>
      </c>
    </row>
    <row r="3235">
      <c r="A3235" s="2" t="str">
        <f>IFERROR(__xludf.DUMMYFUNCTION("""COMPUTED_VALUE"""),"For rent")</f>
        <v>For rent</v>
      </c>
      <c r="B3235" s="2" t="str">
        <f>IFERROR(__xludf.DUMMYFUNCTION("""COMPUTED_VALUE"""),"Iļģuciems")</f>
        <v>Iļģuciems</v>
      </c>
      <c r="C3235" s="2" t="str">
        <f>IFERROR(__xludf.DUMMYFUNCTION("""COMPUTED_VALUE"""),"Spilves 21")</f>
        <v>Spilves 21</v>
      </c>
      <c r="D3235" s="2">
        <f>IFERROR(__xludf.DUMMYFUNCTION("""COMPUTED_VALUE"""),2.0)</f>
        <v>2</v>
      </c>
      <c r="E3235" s="2">
        <f>IFERROR(__xludf.DUMMYFUNCTION("""COMPUTED_VALUE"""),50.0)</f>
        <v>50</v>
      </c>
      <c r="F3235" s="2">
        <f>IFERROR(__xludf.DUMMYFUNCTION("""COMPUTED_VALUE"""),6.0)</f>
        <v>6</v>
      </c>
      <c r="G3235" s="2">
        <f>IFERROR(__xludf.DUMMYFUNCTION("""COMPUTED_VALUE"""),9.0)</f>
        <v>9</v>
      </c>
      <c r="H3235" s="2" t="str">
        <f>IFERROR(__xludf.DUMMYFUNCTION("""COMPUTED_VALUE"""),"Jaun.")</f>
        <v>Jaun.</v>
      </c>
      <c r="I3235" s="2" t="str">
        <f>IFERROR(__xludf.DUMMYFUNCTION("""COMPUTED_VALUE"""),"Panel")</f>
        <v>Panel</v>
      </c>
      <c r="J3235" s="2" t="str">
        <f>IFERROR(__xludf.DUMMYFUNCTION("""COMPUTED_VALUE"""),"All amenities")</f>
        <v>All amenities</v>
      </c>
      <c r="K3235" s="2">
        <f>IFERROR(__xludf.DUMMYFUNCTION("""COMPUTED_VALUE"""),290.0)</f>
        <v>290</v>
      </c>
      <c r="L3235" s="2">
        <f>IFERROR(__xludf.DUMMYFUNCTION("""COMPUTED_VALUE"""),56.97354585)</f>
        <v>56.97354585</v>
      </c>
      <c r="M3235" s="2">
        <f>IFERROR(__xludf.DUMMYFUNCTION("""COMPUTED_VALUE"""),24.0591831044198)</f>
        <v>24.0591831</v>
      </c>
    </row>
    <row r="3236">
      <c r="A3236" s="2" t="str">
        <f>IFERROR(__xludf.DUMMYFUNCTION("""COMPUTED_VALUE"""),"For rent")</f>
        <v>For rent</v>
      </c>
      <c r="B3236" s="2" t="str">
        <f>IFERROR(__xludf.DUMMYFUNCTION("""COMPUTED_VALUE"""),"Purvciems")</f>
        <v>Purvciems</v>
      </c>
      <c r="C3236" s="2" t="str">
        <f>IFERROR(__xludf.DUMMYFUNCTION("""COMPUTED_VALUE"""),"Stirnu 19")</f>
        <v>Stirnu 19</v>
      </c>
      <c r="D3236" s="2">
        <f>IFERROR(__xludf.DUMMYFUNCTION("""COMPUTED_VALUE"""),3.0)</f>
        <v>3</v>
      </c>
      <c r="E3236" s="2">
        <f>IFERROR(__xludf.DUMMYFUNCTION("""COMPUTED_VALUE"""),45.0)</f>
        <v>45</v>
      </c>
      <c r="F3236" s="2">
        <f>IFERROR(__xludf.DUMMYFUNCTION("""COMPUTED_VALUE"""),5.0)</f>
        <v>5</v>
      </c>
      <c r="G3236" s="2">
        <f>IFERROR(__xludf.DUMMYFUNCTION("""COMPUTED_VALUE"""),5.0)</f>
        <v>5</v>
      </c>
      <c r="H3236" s="2" t="str">
        <f>IFERROR(__xludf.DUMMYFUNCTION("""COMPUTED_VALUE"""),"LT proj.")</f>
        <v>LT proj.</v>
      </c>
      <c r="I3236" s="2" t="str">
        <f>IFERROR(__xludf.DUMMYFUNCTION("""COMPUTED_VALUE"""),"Panel")</f>
        <v>Panel</v>
      </c>
      <c r="J3236" s="2" t="str">
        <f>IFERROR(__xludf.DUMMYFUNCTION("""COMPUTED_VALUE"""),"All amenities")</f>
        <v>All amenities</v>
      </c>
      <c r="K3236" s="2">
        <f>IFERROR(__xludf.DUMMYFUNCTION("""COMPUTED_VALUE"""),330.0)</f>
        <v>330</v>
      </c>
      <c r="L3236" s="2">
        <f>IFERROR(__xludf.DUMMYFUNCTION("""COMPUTED_VALUE"""),56.95682185)</f>
        <v>56.95682185</v>
      </c>
      <c r="M3236" s="2">
        <f>IFERROR(__xludf.DUMMYFUNCTION("""COMPUTED_VALUE"""),24.18164485)</f>
        <v>24.18164485</v>
      </c>
    </row>
    <row r="3237">
      <c r="A3237" s="2" t="str">
        <f>IFERROR(__xludf.DUMMYFUNCTION("""COMPUTED_VALUE"""),"For sale")</f>
        <v>For sale</v>
      </c>
      <c r="B3237" s="2" t="str">
        <f>IFERROR(__xludf.DUMMYFUNCTION("""COMPUTED_VALUE"""),"Vecmīlgrāvis")</f>
        <v>Vecmīlgrāvis</v>
      </c>
      <c r="C3237" s="2" t="str">
        <f>IFERROR(__xludf.DUMMYFUNCTION("""COMPUTED_VALUE"""),"Melīdas 56")</f>
        <v>Melīdas 56</v>
      </c>
      <c r="D3237" s="2">
        <f>IFERROR(__xludf.DUMMYFUNCTION("""COMPUTED_VALUE"""),3.0)</f>
        <v>3</v>
      </c>
      <c r="E3237" s="2">
        <f>IFERROR(__xludf.DUMMYFUNCTION("""COMPUTED_VALUE"""),67.0)</f>
        <v>67</v>
      </c>
      <c r="F3237" s="2">
        <f>IFERROR(__xludf.DUMMYFUNCTION("""COMPUTED_VALUE"""),1.0)</f>
        <v>1</v>
      </c>
      <c r="G3237" s="2">
        <f>IFERROR(__xludf.DUMMYFUNCTION("""COMPUTED_VALUE"""),5.0)</f>
        <v>5</v>
      </c>
      <c r="H3237" s="2" t="str">
        <f>IFERROR(__xludf.DUMMYFUNCTION("""COMPUTED_VALUE"""),"LT proj.")</f>
        <v>LT proj.</v>
      </c>
      <c r="I3237" s="2" t="str">
        <f>IFERROR(__xludf.DUMMYFUNCTION("""COMPUTED_VALUE"""),"Panel")</f>
        <v>Panel</v>
      </c>
      <c r="J3237" s="2" t="str">
        <f>IFERROR(__xludf.DUMMYFUNCTION("""COMPUTED_VALUE"""),"All amenities")</f>
        <v>All amenities</v>
      </c>
      <c r="K3237" s="2">
        <f>IFERROR(__xludf.DUMMYFUNCTION("""COMPUTED_VALUE"""),39900.0)</f>
        <v>39900</v>
      </c>
      <c r="L3237" s="2">
        <f>IFERROR(__xludf.DUMMYFUNCTION("""COMPUTED_VALUE"""),57.0326345)</f>
        <v>57.0326345</v>
      </c>
      <c r="M3237" s="2">
        <f>IFERROR(__xludf.DUMMYFUNCTION("""COMPUTED_VALUE"""),24.1122608)</f>
        <v>24.1122608</v>
      </c>
    </row>
    <row r="3238">
      <c r="A3238" s="2" t="str">
        <f>IFERROR(__xludf.DUMMYFUNCTION("""COMPUTED_VALUE"""),"For sale")</f>
        <v>For sale</v>
      </c>
      <c r="B3238" s="2" t="str">
        <f>IFERROR(__xludf.DUMMYFUNCTION("""COMPUTED_VALUE"""),"Ķengarags")</f>
        <v>Ķengarags</v>
      </c>
      <c r="C3238" s="2" t="str">
        <f>IFERROR(__xludf.DUMMYFUNCTION("""COMPUTED_VALUE"""),"Aglonas 16")</f>
        <v>Aglonas 16</v>
      </c>
      <c r="D3238" s="2">
        <f>IFERROR(__xludf.DUMMYFUNCTION("""COMPUTED_VALUE"""),3.0)</f>
        <v>3</v>
      </c>
      <c r="E3238" s="2">
        <f>IFERROR(__xludf.DUMMYFUNCTION("""COMPUTED_VALUE"""),60.0)</f>
        <v>60</v>
      </c>
      <c r="F3238" s="2">
        <f>IFERROR(__xludf.DUMMYFUNCTION("""COMPUTED_VALUE"""),4.0)</f>
        <v>4</v>
      </c>
      <c r="G3238" s="2">
        <f>IFERROR(__xludf.DUMMYFUNCTION("""COMPUTED_VALUE"""),5.0)</f>
        <v>5</v>
      </c>
      <c r="H3238" s="2" t="str">
        <f>IFERROR(__xludf.DUMMYFUNCTION("""COMPUTED_VALUE"""),"Hrušč.")</f>
        <v>Hrušč.</v>
      </c>
      <c r="I3238" s="2" t="str">
        <f>IFERROR(__xludf.DUMMYFUNCTION("""COMPUTED_VALUE"""),"Brick")</f>
        <v>Brick</v>
      </c>
      <c r="J3238" s="2" t="str">
        <f>IFERROR(__xludf.DUMMYFUNCTION("""COMPUTED_VALUE"""),"All amenities")</f>
        <v>All amenities</v>
      </c>
      <c r="K3238" s="2">
        <f>IFERROR(__xludf.DUMMYFUNCTION("""COMPUTED_VALUE"""),56300.0)</f>
        <v>56300</v>
      </c>
      <c r="L3238" s="2">
        <f>IFERROR(__xludf.DUMMYFUNCTION("""COMPUTED_VALUE"""),56.9101647)</f>
        <v>56.9101647</v>
      </c>
      <c r="M3238" s="2">
        <f>IFERROR(__xludf.DUMMYFUNCTION("""COMPUTED_VALUE"""),24.1865532715356)</f>
        <v>24.18655327</v>
      </c>
    </row>
    <row r="3239">
      <c r="A3239" s="2" t="str">
        <f>IFERROR(__xludf.DUMMYFUNCTION("""COMPUTED_VALUE"""),"For sale")</f>
        <v>For sale</v>
      </c>
      <c r="B3239" s="2" t="str">
        <f>IFERROR(__xludf.DUMMYFUNCTION("""COMPUTED_VALUE"""),"Āgenskalns")</f>
        <v>Āgenskalns</v>
      </c>
      <c r="C3239" s="2" t="str">
        <f>IFERROR(__xludf.DUMMYFUNCTION("""COMPUTED_VALUE"""),"Dzirciema 31")</f>
        <v>Dzirciema 31</v>
      </c>
      <c r="D3239" s="2">
        <f>IFERROR(__xludf.DUMMYFUNCTION("""COMPUTED_VALUE"""),2.0)</f>
        <v>2</v>
      </c>
      <c r="E3239" s="2">
        <f>IFERROR(__xludf.DUMMYFUNCTION("""COMPUTED_VALUE"""),54.0)</f>
        <v>54</v>
      </c>
      <c r="F3239" s="2">
        <f>IFERROR(__xludf.DUMMYFUNCTION("""COMPUTED_VALUE"""),2.0)</f>
        <v>2</v>
      </c>
      <c r="G3239" s="2">
        <f>IFERROR(__xludf.DUMMYFUNCTION("""COMPUTED_VALUE"""),5.0)</f>
        <v>5</v>
      </c>
      <c r="H3239" s="2" t="str">
        <f>IFERROR(__xludf.DUMMYFUNCTION("""COMPUTED_VALUE"""),"Jaun.")</f>
        <v>Jaun.</v>
      </c>
      <c r="I3239" s="2" t="str">
        <f>IFERROR(__xludf.DUMMYFUNCTION("""COMPUTED_VALUE"""),"Brick")</f>
        <v>Brick</v>
      </c>
      <c r="J3239" s="2" t="str">
        <f>IFERROR(__xludf.DUMMYFUNCTION("""COMPUTED_VALUE"""),"All amenities")</f>
        <v>All amenities</v>
      </c>
      <c r="K3239" s="2">
        <f>IFERROR(__xludf.DUMMYFUNCTION("""COMPUTED_VALUE"""),97133.0)</f>
        <v>97133</v>
      </c>
      <c r="L3239" s="2">
        <f>IFERROR(__xludf.DUMMYFUNCTION("""COMPUTED_VALUE"""),56.9556302999999)</f>
        <v>56.9556303</v>
      </c>
      <c r="M3239" s="2">
        <f>IFERROR(__xludf.DUMMYFUNCTION("""COMPUTED_VALUE"""),24.0521164571975)</f>
        <v>24.05211646</v>
      </c>
    </row>
    <row r="3240">
      <c r="A3240" s="2" t="str">
        <f>IFERROR(__xludf.DUMMYFUNCTION("""COMPUTED_VALUE"""),"For sale")</f>
        <v>For sale</v>
      </c>
      <c r="B3240" s="2" t="str">
        <f>IFERROR(__xludf.DUMMYFUNCTION("""COMPUTED_VALUE"""),"Sarkandaugava")</f>
        <v>Sarkandaugava</v>
      </c>
      <c r="C3240" s="2" t="str">
        <f>IFERROR(__xludf.DUMMYFUNCTION("""COMPUTED_VALUE"""),"Limbažu 9")</f>
        <v>Limbažu 9</v>
      </c>
      <c r="D3240" s="2">
        <f>IFERROR(__xludf.DUMMYFUNCTION("""COMPUTED_VALUE"""),2.0)</f>
        <v>2</v>
      </c>
      <c r="E3240" s="2">
        <f>IFERROR(__xludf.DUMMYFUNCTION("""COMPUTED_VALUE"""),40.0)</f>
        <v>40</v>
      </c>
      <c r="F3240" s="2">
        <f>IFERROR(__xludf.DUMMYFUNCTION("""COMPUTED_VALUE"""),4.0)</f>
        <v>4</v>
      </c>
      <c r="G3240" s="2">
        <f>IFERROR(__xludf.DUMMYFUNCTION("""COMPUTED_VALUE"""),5.0)</f>
        <v>5</v>
      </c>
      <c r="H3240" s="2" t="str">
        <f>IFERROR(__xludf.DUMMYFUNCTION("""COMPUTED_VALUE"""),"Hrušč.")</f>
        <v>Hrušč.</v>
      </c>
      <c r="I3240" s="2" t="str">
        <f>IFERROR(__xludf.DUMMYFUNCTION("""COMPUTED_VALUE"""),"Brick")</f>
        <v>Brick</v>
      </c>
      <c r="J3240" s="2" t="str">
        <f>IFERROR(__xludf.DUMMYFUNCTION("""COMPUTED_VALUE"""),"All amenities")</f>
        <v>All amenities</v>
      </c>
      <c r="K3240" s="2">
        <f>IFERROR(__xludf.DUMMYFUNCTION("""COMPUTED_VALUE"""),57000.0)</f>
        <v>57000</v>
      </c>
      <c r="L3240" s="2">
        <f>IFERROR(__xludf.DUMMYFUNCTION("""COMPUTED_VALUE"""),57.0003061)</f>
        <v>57.0003061</v>
      </c>
      <c r="M3240" s="2">
        <f>IFERROR(__xludf.DUMMYFUNCTION("""COMPUTED_VALUE"""),24.1247948)</f>
        <v>24.1247948</v>
      </c>
    </row>
    <row r="3241">
      <c r="A3241" s="2" t="str">
        <f>IFERROR(__xludf.DUMMYFUNCTION("""COMPUTED_VALUE"""),"For sale")</f>
        <v>For sale</v>
      </c>
      <c r="B3241" s="2" t="str">
        <f>IFERROR(__xludf.DUMMYFUNCTION("""COMPUTED_VALUE"""),"Zolitūde")</f>
        <v>Zolitūde</v>
      </c>
      <c r="C3241" s="2" t="str">
        <f>IFERROR(__xludf.DUMMYFUNCTION("""COMPUTED_VALUE"""),"Anniņmuižas 13")</f>
        <v>Anniņmuižas 13</v>
      </c>
      <c r="D3241" s="2">
        <f>IFERROR(__xludf.DUMMYFUNCTION("""COMPUTED_VALUE"""),2.0)</f>
        <v>2</v>
      </c>
      <c r="E3241" s="2">
        <f>IFERROR(__xludf.DUMMYFUNCTION("""COMPUTED_VALUE"""),76.9)</f>
        <v>76.9</v>
      </c>
      <c r="F3241" s="2">
        <f>IFERROR(__xludf.DUMMYFUNCTION("""COMPUTED_VALUE"""),5.0)</f>
        <v>5</v>
      </c>
      <c r="G3241" s="2">
        <f>IFERROR(__xludf.DUMMYFUNCTION("""COMPUTED_VALUE"""),12.0)</f>
        <v>12</v>
      </c>
      <c r="H3241" s="2" t="str">
        <f>IFERROR(__xludf.DUMMYFUNCTION("""COMPUTED_VALUE"""),"Jaun.")</f>
        <v>Jaun.</v>
      </c>
      <c r="I3241" s="2" t="str">
        <f>IFERROR(__xludf.DUMMYFUNCTION("""COMPUTED_VALUE"""),"Brick-Panel")</f>
        <v>Brick-Panel</v>
      </c>
      <c r="J3241" s="2" t="str">
        <f>IFERROR(__xludf.DUMMYFUNCTION("""COMPUTED_VALUE"""),"All amenities")</f>
        <v>All amenities</v>
      </c>
      <c r="K3241" s="2">
        <f>IFERROR(__xludf.DUMMYFUNCTION("""COMPUTED_VALUE"""),97000.0)</f>
        <v>97000</v>
      </c>
      <c r="L3241" s="2">
        <f>IFERROR(__xludf.DUMMYFUNCTION("""COMPUTED_VALUE"""),56.94568225)</f>
        <v>56.94568225</v>
      </c>
      <c r="M3241" s="2">
        <f>IFERROR(__xludf.DUMMYFUNCTION("""COMPUTED_VALUE"""),24.0146821801241)</f>
        <v>24.01468218</v>
      </c>
    </row>
    <row r="3242">
      <c r="A3242" s="2" t="str">
        <f>IFERROR(__xludf.DUMMYFUNCTION("""COMPUTED_VALUE"""),"For sale")</f>
        <v>For sale</v>
      </c>
      <c r="B3242" s="2" t="str">
        <f>IFERROR(__xludf.DUMMYFUNCTION("""COMPUTED_VALUE"""),"centrs")</f>
        <v>centrs</v>
      </c>
      <c r="C3242" s="2" t="str">
        <f>IFERROR(__xludf.DUMMYFUNCTION("""COMPUTED_VALUE"""),"Nītaures 3")</f>
        <v>Nītaures 3</v>
      </c>
      <c r="D3242" s="2">
        <f>IFERROR(__xludf.DUMMYFUNCTION("""COMPUTED_VALUE"""),3.0)</f>
        <v>3</v>
      </c>
      <c r="E3242" s="2">
        <f>IFERROR(__xludf.DUMMYFUNCTION("""COMPUTED_VALUE"""),120.0)</f>
        <v>120</v>
      </c>
      <c r="F3242" s="2">
        <f>IFERROR(__xludf.DUMMYFUNCTION("""COMPUTED_VALUE"""),4.0)</f>
        <v>4</v>
      </c>
      <c r="G3242" s="2">
        <f>IFERROR(__xludf.DUMMYFUNCTION("""COMPUTED_VALUE"""),8.0)</f>
        <v>8</v>
      </c>
      <c r="H3242" s="2" t="str">
        <f>IFERROR(__xludf.DUMMYFUNCTION("""COMPUTED_VALUE"""),"Jaun.")</f>
        <v>Jaun.</v>
      </c>
      <c r="I3242" s="2" t="str">
        <f>IFERROR(__xludf.DUMMYFUNCTION("""COMPUTED_VALUE"""),"Panel")</f>
        <v>Panel</v>
      </c>
      <c r="J3242" s="2" t="str">
        <f>IFERROR(__xludf.DUMMYFUNCTION("""COMPUTED_VALUE"""),"All amenities")</f>
        <v>All amenities</v>
      </c>
      <c r="K3242" s="2">
        <f>IFERROR(__xludf.DUMMYFUNCTION("""COMPUTED_VALUE"""),219000.0)</f>
        <v>219000</v>
      </c>
      <c r="L3242" s="2">
        <f>IFERROR(__xludf.DUMMYFUNCTION("""COMPUTED_VALUE"""),56.9636145)</f>
        <v>56.9636145</v>
      </c>
      <c r="M3242" s="2">
        <f>IFERROR(__xludf.DUMMYFUNCTION("""COMPUTED_VALUE"""),24.1235099089866)</f>
        <v>24.12350991</v>
      </c>
    </row>
    <row r="3243">
      <c r="A3243" s="2" t="str">
        <f>IFERROR(__xludf.DUMMYFUNCTION("""COMPUTED_VALUE"""),"For sale")</f>
        <v>For sale</v>
      </c>
      <c r="B3243" s="2" t="str">
        <f>IFERROR(__xludf.DUMMYFUNCTION("""COMPUTED_VALUE"""),"Grīziņkalns")</f>
        <v>Grīziņkalns</v>
      </c>
      <c r="C3243" s="2" t="str">
        <f>IFERROR(__xludf.DUMMYFUNCTION("""COMPUTED_VALUE"""),"Asara 12")</f>
        <v>Asara 12</v>
      </c>
      <c r="D3243" s="2">
        <f>IFERROR(__xludf.DUMMYFUNCTION("""COMPUTED_VALUE"""),2.0)</f>
        <v>2</v>
      </c>
      <c r="E3243" s="2">
        <f>IFERROR(__xludf.DUMMYFUNCTION("""COMPUTED_VALUE"""),45.0)</f>
        <v>45</v>
      </c>
      <c r="F3243" s="2">
        <f>IFERROR(__xludf.DUMMYFUNCTION("""COMPUTED_VALUE"""),1.0)</f>
        <v>1</v>
      </c>
      <c r="G3243" s="2">
        <f>IFERROR(__xludf.DUMMYFUNCTION("""COMPUTED_VALUE"""),5.0)</f>
        <v>5</v>
      </c>
      <c r="H3243" s="2" t="str">
        <f>IFERROR(__xludf.DUMMYFUNCTION("""COMPUTED_VALUE"""),"Renov.")</f>
        <v>Renov.</v>
      </c>
      <c r="I3243" s="2" t="str">
        <f>IFERROR(__xludf.DUMMYFUNCTION("""COMPUTED_VALUE"""),"Masonry")</f>
        <v>Masonry</v>
      </c>
      <c r="J3243" s="2" t="str">
        <f>IFERROR(__xludf.DUMMYFUNCTION("""COMPUTED_VALUE"""),"All amenities")</f>
        <v>All amenities</v>
      </c>
      <c r="K3243" s="2">
        <f>IFERROR(__xludf.DUMMYFUNCTION("""COMPUTED_VALUE"""),90000.0)</f>
        <v>90000</v>
      </c>
      <c r="L3243" s="2">
        <f>IFERROR(__xludf.DUMMYFUNCTION("""COMPUTED_VALUE"""),56.9553833)</f>
        <v>56.9553833</v>
      </c>
      <c r="M3243" s="2">
        <f>IFERROR(__xludf.DUMMYFUNCTION("""COMPUTED_VALUE"""),24.1488881)</f>
        <v>24.1488881</v>
      </c>
    </row>
    <row r="3244">
      <c r="A3244" s="2" t="str">
        <f>IFERROR(__xludf.DUMMYFUNCTION("""COMPUTED_VALUE"""),"For sale")</f>
        <v>For sale</v>
      </c>
      <c r="B3244" s="2" t="str">
        <f>IFERROR(__xludf.DUMMYFUNCTION("""COMPUTED_VALUE"""),"centrs")</f>
        <v>centrs</v>
      </c>
      <c r="C3244" s="2" t="str">
        <f>IFERROR(__xludf.DUMMYFUNCTION("""COMPUTED_VALUE"""),"Bruņinieku 87")</f>
        <v>Bruņinieku 87</v>
      </c>
      <c r="D3244" s="2">
        <f>IFERROR(__xludf.DUMMYFUNCTION("""COMPUTED_VALUE"""),5.0)</f>
        <v>5</v>
      </c>
      <c r="E3244" s="2">
        <f>IFERROR(__xludf.DUMMYFUNCTION("""COMPUTED_VALUE"""),146.0)</f>
        <v>146</v>
      </c>
      <c r="F3244" s="2">
        <f>IFERROR(__xludf.DUMMYFUNCTION("""COMPUTED_VALUE"""),5.0)</f>
        <v>5</v>
      </c>
      <c r="G3244" s="2">
        <f>IFERROR(__xludf.DUMMYFUNCTION("""COMPUTED_VALUE"""),2.0)</f>
        <v>2</v>
      </c>
      <c r="H3244" s="2" t="str">
        <f>IFERROR(__xludf.DUMMYFUNCTION("""COMPUTED_VALUE"""),"P. kara")</f>
        <v>P. kara</v>
      </c>
      <c r="I3244" s="2" t="str">
        <f>IFERROR(__xludf.DUMMYFUNCTION("""COMPUTED_VALUE"""),"Masonry")</f>
        <v>Masonry</v>
      </c>
      <c r="J3244" s="2" t="str">
        <f>IFERROR(__xludf.DUMMYFUNCTION("""COMPUTED_VALUE"""),"All amenities")</f>
        <v>All amenities</v>
      </c>
      <c r="K3244" s="2">
        <f>IFERROR(__xludf.DUMMYFUNCTION("""COMPUTED_VALUE"""),204400.0)</f>
        <v>204400</v>
      </c>
      <c r="L3244" s="2">
        <f>IFERROR(__xludf.DUMMYFUNCTION("""COMPUTED_VALUE"""),56.9514796)</f>
        <v>56.9514796</v>
      </c>
      <c r="M3244" s="2">
        <f>IFERROR(__xludf.DUMMYFUNCTION("""COMPUTED_VALUE"""),24.1411797)</f>
        <v>24.1411797</v>
      </c>
    </row>
    <row r="3245">
      <c r="A3245" s="2" t="str">
        <f>IFERROR(__xludf.DUMMYFUNCTION("""COMPUTED_VALUE"""),"For rent")</f>
        <v>For rent</v>
      </c>
      <c r="B3245" s="2" t="str">
        <f>IFERROR(__xludf.DUMMYFUNCTION("""COMPUTED_VALUE"""),"Āgenskalns")</f>
        <v>Āgenskalns</v>
      </c>
      <c r="C3245" s="2" t="str">
        <f>IFERROR(__xludf.DUMMYFUNCTION("""COMPUTED_VALUE"""),"Nometņu 62")</f>
        <v>Nometņu 62</v>
      </c>
      <c r="D3245" s="2">
        <f>IFERROR(__xludf.DUMMYFUNCTION("""COMPUTED_VALUE"""),1.0)</f>
        <v>1</v>
      </c>
      <c r="E3245" s="2">
        <f>IFERROR(__xludf.DUMMYFUNCTION("""COMPUTED_VALUE"""),23.0)</f>
        <v>23</v>
      </c>
      <c r="F3245" s="2">
        <f>IFERROR(__xludf.DUMMYFUNCTION("""COMPUTED_VALUE"""),1.0)</f>
        <v>1</v>
      </c>
      <c r="G3245" s="2">
        <f>IFERROR(__xludf.DUMMYFUNCTION("""COMPUTED_VALUE"""),1.0)</f>
        <v>1</v>
      </c>
      <c r="H3245" s="2" t="str">
        <f>IFERROR(__xludf.DUMMYFUNCTION("""COMPUTED_VALUE"""),"Priv. m.")</f>
        <v>Priv. m.</v>
      </c>
      <c r="I3245" s="2" t="str">
        <f>IFERROR(__xludf.DUMMYFUNCTION("""COMPUTED_VALUE"""),"Masonry")</f>
        <v>Masonry</v>
      </c>
      <c r="J3245" s="2" t="str">
        <f>IFERROR(__xludf.DUMMYFUNCTION("""COMPUTED_VALUE"""),"All amenities")</f>
        <v>All amenities</v>
      </c>
      <c r="K3245" s="2">
        <f>IFERROR(__xludf.DUMMYFUNCTION("""COMPUTED_VALUE"""),260.0)</f>
        <v>260</v>
      </c>
      <c r="L3245" s="2">
        <f>IFERROR(__xludf.DUMMYFUNCTION("""COMPUTED_VALUE"""),56.9366902)</f>
        <v>56.9366902</v>
      </c>
      <c r="M3245" s="2">
        <f>IFERROR(__xludf.DUMMYFUNCTION("""COMPUTED_VALUE"""),24.0713339889391)</f>
        <v>24.07133399</v>
      </c>
    </row>
    <row r="3246">
      <c r="A3246" s="2" t="str">
        <f>IFERROR(__xludf.DUMMYFUNCTION("""COMPUTED_VALUE"""),"For sale")</f>
        <v>For sale</v>
      </c>
      <c r="B3246" s="2" t="str">
        <f>IFERROR(__xludf.DUMMYFUNCTION("""COMPUTED_VALUE"""),"Grīziņkalns")</f>
        <v>Grīziņkalns</v>
      </c>
      <c r="C3246" s="2" t="str">
        <f>IFERROR(__xludf.DUMMYFUNCTION("""COMPUTED_VALUE"""),"Asara 12")</f>
        <v>Asara 12</v>
      </c>
      <c r="D3246" s="2">
        <f>IFERROR(__xludf.DUMMYFUNCTION("""COMPUTED_VALUE"""),3.0)</f>
        <v>3</v>
      </c>
      <c r="E3246" s="2">
        <f>IFERROR(__xludf.DUMMYFUNCTION("""COMPUTED_VALUE"""),60.0)</f>
        <v>60</v>
      </c>
      <c r="F3246" s="2">
        <f>IFERROR(__xludf.DUMMYFUNCTION("""COMPUTED_VALUE"""),4.0)</f>
        <v>4</v>
      </c>
      <c r="G3246" s="2">
        <f>IFERROR(__xludf.DUMMYFUNCTION("""COMPUTED_VALUE"""),5.0)</f>
        <v>5</v>
      </c>
      <c r="H3246" s="2" t="str">
        <f>IFERROR(__xludf.DUMMYFUNCTION("""COMPUTED_VALUE"""),"Renov.")</f>
        <v>Renov.</v>
      </c>
      <c r="I3246" s="2" t="str">
        <f>IFERROR(__xludf.DUMMYFUNCTION("""COMPUTED_VALUE"""),"Masonry")</f>
        <v>Masonry</v>
      </c>
      <c r="J3246" s="2" t="str">
        <f>IFERROR(__xludf.DUMMYFUNCTION("""COMPUTED_VALUE"""),"All amenities")</f>
        <v>All amenities</v>
      </c>
      <c r="K3246" s="2">
        <f>IFERROR(__xludf.DUMMYFUNCTION("""COMPUTED_VALUE"""),125000.0)</f>
        <v>125000</v>
      </c>
      <c r="L3246" s="2">
        <f>IFERROR(__xludf.DUMMYFUNCTION("""COMPUTED_VALUE"""),56.9553833)</f>
        <v>56.9553833</v>
      </c>
      <c r="M3246" s="2">
        <f>IFERROR(__xludf.DUMMYFUNCTION("""COMPUTED_VALUE"""),24.1488881)</f>
        <v>24.1488881</v>
      </c>
    </row>
    <row r="3247">
      <c r="A3247" s="2" t="str">
        <f>IFERROR(__xludf.DUMMYFUNCTION("""COMPUTED_VALUE"""),"For sale")</f>
        <v>For sale</v>
      </c>
      <c r="B3247" s="2" t="str">
        <f>IFERROR(__xludf.DUMMYFUNCTION("""COMPUTED_VALUE"""),"Maskavas priekšpilsēta")</f>
        <v>Maskavas priekšpilsēta</v>
      </c>
      <c r="C3247" s="2" t="str">
        <f>IFERROR(__xludf.DUMMYFUNCTION("""COMPUTED_VALUE"""),"Ludzas 55")</f>
        <v>Ludzas 55</v>
      </c>
      <c r="D3247" s="2">
        <f>IFERROR(__xludf.DUMMYFUNCTION("""COMPUTED_VALUE"""),2.0)</f>
        <v>2</v>
      </c>
      <c r="E3247" s="2">
        <f>IFERROR(__xludf.DUMMYFUNCTION("""COMPUTED_VALUE"""),40.0)</f>
        <v>40</v>
      </c>
      <c r="F3247" s="2">
        <f>IFERROR(__xludf.DUMMYFUNCTION("""COMPUTED_VALUE"""),2.0)</f>
        <v>2</v>
      </c>
      <c r="G3247" s="2">
        <f>IFERROR(__xludf.DUMMYFUNCTION("""COMPUTED_VALUE"""),4.0)</f>
        <v>4</v>
      </c>
      <c r="H3247" s="2" t="str">
        <f>IFERROR(__xludf.DUMMYFUNCTION("""COMPUTED_VALUE"""),"P. kara")</f>
        <v>P. kara</v>
      </c>
      <c r="I3247" s="2" t="str">
        <f>IFERROR(__xludf.DUMMYFUNCTION("""COMPUTED_VALUE"""),"Brick")</f>
        <v>Brick</v>
      </c>
      <c r="J3247" s="2" t="str">
        <f>IFERROR(__xludf.DUMMYFUNCTION("""COMPUTED_VALUE"""),"All amenities")</f>
        <v>All amenities</v>
      </c>
      <c r="K3247" s="2">
        <f>IFERROR(__xludf.DUMMYFUNCTION("""COMPUTED_VALUE"""),26500.0)</f>
        <v>26500</v>
      </c>
      <c r="L3247" s="2">
        <f>IFERROR(__xludf.DUMMYFUNCTION("""COMPUTED_VALUE"""),56.9409349)</f>
        <v>56.9409349</v>
      </c>
      <c r="M3247" s="2">
        <f>IFERROR(__xludf.DUMMYFUNCTION("""COMPUTED_VALUE"""),24.1479807552327)</f>
        <v>24.14798076</v>
      </c>
    </row>
    <row r="3248">
      <c r="A3248" s="2" t="str">
        <f>IFERROR(__xludf.DUMMYFUNCTION("""COMPUTED_VALUE"""),"For sale")</f>
        <v>For sale</v>
      </c>
      <c r="B3248" s="2" t="str">
        <f>IFERROR(__xludf.DUMMYFUNCTION("""COMPUTED_VALUE"""),"centrs")</f>
        <v>centrs</v>
      </c>
      <c r="C3248" s="2" t="str">
        <f>IFERROR(__xludf.DUMMYFUNCTION("""COMPUTED_VALUE"""),"Katrīnas d. 17")</f>
        <v>Katrīnas d. 17</v>
      </c>
      <c r="D3248" s="2" t="str">
        <f>IFERROR(__xludf.DUMMYFUNCTION("""COMPUTED_VALUE"""),"Citi")</f>
        <v>Citi</v>
      </c>
      <c r="E3248" s="2">
        <f>IFERROR(__xludf.DUMMYFUNCTION("""COMPUTED_VALUE"""),169.0)</f>
        <v>169</v>
      </c>
      <c r="F3248" s="2">
        <f>IFERROR(__xludf.DUMMYFUNCTION("""COMPUTED_VALUE"""),2.0)</f>
        <v>2</v>
      </c>
      <c r="G3248" s="2">
        <f>IFERROR(__xludf.DUMMYFUNCTION("""COMPUTED_VALUE"""),6.0)</f>
        <v>6</v>
      </c>
      <c r="H3248" s="2" t="str">
        <f>IFERROR(__xludf.DUMMYFUNCTION("""COMPUTED_VALUE"""),"Jaun.")</f>
        <v>Jaun.</v>
      </c>
      <c r="I3248" s="2" t="str">
        <f>IFERROR(__xludf.DUMMYFUNCTION("""COMPUTED_VALUE"""),"Panel-Brick")</f>
        <v>Panel-Brick</v>
      </c>
      <c r="J3248" s="2" t="str">
        <f>IFERROR(__xludf.DUMMYFUNCTION("""COMPUTED_VALUE"""),"All amenities")</f>
        <v>All amenities</v>
      </c>
      <c r="K3248" s="2">
        <f>IFERROR(__xludf.DUMMYFUNCTION("""COMPUTED_VALUE"""),180000.0)</f>
        <v>180000</v>
      </c>
      <c r="L3248" s="2">
        <f>IFERROR(__xludf.DUMMYFUNCTION("""COMPUTED_VALUE"""),56.9716816)</f>
        <v>56.9716816</v>
      </c>
      <c r="M3248" s="2">
        <f>IFERROR(__xludf.DUMMYFUNCTION("""COMPUTED_VALUE"""),24.1021951)</f>
        <v>24.1021951</v>
      </c>
    </row>
    <row r="3249">
      <c r="A3249" s="2" t="str">
        <f>IFERROR(__xludf.DUMMYFUNCTION("""COMPUTED_VALUE"""),"For sale")</f>
        <v>For sale</v>
      </c>
      <c r="B3249" s="2" t="str">
        <f>IFERROR(__xludf.DUMMYFUNCTION("""COMPUTED_VALUE"""),"Grīziņkalns")</f>
        <v>Grīziņkalns</v>
      </c>
      <c r="C3249" s="2" t="str">
        <f>IFERROR(__xludf.DUMMYFUNCTION("""COMPUTED_VALUE"""),"Asara 12")</f>
        <v>Asara 12</v>
      </c>
      <c r="D3249" s="2">
        <f>IFERROR(__xludf.DUMMYFUNCTION("""COMPUTED_VALUE"""),2.0)</f>
        <v>2</v>
      </c>
      <c r="E3249" s="2">
        <f>IFERROR(__xludf.DUMMYFUNCTION("""COMPUTED_VALUE"""),37.0)</f>
        <v>37</v>
      </c>
      <c r="F3249" s="2">
        <f>IFERROR(__xludf.DUMMYFUNCTION("""COMPUTED_VALUE"""),4.0)</f>
        <v>4</v>
      </c>
      <c r="G3249" s="2">
        <f>IFERROR(__xludf.DUMMYFUNCTION("""COMPUTED_VALUE"""),5.0)</f>
        <v>5</v>
      </c>
      <c r="H3249" s="2" t="str">
        <f>IFERROR(__xludf.DUMMYFUNCTION("""COMPUTED_VALUE"""),"Renov.")</f>
        <v>Renov.</v>
      </c>
      <c r="I3249" s="2" t="str">
        <f>IFERROR(__xludf.DUMMYFUNCTION("""COMPUTED_VALUE"""),"Masonry")</f>
        <v>Masonry</v>
      </c>
      <c r="J3249" s="2" t="str">
        <f>IFERROR(__xludf.DUMMYFUNCTION("""COMPUTED_VALUE"""),"All amenities")</f>
        <v>All amenities</v>
      </c>
      <c r="K3249" s="2">
        <f>IFERROR(__xludf.DUMMYFUNCTION("""COMPUTED_VALUE"""),74000.0)</f>
        <v>74000</v>
      </c>
      <c r="L3249" s="2">
        <f>IFERROR(__xludf.DUMMYFUNCTION("""COMPUTED_VALUE"""),56.9553833)</f>
        <v>56.9553833</v>
      </c>
      <c r="M3249" s="2">
        <f>IFERROR(__xludf.DUMMYFUNCTION("""COMPUTED_VALUE"""),24.1488881)</f>
        <v>24.1488881</v>
      </c>
    </row>
    <row r="3250">
      <c r="A3250" s="2" t="str">
        <f>IFERROR(__xludf.DUMMYFUNCTION("""COMPUTED_VALUE"""),"For rent")</f>
        <v>For rent</v>
      </c>
      <c r="B3250" s="2" t="str">
        <f>IFERROR(__xludf.DUMMYFUNCTION("""COMPUTED_VALUE"""),"Imanta")</f>
        <v>Imanta</v>
      </c>
      <c r="C3250" s="2" t="str">
        <f>IFERROR(__xludf.DUMMYFUNCTION("""COMPUTED_VALUE"""),"Jūrmalas g. 109")</f>
        <v>Jūrmalas g. 109</v>
      </c>
      <c r="D3250" s="2">
        <f>IFERROR(__xludf.DUMMYFUNCTION("""COMPUTED_VALUE"""),3.0)</f>
        <v>3</v>
      </c>
      <c r="E3250" s="2">
        <f>IFERROR(__xludf.DUMMYFUNCTION("""COMPUTED_VALUE"""),89.0)</f>
        <v>89</v>
      </c>
      <c r="F3250" s="2">
        <f>IFERROR(__xludf.DUMMYFUNCTION("""COMPUTED_VALUE"""),2.0)</f>
        <v>2</v>
      </c>
      <c r="G3250" s="2">
        <f>IFERROR(__xludf.DUMMYFUNCTION("""COMPUTED_VALUE"""),4.0)</f>
        <v>4</v>
      </c>
      <c r="H3250" s="2" t="str">
        <f>IFERROR(__xludf.DUMMYFUNCTION("""COMPUTED_VALUE"""),"Jaun.")</f>
        <v>Jaun.</v>
      </c>
      <c r="I3250" s="2" t="str">
        <f>IFERROR(__xludf.DUMMYFUNCTION("""COMPUTED_VALUE"""),"Masonry")</f>
        <v>Masonry</v>
      </c>
      <c r="J3250" s="2" t="str">
        <f>IFERROR(__xludf.DUMMYFUNCTION("""COMPUTED_VALUE"""),"All amenities")</f>
        <v>All amenities</v>
      </c>
      <c r="K3250" s="2">
        <f>IFERROR(__xludf.DUMMYFUNCTION("""COMPUTED_VALUE"""),450.0)</f>
        <v>450</v>
      </c>
      <c r="L3250" s="2">
        <f>IFERROR(__xludf.DUMMYFUNCTION("""COMPUTED_VALUE"""),56.952975)</f>
        <v>56.952975</v>
      </c>
      <c r="M3250" s="2">
        <f>IFERROR(__xludf.DUMMYFUNCTION("""COMPUTED_VALUE"""),24.0166971)</f>
        <v>24.0166971</v>
      </c>
    </row>
    <row r="3251">
      <c r="A3251" s="2" t="str">
        <f>IFERROR(__xludf.DUMMYFUNCTION("""COMPUTED_VALUE"""),"For sale")</f>
        <v>For sale</v>
      </c>
      <c r="B3251" s="2" t="str">
        <f>IFERROR(__xludf.DUMMYFUNCTION("""COMPUTED_VALUE"""),"Zolitūde")</f>
        <v>Zolitūde</v>
      </c>
      <c r="C3251" s="2" t="str">
        <f>IFERROR(__xludf.DUMMYFUNCTION("""COMPUTED_VALUE"""),"Gramzdas 82")</f>
        <v>Gramzdas 82</v>
      </c>
      <c r="D3251" s="2">
        <f>IFERROR(__xludf.DUMMYFUNCTION("""COMPUTED_VALUE"""),4.0)</f>
        <v>4</v>
      </c>
      <c r="E3251" s="2">
        <f>IFERROR(__xludf.DUMMYFUNCTION("""COMPUTED_VALUE"""),130.6)</f>
        <v>130.6</v>
      </c>
      <c r="F3251" s="2">
        <f>IFERROR(__xludf.DUMMYFUNCTION("""COMPUTED_VALUE"""),4.0)</f>
        <v>4</v>
      </c>
      <c r="G3251" s="2">
        <f>IFERROR(__xludf.DUMMYFUNCTION("""COMPUTED_VALUE"""),4.0)</f>
        <v>4</v>
      </c>
      <c r="H3251" s="2" t="str">
        <f>IFERROR(__xludf.DUMMYFUNCTION("""COMPUTED_VALUE"""),"Jaun.")</f>
        <v>Jaun.</v>
      </c>
      <c r="I3251" s="2" t="str">
        <f>IFERROR(__xludf.DUMMYFUNCTION("""COMPUTED_VALUE"""),"Masonry")</f>
        <v>Masonry</v>
      </c>
      <c r="J3251" s="2" t="str">
        <f>IFERROR(__xludf.DUMMYFUNCTION("""COMPUTED_VALUE"""),"All amenities")</f>
        <v>All amenities</v>
      </c>
      <c r="K3251" s="2">
        <f>IFERROR(__xludf.DUMMYFUNCTION("""COMPUTED_VALUE"""),190000.0)</f>
        <v>190000</v>
      </c>
      <c r="L3251" s="2">
        <f>IFERROR(__xludf.DUMMYFUNCTION("""COMPUTED_VALUE"""),56.9408962)</f>
        <v>56.9408962</v>
      </c>
      <c r="M3251" s="2">
        <f>IFERROR(__xludf.DUMMYFUNCTION("""COMPUTED_VALUE"""),24.0041068352535)</f>
        <v>24.00410684</v>
      </c>
    </row>
    <row r="3252">
      <c r="A3252" s="2" t="str">
        <f>IFERROR(__xludf.DUMMYFUNCTION("""COMPUTED_VALUE"""),"For sale")</f>
        <v>For sale</v>
      </c>
      <c r="B3252" s="2" t="str">
        <f>IFERROR(__xludf.DUMMYFUNCTION("""COMPUTED_VALUE"""),"centrs")</f>
        <v>centrs</v>
      </c>
      <c r="C3252" s="2" t="str">
        <f>IFERROR(__xludf.DUMMYFUNCTION("""COMPUTED_VALUE"""),"Elizabetes 22")</f>
        <v>Elizabetes 22</v>
      </c>
      <c r="D3252" s="2">
        <f>IFERROR(__xludf.DUMMYFUNCTION("""COMPUTED_VALUE"""),4.0)</f>
        <v>4</v>
      </c>
      <c r="E3252" s="2">
        <f>IFERROR(__xludf.DUMMYFUNCTION("""COMPUTED_VALUE"""),91.0)</f>
        <v>91</v>
      </c>
      <c r="F3252" s="2">
        <f>IFERROR(__xludf.DUMMYFUNCTION("""COMPUTED_VALUE"""),6.0)</f>
        <v>6</v>
      </c>
      <c r="G3252" s="2">
        <f>IFERROR(__xludf.DUMMYFUNCTION("""COMPUTED_VALUE"""),6.0)</f>
        <v>6</v>
      </c>
      <c r="H3252" s="2" t="str">
        <f>IFERROR(__xludf.DUMMYFUNCTION("""COMPUTED_VALUE"""),"Renov.")</f>
        <v>Renov.</v>
      </c>
      <c r="I3252" s="2" t="str">
        <f>IFERROR(__xludf.DUMMYFUNCTION("""COMPUTED_VALUE"""),"Brick")</f>
        <v>Brick</v>
      </c>
      <c r="J3252" s="2" t="str">
        <f>IFERROR(__xludf.DUMMYFUNCTION("""COMPUTED_VALUE"""),"All amenities")</f>
        <v>All amenities</v>
      </c>
      <c r="K3252" s="2">
        <f>IFERROR(__xludf.DUMMYFUNCTION("""COMPUTED_VALUE"""),256000.0)</f>
        <v>256000</v>
      </c>
      <c r="L3252" s="2">
        <f>IFERROR(__xludf.DUMMYFUNCTION("""COMPUTED_VALUE"""),56.9497325)</f>
        <v>56.9497325</v>
      </c>
      <c r="M3252" s="2">
        <f>IFERROR(__xludf.DUMMYFUNCTION("""COMPUTED_VALUE"""),24.1219203)</f>
        <v>24.1219203</v>
      </c>
    </row>
    <row r="3253">
      <c r="A3253" s="2" t="str">
        <f>IFERROR(__xludf.DUMMYFUNCTION("""COMPUTED_VALUE"""),"For sale")</f>
        <v>For sale</v>
      </c>
      <c r="B3253" s="2" t="str">
        <f>IFERROR(__xludf.DUMMYFUNCTION("""COMPUTED_VALUE"""),"Zolitūde")</f>
        <v>Zolitūde</v>
      </c>
      <c r="C3253" s="2" t="str">
        <f>IFERROR(__xludf.DUMMYFUNCTION("""COMPUTED_VALUE"""),"Anniņmuižas 13")</f>
        <v>Anniņmuižas 13</v>
      </c>
      <c r="D3253" s="2">
        <f>IFERROR(__xludf.DUMMYFUNCTION("""COMPUTED_VALUE"""),3.0)</f>
        <v>3</v>
      </c>
      <c r="E3253" s="2">
        <f>IFERROR(__xludf.DUMMYFUNCTION("""COMPUTED_VALUE"""),149.0)</f>
        <v>149</v>
      </c>
      <c r="F3253" s="2">
        <f>IFERROR(__xludf.DUMMYFUNCTION("""COMPUTED_VALUE"""),12.0)</f>
        <v>12</v>
      </c>
      <c r="G3253" s="2">
        <f>IFERROR(__xludf.DUMMYFUNCTION("""COMPUTED_VALUE"""),12.0)</f>
        <v>12</v>
      </c>
      <c r="H3253" s="2" t="str">
        <f>IFERROR(__xludf.DUMMYFUNCTION("""COMPUTED_VALUE"""),"Jaun.")</f>
        <v>Jaun.</v>
      </c>
      <c r="I3253" s="2" t="str">
        <f>IFERROR(__xludf.DUMMYFUNCTION("""COMPUTED_VALUE"""),"Brick-Panel")</f>
        <v>Brick-Panel</v>
      </c>
      <c r="J3253" s="2" t="str">
        <f>IFERROR(__xludf.DUMMYFUNCTION("""COMPUTED_VALUE"""),"All amenities")</f>
        <v>All amenities</v>
      </c>
      <c r="K3253" s="2">
        <f>IFERROR(__xludf.DUMMYFUNCTION("""COMPUTED_VALUE"""),260000.0)</f>
        <v>260000</v>
      </c>
      <c r="L3253" s="2">
        <f>IFERROR(__xludf.DUMMYFUNCTION("""COMPUTED_VALUE"""),56.94568225)</f>
        <v>56.94568225</v>
      </c>
      <c r="M3253" s="2">
        <f>IFERROR(__xludf.DUMMYFUNCTION("""COMPUTED_VALUE"""),24.0146821801241)</f>
        <v>24.01468218</v>
      </c>
    </row>
    <row r="3254">
      <c r="A3254" s="2" t="str">
        <f>IFERROR(__xludf.DUMMYFUNCTION("""COMPUTED_VALUE"""),"For rent")</f>
        <v>For rent</v>
      </c>
      <c r="B3254" s="2" t="str">
        <f>IFERROR(__xludf.DUMMYFUNCTION("""COMPUTED_VALUE"""),"centrs")</f>
        <v>centrs</v>
      </c>
      <c r="C3254" s="2" t="str">
        <f>IFERROR(__xludf.DUMMYFUNCTION("""COMPUTED_VALUE"""),"Nītaures 3")</f>
        <v>Nītaures 3</v>
      </c>
      <c r="D3254" s="2">
        <f>IFERROR(__xludf.DUMMYFUNCTION("""COMPUTED_VALUE"""),2.0)</f>
        <v>2</v>
      </c>
      <c r="E3254" s="2">
        <f>IFERROR(__xludf.DUMMYFUNCTION("""COMPUTED_VALUE"""),94.0)</f>
        <v>94</v>
      </c>
      <c r="F3254" s="2">
        <f>IFERROR(__xludf.DUMMYFUNCTION("""COMPUTED_VALUE"""),2.0)</f>
        <v>2</v>
      </c>
      <c r="G3254" s="2">
        <f>IFERROR(__xludf.DUMMYFUNCTION("""COMPUTED_VALUE"""),6.0)</f>
        <v>6</v>
      </c>
      <c r="H3254" s="2" t="str">
        <f>IFERROR(__xludf.DUMMYFUNCTION("""COMPUTED_VALUE"""),"Jaun.")</f>
        <v>Jaun.</v>
      </c>
      <c r="I3254" s="2" t="str">
        <f>IFERROR(__xludf.DUMMYFUNCTION("""COMPUTED_VALUE"""),"Panel")</f>
        <v>Panel</v>
      </c>
      <c r="J3254" s="2" t="str">
        <f>IFERROR(__xludf.DUMMYFUNCTION("""COMPUTED_VALUE"""),"All amenities")</f>
        <v>All amenities</v>
      </c>
      <c r="K3254" s="2">
        <f>IFERROR(__xludf.DUMMYFUNCTION("""COMPUTED_VALUE"""),770.0)</f>
        <v>770</v>
      </c>
      <c r="L3254" s="2">
        <f>IFERROR(__xludf.DUMMYFUNCTION("""COMPUTED_VALUE"""),56.9636145)</f>
        <v>56.9636145</v>
      </c>
      <c r="M3254" s="2">
        <f>IFERROR(__xludf.DUMMYFUNCTION("""COMPUTED_VALUE"""),24.1235099089866)</f>
        <v>24.12350991</v>
      </c>
    </row>
    <row r="3255">
      <c r="A3255" s="2" t="str">
        <f>IFERROR(__xludf.DUMMYFUNCTION("""COMPUTED_VALUE"""),"For rent")</f>
        <v>For rent</v>
      </c>
      <c r="B3255" s="2" t="str">
        <f>IFERROR(__xludf.DUMMYFUNCTION("""COMPUTED_VALUE"""),"Zolitūde")</f>
        <v>Zolitūde</v>
      </c>
      <c r="C3255" s="2" t="str">
        <f>IFERROR(__xludf.DUMMYFUNCTION("""COMPUTED_VALUE"""),"Augšzemes 5")</f>
        <v>Augšzemes 5</v>
      </c>
      <c r="D3255" s="2">
        <f>IFERROR(__xludf.DUMMYFUNCTION("""COMPUTED_VALUE"""),2.0)</f>
        <v>2</v>
      </c>
      <c r="E3255" s="2">
        <f>IFERROR(__xludf.DUMMYFUNCTION("""COMPUTED_VALUE"""),57.0)</f>
        <v>57</v>
      </c>
      <c r="F3255" s="2">
        <f>IFERROR(__xludf.DUMMYFUNCTION("""COMPUTED_VALUE"""),2.0)</f>
        <v>2</v>
      </c>
      <c r="G3255" s="2">
        <f>IFERROR(__xludf.DUMMYFUNCTION("""COMPUTED_VALUE"""),4.0)</f>
        <v>4</v>
      </c>
      <c r="H3255" s="2" t="str">
        <f>IFERROR(__xludf.DUMMYFUNCTION("""COMPUTED_VALUE"""),"Jaun.")</f>
        <v>Jaun.</v>
      </c>
      <c r="I3255" s="2" t="str">
        <f>IFERROR(__xludf.DUMMYFUNCTION("""COMPUTED_VALUE"""),"Panel")</f>
        <v>Panel</v>
      </c>
      <c r="J3255" s="2" t="str">
        <f>IFERROR(__xludf.DUMMYFUNCTION("""COMPUTED_VALUE"""),"All amenities")</f>
        <v>All amenities</v>
      </c>
      <c r="K3255" s="2">
        <f>IFERROR(__xludf.DUMMYFUNCTION("""COMPUTED_VALUE"""),470.0)</f>
        <v>470</v>
      </c>
      <c r="L3255" s="2">
        <f>IFERROR(__xludf.DUMMYFUNCTION("""COMPUTED_VALUE"""),56.94414285)</f>
        <v>56.94414285</v>
      </c>
      <c r="M3255" s="2">
        <f>IFERROR(__xludf.DUMMYFUNCTION("""COMPUTED_VALUE"""),24.0235054261404)</f>
        <v>24.02350543</v>
      </c>
    </row>
    <row r="3256">
      <c r="A3256" s="2" t="str">
        <f>IFERROR(__xludf.DUMMYFUNCTION("""COMPUTED_VALUE"""),"For sale")</f>
        <v>For sale</v>
      </c>
      <c r="B3256" s="2" t="str">
        <f>IFERROR(__xludf.DUMMYFUNCTION("""COMPUTED_VALUE"""),"Ziepniekkalns")</f>
        <v>Ziepniekkalns</v>
      </c>
      <c r="C3256" s="2" t="str">
        <f>IFERROR(__xludf.DUMMYFUNCTION("""COMPUTED_VALUE"""),"Pīpeņu 10")</f>
        <v>Pīpeņu 10</v>
      </c>
      <c r="D3256" s="2">
        <f>IFERROR(__xludf.DUMMYFUNCTION("""COMPUTED_VALUE"""),2.0)</f>
        <v>2</v>
      </c>
      <c r="E3256" s="2">
        <f>IFERROR(__xludf.DUMMYFUNCTION("""COMPUTED_VALUE"""),57.0)</f>
        <v>57</v>
      </c>
      <c r="F3256" s="2">
        <f>IFERROR(__xludf.DUMMYFUNCTION("""COMPUTED_VALUE"""),2.0)</f>
        <v>2</v>
      </c>
      <c r="G3256" s="2">
        <f>IFERROR(__xludf.DUMMYFUNCTION("""COMPUTED_VALUE"""),5.0)</f>
        <v>5</v>
      </c>
      <c r="H3256" s="2" t="str">
        <f>IFERROR(__xludf.DUMMYFUNCTION("""COMPUTED_VALUE"""),"LT proj.")</f>
        <v>LT proj.</v>
      </c>
      <c r="I3256" s="2" t="str">
        <f>IFERROR(__xludf.DUMMYFUNCTION("""COMPUTED_VALUE"""),"Panel")</f>
        <v>Panel</v>
      </c>
      <c r="J3256" s="2" t="str">
        <f>IFERROR(__xludf.DUMMYFUNCTION("""COMPUTED_VALUE"""),"All amenities")</f>
        <v>All amenities</v>
      </c>
      <c r="K3256" s="2">
        <f>IFERROR(__xludf.DUMMYFUNCTION("""COMPUTED_VALUE"""),46000.0)</f>
        <v>46000</v>
      </c>
      <c r="L3256" s="2">
        <f>IFERROR(__xludf.DUMMYFUNCTION("""COMPUTED_VALUE"""),56.9106429499999)</f>
        <v>56.91064295</v>
      </c>
      <c r="M3256" s="2">
        <f>IFERROR(__xludf.DUMMYFUNCTION("""COMPUTED_VALUE"""),24.0995160584085)</f>
        <v>24.09951606</v>
      </c>
    </row>
    <row r="3257">
      <c r="A3257" s="2" t="str">
        <f>IFERROR(__xludf.DUMMYFUNCTION("""COMPUTED_VALUE"""),"For sale")</f>
        <v>For sale</v>
      </c>
      <c r="B3257" s="2" t="str">
        <f>IFERROR(__xludf.DUMMYFUNCTION("""COMPUTED_VALUE"""),"centrs")</f>
        <v>centrs</v>
      </c>
      <c r="C3257" s="2" t="str">
        <f>IFERROR(__xludf.DUMMYFUNCTION("""COMPUTED_VALUE"""),"Lienes 9")</f>
        <v>Lienes 9</v>
      </c>
      <c r="D3257" s="2">
        <f>IFERROR(__xludf.DUMMYFUNCTION("""COMPUTED_VALUE"""),1.0)</f>
        <v>1</v>
      </c>
      <c r="E3257" s="2">
        <f>IFERROR(__xludf.DUMMYFUNCTION("""COMPUTED_VALUE"""),35.0)</f>
        <v>35</v>
      </c>
      <c r="F3257" s="2">
        <f>IFERROR(__xludf.DUMMYFUNCTION("""COMPUTED_VALUE"""),3.0)</f>
        <v>3</v>
      </c>
      <c r="G3257" s="2">
        <f>IFERROR(__xludf.DUMMYFUNCTION("""COMPUTED_VALUE"""),5.0)</f>
        <v>5</v>
      </c>
      <c r="H3257" s="2" t="str">
        <f>IFERROR(__xludf.DUMMYFUNCTION("""COMPUTED_VALUE"""),"P. kara")</f>
        <v>P. kara</v>
      </c>
      <c r="I3257" s="2" t="str">
        <f>IFERROR(__xludf.DUMMYFUNCTION("""COMPUTED_VALUE"""),"Masonry")</f>
        <v>Masonry</v>
      </c>
      <c r="J3257" s="2" t="str">
        <f>IFERROR(__xludf.DUMMYFUNCTION("""COMPUTED_VALUE"""),"Partial amenities")</f>
        <v>Partial amenities</v>
      </c>
      <c r="K3257" s="2">
        <f>IFERROR(__xludf.DUMMYFUNCTION("""COMPUTED_VALUE"""),33000.0)</f>
        <v>33000</v>
      </c>
      <c r="L3257" s="2">
        <f>IFERROR(__xludf.DUMMYFUNCTION("""COMPUTED_VALUE"""),56.9537372)</f>
        <v>56.9537372</v>
      </c>
      <c r="M3257" s="2">
        <f>IFERROR(__xludf.DUMMYFUNCTION("""COMPUTED_VALUE"""),24.1465944)</f>
        <v>24.1465944</v>
      </c>
    </row>
    <row r="3258">
      <c r="A3258" s="2" t="str">
        <f>IFERROR(__xludf.DUMMYFUNCTION("""COMPUTED_VALUE"""),"For rent")</f>
        <v>For rent</v>
      </c>
      <c r="B3258" s="2" t="str">
        <f>IFERROR(__xludf.DUMMYFUNCTION("""COMPUTED_VALUE"""),"Ziepniekkalns")</f>
        <v>Ziepniekkalns</v>
      </c>
      <c r="C3258" s="2" t="str">
        <f>IFERROR(__xludf.DUMMYFUNCTION("""COMPUTED_VALUE"""),"Ozolciema 46")</f>
        <v>Ozolciema 46</v>
      </c>
      <c r="D3258" s="2">
        <f>IFERROR(__xludf.DUMMYFUNCTION("""COMPUTED_VALUE"""),1.0)</f>
        <v>1</v>
      </c>
      <c r="E3258" s="2">
        <f>IFERROR(__xludf.DUMMYFUNCTION("""COMPUTED_VALUE"""),15.0)</f>
        <v>15</v>
      </c>
      <c r="F3258" s="2">
        <f>IFERROR(__xludf.DUMMYFUNCTION("""COMPUTED_VALUE"""),9.0)</f>
        <v>9</v>
      </c>
      <c r="G3258" s="2">
        <f>IFERROR(__xludf.DUMMYFUNCTION("""COMPUTED_VALUE"""),9.0)</f>
        <v>9</v>
      </c>
      <c r="H3258" s="2">
        <f>IFERROR(__xludf.DUMMYFUNCTION("""COMPUTED_VALUE"""),602.0)</f>
        <v>602</v>
      </c>
      <c r="I3258" s="2" t="str">
        <f>IFERROR(__xludf.DUMMYFUNCTION("""COMPUTED_VALUE"""),"Panel")</f>
        <v>Panel</v>
      </c>
      <c r="J3258" s="2" t="str">
        <f>IFERROR(__xludf.DUMMYFUNCTION("""COMPUTED_VALUE"""),"All amenities")</f>
        <v>All amenities</v>
      </c>
      <c r="K3258" s="2">
        <f>IFERROR(__xludf.DUMMYFUNCTION("""COMPUTED_VALUE"""),120.0)</f>
        <v>120</v>
      </c>
      <c r="L3258" s="2">
        <f>IFERROR(__xludf.DUMMYFUNCTION("""COMPUTED_VALUE"""),56.90143645)</f>
        <v>56.90143645</v>
      </c>
      <c r="M3258" s="2">
        <f>IFERROR(__xludf.DUMMYFUNCTION("""COMPUTED_VALUE"""),24.0987142026788)</f>
        <v>24.0987142</v>
      </c>
    </row>
    <row r="3259">
      <c r="A3259" s="2" t="str">
        <f>IFERROR(__xludf.DUMMYFUNCTION("""COMPUTED_VALUE"""),"For sale")</f>
        <v>For sale</v>
      </c>
      <c r="B3259" s="2" t="str">
        <f>IFERROR(__xludf.DUMMYFUNCTION("""COMPUTED_VALUE"""),"Dzegužkalns")</f>
        <v>Dzegužkalns</v>
      </c>
      <c r="C3259" s="2" t="str">
        <f>IFERROR(__xludf.DUMMYFUNCTION("""COMPUTED_VALUE"""),"Slokas 86")</f>
        <v>Slokas 86</v>
      </c>
      <c r="D3259" s="2">
        <f>IFERROR(__xludf.DUMMYFUNCTION("""COMPUTED_VALUE"""),3.0)</f>
        <v>3</v>
      </c>
      <c r="E3259" s="2">
        <f>IFERROR(__xludf.DUMMYFUNCTION("""COMPUTED_VALUE"""),68.1)</f>
        <v>68.1</v>
      </c>
      <c r="F3259" s="2">
        <f>IFERROR(__xludf.DUMMYFUNCTION("""COMPUTED_VALUE"""),2.0)</f>
        <v>2</v>
      </c>
      <c r="G3259" s="2">
        <f>IFERROR(__xludf.DUMMYFUNCTION("""COMPUTED_VALUE"""),3.0)</f>
        <v>3</v>
      </c>
      <c r="H3259" s="2" t="str">
        <f>IFERROR(__xludf.DUMMYFUNCTION("""COMPUTED_VALUE"""),"Jaun.")</f>
        <v>Jaun.</v>
      </c>
      <c r="I3259" s="2" t="str">
        <f>IFERROR(__xludf.DUMMYFUNCTION("""COMPUTED_VALUE"""),"Panel")</f>
        <v>Panel</v>
      </c>
      <c r="J3259" s="2" t="str">
        <f>IFERROR(__xludf.DUMMYFUNCTION("""COMPUTED_VALUE"""),"All amenities")</f>
        <v>All amenities</v>
      </c>
      <c r="K3259" s="2">
        <f>IFERROR(__xludf.DUMMYFUNCTION("""COMPUTED_VALUE"""),125600.0)</f>
        <v>125600</v>
      </c>
      <c r="L3259" s="2">
        <f>IFERROR(__xludf.DUMMYFUNCTION("""COMPUTED_VALUE"""),56.9604511999999)</f>
        <v>56.9604512</v>
      </c>
      <c r="M3259" s="2">
        <f>IFERROR(__xludf.DUMMYFUNCTION("""COMPUTED_VALUE"""),24.0559048556465)</f>
        <v>24.05590486</v>
      </c>
    </row>
    <row r="3260">
      <c r="A3260" s="2" t="str">
        <f>IFERROR(__xludf.DUMMYFUNCTION("""COMPUTED_VALUE"""),"For sale")</f>
        <v>For sale</v>
      </c>
      <c r="B3260" s="2" t="str">
        <f>IFERROR(__xludf.DUMMYFUNCTION("""COMPUTED_VALUE"""),"centrs")</f>
        <v>centrs</v>
      </c>
      <c r="C3260" s="2" t="str">
        <f>IFERROR(__xludf.DUMMYFUNCTION("""COMPUTED_VALUE"""),"Bruņinieku 12")</f>
        <v>Bruņinieku 12</v>
      </c>
      <c r="D3260" s="2">
        <f>IFERROR(__xludf.DUMMYFUNCTION("""COMPUTED_VALUE"""),4.0)</f>
        <v>4</v>
      </c>
      <c r="E3260" s="2">
        <f>IFERROR(__xludf.DUMMYFUNCTION("""COMPUTED_VALUE"""),112.0)</f>
        <v>112</v>
      </c>
      <c r="F3260" s="2">
        <f>IFERROR(__xludf.DUMMYFUNCTION("""COMPUTED_VALUE"""),2.0)</f>
        <v>2</v>
      </c>
      <c r="G3260" s="2">
        <f>IFERROR(__xludf.DUMMYFUNCTION("""COMPUTED_VALUE"""),5.0)</f>
        <v>5</v>
      </c>
      <c r="H3260" s="2" t="str">
        <f>IFERROR(__xludf.DUMMYFUNCTION("""COMPUTED_VALUE"""),"P. kara")</f>
        <v>P. kara</v>
      </c>
      <c r="I3260" s="2" t="str">
        <f>IFERROR(__xludf.DUMMYFUNCTION("""COMPUTED_VALUE"""),"Masonry")</f>
        <v>Masonry</v>
      </c>
      <c r="J3260" s="2" t="str">
        <f>IFERROR(__xludf.DUMMYFUNCTION("""COMPUTED_VALUE"""),"All amenities")</f>
        <v>All amenities</v>
      </c>
      <c r="K3260" s="2">
        <f>IFERROR(__xludf.DUMMYFUNCTION("""COMPUTED_VALUE"""),124450.0)</f>
        <v>124450</v>
      </c>
      <c r="L3260" s="2">
        <f>IFERROR(__xludf.DUMMYFUNCTION("""COMPUTED_VALUE"""),56.9583184)</f>
        <v>56.9583184</v>
      </c>
      <c r="M3260" s="2">
        <f>IFERROR(__xludf.DUMMYFUNCTION("""COMPUTED_VALUE"""),24.1272766)</f>
        <v>24.1272766</v>
      </c>
    </row>
    <row r="3261">
      <c r="A3261" s="2" t="str">
        <f>IFERROR(__xludf.DUMMYFUNCTION("""COMPUTED_VALUE"""),"For rent")</f>
        <v>For rent</v>
      </c>
      <c r="B3261" s="2" t="str">
        <f>IFERROR(__xludf.DUMMYFUNCTION("""COMPUTED_VALUE"""),"Zolitūde")</f>
        <v>Zolitūde</v>
      </c>
      <c r="C3261" s="2" t="str">
        <f>IFERROR(__xludf.DUMMYFUNCTION("""COMPUTED_VALUE"""),"Anniņmuižas 7")</f>
        <v>Anniņmuižas 7</v>
      </c>
      <c r="D3261" s="2">
        <f>IFERROR(__xludf.DUMMYFUNCTION("""COMPUTED_VALUE"""),2.0)</f>
        <v>2</v>
      </c>
      <c r="E3261" s="2">
        <f>IFERROR(__xludf.DUMMYFUNCTION("""COMPUTED_VALUE"""),64.0)</f>
        <v>64</v>
      </c>
      <c r="F3261" s="2">
        <f>IFERROR(__xludf.DUMMYFUNCTION("""COMPUTED_VALUE"""),12.0)</f>
        <v>12</v>
      </c>
      <c r="G3261" s="2">
        <f>IFERROR(__xludf.DUMMYFUNCTION("""COMPUTED_VALUE"""),13.0)</f>
        <v>13</v>
      </c>
      <c r="H3261" s="2" t="str">
        <f>IFERROR(__xludf.DUMMYFUNCTION("""COMPUTED_VALUE"""),"Jaun.")</f>
        <v>Jaun.</v>
      </c>
      <c r="I3261" s="2" t="str">
        <f>IFERROR(__xludf.DUMMYFUNCTION("""COMPUTED_VALUE"""),"Panel")</f>
        <v>Panel</v>
      </c>
      <c r="J3261" s="2" t="str">
        <f>IFERROR(__xludf.DUMMYFUNCTION("""COMPUTED_VALUE"""),"All amenities")</f>
        <v>All amenities</v>
      </c>
      <c r="K3261" s="2">
        <f>IFERROR(__xludf.DUMMYFUNCTION("""COMPUTED_VALUE"""),500.0)</f>
        <v>500</v>
      </c>
      <c r="L3261" s="2">
        <f>IFERROR(__xludf.DUMMYFUNCTION("""COMPUTED_VALUE"""),56.94666195)</f>
        <v>56.94666195</v>
      </c>
      <c r="M3261" s="2">
        <f>IFERROR(__xludf.DUMMYFUNCTION("""COMPUTED_VALUE"""),24.0130196500717)</f>
        <v>24.01301965</v>
      </c>
    </row>
    <row r="3262">
      <c r="A3262" s="2" t="str">
        <f>IFERROR(__xludf.DUMMYFUNCTION("""COMPUTED_VALUE"""),"For sale")</f>
        <v>For sale</v>
      </c>
      <c r="B3262" s="2" t="str">
        <f>IFERROR(__xludf.DUMMYFUNCTION("""COMPUTED_VALUE"""),"Pļavnieki")</f>
        <v>Pļavnieki</v>
      </c>
      <c r="C3262" s="2" t="str">
        <f>IFERROR(__xludf.DUMMYFUNCTION("""COMPUTED_VALUE"""),"Salnas 11")</f>
        <v>Salnas 11</v>
      </c>
      <c r="D3262" s="2">
        <f>IFERROR(__xludf.DUMMYFUNCTION("""COMPUTED_VALUE"""),3.0)</f>
        <v>3</v>
      </c>
      <c r="E3262" s="2">
        <f>IFERROR(__xludf.DUMMYFUNCTION("""COMPUTED_VALUE"""),64.0)</f>
        <v>64</v>
      </c>
      <c r="F3262" s="2">
        <f>IFERROR(__xludf.DUMMYFUNCTION("""COMPUTED_VALUE"""),3.0)</f>
        <v>3</v>
      </c>
      <c r="G3262" s="2">
        <f>IFERROR(__xludf.DUMMYFUNCTION("""COMPUTED_VALUE"""),9.0)</f>
        <v>9</v>
      </c>
      <c r="H3262" s="2">
        <f>IFERROR(__xludf.DUMMYFUNCTION("""COMPUTED_VALUE"""),602.0)</f>
        <v>602</v>
      </c>
      <c r="I3262" s="2" t="str">
        <f>IFERROR(__xludf.DUMMYFUNCTION("""COMPUTED_VALUE"""),"Panel")</f>
        <v>Panel</v>
      </c>
      <c r="J3262" s="2" t="str">
        <f>IFERROR(__xludf.DUMMYFUNCTION("""COMPUTED_VALUE"""),"All amenities")</f>
        <v>All amenities</v>
      </c>
      <c r="K3262" s="2">
        <f>IFERROR(__xludf.DUMMYFUNCTION("""COMPUTED_VALUE"""),65000.0)</f>
        <v>65000</v>
      </c>
      <c r="L3262" s="2">
        <f>IFERROR(__xludf.DUMMYFUNCTION("""COMPUTED_VALUE"""),56.9427474)</f>
        <v>56.9427474</v>
      </c>
      <c r="M3262" s="2">
        <f>IFERROR(__xludf.DUMMYFUNCTION("""COMPUTED_VALUE"""),24.2246202)</f>
        <v>24.2246202</v>
      </c>
    </row>
    <row r="3263">
      <c r="A3263" s="2" t="str">
        <f>IFERROR(__xludf.DUMMYFUNCTION("""COMPUTED_VALUE"""),"For rent")</f>
        <v>For rent</v>
      </c>
      <c r="B3263" s="2" t="str">
        <f>IFERROR(__xludf.DUMMYFUNCTION("""COMPUTED_VALUE"""),"centrs")</f>
        <v>centrs</v>
      </c>
      <c r="C3263" s="2" t="str">
        <f>IFERROR(__xludf.DUMMYFUNCTION("""COMPUTED_VALUE"""),"Ģertrūdes 108")</f>
        <v>Ģertrūdes 108</v>
      </c>
      <c r="D3263" s="2">
        <f>IFERROR(__xludf.DUMMYFUNCTION("""COMPUTED_VALUE"""),2.0)</f>
        <v>2</v>
      </c>
      <c r="E3263" s="2">
        <f>IFERROR(__xludf.DUMMYFUNCTION("""COMPUTED_VALUE"""),40.0)</f>
        <v>40</v>
      </c>
      <c r="F3263" s="2">
        <f>IFERROR(__xludf.DUMMYFUNCTION("""COMPUTED_VALUE"""),3.0)</f>
        <v>3</v>
      </c>
      <c r="G3263" s="2">
        <f>IFERROR(__xludf.DUMMYFUNCTION("""COMPUTED_VALUE"""),3.0)</f>
        <v>3</v>
      </c>
      <c r="H3263" s="2" t="str">
        <f>IFERROR(__xludf.DUMMYFUNCTION("""COMPUTED_VALUE"""),"P. kara")</f>
        <v>P. kara</v>
      </c>
      <c r="I3263" s="2" t="str">
        <f>IFERROR(__xludf.DUMMYFUNCTION("""COMPUTED_VALUE"""),"Masonry")</f>
        <v>Masonry</v>
      </c>
      <c r="J3263" s="2" t="str">
        <f>IFERROR(__xludf.DUMMYFUNCTION("""COMPUTED_VALUE"""),"All amenities")</f>
        <v>All amenities</v>
      </c>
      <c r="K3263" s="2">
        <f>IFERROR(__xludf.DUMMYFUNCTION("""COMPUTED_VALUE"""),25.0)</f>
        <v>25</v>
      </c>
      <c r="L3263" s="2">
        <f>IFERROR(__xludf.DUMMYFUNCTION("""COMPUTED_VALUE"""),56.9474336)</f>
        <v>56.9474336</v>
      </c>
      <c r="M3263" s="2">
        <f>IFERROR(__xludf.DUMMYFUNCTION("""COMPUTED_VALUE"""),24.1403064597671)</f>
        <v>24.14030646</v>
      </c>
    </row>
    <row r="3264">
      <c r="A3264" s="2" t="str">
        <f>IFERROR(__xludf.DUMMYFUNCTION("""COMPUTED_VALUE"""),"For sale")</f>
        <v>For sale</v>
      </c>
      <c r="B3264" s="2" t="str">
        <f>IFERROR(__xludf.DUMMYFUNCTION("""COMPUTED_VALUE"""),"Čiekurkalns")</f>
        <v>Čiekurkalns</v>
      </c>
      <c r="C3264" s="2" t="str">
        <f>IFERROR(__xludf.DUMMYFUNCTION("""COMPUTED_VALUE"""),"Rusova 9")</f>
        <v>Rusova 9</v>
      </c>
      <c r="D3264" s="2">
        <f>IFERROR(__xludf.DUMMYFUNCTION("""COMPUTED_VALUE"""),3.0)</f>
        <v>3</v>
      </c>
      <c r="E3264" s="2">
        <f>IFERROR(__xludf.DUMMYFUNCTION("""COMPUTED_VALUE"""),88.0)</f>
        <v>88</v>
      </c>
      <c r="F3264" s="2">
        <f>IFERROR(__xludf.DUMMYFUNCTION("""COMPUTED_VALUE"""),7.0)</f>
        <v>7</v>
      </c>
      <c r="G3264" s="2">
        <f>IFERROR(__xludf.DUMMYFUNCTION("""COMPUTED_VALUE"""),7.0)</f>
        <v>7</v>
      </c>
      <c r="H3264" s="2" t="str">
        <f>IFERROR(__xludf.DUMMYFUNCTION("""COMPUTED_VALUE"""),"Jaun.")</f>
        <v>Jaun.</v>
      </c>
      <c r="I3264" s="2" t="str">
        <f>IFERROR(__xludf.DUMMYFUNCTION("""COMPUTED_VALUE"""),"Panel-Brick")</f>
        <v>Panel-Brick</v>
      </c>
      <c r="J3264" s="2" t="str">
        <f>IFERROR(__xludf.DUMMYFUNCTION("""COMPUTED_VALUE"""),"All amenities")</f>
        <v>All amenities</v>
      </c>
      <c r="K3264" s="2">
        <f>IFERROR(__xludf.DUMMYFUNCTION("""COMPUTED_VALUE"""),135000.0)</f>
        <v>135000</v>
      </c>
      <c r="L3264" s="2">
        <f>IFERROR(__xludf.DUMMYFUNCTION("""COMPUTED_VALUE"""),56.98909155)</f>
        <v>56.98909155</v>
      </c>
      <c r="M3264" s="2">
        <f>IFERROR(__xludf.DUMMYFUNCTION("""COMPUTED_VALUE"""),24.1703344302515)</f>
        <v>24.17033443</v>
      </c>
    </row>
    <row r="3265">
      <c r="A3265" s="2" t="str">
        <f>IFERROR(__xludf.DUMMYFUNCTION("""COMPUTED_VALUE"""),"For sale")</f>
        <v>For sale</v>
      </c>
      <c r="B3265" s="2" t="str">
        <f>IFERROR(__xludf.DUMMYFUNCTION("""COMPUTED_VALUE"""),"Āgenskalns")</f>
        <v>Āgenskalns</v>
      </c>
      <c r="C3265" s="2" t="str">
        <f>IFERROR(__xludf.DUMMYFUNCTION("""COMPUTED_VALUE"""),"Ormaņu 27")</f>
        <v>Ormaņu 27</v>
      </c>
      <c r="D3265" s="2">
        <f>IFERROR(__xludf.DUMMYFUNCTION("""COMPUTED_VALUE"""),2.0)</f>
        <v>2</v>
      </c>
      <c r="E3265" s="2">
        <f>IFERROR(__xludf.DUMMYFUNCTION("""COMPUTED_VALUE"""),42.0)</f>
        <v>42</v>
      </c>
      <c r="F3265" s="2">
        <f>IFERROR(__xludf.DUMMYFUNCTION("""COMPUTED_VALUE"""),2.0)</f>
        <v>2</v>
      </c>
      <c r="G3265" s="2">
        <f>IFERROR(__xludf.DUMMYFUNCTION("""COMPUTED_VALUE"""),2.0)</f>
        <v>2</v>
      </c>
      <c r="H3265" s="2" t="str">
        <f>IFERROR(__xludf.DUMMYFUNCTION("""COMPUTED_VALUE"""),"P. kara")</f>
        <v>P. kara</v>
      </c>
      <c r="I3265" s="2" t="str">
        <f>IFERROR(__xludf.DUMMYFUNCTION("""COMPUTED_VALUE"""),"Wood")</f>
        <v>Wood</v>
      </c>
      <c r="J3265" s="2" t="str">
        <f>IFERROR(__xludf.DUMMYFUNCTION("""COMPUTED_VALUE"""),"All amenities")</f>
        <v>All amenities</v>
      </c>
      <c r="K3265" s="2">
        <f>IFERROR(__xludf.DUMMYFUNCTION("""COMPUTED_VALUE"""),39000.0)</f>
        <v>39000</v>
      </c>
      <c r="L3265" s="2">
        <f>IFERROR(__xludf.DUMMYFUNCTION("""COMPUTED_VALUE"""),56.9393754)</f>
        <v>56.9393754</v>
      </c>
      <c r="M3265" s="2">
        <f>IFERROR(__xludf.DUMMYFUNCTION("""COMPUTED_VALUE"""),24.0705981)</f>
        <v>24.0705981</v>
      </c>
    </row>
    <row r="3266">
      <c r="A3266" s="2" t="str">
        <f>IFERROR(__xludf.DUMMYFUNCTION("""COMPUTED_VALUE"""),"For sale")</f>
        <v>For sale</v>
      </c>
      <c r="B3266" s="2" t="str">
        <f>IFERROR(__xludf.DUMMYFUNCTION("""COMPUTED_VALUE"""),"centrs")</f>
        <v>centrs</v>
      </c>
      <c r="C3266" s="2" t="str">
        <f>IFERROR(__xludf.DUMMYFUNCTION("""COMPUTED_VALUE"""),"Barona 55")</f>
        <v>Barona 55</v>
      </c>
      <c r="D3266" s="2">
        <f>IFERROR(__xludf.DUMMYFUNCTION("""COMPUTED_VALUE"""),5.0)</f>
        <v>5</v>
      </c>
      <c r="E3266" s="2">
        <f>IFERROR(__xludf.DUMMYFUNCTION("""COMPUTED_VALUE"""),192.0)</f>
        <v>192</v>
      </c>
      <c r="F3266" s="2">
        <f>IFERROR(__xludf.DUMMYFUNCTION("""COMPUTED_VALUE"""),2.0)</f>
        <v>2</v>
      </c>
      <c r="G3266" s="2">
        <f>IFERROR(__xludf.DUMMYFUNCTION("""COMPUTED_VALUE"""),6.0)</f>
        <v>6</v>
      </c>
      <c r="H3266" s="2" t="str">
        <f>IFERROR(__xludf.DUMMYFUNCTION("""COMPUTED_VALUE"""),"Specpr.")</f>
        <v>Specpr.</v>
      </c>
      <c r="I3266" s="2" t="str">
        <f>IFERROR(__xludf.DUMMYFUNCTION("""COMPUTED_VALUE"""),"Brick-Panel")</f>
        <v>Brick-Panel</v>
      </c>
      <c r="J3266" s="2" t="str">
        <f>IFERROR(__xludf.DUMMYFUNCTION("""COMPUTED_VALUE"""),"All amenities")</f>
        <v>All amenities</v>
      </c>
      <c r="K3266" s="2">
        <f>IFERROR(__xludf.DUMMYFUNCTION("""COMPUTED_VALUE"""),260000.0)</f>
        <v>260000</v>
      </c>
      <c r="L3266" s="2">
        <f>IFERROR(__xludf.DUMMYFUNCTION("""COMPUTED_VALUE"""),56.9565335)</f>
        <v>56.9565335</v>
      </c>
      <c r="M3266" s="2">
        <f>IFERROR(__xludf.DUMMYFUNCTION("""COMPUTED_VALUE"""),24.1316134)</f>
        <v>24.1316134</v>
      </c>
    </row>
    <row r="3267">
      <c r="A3267" s="2" t="str">
        <f>IFERROR(__xludf.DUMMYFUNCTION("""COMPUTED_VALUE"""),"For rent")</f>
        <v>For rent</v>
      </c>
      <c r="B3267" s="2" t="str">
        <f>IFERROR(__xludf.DUMMYFUNCTION("""COMPUTED_VALUE"""),"Maskavas priekšpilsēta")</f>
        <v>Maskavas priekšpilsēta</v>
      </c>
      <c r="C3267" s="2" t="str">
        <f>IFERROR(__xludf.DUMMYFUNCTION("""COMPUTED_VALUE"""),"Maskavas 146")</f>
        <v>Maskavas 146</v>
      </c>
      <c r="D3267" s="2">
        <f>IFERROR(__xludf.DUMMYFUNCTION("""COMPUTED_VALUE"""),1.0)</f>
        <v>1</v>
      </c>
      <c r="E3267" s="2">
        <f>IFERROR(__xludf.DUMMYFUNCTION("""COMPUTED_VALUE"""),15.0)</f>
        <v>15</v>
      </c>
      <c r="F3267" s="2">
        <f>IFERROR(__xludf.DUMMYFUNCTION("""COMPUTED_VALUE"""),1.0)</f>
        <v>1</v>
      </c>
      <c r="G3267" s="2">
        <f>IFERROR(__xludf.DUMMYFUNCTION("""COMPUTED_VALUE"""),1.0)</f>
        <v>1</v>
      </c>
      <c r="H3267" s="2" t="str">
        <f>IFERROR(__xludf.DUMMYFUNCTION("""COMPUTED_VALUE"""),"Renov.")</f>
        <v>Renov.</v>
      </c>
      <c r="I3267" s="2" t="str">
        <f>IFERROR(__xludf.DUMMYFUNCTION("""COMPUTED_VALUE"""),"Panel-Brick")</f>
        <v>Panel-Brick</v>
      </c>
      <c r="J3267" s="2" t="str">
        <f>IFERROR(__xludf.DUMMYFUNCTION("""COMPUTED_VALUE"""),"All amenities")</f>
        <v>All amenities</v>
      </c>
      <c r="K3267" s="2">
        <f>IFERROR(__xludf.DUMMYFUNCTION("""COMPUTED_VALUE"""),190.0)</f>
        <v>190</v>
      </c>
      <c r="L3267" s="2">
        <f>IFERROR(__xludf.DUMMYFUNCTION("""COMPUTED_VALUE"""),56.8597884)</f>
        <v>56.8597884</v>
      </c>
      <c r="M3267" s="2">
        <f>IFERROR(__xludf.DUMMYFUNCTION("""COMPUTED_VALUE"""),24.3083417)</f>
        <v>24.3083417</v>
      </c>
    </row>
    <row r="3268">
      <c r="A3268" s="2" t="str">
        <f>IFERROR(__xludf.DUMMYFUNCTION("""COMPUTED_VALUE"""),"For sale")</f>
        <v>For sale</v>
      </c>
      <c r="B3268" s="2" t="str">
        <f>IFERROR(__xludf.DUMMYFUNCTION("""COMPUTED_VALUE"""),"Imanta")</f>
        <v>Imanta</v>
      </c>
      <c r="C3268" s="2" t="str">
        <f>IFERROR(__xludf.DUMMYFUNCTION("""COMPUTED_VALUE"""),"Rigondas g. 3")</f>
        <v>Rigondas g. 3</v>
      </c>
      <c r="D3268" s="2">
        <f>IFERROR(__xludf.DUMMYFUNCTION("""COMPUTED_VALUE"""),3.0)</f>
        <v>3</v>
      </c>
      <c r="E3268" s="2">
        <f>IFERROR(__xludf.DUMMYFUNCTION("""COMPUTED_VALUE"""),73.0)</f>
        <v>73</v>
      </c>
      <c r="F3268" s="2">
        <f>IFERROR(__xludf.DUMMYFUNCTION("""COMPUTED_VALUE"""),3.0)</f>
        <v>3</v>
      </c>
      <c r="G3268" s="2">
        <f>IFERROR(__xludf.DUMMYFUNCTION("""COMPUTED_VALUE"""),12.0)</f>
        <v>12</v>
      </c>
      <c r="H3268" s="2" t="str">
        <f>IFERROR(__xludf.DUMMYFUNCTION("""COMPUTED_VALUE"""),"Čehu pr.")</f>
        <v>Čehu pr.</v>
      </c>
      <c r="I3268" s="2" t="str">
        <f>IFERROR(__xludf.DUMMYFUNCTION("""COMPUTED_VALUE"""),"Brick-Panel")</f>
        <v>Brick-Panel</v>
      </c>
      <c r="J3268" s="2" t="str">
        <f>IFERROR(__xludf.DUMMYFUNCTION("""COMPUTED_VALUE"""),"All amenities")</f>
        <v>All amenities</v>
      </c>
      <c r="K3268" s="2">
        <f>IFERROR(__xludf.DUMMYFUNCTION("""COMPUTED_VALUE"""),87600.0)</f>
        <v>87600</v>
      </c>
      <c r="L3268" s="2">
        <f>IFERROR(__xludf.DUMMYFUNCTION("""COMPUTED_VALUE"""),56.9648157)</f>
        <v>56.9648157</v>
      </c>
      <c r="M3268" s="2">
        <f>IFERROR(__xludf.DUMMYFUNCTION("""COMPUTED_VALUE"""),24.0190534)</f>
        <v>24.0190534</v>
      </c>
    </row>
    <row r="3269">
      <c r="A3269" s="2" t="str">
        <f>IFERROR(__xludf.DUMMYFUNCTION("""COMPUTED_VALUE"""),"For sale")</f>
        <v>For sale</v>
      </c>
      <c r="B3269" s="2" t="str">
        <f>IFERROR(__xludf.DUMMYFUNCTION("""COMPUTED_VALUE"""),"Āgenskalns")</f>
        <v>Āgenskalns</v>
      </c>
      <c r="C3269" s="2" t="str">
        <f>IFERROR(__xludf.DUMMYFUNCTION("""COMPUTED_VALUE"""),"Kuldīgas 45a")</f>
        <v>Kuldīgas 45a</v>
      </c>
      <c r="D3269" s="2">
        <f>IFERROR(__xludf.DUMMYFUNCTION("""COMPUTED_VALUE"""),2.0)</f>
        <v>2</v>
      </c>
      <c r="E3269" s="2">
        <f>IFERROR(__xludf.DUMMYFUNCTION("""COMPUTED_VALUE"""),57.0)</f>
        <v>57</v>
      </c>
      <c r="F3269" s="2">
        <f>IFERROR(__xludf.DUMMYFUNCTION("""COMPUTED_VALUE"""),3.0)</f>
        <v>3</v>
      </c>
      <c r="G3269" s="2">
        <f>IFERROR(__xludf.DUMMYFUNCTION("""COMPUTED_VALUE"""),3.0)</f>
        <v>3</v>
      </c>
      <c r="H3269" s="2" t="str">
        <f>IFERROR(__xludf.DUMMYFUNCTION("""COMPUTED_VALUE"""),"P. kara")</f>
        <v>P. kara</v>
      </c>
      <c r="I3269" s="2" t="str">
        <f>IFERROR(__xludf.DUMMYFUNCTION("""COMPUTED_VALUE"""),"Wood")</f>
        <v>Wood</v>
      </c>
      <c r="J3269" s="2" t="str">
        <f>IFERROR(__xludf.DUMMYFUNCTION("""COMPUTED_VALUE"""),"Without amenities")</f>
        <v>Without amenities</v>
      </c>
      <c r="K3269" s="2">
        <f>IFERROR(__xludf.DUMMYFUNCTION("""COMPUTED_VALUE"""),22000.0)</f>
        <v>22000</v>
      </c>
      <c r="L3269" s="2">
        <f>IFERROR(__xludf.DUMMYFUNCTION("""COMPUTED_VALUE"""),56.9511923)</f>
        <v>56.9511923</v>
      </c>
      <c r="M3269" s="2">
        <f>IFERROR(__xludf.DUMMYFUNCTION("""COMPUTED_VALUE"""),24.0659141)</f>
        <v>24.0659141</v>
      </c>
    </row>
    <row r="3270">
      <c r="A3270" s="2" t="str">
        <f>IFERROR(__xludf.DUMMYFUNCTION("""COMPUTED_VALUE"""),"For sale")</f>
        <v>For sale</v>
      </c>
      <c r="B3270" s="2" t="str">
        <f>IFERROR(__xludf.DUMMYFUNCTION("""COMPUTED_VALUE"""),"Jugla")</f>
        <v>Jugla</v>
      </c>
      <c r="C3270" s="2" t="str">
        <f>IFERROR(__xludf.DUMMYFUNCTION("""COMPUTED_VALUE"""),"Murjāņu 20")</f>
        <v>Murjāņu 20</v>
      </c>
      <c r="D3270" s="2">
        <f>IFERROR(__xludf.DUMMYFUNCTION("""COMPUTED_VALUE"""),4.0)</f>
        <v>4</v>
      </c>
      <c r="E3270" s="2">
        <f>IFERROR(__xludf.DUMMYFUNCTION("""COMPUTED_VALUE"""),144.0)</f>
        <v>144</v>
      </c>
      <c r="F3270" s="2">
        <f>IFERROR(__xludf.DUMMYFUNCTION("""COMPUTED_VALUE"""),2.0)</f>
        <v>2</v>
      </c>
      <c r="G3270" s="2">
        <f>IFERROR(__xludf.DUMMYFUNCTION("""COMPUTED_VALUE"""),3.0)</f>
        <v>3</v>
      </c>
      <c r="H3270" s="2" t="str">
        <f>IFERROR(__xludf.DUMMYFUNCTION("""COMPUTED_VALUE"""),"Jaun.")</f>
        <v>Jaun.</v>
      </c>
      <c r="I3270" s="2" t="str">
        <f>IFERROR(__xludf.DUMMYFUNCTION("""COMPUTED_VALUE"""),"Brick")</f>
        <v>Brick</v>
      </c>
      <c r="J3270" s="2" t="str">
        <f>IFERROR(__xludf.DUMMYFUNCTION("""COMPUTED_VALUE"""),"All amenities")</f>
        <v>All amenities</v>
      </c>
      <c r="K3270" s="2">
        <f>IFERROR(__xludf.DUMMYFUNCTION("""COMPUTED_VALUE"""),195000.0)</f>
        <v>195000</v>
      </c>
      <c r="L3270" s="2">
        <f>IFERROR(__xludf.DUMMYFUNCTION("""COMPUTED_VALUE"""),56.9833122)</f>
        <v>56.9833122</v>
      </c>
      <c r="M3270" s="2">
        <f>IFERROR(__xludf.DUMMYFUNCTION("""COMPUTED_VALUE"""),24.238484538349)</f>
        <v>24.23848454</v>
      </c>
    </row>
    <row r="3271">
      <c r="A3271" s="2" t="str">
        <f>IFERROR(__xludf.DUMMYFUNCTION("""COMPUTED_VALUE"""),"For sale")</f>
        <v>For sale</v>
      </c>
      <c r="B3271" s="2" t="str">
        <f>IFERROR(__xludf.DUMMYFUNCTION("""COMPUTED_VALUE"""),"Āgenskalns")</f>
        <v>Āgenskalns</v>
      </c>
      <c r="C3271" s="2" t="str">
        <f>IFERROR(__xludf.DUMMYFUNCTION("""COMPUTED_VALUE"""),"Kuldīgas 32")</f>
        <v>Kuldīgas 32</v>
      </c>
      <c r="D3271" s="2">
        <f>IFERROR(__xludf.DUMMYFUNCTION("""COMPUTED_VALUE"""),2.0)</f>
        <v>2</v>
      </c>
      <c r="E3271" s="2">
        <f>IFERROR(__xludf.DUMMYFUNCTION("""COMPUTED_VALUE"""),49.0)</f>
        <v>49</v>
      </c>
      <c r="F3271" s="2">
        <f>IFERROR(__xludf.DUMMYFUNCTION("""COMPUTED_VALUE"""),3.0)</f>
        <v>3</v>
      </c>
      <c r="G3271" s="2">
        <f>IFERROR(__xludf.DUMMYFUNCTION("""COMPUTED_VALUE"""),5.0)</f>
        <v>5</v>
      </c>
      <c r="H3271" s="2" t="str">
        <f>IFERROR(__xludf.DUMMYFUNCTION("""COMPUTED_VALUE"""),"P. kara")</f>
        <v>P. kara</v>
      </c>
      <c r="I3271" s="2" t="str">
        <f>IFERROR(__xludf.DUMMYFUNCTION("""COMPUTED_VALUE"""),"Masonry")</f>
        <v>Masonry</v>
      </c>
      <c r="J3271" s="2" t="str">
        <f>IFERROR(__xludf.DUMMYFUNCTION("""COMPUTED_VALUE"""),"All amenities")</f>
        <v>All amenities</v>
      </c>
      <c r="K3271" s="2">
        <f>IFERROR(__xludf.DUMMYFUNCTION("""COMPUTED_VALUE"""),65000.0)</f>
        <v>65000</v>
      </c>
      <c r="L3271" s="2">
        <f>IFERROR(__xludf.DUMMYFUNCTION("""COMPUTED_VALUE"""),56.9474705)</f>
        <v>56.9474705</v>
      </c>
      <c r="M3271" s="2">
        <f>IFERROR(__xludf.DUMMYFUNCTION("""COMPUTED_VALUE"""),24.0604076)</f>
        <v>24.0604076</v>
      </c>
    </row>
    <row r="3272">
      <c r="A3272" s="2" t="str">
        <f>IFERROR(__xludf.DUMMYFUNCTION("""COMPUTED_VALUE"""),"For rent")</f>
        <v>For rent</v>
      </c>
      <c r="B3272" s="2" t="str">
        <f>IFERROR(__xludf.DUMMYFUNCTION("""COMPUTED_VALUE"""),"centrs")</f>
        <v>centrs</v>
      </c>
      <c r="C3272" s="2" t="str">
        <f>IFERROR(__xludf.DUMMYFUNCTION("""COMPUTED_VALUE"""),"Dzirnavu 31")</f>
        <v>Dzirnavu 31</v>
      </c>
      <c r="D3272" s="2">
        <f>IFERROR(__xludf.DUMMYFUNCTION("""COMPUTED_VALUE"""),3.0)</f>
        <v>3</v>
      </c>
      <c r="E3272" s="2">
        <f>IFERROR(__xludf.DUMMYFUNCTION("""COMPUTED_VALUE"""),82.0)</f>
        <v>82</v>
      </c>
      <c r="F3272" s="2">
        <f>IFERROR(__xludf.DUMMYFUNCTION("""COMPUTED_VALUE"""),7.0)</f>
        <v>7</v>
      </c>
      <c r="G3272" s="2">
        <f>IFERROR(__xludf.DUMMYFUNCTION("""COMPUTED_VALUE"""),7.0)</f>
        <v>7</v>
      </c>
      <c r="H3272" s="2" t="str">
        <f>IFERROR(__xludf.DUMMYFUNCTION("""COMPUTED_VALUE"""),"P. kara")</f>
        <v>P. kara</v>
      </c>
      <c r="I3272" s="2" t="str">
        <f>IFERROR(__xludf.DUMMYFUNCTION("""COMPUTED_VALUE"""),"Masonry")</f>
        <v>Masonry</v>
      </c>
      <c r="J3272" s="2" t="str">
        <f>IFERROR(__xludf.DUMMYFUNCTION("""COMPUTED_VALUE"""),"All amenities")</f>
        <v>All amenities</v>
      </c>
      <c r="K3272" s="2">
        <f>IFERROR(__xludf.DUMMYFUNCTION("""COMPUTED_VALUE"""),900.0)</f>
        <v>900</v>
      </c>
      <c r="L3272" s="2">
        <f>IFERROR(__xludf.DUMMYFUNCTION("""COMPUTED_VALUE"""),56.9592805)</f>
        <v>56.9592805</v>
      </c>
      <c r="M3272" s="2">
        <f>IFERROR(__xludf.DUMMYFUNCTION("""COMPUTED_VALUE"""),24.1128099)</f>
        <v>24.1128099</v>
      </c>
    </row>
    <row r="3273">
      <c r="A3273" s="2" t="str">
        <f>IFERROR(__xludf.DUMMYFUNCTION("""COMPUTED_VALUE"""),"For sale")</f>
        <v>For sale</v>
      </c>
      <c r="B3273" s="2" t="str">
        <f>IFERROR(__xludf.DUMMYFUNCTION("""COMPUTED_VALUE"""),"centrs")</f>
        <v>centrs</v>
      </c>
      <c r="C3273" s="2" t="str">
        <f>IFERROR(__xludf.DUMMYFUNCTION("""COMPUTED_VALUE"""),"Ausekļa 14")</f>
        <v>Ausekļa 14</v>
      </c>
      <c r="D3273" s="2">
        <f>IFERROR(__xludf.DUMMYFUNCTION("""COMPUTED_VALUE"""),2.0)</f>
        <v>2</v>
      </c>
      <c r="E3273" s="2">
        <f>IFERROR(__xludf.DUMMYFUNCTION("""COMPUTED_VALUE"""),71.0)</f>
        <v>71</v>
      </c>
      <c r="F3273" s="2">
        <f>IFERROR(__xludf.DUMMYFUNCTION("""COMPUTED_VALUE"""),3.0)</f>
        <v>3</v>
      </c>
      <c r="G3273" s="2">
        <f>IFERROR(__xludf.DUMMYFUNCTION("""COMPUTED_VALUE"""),6.0)</f>
        <v>6</v>
      </c>
      <c r="H3273" s="2" t="str">
        <f>IFERROR(__xludf.DUMMYFUNCTION("""COMPUTED_VALUE"""),"Jaun.")</f>
        <v>Jaun.</v>
      </c>
      <c r="I3273" s="2" t="str">
        <f>IFERROR(__xludf.DUMMYFUNCTION("""COMPUTED_VALUE"""),"Masonry")</f>
        <v>Masonry</v>
      </c>
      <c r="J3273" s="2" t="str">
        <f>IFERROR(__xludf.DUMMYFUNCTION("""COMPUTED_VALUE"""),"All amenities")</f>
        <v>All amenities</v>
      </c>
      <c r="K3273" s="2">
        <f>IFERROR(__xludf.DUMMYFUNCTION("""COMPUTED_VALUE"""),265000.0)</f>
        <v>265000</v>
      </c>
      <c r="L3273" s="2">
        <f>IFERROR(__xludf.DUMMYFUNCTION("""COMPUTED_VALUE"""),56.9615789)</f>
        <v>56.9615789</v>
      </c>
      <c r="M3273" s="2">
        <f>IFERROR(__xludf.DUMMYFUNCTION("""COMPUTED_VALUE"""),24.1004729157828)</f>
        <v>24.10047292</v>
      </c>
    </row>
    <row r="3274">
      <c r="A3274" s="2" t="str">
        <f>IFERROR(__xludf.DUMMYFUNCTION("""COMPUTED_VALUE"""),"For sale")</f>
        <v>For sale</v>
      </c>
      <c r="B3274" s="2" t="str">
        <f>IFERROR(__xludf.DUMMYFUNCTION("""COMPUTED_VALUE"""),"centrs")</f>
        <v>centrs</v>
      </c>
      <c r="C3274" s="2" t="str">
        <f>IFERROR(__xludf.DUMMYFUNCTION("""COMPUTED_VALUE"""),"Miera 93")</f>
        <v>Miera 93</v>
      </c>
      <c r="D3274" s="2">
        <f>IFERROR(__xludf.DUMMYFUNCTION("""COMPUTED_VALUE"""),4.0)</f>
        <v>4</v>
      </c>
      <c r="E3274" s="2">
        <f>IFERROR(__xludf.DUMMYFUNCTION("""COMPUTED_VALUE"""),80.0)</f>
        <v>80</v>
      </c>
      <c r="F3274" s="2">
        <f>IFERROR(__xludf.DUMMYFUNCTION("""COMPUTED_VALUE"""),2.0)</f>
        <v>2</v>
      </c>
      <c r="G3274" s="2">
        <f>IFERROR(__xludf.DUMMYFUNCTION("""COMPUTED_VALUE"""),7.0)</f>
        <v>7</v>
      </c>
      <c r="H3274" s="2" t="str">
        <f>IFERROR(__xludf.DUMMYFUNCTION("""COMPUTED_VALUE"""),"Jaun.")</f>
        <v>Jaun.</v>
      </c>
      <c r="I3274" s="2" t="str">
        <f>IFERROR(__xludf.DUMMYFUNCTION("""COMPUTED_VALUE"""),"Masonry")</f>
        <v>Masonry</v>
      </c>
      <c r="J3274" s="2" t="str">
        <f>IFERROR(__xludf.DUMMYFUNCTION("""COMPUTED_VALUE"""),"All amenities")</f>
        <v>All amenities</v>
      </c>
      <c r="K3274" s="2">
        <f>IFERROR(__xludf.DUMMYFUNCTION("""COMPUTED_VALUE"""),145000.0)</f>
        <v>145000</v>
      </c>
      <c r="L3274" s="2">
        <f>IFERROR(__xludf.DUMMYFUNCTION("""COMPUTED_VALUE"""),56.9704076)</f>
        <v>56.9704076</v>
      </c>
      <c r="M3274" s="2">
        <f>IFERROR(__xludf.DUMMYFUNCTION("""COMPUTED_VALUE"""),24.1377874)</f>
        <v>24.1377874</v>
      </c>
    </row>
    <row r="3275">
      <c r="A3275" s="2" t="str">
        <f>IFERROR(__xludf.DUMMYFUNCTION("""COMPUTED_VALUE"""),"For sale")</f>
        <v>For sale</v>
      </c>
      <c r="B3275" s="2" t="str">
        <f>IFERROR(__xludf.DUMMYFUNCTION("""COMPUTED_VALUE"""),"Purvciems")</f>
        <v>Purvciems</v>
      </c>
      <c r="C3275" s="2" t="str">
        <f>IFERROR(__xludf.DUMMYFUNCTION("""COMPUTED_VALUE"""),"Ieriķu 29")</f>
        <v>Ieriķu 29</v>
      </c>
      <c r="D3275" s="2">
        <f>IFERROR(__xludf.DUMMYFUNCTION("""COMPUTED_VALUE"""),2.0)</f>
        <v>2</v>
      </c>
      <c r="E3275" s="2">
        <f>IFERROR(__xludf.DUMMYFUNCTION("""COMPUTED_VALUE"""),49.0)</f>
        <v>49</v>
      </c>
      <c r="F3275" s="2">
        <f>IFERROR(__xludf.DUMMYFUNCTION("""COMPUTED_VALUE"""),4.0)</f>
        <v>4</v>
      </c>
      <c r="G3275" s="2">
        <f>IFERROR(__xludf.DUMMYFUNCTION("""COMPUTED_VALUE"""),5.0)</f>
        <v>5</v>
      </c>
      <c r="H3275" s="2" t="str">
        <f>IFERROR(__xludf.DUMMYFUNCTION("""COMPUTED_VALUE"""),"Hrušč.")</f>
        <v>Hrušč.</v>
      </c>
      <c r="I3275" s="2" t="str">
        <f>IFERROR(__xludf.DUMMYFUNCTION("""COMPUTED_VALUE"""),"Panel")</f>
        <v>Panel</v>
      </c>
      <c r="J3275" s="2" t="str">
        <f>IFERROR(__xludf.DUMMYFUNCTION("""COMPUTED_VALUE"""),"All amenities")</f>
        <v>All amenities</v>
      </c>
      <c r="K3275" s="2">
        <f>IFERROR(__xludf.DUMMYFUNCTION("""COMPUTED_VALUE"""),36900.0)</f>
        <v>36900</v>
      </c>
      <c r="L3275" s="2">
        <f>IFERROR(__xludf.DUMMYFUNCTION("""COMPUTED_VALUE"""),56.96659085)</f>
        <v>56.96659085</v>
      </c>
      <c r="M3275" s="2">
        <f>IFERROR(__xludf.DUMMYFUNCTION("""COMPUTED_VALUE"""),24.1779225)</f>
        <v>24.1779225</v>
      </c>
    </row>
    <row r="3276">
      <c r="A3276" s="2" t="str">
        <f>IFERROR(__xludf.DUMMYFUNCTION("""COMPUTED_VALUE"""),"For sale")</f>
        <v>For sale</v>
      </c>
      <c r="B3276" s="2" t="str">
        <f>IFERROR(__xludf.DUMMYFUNCTION("""COMPUTED_VALUE"""),"centrs")</f>
        <v>centrs</v>
      </c>
      <c r="C3276" s="2" t="str">
        <f>IFERROR(__xludf.DUMMYFUNCTION("""COMPUTED_VALUE"""),"Tallinas 52")</f>
        <v>Tallinas 52</v>
      </c>
      <c r="D3276" s="2">
        <f>IFERROR(__xludf.DUMMYFUNCTION("""COMPUTED_VALUE"""),2.0)</f>
        <v>2</v>
      </c>
      <c r="E3276" s="2">
        <f>IFERROR(__xludf.DUMMYFUNCTION("""COMPUTED_VALUE"""),60.0)</f>
        <v>60</v>
      </c>
      <c r="F3276" s="2">
        <f>IFERROR(__xludf.DUMMYFUNCTION("""COMPUTED_VALUE"""),5.0)</f>
        <v>5</v>
      </c>
      <c r="G3276" s="2">
        <f>IFERROR(__xludf.DUMMYFUNCTION("""COMPUTED_VALUE"""),5.0)</f>
        <v>5</v>
      </c>
      <c r="H3276" s="2" t="str">
        <f>IFERROR(__xludf.DUMMYFUNCTION("""COMPUTED_VALUE"""),"P. kara")</f>
        <v>P. kara</v>
      </c>
      <c r="I3276" s="2" t="str">
        <f>IFERROR(__xludf.DUMMYFUNCTION("""COMPUTED_VALUE"""),"Masonry")</f>
        <v>Masonry</v>
      </c>
      <c r="J3276" s="2" t="str">
        <f>IFERROR(__xludf.DUMMYFUNCTION("""COMPUTED_VALUE"""),"All amenities")</f>
        <v>All amenities</v>
      </c>
      <c r="K3276" s="2">
        <f>IFERROR(__xludf.DUMMYFUNCTION("""COMPUTED_VALUE"""),85800.0)</f>
        <v>85800</v>
      </c>
      <c r="L3276" s="2">
        <f>IFERROR(__xludf.DUMMYFUNCTION("""COMPUTED_VALUE"""),56.9600138)</f>
        <v>56.9600138</v>
      </c>
      <c r="M3276" s="2">
        <f>IFERROR(__xludf.DUMMYFUNCTION("""COMPUTED_VALUE"""),24.1417467678664)</f>
        <v>24.14174677</v>
      </c>
    </row>
    <row r="3277">
      <c r="A3277" s="2" t="str">
        <f>IFERROR(__xludf.DUMMYFUNCTION("""COMPUTED_VALUE"""),"For sale")</f>
        <v>For sale</v>
      </c>
      <c r="B3277" s="2" t="str">
        <f>IFERROR(__xludf.DUMMYFUNCTION("""COMPUTED_VALUE"""),"centrs")</f>
        <v>centrs</v>
      </c>
      <c r="C3277" s="2" t="str">
        <f>IFERROR(__xludf.DUMMYFUNCTION("""COMPUTED_VALUE"""),"Brīvības iela 93")</f>
        <v>Brīvības iela 93</v>
      </c>
      <c r="D3277" s="2">
        <f>IFERROR(__xludf.DUMMYFUNCTION("""COMPUTED_VALUE"""),5.0)</f>
        <v>5</v>
      </c>
      <c r="E3277" s="2">
        <f>IFERROR(__xludf.DUMMYFUNCTION("""COMPUTED_VALUE"""),111.2)</f>
        <v>111.2</v>
      </c>
      <c r="F3277" s="2">
        <f>IFERROR(__xludf.DUMMYFUNCTION("""COMPUTED_VALUE"""),5.0)</f>
        <v>5</v>
      </c>
      <c r="G3277" s="2">
        <f>IFERROR(__xludf.DUMMYFUNCTION("""COMPUTED_VALUE"""),6.0)</f>
        <v>6</v>
      </c>
      <c r="H3277" s="2" t="str">
        <f>IFERROR(__xludf.DUMMYFUNCTION("""COMPUTED_VALUE"""),"P. kara")</f>
        <v>P. kara</v>
      </c>
      <c r="I3277" s="2" t="str">
        <f>IFERROR(__xludf.DUMMYFUNCTION("""COMPUTED_VALUE"""),"Masonry")</f>
        <v>Masonry</v>
      </c>
      <c r="J3277" s="2" t="str">
        <f>IFERROR(__xludf.DUMMYFUNCTION("""COMPUTED_VALUE"""),"All amenities")</f>
        <v>All amenities</v>
      </c>
      <c r="K3277" s="2">
        <f>IFERROR(__xludf.DUMMYFUNCTION("""COMPUTED_VALUE"""),139000.0)</f>
        <v>139000</v>
      </c>
      <c r="L3277" s="2">
        <f>IFERROR(__xludf.DUMMYFUNCTION("""COMPUTED_VALUE"""),56.960897)</f>
        <v>56.960897</v>
      </c>
      <c r="M3277" s="2">
        <f>IFERROR(__xludf.DUMMYFUNCTION("""COMPUTED_VALUE"""),24.1318215)</f>
        <v>24.1318215</v>
      </c>
    </row>
    <row r="3278">
      <c r="A3278" s="2" t="str">
        <f>IFERROR(__xludf.DUMMYFUNCTION("""COMPUTED_VALUE"""),"For sale")</f>
        <v>For sale</v>
      </c>
      <c r="B3278" s="2" t="str">
        <f>IFERROR(__xludf.DUMMYFUNCTION("""COMPUTED_VALUE"""),"Dārzciems")</f>
        <v>Dārzciems</v>
      </c>
      <c r="C3278" s="2" t="str">
        <f>IFERROR(__xludf.DUMMYFUNCTION("""COMPUTED_VALUE"""),"Zeltiņu 22")</f>
        <v>Zeltiņu 22</v>
      </c>
      <c r="D3278" s="2">
        <f>IFERROR(__xludf.DUMMYFUNCTION("""COMPUTED_VALUE"""),3.0)</f>
        <v>3</v>
      </c>
      <c r="E3278" s="2">
        <f>IFERROR(__xludf.DUMMYFUNCTION("""COMPUTED_VALUE"""),63.0)</f>
        <v>63</v>
      </c>
      <c r="F3278" s="2">
        <f>IFERROR(__xludf.DUMMYFUNCTION("""COMPUTED_VALUE"""),8.0)</f>
        <v>8</v>
      </c>
      <c r="G3278" s="2">
        <f>IFERROR(__xludf.DUMMYFUNCTION("""COMPUTED_VALUE"""),9.0)</f>
        <v>9</v>
      </c>
      <c r="H3278" s="2">
        <f>IFERROR(__xludf.DUMMYFUNCTION("""COMPUTED_VALUE"""),602.0)</f>
        <v>602</v>
      </c>
      <c r="I3278" s="2" t="str">
        <f>IFERROR(__xludf.DUMMYFUNCTION("""COMPUTED_VALUE"""),"Panel")</f>
        <v>Panel</v>
      </c>
      <c r="J3278" s="2" t="str">
        <f>IFERROR(__xludf.DUMMYFUNCTION("""COMPUTED_VALUE"""),"All amenities")</f>
        <v>All amenities</v>
      </c>
      <c r="K3278" s="2">
        <f>IFERROR(__xludf.DUMMYFUNCTION("""COMPUTED_VALUE"""),49900.0)</f>
        <v>49900</v>
      </c>
      <c r="L3278" s="2">
        <f>IFERROR(__xludf.DUMMYFUNCTION("""COMPUTED_VALUE"""),56.9466234)</f>
        <v>56.9466234</v>
      </c>
      <c r="M3278" s="2">
        <f>IFERROR(__xludf.DUMMYFUNCTION("""COMPUTED_VALUE"""),24.1701148305845)</f>
        <v>24.17011483</v>
      </c>
    </row>
    <row r="3279">
      <c r="A3279" s="2" t="str">
        <f>IFERROR(__xludf.DUMMYFUNCTION("""COMPUTED_VALUE"""),"For sale")</f>
        <v>For sale</v>
      </c>
      <c r="B3279" s="2" t="str">
        <f>IFERROR(__xludf.DUMMYFUNCTION("""COMPUTED_VALUE"""),"Pļavnieki")</f>
        <v>Pļavnieki</v>
      </c>
      <c r="C3279" s="2" t="str">
        <f>IFERROR(__xludf.DUMMYFUNCTION("""COMPUTED_VALUE"""),"Jasmuižas 10")</f>
        <v>Jasmuižas 10</v>
      </c>
      <c r="D3279" s="2">
        <f>IFERROR(__xludf.DUMMYFUNCTION("""COMPUTED_VALUE"""),1.0)</f>
        <v>1</v>
      </c>
      <c r="E3279" s="2">
        <f>IFERROR(__xludf.DUMMYFUNCTION("""COMPUTED_VALUE"""),33.0)</f>
        <v>33</v>
      </c>
      <c r="F3279" s="2">
        <f>IFERROR(__xludf.DUMMYFUNCTION("""COMPUTED_VALUE"""),1.0)</f>
        <v>1</v>
      </c>
      <c r="G3279" s="2">
        <f>IFERROR(__xludf.DUMMYFUNCTION("""COMPUTED_VALUE"""),9.0)</f>
        <v>9</v>
      </c>
      <c r="H3279" s="2">
        <f>IFERROR(__xludf.DUMMYFUNCTION("""COMPUTED_VALUE"""),602.0)</f>
        <v>602</v>
      </c>
      <c r="I3279" s="2" t="str">
        <f>IFERROR(__xludf.DUMMYFUNCTION("""COMPUTED_VALUE"""),"Panel")</f>
        <v>Panel</v>
      </c>
      <c r="J3279" s="2" t="str">
        <f>IFERROR(__xludf.DUMMYFUNCTION("""COMPUTED_VALUE"""),"All amenities")</f>
        <v>All amenities</v>
      </c>
      <c r="K3279" s="2">
        <f>IFERROR(__xludf.DUMMYFUNCTION("""COMPUTED_VALUE"""),36500.0)</f>
        <v>36500</v>
      </c>
      <c r="L3279" s="2">
        <f>IFERROR(__xludf.DUMMYFUNCTION("""COMPUTED_VALUE"""),56.9362783)</f>
        <v>56.9362783</v>
      </c>
      <c r="M3279" s="2">
        <f>IFERROR(__xludf.DUMMYFUNCTION("""COMPUTED_VALUE"""),24.2110749)</f>
        <v>24.2110749</v>
      </c>
    </row>
    <row r="3280">
      <c r="A3280" s="2" t="str">
        <f>IFERROR(__xludf.DUMMYFUNCTION("""COMPUTED_VALUE"""),"For rent")</f>
        <v>For rent</v>
      </c>
      <c r="B3280" s="2" t="str">
        <f>IFERROR(__xludf.DUMMYFUNCTION("""COMPUTED_VALUE"""),"centrs")</f>
        <v>centrs</v>
      </c>
      <c r="C3280" s="2" t="str">
        <f>IFERROR(__xludf.DUMMYFUNCTION("""COMPUTED_VALUE"""),"Elizabetes 37")</f>
        <v>Elizabetes 37</v>
      </c>
      <c r="D3280" s="2">
        <f>IFERROR(__xludf.DUMMYFUNCTION("""COMPUTED_VALUE"""),1.0)</f>
        <v>1</v>
      </c>
      <c r="E3280" s="2">
        <f>IFERROR(__xludf.DUMMYFUNCTION("""COMPUTED_VALUE"""),24.0)</f>
        <v>24</v>
      </c>
      <c r="F3280" s="2">
        <f>IFERROR(__xludf.DUMMYFUNCTION("""COMPUTED_VALUE"""),4.0)</f>
        <v>4</v>
      </c>
      <c r="G3280" s="2">
        <f>IFERROR(__xludf.DUMMYFUNCTION("""COMPUTED_VALUE"""),4.0)</f>
        <v>4</v>
      </c>
      <c r="H3280" s="2" t="str">
        <f>IFERROR(__xludf.DUMMYFUNCTION("""COMPUTED_VALUE"""),"P. kara")</f>
        <v>P. kara</v>
      </c>
      <c r="I3280" s="2" t="str">
        <f>IFERROR(__xludf.DUMMYFUNCTION("""COMPUTED_VALUE"""),"Masonry")</f>
        <v>Masonry</v>
      </c>
      <c r="J3280" s="2" t="str">
        <f>IFERROR(__xludf.DUMMYFUNCTION("""COMPUTED_VALUE"""),"All amenities")</f>
        <v>All amenities</v>
      </c>
      <c r="K3280" s="2">
        <f>IFERROR(__xludf.DUMMYFUNCTION("""COMPUTED_VALUE"""),125.0)</f>
        <v>125</v>
      </c>
      <c r="L3280" s="2">
        <f>IFERROR(__xludf.DUMMYFUNCTION("""COMPUTED_VALUE"""),56.957595)</f>
        <v>56.957595</v>
      </c>
      <c r="M3280" s="2">
        <f>IFERROR(__xludf.DUMMYFUNCTION("""COMPUTED_VALUE"""),24.1119264)</f>
        <v>24.1119264</v>
      </c>
    </row>
    <row r="3281">
      <c r="A3281" s="2" t="str">
        <f>IFERROR(__xludf.DUMMYFUNCTION("""COMPUTED_VALUE"""),"For rent")</f>
        <v>For rent</v>
      </c>
      <c r="B3281" s="2" t="str">
        <f>IFERROR(__xludf.DUMMYFUNCTION("""COMPUTED_VALUE"""),"Zolitūde")</f>
        <v>Zolitūde</v>
      </c>
      <c r="C3281" s="2" t="str">
        <f>IFERROR(__xludf.DUMMYFUNCTION("""COMPUTED_VALUE"""),"Zolitūdes 46")</f>
        <v>Zolitūdes 46</v>
      </c>
      <c r="D3281" s="2">
        <f>IFERROR(__xludf.DUMMYFUNCTION("""COMPUTED_VALUE"""),3.0)</f>
        <v>3</v>
      </c>
      <c r="E3281" s="2">
        <f>IFERROR(__xludf.DUMMYFUNCTION("""COMPUTED_VALUE"""),78.0)</f>
        <v>78</v>
      </c>
      <c r="F3281" s="2">
        <f>IFERROR(__xludf.DUMMYFUNCTION("""COMPUTED_VALUE"""),5.0)</f>
        <v>5</v>
      </c>
      <c r="G3281" s="2">
        <f>IFERROR(__xludf.DUMMYFUNCTION("""COMPUTED_VALUE"""),9.0)</f>
        <v>9</v>
      </c>
      <c r="H3281" s="2">
        <f>IFERROR(__xludf.DUMMYFUNCTION("""COMPUTED_VALUE"""),119.0)</f>
        <v>119</v>
      </c>
      <c r="I3281" s="2" t="str">
        <f>IFERROR(__xludf.DUMMYFUNCTION("""COMPUTED_VALUE"""),"Panel")</f>
        <v>Panel</v>
      </c>
      <c r="J3281" s="2" t="str">
        <f>IFERROR(__xludf.DUMMYFUNCTION("""COMPUTED_VALUE"""),"All amenities")</f>
        <v>All amenities</v>
      </c>
      <c r="K3281" s="2">
        <f>IFERROR(__xludf.DUMMYFUNCTION("""COMPUTED_VALUE"""),325.0)</f>
        <v>325</v>
      </c>
      <c r="L3281" s="2">
        <f>IFERROR(__xludf.DUMMYFUNCTION("""COMPUTED_VALUE"""),56.94224055)</f>
        <v>56.94224055</v>
      </c>
      <c r="M3281" s="2">
        <f>IFERROR(__xludf.DUMMYFUNCTION("""COMPUTED_VALUE"""),24.0060845759065)</f>
        <v>24.00608458</v>
      </c>
    </row>
    <row r="3282">
      <c r="A3282" s="2" t="str">
        <f>IFERROR(__xludf.DUMMYFUNCTION("""COMPUTED_VALUE"""),"For sale")</f>
        <v>For sale</v>
      </c>
      <c r="B3282" s="2" t="str">
        <f>IFERROR(__xludf.DUMMYFUNCTION("""COMPUTED_VALUE"""),"Vecmīlgrāvis")</f>
        <v>Vecmīlgrāvis</v>
      </c>
      <c r="C3282" s="2" t="str">
        <f>IFERROR(__xludf.DUMMYFUNCTION("""COMPUTED_VALUE"""),"Melīdas 6c")</f>
        <v>Melīdas 6c</v>
      </c>
      <c r="D3282" s="2">
        <f>IFERROR(__xludf.DUMMYFUNCTION("""COMPUTED_VALUE"""),3.0)</f>
        <v>3</v>
      </c>
      <c r="E3282" s="2">
        <f>IFERROR(__xludf.DUMMYFUNCTION("""COMPUTED_VALUE"""),61.0)</f>
        <v>61</v>
      </c>
      <c r="F3282" s="2">
        <f>IFERROR(__xludf.DUMMYFUNCTION("""COMPUTED_VALUE"""),4.0)</f>
        <v>4</v>
      </c>
      <c r="G3282" s="2">
        <f>IFERROR(__xludf.DUMMYFUNCTION("""COMPUTED_VALUE"""),9.0)</f>
        <v>9</v>
      </c>
      <c r="H3282" s="2">
        <f>IFERROR(__xludf.DUMMYFUNCTION("""COMPUTED_VALUE"""),467.0)</f>
        <v>467</v>
      </c>
      <c r="I3282" s="2" t="str">
        <f>IFERROR(__xludf.DUMMYFUNCTION("""COMPUTED_VALUE"""),"Panel")</f>
        <v>Panel</v>
      </c>
      <c r="J3282" s="2" t="str">
        <f>IFERROR(__xludf.DUMMYFUNCTION("""COMPUTED_VALUE"""),"All amenities")</f>
        <v>All amenities</v>
      </c>
      <c r="K3282" s="2">
        <f>IFERROR(__xludf.DUMMYFUNCTION("""COMPUTED_VALUE"""),54000.0)</f>
        <v>54000</v>
      </c>
      <c r="L3282" s="2">
        <f>IFERROR(__xludf.DUMMYFUNCTION("""COMPUTED_VALUE"""),57.0311238)</f>
        <v>57.0311238</v>
      </c>
      <c r="M3282" s="2">
        <f>IFERROR(__xludf.DUMMYFUNCTION("""COMPUTED_VALUE"""),24.1094024367124)</f>
        <v>24.10940244</v>
      </c>
    </row>
    <row r="3283">
      <c r="A3283" s="2" t="str">
        <f>IFERROR(__xludf.DUMMYFUNCTION("""COMPUTED_VALUE"""),"For rent")</f>
        <v>For rent</v>
      </c>
      <c r="B3283" s="2" t="str">
        <f>IFERROR(__xludf.DUMMYFUNCTION("""COMPUTED_VALUE"""),"Vecmīlgrāvis")</f>
        <v>Vecmīlgrāvis</v>
      </c>
      <c r="C3283" s="2" t="str">
        <f>IFERROR(__xludf.DUMMYFUNCTION("""COMPUTED_VALUE"""),"Dombrovska 75")</f>
        <v>Dombrovska 75</v>
      </c>
      <c r="D3283" s="2">
        <f>IFERROR(__xludf.DUMMYFUNCTION("""COMPUTED_VALUE"""),2.0)</f>
        <v>2</v>
      </c>
      <c r="E3283" s="2">
        <f>IFERROR(__xludf.DUMMYFUNCTION("""COMPUTED_VALUE"""),56.0)</f>
        <v>56</v>
      </c>
      <c r="F3283" s="2">
        <f>IFERROR(__xludf.DUMMYFUNCTION("""COMPUTED_VALUE"""),3.0)</f>
        <v>3</v>
      </c>
      <c r="G3283" s="2">
        <f>IFERROR(__xludf.DUMMYFUNCTION("""COMPUTED_VALUE"""),5.0)</f>
        <v>5</v>
      </c>
      <c r="H3283" s="2">
        <f>IFERROR(__xludf.DUMMYFUNCTION("""COMPUTED_VALUE"""),103.0)</f>
        <v>103</v>
      </c>
      <c r="I3283" s="2" t="str">
        <f>IFERROR(__xludf.DUMMYFUNCTION("""COMPUTED_VALUE"""),"Brick-Panel")</f>
        <v>Brick-Panel</v>
      </c>
      <c r="J3283" s="2" t="str">
        <f>IFERROR(__xludf.DUMMYFUNCTION("""COMPUTED_VALUE"""),"All amenities")</f>
        <v>All amenities</v>
      </c>
      <c r="K3283" s="2">
        <f>IFERROR(__xludf.DUMMYFUNCTION("""COMPUTED_VALUE"""),280.0)</f>
        <v>280</v>
      </c>
      <c r="L3283" s="2">
        <f>IFERROR(__xludf.DUMMYFUNCTION("""COMPUTED_VALUE"""),57.03684145)</f>
        <v>57.03684145</v>
      </c>
      <c r="M3283" s="2">
        <f>IFERROR(__xludf.DUMMYFUNCTION("""COMPUTED_VALUE"""),24.0950168199287)</f>
        <v>24.09501682</v>
      </c>
    </row>
    <row r="3284">
      <c r="A3284" s="2" t="str">
        <f>IFERROR(__xludf.DUMMYFUNCTION("""COMPUTED_VALUE"""),"For rent")</f>
        <v>For rent</v>
      </c>
      <c r="B3284" s="2" t="str">
        <f>IFERROR(__xludf.DUMMYFUNCTION("""COMPUTED_VALUE"""),"centrs")</f>
        <v>centrs</v>
      </c>
      <c r="C3284" s="2" t="str">
        <f>IFERROR(__xludf.DUMMYFUNCTION("""COMPUTED_VALUE"""),"Katrīnas d. 22")</f>
        <v>Katrīnas d. 22</v>
      </c>
      <c r="D3284" s="2">
        <f>IFERROR(__xludf.DUMMYFUNCTION("""COMPUTED_VALUE"""),2.0)</f>
        <v>2</v>
      </c>
      <c r="E3284" s="2">
        <f>IFERROR(__xludf.DUMMYFUNCTION("""COMPUTED_VALUE"""),42.0)</f>
        <v>42</v>
      </c>
      <c r="F3284" s="2">
        <f>IFERROR(__xludf.DUMMYFUNCTION("""COMPUTED_VALUE"""),1.0)</f>
        <v>1</v>
      </c>
      <c r="G3284" s="2">
        <f>IFERROR(__xludf.DUMMYFUNCTION("""COMPUTED_VALUE"""),4.0)</f>
        <v>4</v>
      </c>
      <c r="H3284" s="2" t="str">
        <f>IFERROR(__xludf.DUMMYFUNCTION("""COMPUTED_VALUE"""),"Hrušč.")</f>
        <v>Hrušč.</v>
      </c>
      <c r="I3284" s="2" t="str">
        <f>IFERROR(__xludf.DUMMYFUNCTION("""COMPUTED_VALUE"""),"Brick")</f>
        <v>Brick</v>
      </c>
      <c r="J3284" s="2" t="str">
        <f>IFERROR(__xludf.DUMMYFUNCTION("""COMPUTED_VALUE"""),"All amenities")</f>
        <v>All amenities</v>
      </c>
      <c r="K3284" s="2">
        <f>IFERROR(__xludf.DUMMYFUNCTION("""COMPUTED_VALUE"""),400.0)</f>
        <v>400</v>
      </c>
      <c r="L3284" s="2">
        <f>IFERROR(__xludf.DUMMYFUNCTION("""COMPUTED_VALUE"""),56.9716816)</f>
        <v>56.9716816</v>
      </c>
      <c r="M3284" s="2">
        <f>IFERROR(__xludf.DUMMYFUNCTION("""COMPUTED_VALUE"""),24.1021951)</f>
        <v>24.1021951</v>
      </c>
    </row>
    <row r="3285">
      <c r="A3285" s="2" t="str">
        <f>IFERROR(__xludf.DUMMYFUNCTION("""COMPUTED_VALUE"""),"For sale")</f>
        <v>For sale</v>
      </c>
      <c r="B3285" s="2" t="str">
        <f>IFERROR(__xludf.DUMMYFUNCTION("""COMPUTED_VALUE"""),"Āgenskalns")</f>
        <v>Āgenskalns</v>
      </c>
      <c r="C3285" s="2" t="str">
        <f>IFERROR(__xludf.DUMMYFUNCTION("""COMPUTED_VALUE"""),"Kuldīgas 10")</f>
        <v>Kuldīgas 10</v>
      </c>
      <c r="D3285" s="2">
        <f>IFERROR(__xludf.DUMMYFUNCTION("""COMPUTED_VALUE"""),1.0)</f>
        <v>1</v>
      </c>
      <c r="E3285" s="2">
        <f>IFERROR(__xludf.DUMMYFUNCTION("""COMPUTED_VALUE"""),21.0)</f>
        <v>21</v>
      </c>
      <c r="F3285" s="2">
        <f>IFERROR(__xludf.DUMMYFUNCTION("""COMPUTED_VALUE"""),1.0)</f>
        <v>1</v>
      </c>
      <c r="G3285" s="2">
        <f>IFERROR(__xludf.DUMMYFUNCTION("""COMPUTED_VALUE"""),2.0)</f>
        <v>2</v>
      </c>
      <c r="H3285" s="2" t="str">
        <f>IFERROR(__xludf.DUMMYFUNCTION("""COMPUTED_VALUE"""),"P. kara")</f>
        <v>P. kara</v>
      </c>
      <c r="I3285" s="2" t="str">
        <f>IFERROR(__xludf.DUMMYFUNCTION("""COMPUTED_VALUE"""),"Wood")</f>
        <v>Wood</v>
      </c>
      <c r="J3285" s="2" t="str">
        <f>IFERROR(__xludf.DUMMYFUNCTION("""COMPUTED_VALUE"""),"Partial amenities")</f>
        <v>Partial amenities</v>
      </c>
      <c r="K3285" s="2">
        <f>IFERROR(__xludf.DUMMYFUNCTION("""COMPUTED_VALUE"""),17700.0)</f>
        <v>17700</v>
      </c>
      <c r="L3285" s="2">
        <f>IFERROR(__xludf.DUMMYFUNCTION("""COMPUTED_VALUE"""),56.9517628)</f>
        <v>56.9517628</v>
      </c>
      <c r="M3285" s="2">
        <f>IFERROR(__xludf.DUMMYFUNCTION("""COMPUTED_VALUE"""),24.0673487092408)</f>
        <v>24.06734871</v>
      </c>
    </row>
    <row r="3286">
      <c r="A3286" s="2" t="str">
        <f>IFERROR(__xludf.DUMMYFUNCTION("""COMPUTED_VALUE"""),"For sale")</f>
        <v>For sale</v>
      </c>
      <c r="B3286" s="2" t="str">
        <f>IFERROR(__xludf.DUMMYFUNCTION("""COMPUTED_VALUE"""),"Dzegužkalns")</f>
        <v>Dzegužkalns</v>
      </c>
      <c r="C3286" s="2" t="str">
        <f>IFERROR(__xludf.DUMMYFUNCTION("""COMPUTED_VALUE"""),"Morica 20b")</f>
        <v>Morica 20b</v>
      </c>
      <c r="D3286" s="2">
        <f>IFERROR(__xludf.DUMMYFUNCTION("""COMPUTED_VALUE"""),3.0)</f>
        <v>3</v>
      </c>
      <c r="E3286" s="2">
        <f>IFERROR(__xludf.DUMMYFUNCTION("""COMPUTED_VALUE"""),69.0)</f>
        <v>69</v>
      </c>
      <c r="F3286" s="2">
        <f>IFERROR(__xludf.DUMMYFUNCTION("""COMPUTED_VALUE"""),5.0)</f>
        <v>5</v>
      </c>
      <c r="G3286" s="2">
        <f>IFERROR(__xludf.DUMMYFUNCTION("""COMPUTED_VALUE"""),5.0)</f>
        <v>5</v>
      </c>
      <c r="H3286" s="2" t="str">
        <f>IFERROR(__xludf.DUMMYFUNCTION("""COMPUTED_VALUE"""),"LT proj.")</f>
        <v>LT proj.</v>
      </c>
      <c r="I3286" s="2" t="str">
        <f>IFERROR(__xludf.DUMMYFUNCTION("""COMPUTED_VALUE"""),"Panel-Brick")</f>
        <v>Panel-Brick</v>
      </c>
      <c r="J3286" s="2" t="str">
        <f>IFERROR(__xludf.DUMMYFUNCTION("""COMPUTED_VALUE"""),"All amenities")</f>
        <v>All amenities</v>
      </c>
      <c r="K3286" s="2">
        <f>IFERROR(__xludf.DUMMYFUNCTION("""COMPUTED_VALUE"""),52000.0)</f>
        <v>52000</v>
      </c>
      <c r="L3286" s="2">
        <f>IFERROR(__xludf.DUMMYFUNCTION("""COMPUTED_VALUE"""),56.95337965)</f>
        <v>56.95337965</v>
      </c>
      <c r="M3286" s="2">
        <f>IFERROR(__xludf.DUMMYFUNCTION("""COMPUTED_VALUE"""),24.0470011)</f>
        <v>24.0470011</v>
      </c>
    </row>
    <row r="3287">
      <c r="A3287" s="2" t="str">
        <f>IFERROR(__xludf.DUMMYFUNCTION("""COMPUTED_VALUE"""),"For sale")</f>
        <v>For sale</v>
      </c>
      <c r="B3287" s="2" t="str">
        <f>IFERROR(__xludf.DUMMYFUNCTION("""COMPUTED_VALUE"""),"Purvciems")</f>
        <v>Purvciems</v>
      </c>
      <c r="C3287" s="2" t="str">
        <f>IFERROR(__xludf.DUMMYFUNCTION("""COMPUTED_VALUE"""),"Marsa g. 1")</f>
        <v>Marsa g. 1</v>
      </c>
      <c r="D3287" s="2">
        <f>IFERROR(__xludf.DUMMYFUNCTION("""COMPUTED_VALUE"""),2.0)</f>
        <v>2</v>
      </c>
      <c r="E3287" s="2">
        <f>IFERROR(__xludf.DUMMYFUNCTION("""COMPUTED_VALUE"""),50.0)</f>
        <v>50</v>
      </c>
      <c r="F3287" s="2">
        <f>IFERROR(__xludf.DUMMYFUNCTION("""COMPUTED_VALUE"""),5.0)</f>
        <v>5</v>
      </c>
      <c r="G3287" s="2">
        <f>IFERROR(__xludf.DUMMYFUNCTION("""COMPUTED_VALUE"""),5.0)</f>
        <v>5</v>
      </c>
      <c r="H3287" s="2" t="str">
        <f>IFERROR(__xludf.DUMMYFUNCTION("""COMPUTED_VALUE"""),"LT proj.")</f>
        <v>LT proj.</v>
      </c>
      <c r="I3287" s="2" t="str">
        <f>IFERROR(__xludf.DUMMYFUNCTION("""COMPUTED_VALUE"""),"Panel")</f>
        <v>Panel</v>
      </c>
      <c r="J3287" s="2" t="str">
        <f>IFERROR(__xludf.DUMMYFUNCTION("""COMPUTED_VALUE"""),"All amenities")</f>
        <v>All amenities</v>
      </c>
      <c r="K3287" s="2">
        <f>IFERROR(__xludf.DUMMYFUNCTION("""COMPUTED_VALUE"""),40500.0)</f>
        <v>40500</v>
      </c>
      <c r="L3287" s="2">
        <f>IFERROR(__xludf.DUMMYFUNCTION("""COMPUTED_VALUE"""),56.9518384)</f>
        <v>56.9518384</v>
      </c>
      <c r="M3287" s="2">
        <f>IFERROR(__xludf.DUMMYFUNCTION("""COMPUTED_VALUE"""),24.1999196)</f>
        <v>24.1999196</v>
      </c>
    </row>
    <row r="3288">
      <c r="A3288" s="2" t="str">
        <f>IFERROR(__xludf.DUMMYFUNCTION("""COMPUTED_VALUE"""),"For sale")</f>
        <v>For sale</v>
      </c>
      <c r="B3288" s="2" t="str">
        <f>IFERROR(__xludf.DUMMYFUNCTION("""COMPUTED_VALUE"""),"Ziepniekkalns")</f>
        <v>Ziepniekkalns</v>
      </c>
      <c r="C3288" s="2" t="str">
        <f>IFERROR(__xludf.DUMMYFUNCTION("""COMPUTED_VALUE"""),"Ozolciema 12/4")</f>
        <v>Ozolciema 12/4</v>
      </c>
      <c r="D3288" s="2">
        <f>IFERROR(__xludf.DUMMYFUNCTION("""COMPUTED_VALUE"""),4.0)</f>
        <v>4</v>
      </c>
      <c r="E3288" s="2">
        <f>IFERROR(__xludf.DUMMYFUNCTION("""COMPUTED_VALUE"""),93.0)</f>
        <v>93</v>
      </c>
      <c r="F3288" s="2">
        <f>IFERROR(__xludf.DUMMYFUNCTION("""COMPUTED_VALUE"""),9.0)</f>
        <v>9</v>
      </c>
      <c r="G3288" s="2">
        <f>IFERROR(__xludf.DUMMYFUNCTION("""COMPUTED_VALUE"""),10.0)</f>
        <v>10</v>
      </c>
      <c r="H3288" s="2">
        <f>IFERROR(__xludf.DUMMYFUNCTION("""COMPUTED_VALUE"""),119.0)</f>
        <v>119</v>
      </c>
      <c r="I3288" s="2" t="str">
        <f>IFERROR(__xludf.DUMMYFUNCTION("""COMPUTED_VALUE"""),"Panel")</f>
        <v>Panel</v>
      </c>
      <c r="J3288" s="2" t="str">
        <f>IFERROR(__xludf.DUMMYFUNCTION("""COMPUTED_VALUE"""),"All amenities")</f>
        <v>All amenities</v>
      </c>
      <c r="K3288" s="2">
        <f>IFERROR(__xludf.DUMMYFUNCTION("""COMPUTED_VALUE"""),92000.0)</f>
        <v>92000</v>
      </c>
      <c r="L3288" s="2">
        <f>IFERROR(__xludf.DUMMYFUNCTION("""COMPUTED_VALUE"""),56.8990307)</f>
        <v>56.8990307</v>
      </c>
      <c r="M3288" s="2">
        <f>IFERROR(__xludf.DUMMYFUNCTION("""COMPUTED_VALUE"""),24.0785989)</f>
        <v>24.0785989</v>
      </c>
    </row>
    <row r="3289">
      <c r="A3289" s="2" t="str">
        <f>IFERROR(__xludf.DUMMYFUNCTION("""COMPUTED_VALUE"""),"For sale")</f>
        <v>For sale</v>
      </c>
      <c r="B3289" s="2" t="str">
        <f>IFERROR(__xludf.DUMMYFUNCTION("""COMPUTED_VALUE"""),"Āgenskalns")</f>
        <v>Āgenskalns</v>
      </c>
      <c r="C3289" s="2" t="str">
        <f>IFERROR(__xludf.DUMMYFUNCTION("""COMPUTED_VALUE"""),"Dzirciema 31")</f>
        <v>Dzirciema 31</v>
      </c>
      <c r="D3289" s="2">
        <f>IFERROR(__xludf.DUMMYFUNCTION("""COMPUTED_VALUE"""),2.0)</f>
        <v>2</v>
      </c>
      <c r="E3289" s="2">
        <f>IFERROR(__xludf.DUMMYFUNCTION("""COMPUTED_VALUE"""),59.0)</f>
        <v>59</v>
      </c>
      <c r="F3289" s="2">
        <f>IFERROR(__xludf.DUMMYFUNCTION("""COMPUTED_VALUE"""),4.0)</f>
        <v>4</v>
      </c>
      <c r="G3289" s="2">
        <f>IFERROR(__xludf.DUMMYFUNCTION("""COMPUTED_VALUE"""),5.0)</f>
        <v>5</v>
      </c>
      <c r="H3289" s="2" t="str">
        <f>IFERROR(__xludf.DUMMYFUNCTION("""COMPUTED_VALUE"""),"Jaun.")</f>
        <v>Jaun.</v>
      </c>
      <c r="I3289" s="2" t="str">
        <f>IFERROR(__xludf.DUMMYFUNCTION("""COMPUTED_VALUE"""),"Brick")</f>
        <v>Brick</v>
      </c>
      <c r="J3289" s="2" t="str">
        <f>IFERROR(__xludf.DUMMYFUNCTION("""COMPUTED_VALUE"""),"All amenities")</f>
        <v>All amenities</v>
      </c>
      <c r="K3289" s="2">
        <f>IFERROR(__xludf.DUMMYFUNCTION("""COMPUTED_VALUE"""),105700.0)</f>
        <v>105700</v>
      </c>
      <c r="L3289" s="2">
        <f>IFERROR(__xludf.DUMMYFUNCTION("""COMPUTED_VALUE"""),56.9556302999999)</f>
        <v>56.9556303</v>
      </c>
      <c r="M3289" s="2">
        <f>IFERROR(__xludf.DUMMYFUNCTION("""COMPUTED_VALUE"""),24.0521164571975)</f>
        <v>24.05211646</v>
      </c>
    </row>
    <row r="3290">
      <c r="A3290" s="2" t="str">
        <f>IFERROR(__xludf.DUMMYFUNCTION("""COMPUTED_VALUE"""),"For sale")</f>
        <v>For sale</v>
      </c>
      <c r="B3290" s="2" t="str">
        <f>IFERROR(__xludf.DUMMYFUNCTION("""COMPUTED_VALUE"""),"centrs")</f>
        <v>centrs</v>
      </c>
      <c r="C3290" s="2" t="str">
        <f>IFERROR(__xludf.DUMMYFUNCTION("""COMPUTED_VALUE"""),"Maskavas 84")</f>
        <v>Maskavas 84</v>
      </c>
      <c r="D3290" s="2">
        <f>IFERROR(__xludf.DUMMYFUNCTION("""COMPUTED_VALUE"""),2.0)</f>
        <v>2</v>
      </c>
      <c r="E3290" s="2">
        <f>IFERROR(__xludf.DUMMYFUNCTION("""COMPUTED_VALUE"""),48.0)</f>
        <v>48</v>
      </c>
      <c r="F3290" s="2">
        <f>IFERROR(__xludf.DUMMYFUNCTION("""COMPUTED_VALUE"""),6.0)</f>
        <v>6</v>
      </c>
      <c r="G3290" s="2">
        <f>IFERROR(__xludf.DUMMYFUNCTION("""COMPUTED_VALUE"""),6.0)</f>
        <v>6</v>
      </c>
      <c r="H3290" s="2" t="str">
        <f>IFERROR(__xludf.DUMMYFUNCTION("""COMPUTED_VALUE"""),"P. kara")</f>
        <v>P. kara</v>
      </c>
      <c r="I3290" s="2" t="str">
        <f>IFERROR(__xludf.DUMMYFUNCTION("""COMPUTED_VALUE"""),"Masonry")</f>
        <v>Masonry</v>
      </c>
      <c r="J3290" s="2" t="str">
        <f>IFERROR(__xludf.DUMMYFUNCTION("""COMPUTED_VALUE"""),"Partial amenities")</f>
        <v>Partial amenities</v>
      </c>
      <c r="K3290" s="2">
        <f>IFERROR(__xludf.DUMMYFUNCTION("""COMPUTED_VALUE"""),37400.0)</f>
        <v>37400</v>
      </c>
      <c r="L3290" s="2">
        <f>IFERROR(__xludf.DUMMYFUNCTION("""COMPUTED_VALUE"""),56.8597884)</f>
        <v>56.8597884</v>
      </c>
      <c r="M3290" s="2">
        <f>IFERROR(__xludf.DUMMYFUNCTION("""COMPUTED_VALUE"""),24.3083417)</f>
        <v>24.3083417</v>
      </c>
    </row>
    <row r="3291">
      <c r="A3291" s="2" t="str">
        <f>IFERROR(__xludf.DUMMYFUNCTION("""COMPUTED_VALUE"""),"For sale")</f>
        <v>For sale</v>
      </c>
      <c r="B3291" s="2" t="str">
        <f>IFERROR(__xludf.DUMMYFUNCTION("""COMPUTED_VALUE"""),"centrs")</f>
        <v>centrs</v>
      </c>
      <c r="C3291" s="2" t="str">
        <f>IFERROR(__xludf.DUMMYFUNCTION("""COMPUTED_VALUE"""),"Marijas 15")</f>
        <v>Marijas 15</v>
      </c>
      <c r="D3291" s="2">
        <f>IFERROR(__xludf.DUMMYFUNCTION("""COMPUTED_VALUE"""),1.0)</f>
        <v>1</v>
      </c>
      <c r="E3291" s="2">
        <f>IFERROR(__xludf.DUMMYFUNCTION("""COMPUTED_VALUE"""),22.0)</f>
        <v>22</v>
      </c>
      <c r="F3291" s="2">
        <f>IFERROR(__xludf.DUMMYFUNCTION("""COMPUTED_VALUE"""),6.0)</f>
        <v>6</v>
      </c>
      <c r="G3291" s="2">
        <f>IFERROR(__xludf.DUMMYFUNCTION("""COMPUTED_VALUE"""),6.0)</f>
        <v>6</v>
      </c>
      <c r="H3291" s="2" t="str">
        <f>IFERROR(__xludf.DUMMYFUNCTION("""COMPUTED_VALUE"""),"P. kara")</f>
        <v>P. kara</v>
      </c>
      <c r="I3291" s="2" t="str">
        <f>IFERROR(__xludf.DUMMYFUNCTION("""COMPUTED_VALUE"""),"Masonry")</f>
        <v>Masonry</v>
      </c>
      <c r="J3291" s="2" t="str">
        <f>IFERROR(__xludf.DUMMYFUNCTION("""COMPUTED_VALUE"""),"All amenities")</f>
        <v>All amenities</v>
      </c>
      <c r="K3291" s="2">
        <f>IFERROR(__xludf.DUMMYFUNCTION("""COMPUTED_VALUE"""),41500.0)</f>
        <v>41500</v>
      </c>
      <c r="L3291" s="2">
        <f>IFERROR(__xludf.DUMMYFUNCTION("""COMPUTED_VALUE"""),56.95029005)</f>
        <v>56.95029005</v>
      </c>
      <c r="M3291" s="2">
        <f>IFERROR(__xludf.DUMMYFUNCTION("""COMPUTED_VALUE"""),24.1240679974303)</f>
        <v>24.124068</v>
      </c>
    </row>
    <row r="3292">
      <c r="A3292" s="2" t="str">
        <f>IFERROR(__xludf.DUMMYFUNCTION("""COMPUTED_VALUE"""),"For sale")</f>
        <v>For sale</v>
      </c>
      <c r="B3292" s="2" t="str">
        <f>IFERROR(__xludf.DUMMYFUNCTION("""COMPUTED_VALUE"""),"Purvciems")</f>
        <v>Purvciems</v>
      </c>
      <c r="C3292" s="2" t="str">
        <f>IFERROR(__xludf.DUMMYFUNCTION("""COMPUTED_VALUE"""),"Deglava 104")</f>
        <v>Deglava 104</v>
      </c>
      <c r="D3292" s="2">
        <f>IFERROR(__xludf.DUMMYFUNCTION("""COMPUTED_VALUE"""),4.0)</f>
        <v>4</v>
      </c>
      <c r="E3292" s="2">
        <f>IFERROR(__xludf.DUMMYFUNCTION("""COMPUTED_VALUE"""),90.0)</f>
        <v>90</v>
      </c>
      <c r="F3292" s="2">
        <f>IFERROR(__xludf.DUMMYFUNCTION("""COMPUTED_VALUE"""),2.0)</f>
        <v>2</v>
      </c>
      <c r="G3292" s="2">
        <f>IFERROR(__xludf.DUMMYFUNCTION("""COMPUTED_VALUE"""),9.0)</f>
        <v>9</v>
      </c>
      <c r="H3292" s="2">
        <f>IFERROR(__xludf.DUMMYFUNCTION("""COMPUTED_VALUE"""),119.0)</f>
        <v>119</v>
      </c>
      <c r="I3292" s="2" t="str">
        <f>IFERROR(__xludf.DUMMYFUNCTION("""COMPUTED_VALUE"""),"Panel")</f>
        <v>Panel</v>
      </c>
      <c r="J3292" s="2" t="str">
        <f>IFERROR(__xludf.DUMMYFUNCTION("""COMPUTED_VALUE"""),"All amenities")</f>
        <v>All amenities</v>
      </c>
      <c r="K3292" s="2">
        <f>IFERROR(__xludf.DUMMYFUNCTION("""COMPUTED_VALUE"""),106500.0)</f>
        <v>106500</v>
      </c>
      <c r="L3292" s="2">
        <f>IFERROR(__xludf.DUMMYFUNCTION("""COMPUTED_VALUE"""),56.9480278)</f>
        <v>56.9480278</v>
      </c>
      <c r="M3292" s="2">
        <f>IFERROR(__xludf.DUMMYFUNCTION("""COMPUTED_VALUE"""),24.1884904499999)</f>
        <v>24.18849045</v>
      </c>
    </row>
    <row r="3293">
      <c r="A3293" s="2" t="str">
        <f>IFERROR(__xludf.DUMMYFUNCTION("""COMPUTED_VALUE"""),"For sale")</f>
        <v>For sale</v>
      </c>
      <c r="B3293" s="2" t="str">
        <f>IFERROR(__xludf.DUMMYFUNCTION("""COMPUTED_VALUE"""),"Bieriņi")</f>
        <v>Bieriņi</v>
      </c>
      <c r="C3293" s="2" t="str">
        <f>IFERROR(__xludf.DUMMYFUNCTION("""COMPUTED_VALUE"""),"Dāliju 8a")</f>
        <v>Dāliju 8a</v>
      </c>
      <c r="D3293" s="2">
        <f>IFERROR(__xludf.DUMMYFUNCTION("""COMPUTED_VALUE"""),1.0)</f>
        <v>1</v>
      </c>
      <c r="E3293" s="2">
        <f>IFERROR(__xludf.DUMMYFUNCTION("""COMPUTED_VALUE"""),25.0)</f>
        <v>25</v>
      </c>
      <c r="F3293" s="2">
        <f>IFERROR(__xludf.DUMMYFUNCTION("""COMPUTED_VALUE"""),1.0)</f>
        <v>1</v>
      </c>
      <c r="G3293" s="2">
        <f>IFERROR(__xludf.DUMMYFUNCTION("""COMPUTED_VALUE"""),2.0)</f>
        <v>2</v>
      </c>
      <c r="H3293" s="2" t="str">
        <f>IFERROR(__xludf.DUMMYFUNCTION("""COMPUTED_VALUE"""),"P. kara")</f>
        <v>P. kara</v>
      </c>
      <c r="I3293" s="2" t="str">
        <f>IFERROR(__xludf.DUMMYFUNCTION("""COMPUTED_VALUE"""),"Wood")</f>
        <v>Wood</v>
      </c>
      <c r="J3293" s="2" t="str">
        <f>IFERROR(__xludf.DUMMYFUNCTION("""COMPUTED_VALUE"""),"All amenities")</f>
        <v>All amenities</v>
      </c>
      <c r="K3293" s="2">
        <f>IFERROR(__xludf.DUMMYFUNCTION("""COMPUTED_VALUE"""),33000.0)</f>
        <v>33000</v>
      </c>
      <c r="L3293" s="2">
        <f>IFERROR(__xludf.DUMMYFUNCTION("""COMPUTED_VALUE"""),56.9214421)</f>
        <v>56.9214421</v>
      </c>
      <c r="M3293" s="2">
        <f>IFERROR(__xludf.DUMMYFUNCTION("""COMPUTED_VALUE"""),24.0459093)</f>
        <v>24.0459093</v>
      </c>
    </row>
    <row r="3294">
      <c r="A3294" s="2" t="str">
        <f>IFERROR(__xludf.DUMMYFUNCTION("""COMPUTED_VALUE"""),"For sale")</f>
        <v>For sale</v>
      </c>
      <c r="B3294" s="2" t="str">
        <f>IFERROR(__xludf.DUMMYFUNCTION("""COMPUTED_VALUE"""),"Imanta")</f>
        <v>Imanta</v>
      </c>
      <c r="C3294" s="2" t="str">
        <f>IFERROR(__xludf.DUMMYFUNCTION("""COMPUTED_VALUE"""),"Slokas 191")</f>
        <v>Slokas 191</v>
      </c>
      <c r="D3294" s="2">
        <f>IFERROR(__xludf.DUMMYFUNCTION("""COMPUTED_VALUE"""),2.0)</f>
        <v>2</v>
      </c>
      <c r="E3294" s="2">
        <f>IFERROR(__xludf.DUMMYFUNCTION("""COMPUTED_VALUE"""),51.0)</f>
        <v>51</v>
      </c>
      <c r="F3294" s="2">
        <f>IFERROR(__xludf.DUMMYFUNCTION("""COMPUTED_VALUE"""),4.0)</f>
        <v>4</v>
      </c>
      <c r="G3294" s="2">
        <f>IFERROR(__xludf.DUMMYFUNCTION("""COMPUTED_VALUE"""),5.0)</f>
        <v>5</v>
      </c>
      <c r="H3294" s="2" t="str">
        <f>IFERROR(__xludf.DUMMYFUNCTION("""COMPUTED_VALUE"""),"Specpr.")</f>
        <v>Specpr.</v>
      </c>
      <c r="I3294" s="2" t="str">
        <f>IFERROR(__xludf.DUMMYFUNCTION("""COMPUTED_VALUE"""),"Panel-Brick")</f>
        <v>Panel-Brick</v>
      </c>
      <c r="J3294" s="2" t="str">
        <f>IFERROR(__xludf.DUMMYFUNCTION("""COMPUTED_VALUE"""),"All amenities")</f>
        <v>All amenities</v>
      </c>
      <c r="K3294" s="2">
        <f>IFERROR(__xludf.DUMMYFUNCTION("""COMPUTED_VALUE"""),49000.0)</f>
        <v>49000</v>
      </c>
      <c r="L3294" s="2">
        <f>IFERROR(__xludf.DUMMYFUNCTION("""COMPUTED_VALUE"""),56.96321085)</f>
        <v>56.96321085</v>
      </c>
      <c r="M3294" s="2">
        <f>IFERROR(__xludf.DUMMYFUNCTION("""COMPUTED_VALUE"""),24.0176598773946)</f>
        <v>24.01765988</v>
      </c>
    </row>
    <row r="3295">
      <c r="A3295" s="2" t="str">
        <f>IFERROR(__xludf.DUMMYFUNCTION("""COMPUTED_VALUE"""),"For sale")</f>
        <v>For sale</v>
      </c>
      <c r="B3295" s="2" t="str">
        <f>IFERROR(__xludf.DUMMYFUNCTION("""COMPUTED_VALUE"""),"centrs")</f>
        <v>centrs</v>
      </c>
      <c r="C3295" s="2" t="str">
        <f>IFERROR(__xludf.DUMMYFUNCTION("""COMPUTED_VALUE"""),"Strēlnieku 19")</f>
        <v>Strēlnieku 19</v>
      </c>
      <c r="D3295" s="2">
        <f>IFERROR(__xludf.DUMMYFUNCTION("""COMPUTED_VALUE"""),3.0)</f>
        <v>3</v>
      </c>
      <c r="E3295" s="2">
        <f>IFERROR(__xludf.DUMMYFUNCTION("""COMPUTED_VALUE"""),79.0)</f>
        <v>79</v>
      </c>
      <c r="F3295" s="2">
        <f>IFERROR(__xludf.DUMMYFUNCTION("""COMPUTED_VALUE"""),1.0)</f>
        <v>1</v>
      </c>
      <c r="G3295" s="2">
        <f>IFERROR(__xludf.DUMMYFUNCTION("""COMPUTED_VALUE"""),3.0)</f>
        <v>3</v>
      </c>
      <c r="H3295" s="2" t="str">
        <f>IFERROR(__xludf.DUMMYFUNCTION("""COMPUTED_VALUE"""),"P. kara")</f>
        <v>P. kara</v>
      </c>
      <c r="I3295" s="2" t="str">
        <f>IFERROR(__xludf.DUMMYFUNCTION("""COMPUTED_VALUE"""),"Masonry")</f>
        <v>Masonry</v>
      </c>
      <c r="J3295" s="2" t="str">
        <f>IFERROR(__xludf.DUMMYFUNCTION("""COMPUTED_VALUE"""),"All amenities")</f>
        <v>All amenities</v>
      </c>
      <c r="K3295" s="2">
        <f>IFERROR(__xludf.DUMMYFUNCTION("""COMPUTED_VALUE"""),135000.0)</f>
        <v>135000</v>
      </c>
      <c r="L3295" s="2">
        <f>IFERROR(__xludf.DUMMYFUNCTION("""COMPUTED_VALUE"""),56.96130605)</f>
        <v>56.96130605</v>
      </c>
      <c r="M3295" s="2">
        <f>IFERROR(__xludf.DUMMYFUNCTION("""COMPUTED_VALUE"""),24.1105821948041)</f>
        <v>24.11058219</v>
      </c>
    </row>
    <row r="3296">
      <c r="A3296" s="2" t="str">
        <f>IFERROR(__xludf.DUMMYFUNCTION("""COMPUTED_VALUE"""),"For sale")</f>
        <v>For sale</v>
      </c>
      <c r="B3296" s="2" t="str">
        <f>IFERROR(__xludf.DUMMYFUNCTION("""COMPUTED_VALUE"""),"Pļavnieki")</f>
        <v>Pļavnieki</v>
      </c>
      <c r="C3296" s="2" t="str">
        <f>IFERROR(__xludf.DUMMYFUNCTION("""COMPUTED_VALUE"""),"Ilūkstes 18")</f>
        <v>Ilūkstes 18</v>
      </c>
      <c r="D3296" s="2">
        <f>IFERROR(__xludf.DUMMYFUNCTION("""COMPUTED_VALUE"""),2.0)</f>
        <v>2</v>
      </c>
      <c r="E3296" s="2">
        <f>IFERROR(__xludf.DUMMYFUNCTION("""COMPUTED_VALUE"""),50.0)</f>
        <v>50</v>
      </c>
      <c r="F3296" s="2">
        <f>IFERROR(__xludf.DUMMYFUNCTION("""COMPUTED_VALUE"""),3.0)</f>
        <v>3</v>
      </c>
      <c r="G3296" s="2">
        <f>IFERROR(__xludf.DUMMYFUNCTION("""COMPUTED_VALUE"""),9.0)</f>
        <v>9</v>
      </c>
      <c r="H3296" s="2">
        <f>IFERROR(__xludf.DUMMYFUNCTION("""COMPUTED_VALUE"""),602.0)</f>
        <v>602</v>
      </c>
      <c r="I3296" s="2" t="str">
        <f>IFERROR(__xludf.DUMMYFUNCTION("""COMPUTED_VALUE"""),"Panel")</f>
        <v>Panel</v>
      </c>
      <c r="J3296" s="2" t="str">
        <f>IFERROR(__xludf.DUMMYFUNCTION("""COMPUTED_VALUE"""),"All amenities")</f>
        <v>All amenities</v>
      </c>
      <c r="K3296" s="2">
        <f>IFERROR(__xludf.DUMMYFUNCTION("""COMPUTED_VALUE"""),45000.0)</f>
        <v>45000</v>
      </c>
      <c r="L3296" s="2">
        <f>IFERROR(__xludf.DUMMYFUNCTION("""COMPUTED_VALUE"""),56.938833)</f>
        <v>56.938833</v>
      </c>
      <c r="M3296" s="2">
        <f>IFERROR(__xludf.DUMMYFUNCTION("""COMPUTED_VALUE"""),24.196218600625)</f>
        <v>24.1962186</v>
      </c>
    </row>
    <row r="3297">
      <c r="A3297" s="2" t="str">
        <f>IFERROR(__xludf.DUMMYFUNCTION("""COMPUTED_VALUE"""),"For rent")</f>
        <v>For rent</v>
      </c>
      <c r="B3297" s="2" t="str">
        <f>IFERROR(__xludf.DUMMYFUNCTION("""COMPUTED_VALUE"""),"Grīziņkalns")</f>
        <v>Grīziņkalns</v>
      </c>
      <c r="C3297" s="2" t="str">
        <f>IFERROR(__xludf.DUMMYFUNCTION("""COMPUTED_VALUE"""),"Sapieru 1")</f>
        <v>Sapieru 1</v>
      </c>
      <c r="D3297" s="2">
        <f>IFERROR(__xludf.DUMMYFUNCTION("""COMPUTED_VALUE"""),1.0)</f>
        <v>1</v>
      </c>
      <c r="E3297" s="2">
        <f>IFERROR(__xludf.DUMMYFUNCTION("""COMPUTED_VALUE"""),25.0)</f>
        <v>25</v>
      </c>
      <c r="F3297" s="2">
        <f>IFERROR(__xludf.DUMMYFUNCTION("""COMPUTED_VALUE"""),3.0)</f>
        <v>3</v>
      </c>
      <c r="G3297" s="2">
        <f>IFERROR(__xludf.DUMMYFUNCTION("""COMPUTED_VALUE"""),3.0)</f>
        <v>3</v>
      </c>
      <c r="H3297" s="2" t="str">
        <f>IFERROR(__xludf.DUMMYFUNCTION("""COMPUTED_VALUE"""),"P. kara")</f>
        <v>P. kara</v>
      </c>
      <c r="I3297" s="2" t="str">
        <f>IFERROR(__xludf.DUMMYFUNCTION("""COMPUTED_VALUE"""),"Wood")</f>
        <v>Wood</v>
      </c>
      <c r="J3297" s="2" t="str">
        <f>IFERROR(__xludf.DUMMYFUNCTION("""COMPUTED_VALUE"""),"All amenities")</f>
        <v>All amenities</v>
      </c>
      <c r="K3297" s="2">
        <f>IFERROR(__xludf.DUMMYFUNCTION("""COMPUTED_VALUE"""),150.0)</f>
        <v>150</v>
      </c>
      <c r="L3297" s="2">
        <f>IFERROR(__xludf.DUMMYFUNCTION("""COMPUTED_VALUE"""),56.9635222)</f>
        <v>56.9635222</v>
      </c>
      <c r="M3297" s="2">
        <f>IFERROR(__xludf.DUMMYFUNCTION("""COMPUTED_VALUE"""),24.1527078687804)</f>
        <v>24.15270787</v>
      </c>
    </row>
    <row r="3298">
      <c r="A3298" s="2" t="str">
        <f>IFERROR(__xludf.DUMMYFUNCTION("""COMPUTED_VALUE"""),"For sale")</f>
        <v>For sale</v>
      </c>
      <c r="B3298" s="2" t="str">
        <f>IFERROR(__xludf.DUMMYFUNCTION("""COMPUTED_VALUE"""),"centrs")</f>
        <v>centrs</v>
      </c>
      <c r="C3298" s="2" t="str">
        <f>IFERROR(__xludf.DUMMYFUNCTION("""COMPUTED_VALUE"""),"Matīsa 17")</f>
        <v>Matīsa 17</v>
      </c>
      <c r="D3298" s="2">
        <f>IFERROR(__xludf.DUMMYFUNCTION("""COMPUTED_VALUE"""),2.0)</f>
        <v>2</v>
      </c>
      <c r="E3298" s="2">
        <f>IFERROR(__xludf.DUMMYFUNCTION("""COMPUTED_VALUE"""),52.2)</f>
        <v>52.2</v>
      </c>
      <c r="F3298" s="2">
        <f>IFERROR(__xludf.DUMMYFUNCTION("""COMPUTED_VALUE"""),5.0)</f>
        <v>5</v>
      </c>
      <c r="G3298" s="2">
        <f>IFERROR(__xludf.DUMMYFUNCTION("""COMPUTED_VALUE"""),5.0)</f>
        <v>5</v>
      </c>
      <c r="H3298" s="2" t="str">
        <f>IFERROR(__xludf.DUMMYFUNCTION("""COMPUTED_VALUE"""),"P. kara")</f>
        <v>P. kara</v>
      </c>
      <c r="I3298" s="2" t="str">
        <f>IFERROR(__xludf.DUMMYFUNCTION("""COMPUTED_VALUE"""),"Masonry")</f>
        <v>Masonry</v>
      </c>
      <c r="J3298" s="2" t="str">
        <f>IFERROR(__xludf.DUMMYFUNCTION("""COMPUTED_VALUE"""),"All amenities")</f>
        <v>All amenities</v>
      </c>
      <c r="K3298" s="2">
        <f>IFERROR(__xludf.DUMMYFUNCTION("""COMPUTED_VALUE"""),81500.0)</f>
        <v>81500</v>
      </c>
      <c r="L3298" s="2">
        <f>IFERROR(__xludf.DUMMYFUNCTION("""COMPUTED_VALUE"""),56.95772985)</f>
        <v>56.95772985</v>
      </c>
      <c r="M3298" s="2">
        <f>IFERROR(__xludf.DUMMYFUNCTION("""COMPUTED_VALUE"""),24.132314626027)</f>
        <v>24.13231463</v>
      </c>
    </row>
    <row r="3299">
      <c r="A3299" s="2" t="str">
        <f>IFERROR(__xludf.DUMMYFUNCTION("""COMPUTED_VALUE"""),"For sale")</f>
        <v>For sale</v>
      </c>
      <c r="B3299" s="2" t="str">
        <f>IFERROR(__xludf.DUMMYFUNCTION("""COMPUTED_VALUE"""),"Purvciems")</f>
        <v>Purvciems</v>
      </c>
      <c r="C3299" s="2" t="str">
        <f>IFERROR(__xludf.DUMMYFUNCTION("""COMPUTED_VALUE"""),"Staiceles 19")</f>
        <v>Staiceles 19</v>
      </c>
      <c r="D3299" s="2">
        <f>IFERROR(__xludf.DUMMYFUNCTION("""COMPUTED_VALUE"""),3.0)</f>
        <v>3</v>
      </c>
      <c r="E3299" s="2">
        <f>IFERROR(__xludf.DUMMYFUNCTION("""COMPUTED_VALUE"""),58.8)</f>
        <v>58.8</v>
      </c>
      <c r="F3299" s="2">
        <f>IFERROR(__xludf.DUMMYFUNCTION("""COMPUTED_VALUE"""),1.0)</f>
        <v>1</v>
      </c>
      <c r="G3299" s="2">
        <f>IFERROR(__xludf.DUMMYFUNCTION("""COMPUTED_VALUE"""),5.0)</f>
        <v>5</v>
      </c>
      <c r="H3299" s="2" t="str">
        <f>IFERROR(__xludf.DUMMYFUNCTION("""COMPUTED_VALUE"""),"LT proj.")</f>
        <v>LT proj.</v>
      </c>
      <c r="I3299" s="2" t="str">
        <f>IFERROR(__xludf.DUMMYFUNCTION("""COMPUTED_VALUE"""),"Panel")</f>
        <v>Panel</v>
      </c>
      <c r="J3299" s="2" t="str">
        <f>IFERROR(__xludf.DUMMYFUNCTION("""COMPUTED_VALUE"""),"All amenities")</f>
        <v>All amenities</v>
      </c>
      <c r="K3299" s="2">
        <f>IFERROR(__xludf.DUMMYFUNCTION("""COMPUTED_VALUE"""),59595.0)</f>
        <v>59595</v>
      </c>
      <c r="L3299" s="2">
        <f>IFERROR(__xludf.DUMMYFUNCTION("""COMPUTED_VALUE"""),56.95720875)</f>
        <v>56.95720875</v>
      </c>
      <c r="M3299" s="2">
        <f>IFERROR(__xludf.DUMMYFUNCTION("""COMPUTED_VALUE"""),24.1735762758692)</f>
        <v>24.17357628</v>
      </c>
    </row>
    <row r="3300">
      <c r="A3300" s="2" t="str">
        <f>IFERROR(__xludf.DUMMYFUNCTION("""COMPUTED_VALUE"""),"For sale")</f>
        <v>For sale</v>
      </c>
      <c r="B3300" s="2" t="str">
        <f>IFERROR(__xludf.DUMMYFUNCTION("""COMPUTED_VALUE"""),"Teika")</f>
        <v>Teika</v>
      </c>
      <c r="C3300" s="2" t="str">
        <f>IFERROR(__xludf.DUMMYFUNCTION("""COMPUTED_VALUE"""),"Brīvības gatve 281")</f>
        <v>Brīvības gatve 281</v>
      </c>
      <c r="D3300" s="2">
        <f>IFERROR(__xludf.DUMMYFUNCTION("""COMPUTED_VALUE"""),5.0)</f>
        <v>5</v>
      </c>
      <c r="E3300" s="2">
        <f>IFERROR(__xludf.DUMMYFUNCTION("""COMPUTED_VALUE"""),114.0)</f>
        <v>114</v>
      </c>
      <c r="F3300" s="2">
        <f>IFERROR(__xludf.DUMMYFUNCTION("""COMPUTED_VALUE"""),1.0)</f>
        <v>1</v>
      </c>
      <c r="G3300" s="2">
        <f>IFERROR(__xludf.DUMMYFUNCTION("""COMPUTED_VALUE"""),5.0)</f>
        <v>5</v>
      </c>
      <c r="H3300" s="2" t="str">
        <f>IFERROR(__xludf.DUMMYFUNCTION("""COMPUTED_VALUE"""),"Specpr.")</f>
        <v>Specpr.</v>
      </c>
      <c r="I3300" s="2" t="str">
        <f>IFERROR(__xludf.DUMMYFUNCTION("""COMPUTED_VALUE"""),"Brick")</f>
        <v>Brick</v>
      </c>
      <c r="J3300" s="2" t="str">
        <f>IFERROR(__xludf.DUMMYFUNCTION("""COMPUTED_VALUE"""),"All amenities")</f>
        <v>All amenities</v>
      </c>
      <c r="K3300" s="2">
        <f>IFERROR(__xludf.DUMMYFUNCTION("""COMPUTED_VALUE"""),89000.0)</f>
        <v>89000</v>
      </c>
      <c r="L3300" s="2">
        <f>IFERROR(__xludf.DUMMYFUNCTION("""COMPUTED_VALUE"""),56.9802504)</f>
        <v>56.9802504</v>
      </c>
      <c r="M3300" s="2">
        <f>IFERROR(__xludf.DUMMYFUNCTION("""COMPUTED_VALUE"""),24.1887502)</f>
        <v>24.1887502</v>
      </c>
    </row>
    <row r="3301">
      <c r="A3301" s="2" t="str">
        <f>IFERROR(__xludf.DUMMYFUNCTION("""COMPUTED_VALUE"""),"For sale")</f>
        <v>For sale</v>
      </c>
      <c r="B3301" s="2" t="str">
        <f>IFERROR(__xludf.DUMMYFUNCTION("""COMPUTED_VALUE"""),"Dārzciems")</f>
        <v>Dārzciems</v>
      </c>
      <c r="C3301" s="2" t="str">
        <f>IFERROR(__xludf.DUMMYFUNCTION("""COMPUTED_VALUE"""),"Lubānas 56")</f>
        <v>Lubānas 56</v>
      </c>
      <c r="D3301" s="2">
        <f>IFERROR(__xludf.DUMMYFUNCTION("""COMPUTED_VALUE"""),3.0)</f>
        <v>3</v>
      </c>
      <c r="E3301" s="2">
        <f>IFERROR(__xludf.DUMMYFUNCTION("""COMPUTED_VALUE"""),65.0)</f>
        <v>65</v>
      </c>
      <c r="F3301" s="2">
        <f>IFERROR(__xludf.DUMMYFUNCTION("""COMPUTED_VALUE"""),4.0)</f>
        <v>4</v>
      </c>
      <c r="G3301" s="2">
        <f>IFERROR(__xludf.DUMMYFUNCTION("""COMPUTED_VALUE"""),9.0)</f>
        <v>9</v>
      </c>
      <c r="H3301" s="2">
        <f>IFERROR(__xludf.DUMMYFUNCTION("""COMPUTED_VALUE"""),467.0)</f>
        <v>467</v>
      </c>
      <c r="I3301" s="2" t="str">
        <f>IFERROR(__xludf.DUMMYFUNCTION("""COMPUTED_VALUE"""),"Panel")</f>
        <v>Panel</v>
      </c>
      <c r="J3301" s="2" t="str">
        <f>IFERROR(__xludf.DUMMYFUNCTION("""COMPUTED_VALUE"""),"All amenities")</f>
        <v>All amenities</v>
      </c>
      <c r="K3301" s="2">
        <f>IFERROR(__xludf.DUMMYFUNCTION("""COMPUTED_VALUE"""),53700.0)</f>
        <v>53700</v>
      </c>
      <c r="L3301" s="2">
        <f>IFERROR(__xludf.DUMMYFUNCTION("""COMPUTED_VALUE"""),56.93144315)</f>
        <v>56.93144315</v>
      </c>
      <c r="M3301" s="2">
        <f>IFERROR(__xludf.DUMMYFUNCTION("""COMPUTED_VALUE"""),24.1757569002296)</f>
        <v>24.1757569</v>
      </c>
    </row>
    <row r="3302">
      <c r="A3302" s="2" t="str">
        <f>IFERROR(__xludf.DUMMYFUNCTION("""COMPUTED_VALUE"""),"For rent")</f>
        <v>For rent</v>
      </c>
      <c r="B3302" s="2" t="str">
        <f>IFERROR(__xludf.DUMMYFUNCTION("""COMPUTED_VALUE"""),"Imanta")</f>
        <v>Imanta</v>
      </c>
      <c r="C3302" s="2" t="str">
        <f>IFERROR(__xludf.DUMMYFUNCTION("""COMPUTED_VALUE"""),"Anniņmuižas bulvāris 43")</f>
        <v>Anniņmuižas bulvāris 43</v>
      </c>
      <c r="D3302" s="2">
        <f>IFERROR(__xludf.DUMMYFUNCTION("""COMPUTED_VALUE"""),3.0)</f>
        <v>3</v>
      </c>
      <c r="E3302" s="2">
        <f>IFERROR(__xludf.DUMMYFUNCTION("""COMPUTED_VALUE"""),80.0)</f>
        <v>80</v>
      </c>
      <c r="F3302" s="2">
        <f>IFERROR(__xludf.DUMMYFUNCTION("""COMPUTED_VALUE"""),17.0)</f>
        <v>17</v>
      </c>
      <c r="G3302" s="2">
        <f>IFERROR(__xludf.DUMMYFUNCTION("""COMPUTED_VALUE"""),24.0)</f>
        <v>24</v>
      </c>
      <c r="H3302" s="2" t="str">
        <f>IFERROR(__xludf.DUMMYFUNCTION("""COMPUTED_VALUE"""),"Jaun.")</f>
        <v>Jaun.</v>
      </c>
      <c r="I3302" s="2" t="str">
        <f>IFERROR(__xludf.DUMMYFUNCTION("""COMPUTED_VALUE"""),"Masonry")</f>
        <v>Masonry</v>
      </c>
      <c r="J3302" s="2" t="str">
        <f>IFERROR(__xludf.DUMMYFUNCTION("""COMPUTED_VALUE"""),"All amenities")</f>
        <v>All amenities</v>
      </c>
      <c r="K3302" s="2">
        <f>IFERROR(__xludf.DUMMYFUNCTION("""COMPUTED_VALUE"""),650.0)</f>
        <v>650</v>
      </c>
      <c r="L3302" s="2">
        <f>IFERROR(__xludf.DUMMYFUNCTION("""COMPUTED_VALUE"""),56.9590306)</f>
        <v>56.9590306</v>
      </c>
      <c r="M3302" s="2">
        <f>IFERROR(__xludf.DUMMYFUNCTION("""COMPUTED_VALUE"""),24.013887042853)</f>
        <v>24.01388704</v>
      </c>
    </row>
    <row r="3303">
      <c r="A3303" s="2" t="str">
        <f>IFERROR(__xludf.DUMMYFUNCTION("""COMPUTED_VALUE"""),"For rent")</f>
        <v>For rent</v>
      </c>
      <c r="B3303" s="2" t="str">
        <f>IFERROR(__xludf.DUMMYFUNCTION("""COMPUTED_VALUE"""),"centrs")</f>
        <v>centrs</v>
      </c>
      <c r="C3303" s="2" t="str">
        <f>IFERROR(__xludf.DUMMYFUNCTION("""COMPUTED_VALUE"""),"Cēsu 5")</f>
        <v>Cēsu 5</v>
      </c>
      <c r="D3303" s="2">
        <f>IFERROR(__xludf.DUMMYFUNCTION("""COMPUTED_VALUE"""),3.0)</f>
        <v>3</v>
      </c>
      <c r="E3303" s="2">
        <f>IFERROR(__xludf.DUMMYFUNCTION("""COMPUTED_VALUE"""),70.0)</f>
        <v>70</v>
      </c>
      <c r="F3303" s="2">
        <f>IFERROR(__xludf.DUMMYFUNCTION("""COMPUTED_VALUE"""),4.0)</f>
        <v>4</v>
      </c>
      <c r="G3303" s="2">
        <f>IFERROR(__xludf.DUMMYFUNCTION("""COMPUTED_VALUE"""),5.0)</f>
        <v>5</v>
      </c>
      <c r="H3303" s="2" t="str">
        <f>IFERROR(__xludf.DUMMYFUNCTION("""COMPUTED_VALUE"""),"P. kara")</f>
        <v>P. kara</v>
      </c>
      <c r="I3303" s="2" t="str">
        <f>IFERROR(__xludf.DUMMYFUNCTION("""COMPUTED_VALUE"""),"Brick")</f>
        <v>Brick</v>
      </c>
      <c r="J3303" s="2" t="str">
        <f>IFERROR(__xludf.DUMMYFUNCTION("""COMPUTED_VALUE"""),"All amenities")</f>
        <v>All amenities</v>
      </c>
      <c r="K3303" s="2">
        <f>IFERROR(__xludf.DUMMYFUNCTION("""COMPUTED_VALUE"""),550.0)</f>
        <v>550</v>
      </c>
      <c r="L3303" s="2">
        <f>IFERROR(__xludf.DUMMYFUNCTION("""COMPUTED_VALUE"""),56.9642651)</f>
        <v>56.9642651</v>
      </c>
      <c r="M3303" s="2">
        <f>IFERROR(__xludf.DUMMYFUNCTION("""COMPUTED_VALUE"""),24.1370086)</f>
        <v>24.1370086</v>
      </c>
    </row>
    <row r="3304">
      <c r="A3304" s="2" t="str">
        <f>IFERROR(__xludf.DUMMYFUNCTION("""COMPUTED_VALUE"""),"For sale")</f>
        <v>For sale</v>
      </c>
      <c r="B3304" s="2" t="str">
        <f>IFERROR(__xludf.DUMMYFUNCTION("""COMPUTED_VALUE"""),"Āgenskalns")</f>
        <v>Āgenskalns</v>
      </c>
      <c r="C3304" s="2" t="str">
        <f>IFERROR(__xludf.DUMMYFUNCTION("""COMPUTED_VALUE"""),"Daugavgrīvas 68a")</f>
        <v>Daugavgrīvas 68a</v>
      </c>
      <c r="D3304" s="2">
        <f>IFERROR(__xludf.DUMMYFUNCTION("""COMPUTED_VALUE"""),2.0)</f>
        <v>2</v>
      </c>
      <c r="E3304" s="2">
        <f>IFERROR(__xludf.DUMMYFUNCTION("""COMPUTED_VALUE"""),66.0)</f>
        <v>66</v>
      </c>
      <c r="F3304" s="2">
        <f>IFERROR(__xludf.DUMMYFUNCTION("""COMPUTED_VALUE"""),2.0)</f>
        <v>2</v>
      </c>
      <c r="G3304" s="2">
        <f>IFERROR(__xludf.DUMMYFUNCTION("""COMPUTED_VALUE"""),5.0)</f>
        <v>5</v>
      </c>
      <c r="H3304" s="2" t="str">
        <f>IFERROR(__xludf.DUMMYFUNCTION("""COMPUTED_VALUE"""),"Staļina")</f>
        <v>Staļina</v>
      </c>
      <c r="I3304" s="2" t="str">
        <f>IFERROR(__xludf.DUMMYFUNCTION("""COMPUTED_VALUE"""),"Masonry")</f>
        <v>Masonry</v>
      </c>
      <c r="J3304" s="2" t="str">
        <f>IFERROR(__xludf.DUMMYFUNCTION("""COMPUTED_VALUE"""),"All amenities")</f>
        <v>All amenities</v>
      </c>
      <c r="K3304" s="2">
        <f>IFERROR(__xludf.DUMMYFUNCTION("""COMPUTED_VALUE"""),75000.0)</f>
        <v>75000</v>
      </c>
      <c r="L3304" s="2">
        <f>IFERROR(__xludf.DUMMYFUNCTION("""COMPUTED_VALUE"""),56.9559909)</f>
        <v>56.9559909</v>
      </c>
      <c r="M3304" s="2">
        <f>IFERROR(__xludf.DUMMYFUNCTION("""COMPUTED_VALUE"""),24.0695827)</f>
        <v>24.0695827</v>
      </c>
    </row>
    <row r="3305">
      <c r="A3305" s="2" t="str">
        <f>IFERROR(__xludf.DUMMYFUNCTION("""COMPUTED_VALUE"""),"For rent")</f>
        <v>For rent</v>
      </c>
      <c r="B3305" s="2" t="str">
        <f>IFERROR(__xludf.DUMMYFUNCTION("""COMPUTED_VALUE"""),"VEF")</f>
        <v>VEF</v>
      </c>
      <c r="C3305" s="2" t="str">
        <f>IFERROR(__xludf.DUMMYFUNCTION("""COMPUTED_VALUE"""),"Ropažu 5")</f>
        <v>Ropažu 5</v>
      </c>
      <c r="D3305" s="2">
        <f>IFERROR(__xludf.DUMMYFUNCTION("""COMPUTED_VALUE"""),3.0)</f>
        <v>3</v>
      </c>
      <c r="E3305" s="2">
        <f>IFERROR(__xludf.DUMMYFUNCTION("""COMPUTED_VALUE"""),67.0)</f>
        <v>67</v>
      </c>
      <c r="F3305" s="2">
        <f>IFERROR(__xludf.DUMMYFUNCTION("""COMPUTED_VALUE"""),1.0)</f>
        <v>1</v>
      </c>
      <c r="G3305" s="2">
        <f>IFERROR(__xludf.DUMMYFUNCTION("""COMPUTED_VALUE"""),5.0)</f>
        <v>5</v>
      </c>
      <c r="H3305" s="2" t="str">
        <f>IFERROR(__xludf.DUMMYFUNCTION("""COMPUTED_VALUE"""),"LT proj.")</f>
        <v>LT proj.</v>
      </c>
      <c r="I3305" s="2" t="str">
        <f>IFERROR(__xludf.DUMMYFUNCTION("""COMPUTED_VALUE"""),"Brick")</f>
        <v>Brick</v>
      </c>
      <c r="J3305" s="2" t="str">
        <f>IFERROR(__xludf.DUMMYFUNCTION("""COMPUTED_VALUE"""),"All amenities")</f>
        <v>All amenities</v>
      </c>
      <c r="K3305" s="2">
        <f>IFERROR(__xludf.DUMMYFUNCTION("""COMPUTED_VALUE"""),540.0)</f>
        <v>540</v>
      </c>
      <c r="L3305" s="2">
        <f>IFERROR(__xludf.DUMMYFUNCTION("""COMPUTED_VALUE"""),56.9754427999999)</f>
        <v>56.9754428</v>
      </c>
      <c r="M3305" s="2">
        <f>IFERROR(__xludf.DUMMYFUNCTION("""COMPUTED_VALUE"""),24.1697060953248)</f>
        <v>24.1697061</v>
      </c>
    </row>
    <row r="3306">
      <c r="A3306" s="2" t="str">
        <f>IFERROR(__xludf.DUMMYFUNCTION("""COMPUTED_VALUE"""),"For rent")</f>
        <v>For rent</v>
      </c>
      <c r="B3306" s="2" t="str">
        <f>IFERROR(__xludf.DUMMYFUNCTION("""COMPUTED_VALUE"""),"Teika")</f>
        <v>Teika</v>
      </c>
      <c r="C3306" s="2" t="str">
        <f>IFERROR(__xludf.DUMMYFUNCTION("""COMPUTED_VALUE"""),"Ropažu 5")</f>
        <v>Ropažu 5</v>
      </c>
      <c r="D3306" s="2">
        <f>IFERROR(__xludf.DUMMYFUNCTION("""COMPUTED_VALUE"""),3.0)</f>
        <v>3</v>
      </c>
      <c r="E3306" s="2">
        <f>IFERROR(__xludf.DUMMYFUNCTION("""COMPUTED_VALUE"""),67.0)</f>
        <v>67</v>
      </c>
      <c r="F3306" s="2">
        <f>IFERROR(__xludf.DUMMYFUNCTION("""COMPUTED_VALUE"""),1.0)</f>
        <v>1</v>
      </c>
      <c r="G3306" s="2">
        <f>IFERROR(__xludf.DUMMYFUNCTION("""COMPUTED_VALUE"""),5.0)</f>
        <v>5</v>
      </c>
      <c r="H3306" s="2" t="str">
        <f>IFERROR(__xludf.DUMMYFUNCTION("""COMPUTED_VALUE"""),"LT proj.")</f>
        <v>LT proj.</v>
      </c>
      <c r="I3306" s="2" t="str">
        <f>IFERROR(__xludf.DUMMYFUNCTION("""COMPUTED_VALUE"""),"Brick")</f>
        <v>Brick</v>
      </c>
      <c r="J3306" s="2" t="str">
        <f>IFERROR(__xludf.DUMMYFUNCTION("""COMPUTED_VALUE"""),"All amenities")</f>
        <v>All amenities</v>
      </c>
      <c r="K3306" s="2">
        <f>IFERROR(__xludf.DUMMYFUNCTION("""COMPUTED_VALUE"""),540.0)</f>
        <v>540</v>
      </c>
      <c r="L3306" s="2">
        <f>IFERROR(__xludf.DUMMYFUNCTION("""COMPUTED_VALUE"""),56.9754427999999)</f>
        <v>56.9754428</v>
      </c>
      <c r="M3306" s="2">
        <f>IFERROR(__xludf.DUMMYFUNCTION("""COMPUTED_VALUE"""),24.1697060953248)</f>
        <v>24.1697061</v>
      </c>
    </row>
    <row r="3307">
      <c r="A3307" s="2" t="str">
        <f>IFERROR(__xludf.DUMMYFUNCTION("""COMPUTED_VALUE"""),"For sale")</f>
        <v>For sale</v>
      </c>
      <c r="B3307" s="2" t="str">
        <f>IFERROR(__xludf.DUMMYFUNCTION("""COMPUTED_VALUE"""),"centrs")</f>
        <v>centrs</v>
      </c>
      <c r="C3307" s="2" t="str">
        <f>IFERROR(__xludf.DUMMYFUNCTION("""COMPUTED_VALUE"""),"Valdemāra 76")</f>
        <v>Valdemāra 76</v>
      </c>
      <c r="D3307" s="2">
        <f>IFERROR(__xludf.DUMMYFUNCTION("""COMPUTED_VALUE"""),3.0)</f>
        <v>3</v>
      </c>
      <c r="E3307" s="2">
        <f>IFERROR(__xludf.DUMMYFUNCTION("""COMPUTED_VALUE"""),80.0)</f>
        <v>80</v>
      </c>
      <c r="F3307" s="2">
        <f>IFERROR(__xludf.DUMMYFUNCTION("""COMPUTED_VALUE"""),2.0)</f>
        <v>2</v>
      </c>
      <c r="G3307" s="2">
        <f>IFERROR(__xludf.DUMMYFUNCTION("""COMPUTED_VALUE"""),9.0)</f>
        <v>9</v>
      </c>
      <c r="H3307" s="2" t="str">
        <f>IFERROR(__xludf.DUMMYFUNCTION("""COMPUTED_VALUE"""),"Specpr.")</f>
        <v>Specpr.</v>
      </c>
      <c r="I3307" s="2" t="str">
        <f>IFERROR(__xludf.DUMMYFUNCTION("""COMPUTED_VALUE"""),"Brick")</f>
        <v>Brick</v>
      </c>
      <c r="J3307" s="2" t="str">
        <f>IFERROR(__xludf.DUMMYFUNCTION("""COMPUTED_VALUE"""),"All amenities")</f>
        <v>All amenities</v>
      </c>
      <c r="K3307" s="2">
        <f>IFERROR(__xludf.DUMMYFUNCTION("""COMPUTED_VALUE"""),105000.0)</f>
        <v>105000</v>
      </c>
      <c r="L3307" s="2">
        <f>IFERROR(__xludf.DUMMYFUNCTION("""COMPUTED_VALUE"""),56.96885245)</f>
        <v>56.96885245</v>
      </c>
      <c r="M3307" s="2">
        <f>IFERROR(__xludf.DUMMYFUNCTION("""COMPUTED_VALUE"""),24.13257603943)</f>
        <v>24.13257604</v>
      </c>
    </row>
    <row r="3308">
      <c r="A3308" s="2" t="str">
        <f>IFERROR(__xludf.DUMMYFUNCTION("""COMPUTED_VALUE"""),"For sale")</f>
        <v>For sale</v>
      </c>
      <c r="B3308" s="2" t="str">
        <f>IFERROR(__xludf.DUMMYFUNCTION("""COMPUTED_VALUE"""),"Iļģuciems")</f>
        <v>Iļģuciems</v>
      </c>
      <c r="C3308" s="2" t="str">
        <f>IFERROR(__xludf.DUMMYFUNCTION("""COMPUTED_VALUE"""),"Skujenes 13")</f>
        <v>Skujenes 13</v>
      </c>
      <c r="D3308" s="2">
        <f>IFERROR(__xludf.DUMMYFUNCTION("""COMPUTED_VALUE"""),2.0)</f>
        <v>2</v>
      </c>
      <c r="E3308" s="2">
        <f>IFERROR(__xludf.DUMMYFUNCTION("""COMPUTED_VALUE"""),45.0)</f>
        <v>45</v>
      </c>
      <c r="F3308" s="2">
        <f>IFERROR(__xludf.DUMMYFUNCTION("""COMPUTED_VALUE"""),2.0)</f>
        <v>2</v>
      </c>
      <c r="G3308" s="2">
        <f>IFERROR(__xludf.DUMMYFUNCTION("""COMPUTED_VALUE"""),5.0)</f>
        <v>5</v>
      </c>
      <c r="H3308" s="2" t="str">
        <f>IFERROR(__xludf.DUMMYFUNCTION("""COMPUTED_VALUE"""),"LT proj.")</f>
        <v>LT proj.</v>
      </c>
      <c r="I3308" s="2" t="str">
        <f>IFERROR(__xludf.DUMMYFUNCTION("""COMPUTED_VALUE"""),"Brick-Panel")</f>
        <v>Brick-Panel</v>
      </c>
      <c r="J3308" s="2" t="str">
        <f>IFERROR(__xludf.DUMMYFUNCTION("""COMPUTED_VALUE"""),"All amenities")</f>
        <v>All amenities</v>
      </c>
      <c r="K3308" s="2">
        <f>IFERROR(__xludf.DUMMYFUNCTION("""COMPUTED_VALUE"""),46500.0)</f>
        <v>46500</v>
      </c>
      <c r="L3308" s="2">
        <f>IFERROR(__xludf.DUMMYFUNCTION("""COMPUTED_VALUE"""),56.96306045)</f>
        <v>56.96306045</v>
      </c>
      <c r="M3308" s="2">
        <f>IFERROR(__xludf.DUMMYFUNCTION("""COMPUTED_VALUE"""),24.0479363756081)</f>
        <v>24.04793638</v>
      </c>
    </row>
    <row r="3309">
      <c r="A3309" s="2" t="str">
        <f>IFERROR(__xludf.DUMMYFUNCTION("""COMPUTED_VALUE"""),"For sale")</f>
        <v>For sale</v>
      </c>
      <c r="B3309" s="2" t="str">
        <f>IFERROR(__xludf.DUMMYFUNCTION("""COMPUTED_VALUE"""),"Čiekurkalns")</f>
        <v>Čiekurkalns</v>
      </c>
      <c r="C3309" s="2" t="str">
        <f>IFERROR(__xludf.DUMMYFUNCTION("""COMPUTED_VALUE"""),"Čiekurkalna 8. šķ l. 1b")</f>
        <v>Čiekurkalna 8. šķ l. 1b</v>
      </c>
      <c r="D3309" s="2">
        <f>IFERROR(__xludf.DUMMYFUNCTION("""COMPUTED_VALUE"""),2.0)</f>
        <v>2</v>
      </c>
      <c r="E3309" s="2">
        <f>IFERROR(__xludf.DUMMYFUNCTION("""COMPUTED_VALUE"""),35.0)</f>
        <v>35</v>
      </c>
      <c r="F3309" s="2">
        <f>IFERROR(__xludf.DUMMYFUNCTION("""COMPUTED_VALUE"""),1.0)</f>
        <v>1</v>
      </c>
      <c r="G3309" s="2">
        <f>IFERROR(__xludf.DUMMYFUNCTION("""COMPUTED_VALUE"""),1.0)</f>
        <v>1</v>
      </c>
      <c r="H3309" s="2" t="str">
        <f>IFERROR(__xludf.DUMMYFUNCTION("""COMPUTED_VALUE"""),"Specpr.")</f>
        <v>Specpr.</v>
      </c>
      <c r="I3309" s="2" t="str">
        <f>IFERROR(__xludf.DUMMYFUNCTION("""COMPUTED_VALUE"""),"Brick-Panel")</f>
        <v>Brick-Panel</v>
      </c>
      <c r="J3309" s="2" t="str">
        <f>IFERROR(__xludf.DUMMYFUNCTION("""COMPUTED_VALUE"""),"All amenities")</f>
        <v>All amenities</v>
      </c>
      <c r="K3309" s="2">
        <f>IFERROR(__xludf.DUMMYFUNCTION("""COMPUTED_VALUE"""),34000.0)</f>
        <v>34000</v>
      </c>
      <c r="L3309" s="2" t="str">
        <f>IFERROR(__xludf.DUMMYFUNCTION("""COMPUTED_VALUE"""),"NaN")</f>
        <v>NaN</v>
      </c>
      <c r="M3309" s="2" t="str">
        <f>IFERROR(__xludf.DUMMYFUNCTION("""COMPUTED_VALUE"""),"NaN")</f>
        <v>NaN</v>
      </c>
    </row>
    <row r="3310">
      <c r="A3310" s="2" t="str">
        <f>IFERROR(__xludf.DUMMYFUNCTION("""COMPUTED_VALUE"""),"For sale")</f>
        <v>For sale</v>
      </c>
      <c r="B3310" s="2" t="str">
        <f>IFERROR(__xludf.DUMMYFUNCTION("""COMPUTED_VALUE"""),"Mežaparks")</f>
        <v>Mežaparks</v>
      </c>
      <c r="C3310" s="2" t="str">
        <f>IFERROR(__xludf.DUMMYFUNCTION("""COMPUTED_VALUE"""),"Viestura pr. 59")</f>
        <v>Viestura pr. 59</v>
      </c>
      <c r="D3310" s="2">
        <f>IFERROR(__xludf.DUMMYFUNCTION("""COMPUTED_VALUE"""),2.0)</f>
        <v>2</v>
      </c>
      <c r="E3310" s="2">
        <f>IFERROR(__xludf.DUMMYFUNCTION("""COMPUTED_VALUE"""),47.0)</f>
        <v>47</v>
      </c>
      <c r="F3310" s="2">
        <f>IFERROR(__xludf.DUMMYFUNCTION("""COMPUTED_VALUE"""),9.0)</f>
        <v>9</v>
      </c>
      <c r="G3310" s="2">
        <f>IFERROR(__xludf.DUMMYFUNCTION("""COMPUTED_VALUE"""),10.0)</f>
        <v>10</v>
      </c>
      <c r="H3310" s="2" t="str">
        <f>IFERROR(__xludf.DUMMYFUNCTION("""COMPUTED_VALUE"""),"Specpr.")</f>
        <v>Specpr.</v>
      </c>
      <c r="I3310" s="2" t="str">
        <f>IFERROR(__xludf.DUMMYFUNCTION("""COMPUTED_VALUE"""),"Brick")</f>
        <v>Brick</v>
      </c>
      <c r="J3310" s="2" t="str">
        <f>IFERROR(__xludf.DUMMYFUNCTION("""COMPUTED_VALUE"""),"All amenities")</f>
        <v>All amenities</v>
      </c>
      <c r="K3310" s="2">
        <f>IFERROR(__xludf.DUMMYFUNCTION("""COMPUTED_VALUE"""),49000.0)</f>
        <v>49000</v>
      </c>
      <c r="L3310" s="2">
        <f>IFERROR(__xludf.DUMMYFUNCTION("""COMPUTED_VALUE"""),56.9984366)</f>
        <v>56.9984366</v>
      </c>
      <c r="M3310" s="2">
        <f>IFERROR(__xludf.DUMMYFUNCTION("""COMPUTED_VALUE"""),24.1328951)</f>
        <v>24.1328951</v>
      </c>
    </row>
    <row r="3311">
      <c r="A3311" s="2" t="str">
        <f>IFERROR(__xludf.DUMMYFUNCTION("""COMPUTED_VALUE"""),"For sale")</f>
        <v>For sale</v>
      </c>
      <c r="B3311" s="2" t="str">
        <f>IFERROR(__xludf.DUMMYFUNCTION("""COMPUTED_VALUE"""),"Ķengarags")</f>
        <v>Ķengarags</v>
      </c>
      <c r="C3311" s="2" t="str">
        <f>IFERROR(__xludf.DUMMYFUNCTION("""COMPUTED_VALUE"""),"Dubnas 8")</f>
        <v>Dubnas 8</v>
      </c>
      <c r="D3311" s="2">
        <f>IFERROR(__xludf.DUMMYFUNCTION("""COMPUTED_VALUE"""),1.0)</f>
        <v>1</v>
      </c>
      <c r="E3311" s="2">
        <f>IFERROR(__xludf.DUMMYFUNCTION("""COMPUTED_VALUE"""),42.0)</f>
        <v>42</v>
      </c>
      <c r="F3311" s="2">
        <f>IFERROR(__xludf.DUMMYFUNCTION("""COMPUTED_VALUE"""),1.0)</f>
        <v>1</v>
      </c>
      <c r="G3311" s="2">
        <f>IFERROR(__xludf.DUMMYFUNCTION("""COMPUTED_VALUE"""),12.0)</f>
        <v>12</v>
      </c>
      <c r="H3311" s="2" t="str">
        <f>IFERROR(__xludf.DUMMYFUNCTION("""COMPUTED_VALUE"""),"M. ģim.")</f>
        <v>M. ģim.</v>
      </c>
      <c r="I3311" s="2" t="str">
        <f>IFERROR(__xludf.DUMMYFUNCTION("""COMPUTED_VALUE"""),"Brick")</f>
        <v>Brick</v>
      </c>
      <c r="J3311" s="2" t="str">
        <f>IFERROR(__xludf.DUMMYFUNCTION("""COMPUTED_VALUE"""),"All amenities")</f>
        <v>All amenities</v>
      </c>
      <c r="K3311" s="2">
        <f>IFERROR(__xludf.DUMMYFUNCTION("""COMPUTED_VALUE"""),29500.0)</f>
        <v>29500</v>
      </c>
      <c r="L3311" s="2">
        <f>IFERROR(__xludf.DUMMYFUNCTION("""COMPUTED_VALUE"""),56.90431635)</f>
        <v>56.90431635</v>
      </c>
      <c r="M3311" s="2">
        <f>IFERROR(__xludf.DUMMYFUNCTION("""COMPUTED_VALUE"""),24.1976524370901)</f>
        <v>24.19765244</v>
      </c>
    </row>
    <row r="3312">
      <c r="A3312" s="2" t="str">
        <f>IFERROR(__xludf.DUMMYFUNCTION("""COMPUTED_VALUE"""),"For sale")</f>
        <v>For sale</v>
      </c>
      <c r="B3312" s="2" t="str">
        <f>IFERROR(__xludf.DUMMYFUNCTION("""COMPUTED_VALUE"""),"Dārzciems")</f>
        <v>Dārzciems</v>
      </c>
      <c r="C3312" s="2" t="str">
        <f>IFERROR(__xludf.DUMMYFUNCTION("""COMPUTED_VALUE"""),"Preiļu 4")</f>
        <v>Preiļu 4</v>
      </c>
      <c r="D3312" s="2">
        <f>IFERROR(__xludf.DUMMYFUNCTION("""COMPUTED_VALUE"""),3.0)</f>
        <v>3</v>
      </c>
      <c r="E3312" s="2">
        <f>IFERROR(__xludf.DUMMYFUNCTION("""COMPUTED_VALUE"""),71.0)</f>
        <v>71</v>
      </c>
      <c r="F3312" s="2">
        <f>IFERROR(__xludf.DUMMYFUNCTION("""COMPUTED_VALUE"""),2.0)</f>
        <v>2</v>
      </c>
      <c r="G3312" s="2">
        <f>IFERROR(__xludf.DUMMYFUNCTION("""COMPUTED_VALUE"""),5.0)</f>
        <v>5</v>
      </c>
      <c r="H3312" s="2" t="str">
        <f>IFERROR(__xludf.DUMMYFUNCTION("""COMPUTED_VALUE"""),"Specpr.")</f>
        <v>Specpr.</v>
      </c>
      <c r="I3312" s="2" t="str">
        <f>IFERROR(__xludf.DUMMYFUNCTION("""COMPUTED_VALUE"""),"Masonry")</f>
        <v>Masonry</v>
      </c>
      <c r="J3312" s="2" t="str">
        <f>IFERROR(__xludf.DUMMYFUNCTION("""COMPUTED_VALUE"""),"All amenities")</f>
        <v>All amenities</v>
      </c>
      <c r="K3312" s="2">
        <f>IFERROR(__xludf.DUMMYFUNCTION("""COMPUTED_VALUE"""),65000.0)</f>
        <v>65000</v>
      </c>
      <c r="L3312" s="2">
        <f>IFERROR(__xludf.DUMMYFUNCTION("""COMPUTED_VALUE"""),56.9370581999999)</f>
        <v>56.9370582</v>
      </c>
      <c r="M3312" s="2">
        <f>IFERROR(__xludf.DUMMYFUNCTION("""COMPUTED_VALUE"""),24.1880804001862)</f>
        <v>24.1880804</v>
      </c>
    </row>
    <row r="3313">
      <c r="A3313" s="2" t="str">
        <f>IFERROR(__xludf.DUMMYFUNCTION("""COMPUTED_VALUE"""),"For rent")</f>
        <v>For rent</v>
      </c>
      <c r="B3313" s="2" t="str">
        <f>IFERROR(__xludf.DUMMYFUNCTION("""COMPUTED_VALUE"""),"centrs")</f>
        <v>centrs</v>
      </c>
      <c r="C3313" s="2" t="str">
        <f>IFERROR(__xludf.DUMMYFUNCTION("""COMPUTED_VALUE"""),"Merķeļa 1")</f>
        <v>Merķeļa 1</v>
      </c>
      <c r="D3313" s="2">
        <f>IFERROR(__xludf.DUMMYFUNCTION("""COMPUTED_VALUE"""),1.0)</f>
        <v>1</v>
      </c>
      <c r="E3313" s="2">
        <f>IFERROR(__xludf.DUMMYFUNCTION("""COMPUTED_VALUE"""),24.0)</f>
        <v>24</v>
      </c>
      <c r="F3313" s="2">
        <f>IFERROR(__xludf.DUMMYFUNCTION("""COMPUTED_VALUE"""),4.0)</f>
        <v>4</v>
      </c>
      <c r="G3313" s="2">
        <f>IFERROR(__xludf.DUMMYFUNCTION("""COMPUTED_VALUE"""),6.0)</f>
        <v>6</v>
      </c>
      <c r="H3313" s="2" t="str">
        <f>IFERROR(__xludf.DUMMYFUNCTION("""COMPUTED_VALUE"""),"P. kara")</f>
        <v>P. kara</v>
      </c>
      <c r="I3313" s="2" t="str">
        <f>IFERROR(__xludf.DUMMYFUNCTION("""COMPUTED_VALUE"""),"Brick")</f>
        <v>Brick</v>
      </c>
      <c r="J3313" s="2" t="str">
        <f>IFERROR(__xludf.DUMMYFUNCTION("""COMPUTED_VALUE"""),"All amenities")</f>
        <v>All amenities</v>
      </c>
      <c r="K3313" s="2">
        <f>IFERROR(__xludf.DUMMYFUNCTION("""COMPUTED_VALUE"""),100.0)</f>
        <v>100</v>
      </c>
      <c r="L3313" s="2">
        <f>IFERROR(__xludf.DUMMYFUNCTION("""COMPUTED_VALUE"""),56.9482351)</f>
        <v>56.9482351</v>
      </c>
      <c r="M3313" s="2">
        <f>IFERROR(__xludf.DUMMYFUNCTION("""COMPUTED_VALUE"""),24.1198579)</f>
        <v>24.1198579</v>
      </c>
    </row>
    <row r="3314">
      <c r="A3314" s="2" t="str">
        <f>IFERROR(__xludf.DUMMYFUNCTION("""COMPUTED_VALUE"""),"For sale")</f>
        <v>For sale</v>
      </c>
      <c r="B3314" s="2" t="str">
        <f>IFERROR(__xludf.DUMMYFUNCTION("""COMPUTED_VALUE"""),"Āgenskalns")</f>
        <v>Āgenskalns</v>
      </c>
      <c r="C3314" s="2" t="str">
        <f>IFERROR(__xludf.DUMMYFUNCTION("""COMPUTED_VALUE"""),"Gardenes 9")</f>
        <v>Gardenes 9</v>
      </c>
      <c r="D3314" s="2">
        <f>IFERROR(__xludf.DUMMYFUNCTION("""COMPUTED_VALUE"""),3.0)</f>
        <v>3</v>
      </c>
      <c r="E3314" s="2">
        <f>IFERROR(__xludf.DUMMYFUNCTION("""COMPUTED_VALUE"""),54.0)</f>
        <v>54</v>
      </c>
      <c r="F3314" s="2">
        <f>IFERROR(__xludf.DUMMYFUNCTION("""COMPUTED_VALUE"""),2.0)</f>
        <v>2</v>
      </c>
      <c r="G3314" s="2">
        <f>IFERROR(__xludf.DUMMYFUNCTION("""COMPUTED_VALUE"""),5.0)</f>
        <v>5</v>
      </c>
      <c r="H3314" s="2" t="str">
        <f>IFERROR(__xludf.DUMMYFUNCTION("""COMPUTED_VALUE"""),"Specpr.")</f>
        <v>Specpr.</v>
      </c>
      <c r="I3314" s="2" t="str">
        <f>IFERROR(__xludf.DUMMYFUNCTION("""COMPUTED_VALUE"""),"Brick")</f>
        <v>Brick</v>
      </c>
      <c r="J3314" s="2" t="str">
        <f>IFERROR(__xludf.DUMMYFUNCTION("""COMPUTED_VALUE"""),"All amenities")</f>
        <v>All amenities</v>
      </c>
      <c r="K3314" s="2">
        <f>IFERROR(__xludf.DUMMYFUNCTION("""COMPUTED_VALUE"""),50000.0)</f>
        <v>50000</v>
      </c>
      <c r="L3314" s="2">
        <f>IFERROR(__xludf.DUMMYFUNCTION("""COMPUTED_VALUE"""),56.9273556)</f>
        <v>56.9273556</v>
      </c>
      <c r="M3314" s="2">
        <f>IFERROR(__xludf.DUMMYFUNCTION("""COMPUTED_VALUE"""),24.0736886747453)</f>
        <v>24.07368867</v>
      </c>
    </row>
    <row r="3315">
      <c r="A3315" s="2" t="str">
        <f>IFERROR(__xludf.DUMMYFUNCTION("""COMPUTED_VALUE"""),"For sale")</f>
        <v>For sale</v>
      </c>
      <c r="B3315" s="2" t="str">
        <f>IFERROR(__xludf.DUMMYFUNCTION("""COMPUTED_VALUE"""),"Ziepniekkalns")</f>
        <v>Ziepniekkalns</v>
      </c>
      <c r="C3315" s="2" t="str">
        <f>IFERROR(__xludf.DUMMYFUNCTION("""COMPUTED_VALUE"""),"Valdeķu 54")</f>
        <v>Valdeķu 54</v>
      </c>
      <c r="D3315" s="2">
        <f>IFERROR(__xludf.DUMMYFUNCTION("""COMPUTED_VALUE"""),1.0)</f>
        <v>1</v>
      </c>
      <c r="E3315" s="2">
        <f>IFERROR(__xludf.DUMMYFUNCTION("""COMPUTED_VALUE"""),32.0)</f>
        <v>32</v>
      </c>
      <c r="F3315" s="2">
        <f>IFERROR(__xludf.DUMMYFUNCTION("""COMPUTED_VALUE"""),9.0)</f>
        <v>9</v>
      </c>
      <c r="G3315" s="2">
        <f>IFERROR(__xludf.DUMMYFUNCTION("""COMPUTED_VALUE"""),9.0)</f>
        <v>9</v>
      </c>
      <c r="H3315" s="2">
        <f>IFERROR(__xludf.DUMMYFUNCTION("""COMPUTED_VALUE"""),602.0)</f>
        <v>602</v>
      </c>
      <c r="I3315" s="2" t="str">
        <f>IFERROR(__xludf.DUMMYFUNCTION("""COMPUTED_VALUE"""),"Panel-Brick")</f>
        <v>Panel-Brick</v>
      </c>
      <c r="J3315" s="2" t="str">
        <f>IFERROR(__xludf.DUMMYFUNCTION("""COMPUTED_VALUE"""),"All amenities")</f>
        <v>All amenities</v>
      </c>
      <c r="K3315" s="2">
        <f>IFERROR(__xludf.DUMMYFUNCTION("""COMPUTED_VALUE"""),36000.0)</f>
        <v>36000</v>
      </c>
      <c r="L3315" s="2">
        <f>IFERROR(__xludf.DUMMYFUNCTION("""COMPUTED_VALUE"""),56.9094064)</f>
        <v>56.9094064</v>
      </c>
      <c r="M3315" s="2">
        <f>IFERROR(__xludf.DUMMYFUNCTION("""COMPUTED_VALUE"""),24.0954157)</f>
        <v>24.0954157</v>
      </c>
    </row>
    <row r="3316">
      <c r="A3316" s="2" t="str">
        <f>IFERROR(__xludf.DUMMYFUNCTION("""COMPUTED_VALUE"""),"For sale")</f>
        <v>For sale</v>
      </c>
      <c r="B3316" s="2" t="str">
        <f>IFERROR(__xludf.DUMMYFUNCTION("""COMPUTED_VALUE"""),"Dzegužkalns")</f>
        <v>Dzegužkalns</v>
      </c>
      <c r="C3316" s="2" t="str">
        <f>IFERROR(__xludf.DUMMYFUNCTION("""COMPUTED_VALUE"""),"Iecavas 1")</f>
        <v>Iecavas 1</v>
      </c>
      <c r="D3316" s="2">
        <f>IFERROR(__xludf.DUMMYFUNCTION("""COMPUTED_VALUE"""),2.0)</f>
        <v>2</v>
      </c>
      <c r="E3316" s="2">
        <f>IFERROR(__xludf.DUMMYFUNCTION("""COMPUTED_VALUE"""),52.0)</f>
        <v>52</v>
      </c>
      <c r="F3316" s="2">
        <f>IFERROR(__xludf.DUMMYFUNCTION("""COMPUTED_VALUE"""),1.0)</f>
        <v>1</v>
      </c>
      <c r="G3316" s="2">
        <f>IFERROR(__xludf.DUMMYFUNCTION("""COMPUTED_VALUE"""),5.0)</f>
        <v>5</v>
      </c>
      <c r="H3316" s="2" t="str">
        <f>IFERROR(__xludf.DUMMYFUNCTION("""COMPUTED_VALUE"""),"Jaun.")</f>
        <v>Jaun.</v>
      </c>
      <c r="I3316" s="2" t="str">
        <f>IFERROR(__xludf.DUMMYFUNCTION("""COMPUTED_VALUE"""),"Brick-Panel")</f>
        <v>Brick-Panel</v>
      </c>
      <c r="J3316" s="2" t="str">
        <f>IFERROR(__xludf.DUMMYFUNCTION("""COMPUTED_VALUE"""),"All amenities")</f>
        <v>All amenities</v>
      </c>
      <c r="K3316" s="2">
        <f>IFERROR(__xludf.DUMMYFUNCTION("""COMPUTED_VALUE"""),86350.0)</f>
        <v>86350</v>
      </c>
      <c r="L3316" s="2">
        <f>IFERROR(__xludf.DUMMYFUNCTION("""COMPUTED_VALUE"""),56.9555587)</f>
        <v>56.9555587</v>
      </c>
      <c r="M3316" s="2">
        <f>IFERROR(__xludf.DUMMYFUNCTION("""COMPUTED_VALUE"""),24.0506800260781)</f>
        <v>24.05068003</v>
      </c>
    </row>
    <row r="3317">
      <c r="A3317" s="2" t="str">
        <f>IFERROR(__xludf.DUMMYFUNCTION("""COMPUTED_VALUE"""),"For sale")</f>
        <v>For sale</v>
      </c>
      <c r="B3317" s="2" t="str">
        <f>IFERROR(__xludf.DUMMYFUNCTION("""COMPUTED_VALUE"""),"Dzegužkalns")</f>
        <v>Dzegužkalns</v>
      </c>
      <c r="C3317" s="2" t="str">
        <f>IFERROR(__xludf.DUMMYFUNCTION("""COMPUTED_VALUE"""),"Iecavas 1")</f>
        <v>Iecavas 1</v>
      </c>
      <c r="D3317" s="2">
        <f>IFERROR(__xludf.DUMMYFUNCTION("""COMPUTED_VALUE"""),2.0)</f>
        <v>2</v>
      </c>
      <c r="E3317" s="2">
        <f>IFERROR(__xludf.DUMMYFUNCTION("""COMPUTED_VALUE"""),59.0)</f>
        <v>59</v>
      </c>
      <c r="F3317" s="2">
        <f>IFERROR(__xludf.DUMMYFUNCTION("""COMPUTED_VALUE"""),2.0)</f>
        <v>2</v>
      </c>
      <c r="G3317" s="2">
        <f>IFERROR(__xludf.DUMMYFUNCTION("""COMPUTED_VALUE"""),5.0)</f>
        <v>5</v>
      </c>
      <c r="H3317" s="2" t="str">
        <f>IFERROR(__xludf.DUMMYFUNCTION("""COMPUTED_VALUE"""),"Jaun.")</f>
        <v>Jaun.</v>
      </c>
      <c r="I3317" s="2" t="str">
        <f>IFERROR(__xludf.DUMMYFUNCTION("""COMPUTED_VALUE"""),"Brick-Panel")</f>
        <v>Brick-Panel</v>
      </c>
      <c r="J3317" s="2" t="str">
        <f>IFERROR(__xludf.DUMMYFUNCTION("""COMPUTED_VALUE"""),"All amenities")</f>
        <v>All amenities</v>
      </c>
      <c r="K3317" s="2">
        <f>IFERROR(__xludf.DUMMYFUNCTION("""COMPUTED_VALUE"""),116560.0)</f>
        <v>116560</v>
      </c>
      <c r="L3317" s="2">
        <f>IFERROR(__xludf.DUMMYFUNCTION("""COMPUTED_VALUE"""),56.9555587)</f>
        <v>56.9555587</v>
      </c>
      <c r="M3317" s="2">
        <f>IFERROR(__xludf.DUMMYFUNCTION("""COMPUTED_VALUE"""),24.0506800260781)</f>
        <v>24.05068003</v>
      </c>
    </row>
    <row r="3318">
      <c r="A3318" s="2" t="str">
        <f>IFERROR(__xludf.DUMMYFUNCTION("""COMPUTED_VALUE"""),"For sale")</f>
        <v>For sale</v>
      </c>
      <c r="B3318" s="2" t="str">
        <f>IFERROR(__xludf.DUMMYFUNCTION("""COMPUTED_VALUE"""),"Mežaparks")</f>
        <v>Mežaparks</v>
      </c>
      <c r="C3318" s="2" t="str">
        <f>IFERROR(__xludf.DUMMYFUNCTION("""COMPUTED_VALUE"""),"Viestura pr. 67")</f>
        <v>Viestura pr. 67</v>
      </c>
      <c r="D3318" s="2">
        <f>IFERROR(__xludf.DUMMYFUNCTION("""COMPUTED_VALUE"""),3.0)</f>
        <v>3</v>
      </c>
      <c r="E3318" s="2">
        <f>IFERROR(__xludf.DUMMYFUNCTION("""COMPUTED_VALUE"""),55.0)</f>
        <v>55</v>
      </c>
      <c r="F3318" s="2">
        <f>IFERROR(__xludf.DUMMYFUNCTION("""COMPUTED_VALUE"""),1.0)</f>
        <v>1</v>
      </c>
      <c r="G3318" s="2">
        <f>IFERROR(__xludf.DUMMYFUNCTION("""COMPUTED_VALUE"""),5.0)</f>
        <v>5</v>
      </c>
      <c r="H3318" s="2" t="str">
        <f>IFERROR(__xludf.DUMMYFUNCTION("""COMPUTED_VALUE"""),"Specpr.")</f>
        <v>Specpr.</v>
      </c>
      <c r="I3318" s="2" t="str">
        <f>IFERROR(__xludf.DUMMYFUNCTION("""COMPUTED_VALUE"""),"Brick")</f>
        <v>Brick</v>
      </c>
      <c r="J3318" s="2" t="str">
        <f>IFERROR(__xludf.DUMMYFUNCTION("""COMPUTED_VALUE"""),"All amenities")</f>
        <v>All amenities</v>
      </c>
      <c r="K3318" s="2">
        <f>IFERROR(__xludf.DUMMYFUNCTION("""COMPUTED_VALUE"""),51000.0)</f>
        <v>51000</v>
      </c>
      <c r="L3318" s="2" t="str">
        <f>IFERROR(__xludf.DUMMYFUNCTION("""COMPUTED_VALUE"""),"NaN")</f>
        <v>NaN</v>
      </c>
      <c r="M3318" s="2" t="str">
        <f>IFERROR(__xludf.DUMMYFUNCTION("""COMPUTED_VALUE"""),"NaN")</f>
        <v>NaN</v>
      </c>
    </row>
    <row r="3319">
      <c r="A3319" s="2" t="str">
        <f>IFERROR(__xludf.DUMMYFUNCTION("""COMPUTED_VALUE"""),"For rent")</f>
        <v>For rent</v>
      </c>
      <c r="B3319" s="2" t="str">
        <f>IFERROR(__xludf.DUMMYFUNCTION("""COMPUTED_VALUE"""),"Šampēteris-Pleskodāle")</f>
        <v>Šampēteris-Pleskodāle</v>
      </c>
      <c r="C3319" s="2" t="str">
        <f>IFERROR(__xludf.DUMMYFUNCTION("""COMPUTED_VALUE"""),"Irlavas 34")</f>
        <v>Irlavas 34</v>
      </c>
      <c r="D3319" s="2">
        <f>IFERROR(__xludf.DUMMYFUNCTION("""COMPUTED_VALUE"""),2.0)</f>
        <v>2</v>
      </c>
      <c r="E3319" s="2">
        <f>IFERROR(__xludf.DUMMYFUNCTION("""COMPUTED_VALUE"""),61.0)</f>
        <v>61</v>
      </c>
      <c r="F3319" s="2">
        <f>IFERROR(__xludf.DUMMYFUNCTION("""COMPUTED_VALUE"""),3.0)</f>
        <v>3</v>
      </c>
      <c r="G3319" s="2">
        <f>IFERROR(__xludf.DUMMYFUNCTION("""COMPUTED_VALUE"""),3.0)</f>
        <v>3</v>
      </c>
      <c r="H3319" s="2" t="str">
        <f>IFERROR(__xludf.DUMMYFUNCTION("""COMPUTED_VALUE"""),"Jaun.")</f>
        <v>Jaun.</v>
      </c>
      <c r="I3319" s="2" t="str">
        <f>IFERROR(__xludf.DUMMYFUNCTION("""COMPUTED_VALUE"""),"Masonry")</f>
        <v>Masonry</v>
      </c>
      <c r="J3319" s="2" t="str">
        <f>IFERROR(__xludf.DUMMYFUNCTION("""COMPUTED_VALUE"""),"All amenities")</f>
        <v>All amenities</v>
      </c>
      <c r="K3319" s="2">
        <f>IFERROR(__xludf.DUMMYFUNCTION("""COMPUTED_VALUE"""),450.0)</f>
        <v>450</v>
      </c>
      <c r="L3319" s="2">
        <f>IFERROR(__xludf.DUMMYFUNCTION("""COMPUTED_VALUE"""),56.9410497)</f>
        <v>56.9410497</v>
      </c>
      <c r="M3319" s="2">
        <f>IFERROR(__xludf.DUMMYFUNCTION("""COMPUTED_VALUE"""),24.0299726741999)</f>
        <v>24.02997267</v>
      </c>
    </row>
    <row r="3320">
      <c r="A3320" s="2" t="str">
        <f>IFERROR(__xludf.DUMMYFUNCTION("""COMPUTED_VALUE"""),"For sale")</f>
        <v>For sale</v>
      </c>
      <c r="B3320" s="2" t="str">
        <f>IFERROR(__xludf.DUMMYFUNCTION("""COMPUTED_VALUE"""),"Teika")</f>
        <v>Teika</v>
      </c>
      <c r="C3320" s="2" t="str">
        <f>IFERROR(__xludf.DUMMYFUNCTION("""COMPUTED_VALUE"""),"Caunes 11")</f>
        <v>Caunes 11</v>
      </c>
      <c r="D3320" s="2">
        <f>IFERROR(__xludf.DUMMYFUNCTION("""COMPUTED_VALUE"""),5.0)</f>
        <v>5</v>
      </c>
      <c r="E3320" s="2">
        <f>IFERROR(__xludf.DUMMYFUNCTION("""COMPUTED_VALUE"""),180.0)</f>
        <v>180</v>
      </c>
      <c r="F3320" s="2">
        <f>IFERROR(__xludf.DUMMYFUNCTION("""COMPUTED_VALUE"""),2.0)</f>
        <v>2</v>
      </c>
      <c r="G3320" s="2">
        <f>IFERROR(__xludf.DUMMYFUNCTION("""COMPUTED_VALUE"""),3.0)</f>
        <v>3</v>
      </c>
      <c r="H3320" s="2" t="str">
        <f>IFERROR(__xludf.DUMMYFUNCTION("""COMPUTED_VALUE"""),"Jaun.")</f>
        <v>Jaun.</v>
      </c>
      <c r="I3320" s="2" t="str">
        <f>IFERROR(__xludf.DUMMYFUNCTION("""COMPUTED_VALUE"""),"Brick-Panel")</f>
        <v>Brick-Panel</v>
      </c>
      <c r="J3320" s="2" t="str">
        <f>IFERROR(__xludf.DUMMYFUNCTION("""COMPUTED_VALUE"""),"All amenities")</f>
        <v>All amenities</v>
      </c>
      <c r="K3320" s="2">
        <f>IFERROR(__xludf.DUMMYFUNCTION("""COMPUTED_VALUE"""),205000.0)</f>
        <v>205000</v>
      </c>
      <c r="L3320" s="2">
        <f>IFERROR(__xludf.DUMMYFUNCTION("""COMPUTED_VALUE"""),56.9810586499999)</f>
        <v>56.98105865</v>
      </c>
      <c r="M3320" s="2">
        <f>IFERROR(__xludf.DUMMYFUNCTION("""COMPUTED_VALUE"""),24.1899005585312)</f>
        <v>24.18990056</v>
      </c>
    </row>
    <row r="3321">
      <c r="A3321" s="2" t="str">
        <f>IFERROR(__xludf.DUMMYFUNCTION("""COMPUTED_VALUE"""),"For sale")</f>
        <v>For sale</v>
      </c>
      <c r="B3321" s="2" t="str">
        <f>IFERROR(__xludf.DUMMYFUNCTION("""COMPUTED_VALUE"""),"Dzegužkalns")</f>
        <v>Dzegužkalns</v>
      </c>
      <c r="C3321" s="2" t="str">
        <f>IFERROR(__xludf.DUMMYFUNCTION("""COMPUTED_VALUE"""),"Iecavas 1")</f>
        <v>Iecavas 1</v>
      </c>
      <c r="D3321" s="2">
        <f>IFERROR(__xludf.DUMMYFUNCTION("""COMPUTED_VALUE"""),3.0)</f>
        <v>3</v>
      </c>
      <c r="E3321" s="2">
        <f>IFERROR(__xludf.DUMMYFUNCTION("""COMPUTED_VALUE"""),90.0)</f>
        <v>90</v>
      </c>
      <c r="F3321" s="2">
        <f>IFERROR(__xludf.DUMMYFUNCTION("""COMPUTED_VALUE"""),1.0)</f>
        <v>1</v>
      </c>
      <c r="G3321" s="2">
        <f>IFERROR(__xludf.DUMMYFUNCTION("""COMPUTED_VALUE"""),5.0)</f>
        <v>5</v>
      </c>
      <c r="H3321" s="2" t="str">
        <f>IFERROR(__xludf.DUMMYFUNCTION("""COMPUTED_VALUE"""),"Jaun.")</f>
        <v>Jaun.</v>
      </c>
      <c r="I3321" s="2" t="str">
        <f>IFERROR(__xludf.DUMMYFUNCTION("""COMPUTED_VALUE"""),"Brick-Panel")</f>
        <v>Brick-Panel</v>
      </c>
      <c r="J3321" s="2" t="str">
        <f>IFERROR(__xludf.DUMMYFUNCTION("""COMPUTED_VALUE"""),"All amenities")</f>
        <v>All amenities</v>
      </c>
      <c r="K3321" s="2">
        <f>IFERROR(__xludf.DUMMYFUNCTION("""COMPUTED_VALUE"""),128000.0)</f>
        <v>128000</v>
      </c>
      <c r="L3321" s="2">
        <f>IFERROR(__xludf.DUMMYFUNCTION("""COMPUTED_VALUE"""),56.9555587)</f>
        <v>56.9555587</v>
      </c>
      <c r="M3321" s="2">
        <f>IFERROR(__xludf.DUMMYFUNCTION("""COMPUTED_VALUE"""),24.0506800260781)</f>
        <v>24.05068003</v>
      </c>
    </row>
    <row r="3322">
      <c r="A3322" s="2" t="str">
        <f>IFERROR(__xludf.DUMMYFUNCTION("""COMPUTED_VALUE"""),"For sale")</f>
        <v>For sale</v>
      </c>
      <c r="B3322" s="2" t="str">
        <f>IFERROR(__xludf.DUMMYFUNCTION("""COMPUTED_VALUE"""),"Sarkandaugava")</f>
        <v>Sarkandaugava</v>
      </c>
      <c r="C3322" s="2" t="str">
        <f>IFERROR(__xludf.DUMMYFUNCTION("""COMPUTED_VALUE"""),"Viestura pr. 67")</f>
        <v>Viestura pr. 67</v>
      </c>
      <c r="D3322" s="2">
        <f>IFERROR(__xludf.DUMMYFUNCTION("""COMPUTED_VALUE"""),3.0)</f>
        <v>3</v>
      </c>
      <c r="E3322" s="2">
        <f>IFERROR(__xludf.DUMMYFUNCTION("""COMPUTED_VALUE"""),55.0)</f>
        <v>55</v>
      </c>
      <c r="F3322" s="2">
        <f>IFERROR(__xludf.DUMMYFUNCTION("""COMPUTED_VALUE"""),1.0)</f>
        <v>1</v>
      </c>
      <c r="G3322" s="2">
        <f>IFERROR(__xludf.DUMMYFUNCTION("""COMPUTED_VALUE"""),5.0)</f>
        <v>5</v>
      </c>
      <c r="H3322" s="2" t="str">
        <f>IFERROR(__xludf.DUMMYFUNCTION("""COMPUTED_VALUE"""),"Specpr.")</f>
        <v>Specpr.</v>
      </c>
      <c r="I3322" s="2" t="str">
        <f>IFERROR(__xludf.DUMMYFUNCTION("""COMPUTED_VALUE"""),"Brick")</f>
        <v>Brick</v>
      </c>
      <c r="J3322" s="2" t="str">
        <f>IFERROR(__xludf.DUMMYFUNCTION("""COMPUTED_VALUE"""),"All amenities")</f>
        <v>All amenities</v>
      </c>
      <c r="K3322" s="2">
        <f>IFERROR(__xludf.DUMMYFUNCTION("""COMPUTED_VALUE"""),51000.0)</f>
        <v>51000</v>
      </c>
      <c r="L3322" s="2" t="str">
        <f>IFERROR(__xludf.DUMMYFUNCTION("""COMPUTED_VALUE"""),"NaN")</f>
        <v>NaN</v>
      </c>
      <c r="M3322" s="2" t="str">
        <f>IFERROR(__xludf.DUMMYFUNCTION("""COMPUTED_VALUE"""),"NaN")</f>
        <v>NaN</v>
      </c>
    </row>
    <row r="3323">
      <c r="A3323" s="2" t="str">
        <f>IFERROR(__xludf.DUMMYFUNCTION("""COMPUTED_VALUE"""),"For rent")</f>
        <v>For rent</v>
      </c>
      <c r="B3323" s="2" t="str">
        <f>IFERROR(__xludf.DUMMYFUNCTION("""COMPUTED_VALUE"""),"centrs")</f>
        <v>centrs</v>
      </c>
      <c r="C3323" s="2" t="str">
        <f>IFERROR(__xludf.DUMMYFUNCTION("""COMPUTED_VALUE"""),"Sadovņikova 56")</f>
        <v>Sadovņikova 56</v>
      </c>
      <c r="D3323" s="2">
        <f>IFERROR(__xludf.DUMMYFUNCTION("""COMPUTED_VALUE"""),2.0)</f>
        <v>2</v>
      </c>
      <c r="E3323" s="2">
        <f>IFERROR(__xludf.DUMMYFUNCTION("""COMPUTED_VALUE"""),30.0)</f>
        <v>30</v>
      </c>
      <c r="F3323" s="2">
        <f>IFERROR(__xludf.DUMMYFUNCTION("""COMPUTED_VALUE"""),2.0)</f>
        <v>2</v>
      </c>
      <c r="G3323" s="2">
        <f>IFERROR(__xludf.DUMMYFUNCTION("""COMPUTED_VALUE"""),5.0)</f>
        <v>5</v>
      </c>
      <c r="H3323" s="2" t="str">
        <f>IFERROR(__xludf.DUMMYFUNCTION("""COMPUTED_VALUE"""),"Jaun.")</f>
        <v>Jaun.</v>
      </c>
      <c r="I3323" s="2" t="str">
        <f>IFERROR(__xludf.DUMMYFUNCTION("""COMPUTED_VALUE"""),"Masonry")</f>
        <v>Masonry</v>
      </c>
      <c r="J3323" s="2" t="str">
        <f>IFERROR(__xludf.DUMMYFUNCTION("""COMPUTED_VALUE"""),"All amenities")</f>
        <v>All amenities</v>
      </c>
      <c r="K3323" s="2">
        <f>IFERROR(__xludf.DUMMYFUNCTION("""COMPUTED_VALUE"""),25.0)</f>
        <v>25</v>
      </c>
      <c r="L3323" s="2">
        <f>IFERROR(__xludf.DUMMYFUNCTION("""COMPUTED_VALUE"""),56.9408555)</f>
        <v>56.9408555</v>
      </c>
      <c r="M3323" s="2">
        <f>IFERROR(__xludf.DUMMYFUNCTION("""COMPUTED_VALUE"""),24.1364923)</f>
        <v>24.1364923</v>
      </c>
    </row>
    <row r="3324">
      <c r="A3324" s="2" t="str">
        <f>IFERROR(__xludf.DUMMYFUNCTION("""COMPUTED_VALUE"""),"For sale")</f>
        <v>For sale</v>
      </c>
      <c r="B3324" s="2" t="str">
        <f>IFERROR(__xludf.DUMMYFUNCTION("""COMPUTED_VALUE"""),"Vecmīlgrāvis")</f>
        <v>Vecmīlgrāvis</v>
      </c>
      <c r="C3324" s="2" t="str">
        <f>IFERROR(__xludf.DUMMYFUNCTION("""COMPUTED_VALUE"""),"Kāvu 4")</f>
        <v>Kāvu 4</v>
      </c>
      <c r="D3324" s="2">
        <f>IFERROR(__xludf.DUMMYFUNCTION("""COMPUTED_VALUE"""),2.0)</f>
        <v>2</v>
      </c>
      <c r="E3324" s="2">
        <f>IFERROR(__xludf.DUMMYFUNCTION("""COMPUTED_VALUE"""),52.0)</f>
        <v>52</v>
      </c>
      <c r="F3324" s="2">
        <f>IFERROR(__xludf.DUMMYFUNCTION("""COMPUTED_VALUE"""),1.0)</f>
        <v>1</v>
      </c>
      <c r="G3324" s="2">
        <f>IFERROR(__xludf.DUMMYFUNCTION("""COMPUTED_VALUE"""),5.0)</f>
        <v>5</v>
      </c>
      <c r="H3324" s="2" t="str">
        <f>IFERROR(__xludf.DUMMYFUNCTION("""COMPUTED_VALUE"""),"LT proj.")</f>
        <v>LT proj.</v>
      </c>
      <c r="I3324" s="2" t="str">
        <f>IFERROR(__xludf.DUMMYFUNCTION("""COMPUTED_VALUE"""),"Panel")</f>
        <v>Panel</v>
      </c>
      <c r="J3324" s="2" t="str">
        <f>IFERROR(__xludf.DUMMYFUNCTION("""COMPUTED_VALUE"""),"All amenities")</f>
        <v>All amenities</v>
      </c>
      <c r="K3324" s="2">
        <f>IFERROR(__xludf.DUMMYFUNCTION("""COMPUTED_VALUE"""),35000.0)</f>
        <v>35000</v>
      </c>
      <c r="L3324" s="2">
        <f>IFERROR(__xludf.DUMMYFUNCTION("""COMPUTED_VALUE"""),57.0331188)</f>
        <v>57.0331188</v>
      </c>
      <c r="M3324" s="2">
        <f>IFERROR(__xludf.DUMMYFUNCTION("""COMPUTED_VALUE"""),24.1004593277761)</f>
        <v>24.10045933</v>
      </c>
    </row>
    <row r="3325">
      <c r="A3325" s="2" t="str">
        <f>IFERROR(__xludf.DUMMYFUNCTION("""COMPUTED_VALUE"""),"For sale")</f>
        <v>For sale</v>
      </c>
      <c r="B3325" s="2" t="str">
        <f>IFERROR(__xludf.DUMMYFUNCTION("""COMPUTED_VALUE"""),"Mežciems")</f>
        <v>Mežciems</v>
      </c>
      <c r="C3325" s="2" t="str">
        <f>IFERROR(__xludf.DUMMYFUNCTION("""COMPUTED_VALUE"""),"Kaivas 50-45d")</f>
        <v>Kaivas 50-45d</v>
      </c>
      <c r="D3325" s="2">
        <f>IFERROR(__xludf.DUMMYFUNCTION("""COMPUTED_VALUE"""),2.0)</f>
        <v>2</v>
      </c>
      <c r="E3325" s="2">
        <f>IFERROR(__xludf.DUMMYFUNCTION("""COMPUTED_VALUE"""),51.0)</f>
        <v>51</v>
      </c>
      <c r="F3325" s="2">
        <f>IFERROR(__xludf.DUMMYFUNCTION("""COMPUTED_VALUE"""),2.0)</f>
        <v>2</v>
      </c>
      <c r="G3325" s="2">
        <f>IFERROR(__xludf.DUMMYFUNCTION("""COMPUTED_VALUE"""),5.0)</f>
        <v>5</v>
      </c>
      <c r="H3325" s="2" t="str">
        <f>IFERROR(__xludf.DUMMYFUNCTION("""COMPUTED_VALUE"""),"Jaun.")</f>
        <v>Jaun.</v>
      </c>
      <c r="I3325" s="2" t="str">
        <f>IFERROR(__xludf.DUMMYFUNCTION("""COMPUTED_VALUE"""),"Brick-Panel")</f>
        <v>Brick-Panel</v>
      </c>
      <c r="J3325" s="2" t="str">
        <f>IFERROR(__xludf.DUMMYFUNCTION("""COMPUTED_VALUE"""),"All amenities")</f>
        <v>All amenities</v>
      </c>
      <c r="K3325" s="2">
        <f>IFERROR(__xludf.DUMMYFUNCTION("""COMPUTED_VALUE"""),65500.0)</f>
        <v>65500</v>
      </c>
      <c r="L3325" s="2" t="str">
        <f>IFERROR(__xludf.DUMMYFUNCTION("""COMPUTED_VALUE"""),"NaN")</f>
        <v>NaN</v>
      </c>
      <c r="M3325" s="2" t="str">
        <f>IFERROR(__xludf.DUMMYFUNCTION("""COMPUTED_VALUE"""),"NaN")</f>
        <v>NaN</v>
      </c>
    </row>
    <row r="3326">
      <c r="A3326" s="2" t="str">
        <f>IFERROR(__xludf.DUMMYFUNCTION("""COMPUTED_VALUE"""),"For sale")</f>
        <v>For sale</v>
      </c>
      <c r="B3326" s="2" t="str">
        <f>IFERROR(__xludf.DUMMYFUNCTION("""COMPUTED_VALUE"""),"Pļavnieki")</f>
        <v>Pļavnieki</v>
      </c>
      <c r="C3326" s="2" t="str">
        <f>IFERROR(__xludf.DUMMYFUNCTION("""COMPUTED_VALUE"""),"J. Vācieša 4")</f>
        <v>J. Vācieša 4</v>
      </c>
      <c r="D3326" s="2">
        <f>IFERROR(__xludf.DUMMYFUNCTION("""COMPUTED_VALUE"""),3.0)</f>
        <v>3</v>
      </c>
      <c r="E3326" s="2">
        <f>IFERROR(__xludf.DUMMYFUNCTION("""COMPUTED_VALUE"""),64.0)</f>
        <v>64</v>
      </c>
      <c r="F3326" s="2">
        <f>IFERROR(__xludf.DUMMYFUNCTION("""COMPUTED_VALUE"""),2.0)</f>
        <v>2</v>
      </c>
      <c r="G3326" s="2">
        <f>IFERROR(__xludf.DUMMYFUNCTION("""COMPUTED_VALUE"""),9.0)</f>
        <v>9</v>
      </c>
      <c r="H3326" s="2">
        <f>IFERROR(__xludf.DUMMYFUNCTION("""COMPUTED_VALUE"""),602.0)</f>
        <v>602</v>
      </c>
      <c r="I3326" s="2" t="str">
        <f>IFERROR(__xludf.DUMMYFUNCTION("""COMPUTED_VALUE"""),"Panel")</f>
        <v>Panel</v>
      </c>
      <c r="J3326" s="2" t="str">
        <f>IFERROR(__xludf.DUMMYFUNCTION("""COMPUTED_VALUE"""),"All amenities")</f>
        <v>All amenities</v>
      </c>
      <c r="K3326" s="2">
        <f>IFERROR(__xludf.DUMMYFUNCTION("""COMPUTED_VALUE"""),55000.0)</f>
        <v>55000</v>
      </c>
      <c r="L3326" s="2" t="str">
        <f>IFERROR(__xludf.DUMMYFUNCTION("""COMPUTED_VALUE"""),"NaN")</f>
        <v>NaN</v>
      </c>
      <c r="M3326" s="2" t="str">
        <f>IFERROR(__xludf.DUMMYFUNCTION("""COMPUTED_VALUE"""),"NaN")</f>
        <v>NaN</v>
      </c>
    </row>
    <row r="3327">
      <c r="A3327" s="2" t="str">
        <f>IFERROR(__xludf.DUMMYFUNCTION("""COMPUTED_VALUE"""),"For rent")</f>
        <v>For rent</v>
      </c>
      <c r="B3327" s="2" t="str">
        <f>IFERROR(__xludf.DUMMYFUNCTION("""COMPUTED_VALUE"""),"centrs")</f>
        <v>centrs</v>
      </c>
      <c r="C3327" s="2" t="str">
        <f>IFERROR(__xludf.DUMMYFUNCTION("""COMPUTED_VALUE"""),"Ganību d. 14")</f>
        <v>Ganību d. 14</v>
      </c>
      <c r="D3327" s="2">
        <f>IFERROR(__xludf.DUMMYFUNCTION("""COMPUTED_VALUE"""),1.0)</f>
        <v>1</v>
      </c>
      <c r="E3327" s="2">
        <f>IFERROR(__xludf.DUMMYFUNCTION("""COMPUTED_VALUE"""),31.0)</f>
        <v>31</v>
      </c>
      <c r="F3327" s="2">
        <f>IFERROR(__xludf.DUMMYFUNCTION("""COMPUTED_VALUE"""),2.0)</f>
        <v>2</v>
      </c>
      <c r="G3327" s="2">
        <f>IFERROR(__xludf.DUMMYFUNCTION("""COMPUTED_VALUE"""),2.0)</f>
        <v>2</v>
      </c>
      <c r="H3327" s="2" t="str">
        <f>IFERROR(__xludf.DUMMYFUNCTION("""COMPUTED_VALUE"""),"P. kara")</f>
        <v>P. kara</v>
      </c>
      <c r="I3327" s="2" t="str">
        <f>IFERROR(__xludf.DUMMYFUNCTION("""COMPUTED_VALUE"""),"Brick")</f>
        <v>Brick</v>
      </c>
      <c r="J3327" s="2" t="str">
        <f>IFERROR(__xludf.DUMMYFUNCTION("""COMPUTED_VALUE"""),"All amenities")</f>
        <v>All amenities</v>
      </c>
      <c r="K3327" s="2">
        <f>IFERROR(__xludf.DUMMYFUNCTION("""COMPUTED_VALUE"""),290.0)</f>
        <v>290</v>
      </c>
      <c r="L3327" s="2">
        <f>IFERROR(__xludf.DUMMYFUNCTION("""COMPUTED_VALUE"""),56.9928319)</f>
        <v>56.9928319</v>
      </c>
      <c r="M3327" s="2">
        <f>IFERROR(__xludf.DUMMYFUNCTION("""COMPUTED_VALUE"""),24.1224521)</f>
        <v>24.1224521</v>
      </c>
    </row>
    <row r="3328">
      <c r="A3328" s="2" t="str">
        <f>IFERROR(__xludf.DUMMYFUNCTION("""COMPUTED_VALUE"""),"For sale")</f>
        <v>For sale</v>
      </c>
      <c r="B3328" s="2" t="str">
        <f>IFERROR(__xludf.DUMMYFUNCTION("""COMPUTED_VALUE"""),"Purvciems")</f>
        <v>Purvciems</v>
      </c>
      <c r="C3328" s="2" t="str">
        <f>IFERROR(__xludf.DUMMYFUNCTION("""COMPUTED_VALUE"""),"Stirnu 47")</f>
        <v>Stirnu 47</v>
      </c>
      <c r="D3328" s="2">
        <f>IFERROR(__xludf.DUMMYFUNCTION("""COMPUTED_VALUE"""),2.0)</f>
        <v>2</v>
      </c>
      <c r="E3328" s="2">
        <f>IFERROR(__xludf.DUMMYFUNCTION("""COMPUTED_VALUE"""),38.0)</f>
        <v>38</v>
      </c>
      <c r="F3328" s="2">
        <f>IFERROR(__xludf.DUMMYFUNCTION("""COMPUTED_VALUE"""),2.0)</f>
        <v>2</v>
      </c>
      <c r="G3328" s="2">
        <f>IFERROR(__xludf.DUMMYFUNCTION("""COMPUTED_VALUE"""),5.0)</f>
        <v>5</v>
      </c>
      <c r="H3328" s="2" t="str">
        <f>IFERROR(__xludf.DUMMYFUNCTION("""COMPUTED_VALUE"""),"LT proj.")</f>
        <v>LT proj.</v>
      </c>
      <c r="I3328" s="2" t="str">
        <f>IFERROR(__xludf.DUMMYFUNCTION("""COMPUTED_VALUE"""),"Panel")</f>
        <v>Panel</v>
      </c>
      <c r="J3328" s="2" t="str">
        <f>IFERROR(__xludf.DUMMYFUNCTION("""COMPUTED_VALUE"""),"All amenities")</f>
        <v>All amenities</v>
      </c>
      <c r="K3328" s="2">
        <f>IFERROR(__xludf.DUMMYFUNCTION("""COMPUTED_VALUE"""),37000.0)</f>
        <v>37000</v>
      </c>
      <c r="L3328" s="2">
        <f>IFERROR(__xludf.DUMMYFUNCTION("""COMPUTED_VALUE"""),56.96285935)</f>
        <v>56.96285935</v>
      </c>
      <c r="M3328" s="2">
        <f>IFERROR(__xludf.DUMMYFUNCTION("""COMPUTED_VALUE"""),24.1895130756778)</f>
        <v>24.18951308</v>
      </c>
    </row>
    <row r="3329">
      <c r="A3329" s="2" t="str">
        <f>IFERROR(__xludf.DUMMYFUNCTION("""COMPUTED_VALUE"""),"For rent")</f>
        <v>For rent</v>
      </c>
      <c r="B3329" s="2" t="str">
        <f>IFERROR(__xludf.DUMMYFUNCTION("""COMPUTED_VALUE"""),"centrs")</f>
        <v>centrs</v>
      </c>
      <c r="C3329" s="2" t="str">
        <f>IFERROR(__xludf.DUMMYFUNCTION("""COMPUTED_VALUE"""),"Republikas laukums 3")</f>
        <v>Republikas laukums 3</v>
      </c>
      <c r="D3329" s="2">
        <f>IFERROR(__xludf.DUMMYFUNCTION("""COMPUTED_VALUE"""),2.0)</f>
        <v>2</v>
      </c>
      <c r="E3329" s="2">
        <f>IFERROR(__xludf.DUMMYFUNCTION("""COMPUTED_VALUE"""),55.0)</f>
        <v>55</v>
      </c>
      <c r="F3329" s="2">
        <f>IFERROR(__xludf.DUMMYFUNCTION("""COMPUTED_VALUE"""),5.0)</f>
        <v>5</v>
      </c>
      <c r="G3329" s="2">
        <f>IFERROR(__xludf.DUMMYFUNCTION("""COMPUTED_VALUE"""),8.0)</f>
        <v>8</v>
      </c>
      <c r="H3329" s="2" t="str">
        <f>IFERROR(__xludf.DUMMYFUNCTION("""COMPUTED_VALUE"""),"Jaun.")</f>
        <v>Jaun.</v>
      </c>
      <c r="I3329" s="2" t="str">
        <f>IFERROR(__xludf.DUMMYFUNCTION("""COMPUTED_VALUE"""),"Panel-Brick")</f>
        <v>Panel-Brick</v>
      </c>
      <c r="J3329" s="2" t="str">
        <f>IFERROR(__xludf.DUMMYFUNCTION("""COMPUTED_VALUE"""),"All amenities")</f>
        <v>All amenities</v>
      </c>
      <c r="K3329" s="2">
        <f>IFERROR(__xludf.DUMMYFUNCTION("""COMPUTED_VALUE"""),850.0)</f>
        <v>850</v>
      </c>
      <c r="L3329" s="2">
        <f>IFERROR(__xludf.DUMMYFUNCTION("""COMPUTED_VALUE"""),56.9552522)</f>
        <v>56.9552522</v>
      </c>
      <c r="M3329" s="2">
        <f>IFERROR(__xludf.DUMMYFUNCTION("""COMPUTED_VALUE"""),24.0999991251943)</f>
        <v>24.09999913</v>
      </c>
    </row>
    <row r="3330">
      <c r="A3330" s="2" t="str">
        <f>IFERROR(__xludf.DUMMYFUNCTION("""COMPUTED_VALUE"""),"For sale")</f>
        <v>For sale</v>
      </c>
      <c r="B3330" s="2" t="str">
        <f>IFERROR(__xludf.DUMMYFUNCTION("""COMPUTED_VALUE"""),"Imanta")</f>
        <v>Imanta</v>
      </c>
      <c r="C3330" s="2" t="str">
        <f>IFERROR(__xludf.DUMMYFUNCTION("""COMPUTED_VALUE"""),"Anniņmuižas bulvāris 28")</f>
        <v>Anniņmuižas bulvāris 28</v>
      </c>
      <c r="D3330" s="2">
        <f>IFERROR(__xludf.DUMMYFUNCTION("""COMPUTED_VALUE"""),2.0)</f>
        <v>2</v>
      </c>
      <c r="E3330" s="2">
        <f>IFERROR(__xludf.DUMMYFUNCTION("""COMPUTED_VALUE"""),53.0)</f>
        <v>53</v>
      </c>
      <c r="F3330" s="2">
        <f>IFERROR(__xludf.DUMMYFUNCTION("""COMPUTED_VALUE"""),1.0)</f>
        <v>1</v>
      </c>
      <c r="G3330" s="2">
        <f>IFERROR(__xludf.DUMMYFUNCTION("""COMPUTED_VALUE"""),16.0)</f>
        <v>16</v>
      </c>
      <c r="H3330" s="2" t="str">
        <f>IFERROR(__xludf.DUMMYFUNCTION("""COMPUTED_VALUE"""),"Specpr.")</f>
        <v>Specpr.</v>
      </c>
      <c r="I3330" s="2" t="str">
        <f>IFERROR(__xludf.DUMMYFUNCTION("""COMPUTED_VALUE"""),"Brick")</f>
        <v>Brick</v>
      </c>
      <c r="J3330" s="2" t="str">
        <f>IFERROR(__xludf.DUMMYFUNCTION("""COMPUTED_VALUE"""),"All amenities")</f>
        <v>All amenities</v>
      </c>
      <c r="K3330" s="2">
        <f>IFERROR(__xludf.DUMMYFUNCTION("""COMPUTED_VALUE"""),59500.0)</f>
        <v>59500</v>
      </c>
      <c r="L3330" s="2">
        <f>IFERROR(__xludf.DUMMYFUNCTION("""COMPUTED_VALUE"""),56.96051595)</f>
        <v>56.96051595</v>
      </c>
      <c r="M3330" s="2">
        <f>IFERROR(__xludf.DUMMYFUNCTION("""COMPUTED_VALUE"""),24.0206358484807)</f>
        <v>24.02063585</v>
      </c>
    </row>
    <row r="3331">
      <c r="A3331" s="2" t="str">
        <f>IFERROR(__xludf.DUMMYFUNCTION("""COMPUTED_VALUE"""),"For rent")</f>
        <v>For rent</v>
      </c>
      <c r="B3331" s="2" t="str">
        <f>IFERROR(__xludf.DUMMYFUNCTION("""COMPUTED_VALUE"""),"Vecrīga")</f>
        <v>Vecrīga</v>
      </c>
      <c r="C3331" s="2" t="str">
        <f>IFERROR(__xludf.DUMMYFUNCTION("""COMPUTED_VALUE"""),"Laipu 5")</f>
        <v>Laipu 5</v>
      </c>
      <c r="D3331" s="2">
        <f>IFERROR(__xludf.DUMMYFUNCTION("""COMPUTED_VALUE"""),3.0)</f>
        <v>3</v>
      </c>
      <c r="E3331" s="2">
        <f>IFERROR(__xludf.DUMMYFUNCTION("""COMPUTED_VALUE"""),94.0)</f>
        <v>94</v>
      </c>
      <c r="F3331" s="2">
        <f>IFERROR(__xludf.DUMMYFUNCTION("""COMPUTED_VALUE"""),3.0)</f>
        <v>3</v>
      </c>
      <c r="G3331" s="2">
        <f>IFERROR(__xludf.DUMMYFUNCTION("""COMPUTED_VALUE"""),4.0)</f>
        <v>4</v>
      </c>
      <c r="H3331" s="2" t="str">
        <f>IFERROR(__xludf.DUMMYFUNCTION("""COMPUTED_VALUE"""),"P. kara")</f>
        <v>P. kara</v>
      </c>
      <c r="I3331" s="2" t="str">
        <f>IFERROR(__xludf.DUMMYFUNCTION("""COMPUTED_VALUE"""),"Brick")</f>
        <v>Brick</v>
      </c>
      <c r="J3331" s="2" t="str">
        <f>IFERROR(__xludf.DUMMYFUNCTION("""COMPUTED_VALUE"""),"All amenities")</f>
        <v>All amenities</v>
      </c>
      <c r="K3331" s="2">
        <f>IFERROR(__xludf.DUMMYFUNCTION("""COMPUTED_VALUE"""),850.0)</f>
        <v>850</v>
      </c>
      <c r="L3331" s="2">
        <f>IFERROR(__xludf.DUMMYFUNCTION("""COMPUTED_VALUE"""),56.9488525)</f>
        <v>56.9488525</v>
      </c>
      <c r="M3331" s="2">
        <f>IFERROR(__xludf.DUMMYFUNCTION("""COMPUTED_VALUE"""),24.1083779)</f>
        <v>24.1083779</v>
      </c>
    </row>
    <row r="3332">
      <c r="A3332" s="2" t="str">
        <f>IFERROR(__xludf.DUMMYFUNCTION("""COMPUTED_VALUE"""),"For rent")</f>
        <v>For rent</v>
      </c>
      <c r="B3332" s="2" t="str">
        <f>IFERROR(__xludf.DUMMYFUNCTION("""COMPUTED_VALUE"""),"Vecrīga")</f>
        <v>Vecrīga</v>
      </c>
      <c r="C3332" s="2" t="str">
        <f>IFERROR(__xludf.DUMMYFUNCTION("""COMPUTED_VALUE"""),"Kalēju 74")</f>
        <v>Kalēju 74</v>
      </c>
      <c r="D3332" s="2">
        <f>IFERROR(__xludf.DUMMYFUNCTION("""COMPUTED_VALUE"""),2.0)</f>
        <v>2</v>
      </c>
      <c r="E3332" s="2">
        <f>IFERROR(__xludf.DUMMYFUNCTION("""COMPUTED_VALUE"""),61.0)</f>
        <v>61</v>
      </c>
      <c r="F3332" s="2">
        <f>IFERROR(__xludf.DUMMYFUNCTION("""COMPUTED_VALUE"""),3.0)</f>
        <v>3</v>
      </c>
      <c r="G3332" s="2">
        <f>IFERROR(__xludf.DUMMYFUNCTION("""COMPUTED_VALUE"""),6.0)</f>
        <v>6</v>
      </c>
      <c r="H3332" s="2" t="str">
        <f>IFERROR(__xludf.DUMMYFUNCTION("""COMPUTED_VALUE"""),"Jaun.")</f>
        <v>Jaun.</v>
      </c>
      <c r="I3332" s="2" t="str">
        <f>IFERROR(__xludf.DUMMYFUNCTION("""COMPUTED_VALUE"""),"Panel-Brick")</f>
        <v>Panel-Brick</v>
      </c>
      <c r="J3332" s="2" t="str">
        <f>IFERROR(__xludf.DUMMYFUNCTION("""COMPUTED_VALUE"""),"All amenities")</f>
        <v>All amenities</v>
      </c>
      <c r="K3332" s="2">
        <f>IFERROR(__xludf.DUMMYFUNCTION("""COMPUTED_VALUE"""),44.0)</f>
        <v>44</v>
      </c>
      <c r="L3332" s="2">
        <f>IFERROR(__xludf.DUMMYFUNCTION("""COMPUTED_VALUE"""),56.945456)</f>
        <v>56.945456</v>
      </c>
      <c r="M3332" s="2">
        <f>IFERROR(__xludf.DUMMYFUNCTION("""COMPUTED_VALUE"""),24.1115799)</f>
        <v>24.1115799</v>
      </c>
    </row>
    <row r="3333">
      <c r="A3333" s="2" t="str">
        <f>IFERROR(__xludf.DUMMYFUNCTION("""COMPUTED_VALUE"""),"For rent")</f>
        <v>For rent</v>
      </c>
      <c r="B3333" s="2" t="str">
        <f>IFERROR(__xludf.DUMMYFUNCTION("""COMPUTED_VALUE"""),"centrs")</f>
        <v>centrs</v>
      </c>
      <c r="C3333" s="2" t="str">
        <f>IFERROR(__xludf.DUMMYFUNCTION("""COMPUTED_VALUE"""),"Matīsa 137")</f>
        <v>Matīsa 137</v>
      </c>
      <c r="D3333" s="2">
        <f>IFERROR(__xludf.DUMMYFUNCTION("""COMPUTED_VALUE"""),2.0)</f>
        <v>2</v>
      </c>
      <c r="E3333" s="2">
        <f>IFERROR(__xludf.DUMMYFUNCTION("""COMPUTED_VALUE"""),55.0)</f>
        <v>55</v>
      </c>
      <c r="F3333" s="2">
        <f>IFERROR(__xludf.DUMMYFUNCTION("""COMPUTED_VALUE"""),1.0)</f>
        <v>1</v>
      </c>
      <c r="G3333" s="2">
        <f>IFERROR(__xludf.DUMMYFUNCTION("""COMPUTED_VALUE"""),4.0)</f>
        <v>4</v>
      </c>
      <c r="H3333" s="2" t="str">
        <f>IFERROR(__xludf.DUMMYFUNCTION("""COMPUTED_VALUE"""),"P. kara")</f>
        <v>P. kara</v>
      </c>
      <c r="I3333" s="2" t="str">
        <f>IFERROR(__xludf.DUMMYFUNCTION("""COMPUTED_VALUE"""),"Brick")</f>
        <v>Brick</v>
      </c>
      <c r="J3333" s="2" t="str">
        <f>IFERROR(__xludf.DUMMYFUNCTION("""COMPUTED_VALUE"""),"Partial amenities")</f>
        <v>Partial amenities</v>
      </c>
      <c r="K3333" s="2">
        <f>IFERROR(__xludf.DUMMYFUNCTION("""COMPUTED_VALUE"""),225.0)</f>
        <v>225</v>
      </c>
      <c r="L3333" s="2">
        <f>IFERROR(__xludf.DUMMYFUNCTION("""COMPUTED_VALUE"""),56.94852645)</f>
        <v>56.94852645</v>
      </c>
      <c r="M3333" s="2">
        <f>IFERROR(__xludf.DUMMYFUNCTION("""COMPUTED_VALUE"""),24.1519268353779)</f>
        <v>24.15192684</v>
      </c>
    </row>
    <row r="3334">
      <c r="A3334" s="2" t="str">
        <f>IFERROR(__xludf.DUMMYFUNCTION("""COMPUTED_VALUE"""),"For rent")</f>
        <v>For rent</v>
      </c>
      <c r="B3334" s="2" t="str">
        <f>IFERROR(__xludf.DUMMYFUNCTION("""COMPUTED_VALUE"""),"centrs")</f>
        <v>centrs</v>
      </c>
      <c r="C3334" s="2" t="str">
        <f>IFERROR(__xludf.DUMMYFUNCTION("""COMPUTED_VALUE"""),"Barona 76")</f>
        <v>Barona 76</v>
      </c>
      <c r="D3334" s="2">
        <f>IFERROR(__xludf.DUMMYFUNCTION("""COMPUTED_VALUE"""),3.0)</f>
        <v>3</v>
      </c>
      <c r="E3334" s="2">
        <f>IFERROR(__xludf.DUMMYFUNCTION("""COMPUTED_VALUE"""),55.0)</f>
        <v>55</v>
      </c>
      <c r="F3334" s="2">
        <f>IFERROR(__xludf.DUMMYFUNCTION("""COMPUTED_VALUE"""),2.0)</f>
        <v>2</v>
      </c>
      <c r="G3334" s="2">
        <f>IFERROR(__xludf.DUMMYFUNCTION("""COMPUTED_VALUE"""),6.0)</f>
        <v>6</v>
      </c>
      <c r="H3334" s="2" t="str">
        <f>IFERROR(__xludf.DUMMYFUNCTION("""COMPUTED_VALUE"""),"Renov.")</f>
        <v>Renov.</v>
      </c>
      <c r="I3334" s="2" t="str">
        <f>IFERROR(__xludf.DUMMYFUNCTION("""COMPUTED_VALUE"""),"Masonry")</f>
        <v>Masonry</v>
      </c>
      <c r="J3334" s="2" t="str">
        <f>IFERROR(__xludf.DUMMYFUNCTION("""COMPUTED_VALUE"""),"All amenities")</f>
        <v>All amenities</v>
      </c>
      <c r="K3334" s="2">
        <f>IFERROR(__xludf.DUMMYFUNCTION("""COMPUTED_VALUE"""),630.0)</f>
        <v>630</v>
      </c>
      <c r="L3334" s="2">
        <f>IFERROR(__xludf.DUMMYFUNCTION("""COMPUTED_VALUE"""),56.95643795)</f>
        <v>56.95643795</v>
      </c>
      <c r="M3334" s="2">
        <f>IFERROR(__xludf.DUMMYFUNCTION("""COMPUTED_VALUE"""),24.1325729821556)</f>
        <v>24.13257298</v>
      </c>
    </row>
    <row r="3335">
      <c r="A3335" s="2" t="str">
        <f>IFERROR(__xludf.DUMMYFUNCTION("""COMPUTED_VALUE"""),"For sale")</f>
        <v>For sale</v>
      </c>
      <c r="B3335" s="2" t="str">
        <f>IFERROR(__xludf.DUMMYFUNCTION("""COMPUTED_VALUE"""),"centrs")</f>
        <v>centrs</v>
      </c>
      <c r="C3335" s="2" t="str">
        <f>IFERROR(__xludf.DUMMYFUNCTION("""COMPUTED_VALUE"""),"Miera 86")</f>
        <v>Miera 86</v>
      </c>
      <c r="D3335" s="2">
        <f>IFERROR(__xludf.DUMMYFUNCTION("""COMPUTED_VALUE"""),2.0)</f>
        <v>2</v>
      </c>
      <c r="E3335" s="2">
        <f>IFERROR(__xludf.DUMMYFUNCTION("""COMPUTED_VALUE"""),43.0)</f>
        <v>43</v>
      </c>
      <c r="F3335" s="2">
        <f>IFERROR(__xludf.DUMMYFUNCTION("""COMPUTED_VALUE"""),1.0)</f>
        <v>1</v>
      </c>
      <c r="G3335" s="2">
        <f>IFERROR(__xludf.DUMMYFUNCTION("""COMPUTED_VALUE"""),5.0)</f>
        <v>5</v>
      </c>
      <c r="H3335" s="2" t="str">
        <f>IFERROR(__xludf.DUMMYFUNCTION("""COMPUTED_VALUE"""),"P. kara")</f>
        <v>P. kara</v>
      </c>
      <c r="I3335" s="2" t="str">
        <f>IFERROR(__xludf.DUMMYFUNCTION("""COMPUTED_VALUE"""),"Masonry")</f>
        <v>Masonry</v>
      </c>
      <c r="J3335" s="2" t="str">
        <f>IFERROR(__xludf.DUMMYFUNCTION("""COMPUTED_VALUE"""),"All amenities")</f>
        <v>All amenities</v>
      </c>
      <c r="K3335" s="2">
        <f>IFERROR(__xludf.DUMMYFUNCTION("""COMPUTED_VALUE"""),62000.0)</f>
        <v>62000</v>
      </c>
      <c r="L3335" s="2">
        <f>IFERROR(__xludf.DUMMYFUNCTION("""COMPUTED_VALUE"""),56.9665763)</f>
        <v>56.9665763</v>
      </c>
      <c r="M3335" s="2">
        <f>IFERROR(__xludf.DUMMYFUNCTION("""COMPUTED_VALUE"""),24.1337504)</f>
        <v>24.1337504</v>
      </c>
    </row>
    <row r="3336">
      <c r="A3336" s="2" t="str">
        <f>IFERROR(__xludf.DUMMYFUNCTION("""COMPUTED_VALUE"""),"For sale")</f>
        <v>For sale</v>
      </c>
      <c r="B3336" s="2" t="str">
        <f>IFERROR(__xludf.DUMMYFUNCTION("""COMPUTED_VALUE"""),"Āgenskalns")</f>
        <v>Āgenskalns</v>
      </c>
      <c r="C3336" s="2" t="str">
        <f>IFERROR(__xludf.DUMMYFUNCTION("""COMPUTED_VALUE"""),"Kuldīgas 32")</f>
        <v>Kuldīgas 32</v>
      </c>
      <c r="D3336" s="2">
        <f>IFERROR(__xludf.DUMMYFUNCTION("""COMPUTED_VALUE"""),2.0)</f>
        <v>2</v>
      </c>
      <c r="E3336" s="2">
        <f>IFERROR(__xludf.DUMMYFUNCTION("""COMPUTED_VALUE"""),53.0)</f>
        <v>53</v>
      </c>
      <c r="F3336" s="2">
        <f>IFERROR(__xludf.DUMMYFUNCTION("""COMPUTED_VALUE"""),3.0)</f>
        <v>3</v>
      </c>
      <c r="G3336" s="2">
        <f>IFERROR(__xludf.DUMMYFUNCTION("""COMPUTED_VALUE"""),4.0)</f>
        <v>4</v>
      </c>
      <c r="H3336" s="2" t="str">
        <f>IFERROR(__xludf.DUMMYFUNCTION("""COMPUTED_VALUE"""),"P. kara")</f>
        <v>P. kara</v>
      </c>
      <c r="I3336" s="2" t="str">
        <f>IFERROR(__xludf.DUMMYFUNCTION("""COMPUTED_VALUE"""),"Masonry")</f>
        <v>Masonry</v>
      </c>
      <c r="J3336" s="2" t="str">
        <f>IFERROR(__xludf.DUMMYFUNCTION("""COMPUTED_VALUE"""),"All amenities")</f>
        <v>All amenities</v>
      </c>
      <c r="K3336" s="2">
        <f>IFERROR(__xludf.DUMMYFUNCTION("""COMPUTED_VALUE"""),70000.0)</f>
        <v>70000</v>
      </c>
      <c r="L3336" s="2">
        <f>IFERROR(__xludf.DUMMYFUNCTION("""COMPUTED_VALUE"""),56.9474705)</f>
        <v>56.9474705</v>
      </c>
      <c r="M3336" s="2">
        <f>IFERROR(__xludf.DUMMYFUNCTION("""COMPUTED_VALUE"""),24.0604076)</f>
        <v>24.0604076</v>
      </c>
    </row>
    <row r="3337">
      <c r="A3337" s="2" t="str">
        <f>IFERROR(__xludf.DUMMYFUNCTION("""COMPUTED_VALUE"""),"For sale")</f>
        <v>For sale</v>
      </c>
      <c r="B3337" s="2" t="str">
        <f>IFERROR(__xludf.DUMMYFUNCTION("""COMPUTED_VALUE"""),"centrs")</f>
        <v>centrs</v>
      </c>
      <c r="C3337" s="2" t="str">
        <f>IFERROR(__xludf.DUMMYFUNCTION("""COMPUTED_VALUE"""),"Lāčplēša 54")</f>
        <v>Lāčplēša 54</v>
      </c>
      <c r="D3337" s="2">
        <f>IFERROR(__xludf.DUMMYFUNCTION("""COMPUTED_VALUE"""),2.0)</f>
        <v>2</v>
      </c>
      <c r="E3337" s="2">
        <f>IFERROR(__xludf.DUMMYFUNCTION("""COMPUTED_VALUE"""),70.0)</f>
        <v>70</v>
      </c>
      <c r="F3337" s="2">
        <f>IFERROR(__xludf.DUMMYFUNCTION("""COMPUTED_VALUE"""),6.0)</f>
        <v>6</v>
      </c>
      <c r="G3337" s="2">
        <f>IFERROR(__xludf.DUMMYFUNCTION("""COMPUTED_VALUE"""),6.0)</f>
        <v>6</v>
      </c>
      <c r="H3337" s="2" t="str">
        <f>IFERROR(__xludf.DUMMYFUNCTION("""COMPUTED_VALUE"""),"P. kara")</f>
        <v>P. kara</v>
      </c>
      <c r="I3337" s="2" t="str">
        <f>IFERROR(__xludf.DUMMYFUNCTION("""COMPUTED_VALUE"""),"Brick")</f>
        <v>Brick</v>
      </c>
      <c r="J3337" s="2" t="str">
        <f>IFERROR(__xludf.DUMMYFUNCTION("""COMPUTED_VALUE"""),"All amenities")</f>
        <v>All amenities</v>
      </c>
      <c r="K3337" s="2">
        <f>IFERROR(__xludf.DUMMYFUNCTION("""COMPUTED_VALUE"""),89500.0)</f>
        <v>89500</v>
      </c>
      <c r="L3337" s="2">
        <f>IFERROR(__xludf.DUMMYFUNCTION("""COMPUTED_VALUE"""),56.9513816)</f>
        <v>56.9513816</v>
      </c>
      <c r="M3337" s="2">
        <f>IFERROR(__xludf.DUMMYFUNCTION("""COMPUTED_VALUE"""),24.1289619)</f>
        <v>24.1289619</v>
      </c>
    </row>
    <row r="3338">
      <c r="A3338" s="2" t="str">
        <f>IFERROR(__xludf.DUMMYFUNCTION("""COMPUTED_VALUE"""),"For sale")</f>
        <v>For sale</v>
      </c>
      <c r="B3338" s="2" t="str">
        <f>IFERROR(__xludf.DUMMYFUNCTION("""COMPUTED_VALUE"""),"Mežciems")</f>
        <v>Mežciems</v>
      </c>
      <c r="C3338" s="2" t="str">
        <f>IFERROR(__xludf.DUMMYFUNCTION("""COMPUTED_VALUE"""),"Kaivas 50-13d")</f>
        <v>Kaivas 50-13d</v>
      </c>
      <c r="D3338" s="2">
        <f>IFERROR(__xludf.DUMMYFUNCTION("""COMPUTED_VALUE"""),4.0)</f>
        <v>4</v>
      </c>
      <c r="E3338" s="2">
        <f>IFERROR(__xludf.DUMMYFUNCTION("""COMPUTED_VALUE"""),75.0)</f>
        <v>75</v>
      </c>
      <c r="F3338" s="2">
        <f>IFERROR(__xludf.DUMMYFUNCTION("""COMPUTED_VALUE"""),5.0)</f>
        <v>5</v>
      </c>
      <c r="G3338" s="2">
        <f>IFERROR(__xludf.DUMMYFUNCTION("""COMPUTED_VALUE"""),5.0)</f>
        <v>5</v>
      </c>
      <c r="H3338" s="2" t="str">
        <f>IFERROR(__xludf.DUMMYFUNCTION("""COMPUTED_VALUE"""),"Jaun.")</f>
        <v>Jaun.</v>
      </c>
      <c r="I3338" s="2" t="str">
        <f>IFERROR(__xludf.DUMMYFUNCTION("""COMPUTED_VALUE"""),"Brick-Panel")</f>
        <v>Brick-Panel</v>
      </c>
      <c r="J3338" s="2" t="str">
        <f>IFERROR(__xludf.DUMMYFUNCTION("""COMPUTED_VALUE"""),"All amenities")</f>
        <v>All amenities</v>
      </c>
      <c r="K3338" s="2">
        <f>IFERROR(__xludf.DUMMYFUNCTION("""COMPUTED_VALUE"""),82830.0)</f>
        <v>82830</v>
      </c>
      <c r="L3338" s="2" t="str">
        <f>IFERROR(__xludf.DUMMYFUNCTION("""COMPUTED_VALUE"""),"NaN")</f>
        <v>NaN</v>
      </c>
      <c r="M3338" s="2" t="str">
        <f>IFERROR(__xludf.DUMMYFUNCTION("""COMPUTED_VALUE"""),"NaN")</f>
        <v>NaN</v>
      </c>
    </row>
    <row r="3339">
      <c r="A3339" s="2" t="str">
        <f>IFERROR(__xludf.DUMMYFUNCTION("""COMPUTED_VALUE"""),"For sale")</f>
        <v>For sale</v>
      </c>
      <c r="B3339" s="2" t="str">
        <f>IFERROR(__xludf.DUMMYFUNCTION("""COMPUTED_VALUE"""),"Iļģuciems")</f>
        <v>Iļģuciems</v>
      </c>
      <c r="C3339" s="2" t="str">
        <f>IFERROR(__xludf.DUMMYFUNCTION("""COMPUTED_VALUE"""),"Lilijas 28")</f>
        <v>Lilijas 28</v>
      </c>
      <c r="D3339" s="2">
        <f>IFERROR(__xludf.DUMMYFUNCTION("""COMPUTED_VALUE"""),3.0)</f>
        <v>3</v>
      </c>
      <c r="E3339" s="2">
        <f>IFERROR(__xludf.DUMMYFUNCTION("""COMPUTED_VALUE"""),106.0)</f>
        <v>106</v>
      </c>
      <c r="F3339" s="2">
        <f>IFERROR(__xludf.DUMMYFUNCTION("""COMPUTED_VALUE"""),6.0)</f>
        <v>6</v>
      </c>
      <c r="G3339" s="2">
        <f>IFERROR(__xludf.DUMMYFUNCTION("""COMPUTED_VALUE"""),6.0)</f>
        <v>6</v>
      </c>
      <c r="H3339" s="2" t="str">
        <f>IFERROR(__xludf.DUMMYFUNCTION("""COMPUTED_VALUE"""),"Jaun.")</f>
        <v>Jaun.</v>
      </c>
      <c r="I3339" s="2" t="str">
        <f>IFERROR(__xludf.DUMMYFUNCTION("""COMPUTED_VALUE"""),"Panel")</f>
        <v>Panel</v>
      </c>
      <c r="J3339" s="2" t="str">
        <f>IFERROR(__xludf.DUMMYFUNCTION("""COMPUTED_VALUE"""),"All amenities")</f>
        <v>All amenities</v>
      </c>
      <c r="K3339" s="2">
        <f>IFERROR(__xludf.DUMMYFUNCTION("""COMPUTED_VALUE"""),135000.0)</f>
        <v>135000</v>
      </c>
      <c r="L3339" s="2">
        <f>IFERROR(__xludf.DUMMYFUNCTION("""COMPUTED_VALUE"""),56.9647715)</f>
        <v>56.9647715</v>
      </c>
      <c r="M3339" s="2">
        <f>IFERROR(__xludf.DUMMYFUNCTION("""COMPUTED_VALUE"""),24.0601162229667)</f>
        <v>24.06011622</v>
      </c>
    </row>
    <row r="3340">
      <c r="A3340" s="2" t="str">
        <f>IFERROR(__xludf.DUMMYFUNCTION("""COMPUTED_VALUE"""),"For sale")</f>
        <v>For sale</v>
      </c>
      <c r="B3340" s="2" t="str">
        <f>IFERROR(__xludf.DUMMYFUNCTION("""COMPUTED_VALUE"""),"Ķengarags")</f>
        <v>Ķengarags</v>
      </c>
      <c r="C3340" s="2" t="str">
        <f>IFERROR(__xludf.DUMMYFUNCTION("""COMPUTED_VALUE"""),"Kaņiera 18")</f>
        <v>Kaņiera 18</v>
      </c>
      <c r="D3340" s="2">
        <f>IFERROR(__xludf.DUMMYFUNCTION("""COMPUTED_VALUE"""),1.0)</f>
        <v>1</v>
      </c>
      <c r="E3340" s="2">
        <f>IFERROR(__xludf.DUMMYFUNCTION("""COMPUTED_VALUE"""),36.0)</f>
        <v>36</v>
      </c>
      <c r="F3340" s="2">
        <f>IFERROR(__xludf.DUMMYFUNCTION("""COMPUTED_VALUE"""),9.0)</f>
        <v>9</v>
      </c>
      <c r="G3340" s="2">
        <f>IFERROR(__xludf.DUMMYFUNCTION("""COMPUTED_VALUE"""),12.0)</f>
        <v>12</v>
      </c>
      <c r="H3340" s="2" t="str">
        <f>IFERROR(__xludf.DUMMYFUNCTION("""COMPUTED_VALUE"""),"M. ģim.")</f>
        <v>M. ģim.</v>
      </c>
      <c r="I3340" s="2" t="str">
        <f>IFERROR(__xludf.DUMMYFUNCTION("""COMPUTED_VALUE"""),"Brick")</f>
        <v>Brick</v>
      </c>
      <c r="J3340" s="2" t="str">
        <f>IFERROR(__xludf.DUMMYFUNCTION("""COMPUTED_VALUE"""),"All amenities")</f>
        <v>All amenities</v>
      </c>
      <c r="K3340" s="2">
        <f>IFERROR(__xludf.DUMMYFUNCTION("""COMPUTED_VALUE"""),35000.0)</f>
        <v>35000</v>
      </c>
      <c r="L3340" s="2">
        <f>IFERROR(__xludf.DUMMYFUNCTION("""COMPUTED_VALUE"""),56.9150159999999)</f>
        <v>56.915016</v>
      </c>
      <c r="M3340" s="2">
        <f>IFERROR(__xludf.DUMMYFUNCTION("""COMPUTED_VALUE"""),24.1672330053323)</f>
        <v>24.16723301</v>
      </c>
    </row>
    <row r="3341">
      <c r="A3341" s="2" t="str">
        <f>IFERROR(__xludf.DUMMYFUNCTION("""COMPUTED_VALUE"""),"For sale")</f>
        <v>For sale</v>
      </c>
      <c r="B3341" s="2" t="str">
        <f>IFERROR(__xludf.DUMMYFUNCTION("""COMPUTED_VALUE"""),"centrs")</f>
        <v>centrs</v>
      </c>
      <c r="C3341" s="2" t="str">
        <f>IFERROR(__xludf.DUMMYFUNCTION("""COMPUTED_VALUE"""),"Smilšu 14a")</f>
        <v>Smilšu 14a</v>
      </c>
      <c r="D3341" s="2">
        <f>IFERROR(__xludf.DUMMYFUNCTION("""COMPUTED_VALUE"""),3.0)</f>
        <v>3</v>
      </c>
      <c r="E3341" s="2">
        <f>IFERROR(__xludf.DUMMYFUNCTION("""COMPUTED_VALUE"""),49.0)</f>
        <v>49</v>
      </c>
      <c r="F3341" s="2">
        <f>IFERROR(__xludf.DUMMYFUNCTION("""COMPUTED_VALUE"""),5.0)</f>
        <v>5</v>
      </c>
      <c r="G3341" s="2">
        <f>IFERROR(__xludf.DUMMYFUNCTION("""COMPUTED_VALUE"""),5.0)</f>
        <v>5</v>
      </c>
      <c r="H3341" s="2" t="str">
        <f>IFERROR(__xludf.DUMMYFUNCTION("""COMPUTED_VALUE"""),"P. kara")</f>
        <v>P. kara</v>
      </c>
      <c r="I3341" s="2" t="str">
        <f>IFERROR(__xludf.DUMMYFUNCTION("""COMPUTED_VALUE"""),"Brick")</f>
        <v>Brick</v>
      </c>
      <c r="J3341" s="2" t="str">
        <f>IFERROR(__xludf.DUMMYFUNCTION("""COMPUTED_VALUE"""),"All amenities")</f>
        <v>All amenities</v>
      </c>
      <c r="K3341" s="2">
        <f>IFERROR(__xludf.DUMMYFUNCTION("""COMPUTED_VALUE"""),135520.0)</f>
        <v>135520</v>
      </c>
      <c r="L3341" s="2">
        <f>IFERROR(__xludf.DUMMYFUNCTION("""COMPUTED_VALUE"""),56.9503591)</f>
        <v>56.9503591</v>
      </c>
      <c r="M3341" s="2">
        <f>IFERROR(__xludf.DUMMYFUNCTION("""COMPUTED_VALUE"""),24.1084129)</f>
        <v>24.1084129</v>
      </c>
    </row>
    <row r="3342">
      <c r="A3342" s="2" t="str">
        <f>IFERROR(__xludf.DUMMYFUNCTION("""COMPUTED_VALUE"""),"For sale")</f>
        <v>For sale</v>
      </c>
      <c r="B3342" s="2" t="str">
        <f>IFERROR(__xludf.DUMMYFUNCTION("""COMPUTED_VALUE"""),"centrs")</f>
        <v>centrs</v>
      </c>
      <c r="C3342" s="2" t="str">
        <f>IFERROR(__xludf.DUMMYFUNCTION("""COMPUTED_VALUE"""),"Valdemāra 109")</f>
        <v>Valdemāra 109</v>
      </c>
      <c r="D3342" s="2">
        <f>IFERROR(__xludf.DUMMYFUNCTION("""COMPUTED_VALUE"""),1.0)</f>
        <v>1</v>
      </c>
      <c r="E3342" s="2">
        <f>IFERROR(__xludf.DUMMYFUNCTION("""COMPUTED_VALUE"""),35.0)</f>
        <v>35</v>
      </c>
      <c r="F3342" s="2">
        <f>IFERROR(__xludf.DUMMYFUNCTION("""COMPUTED_VALUE"""),5.0)</f>
        <v>5</v>
      </c>
      <c r="G3342" s="2">
        <f>IFERROR(__xludf.DUMMYFUNCTION("""COMPUTED_VALUE"""),6.0)</f>
        <v>6</v>
      </c>
      <c r="H3342" s="2" t="str">
        <f>IFERROR(__xludf.DUMMYFUNCTION("""COMPUTED_VALUE"""),"Specpr.")</f>
        <v>Specpr.</v>
      </c>
      <c r="I3342" s="2" t="str">
        <f>IFERROR(__xludf.DUMMYFUNCTION("""COMPUTED_VALUE"""),"Brick-Panel")</f>
        <v>Brick-Panel</v>
      </c>
      <c r="J3342" s="2" t="str">
        <f>IFERROR(__xludf.DUMMYFUNCTION("""COMPUTED_VALUE"""),"All amenities")</f>
        <v>All amenities</v>
      </c>
      <c r="K3342" s="2">
        <f>IFERROR(__xludf.DUMMYFUNCTION("""COMPUTED_VALUE"""),58000.0)</f>
        <v>58000</v>
      </c>
      <c r="L3342" s="2">
        <f>IFERROR(__xludf.DUMMYFUNCTION("""COMPUTED_VALUE"""),56.9658337)</f>
        <v>56.9658337</v>
      </c>
      <c r="M3342" s="2">
        <f>IFERROR(__xludf.DUMMYFUNCTION("""COMPUTED_VALUE"""),24.1288033758677)</f>
        <v>24.12880338</v>
      </c>
    </row>
    <row r="3343">
      <c r="A3343" s="2" t="str">
        <f>IFERROR(__xludf.DUMMYFUNCTION("""COMPUTED_VALUE"""),"For sale")</f>
        <v>For sale</v>
      </c>
      <c r="B3343" s="2" t="str">
        <f>IFERROR(__xludf.DUMMYFUNCTION("""COMPUTED_VALUE"""),"Sarkandaugava")</f>
        <v>Sarkandaugava</v>
      </c>
      <c r="C3343" s="2" t="str">
        <f>IFERROR(__xludf.DUMMYFUNCTION("""COMPUTED_VALUE"""),"Hāpsalas 1 k-1")</f>
        <v>Hāpsalas 1 k-1</v>
      </c>
      <c r="D3343" s="2">
        <f>IFERROR(__xludf.DUMMYFUNCTION("""COMPUTED_VALUE"""),3.0)</f>
        <v>3</v>
      </c>
      <c r="E3343" s="2">
        <f>IFERROR(__xludf.DUMMYFUNCTION("""COMPUTED_VALUE"""),64.0)</f>
        <v>64</v>
      </c>
      <c r="F3343" s="2">
        <f>IFERROR(__xludf.DUMMYFUNCTION("""COMPUTED_VALUE"""),6.0)</f>
        <v>6</v>
      </c>
      <c r="G3343" s="2">
        <f>IFERROR(__xludf.DUMMYFUNCTION("""COMPUTED_VALUE"""),8.0)</f>
        <v>8</v>
      </c>
      <c r="H3343" s="2" t="str">
        <f>IFERROR(__xludf.DUMMYFUNCTION("""COMPUTED_VALUE"""),"Renov.")</f>
        <v>Renov.</v>
      </c>
      <c r="I3343" s="2" t="str">
        <f>IFERROR(__xludf.DUMMYFUNCTION("""COMPUTED_VALUE"""),"Brick-Panel")</f>
        <v>Brick-Panel</v>
      </c>
      <c r="J3343" s="2" t="str">
        <f>IFERROR(__xludf.DUMMYFUNCTION("""COMPUTED_VALUE"""),"All amenities")</f>
        <v>All amenities</v>
      </c>
      <c r="K3343" s="2">
        <f>IFERROR(__xludf.DUMMYFUNCTION("""COMPUTED_VALUE"""),77000.0)</f>
        <v>77000</v>
      </c>
      <c r="L3343" s="2">
        <f>IFERROR(__xludf.DUMMYFUNCTION("""COMPUTED_VALUE"""),56.99858105)</f>
        <v>56.99858105</v>
      </c>
      <c r="M3343" s="2">
        <f>IFERROR(__xludf.DUMMYFUNCTION("""COMPUTED_VALUE"""),24.1219125762647)</f>
        <v>24.12191258</v>
      </c>
    </row>
    <row r="3344">
      <c r="A3344" s="2" t="str">
        <f>IFERROR(__xludf.DUMMYFUNCTION("""COMPUTED_VALUE"""),"For sale")</f>
        <v>For sale</v>
      </c>
      <c r="B3344" s="2" t="str">
        <f>IFERROR(__xludf.DUMMYFUNCTION("""COMPUTED_VALUE"""),"Ziepniekkalns")</f>
        <v>Ziepniekkalns</v>
      </c>
      <c r="C3344" s="2" t="str">
        <f>IFERROR(__xludf.DUMMYFUNCTION("""COMPUTED_VALUE"""),"Līvciema 10")</f>
        <v>Līvciema 10</v>
      </c>
      <c r="D3344" s="2">
        <f>IFERROR(__xludf.DUMMYFUNCTION("""COMPUTED_VALUE"""),3.0)</f>
        <v>3</v>
      </c>
      <c r="E3344" s="2">
        <f>IFERROR(__xludf.DUMMYFUNCTION("""COMPUTED_VALUE"""),73.0)</f>
        <v>73</v>
      </c>
      <c r="F3344" s="2">
        <f>IFERROR(__xludf.DUMMYFUNCTION("""COMPUTED_VALUE"""),5.0)</f>
        <v>5</v>
      </c>
      <c r="G3344" s="2">
        <f>IFERROR(__xludf.DUMMYFUNCTION("""COMPUTED_VALUE"""),5.0)</f>
        <v>5</v>
      </c>
      <c r="H3344" s="2" t="str">
        <f>IFERROR(__xludf.DUMMYFUNCTION("""COMPUTED_VALUE"""),"Specpr.")</f>
        <v>Specpr.</v>
      </c>
      <c r="I3344" s="2" t="str">
        <f>IFERROR(__xludf.DUMMYFUNCTION("""COMPUTED_VALUE"""),"Panel")</f>
        <v>Panel</v>
      </c>
      <c r="J3344" s="2" t="str">
        <f>IFERROR(__xludf.DUMMYFUNCTION("""COMPUTED_VALUE"""),"All amenities")</f>
        <v>All amenities</v>
      </c>
      <c r="K3344" s="2">
        <f>IFERROR(__xludf.DUMMYFUNCTION("""COMPUTED_VALUE"""),86000.0)</f>
        <v>86000</v>
      </c>
      <c r="L3344" s="2">
        <f>IFERROR(__xludf.DUMMYFUNCTION("""COMPUTED_VALUE"""),56.9108369)</f>
        <v>56.9108369</v>
      </c>
      <c r="M3344" s="2">
        <f>IFERROR(__xludf.DUMMYFUNCTION("""COMPUTED_VALUE"""),24.098253430927)</f>
        <v>24.09825343</v>
      </c>
    </row>
    <row r="3345">
      <c r="A3345" s="2" t="str">
        <f>IFERROR(__xludf.DUMMYFUNCTION("""COMPUTED_VALUE"""),"For rent")</f>
        <v>For rent</v>
      </c>
      <c r="B3345" s="2" t="str">
        <f>IFERROR(__xludf.DUMMYFUNCTION("""COMPUTED_VALUE"""),"Purvciems")</f>
        <v>Purvciems</v>
      </c>
      <c r="C3345" s="2" t="str">
        <f>IFERROR(__xludf.DUMMYFUNCTION("""COMPUTED_VALUE"""),"Mārcienas 1")</f>
        <v>Mārcienas 1</v>
      </c>
      <c r="D3345" s="2">
        <f>IFERROR(__xludf.DUMMYFUNCTION("""COMPUTED_VALUE"""),2.0)</f>
        <v>2</v>
      </c>
      <c r="E3345" s="2">
        <f>IFERROR(__xludf.DUMMYFUNCTION("""COMPUTED_VALUE"""),56.0)</f>
        <v>56</v>
      </c>
      <c r="F3345" s="2">
        <f>IFERROR(__xludf.DUMMYFUNCTION("""COMPUTED_VALUE"""),8.0)</f>
        <v>8</v>
      </c>
      <c r="G3345" s="2">
        <f>IFERROR(__xludf.DUMMYFUNCTION("""COMPUTED_VALUE"""),9.0)</f>
        <v>9</v>
      </c>
      <c r="H3345" s="2">
        <f>IFERROR(__xludf.DUMMYFUNCTION("""COMPUTED_VALUE"""),119.0)</f>
        <v>119</v>
      </c>
      <c r="I3345" s="2" t="str">
        <f>IFERROR(__xludf.DUMMYFUNCTION("""COMPUTED_VALUE"""),"Panel")</f>
        <v>Panel</v>
      </c>
      <c r="J3345" s="2" t="str">
        <f>IFERROR(__xludf.DUMMYFUNCTION("""COMPUTED_VALUE"""),"All amenities")</f>
        <v>All amenities</v>
      </c>
      <c r="K3345" s="2">
        <f>IFERROR(__xludf.DUMMYFUNCTION("""COMPUTED_VALUE"""),330.0)</f>
        <v>330</v>
      </c>
      <c r="L3345" s="2">
        <f>IFERROR(__xludf.DUMMYFUNCTION("""COMPUTED_VALUE"""),56.95486825)</f>
        <v>56.95486825</v>
      </c>
      <c r="M3345" s="2">
        <f>IFERROR(__xludf.DUMMYFUNCTION("""COMPUTED_VALUE"""),24.1676608)</f>
        <v>24.1676608</v>
      </c>
    </row>
    <row r="3346">
      <c r="A3346" s="2" t="str">
        <f>IFERROR(__xludf.DUMMYFUNCTION("""COMPUTED_VALUE"""),"For rent")</f>
        <v>For rent</v>
      </c>
      <c r="B3346" s="2" t="str">
        <f>IFERROR(__xludf.DUMMYFUNCTION("""COMPUTED_VALUE"""),"Imanta")</f>
        <v>Imanta</v>
      </c>
      <c r="C3346" s="2" t="str">
        <f>IFERROR(__xludf.DUMMYFUNCTION("""COMPUTED_VALUE"""),"Anniņmuižas bulvāris 41")</f>
        <v>Anniņmuižas bulvāris 41</v>
      </c>
      <c r="D3346" s="2">
        <f>IFERROR(__xludf.DUMMYFUNCTION("""COMPUTED_VALUE"""),1.0)</f>
        <v>1</v>
      </c>
      <c r="E3346" s="2">
        <f>IFERROR(__xludf.DUMMYFUNCTION("""COMPUTED_VALUE"""),46.0)</f>
        <v>46</v>
      </c>
      <c r="F3346" s="2">
        <f>IFERROR(__xludf.DUMMYFUNCTION("""COMPUTED_VALUE"""),5.0)</f>
        <v>5</v>
      </c>
      <c r="G3346" s="2">
        <f>IFERROR(__xludf.DUMMYFUNCTION("""COMPUTED_VALUE"""),24.0)</f>
        <v>24</v>
      </c>
      <c r="H3346" s="2" t="str">
        <f>IFERROR(__xludf.DUMMYFUNCTION("""COMPUTED_VALUE"""),"Jaun.")</f>
        <v>Jaun.</v>
      </c>
      <c r="I3346" s="2" t="str">
        <f>IFERROR(__xludf.DUMMYFUNCTION("""COMPUTED_VALUE"""),"Panel-Brick")</f>
        <v>Panel-Brick</v>
      </c>
      <c r="J3346" s="2" t="str">
        <f>IFERROR(__xludf.DUMMYFUNCTION("""COMPUTED_VALUE"""),"All amenities")</f>
        <v>All amenities</v>
      </c>
      <c r="K3346" s="2">
        <f>IFERROR(__xludf.DUMMYFUNCTION("""COMPUTED_VALUE"""),390.0)</f>
        <v>390</v>
      </c>
      <c r="L3346" s="2">
        <f>IFERROR(__xludf.DUMMYFUNCTION("""COMPUTED_VALUE"""),56.95959205)</f>
        <v>56.95959205</v>
      </c>
      <c r="M3346" s="2">
        <f>IFERROR(__xludf.DUMMYFUNCTION("""COMPUTED_VALUE"""),24.0147522499219)</f>
        <v>24.01475225</v>
      </c>
    </row>
    <row r="3347">
      <c r="A3347" s="2" t="str">
        <f>IFERROR(__xludf.DUMMYFUNCTION("""COMPUTED_VALUE"""),"For sale")</f>
        <v>For sale</v>
      </c>
      <c r="B3347" s="2" t="str">
        <f>IFERROR(__xludf.DUMMYFUNCTION("""COMPUTED_VALUE"""),"centrs")</f>
        <v>centrs</v>
      </c>
      <c r="C3347" s="2" t="str">
        <f>IFERROR(__xludf.DUMMYFUNCTION("""COMPUTED_VALUE"""),"Dzirnavu 115")</f>
        <v>Dzirnavu 115</v>
      </c>
      <c r="D3347" s="2">
        <f>IFERROR(__xludf.DUMMYFUNCTION("""COMPUTED_VALUE"""),3.0)</f>
        <v>3</v>
      </c>
      <c r="E3347" s="2">
        <f>IFERROR(__xludf.DUMMYFUNCTION("""COMPUTED_VALUE"""),73.0)</f>
        <v>73</v>
      </c>
      <c r="F3347" s="2">
        <f>IFERROR(__xludf.DUMMYFUNCTION("""COMPUTED_VALUE"""),2.0)</f>
        <v>2</v>
      </c>
      <c r="G3347" s="2">
        <f>IFERROR(__xludf.DUMMYFUNCTION("""COMPUTED_VALUE"""),4.0)</f>
        <v>4</v>
      </c>
      <c r="H3347" s="2" t="str">
        <f>IFERROR(__xludf.DUMMYFUNCTION("""COMPUTED_VALUE"""),"P. kara")</f>
        <v>P. kara</v>
      </c>
      <c r="I3347" s="2" t="str">
        <f>IFERROR(__xludf.DUMMYFUNCTION("""COMPUTED_VALUE"""),"Masonry")</f>
        <v>Masonry</v>
      </c>
      <c r="J3347" s="2" t="str">
        <f>IFERROR(__xludf.DUMMYFUNCTION("""COMPUTED_VALUE"""),"All amenities")</f>
        <v>All amenities</v>
      </c>
      <c r="K3347" s="2">
        <f>IFERROR(__xludf.DUMMYFUNCTION("""COMPUTED_VALUE"""),125000.0)</f>
        <v>125000</v>
      </c>
      <c r="L3347" s="2">
        <f>IFERROR(__xludf.DUMMYFUNCTION("""COMPUTED_VALUE"""),56.9421782)</f>
        <v>56.9421782</v>
      </c>
      <c r="M3347" s="2">
        <f>IFERROR(__xludf.DUMMYFUNCTION("""COMPUTED_VALUE"""),24.1272241)</f>
        <v>24.1272241</v>
      </c>
    </row>
    <row r="3348">
      <c r="A3348" s="2" t="str">
        <f>IFERROR(__xludf.DUMMYFUNCTION("""COMPUTED_VALUE"""),"For rent")</f>
        <v>For rent</v>
      </c>
      <c r="B3348" s="2" t="str">
        <f>IFERROR(__xludf.DUMMYFUNCTION("""COMPUTED_VALUE"""),"centrs")</f>
        <v>centrs</v>
      </c>
      <c r="C3348" s="2" t="str">
        <f>IFERROR(__xludf.DUMMYFUNCTION("""COMPUTED_VALUE"""),"Vesetas 30")</f>
        <v>Vesetas 30</v>
      </c>
      <c r="D3348" s="2">
        <f>IFERROR(__xludf.DUMMYFUNCTION("""COMPUTED_VALUE"""),2.0)</f>
        <v>2</v>
      </c>
      <c r="E3348" s="2">
        <f>IFERROR(__xludf.DUMMYFUNCTION("""COMPUTED_VALUE"""),42.0)</f>
        <v>42</v>
      </c>
      <c r="F3348" s="2">
        <f>IFERROR(__xludf.DUMMYFUNCTION("""COMPUTED_VALUE"""),4.0)</f>
        <v>4</v>
      </c>
      <c r="G3348" s="2">
        <f>IFERROR(__xludf.DUMMYFUNCTION("""COMPUTED_VALUE"""),6.0)</f>
        <v>6</v>
      </c>
      <c r="H3348" s="2" t="str">
        <f>IFERROR(__xludf.DUMMYFUNCTION("""COMPUTED_VALUE"""),"Hrušč.")</f>
        <v>Hrušč.</v>
      </c>
      <c r="I3348" s="2" t="str">
        <f>IFERROR(__xludf.DUMMYFUNCTION("""COMPUTED_VALUE"""),"Brick")</f>
        <v>Brick</v>
      </c>
      <c r="J3348" s="2" t="str">
        <f>IFERROR(__xludf.DUMMYFUNCTION("""COMPUTED_VALUE"""),"All amenities")</f>
        <v>All amenities</v>
      </c>
      <c r="K3348" s="2">
        <f>IFERROR(__xludf.DUMMYFUNCTION("""COMPUTED_VALUE"""),380.0)</f>
        <v>380</v>
      </c>
      <c r="L3348" s="2">
        <f>IFERROR(__xludf.DUMMYFUNCTION("""COMPUTED_VALUE"""),56.97172205)</f>
        <v>56.97172205</v>
      </c>
      <c r="M3348" s="2">
        <f>IFERROR(__xludf.DUMMYFUNCTION("""COMPUTED_VALUE"""),24.1301309)</f>
        <v>24.1301309</v>
      </c>
    </row>
    <row r="3349">
      <c r="A3349" s="2" t="str">
        <f>IFERROR(__xludf.DUMMYFUNCTION("""COMPUTED_VALUE"""),"For rent")</f>
        <v>For rent</v>
      </c>
      <c r="B3349" s="2" t="str">
        <f>IFERROR(__xludf.DUMMYFUNCTION("""COMPUTED_VALUE"""),"Ziepniekkalns")</f>
        <v>Ziepniekkalns</v>
      </c>
      <c r="C3349" s="2" t="str">
        <f>IFERROR(__xludf.DUMMYFUNCTION("""COMPUTED_VALUE"""),"Sērenes 4")</f>
        <v>Sērenes 4</v>
      </c>
      <c r="D3349" s="2">
        <f>IFERROR(__xludf.DUMMYFUNCTION("""COMPUTED_VALUE"""),2.0)</f>
        <v>2</v>
      </c>
      <c r="E3349" s="2">
        <f>IFERROR(__xludf.DUMMYFUNCTION("""COMPUTED_VALUE"""),53.0)</f>
        <v>53</v>
      </c>
      <c r="F3349" s="2">
        <f>IFERROR(__xludf.DUMMYFUNCTION("""COMPUTED_VALUE"""),6.0)</f>
        <v>6</v>
      </c>
      <c r="G3349" s="2">
        <f>IFERROR(__xludf.DUMMYFUNCTION("""COMPUTED_VALUE"""),16.0)</f>
        <v>16</v>
      </c>
      <c r="H3349" s="2">
        <f>IFERROR(__xludf.DUMMYFUNCTION("""COMPUTED_VALUE"""),104.0)</f>
        <v>104</v>
      </c>
      <c r="I3349" s="2" t="str">
        <f>IFERROR(__xludf.DUMMYFUNCTION("""COMPUTED_VALUE"""),"Panel")</f>
        <v>Panel</v>
      </c>
      <c r="J3349" s="2" t="str">
        <f>IFERROR(__xludf.DUMMYFUNCTION("""COMPUTED_VALUE"""),"All amenities")</f>
        <v>All amenities</v>
      </c>
      <c r="K3349" s="2">
        <f>IFERROR(__xludf.DUMMYFUNCTION("""COMPUTED_VALUE"""),340.0)</f>
        <v>340</v>
      </c>
      <c r="L3349" s="2">
        <f>IFERROR(__xludf.DUMMYFUNCTION("""COMPUTED_VALUE"""),56.90479835)</f>
        <v>56.90479835</v>
      </c>
      <c r="M3349" s="2">
        <f>IFERROR(__xludf.DUMMYFUNCTION("""COMPUTED_VALUE"""),24.0840152657105)</f>
        <v>24.08401527</v>
      </c>
    </row>
    <row r="3350">
      <c r="A3350" s="2" t="str">
        <f>IFERROR(__xludf.DUMMYFUNCTION("""COMPUTED_VALUE"""),"For rent")</f>
        <v>For rent</v>
      </c>
      <c r="B3350" s="2" t="str">
        <f>IFERROR(__xludf.DUMMYFUNCTION("""COMPUTED_VALUE"""),"Āgenskalns")</f>
        <v>Āgenskalns</v>
      </c>
      <c r="C3350" s="2" t="str">
        <f>IFERROR(__xludf.DUMMYFUNCTION("""COMPUTED_VALUE"""),"Pilsoņu 18")</f>
        <v>Pilsoņu 18</v>
      </c>
      <c r="D3350" s="2">
        <f>IFERROR(__xludf.DUMMYFUNCTION("""COMPUTED_VALUE"""),1.0)</f>
        <v>1</v>
      </c>
      <c r="E3350" s="2">
        <f>IFERROR(__xludf.DUMMYFUNCTION("""COMPUTED_VALUE"""),15.0)</f>
        <v>15</v>
      </c>
      <c r="F3350" s="2">
        <f>IFERROR(__xludf.DUMMYFUNCTION("""COMPUTED_VALUE"""),1.0)</f>
        <v>1</v>
      </c>
      <c r="G3350" s="2">
        <f>IFERROR(__xludf.DUMMYFUNCTION("""COMPUTED_VALUE"""),1.0)</f>
        <v>1</v>
      </c>
      <c r="H3350" s="2" t="str">
        <f>IFERROR(__xludf.DUMMYFUNCTION("""COMPUTED_VALUE"""),"Renov.")</f>
        <v>Renov.</v>
      </c>
      <c r="I3350" s="2" t="str">
        <f>IFERROR(__xludf.DUMMYFUNCTION("""COMPUTED_VALUE"""),"Brick")</f>
        <v>Brick</v>
      </c>
      <c r="J3350" s="2" t="str">
        <f>IFERROR(__xludf.DUMMYFUNCTION("""COMPUTED_VALUE"""),"All amenities")</f>
        <v>All amenities</v>
      </c>
      <c r="K3350" s="2">
        <f>IFERROR(__xludf.DUMMYFUNCTION("""COMPUTED_VALUE"""),35.0)</f>
        <v>35</v>
      </c>
      <c r="L3350" s="2">
        <f>IFERROR(__xludf.DUMMYFUNCTION("""COMPUTED_VALUE"""),56.9319092)</f>
        <v>56.9319092</v>
      </c>
      <c r="M3350" s="2">
        <f>IFERROR(__xludf.DUMMYFUNCTION("""COMPUTED_VALUE"""),24.0700156)</f>
        <v>24.0700156</v>
      </c>
    </row>
    <row r="3351">
      <c r="A3351" s="2" t="str">
        <f>IFERROR(__xludf.DUMMYFUNCTION("""COMPUTED_VALUE"""),"For sale")</f>
        <v>For sale</v>
      </c>
      <c r="B3351" s="2" t="str">
        <f>IFERROR(__xludf.DUMMYFUNCTION("""COMPUTED_VALUE"""),"centrs")</f>
        <v>centrs</v>
      </c>
      <c r="C3351" s="2" t="str">
        <f>IFERROR(__xludf.DUMMYFUNCTION("""COMPUTED_VALUE"""),"Vidus 11")</f>
        <v>Vidus 11</v>
      </c>
      <c r="D3351" s="2">
        <f>IFERROR(__xludf.DUMMYFUNCTION("""COMPUTED_VALUE"""),2.0)</f>
        <v>2</v>
      </c>
      <c r="E3351" s="2">
        <f>IFERROR(__xludf.DUMMYFUNCTION("""COMPUTED_VALUE"""),59.0)</f>
        <v>59</v>
      </c>
      <c r="F3351" s="2">
        <f>IFERROR(__xludf.DUMMYFUNCTION("""COMPUTED_VALUE"""),3.0)</f>
        <v>3</v>
      </c>
      <c r="G3351" s="2">
        <f>IFERROR(__xludf.DUMMYFUNCTION("""COMPUTED_VALUE"""),5.0)</f>
        <v>5</v>
      </c>
      <c r="H3351" s="2" t="str">
        <f>IFERROR(__xludf.DUMMYFUNCTION("""COMPUTED_VALUE"""),"Renov.")</f>
        <v>Renov.</v>
      </c>
      <c r="I3351" s="2" t="str">
        <f>IFERROR(__xludf.DUMMYFUNCTION("""COMPUTED_VALUE"""),"Masonry")</f>
        <v>Masonry</v>
      </c>
      <c r="J3351" s="2" t="str">
        <f>IFERROR(__xludf.DUMMYFUNCTION("""COMPUTED_VALUE"""),"All amenities")</f>
        <v>All amenities</v>
      </c>
      <c r="K3351" s="2">
        <f>IFERROR(__xludf.DUMMYFUNCTION("""COMPUTED_VALUE"""),154000.0)</f>
        <v>154000</v>
      </c>
      <c r="L3351" s="2">
        <f>IFERROR(__xludf.DUMMYFUNCTION("""COMPUTED_VALUE"""),56.9615303)</f>
        <v>56.9615303</v>
      </c>
      <c r="M3351" s="2">
        <f>IFERROR(__xludf.DUMMYFUNCTION("""COMPUTED_VALUE"""),24.1029165958718)</f>
        <v>24.1029166</v>
      </c>
    </row>
    <row r="3352">
      <c r="A3352" s="2" t="str">
        <f>IFERROR(__xludf.DUMMYFUNCTION("""COMPUTED_VALUE"""),"For rent")</f>
        <v>For rent</v>
      </c>
      <c r="B3352" s="2" t="str">
        <f>IFERROR(__xludf.DUMMYFUNCTION("""COMPUTED_VALUE"""),"Mežciems")</f>
        <v>Mežciems</v>
      </c>
      <c r="C3352" s="2" t="str">
        <f>IFERROR(__xludf.DUMMYFUNCTION("""COMPUTED_VALUE"""),"Kaivas 50-4")</f>
        <v>Kaivas 50-4</v>
      </c>
      <c r="D3352" s="2">
        <f>IFERROR(__xludf.DUMMYFUNCTION("""COMPUTED_VALUE"""),1.0)</f>
        <v>1</v>
      </c>
      <c r="E3352" s="2">
        <f>IFERROR(__xludf.DUMMYFUNCTION("""COMPUTED_VALUE"""),45.0)</f>
        <v>45</v>
      </c>
      <c r="F3352" s="2">
        <f>IFERROR(__xludf.DUMMYFUNCTION("""COMPUTED_VALUE"""),5.0)</f>
        <v>5</v>
      </c>
      <c r="G3352" s="2">
        <f>IFERROR(__xludf.DUMMYFUNCTION("""COMPUTED_VALUE"""),5.0)</f>
        <v>5</v>
      </c>
      <c r="H3352" s="2" t="str">
        <f>IFERROR(__xludf.DUMMYFUNCTION("""COMPUTED_VALUE"""),"Jaun.")</f>
        <v>Jaun.</v>
      </c>
      <c r="I3352" s="2" t="str">
        <f>IFERROR(__xludf.DUMMYFUNCTION("""COMPUTED_VALUE"""),"Brick-Panel")</f>
        <v>Brick-Panel</v>
      </c>
      <c r="J3352" s="2" t="str">
        <f>IFERROR(__xludf.DUMMYFUNCTION("""COMPUTED_VALUE"""),"All amenities")</f>
        <v>All amenities</v>
      </c>
      <c r="K3352" s="2">
        <f>IFERROR(__xludf.DUMMYFUNCTION("""COMPUTED_VALUE"""),340.0)</f>
        <v>340</v>
      </c>
      <c r="L3352" s="2">
        <f>IFERROR(__xludf.DUMMYFUNCTION("""COMPUTED_VALUE"""),56.9541725)</f>
        <v>56.9541725</v>
      </c>
      <c r="M3352" s="2">
        <f>IFERROR(__xludf.DUMMYFUNCTION("""COMPUTED_VALUE"""),24.2443253)</f>
        <v>24.2443253</v>
      </c>
    </row>
    <row r="3353">
      <c r="A3353" s="2" t="str">
        <f>IFERROR(__xludf.DUMMYFUNCTION("""COMPUTED_VALUE"""),"For sale")</f>
        <v>For sale</v>
      </c>
      <c r="B3353" s="2" t="str">
        <f>IFERROR(__xludf.DUMMYFUNCTION("""COMPUTED_VALUE"""),"centrs")</f>
        <v>centrs</v>
      </c>
      <c r="C3353" s="2" t="str">
        <f>IFERROR(__xludf.DUMMYFUNCTION("""COMPUTED_VALUE"""),"Valdemāra 143")</f>
        <v>Valdemāra 143</v>
      </c>
      <c r="D3353" s="2">
        <f>IFERROR(__xludf.DUMMYFUNCTION("""COMPUTED_VALUE"""),4.0)</f>
        <v>4</v>
      </c>
      <c r="E3353" s="2">
        <f>IFERROR(__xludf.DUMMYFUNCTION("""COMPUTED_VALUE"""),69.0)</f>
        <v>69</v>
      </c>
      <c r="F3353" s="2">
        <f>IFERROR(__xludf.DUMMYFUNCTION("""COMPUTED_VALUE"""),2.0)</f>
        <v>2</v>
      </c>
      <c r="G3353" s="2">
        <f>IFERROR(__xludf.DUMMYFUNCTION("""COMPUTED_VALUE"""),5.0)</f>
        <v>5</v>
      </c>
      <c r="H3353" s="2" t="str">
        <f>IFERROR(__xludf.DUMMYFUNCTION("""COMPUTED_VALUE"""),"Hrušč.")</f>
        <v>Hrušč.</v>
      </c>
      <c r="I3353" s="2" t="str">
        <f>IFERROR(__xludf.DUMMYFUNCTION("""COMPUTED_VALUE"""),"Brick")</f>
        <v>Brick</v>
      </c>
      <c r="J3353" s="2" t="str">
        <f>IFERROR(__xludf.DUMMYFUNCTION("""COMPUTED_VALUE"""),"All amenities")</f>
        <v>All amenities</v>
      </c>
      <c r="K3353" s="2">
        <f>IFERROR(__xludf.DUMMYFUNCTION("""COMPUTED_VALUE"""),93000.0)</f>
        <v>93000</v>
      </c>
      <c r="L3353" s="2">
        <f>IFERROR(__xludf.DUMMYFUNCTION("""COMPUTED_VALUE"""),56.97070465)</f>
        <v>56.97070465</v>
      </c>
      <c r="M3353" s="2">
        <f>IFERROR(__xludf.DUMMYFUNCTION("""COMPUTED_VALUE"""),24.1320688374732)</f>
        <v>24.13206884</v>
      </c>
    </row>
    <row r="3354">
      <c r="A3354" s="2" t="str">
        <f>IFERROR(__xludf.DUMMYFUNCTION("""COMPUTED_VALUE"""),"For rent")</f>
        <v>For rent</v>
      </c>
      <c r="B3354" s="2" t="str">
        <f>IFERROR(__xludf.DUMMYFUNCTION("""COMPUTED_VALUE"""),"Pļavnieki")</f>
        <v>Pļavnieki</v>
      </c>
      <c r="C3354" s="2" t="str">
        <f>IFERROR(__xludf.DUMMYFUNCTION("""COMPUTED_VALUE"""),"Jasmuižas 18 k 1")</f>
        <v>Jasmuižas 18 k 1</v>
      </c>
      <c r="D3354" s="2">
        <f>IFERROR(__xludf.DUMMYFUNCTION("""COMPUTED_VALUE"""),2.0)</f>
        <v>2</v>
      </c>
      <c r="E3354" s="2">
        <f>IFERROR(__xludf.DUMMYFUNCTION("""COMPUTED_VALUE"""),72.0)</f>
        <v>72</v>
      </c>
      <c r="F3354" s="2">
        <f>IFERROR(__xludf.DUMMYFUNCTION("""COMPUTED_VALUE"""),1.0)</f>
        <v>1</v>
      </c>
      <c r="G3354" s="2">
        <f>IFERROR(__xludf.DUMMYFUNCTION("""COMPUTED_VALUE"""),10.0)</f>
        <v>10</v>
      </c>
      <c r="H3354" s="2" t="str">
        <f>IFERROR(__xludf.DUMMYFUNCTION("""COMPUTED_VALUE"""),"Jaun.")</f>
        <v>Jaun.</v>
      </c>
      <c r="I3354" s="2" t="str">
        <f>IFERROR(__xludf.DUMMYFUNCTION("""COMPUTED_VALUE"""),"Panel-Brick")</f>
        <v>Panel-Brick</v>
      </c>
      <c r="J3354" s="2" t="str">
        <f>IFERROR(__xludf.DUMMYFUNCTION("""COMPUTED_VALUE"""),"All amenities")</f>
        <v>All amenities</v>
      </c>
      <c r="K3354" s="2">
        <f>IFERROR(__xludf.DUMMYFUNCTION("""COMPUTED_VALUE"""),450.0)</f>
        <v>450</v>
      </c>
      <c r="L3354" s="2" t="str">
        <f>IFERROR(__xludf.DUMMYFUNCTION("""COMPUTED_VALUE"""),"NaN")</f>
        <v>NaN</v>
      </c>
      <c r="M3354" s="2" t="str">
        <f>IFERROR(__xludf.DUMMYFUNCTION("""COMPUTED_VALUE"""),"NaN")</f>
        <v>NaN</v>
      </c>
    </row>
    <row r="3355">
      <c r="A3355" s="2" t="str">
        <f>IFERROR(__xludf.DUMMYFUNCTION("""COMPUTED_VALUE"""),"For sale")</f>
        <v>For sale</v>
      </c>
      <c r="B3355" s="2" t="str">
        <f>IFERROR(__xludf.DUMMYFUNCTION("""COMPUTED_VALUE"""),"Zolitūde")</f>
        <v>Zolitūde</v>
      </c>
      <c r="C3355" s="2" t="str">
        <f>IFERROR(__xludf.DUMMYFUNCTION("""COMPUTED_VALUE"""),"Ruses 3")</f>
        <v>Ruses 3</v>
      </c>
      <c r="D3355" s="2">
        <f>IFERROR(__xludf.DUMMYFUNCTION("""COMPUTED_VALUE"""),3.0)</f>
        <v>3</v>
      </c>
      <c r="E3355" s="2">
        <f>IFERROR(__xludf.DUMMYFUNCTION("""COMPUTED_VALUE"""),75.0)</f>
        <v>75</v>
      </c>
      <c r="F3355" s="2">
        <f>IFERROR(__xludf.DUMMYFUNCTION("""COMPUTED_VALUE"""),2.0)</f>
        <v>2</v>
      </c>
      <c r="G3355" s="2">
        <f>IFERROR(__xludf.DUMMYFUNCTION("""COMPUTED_VALUE"""),9.0)</f>
        <v>9</v>
      </c>
      <c r="H3355" s="2">
        <f>IFERROR(__xludf.DUMMYFUNCTION("""COMPUTED_VALUE"""),119.0)</f>
        <v>119</v>
      </c>
      <c r="I3355" s="2" t="str">
        <f>IFERROR(__xludf.DUMMYFUNCTION("""COMPUTED_VALUE"""),"Panel-Brick")</f>
        <v>Panel-Brick</v>
      </c>
      <c r="J3355" s="2" t="str">
        <f>IFERROR(__xludf.DUMMYFUNCTION("""COMPUTED_VALUE"""),"All amenities")</f>
        <v>All amenities</v>
      </c>
      <c r="K3355" s="2">
        <f>IFERROR(__xludf.DUMMYFUNCTION("""COMPUTED_VALUE"""),63500.0)</f>
        <v>63500</v>
      </c>
      <c r="L3355" s="2">
        <f>IFERROR(__xludf.DUMMYFUNCTION("""COMPUTED_VALUE"""),56.9484028)</f>
        <v>56.9484028</v>
      </c>
      <c r="M3355" s="2">
        <f>IFERROR(__xludf.DUMMYFUNCTION("""COMPUTED_VALUE"""),24.0020688644395)</f>
        <v>24.00206886</v>
      </c>
    </row>
    <row r="3356">
      <c r="A3356" s="2" t="str">
        <f>IFERROR(__xludf.DUMMYFUNCTION("""COMPUTED_VALUE"""),"For rent")</f>
        <v>For rent</v>
      </c>
      <c r="B3356" s="2" t="str">
        <f>IFERROR(__xludf.DUMMYFUNCTION("""COMPUTED_VALUE"""),"centrs")</f>
        <v>centrs</v>
      </c>
      <c r="C3356" s="2" t="str">
        <f>IFERROR(__xludf.DUMMYFUNCTION("""COMPUTED_VALUE"""),"Lāčplēša 44/46")</f>
        <v>Lāčplēša 44/46</v>
      </c>
      <c r="D3356" s="2">
        <f>IFERROR(__xludf.DUMMYFUNCTION("""COMPUTED_VALUE"""),2.0)</f>
        <v>2</v>
      </c>
      <c r="E3356" s="2">
        <f>IFERROR(__xludf.DUMMYFUNCTION("""COMPUTED_VALUE"""),45.0)</f>
        <v>45</v>
      </c>
      <c r="F3356" s="2">
        <f>IFERROR(__xludf.DUMMYFUNCTION("""COMPUTED_VALUE"""),4.0)</f>
        <v>4</v>
      </c>
      <c r="G3356" s="2">
        <f>IFERROR(__xludf.DUMMYFUNCTION("""COMPUTED_VALUE"""),4.0)</f>
        <v>4</v>
      </c>
      <c r="H3356" s="2" t="str">
        <f>IFERROR(__xludf.DUMMYFUNCTION("""COMPUTED_VALUE"""),"Renov.")</f>
        <v>Renov.</v>
      </c>
      <c r="I3356" s="2" t="str">
        <f>IFERROR(__xludf.DUMMYFUNCTION("""COMPUTED_VALUE"""),"Brick-Panel")</f>
        <v>Brick-Panel</v>
      </c>
      <c r="J3356" s="2" t="str">
        <f>IFERROR(__xludf.DUMMYFUNCTION("""COMPUTED_VALUE"""),"All amenities")</f>
        <v>All amenities</v>
      </c>
      <c r="K3356" s="2">
        <f>IFERROR(__xludf.DUMMYFUNCTION("""COMPUTED_VALUE"""),420.0)</f>
        <v>420</v>
      </c>
      <c r="L3356" s="2">
        <f>IFERROR(__xludf.DUMMYFUNCTION("""COMPUTED_VALUE"""),56.95248815)</f>
        <v>56.95248815</v>
      </c>
      <c r="M3356" s="2">
        <f>IFERROR(__xludf.DUMMYFUNCTION("""COMPUTED_VALUE"""),24.1277692109479)</f>
        <v>24.12776921</v>
      </c>
    </row>
    <row r="3357">
      <c r="A3357" s="2" t="str">
        <f>IFERROR(__xludf.DUMMYFUNCTION("""COMPUTED_VALUE"""),"For sale")</f>
        <v>For sale</v>
      </c>
      <c r="B3357" s="2" t="str">
        <f>IFERROR(__xludf.DUMMYFUNCTION("""COMPUTED_VALUE"""),"Vecrīga")</f>
        <v>Vecrīga</v>
      </c>
      <c r="C3357" s="2" t="str">
        <f>IFERROR(__xludf.DUMMYFUNCTION("""COMPUTED_VALUE"""),"13. janvāra 21")</f>
        <v>13. janvāra 21</v>
      </c>
      <c r="D3357" s="2">
        <f>IFERROR(__xludf.DUMMYFUNCTION("""COMPUTED_VALUE"""),3.0)</f>
        <v>3</v>
      </c>
      <c r="E3357" s="2">
        <f>IFERROR(__xludf.DUMMYFUNCTION("""COMPUTED_VALUE"""),91.0)</f>
        <v>91</v>
      </c>
      <c r="F3357" s="2">
        <f>IFERROR(__xludf.DUMMYFUNCTION("""COMPUTED_VALUE"""),2.0)</f>
        <v>2</v>
      </c>
      <c r="G3357" s="2">
        <f>IFERROR(__xludf.DUMMYFUNCTION("""COMPUTED_VALUE"""),6.0)</f>
        <v>6</v>
      </c>
      <c r="H3357" s="2" t="str">
        <f>IFERROR(__xludf.DUMMYFUNCTION("""COMPUTED_VALUE"""),"Jaun.")</f>
        <v>Jaun.</v>
      </c>
      <c r="I3357" s="2" t="str">
        <f>IFERROR(__xludf.DUMMYFUNCTION("""COMPUTED_VALUE"""),"Panel-Brick")</f>
        <v>Panel-Brick</v>
      </c>
      <c r="J3357" s="2" t="str">
        <f>IFERROR(__xludf.DUMMYFUNCTION("""COMPUTED_VALUE"""),"All amenities")</f>
        <v>All amenities</v>
      </c>
      <c r="K3357" s="2">
        <f>IFERROR(__xludf.DUMMYFUNCTION("""COMPUTED_VALUE"""),198000.0)</f>
        <v>198000</v>
      </c>
      <c r="L3357" s="2">
        <f>IFERROR(__xludf.DUMMYFUNCTION("""COMPUTED_VALUE"""),56.9443781)</f>
        <v>56.9443781</v>
      </c>
      <c r="M3357" s="2">
        <f>IFERROR(__xludf.DUMMYFUNCTION("""COMPUTED_VALUE"""),24.1105085)</f>
        <v>24.1105085</v>
      </c>
    </row>
    <row r="3358">
      <c r="A3358" s="2" t="str">
        <f>IFERROR(__xludf.DUMMYFUNCTION("""COMPUTED_VALUE"""),"For sale")</f>
        <v>For sale</v>
      </c>
      <c r="B3358" s="2" t="str">
        <f>IFERROR(__xludf.DUMMYFUNCTION("""COMPUTED_VALUE"""),"Ziepniekkalns")</f>
        <v>Ziepniekkalns</v>
      </c>
      <c r="C3358" s="2" t="str">
        <f>IFERROR(__xludf.DUMMYFUNCTION("""COMPUTED_VALUE"""),"Dignājas 3")</f>
        <v>Dignājas 3</v>
      </c>
      <c r="D3358" s="2">
        <f>IFERROR(__xludf.DUMMYFUNCTION("""COMPUTED_VALUE"""),2.0)</f>
        <v>2</v>
      </c>
      <c r="E3358" s="2">
        <f>IFERROR(__xludf.DUMMYFUNCTION("""COMPUTED_VALUE"""),63.0)</f>
        <v>63</v>
      </c>
      <c r="F3358" s="2">
        <f>IFERROR(__xludf.DUMMYFUNCTION("""COMPUTED_VALUE"""),3.0)</f>
        <v>3</v>
      </c>
      <c r="G3358" s="2">
        <f>IFERROR(__xludf.DUMMYFUNCTION("""COMPUTED_VALUE"""),6.0)</f>
        <v>6</v>
      </c>
      <c r="H3358" s="2" t="str">
        <f>IFERROR(__xludf.DUMMYFUNCTION("""COMPUTED_VALUE"""),"Jaun.")</f>
        <v>Jaun.</v>
      </c>
      <c r="I3358" s="2" t="str">
        <f>IFERROR(__xludf.DUMMYFUNCTION("""COMPUTED_VALUE"""),"Masonry")</f>
        <v>Masonry</v>
      </c>
      <c r="J3358" s="2" t="str">
        <f>IFERROR(__xludf.DUMMYFUNCTION("""COMPUTED_VALUE"""),"All amenities")</f>
        <v>All amenities</v>
      </c>
      <c r="K3358" s="2">
        <f>IFERROR(__xludf.DUMMYFUNCTION("""COMPUTED_VALUE"""),81900.0)</f>
        <v>81900</v>
      </c>
      <c r="L3358" s="2">
        <f>IFERROR(__xludf.DUMMYFUNCTION("""COMPUTED_VALUE"""),56.912781)</f>
        <v>56.912781</v>
      </c>
      <c r="M3358" s="2">
        <f>IFERROR(__xludf.DUMMYFUNCTION("""COMPUTED_VALUE"""),24.1191914534271)</f>
        <v>24.11919145</v>
      </c>
    </row>
    <row r="3359">
      <c r="A3359" s="2" t="str">
        <f>IFERROR(__xludf.DUMMYFUNCTION("""COMPUTED_VALUE"""),"For sale")</f>
        <v>For sale</v>
      </c>
      <c r="B3359" s="2" t="str">
        <f>IFERROR(__xludf.DUMMYFUNCTION("""COMPUTED_VALUE"""),"centrs")</f>
        <v>centrs</v>
      </c>
      <c r="C3359" s="2" t="str">
        <f>IFERROR(__xludf.DUMMYFUNCTION("""COMPUTED_VALUE"""),"Ģertrūdes 62")</f>
        <v>Ģertrūdes 62</v>
      </c>
      <c r="D3359" s="2">
        <f>IFERROR(__xludf.DUMMYFUNCTION("""COMPUTED_VALUE"""),6.0)</f>
        <v>6</v>
      </c>
      <c r="E3359" s="2">
        <f>IFERROR(__xludf.DUMMYFUNCTION("""COMPUTED_VALUE"""),150.0)</f>
        <v>150</v>
      </c>
      <c r="F3359" s="2">
        <f>IFERROR(__xludf.DUMMYFUNCTION("""COMPUTED_VALUE"""),6.0)</f>
        <v>6</v>
      </c>
      <c r="G3359" s="2">
        <f>IFERROR(__xludf.DUMMYFUNCTION("""COMPUTED_VALUE"""),7.0)</f>
        <v>7</v>
      </c>
      <c r="H3359" s="2" t="str">
        <f>IFERROR(__xludf.DUMMYFUNCTION("""COMPUTED_VALUE"""),"P. kara")</f>
        <v>P. kara</v>
      </c>
      <c r="I3359" s="2" t="str">
        <f>IFERROR(__xludf.DUMMYFUNCTION("""COMPUTED_VALUE"""),"Masonry")</f>
        <v>Masonry</v>
      </c>
      <c r="J3359" s="2" t="str">
        <f>IFERROR(__xludf.DUMMYFUNCTION("""COMPUTED_VALUE"""),"All amenities")</f>
        <v>All amenities</v>
      </c>
      <c r="K3359" s="2">
        <f>IFERROR(__xludf.DUMMYFUNCTION("""COMPUTED_VALUE"""),219000.0)</f>
        <v>219000</v>
      </c>
      <c r="L3359" s="2">
        <f>IFERROR(__xludf.DUMMYFUNCTION("""COMPUTED_VALUE"""),56.9512368)</f>
        <v>56.9512368</v>
      </c>
      <c r="M3359" s="2">
        <f>IFERROR(__xludf.DUMMYFUNCTION("""COMPUTED_VALUE"""),24.1334549)</f>
        <v>24.1334549</v>
      </c>
    </row>
    <row r="3360">
      <c r="A3360" s="2" t="str">
        <f>IFERROR(__xludf.DUMMYFUNCTION("""COMPUTED_VALUE"""),"For sale")</f>
        <v>For sale</v>
      </c>
      <c r="B3360" s="2" t="str">
        <f>IFERROR(__xludf.DUMMYFUNCTION("""COMPUTED_VALUE"""),"Teika")</f>
        <v>Teika</v>
      </c>
      <c r="C3360" s="2" t="str">
        <f>IFERROR(__xludf.DUMMYFUNCTION("""COMPUTED_VALUE"""),"Bērzpils 3")</f>
        <v>Bērzpils 3</v>
      </c>
      <c r="D3360" s="2">
        <f>IFERROR(__xludf.DUMMYFUNCTION("""COMPUTED_VALUE"""),2.0)</f>
        <v>2</v>
      </c>
      <c r="E3360" s="2">
        <f>IFERROR(__xludf.DUMMYFUNCTION("""COMPUTED_VALUE"""),42.0)</f>
        <v>42</v>
      </c>
      <c r="F3360" s="2">
        <f>IFERROR(__xludf.DUMMYFUNCTION("""COMPUTED_VALUE"""),4.0)</f>
        <v>4</v>
      </c>
      <c r="G3360" s="2">
        <f>IFERROR(__xludf.DUMMYFUNCTION("""COMPUTED_VALUE"""),5.0)</f>
        <v>5</v>
      </c>
      <c r="H3360" s="2" t="str">
        <f>IFERROR(__xludf.DUMMYFUNCTION("""COMPUTED_VALUE"""),"Hrušč.")</f>
        <v>Hrušč.</v>
      </c>
      <c r="I3360" s="2" t="str">
        <f>IFERROR(__xludf.DUMMYFUNCTION("""COMPUTED_VALUE"""),"Brick-Panel")</f>
        <v>Brick-Panel</v>
      </c>
      <c r="J3360" s="2" t="str">
        <f>IFERROR(__xludf.DUMMYFUNCTION("""COMPUTED_VALUE"""),"All amenities")</f>
        <v>All amenities</v>
      </c>
      <c r="K3360" s="2">
        <f>IFERROR(__xludf.DUMMYFUNCTION("""COMPUTED_VALUE"""),65000.0)</f>
        <v>65000</v>
      </c>
      <c r="L3360" s="2">
        <f>IFERROR(__xludf.DUMMYFUNCTION("""COMPUTED_VALUE"""),56.9789092)</f>
        <v>56.9789092</v>
      </c>
      <c r="M3360" s="2">
        <f>IFERROR(__xludf.DUMMYFUNCTION("""COMPUTED_VALUE"""),24.1716196999999)</f>
        <v>24.1716197</v>
      </c>
    </row>
    <row r="3361">
      <c r="A3361" s="2" t="str">
        <f>IFERROR(__xludf.DUMMYFUNCTION("""COMPUTED_VALUE"""),"For rent")</f>
        <v>For rent</v>
      </c>
      <c r="B3361" s="2" t="str">
        <f>IFERROR(__xludf.DUMMYFUNCTION("""COMPUTED_VALUE"""),"centrs")</f>
        <v>centrs</v>
      </c>
      <c r="C3361" s="2" t="str">
        <f>IFERROR(__xludf.DUMMYFUNCTION("""COMPUTED_VALUE"""),"Republikas laukums 3")</f>
        <v>Republikas laukums 3</v>
      </c>
      <c r="D3361" s="2">
        <f>IFERROR(__xludf.DUMMYFUNCTION("""COMPUTED_VALUE"""),5.0)</f>
        <v>5</v>
      </c>
      <c r="E3361" s="2">
        <f>IFERROR(__xludf.DUMMYFUNCTION("""COMPUTED_VALUE"""),120.0)</f>
        <v>120</v>
      </c>
      <c r="F3361" s="2">
        <f>IFERROR(__xludf.DUMMYFUNCTION("""COMPUTED_VALUE"""),5.0)</f>
        <v>5</v>
      </c>
      <c r="G3361" s="2">
        <f>IFERROR(__xludf.DUMMYFUNCTION("""COMPUTED_VALUE"""),6.0)</f>
        <v>6</v>
      </c>
      <c r="H3361" s="2" t="str">
        <f>IFERROR(__xludf.DUMMYFUNCTION("""COMPUTED_VALUE"""),"Jaun.")</f>
        <v>Jaun.</v>
      </c>
      <c r="I3361" s="2" t="str">
        <f>IFERROR(__xludf.DUMMYFUNCTION("""COMPUTED_VALUE"""),"Masonry")</f>
        <v>Masonry</v>
      </c>
      <c r="J3361" s="2" t="str">
        <f>IFERROR(__xludf.DUMMYFUNCTION("""COMPUTED_VALUE"""),"All amenities")</f>
        <v>All amenities</v>
      </c>
      <c r="K3361" s="2">
        <f>IFERROR(__xludf.DUMMYFUNCTION("""COMPUTED_VALUE"""),1000.0)</f>
        <v>1000</v>
      </c>
      <c r="L3361" s="2">
        <f>IFERROR(__xludf.DUMMYFUNCTION("""COMPUTED_VALUE"""),56.9552522)</f>
        <v>56.9552522</v>
      </c>
      <c r="M3361" s="2">
        <f>IFERROR(__xludf.DUMMYFUNCTION("""COMPUTED_VALUE"""),24.0999991251943)</f>
        <v>24.09999913</v>
      </c>
    </row>
    <row r="3362">
      <c r="A3362" s="2" t="str">
        <f>IFERROR(__xludf.DUMMYFUNCTION("""COMPUTED_VALUE"""),"For rent")</f>
        <v>For rent</v>
      </c>
      <c r="B3362" s="2" t="str">
        <f>IFERROR(__xludf.DUMMYFUNCTION("""COMPUTED_VALUE"""),"Ķengarags")</f>
        <v>Ķengarags</v>
      </c>
      <c r="C3362" s="2" t="str">
        <f>IFERROR(__xludf.DUMMYFUNCTION("""COMPUTED_VALUE"""),"Maskavas 261")</f>
        <v>Maskavas 261</v>
      </c>
      <c r="D3362" s="2">
        <f>IFERROR(__xludf.DUMMYFUNCTION("""COMPUTED_VALUE"""),1.0)</f>
        <v>1</v>
      </c>
      <c r="E3362" s="2">
        <f>IFERROR(__xludf.DUMMYFUNCTION("""COMPUTED_VALUE"""),22.0)</f>
        <v>22</v>
      </c>
      <c r="F3362" s="2">
        <f>IFERROR(__xludf.DUMMYFUNCTION("""COMPUTED_VALUE"""),3.0)</f>
        <v>3</v>
      </c>
      <c r="G3362" s="2">
        <f>IFERROR(__xludf.DUMMYFUNCTION("""COMPUTED_VALUE"""),5.0)</f>
        <v>5</v>
      </c>
      <c r="H3362" s="2" t="str">
        <f>IFERROR(__xludf.DUMMYFUNCTION("""COMPUTED_VALUE"""),"Renov.")</f>
        <v>Renov.</v>
      </c>
      <c r="I3362" s="2" t="str">
        <f>IFERROR(__xludf.DUMMYFUNCTION("""COMPUTED_VALUE"""),"Brick")</f>
        <v>Brick</v>
      </c>
      <c r="J3362" s="2" t="str">
        <f>IFERROR(__xludf.DUMMYFUNCTION("""COMPUTED_VALUE"""),"All amenities")</f>
        <v>All amenities</v>
      </c>
      <c r="K3362" s="2">
        <f>IFERROR(__xludf.DUMMYFUNCTION("""COMPUTED_VALUE"""),280.0)</f>
        <v>280</v>
      </c>
      <c r="L3362" s="2">
        <f>IFERROR(__xludf.DUMMYFUNCTION("""COMPUTED_VALUE"""),56.8597884)</f>
        <v>56.8597884</v>
      </c>
      <c r="M3362" s="2">
        <f>IFERROR(__xludf.DUMMYFUNCTION("""COMPUTED_VALUE"""),24.3083417)</f>
        <v>24.3083417</v>
      </c>
    </row>
    <row r="3363">
      <c r="A3363" s="2" t="str">
        <f>IFERROR(__xludf.DUMMYFUNCTION("""COMPUTED_VALUE"""),"For rent")</f>
        <v>For rent</v>
      </c>
      <c r="B3363" s="2" t="str">
        <f>IFERROR(__xludf.DUMMYFUNCTION("""COMPUTED_VALUE"""),"centrs")</f>
        <v>centrs</v>
      </c>
      <c r="C3363" s="2" t="str">
        <f>IFERROR(__xludf.DUMMYFUNCTION("""COMPUTED_VALUE"""),"Rūpniecības 16")</f>
        <v>Rūpniecības 16</v>
      </c>
      <c r="D3363" s="2">
        <f>IFERROR(__xludf.DUMMYFUNCTION("""COMPUTED_VALUE"""),2.0)</f>
        <v>2</v>
      </c>
      <c r="E3363" s="2">
        <f>IFERROR(__xludf.DUMMYFUNCTION("""COMPUTED_VALUE"""),60.0)</f>
        <v>60</v>
      </c>
      <c r="F3363" s="2">
        <f>IFERROR(__xludf.DUMMYFUNCTION("""COMPUTED_VALUE"""),3.0)</f>
        <v>3</v>
      </c>
      <c r="G3363" s="2">
        <f>IFERROR(__xludf.DUMMYFUNCTION("""COMPUTED_VALUE"""),5.0)</f>
        <v>5</v>
      </c>
      <c r="H3363" s="2" t="str">
        <f>IFERROR(__xludf.DUMMYFUNCTION("""COMPUTED_VALUE"""),"P. kara")</f>
        <v>P. kara</v>
      </c>
      <c r="I3363" s="2" t="str">
        <f>IFERROR(__xludf.DUMMYFUNCTION("""COMPUTED_VALUE"""),"Masonry")</f>
        <v>Masonry</v>
      </c>
      <c r="J3363" s="2" t="str">
        <f>IFERROR(__xludf.DUMMYFUNCTION("""COMPUTED_VALUE"""),"All amenities")</f>
        <v>All amenities</v>
      </c>
      <c r="K3363" s="2">
        <f>IFERROR(__xludf.DUMMYFUNCTION("""COMPUTED_VALUE"""),500.0)</f>
        <v>500</v>
      </c>
      <c r="L3363" s="2">
        <f>IFERROR(__xludf.DUMMYFUNCTION("""COMPUTED_VALUE"""),56.9606867)</f>
        <v>56.9606867</v>
      </c>
      <c r="M3363" s="2">
        <f>IFERROR(__xludf.DUMMYFUNCTION("""COMPUTED_VALUE"""),24.1035085)</f>
        <v>24.1035085</v>
      </c>
    </row>
    <row r="3364">
      <c r="A3364" s="2" t="str">
        <f>IFERROR(__xludf.DUMMYFUNCTION("""COMPUTED_VALUE"""),"For rent")</f>
        <v>For rent</v>
      </c>
      <c r="B3364" s="2" t="str">
        <f>IFERROR(__xludf.DUMMYFUNCTION("""COMPUTED_VALUE"""),"Vecrīga")</f>
        <v>Vecrīga</v>
      </c>
      <c r="C3364" s="2" t="str">
        <f>IFERROR(__xludf.DUMMYFUNCTION("""COMPUTED_VALUE"""),"Kalēju 14")</f>
        <v>Kalēju 14</v>
      </c>
      <c r="D3364" s="2">
        <f>IFERROR(__xludf.DUMMYFUNCTION("""COMPUTED_VALUE"""),4.0)</f>
        <v>4</v>
      </c>
      <c r="E3364" s="2">
        <f>IFERROR(__xludf.DUMMYFUNCTION("""COMPUTED_VALUE"""),105.0)</f>
        <v>105</v>
      </c>
      <c r="F3364" s="2">
        <f>IFERROR(__xludf.DUMMYFUNCTION("""COMPUTED_VALUE"""),5.0)</f>
        <v>5</v>
      </c>
      <c r="G3364" s="2">
        <f>IFERROR(__xludf.DUMMYFUNCTION("""COMPUTED_VALUE"""),5.0)</f>
        <v>5</v>
      </c>
      <c r="H3364" s="2" t="str">
        <f>IFERROR(__xludf.DUMMYFUNCTION("""COMPUTED_VALUE"""),"P. kara")</f>
        <v>P. kara</v>
      </c>
      <c r="I3364" s="2" t="str">
        <f>IFERROR(__xludf.DUMMYFUNCTION("""COMPUTED_VALUE"""),"Brick")</f>
        <v>Brick</v>
      </c>
      <c r="J3364" s="2" t="str">
        <f>IFERROR(__xludf.DUMMYFUNCTION("""COMPUTED_VALUE"""),"All amenities")</f>
        <v>All amenities</v>
      </c>
      <c r="K3364" s="2">
        <f>IFERROR(__xludf.DUMMYFUNCTION("""COMPUTED_VALUE"""),49.0)</f>
        <v>49</v>
      </c>
      <c r="L3364" s="2">
        <f>IFERROR(__xludf.DUMMYFUNCTION("""COMPUTED_VALUE"""),56.9483908)</f>
        <v>56.9483908</v>
      </c>
      <c r="M3364" s="2">
        <f>IFERROR(__xludf.DUMMYFUNCTION("""COMPUTED_VALUE"""),24.110708262171)</f>
        <v>24.11070826</v>
      </c>
    </row>
    <row r="3365">
      <c r="A3365" s="2" t="str">
        <f>IFERROR(__xludf.DUMMYFUNCTION("""COMPUTED_VALUE"""),"For rent")</f>
        <v>For rent</v>
      </c>
      <c r="B3365" s="2" t="str">
        <f>IFERROR(__xludf.DUMMYFUNCTION("""COMPUTED_VALUE"""),"Mežciems")</f>
        <v>Mežciems</v>
      </c>
      <c r="C3365" s="2" t="str">
        <f>IFERROR(__xludf.DUMMYFUNCTION("""COMPUTED_VALUE"""),"Kaivas 50")</f>
        <v>Kaivas 50</v>
      </c>
      <c r="D3365" s="2">
        <f>IFERROR(__xludf.DUMMYFUNCTION("""COMPUTED_VALUE"""),1.0)</f>
        <v>1</v>
      </c>
      <c r="E3365" s="2">
        <f>IFERROR(__xludf.DUMMYFUNCTION("""COMPUTED_VALUE"""),32.0)</f>
        <v>32</v>
      </c>
      <c r="F3365" s="2">
        <f>IFERROR(__xludf.DUMMYFUNCTION("""COMPUTED_VALUE"""),1.0)</f>
        <v>1</v>
      </c>
      <c r="G3365" s="2">
        <f>IFERROR(__xludf.DUMMYFUNCTION("""COMPUTED_VALUE"""),5.0)</f>
        <v>5</v>
      </c>
      <c r="H3365" s="2" t="str">
        <f>IFERROR(__xludf.DUMMYFUNCTION("""COMPUTED_VALUE"""),"Jaun.")</f>
        <v>Jaun.</v>
      </c>
      <c r="I3365" s="2" t="str">
        <f>IFERROR(__xludf.DUMMYFUNCTION("""COMPUTED_VALUE"""),"Panel")</f>
        <v>Panel</v>
      </c>
      <c r="J3365" s="2" t="str">
        <f>IFERROR(__xludf.DUMMYFUNCTION("""COMPUTED_VALUE"""),"All amenities")</f>
        <v>All amenities</v>
      </c>
      <c r="K3365" s="2">
        <f>IFERROR(__xludf.DUMMYFUNCTION("""COMPUTED_VALUE"""),330.0)</f>
        <v>330</v>
      </c>
      <c r="L3365" s="2">
        <f>IFERROR(__xludf.DUMMYFUNCTION("""COMPUTED_VALUE"""),56.95546705)</f>
        <v>56.95546705</v>
      </c>
      <c r="M3365" s="2">
        <f>IFERROR(__xludf.DUMMYFUNCTION("""COMPUTED_VALUE"""),24.24181865)</f>
        <v>24.24181865</v>
      </c>
    </row>
    <row r="3366">
      <c r="A3366" s="2" t="str">
        <f>IFERROR(__xludf.DUMMYFUNCTION("""COMPUTED_VALUE"""),"For sale")</f>
        <v>For sale</v>
      </c>
      <c r="B3366" s="2" t="str">
        <f>IFERROR(__xludf.DUMMYFUNCTION("""COMPUTED_VALUE"""),"centrs")</f>
        <v>centrs</v>
      </c>
      <c r="C3366" s="2" t="str">
        <f>IFERROR(__xludf.DUMMYFUNCTION("""COMPUTED_VALUE"""),"Republikas laukums 3")</f>
        <v>Republikas laukums 3</v>
      </c>
      <c r="D3366" s="2">
        <f>IFERROR(__xludf.DUMMYFUNCTION("""COMPUTED_VALUE"""),2.0)</f>
        <v>2</v>
      </c>
      <c r="E3366" s="2">
        <f>IFERROR(__xludf.DUMMYFUNCTION("""COMPUTED_VALUE"""),63.0)</f>
        <v>63</v>
      </c>
      <c r="F3366" s="2">
        <f>IFERROR(__xludf.DUMMYFUNCTION("""COMPUTED_VALUE"""),2.0)</f>
        <v>2</v>
      </c>
      <c r="G3366" s="2">
        <f>IFERROR(__xludf.DUMMYFUNCTION("""COMPUTED_VALUE"""),7.0)</f>
        <v>7</v>
      </c>
      <c r="H3366" s="2" t="str">
        <f>IFERROR(__xludf.DUMMYFUNCTION("""COMPUTED_VALUE"""),"Jaun.")</f>
        <v>Jaun.</v>
      </c>
      <c r="I3366" s="2" t="str">
        <f>IFERROR(__xludf.DUMMYFUNCTION("""COMPUTED_VALUE"""),"Masonry")</f>
        <v>Masonry</v>
      </c>
      <c r="J3366" s="2" t="str">
        <f>IFERROR(__xludf.DUMMYFUNCTION("""COMPUTED_VALUE"""),"All amenities")</f>
        <v>All amenities</v>
      </c>
      <c r="K3366" s="2">
        <f>IFERROR(__xludf.DUMMYFUNCTION("""COMPUTED_VALUE"""),120000.0)</f>
        <v>120000</v>
      </c>
      <c r="L3366" s="2">
        <f>IFERROR(__xludf.DUMMYFUNCTION("""COMPUTED_VALUE"""),56.9552522)</f>
        <v>56.9552522</v>
      </c>
      <c r="M3366" s="2">
        <f>IFERROR(__xludf.DUMMYFUNCTION("""COMPUTED_VALUE"""),24.0999991251943)</f>
        <v>24.09999913</v>
      </c>
    </row>
    <row r="3367">
      <c r="A3367" s="2" t="str">
        <f>IFERROR(__xludf.DUMMYFUNCTION("""COMPUTED_VALUE"""),"For sale")</f>
        <v>For sale</v>
      </c>
      <c r="B3367" s="2" t="str">
        <f>IFERROR(__xludf.DUMMYFUNCTION("""COMPUTED_VALUE"""),"centrs")</f>
        <v>centrs</v>
      </c>
      <c r="C3367" s="2" t="str">
        <f>IFERROR(__xludf.DUMMYFUNCTION("""COMPUTED_VALUE"""),"Stabu 95")</f>
        <v>Stabu 95</v>
      </c>
      <c r="D3367" s="2">
        <f>IFERROR(__xludf.DUMMYFUNCTION("""COMPUTED_VALUE"""),2.0)</f>
        <v>2</v>
      </c>
      <c r="E3367" s="2">
        <f>IFERROR(__xludf.DUMMYFUNCTION("""COMPUTED_VALUE"""),60.0)</f>
        <v>60</v>
      </c>
      <c r="F3367" s="2">
        <f>IFERROR(__xludf.DUMMYFUNCTION("""COMPUTED_VALUE"""),3.0)</f>
        <v>3</v>
      </c>
      <c r="G3367" s="2">
        <f>IFERROR(__xludf.DUMMYFUNCTION("""COMPUTED_VALUE"""),5.0)</f>
        <v>5</v>
      </c>
      <c r="H3367" s="2" t="str">
        <f>IFERROR(__xludf.DUMMYFUNCTION("""COMPUTED_VALUE"""),"P. kara")</f>
        <v>P. kara</v>
      </c>
      <c r="I3367" s="2" t="str">
        <f>IFERROR(__xludf.DUMMYFUNCTION("""COMPUTED_VALUE"""),"Masonry")</f>
        <v>Masonry</v>
      </c>
      <c r="J3367" s="2" t="str">
        <f>IFERROR(__xludf.DUMMYFUNCTION("""COMPUTED_VALUE"""),"All amenities")</f>
        <v>All amenities</v>
      </c>
      <c r="K3367" s="2">
        <f>IFERROR(__xludf.DUMMYFUNCTION("""COMPUTED_VALUE"""),59000.0)</f>
        <v>59000</v>
      </c>
      <c r="L3367" s="2">
        <f>IFERROR(__xludf.DUMMYFUNCTION("""COMPUTED_VALUE"""),56.95048825)</f>
        <v>56.95048825</v>
      </c>
      <c r="M3367" s="2">
        <f>IFERROR(__xludf.DUMMYFUNCTION("""COMPUTED_VALUE"""),24.1408536542459)</f>
        <v>24.14085365</v>
      </c>
    </row>
    <row r="3368">
      <c r="A3368" s="2" t="str">
        <f>IFERROR(__xludf.DUMMYFUNCTION("""COMPUTED_VALUE"""),"For sale")</f>
        <v>For sale</v>
      </c>
      <c r="B3368" s="2" t="str">
        <f>IFERROR(__xludf.DUMMYFUNCTION("""COMPUTED_VALUE"""),"Ķengarags")</f>
        <v>Ķengarags</v>
      </c>
      <c r="C3368" s="2" t="str">
        <f>IFERROR(__xludf.DUMMYFUNCTION("""COMPUTED_VALUE"""),"Maskavas 268/7")</f>
        <v>Maskavas 268/7</v>
      </c>
      <c r="D3368" s="2">
        <f>IFERROR(__xludf.DUMMYFUNCTION("""COMPUTED_VALUE"""),3.0)</f>
        <v>3</v>
      </c>
      <c r="E3368" s="2">
        <f>IFERROR(__xludf.DUMMYFUNCTION("""COMPUTED_VALUE"""),59.0)</f>
        <v>59</v>
      </c>
      <c r="F3368" s="2">
        <f>IFERROR(__xludf.DUMMYFUNCTION("""COMPUTED_VALUE"""),4.0)</f>
        <v>4</v>
      </c>
      <c r="G3368" s="2">
        <f>IFERROR(__xludf.DUMMYFUNCTION("""COMPUTED_VALUE"""),5.0)</f>
        <v>5</v>
      </c>
      <c r="H3368" s="2" t="str">
        <f>IFERROR(__xludf.DUMMYFUNCTION("""COMPUTED_VALUE"""),"LT proj.")</f>
        <v>LT proj.</v>
      </c>
      <c r="I3368" s="2" t="str">
        <f>IFERROR(__xludf.DUMMYFUNCTION("""COMPUTED_VALUE"""),"Panel")</f>
        <v>Panel</v>
      </c>
      <c r="J3368" s="2" t="str">
        <f>IFERROR(__xludf.DUMMYFUNCTION("""COMPUTED_VALUE"""),"All amenities")</f>
        <v>All amenities</v>
      </c>
      <c r="K3368" s="2">
        <f>IFERROR(__xludf.DUMMYFUNCTION("""COMPUTED_VALUE"""),59500.0)</f>
        <v>59500</v>
      </c>
      <c r="L3368" s="2">
        <f>IFERROR(__xludf.DUMMYFUNCTION("""COMPUTED_VALUE"""),56.9445851)</f>
        <v>56.9445851</v>
      </c>
      <c r="M3368" s="2">
        <f>IFERROR(__xludf.DUMMYFUNCTION("""COMPUTED_VALUE"""),24.1127805007715)</f>
        <v>24.1127805</v>
      </c>
    </row>
    <row r="3369">
      <c r="A3369" s="2" t="str">
        <f>IFERROR(__xludf.DUMMYFUNCTION("""COMPUTED_VALUE"""),"For rent")</f>
        <v>For rent</v>
      </c>
      <c r="B3369" s="2" t="str">
        <f>IFERROR(__xludf.DUMMYFUNCTION("""COMPUTED_VALUE"""),"Pļavnieki")</f>
        <v>Pļavnieki</v>
      </c>
      <c r="C3369" s="2" t="str">
        <f>IFERROR(__xludf.DUMMYFUNCTION("""COMPUTED_VALUE"""),"Dravnieku 6")</f>
        <v>Dravnieku 6</v>
      </c>
      <c r="D3369" s="2">
        <f>IFERROR(__xludf.DUMMYFUNCTION("""COMPUTED_VALUE"""),2.0)</f>
        <v>2</v>
      </c>
      <c r="E3369" s="2">
        <f>IFERROR(__xludf.DUMMYFUNCTION("""COMPUTED_VALUE"""),50.0)</f>
        <v>50</v>
      </c>
      <c r="F3369" s="2">
        <f>IFERROR(__xludf.DUMMYFUNCTION("""COMPUTED_VALUE"""),7.0)</f>
        <v>7</v>
      </c>
      <c r="G3369" s="2">
        <f>IFERROR(__xludf.DUMMYFUNCTION("""COMPUTED_VALUE"""),9.0)</f>
        <v>9</v>
      </c>
      <c r="H3369" s="2">
        <f>IFERROR(__xludf.DUMMYFUNCTION("""COMPUTED_VALUE"""),602.0)</f>
        <v>602</v>
      </c>
      <c r="I3369" s="2" t="str">
        <f>IFERROR(__xludf.DUMMYFUNCTION("""COMPUTED_VALUE"""),"Panel")</f>
        <v>Panel</v>
      </c>
      <c r="J3369" s="2" t="str">
        <f>IFERROR(__xludf.DUMMYFUNCTION("""COMPUTED_VALUE"""),"All amenities")</f>
        <v>All amenities</v>
      </c>
      <c r="K3369" s="2">
        <f>IFERROR(__xludf.DUMMYFUNCTION("""COMPUTED_VALUE"""),220.0)</f>
        <v>220</v>
      </c>
      <c r="L3369" s="2">
        <f>IFERROR(__xludf.DUMMYFUNCTION("""COMPUTED_VALUE"""),56.94383305)</f>
        <v>56.94383305</v>
      </c>
      <c r="M3369" s="2">
        <f>IFERROR(__xludf.DUMMYFUNCTION("""COMPUTED_VALUE"""),24.2108067490875)</f>
        <v>24.21080675</v>
      </c>
    </row>
    <row r="3370">
      <c r="A3370" s="2" t="str">
        <f>IFERROR(__xludf.DUMMYFUNCTION("""COMPUTED_VALUE"""),"For rent")</f>
        <v>For rent</v>
      </c>
      <c r="B3370" s="2" t="str">
        <f>IFERROR(__xludf.DUMMYFUNCTION("""COMPUTED_VALUE"""),"centrs")</f>
        <v>centrs</v>
      </c>
      <c r="C3370" s="2" t="str">
        <f>IFERROR(__xludf.DUMMYFUNCTION("""COMPUTED_VALUE"""),"Republikas laukums 3")</f>
        <v>Republikas laukums 3</v>
      </c>
      <c r="D3370" s="2">
        <f>IFERROR(__xludf.DUMMYFUNCTION("""COMPUTED_VALUE"""),3.0)</f>
        <v>3</v>
      </c>
      <c r="E3370" s="2">
        <f>IFERROR(__xludf.DUMMYFUNCTION("""COMPUTED_VALUE"""),100.0)</f>
        <v>100</v>
      </c>
      <c r="F3370" s="2">
        <f>IFERROR(__xludf.DUMMYFUNCTION("""COMPUTED_VALUE"""),5.0)</f>
        <v>5</v>
      </c>
      <c r="G3370" s="2">
        <f>IFERROR(__xludf.DUMMYFUNCTION("""COMPUTED_VALUE"""),7.0)</f>
        <v>7</v>
      </c>
      <c r="H3370" s="2" t="str">
        <f>IFERROR(__xludf.DUMMYFUNCTION("""COMPUTED_VALUE"""),"Jaun.")</f>
        <v>Jaun.</v>
      </c>
      <c r="I3370" s="2" t="str">
        <f>IFERROR(__xludf.DUMMYFUNCTION("""COMPUTED_VALUE"""),"Masonry")</f>
        <v>Masonry</v>
      </c>
      <c r="J3370" s="2" t="str">
        <f>IFERROR(__xludf.DUMMYFUNCTION("""COMPUTED_VALUE"""),"All amenities")</f>
        <v>All amenities</v>
      </c>
      <c r="K3370" s="2">
        <f>IFERROR(__xludf.DUMMYFUNCTION("""COMPUTED_VALUE"""),1000.0)</f>
        <v>1000</v>
      </c>
      <c r="L3370" s="2">
        <f>IFERROR(__xludf.DUMMYFUNCTION("""COMPUTED_VALUE"""),56.9552522)</f>
        <v>56.9552522</v>
      </c>
      <c r="M3370" s="2">
        <f>IFERROR(__xludf.DUMMYFUNCTION("""COMPUTED_VALUE"""),24.0999991251943)</f>
        <v>24.09999913</v>
      </c>
    </row>
    <row r="3371">
      <c r="A3371" s="2" t="str">
        <f>IFERROR(__xludf.DUMMYFUNCTION("""COMPUTED_VALUE"""),"For rent")</f>
        <v>For rent</v>
      </c>
      <c r="B3371" s="2" t="str">
        <f>IFERROR(__xludf.DUMMYFUNCTION("""COMPUTED_VALUE"""),"Vecrīga")</f>
        <v>Vecrīga</v>
      </c>
      <c r="C3371" s="2" t="str">
        <f>IFERROR(__xludf.DUMMYFUNCTION("""COMPUTED_VALUE"""),"Vāgnera 12")</f>
        <v>Vāgnera 12</v>
      </c>
      <c r="D3371" s="2">
        <f>IFERROR(__xludf.DUMMYFUNCTION("""COMPUTED_VALUE"""),1.0)</f>
        <v>1</v>
      </c>
      <c r="E3371" s="2">
        <f>IFERROR(__xludf.DUMMYFUNCTION("""COMPUTED_VALUE"""),33.0)</f>
        <v>33</v>
      </c>
      <c r="F3371" s="2">
        <f>IFERROR(__xludf.DUMMYFUNCTION("""COMPUTED_VALUE"""),2.0)</f>
        <v>2</v>
      </c>
      <c r="G3371" s="2">
        <f>IFERROR(__xludf.DUMMYFUNCTION("""COMPUTED_VALUE"""),4.0)</f>
        <v>4</v>
      </c>
      <c r="H3371" s="2" t="str">
        <f>IFERROR(__xludf.DUMMYFUNCTION("""COMPUTED_VALUE"""),"P. kara")</f>
        <v>P. kara</v>
      </c>
      <c r="I3371" s="2" t="str">
        <f>IFERROR(__xludf.DUMMYFUNCTION("""COMPUTED_VALUE"""),"Masonry")</f>
        <v>Masonry</v>
      </c>
      <c r="J3371" s="2" t="str">
        <f>IFERROR(__xludf.DUMMYFUNCTION("""COMPUTED_VALUE"""),"All amenities")</f>
        <v>All amenities</v>
      </c>
      <c r="K3371" s="2">
        <f>IFERROR(__xludf.DUMMYFUNCTION("""COMPUTED_VALUE"""),35.0)</f>
        <v>35</v>
      </c>
      <c r="L3371" s="2">
        <f>IFERROR(__xludf.DUMMYFUNCTION("""COMPUTED_VALUE"""),56.94881585)</f>
        <v>56.94881585</v>
      </c>
      <c r="M3371" s="2">
        <f>IFERROR(__xludf.DUMMYFUNCTION("""COMPUTED_VALUE"""),24.1114738591085)</f>
        <v>24.11147386</v>
      </c>
    </row>
    <row r="3372">
      <c r="A3372" s="2" t="str">
        <f>IFERROR(__xludf.DUMMYFUNCTION("""COMPUTED_VALUE"""),"For sale")</f>
        <v>For sale</v>
      </c>
      <c r="B3372" s="2" t="str">
        <f>IFERROR(__xludf.DUMMYFUNCTION("""COMPUTED_VALUE"""),"Purvciems")</f>
        <v>Purvciems</v>
      </c>
      <c r="C3372" s="2" t="str">
        <f>IFERROR(__xludf.DUMMYFUNCTION("""COMPUTED_VALUE"""),"Burtnieku 33")</f>
        <v>Burtnieku 33</v>
      </c>
      <c r="D3372" s="2">
        <f>IFERROR(__xludf.DUMMYFUNCTION("""COMPUTED_VALUE"""),1.0)</f>
        <v>1</v>
      </c>
      <c r="E3372" s="2">
        <f>IFERROR(__xludf.DUMMYFUNCTION("""COMPUTED_VALUE"""),15.0)</f>
        <v>15</v>
      </c>
      <c r="F3372" s="2">
        <f>IFERROR(__xludf.DUMMYFUNCTION("""COMPUTED_VALUE"""),5.0)</f>
        <v>5</v>
      </c>
      <c r="G3372" s="2">
        <f>IFERROR(__xludf.DUMMYFUNCTION("""COMPUTED_VALUE"""),5.0)</f>
        <v>5</v>
      </c>
      <c r="H3372" s="2" t="str">
        <f>IFERROR(__xludf.DUMMYFUNCTION("""COMPUTED_VALUE"""),"Specpr.")</f>
        <v>Specpr.</v>
      </c>
      <c r="I3372" s="2" t="str">
        <f>IFERROR(__xludf.DUMMYFUNCTION("""COMPUTED_VALUE"""),"Brick-Panel")</f>
        <v>Brick-Panel</v>
      </c>
      <c r="J3372" s="2" t="str">
        <f>IFERROR(__xludf.DUMMYFUNCTION("""COMPUTED_VALUE"""),"All amenities")</f>
        <v>All amenities</v>
      </c>
      <c r="K3372" s="2">
        <f>IFERROR(__xludf.DUMMYFUNCTION("""COMPUTED_VALUE"""),12900.0)</f>
        <v>12900</v>
      </c>
      <c r="L3372" s="2">
        <f>IFERROR(__xludf.DUMMYFUNCTION("""COMPUTED_VALUE"""),56.9685701)</f>
        <v>56.9685701</v>
      </c>
      <c r="M3372" s="2">
        <f>IFERROR(__xludf.DUMMYFUNCTION("""COMPUTED_VALUE"""),24.1819824)</f>
        <v>24.1819824</v>
      </c>
    </row>
    <row r="3373">
      <c r="A3373" s="2" t="str">
        <f>IFERROR(__xludf.DUMMYFUNCTION("""COMPUTED_VALUE"""),"For sale")</f>
        <v>For sale</v>
      </c>
      <c r="B3373" s="2" t="str">
        <f>IFERROR(__xludf.DUMMYFUNCTION("""COMPUTED_VALUE"""),"Ķengarags")</f>
        <v>Ķengarags</v>
      </c>
      <c r="C3373" s="2" t="str">
        <f>IFERROR(__xludf.DUMMYFUNCTION("""COMPUTED_VALUE"""),"Lubānas 35")</f>
        <v>Lubānas 35</v>
      </c>
      <c r="D3373" s="2">
        <f>IFERROR(__xludf.DUMMYFUNCTION("""COMPUTED_VALUE"""),2.0)</f>
        <v>2</v>
      </c>
      <c r="E3373" s="2">
        <f>IFERROR(__xludf.DUMMYFUNCTION("""COMPUTED_VALUE"""),43.0)</f>
        <v>43</v>
      </c>
      <c r="F3373" s="2">
        <f>IFERROR(__xludf.DUMMYFUNCTION("""COMPUTED_VALUE"""),1.0)</f>
        <v>1</v>
      </c>
      <c r="G3373" s="2">
        <f>IFERROR(__xludf.DUMMYFUNCTION("""COMPUTED_VALUE"""),3.0)</f>
        <v>3</v>
      </c>
      <c r="H3373" s="2" t="str">
        <f>IFERROR(__xludf.DUMMYFUNCTION("""COMPUTED_VALUE"""),"Hrušč.")</f>
        <v>Hrušč.</v>
      </c>
      <c r="I3373" s="2" t="str">
        <f>IFERROR(__xludf.DUMMYFUNCTION("""COMPUTED_VALUE"""),"Brick")</f>
        <v>Brick</v>
      </c>
      <c r="J3373" s="2" t="str">
        <f>IFERROR(__xludf.DUMMYFUNCTION("""COMPUTED_VALUE"""),"All amenities")</f>
        <v>All amenities</v>
      </c>
      <c r="K3373" s="2">
        <f>IFERROR(__xludf.DUMMYFUNCTION("""COMPUTED_VALUE"""),44300.0)</f>
        <v>44300</v>
      </c>
      <c r="L3373" s="2">
        <f>IFERROR(__xludf.DUMMYFUNCTION("""COMPUTED_VALUE"""),56.93312415)</f>
        <v>56.93312415</v>
      </c>
      <c r="M3373" s="2">
        <f>IFERROR(__xludf.DUMMYFUNCTION("""COMPUTED_VALUE"""),24.1663403474826)</f>
        <v>24.16634035</v>
      </c>
    </row>
    <row r="3374">
      <c r="A3374" s="2" t="str">
        <f>IFERROR(__xludf.DUMMYFUNCTION("""COMPUTED_VALUE"""),"For sale")</f>
        <v>For sale</v>
      </c>
      <c r="B3374" s="2" t="str">
        <f>IFERROR(__xludf.DUMMYFUNCTION("""COMPUTED_VALUE"""),"centrs")</f>
        <v>centrs</v>
      </c>
      <c r="C3374" s="2" t="str">
        <f>IFERROR(__xludf.DUMMYFUNCTION("""COMPUTED_VALUE"""),"Dzirnavu 60a")</f>
        <v>Dzirnavu 60a</v>
      </c>
      <c r="D3374" s="2">
        <f>IFERROR(__xludf.DUMMYFUNCTION("""COMPUTED_VALUE"""),3.0)</f>
        <v>3</v>
      </c>
      <c r="E3374" s="2">
        <f>IFERROR(__xludf.DUMMYFUNCTION("""COMPUTED_VALUE"""),93.0)</f>
        <v>93</v>
      </c>
      <c r="F3374" s="2">
        <f>IFERROR(__xludf.DUMMYFUNCTION("""COMPUTED_VALUE"""),4.0)</f>
        <v>4</v>
      </c>
      <c r="G3374" s="2">
        <f>IFERROR(__xludf.DUMMYFUNCTION("""COMPUTED_VALUE"""),7.0)</f>
        <v>7</v>
      </c>
      <c r="H3374" s="2" t="str">
        <f>IFERROR(__xludf.DUMMYFUNCTION("""COMPUTED_VALUE"""),"Renov.")</f>
        <v>Renov.</v>
      </c>
      <c r="I3374" s="2" t="str">
        <f>IFERROR(__xludf.DUMMYFUNCTION("""COMPUTED_VALUE"""),"Brick")</f>
        <v>Brick</v>
      </c>
      <c r="J3374" s="2" t="str">
        <f>IFERROR(__xludf.DUMMYFUNCTION("""COMPUTED_VALUE"""),"All amenities")</f>
        <v>All amenities</v>
      </c>
      <c r="K3374" s="2">
        <f>IFERROR(__xludf.DUMMYFUNCTION("""COMPUTED_VALUE"""),230000.0)</f>
        <v>230000</v>
      </c>
      <c r="L3374" s="2">
        <f>IFERROR(__xludf.DUMMYFUNCTION("""COMPUTED_VALUE"""),56.9542026)</f>
        <v>56.9542026</v>
      </c>
      <c r="M3374" s="2">
        <f>IFERROR(__xludf.DUMMYFUNCTION("""COMPUTED_VALUE"""),24.1195653969924)</f>
        <v>24.1195654</v>
      </c>
    </row>
    <row r="3375">
      <c r="A3375" s="2" t="str">
        <f>IFERROR(__xludf.DUMMYFUNCTION("""COMPUTED_VALUE"""),"For sale")</f>
        <v>For sale</v>
      </c>
      <c r="B3375" s="2" t="str">
        <f>IFERROR(__xludf.DUMMYFUNCTION("""COMPUTED_VALUE"""),"centrs")</f>
        <v>centrs</v>
      </c>
      <c r="C3375" s="2" t="str">
        <f>IFERROR(__xludf.DUMMYFUNCTION("""COMPUTED_VALUE"""),"Stabu 29")</f>
        <v>Stabu 29</v>
      </c>
      <c r="D3375" s="2">
        <f>IFERROR(__xludf.DUMMYFUNCTION("""COMPUTED_VALUE"""),3.0)</f>
        <v>3</v>
      </c>
      <c r="E3375" s="2">
        <f>IFERROR(__xludf.DUMMYFUNCTION("""COMPUTED_VALUE"""),72.0)</f>
        <v>72</v>
      </c>
      <c r="F3375" s="2">
        <f>IFERROR(__xludf.DUMMYFUNCTION("""COMPUTED_VALUE"""),4.0)</f>
        <v>4</v>
      </c>
      <c r="G3375" s="2">
        <f>IFERROR(__xludf.DUMMYFUNCTION("""COMPUTED_VALUE"""),7.0)</f>
        <v>7</v>
      </c>
      <c r="H3375" s="2" t="str">
        <f>IFERROR(__xludf.DUMMYFUNCTION("""COMPUTED_VALUE"""),"P. kara")</f>
        <v>P. kara</v>
      </c>
      <c r="I3375" s="2" t="str">
        <f>IFERROR(__xludf.DUMMYFUNCTION("""COMPUTED_VALUE"""),"Masonry")</f>
        <v>Masonry</v>
      </c>
      <c r="J3375" s="2" t="str">
        <f>IFERROR(__xludf.DUMMYFUNCTION("""COMPUTED_VALUE"""),"All amenities")</f>
        <v>All amenities</v>
      </c>
      <c r="K3375" s="2">
        <f>IFERROR(__xludf.DUMMYFUNCTION("""COMPUTED_VALUE"""),159000.0)</f>
        <v>159000</v>
      </c>
      <c r="L3375" s="2">
        <f>IFERROR(__xludf.DUMMYFUNCTION("""COMPUTED_VALUE"""),56.9564335)</f>
        <v>56.9564335</v>
      </c>
      <c r="M3375" s="2">
        <f>IFERROR(__xludf.DUMMYFUNCTION("""COMPUTED_VALUE"""),24.1285032)</f>
        <v>24.1285032</v>
      </c>
    </row>
    <row r="3376">
      <c r="A3376" s="2" t="str">
        <f>IFERROR(__xludf.DUMMYFUNCTION("""COMPUTED_VALUE"""),"For sale")</f>
        <v>For sale</v>
      </c>
      <c r="B3376" s="2" t="str">
        <f>IFERROR(__xludf.DUMMYFUNCTION("""COMPUTED_VALUE"""),"Bolderāja")</f>
        <v>Bolderāja</v>
      </c>
      <c r="C3376" s="2" t="str">
        <f>IFERROR(__xludf.DUMMYFUNCTION("""COMPUTED_VALUE"""),"Lielupes 68")</f>
        <v>Lielupes 68</v>
      </c>
      <c r="D3376" s="2">
        <f>IFERROR(__xludf.DUMMYFUNCTION("""COMPUTED_VALUE"""),2.0)</f>
        <v>2</v>
      </c>
      <c r="E3376" s="2">
        <f>IFERROR(__xludf.DUMMYFUNCTION("""COMPUTED_VALUE"""),49.0)</f>
        <v>49</v>
      </c>
      <c r="F3376" s="2">
        <f>IFERROR(__xludf.DUMMYFUNCTION("""COMPUTED_VALUE"""),4.0)</f>
        <v>4</v>
      </c>
      <c r="G3376" s="2">
        <f>IFERROR(__xludf.DUMMYFUNCTION("""COMPUTED_VALUE"""),5.0)</f>
        <v>5</v>
      </c>
      <c r="H3376" s="2" t="str">
        <f>IFERROR(__xludf.DUMMYFUNCTION("""COMPUTED_VALUE"""),"LT proj.")</f>
        <v>LT proj.</v>
      </c>
      <c r="I3376" s="2" t="str">
        <f>IFERROR(__xludf.DUMMYFUNCTION("""COMPUTED_VALUE"""),"Panel")</f>
        <v>Panel</v>
      </c>
      <c r="J3376" s="2" t="str">
        <f>IFERROR(__xludf.DUMMYFUNCTION("""COMPUTED_VALUE"""),"All amenities")</f>
        <v>All amenities</v>
      </c>
      <c r="K3376" s="2">
        <f>IFERROR(__xludf.DUMMYFUNCTION("""COMPUTED_VALUE"""),34000.0)</f>
        <v>34000</v>
      </c>
      <c r="L3376" s="2">
        <f>IFERROR(__xludf.DUMMYFUNCTION("""COMPUTED_VALUE"""),57.03099005)</f>
        <v>57.03099005</v>
      </c>
      <c r="M3376" s="2">
        <f>IFERROR(__xludf.DUMMYFUNCTION("""COMPUTED_VALUE"""),24.0574072)</f>
        <v>24.0574072</v>
      </c>
    </row>
    <row r="3377">
      <c r="A3377" s="2" t="str">
        <f>IFERROR(__xludf.DUMMYFUNCTION("""COMPUTED_VALUE"""),"For sale")</f>
        <v>For sale</v>
      </c>
      <c r="B3377" s="2" t="str">
        <f>IFERROR(__xludf.DUMMYFUNCTION("""COMPUTED_VALUE"""),"Jugla")</f>
        <v>Jugla</v>
      </c>
      <c r="C3377" s="2" t="str">
        <f>IFERROR(__xludf.DUMMYFUNCTION("""COMPUTED_VALUE"""),"Silciema 15/1")</f>
        <v>Silciema 15/1</v>
      </c>
      <c r="D3377" s="2">
        <f>IFERROR(__xludf.DUMMYFUNCTION("""COMPUTED_VALUE"""),2.0)</f>
        <v>2</v>
      </c>
      <c r="E3377" s="2">
        <f>IFERROR(__xludf.DUMMYFUNCTION("""COMPUTED_VALUE"""),43.0)</f>
        <v>43</v>
      </c>
      <c r="F3377" s="2">
        <f>IFERROR(__xludf.DUMMYFUNCTION("""COMPUTED_VALUE"""),2.0)</f>
        <v>2</v>
      </c>
      <c r="G3377" s="2">
        <f>IFERROR(__xludf.DUMMYFUNCTION("""COMPUTED_VALUE"""),5.0)</f>
        <v>5</v>
      </c>
      <c r="H3377" s="2" t="str">
        <f>IFERROR(__xludf.DUMMYFUNCTION("""COMPUTED_VALUE"""),"LT proj.")</f>
        <v>LT proj.</v>
      </c>
      <c r="I3377" s="2" t="str">
        <f>IFERROR(__xludf.DUMMYFUNCTION("""COMPUTED_VALUE"""),"Panel")</f>
        <v>Panel</v>
      </c>
      <c r="J3377" s="2" t="str">
        <f>IFERROR(__xludf.DUMMYFUNCTION("""COMPUTED_VALUE"""),"All amenities")</f>
        <v>All amenities</v>
      </c>
      <c r="K3377" s="2">
        <f>IFERROR(__xludf.DUMMYFUNCTION("""COMPUTED_VALUE"""),40000.0)</f>
        <v>40000</v>
      </c>
      <c r="L3377" s="2">
        <f>IFERROR(__xludf.DUMMYFUNCTION("""COMPUTED_VALUE"""),56.9826782)</f>
        <v>56.9826782</v>
      </c>
      <c r="M3377" s="2">
        <f>IFERROR(__xludf.DUMMYFUNCTION("""COMPUTED_VALUE"""),24.2406588)</f>
        <v>24.2406588</v>
      </c>
    </row>
    <row r="3378">
      <c r="A3378" s="2" t="str">
        <f>IFERROR(__xludf.DUMMYFUNCTION("""COMPUTED_VALUE"""),"For sale")</f>
        <v>For sale</v>
      </c>
      <c r="B3378" s="2" t="str">
        <f>IFERROR(__xludf.DUMMYFUNCTION("""COMPUTED_VALUE"""),"Pļavnieki")</f>
        <v>Pļavnieki</v>
      </c>
      <c r="C3378" s="2" t="str">
        <f>IFERROR(__xludf.DUMMYFUNCTION("""COMPUTED_VALUE"""),"Zemes 8")</f>
        <v>Zemes 8</v>
      </c>
      <c r="D3378" s="2">
        <f>IFERROR(__xludf.DUMMYFUNCTION("""COMPUTED_VALUE"""),1.0)</f>
        <v>1</v>
      </c>
      <c r="E3378" s="2">
        <f>IFERROR(__xludf.DUMMYFUNCTION("""COMPUTED_VALUE"""),31.0)</f>
        <v>31</v>
      </c>
      <c r="F3378" s="2">
        <f>IFERROR(__xludf.DUMMYFUNCTION("""COMPUTED_VALUE"""),8.0)</f>
        <v>8</v>
      </c>
      <c r="G3378" s="2">
        <f>IFERROR(__xludf.DUMMYFUNCTION("""COMPUTED_VALUE"""),9.0)</f>
        <v>9</v>
      </c>
      <c r="H3378" s="2">
        <f>IFERROR(__xludf.DUMMYFUNCTION("""COMPUTED_VALUE"""),602.0)</f>
        <v>602</v>
      </c>
      <c r="I3378" s="2" t="str">
        <f>IFERROR(__xludf.DUMMYFUNCTION("""COMPUTED_VALUE"""),"Panel")</f>
        <v>Panel</v>
      </c>
      <c r="J3378" s="2" t="str">
        <f>IFERROR(__xludf.DUMMYFUNCTION("""COMPUTED_VALUE"""),"All amenities")</f>
        <v>All amenities</v>
      </c>
      <c r="K3378" s="2">
        <f>IFERROR(__xludf.DUMMYFUNCTION("""COMPUTED_VALUE"""),36000.0)</f>
        <v>36000</v>
      </c>
      <c r="L3378" s="2">
        <f>IFERROR(__xludf.DUMMYFUNCTION("""COMPUTED_VALUE"""),56.9413998499999)</f>
        <v>56.94139985</v>
      </c>
      <c r="M3378" s="2">
        <f>IFERROR(__xludf.DUMMYFUNCTION("""COMPUTED_VALUE"""),24.2011163184007)</f>
        <v>24.20111632</v>
      </c>
    </row>
    <row r="3379">
      <c r="A3379" s="2" t="str">
        <f>IFERROR(__xludf.DUMMYFUNCTION("""COMPUTED_VALUE"""),"For sale")</f>
        <v>For sale</v>
      </c>
      <c r="B3379" s="2" t="str">
        <f>IFERROR(__xludf.DUMMYFUNCTION("""COMPUTED_VALUE"""),"Šampēteris-Pleskodāle")</f>
        <v>Šampēteris-Pleskodāle</v>
      </c>
      <c r="C3379" s="2" t="str">
        <f>IFERROR(__xludf.DUMMYFUNCTION("""COMPUTED_VALUE"""),"Irlavas 20")</f>
        <v>Irlavas 20</v>
      </c>
      <c r="D3379" s="2">
        <f>IFERROR(__xludf.DUMMYFUNCTION("""COMPUTED_VALUE"""),4.0)</f>
        <v>4</v>
      </c>
      <c r="E3379" s="2">
        <f>IFERROR(__xludf.DUMMYFUNCTION("""COMPUTED_VALUE"""),152.0)</f>
        <v>152</v>
      </c>
      <c r="F3379" s="2">
        <f>IFERROR(__xludf.DUMMYFUNCTION("""COMPUTED_VALUE"""),4.0)</f>
        <v>4</v>
      </c>
      <c r="G3379" s="2">
        <f>IFERROR(__xludf.DUMMYFUNCTION("""COMPUTED_VALUE"""),6.0)</f>
        <v>6</v>
      </c>
      <c r="H3379" s="2" t="str">
        <f>IFERROR(__xludf.DUMMYFUNCTION("""COMPUTED_VALUE"""),"Specpr.")</f>
        <v>Specpr.</v>
      </c>
      <c r="I3379" s="2" t="str">
        <f>IFERROR(__xludf.DUMMYFUNCTION("""COMPUTED_VALUE"""),"Brick-Panel")</f>
        <v>Brick-Panel</v>
      </c>
      <c r="J3379" s="2" t="str">
        <f>IFERROR(__xludf.DUMMYFUNCTION("""COMPUTED_VALUE"""),"All amenities")</f>
        <v>All amenities</v>
      </c>
      <c r="K3379" s="2">
        <f>IFERROR(__xludf.DUMMYFUNCTION("""COMPUTED_VALUE"""),195000.0)</f>
        <v>195000</v>
      </c>
      <c r="L3379" s="2">
        <f>IFERROR(__xludf.DUMMYFUNCTION("""COMPUTED_VALUE"""),56.9394231)</f>
        <v>56.9394231</v>
      </c>
      <c r="M3379" s="2">
        <f>IFERROR(__xludf.DUMMYFUNCTION("""COMPUTED_VALUE"""),24.0359489118193)</f>
        <v>24.03594891</v>
      </c>
    </row>
    <row r="3380">
      <c r="A3380" s="2" t="str">
        <f>IFERROR(__xludf.DUMMYFUNCTION("""COMPUTED_VALUE"""),"For sale")</f>
        <v>For sale</v>
      </c>
      <c r="B3380" s="2" t="str">
        <f>IFERROR(__xludf.DUMMYFUNCTION("""COMPUTED_VALUE"""),"Mangaļi")</f>
        <v>Mangaļi</v>
      </c>
      <c r="C3380" s="2" t="str">
        <f>IFERROR(__xludf.DUMMYFUNCTION("""COMPUTED_VALUE"""),"Ezera 13")</f>
        <v>Ezera 13</v>
      </c>
      <c r="D3380" s="2">
        <f>IFERROR(__xludf.DUMMYFUNCTION("""COMPUTED_VALUE"""),1.0)</f>
        <v>1</v>
      </c>
      <c r="E3380" s="2">
        <f>IFERROR(__xludf.DUMMYFUNCTION("""COMPUTED_VALUE"""),27.0)</f>
        <v>27</v>
      </c>
      <c r="F3380" s="2">
        <f>IFERROR(__xludf.DUMMYFUNCTION("""COMPUTED_VALUE"""),2.0)</f>
        <v>2</v>
      </c>
      <c r="G3380" s="2">
        <f>IFERROR(__xludf.DUMMYFUNCTION("""COMPUTED_VALUE"""),2.0)</f>
        <v>2</v>
      </c>
      <c r="H3380" s="2" t="str">
        <f>IFERROR(__xludf.DUMMYFUNCTION("""COMPUTED_VALUE"""),"P. kara")</f>
        <v>P. kara</v>
      </c>
      <c r="I3380" s="2" t="str">
        <f>IFERROR(__xludf.DUMMYFUNCTION("""COMPUTED_VALUE"""),"Brick")</f>
        <v>Brick</v>
      </c>
      <c r="J3380" s="2" t="str">
        <f>IFERROR(__xludf.DUMMYFUNCTION("""COMPUTED_VALUE"""),"Partial amenities")</f>
        <v>Partial amenities</v>
      </c>
      <c r="K3380" s="2">
        <f>IFERROR(__xludf.DUMMYFUNCTION("""COMPUTED_VALUE"""),16000.0)</f>
        <v>16000</v>
      </c>
      <c r="L3380" s="2">
        <f>IFERROR(__xludf.DUMMYFUNCTION("""COMPUTED_VALUE"""),57.02046865)</f>
        <v>57.02046865</v>
      </c>
      <c r="M3380" s="2">
        <f>IFERROR(__xludf.DUMMYFUNCTION("""COMPUTED_VALUE"""),24.1297199371058)</f>
        <v>24.12971994</v>
      </c>
    </row>
    <row r="3381">
      <c r="A3381" s="2" t="str">
        <f>IFERROR(__xludf.DUMMYFUNCTION("""COMPUTED_VALUE"""),"For sale")</f>
        <v>For sale</v>
      </c>
      <c r="B3381" s="2" t="str">
        <f>IFERROR(__xludf.DUMMYFUNCTION("""COMPUTED_VALUE"""),"Zolitūde")</f>
        <v>Zolitūde</v>
      </c>
      <c r="C3381" s="2" t="str">
        <f>IFERROR(__xludf.DUMMYFUNCTION("""COMPUTED_VALUE"""),"Zolitūdes 46")</f>
        <v>Zolitūdes 46</v>
      </c>
      <c r="D3381" s="2">
        <f>IFERROR(__xludf.DUMMYFUNCTION("""COMPUTED_VALUE"""),4.0)</f>
        <v>4</v>
      </c>
      <c r="E3381" s="2">
        <f>IFERROR(__xludf.DUMMYFUNCTION("""COMPUTED_VALUE"""),91.0)</f>
        <v>91</v>
      </c>
      <c r="F3381" s="2">
        <f>IFERROR(__xludf.DUMMYFUNCTION("""COMPUTED_VALUE"""),7.0)</f>
        <v>7</v>
      </c>
      <c r="G3381" s="2">
        <f>IFERROR(__xludf.DUMMYFUNCTION("""COMPUTED_VALUE"""),9.0)</f>
        <v>9</v>
      </c>
      <c r="H3381" s="2">
        <f>IFERROR(__xludf.DUMMYFUNCTION("""COMPUTED_VALUE"""),119.0)</f>
        <v>119</v>
      </c>
      <c r="I3381" s="2" t="str">
        <f>IFERROR(__xludf.DUMMYFUNCTION("""COMPUTED_VALUE"""),"Panel")</f>
        <v>Panel</v>
      </c>
      <c r="J3381" s="2" t="str">
        <f>IFERROR(__xludf.DUMMYFUNCTION("""COMPUTED_VALUE"""),"All amenities")</f>
        <v>All amenities</v>
      </c>
      <c r="K3381" s="2">
        <f>IFERROR(__xludf.DUMMYFUNCTION("""COMPUTED_VALUE"""),83000.0)</f>
        <v>83000</v>
      </c>
      <c r="L3381" s="2">
        <f>IFERROR(__xludf.DUMMYFUNCTION("""COMPUTED_VALUE"""),56.94224055)</f>
        <v>56.94224055</v>
      </c>
      <c r="M3381" s="2">
        <f>IFERROR(__xludf.DUMMYFUNCTION("""COMPUTED_VALUE"""),24.0060845759065)</f>
        <v>24.00608458</v>
      </c>
    </row>
    <row r="3382">
      <c r="A3382" s="2" t="str">
        <f>IFERROR(__xludf.DUMMYFUNCTION("""COMPUTED_VALUE"""),"For sale")</f>
        <v>For sale</v>
      </c>
      <c r="B3382" s="2" t="str">
        <f>IFERROR(__xludf.DUMMYFUNCTION("""COMPUTED_VALUE"""),"Vecmīlgrāvis")</f>
        <v>Vecmīlgrāvis</v>
      </c>
      <c r="C3382" s="2" t="str">
        <f>IFERROR(__xludf.DUMMYFUNCTION("""COMPUTED_VALUE"""),"Meldru 12")</f>
        <v>Meldru 12</v>
      </c>
      <c r="D3382" s="2">
        <f>IFERROR(__xludf.DUMMYFUNCTION("""COMPUTED_VALUE"""),2.0)</f>
        <v>2</v>
      </c>
      <c r="E3382" s="2">
        <f>IFERROR(__xludf.DUMMYFUNCTION("""COMPUTED_VALUE"""),42.0)</f>
        <v>42</v>
      </c>
      <c r="F3382" s="2">
        <f>IFERROR(__xludf.DUMMYFUNCTION("""COMPUTED_VALUE"""),2.0)</f>
        <v>2</v>
      </c>
      <c r="G3382" s="2">
        <f>IFERROR(__xludf.DUMMYFUNCTION("""COMPUTED_VALUE"""),4.0)</f>
        <v>4</v>
      </c>
      <c r="H3382" s="2" t="str">
        <f>IFERROR(__xludf.DUMMYFUNCTION("""COMPUTED_VALUE"""),"Hrušč.")</f>
        <v>Hrušč.</v>
      </c>
      <c r="I3382" s="2" t="str">
        <f>IFERROR(__xludf.DUMMYFUNCTION("""COMPUTED_VALUE"""),"Brick")</f>
        <v>Brick</v>
      </c>
      <c r="J3382" s="2" t="str">
        <f>IFERROR(__xludf.DUMMYFUNCTION("""COMPUTED_VALUE"""),"All amenities")</f>
        <v>All amenities</v>
      </c>
      <c r="K3382" s="2">
        <f>IFERROR(__xludf.DUMMYFUNCTION("""COMPUTED_VALUE"""),27500.0)</f>
        <v>27500</v>
      </c>
      <c r="L3382" s="2">
        <f>IFERROR(__xludf.DUMMYFUNCTION("""COMPUTED_VALUE"""),57.0301906)</f>
        <v>57.0301906</v>
      </c>
      <c r="M3382" s="2">
        <f>IFERROR(__xludf.DUMMYFUNCTION("""COMPUTED_VALUE"""),24.09970765)</f>
        <v>24.09970765</v>
      </c>
    </row>
    <row r="3383">
      <c r="A3383" s="2" t="str">
        <f>IFERROR(__xludf.DUMMYFUNCTION("""COMPUTED_VALUE"""),"For sale")</f>
        <v>For sale</v>
      </c>
      <c r="B3383" s="2" t="str">
        <f>IFERROR(__xludf.DUMMYFUNCTION("""COMPUTED_VALUE"""),"Jaunciems")</f>
        <v>Jaunciems</v>
      </c>
      <c r="C3383" s="2" t="str">
        <f>IFERROR(__xludf.DUMMYFUNCTION("""COMPUTED_VALUE"""),"Jaunciema g. 167")</f>
        <v>Jaunciema g. 167</v>
      </c>
      <c r="D3383" s="2">
        <f>IFERROR(__xludf.DUMMYFUNCTION("""COMPUTED_VALUE"""),2.0)</f>
        <v>2</v>
      </c>
      <c r="E3383" s="2">
        <f>IFERROR(__xludf.DUMMYFUNCTION("""COMPUTED_VALUE"""),44.0)</f>
        <v>44</v>
      </c>
      <c r="F3383" s="2">
        <f>IFERROR(__xludf.DUMMYFUNCTION("""COMPUTED_VALUE"""),2.0)</f>
        <v>2</v>
      </c>
      <c r="G3383" s="2">
        <f>IFERROR(__xludf.DUMMYFUNCTION("""COMPUTED_VALUE"""),2.0)</f>
        <v>2</v>
      </c>
      <c r="H3383" s="2" t="str">
        <f>IFERROR(__xludf.DUMMYFUNCTION("""COMPUTED_VALUE"""),"Specpr.")</f>
        <v>Specpr.</v>
      </c>
      <c r="I3383" s="2" t="str">
        <f>IFERROR(__xludf.DUMMYFUNCTION("""COMPUTED_VALUE"""),"Wood")</f>
        <v>Wood</v>
      </c>
      <c r="J3383" s="2" t="str">
        <f>IFERROR(__xludf.DUMMYFUNCTION("""COMPUTED_VALUE"""),"All amenities")</f>
        <v>All amenities</v>
      </c>
      <c r="K3383" s="2">
        <f>IFERROR(__xludf.DUMMYFUNCTION("""COMPUTED_VALUE"""),11790.0)</f>
        <v>11790</v>
      </c>
      <c r="L3383" s="2">
        <f>IFERROR(__xludf.DUMMYFUNCTION("""COMPUTED_VALUE"""),57.034118)</f>
        <v>57.034118</v>
      </c>
      <c r="M3383" s="2">
        <f>IFERROR(__xludf.DUMMYFUNCTION("""COMPUTED_VALUE"""),24.1267927)</f>
        <v>24.1267927</v>
      </c>
    </row>
    <row r="3384">
      <c r="A3384" s="2" t="str">
        <f>IFERROR(__xludf.DUMMYFUNCTION("""COMPUTED_VALUE"""),"For rent")</f>
        <v>For rent</v>
      </c>
      <c r="B3384" s="2" t="str">
        <f>IFERROR(__xludf.DUMMYFUNCTION("""COMPUTED_VALUE"""),"centrs")</f>
        <v>centrs</v>
      </c>
      <c r="C3384" s="2" t="str">
        <f>IFERROR(__xludf.DUMMYFUNCTION("""COMPUTED_VALUE"""),"Pumpura 3a")</f>
        <v>Pumpura 3a</v>
      </c>
      <c r="D3384" s="2">
        <f>IFERROR(__xludf.DUMMYFUNCTION("""COMPUTED_VALUE"""),4.0)</f>
        <v>4</v>
      </c>
      <c r="E3384" s="2">
        <f>IFERROR(__xludf.DUMMYFUNCTION("""COMPUTED_VALUE"""),120.0)</f>
        <v>120</v>
      </c>
      <c r="F3384" s="2">
        <f>IFERROR(__xludf.DUMMYFUNCTION("""COMPUTED_VALUE"""),1.0)</f>
        <v>1</v>
      </c>
      <c r="G3384" s="2">
        <f>IFERROR(__xludf.DUMMYFUNCTION("""COMPUTED_VALUE"""),3.0)</f>
        <v>3</v>
      </c>
      <c r="H3384" s="2" t="str">
        <f>IFERROR(__xludf.DUMMYFUNCTION("""COMPUTED_VALUE"""),"Renov.")</f>
        <v>Renov.</v>
      </c>
      <c r="I3384" s="2" t="str">
        <f>IFERROR(__xludf.DUMMYFUNCTION("""COMPUTED_VALUE"""),"Masonry")</f>
        <v>Masonry</v>
      </c>
      <c r="J3384" s="2" t="str">
        <f>IFERROR(__xludf.DUMMYFUNCTION("""COMPUTED_VALUE"""),"All amenities")</f>
        <v>All amenities</v>
      </c>
      <c r="K3384" s="2">
        <f>IFERROR(__xludf.DUMMYFUNCTION("""COMPUTED_VALUE"""),1350.0)</f>
        <v>1350</v>
      </c>
      <c r="L3384" s="2">
        <f>IFERROR(__xludf.DUMMYFUNCTION("""COMPUTED_VALUE"""),56.9566456)</f>
        <v>56.9566456</v>
      </c>
      <c r="M3384" s="2">
        <f>IFERROR(__xludf.DUMMYFUNCTION("""COMPUTED_VALUE"""),24.1107022)</f>
        <v>24.1107022</v>
      </c>
    </row>
    <row r="3385">
      <c r="A3385" s="2" t="str">
        <f>IFERROR(__xludf.DUMMYFUNCTION("""COMPUTED_VALUE"""),"For sale")</f>
        <v>For sale</v>
      </c>
      <c r="B3385" s="2" t="str">
        <f>IFERROR(__xludf.DUMMYFUNCTION("""COMPUTED_VALUE"""),"Mežciems")</f>
        <v>Mežciems</v>
      </c>
      <c r="C3385" s="2" t="str">
        <f>IFERROR(__xludf.DUMMYFUNCTION("""COMPUTED_VALUE"""),"Kaivas 50/2")</f>
        <v>Kaivas 50/2</v>
      </c>
      <c r="D3385" s="2">
        <f>IFERROR(__xludf.DUMMYFUNCTION("""COMPUTED_VALUE"""),4.0)</f>
        <v>4</v>
      </c>
      <c r="E3385" s="2">
        <f>IFERROR(__xludf.DUMMYFUNCTION("""COMPUTED_VALUE"""),93.0)</f>
        <v>93</v>
      </c>
      <c r="F3385" s="2">
        <f>IFERROR(__xludf.DUMMYFUNCTION("""COMPUTED_VALUE"""),2.0)</f>
        <v>2</v>
      </c>
      <c r="G3385" s="2">
        <f>IFERROR(__xludf.DUMMYFUNCTION("""COMPUTED_VALUE"""),5.0)</f>
        <v>5</v>
      </c>
      <c r="H3385" s="2" t="str">
        <f>IFERROR(__xludf.DUMMYFUNCTION("""COMPUTED_VALUE"""),"Jaun.")</f>
        <v>Jaun.</v>
      </c>
      <c r="I3385" s="2" t="str">
        <f>IFERROR(__xludf.DUMMYFUNCTION("""COMPUTED_VALUE"""),"Panel")</f>
        <v>Panel</v>
      </c>
      <c r="J3385" s="2" t="str">
        <f>IFERROR(__xludf.DUMMYFUNCTION("""COMPUTED_VALUE"""),"All amenities")</f>
        <v>All amenities</v>
      </c>
      <c r="K3385" s="2">
        <f>IFERROR(__xludf.DUMMYFUNCTION("""COMPUTED_VALUE"""),112000.0)</f>
        <v>112000</v>
      </c>
      <c r="L3385" s="2">
        <f>IFERROR(__xludf.DUMMYFUNCTION("""COMPUTED_VALUE"""),56.9541725)</f>
        <v>56.9541725</v>
      </c>
      <c r="M3385" s="2">
        <f>IFERROR(__xludf.DUMMYFUNCTION("""COMPUTED_VALUE"""),24.2443253)</f>
        <v>24.2443253</v>
      </c>
    </row>
    <row r="3386">
      <c r="A3386" s="2" t="str">
        <f>IFERROR(__xludf.DUMMYFUNCTION("""COMPUTED_VALUE"""),"For rent")</f>
        <v>For rent</v>
      </c>
      <c r="B3386" s="2" t="str">
        <f>IFERROR(__xludf.DUMMYFUNCTION("""COMPUTED_VALUE"""),"centrs")</f>
        <v>centrs</v>
      </c>
      <c r="C3386" s="2" t="str">
        <f>IFERROR(__xludf.DUMMYFUNCTION("""COMPUTED_VALUE"""),"Čaka 117/1")</f>
        <v>Čaka 117/1</v>
      </c>
      <c r="D3386" s="2">
        <f>IFERROR(__xludf.DUMMYFUNCTION("""COMPUTED_VALUE"""),3.0)</f>
        <v>3</v>
      </c>
      <c r="E3386" s="2">
        <f>IFERROR(__xludf.DUMMYFUNCTION("""COMPUTED_VALUE"""),71.0)</f>
        <v>71</v>
      </c>
      <c r="F3386" s="2">
        <f>IFERROR(__xludf.DUMMYFUNCTION("""COMPUTED_VALUE"""),6.0)</f>
        <v>6</v>
      </c>
      <c r="G3386" s="2">
        <f>IFERROR(__xludf.DUMMYFUNCTION("""COMPUTED_VALUE"""),6.0)</f>
        <v>6</v>
      </c>
      <c r="H3386" s="2" t="str">
        <f>IFERROR(__xludf.DUMMYFUNCTION("""COMPUTED_VALUE"""),"Renov.")</f>
        <v>Renov.</v>
      </c>
      <c r="I3386" s="2" t="str">
        <f>IFERROR(__xludf.DUMMYFUNCTION("""COMPUTED_VALUE"""),"Masonry")</f>
        <v>Masonry</v>
      </c>
      <c r="J3386" s="2" t="str">
        <f>IFERROR(__xludf.DUMMYFUNCTION("""COMPUTED_VALUE"""),"All amenities")</f>
        <v>All amenities</v>
      </c>
      <c r="K3386" s="2">
        <f>IFERROR(__xludf.DUMMYFUNCTION("""COMPUTED_VALUE"""),520.0)</f>
        <v>520</v>
      </c>
      <c r="L3386" s="2">
        <f>IFERROR(__xludf.DUMMYFUNCTION("""COMPUTED_VALUE"""),56.9626863)</f>
        <v>56.9626863</v>
      </c>
      <c r="M3386" s="2">
        <f>IFERROR(__xludf.DUMMYFUNCTION("""COMPUTED_VALUE"""),24.1480584)</f>
        <v>24.1480584</v>
      </c>
    </row>
    <row r="3387">
      <c r="A3387" s="2" t="str">
        <f>IFERROR(__xludf.DUMMYFUNCTION("""COMPUTED_VALUE"""),"For rent")</f>
        <v>For rent</v>
      </c>
      <c r="B3387" s="2" t="str">
        <f>IFERROR(__xludf.DUMMYFUNCTION("""COMPUTED_VALUE"""),"centrs")</f>
        <v>centrs</v>
      </c>
      <c r="C3387" s="2" t="str">
        <f>IFERROR(__xludf.DUMMYFUNCTION("""COMPUTED_VALUE"""),"Čaka 117")</f>
        <v>Čaka 117</v>
      </c>
      <c r="D3387" s="2">
        <f>IFERROR(__xludf.DUMMYFUNCTION("""COMPUTED_VALUE"""),3.0)</f>
        <v>3</v>
      </c>
      <c r="E3387" s="2">
        <f>IFERROR(__xludf.DUMMYFUNCTION("""COMPUTED_VALUE"""),75.0)</f>
        <v>75</v>
      </c>
      <c r="F3387" s="2">
        <f>IFERROR(__xludf.DUMMYFUNCTION("""COMPUTED_VALUE"""),4.0)</f>
        <v>4</v>
      </c>
      <c r="G3387" s="2">
        <f>IFERROR(__xludf.DUMMYFUNCTION("""COMPUTED_VALUE"""),6.0)</f>
        <v>6</v>
      </c>
      <c r="H3387" s="2" t="str">
        <f>IFERROR(__xludf.DUMMYFUNCTION("""COMPUTED_VALUE"""),"Renov.")</f>
        <v>Renov.</v>
      </c>
      <c r="I3387" s="2" t="str">
        <f>IFERROR(__xludf.DUMMYFUNCTION("""COMPUTED_VALUE"""),"Masonry")</f>
        <v>Masonry</v>
      </c>
      <c r="J3387" s="2" t="str">
        <f>IFERROR(__xludf.DUMMYFUNCTION("""COMPUTED_VALUE"""),"All amenities")</f>
        <v>All amenities</v>
      </c>
      <c r="K3387" s="2">
        <f>IFERROR(__xludf.DUMMYFUNCTION("""COMPUTED_VALUE"""),520.0)</f>
        <v>520</v>
      </c>
      <c r="L3387" s="2">
        <f>IFERROR(__xludf.DUMMYFUNCTION("""COMPUTED_VALUE"""),56.9590876)</f>
        <v>56.9590876</v>
      </c>
      <c r="M3387" s="2">
        <f>IFERROR(__xludf.DUMMYFUNCTION("""COMPUTED_VALUE"""),24.1412317647326)</f>
        <v>24.14123176</v>
      </c>
    </row>
    <row r="3388">
      <c r="A3388" s="2" t="str">
        <f>IFERROR(__xludf.DUMMYFUNCTION("""COMPUTED_VALUE"""),"For rent")</f>
        <v>For rent</v>
      </c>
      <c r="B3388" s="2" t="str">
        <f>IFERROR(__xludf.DUMMYFUNCTION("""COMPUTED_VALUE"""),"centrs")</f>
        <v>centrs</v>
      </c>
      <c r="C3388" s="2" t="str">
        <f>IFERROR(__xludf.DUMMYFUNCTION("""COMPUTED_VALUE"""),"Avotu 11")</f>
        <v>Avotu 11</v>
      </c>
      <c r="D3388" s="2">
        <f>IFERROR(__xludf.DUMMYFUNCTION("""COMPUTED_VALUE"""),1.0)</f>
        <v>1</v>
      </c>
      <c r="E3388" s="2">
        <f>IFERROR(__xludf.DUMMYFUNCTION("""COMPUTED_VALUE"""),41.0)</f>
        <v>41</v>
      </c>
      <c r="F3388" s="2">
        <f>IFERROR(__xludf.DUMMYFUNCTION("""COMPUTED_VALUE"""),1.0)</f>
        <v>1</v>
      </c>
      <c r="G3388" s="2">
        <f>IFERROR(__xludf.DUMMYFUNCTION("""COMPUTED_VALUE"""),6.0)</f>
        <v>6</v>
      </c>
      <c r="H3388" s="2" t="str">
        <f>IFERROR(__xludf.DUMMYFUNCTION("""COMPUTED_VALUE"""),"P. kara")</f>
        <v>P. kara</v>
      </c>
      <c r="I3388" s="2" t="str">
        <f>IFERROR(__xludf.DUMMYFUNCTION("""COMPUTED_VALUE"""),"Masonry")</f>
        <v>Masonry</v>
      </c>
      <c r="J3388" s="2" t="str">
        <f>IFERROR(__xludf.DUMMYFUNCTION("""COMPUTED_VALUE"""),"All amenities")</f>
        <v>All amenities</v>
      </c>
      <c r="K3388" s="2">
        <f>IFERROR(__xludf.DUMMYFUNCTION("""COMPUTED_VALUE"""),320.0)</f>
        <v>320</v>
      </c>
      <c r="L3388" s="2">
        <f>IFERROR(__xludf.DUMMYFUNCTION("""COMPUTED_VALUE"""),56.9506867)</f>
        <v>56.9506867</v>
      </c>
      <c r="M3388" s="2">
        <f>IFERROR(__xludf.DUMMYFUNCTION("""COMPUTED_VALUE"""),24.1291346988725)</f>
        <v>24.1291347</v>
      </c>
    </row>
    <row r="3389">
      <c r="A3389" s="2" t="str">
        <f>IFERROR(__xludf.DUMMYFUNCTION("""COMPUTED_VALUE"""),"For rent")</f>
        <v>For rent</v>
      </c>
      <c r="B3389" s="2" t="str">
        <f>IFERROR(__xludf.DUMMYFUNCTION("""COMPUTED_VALUE"""),"centrs")</f>
        <v>centrs</v>
      </c>
      <c r="C3389" s="2" t="str">
        <f>IFERROR(__xludf.DUMMYFUNCTION("""COMPUTED_VALUE"""),"Ģertrūdes 9")</f>
        <v>Ģertrūdes 9</v>
      </c>
      <c r="D3389" s="2">
        <f>IFERROR(__xludf.DUMMYFUNCTION("""COMPUTED_VALUE"""),3.0)</f>
        <v>3</v>
      </c>
      <c r="E3389" s="2">
        <f>IFERROR(__xludf.DUMMYFUNCTION("""COMPUTED_VALUE"""),150.0)</f>
        <v>150</v>
      </c>
      <c r="F3389" s="2">
        <f>IFERROR(__xludf.DUMMYFUNCTION("""COMPUTED_VALUE"""),8.0)</f>
        <v>8</v>
      </c>
      <c r="G3389" s="2">
        <f>IFERROR(__xludf.DUMMYFUNCTION("""COMPUTED_VALUE"""),9.0)</f>
        <v>9</v>
      </c>
      <c r="H3389" s="2" t="str">
        <f>IFERROR(__xludf.DUMMYFUNCTION("""COMPUTED_VALUE"""),"P. kara")</f>
        <v>P. kara</v>
      </c>
      <c r="I3389" s="2" t="str">
        <f>IFERROR(__xludf.DUMMYFUNCTION("""COMPUTED_VALUE"""),"Masonry")</f>
        <v>Masonry</v>
      </c>
      <c r="J3389" s="2" t="str">
        <f>IFERROR(__xludf.DUMMYFUNCTION("""COMPUTED_VALUE"""),"All amenities")</f>
        <v>All amenities</v>
      </c>
      <c r="K3389" s="2">
        <f>IFERROR(__xludf.DUMMYFUNCTION("""COMPUTED_VALUE"""),1100.0)</f>
        <v>1100</v>
      </c>
      <c r="L3389" s="2">
        <f>IFERROR(__xludf.DUMMYFUNCTION("""COMPUTED_VALUE"""),56.958294)</f>
        <v>56.958294</v>
      </c>
      <c r="M3389" s="2">
        <f>IFERROR(__xludf.DUMMYFUNCTION("""COMPUTED_VALUE"""),24.1213478)</f>
        <v>24.1213478</v>
      </c>
    </row>
    <row r="3390">
      <c r="A3390" s="2" t="str">
        <f>IFERROR(__xludf.DUMMYFUNCTION("""COMPUTED_VALUE"""),"For rent")</f>
        <v>For rent</v>
      </c>
      <c r="B3390" s="2" t="str">
        <f>IFERROR(__xludf.DUMMYFUNCTION("""COMPUTED_VALUE"""),"centrs")</f>
        <v>centrs</v>
      </c>
      <c r="C3390" s="2" t="str">
        <f>IFERROR(__xludf.DUMMYFUNCTION("""COMPUTED_VALUE"""),"Matīsa 18")</f>
        <v>Matīsa 18</v>
      </c>
      <c r="D3390" s="2">
        <f>IFERROR(__xludf.DUMMYFUNCTION("""COMPUTED_VALUE"""),2.0)</f>
        <v>2</v>
      </c>
      <c r="E3390" s="2">
        <f>IFERROR(__xludf.DUMMYFUNCTION("""COMPUTED_VALUE"""),40.0)</f>
        <v>40</v>
      </c>
      <c r="F3390" s="2">
        <f>IFERROR(__xludf.DUMMYFUNCTION("""COMPUTED_VALUE"""),2.0)</f>
        <v>2</v>
      </c>
      <c r="G3390" s="2">
        <f>IFERROR(__xludf.DUMMYFUNCTION("""COMPUTED_VALUE"""),5.0)</f>
        <v>5</v>
      </c>
      <c r="H3390" s="2" t="str">
        <f>IFERROR(__xludf.DUMMYFUNCTION("""COMPUTED_VALUE"""),"P. kara")</f>
        <v>P. kara</v>
      </c>
      <c r="I3390" s="2" t="str">
        <f>IFERROR(__xludf.DUMMYFUNCTION("""COMPUTED_VALUE"""),"Masonry")</f>
        <v>Masonry</v>
      </c>
      <c r="J3390" s="2" t="str">
        <f>IFERROR(__xludf.DUMMYFUNCTION("""COMPUTED_VALUE"""),"All amenities")</f>
        <v>All amenities</v>
      </c>
      <c r="K3390" s="2">
        <f>IFERROR(__xludf.DUMMYFUNCTION("""COMPUTED_VALUE"""),350.0)</f>
        <v>350</v>
      </c>
      <c r="L3390" s="2">
        <f>IFERROR(__xludf.DUMMYFUNCTION("""COMPUTED_VALUE"""),56.9574559499999)</f>
        <v>56.95745595</v>
      </c>
      <c r="M3390" s="2">
        <f>IFERROR(__xludf.DUMMYFUNCTION("""COMPUTED_VALUE"""),24.1319558264917)</f>
        <v>24.13195583</v>
      </c>
    </row>
    <row r="3391">
      <c r="A3391" s="2" t="str">
        <f>IFERROR(__xludf.DUMMYFUNCTION("""COMPUTED_VALUE"""),"For rent")</f>
        <v>For rent</v>
      </c>
      <c r="B3391" s="2" t="str">
        <f>IFERROR(__xludf.DUMMYFUNCTION("""COMPUTED_VALUE"""),"Sarkandaugava")</f>
        <v>Sarkandaugava</v>
      </c>
      <c r="C3391" s="2" t="str">
        <f>IFERROR(__xludf.DUMMYFUNCTION("""COMPUTED_VALUE"""),"Duntes 48")</f>
        <v>Duntes 48</v>
      </c>
      <c r="D3391" s="2">
        <f>IFERROR(__xludf.DUMMYFUNCTION("""COMPUTED_VALUE"""),1.0)</f>
        <v>1</v>
      </c>
      <c r="E3391" s="2">
        <f>IFERROR(__xludf.DUMMYFUNCTION("""COMPUTED_VALUE"""),34.0)</f>
        <v>34</v>
      </c>
      <c r="F3391" s="2">
        <f>IFERROR(__xludf.DUMMYFUNCTION("""COMPUTED_VALUE"""),3.0)</f>
        <v>3</v>
      </c>
      <c r="G3391" s="2">
        <f>IFERROR(__xludf.DUMMYFUNCTION("""COMPUTED_VALUE"""),6.0)</f>
        <v>6</v>
      </c>
      <c r="H3391" s="2" t="str">
        <f>IFERROR(__xludf.DUMMYFUNCTION("""COMPUTED_VALUE"""),"P. kara")</f>
        <v>P. kara</v>
      </c>
      <c r="I3391" s="2" t="str">
        <f>IFERROR(__xludf.DUMMYFUNCTION("""COMPUTED_VALUE"""),"Masonry")</f>
        <v>Masonry</v>
      </c>
      <c r="J3391" s="2" t="str">
        <f>IFERROR(__xludf.DUMMYFUNCTION("""COMPUTED_VALUE"""),"Partial amenities")</f>
        <v>Partial amenities</v>
      </c>
      <c r="K3391" s="2">
        <f>IFERROR(__xludf.DUMMYFUNCTION("""COMPUTED_VALUE"""),145.0)</f>
        <v>145</v>
      </c>
      <c r="L3391" s="2">
        <f>IFERROR(__xludf.DUMMYFUNCTION("""COMPUTED_VALUE"""),56.99189845)</f>
        <v>56.99189845</v>
      </c>
      <c r="M3391" s="2">
        <f>IFERROR(__xludf.DUMMYFUNCTION("""COMPUTED_VALUE"""),24.1276669239564)</f>
        <v>24.12766692</v>
      </c>
    </row>
    <row r="3392">
      <c r="A3392" s="2" t="str">
        <f>IFERROR(__xludf.DUMMYFUNCTION("""COMPUTED_VALUE"""),"For sale")</f>
        <v>For sale</v>
      </c>
      <c r="B3392" s="2" t="str">
        <f>IFERROR(__xludf.DUMMYFUNCTION("""COMPUTED_VALUE"""),"centrs")</f>
        <v>centrs</v>
      </c>
      <c r="C3392" s="2" t="str">
        <f>IFERROR(__xludf.DUMMYFUNCTION("""COMPUTED_VALUE"""),"Hospitāļu 22")</f>
        <v>Hospitāļu 22</v>
      </c>
      <c r="D3392" s="2">
        <f>IFERROR(__xludf.DUMMYFUNCTION("""COMPUTED_VALUE"""),5.0)</f>
        <v>5</v>
      </c>
      <c r="E3392" s="2">
        <f>IFERROR(__xludf.DUMMYFUNCTION("""COMPUTED_VALUE"""),138.0)</f>
        <v>138</v>
      </c>
      <c r="F3392" s="2">
        <f>IFERROR(__xludf.DUMMYFUNCTION("""COMPUTED_VALUE"""),4.0)</f>
        <v>4</v>
      </c>
      <c r="G3392" s="2">
        <f>IFERROR(__xludf.DUMMYFUNCTION("""COMPUTED_VALUE"""),4.0)</f>
        <v>4</v>
      </c>
      <c r="H3392" s="2" t="str">
        <f>IFERROR(__xludf.DUMMYFUNCTION("""COMPUTED_VALUE"""),"P. kara")</f>
        <v>P. kara</v>
      </c>
      <c r="I3392" s="2" t="str">
        <f>IFERROR(__xludf.DUMMYFUNCTION("""COMPUTED_VALUE"""),"Masonry")</f>
        <v>Masonry</v>
      </c>
      <c r="J3392" s="2" t="str">
        <f>IFERROR(__xludf.DUMMYFUNCTION("""COMPUTED_VALUE"""),"All amenities")</f>
        <v>All amenities</v>
      </c>
      <c r="K3392" s="2">
        <f>IFERROR(__xludf.DUMMYFUNCTION("""COMPUTED_VALUE"""),168000.0)</f>
        <v>168000</v>
      </c>
      <c r="L3392" s="2">
        <f>IFERROR(__xludf.DUMMYFUNCTION("""COMPUTED_VALUE"""),56.97311445)</f>
        <v>56.97311445</v>
      </c>
      <c r="M3392" s="2">
        <f>IFERROR(__xludf.DUMMYFUNCTION("""COMPUTED_VALUE"""),24.1378080196509)</f>
        <v>24.13780802</v>
      </c>
    </row>
    <row r="3393">
      <c r="A3393" s="2" t="str">
        <f>IFERROR(__xludf.DUMMYFUNCTION("""COMPUTED_VALUE"""),"For rent")</f>
        <v>For rent</v>
      </c>
      <c r="B3393" s="2" t="str">
        <f>IFERROR(__xludf.DUMMYFUNCTION("""COMPUTED_VALUE"""),"centrs")</f>
        <v>centrs</v>
      </c>
      <c r="C3393" s="2" t="str">
        <f>IFERROR(__xludf.DUMMYFUNCTION("""COMPUTED_VALUE"""),"Barona 76")</f>
        <v>Barona 76</v>
      </c>
      <c r="D3393" s="2">
        <f>IFERROR(__xludf.DUMMYFUNCTION("""COMPUTED_VALUE"""),3.0)</f>
        <v>3</v>
      </c>
      <c r="E3393" s="2">
        <f>IFERROR(__xludf.DUMMYFUNCTION("""COMPUTED_VALUE"""),67.0)</f>
        <v>67</v>
      </c>
      <c r="F3393" s="2">
        <f>IFERROR(__xludf.DUMMYFUNCTION("""COMPUTED_VALUE"""),3.0)</f>
        <v>3</v>
      </c>
      <c r="G3393" s="2">
        <f>IFERROR(__xludf.DUMMYFUNCTION("""COMPUTED_VALUE"""),6.0)</f>
        <v>6</v>
      </c>
      <c r="H3393" s="2" t="str">
        <f>IFERROR(__xludf.DUMMYFUNCTION("""COMPUTED_VALUE"""),"Renov.")</f>
        <v>Renov.</v>
      </c>
      <c r="I3393" s="2" t="str">
        <f>IFERROR(__xludf.DUMMYFUNCTION("""COMPUTED_VALUE"""),"Masonry")</f>
        <v>Masonry</v>
      </c>
      <c r="J3393" s="2" t="str">
        <f>IFERROR(__xludf.DUMMYFUNCTION("""COMPUTED_VALUE"""),"All amenities")</f>
        <v>All amenities</v>
      </c>
      <c r="K3393" s="2">
        <f>IFERROR(__xludf.DUMMYFUNCTION("""COMPUTED_VALUE"""),760.0)</f>
        <v>760</v>
      </c>
      <c r="L3393" s="2">
        <f>IFERROR(__xludf.DUMMYFUNCTION("""COMPUTED_VALUE"""),56.95643795)</f>
        <v>56.95643795</v>
      </c>
      <c r="M3393" s="2">
        <f>IFERROR(__xludf.DUMMYFUNCTION("""COMPUTED_VALUE"""),24.1325729821556)</f>
        <v>24.13257298</v>
      </c>
    </row>
    <row r="3394">
      <c r="A3394" s="2" t="str">
        <f>IFERROR(__xludf.DUMMYFUNCTION("""COMPUTED_VALUE"""),"For rent")</f>
        <v>For rent</v>
      </c>
      <c r="B3394" s="2" t="str">
        <f>IFERROR(__xludf.DUMMYFUNCTION("""COMPUTED_VALUE"""),"centrs")</f>
        <v>centrs</v>
      </c>
      <c r="C3394" s="2" t="str">
        <f>IFERROR(__xludf.DUMMYFUNCTION("""COMPUTED_VALUE"""),"Zvaigžņu 24")</f>
        <v>Zvaigžņu 24</v>
      </c>
      <c r="D3394" s="2">
        <f>IFERROR(__xludf.DUMMYFUNCTION("""COMPUTED_VALUE"""),2.0)</f>
        <v>2</v>
      </c>
      <c r="E3394" s="2">
        <f>IFERROR(__xludf.DUMMYFUNCTION("""COMPUTED_VALUE"""),30.0)</f>
        <v>30</v>
      </c>
      <c r="F3394" s="2">
        <f>IFERROR(__xludf.DUMMYFUNCTION("""COMPUTED_VALUE"""),4.0)</f>
        <v>4</v>
      </c>
      <c r="G3394" s="2">
        <f>IFERROR(__xludf.DUMMYFUNCTION("""COMPUTED_VALUE"""),6.0)</f>
        <v>6</v>
      </c>
      <c r="H3394" s="2" t="str">
        <f>IFERROR(__xludf.DUMMYFUNCTION("""COMPUTED_VALUE"""),"Renov.")</f>
        <v>Renov.</v>
      </c>
      <c r="I3394" s="2" t="str">
        <f>IFERROR(__xludf.DUMMYFUNCTION("""COMPUTED_VALUE"""),"Masonry")</f>
        <v>Masonry</v>
      </c>
      <c r="J3394" s="2" t="str">
        <f>IFERROR(__xludf.DUMMYFUNCTION("""COMPUTED_VALUE"""),"All amenities")</f>
        <v>All amenities</v>
      </c>
      <c r="K3394" s="2">
        <f>IFERROR(__xludf.DUMMYFUNCTION("""COMPUTED_VALUE"""),30.0)</f>
        <v>30</v>
      </c>
      <c r="L3394" s="2">
        <f>IFERROR(__xludf.DUMMYFUNCTION("""COMPUTED_VALUE"""),56.9607411)</f>
        <v>56.9607411</v>
      </c>
      <c r="M3394" s="2">
        <f>IFERROR(__xludf.DUMMYFUNCTION("""COMPUTED_VALUE"""),24.1497716)</f>
        <v>24.1497716</v>
      </c>
    </row>
    <row r="3395">
      <c r="A3395" s="2" t="str">
        <f>IFERROR(__xludf.DUMMYFUNCTION("""COMPUTED_VALUE"""),"For sale")</f>
        <v>For sale</v>
      </c>
      <c r="B3395" s="2" t="str">
        <f>IFERROR(__xludf.DUMMYFUNCTION("""COMPUTED_VALUE"""),"centrs")</f>
        <v>centrs</v>
      </c>
      <c r="C3395" s="2" t="str">
        <f>IFERROR(__xludf.DUMMYFUNCTION("""COMPUTED_VALUE"""),"Hospitāļu 33a")</f>
        <v>Hospitāļu 33a</v>
      </c>
      <c r="D3395" s="2">
        <f>IFERROR(__xludf.DUMMYFUNCTION("""COMPUTED_VALUE"""),3.0)</f>
        <v>3</v>
      </c>
      <c r="E3395" s="2">
        <f>IFERROR(__xludf.DUMMYFUNCTION("""COMPUTED_VALUE"""),63.0)</f>
        <v>63</v>
      </c>
      <c r="F3395" s="2">
        <f>IFERROR(__xludf.DUMMYFUNCTION("""COMPUTED_VALUE"""),3.0)</f>
        <v>3</v>
      </c>
      <c r="G3395" s="2">
        <f>IFERROR(__xludf.DUMMYFUNCTION("""COMPUTED_VALUE"""),3.0)</f>
        <v>3</v>
      </c>
      <c r="H3395" s="2" t="str">
        <f>IFERROR(__xludf.DUMMYFUNCTION("""COMPUTED_VALUE"""),"P. kara")</f>
        <v>P. kara</v>
      </c>
      <c r="I3395" s="2" t="str">
        <f>IFERROR(__xludf.DUMMYFUNCTION("""COMPUTED_VALUE"""),"Masonry")</f>
        <v>Masonry</v>
      </c>
      <c r="J3395" s="2" t="str">
        <f>IFERROR(__xludf.DUMMYFUNCTION("""COMPUTED_VALUE"""),"All amenities")</f>
        <v>All amenities</v>
      </c>
      <c r="K3395" s="2">
        <f>IFERROR(__xludf.DUMMYFUNCTION("""COMPUTED_VALUE"""),76000.0)</f>
        <v>76000</v>
      </c>
      <c r="L3395" s="2">
        <f>IFERROR(__xludf.DUMMYFUNCTION("""COMPUTED_VALUE"""),56.9729911999999)</f>
        <v>56.9729912</v>
      </c>
      <c r="M3395" s="2">
        <f>IFERROR(__xludf.DUMMYFUNCTION("""COMPUTED_VALUE"""),24.1372535573665)</f>
        <v>24.13725356</v>
      </c>
    </row>
    <row r="3396">
      <c r="A3396" s="2" t="str">
        <f>IFERROR(__xludf.DUMMYFUNCTION("""COMPUTED_VALUE"""),"For sale")</f>
        <v>For sale</v>
      </c>
      <c r="B3396" s="2" t="str">
        <f>IFERROR(__xludf.DUMMYFUNCTION("""COMPUTED_VALUE"""),"Āgenskalns")</f>
        <v>Āgenskalns</v>
      </c>
      <c r="C3396" s="2" t="str">
        <f>IFERROR(__xludf.DUMMYFUNCTION("""COMPUTED_VALUE"""),"Kuldīgas 32")</f>
        <v>Kuldīgas 32</v>
      </c>
      <c r="D3396" s="2">
        <f>IFERROR(__xludf.DUMMYFUNCTION("""COMPUTED_VALUE"""),2.0)</f>
        <v>2</v>
      </c>
      <c r="E3396" s="2">
        <f>IFERROR(__xludf.DUMMYFUNCTION("""COMPUTED_VALUE"""),53.0)</f>
        <v>53</v>
      </c>
      <c r="F3396" s="2">
        <f>IFERROR(__xludf.DUMMYFUNCTION("""COMPUTED_VALUE"""),4.0)</f>
        <v>4</v>
      </c>
      <c r="G3396" s="2">
        <f>IFERROR(__xludf.DUMMYFUNCTION("""COMPUTED_VALUE"""),4.0)</f>
        <v>4</v>
      </c>
      <c r="H3396" s="2" t="str">
        <f>IFERROR(__xludf.DUMMYFUNCTION("""COMPUTED_VALUE"""),"P. kara")</f>
        <v>P. kara</v>
      </c>
      <c r="I3396" s="2" t="str">
        <f>IFERROR(__xludf.DUMMYFUNCTION("""COMPUTED_VALUE"""),"Masonry")</f>
        <v>Masonry</v>
      </c>
      <c r="J3396" s="2" t="str">
        <f>IFERROR(__xludf.DUMMYFUNCTION("""COMPUTED_VALUE"""),"All amenities")</f>
        <v>All amenities</v>
      </c>
      <c r="K3396" s="2">
        <f>IFERROR(__xludf.DUMMYFUNCTION("""COMPUTED_VALUE"""),71000.0)</f>
        <v>71000</v>
      </c>
      <c r="L3396" s="2">
        <f>IFERROR(__xludf.DUMMYFUNCTION("""COMPUTED_VALUE"""),56.9474705)</f>
        <v>56.9474705</v>
      </c>
      <c r="M3396" s="2">
        <f>IFERROR(__xludf.DUMMYFUNCTION("""COMPUTED_VALUE"""),24.0604076)</f>
        <v>24.0604076</v>
      </c>
    </row>
    <row r="3397">
      <c r="A3397" s="2" t="str">
        <f>IFERROR(__xludf.DUMMYFUNCTION("""COMPUTED_VALUE"""),"For sale")</f>
        <v>For sale</v>
      </c>
      <c r="B3397" s="2" t="str">
        <f>IFERROR(__xludf.DUMMYFUNCTION("""COMPUTED_VALUE"""),"Pļavnieki")</f>
        <v>Pļavnieki</v>
      </c>
      <c r="C3397" s="2" t="str">
        <f>IFERROR(__xludf.DUMMYFUNCTION("""COMPUTED_VALUE"""),"Jasmuižas 8")</f>
        <v>Jasmuižas 8</v>
      </c>
      <c r="D3397" s="2">
        <f>IFERROR(__xludf.DUMMYFUNCTION("""COMPUTED_VALUE"""),4.0)</f>
        <v>4</v>
      </c>
      <c r="E3397" s="2">
        <f>IFERROR(__xludf.DUMMYFUNCTION("""COMPUTED_VALUE"""),80.0)</f>
        <v>80</v>
      </c>
      <c r="F3397" s="2">
        <f>IFERROR(__xludf.DUMMYFUNCTION("""COMPUTED_VALUE"""),2.0)</f>
        <v>2</v>
      </c>
      <c r="G3397" s="2">
        <f>IFERROR(__xludf.DUMMYFUNCTION("""COMPUTED_VALUE"""),9.0)</f>
        <v>9</v>
      </c>
      <c r="H3397" s="2">
        <f>IFERROR(__xludf.DUMMYFUNCTION("""COMPUTED_VALUE"""),467.0)</f>
        <v>467</v>
      </c>
      <c r="I3397" s="2" t="str">
        <f>IFERROR(__xludf.DUMMYFUNCTION("""COMPUTED_VALUE"""),"Panel")</f>
        <v>Panel</v>
      </c>
      <c r="J3397" s="2" t="str">
        <f>IFERROR(__xludf.DUMMYFUNCTION("""COMPUTED_VALUE"""),"All amenities")</f>
        <v>All amenities</v>
      </c>
      <c r="K3397" s="2">
        <f>IFERROR(__xludf.DUMMYFUNCTION("""COMPUTED_VALUE"""),68800.0)</f>
        <v>68800</v>
      </c>
      <c r="L3397" s="2">
        <f>IFERROR(__xludf.DUMMYFUNCTION("""COMPUTED_VALUE"""),56.9365587)</f>
        <v>56.9365587</v>
      </c>
      <c r="M3397" s="2">
        <f>IFERROR(__xludf.DUMMYFUNCTION("""COMPUTED_VALUE"""),24.2097776441676)</f>
        <v>24.20977764</v>
      </c>
    </row>
    <row r="3398">
      <c r="A3398" s="2" t="str">
        <f>IFERROR(__xludf.DUMMYFUNCTION("""COMPUTED_VALUE"""),"For sale")</f>
        <v>For sale</v>
      </c>
      <c r="B3398" s="2" t="str">
        <f>IFERROR(__xludf.DUMMYFUNCTION("""COMPUTED_VALUE"""),"centrs")</f>
        <v>centrs</v>
      </c>
      <c r="C3398" s="2" t="str">
        <f>IFERROR(__xludf.DUMMYFUNCTION("""COMPUTED_VALUE"""),"Valdemāra 69")</f>
        <v>Valdemāra 69</v>
      </c>
      <c r="D3398" s="2">
        <f>IFERROR(__xludf.DUMMYFUNCTION("""COMPUTED_VALUE"""),2.0)</f>
        <v>2</v>
      </c>
      <c r="E3398" s="2">
        <f>IFERROR(__xludf.DUMMYFUNCTION("""COMPUTED_VALUE"""),33.0)</f>
        <v>33</v>
      </c>
      <c r="F3398" s="2">
        <f>IFERROR(__xludf.DUMMYFUNCTION("""COMPUTED_VALUE"""),3.0)</f>
        <v>3</v>
      </c>
      <c r="G3398" s="2">
        <f>IFERROR(__xludf.DUMMYFUNCTION("""COMPUTED_VALUE"""),5.0)</f>
        <v>5</v>
      </c>
      <c r="H3398" s="2" t="str">
        <f>IFERROR(__xludf.DUMMYFUNCTION("""COMPUTED_VALUE"""),"Renov.")</f>
        <v>Renov.</v>
      </c>
      <c r="I3398" s="2" t="str">
        <f>IFERROR(__xludf.DUMMYFUNCTION("""COMPUTED_VALUE"""),"Masonry")</f>
        <v>Masonry</v>
      </c>
      <c r="J3398" s="2" t="str">
        <f>IFERROR(__xludf.DUMMYFUNCTION("""COMPUTED_VALUE"""),"All amenities")</f>
        <v>All amenities</v>
      </c>
      <c r="K3398" s="2">
        <f>IFERROR(__xludf.DUMMYFUNCTION("""COMPUTED_VALUE"""),61500.0)</f>
        <v>61500</v>
      </c>
      <c r="L3398" s="2">
        <f>IFERROR(__xludf.DUMMYFUNCTION("""COMPUTED_VALUE"""),56.9620417)</f>
        <v>56.9620417</v>
      </c>
      <c r="M3398" s="2">
        <f>IFERROR(__xludf.DUMMYFUNCTION("""COMPUTED_VALUE"""),24.1224439)</f>
        <v>24.1224439</v>
      </c>
    </row>
    <row r="3399">
      <c r="A3399" s="2" t="str">
        <f>IFERROR(__xludf.DUMMYFUNCTION("""COMPUTED_VALUE"""),"For sale")</f>
        <v>For sale</v>
      </c>
      <c r="B3399" s="2" t="str">
        <f>IFERROR(__xludf.DUMMYFUNCTION("""COMPUTED_VALUE"""),"Ķīpsala")</f>
        <v>Ķīpsala</v>
      </c>
      <c r="C3399" s="2" t="str">
        <f>IFERROR(__xludf.DUMMYFUNCTION("""COMPUTED_VALUE"""),"Ogļu 32")</f>
        <v>Ogļu 32</v>
      </c>
      <c r="D3399" s="2">
        <f>IFERROR(__xludf.DUMMYFUNCTION("""COMPUTED_VALUE"""),3.0)</f>
        <v>3</v>
      </c>
      <c r="E3399" s="2">
        <f>IFERROR(__xludf.DUMMYFUNCTION("""COMPUTED_VALUE"""),80.0)</f>
        <v>80</v>
      </c>
      <c r="F3399" s="2">
        <f>IFERROR(__xludf.DUMMYFUNCTION("""COMPUTED_VALUE"""),2.0)</f>
        <v>2</v>
      </c>
      <c r="G3399" s="2">
        <f>IFERROR(__xludf.DUMMYFUNCTION("""COMPUTED_VALUE"""),4.0)</f>
        <v>4</v>
      </c>
      <c r="H3399" s="2" t="str">
        <f>IFERROR(__xludf.DUMMYFUNCTION("""COMPUTED_VALUE"""),"Renov.")</f>
        <v>Renov.</v>
      </c>
      <c r="I3399" s="2" t="str">
        <f>IFERROR(__xludf.DUMMYFUNCTION("""COMPUTED_VALUE"""),"Masonry")</f>
        <v>Masonry</v>
      </c>
      <c r="J3399" s="2" t="str">
        <f>IFERROR(__xludf.DUMMYFUNCTION("""COMPUTED_VALUE"""),"All amenities")</f>
        <v>All amenities</v>
      </c>
      <c r="K3399" s="2">
        <f>IFERROR(__xludf.DUMMYFUNCTION("""COMPUTED_VALUE"""),260000.0)</f>
        <v>260000</v>
      </c>
      <c r="L3399" s="2">
        <f>IFERROR(__xludf.DUMMYFUNCTION("""COMPUTED_VALUE"""),56.9608406)</f>
        <v>56.9608406</v>
      </c>
      <c r="M3399" s="2">
        <f>IFERROR(__xludf.DUMMYFUNCTION("""COMPUTED_VALUE"""),24.0817647913357)</f>
        <v>24.08176479</v>
      </c>
    </row>
    <row r="3400">
      <c r="A3400" s="2" t="str">
        <f>IFERROR(__xludf.DUMMYFUNCTION("""COMPUTED_VALUE"""),"For rent")</f>
        <v>For rent</v>
      </c>
      <c r="B3400" s="2" t="str">
        <f>IFERROR(__xludf.DUMMYFUNCTION("""COMPUTED_VALUE"""),"Ķīpsala")</f>
        <v>Ķīpsala</v>
      </c>
      <c r="C3400" s="2" t="str">
        <f>IFERROR(__xludf.DUMMYFUNCTION("""COMPUTED_VALUE"""),"Ogļu 32")</f>
        <v>Ogļu 32</v>
      </c>
      <c r="D3400" s="2">
        <f>IFERROR(__xludf.DUMMYFUNCTION("""COMPUTED_VALUE"""),3.0)</f>
        <v>3</v>
      </c>
      <c r="E3400" s="2">
        <f>IFERROR(__xludf.DUMMYFUNCTION("""COMPUTED_VALUE"""),80.0)</f>
        <v>80</v>
      </c>
      <c r="F3400" s="2">
        <f>IFERROR(__xludf.DUMMYFUNCTION("""COMPUTED_VALUE"""),2.0)</f>
        <v>2</v>
      </c>
      <c r="G3400" s="2">
        <f>IFERROR(__xludf.DUMMYFUNCTION("""COMPUTED_VALUE"""),4.0)</f>
        <v>4</v>
      </c>
      <c r="H3400" s="2" t="str">
        <f>IFERROR(__xludf.DUMMYFUNCTION("""COMPUTED_VALUE"""),"Renov.")</f>
        <v>Renov.</v>
      </c>
      <c r="I3400" s="2" t="str">
        <f>IFERROR(__xludf.DUMMYFUNCTION("""COMPUTED_VALUE"""),"Masonry")</f>
        <v>Masonry</v>
      </c>
      <c r="J3400" s="2" t="str">
        <f>IFERROR(__xludf.DUMMYFUNCTION("""COMPUTED_VALUE"""),"All amenities")</f>
        <v>All amenities</v>
      </c>
      <c r="K3400" s="2">
        <f>IFERROR(__xludf.DUMMYFUNCTION("""COMPUTED_VALUE"""),1200.0)</f>
        <v>1200</v>
      </c>
      <c r="L3400" s="2">
        <f>IFERROR(__xludf.DUMMYFUNCTION("""COMPUTED_VALUE"""),56.9608406)</f>
        <v>56.9608406</v>
      </c>
      <c r="M3400" s="2">
        <f>IFERROR(__xludf.DUMMYFUNCTION("""COMPUTED_VALUE"""),24.0817647913357)</f>
        <v>24.08176479</v>
      </c>
    </row>
    <row r="3401">
      <c r="A3401" s="2" t="str">
        <f>IFERROR(__xludf.DUMMYFUNCTION("""COMPUTED_VALUE"""),"For sale")</f>
        <v>For sale</v>
      </c>
      <c r="B3401" s="2" t="str">
        <f>IFERROR(__xludf.DUMMYFUNCTION("""COMPUTED_VALUE"""),"Ķīpsala")</f>
        <v>Ķīpsala</v>
      </c>
      <c r="C3401" s="2" t="str">
        <f>IFERROR(__xludf.DUMMYFUNCTION("""COMPUTED_VALUE"""),"Ogļu 32")</f>
        <v>Ogļu 32</v>
      </c>
      <c r="D3401" s="2">
        <f>IFERROR(__xludf.DUMMYFUNCTION("""COMPUTED_VALUE"""),3.0)</f>
        <v>3</v>
      </c>
      <c r="E3401" s="2">
        <f>IFERROR(__xludf.DUMMYFUNCTION("""COMPUTED_VALUE"""),79.0)</f>
        <v>79</v>
      </c>
      <c r="F3401" s="2">
        <f>IFERROR(__xludf.DUMMYFUNCTION("""COMPUTED_VALUE"""),1.0)</f>
        <v>1</v>
      </c>
      <c r="G3401" s="2">
        <f>IFERROR(__xludf.DUMMYFUNCTION("""COMPUTED_VALUE"""),4.0)</f>
        <v>4</v>
      </c>
      <c r="H3401" s="2" t="str">
        <f>IFERROR(__xludf.DUMMYFUNCTION("""COMPUTED_VALUE"""),"P. kara")</f>
        <v>P. kara</v>
      </c>
      <c r="I3401" s="2" t="str">
        <f>IFERROR(__xludf.DUMMYFUNCTION("""COMPUTED_VALUE"""),"Masonry")</f>
        <v>Masonry</v>
      </c>
      <c r="J3401" s="2" t="str">
        <f>IFERROR(__xludf.DUMMYFUNCTION("""COMPUTED_VALUE"""),"All amenities")</f>
        <v>All amenities</v>
      </c>
      <c r="K3401" s="2">
        <f>IFERROR(__xludf.DUMMYFUNCTION("""COMPUTED_VALUE"""),265000.0)</f>
        <v>265000</v>
      </c>
      <c r="L3401" s="2">
        <f>IFERROR(__xludf.DUMMYFUNCTION("""COMPUTED_VALUE"""),56.9608406)</f>
        <v>56.9608406</v>
      </c>
      <c r="M3401" s="2">
        <f>IFERROR(__xludf.DUMMYFUNCTION("""COMPUTED_VALUE"""),24.0817647913357)</f>
        <v>24.08176479</v>
      </c>
    </row>
    <row r="3402">
      <c r="A3402" s="2" t="str">
        <f>IFERROR(__xludf.DUMMYFUNCTION("""COMPUTED_VALUE"""),"For sale")</f>
        <v>For sale</v>
      </c>
      <c r="B3402" s="2" t="str">
        <f>IFERROR(__xludf.DUMMYFUNCTION("""COMPUTED_VALUE"""),"Ķīpsala")</f>
        <v>Ķīpsala</v>
      </c>
      <c r="C3402" s="2" t="str">
        <f>IFERROR(__xludf.DUMMYFUNCTION("""COMPUTED_VALUE"""),"Ogļu 32")</f>
        <v>Ogļu 32</v>
      </c>
      <c r="D3402" s="2">
        <f>IFERROR(__xludf.DUMMYFUNCTION("""COMPUTED_VALUE"""),3.0)</f>
        <v>3</v>
      </c>
      <c r="E3402" s="2">
        <f>IFERROR(__xludf.DUMMYFUNCTION("""COMPUTED_VALUE"""),79.0)</f>
        <v>79</v>
      </c>
      <c r="F3402" s="2">
        <f>IFERROR(__xludf.DUMMYFUNCTION("""COMPUTED_VALUE"""),1.0)</f>
        <v>1</v>
      </c>
      <c r="G3402" s="2">
        <f>IFERROR(__xludf.DUMMYFUNCTION("""COMPUTED_VALUE"""),4.0)</f>
        <v>4</v>
      </c>
      <c r="H3402" s="2" t="str">
        <f>IFERROR(__xludf.DUMMYFUNCTION("""COMPUTED_VALUE"""),"P. kara")</f>
        <v>P. kara</v>
      </c>
      <c r="I3402" s="2" t="str">
        <f>IFERROR(__xludf.DUMMYFUNCTION("""COMPUTED_VALUE"""),"Masonry")</f>
        <v>Masonry</v>
      </c>
      <c r="J3402" s="2" t="str">
        <f>IFERROR(__xludf.DUMMYFUNCTION("""COMPUTED_VALUE"""),"All amenities")</f>
        <v>All amenities</v>
      </c>
      <c r="K3402" s="2">
        <f>IFERROR(__xludf.DUMMYFUNCTION("""COMPUTED_VALUE"""),260000.0)</f>
        <v>260000</v>
      </c>
      <c r="L3402" s="2">
        <f>IFERROR(__xludf.DUMMYFUNCTION("""COMPUTED_VALUE"""),56.9608406)</f>
        <v>56.9608406</v>
      </c>
      <c r="M3402" s="2">
        <f>IFERROR(__xludf.DUMMYFUNCTION("""COMPUTED_VALUE"""),24.0817647913357)</f>
        <v>24.08176479</v>
      </c>
    </row>
    <row r="3403">
      <c r="A3403" s="2" t="str">
        <f>IFERROR(__xludf.DUMMYFUNCTION("""COMPUTED_VALUE"""),"For rent")</f>
        <v>For rent</v>
      </c>
      <c r="B3403" s="2" t="str">
        <f>IFERROR(__xludf.DUMMYFUNCTION("""COMPUTED_VALUE"""),"Āgenskalns")</f>
        <v>Āgenskalns</v>
      </c>
      <c r="C3403" s="2" t="str">
        <f>IFERROR(__xludf.DUMMYFUNCTION("""COMPUTED_VALUE"""),"Rododendru 14")</f>
        <v>Rododendru 14</v>
      </c>
      <c r="D3403" s="2">
        <f>IFERROR(__xludf.DUMMYFUNCTION("""COMPUTED_VALUE"""),1.0)</f>
        <v>1</v>
      </c>
      <c r="E3403" s="2">
        <f>IFERROR(__xludf.DUMMYFUNCTION("""COMPUTED_VALUE"""),31.0)</f>
        <v>31</v>
      </c>
      <c r="F3403" s="2">
        <f>IFERROR(__xludf.DUMMYFUNCTION("""COMPUTED_VALUE"""),3.0)</f>
        <v>3</v>
      </c>
      <c r="G3403" s="2">
        <f>IFERROR(__xludf.DUMMYFUNCTION("""COMPUTED_VALUE"""),5.0)</f>
        <v>5</v>
      </c>
      <c r="H3403" s="2" t="str">
        <f>IFERROR(__xludf.DUMMYFUNCTION("""COMPUTED_VALUE"""),"Hrušč.")</f>
        <v>Hrušč.</v>
      </c>
      <c r="I3403" s="2" t="str">
        <f>IFERROR(__xludf.DUMMYFUNCTION("""COMPUTED_VALUE"""),"Brick")</f>
        <v>Brick</v>
      </c>
      <c r="J3403" s="2" t="str">
        <f>IFERROR(__xludf.DUMMYFUNCTION("""COMPUTED_VALUE"""),"All amenities")</f>
        <v>All amenities</v>
      </c>
      <c r="K3403" s="2">
        <f>IFERROR(__xludf.DUMMYFUNCTION("""COMPUTED_VALUE"""),270.0)</f>
        <v>270</v>
      </c>
      <c r="L3403" s="2">
        <f>IFERROR(__xludf.DUMMYFUNCTION("""COMPUTED_VALUE"""),56.9482215)</f>
        <v>56.9482215</v>
      </c>
      <c r="M3403" s="2">
        <f>IFERROR(__xludf.DUMMYFUNCTION("""COMPUTED_VALUE"""),24.0498008499999)</f>
        <v>24.04980085</v>
      </c>
    </row>
    <row r="3404">
      <c r="A3404" s="2" t="str">
        <f>IFERROR(__xludf.DUMMYFUNCTION("""COMPUTED_VALUE"""),"For rent")</f>
        <v>For rent</v>
      </c>
      <c r="B3404" s="2" t="str">
        <f>IFERROR(__xludf.DUMMYFUNCTION("""COMPUTED_VALUE"""),"centrs")</f>
        <v>centrs</v>
      </c>
      <c r="C3404" s="2" t="str">
        <f>IFERROR(__xludf.DUMMYFUNCTION("""COMPUTED_VALUE"""),"Hospitāļu 3")</f>
        <v>Hospitāļu 3</v>
      </c>
      <c r="D3404" s="2">
        <f>IFERROR(__xludf.DUMMYFUNCTION("""COMPUTED_VALUE"""),3.0)</f>
        <v>3</v>
      </c>
      <c r="E3404" s="2">
        <f>IFERROR(__xludf.DUMMYFUNCTION("""COMPUTED_VALUE"""),95.0)</f>
        <v>95</v>
      </c>
      <c r="F3404" s="2">
        <f>IFERROR(__xludf.DUMMYFUNCTION("""COMPUTED_VALUE"""),1.0)</f>
        <v>1</v>
      </c>
      <c r="G3404" s="2">
        <f>IFERROR(__xludf.DUMMYFUNCTION("""COMPUTED_VALUE"""),1.0)</f>
        <v>1</v>
      </c>
      <c r="H3404" s="2" t="str">
        <f>IFERROR(__xludf.DUMMYFUNCTION("""COMPUTED_VALUE"""),"P. kara")</f>
        <v>P. kara</v>
      </c>
      <c r="I3404" s="2" t="str">
        <f>IFERROR(__xludf.DUMMYFUNCTION("""COMPUTED_VALUE"""),"Brick")</f>
        <v>Brick</v>
      </c>
      <c r="J3404" s="2" t="str">
        <f>IFERROR(__xludf.DUMMYFUNCTION("""COMPUTED_VALUE"""),"All amenities")</f>
        <v>All amenities</v>
      </c>
      <c r="K3404" s="2">
        <f>IFERROR(__xludf.DUMMYFUNCTION("""COMPUTED_VALUE"""),40.0)</f>
        <v>40</v>
      </c>
      <c r="L3404" s="2">
        <f>IFERROR(__xludf.DUMMYFUNCTION("""COMPUTED_VALUE"""),56.9694194)</f>
        <v>56.9694194</v>
      </c>
      <c r="M3404" s="2">
        <f>IFERROR(__xludf.DUMMYFUNCTION("""COMPUTED_VALUE"""),24.13457735)</f>
        <v>24.13457735</v>
      </c>
    </row>
    <row r="3405">
      <c r="A3405" s="2" t="str">
        <f>IFERROR(__xludf.DUMMYFUNCTION("""COMPUTED_VALUE"""),"For sale")</f>
        <v>For sale</v>
      </c>
      <c r="B3405" s="2" t="str">
        <f>IFERROR(__xludf.DUMMYFUNCTION("""COMPUTED_VALUE"""),"Klīversala")</f>
        <v>Klīversala</v>
      </c>
      <c r="C3405" s="2" t="str">
        <f>IFERROR(__xludf.DUMMYFUNCTION("""COMPUTED_VALUE"""),"St. Rusas 8")</f>
        <v>St. Rusas 8</v>
      </c>
      <c r="D3405" s="2">
        <f>IFERROR(__xludf.DUMMYFUNCTION("""COMPUTED_VALUE"""),2.0)</f>
        <v>2</v>
      </c>
      <c r="E3405" s="2">
        <f>IFERROR(__xludf.DUMMYFUNCTION("""COMPUTED_VALUE"""),62.0)</f>
        <v>62</v>
      </c>
      <c r="F3405" s="2">
        <f>IFERROR(__xludf.DUMMYFUNCTION("""COMPUTED_VALUE"""),5.0)</f>
        <v>5</v>
      </c>
      <c r="G3405" s="2">
        <f>IFERROR(__xludf.DUMMYFUNCTION("""COMPUTED_VALUE"""),5.0)</f>
        <v>5</v>
      </c>
      <c r="H3405" s="2" t="str">
        <f>IFERROR(__xludf.DUMMYFUNCTION("""COMPUTED_VALUE"""),"Jaun.")</f>
        <v>Jaun.</v>
      </c>
      <c r="I3405" s="2" t="str">
        <f>IFERROR(__xludf.DUMMYFUNCTION("""COMPUTED_VALUE"""),"Masonry")</f>
        <v>Masonry</v>
      </c>
      <c r="J3405" s="2" t="str">
        <f>IFERROR(__xludf.DUMMYFUNCTION("""COMPUTED_VALUE"""),"All amenities")</f>
        <v>All amenities</v>
      </c>
      <c r="K3405" s="2">
        <f>IFERROR(__xludf.DUMMYFUNCTION("""COMPUTED_VALUE"""),129000.0)</f>
        <v>129000</v>
      </c>
      <c r="L3405" s="2">
        <f>IFERROR(__xludf.DUMMYFUNCTION("""COMPUTED_VALUE"""),56.9429655)</f>
        <v>56.9429655</v>
      </c>
      <c r="M3405" s="2">
        <f>IFERROR(__xludf.DUMMYFUNCTION("""COMPUTED_VALUE"""),24.0959221)</f>
        <v>24.0959221</v>
      </c>
    </row>
    <row r="3406">
      <c r="A3406" s="2" t="str">
        <f>IFERROR(__xludf.DUMMYFUNCTION("""COMPUTED_VALUE"""),"For sale")</f>
        <v>For sale</v>
      </c>
      <c r="B3406" s="2" t="str">
        <f>IFERROR(__xludf.DUMMYFUNCTION("""COMPUTED_VALUE"""),"centrs")</f>
        <v>centrs</v>
      </c>
      <c r="C3406" s="2" t="str">
        <f>IFERROR(__xludf.DUMMYFUNCTION("""COMPUTED_VALUE"""),"Blaumaņa 34")</f>
        <v>Blaumaņa 34</v>
      </c>
      <c r="D3406" s="2">
        <f>IFERROR(__xludf.DUMMYFUNCTION("""COMPUTED_VALUE"""),4.0)</f>
        <v>4</v>
      </c>
      <c r="E3406" s="2">
        <f>IFERROR(__xludf.DUMMYFUNCTION("""COMPUTED_VALUE"""),64.0)</f>
        <v>64</v>
      </c>
      <c r="F3406" s="2">
        <f>IFERROR(__xludf.DUMMYFUNCTION("""COMPUTED_VALUE"""),1.0)</f>
        <v>1</v>
      </c>
      <c r="G3406" s="2">
        <f>IFERROR(__xludf.DUMMYFUNCTION("""COMPUTED_VALUE"""),3.0)</f>
        <v>3</v>
      </c>
      <c r="H3406" s="2" t="str">
        <f>IFERROR(__xludf.DUMMYFUNCTION("""COMPUTED_VALUE"""),"Renov.")</f>
        <v>Renov.</v>
      </c>
      <c r="I3406" s="2" t="str">
        <f>IFERROR(__xludf.DUMMYFUNCTION("""COMPUTED_VALUE"""),"Masonry")</f>
        <v>Masonry</v>
      </c>
      <c r="J3406" s="2" t="str">
        <f>IFERROR(__xludf.DUMMYFUNCTION("""COMPUTED_VALUE"""),"All amenities")</f>
        <v>All amenities</v>
      </c>
      <c r="K3406" s="2">
        <f>IFERROR(__xludf.DUMMYFUNCTION("""COMPUTED_VALUE"""),99200.0)</f>
        <v>99200</v>
      </c>
      <c r="L3406" s="2">
        <f>IFERROR(__xludf.DUMMYFUNCTION("""COMPUTED_VALUE"""),56.9518761)</f>
        <v>56.9518761</v>
      </c>
      <c r="M3406" s="2">
        <f>IFERROR(__xludf.DUMMYFUNCTION("""COMPUTED_VALUE"""),24.1257094)</f>
        <v>24.1257094</v>
      </c>
    </row>
    <row r="3407">
      <c r="A3407" s="2" t="str">
        <f>IFERROR(__xludf.DUMMYFUNCTION("""COMPUTED_VALUE"""),"For sale")</f>
        <v>For sale</v>
      </c>
      <c r="B3407" s="2" t="str">
        <f>IFERROR(__xludf.DUMMYFUNCTION("""COMPUTED_VALUE"""),"Jugla")</f>
        <v>Jugla</v>
      </c>
      <c r="C3407" s="2" t="str">
        <f>IFERROR(__xludf.DUMMYFUNCTION("""COMPUTED_VALUE"""),"Juglas 41")</f>
        <v>Juglas 41</v>
      </c>
      <c r="D3407" s="2">
        <f>IFERROR(__xludf.DUMMYFUNCTION("""COMPUTED_VALUE"""),2.0)</f>
        <v>2</v>
      </c>
      <c r="E3407" s="2">
        <f>IFERROR(__xludf.DUMMYFUNCTION("""COMPUTED_VALUE"""),46.0)</f>
        <v>46</v>
      </c>
      <c r="F3407" s="2">
        <f>IFERROR(__xludf.DUMMYFUNCTION("""COMPUTED_VALUE"""),1.0)</f>
        <v>1</v>
      </c>
      <c r="G3407" s="2">
        <f>IFERROR(__xludf.DUMMYFUNCTION("""COMPUTED_VALUE"""),5.0)</f>
        <v>5</v>
      </c>
      <c r="H3407" s="2" t="str">
        <f>IFERROR(__xludf.DUMMYFUNCTION("""COMPUTED_VALUE"""),"LT proj.")</f>
        <v>LT proj.</v>
      </c>
      <c r="I3407" s="2" t="str">
        <f>IFERROR(__xludf.DUMMYFUNCTION("""COMPUTED_VALUE"""),"Panel")</f>
        <v>Panel</v>
      </c>
      <c r="J3407" s="2" t="str">
        <f>IFERROR(__xludf.DUMMYFUNCTION("""COMPUTED_VALUE"""),"All amenities")</f>
        <v>All amenities</v>
      </c>
      <c r="K3407" s="2">
        <f>IFERROR(__xludf.DUMMYFUNCTION("""COMPUTED_VALUE"""),51000.0)</f>
        <v>51000</v>
      </c>
      <c r="L3407" s="2">
        <f>IFERROR(__xludf.DUMMYFUNCTION("""COMPUTED_VALUE"""),56.97962215)</f>
        <v>56.97962215</v>
      </c>
      <c r="M3407" s="2">
        <f>IFERROR(__xludf.DUMMYFUNCTION("""COMPUTED_VALUE"""),24.253031)</f>
        <v>24.253031</v>
      </c>
    </row>
    <row r="3408">
      <c r="A3408" s="2" t="str">
        <f>IFERROR(__xludf.DUMMYFUNCTION("""COMPUTED_VALUE"""),"For rent")</f>
        <v>For rent</v>
      </c>
      <c r="B3408" s="2" t="str">
        <f>IFERROR(__xludf.DUMMYFUNCTION("""COMPUTED_VALUE"""),"Imanta")</f>
        <v>Imanta</v>
      </c>
      <c r="C3408" s="2" t="str">
        <f>IFERROR(__xludf.DUMMYFUNCTION("""COMPUTED_VALUE"""),"Anniņmuižas bulvāris 41")</f>
        <v>Anniņmuižas bulvāris 41</v>
      </c>
      <c r="D3408" s="2">
        <f>IFERROR(__xludf.DUMMYFUNCTION("""COMPUTED_VALUE"""),2.0)</f>
        <v>2</v>
      </c>
      <c r="E3408" s="2">
        <f>IFERROR(__xludf.DUMMYFUNCTION("""COMPUTED_VALUE"""),55.0)</f>
        <v>55</v>
      </c>
      <c r="F3408" s="2">
        <f>IFERROR(__xludf.DUMMYFUNCTION("""COMPUTED_VALUE"""),2.0)</f>
        <v>2</v>
      </c>
      <c r="G3408" s="2">
        <f>IFERROR(__xludf.DUMMYFUNCTION("""COMPUTED_VALUE"""),24.0)</f>
        <v>24</v>
      </c>
      <c r="H3408" s="2" t="str">
        <f>IFERROR(__xludf.DUMMYFUNCTION("""COMPUTED_VALUE"""),"Specpr.")</f>
        <v>Specpr.</v>
      </c>
      <c r="I3408" s="2" t="str">
        <f>IFERROR(__xludf.DUMMYFUNCTION("""COMPUTED_VALUE"""),"Brick-Panel")</f>
        <v>Brick-Panel</v>
      </c>
      <c r="J3408" s="2" t="str">
        <f>IFERROR(__xludf.DUMMYFUNCTION("""COMPUTED_VALUE"""),"All amenities")</f>
        <v>All amenities</v>
      </c>
      <c r="K3408" s="2">
        <f>IFERROR(__xludf.DUMMYFUNCTION("""COMPUTED_VALUE"""),450.0)</f>
        <v>450</v>
      </c>
      <c r="L3408" s="2">
        <f>IFERROR(__xludf.DUMMYFUNCTION("""COMPUTED_VALUE"""),56.95959205)</f>
        <v>56.95959205</v>
      </c>
      <c r="M3408" s="2">
        <f>IFERROR(__xludf.DUMMYFUNCTION("""COMPUTED_VALUE"""),24.0147522499219)</f>
        <v>24.01475225</v>
      </c>
    </row>
    <row r="3409">
      <c r="A3409" s="2" t="str">
        <f>IFERROR(__xludf.DUMMYFUNCTION("""COMPUTED_VALUE"""),"For sale")</f>
        <v>For sale</v>
      </c>
      <c r="B3409" s="2" t="str">
        <f>IFERROR(__xludf.DUMMYFUNCTION("""COMPUTED_VALUE"""),"Iļģuciems")</f>
        <v>Iļģuciems</v>
      </c>
      <c r="C3409" s="2" t="str">
        <f>IFERROR(__xludf.DUMMYFUNCTION("""COMPUTED_VALUE"""),"Riekstu 7")</f>
        <v>Riekstu 7</v>
      </c>
      <c r="D3409" s="2">
        <f>IFERROR(__xludf.DUMMYFUNCTION("""COMPUTED_VALUE"""),1.0)</f>
        <v>1</v>
      </c>
      <c r="E3409" s="2">
        <f>IFERROR(__xludf.DUMMYFUNCTION("""COMPUTED_VALUE"""),35.0)</f>
        <v>35</v>
      </c>
      <c r="F3409" s="2">
        <f>IFERROR(__xludf.DUMMYFUNCTION("""COMPUTED_VALUE"""),1.0)</f>
        <v>1</v>
      </c>
      <c r="G3409" s="2">
        <f>IFERROR(__xludf.DUMMYFUNCTION("""COMPUTED_VALUE"""),5.0)</f>
        <v>5</v>
      </c>
      <c r="H3409" s="2" t="str">
        <f>IFERROR(__xludf.DUMMYFUNCTION("""COMPUTED_VALUE"""),"M. ģim.")</f>
        <v>M. ģim.</v>
      </c>
      <c r="I3409" s="2" t="str">
        <f>IFERROR(__xludf.DUMMYFUNCTION("""COMPUTED_VALUE"""),"Panel")</f>
        <v>Panel</v>
      </c>
      <c r="J3409" s="2" t="str">
        <f>IFERROR(__xludf.DUMMYFUNCTION("""COMPUTED_VALUE"""),"All amenities")</f>
        <v>All amenities</v>
      </c>
      <c r="K3409" s="2">
        <f>IFERROR(__xludf.DUMMYFUNCTION("""COMPUTED_VALUE"""),28000.0)</f>
        <v>28000</v>
      </c>
      <c r="L3409" s="2">
        <f>IFERROR(__xludf.DUMMYFUNCTION("""COMPUTED_VALUE"""),56.9683462)</f>
        <v>56.9683462</v>
      </c>
      <c r="M3409" s="2">
        <f>IFERROR(__xludf.DUMMYFUNCTION("""COMPUTED_VALUE"""),24.0696407155396)</f>
        <v>24.06964072</v>
      </c>
    </row>
    <row r="3410">
      <c r="A3410" s="2" t="str">
        <f>IFERROR(__xludf.DUMMYFUNCTION("""COMPUTED_VALUE"""),"For sale")</f>
        <v>For sale</v>
      </c>
      <c r="B3410" s="2" t="str">
        <f>IFERROR(__xludf.DUMMYFUNCTION("""COMPUTED_VALUE"""),"Dārzciems")</f>
        <v>Dārzciems</v>
      </c>
      <c r="C3410" s="2" t="str">
        <f>IFERROR(__xludf.DUMMYFUNCTION("""COMPUTED_VALUE"""),"Slāvu 23a")</f>
        <v>Slāvu 23a</v>
      </c>
      <c r="D3410" s="2">
        <f>IFERROR(__xludf.DUMMYFUNCTION("""COMPUTED_VALUE"""),3.0)</f>
        <v>3</v>
      </c>
      <c r="E3410" s="2">
        <f>IFERROR(__xludf.DUMMYFUNCTION("""COMPUTED_VALUE"""),62.0)</f>
        <v>62</v>
      </c>
      <c r="F3410" s="2">
        <f>IFERROR(__xludf.DUMMYFUNCTION("""COMPUTED_VALUE"""),3.0)</f>
        <v>3</v>
      </c>
      <c r="G3410" s="2">
        <f>IFERROR(__xludf.DUMMYFUNCTION("""COMPUTED_VALUE"""),9.0)</f>
        <v>9</v>
      </c>
      <c r="H3410" s="2">
        <f>IFERROR(__xludf.DUMMYFUNCTION("""COMPUTED_VALUE"""),602.0)</f>
        <v>602</v>
      </c>
      <c r="I3410" s="2" t="str">
        <f>IFERROR(__xludf.DUMMYFUNCTION("""COMPUTED_VALUE"""),"Panel")</f>
        <v>Panel</v>
      </c>
      <c r="J3410" s="2" t="str">
        <f>IFERROR(__xludf.DUMMYFUNCTION("""COMPUTED_VALUE"""),"All amenities")</f>
        <v>All amenities</v>
      </c>
      <c r="K3410" s="2">
        <f>IFERROR(__xludf.DUMMYFUNCTION("""COMPUTED_VALUE"""),57000.0)</f>
        <v>57000</v>
      </c>
      <c r="L3410" s="2">
        <f>IFERROR(__xludf.DUMMYFUNCTION("""COMPUTED_VALUE"""),56.93115325)</f>
        <v>56.93115325</v>
      </c>
      <c r="M3410" s="2">
        <f>IFERROR(__xludf.DUMMYFUNCTION("""COMPUTED_VALUE"""),24.1775645554618)</f>
        <v>24.17756456</v>
      </c>
    </row>
    <row r="3411">
      <c r="A3411" s="2" t="str">
        <f>IFERROR(__xludf.DUMMYFUNCTION("""COMPUTED_VALUE"""),"For rent")</f>
        <v>For rent</v>
      </c>
      <c r="B3411" s="2" t="str">
        <f>IFERROR(__xludf.DUMMYFUNCTION("""COMPUTED_VALUE"""),"Šampēteris-Pleskodāle")</f>
        <v>Šampēteris-Pleskodāle</v>
      </c>
      <c r="C3411" s="2" t="str">
        <f>IFERROR(__xludf.DUMMYFUNCTION("""COMPUTED_VALUE"""),"Lielirbes 13")</f>
        <v>Lielirbes 13</v>
      </c>
      <c r="D3411" s="2">
        <f>IFERROR(__xludf.DUMMYFUNCTION("""COMPUTED_VALUE"""),3.0)</f>
        <v>3</v>
      </c>
      <c r="E3411" s="2">
        <f>IFERROR(__xludf.DUMMYFUNCTION("""COMPUTED_VALUE"""),90.0)</f>
        <v>90</v>
      </c>
      <c r="F3411" s="2">
        <f>IFERROR(__xludf.DUMMYFUNCTION("""COMPUTED_VALUE"""),15.0)</f>
        <v>15</v>
      </c>
      <c r="G3411" s="2">
        <f>IFERROR(__xludf.DUMMYFUNCTION("""COMPUTED_VALUE"""),30.0)</f>
        <v>30</v>
      </c>
      <c r="H3411" s="2" t="str">
        <f>IFERROR(__xludf.DUMMYFUNCTION("""COMPUTED_VALUE"""),"Jaun.")</f>
        <v>Jaun.</v>
      </c>
      <c r="I3411" s="2" t="str">
        <f>IFERROR(__xludf.DUMMYFUNCTION("""COMPUTED_VALUE"""),"Brick-Panel")</f>
        <v>Brick-Panel</v>
      </c>
      <c r="J3411" s="2" t="str">
        <f>IFERROR(__xludf.DUMMYFUNCTION("""COMPUTED_VALUE"""),"All amenities")</f>
        <v>All amenities</v>
      </c>
      <c r="K3411" s="2">
        <f>IFERROR(__xludf.DUMMYFUNCTION("""COMPUTED_VALUE"""),650.0)</f>
        <v>650</v>
      </c>
      <c r="L3411" s="2">
        <f>IFERROR(__xludf.DUMMYFUNCTION("""COMPUTED_VALUE"""),56.9334996)</f>
        <v>56.9334996</v>
      </c>
      <c r="M3411" s="2">
        <f>IFERROR(__xludf.DUMMYFUNCTION("""COMPUTED_VALUE"""),24.0424848)</f>
        <v>24.0424848</v>
      </c>
    </row>
    <row r="3412">
      <c r="A3412" s="2" t="str">
        <f>IFERROR(__xludf.DUMMYFUNCTION("""COMPUTED_VALUE"""),"For sale")</f>
        <v>For sale</v>
      </c>
      <c r="B3412" s="2" t="str">
        <f>IFERROR(__xludf.DUMMYFUNCTION("""COMPUTED_VALUE"""),"Vecmīlgrāvis")</f>
        <v>Vecmīlgrāvis</v>
      </c>
      <c r="C3412" s="2" t="str">
        <f>IFERROR(__xludf.DUMMYFUNCTION("""COMPUTED_VALUE"""),"Vecmīlgrāvja 9")</f>
        <v>Vecmīlgrāvja 9</v>
      </c>
      <c r="D3412" s="2">
        <f>IFERROR(__xludf.DUMMYFUNCTION("""COMPUTED_VALUE"""),2.0)</f>
        <v>2</v>
      </c>
      <c r="E3412" s="2">
        <f>IFERROR(__xludf.DUMMYFUNCTION("""COMPUTED_VALUE"""),41.0)</f>
        <v>41</v>
      </c>
      <c r="F3412" s="2">
        <f>IFERROR(__xludf.DUMMYFUNCTION("""COMPUTED_VALUE"""),2.0)</f>
        <v>2</v>
      </c>
      <c r="G3412" s="2">
        <f>IFERROR(__xludf.DUMMYFUNCTION("""COMPUTED_VALUE"""),4.0)</f>
        <v>4</v>
      </c>
      <c r="H3412" s="2" t="str">
        <f>IFERROR(__xludf.DUMMYFUNCTION("""COMPUTED_VALUE"""),"Hrušč.")</f>
        <v>Hrušč.</v>
      </c>
      <c r="I3412" s="2" t="str">
        <f>IFERROR(__xludf.DUMMYFUNCTION("""COMPUTED_VALUE"""),"Brick")</f>
        <v>Brick</v>
      </c>
      <c r="J3412" s="2" t="str">
        <f>IFERROR(__xludf.DUMMYFUNCTION("""COMPUTED_VALUE"""),"All amenities")</f>
        <v>All amenities</v>
      </c>
      <c r="K3412" s="2">
        <f>IFERROR(__xludf.DUMMYFUNCTION("""COMPUTED_VALUE"""),36900.0)</f>
        <v>36900</v>
      </c>
      <c r="L3412" s="2">
        <f>IFERROR(__xludf.DUMMYFUNCTION("""COMPUTED_VALUE"""),57.0294913)</f>
        <v>57.0294913</v>
      </c>
      <c r="M3412" s="2">
        <f>IFERROR(__xludf.DUMMYFUNCTION("""COMPUTED_VALUE"""),24.1170731499999)</f>
        <v>24.11707315</v>
      </c>
    </row>
    <row r="3413">
      <c r="A3413" s="2" t="str">
        <f>IFERROR(__xludf.DUMMYFUNCTION("""COMPUTED_VALUE"""),"For sale")</f>
        <v>For sale</v>
      </c>
      <c r="B3413" s="2" t="str">
        <f>IFERROR(__xludf.DUMMYFUNCTION("""COMPUTED_VALUE"""),"Iļģuciems")</f>
        <v>Iļģuciems</v>
      </c>
      <c r="C3413" s="2" t="str">
        <f>IFERROR(__xludf.DUMMYFUNCTION("""COMPUTED_VALUE"""),"Buļļu 35 a")</f>
        <v>Buļļu 35 a</v>
      </c>
      <c r="D3413" s="2">
        <f>IFERROR(__xludf.DUMMYFUNCTION("""COMPUTED_VALUE"""),2.0)</f>
        <v>2</v>
      </c>
      <c r="E3413" s="2">
        <f>IFERROR(__xludf.DUMMYFUNCTION("""COMPUTED_VALUE"""),49.0)</f>
        <v>49</v>
      </c>
      <c r="F3413" s="2">
        <f>IFERROR(__xludf.DUMMYFUNCTION("""COMPUTED_VALUE"""),3.0)</f>
        <v>3</v>
      </c>
      <c r="G3413" s="2">
        <f>IFERROR(__xludf.DUMMYFUNCTION("""COMPUTED_VALUE"""),5.0)</f>
        <v>5</v>
      </c>
      <c r="H3413" s="2" t="str">
        <f>IFERROR(__xludf.DUMMYFUNCTION("""COMPUTED_VALUE"""),"LT proj.")</f>
        <v>LT proj.</v>
      </c>
      <c r="I3413" s="2" t="str">
        <f>IFERROR(__xludf.DUMMYFUNCTION("""COMPUTED_VALUE"""),"Panel")</f>
        <v>Panel</v>
      </c>
      <c r="J3413" s="2" t="str">
        <f>IFERROR(__xludf.DUMMYFUNCTION("""COMPUTED_VALUE"""),"All amenities")</f>
        <v>All amenities</v>
      </c>
      <c r="K3413" s="2">
        <f>IFERROR(__xludf.DUMMYFUNCTION("""COMPUTED_VALUE"""),44000.0)</f>
        <v>44000</v>
      </c>
      <c r="L3413" s="2">
        <f>IFERROR(__xludf.DUMMYFUNCTION("""COMPUTED_VALUE"""),56.965298)</f>
        <v>56.965298</v>
      </c>
      <c r="M3413" s="2">
        <f>IFERROR(__xludf.DUMMYFUNCTION("""COMPUTED_VALUE"""),24.0573721)</f>
        <v>24.0573721</v>
      </c>
    </row>
    <row r="3414">
      <c r="A3414" s="2" t="str">
        <f>IFERROR(__xludf.DUMMYFUNCTION("""COMPUTED_VALUE"""),"For sale")</f>
        <v>For sale</v>
      </c>
      <c r="B3414" s="2" t="str">
        <f>IFERROR(__xludf.DUMMYFUNCTION("""COMPUTED_VALUE"""),"Maskavas priekšpilsēta")</f>
        <v>Maskavas priekšpilsēta</v>
      </c>
      <c r="C3414" s="2" t="str">
        <f>IFERROR(__xludf.DUMMYFUNCTION("""COMPUTED_VALUE"""),"Maskavas 69")</f>
        <v>Maskavas 69</v>
      </c>
      <c r="D3414" s="2">
        <f>IFERROR(__xludf.DUMMYFUNCTION("""COMPUTED_VALUE"""),2.0)</f>
        <v>2</v>
      </c>
      <c r="E3414" s="2">
        <f>IFERROR(__xludf.DUMMYFUNCTION("""COMPUTED_VALUE"""),45.0)</f>
        <v>45</v>
      </c>
      <c r="F3414" s="2">
        <f>IFERROR(__xludf.DUMMYFUNCTION("""COMPUTED_VALUE"""),5.0)</f>
        <v>5</v>
      </c>
      <c r="G3414" s="2">
        <f>IFERROR(__xludf.DUMMYFUNCTION("""COMPUTED_VALUE"""),5.0)</f>
        <v>5</v>
      </c>
      <c r="H3414" s="2" t="str">
        <f>IFERROR(__xludf.DUMMYFUNCTION("""COMPUTED_VALUE"""),"P. kara")</f>
        <v>P. kara</v>
      </c>
      <c r="I3414" s="2" t="str">
        <f>IFERROR(__xludf.DUMMYFUNCTION("""COMPUTED_VALUE"""),"Masonry")</f>
        <v>Masonry</v>
      </c>
      <c r="J3414" s="2" t="str">
        <f>IFERROR(__xludf.DUMMYFUNCTION("""COMPUTED_VALUE"""),"All amenities")</f>
        <v>All amenities</v>
      </c>
      <c r="K3414" s="2">
        <f>IFERROR(__xludf.DUMMYFUNCTION("""COMPUTED_VALUE"""),53900.0)</f>
        <v>53900</v>
      </c>
      <c r="L3414" s="2">
        <f>IFERROR(__xludf.DUMMYFUNCTION("""COMPUTED_VALUE"""),56.8597884)</f>
        <v>56.8597884</v>
      </c>
      <c r="M3414" s="2">
        <f>IFERROR(__xludf.DUMMYFUNCTION("""COMPUTED_VALUE"""),24.3083417)</f>
        <v>24.3083417</v>
      </c>
    </row>
    <row r="3415">
      <c r="A3415" s="2" t="str">
        <f>IFERROR(__xludf.DUMMYFUNCTION("""COMPUTED_VALUE"""),"For sale")</f>
        <v>For sale</v>
      </c>
      <c r="B3415" s="2" t="str">
        <f>IFERROR(__xludf.DUMMYFUNCTION("""COMPUTED_VALUE"""),"Zolitūde")</f>
        <v>Zolitūde</v>
      </c>
      <c r="C3415" s="2" t="str">
        <f>IFERROR(__xludf.DUMMYFUNCTION("""COMPUTED_VALUE"""),"Zolitūdes 75 k-3")</f>
        <v>Zolitūdes 75 k-3</v>
      </c>
      <c r="D3415" s="2">
        <f>IFERROR(__xludf.DUMMYFUNCTION("""COMPUTED_VALUE"""),2.0)</f>
        <v>2</v>
      </c>
      <c r="E3415" s="2">
        <f>IFERROR(__xludf.DUMMYFUNCTION("""COMPUTED_VALUE"""),75.0)</f>
        <v>75</v>
      </c>
      <c r="F3415" s="2">
        <f>IFERROR(__xludf.DUMMYFUNCTION("""COMPUTED_VALUE"""),3.0)</f>
        <v>3</v>
      </c>
      <c r="G3415" s="2">
        <f>IFERROR(__xludf.DUMMYFUNCTION("""COMPUTED_VALUE"""),6.0)</f>
        <v>6</v>
      </c>
      <c r="H3415" s="2" t="str">
        <f>IFERROR(__xludf.DUMMYFUNCTION("""COMPUTED_VALUE"""),"Jaun.")</f>
        <v>Jaun.</v>
      </c>
      <c r="I3415" s="2" t="str">
        <f>IFERROR(__xludf.DUMMYFUNCTION("""COMPUTED_VALUE"""),"Brick-Panel")</f>
        <v>Brick-Panel</v>
      </c>
      <c r="J3415" s="2" t="str">
        <f>IFERROR(__xludf.DUMMYFUNCTION("""COMPUTED_VALUE"""),"All amenities")</f>
        <v>All amenities</v>
      </c>
      <c r="K3415" s="2">
        <f>IFERROR(__xludf.DUMMYFUNCTION("""COMPUTED_VALUE"""),115000.0)</f>
        <v>115000</v>
      </c>
      <c r="L3415" s="2">
        <f>IFERROR(__xludf.DUMMYFUNCTION("""COMPUTED_VALUE"""),56.9413782)</f>
        <v>56.9413782</v>
      </c>
      <c r="M3415" s="2">
        <f>IFERROR(__xludf.DUMMYFUNCTION("""COMPUTED_VALUE"""),24.0044925265813)</f>
        <v>24.00449253</v>
      </c>
    </row>
    <row r="3416">
      <c r="A3416" s="2" t="str">
        <f>IFERROR(__xludf.DUMMYFUNCTION("""COMPUTED_VALUE"""),"For sale")</f>
        <v>For sale</v>
      </c>
      <c r="B3416" s="2" t="str">
        <f>IFERROR(__xludf.DUMMYFUNCTION("""COMPUTED_VALUE"""),"Āgenskalns")</f>
        <v>Āgenskalns</v>
      </c>
      <c r="C3416" s="2" t="str">
        <f>IFERROR(__xludf.DUMMYFUNCTION("""COMPUTED_VALUE"""),"Melnsila 21")</f>
        <v>Melnsila 21</v>
      </c>
      <c r="D3416" s="2">
        <f>IFERROR(__xludf.DUMMYFUNCTION("""COMPUTED_VALUE"""),2.0)</f>
        <v>2</v>
      </c>
      <c r="E3416" s="2">
        <f>IFERROR(__xludf.DUMMYFUNCTION("""COMPUTED_VALUE"""),41.15)</f>
        <v>41.15</v>
      </c>
      <c r="F3416" s="2">
        <f>IFERROR(__xludf.DUMMYFUNCTION("""COMPUTED_VALUE"""),2.0)</f>
        <v>2</v>
      </c>
      <c r="G3416" s="2">
        <f>IFERROR(__xludf.DUMMYFUNCTION("""COMPUTED_VALUE"""),5.0)</f>
        <v>5</v>
      </c>
      <c r="H3416" s="2" t="str">
        <f>IFERROR(__xludf.DUMMYFUNCTION("""COMPUTED_VALUE"""),"Hrušč.")</f>
        <v>Hrušč.</v>
      </c>
      <c r="I3416" s="2" t="str">
        <f>IFERROR(__xludf.DUMMYFUNCTION("""COMPUTED_VALUE"""),"Brick")</f>
        <v>Brick</v>
      </c>
      <c r="J3416" s="2" t="str">
        <f>IFERROR(__xludf.DUMMYFUNCTION("""COMPUTED_VALUE"""),"All amenities")</f>
        <v>All amenities</v>
      </c>
      <c r="K3416" s="2">
        <f>IFERROR(__xludf.DUMMYFUNCTION("""COMPUTED_VALUE"""),43000.0)</f>
        <v>43000</v>
      </c>
      <c r="L3416" s="2">
        <f>IFERROR(__xludf.DUMMYFUNCTION("""COMPUTED_VALUE"""),56.9446708)</f>
        <v>56.9446708</v>
      </c>
      <c r="M3416" s="2">
        <f>IFERROR(__xludf.DUMMYFUNCTION("""COMPUTED_VALUE"""),24.0645472015035)</f>
        <v>24.0645472</v>
      </c>
    </row>
    <row r="3417">
      <c r="A3417" s="2" t="str">
        <f>IFERROR(__xludf.DUMMYFUNCTION("""COMPUTED_VALUE"""),"For sale")</f>
        <v>For sale</v>
      </c>
      <c r="B3417" s="2" t="str">
        <f>IFERROR(__xludf.DUMMYFUNCTION("""COMPUTED_VALUE"""),"Zolitūde")</f>
        <v>Zolitūde</v>
      </c>
      <c r="C3417" s="2" t="str">
        <f>IFERROR(__xludf.DUMMYFUNCTION("""COMPUTED_VALUE"""),"Ruses 3")</f>
        <v>Ruses 3</v>
      </c>
      <c r="D3417" s="2">
        <f>IFERROR(__xludf.DUMMYFUNCTION("""COMPUTED_VALUE"""),3.0)</f>
        <v>3</v>
      </c>
      <c r="E3417" s="2">
        <f>IFERROR(__xludf.DUMMYFUNCTION("""COMPUTED_VALUE"""),75.0)</f>
        <v>75</v>
      </c>
      <c r="F3417" s="2">
        <f>IFERROR(__xludf.DUMMYFUNCTION("""COMPUTED_VALUE"""),4.0)</f>
        <v>4</v>
      </c>
      <c r="G3417" s="2">
        <f>IFERROR(__xludf.DUMMYFUNCTION("""COMPUTED_VALUE"""),9.0)</f>
        <v>9</v>
      </c>
      <c r="H3417" s="2">
        <f>IFERROR(__xludf.DUMMYFUNCTION("""COMPUTED_VALUE"""),119.0)</f>
        <v>119</v>
      </c>
      <c r="I3417" s="2" t="str">
        <f>IFERROR(__xludf.DUMMYFUNCTION("""COMPUTED_VALUE"""),"Panel")</f>
        <v>Panel</v>
      </c>
      <c r="J3417" s="2" t="str">
        <f>IFERROR(__xludf.DUMMYFUNCTION("""COMPUTED_VALUE"""),"All amenities")</f>
        <v>All amenities</v>
      </c>
      <c r="K3417" s="2">
        <f>IFERROR(__xludf.DUMMYFUNCTION("""COMPUTED_VALUE"""),63000.0)</f>
        <v>63000</v>
      </c>
      <c r="L3417" s="2">
        <f>IFERROR(__xludf.DUMMYFUNCTION("""COMPUTED_VALUE"""),56.9484028)</f>
        <v>56.9484028</v>
      </c>
      <c r="M3417" s="2">
        <f>IFERROR(__xludf.DUMMYFUNCTION("""COMPUTED_VALUE"""),24.0020688644395)</f>
        <v>24.00206886</v>
      </c>
    </row>
    <row r="3418">
      <c r="A3418" s="2" t="str">
        <f>IFERROR(__xludf.DUMMYFUNCTION("""COMPUTED_VALUE"""),"For sale")</f>
        <v>For sale</v>
      </c>
      <c r="B3418" s="2" t="str">
        <f>IFERROR(__xludf.DUMMYFUNCTION("""COMPUTED_VALUE"""),"Pļavnieki")</f>
        <v>Pļavnieki</v>
      </c>
      <c r="C3418" s="2" t="str">
        <f>IFERROR(__xludf.DUMMYFUNCTION("""COMPUTED_VALUE"""),"Tīnūžu 14")</f>
        <v>Tīnūžu 14</v>
      </c>
      <c r="D3418" s="2">
        <f>IFERROR(__xludf.DUMMYFUNCTION("""COMPUTED_VALUE"""),3.0)</f>
        <v>3</v>
      </c>
      <c r="E3418" s="2">
        <f>IFERROR(__xludf.DUMMYFUNCTION("""COMPUTED_VALUE"""),62.0)</f>
        <v>62</v>
      </c>
      <c r="F3418" s="2">
        <f>IFERROR(__xludf.DUMMYFUNCTION("""COMPUTED_VALUE"""),8.0)</f>
        <v>8</v>
      </c>
      <c r="G3418" s="2">
        <f>IFERROR(__xludf.DUMMYFUNCTION("""COMPUTED_VALUE"""),9.0)</f>
        <v>9</v>
      </c>
      <c r="H3418" s="2">
        <f>IFERROR(__xludf.DUMMYFUNCTION("""COMPUTED_VALUE"""),602.0)</f>
        <v>602</v>
      </c>
      <c r="I3418" s="2" t="str">
        <f>IFERROR(__xludf.DUMMYFUNCTION("""COMPUTED_VALUE"""),"Panel")</f>
        <v>Panel</v>
      </c>
      <c r="J3418" s="2" t="str">
        <f>IFERROR(__xludf.DUMMYFUNCTION("""COMPUTED_VALUE"""),"All amenities")</f>
        <v>All amenities</v>
      </c>
      <c r="K3418" s="2">
        <f>IFERROR(__xludf.DUMMYFUNCTION("""COMPUTED_VALUE"""),59000.0)</f>
        <v>59000</v>
      </c>
      <c r="L3418" s="2">
        <f>IFERROR(__xludf.DUMMYFUNCTION("""COMPUTED_VALUE"""),56.93409355)</f>
        <v>56.93409355</v>
      </c>
      <c r="M3418" s="2">
        <f>IFERROR(__xludf.DUMMYFUNCTION("""COMPUTED_VALUE"""),24.2082884588571)</f>
        <v>24.20828846</v>
      </c>
    </row>
    <row r="3419">
      <c r="A3419" s="2" t="str">
        <f>IFERROR(__xludf.DUMMYFUNCTION("""COMPUTED_VALUE"""),"For sale")</f>
        <v>For sale</v>
      </c>
      <c r="B3419" s="2" t="str">
        <f>IFERROR(__xludf.DUMMYFUNCTION("""COMPUTED_VALUE"""),"Ķengarags")</f>
        <v>Ķengarags</v>
      </c>
      <c r="C3419" s="2" t="str">
        <f>IFERROR(__xludf.DUMMYFUNCTION("""COMPUTED_VALUE"""),"Ikšķiles 18")</f>
        <v>Ikšķiles 18</v>
      </c>
      <c r="D3419" s="2">
        <f>IFERROR(__xludf.DUMMYFUNCTION("""COMPUTED_VALUE"""),3.0)</f>
        <v>3</v>
      </c>
      <c r="E3419" s="2">
        <f>IFERROR(__xludf.DUMMYFUNCTION("""COMPUTED_VALUE"""),59.0)</f>
        <v>59</v>
      </c>
      <c r="F3419" s="2">
        <f>IFERROR(__xludf.DUMMYFUNCTION("""COMPUTED_VALUE"""),5.0)</f>
        <v>5</v>
      </c>
      <c r="G3419" s="2">
        <f>IFERROR(__xludf.DUMMYFUNCTION("""COMPUTED_VALUE"""),5.0)</f>
        <v>5</v>
      </c>
      <c r="H3419" s="2" t="str">
        <f>IFERROR(__xludf.DUMMYFUNCTION("""COMPUTED_VALUE"""),"LT proj.")</f>
        <v>LT proj.</v>
      </c>
      <c r="I3419" s="2" t="str">
        <f>IFERROR(__xludf.DUMMYFUNCTION("""COMPUTED_VALUE"""),"Panel")</f>
        <v>Panel</v>
      </c>
      <c r="J3419" s="2" t="str">
        <f>IFERROR(__xludf.DUMMYFUNCTION("""COMPUTED_VALUE"""),"All amenities")</f>
        <v>All amenities</v>
      </c>
      <c r="K3419" s="2">
        <f>IFERROR(__xludf.DUMMYFUNCTION("""COMPUTED_VALUE"""),59000.0)</f>
        <v>59000</v>
      </c>
      <c r="L3419" s="2">
        <f>IFERROR(__xludf.DUMMYFUNCTION("""COMPUTED_VALUE"""),56.90349755)</f>
        <v>56.90349755</v>
      </c>
      <c r="M3419" s="2">
        <f>IFERROR(__xludf.DUMMYFUNCTION("""COMPUTED_VALUE"""),24.2095586145833)</f>
        <v>24.20955861</v>
      </c>
    </row>
    <row r="3420">
      <c r="A3420" s="2" t="str">
        <f>IFERROR(__xludf.DUMMYFUNCTION("""COMPUTED_VALUE"""),"For sale")</f>
        <v>For sale</v>
      </c>
      <c r="B3420" s="2" t="str">
        <f>IFERROR(__xludf.DUMMYFUNCTION("""COMPUTED_VALUE"""),"centrs")</f>
        <v>centrs</v>
      </c>
      <c r="C3420" s="2" t="str">
        <f>IFERROR(__xludf.DUMMYFUNCTION("""COMPUTED_VALUE"""),"Dzirnavu 6")</f>
        <v>Dzirnavu 6</v>
      </c>
      <c r="D3420" s="2">
        <f>IFERROR(__xludf.DUMMYFUNCTION("""COMPUTED_VALUE"""),4.0)</f>
        <v>4</v>
      </c>
      <c r="E3420" s="2">
        <f>IFERROR(__xludf.DUMMYFUNCTION("""COMPUTED_VALUE"""),97.0)</f>
        <v>97</v>
      </c>
      <c r="F3420" s="2">
        <f>IFERROR(__xludf.DUMMYFUNCTION("""COMPUTED_VALUE"""),2.0)</f>
        <v>2</v>
      </c>
      <c r="G3420" s="2">
        <f>IFERROR(__xludf.DUMMYFUNCTION("""COMPUTED_VALUE"""),4.0)</f>
        <v>4</v>
      </c>
      <c r="H3420" s="2" t="str">
        <f>IFERROR(__xludf.DUMMYFUNCTION("""COMPUTED_VALUE"""),"Renov.")</f>
        <v>Renov.</v>
      </c>
      <c r="I3420" s="2" t="str">
        <f>IFERROR(__xludf.DUMMYFUNCTION("""COMPUTED_VALUE"""),"Masonry")</f>
        <v>Masonry</v>
      </c>
      <c r="J3420" s="2" t="str">
        <f>IFERROR(__xludf.DUMMYFUNCTION("""COMPUTED_VALUE"""),"All amenities")</f>
        <v>All amenities</v>
      </c>
      <c r="K3420" s="2">
        <f>IFERROR(__xludf.DUMMYFUNCTION("""COMPUTED_VALUE"""),250000.0)</f>
        <v>250000</v>
      </c>
      <c r="L3420" s="2">
        <f>IFERROR(__xludf.DUMMYFUNCTION("""COMPUTED_VALUE"""),56.9612002)</f>
        <v>56.9612002</v>
      </c>
      <c r="M3420" s="2">
        <f>IFERROR(__xludf.DUMMYFUNCTION("""COMPUTED_VALUE"""),24.1075394109907)</f>
        <v>24.10753941</v>
      </c>
    </row>
    <row r="3421">
      <c r="A3421" s="2" t="str">
        <f>IFERROR(__xludf.DUMMYFUNCTION("""COMPUTED_VALUE"""),"For sale")</f>
        <v>For sale</v>
      </c>
      <c r="B3421" s="2" t="str">
        <f>IFERROR(__xludf.DUMMYFUNCTION("""COMPUTED_VALUE"""),"Purvciems")</f>
        <v>Purvciems</v>
      </c>
      <c r="C3421" s="2" t="str">
        <f>IFERROR(__xludf.DUMMYFUNCTION("""COMPUTED_VALUE"""),"Ūnijas 76a")</f>
        <v>Ūnijas 76a</v>
      </c>
      <c r="D3421" s="2">
        <f>IFERROR(__xludf.DUMMYFUNCTION("""COMPUTED_VALUE"""),3.0)</f>
        <v>3</v>
      </c>
      <c r="E3421" s="2">
        <f>IFERROR(__xludf.DUMMYFUNCTION("""COMPUTED_VALUE"""),62.0)</f>
        <v>62</v>
      </c>
      <c r="F3421" s="2">
        <f>IFERROR(__xludf.DUMMYFUNCTION("""COMPUTED_VALUE"""),5.0)</f>
        <v>5</v>
      </c>
      <c r="G3421" s="2">
        <f>IFERROR(__xludf.DUMMYFUNCTION("""COMPUTED_VALUE"""),5.0)</f>
        <v>5</v>
      </c>
      <c r="H3421" s="2" t="str">
        <f>IFERROR(__xludf.DUMMYFUNCTION("""COMPUTED_VALUE"""),"LT proj.")</f>
        <v>LT proj.</v>
      </c>
      <c r="I3421" s="2" t="str">
        <f>IFERROR(__xludf.DUMMYFUNCTION("""COMPUTED_VALUE"""),"Panel")</f>
        <v>Panel</v>
      </c>
      <c r="J3421" s="2" t="str">
        <f>IFERROR(__xludf.DUMMYFUNCTION("""COMPUTED_VALUE"""),"All amenities")</f>
        <v>All amenities</v>
      </c>
      <c r="K3421" s="2">
        <f>IFERROR(__xludf.DUMMYFUNCTION("""COMPUTED_VALUE"""),68000.0)</f>
        <v>68000</v>
      </c>
      <c r="L3421" s="2">
        <f>IFERROR(__xludf.DUMMYFUNCTION("""COMPUTED_VALUE"""),56.9606510499999)</f>
        <v>56.96065105</v>
      </c>
      <c r="M3421" s="2">
        <f>IFERROR(__xludf.DUMMYFUNCTION("""COMPUTED_VALUE"""),24.1833327739692)</f>
        <v>24.18333277</v>
      </c>
    </row>
    <row r="3422">
      <c r="A3422" s="2" t="str">
        <f>IFERROR(__xludf.DUMMYFUNCTION("""COMPUTED_VALUE"""),"For rent")</f>
        <v>For rent</v>
      </c>
      <c r="B3422" s="2" t="str">
        <f>IFERROR(__xludf.DUMMYFUNCTION("""COMPUTED_VALUE"""),"centrs")</f>
        <v>centrs</v>
      </c>
      <c r="C3422" s="2" t="str">
        <f>IFERROR(__xludf.DUMMYFUNCTION("""COMPUTED_VALUE"""),"Skolas 36a")</f>
        <v>Skolas 36a</v>
      </c>
      <c r="D3422" s="2">
        <f>IFERROR(__xludf.DUMMYFUNCTION("""COMPUTED_VALUE"""),2.0)</f>
        <v>2</v>
      </c>
      <c r="E3422" s="2">
        <f>IFERROR(__xludf.DUMMYFUNCTION("""COMPUTED_VALUE"""),52.0)</f>
        <v>52</v>
      </c>
      <c r="F3422" s="2">
        <f>IFERROR(__xludf.DUMMYFUNCTION("""COMPUTED_VALUE"""),3.0)</f>
        <v>3</v>
      </c>
      <c r="G3422" s="2">
        <f>IFERROR(__xludf.DUMMYFUNCTION("""COMPUTED_VALUE"""),4.0)</f>
        <v>4</v>
      </c>
      <c r="H3422" s="2" t="str">
        <f>IFERROR(__xludf.DUMMYFUNCTION("""COMPUTED_VALUE"""),"P. kara")</f>
        <v>P. kara</v>
      </c>
      <c r="I3422" s="2" t="str">
        <f>IFERROR(__xludf.DUMMYFUNCTION("""COMPUTED_VALUE"""),"Masonry")</f>
        <v>Masonry</v>
      </c>
      <c r="J3422" s="2" t="str">
        <f>IFERROR(__xludf.DUMMYFUNCTION("""COMPUTED_VALUE"""),"All amenities")</f>
        <v>All amenities</v>
      </c>
      <c r="K3422" s="2">
        <f>IFERROR(__xludf.DUMMYFUNCTION("""COMPUTED_VALUE"""),700.0)</f>
        <v>700</v>
      </c>
      <c r="L3422" s="2">
        <f>IFERROR(__xludf.DUMMYFUNCTION("""COMPUTED_VALUE"""),48.2969502)</f>
        <v>48.2969502</v>
      </c>
      <c r="M3422" s="2">
        <f>IFERROR(__xludf.DUMMYFUNCTION("""COMPUTED_VALUE"""),-100.7081938)</f>
        <v>-100.7081938</v>
      </c>
    </row>
    <row r="3423">
      <c r="A3423" s="2" t="str">
        <f>IFERROR(__xludf.DUMMYFUNCTION("""COMPUTED_VALUE"""),"For sale")</f>
        <v>For sale</v>
      </c>
      <c r="B3423" s="2" t="str">
        <f>IFERROR(__xludf.DUMMYFUNCTION("""COMPUTED_VALUE"""),"Ziepniekkalns")</f>
        <v>Ziepniekkalns</v>
      </c>
      <c r="C3423" s="2" t="str">
        <f>IFERROR(__xludf.DUMMYFUNCTION("""COMPUTED_VALUE"""),"Valdeķu 60")</f>
        <v>Valdeķu 60</v>
      </c>
      <c r="D3423" s="2">
        <f>IFERROR(__xludf.DUMMYFUNCTION("""COMPUTED_VALUE"""),4.0)</f>
        <v>4</v>
      </c>
      <c r="E3423" s="2">
        <f>IFERROR(__xludf.DUMMYFUNCTION("""COMPUTED_VALUE"""),79.0)</f>
        <v>79</v>
      </c>
      <c r="F3423" s="2">
        <f>IFERROR(__xludf.DUMMYFUNCTION("""COMPUTED_VALUE"""),6.0)</f>
        <v>6</v>
      </c>
      <c r="G3423" s="2">
        <f>IFERROR(__xludf.DUMMYFUNCTION("""COMPUTED_VALUE"""),9.0)</f>
        <v>9</v>
      </c>
      <c r="H3423" s="2">
        <f>IFERROR(__xludf.DUMMYFUNCTION("""COMPUTED_VALUE"""),602.0)</f>
        <v>602</v>
      </c>
      <c r="I3423" s="2" t="str">
        <f>IFERROR(__xludf.DUMMYFUNCTION("""COMPUTED_VALUE"""),"Panel")</f>
        <v>Panel</v>
      </c>
      <c r="J3423" s="2" t="str">
        <f>IFERROR(__xludf.DUMMYFUNCTION("""COMPUTED_VALUE"""),"All amenities")</f>
        <v>All amenities</v>
      </c>
      <c r="K3423" s="2">
        <f>IFERROR(__xludf.DUMMYFUNCTION("""COMPUTED_VALUE"""),72000.0)</f>
        <v>72000</v>
      </c>
      <c r="L3423" s="2">
        <f>IFERROR(__xludf.DUMMYFUNCTION("""COMPUTED_VALUE"""),56.90156125)</f>
        <v>56.90156125</v>
      </c>
      <c r="M3423" s="2">
        <f>IFERROR(__xludf.DUMMYFUNCTION("""COMPUTED_VALUE"""),24.0954246452708)</f>
        <v>24.09542465</v>
      </c>
    </row>
    <row r="3424">
      <c r="A3424" s="2" t="str">
        <f>IFERROR(__xludf.DUMMYFUNCTION("""COMPUTED_VALUE"""),"For sale")</f>
        <v>For sale</v>
      </c>
      <c r="B3424" s="2" t="str">
        <f>IFERROR(__xludf.DUMMYFUNCTION("""COMPUTED_VALUE"""),"centrs")</f>
        <v>centrs</v>
      </c>
      <c r="C3424" s="2" t="str">
        <f>IFERROR(__xludf.DUMMYFUNCTION("""COMPUTED_VALUE"""),"Lāčplēša 48")</f>
        <v>Lāčplēša 48</v>
      </c>
      <c r="D3424" s="2">
        <f>IFERROR(__xludf.DUMMYFUNCTION("""COMPUTED_VALUE"""),3.0)</f>
        <v>3</v>
      </c>
      <c r="E3424" s="2">
        <f>IFERROR(__xludf.DUMMYFUNCTION("""COMPUTED_VALUE"""),59.8)</f>
        <v>59.8</v>
      </c>
      <c r="F3424" s="2">
        <f>IFERROR(__xludf.DUMMYFUNCTION("""COMPUTED_VALUE"""),3.0)</f>
        <v>3</v>
      </c>
      <c r="G3424" s="2">
        <f>IFERROR(__xludf.DUMMYFUNCTION("""COMPUTED_VALUE"""),6.0)</f>
        <v>6</v>
      </c>
      <c r="H3424" s="2" t="str">
        <f>IFERROR(__xludf.DUMMYFUNCTION("""COMPUTED_VALUE"""),"P. kara")</f>
        <v>P. kara</v>
      </c>
      <c r="I3424" s="2" t="str">
        <f>IFERROR(__xludf.DUMMYFUNCTION("""COMPUTED_VALUE"""),"Brick")</f>
        <v>Brick</v>
      </c>
      <c r="J3424" s="2" t="str">
        <f>IFERROR(__xludf.DUMMYFUNCTION("""COMPUTED_VALUE"""),"All amenities")</f>
        <v>All amenities</v>
      </c>
      <c r="K3424" s="2">
        <f>IFERROR(__xludf.DUMMYFUNCTION("""COMPUTED_VALUE"""),74750.0)</f>
        <v>74750</v>
      </c>
      <c r="L3424" s="2">
        <f>IFERROR(__xludf.DUMMYFUNCTION("""COMPUTED_VALUE"""),56.9524263)</f>
        <v>56.9524263</v>
      </c>
      <c r="M3424" s="2">
        <f>IFERROR(__xludf.DUMMYFUNCTION("""COMPUTED_VALUE"""),24.1287007)</f>
        <v>24.1287007</v>
      </c>
    </row>
    <row r="3425">
      <c r="A3425" s="2" t="str">
        <f>IFERROR(__xludf.DUMMYFUNCTION("""COMPUTED_VALUE"""),"For sale")</f>
        <v>For sale</v>
      </c>
      <c r="B3425" s="2" t="str">
        <f>IFERROR(__xludf.DUMMYFUNCTION("""COMPUTED_VALUE"""),"Maskavas priekšpilsēta")</f>
        <v>Maskavas priekšpilsēta</v>
      </c>
      <c r="C3425" s="2" t="str">
        <f>IFERROR(__xludf.DUMMYFUNCTION("""COMPUTED_VALUE"""),"Maskavas 182")</f>
        <v>Maskavas 182</v>
      </c>
      <c r="D3425" s="2">
        <f>IFERROR(__xludf.DUMMYFUNCTION("""COMPUTED_VALUE"""),2.0)</f>
        <v>2</v>
      </c>
      <c r="E3425" s="2">
        <f>IFERROR(__xludf.DUMMYFUNCTION("""COMPUTED_VALUE"""),48.0)</f>
        <v>48</v>
      </c>
      <c r="F3425" s="2">
        <f>IFERROR(__xludf.DUMMYFUNCTION("""COMPUTED_VALUE"""),6.0)</f>
        <v>6</v>
      </c>
      <c r="G3425" s="2">
        <f>IFERROR(__xludf.DUMMYFUNCTION("""COMPUTED_VALUE"""),9.0)</f>
        <v>9</v>
      </c>
      <c r="H3425" s="2">
        <f>IFERROR(__xludf.DUMMYFUNCTION("""COMPUTED_VALUE"""),467.0)</f>
        <v>467</v>
      </c>
      <c r="I3425" s="2" t="str">
        <f>IFERROR(__xludf.DUMMYFUNCTION("""COMPUTED_VALUE"""),"Panel")</f>
        <v>Panel</v>
      </c>
      <c r="J3425" s="2" t="str">
        <f>IFERROR(__xludf.DUMMYFUNCTION("""COMPUTED_VALUE"""),"All amenities")</f>
        <v>All amenities</v>
      </c>
      <c r="K3425" s="2">
        <f>IFERROR(__xludf.DUMMYFUNCTION("""COMPUTED_VALUE"""),35000.0)</f>
        <v>35000</v>
      </c>
      <c r="L3425" s="2">
        <f>IFERROR(__xludf.DUMMYFUNCTION("""COMPUTED_VALUE"""),56.9228069)</f>
        <v>56.9228069</v>
      </c>
      <c r="M3425" s="2">
        <f>IFERROR(__xludf.DUMMYFUNCTION("""COMPUTED_VALUE"""),24.1703845)</f>
        <v>24.1703845</v>
      </c>
    </row>
    <row r="3426">
      <c r="A3426" s="2" t="str">
        <f>IFERROR(__xludf.DUMMYFUNCTION("""COMPUTED_VALUE"""),"For rent")</f>
        <v>For rent</v>
      </c>
      <c r="B3426" s="2" t="str">
        <f>IFERROR(__xludf.DUMMYFUNCTION("""COMPUTED_VALUE"""),"Purvciems")</f>
        <v>Purvciems</v>
      </c>
      <c r="C3426" s="2" t="str">
        <f>IFERROR(__xludf.DUMMYFUNCTION("""COMPUTED_VALUE"""),"Staiceles 11")</f>
        <v>Staiceles 11</v>
      </c>
      <c r="D3426" s="2">
        <f>IFERROR(__xludf.DUMMYFUNCTION("""COMPUTED_VALUE"""),1.0)</f>
        <v>1</v>
      </c>
      <c r="E3426" s="2">
        <f>IFERROR(__xludf.DUMMYFUNCTION("""COMPUTED_VALUE"""),36.0)</f>
        <v>36</v>
      </c>
      <c r="F3426" s="2">
        <f>IFERROR(__xludf.DUMMYFUNCTION("""COMPUTED_VALUE"""),5.0)</f>
        <v>5</v>
      </c>
      <c r="G3426" s="2">
        <f>IFERROR(__xludf.DUMMYFUNCTION("""COMPUTED_VALUE"""),9.0)</f>
        <v>9</v>
      </c>
      <c r="H3426" s="2">
        <f>IFERROR(__xludf.DUMMYFUNCTION("""COMPUTED_VALUE"""),602.0)</f>
        <v>602</v>
      </c>
      <c r="I3426" s="2" t="str">
        <f>IFERROR(__xludf.DUMMYFUNCTION("""COMPUTED_VALUE"""),"Panel")</f>
        <v>Panel</v>
      </c>
      <c r="J3426" s="2" t="str">
        <f>IFERROR(__xludf.DUMMYFUNCTION("""COMPUTED_VALUE"""),"All amenities")</f>
        <v>All amenities</v>
      </c>
      <c r="K3426" s="2">
        <f>IFERROR(__xludf.DUMMYFUNCTION("""COMPUTED_VALUE"""),30.0)</f>
        <v>30</v>
      </c>
      <c r="L3426" s="2">
        <f>IFERROR(__xludf.DUMMYFUNCTION("""COMPUTED_VALUE"""),56.95757025)</f>
        <v>56.95757025</v>
      </c>
      <c r="M3426" s="2">
        <f>IFERROR(__xludf.DUMMYFUNCTION("""COMPUTED_VALUE"""),24.1715554695491)</f>
        <v>24.17155547</v>
      </c>
    </row>
    <row r="3427">
      <c r="A3427" s="2" t="str">
        <f>IFERROR(__xludf.DUMMYFUNCTION("""COMPUTED_VALUE"""),"For rent")</f>
        <v>For rent</v>
      </c>
      <c r="B3427" s="2" t="str">
        <f>IFERROR(__xludf.DUMMYFUNCTION("""COMPUTED_VALUE"""),"Pļavnieki")</f>
        <v>Pļavnieki</v>
      </c>
      <c r="C3427" s="2" t="str">
        <f>IFERROR(__xludf.DUMMYFUNCTION("""COMPUTED_VALUE"""),"Ilūkstes 4")</f>
        <v>Ilūkstes 4</v>
      </c>
      <c r="D3427" s="2">
        <f>IFERROR(__xludf.DUMMYFUNCTION("""COMPUTED_VALUE"""),1.0)</f>
        <v>1</v>
      </c>
      <c r="E3427" s="2">
        <f>IFERROR(__xludf.DUMMYFUNCTION("""COMPUTED_VALUE"""),40.0)</f>
        <v>40</v>
      </c>
      <c r="F3427" s="2">
        <f>IFERROR(__xludf.DUMMYFUNCTION("""COMPUTED_VALUE"""),3.0)</f>
        <v>3</v>
      </c>
      <c r="G3427" s="2">
        <f>IFERROR(__xludf.DUMMYFUNCTION("""COMPUTED_VALUE"""),5.0)</f>
        <v>5</v>
      </c>
      <c r="H3427" s="2">
        <f>IFERROR(__xludf.DUMMYFUNCTION("""COMPUTED_VALUE"""),103.0)</f>
        <v>103</v>
      </c>
      <c r="I3427" s="2" t="str">
        <f>IFERROR(__xludf.DUMMYFUNCTION("""COMPUTED_VALUE"""),"Panel-Brick")</f>
        <v>Panel-Brick</v>
      </c>
      <c r="J3427" s="2" t="str">
        <f>IFERROR(__xludf.DUMMYFUNCTION("""COMPUTED_VALUE"""),"All amenities")</f>
        <v>All amenities</v>
      </c>
      <c r="K3427" s="2">
        <f>IFERROR(__xludf.DUMMYFUNCTION("""COMPUTED_VALUE"""),30.0)</f>
        <v>30</v>
      </c>
      <c r="L3427" s="2">
        <f>IFERROR(__xludf.DUMMYFUNCTION("""COMPUTED_VALUE"""),56.93391825)</f>
        <v>56.93391825</v>
      </c>
      <c r="M3427" s="2">
        <f>IFERROR(__xludf.DUMMYFUNCTION("""COMPUTED_VALUE"""),24.1961130586527)</f>
        <v>24.19611306</v>
      </c>
    </row>
    <row r="3428">
      <c r="A3428" s="2" t="str">
        <f>IFERROR(__xludf.DUMMYFUNCTION("""COMPUTED_VALUE"""),"For sale")</f>
        <v>For sale</v>
      </c>
      <c r="B3428" s="2" t="str">
        <f>IFERROR(__xludf.DUMMYFUNCTION("""COMPUTED_VALUE"""),"Imanta")</f>
        <v>Imanta</v>
      </c>
      <c r="C3428" s="2" t="str">
        <f>IFERROR(__xludf.DUMMYFUNCTION("""COMPUTED_VALUE"""),"Kurzemes pr. 52")</f>
        <v>Kurzemes pr. 52</v>
      </c>
      <c r="D3428" s="2">
        <f>IFERROR(__xludf.DUMMYFUNCTION("""COMPUTED_VALUE"""),2.0)</f>
        <v>2</v>
      </c>
      <c r="E3428" s="2">
        <f>IFERROR(__xludf.DUMMYFUNCTION("""COMPUTED_VALUE"""),50.0)</f>
        <v>50</v>
      </c>
      <c r="F3428" s="2">
        <f>IFERROR(__xludf.DUMMYFUNCTION("""COMPUTED_VALUE"""),4.0)</f>
        <v>4</v>
      </c>
      <c r="G3428" s="2">
        <f>IFERROR(__xludf.DUMMYFUNCTION("""COMPUTED_VALUE"""),5.0)</f>
        <v>5</v>
      </c>
      <c r="H3428" s="2" t="str">
        <f>IFERROR(__xludf.DUMMYFUNCTION("""COMPUTED_VALUE"""),"LT proj.")</f>
        <v>LT proj.</v>
      </c>
      <c r="I3428" s="2" t="str">
        <f>IFERROR(__xludf.DUMMYFUNCTION("""COMPUTED_VALUE"""),"Panel")</f>
        <v>Panel</v>
      </c>
      <c r="J3428" s="2" t="str">
        <f>IFERROR(__xludf.DUMMYFUNCTION("""COMPUTED_VALUE"""),"All amenities")</f>
        <v>All amenities</v>
      </c>
      <c r="K3428" s="2">
        <f>IFERROR(__xludf.DUMMYFUNCTION("""COMPUTED_VALUE"""),41800.0)</f>
        <v>41800</v>
      </c>
      <c r="L3428" s="2" t="str">
        <f>IFERROR(__xludf.DUMMYFUNCTION("""COMPUTED_VALUE"""),"NaN")</f>
        <v>NaN</v>
      </c>
      <c r="M3428" s="2" t="str">
        <f>IFERROR(__xludf.DUMMYFUNCTION("""COMPUTED_VALUE"""),"NaN")</f>
        <v>NaN</v>
      </c>
    </row>
    <row r="3429">
      <c r="A3429" s="2" t="str">
        <f>IFERROR(__xludf.DUMMYFUNCTION("""COMPUTED_VALUE"""),"For rent")</f>
        <v>For rent</v>
      </c>
      <c r="B3429" s="2" t="str">
        <f>IFERROR(__xludf.DUMMYFUNCTION("""COMPUTED_VALUE"""),"centrs")</f>
        <v>centrs</v>
      </c>
      <c r="C3429" s="2" t="str">
        <f>IFERROR(__xludf.DUMMYFUNCTION("""COMPUTED_VALUE"""),"Rūpniecības 34a")</f>
        <v>Rūpniecības 34a</v>
      </c>
      <c r="D3429" s="2">
        <f>IFERROR(__xludf.DUMMYFUNCTION("""COMPUTED_VALUE"""),5.0)</f>
        <v>5</v>
      </c>
      <c r="E3429" s="2">
        <f>IFERROR(__xludf.DUMMYFUNCTION("""COMPUTED_VALUE"""),158.0)</f>
        <v>158</v>
      </c>
      <c r="F3429" s="2">
        <f>IFERROR(__xludf.DUMMYFUNCTION("""COMPUTED_VALUE"""),3.0)</f>
        <v>3</v>
      </c>
      <c r="G3429" s="2">
        <f>IFERROR(__xludf.DUMMYFUNCTION("""COMPUTED_VALUE"""),6.0)</f>
        <v>6</v>
      </c>
      <c r="H3429" s="2" t="str">
        <f>IFERROR(__xludf.DUMMYFUNCTION("""COMPUTED_VALUE"""),"Jaun.")</f>
        <v>Jaun.</v>
      </c>
      <c r="I3429" s="2" t="str">
        <f>IFERROR(__xludf.DUMMYFUNCTION("""COMPUTED_VALUE"""),"Masonry")</f>
        <v>Masonry</v>
      </c>
      <c r="J3429" s="2" t="str">
        <f>IFERROR(__xludf.DUMMYFUNCTION("""COMPUTED_VALUE"""),"All amenities")</f>
        <v>All amenities</v>
      </c>
      <c r="K3429" s="2">
        <f>IFERROR(__xludf.DUMMYFUNCTION("""COMPUTED_VALUE"""),1500.0)</f>
        <v>1500</v>
      </c>
      <c r="L3429" s="2">
        <f>IFERROR(__xludf.DUMMYFUNCTION("""COMPUTED_VALUE"""),56.9659754)</f>
        <v>56.9659754</v>
      </c>
      <c r="M3429" s="2">
        <f>IFERROR(__xludf.DUMMYFUNCTION("""COMPUTED_VALUE"""),24.1046278)</f>
        <v>24.1046278</v>
      </c>
    </row>
    <row r="3430">
      <c r="A3430" s="2" t="str">
        <f>IFERROR(__xludf.DUMMYFUNCTION("""COMPUTED_VALUE"""),"For sale")</f>
        <v>For sale</v>
      </c>
      <c r="B3430" s="2" t="str">
        <f>IFERROR(__xludf.DUMMYFUNCTION("""COMPUTED_VALUE"""),"centrs")</f>
        <v>centrs</v>
      </c>
      <c r="C3430" s="2" t="str">
        <f>IFERROR(__xludf.DUMMYFUNCTION("""COMPUTED_VALUE"""),"Zvaigžņu 13c")</f>
        <v>Zvaigžņu 13c</v>
      </c>
      <c r="D3430" s="2">
        <f>IFERROR(__xludf.DUMMYFUNCTION("""COMPUTED_VALUE"""),1.0)</f>
        <v>1</v>
      </c>
      <c r="E3430" s="2">
        <f>IFERROR(__xludf.DUMMYFUNCTION("""COMPUTED_VALUE"""),27.0)</f>
        <v>27</v>
      </c>
      <c r="F3430" s="2">
        <f>IFERROR(__xludf.DUMMYFUNCTION("""COMPUTED_VALUE"""),2.0)</f>
        <v>2</v>
      </c>
      <c r="G3430" s="2">
        <f>IFERROR(__xludf.DUMMYFUNCTION("""COMPUTED_VALUE"""),5.0)</f>
        <v>5</v>
      </c>
      <c r="H3430" s="2" t="str">
        <f>IFERROR(__xludf.DUMMYFUNCTION("""COMPUTED_VALUE"""),"P. kara")</f>
        <v>P. kara</v>
      </c>
      <c r="I3430" s="2" t="str">
        <f>IFERROR(__xludf.DUMMYFUNCTION("""COMPUTED_VALUE"""),"Brick")</f>
        <v>Brick</v>
      </c>
      <c r="J3430" s="2" t="str">
        <f>IFERROR(__xludf.DUMMYFUNCTION("""COMPUTED_VALUE"""),"All amenities")</f>
        <v>All amenities</v>
      </c>
      <c r="K3430" s="2">
        <f>IFERROR(__xludf.DUMMYFUNCTION("""COMPUTED_VALUE"""),22500.0)</f>
        <v>22500</v>
      </c>
      <c r="L3430" s="2">
        <f>IFERROR(__xludf.DUMMYFUNCTION("""COMPUTED_VALUE"""),56.960182)</f>
        <v>56.960182</v>
      </c>
      <c r="M3430" s="2">
        <f>IFERROR(__xludf.DUMMYFUNCTION("""COMPUTED_VALUE"""),24.1473114)</f>
        <v>24.1473114</v>
      </c>
    </row>
    <row r="3431">
      <c r="A3431" s="2" t="str">
        <f>IFERROR(__xludf.DUMMYFUNCTION("""COMPUTED_VALUE"""),"For sale")</f>
        <v>For sale</v>
      </c>
      <c r="B3431" s="2" t="str">
        <f>IFERROR(__xludf.DUMMYFUNCTION("""COMPUTED_VALUE"""),"centrs")</f>
        <v>centrs</v>
      </c>
      <c r="C3431" s="2" t="str">
        <f>IFERROR(__xludf.DUMMYFUNCTION("""COMPUTED_VALUE"""),"Blaumaņa 12")</f>
        <v>Blaumaņa 12</v>
      </c>
      <c r="D3431" s="2">
        <f>IFERROR(__xludf.DUMMYFUNCTION("""COMPUTED_VALUE"""),3.0)</f>
        <v>3</v>
      </c>
      <c r="E3431" s="2">
        <f>IFERROR(__xludf.DUMMYFUNCTION("""COMPUTED_VALUE"""),62.3)</f>
        <v>62.3</v>
      </c>
      <c r="F3431" s="2">
        <f>IFERROR(__xludf.DUMMYFUNCTION("""COMPUTED_VALUE"""),2.0)</f>
        <v>2</v>
      </c>
      <c r="G3431" s="2">
        <f>IFERROR(__xludf.DUMMYFUNCTION("""COMPUTED_VALUE"""),6.0)</f>
        <v>6</v>
      </c>
      <c r="H3431" s="2" t="str">
        <f>IFERROR(__xludf.DUMMYFUNCTION("""COMPUTED_VALUE"""),"Renov.")</f>
        <v>Renov.</v>
      </c>
      <c r="I3431" s="2" t="str">
        <f>IFERROR(__xludf.DUMMYFUNCTION("""COMPUTED_VALUE"""),"Brick")</f>
        <v>Brick</v>
      </c>
      <c r="J3431" s="2" t="str">
        <f>IFERROR(__xludf.DUMMYFUNCTION("""COMPUTED_VALUE"""),"All amenities")</f>
        <v>All amenities</v>
      </c>
      <c r="K3431" s="2">
        <f>IFERROR(__xludf.DUMMYFUNCTION("""COMPUTED_VALUE"""),161980.0)</f>
        <v>161980</v>
      </c>
      <c r="L3431" s="2">
        <f>IFERROR(__xludf.DUMMYFUNCTION("""COMPUTED_VALUE"""),56.9548306)</f>
        <v>56.9548306</v>
      </c>
      <c r="M3431" s="2">
        <f>IFERROR(__xludf.DUMMYFUNCTION("""COMPUTED_VALUE"""),24.1221141)</f>
        <v>24.1221141</v>
      </c>
    </row>
    <row r="3432">
      <c r="A3432" s="2" t="str">
        <f>IFERROR(__xludf.DUMMYFUNCTION("""COMPUTED_VALUE"""),"For rent")</f>
        <v>For rent</v>
      </c>
      <c r="B3432" s="2" t="str">
        <f>IFERROR(__xludf.DUMMYFUNCTION("""COMPUTED_VALUE"""),"centrs")</f>
        <v>centrs</v>
      </c>
      <c r="C3432" s="2" t="str">
        <f>IFERROR(__xludf.DUMMYFUNCTION("""COMPUTED_VALUE"""),"Skolas 36")</f>
        <v>Skolas 36</v>
      </c>
      <c r="D3432" s="2">
        <f>IFERROR(__xludf.DUMMYFUNCTION("""COMPUTED_VALUE"""),1.0)</f>
        <v>1</v>
      </c>
      <c r="E3432" s="2">
        <f>IFERROR(__xludf.DUMMYFUNCTION("""COMPUTED_VALUE"""),36.0)</f>
        <v>36</v>
      </c>
      <c r="F3432" s="2">
        <f>IFERROR(__xludf.DUMMYFUNCTION("""COMPUTED_VALUE"""),1.0)</f>
        <v>1</v>
      </c>
      <c r="G3432" s="2">
        <f>IFERROR(__xludf.DUMMYFUNCTION("""COMPUTED_VALUE"""),4.0)</f>
        <v>4</v>
      </c>
      <c r="H3432" s="2" t="str">
        <f>IFERROR(__xludf.DUMMYFUNCTION("""COMPUTED_VALUE"""),"P. kara")</f>
        <v>P. kara</v>
      </c>
      <c r="I3432" s="2" t="str">
        <f>IFERROR(__xludf.DUMMYFUNCTION("""COMPUTED_VALUE"""),"Brick")</f>
        <v>Brick</v>
      </c>
      <c r="J3432" s="2" t="str">
        <f>IFERROR(__xludf.DUMMYFUNCTION("""COMPUTED_VALUE"""),"All amenities")</f>
        <v>All amenities</v>
      </c>
      <c r="K3432" s="2">
        <f>IFERROR(__xludf.DUMMYFUNCTION("""COMPUTED_VALUE"""),45.0)</f>
        <v>45</v>
      </c>
      <c r="L3432" s="2">
        <f>IFERROR(__xludf.DUMMYFUNCTION("""COMPUTED_VALUE"""),48.2969502)</f>
        <v>48.2969502</v>
      </c>
      <c r="M3432" s="2">
        <f>IFERROR(__xludf.DUMMYFUNCTION("""COMPUTED_VALUE"""),-100.7081938)</f>
        <v>-100.7081938</v>
      </c>
    </row>
    <row r="3433">
      <c r="A3433" s="2" t="str">
        <f>IFERROR(__xludf.DUMMYFUNCTION("""COMPUTED_VALUE"""),"For sale")</f>
        <v>For sale</v>
      </c>
      <c r="B3433" s="2" t="str">
        <f>IFERROR(__xludf.DUMMYFUNCTION("""COMPUTED_VALUE"""),"centrs")</f>
        <v>centrs</v>
      </c>
      <c r="C3433" s="2" t="str">
        <f>IFERROR(__xludf.DUMMYFUNCTION("""COMPUTED_VALUE"""),"Avotu 65a")</f>
        <v>Avotu 65a</v>
      </c>
      <c r="D3433" s="2">
        <f>IFERROR(__xludf.DUMMYFUNCTION("""COMPUTED_VALUE"""),1.0)</f>
        <v>1</v>
      </c>
      <c r="E3433" s="2">
        <f>IFERROR(__xludf.DUMMYFUNCTION("""COMPUTED_VALUE"""),27.0)</f>
        <v>27</v>
      </c>
      <c r="F3433" s="2">
        <f>IFERROR(__xludf.DUMMYFUNCTION("""COMPUTED_VALUE"""),1.0)</f>
        <v>1</v>
      </c>
      <c r="G3433" s="2">
        <f>IFERROR(__xludf.DUMMYFUNCTION("""COMPUTED_VALUE"""),2.0)</f>
        <v>2</v>
      </c>
      <c r="H3433" s="2" t="str">
        <f>IFERROR(__xludf.DUMMYFUNCTION("""COMPUTED_VALUE"""),"P. kara")</f>
        <v>P. kara</v>
      </c>
      <c r="I3433" s="2" t="str">
        <f>IFERROR(__xludf.DUMMYFUNCTION("""COMPUTED_VALUE"""),"Wood")</f>
        <v>Wood</v>
      </c>
      <c r="J3433" s="2" t="str">
        <f>IFERROR(__xludf.DUMMYFUNCTION("""COMPUTED_VALUE"""),"All amenities")</f>
        <v>All amenities</v>
      </c>
      <c r="K3433" s="2">
        <f>IFERROR(__xludf.DUMMYFUNCTION("""COMPUTED_VALUE"""),23500.0)</f>
        <v>23500</v>
      </c>
      <c r="L3433" s="2">
        <f>IFERROR(__xludf.DUMMYFUNCTION("""COMPUTED_VALUE"""),56.9533468)</f>
        <v>56.9533468</v>
      </c>
      <c r="M3433" s="2">
        <f>IFERROR(__xludf.DUMMYFUNCTION("""COMPUTED_VALUE"""),24.1435411)</f>
        <v>24.1435411</v>
      </c>
    </row>
    <row r="3434">
      <c r="A3434" s="2" t="str">
        <f>IFERROR(__xludf.DUMMYFUNCTION("""COMPUTED_VALUE"""),"For sale")</f>
        <v>For sale</v>
      </c>
      <c r="B3434" s="2" t="str">
        <f>IFERROR(__xludf.DUMMYFUNCTION("""COMPUTED_VALUE"""),"Maskavas priekšpilsēta")</f>
        <v>Maskavas priekšpilsēta</v>
      </c>
      <c r="C3434" s="2" t="str">
        <f>IFERROR(__xludf.DUMMYFUNCTION("""COMPUTED_VALUE"""),"M. Lubānas 18")</f>
        <v>M. Lubānas 18</v>
      </c>
      <c r="D3434" s="2">
        <f>IFERROR(__xludf.DUMMYFUNCTION("""COMPUTED_VALUE"""),1.0)</f>
        <v>1</v>
      </c>
      <c r="E3434" s="2">
        <f>IFERROR(__xludf.DUMMYFUNCTION("""COMPUTED_VALUE"""),27.0)</f>
        <v>27</v>
      </c>
      <c r="F3434" s="2">
        <f>IFERROR(__xludf.DUMMYFUNCTION("""COMPUTED_VALUE"""),2.0)</f>
        <v>2</v>
      </c>
      <c r="G3434" s="2">
        <f>IFERROR(__xludf.DUMMYFUNCTION("""COMPUTED_VALUE"""),2.0)</f>
        <v>2</v>
      </c>
      <c r="H3434" s="2" t="str">
        <f>IFERROR(__xludf.DUMMYFUNCTION("""COMPUTED_VALUE"""),"P. kara")</f>
        <v>P. kara</v>
      </c>
      <c r="I3434" s="2" t="str">
        <f>IFERROR(__xludf.DUMMYFUNCTION("""COMPUTED_VALUE"""),"Wood")</f>
        <v>Wood</v>
      </c>
      <c r="J3434" s="2" t="str">
        <f>IFERROR(__xludf.DUMMYFUNCTION("""COMPUTED_VALUE"""),"All amenities")</f>
        <v>All amenities</v>
      </c>
      <c r="K3434" s="2">
        <f>IFERROR(__xludf.DUMMYFUNCTION("""COMPUTED_VALUE"""),14800.0)</f>
        <v>14800</v>
      </c>
      <c r="L3434" s="2">
        <f>IFERROR(__xludf.DUMMYFUNCTION("""COMPUTED_VALUE"""),56.9348571)</f>
        <v>56.9348571</v>
      </c>
      <c r="M3434" s="2">
        <f>IFERROR(__xludf.DUMMYFUNCTION("""COMPUTED_VALUE"""),24.1665681043578)</f>
        <v>24.1665681</v>
      </c>
    </row>
    <row r="3435">
      <c r="A3435" s="2" t="str">
        <f>IFERROR(__xludf.DUMMYFUNCTION("""COMPUTED_VALUE"""),"For sale")</f>
        <v>For sale</v>
      </c>
      <c r="B3435" s="2" t="str">
        <f>IFERROR(__xludf.DUMMYFUNCTION("""COMPUTED_VALUE"""),"Imanta")</f>
        <v>Imanta</v>
      </c>
      <c r="C3435" s="2" t="str">
        <f>IFERROR(__xludf.DUMMYFUNCTION("""COMPUTED_VALUE"""),"M. Krūmu 1")</f>
        <v>M. Krūmu 1</v>
      </c>
      <c r="D3435" s="2">
        <f>IFERROR(__xludf.DUMMYFUNCTION("""COMPUTED_VALUE"""),3.0)</f>
        <v>3</v>
      </c>
      <c r="E3435" s="2">
        <f>IFERROR(__xludf.DUMMYFUNCTION("""COMPUTED_VALUE"""),59.0)</f>
        <v>59</v>
      </c>
      <c r="F3435" s="2">
        <f>IFERROR(__xludf.DUMMYFUNCTION("""COMPUTED_VALUE"""),4.0)</f>
        <v>4</v>
      </c>
      <c r="G3435" s="2">
        <f>IFERROR(__xludf.DUMMYFUNCTION("""COMPUTED_VALUE"""),5.0)</f>
        <v>5</v>
      </c>
      <c r="H3435" s="2" t="str">
        <f>IFERROR(__xludf.DUMMYFUNCTION("""COMPUTED_VALUE"""),"LT proj.")</f>
        <v>LT proj.</v>
      </c>
      <c r="I3435" s="2" t="str">
        <f>IFERROR(__xludf.DUMMYFUNCTION("""COMPUTED_VALUE"""),"Panel")</f>
        <v>Panel</v>
      </c>
      <c r="J3435" s="2" t="str">
        <f>IFERROR(__xludf.DUMMYFUNCTION("""COMPUTED_VALUE"""),"All amenities")</f>
        <v>All amenities</v>
      </c>
      <c r="K3435" s="2">
        <f>IFERROR(__xludf.DUMMYFUNCTION("""COMPUTED_VALUE"""),62000.0)</f>
        <v>62000</v>
      </c>
      <c r="L3435" s="2">
        <f>IFERROR(__xludf.DUMMYFUNCTION("""COMPUTED_VALUE"""),56.9572544)</f>
        <v>56.9572544</v>
      </c>
      <c r="M3435" s="2">
        <f>IFERROR(__xludf.DUMMYFUNCTION("""COMPUTED_VALUE"""),24.0022051476818)</f>
        <v>24.00220515</v>
      </c>
    </row>
    <row r="3436">
      <c r="A3436" s="2" t="str">
        <f>IFERROR(__xludf.DUMMYFUNCTION("""COMPUTED_VALUE"""),"For sale")</f>
        <v>For sale</v>
      </c>
      <c r="B3436" s="2" t="str">
        <f>IFERROR(__xludf.DUMMYFUNCTION("""COMPUTED_VALUE"""),"Vecmīlgrāvis")</f>
        <v>Vecmīlgrāvis</v>
      </c>
      <c r="C3436" s="2" t="str">
        <f>IFERROR(__xludf.DUMMYFUNCTION("""COMPUTED_VALUE"""),"Emmas 10")</f>
        <v>Emmas 10</v>
      </c>
      <c r="D3436" s="2">
        <f>IFERROR(__xludf.DUMMYFUNCTION("""COMPUTED_VALUE"""),2.0)</f>
        <v>2</v>
      </c>
      <c r="E3436" s="2">
        <f>IFERROR(__xludf.DUMMYFUNCTION("""COMPUTED_VALUE"""),68.0)</f>
        <v>68</v>
      </c>
      <c r="F3436" s="2">
        <f>IFERROR(__xludf.DUMMYFUNCTION("""COMPUTED_VALUE"""),1.0)</f>
        <v>1</v>
      </c>
      <c r="G3436" s="2">
        <f>IFERROR(__xludf.DUMMYFUNCTION("""COMPUTED_VALUE"""),3.0)</f>
        <v>3</v>
      </c>
      <c r="H3436" s="2" t="str">
        <f>IFERROR(__xludf.DUMMYFUNCTION("""COMPUTED_VALUE"""),"Staļina")</f>
        <v>Staļina</v>
      </c>
      <c r="I3436" s="2" t="str">
        <f>IFERROR(__xludf.DUMMYFUNCTION("""COMPUTED_VALUE"""),"Brick")</f>
        <v>Brick</v>
      </c>
      <c r="J3436" s="2" t="str">
        <f>IFERROR(__xludf.DUMMYFUNCTION("""COMPUTED_VALUE"""),"All amenities")</f>
        <v>All amenities</v>
      </c>
      <c r="K3436" s="2">
        <f>IFERROR(__xludf.DUMMYFUNCTION("""COMPUTED_VALUE"""),19000.0)</f>
        <v>19000</v>
      </c>
      <c r="L3436" s="2">
        <f>IFERROR(__xludf.DUMMYFUNCTION("""COMPUTED_VALUE"""),57.0289807)</f>
        <v>57.0289807</v>
      </c>
      <c r="M3436" s="2">
        <f>IFERROR(__xludf.DUMMYFUNCTION("""COMPUTED_VALUE"""),24.1100786)</f>
        <v>24.1100786</v>
      </c>
    </row>
    <row r="3437">
      <c r="A3437" s="2" t="str">
        <f>IFERROR(__xludf.DUMMYFUNCTION("""COMPUTED_VALUE"""),"For sale")</f>
        <v>For sale</v>
      </c>
      <c r="B3437" s="2" t="str">
        <f>IFERROR(__xludf.DUMMYFUNCTION("""COMPUTED_VALUE"""),"Ķengarags")</f>
        <v>Ķengarags</v>
      </c>
      <c r="C3437" s="2" t="str">
        <f>IFERROR(__xludf.DUMMYFUNCTION("""COMPUTED_VALUE"""),"Maskavas 258/6")</f>
        <v>Maskavas 258/6</v>
      </c>
      <c r="D3437" s="2">
        <f>IFERROR(__xludf.DUMMYFUNCTION("""COMPUTED_VALUE"""),1.0)</f>
        <v>1</v>
      </c>
      <c r="E3437" s="2">
        <f>IFERROR(__xludf.DUMMYFUNCTION("""COMPUTED_VALUE"""),30.0)</f>
        <v>30</v>
      </c>
      <c r="F3437" s="2">
        <f>IFERROR(__xludf.DUMMYFUNCTION("""COMPUTED_VALUE"""),1.0)</f>
        <v>1</v>
      </c>
      <c r="G3437" s="2">
        <f>IFERROR(__xludf.DUMMYFUNCTION("""COMPUTED_VALUE"""),5.0)</f>
        <v>5</v>
      </c>
      <c r="H3437" s="2" t="str">
        <f>IFERROR(__xludf.DUMMYFUNCTION("""COMPUTED_VALUE"""),"LT proj.")</f>
        <v>LT proj.</v>
      </c>
      <c r="I3437" s="2" t="str">
        <f>IFERROR(__xludf.DUMMYFUNCTION("""COMPUTED_VALUE"""),"Panel")</f>
        <v>Panel</v>
      </c>
      <c r="J3437" s="2" t="str">
        <f>IFERROR(__xludf.DUMMYFUNCTION("""COMPUTED_VALUE"""),"All amenities")</f>
        <v>All amenities</v>
      </c>
      <c r="K3437" s="2">
        <f>IFERROR(__xludf.DUMMYFUNCTION("""COMPUTED_VALUE"""),29500.0)</f>
        <v>29500</v>
      </c>
      <c r="L3437" s="2">
        <f>IFERROR(__xludf.DUMMYFUNCTION("""COMPUTED_VALUE"""),56.94462625)</f>
        <v>56.94462625</v>
      </c>
      <c r="M3437" s="2">
        <f>IFERROR(__xludf.DUMMYFUNCTION("""COMPUTED_VALUE"""),24.1128920424425)</f>
        <v>24.11289204</v>
      </c>
    </row>
    <row r="3438">
      <c r="A3438" s="2" t="str">
        <f>IFERROR(__xludf.DUMMYFUNCTION("""COMPUTED_VALUE"""),"For sale")</f>
        <v>For sale</v>
      </c>
      <c r="B3438" s="2" t="str">
        <f>IFERROR(__xludf.DUMMYFUNCTION("""COMPUTED_VALUE"""),"Zolitūde")</f>
        <v>Zolitūde</v>
      </c>
      <c r="C3438" s="2" t="str">
        <f>IFERROR(__xludf.DUMMYFUNCTION("""COMPUTED_VALUE"""),"Gramzdas 17")</f>
        <v>Gramzdas 17</v>
      </c>
      <c r="D3438" s="2">
        <f>IFERROR(__xludf.DUMMYFUNCTION("""COMPUTED_VALUE"""),4.0)</f>
        <v>4</v>
      </c>
      <c r="E3438" s="2">
        <f>IFERROR(__xludf.DUMMYFUNCTION("""COMPUTED_VALUE"""),90.0)</f>
        <v>90</v>
      </c>
      <c r="F3438" s="2">
        <f>IFERROR(__xludf.DUMMYFUNCTION("""COMPUTED_VALUE"""),4.0)</f>
        <v>4</v>
      </c>
      <c r="G3438" s="2">
        <f>IFERROR(__xludf.DUMMYFUNCTION("""COMPUTED_VALUE"""),9.0)</f>
        <v>9</v>
      </c>
      <c r="H3438" s="2">
        <f>IFERROR(__xludf.DUMMYFUNCTION("""COMPUTED_VALUE"""),119.0)</f>
        <v>119</v>
      </c>
      <c r="I3438" s="2" t="str">
        <f>IFERROR(__xludf.DUMMYFUNCTION("""COMPUTED_VALUE"""),"Panel")</f>
        <v>Panel</v>
      </c>
      <c r="J3438" s="2" t="str">
        <f>IFERROR(__xludf.DUMMYFUNCTION("""COMPUTED_VALUE"""),"All amenities")</f>
        <v>All amenities</v>
      </c>
      <c r="K3438" s="2">
        <f>IFERROR(__xludf.DUMMYFUNCTION("""COMPUTED_VALUE"""),95000.0)</f>
        <v>95000</v>
      </c>
      <c r="L3438" s="2">
        <f>IFERROR(__xludf.DUMMYFUNCTION("""COMPUTED_VALUE"""),56.9449087499999)</f>
        <v>56.94490875</v>
      </c>
      <c r="M3438" s="2">
        <f>IFERROR(__xludf.DUMMYFUNCTION("""COMPUTED_VALUE"""),24.0089753169377)</f>
        <v>24.00897532</v>
      </c>
    </row>
    <row r="3439">
      <c r="A3439" s="2" t="str">
        <f>IFERROR(__xludf.DUMMYFUNCTION("""COMPUTED_VALUE"""),"For sale")</f>
        <v>For sale</v>
      </c>
      <c r="B3439" s="2" t="str">
        <f>IFERROR(__xludf.DUMMYFUNCTION("""COMPUTED_VALUE"""),"Pļavnieki")</f>
        <v>Pļavnieki</v>
      </c>
      <c r="C3439" s="2" t="str">
        <f>IFERROR(__xludf.DUMMYFUNCTION("""COMPUTED_VALUE"""),"Ilūkstes 101")</f>
        <v>Ilūkstes 101</v>
      </c>
      <c r="D3439" s="2">
        <f>IFERROR(__xludf.DUMMYFUNCTION("""COMPUTED_VALUE"""),1.0)</f>
        <v>1</v>
      </c>
      <c r="E3439" s="2">
        <f>IFERROR(__xludf.DUMMYFUNCTION("""COMPUTED_VALUE"""),37.0)</f>
        <v>37</v>
      </c>
      <c r="F3439" s="2">
        <f>IFERROR(__xludf.DUMMYFUNCTION("""COMPUTED_VALUE"""),3.0)</f>
        <v>3</v>
      </c>
      <c r="G3439" s="2">
        <f>IFERROR(__xludf.DUMMYFUNCTION("""COMPUTED_VALUE"""),5.0)</f>
        <v>5</v>
      </c>
      <c r="H3439" s="2">
        <f>IFERROR(__xludf.DUMMYFUNCTION("""COMPUTED_VALUE"""),103.0)</f>
        <v>103</v>
      </c>
      <c r="I3439" s="2" t="str">
        <f>IFERROR(__xludf.DUMMYFUNCTION("""COMPUTED_VALUE"""),"Brick")</f>
        <v>Brick</v>
      </c>
      <c r="J3439" s="2" t="str">
        <f>IFERROR(__xludf.DUMMYFUNCTION("""COMPUTED_VALUE"""),"All amenities")</f>
        <v>All amenities</v>
      </c>
      <c r="K3439" s="2">
        <f>IFERROR(__xludf.DUMMYFUNCTION("""COMPUTED_VALUE"""),33000.0)</f>
        <v>33000</v>
      </c>
      <c r="L3439" s="2">
        <f>IFERROR(__xludf.DUMMYFUNCTION("""COMPUTED_VALUE"""),56.9521699)</f>
        <v>56.9521699</v>
      </c>
      <c r="M3439" s="2">
        <f>IFERROR(__xludf.DUMMYFUNCTION("""COMPUTED_VALUE"""),24.1956952983417)</f>
        <v>24.1956953</v>
      </c>
    </row>
    <row r="3440">
      <c r="A3440" s="2" t="str">
        <f>IFERROR(__xludf.DUMMYFUNCTION("""COMPUTED_VALUE"""),"For sale")</f>
        <v>For sale</v>
      </c>
      <c r="B3440" s="2" t="str">
        <f>IFERROR(__xludf.DUMMYFUNCTION("""COMPUTED_VALUE"""),"Imanta")</f>
        <v>Imanta</v>
      </c>
      <c r="C3440" s="2" t="str">
        <f>IFERROR(__xludf.DUMMYFUNCTION("""COMPUTED_VALUE"""),"Anniņmuižas bulvāris 43")</f>
        <v>Anniņmuižas bulvāris 43</v>
      </c>
      <c r="D3440" s="2">
        <f>IFERROR(__xludf.DUMMYFUNCTION("""COMPUTED_VALUE"""),3.0)</f>
        <v>3</v>
      </c>
      <c r="E3440" s="2">
        <f>IFERROR(__xludf.DUMMYFUNCTION("""COMPUTED_VALUE"""),95.0)</f>
        <v>95</v>
      </c>
      <c r="F3440" s="2">
        <f>IFERROR(__xludf.DUMMYFUNCTION("""COMPUTED_VALUE"""),8.0)</f>
        <v>8</v>
      </c>
      <c r="G3440" s="2">
        <f>IFERROR(__xludf.DUMMYFUNCTION("""COMPUTED_VALUE"""),24.0)</f>
        <v>24</v>
      </c>
      <c r="H3440" s="2" t="str">
        <f>IFERROR(__xludf.DUMMYFUNCTION("""COMPUTED_VALUE"""),"Jaun.")</f>
        <v>Jaun.</v>
      </c>
      <c r="I3440" s="2" t="str">
        <f>IFERROR(__xludf.DUMMYFUNCTION("""COMPUTED_VALUE"""),"Masonry")</f>
        <v>Masonry</v>
      </c>
      <c r="J3440" s="2" t="str">
        <f>IFERROR(__xludf.DUMMYFUNCTION("""COMPUTED_VALUE"""),"All amenities")</f>
        <v>All amenities</v>
      </c>
      <c r="K3440" s="2">
        <f>IFERROR(__xludf.DUMMYFUNCTION("""COMPUTED_VALUE"""),180000.0)</f>
        <v>180000</v>
      </c>
      <c r="L3440" s="2">
        <f>IFERROR(__xludf.DUMMYFUNCTION("""COMPUTED_VALUE"""),56.9590306)</f>
        <v>56.9590306</v>
      </c>
      <c r="M3440" s="2">
        <f>IFERROR(__xludf.DUMMYFUNCTION("""COMPUTED_VALUE"""),24.013887042853)</f>
        <v>24.01388704</v>
      </c>
    </row>
    <row r="3441">
      <c r="A3441" s="2" t="str">
        <f>IFERROR(__xludf.DUMMYFUNCTION("""COMPUTED_VALUE"""),"For sale")</f>
        <v>For sale</v>
      </c>
      <c r="B3441" s="2" t="str">
        <f>IFERROR(__xludf.DUMMYFUNCTION("""COMPUTED_VALUE"""),"Iļģuciems")</f>
        <v>Iļģuciems</v>
      </c>
      <c r="C3441" s="2" t="str">
        <f>IFERROR(__xludf.DUMMYFUNCTION("""COMPUTED_VALUE"""),"Buļļu 42 b")</f>
        <v>Buļļu 42 b</v>
      </c>
      <c r="D3441" s="2">
        <f>IFERROR(__xludf.DUMMYFUNCTION("""COMPUTED_VALUE"""),3.0)</f>
        <v>3</v>
      </c>
      <c r="E3441" s="2">
        <f>IFERROR(__xludf.DUMMYFUNCTION("""COMPUTED_VALUE"""),82.0)</f>
        <v>82</v>
      </c>
      <c r="F3441" s="2">
        <f>IFERROR(__xludf.DUMMYFUNCTION("""COMPUTED_VALUE"""),9.0)</f>
        <v>9</v>
      </c>
      <c r="G3441" s="2">
        <f>IFERROR(__xludf.DUMMYFUNCTION("""COMPUTED_VALUE"""),10.0)</f>
        <v>10</v>
      </c>
      <c r="H3441" s="2">
        <f>IFERROR(__xludf.DUMMYFUNCTION("""COMPUTED_VALUE"""),119.0)</f>
        <v>119</v>
      </c>
      <c r="I3441" s="2" t="str">
        <f>IFERROR(__xludf.DUMMYFUNCTION("""COMPUTED_VALUE"""),"Panel")</f>
        <v>Panel</v>
      </c>
      <c r="J3441" s="2" t="str">
        <f>IFERROR(__xludf.DUMMYFUNCTION("""COMPUTED_VALUE"""),"All amenities")</f>
        <v>All amenities</v>
      </c>
      <c r="K3441" s="2">
        <f>IFERROR(__xludf.DUMMYFUNCTION("""COMPUTED_VALUE"""),77500.0)</f>
        <v>77500</v>
      </c>
      <c r="L3441" s="2">
        <f>IFERROR(__xludf.DUMMYFUNCTION("""COMPUTED_VALUE"""),56.965298)</f>
        <v>56.965298</v>
      </c>
      <c r="M3441" s="2">
        <f>IFERROR(__xludf.DUMMYFUNCTION("""COMPUTED_VALUE"""),24.0573721)</f>
        <v>24.0573721</v>
      </c>
    </row>
    <row r="3442">
      <c r="A3442" s="2" t="str">
        <f>IFERROR(__xludf.DUMMYFUNCTION("""COMPUTED_VALUE"""),"For sale")</f>
        <v>For sale</v>
      </c>
      <c r="B3442" s="2" t="str">
        <f>IFERROR(__xludf.DUMMYFUNCTION("""COMPUTED_VALUE"""),"centrs")</f>
        <v>centrs</v>
      </c>
      <c r="C3442" s="2" t="str">
        <f>IFERROR(__xludf.DUMMYFUNCTION("""COMPUTED_VALUE"""),"Strēlnieku 7")</f>
        <v>Strēlnieku 7</v>
      </c>
      <c r="D3442" s="2">
        <f>IFERROR(__xludf.DUMMYFUNCTION("""COMPUTED_VALUE"""),2.0)</f>
        <v>2</v>
      </c>
      <c r="E3442" s="2">
        <f>IFERROR(__xludf.DUMMYFUNCTION("""COMPUTED_VALUE"""),57.0)</f>
        <v>57</v>
      </c>
      <c r="F3442" s="2">
        <f>IFERROR(__xludf.DUMMYFUNCTION("""COMPUTED_VALUE"""),5.0)</f>
        <v>5</v>
      </c>
      <c r="G3442" s="2">
        <f>IFERROR(__xludf.DUMMYFUNCTION("""COMPUTED_VALUE"""),7.0)</f>
        <v>7</v>
      </c>
      <c r="H3442" s="2" t="str">
        <f>IFERROR(__xludf.DUMMYFUNCTION("""COMPUTED_VALUE"""),"Jaun.")</f>
        <v>Jaun.</v>
      </c>
      <c r="I3442" s="2" t="str">
        <f>IFERROR(__xludf.DUMMYFUNCTION("""COMPUTED_VALUE"""),"Masonry")</f>
        <v>Masonry</v>
      </c>
      <c r="J3442" s="2" t="str">
        <f>IFERROR(__xludf.DUMMYFUNCTION("""COMPUTED_VALUE"""),"All amenities")</f>
        <v>All amenities</v>
      </c>
      <c r="K3442" s="2">
        <f>IFERROR(__xludf.DUMMYFUNCTION("""COMPUTED_VALUE"""),162000.0)</f>
        <v>162000</v>
      </c>
      <c r="L3442" s="2">
        <f>IFERROR(__xludf.DUMMYFUNCTION("""COMPUTED_VALUE"""),56.9596279)</f>
        <v>56.9596279</v>
      </c>
      <c r="M3442" s="2">
        <f>IFERROR(__xludf.DUMMYFUNCTION("""COMPUTED_VALUE"""),24.1079909)</f>
        <v>24.1079909</v>
      </c>
    </row>
    <row r="3443">
      <c r="A3443" s="2" t="str">
        <f>IFERROR(__xludf.DUMMYFUNCTION("""COMPUTED_VALUE"""),"For sale")</f>
        <v>For sale</v>
      </c>
      <c r="B3443" s="2" t="str">
        <f>IFERROR(__xludf.DUMMYFUNCTION("""COMPUTED_VALUE"""),"Vecrīga")</f>
        <v>Vecrīga</v>
      </c>
      <c r="C3443" s="2" t="str">
        <f>IFERROR(__xludf.DUMMYFUNCTION("""COMPUTED_VALUE"""),"Peitavas 5")</f>
        <v>Peitavas 5</v>
      </c>
      <c r="D3443" s="2">
        <f>IFERROR(__xludf.DUMMYFUNCTION("""COMPUTED_VALUE"""),3.0)</f>
        <v>3</v>
      </c>
      <c r="E3443" s="2">
        <f>IFERROR(__xludf.DUMMYFUNCTION("""COMPUTED_VALUE"""),78.0)</f>
        <v>78</v>
      </c>
      <c r="F3443" s="2">
        <f>IFERROR(__xludf.DUMMYFUNCTION("""COMPUTED_VALUE"""),5.0)</f>
        <v>5</v>
      </c>
      <c r="G3443" s="2">
        <f>IFERROR(__xludf.DUMMYFUNCTION("""COMPUTED_VALUE"""),5.0)</f>
        <v>5</v>
      </c>
      <c r="H3443" s="2" t="str">
        <f>IFERROR(__xludf.DUMMYFUNCTION("""COMPUTED_VALUE"""),"Renov.")</f>
        <v>Renov.</v>
      </c>
      <c r="I3443" s="2" t="str">
        <f>IFERROR(__xludf.DUMMYFUNCTION("""COMPUTED_VALUE"""),"Brick")</f>
        <v>Brick</v>
      </c>
      <c r="J3443" s="2" t="str">
        <f>IFERROR(__xludf.DUMMYFUNCTION("""COMPUTED_VALUE"""),"All amenities")</f>
        <v>All amenities</v>
      </c>
      <c r="K3443" s="2">
        <f>IFERROR(__xludf.DUMMYFUNCTION("""COMPUTED_VALUE"""),220000.0)</f>
        <v>220000</v>
      </c>
      <c r="L3443" s="2">
        <f>IFERROR(__xludf.DUMMYFUNCTION("""COMPUTED_VALUE"""),56.9462191)</f>
        <v>56.9462191</v>
      </c>
      <c r="M3443" s="2">
        <f>IFERROR(__xludf.DUMMYFUNCTION("""COMPUTED_VALUE"""),24.1099153)</f>
        <v>24.1099153</v>
      </c>
    </row>
    <row r="3444">
      <c r="A3444" s="2" t="str">
        <f>IFERROR(__xludf.DUMMYFUNCTION("""COMPUTED_VALUE"""),"For rent")</f>
        <v>For rent</v>
      </c>
      <c r="B3444" s="2" t="str">
        <f>IFERROR(__xludf.DUMMYFUNCTION("""COMPUTED_VALUE"""),"Zolitūde")</f>
        <v>Zolitūde</v>
      </c>
      <c r="C3444" s="2" t="str">
        <f>IFERROR(__xludf.DUMMYFUNCTION("""COMPUTED_VALUE"""),"Jūrkalnes 87")</f>
        <v>Jūrkalnes 87</v>
      </c>
      <c r="D3444" s="2">
        <f>IFERROR(__xludf.DUMMYFUNCTION("""COMPUTED_VALUE"""),4.0)</f>
        <v>4</v>
      </c>
      <c r="E3444" s="2">
        <f>IFERROR(__xludf.DUMMYFUNCTION("""COMPUTED_VALUE"""),136.0)</f>
        <v>136</v>
      </c>
      <c r="F3444" s="2">
        <f>IFERROR(__xludf.DUMMYFUNCTION("""COMPUTED_VALUE"""),2.0)</f>
        <v>2</v>
      </c>
      <c r="G3444" s="2">
        <f>IFERROR(__xludf.DUMMYFUNCTION("""COMPUTED_VALUE"""),5.0)</f>
        <v>5</v>
      </c>
      <c r="H3444" s="2" t="str">
        <f>IFERROR(__xludf.DUMMYFUNCTION("""COMPUTED_VALUE"""),"Jaun.")</f>
        <v>Jaun.</v>
      </c>
      <c r="I3444" s="2" t="str">
        <f>IFERROR(__xludf.DUMMYFUNCTION("""COMPUTED_VALUE"""),"Panel-Brick")</f>
        <v>Panel-Brick</v>
      </c>
      <c r="J3444" s="2" t="str">
        <f>IFERROR(__xludf.DUMMYFUNCTION("""COMPUTED_VALUE"""),"All amenities")</f>
        <v>All amenities</v>
      </c>
      <c r="K3444" s="2">
        <f>IFERROR(__xludf.DUMMYFUNCTION("""COMPUTED_VALUE"""),1100.0)</f>
        <v>1100</v>
      </c>
      <c r="L3444" s="2">
        <f>IFERROR(__xludf.DUMMYFUNCTION("""COMPUTED_VALUE"""),56.93640045)</f>
        <v>56.93640045</v>
      </c>
      <c r="M3444" s="2">
        <f>IFERROR(__xludf.DUMMYFUNCTION("""COMPUTED_VALUE"""),24.0176289889575)</f>
        <v>24.01762899</v>
      </c>
    </row>
    <row r="3445">
      <c r="A3445" s="2" t="str">
        <f>IFERROR(__xludf.DUMMYFUNCTION("""COMPUTED_VALUE"""),"For sale")</f>
        <v>For sale</v>
      </c>
      <c r="B3445" s="2" t="str">
        <f>IFERROR(__xludf.DUMMYFUNCTION("""COMPUTED_VALUE"""),"Mežciems")</f>
        <v>Mežciems</v>
      </c>
      <c r="C3445" s="2" t="str">
        <f>IFERROR(__xludf.DUMMYFUNCTION("""COMPUTED_VALUE"""),"Kaivas 50")</f>
        <v>Kaivas 50</v>
      </c>
      <c r="D3445" s="2">
        <f>IFERROR(__xludf.DUMMYFUNCTION("""COMPUTED_VALUE"""),3.0)</f>
        <v>3</v>
      </c>
      <c r="E3445" s="2">
        <f>IFERROR(__xludf.DUMMYFUNCTION("""COMPUTED_VALUE"""),92.0)</f>
        <v>92</v>
      </c>
      <c r="F3445" s="2">
        <f>IFERROR(__xludf.DUMMYFUNCTION("""COMPUTED_VALUE"""),2.0)</f>
        <v>2</v>
      </c>
      <c r="G3445" s="2">
        <f>IFERROR(__xludf.DUMMYFUNCTION("""COMPUTED_VALUE"""),5.0)</f>
        <v>5</v>
      </c>
      <c r="H3445" s="2" t="str">
        <f>IFERROR(__xludf.DUMMYFUNCTION("""COMPUTED_VALUE"""),"Jaun.")</f>
        <v>Jaun.</v>
      </c>
      <c r="I3445" s="2" t="str">
        <f>IFERROR(__xludf.DUMMYFUNCTION("""COMPUTED_VALUE"""),"Brick-Panel")</f>
        <v>Brick-Panel</v>
      </c>
      <c r="J3445" s="2" t="str">
        <f>IFERROR(__xludf.DUMMYFUNCTION("""COMPUTED_VALUE"""),"All amenities")</f>
        <v>All amenities</v>
      </c>
      <c r="K3445" s="2">
        <f>IFERROR(__xludf.DUMMYFUNCTION("""COMPUTED_VALUE"""),136000.0)</f>
        <v>136000</v>
      </c>
      <c r="L3445" s="2">
        <f>IFERROR(__xludf.DUMMYFUNCTION("""COMPUTED_VALUE"""),56.95546705)</f>
        <v>56.95546705</v>
      </c>
      <c r="M3445" s="2">
        <f>IFERROR(__xludf.DUMMYFUNCTION("""COMPUTED_VALUE"""),24.24181865)</f>
        <v>24.24181865</v>
      </c>
    </row>
    <row r="3446">
      <c r="A3446" s="2" t="str">
        <f>IFERROR(__xludf.DUMMYFUNCTION("""COMPUTED_VALUE"""),"For sale")</f>
        <v>For sale</v>
      </c>
      <c r="B3446" s="2" t="str">
        <f>IFERROR(__xludf.DUMMYFUNCTION("""COMPUTED_VALUE"""),"Purvciems")</f>
        <v>Purvciems</v>
      </c>
      <c r="C3446" s="2" t="str">
        <f>IFERROR(__xludf.DUMMYFUNCTION("""COMPUTED_VALUE"""),"Pūces 43")</f>
        <v>Pūces 43</v>
      </c>
      <c r="D3446" s="2">
        <f>IFERROR(__xludf.DUMMYFUNCTION("""COMPUTED_VALUE"""),2.0)</f>
        <v>2</v>
      </c>
      <c r="E3446" s="2">
        <f>IFERROR(__xludf.DUMMYFUNCTION("""COMPUTED_VALUE"""),86.0)</f>
        <v>86</v>
      </c>
      <c r="F3446" s="2">
        <f>IFERROR(__xludf.DUMMYFUNCTION("""COMPUTED_VALUE"""),6.0)</f>
        <v>6</v>
      </c>
      <c r="G3446" s="2">
        <f>IFERROR(__xludf.DUMMYFUNCTION("""COMPUTED_VALUE"""),9.0)</f>
        <v>9</v>
      </c>
      <c r="H3446" s="2" t="str">
        <f>IFERROR(__xludf.DUMMYFUNCTION("""COMPUTED_VALUE"""),"Jaun.")</f>
        <v>Jaun.</v>
      </c>
      <c r="I3446" s="2" t="str">
        <f>IFERROR(__xludf.DUMMYFUNCTION("""COMPUTED_VALUE"""),"Panel")</f>
        <v>Panel</v>
      </c>
      <c r="J3446" s="2" t="str">
        <f>IFERROR(__xludf.DUMMYFUNCTION("""COMPUTED_VALUE"""),"All amenities")</f>
        <v>All amenities</v>
      </c>
      <c r="K3446" s="2">
        <f>IFERROR(__xludf.DUMMYFUNCTION("""COMPUTED_VALUE"""),99000.0)</f>
        <v>99000</v>
      </c>
      <c r="L3446" s="2">
        <f>IFERROR(__xludf.DUMMYFUNCTION("""COMPUTED_VALUE"""),56.95305905)</f>
        <v>56.95305905</v>
      </c>
      <c r="M3446" s="2">
        <f>IFERROR(__xludf.DUMMYFUNCTION("""COMPUTED_VALUE"""),24.1895784205048)</f>
        <v>24.18957842</v>
      </c>
    </row>
    <row r="3447">
      <c r="A3447" s="2" t="str">
        <f>IFERROR(__xludf.DUMMYFUNCTION("""COMPUTED_VALUE"""),"For rent")</f>
        <v>For rent</v>
      </c>
      <c r="B3447" s="2" t="str">
        <f>IFERROR(__xludf.DUMMYFUNCTION("""COMPUTED_VALUE"""),"Mežciems")</f>
        <v>Mežciems</v>
      </c>
      <c r="C3447" s="2" t="str">
        <f>IFERROR(__xludf.DUMMYFUNCTION("""COMPUTED_VALUE"""),"Druvienas 36")</f>
        <v>Druvienas 36</v>
      </c>
      <c r="D3447" s="2">
        <f>IFERROR(__xludf.DUMMYFUNCTION("""COMPUTED_VALUE"""),2.0)</f>
        <v>2</v>
      </c>
      <c r="E3447" s="2">
        <f>IFERROR(__xludf.DUMMYFUNCTION("""COMPUTED_VALUE"""),50.0)</f>
        <v>50</v>
      </c>
      <c r="F3447" s="2">
        <f>IFERROR(__xludf.DUMMYFUNCTION("""COMPUTED_VALUE"""),7.0)</f>
        <v>7</v>
      </c>
      <c r="G3447" s="2">
        <f>IFERROR(__xludf.DUMMYFUNCTION("""COMPUTED_VALUE"""),9.0)</f>
        <v>9</v>
      </c>
      <c r="H3447" s="2">
        <f>IFERROR(__xludf.DUMMYFUNCTION("""COMPUTED_VALUE"""),602.0)</f>
        <v>602</v>
      </c>
      <c r="I3447" s="2" t="str">
        <f>IFERROR(__xludf.DUMMYFUNCTION("""COMPUTED_VALUE"""),"Panel")</f>
        <v>Panel</v>
      </c>
      <c r="J3447" s="2" t="str">
        <f>IFERROR(__xludf.DUMMYFUNCTION("""COMPUTED_VALUE"""),"All amenities")</f>
        <v>All amenities</v>
      </c>
      <c r="K3447" s="2">
        <f>IFERROR(__xludf.DUMMYFUNCTION("""COMPUTED_VALUE"""),290.0)</f>
        <v>290</v>
      </c>
      <c r="L3447" s="2">
        <f>IFERROR(__xludf.DUMMYFUNCTION("""COMPUTED_VALUE"""),56.970495)</f>
        <v>56.970495</v>
      </c>
      <c r="M3447" s="2">
        <f>IFERROR(__xludf.DUMMYFUNCTION("""COMPUTED_VALUE"""),24.2327076100665)</f>
        <v>24.23270761</v>
      </c>
    </row>
    <row r="3448">
      <c r="A3448" s="2" t="str">
        <f>IFERROR(__xludf.DUMMYFUNCTION("""COMPUTED_VALUE"""),"For sale")</f>
        <v>For sale</v>
      </c>
      <c r="B3448" s="2" t="str">
        <f>IFERROR(__xludf.DUMMYFUNCTION("""COMPUTED_VALUE"""),"Ķengarags")</f>
        <v>Ķengarags</v>
      </c>
      <c r="C3448" s="2" t="str">
        <f>IFERROR(__xludf.DUMMYFUNCTION("""COMPUTED_VALUE"""),"Prūšu 4")</f>
        <v>Prūšu 4</v>
      </c>
      <c r="D3448" s="2">
        <f>IFERROR(__xludf.DUMMYFUNCTION("""COMPUTED_VALUE"""),2.0)</f>
        <v>2</v>
      </c>
      <c r="E3448" s="2">
        <f>IFERROR(__xludf.DUMMYFUNCTION("""COMPUTED_VALUE"""),44.0)</f>
        <v>44</v>
      </c>
      <c r="F3448" s="2">
        <f>IFERROR(__xludf.DUMMYFUNCTION("""COMPUTED_VALUE"""),3.0)</f>
        <v>3</v>
      </c>
      <c r="G3448" s="2">
        <f>IFERROR(__xludf.DUMMYFUNCTION("""COMPUTED_VALUE"""),5.0)</f>
        <v>5</v>
      </c>
      <c r="H3448" s="2" t="str">
        <f>IFERROR(__xludf.DUMMYFUNCTION("""COMPUTED_VALUE"""),"Jaun.")</f>
        <v>Jaun.</v>
      </c>
      <c r="I3448" s="2" t="str">
        <f>IFERROR(__xludf.DUMMYFUNCTION("""COMPUTED_VALUE"""),"Panel")</f>
        <v>Panel</v>
      </c>
      <c r="J3448" s="2" t="str">
        <f>IFERROR(__xludf.DUMMYFUNCTION("""COMPUTED_VALUE"""),"All amenities")</f>
        <v>All amenities</v>
      </c>
      <c r="K3448" s="2">
        <f>IFERROR(__xludf.DUMMYFUNCTION("""COMPUTED_VALUE"""),55372.0)</f>
        <v>55372</v>
      </c>
      <c r="L3448" s="2">
        <f>IFERROR(__xludf.DUMMYFUNCTION("""COMPUTED_VALUE"""),56.9146747)</f>
        <v>56.9146747</v>
      </c>
      <c r="M3448" s="2">
        <f>IFERROR(__xludf.DUMMYFUNCTION("""COMPUTED_VALUE"""),24.1815079346418)</f>
        <v>24.18150793</v>
      </c>
    </row>
    <row r="3449">
      <c r="A3449" s="2" t="str">
        <f>IFERROR(__xludf.DUMMYFUNCTION("""COMPUTED_VALUE"""),"For sale")</f>
        <v>For sale</v>
      </c>
      <c r="B3449" s="2" t="str">
        <f>IFERROR(__xludf.DUMMYFUNCTION("""COMPUTED_VALUE"""),"centrs")</f>
        <v>centrs</v>
      </c>
      <c r="C3449" s="2" t="str">
        <f>IFERROR(__xludf.DUMMYFUNCTION("""COMPUTED_VALUE"""),"Valdemāra 105")</f>
        <v>Valdemāra 105</v>
      </c>
      <c r="D3449" s="2">
        <f>IFERROR(__xludf.DUMMYFUNCTION("""COMPUTED_VALUE"""),2.0)</f>
        <v>2</v>
      </c>
      <c r="E3449" s="2">
        <f>IFERROR(__xludf.DUMMYFUNCTION("""COMPUTED_VALUE"""),46.0)</f>
        <v>46</v>
      </c>
      <c r="F3449" s="2">
        <f>IFERROR(__xludf.DUMMYFUNCTION("""COMPUTED_VALUE"""),2.0)</f>
        <v>2</v>
      </c>
      <c r="G3449" s="2">
        <f>IFERROR(__xludf.DUMMYFUNCTION("""COMPUTED_VALUE"""),5.0)</f>
        <v>5</v>
      </c>
      <c r="H3449" s="2" t="str">
        <f>IFERROR(__xludf.DUMMYFUNCTION("""COMPUTED_VALUE"""),"Specpr.")</f>
        <v>Specpr.</v>
      </c>
      <c r="I3449" s="2" t="str">
        <f>IFERROR(__xludf.DUMMYFUNCTION("""COMPUTED_VALUE"""),"Brick-Panel")</f>
        <v>Brick-Panel</v>
      </c>
      <c r="J3449" s="2" t="str">
        <f>IFERROR(__xludf.DUMMYFUNCTION("""COMPUTED_VALUE"""),"All amenities")</f>
        <v>All amenities</v>
      </c>
      <c r="K3449" s="2">
        <f>IFERROR(__xludf.DUMMYFUNCTION("""COMPUTED_VALUE"""),58000.0)</f>
        <v>58000</v>
      </c>
      <c r="L3449" s="2">
        <f>IFERROR(__xludf.DUMMYFUNCTION("""COMPUTED_VALUE"""),56.96543915)</f>
        <v>56.96543915</v>
      </c>
      <c r="M3449" s="2">
        <f>IFERROR(__xludf.DUMMYFUNCTION("""COMPUTED_VALUE"""),24.1277784249159)</f>
        <v>24.12777842</v>
      </c>
    </row>
    <row r="3450">
      <c r="A3450" s="2" t="str">
        <f>IFERROR(__xludf.DUMMYFUNCTION("""COMPUTED_VALUE"""),"For sale")</f>
        <v>For sale</v>
      </c>
      <c r="B3450" s="2" t="str">
        <f>IFERROR(__xludf.DUMMYFUNCTION("""COMPUTED_VALUE"""),"centrs")</f>
        <v>centrs</v>
      </c>
      <c r="C3450" s="2" t="str">
        <f>IFERROR(__xludf.DUMMYFUNCTION("""COMPUTED_VALUE"""),"Miera 57a")</f>
        <v>Miera 57a</v>
      </c>
      <c r="D3450" s="2">
        <f>IFERROR(__xludf.DUMMYFUNCTION("""COMPUTED_VALUE"""),2.0)</f>
        <v>2</v>
      </c>
      <c r="E3450" s="2">
        <f>IFERROR(__xludf.DUMMYFUNCTION("""COMPUTED_VALUE"""),92.0)</f>
        <v>92</v>
      </c>
      <c r="F3450" s="2">
        <f>IFERROR(__xludf.DUMMYFUNCTION("""COMPUTED_VALUE"""),5.0)</f>
        <v>5</v>
      </c>
      <c r="G3450" s="2">
        <f>IFERROR(__xludf.DUMMYFUNCTION("""COMPUTED_VALUE"""),5.0)</f>
        <v>5</v>
      </c>
      <c r="H3450" s="2" t="str">
        <f>IFERROR(__xludf.DUMMYFUNCTION("""COMPUTED_VALUE"""),"Jaun.")</f>
        <v>Jaun.</v>
      </c>
      <c r="I3450" s="2" t="str">
        <f>IFERROR(__xludf.DUMMYFUNCTION("""COMPUTED_VALUE"""),"Masonry")</f>
        <v>Masonry</v>
      </c>
      <c r="J3450" s="2" t="str">
        <f>IFERROR(__xludf.DUMMYFUNCTION("""COMPUTED_VALUE"""),"All amenities")</f>
        <v>All amenities</v>
      </c>
      <c r="K3450" s="2">
        <f>IFERROR(__xludf.DUMMYFUNCTION("""COMPUTED_VALUE"""),172800.0)</f>
        <v>172800</v>
      </c>
      <c r="L3450" s="2">
        <f>IFERROR(__xludf.DUMMYFUNCTION("""COMPUTED_VALUE"""),56.96762275)</f>
        <v>56.96762275</v>
      </c>
      <c r="M3450" s="2">
        <f>IFERROR(__xludf.DUMMYFUNCTION("""COMPUTED_VALUE"""),24.1341670912384)</f>
        <v>24.13416709</v>
      </c>
    </row>
    <row r="3451">
      <c r="A3451" s="2" t="str">
        <f>IFERROR(__xludf.DUMMYFUNCTION("""COMPUTED_VALUE"""),"For sale")</f>
        <v>For sale</v>
      </c>
      <c r="B3451" s="2" t="str">
        <f>IFERROR(__xludf.DUMMYFUNCTION("""COMPUTED_VALUE"""),"centrs")</f>
        <v>centrs</v>
      </c>
      <c r="C3451" s="2" t="str">
        <f>IFERROR(__xludf.DUMMYFUNCTION("""COMPUTED_VALUE"""),"Miera 57a")</f>
        <v>Miera 57a</v>
      </c>
      <c r="D3451" s="2">
        <f>IFERROR(__xludf.DUMMYFUNCTION("""COMPUTED_VALUE"""),2.0)</f>
        <v>2</v>
      </c>
      <c r="E3451" s="2">
        <f>IFERROR(__xludf.DUMMYFUNCTION("""COMPUTED_VALUE"""),97.0)</f>
        <v>97</v>
      </c>
      <c r="F3451" s="2">
        <f>IFERROR(__xludf.DUMMYFUNCTION("""COMPUTED_VALUE"""),2.0)</f>
        <v>2</v>
      </c>
      <c r="G3451" s="2">
        <f>IFERROR(__xludf.DUMMYFUNCTION("""COMPUTED_VALUE"""),4.0)</f>
        <v>4</v>
      </c>
      <c r="H3451" s="2" t="str">
        <f>IFERROR(__xludf.DUMMYFUNCTION("""COMPUTED_VALUE"""),"Jaun.")</f>
        <v>Jaun.</v>
      </c>
      <c r="I3451" s="2" t="str">
        <f>IFERROR(__xludf.DUMMYFUNCTION("""COMPUTED_VALUE"""),"Masonry")</f>
        <v>Masonry</v>
      </c>
      <c r="J3451" s="2" t="str">
        <f>IFERROR(__xludf.DUMMYFUNCTION("""COMPUTED_VALUE"""),"All amenities")</f>
        <v>All amenities</v>
      </c>
      <c r="K3451" s="2">
        <f>IFERROR(__xludf.DUMMYFUNCTION("""COMPUTED_VALUE"""),168000.0)</f>
        <v>168000</v>
      </c>
      <c r="L3451" s="2">
        <f>IFERROR(__xludf.DUMMYFUNCTION("""COMPUTED_VALUE"""),56.96762275)</f>
        <v>56.96762275</v>
      </c>
      <c r="M3451" s="2">
        <f>IFERROR(__xludf.DUMMYFUNCTION("""COMPUTED_VALUE"""),24.1341670912384)</f>
        <v>24.13416709</v>
      </c>
    </row>
    <row r="3452">
      <c r="A3452" s="2" t="str">
        <f>IFERROR(__xludf.DUMMYFUNCTION("""COMPUTED_VALUE"""),"For sale")</f>
        <v>For sale</v>
      </c>
      <c r="B3452" s="2" t="str">
        <f>IFERROR(__xludf.DUMMYFUNCTION("""COMPUTED_VALUE"""),"Mežciems")</f>
        <v>Mežciems</v>
      </c>
      <c r="C3452" s="2" t="str">
        <f>IFERROR(__xludf.DUMMYFUNCTION("""COMPUTED_VALUE"""),"Hipokrāta 47")</f>
        <v>Hipokrāta 47</v>
      </c>
      <c r="D3452" s="2">
        <f>IFERROR(__xludf.DUMMYFUNCTION("""COMPUTED_VALUE"""),4.0)</f>
        <v>4</v>
      </c>
      <c r="E3452" s="2">
        <f>IFERROR(__xludf.DUMMYFUNCTION("""COMPUTED_VALUE"""),77.0)</f>
        <v>77</v>
      </c>
      <c r="F3452" s="2">
        <f>IFERROR(__xludf.DUMMYFUNCTION("""COMPUTED_VALUE"""),7.0)</f>
        <v>7</v>
      </c>
      <c r="G3452" s="2">
        <f>IFERROR(__xludf.DUMMYFUNCTION("""COMPUTED_VALUE"""),9.0)</f>
        <v>9</v>
      </c>
      <c r="H3452" s="2">
        <f>IFERROR(__xludf.DUMMYFUNCTION("""COMPUTED_VALUE"""),602.0)</f>
        <v>602</v>
      </c>
      <c r="I3452" s="2" t="str">
        <f>IFERROR(__xludf.DUMMYFUNCTION("""COMPUTED_VALUE"""),"Panel")</f>
        <v>Panel</v>
      </c>
      <c r="J3452" s="2" t="str">
        <f>IFERROR(__xludf.DUMMYFUNCTION("""COMPUTED_VALUE"""),"All amenities")</f>
        <v>All amenities</v>
      </c>
      <c r="K3452" s="2">
        <f>IFERROR(__xludf.DUMMYFUNCTION("""COMPUTED_VALUE"""),69500.0)</f>
        <v>69500</v>
      </c>
      <c r="L3452" s="2">
        <f>IFERROR(__xludf.DUMMYFUNCTION("""COMPUTED_VALUE"""),56.9613825499999)</f>
        <v>56.96138255</v>
      </c>
      <c r="M3452" s="2">
        <f>IFERROR(__xludf.DUMMYFUNCTION("""COMPUTED_VALUE"""),24.2356197499999)</f>
        <v>24.23561975</v>
      </c>
    </row>
    <row r="3453">
      <c r="A3453" s="2" t="str">
        <f>IFERROR(__xludf.DUMMYFUNCTION("""COMPUTED_VALUE"""),"For sale")</f>
        <v>For sale</v>
      </c>
      <c r="B3453" s="2" t="str">
        <f>IFERROR(__xludf.DUMMYFUNCTION("""COMPUTED_VALUE"""),"centrs")</f>
        <v>centrs</v>
      </c>
      <c r="C3453" s="2" t="str">
        <f>IFERROR(__xludf.DUMMYFUNCTION("""COMPUTED_VALUE"""),"Lienes 25")</f>
        <v>Lienes 25</v>
      </c>
      <c r="D3453" s="2">
        <f>IFERROR(__xludf.DUMMYFUNCTION("""COMPUTED_VALUE"""),1.0)</f>
        <v>1</v>
      </c>
      <c r="E3453" s="2">
        <f>IFERROR(__xludf.DUMMYFUNCTION("""COMPUTED_VALUE"""),38.0)</f>
        <v>38</v>
      </c>
      <c r="F3453" s="2">
        <f>IFERROR(__xludf.DUMMYFUNCTION("""COMPUTED_VALUE"""),1.0)</f>
        <v>1</v>
      </c>
      <c r="G3453" s="2">
        <f>IFERROR(__xludf.DUMMYFUNCTION("""COMPUTED_VALUE"""),2.0)</f>
        <v>2</v>
      </c>
      <c r="H3453" s="2" t="str">
        <f>IFERROR(__xludf.DUMMYFUNCTION("""COMPUTED_VALUE"""),"P. kara")</f>
        <v>P. kara</v>
      </c>
      <c r="I3453" s="2" t="str">
        <f>IFERROR(__xludf.DUMMYFUNCTION("""COMPUTED_VALUE"""),"Wood")</f>
        <v>Wood</v>
      </c>
      <c r="J3453" s="2" t="str">
        <f>IFERROR(__xludf.DUMMYFUNCTION("""COMPUTED_VALUE"""),"All amenities")</f>
        <v>All amenities</v>
      </c>
      <c r="K3453" s="2">
        <f>IFERROR(__xludf.DUMMYFUNCTION("""COMPUTED_VALUE"""),35000.0)</f>
        <v>35000</v>
      </c>
      <c r="L3453" s="2">
        <f>IFERROR(__xludf.DUMMYFUNCTION("""COMPUTED_VALUE"""),56.9520814)</f>
        <v>56.9520814</v>
      </c>
      <c r="M3453" s="2">
        <f>IFERROR(__xludf.DUMMYFUNCTION("""COMPUTED_VALUE"""),24.1496526443011)</f>
        <v>24.14965264</v>
      </c>
    </row>
    <row r="3454">
      <c r="A3454" s="2" t="str">
        <f>IFERROR(__xludf.DUMMYFUNCTION("""COMPUTED_VALUE"""),"For sale")</f>
        <v>For sale</v>
      </c>
      <c r="B3454" s="2" t="str">
        <f>IFERROR(__xludf.DUMMYFUNCTION("""COMPUTED_VALUE"""),"Ķengarags")</f>
        <v>Ķengarags</v>
      </c>
      <c r="C3454" s="2" t="str">
        <f>IFERROR(__xludf.DUMMYFUNCTION("""COMPUTED_VALUE"""),"Maltas 22")</f>
        <v>Maltas 22</v>
      </c>
      <c r="D3454" s="2">
        <f>IFERROR(__xludf.DUMMYFUNCTION("""COMPUTED_VALUE"""),2.0)</f>
        <v>2</v>
      </c>
      <c r="E3454" s="2">
        <f>IFERROR(__xludf.DUMMYFUNCTION("""COMPUTED_VALUE"""),38.0)</f>
        <v>38</v>
      </c>
      <c r="F3454" s="2">
        <f>IFERROR(__xludf.DUMMYFUNCTION("""COMPUTED_VALUE"""),4.0)</f>
        <v>4</v>
      </c>
      <c r="G3454" s="2">
        <f>IFERROR(__xludf.DUMMYFUNCTION("""COMPUTED_VALUE"""),5.0)</f>
        <v>5</v>
      </c>
      <c r="H3454" s="2" t="str">
        <f>IFERROR(__xludf.DUMMYFUNCTION("""COMPUTED_VALUE"""),"LT proj.")</f>
        <v>LT proj.</v>
      </c>
      <c r="I3454" s="2" t="str">
        <f>IFERROR(__xludf.DUMMYFUNCTION("""COMPUTED_VALUE"""),"Panel")</f>
        <v>Panel</v>
      </c>
      <c r="J3454" s="2" t="str">
        <f>IFERROR(__xludf.DUMMYFUNCTION("""COMPUTED_VALUE"""),"All amenities")</f>
        <v>All amenities</v>
      </c>
      <c r="K3454" s="2">
        <f>IFERROR(__xludf.DUMMYFUNCTION("""COMPUTED_VALUE"""),38000.0)</f>
        <v>38000</v>
      </c>
      <c r="L3454" s="2">
        <f>IFERROR(__xludf.DUMMYFUNCTION("""COMPUTED_VALUE"""),56.90997115)</f>
        <v>56.90997115</v>
      </c>
      <c r="M3454" s="2">
        <f>IFERROR(__xludf.DUMMYFUNCTION("""COMPUTED_VALUE"""),24.1833384198457)</f>
        <v>24.18333842</v>
      </c>
    </row>
    <row r="3455">
      <c r="A3455" s="2" t="str">
        <f>IFERROR(__xludf.DUMMYFUNCTION("""COMPUTED_VALUE"""),"For sale")</f>
        <v>For sale</v>
      </c>
      <c r="B3455" s="2" t="str">
        <f>IFERROR(__xludf.DUMMYFUNCTION("""COMPUTED_VALUE"""),"Pļavnieki")</f>
        <v>Pļavnieki</v>
      </c>
      <c r="C3455" s="2" t="str">
        <f>IFERROR(__xludf.DUMMYFUNCTION("""COMPUTED_VALUE"""),"Salnas 7")</f>
        <v>Salnas 7</v>
      </c>
      <c r="D3455" s="2">
        <f>IFERROR(__xludf.DUMMYFUNCTION("""COMPUTED_VALUE"""),2.0)</f>
        <v>2</v>
      </c>
      <c r="E3455" s="2">
        <f>IFERROR(__xludf.DUMMYFUNCTION("""COMPUTED_VALUE"""),51.0)</f>
        <v>51</v>
      </c>
      <c r="F3455" s="2">
        <f>IFERROR(__xludf.DUMMYFUNCTION("""COMPUTED_VALUE"""),3.0)</f>
        <v>3</v>
      </c>
      <c r="G3455" s="2">
        <f>IFERROR(__xludf.DUMMYFUNCTION("""COMPUTED_VALUE"""),9.0)</f>
        <v>9</v>
      </c>
      <c r="H3455" s="2">
        <f>IFERROR(__xludf.DUMMYFUNCTION("""COMPUTED_VALUE"""),602.0)</f>
        <v>602</v>
      </c>
      <c r="I3455" s="2" t="str">
        <f>IFERROR(__xludf.DUMMYFUNCTION("""COMPUTED_VALUE"""),"Panel")</f>
        <v>Panel</v>
      </c>
      <c r="J3455" s="2" t="str">
        <f>IFERROR(__xludf.DUMMYFUNCTION("""COMPUTED_VALUE"""),"All amenities")</f>
        <v>All amenities</v>
      </c>
      <c r="K3455" s="2">
        <f>IFERROR(__xludf.DUMMYFUNCTION("""COMPUTED_VALUE"""),46500.0)</f>
        <v>46500</v>
      </c>
      <c r="L3455" s="2">
        <f>IFERROR(__xludf.DUMMYFUNCTION("""COMPUTED_VALUE"""),56.9426158)</f>
        <v>56.9426158</v>
      </c>
      <c r="M3455" s="2">
        <f>IFERROR(__xludf.DUMMYFUNCTION("""COMPUTED_VALUE"""),24.2218763)</f>
        <v>24.2218763</v>
      </c>
    </row>
    <row r="3456">
      <c r="A3456" s="2" t="str">
        <f>IFERROR(__xludf.DUMMYFUNCTION("""COMPUTED_VALUE"""),"For rent")</f>
        <v>For rent</v>
      </c>
      <c r="B3456" s="2" t="str">
        <f>IFERROR(__xludf.DUMMYFUNCTION("""COMPUTED_VALUE"""),"Imanta")</f>
        <v>Imanta</v>
      </c>
      <c r="C3456" s="2" t="str">
        <f>IFERROR(__xludf.DUMMYFUNCTION("""COMPUTED_VALUE"""),"Dubultu 23")</f>
        <v>Dubultu 23</v>
      </c>
      <c r="D3456" s="2">
        <f>IFERROR(__xludf.DUMMYFUNCTION("""COMPUTED_VALUE"""),2.0)</f>
        <v>2</v>
      </c>
      <c r="E3456" s="2">
        <f>IFERROR(__xludf.DUMMYFUNCTION("""COMPUTED_VALUE"""),50.0)</f>
        <v>50</v>
      </c>
      <c r="F3456" s="2">
        <f>IFERROR(__xludf.DUMMYFUNCTION("""COMPUTED_VALUE"""),4.0)</f>
        <v>4</v>
      </c>
      <c r="G3456" s="2">
        <f>IFERROR(__xludf.DUMMYFUNCTION("""COMPUTED_VALUE"""),5.0)</f>
        <v>5</v>
      </c>
      <c r="H3456" s="2" t="str">
        <f>IFERROR(__xludf.DUMMYFUNCTION("""COMPUTED_VALUE"""),"LT proj.")</f>
        <v>LT proj.</v>
      </c>
      <c r="I3456" s="2" t="str">
        <f>IFERROR(__xludf.DUMMYFUNCTION("""COMPUTED_VALUE"""),"Panel")</f>
        <v>Panel</v>
      </c>
      <c r="J3456" s="2" t="str">
        <f>IFERROR(__xludf.DUMMYFUNCTION("""COMPUTED_VALUE"""),"All amenities")</f>
        <v>All amenities</v>
      </c>
      <c r="K3456" s="2">
        <f>IFERROR(__xludf.DUMMYFUNCTION("""COMPUTED_VALUE"""),300.0)</f>
        <v>300</v>
      </c>
      <c r="L3456" s="2">
        <f>IFERROR(__xludf.DUMMYFUNCTION("""COMPUTED_VALUE"""),56.9573366)</f>
        <v>56.9573366</v>
      </c>
      <c r="M3456" s="2">
        <f>IFERROR(__xludf.DUMMYFUNCTION("""COMPUTED_VALUE"""),24.0049942222037)</f>
        <v>24.00499422</v>
      </c>
    </row>
    <row r="3457">
      <c r="A3457" s="2" t="str">
        <f>IFERROR(__xludf.DUMMYFUNCTION("""COMPUTED_VALUE"""),"For sale")</f>
        <v>For sale</v>
      </c>
      <c r="B3457" s="2" t="str">
        <f>IFERROR(__xludf.DUMMYFUNCTION("""COMPUTED_VALUE"""),"Sarkandaugava")</f>
        <v>Sarkandaugava</v>
      </c>
      <c r="C3457" s="2" t="str">
        <f>IFERROR(__xludf.DUMMYFUNCTION("""COMPUTED_VALUE"""),"Sarkandaugavas 3")</f>
        <v>Sarkandaugavas 3</v>
      </c>
      <c r="D3457" s="2">
        <f>IFERROR(__xludf.DUMMYFUNCTION("""COMPUTED_VALUE"""),2.0)</f>
        <v>2</v>
      </c>
      <c r="E3457" s="2">
        <f>IFERROR(__xludf.DUMMYFUNCTION("""COMPUTED_VALUE"""),44.0)</f>
        <v>44</v>
      </c>
      <c r="F3457" s="2">
        <f>IFERROR(__xludf.DUMMYFUNCTION("""COMPUTED_VALUE"""),1.0)</f>
        <v>1</v>
      </c>
      <c r="G3457" s="2">
        <f>IFERROR(__xludf.DUMMYFUNCTION("""COMPUTED_VALUE"""),5.0)</f>
        <v>5</v>
      </c>
      <c r="H3457" s="2" t="str">
        <f>IFERROR(__xludf.DUMMYFUNCTION("""COMPUTED_VALUE"""),"Staļina")</f>
        <v>Staļina</v>
      </c>
      <c r="I3457" s="2" t="str">
        <f>IFERROR(__xludf.DUMMYFUNCTION("""COMPUTED_VALUE"""),"Brick")</f>
        <v>Brick</v>
      </c>
      <c r="J3457" s="2" t="str">
        <f>IFERROR(__xludf.DUMMYFUNCTION("""COMPUTED_VALUE"""),"All amenities")</f>
        <v>All amenities</v>
      </c>
      <c r="K3457" s="2">
        <f>IFERROR(__xludf.DUMMYFUNCTION("""COMPUTED_VALUE"""),34000.0)</f>
        <v>34000</v>
      </c>
      <c r="L3457" s="2">
        <f>IFERROR(__xludf.DUMMYFUNCTION("""COMPUTED_VALUE"""),56.9963311)</f>
        <v>56.9963311</v>
      </c>
      <c r="M3457" s="2">
        <f>IFERROR(__xludf.DUMMYFUNCTION("""COMPUTED_VALUE"""),24.1244258578147)</f>
        <v>24.12442586</v>
      </c>
    </row>
    <row r="3458">
      <c r="A3458" s="2" t="str">
        <f>IFERROR(__xludf.DUMMYFUNCTION("""COMPUTED_VALUE"""),"For rent")</f>
        <v>For rent</v>
      </c>
      <c r="B3458" s="2" t="str">
        <f>IFERROR(__xludf.DUMMYFUNCTION("""COMPUTED_VALUE"""),"Dārzciems")</f>
        <v>Dārzciems</v>
      </c>
      <c r="C3458" s="2" t="str">
        <f>IFERROR(__xludf.DUMMYFUNCTION("""COMPUTED_VALUE"""),"Zeltiņu 20")</f>
        <v>Zeltiņu 20</v>
      </c>
      <c r="D3458" s="2">
        <f>IFERROR(__xludf.DUMMYFUNCTION("""COMPUTED_VALUE"""),3.0)</f>
        <v>3</v>
      </c>
      <c r="E3458" s="2">
        <f>IFERROR(__xludf.DUMMYFUNCTION("""COMPUTED_VALUE"""),63.0)</f>
        <v>63</v>
      </c>
      <c r="F3458" s="2">
        <f>IFERROR(__xludf.DUMMYFUNCTION("""COMPUTED_VALUE"""),2.0)</f>
        <v>2</v>
      </c>
      <c r="G3458" s="2">
        <f>IFERROR(__xludf.DUMMYFUNCTION("""COMPUTED_VALUE"""),9.0)</f>
        <v>9</v>
      </c>
      <c r="H3458" s="2">
        <f>IFERROR(__xludf.DUMMYFUNCTION("""COMPUTED_VALUE"""),602.0)</f>
        <v>602</v>
      </c>
      <c r="I3458" s="2" t="str">
        <f>IFERROR(__xludf.DUMMYFUNCTION("""COMPUTED_VALUE"""),"Panel")</f>
        <v>Panel</v>
      </c>
      <c r="J3458" s="2" t="str">
        <f>IFERROR(__xludf.DUMMYFUNCTION("""COMPUTED_VALUE"""),"All amenities")</f>
        <v>All amenities</v>
      </c>
      <c r="K3458" s="2">
        <f>IFERROR(__xludf.DUMMYFUNCTION("""COMPUTED_VALUE"""),240.0)</f>
        <v>240</v>
      </c>
      <c r="L3458" s="2">
        <f>IFERROR(__xludf.DUMMYFUNCTION("""COMPUTED_VALUE"""),56.94682325)</f>
        <v>56.94682325</v>
      </c>
      <c r="M3458" s="2">
        <f>IFERROR(__xludf.DUMMYFUNCTION("""COMPUTED_VALUE"""),24.169129114795)</f>
        <v>24.16912911</v>
      </c>
    </row>
    <row r="3459">
      <c r="A3459" s="2" t="str">
        <f>IFERROR(__xludf.DUMMYFUNCTION("""COMPUTED_VALUE"""),"For sale")</f>
        <v>For sale</v>
      </c>
      <c r="B3459" s="2" t="str">
        <f>IFERROR(__xludf.DUMMYFUNCTION("""COMPUTED_VALUE"""),"Mežciems")</f>
        <v>Mežciems</v>
      </c>
      <c r="C3459" s="2" t="str">
        <f>IFERROR(__xludf.DUMMYFUNCTION("""COMPUTED_VALUE"""),"Biķernieku 226")</f>
        <v>Biķernieku 226</v>
      </c>
      <c r="D3459" s="2">
        <f>IFERROR(__xludf.DUMMYFUNCTION("""COMPUTED_VALUE"""),3.0)</f>
        <v>3</v>
      </c>
      <c r="E3459" s="2">
        <f>IFERROR(__xludf.DUMMYFUNCTION("""COMPUTED_VALUE"""),60.0)</f>
        <v>60</v>
      </c>
      <c r="F3459" s="2">
        <f>IFERROR(__xludf.DUMMYFUNCTION("""COMPUTED_VALUE"""),3.0)</f>
        <v>3</v>
      </c>
      <c r="G3459" s="2">
        <f>IFERROR(__xludf.DUMMYFUNCTION("""COMPUTED_VALUE"""),5.0)</f>
        <v>5</v>
      </c>
      <c r="H3459" s="2" t="str">
        <f>IFERROR(__xludf.DUMMYFUNCTION("""COMPUTED_VALUE"""),"LT proj.")</f>
        <v>LT proj.</v>
      </c>
      <c r="I3459" s="2" t="str">
        <f>IFERROR(__xludf.DUMMYFUNCTION("""COMPUTED_VALUE"""),"Brick")</f>
        <v>Brick</v>
      </c>
      <c r="J3459" s="2" t="str">
        <f>IFERROR(__xludf.DUMMYFUNCTION("""COMPUTED_VALUE"""),"All amenities")</f>
        <v>All amenities</v>
      </c>
      <c r="K3459" s="2">
        <f>IFERROR(__xludf.DUMMYFUNCTION("""COMPUTED_VALUE"""),55000.0)</f>
        <v>55000</v>
      </c>
      <c r="L3459" s="2">
        <f>IFERROR(__xludf.DUMMYFUNCTION("""COMPUTED_VALUE"""),56.95822195)</f>
        <v>56.95822195</v>
      </c>
      <c r="M3459" s="2">
        <f>IFERROR(__xludf.DUMMYFUNCTION("""COMPUTED_VALUE"""),24.29356955)</f>
        <v>24.29356955</v>
      </c>
    </row>
    <row r="3460">
      <c r="A3460" s="2" t="str">
        <f>IFERROR(__xludf.DUMMYFUNCTION("""COMPUTED_VALUE"""),"For sale")</f>
        <v>For sale</v>
      </c>
      <c r="B3460" s="2" t="str">
        <f>IFERROR(__xludf.DUMMYFUNCTION("""COMPUTED_VALUE"""),"Dzegužkalns")</f>
        <v>Dzegužkalns</v>
      </c>
      <c r="C3460" s="2" t="str">
        <f>IFERROR(__xludf.DUMMYFUNCTION("""COMPUTED_VALUE"""),"Daugavgrīvas 68a")</f>
        <v>Daugavgrīvas 68a</v>
      </c>
      <c r="D3460" s="2">
        <f>IFERROR(__xludf.DUMMYFUNCTION("""COMPUTED_VALUE"""),2.0)</f>
        <v>2</v>
      </c>
      <c r="E3460" s="2">
        <f>IFERROR(__xludf.DUMMYFUNCTION("""COMPUTED_VALUE"""),66.0)</f>
        <v>66</v>
      </c>
      <c r="F3460" s="2">
        <f>IFERROR(__xludf.DUMMYFUNCTION("""COMPUTED_VALUE"""),2.0)</f>
        <v>2</v>
      </c>
      <c r="G3460" s="2">
        <f>IFERROR(__xludf.DUMMYFUNCTION("""COMPUTED_VALUE"""),5.0)</f>
        <v>5</v>
      </c>
      <c r="H3460" s="2" t="str">
        <f>IFERROR(__xludf.DUMMYFUNCTION("""COMPUTED_VALUE"""),"Staļina")</f>
        <v>Staļina</v>
      </c>
      <c r="I3460" s="2" t="str">
        <f>IFERROR(__xludf.DUMMYFUNCTION("""COMPUTED_VALUE"""),"Masonry")</f>
        <v>Masonry</v>
      </c>
      <c r="J3460" s="2" t="str">
        <f>IFERROR(__xludf.DUMMYFUNCTION("""COMPUTED_VALUE"""),"All amenities")</f>
        <v>All amenities</v>
      </c>
      <c r="K3460" s="2">
        <f>IFERROR(__xludf.DUMMYFUNCTION("""COMPUTED_VALUE"""),75000.0)</f>
        <v>75000</v>
      </c>
      <c r="L3460" s="2">
        <f>IFERROR(__xludf.DUMMYFUNCTION("""COMPUTED_VALUE"""),56.9559909)</f>
        <v>56.9559909</v>
      </c>
      <c r="M3460" s="2">
        <f>IFERROR(__xludf.DUMMYFUNCTION("""COMPUTED_VALUE"""),24.0695827)</f>
        <v>24.0695827</v>
      </c>
    </row>
    <row r="3461">
      <c r="A3461" s="2" t="str">
        <f>IFERROR(__xludf.DUMMYFUNCTION("""COMPUTED_VALUE"""),"For rent")</f>
        <v>For rent</v>
      </c>
      <c r="B3461" s="2" t="str">
        <f>IFERROR(__xludf.DUMMYFUNCTION("""COMPUTED_VALUE"""),"Šampēteris-Pleskodāle")</f>
        <v>Šampēteris-Pleskodāle</v>
      </c>
      <c r="C3461" s="2" t="str">
        <f>IFERROR(__xludf.DUMMYFUNCTION("""COMPUTED_VALUE"""),"Ventspils 65")</f>
        <v>Ventspils 65</v>
      </c>
      <c r="D3461" s="2">
        <f>IFERROR(__xludf.DUMMYFUNCTION("""COMPUTED_VALUE"""),1.0)</f>
        <v>1</v>
      </c>
      <c r="E3461" s="2">
        <f>IFERROR(__xludf.DUMMYFUNCTION("""COMPUTED_VALUE"""),25.0)</f>
        <v>25</v>
      </c>
      <c r="F3461" s="2">
        <f>IFERROR(__xludf.DUMMYFUNCTION("""COMPUTED_VALUE"""),2.0)</f>
        <v>2</v>
      </c>
      <c r="G3461" s="2">
        <f>IFERROR(__xludf.DUMMYFUNCTION("""COMPUTED_VALUE"""),3.0)</f>
        <v>3</v>
      </c>
      <c r="H3461" s="2" t="str">
        <f>IFERROR(__xludf.DUMMYFUNCTION("""COMPUTED_VALUE"""),"Specpr.")</f>
        <v>Specpr.</v>
      </c>
      <c r="I3461" s="2" t="str">
        <f>IFERROR(__xludf.DUMMYFUNCTION("""COMPUTED_VALUE"""),"Masonry")</f>
        <v>Masonry</v>
      </c>
      <c r="J3461" s="2" t="str">
        <f>IFERROR(__xludf.DUMMYFUNCTION("""COMPUTED_VALUE"""),"All amenities")</f>
        <v>All amenities</v>
      </c>
      <c r="K3461" s="2">
        <f>IFERROR(__xludf.DUMMYFUNCTION("""COMPUTED_VALUE"""),250.0)</f>
        <v>250</v>
      </c>
      <c r="L3461" s="2">
        <f>IFERROR(__xludf.DUMMYFUNCTION("""COMPUTED_VALUE"""),56.9492021)</f>
        <v>56.9492021</v>
      </c>
      <c r="M3461" s="2">
        <f>IFERROR(__xludf.DUMMYFUNCTION("""COMPUTED_VALUE"""),23.9587415)</f>
        <v>23.9587415</v>
      </c>
    </row>
    <row r="3462">
      <c r="A3462" s="2" t="str">
        <f>IFERROR(__xludf.DUMMYFUNCTION("""COMPUTED_VALUE"""),"For sale")</f>
        <v>For sale</v>
      </c>
      <c r="B3462" s="2" t="str">
        <f>IFERROR(__xludf.DUMMYFUNCTION("""COMPUTED_VALUE"""),"Daugavgrīva")</f>
        <v>Daugavgrīva</v>
      </c>
      <c r="C3462" s="2" t="str">
        <f>IFERROR(__xludf.DUMMYFUNCTION("""COMPUTED_VALUE"""),"Parādes 3")</f>
        <v>Parādes 3</v>
      </c>
      <c r="D3462" s="2">
        <f>IFERROR(__xludf.DUMMYFUNCTION("""COMPUTED_VALUE"""),3.0)</f>
        <v>3</v>
      </c>
      <c r="E3462" s="2">
        <f>IFERROR(__xludf.DUMMYFUNCTION("""COMPUTED_VALUE"""),65.0)</f>
        <v>65</v>
      </c>
      <c r="F3462" s="2">
        <f>IFERROR(__xludf.DUMMYFUNCTION("""COMPUTED_VALUE"""),1.0)</f>
        <v>1</v>
      </c>
      <c r="G3462" s="2">
        <f>IFERROR(__xludf.DUMMYFUNCTION("""COMPUTED_VALUE"""),5.0)</f>
        <v>5</v>
      </c>
      <c r="H3462" s="2" t="str">
        <f>IFERROR(__xludf.DUMMYFUNCTION("""COMPUTED_VALUE"""),"Specpr.")</f>
        <v>Specpr.</v>
      </c>
      <c r="I3462" s="2" t="str">
        <f>IFERROR(__xludf.DUMMYFUNCTION("""COMPUTED_VALUE"""),"Panel")</f>
        <v>Panel</v>
      </c>
      <c r="J3462" s="2" t="str">
        <f>IFERROR(__xludf.DUMMYFUNCTION("""COMPUTED_VALUE"""),"All amenities")</f>
        <v>All amenities</v>
      </c>
      <c r="K3462" s="2">
        <f>IFERROR(__xludf.DUMMYFUNCTION("""COMPUTED_VALUE"""),39000.0)</f>
        <v>39000</v>
      </c>
      <c r="L3462" s="2">
        <f>IFERROR(__xludf.DUMMYFUNCTION("""COMPUTED_VALUE"""),57.04145835)</f>
        <v>57.04145835</v>
      </c>
      <c r="M3462" s="2">
        <f>IFERROR(__xludf.DUMMYFUNCTION("""COMPUTED_VALUE"""),24.0329913200241)</f>
        <v>24.03299132</v>
      </c>
    </row>
    <row r="3463">
      <c r="A3463" s="2" t="str">
        <f>IFERROR(__xludf.DUMMYFUNCTION("""COMPUTED_VALUE"""),"For rent")</f>
        <v>For rent</v>
      </c>
      <c r="B3463" s="2" t="str">
        <f>IFERROR(__xludf.DUMMYFUNCTION("""COMPUTED_VALUE"""),"centrs")</f>
        <v>centrs</v>
      </c>
      <c r="C3463" s="2" t="str">
        <f>IFERROR(__xludf.DUMMYFUNCTION("""COMPUTED_VALUE"""),"Republikas laukums 3")</f>
        <v>Republikas laukums 3</v>
      </c>
      <c r="D3463" s="2">
        <f>IFERROR(__xludf.DUMMYFUNCTION("""COMPUTED_VALUE"""),1.0)</f>
        <v>1</v>
      </c>
      <c r="E3463" s="2">
        <f>IFERROR(__xludf.DUMMYFUNCTION("""COMPUTED_VALUE"""),43.0)</f>
        <v>43</v>
      </c>
      <c r="F3463" s="2">
        <f>IFERROR(__xludf.DUMMYFUNCTION("""COMPUTED_VALUE"""),3.0)</f>
        <v>3</v>
      </c>
      <c r="G3463" s="2">
        <f>IFERROR(__xludf.DUMMYFUNCTION("""COMPUTED_VALUE"""),7.0)</f>
        <v>7</v>
      </c>
      <c r="H3463" s="2" t="str">
        <f>IFERROR(__xludf.DUMMYFUNCTION("""COMPUTED_VALUE"""),"Jaun.")</f>
        <v>Jaun.</v>
      </c>
      <c r="I3463" s="2" t="str">
        <f>IFERROR(__xludf.DUMMYFUNCTION("""COMPUTED_VALUE"""),"Masonry")</f>
        <v>Masonry</v>
      </c>
      <c r="J3463" s="2" t="str">
        <f>IFERROR(__xludf.DUMMYFUNCTION("""COMPUTED_VALUE"""),"All amenities")</f>
        <v>All amenities</v>
      </c>
      <c r="K3463" s="2">
        <f>IFERROR(__xludf.DUMMYFUNCTION("""COMPUTED_VALUE"""),37.0)</f>
        <v>37</v>
      </c>
      <c r="L3463" s="2">
        <f>IFERROR(__xludf.DUMMYFUNCTION("""COMPUTED_VALUE"""),56.9552522)</f>
        <v>56.9552522</v>
      </c>
      <c r="M3463" s="2">
        <f>IFERROR(__xludf.DUMMYFUNCTION("""COMPUTED_VALUE"""),24.0999991251943)</f>
        <v>24.09999913</v>
      </c>
    </row>
    <row r="3464">
      <c r="A3464" s="2" t="str">
        <f>IFERROR(__xludf.DUMMYFUNCTION("""COMPUTED_VALUE"""),"For rent")</f>
        <v>For rent</v>
      </c>
      <c r="B3464" s="2" t="str">
        <f>IFERROR(__xludf.DUMMYFUNCTION("""COMPUTED_VALUE"""),"Purvciems")</f>
        <v>Purvciems</v>
      </c>
      <c r="C3464" s="2" t="str">
        <f>IFERROR(__xludf.DUMMYFUNCTION("""COMPUTED_VALUE"""),"Žagatu 20a")</f>
        <v>Žagatu 20a</v>
      </c>
      <c r="D3464" s="2">
        <f>IFERROR(__xludf.DUMMYFUNCTION("""COMPUTED_VALUE"""),2.0)</f>
        <v>2</v>
      </c>
      <c r="E3464" s="2">
        <f>IFERROR(__xludf.DUMMYFUNCTION("""COMPUTED_VALUE"""),50.0)</f>
        <v>50</v>
      </c>
      <c r="F3464" s="2">
        <f>IFERROR(__xludf.DUMMYFUNCTION("""COMPUTED_VALUE"""),7.0)</f>
        <v>7</v>
      </c>
      <c r="G3464" s="2">
        <f>IFERROR(__xludf.DUMMYFUNCTION("""COMPUTED_VALUE"""),9.0)</f>
        <v>9</v>
      </c>
      <c r="H3464" s="2">
        <f>IFERROR(__xludf.DUMMYFUNCTION("""COMPUTED_VALUE"""),602.0)</f>
        <v>602</v>
      </c>
      <c r="I3464" s="2" t="str">
        <f>IFERROR(__xludf.DUMMYFUNCTION("""COMPUTED_VALUE"""),"Panel")</f>
        <v>Panel</v>
      </c>
      <c r="J3464" s="2" t="str">
        <f>IFERROR(__xludf.DUMMYFUNCTION("""COMPUTED_VALUE"""),"All amenities")</f>
        <v>All amenities</v>
      </c>
      <c r="K3464" s="2">
        <f>IFERROR(__xludf.DUMMYFUNCTION("""COMPUTED_VALUE"""),350.0)</f>
        <v>350</v>
      </c>
      <c r="L3464" s="2">
        <f>IFERROR(__xludf.DUMMYFUNCTION("""COMPUTED_VALUE"""),56.96295835)</f>
        <v>56.96295835</v>
      </c>
      <c r="M3464" s="2">
        <f>IFERROR(__xludf.DUMMYFUNCTION("""COMPUTED_VALUE"""),24.1873444133421)</f>
        <v>24.18734441</v>
      </c>
    </row>
    <row r="3465">
      <c r="A3465" s="2" t="str">
        <f>IFERROR(__xludf.DUMMYFUNCTION("""COMPUTED_VALUE"""),"For sale")</f>
        <v>For sale</v>
      </c>
      <c r="B3465" s="2" t="str">
        <f>IFERROR(__xludf.DUMMYFUNCTION("""COMPUTED_VALUE"""),"centrs")</f>
        <v>centrs</v>
      </c>
      <c r="C3465" s="2" t="str">
        <f>IFERROR(__xludf.DUMMYFUNCTION("""COMPUTED_VALUE"""),"Tomsona 9")</f>
        <v>Tomsona 9</v>
      </c>
      <c r="D3465" s="2">
        <f>IFERROR(__xludf.DUMMYFUNCTION("""COMPUTED_VALUE"""),3.0)</f>
        <v>3</v>
      </c>
      <c r="E3465" s="2">
        <f>IFERROR(__xludf.DUMMYFUNCTION("""COMPUTED_VALUE"""),127.0)</f>
        <v>127</v>
      </c>
      <c r="F3465" s="2">
        <f>IFERROR(__xludf.DUMMYFUNCTION("""COMPUTED_VALUE"""),2.0)</f>
        <v>2</v>
      </c>
      <c r="G3465" s="2">
        <f>IFERROR(__xludf.DUMMYFUNCTION("""COMPUTED_VALUE"""),3.0)</f>
        <v>3</v>
      </c>
      <c r="H3465" s="2" t="str">
        <f>IFERROR(__xludf.DUMMYFUNCTION("""COMPUTED_VALUE"""),"Jaun.")</f>
        <v>Jaun.</v>
      </c>
      <c r="I3465" s="2" t="str">
        <f>IFERROR(__xludf.DUMMYFUNCTION("""COMPUTED_VALUE"""),"Brick")</f>
        <v>Brick</v>
      </c>
      <c r="J3465" s="2" t="str">
        <f>IFERROR(__xludf.DUMMYFUNCTION("""COMPUTED_VALUE"""),"All amenities")</f>
        <v>All amenities</v>
      </c>
      <c r="K3465" s="2">
        <f>IFERROR(__xludf.DUMMYFUNCTION("""COMPUTED_VALUE"""),198000.0)</f>
        <v>198000</v>
      </c>
      <c r="L3465" s="2">
        <f>IFERROR(__xludf.DUMMYFUNCTION("""COMPUTED_VALUE"""),56.96428355)</f>
        <v>56.96428355</v>
      </c>
      <c r="M3465" s="2">
        <f>IFERROR(__xludf.DUMMYFUNCTION("""COMPUTED_VALUE"""),24.124554147986)</f>
        <v>24.12455415</v>
      </c>
    </row>
    <row r="3466">
      <c r="A3466" s="2" t="str">
        <f>IFERROR(__xludf.DUMMYFUNCTION("""COMPUTED_VALUE"""),"For sale")</f>
        <v>For sale</v>
      </c>
      <c r="B3466" s="2" t="str">
        <f>IFERROR(__xludf.DUMMYFUNCTION("""COMPUTED_VALUE"""),"Ķengarags")</f>
        <v>Ķengarags</v>
      </c>
      <c r="C3466" s="2" t="str">
        <f>IFERROR(__xludf.DUMMYFUNCTION("""COMPUTED_VALUE"""),"Maskavas 258")</f>
        <v>Maskavas 258</v>
      </c>
      <c r="D3466" s="2">
        <f>IFERROR(__xludf.DUMMYFUNCTION("""COMPUTED_VALUE"""),3.0)</f>
        <v>3</v>
      </c>
      <c r="E3466" s="2">
        <f>IFERROR(__xludf.DUMMYFUNCTION("""COMPUTED_VALUE"""),61.0)</f>
        <v>61</v>
      </c>
      <c r="F3466" s="2">
        <f>IFERROR(__xludf.DUMMYFUNCTION("""COMPUTED_VALUE"""),1.0)</f>
        <v>1</v>
      </c>
      <c r="G3466" s="2">
        <f>IFERROR(__xludf.DUMMYFUNCTION("""COMPUTED_VALUE"""),5.0)</f>
        <v>5</v>
      </c>
      <c r="H3466" s="2" t="str">
        <f>IFERROR(__xludf.DUMMYFUNCTION("""COMPUTED_VALUE"""),"Hrušč.")</f>
        <v>Hrušč.</v>
      </c>
      <c r="I3466" s="2" t="str">
        <f>IFERROR(__xludf.DUMMYFUNCTION("""COMPUTED_VALUE"""),"Panel")</f>
        <v>Panel</v>
      </c>
      <c r="J3466" s="2" t="str">
        <f>IFERROR(__xludf.DUMMYFUNCTION("""COMPUTED_VALUE"""),"All amenities")</f>
        <v>All amenities</v>
      </c>
      <c r="K3466" s="2">
        <f>IFERROR(__xludf.DUMMYFUNCTION("""COMPUTED_VALUE"""),53500.0)</f>
        <v>53500</v>
      </c>
      <c r="L3466" s="2">
        <f>IFERROR(__xludf.DUMMYFUNCTION("""COMPUTED_VALUE"""),56.8597884)</f>
        <v>56.8597884</v>
      </c>
      <c r="M3466" s="2">
        <f>IFERROR(__xludf.DUMMYFUNCTION("""COMPUTED_VALUE"""),24.3083417)</f>
        <v>24.3083417</v>
      </c>
    </row>
    <row r="3467">
      <c r="A3467" s="2" t="str">
        <f>IFERROR(__xludf.DUMMYFUNCTION("""COMPUTED_VALUE"""),"For sale")</f>
        <v>For sale</v>
      </c>
      <c r="B3467" s="2" t="str">
        <f>IFERROR(__xludf.DUMMYFUNCTION("""COMPUTED_VALUE"""),"centrs")</f>
        <v>centrs</v>
      </c>
      <c r="C3467" s="2" t="str">
        <f>IFERROR(__xludf.DUMMYFUNCTION("""COMPUTED_VALUE"""),"Blaumaņa 36")</f>
        <v>Blaumaņa 36</v>
      </c>
      <c r="D3467" s="2">
        <f>IFERROR(__xludf.DUMMYFUNCTION("""COMPUTED_VALUE"""),2.0)</f>
        <v>2</v>
      </c>
      <c r="E3467" s="2">
        <f>IFERROR(__xludf.DUMMYFUNCTION("""COMPUTED_VALUE"""),55.0)</f>
        <v>55</v>
      </c>
      <c r="F3467" s="2">
        <f>IFERROR(__xludf.DUMMYFUNCTION("""COMPUTED_VALUE"""),3.0)</f>
        <v>3</v>
      </c>
      <c r="G3467" s="2">
        <f>IFERROR(__xludf.DUMMYFUNCTION("""COMPUTED_VALUE"""),5.0)</f>
        <v>5</v>
      </c>
      <c r="H3467" s="2" t="str">
        <f>IFERROR(__xludf.DUMMYFUNCTION("""COMPUTED_VALUE"""),"P. kara")</f>
        <v>P. kara</v>
      </c>
      <c r="I3467" s="2" t="str">
        <f>IFERROR(__xludf.DUMMYFUNCTION("""COMPUTED_VALUE"""),"Masonry")</f>
        <v>Masonry</v>
      </c>
      <c r="J3467" s="2" t="str">
        <f>IFERROR(__xludf.DUMMYFUNCTION("""COMPUTED_VALUE"""),"All amenities")</f>
        <v>All amenities</v>
      </c>
      <c r="K3467" s="2">
        <f>IFERROR(__xludf.DUMMYFUNCTION("""COMPUTED_VALUE"""),89000.0)</f>
        <v>89000</v>
      </c>
      <c r="L3467" s="2">
        <f>IFERROR(__xludf.DUMMYFUNCTION("""COMPUTED_VALUE"""),56.95172905)</f>
        <v>56.95172905</v>
      </c>
      <c r="M3467" s="2">
        <f>IFERROR(__xludf.DUMMYFUNCTION("""COMPUTED_VALUE"""),24.1258148944244)</f>
        <v>24.12581489</v>
      </c>
    </row>
    <row r="3468">
      <c r="A3468" s="2" t="str">
        <f>IFERROR(__xludf.DUMMYFUNCTION("""COMPUTED_VALUE"""),"For sale")</f>
        <v>For sale</v>
      </c>
      <c r="B3468" s="2" t="str">
        <f>IFERROR(__xludf.DUMMYFUNCTION("""COMPUTED_VALUE"""),"Mangaļi")</f>
        <v>Mangaļi</v>
      </c>
      <c r="C3468" s="2" t="str">
        <f>IFERROR(__xludf.DUMMYFUNCTION("""COMPUTED_VALUE"""),"Ezera 19")</f>
        <v>Ezera 19</v>
      </c>
      <c r="D3468" s="2">
        <f>IFERROR(__xludf.DUMMYFUNCTION("""COMPUTED_VALUE"""),1.0)</f>
        <v>1</v>
      </c>
      <c r="E3468" s="2">
        <f>IFERROR(__xludf.DUMMYFUNCTION("""COMPUTED_VALUE"""),25.0)</f>
        <v>25</v>
      </c>
      <c r="F3468" s="2">
        <f>IFERROR(__xludf.DUMMYFUNCTION("""COMPUTED_VALUE"""),2.0)</f>
        <v>2</v>
      </c>
      <c r="G3468" s="2">
        <f>IFERROR(__xludf.DUMMYFUNCTION("""COMPUTED_VALUE"""),2.0)</f>
        <v>2</v>
      </c>
      <c r="H3468" s="2" t="str">
        <f>IFERROR(__xludf.DUMMYFUNCTION("""COMPUTED_VALUE"""),"P. kara")</f>
        <v>P. kara</v>
      </c>
      <c r="I3468" s="2" t="str">
        <f>IFERROR(__xludf.DUMMYFUNCTION("""COMPUTED_VALUE"""),"Masonry")</f>
        <v>Masonry</v>
      </c>
      <c r="J3468" s="2" t="str">
        <f>IFERROR(__xludf.DUMMYFUNCTION("""COMPUTED_VALUE"""),"All amenities")</f>
        <v>All amenities</v>
      </c>
      <c r="K3468" s="2">
        <f>IFERROR(__xludf.DUMMYFUNCTION("""COMPUTED_VALUE"""),25000.0)</f>
        <v>25000</v>
      </c>
      <c r="L3468" s="2">
        <f>IFERROR(__xludf.DUMMYFUNCTION("""COMPUTED_VALUE"""),57.021333)</f>
        <v>57.021333</v>
      </c>
      <c r="M3468" s="2">
        <f>IFERROR(__xludf.DUMMYFUNCTION("""COMPUTED_VALUE"""),24.13098685)</f>
        <v>24.13098685</v>
      </c>
    </row>
    <row r="3469">
      <c r="A3469" s="2" t="str">
        <f>IFERROR(__xludf.DUMMYFUNCTION("""COMPUTED_VALUE"""),"For sale")</f>
        <v>For sale</v>
      </c>
      <c r="B3469" s="2" t="str">
        <f>IFERROR(__xludf.DUMMYFUNCTION("""COMPUTED_VALUE"""),"Purvciems")</f>
        <v>Purvciems</v>
      </c>
      <c r="C3469" s="2" t="str">
        <f>IFERROR(__xludf.DUMMYFUNCTION("""COMPUTED_VALUE"""),"Kastrānes 2a")</f>
        <v>Kastrānes 2a</v>
      </c>
      <c r="D3469" s="2">
        <f>IFERROR(__xludf.DUMMYFUNCTION("""COMPUTED_VALUE"""),2.0)</f>
        <v>2</v>
      </c>
      <c r="E3469" s="2">
        <f>IFERROR(__xludf.DUMMYFUNCTION("""COMPUTED_VALUE"""),39.0)</f>
        <v>39</v>
      </c>
      <c r="F3469" s="2">
        <f>IFERROR(__xludf.DUMMYFUNCTION("""COMPUTED_VALUE"""),2.0)</f>
        <v>2</v>
      </c>
      <c r="G3469" s="2">
        <f>IFERROR(__xludf.DUMMYFUNCTION("""COMPUTED_VALUE"""),5.0)</f>
        <v>5</v>
      </c>
      <c r="H3469" s="2" t="str">
        <f>IFERROR(__xludf.DUMMYFUNCTION("""COMPUTED_VALUE"""),"Hrušč.")</f>
        <v>Hrušč.</v>
      </c>
      <c r="I3469" s="2" t="str">
        <f>IFERROR(__xludf.DUMMYFUNCTION("""COMPUTED_VALUE"""),"Brick")</f>
        <v>Brick</v>
      </c>
      <c r="J3469" s="2" t="str">
        <f>IFERROR(__xludf.DUMMYFUNCTION("""COMPUTED_VALUE"""),"All amenities")</f>
        <v>All amenities</v>
      </c>
      <c r="K3469" s="2">
        <f>IFERROR(__xludf.DUMMYFUNCTION("""COMPUTED_VALUE"""),35500.0)</f>
        <v>35500</v>
      </c>
      <c r="L3469" s="2">
        <f>IFERROR(__xludf.DUMMYFUNCTION("""COMPUTED_VALUE"""),56.97017405)</f>
        <v>56.97017405</v>
      </c>
      <c r="M3469" s="2">
        <f>IFERROR(__xludf.DUMMYFUNCTION("""COMPUTED_VALUE"""),24.1780710627907)</f>
        <v>24.17807106</v>
      </c>
    </row>
    <row r="3470">
      <c r="A3470" s="2" t="str">
        <f>IFERROR(__xludf.DUMMYFUNCTION("""COMPUTED_VALUE"""),"For rent")</f>
        <v>For rent</v>
      </c>
      <c r="B3470" s="2" t="str">
        <f>IFERROR(__xludf.DUMMYFUNCTION("""COMPUTED_VALUE"""),"Mežciems")</f>
        <v>Mežciems</v>
      </c>
      <c r="C3470" s="2" t="str">
        <f>IFERROR(__xludf.DUMMYFUNCTION("""COMPUTED_VALUE"""),"Kaivas 15")</f>
        <v>Kaivas 15</v>
      </c>
      <c r="D3470" s="2">
        <f>IFERROR(__xludf.DUMMYFUNCTION("""COMPUTED_VALUE"""),2.0)</f>
        <v>2</v>
      </c>
      <c r="E3470" s="2">
        <f>IFERROR(__xludf.DUMMYFUNCTION("""COMPUTED_VALUE"""),42.0)</f>
        <v>42</v>
      </c>
      <c r="F3470" s="2">
        <f>IFERROR(__xludf.DUMMYFUNCTION("""COMPUTED_VALUE"""),4.0)</f>
        <v>4</v>
      </c>
      <c r="G3470" s="2">
        <f>IFERROR(__xludf.DUMMYFUNCTION("""COMPUTED_VALUE"""),5.0)</f>
        <v>5</v>
      </c>
      <c r="H3470" s="2" t="str">
        <f>IFERROR(__xludf.DUMMYFUNCTION("""COMPUTED_VALUE"""),"Jaun.")</f>
        <v>Jaun.</v>
      </c>
      <c r="I3470" s="2" t="str">
        <f>IFERROR(__xludf.DUMMYFUNCTION("""COMPUTED_VALUE"""),"Panel")</f>
        <v>Panel</v>
      </c>
      <c r="J3470" s="2" t="str">
        <f>IFERROR(__xludf.DUMMYFUNCTION("""COMPUTED_VALUE"""),"All amenities")</f>
        <v>All amenities</v>
      </c>
      <c r="K3470" s="2">
        <f>IFERROR(__xludf.DUMMYFUNCTION("""COMPUTED_VALUE"""),420.0)</f>
        <v>420</v>
      </c>
      <c r="L3470" s="2">
        <f>IFERROR(__xludf.DUMMYFUNCTION("""COMPUTED_VALUE"""),56.9541725)</f>
        <v>56.9541725</v>
      </c>
      <c r="M3470" s="2">
        <f>IFERROR(__xludf.DUMMYFUNCTION("""COMPUTED_VALUE"""),24.2443253)</f>
        <v>24.2443253</v>
      </c>
    </row>
    <row r="3471">
      <c r="A3471" s="2" t="str">
        <f>IFERROR(__xludf.DUMMYFUNCTION("""COMPUTED_VALUE"""),"For sale")</f>
        <v>For sale</v>
      </c>
      <c r="B3471" s="2" t="str">
        <f>IFERROR(__xludf.DUMMYFUNCTION("""COMPUTED_VALUE"""),"Jugla")</f>
        <v>Jugla</v>
      </c>
      <c r="C3471" s="2" t="str">
        <f>IFERROR(__xludf.DUMMYFUNCTION("""COMPUTED_VALUE"""),"Murjāņu 42")</f>
        <v>Murjāņu 42</v>
      </c>
      <c r="D3471" s="2">
        <f>IFERROR(__xludf.DUMMYFUNCTION("""COMPUTED_VALUE"""),2.0)</f>
        <v>2</v>
      </c>
      <c r="E3471" s="2">
        <f>IFERROR(__xludf.DUMMYFUNCTION("""COMPUTED_VALUE"""),47.26)</f>
        <v>47.26</v>
      </c>
      <c r="F3471" s="2">
        <f>IFERROR(__xludf.DUMMYFUNCTION("""COMPUTED_VALUE"""),2.0)</f>
        <v>2</v>
      </c>
      <c r="G3471" s="2">
        <f>IFERROR(__xludf.DUMMYFUNCTION("""COMPUTED_VALUE"""),5.0)</f>
        <v>5</v>
      </c>
      <c r="H3471" s="2" t="str">
        <f>IFERROR(__xludf.DUMMYFUNCTION("""COMPUTED_VALUE"""),"Hrušč.")</f>
        <v>Hrušč.</v>
      </c>
      <c r="I3471" s="2" t="str">
        <f>IFERROR(__xludf.DUMMYFUNCTION("""COMPUTED_VALUE"""),"Panel")</f>
        <v>Panel</v>
      </c>
      <c r="J3471" s="2" t="str">
        <f>IFERROR(__xludf.DUMMYFUNCTION("""COMPUTED_VALUE"""),"All amenities")</f>
        <v>All amenities</v>
      </c>
      <c r="K3471" s="2">
        <f>IFERROR(__xludf.DUMMYFUNCTION("""COMPUTED_VALUE"""),36500.0)</f>
        <v>36500</v>
      </c>
      <c r="L3471" s="2">
        <f>IFERROR(__xludf.DUMMYFUNCTION("""COMPUTED_VALUE"""),56.9776497)</f>
        <v>56.9776497</v>
      </c>
      <c r="M3471" s="2">
        <f>IFERROR(__xludf.DUMMYFUNCTION("""COMPUTED_VALUE"""),24.2485277405401)</f>
        <v>24.24852774</v>
      </c>
    </row>
    <row r="3472">
      <c r="A3472" s="2" t="str">
        <f>IFERROR(__xludf.DUMMYFUNCTION("""COMPUTED_VALUE"""),"For sale")</f>
        <v>For sale</v>
      </c>
      <c r="B3472" s="2" t="str">
        <f>IFERROR(__xludf.DUMMYFUNCTION("""COMPUTED_VALUE"""),"Jugla")</f>
        <v>Jugla</v>
      </c>
      <c r="C3472" s="2" t="str">
        <f>IFERROR(__xludf.DUMMYFUNCTION("""COMPUTED_VALUE"""),"Juglas 29")</f>
        <v>Juglas 29</v>
      </c>
      <c r="D3472" s="2">
        <f>IFERROR(__xludf.DUMMYFUNCTION("""COMPUTED_VALUE"""),3.0)</f>
        <v>3</v>
      </c>
      <c r="E3472" s="2">
        <f>IFERROR(__xludf.DUMMYFUNCTION("""COMPUTED_VALUE"""),57.0)</f>
        <v>57</v>
      </c>
      <c r="F3472" s="2">
        <f>IFERROR(__xludf.DUMMYFUNCTION("""COMPUTED_VALUE"""),4.0)</f>
        <v>4</v>
      </c>
      <c r="G3472" s="2">
        <f>IFERROR(__xludf.DUMMYFUNCTION("""COMPUTED_VALUE"""),5.0)</f>
        <v>5</v>
      </c>
      <c r="H3472" s="2" t="str">
        <f>IFERROR(__xludf.DUMMYFUNCTION("""COMPUTED_VALUE"""),"Hrušč.")</f>
        <v>Hrušč.</v>
      </c>
      <c r="I3472" s="2" t="str">
        <f>IFERROR(__xludf.DUMMYFUNCTION("""COMPUTED_VALUE"""),"Panel")</f>
        <v>Panel</v>
      </c>
      <c r="J3472" s="2" t="str">
        <f>IFERROR(__xludf.DUMMYFUNCTION("""COMPUTED_VALUE"""),"All amenities")</f>
        <v>All amenities</v>
      </c>
      <c r="K3472" s="2">
        <f>IFERROR(__xludf.DUMMYFUNCTION("""COMPUTED_VALUE"""),52000.0)</f>
        <v>52000</v>
      </c>
      <c r="L3472" s="2">
        <f>IFERROR(__xludf.DUMMYFUNCTION("""COMPUTED_VALUE"""),56.9820832)</f>
        <v>56.9820832</v>
      </c>
      <c r="M3472" s="2">
        <f>IFERROR(__xludf.DUMMYFUNCTION("""COMPUTED_VALUE"""),24.2512169555717)</f>
        <v>24.25121696</v>
      </c>
    </row>
    <row r="3473">
      <c r="A3473" s="2" t="str">
        <f>IFERROR(__xludf.DUMMYFUNCTION("""COMPUTED_VALUE"""),"For rent")</f>
        <v>For rent</v>
      </c>
      <c r="B3473" s="2" t="str">
        <f>IFERROR(__xludf.DUMMYFUNCTION("""COMPUTED_VALUE"""),"Ziepniekkalns")</f>
        <v>Ziepniekkalns</v>
      </c>
      <c r="C3473" s="2" t="str">
        <f>IFERROR(__xludf.DUMMYFUNCTION("""COMPUTED_VALUE"""),"Ozolciema 54")</f>
        <v>Ozolciema 54</v>
      </c>
      <c r="D3473" s="2">
        <f>IFERROR(__xludf.DUMMYFUNCTION("""COMPUTED_VALUE"""),1.0)</f>
        <v>1</v>
      </c>
      <c r="E3473" s="2">
        <f>IFERROR(__xludf.DUMMYFUNCTION("""COMPUTED_VALUE"""),44.0)</f>
        <v>44</v>
      </c>
      <c r="F3473" s="2">
        <f>IFERROR(__xludf.DUMMYFUNCTION("""COMPUTED_VALUE"""),3.0)</f>
        <v>3</v>
      </c>
      <c r="G3473" s="2">
        <f>IFERROR(__xludf.DUMMYFUNCTION("""COMPUTED_VALUE"""),9.0)</f>
        <v>9</v>
      </c>
      <c r="H3473" s="2" t="str">
        <f>IFERROR(__xludf.DUMMYFUNCTION("""COMPUTED_VALUE"""),"M. ģim.")</f>
        <v>M. ģim.</v>
      </c>
      <c r="I3473" s="2" t="str">
        <f>IFERROR(__xludf.DUMMYFUNCTION("""COMPUTED_VALUE"""),"Panel")</f>
        <v>Panel</v>
      </c>
      <c r="J3473" s="2" t="str">
        <f>IFERROR(__xludf.DUMMYFUNCTION("""COMPUTED_VALUE"""),"All amenities")</f>
        <v>All amenities</v>
      </c>
      <c r="K3473" s="2">
        <f>IFERROR(__xludf.DUMMYFUNCTION("""COMPUTED_VALUE"""),230.0)</f>
        <v>230</v>
      </c>
      <c r="L3473" s="2">
        <f>IFERROR(__xludf.DUMMYFUNCTION("""COMPUTED_VALUE"""),56.9014001)</f>
        <v>56.9014001</v>
      </c>
      <c r="M3473" s="2">
        <f>IFERROR(__xludf.DUMMYFUNCTION("""COMPUTED_VALUE"""),24.0998855645099)</f>
        <v>24.09988556</v>
      </c>
    </row>
    <row r="3474">
      <c r="A3474" s="2" t="str">
        <f>IFERROR(__xludf.DUMMYFUNCTION("""COMPUTED_VALUE"""),"For sale")</f>
        <v>For sale</v>
      </c>
      <c r="B3474" s="2" t="str">
        <f>IFERROR(__xludf.DUMMYFUNCTION("""COMPUTED_VALUE"""),"Zolitūde")</f>
        <v>Zolitūde</v>
      </c>
      <c r="C3474" s="2" t="str">
        <f>IFERROR(__xludf.DUMMYFUNCTION("""COMPUTED_VALUE"""),"Gramzdas 21")</f>
        <v>Gramzdas 21</v>
      </c>
      <c r="D3474" s="2">
        <f>IFERROR(__xludf.DUMMYFUNCTION("""COMPUTED_VALUE"""),1.0)</f>
        <v>1</v>
      </c>
      <c r="E3474" s="2">
        <f>IFERROR(__xludf.DUMMYFUNCTION("""COMPUTED_VALUE"""),46.0)</f>
        <v>46</v>
      </c>
      <c r="F3474" s="2">
        <f>IFERROR(__xludf.DUMMYFUNCTION("""COMPUTED_VALUE"""),6.0)</f>
        <v>6</v>
      </c>
      <c r="G3474" s="2">
        <f>IFERROR(__xludf.DUMMYFUNCTION("""COMPUTED_VALUE"""),9.0)</f>
        <v>9</v>
      </c>
      <c r="H3474" s="2">
        <f>IFERROR(__xludf.DUMMYFUNCTION("""COMPUTED_VALUE"""),119.0)</f>
        <v>119</v>
      </c>
      <c r="I3474" s="2" t="str">
        <f>IFERROR(__xludf.DUMMYFUNCTION("""COMPUTED_VALUE"""),"Panel")</f>
        <v>Panel</v>
      </c>
      <c r="J3474" s="2" t="str">
        <f>IFERROR(__xludf.DUMMYFUNCTION("""COMPUTED_VALUE"""),"All amenities")</f>
        <v>All amenities</v>
      </c>
      <c r="K3474" s="2">
        <f>IFERROR(__xludf.DUMMYFUNCTION("""COMPUTED_VALUE"""),48000.0)</f>
        <v>48000</v>
      </c>
      <c r="L3474" s="2">
        <f>IFERROR(__xludf.DUMMYFUNCTION("""COMPUTED_VALUE"""),56.9432218)</f>
        <v>56.9432218</v>
      </c>
      <c r="M3474" s="2">
        <f>IFERROR(__xludf.DUMMYFUNCTION("""COMPUTED_VALUE"""),24.0062318671885)</f>
        <v>24.00623187</v>
      </c>
    </row>
    <row r="3475">
      <c r="A3475" s="2" t="str">
        <f>IFERROR(__xludf.DUMMYFUNCTION("""COMPUTED_VALUE"""),"For sale")</f>
        <v>For sale</v>
      </c>
      <c r="B3475" s="2" t="str">
        <f>IFERROR(__xludf.DUMMYFUNCTION("""COMPUTED_VALUE"""),"centrs")</f>
        <v>centrs</v>
      </c>
      <c r="C3475" s="2" t="str">
        <f>IFERROR(__xludf.DUMMYFUNCTION("""COMPUTED_VALUE"""),"Eksporta 2")</f>
        <v>Eksporta 2</v>
      </c>
      <c r="D3475" s="2">
        <f>IFERROR(__xludf.DUMMYFUNCTION("""COMPUTED_VALUE"""),3.0)</f>
        <v>3</v>
      </c>
      <c r="E3475" s="2">
        <f>IFERROR(__xludf.DUMMYFUNCTION("""COMPUTED_VALUE"""),59.7)</f>
        <v>59.7</v>
      </c>
      <c r="F3475" s="2">
        <f>IFERROR(__xludf.DUMMYFUNCTION("""COMPUTED_VALUE"""),5.0)</f>
        <v>5</v>
      </c>
      <c r="G3475" s="2">
        <f>IFERROR(__xludf.DUMMYFUNCTION("""COMPUTED_VALUE"""),4.0)</f>
        <v>4</v>
      </c>
      <c r="H3475" s="2" t="str">
        <f>IFERROR(__xludf.DUMMYFUNCTION("""COMPUTED_VALUE"""),"Staļina")</f>
        <v>Staļina</v>
      </c>
      <c r="I3475" s="2" t="str">
        <f>IFERROR(__xludf.DUMMYFUNCTION("""COMPUTED_VALUE"""),"Panel-Brick")</f>
        <v>Panel-Brick</v>
      </c>
      <c r="J3475" s="2" t="str">
        <f>IFERROR(__xludf.DUMMYFUNCTION("""COMPUTED_VALUE"""),"All amenities")</f>
        <v>All amenities</v>
      </c>
      <c r="K3475" s="2">
        <f>IFERROR(__xludf.DUMMYFUNCTION("""COMPUTED_VALUE"""),101500.0)</f>
        <v>101500</v>
      </c>
      <c r="L3475" s="2">
        <f>IFERROR(__xludf.DUMMYFUNCTION("""COMPUTED_VALUE"""),56.95619685)</f>
        <v>56.95619685</v>
      </c>
      <c r="M3475" s="2">
        <f>IFERROR(__xludf.DUMMYFUNCTION("""COMPUTED_VALUE"""),24.098819615355)</f>
        <v>24.09881962</v>
      </c>
    </row>
    <row r="3476">
      <c r="A3476" s="2" t="str">
        <f>IFERROR(__xludf.DUMMYFUNCTION("""COMPUTED_VALUE"""),"For sale")</f>
        <v>For sale</v>
      </c>
      <c r="B3476" s="2" t="str">
        <f>IFERROR(__xludf.DUMMYFUNCTION("""COMPUTED_VALUE"""),"centrs")</f>
        <v>centrs</v>
      </c>
      <c r="C3476" s="2" t="str">
        <f>IFERROR(__xludf.DUMMYFUNCTION("""COMPUTED_VALUE"""),"Katrīnas d. 17")</f>
        <v>Katrīnas d. 17</v>
      </c>
      <c r="D3476" s="2">
        <f>IFERROR(__xludf.DUMMYFUNCTION("""COMPUTED_VALUE"""),2.0)</f>
        <v>2</v>
      </c>
      <c r="E3476" s="2">
        <f>IFERROR(__xludf.DUMMYFUNCTION("""COMPUTED_VALUE"""),59.0)</f>
        <v>59</v>
      </c>
      <c r="F3476" s="2">
        <f>IFERROR(__xludf.DUMMYFUNCTION("""COMPUTED_VALUE"""),1.0)</f>
        <v>1</v>
      </c>
      <c r="G3476" s="2">
        <f>IFERROR(__xludf.DUMMYFUNCTION("""COMPUTED_VALUE"""),6.0)</f>
        <v>6</v>
      </c>
      <c r="H3476" s="2" t="str">
        <f>IFERROR(__xludf.DUMMYFUNCTION("""COMPUTED_VALUE"""),"Jaun.")</f>
        <v>Jaun.</v>
      </c>
      <c r="I3476" s="2" t="str">
        <f>IFERROR(__xludf.DUMMYFUNCTION("""COMPUTED_VALUE"""),"Panel-Brick")</f>
        <v>Panel-Brick</v>
      </c>
      <c r="J3476" s="2" t="str">
        <f>IFERROR(__xludf.DUMMYFUNCTION("""COMPUTED_VALUE"""),"All amenities")</f>
        <v>All amenities</v>
      </c>
      <c r="K3476" s="2">
        <f>IFERROR(__xludf.DUMMYFUNCTION("""COMPUTED_VALUE"""),76000.0)</f>
        <v>76000</v>
      </c>
      <c r="L3476" s="2">
        <f>IFERROR(__xludf.DUMMYFUNCTION("""COMPUTED_VALUE"""),56.9716816)</f>
        <v>56.9716816</v>
      </c>
      <c r="M3476" s="2">
        <f>IFERROR(__xludf.DUMMYFUNCTION("""COMPUTED_VALUE"""),24.1021951)</f>
        <v>24.1021951</v>
      </c>
    </row>
    <row r="3477">
      <c r="A3477" s="2" t="str">
        <f>IFERROR(__xludf.DUMMYFUNCTION("""COMPUTED_VALUE"""),"For sale")</f>
        <v>For sale</v>
      </c>
      <c r="B3477" s="2" t="str">
        <f>IFERROR(__xludf.DUMMYFUNCTION("""COMPUTED_VALUE"""),"Zolitūde")</f>
        <v>Zolitūde</v>
      </c>
      <c r="C3477" s="2" t="str">
        <f>IFERROR(__xludf.DUMMYFUNCTION("""COMPUTED_VALUE"""),"Augšzemes 7")</f>
        <v>Augšzemes 7</v>
      </c>
      <c r="D3477" s="2">
        <f>IFERROR(__xludf.DUMMYFUNCTION("""COMPUTED_VALUE"""),3.0)</f>
        <v>3</v>
      </c>
      <c r="E3477" s="2">
        <f>IFERROR(__xludf.DUMMYFUNCTION("""COMPUTED_VALUE"""),75.0)</f>
        <v>75</v>
      </c>
      <c r="F3477" s="2">
        <f>IFERROR(__xludf.DUMMYFUNCTION("""COMPUTED_VALUE"""),2.0)</f>
        <v>2</v>
      </c>
      <c r="G3477" s="2">
        <f>IFERROR(__xludf.DUMMYFUNCTION("""COMPUTED_VALUE"""),4.0)</f>
        <v>4</v>
      </c>
      <c r="H3477" s="2" t="str">
        <f>IFERROR(__xludf.DUMMYFUNCTION("""COMPUTED_VALUE"""),"Specpr.")</f>
        <v>Specpr.</v>
      </c>
      <c r="I3477" s="2" t="str">
        <f>IFERROR(__xludf.DUMMYFUNCTION("""COMPUTED_VALUE"""),"Masonry")</f>
        <v>Masonry</v>
      </c>
      <c r="J3477" s="2" t="str">
        <f>IFERROR(__xludf.DUMMYFUNCTION("""COMPUTED_VALUE"""),"All amenities")</f>
        <v>All amenities</v>
      </c>
      <c r="K3477" s="2">
        <f>IFERROR(__xludf.DUMMYFUNCTION("""COMPUTED_VALUE"""),125000.0)</f>
        <v>125000</v>
      </c>
      <c r="L3477" s="2">
        <f>IFERROR(__xludf.DUMMYFUNCTION("""COMPUTED_VALUE"""),56.9438879)</f>
        <v>56.9438879</v>
      </c>
      <c r="M3477" s="2">
        <f>IFERROR(__xludf.DUMMYFUNCTION("""COMPUTED_VALUE"""),24.021638473844)</f>
        <v>24.02163847</v>
      </c>
    </row>
    <row r="3478">
      <c r="A3478" s="2" t="str">
        <f>IFERROR(__xludf.DUMMYFUNCTION("""COMPUTED_VALUE"""),"For sale")</f>
        <v>For sale</v>
      </c>
      <c r="B3478" s="2" t="str">
        <f>IFERROR(__xludf.DUMMYFUNCTION("""COMPUTED_VALUE"""),"Āgenskalns")</f>
        <v>Āgenskalns</v>
      </c>
      <c r="C3478" s="2" t="str">
        <f>IFERROR(__xludf.DUMMYFUNCTION("""COMPUTED_VALUE"""),"Melnsila 24")</f>
        <v>Melnsila 24</v>
      </c>
      <c r="D3478" s="2">
        <f>IFERROR(__xludf.DUMMYFUNCTION("""COMPUTED_VALUE"""),3.0)</f>
        <v>3</v>
      </c>
      <c r="E3478" s="2">
        <f>IFERROR(__xludf.DUMMYFUNCTION("""COMPUTED_VALUE"""),60.0)</f>
        <v>60</v>
      </c>
      <c r="F3478" s="2">
        <f>IFERROR(__xludf.DUMMYFUNCTION("""COMPUTED_VALUE"""),5.0)</f>
        <v>5</v>
      </c>
      <c r="G3478" s="2">
        <f>IFERROR(__xludf.DUMMYFUNCTION("""COMPUTED_VALUE"""),5.0)</f>
        <v>5</v>
      </c>
      <c r="H3478" s="2" t="str">
        <f>IFERROR(__xludf.DUMMYFUNCTION("""COMPUTED_VALUE"""),"Hrušč.")</f>
        <v>Hrušč.</v>
      </c>
      <c r="I3478" s="2" t="str">
        <f>IFERROR(__xludf.DUMMYFUNCTION("""COMPUTED_VALUE"""),"Panel")</f>
        <v>Panel</v>
      </c>
      <c r="J3478" s="2" t="str">
        <f>IFERROR(__xludf.DUMMYFUNCTION("""COMPUTED_VALUE"""),"All amenities")</f>
        <v>All amenities</v>
      </c>
      <c r="K3478" s="2">
        <f>IFERROR(__xludf.DUMMYFUNCTION("""COMPUTED_VALUE"""),75000.0)</f>
        <v>75000</v>
      </c>
      <c r="L3478" s="2">
        <f>IFERROR(__xludf.DUMMYFUNCTION("""COMPUTED_VALUE"""),56.94578335)</f>
        <v>56.94578335</v>
      </c>
      <c r="M3478" s="2">
        <f>IFERROR(__xludf.DUMMYFUNCTION("""COMPUTED_VALUE"""),24.0643504483302)</f>
        <v>24.06435045</v>
      </c>
    </row>
    <row r="3479">
      <c r="A3479" s="2" t="str">
        <f>IFERROR(__xludf.DUMMYFUNCTION("""COMPUTED_VALUE"""),"For sale")</f>
        <v>For sale</v>
      </c>
      <c r="B3479" s="2" t="str">
        <f>IFERROR(__xludf.DUMMYFUNCTION("""COMPUTED_VALUE"""),"Pļavnieki")</f>
        <v>Pļavnieki</v>
      </c>
      <c r="C3479" s="2" t="str">
        <f>IFERROR(__xludf.DUMMYFUNCTION("""COMPUTED_VALUE"""),"Pļavnieku 5")</f>
        <v>Pļavnieku 5</v>
      </c>
      <c r="D3479" s="2">
        <f>IFERROR(__xludf.DUMMYFUNCTION("""COMPUTED_VALUE"""),2.0)</f>
        <v>2</v>
      </c>
      <c r="E3479" s="2">
        <f>IFERROR(__xludf.DUMMYFUNCTION("""COMPUTED_VALUE"""),51.0)</f>
        <v>51</v>
      </c>
      <c r="F3479" s="2">
        <f>IFERROR(__xludf.DUMMYFUNCTION("""COMPUTED_VALUE"""),6.0)</f>
        <v>6</v>
      </c>
      <c r="G3479" s="2">
        <f>IFERROR(__xludf.DUMMYFUNCTION("""COMPUTED_VALUE"""),9.0)</f>
        <v>9</v>
      </c>
      <c r="H3479" s="2">
        <f>IFERROR(__xludf.DUMMYFUNCTION("""COMPUTED_VALUE"""),602.0)</f>
        <v>602</v>
      </c>
      <c r="I3479" s="2" t="str">
        <f>IFERROR(__xludf.DUMMYFUNCTION("""COMPUTED_VALUE"""),"Panel")</f>
        <v>Panel</v>
      </c>
      <c r="J3479" s="2" t="str">
        <f>IFERROR(__xludf.DUMMYFUNCTION("""COMPUTED_VALUE"""),"All amenities")</f>
        <v>All amenities</v>
      </c>
      <c r="K3479" s="2">
        <f>IFERROR(__xludf.DUMMYFUNCTION("""COMPUTED_VALUE"""),53950.0)</f>
        <v>53950</v>
      </c>
      <c r="L3479" s="2">
        <f>IFERROR(__xludf.DUMMYFUNCTION("""COMPUTED_VALUE"""),56.94249375)</f>
        <v>56.94249375</v>
      </c>
      <c r="M3479" s="2">
        <f>IFERROR(__xludf.DUMMYFUNCTION("""COMPUTED_VALUE"""),24.2107276360446)</f>
        <v>24.21072764</v>
      </c>
    </row>
    <row r="3480">
      <c r="A3480" s="2" t="str">
        <f>IFERROR(__xludf.DUMMYFUNCTION("""COMPUTED_VALUE"""),"For sale")</f>
        <v>For sale</v>
      </c>
      <c r="B3480" s="2" t="str">
        <f>IFERROR(__xludf.DUMMYFUNCTION("""COMPUTED_VALUE"""),"centrs")</f>
        <v>centrs</v>
      </c>
      <c r="C3480" s="2" t="str">
        <f>IFERROR(__xludf.DUMMYFUNCTION("""COMPUTED_VALUE"""),"Kalniņa 1")</f>
        <v>Kalniņa 1</v>
      </c>
      <c r="D3480" s="2">
        <f>IFERROR(__xludf.DUMMYFUNCTION("""COMPUTED_VALUE"""),1.0)</f>
        <v>1</v>
      </c>
      <c r="E3480" s="2">
        <f>IFERROR(__xludf.DUMMYFUNCTION("""COMPUTED_VALUE"""),30.36)</f>
        <v>30.36</v>
      </c>
      <c r="F3480" s="2">
        <f>IFERROR(__xludf.DUMMYFUNCTION("""COMPUTED_VALUE"""),4.0)</f>
        <v>4</v>
      </c>
      <c r="G3480" s="2">
        <f>IFERROR(__xludf.DUMMYFUNCTION("""COMPUTED_VALUE"""),5.0)</f>
        <v>5</v>
      </c>
      <c r="H3480" s="2" t="str">
        <f>IFERROR(__xludf.DUMMYFUNCTION("""COMPUTED_VALUE"""),"Renov.")</f>
        <v>Renov.</v>
      </c>
      <c r="I3480" s="2" t="str">
        <f>IFERROR(__xludf.DUMMYFUNCTION("""COMPUTED_VALUE"""),"Masonry")</f>
        <v>Masonry</v>
      </c>
      <c r="J3480" s="2" t="str">
        <f>IFERROR(__xludf.DUMMYFUNCTION("""COMPUTED_VALUE"""),"Without amenities")</f>
        <v>Without amenities</v>
      </c>
      <c r="K3480" s="2">
        <f>IFERROR(__xludf.DUMMYFUNCTION("""COMPUTED_VALUE"""),69990.0)</f>
        <v>69990</v>
      </c>
      <c r="L3480" s="2">
        <f>IFERROR(__xludf.DUMMYFUNCTION("""COMPUTED_VALUE"""),56.949246)</f>
        <v>56.949246</v>
      </c>
      <c r="M3480" s="2">
        <f>IFERROR(__xludf.DUMMYFUNCTION("""COMPUTED_VALUE"""),24.1208219161591)</f>
        <v>24.12082192</v>
      </c>
    </row>
    <row r="3481">
      <c r="A3481" s="2" t="str">
        <f>IFERROR(__xludf.DUMMYFUNCTION("""COMPUTED_VALUE"""),"For sale")</f>
        <v>For sale</v>
      </c>
      <c r="B3481" s="2" t="str">
        <f>IFERROR(__xludf.DUMMYFUNCTION("""COMPUTED_VALUE"""),"centrs")</f>
        <v>centrs</v>
      </c>
      <c r="C3481" s="2" t="str">
        <f>IFERROR(__xludf.DUMMYFUNCTION("""COMPUTED_VALUE"""),"Cēsu 43")</f>
        <v>Cēsu 43</v>
      </c>
      <c r="D3481" s="2">
        <f>IFERROR(__xludf.DUMMYFUNCTION("""COMPUTED_VALUE"""),3.0)</f>
        <v>3</v>
      </c>
      <c r="E3481" s="2">
        <f>IFERROR(__xludf.DUMMYFUNCTION("""COMPUTED_VALUE"""),71.0)</f>
        <v>71</v>
      </c>
      <c r="F3481" s="2">
        <f>IFERROR(__xludf.DUMMYFUNCTION("""COMPUTED_VALUE"""),1.0)</f>
        <v>1</v>
      </c>
      <c r="G3481" s="2">
        <f>IFERROR(__xludf.DUMMYFUNCTION("""COMPUTED_VALUE"""),5.0)</f>
        <v>5</v>
      </c>
      <c r="H3481" s="2" t="str">
        <f>IFERROR(__xludf.DUMMYFUNCTION("""COMPUTED_VALUE"""),"P. kara")</f>
        <v>P. kara</v>
      </c>
      <c r="I3481" s="2" t="str">
        <f>IFERROR(__xludf.DUMMYFUNCTION("""COMPUTED_VALUE"""),"Masonry")</f>
        <v>Masonry</v>
      </c>
      <c r="J3481" s="2" t="str">
        <f>IFERROR(__xludf.DUMMYFUNCTION("""COMPUTED_VALUE"""),"All amenities")</f>
        <v>All amenities</v>
      </c>
      <c r="K3481" s="2">
        <f>IFERROR(__xludf.DUMMYFUNCTION("""COMPUTED_VALUE"""),129000.0)</f>
        <v>129000</v>
      </c>
      <c r="L3481" s="2">
        <f>IFERROR(__xludf.DUMMYFUNCTION("""COMPUTED_VALUE"""),56.9663395)</f>
        <v>56.9663395</v>
      </c>
      <c r="M3481" s="2">
        <f>IFERROR(__xludf.DUMMYFUNCTION("""COMPUTED_VALUE"""),24.1442451)</f>
        <v>24.1442451</v>
      </c>
    </row>
    <row r="3482">
      <c r="A3482" s="2" t="str">
        <f>IFERROR(__xludf.DUMMYFUNCTION("""COMPUTED_VALUE"""),"For rent")</f>
        <v>For rent</v>
      </c>
      <c r="B3482" s="2" t="str">
        <f>IFERROR(__xludf.DUMMYFUNCTION("""COMPUTED_VALUE"""),"centrs")</f>
        <v>centrs</v>
      </c>
      <c r="C3482" s="2" t="str">
        <f>IFERROR(__xludf.DUMMYFUNCTION("""COMPUTED_VALUE"""),"Zvaigžņu 24")</f>
        <v>Zvaigžņu 24</v>
      </c>
      <c r="D3482" s="2">
        <f>IFERROR(__xludf.DUMMYFUNCTION("""COMPUTED_VALUE"""),1.0)</f>
        <v>1</v>
      </c>
      <c r="E3482" s="2">
        <f>IFERROR(__xludf.DUMMYFUNCTION("""COMPUTED_VALUE"""),20.0)</f>
        <v>20</v>
      </c>
      <c r="F3482" s="2">
        <f>IFERROR(__xludf.DUMMYFUNCTION("""COMPUTED_VALUE"""),3.0)</f>
        <v>3</v>
      </c>
      <c r="G3482" s="2">
        <f>IFERROR(__xludf.DUMMYFUNCTION("""COMPUTED_VALUE"""),5.0)</f>
        <v>5</v>
      </c>
      <c r="H3482" s="2" t="str">
        <f>IFERROR(__xludf.DUMMYFUNCTION("""COMPUTED_VALUE"""),"P. kara")</f>
        <v>P. kara</v>
      </c>
      <c r="I3482" s="2" t="str">
        <f>IFERROR(__xludf.DUMMYFUNCTION("""COMPUTED_VALUE"""),"Masonry")</f>
        <v>Masonry</v>
      </c>
      <c r="J3482" s="2" t="str">
        <f>IFERROR(__xludf.DUMMYFUNCTION("""COMPUTED_VALUE"""),"All amenities")</f>
        <v>All amenities</v>
      </c>
      <c r="K3482" s="2">
        <f>IFERROR(__xludf.DUMMYFUNCTION("""COMPUTED_VALUE"""),300.0)</f>
        <v>300</v>
      </c>
      <c r="L3482" s="2">
        <f>IFERROR(__xludf.DUMMYFUNCTION("""COMPUTED_VALUE"""),56.9607411)</f>
        <v>56.9607411</v>
      </c>
      <c r="M3482" s="2">
        <f>IFERROR(__xludf.DUMMYFUNCTION("""COMPUTED_VALUE"""),24.1497716)</f>
        <v>24.1497716</v>
      </c>
    </row>
    <row r="3483">
      <c r="A3483" s="2" t="str">
        <f>IFERROR(__xludf.DUMMYFUNCTION("""COMPUTED_VALUE"""),"For rent")</f>
        <v>For rent</v>
      </c>
      <c r="B3483" s="2" t="str">
        <f>IFERROR(__xludf.DUMMYFUNCTION("""COMPUTED_VALUE"""),"centrs")</f>
        <v>centrs</v>
      </c>
      <c r="C3483" s="2" t="str">
        <f>IFERROR(__xludf.DUMMYFUNCTION("""COMPUTED_VALUE"""),"Dzirnavu 31")</f>
        <v>Dzirnavu 31</v>
      </c>
      <c r="D3483" s="2">
        <f>IFERROR(__xludf.DUMMYFUNCTION("""COMPUTED_VALUE"""),3.0)</f>
        <v>3</v>
      </c>
      <c r="E3483" s="2">
        <f>IFERROR(__xludf.DUMMYFUNCTION("""COMPUTED_VALUE"""),120.0)</f>
        <v>120</v>
      </c>
      <c r="F3483" s="2">
        <f>IFERROR(__xludf.DUMMYFUNCTION("""COMPUTED_VALUE"""),7.0)</f>
        <v>7</v>
      </c>
      <c r="G3483" s="2">
        <f>IFERROR(__xludf.DUMMYFUNCTION("""COMPUTED_VALUE"""),7.0)</f>
        <v>7</v>
      </c>
      <c r="H3483" s="2" t="str">
        <f>IFERROR(__xludf.DUMMYFUNCTION("""COMPUTED_VALUE"""),"P. kara")</f>
        <v>P. kara</v>
      </c>
      <c r="I3483" s="2" t="str">
        <f>IFERROR(__xludf.DUMMYFUNCTION("""COMPUTED_VALUE"""),"Brick")</f>
        <v>Brick</v>
      </c>
      <c r="J3483" s="2" t="str">
        <f>IFERROR(__xludf.DUMMYFUNCTION("""COMPUTED_VALUE"""),"All amenities")</f>
        <v>All amenities</v>
      </c>
      <c r="K3483" s="2">
        <f>IFERROR(__xludf.DUMMYFUNCTION("""COMPUTED_VALUE"""),1300.0)</f>
        <v>1300</v>
      </c>
      <c r="L3483" s="2">
        <f>IFERROR(__xludf.DUMMYFUNCTION("""COMPUTED_VALUE"""),56.9592805)</f>
        <v>56.9592805</v>
      </c>
      <c r="M3483" s="2">
        <f>IFERROR(__xludf.DUMMYFUNCTION("""COMPUTED_VALUE"""),24.1128099)</f>
        <v>24.1128099</v>
      </c>
    </row>
    <row r="3484">
      <c r="A3484" s="2" t="str">
        <f>IFERROR(__xludf.DUMMYFUNCTION("""COMPUTED_VALUE"""),"For sale")</f>
        <v>For sale</v>
      </c>
      <c r="B3484" s="2" t="str">
        <f>IFERROR(__xludf.DUMMYFUNCTION("""COMPUTED_VALUE"""),"centrs")</f>
        <v>centrs</v>
      </c>
      <c r="C3484" s="2" t="str">
        <f>IFERROR(__xludf.DUMMYFUNCTION("""COMPUTED_VALUE"""),"Ģertrūdes 62")</f>
        <v>Ģertrūdes 62</v>
      </c>
      <c r="D3484" s="2">
        <f>IFERROR(__xludf.DUMMYFUNCTION("""COMPUTED_VALUE"""),6.0)</f>
        <v>6</v>
      </c>
      <c r="E3484" s="2">
        <f>IFERROR(__xludf.DUMMYFUNCTION("""COMPUTED_VALUE"""),150.0)</f>
        <v>150</v>
      </c>
      <c r="F3484" s="2">
        <f>IFERROR(__xludf.DUMMYFUNCTION("""COMPUTED_VALUE"""),6.0)</f>
        <v>6</v>
      </c>
      <c r="G3484" s="2">
        <f>IFERROR(__xludf.DUMMYFUNCTION("""COMPUTED_VALUE"""),7.0)</f>
        <v>7</v>
      </c>
      <c r="H3484" s="2" t="str">
        <f>IFERROR(__xludf.DUMMYFUNCTION("""COMPUTED_VALUE"""),"P. kara")</f>
        <v>P. kara</v>
      </c>
      <c r="I3484" s="2" t="str">
        <f>IFERROR(__xludf.DUMMYFUNCTION("""COMPUTED_VALUE"""),"Masonry")</f>
        <v>Masonry</v>
      </c>
      <c r="J3484" s="2" t="str">
        <f>IFERROR(__xludf.DUMMYFUNCTION("""COMPUTED_VALUE"""),"All amenities")</f>
        <v>All amenities</v>
      </c>
      <c r="K3484" s="2">
        <f>IFERROR(__xludf.DUMMYFUNCTION("""COMPUTED_VALUE"""),219000.0)</f>
        <v>219000</v>
      </c>
      <c r="L3484" s="2">
        <f>IFERROR(__xludf.DUMMYFUNCTION("""COMPUTED_VALUE"""),56.9512368)</f>
        <v>56.9512368</v>
      </c>
      <c r="M3484" s="2">
        <f>IFERROR(__xludf.DUMMYFUNCTION("""COMPUTED_VALUE"""),24.1334549)</f>
        <v>24.1334549</v>
      </c>
    </row>
    <row r="3485">
      <c r="A3485" s="2" t="str">
        <f>IFERROR(__xludf.DUMMYFUNCTION("""COMPUTED_VALUE"""),"For sale")</f>
        <v>For sale</v>
      </c>
      <c r="B3485" s="2" t="str">
        <f>IFERROR(__xludf.DUMMYFUNCTION("""COMPUTED_VALUE"""),"Ķengarags")</f>
        <v>Ķengarags</v>
      </c>
      <c r="C3485" s="2" t="str">
        <f>IFERROR(__xludf.DUMMYFUNCTION("""COMPUTED_VALUE"""),"Maskavas 256/7")</f>
        <v>Maskavas 256/7</v>
      </c>
      <c r="D3485" s="2">
        <f>IFERROR(__xludf.DUMMYFUNCTION("""COMPUTED_VALUE"""),2.0)</f>
        <v>2</v>
      </c>
      <c r="E3485" s="2">
        <f>IFERROR(__xludf.DUMMYFUNCTION("""COMPUTED_VALUE"""),47.0)</f>
        <v>47</v>
      </c>
      <c r="F3485" s="2">
        <f>IFERROR(__xludf.DUMMYFUNCTION("""COMPUTED_VALUE"""),4.0)</f>
        <v>4</v>
      </c>
      <c r="G3485" s="2">
        <f>IFERROR(__xludf.DUMMYFUNCTION("""COMPUTED_VALUE"""),5.0)</f>
        <v>5</v>
      </c>
      <c r="H3485" s="2" t="str">
        <f>IFERROR(__xludf.DUMMYFUNCTION("""COMPUTED_VALUE"""),"LT proj.")</f>
        <v>LT proj.</v>
      </c>
      <c r="I3485" s="2" t="str">
        <f>IFERROR(__xludf.DUMMYFUNCTION("""COMPUTED_VALUE"""),"Panel")</f>
        <v>Panel</v>
      </c>
      <c r="J3485" s="2" t="str">
        <f>IFERROR(__xludf.DUMMYFUNCTION("""COMPUTED_VALUE"""),"All amenities")</f>
        <v>All amenities</v>
      </c>
      <c r="K3485" s="2">
        <f>IFERROR(__xludf.DUMMYFUNCTION("""COMPUTED_VALUE"""),51000.0)</f>
        <v>51000</v>
      </c>
      <c r="L3485" s="2">
        <f>IFERROR(__xludf.DUMMYFUNCTION("""COMPUTED_VALUE"""),56.9445851)</f>
        <v>56.9445851</v>
      </c>
      <c r="M3485" s="2">
        <f>IFERROR(__xludf.DUMMYFUNCTION("""COMPUTED_VALUE"""),24.1127805007715)</f>
        <v>24.1127805</v>
      </c>
    </row>
    <row r="3486">
      <c r="A3486" s="2" t="str">
        <f>IFERROR(__xludf.DUMMYFUNCTION("""COMPUTED_VALUE"""),"For rent")</f>
        <v>For rent</v>
      </c>
      <c r="B3486" s="2" t="str">
        <f>IFERROR(__xludf.DUMMYFUNCTION("""COMPUTED_VALUE"""),"centrs")</f>
        <v>centrs</v>
      </c>
      <c r="C3486" s="2" t="str">
        <f>IFERROR(__xludf.DUMMYFUNCTION("""COMPUTED_VALUE"""),"Brīvības 156")</f>
        <v>Brīvības 156</v>
      </c>
      <c r="D3486" s="2">
        <f>IFERROR(__xludf.DUMMYFUNCTION("""COMPUTED_VALUE"""),1.0)</f>
        <v>1</v>
      </c>
      <c r="E3486" s="2">
        <f>IFERROR(__xludf.DUMMYFUNCTION("""COMPUTED_VALUE"""),32.0)</f>
        <v>32</v>
      </c>
      <c r="F3486" s="2">
        <f>IFERROR(__xludf.DUMMYFUNCTION("""COMPUTED_VALUE"""),5.0)</f>
        <v>5</v>
      </c>
      <c r="G3486" s="2">
        <f>IFERROR(__xludf.DUMMYFUNCTION("""COMPUTED_VALUE"""),5.0)</f>
        <v>5</v>
      </c>
      <c r="H3486" s="2" t="str">
        <f>IFERROR(__xludf.DUMMYFUNCTION("""COMPUTED_VALUE"""),"Specpr.")</f>
        <v>Specpr.</v>
      </c>
      <c r="I3486" s="2" t="str">
        <f>IFERROR(__xludf.DUMMYFUNCTION("""COMPUTED_VALUE"""),"Panel")</f>
        <v>Panel</v>
      </c>
      <c r="J3486" s="2" t="str">
        <f>IFERROR(__xludf.DUMMYFUNCTION("""COMPUTED_VALUE"""),"All amenities")</f>
        <v>All amenities</v>
      </c>
      <c r="K3486" s="2">
        <f>IFERROR(__xludf.DUMMYFUNCTION("""COMPUTED_VALUE"""),25.0)</f>
        <v>25</v>
      </c>
      <c r="L3486" s="2">
        <f>IFERROR(__xludf.DUMMYFUNCTION("""COMPUTED_VALUE"""),56.9651947)</f>
        <v>56.9651947</v>
      </c>
      <c r="M3486" s="2">
        <f>IFERROR(__xludf.DUMMYFUNCTION("""COMPUTED_VALUE"""),24.1427693772217)</f>
        <v>24.14276938</v>
      </c>
    </row>
    <row r="3487">
      <c r="A3487" s="2" t="str">
        <f>IFERROR(__xludf.DUMMYFUNCTION("""COMPUTED_VALUE"""),"For sale")</f>
        <v>For sale</v>
      </c>
      <c r="B3487" s="2" t="str">
        <f>IFERROR(__xludf.DUMMYFUNCTION("""COMPUTED_VALUE"""),"Mežciems")</f>
        <v>Mežciems</v>
      </c>
      <c r="C3487" s="2" t="str">
        <f>IFERROR(__xludf.DUMMYFUNCTION("""COMPUTED_VALUE"""),"Gaiļezera 4")</f>
        <v>Gaiļezera 4</v>
      </c>
      <c r="D3487" s="2">
        <f>IFERROR(__xludf.DUMMYFUNCTION("""COMPUTED_VALUE"""),5.0)</f>
        <v>5</v>
      </c>
      <c r="E3487" s="2">
        <f>IFERROR(__xludf.DUMMYFUNCTION("""COMPUTED_VALUE"""),120.0)</f>
        <v>120</v>
      </c>
      <c r="F3487" s="2">
        <f>IFERROR(__xludf.DUMMYFUNCTION("""COMPUTED_VALUE"""),9.0)</f>
        <v>9</v>
      </c>
      <c r="G3487" s="2">
        <f>IFERROR(__xludf.DUMMYFUNCTION("""COMPUTED_VALUE"""),10.0)</f>
        <v>10</v>
      </c>
      <c r="H3487" s="2">
        <f>IFERROR(__xludf.DUMMYFUNCTION("""COMPUTED_VALUE"""),602.0)</f>
        <v>602</v>
      </c>
      <c r="I3487" s="2" t="str">
        <f>IFERROR(__xludf.DUMMYFUNCTION("""COMPUTED_VALUE"""),"Panel")</f>
        <v>Panel</v>
      </c>
      <c r="J3487" s="2" t="str">
        <f>IFERROR(__xludf.DUMMYFUNCTION("""COMPUTED_VALUE"""),"All amenities")</f>
        <v>All amenities</v>
      </c>
      <c r="K3487" s="2">
        <f>IFERROR(__xludf.DUMMYFUNCTION("""COMPUTED_VALUE"""),87000.0)</f>
        <v>87000</v>
      </c>
      <c r="L3487" s="2">
        <f>IFERROR(__xludf.DUMMYFUNCTION("""COMPUTED_VALUE"""),56.967948)</f>
        <v>56.967948</v>
      </c>
      <c r="M3487" s="2">
        <f>IFERROR(__xludf.DUMMYFUNCTION("""COMPUTED_VALUE"""),24.2351586311777)</f>
        <v>24.23515863</v>
      </c>
    </row>
    <row r="3488">
      <c r="A3488" s="2" t="str">
        <f>IFERROR(__xludf.DUMMYFUNCTION("""COMPUTED_VALUE"""),"For sale")</f>
        <v>For sale</v>
      </c>
      <c r="B3488" s="2" t="str">
        <f>IFERROR(__xludf.DUMMYFUNCTION("""COMPUTED_VALUE"""),"Zolitūde")</f>
        <v>Zolitūde</v>
      </c>
      <c r="C3488" s="2" t="str">
        <f>IFERROR(__xludf.DUMMYFUNCTION("""COMPUTED_VALUE"""),"Gramzdas 17")</f>
        <v>Gramzdas 17</v>
      </c>
      <c r="D3488" s="2">
        <f>IFERROR(__xludf.DUMMYFUNCTION("""COMPUTED_VALUE"""),2.0)</f>
        <v>2</v>
      </c>
      <c r="E3488" s="2">
        <f>IFERROR(__xludf.DUMMYFUNCTION("""COMPUTED_VALUE"""),61.0)</f>
        <v>61</v>
      </c>
      <c r="F3488" s="2">
        <f>IFERROR(__xludf.DUMMYFUNCTION("""COMPUTED_VALUE"""),6.0)</f>
        <v>6</v>
      </c>
      <c r="G3488" s="2">
        <f>IFERROR(__xludf.DUMMYFUNCTION("""COMPUTED_VALUE"""),9.0)</f>
        <v>9</v>
      </c>
      <c r="H3488" s="2">
        <f>IFERROR(__xludf.DUMMYFUNCTION("""COMPUTED_VALUE"""),119.0)</f>
        <v>119</v>
      </c>
      <c r="I3488" s="2" t="str">
        <f>IFERROR(__xludf.DUMMYFUNCTION("""COMPUTED_VALUE"""),"Panel")</f>
        <v>Panel</v>
      </c>
      <c r="J3488" s="2" t="str">
        <f>IFERROR(__xludf.DUMMYFUNCTION("""COMPUTED_VALUE"""),"All amenities")</f>
        <v>All amenities</v>
      </c>
      <c r="K3488" s="2">
        <f>IFERROR(__xludf.DUMMYFUNCTION("""COMPUTED_VALUE"""),65000.0)</f>
        <v>65000</v>
      </c>
      <c r="L3488" s="2">
        <f>IFERROR(__xludf.DUMMYFUNCTION("""COMPUTED_VALUE"""),56.9449087499999)</f>
        <v>56.94490875</v>
      </c>
      <c r="M3488" s="2">
        <f>IFERROR(__xludf.DUMMYFUNCTION("""COMPUTED_VALUE"""),24.0089753169377)</f>
        <v>24.00897532</v>
      </c>
    </row>
    <row r="3489">
      <c r="A3489" s="2" t="str">
        <f>IFERROR(__xludf.DUMMYFUNCTION("""COMPUTED_VALUE"""),"For sale")</f>
        <v>For sale</v>
      </c>
      <c r="B3489" s="2" t="str">
        <f>IFERROR(__xludf.DUMMYFUNCTION("""COMPUTED_VALUE"""),"Purvciems")</f>
        <v>Purvciems</v>
      </c>
      <c r="C3489" s="2" t="str">
        <f>IFERROR(__xludf.DUMMYFUNCTION("""COMPUTED_VALUE"""),"Dzelzavas 88")</f>
        <v>Dzelzavas 88</v>
      </c>
      <c r="D3489" s="2">
        <f>IFERROR(__xludf.DUMMYFUNCTION("""COMPUTED_VALUE"""),2.0)</f>
        <v>2</v>
      </c>
      <c r="E3489" s="2">
        <f>IFERROR(__xludf.DUMMYFUNCTION("""COMPUTED_VALUE"""),51.0)</f>
        <v>51</v>
      </c>
      <c r="F3489" s="2">
        <f>IFERROR(__xludf.DUMMYFUNCTION("""COMPUTED_VALUE"""),3.0)</f>
        <v>3</v>
      </c>
      <c r="G3489" s="2">
        <f>IFERROR(__xludf.DUMMYFUNCTION("""COMPUTED_VALUE"""),5.0)</f>
        <v>5</v>
      </c>
      <c r="H3489" s="2" t="str">
        <f>IFERROR(__xludf.DUMMYFUNCTION("""COMPUTED_VALUE"""),"LT proj.")</f>
        <v>LT proj.</v>
      </c>
      <c r="I3489" s="2" t="str">
        <f>IFERROR(__xludf.DUMMYFUNCTION("""COMPUTED_VALUE"""),"Panel")</f>
        <v>Panel</v>
      </c>
      <c r="J3489" s="2" t="str">
        <f>IFERROR(__xludf.DUMMYFUNCTION("""COMPUTED_VALUE"""),"All amenities")</f>
        <v>All amenities</v>
      </c>
      <c r="K3489" s="2">
        <f>IFERROR(__xludf.DUMMYFUNCTION("""COMPUTED_VALUE"""),49000.0)</f>
        <v>49000</v>
      </c>
      <c r="L3489" s="2">
        <f>IFERROR(__xludf.DUMMYFUNCTION("""COMPUTED_VALUE"""),56.9539408)</f>
        <v>56.9539408</v>
      </c>
      <c r="M3489" s="2">
        <f>IFERROR(__xludf.DUMMYFUNCTION("""COMPUTED_VALUE"""),24.2063672950924)</f>
        <v>24.2063673</v>
      </c>
    </row>
    <row r="3490">
      <c r="A3490" s="2" t="str">
        <f>IFERROR(__xludf.DUMMYFUNCTION("""COMPUTED_VALUE"""),"For sale")</f>
        <v>For sale</v>
      </c>
      <c r="B3490" s="2" t="str">
        <f>IFERROR(__xludf.DUMMYFUNCTION("""COMPUTED_VALUE"""),"Vecrīga")</f>
        <v>Vecrīga</v>
      </c>
      <c r="C3490" s="2" t="str">
        <f>IFERROR(__xludf.DUMMYFUNCTION("""COMPUTED_VALUE"""),"Vecpilsētas 3")</f>
        <v>Vecpilsētas 3</v>
      </c>
      <c r="D3490" s="2">
        <f>IFERROR(__xludf.DUMMYFUNCTION("""COMPUTED_VALUE"""),3.0)</f>
        <v>3</v>
      </c>
      <c r="E3490" s="2">
        <f>IFERROR(__xludf.DUMMYFUNCTION("""COMPUTED_VALUE"""),127.0)</f>
        <v>127</v>
      </c>
      <c r="F3490" s="2">
        <f>IFERROR(__xludf.DUMMYFUNCTION("""COMPUTED_VALUE"""),5.0)</f>
        <v>5</v>
      </c>
      <c r="G3490" s="2">
        <f>IFERROR(__xludf.DUMMYFUNCTION("""COMPUTED_VALUE"""),5.0)</f>
        <v>5</v>
      </c>
      <c r="H3490" s="2" t="str">
        <f>IFERROR(__xludf.DUMMYFUNCTION("""COMPUTED_VALUE"""),"P. kara")</f>
        <v>P. kara</v>
      </c>
      <c r="I3490" s="2" t="str">
        <f>IFERROR(__xludf.DUMMYFUNCTION("""COMPUTED_VALUE"""),"Brick")</f>
        <v>Brick</v>
      </c>
      <c r="J3490" s="2" t="str">
        <f>IFERROR(__xludf.DUMMYFUNCTION("""COMPUTED_VALUE"""),"All amenities")</f>
        <v>All amenities</v>
      </c>
      <c r="K3490" s="2">
        <f>IFERROR(__xludf.DUMMYFUNCTION("""COMPUTED_VALUE"""),178000.0)</f>
        <v>178000</v>
      </c>
      <c r="L3490" s="2">
        <f>IFERROR(__xludf.DUMMYFUNCTION("""COMPUTED_VALUE"""),56.946815)</f>
        <v>56.946815</v>
      </c>
      <c r="M3490" s="2">
        <f>IFERROR(__xludf.DUMMYFUNCTION("""COMPUTED_VALUE"""),24.1115359)</f>
        <v>24.1115359</v>
      </c>
    </row>
    <row r="3491">
      <c r="A3491" s="2" t="str">
        <f>IFERROR(__xludf.DUMMYFUNCTION("""COMPUTED_VALUE"""),"For sale")</f>
        <v>For sale</v>
      </c>
      <c r="B3491" s="2" t="str">
        <f>IFERROR(__xludf.DUMMYFUNCTION("""COMPUTED_VALUE"""),"Āgenskalns")</f>
        <v>Āgenskalns</v>
      </c>
      <c r="C3491" s="2" t="str">
        <f>IFERROR(__xludf.DUMMYFUNCTION("""COMPUTED_VALUE"""),"Mūkusalas 29")</f>
        <v>Mūkusalas 29</v>
      </c>
      <c r="D3491" s="2">
        <f>IFERROR(__xludf.DUMMYFUNCTION("""COMPUTED_VALUE"""),3.0)</f>
        <v>3</v>
      </c>
      <c r="E3491" s="2">
        <f>IFERROR(__xludf.DUMMYFUNCTION("""COMPUTED_VALUE"""),85.0)</f>
        <v>85</v>
      </c>
      <c r="F3491" s="2">
        <f>IFERROR(__xludf.DUMMYFUNCTION("""COMPUTED_VALUE"""),2.0)</f>
        <v>2</v>
      </c>
      <c r="G3491" s="2">
        <f>IFERROR(__xludf.DUMMYFUNCTION("""COMPUTED_VALUE"""),4.0)</f>
        <v>4</v>
      </c>
      <c r="H3491" s="2" t="str">
        <f>IFERROR(__xludf.DUMMYFUNCTION("""COMPUTED_VALUE"""),"Jaun.")</f>
        <v>Jaun.</v>
      </c>
      <c r="I3491" s="2" t="str">
        <f>IFERROR(__xludf.DUMMYFUNCTION("""COMPUTED_VALUE"""),"Masonry")</f>
        <v>Masonry</v>
      </c>
      <c r="J3491" s="2" t="str">
        <f>IFERROR(__xludf.DUMMYFUNCTION("""COMPUTED_VALUE"""),"All amenities")</f>
        <v>All amenities</v>
      </c>
      <c r="K3491" s="2">
        <f>IFERROR(__xludf.DUMMYFUNCTION("""COMPUTED_VALUE"""),159000.0)</f>
        <v>159000</v>
      </c>
      <c r="L3491" s="2">
        <f>IFERROR(__xludf.DUMMYFUNCTION("""COMPUTED_VALUE"""),56.93693955)</f>
        <v>56.93693955</v>
      </c>
      <c r="M3491" s="2">
        <f>IFERROR(__xludf.DUMMYFUNCTION("""COMPUTED_VALUE"""),24.1019323631236)</f>
        <v>24.10193236</v>
      </c>
    </row>
    <row r="3492">
      <c r="A3492" s="2" t="str">
        <f>IFERROR(__xludf.DUMMYFUNCTION("""COMPUTED_VALUE"""),"For rent")</f>
        <v>For rent</v>
      </c>
      <c r="B3492" s="2" t="str">
        <f>IFERROR(__xludf.DUMMYFUNCTION("""COMPUTED_VALUE"""),"Āgenskalns")</f>
        <v>Āgenskalns</v>
      </c>
      <c r="C3492" s="2" t="str">
        <f>IFERROR(__xludf.DUMMYFUNCTION("""COMPUTED_VALUE"""),"Tapešu 25")</f>
        <v>Tapešu 25</v>
      </c>
      <c r="D3492" s="2">
        <f>IFERROR(__xludf.DUMMYFUNCTION("""COMPUTED_VALUE"""),3.0)</f>
        <v>3</v>
      </c>
      <c r="E3492" s="2">
        <f>IFERROR(__xludf.DUMMYFUNCTION("""COMPUTED_VALUE"""),74.0)</f>
        <v>74</v>
      </c>
      <c r="F3492" s="2">
        <f>IFERROR(__xludf.DUMMYFUNCTION("""COMPUTED_VALUE"""),3.0)</f>
        <v>3</v>
      </c>
      <c r="G3492" s="2">
        <f>IFERROR(__xludf.DUMMYFUNCTION("""COMPUTED_VALUE"""),4.0)</f>
        <v>4</v>
      </c>
      <c r="H3492" s="2" t="str">
        <f>IFERROR(__xludf.DUMMYFUNCTION("""COMPUTED_VALUE"""),"Specpr.")</f>
        <v>Specpr.</v>
      </c>
      <c r="I3492" s="2" t="str">
        <f>IFERROR(__xludf.DUMMYFUNCTION("""COMPUTED_VALUE"""),"Brick-Panel")</f>
        <v>Brick-Panel</v>
      </c>
      <c r="J3492" s="2" t="str">
        <f>IFERROR(__xludf.DUMMYFUNCTION("""COMPUTED_VALUE"""),"All amenities")</f>
        <v>All amenities</v>
      </c>
      <c r="K3492" s="2">
        <f>IFERROR(__xludf.DUMMYFUNCTION("""COMPUTED_VALUE"""),420.0)</f>
        <v>420</v>
      </c>
      <c r="L3492" s="2">
        <f>IFERROR(__xludf.DUMMYFUNCTION("""COMPUTED_VALUE"""),56.94972565)</f>
        <v>56.94972565</v>
      </c>
      <c r="M3492" s="2">
        <f>IFERROR(__xludf.DUMMYFUNCTION("""COMPUTED_VALUE"""),24.0476214871882)</f>
        <v>24.04762149</v>
      </c>
    </row>
    <row r="3493">
      <c r="A3493" s="2" t="str">
        <f>IFERROR(__xludf.DUMMYFUNCTION("""COMPUTED_VALUE"""),"For rent")</f>
        <v>For rent</v>
      </c>
      <c r="B3493" s="2" t="str">
        <f>IFERROR(__xludf.DUMMYFUNCTION("""COMPUTED_VALUE"""),"centrs")</f>
        <v>centrs</v>
      </c>
      <c r="C3493" s="2" t="str">
        <f>IFERROR(__xludf.DUMMYFUNCTION("""COMPUTED_VALUE"""),"Elizabetes 1")</f>
        <v>Elizabetes 1</v>
      </c>
      <c r="D3493" s="2">
        <f>IFERROR(__xludf.DUMMYFUNCTION("""COMPUTED_VALUE"""),4.0)</f>
        <v>4</v>
      </c>
      <c r="E3493" s="2">
        <f>IFERROR(__xludf.DUMMYFUNCTION("""COMPUTED_VALUE"""),94.0)</f>
        <v>94</v>
      </c>
      <c r="F3493" s="2">
        <f>IFERROR(__xludf.DUMMYFUNCTION("""COMPUTED_VALUE"""),2.0)</f>
        <v>2</v>
      </c>
      <c r="G3493" s="2">
        <f>IFERROR(__xludf.DUMMYFUNCTION("""COMPUTED_VALUE"""),5.0)</f>
        <v>5</v>
      </c>
      <c r="H3493" s="2" t="str">
        <f>IFERROR(__xludf.DUMMYFUNCTION("""COMPUTED_VALUE"""),"Renov.")</f>
        <v>Renov.</v>
      </c>
      <c r="I3493" s="2" t="str">
        <f>IFERROR(__xludf.DUMMYFUNCTION("""COMPUTED_VALUE"""),"Masonry")</f>
        <v>Masonry</v>
      </c>
      <c r="J3493" s="2" t="str">
        <f>IFERROR(__xludf.DUMMYFUNCTION("""COMPUTED_VALUE"""),"All amenities")</f>
        <v>All amenities</v>
      </c>
      <c r="K3493" s="2">
        <f>IFERROR(__xludf.DUMMYFUNCTION("""COMPUTED_VALUE"""),600.0)</f>
        <v>600</v>
      </c>
      <c r="L3493" s="2">
        <f>IFERROR(__xludf.DUMMYFUNCTION("""COMPUTED_VALUE"""),56.95950265)</f>
        <v>56.95950265</v>
      </c>
      <c r="M3493" s="2">
        <f>IFERROR(__xludf.DUMMYFUNCTION("""COMPUTED_VALUE"""),24.09881036523)</f>
        <v>24.09881037</v>
      </c>
    </row>
    <row r="3494">
      <c r="A3494" s="2" t="str">
        <f>IFERROR(__xludf.DUMMYFUNCTION("""COMPUTED_VALUE"""),"For sale")</f>
        <v>For sale</v>
      </c>
      <c r="B3494" s="2" t="str">
        <f>IFERROR(__xludf.DUMMYFUNCTION("""COMPUTED_VALUE"""),"Teika")</f>
        <v>Teika</v>
      </c>
      <c r="C3494" s="2" t="str">
        <f>IFERROR(__xludf.DUMMYFUNCTION("""COMPUTED_VALUE"""),"Ropažu 14")</f>
        <v>Ropažu 14</v>
      </c>
      <c r="D3494" s="2">
        <f>IFERROR(__xludf.DUMMYFUNCTION("""COMPUTED_VALUE"""),3.0)</f>
        <v>3</v>
      </c>
      <c r="E3494" s="2">
        <f>IFERROR(__xludf.DUMMYFUNCTION("""COMPUTED_VALUE"""),74.0)</f>
        <v>74</v>
      </c>
      <c r="F3494" s="2">
        <f>IFERROR(__xludf.DUMMYFUNCTION("""COMPUTED_VALUE"""),2.0)</f>
        <v>2</v>
      </c>
      <c r="G3494" s="2">
        <f>IFERROR(__xludf.DUMMYFUNCTION("""COMPUTED_VALUE"""),10.0)</f>
        <v>10</v>
      </c>
      <c r="H3494" s="2" t="str">
        <f>IFERROR(__xludf.DUMMYFUNCTION("""COMPUTED_VALUE"""),"Jaun.")</f>
        <v>Jaun.</v>
      </c>
      <c r="I3494" s="2" t="str">
        <f>IFERROR(__xludf.DUMMYFUNCTION("""COMPUTED_VALUE"""),"Masonry")</f>
        <v>Masonry</v>
      </c>
      <c r="J3494" s="2" t="str">
        <f>IFERROR(__xludf.DUMMYFUNCTION("""COMPUTED_VALUE"""),"All amenities")</f>
        <v>All amenities</v>
      </c>
      <c r="K3494" s="2">
        <f>IFERROR(__xludf.DUMMYFUNCTION("""COMPUTED_VALUE"""),121000.0)</f>
        <v>121000</v>
      </c>
      <c r="L3494" s="2">
        <f>IFERROR(__xludf.DUMMYFUNCTION("""COMPUTED_VALUE"""),56.9767303)</f>
        <v>56.9767303</v>
      </c>
      <c r="M3494" s="2">
        <f>IFERROR(__xludf.DUMMYFUNCTION("""COMPUTED_VALUE"""),24.1676579996058)</f>
        <v>24.167658</v>
      </c>
    </row>
    <row r="3495">
      <c r="A3495" s="2" t="str">
        <f>IFERROR(__xludf.DUMMYFUNCTION("""COMPUTED_VALUE"""),"For sale")</f>
        <v>For sale</v>
      </c>
      <c r="B3495" s="2" t="str">
        <f>IFERROR(__xludf.DUMMYFUNCTION("""COMPUTED_VALUE"""),"centrs")</f>
        <v>centrs</v>
      </c>
      <c r="C3495" s="2" t="str">
        <f>IFERROR(__xludf.DUMMYFUNCTION("""COMPUTED_VALUE"""),"Kazarmu 2a")</f>
        <v>Kazarmu 2a</v>
      </c>
      <c r="D3495" s="2">
        <f>IFERROR(__xludf.DUMMYFUNCTION("""COMPUTED_VALUE"""),1.0)</f>
        <v>1</v>
      </c>
      <c r="E3495" s="2">
        <f>IFERROR(__xludf.DUMMYFUNCTION("""COMPUTED_VALUE"""),31.0)</f>
        <v>31</v>
      </c>
      <c r="F3495" s="2">
        <f>IFERROR(__xludf.DUMMYFUNCTION("""COMPUTED_VALUE"""),3.0)</f>
        <v>3</v>
      </c>
      <c r="G3495" s="2">
        <f>IFERROR(__xludf.DUMMYFUNCTION("""COMPUTED_VALUE"""),5.0)</f>
        <v>5</v>
      </c>
      <c r="H3495" s="2" t="str">
        <f>IFERROR(__xludf.DUMMYFUNCTION("""COMPUTED_VALUE"""),"P. kara")</f>
        <v>P. kara</v>
      </c>
      <c r="I3495" s="2" t="str">
        <f>IFERROR(__xludf.DUMMYFUNCTION("""COMPUTED_VALUE"""),"Masonry")</f>
        <v>Masonry</v>
      </c>
      <c r="J3495" s="2" t="str">
        <f>IFERROR(__xludf.DUMMYFUNCTION("""COMPUTED_VALUE"""),"All amenities")</f>
        <v>All amenities</v>
      </c>
      <c r="K3495" s="2">
        <f>IFERROR(__xludf.DUMMYFUNCTION("""COMPUTED_VALUE"""),62000.0)</f>
        <v>62000</v>
      </c>
      <c r="L3495" s="2">
        <f>IFERROR(__xludf.DUMMYFUNCTION("""COMPUTED_VALUE"""),56.9731021)</f>
        <v>56.9731021</v>
      </c>
      <c r="M3495" s="2">
        <f>IFERROR(__xludf.DUMMYFUNCTION("""COMPUTED_VALUE"""),24.1419)</f>
        <v>24.1419</v>
      </c>
    </row>
    <row r="3496">
      <c r="A3496" s="2" t="str">
        <f>IFERROR(__xludf.DUMMYFUNCTION("""COMPUTED_VALUE"""),"For rent")</f>
        <v>For rent</v>
      </c>
      <c r="B3496" s="2" t="str">
        <f>IFERROR(__xludf.DUMMYFUNCTION("""COMPUTED_VALUE"""),"centrs")</f>
        <v>centrs</v>
      </c>
      <c r="C3496" s="2" t="str">
        <f>IFERROR(__xludf.DUMMYFUNCTION("""COMPUTED_VALUE"""),"Ausekļa 7")</f>
        <v>Ausekļa 7</v>
      </c>
      <c r="D3496" s="2">
        <f>IFERROR(__xludf.DUMMYFUNCTION("""COMPUTED_VALUE"""),6.0)</f>
        <v>6</v>
      </c>
      <c r="E3496" s="2">
        <f>IFERROR(__xludf.DUMMYFUNCTION("""COMPUTED_VALUE"""),160.0)</f>
        <v>160</v>
      </c>
      <c r="F3496" s="2">
        <f>IFERROR(__xludf.DUMMYFUNCTION("""COMPUTED_VALUE"""),2.0)</f>
        <v>2</v>
      </c>
      <c r="G3496" s="2">
        <f>IFERROR(__xludf.DUMMYFUNCTION("""COMPUTED_VALUE"""),5.0)</f>
        <v>5</v>
      </c>
      <c r="H3496" s="2" t="str">
        <f>IFERROR(__xludf.DUMMYFUNCTION("""COMPUTED_VALUE"""),"Renov.")</f>
        <v>Renov.</v>
      </c>
      <c r="I3496" s="2" t="str">
        <f>IFERROR(__xludf.DUMMYFUNCTION("""COMPUTED_VALUE"""),"Masonry")</f>
        <v>Masonry</v>
      </c>
      <c r="J3496" s="2" t="str">
        <f>IFERROR(__xludf.DUMMYFUNCTION("""COMPUTED_VALUE"""),"All amenities")</f>
        <v>All amenities</v>
      </c>
      <c r="K3496" s="2">
        <f>IFERROR(__xludf.DUMMYFUNCTION("""COMPUTED_VALUE"""),1600.0)</f>
        <v>1600</v>
      </c>
      <c r="L3496" s="2">
        <f>IFERROR(__xludf.DUMMYFUNCTION("""COMPUTED_VALUE"""),56.96104425)</f>
        <v>56.96104425</v>
      </c>
      <c r="M3496" s="2">
        <f>IFERROR(__xludf.DUMMYFUNCTION("""COMPUTED_VALUE"""),24.0996557553473)</f>
        <v>24.09965576</v>
      </c>
    </row>
    <row r="3497">
      <c r="A3497" s="2" t="str">
        <f>IFERROR(__xludf.DUMMYFUNCTION("""COMPUTED_VALUE"""),"For sale")</f>
        <v>For sale</v>
      </c>
      <c r="B3497" s="2" t="str">
        <f>IFERROR(__xludf.DUMMYFUNCTION("""COMPUTED_VALUE"""),"centrs")</f>
        <v>centrs</v>
      </c>
      <c r="C3497" s="2" t="str">
        <f>IFERROR(__xludf.DUMMYFUNCTION("""COMPUTED_VALUE"""),"Birznieka-Upīša 13")</f>
        <v>Birznieka-Upīša 13</v>
      </c>
      <c r="D3497" s="2">
        <f>IFERROR(__xludf.DUMMYFUNCTION("""COMPUTED_VALUE"""),2.0)</f>
        <v>2</v>
      </c>
      <c r="E3497" s="2">
        <f>IFERROR(__xludf.DUMMYFUNCTION("""COMPUTED_VALUE"""),57.0)</f>
        <v>57</v>
      </c>
      <c r="F3497" s="2">
        <f>IFERROR(__xludf.DUMMYFUNCTION("""COMPUTED_VALUE"""),7.0)</f>
        <v>7</v>
      </c>
      <c r="G3497" s="2">
        <f>IFERROR(__xludf.DUMMYFUNCTION("""COMPUTED_VALUE"""),7.0)</f>
        <v>7</v>
      </c>
      <c r="H3497" s="2" t="str">
        <f>IFERROR(__xludf.DUMMYFUNCTION("""COMPUTED_VALUE"""),"Jaun.")</f>
        <v>Jaun.</v>
      </c>
      <c r="I3497" s="2" t="str">
        <f>IFERROR(__xludf.DUMMYFUNCTION("""COMPUTED_VALUE"""),"Panel")</f>
        <v>Panel</v>
      </c>
      <c r="J3497" s="2" t="str">
        <f>IFERROR(__xludf.DUMMYFUNCTION("""COMPUTED_VALUE"""),"All amenities")</f>
        <v>All amenities</v>
      </c>
      <c r="K3497" s="2">
        <f>IFERROR(__xludf.DUMMYFUNCTION("""COMPUTED_VALUE"""),140000.0)</f>
        <v>140000</v>
      </c>
      <c r="L3497" s="2">
        <f>IFERROR(__xludf.DUMMYFUNCTION("""COMPUTED_VALUE"""),56.9493295)</f>
        <v>56.9493295</v>
      </c>
      <c r="M3497" s="2">
        <f>IFERROR(__xludf.DUMMYFUNCTION("""COMPUTED_VALUE"""),24.1264892056074)</f>
        <v>24.12648921</v>
      </c>
    </row>
    <row r="3498">
      <c r="A3498" s="2" t="str">
        <f>IFERROR(__xludf.DUMMYFUNCTION("""COMPUTED_VALUE"""),"For rent")</f>
        <v>For rent</v>
      </c>
      <c r="B3498" s="2" t="str">
        <f>IFERROR(__xludf.DUMMYFUNCTION("""COMPUTED_VALUE"""),"Mežciems")</f>
        <v>Mežciems</v>
      </c>
      <c r="C3498" s="2" t="str">
        <f>IFERROR(__xludf.DUMMYFUNCTION("""COMPUTED_VALUE"""),"Hipokrāta 9")</f>
        <v>Hipokrāta 9</v>
      </c>
      <c r="D3498" s="2">
        <f>IFERROR(__xludf.DUMMYFUNCTION("""COMPUTED_VALUE"""),2.0)</f>
        <v>2</v>
      </c>
      <c r="E3498" s="2">
        <f>IFERROR(__xludf.DUMMYFUNCTION("""COMPUTED_VALUE"""),57.0)</f>
        <v>57</v>
      </c>
      <c r="F3498" s="2">
        <f>IFERROR(__xludf.DUMMYFUNCTION("""COMPUTED_VALUE"""),4.0)</f>
        <v>4</v>
      </c>
      <c r="G3498" s="2">
        <f>IFERROR(__xludf.DUMMYFUNCTION("""COMPUTED_VALUE"""),16.0)</f>
        <v>16</v>
      </c>
      <c r="H3498" s="2">
        <f>IFERROR(__xludf.DUMMYFUNCTION("""COMPUTED_VALUE"""),104.0)</f>
        <v>104</v>
      </c>
      <c r="I3498" s="2" t="str">
        <f>IFERROR(__xludf.DUMMYFUNCTION("""COMPUTED_VALUE"""),"Brick-Panel")</f>
        <v>Brick-Panel</v>
      </c>
      <c r="J3498" s="2" t="str">
        <f>IFERROR(__xludf.DUMMYFUNCTION("""COMPUTED_VALUE"""),"All amenities")</f>
        <v>All amenities</v>
      </c>
      <c r="K3498" s="2">
        <f>IFERROR(__xludf.DUMMYFUNCTION("""COMPUTED_VALUE"""),350.0)</f>
        <v>350</v>
      </c>
      <c r="L3498" s="2">
        <f>IFERROR(__xludf.DUMMYFUNCTION("""COMPUTED_VALUE"""),56.96758455)</f>
        <v>56.96758455</v>
      </c>
      <c r="M3498" s="2">
        <f>IFERROR(__xludf.DUMMYFUNCTION("""COMPUTED_VALUE"""),24.238078024789)</f>
        <v>24.23807802</v>
      </c>
    </row>
    <row r="3499">
      <c r="A3499" s="2" t="str">
        <f>IFERROR(__xludf.DUMMYFUNCTION("""COMPUTED_VALUE"""),"For sale")</f>
        <v>For sale</v>
      </c>
      <c r="B3499" s="2" t="str">
        <f>IFERROR(__xludf.DUMMYFUNCTION("""COMPUTED_VALUE"""),"centrs")</f>
        <v>centrs</v>
      </c>
      <c r="C3499" s="2" t="str">
        <f>IFERROR(__xludf.DUMMYFUNCTION("""COMPUTED_VALUE"""),"Birznieka-Upīša 10")</f>
        <v>Birznieka-Upīša 10</v>
      </c>
      <c r="D3499" s="2">
        <f>IFERROR(__xludf.DUMMYFUNCTION("""COMPUTED_VALUE"""),3.0)</f>
        <v>3</v>
      </c>
      <c r="E3499" s="2">
        <f>IFERROR(__xludf.DUMMYFUNCTION("""COMPUTED_VALUE"""),95.0)</f>
        <v>95</v>
      </c>
      <c r="F3499" s="2">
        <f>IFERROR(__xludf.DUMMYFUNCTION("""COMPUTED_VALUE"""),2.0)</f>
        <v>2</v>
      </c>
      <c r="G3499" s="2">
        <f>IFERROR(__xludf.DUMMYFUNCTION("""COMPUTED_VALUE"""),5.0)</f>
        <v>5</v>
      </c>
      <c r="H3499" s="2" t="str">
        <f>IFERROR(__xludf.DUMMYFUNCTION("""COMPUTED_VALUE"""),"Renov.")</f>
        <v>Renov.</v>
      </c>
      <c r="I3499" s="2" t="str">
        <f>IFERROR(__xludf.DUMMYFUNCTION("""COMPUTED_VALUE"""),"Masonry")</f>
        <v>Masonry</v>
      </c>
      <c r="J3499" s="2" t="str">
        <f>IFERROR(__xludf.DUMMYFUNCTION("""COMPUTED_VALUE"""),"All amenities")</f>
        <v>All amenities</v>
      </c>
      <c r="K3499" s="2">
        <f>IFERROR(__xludf.DUMMYFUNCTION("""COMPUTED_VALUE"""),225675.0)</f>
        <v>225675</v>
      </c>
      <c r="L3499" s="2">
        <f>IFERROR(__xludf.DUMMYFUNCTION("""COMPUTED_VALUE"""),56.9488745)</f>
        <v>56.9488745</v>
      </c>
      <c r="M3499" s="2">
        <f>IFERROR(__xludf.DUMMYFUNCTION("""COMPUTED_VALUE"""),24.1266027446091)</f>
        <v>24.12660274</v>
      </c>
    </row>
    <row r="3500">
      <c r="A3500" s="2" t="str">
        <f>IFERROR(__xludf.DUMMYFUNCTION("""COMPUTED_VALUE"""),"For sale")</f>
        <v>For sale</v>
      </c>
      <c r="B3500" s="2" t="str">
        <f>IFERROR(__xludf.DUMMYFUNCTION("""COMPUTED_VALUE"""),"Vecmīlgrāvis")</f>
        <v>Vecmīlgrāvis</v>
      </c>
      <c r="C3500" s="2" t="str">
        <f>IFERROR(__xludf.DUMMYFUNCTION("""COMPUTED_VALUE"""),"Kāvu 1")</f>
        <v>Kāvu 1</v>
      </c>
      <c r="D3500" s="2">
        <f>IFERROR(__xludf.DUMMYFUNCTION("""COMPUTED_VALUE"""),2.0)</f>
        <v>2</v>
      </c>
      <c r="E3500" s="2">
        <f>IFERROR(__xludf.DUMMYFUNCTION("""COMPUTED_VALUE"""),39.0)</f>
        <v>39</v>
      </c>
      <c r="F3500" s="2">
        <f>IFERROR(__xludf.DUMMYFUNCTION("""COMPUTED_VALUE"""),5.0)</f>
        <v>5</v>
      </c>
      <c r="G3500" s="2">
        <f>IFERROR(__xludf.DUMMYFUNCTION("""COMPUTED_VALUE"""),5.0)</f>
        <v>5</v>
      </c>
      <c r="H3500" s="2" t="str">
        <f>IFERROR(__xludf.DUMMYFUNCTION("""COMPUTED_VALUE"""),"LT proj.")</f>
        <v>LT proj.</v>
      </c>
      <c r="I3500" s="2" t="str">
        <f>IFERROR(__xludf.DUMMYFUNCTION("""COMPUTED_VALUE"""),"Panel")</f>
        <v>Panel</v>
      </c>
      <c r="J3500" s="2" t="str">
        <f>IFERROR(__xludf.DUMMYFUNCTION("""COMPUTED_VALUE"""),"All amenities")</f>
        <v>All amenities</v>
      </c>
      <c r="K3500" s="2">
        <f>IFERROR(__xludf.DUMMYFUNCTION("""COMPUTED_VALUE"""),31500.0)</f>
        <v>31500</v>
      </c>
      <c r="L3500" s="2">
        <f>IFERROR(__xludf.DUMMYFUNCTION("""COMPUTED_VALUE"""),57.03317275)</f>
        <v>57.03317275</v>
      </c>
      <c r="M3500" s="2">
        <f>IFERROR(__xludf.DUMMYFUNCTION("""COMPUTED_VALUE"""),24.0993254)</f>
        <v>24.0993254</v>
      </c>
    </row>
    <row r="3501">
      <c r="A3501" s="2" t="str">
        <f>IFERROR(__xludf.DUMMYFUNCTION("""COMPUTED_VALUE"""),"For sale")</f>
        <v>For sale</v>
      </c>
      <c r="B3501" s="2" t="str">
        <f>IFERROR(__xludf.DUMMYFUNCTION("""COMPUTED_VALUE"""),"Purvciems")</f>
        <v>Purvciems</v>
      </c>
      <c r="C3501" s="2" t="str">
        <f>IFERROR(__xludf.DUMMYFUNCTION("""COMPUTED_VALUE"""),"Stirnu 55")</f>
        <v>Stirnu 55</v>
      </c>
      <c r="D3501" s="2">
        <f>IFERROR(__xludf.DUMMYFUNCTION("""COMPUTED_VALUE"""),3.0)</f>
        <v>3</v>
      </c>
      <c r="E3501" s="2">
        <f>IFERROR(__xludf.DUMMYFUNCTION("""COMPUTED_VALUE"""),60.0)</f>
        <v>60</v>
      </c>
      <c r="F3501" s="2">
        <f>IFERROR(__xludf.DUMMYFUNCTION("""COMPUTED_VALUE"""),3.0)</f>
        <v>3</v>
      </c>
      <c r="G3501" s="2">
        <f>IFERROR(__xludf.DUMMYFUNCTION("""COMPUTED_VALUE"""),5.0)</f>
        <v>5</v>
      </c>
      <c r="H3501" s="2" t="str">
        <f>IFERROR(__xludf.DUMMYFUNCTION("""COMPUTED_VALUE"""),"LT proj.")</f>
        <v>LT proj.</v>
      </c>
      <c r="I3501" s="2" t="str">
        <f>IFERROR(__xludf.DUMMYFUNCTION("""COMPUTED_VALUE"""),"Panel")</f>
        <v>Panel</v>
      </c>
      <c r="J3501" s="2" t="str">
        <f>IFERROR(__xludf.DUMMYFUNCTION("""COMPUTED_VALUE"""),"All amenities")</f>
        <v>All amenities</v>
      </c>
      <c r="K3501" s="2">
        <f>IFERROR(__xludf.DUMMYFUNCTION("""COMPUTED_VALUE"""),51000.0)</f>
        <v>51000</v>
      </c>
      <c r="L3501" s="2">
        <f>IFERROR(__xludf.DUMMYFUNCTION("""COMPUTED_VALUE"""),56.96423965)</f>
        <v>56.96423965</v>
      </c>
      <c r="M3501" s="2">
        <f>IFERROR(__xludf.DUMMYFUNCTION("""COMPUTED_VALUE"""),24.1939779)</f>
        <v>24.1939779</v>
      </c>
    </row>
    <row r="3502">
      <c r="A3502" s="2" t="str">
        <f>IFERROR(__xludf.DUMMYFUNCTION("""COMPUTED_VALUE"""),"For rent")</f>
        <v>For rent</v>
      </c>
      <c r="B3502" s="2" t="str">
        <f>IFERROR(__xludf.DUMMYFUNCTION("""COMPUTED_VALUE"""),"Āgenskalns")</f>
        <v>Āgenskalns</v>
      </c>
      <c r="C3502" s="2" t="str">
        <f>IFERROR(__xludf.DUMMYFUNCTION("""COMPUTED_VALUE"""),"Kalnciema 1a")</f>
        <v>Kalnciema 1a</v>
      </c>
      <c r="D3502" s="2">
        <f>IFERROR(__xludf.DUMMYFUNCTION("""COMPUTED_VALUE"""),2.0)</f>
        <v>2</v>
      </c>
      <c r="E3502" s="2">
        <f>IFERROR(__xludf.DUMMYFUNCTION("""COMPUTED_VALUE"""),69.0)</f>
        <v>69</v>
      </c>
      <c r="F3502" s="2">
        <f>IFERROR(__xludf.DUMMYFUNCTION("""COMPUTED_VALUE"""),1.0)</f>
        <v>1</v>
      </c>
      <c r="G3502" s="2">
        <f>IFERROR(__xludf.DUMMYFUNCTION("""COMPUTED_VALUE"""),4.0)</f>
        <v>4</v>
      </c>
      <c r="H3502" s="2" t="str">
        <f>IFERROR(__xludf.DUMMYFUNCTION("""COMPUTED_VALUE"""),"P. kara")</f>
        <v>P. kara</v>
      </c>
      <c r="I3502" s="2" t="str">
        <f>IFERROR(__xludf.DUMMYFUNCTION("""COMPUTED_VALUE"""),"Masonry")</f>
        <v>Masonry</v>
      </c>
      <c r="J3502" s="2" t="str">
        <f>IFERROR(__xludf.DUMMYFUNCTION("""COMPUTED_VALUE"""),"All amenities")</f>
        <v>All amenities</v>
      </c>
      <c r="K3502" s="2">
        <f>IFERROR(__xludf.DUMMYFUNCTION("""COMPUTED_VALUE"""),350.0)</f>
        <v>350</v>
      </c>
      <c r="L3502" s="2">
        <f>IFERROR(__xludf.DUMMYFUNCTION("""COMPUTED_VALUE"""),56.94591245)</f>
        <v>56.94591245</v>
      </c>
      <c r="M3502" s="2">
        <f>IFERROR(__xludf.DUMMYFUNCTION("""COMPUTED_VALUE"""),24.0801188745561)</f>
        <v>24.08011887</v>
      </c>
    </row>
    <row r="3503">
      <c r="A3503" s="2" t="str">
        <f>IFERROR(__xludf.DUMMYFUNCTION("""COMPUTED_VALUE"""),"For sale")</f>
        <v>For sale</v>
      </c>
      <c r="B3503" s="2" t="str">
        <f>IFERROR(__xludf.DUMMYFUNCTION("""COMPUTED_VALUE"""),"Ķengarags")</f>
        <v>Ķengarags</v>
      </c>
      <c r="C3503" s="2" t="str">
        <f>IFERROR(__xludf.DUMMYFUNCTION("""COMPUTED_VALUE"""),"Rasas 2")</f>
        <v>Rasas 2</v>
      </c>
      <c r="D3503" s="2">
        <f>IFERROR(__xludf.DUMMYFUNCTION("""COMPUTED_VALUE"""),3.0)</f>
        <v>3</v>
      </c>
      <c r="E3503" s="2">
        <f>IFERROR(__xludf.DUMMYFUNCTION("""COMPUTED_VALUE"""),60.0)</f>
        <v>60</v>
      </c>
      <c r="F3503" s="2">
        <f>IFERROR(__xludf.DUMMYFUNCTION("""COMPUTED_VALUE"""),1.0)</f>
        <v>1</v>
      </c>
      <c r="G3503" s="2">
        <f>IFERROR(__xludf.DUMMYFUNCTION("""COMPUTED_VALUE"""),5.0)</f>
        <v>5</v>
      </c>
      <c r="H3503" s="2" t="str">
        <f>IFERROR(__xludf.DUMMYFUNCTION("""COMPUTED_VALUE"""),"LT proj.")</f>
        <v>LT proj.</v>
      </c>
      <c r="I3503" s="2" t="str">
        <f>IFERROR(__xludf.DUMMYFUNCTION("""COMPUTED_VALUE"""),"Panel")</f>
        <v>Panel</v>
      </c>
      <c r="J3503" s="2" t="str">
        <f>IFERROR(__xludf.DUMMYFUNCTION("""COMPUTED_VALUE"""),"All amenities")</f>
        <v>All amenities</v>
      </c>
      <c r="K3503" s="2">
        <f>IFERROR(__xludf.DUMMYFUNCTION("""COMPUTED_VALUE"""),54500.0)</f>
        <v>54500</v>
      </c>
      <c r="L3503" s="2">
        <f>IFERROR(__xludf.DUMMYFUNCTION("""COMPUTED_VALUE"""),56.9032732999999)</f>
        <v>56.9032733</v>
      </c>
      <c r="M3503" s="2">
        <f>IFERROR(__xludf.DUMMYFUNCTION("""COMPUTED_VALUE"""),24.1994242499999)</f>
        <v>24.19942425</v>
      </c>
    </row>
    <row r="3504">
      <c r="A3504" s="2" t="str">
        <f>IFERROR(__xludf.DUMMYFUNCTION("""COMPUTED_VALUE"""),"For rent")</f>
        <v>For rent</v>
      </c>
      <c r="B3504" s="2" t="str">
        <f>IFERROR(__xludf.DUMMYFUNCTION("""COMPUTED_VALUE"""),"Ziepniekkalns")</f>
        <v>Ziepniekkalns</v>
      </c>
      <c r="C3504" s="2" t="str">
        <f>IFERROR(__xludf.DUMMYFUNCTION("""COMPUTED_VALUE"""),"Zaļenieku 22")</f>
        <v>Zaļenieku 22</v>
      </c>
      <c r="D3504" s="2">
        <f>IFERROR(__xludf.DUMMYFUNCTION("""COMPUTED_VALUE"""),1.0)</f>
        <v>1</v>
      </c>
      <c r="E3504" s="2">
        <f>IFERROR(__xludf.DUMMYFUNCTION("""COMPUTED_VALUE"""),33.0)</f>
        <v>33</v>
      </c>
      <c r="F3504" s="2">
        <f>IFERROR(__xludf.DUMMYFUNCTION("""COMPUTED_VALUE"""),2.0)</f>
        <v>2</v>
      </c>
      <c r="G3504" s="2">
        <f>IFERROR(__xludf.DUMMYFUNCTION("""COMPUTED_VALUE"""),2.0)</f>
        <v>2</v>
      </c>
      <c r="H3504" s="2" t="str">
        <f>IFERROR(__xludf.DUMMYFUNCTION("""COMPUTED_VALUE"""),"Renov.")</f>
        <v>Renov.</v>
      </c>
      <c r="I3504" s="2" t="str">
        <f>IFERROR(__xludf.DUMMYFUNCTION("""COMPUTED_VALUE"""),"Masonry")</f>
        <v>Masonry</v>
      </c>
      <c r="J3504" s="2" t="str">
        <f>IFERROR(__xludf.DUMMYFUNCTION("""COMPUTED_VALUE"""),"All amenities")</f>
        <v>All amenities</v>
      </c>
      <c r="K3504" s="2">
        <f>IFERROR(__xludf.DUMMYFUNCTION("""COMPUTED_VALUE"""),260.0)</f>
        <v>260</v>
      </c>
      <c r="L3504" s="2">
        <f>IFERROR(__xludf.DUMMYFUNCTION("""COMPUTED_VALUE"""),56.90813455)</f>
        <v>56.90813455</v>
      </c>
      <c r="M3504" s="2">
        <f>IFERROR(__xludf.DUMMYFUNCTION("""COMPUTED_VALUE"""),24.0977731)</f>
        <v>24.0977731</v>
      </c>
    </row>
    <row r="3505">
      <c r="A3505" s="2" t="str">
        <f>IFERROR(__xludf.DUMMYFUNCTION("""COMPUTED_VALUE"""),"For sale")</f>
        <v>For sale</v>
      </c>
      <c r="B3505" s="2" t="str">
        <f>IFERROR(__xludf.DUMMYFUNCTION("""COMPUTED_VALUE"""),"centrs")</f>
        <v>centrs</v>
      </c>
      <c r="C3505" s="2" t="str">
        <f>IFERROR(__xludf.DUMMYFUNCTION("""COMPUTED_VALUE"""),"Blaumaņa 12")</f>
        <v>Blaumaņa 12</v>
      </c>
      <c r="D3505" s="2">
        <f>IFERROR(__xludf.DUMMYFUNCTION("""COMPUTED_VALUE"""),2.0)</f>
        <v>2</v>
      </c>
      <c r="E3505" s="2">
        <f>IFERROR(__xludf.DUMMYFUNCTION("""COMPUTED_VALUE"""),43.0)</f>
        <v>43</v>
      </c>
      <c r="F3505" s="2">
        <f>IFERROR(__xludf.DUMMYFUNCTION("""COMPUTED_VALUE"""),1.0)</f>
        <v>1</v>
      </c>
      <c r="G3505" s="2">
        <f>IFERROR(__xludf.DUMMYFUNCTION("""COMPUTED_VALUE"""),6.0)</f>
        <v>6</v>
      </c>
      <c r="H3505" s="2" t="str">
        <f>IFERROR(__xludf.DUMMYFUNCTION("""COMPUTED_VALUE"""),"P. kara")</f>
        <v>P. kara</v>
      </c>
      <c r="I3505" s="2" t="str">
        <f>IFERROR(__xludf.DUMMYFUNCTION("""COMPUTED_VALUE"""),"Masonry")</f>
        <v>Masonry</v>
      </c>
      <c r="J3505" s="2" t="str">
        <f>IFERROR(__xludf.DUMMYFUNCTION("""COMPUTED_VALUE"""),"All amenities")</f>
        <v>All amenities</v>
      </c>
      <c r="K3505" s="2">
        <f>IFERROR(__xludf.DUMMYFUNCTION("""COMPUTED_VALUE"""),104370.0)</f>
        <v>104370</v>
      </c>
      <c r="L3505" s="2">
        <f>IFERROR(__xludf.DUMMYFUNCTION("""COMPUTED_VALUE"""),56.9548306)</f>
        <v>56.9548306</v>
      </c>
      <c r="M3505" s="2">
        <f>IFERROR(__xludf.DUMMYFUNCTION("""COMPUTED_VALUE"""),24.1221141)</f>
        <v>24.1221141</v>
      </c>
    </row>
    <row r="3506">
      <c r="A3506" s="2" t="str">
        <f>IFERROR(__xludf.DUMMYFUNCTION("""COMPUTED_VALUE"""),"For rent")</f>
        <v>For rent</v>
      </c>
      <c r="B3506" s="2" t="str">
        <f>IFERROR(__xludf.DUMMYFUNCTION("""COMPUTED_VALUE"""),"centrs")</f>
        <v>centrs</v>
      </c>
      <c r="C3506" s="2" t="str">
        <f>IFERROR(__xludf.DUMMYFUNCTION("""COMPUTED_VALUE"""),"Rūpniecības 1")</f>
        <v>Rūpniecības 1</v>
      </c>
      <c r="D3506" s="2">
        <f>IFERROR(__xludf.DUMMYFUNCTION("""COMPUTED_VALUE"""),5.0)</f>
        <v>5</v>
      </c>
      <c r="E3506" s="2">
        <f>IFERROR(__xludf.DUMMYFUNCTION("""COMPUTED_VALUE"""),150.0)</f>
        <v>150</v>
      </c>
      <c r="F3506" s="2">
        <f>IFERROR(__xludf.DUMMYFUNCTION("""COMPUTED_VALUE"""),2.0)</f>
        <v>2</v>
      </c>
      <c r="G3506" s="2">
        <f>IFERROR(__xludf.DUMMYFUNCTION("""COMPUTED_VALUE"""),5.0)</f>
        <v>5</v>
      </c>
      <c r="H3506" s="2" t="str">
        <f>IFERROR(__xludf.DUMMYFUNCTION("""COMPUTED_VALUE"""),"P. kara")</f>
        <v>P. kara</v>
      </c>
      <c r="I3506" s="2" t="str">
        <f>IFERROR(__xludf.DUMMYFUNCTION("""COMPUTED_VALUE"""),"Wood")</f>
        <v>Wood</v>
      </c>
      <c r="J3506" s="2" t="str">
        <f>IFERROR(__xludf.DUMMYFUNCTION("""COMPUTED_VALUE"""),"All amenities")</f>
        <v>All amenities</v>
      </c>
      <c r="K3506" s="2">
        <f>IFERROR(__xludf.DUMMYFUNCTION("""COMPUTED_VALUE"""),2200.0)</f>
        <v>2200</v>
      </c>
      <c r="L3506" s="2">
        <f>IFERROR(__xludf.DUMMYFUNCTION("""COMPUTED_VALUE"""),56.9591583)</f>
        <v>56.9591583</v>
      </c>
      <c r="M3506" s="2">
        <f>IFERROR(__xludf.DUMMYFUNCTION("""COMPUTED_VALUE"""),24.1026741144114)</f>
        <v>24.10267411</v>
      </c>
    </row>
    <row r="3507">
      <c r="A3507" s="2" t="str">
        <f>IFERROR(__xludf.DUMMYFUNCTION("""COMPUTED_VALUE"""),"For sale")</f>
        <v>For sale</v>
      </c>
      <c r="B3507" s="2" t="str">
        <f>IFERROR(__xludf.DUMMYFUNCTION("""COMPUTED_VALUE"""),"Šķirotava")</f>
        <v>Šķirotava</v>
      </c>
      <c r="C3507" s="2" t="str">
        <f>IFERROR(__xludf.DUMMYFUNCTION("""COMPUTED_VALUE"""),"Malēju 4a")</f>
        <v>Malēju 4a</v>
      </c>
      <c r="D3507" s="2">
        <f>IFERROR(__xludf.DUMMYFUNCTION("""COMPUTED_VALUE"""),1.0)</f>
        <v>1</v>
      </c>
      <c r="E3507" s="2">
        <f>IFERROR(__xludf.DUMMYFUNCTION("""COMPUTED_VALUE"""),38.0)</f>
        <v>38</v>
      </c>
      <c r="F3507" s="2">
        <f>IFERROR(__xludf.DUMMYFUNCTION("""COMPUTED_VALUE"""),4.0)</f>
        <v>4</v>
      </c>
      <c r="G3507" s="2">
        <f>IFERROR(__xludf.DUMMYFUNCTION("""COMPUTED_VALUE"""),4.0)</f>
        <v>4</v>
      </c>
      <c r="H3507" s="2" t="str">
        <f>IFERROR(__xludf.DUMMYFUNCTION("""COMPUTED_VALUE"""),"Specpr.")</f>
        <v>Specpr.</v>
      </c>
      <c r="I3507" s="2" t="str">
        <f>IFERROR(__xludf.DUMMYFUNCTION("""COMPUTED_VALUE"""),"Brick")</f>
        <v>Brick</v>
      </c>
      <c r="J3507" s="2" t="str">
        <f>IFERROR(__xludf.DUMMYFUNCTION("""COMPUTED_VALUE"""),"All amenities")</f>
        <v>All amenities</v>
      </c>
      <c r="K3507" s="2">
        <f>IFERROR(__xludf.DUMMYFUNCTION("""COMPUTED_VALUE"""),21000.0)</f>
        <v>21000</v>
      </c>
      <c r="L3507" s="2">
        <f>IFERROR(__xludf.DUMMYFUNCTION("""COMPUTED_VALUE"""),56.90687475)</f>
        <v>56.90687475</v>
      </c>
      <c r="M3507" s="2">
        <f>IFERROR(__xludf.DUMMYFUNCTION("""COMPUTED_VALUE"""),24.2209157822299)</f>
        <v>24.22091578</v>
      </c>
    </row>
    <row r="3508">
      <c r="A3508" s="2" t="str">
        <f>IFERROR(__xludf.DUMMYFUNCTION("""COMPUTED_VALUE"""),"For sale")</f>
        <v>For sale</v>
      </c>
      <c r="B3508" s="2" t="str">
        <f>IFERROR(__xludf.DUMMYFUNCTION("""COMPUTED_VALUE"""),"Purvciems")</f>
        <v>Purvciems</v>
      </c>
      <c r="C3508" s="2" t="str">
        <f>IFERROR(__xludf.DUMMYFUNCTION("""COMPUTED_VALUE"""),"Vaidavas 15/1")</f>
        <v>Vaidavas 15/1</v>
      </c>
      <c r="D3508" s="2">
        <f>IFERROR(__xludf.DUMMYFUNCTION("""COMPUTED_VALUE"""),2.0)</f>
        <v>2</v>
      </c>
      <c r="E3508" s="2">
        <f>IFERROR(__xludf.DUMMYFUNCTION("""COMPUTED_VALUE"""),82.0)</f>
        <v>82</v>
      </c>
      <c r="F3508" s="2">
        <f>IFERROR(__xludf.DUMMYFUNCTION("""COMPUTED_VALUE"""),1.0)</f>
        <v>1</v>
      </c>
      <c r="G3508" s="2">
        <f>IFERROR(__xludf.DUMMYFUNCTION("""COMPUTED_VALUE"""),7.0)</f>
        <v>7</v>
      </c>
      <c r="H3508" s="2" t="str">
        <f>IFERROR(__xludf.DUMMYFUNCTION("""COMPUTED_VALUE"""),"Jaun.")</f>
        <v>Jaun.</v>
      </c>
      <c r="I3508" s="2" t="str">
        <f>IFERROR(__xludf.DUMMYFUNCTION("""COMPUTED_VALUE"""),"Panel")</f>
        <v>Panel</v>
      </c>
      <c r="J3508" s="2" t="str">
        <f>IFERROR(__xludf.DUMMYFUNCTION("""COMPUTED_VALUE"""),"All amenities")</f>
        <v>All amenities</v>
      </c>
      <c r="K3508" s="2">
        <f>IFERROR(__xludf.DUMMYFUNCTION("""COMPUTED_VALUE"""),89000.0)</f>
        <v>89000</v>
      </c>
      <c r="L3508" s="2">
        <f>IFERROR(__xludf.DUMMYFUNCTION("""COMPUTED_VALUE"""),56.9622136)</f>
        <v>56.9622136</v>
      </c>
      <c r="M3508" s="2">
        <f>IFERROR(__xludf.DUMMYFUNCTION("""COMPUTED_VALUE"""),24.1761063)</f>
        <v>24.1761063</v>
      </c>
    </row>
    <row r="3509">
      <c r="A3509" s="2" t="str">
        <f>IFERROR(__xludf.DUMMYFUNCTION("""COMPUTED_VALUE"""),"For rent")</f>
        <v>For rent</v>
      </c>
      <c r="B3509" s="2" t="str">
        <f>IFERROR(__xludf.DUMMYFUNCTION("""COMPUTED_VALUE"""),"Pļavnieki")</f>
        <v>Pļavnieki</v>
      </c>
      <c r="C3509" s="2" t="str">
        <f>IFERROR(__xludf.DUMMYFUNCTION("""COMPUTED_VALUE"""),"J. Vācieša 2c")</f>
        <v>J. Vācieša 2c</v>
      </c>
      <c r="D3509" s="2">
        <f>IFERROR(__xludf.DUMMYFUNCTION("""COMPUTED_VALUE"""),4.0)</f>
        <v>4</v>
      </c>
      <c r="E3509" s="2">
        <f>IFERROR(__xludf.DUMMYFUNCTION("""COMPUTED_VALUE"""),115.0)</f>
        <v>115</v>
      </c>
      <c r="F3509" s="2">
        <f>IFERROR(__xludf.DUMMYFUNCTION("""COMPUTED_VALUE"""),16.0)</f>
        <v>16</v>
      </c>
      <c r="G3509" s="2">
        <f>IFERROR(__xludf.DUMMYFUNCTION("""COMPUTED_VALUE"""),16.0)</f>
        <v>16</v>
      </c>
      <c r="H3509" s="2" t="str">
        <f>IFERROR(__xludf.DUMMYFUNCTION("""COMPUTED_VALUE"""),"Specpr.")</f>
        <v>Specpr.</v>
      </c>
      <c r="I3509" s="2" t="str">
        <f>IFERROR(__xludf.DUMMYFUNCTION("""COMPUTED_VALUE"""),"Panel")</f>
        <v>Panel</v>
      </c>
      <c r="J3509" s="2" t="str">
        <f>IFERROR(__xludf.DUMMYFUNCTION("""COMPUTED_VALUE"""),"All amenities")</f>
        <v>All amenities</v>
      </c>
      <c r="K3509" s="2">
        <f>IFERROR(__xludf.DUMMYFUNCTION("""COMPUTED_VALUE"""),550.0)</f>
        <v>550</v>
      </c>
      <c r="L3509" s="2" t="str">
        <f>IFERROR(__xludf.DUMMYFUNCTION("""COMPUTED_VALUE"""),"NaN")</f>
        <v>NaN</v>
      </c>
      <c r="M3509" s="2" t="str">
        <f>IFERROR(__xludf.DUMMYFUNCTION("""COMPUTED_VALUE"""),"NaN")</f>
        <v>NaN</v>
      </c>
    </row>
    <row r="3510">
      <c r="A3510" s="2" t="str">
        <f>IFERROR(__xludf.DUMMYFUNCTION("""COMPUTED_VALUE"""),"For sale")</f>
        <v>For sale</v>
      </c>
      <c r="B3510" s="2" t="str">
        <f>IFERROR(__xludf.DUMMYFUNCTION("""COMPUTED_VALUE"""),"Ķengarags")</f>
        <v>Ķengarags</v>
      </c>
      <c r="C3510" s="2" t="str">
        <f>IFERROR(__xludf.DUMMYFUNCTION("""COMPUTED_VALUE"""),"Rasas 4")</f>
        <v>Rasas 4</v>
      </c>
      <c r="D3510" s="2">
        <f>IFERROR(__xludf.DUMMYFUNCTION("""COMPUTED_VALUE"""),2.0)</f>
        <v>2</v>
      </c>
      <c r="E3510" s="2">
        <f>IFERROR(__xludf.DUMMYFUNCTION("""COMPUTED_VALUE"""),49.6)</f>
        <v>49.6</v>
      </c>
      <c r="F3510" s="2">
        <f>IFERROR(__xludf.DUMMYFUNCTION("""COMPUTED_VALUE"""),4.0)</f>
        <v>4</v>
      </c>
      <c r="G3510" s="2">
        <f>IFERROR(__xludf.DUMMYFUNCTION("""COMPUTED_VALUE"""),5.0)</f>
        <v>5</v>
      </c>
      <c r="H3510" s="2" t="str">
        <f>IFERROR(__xludf.DUMMYFUNCTION("""COMPUTED_VALUE"""),"LT proj.")</f>
        <v>LT proj.</v>
      </c>
      <c r="I3510" s="2" t="str">
        <f>IFERROR(__xludf.DUMMYFUNCTION("""COMPUTED_VALUE"""),"Panel")</f>
        <v>Panel</v>
      </c>
      <c r="J3510" s="2" t="str">
        <f>IFERROR(__xludf.DUMMYFUNCTION("""COMPUTED_VALUE"""),"All amenities")</f>
        <v>All amenities</v>
      </c>
      <c r="K3510" s="2">
        <f>IFERROR(__xludf.DUMMYFUNCTION("""COMPUTED_VALUE"""),38000.0)</f>
        <v>38000</v>
      </c>
      <c r="L3510" s="2">
        <f>IFERROR(__xludf.DUMMYFUNCTION("""COMPUTED_VALUE"""),56.90364565)</f>
        <v>56.90364565</v>
      </c>
      <c r="M3510" s="2">
        <f>IFERROR(__xludf.DUMMYFUNCTION("""COMPUTED_VALUE"""),24.2016746005807)</f>
        <v>24.2016746</v>
      </c>
    </row>
    <row r="3511">
      <c r="A3511" s="2" t="str">
        <f>IFERROR(__xludf.DUMMYFUNCTION("""COMPUTED_VALUE"""),"For rent")</f>
        <v>For rent</v>
      </c>
      <c r="B3511" s="2" t="str">
        <f>IFERROR(__xludf.DUMMYFUNCTION("""COMPUTED_VALUE"""),"Pļavnieki")</f>
        <v>Pļavnieki</v>
      </c>
      <c r="C3511" s="2" t="str">
        <f>IFERROR(__xludf.DUMMYFUNCTION("""COMPUTED_VALUE"""),"Zebiekstes 3")</f>
        <v>Zebiekstes 3</v>
      </c>
      <c r="D3511" s="2">
        <f>IFERROR(__xludf.DUMMYFUNCTION("""COMPUTED_VALUE"""),2.0)</f>
        <v>2</v>
      </c>
      <c r="E3511" s="2">
        <f>IFERROR(__xludf.DUMMYFUNCTION("""COMPUTED_VALUE"""),59.0)</f>
        <v>59</v>
      </c>
      <c r="F3511" s="2">
        <f>IFERROR(__xludf.DUMMYFUNCTION("""COMPUTED_VALUE"""),7.0)</f>
        <v>7</v>
      </c>
      <c r="G3511" s="2">
        <f>IFERROR(__xludf.DUMMYFUNCTION("""COMPUTED_VALUE"""),9.0)</f>
        <v>9</v>
      </c>
      <c r="H3511" s="2">
        <f>IFERROR(__xludf.DUMMYFUNCTION("""COMPUTED_VALUE"""),119.0)</f>
        <v>119</v>
      </c>
      <c r="I3511" s="2" t="str">
        <f>IFERROR(__xludf.DUMMYFUNCTION("""COMPUTED_VALUE"""),"Panel")</f>
        <v>Panel</v>
      </c>
      <c r="J3511" s="2" t="str">
        <f>IFERROR(__xludf.DUMMYFUNCTION("""COMPUTED_VALUE"""),"All amenities")</f>
        <v>All amenities</v>
      </c>
      <c r="K3511" s="2">
        <f>IFERROR(__xludf.DUMMYFUNCTION("""COMPUTED_VALUE"""),400.0)</f>
        <v>400</v>
      </c>
      <c r="L3511" s="2">
        <f>IFERROR(__xludf.DUMMYFUNCTION("""COMPUTED_VALUE"""),56.9467218)</f>
        <v>56.9467218</v>
      </c>
      <c r="M3511" s="2">
        <f>IFERROR(__xludf.DUMMYFUNCTION("""COMPUTED_VALUE"""),24.1937885459016)</f>
        <v>24.19378855</v>
      </c>
    </row>
    <row r="3512">
      <c r="A3512" s="2" t="str">
        <f>IFERROR(__xludf.DUMMYFUNCTION("""COMPUTED_VALUE"""),"For sale")</f>
        <v>For sale</v>
      </c>
      <c r="B3512" s="2" t="str">
        <f>IFERROR(__xludf.DUMMYFUNCTION("""COMPUTED_VALUE"""),"Purvciems")</f>
        <v>Purvciems</v>
      </c>
      <c r="C3512" s="2" t="str">
        <f>IFERROR(__xludf.DUMMYFUNCTION("""COMPUTED_VALUE"""),"Stirnu 50b")</f>
        <v>Stirnu 50b</v>
      </c>
      <c r="D3512" s="2">
        <f>IFERROR(__xludf.DUMMYFUNCTION("""COMPUTED_VALUE"""),3.0)</f>
        <v>3</v>
      </c>
      <c r="E3512" s="2">
        <f>IFERROR(__xludf.DUMMYFUNCTION("""COMPUTED_VALUE"""),56.1)</f>
        <v>56.1</v>
      </c>
      <c r="F3512" s="2">
        <f>IFERROR(__xludf.DUMMYFUNCTION("""COMPUTED_VALUE"""),1.0)</f>
        <v>1</v>
      </c>
      <c r="G3512" s="2">
        <f>IFERROR(__xludf.DUMMYFUNCTION("""COMPUTED_VALUE"""),4.0)</f>
        <v>4</v>
      </c>
      <c r="H3512" s="2" t="str">
        <f>IFERROR(__xludf.DUMMYFUNCTION("""COMPUTED_VALUE"""),"Jaun.")</f>
        <v>Jaun.</v>
      </c>
      <c r="I3512" s="2" t="str">
        <f>IFERROR(__xludf.DUMMYFUNCTION("""COMPUTED_VALUE"""),"Brick-Panel")</f>
        <v>Brick-Panel</v>
      </c>
      <c r="J3512" s="2" t="str">
        <f>IFERROR(__xludf.DUMMYFUNCTION("""COMPUTED_VALUE"""),"All amenities")</f>
        <v>All amenities</v>
      </c>
      <c r="K3512" s="2">
        <f>IFERROR(__xludf.DUMMYFUNCTION("""COMPUTED_VALUE"""),100000.0)</f>
        <v>100000</v>
      </c>
      <c r="L3512" s="2">
        <f>IFERROR(__xludf.DUMMYFUNCTION("""COMPUTED_VALUE"""),56.9650621)</f>
        <v>56.9650621</v>
      </c>
      <c r="M3512" s="2">
        <f>IFERROR(__xludf.DUMMYFUNCTION("""COMPUTED_VALUE"""),24.1952933)</f>
        <v>24.1952933</v>
      </c>
    </row>
    <row r="3513">
      <c r="A3513" s="2" t="str">
        <f>IFERROR(__xludf.DUMMYFUNCTION("""COMPUTED_VALUE"""),"For sale")</f>
        <v>For sale</v>
      </c>
      <c r="B3513" s="2" t="str">
        <f>IFERROR(__xludf.DUMMYFUNCTION("""COMPUTED_VALUE"""),"Āgenskalns")</f>
        <v>Āgenskalns</v>
      </c>
      <c r="C3513" s="2" t="str">
        <f>IFERROR(__xludf.DUMMYFUNCTION("""COMPUTED_VALUE"""),"Vīlipa 3")</f>
        <v>Vīlipa 3</v>
      </c>
      <c r="D3513" s="2">
        <f>IFERROR(__xludf.DUMMYFUNCTION("""COMPUTED_VALUE"""),3.0)</f>
        <v>3</v>
      </c>
      <c r="E3513" s="2">
        <f>IFERROR(__xludf.DUMMYFUNCTION("""COMPUTED_VALUE"""),70.6)</f>
        <v>70.6</v>
      </c>
      <c r="F3513" s="2">
        <f>IFERROR(__xludf.DUMMYFUNCTION("""COMPUTED_VALUE"""),2.0)</f>
        <v>2</v>
      </c>
      <c r="G3513" s="2">
        <f>IFERROR(__xludf.DUMMYFUNCTION("""COMPUTED_VALUE"""),2.0)</f>
        <v>2</v>
      </c>
      <c r="H3513" s="2" t="str">
        <f>IFERROR(__xludf.DUMMYFUNCTION("""COMPUTED_VALUE"""),"Renov.")</f>
        <v>Renov.</v>
      </c>
      <c r="I3513" s="2" t="str">
        <f>IFERROR(__xludf.DUMMYFUNCTION("""COMPUTED_VALUE"""),"Wood")</f>
        <v>Wood</v>
      </c>
      <c r="J3513" s="2" t="str">
        <f>IFERROR(__xludf.DUMMYFUNCTION("""COMPUTED_VALUE"""),"All amenities")</f>
        <v>All amenities</v>
      </c>
      <c r="K3513" s="2">
        <f>IFERROR(__xludf.DUMMYFUNCTION("""COMPUTED_VALUE"""),67600.0)</f>
        <v>67600</v>
      </c>
      <c r="L3513" s="2">
        <f>IFERROR(__xludf.DUMMYFUNCTION("""COMPUTED_VALUE"""),56.94731475)</f>
        <v>56.94731475</v>
      </c>
      <c r="M3513" s="2">
        <f>IFERROR(__xludf.DUMMYFUNCTION("""COMPUTED_VALUE"""),24.0609152601247)</f>
        <v>24.06091526</v>
      </c>
    </row>
    <row r="3514">
      <c r="A3514" s="2" t="str">
        <f>IFERROR(__xludf.DUMMYFUNCTION("""COMPUTED_VALUE"""),"For rent")</f>
        <v>For rent</v>
      </c>
      <c r="B3514" s="2" t="str">
        <f>IFERROR(__xludf.DUMMYFUNCTION("""COMPUTED_VALUE"""),"centrs")</f>
        <v>centrs</v>
      </c>
      <c r="C3514" s="2" t="str">
        <f>IFERROR(__xludf.DUMMYFUNCTION("""COMPUTED_VALUE"""),"Ģertrūdes 38")</f>
        <v>Ģertrūdes 38</v>
      </c>
      <c r="D3514" s="2">
        <f>IFERROR(__xludf.DUMMYFUNCTION("""COMPUTED_VALUE"""),4.0)</f>
        <v>4</v>
      </c>
      <c r="E3514" s="2">
        <f>IFERROR(__xludf.DUMMYFUNCTION("""COMPUTED_VALUE"""),121.0)</f>
        <v>121</v>
      </c>
      <c r="F3514" s="2">
        <f>IFERROR(__xludf.DUMMYFUNCTION("""COMPUTED_VALUE"""),2.0)</f>
        <v>2</v>
      </c>
      <c r="G3514" s="2">
        <f>IFERROR(__xludf.DUMMYFUNCTION("""COMPUTED_VALUE"""),5.0)</f>
        <v>5</v>
      </c>
      <c r="H3514" s="2" t="str">
        <f>IFERROR(__xludf.DUMMYFUNCTION("""COMPUTED_VALUE"""),"Renov.")</f>
        <v>Renov.</v>
      </c>
      <c r="I3514" s="2" t="str">
        <f>IFERROR(__xludf.DUMMYFUNCTION("""COMPUTED_VALUE"""),"Brick")</f>
        <v>Brick</v>
      </c>
      <c r="J3514" s="2" t="str">
        <f>IFERROR(__xludf.DUMMYFUNCTION("""COMPUTED_VALUE"""),"All amenities")</f>
        <v>All amenities</v>
      </c>
      <c r="K3514" s="2">
        <f>IFERROR(__xludf.DUMMYFUNCTION("""COMPUTED_VALUE"""),850.0)</f>
        <v>850</v>
      </c>
      <c r="L3514" s="2">
        <f>IFERROR(__xludf.DUMMYFUNCTION("""COMPUTED_VALUE"""),56.9538641)</f>
        <v>56.9538641</v>
      </c>
      <c r="M3514" s="2">
        <f>IFERROR(__xludf.DUMMYFUNCTION("""COMPUTED_VALUE"""),24.128666877855)</f>
        <v>24.12866688</v>
      </c>
    </row>
    <row r="3515">
      <c r="A3515" s="2" t="str">
        <f>IFERROR(__xludf.DUMMYFUNCTION("""COMPUTED_VALUE"""),"For rent")</f>
        <v>For rent</v>
      </c>
      <c r="B3515" s="2" t="str">
        <f>IFERROR(__xludf.DUMMYFUNCTION("""COMPUTED_VALUE"""),"Torņakalns")</f>
        <v>Torņakalns</v>
      </c>
      <c r="C3515" s="2" t="str">
        <f>IFERROR(__xludf.DUMMYFUNCTION("""COMPUTED_VALUE"""),"Mūkusalas 56")</f>
        <v>Mūkusalas 56</v>
      </c>
      <c r="D3515" s="2">
        <f>IFERROR(__xludf.DUMMYFUNCTION("""COMPUTED_VALUE"""),1.0)</f>
        <v>1</v>
      </c>
      <c r="E3515" s="2">
        <f>IFERROR(__xludf.DUMMYFUNCTION("""COMPUTED_VALUE"""),25.0)</f>
        <v>25</v>
      </c>
      <c r="F3515" s="2">
        <f>IFERROR(__xludf.DUMMYFUNCTION("""COMPUTED_VALUE"""),2.0)</f>
        <v>2</v>
      </c>
      <c r="G3515" s="2">
        <f>IFERROR(__xludf.DUMMYFUNCTION("""COMPUTED_VALUE"""),3.0)</f>
        <v>3</v>
      </c>
      <c r="H3515" s="2" t="str">
        <f>IFERROR(__xludf.DUMMYFUNCTION("""COMPUTED_VALUE"""),"Specpr.")</f>
        <v>Specpr.</v>
      </c>
      <c r="I3515" s="2" t="str">
        <f>IFERROR(__xludf.DUMMYFUNCTION("""COMPUTED_VALUE"""),"Panel")</f>
        <v>Panel</v>
      </c>
      <c r="J3515" s="2" t="str">
        <f>IFERROR(__xludf.DUMMYFUNCTION("""COMPUTED_VALUE"""),"All amenities")</f>
        <v>All amenities</v>
      </c>
      <c r="K3515" s="2">
        <f>IFERROR(__xludf.DUMMYFUNCTION("""COMPUTED_VALUE"""),350.0)</f>
        <v>350</v>
      </c>
      <c r="L3515" s="2">
        <f>IFERROR(__xludf.DUMMYFUNCTION("""COMPUTED_VALUE"""),56.92972905)</f>
        <v>56.92972905</v>
      </c>
      <c r="M3515" s="2">
        <f>IFERROR(__xludf.DUMMYFUNCTION("""COMPUTED_VALUE"""),24.1066065419534)</f>
        <v>24.10660654</v>
      </c>
    </row>
    <row r="3516">
      <c r="A3516" s="2" t="str">
        <f>IFERROR(__xludf.DUMMYFUNCTION("""COMPUTED_VALUE"""),"For sale")</f>
        <v>For sale</v>
      </c>
      <c r="B3516" s="2" t="str">
        <f>IFERROR(__xludf.DUMMYFUNCTION("""COMPUTED_VALUE"""),"Ziepniekkalns")</f>
        <v>Ziepniekkalns</v>
      </c>
      <c r="C3516" s="2" t="str">
        <f>IFERROR(__xludf.DUMMYFUNCTION("""COMPUTED_VALUE"""),"Ozolciema 32")</f>
        <v>Ozolciema 32</v>
      </c>
      <c r="D3516" s="2">
        <f>IFERROR(__xludf.DUMMYFUNCTION("""COMPUTED_VALUE"""),2.0)</f>
        <v>2</v>
      </c>
      <c r="E3516" s="2">
        <f>IFERROR(__xludf.DUMMYFUNCTION("""COMPUTED_VALUE"""),50.2)</f>
        <v>50.2</v>
      </c>
      <c r="F3516" s="2">
        <f>IFERROR(__xludf.DUMMYFUNCTION("""COMPUTED_VALUE"""),2.0)</f>
        <v>2</v>
      </c>
      <c r="G3516" s="2">
        <f>IFERROR(__xludf.DUMMYFUNCTION("""COMPUTED_VALUE"""),9.0)</f>
        <v>9</v>
      </c>
      <c r="H3516" s="2">
        <f>IFERROR(__xludf.DUMMYFUNCTION("""COMPUTED_VALUE"""),602.0)</f>
        <v>602</v>
      </c>
      <c r="I3516" s="2" t="str">
        <f>IFERROR(__xludf.DUMMYFUNCTION("""COMPUTED_VALUE"""),"Panel")</f>
        <v>Panel</v>
      </c>
      <c r="J3516" s="2" t="str">
        <f>IFERROR(__xludf.DUMMYFUNCTION("""COMPUTED_VALUE"""),"All amenities")</f>
        <v>All amenities</v>
      </c>
      <c r="K3516" s="2">
        <f>IFERROR(__xludf.DUMMYFUNCTION("""COMPUTED_VALUE"""),58000.0)</f>
        <v>58000</v>
      </c>
      <c r="L3516" s="2">
        <f>IFERROR(__xludf.DUMMYFUNCTION("""COMPUTED_VALUE"""),56.89979805)</f>
        <v>56.89979805</v>
      </c>
      <c r="M3516" s="2">
        <f>IFERROR(__xludf.DUMMYFUNCTION("""COMPUTED_VALUE"""),24.09835015)</f>
        <v>24.09835015</v>
      </c>
    </row>
    <row r="3517">
      <c r="A3517" s="2" t="str">
        <f>IFERROR(__xludf.DUMMYFUNCTION("""COMPUTED_VALUE"""),"For rent")</f>
        <v>For rent</v>
      </c>
      <c r="B3517" s="2" t="str">
        <f>IFERROR(__xludf.DUMMYFUNCTION("""COMPUTED_VALUE"""),"centrs")</f>
        <v>centrs</v>
      </c>
      <c r="C3517" s="2" t="str">
        <f>IFERROR(__xludf.DUMMYFUNCTION("""COMPUTED_VALUE"""),"Elizabetes 2a")</f>
        <v>Elizabetes 2a</v>
      </c>
      <c r="D3517" s="2">
        <f>IFERROR(__xludf.DUMMYFUNCTION("""COMPUTED_VALUE"""),4.0)</f>
        <v>4</v>
      </c>
      <c r="E3517" s="2">
        <f>IFERROR(__xludf.DUMMYFUNCTION("""COMPUTED_VALUE"""),95.0)</f>
        <v>95</v>
      </c>
      <c r="F3517" s="2">
        <f>IFERROR(__xludf.DUMMYFUNCTION("""COMPUTED_VALUE"""),3.0)</f>
        <v>3</v>
      </c>
      <c r="G3517" s="2">
        <f>IFERROR(__xludf.DUMMYFUNCTION("""COMPUTED_VALUE"""),5.0)</f>
        <v>5</v>
      </c>
      <c r="H3517" s="2" t="str">
        <f>IFERROR(__xludf.DUMMYFUNCTION("""COMPUTED_VALUE"""),"P. kara")</f>
        <v>P. kara</v>
      </c>
      <c r="I3517" s="2" t="str">
        <f>IFERROR(__xludf.DUMMYFUNCTION("""COMPUTED_VALUE"""),"Masonry")</f>
        <v>Masonry</v>
      </c>
      <c r="J3517" s="2" t="str">
        <f>IFERROR(__xludf.DUMMYFUNCTION("""COMPUTED_VALUE"""),"All amenities")</f>
        <v>All amenities</v>
      </c>
      <c r="K3517" s="2">
        <f>IFERROR(__xludf.DUMMYFUNCTION("""COMPUTED_VALUE"""),600.0)</f>
        <v>600</v>
      </c>
      <c r="L3517" s="2">
        <f>IFERROR(__xludf.DUMMYFUNCTION("""COMPUTED_VALUE"""),56.9581254)</f>
        <v>56.9581254</v>
      </c>
      <c r="M3517" s="2">
        <f>IFERROR(__xludf.DUMMYFUNCTION("""COMPUTED_VALUE"""),24.108049781514)</f>
        <v>24.10804978</v>
      </c>
    </row>
    <row r="3518">
      <c r="A3518" s="2" t="str">
        <f>IFERROR(__xludf.DUMMYFUNCTION("""COMPUTED_VALUE"""),"For sale")</f>
        <v>For sale</v>
      </c>
      <c r="B3518" s="2" t="str">
        <f>IFERROR(__xludf.DUMMYFUNCTION("""COMPUTED_VALUE"""),"centrs")</f>
        <v>centrs</v>
      </c>
      <c r="C3518" s="2" t="str">
        <f>IFERROR(__xludf.DUMMYFUNCTION("""COMPUTED_VALUE"""),"Čaka 52")</f>
        <v>Čaka 52</v>
      </c>
      <c r="D3518" s="2">
        <f>IFERROR(__xludf.DUMMYFUNCTION("""COMPUTED_VALUE"""),5.0)</f>
        <v>5</v>
      </c>
      <c r="E3518" s="2">
        <f>IFERROR(__xludf.DUMMYFUNCTION("""COMPUTED_VALUE"""),120.0)</f>
        <v>120</v>
      </c>
      <c r="F3518" s="2">
        <f>IFERROR(__xludf.DUMMYFUNCTION("""COMPUTED_VALUE"""),5.0)</f>
        <v>5</v>
      </c>
      <c r="G3518" s="2">
        <f>IFERROR(__xludf.DUMMYFUNCTION("""COMPUTED_VALUE"""),5.0)</f>
        <v>5</v>
      </c>
      <c r="H3518" s="2" t="str">
        <f>IFERROR(__xludf.DUMMYFUNCTION("""COMPUTED_VALUE"""),"P. kara")</f>
        <v>P. kara</v>
      </c>
      <c r="I3518" s="2" t="str">
        <f>IFERROR(__xludf.DUMMYFUNCTION("""COMPUTED_VALUE"""),"Masonry")</f>
        <v>Masonry</v>
      </c>
      <c r="J3518" s="2" t="str">
        <f>IFERROR(__xludf.DUMMYFUNCTION("""COMPUTED_VALUE"""),"All amenities")</f>
        <v>All amenities</v>
      </c>
      <c r="K3518" s="2">
        <f>IFERROR(__xludf.DUMMYFUNCTION("""COMPUTED_VALUE"""),220000.0)</f>
        <v>220000</v>
      </c>
      <c r="L3518" s="2">
        <f>IFERROR(__xludf.DUMMYFUNCTION("""COMPUTED_VALUE"""),56.9542909)</f>
        <v>56.9542909</v>
      </c>
      <c r="M3518" s="2">
        <f>IFERROR(__xludf.DUMMYFUNCTION("""COMPUTED_VALUE"""),24.1329719)</f>
        <v>24.1329719</v>
      </c>
    </row>
    <row r="3519">
      <c r="A3519" s="2" t="str">
        <f>IFERROR(__xludf.DUMMYFUNCTION("""COMPUTED_VALUE"""),"For sale")</f>
        <v>For sale</v>
      </c>
      <c r="B3519" s="2" t="str">
        <f>IFERROR(__xludf.DUMMYFUNCTION("""COMPUTED_VALUE"""),"Sarkandaugava")</f>
        <v>Sarkandaugava</v>
      </c>
      <c r="C3519" s="2" t="str">
        <f>IFERROR(__xludf.DUMMYFUNCTION("""COMPUTED_VALUE"""),"Tilta 11")</f>
        <v>Tilta 11</v>
      </c>
      <c r="D3519" s="2">
        <f>IFERROR(__xludf.DUMMYFUNCTION("""COMPUTED_VALUE"""),1.0)</f>
        <v>1</v>
      </c>
      <c r="E3519" s="2">
        <f>IFERROR(__xludf.DUMMYFUNCTION("""COMPUTED_VALUE"""),30.0)</f>
        <v>30</v>
      </c>
      <c r="F3519" s="2">
        <f>IFERROR(__xludf.DUMMYFUNCTION("""COMPUTED_VALUE"""),4.0)</f>
        <v>4</v>
      </c>
      <c r="G3519" s="2">
        <f>IFERROR(__xludf.DUMMYFUNCTION("""COMPUTED_VALUE"""),5.0)</f>
        <v>5</v>
      </c>
      <c r="H3519" s="2" t="str">
        <f>IFERROR(__xludf.DUMMYFUNCTION("""COMPUTED_VALUE"""),"Hrušč.")</f>
        <v>Hrušč.</v>
      </c>
      <c r="I3519" s="2" t="str">
        <f>IFERROR(__xludf.DUMMYFUNCTION("""COMPUTED_VALUE"""),"Brick")</f>
        <v>Brick</v>
      </c>
      <c r="J3519" s="2" t="str">
        <f>IFERROR(__xludf.DUMMYFUNCTION("""COMPUTED_VALUE"""),"All amenities")</f>
        <v>All amenities</v>
      </c>
      <c r="K3519" s="2">
        <f>IFERROR(__xludf.DUMMYFUNCTION("""COMPUTED_VALUE"""),26333.0)</f>
        <v>26333</v>
      </c>
      <c r="L3519" s="2">
        <f>IFERROR(__xludf.DUMMYFUNCTION("""COMPUTED_VALUE"""),56.9961933)</f>
        <v>56.9961933</v>
      </c>
      <c r="M3519" s="2">
        <f>IFERROR(__xludf.DUMMYFUNCTION("""COMPUTED_VALUE"""),24.1291468)</f>
        <v>24.1291468</v>
      </c>
    </row>
    <row r="3520">
      <c r="A3520" s="2" t="str">
        <f>IFERROR(__xludf.DUMMYFUNCTION("""COMPUTED_VALUE"""),"For sale")</f>
        <v>For sale</v>
      </c>
      <c r="B3520" s="2" t="str">
        <f>IFERROR(__xludf.DUMMYFUNCTION("""COMPUTED_VALUE"""),"centrs")</f>
        <v>centrs</v>
      </c>
      <c r="C3520" s="2" t="str">
        <f>IFERROR(__xludf.DUMMYFUNCTION("""COMPUTED_VALUE"""),"Klusā 21")</f>
        <v>Klusā 21</v>
      </c>
      <c r="D3520" s="2">
        <f>IFERROR(__xludf.DUMMYFUNCTION("""COMPUTED_VALUE"""),1.0)</f>
        <v>1</v>
      </c>
      <c r="E3520" s="2">
        <f>IFERROR(__xludf.DUMMYFUNCTION("""COMPUTED_VALUE"""),20.0)</f>
        <v>20</v>
      </c>
      <c r="F3520" s="2">
        <f>IFERROR(__xludf.DUMMYFUNCTION("""COMPUTED_VALUE"""),4.0)</f>
        <v>4</v>
      </c>
      <c r="G3520" s="2">
        <f>IFERROR(__xludf.DUMMYFUNCTION("""COMPUTED_VALUE"""),5.0)</f>
        <v>5</v>
      </c>
      <c r="H3520" s="2" t="str">
        <f>IFERROR(__xludf.DUMMYFUNCTION("""COMPUTED_VALUE"""),"P. kara")</f>
        <v>P. kara</v>
      </c>
      <c r="I3520" s="2" t="str">
        <f>IFERROR(__xludf.DUMMYFUNCTION("""COMPUTED_VALUE"""),"Masonry")</f>
        <v>Masonry</v>
      </c>
      <c r="J3520" s="2" t="str">
        <f>IFERROR(__xludf.DUMMYFUNCTION("""COMPUTED_VALUE"""),"All amenities")</f>
        <v>All amenities</v>
      </c>
      <c r="K3520" s="2">
        <f>IFERROR(__xludf.DUMMYFUNCTION("""COMPUTED_VALUE"""),34000.0)</f>
        <v>34000</v>
      </c>
      <c r="L3520" s="2">
        <f>IFERROR(__xludf.DUMMYFUNCTION("""COMPUTED_VALUE"""),56.9758898)</f>
        <v>56.9758898</v>
      </c>
      <c r="M3520" s="2">
        <f>IFERROR(__xludf.DUMMYFUNCTION("""COMPUTED_VALUE"""),24.1453913835109)</f>
        <v>24.14539138</v>
      </c>
    </row>
    <row r="3521">
      <c r="A3521" s="2" t="str">
        <f>IFERROR(__xludf.DUMMYFUNCTION("""COMPUTED_VALUE"""),"For rent")</f>
        <v>For rent</v>
      </c>
      <c r="B3521" s="2" t="str">
        <f>IFERROR(__xludf.DUMMYFUNCTION("""COMPUTED_VALUE"""),"centrs")</f>
        <v>centrs</v>
      </c>
      <c r="C3521" s="2" t="str">
        <f>IFERROR(__xludf.DUMMYFUNCTION("""COMPUTED_VALUE"""),"Bruņinieku 75")</f>
        <v>Bruņinieku 75</v>
      </c>
      <c r="D3521" s="2">
        <f>IFERROR(__xludf.DUMMYFUNCTION("""COMPUTED_VALUE"""),1.0)</f>
        <v>1</v>
      </c>
      <c r="E3521" s="2">
        <f>IFERROR(__xludf.DUMMYFUNCTION("""COMPUTED_VALUE"""),17.0)</f>
        <v>17</v>
      </c>
      <c r="F3521" s="2">
        <f>IFERROR(__xludf.DUMMYFUNCTION("""COMPUTED_VALUE"""),1.0)</f>
        <v>1</v>
      </c>
      <c r="G3521" s="2">
        <f>IFERROR(__xludf.DUMMYFUNCTION("""COMPUTED_VALUE"""),5.0)</f>
        <v>5</v>
      </c>
      <c r="H3521" s="2" t="str">
        <f>IFERROR(__xludf.DUMMYFUNCTION("""COMPUTED_VALUE"""),"Specpr.")</f>
        <v>Specpr.</v>
      </c>
      <c r="I3521" s="2" t="str">
        <f>IFERROR(__xludf.DUMMYFUNCTION("""COMPUTED_VALUE"""),"Brick-Panel")</f>
        <v>Brick-Panel</v>
      </c>
      <c r="J3521" s="2" t="str">
        <f>IFERROR(__xludf.DUMMYFUNCTION("""COMPUTED_VALUE"""),"All amenities")</f>
        <v>All amenities</v>
      </c>
      <c r="K3521" s="2">
        <f>IFERROR(__xludf.DUMMYFUNCTION("""COMPUTED_VALUE"""),140.0)</f>
        <v>140</v>
      </c>
      <c r="L3521" s="2">
        <f>IFERROR(__xludf.DUMMYFUNCTION("""COMPUTED_VALUE"""),56.95304725)</f>
        <v>56.95304725</v>
      </c>
      <c r="M3521" s="2">
        <f>IFERROR(__xludf.DUMMYFUNCTION("""COMPUTED_VALUE"""),24.1381718108857)</f>
        <v>24.13817181</v>
      </c>
    </row>
    <row r="3522">
      <c r="A3522" s="2" t="str">
        <f>IFERROR(__xludf.DUMMYFUNCTION("""COMPUTED_VALUE"""),"For sale")</f>
        <v>For sale</v>
      </c>
      <c r="B3522" s="2" t="str">
        <f>IFERROR(__xludf.DUMMYFUNCTION("""COMPUTED_VALUE"""),"Purvciems")</f>
        <v>Purvciems</v>
      </c>
      <c r="C3522" s="2" t="str">
        <f>IFERROR(__xludf.DUMMYFUNCTION("""COMPUTED_VALUE"""),"Stirnu 5")</f>
        <v>Stirnu 5</v>
      </c>
      <c r="D3522" s="2">
        <f>IFERROR(__xludf.DUMMYFUNCTION("""COMPUTED_VALUE"""),3.0)</f>
        <v>3</v>
      </c>
      <c r="E3522" s="2">
        <f>IFERROR(__xludf.DUMMYFUNCTION("""COMPUTED_VALUE"""),78.0)</f>
        <v>78</v>
      </c>
      <c r="F3522" s="2">
        <f>IFERROR(__xludf.DUMMYFUNCTION("""COMPUTED_VALUE"""),2.0)</f>
        <v>2</v>
      </c>
      <c r="G3522" s="2">
        <f>IFERROR(__xludf.DUMMYFUNCTION("""COMPUTED_VALUE"""),9.0)</f>
        <v>9</v>
      </c>
      <c r="H3522" s="2">
        <f>IFERROR(__xludf.DUMMYFUNCTION("""COMPUTED_VALUE"""),119.0)</f>
        <v>119</v>
      </c>
      <c r="I3522" s="2" t="str">
        <f>IFERROR(__xludf.DUMMYFUNCTION("""COMPUTED_VALUE"""),"Brick")</f>
        <v>Brick</v>
      </c>
      <c r="J3522" s="2" t="str">
        <f>IFERROR(__xludf.DUMMYFUNCTION("""COMPUTED_VALUE"""),"All amenities")</f>
        <v>All amenities</v>
      </c>
      <c r="K3522" s="2">
        <f>IFERROR(__xludf.DUMMYFUNCTION("""COMPUTED_VALUE"""),67000.0)</f>
        <v>67000</v>
      </c>
      <c r="L3522" s="2">
        <f>IFERROR(__xludf.DUMMYFUNCTION("""COMPUTED_VALUE"""),56.9513367499999)</f>
        <v>56.95133675</v>
      </c>
      <c r="M3522" s="2">
        <f>IFERROR(__xludf.DUMMYFUNCTION("""COMPUTED_VALUE"""),24.1826840259434)</f>
        <v>24.18268403</v>
      </c>
    </row>
    <row r="3523">
      <c r="A3523" s="2" t="str">
        <f>IFERROR(__xludf.DUMMYFUNCTION("""COMPUTED_VALUE"""),"For sale")</f>
        <v>For sale</v>
      </c>
      <c r="B3523" s="2" t="str">
        <f>IFERROR(__xludf.DUMMYFUNCTION("""COMPUTED_VALUE"""),"Ķengarags")</f>
        <v>Ķengarags</v>
      </c>
      <c r="C3523" s="2" t="str">
        <f>IFERROR(__xludf.DUMMYFUNCTION("""COMPUTED_VALUE"""),"Lokomotīves 32")</f>
        <v>Lokomotīves 32</v>
      </c>
      <c r="D3523" s="2">
        <f>IFERROR(__xludf.DUMMYFUNCTION("""COMPUTED_VALUE"""),3.0)</f>
        <v>3</v>
      </c>
      <c r="E3523" s="2">
        <f>IFERROR(__xludf.DUMMYFUNCTION("""COMPUTED_VALUE"""),67.0)</f>
        <v>67</v>
      </c>
      <c r="F3523" s="2">
        <f>IFERROR(__xludf.DUMMYFUNCTION("""COMPUTED_VALUE"""),1.0)</f>
        <v>1</v>
      </c>
      <c r="G3523" s="2">
        <f>IFERROR(__xludf.DUMMYFUNCTION("""COMPUTED_VALUE"""),2.0)</f>
        <v>2</v>
      </c>
      <c r="H3523" s="2" t="str">
        <f>IFERROR(__xludf.DUMMYFUNCTION("""COMPUTED_VALUE"""),"Staļina")</f>
        <v>Staļina</v>
      </c>
      <c r="I3523" s="2" t="str">
        <f>IFERROR(__xludf.DUMMYFUNCTION("""COMPUTED_VALUE"""),"Masonry")</f>
        <v>Masonry</v>
      </c>
      <c r="J3523" s="2" t="str">
        <f>IFERROR(__xludf.DUMMYFUNCTION("""COMPUTED_VALUE"""),"All amenities")</f>
        <v>All amenities</v>
      </c>
      <c r="K3523" s="2">
        <f>IFERROR(__xludf.DUMMYFUNCTION("""COMPUTED_VALUE"""),45000.0)</f>
        <v>45000</v>
      </c>
      <c r="L3523" s="2">
        <f>IFERROR(__xludf.DUMMYFUNCTION("""COMPUTED_VALUE"""),56.9129169)</f>
        <v>56.9129169</v>
      </c>
      <c r="M3523" s="2">
        <f>IFERROR(__xludf.DUMMYFUNCTION("""COMPUTED_VALUE"""),24.19312025)</f>
        <v>24.19312025</v>
      </c>
    </row>
    <row r="3524">
      <c r="A3524" s="2" t="str">
        <f>IFERROR(__xludf.DUMMYFUNCTION("""COMPUTED_VALUE"""),"For sale")</f>
        <v>For sale</v>
      </c>
      <c r="B3524" s="2" t="str">
        <f>IFERROR(__xludf.DUMMYFUNCTION("""COMPUTED_VALUE"""),"centrs")</f>
        <v>centrs</v>
      </c>
      <c r="C3524" s="2" t="str">
        <f>IFERROR(__xludf.DUMMYFUNCTION("""COMPUTED_VALUE"""),"Grostonas 17")</f>
        <v>Grostonas 17</v>
      </c>
      <c r="D3524" s="2">
        <f>IFERROR(__xludf.DUMMYFUNCTION("""COMPUTED_VALUE"""),3.0)</f>
        <v>3</v>
      </c>
      <c r="E3524" s="2">
        <f>IFERROR(__xludf.DUMMYFUNCTION("""COMPUTED_VALUE"""),94.0)</f>
        <v>94</v>
      </c>
      <c r="F3524" s="2">
        <f>IFERROR(__xludf.DUMMYFUNCTION("""COMPUTED_VALUE"""),5.0)</f>
        <v>5</v>
      </c>
      <c r="G3524" s="2">
        <f>IFERROR(__xludf.DUMMYFUNCTION("""COMPUTED_VALUE"""),8.0)</f>
        <v>8</v>
      </c>
      <c r="H3524" s="2" t="str">
        <f>IFERROR(__xludf.DUMMYFUNCTION("""COMPUTED_VALUE"""),"Jaun.")</f>
        <v>Jaun.</v>
      </c>
      <c r="I3524" s="2" t="str">
        <f>IFERROR(__xludf.DUMMYFUNCTION("""COMPUTED_VALUE"""),"Panel")</f>
        <v>Panel</v>
      </c>
      <c r="J3524" s="2" t="str">
        <f>IFERROR(__xludf.DUMMYFUNCTION("""COMPUTED_VALUE"""),"All amenities")</f>
        <v>All amenities</v>
      </c>
      <c r="K3524" s="2">
        <f>IFERROR(__xludf.DUMMYFUNCTION("""COMPUTED_VALUE"""),198000.0)</f>
        <v>198000</v>
      </c>
      <c r="L3524" s="2">
        <f>IFERROR(__xludf.DUMMYFUNCTION("""COMPUTED_VALUE"""),56.96998705)</f>
        <v>56.96998705</v>
      </c>
      <c r="M3524" s="2">
        <f>IFERROR(__xludf.DUMMYFUNCTION("""COMPUTED_VALUE"""),24.1242108827278)</f>
        <v>24.12421088</v>
      </c>
    </row>
    <row r="3525">
      <c r="A3525" s="2" t="str">
        <f>IFERROR(__xludf.DUMMYFUNCTION("""COMPUTED_VALUE"""),"For sale")</f>
        <v>For sale</v>
      </c>
      <c r="B3525" s="2" t="str">
        <f>IFERROR(__xludf.DUMMYFUNCTION("""COMPUTED_VALUE"""),"Čiekurkalns")</f>
        <v>Čiekurkalns</v>
      </c>
      <c r="C3525" s="2" t="str">
        <f>IFERROR(__xludf.DUMMYFUNCTION("""COMPUTED_VALUE"""),"Čiekurkalna 1. l. 54")</f>
        <v>Čiekurkalna 1. l. 54</v>
      </c>
      <c r="D3525" s="2">
        <f>IFERROR(__xludf.DUMMYFUNCTION("""COMPUTED_VALUE"""),2.0)</f>
        <v>2</v>
      </c>
      <c r="E3525" s="2">
        <f>IFERROR(__xludf.DUMMYFUNCTION("""COMPUTED_VALUE"""),41.0)</f>
        <v>41</v>
      </c>
      <c r="F3525" s="2">
        <f>IFERROR(__xludf.DUMMYFUNCTION("""COMPUTED_VALUE"""),2.0)</f>
        <v>2</v>
      </c>
      <c r="G3525" s="2">
        <f>IFERROR(__xludf.DUMMYFUNCTION("""COMPUTED_VALUE"""),2.0)</f>
        <v>2</v>
      </c>
      <c r="H3525" s="2" t="str">
        <f>IFERROR(__xludf.DUMMYFUNCTION("""COMPUTED_VALUE"""),"Staļina")</f>
        <v>Staļina</v>
      </c>
      <c r="I3525" s="2" t="str">
        <f>IFERROR(__xludf.DUMMYFUNCTION("""COMPUTED_VALUE"""),"Masonry")</f>
        <v>Masonry</v>
      </c>
      <c r="J3525" s="2" t="str">
        <f>IFERROR(__xludf.DUMMYFUNCTION("""COMPUTED_VALUE"""),"Partial amenities")</f>
        <v>Partial amenities</v>
      </c>
      <c r="K3525" s="2">
        <f>IFERROR(__xludf.DUMMYFUNCTION("""COMPUTED_VALUE"""),25500.0)</f>
        <v>25500</v>
      </c>
      <c r="L3525" s="2" t="str">
        <f>IFERROR(__xludf.DUMMYFUNCTION("""COMPUTED_VALUE"""),"NaN")</f>
        <v>NaN</v>
      </c>
      <c r="M3525" s="2" t="str">
        <f>IFERROR(__xludf.DUMMYFUNCTION("""COMPUTED_VALUE"""),"NaN")</f>
        <v>NaN</v>
      </c>
    </row>
    <row r="3526">
      <c r="A3526" s="2" t="str">
        <f>IFERROR(__xludf.DUMMYFUNCTION("""COMPUTED_VALUE"""),"For sale")</f>
        <v>For sale</v>
      </c>
      <c r="B3526" s="2" t="str">
        <f>IFERROR(__xludf.DUMMYFUNCTION("""COMPUTED_VALUE"""),"centrs")</f>
        <v>centrs</v>
      </c>
      <c r="C3526" s="2" t="str">
        <f>IFERROR(__xludf.DUMMYFUNCTION("""COMPUTED_VALUE"""),"Barona 64")</f>
        <v>Barona 64</v>
      </c>
      <c r="D3526" s="2">
        <f>IFERROR(__xludf.DUMMYFUNCTION("""COMPUTED_VALUE"""),4.0)</f>
        <v>4</v>
      </c>
      <c r="E3526" s="2">
        <f>IFERROR(__xludf.DUMMYFUNCTION("""COMPUTED_VALUE"""),123.0)</f>
        <v>123</v>
      </c>
      <c r="F3526" s="2">
        <f>IFERROR(__xludf.DUMMYFUNCTION("""COMPUTED_VALUE"""),4.0)</f>
        <v>4</v>
      </c>
      <c r="G3526" s="2">
        <f>IFERROR(__xludf.DUMMYFUNCTION("""COMPUTED_VALUE"""),6.0)</f>
        <v>6</v>
      </c>
      <c r="H3526" s="2" t="str">
        <f>IFERROR(__xludf.DUMMYFUNCTION("""COMPUTED_VALUE"""),"P. kara")</f>
        <v>P. kara</v>
      </c>
      <c r="I3526" s="2" t="str">
        <f>IFERROR(__xludf.DUMMYFUNCTION("""COMPUTED_VALUE"""),"Masonry")</f>
        <v>Masonry</v>
      </c>
      <c r="J3526" s="2" t="str">
        <f>IFERROR(__xludf.DUMMYFUNCTION("""COMPUTED_VALUE"""),"All amenities")</f>
        <v>All amenities</v>
      </c>
      <c r="K3526" s="2">
        <f>IFERROR(__xludf.DUMMYFUNCTION("""COMPUTED_VALUE"""),260000.0)</f>
        <v>260000</v>
      </c>
      <c r="L3526" s="2">
        <f>IFERROR(__xludf.DUMMYFUNCTION("""COMPUTED_VALUE"""),56.9554028)</f>
        <v>56.9554028</v>
      </c>
      <c r="M3526" s="2">
        <f>IFERROR(__xludf.DUMMYFUNCTION("""COMPUTED_VALUE"""),24.1300127)</f>
        <v>24.1300127</v>
      </c>
    </row>
    <row r="3527">
      <c r="A3527" s="2" t="str">
        <f>IFERROR(__xludf.DUMMYFUNCTION("""COMPUTED_VALUE"""),"For sale")</f>
        <v>For sale</v>
      </c>
      <c r="B3527" s="2" t="str">
        <f>IFERROR(__xludf.DUMMYFUNCTION("""COMPUTED_VALUE"""),"centrs")</f>
        <v>centrs</v>
      </c>
      <c r="C3527" s="2" t="str">
        <f>IFERROR(__xludf.DUMMYFUNCTION("""COMPUTED_VALUE"""),"Lāčplēša 54")</f>
        <v>Lāčplēša 54</v>
      </c>
      <c r="D3527" s="2">
        <f>IFERROR(__xludf.DUMMYFUNCTION("""COMPUTED_VALUE"""),3.0)</f>
        <v>3</v>
      </c>
      <c r="E3527" s="2">
        <f>IFERROR(__xludf.DUMMYFUNCTION("""COMPUTED_VALUE"""),56.2)</f>
        <v>56.2</v>
      </c>
      <c r="F3527" s="2">
        <f>IFERROR(__xludf.DUMMYFUNCTION("""COMPUTED_VALUE"""),2.0)</f>
        <v>2</v>
      </c>
      <c r="G3527" s="2">
        <f>IFERROR(__xludf.DUMMYFUNCTION("""COMPUTED_VALUE"""),6.0)</f>
        <v>6</v>
      </c>
      <c r="H3527" s="2" t="str">
        <f>IFERROR(__xludf.DUMMYFUNCTION("""COMPUTED_VALUE"""),"P. kara")</f>
        <v>P. kara</v>
      </c>
      <c r="I3527" s="2" t="str">
        <f>IFERROR(__xludf.DUMMYFUNCTION("""COMPUTED_VALUE"""),"Masonry")</f>
        <v>Masonry</v>
      </c>
      <c r="J3527" s="2" t="str">
        <f>IFERROR(__xludf.DUMMYFUNCTION("""COMPUTED_VALUE"""),"All amenities")</f>
        <v>All amenities</v>
      </c>
      <c r="K3527" s="2">
        <f>IFERROR(__xludf.DUMMYFUNCTION("""COMPUTED_VALUE"""),110000.0)</f>
        <v>110000</v>
      </c>
      <c r="L3527" s="2">
        <f>IFERROR(__xludf.DUMMYFUNCTION("""COMPUTED_VALUE"""),56.9513816)</f>
        <v>56.9513816</v>
      </c>
      <c r="M3527" s="2">
        <f>IFERROR(__xludf.DUMMYFUNCTION("""COMPUTED_VALUE"""),24.1289619)</f>
        <v>24.1289619</v>
      </c>
    </row>
    <row r="3528">
      <c r="A3528" s="2" t="str">
        <f>IFERROR(__xludf.DUMMYFUNCTION("""COMPUTED_VALUE"""),"For rent")</f>
        <v>For rent</v>
      </c>
      <c r="B3528" s="2" t="str">
        <f>IFERROR(__xludf.DUMMYFUNCTION("""COMPUTED_VALUE"""),"centrs")</f>
        <v>centrs</v>
      </c>
      <c r="C3528" s="2" t="str">
        <f>IFERROR(__xludf.DUMMYFUNCTION("""COMPUTED_VALUE"""),"Cēsu 8")</f>
        <v>Cēsu 8</v>
      </c>
      <c r="D3528" s="2">
        <f>IFERROR(__xludf.DUMMYFUNCTION("""COMPUTED_VALUE"""),3.0)</f>
        <v>3</v>
      </c>
      <c r="E3528" s="2">
        <f>IFERROR(__xludf.DUMMYFUNCTION("""COMPUTED_VALUE"""),87.0)</f>
        <v>87</v>
      </c>
      <c r="F3528" s="2">
        <f>IFERROR(__xludf.DUMMYFUNCTION("""COMPUTED_VALUE"""),4.0)</f>
        <v>4</v>
      </c>
      <c r="G3528" s="2">
        <f>IFERROR(__xludf.DUMMYFUNCTION("""COMPUTED_VALUE"""),6.0)</f>
        <v>6</v>
      </c>
      <c r="H3528" s="2" t="str">
        <f>IFERROR(__xludf.DUMMYFUNCTION("""COMPUTED_VALUE"""),"P. kara")</f>
        <v>P. kara</v>
      </c>
      <c r="I3528" s="2" t="str">
        <f>IFERROR(__xludf.DUMMYFUNCTION("""COMPUTED_VALUE"""),"Masonry")</f>
        <v>Masonry</v>
      </c>
      <c r="J3528" s="2" t="str">
        <f>IFERROR(__xludf.DUMMYFUNCTION("""COMPUTED_VALUE"""),"All amenities")</f>
        <v>All amenities</v>
      </c>
      <c r="K3528" s="2">
        <f>IFERROR(__xludf.DUMMYFUNCTION("""COMPUTED_VALUE"""),500.0)</f>
        <v>500</v>
      </c>
      <c r="L3528" s="2">
        <f>IFERROR(__xludf.DUMMYFUNCTION("""COMPUTED_VALUE"""),56.96408475)</f>
        <v>56.96408475</v>
      </c>
      <c r="M3528" s="2">
        <f>IFERROR(__xludf.DUMMYFUNCTION("""COMPUTED_VALUE"""),24.1380633301973)</f>
        <v>24.13806333</v>
      </c>
    </row>
    <row r="3529">
      <c r="A3529" s="2" t="str">
        <f>IFERROR(__xludf.DUMMYFUNCTION("""COMPUTED_VALUE"""),"For sale")</f>
        <v>For sale</v>
      </c>
      <c r="B3529" s="2" t="str">
        <f>IFERROR(__xludf.DUMMYFUNCTION("""COMPUTED_VALUE"""),"centrs")</f>
        <v>centrs</v>
      </c>
      <c r="C3529" s="2" t="str">
        <f>IFERROR(__xludf.DUMMYFUNCTION("""COMPUTED_VALUE"""),"Indrānu 15")</f>
        <v>Indrānu 15</v>
      </c>
      <c r="D3529" s="2">
        <f>IFERROR(__xludf.DUMMYFUNCTION("""COMPUTED_VALUE"""),2.0)</f>
        <v>2</v>
      </c>
      <c r="E3529" s="2">
        <f>IFERROR(__xludf.DUMMYFUNCTION("""COMPUTED_VALUE"""),54.0)</f>
        <v>54</v>
      </c>
      <c r="F3529" s="2">
        <f>IFERROR(__xludf.DUMMYFUNCTION("""COMPUTED_VALUE"""),1.0)</f>
        <v>1</v>
      </c>
      <c r="G3529" s="2">
        <f>IFERROR(__xludf.DUMMYFUNCTION("""COMPUTED_VALUE"""),5.0)</f>
        <v>5</v>
      </c>
      <c r="H3529" s="2" t="str">
        <f>IFERROR(__xludf.DUMMYFUNCTION("""COMPUTED_VALUE"""),"P. kara")</f>
        <v>P. kara</v>
      </c>
      <c r="I3529" s="2" t="str">
        <f>IFERROR(__xludf.DUMMYFUNCTION("""COMPUTED_VALUE"""),"Masonry")</f>
        <v>Masonry</v>
      </c>
      <c r="J3529" s="2" t="str">
        <f>IFERROR(__xludf.DUMMYFUNCTION("""COMPUTED_VALUE"""),"All amenities")</f>
        <v>All amenities</v>
      </c>
      <c r="K3529" s="2">
        <f>IFERROR(__xludf.DUMMYFUNCTION("""COMPUTED_VALUE"""),98000.0)</f>
        <v>98000</v>
      </c>
      <c r="L3529" s="2">
        <f>IFERROR(__xludf.DUMMYFUNCTION("""COMPUTED_VALUE"""),56.9688549)</f>
        <v>56.9688549</v>
      </c>
      <c r="M3529" s="2">
        <f>IFERROR(__xludf.DUMMYFUNCTION("""COMPUTED_VALUE"""),24.1451220676362)</f>
        <v>24.14512207</v>
      </c>
    </row>
    <row r="3530">
      <c r="A3530" s="2" t="str">
        <f>IFERROR(__xludf.DUMMYFUNCTION("""COMPUTED_VALUE"""),"For sale")</f>
        <v>For sale</v>
      </c>
      <c r="B3530" s="2" t="str">
        <f>IFERROR(__xludf.DUMMYFUNCTION("""COMPUTED_VALUE"""),"centrs")</f>
        <v>centrs</v>
      </c>
      <c r="C3530" s="2" t="str">
        <f>IFERROR(__xludf.DUMMYFUNCTION("""COMPUTED_VALUE"""),"Čaka 46")</f>
        <v>Čaka 46</v>
      </c>
      <c r="D3530" s="2">
        <f>IFERROR(__xludf.DUMMYFUNCTION("""COMPUTED_VALUE"""),4.0)</f>
        <v>4</v>
      </c>
      <c r="E3530" s="2">
        <f>IFERROR(__xludf.DUMMYFUNCTION("""COMPUTED_VALUE"""),102.7)</f>
        <v>102.7</v>
      </c>
      <c r="F3530" s="2">
        <f>IFERROR(__xludf.DUMMYFUNCTION("""COMPUTED_VALUE"""),2.0)</f>
        <v>2</v>
      </c>
      <c r="G3530" s="2">
        <f>IFERROR(__xludf.DUMMYFUNCTION("""COMPUTED_VALUE"""),4.0)</f>
        <v>4</v>
      </c>
      <c r="H3530" s="2" t="str">
        <f>IFERROR(__xludf.DUMMYFUNCTION("""COMPUTED_VALUE"""),"P. kara")</f>
        <v>P. kara</v>
      </c>
      <c r="I3530" s="2" t="str">
        <f>IFERROR(__xludf.DUMMYFUNCTION("""COMPUTED_VALUE"""),"Masonry")</f>
        <v>Masonry</v>
      </c>
      <c r="J3530" s="2" t="str">
        <f>IFERROR(__xludf.DUMMYFUNCTION("""COMPUTED_VALUE"""),"All amenities")</f>
        <v>All amenities</v>
      </c>
      <c r="K3530" s="2">
        <f>IFERROR(__xludf.DUMMYFUNCTION("""COMPUTED_VALUE"""),123000.0)</f>
        <v>123000</v>
      </c>
      <c r="L3530" s="2">
        <f>IFERROR(__xludf.DUMMYFUNCTION("""COMPUTED_VALUE"""),56.95362985)</f>
        <v>56.95362985</v>
      </c>
      <c r="M3530" s="2">
        <f>IFERROR(__xludf.DUMMYFUNCTION("""COMPUTED_VALUE"""),24.132406458301)</f>
        <v>24.13240646</v>
      </c>
    </row>
    <row r="3531">
      <c r="A3531" s="2" t="str">
        <f>IFERROR(__xludf.DUMMYFUNCTION("""COMPUTED_VALUE"""),"For sale")</f>
        <v>For sale</v>
      </c>
      <c r="B3531" s="2" t="str">
        <f>IFERROR(__xludf.DUMMYFUNCTION("""COMPUTED_VALUE"""),"centrs")</f>
        <v>centrs</v>
      </c>
      <c r="C3531" s="2" t="str">
        <f>IFERROR(__xludf.DUMMYFUNCTION("""COMPUTED_VALUE"""),"Čaka 46")</f>
        <v>Čaka 46</v>
      </c>
      <c r="D3531" s="2">
        <f>IFERROR(__xludf.DUMMYFUNCTION("""COMPUTED_VALUE"""),3.0)</f>
        <v>3</v>
      </c>
      <c r="E3531" s="2">
        <f>IFERROR(__xludf.DUMMYFUNCTION("""COMPUTED_VALUE"""),80.8)</f>
        <v>80.8</v>
      </c>
      <c r="F3531" s="2">
        <f>IFERROR(__xludf.DUMMYFUNCTION("""COMPUTED_VALUE"""),4.0)</f>
        <v>4</v>
      </c>
      <c r="G3531" s="2">
        <f>IFERROR(__xludf.DUMMYFUNCTION("""COMPUTED_VALUE"""),4.0)</f>
        <v>4</v>
      </c>
      <c r="H3531" s="2" t="str">
        <f>IFERROR(__xludf.DUMMYFUNCTION("""COMPUTED_VALUE"""),"P. kara")</f>
        <v>P. kara</v>
      </c>
      <c r="I3531" s="2" t="str">
        <f>IFERROR(__xludf.DUMMYFUNCTION("""COMPUTED_VALUE"""),"Masonry")</f>
        <v>Masonry</v>
      </c>
      <c r="J3531" s="2" t="str">
        <f>IFERROR(__xludf.DUMMYFUNCTION("""COMPUTED_VALUE"""),"All amenities")</f>
        <v>All amenities</v>
      </c>
      <c r="K3531" s="2">
        <f>IFERROR(__xludf.DUMMYFUNCTION("""COMPUTED_VALUE"""),104000.0)</f>
        <v>104000</v>
      </c>
      <c r="L3531" s="2">
        <f>IFERROR(__xludf.DUMMYFUNCTION("""COMPUTED_VALUE"""),56.95362985)</f>
        <v>56.95362985</v>
      </c>
      <c r="M3531" s="2">
        <f>IFERROR(__xludf.DUMMYFUNCTION("""COMPUTED_VALUE"""),24.132406458301)</f>
        <v>24.13240646</v>
      </c>
    </row>
    <row r="3532">
      <c r="A3532" s="2" t="str">
        <f>IFERROR(__xludf.DUMMYFUNCTION("""COMPUTED_VALUE"""),"For sale")</f>
        <v>For sale</v>
      </c>
      <c r="B3532" s="2" t="str">
        <f>IFERROR(__xludf.DUMMYFUNCTION("""COMPUTED_VALUE"""),"Pļavnieki")</f>
        <v>Pļavnieki</v>
      </c>
      <c r="C3532" s="2" t="str">
        <f>IFERROR(__xludf.DUMMYFUNCTION("""COMPUTED_VALUE"""),"J. Vācieša 4")</f>
        <v>J. Vācieša 4</v>
      </c>
      <c r="D3532" s="2">
        <f>IFERROR(__xludf.DUMMYFUNCTION("""COMPUTED_VALUE"""),2.0)</f>
        <v>2</v>
      </c>
      <c r="E3532" s="2">
        <f>IFERROR(__xludf.DUMMYFUNCTION("""COMPUTED_VALUE"""),50.0)</f>
        <v>50</v>
      </c>
      <c r="F3532" s="2">
        <f>IFERROR(__xludf.DUMMYFUNCTION("""COMPUTED_VALUE"""),6.0)</f>
        <v>6</v>
      </c>
      <c r="G3532" s="2">
        <f>IFERROR(__xludf.DUMMYFUNCTION("""COMPUTED_VALUE"""),9.0)</f>
        <v>9</v>
      </c>
      <c r="H3532" s="2">
        <f>IFERROR(__xludf.DUMMYFUNCTION("""COMPUTED_VALUE"""),602.0)</f>
        <v>602</v>
      </c>
      <c r="I3532" s="2" t="str">
        <f>IFERROR(__xludf.DUMMYFUNCTION("""COMPUTED_VALUE"""),"Panel")</f>
        <v>Panel</v>
      </c>
      <c r="J3532" s="2" t="str">
        <f>IFERROR(__xludf.DUMMYFUNCTION("""COMPUTED_VALUE"""),"All amenities")</f>
        <v>All amenities</v>
      </c>
      <c r="K3532" s="2">
        <f>IFERROR(__xludf.DUMMYFUNCTION("""COMPUTED_VALUE"""),44000.0)</f>
        <v>44000</v>
      </c>
      <c r="L3532" s="2" t="str">
        <f>IFERROR(__xludf.DUMMYFUNCTION("""COMPUTED_VALUE"""),"NaN")</f>
        <v>NaN</v>
      </c>
      <c r="M3532" s="2" t="str">
        <f>IFERROR(__xludf.DUMMYFUNCTION("""COMPUTED_VALUE"""),"NaN")</f>
        <v>NaN</v>
      </c>
    </row>
    <row r="3533">
      <c r="A3533" s="2" t="str">
        <f>IFERROR(__xludf.DUMMYFUNCTION("""COMPUTED_VALUE"""),"For sale")</f>
        <v>For sale</v>
      </c>
      <c r="B3533" s="2" t="str">
        <f>IFERROR(__xludf.DUMMYFUNCTION("""COMPUTED_VALUE"""),"Purvciems")</f>
        <v>Purvciems</v>
      </c>
      <c r="C3533" s="2" t="str">
        <f>IFERROR(__xludf.DUMMYFUNCTION("""COMPUTED_VALUE"""),"Deglava 122")</f>
        <v>Deglava 122</v>
      </c>
      <c r="D3533" s="2">
        <f>IFERROR(__xludf.DUMMYFUNCTION("""COMPUTED_VALUE"""),3.0)</f>
        <v>3</v>
      </c>
      <c r="E3533" s="2">
        <f>IFERROR(__xludf.DUMMYFUNCTION("""COMPUTED_VALUE"""),78.0)</f>
        <v>78</v>
      </c>
      <c r="F3533" s="2">
        <f>IFERROR(__xludf.DUMMYFUNCTION("""COMPUTED_VALUE"""),6.0)</f>
        <v>6</v>
      </c>
      <c r="G3533" s="2">
        <f>IFERROR(__xludf.DUMMYFUNCTION("""COMPUTED_VALUE"""),9.0)</f>
        <v>9</v>
      </c>
      <c r="H3533" s="2">
        <f>IFERROR(__xludf.DUMMYFUNCTION("""COMPUTED_VALUE"""),119.0)</f>
        <v>119</v>
      </c>
      <c r="I3533" s="2" t="str">
        <f>IFERROR(__xludf.DUMMYFUNCTION("""COMPUTED_VALUE"""),"Panel-Brick")</f>
        <v>Panel-Brick</v>
      </c>
      <c r="J3533" s="2" t="str">
        <f>IFERROR(__xludf.DUMMYFUNCTION("""COMPUTED_VALUE"""),"All amenities")</f>
        <v>All amenities</v>
      </c>
      <c r="K3533" s="2">
        <f>IFERROR(__xludf.DUMMYFUNCTION("""COMPUTED_VALUE"""),82900.0)</f>
        <v>82900</v>
      </c>
      <c r="L3533" s="2">
        <f>IFERROR(__xludf.DUMMYFUNCTION("""COMPUTED_VALUE"""),56.94708265)</f>
        <v>56.94708265</v>
      </c>
      <c r="M3533" s="2">
        <f>IFERROR(__xludf.DUMMYFUNCTION("""COMPUTED_VALUE"""),24.1976276399044)</f>
        <v>24.19762764</v>
      </c>
    </row>
    <row r="3534">
      <c r="A3534" s="2" t="str">
        <f>IFERROR(__xludf.DUMMYFUNCTION("""COMPUTED_VALUE"""),"For sale")</f>
        <v>For sale</v>
      </c>
      <c r="B3534" s="2" t="str">
        <f>IFERROR(__xludf.DUMMYFUNCTION("""COMPUTED_VALUE"""),"Bolderāja")</f>
        <v>Bolderāja</v>
      </c>
      <c r="C3534" s="2" t="str">
        <f>IFERROR(__xludf.DUMMYFUNCTION("""COMPUTED_VALUE"""),"Dolomīta 2")</f>
        <v>Dolomīta 2</v>
      </c>
      <c r="D3534" s="2">
        <f>IFERROR(__xludf.DUMMYFUNCTION("""COMPUTED_VALUE"""),1.0)</f>
        <v>1</v>
      </c>
      <c r="E3534" s="2">
        <f>IFERROR(__xludf.DUMMYFUNCTION("""COMPUTED_VALUE"""),34.0)</f>
        <v>34</v>
      </c>
      <c r="F3534" s="2">
        <f>IFERROR(__xludf.DUMMYFUNCTION("""COMPUTED_VALUE"""),5.0)</f>
        <v>5</v>
      </c>
      <c r="G3534" s="2">
        <f>IFERROR(__xludf.DUMMYFUNCTION("""COMPUTED_VALUE"""),5.0)</f>
        <v>5</v>
      </c>
      <c r="H3534" s="2" t="str">
        <f>IFERROR(__xludf.DUMMYFUNCTION("""COMPUTED_VALUE"""),"Hrušč.")</f>
        <v>Hrušč.</v>
      </c>
      <c r="I3534" s="2" t="str">
        <f>IFERROR(__xludf.DUMMYFUNCTION("""COMPUTED_VALUE"""),"Brick")</f>
        <v>Brick</v>
      </c>
      <c r="J3534" s="2" t="str">
        <f>IFERROR(__xludf.DUMMYFUNCTION("""COMPUTED_VALUE"""),"All amenities")</f>
        <v>All amenities</v>
      </c>
      <c r="K3534" s="2">
        <f>IFERROR(__xludf.DUMMYFUNCTION("""COMPUTED_VALUE"""),28500.0)</f>
        <v>28500</v>
      </c>
      <c r="L3534" s="2">
        <f>IFERROR(__xludf.DUMMYFUNCTION("""COMPUTED_VALUE"""),57.0264399)</f>
        <v>57.0264399</v>
      </c>
      <c r="M3534" s="2">
        <f>IFERROR(__xludf.DUMMYFUNCTION("""COMPUTED_VALUE"""),24.0391971)</f>
        <v>24.0391971</v>
      </c>
    </row>
    <row r="3535">
      <c r="A3535" s="2" t="str">
        <f>IFERROR(__xludf.DUMMYFUNCTION("""COMPUTED_VALUE"""),"For sale")</f>
        <v>For sale</v>
      </c>
      <c r="B3535" s="2" t="str">
        <f>IFERROR(__xludf.DUMMYFUNCTION("""COMPUTED_VALUE"""),"Purvciems")</f>
        <v>Purvciems</v>
      </c>
      <c r="C3535" s="2" t="str">
        <f>IFERROR(__xludf.DUMMYFUNCTION("""COMPUTED_VALUE"""),"Deglava 108")</f>
        <v>Deglava 108</v>
      </c>
      <c r="D3535" s="2">
        <f>IFERROR(__xludf.DUMMYFUNCTION("""COMPUTED_VALUE"""),3.0)</f>
        <v>3</v>
      </c>
      <c r="E3535" s="2">
        <f>IFERROR(__xludf.DUMMYFUNCTION("""COMPUTED_VALUE"""),75.0)</f>
        <v>75</v>
      </c>
      <c r="F3535" s="2">
        <f>IFERROR(__xludf.DUMMYFUNCTION("""COMPUTED_VALUE"""),6.0)</f>
        <v>6</v>
      </c>
      <c r="G3535" s="2">
        <f>IFERROR(__xludf.DUMMYFUNCTION("""COMPUTED_VALUE"""),9.0)</f>
        <v>9</v>
      </c>
      <c r="H3535" s="2">
        <f>IFERROR(__xludf.DUMMYFUNCTION("""COMPUTED_VALUE"""),119.0)</f>
        <v>119</v>
      </c>
      <c r="I3535" s="2" t="str">
        <f>IFERROR(__xludf.DUMMYFUNCTION("""COMPUTED_VALUE"""),"Panel")</f>
        <v>Panel</v>
      </c>
      <c r="J3535" s="2" t="str">
        <f>IFERROR(__xludf.DUMMYFUNCTION("""COMPUTED_VALUE"""),"All amenities")</f>
        <v>All amenities</v>
      </c>
      <c r="K3535" s="2">
        <f>IFERROR(__xludf.DUMMYFUNCTION("""COMPUTED_VALUE"""),78000.0)</f>
        <v>78000</v>
      </c>
      <c r="L3535" s="2">
        <f>IFERROR(__xludf.DUMMYFUNCTION("""COMPUTED_VALUE"""),56.94719075)</f>
        <v>56.94719075</v>
      </c>
      <c r="M3535" s="2">
        <f>IFERROR(__xludf.DUMMYFUNCTION("""COMPUTED_VALUE"""),24.1867567338823)</f>
        <v>24.18675673</v>
      </c>
    </row>
    <row r="3536">
      <c r="A3536" s="2" t="str">
        <f>IFERROR(__xludf.DUMMYFUNCTION("""COMPUTED_VALUE"""),"For rent")</f>
        <v>For rent</v>
      </c>
      <c r="B3536" s="2" t="str">
        <f>IFERROR(__xludf.DUMMYFUNCTION("""COMPUTED_VALUE"""),"centrs")</f>
        <v>centrs</v>
      </c>
      <c r="C3536" s="2" t="str">
        <f>IFERROR(__xludf.DUMMYFUNCTION("""COMPUTED_VALUE"""),"Pulkv. Brieža 35")</f>
        <v>Pulkv. Brieža 35</v>
      </c>
      <c r="D3536" s="2">
        <f>IFERROR(__xludf.DUMMYFUNCTION("""COMPUTED_VALUE"""),4.0)</f>
        <v>4</v>
      </c>
      <c r="E3536" s="2">
        <f>IFERROR(__xludf.DUMMYFUNCTION("""COMPUTED_VALUE"""),116.0)</f>
        <v>116</v>
      </c>
      <c r="F3536" s="2">
        <f>IFERROR(__xludf.DUMMYFUNCTION("""COMPUTED_VALUE"""),6.0)</f>
        <v>6</v>
      </c>
      <c r="G3536" s="2">
        <f>IFERROR(__xludf.DUMMYFUNCTION("""COMPUTED_VALUE"""),7.0)</f>
        <v>7</v>
      </c>
      <c r="H3536" s="2" t="str">
        <f>IFERROR(__xludf.DUMMYFUNCTION("""COMPUTED_VALUE"""),"Jaun.")</f>
        <v>Jaun.</v>
      </c>
      <c r="I3536" s="2" t="str">
        <f>IFERROR(__xludf.DUMMYFUNCTION("""COMPUTED_VALUE"""),"Masonry")</f>
        <v>Masonry</v>
      </c>
      <c r="J3536" s="2" t="str">
        <f>IFERROR(__xludf.DUMMYFUNCTION("""COMPUTED_VALUE"""),"All amenities")</f>
        <v>All amenities</v>
      </c>
      <c r="K3536" s="2">
        <f>IFERROR(__xludf.DUMMYFUNCTION("""COMPUTED_VALUE"""),1200.0)</f>
        <v>1200</v>
      </c>
      <c r="L3536" s="2" t="str">
        <f>IFERROR(__xludf.DUMMYFUNCTION("""COMPUTED_VALUE"""),"NaN")</f>
        <v>NaN</v>
      </c>
      <c r="M3536" s="2" t="str">
        <f>IFERROR(__xludf.DUMMYFUNCTION("""COMPUTED_VALUE"""),"NaN")</f>
        <v>NaN</v>
      </c>
    </row>
    <row r="3537">
      <c r="A3537" s="2" t="str">
        <f>IFERROR(__xludf.DUMMYFUNCTION("""COMPUTED_VALUE"""),"For rent")</f>
        <v>For rent</v>
      </c>
      <c r="B3537" s="2" t="str">
        <f>IFERROR(__xludf.DUMMYFUNCTION("""COMPUTED_VALUE"""),"Teika")</f>
        <v>Teika</v>
      </c>
      <c r="C3537" s="2" t="str">
        <f>IFERROR(__xludf.DUMMYFUNCTION("""COMPUTED_VALUE"""),"Kastrānes 16")</f>
        <v>Kastrānes 16</v>
      </c>
      <c r="D3537" s="2">
        <f>IFERROR(__xludf.DUMMYFUNCTION("""COMPUTED_VALUE"""),1.0)</f>
        <v>1</v>
      </c>
      <c r="E3537" s="2">
        <f>IFERROR(__xludf.DUMMYFUNCTION("""COMPUTED_VALUE"""),38.0)</f>
        <v>38</v>
      </c>
      <c r="F3537" s="2">
        <f>IFERROR(__xludf.DUMMYFUNCTION("""COMPUTED_VALUE"""),2.0)</f>
        <v>2</v>
      </c>
      <c r="G3537" s="2">
        <f>IFERROR(__xludf.DUMMYFUNCTION("""COMPUTED_VALUE"""),4.0)</f>
        <v>4</v>
      </c>
      <c r="H3537" s="2" t="str">
        <f>IFERROR(__xludf.DUMMYFUNCTION("""COMPUTED_VALUE"""),"Specpr.")</f>
        <v>Specpr.</v>
      </c>
      <c r="I3537" s="2" t="str">
        <f>IFERROR(__xludf.DUMMYFUNCTION("""COMPUTED_VALUE"""),"Brick-Panel")</f>
        <v>Brick-Panel</v>
      </c>
      <c r="J3537" s="2" t="str">
        <f>IFERROR(__xludf.DUMMYFUNCTION("""COMPUTED_VALUE"""),"All amenities")</f>
        <v>All amenities</v>
      </c>
      <c r="K3537" s="2">
        <f>IFERROR(__xludf.DUMMYFUNCTION("""COMPUTED_VALUE"""),330.0)</f>
        <v>330</v>
      </c>
      <c r="L3537" s="2">
        <f>IFERROR(__xludf.DUMMYFUNCTION("""COMPUTED_VALUE"""),56.96806095)</f>
        <v>56.96806095</v>
      </c>
      <c r="M3537" s="2">
        <f>IFERROR(__xludf.DUMMYFUNCTION("""COMPUTED_VALUE"""),24.1769448223239)</f>
        <v>24.17694482</v>
      </c>
    </row>
    <row r="3538">
      <c r="A3538" s="2" t="str">
        <f>IFERROR(__xludf.DUMMYFUNCTION("""COMPUTED_VALUE"""),"For sale")</f>
        <v>For sale</v>
      </c>
      <c r="B3538" s="2" t="str">
        <f>IFERROR(__xludf.DUMMYFUNCTION("""COMPUTED_VALUE"""),"Pļavnieki")</f>
        <v>Pļavnieki</v>
      </c>
      <c r="C3538" s="2" t="str">
        <f>IFERROR(__xludf.DUMMYFUNCTION("""COMPUTED_VALUE"""),"Ilūkstes 6")</f>
        <v>Ilūkstes 6</v>
      </c>
      <c r="D3538" s="2">
        <f>IFERROR(__xludf.DUMMYFUNCTION("""COMPUTED_VALUE"""),1.0)</f>
        <v>1</v>
      </c>
      <c r="E3538" s="2">
        <f>IFERROR(__xludf.DUMMYFUNCTION("""COMPUTED_VALUE"""),42.0)</f>
        <v>42</v>
      </c>
      <c r="F3538" s="2">
        <f>IFERROR(__xludf.DUMMYFUNCTION("""COMPUTED_VALUE"""),6.0)</f>
        <v>6</v>
      </c>
      <c r="G3538" s="2">
        <f>IFERROR(__xludf.DUMMYFUNCTION("""COMPUTED_VALUE"""),9.0)</f>
        <v>9</v>
      </c>
      <c r="H3538" s="2" t="str">
        <f>IFERROR(__xludf.DUMMYFUNCTION("""COMPUTED_VALUE"""),"M. ģim.")</f>
        <v>M. ģim.</v>
      </c>
      <c r="I3538" s="2" t="str">
        <f>IFERROR(__xludf.DUMMYFUNCTION("""COMPUTED_VALUE"""),"Panel")</f>
        <v>Panel</v>
      </c>
      <c r="J3538" s="2" t="str">
        <f>IFERROR(__xludf.DUMMYFUNCTION("""COMPUTED_VALUE"""),"All amenities")</f>
        <v>All amenities</v>
      </c>
      <c r="K3538" s="2">
        <f>IFERROR(__xludf.DUMMYFUNCTION("""COMPUTED_VALUE"""),42000.0)</f>
        <v>42000</v>
      </c>
      <c r="L3538" s="2">
        <f>IFERROR(__xludf.DUMMYFUNCTION("""COMPUTED_VALUE"""),56.9339826)</f>
        <v>56.9339826</v>
      </c>
      <c r="M3538" s="2">
        <f>IFERROR(__xludf.DUMMYFUNCTION("""COMPUTED_VALUE"""),24.197050844516)</f>
        <v>24.19705084</v>
      </c>
    </row>
    <row r="3539">
      <c r="A3539" s="2" t="str">
        <f>IFERROR(__xludf.DUMMYFUNCTION("""COMPUTED_VALUE"""),"For sale")</f>
        <v>For sale</v>
      </c>
      <c r="B3539" s="2" t="str">
        <f>IFERROR(__xludf.DUMMYFUNCTION("""COMPUTED_VALUE"""),"Purvciems")</f>
        <v>Purvciems</v>
      </c>
      <c r="C3539" s="2" t="str">
        <f>IFERROR(__xludf.DUMMYFUNCTION("""COMPUTED_VALUE"""),"Dzelzavas 25")</f>
        <v>Dzelzavas 25</v>
      </c>
      <c r="D3539" s="2">
        <f>IFERROR(__xludf.DUMMYFUNCTION("""COMPUTED_VALUE"""),3.0)</f>
        <v>3</v>
      </c>
      <c r="E3539" s="2">
        <f>IFERROR(__xludf.DUMMYFUNCTION("""COMPUTED_VALUE"""),62.0)</f>
        <v>62</v>
      </c>
      <c r="F3539" s="2">
        <f>IFERROR(__xludf.DUMMYFUNCTION("""COMPUTED_VALUE"""),7.0)</f>
        <v>7</v>
      </c>
      <c r="G3539" s="2">
        <f>IFERROR(__xludf.DUMMYFUNCTION("""COMPUTED_VALUE"""),9.0)</f>
        <v>9</v>
      </c>
      <c r="H3539" s="2">
        <f>IFERROR(__xludf.DUMMYFUNCTION("""COMPUTED_VALUE"""),602.0)</f>
        <v>602</v>
      </c>
      <c r="I3539" s="2" t="str">
        <f>IFERROR(__xludf.DUMMYFUNCTION("""COMPUTED_VALUE"""),"Panel")</f>
        <v>Panel</v>
      </c>
      <c r="J3539" s="2" t="str">
        <f>IFERROR(__xludf.DUMMYFUNCTION("""COMPUTED_VALUE"""),"All amenities")</f>
        <v>All amenities</v>
      </c>
      <c r="K3539" s="2">
        <f>IFERROR(__xludf.DUMMYFUNCTION("""COMPUTED_VALUE"""),65000.0)</f>
        <v>65000</v>
      </c>
      <c r="L3539" s="2">
        <f>IFERROR(__xludf.DUMMYFUNCTION("""COMPUTED_VALUE"""),56.95966275)</f>
        <v>56.95966275</v>
      </c>
      <c r="M3539" s="2">
        <f>IFERROR(__xludf.DUMMYFUNCTION("""COMPUTED_VALUE"""),24.178496624952)</f>
        <v>24.17849662</v>
      </c>
    </row>
    <row r="3540">
      <c r="A3540" s="2" t="str">
        <f>IFERROR(__xludf.DUMMYFUNCTION("""COMPUTED_VALUE"""),"For sale")</f>
        <v>For sale</v>
      </c>
      <c r="B3540" s="2" t="str">
        <f>IFERROR(__xludf.DUMMYFUNCTION("""COMPUTED_VALUE"""),"Pļavnieki")</f>
        <v>Pļavnieki</v>
      </c>
      <c r="C3540" s="2" t="str">
        <f>IFERROR(__xludf.DUMMYFUNCTION("""COMPUTED_VALUE"""),"Jasmuižas 11")</f>
        <v>Jasmuižas 11</v>
      </c>
      <c r="D3540" s="2">
        <f>IFERROR(__xludf.DUMMYFUNCTION("""COMPUTED_VALUE"""),2.0)</f>
        <v>2</v>
      </c>
      <c r="E3540" s="2">
        <f>IFERROR(__xludf.DUMMYFUNCTION("""COMPUTED_VALUE"""),50.0)</f>
        <v>50</v>
      </c>
      <c r="F3540" s="2">
        <f>IFERROR(__xludf.DUMMYFUNCTION("""COMPUTED_VALUE"""),5.0)</f>
        <v>5</v>
      </c>
      <c r="G3540" s="2">
        <f>IFERROR(__xludf.DUMMYFUNCTION("""COMPUTED_VALUE"""),8.0)</f>
        <v>8</v>
      </c>
      <c r="H3540" s="2">
        <f>IFERROR(__xludf.DUMMYFUNCTION("""COMPUTED_VALUE"""),602.0)</f>
        <v>602</v>
      </c>
      <c r="I3540" s="2" t="str">
        <f>IFERROR(__xludf.DUMMYFUNCTION("""COMPUTED_VALUE"""),"Panel")</f>
        <v>Panel</v>
      </c>
      <c r="J3540" s="2" t="str">
        <f>IFERROR(__xludf.DUMMYFUNCTION("""COMPUTED_VALUE"""),"All amenities")</f>
        <v>All amenities</v>
      </c>
      <c r="K3540" s="2">
        <f>IFERROR(__xludf.DUMMYFUNCTION("""COMPUTED_VALUE"""),60000.0)</f>
        <v>60000</v>
      </c>
      <c r="L3540" s="2">
        <f>IFERROR(__xludf.DUMMYFUNCTION("""COMPUTED_VALUE"""),56.936719)</f>
        <v>56.936719</v>
      </c>
      <c r="M3540" s="2">
        <f>IFERROR(__xludf.DUMMYFUNCTION("""COMPUTED_VALUE"""),24.2115553169076)</f>
        <v>24.21155532</v>
      </c>
    </row>
    <row r="3541">
      <c r="A3541" s="2" t="str">
        <f>IFERROR(__xludf.DUMMYFUNCTION("""COMPUTED_VALUE"""),"For rent")</f>
        <v>For rent</v>
      </c>
      <c r="B3541" s="2" t="str">
        <f>IFERROR(__xludf.DUMMYFUNCTION("""COMPUTED_VALUE"""),"centrs")</f>
        <v>centrs</v>
      </c>
      <c r="C3541" s="2" t="str">
        <f>IFERROR(__xludf.DUMMYFUNCTION("""COMPUTED_VALUE"""),"Brīvības iela 90")</f>
        <v>Brīvības iela 90</v>
      </c>
      <c r="D3541" s="2">
        <f>IFERROR(__xludf.DUMMYFUNCTION("""COMPUTED_VALUE"""),2.0)</f>
        <v>2</v>
      </c>
      <c r="E3541" s="2">
        <f>IFERROR(__xludf.DUMMYFUNCTION("""COMPUTED_VALUE"""),59.0)</f>
        <v>59</v>
      </c>
      <c r="F3541" s="2">
        <f>IFERROR(__xludf.DUMMYFUNCTION("""COMPUTED_VALUE"""),5.0)</f>
        <v>5</v>
      </c>
      <c r="G3541" s="2">
        <f>IFERROR(__xludf.DUMMYFUNCTION("""COMPUTED_VALUE"""),6.0)</f>
        <v>6</v>
      </c>
      <c r="H3541" s="2" t="str">
        <f>IFERROR(__xludf.DUMMYFUNCTION("""COMPUTED_VALUE"""),"P. kara")</f>
        <v>P. kara</v>
      </c>
      <c r="I3541" s="2" t="str">
        <f>IFERROR(__xludf.DUMMYFUNCTION("""COMPUTED_VALUE"""),"Masonry")</f>
        <v>Masonry</v>
      </c>
      <c r="J3541" s="2" t="str">
        <f>IFERROR(__xludf.DUMMYFUNCTION("""COMPUTED_VALUE"""),"All amenities")</f>
        <v>All amenities</v>
      </c>
      <c r="K3541" s="2">
        <f>IFERROR(__xludf.DUMMYFUNCTION("""COMPUTED_VALUE"""),550.0)</f>
        <v>550</v>
      </c>
      <c r="L3541" s="2">
        <f>IFERROR(__xludf.DUMMYFUNCTION("""COMPUTED_VALUE"""),56.9597768)</f>
        <v>56.9597768</v>
      </c>
      <c r="M3541" s="2">
        <f>IFERROR(__xludf.DUMMYFUNCTION("""COMPUTED_VALUE"""),24.1297391)</f>
        <v>24.1297391</v>
      </c>
    </row>
    <row r="3542">
      <c r="A3542" s="2" t="str">
        <f>IFERROR(__xludf.DUMMYFUNCTION("""COMPUTED_VALUE"""),"For sale")</f>
        <v>For sale</v>
      </c>
      <c r="B3542" s="2" t="str">
        <f>IFERROR(__xludf.DUMMYFUNCTION("""COMPUTED_VALUE"""),"Daugavgrīva")</f>
        <v>Daugavgrīva</v>
      </c>
      <c r="C3542" s="2" t="str">
        <f>IFERROR(__xludf.DUMMYFUNCTION("""COMPUTED_VALUE"""),"Zvīņu 3")</f>
        <v>Zvīņu 3</v>
      </c>
      <c r="D3542" s="2">
        <f>IFERROR(__xludf.DUMMYFUNCTION("""COMPUTED_VALUE"""),2.0)</f>
        <v>2</v>
      </c>
      <c r="E3542" s="2">
        <f>IFERROR(__xludf.DUMMYFUNCTION("""COMPUTED_VALUE"""),60.0)</f>
        <v>60</v>
      </c>
      <c r="F3542" s="2">
        <f>IFERROR(__xludf.DUMMYFUNCTION("""COMPUTED_VALUE"""),2.0)</f>
        <v>2</v>
      </c>
      <c r="G3542" s="2">
        <f>IFERROR(__xludf.DUMMYFUNCTION("""COMPUTED_VALUE"""),2.0)</f>
        <v>2</v>
      </c>
      <c r="H3542" s="2" t="str">
        <f>IFERROR(__xludf.DUMMYFUNCTION("""COMPUTED_VALUE"""),"Specpr.")</f>
        <v>Specpr.</v>
      </c>
      <c r="I3542" s="2" t="str">
        <f>IFERROR(__xludf.DUMMYFUNCTION("""COMPUTED_VALUE"""),"Wood")</f>
        <v>Wood</v>
      </c>
      <c r="J3542" s="2" t="str">
        <f>IFERROR(__xludf.DUMMYFUNCTION("""COMPUTED_VALUE"""),"Partial amenities")</f>
        <v>Partial amenities</v>
      </c>
      <c r="K3542" s="2">
        <f>IFERROR(__xludf.DUMMYFUNCTION("""COMPUTED_VALUE"""),16790.0)</f>
        <v>16790</v>
      </c>
      <c r="L3542" s="2">
        <f>IFERROR(__xludf.DUMMYFUNCTION("""COMPUTED_VALUE"""),57.0364757)</f>
        <v>57.0364757</v>
      </c>
      <c r="M3542" s="2">
        <f>IFERROR(__xludf.DUMMYFUNCTION("""COMPUTED_VALUE"""),24.025385434665)</f>
        <v>24.02538543</v>
      </c>
    </row>
    <row r="3543">
      <c r="A3543" s="2" t="str">
        <f>IFERROR(__xludf.DUMMYFUNCTION("""COMPUTED_VALUE"""),"For rent")</f>
        <v>For rent</v>
      </c>
      <c r="B3543" s="2" t="str">
        <f>IFERROR(__xludf.DUMMYFUNCTION("""COMPUTED_VALUE"""),"Ķengarags")</f>
        <v>Ķengarags</v>
      </c>
      <c r="C3543" s="2" t="str">
        <f>IFERROR(__xludf.DUMMYFUNCTION("""COMPUTED_VALUE"""),"Maskavas 280")</f>
        <v>Maskavas 280</v>
      </c>
      <c r="D3543" s="2">
        <f>IFERROR(__xludf.DUMMYFUNCTION("""COMPUTED_VALUE"""),1.0)</f>
        <v>1</v>
      </c>
      <c r="E3543" s="2">
        <f>IFERROR(__xludf.DUMMYFUNCTION("""COMPUTED_VALUE"""),34.0)</f>
        <v>34</v>
      </c>
      <c r="F3543" s="2">
        <f>IFERROR(__xludf.DUMMYFUNCTION("""COMPUTED_VALUE"""),1.0)</f>
        <v>1</v>
      </c>
      <c r="G3543" s="2">
        <f>IFERROR(__xludf.DUMMYFUNCTION("""COMPUTED_VALUE"""),5.0)</f>
        <v>5</v>
      </c>
      <c r="H3543" s="2" t="str">
        <f>IFERROR(__xludf.DUMMYFUNCTION("""COMPUTED_VALUE"""),"LT proj.")</f>
        <v>LT proj.</v>
      </c>
      <c r="I3543" s="2" t="str">
        <f>IFERROR(__xludf.DUMMYFUNCTION("""COMPUTED_VALUE"""),"Brick-Panel")</f>
        <v>Brick-Panel</v>
      </c>
      <c r="J3543" s="2" t="str">
        <f>IFERROR(__xludf.DUMMYFUNCTION("""COMPUTED_VALUE"""),"All amenities")</f>
        <v>All amenities</v>
      </c>
      <c r="K3543" s="2">
        <f>IFERROR(__xludf.DUMMYFUNCTION("""COMPUTED_VALUE"""),20.0)</f>
        <v>20</v>
      </c>
      <c r="L3543" s="2">
        <f>IFERROR(__xludf.DUMMYFUNCTION("""COMPUTED_VALUE"""),56.8597884)</f>
        <v>56.8597884</v>
      </c>
      <c r="M3543" s="2">
        <f>IFERROR(__xludf.DUMMYFUNCTION("""COMPUTED_VALUE"""),24.3083417)</f>
        <v>24.3083417</v>
      </c>
    </row>
    <row r="3544">
      <c r="A3544" s="2" t="str">
        <f>IFERROR(__xludf.DUMMYFUNCTION("""COMPUTED_VALUE"""),"For sale")</f>
        <v>For sale</v>
      </c>
      <c r="B3544" s="2" t="str">
        <f>IFERROR(__xludf.DUMMYFUNCTION("""COMPUTED_VALUE"""),"Imanta")</f>
        <v>Imanta</v>
      </c>
      <c r="C3544" s="2" t="str">
        <f>IFERROR(__xludf.DUMMYFUNCTION("""COMPUTED_VALUE"""),"Anniņmuižas bulvāris 54")</f>
        <v>Anniņmuižas bulvāris 54</v>
      </c>
      <c r="D3544" s="2">
        <f>IFERROR(__xludf.DUMMYFUNCTION("""COMPUTED_VALUE"""),3.0)</f>
        <v>3</v>
      </c>
      <c r="E3544" s="2">
        <f>IFERROR(__xludf.DUMMYFUNCTION("""COMPUTED_VALUE"""),63.0)</f>
        <v>63</v>
      </c>
      <c r="F3544" s="2">
        <f>IFERROR(__xludf.DUMMYFUNCTION("""COMPUTED_VALUE"""),1.0)</f>
        <v>1</v>
      </c>
      <c r="G3544" s="2">
        <f>IFERROR(__xludf.DUMMYFUNCTION("""COMPUTED_VALUE"""),9.0)</f>
        <v>9</v>
      </c>
      <c r="H3544" s="2">
        <f>IFERROR(__xludf.DUMMYFUNCTION("""COMPUTED_VALUE"""),602.0)</f>
        <v>602</v>
      </c>
      <c r="I3544" s="2" t="str">
        <f>IFERROR(__xludf.DUMMYFUNCTION("""COMPUTED_VALUE"""),"Panel")</f>
        <v>Panel</v>
      </c>
      <c r="J3544" s="2" t="str">
        <f>IFERROR(__xludf.DUMMYFUNCTION("""COMPUTED_VALUE"""),"All amenities")</f>
        <v>All amenities</v>
      </c>
      <c r="K3544" s="2">
        <f>IFERROR(__xludf.DUMMYFUNCTION("""COMPUTED_VALUE"""),53000.0)</f>
        <v>53000</v>
      </c>
      <c r="L3544" s="2">
        <f>IFERROR(__xludf.DUMMYFUNCTION("""COMPUTED_VALUE"""),56.9576685)</f>
        <v>56.9576685</v>
      </c>
      <c r="M3544" s="2">
        <f>IFERROR(__xludf.DUMMYFUNCTION("""COMPUTED_VALUE"""),24.008248)</f>
        <v>24.008248</v>
      </c>
    </row>
    <row r="3545">
      <c r="A3545" s="2" t="str">
        <f>IFERROR(__xludf.DUMMYFUNCTION("""COMPUTED_VALUE"""),"For sale")</f>
        <v>For sale</v>
      </c>
      <c r="B3545" s="2" t="str">
        <f>IFERROR(__xludf.DUMMYFUNCTION("""COMPUTED_VALUE"""),"Ziepniekkalns")</f>
        <v>Ziepniekkalns</v>
      </c>
      <c r="C3545" s="2" t="str">
        <f>IFERROR(__xludf.DUMMYFUNCTION("""COMPUTED_VALUE"""),"Komētas 26")</f>
        <v>Komētas 26</v>
      </c>
      <c r="D3545" s="2">
        <f>IFERROR(__xludf.DUMMYFUNCTION("""COMPUTED_VALUE"""),3.0)</f>
        <v>3</v>
      </c>
      <c r="E3545" s="2">
        <f>IFERROR(__xludf.DUMMYFUNCTION("""COMPUTED_VALUE"""),77.0)</f>
        <v>77</v>
      </c>
      <c r="F3545" s="2">
        <f>IFERROR(__xludf.DUMMYFUNCTION("""COMPUTED_VALUE"""),1.0)</f>
        <v>1</v>
      </c>
      <c r="G3545" s="2">
        <f>IFERROR(__xludf.DUMMYFUNCTION("""COMPUTED_VALUE"""),4.0)</f>
        <v>4</v>
      </c>
      <c r="H3545" s="2" t="str">
        <f>IFERROR(__xludf.DUMMYFUNCTION("""COMPUTED_VALUE"""),"Jaun.")</f>
        <v>Jaun.</v>
      </c>
      <c r="I3545" s="2" t="str">
        <f>IFERROR(__xludf.DUMMYFUNCTION("""COMPUTED_VALUE"""),"Panel")</f>
        <v>Panel</v>
      </c>
      <c r="J3545" s="2" t="str">
        <f>IFERROR(__xludf.DUMMYFUNCTION("""COMPUTED_VALUE"""),"All amenities")</f>
        <v>All amenities</v>
      </c>
      <c r="K3545" s="2">
        <f>IFERROR(__xludf.DUMMYFUNCTION("""COMPUTED_VALUE"""),109000.0)</f>
        <v>109000</v>
      </c>
      <c r="L3545" s="2">
        <f>IFERROR(__xludf.DUMMYFUNCTION("""COMPUTED_VALUE"""),56.914968)</f>
        <v>56.914968</v>
      </c>
      <c r="M3545" s="2">
        <f>IFERROR(__xludf.DUMMYFUNCTION("""COMPUTED_VALUE"""),24.12289)</f>
        <v>24.12289</v>
      </c>
    </row>
    <row r="3546">
      <c r="A3546" s="2" t="str">
        <f>IFERROR(__xludf.DUMMYFUNCTION("""COMPUTED_VALUE"""),"For rent")</f>
        <v>For rent</v>
      </c>
      <c r="B3546" s="2" t="str">
        <f>IFERROR(__xludf.DUMMYFUNCTION("""COMPUTED_VALUE"""),"Teika")</f>
        <v>Teika</v>
      </c>
      <c r="C3546" s="2" t="str">
        <f>IFERROR(__xludf.DUMMYFUNCTION("""COMPUTED_VALUE"""),"Caunes 10 k1")</f>
        <v>Caunes 10 k1</v>
      </c>
      <c r="D3546" s="2">
        <f>IFERROR(__xludf.DUMMYFUNCTION("""COMPUTED_VALUE"""),3.0)</f>
        <v>3</v>
      </c>
      <c r="E3546" s="2">
        <f>IFERROR(__xludf.DUMMYFUNCTION("""COMPUTED_VALUE"""),75.0)</f>
        <v>75</v>
      </c>
      <c r="F3546" s="2">
        <f>IFERROR(__xludf.DUMMYFUNCTION("""COMPUTED_VALUE"""),8.0)</f>
        <v>8</v>
      </c>
      <c r="G3546" s="2">
        <f>IFERROR(__xludf.DUMMYFUNCTION("""COMPUTED_VALUE"""),9.0)</f>
        <v>9</v>
      </c>
      <c r="H3546" s="2" t="str">
        <f>IFERROR(__xludf.DUMMYFUNCTION("""COMPUTED_VALUE"""),"Specpr.")</f>
        <v>Specpr.</v>
      </c>
      <c r="I3546" s="2" t="str">
        <f>IFERROR(__xludf.DUMMYFUNCTION("""COMPUTED_VALUE"""),"Panel-Brick")</f>
        <v>Panel-Brick</v>
      </c>
      <c r="J3546" s="2" t="str">
        <f>IFERROR(__xludf.DUMMYFUNCTION("""COMPUTED_VALUE"""),"All amenities")</f>
        <v>All amenities</v>
      </c>
      <c r="K3546" s="2">
        <f>IFERROR(__xludf.DUMMYFUNCTION("""COMPUTED_VALUE"""),410.0)</f>
        <v>410</v>
      </c>
      <c r="L3546" s="2">
        <f>IFERROR(__xludf.DUMMYFUNCTION("""COMPUTED_VALUE"""),56.9802132)</f>
        <v>56.9802132</v>
      </c>
      <c r="M3546" s="2">
        <f>IFERROR(__xludf.DUMMYFUNCTION("""COMPUTED_VALUE"""),24.187768)</f>
        <v>24.187768</v>
      </c>
    </row>
    <row r="3547">
      <c r="A3547" s="2" t="str">
        <f>IFERROR(__xludf.DUMMYFUNCTION("""COMPUTED_VALUE"""),"For sale")</f>
        <v>For sale</v>
      </c>
      <c r="B3547" s="2" t="str">
        <f>IFERROR(__xludf.DUMMYFUNCTION("""COMPUTED_VALUE"""),"Vecmīlgrāvis")</f>
        <v>Vecmīlgrāvis</v>
      </c>
      <c r="C3547" s="2" t="str">
        <f>IFERROR(__xludf.DUMMYFUNCTION("""COMPUTED_VALUE"""),"Vecmīlgrāvja 1. l. 45")</f>
        <v>Vecmīlgrāvja 1. l. 45</v>
      </c>
      <c r="D3547" s="2">
        <f>IFERROR(__xludf.DUMMYFUNCTION("""COMPUTED_VALUE"""),2.0)</f>
        <v>2</v>
      </c>
      <c r="E3547" s="2">
        <f>IFERROR(__xludf.DUMMYFUNCTION("""COMPUTED_VALUE"""),50.0)</f>
        <v>50</v>
      </c>
      <c r="F3547" s="2">
        <f>IFERROR(__xludf.DUMMYFUNCTION("""COMPUTED_VALUE"""),1.0)</f>
        <v>1</v>
      </c>
      <c r="G3547" s="2">
        <f>IFERROR(__xludf.DUMMYFUNCTION("""COMPUTED_VALUE"""),5.0)</f>
        <v>5</v>
      </c>
      <c r="H3547" s="2" t="str">
        <f>IFERROR(__xludf.DUMMYFUNCTION("""COMPUTED_VALUE"""),"LT proj.")</f>
        <v>LT proj.</v>
      </c>
      <c r="I3547" s="2" t="str">
        <f>IFERROR(__xludf.DUMMYFUNCTION("""COMPUTED_VALUE"""),"Panel")</f>
        <v>Panel</v>
      </c>
      <c r="J3547" s="2" t="str">
        <f>IFERROR(__xludf.DUMMYFUNCTION("""COMPUTED_VALUE"""),"All amenities")</f>
        <v>All amenities</v>
      </c>
      <c r="K3547" s="2">
        <f>IFERROR(__xludf.DUMMYFUNCTION("""COMPUTED_VALUE"""),29999.0)</f>
        <v>29999</v>
      </c>
      <c r="L3547" s="2" t="str">
        <f>IFERROR(__xludf.DUMMYFUNCTION("""COMPUTED_VALUE"""),"NaN")</f>
        <v>NaN</v>
      </c>
      <c r="M3547" s="2" t="str">
        <f>IFERROR(__xludf.DUMMYFUNCTION("""COMPUTED_VALUE"""),"NaN")</f>
        <v>NaN</v>
      </c>
    </row>
    <row r="3548">
      <c r="A3548" s="2" t="str">
        <f>IFERROR(__xludf.DUMMYFUNCTION("""COMPUTED_VALUE"""),"For sale")</f>
        <v>For sale</v>
      </c>
      <c r="B3548" s="2" t="str">
        <f>IFERROR(__xludf.DUMMYFUNCTION("""COMPUTED_VALUE"""),"Ziepniekkalns")</f>
        <v>Ziepniekkalns</v>
      </c>
      <c r="C3548" s="2" t="str">
        <f>IFERROR(__xludf.DUMMYFUNCTION("""COMPUTED_VALUE"""),"Ozolciema 24/k1")</f>
        <v>Ozolciema 24/k1</v>
      </c>
      <c r="D3548" s="2">
        <f>IFERROR(__xludf.DUMMYFUNCTION("""COMPUTED_VALUE"""),1.0)</f>
        <v>1</v>
      </c>
      <c r="E3548" s="2">
        <f>IFERROR(__xludf.DUMMYFUNCTION("""COMPUTED_VALUE"""),46.0)</f>
        <v>46</v>
      </c>
      <c r="F3548" s="2">
        <f>IFERROR(__xludf.DUMMYFUNCTION("""COMPUTED_VALUE"""),5.0)</f>
        <v>5</v>
      </c>
      <c r="G3548" s="2">
        <f>IFERROR(__xludf.DUMMYFUNCTION("""COMPUTED_VALUE"""),10.0)</f>
        <v>10</v>
      </c>
      <c r="H3548" s="2">
        <f>IFERROR(__xludf.DUMMYFUNCTION("""COMPUTED_VALUE"""),119.0)</f>
        <v>119</v>
      </c>
      <c r="I3548" s="2" t="str">
        <f>IFERROR(__xludf.DUMMYFUNCTION("""COMPUTED_VALUE"""),"Masonry")</f>
        <v>Masonry</v>
      </c>
      <c r="J3548" s="2" t="str">
        <f>IFERROR(__xludf.DUMMYFUNCTION("""COMPUTED_VALUE"""),"All amenities")</f>
        <v>All amenities</v>
      </c>
      <c r="K3548" s="2">
        <f>IFERROR(__xludf.DUMMYFUNCTION("""COMPUTED_VALUE"""),44500.0)</f>
        <v>44500</v>
      </c>
      <c r="L3548" s="2">
        <f>IFERROR(__xludf.DUMMYFUNCTION("""COMPUTED_VALUE"""),56.8990307)</f>
        <v>56.8990307</v>
      </c>
      <c r="M3548" s="2">
        <f>IFERROR(__xludf.DUMMYFUNCTION("""COMPUTED_VALUE"""),24.0785989)</f>
        <v>24.0785989</v>
      </c>
    </row>
    <row r="3549">
      <c r="A3549" s="2" t="str">
        <f>IFERROR(__xludf.DUMMYFUNCTION("""COMPUTED_VALUE"""),"For rent")</f>
        <v>For rent</v>
      </c>
      <c r="B3549" s="2" t="str">
        <f>IFERROR(__xludf.DUMMYFUNCTION("""COMPUTED_VALUE"""),"centrs")</f>
        <v>centrs</v>
      </c>
      <c r="C3549" s="2" t="str">
        <f>IFERROR(__xludf.DUMMYFUNCTION("""COMPUTED_VALUE"""),"Rūpniecības 34")</f>
        <v>Rūpniecības 34</v>
      </c>
      <c r="D3549" s="2">
        <f>IFERROR(__xludf.DUMMYFUNCTION("""COMPUTED_VALUE"""),5.0)</f>
        <v>5</v>
      </c>
      <c r="E3549" s="2">
        <f>IFERROR(__xludf.DUMMYFUNCTION("""COMPUTED_VALUE"""),159.0)</f>
        <v>159</v>
      </c>
      <c r="F3549" s="2">
        <f>IFERROR(__xludf.DUMMYFUNCTION("""COMPUTED_VALUE"""),3.0)</f>
        <v>3</v>
      </c>
      <c r="G3549" s="2">
        <f>IFERROR(__xludf.DUMMYFUNCTION("""COMPUTED_VALUE"""),7.0)</f>
        <v>7</v>
      </c>
      <c r="H3549" s="2" t="str">
        <f>IFERROR(__xludf.DUMMYFUNCTION("""COMPUTED_VALUE"""),"Jaun.")</f>
        <v>Jaun.</v>
      </c>
      <c r="I3549" s="2" t="str">
        <f>IFERROR(__xludf.DUMMYFUNCTION("""COMPUTED_VALUE"""),"Masonry")</f>
        <v>Masonry</v>
      </c>
      <c r="J3549" s="2" t="str">
        <f>IFERROR(__xludf.DUMMYFUNCTION("""COMPUTED_VALUE"""),"All amenities")</f>
        <v>All amenities</v>
      </c>
      <c r="K3549" s="2">
        <f>IFERROR(__xludf.DUMMYFUNCTION("""COMPUTED_VALUE"""),1500.0)</f>
        <v>1500</v>
      </c>
      <c r="L3549" s="2">
        <f>IFERROR(__xludf.DUMMYFUNCTION("""COMPUTED_VALUE"""),56.9611987)</f>
        <v>56.9611987</v>
      </c>
      <c r="M3549" s="2">
        <f>IFERROR(__xludf.DUMMYFUNCTION("""COMPUTED_VALUE"""),24.1032565)</f>
        <v>24.1032565</v>
      </c>
    </row>
    <row r="3550">
      <c r="A3550" s="2" t="str">
        <f>IFERROR(__xludf.DUMMYFUNCTION("""COMPUTED_VALUE"""),"For sale")</f>
        <v>For sale</v>
      </c>
      <c r="B3550" s="2" t="str">
        <f>IFERROR(__xludf.DUMMYFUNCTION("""COMPUTED_VALUE"""),"centrs")</f>
        <v>centrs</v>
      </c>
      <c r="C3550" s="2" t="str">
        <f>IFERROR(__xludf.DUMMYFUNCTION("""COMPUTED_VALUE"""),"Brīvības iela 114")</f>
        <v>Brīvības iela 114</v>
      </c>
      <c r="D3550" s="2">
        <f>IFERROR(__xludf.DUMMYFUNCTION("""COMPUTED_VALUE"""),2.0)</f>
        <v>2</v>
      </c>
      <c r="E3550" s="2">
        <f>IFERROR(__xludf.DUMMYFUNCTION("""COMPUTED_VALUE"""),62.0)</f>
        <v>62</v>
      </c>
      <c r="F3550" s="2">
        <f>IFERROR(__xludf.DUMMYFUNCTION("""COMPUTED_VALUE"""),4.0)</f>
        <v>4</v>
      </c>
      <c r="G3550" s="2">
        <f>IFERROR(__xludf.DUMMYFUNCTION("""COMPUTED_VALUE"""),6.0)</f>
        <v>6</v>
      </c>
      <c r="H3550" s="2" t="str">
        <f>IFERROR(__xludf.DUMMYFUNCTION("""COMPUTED_VALUE"""),"Renov.")</f>
        <v>Renov.</v>
      </c>
      <c r="I3550" s="2" t="str">
        <f>IFERROR(__xludf.DUMMYFUNCTION("""COMPUTED_VALUE"""),"Brick")</f>
        <v>Brick</v>
      </c>
      <c r="J3550" s="2" t="str">
        <f>IFERROR(__xludf.DUMMYFUNCTION("""COMPUTED_VALUE"""),"All amenities")</f>
        <v>All amenities</v>
      </c>
      <c r="K3550" s="2">
        <f>IFERROR(__xludf.DUMMYFUNCTION("""COMPUTED_VALUE"""),113000.0)</f>
        <v>113000</v>
      </c>
      <c r="L3550" s="2">
        <f>IFERROR(__xludf.DUMMYFUNCTION("""COMPUTED_VALUE"""),56.9619771)</f>
        <v>56.9619771</v>
      </c>
      <c r="M3550" s="2">
        <f>IFERROR(__xludf.DUMMYFUNCTION("""COMPUTED_VALUE"""),24.1348346)</f>
        <v>24.1348346</v>
      </c>
    </row>
    <row r="3551">
      <c r="A3551" s="2" t="str">
        <f>IFERROR(__xludf.DUMMYFUNCTION("""COMPUTED_VALUE"""),"For rent")</f>
        <v>For rent</v>
      </c>
      <c r="B3551" s="2" t="str">
        <f>IFERROR(__xludf.DUMMYFUNCTION("""COMPUTED_VALUE"""),"Āgenskalns")</f>
        <v>Āgenskalns</v>
      </c>
      <c r="C3551" s="2" t="str">
        <f>IFERROR(__xludf.DUMMYFUNCTION("""COMPUTED_VALUE"""),"Liepājas 34")</f>
        <v>Liepājas 34</v>
      </c>
      <c r="D3551" s="2">
        <f>IFERROR(__xludf.DUMMYFUNCTION("""COMPUTED_VALUE"""),3.0)</f>
        <v>3</v>
      </c>
      <c r="E3551" s="2">
        <f>IFERROR(__xludf.DUMMYFUNCTION("""COMPUTED_VALUE"""),58.0)</f>
        <v>58</v>
      </c>
      <c r="F3551" s="2">
        <f>IFERROR(__xludf.DUMMYFUNCTION("""COMPUTED_VALUE"""),3.0)</f>
        <v>3</v>
      </c>
      <c r="G3551" s="2">
        <f>IFERROR(__xludf.DUMMYFUNCTION("""COMPUTED_VALUE"""),4.0)</f>
        <v>4</v>
      </c>
      <c r="H3551" s="2" t="str">
        <f>IFERROR(__xludf.DUMMYFUNCTION("""COMPUTED_VALUE"""),"Renov.")</f>
        <v>Renov.</v>
      </c>
      <c r="I3551" s="2" t="str">
        <f>IFERROR(__xludf.DUMMYFUNCTION("""COMPUTED_VALUE"""),"Masonry")</f>
        <v>Masonry</v>
      </c>
      <c r="J3551" s="2" t="str">
        <f>IFERROR(__xludf.DUMMYFUNCTION("""COMPUTED_VALUE"""),"All amenities")</f>
        <v>All amenities</v>
      </c>
      <c r="K3551" s="2">
        <f>IFERROR(__xludf.DUMMYFUNCTION("""COMPUTED_VALUE"""),500.0)</f>
        <v>500</v>
      </c>
      <c r="L3551" s="2">
        <f>IFERROR(__xludf.DUMMYFUNCTION("""COMPUTED_VALUE"""),56.9313946)</f>
        <v>56.9313946</v>
      </c>
      <c r="M3551" s="2">
        <f>IFERROR(__xludf.DUMMYFUNCTION("""COMPUTED_VALUE"""),24.0706271241211)</f>
        <v>24.07062712</v>
      </c>
    </row>
    <row r="3552">
      <c r="A3552" s="2" t="str">
        <f>IFERROR(__xludf.DUMMYFUNCTION("""COMPUTED_VALUE"""),"For sale")</f>
        <v>For sale</v>
      </c>
      <c r="B3552" s="2" t="str">
        <f>IFERROR(__xludf.DUMMYFUNCTION("""COMPUTED_VALUE"""),"Ziepniekkalns")</f>
        <v>Ziepniekkalns</v>
      </c>
      <c r="C3552" s="2" t="str">
        <f>IFERROR(__xludf.DUMMYFUNCTION("""COMPUTED_VALUE"""),"Līvciema 9")</f>
        <v>Līvciema 9</v>
      </c>
      <c r="D3552" s="2">
        <f>IFERROR(__xludf.DUMMYFUNCTION("""COMPUTED_VALUE"""),3.0)</f>
        <v>3</v>
      </c>
      <c r="E3552" s="2">
        <f>IFERROR(__xludf.DUMMYFUNCTION("""COMPUTED_VALUE"""),75.0)</f>
        <v>75</v>
      </c>
      <c r="F3552" s="2">
        <f>IFERROR(__xludf.DUMMYFUNCTION("""COMPUTED_VALUE"""),7.0)</f>
        <v>7</v>
      </c>
      <c r="G3552" s="2">
        <f>IFERROR(__xludf.DUMMYFUNCTION("""COMPUTED_VALUE"""),7.0)</f>
        <v>7</v>
      </c>
      <c r="H3552" s="2" t="str">
        <f>IFERROR(__xludf.DUMMYFUNCTION("""COMPUTED_VALUE"""),"Specpr.")</f>
        <v>Specpr.</v>
      </c>
      <c r="I3552" s="2" t="str">
        <f>IFERROR(__xludf.DUMMYFUNCTION("""COMPUTED_VALUE"""),"Panel")</f>
        <v>Panel</v>
      </c>
      <c r="J3552" s="2" t="str">
        <f>IFERROR(__xludf.DUMMYFUNCTION("""COMPUTED_VALUE"""),"All amenities")</f>
        <v>All amenities</v>
      </c>
      <c r="K3552" s="2">
        <f>IFERROR(__xludf.DUMMYFUNCTION("""COMPUTED_VALUE"""),65000.0)</f>
        <v>65000</v>
      </c>
      <c r="L3552" s="2">
        <f>IFERROR(__xludf.DUMMYFUNCTION("""COMPUTED_VALUE"""),56.90957185)</f>
        <v>56.90957185</v>
      </c>
      <c r="M3552" s="2">
        <f>IFERROR(__xludf.DUMMYFUNCTION("""COMPUTED_VALUE"""),24.097641602805)</f>
        <v>24.0976416</v>
      </c>
    </row>
    <row r="3553">
      <c r="A3553" s="2" t="str">
        <f>IFERROR(__xludf.DUMMYFUNCTION("""COMPUTED_VALUE"""),"For sale")</f>
        <v>For sale</v>
      </c>
      <c r="B3553" s="2" t="str">
        <f>IFERROR(__xludf.DUMMYFUNCTION("""COMPUTED_VALUE"""),"centrs")</f>
        <v>centrs</v>
      </c>
      <c r="C3553" s="2" t="str">
        <f>IFERROR(__xludf.DUMMYFUNCTION("""COMPUTED_VALUE"""),"Birznieka-Upīša 13")</f>
        <v>Birznieka-Upīša 13</v>
      </c>
      <c r="D3553" s="2">
        <f>IFERROR(__xludf.DUMMYFUNCTION("""COMPUTED_VALUE"""),2.0)</f>
        <v>2</v>
      </c>
      <c r="E3553" s="2">
        <f>IFERROR(__xludf.DUMMYFUNCTION("""COMPUTED_VALUE"""),55.0)</f>
        <v>55</v>
      </c>
      <c r="F3553" s="2">
        <f>IFERROR(__xludf.DUMMYFUNCTION("""COMPUTED_VALUE"""),4.0)</f>
        <v>4</v>
      </c>
      <c r="G3553" s="2">
        <f>IFERROR(__xludf.DUMMYFUNCTION("""COMPUTED_VALUE"""),7.0)</f>
        <v>7</v>
      </c>
      <c r="H3553" s="2" t="str">
        <f>IFERROR(__xludf.DUMMYFUNCTION("""COMPUTED_VALUE"""),"Jaun.")</f>
        <v>Jaun.</v>
      </c>
      <c r="I3553" s="2" t="str">
        <f>IFERROR(__xludf.DUMMYFUNCTION("""COMPUTED_VALUE"""),"Panel-Brick")</f>
        <v>Panel-Brick</v>
      </c>
      <c r="J3553" s="2" t="str">
        <f>IFERROR(__xludf.DUMMYFUNCTION("""COMPUTED_VALUE"""),"All amenities")</f>
        <v>All amenities</v>
      </c>
      <c r="K3553" s="2">
        <f>IFERROR(__xludf.DUMMYFUNCTION("""COMPUTED_VALUE"""),120000.0)</f>
        <v>120000</v>
      </c>
      <c r="L3553" s="2">
        <f>IFERROR(__xludf.DUMMYFUNCTION("""COMPUTED_VALUE"""),56.9493295)</f>
        <v>56.9493295</v>
      </c>
      <c r="M3553" s="2">
        <f>IFERROR(__xludf.DUMMYFUNCTION("""COMPUTED_VALUE"""),24.1264892056074)</f>
        <v>24.12648921</v>
      </c>
    </row>
    <row r="3554">
      <c r="A3554" s="2" t="str">
        <f>IFERROR(__xludf.DUMMYFUNCTION("""COMPUTED_VALUE"""),"For rent")</f>
        <v>For rent</v>
      </c>
      <c r="B3554" s="2" t="str">
        <f>IFERROR(__xludf.DUMMYFUNCTION("""COMPUTED_VALUE"""),"centrs")</f>
        <v>centrs</v>
      </c>
      <c r="C3554" s="2" t="str">
        <f>IFERROR(__xludf.DUMMYFUNCTION("""COMPUTED_VALUE"""),"Pērnavas 19")</f>
        <v>Pērnavas 19</v>
      </c>
      <c r="D3554" s="2">
        <f>IFERROR(__xludf.DUMMYFUNCTION("""COMPUTED_VALUE"""),1.0)</f>
        <v>1</v>
      </c>
      <c r="E3554" s="2">
        <f>IFERROR(__xludf.DUMMYFUNCTION("""COMPUTED_VALUE"""),18.0)</f>
        <v>18</v>
      </c>
      <c r="F3554" s="2">
        <f>IFERROR(__xludf.DUMMYFUNCTION("""COMPUTED_VALUE"""),3.0)</f>
        <v>3</v>
      </c>
      <c r="G3554" s="2">
        <f>IFERROR(__xludf.DUMMYFUNCTION("""COMPUTED_VALUE"""),5.0)</f>
        <v>5</v>
      </c>
      <c r="H3554" s="2" t="str">
        <f>IFERROR(__xludf.DUMMYFUNCTION("""COMPUTED_VALUE"""),"Specpr.")</f>
        <v>Specpr.</v>
      </c>
      <c r="I3554" s="2" t="str">
        <f>IFERROR(__xludf.DUMMYFUNCTION("""COMPUTED_VALUE"""),"Masonry")</f>
        <v>Masonry</v>
      </c>
      <c r="J3554" s="2" t="str">
        <f>IFERROR(__xludf.DUMMYFUNCTION("""COMPUTED_VALUE"""),"All amenities")</f>
        <v>All amenities</v>
      </c>
      <c r="K3554" s="2">
        <f>IFERROR(__xludf.DUMMYFUNCTION("""COMPUTED_VALUE"""),220.0)</f>
        <v>220</v>
      </c>
      <c r="L3554" s="2">
        <f>IFERROR(__xludf.DUMMYFUNCTION("""COMPUTED_VALUE"""),56.9629237)</f>
        <v>56.9629237</v>
      </c>
      <c r="M3554" s="2">
        <f>IFERROR(__xludf.DUMMYFUNCTION("""COMPUTED_VALUE"""),24.1513342)</f>
        <v>24.1513342</v>
      </c>
    </row>
    <row r="3555">
      <c r="A3555" s="2" t="str">
        <f>IFERROR(__xludf.DUMMYFUNCTION("""COMPUTED_VALUE"""),"For sale")</f>
        <v>For sale</v>
      </c>
      <c r="B3555" s="2" t="str">
        <f>IFERROR(__xludf.DUMMYFUNCTION("""COMPUTED_VALUE"""),"Maskavas priekšpilsēta")</f>
        <v>Maskavas priekšpilsēta</v>
      </c>
      <c r="C3555" s="2" t="str">
        <f>IFERROR(__xludf.DUMMYFUNCTION("""COMPUTED_VALUE"""),"Katoļu 9")</f>
        <v>Katoļu 9</v>
      </c>
      <c r="D3555" s="2">
        <f>IFERROR(__xludf.DUMMYFUNCTION("""COMPUTED_VALUE"""),2.0)</f>
        <v>2</v>
      </c>
      <c r="E3555" s="2">
        <f>IFERROR(__xludf.DUMMYFUNCTION("""COMPUTED_VALUE"""),38.0)</f>
        <v>38</v>
      </c>
      <c r="F3555" s="2">
        <f>IFERROR(__xludf.DUMMYFUNCTION("""COMPUTED_VALUE"""),4.0)</f>
        <v>4</v>
      </c>
      <c r="G3555" s="2">
        <f>IFERROR(__xludf.DUMMYFUNCTION("""COMPUTED_VALUE"""),5.0)</f>
        <v>5</v>
      </c>
      <c r="H3555" s="2" t="str">
        <f>IFERROR(__xludf.DUMMYFUNCTION("""COMPUTED_VALUE"""),"P. kara")</f>
        <v>P. kara</v>
      </c>
      <c r="I3555" s="2" t="str">
        <f>IFERROR(__xludf.DUMMYFUNCTION("""COMPUTED_VALUE"""),"Masonry")</f>
        <v>Masonry</v>
      </c>
      <c r="J3555" s="2" t="str">
        <f>IFERROR(__xludf.DUMMYFUNCTION("""COMPUTED_VALUE"""),"All amenities")</f>
        <v>All amenities</v>
      </c>
      <c r="K3555" s="2">
        <f>IFERROR(__xludf.DUMMYFUNCTION("""COMPUTED_VALUE"""),49600.0)</f>
        <v>49600</v>
      </c>
      <c r="L3555" s="2">
        <f>IFERROR(__xludf.DUMMYFUNCTION("""COMPUTED_VALUE"""),56.94181855)</f>
        <v>56.94181855</v>
      </c>
      <c r="M3555" s="2">
        <f>IFERROR(__xludf.DUMMYFUNCTION("""COMPUTED_VALUE"""),24.136004360151)</f>
        <v>24.13600436</v>
      </c>
    </row>
    <row r="3556">
      <c r="A3556" s="2" t="str">
        <f>IFERROR(__xludf.DUMMYFUNCTION("""COMPUTED_VALUE"""),"For sale")</f>
        <v>For sale</v>
      </c>
      <c r="B3556" s="2" t="str">
        <f>IFERROR(__xludf.DUMMYFUNCTION("""COMPUTED_VALUE"""),"Āgenskalns")</f>
        <v>Āgenskalns</v>
      </c>
      <c r="C3556" s="2" t="str">
        <f>IFERROR(__xludf.DUMMYFUNCTION("""COMPUTED_VALUE"""),"Smiļģa 9")</f>
        <v>Smiļģa 9</v>
      </c>
      <c r="D3556" s="2">
        <f>IFERROR(__xludf.DUMMYFUNCTION("""COMPUTED_VALUE"""),2.0)</f>
        <v>2</v>
      </c>
      <c r="E3556" s="2">
        <f>IFERROR(__xludf.DUMMYFUNCTION("""COMPUTED_VALUE"""),46.0)</f>
        <v>46</v>
      </c>
      <c r="F3556" s="2">
        <f>IFERROR(__xludf.DUMMYFUNCTION("""COMPUTED_VALUE"""),1.0)</f>
        <v>1</v>
      </c>
      <c r="G3556" s="2">
        <f>IFERROR(__xludf.DUMMYFUNCTION("""COMPUTED_VALUE"""),4.0)</f>
        <v>4</v>
      </c>
      <c r="H3556" s="2" t="str">
        <f>IFERROR(__xludf.DUMMYFUNCTION("""COMPUTED_VALUE"""),"Renov.")</f>
        <v>Renov.</v>
      </c>
      <c r="I3556" s="2" t="str">
        <f>IFERROR(__xludf.DUMMYFUNCTION("""COMPUTED_VALUE"""),"Masonry")</f>
        <v>Masonry</v>
      </c>
      <c r="J3556" s="2" t="str">
        <f>IFERROR(__xludf.DUMMYFUNCTION("""COMPUTED_VALUE"""),"All amenities")</f>
        <v>All amenities</v>
      </c>
      <c r="K3556" s="2">
        <f>IFERROR(__xludf.DUMMYFUNCTION("""COMPUTED_VALUE"""),80597.0)</f>
        <v>80597</v>
      </c>
      <c r="L3556" s="2">
        <f>IFERROR(__xludf.DUMMYFUNCTION("""COMPUTED_VALUE"""),56.9348145)</f>
        <v>56.9348145</v>
      </c>
      <c r="M3556" s="2">
        <f>IFERROR(__xludf.DUMMYFUNCTION("""COMPUTED_VALUE"""),24.0753412)</f>
        <v>24.0753412</v>
      </c>
    </row>
    <row r="3557">
      <c r="A3557" s="2" t="str">
        <f>IFERROR(__xludf.DUMMYFUNCTION("""COMPUTED_VALUE"""),"For sale")</f>
        <v>For sale</v>
      </c>
      <c r="B3557" s="2" t="str">
        <f>IFERROR(__xludf.DUMMYFUNCTION("""COMPUTED_VALUE"""),"Purvciems")</f>
        <v>Purvciems</v>
      </c>
      <c r="C3557" s="2" t="str">
        <f>IFERROR(__xludf.DUMMYFUNCTION("""COMPUTED_VALUE"""),"Dzelzavas 68")</f>
        <v>Dzelzavas 68</v>
      </c>
      <c r="D3557" s="2">
        <f>IFERROR(__xludf.DUMMYFUNCTION("""COMPUTED_VALUE"""),3.0)</f>
        <v>3</v>
      </c>
      <c r="E3557" s="2">
        <f>IFERROR(__xludf.DUMMYFUNCTION("""COMPUTED_VALUE"""),80.0)</f>
        <v>80</v>
      </c>
      <c r="F3557" s="2">
        <f>IFERROR(__xludf.DUMMYFUNCTION("""COMPUTED_VALUE"""),13.0)</f>
        <v>13</v>
      </c>
      <c r="G3557" s="2">
        <f>IFERROR(__xludf.DUMMYFUNCTION("""COMPUTED_VALUE"""),16.0)</f>
        <v>16</v>
      </c>
      <c r="H3557" s="2" t="str">
        <f>IFERROR(__xludf.DUMMYFUNCTION("""COMPUTED_VALUE"""),"Specpr.")</f>
        <v>Specpr.</v>
      </c>
      <c r="I3557" s="2" t="str">
        <f>IFERROR(__xludf.DUMMYFUNCTION("""COMPUTED_VALUE"""),"Masonry")</f>
        <v>Masonry</v>
      </c>
      <c r="J3557" s="2" t="str">
        <f>IFERROR(__xludf.DUMMYFUNCTION("""COMPUTED_VALUE"""),"All amenities")</f>
        <v>All amenities</v>
      </c>
      <c r="K3557" s="2">
        <f>IFERROR(__xludf.DUMMYFUNCTION("""COMPUTED_VALUE"""),110000.0)</f>
        <v>110000</v>
      </c>
      <c r="L3557" s="2">
        <f>IFERROR(__xludf.DUMMYFUNCTION("""COMPUTED_VALUE"""),56.95650225)</f>
        <v>56.95650225</v>
      </c>
      <c r="M3557" s="2">
        <f>IFERROR(__xludf.DUMMYFUNCTION("""COMPUTED_VALUE"""),24.1867783069729)</f>
        <v>24.18677831</v>
      </c>
    </row>
    <row r="3558">
      <c r="A3558" s="2" t="str">
        <f>IFERROR(__xludf.DUMMYFUNCTION("""COMPUTED_VALUE"""),"For sale")</f>
        <v>For sale</v>
      </c>
      <c r="B3558" s="2" t="str">
        <f>IFERROR(__xludf.DUMMYFUNCTION("""COMPUTED_VALUE"""),"Ziepniekkalns")</f>
        <v>Ziepniekkalns</v>
      </c>
      <c r="C3558" s="2" t="str">
        <f>IFERROR(__xludf.DUMMYFUNCTION("""COMPUTED_VALUE"""),"Pīpeņu 10")</f>
        <v>Pīpeņu 10</v>
      </c>
      <c r="D3558" s="2">
        <f>IFERROR(__xludf.DUMMYFUNCTION("""COMPUTED_VALUE"""),2.0)</f>
        <v>2</v>
      </c>
      <c r="E3558" s="2">
        <f>IFERROR(__xludf.DUMMYFUNCTION("""COMPUTED_VALUE"""),59.0)</f>
        <v>59</v>
      </c>
      <c r="F3558" s="2">
        <f>IFERROR(__xludf.DUMMYFUNCTION("""COMPUTED_VALUE"""),2.0)</f>
        <v>2</v>
      </c>
      <c r="G3558" s="2">
        <f>IFERROR(__xludf.DUMMYFUNCTION("""COMPUTED_VALUE"""),5.0)</f>
        <v>5</v>
      </c>
      <c r="H3558" s="2" t="str">
        <f>IFERROR(__xludf.DUMMYFUNCTION("""COMPUTED_VALUE"""),"Specpr.")</f>
        <v>Specpr.</v>
      </c>
      <c r="I3558" s="2" t="str">
        <f>IFERROR(__xludf.DUMMYFUNCTION("""COMPUTED_VALUE"""),"Panel")</f>
        <v>Panel</v>
      </c>
      <c r="J3558" s="2" t="str">
        <f>IFERROR(__xludf.DUMMYFUNCTION("""COMPUTED_VALUE"""),"All amenities")</f>
        <v>All amenities</v>
      </c>
      <c r="K3558" s="2">
        <f>IFERROR(__xludf.DUMMYFUNCTION("""COMPUTED_VALUE"""),47488.0)</f>
        <v>47488</v>
      </c>
      <c r="L3558" s="2">
        <f>IFERROR(__xludf.DUMMYFUNCTION("""COMPUTED_VALUE"""),56.9106429499999)</f>
        <v>56.91064295</v>
      </c>
      <c r="M3558" s="2">
        <f>IFERROR(__xludf.DUMMYFUNCTION("""COMPUTED_VALUE"""),24.0995160584085)</f>
        <v>24.09951606</v>
      </c>
    </row>
    <row r="3559">
      <c r="A3559" s="2" t="str">
        <f>IFERROR(__xludf.DUMMYFUNCTION("""COMPUTED_VALUE"""),"For sale")</f>
        <v>For sale</v>
      </c>
      <c r="B3559" s="2" t="str">
        <f>IFERROR(__xludf.DUMMYFUNCTION("""COMPUTED_VALUE"""),"Grīziņkalns")</f>
        <v>Grīziņkalns</v>
      </c>
      <c r="C3559" s="2" t="str">
        <f>IFERROR(__xludf.DUMMYFUNCTION("""COMPUTED_VALUE"""),"Dārzaugļu 1")</f>
        <v>Dārzaugļu 1</v>
      </c>
      <c r="D3559" s="2">
        <f>IFERROR(__xludf.DUMMYFUNCTION("""COMPUTED_VALUE"""),4.0)</f>
        <v>4</v>
      </c>
      <c r="E3559" s="2">
        <f>IFERROR(__xludf.DUMMYFUNCTION("""COMPUTED_VALUE"""),108.0)</f>
        <v>108</v>
      </c>
      <c r="F3559" s="2">
        <f>IFERROR(__xludf.DUMMYFUNCTION("""COMPUTED_VALUE"""),2.0)</f>
        <v>2</v>
      </c>
      <c r="G3559" s="2">
        <f>IFERROR(__xludf.DUMMYFUNCTION("""COMPUTED_VALUE"""),6.0)</f>
        <v>6</v>
      </c>
      <c r="H3559" s="2" t="str">
        <f>IFERROR(__xludf.DUMMYFUNCTION("""COMPUTED_VALUE"""),"Renov.")</f>
        <v>Renov.</v>
      </c>
      <c r="I3559" s="2" t="str">
        <f>IFERROR(__xludf.DUMMYFUNCTION("""COMPUTED_VALUE"""),"Panel-Brick")</f>
        <v>Panel-Brick</v>
      </c>
      <c r="J3559" s="2" t="str">
        <f>IFERROR(__xludf.DUMMYFUNCTION("""COMPUTED_VALUE"""),"All amenities")</f>
        <v>All amenities</v>
      </c>
      <c r="K3559" s="2">
        <f>IFERROR(__xludf.DUMMYFUNCTION("""COMPUTED_VALUE"""),140400.0)</f>
        <v>140400</v>
      </c>
      <c r="L3559" s="2">
        <f>IFERROR(__xludf.DUMMYFUNCTION("""COMPUTED_VALUE"""),56.96528365)</f>
        <v>56.96528365</v>
      </c>
      <c r="M3559" s="2">
        <f>IFERROR(__xludf.DUMMYFUNCTION("""COMPUTED_VALUE"""),24.1511345971373)</f>
        <v>24.1511346</v>
      </c>
    </row>
    <row r="3560">
      <c r="A3560" s="2" t="str">
        <f>IFERROR(__xludf.DUMMYFUNCTION("""COMPUTED_VALUE"""),"For rent")</f>
        <v>For rent</v>
      </c>
      <c r="B3560" s="2" t="str">
        <f>IFERROR(__xludf.DUMMYFUNCTION("""COMPUTED_VALUE"""),"centrs")</f>
        <v>centrs</v>
      </c>
      <c r="C3560" s="2" t="str">
        <f>IFERROR(__xludf.DUMMYFUNCTION("""COMPUTED_VALUE"""),"Bruņinieku 111")</f>
        <v>Bruņinieku 111</v>
      </c>
      <c r="D3560" s="2">
        <f>IFERROR(__xludf.DUMMYFUNCTION("""COMPUTED_VALUE"""),1.0)</f>
        <v>1</v>
      </c>
      <c r="E3560" s="2">
        <f>IFERROR(__xludf.DUMMYFUNCTION("""COMPUTED_VALUE"""),8.0)</f>
        <v>8</v>
      </c>
      <c r="F3560" s="2">
        <f>IFERROR(__xludf.DUMMYFUNCTION("""COMPUTED_VALUE"""),1.0)</f>
        <v>1</v>
      </c>
      <c r="G3560" s="2">
        <f>IFERROR(__xludf.DUMMYFUNCTION("""COMPUTED_VALUE"""),4.0)</f>
        <v>4</v>
      </c>
      <c r="H3560" s="2" t="str">
        <f>IFERROR(__xludf.DUMMYFUNCTION("""COMPUTED_VALUE"""),"Renov.")</f>
        <v>Renov.</v>
      </c>
      <c r="I3560" s="2" t="str">
        <f>IFERROR(__xludf.DUMMYFUNCTION("""COMPUTED_VALUE"""),"Masonry")</f>
        <v>Masonry</v>
      </c>
      <c r="J3560" s="2" t="str">
        <f>IFERROR(__xludf.DUMMYFUNCTION("""COMPUTED_VALUE"""),"All amenities")</f>
        <v>All amenities</v>
      </c>
      <c r="K3560" s="2">
        <f>IFERROR(__xludf.DUMMYFUNCTION("""COMPUTED_VALUE"""),120.0)</f>
        <v>120</v>
      </c>
      <c r="L3560" s="2">
        <f>IFERROR(__xludf.DUMMYFUNCTION("""COMPUTED_VALUE"""),56.9502926)</f>
        <v>56.9502926</v>
      </c>
      <c r="M3560" s="2">
        <f>IFERROR(__xludf.DUMMYFUNCTION("""COMPUTED_VALUE"""),24.143564917498)</f>
        <v>24.14356492</v>
      </c>
    </row>
    <row r="3561">
      <c r="A3561" s="2" t="str">
        <f>IFERROR(__xludf.DUMMYFUNCTION("""COMPUTED_VALUE"""),"For rent")</f>
        <v>For rent</v>
      </c>
      <c r="B3561" s="2" t="str">
        <f>IFERROR(__xludf.DUMMYFUNCTION("""COMPUTED_VALUE"""),"Pļavnieki")</f>
        <v>Pļavnieki</v>
      </c>
      <c r="C3561" s="2" t="str">
        <f>IFERROR(__xludf.DUMMYFUNCTION("""COMPUTED_VALUE"""),"Ulbrokas 8")</f>
        <v>Ulbrokas 8</v>
      </c>
      <c r="D3561" s="2">
        <f>IFERROR(__xludf.DUMMYFUNCTION("""COMPUTED_VALUE"""),1.0)</f>
        <v>1</v>
      </c>
      <c r="E3561" s="2">
        <f>IFERROR(__xludf.DUMMYFUNCTION("""COMPUTED_VALUE"""),42.0)</f>
        <v>42</v>
      </c>
      <c r="F3561" s="2">
        <f>IFERROR(__xludf.DUMMYFUNCTION("""COMPUTED_VALUE"""),4.0)</f>
        <v>4</v>
      </c>
      <c r="G3561" s="2">
        <f>IFERROR(__xludf.DUMMYFUNCTION("""COMPUTED_VALUE"""),5.0)</f>
        <v>5</v>
      </c>
      <c r="H3561" s="2" t="str">
        <f>IFERROR(__xludf.DUMMYFUNCTION("""COMPUTED_VALUE"""),"M. ģim.")</f>
        <v>M. ģim.</v>
      </c>
      <c r="I3561" s="2" t="str">
        <f>IFERROR(__xludf.DUMMYFUNCTION("""COMPUTED_VALUE"""),"Panel")</f>
        <v>Panel</v>
      </c>
      <c r="J3561" s="2" t="str">
        <f>IFERROR(__xludf.DUMMYFUNCTION("""COMPUTED_VALUE"""),"All amenities")</f>
        <v>All amenities</v>
      </c>
      <c r="K3561" s="2">
        <f>IFERROR(__xludf.DUMMYFUNCTION("""COMPUTED_VALUE"""),240.0)</f>
        <v>240</v>
      </c>
      <c r="L3561" s="2">
        <f>IFERROR(__xludf.DUMMYFUNCTION("""COMPUTED_VALUE"""),56.94060485)</f>
        <v>56.94060485</v>
      </c>
      <c r="M3561" s="2">
        <f>IFERROR(__xludf.DUMMYFUNCTION("""COMPUTED_VALUE"""),24.2179315)</f>
        <v>24.2179315</v>
      </c>
    </row>
    <row r="3562">
      <c r="A3562" s="2" t="str">
        <f>IFERROR(__xludf.DUMMYFUNCTION("""COMPUTED_VALUE"""),"For sale")</f>
        <v>For sale</v>
      </c>
      <c r="B3562" s="2" t="str">
        <f>IFERROR(__xludf.DUMMYFUNCTION("""COMPUTED_VALUE"""),"Purvciems")</f>
        <v>Purvciems</v>
      </c>
      <c r="C3562" s="2" t="str">
        <f>IFERROR(__xludf.DUMMYFUNCTION("""COMPUTED_VALUE"""),"Varavīksnes g. 6")</f>
        <v>Varavīksnes g. 6</v>
      </c>
      <c r="D3562" s="2">
        <f>IFERROR(__xludf.DUMMYFUNCTION("""COMPUTED_VALUE"""),3.0)</f>
        <v>3</v>
      </c>
      <c r="E3562" s="2">
        <f>IFERROR(__xludf.DUMMYFUNCTION("""COMPUTED_VALUE"""),64.0)</f>
        <v>64</v>
      </c>
      <c r="F3562" s="2">
        <f>IFERROR(__xludf.DUMMYFUNCTION("""COMPUTED_VALUE"""),2.0)</f>
        <v>2</v>
      </c>
      <c r="G3562" s="2">
        <f>IFERROR(__xludf.DUMMYFUNCTION("""COMPUTED_VALUE"""),9.0)</f>
        <v>9</v>
      </c>
      <c r="H3562" s="2">
        <f>IFERROR(__xludf.DUMMYFUNCTION("""COMPUTED_VALUE"""),602.0)</f>
        <v>602</v>
      </c>
      <c r="I3562" s="2" t="str">
        <f>IFERROR(__xludf.DUMMYFUNCTION("""COMPUTED_VALUE"""),"Panel")</f>
        <v>Panel</v>
      </c>
      <c r="J3562" s="2" t="str">
        <f>IFERROR(__xludf.DUMMYFUNCTION("""COMPUTED_VALUE"""),"All amenities")</f>
        <v>All amenities</v>
      </c>
      <c r="K3562" s="2">
        <f>IFERROR(__xludf.DUMMYFUNCTION("""COMPUTED_VALUE"""),68000.0)</f>
        <v>68000</v>
      </c>
      <c r="L3562" s="2">
        <f>IFERROR(__xludf.DUMMYFUNCTION("""COMPUTED_VALUE"""),56.950443)</f>
        <v>56.950443</v>
      </c>
      <c r="M3562" s="2">
        <f>IFERROR(__xludf.DUMMYFUNCTION("""COMPUTED_VALUE"""),24.2008902)</f>
        <v>24.2008902</v>
      </c>
    </row>
    <row r="3563">
      <c r="A3563" s="2" t="str">
        <f>IFERROR(__xludf.DUMMYFUNCTION("""COMPUTED_VALUE"""),"For rent")</f>
        <v>For rent</v>
      </c>
      <c r="B3563" s="2" t="str">
        <f>IFERROR(__xludf.DUMMYFUNCTION("""COMPUTED_VALUE"""),"centrs")</f>
        <v>centrs</v>
      </c>
      <c r="C3563" s="2" t="str">
        <f>IFERROR(__xludf.DUMMYFUNCTION("""COMPUTED_VALUE"""),"Brīvības iela 148")</f>
        <v>Brīvības iela 148</v>
      </c>
      <c r="D3563" s="2">
        <f>IFERROR(__xludf.DUMMYFUNCTION("""COMPUTED_VALUE"""),1.0)</f>
        <v>1</v>
      </c>
      <c r="E3563" s="2">
        <f>IFERROR(__xludf.DUMMYFUNCTION("""COMPUTED_VALUE"""),28.0)</f>
        <v>28</v>
      </c>
      <c r="F3563" s="2">
        <f>IFERROR(__xludf.DUMMYFUNCTION("""COMPUTED_VALUE"""),2.0)</f>
        <v>2</v>
      </c>
      <c r="G3563" s="2">
        <f>IFERROR(__xludf.DUMMYFUNCTION("""COMPUTED_VALUE"""),5.0)</f>
        <v>5</v>
      </c>
      <c r="H3563" s="2" t="str">
        <f>IFERROR(__xludf.DUMMYFUNCTION("""COMPUTED_VALUE"""),"P. kara")</f>
        <v>P. kara</v>
      </c>
      <c r="I3563" s="2" t="str">
        <f>IFERROR(__xludf.DUMMYFUNCTION("""COMPUTED_VALUE"""),"Masonry")</f>
        <v>Masonry</v>
      </c>
      <c r="J3563" s="2" t="str">
        <f>IFERROR(__xludf.DUMMYFUNCTION("""COMPUTED_VALUE"""),"All amenities")</f>
        <v>All amenities</v>
      </c>
      <c r="K3563" s="2">
        <f>IFERROR(__xludf.DUMMYFUNCTION("""COMPUTED_VALUE"""),30.0)</f>
        <v>30</v>
      </c>
      <c r="L3563" s="2">
        <f>IFERROR(__xludf.DUMMYFUNCTION("""COMPUTED_VALUE"""),56.964231)</f>
        <v>56.964231</v>
      </c>
      <c r="M3563" s="2">
        <f>IFERROR(__xludf.DUMMYFUNCTION("""COMPUTED_VALUE"""),24.140576370724)</f>
        <v>24.14057637</v>
      </c>
    </row>
    <row r="3564">
      <c r="A3564" s="2" t="str">
        <f>IFERROR(__xludf.DUMMYFUNCTION("""COMPUTED_VALUE"""),"For sale")</f>
        <v>For sale</v>
      </c>
      <c r="B3564" s="2" t="str">
        <f>IFERROR(__xludf.DUMMYFUNCTION("""COMPUTED_VALUE"""),"centrs")</f>
        <v>centrs</v>
      </c>
      <c r="C3564" s="2" t="str">
        <f>IFERROR(__xludf.DUMMYFUNCTION("""COMPUTED_VALUE"""),"Valdemāra 23, k2")</f>
        <v>Valdemāra 23, k2</v>
      </c>
      <c r="D3564" s="2">
        <f>IFERROR(__xludf.DUMMYFUNCTION("""COMPUTED_VALUE"""),3.0)</f>
        <v>3</v>
      </c>
      <c r="E3564" s="2">
        <f>IFERROR(__xludf.DUMMYFUNCTION("""COMPUTED_VALUE"""),95.0)</f>
        <v>95</v>
      </c>
      <c r="F3564" s="2">
        <f>IFERROR(__xludf.DUMMYFUNCTION("""COMPUTED_VALUE"""),1.0)</f>
        <v>1</v>
      </c>
      <c r="G3564" s="2">
        <f>IFERROR(__xludf.DUMMYFUNCTION("""COMPUTED_VALUE"""),6.0)</f>
        <v>6</v>
      </c>
      <c r="H3564" s="2" t="str">
        <f>IFERROR(__xludf.DUMMYFUNCTION("""COMPUTED_VALUE"""),"Renov.")</f>
        <v>Renov.</v>
      </c>
      <c r="I3564" s="2" t="str">
        <f>IFERROR(__xludf.DUMMYFUNCTION("""COMPUTED_VALUE"""),"Masonry")</f>
        <v>Masonry</v>
      </c>
      <c r="J3564" s="2" t="str">
        <f>IFERROR(__xludf.DUMMYFUNCTION("""COMPUTED_VALUE"""),"All amenities")</f>
        <v>All amenities</v>
      </c>
      <c r="K3564" s="2">
        <f>IFERROR(__xludf.DUMMYFUNCTION("""COMPUTED_VALUE"""),220000.0)</f>
        <v>220000</v>
      </c>
      <c r="L3564" s="2">
        <f>IFERROR(__xludf.DUMMYFUNCTION("""COMPUTED_VALUE"""),56.9744532)</f>
        <v>56.9744532</v>
      </c>
      <c r="M3564" s="2">
        <f>IFERROR(__xludf.DUMMYFUNCTION("""COMPUTED_VALUE"""),24.1354959)</f>
        <v>24.1354959</v>
      </c>
    </row>
    <row r="3565">
      <c r="A3565" s="2" t="str">
        <f>IFERROR(__xludf.DUMMYFUNCTION("""COMPUTED_VALUE"""),"For sale")</f>
        <v>For sale</v>
      </c>
      <c r="B3565" s="2" t="str">
        <f>IFERROR(__xludf.DUMMYFUNCTION("""COMPUTED_VALUE"""),"Teika")</f>
        <v>Teika</v>
      </c>
      <c r="C3565" s="2" t="str">
        <f>IFERROR(__xludf.DUMMYFUNCTION("""COMPUTED_VALUE"""),"Pudiķa 24")</f>
        <v>Pudiķa 24</v>
      </c>
      <c r="D3565" s="2">
        <f>IFERROR(__xludf.DUMMYFUNCTION("""COMPUTED_VALUE"""),4.0)</f>
        <v>4</v>
      </c>
      <c r="E3565" s="2">
        <f>IFERROR(__xludf.DUMMYFUNCTION("""COMPUTED_VALUE"""),138.0)</f>
        <v>138</v>
      </c>
      <c r="F3565" s="2">
        <f>IFERROR(__xludf.DUMMYFUNCTION("""COMPUTED_VALUE"""),1.0)</f>
        <v>1</v>
      </c>
      <c r="G3565" s="2">
        <f>IFERROR(__xludf.DUMMYFUNCTION("""COMPUTED_VALUE"""),2.0)</f>
        <v>2</v>
      </c>
      <c r="H3565" s="2" t="str">
        <f>IFERROR(__xludf.DUMMYFUNCTION("""COMPUTED_VALUE"""),"Priv. m.")</f>
        <v>Priv. m.</v>
      </c>
      <c r="I3565" s="2" t="str">
        <f>IFERROR(__xludf.DUMMYFUNCTION("""COMPUTED_VALUE"""),"Masonry")</f>
        <v>Masonry</v>
      </c>
      <c r="J3565" s="2" t="str">
        <f>IFERROR(__xludf.DUMMYFUNCTION("""COMPUTED_VALUE"""),"All amenities")</f>
        <v>All amenities</v>
      </c>
      <c r="K3565" s="2">
        <f>IFERROR(__xludf.DUMMYFUNCTION("""COMPUTED_VALUE"""),180000.0)</f>
        <v>180000</v>
      </c>
      <c r="L3565" s="2">
        <f>IFERROR(__xludf.DUMMYFUNCTION("""COMPUTED_VALUE"""),56.97638375)</f>
        <v>56.97638375</v>
      </c>
      <c r="M3565" s="2">
        <f>IFERROR(__xludf.DUMMYFUNCTION("""COMPUTED_VALUE"""),24.1794493475102)</f>
        <v>24.17944935</v>
      </c>
    </row>
    <row r="3566">
      <c r="A3566" s="2" t="str">
        <f>IFERROR(__xludf.DUMMYFUNCTION("""COMPUTED_VALUE"""),"For sale")</f>
        <v>For sale</v>
      </c>
      <c r="B3566" s="2" t="str">
        <f>IFERROR(__xludf.DUMMYFUNCTION("""COMPUTED_VALUE"""),"Zolitūde")</f>
        <v>Zolitūde</v>
      </c>
      <c r="C3566" s="2" t="str">
        <f>IFERROR(__xludf.DUMMYFUNCTION("""COMPUTED_VALUE"""),"Lejiņa 3")</f>
        <v>Lejiņa 3</v>
      </c>
      <c r="D3566" s="2">
        <f>IFERROR(__xludf.DUMMYFUNCTION("""COMPUTED_VALUE"""),2.0)</f>
        <v>2</v>
      </c>
      <c r="E3566" s="2">
        <f>IFERROR(__xludf.DUMMYFUNCTION("""COMPUTED_VALUE"""),58.0)</f>
        <v>58</v>
      </c>
      <c r="F3566" s="2">
        <f>IFERROR(__xludf.DUMMYFUNCTION("""COMPUTED_VALUE"""),5.0)</f>
        <v>5</v>
      </c>
      <c r="G3566" s="2">
        <f>IFERROR(__xludf.DUMMYFUNCTION("""COMPUTED_VALUE"""),9.0)</f>
        <v>9</v>
      </c>
      <c r="H3566" s="2">
        <f>IFERROR(__xludf.DUMMYFUNCTION("""COMPUTED_VALUE"""),119.0)</f>
        <v>119</v>
      </c>
      <c r="I3566" s="2" t="str">
        <f>IFERROR(__xludf.DUMMYFUNCTION("""COMPUTED_VALUE"""),"Panel")</f>
        <v>Panel</v>
      </c>
      <c r="J3566" s="2" t="str">
        <f>IFERROR(__xludf.DUMMYFUNCTION("""COMPUTED_VALUE"""),"All amenities")</f>
        <v>All amenities</v>
      </c>
      <c r="K3566" s="2">
        <f>IFERROR(__xludf.DUMMYFUNCTION("""COMPUTED_VALUE"""),65000.0)</f>
        <v>65000</v>
      </c>
      <c r="L3566" s="2">
        <f>IFERROR(__xludf.DUMMYFUNCTION("""COMPUTED_VALUE"""),56.94716445)</f>
        <v>56.94716445</v>
      </c>
      <c r="M3566" s="2">
        <f>IFERROR(__xludf.DUMMYFUNCTION("""COMPUTED_VALUE"""),24.0144371864952)</f>
        <v>24.01443719</v>
      </c>
    </row>
    <row r="3567">
      <c r="A3567" s="2" t="str">
        <f>IFERROR(__xludf.DUMMYFUNCTION("""COMPUTED_VALUE"""),"For sale")</f>
        <v>For sale</v>
      </c>
      <c r="B3567" s="2" t="str">
        <f>IFERROR(__xludf.DUMMYFUNCTION("""COMPUTED_VALUE"""),"centrs")</f>
        <v>centrs</v>
      </c>
      <c r="C3567" s="2" t="str">
        <f>IFERROR(__xludf.DUMMYFUNCTION("""COMPUTED_VALUE"""),"Alūksnes 2")</f>
        <v>Alūksnes 2</v>
      </c>
      <c r="D3567" s="2">
        <f>IFERROR(__xludf.DUMMYFUNCTION("""COMPUTED_VALUE"""),2.0)</f>
        <v>2</v>
      </c>
      <c r="E3567" s="2">
        <f>IFERROR(__xludf.DUMMYFUNCTION("""COMPUTED_VALUE"""),49.0)</f>
        <v>49</v>
      </c>
      <c r="F3567" s="2">
        <f>IFERROR(__xludf.DUMMYFUNCTION("""COMPUTED_VALUE"""),3.0)</f>
        <v>3</v>
      </c>
      <c r="G3567" s="2">
        <f>IFERROR(__xludf.DUMMYFUNCTION("""COMPUTED_VALUE"""),5.0)</f>
        <v>5</v>
      </c>
      <c r="H3567" s="2" t="str">
        <f>IFERROR(__xludf.DUMMYFUNCTION("""COMPUTED_VALUE"""),"Staļina")</f>
        <v>Staļina</v>
      </c>
      <c r="I3567" s="2" t="str">
        <f>IFERROR(__xludf.DUMMYFUNCTION("""COMPUTED_VALUE"""),"Masonry")</f>
        <v>Masonry</v>
      </c>
      <c r="J3567" s="2" t="str">
        <f>IFERROR(__xludf.DUMMYFUNCTION("""COMPUTED_VALUE"""),"All amenities")</f>
        <v>All amenities</v>
      </c>
      <c r="K3567" s="2">
        <f>IFERROR(__xludf.DUMMYFUNCTION("""COMPUTED_VALUE"""),68000.0)</f>
        <v>68000</v>
      </c>
      <c r="L3567" s="2">
        <f>IFERROR(__xludf.DUMMYFUNCTION("""COMPUTED_VALUE"""),56.96925335)</f>
        <v>56.96925335</v>
      </c>
      <c r="M3567" s="2">
        <f>IFERROR(__xludf.DUMMYFUNCTION("""COMPUTED_VALUE"""),24.0988693972666)</f>
        <v>24.0988694</v>
      </c>
    </row>
    <row r="3568">
      <c r="A3568" s="2" t="str">
        <f>IFERROR(__xludf.DUMMYFUNCTION("""COMPUTED_VALUE"""),"For sale")</f>
        <v>For sale</v>
      </c>
      <c r="B3568" s="2" t="str">
        <f>IFERROR(__xludf.DUMMYFUNCTION("""COMPUTED_VALUE"""),"Ziepniekkalns")</f>
        <v>Ziepniekkalns</v>
      </c>
      <c r="C3568" s="2" t="str">
        <f>IFERROR(__xludf.DUMMYFUNCTION("""COMPUTED_VALUE"""),"Komētas 34")</f>
        <v>Komētas 34</v>
      </c>
      <c r="D3568" s="2">
        <f>IFERROR(__xludf.DUMMYFUNCTION("""COMPUTED_VALUE"""),3.0)</f>
        <v>3</v>
      </c>
      <c r="E3568" s="2">
        <f>IFERROR(__xludf.DUMMYFUNCTION("""COMPUTED_VALUE"""),76.6)</f>
        <v>76.6</v>
      </c>
      <c r="F3568" s="2">
        <f>IFERROR(__xludf.DUMMYFUNCTION("""COMPUTED_VALUE"""),1.0)</f>
        <v>1</v>
      </c>
      <c r="G3568" s="2">
        <f>IFERROR(__xludf.DUMMYFUNCTION("""COMPUTED_VALUE"""),4.0)</f>
        <v>4</v>
      </c>
      <c r="H3568" s="2" t="str">
        <f>IFERROR(__xludf.DUMMYFUNCTION("""COMPUTED_VALUE"""),"Jaun.")</f>
        <v>Jaun.</v>
      </c>
      <c r="I3568" s="2" t="str">
        <f>IFERROR(__xludf.DUMMYFUNCTION("""COMPUTED_VALUE"""),"Panel-Brick")</f>
        <v>Panel-Brick</v>
      </c>
      <c r="J3568" s="2" t="str">
        <f>IFERROR(__xludf.DUMMYFUNCTION("""COMPUTED_VALUE"""),"All amenities")</f>
        <v>All amenities</v>
      </c>
      <c r="K3568" s="2">
        <f>IFERROR(__xludf.DUMMYFUNCTION("""COMPUTED_VALUE"""),119000.0)</f>
        <v>119000</v>
      </c>
      <c r="L3568" s="2">
        <f>IFERROR(__xludf.DUMMYFUNCTION("""COMPUTED_VALUE"""),56.914968)</f>
        <v>56.914968</v>
      </c>
      <c r="M3568" s="2">
        <f>IFERROR(__xludf.DUMMYFUNCTION("""COMPUTED_VALUE"""),24.12289)</f>
        <v>24.12289</v>
      </c>
    </row>
    <row r="3569">
      <c r="A3569" s="2" t="str">
        <f>IFERROR(__xludf.DUMMYFUNCTION("""COMPUTED_VALUE"""),"For rent")</f>
        <v>For rent</v>
      </c>
      <c r="B3569" s="2" t="str">
        <f>IFERROR(__xludf.DUMMYFUNCTION("""COMPUTED_VALUE"""),"Mangaļi")</f>
        <v>Mangaļi</v>
      </c>
      <c r="C3569" s="2" t="str">
        <f>IFERROR(__xludf.DUMMYFUNCTION("""COMPUTED_VALUE"""),"Viestura pr. 24")</f>
        <v>Viestura pr. 24</v>
      </c>
      <c r="D3569" s="2">
        <f>IFERROR(__xludf.DUMMYFUNCTION("""COMPUTED_VALUE"""),2.0)</f>
        <v>2</v>
      </c>
      <c r="E3569" s="2">
        <f>IFERROR(__xludf.DUMMYFUNCTION("""COMPUTED_VALUE"""),46.0)</f>
        <v>46</v>
      </c>
      <c r="F3569" s="2">
        <f>IFERROR(__xludf.DUMMYFUNCTION("""COMPUTED_VALUE"""),1.0)</f>
        <v>1</v>
      </c>
      <c r="G3569" s="2">
        <f>IFERROR(__xludf.DUMMYFUNCTION("""COMPUTED_VALUE"""),5.0)</f>
        <v>5</v>
      </c>
      <c r="H3569" s="2" t="str">
        <f>IFERROR(__xludf.DUMMYFUNCTION("""COMPUTED_VALUE"""),"LT proj.")</f>
        <v>LT proj.</v>
      </c>
      <c r="I3569" s="2" t="str">
        <f>IFERROR(__xludf.DUMMYFUNCTION("""COMPUTED_VALUE"""),"Panel")</f>
        <v>Panel</v>
      </c>
      <c r="J3569" s="2" t="str">
        <f>IFERROR(__xludf.DUMMYFUNCTION("""COMPUTED_VALUE"""),"All amenities")</f>
        <v>All amenities</v>
      </c>
      <c r="K3569" s="2">
        <f>IFERROR(__xludf.DUMMYFUNCTION("""COMPUTED_VALUE"""),250.0)</f>
        <v>250</v>
      </c>
      <c r="L3569" s="2" t="str">
        <f>IFERROR(__xludf.DUMMYFUNCTION("""COMPUTED_VALUE"""),"NaN")</f>
        <v>NaN</v>
      </c>
      <c r="M3569" s="2" t="str">
        <f>IFERROR(__xludf.DUMMYFUNCTION("""COMPUTED_VALUE"""),"NaN")</f>
        <v>NaN</v>
      </c>
    </row>
    <row r="3570">
      <c r="A3570" s="2" t="str">
        <f>IFERROR(__xludf.DUMMYFUNCTION("""COMPUTED_VALUE"""),"For rent")</f>
        <v>For rent</v>
      </c>
      <c r="B3570" s="2" t="str">
        <f>IFERROR(__xludf.DUMMYFUNCTION("""COMPUTED_VALUE"""),"Āgenskalns")</f>
        <v>Āgenskalns</v>
      </c>
      <c r="C3570" s="2" t="str">
        <f>IFERROR(__xludf.DUMMYFUNCTION("""COMPUTED_VALUE"""),"Melnsila 18")</f>
        <v>Melnsila 18</v>
      </c>
      <c r="D3570" s="2">
        <f>IFERROR(__xludf.DUMMYFUNCTION("""COMPUTED_VALUE"""),1.0)</f>
        <v>1</v>
      </c>
      <c r="E3570" s="2">
        <f>IFERROR(__xludf.DUMMYFUNCTION("""COMPUTED_VALUE"""),31.0)</f>
        <v>31</v>
      </c>
      <c r="F3570" s="2">
        <f>IFERROR(__xludf.DUMMYFUNCTION("""COMPUTED_VALUE"""),4.0)</f>
        <v>4</v>
      </c>
      <c r="G3570" s="2">
        <f>IFERROR(__xludf.DUMMYFUNCTION("""COMPUTED_VALUE"""),5.0)</f>
        <v>5</v>
      </c>
      <c r="H3570" s="2" t="str">
        <f>IFERROR(__xludf.DUMMYFUNCTION("""COMPUTED_VALUE"""),"Specpr.")</f>
        <v>Specpr.</v>
      </c>
      <c r="I3570" s="2" t="str">
        <f>IFERROR(__xludf.DUMMYFUNCTION("""COMPUTED_VALUE"""),"Panel")</f>
        <v>Panel</v>
      </c>
      <c r="J3570" s="2" t="str">
        <f>IFERROR(__xludf.DUMMYFUNCTION("""COMPUTED_VALUE"""),"All amenities")</f>
        <v>All amenities</v>
      </c>
      <c r="K3570" s="2">
        <f>IFERROR(__xludf.DUMMYFUNCTION("""COMPUTED_VALUE"""),260.0)</f>
        <v>260</v>
      </c>
      <c r="L3570" s="2">
        <f>IFERROR(__xludf.DUMMYFUNCTION("""COMPUTED_VALUE"""),56.94540965)</f>
        <v>56.94540965</v>
      </c>
      <c r="M3570" s="2">
        <f>IFERROR(__xludf.DUMMYFUNCTION("""COMPUTED_VALUE"""),24.0664961866815)</f>
        <v>24.06649619</v>
      </c>
    </row>
    <row r="3571">
      <c r="A3571" s="2" t="str">
        <f>IFERROR(__xludf.DUMMYFUNCTION("""COMPUTED_VALUE"""),"For rent")</f>
        <v>For rent</v>
      </c>
      <c r="B3571" s="2" t="str">
        <f>IFERROR(__xludf.DUMMYFUNCTION("""COMPUTED_VALUE"""),"centrs")</f>
        <v>centrs</v>
      </c>
      <c r="C3571" s="2" t="str">
        <f>IFERROR(__xludf.DUMMYFUNCTION("""COMPUTED_VALUE"""),"Rūjienas 6")</f>
        <v>Rūjienas 6</v>
      </c>
      <c r="D3571" s="2">
        <f>IFERROR(__xludf.DUMMYFUNCTION("""COMPUTED_VALUE"""),2.0)</f>
        <v>2</v>
      </c>
      <c r="E3571" s="2">
        <f>IFERROR(__xludf.DUMMYFUNCTION("""COMPUTED_VALUE"""),56.0)</f>
        <v>56</v>
      </c>
      <c r="F3571" s="2">
        <f>IFERROR(__xludf.DUMMYFUNCTION("""COMPUTED_VALUE"""),1.0)</f>
        <v>1</v>
      </c>
      <c r="G3571" s="2">
        <f>IFERROR(__xludf.DUMMYFUNCTION("""COMPUTED_VALUE"""),2.0)</f>
        <v>2</v>
      </c>
      <c r="H3571" s="2" t="str">
        <f>IFERROR(__xludf.DUMMYFUNCTION("""COMPUTED_VALUE"""),"P. kara")</f>
        <v>P. kara</v>
      </c>
      <c r="I3571" s="2" t="str">
        <f>IFERROR(__xludf.DUMMYFUNCTION("""COMPUTED_VALUE"""),"Wood")</f>
        <v>Wood</v>
      </c>
      <c r="J3571" s="2" t="str">
        <f>IFERROR(__xludf.DUMMYFUNCTION("""COMPUTED_VALUE"""),"Partial amenities")</f>
        <v>Partial amenities</v>
      </c>
      <c r="K3571" s="2">
        <f>IFERROR(__xludf.DUMMYFUNCTION("""COMPUTED_VALUE"""),240.0)</f>
        <v>240</v>
      </c>
      <c r="L3571" s="2">
        <f>IFERROR(__xludf.DUMMYFUNCTION("""COMPUTED_VALUE"""),56.9525161)</f>
        <v>56.9525161</v>
      </c>
      <c r="M3571" s="2">
        <f>IFERROR(__xludf.DUMMYFUNCTION("""COMPUTED_VALUE"""),24.1526998)</f>
        <v>24.1526998</v>
      </c>
    </row>
    <row r="3572">
      <c r="A3572" s="2" t="str">
        <f>IFERROR(__xludf.DUMMYFUNCTION("""COMPUTED_VALUE"""),"For sale")</f>
        <v>For sale</v>
      </c>
      <c r="B3572" s="2" t="str">
        <f>IFERROR(__xludf.DUMMYFUNCTION("""COMPUTED_VALUE"""),"Vecrīga")</f>
        <v>Vecrīga</v>
      </c>
      <c r="C3572" s="2" t="str">
        <f>IFERROR(__xludf.DUMMYFUNCTION("""COMPUTED_VALUE"""),"Šķūņu 6")</f>
        <v>Šķūņu 6</v>
      </c>
      <c r="D3572" s="2">
        <f>IFERROR(__xludf.DUMMYFUNCTION("""COMPUTED_VALUE"""),1.0)</f>
        <v>1</v>
      </c>
      <c r="E3572" s="2">
        <f>IFERROR(__xludf.DUMMYFUNCTION("""COMPUTED_VALUE"""),15.0)</f>
        <v>15</v>
      </c>
      <c r="F3572" s="2">
        <f>IFERROR(__xludf.DUMMYFUNCTION("""COMPUTED_VALUE"""),3.0)</f>
        <v>3</v>
      </c>
      <c r="G3572" s="2">
        <f>IFERROR(__xludf.DUMMYFUNCTION("""COMPUTED_VALUE"""),4.0)</f>
        <v>4</v>
      </c>
      <c r="H3572" s="2" t="str">
        <f>IFERROR(__xludf.DUMMYFUNCTION("""COMPUTED_VALUE"""),"P. kara")</f>
        <v>P. kara</v>
      </c>
      <c r="I3572" s="2" t="str">
        <f>IFERROR(__xludf.DUMMYFUNCTION("""COMPUTED_VALUE"""),"Masonry")</f>
        <v>Masonry</v>
      </c>
      <c r="J3572" s="2" t="str">
        <f>IFERROR(__xludf.DUMMYFUNCTION("""COMPUTED_VALUE"""),"All amenities")</f>
        <v>All amenities</v>
      </c>
      <c r="K3572" s="2">
        <f>IFERROR(__xludf.DUMMYFUNCTION("""COMPUTED_VALUE"""),49990.0)</f>
        <v>49990</v>
      </c>
      <c r="L3572" s="2">
        <f>IFERROR(__xludf.DUMMYFUNCTION("""COMPUTED_VALUE"""),56.9487783)</f>
        <v>56.9487783</v>
      </c>
      <c r="M3572" s="2">
        <f>IFERROR(__xludf.DUMMYFUNCTION("""COMPUTED_VALUE"""),24.1075908)</f>
        <v>24.1075908</v>
      </c>
    </row>
    <row r="3573">
      <c r="A3573" s="2" t="str">
        <f>IFERROR(__xludf.DUMMYFUNCTION("""COMPUTED_VALUE"""),"For sale")</f>
        <v>For sale</v>
      </c>
      <c r="B3573" s="2" t="str">
        <f>IFERROR(__xludf.DUMMYFUNCTION("""COMPUTED_VALUE"""),"Vecrīga")</f>
        <v>Vecrīga</v>
      </c>
      <c r="C3573" s="2" t="str">
        <f>IFERROR(__xludf.DUMMYFUNCTION("""COMPUTED_VALUE"""),"Šķūņu 6")</f>
        <v>Šķūņu 6</v>
      </c>
      <c r="D3573" s="2">
        <f>IFERROR(__xludf.DUMMYFUNCTION("""COMPUTED_VALUE"""),1.0)</f>
        <v>1</v>
      </c>
      <c r="E3573" s="2">
        <f>IFERROR(__xludf.DUMMYFUNCTION("""COMPUTED_VALUE"""),32.0)</f>
        <v>32</v>
      </c>
      <c r="F3573" s="2">
        <f>IFERROR(__xludf.DUMMYFUNCTION("""COMPUTED_VALUE"""),3.0)</f>
        <v>3</v>
      </c>
      <c r="G3573" s="2">
        <f>IFERROR(__xludf.DUMMYFUNCTION("""COMPUTED_VALUE"""),4.0)</f>
        <v>4</v>
      </c>
      <c r="H3573" s="2" t="str">
        <f>IFERROR(__xludf.DUMMYFUNCTION("""COMPUTED_VALUE"""),"P. kara")</f>
        <v>P. kara</v>
      </c>
      <c r="I3573" s="2" t="str">
        <f>IFERROR(__xludf.DUMMYFUNCTION("""COMPUTED_VALUE"""),"Masonry")</f>
        <v>Masonry</v>
      </c>
      <c r="J3573" s="2" t="str">
        <f>IFERROR(__xludf.DUMMYFUNCTION("""COMPUTED_VALUE"""),"All amenities")</f>
        <v>All amenities</v>
      </c>
      <c r="K3573" s="2">
        <f>IFERROR(__xludf.DUMMYFUNCTION("""COMPUTED_VALUE"""),79990.0)</f>
        <v>79990</v>
      </c>
      <c r="L3573" s="2">
        <f>IFERROR(__xludf.DUMMYFUNCTION("""COMPUTED_VALUE"""),56.9487783)</f>
        <v>56.9487783</v>
      </c>
      <c r="M3573" s="2">
        <f>IFERROR(__xludf.DUMMYFUNCTION("""COMPUTED_VALUE"""),24.1075908)</f>
        <v>24.1075908</v>
      </c>
    </row>
    <row r="3574">
      <c r="A3574" s="2" t="str">
        <f>IFERROR(__xludf.DUMMYFUNCTION("""COMPUTED_VALUE"""),"For sale")</f>
        <v>For sale</v>
      </c>
      <c r="B3574" s="2" t="str">
        <f>IFERROR(__xludf.DUMMYFUNCTION("""COMPUTED_VALUE"""),"Vecrīga")</f>
        <v>Vecrīga</v>
      </c>
      <c r="C3574" s="2" t="str">
        <f>IFERROR(__xludf.DUMMYFUNCTION("""COMPUTED_VALUE"""),"Šķūņu 6")</f>
        <v>Šķūņu 6</v>
      </c>
      <c r="D3574" s="2">
        <f>IFERROR(__xludf.DUMMYFUNCTION("""COMPUTED_VALUE"""),1.0)</f>
        <v>1</v>
      </c>
      <c r="E3574" s="2">
        <f>IFERROR(__xludf.DUMMYFUNCTION("""COMPUTED_VALUE"""),15.0)</f>
        <v>15</v>
      </c>
      <c r="F3574" s="2">
        <f>IFERROR(__xludf.DUMMYFUNCTION("""COMPUTED_VALUE"""),2.0)</f>
        <v>2</v>
      </c>
      <c r="G3574" s="2">
        <f>IFERROR(__xludf.DUMMYFUNCTION("""COMPUTED_VALUE"""),4.0)</f>
        <v>4</v>
      </c>
      <c r="H3574" s="2" t="str">
        <f>IFERROR(__xludf.DUMMYFUNCTION("""COMPUTED_VALUE"""),"P. kara")</f>
        <v>P. kara</v>
      </c>
      <c r="I3574" s="2" t="str">
        <f>IFERROR(__xludf.DUMMYFUNCTION("""COMPUTED_VALUE"""),"Masonry")</f>
        <v>Masonry</v>
      </c>
      <c r="J3574" s="2" t="str">
        <f>IFERROR(__xludf.DUMMYFUNCTION("""COMPUTED_VALUE"""),"All amenities")</f>
        <v>All amenities</v>
      </c>
      <c r="K3574" s="2">
        <f>IFERROR(__xludf.DUMMYFUNCTION("""COMPUTED_VALUE"""),49990.0)</f>
        <v>49990</v>
      </c>
      <c r="L3574" s="2">
        <f>IFERROR(__xludf.DUMMYFUNCTION("""COMPUTED_VALUE"""),56.9487783)</f>
        <v>56.9487783</v>
      </c>
      <c r="M3574" s="2">
        <f>IFERROR(__xludf.DUMMYFUNCTION("""COMPUTED_VALUE"""),24.1075908)</f>
        <v>24.1075908</v>
      </c>
    </row>
    <row r="3575">
      <c r="A3575" s="2" t="str">
        <f>IFERROR(__xludf.DUMMYFUNCTION("""COMPUTED_VALUE"""),"For sale")</f>
        <v>For sale</v>
      </c>
      <c r="B3575" s="2" t="str">
        <f>IFERROR(__xludf.DUMMYFUNCTION("""COMPUTED_VALUE"""),"Āgenskalns")</f>
        <v>Āgenskalns</v>
      </c>
      <c r="C3575" s="2" t="str">
        <f>IFERROR(__xludf.DUMMYFUNCTION("""COMPUTED_VALUE"""),"Augļu 11")</f>
        <v>Augļu 11</v>
      </c>
      <c r="D3575" s="2">
        <f>IFERROR(__xludf.DUMMYFUNCTION("""COMPUTED_VALUE"""),3.0)</f>
        <v>3</v>
      </c>
      <c r="E3575" s="2">
        <f>IFERROR(__xludf.DUMMYFUNCTION("""COMPUTED_VALUE"""),67.0)</f>
        <v>67</v>
      </c>
      <c r="F3575" s="2">
        <f>IFERROR(__xludf.DUMMYFUNCTION("""COMPUTED_VALUE"""),1.0)</f>
        <v>1</v>
      </c>
      <c r="G3575" s="2">
        <f>IFERROR(__xludf.DUMMYFUNCTION("""COMPUTED_VALUE"""),5.0)</f>
        <v>5</v>
      </c>
      <c r="H3575" s="2">
        <f>IFERROR(__xludf.DUMMYFUNCTION("""COMPUTED_VALUE"""),103.0)</f>
        <v>103</v>
      </c>
      <c r="I3575" s="2" t="str">
        <f>IFERROR(__xludf.DUMMYFUNCTION("""COMPUTED_VALUE"""),"Brick-Panel")</f>
        <v>Brick-Panel</v>
      </c>
      <c r="J3575" s="2" t="str">
        <f>IFERROR(__xludf.DUMMYFUNCTION("""COMPUTED_VALUE"""),"All amenities")</f>
        <v>All amenities</v>
      </c>
      <c r="K3575" s="2">
        <f>IFERROR(__xludf.DUMMYFUNCTION("""COMPUTED_VALUE"""),79000.0)</f>
        <v>79000</v>
      </c>
      <c r="L3575" s="2">
        <f>IFERROR(__xludf.DUMMYFUNCTION("""COMPUTED_VALUE"""),56.93821515)</f>
        <v>56.93821515</v>
      </c>
      <c r="M3575" s="2">
        <f>IFERROR(__xludf.DUMMYFUNCTION("""COMPUTED_VALUE"""),24.0795537546748)</f>
        <v>24.07955375</v>
      </c>
    </row>
    <row r="3576">
      <c r="A3576" s="2" t="str">
        <f>IFERROR(__xludf.DUMMYFUNCTION("""COMPUTED_VALUE"""),"For rent")</f>
        <v>For rent</v>
      </c>
      <c r="B3576" s="2" t="str">
        <f>IFERROR(__xludf.DUMMYFUNCTION("""COMPUTED_VALUE"""),"centrs")</f>
        <v>centrs</v>
      </c>
      <c r="C3576" s="2" t="str">
        <f>IFERROR(__xludf.DUMMYFUNCTION("""COMPUTED_VALUE"""),"Bruņinieku 12")</f>
        <v>Bruņinieku 12</v>
      </c>
      <c r="D3576" s="2">
        <f>IFERROR(__xludf.DUMMYFUNCTION("""COMPUTED_VALUE"""),4.0)</f>
        <v>4</v>
      </c>
      <c r="E3576" s="2">
        <f>IFERROR(__xludf.DUMMYFUNCTION("""COMPUTED_VALUE"""),127.0)</f>
        <v>127</v>
      </c>
      <c r="F3576" s="2">
        <f>IFERROR(__xludf.DUMMYFUNCTION("""COMPUTED_VALUE"""),4.0)</f>
        <v>4</v>
      </c>
      <c r="G3576" s="2">
        <f>IFERROR(__xludf.DUMMYFUNCTION("""COMPUTED_VALUE"""),5.0)</f>
        <v>5</v>
      </c>
      <c r="H3576" s="2" t="str">
        <f>IFERROR(__xludf.DUMMYFUNCTION("""COMPUTED_VALUE"""),"P. kara")</f>
        <v>P. kara</v>
      </c>
      <c r="I3576" s="2" t="str">
        <f>IFERROR(__xludf.DUMMYFUNCTION("""COMPUTED_VALUE"""),"Masonry")</f>
        <v>Masonry</v>
      </c>
      <c r="J3576" s="2" t="str">
        <f>IFERROR(__xludf.DUMMYFUNCTION("""COMPUTED_VALUE"""),"All amenities")</f>
        <v>All amenities</v>
      </c>
      <c r="K3576" s="2">
        <f>IFERROR(__xludf.DUMMYFUNCTION("""COMPUTED_VALUE"""),870.0)</f>
        <v>870</v>
      </c>
      <c r="L3576" s="2">
        <f>IFERROR(__xludf.DUMMYFUNCTION("""COMPUTED_VALUE"""),56.9583184)</f>
        <v>56.9583184</v>
      </c>
      <c r="M3576" s="2">
        <f>IFERROR(__xludf.DUMMYFUNCTION("""COMPUTED_VALUE"""),24.1272766)</f>
        <v>24.1272766</v>
      </c>
    </row>
    <row r="3577">
      <c r="A3577" s="2" t="str">
        <f>IFERROR(__xludf.DUMMYFUNCTION("""COMPUTED_VALUE"""),"For sale")</f>
        <v>For sale</v>
      </c>
      <c r="B3577" s="2" t="str">
        <f>IFERROR(__xludf.DUMMYFUNCTION("""COMPUTED_VALUE"""),"Ziepniekkalns")</f>
        <v>Ziepniekkalns</v>
      </c>
      <c r="C3577" s="2" t="str">
        <f>IFERROR(__xludf.DUMMYFUNCTION("""COMPUTED_VALUE"""),"Valdeķu 54")</f>
        <v>Valdeķu 54</v>
      </c>
      <c r="D3577" s="2">
        <f>IFERROR(__xludf.DUMMYFUNCTION("""COMPUTED_VALUE"""),3.0)</f>
        <v>3</v>
      </c>
      <c r="E3577" s="2">
        <f>IFERROR(__xludf.DUMMYFUNCTION("""COMPUTED_VALUE"""),63.0)</f>
        <v>63</v>
      </c>
      <c r="F3577" s="2">
        <f>IFERROR(__xludf.DUMMYFUNCTION("""COMPUTED_VALUE"""),9.0)</f>
        <v>9</v>
      </c>
      <c r="G3577" s="2">
        <f>IFERROR(__xludf.DUMMYFUNCTION("""COMPUTED_VALUE"""),4.0)</f>
        <v>4</v>
      </c>
      <c r="H3577" s="2">
        <f>IFERROR(__xludf.DUMMYFUNCTION("""COMPUTED_VALUE"""),602.0)</f>
        <v>602</v>
      </c>
      <c r="I3577" s="2" t="str">
        <f>IFERROR(__xludf.DUMMYFUNCTION("""COMPUTED_VALUE"""),"Panel")</f>
        <v>Panel</v>
      </c>
      <c r="J3577" s="2" t="str">
        <f>IFERROR(__xludf.DUMMYFUNCTION("""COMPUTED_VALUE"""),"All amenities")</f>
        <v>All amenities</v>
      </c>
      <c r="K3577" s="2">
        <f>IFERROR(__xludf.DUMMYFUNCTION("""COMPUTED_VALUE"""),79000.0)</f>
        <v>79000</v>
      </c>
      <c r="L3577" s="2">
        <f>IFERROR(__xludf.DUMMYFUNCTION("""COMPUTED_VALUE"""),56.9094064)</f>
        <v>56.9094064</v>
      </c>
      <c r="M3577" s="2">
        <f>IFERROR(__xludf.DUMMYFUNCTION("""COMPUTED_VALUE"""),24.0954157)</f>
        <v>24.0954157</v>
      </c>
    </row>
    <row r="3578">
      <c r="A3578" s="2" t="str">
        <f>IFERROR(__xludf.DUMMYFUNCTION("""COMPUTED_VALUE"""),"For rent")</f>
        <v>For rent</v>
      </c>
      <c r="B3578" s="2" t="str">
        <f>IFERROR(__xludf.DUMMYFUNCTION("""COMPUTED_VALUE"""),"Mežaparks")</f>
        <v>Mežaparks</v>
      </c>
      <c r="C3578" s="2" t="str">
        <f>IFERROR(__xludf.DUMMYFUNCTION("""COMPUTED_VALUE"""),"Viestura pr. 63")</f>
        <v>Viestura pr. 63</v>
      </c>
      <c r="D3578" s="2">
        <f>IFERROR(__xludf.DUMMYFUNCTION("""COMPUTED_VALUE"""),2.0)</f>
        <v>2</v>
      </c>
      <c r="E3578" s="2">
        <f>IFERROR(__xludf.DUMMYFUNCTION("""COMPUTED_VALUE"""),47.0)</f>
        <v>47</v>
      </c>
      <c r="F3578" s="2">
        <f>IFERROR(__xludf.DUMMYFUNCTION("""COMPUTED_VALUE"""),9.0)</f>
        <v>9</v>
      </c>
      <c r="G3578" s="2">
        <f>IFERROR(__xludf.DUMMYFUNCTION("""COMPUTED_VALUE"""),9.0)</f>
        <v>9</v>
      </c>
      <c r="H3578" s="2" t="str">
        <f>IFERROR(__xludf.DUMMYFUNCTION("""COMPUTED_VALUE"""),"Specpr.")</f>
        <v>Specpr.</v>
      </c>
      <c r="I3578" s="2" t="str">
        <f>IFERROR(__xludf.DUMMYFUNCTION("""COMPUTED_VALUE"""),"Brick")</f>
        <v>Brick</v>
      </c>
      <c r="J3578" s="2" t="str">
        <f>IFERROR(__xludf.DUMMYFUNCTION("""COMPUTED_VALUE"""),"All amenities")</f>
        <v>All amenities</v>
      </c>
      <c r="K3578" s="2">
        <f>IFERROR(__xludf.DUMMYFUNCTION("""COMPUTED_VALUE"""),450.0)</f>
        <v>450</v>
      </c>
      <c r="L3578" s="2">
        <f>IFERROR(__xludf.DUMMYFUNCTION("""COMPUTED_VALUE"""),56.9984366)</f>
        <v>56.9984366</v>
      </c>
      <c r="M3578" s="2">
        <f>IFERROR(__xludf.DUMMYFUNCTION("""COMPUTED_VALUE"""),24.1328951)</f>
        <v>24.1328951</v>
      </c>
    </row>
    <row r="3579">
      <c r="A3579" s="2" t="str">
        <f>IFERROR(__xludf.DUMMYFUNCTION("""COMPUTED_VALUE"""),"For rent")</f>
        <v>For rent</v>
      </c>
      <c r="B3579" s="2" t="str">
        <f>IFERROR(__xludf.DUMMYFUNCTION("""COMPUTED_VALUE"""),"Āgenskalns")</f>
        <v>Āgenskalns</v>
      </c>
      <c r="C3579" s="2" t="str">
        <f>IFERROR(__xludf.DUMMYFUNCTION("""COMPUTED_VALUE"""),"St. Rusas 22")</f>
        <v>St. Rusas 22</v>
      </c>
      <c r="D3579" s="2">
        <f>IFERROR(__xludf.DUMMYFUNCTION("""COMPUTED_VALUE"""),3.0)</f>
        <v>3</v>
      </c>
      <c r="E3579" s="2">
        <f>IFERROR(__xludf.DUMMYFUNCTION("""COMPUTED_VALUE"""),85.0)</f>
        <v>85</v>
      </c>
      <c r="F3579" s="2">
        <f>IFERROR(__xludf.DUMMYFUNCTION("""COMPUTED_VALUE"""),3.0)</f>
        <v>3</v>
      </c>
      <c r="G3579" s="2">
        <f>IFERROR(__xludf.DUMMYFUNCTION("""COMPUTED_VALUE"""),3.0)</f>
        <v>3</v>
      </c>
      <c r="H3579" s="2" t="str">
        <f>IFERROR(__xludf.DUMMYFUNCTION("""COMPUTED_VALUE"""),"Jaun.")</f>
        <v>Jaun.</v>
      </c>
      <c r="I3579" s="2" t="str">
        <f>IFERROR(__xludf.DUMMYFUNCTION("""COMPUTED_VALUE"""),"Panel-Brick")</f>
        <v>Panel-Brick</v>
      </c>
      <c r="J3579" s="2" t="str">
        <f>IFERROR(__xludf.DUMMYFUNCTION("""COMPUTED_VALUE"""),"All amenities")</f>
        <v>All amenities</v>
      </c>
      <c r="K3579" s="2">
        <f>IFERROR(__xludf.DUMMYFUNCTION("""COMPUTED_VALUE"""),700.0)</f>
        <v>700</v>
      </c>
      <c r="L3579" s="2">
        <f>IFERROR(__xludf.DUMMYFUNCTION("""COMPUTED_VALUE"""),56.9433252)</f>
        <v>56.9433252</v>
      </c>
      <c r="M3579" s="2">
        <f>IFERROR(__xludf.DUMMYFUNCTION("""COMPUTED_VALUE"""),24.0914248862831)</f>
        <v>24.09142489</v>
      </c>
    </row>
    <row r="3580">
      <c r="A3580" s="2" t="str">
        <f>IFERROR(__xludf.DUMMYFUNCTION("""COMPUTED_VALUE"""),"For rent")</f>
        <v>For rent</v>
      </c>
      <c r="B3580" s="2" t="str">
        <f>IFERROR(__xludf.DUMMYFUNCTION("""COMPUTED_VALUE"""),"Bolderāja")</f>
        <v>Bolderāja</v>
      </c>
      <c r="C3580" s="2" t="str">
        <f>IFERROR(__xludf.DUMMYFUNCTION("""COMPUTED_VALUE"""),"Platā 10")</f>
        <v>Platā 10</v>
      </c>
      <c r="D3580" s="2">
        <f>IFERROR(__xludf.DUMMYFUNCTION("""COMPUTED_VALUE"""),1.0)</f>
        <v>1</v>
      </c>
      <c r="E3580" s="2">
        <f>IFERROR(__xludf.DUMMYFUNCTION("""COMPUTED_VALUE"""),43.4)</f>
        <v>43.4</v>
      </c>
      <c r="F3580" s="2">
        <f>IFERROR(__xludf.DUMMYFUNCTION("""COMPUTED_VALUE"""),5.0)</f>
        <v>5</v>
      </c>
      <c r="G3580" s="2">
        <f>IFERROR(__xludf.DUMMYFUNCTION("""COMPUTED_VALUE"""),5.0)</f>
        <v>5</v>
      </c>
      <c r="H3580" s="2" t="str">
        <f>IFERROR(__xludf.DUMMYFUNCTION("""COMPUTED_VALUE"""),"M. ģim.")</f>
        <v>M. ģim.</v>
      </c>
      <c r="I3580" s="2" t="str">
        <f>IFERROR(__xludf.DUMMYFUNCTION("""COMPUTED_VALUE"""),"Panel")</f>
        <v>Panel</v>
      </c>
      <c r="J3580" s="2" t="str">
        <f>IFERROR(__xludf.DUMMYFUNCTION("""COMPUTED_VALUE"""),"All amenities")</f>
        <v>All amenities</v>
      </c>
      <c r="K3580" s="2">
        <f>IFERROR(__xludf.DUMMYFUNCTION("""COMPUTED_VALUE"""),220.0)</f>
        <v>220</v>
      </c>
      <c r="L3580" s="2">
        <f>IFERROR(__xludf.DUMMYFUNCTION("""COMPUTED_VALUE"""),57.02680235)</f>
        <v>57.02680235</v>
      </c>
      <c r="M3580" s="2">
        <f>IFERROR(__xludf.DUMMYFUNCTION("""COMPUTED_VALUE"""),24.0425225372204)</f>
        <v>24.04252254</v>
      </c>
    </row>
    <row r="3581">
      <c r="A3581" s="2" t="str">
        <f>IFERROR(__xludf.DUMMYFUNCTION("""COMPUTED_VALUE"""),"For rent")</f>
        <v>For rent</v>
      </c>
      <c r="B3581" s="2" t="str">
        <f>IFERROR(__xludf.DUMMYFUNCTION("""COMPUTED_VALUE"""),"Imanta")</f>
        <v>Imanta</v>
      </c>
      <c r="C3581" s="2" t="str">
        <f>IFERROR(__xludf.DUMMYFUNCTION("""COMPUTED_VALUE"""),"Dubultu 23")</f>
        <v>Dubultu 23</v>
      </c>
      <c r="D3581" s="2">
        <f>IFERROR(__xludf.DUMMYFUNCTION("""COMPUTED_VALUE"""),3.0)</f>
        <v>3</v>
      </c>
      <c r="E3581" s="2">
        <f>IFERROR(__xludf.DUMMYFUNCTION("""COMPUTED_VALUE"""),55.0)</f>
        <v>55</v>
      </c>
      <c r="F3581" s="2">
        <f>IFERROR(__xludf.DUMMYFUNCTION("""COMPUTED_VALUE"""),2.0)</f>
        <v>2</v>
      </c>
      <c r="G3581" s="2">
        <f>IFERROR(__xludf.DUMMYFUNCTION("""COMPUTED_VALUE"""),5.0)</f>
        <v>5</v>
      </c>
      <c r="H3581" s="2" t="str">
        <f>IFERROR(__xludf.DUMMYFUNCTION("""COMPUTED_VALUE"""),"LT proj.")</f>
        <v>LT proj.</v>
      </c>
      <c r="I3581" s="2" t="str">
        <f>IFERROR(__xludf.DUMMYFUNCTION("""COMPUTED_VALUE"""),"Panel")</f>
        <v>Panel</v>
      </c>
      <c r="J3581" s="2" t="str">
        <f>IFERROR(__xludf.DUMMYFUNCTION("""COMPUTED_VALUE"""),"All amenities")</f>
        <v>All amenities</v>
      </c>
      <c r="K3581" s="2">
        <f>IFERROR(__xludf.DUMMYFUNCTION("""COMPUTED_VALUE"""),350.0)</f>
        <v>350</v>
      </c>
      <c r="L3581" s="2">
        <f>IFERROR(__xludf.DUMMYFUNCTION("""COMPUTED_VALUE"""),56.9573366)</f>
        <v>56.9573366</v>
      </c>
      <c r="M3581" s="2">
        <f>IFERROR(__xludf.DUMMYFUNCTION("""COMPUTED_VALUE"""),24.0049942222037)</f>
        <v>24.00499422</v>
      </c>
    </row>
    <row r="3582">
      <c r="A3582" s="2" t="str">
        <f>IFERROR(__xludf.DUMMYFUNCTION("""COMPUTED_VALUE"""),"For sale")</f>
        <v>For sale</v>
      </c>
      <c r="B3582" s="2" t="str">
        <f>IFERROR(__xludf.DUMMYFUNCTION("""COMPUTED_VALUE"""),"centrs")</f>
        <v>centrs</v>
      </c>
      <c r="C3582" s="2" t="str">
        <f>IFERROR(__xludf.DUMMYFUNCTION("""COMPUTED_VALUE"""),"Pērnavas 6")</f>
        <v>Pērnavas 6</v>
      </c>
      <c r="D3582" s="2">
        <f>IFERROR(__xludf.DUMMYFUNCTION("""COMPUTED_VALUE"""),2.0)</f>
        <v>2</v>
      </c>
      <c r="E3582" s="2">
        <f>IFERROR(__xludf.DUMMYFUNCTION("""COMPUTED_VALUE"""),68.0)</f>
        <v>68</v>
      </c>
      <c r="F3582" s="2">
        <f>IFERROR(__xludf.DUMMYFUNCTION("""COMPUTED_VALUE"""),4.0)</f>
        <v>4</v>
      </c>
      <c r="G3582" s="2">
        <f>IFERROR(__xludf.DUMMYFUNCTION("""COMPUTED_VALUE"""),5.0)</f>
        <v>5</v>
      </c>
      <c r="H3582" s="2" t="str">
        <f>IFERROR(__xludf.DUMMYFUNCTION("""COMPUTED_VALUE"""),"Staļina")</f>
        <v>Staļina</v>
      </c>
      <c r="I3582" s="2" t="str">
        <f>IFERROR(__xludf.DUMMYFUNCTION("""COMPUTED_VALUE"""),"Masonry")</f>
        <v>Masonry</v>
      </c>
      <c r="J3582" s="2" t="str">
        <f>IFERROR(__xludf.DUMMYFUNCTION("""COMPUTED_VALUE"""),"All amenities")</f>
        <v>All amenities</v>
      </c>
      <c r="K3582" s="2">
        <f>IFERROR(__xludf.DUMMYFUNCTION("""COMPUTED_VALUE"""),103000.0)</f>
        <v>103000</v>
      </c>
      <c r="L3582" s="2">
        <f>IFERROR(__xludf.DUMMYFUNCTION("""COMPUTED_VALUE"""),56.9659858)</f>
        <v>56.9659858</v>
      </c>
      <c r="M3582" s="2">
        <f>IFERROR(__xludf.DUMMYFUNCTION("""COMPUTED_VALUE"""),24.1480106)</f>
        <v>24.1480106</v>
      </c>
    </row>
    <row r="3583">
      <c r="A3583" s="2" t="str">
        <f>IFERROR(__xludf.DUMMYFUNCTION("""COMPUTED_VALUE"""),"For sale")</f>
        <v>For sale</v>
      </c>
      <c r="B3583" s="2" t="str">
        <f>IFERROR(__xludf.DUMMYFUNCTION("""COMPUTED_VALUE"""),"centrs")</f>
        <v>centrs</v>
      </c>
      <c r="C3583" s="2" t="str">
        <f>IFERROR(__xludf.DUMMYFUNCTION("""COMPUTED_VALUE"""),"Skolas 38")</f>
        <v>Skolas 38</v>
      </c>
      <c r="D3583" s="2">
        <f>IFERROR(__xludf.DUMMYFUNCTION("""COMPUTED_VALUE"""),4.0)</f>
        <v>4</v>
      </c>
      <c r="E3583" s="2">
        <f>IFERROR(__xludf.DUMMYFUNCTION("""COMPUTED_VALUE"""),190.0)</f>
        <v>190</v>
      </c>
      <c r="F3583" s="2">
        <f>IFERROR(__xludf.DUMMYFUNCTION("""COMPUTED_VALUE"""),6.0)</f>
        <v>6</v>
      </c>
      <c r="G3583" s="2">
        <f>IFERROR(__xludf.DUMMYFUNCTION("""COMPUTED_VALUE"""),6.0)</f>
        <v>6</v>
      </c>
      <c r="H3583" s="2" t="str">
        <f>IFERROR(__xludf.DUMMYFUNCTION("""COMPUTED_VALUE"""),"P. kara")</f>
        <v>P. kara</v>
      </c>
      <c r="I3583" s="2" t="str">
        <f>IFERROR(__xludf.DUMMYFUNCTION("""COMPUTED_VALUE"""),"Masonry")</f>
        <v>Masonry</v>
      </c>
      <c r="J3583" s="2" t="str">
        <f>IFERROR(__xludf.DUMMYFUNCTION("""COMPUTED_VALUE"""),"All amenities")</f>
        <v>All amenities</v>
      </c>
      <c r="K3583" s="2">
        <f>IFERROR(__xludf.DUMMYFUNCTION("""COMPUTED_VALUE"""),240000.0)</f>
        <v>240000</v>
      </c>
      <c r="L3583" s="2">
        <f>IFERROR(__xludf.DUMMYFUNCTION("""COMPUTED_VALUE"""),48.2969502)</f>
        <v>48.2969502</v>
      </c>
      <c r="M3583" s="2">
        <f>IFERROR(__xludf.DUMMYFUNCTION("""COMPUTED_VALUE"""),-100.7081938)</f>
        <v>-100.7081938</v>
      </c>
    </row>
    <row r="3584">
      <c r="A3584" s="2" t="str">
        <f>IFERROR(__xludf.DUMMYFUNCTION("""COMPUTED_VALUE"""),"For sale")</f>
        <v>For sale</v>
      </c>
      <c r="B3584" s="2" t="str">
        <f>IFERROR(__xludf.DUMMYFUNCTION("""COMPUTED_VALUE"""),"Purvciems")</f>
        <v>Purvciems</v>
      </c>
      <c r="C3584" s="2" t="str">
        <f>IFERROR(__xludf.DUMMYFUNCTION("""COMPUTED_VALUE"""),"Viršu 7")</f>
        <v>Viršu 7</v>
      </c>
      <c r="D3584" s="2">
        <f>IFERROR(__xludf.DUMMYFUNCTION("""COMPUTED_VALUE"""),2.0)</f>
        <v>2</v>
      </c>
      <c r="E3584" s="2">
        <f>IFERROR(__xludf.DUMMYFUNCTION("""COMPUTED_VALUE"""),58.0)</f>
        <v>58</v>
      </c>
      <c r="F3584" s="2">
        <f>IFERROR(__xludf.DUMMYFUNCTION("""COMPUTED_VALUE"""),5.0)</f>
        <v>5</v>
      </c>
      <c r="G3584" s="2">
        <f>IFERROR(__xludf.DUMMYFUNCTION("""COMPUTED_VALUE"""),9.0)</f>
        <v>9</v>
      </c>
      <c r="H3584" s="2">
        <f>IFERROR(__xludf.DUMMYFUNCTION("""COMPUTED_VALUE"""),119.0)</f>
        <v>119</v>
      </c>
      <c r="I3584" s="2" t="str">
        <f>IFERROR(__xludf.DUMMYFUNCTION("""COMPUTED_VALUE"""),"Panel")</f>
        <v>Panel</v>
      </c>
      <c r="J3584" s="2" t="str">
        <f>IFERROR(__xludf.DUMMYFUNCTION("""COMPUTED_VALUE"""),"All amenities")</f>
        <v>All amenities</v>
      </c>
      <c r="K3584" s="2">
        <f>IFERROR(__xludf.DUMMYFUNCTION("""COMPUTED_VALUE"""),67000.0)</f>
        <v>67000</v>
      </c>
      <c r="L3584" s="2">
        <f>IFERROR(__xludf.DUMMYFUNCTION("""COMPUTED_VALUE"""),56.9521361)</f>
        <v>56.9521361</v>
      </c>
      <c r="M3584" s="2">
        <f>IFERROR(__xludf.DUMMYFUNCTION("""COMPUTED_VALUE"""),24.1780366999999)</f>
        <v>24.1780367</v>
      </c>
    </row>
    <row r="3585">
      <c r="A3585" s="2" t="str">
        <f>IFERROR(__xludf.DUMMYFUNCTION("""COMPUTED_VALUE"""),"For sale")</f>
        <v>For sale</v>
      </c>
      <c r="B3585" s="2" t="str">
        <f>IFERROR(__xludf.DUMMYFUNCTION("""COMPUTED_VALUE"""),"Torņakalns")</f>
        <v>Torņakalns</v>
      </c>
      <c r="C3585" s="2" t="str">
        <f>IFERROR(__xludf.DUMMYFUNCTION("""COMPUTED_VALUE"""),"Vaiņodes 24a")</f>
        <v>Vaiņodes 24a</v>
      </c>
      <c r="D3585" s="2">
        <f>IFERROR(__xludf.DUMMYFUNCTION("""COMPUTED_VALUE"""),3.0)</f>
        <v>3</v>
      </c>
      <c r="E3585" s="2">
        <f>IFERROR(__xludf.DUMMYFUNCTION("""COMPUTED_VALUE"""),59.0)</f>
        <v>59</v>
      </c>
      <c r="F3585" s="2">
        <f>IFERROR(__xludf.DUMMYFUNCTION("""COMPUTED_VALUE"""),1.0)</f>
        <v>1</v>
      </c>
      <c r="G3585" s="2">
        <f>IFERROR(__xludf.DUMMYFUNCTION("""COMPUTED_VALUE"""),5.0)</f>
        <v>5</v>
      </c>
      <c r="H3585" s="2" t="str">
        <f>IFERROR(__xludf.DUMMYFUNCTION("""COMPUTED_VALUE"""),"LT proj.")</f>
        <v>LT proj.</v>
      </c>
      <c r="I3585" s="2" t="str">
        <f>IFERROR(__xludf.DUMMYFUNCTION("""COMPUTED_VALUE"""),"Panel")</f>
        <v>Panel</v>
      </c>
      <c r="J3585" s="2" t="str">
        <f>IFERROR(__xludf.DUMMYFUNCTION("""COMPUTED_VALUE"""),"All amenities")</f>
        <v>All amenities</v>
      </c>
      <c r="K3585" s="2">
        <f>IFERROR(__xludf.DUMMYFUNCTION("""COMPUTED_VALUE"""),51970.0)</f>
        <v>51970</v>
      </c>
      <c r="L3585" s="2">
        <f>IFERROR(__xludf.DUMMYFUNCTION("""COMPUTED_VALUE"""),56.9146722)</f>
        <v>56.9146722</v>
      </c>
      <c r="M3585" s="2">
        <f>IFERROR(__xludf.DUMMYFUNCTION("""COMPUTED_VALUE"""),24.0918129)</f>
        <v>24.0918129</v>
      </c>
    </row>
    <row r="3586">
      <c r="A3586" s="2" t="str">
        <f>IFERROR(__xludf.DUMMYFUNCTION("""COMPUTED_VALUE"""),"For rent")</f>
        <v>For rent</v>
      </c>
      <c r="B3586" s="2" t="str">
        <f>IFERROR(__xludf.DUMMYFUNCTION("""COMPUTED_VALUE"""),"Daugavgrīva")</f>
        <v>Daugavgrīva</v>
      </c>
      <c r="C3586" s="2" t="str">
        <f>IFERROR(__xludf.DUMMYFUNCTION("""COMPUTED_VALUE"""),"Birzes 40")</f>
        <v>Birzes 40</v>
      </c>
      <c r="D3586" s="2">
        <f>IFERROR(__xludf.DUMMYFUNCTION("""COMPUTED_VALUE"""),1.0)</f>
        <v>1</v>
      </c>
      <c r="E3586" s="2">
        <f>IFERROR(__xludf.DUMMYFUNCTION("""COMPUTED_VALUE"""),32.0)</f>
        <v>32</v>
      </c>
      <c r="F3586" s="2">
        <f>IFERROR(__xludf.DUMMYFUNCTION("""COMPUTED_VALUE"""),4.0)</f>
        <v>4</v>
      </c>
      <c r="G3586" s="2">
        <f>IFERROR(__xludf.DUMMYFUNCTION("""COMPUTED_VALUE"""),5.0)</f>
        <v>5</v>
      </c>
      <c r="H3586" s="2">
        <f>IFERROR(__xludf.DUMMYFUNCTION("""COMPUTED_VALUE"""),104.0)</f>
        <v>104</v>
      </c>
      <c r="I3586" s="2" t="str">
        <f>IFERROR(__xludf.DUMMYFUNCTION("""COMPUTED_VALUE"""),"Brick-Panel")</f>
        <v>Brick-Panel</v>
      </c>
      <c r="J3586" s="2" t="str">
        <f>IFERROR(__xludf.DUMMYFUNCTION("""COMPUTED_VALUE"""),"All amenities")</f>
        <v>All amenities</v>
      </c>
      <c r="K3586" s="2">
        <f>IFERROR(__xludf.DUMMYFUNCTION("""COMPUTED_VALUE"""),240.0)</f>
        <v>240</v>
      </c>
      <c r="L3586" s="2">
        <f>IFERROR(__xludf.DUMMYFUNCTION("""COMPUTED_VALUE"""),57.0372828)</f>
        <v>57.0372828</v>
      </c>
      <c r="M3586" s="2">
        <f>IFERROR(__xludf.DUMMYFUNCTION("""COMPUTED_VALUE"""),24.02824935)</f>
        <v>24.02824935</v>
      </c>
    </row>
    <row r="3587">
      <c r="A3587" s="2" t="str">
        <f>IFERROR(__xludf.DUMMYFUNCTION("""COMPUTED_VALUE"""),"For sale")</f>
        <v>For sale</v>
      </c>
      <c r="B3587" s="2" t="str">
        <f>IFERROR(__xludf.DUMMYFUNCTION("""COMPUTED_VALUE"""),"centrs")</f>
        <v>centrs</v>
      </c>
      <c r="C3587" s="2" t="str">
        <f>IFERROR(__xludf.DUMMYFUNCTION("""COMPUTED_VALUE"""),"Miera 105")</f>
        <v>Miera 105</v>
      </c>
      <c r="D3587" s="2">
        <f>IFERROR(__xludf.DUMMYFUNCTION("""COMPUTED_VALUE"""),2.0)</f>
        <v>2</v>
      </c>
      <c r="E3587" s="2">
        <f>IFERROR(__xludf.DUMMYFUNCTION("""COMPUTED_VALUE"""),48.4)</f>
        <v>48.4</v>
      </c>
      <c r="F3587" s="2">
        <f>IFERROR(__xludf.DUMMYFUNCTION("""COMPUTED_VALUE"""),1.0)</f>
        <v>1</v>
      </c>
      <c r="G3587" s="2">
        <f>IFERROR(__xludf.DUMMYFUNCTION("""COMPUTED_VALUE"""),6.0)</f>
        <v>6</v>
      </c>
      <c r="H3587" s="2" t="str">
        <f>IFERROR(__xludf.DUMMYFUNCTION("""COMPUTED_VALUE"""),"Renov.")</f>
        <v>Renov.</v>
      </c>
      <c r="I3587" s="2" t="str">
        <f>IFERROR(__xludf.DUMMYFUNCTION("""COMPUTED_VALUE"""),"Masonry")</f>
        <v>Masonry</v>
      </c>
      <c r="J3587" s="2" t="str">
        <f>IFERROR(__xludf.DUMMYFUNCTION("""COMPUTED_VALUE"""),"All amenities")</f>
        <v>All amenities</v>
      </c>
      <c r="K3587" s="2">
        <f>IFERROR(__xludf.DUMMYFUNCTION("""COMPUTED_VALUE"""),110000.0)</f>
        <v>110000</v>
      </c>
      <c r="L3587" s="2">
        <f>IFERROR(__xludf.DUMMYFUNCTION("""COMPUTED_VALUE"""),56.9665763)</f>
        <v>56.9665763</v>
      </c>
      <c r="M3587" s="2">
        <f>IFERROR(__xludf.DUMMYFUNCTION("""COMPUTED_VALUE"""),24.1337504)</f>
        <v>24.1337504</v>
      </c>
    </row>
    <row r="3588">
      <c r="A3588" s="2" t="str">
        <f>IFERROR(__xludf.DUMMYFUNCTION("""COMPUTED_VALUE"""),"For sale")</f>
        <v>For sale</v>
      </c>
      <c r="B3588" s="2" t="str">
        <f>IFERROR(__xludf.DUMMYFUNCTION("""COMPUTED_VALUE"""),"Jugla")</f>
        <v>Jugla</v>
      </c>
      <c r="C3588" s="2" t="str">
        <f>IFERROR(__xludf.DUMMYFUNCTION("""COMPUTED_VALUE"""),"Malienas 72")</f>
        <v>Malienas 72</v>
      </c>
      <c r="D3588" s="2">
        <f>IFERROR(__xludf.DUMMYFUNCTION("""COMPUTED_VALUE"""),3.0)</f>
        <v>3</v>
      </c>
      <c r="E3588" s="2">
        <f>IFERROR(__xludf.DUMMYFUNCTION("""COMPUTED_VALUE"""),59.0)</f>
        <v>59</v>
      </c>
      <c r="F3588" s="2">
        <f>IFERROR(__xludf.DUMMYFUNCTION("""COMPUTED_VALUE"""),4.0)</f>
        <v>4</v>
      </c>
      <c r="G3588" s="2">
        <f>IFERROR(__xludf.DUMMYFUNCTION("""COMPUTED_VALUE"""),5.0)</f>
        <v>5</v>
      </c>
      <c r="H3588" s="2" t="str">
        <f>IFERROR(__xludf.DUMMYFUNCTION("""COMPUTED_VALUE"""),"LT proj.")</f>
        <v>LT proj.</v>
      </c>
      <c r="I3588" s="2" t="str">
        <f>IFERROR(__xludf.DUMMYFUNCTION("""COMPUTED_VALUE"""),"Panel")</f>
        <v>Panel</v>
      </c>
      <c r="J3588" s="2" t="str">
        <f>IFERROR(__xludf.DUMMYFUNCTION("""COMPUTED_VALUE"""),"All amenities")</f>
        <v>All amenities</v>
      </c>
      <c r="K3588" s="2">
        <f>IFERROR(__xludf.DUMMYFUNCTION("""COMPUTED_VALUE"""),49500.0)</f>
        <v>49500</v>
      </c>
      <c r="L3588" s="2">
        <f>IFERROR(__xludf.DUMMYFUNCTION("""COMPUTED_VALUE"""),56.97560265)</f>
        <v>56.97560265</v>
      </c>
      <c r="M3588" s="2">
        <f>IFERROR(__xludf.DUMMYFUNCTION("""COMPUTED_VALUE"""),24.2517777999999)</f>
        <v>24.2517778</v>
      </c>
    </row>
    <row r="3589">
      <c r="A3589" s="2" t="str">
        <f>IFERROR(__xludf.DUMMYFUNCTION("""COMPUTED_VALUE"""),"For sale")</f>
        <v>For sale</v>
      </c>
      <c r="B3589" s="2" t="str">
        <f>IFERROR(__xludf.DUMMYFUNCTION("""COMPUTED_VALUE"""),"Ziepniekkalns")</f>
        <v>Ziepniekkalns</v>
      </c>
      <c r="C3589" s="2" t="str">
        <f>IFERROR(__xludf.DUMMYFUNCTION("""COMPUTED_VALUE"""),"Bērzupes 24a")</f>
        <v>Bērzupes 24a</v>
      </c>
      <c r="D3589" s="2">
        <f>IFERROR(__xludf.DUMMYFUNCTION("""COMPUTED_VALUE"""),3.0)</f>
        <v>3</v>
      </c>
      <c r="E3589" s="2">
        <f>IFERROR(__xludf.DUMMYFUNCTION("""COMPUTED_VALUE"""),59.0)</f>
        <v>59</v>
      </c>
      <c r="F3589" s="2">
        <f>IFERROR(__xludf.DUMMYFUNCTION("""COMPUTED_VALUE"""),1.0)</f>
        <v>1</v>
      </c>
      <c r="G3589" s="2">
        <f>IFERROR(__xludf.DUMMYFUNCTION("""COMPUTED_VALUE"""),5.0)</f>
        <v>5</v>
      </c>
      <c r="H3589" s="2" t="str">
        <f>IFERROR(__xludf.DUMMYFUNCTION("""COMPUTED_VALUE"""),"LT proj.")</f>
        <v>LT proj.</v>
      </c>
      <c r="I3589" s="2" t="str">
        <f>IFERROR(__xludf.DUMMYFUNCTION("""COMPUTED_VALUE"""),"Panel")</f>
        <v>Panel</v>
      </c>
      <c r="J3589" s="2" t="str">
        <f>IFERROR(__xludf.DUMMYFUNCTION("""COMPUTED_VALUE"""),"All amenities")</f>
        <v>All amenities</v>
      </c>
      <c r="K3589" s="2">
        <f>IFERROR(__xludf.DUMMYFUNCTION("""COMPUTED_VALUE"""),51970.0)</f>
        <v>51970</v>
      </c>
      <c r="L3589" s="2">
        <f>IFERROR(__xludf.DUMMYFUNCTION("""COMPUTED_VALUE"""),56.914774)</f>
        <v>56.914774</v>
      </c>
      <c r="M3589" s="2">
        <f>IFERROR(__xludf.DUMMYFUNCTION("""COMPUTED_VALUE"""),24.0943957)</f>
        <v>24.0943957</v>
      </c>
    </row>
    <row r="3590">
      <c r="A3590" s="2" t="str">
        <f>IFERROR(__xludf.DUMMYFUNCTION("""COMPUTED_VALUE"""),"For rent")</f>
        <v>For rent</v>
      </c>
      <c r="B3590" s="2" t="str">
        <f>IFERROR(__xludf.DUMMYFUNCTION("""COMPUTED_VALUE"""),"centrs")</f>
        <v>centrs</v>
      </c>
      <c r="C3590" s="2" t="str">
        <f>IFERROR(__xludf.DUMMYFUNCTION("""COMPUTED_VALUE"""),"Baznīcas 13")</f>
        <v>Baznīcas 13</v>
      </c>
      <c r="D3590" s="2">
        <f>IFERROR(__xludf.DUMMYFUNCTION("""COMPUTED_VALUE"""),3.0)</f>
        <v>3</v>
      </c>
      <c r="E3590" s="2">
        <f>IFERROR(__xludf.DUMMYFUNCTION("""COMPUTED_VALUE"""),106.0)</f>
        <v>106</v>
      </c>
      <c r="F3590" s="2">
        <f>IFERROR(__xludf.DUMMYFUNCTION("""COMPUTED_VALUE"""),5.0)</f>
        <v>5</v>
      </c>
      <c r="G3590" s="2">
        <f>IFERROR(__xludf.DUMMYFUNCTION("""COMPUTED_VALUE"""),6.0)</f>
        <v>6</v>
      </c>
      <c r="H3590" s="2" t="str">
        <f>IFERROR(__xludf.DUMMYFUNCTION("""COMPUTED_VALUE"""),"Renov.")</f>
        <v>Renov.</v>
      </c>
      <c r="I3590" s="2" t="str">
        <f>IFERROR(__xludf.DUMMYFUNCTION("""COMPUTED_VALUE"""),"Masonry")</f>
        <v>Masonry</v>
      </c>
      <c r="J3590" s="2" t="str">
        <f>IFERROR(__xludf.DUMMYFUNCTION("""COMPUTED_VALUE"""),"All amenities")</f>
        <v>All amenities</v>
      </c>
      <c r="K3590" s="2">
        <f>IFERROR(__xludf.DUMMYFUNCTION("""COMPUTED_VALUE"""),950.0)</f>
        <v>950</v>
      </c>
      <c r="L3590" s="2">
        <f>IFERROR(__xludf.DUMMYFUNCTION("""COMPUTED_VALUE"""),56.9563689)</f>
        <v>56.9563689</v>
      </c>
      <c r="M3590" s="2">
        <f>IFERROR(__xludf.DUMMYFUNCTION("""COMPUTED_VALUE"""),24.1185508)</f>
        <v>24.1185508</v>
      </c>
    </row>
    <row r="3591">
      <c r="A3591" s="2" t="str">
        <f>IFERROR(__xludf.DUMMYFUNCTION("""COMPUTED_VALUE"""),"For rent")</f>
        <v>For rent</v>
      </c>
      <c r="B3591" s="2" t="str">
        <f>IFERROR(__xludf.DUMMYFUNCTION("""COMPUTED_VALUE"""),"Pļavnieki")</f>
        <v>Pļavnieki</v>
      </c>
      <c r="C3591" s="2" t="str">
        <f>IFERROR(__xludf.DUMMYFUNCTION("""COMPUTED_VALUE"""),"Salnas 14")</f>
        <v>Salnas 14</v>
      </c>
      <c r="D3591" s="2">
        <f>IFERROR(__xludf.DUMMYFUNCTION("""COMPUTED_VALUE"""),4.0)</f>
        <v>4</v>
      </c>
      <c r="E3591" s="2">
        <f>IFERROR(__xludf.DUMMYFUNCTION("""COMPUTED_VALUE"""),73.0)</f>
        <v>73</v>
      </c>
      <c r="F3591" s="2">
        <f>IFERROR(__xludf.DUMMYFUNCTION("""COMPUTED_VALUE"""),8.0)</f>
        <v>8</v>
      </c>
      <c r="G3591" s="2">
        <f>IFERROR(__xludf.DUMMYFUNCTION("""COMPUTED_VALUE"""),9.0)</f>
        <v>9</v>
      </c>
      <c r="H3591" s="2">
        <f>IFERROR(__xludf.DUMMYFUNCTION("""COMPUTED_VALUE"""),602.0)</f>
        <v>602</v>
      </c>
      <c r="I3591" s="2" t="str">
        <f>IFERROR(__xludf.DUMMYFUNCTION("""COMPUTED_VALUE"""),"Panel")</f>
        <v>Panel</v>
      </c>
      <c r="J3591" s="2" t="str">
        <f>IFERROR(__xludf.DUMMYFUNCTION("""COMPUTED_VALUE"""),"All amenities")</f>
        <v>All amenities</v>
      </c>
      <c r="K3591" s="2">
        <f>IFERROR(__xludf.DUMMYFUNCTION("""COMPUTED_VALUE"""),450.0)</f>
        <v>450</v>
      </c>
      <c r="L3591" s="2">
        <f>IFERROR(__xludf.DUMMYFUNCTION("""COMPUTED_VALUE"""),56.94212835)</f>
        <v>56.94212835</v>
      </c>
      <c r="M3591" s="2">
        <f>IFERROR(__xludf.DUMMYFUNCTION("""COMPUTED_VALUE"""),24.2230407477176)</f>
        <v>24.22304075</v>
      </c>
    </row>
    <row r="3592">
      <c r="A3592" s="2" t="str">
        <f>IFERROR(__xludf.DUMMYFUNCTION("""COMPUTED_VALUE"""),"For sale")</f>
        <v>For sale</v>
      </c>
      <c r="B3592" s="2" t="str">
        <f>IFERROR(__xludf.DUMMYFUNCTION("""COMPUTED_VALUE"""),"Āgenskalns")</f>
        <v>Āgenskalns</v>
      </c>
      <c r="C3592" s="2" t="str">
        <f>IFERROR(__xludf.DUMMYFUNCTION("""COMPUTED_VALUE"""),"Daugavgrīvas 68 a")</f>
        <v>Daugavgrīvas 68 a</v>
      </c>
      <c r="D3592" s="2">
        <f>IFERROR(__xludf.DUMMYFUNCTION("""COMPUTED_VALUE"""),3.0)</f>
        <v>3</v>
      </c>
      <c r="E3592" s="2">
        <f>IFERROR(__xludf.DUMMYFUNCTION("""COMPUTED_VALUE"""),70.0)</f>
        <v>70</v>
      </c>
      <c r="F3592" s="2">
        <f>IFERROR(__xludf.DUMMYFUNCTION("""COMPUTED_VALUE"""),5.0)</f>
        <v>5</v>
      </c>
      <c r="G3592" s="2">
        <f>IFERROR(__xludf.DUMMYFUNCTION("""COMPUTED_VALUE"""),5.0)</f>
        <v>5</v>
      </c>
      <c r="H3592" s="2" t="str">
        <f>IFERROR(__xludf.DUMMYFUNCTION("""COMPUTED_VALUE"""),"Staļina")</f>
        <v>Staļina</v>
      </c>
      <c r="I3592" s="2" t="str">
        <f>IFERROR(__xludf.DUMMYFUNCTION("""COMPUTED_VALUE"""),"Masonry")</f>
        <v>Masonry</v>
      </c>
      <c r="J3592" s="2" t="str">
        <f>IFERROR(__xludf.DUMMYFUNCTION("""COMPUTED_VALUE"""),"All amenities")</f>
        <v>All amenities</v>
      </c>
      <c r="K3592" s="2">
        <f>IFERROR(__xludf.DUMMYFUNCTION("""COMPUTED_VALUE"""),98500.0)</f>
        <v>98500</v>
      </c>
      <c r="L3592" s="2">
        <f>IFERROR(__xludf.DUMMYFUNCTION("""COMPUTED_VALUE"""),57.0164335)</f>
        <v>57.0164335</v>
      </c>
      <c r="M3592" s="2">
        <f>IFERROR(__xludf.DUMMYFUNCTION("""COMPUTED_VALUE"""),24.0628649)</f>
        <v>24.0628649</v>
      </c>
    </row>
    <row r="3593">
      <c r="A3593" s="2" t="str">
        <f>IFERROR(__xludf.DUMMYFUNCTION("""COMPUTED_VALUE"""),"For sale")</f>
        <v>For sale</v>
      </c>
      <c r="B3593" s="2" t="str">
        <f>IFERROR(__xludf.DUMMYFUNCTION("""COMPUTED_VALUE"""),"Vecmīlgrāvis")</f>
        <v>Vecmīlgrāvis</v>
      </c>
      <c r="C3593" s="2" t="str">
        <f>IFERROR(__xludf.DUMMYFUNCTION("""COMPUTED_VALUE"""),"Meldru 24")</f>
        <v>Meldru 24</v>
      </c>
      <c r="D3593" s="2">
        <f>IFERROR(__xludf.DUMMYFUNCTION("""COMPUTED_VALUE"""),3.0)</f>
        <v>3</v>
      </c>
      <c r="E3593" s="2">
        <f>IFERROR(__xludf.DUMMYFUNCTION("""COMPUTED_VALUE"""),57.0)</f>
        <v>57</v>
      </c>
      <c r="F3593" s="2">
        <f>IFERROR(__xludf.DUMMYFUNCTION("""COMPUTED_VALUE"""),3.0)</f>
        <v>3</v>
      </c>
      <c r="G3593" s="2">
        <f>IFERROR(__xludf.DUMMYFUNCTION("""COMPUTED_VALUE"""),5.0)</f>
        <v>5</v>
      </c>
      <c r="H3593" s="2" t="str">
        <f>IFERROR(__xludf.DUMMYFUNCTION("""COMPUTED_VALUE"""),"LT proj.")</f>
        <v>LT proj.</v>
      </c>
      <c r="I3593" s="2" t="str">
        <f>IFERROR(__xludf.DUMMYFUNCTION("""COMPUTED_VALUE"""),"Panel-Brick")</f>
        <v>Panel-Brick</v>
      </c>
      <c r="J3593" s="2" t="str">
        <f>IFERROR(__xludf.DUMMYFUNCTION("""COMPUTED_VALUE"""),"All amenities")</f>
        <v>All amenities</v>
      </c>
      <c r="K3593" s="2">
        <f>IFERROR(__xludf.DUMMYFUNCTION("""COMPUTED_VALUE"""),34900.0)</f>
        <v>34900</v>
      </c>
      <c r="L3593" s="2">
        <f>IFERROR(__xludf.DUMMYFUNCTION("""COMPUTED_VALUE"""),57.03262235)</f>
        <v>57.03262235</v>
      </c>
      <c r="M3593" s="2">
        <f>IFERROR(__xludf.DUMMYFUNCTION("""COMPUTED_VALUE"""),24.0954070297358)</f>
        <v>24.09540703</v>
      </c>
    </row>
    <row r="3594">
      <c r="A3594" s="2" t="str">
        <f>IFERROR(__xludf.DUMMYFUNCTION("""COMPUTED_VALUE"""),"For rent")</f>
        <v>For rent</v>
      </c>
      <c r="B3594" s="2" t="str">
        <f>IFERROR(__xludf.DUMMYFUNCTION("""COMPUTED_VALUE"""),"centrs")</f>
        <v>centrs</v>
      </c>
      <c r="C3594" s="2" t="str">
        <f>IFERROR(__xludf.DUMMYFUNCTION("""COMPUTED_VALUE"""),"Raiņa bulv. 31")</f>
        <v>Raiņa bulv. 31</v>
      </c>
      <c r="D3594" s="2">
        <f>IFERROR(__xludf.DUMMYFUNCTION("""COMPUTED_VALUE"""),3.0)</f>
        <v>3</v>
      </c>
      <c r="E3594" s="2">
        <f>IFERROR(__xludf.DUMMYFUNCTION("""COMPUTED_VALUE"""),43.0)</f>
        <v>43</v>
      </c>
      <c r="F3594" s="2">
        <f>IFERROR(__xludf.DUMMYFUNCTION("""COMPUTED_VALUE"""),3.0)</f>
        <v>3</v>
      </c>
      <c r="G3594" s="2">
        <f>IFERROR(__xludf.DUMMYFUNCTION("""COMPUTED_VALUE"""),5.0)</f>
        <v>5</v>
      </c>
      <c r="H3594" s="2" t="str">
        <f>IFERROR(__xludf.DUMMYFUNCTION("""COMPUTED_VALUE"""),"P. kara")</f>
        <v>P. kara</v>
      </c>
      <c r="I3594" s="2" t="str">
        <f>IFERROR(__xludf.DUMMYFUNCTION("""COMPUTED_VALUE"""),"Brick")</f>
        <v>Brick</v>
      </c>
      <c r="J3594" s="2" t="str">
        <f>IFERROR(__xludf.DUMMYFUNCTION("""COMPUTED_VALUE"""),"All amenities")</f>
        <v>All amenities</v>
      </c>
      <c r="K3594" s="2">
        <f>IFERROR(__xludf.DUMMYFUNCTION("""COMPUTED_VALUE"""),550.0)</f>
        <v>550</v>
      </c>
      <c r="L3594" s="2" t="str">
        <f>IFERROR(__xludf.DUMMYFUNCTION("""COMPUTED_VALUE"""),"NaN")</f>
        <v>NaN</v>
      </c>
      <c r="M3594" s="2" t="str">
        <f>IFERROR(__xludf.DUMMYFUNCTION("""COMPUTED_VALUE"""),"NaN")</f>
        <v>NaN</v>
      </c>
    </row>
    <row r="3595">
      <c r="A3595" s="2" t="str">
        <f>IFERROR(__xludf.DUMMYFUNCTION("""COMPUTED_VALUE"""),"For rent")</f>
        <v>For rent</v>
      </c>
      <c r="B3595" s="2" t="str">
        <f>IFERROR(__xludf.DUMMYFUNCTION("""COMPUTED_VALUE"""),"Zolitūde")</f>
        <v>Zolitūde</v>
      </c>
      <c r="C3595" s="2" t="str">
        <f>IFERROR(__xludf.DUMMYFUNCTION("""COMPUTED_VALUE"""),"Zolitūdes 46")</f>
        <v>Zolitūdes 46</v>
      </c>
      <c r="D3595" s="2">
        <f>IFERROR(__xludf.DUMMYFUNCTION("""COMPUTED_VALUE"""),1.0)</f>
        <v>1</v>
      </c>
      <c r="E3595" s="2">
        <f>IFERROR(__xludf.DUMMYFUNCTION("""COMPUTED_VALUE"""),42.0)</f>
        <v>42</v>
      </c>
      <c r="F3595" s="2">
        <f>IFERROR(__xludf.DUMMYFUNCTION("""COMPUTED_VALUE"""),6.0)</f>
        <v>6</v>
      </c>
      <c r="G3595" s="2">
        <f>IFERROR(__xludf.DUMMYFUNCTION("""COMPUTED_VALUE"""),9.0)</f>
        <v>9</v>
      </c>
      <c r="H3595" s="2">
        <f>IFERROR(__xludf.DUMMYFUNCTION("""COMPUTED_VALUE"""),119.0)</f>
        <v>119</v>
      </c>
      <c r="I3595" s="2" t="str">
        <f>IFERROR(__xludf.DUMMYFUNCTION("""COMPUTED_VALUE"""),"Panel")</f>
        <v>Panel</v>
      </c>
      <c r="J3595" s="2" t="str">
        <f>IFERROR(__xludf.DUMMYFUNCTION("""COMPUTED_VALUE"""),"All amenities")</f>
        <v>All amenities</v>
      </c>
      <c r="K3595" s="2">
        <f>IFERROR(__xludf.DUMMYFUNCTION("""COMPUTED_VALUE"""),35.0)</f>
        <v>35</v>
      </c>
      <c r="L3595" s="2">
        <f>IFERROR(__xludf.DUMMYFUNCTION("""COMPUTED_VALUE"""),56.94224055)</f>
        <v>56.94224055</v>
      </c>
      <c r="M3595" s="2">
        <f>IFERROR(__xludf.DUMMYFUNCTION("""COMPUTED_VALUE"""),24.0060845759065)</f>
        <v>24.00608458</v>
      </c>
    </row>
    <row r="3596">
      <c r="A3596" s="2" t="str">
        <f>IFERROR(__xludf.DUMMYFUNCTION("""COMPUTED_VALUE"""),"For sale")</f>
        <v>For sale</v>
      </c>
      <c r="B3596" s="2" t="str">
        <f>IFERROR(__xludf.DUMMYFUNCTION("""COMPUTED_VALUE"""),"centrs")</f>
        <v>centrs</v>
      </c>
      <c r="C3596" s="2" t="str">
        <f>IFERROR(__xludf.DUMMYFUNCTION("""COMPUTED_VALUE"""),"Hospitāļu 40")</f>
        <v>Hospitāļu 40</v>
      </c>
      <c r="D3596" s="2">
        <f>IFERROR(__xludf.DUMMYFUNCTION("""COMPUTED_VALUE"""),4.0)</f>
        <v>4</v>
      </c>
      <c r="E3596" s="2">
        <f>IFERROR(__xludf.DUMMYFUNCTION("""COMPUTED_VALUE"""),108.0)</f>
        <v>108</v>
      </c>
      <c r="F3596" s="2">
        <f>IFERROR(__xludf.DUMMYFUNCTION("""COMPUTED_VALUE"""),1.0)</f>
        <v>1</v>
      </c>
      <c r="G3596" s="2">
        <f>IFERROR(__xludf.DUMMYFUNCTION("""COMPUTED_VALUE"""),5.0)</f>
        <v>5</v>
      </c>
      <c r="H3596" s="2" t="str">
        <f>IFERROR(__xludf.DUMMYFUNCTION("""COMPUTED_VALUE"""),"Staļina")</f>
        <v>Staļina</v>
      </c>
      <c r="I3596" s="2" t="str">
        <f>IFERROR(__xludf.DUMMYFUNCTION("""COMPUTED_VALUE"""),"Brick")</f>
        <v>Brick</v>
      </c>
      <c r="J3596" s="2" t="str">
        <f>IFERROR(__xludf.DUMMYFUNCTION("""COMPUTED_VALUE"""),"All amenities")</f>
        <v>All amenities</v>
      </c>
      <c r="K3596" s="2">
        <f>IFERROR(__xludf.DUMMYFUNCTION("""COMPUTED_VALUE"""),115000.0)</f>
        <v>115000</v>
      </c>
      <c r="L3596" s="2">
        <f>IFERROR(__xludf.DUMMYFUNCTION("""COMPUTED_VALUE"""),56.9758863499999)</f>
        <v>56.97588635</v>
      </c>
      <c r="M3596" s="2">
        <f>IFERROR(__xludf.DUMMYFUNCTION("""COMPUTED_VALUE"""),24.1391725207381)</f>
        <v>24.13917252</v>
      </c>
    </row>
    <row r="3597">
      <c r="A3597" s="2" t="str">
        <f>IFERROR(__xludf.DUMMYFUNCTION("""COMPUTED_VALUE"""),"For rent")</f>
        <v>For rent</v>
      </c>
      <c r="B3597" s="2" t="str">
        <f>IFERROR(__xludf.DUMMYFUNCTION("""COMPUTED_VALUE"""),"Imanta")</f>
        <v>Imanta</v>
      </c>
      <c r="C3597" s="2" t="str">
        <f>IFERROR(__xludf.DUMMYFUNCTION("""COMPUTED_VALUE"""),"Imantas 1")</f>
        <v>Imantas 1</v>
      </c>
      <c r="D3597" s="2">
        <f>IFERROR(__xludf.DUMMYFUNCTION("""COMPUTED_VALUE"""),2.0)</f>
        <v>2</v>
      </c>
      <c r="E3597" s="2">
        <f>IFERROR(__xludf.DUMMYFUNCTION("""COMPUTED_VALUE"""),82.0)</f>
        <v>82</v>
      </c>
      <c r="F3597" s="2">
        <f>IFERROR(__xludf.DUMMYFUNCTION("""COMPUTED_VALUE"""),2.0)</f>
        <v>2</v>
      </c>
      <c r="G3597" s="2">
        <f>IFERROR(__xludf.DUMMYFUNCTION("""COMPUTED_VALUE"""),3.0)</f>
        <v>3</v>
      </c>
      <c r="H3597" s="2" t="str">
        <f>IFERROR(__xludf.DUMMYFUNCTION("""COMPUTED_VALUE"""),"Priv. m.")</f>
        <v>Priv. m.</v>
      </c>
      <c r="I3597" s="2" t="str">
        <f>IFERROR(__xludf.DUMMYFUNCTION("""COMPUTED_VALUE"""),"Brick")</f>
        <v>Brick</v>
      </c>
      <c r="J3597" s="2" t="str">
        <f>IFERROR(__xludf.DUMMYFUNCTION("""COMPUTED_VALUE"""),"All amenities")</f>
        <v>All amenities</v>
      </c>
      <c r="K3597" s="2">
        <f>IFERROR(__xludf.DUMMYFUNCTION("""COMPUTED_VALUE"""),290.0)</f>
        <v>290</v>
      </c>
      <c r="L3597" s="2">
        <f>IFERROR(__xludf.DUMMYFUNCTION("""COMPUTED_VALUE"""),56.9516012499999)</f>
        <v>56.95160125</v>
      </c>
      <c r="M3597" s="2">
        <f>IFERROR(__xludf.DUMMYFUNCTION("""COMPUTED_VALUE"""),24.0250741925052)</f>
        <v>24.02507419</v>
      </c>
    </row>
    <row r="3598">
      <c r="A3598" s="2" t="str">
        <f>IFERROR(__xludf.DUMMYFUNCTION("""COMPUTED_VALUE"""),"For rent")</f>
        <v>For rent</v>
      </c>
      <c r="B3598" s="2" t="str">
        <f>IFERROR(__xludf.DUMMYFUNCTION("""COMPUTED_VALUE"""),"centrs")</f>
        <v>centrs</v>
      </c>
      <c r="C3598" s="2" t="str">
        <f>IFERROR(__xludf.DUMMYFUNCTION("""COMPUTED_VALUE"""),"Klijānu 6")</f>
        <v>Klijānu 6</v>
      </c>
      <c r="D3598" s="2">
        <f>IFERROR(__xludf.DUMMYFUNCTION("""COMPUTED_VALUE"""),3.0)</f>
        <v>3</v>
      </c>
      <c r="E3598" s="2">
        <f>IFERROR(__xludf.DUMMYFUNCTION("""COMPUTED_VALUE"""),200.0)</f>
        <v>200</v>
      </c>
      <c r="F3598" s="2">
        <f>IFERROR(__xludf.DUMMYFUNCTION("""COMPUTED_VALUE"""),8.0)</f>
        <v>8</v>
      </c>
      <c r="G3598" s="2">
        <f>IFERROR(__xludf.DUMMYFUNCTION("""COMPUTED_VALUE"""),9.0)</f>
        <v>9</v>
      </c>
      <c r="H3598" s="2" t="str">
        <f>IFERROR(__xludf.DUMMYFUNCTION("""COMPUTED_VALUE"""),"Jaun.")</f>
        <v>Jaun.</v>
      </c>
      <c r="I3598" s="2" t="str">
        <f>IFERROR(__xludf.DUMMYFUNCTION("""COMPUTED_VALUE"""),"Masonry")</f>
        <v>Masonry</v>
      </c>
      <c r="J3598" s="2" t="str">
        <f>IFERROR(__xludf.DUMMYFUNCTION("""COMPUTED_VALUE"""),"All amenities")</f>
        <v>All amenities</v>
      </c>
      <c r="K3598" s="2">
        <f>IFERROR(__xludf.DUMMYFUNCTION("""COMPUTED_VALUE"""),1300.0)</f>
        <v>1300</v>
      </c>
      <c r="L3598" s="2">
        <f>IFERROR(__xludf.DUMMYFUNCTION("""COMPUTED_VALUE"""),56.9726557)</f>
        <v>56.9726557</v>
      </c>
      <c r="M3598" s="2">
        <f>IFERROR(__xludf.DUMMYFUNCTION("""COMPUTED_VALUE"""),24.1493117212851)</f>
        <v>24.14931172</v>
      </c>
    </row>
    <row r="3599">
      <c r="A3599" s="2" t="str">
        <f>IFERROR(__xludf.DUMMYFUNCTION("""COMPUTED_VALUE"""),"For rent")</f>
        <v>For rent</v>
      </c>
      <c r="B3599" s="2" t="str">
        <f>IFERROR(__xludf.DUMMYFUNCTION("""COMPUTED_VALUE"""),"Imanta")</f>
        <v>Imanta</v>
      </c>
      <c r="C3599" s="2" t="str">
        <f>IFERROR(__xludf.DUMMYFUNCTION("""COMPUTED_VALUE"""),"Dammes 26")</f>
        <v>Dammes 26</v>
      </c>
      <c r="D3599" s="2">
        <f>IFERROR(__xludf.DUMMYFUNCTION("""COMPUTED_VALUE"""),2.0)</f>
        <v>2</v>
      </c>
      <c r="E3599" s="2">
        <f>IFERROR(__xludf.DUMMYFUNCTION("""COMPUTED_VALUE"""),38.0)</f>
        <v>38</v>
      </c>
      <c r="F3599" s="2">
        <f>IFERROR(__xludf.DUMMYFUNCTION("""COMPUTED_VALUE"""),5.0)</f>
        <v>5</v>
      </c>
      <c r="G3599" s="2">
        <f>IFERROR(__xludf.DUMMYFUNCTION("""COMPUTED_VALUE"""),5.0)</f>
        <v>5</v>
      </c>
      <c r="H3599" s="2" t="str">
        <f>IFERROR(__xludf.DUMMYFUNCTION("""COMPUTED_VALUE"""),"LT proj.")</f>
        <v>LT proj.</v>
      </c>
      <c r="I3599" s="2" t="str">
        <f>IFERROR(__xludf.DUMMYFUNCTION("""COMPUTED_VALUE"""),"Panel")</f>
        <v>Panel</v>
      </c>
      <c r="J3599" s="2" t="str">
        <f>IFERROR(__xludf.DUMMYFUNCTION("""COMPUTED_VALUE"""),"All amenities")</f>
        <v>All amenities</v>
      </c>
      <c r="K3599" s="2">
        <f>IFERROR(__xludf.DUMMYFUNCTION("""COMPUTED_VALUE"""),300.0)</f>
        <v>300</v>
      </c>
      <c r="L3599" s="2">
        <f>IFERROR(__xludf.DUMMYFUNCTION("""COMPUTED_VALUE"""),56.9641893)</f>
        <v>56.9641893</v>
      </c>
      <c r="M3599" s="2">
        <f>IFERROR(__xludf.DUMMYFUNCTION("""COMPUTED_VALUE"""),24.0114544598169)</f>
        <v>24.01145446</v>
      </c>
    </row>
    <row r="3600">
      <c r="A3600" s="2" t="str">
        <f>IFERROR(__xludf.DUMMYFUNCTION("""COMPUTED_VALUE"""),"For rent")</f>
        <v>For rent</v>
      </c>
      <c r="B3600" s="2" t="str">
        <f>IFERROR(__xludf.DUMMYFUNCTION("""COMPUTED_VALUE"""),"centrs")</f>
        <v>centrs</v>
      </c>
      <c r="C3600" s="2" t="str">
        <f>IFERROR(__xludf.DUMMYFUNCTION("""COMPUTED_VALUE"""),"Ganību d. 13")</f>
        <v>Ganību d. 13</v>
      </c>
      <c r="D3600" s="2">
        <f>IFERROR(__xludf.DUMMYFUNCTION("""COMPUTED_VALUE"""),3.0)</f>
        <v>3</v>
      </c>
      <c r="E3600" s="2">
        <f>IFERROR(__xludf.DUMMYFUNCTION("""COMPUTED_VALUE"""),70.0)</f>
        <v>70</v>
      </c>
      <c r="F3600" s="2">
        <f>IFERROR(__xludf.DUMMYFUNCTION("""COMPUTED_VALUE"""),5.0)</f>
        <v>5</v>
      </c>
      <c r="G3600" s="2">
        <f>IFERROR(__xludf.DUMMYFUNCTION("""COMPUTED_VALUE"""),6.0)</f>
        <v>6</v>
      </c>
      <c r="H3600" s="2" t="str">
        <f>IFERROR(__xludf.DUMMYFUNCTION("""COMPUTED_VALUE"""),"Jaun.")</f>
        <v>Jaun.</v>
      </c>
      <c r="I3600" s="2" t="str">
        <f>IFERROR(__xludf.DUMMYFUNCTION("""COMPUTED_VALUE"""),"Brick-Panel")</f>
        <v>Brick-Panel</v>
      </c>
      <c r="J3600" s="2" t="str">
        <f>IFERROR(__xludf.DUMMYFUNCTION("""COMPUTED_VALUE"""),"All amenities")</f>
        <v>All amenities</v>
      </c>
      <c r="K3600" s="2">
        <f>IFERROR(__xludf.DUMMYFUNCTION("""COMPUTED_VALUE"""),600.0)</f>
        <v>600</v>
      </c>
      <c r="L3600" s="2">
        <f>IFERROR(__xludf.DUMMYFUNCTION("""COMPUTED_VALUE"""),56.9928319)</f>
        <v>56.9928319</v>
      </c>
      <c r="M3600" s="2">
        <f>IFERROR(__xludf.DUMMYFUNCTION("""COMPUTED_VALUE"""),24.1224521)</f>
        <v>24.1224521</v>
      </c>
    </row>
    <row r="3601">
      <c r="A3601" s="2" t="str">
        <f>IFERROR(__xludf.DUMMYFUNCTION("""COMPUTED_VALUE"""),"For rent")</f>
        <v>For rent</v>
      </c>
      <c r="B3601" s="2" t="str">
        <f>IFERROR(__xludf.DUMMYFUNCTION("""COMPUTED_VALUE"""),"centrs")</f>
        <v>centrs</v>
      </c>
      <c r="C3601" s="2" t="str">
        <f>IFERROR(__xludf.DUMMYFUNCTION("""COMPUTED_VALUE"""),"Klijānu 6")</f>
        <v>Klijānu 6</v>
      </c>
      <c r="D3601" s="2">
        <f>IFERROR(__xludf.DUMMYFUNCTION("""COMPUTED_VALUE"""),1.0)</f>
        <v>1</v>
      </c>
      <c r="E3601" s="2">
        <f>IFERROR(__xludf.DUMMYFUNCTION("""COMPUTED_VALUE"""),35.0)</f>
        <v>35</v>
      </c>
      <c r="F3601" s="2">
        <f>IFERROR(__xludf.DUMMYFUNCTION("""COMPUTED_VALUE"""),5.0)</f>
        <v>5</v>
      </c>
      <c r="G3601" s="2">
        <f>IFERROR(__xludf.DUMMYFUNCTION("""COMPUTED_VALUE"""),9.0)</f>
        <v>9</v>
      </c>
      <c r="H3601" s="2" t="str">
        <f>IFERROR(__xludf.DUMMYFUNCTION("""COMPUTED_VALUE"""),"Jaun.")</f>
        <v>Jaun.</v>
      </c>
      <c r="I3601" s="2" t="str">
        <f>IFERROR(__xludf.DUMMYFUNCTION("""COMPUTED_VALUE"""),"Panel-Brick")</f>
        <v>Panel-Brick</v>
      </c>
      <c r="J3601" s="2" t="str">
        <f>IFERROR(__xludf.DUMMYFUNCTION("""COMPUTED_VALUE"""),"All amenities")</f>
        <v>All amenities</v>
      </c>
      <c r="K3601" s="2">
        <f>IFERROR(__xludf.DUMMYFUNCTION("""COMPUTED_VALUE"""),400.0)</f>
        <v>400</v>
      </c>
      <c r="L3601" s="2">
        <f>IFERROR(__xludf.DUMMYFUNCTION("""COMPUTED_VALUE"""),56.9726557)</f>
        <v>56.9726557</v>
      </c>
      <c r="M3601" s="2">
        <f>IFERROR(__xludf.DUMMYFUNCTION("""COMPUTED_VALUE"""),24.1493117212851)</f>
        <v>24.14931172</v>
      </c>
    </row>
    <row r="3602">
      <c r="A3602" s="2" t="str">
        <f>IFERROR(__xludf.DUMMYFUNCTION("""COMPUTED_VALUE"""),"For rent")</f>
        <v>For rent</v>
      </c>
      <c r="B3602" s="2" t="str">
        <f>IFERROR(__xludf.DUMMYFUNCTION("""COMPUTED_VALUE"""),"centrs")</f>
        <v>centrs</v>
      </c>
      <c r="C3602" s="2" t="str">
        <f>IFERROR(__xludf.DUMMYFUNCTION("""COMPUTED_VALUE"""),"Sadovņikova 39")</f>
        <v>Sadovņikova 39</v>
      </c>
      <c r="D3602" s="2">
        <f>IFERROR(__xludf.DUMMYFUNCTION("""COMPUTED_VALUE"""),2.0)</f>
        <v>2</v>
      </c>
      <c r="E3602" s="2">
        <f>IFERROR(__xludf.DUMMYFUNCTION("""COMPUTED_VALUE"""),45.0)</f>
        <v>45</v>
      </c>
      <c r="F3602" s="2">
        <f>IFERROR(__xludf.DUMMYFUNCTION("""COMPUTED_VALUE"""),3.0)</f>
        <v>3</v>
      </c>
      <c r="G3602" s="2">
        <f>IFERROR(__xludf.DUMMYFUNCTION("""COMPUTED_VALUE"""),5.0)</f>
        <v>5</v>
      </c>
      <c r="H3602" s="2" t="str">
        <f>IFERROR(__xludf.DUMMYFUNCTION("""COMPUTED_VALUE"""),"Specpr.")</f>
        <v>Specpr.</v>
      </c>
      <c r="I3602" s="2" t="str">
        <f>IFERROR(__xludf.DUMMYFUNCTION("""COMPUTED_VALUE"""),"Brick")</f>
        <v>Brick</v>
      </c>
      <c r="J3602" s="2" t="str">
        <f>IFERROR(__xludf.DUMMYFUNCTION("""COMPUTED_VALUE"""),"All amenities")</f>
        <v>All amenities</v>
      </c>
      <c r="K3602" s="2">
        <f>IFERROR(__xludf.DUMMYFUNCTION("""COMPUTED_VALUE"""),40.0)</f>
        <v>40</v>
      </c>
      <c r="L3602" s="2">
        <f>IFERROR(__xludf.DUMMYFUNCTION("""COMPUTED_VALUE"""),56.9412328)</f>
        <v>56.9412328</v>
      </c>
      <c r="M3602" s="2">
        <f>IFERROR(__xludf.DUMMYFUNCTION("""COMPUTED_VALUE"""),24.1350589)</f>
        <v>24.1350589</v>
      </c>
    </row>
    <row r="3603">
      <c r="A3603" s="2" t="str">
        <f>IFERROR(__xludf.DUMMYFUNCTION("""COMPUTED_VALUE"""),"For rent")</f>
        <v>For rent</v>
      </c>
      <c r="B3603" s="2" t="str">
        <f>IFERROR(__xludf.DUMMYFUNCTION("""COMPUTED_VALUE"""),"centrs")</f>
        <v>centrs</v>
      </c>
      <c r="C3603" s="2" t="str">
        <f>IFERROR(__xludf.DUMMYFUNCTION("""COMPUTED_VALUE"""),"Klijānu 6")</f>
        <v>Klijānu 6</v>
      </c>
      <c r="D3603" s="2">
        <f>IFERROR(__xludf.DUMMYFUNCTION("""COMPUTED_VALUE"""),2.0)</f>
        <v>2</v>
      </c>
      <c r="E3603" s="2">
        <f>IFERROR(__xludf.DUMMYFUNCTION("""COMPUTED_VALUE"""),70.0)</f>
        <v>70</v>
      </c>
      <c r="F3603" s="2">
        <f>IFERROR(__xludf.DUMMYFUNCTION("""COMPUTED_VALUE"""),8.0)</f>
        <v>8</v>
      </c>
      <c r="G3603" s="2">
        <f>IFERROR(__xludf.DUMMYFUNCTION("""COMPUTED_VALUE"""),9.0)</f>
        <v>9</v>
      </c>
      <c r="H3603" s="2" t="str">
        <f>IFERROR(__xludf.DUMMYFUNCTION("""COMPUTED_VALUE"""),"Jaun.")</f>
        <v>Jaun.</v>
      </c>
      <c r="I3603" s="2" t="str">
        <f>IFERROR(__xludf.DUMMYFUNCTION("""COMPUTED_VALUE"""),"Panel-Brick")</f>
        <v>Panel-Brick</v>
      </c>
      <c r="J3603" s="2" t="str">
        <f>IFERROR(__xludf.DUMMYFUNCTION("""COMPUTED_VALUE"""),"All amenities")</f>
        <v>All amenities</v>
      </c>
      <c r="K3603" s="2">
        <f>IFERROR(__xludf.DUMMYFUNCTION("""COMPUTED_VALUE"""),750.0)</f>
        <v>750</v>
      </c>
      <c r="L3603" s="2">
        <f>IFERROR(__xludf.DUMMYFUNCTION("""COMPUTED_VALUE"""),56.9726557)</f>
        <v>56.9726557</v>
      </c>
      <c r="M3603" s="2">
        <f>IFERROR(__xludf.DUMMYFUNCTION("""COMPUTED_VALUE"""),24.1493117212851)</f>
        <v>24.14931172</v>
      </c>
    </row>
    <row r="3604">
      <c r="A3604" s="2" t="str">
        <f>IFERROR(__xludf.DUMMYFUNCTION("""COMPUTED_VALUE"""),"For sale")</f>
        <v>For sale</v>
      </c>
      <c r="B3604" s="2" t="str">
        <f>IFERROR(__xludf.DUMMYFUNCTION("""COMPUTED_VALUE"""),"Čiekurkalns")</f>
        <v>Čiekurkalns</v>
      </c>
      <c r="C3604" s="2" t="str">
        <f>IFERROR(__xludf.DUMMYFUNCTION("""COMPUTED_VALUE"""),"Skultes 5")</f>
        <v>Skultes 5</v>
      </c>
      <c r="D3604" s="2">
        <f>IFERROR(__xludf.DUMMYFUNCTION("""COMPUTED_VALUE"""),2.0)</f>
        <v>2</v>
      </c>
      <c r="E3604" s="2">
        <f>IFERROR(__xludf.DUMMYFUNCTION("""COMPUTED_VALUE"""),38.0)</f>
        <v>38</v>
      </c>
      <c r="F3604" s="2">
        <f>IFERROR(__xludf.DUMMYFUNCTION("""COMPUTED_VALUE"""),2.0)</f>
        <v>2</v>
      </c>
      <c r="G3604" s="2">
        <f>IFERROR(__xludf.DUMMYFUNCTION("""COMPUTED_VALUE"""),3.0)</f>
        <v>3</v>
      </c>
      <c r="H3604" s="2" t="str">
        <f>IFERROR(__xludf.DUMMYFUNCTION("""COMPUTED_VALUE"""),"Renov.")</f>
        <v>Renov.</v>
      </c>
      <c r="I3604" s="2" t="str">
        <f>IFERROR(__xludf.DUMMYFUNCTION("""COMPUTED_VALUE"""),"Masonry")</f>
        <v>Masonry</v>
      </c>
      <c r="J3604" s="2" t="str">
        <f>IFERROR(__xludf.DUMMYFUNCTION("""COMPUTED_VALUE"""),"All amenities")</f>
        <v>All amenities</v>
      </c>
      <c r="K3604" s="2">
        <f>IFERROR(__xludf.DUMMYFUNCTION("""COMPUTED_VALUE"""),40700.0)</f>
        <v>40700</v>
      </c>
      <c r="L3604" s="2">
        <f>IFERROR(__xludf.DUMMYFUNCTION("""COMPUTED_VALUE"""),56.9849578)</f>
        <v>56.9849578</v>
      </c>
      <c r="M3604" s="2">
        <f>IFERROR(__xludf.DUMMYFUNCTION("""COMPUTED_VALUE"""),24.1831339972375)</f>
        <v>24.183134</v>
      </c>
    </row>
    <row r="3605">
      <c r="A3605" s="2" t="str">
        <f>IFERROR(__xludf.DUMMYFUNCTION("""COMPUTED_VALUE"""),"For rent")</f>
        <v>For rent</v>
      </c>
      <c r="B3605" s="2" t="str">
        <f>IFERROR(__xludf.DUMMYFUNCTION("""COMPUTED_VALUE"""),"Grīziņkalns")</f>
        <v>Grīziņkalns</v>
      </c>
      <c r="C3605" s="2" t="str">
        <f>IFERROR(__xludf.DUMMYFUNCTION("""COMPUTED_VALUE"""),"Zvaigžņu 18")</f>
        <v>Zvaigžņu 18</v>
      </c>
      <c r="D3605" s="2">
        <f>IFERROR(__xludf.DUMMYFUNCTION("""COMPUTED_VALUE"""),3.0)</f>
        <v>3</v>
      </c>
      <c r="E3605" s="2">
        <f>IFERROR(__xludf.DUMMYFUNCTION("""COMPUTED_VALUE"""),70.0)</f>
        <v>70</v>
      </c>
      <c r="F3605" s="2">
        <f>IFERROR(__xludf.DUMMYFUNCTION("""COMPUTED_VALUE"""),4.0)</f>
        <v>4</v>
      </c>
      <c r="G3605" s="2">
        <f>IFERROR(__xludf.DUMMYFUNCTION("""COMPUTED_VALUE"""),5.0)</f>
        <v>5</v>
      </c>
      <c r="H3605" s="2">
        <f>IFERROR(__xludf.DUMMYFUNCTION("""COMPUTED_VALUE"""),103.0)</f>
        <v>103</v>
      </c>
      <c r="I3605" s="2" t="str">
        <f>IFERROR(__xludf.DUMMYFUNCTION("""COMPUTED_VALUE"""),"Brick")</f>
        <v>Brick</v>
      </c>
      <c r="J3605" s="2" t="str">
        <f>IFERROR(__xludf.DUMMYFUNCTION("""COMPUTED_VALUE"""),"All amenities")</f>
        <v>All amenities</v>
      </c>
      <c r="K3605" s="2">
        <f>IFERROR(__xludf.DUMMYFUNCTION("""COMPUTED_VALUE"""),520.0)</f>
        <v>520</v>
      </c>
      <c r="L3605" s="2">
        <f>IFERROR(__xludf.DUMMYFUNCTION("""COMPUTED_VALUE"""),56.96000855)</f>
        <v>56.96000855</v>
      </c>
      <c r="M3605" s="2">
        <f>IFERROR(__xludf.DUMMYFUNCTION("""COMPUTED_VALUE"""),24.1483534206791)</f>
        <v>24.14835342</v>
      </c>
    </row>
    <row r="3606">
      <c r="A3606" s="2" t="str">
        <f>IFERROR(__xludf.DUMMYFUNCTION("""COMPUTED_VALUE"""),"For rent")</f>
        <v>For rent</v>
      </c>
      <c r="B3606" s="2" t="str">
        <f>IFERROR(__xludf.DUMMYFUNCTION("""COMPUTED_VALUE"""),"Vecmīlgrāvis")</f>
        <v>Vecmīlgrāvis</v>
      </c>
      <c r="C3606" s="2" t="str">
        <f>IFERROR(__xludf.DUMMYFUNCTION("""COMPUTED_VALUE"""),"Kalngales 1")</f>
        <v>Kalngales 1</v>
      </c>
      <c r="D3606" s="2">
        <f>IFERROR(__xludf.DUMMYFUNCTION("""COMPUTED_VALUE"""),1.0)</f>
        <v>1</v>
      </c>
      <c r="E3606" s="2">
        <f>IFERROR(__xludf.DUMMYFUNCTION("""COMPUTED_VALUE"""),34.0)</f>
        <v>34</v>
      </c>
      <c r="F3606" s="2">
        <f>IFERROR(__xludf.DUMMYFUNCTION("""COMPUTED_VALUE"""),8.0)</f>
        <v>8</v>
      </c>
      <c r="G3606" s="2">
        <f>IFERROR(__xludf.DUMMYFUNCTION("""COMPUTED_VALUE"""),9.0)</f>
        <v>9</v>
      </c>
      <c r="H3606" s="2">
        <f>IFERROR(__xludf.DUMMYFUNCTION("""COMPUTED_VALUE"""),602.0)</f>
        <v>602</v>
      </c>
      <c r="I3606" s="2" t="str">
        <f>IFERROR(__xludf.DUMMYFUNCTION("""COMPUTED_VALUE"""),"Panel")</f>
        <v>Panel</v>
      </c>
      <c r="J3606" s="2" t="str">
        <f>IFERROR(__xludf.DUMMYFUNCTION("""COMPUTED_VALUE"""),"All amenities")</f>
        <v>All amenities</v>
      </c>
      <c r="K3606" s="2">
        <f>IFERROR(__xludf.DUMMYFUNCTION("""COMPUTED_VALUE"""),210.0)</f>
        <v>210</v>
      </c>
      <c r="L3606" s="2">
        <f>IFERROR(__xludf.DUMMYFUNCTION("""COMPUTED_VALUE"""),57.03824475)</f>
        <v>57.03824475</v>
      </c>
      <c r="M3606" s="2">
        <f>IFERROR(__xludf.DUMMYFUNCTION("""COMPUTED_VALUE"""),24.0993423582241)</f>
        <v>24.09934236</v>
      </c>
    </row>
    <row r="3607">
      <c r="A3607" s="2" t="str">
        <f>IFERROR(__xludf.DUMMYFUNCTION("""COMPUTED_VALUE"""),"For sale")</f>
        <v>For sale</v>
      </c>
      <c r="B3607" s="2" t="str">
        <f>IFERROR(__xludf.DUMMYFUNCTION("""COMPUTED_VALUE"""),"Ziepniekkalns")</f>
        <v>Ziepniekkalns</v>
      </c>
      <c r="C3607" s="2" t="str">
        <f>IFERROR(__xludf.DUMMYFUNCTION("""COMPUTED_VALUE"""),"Ozolciema 52")</f>
        <v>Ozolciema 52</v>
      </c>
      <c r="D3607" s="2">
        <f>IFERROR(__xludf.DUMMYFUNCTION("""COMPUTED_VALUE"""),1.0)</f>
        <v>1</v>
      </c>
      <c r="E3607" s="2">
        <f>IFERROR(__xludf.DUMMYFUNCTION("""COMPUTED_VALUE"""),41.0)</f>
        <v>41</v>
      </c>
      <c r="F3607" s="2">
        <f>IFERROR(__xludf.DUMMYFUNCTION("""COMPUTED_VALUE"""),2.0)</f>
        <v>2</v>
      </c>
      <c r="G3607" s="2">
        <f>IFERROR(__xludf.DUMMYFUNCTION("""COMPUTED_VALUE"""),9.0)</f>
        <v>9</v>
      </c>
      <c r="H3607" s="2" t="str">
        <f>IFERROR(__xludf.DUMMYFUNCTION("""COMPUTED_VALUE"""),"M. ģim.")</f>
        <v>M. ģim.</v>
      </c>
      <c r="I3607" s="2" t="str">
        <f>IFERROR(__xludf.DUMMYFUNCTION("""COMPUTED_VALUE"""),"Panel")</f>
        <v>Panel</v>
      </c>
      <c r="J3607" s="2" t="str">
        <f>IFERROR(__xludf.DUMMYFUNCTION("""COMPUTED_VALUE"""),"All amenities")</f>
        <v>All amenities</v>
      </c>
      <c r="K3607" s="2">
        <f>IFERROR(__xludf.DUMMYFUNCTION("""COMPUTED_VALUE"""),65000.0)</f>
        <v>65000</v>
      </c>
      <c r="L3607" s="2">
        <f>IFERROR(__xludf.DUMMYFUNCTION("""COMPUTED_VALUE"""),56.9010095999999)</f>
        <v>56.9010096</v>
      </c>
      <c r="M3607" s="2">
        <f>IFERROR(__xludf.DUMMYFUNCTION("""COMPUTED_VALUE"""),24.0999756383549)</f>
        <v>24.09997564</v>
      </c>
    </row>
    <row r="3608">
      <c r="A3608" s="2" t="str">
        <f>IFERROR(__xludf.DUMMYFUNCTION("""COMPUTED_VALUE"""),"For rent")</f>
        <v>For rent</v>
      </c>
      <c r="B3608" s="2" t="str">
        <f>IFERROR(__xludf.DUMMYFUNCTION("""COMPUTED_VALUE"""),"Ziepniekkalns")</f>
        <v>Ziepniekkalns</v>
      </c>
      <c r="C3608" s="2" t="str">
        <f>IFERROR(__xludf.DUMMYFUNCTION("""COMPUTED_VALUE"""),"Tīraines 10")</f>
        <v>Tīraines 10</v>
      </c>
      <c r="D3608" s="2">
        <f>IFERROR(__xludf.DUMMYFUNCTION("""COMPUTED_VALUE"""),2.0)</f>
        <v>2</v>
      </c>
      <c r="E3608" s="2">
        <f>IFERROR(__xludf.DUMMYFUNCTION("""COMPUTED_VALUE"""),36.0)</f>
        <v>36</v>
      </c>
      <c r="F3608" s="2">
        <f>IFERROR(__xludf.DUMMYFUNCTION("""COMPUTED_VALUE"""),2.0)</f>
        <v>2</v>
      </c>
      <c r="G3608" s="2">
        <f>IFERROR(__xludf.DUMMYFUNCTION("""COMPUTED_VALUE"""),4.0)</f>
        <v>4</v>
      </c>
      <c r="H3608" s="2">
        <f>IFERROR(__xludf.DUMMYFUNCTION("""COMPUTED_VALUE"""),602.0)</f>
        <v>602</v>
      </c>
      <c r="I3608" s="2" t="str">
        <f>IFERROR(__xludf.DUMMYFUNCTION("""COMPUTED_VALUE"""),"Brick-Panel")</f>
        <v>Brick-Panel</v>
      </c>
      <c r="J3608" s="2" t="str">
        <f>IFERROR(__xludf.DUMMYFUNCTION("""COMPUTED_VALUE"""),"All amenities")</f>
        <v>All amenities</v>
      </c>
      <c r="K3608" s="2">
        <f>IFERROR(__xludf.DUMMYFUNCTION("""COMPUTED_VALUE"""),250.0)</f>
        <v>250</v>
      </c>
      <c r="L3608" s="2">
        <f>IFERROR(__xludf.DUMMYFUNCTION("""COMPUTED_VALUE"""),56.894617)</f>
        <v>56.894617</v>
      </c>
      <c r="M3608" s="2">
        <f>IFERROR(__xludf.DUMMYFUNCTION("""COMPUTED_VALUE"""),24.0770017)</f>
        <v>24.0770017</v>
      </c>
    </row>
    <row r="3609">
      <c r="A3609" s="2" t="str">
        <f>IFERROR(__xludf.DUMMYFUNCTION("""COMPUTED_VALUE"""),"For sale")</f>
        <v>For sale</v>
      </c>
      <c r="B3609" s="2" t="str">
        <f>IFERROR(__xludf.DUMMYFUNCTION("""COMPUTED_VALUE"""),"Zolitūde")</f>
        <v>Zolitūde</v>
      </c>
      <c r="C3609" s="2" t="str">
        <f>IFERROR(__xludf.DUMMYFUNCTION("""COMPUTED_VALUE"""),"Zolitūdes 38/3")</f>
        <v>Zolitūdes 38/3</v>
      </c>
      <c r="D3609" s="2">
        <f>IFERROR(__xludf.DUMMYFUNCTION("""COMPUTED_VALUE"""),3.0)</f>
        <v>3</v>
      </c>
      <c r="E3609" s="2">
        <f>IFERROR(__xludf.DUMMYFUNCTION("""COMPUTED_VALUE"""),83.0)</f>
        <v>83</v>
      </c>
      <c r="F3609" s="2">
        <f>IFERROR(__xludf.DUMMYFUNCTION("""COMPUTED_VALUE"""),9.0)</f>
        <v>9</v>
      </c>
      <c r="G3609" s="2">
        <f>IFERROR(__xludf.DUMMYFUNCTION("""COMPUTED_VALUE"""),9.0)</f>
        <v>9</v>
      </c>
      <c r="H3609" s="2">
        <f>IFERROR(__xludf.DUMMYFUNCTION("""COMPUTED_VALUE"""),119.0)</f>
        <v>119</v>
      </c>
      <c r="I3609" s="2" t="str">
        <f>IFERROR(__xludf.DUMMYFUNCTION("""COMPUTED_VALUE"""),"Panel")</f>
        <v>Panel</v>
      </c>
      <c r="J3609" s="2" t="str">
        <f>IFERROR(__xludf.DUMMYFUNCTION("""COMPUTED_VALUE"""),"All amenities")</f>
        <v>All amenities</v>
      </c>
      <c r="K3609" s="2">
        <f>IFERROR(__xludf.DUMMYFUNCTION("""COMPUTED_VALUE"""),72300.0)</f>
        <v>72300</v>
      </c>
      <c r="L3609" s="2">
        <f>IFERROR(__xludf.DUMMYFUNCTION("""COMPUTED_VALUE"""),56.9461963)</f>
        <v>56.9461963</v>
      </c>
      <c r="M3609" s="2">
        <f>IFERROR(__xludf.DUMMYFUNCTION("""COMPUTED_VALUE"""),24.0014164)</f>
        <v>24.0014164</v>
      </c>
    </row>
    <row r="3610">
      <c r="A3610" s="2" t="str">
        <f>IFERROR(__xludf.DUMMYFUNCTION("""COMPUTED_VALUE"""),"For sale")</f>
        <v>For sale</v>
      </c>
      <c r="B3610" s="2" t="str">
        <f>IFERROR(__xludf.DUMMYFUNCTION("""COMPUTED_VALUE"""),"Purvciems")</f>
        <v>Purvciems</v>
      </c>
      <c r="C3610" s="2" t="str">
        <f>IFERROR(__xludf.DUMMYFUNCTION("""COMPUTED_VALUE"""),"Vairoga 11")</f>
        <v>Vairoga 11</v>
      </c>
      <c r="D3610" s="2">
        <f>IFERROR(__xludf.DUMMYFUNCTION("""COMPUTED_VALUE"""),3.0)</f>
        <v>3</v>
      </c>
      <c r="E3610" s="2">
        <f>IFERROR(__xludf.DUMMYFUNCTION("""COMPUTED_VALUE"""),75.0)</f>
        <v>75</v>
      </c>
      <c r="F3610" s="2">
        <f>IFERROR(__xludf.DUMMYFUNCTION("""COMPUTED_VALUE"""),1.0)</f>
        <v>1</v>
      </c>
      <c r="G3610" s="2">
        <f>IFERROR(__xludf.DUMMYFUNCTION("""COMPUTED_VALUE"""),3.0)</f>
        <v>3</v>
      </c>
      <c r="H3610" s="2" t="str">
        <f>IFERROR(__xludf.DUMMYFUNCTION("""COMPUTED_VALUE"""),"Staļina")</f>
        <v>Staļina</v>
      </c>
      <c r="I3610" s="2" t="str">
        <f>IFERROR(__xludf.DUMMYFUNCTION("""COMPUTED_VALUE"""),"Brick")</f>
        <v>Brick</v>
      </c>
      <c r="J3610" s="2" t="str">
        <f>IFERROR(__xludf.DUMMYFUNCTION("""COMPUTED_VALUE"""),"All amenities")</f>
        <v>All amenities</v>
      </c>
      <c r="K3610" s="2">
        <f>IFERROR(__xludf.DUMMYFUNCTION("""COMPUTED_VALUE"""),85454.0)</f>
        <v>85454</v>
      </c>
      <c r="L3610" s="2">
        <f>IFERROR(__xludf.DUMMYFUNCTION("""COMPUTED_VALUE"""),56.9693735)</f>
        <v>56.9693735</v>
      </c>
      <c r="M3610" s="2">
        <f>IFERROR(__xludf.DUMMYFUNCTION("""COMPUTED_VALUE"""),24.169398)</f>
        <v>24.169398</v>
      </c>
    </row>
    <row r="3611">
      <c r="A3611" s="2" t="str">
        <f>IFERROR(__xludf.DUMMYFUNCTION("""COMPUTED_VALUE"""),"For sale")</f>
        <v>For sale</v>
      </c>
      <c r="B3611" s="2" t="str">
        <f>IFERROR(__xludf.DUMMYFUNCTION("""COMPUTED_VALUE"""),"Teika")</f>
        <v>Teika</v>
      </c>
      <c r="C3611" s="2" t="str">
        <f>IFERROR(__xludf.DUMMYFUNCTION("""COMPUTED_VALUE"""),"Ropažu 74")</f>
        <v>Ropažu 74</v>
      </c>
      <c r="D3611" s="2">
        <f>IFERROR(__xludf.DUMMYFUNCTION("""COMPUTED_VALUE"""),3.0)</f>
        <v>3</v>
      </c>
      <c r="E3611" s="2">
        <f>IFERROR(__xludf.DUMMYFUNCTION("""COMPUTED_VALUE"""),66.0)</f>
        <v>66</v>
      </c>
      <c r="F3611" s="2">
        <f>IFERROR(__xludf.DUMMYFUNCTION("""COMPUTED_VALUE"""),2.0)</f>
        <v>2</v>
      </c>
      <c r="G3611" s="2">
        <f>IFERROR(__xludf.DUMMYFUNCTION("""COMPUTED_VALUE"""),5.0)</f>
        <v>5</v>
      </c>
      <c r="H3611" s="2">
        <f>IFERROR(__xludf.DUMMYFUNCTION("""COMPUTED_VALUE"""),103.0)</f>
        <v>103</v>
      </c>
      <c r="I3611" s="2" t="str">
        <f>IFERROR(__xludf.DUMMYFUNCTION("""COMPUTED_VALUE"""),"Brick-Panel")</f>
        <v>Brick-Panel</v>
      </c>
      <c r="J3611" s="2" t="str">
        <f>IFERROR(__xludf.DUMMYFUNCTION("""COMPUTED_VALUE"""),"All amenities")</f>
        <v>All amenities</v>
      </c>
      <c r="K3611" s="2">
        <f>IFERROR(__xludf.DUMMYFUNCTION("""COMPUTED_VALUE"""),62000.0)</f>
        <v>62000</v>
      </c>
      <c r="L3611" s="2">
        <f>IFERROR(__xludf.DUMMYFUNCTION("""COMPUTED_VALUE"""),56.98189375)</f>
        <v>56.98189375</v>
      </c>
      <c r="M3611" s="2">
        <f>IFERROR(__xludf.DUMMYFUNCTION("""COMPUTED_VALUE"""),24.1848710090485)</f>
        <v>24.18487101</v>
      </c>
    </row>
    <row r="3612">
      <c r="A3612" s="2" t="str">
        <f>IFERROR(__xludf.DUMMYFUNCTION("""COMPUTED_VALUE"""),"For sale")</f>
        <v>For sale</v>
      </c>
      <c r="B3612" s="2" t="str">
        <f>IFERROR(__xludf.DUMMYFUNCTION("""COMPUTED_VALUE"""),"Jugla")</f>
        <v>Jugla</v>
      </c>
      <c r="C3612" s="2" t="str">
        <f>IFERROR(__xludf.DUMMYFUNCTION("""COMPUTED_VALUE"""),"Skrudalienas 15")</f>
        <v>Skrudalienas 15</v>
      </c>
      <c r="D3612" s="2">
        <f>IFERROR(__xludf.DUMMYFUNCTION("""COMPUTED_VALUE"""),2.0)</f>
        <v>2</v>
      </c>
      <c r="E3612" s="2">
        <f>IFERROR(__xludf.DUMMYFUNCTION("""COMPUTED_VALUE"""),48.0)</f>
        <v>48</v>
      </c>
      <c r="F3612" s="2">
        <f>IFERROR(__xludf.DUMMYFUNCTION("""COMPUTED_VALUE"""),1.0)</f>
        <v>1</v>
      </c>
      <c r="G3612" s="2">
        <f>IFERROR(__xludf.DUMMYFUNCTION("""COMPUTED_VALUE"""),2.0)</f>
        <v>2</v>
      </c>
      <c r="H3612" s="2" t="str">
        <f>IFERROR(__xludf.DUMMYFUNCTION("""COMPUTED_VALUE"""),"Specpr.")</f>
        <v>Specpr.</v>
      </c>
      <c r="I3612" s="2" t="str">
        <f>IFERROR(__xludf.DUMMYFUNCTION("""COMPUTED_VALUE"""),"Panel-Brick")</f>
        <v>Panel-Brick</v>
      </c>
      <c r="J3612" s="2" t="str">
        <f>IFERROR(__xludf.DUMMYFUNCTION("""COMPUTED_VALUE"""),"All amenities")</f>
        <v>All amenities</v>
      </c>
      <c r="K3612" s="2">
        <f>IFERROR(__xludf.DUMMYFUNCTION("""COMPUTED_VALUE"""),36500.0)</f>
        <v>36500</v>
      </c>
      <c r="L3612" s="2">
        <f>IFERROR(__xludf.DUMMYFUNCTION("""COMPUTED_VALUE"""),56.9804249)</f>
        <v>56.9804249</v>
      </c>
      <c r="M3612" s="2">
        <f>IFERROR(__xludf.DUMMYFUNCTION("""COMPUTED_VALUE"""),24.2514125499999)</f>
        <v>24.25141255</v>
      </c>
    </row>
    <row r="3613">
      <c r="A3613" s="2" t="str">
        <f>IFERROR(__xludf.DUMMYFUNCTION("""COMPUTED_VALUE"""),"For sale")</f>
        <v>For sale</v>
      </c>
      <c r="B3613" s="2" t="str">
        <f>IFERROR(__xludf.DUMMYFUNCTION("""COMPUTED_VALUE"""),"Mangaļi")</f>
        <v>Mangaļi</v>
      </c>
      <c r="C3613" s="2" t="str">
        <f>IFERROR(__xludf.DUMMYFUNCTION("""COMPUTED_VALUE"""),"Mores 17")</f>
        <v>Mores 17</v>
      </c>
      <c r="D3613" s="2">
        <f>IFERROR(__xludf.DUMMYFUNCTION("""COMPUTED_VALUE"""),2.0)</f>
        <v>2</v>
      </c>
      <c r="E3613" s="2">
        <f>IFERROR(__xludf.DUMMYFUNCTION("""COMPUTED_VALUE"""),65.0)</f>
        <v>65</v>
      </c>
      <c r="F3613" s="2">
        <f>IFERROR(__xludf.DUMMYFUNCTION("""COMPUTED_VALUE"""),1.0)</f>
        <v>1</v>
      </c>
      <c r="G3613" s="2">
        <f>IFERROR(__xludf.DUMMYFUNCTION("""COMPUTED_VALUE"""),3.0)</f>
        <v>3</v>
      </c>
      <c r="H3613" s="2" t="str">
        <f>IFERROR(__xludf.DUMMYFUNCTION("""COMPUTED_VALUE"""),"Jaun.")</f>
        <v>Jaun.</v>
      </c>
      <c r="I3613" s="2" t="str">
        <f>IFERROR(__xludf.DUMMYFUNCTION("""COMPUTED_VALUE"""),"Masonry")</f>
        <v>Masonry</v>
      </c>
      <c r="J3613" s="2" t="str">
        <f>IFERROR(__xludf.DUMMYFUNCTION("""COMPUTED_VALUE"""),"All amenities")</f>
        <v>All amenities</v>
      </c>
      <c r="K3613" s="2">
        <f>IFERROR(__xludf.DUMMYFUNCTION("""COMPUTED_VALUE"""),90628.0)</f>
        <v>90628</v>
      </c>
      <c r="L3613" s="2">
        <f>IFERROR(__xludf.DUMMYFUNCTION("""COMPUTED_VALUE"""),57.0200178)</f>
        <v>57.0200178</v>
      </c>
      <c r="M3613" s="2">
        <f>IFERROR(__xludf.DUMMYFUNCTION("""COMPUTED_VALUE"""),24.1371463)</f>
        <v>24.1371463</v>
      </c>
    </row>
    <row r="3614">
      <c r="A3614" s="2" t="str">
        <f>IFERROR(__xludf.DUMMYFUNCTION("""COMPUTED_VALUE"""),"For sale")</f>
        <v>For sale</v>
      </c>
      <c r="B3614" s="2" t="str">
        <f>IFERROR(__xludf.DUMMYFUNCTION("""COMPUTED_VALUE"""),"centrs")</f>
        <v>centrs</v>
      </c>
      <c r="C3614" s="2" t="str">
        <f>IFERROR(__xludf.DUMMYFUNCTION("""COMPUTED_VALUE"""),"Ganību d. 16")</f>
        <v>Ganību d. 16</v>
      </c>
      <c r="D3614" s="2">
        <f>IFERROR(__xludf.DUMMYFUNCTION("""COMPUTED_VALUE"""),1.0)</f>
        <v>1</v>
      </c>
      <c r="E3614" s="2">
        <f>IFERROR(__xludf.DUMMYFUNCTION("""COMPUTED_VALUE"""),15.8)</f>
        <v>15.8</v>
      </c>
      <c r="F3614" s="2">
        <f>IFERROR(__xludf.DUMMYFUNCTION("""COMPUTED_VALUE"""),1.0)</f>
        <v>1</v>
      </c>
      <c r="G3614" s="2">
        <f>IFERROR(__xludf.DUMMYFUNCTION("""COMPUTED_VALUE"""),2.0)</f>
        <v>2</v>
      </c>
      <c r="H3614" s="2" t="str">
        <f>IFERROR(__xludf.DUMMYFUNCTION("""COMPUTED_VALUE"""),"Specpr.")</f>
        <v>Specpr.</v>
      </c>
      <c r="I3614" s="2" t="str">
        <f>IFERROR(__xludf.DUMMYFUNCTION("""COMPUTED_VALUE"""),"Brick")</f>
        <v>Brick</v>
      </c>
      <c r="J3614" s="2" t="str">
        <f>IFERROR(__xludf.DUMMYFUNCTION("""COMPUTED_VALUE"""),"Partial amenities")</f>
        <v>Partial amenities</v>
      </c>
      <c r="K3614" s="2">
        <f>IFERROR(__xludf.DUMMYFUNCTION("""COMPUTED_VALUE"""),5300.0)</f>
        <v>5300</v>
      </c>
      <c r="L3614" s="2">
        <f>IFERROR(__xludf.DUMMYFUNCTION("""COMPUTED_VALUE"""),56.9928319)</f>
        <v>56.9928319</v>
      </c>
      <c r="M3614" s="2">
        <f>IFERROR(__xludf.DUMMYFUNCTION("""COMPUTED_VALUE"""),24.1224521)</f>
        <v>24.1224521</v>
      </c>
    </row>
    <row r="3615">
      <c r="A3615" s="2" t="str">
        <f>IFERROR(__xludf.DUMMYFUNCTION("""COMPUTED_VALUE"""),"For sale")</f>
        <v>For sale</v>
      </c>
      <c r="B3615" s="2" t="str">
        <f>IFERROR(__xludf.DUMMYFUNCTION("""COMPUTED_VALUE"""),"centrs")</f>
        <v>centrs</v>
      </c>
      <c r="C3615" s="2" t="str">
        <f>IFERROR(__xludf.DUMMYFUNCTION("""COMPUTED_VALUE"""),"Tērbatas 65")</f>
        <v>Tērbatas 65</v>
      </c>
      <c r="D3615" s="2">
        <f>IFERROR(__xludf.DUMMYFUNCTION("""COMPUTED_VALUE"""),4.0)</f>
        <v>4</v>
      </c>
      <c r="E3615" s="2">
        <f>IFERROR(__xludf.DUMMYFUNCTION("""COMPUTED_VALUE"""),124.0)</f>
        <v>124</v>
      </c>
      <c r="F3615" s="2">
        <f>IFERROR(__xludf.DUMMYFUNCTION("""COMPUTED_VALUE"""),4.0)</f>
        <v>4</v>
      </c>
      <c r="G3615" s="2">
        <f>IFERROR(__xludf.DUMMYFUNCTION("""COMPUTED_VALUE"""),5.0)</f>
        <v>5</v>
      </c>
      <c r="H3615" s="2" t="str">
        <f>IFERROR(__xludf.DUMMYFUNCTION("""COMPUTED_VALUE"""),"P. kara")</f>
        <v>P. kara</v>
      </c>
      <c r="I3615" s="2" t="str">
        <f>IFERROR(__xludf.DUMMYFUNCTION("""COMPUTED_VALUE"""),"Masonry")</f>
        <v>Masonry</v>
      </c>
      <c r="J3615" s="2" t="str">
        <f>IFERROR(__xludf.DUMMYFUNCTION("""COMPUTED_VALUE"""),"All amenities")</f>
        <v>All amenities</v>
      </c>
      <c r="K3615" s="2">
        <f>IFERROR(__xludf.DUMMYFUNCTION("""COMPUTED_VALUE"""),177777.0)</f>
        <v>177777</v>
      </c>
      <c r="L3615" s="2">
        <f>IFERROR(__xludf.DUMMYFUNCTION("""COMPUTED_VALUE"""),56.9581924)</f>
        <v>56.9581924</v>
      </c>
      <c r="M3615" s="2">
        <f>IFERROR(__xludf.DUMMYFUNCTION("""COMPUTED_VALUE"""),24.1306619)</f>
        <v>24.1306619</v>
      </c>
    </row>
    <row r="3616">
      <c r="A3616" s="2" t="str">
        <f>IFERROR(__xludf.DUMMYFUNCTION("""COMPUTED_VALUE"""),"For sale")</f>
        <v>For sale</v>
      </c>
      <c r="B3616" s="2" t="str">
        <f>IFERROR(__xludf.DUMMYFUNCTION("""COMPUTED_VALUE"""),"Vecrīga")</f>
        <v>Vecrīga</v>
      </c>
      <c r="C3616" s="2" t="str">
        <f>IFERROR(__xludf.DUMMYFUNCTION("""COMPUTED_VALUE"""),"Vāgnera 12")</f>
        <v>Vāgnera 12</v>
      </c>
      <c r="D3616" s="2">
        <f>IFERROR(__xludf.DUMMYFUNCTION("""COMPUTED_VALUE"""),4.0)</f>
        <v>4</v>
      </c>
      <c r="E3616" s="2">
        <f>IFERROR(__xludf.DUMMYFUNCTION("""COMPUTED_VALUE"""),136.0)</f>
        <v>136</v>
      </c>
      <c r="F3616" s="2">
        <f>IFERROR(__xludf.DUMMYFUNCTION("""COMPUTED_VALUE"""),2.0)</f>
        <v>2</v>
      </c>
      <c r="G3616" s="2">
        <f>IFERROR(__xludf.DUMMYFUNCTION("""COMPUTED_VALUE"""),2.0)</f>
        <v>2</v>
      </c>
      <c r="H3616" s="2" t="str">
        <f>IFERROR(__xludf.DUMMYFUNCTION("""COMPUTED_VALUE"""),"P. kara")</f>
        <v>P. kara</v>
      </c>
      <c r="I3616" s="2" t="str">
        <f>IFERROR(__xludf.DUMMYFUNCTION("""COMPUTED_VALUE"""),"Masonry")</f>
        <v>Masonry</v>
      </c>
      <c r="J3616" s="2" t="str">
        <f>IFERROR(__xludf.DUMMYFUNCTION("""COMPUTED_VALUE"""),"All amenities")</f>
        <v>All amenities</v>
      </c>
      <c r="K3616" s="2">
        <f>IFERROR(__xludf.DUMMYFUNCTION("""COMPUTED_VALUE"""),227700.0)</f>
        <v>227700</v>
      </c>
      <c r="L3616" s="2">
        <f>IFERROR(__xludf.DUMMYFUNCTION("""COMPUTED_VALUE"""),56.94881585)</f>
        <v>56.94881585</v>
      </c>
      <c r="M3616" s="2">
        <f>IFERROR(__xludf.DUMMYFUNCTION("""COMPUTED_VALUE"""),24.1114738591085)</f>
        <v>24.11147386</v>
      </c>
    </row>
    <row r="3617">
      <c r="A3617" s="2" t="str">
        <f>IFERROR(__xludf.DUMMYFUNCTION("""COMPUTED_VALUE"""),"For rent")</f>
        <v>For rent</v>
      </c>
      <c r="B3617" s="2" t="str">
        <f>IFERROR(__xludf.DUMMYFUNCTION("""COMPUTED_VALUE"""),"Ķengarags")</f>
        <v>Ķengarags</v>
      </c>
      <c r="C3617" s="2" t="str">
        <f>IFERROR(__xludf.DUMMYFUNCTION("""COMPUTED_VALUE"""),"Aglonas 12")</f>
        <v>Aglonas 12</v>
      </c>
      <c r="D3617" s="2">
        <f>IFERROR(__xludf.DUMMYFUNCTION("""COMPUTED_VALUE"""),3.0)</f>
        <v>3</v>
      </c>
      <c r="E3617" s="2">
        <f>IFERROR(__xludf.DUMMYFUNCTION("""COMPUTED_VALUE"""),60.0)</f>
        <v>60</v>
      </c>
      <c r="F3617" s="2">
        <f>IFERROR(__xludf.DUMMYFUNCTION("""COMPUTED_VALUE"""),1.0)</f>
        <v>1</v>
      </c>
      <c r="G3617" s="2">
        <f>IFERROR(__xludf.DUMMYFUNCTION("""COMPUTED_VALUE"""),5.0)</f>
        <v>5</v>
      </c>
      <c r="H3617" s="2" t="str">
        <f>IFERROR(__xludf.DUMMYFUNCTION("""COMPUTED_VALUE"""),"LT proj.")</f>
        <v>LT proj.</v>
      </c>
      <c r="I3617" s="2" t="str">
        <f>IFERROR(__xludf.DUMMYFUNCTION("""COMPUTED_VALUE"""),"Panel")</f>
        <v>Panel</v>
      </c>
      <c r="J3617" s="2" t="str">
        <f>IFERROR(__xludf.DUMMYFUNCTION("""COMPUTED_VALUE"""),"All amenities")</f>
        <v>All amenities</v>
      </c>
      <c r="K3617" s="2">
        <f>IFERROR(__xludf.DUMMYFUNCTION("""COMPUTED_VALUE"""),350.0)</f>
        <v>350</v>
      </c>
      <c r="L3617" s="2">
        <f>IFERROR(__xludf.DUMMYFUNCTION("""COMPUTED_VALUE"""),56.91125405)</f>
        <v>56.91125405</v>
      </c>
      <c r="M3617" s="2">
        <f>IFERROR(__xludf.DUMMYFUNCTION("""COMPUTED_VALUE"""),24.185960870958)</f>
        <v>24.18596087</v>
      </c>
    </row>
    <row r="3618">
      <c r="A3618" s="2" t="str">
        <f>IFERROR(__xludf.DUMMYFUNCTION("""COMPUTED_VALUE"""),"For sale")</f>
        <v>For sale</v>
      </c>
      <c r="B3618" s="2" t="str">
        <f>IFERROR(__xludf.DUMMYFUNCTION("""COMPUTED_VALUE"""),"centrs")</f>
        <v>centrs</v>
      </c>
      <c r="C3618" s="2" t="str">
        <f>IFERROR(__xludf.DUMMYFUNCTION("""COMPUTED_VALUE"""),"Zvaigžņu 2b")</f>
        <v>Zvaigžņu 2b</v>
      </c>
      <c r="D3618" s="2">
        <f>IFERROR(__xludf.DUMMYFUNCTION("""COMPUTED_VALUE"""),1.0)</f>
        <v>1</v>
      </c>
      <c r="E3618" s="2">
        <f>IFERROR(__xludf.DUMMYFUNCTION("""COMPUTED_VALUE"""),25.0)</f>
        <v>25</v>
      </c>
      <c r="F3618" s="2">
        <f>IFERROR(__xludf.DUMMYFUNCTION("""COMPUTED_VALUE"""),2.0)</f>
        <v>2</v>
      </c>
      <c r="G3618" s="2">
        <f>IFERROR(__xludf.DUMMYFUNCTION("""COMPUTED_VALUE"""),5.0)</f>
        <v>5</v>
      </c>
      <c r="H3618" s="2" t="str">
        <f>IFERROR(__xludf.DUMMYFUNCTION("""COMPUTED_VALUE"""),"P. kara")</f>
        <v>P. kara</v>
      </c>
      <c r="I3618" s="2" t="str">
        <f>IFERROR(__xludf.DUMMYFUNCTION("""COMPUTED_VALUE"""),"Brick")</f>
        <v>Brick</v>
      </c>
      <c r="J3618" s="2" t="str">
        <f>IFERROR(__xludf.DUMMYFUNCTION("""COMPUTED_VALUE"""),"Partial amenities")</f>
        <v>Partial amenities</v>
      </c>
      <c r="K3618" s="2">
        <f>IFERROR(__xludf.DUMMYFUNCTION("""COMPUTED_VALUE"""),18000.0)</f>
        <v>18000</v>
      </c>
      <c r="L3618" s="2">
        <f>IFERROR(__xludf.DUMMYFUNCTION("""COMPUTED_VALUE"""),56.9584765)</f>
        <v>56.9584765</v>
      </c>
      <c r="M3618" s="2">
        <f>IFERROR(__xludf.DUMMYFUNCTION("""COMPUTED_VALUE"""),24.1461519)</f>
        <v>24.1461519</v>
      </c>
    </row>
    <row r="3619">
      <c r="A3619" s="2" t="str">
        <f>IFERROR(__xludf.DUMMYFUNCTION("""COMPUTED_VALUE"""),"For rent")</f>
        <v>For rent</v>
      </c>
      <c r="B3619" s="2" t="str">
        <f>IFERROR(__xludf.DUMMYFUNCTION("""COMPUTED_VALUE"""),"Mežciems")</f>
        <v>Mežciems</v>
      </c>
      <c r="C3619" s="2" t="str">
        <f>IFERROR(__xludf.DUMMYFUNCTION("""COMPUTED_VALUE"""),"Kaivas 50/1")</f>
        <v>Kaivas 50/1</v>
      </c>
      <c r="D3619" s="2">
        <f>IFERROR(__xludf.DUMMYFUNCTION("""COMPUTED_VALUE"""),3.0)</f>
        <v>3</v>
      </c>
      <c r="E3619" s="2">
        <f>IFERROR(__xludf.DUMMYFUNCTION("""COMPUTED_VALUE"""),70.0)</f>
        <v>70</v>
      </c>
      <c r="F3619" s="2">
        <f>IFERROR(__xludf.DUMMYFUNCTION("""COMPUTED_VALUE"""),5.0)</f>
        <v>5</v>
      </c>
      <c r="G3619" s="2">
        <f>IFERROR(__xludf.DUMMYFUNCTION("""COMPUTED_VALUE"""),5.0)</f>
        <v>5</v>
      </c>
      <c r="H3619" s="2" t="str">
        <f>IFERROR(__xludf.DUMMYFUNCTION("""COMPUTED_VALUE"""),"Jaun.")</f>
        <v>Jaun.</v>
      </c>
      <c r="I3619" s="2" t="str">
        <f>IFERROR(__xludf.DUMMYFUNCTION("""COMPUTED_VALUE"""),"Panel")</f>
        <v>Panel</v>
      </c>
      <c r="J3619" s="2" t="str">
        <f>IFERROR(__xludf.DUMMYFUNCTION("""COMPUTED_VALUE"""),"All amenities")</f>
        <v>All amenities</v>
      </c>
      <c r="K3619" s="2">
        <f>IFERROR(__xludf.DUMMYFUNCTION("""COMPUTED_VALUE"""),540.0)</f>
        <v>540</v>
      </c>
      <c r="L3619" s="2">
        <f>IFERROR(__xludf.DUMMYFUNCTION("""COMPUTED_VALUE"""),56.9541725)</f>
        <v>56.9541725</v>
      </c>
      <c r="M3619" s="2">
        <f>IFERROR(__xludf.DUMMYFUNCTION("""COMPUTED_VALUE"""),24.2443253)</f>
        <v>24.2443253</v>
      </c>
    </row>
    <row r="3620">
      <c r="A3620" s="2" t="str">
        <f>IFERROR(__xludf.DUMMYFUNCTION("""COMPUTED_VALUE"""),"For rent")</f>
        <v>For rent</v>
      </c>
      <c r="B3620" s="2" t="str">
        <f>IFERROR(__xludf.DUMMYFUNCTION("""COMPUTED_VALUE"""),"centrs")</f>
        <v>centrs</v>
      </c>
      <c r="C3620" s="2" t="str">
        <f>IFERROR(__xludf.DUMMYFUNCTION("""COMPUTED_VALUE"""),"Bruņinieku 104")</f>
        <v>Bruņinieku 104</v>
      </c>
      <c r="D3620" s="2">
        <f>IFERROR(__xludf.DUMMYFUNCTION("""COMPUTED_VALUE"""),2.0)</f>
        <v>2</v>
      </c>
      <c r="E3620" s="2">
        <f>IFERROR(__xludf.DUMMYFUNCTION("""COMPUTED_VALUE"""),47.0)</f>
        <v>47</v>
      </c>
      <c r="F3620" s="2">
        <f>IFERROR(__xludf.DUMMYFUNCTION("""COMPUTED_VALUE"""),3.0)</f>
        <v>3</v>
      </c>
      <c r="G3620" s="2">
        <f>IFERROR(__xludf.DUMMYFUNCTION("""COMPUTED_VALUE"""),5.0)</f>
        <v>5</v>
      </c>
      <c r="H3620" s="2" t="str">
        <f>IFERROR(__xludf.DUMMYFUNCTION("""COMPUTED_VALUE"""),"P. kara")</f>
        <v>P. kara</v>
      </c>
      <c r="I3620" s="2" t="str">
        <f>IFERROR(__xludf.DUMMYFUNCTION("""COMPUTED_VALUE"""),"Brick")</f>
        <v>Brick</v>
      </c>
      <c r="J3620" s="2" t="str">
        <f>IFERROR(__xludf.DUMMYFUNCTION("""COMPUTED_VALUE"""),"All amenities")</f>
        <v>All amenities</v>
      </c>
      <c r="K3620" s="2">
        <f>IFERROR(__xludf.DUMMYFUNCTION("""COMPUTED_VALUE"""),450.0)</f>
        <v>450</v>
      </c>
      <c r="L3620" s="2">
        <f>IFERROR(__xludf.DUMMYFUNCTION("""COMPUTED_VALUE"""),56.9494342)</f>
        <v>56.9494342</v>
      </c>
      <c r="M3620" s="2">
        <f>IFERROR(__xludf.DUMMYFUNCTION("""COMPUTED_VALUE"""),24.1445478216108)</f>
        <v>24.14454782</v>
      </c>
    </row>
    <row r="3621">
      <c r="A3621" s="2" t="str">
        <f>IFERROR(__xludf.DUMMYFUNCTION("""COMPUTED_VALUE"""),"For rent")</f>
        <v>For rent</v>
      </c>
      <c r="B3621" s="2" t="str">
        <f>IFERROR(__xludf.DUMMYFUNCTION("""COMPUTED_VALUE"""),"Sarkandaugava")</f>
        <v>Sarkandaugava</v>
      </c>
      <c r="C3621" s="2" t="str">
        <f>IFERROR(__xludf.DUMMYFUNCTION("""COMPUTED_VALUE"""),"Sīmaņa 6")</f>
        <v>Sīmaņa 6</v>
      </c>
      <c r="D3621" s="2">
        <f>IFERROR(__xludf.DUMMYFUNCTION("""COMPUTED_VALUE"""),1.0)</f>
        <v>1</v>
      </c>
      <c r="E3621" s="2">
        <f>IFERROR(__xludf.DUMMYFUNCTION("""COMPUTED_VALUE"""),27.0)</f>
        <v>27</v>
      </c>
      <c r="F3621" s="2">
        <f>IFERROR(__xludf.DUMMYFUNCTION("""COMPUTED_VALUE"""),2.0)</f>
        <v>2</v>
      </c>
      <c r="G3621" s="2">
        <f>IFERROR(__xludf.DUMMYFUNCTION("""COMPUTED_VALUE"""),2.0)</f>
        <v>2</v>
      </c>
      <c r="H3621" s="2" t="str">
        <f>IFERROR(__xludf.DUMMYFUNCTION("""COMPUTED_VALUE"""),"P. kara")</f>
        <v>P. kara</v>
      </c>
      <c r="I3621" s="2" t="str">
        <f>IFERROR(__xludf.DUMMYFUNCTION("""COMPUTED_VALUE"""),"Brick")</f>
        <v>Brick</v>
      </c>
      <c r="J3621" s="2" t="str">
        <f>IFERROR(__xludf.DUMMYFUNCTION("""COMPUTED_VALUE"""),"All amenities")</f>
        <v>All amenities</v>
      </c>
      <c r="K3621" s="2">
        <f>IFERROR(__xludf.DUMMYFUNCTION("""COMPUTED_VALUE"""),220.0)</f>
        <v>220</v>
      </c>
      <c r="L3621" s="2">
        <f>IFERROR(__xludf.DUMMYFUNCTION("""COMPUTED_VALUE"""),56.9927416)</f>
        <v>56.9927416</v>
      </c>
      <c r="M3621" s="2">
        <f>IFERROR(__xludf.DUMMYFUNCTION("""COMPUTED_VALUE"""),24.1283215675177)</f>
        <v>24.12832157</v>
      </c>
    </row>
    <row r="3622">
      <c r="A3622" s="2" t="str">
        <f>IFERROR(__xludf.DUMMYFUNCTION("""COMPUTED_VALUE"""),"For sale")</f>
        <v>For sale</v>
      </c>
      <c r="B3622" s="2" t="str">
        <f>IFERROR(__xludf.DUMMYFUNCTION("""COMPUTED_VALUE"""),"Vecrīga")</f>
        <v>Vecrīga</v>
      </c>
      <c r="C3622" s="2" t="str">
        <f>IFERROR(__xludf.DUMMYFUNCTION("""COMPUTED_VALUE"""),"Meistaru 8")</f>
        <v>Meistaru 8</v>
      </c>
      <c r="D3622" s="2">
        <f>IFERROR(__xludf.DUMMYFUNCTION("""COMPUTED_VALUE"""),4.0)</f>
        <v>4</v>
      </c>
      <c r="E3622" s="2">
        <f>IFERROR(__xludf.DUMMYFUNCTION("""COMPUTED_VALUE"""),82.0)</f>
        <v>82</v>
      </c>
      <c r="F3622" s="2">
        <f>IFERROR(__xludf.DUMMYFUNCTION("""COMPUTED_VALUE"""),4.0)</f>
        <v>4</v>
      </c>
      <c r="G3622" s="2">
        <f>IFERROR(__xludf.DUMMYFUNCTION("""COMPUTED_VALUE"""),5.0)</f>
        <v>5</v>
      </c>
      <c r="H3622" s="2" t="str">
        <f>IFERROR(__xludf.DUMMYFUNCTION("""COMPUTED_VALUE"""),"P. kara")</f>
        <v>P. kara</v>
      </c>
      <c r="I3622" s="2" t="str">
        <f>IFERROR(__xludf.DUMMYFUNCTION("""COMPUTED_VALUE"""),"Masonry")</f>
        <v>Masonry</v>
      </c>
      <c r="J3622" s="2" t="str">
        <f>IFERROR(__xludf.DUMMYFUNCTION("""COMPUTED_VALUE"""),"All amenities")</f>
        <v>All amenities</v>
      </c>
      <c r="K3622" s="2">
        <f>IFERROR(__xludf.DUMMYFUNCTION("""COMPUTED_VALUE"""),139000.0)</f>
        <v>139000</v>
      </c>
      <c r="L3622" s="2">
        <f>IFERROR(__xludf.DUMMYFUNCTION("""COMPUTED_VALUE"""),56.9503847)</f>
        <v>56.9503847</v>
      </c>
      <c r="M3622" s="2">
        <f>IFERROR(__xludf.DUMMYFUNCTION("""COMPUTED_VALUE"""),24.1085452)</f>
        <v>24.1085452</v>
      </c>
    </row>
    <row r="3623">
      <c r="A3623" s="2" t="str">
        <f>IFERROR(__xludf.DUMMYFUNCTION("""COMPUTED_VALUE"""),"For sale")</f>
        <v>For sale</v>
      </c>
      <c r="B3623" s="2" t="str">
        <f>IFERROR(__xludf.DUMMYFUNCTION("""COMPUTED_VALUE"""),"Jugla")</f>
        <v>Jugla</v>
      </c>
      <c r="C3623" s="2" t="str">
        <f>IFERROR(__xludf.DUMMYFUNCTION("""COMPUTED_VALUE"""),"Murjāņu 56")</f>
        <v>Murjāņu 56</v>
      </c>
      <c r="D3623" s="2">
        <f>IFERROR(__xludf.DUMMYFUNCTION("""COMPUTED_VALUE"""),2.0)</f>
        <v>2</v>
      </c>
      <c r="E3623" s="2">
        <f>IFERROR(__xludf.DUMMYFUNCTION("""COMPUTED_VALUE"""),46.0)</f>
        <v>46</v>
      </c>
      <c r="F3623" s="2">
        <f>IFERROR(__xludf.DUMMYFUNCTION("""COMPUTED_VALUE"""),2.0)</f>
        <v>2</v>
      </c>
      <c r="G3623" s="2">
        <f>IFERROR(__xludf.DUMMYFUNCTION("""COMPUTED_VALUE"""),5.0)</f>
        <v>5</v>
      </c>
      <c r="H3623" s="2" t="str">
        <f>IFERROR(__xludf.DUMMYFUNCTION("""COMPUTED_VALUE"""),"LT proj.")</f>
        <v>LT proj.</v>
      </c>
      <c r="I3623" s="2" t="str">
        <f>IFERROR(__xludf.DUMMYFUNCTION("""COMPUTED_VALUE"""),"Panel")</f>
        <v>Panel</v>
      </c>
      <c r="J3623" s="2" t="str">
        <f>IFERROR(__xludf.DUMMYFUNCTION("""COMPUTED_VALUE"""),"All amenities")</f>
        <v>All amenities</v>
      </c>
      <c r="K3623" s="2">
        <f>IFERROR(__xludf.DUMMYFUNCTION("""COMPUTED_VALUE"""),38000.0)</f>
        <v>38000</v>
      </c>
      <c r="L3623" s="2">
        <f>IFERROR(__xludf.DUMMYFUNCTION("""COMPUTED_VALUE"""),56.97782785)</f>
        <v>56.97782785</v>
      </c>
      <c r="M3623" s="2">
        <f>IFERROR(__xludf.DUMMYFUNCTION("""COMPUTED_VALUE"""),24.25241215)</f>
        <v>24.25241215</v>
      </c>
    </row>
    <row r="3624">
      <c r="A3624" s="2" t="str">
        <f>IFERROR(__xludf.DUMMYFUNCTION("""COMPUTED_VALUE"""),"For sale")</f>
        <v>For sale</v>
      </c>
      <c r="B3624" s="2" t="str">
        <f>IFERROR(__xludf.DUMMYFUNCTION("""COMPUTED_VALUE"""),"Vecrīga")</f>
        <v>Vecrīga</v>
      </c>
      <c r="C3624" s="2" t="str">
        <f>IFERROR(__xludf.DUMMYFUNCTION("""COMPUTED_VALUE"""),"Bīskapa gāte 3")</f>
        <v>Bīskapa gāte 3</v>
      </c>
      <c r="D3624" s="2">
        <f>IFERROR(__xludf.DUMMYFUNCTION("""COMPUTED_VALUE"""),2.0)</f>
        <v>2</v>
      </c>
      <c r="E3624" s="2">
        <f>IFERROR(__xludf.DUMMYFUNCTION("""COMPUTED_VALUE"""),58.0)</f>
        <v>58</v>
      </c>
      <c r="F3624" s="2">
        <f>IFERROR(__xludf.DUMMYFUNCTION("""COMPUTED_VALUE"""),5.0)</f>
        <v>5</v>
      </c>
      <c r="G3624" s="2">
        <f>IFERROR(__xludf.DUMMYFUNCTION("""COMPUTED_VALUE"""),5.0)</f>
        <v>5</v>
      </c>
      <c r="H3624" s="2" t="str">
        <f>IFERROR(__xludf.DUMMYFUNCTION("""COMPUTED_VALUE"""),"Staļina")</f>
        <v>Staļina</v>
      </c>
      <c r="I3624" s="2" t="str">
        <f>IFERROR(__xludf.DUMMYFUNCTION("""COMPUTED_VALUE"""),"Masonry")</f>
        <v>Masonry</v>
      </c>
      <c r="J3624" s="2" t="str">
        <f>IFERROR(__xludf.DUMMYFUNCTION("""COMPUTED_VALUE"""),"All amenities")</f>
        <v>All amenities</v>
      </c>
      <c r="K3624" s="2">
        <f>IFERROR(__xludf.DUMMYFUNCTION("""COMPUTED_VALUE"""),100000.0)</f>
        <v>100000</v>
      </c>
      <c r="L3624" s="2">
        <f>IFERROR(__xludf.DUMMYFUNCTION("""COMPUTED_VALUE"""),56.948717)</f>
        <v>56.948717</v>
      </c>
      <c r="M3624" s="2">
        <f>IFERROR(__xludf.DUMMYFUNCTION("""COMPUTED_VALUE"""),24.1026014276418)</f>
        <v>24.10260143</v>
      </c>
    </row>
    <row r="3625">
      <c r="A3625" s="2" t="str">
        <f>IFERROR(__xludf.DUMMYFUNCTION("""COMPUTED_VALUE"""),"For sale")</f>
        <v>For sale</v>
      </c>
      <c r="B3625" s="2" t="str">
        <f>IFERROR(__xludf.DUMMYFUNCTION("""COMPUTED_VALUE"""),"Purvciems")</f>
        <v>Purvciems</v>
      </c>
      <c r="C3625" s="2" t="str">
        <f>IFERROR(__xludf.DUMMYFUNCTION("""COMPUTED_VALUE"""),"Madonas 25")</f>
        <v>Madonas 25</v>
      </c>
      <c r="D3625" s="2">
        <f>IFERROR(__xludf.DUMMYFUNCTION("""COMPUTED_VALUE"""),4.0)</f>
        <v>4</v>
      </c>
      <c r="E3625" s="2">
        <f>IFERROR(__xludf.DUMMYFUNCTION("""COMPUTED_VALUE"""),97.0)</f>
        <v>97</v>
      </c>
      <c r="F3625" s="2">
        <f>IFERROR(__xludf.DUMMYFUNCTION("""COMPUTED_VALUE"""),5.0)</f>
        <v>5</v>
      </c>
      <c r="G3625" s="2">
        <f>IFERROR(__xludf.DUMMYFUNCTION("""COMPUTED_VALUE"""),9.0)</f>
        <v>9</v>
      </c>
      <c r="H3625" s="2">
        <f>IFERROR(__xludf.DUMMYFUNCTION("""COMPUTED_VALUE"""),119.0)</f>
        <v>119</v>
      </c>
      <c r="I3625" s="2" t="str">
        <f>IFERROR(__xludf.DUMMYFUNCTION("""COMPUTED_VALUE"""),"Brick-Panel")</f>
        <v>Brick-Panel</v>
      </c>
      <c r="J3625" s="2" t="str">
        <f>IFERROR(__xludf.DUMMYFUNCTION("""COMPUTED_VALUE"""),"All amenities")</f>
        <v>All amenities</v>
      </c>
      <c r="K3625" s="2">
        <f>IFERROR(__xludf.DUMMYFUNCTION("""COMPUTED_VALUE"""),94800.0)</f>
        <v>94800</v>
      </c>
      <c r="L3625" s="2">
        <f>IFERROR(__xludf.DUMMYFUNCTION("""COMPUTED_VALUE"""),56.960424)</f>
        <v>56.960424</v>
      </c>
      <c r="M3625" s="2">
        <f>IFERROR(__xludf.DUMMYFUNCTION("""COMPUTED_VALUE"""),24.1732897)</f>
        <v>24.1732897</v>
      </c>
    </row>
    <row r="3626">
      <c r="A3626" s="2" t="str">
        <f>IFERROR(__xludf.DUMMYFUNCTION("""COMPUTED_VALUE"""),"For rent")</f>
        <v>For rent</v>
      </c>
      <c r="B3626" s="2" t="str">
        <f>IFERROR(__xludf.DUMMYFUNCTION("""COMPUTED_VALUE"""),"Imanta")</f>
        <v>Imanta</v>
      </c>
      <c r="C3626" s="2" t="str">
        <f>IFERROR(__xludf.DUMMYFUNCTION("""COMPUTED_VALUE"""),"Anniņmuižas bulvāris 38")</f>
        <v>Anniņmuižas bulvāris 38</v>
      </c>
      <c r="D3626" s="2">
        <f>IFERROR(__xludf.DUMMYFUNCTION("""COMPUTED_VALUE"""),2.0)</f>
        <v>2</v>
      </c>
      <c r="E3626" s="2">
        <f>IFERROR(__xludf.DUMMYFUNCTION("""COMPUTED_VALUE"""),64.0)</f>
        <v>64</v>
      </c>
      <c r="F3626" s="2">
        <f>IFERROR(__xludf.DUMMYFUNCTION("""COMPUTED_VALUE"""),10.0)</f>
        <v>10</v>
      </c>
      <c r="G3626" s="2">
        <f>IFERROR(__xludf.DUMMYFUNCTION("""COMPUTED_VALUE"""),18.0)</f>
        <v>18</v>
      </c>
      <c r="H3626" s="2" t="str">
        <f>IFERROR(__xludf.DUMMYFUNCTION("""COMPUTED_VALUE"""),"Jaun.")</f>
        <v>Jaun.</v>
      </c>
      <c r="I3626" s="2" t="str">
        <f>IFERROR(__xludf.DUMMYFUNCTION("""COMPUTED_VALUE"""),"Panel")</f>
        <v>Panel</v>
      </c>
      <c r="J3626" s="2" t="str">
        <f>IFERROR(__xludf.DUMMYFUNCTION("""COMPUTED_VALUE"""),"All amenities")</f>
        <v>All amenities</v>
      </c>
      <c r="K3626" s="2">
        <f>IFERROR(__xludf.DUMMYFUNCTION("""COMPUTED_VALUE"""),450.0)</f>
        <v>450</v>
      </c>
      <c r="L3626" s="2">
        <f>IFERROR(__xludf.DUMMYFUNCTION("""COMPUTED_VALUE"""),56.96112105)</f>
        <v>56.96112105</v>
      </c>
      <c r="M3626" s="2">
        <f>IFERROR(__xludf.DUMMYFUNCTION("""COMPUTED_VALUE"""),24.01821679525)</f>
        <v>24.0182168</v>
      </c>
    </row>
    <row r="3627">
      <c r="A3627" s="2" t="str">
        <f>IFERROR(__xludf.DUMMYFUNCTION("""COMPUTED_VALUE"""),"For sale")</f>
        <v>For sale</v>
      </c>
      <c r="B3627" s="2" t="str">
        <f>IFERROR(__xludf.DUMMYFUNCTION("""COMPUTED_VALUE"""),"Zolitūde")</f>
        <v>Zolitūde</v>
      </c>
      <c r="C3627" s="2" t="str">
        <f>IFERROR(__xludf.DUMMYFUNCTION("""COMPUTED_VALUE"""),"Ruses 14")</f>
        <v>Ruses 14</v>
      </c>
      <c r="D3627" s="2">
        <f>IFERROR(__xludf.DUMMYFUNCTION("""COMPUTED_VALUE"""),1.0)</f>
        <v>1</v>
      </c>
      <c r="E3627" s="2">
        <f>IFERROR(__xludf.DUMMYFUNCTION("""COMPUTED_VALUE"""),47.0)</f>
        <v>47</v>
      </c>
      <c r="F3627" s="2">
        <f>IFERROR(__xludf.DUMMYFUNCTION("""COMPUTED_VALUE"""),8.0)</f>
        <v>8</v>
      </c>
      <c r="G3627" s="2">
        <f>IFERROR(__xludf.DUMMYFUNCTION("""COMPUTED_VALUE"""),9.0)</f>
        <v>9</v>
      </c>
      <c r="H3627" s="2">
        <f>IFERROR(__xludf.DUMMYFUNCTION("""COMPUTED_VALUE"""),119.0)</f>
        <v>119</v>
      </c>
      <c r="I3627" s="2" t="str">
        <f>IFERROR(__xludf.DUMMYFUNCTION("""COMPUTED_VALUE"""),"Panel")</f>
        <v>Panel</v>
      </c>
      <c r="J3627" s="2" t="str">
        <f>IFERROR(__xludf.DUMMYFUNCTION("""COMPUTED_VALUE"""),"All amenities")</f>
        <v>All amenities</v>
      </c>
      <c r="K3627" s="2">
        <f>IFERROR(__xludf.DUMMYFUNCTION("""COMPUTED_VALUE"""),47000.0)</f>
        <v>47000</v>
      </c>
      <c r="L3627" s="2">
        <f>IFERROR(__xludf.DUMMYFUNCTION("""COMPUTED_VALUE"""),56.9472361499999)</f>
        <v>56.94723615</v>
      </c>
      <c r="M3627" s="2">
        <f>IFERROR(__xludf.DUMMYFUNCTION("""COMPUTED_VALUE"""),24.0042412711196)</f>
        <v>24.00424127</v>
      </c>
    </row>
    <row r="3628">
      <c r="A3628" s="2" t="str">
        <f>IFERROR(__xludf.DUMMYFUNCTION("""COMPUTED_VALUE"""),"For sale")</f>
        <v>For sale</v>
      </c>
      <c r="B3628" s="2" t="str">
        <f>IFERROR(__xludf.DUMMYFUNCTION("""COMPUTED_VALUE"""),"Šampēteris-Pleskodāle")</f>
        <v>Šampēteris-Pleskodāle</v>
      </c>
      <c r="C3628" s="2" t="str">
        <f>IFERROR(__xludf.DUMMYFUNCTION("""COMPUTED_VALUE"""),"Kalnciema 106a")</f>
        <v>Kalnciema 106a</v>
      </c>
      <c r="D3628" s="2">
        <f>IFERROR(__xludf.DUMMYFUNCTION("""COMPUTED_VALUE"""),2.0)</f>
        <v>2</v>
      </c>
      <c r="E3628" s="2">
        <f>IFERROR(__xludf.DUMMYFUNCTION("""COMPUTED_VALUE"""),68.0)</f>
        <v>68</v>
      </c>
      <c r="F3628" s="2">
        <f>IFERROR(__xludf.DUMMYFUNCTION("""COMPUTED_VALUE"""),2.0)</f>
        <v>2</v>
      </c>
      <c r="G3628" s="2">
        <f>IFERROR(__xludf.DUMMYFUNCTION("""COMPUTED_VALUE"""),4.0)</f>
        <v>4</v>
      </c>
      <c r="H3628" s="2" t="str">
        <f>IFERROR(__xludf.DUMMYFUNCTION("""COMPUTED_VALUE"""),"Jaun.")</f>
        <v>Jaun.</v>
      </c>
      <c r="I3628" s="2" t="str">
        <f>IFERROR(__xludf.DUMMYFUNCTION("""COMPUTED_VALUE"""),"Masonry")</f>
        <v>Masonry</v>
      </c>
      <c r="J3628" s="2" t="str">
        <f>IFERROR(__xludf.DUMMYFUNCTION("""COMPUTED_VALUE"""),"All amenities")</f>
        <v>All amenities</v>
      </c>
      <c r="K3628" s="2">
        <f>IFERROR(__xludf.DUMMYFUNCTION("""COMPUTED_VALUE"""),105000.0)</f>
        <v>105000</v>
      </c>
      <c r="L3628" s="2">
        <f>IFERROR(__xludf.DUMMYFUNCTION("""COMPUTED_VALUE"""),56.93662655)</f>
        <v>56.93662655</v>
      </c>
      <c r="M3628" s="2">
        <f>IFERROR(__xludf.DUMMYFUNCTION("""COMPUTED_VALUE"""),24.0433356532986)</f>
        <v>24.04333565</v>
      </c>
    </row>
    <row r="3629">
      <c r="A3629" s="2" t="str">
        <f>IFERROR(__xludf.DUMMYFUNCTION("""COMPUTED_VALUE"""),"For sale")</f>
        <v>For sale</v>
      </c>
      <c r="B3629" s="2" t="str">
        <f>IFERROR(__xludf.DUMMYFUNCTION("""COMPUTED_VALUE"""),"Āgenskalns")</f>
        <v>Āgenskalns</v>
      </c>
      <c r="C3629" s="2" t="str">
        <f>IFERROR(__xludf.DUMMYFUNCTION("""COMPUTED_VALUE"""),"Mārupes 47")</f>
        <v>Mārupes 47</v>
      </c>
      <c r="D3629" s="2">
        <f>IFERROR(__xludf.DUMMYFUNCTION("""COMPUTED_VALUE"""),2.0)</f>
        <v>2</v>
      </c>
      <c r="E3629" s="2">
        <f>IFERROR(__xludf.DUMMYFUNCTION("""COMPUTED_VALUE"""),74.0)</f>
        <v>74</v>
      </c>
      <c r="F3629" s="2">
        <f>IFERROR(__xludf.DUMMYFUNCTION("""COMPUTED_VALUE"""),1.0)</f>
        <v>1</v>
      </c>
      <c r="G3629" s="2">
        <f>IFERROR(__xludf.DUMMYFUNCTION("""COMPUTED_VALUE"""),5.0)</f>
        <v>5</v>
      </c>
      <c r="H3629" s="2" t="str">
        <f>IFERROR(__xludf.DUMMYFUNCTION("""COMPUTED_VALUE"""),"Specpr.")</f>
        <v>Specpr.</v>
      </c>
      <c r="I3629" s="2" t="str">
        <f>IFERROR(__xludf.DUMMYFUNCTION("""COMPUTED_VALUE"""),"Panel")</f>
        <v>Panel</v>
      </c>
      <c r="J3629" s="2" t="str">
        <f>IFERROR(__xludf.DUMMYFUNCTION("""COMPUTED_VALUE"""),"All amenities")</f>
        <v>All amenities</v>
      </c>
      <c r="K3629" s="2">
        <f>IFERROR(__xludf.DUMMYFUNCTION("""COMPUTED_VALUE"""),69900.0)</f>
        <v>69900</v>
      </c>
      <c r="L3629" s="2">
        <f>IFERROR(__xludf.DUMMYFUNCTION("""COMPUTED_VALUE"""),56.9271624)</f>
        <v>56.9271624</v>
      </c>
      <c r="M3629" s="2">
        <f>IFERROR(__xludf.DUMMYFUNCTION("""COMPUTED_VALUE"""),24.0769771776445)</f>
        <v>24.07697718</v>
      </c>
    </row>
    <row r="3630">
      <c r="A3630" s="2" t="str">
        <f>IFERROR(__xludf.DUMMYFUNCTION("""COMPUTED_VALUE"""),"For rent")</f>
        <v>For rent</v>
      </c>
      <c r="B3630" s="2" t="str">
        <f>IFERROR(__xludf.DUMMYFUNCTION("""COMPUTED_VALUE"""),"centrs")</f>
        <v>centrs</v>
      </c>
      <c r="C3630" s="2" t="str">
        <f>IFERROR(__xludf.DUMMYFUNCTION("""COMPUTED_VALUE"""),"Lāčplēša 127")</f>
        <v>Lāčplēša 127</v>
      </c>
      <c r="D3630" s="2">
        <f>IFERROR(__xludf.DUMMYFUNCTION("""COMPUTED_VALUE"""),2.0)</f>
        <v>2</v>
      </c>
      <c r="E3630" s="2">
        <f>IFERROR(__xludf.DUMMYFUNCTION("""COMPUTED_VALUE"""),95.0)</f>
        <v>95</v>
      </c>
      <c r="F3630" s="2">
        <f>IFERROR(__xludf.DUMMYFUNCTION("""COMPUTED_VALUE"""),3.0)</f>
        <v>3</v>
      </c>
      <c r="G3630" s="2">
        <f>IFERROR(__xludf.DUMMYFUNCTION("""COMPUTED_VALUE"""),3.0)</f>
        <v>3</v>
      </c>
      <c r="H3630" s="2" t="str">
        <f>IFERROR(__xludf.DUMMYFUNCTION("""COMPUTED_VALUE"""),"Renov.")</f>
        <v>Renov.</v>
      </c>
      <c r="I3630" s="2" t="str">
        <f>IFERROR(__xludf.DUMMYFUNCTION("""COMPUTED_VALUE"""),"Brick")</f>
        <v>Brick</v>
      </c>
      <c r="J3630" s="2" t="str">
        <f>IFERROR(__xludf.DUMMYFUNCTION("""COMPUTED_VALUE"""),"All amenities")</f>
        <v>All amenities</v>
      </c>
      <c r="K3630" s="2">
        <f>IFERROR(__xludf.DUMMYFUNCTION("""COMPUTED_VALUE"""),750.0)</f>
        <v>750</v>
      </c>
      <c r="L3630" s="2">
        <f>IFERROR(__xludf.DUMMYFUNCTION("""COMPUTED_VALUE"""),56.9468471)</f>
        <v>56.9468471</v>
      </c>
      <c r="M3630" s="2">
        <f>IFERROR(__xludf.DUMMYFUNCTION("""COMPUTED_VALUE"""),24.133767)</f>
        <v>24.133767</v>
      </c>
    </row>
    <row r="3631">
      <c r="A3631" s="2" t="str">
        <f>IFERROR(__xludf.DUMMYFUNCTION("""COMPUTED_VALUE"""),"For sale")</f>
        <v>For sale</v>
      </c>
      <c r="B3631" s="2" t="str">
        <f>IFERROR(__xludf.DUMMYFUNCTION("""COMPUTED_VALUE"""),"centrs")</f>
        <v>centrs</v>
      </c>
      <c r="C3631" s="2" t="str">
        <f>IFERROR(__xludf.DUMMYFUNCTION("""COMPUTED_VALUE"""),"Tomsona 9")</f>
        <v>Tomsona 9</v>
      </c>
      <c r="D3631" s="2">
        <f>IFERROR(__xludf.DUMMYFUNCTION("""COMPUTED_VALUE"""),3.0)</f>
        <v>3</v>
      </c>
      <c r="E3631" s="2">
        <f>IFERROR(__xludf.DUMMYFUNCTION("""COMPUTED_VALUE"""),91.0)</f>
        <v>91</v>
      </c>
      <c r="F3631" s="2">
        <f>IFERROR(__xludf.DUMMYFUNCTION("""COMPUTED_VALUE"""),4.0)</f>
        <v>4</v>
      </c>
      <c r="G3631" s="2">
        <f>IFERROR(__xludf.DUMMYFUNCTION("""COMPUTED_VALUE"""),7.0)</f>
        <v>7</v>
      </c>
      <c r="H3631" s="2" t="str">
        <f>IFERROR(__xludf.DUMMYFUNCTION("""COMPUTED_VALUE"""),"Jaun.")</f>
        <v>Jaun.</v>
      </c>
      <c r="I3631" s="2" t="str">
        <f>IFERROR(__xludf.DUMMYFUNCTION("""COMPUTED_VALUE"""),"Panel-Brick")</f>
        <v>Panel-Brick</v>
      </c>
      <c r="J3631" s="2" t="str">
        <f>IFERROR(__xludf.DUMMYFUNCTION("""COMPUTED_VALUE"""),"All amenities")</f>
        <v>All amenities</v>
      </c>
      <c r="K3631" s="2">
        <f>IFERROR(__xludf.DUMMYFUNCTION("""COMPUTED_VALUE"""),185000.0)</f>
        <v>185000</v>
      </c>
      <c r="L3631" s="2">
        <f>IFERROR(__xludf.DUMMYFUNCTION("""COMPUTED_VALUE"""),56.96428355)</f>
        <v>56.96428355</v>
      </c>
      <c r="M3631" s="2">
        <f>IFERROR(__xludf.DUMMYFUNCTION("""COMPUTED_VALUE"""),24.124554147986)</f>
        <v>24.12455415</v>
      </c>
    </row>
    <row r="3632">
      <c r="A3632" s="2" t="str">
        <f>IFERROR(__xludf.DUMMYFUNCTION("""COMPUTED_VALUE"""),"For sale")</f>
        <v>For sale</v>
      </c>
      <c r="B3632" s="2" t="str">
        <f>IFERROR(__xludf.DUMMYFUNCTION("""COMPUTED_VALUE"""),"Teika")</f>
        <v>Teika</v>
      </c>
      <c r="C3632" s="2" t="str">
        <f>IFERROR(__xludf.DUMMYFUNCTION("""COMPUTED_VALUE"""),"Ropažu 14")</f>
        <v>Ropažu 14</v>
      </c>
      <c r="D3632" s="2">
        <f>IFERROR(__xludf.DUMMYFUNCTION("""COMPUTED_VALUE"""),3.0)</f>
        <v>3</v>
      </c>
      <c r="E3632" s="2">
        <f>IFERROR(__xludf.DUMMYFUNCTION("""COMPUTED_VALUE"""),69.0)</f>
        <v>69</v>
      </c>
      <c r="F3632" s="2">
        <f>IFERROR(__xludf.DUMMYFUNCTION("""COMPUTED_VALUE"""),3.0)</f>
        <v>3</v>
      </c>
      <c r="G3632" s="2">
        <f>IFERROR(__xludf.DUMMYFUNCTION("""COMPUTED_VALUE"""),10.0)</f>
        <v>10</v>
      </c>
      <c r="H3632" s="2" t="str">
        <f>IFERROR(__xludf.DUMMYFUNCTION("""COMPUTED_VALUE"""),"Jaun.")</f>
        <v>Jaun.</v>
      </c>
      <c r="I3632" s="2" t="str">
        <f>IFERROR(__xludf.DUMMYFUNCTION("""COMPUTED_VALUE"""),"Masonry")</f>
        <v>Masonry</v>
      </c>
      <c r="J3632" s="2" t="str">
        <f>IFERROR(__xludf.DUMMYFUNCTION("""COMPUTED_VALUE"""),"All amenities")</f>
        <v>All amenities</v>
      </c>
      <c r="K3632" s="2">
        <f>IFERROR(__xludf.DUMMYFUNCTION("""COMPUTED_VALUE"""),119000.0)</f>
        <v>119000</v>
      </c>
      <c r="L3632" s="2">
        <f>IFERROR(__xludf.DUMMYFUNCTION("""COMPUTED_VALUE"""),56.9767303)</f>
        <v>56.9767303</v>
      </c>
      <c r="M3632" s="2">
        <f>IFERROR(__xludf.DUMMYFUNCTION("""COMPUTED_VALUE"""),24.1676579996058)</f>
        <v>24.167658</v>
      </c>
    </row>
    <row r="3633">
      <c r="A3633" s="2" t="str">
        <f>IFERROR(__xludf.DUMMYFUNCTION("""COMPUTED_VALUE"""),"For rent")</f>
        <v>For rent</v>
      </c>
      <c r="B3633" s="2" t="str">
        <f>IFERROR(__xludf.DUMMYFUNCTION("""COMPUTED_VALUE"""),"centrs")</f>
        <v>centrs</v>
      </c>
      <c r="C3633" s="2" t="str">
        <f>IFERROR(__xludf.DUMMYFUNCTION("""COMPUTED_VALUE"""),"Eksporta 2a")</f>
        <v>Eksporta 2a</v>
      </c>
      <c r="D3633" s="2">
        <f>IFERROR(__xludf.DUMMYFUNCTION("""COMPUTED_VALUE"""),3.0)</f>
        <v>3</v>
      </c>
      <c r="E3633" s="2">
        <f>IFERROR(__xludf.DUMMYFUNCTION("""COMPUTED_VALUE"""),80.0)</f>
        <v>80</v>
      </c>
      <c r="F3633" s="2">
        <f>IFERROR(__xludf.DUMMYFUNCTION("""COMPUTED_VALUE"""),3.0)</f>
        <v>3</v>
      </c>
      <c r="G3633" s="2">
        <f>IFERROR(__xludf.DUMMYFUNCTION("""COMPUTED_VALUE"""),6.0)</f>
        <v>6</v>
      </c>
      <c r="H3633" s="2" t="str">
        <f>IFERROR(__xludf.DUMMYFUNCTION("""COMPUTED_VALUE"""),"Specpr.")</f>
        <v>Specpr.</v>
      </c>
      <c r="I3633" s="2" t="str">
        <f>IFERROR(__xludf.DUMMYFUNCTION("""COMPUTED_VALUE"""),"Brick")</f>
        <v>Brick</v>
      </c>
      <c r="J3633" s="2" t="str">
        <f>IFERROR(__xludf.DUMMYFUNCTION("""COMPUTED_VALUE"""),"All amenities")</f>
        <v>All amenities</v>
      </c>
      <c r="K3633" s="2">
        <f>IFERROR(__xludf.DUMMYFUNCTION("""COMPUTED_VALUE"""),600.0)</f>
        <v>600</v>
      </c>
      <c r="L3633" s="2">
        <f>IFERROR(__xludf.DUMMYFUNCTION("""COMPUTED_VALUE"""),56.95661335)</f>
        <v>56.95661335</v>
      </c>
      <c r="M3633" s="2">
        <f>IFERROR(__xludf.DUMMYFUNCTION("""COMPUTED_VALUE"""),24.0987304306377)</f>
        <v>24.09873043</v>
      </c>
    </row>
    <row r="3634">
      <c r="A3634" s="2" t="str">
        <f>IFERROR(__xludf.DUMMYFUNCTION("""COMPUTED_VALUE"""),"For rent")</f>
        <v>For rent</v>
      </c>
      <c r="B3634" s="2" t="str">
        <f>IFERROR(__xludf.DUMMYFUNCTION("""COMPUTED_VALUE"""),"centrs")</f>
        <v>centrs</v>
      </c>
      <c r="C3634" s="2" t="str">
        <f>IFERROR(__xludf.DUMMYFUNCTION("""COMPUTED_VALUE"""),"Barona 76")</f>
        <v>Barona 76</v>
      </c>
      <c r="D3634" s="2">
        <f>IFERROR(__xludf.DUMMYFUNCTION("""COMPUTED_VALUE"""),3.0)</f>
        <v>3</v>
      </c>
      <c r="E3634" s="2">
        <f>IFERROR(__xludf.DUMMYFUNCTION("""COMPUTED_VALUE"""),68.0)</f>
        <v>68</v>
      </c>
      <c r="F3634" s="2">
        <f>IFERROR(__xludf.DUMMYFUNCTION("""COMPUTED_VALUE"""),3.0)</f>
        <v>3</v>
      </c>
      <c r="G3634" s="2">
        <f>IFERROR(__xludf.DUMMYFUNCTION("""COMPUTED_VALUE"""),6.0)</f>
        <v>6</v>
      </c>
      <c r="H3634" s="2" t="str">
        <f>IFERROR(__xludf.DUMMYFUNCTION("""COMPUTED_VALUE"""),"Renov.")</f>
        <v>Renov.</v>
      </c>
      <c r="I3634" s="2" t="str">
        <f>IFERROR(__xludf.DUMMYFUNCTION("""COMPUTED_VALUE"""),"Masonry")</f>
        <v>Masonry</v>
      </c>
      <c r="J3634" s="2" t="str">
        <f>IFERROR(__xludf.DUMMYFUNCTION("""COMPUTED_VALUE"""),"All amenities")</f>
        <v>All amenities</v>
      </c>
      <c r="K3634" s="2">
        <f>IFERROR(__xludf.DUMMYFUNCTION("""COMPUTED_VALUE"""),750.0)</f>
        <v>750</v>
      </c>
      <c r="L3634" s="2">
        <f>IFERROR(__xludf.DUMMYFUNCTION("""COMPUTED_VALUE"""),56.95643795)</f>
        <v>56.95643795</v>
      </c>
      <c r="M3634" s="2">
        <f>IFERROR(__xludf.DUMMYFUNCTION("""COMPUTED_VALUE"""),24.1325729821556)</f>
        <v>24.13257298</v>
      </c>
    </row>
    <row r="3635">
      <c r="A3635" s="2" t="str">
        <f>IFERROR(__xludf.DUMMYFUNCTION("""COMPUTED_VALUE"""),"For rent")</f>
        <v>For rent</v>
      </c>
      <c r="B3635" s="2" t="str">
        <f>IFERROR(__xludf.DUMMYFUNCTION("""COMPUTED_VALUE"""),"centrs")</f>
        <v>centrs</v>
      </c>
      <c r="C3635" s="2" t="str">
        <f>IFERROR(__xludf.DUMMYFUNCTION("""COMPUTED_VALUE"""),"Barona 76")</f>
        <v>Barona 76</v>
      </c>
      <c r="D3635" s="2">
        <f>IFERROR(__xludf.DUMMYFUNCTION("""COMPUTED_VALUE"""),3.0)</f>
        <v>3</v>
      </c>
      <c r="E3635" s="2">
        <f>IFERROR(__xludf.DUMMYFUNCTION("""COMPUTED_VALUE"""),80.0)</f>
        <v>80</v>
      </c>
      <c r="F3635" s="2">
        <f>IFERROR(__xludf.DUMMYFUNCTION("""COMPUTED_VALUE"""),3.0)</f>
        <v>3</v>
      </c>
      <c r="G3635" s="2">
        <f>IFERROR(__xludf.DUMMYFUNCTION("""COMPUTED_VALUE"""),6.0)</f>
        <v>6</v>
      </c>
      <c r="H3635" s="2" t="str">
        <f>IFERROR(__xludf.DUMMYFUNCTION("""COMPUTED_VALUE"""),"Renov.")</f>
        <v>Renov.</v>
      </c>
      <c r="I3635" s="2" t="str">
        <f>IFERROR(__xludf.DUMMYFUNCTION("""COMPUTED_VALUE"""),"Masonry")</f>
        <v>Masonry</v>
      </c>
      <c r="J3635" s="2" t="str">
        <f>IFERROR(__xludf.DUMMYFUNCTION("""COMPUTED_VALUE"""),"All amenities")</f>
        <v>All amenities</v>
      </c>
      <c r="K3635" s="2">
        <f>IFERROR(__xludf.DUMMYFUNCTION("""COMPUTED_VALUE"""),830.0)</f>
        <v>830</v>
      </c>
      <c r="L3635" s="2">
        <f>IFERROR(__xludf.DUMMYFUNCTION("""COMPUTED_VALUE"""),56.95643795)</f>
        <v>56.95643795</v>
      </c>
      <c r="M3635" s="2">
        <f>IFERROR(__xludf.DUMMYFUNCTION("""COMPUTED_VALUE"""),24.1325729821556)</f>
        <v>24.13257298</v>
      </c>
    </row>
    <row r="3636">
      <c r="A3636" s="2" t="str">
        <f>IFERROR(__xludf.DUMMYFUNCTION("""COMPUTED_VALUE"""),"For sale")</f>
        <v>For sale</v>
      </c>
      <c r="B3636" s="2" t="str">
        <f>IFERROR(__xludf.DUMMYFUNCTION("""COMPUTED_VALUE"""),"centrs")</f>
        <v>centrs</v>
      </c>
      <c r="C3636" s="2" t="str">
        <f>IFERROR(__xludf.DUMMYFUNCTION("""COMPUTED_VALUE"""),"Lāčplēša 125")</f>
        <v>Lāčplēša 125</v>
      </c>
      <c r="D3636" s="2">
        <f>IFERROR(__xludf.DUMMYFUNCTION("""COMPUTED_VALUE"""),2.0)</f>
        <v>2</v>
      </c>
      <c r="E3636" s="2">
        <f>IFERROR(__xludf.DUMMYFUNCTION("""COMPUTED_VALUE"""),40.0)</f>
        <v>40</v>
      </c>
      <c r="F3636" s="2">
        <f>IFERROR(__xludf.DUMMYFUNCTION("""COMPUTED_VALUE"""),2.0)</f>
        <v>2</v>
      </c>
      <c r="G3636" s="2">
        <f>IFERROR(__xludf.DUMMYFUNCTION("""COMPUTED_VALUE"""),5.0)</f>
        <v>5</v>
      </c>
      <c r="H3636" s="2" t="str">
        <f>IFERROR(__xludf.DUMMYFUNCTION("""COMPUTED_VALUE"""),"Renov.")</f>
        <v>Renov.</v>
      </c>
      <c r="I3636" s="2" t="str">
        <f>IFERROR(__xludf.DUMMYFUNCTION("""COMPUTED_VALUE"""),"Brick")</f>
        <v>Brick</v>
      </c>
      <c r="J3636" s="2" t="str">
        <f>IFERROR(__xludf.DUMMYFUNCTION("""COMPUTED_VALUE"""),"All amenities")</f>
        <v>All amenities</v>
      </c>
      <c r="K3636" s="2">
        <f>IFERROR(__xludf.DUMMYFUNCTION("""COMPUTED_VALUE"""),43900.0)</f>
        <v>43900</v>
      </c>
      <c r="L3636" s="2">
        <f>IFERROR(__xludf.DUMMYFUNCTION("""COMPUTED_VALUE"""),56.9439002)</f>
        <v>56.9439002</v>
      </c>
      <c r="M3636" s="2">
        <f>IFERROR(__xludf.DUMMYFUNCTION("""COMPUTED_VALUE"""),24.1325617)</f>
        <v>24.1325617</v>
      </c>
    </row>
    <row r="3637">
      <c r="A3637" s="2" t="str">
        <f>IFERROR(__xludf.DUMMYFUNCTION("""COMPUTED_VALUE"""),"For rent")</f>
        <v>For rent</v>
      </c>
      <c r="B3637" s="2" t="str">
        <f>IFERROR(__xludf.DUMMYFUNCTION("""COMPUTED_VALUE"""),"Purvciems")</f>
        <v>Purvciems</v>
      </c>
      <c r="C3637" s="2" t="str">
        <f>IFERROR(__xludf.DUMMYFUNCTION("""COMPUTED_VALUE"""),"Astras 8")</f>
        <v>Astras 8</v>
      </c>
      <c r="D3637" s="2">
        <f>IFERROR(__xludf.DUMMYFUNCTION("""COMPUTED_VALUE"""),1.0)</f>
        <v>1</v>
      </c>
      <c r="E3637" s="2">
        <f>IFERROR(__xludf.DUMMYFUNCTION("""COMPUTED_VALUE"""),40.0)</f>
        <v>40</v>
      </c>
      <c r="F3637" s="2">
        <f>IFERROR(__xludf.DUMMYFUNCTION("""COMPUTED_VALUE"""),5.0)</f>
        <v>5</v>
      </c>
      <c r="G3637" s="2">
        <f>IFERROR(__xludf.DUMMYFUNCTION("""COMPUTED_VALUE"""),24.0)</f>
        <v>24</v>
      </c>
      <c r="H3637" s="2" t="str">
        <f>IFERROR(__xludf.DUMMYFUNCTION("""COMPUTED_VALUE"""),"Jaun.")</f>
        <v>Jaun.</v>
      </c>
      <c r="I3637" s="2" t="str">
        <f>IFERROR(__xludf.DUMMYFUNCTION("""COMPUTED_VALUE"""),"Panel")</f>
        <v>Panel</v>
      </c>
      <c r="J3637" s="2" t="str">
        <f>IFERROR(__xludf.DUMMYFUNCTION("""COMPUTED_VALUE"""),"All amenities")</f>
        <v>All amenities</v>
      </c>
      <c r="K3637" s="2">
        <f>IFERROR(__xludf.DUMMYFUNCTION("""COMPUTED_VALUE"""),380.0)</f>
        <v>380</v>
      </c>
      <c r="L3637" s="2">
        <f>IFERROR(__xludf.DUMMYFUNCTION("""COMPUTED_VALUE"""),56.952452)</f>
        <v>56.952452</v>
      </c>
      <c r="M3637" s="2">
        <f>IFERROR(__xludf.DUMMYFUNCTION("""COMPUTED_VALUE"""),24.188248)</f>
        <v>24.188248</v>
      </c>
    </row>
    <row r="3638">
      <c r="A3638" s="2" t="str">
        <f>IFERROR(__xludf.DUMMYFUNCTION("""COMPUTED_VALUE"""),"For sale")</f>
        <v>For sale</v>
      </c>
      <c r="B3638" s="2" t="str">
        <f>IFERROR(__xludf.DUMMYFUNCTION("""COMPUTED_VALUE"""),"Purvciems")</f>
        <v>Purvciems</v>
      </c>
      <c r="C3638" s="2" t="str">
        <f>IFERROR(__xludf.DUMMYFUNCTION("""COMPUTED_VALUE"""),"Madonas 19")</f>
        <v>Madonas 19</v>
      </c>
      <c r="D3638" s="2">
        <f>IFERROR(__xludf.DUMMYFUNCTION("""COMPUTED_VALUE"""),3.0)</f>
        <v>3</v>
      </c>
      <c r="E3638" s="2">
        <f>IFERROR(__xludf.DUMMYFUNCTION("""COMPUTED_VALUE"""),80.0)</f>
        <v>80</v>
      </c>
      <c r="F3638" s="2">
        <f>IFERROR(__xludf.DUMMYFUNCTION("""COMPUTED_VALUE"""),4.0)</f>
        <v>4</v>
      </c>
      <c r="G3638" s="2">
        <f>IFERROR(__xludf.DUMMYFUNCTION("""COMPUTED_VALUE"""),9.0)</f>
        <v>9</v>
      </c>
      <c r="H3638" s="2">
        <f>IFERROR(__xludf.DUMMYFUNCTION("""COMPUTED_VALUE"""),119.0)</f>
        <v>119</v>
      </c>
      <c r="I3638" s="2" t="str">
        <f>IFERROR(__xludf.DUMMYFUNCTION("""COMPUTED_VALUE"""),"Panel")</f>
        <v>Panel</v>
      </c>
      <c r="J3638" s="2" t="str">
        <f>IFERROR(__xludf.DUMMYFUNCTION("""COMPUTED_VALUE"""),"All amenities")</f>
        <v>All amenities</v>
      </c>
      <c r="K3638" s="2">
        <f>IFERROR(__xludf.DUMMYFUNCTION("""COMPUTED_VALUE"""),65000.0)</f>
        <v>65000</v>
      </c>
      <c r="L3638" s="2">
        <f>IFERROR(__xludf.DUMMYFUNCTION("""COMPUTED_VALUE"""),56.9604346499999)</f>
        <v>56.96043465</v>
      </c>
      <c r="M3638" s="2">
        <f>IFERROR(__xludf.DUMMYFUNCTION("""COMPUTED_VALUE"""),24.1704860207815)</f>
        <v>24.17048602</v>
      </c>
    </row>
    <row r="3639">
      <c r="A3639" s="2" t="str">
        <f>IFERROR(__xludf.DUMMYFUNCTION("""COMPUTED_VALUE"""),"For sale")</f>
        <v>For sale</v>
      </c>
      <c r="B3639" s="2" t="str">
        <f>IFERROR(__xludf.DUMMYFUNCTION("""COMPUTED_VALUE"""),"centrs")</f>
        <v>centrs</v>
      </c>
      <c r="C3639" s="2" t="str">
        <f>IFERROR(__xludf.DUMMYFUNCTION("""COMPUTED_VALUE"""),"Eksporta 2")</f>
        <v>Eksporta 2</v>
      </c>
      <c r="D3639" s="2">
        <f>IFERROR(__xludf.DUMMYFUNCTION("""COMPUTED_VALUE"""),2.0)</f>
        <v>2</v>
      </c>
      <c r="E3639" s="2">
        <f>IFERROR(__xludf.DUMMYFUNCTION("""COMPUTED_VALUE"""),59.0)</f>
        <v>59</v>
      </c>
      <c r="F3639" s="2">
        <f>IFERROR(__xludf.DUMMYFUNCTION("""COMPUTED_VALUE"""),2.0)</f>
        <v>2</v>
      </c>
      <c r="G3639" s="2">
        <f>IFERROR(__xludf.DUMMYFUNCTION("""COMPUTED_VALUE"""),5.0)</f>
        <v>5</v>
      </c>
      <c r="H3639" s="2" t="str">
        <f>IFERROR(__xludf.DUMMYFUNCTION("""COMPUTED_VALUE"""),"Staļina")</f>
        <v>Staļina</v>
      </c>
      <c r="I3639" s="2" t="str">
        <f>IFERROR(__xludf.DUMMYFUNCTION("""COMPUTED_VALUE"""),"Masonry")</f>
        <v>Masonry</v>
      </c>
      <c r="J3639" s="2" t="str">
        <f>IFERROR(__xludf.DUMMYFUNCTION("""COMPUTED_VALUE"""),"All amenities")</f>
        <v>All amenities</v>
      </c>
      <c r="K3639" s="2">
        <f>IFERROR(__xludf.DUMMYFUNCTION("""COMPUTED_VALUE"""),125000.0)</f>
        <v>125000</v>
      </c>
      <c r="L3639" s="2">
        <f>IFERROR(__xludf.DUMMYFUNCTION("""COMPUTED_VALUE"""),56.95619685)</f>
        <v>56.95619685</v>
      </c>
      <c r="M3639" s="2">
        <f>IFERROR(__xludf.DUMMYFUNCTION("""COMPUTED_VALUE"""),24.098819615355)</f>
        <v>24.09881962</v>
      </c>
    </row>
    <row r="3640">
      <c r="A3640" s="2" t="str">
        <f>IFERROR(__xludf.DUMMYFUNCTION("""COMPUTED_VALUE"""),"For sale")</f>
        <v>For sale</v>
      </c>
      <c r="B3640" s="2" t="str">
        <f>IFERROR(__xludf.DUMMYFUNCTION("""COMPUTED_VALUE"""),"Ziepniekkalns")</f>
        <v>Ziepniekkalns</v>
      </c>
      <c r="C3640" s="2" t="str">
        <f>IFERROR(__xludf.DUMMYFUNCTION("""COMPUTED_VALUE"""),"Bruknas 8")</f>
        <v>Bruknas 8</v>
      </c>
      <c r="D3640" s="2">
        <f>IFERROR(__xludf.DUMMYFUNCTION("""COMPUTED_VALUE"""),3.0)</f>
        <v>3</v>
      </c>
      <c r="E3640" s="2">
        <f>IFERROR(__xludf.DUMMYFUNCTION("""COMPUTED_VALUE"""),77.0)</f>
        <v>77</v>
      </c>
      <c r="F3640" s="2">
        <f>IFERROR(__xludf.DUMMYFUNCTION("""COMPUTED_VALUE"""),8.0)</f>
        <v>8</v>
      </c>
      <c r="G3640" s="2">
        <f>IFERROR(__xludf.DUMMYFUNCTION("""COMPUTED_VALUE"""),10.0)</f>
        <v>10</v>
      </c>
      <c r="H3640" s="2">
        <f>IFERROR(__xludf.DUMMYFUNCTION("""COMPUTED_VALUE"""),119.0)</f>
        <v>119</v>
      </c>
      <c r="I3640" s="2" t="str">
        <f>IFERROR(__xludf.DUMMYFUNCTION("""COMPUTED_VALUE"""),"Panel")</f>
        <v>Panel</v>
      </c>
      <c r="J3640" s="2" t="str">
        <f>IFERROR(__xludf.DUMMYFUNCTION("""COMPUTED_VALUE"""),"All amenities")</f>
        <v>All amenities</v>
      </c>
      <c r="K3640" s="2">
        <f>IFERROR(__xludf.DUMMYFUNCTION("""COMPUTED_VALUE"""),75000.0)</f>
        <v>75000</v>
      </c>
      <c r="L3640" s="2">
        <f>IFERROR(__xludf.DUMMYFUNCTION("""COMPUTED_VALUE"""),56.9023667)</f>
        <v>56.9023667</v>
      </c>
      <c r="M3640" s="2">
        <f>IFERROR(__xludf.DUMMYFUNCTION("""COMPUTED_VALUE"""),24.0865390464585)</f>
        <v>24.08653905</v>
      </c>
    </row>
    <row r="3641">
      <c r="A3641" s="2" t="str">
        <f>IFERROR(__xludf.DUMMYFUNCTION("""COMPUTED_VALUE"""),"For sale")</f>
        <v>For sale</v>
      </c>
      <c r="B3641" s="2" t="str">
        <f>IFERROR(__xludf.DUMMYFUNCTION("""COMPUTED_VALUE"""),"centrs")</f>
        <v>centrs</v>
      </c>
      <c r="C3641" s="2" t="str">
        <f>IFERROR(__xludf.DUMMYFUNCTION("""COMPUTED_VALUE"""),"Akas 9")</f>
        <v>Akas 9</v>
      </c>
      <c r="D3641" s="2">
        <f>IFERROR(__xludf.DUMMYFUNCTION("""COMPUTED_VALUE"""),3.0)</f>
        <v>3</v>
      </c>
      <c r="E3641" s="2">
        <f>IFERROR(__xludf.DUMMYFUNCTION("""COMPUTED_VALUE"""),78.0)</f>
        <v>78</v>
      </c>
      <c r="F3641" s="2">
        <f>IFERROR(__xludf.DUMMYFUNCTION("""COMPUTED_VALUE"""),3.0)</f>
        <v>3</v>
      </c>
      <c r="G3641" s="2">
        <f>IFERROR(__xludf.DUMMYFUNCTION("""COMPUTED_VALUE"""),5.0)</f>
        <v>5</v>
      </c>
      <c r="H3641" s="2" t="str">
        <f>IFERROR(__xludf.DUMMYFUNCTION("""COMPUTED_VALUE"""),"Specpr.")</f>
        <v>Specpr.</v>
      </c>
      <c r="I3641" s="2" t="str">
        <f>IFERROR(__xludf.DUMMYFUNCTION("""COMPUTED_VALUE"""),"Brick-Panel")</f>
        <v>Brick-Panel</v>
      </c>
      <c r="J3641" s="2" t="str">
        <f>IFERROR(__xludf.DUMMYFUNCTION("""COMPUTED_VALUE"""),"All amenities")</f>
        <v>All amenities</v>
      </c>
      <c r="K3641" s="2">
        <f>IFERROR(__xludf.DUMMYFUNCTION("""COMPUTED_VALUE"""),169000.0)</f>
        <v>169000</v>
      </c>
      <c r="L3641" s="2">
        <f>IFERROR(__xludf.DUMMYFUNCTION("""COMPUTED_VALUE"""),56.9568556)</f>
        <v>56.9568556</v>
      </c>
      <c r="M3641" s="2">
        <f>IFERROR(__xludf.DUMMYFUNCTION("""COMPUTED_VALUE"""),24.1255856822327)</f>
        <v>24.12558568</v>
      </c>
    </row>
    <row r="3642">
      <c r="A3642" s="2" t="str">
        <f>IFERROR(__xludf.DUMMYFUNCTION("""COMPUTED_VALUE"""),"For rent")</f>
        <v>For rent</v>
      </c>
      <c r="B3642" s="2" t="str">
        <f>IFERROR(__xludf.DUMMYFUNCTION("""COMPUTED_VALUE"""),"Iļģuciems")</f>
        <v>Iļģuciems</v>
      </c>
      <c r="C3642" s="2" t="str">
        <f>IFERROR(__xludf.DUMMYFUNCTION("""COMPUTED_VALUE"""),"Lielezeres 10")</f>
        <v>Lielezeres 10</v>
      </c>
      <c r="D3642" s="2">
        <f>IFERROR(__xludf.DUMMYFUNCTION("""COMPUTED_VALUE"""),1.0)</f>
        <v>1</v>
      </c>
      <c r="E3642" s="2">
        <f>IFERROR(__xludf.DUMMYFUNCTION("""COMPUTED_VALUE"""),45.0)</f>
        <v>45</v>
      </c>
      <c r="F3642" s="2">
        <f>IFERROR(__xludf.DUMMYFUNCTION("""COMPUTED_VALUE"""),2.0)</f>
        <v>2</v>
      </c>
      <c r="G3642" s="2">
        <f>IFERROR(__xludf.DUMMYFUNCTION("""COMPUTED_VALUE"""),5.0)</f>
        <v>5</v>
      </c>
      <c r="H3642" s="2" t="str">
        <f>IFERROR(__xludf.DUMMYFUNCTION("""COMPUTED_VALUE"""),"Jaun.")</f>
        <v>Jaun.</v>
      </c>
      <c r="I3642" s="2" t="str">
        <f>IFERROR(__xludf.DUMMYFUNCTION("""COMPUTED_VALUE"""),"Panel")</f>
        <v>Panel</v>
      </c>
      <c r="J3642" s="2" t="str">
        <f>IFERROR(__xludf.DUMMYFUNCTION("""COMPUTED_VALUE"""),"All amenities")</f>
        <v>All amenities</v>
      </c>
      <c r="K3642" s="2">
        <f>IFERROR(__xludf.DUMMYFUNCTION("""COMPUTED_VALUE"""),430.0)</f>
        <v>430</v>
      </c>
      <c r="L3642" s="2">
        <f>IFERROR(__xludf.DUMMYFUNCTION("""COMPUTED_VALUE"""),56.95924805)</f>
        <v>56.95924805</v>
      </c>
      <c r="M3642" s="2">
        <f>IFERROR(__xludf.DUMMYFUNCTION("""COMPUTED_VALUE"""),24.055202274196)</f>
        <v>24.05520227</v>
      </c>
    </row>
    <row r="3643">
      <c r="A3643" s="2" t="str">
        <f>IFERROR(__xludf.DUMMYFUNCTION("""COMPUTED_VALUE"""),"For sale")</f>
        <v>For sale</v>
      </c>
      <c r="B3643" s="2" t="str">
        <f>IFERROR(__xludf.DUMMYFUNCTION("""COMPUTED_VALUE"""),"Ķengarags")</f>
        <v>Ķengarags</v>
      </c>
      <c r="C3643" s="2" t="str">
        <f>IFERROR(__xludf.DUMMYFUNCTION("""COMPUTED_VALUE"""),"Maltas 29")</f>
        <v>Maltas 29</v>
      </c>
      <c r="D3643" s="2">
        <f>IFERROR(__xludf.DUMMYFUNCTION("""COMPUTED_VALUE"""),3.0)</f>
        <v>3</v>
      </c>
      <c r="E3643" s="2">
        <f>IFERROR(__xludf.DUMMYFUNCTION("""COMPUTED_VALUE"""),59.0)</f>
        <v>59</v>
      </c>
      <c r="F3643" s="2">
        <f>IFERROR(__xludf.DUMMYFUNCTION("""COMPUTED_VALUE"""),5.0)</f>
        <v>5</v>
      </c>
      <c r="G3643" s="2">
        <f>IFERROR(__xludf.DUMMYFUNCTION("""COMPUTED_VALUE"""),5.0)</f>
        <v>5</v>
      </c>
      <c r="H3643" s="2" t="str">
        <f>IFERROR(__xludf.DUMMYFUNCTION("""COMPUTED_VALUE"""),"LT proj.")</f>
        <v>LT proj.</v>
      </c>
      <c r="I3643" s="2" t="str">
        <f>IFERROR(__xludf.DUMMYFUNCTION("""COMPUTED_VALUE"""),"Panel")</f>
        <v>Panel</v>
      </c>
      <c r="J3643" s="2" t="str">
        <f>IFERROR(__xludf.DUMMYFUNCTION("""COMPUTED_VALUE"""),"All amenities")</f>
        <v>All amenities</v>
      </c>
      <c r="K3643" s="2">
        <f>IFERROR(__xludf.DUMMYFUNCTION("""COMPUTED_VALUE"""),49000.0)</f>
        <v>49000</v>
      </c>
      <c r="L3643" s="2">
        <f>IFERROR(__xludf.DUMMYFUNCTION("""COMPUTED_VALUE"""),56.9045511)</f>
        <v>56.9045511</v>
      </c>
      <c r="M3643" s="2">
        <f>IFERROR(__xludf.DUMMYFUNCTION("""COMPUTED_VALUE"""),24.1941032)</f>
        <v>24.1941032</v>
      </c>
    </row>
    <row r="3644">
      <c r="A3644" s="2" t="str">
        <f>IFERROR(__xludf.DUMMYFUNCTION("""COMPUTED_VALUE"""),"For rent")</f>
        <v>For rent</v>
      </c>
      <c r="B3644" s="2" t="str">
        <f>IFERROR(__xludf.DUMMYFUNCTION("""COMPUTED_VALUE"""),"Jugla")</f>
        <v>Jugla</v>
      </c>
      <c r="C3644" s="2" t="str">
        <f>IFERROR(__xludf.DUMMYFUNCTION("""COMPUTED_VALUE"""),"Juglas 51")</f>
        <v>Juglas 51</v>
      </c>
      <c r="D3644" s="2">
        <f>IFERROR(__xludf.DUMMYFUNCTION("""COMPUTED_VALUE"""),1.0)</f>
        <v>1</v>
      </c>
      <c r="E3644" s="2">
        <f>IFERROR(__xludf.DUMMYFUNCTION("""COMPUTED_VALUE"""),32.0)</f>
        <v>32</v>
      </c>
      <c r="F3644" s="2">
        <f>IFERROR(__xludf.DUMMYFUNCTION("""COMPUTED_VALUE"""),5.0)</f>
        <v>5</v>
      </c>
      <c r="G3644" s="2">
        <f>IFERROR(__xludf.DUMMYFUNCTION("""COMPUTED_VALUE"""),5.0)</f>
        <v>5</v>
      </c>
      <c r="H3644" s="2" t="str">
        <f>IFERROR(__xludf.DUMMYFUNCTION("""COMPUTED_VALUE"""),"LT proj.")</f>
        <v>LT proj.</v>
      </c>
      <c r="I3644" s="2" t="str">
        <f>IFERROR(__xludf.DUMMYFUNCTION("""COMPUTED_VALUE"""),"Panel")</f>
        <v>Panel</v>
      </c>
      <c r="J3644" s="2" t="str">
        <f>IFERROR(__xludf.DUMMYFUNCTION("""COMPUTED_VALUE"""),"All amenities")</f>
        <v>All amenities</v>
      </c>
      <c r="K3644" s="2">
        <f>IFERROR(__xludf.DUMMYFUNCTION("""COMPUTED_VALUE"""),280.0)</f>
        <v>280</v>
      </c>
      <c r="L3644" s="2">
        <f>IFERROR(__xludf.DUMMYFUNCTION("""COMPUTED_VALUE"""),56.9764701)</f>
        <v>56.9764701</v>
      </c>
      <c r="M3644" s="2">
        <f>IFERROR(__xludf.DUMMYFUNCTION("""COMPUTED_VALUE"""),24.2537896)</f>
        <v>24.2537896</v>
      </c>
    </row>
    <row r="3645">
      <c r="A3645" s="2" t="str">
        <f>IFERROR(__xludf.DUMMYFUNCTION("""COMPUTED_VALUE"""),"For sale")</f>
        <v>For sale</v>
      </c>
      <c r="B3645" s="2" t="str">
        <f>IFERROR(__xludf.DUMMYFUNCTION("""COMPUTED_VALUE"""),"Vecmīlgrāvis")</f>
        <v>Vecmīlgrāvis</v>
      </c>
      <c r="C3645" s="2" t="str">
        <f>IFERROR(__xludf.DUMMYFUNCTION("""COMPUTED_VALUE"""),"Skuju 2")</f>
        <v>Skuju 2</v>
      </c>
      <c r="D3645" s="2">
        <f>IFERROR(__xludf.DUMMYFUNCTION("""COMPUTED_VALUE"""),2.0)</f>
        <v>2</v>
      </c>
      <c r="E3645" s="2">
        <f>IFERROR(__xludf.DUMMYFUNCTION("""COMPUTED_VALUE"""),48.0)</f>
        <v>48</v>
      </c>
      <c r="F3645" s="2">
        <f>IFERROR(__xludf.DUMMYFUNCTION("""COMPUTED_VALUE"""),1.0)</f>
        <v>1</v>
      </c>
      <c r="G3645" s="2">
        <f>IFERROR(__xludf.DUMMYFUNCTION("""COMPUTED_VALUE"""),5.0)</f>
        <v>5</v>
      </c>
      <c r="H3645" s="2">
        <f>IFERROR(__xludf.DUMMYFUNCTION("""COMPUTED_VALUE"""),103.0)</f>
        <v>103</v>
      </c>
      <c r="I3645" s="2" t="str">
        <f>IFERROR(__xludf.DUMMYFUNCTION("""COMPUTED_VALUE"""),"Panel-Brick")</f>
        <v>Panel-Brick</v>
      </c>
      <c r="J3645" s="2" t="str">
        <f>IFERROR(__xludf.DUMMYFUNCTION("""COMPUTED_VALUE"""),"All amenities")</f>
        <v>All amenities</v>
      </c>
      <c r="K3645" s="2">
        <f>IFERROR(__xludf.DUMMYFUNCTION("""COMPUTED_VALUE"""),37000.0)</f>
        <v>37000</v>
      </c>
      <c r="L3645" s="2">
        <f>IFERROR(__xludf.DUMMYFUNCTION("""COMPUTED_VALUE"""),57.0292877499999)</f>
        <v>57.02928775</v>
      </c>
      <c r="M3645" s="2">
        <f>IFERROR(__xludf.DUMMYFUNCTION("""COMPUTED_VALUE"""),24.1022710999999)</f>
        <v>24.1022711</v>
      </c>
    </row>
    <row r="3646">
      <c r="A3646" s="2" t="str">
        <f>IFERROR(__xludf.DUMMYFUNCTION("""COMPUTED_VALUE"""),"For sale")</f>
        <v>For sale</v>
      </c>
      <c r="B3646" s="2" t="str">
        <f>IFERROR(__xludf.DUMMYFUNCTION("""COMPUTED_VALUE"""),"Imanta")</f>
        <v>Imanta</v>
      </c>
      <c r="C3646" s="2" t="str">
        <f>IFERROR(__xludf.DUMMYFUNCTION("""COMPUTED_VALUE"""),"Slokas 185")</f>
        <v>Slokas 185</v>
      </c>
      <c r="D3646" s="2">
        <f>IFERROR(__xludf.DUMMYFUNCTION("""COMPUTED_VALUE"""),3.0)</f>
        <v>3</v>
      </c>
      <c r="E3646" s="2">
        <f>IFERROR(__xludf.DUMMYFUNCTION("""COMPUTED_VALUE"""),55.0)</f>
        <v>55</v>
      </c>
      <c r="F3646" s="2">
        <f>IFERROR(__xludf.DUMMYFUNCTION("""COMPUTED_VALUE"""),5.0)</f>
        <v>5</v>
      </c>
      <c r="G3646" s="2">
        <f>IFERROR(__xludf.DUMMYFUNCTION("""COMPUTED_VALUE"""),5.0)</f>
        <v>5</v>
      </c>
      <c r="H3646" s="2" t="str">
        <f>IFERROR(__xludf.DUMMYFUNCTION("""COMPUTED_VALUE"""),"LT proj.")</f>
        <v>LT proj.</v>
      </c>
      <c r="I3646" s="2" t="str">
        <f>IFERROR(__xludf.DUMMYFUNCTION("""COMPUTED_VALUE"""),"Panel")</f>
        <v>Panel</v>
      </c>
      <c r="J3646" s="2" t="str">
        <f>IFERROR(__xludf.DUMMYFUNCTION("""COMPUTED_VALUE"""),"All amenities")</f>
        <v>All amenities</v>
      </c>
      <c r="K3646" s="2">
        <f>IFERROR(__xludf.DUMMYFUNCTION("""COMPUTED_VALUE"""),45000.0)</f>
        <v>45000</v>
      </c>
      <c r="L3646" s="2">
        <f>IFERROR(__xludf.DUMMYFUNCTION("""COMPUTED_VALUE"""),56.9631071999999)</f>
        <v>56.9631072</v>
      </c>
      <c r="M3646" s="2">
        <f>IFERROR(__xludf.DUMMYFUNCTION("""COMPUTED_VALUE"""),24.0188057517847)</f>
        <v>24.01880575</v>
      </c>
    </row>
    <row r="3647">
      <c r="A3647" s="2" t="str">
        <f>IFERROR(__xludf.DUMMYFUNCTION("""COMPUTED_VALUE"""),"For sale")</f>
        <v>For sale</v>
      </c>
      <c r="B3647" s="2" t="str">
        <f>IFERROR(__xludf.DUMMYFUNCTION("""COMPUTED_VALUE"""),"Vecmīlgrāvis")</f>
        <v>Vecmīlgrāvis</v>
      </c>
      <c r="C3647" s="2" t="str">
        <f>IFERROR(__xludf.DUMMYFUNCTION("""COMPUTED_VALUE"""),"Anitas 3")</f>
        <v>Anitas 3</v>
      </c>
      <c r="D3647" s="2">
        <f>IFERROR(__xludf.DUMMYFUNCTION("""COMPUTED_VALUE"""),2.0)</f>
        <v>2</v>
      </c>
      <c r="E3647" s="2">
        <f>IFERROR(__xludf.DUMMYFUNCTION("""COMPUTED_VALUE"""),63.0)</f>
        <v>63</v>
      </c>
      <c r="F3647" s="2">
        <f>IFERROR(__xludf.DUMMYFUNCTION("""COMPUTED_VALUE"""),1.0)</f>
        <v>1</v>
      </c>
      <c r="G3647" s="2">
        <f>IFERROR(__xludf.DUMMYFUNCTION("""COMPUTED_VALUE"""),2.0)</f>
        <v>2</v>
      </c>
      <c r="H3647" s="2" t="str">
        <f>IFERROR(__xludf.DUMMYFUNCTION("""COMPUTED_VALUE"""),"Staļina")</f>
        <v>Staļina</v>
      </c>
      <c r="I3647" s="2" t="str">
        <f>IFERROR(__xludf.DUMMYFUNCTION("""COMPUTED_VALUE"""),"Masonry")</f>
        <v>Masonry</v>
      </c>
      <c r="J3647" s="2" t="str">
        <f>IFERROR(__xludf.DUMMYFUNCTION("""COMPUTED_VALUE"""),"All amenities")</f>
        <v>All amenities</v>
      </c>
      <c r="K3647" s="2">
        <f>IFERROR(__xludf.DUMMYFUNCTION("""COMPUTED_VALUE"""),54000.0)</f>
        <v>54000</v>
      </c>
      <c r="L3647" s="2">
        <f>IFERROR(__xludf.DUMMYFUNCTION("""COMPUTED_VALUE"""),57.02813745)</f>
        <v>57.02813745</v>
      </c>
      <c r="M3647" s="2">
        <f>IFERROR(__xludf.DUMMYFUNCTION("""COMPUTED_VALUE"""),24.110178501929)</f>
        <v>24.1101785</v>
      </c>
    </row>
    <row r="3648">
      <c r="A3648" s="2" t="str">
        <f>IFERROR(__xludf.DUMMYFUNCTION("""COMPUTED_VALUE"""),"For sale")</f>
        <v>For sale</v>
      </c>
      <c r="B3648" s="2" t="str">
        <f>IFERROR(__xludf.DUMMYFUNCTION("""COMPUTED_VALUE"""),"Jugla")</f>
        <v>Jugla</v>
      </c>
      <c r="C3648" s="2" t="str">
        <f>IFERROR(__xludf.DUMMYFUNCTION("""COMPUTED_VALUE"""),"Juglas 35")</f>
        <v>Juglas 35</v>
      </c>
      <c r="D3648" s="2">
        <f>IFERROR(__xludf.DUMMYFUNCTION("""COMPUTED_VALUE"""),2.0)</f>
        <v>2</v>
      </c>
      <c r="E3648" s="2">
        <f>IFERROR(__xludf.DUMMYFUNCTION("""COMPUTED_VALUE"""),47.0)</f>
        <v>47</v>
      </c>
      <c r="F3648" s="2">
        <f>IFERROR(__xludf.DUMMYFUNCTION("""COMPUTED_VALUE"""),2.0)</f>
        <v>2</v>
      </c>
      <c r="G3648" s="2">
        <f>IFERROR(__xludf.DUMMYFUNCTION("""COMPUTED_VALUE"""),5.0)</f>
        <v>5</v>
      </c>
      <c r="H3648" s="2" t="str">
        <f>IFERROR(__xludf.DUMMYFUNCTION("""COMPUTED_VALUE"""),"LT proj.")</f>
        <v>LT proj.</v>
      </c>
      <c r="I3648" s="2" t="str">
        <f>IFERROR(__xludf.DUMMYFUNCTION("""COMPUTED_VALUE"""),"Panel")</f>
        <v>Panel</v>
      </c>
      <c r="J3648" s="2" t="str">
        <f>IFERROR(__xludf.DUMMYFUNCTION("""COMPUTED_VALUE"""),"All amenities")</f>
        <v>All amenities</v>
      </c>
      <c r="K3648" s="2">
        <f>IFERROR(__xludf.DUMMYFUNCTION("""COMPUTED_VALUE"""),43000.0)</f>
        <v>43000</v>
      </c>
      <c r="L3648" s="2">
        <f>IFERROR(__xludf.DUMMYFUNCTION("""COMPUTED_VALUE"""),56.9671659)</f>
        <v>56.9671659</v>
      </c>
      <c r="M3648" s="2">
        <f>IFERROR(__xludf.DUMMYFUNCTION("""COMPUTED_VALUE"""),24.2825273532216)</f>
        <v>24.28252735</v>
      </c>
    </row>
    <row r="3649">
      <c r="A3649" s="2" t="str">
        <f>IFERROR(__xludf.DUMMYFUNCTION("""COMPUTED_VALUE"""),"For rent")</f>
        <v>For rent</v>
      </c>
      <c r="B3649" s="2" t="str">
        <f>IFERROR(__xludf.DUMMYFUNCTION("""COMPUTED_VALUE"""),"Imanta")</f>
        <v>Imanta</v>
      </c>
      <c r="C3649" s="2" t="str">
        <f>IFERROR(__xludf.DUMMYFUNCTION("""COMPUTED_VALUE"""),"Dammes 1")</f>
        <v>Dammes 1</v>
      </c>
      <c r="D3649" s="2">
        <f>IFERROR(__xludf.DUMMYFUNCTION("""COMPUTED_VALUE"""),1.0)</f>
        <v>1</v>
      </c>
      <c r="E3649" s="2">
        <f>IFERROR(__xludf.DUMMYFUNCTION("""COMPUTED_VALUE"""),37.0)</f>
        <v>37</v>
      </c>
      <c r="F3649" s="2">
        <f>IFERROR(__xludf.DUMMYFUNCTION("""COMPUTED_VALUE"""),7.0)</f>
        <v>7</v>
      </c>
      <c r="G3649" s="2">
        <f>IFERROR(__xludf.DUMMYFUNCTION("""COMPUTED_VALUE"""),9.0)</f>
        <v>9</v>
      </c>
      <c r="H3649" s="2">
        <f>IFERROR(__xludf.DUMMYFUNCTION("""COMPUTED_VALUE"""),602.0)</f>
        <v>602</v>
      </c>
      <c r="I3649" s="2" t="str">
        <f>IFERROR(__xludf.DUMMYFUNCTION("""COMPUTED_VALUE"""),"Panel")</f>
        <v>Panel</v>
      </c>
      <c r="J3649" s="2" t="str">
        <f>IFERROR(__xludf.DUMMYFUNCTION("""COMPUTED_VALUE"""),"All amenities")</f>
        <v>All amenities</v>
      </c>
      <c r="K3649" s="2">
        <f>IFERROR(__xludf.DUMMYFUNCTION("""COMPUTED_VALUE"""),300.0)</f>
        <v>300</v>
      </c>
      <c r="L3649" s="2">
        <f>IFERROR(__xludf.DUMMYFUNCTION("""COMPUTED_VALUE"""),56.9608459)</f>
        <v>56.9608459</v>
      </c>
      <c r="M3649" s="2">
        <f>IFERROR(__xludf.DUMMYFUNCTION("""COMPUTED_VALUE"""),24.0120992912805)</f>
        <v>24.01209929</v>
      </c>
    </row>
    <row r="3650">
      <c r="A3650" s="2" t="str">
        <f>IFERROR(__xludf.DUMMYFUNCTION("""COMPUTED_VALUE"""),"For sale")</f>
        <v>For sale</v>
      </c>
      <c r="B3650" s="2" t="str">
        <f>IFERROR(__xludf.DUMMYFUNCTION("""COMPUTED_VALUE"""),"centrs")</f>
        <v>centrs</v>
      </c>
      <c r="C3650" s="2" t="str">
        <f>IFERROR(__xludf.DUMMYFUNCTION("""COMPUTED_VALUE"""),"Blaumaņa 12")</f>
        <v>Blaumaņa 12</v>
      </c>
      <c r="D3650" s="2">
        <f>IFERROR(__xludf.DUMMYFUNCTION("""COMPUTED_VALUE"""),1.0)</f>
        <v>1</v>
      </c>
      <c r="E3650" s="2">
        <f>IFERROR(__xludf.DUMMYFUNCTION("""COMPUTED_VALUE"""),34.5)</f>
        <v>34.5</v>
      </c>
      <c r="F3650" s="2">
        <f>IFERROR(__xludf.DUMMYFUNCTION("""COMPUTED_VALUE"""),5.0)</f>
        <v>5</v>
      </c>
      <c r="G3650" s="2">
        <f>IFERROR(__xludf.DUMMYFUNCTION("""COMPUTED_VALUE"""),7.0)</f>
        <v>7</v>
      </c>
      <c r="H3650" s="2" t="str">
        <f>IFERROR(__xludf.DUMMYFUNCTION("""COMPUTED_VALUE"""),"Renov.")</f>
        <v>Renov.</v>
      </c>
      <c r="I3650" s="2" t="str">
        <f>IFERROR(__xludf.DUMMYFUNCTION("""COMPUTED_VALUE"""),"Masonry")</f>
        <v>Masonry</v>
      </c>
      <c r="J3650" s="2" t="str">
        <f>IFERROR(__xludf.DUMMYFUNCTION("""COMPUTED_VALUE"""),"All amenities")</f>
        <v>All amenities</v>
      </c>
      <c r="K3650" s="2">
        <f>IFERROR(__xludf.DUMMYFUNCTION("""COMPUTED_VALUE"""),89700.0)</f>
        <v>89700</v>
      </c>
      <c r="L3650" s="2">
        <f>IFERROR(__xludf.DUMMYFUNCTION("""COMPUTED_VALUE"""),56.9548306)</f>
        <v>56.9548306</v>
      </c>
      <c r="M3650" s="2">
        <f>IFERROR(__xludf.DUMMYFUNCTION("""COMPUTED_VALUE"""),24.1221141)</f>
        <v>24.1221141</v>
      </c>
    </row>
    <row r="3651">
      <c r="A3651" s="2" t="str">
        <f>IFERROR(__xludf.DUMMYFUNCTION("""COMPUTED_VALUE"""),"For sale")</f>
        <v>For sale</v>
      </c>
      <c r="B3651" s="2" t="str">
        <f>IFERROR(__xludf.DUMMYFUNCTION("""COMPUTED_VALUE"""),"Āgenskalns")</f>
        <v>Āgenskalns</v>
      </c>
      <c r="C3651" s="2" t="str">
        <f>IFERROR(__xludf.DUMMYFUNCTION("""COMPUTED_VALUE"""),"Dzirciema 31a")</f>
        <v>Dzirciema 31a</v>
      </c>
      <c r="D3651" s="2">
        <f>IFERROR(__xludf.DUMMYFUNCTION("""COMPUTED_VALUE"""),1.0)</f>
        <v>1</v>
      </c>
      <c r="E3651" s="2">
        <f>IFERROR(__xludf.DUMMYFUNCTION("""COMPUTED_VALUE"""),45.0)</f>
        <v>45</v>
      </c>
      <c r="F3651" s="2">
        <f>IFERROR(__xludf.DUMMYFUNCTION("""COMPUTED_VALUE"""),1.0)</f>
        <v>1</v>
      </c>
      <c r="G3651" s="2">
        <f>IFERROR(__xludf.DUMMYFUNCTION("""COMPUTED_VALUE"""),3.0)</f>
        <v>3</v>
      </c>
      <c r="H3651" s="2" t="str">
        <f>IFERROR(__xludf.DUMMYFUNCTION("""COMPUTED_VALUE"""),"Renov.")</f>
        <v>Renov.</v>
      </c>
      <c r="I3651" s="2" t="str">
        <f>IFERROR(__xludf.DUMMYFUNCTION("""COMPUTED_VALUE"""),"Panel-Brick")</f>
        <v>Panel-Brick</v>
      </c>
      <c r="J3651" s="2" t="str">
        <f>IFERROR(__xludf.DUMMYFUNCTION("""COMPUTED_VALUE"""),"All amenities")</f>
        <v>All amenities</v>
      </c>
      <c r="K3651" s="2">
        <f>IFERROR(__xludf.DUMMYFUNCTION("""COMPUTED_VALUE"""),69300.0)</f>
        <v>69300</v>
      </c>
      <c r="L3651" s="2">
        <f>IFERROR(__xludf.DUMMYFUNCTION("""COMPUTED_VALUE"""),56.9553949)</f>
        <v>56.9553949</v>
      </c>
      <c r="M3651" s="2">
        <f>IFERROR(__xludf.DUMMYFUNCTION("""COMPUTED_VALUE"""),24.0522937)</f>
        <v>24.0522937</v>
      </c>
    </row>
    <row r="3652">
      <c r="A3652" s="2" t="str">
        <f>IFERROR(__xludf.DUMMYFUNCTION("""COMPUTED_VALUE"""),"For rent")</f>
        <v>For rent</v>
      </c>
      <c r="B3652" s="2" t="str">
        <f>IFERROR(__xludf.DUMMYFUNCTION("""COMPUTED_VALUE"""),"Purvciems")</f>
        <v>Purvciems</v>
      </c>
      <c r="C3652" s="2" t="str">
        <f>IFERROR(__xludf.DUMMYFUNCTION("""COMPUTED_VALUE"""),"Ieriķu 32")</f>
        <v>Ieriķu 32</v>
      </c>
      <c r="D3652" s="2">
        <f>IFERROR(__xludf.DUMMYFUNCTION("""COMPUTED_VALUE"""),2.0)</f>
        <v>2</v>
      </c>
      <c r="E3652" s="2">
        <f>IFERROR(__xludf.DUMMYFUNCTION("""COMPUTED_VALUE"""),48.0)</f>
        <v>48</v>
      </c>
      <c r="F3652" s="2">
        <f>IFERROR(__xludf.DUMMYFUNCTION("""COMPUTED_VALUE"""),4.0)</f>
        <v>4</v>
      </c>
      <c r="G3652" s="2">
        <f>IFERROR(__xludf.DUMMYFUNCTION("""COMPUTED_VALUE"""),5.0)</f>
        <v>5</v>
      </c>
      <c r="H3652" s="2" t="str">
        <f>IFERROR(__xludf.DUMMYFUNCTION("""COMPUTED_VALUE"""),"Specpr.")</f>
        <v>Specpr.</v>
      </c>
      <c r="I3652" s="2" t="str">
        <f>IFERROR(__xludf.DUMMYFUNCTION("""COMPUTED_VALUE"""),"Brick")</f>
        <v>Brick</v>
      </c>
      <c r="J3652" s="2" t="str">
        <f>IFERROR(__xludf.DUMMYFUNCTION("""COMPUTED_VALUE"""),"All amenities")</f>
        <v>All amenities</v>
      </c>
      <c r="K3652" s="2">
        <f>IFERROR(__xludf.DUMMYFUNCTION("""COMPUTED_VALUE"""),300.0)</f>
        <v>300</v>
      </c>
      <c r="L3652" s="2">
        <f>IFERROR(__xludf.DUMMYFUNCTION("""COMPUTED_VALUE"""),56.96450485)</f>
        <v>56.96450485</v>
      </c>
      <c r="M3652" s="2">
        <f>IFERROR(__xludf.DUMMYFUNCTION("""COMPUTED_VALUE"""),24.1721578595744)</f>
        <v>24.17215786</v>
      </c>
    </row>
    <row r="3653">
      <c r="A3653" s="2" t="str">
        <f>IFERROR(__xludf.DUMMYFUNCTION("""COMPUTED_VALUE"""),"For sale")</f>
        <v>For sale</v>
      </c>
      <c r="B3653" s="2" t="str">
        <f>IFERROR(__xludf.DUMMYFUNCTION("""COMPUTED_VALUE"""),"Āgenskalns")</f>
        <v>Āgenskalns</v>
      </c>
      <c r="C3653" s="2" t="str">
        <f>IFERROR(__xludf.DUMMYFUNCTION("""COMPUTED_VALUE"""),"Dzirciema 31a")</f>
        <v>Dzirciema 31a</v>
      </c>
      <c r="D3653" s="2">
        <f>IFERROR(__xludf.DUMMYFUNCTION("""COMPUTED_VALUE"""),2.0)</f>
        <v>2</v>
      </c>
      <c r="E3653" s="2">
        <f>IFERROR(__xludf.DUMMYFUNCTION("""COMPUTED_VALUE"""),65.0)</f>
        <v>65</v>
      </c>
      <c r="F3653" s="2">
        <f>IFERROR(__xludf.DUMMYFUNCTION("""COMPUTED_VALUE"""),2.0)</f>
        <v>2</v>
      </c>
      <c r="G3653" s="2">
        <f>IFERROR(__xludf.DUMMYFUNCTION("""COMPUTED_VALUE"""),3.0)</f>
        <v>3</v>
      </c>
      <c r="H3653" s="2" t="str">
        <f>IFERROR(__xludf.DUMMYFUNCTION("""COMPUTED_VALUE"""),"Renov.")</f>
        <v>Renov.</v>
      </c>
      <c r="I3653" s="2" t="str">
        <f>IFERROR(__xludf.DUMMYFUNCTION("""COMPUTED_VALUE"""),"Panel-Brick")</f>
        <v>Panel-Brick</v>
      </c>
      <c r="J3653" s="2" t="str">
        <f>IFERROR(__xludf.DUMMYFUNCTION("""COMPUTED_VALUE"""),"All amenities")</f>
        <v>All amenities</v>
      </c>
      <c r="K3653" s="2">
        <f>IFERROR(__xludf.DUMMYFUNCTION("""COMPUTED_VALUE"""),119000.0)</f>
        <v>119000</v>
      </c>
      <c r="L3653" s="2">
        <f>IFERROR(__xludf.DUMMYFUNCTION("""COMPUTED_VALUE"""),56.9553949)</f>
        <v>56.9553949</v>
      </c>
      <c r="M3653" s="2">
        <f>IFERROR(__xludf.DUMMYFUNCTION("""COMPUTED_VALUE"""),24.0522937)</f>
        <v>24.0522937</v>
      </c>
    </row>
    <row r="3654">
      <c r="A3654" s="2" t="str">
        <f>IFERROR(__xludf.DUMMYFUNCTION("""COMPUTED_VALUE"""),"For sale")</f>
        <v>For sale</v>
      </c>
      <c r="B3654" s="2" t="str">
        <f>IFERROR(__xludf.DUMMYFUNCTION("""COMPUTED_VALUE"""),"Purvciems")</f>
        <v>Purvciems</v>
      </c>
      <c r="C3654" s="2" t="str">
        <f>IFERROR(__xludf.DUMMYFUNCTION("""COMPUTED_VALUE"""),"Stirnu 33")</f>
        <v>Stirnu 33</v>
      </c>
      <c r="D3654" s="2">
        <f>IFERROR(__xludf.DUMMYFUNCTION("""COMPUTED_VALUE"""),2.0)</f>
        <v>2</v>
      </c>
      <c r="E3654" s="2">
        <f>IFERROR(__xludf.DUMMYFUNCTION("""COMPUTED_VALUE"""),48.3)</f>
        <v>48.3</v>
      </c>
      <c r="F3654" s="2">
        <f>IFERROR(__xludf.DUMMYFUNCTION("""COMPUTED_VALUE"""),5.0)</f>
        <v>5</v>
      </c>
      <c r="G3654" s="2">
        <f>IFERROR(__xludf.DUMMYFUNCTION("""COMPUTED_VALUE"""),9.0)</f>
        <v>9</v>
      </c>
      <c r="H3654" s="2">
        <f>IFERROR(__xludf.DUMMYFUNCTION("""COMPUTED_VALUE"""),602.0)</f>
        <v>602</v>
      </c>
      <c r="I3654" s="2" t="str">
        <f>IFERROR(__xludf.DUMMYFUNCTION("""COMPUTED_VALUE"""),"Panel")</f>
        <v>Panel</v>
      </c>
      <c r="J3654" s="2" t="str">
        <f>IFERROR(__xludf.DUMMYFUNCTION("""COMPUTED_VALUE"""),"All amenities")</f>
        <v>All amenities</v>
      </c>
      <c r="K3654" s="2">
        <f>IFERROR(__xludf.DUMMYFUNCTION("""COMPUTED_VALUE"""),55000.0)</f>
        <v>55000</v>
      </c>
      <c r="L3654" s="2">
        <f>IFERROR(__xludf.DUMMYFUNCTION("""COMPUTED_VALUE"""),56.9600729)</f>
        <v>56.9600729</v>
      </c>
      <c r="M3654" s="2">
        <f>IFERROR(__xludf.DUMMYFUNCTION("""COMPUTED_VALUE"""),24.1860928710293)</f>
        <v>24.18609287</v>
      </c>
    </row>
    <row r="3655">
      <c r="A3655" s="2" t="str">
        <f>IFERROR(__xludf.DUMMYFUNCTION("""COMPUTED_VALUE"""),"For rent")</f>
        <v>For rent</v>
      </c>
      <c r="B3655" s="2" t="str">
        <f>IFERROR(__xludf.DUMMYFUNCTION("""COMPUTED_VALUE"""),"Teika")</f>
        <v>Teika</v>
      </c>
      <c r="C3655" s="2" t="str">
        <f>IFERROR(__xludf.DUMMYFUNCTION("""COMPUTED_VALUE"""),"Ropažu 105")</f>
        <v>Ropažu 105</v>
      </c>
      <c r="D3655" s="2">
        <f>IFERROR(__xludf.DUMMYFUNCTION("""COMPUTED_VALUE"""),2.0)</f>
        <v>2</v>
      </c>
      <c r="E3655" s="2">
        <f>IFERROR(__xludf.DUMMYFUNCTION("""COMPUTED_VALUE"""),47.0)</f>
        <v>47</v>
      </c>
      <c r="F3655" s="2">
        <f>IFERROR(__xludf.DUMMYFUNCTION("""COMPUTED_VALUE"""),2.0)</f>
        <v>2</v>
      </c>
      <c r="G3655" s="2">
        <f>IFERROR(__xludf.DUMMYFUNCTION("""COMPUTED_VALUE"""),2.0)</f>
        <v>2</v>
      </c>
      <c r="H3655" s="2" t="str">
        <f>IFERROR(__xludf.DUMMYFUNCTION("""COMPUTED_VALUE"""),"Hrušč.")</f>
        <v>Hrušč.</v>
      </c>
      <c r="I3655" s="2" t="str">
        <f>IFERROR(__xludf.DUMMYFUNCTION("""COMPUTED_VALUE"""),"Brick")</f>
        <v>Brick</v>
      </c>
      <c r="J3655" s="2" t="str">
        <f>IFERROR(__xludf.DUMMYFUNCTION("""COMPUTED_VALUE"""),"All amenities")</f>
        <v>All amenities</v>
      </c>
      <c r="K3655" s="2">
        <f>IFERROR(__xludf.DUMMYFUNCTION("""COMPUTED_VALUE"""),500.0)</f>
        <v>500</v>
      </c>
      <c r="L3655" s="2">
        <f>IFERROR(__xludf.DUMMYFUNCTION("""COMPUTED_VALUE"""),56.9835792)</f>
        <v>56.9835792</v>
      </c>
      <c r="M3655" s="2">
        <f>IFERROR(__xludf.DUMMYFUNCTION("""COMPUTED_VALUE"""),24.19849335)</f>
        <v>24.19849335</v>
      </c>
    </row>
    <row r="3656">
      <c r="A3656" s="2" t="str">
        <f>IFERROR(__xludf.DUMMYFUNCTION("""COMPUTED_VALUE"""),"For sale")</f>
        <v>For sale</v>
      </c>
      <c r="B3656" s="2" t="str">
        <f>IFERROR(__xludf.DUMMYFUNCTION("""COMPUTED_VALUE"""),"Pļavnieki")</f>
        <v>Pļavnieki</v>
      </c>
      <c r="C3656" s="2" t="str">
        <f>IFERROR(__xludf.DUMMYFUNCTION("""COMPUTED_VALUE"""),"Salnas 24")</f>
        <v>Salnas 24</v>
      </c>
      <c r="D3656" s="2">
        <f>IFERROR(__xludf.DUMMYFUNCTION("""COMPUTED_VALUE"""),1.0)</f>
        <v>1</v>
      </c>
      <c r="E3656" s="2">
        <f>IFERROR(__xludf.DUMMYFUNCTION("""COMPUTED_VALUE"""),39.0)</f>
        <v>39</v>
      </c>
      <c r="F3656" s="2">
        <f>IFERROR(__xludf.DUMMYFUNCTION("""COMPUTED_VALUE"""),5.0)</f>
        <v>5</v>
      </c>
      <c r="G3656" s="2">
        <f>IFERROR(__xludf.DUMMYFUNCTION("""COMPUTED_VALUE"""),5.0)</f>
        <v>5</v>
      </c>
      <c r="H3656" s="2" t="str">
        <f>IFERROR(__xludf.DUMMYFUNCTION("""COMPUTED_VALUE"""),"M. ģim.")</f>
        <v>M. ģim.</v>
      </c>
      <c r="I3656" s="2" t="str">
        <f>IFERROR(__xludf.DUMMYFUNCTION("""COMPUTED_VALUE"""),"Panel")</f>
        <v>Panel</v>
      </c>
      <c r="J3656" s="2" t="str">
        <f>IFERROR(__xludf.DUMMYFUNCTION("""COMPUTED_VALUE"""),"All amenities")</f>
        <v>All amenities</v>
      </c>
      <c r="K3656" s="2">
        <f>IFERROR(__xludf.DUMMYFUNCTION("""COMPUTED_VALUE"""),30000.0)</f>
        <v>30000</v>
      </c>
      <c r="L3656" s="2">
        <f>IFERROR(__xludf.DUMMYFUNCTION("""COMPUTED_VALUE"""),56.94167865)</f>
        <v>56.94167865</v>
      </c>
      <c r="M3656" s="2">
        <f>IFERROR(__xludf.DUMMYFUNCTION("""COMPUTED_VALUE"""),24.22621375)</f>
        <v>24.22621375</v>
      </c>
    </row>
    <row r="3657">
      <c r="A3657" s="2" t="str">
        <f>IFERROR(__xludf.DUMMYFUNCTION("""COMPUTED_VALUE"""),"For rent")</f>
        <v>For rent</v>
      </c>
      <c r="B3657" s="2" t="str">
        <f>IFERROR(__xludf.DUMMYFUNCTION("""COMPUTED_VALUE"""),"centrs")</f>
        <v>centrs</v>
      </c>
      <c r="C3657" s="2" t="str">
        <f>IFERROR(__xludf.DUMMYFUNCTION("""COMPUTED_VALUE"""),"Matīsa 38")</f>
        <v>Matīsa 38</v>
      </c>
      <c r="D3657" s="2">
        <f>IFERROR(__xludf.DUMMYFUNCTION("""COMPUTED_VALUE"""),2.0)</f>
        <v>2</v>
      </c>
      <c r="E3657" s="2">
        <f>IFERROR(__xludf.DUMMYFUNCTION("""COMPUTED_VALUE"""),46.0)</f>
        <v>46</v>
      </c>
      <c r="F3657" s="2">
        <f>IFERROR(__xludf.DUMMYFUNCTION("""COMPUTED_VALUE"""),3.0)</f>
        <v>3</v>
      </c>
      <c r="G3657" s="2">
        <f>IFERROR(__xludf.DUMMYFUNCTION("""COMPUTED_VALUE"""),6.0)</f>
        <v>6</v>
      </c>
      <c r="H3657" s="2" t="str">
        <f>IFERROR(__xludf.DUMMYFUNCTION("""COMPUTED_VALUE"""),"Renov.")</f>
        <v>Renov.</v>
      </c>
      <c r="I3657" s="2" t="str">
        <f>IFERROR(__xludf.DUMMYFUNCTION("""COMPUTED_VALUE"""),"Brick")</f>
        <v>Brick</v>
      </c>
      <c r="J3657" s="2" t="str">
        <f>IFERROR(__xludf.DUMMYFUNCTION("""COMPUTED_VALUE"""),"All amenities")</f>
        <v>All amenities</v>
      </c>
      <c r="K3657" s="2">
        <f>IFERROR(__xludf.DUMMYFUNCTION("""COMPUTED_VALUE"""),350.0)</f>
        <v>350</v>
      </c>
      <c r="L3657" s="2">
        <f>IFERROR(__xludf.DUMMYFUNCTION("""COMPUTED_VALUE"""),56.9553484)</f>
        <v>56.9553484</v>
      </c>
      <c r="M3657" s="2">
        <f>IFERROR(__xludf.DUMMYFUNCTION("""COMPUTED_VALUE"""),24.1366774)</f>
        <v>24.1366774</v>
      </c>
    </row>
    <row r="3658">
      <c r="A3658" s="2" t="str">
        <f>IFERROR(__xludf.DUMMYFUNCTION("""COMPUTED_VALUE"""),"For sale")</f>
        <v>For sale</v>
      </c>
      <c r="B3658" s="2" t="str">
        <f>IFERROR(__xludf.DUMMYFUNCTION("""COMPUTED_VALUE"""),"Iļģuciems")</f>
        <v>Iļģuciems</v>
      </c>
      <c r="C3658" s="2" t="str">
        <f>IFERROR(__xludf.DUMMYFUNCTION("""COMPUTED_VALUE"""),"Buļļu 888")</f>
        <v>Buļļu 888</v>
      </c>
      <c r="D3658" s="2">
        <f>IFERROR(__xludf.DUMMYFUNCTION("""COMPUTED_VALUE"""),2.0)</f>
        <v>2</v>
      </c>
      <c r="E3658" s="2">
        <f>IFERROR(__xludf.DUMMYFUNCTION("""COMPUTED_VALUE"""),48.0)</f>
        <v>48</v>
      </c>
      <c r="F3658" s="2">
        <f>IFERROR(__xludf.DUMMYFUNCTION("""COMPUTED_VALUE"""),2.0)</f>
        <v>2</v>
      </c>
      <c r="G3658" s="2">
        <f>IFERROR(__xludf.DUMMYFUNCTION("""COMPUTED_VALUE"""),3.0)</f>
        <v>3</v>
      </c>
      <c r="H3658" s="2" t="str">
        <f>IFERROR(__xludf.DUMMYFUNCTION("""COMPUTED_VALUE"""),"Hrušč.")</f>
        <v>Hrušč.</v>
      </c>
      <c r="I3658" s="2" t="str">
        <f>IFERROR(__xludf.DUMMYFUNCTION("""COMPUTED_VALUE"""),"Brick")</f>
        <v>Brick</v>
      </c>
      <c r="J3658" s="2" t="str">
        <f>IFERROR(__xludf.DUMMYFUNCTION("""COMPUTED_VALUE"""),"All amenities")</f>
        <v>All amenities</v>
      </c>
      <c r="K3658" s="2">
        <f>IFERROR(__xludf.DUMMYFUNCTION("""COMPUTED_VALUE"""),33500.0)</f>
        <v>33500</v>
      </c>
      <c r="L3658" s="2">
        <f>IFERROR(__xludf.DUMMYFUNCTION("""COMPUTED_VALUE"""),56.965298)</f>
        <v>56.965298</v>
      </c>
      <c r="M3658" s="2">
        <f>IFERROR(__xludf.DUMMYFUNCTION("""COMPUTED_VALUE"""),24.0573721)</f>
        <v>24.0573721</v>
      </c>
    </row>
    <row r="3659">
      <c r="A3659" s="2" t="str">
        <f>IFERROR(__xludf.DUMMYFUNCTION("""COMPUTED_VALUE"""),"For rent")</f>
        <v>For rent</v>
      </c>
      <c r="B3659" s="2" t="str">
        <f>IFERROR(__xludf.DUMMYFUNCTION("""COMPUTED_VALUE"""),"Krasta r-ns")</f>
        <v>Krasta r-ns</v>
      </c>
      <c r="C3659" s="2" t="str">
        <f>IFERROR(__xludf.DUMMYFUNCTION("""COMPUTED_VALUE"""),"Salacas 16")</f>
        <v>Salacas 16</v>
      </c>
      <c r="D3659" s="2">
        <f>IFERROR(__xludf.DUMMYFUNCTION("""COMPUTED_VALUE"""),1.0)</f>
        <v>1</v>
      </c>
      <c r="E3659" s="2">
        <f>IFERROR(__xludf.DUMMYFUNCTION("""COMPUTED_VALUE"""),50.0)</f>
        <v>50</v>
      </c>
      <c r="F3659" s="2">
        <f>IFERROR(__xludf.DUMMYFUNCTION("""COMPUTED_VALUE"""),10.0)</f>
        <v>10</v>
      </c>
      <c r="G3659" s="2">
        <f>IFERROR(__xludf.DUMMYFUNCTION("""COMPUTED_VALUE"""),16.0)</f>
        <v>16</v>
      </c>
      <c r="H3659" s="2">
        <f>IFERROR(__xludf.DUMMYFUNCTION("""COMPUTED_VALUE"""),104.0)</f>
        <v>104</v>
      </c>
      <c r="I3659" s="2" t="str">
        <f>IFERROR(__xludf.DUMMYFUNCTION("""COMPUTED_VALUE"""),"Panel")</f>
        <v>Panel</v>
      </c>
      <c r="J3659" s="2" t="str">
        <f>IFERROR(__xludf.DUMMYFUNCTION("""COMPUTED_VALUE"""),"All amenities")</f>
        <v>All amenities</v>
      </c>
      <c r="K3659" s="2">
        <f>IFERROR(__xludf.DUMMYFUNCTION("""COMPUTED_VALUE"""),29.0)</f>
        <v>29</v>
      </c>
      <c r="L3659" s="2">
        <f>IFERROR(__xludf.DUMMYFUNCTION("""COMPUTED_VALUE"""),56.9282438)</f>
        <v>56.9282438</v>
      </c>
      <c r="M3659" s="2">
        <f>IFERROR(__xludf.DUMMYFUNCTION("""COMPUTED_VALUE"""),24.1701215)</f>
        <v>24.1701215</v>
      </c>
    </row>
    <row r="3660">
      <c r="A3660" s="2" t="str">
        <f>IFERROR(__xludf.DUMMYFUNCTION("""COMPUTED_VALUE"""),"For rent")</f>
        <v>For rent</v>
      </c>
      <c r="B3660" s="2" t="str">
        <f>IFERROR(__xludf.DUMMYFUNCTION("""COMPUTED_VALUE"""),"Āgenskalns")</f>
        <v>Āgenskalns</v>
      </c>
      <c r="C3660" s="2" t="str">
        <f>IFERROR(__xludf.DUMMYFUNCTION("""COMPUTED_VALUE"""),"Kalnciema 107")</f>
        <v>Kalnciema 107</v>
      </c>
      <c r="D3660" s="2">
        <f>IFERROR(__xludf.DUMMYFUNCTION("""COMPUTED_VALUE"""),1.0)</f>
        <v>1</v>
      </c>
      <c r="E3660" s="2">
        <f>IFERROR(__xludf.DUMMYFUNCTION("""COMPUTED_VALUE"""),15.0)</f>
        <v>15</v>
      </c>
      <c r="F3660" s="2">
        <f>IFERROR(__xludf.DUMMYFUNCTION("""COMPUTED_VALUE"""),1.0)</f>
        <v>1</v>
      </c>
      <c r="G3660" s="2">
        <f>IFERROR(__xludf.DUMMYFUNCTION("""COMPUTED_VALUE"""),3.0)</f>
        <v>3</v>
      </c>
      <c r="H3660" s="2" t="str">
        <f>IFERROR(__xludf.DUMMYFUNCTION("""COMPUTED_VALUE"""),"Hrušč.")</f>
        <v>Hrušč.</v>
      </c>
      <c r="I3660" s="2" t="str">
        <f>IFERROR(__xludf.DUMMYFUNCTION("""COMPUTED_VALUE"""),"Brick")</f>
        <v>Brick</v>
      </c>
      <c r="J3660" s="2" t="str">
        <f>IFERROR(__xludf.DUMMYFUNCTION("""COMPUTED_VALUE"""),"All amenities")</f>
        <v>All amenities</v>
      </c>
      <c r="K3660" s="2">
        <f>IFERROR(__xludf.DUMMYFUNCTION("""COMPUTED_VALUE"""),220.0)</f>
        <v>220</v>
      </c>
      <c r="L3660" s="2">
        <f>IFERROR(__xludf.DUMMYFUNCTION("""COMPUTED_VALUE"""),56.9384531)</f>
        <v>56.9384531</v>
      </c>
      <c r="M3660" s="2">
        <f>IFERROR(__xludf.DUMMYFUNCTION("""COMPUTED_VALUE"""),24.0507266)</f>
        <v>24.0507266</v>
      </c>
    </row>
    <row r="3661">
      <c r="A3661" s="2" t="str">
        <f>IFERROR(__xludf.DUMMYFUNCTION("""COMPUTED_VALUE"""),"For rent")</f>
        <v>For rent</v>
      </c>
      <c r="B3661" s="2" t="str">
        <f>IFERROR(__xludf.DUMMYFUNCTION("""COMPUTED_VALUE"""),"Maskavas priekšpilsēta")</f>
        <v>Maskavas priekšpilsēta</v>
      </c>
      <c r="C3661" s="2" t="str">
        <f>IFERROR(__xludf.DUMMYFUNCTION("""COMPUTED_VALUE"""),"Katoļu 35a")</f>
        <v>Katoļu 35a</v>
      </c>
      <c r="D3661" s="2">
        <f>IFERROR(__xludf.DUMMYFUNCTION("""COMPUTED_VALUE"""),1.0)</f>
        <v>1</v>
      </c>
      <c r="E3661" s="2">
        <f>IFERROR(__xludf.DUMMYFUNCTION("""COMPUTED_VALUE"""),40.0)</f>
        <v>40</v>
      </c>
      <c r="F3661" s="2">
        <f>IFERROR(__xludf.DUMMYFUNCTION("""COMPUTED_VALUE"""),6.0)</f>
        <v>6</v>
      </c>
      <c r="G3661" s="2">
        <f>IFERROR(__xludf.DUMMYFUNCTION("""COMPUTED_VALUE"""),6.0)</f>
        <v>6</v>
      </c>
      <c r="H3661" s="2" t="str">
        <f>IFERROR(__xludf.DUMMYFUNCTION("""COMPUTED_VALUE"""),"Renov.")</f>
        <v>Renov.</v>
      </c>
      <c r="I3661" s="2" t="str">
        <f>IFERROR(__xludf.DUMMYFUNCTION("""COMPUTED_VALUE"""),"Masonry")</f>
        <v>Masonry</v>
      </c>
      <c r="J3661" s="2" t="str">
        <f>IFERROR(__xludf.DUMMYFUNCTION("""COMPUTED_VALUE"""),"All amenities")</f>
        <v>All amenities</v>
      </c>
      <c r="K3661" s="2">
        <f>IFERROR(__xludf.DUMMYFUNCTION("""COMPUTED_VALUE"""),25.0)</f>
        <v>25</v>
      </c>
      <c r="L3661" s="2">
        <f>IFERROR(__xludf.DUMMYFUNCTION("""COMPUTED_VALUE"""),56.9442148499999)</f>
        <v>56.94421485</v>
      </c>
      <c r="M3661" s="2">
        <f>IFERROR(__xludf.DUMMYFUNCTION("""COMPUTED_VALUE"""),24.1354263973833)</f>
        <v>24.1354264</v>
      </c>
    </row>
    <row r="3662">
      <c r="A3662" s="2" t="str">
        <f>IFERROR(__xludf.DUMMYFUNCTION("""COMPUTED_VALUE"""),"For sale")</f>
        <v>For sale</v>
      </c>
      <c r="B3662" s="2" t="str">
        <f>IFERROR(__xludf.DUMMYFUNCTION("""COMPUTED_VALUE"""),"Čiekurkalns")</f>
        <v>Čiekurkalns</v>
      </c>
      <c r="C3662" s="2" t="str">
        <f>IFERROR(__xludf.DUMMYFUNCTION("""COMPUTED_VALUE"""),"Ezermalas 2")</f>
        <v>Ezermalas 2</v>
      </c>
      <c r="D3662" s="2">
        <f>IFERROR(__xludf.DUMMYFUNCTION("""COMPUTED_VALUE"""),2.0)</f>
        <v>2</v>
      </c>
      <c r="E3662" s="2">
        <f>IFERROR(__xludf.DUMMYFUNCTION("""COMPUTED_VALUE"""),53.0)</f>
        <v>53</v>
      </c>
      <c r="F3662" s="2">
        <f>IFERROR(__xludf.DUMMYFUNCTION("""COMPUTED_VALUE"""),6.0)</f>
        <v>6</v>
      </c>
      <c r="G3662" s="2">
        <f>IFERROR(__xludf.DUMMYFUNCTION("""COMPUTED_VALUE"""),12.0)</f>
        <v>12</v>
      </c>
      <c r="H3662" s="2" t="str">
        <f>IFERROR(__xludf.DUMMYFUNCTION("""COMPUTED_VALUE"""),"Čehu pr.")</f>
        <v>Čehu pr.</v>
      </c>
      <c r="I3662" s="2" t="str">
        <f>IFERROR(__xludf.DUMMYFUNCTION("""COMPUTED_VALUE"""),"Brick")</f>
        <v>Brick</v>
      </c>
      <c r="J3662" s="2" t="str">
        <f>IFERROR(__xludf.DUMMYFUNCTION("""COMPUTED_VALUE"""),"All amenities")</f>
        <v>All amenities</v>
      </c>
      <c r="K3662" s="2">
        <f>IFERROR(__xludf.DUMMYFUNCTION("""COMPUTED_VALUE"""),52000.0)</f>
        <v>52000</v>
      </c>
      <c r="L3662" s="2">
        <f>IFERROR(__xludf.DUMMYFUNCTION("""COMPUTED_VALUE"""),56.9929332)</f>
        <v>56.9929332</v>
      </c>
      <c r="M3662" s="2">
        <f>IFERROR(__xludf.DUMMYFUNCTION("""COMPUTED_VALUE"""),24.1945177)</f>
        <v>24.1945177</v>
      </c>
    </row>
    <row r="3663">
      <c r="A3663" s="2" t="str">
        <f>IFERROR(__xludf.DUMMYFUNCTION("""COMPUTED_VALUE"""),"For rent")</f>
        <v>For rent</v>
      </c>
      <c r="B3663" s="2" t="str">
        <f>IFERROR(__xludf.DUMMYFUNCTION("""COMPUTED_VALUE"""),"Ziepniekkalns")</f>
        <v>Ziepniekkalns</v>
      </c>
      <c r="C3663" s="2" t="str">
        <f>IFERROR(__xludf.DUMMYFUNCTION("""COMPUTED_VALUE"""),"Ozolciema 56/2")</f>
        <v>Ozolciema 56/2</v>
      </c>
      <c r="D3663" s="2">
        <f>IFERROR(__xludf.DUMMYFUNCTION("""COMPUTED_VALUE"""),2.0)</f>
        <v>2</v>
      </c>
      <c r="E3663" s="2">
        <f>IFERROR(__xludf.DUMMYFUNCTION("""COMPUTED_VALUE"""),49.0)</f>
        <v>49</v>
      </c>
      <c r="F3663" s="2">
        <f>IFERROR(__xludf.DUMMYFUNCTION("""COMPUTED_VALUE"""),9.0)</f>
        <v>9</v>
      </c>
      <c r="G3663" s="2">
        <f>IFERROR(__xludf.DUMMYFUNCTION("""COMPUTED_VALUE"""),9.0)</f>
        <v>9</v>
      </c>
      <c r="H3663" s="2">
        <f>IFERROR(__xludf.DUMMYFUNCTION("""COMPUTED_VALUE"""),602.0)</f>
        <v>602</v>
      </c>
      <c r="I3663" s="2" t="str">
        <f>IFERROR(__xludf.DUMMYFUNCTION("""COMPUTED_VALUE"""),"Panel")</f>
        <v>Panel</v>
      </c>
      <c r="J3663" s="2" t="str">
        <f>IFERROR(__xludf.DUMMYFUNCTION("""COMPUTED_VALUE"""),"All amenities")</f>
        <v>All amenities</v>
      </c>
      <c r="K3663" s="2">
        <f>IFERROR(__xludf.DUMMYFUNCTION("""COMPUTED_VALUE"""),280.0)</f>
        <v>280</v>
      </c>
      <c r="L3663" s="2">
        <f>IFERROR(__xludf.DUMMYFUNCTION("""COMPUTED_VALUE"""),56.8990307)</f>
        <v>56.8990307</v>
      </c>
      <c r="M3663" s="2">
        <f>IFERROR(__xludf.DUMMYFUNCTION("""COMPUTED_VALUE"""),24.0785989)</f>
        <v>24.0785989</v>
      </c>
    </row>
    <row r="3664">
      <c r="A3664" s="2" t="str">
        <f>IFERROR(__xludf.DUMMYFUNCTION("""COMPUTED_VALUE"""),"For rent")</f>
        <v>For rent</v>
      </c>
      <c r="B3664" s="2" t="str">
        <f>IFERROR(__xludf.DUMMYFUNCTION("""COMPUTED_VALUE"""),"centrs")</f>
        <v>centrs</v>
      </c>
      <c r="C3664" s="2" t="str">
        <f>IFERROR(__xludf.DUMMYFUNCTION("""COMPUTED_VALUE"""),"Ģertrūdes 54")</f>
        <v>Ģertrūdes 54</v>
      </c>
      <c r="D3664" s="2">
        <f>IFERROR(__xludf.DUMMYFUNCTION("""COMPUTED_VALUE"""),1.0)</f>
        <v>1</v>
      </c>
      <c r="E3664" s="2">
        <f>IFERROR(__xludf.DUMMYFUNCTION("""COMPUTED_VALUE"""),29.0)</f>
        <v>29</v>
      </c>
      <c r="F3664" s="2">
        <f>IFERROR(__xludf.DUMMYFUNCTION("""COMPUTED_VALUE"""),4.0)</f>
        <v>4</v>
      </c>
      <c r="G3664" s="2">
        <f>IFERROR(__xludf.DUMMYFUNCTION("""COMPUTED_VALUE"""),6.0)</f>
        <v>6</v>
      </c>
      <c r="H3664" s="2" t="str">
        <f>IFERROR(__xludf.DUMMYFUNCTION("""COMPUTED_VALUE"""),"P. kara")</f>
        <v>P. kara</v>
      </c>
      <c r="I3664" s="2" t="str">
        <f>IFERROR(__xludf.DUMMYFUNCTION("""COMPUTED_VALUE"""),"Masonry")</f>
        <v>Masonry</v>
      </c>
      <c r="J3664" s="2" t="str">
        <f>IFERROR(__xludf.DUMMYFUNCTION("""COMPUTED_VALUE"""),"All amenities")</f>
        <v>All amenities</v>
      </c>
      <c r="K3664" s="2">
        <f>IFERROR(__xludf.DUMMYFUNCTION("""COMPUTED_VALUE"""),25.0)</f>
        <v>25</v>
      </c>
      <c r="L3664" s="2">
        <f>IFERROR(__xludf.DUMMYFUNCTION("""COMPUTED_VALUE"""),56.9522316)</f>
        <v>56.9522316</v>
      </c>
      <c r="M3664" s="2">
        <f>IFERROR(__xludf.DUMMYFUNCTION("""COMPUTED_VALUE"""),24.1316755)</f>
        <v>24.1316755</v>
      </c>
    </row>
    <row r="3665">
      <c r="A3665" s="2" t="str">
        <f>IFERROR(__xludf.DUMMYFUNCTION("""COMPUTED_VALUE"""),"For rent")</f>
        <v>For rent</v>
      </c>
      <c r="B3665" s="2" t="str">
        <f>IFERROR(__xludf.DUMMYFUNCTION("""COMPUTED_VALUE"""),"centrs")</f>
        <v>centrs</v>
      </c>
      <c r="C3665" s="2" t="str">
        <f>IFERROR(__xludf.DUMMYFUNCTION("""COMPUTED_VALUE"""),"Ģertrūdes 54")</f>
        <v>Ģertrūdes 54</v>
      </c>
      <c r="D3665" s="2">
        <f>IFERROR(__xludf.DUMMYFUNCTION("""COMPUTED_VALUE"""),3.0)</f>
        <v>3</v>
      </c>
      <c r="E3665" s="2">
        <f>IFERROR(__xludf.DUMMYFUNCTION("""COMPUTED_VALUE"""),85.0)</f>
        <v>85</v>
      </c>
      <c r="F3665" s="2">
        <f>IFERROR(__xludf.DUMMYFUNCTION("""COMPUTED_VALUE"""),4.0)</f>
        <v>4</v>
      </c>
      <c r="G3665" s="2">
        <f>IFERROR(__xludf.DUMMYFUNCTION("""COMPUTED_VALUE"""),6.0)</f>
        <v>6</v>
      </c>
      <c r="H3665" s="2" t="str">
        <f>IFERROR(__xludf.DUMMYFUNCTION("""COMPUTED_VALUE"""),"P. kara")</f>
        <v>P. kara</v>
      </c>
      <c r="I3665" s="2" t="str">
        <f>IFERROR(__xludf.DUMMYFUNCTION("""COMPUTED_VALUE"""),"Masonry")</f>
        <v>Masonry</v>
      </c>
      <c r="J3665" s="2" t="str">
        <f>IFERROR(__xludf.DUMMYFUNCTION("""COMPUTED_VALUE"""),"All amenities")</f>
        <v>All amenities</v>
      </c>
      <c r="K3665" s="2">
        <f>IFERROR(__xludf.DUMMYFUNCTION("""COMPUTED_VALUE"""),50.0)</f>
        <v>50</v>
      </c>
      <c r="L3665" s="2">
        <f>IFERROR(__xludf.DUMMYFUNCTION("""COMPUTED_VALUE"""),56.9522316)</f>
        <v>56.9522316</v>
      </c>
      <c r="M3665" s="2">
        <f>IFERROR(__xludf.DUMMYFUNCTION("""COMPUTED_VALUE"""),24.1316755)</f>
        <v>24.1316755</v>
      </c>
    </row>
    <row r="3666">
      <c r="A3666" s="2" t="str">
        <f>IFERROR(__xludf.DUMMYFUNCTION("""COMPUTED_VALUE"""),"For sale")</f>
        <v>For sale</v>
      </c>
      <c r="B3666" s="2" t="str">
        <f>IFERROR(__xludf.DUMMYFUNCTION("""COMPUTED_VALUE"""),"Vecrīga")</f>
        <v>Vecrīga</v>
      </c>
      <c r="C3666" s="2" t="str">
        <f>IFERROR(__xludf.DUMMYFUNCTION("""COMPUTED_VALUE"""),"Kalēju 6")</f>
        <v>Kalēju 6</v>
      </c>
      <c r="D3666" s="2">
        <f>IFERROR(__xludf.DUMMYFUNCTION("""COMPUTED_VALUE"""),3.0)</f>
        <v>3</v>
      </c>
      <c r="E3666" s="2">
        <f>IFERROR(__xludf.DUMMYFUNCTION("""COMPUTED_VALUE"""),87.0)</f>
        <v>87</v>
      </c>
      <c r="F3666" s="2">
        <f>IFERROR(__xludf.DUMMYFUNCTION("""COMPUTED_VALUE"""),1.0)</f>
        <v>1</v>
      </c>
      <c r="G3666" s="2">
        <f>IFERROR(__xludf.DUMMYFUNCTION("""COMPUTED_VALUE"""),2.0)</f>
        <v>2</v>
      </c>
      <c r="H3666" s="2" t="str">
        <f>IFERROR(__xludf.DUMMYFUNCTION("""COMPUTED_VALUE"""),"P. kara")</f>
        <v>P. kara</v>
      </c>
      <c r="I3666" s="2" t="str">
        <f>IFERROR(__xludf.DUMMYFUNCTION("""COMPUTED_VALUE"""),"Masonry")</f>
        <v>Masonry</v>
      </c>
      <c r="J3666" s="2" t="str">
        <f>IFERROR(__xludf.DUMMYFUNCTION("""COMPUTED_VALUE"""),"All amenities")</f>
        <v>All amenities</v>
      </c>
      <c r="K3666" s="2">
        <f>IFERROR(__xludf.DUMMYFUNCTION("""COMPUTED_VALUE"""),230000.0)</f>
        <v>230000</v>
      </c>
      <c r="L3666" s="2">
        <f>IFERROR(__xludf.DUMMYFUNCTION("""COMPUTED_VALUE"""),56.94868015)</f>
        <v>56.94868015</v>
      </c>
      <c r="M3666" s="2">
        <f>IFERROR(__xludf.DUMMYFUNCTION("""COMPUTED_VALUE"""),24.1098290650594)</f>
        <v>24.10982907</v>
      </c>
    </row>
    <row r="3667">
      <c r="A3667" s="2" t="str">
        <f>IFERROR(__xludf.DUMMYFUNCTION("""COMPUTED_VALUE"""),"For rent")</f>
        <v>For rent</v>
      </c>
      <c r="B3667" s="2" t="str">
        <f>IFERROR(__xludf.DUMMYFUNCTION("""COMPUTED_VALUE"""),"Sarkandaugava")</f>
        <v>Sarkandaugava</v>
      </c>
      <c r="C3667" s="2" t="str">
        <f>IFERROR(__xludf.DUMMYFUNCTION("""COMPUTED_VALUE"""),"Sarkandaugavas 2")</f>
        <v>Sarkandaugavas 2</v>
      </c>
      <c r="D3667" s="2">
        <f>IFERROR(__xludf.DUMMYFUNCTION("""COMPUTED_VALUE"""),1.0)</f>
        <v>1</v>
      </c>
      <c r="E3667" s="2">
        <f>IFERROR(__xludf.DUMMYFUNCTION("""COMPUTED_VALUE"""),34.0)</f>
        <v>34</v>
      </c>
      <c r="F3667" s="2">
        <f>IFERROR(__xludf.DUMMYFUNCTION("""COMPUTED_VALUE"""),4.0)</f>
        <v>4</v>
      </c>
      <c r="G3667" s="2">
        <f>IFERROR(__xludf.DUMMYFUNCTION("""COMPUTED_VALUE"""),5.0)</f>
        <v>5</v>
      </c>
      <c r="H3667" s="2">
        <f>IFERROR(__xludf.DUMMYFUNCTION("""COMPUTED_VALUE"""),103.0)</f>
        <v>103</v>
      </c>
      <c r="I3667" s="2" t="str">
        <f>IFERROR(__xludf.DUMMYFUNCTION("""COMPUTED_VALUE"""),"Brick-Panel")</f>
        <v>Brick-Panel</v>
      </c>
      <c r="J3667" s="2" t="str">
        <f>IFERROR(__xludf.DUMMYFUNCTION("""COMPUTED_VALUE"""),"All amenities")</f>
        <v>All amenities</v>
      </c>
      <c r="K3667" s="2">
        <f>IFERROR(__xludf.DUMMYFUNCTION("""COMPUTED_VALUE"""),300.0)</f>
        <v>300</v>
      </c>
      <c r="L3667" s="2">
        <f>IFERROR(__xludf.DUMMYFUNCTION("""COMPUTED_VALUE"""),56.9951843)</f>
        <v>56.9951843</v>
      </c>
      <c r="M3667" s="2">
        <f>IFERROR(__xludf.DUMMYFUNCTION("""COMPUTED_VALUE"""),24.1265163)</f>
        <v>24.1265163</v>
      </c>
    </row>
    <row r="3668">
      <c r="A3668" s="2" t="str">
        <f>IFERROR(__xludf.DUMMYFUNCTION("""COMPUTED_VALUE"""),"For sale")</f>
        <v>For sale</v>
      </c>
      <c r="B3668" s="2" t="str">
        <f>IFERROR(__xludf.DUMMYFUNCTION("""COMPUTED_VALUE"""),"Mežciems")</f>
        <v>Mežciems</v>
      </c>
      <c r="C3668" s="2" t="str">
        <f>IFERROR(__xludf.DUMMYFUNCTION("""COMPUTED_VALUE"""),"Biķernieku 102")</f>
        <v>Biķernieku 102</v>
      </c>
      <c r="D3668" s="2">
        <f>IFERROR(__xludf.DUMMYFUNCTION("""COMPUTED_VALUE"""),3.0)</f>
        <v>3</v>
      </c>
      <c r="E3668" s="2">
        <f>IFERROR(__xludf.DUMMYFUNCTION("""COMPUTED_VALUE"""),75.0)</f>
        <v>75</v>
      </c>
      <c r="F3668" s="2">
        <f>IFERROR(__xludf.DUMMYFUNCTION("""COMPUTED_VALUE"""),7.0)</f>
        <v>7</v>
      </c>
      <c r="G3668" s="2">
        <f>IFERROR(__xludf.DUMMYFUNCTION("""COMPUTED_VALUE"""),16.0)</f>
        <v>16</v>
      </c>
      <c r="H3668" s="2">
        <f>IFERROR(__xludf.DUMMYFUNCTION("""COMPUTED_VALUE"""),104.0)</f>
        <v>104</v>
      </c>
      <c r="I3668" s="2" t="str">
        <f>IFERROR(__xludf.DUMMYFUNCTION("""COMPUTED_VALUE"""),"Panel")</f>
        <v>Panel</v>
      </c>
      <c r="J3668" s="2" t="str">
        <f>IFERROR(__xludf.DUMMYFUNCTION("""COMPUTED_VALUE"""),"All amenities")</f>
        <v>All amenities</v>
      </c>
      <c r="K3668" s="2">
        <f>IFERROR(__xludf.DUMMYFUNCTION("""COMPUTED_VALUE"""),75000.0)</f>
        <v>75000</v>
      </c>
      <c r="L3668" s="2">
        <f>IFERROR(__xludf.DUMMYFUNCTION("""COMPUTED_VALUE"""),56.95996775)</f>
        <v>56.95996775</v>
      </c>
      <c r="M3668" s="2">
        <f>IFERROR(__xludf.DUMMYFUNCTION("""COMPUTED_VALUE"""),24.2349046)</f>
        <v>24.2349046</v>
      </c>
    </row>
    <row r="3669">
      <c r="A3669" s="2" t="str">
        <f>IFERROR(__xludf.DUMMYFUNCTION("""COMPUTED_VALUE"""),"For rent")</f>
        <v>For rent</v>
      </c>
      <c r="B3669" s="2" t="str">
        <f>IFERROR(__xludf.DUMMYFUNCTION("""COMPUTED_VALUE"""),"centrs")</f>
        <v>centrs</v>
      </c>
      <c r="C3669" s="2" t="str">
        <f>IFERROR(__xludf.DUMMYFUNCTION("""COMPUTED_VALUE"""),"Stabu 52")</f>
        <v>Stabu 52</v>
      </c>
      <c r="D3669" s="2">
        <f>IFERROR(__xludf.DUMMYFUNCTION("""COMPUTED_VALUE"""),2.0)</f>
        <v>2</v>
      </c>
      <c r="E3669" s="2">
        <f>IFERROR(__xludf.DUMMYFUNCTION("""COMPUTED_VALUE"""),42.0)</f>
        <v>42</v>
      </c>
      <c r="F3669" s="2">
        <f>IFERROR(__xludf.DUMMYFUNCTION("""COMPUTED_VALUE"""),3.0)</f>
        <v>3</v>
      </c>
      <c r="G3669" s="2">
        <f>IFERROR(__xludf.DUMMYFUNCTION("""COMPUTED_VALUE"""),3.0)</f>
        <v>3</v>
      </c>
      <c r="H3669" s="2" t="str">
        <f>IFERROR(__xludf.DUMMYFUNCTION("""COMPUTED_VALUE"""),"P. kara")</f>
        <v>P. kara</v>
      </c>
      <c r="I3669" s="2" t="str">
        <f>IFERROR(__xludf.DUMMYFUNCTION("""COMPUTED_VALUE"""),"Wood")</f>
        <v>Wood</v>
      </c>
      <c r="J3669" s="2" t="str">
        <f>IFERROR(__xludf.DUMMYFUNCTION("""COMPUTED_VALUE"""),"All amenities")</f>
        <v>All amenities</v>
      </c>
      <c r="K3669" s="2">
        <f>IFERROR(__xludf.DUMMYFUNCTION("""COMPUTED_VALUE"""),550.0)</f>
        <v>550</v>
      </c>
      <c r="L3669" s="2">
        <f>IFERROR(__xludf.DUMMYFUNCTION("""COMPUTED_VALUE"""),56.9537909)</f>
        <v>56.9537909</v>
      </c>
      <c r="M3669" s="2">
        <f>IFERROR(__xludf.DUMMYFUNCTION("""COMPUTED_VALUE"""),24.1333538)</f>
        <v>24.1333538</v>
      </c>
    </row>
    <row r="3670">
      <c r="A3670" s="2" t="str">
        <f>IFERROR(__xludf.DUMMYFUNCTION("""COMPUTED_VALUE"""),"For sale")</f>
        <v>For sale</v>
      </c>
      <c r="B3670" s="2" t="str">
        <f>IFERROR(__xludf.DUMMYFUNCTION("""COMPUTED_VALUE"""),"Imanta")</f>
        <v>Imanta</v>
      </c>
      <c r="C3670" s="2" t="str">
        <f>IFERROR(__xludf.DUMMYFUNCTION("""COMPUTED_VALUE"""),"Akāciju 6")</f>
        <v>Akāciju 6</v>
      </c>
      <c r="D3670" s="2">
        <f>IFERROR(__xludf.DUMMYFUNCTION("""COMPUTED_VALUE"""),1.0)</f>
        <v>1</v>
      </c>
      <c r="E3670" s="2">
        <f>IFERROR(__xludf.DUMMYFUNCTION("""COMPUTED_VALUE"""),46.0)</f>
        <v>46</v>
      </c>
      <c r="F3670" s="2">
        <f>IFERROR(__xludf.DUMMYFUNCTION("""COMPUTED_VALUE"""),6.0)</f>
        <v>6</v>
      </c>
      <c r="G3670" s="2">
        <f>IFERROR(__xludf.DUMMYFUNCTION("""COMPUTED_VALUE"""),9.0)</f>
        <v>9</v>
      </c>
      <c r="H3670" s="2" t="str">
        <f>IFERROR(__xludf.DUMMYFUNCTION("""COMPUTED_VALUE"""),"Jaun.")</f>
        <v>Jaun.</v>
      </c>
      <c r="I3670" s="2" t="str">
        <f>IFERROR(__xludf.DUMMYFUNCTION("""COMPUTED_VALUE"""),"Brick-Panel")</f>
        <v>Brick-Panel</v>
      </c>
      <c r="J3670" s="2" t="str">
        <f>IFERROR(__xludf.DUMMYFUNCTION("""COMPUTED_VALUE"""),"All amenities")</f>
        <v>All amenities</v>
      </c>
      <c r="K3670" s="2">
        <f>IFERROR(__xludf.DUMMYFUNCTION("""COMPUTED_VALUE"""),78000.0)</f>
        <v>78000</v>
      </c>
      <c r="L3670" s="2">
        <f>IFERROR(__xludf.DUMMYFUNCTION("""COMPUTED_VALUE"""),56.9512026)</f>
        <v>56.9512026</v>
      </c>
      <c r="M3670" s="2">
        <f>IFERROR(__xludf.DUMMYFUNCTION("""COMPUTED_VALUE"""),24.0005229)</f>
        <v>24.0005229</v>
      </c>
    </row>
    <row r="3671">
      <c r="A3671" s="2" t="str">
        <f>IFERROR(__xludf.DUMMYFUNCTION("""COMPUTED_VALUE"""),"For rent")</f>
        <v>For rent</v>
      </c>
      <c r="B3671" s="2" t="str">
        <f>IFERROR(__xludf.DUMMYFUNCTION("""COMPUTED_VALUE"""),"centrs")</f>
        <v>centrs</v>
      </c>
      <c r="C3671" s="2" t="str">
        <f>IFERROR(__xludf.DUMMYFUNCTION("""COMPUTED_VALUE"""),"Eksporta 12")</f>
        <v>Eksporta 12</v>
      </c>
      <c r="D3671" s="2">
        <f>IFERROR(__xludf.DUMMYFUNCTION("""COMPUTED_VALUE"""),2.0)</f>
        <v>2</v>
      </c>
      <c r="E3671" s="2">
        <f>IFERROR(__xludf.DUMMYFUNCTION("""COMPUTED_VALUE"""),57.0)</f>
        <v>57</v>
      </c>
      <c r="F3671" s="2">
        <f>IFERROR(__xludf.DUMMYFUNCTION("""COMPUTED_VALUE"""),3.0)</f>
        <v>3</v>
      </c>
      <c r="G3671" s="2">
        <f>IFERROR(__xludf.DUMMYFUNCTION("""COMPUTED_VALUE"""),6.0)</f>
        <v>6</v>
      </c>
      <c r="H3671" s="2" t="str">
        <f>IFERROR(__xludf.DUMMYFUNCTION("""COMPUTED_VALUE"""),"Renov.")</f>
        <v>Renov.</v>
      </c>
      <c r="I3671" s="2" t="str">
        <f>IFERROR(__xludf.DUMMYFUNCTION("""COMPUTED_VALUE"""),"Brick-Panel")</f>
        <v>Brick-Panel</v>
      </c>
      <c r="J3671" s="2" t="str">
        <f>IFERROR(__xludf.DUMMYFUNCTION("""COMPUTED_VALUE"""),"All amenities")</f>
        <v>All amenities</v>
      </c>
      <c r="K3671" s="2">
        <f>IFERROR(__xludf.DUMMYFUNCTION("""COMPUTED_VALUE"""),500.0)</f>
        <v>500</v>
      </c>
      <c r="L3671" s="2">
        <f>IFERROR(__xludf.DUMMYFUNCTION("""COMPUTED_VALUE"""),56.956763)</f>
        <v>56.956763</v>
      </c>
      <c r="M3671" s="2">
        <f>IFERROR(__xludf.DUMMYFUNCTION("""COMPUTED_VALUE"""),24.0954531)</f>
        <v>24.0954531</v>
      </c>
    </row>
    <row r="3672">
      <c r="A3672" s="2" t="str">
        <f>IFERROR(__xludf.DUMMYFUNCTION("""COMPUTED_VALUE"""),"For rent")</f>
        <v>For rent</v>
      </c>
      <c r="B3672" s="2" t="str">
        <f>IFERROR(__xludf.DUMMYFUNCTION("""COMPUTED_VALUE"""),"Pļavnieki")</f>
        <v>Pļavnieki</v>
      </c>
      <c r="C3672" s="2" t="str">
        <f>IFERROR(__xludf.DUMMYFUNCTION("""COMPUTED_VALUE"""),"Keldiša 24")</f>
        <v>Keldiša 24</v>
      </c>
      <c r="D3672" s="2">
        <f>IFERROR(__xludf.DUMMYFUNCTION("""COMPUTED_VALUE"""),2.0)</f>
        <v>2</v>
      </c>
      <c r="E3672" s="2">
        <f>IFERROR(__xludf.DUMMYFUNCTION("""COMPUTED_VALUE"""),50.0)</f>
        <v>50</v>
      </c>
      <c r="F3672" s="2">
        <f>IFERROR(__xludf.DUMMYFUNCTION("""COMPUTED_VALUE"""),9.0)</f>
        <v>9</v>
      </c>
      <c r="G3672" s="2">
        <f>IFERROR(__xludf.DUMMYFUNCTION("""COMPUTED_VALUE"""),9.0)</f>
        <v>9</v>
      </c>
      <c r="H3672" s="2">
        <f>IFERROR(__xludf.DUMMYFUNCTION("""COMPUTED_VALUE"""),602.0)</f>
        <v>602</v>
      </c>
      <c r="I3672" s="2" t="str">
        <f>IFERROR(__xludf.DUMMYFUNCTION("""COMPUTED_VALUE"""),"Panel")</f>
        <v>Panel</v>
      </c>
      <c r="J3672" s="2" t="str">
        <f>IFERROR(__xludf.DUMMYFUNCTION("""COMPUTED_VALUE"""),"All amenities")</f>
        <v>All amenities</v>
      </c>
      <c r="K3672" s="2">
        <f>IFERROR(__xludf.DUMMYFUNCTION("""COMPUTED_VALUE"""),295.0)</f>
        <v>295</v>
      </c>
      <c r="L3672" s="2">
        <f>IFERROR(__xludf.DUMMYFUNCTION("""COMPUTED_VALUE"""),56.9380435)</f>
        <v>56.9380435</v>
      </c>
      <c r="M3672" s="2">
        <f>IFERROR(__xludf.DUMMYFUNCTION("""COMPUTED_VALUE"""),24.2087710740448)</f>
        <v>24.20877107</v>
      </c>
    </row>
    <row r="3673">
      <c r="A3673" s="2" t="str">
        <f>IFERROR(__xludf.DUMMYFUNCTION("""COMPUTED_VALUE"""),"For sale")</f>
        <v>For sale</v>
      </c>
      <c r="B3673" s="2" t="str">
        <f>IFERROR(__xludf.DUMMYFUNCTION("""COMPUTED_VALUE"""),"Purvciems")</f>
        <v>Purvciems</v>
      </c>
      <c r="C3673" s="2" t="str">
        <f>IFERROR(__xludf.DUMMYFUNCTION("""COMPUTED_VALUE"""),"Raunas 58")</f>
        <v>Raunas 58</v>
      </c>
      <c r="D3673" s="2">
        <f>IFERROR(__xludf.DUMMYFUNCTION("""COMPUTED_VALUE"""),1.0)</f>
        <v>1</v>
      </c>
      <c r="E3673" s="2">
        <f>IFERROR(__xludf.DUMMYFUNCTION("""COMPUTED_VALUE"""),30.0)</f>
        <v>30</v>
      </c>
      <c r="F3673" s="2">
        <f>IFERROR(__xludf.DUMMYFUNCTION("""COMPUTED_VALUE"""),3.0)</f>
        <v>3</v>
      </c>
      <c r="G3673" s="2">
        <f>IFERROR(__xludf.DUMMYFUNCTION("""COMPUTED_VALUE"""),4.0)</f>
        <v>4</v>
      </c>
      <c r="H3673" s="2" t="str">
        <f>IFERROR(__xludf.DUMMYFUNCTION("""COMPUTED_VALUE"""),"Specpr.")</f>
        <v>Specpr.</v>
      </c>
      <c r="I3673" s="2" t="str">
        <f>IFERROR(__xludf.DUMMYFUNCTION("""COMPUTED_VALUE"""),"Brick")</f>
        <v>Brick</v>
      </c>
      <c r="J3673" s="2" t="str">
        <f>IFERROR(__xludf.DUMMYFUNCTION("""COMPUTED_VALUE"""),"All amenities")</f>
        <v>All amenities</v>
      </c>
      <c r="K3673" s="2">
        <f>IFERROR(__xludf.DUMMYFUNCTION("""COMPUTED_VALUE"""),31000.0)</f>
        <v>31000</v>
      </c>
      <c r="L3673" s="2">
        <f>IFERROR(__xludf.DUMMYFUNCTION("""COMPUTED_VALUE"""),56.96759045)</f>
        <v>56.96759045</v>
      </c>
      <c r="M3673" s="2">
        <f>IFERROR(__xludf.DUMMYFUNCTION("""COMPUTED_VALUE"""),24.1875892347019)</f>
        <v>24.18758923</v>
      </c>
    </row>
    <row r="3674">
      <c r="A3674" s="2" t="str">
        <f>IFERROR(__xludf.DUMMYFUNCTION("""COMPUTED_VALUE"""),"For sale")</f>
        <v>For sale</v>
      </c>
      <c r="B3674" s="2" t="str">
        <f>IFERROR(__xludf.DUMMYFUNCTION("""COMPUTED_VALUE"""),"Šampēteris-Pleskodāle")</f>
        <v>Šampēteris-Pleskodāle</v>
      </c>
      <c r="C3674" s="2" t="str">
        <f>IFERROR(__xludf.DUMMYFUNCTION("""COMPUTED_VALUE"""),"Candera 25")</f>
        <v>Candera 25</v>
      </c>
      <c r="D3674" s="2">
        <f>IFERROR(__xludf.DUMMYFUNCTION("""COMPUTED_VALUE"""),4.0)</f>
        <v>4</v>
      </c>
      <c r="E3674" s="2">
        <f>IFERROR(__xludf.DUMMYFUNCTION("""COMPUTED_VALUE"""),71.0)</f>
        <v>71</v>
      </c>
      <c r="F3674" s="2">
        <f>IFERROR(__xludf.DUMMYFUNCTION("""COMPUTED_VALUE"""),3.0)</f>
        <v>3</v>
      </c>
      <c r="G3674" s="2">
        <f>IFERROR(__xludf.DUMMYFUNCTION("""COMPUTED_VALUE"""),5.0)</f>
        <v>5</v>
      </c>
      <c r="H3674" s="2" t="str">
        <f>IFERROR(__xludf.DUMMYFUNCTION("""COMPUTED_VALUE"""),"Hrušč.")</f>
        <v>Hrušč.</v>
      </c>
      <c r="I3674" s="2" t="str">
        <f>IFERROR(__xludf.DUMMYFUNCTION("""COMPUTED_VALUE"""),"Brick")</f>
        <v>Brick</v>
      </c>
      <c r="J3674" s="2" t="str">
        <f>IFERROR(__xludf.DUMMYFUNCTION("""COMPUTED_VALUE"""),"All amenities")</f>
        <v>All amenities</v>
      </c>
      <c r="K3674" s="2">
        <f>IFERROR(__xludf.DUMMYFUNCTION("""COMPUTED_VALUE"""),67000.0)</f>
        <v>67000</v>
      </c>
      <c r="L3674" s="2">
        <f>IFERROR(__xludf.DUMMYFUNCTION("""COMPUTED_VALUE"""),56.93643985)</f>
        <v>56.93643985</v>
      </c>
      <c r="M3674" s="2">
        <f>IFERROR(__xludf.DUMMYFUNCTION("""COMPUTED_VALUE"""),24.0450611251162)</f>
        <v>24.04506113</v>
      </c>
    </row>
    <row r="3675">
      <c r="A3675" s="2" t="str">
        <f>IFERROR(__xludf.DUMMYFUNCTION("""COMPUTED_VALUE"""),"For rent")</f>
        <v>For rent</v>
      </c>
      <c r="B3675" s="2" t="str">
        <f>IFERROR(__xludf.DUMMYFUNCTION("""COMPUTED_VALUE"""),"Mežaparks")</f>
        <v>Mežaparks</v>
      </c>
      <c r="C3675" s="2" t="str">
        <f>IFERROR(__xludf.DUMMYFUNCTION("""COMPUTED_VALUE"""),"Viestura pr. 43")</f>
        <v>Viestura pr. 43</v>
      </c>
      <c r="D3675" s="2">
        <f>IFERROR(__xludf.DUMMYFUNCTION("""COMPUTED_VALUE"""),2.0)</f>
        <v>2</v>
      </c>
      <c r="E3675" s="2">
        <f>IFERROR(__xludf.DUMMYFUNCTION("""COMPUTED_VALUE"""),35.0)</f>
        <v>35</v>
      </c>
      <c r="F3675" s="2">
        <f>IFERROR(__xludf.DUMMYFUNCTION("""COMPUTED_VALUE"""),2.0)</f>
        <v>2</v>
      </c>
      <c r="G3675" s="2">
        <f>IFERROR(__xludf.DUMMYFUNCTION("""COMPUTED_VALUE"""),9.0)</f>
        <v>9</v>
      </c>
      <c r="H3675" s="2" t="str">
        <f>IFERROR(__xludf.DUMMYFUNCTION("""COMPUTED_VALUE"""),"Specpr.")</f>
        <v>Specpr.</v>
      </c>
      <c r="I3675" s="2" t="str">
        <f>IFERROR(__xludf.DUMMYFUNCTION("""COMPUTED_VALUE"""),"Brick")</f>
        <v>Brick</v>
      </c>
      <c r="J3675" s="2" t="str">
        <f>IFERROR(__xludf.DUMMYFUNCTION("""COMPUTED_VALUE"""),"All amenities")</f>
        <v>All amenities</v>
      </c>
      <c r="K3675" s="2">
        <f>IFERROR(__xludf.DUMMYFUNCTION("""COMPUTED_VALUE"""),290.0)</f>
        <v>290</v>
      </c>
      <c r="L3675" s="2" t="str">
        <f>IFERROR(__xludf.DUMMYFUNCTION("""COMPUTED_VALUE"""),"NaN")</f>
        <v>NaN</v>
      </c>
      <c r="M3675" s="2" t="str">
        <f>IFERROR(__xludf.DUMMYFUNCTION("""COMPUTED_VALUE"""),"NaN")</f>
        <v>NaN</v>
      </c>
    </row>
    <row r="3676">
      <c r="A3676" s="2" t="str">
        <f>IFERROR(__xludf.DUMMYFUNCTION("""COMPUTED_VALUE"""),"For sale")</f>
        <v>For sale</v>
      </c>
      <c r="B3676" s="2" t="str">
        <f>IFERROR(__xludf.DUMMYFUNCTION("""COMPUTED_VALUE"""),"Ķengarags")</f>
        <v>Ķengarags</v>
      </c>
      <c r="C3676" s="2" t="str">
        <f>IFERROR(__xludf.DUMMYFUNCTION("""COMPUTED_VALUE"""),"Maskavas 254")</f>
        <v>Maskavas 254</v>
      </c>
      <c r="D3676" s="2">
        <f>IFERROR(__xludf.DUMMYFUNCTION("""COMPUTED_VALUE"""),2.0)</f>
        <v>2</v>
      </c>
      <c r="E3676" s="2">
        <f>IFERROR(__xludf.DUMMYFUNCTION("""COMPUTED_VALUE"""),48.0)</f>
        <v>48</v>
      </c>
      <c r="F3676" s="2">
        <f>IFERROR(__xludf.DUMMYFUNCTION("""COMPUTED_VALUE"""),5.0)</f>
        <v>5</v>
      </c>
      <c r="G3676" s="2">
        <f>IFERROR(__xludf.DUMMYFUNCTION("""COMPUTED_VALUE"""),5.0)</f>
        <v>5</v>
      </c>
      <c r="H3676" s="2" t="str">
        <f>IFERROR(__xludf.DUMMYFUNCTION("""COMPUTED_VALUE"""),"Hrušč.")</f>
        <v>Hrušč.</v>
      </c>
      <c r="I3676" s="2" t="str">
        <f>IFERROR(__xludf.DUMMYFUNCTION("""COMPUTED_VALUE"""),"Panel")</f>
        <v>Panel</v>
      </c>
      <c r="J3676" s="2" t="str">
        <f>IFERROR(__xludf.DUMMYFUNCTION("""COMPUTED_VALUE"""),"All amenities")</f>
        <v>All amenities</v>
      </c>
      <c r="K3676" s="2">
        <f>IFERROR(__xludf.DUMMYFUNCTION("""COMPUTED_VALUE"""),39900.0)</f>
        <v>39900</v>
      </c>
      <c r="L3676" s="2">
        <f>IFERROR(__xludf.DUMMYFUNCTION("""COMPUTED_VALUE"""),56.91162465)</f>
        <v>56.91162465</v>
      </c>
      <c r="M3676" s="2">
        <f>IFERROR(__xludf.DUMMYFUNCTION("""COMPUTED_VALUE"""),24.1743748269825)</f>
        <v>24.17437483</v>
      </c>
    </row>
    <row r="3677">
      <c r="A3677" s="2" t="str">
        <f>IFERROR(__xludf.DUMMYFUNCTION("""COMPUTED_VALUE"""),"For rent")</f>
        <v>For rent</v>
      </c>
      <c r="B3677" s="2" t="str">
        <f>IFERROR(__xludf.DUMMYFUNCTION("""COMPUTED_VALUE"""),"Purvciems")</f>
        <v>Purvciems</v>
      </c>
      <c r="C3677" s="2" t="str">
        <f>IFERROR(__xludf.DUMMYFUNCTION("""COMPUTED_VALUE"""),"Vaidavas 2")</f>
        <v>Vaidavas 2</v>
      </c>
      <c r="D3677" s="2">
        <f>IFERROR(__xludf.DUMMYFUNCTION("""COMPUTED_VALUE"""),1.0)</f>
        <v>1</v>
      </c>
      <c r="E3677" s="2">
        <f>IFERROR(__xludf.DUMMYFUNCTION("""COMPUTED_VALUE"""),32.0)</f>
        <v>32</v>
      </c>
      <c r="F3677" s="2">
        <f>IFERROR(__xludf.DUMMYFUNCTION("""COMPUTED_VALUE"""),4.0)</f>
        <v>4</v>
      </c>
      <c r="G3677" s="2">
        <f>IFERROR(__xludf.DUMMYFUNCTION("""COMPUTED_VALUE"""),5.0)</f>
        <v>5</v>
      </c>
      <c r="H3677" s="2" t="str">
        <f>IFERROR(__xludf.DUMMYFUNCTION("""COMPUTED_VALUE"""),"Specpr.")</f>
        <v>Specpr.</v>
      </c>
      <c r="I3677" s="2" t="str">
        <f>IFERROR(__xludf.DUMMYFUNCTION("""COMPUTED_VALUE"""),"Brick-Panel")</f>
        <v>Brick-Panel</v>
      </c>
      <c r="J3677" s="2" t="str">
        <f>IFERROR(__xludf.DUMMYFUNCTION("""COMPUTED_VALUE"""),"All amenities")</f>
        <v>All amenities</v>
      </c>
      <c r="K3677" s="2">
        <f>IFERROR(__xludf.DUMMYFUNCTION("""COMPUTED_VALUE"""),25.0)</f>
        <v>25</v>
      </c>
      <c r="L3677" s="2">
        <f>IFERROR(__xludf.DUMMYFUNCTION("""COMPUTED_VALUE"""),56.9651176499999)</f>
        <v>56.96511765</v>
      </c>
      <c r="M3677" s="2">
        <f>IFERROR(__xludf.DUMMYFUNCTION("""COMPUTED_VALUE"""),24.1760481976948)</f>
        <v>24.1760482</v>
      </c>
    </row>
    <row r="3678">
      <c r="A3678" s="2" t="str">
        <f>IFERROR(__xludf.DUMMYFUNCTION("""COMPUTED_VALUE"""),"For sale")</f>
        <v>For sale</v>
      </c>
      <c r="B3678" s="2" t="str">
        <f>IFERROR(__xludf.DUMMYFUNCTION("""COMPUTED_VALUE"""),"Ziepniekkalns")</f>
        <v>Ziepniekkalns</v>
      </c>
      <c r="C3678" s="2" t="str">
        <f>IFERROR(__xludf.DUMMYFUNCTION("""COMPUTED_VALUE"""),"Ziepniekkalna 64")</f>
        <v>Ziepniekkalna 64</v>
      </c>
      <c r="D3678" s="2">
        <f>IFERROR(__xludf.DUMMYFUNCTION("""COMPUTED_VALUE"""),2.0)</f>
        <v>2</v>
      </c>
      <c r="E3678" s="2">
        <f>IFERROR(__xludf.DUMMYFUNCTION("""COMPUTED_VALUE"""),63.0)</f>
        <v>63</v>
      </c>
      <c r="F3678" s="2">
        <f>IFERROR(__xludf.DUMMYFUNCTION("""COMPUTED_VALUE"""),5.0)</f>
        <v>5</v>
      </c>
      <c r="G3678" s="2">
        <f>IFERROR(__xludf.DUMMYFUNCTION("""COMPUTED_VALUE"""),5.0)</f>
        <v>5</v>
      </c>
      <c r="H3678" s="2" t="str">
        <f>IFERROR(__xludf.DUMMYFUNCTION("""COMPUTED_VALUE"""),"Jaun.")</f>
        <v>Jaun.</v>
      </c>
      <c r="I3678" s="2" t="str">
        <f>IFERROR(__xludf.DUMMYFUNCTION("""COMPUTED_VALUE"""),"Brick-Panel")</f>
        <v>Brick-Panel</v>
      </c>
      <c r="J3678" s="2" t="str">
        <f>IFERROR(__xludf.DUMMYFUNCTION("""COMPUTED_VALUE"""),"All amenities")</f>
        <v>All amenities</v>
      </c>
      <c r="K3678" s="2">
        <f>IFERROR(__xludf.DUMMYFUNCTION("""COMPUTED_VALUE"""),86000.0)</f>
        <v>86000</v>
      </c>
      <c r="L3678" s="2">
        <f>IFERROR(__xludf.DUMMYFUNCTION("""COMPUTED_VALUE"""),56.8974581)</f>
        <v>56.8974581</v>
      </c>
      <c r="M3678" s="2">
        <f>IFERROR(__xludf.DUMMYFUNCTION("""COMPUTED_VALUE"""),24.1389382)</f>
        <v>24.1389382</v>
      </c>
    </row>
    <row r="3679">
      <c r="A3679" s="2" t="str">
        <f>IFERROR(__xludf.DUMMYFUNCTION("""COMPUTED_VALUE"""),"For sale")</f>
        <v>For sale</v>
      </c>
      <c r="B3679" s="2" t="str">
        <f>IFERROR(__xludf.DUMMYFUNCTION("""COMPUTED_VALUE"""),"Sarkandaugava")</f>
        <v>Sarkandaugava</v>
      </c>
      <c r="C3679" s="2" t="str">
        <f>IFERROR(__xludf.DUMMYFUNCTION("""COMPUTED_VALUE"""),"Viestura pr. 45")</f>
        <v>Viestura pr. 45</v>
      </c>
      <c r="D3679" s="2">
        <f>IFERROR(__xludf.DUMMYFUNCTION("""COMPUTED_VALUE"""),1.0)</f>
        <v>1</v>
      </c>
      <c r="E3679" s="2">
        <f>IFERROR(__xludf.DUMMYFUNCTION("""COMPUTED_VALUE"""),34.0)</f>
        <v>34</v>
      </c>
      <c r="F3679" s="2">
        <f>IFERROR(__xludf.DUMMYFUNCTION("""COMPUTED_VALUE"""),1.0)</f>
        <v>1</v>
      </c>
      <c r="G3679" s="2">
        <f>IFERROR(__xludf.DUMMYFUNCTION("""COMPUTED_VALUE"""),9.0)</f>
        <v>9</v>
      </c>
      <c r="H3679" s="2" t="str">
        <f>IFERROR(__xludf.DUMMYFUNCTION("""COMPUTED_VALUE"""),"Specpr.")</f>
        <v>Specpr.</v>
      </c>
      <c r="I3679" s="2" t="str">
        <f>IFERROR(__xludf.DUMMYFUNCTION("""COMPUTED_VALUE"""),"Brick")</f>
        <v>Brick</v>
      </c>
      <c r="J3679" s="2" t="str">
        <f>IFERROR(__xludf.DUMMYFUNCTION("""COMPUTED_VALUE"""),"All amenities")</f>
        <v>All amenities</v>
      </c>
      <c r="K3679" s="2">
        <f>IFERROR(__xludf.DUMMYFUNCTION("""COMPUTED_VALUE"""),26000.0)</f>
        <v>26000</v>
      </c>
      <c r="L3679" s="2" t="str">
        <f>IFERROR(__xludf.DUMMYFUNCTION("""COMPUTED_VALUE"""),"NaN")</f>
        <v>NaN</v>
      </c>
      <c r="M3679" s="2" t="str">
        <f>IFERROR(__xludf.DUMMYFUNCTION("""COMPUTED_VALUE"""),"NaN")</f>
        <v>NaN</v>
      </c>
    </row>
    <row r="3680">
      <c r="A3680" s="2" t="str">
        <f>IFERROR(__xludf.DUMMYFUNCTION("""COMPUTED_VALUE"""),"For rent")</f>
        <v>For rent</v>
      </c>
      <c r="B3680" s="2" t="str">
        <f>IFERROR(__xludf.DUMMYFUNCTION("""COMPUTED_VALUE"""),"Vecmīlgrāvis")</f>
        <v>Vecmīlgrāvis</v>
      </c>
      <c r="C3680" s="2" t="str">
        <f>IFERROR(__xludf.DUMMYFUNCTION("""COMPUTED_VALUE"""),"Sniega 3")</f>
        <v>Sniega 3</v>
      </c>
      <c r="D3680" s="2">
        <f>IFERROR(__xludf.DUMMYFUNCTION("""COMPUTED_VALUE"""),1.0)</f>
        <v>1</v>
      </c>
      <c r="E3680" s="2">
        <f>IFERROR(__xludf.DUMMYFUNCTION("""COMPUTED_VALUE"""),35.0)</f>
        <v>35</v>
      </c>
      <c r="F3680" s="2">
        <f>IFERROR(__xludf.DUMMYFUNCTION("""COMPUTED_VALUE"""),1.0)</f>
        <v>1</v>
      </c>
      <c r="G3680" s="2">
        <f>IFERROR(__xludf.DUMMYFUNCTION("""COMPUTED_VALUE"""),2.0)</f>
        <v>2</v>
      </c>
      <c r="H3680" s="2" t="str">
        <f>IFERROR(__xludf.DUMMYFUNCTION("""COMPUTED_VALUE"""),"Specpr.")</f>
        <v>Specpr.</v>
      </c>
      <c r="I3680" s="2" t="str">
        <f>IFERROR(__xludf.DUMMYFUNCTION("""COMPUTED_VALUE"""),"Brick")</f>
        <v>Brick</v>
      </c>
      <c r="J3680" s="2" t="str">
        <f>IFERROR(__xludf.DUMMYFUNCTION("""COMPUTED_VALUE"""),"All amenities")</f>
        <v>All amenities</v>
      </c>
      <c r="K3680" s="2">
        <f>IFERROR(__xludf.DUMMYFUNCTION("""COMPUTED_VALUE"""),170.0)</f>
        <v>170</v>
      </c>
      <c r="L3680" s="2">
        <f>IFERROR(__xludf.DUMMYFUNCTION("""COMPUTED_VALUE"""),57.03465345)</f>
        <v>57.03465345</v>
      </c>
      <c r="M3680" s="2">
        <f>IFERROR(__xludf.DUMMYFUNCTION("""COMPUTED_VALUE"""),24.0980322090067)</f>
        <v>24.09803221</v>
      </c>
    </row>
    <row r="3681">
      <c r="A3681" s="2" t="str">
        <f>IFERROR(__xludf.DUMMYFUNCTION("""COMPUTED_VALUE"""),"For rent")</f>
        <v>For rent</v>
      </c>
      <c r="B3681" s="2" t="str">
        <f>IFERROR(__xludf.DUMMYFUNCTION("""COMPUTED_VALUE"""),"centrs")</f>
        <v>centrs</v>
      </c>
      <c r="C3681" s="2" t="str">
        <f>IFERROR(__xludf.DUMMYFUNCTION("""COMPUTED_VALUE"""),"Pētersalas 18")</f>
        <v>Pētersalas 18</v>
      </c>
      <c r="D3681" s="2">
        <f>IFERROR(__xludf.DUMMYFUNCTION("""COMPUTED_VALUE"""),2.0)</f>
        <v>2</v>
      </c>
      <c r="E3681" s="2">
        <f>IFERROR(__xludf.DUMMYFUNCTION("""COMPUTED_VALUE"""),40.0)</f>
        <v>40</v>
      </c>
      <c r="F3681" s="2">
        <f>IFERROR(__xludf.DUMMYFUNCTION("""COMPUTED_VALUE"""),3.0)</f>
        <v>3</v>
      </c>
      <c r="G3681" s="2">
        <f>IFERROR(__xludf.DUMMYFUNCTION("""COMPUTED_VALUE"""),5.0)</f>
        <v>5</v>
      </c>
      <c r="H3681" s="2" t="str">
        <f>IFERROR(__xludf.DUMMYFUNCTION("""COMPUTED_VALUE"""),"Hrušč.")</f>
        <v>Hrušč.</v>
      </c>
      <c r="I3681" s="2" t="str">
        <f>IFERROR(__xludf.DUMMYFUNCTION("""COMPUTED_VALUE"""),"Brick")</f>
        <v>Brick</v>
      </c>
      <c r="J3681" s="2" t="str">
        <f>IFERROR(__xludf.DUMMYFUNCTION("""COMPUTED_VALUE"""),"All amenities")</f>
        <v>All amenities</v>
      </c>
      <c r="K3681" s="2">
        <f>IFERROR(__xludf.DUMMYFUNCTION("""COMPUTED_VALUE"""),300.0)</f>
        <v>300</v>
      </c>
      <c r="L3681" s="2">
        <f>IFERROR(__xludf.DUMMYFUNCTION("""COMPUTED_VALUE"""),56.9684782)</f>
        <v>56.9684782</v>
      </c>
      <c r="M3681" s="2">
        <f>IFERROR(__xludf.DUMMYFUNCTION("""COMPUTED_VALUE"""),24.0982111)</f>
        <v>24.0982111</v>
      </c>
    </row>
    <row r="3682">
      <c r="A3682" s="2" t="str">
        <f>IFERROR(__xludf.DUMMYFUNCTION("""COMPUTED_VALUE"""),"For sale")</f>
        <v>For sale</v>
      </c>
      <c r="B3682" s="2" t="str">
        <f>IFERROR(__xludf.DUMMYFUNCTION("""COMPUTED_VALUE"""),"centrs")</f>
        <v>centrs</v>
      </c>
      <c r="C3682" s="2" t="str">
        <f>IFERROR(__xludf.DUMMYFUNCTION("""COMPUTED_VALUE"""),"Skolas 25")</f>
        <v>Skolas 25</v>
      </c>
      <c r="D3682" s="2">
        <f>IFERROR(__xludf.DUMMYFUNCTION("""COMPUTED_VALUE"""),4.0)</f>
        <v>4</v>
      </c>
      <c r="E3682" s="2">
        <f>IFERROR(__xludf.DUMMYFUNCTION("""COMPUTED_VALUE"""),125.0)</f>
        <v>125</v>
      </c>
      <c r="F3682" s="2">
        <f>IFERROR(__xludf.DUMMYFUNCTION("""COMPUTED_VALUE"""),4.0)</f>
        <v>4</v>
      </c>
      <c r="G3682" s="2">
        <f>IFERROR(__xludf.DUMMYFUNCTION("""COMPUTED_VALUE"""),5.0)</f>
        <v>5</v>
      </c>
      <c r="H3682" s="2" t="str">
        <f>IFERROR(__xludf.DUMMYFUNCTION("""COMPUTED_VALUE"""),"P. kara")</f>
        <v>P. kara</v>
      </c>
      <c r="I3682" s="2" t="str">
        <f>IFERROR(__xludf.DUMMYFUNCTION("""COMPUTED_VALUE"""),"Masonry")</f>
        <v>Masonry</v>
      </c>
      <c r="J3682" s="2" t="str">
        <f>IFERROR(__xludf.DUMMYFUNCTION("""COMPUTED_VALUE"""),"All amenities")</f>
        <v>All amenities</v>
      </c>
      <c r="K3682" s="2">
        <f>IFERROR(__xludf.DUMMYFUNCTION("""COMPUTED_VALUE"""),185000.0)</f>
        <v>185000</v>
      </c>
      <c r="L3682" s="2">
        <f>IFERROR(__xludf.DUMMYFUNCTION("""COMPUTED_VALUE"""),56.956956)</f>
        <v>56.956956</v>
      </c>
      <c r="M3682" s="2">
        <f>IFERROR(__xludf.DUMMYFUNCTION("""COMPUTED_VALUE"""),24.117125)</f>
        <v>24.117125</v>
      </c>
    </row>
    <row r="3683">
      <c r="A3683" s="2" t="str">
        <f>IFERROR(__xludf.DUMMYFUNCTION("""COMPUTED_VALUE"""),"For rent")</f>
        <v>For rent</v>
      </c>
      <c r="B3683" s="2" t="str">
        <f>IFERROR(__xludf.DUMMYFUNCTION("""COMPUTED_VALUE"""),"Dzegužkalns")</f>
        <v>Dzegužkalns</v>
      </c>
      <c r="C3683" s="2" t="str">
        <f>IFERROR(__xludf.DUMMYFUNCTION("""COMPUTED_VALUE"""),"Eiženijas 17")</f>
        <v>Eiženijas 17</v>
      </c>
      <c r="D3683" s="2">
        <f>IFERROR(__xludf.DUMMYFUNCTION("""COMPUTED_VALUE"""),2.0)</f>
        <v>2</v>
      </c>
      <c r="E3683" s="2">
        <f>IFERROR(__xludf.DUMMYFUNCTION("""COMPUTED_VALUE"""),40.0)</f>
        <v>40</v>
      </c>
      <c r="F3683" s="2">
        <f>IFERROR(__xludf.DUMMYFUNCTION("""COMPUTED_VALUE"""),4.0)</f>
        <v>4</v>
      </c>
      <c r="G3683" s="2">
        <f>IFERROR(__xludf.DUMMYFUNCTION("""COMPUTED_VALUE"""),4.0)</f>
        <v>4</v>
      </c>
      <c r="H3683" s="2" t="str">
        <f>IFERROR(__xludf.DUMMYFUNCTION("""COMPUTED_VALUE"""),"Jaun.")</f>
        <v>Jaun.</v>
      </c>
      <c r="I3683" s="2" t="str">
        <f>IFERROR(__xludf.DUMMYFUNCTION("""COMPUTED_VALUE"""),"Panel-Brick")</f>
        <v>Panel-Brick</v>
      </c>
      <c r="J3683" s="2" t="str">
        <f>IFERROR(__xludf.DUMMYFUNCTION("""COMPUTED_VALUE"""),"All amenities")</f>
        <v>All amenities</v>
      </c>
      <c r="K3683" s="2">
        <f>IFERROR(__xludf.DUMMYFUNCTION("""COMPUTED_VALUE"""),600.0)</f>
        <v>600</v>
      </c>
      <c r="L3683" s="2">
        <f>IFERROR(__xludf.DUMMYFUNCTION("""COMPUTED_VALUE"""),56.9561314)</f>
        <v>56.9561314</v>
      </c>
      <c r="M3683" s="2">
        <f>IFERROR(__xludf.DUMMYFUNCTION("""COMPUTED_VALUE"""),24.0541248)</f>
        <v>24.0541248</v>
      </c>
    </row>
    <row r="3684">
      <c r="A3684" s="2" t="str">
        <f>IFERROR(__xludf.DUMMYFUNCTION("""COMPUTED_VALUE"""),"For sale")</f>
        <v>For sale</v>
      </c>
      <c r="B3684" s="2" t="str">
        <f>IFERROR(__xludf.DUMMYFUNCTION("""COMPUTED_VALUE"""),"Bolderāja")</f>
        <v>Bolderāja</v>
      </c>
      <c r="C3684" s="2" t="str">
        <f>IFERROR(__xludf.DUMMYFUNCTION("""COMPUTED_VALUE"""),"Platā 22")</f>
        <v>Platā 22</v>
      </c>
      <c r="D3684" s="2">
        <f>IFERROR(__xludf.DUMMYFUNCTION("""COMPUTED_VALUE"""),1.0)</f>
        <v>1</v>
      </c>
      <c r="E3684" s="2">
        <f>IFERROR(__xludf.DUMMYFUNCTION("""COMPUTED_VALUE"""),41.0)</f>
        <v>41</v>
      </c>
      <c r="F3684" s="2">
        <f>IFERROR(__xludf.DUMMYFUNCTION("""COMPUTED_VALUE"""),8.0)</f>
        <v>8</v>
      </c>
      <c r="G3684" s="2">
        <f>IFERROR(__xludf.DUMMYFUNCTION("""COMPUTED_VALUE"""),9.0)</f>
        <v>9</v>
      </c>
      <c r="H3684" s="2" t="str">
        <f>IFERROR(__xludf.DUMMYFUNCTION("""COMPUTED_VALUE"""),"Specpr.")</f>
        <v>Specpr.</v>
      </c>
      <c r="I3684" s="2" t="str">
        <f>IFERROR(__xludf.DUMMYFUNCTION("""COMPUTED_VALUE"""),"Brick-Panel")</f>
        <v>Brick-Panel</v>
      </c>
      <c r="J3684" s="2" t="str">
        <f>IFERROR(__xludf.DUMMYFUNCTION("""COMPUTED_VALUE"""),"All amenities")</f>
        <v>All amenities</v>
      </c>
      <c r="K3684" s="2">
        <f>IFERROR(__xludf.DUMMYFUNCTION("""COMPUTED_VALUE"""),27000.0)</f>
        <v>27000</v>
      </c>
      <c r="L3684" s="2">
        <f>IFERROR(__xludf.DUMMYFUNCTION("""COMPUTED_VALUE"""),46.770384)</f>
        <v>46.770384</v>
      </c>
      <c r="M3684" s="2">
        <f>IFERROR(__xludf.DUMMYFUNCTION("""COMPUTED_VALUE"""),11.6396833)</f>
        <v>11.6396833</v>
      </c>
    </row>
    <row r="3685">
      <c r="A3685" s="2" t="str">
        <f>IFERROR(__xludf.DUMMYFUNCTION("""COMPUTED_VALUE"""),"For sale")</f>
        <v>For sale</v>
      </c>
      <c r="B3685" s="2" t="str">
        <f>IFERROR(__xludf.DUMMYFUNCTION("""COMPUTED_VALUE"""),"Berģi")</f>
        <v>Berģi</v>
      </c>
      <c r="C3685" s="2" t="str">
        <f>IFERROR(__xludf.DUMMYFUNCTION("""COMPUTED_VALUE"""),"Jaunības 11")</f>
        <v>Jaunības 11</v>
      </c>
      <c r="D3685" s="2">
        <f>IFERROR(__xludf.DUMMYFUNCTION("""COMPUTED_VALUE"""),3.0)</f>
        <v>3</v>
      </c>
      <c r="E3685" s="2">
        <f>IFERROR(__xludf.DUMMYFUNCTION("""COMPUTED_VALUE"""),140.0)</f>
        <v>140</v>
      </c>
      <c r="F3685" s="2">
        <f>IFERROR(__xludf.DUMMYFUNCTION("""COMPUTED_VALUE"""),3.0)</f>
        <v>3</v>
      </c>
      <c r="G3685" s="2">
        <f>IFERROR(__xludf.DUMMYFUNCTION("""COMPUTED_VALUE"""),3.0)</f>
        <v>3</v>
      </c>
      <c r="H3685" s="2" t="str">
        <f>IFERROR(__xludf.DUMMYFUNCTION("""COMPUTED_VALUE"""),"Jaun.")</f>
        <v>Jaun.</v>
      </c>
      <c r="I3685" s="2" t="str">
        <f>IFERROR(__xludf.DUMMYFUNCTION("""COMPUTED_VALUE"""),"Brick-Panel")</f>
        <v>Brick-Panel</v>
      </c>
      <c r="J3685" s="2" t="str">
        <f>IFERROR(__xludf.DUMMYFUNCTION("""COMPUTED_VALUE"""),"All amenities")</f>
        <v>All amenities</v>
      </c>
      <c r="K3685" s="2">
        <f>IFERROR(__xludf.DUMMYFUNCTION("""COMPUTED_VALUE"""),79000.0)</f>
        <v>79000</v>
      </c>
      <c r="L3685" s="2">
        <f>IFERROR(__xludf.DUMMYFUNCTION("""COMPUTED_VALUE"""),56.9868556)</f>
        <v>56.9868556</v>
      </c>
      <c r="M3685" s="2">
        <f>IFERROR(__xludf.DUMMYFUNCTION("""COMPUTED_VALUE"""),24.2987252)</f>
        <v>24.2987252</v>
      </c>
    </row>
    <row r="3686">
      <c r="A3686" s="2" t="str">
        <f>IFERROR(__xludf.DUMMYFUNCTION("""COMPUTED_VALUE"""),"For rent")</f>
        <v>For rent</v>
      </c>
      <c r="B3686" s="2" t="str">
        <f>IFERROR(__xludf.DUMMYFUNCTION("""COMPUTED_VALUE"""),"centrs")</f>
        <v>centrs</v>
      </c>
      <c r="C3686" s="2" t="str">
        <f>IFERROR(__xludf.DUMMYFUNCTION("""COMPUTED_VALUE"""),"Rūpniecības 7")</f>
        <v>Rūpniecības 7</v>
      </c>
      <c r="D3686" s="2">
        <f>IFERROR(__xludf.DUMMYFUNCTION("""COMPUTED_VALUE"""),3.0)</f>
        <v>3</v>
      </c>
      <c r="E3686" s="2">
        <f>IFERROR(__xludf.DUMMYFUNCTION("""COMPUTED_VALUE"""),108.0)</f>
        <v>108</v>
      </c>
      <c r="F3686" s="2">
        <f>IFERROR(__xludf.DUMMYFUNCTION("""COMPUTED_VALUE"""),4.0)</f>
        <v>4</v>
      </c>
      <c r="G3686" s="2">
        <f>IFERROR(__xludf.DUMMYFUNCTION("""COMPUTED_VALUE"""),5.0)</f>
        <v>5</v>
      </c>
      <c r="H3686" s="2" t="str">
        <f>IFERROR(__xludf.DUMMYFUNCTION("""COMPUTED_VALUE"""),"P. kara")</f>
        <v>P. kara</v>
      </c>
      <c r="I3686" s="2" t="str">
        <f>IFERROR(__xludf.DUMMYFUNCTION("""COMPUTED_VALUE"""),"Masonry")</f>
        <v>Masonry</v>
      </c>
      <c r="J3686" s="2" t="str">
        <f>IFERROR(__xludf.DUMMYFUNCTION("""COMPUTED_VALUE"""),"All amenities")</f>
        <v>All amenities</v>
      </c>
      <c r="K3686" s="2">
        <f>IFERROR(__xludf.DUMMYFUNCTION("""COMPUTED_VALUE"""),500.0)</f>
        <v>500</v>
      </c>
      <c r="L3686" s="2">
        <f>IFERROR(__xludf.DUMMYFUNCTION("""COMPUTED_VALUE"""),56.9601806)</f>
        <v>56.9601806</v>
      </c>
      <c r="M3686" s="2">
        <f>IFERROR(__xludf.DUMMYFUNCTION("""COMPUTED_VALUE"""),24.1028778)</f>
        <v>24.1028778</v>
      </c>
    </row>
    <row r="3687">
      <c r="A3687" s="2" t="str">
        <f>IFERROR(__xludf.DUMMYFUNCTION("""COMPUTED_VALUE"""),"For sale")</f>
        <v>For sale</v>
      </c>
      <c r="B3687" s="2" t="str">
        <f>IFERROR(__xludf.DUMMYFUNCTION("""COMPUTED_VALUE"""),"Pļavnieki")</f>
        <v>Pļavnieki</v>
      </c>
      <c r="C3687" s="2" t="str">
        <f>IFERROR(__xludf.DUMMYFUNCTION("""COMPUTED_VALUE"""),"Slāvu 15")</f>
        <v>Slāvu 15</v>
      </c>
      <c r="D3687" s="2">
        <f>IFERROR(__xludf.DUMMYFUNCTION("""COMPUTED_VALUE"""),2.0)</f>
        <v>2</v>
      </c>
      <c r="E3687" s="2">
        <f>IFERROR(__xludf.DUMMYFUNCTION("""COMPUTED_VALUE"""),50.0)</f>
        <v>50</v>
      </c>
      <c r="F3687" s="2">
        <f>IFERROR(__xludf.DUMMYFUNCTION("""COMPUTED_VALUE"""),5.0)</f>
        <v>5</v>
      </c>
      <c r="G3687" s="2">
        <f>IFERROR(__xludf.DUMMYFUNCTION("""COMPUTED_VALUE"""),9.0)</f>
        <v>9</v>
      </c>
      <c r="H3687" s="2">
        <f>IFERROR(__xludf.DUMMYFUNCTION("""COMPUTED_VALUE"""),602.0)</f>
        <v>602</v>
      </c>
      <c r="I3687" s="2" t="str">
        <f>IFERROR(__xludf.DUMMYFUNCTION("""COMPUTED_VALUE"""),"Panel")</f>
        <v>Panel</v>
      </c>
      <c r="J3687" s="2" t="str">
        <f>IFERROR(__xludf.DUMMYFUNCTION("""COMPUTED_VALUE"""),"All amenities")</f>
        <v>All amenities</v>
      </c>
      <c r="K3687" s="2">
        <f>IFERROR(__xludf.DUMMYFUNCTION("""COMPUTED_VALUE"""),45000.0)</f>
        <v>45000</v>
      </c>
      <c r="L3687" s="2">
        <f>IFERROR(__xludf.DUMMYFUNCTION("""COMPUTED_VALUE"""),56.92934845)</f>
        <v>56.92934845</v>
      </c>
      <c r="M3687" s="2">
        <f>IFERROR(__xludf.DUMMYFUNCTION("""COMPUTED_VALUE"""),24.1769740456498)</f>
        <v>24.17697405</v>
      </c>
    </row>
    <row r="3688">
      <c r="A3688" s="2" t="str">
        <f>IFERROR(__xludf.DUMMYFUNCTION("""COMPUTED_VALUE"""),"For sale")</f>
        <v>For sale</v>
      </c>
      <c r="B3688" s="2" t="str">
        <f>IFERROR(__xludf.DUMMYFUNCTION("""COMPUTED_VALUE"""),"Pļavnieki")</f>
        <v>Pļavnieki</v>
      </c>
      <c r="C3688" s="2" t="str">
        <f>IFERROR(__xludf.DUMMYFUNCTION("""COMPUTED_VALUE"""),"Deglava 122")</f>
        <v>Deglava 122</v>
      </c>
      <c r="D3688" s="2">
        <f>IFERROR(__xludf.DUMMYFUNCTION("""COMPUTED_VALUE"""),3.0)</f>
        <v>3</v>
      </c>
      <c r="E3688" s="2">
        <f>IFERROR(__xludf.DUMMYFUNCTION("""COMPUTED_VALUE"""),79.0)</f>
        <v>79</v>
      </c>
      <c r="F3688" s="2">
        <f>IFERROR(__xludf.DUMMYFUNCTION("""COMPUTED_VALUE"""),4.0)</f>
        <v>4</v>
      </c>
      <c r="G3688" s="2">
        <f>IFERROR(__xludf.DUMMYFUNCTION("""COMPUTED_VALUE"""),9.0)</f>
        <v>9</v>
      </c>
      <c r="H3688" s="2">
        <f>IFERROR(__xludf.DUMMYFUNCTION("""COMPUTED_VALUE"""),119.0)</f>
        <v>119</v>
      </c>
      <c r="I3688" s="2" t="str">
        <f>IFERROR(__xludf.DUMMYFUNCTION("""COMPUTED_VALUE"""),"Panel")</f>
        <v>Panel</v>
      </c>
      <c r="J3688" s="2" t="str">
        <f>IFERROR(__xludf.DUMMYFUNCTION("""COMPUTED_VALUE"""),"All amenities")</f>
        <v>All amenities</v>
      </c>
      <c r="K3688" s="2">
        <f>IFERROR(__xludf.DUMMYFUNCTION("""COMPUTED_VALUE"""),71100.0)</f>
        <v>71100</v>
      </c>
      <c r="L3688" s="2">
        <f>IFERROR(__xludf.DUMMYFUNCTION("""COMPUTED_VALUE"""),56.94708265)</f>
        <v>56.94708265</v>
      </c>
      <c r="M3688" s="2">
        <f>IFERROR(__xludf.DUMMYFUNCTION("""COMPUTED_VALUE"""),24.1976276399044)</f>
        <v>24.19762764</v>
      </c>
    </row>
    <row r="3689">
      <c r="A3689" s="2" t="str">
        <f>IFERROR(__xludf.DUMMYFUNCTION("""COMPUTED_VALUE"""),"For sale")</f>
        <v>For sale</v>
      </c>
      <c r="B3689" s="2" t="str">
        <f>IFERROR(__xludf.DUMMYFUNCTION("""COMPUTED_VALUE"""),"Ķengarags")</f>
        <v>Ķengarags</v>
      </c>
      <c r="C3689" s="2" t="str">
        <f>IFERROR(__xludf.DUMMYFUNCTION("""COMPUTED_VALUE"""),"Bultu 3")</f>
        <v>Bultu 3</v>
      </c>
      <c r="D3689" s="2">
        <f>IFERROR(__xludf.DUMMYFUNCTION("""COMPUTED_VALUE"""),1.0)</f>
        <v>1</v>
      </c>
      <c r="E3689" s="2">
        <f>IFERROR(__xludf.DUMMYFUNCTION("""COMPUTED_VALUE"""),32.0)</f>
        <v>32</v>
      </c>
      <c r="F3689" s="2">
        <f>IFERROR(__xludf.DUMMYFUNCTION("""COMPUTED_VALUE"""),7.0)</f>
        <v>7</v>
      </c>
      <c r="G3689" s="2">
        <f>IFERROR(__xludf.DUMMYFUNCTION("""COMPUTED_VALUE"""),9.0)</f>
        <v>9</v>
      </c>
      <c r="H3689" s="2">
        <f>IFERROR(__xludf.DUMMYFUNCTION("""COMPUTED_VALUE"""),467.0)</f>
        <v>467</v>
      </c>
      <c r="I3689" s="2" t="str">
        <f>IFERROR(__xludf.DUMMYFUNCTION("""COMPUTED_VALUE"""),"Panel")</f>
        <v>Panel</v>
      </c>
      <c r="J3689" s="2" t="str">
        <f>IFERROR(__xludf.DUMMYFUNCTION("""COMPUTED_VALUE"""),"All amenities")</f>
        <v>All amenities</v>
      </c>
      <c r="K3689" s="2">
        <f>IFERROR(__xludf.DUMMYFUNCTION("""COMPUTED_VALUE"""),28500.0)</f>
        <v>28500</v>
      </c>
      <c r="L3689" s="2">
        <f>IFERROR(__xludf.DUMMYFUNCTION("""COMPUTED_VALUE"""),56.9078304)</f>
        <v>56.9078304</v>
      </c>
      <c r="M3689" s="2">
        <f>IFERROR(__xludf.DUMMYFUNCTION("""COMPUTED_VALUE"""),24.1904570505792)</f>
        <v>24.19045705</v>
      </c>
    </row>
    <row r="3690">
      <c r="A3690" s="2" t="str">
        <f>IFERROR(__xludf.DUMMYFUNCTION("""COMPUTED_VALUE"""),"For sale")</f>
        <v>For sale</v>
      </c>
      <c r="B3690" s="2" t="str">
        <f>IFERROR(__xludf.DUMMYFUNCTION("""COMPUTED_VALUE"""),"Ķengarags")</f>
        <v>Ķengarags</v>
      </c>
      <c r="C3690" s="2" t="str">
        <f>IFERROR(__xludf.DUMMYFUNCTION("""COMPUTED_VALUE"""),"Lokomotīves 82")</f>
        <v>Lokomotīves 82</v>
      </c>
      <c r="D3690" s="2">
        <f>IFERROR(__xludf.DUMMYFUNCTION("""COMPUTED_VALUE"""),3.0)</f>
        <v>3</v>
      </c>
      <c r="E3690" s="2">
        <f>IFERROR(__xludf.DUMMYFUNCTION("""COMPUTED_VALUE"""),58.0)</f>
        <v>58</v>
      </c>
      <c r="F3690" s="2">
        <f>IFERROR(__xludf.DUMMYFUNCTION("""COMPUTED_VALUE"""),9.0)</f>
        <v>9</v>
      </c>
      <c r="G3690" s="2">
        <f>IFERROR(__xludf.DUMMYFUNCTION("""COMPUTED_VALUE"""),9.0)</f>
        <v>9</v>
      </c>
      <c r="H3690" s="2">
        <f>IFERROR(__xludf.DUMMYFUNCTION("""COMPUTED_VALUE"""),467.0)</f>
        <v>467</v>
      </c>
      <c r="I3690" s="2" t="str">
        <f>IFERROR(__xludf.DUMMYFUNCTION("""COMPUTED_VALUE"""),"Panel")</f>
        <v>Panel</v>
      </c>
      <c r="J3690" s="2" t="str">
        <f>IFERROR(__xludf.DUMMYFUNCTION("""COMPUTED_VALUE"""),"All amenities")</f>
        <v>All amenities</v>
      </c>
      <c r="K3690" s="2">
        <f>IFERROR(__xludf.DUMMYFUNCTION("""COMPUTED_VALUE"""),58700.0)</f>
        <v>58700</v>
      </c>
      <c r="L3690" s="2">
        <f>IFERROR(__xludf.DUMMYFUNCTION("""COMPUTED_VALUE"""),56.902508)</f>
        <v>56.902508</v>
      </c>
      <c r="M3690" s="2">
        <f>IFERROR(__xludf.DUMMYFUNCTION("""COMPUTED_VALUE"""),24.2134383124239)</f>
        <v>24.21343831</v>
      </c>
    </row>
    <row r="3691">
      <c r="A3691" s="2" t="str">
        <f>IFERROR(__xludf.DUMMYFUNCTION("""COMPUTED_VALUE"""),"For rent")</f>
        <v>For rent</v>
      </c>
      <c r="B3691" s="2" t="str">
        <f>IFERROR(__xludf.DUMMYFUNCTION("""COMPUTED_VALUE"""),"Āgenskalns")</f>
        <v>Āgenskalns</v>
      </c>
      <c r="C3691" s="2" t="str">
        <f>IFERROR(__xludf.DUMMYFUNCTION("""COMPUTED_VALUE"""),"Kristapa 16")</f>
        <v>Kristapa 16</v>
      </c>
      <c r="D3691" s="2">
        <f>IFERROR(__xludf.DUMMYFUNCTION("""COMPUTED_VALUE"""),2.0)</f>
        <v>2</v>
      </c>
      <c r="E3691" s="2">
        <f>IFERROR(__xludf.DUMMYFUNCTION("""COMPUTED_VALUE"""),40.0)</f>
        <v>40</v>
      </c>
      <c r="F3691" s="2">
        <f>IFERROR(__xludf.DUMMYFUNCTION("""COMPUTED_VALUE"""),3.0)</f>
        <v>3</v>
      </c>
      <c r="G3691" s="2">
        <f>IFERROR(__xludf.DUMMYFUNCTION("""COMPUTED_VALUE"""),5.0)</f>
        <v>5</v>
      </c>
      <c r="H3691" s="2" t="str">
        <f>IFERROR(__xludf.DUMMYFUNCTION("""COMPUTED_VALUE"""),"Hrušč.")</f>
        <v>Hrušč.</v>
      </c>
      <c r="I3691" s="2" t="str">
        <f>IFERROR(__xludf.DUMMYFUNCTION("""COMPUTED_VALUE"""),"Brick")</f>
        <v>Brick</v>
      </c>
      <c r="J3691" s="2" t="str">
        <f>IFERROR(__xludf.DUMMYFUNCTION("""COMPUTED_VALUE"""),"All amenities")</f>
        <v>All amenities</v>
      </c>
      <c r="K3691" s="2">
        <f>IFERROR(__xludf.DUMMYFUNCTION("""COMPUTED_VALUE"""),330.0)</f>
        <v>330</v>
      </c>
      <c r="L3691" s="2">
        <f>IFERROR(__xludf.DUMMYFUNCTION("""COMPUTED_VALUE"""),56.9438277999999)</f>
        <v>56.9438278</v>
      </c>
      <c r="M3691" s="2">
        <f>IFERROR(__xludf.DUMMYFUNCTION("""COMPUTED_VALUE"""),24.062819336917)</f>
        <v>24.06281934</v>
      </c>
    </row>
    <row r="3692">
      <c r="A3692" s="2" t="str">
        <f>IFERROR(__xludf.DUMMYFUNCTION("""COMPUTED_VALUE"""),"For rent")</f>
        <v>For rent</v>
      </c>
      <c r="B3692" s="2" t="str">
        <f>IFERROR(__xludf.DUMMYFUNCTION("""COMPUTED_VALUE"""),"Bolderāja")</f>
        <v>Bolderāja</v>
      </c>
      <c r="C3692" s="2" t="str">
        <f>IFERROR(__xludf.DUMMYFUNCTION("""COMPUTED_VALUE"""),"Platā 22")</f>
        <v>Platā 22</v>
      </c>
      <c r="D3692" s="2">
        <f>IFERROR(__xludf.DUMMYFUNCTION("""COMPUTED_VALUE"""),1.0)</f>
        <v>1</v>
      </c>
      <c r="E3692" s="2">
        <f>IFERROR(__xludf.DUMMYFUNCTION("""COMPUTED_VALUE"""),40.0)</f>
        <v>40</v>
      </c>
      <c r="F3692" s="2">
        <f>IFERROR(__xludf.DUMMYFUNCTION("""COMPUTED_VALUE"""),9.0)</f>
        <v>9</v>
      </c>
      <c r="G3692" s="2">
        <f>IFERROR(__xludf.DUMMYFUNCTION("""COMPUTED_VALUE"""),9.0)</f>
        <v>9</v>
      </c>
      <c r="H3692" s="2" t="str">
        <f>IFERROR(__xludf.DUMMYFUNCTION("""COMPUTED_VALUE"""),"Specpr.")</f>
        <v>Specpr.</v>
      </c>
      <c r="I3692" s="2" t="str">
        <f>IFERROR(__xludf.DUMMYFUNCTION("""COMPUTED_VALUE"""),"Brick")</f>
        <v>Brick</v>
      </c>
      <c r="J3692" s="2" t="str">
        <f>IFERROR(__xludf.DUMMYFUNCTION("""COMPUTED_VALUE"""),"All amenities")</f>
        <v>All amenities</v>
      </c>
      <c r="K3692" s="2">
        <f>IFERROR(__xludf.DUMMYFUNCTION("""COMPUTED_VALUE"""),170.0)</f>
        <v>170</v>
      </c>
      <c r="L3692" s="2">
        <f>IFERROR(__xludf.DUMMYFUNCTION("""COMPUTED_VALUE"""),46.770384)</f>
        <v>46.770384</v>
      </c>
      <c r="M3692" s="2">
        <f>IFERROR(__xludf.DUMMYFUNCTION("""COMPUTED_VALUE"""),11.6396833)</f>
        <v>11.6396833</v>
      </c>
    </row>
    <row r="3693">
      <c r="A3693" s="2" t="str">
        <f>IFERROR(__xludf.DUMMYFUNCTION("""COMPUTED_VALUE"""),"For sale")</f>
        <v>For sale</v>
      </c>
      <c r="B3693" s="2" t="str">
        <f>IFERROR(__xludf.DUMMYFUNCTION("""COMPUTED_VALUE"""),"Bolderāja")</f>
        <v>Bolderāja</v>
      </c>
      <c r="C3693" s="2" t="str">
        <f>IFERROR(__xludf.DUMMYFUNCTION("""COMPUTED_VALUE"""),"Platā 22")</f>
        <v>Platā 22</v>
      </c>
      <c r="D3693" s="2">
        <f>IFERROR(__xludf.DUMMYFUNCTION("""COMPUTED_VALUE"""),1.0)</f>
        <v>1</v>
      </c>
      <c r="E3693" s="2">
        <f>IFERROR(__xludf.DUMMYFUNCTION("""COMPUTED_VALUE"""),40.0)</f>
        <v>40</v>
      </c>
      <c r="F3693" s="2">
        <f>IFERROR(__xludf.DUMMYFUNCTION("""COMPUTED_VALUE"""),9.0)</f>
        <v>9</v>
      </c>
      <c r="G3693" s="2">
        <f>IFERROR(__xludf.DUMMYFUNCTION("""COMPUTED_VALUE"""),9.0)</f>
        <v>9</v>
      </c>
      <c r="H3693" s="2" t="str">
        <f>IFERROR(__xludf.DUMMYFUNCTION("""COMPUTED_VALUE"""),"Specpr.")</f>
        <v>Specpr.</v>
      </c>
      <c r="I3693" s="2" t="str">
        <f>IFERROR(__xludf.DUMMYFUNCTION("""COMPUTED_VALUE"""),"Brick")</f>
        <v>Brick</v>
      </c>
      <c r="J3693" s="2" t="str">
        <f>IFERROR(__xludf.DUMMYFUNCTION("""COMPUTED_VALUE"""),"All amenities")</f>
        <v>All amenities</v>
      </c>
      <c r="K3693" s="2">
        <f>IFERROR(__xludf.DUMMYFUNCTION("""COMPUTED_VALUE"""),25000.0)</f>
        <v>25000</v>
      </c>
      <c r="L3693" s="2">
        <f>IFERROR(__xludf.DUMMYFUNCTION("""COMPUTED_VALUE"""),46.770384)</f>
        <v>46.770384</v>
      </c>
      <c r="M3693" s="2">
        <f>IFERROR(__xludf.DUMMYFUNCTION("""COMPUTED_VALUE"""),11.6396833)</f>
        <v>11.6396833</v>
      </c>
    </row>
    <row r="3694">
      <c r="A3694" s="2" t="str">
        <f>IFERROR(__xludf.DUMMYFUNCTION("""COMPUTED_VALUE"""),"For rent")</f>
        <v>For rent</v>
      </c>
      <c r="B3694" s="2" t="str">
        <f>IFERROR(__xludf.DUMMYFUNCTION("""COMPUTED_VALUE"""),"Ziepniekkalns")</f>
        <v>Ziepniekkalns</v>
      </c>
      <c r="C3694" s="2" t="str">
        <f>IFERROR(__xludf.DUMMYFUNCTION("""COMPUTED_VALUE"""),"Īslīces 9")</f>
        <v>Īslīces 9</v>
      </c>
      <c r="D3694" s="2">
        <f>IFERROR(__xludf.DUMMYFUNCTION("""COMPUTED_VALUE"""),1.0)</f>
        <v>1</v>
      </c>
      <c r="E3694" s="2">
        <f>IFERROR(__xludf.DUMMYFUNCTION("""COMPUTED_VALUE"""),42.0)</f>
        <v>42</v>
      </c>
      <c r="F3694" s="2">
        <f>IFERROR(__xludf.DUMMYFUNCTION("""COMPUTED_VALUE"""),8.0)</f>
        <v>8</v>
      </c>
      <c r="G3694" s="2">
        <f>IFERROR(__xludf.DUMMYFUNCTION("""COMPUTED_VALUE"""),9.0)</f>
        <v>9</v>
      </c>
      <c r="H3694" s="2">
        <f>IFERROR(__xludf.DUMMYFUNCTION("""COMPUTED_VALUE"""),119.0)</f>
        <v>119</v>
      </c>
      <c r="I3694" s="2" t="str">
        <f>IFERROR(__xludf.DUMMYFUNCTION("""COMPUTED_VALUE"""),"Panel")</f>
        <v>Panel</v>
      </c>
      <c r="J3694" s="2" t="str">
        <f>IFERROR(__xludf.DUMMYFUNCTION("""COMPUTED_VALUE"""),"All amenities")</f>
        <v>All amenities</v>
      </c>
      <c r="K3694" s="2">
        <f>IFERROR(__xludf.DUMMYFUNCTION("""COMPUTED_VALUE"""),220.0)</f>
        <v>220</v>
      </c>
      <c r="L3694" s="2">
        <f>IFERROR(__xludf.DUMMYFUNCTION("""COMPUTED_VALUE"""),56.8994442)</f>
        <v>56.8994442</v>
      </c>
      <c r="M3694" s="2">
        <f>IFERROR(__xludf.DUMMYFUNCTION("""COMPUTED_VALUE"""),24.0847407903024)</f>
        <v>24.08474079</v>
      </c>
    </row>
    <row r="3695">
      <c r="A3695" s="2" t="str">
        <f>IFERROR(__xludf.DUMMYFUNCTION("""COMPUTED_VALUE"""),"For rent")</f>
        <v>For rent</v>
      </c>
      <c r="B3695" s="2" t="str">
        <f>IFERROR(__xludf.DUMMYFUNCTION("""COMPUTED_VALUE"""),"Teika")</f>
        <v>Teika</v>
      </c>
      <c r="C3695" s="2" t="str">
        <f>IFERROR(__xludf.DUMMYFUNCTION("""COMPUTED_VALUE"""),"Ieriķu 37")</f>
        <v>Ieriķu 37</v>
      </c>
      <c r="D3695" s="2">
        <f>IFERROR(__xludf.DUMMYFUNCTION("""COMPUTED_VALUE"""),1.0)</f>
        <v>1</v>
      </c>
      <c r="E3695" s="2">
        <f>IFERROR(__xludf.DUMMYFUNCTION("""COMPUTED_VALUE"""),31.0)</f>
        <v>31</v>
      </c>
      <c r="F3695" s="2">
        <f>IFERROR(__xludf.DUMMYFUNCTION("""COMPUTED_VALUE"""),2.0)</f>
        <v>2</v>
      </c>
      <c r="G3695" s="2">
        <f>IFERROR(__xludf.DUMMYFUNCTION("""COMPUTED_VALUE"""),5.0)</f>
        <v>5</v>
      </c>
      <c r="H3695" s="2" t="str">
        <f>IFERROR(__xludf.DUMMYFUNCTION("""COMPUTED_VALUE"""),"LT proj.")</f>
        <v>LT proj.</v>
      </c>
      <c r="I3695" s="2" t="str">
        <f>IFERROR(__xludf.DUMMYFUNCTION("""COMPUTED_VALUE"""),"Panel")</f>
        <v>Panel</v>
      </c>
      <c r="J3695" s="2" t="str">
        <f>IFERROR(__xludf.DUMMYFUNCTION("""COMPUTED_VALUE"""),"All amenities")</f>
        <v>All amenities</v>
      </c>
      <c r="K3695" s="2">
        <f>IFERROR(__xludf.DUMMYFUNCTION("""COMPUTED_VALUE"""),300.0)</f>
        <v>300</v>
      </c>
      <c r="L3695" s="2">
        <f>IFERROR(__xludf.DUMMYFUNCTION("""COMPUTED_VALUE"""),56.96664825)</f>
        <v>56.96664825</v>
      </c>
      <c r="M3695" s="2">
        <f>IFERROR(__xludf.DUMMYFUNCTION("""COMPUTED_VALUE"""),24.1794408220701)</f>
        <v>24.17944082</v>
      </c>
    </row>
    <row r="3696">
      <c r="A3696" s="2" t="str">
        <f>IFERROR(__xludf.DUMMYFUNCTION("""COMPUTED_VALUE"""),"For sale")</f>
        <v>For sale</v>
      </c>
      <c r="B3696" s="2" t="str">
        <f>IFERROR(__xludf.DUMMYFUNCTION("""COMPUTED_VALUE"""),"Sarkandaugava")</f>
        <v>Sarkandaugava</v>
      </c>
      <c r="C3696" s="2" t="str">
        <f>IFERROR(__xludf.DUMMYFUNCTION("""COMPUTED_VALUE"""),"Sliežu 33")</f>
        <v>Sliežu 33</v>
      </c>
      <c r="D3696" s="2">
        <f>IFERROR(__xludf.DUMMYFUNCTION("""COMPUTED_VALUE"""),2.0)</f>
        <v>2</v>
      </c>
      <c r="E3696" s="2">
        <f>IFERROR(__xludf.DUMMYFUNCTION("""COMPUTED_VALUE"""),49.0)</f>
        <v>49</v>
      </c>
      <c r="F3696" s="2">
        <f>IFERROR(__xludf.DUMMYFUNCTION("""COMPUTED_VALUE"""),3.0)</f>
        <v>3</v>
      </c>
      <c r="G3696" s="2">
        <f>IFERROR(__xludf.DUMMYFUNCTION("""COMPUTED_VALUE"""),5.0)</f>
        <v>5</v>
      </c>
      <c r="H3696" s="2" t="str">
        <f>IFERROR(__xludf.DUMMYFUNCTION("""COMPUTED_VALUE"""),"Hrušč.")</f>
        <v>Hrušč.</v>
      </c>
      <c r="I3696" s="2" t="str">
        <f>IFERROR(__xludf.DUMMYFUNCTION("""COMPUTED_VALUE"""),"Brick")</f>
        <v>Brick</v>
      </c>
      <c r="J3696" s="2" t="str">
        <f>IFERROR(__xludf.DUMMYFUNCTION("""COMPUTED_VALUE"""),"All amenities")</f>
        <v>All amenities</v>
      </c>
      <c r="K3696" s="2">
        <f>IFERROR(__xludf.DUMMYFUNCTION("""COMPUTED_VALUE"""),36000.0)</f>
        <v>36000</v>
      </c>
      <c r="L3696" s="2">
        <f>IFERROR(__xludf.DUMMYFUNCTION("""COMPUTED_VALUE"""),57.00848)</f>
        <v>57.00848</v>
      </c>
      <c r="M3696" s="2">
        <f>IFERROR(__xludf.DUMMYFUNCTION("""COMPUTED_VALUE"""),24.1253070957052)</f>
        <v>24.1253071</v>
      </c>
    </row>
    <row r="3697">
      <c r="A3697" s="2" t="str">
        <f>IFERROR(__xludf.DUMMYFUNCTION("""COMPUTED_VALUE"""),"For sale")</f>
        <v>For sale</v>
      </c>
      <c r="B3697" s="2" t="str">
        <f>IFERROR(__xludf.DUMMYFUNCTION("""COMPUTED_VALUE"""),"Ziepniekkalns")</f>
        <v>Ziepniekkalns</v>
      </c>
      <c r="C3697" s="2" t="str">
        <f>IFERROR(__xludf.DUMMYFUNCTION("""COMPUTED_VALUE"""),"Īslīces 14")</f>
        <v>Īslīces 14</v>
      </c>
      <c r="D3697" s="2">
        <f>IFERROR(__xludf.DUMMYFUNCTION("""COMPUTED_VALUE"""),1.0)</f>
        <v>1</v>
      </c>
      <c r="E3697" s="2">
        <f>IFERROR(__xludf.DUMMYFUNCTION("""COMPUTED_VALUE"""),36.0)</f>
        <v>36</v>
      </c>
      <c r="F3697" s="2">
        <f>IFERROR(__xludf.DUMMYFUNCTION("""COMPUTED_VALUE"""),10.0)</f>
        <v>10</v>
      </c>
      <c r="G3697" s="2">
        <f>IFERROR(__xludf.DUMMYFUNCTION("""COMPUTED_VALUE"""),12.0)</f>
        <v>12</v>
      </c>
      <c r="H3697" s="2" t="str">
        <f>IFERROR(__xludf.DUMMYFUNCTION("""COMPUTED_VALUE"""),"Specpr.")</f>
        <v>Specpr.</v>
      </c>
      <c r="I3697" s="2" t="str">
        <f>IFERROR(__xludf.DUMMYFUNCTION("""COMPUTED_VALUE"""),"Brick")</f>
        <v>Brick</v>
      </c>
      <c r="J3697" s="2" t="str">
        <f>IFERROR(__xludf.DUMMYFUNCTION("""COMPUTED_VALUE"""),"All amenities")</f>
        <v>All amenities</v>
      </c>
      <c r="K3697" s="2">
        <f>IFERROR(__xludf.DUMMYFUNCTION("""COMPUTED_VALUE"""),36500.0)</f>
        <v>36500</v>
      </c>
      <c r="L3697" s="2">
        <f>IFERROR(__xludf.DUMMYFUNCTION("""COMPUTED_VALUE"""),56.9001589)</f>
        <v>56.9001589</v>
      </c>
      <c r="M3697" s="2">
        <f>IFERROR(__xludf.DUMMYFUNCTION("""COMPUTED_VALUE"""),24.0825136321712)</f>
        <v>24.08251363</v>
      </c>
    </row>
    <row r="3698">
      <c r="A3698" s="2" t="str">
        <f>IFERROR(__xludf.DUMMYFUNCTION("""COMPUTED_VALUE"""),"For sale")</f>
        <v>For sale</v>
      </c>
      <c r="B3698" s="2" t="str">
        <f>IFERROR(__xludf.DUMMYFUNCTION("""COMPUTED_VALUE"""),"Pļavnieki")</f>
        <v>Pļavnieki</v>
      </c>
      <c r="C3698" s="2" t="str">
        <f>IFERROR(__xludf.DUMMYFUNCTION("""COMPUTED_VALUE"""),"Ilūkstes 6")</f>
        <v>Ilūkstes 6</v>
      </c>
      <c r="D3698" s="2">
        <f>IFERROR(__xludf.DUMMYFUNCTION("""COMPUTED_VALUE"""),1.0)</f>
        <v>1</v>
      </c>
      <c r="E3698" s="2">
        <f>IFERROR(__xludf.DUMMYFUNCTION("""COMPUTED_VALUE"""),41.0)</f>
        <v>41</v>
      </c>
      <c r="F3698" s="2">
        <f>IFERROR(__xludf.DUMMYFUNCTION("""COMPUTED_VALUE"""),8.0)</f>
        <v>8</v>
      </c>
      <c r="G3698" s="2">
        <f>IFERROR(__xludf.DUMMYFUNCTION("""COMPUTED_VALUE"""),9.0)</f>
        <v>9</v>
      </c>
      <c r="H3698" s="2" t="str">
        <f>IFERROR(__xludf.DUMMYFUNCTION("""COMPUTED_VALUE"""),"M. ģim.")</f>
        <v>M. ģim.</v>
      </c>
      <c r="I3698" s="2" t="str">
        <f>IFERROR(__xludf.DUMMYFUNCTION("""COMPUTED_VALUE"""),"Panel")</f>
        <v>Panel</v>
      </c>
      <c r="J3698" s="2" t="str">
        <f>IFERROR(__xludf.DUMMYFUNCTION("""COMPUTED_VALUE"""),"All amenities")</f>
        <v>All amenities</v>
      </c>
      <c r="K3698" s="2">
        <f>IFERROR(__xludf.DUMMYFUNCTION("""COMPUTED_VALUE"""),35500.0)</f>
        <v>35500</v>
      </c>
      <c r="L3698" s="2">
        <f>IFERROR(__xludf.DUMMYFUNCTION("""COMPUTED_VALUE"""),56.9339826)</f>
        <v>56.9339826</v>
      </c>
      <c r="M3698" s="2">
        <f>IFERROR(__xludf.DUMMYFUNCTION("""COMPUTED_VALUE"""),24.197050844516)</f>
        <v>24.19705084</v>
      </c>
    </row>
    <row r="3699">
      <c r="A3699" s="2" t="str">
        <f>IFERROR(__xludf.DUMMYFUNCTION("""COMPUTED_VALUE"""),"For rent")</f>
        <v>For rent</v>
      </c>
      <c r="B3699" s="2" t="str">
        <f>IFERROR(__xludf.DUMMYFUNCTION("""COMPUTED_VALUE"""),"Zolitūde")</f>
        <v>Zolitūde</v>
      </c>
      <c r="C3699" s="2" t="str">
        <f>IFERROR(__xludf.DUMMYFUNCTION("""COMPUTED_VALUE"""),"Zolitūdes 46")</f>
        <v>Zolitūdes 46</v>
      </c>
      <c r="D3699" s="2">
        <f>IFERROR(__xludf.DUMMYFUNCTION("""COMPUTED_VALUE"""),2.0)</f>
        <v>2</v>
      </c>
      <c r="E3699" s="2">
        <f>IFERROR(__xludf.DUMMYFUNCTION("""COMPUTED_VALUE"""),56.0)</f>
        <v>56</v>
      </c>
      <c r="F3699" s="2">
        <f>IFERROR(__xludf.DUMMYFUNCTION("""COMPUTED_VALUE"""),4.0)</f>
        <v>4</v>
      </c>
      <c r="G3699" s="2">
        <f>IFERROR(__xludf.DUMMYFUNCTION("""COMPUTED_VALUE"""),9.0)</f>
        <v>9</v>
      </c>
      <c r="H3699" s="2">
        <f>IFERROR(__xludf.DUMMYFUNCTION("""COMPUTED_VALUE"""),119.0)</f>
        <v>119</v>
      </c>
      <c r="I3699" s="2" t="str">
        <f>IFERROR(__xludf.DUMMYFUNCTION("""COMPUTED_VALUE"""),"Panel")</f>
        <v>Panel</v>
      </c>
      <c r="J3699" s="2" t="str">
        <f>IFERROR(__xludf.DUMMYFUNCTION("""COMPUTED_VALUE"""),"All amenities")</f>
        <v>All amenities</v>
      </c>
      <c r="K3699" s="2">
        <f>IFERROR(__xludf.DUMMYFUNCTION("""COMPUTED_VALUE"""),25.0)</f>
        <v>25</v>
      </c>
      <c r="L3699" s="2">
        <f>IFERROR(__xludf.DUMMYFUNCTION("""COMPUTED_VALUE"""),56.94224055)</f>
        <v>56.94224055</v>
      </c>
      <c r="M3699" s="2">
        <f>IFERROR(__xludf.DUMMYFUNCTION("""COMPUTED_VALUE"""),24.0060845759065)</f>
        <v>24.00608458</v>
      </c>
    </row>
    <row r="3700">
      <c r="A3700" s="2" t="str">
        <f>IFERROR(__xludf.DUMMYFUNCTION("""COMPUTED_VALUE"""),"For rent")</f>
        <v>For rent</v>
      </c>
      <c r="B3700" s="2" t="str">
        <f>IFERROR(__xludf.DUMMYFUNCTION("""COMPUTED_VALUE"""),"centrs")</f>
        <v>centrs</v>
      </c>
      <c r="C3700" s="2" t="str">
        <f>IFERROR(__xludf.DUMMYFUNCTION("""COMPUTED_VALUE"""),"Artilērijas 64a")</f>
        <v>Artilērijas 64a</v>
      </c>
      <c r="D3700" s="2">
        <f>IFERROR(__xludf.DUMMYFUNCTION("""COMPUTED_VALUE"""),1.0)</f>
        <v>1</v>
      </c>
      <c r="E3700" s="2">
        <f>IFERROR(__xludf.DUMMYFUNCTION("""COMPUTED_VALUE"""),25.0)</f>
        <v>25</v>
      </c>
      <c r="F3700" s="2">
        <f>IFERROR(__xludf.DUMMYFUNCTION("""COMPUTED_VALUE"""),4.0)</f>
        <v>4</v>
      </c>
      <c r="G3700" s="2">
        <f>IFERROR(__xludf.DUMMYFUNCTION("""COMPUTED_VALUE"""),6.0)</f>
        <v>6</v>
      </c>
      <c r="H3700" s="2" t="str">
        <f>IFERROR(__xludf.DUMMYFUNCTION("""COMPUTED_VALUE"""),"P. kara")</f>
        <v>P. kara</v>
      </c>
      <c r="I3700" s="2" t="str">
        <f>IFERROR(__xludf.DUMMYFUNCTION("""COMPUTED_VALUE"""),"Brick")</f>
        <v>Brick</v>
      </c>
      <c r="J3700" s="2" t="str">
        <f>IFERROR(__xludf.DUMMYFUNCTION("""COMPUTED_VALUE"""),"All amenities")</f>
        <v>All amenities</v>
      </c>
      <c r="K3700" s="2">
        <f>IFERROR(__xludf.DUMMYFUNCTION("""COMPUTED_VALUE"""),230.0)</f>
        <v>230</v>
      </c>
      <c r="L3700" s="2">
        <f>IFERROR(__xludf.DUMMYFUNCTION("""COMPUTED_VALUE"""),56.9550229)</f>
        <v>56.9550229</v>
      </c>
      <c r="M3700" s="2">
        <f>IFERROR(__xludf.DUMMYFUNCTION("""COMPUTED_VALUE"""),24.1461987)</f>
        <v>24.1461987</v>
      </c>
    </row>
    <row r="3701">
      <c r="A3701" s="2" t="str">
        <f>IFERROR(__xludf.DUMMYFUNCTION("""COMPUTED_VALUE"""),"For sale")</f>
        <v>For sale</v>
      </c>
      <c r="B3701" s="2" t="str">
        <f>IFERROR(__xludf.DUMMYFUNCTION("""COMPUTED_VALUE"""),"Purvciems")</f>
        <v>Purvciems</v>
      </c>
      <c r="C3701" s="2" t="str">
        <f>IFERROR(__xludf.DUMMYFUNCTION("""COMPUTED_VALUE"""),"Žagatu 20a")</f>
        <v>Žagatu 20a</v>
      </c>
      <c r="D3701" s="2">
        <f>IFERROR(__xludf.DUMMYFUNCTION("""COMPUTED_VALUE"""),3.0)</f>
        <v>3</v>
      </c>
      <c r="E3701" s="2">
        <f>IFERROR(__xludf.DUMMYFUNCTION("""COMPUTED_VALUE"""),62.0)</f>
        <v>62</v>
      </c>
      <c r="F3701" s="2">
        <f>IFERROR(__xludf.DUMMYFUNCTION("""COMPUTED_VALUE"""),5.0)</f>
        <v>5</v>
      </c>
      <c r="G3701" s="2">
        <f>IFERROR(__xludf.DUMMYFUNCTION("""COMPUTED_VALUE"""),9.0)</f>
        <v>9</v>
      </c>
      <c r="H3701" s="2">
        <f>IFERROR(__xludf.DUMMYFUNCTION("""COMPUTED_VALUE"""),602.0)</f>
        <v>602</v>
      </c>
      <c r="I3701" s="2" t="str">
        <f>IFERROR(__xludf.DUMMYFUNCTION("""COMPUTED_VALUE"""),"Panel")</f>
        <v>Panel</v>
      </c>
      <c r="J3701" s="2" t="str">
        <f>IFERROR(__xludf.DUMMYFUNCTION("""COMPUTED_VALUE"""),"All amenities")</f>
        <v>All amenities</v>
      </c>
      <c r="K3701" s="2">
        <f>IFERROR(__xludf.DUMMYFUNCTION("""COMPUTED_VALUE"""),55000.0)</f>
        <v>55000</v>
      </c>
      <c r="L3701" s="2">
        <f>IFERROR(__xludf.DUMMYFUNCTION("""COMPUTED_VALUE"""),56.96295835)</f>
        <v>56.96295835</v>
      </c>
      <c r="M3701" s="2">
        <f>IFERROR(__xludf.DUMMYFUNCTION("""COMPUTED_VALUE"""),24.1873444133421)</f>
        <v>24.18734441</v>
      </c>
    </row>
    <row r="3702">
      <c r="A3702" s="2" t="str">
        <f>IFERROR(__xludf.DUMMYFUNCTION("""COMPUTED_VALUE"""),"For sale")</f>
        <v>For sale</v>
      </c>
      <c r="B3702" s="2" t="str">
        <f>IFERROR(__xludf.DUMMYFUNCTION("""COMPUTED_VALUE"""),"Dārzciems")</f>
        <v>Dārzciems</v>
      </c>
      <c r="C3702" s="2" t="str">
        <f>IFERROR(__xludf.DUMMYFUNCTION("""COMPUTED_VALUE"""),"Ļaudonas 1")</f>
        <v>Ļaudonas 1</v>
      </c>
      <c r="D3702" s="2">
        <f>IFERROR(__xludf.DUMMYFUNCTION("""COMPUTED_VALUE"""),2.0)</f>
        <v>2</v>
      </c>
      <c r="E3702" s="2">
        <f>IFERROR(__xludf.DUMMYFUNCTION("""COMPUTED_VALUE"""),132.0)</f>
        <v>132</v>
      </c>
      <c r="F3702" s="2">
        <f>IFERROR(__xludf.DUMMYFUNCTION("""COMPUTED_VALUE"""),2.0)</f>
        <v>2</v>
      </c>
      <c r="G3702" s="2">
        <f>IFERROR(__xludf.DUMMYFUNCTION("""COMPUTED_VALUE"""),2.0)</f>
        <v>2</v>
      </c>
      <c r="H3702" s="2" t="str">
        <f>IFERROR(__xludf.DUMMYFUNCTION("""COMPUTED_VALUE"""),"Jaun.")</f>
        <v>Jaun.</v>
      </c>
      <c r="I3702" s="2" t="str">
        <f>IFERROR(__xludf.DUMMYFUNCTION("""COMPUTED_VALUE"""),"Brick-Panel")</f>
        <v>Brick-Panel</v>
      </c>
      <c r="J3702" s="2" t="str">
        <f>IFERROR(__xludf.DUMMYFUNCTION("""COMPUTED_VALUE"""),"All amenities")</f>
        <v>All amenities</v>
      </c>
      <c r="K3702" s="2">
        <f>IFERROR(__xludf.DUMMYFUNCTION("""COMPUTED_VALUE"""),99000.0)</f>
        <v>99000</v>
      </c>
      <c r="L3702" s="2">
        <f>IFERROR(__xludf.DUMMYFUNCTION("""COMPUTED_VALUE"""),56.9342970999999)</f>
        <v>56.9342971</v>
      </c>
      <c r="M3702" s="2">
        <f>IFERROR(__xludf.DUMMYFUNCTION("""COMPUTED_VALUE"""),24.1847458840766)</f>
        <v>24.18474588</v>
      </c>
    </row>
    <row r="3703">
      <c r="A3703" s="2" t="str">
        <f>IFERROR(__xludf.DUMMYFUNCTION("""COMPUTED_VALUE"""),"For sale")</f>
        <v>For sale</v>
      </c>
      <c r="B3703" s="2" t="str">
        <f>IFERROR(__xludf.DUMMYFUNCTION("""COMPUTED_VALUE"""),"Teika")</f>
        <v>Teika</v>
      </c>
      <c r="C3703" s="2" t="str">
        <f>IFERROR(__xludf.DUMMYFUNCTION("""COMPUTED_VALUE"""),"Vidrižu 1.c")</f>
        <v>Vidrižu 1.c</v>
      </c>
      <c r="D3703" s="2">
        <f>IFERROR(__xludf.DUMMYFUNCTION("""COMPUTED_VALUE"""),3.0)</f>
        <v>3</v>
      </c>
      <c r="E3703" s="2">
        <f>IFERROR(__xludf.DUMMYFUNCTION("""COMPUTED_VALUE"""),72.0)</f>
        <v>72</v>
      </c>
      <c r="F3703" s="2">
        <f>IFERROR(__xludf.DUMMYFUNCTION("""COMPUTED_VALUE"""),1.0)</f>
        <v>1</v>
      </c>
      <c r="G3703" s="2">
        <f>IFERROR(__xludf.DUMMYFUNCTION("""COMPUTED_VALUE"""),7.0)</f>
        <v>7</v>
      </c>
      <c r="H3703" s="2" t="str">
        <f>IFERROR(__xludf.DUMMYFUNCTION("""COMPUTED_VALUE"""),"Specpr.")</f>
        <v>Specpr.</v>
      </c>
      <c r="I3703" s="2" t="str">
        <f>IFERROR(__xludf.DUMMYFUNCTION("""COMPUTED_VALUE"""),"Brick-Panel")</f>
        <v>Brick-Panel</v>
      </c>
      <c r="J3703" s="2" t="str">
        <f>IFERROR(__xludf.DUMMYFUNCTION("""COMPUTED_VALUE"""),"All amenities")</f>
        <v>All amenities</v>
      </c>
      <c r="K3703" s="2">
        <f>IFERROR(__xludf.DUMMYFUNCTION("""COMPUTED_VALUE"""),83000.0)</f>
        <v>83000</v>
      </c>
      <c r="L3703" s="2">
        <f>IFERROR(__xludf.DUMMYFUNCTION("""COMPUTED_VALUE"""),56.977035)</f>
        <v>56.977035</v>
      </c>
      <c r="M3703" s="2">
        <f>IFERROR(__xludf.DUMMYFUNCTION("""COMPUTED_VALUE"""),24.1783728)</f>
        <v>24.1783728</v>
      </c>
    </row>
    <row r="3704">
      <c r="A3704" s="2" t="str">
        <f>IFERROR(__xludf.DUMMYFUNCTION("""COMPUTED_VALUE"""),"For sale")</f>
        <v>For sale</v>
      </c>
      <c r="B3704" s="2" t="str">
        <f>IFERROR(__xludf.DUMMYFUNCTION("""COMPUTED_VALUE"""),"Jugla")</f>
        <v>Jugla</v>
      </c>
      <c r="C3704" s="2" t="str">
        <f>IFERROR(__xludf.DUMMYFUNCTION("""COMPUTED_VALUE"""),"Silciema 7")</f>
        <v>Silciema 7</v>
      </c>
      <c r="D3704" s="2">
        <f>IFERROR(__xludf.DUMMYFUNCTION("""COMPUTED_VALUE"""),2.0)</f>
        <v>2</v>
      </c>
      <c r="E3704" s="2">
        <f>IFERROR(__xludf.DUMMYFUNCTION("""COMPUTED_VALUE"""),44.0)</f>
        <v>44</v>
      </c>
      <c r="F3704" s="2">
        <f>IFERROR(__xludf.DUMMYFUNCTION("""COMPUTED_VALUE"""),4.0)</f>
        <v>4</v>
      </c>
      <c r="G3704" s="2">
        <f>IFERROR(__xludf.DUMMYFUNCTION("""COMPUTED_VALUE"""),5.0)</f>
        <v>5</v>
      </c>
      <c r="H3704" s="2" t="str">
        <f>IFERROR(__xludf.DUMMYFUNCTION("""COMPUTED_VALUE"""),"Hrušč.")</f>
        <v>Hrušč.</v>
      </c>
      <c r="I3704" s="2" t="str">
        <f>IFERROR(__xludf.DUMMYFUNCTION("""COMPUTED_VALUE"""),"Panel")</f>
        <v>Panel</v>
      </c>
      <c r="J3704" s="2" t="str">
        <f>IFERROR(__xludf.DUMMYFUNCTION("""COMPUTED_VALUE"""),"All amenities")</f>
        <v>All amenities</v>
      </c>
      <c r="K3704" s="2">
        <f>IFERROR(__xludf.DUMMYFUNCTION("""COMPUTED_VALUE"""),47500.0)</f>
        <v>47500</v>
      </c>
      <c r="L3704" s="2">
        <f>IFERROR(__xludf.DUMMYFUNCTION("""COMPUTED_VALUE"""),56.98755415)</f>
        <v>56.98755415</v>
      </c>
      <c r="M3704" s="2">
        <f>IFERROR(__xludf.DUMMYFUNCTION("""COMPUTED_VALUE"""),24.2387092145689)</f>
        <v>24.23870921</v>
      </c>
    </row>
    <row r="3705">
      <c r="A3705" s="2" t="str">
        <f>IFERROR(__xludf.DUMMYFUNCTION("""COMPUTED_VALUE"""),"For sale")</f>
        <v>For sale</v>
      </c>
      <c r="B3705" s="2" t="str">
        <f>IFERROR(__xludf.DUMMYFUNCTION("""COMPUTED_VALUE"""),"Ķengarags")</f>
        <v>Ķengarags</v>
      </c>
      <c r="C3705" s="2" t="str">
        <f>IFERROR(__xludf.DUMMYFUNCTION("""COMPUTED_VALUE"""),"Prūšu 22")</f>
        <v>Prūšu 22</v>
      </c>
      <c r="D3705" s="2">
        <f>IFERROR(__xludf.DUMMYFUNCTION("""COMPUTED_VALUE"""),2.0)</f>
        <v>2</v>
      </c>
      <c r="E3705" s="2">
        <f>IFERROR(__xludf.DUMMYFUNCTION("""COMPUTED_VALUE"""),42.0)</f>
        <v>42</v>
      </c>
      <c r="F3705" s="2">
        <f>IFERROR(__xludf.DUMMYFUNCTION("""COMPUTED_VALUE"""),3.0)</f>
        <v>3</v>
      </c>
      <c r="G3705" s="2">
        <f>IFERROR(__xludf.DUMMYFUNCTION("""COMPUTED_VALUE"""),5.0)</f>
        <v>5</v>
      </c>
      <c r="H3705" s="2" t="str">
        <f>IFERROR(__xludf.DUMMYFUNCTION("""COMPUTED_VALUE"""),"Hrušč.")</f>
        <v>Hrušč.</v>
      </c>
      <c r="I3705" s="2" t="str">
        <f>IFERROR(__xludf.DUMMYFUNCTION("""COMPUTED_VALUE"""),"Brick")</f>
        <v>Brick</v>
      </c>
      <c r="J3705" s="2" t="str">
        <f>IFERROR(__xludf.DUMMYFUNCTION("""COMPUTED_VALUE"""),"All amenities")</f>
        <v>All amenities</v>
      </c>
      <c r="K3705" s="2">
        <f>IFERROR(__xludf.DUMMYFUNCTION("""COMPUTED_VALUE"""),46500.0)</f>
        <v>46500</v>
      </c>
      <c r="L3705" s="2">
        <f>IFERROR(__xludf.DUMMYFUNCTION("""COMPUTED_VALUE"""),56.9134761)</f>
        <v>56.9134761</v>
      </c>
      <c r="M3705" s="2">
        <f>IFERROR(__xludf.DUMMYFUNCTION("""COMPUTED_VALUE"""),24.18677075)</f>
        <v>24.18677075</v>
      </c>
    </row>
    <row r="3706">
      <c r="A3706" s="2" t="str">
        <f>IFERROR(__xludf.DUMMYFUNCTION("""COMPUTED_VALUE"""),"For rent")</f>
        <v>For rent</v>
      </c>
      <c r="B3706" s="2" t="str">
        <f>IFERROR(__xludf.DUMMYFUNCTION("""COMPUTED_VALUE"""),"centrs")</f>
        <v>centrs</v>
      </c>
      <c r="C3706" s="2" t="str">
        <f>IFERROR(__xludf.DUMMYFUNCTION("""COMPUTED_VALUE"""),"Sadovņikova 47")</f>
        <v>Sadovņikova 47</v>
      </c>
      <c r="D3706" s="2">
        <f>IFERROR(__xludf.DUMMYFUNCTION("""COMPUTED_VALUE"""),1.0)</f>
        <v>1</v>
      </c>
      <c r="E3706" s="2">
        <f>IFERROR(__xludf.DUMMYFUNCTION("""COMPUTED_VALUE"""),30.0)</f>
        <v>30</v>
      </c>
      <c r="F3706" s="2">
        <f>IFERROR(__xludf.DUMMYFUNCTION("""COMPUTED_VALUE"""),2.0)</f>
        <v>2</v>
      </c>
      <c r="G3706" s="2">
        <f>IFERROR(__xludf.DUMMYFUNCTION("""COMPUTED_VALUE"""),5.0)</f>
        <v>5</v>
      </c>
      <c r="H3706" s="2" t="str">
        <f>IFERROR(__xludf.DUMMYFUNCTION("""COMPUTED_VALUE"""),"Renov.")</f>
        <v>Renov.</v>
      </c>
      <c r="I3706" s="2" t="str">
        <f>IFERROR(__xludf.DUMMYFUNCTION("""COMPUTED_VALUE"""),"Brick")</f>
        <v>Brick</v>
      </c>
      <c r="J3706" s="2" t="str">
        <f>IFERROR(__xludf.DUMMYFUNCTION("""COMPUTED_VALUE"""),"All amenities")</f>
        <v>All amenities</v>
      </c>
      <c r="K3706" s="2">
        <f>IFERROR(__xludf.DUMMYFUNCTION("""COMPUTED_VALUE"""),250.0)</f>
        <v>250</v>
      </c>
      <c r="L3706" s="2">
        <f>IFERROR(__xludf.DUMMYFUNCTION("""COMPUTED_VALUE"""),56.9408555)</f>
        <v>56.9408555</v>
      </c>
      <c r="M3706" s="2">
        <f>IFERROR(__xludf.DUMMYFUNCTION("""COMPUTED_VALUE"""),24.1364923)</f>
        <v>24.1364923</v>
      </c>
    </row>
    <row r="3707">
      <c r="A3707" s="2" t="str">
        <f>IFERROR(__xludf.DUMMYFUNCTION("""COMPUTED_VALUE"""),"For rent")</f>
        <v>For rent</v>
      </c>
      <c r="B3707" s="2" t="str">
        <f>IFERROR(__xludf.DUMMYFUNCTION("""COMPUTED_VALUE"""),"Krasta r-ns")</f>
        <v>Krasta r-ns</v>
      </c>
      <c r="C3707" s="2" t="str">
        <f>IFERROR(__xludf.DUMMYFUNCTION("""COMPUTED_VALUE"""),"Salacas 1")</f>
        <v>Salacas 1</v>
      </c>
      <c r="D3707" s="2">
        <f>IFERROR(__xludf.DUMMYFUNCTION("""COMPUTED_VALUE"""),1.0)</f>
        <v>1</v>
      </c>
      <c r="E3707" s="2">
        <f>IFERROR(__xludf.DUMMYFUNCTION("""COMPUTED_VALUE"""),30.0)</f>
        <v>30</v>
      </c>
      <c r="F3707" s="2">
        <f>IFERROR(__xludf.DUMMYFUNCTION("""COMPUTED_VALUE"""),3.0)</f>
        <v>3</v>
      </c>
      <c r="G3707" s="2">
        <f>IFERROR(__xludf.DUMMYFUNCTION("""COMPUTED_VALUE"""),4.0)</f>
        <v>4</v>
      </c>
      <c r="H3707" s="2" t="str">
        <f>IFERROR(__xludf.DUMMYFUNCTION("""COMPUTED_VALUE"""),"Renov.")</f>
        <v>Renov.</v>
      </c>
      <c r="I3707" s="2" t="str">
        <f>IFERROR(__xludf.DUMMYFUNCTION("""COMPUTED_VALUE"""),"Brick")</f>
        <v>Brick</v>
      </c>
      <c r="J3707" s="2" t="str">
        <f>IFERROR(__xludf.DUMMYFUNCTION("""COMPUTED_VALUE"""),"All amenities")</f>
        <v>All amenities</v>
      </c>
      <c r="K3707" s="2">
        <f>IFERROR(__xludf.DUMMYFUNCTION("""COMPUTED_VALUE"""),35.0)</f>
        <v>35</v>
      </c>
      <c r="L3707" s="2">
        <f>IFERROR(__xludf.DUMMYFUNCTION("""COMPUTED_VALUE"""),56.93045135)</f>
        <v>56.93045135</v>
      </c>
      <c r="M3707" s="2">
        <f>IFERROR(__xludf.DUMMYFUNCTION("""COMPUTED_VALUE"""),24.1685884402146)</f>
        <v>24.16858844</v>
      </c>
    </row>
    <row r="3708">
      <c r="A3708" s="2" t="str">
        <f>IFERROR(__xludf.DUMMYFUNCTION("""COMPUTED_VALUE"""),"For sale")</f>
        <v>For sale</v>
      </c>
      <c r="B3708" s="2" t="str">
        <f>IFERROR(__xludf.DUMMYFUNCTION("""COMPUTED_VALUE"""),"Ziepniekkalns")</f>
        <v>Ziepniekkalns</v>
      </c>
      <c r="C3708" s="2" t="str">
        <f>IFERROR(__xludf.DUMMYFUNCTION("""COMPUTED_VALUE"""),"Tadaiķu 8/2")</f>
        <v>Tadaiķu 8/2</v>
      </c>
      <c r="D3708" s="2">
        <f>IFERROR(__xludf.DUMMYFUNCTION("""COMPUTED_VALUE"""),2.0)</f>
        <v>2</v>
      </c>
      <c r="E3708" s="2">
        <f>IFERROR(__xludf.DUMMYFUNCTION("""COMPUTED_VALUE"""),30.0)</f>
        <v>30</v>
      </c>
      <c r="F3708" s="2">
        <f>IFERROR(__xludf.DUMMYFUNCTION("""COMPUTED_VALUE"""),3.0)</f>
        <v>3</v>
      </c>
      <c r="G3708" s="2">
        <f>IFERROR(__xludf.DUMMYFUNCTION("""COMPUTED_VALUE"""),3.0)</f>
        <v>3</v>
      </c>
      <c r="H3708" s="2" t="str">
        <f>IFERROR(__xludf.DUMMYFUNCTION("""COMPUTED_VALUE"""),"Hrušč.")</f>
        <v>Hrušč.</v>
      </c>
      <c r="I3708" s="2" t="str">
        <f>IFERROR(__xludf.DUMMYFUNCTION("""COMPUTED_VALUE"""),"Brick")</f>
        <v>Brick</v>
      </c>
      <c r="J3708" s="2" t="str">
        <f>IFERROR(__xludf.DUMMYFUNCTION("""COMPUTED_VALUE"""),"All amenities")</f>
        <v>All amenities</v>
      </c>
      <c r="K3708" s="2">
        <f>IFERROR(__xludf.DUMMYFUNCTION("""COMPUTED_VALUE"""),29000.0)</f>
        <v>29000</v>
      </c>
      <c r="L3708" s="2">
        <f>IFERROR(__xludf.DUMMYFUNCTION("""COMPUTED_VALUE"""),56.9159682)</f>
        <v>56.9159682</v>
      </c>
      <c r="M3708" s="2">
        <f>IFERROR(__xludf.DUMMYFUNCTION("""COMPUTED_VALUE"""),24.093354)</f>
        <v>24.093354</v>
      </c>
    </row>
    <row r="3709">
      <c r="A3709" s="2" t="str">
        <f>IFERROR(__xludf.DUMMYFUNCTION("""COMPUTED_VALUE"""),"For rent")</f>
        <v>For rent</v>
      </c>
      <c r="B3709" s="2" t="str">
        <f>IFERROR(__xludf.DUMMYFUNCTION("""COMPUTED_VALUE"""),"centrs")</f>
        <v>centrs</v>
      </c>
      <c r="C3709" s="2" t="str">
        <f>IFERROR(__xludf.DUMMYFUNCTION("""COMPUTED_VALUE"""),"J. Daliņa 2")</f>
        <v>J. Daliņa 2</v>
      </c>
      <c r="D3709" s="2">
        <f>IFERROR(__xludf.DUMMYFUNCTION("""COMPUTED_VALUE"""),2.0)</f>
        <v>2</v>
      </c>
      <c r="E3709" s="2">
        <f>IFERROR(__xludf.DUMMYFUNCTION("""COMPUTED_VALUE"""),39.0)</f>
        <v>39</v>
      </c>
      <c r="F3709" s="2">
        <f>IFERROR(__xludf.DUMMYFUNCTION("""COMPUTED_VALUE"""),1.0)</f>
        <v>1</v>
      </c>
      <c r="G3709" s="2">
        <f>IFERROR(__xludf.DUMMYFUNCTION("""COMPUTED_VALUE"""),5.0)</f>
        <v>5</v>
      </c>
      <c r="H3709" s="2" t="str">
        <f>IFERROR(__xludf.DUMMYFUNCTION("""COMPUTED_VALUE"""),"LT proj.")</f>
        <v>LT proj.</v>
      </c>
      <c r="I3709" s="2" t="str">
        <f>IFERROR(__xludf.DUMMYFUNCTION("""COMPUTED_VALUE"""),"Masonry")</f>
        <v>Masonry</v>
      </c>
      <c r="J3709" s="2" t="str">
        <f>IFERROR(__xludf.DUMMYFUNCTION("""COMPUTED_VALUE"""),"All amenities")</f>
        <v>All amenities</v>
      </c>
      <c r="K3709" s="2">
        <f>IFERROR(__xludf.DUMMYFUNCTION("""COMPUTED_VALUE"""),500.0)</f>
        <v>500</v>
      </c>
      <c r="L3709" s="2" t="str">
        <f>IFERROR(__xludf.DUMMYFUNCTION("""COMPUTED_VALUE"""),"NaN")</f>
        <v>NaN</v>
      </c>
      <c r="M3709" s="2" t="str">
        <f>IFERROR(__xludf.DUMMYFUNCTION("""COMPUTED_VALUE"""),"NaN")</f>
        <v>NaN</v>
      </c>
    </row>
    <row r="3710">
      <c r="A3710" s="2" t="str">
        <f>IFERROR(__xludf.DUMMYFUNCTION("""COMPUTED_VALUE"""),"For sale")</f>
        <v>For sale</v>
      </c>
      <c r="B3710" s="2" t="str">
        <f>IFERROR(__xludf.DUMMYFUNCTION("""COMPUTED_VALUE"""),"Āgenskalns")</f>
        <v>Āgenskalns</v>
      </c>
      <c r="C3710" s="2" t="str">
        <f>IFERROR(__xludf.DUMMYFUNCTION("""COMPUTED_VALUE"""),"Alīses 5")</f>
        <v>Alīses 5</v>
      </c>
      <c r="D3710" s="2">
        <f>IFERROR(__xludf.DUMMYFUNCTION("""COMPUTED_VALUE"""),2.0)</f>
        <v>2</v>
      </c>
      <c r="E3710" s="2">
        <f>IFERROR(__xludf.DUMMYFUNCTION("""COMPUTED_VALUE"""),71.0)</f>
        <v>71</v>
      </c>
      <c r="F3710" s="2">
        <f>IFERROR(__xludf.DUMMYFUNCTION("""COMPUTED_VALUE"""),1.0)</f>
        <v>1</v>
      </c>
      <c r="G3710" s="2">
        <f>IFERROR(__xludf.DUMMYFUNCTION("""COMPUTED_VALUE"""),5.0)</f>
        <v>5</v>
      </c>
      <c r="H3710" s="2" t="str">
        <f>IFERROR(__xludf.DUMMYFUNCTION("""COMPUTED_VALUE"""),"Renov.")</f>
        <v>Renov.</v>
      </c>
      <c r="I3710" s="2" t="str">
        <f>IFERROR(__xludf.DUMMYFUNCTION("""COMPUTED_VALUE"""),"Masonry")</f>
        <v>Masonry</v>
      </c>
      <c r="J3710" s="2" t="str">
        <f>IFERROR(__xludf.DUMMYFUNCTION("""COMPUTED_VALUE"""),"All amenities")</f>
        <v>All amenities</v>
      </c>
      <c r="K3710" s="2">
        <f>IFERROR(__xludf.DUMMYFUNCTION("""COMPUTED_VALUE"""),83800.0)</f>
        <v>83800</v>
      </c>
      <c r="L3710" s="2">
        <f>IFERROR(__xludf.DUMMYFUNCTION("""COMPUTED_VALUE"""),56.9452001)</f>
        <v>56.9452001</v>
      </c>
      <c r="M3710" s="2">
        <f>IFERROR(__xludf.DUMMYFUNCTION("""COMPUTED_VALUE"""),24.0689877912799)</f>
        <v>24.06898779</v>
      </c>
    </row>
    <row r="3711">
      <c r="A3711" s="2" t="str">
        <f>IFERROR(__xludf.DUMMYFUNCTION("""COMPUTED_VALUE"""),"For sale")</f>
        <v>For sale</v>
      </c>
      <c r="B3711" s="2" t="str">
        <f>IFERROR(__xludf.DUMMYFUNCTION("""COMPUTED_VALUE"""),"Ķengarags")</f>
        <v>Ķengarags</v>
      </c>
      <c r="C3711" s="2" t="str">
        <f>IFERROR(__xludf.DUMMYFUNCTION("""COMPUTED_VALUE"""),"Maskavas 252k5")</f>
        <v>Maskavas 252k5</v>
      </c>
      <c r="D3711" s="2">
        <f>IFERROR(__xludf.DUMMYFUNCTION("""COMPUTED_VALUE"""),2.0)</f>
        <v>2</v>
      </c>
      <c r="E3711" s="2">
        <f>IFERROR(__xludf.DUMMYFUNCTION("""COMPUTED_VALUE"""),48.0)</f>
        <v>48</v>
      </c>
      <c r="F3711" s="2">
        <f>IFERROR(__xludf.DUMMYFUNCTION("""COMPUTED_VALUE"""),3.0)</f>
        <v>3</v>
      </c>
      <c r="G3711" s="2">
        <f>IFERROR(__xludf.DUMMYFUNCTION("""COMPUTED_VALUE"""),5.0)</f>
        <v>5</v>
      </c>
      <c r="H3711" s="2" t="str">
        <f>IFERROR(__xludf.DUMMYFUNCTION("""COMPUTED_VALUE"""),"LT proj.")</f>
        <v>LT proj.</v>
      </c>
      <c r="I3711" s="2" t="str">
        <f>IFERROR(__xludf.DUMMYFUNCTION("""COMPUTED_VALUE"""),"Panel")</f>
        <v>Panel</v>
      </c>
      <c r="J3711" s="2" t="str">
        <f>IFERROR(__xludf.DUMMYFUNCTION("""COMPUTED_VALUE"""),"All amenities")</f>
        <v>All amenities</v>
      </c>
      <c r="K3711" s="2">
        <f>IFERROR(__xludf.DUMMYFUNCTION("""COMPUTED_VALUE"""),34999.0)</f>
        <v>34999</v>
      </c>
      <c r="L3711" s="2" t="str">
        <f>IFERROR(__xludf.DUMMYFUNCTION("""COMPUTED_VALUE"""),"NaN")</f>
        <v>NaN</v>
      </c>
      <c r="M3711" s="2" t="str">
        <f>IFERROR(__xludf.DUMMYFUNCTION("""COMPUTED_VALUE"""),"NaN")</f>
        <v>NaN</v>
      </c>
    </row>
    <row r="3712">
      <c r="A3712" s="2" t="str">
        <f>IFERROR(__xludf.DUMMYFUNCTION("""COMPUTED_VALUE"""),"For sale")</f>
        <v>For sale</v>
      </c>
      <c r="B3712" s="2" t="str">
        <f>IFERROR(__xludf.DUMMYFUNCTION("""COMPUTED_VALUE"""),"Purvciems")</f>
        <v>Purvciems</v>
      </c>
      <c r="C3712" s="2" t="str">
        <f>IFERROR(__xludf.DUMMYFUNCTION("""COMPUTED_VALUE"""),"Burtnieku 33")</f>
        <v>Burtnieku 33</v>
      </c>
      <c r="D3712" s="2">
        <f>IFERROR(__xludf.DUMMYFUNCTION("""COMPUTED_VALUE"""),1.0)</f>
        <v>1</v>
      </c>
      <c r="E3712" s="2">
        <f>IFERROR(__xludf.DUMMYFUNCTION("""COMPUTED_VALUE"""),19.0)</f>
        <v>19</v>
      </c>
      <c r="F3712" s="2">
        <f>IFERROR(__xludf.DUMMYFUNCTION("""COMPUTED_VALUE"""),3.0)</f>
        <v>3</v>
      </c>
      <c r="G3712" s="2">
        <f>IFERROR(__xludf.DUMMYFUNCTION("""COMPUTED_VALUE"""),5.0)</f>
        <v>5</v>
      </c>
      <c r="H3712" s="2" t="str">
        <f>IFERROR(__xludf.DUMMYFUNCTION("""COMPUTED_VALUE"""),"M. ģim.")</f>
        <v>M. ģim.</v>
      </c>
      <c r="I3712" s="2" t="str">
        <f>IFERROR(__xludf.DUMMYFUNCTION("""COMPUTED_VALUE"""),"Brick")</f>
        <v>Brick</v>
      </c>
      <c r="J3712" s="2" t="str">
        <f>IFERROR(__xludf.DUMMYFUNCTION("""COMPUTED_VALUE"""),"All amenities")</f>
        <v>All amenities</v>
      </c>
      <c r="K3712" s="2">
        <f>IFERROR(__xludf.DUMMYFUNCTION("""COMPUTED_VALUE"""),19900.0)</f>
        <v>19900</v>
      </c>
      <c r="L3712" s="2">
        <f>IFERROR(__xludf.DUMMYFUNCTION("""COMPUTED_VALUE"""),56.9685701)</f>
        <v>56.9685701</v>
      </c>
      <c r="M3712" s="2">
        <f>IFERROR(__xludf.DUMMYFUNCTION("""COMPUTED_VALUE"""),24.1819824)</f>
        <v>24.1819824</v>
      </c>
    </row>
    <row r="3713">
      <c r="A3713" s="2" t="str">
        <f>IFERROR(__xludf.DUMMYFUNCTION("""COMPUTED_VALUE"""),"For rent")</f>
        <v>For rent</v>
      </c>
      <c r="B3713" s="2" t="str">
        <f>IFERROR(__xludf.DUMMYFUNCTION("""COMPUTED_VALUE"""),"centrs")</f>
        <v>centrs</v>
      </c>
      <c r="C3713" s="2" t="str">
        <f>IFERROR(__xludf.DUMMYFUNCTION("""COMPUTED_VALUE"""),"Valdemāra 106")</f>
        <v>Valdemāra 106</v>
      </c>
      <c r="D3713" s="2">
        <f>IFERROR(__xludf.DUMMYFUNCTION("""COMPUTED_VALUE"""),3.0)</f>
        <v>3</v>
      </c>
      <c r="E3713" s="2">
        <f>IFERROR(__xludf.DUMMYFUNCTION("""COMPUTED_VALUE"""),87.0)</f>
        <v>87</v>
      </c>
      <c r="F3713" s="2">
        <f>IFERROR(__xludf.DUMMYFUNCTION("""COMPUTED_VALUE"""),2.0)</f>
        <v>2</v>
      </c>
      <c r="G3713" s="2">
        <f>IFERROR(__xludf.DUMMYFUNCTION("""COMPUTED_VALUE"""),6.0)</f>
        <v>6</v>
      </c>
      <c r="H3713" s="2" t="str">
        <f>IFERROR(__xludf.DUMMYFUNCTION("""COMPUTED_VALUE"""),"Staļina")</f>
        <v>Staļina</v>
      </c>
      <c r="I3713" s="2" t="str">
        <f>IFERROR(__xludf.DUMMYFUNCTION("""COMPUTED_VALUE"""),"Masonry")</f>
        <v>Masonry</v>
      </c>
      <c r="J3713" s="2" t="str">
        <f>IFERROR(__xludf.DUMMYFUNCTION("""COMPUTED_VALUE"""),"All amenities")</f>
        <v>All amenities</v>
      </c>
      <c r="K3713" s="2">
        <f>IFERROR(__xludf.DUMMYFUNCTION("""COMPUTED_VALUE"""),700.0)</f>
        <v>700</v>
      </c>
      <c r="L3713" s="2">
        <f>IFERROR(__xludf.DUMMYFUNCTION("""COMPUTED_VALUE"""),56.9717941)</f>
        <v>56.9717941</v>
      </c>
      <c r="M3713" s="2">
        <f>IFERROR(__xludf.DUMMYFUNCTION("""COMPUTED_VALUE"""),24.134779)</f>
        <v>24.134779</v>
      </c>
    </row>
    <row r="3714">
      <c r="A3714" s="2" t="str">
        <f>IFERROR(__xludf.DUMMYFUNCTION("""COMPUTED_VALUE"""),"For rent")</f>
        <v>For rent</v>
      </c>
      <c r="B3714" s="2" t="str">
        <f>IFERROR(__xludf.DUMMYFUNCTION("""COMPUTED_VALUE"""),"centrs")</f>
        <v>centrs</v>
      </c>
      <c r="C3714" s="2" t="str">
        <f>IFERROR(__xludf.DUMMYFUNCTION("""COMPUTED_VALUE"""),"Valdemāra 83")</f>
        <v>Valdemāra 83</v>
      </c>
      <c r="D3714" s="2">
        <f>IFERROR(__xludf.DUMMYFUNCTION("""COMPUTED_VALUE"""),2.0)</f>
        <v>2</v>
      </c>
      <c r="E3714" s="2">
        <f>IFERROR(__xludf.DUMMYFUNCTION("""COMPUTED_VALUE"""),43.0)</f>
        <v>43</v>
      </c>
      <c r="F3714" s="2">
        <f>IFERROR(__xludf.DUMMYFUNCTION("""COMPUTED_VALUE"""),7.0)</f>
        <v>7</v>
      </c>
      <c r="G3714" s="2">
        <f>IFERROR(__xludf.DUMMYFUNCTION("""COMPUTED_VALUE"""),7.0)</f>
        <v>7</v>
      </c>
      <c r="H3714" s="2" t="str">
        <f>IFERROR(__xludf.DUMMYFUNCTION("""COMPUTED_VALUE"""),"Renov.")</f>
        <v>Renov.</v>
      </c>
      <c r="I3714" s="2" t="str">
        <f>IFERROR(__xludf.DUMMYFUNCTION("""COMPUTED_VALUE"""),"Brick")</f>
        <v>Brick</v>
      </c>
      <c r="J3714" s="2" t="str">
        <f>IFERROR(__xludf.DUMMYFUNCTION("""COMPUTED_VALUE"""),"All amenities")</f>
        <v>All amenities</v>
      </c>
      <c r="K3714" s="2">
        <f>IFERROR(__xludf.DUMMYFUNCTION("""COMPUTED_VALUE"""),550.0)</f>
        <v>550</v>
      </c>
      <c r="L3714" s="2">
        <f>IFERROR(__xludf.DUMMYFUNCTION("""COMPUTED_VALUE"""),56.9634352)</f>
        <v>56.9634352</v>
      </c>
      <c r="M3714" s="2">
        <f>IFERROR(__xludf.DUMMYFUNCTION("""COMPUTED_VALUE"""),24.125212429824)</f>
        <v>24.12521243</v>
      </c>
    </row>
    <row r="3715">
      <c r="A3715" s="2" t="str">
        <f>IFERROR(__xludf.DUMMYFUNCTION("""COMPUTED_VALUE"""),"For rent")</f>
        <v>For rent</v>
      </c>
      <c r="B3715" s="2" t="str">
        <f>IFERROR(__xludf.DUMMYFUNCTION("""COMPUTED_VALUE"""),"Grīziņkalns")</f>
        <v>Grīziņkalns</v>
      </c>
      <c r="C3715" s="2" t="str">
        <f>IFERROR(__xludf.DUMMYFUNCTION("""COMPUTED_VALUE"""),"Rūdolfa 1")</f>
        <v>Rūdolfa 1</v>
      </c>
      <c r="D3715" s="2">
        <f>IFERROR(__xludf.DUMMYFUNCTION("""COMPUTED_VALUE"""),2.0)</f>
        <v>2</v>
      </c>
      <c r="E3715" s="2">
        <f>IFERROR(__xludf.DUMMYFUNCTION("""COMPUTED_VALUE"""),42.0)</f>
        <v>42</v>
      </c>
      <c r="F3715" s="2">
        <f>IFERROR(__xludf.DUMMYFUNCTION("""COMPUTED_VALUE"""),2.0)</f>
        <v>2</v>
      </c>
      <c r="G3715" s="2">
        <f>IFERROR(__xludf.DUMMYFUNCTION("""COMPUTED_VALUE"""),5.0)</f>
        <v>5</v>
      </c>
      <c r="H3715" s="2" t="str">
        <f>IFERROR(__xludf.DUMMYFUNCTION("""COMPUTED_VALUE"""),"Renov.")</f>
        <v>Renov.</v>
      </c>
      <c r="I3715" s="2" t="str">
        <f>IFERROR(__xludf.DUMMYFUNCTION("""COMPUTED_VALUE"""),"Masonry")</f>
        <v>Masonry</v>
      </c>
      <c r="J3715" s="2" t="str">
        <f>IFERROR(__xludf.DUMMYFUNCTION("""COMPUTED_VALUE"""),"All amenities")</f>
        <v>All amenities</v>
      </c>
      <c r="K3715" s="2">
        <f>IFERROR(__xludf.DUMMYFUNCTION("""COMPUTED_VALUE"""),30.0)</f>
        <v>30</v>
      </c>
      <c r="L3715" s="2">
        <f>IFERROR(__xludf.DUMMYFUNCTION("""COMPUTED_VALUE"""),56.9620223999999)</f>
        <v>56.9620224</v>
      </c>
      <c r="M3715" s="2">
        <f>IFERROR(__xludf.DUMMYFUNCTION("""COMPUTED_VALUE"""),24.1521939477261)</f>
        <v>24.15219395</v>
      </c>
    </row>
    <row r="3716">
      <c r="A3716" s="2" t="str">
        <f>IFERROR(__xludf.DUMMYFUNCTION("""COMPUTED_VALUE"""),"For rent")</f>
        <v>For rent</v>
      </c>
      <c r="B3716" s="2" t="str">
        <f>IFERROR(__xludf.DUMMYFUNCTION("""COMPUTED_VALUE"""),"centrs")</f>
        <v>centrs</v>
      </c>
      <c r="C3716" s="2" t="str">
        <f>IFERROR(__xludf.DUMMYFUNCTION("""COMPUTED_VALUE"""),"Lāčplēša 48")</f>
        <v>Lāčplēša 48</v>
      </c>
      <c r="D3716" s="2">
        <f>IFERROR(__xludf.DUMMYFUNCTION("""COMPUTED_VALUE"""),2.0)</f>
        <v>2</v>
      </c>
      <c r="E3716" s="2">
        <f>IFERROR(__xludf.DUMMYFUNCTION("""COMPUTED_VALUE"""),52.0)</f>
        <v>52</v>
      </c>
      <c r="F3716" s="2">
        <f>IFERROR(__xludf.DUMMYFUNCTION("""COMPUTED_VALUE"""),2.0)</f>
        <v>2</v>
      </c>
      <c r="G3716" s="2">
        <f>IFERROR(__xludf.DUMMYFUNCTION("""COMPUTED_VALUE"""),6.0)</f>
        <v>6</v>
      </c>
      <c r="H3716" s="2" t="str">
        <f>IFERROR(__xludf.DUMMYFUNCTION("""COMPUTED_VALUE"""),"Renov.")</f>
        <v>Renov.</v>
      </c>
      <c r="I3716" s="2" t="str">
        <f>IFERROR(__xludf.DUMMYFUNCTION("""COMPUTED_VALUE"""),"Masonry")</f>
        <v>Masonry</v>
      </c>
      <c r="J3716" s="2" t="str">
        <f>IFERROR(__xludf.DUMMYFUNCTION("""COMPUTED_VALUE"""),"All amenities")</f>
        <v>All amenities</v>
      </c>
      <c r="K3716" s="2">
        <f>IFERROR(__xludf.DUMMYFUNCTION("""COMPUTED_VALUE"""),650.0)</f>
        <v>650</v>
      </c>
      <c r="L3716" s="2">
        <f>IFERROR(__xludf.DUMMYFUNCTION("""COMPUTED_VALUE"""),56.9524263)</f>
        <v>56.9524263</v>
      </c>
      <c r="M3716" s="2">
        <f>IFERROR(__xludf.DUMMYFUNCTION("""COMPUTED_VALUE"""),24.1287007)</f>
        <v>24.1287007</v>
      </c>
    </row>
    <row r="3717">
      <c r="A3717" s="2" t="str">
        <f>IFERROR(__xludf.DUMMYFUNCTION("""COMPUTED_VALUE"""),"For rent")</f>
        <v>For rent</v>
      </c>
      <c r="B3717" s="2" t="str">
        <f>IFERROR(__xludf.DUMMYFUNCTION("""COMPUTED_VALUE"""),"centrs")</f>
        <v>centrs</v>
      </c>
      <c r="C3717" s="2" t="str">
        <f>IFERROR(__xludf.DUMMYFUNCTION("""COMPUTED_VALUE"""),"Tallinas 35")</f>
        <v>Tallinas 35</v>
      </c>
      <c r="D3717" s="2">
        <f>IFERROR(__xludf.DUMMYFUNCTION("""COMPUTED_VALUE"""),2.0)</f>
        <v>2</v>
      </c>
      <c r="E3717" s="2">
        <f>IFERROR(__xludf.DUMMYFUNCTION("""COMPUTED_VALUE"""),45.0)</f>
        <v>45</v>
      </c>
      <c r="F3717" s="2">
        <f>IFERROR(__xludf.DUMMYFUNCTION("""COMPUTED_VALUE"""),2.0)</f>
        <v>2</v>
      </c>
      <c r="G3717" s="2">
        <f>IFERROR(__xludf.DUMMYFUNCTION("""COMPUTED_VALUE"""),5.0)</f>
        <v>5</v>
      </c>
      <c r="H3717" s="2" t="str">
        <f>IFERROR(__xludf.DUMMYFUNCTION("""COMPUTED_VALUE"""),"P. kara")</f>
        <v>P. kara</v>
      </c>
      <c r="I3717" s="2" t="str">
        <f>IFERROR(__xludf.DUMMYFUNCTION("""COMPUTED_VALUE"""),"Brick")</f>
        <v>Brick</v>
      </c>
      <c r="J3717" s="2" t="str">
        <f>IFERROR(__xludf.DUMMYFUNCTION("""COMPUTED_VALUE"""),"All amenities")</f>
        <v>All amenities</v>
      </c>
      <c r="K3717" s="2">
        <f>IFERROR(__xludf.DUMMYFUNCTION("""COMPUTED_VALUE"""),400.0)</f>
        <v>400</v>
      </c>
      <c r="L3717" s="2">
        <f>IFERROR(__xludf.DUMMYFUNCTION("""COMPUTED_VALUE"""),56.9624912)</f>
        <v>56.9624912</v>
      </c>
      <c r="M3717" s="2">
        <f>IFERROR(__xludf.DUMMYFUNCTION("""COMPUTED_VALUE"""),24.1383188684328)</f>
        <v>24.13831887</v>
      </c>
    </row>
    <row r="3718">
      <c r="A3718" s="2" t="str">
        <f>IFERROR(__xludf.DUMMYFUNCTION("""COMPUTED_VALUE"""),"For rent")</f>
        <v>For rent</v>
      </c>
      <c r="B3718" s="2" t="str">
        <f>IFERROR(__xludf.DUMMYFUNCTION("""COMPUTED_VALUE"""),"Ķengarags")</f>
        <v>Ķengarags</v>
      </c>
      <c r="C3718" s="2" t="str">
        <f>IFERROR(__xludf.DUMMYFUNCTION("""COMPUTED_VALUE"""),"Krustpils 123a")</f>
        <v>Krustpils 123a</v>
      </c>
      <c r="D3718" s="2">
        <f>IFERROR(__xludf.DUMMYFUNCTION("""COMPUTED_VALUE"""),1.0)</f>
        <v>1</v>
      </c>
      <c r="E3718" s="2">
        <f>IFERROR(__xludf.DUMMYFUNCTION("""COMPUTED_VALUE"""),19.0)</f>
        <v>19</v>
      </c>
      <c r="F3718" s="2">
        <f>IFERROR(__xludf.DUMMYFUNCTION("""COMPUTED_VALUE"""),3.0)</f>
        <v>3</v>
      </c>
      <c r="G3718" s="2">
        <f>IFERROR(__xludf.DUMMYFUNCTION("""COMPUTED_VALUE"""),3.0)</f>
        <v>3</v>
      </c>
      <c r="H3718" s="2" t="str">
        <f>IFERROR(__xludf.DUMMYFUNCTION("""COMPUTED_VALUE"""),"Renov.")</f>
        <v>Renov.</v>
      </c>
      <c r="I3718" s="2" t="str">
        <f>IFERROR(__xludf.DUMMYFUNCTION("""COMPUTED_VALUE"""),"Brick")</f>
        <v>Brick</v>
      </c>
      <c r="J3718" s="2" t="str">
        <f>IFERROR(__xludf.DUMMYFUNCTION("""COMPUTED_VALUE"""),"All amenities")</f>
        <v>All amenities</v>
      </c>
      <c r="K3718" s="2">
        <f>IFERROR(__xludf.DUMMYFUNCTION("""COMPUTED_VALUE"""),220.0)</f>
        <v>220</v>
      </c>
      <c r="L3718" s="2">
        <f>IFERROR(__xludf.DUMMYFUNCTION("""COMPUTED_VALUE"""),56.9293636)</f>
        <v>56.9293636</v>
      </c>
      <c r="M3718" s="2">
        <f>IFERROR(__xludf.DUMMYFUNCTION("""COMPUTED_VALUE"""),24.1835723)</f>
        <v>24.1835723</v>
      </c>
    </row>
    <row r="3719">
      <c r="A3719" s="2" t="str">
        <f>IFERROR(__xludf.DUMMYFUNCTION("""COMPUTED_VALUE"""),"For sale")</f>
        <v>For sale</v>
      </c>
      <c r="B3719" s="2" t="str">
        <f>IFERROR(__xludf.DUMMYFUNCTION("""COMPUTED_VALUE"""),"centrs")</f>
        <v>centrs</v>
      </c>
      <c r="C3719" s="2" t="str">
        <f>IFERROR(__xludf.DUMMYFUNCTION("""COMPUTED_VALUE"""),"Skolas 4")</f>
        <v>Skolas 4</v>
      </c>
      <c r="D3719" s="2">
        <f>IFERROR(__xludf.DUMMYFUNCTION("""COMPUTED_VALUE"""),4.0)</f>
        <v>4</v>
      </c>
      <c r="E3719" s="2">
        <f>IFERROR(__xludf.DUMMYFUNCTION("""COMPUTED_VALUE"""),121.0)</f>
        <v>121</v>
      </c>
      <c r="F3719" s="2">
        <f>IFERROR(__xludf.DUMMYFUNCTION("""COMPUTED_VALUE"""),5.0)</f>
        <v>5</v>
      </c>
      <c r="G3719" s="2">
        <f>IFERROR(__xludf.DUMMYFUNCTION("""COMPUTED_VALUE"""),5.0)</f>
        <v>5</v>
      </c>
      <c r="H3719" s="2" t="str">
        <f>IFERROR(__xludf.DUMMYFUNCTION("""COMPUTED_VALUE"""),"P. kara")</f>
        <v>P. kara</v>
      </c>
      <c r="I3719" s="2" t="str">
        <f>IFERROR(__xludf.DUMMYFUNCTION("""COMPUTED_VALUE"""),"Brick")</f>
        <v>Brick</v>
      </c>
      <c r="J3719" s="2" t="str">
        <f>IFERROR(__xludf.DUMMYFUNCTION("""COMPUTED_VALUE"""),"All amenities")</f>
        <v>All amenities</v>
      </c>
      <c r="K3719" s="2">
        <f>IFERROR(__xludf.DUMMYFUNCTION("""COMPUTED_VALUE"""),270000.0)</f>
        <v>270000</v>
      </c>
      <c r="L3719" s="2">
        <f>IFERROR(__xludf.DUMMYFUNCTION("""COMPUTED_VALUE"""),48.2969502)</f>
        <v>48.2969502</v>
      </c>
      <c r="M3719" s="2">
        <f>IFERROR(__xludf.DUMMYFUNCTION("""COMPUTED_VALUE"""),-100.7081938)</f>
        <v>-100.7081938</v>
      </c>
    </row>
    <row r="3720">
      <c r="A3720" s="2" t="str">
        <f>IFERROR(__xludf.DUMMYFUNCTION("""COMPUTED_VALUE"""),"For sale")</f>
        <v>For sale</v>
      </c>
      <c r="B3720" s="2" t="str">
        <f>IFERROR(__xludf.DUMMYFUNCTION("""COMPUTED_VALUE"""),"Zolitūde")</f>
        <v>Zolitūde</v>
      </c>
      <c r="C3720" s="2" t="str">
        <f>IFERROR(__xludf.DUMMYFUNCTION("""COMPUTED_VALUE"""),"Lejiņa 3")</f>
        <v>Lejiņa 3</v>
      </c>
      <c r="D3720" s="2">
        <f>IFERROR(__xludf.DUMMYFUNCTION("""COMPUTED_VALUE"""),2.0)</f>
        <v>2</v>
      </c>
      <c r="E3720" s="2">
        <f>IFERROR(__xludf.DUMMYFUNCTION("""COMPUTED_VALUE"""),58.0)</f>
        <v>58</v>
      </c>
      <c r="F3720" s="2">
        <f>IFERROR(__xludf.DUMMYFUNCTION("""COMPUTED_VALUE"""),5.0)</f>
        <v>5</v>
      </c>
      <c r="G3720" s="2">
        <f>IFERROR(__xludf.DUMMYFUNCTION("""COMPUTED_VALUE"""),9.0)</f>
        <v>9</v>
      </c>
      <c r="H3720" s="2">
        <f>IFERROR(__xludf.DUMMYFUNCTION("""COMPUTED_VALUE"""),119.0)</f>
        <v>119</v>
      </c>
      <c r="I3720" s="2" t="str">
        <f>IFERROR(__xludf.DUMMYFUNCTION("""COMPUTED_VALUE"""),"Panel")</f>
        <v>Panel</v>
      </c>
      <c r="J3720" s="2" t="str">
        <f>IFERROR(__xludf.DUMMYFUNCTION("""COMPUTED_VALUE"""),"All amenities")</f>
        <v>All amenities</v>
      </c>
      <c r="K3720" s="2">
        <f>IFERROR(__xludf.DUMMYFUNCTION("""COMPUTED_VALUE"""),65000.0)</f>
        <v>65000</v>
      </c>
      <c r="L3720" s="2">
        <f>IFERROR(__xludf.DUMMYFUNCTION("""COMPUTED_VALUE"""),56.94716445)</f>
        <v>56.94716445</v>
      </c>
      <c r="M3720" s="2">
        <f>IFERROR(__xludf.DUMMYFUNCTION("""COMPUTED_VALUE"""),24.0144371864952)</f>
        <v>24.01443719</v>
      </c>
    </row>
    <row r="3721">
      <c r="A3721" s="2" t="str">
        <f>IFERROR(__xludf.DUMMYFUNCTION("""COMPUTED_VALUE"""),"For sale")</f>
        <v>For sale</v>
      </c>
      <c r="B3721" s="2" t="str">
        <f>IFERROR(__xludf.DUMMYFUNCTION("""COMPUTED_VALUE"""),"Imanta")</f>
        <v>Imanta</v>
      </c>
      <c r="C3721" s="2" t="str">
        <f>IFERROR(__xludf.DUMMYFUNCTION("""COMPUTED_VALUE"""),"Jūrmalas g. 92")</f>
        <v>Jūrmalas g. 92</v>
      </c>
      <c r="D3721" s="2">
        <f>IFERROR(__xludf.DUMMYFUNCTION("""COMPUTED_VALUE"""),3.0)</f>
        <v>3</v>
      </c>
      <c r="E3721" s="2">
        <f>IFERROR(__xludf.DUMMYFUNCTION("""COMPUTED_VALUE"""),60.0)</f>
        <v>60</v>
      </c>
      <c r="F3721" s="2">
        <f>IFERROR(__xludf.DUMMYFUNCTION("""COMPUTED_VALUE"""),9.0)</f>
        <v>9</v>
      </c>
      <c r="G3721" s="2">
        <f>IFERROR(__xludf.DUMMYFUNCTION("""COMPUTED_VALUE"""),9.0)</f>
        <v>9</v>
      </c>
      <c r="H3721" s="2" t="str">
        <f>IFERROR(__xludf.DUMMYFUNCTION("""COMPUTED_VALUE"""),"Jaun.")</f>
        <v>Jaun.</v>
      </c>
      <c r="I3721" s="2" t="str">
        <f>IFERROR(__xludf.DUMMYFUNCTION("""COMPUTED_VALUE"""),"Panel")</f>
        <v>Panel</v>
      </c>
      <c r="J3721" s="2" t="str">
        <f>IFERROR(__xludf.DUMMYFUNCTION("""COMPUTED_VALUE"""),"All amenities")</f>
        <v>All amenities</v>
      </c>
      <c r="K3721" s="2">
        <f>IFERROR(__xludf.DUMMYFUNCTION("""COMPUTED_VALUE"""),107042.0)</f>
        <v>107042</v>
      </c>
      <c r="L3721" s="2">
        <f>IFERROR(__xludf.DUMMYFUNCTION("""COMPUTED_VALUE"""),56.9520352499999)</f>
        <v>56.95203525</v>
      </c>
      <c r="M3721" s="2">
        <f>IFERROR(__xludf.DUMMYFUNCTION("""COMPUTED_VALUE"""),24.0038532251639)</f>
        <v>24.00385323</v>
      </c>
    </row>
    <row r="3722">
      <c r="A3722" s="2" t="str">
        <f>IFERROR(__xludf.DUMMYFUNCTION("""COMPUTED_VALUE"""),"For sale")</f>
        <v>For sale</v>
      </c>
      <c r="B3722" s="2" t="str">
        <f>IFERROR(__xludf.DUMMYFUNCTION("""COMPUTED_VALUE"""),"Imanta")</f>
        <v>Imanta</v>
      </c>
      <c r="C3722" s="2" t="str">
        <f>IFERROR(__xludf.DUMMYFUNCTION("""COMPUTED_VALUE"""),"Jūrmalas g. 82")</f>
        <v>Jūrmalas g. 82</v>
      </c>
      <c r="D3722" s="2">
        <f>IFERROR(__xludf.DUMMYFUNCTION("""COMPUTED_VALUE"""),2.0)</f>
        <v>2</v>
      </c>
      <c r="E3722" s="2">
        <f>IFERROR(__xludf.DUMMYFUNCTION("""COMPUTED_VALUE"""),47.0)</f>
        <v>47</v>
      </c>
      <c r="F3722" s="2">
        <f>IFERROR(__xludf.DUMMYFUNCTION("""COMPUTED_VALUE"""),9.0)</f>
        <v>9</v>
      </c>
      <c r="G3722" s="2">
        <f>IFERROR(__xludf.DUMMYFUNCTION("""COMPUTED_VALUE"""),9.0)</f>
        <v>9</v>
      </c>
      <c r="H3722" s="2" t="str">
        <f>IFERROR(__xludf.DUMMYFUNCTION("""COMPUTED_VALUE"""),"Jaun.")</f>
        <v>Jaun.</v>
      </c>
      <c r="I3722" s="2" t="str">
        <f>IFERROR(__xludf.DUMMYFUNCTION("""COMPUTED_VALUE"""),"Panel")</f>
        <v>Panel</v>
      </c>
      <c r="J3722" s="2" t="str">
        <f>IFERROR(__xludf.DUMMYFUNCTION("""COMPUTED_VALUE"""),"All amenities")</f>
        <v>All amenities</v>
      </c>
      <c r="K3722" s="2">
        <f>IFERROR(__xludf.DUMMYFUNCTION("""COMPUTED_VALUE"""),76999.0)</f>
        <v>76999</v>
      </c>
      <c r="L3722" s="2">
        <f>IFERROR(__xludf.DUMMYFUNCTION("""COMPUTED_VALUE"""),56.9524058)</f>
        <v>56.9524058</v>
      </c>
      <c r="M3722" s="2">
        <f>IFERROR(__xludf.DUMMYFUNCTION("""COMPUTED_VALUE"""),24.0065079237083)</f>
        <v>24.00650792</v>
      </c>
    </row>
    <row r="3723">
      <c r="A3723" s="2" t="str">
        <f>IFERROR(__xludf.DUMMYFUNCTION("""COMPUTED_VALUE"""),"For sale")</f>
        <v>For sale</v>
      </c>
      <c r="B3723" s="2" t="str">
        <f>IFERROR(__xludf.DUMMYFUNCTION("""COMPUTED_VALUE"""),"centrs")</f>
        <v>centrs</v>
      </c>
      <c r="C3723" s="2" t="str">
        <f>IFERROR(__xludf.DUMMYFUNCTION("""COMPUTED_VALUE"""),"Alūksnes 1")</f>
        <v>Alūksnes 1</v>
      </c>
      <c r="D3723" s="2">
        <f>IFERROR(__xludf.DUMMYFUNCTION("""COMPUTED_VALUE"""),1.0)</f>
        <v>1</v>
      </c>
      <c r="E3723" s="2">
        <f>IFERROR(__xludf.DUMMYFUNCTION("""COMPUTED_VALUE"""),25.0)</f>
        <v>25</v>
      </c>
      <c r="F3723" s="2">
        <f>IFERROR(__xludf.DUMMYFUNCTION("""COMPUTED_VALUE"""),3.0)</f>
        <v>3</v>
      </c>
      <c r="G3723" s="2">
        <f>IFERROR(__xludf.DUMMYFUNCTION("""COMPUTED_VALUE"""),6.0)</f>
        <v>6</v>
      </c>
      <c r="H3723" s="2" t="str">
        <f>IFERROR(__xludf.DUMMYFUNCTION("""COMPUTED_VALUE"""),"Renov.")</f>
        <v>Renov.</v>
      </c>
      <c r="I3723" s="2" t="str">
        <f>IFERROR(__xludf.DUMMYFUNCTION("""COMPUTED_VALUE"""),"Masonry")</f>
        <v>Masonry</v>
      </c>
      <c r="J3723" s="2" t="str">
        <f>IFERROR(__xludf.DUMMYFUNCTION("""COMPUTED_VALUE"""),"All amenities")</f>
        <v>All amenities</v>
      </c>
      <c r="K3723" s="2">
        <f>IFERROR(__xludf.DUMMYFUNCTION("""COMPUTED_VALUE"""),29102.0)</f>
        <v>29102</v>
      </c>
      <c r="L3723" s="2">
        <f>IFERROR(__xludf.DUMMYFUNCTION("""COMPUTED_VALUE"""),56.9692798)</f>
        <v>56.9692798</v>
      </c>
      <c r="M3723" s="2">
        <f>IFERROR(__xludf.DUMMYFUNCTION("""COMPUTED_VALUE"""),24.0993905)</f>
        <v>24.0993905</v>
      </c>
    </row>
    <row r="3724">
      <c r="A3724" s="2" t="str">
        <f>IFERROR(__xludf.DUMMYFUNCTION("""COMPUTED_VALUE"""),"For rent")</f>
        <v>For rent</v>
      </c>
      <c r="B3724" s="2" t="str">
        <f>IFERROR(__xludf.DUMMYFUNCTION("""COMPUTED_VALUE"""),"Purvciems")</f>
        <v>Purvciems</v>
      </c>
      <c r="C3724" s="2" t="str">
        <f>IFERROR(__xludf.DUMMYFUNCTION("""COMPUTED_VALUE"""),"Zvaigznāja g. 3")</f>
        <v>Zvaigznāja g. 3</v>
      </c>
      <c r="D3724" s="2">
        <f>IFERROR(__xludf.DUMMYFUNCTION("""COMPUTED_VALUE"""),1.0)</f>
        <v>1</v>
      </c>
      <c r="E3724" s="2">
        <f>IFERROR(__xludf.DUMMYFUNCTION("""COMPUTED_VALUE"""),28.0)</f>
        <v>28</v>
      </c>
      <c r="F3724" s="2">
        <f>IFERROR(__xludf.DUMMYFUNCTION("""COMPUTED_VALUE"""),3.0)</f>
        <v>3</v>
      </c>
      <c r="G3724" s="2">
        <f>IFERROR(__xludf.DUMMYFUNCTION("""COMPUTED_VALUE"""),5.0)</f>
        <v>5</v>
      </c>
      <c r="H3724" s="2" t="str">
        <f>IFERROR(__xludf.DUMMYFUNCTION("""COMPUTED_VALUE"""),"LT proj.")</f>
        <v>LT proj.</v>
      </c>
      <c r="I3724" s="2" t="str">
        <f>IFERROR(__xludf.DUMMYFUNCTION("""COMPUTED_VALUE"""),"Panel")</f>
        <v>Panel</v>
      </c>
      <c r="J3724" s="2" t="str">
        <f>IFERROR(__xludf.DUMMYFUNCTION("""COMPUTED_VALUE"""),"All amenities")</f>
        <v>All amenities</v>
      </c>
      <c r="K3724" s="2">
        <f>IFERROR(__xludf.DUMMYFUNCTION("""COMPUTED_VALUE"""),180.0)</f>
        <v>180</v>
      </c>
      <c r="L3724" s="2">
        <f>IFERROR(__xludf.DUMMYFUNCTION("""COMPUTED_VALUE"""),56.9527936)</f>
        <v>56.9527936</v>
      </c>
      <c r="M3724" s="2">
        <f>IFERROR(__xludf.DUMMYFUNCTION("""COMPUTED_VALUE"""),24.2063812)</f>
        <v>24.2063812</v>
      </c>
    </row>
    <row r="3725">
      <c r="A3725" s="2" t="str">
        <f>IFERROR(__xludf.DUMMYFUNCTION("""COMPUTED_VALUE"""),"For sale")</f>
        <v>For sale</v>
      </c>
      <c r="B3725" s="2" t="str">
        <f>IFERROR(__xludf.DUMMYFUNCTION("""COMPUTED_VALUE"""),"Vecrīga")</f>
        <v>Vecrīga</v>
      </c>
      <c r="C3725" s="2" t="str">
        <f>IFERROR(__xludf.DUMMYFUNCTION("""COMPUTED_VALUE"""),"Arsenāla 7")</f>
        <v>Arsenāla 7</v>
      </c>
      <c r="D3725" s="2">
        <f>IFERROR(__xludf.DUMMYFUNCTION("""COMPUTED_VALUE"""),3.0)</f>
        <v>3</v>
      </c>
      <c r="E3725" s="2">
        <f>IFERROR(__xludf.DUMMYFUNCTION("""COMPUTED_VALUE"""),80.0)</f>
        <v>80</v>
      </c>
      <c r="F3725" s="2">
        <f>IFERROR(__xludf.DUMMYFUNCTION("""COMPUTED_VALUE"""),3.0)</f>
        <v>3</v>
      </c>
      <c r="G3725" s="2">
        <f>IFERROR(__xludf.DUMMYFUNCTION("""COMPUTED_VALUE"""),4.0)</f>
        <v>4</v>
      </c>
      <c r="H3725" s="2" t="str">
        <f>IFERROR(__xludf.DUMMYFUNCTION("""COMPUTED_VALUE"""),"P. kara")</f>
        <v>P. kara</v>
      </c>
      <c r="I3725" s="2" t="str">
        <f>IFERROR(__xludf.DUMMYFUNCTION("""COMPUTED_VALUE"""),"Masonry")</f>
        <v>Masonry</v>
      </c>
      <c r="J3725" s="2" t="str">
        <f>IFERROR(__xludf.DUMMYFUNCTION("""COMPUTED_VALUE"""),"All amenities")</f>
        <v>All amenities</v>
      </c>
      <c r="K3725" s="2">
        <f>IFERROR(__xludf.DUMMYFUNCTION("""COMPUTED_VALUE"""),120000.0)</f>
        <v>120000</v>
      </c>
      <c r="L3725" s="2">
        <f>IFERROR(__xludf.DUMMYFUNCTION("""COMPUTED_VALUE"""),56.9508065499999)</f>
        <v>56.95080655</v>
      </c>
      <c r="M3725" s="2">
        <f>IFERROR(__xludf.DUMMYFUNCTION("""COMPUTED_VALUE"""),24.102981459375)</f>
        <v>24.10298146</v>
      </c>
    </row>
    <row r="3726">
      <c r="A3726" s="2" t="str">
        <f>IFERROR(__xludf.DUMMYFUNCTION("""COMPUTED_VALUE"""),"For rent")</f>
        <v>For rent</v>
      </c>
      <c r="B3726" s="2" t="str">
        <f>IFERROR(__xludf.DUMMYFUNCTION("""COMPUTED_VALUE"""),"centrs")</f>
        <v>centrs</v>
      </c>
      <c r="C3726" s="2" t="str">
        <f>IFERROR(__xludf.DUMMYFUNCTION("""COMPUTED_VALUE"""),"Riepnieku 2")</f>
        <v>Riepnieku 2</v>
      </c>
      <c r="D3726" s="2">
        <f>IFERROR(__xludf.DUMMYFUNCTION("""COMPUTED_VALUE"""),1.0)</f>
        <v>1</v>
      </c>
      <c r="E3726" s="2">
        <f>IFERROR(__xludf.DUMMYFUNCTION("""COMPUTED_VALUE"""),56.0)</f>
        <v>56</v>
      </c>
      <c r="F3726" s="2">
        <f>IFERROR(__xludf.DUMMYFUNCTION("""COMPUTED_VALUE"""),2.0)</f>
        <v>2</v>
      </c>
      <c r="G3726" s="2">
        <f>IFERROR(__xludf.DUMMYFUNCTION("""COMPUTED_VALUE"""),6.0)</f>
        <v>6</v>
      </c>
      <c r="H3726" s="2" t="str">
        <f>IFERROR(__xludf.DUMMYFUNCTION("""COMPUTED_VALUE"""),"Staļina")</f>
        <v>Staļina</v>
      </c>
      <c r="I3726" s="2" t="str">
        <f>IFERROR(__xludf.DUMMYFUNCTION("""COMPUTED_VALUE"""),"Brick")</f>
        <v>Brick</v>
      </c>
      <c r="J3726" s="2" t="str">
        <f>IFERROR(__xludf.DUMMYFUNCTION("""COMPUTED_VALUE"""),"All amenities")</f>
        <v>All amenities</v>
      </c>
      <c r="K3726" s="2">
        <f>IFERROR(__xludf.DUMMYFUNCTION("""COMPUTED_VALUE"""),340.0)</f>
        <v>340</v>
      </c>
      <c r="L3726" s="2">
        <f>IFERROR(__xludf.DUMMYFUNCTION("""COMPUTED_VALUE"""),56.9447289)</f>
        <v>56.9447289</v>
      </c>
      <c r="M3726" s="2">
        <f>IFERROR(__xludf.DUMMYFUNCTION("""COMPUTED_VALUE"""),24.124212)</f>
        <v>24.124212</v>
      </c>
    </row>
    <row r="3727">
      <c r="A3727" s="2" t="str">
        <f>IFERROR(__xludf.DUMMYFUNCTION("""COMPUTED_VALUE"""),"For rent")</f>
        <v>For rent</v>
      </c>
      <c r="B3727" s="2" t="str">
        <f>IFERROR(__xludf.DUMMYFUNCTION("""COMPUTED_VALUE"""),"Vecmīlgrāvis")</f>
        <v>Vecmīlgrāvis</v>
      </c>
      <c r="C3727" s="2" t="str">
        <f>IFERROR(__xludf.DUMMYFUNCTION("""COMPUTED_VALUE"""),"Gāles 17")</f>
        <v>Gāles 17</v>
      </c>
      <c r="D3727" s="2">
        <f>IFERROR(__xludf.DUMMYFUNCTION("""COMPUTED_VALUE"""),1.0)</f>
        <v>1</v>
      </c>
      <c r="E3727" s="2">
        <f>IFERROR(__xludf.DUMMYFUNCTION("""COMPUTED_VALUE"""),20.0)</f>
        <v>20</v>
      </c>
      <c r="F3727" s="2">
        <f>IFERROR(__xludf.DUMMYFUNCTION("""COMPUTED_VALUE"""),2.0)</f>
        <v>2</v>
      </c>
      <c r="G3727" s="2">
        <f>IFERROR(__xludf.DUMMYFUNCTION("""COMPUTED_VALUE"""),5.0)</f>
        <v>5</v>
      </c>
      <c r="H3727" s="2" t="str">
        <f>IFERROR(__xludf.DUMMYFUNCTION("""COMPUTED_VALUE"""),"Specpr.")</f>
        <v>Specpr.</v>
      </c>
      <c r="I3727" s="2" t="str">
        <f>IFERROR(__xludf.DUMMYFUNCTION("""COMPUTED_VALUE"""),"Brick-Panel")</f>
        <v>Brick-Panel</v>
      </c>
      <c r="J3727" s="2" t="str">
        <f>IFERROR(__xludf.DUMMYFUNCTION("""COMPUTED_VALUE"""),"All amenities")</f>
        <v>All amenities</v>
      </c>
      <c r="K3727" s="2">
        <f>IFERROR(__xludf.DUMMYFUNCTION("""COMPUTED_VALUE"""),85.0)</f>
        <v>85</v>
      </c>
      <c r="L3727" s="2">
        <f>IFERROR(__xludf.DUMMYFUNCTION("""COMPUTED_VALUE"""),57.0327263)</f>
        <v>57.0327263</v>
      </c>
      <c r="M3727" s="2">
        <f>IFERROR(__xludf.DUMMYFUNCTION("""COMPUTED_VALUE"""),24.1182900317385)</f>
        <v>24.11829003</v>
      </c>
    </row>
    <row r="3728">
      <c r="A3728" s="2" t="str">
        <f>IFERROR(__xludf.DUMMYFUNCTION("""COMPUTED_VALUE"""),"For sale")</f>
        <v>For sale</v>
      </c>
      <c r="B3728" s="2" t="str">
        <f>IFERROR(__xludf.DUMMYFUNCTION("""COMPUTED_VALUE"""),"centrs")</f>
        <v>centrs</v>
      </c>
      <c r="C3728" s="2" t="str">
        <f>IFERROR(__xludf.DUMMYFUNCTION("""COMPUTED_VALUE"""),"Vesetas 10")</f>
        <v>Vesetas 10</v>
      </c>
      <c r="D3728" s="2">
        <f>IFERROR(__xludf.DUMMYFUNCTION("""COMPUTED_VALUE"""),3.0)</f>
        <v>3</v>
      </c>
      <c r="E3728" s="2">
        <f>IFERROR(__xludf.DUMMYFUNCTION("""COMPUTED_VALUE"""),86.0)</f>
        <v>86</v>
      </c>
      <c r="F3728" s="2">
        <f>IFERROR(__xludf.DUMMYFUNCTION("""COMPUTED_VALUE"""),5.0)</f>
        <v>5</v>
      </c>
      <c r="G3728" s="2">
        <f>IFERROR(__xludf.DUMMYFUNCTION("""COMPUTED_VALUE"""),7.0)</f>
        <v>7</v>
      </c>
      <c r="H3728" s="2" t="str">
        <f>IFERROR(__xludf.DUMMYFUNCTION("""COMPUTED_VALUE"""),"Specpr.")</f>
        <v>Specpr.</v>
      </c>
      <c r="I3728" s="2" t="str">
        <f>IFERROR(__xludf.DUMMYFUNCTION("""COMPUTED_VALUE"""),"Brick-Panel")</f>
        <v>Brick-Panel</v>
      </c>
      <c r="J3728" s="2" t="str">
        <f>IFERROR(__xludf.DUMMYFUNCTION("""COMPUTED_VALUE"""),"All amenities")</f>
        <v>All amenities</v>
      </c>
      <c r="K3728" s="2">
        <f>IFERROR(__xludf.DUMMYFUNCTION("""COMPUTED_VALUE"""),139900.0)</f>
        <v>139900</v>
      </c>
      <c r="L3728" s="2">
        <f>IFERROR(__xludf.DUMMYFUNCTION("""COMPUTED_VALUE"""),56.9647813499999)</f>
        <v>56.96478135</v>
      </c>
      <c r="M3728" s="2">
        <f>IFERROR(__xludf.DUMMYFUNCTION("""COMPUTED_VALUE"""),24.1241137023515)</f>
        <v>24.1241137</v>
      </c>
    </row>
    <row r="3729">
      <c r="A3729" s="2" t="str">
        <f>IFERROR(__xludf.DUMMYFUNCTION("""COMPUTED_VALUE"""),"For rent")</f>
        <v>For rent</v>
      </c>
      <c r="B3729" s="2" t="str">
        <f>IFERROR(__xludf.DUMMYFUNCTION("""COMPUTED_VALUE"""),"Sarkandaugava")</f>
        <v>Sarkandaugava</v>
      </c>
      <c r="C3729" s="2" t="str">
        <f>IFERROR(__xludf.DUMMYFUNCTION("""COMPUTED_VALUE"""),"Tvaika 14")</f>
        <v>Tvaika 14</v>
      </c>
      <c r="D3729" s="2">
        <f>IFERROR(__xludf.DUMMYFUNCTION("""COMPUTED_VALUE"""),2.0)</f>
        <v>2</v>
      </c>
      <c r="E3729" s="2">
        <f>IFERROR(__xludf.DUMMYFUNCTION("""COMPUTED_VALUE"""),35.0)</f>
        <v>35</v>
      </c>
      <c r="F3729" s="2">
        <f>IFERROR(__xludf.DUMMYFUNCTION("""COMPUTED_VALUE"""),4.0)</f>
        <v>4</v>
      </c>
      <c r="G3729" s="2">
        <f>IFERROR(__xludf.DUMMYFUNCTION("""COMPUTED_VALUE"""),5.0)</f>
        <v>5</v>
      </c>
      <c r="H3729" s="2" t="str">
        <f>IFERROR(__xludf.DUMMYFUNCTION("""COMPUTED_VALUE"""),"Hrušč.")</f>
        <v>Hrušč.</v>
      </c>
      <c r="I3729" s="2" t="str">
        <f>IFERROR(__xludf.DUMMYFUNCTION("""COMPUTED_VALUE"""),"Brick-Panel")</f>
        <v>Brick-Panel</v>
      </c>
      <c r="J3729" s="2" t="str">
        <f>IFERROR(__xludf.DUMMYFUNCTION("""COMPUTED_VALUE"""),"All amenities")</f>
        <v>All amenities</v>
      </c>
      <c r="K3729" s="2">
        <f>IFERROR(__xludf.DUMMYFUNCTION("""COMPUTED_VALUE"""),350.0)</f>
        <v>350</v>
      </c>
      <c r="L3729" s="2">
        <f>IFERROR(__xludf.DUMMYFUNCTION("""COMPUTED_VALUE"""),56.9993082)</f>
        <v>56.9993082</v>
      </c>
      <c r="M3729" s="2">
        <f>IFERROR(__xludf.DUMMYFUNCTION("""COMPUTED_VALUE"""),24.1181187759323)</f>
        <v>24.11811878</v>
      </c>
    </row>
    <row r="3730">
      <c r="A3730" s="2" t="str">
        <f>IFERROR(__xludf.DUMMYFUNCTION("""COMPUTED_VALUE"""),"For sale")</f>
        <v>For sale</v>
      </c>
      <c r="B3730" s="2" t="str">
        <f>IFERROR(__xludf.DUMMYFUNCTION("""COMPUTED_VALUE"""),"Pļavnieki")</f>
        <v>Pļavnieki</v>
      </c>
      <c r="C3730" s="2" t="str">
        <f>IFERROR(__xludf.DUMMYFUNCTION("""COMPUTED_VALUE"""),"Ulbrokas 22")</f>
        <v>Ulbrokas 22</v>
      </c>
      <c r="D3730" s="2">
        <f>IFERROR(__xludf.DUMMYFUNCTION("""COMPUTED_VALUE"""),3.0)</f>
        <v>3</v>
      </c>
      <c r="E3730" s="2">
        <f>IFERROR(__xludf.DUMMYFUNCTION("""COMPUTED_VALUE"""),62.0)</f>
        <v>62</v>
      </c>
      <c r="F3730" s="2">
        <f>IFERROR(__xludf.DUMMYFUNCTION("""COMPUTED_VALUE"""),5.0)</f>
        <v>5</v>
      </c>
      <c r="G3730" s="2">
        <f>IFERROR(__xludf.DUMMYFUNCTION("""COMPUTED_VALUE"""),9.0)</f>
        <v>9</v>
      </c>
      <c r="H3730" s="2">
        <f>IFERROR(__xludf.DUMMYFUNCTION("""COMPUTED_VALUE"""),602.0)</f>
        <v>602</v>
      </c>
      <c r="I3730" s="2" t="str">
        <f>IFERROR(__xludf.DUMMYFUNCTION("""COMPUTED_VALUE"""),"Panel")</f>
        <v>Panel</v>
      </c>
      <c r="J3730" s="2" t="str">
        <f>IFERROR(__xludf.DUMMYFUNCTION("""COMPUTED_VALUE"""),"All amenities")</f>
        <v>All amenities</v>
      </c>
      <c r="K3730" s="2">
        <f>IFERROR(__xludf.DUMMYFUNCTION("""COMPUTED_VALUE"""),64000.0)</f>
        <v>64000</v>
      </c>
      <c r="L3730" s="2">
        <f>IFERROR(__xludf.DUMMYFUNCTION("""COMPUTED_VALUE"""),56.9440729)</f>
        <v>56.9440729</v>
      </c>
      <c r="M3730" s="2">
        <f>IFERROR(__xludf.DUMMYFUNCTION("""COMPUTED_VALUE"""),24.2177392125913)</f>
        <v>24.21773921</v>
      </c>
    </row>
    <row r="3731">
      <c r="A3731" s="2" t="str">
        <f>IFERROR(__xludf.DUMMYFUNCTION("""COMPUTED_VALUE"""),"For rent")</f>
        <v>For rent</v>
      </c>
      <c r="B3731" s="2" t="str">
        <f>IFERROR(__xludf.DUMMYFUNCTION("""COMPUTED_VALUE"""),"Ķengarags")</f>
        <v>Ķengarags</v>
      </c>
      <c r="C3731" s="2" t="str">
        <f>IFERROR(__xludf.DUMMYFUNCTION("""COMPUTED_VALUE"""),"Lokomotīves 44")</f>
        <v>Lokomotīves 44</v>
      </c>
      <c r="D3731" s="2">
        <f>IFERROR(__xludf.DUMMYFUNCTION("""COMPUTED_VALUE"""),2.0)</f>
        <v>2</v>
      </c>
      <c r="E3731" s="2">
        <f>IFERROR(__xludf.DUMMYFUNCTION("""COMPUTED_VALUE"""),39.0)</f>
        <v>39</v>
      </c>
      <c r="F3731" s="2">
        <f>IFERROR(__xludf.DUMMYFUNCTION("""COMPUTED_VALUE"""),5.0)</f>
        <v>5</v>
      </c>
      <c r="G3731" s="2">
        <f>IFERROR(__xludf.DUMMYFUNCTION("""COMPUTED_VALUE"""),5.0)</f>
        <v>5</v>
      </c>
      <c r="H3731" s="2" t="str">
        <f>IFERROR(__xludf.DUMMYFUNCTION("""COMPUTED_VALUE"""),"LT proj.")</f>
        <v>LT proj.</v>
      </c>
      <c r="I3731" s="2" t="str">
        <f>IFERROR(__xludf.DUMMYFUNCTION("""COMPUTED_VALUE"""),"Panel")</f>
        <v>Panel</v>
      </c>
      <c r="J3731" s="2" t="str">
        <f>IFERROR(__xludf.DUMMYFUNCTION("""COMPUTED_VALUE"""),"All amenities")</f>
        <v>All amenities</v>
      </c>
      <c r="K3731" s="2">
        <f>IFERROR(__xludf.DUMMYFUNCTION("""COMPUTED_VALUE"""),220.0)</f>
        <v>220</v>
      </c>
      <c r="L3731" s="2">
        <f>IFERROR(__xludf.DUMMYFUNCTION("""COMPUTED_VALUE"""),56.9099260499999)</f>
        <v>56.90992605</v>
      </c>
      <c r="M3731" s="2">
        <f>IFERROR(__xludf.DUMMYFUNCTION("""COMPUTED_VALUE"""),24.1985565266479)</f>
        <v>24.19855653</v>
      </c>
    </row>
    <row r="3732">
      <c r="A3732" s="2" t="str">
        <f>IFERROR(__xludf.DUMMYFUNCTION("""COMPUTED_VALUE"""),"For rent")</f>
        <v>For rent</v>
      </c>
      <c r="B3732" s="2" t="str">
        <f>IFERROR(__xludf.DUMMYFUNCTION("""COMPUTED_VALUE"""),"Šampēteris-Pleskodāle")</f>
        <v>Šampēteris-Pleskodāle</v>
      </c>
      <c r="C3732" s="2" t="str">
        <f>IFERROR(__xludf.DUMMYFUNCTION("""COMPUTED_VALUE"""),"Lielirbes 13")</f>
        <v>Lielirbes 13</v>
      </c>
      <c r="D3732" s="2">
        <f>IFERROR(__xludf.DUMMYFUNCTION("""COMPUTED_VALUE"""),3.0)</f>
        <v>3</v>
      </c>
      <c r="E3732" s="2">
        <f>IFERROR(__xludf.DUMMYFUNCTION("""COMPUTED_VALUE"""),90.0)</f>
        <v>90</v>
      </c>
      <c r="F3732" s="2">
        <f>IFERROR(__xludf.DUMMYFUNCTION("""COMPUTED_VALUE"""),20.0)</f>
        <v>20</v>
      </c>
      <c r="G3732" s="2">
        <f>IFERROR(__xludf.DUMMYFUNCTION("""COMPUTED_VALUE"""),30.0)</f>
        <v>30</v>
      </c>
      <c r="H3732" s="2" t="str">
        <f>IFERROR(__xludf.DUMMYFUNCTION("""COMPUTED_VALUE"""),"Jaun.")</f>
        <v>Jaun.</v>
      </c>
      <c r="I3732" s="2" t="str">
        <f>IFERROR(__xludf.DUMMYFUNCTION("""COMPUTED_VALUE"""),"Panel-Brick")</f>
        <v>Panel-Brick</v>
      </c>
      <c r="J3732" s="2" t="str">
        <f>IFERROR(__xludf.DUMMYFUNCTION("""COMPUTED_VALUE"""),"All amenities")</f>
        <v>All amenities</v>
      </c>
      <c r="K3732" s="2">
        <f>IFERROR(__xludf.DUMMYFUNCTION("""COMPUTED_VALUE"""),650.0)</f>
        <v>650</v>
      </c>
      <c r="L3732" s="2">
        <f>IFERROR(__xludf.DUMMYFUNCTION("""COMPUTED_VALUE"""),56.9334996)</f>
        <v>56.9334996</v>
      </c>
      <c r="M3732" s="2">
        <f>IFERROR(__xludf.DUMMYFUNCTION("""COMPUTED_VALUE"""),24.0424848)</f>
        <v>24.0424848</v>
      </c>
    </row>
    <row r="3733">
      <c r="A3733" s="2" t="str">
        <f>IFERROR(__xludf.DUMMYFUNCTION("""COMPUTED_VALUE"""),"For rent")</f>
        <v>For rent</v>
      </c>
      <c r="B3733" s="2" t="str">
        <f>IFERROR(__xludf.DUMMYFUNCTION("""COMPUTED_VALUE"""),"Šampēteris-Pleskodāle")</f>
        <v>Šampēteris-Pleskodāle</v>
      </c>
      <c r="C3733" s="2" t="str">
        <f>IFERROR(__xludf.DUMMYFUNCTION("""COMPUTED_VALUE"""),"Lielirbes 13")</f>
        <v>Lielirbes 13</v>
      </c>
      <c r="D3733" s="2">
        <f>IFERROR(__xludf.DUMMYFUNCTION("""COMPUTED_VALUE"""),3.0)</f>
        <v>3</v>
      </c>
      <c r="E3733" s="2">
        <f>IFERROR(__xludf.DUMMYFUNCTION("""COMPUTED_VALUE"""),90.0)</f>
        <v>90</v>
      </c>
      <c r="F3733" s="2">
        <f>IFERROR(__xludf.DUMMYFUNCTION("""COMPUTED_VALUE"""),21.0)</f>
        <v>21</v>
      </c>
      <c r="G3733" s="2">
        <f>IFERROR(__xludf.DUMMYFUNCTION("""COMPUTED_VALUE"""),30.0)</f>
        <v>30</v>
      </c>
      <c r="H3733" s="2" t="str">
        <f>IFERROR(__xludf.DUMMYFUNCTION("""COMPUTED_VALUE"""),"Jaun.")</f>
        <v>Jaun.</v>
      </c>
      <c r="I3733" s="2" t="str">
        <f>IFERROR(__xludf.DUMMYFUNCTION("""COMPUTED_VALUE"""),"Panel-Brick")</f>
        <v>Panel-Brick</v>
      </c>
      <c r="J3733" s="2" t="str">
        <f>IFERROR(__xludf.DUMMYFUNCTION("""COMPUTED_VALUE"""),"All amenities")</f>
        <v>All amenities</v>
      </c>
      <c r="K3733" s="2">
        <f>IFERROR(__xludf.DUMMYFUNCTION("""COMPUTED_VALUE"""),650.0)</f>
        <v>650</v>
      </c>
      <c r="L3733" s="2">
        <f>IFERROR(__xludf.DUMMYFUNCTION("""COMPUTED_VALUE"""),56.9334996)</f>
        <v>56.9334996</v>
      </c>
      <c r="M3733" s="2">
        <f>IFERROR(__xludf.DUMMYFUNCTION("""COMPUTED_VALUE"""),24.0424848)</f>
        <v>24.0424848</v>
      </c>
    </row>
    <row r="3734">
      <c r="A3734" s="2" t="str">
        <f>IFERROR(__xludf.DUMMYFUNCTION("""COMPUTED_VALUE"""),"For rent")</f>
        <v>For rent</v>
      </c>
      <c r="B3734" s="2" t="str">
        <f>IFERROR(__xludf.DUMMYFUNCTION("""COMPUTED_VALUE"""),"Krasta r-ns")</f>
        <v>Krasta r-ns</v>
      </c>
      <c r="C3734" s="2" t="str">
        <f>IFERROR(__xludf.DUMMYFUNCTION("""COMPUTED_VALUE"""),"Balvu 13")</f>
        <v>Balvu 13</v>
      </c>
      <c r="D3734" s="2">
        <f>IFERROR(__xludf.DUMMYFUNCTION("""COMPUTED_VALUE"""),2.0)</f>
        <v>2</v>
      </c>
      <c r="E3734" s="2">
        <f>IFERROR(__xludf.DUMMYFUNCTION("""COMPUTED_VALUE"""),52.0)</f>
        <v>52</v>
      </c>
      <c r="F3734" s="2">
        <f>IFERROR(__xludf.DUMMYFUNCTION("""COMPUTED_VALUE"""),2.0)</f>
        <v>2</v>
      </c>
      <c r="G3734" s="2">
        <f>IFERROR(__xludf.DUMMYFUNCTION("""COMPUTED_VALUE"""),5.0)</f>
        <v>5</v>
      </c>
      <c r="H3734" s="2" t="str">
        <f>IFERROR(__xludf.DUMMYFUNCTION("""COMPUTED_VALUE"""),"Specpr.")</f>
        <v>Specpr.</v>
      </c>
      <c r="I3734" s="2" t="str">
        <f>IFERROR(__xludf.DUMMYFUNCTION("""COMPUTED_VALUE"""),"Brick")</f>
        <v>Brick</v>
      </c>
      <c r="J3734" s="2" t="str">
        <f>IFERROR(__xludf.DUMMYFUNCTION("""COMPUTED_VALUE"""),"All amenities")</f>
        <v>All amenities</v>
      </c>
      <c r="K3734" s="2">
        <f>IFERROR(__xludf.DUMMYFUNCTION("""COMPUTED_VALUE"""),280.0)</f>
        <v>280</v>
      </c>
      <c r="L3734" s="2">
        <f>IFERROR(__xludf.DUMMYFUNCTION("""COMPUTED_VALUE"""),56.93482975)</f>
        <v>56.93482975</v>
      </c>
      <c r="M3734" s="2">
        <f>IFERROR(__xludf.DUMMYFUNCTION("""COMPUTED_VALUE"""),24.152807135057)</f>
        <v>24.15280714</v>
      </c>
    </row>
    <row r="3735">
      <c r="A3735" s="2" t="str">
        <f>IFERROR(__xludf.DUMMYFUNCTION("""COMPUTED_VALUE"""),"For sale")</f>
        <v>For sale</v>
      </c>
      <c r="B3735" s="2" t="str">
        <f>IFERROR(__xludf.DUMMYFUNCTION("""COMPUTED_VALUE"""),"Ziepniekkalns")</f>
        <v>Ziepniekkalns</v>
      </c>
      <c r="C3735" s="2" t="str">
        <f>IFERROR(__xludf.DUMMYFUNCTION("""COMPUTED_VALUE"""),"Līvciema 10")</f>
        <v>Līvciema 10</v>
      </c>
      <c r="D3735" s="2">
        <f>IFERROR(__xludf.DUMMYFUNCTION("""COMPUTED_VALUE"""),3.0)</f>
        <v>3</v>
      </c>
      <c r="E3735" s="2">
        <f>IFERROR(__xludf.DUMMYFUNCTION("""COMPUTED_VALUE"""),73.0)</f>
        <v>73</v>
      </c>
      <c r="F3735" s="2">
        <f>IFERROR(__xludf.DUMMYFUNCTION("""COMPUTED_VALUE"""),3.0)</f>
        <v>3</v>
      </c>
      <c r="G3735" s="2">
        <f>IFERROR(__xludf.DUMMYFUNCTION("""COMPUTED_VALUE"""),5.0)</f>
        <v>5</v>
      </c>
      <c r="H3735" s="2" t="str">
        <f>IFERROR(__xludf.DUMMYFUNCTION("""COMPUTED_VALUE"""),"Specpr.")</f>
        <v>Specpr.</v>
      </c>
      <c r="I3735" s="2" t="str">
        <f>IFERROR(__xludf.DUMMYFUNCTION("""COMPUTED_VALUE"""),"Brick-Panel")</f>
        <v>Brick-Panel</v>
      </c>
      <c r="J3735" s="2" t="str">
        <f>IFERROR(__xludf.DUMMYFUNCTION("""COMPUTED_VALUE"""),"All amenities")</f>
        <v>All amenities</v>
      </c>
      <c r="K3735" s="2">
        <f>IFERROR(__xludf.DUMMYFUNCTION("""COMPUTED_VALUE"""),79000.0)</f>
        <v>79000</v>
      </c>
      <c r="L3735" s="2">
        <f>IFERROR(__xludf.DUMMYFUNCTION("""COMPUTED_VALUE"""),56.9108369)</f>
        <v>56.9108369</v>
      </c>
      <c r="M3735" s="2">
        <f>IFERROR(__xludf.DUMMYFUNCTION("""COMPUTED_VALUE"""),24.098253430927)</f>
        <v>24.09825343</v>
      </c>
    </row>
    <row r="3736">
      <c r="A3736" s="2" t="str">
        <f>IFERROR(__xludf.DUMMYFUNCTION("""COMPUTED_VALUE"""),"For sale")</f>
        <v>For sale</v>
      </c>
      <c r="B3736" s="2" t="str">
        <f>IFERROR(__xludf.DUMMYFUNCTION("""COMPUTED_VALUE"""),"Jugla")</f>
        <v>Jugla</v>
      </c>
      <c r="C3736" s="2" t="str">
        <f>IFERROR(__xludf.DUMMYFUNCTION("""COMPUTED_VALUE"""),"Vidzemes al. 5")</f>
        <v>Vidzemes al. 5</v>
      </c>
      <c r="D3736" s="2">
        <f>IFERROR(__xludf.DUMMYFUNCTION("""COMPUTED_VALUE"""),1.0)</f>
        <v>1</v>
      </c>
      <c r="E3736" s="2">
        <f>IFERROR(__xludf.DUMMYFUNCTION("""COMPUTED_VALUE"""),33.0)</f>
        <v>33</v>
      </c>
      <c r="F3736" s="2">
        <f>IFERROR(__xludf.DUMMYFUNCTION("""COMPUTED_VALUE"""),6.0)</f>
        <v>6</v>
      </c>
      <c r="G3736" s="2">
        <f>IFERROR(__xludf.DUMMYFUNCTION("""COMPUTED_VALUE"""),12.0)</f>
        <v>12</v>
      </c>
      <c r="H3736" s="2" t="str">
        <f>IFERROR(__xludf.DUMMYFUNCTION("""COMPUTED_VALUE"""),"Čehu pr.")</f>
        <v>Čehu pr.</v>
      </c>
      <c r="I3736" s="2" t="str">
        <f>IFERROR(__xludf.DUMMYFUNCTION("""COMPUTED_VALUE"""),"Brick-Panel")</f>
        <v>Brick-Panel</v>
      </c>
      <c r="J3736" s="2" t="str">
        <f>IFERROR(__xludf.DUMMYFUNCTION("""COMPUTED_VALUE"""),"All amenities")</f>
        <v>All amenities</v>
      </c>
      <c r="K3736" s="2">
        <f>IFERROR(__xludf.DUMMYFUNCTION("""COMPUTED_VALUE"""),37300.0)</f>
        <v>37300</v>
      </c>
      <c r="L3736" s="2">
        <f>IFERROR(__xludf.DUMMYFUNCTION("""COMPUTED_VALUE"""),56.99212705)</f>
        <v>56.99212705</v>
      </c>
      <c r="M3736" s="2">
        <f>IFERROR(__xludf.DUMMYFUNCTION("""COMPUTED_VALUE"""),24.2431023295065)</f>
        <v>24.24310233</v>
      </c>
    </row>
    <row r="3737">
      <c r="A3737" s="2" t="str">
        <f>IFERROR(__xludf.DUMMYFUNCTION("""COMPUTED_VALUE"""),"For rent")</f>
        <v>For rent</v>
      </c>
      <c r="B3737" s="2" t="str">
        <f>IFERROR(__xludf.DUMMYFUNCTION("""COMPUTED_VALUE"""),"centrs")</f>
        <v>centrs</v>
      </c>
      <c r="C3737" s="2" t="str">
        <f>IFERROR(__xludf.DUMMYFUNCTION("""COMPUTED_VALUE"""),"Bruņinieku 44")</f>
        <v>Bruņinieku 44</v>
      </c>
      <c r="D3737" s="2">
        <f>IFERROR(__xludf.DUMMYFUNCTION("""COMPUTED_VALUE"""),3.0)</f>
        <v>3</v>
      </c>
      <c r="E3737" s="2">
        <f>IFERROR(__xludf.DUMMYFUNCTION("""COMPUTED_VALUE"""),72.0)</f>
        <v>72</v>
      </c>
      <c r="F3737" s="2">
        <f>IFERROR(__xludf.DUMMYFUNCTION("""COMPUTED_VALUE"""),5.0)</f>
        <v>5</v>
      </c>
      <c r="G3737" s="2">
        <f>IFERROR(__xludf.DUMMYFUNCTION("""COMPUTED_VALUE"""),5.0)</f>
        <v>5</v>
      </c>
      <c r="H3737" s="2" t="str">
        <f>IFERROR(__xludf.DUMMYFUNCTION("""COMPUTED_VALUE"""),"P. kara")</f>
        <v>P. kara</v>
      </c>
      <c r="I3737" s="2" t="str">
        <f>IFERROR(__xludf.DUMMYFUNCTION("""COMPUTED_VALUE"""),"Brick")</f>
        <v>Brick</v>
      </c>
      <c r="J3737" s="2" t="str">
        <f>IFERROR(__xludf.DUMMYFUNCTION("""COMPUTED_VALUE"""),"All amenities")</f>
        <v>All amenities</v>
      </c>
      <c r="K3737" s="2">
        <f>IFERROR(__xludf.DUMMYFUNCTION("""COMPUTED_VALUE"""),600.0)</f>
        <v>600</v>
      </c>
      <c r="L3737" s="2">
        <f>IFERROR(__xludf.DUMMYFUNCTION("""COMPUTED_VALUE"""),56.9541885)</f>
        <v>56.9541885</v>
      </c>
      <c r="M3737" s="2">
        <f>IFERROR(__xludf.DUMMYFUNCTION("""COMPUTED_VALUE"""),24.135308)</f>
        <v>24.135308</v>
      </c>
    </row>
    <row r="3738">
      <c r="A3738" s="2" t="str">
        <f>IFERROR(__xludf.DUMMYFUNCTION("""COMPUTED_VALUE"""),"For rent")</f>
        <v>For rent</v>
      </c>
      <c r="B3738" s="2" t="str">
        <f>IFERROR(__xludf.DUMMYFUNCTION("""COMPUTED_VALUE"""),"Šampēteris-Pleskodāle")</f>
        <v>Šampēteris-Pleskodāle</v>
      </c>
      <c r="C3738" s="2" t="str">
        <f>IFERROR(__xludf.DUMMYFUNCTION("""COMPUTED_VALUE"""),"Astras 10a")</f>
        <v>Astras 10a</v>
      </c>
      <c r="D3738" s="2">
        <f>IFERROR(__xludf.DUMMYFUNCTION("""COMPUTED_VALUE"""),1.0)</f>
        <v>1</v>
      </c>
      <c r="E3738" s="2">
        <f>IFERROR(__xludf.DUMMYFUNCTION("""COMPUTED_VALUE"""),40.0)</f>
        <v>40</v>
      </c>
      <c r="F3738" s="2">
        <f>IFERROR(__xludf.DUMMYFUNCTION("""COMPUTED_VALUE"""),2.0)</f>
        <v>2</v>
      </c>
      <c r="G3738" s="2">
        <f>IFERROR(__xludf.DUMMYFUNCTION("""COMPUTED_VALUE"""),3.0)</f>
        <v>3</v>
      </c>
      <c r="H3738" s="2" t="str">
        <f>IFERROR(__xludf.DUMMYFUNCTION("""COMPUTED_VALUE"""),"Priv. m.")</f>
        <v>Priv. m.</v>
      </c>
      <c r="I3738" s="2" t="str">
        <f>IFERROR(__xludf.DUMMYFUNCTION("""COMPUTED_VALUE"""),"Masonry")</f>
        <v>Masonry</v>
      </c>
      <c r="J3738" s="2" t="str">
        <f>IFERROR(__xludf.DUMMYFUNCTION("""COMPUTED_VALUE"""),"All amenities")</f>
        <v>All amenities</v>
      </c>
      <c r="K3738" s="2">
        <f>IFERROR(__xludf.DUMMYFUNCTION("""COMPUTED_VALUE"""),350.0)</f>
        <v>350</v>
      </c>
      <c r="L3738" s="2">
        <f>IFERROR(__xludf.DUMMYFUNCTION("""COMPUTED_VALUE"""),56.9619428)</f>
        <v>56.9619428</v>
      </c>
      <c r="M3738" s="2">
        <f>IFERROR(__xludf.DUMMYFUNCTION("""COMPUTED_VALUE"""),24.1992414)</f>
        <v>24.1992414</v>
      </c>
    </row>
    <row r="3739">
      <c r="A3739" s="2" t="str">
        <f>IFERROR(__xludf.DUMMYFUNCTION("""COMPUTED_VALUE"""),"For rent")</f>
        <v>For rent</v>
      </c>
      <c r="B3739" s="2" t="str">
        <f>IFERROR(__xludf.DUMMYFUNCTION("""COMPUTED_VALUE"""),"centrs")</f>
        <v>centrs</v>
      </c>
      <c r="C3739" s="2" t="str">
        <f>IFERROR(__xludf.DUMMYFUNCTION("""COMPUTED_VALUE"""),"Stabu 92")</f>
        <v>Stabu 92</v>
      </c>
      <c r="D3739" s="2">
        <f>IFERROR(__xludf.DUMMYFUNCTION("""COMPUTED_VALUE"""),3.0)</f>
        <v>3</v>
      </c>
      <c r="E3739" s="2">
        <f>IFERROR(__xludf.DUMMYFUNCTION("""COMPUTED_VALUE"""),103.0)</f>
        <v>103</v>
      </c>
      <c r="F3739" s="2">
        <f>IFERROR(__xludf.DUMMYFUNCTION("""COMPUTED_VALUE"""),3.0)</f>
        <v>3</v>
      </c>
      <c r="G3739" s="2">
        <f>IFERROR(__xludf.DUMMYFUNCTION("""COMPUTED_VALUE"""),6.0)</f>
        <v>6</v>
      </c>
      <c r="H3739" s="2" t="str">
        <f>IFERROR(__xludf.DUMMYFUNCTION("""COMPUTED_VALUE"""),"Renov.")</f>
        <v>Renov.</v>
      </c>
      <c r="I3739" s="2" t="str">
        <f>IFERROR(__xludf.DUMMYFUNCTION("""COMPUTED_VALUE"""),"Masonry")</f>
        <v>Masonry</v>
      </c>
      <c r="J3739" s="2" t="str">
        <f>IFERROR(__xludf.DUMMYFUNCTION("""COMPUTED_VALUE"""),"All amenities")</f>
        <v>All amenities</v>
      </c>
      <c r="K3739" s="2">
        <f>IFERROR(__xludf.DUMMYFUNCTION("""COMPUTED_VALUE"""),690.0)</f>
        <v>690</v>
      </c>
      <c r="L3739" s="2">
        <f>IFERROR(__xludf.DUMMYFUNCTION("""COMPUTED_VALUE"""),56.9499105999999)</f>
        <v>56.9499106</v>
      </c>
      <c r="M3739" s="2">
        <f>IFERROR(__xludf.DUMMYFUNCTION("""COMPUTED_VALUE"""),24.1407992387323)</f>
        <v>24.14079924</v>
      </c>
    </row>
    <row r="3740">
      <c r="A3740" s="2" t="str">
        <f>IFERROR(__xludf.DUMMYFUNCTION("""COMPUTED_VALUE"""),"For rent")</f>
        <v>For rent</v>
      </c>
      <c r="B3740" s="2" t="str">
        <f>IFERROR(__xludf.DUMMYFUNCTION("""COMPUTED_VALUE"""),"centrs")</f>
        <v>centrs</v>
      </c>
      <c r="C3740" s="2" t="str">
        <f>IFERROR(__xludf.DUMMYFUNCTION("""COMPUTED_VALUE"""),"Bruņinieku 72")</f>
        <v>Bruņinieku 72</v>
      </c>
      <c r="D3740" s="2">
        <f>IFERROR(__xludf.DUMMYFUNCTION("""COMPUTED_VALUE"""),2.0)</f>
        <v>2</v>
      </c>
      <c r="E3740" s="2">
        <f>IFERROR(__xludf.DUMMYFUNCTION("""COMPUTED_VALUE"""),52.0)</f>
        <v>52</v>
      </c>
      <c r="F3740" s="2">
        <f>IFERROR(__xludf.DUMMYFUNCTION("""COMPUTED_VALUE"""),2.0)</f>
        <v>2</v>
      </c>
      <c r="G3740" s="2">
        <f>IFERROR(__xludf.DUMMYFUNCTION("""COMPUTED_VALUE"""),3.0)</f>
        <v>3</v>
      </c>
      <c r="H3740" s="2" t="str">
        <f>IFERROR(__xludf.DUMMYFUNCTION("""COMPUTED_VALUE"""),"Jaun.")</f>
        <v>Jaun.</v>
      </c>
      <c r="I3740" s="2" t="str">
        <f>IFERROR(__xludf.DUMMYFUNCTION("""COMPUTED_VALUE"""),"Masonry")</f>
        <v>Masonry</v>
      </c>
      <c r="J3740" s="2" t="str">
        <f>IFERROR(__xludf.DUMMYFUNCTION("""COMPUTED_VALUE"""),"Partial amenities")</f>
        <v>Partial amenities</v>
      </c>
      <c r="K3740" s="2">
        <f>IFERROR(__xludf.DUMMYFUNCTION("""COMPUTED_VALUE"""),560.0)</f>
        <v>560</v>
      </c>
      <c r="L3740" s="2">
        <f>IFERROR(__xludf.DUMMYFUNCTION("""COMPUTED_VALUE"""),56.9524426)</f>
        <v>56.9524426</v>
      </c>
      <c r="M3740" s="2">
        <f>IFERROR(__xludf.DUMMYFUNCTION("""COMPUTED_VALUE"""),24.1387559142138)</f>
        <v>24.13875591</v>
      </c>
    </row>
    <row r="3741">
      <c r="A3741" s="2" t="str">
        <f>IFERROR(__xludf.DUMMYFUNCTION("""COMPUTED_VALUE"""),"For sale")</f>
        <v>For sale</v>
      </c>
      <c r="B3741" s="2" t="str">
        <f>IFERROR(__xludf.DUMMYFUNCTION("""COMPUTED_VALUE"""),"Vecmīlgrāvis")</f>
        <v>Vecmīlgrāvis</v>
      </c>
      <c r="C3741" s="2" t="str">
        <f>IFERROR(__xludf.DUMMYFUNCTION("""COMPUTED_VALUE"""),"Emmas 28")</f>
        <v>Emmas 28</v>
      </c>
      <c r="D3741" s="2">
        <f>IFERROR(__xludf.DUMMYFUNCTION("""COMPUTED_VALUE"""),2.0)</f>
        <v>2</v>
      </c>
      <c r="E3741" s="2">
        <f>IFERROR(__xludf.DUMMYFUNCTION("""COMPUTED_VALUE"""),39.0)</f>
        <v>39</v>
      </c>
      <c r="F3741" s="2">
        <f>IFERROR(__xludf.DUMMYFUNCTION("""COMPUTED_VALUE"""),1.0)</f>
        <v>1</v>
      </c>
      <c r="G3741" s="2">
        <f>IFERROR(__xludf.DUMMYFUNCTION("""COMPUTED_VALUE"""),4.0)</f>
        <v>4</v>
      </c>
      <c r="H3741" s="2" t="str">
        <f>IFERROR(__xludf.DUMMYFUNCTION("""COMPUTED_VALUE"""),"Jaun.")</f>
        <v>Jaun.</v>
      </c>
      <c r="I3741" s="2" t="str">
        <f>IFERROR(__xludf.DUMMYFUNCTION("""COMPUTED_VALUE"""),"Brick")</f>
        <v>Brick</v>
      </c>
      <c r="J3741" s="2" t="str">
        <f>IFERROR(__xludf.DUMMYFUNCTION("""COMPUTED_VALUE"""),"All amenities")</f>
        <v>All amenities</v>
      </c>
      <c r="K3741" s="2">
        <f>IFERROR(__xludf.DUMMYFUNCTION("""COMPUTED_VALUE"""),54500.0)</f>
        <v>54500</v>
      </c>
      <c r="L3741" s="2">
        <f>IFERROR(__xludf.DUMMYFUNCTION("""COMPUTED_VALUE"""),57.03179875)</f>
        <v>57.03179875</v>
      </c>
      <c r="M3741" s="2">
        <f>IFERROR(__xludf.DUMMYFUNCTION("""COMPUTED_VALUE"""),24.1166644346289)</f>
        <v>24.11666443</v>
      </c>
    </row>
    <row r="3742">
      <c r="A3742" s="2" t="str">
        <f>IFERROR(__xludf.DUMMYFUNCTION("""COMPUTED_VALUE"""),"For sale")</f>
        <v>For sale</v>
      </c>
      <c r="B3742" s="2" t="str">
        <f>IFERROR(__xludf.DUMMYFUNCTION("""COMPUTED_VALUE"""),"Dārzciems")</f>
        <v>Dārzciems</v>
      </c>
      <c r="C3742" s="2" t="str">
        <f>IFERROR(__xludf.DUMMYFUNCTION("""COMPUTED_VALUE"""),"Zeltiņu 56")</f>
        <v>Zeltiņu 56</v>
      </c>
      <c r="D3742" s="2">
        <f>IFERROR(__xludf.DUMMYFUNCTION("""COMPUTED_VALUE"""),1.0)</f>
        <v>1</v>
      </c>
      <c r="E3742" s="2">
        <f>IFERROR(__xludf.DUMMYFUNCTION("""COMPUTED_VALUE"""),43.0)</f>
        <v>43</v>
      </c>
      <c r="F3742" s="2">
        <f>IFERROR(__xludf.DUMMYFUNCTION("""COMPUTED_VALUE"""),4.0)</f>
        <v>4</v>
      </c>
      <c r="G3742" s="2">
        <f>IFERROR(__xludf.DUMMYFUNCTION("""COMPUTED_VALUE"""),5.0)</f>
        <v>5</v>
      </c>
      <c r="H3742" s="2" t="str">
        <f>IFERROR(__xludf.DUMMYFUNCTION("""COMPUTED_VALUE"""),"M. ģim.")</f>
        <v>M. ģim.</v>
      </c>
      <c r="I3742" s="2" t="str">
        <f>IFERROR(__xludf.DUMMYFUNCTION("""COMPUTED_VALUE"""),"Panel")</f>
        <v>Panel</v>
      </c>
      <c r="J3742" s="2" t="str">
        <f>IFERROR(__xludf.DUMMYFUNCTION("""COMPUTED_VALUE"""),"All amenities")</f>
        <v>All amenities</v>
      </c>
      <c r="K3742" s="2">
        <f>IFERROR(__xludf.DUMMYFUNCTION("""COMPUTED_VALUE"""),34000.0)</f>
        <v>34000</v>
      </c>
      <c r="L3742" s="2">
        <f>IFERROR(__xludf.DUMMYFUNCTION("""COMPUTED_VALUE"""),56.9458712)</f>
        <v>56.9458712</v>
      </c>
      <c r="M3742" s="2">
        <f>IFERROR(__xludf.DUMMYFUNCTION("""COMPUTED_VALUE"""),24.1762488999999)</f>
        <v>24.1762489</v>
      </c>
    </row>
    <row r="3743">
      <c r="A3743" s="2" t="str">
        <f>IFERROR(__xludf.DUMMYFUNCTION("""COMPUTED_VALUE"""),"For rent")</f>
        <v>For rent</v>
      </c>
      <c r="B3743" s="2" t="str">
        <f>IFERROR(__xludf.DUMMYFUNCTION("""COMPUTED_VALUE"""),"Maskavas priekšpilsēta")</f>
        <v>Maskavas priekšpilsēta</v>
      </c>
      <c r="C3743" s="2" t="str">
        <f>IFERROR(__xludf.DUMMYFUNCTION("""COMPUTED_VALUE"""),"Kalna 11")</f>
        <v>Kalna 11</v>
      </c>
      <c r="D3743" s="2">
        <f>IFERROR(__xludf.DUMMYFUNCTION("""COMPUTED_VALUE"""),1.0)</f>
        <v>1</v>
      </c>
      <c r="E3743" s="2">
        <f>IFERROR(__xludf.DUMMYFUNCTION("""COMPUTED_VALUE"""),26.0)</f>
        <v>26</v>
      </c>
      <c r="F3743" s="2">
        <f>IFERROR(__xludf.DUMMYFUNCTION("""COMPUTED_VALUE"""),4.0)</f>
        <v>4</v>
      </c>
      <c r="G3743" s="2">
        <f>IFERROR(__xludf.DUMMYFUNCTION("""COMPUTED_VALUE"""),5.0)</f>
        <v>5</v>
      </c>
      <c r="H3743" s="2" t="str">
        <f>IFERROR(__xludf.DUMMYFUNCTION("""COMPUTED_VALUE"""),"P. kara")</f>
        <v>P. kara</v>
      </c>
      <c r="I3743" s="2" t="str">
        <f>IFERROR(__xludf.DUMMYFUNCTION("""COMPUTED_VALUE"""),"Brick")</f>
        <v>Brick</v>
      </c>
      <c r="J3743" s="2" t="str">
        <f>IFERROR(__xludf.DUMMYFUNCTION("""COMPUTED_VALUE"""),"All amenities")</f>
        <v>All amenities</v>
      </c>
      <c r="K3743" s="2">
        <f>IFERROR(__xludf.DUMMYFUNCTION("""COMPUTED_VALUE"""),200.0)</f>
        <v>200</v>
      </c>
      <c r="L3743" s="2">
        <f>IFERROR(__xludf.DUMMYFUNCTION("""COMPUTED_VALUE"""),56.9422440999999)</f>
        <v>56.9422441</v>
      </c>
      <c r="M3743" s="2">
        <f>IFERROR(__xludf.DUMMYFUNCTION("""COMPUTED_VALUE"""),24.143329801068)</f>
        <v>24.1433298</v>
      </c>
    </row>
    <row r="3744">
      <c r="A3744" s="2" t="str">
        <f>IFERROR(__xludf.DUMMYFUNCTION("""COMPUTED_VALUE"""),"For sale")</f>
        <v>For sale</v>
      </c>
      <c r="B3744" s="2" t="str">
        <f>IFERROR(__xludf.DUMMYFUNCTION("""COMPUTED_VALUE"""),"Klīversala")</f>
        <v>Klīversala</v>
      </c>
      <c r="C3744" s="2" t="str">
        <f>IFERROR(__xludf.DUMMYFUNCTION("""COMPUTED_VALUE"""),"St. Rusas 22a")</f>
        <v>St. Rusas 22a</v>
      </c>
      <c r="D3744" s="2">
        <f>IFERROR(__xludf.DUMMYFUNCTION("""COMPUTED_VALUE"""),2.0)</f>
        <v>2</v>
      </c>
      <c r="E3744" s="2">
        <f>IFERROR(__xludf.DUMMYFUNCTION("""COMPUTED_VALUE"""),60.0)</f>
        <v>60</v>
      </c>
      <c r="F3744" s="2">
        <f>IFERROR(__xludf.DUMMYFUNCTION("""COMPUTED_VALUE"""),2.0)</f>
        <v>2</v>
      </c>
      <c r="G3744" s="2">
        <f>IFERROR(__xludf.DUMMYFUNCTION("""COMPUTED_VALUE"""),5.0)</f>
        <v>5</v>
      </c>
      <c r="H3744" s="2" t="str">
        <f>IFERROR(__xludf.DUMMYFUNCTION("""COMPUTED_VALUE"""),"Specpr.")</f>
        <v>Specpr.</v>
      </c>
      <c r="I3744" s="2" t="str">
        <f>IFERROR(__xludf.DUMMYFUNCTION("""COMPUTED_VALUE"""),"Panel-Brick")</f>
        <v>Panel-Brick</v>
      </c>
      <c r="J3744" s="2" t="str">
        <f>IFERROR(__xludf.DUMMYFUNCTION("""COMPUTED_VALUE"""),"All amenities")</f>
        <v>All amenities</v>
      </c>
      <c r="K3744" s="2">
        <f>IFERROR(__xludf.DUMMYFUNCTION("""COMPUTED_VALUE"""),185000.0)</f>
        <v>185000</v>
      </c>
      <c r="L3744" s="2">
        <f>IFERROR(__xludf.DUMMYFUNCTION("""COMPUTED_VALUE"""),56.94358355)</f>
        <v>56.94358355</v>
      </c>
      <c r="M3744" s="2">
        <f>IFERROR(__xludf.DUMMYFUNCTION("""COMPUTED_VALUE"""),24.0916786902004)</f>
        <v>24.09167869</v>
      </c>
    </row>
    <row r="3745">
      <c r="A3745" s="2" t="str">
        <f>IFERROR(__xludf.DUMMYFUNCTION("""COMPUTED_VALUE"""),"For sale")</f>
        <v>For sale</v>
      </c>
      <c r="B3745" s="2" t="str">
        <f>IFERROR(__xludf.DUMMYFUNCTION("""COMPUTED_VALUE"""),"centrs")</f>
        <v>centrs</v>
      </c>
      <c r="C3745" s="2" t="str">
        <f>IFERROR(__xludf.DUMMYFUNCTION("""COMPUTED_VALUE"""),"Klijānu 6")</f>
        <v>Klijānu 6</v>
      </c>
      <c r="D3745" s="2">
        <f>IFERROR(__xludf.DUMMYFUNCTION("""COMPUTED_VALUE"""),3.0)</f>
        <v>3</v>
      </c>
      <c r="E3745" s="2">
        <f>IFERROR(__xludf.DUMMYFUNCTION("""COMPUTED_VALUE"""),53.1)</f>
        <v>53.1</v>
      </c>
      <c r="F3745" s="2">
        <f>IFERROR(__xludf.DUMMYFUNCTION("""COMPUTED_VALUE"""),3.0)</f>
        <v>3</v>
      </c>
      <c r="G3745" s="2">
        <f>IFERROR(__xludf.DUMMYFUNCTION("""COMPUTED_VALUE"""),9.0)</f>
        <v>9</v>
      </c>
      <c r="H3745" s="2" t="str">
        <f>IFERROR(__xludf.DUMMYFUNCTION("""COMPUTED_VALUE"""),"Jaun.")</f>
        <v>Jaun.</v>
      </c>
      <c r="I3745" s="2" t="str">
        <f>IFERROR(__xludf.DUMMYFUNCTION("""COMPUTED_VALUE"""),"Panel-Brick")</f>
        <v>Panel-Brick</v>
      </c>
      <c r="J3745" s="2" t="str">
        <f>IFERROR(__xludf.DUMMYFUNCTION("""COMPUTED_VALUE"""),"All amenities")</f>
        <v>All amenities</v>
      </c>
      <c r="K3745" s="2">
        <f>IFERROR(__xludf.DUMMYFUNCTION("""COMPUTED_VALUE"""),75000.0)</f>
        <v>75000</v>
      </c>
      <c r="L3745" s="2">
        <f>IFERROR(__xludf.DUMMYFUNCTION("""COMPUTED_VALUE"""),56.9726557)</f>
        <v>56.9726557</v>
      </c>
      <c r="M3745" s="2">
        <f>IFERROR(__xludf.DUMMYFUNCTION("""COMPUTED_VALUE"""),24.1493117212851)</f>
        <v>24.14931172</v>
      </c>
    </row>
    <row r="3746">
      <c r="A3746" s="2" t="str">
        <f>IFERROR(__xludf.DUMMYFUNCTION("""COMPUTED_VALUE"""),"For sale")</f>
        <v>For sale</v>
      </c>
      <c r="B3746" s="2" t="str">
        <f>IFERROR(__xludf.DUMMYFUNCTION("""COMPUTED_VALUE"""),"Purvciems")</f>
        <v>Purvciems</v>
      </c>
      <c r="C3746" s="2" t="str">
        <f>IFERROR(__xludf.DUMMYFUNCTION("""COMPUTED_VALUE"""),"Burtnieku 36a")</f>
        <v>Burtnieku 36a</v>
      </c>
      <c r="D3746" s="2">
        <f>IFERROR(__xludf.DUMMYFUNCTION("""COMPUTED_VALUE"""),2.0)</f>
        <v>2</v>
      </c>
      <c r="E3746" s="2">
        <f>IFERROR(__xludf.DUMMYFUNCTION("""COMPUTED_VALUE"""),57.0)</f>
        <v>57</v>
      </c>
      <c r="F3746" s="2">
        <f>IFERROR(__xludf.DUMMYFUNCTION("""COMPUTED_VALUE"""),3.0)</f>
        <v>3</v>
      </c>
      <c r="G3746" s="2">
        <f>IFERROR(__xludf.DUMMYFUNCTION("""COMPUTED_VALUE"""),5.0)</f>
        <v>5</v>
      </c>
      <c r="H3746" s="2" t="str">
        <f>IFERROR(__xludf.DUMMYFUNCTION("""COMPUTED_VALUE"""),"Jaun.")</f>
        <v>Jaun.</v>
      </c>
      <c r="I3746" s="2" t="str">
        <f>IFERROR(__xludf.DUMMYFUNCTION("""COMPUTED_VALUE"""),"Brick-Panel")</f>
        <v>Brick-Panel</v>
      </c>
      <c r="J3746" s="2" t="str">
        <f>IFERROR(__xludf.DUMMYFUNCTION("""COMPUTED_VALUE"""),"All amenities")</f>
        <v>All amenities</v>
      </c>
      <c r="K3746" s="2">
        <f>IFERROR(__xludf.DUMMYFUNCTION("""COMPUTED_VALUE"""),80000.0)</f>
        <v>80000</v>
      </c>
      <c r="L3746" s="2">
        <f>IFERROR(__xludf.DUMMYFUNCTION("""COMPUTED_VALUE"""),56.9670442)</f>
        <v>56.9670442</v>
      </c>
      <c r="M3746" s="2">
        <f>IFERROR(__xludf.DUMMYFUNCTION("""COMPUTED_VALUE"""),24.1820249)</f>
        <v>24.1820249</v>
      </c>
    </row>
    <row r="3747">
      <c r="A3747" s="2" t="str">
        <f>IFERROR(__xludf.DUMMYFUNCTION("""COMPUTED_VALUE"""),"For sale")</f>
        <v>For sale</v>
      </c>
      <c r="B3747" s="2" t="str">
        <f>IFERROR(__xludf.DUMMYFUNCTION("""COMPUTED_VALUE"""),"centrs")</f>
        <v>centrs</v>
      </c>
      <c r="C3747" s="2" t="str">
        <f>IFERROR(__xludf.DUMMYFUNCTION("""COMPUTED_VALUE"""),"Ģertrūdes 93")</f>
        <v>Ģertrūdes 93</v>
      </c>
      <c r="D3747" s="2">
        <f>IFERROR(__xludf.DUMMYFUNCTION("""COMPUTED_VALUE"""),1.0)</f>
        <v>1</v>
      </c>
      <c r="E3747" s="2">
        <f>IFERROR(__xludf.DUMMYFUNCTION("""COMPUTED_VALUE"""),49.0)</f>
        <v>49</v>
      </c>
      <c r="F3747" s="2">
        <f>IFERROR(__xludf.DUMMYFUNCTION("""COMPUTED_VALUE"""),4.0)</f>
        <v>4</v>
      </c>
      <c r="G3747" s="2">
        <f>IFERROR(__xludf.DUMMYFUNCTION("""COMPUTED_VALUE"""),5.0)</f>
        <v>5</v>
      </c>
      <c r="H3747" s="2" t="str">
        <f>IFERROR(__xludf.DUMMYFUNCTION("""COMPUTED_VALUE"""),"P. kara")</f>
        <v>P. kara</v>
      </c>
      <c r="I3747" s="2" t="str">
        <f>IFERROR(__xludf.DUMMYFUNCTION("""COMPUTED_VALUE"""),"Masonry")</f>
        <v>Masonry</v>
      </c>
      <c r="J3747" s="2" t="str">
        <f>IFERROR(__xludf.DUMMYFUNCTION("""COMPUTED_VALUE"""),"All amenities")</f>
        <v>All amenities</v>
      </c>
      <c r="K3747" s="2">
        <f>IFERROR(__xludf.DUMMYFUNCTION("""COMPUTED_VALUE"""),65000.0)</f>
        <v>65000</v>
      </c>
      <c r="L3747" s="2">
        <f>IFERROR(__xludf.DUMMYFUNCTION("""COMPUTED_VALUE"""),56.95032385)</f>
        <v>56.95032385</v>
      </c>
      <c r="M3747" s="2">
        <f>IFERROR(__xludf.DUMMYFUNCTION("""COMPUTED_VALUE"""),24.1359676740232)</f>
        <v>24.13596767</v>
      </c>
    </row>
    <row r="3748">
      <c r="A3748" s="2" t="str">
        <f>IFERROR(__xludf.DUMMYFUNCTION("""COMPUTED_VALUE"""),"For sale")</f>
        <v>For sale</v>
      </c>
      <c r="B3748" s="2" t="str">
        <f>IFERROR(__xludf.DUMMYFUNCTION("""COMPUTED_VALUE"""),"centrs")</f>
        <v>centrs</v>
      </c>
      <c r="C3748" s="2" t="str">
        <f>IFERROR(__xludf.DUMMYFUNCTION("""COMPUTED_VALUE"""),"Valdemāra 57")</f>
        <v>Valdemāra 57</v>
      </c>
      <c r="D3748" s="2">
        <f>IFERROR(__xludf.DUMMYFUNCTION("""COMPUTED_VALUE"""),3.0)</f>
        <v>3</v>
      </c>
      <c r="E3748" s="2">
        <f>IFERROR(__xludf.DUMMYFUNCTION("""COMPUTED_VALUE"""),88.0)</f>
        <v>88</v>
      </c>
      <c r="F3748" s="2">
        <f>IFERROR(__xludf.DUMMYFUNCTION("""COMPUTED_VALUE"""),3.0)</f>
        <v>3</v>
      </c>
      <c r="G3748" s="2">
        <f>IFERROR(__xludf.DUMMYFUNCTION("""COMPUTED_VALUE"""),6.0)</f>
        <v>6</v>
      </c>
      <c r="H3748" s="2" t="str">
        <f>IFERROR(__xludf.DUMMYFUNCTION("""COMPUTED_VALUE"""),"P. kara")</f>
        <v>P. kara</v>
      </c>
      <c r="I3748" s="2" t="str">
        <f>IFERROR(__xludf.DUMMYFUNCTION("""COMPUTED_VALUE"""),"Masonry")</f>
        <v>Masonry</v>
      </c>
      <c r="J3748" s="2" t="str">
        <f>IFERROR(__xludf.DUMMYFUNCTION("""COMPUTED_VALUE"""),"All amenities")</f>
        <v>All amenities</v>
      </c>
      <c r="K3748" s="2">
        <f>IFERROR(__xludf.DUMMYFUNCTION("""COMPUTED_VALUE"""),200000.0)</f>
        <v>200000</v>
      </c>
      <c r="L3748" s="2">
        <f>IFERROR(__xludf.DUMMYFUNCTION("""COMPUTED_VALUE"""),56.960378)</f>
        <v>56.960378</v>
      </c>
      <c r="M3748" s="2">
        <f>IFERROR(__xludf.DUMMYFUNCTION("""COMPUTED_VALUE"""),24.1197764)</f>
        <v>24.1197764</v>
      </c>
    </row>
    <row r="3749">
      <c r="A3749" s="2" t="str">
        <f>IFERROR(__xludf.DUMMYFUNCTION("""COMPUTED_VALUE"""),"For rent")</f>
        <v>For rent</v>
      </c>
      <c r="B3749" s="2" t="str">
        <f>IFERROR(__xludf.DUMMYFUNCTION("""COMPUTED_VALUE"""),"centrs")</f>
        <v>centrs</v>
      </c>
      <c r="C3749" s="2" t="str">
        <f>IFERROR(__xludf.DUMMYFUNCTION("""COMPUTED_VALUE"""),"Brīvības 106")</f>
        <v>Brīvības 106</v>
      </c>
      <c r="D3749" s="2">
        <f>IFERROR(__xludf.DUMMYFUNCTION("""COMPUTED_VALUE"""),2.0)</f>
        <v>2</v>
      </c>
      <c r="E3749" s="2">
        <f>IFERROR(__xludf.DUMMYFUNCTION("""COMPUTED_VALUE"""),36.0)</f>
        <v>36</v>
      </c>
      <c r="F3749" s="2">
        <f>IFERROR(__xludf.DUMMYFUNCTION("""COMPUTED_VALUE"""),1.0)</f>
        <v>1</v>
      </c>
      <c r="G3749" s="2">
        <f>IFERROR(__xludf.DUMMYFUNCTION("""COMPUTED_VALUE"""),5.0)</f>
        <v>5</v>
      </c>
      <c r="H3749" s="2" t="str">
        <f>IFERROR(__xludf.DUMMYFUNCTION("""COMPUTED_VALUE"""),"Renov.")</f>
        <v>Renov.</v>
      </c>
      <c r="I3749" s="2" t="str">
        <f>IFERROR(__xludf.DUMMYFUNCTION("""COMPUTED_VALUE"""),"Brick-Panel")</f>
        <v>Brick-Panel</v>
      </c>
      <c r="J3749" s="2" t="str">
        <f>IFERROR(__xludf.DUMMYFUNCTION("""COMPUTED_VALUE"""),"All amenities")</f>
        <v>All amenities</v>
      </c>
      <c r="K3749" s="2">
        <f>IFERROR(__xludf.DUMMYFUNCTION("""COMPUTED_VALUE"""),350.0)</f>
        <v>350</v>
      </c>
      <c r="L3749" s="2" t="str">
        <f>IFERROR(__xludf.DUMMYFUNCTION("""COMPUTED_VALUE"""),"NaN")</f>
        <v>NaN</v>
      </c>
      <c r="M3749" s="2" t="str">
        <f>IFERROR(__xludf.DUMMYFUNCTION("""COMPUTED_VALUE"""),"NaN")</f>
        <v>NaN</v>
      </c>
    </row>
    <row r="3750">
      <c r="A3750" s="2" t="str">
        <f>IFERROR(__xludf.DUMMYFUNCTION("""COMPUTED_VALUE"""),"For rent")</f>
        <v>For rent</v>
      </c>
      <c r="B3750" s="2" t="str">
        <f>IFERROR(__xludf.DUMMYFUNCTION("""COMPUTED_VALUE"""),"Āgenskalns")</f>
        <v>Āgenskalns</v>
      </c>
      <c r="C3750" s="2" t="str">
        <f>IFERROR(__xludf.DUMMYFUNCTION("""COMPUTED_VALUE"""),"Kapseļu 4a")</f>
        <v>Kapseļu 4a</v>
      </c>
      <c r="D3750" s="2">
        <f>IFERROR(__xludf.DUMMYFUNCTION("""COMPUTED_VALUE"""),2.0)</f>
        <v>2</v>
      </c>
      <c r="E3750" s="2">
        <f>IFERROR(__xludf.DUMMYFUNCTION("""COMPUTED_VALUE"""),54.0)</f>
        <v>54</v>
      </c>
      <c r="F3750" s="2">
        <f>IFERROR(__xludf.DUMMYFUNCTION("""COMPUTED_VALUE"""),3.0)</f>
        <v>3</v>
      </c>
      <c r="G3750" s="2">
        <f>IFERROR(__xludf.DUMMYFUNCTION("""COMPUTED_VALUE"""),3.0)</f>
        <v>3</v>
      </c>
      <c r="H3750" s="2" t="str">
        <f>IFERROR(__xludf.DUMMYFUNCTION("""COMPUTED_VALUE"""),"Staļina")</f>
        <v>Staļina</v>
      </c>
      <c r="I3750" s="2" t="str">
        <f>IFERROR(__xludf.DUMMYFUNCTION("""COMPUTED_VALUE"""),"Brick")</f>
        <v>Brick</v>
      </c>
      <c r="J3750" s="2" t="str">
        <f>IFERROR(__xludf.DUMMYFUNCTION("""COMPUTED_VALUE"""),"All amenities")</f>
        <v>All amenities</v>
      </c>
      <c r="K3750" s="2">
        <f>IFERROR(__xludf.DUMMYFUNCTION("""COMPUTED_VALUE"""),300.0)</f>
        <v>300</v>
      </c>
      <c r="L3750" s="2">
        <f>IFERROR(__xludf.DUMMYFUNCTION("""COMPUTED_VALUE"""),56.9415104)</f>
        <v>56.9415104</v>
      </c>
      <c r="M3750" s="2">
        <f>IFERROR(__xludf.DUMMYFUNCTION("""COMPUTED_VALUE"""),24.0675733246234)</f>
        <v>24.06757332</v>
      </c>
    </row>
    <row r="3751">
      <c r="A3751" s="2" t="str">
        <f>IFERROR(__xludf.DUMMYFUNCTION("""COMPUTED_VALUE"""),"For sale")</f>
        <v>For sale</v>
      </c>
      <c r="B3751" s="2" t="str">
        <f>IFERROR(__xludf.DUMMYFUNCTION("""COMPUTED_VALUE"""),"Dārzciems")</f>
        <v>Dārzciems</v>
      </c>
      <c r="C3751" s="2" t="str">
        <f>IFERROR(__xludf.DUMMYFUNCTION("""COMPUTED_VALUE"""),"Stopiņu 8")</f>
        <v>Stopiņu 8</v>
      </c>
      <c r="D3751" s="2">
        <f>IFERROR(__xludf.DUMMYFUNCTION("""COMPUTED_VALUE"""),3.0)</f>
        <v>3</v>
      </c>
      <c r="E3751" s="2">
        <f>IFERROR(__xludf.DUMMYFUNCTION("""COMPUTED_VALUE"""),59.0)</f>
        <v>59</v>
      </c>
      <c r="F3751" s="2">
        <f>IFERROR(__xludf.DUMMYFUNCTION("""COMPUTED_VALUE"""),1.0)</f>
        <v>1</v>
      </c>
      <c r="G3751" s="2">
        <f>IFERROR(__xludf.DUMMYFUNCTION("""COMPUTED_VALUE"""),3.0)</f>
        <v>3</v>
      </c>
      <c r="H3751" s="2" t="str">
        <f>IFERROR(__xludf.DUMMYFUNCTION("""COMPUTED_VALUE"""),"Renov.")</f>
        <v>Renov.</v>
      </c>
      <c r="I3751" s="2" t="str">
        <f>IFERROR(__xludf.DUMMYFUNCTION("""COMPUTED_VALUE"""),"Masonry")</f>
        <v>Masonry</v>
      </c>
      <c r="J3751" s="2" t="str">
        <f>IFERROR(__xludf.DUMMYFUNCTION("""COMPUTED_VALUE"""),"All amenities")</f>
        <v>All amenities</v>
      </c>
      <c r="K3751" s="2">
        <f>IFERROR(__xludf.DUMMYFUNCTION("""COMPUTED_VALUE"""),83000.0)</f>
        <v>83000</v>
      </c>
      <c r="L3751" s="2">
        <f>IFERROR(__xludf.DUMMYFUNCTION("""COMPUTED_VALUE"""),56.9492446)</f>
        <v>56.9492446</v>
      </c>
      <c r="M3751" s="2">
        <f>IFERROR(__xludf.DUMMYFUNCTION("""COMPUTED_VALUE"""),24.16848285)</f>
        <v>24.16848285</v>
      </c>
    </row>
    <row r="3752">
      <c r="A3752" s="2" t="str">
        <f>IFERROR(__xludf.DUMMYFUNCTION("""COMPUTED_VALUE"""),"For rent")</f>
        <v>For rent</v>
      </c>
      <c r="B3752" s="2" t="str">
        <f>IFERROR(__xludf.DUMMYFUNCTION("""COMPUTED_VALUE"""),"Teika")</f>
        <v>Teika</v>
      </c>
      <c r="C3752" s="2" t="str">
        <f>IFERROR(__xludf.DUMMYFUNCTION("""COMPUTED_VALUE"""),"Apes 5")</f>
        <v>Apes 5</v>
      </c>
      <c r="D3752" s="2">
        <f>IFERROR(__xludf.DUMMYFUNCTION("""COMPUTED_VALUE"""),1.0)</f>
        <v>1</v>
      </c>
      <c r="E3752" s="2">
        <f>IFERROR(__xludf.DUMMYFUNCTION("""COMPUTED_VALUE"""),27.0)</f>
        <v>27</v>
      </c>
      <c r="F3752" s="2">
        <f>IFERROR(__xludf.DUMMYFUNCTION("""COMPUTED_VALUE"""),3.0)</f>
        <v>3</v>
      </c>
      <c r="G3752" s="2">
        <f>IFERROR(__xludf.DUMMYFUNCTION("""COMPUTED_VALUE"""),5.0)</f>
        <v>5</v>
      </c>
      <c r="H3752" s="2" t="str">
        <f>IFERROR(__xludf.DUMMYFUNCTION("""COMPUTED_VALUE"""),"Hrušč.")</f>
        <v>Hrušč.</v>
      </c>
      <c r="I3752" s="2" t="str">
        <f>IFERROR(__xludf.DUMMYFUNCTION("""COMPUTED_VALUE"""),"Brick-Panel")</f>
        <v>Brick-Panel</v>
      </c>
      <c r="J3752" s="2" t="str">
        <f>IFERROR(__xludf.DUMMYFUNCTION("""COMPUTED_VALUE"""),"All amenities")</f>
        <v>All amenities</v>
      </c>
      <c r="K3752" s="2">
        <f>IFERROR(__xludf.DUMMYFUNCTION("""COMPUTED_VALUE"""),300.0)</f>
        <v>300</v>
      </c>
      <c r="L3752" s="2">
        <f>IFERROR(__xludf.DUMMYFUNCTION("""COMPUTED_VALUE"""),56.9774920499999)</f>
        <v>56.97749205</v>
      </c>
      <c r="M3752" s="2">
        <f>IFERROR(__xludf.DUMMYFUNCTION("""COMPUTED_VALUE"""),24.1744972362906)</f>
        <v>24.17449724</v>
      </c>
    </row>
    <row r="3753">
      <c r="A3753" s="2" t="str">
        <f>IFERROR(__xludf.DUMMYFUNCTION("""COMPUTED_VALUE"""),"For rent")</f>
        <v>For rent</v>
      </c>
      <c r="B3753" s="2" t="str">
        <f>IFERROR(__xludf.DUMMYFUNCTION("""COMPUTED_VALUE"""),"Krasta r-ns")</f>
        <v>Krasta r-ns</v>
      </c>
      <c r="C3753" s="2" t="str">
        <f>IFERROR(__xludf.DUMMYFUNCTION("""COMPUTED_VALUE"""),"Salacas 1")</f>
        <v>Salacas 1</v>
      </c>
      <c r="D3753" s="2">
        <f>IFERROR(__xludf.DUMMYFUNCTION("""COMPUTED_VALUE"""),1.0)</f>
        <v>1</v>
      </c>
      <c r="E3753" s="2">
        <f>IFERROR(__xludf.DUMMYFUNCTION("""COMPUTED_VALUE"""),33.0)</f>
        <v>33</v>
      </c>
      <c r="F3753" s="2">
        <f>IFERROR(__xludf.DUMMYFUNCTION("""COMPUTED_VALUE"""),3.0)</f>
        <v>3</v>
      </c>
      <c r="G3753" s="2">
        <f>IFERROR(__xludf.DUMMYFUNCTION("""COMPUTED_VALUE"""),4.0)</f>
        <v>4</v>
      </c>
      <c r="H3753" s="2" t="str">
        <f>IFERROR(__xludf.DUMMYFUNCTION("""COMPUTED_VALUE"""),"Renov.")</f>
        <v>Renov.</v>
      </c>
      <c r="I3753" s="2" t="str">
        <f>IFERROR(__xludf.DUMMYFUNCTION("""COMPUTED_VALUE"""),"Brick")</f>
        <v>Brick</v>
      </c>
      <c r="J3753" s="2" t="str">
        <f>IFERROR(__xludf.DUMMYFUNCTION("""COMPUTED_VALUE"""),"All amenities")</f>
        <v>All amenities</v>
      </c>
      <c r="K3753" s="2">
        <f>IFERROR(__xludf.DUMMYFUNCTION("""COMPUTED_VALUE"""),45.0)</f>
        <v>45</v>
      </c>
      <c r="L3753" s="2">
        <f>IFERROR(__xludf.DUMMYFUNCTION("""COMPUTED_VALUE"""),56.93045135)</f>
        <v>56.93045135</v>
      </c>
      <c r="M3753" s="2">
        <f>IFERROR(__xludf.DUMMYFUNCTION("""COMPUTED_VALUE"""),24.1685884402146)</f>
        <v>24.16858844</v>
      </c>
    </row>
    <row r="3754">
      <c r="A3754" s="2" t="str">
        <f>IFERROR(__xludf.DUMMYFUNCTION("""COMPUTED_VALUE"""),"For sale")</f>
        <v>For sale</v>
      </c>
      <c r="B3754" s="2" t="str">
        <f>IFERROR(__xludf.DUMMYFUNCTION("""COMPUTED_VALUE"""),"centrs")</f>
        <v>centrs</v>
      </c>
      <c r="C3754" s="2" t="str">
        <f>IFERROR(__xludf.DUMMYFUNCTION("""COMPUTED_VALUE"""),"Brīvības iela 152")</f>
        <v>Brīvības iela 152</v>
      </c>
      <c r="D3754" s="2">
        <f>IFERROR(__xludf.DUMMYFUNCTION("""COMPUTED_VALUE"""),3.0)</f>
        <v>3</v>
      </c>
      <c r="E3754" s="2">
        <f>IFERROR(__xludf.DUMMYFUNCTION("""COMPUTED_VALUE"""),71.0)</f>
        <v>71</v>
      </c>
      <c r="F3754" s="2">
        <f>IFERROR(__xludf.DUMMYFUNCTION("""COMPUTED_VALUE"""),7.0)</f>
        <v>7</v>
      </c>
      <c r="G3754" s="2">
        <f>IFERROR(__xludf.DUMMYFUNCTION("""COMPUTED_VALUE"""),8.0)</f>
        <v>8</v>
      </c>
      <c r="H3754" s="2" t="str">
        <f>IFERROR(__xludf.DUMMYFUNCTION("""COMPUTED_VALUE"""),"Specpr.")</f>
        <v>Specpr.</v>
      </c>
      <c r="I3754" s="2" t="str">
        <f>IFERROR(__xludf.DUMMYFUNCTION("""COMPUTED_VALUE"""),"Brick")</f>
        <v>Brick</v>
      </c>
      <c r="J3754" s="2" t="str">
        <f>IFERROR(__xludf.DUMMYFUNCTION("""COMPUTED_VALUE"""),"All amenities")</f>
        <v>All amenities</v>
      </c>
      <c r="K3754" s="2">
        <f>IFERROR(__xludf.DUMMYFUNCTION("""COMPUTED_VALUE"""),85000.0)</f>
        <v>85000</v>
      </c>
      <c r="L3754" s="2">
        <f>IFERROR(__xludf.DUMMYFUNCTION("""COMPUTED_VALUE"""),56.9649596)</f>
        <v>56.9649596</v>
      </c>
      <c r="M3754" s="2">
        <f>IFERROR(__xludf.DUMMYFUNCTION("""COMPUTED_VALUE"""),24.1420931)</f>
        <v>24.1420931</v>
      </c>
    </row>
    <row r="3755">
      <c r="A3755" s="2" t="str">
        <f>IFERROR(__xludf.DUMMYFUNCTION("""COMPUTED_VALUE"""),"For sale")</f>
        <v>For sale</v>
      </c>
      <c r="B3755" s="2" t="str">
        <f>IFERROR(__xludf.DUMMYFUNCTION("""COMPUTED_VALUE"""),"Maskavas priekšpilsēta")</f>
        <v>Maskavas priekšpilsēta</v>
      </c>
      <c r="C3755" s="2" t="str">
        <f>IFERROR(__xludf.DUMMYFUNCTION("""COMPUTED_VALUE"""),"Daugavpils 49")</f>
        <v>Daugavpils 49</v>
      </c>
      <c r="D3755" s="2">
        <f>IFERROR(__xludf.DUMMYFUNCTION("""COMPUTED_VALUE"""),1.0)</f>
        <v>1</v>
      </c>
      <c r="E3755" s="2">
        <f>IFERROR(__xludf.DUMMYFUNCTION("""COMPUTED_VALUE"""),22.0)</f>
        <v>22</v>
      </c>
      <c r="F3755" s="2">
        <f>IFERROR(__xludf.DUMMYFUNCTION("""COMPUTED_VALUE"""),3.0)</f>
        <v>3</v>
      </c>
      <c r="G3755" s="2">
        <f>IFERROR(__xludf.DUMMYFUNCTION("""COMPUTED_VALUE"""),5.0)</f>
        <v>5</v>
      </c>
      <c r="H3755" s="2" t="str">
        <f>IFERROR(__xludf.DUMMYFUNCTION("""COMPUTED_VALUE"""),"P. kara")</f>
        <v>P. kara</v>
      </c>
      <c r="I3755" s="2" t="str">
        <f>IFERROR(__xludf.DUMMYFUNCTION("""COMPUTED_VALUE"""),"Masonry")</f>
        <v>Masonry</v>
      </c>
      <c r="J3755" s="2" t="str">
        <f>IFERROR(__xludf.DUMMYFUNCTION("""COMPUTED_VALUE"""),"All amenities")</f>
        <v>All amenities</v>
      </c>
      <c r="K3755" s="2">
        <f>IFERROR(__xludf.DUMMYFUNCTION("""COMPUTED_VALUE"""),22000.0)</f>
        <v>22000</v>
      </c>
      <c r="L3755" s="2">
        <f>IFERROR(__xludf.DUMMYFUNCTION("""COMPUTED_VALUE"""),56.9454255)</f>
        <v>56.9454255</v>
      </c>
      <c r="M3755" s="2">
        <f>IFERROR(__xludf.DUMMYFUNCTION("""COMPUTED_VALUE"""),24.1405011157079)</f>
        <v>24.14050112</v>
      </c>
    </row>
    <row r="3756">
      <c r="A3756" s="2" t="str">
        <f>IFERROR(__xludf.DUMMYFUNCTION("""COMPUTED_VALUE"""),"For sale")</f>
        <v>For sale</v>
      </c>
      <c r="B3756" s="2" t="str">
        <f>IFERROR(__xludf.DUMMYFUNCTION("""COMPUTED_VALUE"""),"Iļģuciems")</f>
        <v>Iļģuciems</v>
      </c>
      <c r="C3756" s="2" t="str">
        <f>IFERROR(__xludf.DUMMYFUNCTION("""COMPUTED_VALUE"""),"Spilves 37")</f>
        <v>Spilves 37</v>
      </c>
      <c r="D3756" s="2">
        <f>IFERROR(__xludf.DUMMYFUNCTION("""COMPUTED_VALUE"""),3.0)</f>
        <v>3</v>
      </c>
      <c r="E3756" s="2">
        <f>IFERROR(__xludf.DUMMYFUNCTION("""COMPUTED_VALUE"""),68.0)</f>
        <v>68</v>
      </c>
      <c r="F3756" s="2">
        <f>IFERROR(__xludf.DUMMYFUNCTION("""COMPUTED_VALUE"""),4.0)</f>
        <v>4</v>
      </c>
      <c r="G3756" s="2">
        <f>IFERROR(__xludf.DUMMYFUNCTION("""COMPUTED_VALUE"""),5.0)</f>
        <v>5</v>
      </c>
      <c r="H3756" s="2" t="str">
        <f>IFERROR(__xludf.DUMMYFUNCTION("""COMPUTED_VALUE"""),"LT proj.")</f>
        <v>LT proj.</v>
      </c>
      <c r="I3756" s="2" t="str">
        <f>IFERROR(__xludf.DUMMYFUNCTION("""COMPUTED_VALUE"""),"Panel")</f>
        <v>Panel</v>
      </c>
      <c r="J3756" s="2" t="str">
        <f>IFERROR(__xludf.DUMMYFUNCTION("""COMPUTED_VALUE"""),"All amenities")</f>
        <v>All amenities</v>
      </c>
      <c r="K3756" s="2">
        <f>IFERROR(__xludf.DUMMYFUNCTION("""COMPUTED_VALUE"""),57300.0)</f>
        <v>57300</v>
      </c>
      <c r="L3756" s="2">
        <f>IFERROR(__xludf.DUMMYFUNCTION("""COMPUTED_VALUE"""),56.9706776)</f>
        <v>56.9706776</v>
      </c>
      <c r="M3756" s="2">
        <f>IFERROR(__xludf.DUMMYFUNCTION("""COMPUTED_VALUE"""),24.0513758618948)</f>
        <v>24.05137586</v>
      </c>
    </row>
    <row r="3757">
      <c r="A3757" s="2" t="str">
        <f>IFERROR(__xludf.DUMMYFUNCTION("""COMPUTED_VALUE"""),"For rent")</f>
        <v>For rent</v>
      </c>
      <c r="B3757" s="2" t="str">
        <f>IFERROR(__xludf.DUMMYFUNCTION("""COMPUTED_VALUE"""),"centrs")</f>
        <v>centrs</v>
      </c>
      <c r="C3757" s="2" t="str">
        <f>IFERROR(__xludf.DUMMYFUNCTION("""COMPUTED_VALUE"""),"Valdemāra 69")</f>
        <v>Valdemāra 69</v>
      </c>
      <c r="D3757" s="2">
        <f>IFERROR(__xludf.DUMMYFUNCTION("""COMPUTED_VALUE"""),1.0)</f>
        <v>1</v>
      </c>
      <c r="E3757" s="2">
        <f>IFERROR(__xludf.DUMMYFUNCTION("""COMPUTED_VALUE"""),20.0)</f>
        <v>20</v>
      </c>
      <c r="F3757" s="2">
        <f>IFERROR(__xludf.DUMMYFUNCTION("""COMPUTED_VALUE"""),1.0)</f>
        <v>1</v>
      </c>
      <c r="G3757" s="2">
        <f>IFERROR(__xludf.DUMMYFUNCTION("""COMPUTED_VALUE"""),5.0)</f>
        <v>5</v>
      </c>
      <c r="H3757" s="2" t="str">
        <f>IFERROR(__xludf.DUMMYFUNCTION("""COMPUTED_VALUE"""),"Renov.")</f>
        <v>Renov.</v>
      </c>
      <c r="I3757" s="2" t="str">
        <f>IFERROR(__xludf.DUMMYFUNCTION("""COMPUTED_VALUE"""),"Masonry")</f>
        <v>Masonry</v>
      </c>
      <c r="J3757" s="2" t="str">
        <f>IFERROR(__xludf.DUMMYFUNCTION("""COMPUTED_VALUE"""),"All amenities")</f>
        <v>All amenities</v>
      </c>
      <c r="K3757" s="2">
        <f>IFERROR(__xludf.DUMMYFUNCTION("""COMPUTED_VALUE"""),45.0)</f>
        <v>45</v>
      </c>
      <c r="L3757" s="2">
        <f>IFERROR(__xludf.DUMMYFUNCTION("""COMPUTED_VALUE"""),56.9620417)</f>
        <v>56.9620417</v>
      </c>
      <c r="M3757" s="2">
        <f>IFERROR(__xludf.DUMMYFUNCTION("""COMPUTED_VALUE"""),24.1224439)</f>
        <v>24.1224439</v>
      </c>
    </row>
    <row r="3758">
      <c r="A3758" s="2" t="str">
        <f>IFERROR(__xludf.DUMMYFUNCTION("""COMPUTED_VALUE"""),"For rent")</f>
        <v>For rent</v>
      </c>
      <c r="B3758" s="2" t="str">
        <f>IFERROR(__xludf.DUMMYFUNCTION("""COMPUTED_VALUE"""),"Šampēteris-Pleskodāle")</f>
        <v>Šampēteris-Pleskodāle</v>
      </c>
      <c r="C3758" s="2" t="str">
        <f>IFERROR(__xludf.DUMMYFUNCTION("""COMPUTED_VALUE"""),"Lielirbes 13")</f>
        <v>Lielirbes 13</v>
      </c>
      <c r="D3758" s="2">
        <f>IFERROR(__xludf.DUMMYFUNCTION("""COMPUTED_VALUE"""),3.0)</f>
        <v>3</v>
      </c>
      <c r="E3758" s="2">
        <f>IFERROR(__xludf.DUMMYFUNCTION("""COMPUTED_VALUE"""),90.0)</f>
        <v>90</v>
      </c>
      <c r="F3758" s="2">
        <f>IFERROR(__xludf.DUMMYFUNCTION("""COMPUTED_VALUE"""),15.0)</f>
        <v>15</v>
      </c>
      <c r="G3758" s="2">
        <f>IFERROR(__xludf.DUMMYFUNCTION("""COMPUTED_VALUE"""),30.0)</f>
        <v>30</v>
      </c>
      <c r="H3758" s="2" t="str">
        <f>IFERROR(__xludf.DUMMYFUNCTION("""COMPUTED_VALUE"""),"Jaun.")</f>
        <v>Jaun.</v>
      </c>
      <c r="I3758" s="2" t="str">
        <f>IFERROR(__xludf.DUMMYFUNCTION("""COMPUTED_VALUE"""),"Panel-Brick")</f>
        <v>Panel-Brick</v>
      </c>
      <c r="J3758" s="2" t="str">
        <f>IFERROR(__xludf.DUMMYFUNCTION("""COMPUTED_VALUE"""),"All amenities")</f>
        <v>All amenities</v>
      </c>
      <c r="K3758" s="2">
        <f>IFERROR(__xludf.DUMMYFUNCTION("""COMPUTED_VALUE"""),650.0)</f>
        <v>650</v>
      </c>
      <c r="L3758" s="2">
        <f>IFERROR(__xludf.DUMMYFUNCTION("""COMPUTED_VALUE"""),56.9334996)</f>
        <v>56.9334996</v>
      </c>
      <c r="M3758" s="2">
        <f>IFERROR(__xludf.DUMMYFUNCTION("""COMPUTED_VALUE"""),24.0424848)</f>
        <v>24.0424848</v>
      </c>
    </row>
    <row r="3759">
      <c r="A3759" s="2" t="str">
        <f>IFERROR(__xludf.DUMMYFUNCTION("""COMPUTED_VALUE"""),"For sale")</f>
        <v>For sale</v>
      </c>
      <c r="B3759" s="2" t="str">
        <f>IFERROR(__xludf.DUMMYFUNCTION("""COMPUTED_VALUE"""),"Čiekurkalns")</f>
        <v>Čiekurkalns</v>
      </c>
      <c r="C3759" s="2" t="str">
        <f>IFERROR(__xludf.DUMMYFUNCTION("""COMPUTED_VALUE"""),"Rusova 28")</f>
        <v>Rusova 28</v>
      </c>
      <c r="D3759" s="2">
        <f>IFERROR(__xludf.DUMMYFUNCTION("""COMPUTED_VALUE"""),1.0)</f>
        <v>1</v>
      </c>
      <c r="E3759" s="2">
        <f>IFERROR(__xludf.DUMMYFUNCTION("""COMPUTED_VALUE"""),14.0)</f>
        <v>14</v>
      </c>
      <c r="F3759" s="2">
        <f>IFERROR(__xludf.DUMMYFUNCTION("""COMPUTED_VALUE"""),1.0)</f>
        <v>1</v>
      </c>
      <c r="G3759" s="2">
        <f>IFERROR(__xludf.DUMMYFUNCTION("""COMPUTED_VALUE"""),5.0)</f>
        <v>5</v>
      </c>
      <c r="H3759" s="2" t="str">
        <f>IFERROR(__xludf.DUMMYFUNCTION("""COMPUTED_VALUE"""),"M. ģim.")</f>
        <v>M. ģim.</v>
      </c>
      <c r="I3759" s="2" t="str">
        <f>IFERROR(__xludf.DUMMYFUNCTION("""COMPUTED_VALUE"""),"Panel")</f>
        <v>Panel</v>
      </c>
      <c r="J3759" s="2" t="str">
        <f>IFERROR(__xludf.DUMMYFUNCTION("""COMPUTED_VALUE"""),"All amenities")</f>
        <v>All amenities</v>
      </c>
      <c r="K3759" s="2">
        <f>IFERROR(__xludf.DUMMYFUNCTION("""COMPUTED_VALUE"""),12900.0)</f>
        <v>12900</v>
      </c>
      <c r="L3759" s="2">
        <f>IFERROR(__xludf.DUMMYFUNCTION("""COMPUTED_VALUE"""),56.9870626)</f>
        <v>56.9870626</v>
      </c>
      <c r="M3759" s="2">
        <f>IFERROR(__xludf.DUMMYFUNCTION("""COMPUTED_VALUE"""),24.1723395250161)</f>
        <v>24.17233953</v>
      </c>
    </row>
    <row r="3760">
      <c r="A3760" s="2" t="str">
        <f>IFERROR(__xludf.DUMMYFUNCTION("""COMPUTED_VALUE"""),"For sale")</f>
        <v>For sale</v>
      </c>
      <c r="B3760" s="2" t="str">
        <f>IFERROR(__xludf.DUMMYFUNCTION("""COMPUTED_VALUE"""),"Ķengarags")</f>
        <v>Ķengarags</v>
      </c>
      <c r="C3760" s="2" t="str">
        <f>IFERROR(__xludf.DUMMYFUNCTION("""COMPUTED_VALUE"""),"Ikšķiles 7a")</f>
        <v>Ikšķiles 7a</v>
      </c>
      <c r="D3760" s="2">
        <f>IFERROR(__xludf.DUMMYFUNCTION("""COMPUTED_VALUE"""),2.0)</f>
        <v>2</v>
      </c>
      <c r="E3760" s="2">
        <f>IFERROR(__xludf.DUMMYFUNCTION("""COMPUTED_VALUE"""),51.0)</f>
        <v>51</v>
      </c>
      <c r="F3760" s="2">
        <f>IFERROR(__xludf.DUMMYFUNCTION("""COMPUTED_VALUE"""),1.0)</f>
        <v>1</v>
      </c>
      <c r="G3760" s="2">
        <f>IFERROR(__xludf.DUMMYFUNCTION("""COMPUTED_VALUE"""),9.0)</f>
        <v>9</v>
      </c>
      <c r="H3760" s="2">
        <f>IFERROR(__xludf.DUMMYFUNCTION("""COMPUTED_VALUE"""),467.0)</f>
        <v>467</v>
      </c>
      <c r="I3760" s="2" t="str">
        <f>IFERROR(__xludf.DUMMYFUNCTION("""COMPUTED_VALUE"""),"Panel")</f>
        <v>Panel</v>
      </c>
      <c r="J3760" s="2" t="str">
        <f>IFERROR(__xludf.DUMMYFUNCTION("""COMPUTED_VALUE"""),"All amenities")</f>
        <v>All amenities</v>
      </c>
      <c r="K3760" s="2">
        <f>IFERROR(__xludf.DUMMYFUNCTION("""COMPUTED_VALUE"""),50700.0)</f>
        <v>50700</v>
      </c>
      <c r="L3760" s="2">
        <f>IFERROR(__xludf.DUMMYFUNCTION("""COMPUTED_VALUE"""),56.9042432)</f>
        <v>56.9042432</v>
      </c>
      <c r="M3760" s="2">
        <f>IFERROR(__xludf.DUMMYFUNCTION("""COMPUTED_VALUE"""),24.2102561)</f>
        <v>24.2102561</v>
      </c>
    </row>
    <row r="3761">
      <c r="A3761" s="2" t="str">
        <f>IFERROR(__xludf.DUMMYFUNCTION("""COMPUTED_VALUE"""),"For rent")</f>
        <v>For rent</v>
      </c>
      <c r="B3761" s="2" t="str">
        <f>IFERROR(__xludf.DUMMYFUNCTION("""COMPUTED_VALUE"""),"Čiekurkalns")</f>
        <v>Čiekurkalns</v>
      </c>
      <c r="C3761" s="2" t="str">
        <f>IFERROR(__xludf.DUMMYFUNCTION("""COMPUTED_VALUE"""),"Ezermalas 2/2")</f>
        <v>Ezermalas 2/2</v>
      </c>
      <c r="D3761" s="2">
        <f>IFERROR(__xludf.DUMMYFUNCTION("""COMPUTED_VALUE"""),1.0)</f>
        <v>1</v>
      </c>
      <c r="E3761" s="2">
        <f>IFERROR(__xludf.DUMMYFUNCTION("""COMPUTED_VALUE"""),35.0)</f>
        <v>35</v>
      </c>
      <c r="F3761" s="2">
        <f>IFERROR(__xludf.DUMMYFUNCTION("""COMPUTED_VALUE"""),9.0)</f>
        <v>9</v>
      </c>
      <c r="G3761" s="2">
        <f>IFERROR(__xludf.DUMMYFUNCTION("""COMPUTED_VALUE"""),12.0)</f>
        <v>12</v>
      </c>
      <c r="H3761" s="2" t="str">
        <f>IFERROR(__xludf.DUMMYFUNCTION("""COMPUTED_VALUE"""),"Specpr.")</f>
        <v>Specpr.</v>
      </c>
      <c r="I3761" s="2" t="str">
        <f>IFERROR(__xludf.DUMMYFUNCTION("""COMPUTED_VALUE"""),"Brick")</f>
        <v>Brick</v>
      </c>
      <c r="J3761" s="2" t="str">
        <f>IFERROR(__xludf.DUMMYFUNCTION("""COMPUTED_VALUE"""),"All amenities")</f>
        <v>All amenities</v>
      </c>
      <c r="K3761" s="2">
        <f>IFERROR(__xludf.DUMMYFUNCTION("""COMPUTED_VALUE"""),250.0)</f>
        <v>250</v>
      </c>
      <c r="L3761" s="2">
        <f>IFERROR(__xludf.DUMMYFUNCTION("""COMPUTED_VALUE"""),56.9940605)</f>
        <v>56.9940605</v>
      </c>
      <c r="M3761" s="2">
        <f>IFERROR(__xludf.DUMMYFUNCTION("""COMPUTED_VALUE"""),24.1756989)</f>
        <v>24.1756989</v>
      </c>
    </row>
    <row r="3762">
      <c r="A3762" s="2" t="str">
        <f>IFERROR(__xludf.DUMMYFUNCTION("""COMPUTED_VALUE"""),"For rent")</f>
        <v>For rent</v>
      </c>
      <c r="B3762" s="2" t="str">
        <f>IFERROR(__xludf.DUMMYFUNCTION("""COMPUTED_VALUE"""),"Imanta")</f>
        <v>Imanta</v>
      </c>
      <c r="C3762" s="2" t="str">
        <f>IFERROR(__xludf.DUMMYFUNCTION("""COMPUTED_VALUE"""),"Anniņmuižas bulvāris 38")</f>
        <v>Anniņmuižas bulvāris 38</v>
      </c>
      <c r="D3762" s="2">
        <f>IFERROR(__xludf.DUMMYFUNCTION("""COMPUTED_VALUE"""),2.0)</f>
        <v>2</v>
      </c>
      <c r="E3762" s="2">
        <f>IFERROR(__xludf.DUMMYFUNCTION("""COMPUTED_VALUE"""),60.0)</f>
        <v>60</v>
      </c>
      <c r="F3762" s="2">
        <f>IFERROR(__xludf.DUMMYFUNCTION("""COMPUTED_VALUE"""),2.0)</f>
        <v>2</v>
      </c>
      <c r="G3762" s="2">
        <f>IFERROR(__xludf.DUMMYFUNCTION("""COMPUTED_VALUE"""),17.0)</f>
        <v>17</v>
      </c>
      <c r="H3762" s="2" t="str">
        <f>IFERROR(__xludf.DUMMYFUNCTION("""COMPUTED_VALUE"""),"Jaun.")</f>
        <v>Jaun.</v>
      </c>
      <c r="I3762" s="2" t="str">
        <f>IFERROR(__xludf.DUMMYFUNCTION("""COMPUTED_VALUE"""),"Masonry")</f>
        <v>Masonry</v>
      </c>
      <c r="J3762" s="2" t="str">
        <f>IFERROR(__xludf.DUMMYFUNCTION("""COMPUTED_VALUE"""),"All amenities")</f>
        <v>All amenities</v>
      </c>
      <c r="K3762" s="2">
        <f>IFERROR(__xludf.DUMMYFUNCTION("""COMPUTED_VALUE"""),380.0)</f>
        <v>380</v>
      </c>
      <c r="L3762" s="2">
        <f>IFERROR(__xludf.DUMMYFUNCTION("""COMPUTED_VALUE"""),56.96112105)</f>
        <v>56.96112105</v>
      </c>
      <c r="M3762" s="2">
        <f>IFERROR(__xludf.DUMMYFUNCTION("""COMPUTED_VALUE"""),24.01821679525)</f>
        <v>24.0182168</v>
      </c>
    </row>
    <row r="3763">
      <c r="A3763" s="2" t="str">
        <f>IFERROR(__xludf.DUMMYFUNCTION("""COMPUTED_VALUE"""),"For sale")</f>
        <v>For sale</v>
      </c>
      <c r="B3763" s="2" t="str">
        <f>IFERROR(__xludf.DUMMYFUNCTION("""COMPUTED_VALUE"""),"Vecmīlgrāvis")</f>
        <v>Vecmīlgrāvis</v>
      </c>
      <c r="C3763" s="2" t="str">
        <f>IFERROR(__xludf.DUMMYFUNCTION("""COMPUTED_VALUE"""),"Meldru 10")</f>
        <v>Meldru 10</v>
      </c>
      <c r="D3763" s="2">
        <f>IFERROR(__xludf.DUMMYFUNCTION("""COMPUTED_VALUE"""),1.0)</f>
        <v>1</v>
      </c>
      <c r="E3763" s="2">
        <f>IFERROR(__xludf.DUMMYFUNCTION("""COMPUTED_VALUE"""),18.0)</f>
        <v>18</v>
      </c>
      <c r="F3763" s="2">
        <f>IFERROR(__xludf.DUMMYFUNCTION("""COMPUTED_VALUE"""),3.0)</f>
        <v>3</v>
      </c>
      <c r="G3763" s="2">
        <f>IFERROR(__xludf.DUMMYFUNCTION("""COMPUTED_VALUE"""),4.0)</f>
        <v>4</v>
      </c>
      <c r="H3763" s="2" t="str">
        <f>IFERROR(__xludf.DUMMYFUNCTION("""COMPUTED_VALUE"""),"M. ģim.")</f>
        <v>M. ģim.</v>
      </c>
      <c r="I3763" s="2" t="str">
        <f>IFERROR(__xludf.DUMMYFUNCTION("""COMPUTED_VALUE"""),"Brick")</f>
        <v>Brick</v>
      </c>
      <c r="J3763" s="2" t="str">
        <f>IFERROR(__xludf.DUMMYFUNCTION("""COMPUTED_VALUE"""),"All amenities")</f>
        <v>All amenities</v>
      </c>
      <c r="K3763" s="2">
        <f>IFERROR(__xludf.DUMMYFUNCTION("""COMPUTED_VALUE"""),15500.0)</f>
        <v>15500</v>
      </c>
      <c r="L3763" s="2">
        <f>IFERROR(__xludf.DUMMYFUNCTION("""COMPUTED_VALUE"""),57.0297257)</f>
        <v>57.0297257</v>
      </c>
      <c r="M3763" s="2">
        <f>IFERROR(__xludf.DUMMYFUNCTION("""COMPUTED_VALUE"""),24.1004827538946)</f>
        <v>24.10048275</v>
      </c>
    </row>
    <row r="3764">
      <c r="A3764" s="2" t="str">
        <f>IFERROR(__xludf.DUMMYFUNCTION("""COMPUTED_VALUE"""),"For sale")</f>
        <v>For sale</v>
      </c>
      <c r="B3764" s="2" t="str">
        <f>IFERROR(__xludf.DUMMYFUNCTION("""COMPUTED_VALUE"""),"Imanta")</f>
        <v>Imanta</v>
      </c>
      <c r="C3764" s="2" t="str">
        <f>IFERROR(__xludf.DUMMYFUNCTION("""COMPUTED_VALUE"""),"Kurzemes pr. 82")</f>
        <v>Kurzemes pr. 82</v>
      </c>
      <c r="D3764" s="2">
        <f>IFERROR(__xludf.DUMMYFUNCTION("""COMPUTED_VALUE"""),2.0)</f>
        <v>2</v>
      </c>
      <c r="E3764" s="2">
        <f>IFERROR(__xludf.DUMMYFUNCTION("""COMPUTED_VALUE"""),50.0)</f>
        <v>50</v>
      </c>
      <c r="F3764" s="2">
        <f>IFERROR(__xludf.DUMMYFUNCTION("""COMPUTED_VALUE"""),9.0)</f>
        <v>9</v>
      </c>
      <c r="G3764" s="2">
        <f>IFERROR(__xludf.DUMMYFUNCTION("""COMPUTED_VALUE"""),9.0)</f>
        <v>9</v>
      </c>
      <c r="H3764" s="2">
        <f>IFERROR(__xludf.DUMMYFUNCTION("""COMPUTED_VALUE"""),602.0)</f>
        <v>602</v>
      </c>
      <c r="I3764" s="2" t="str">
        <f>IFERROR(__xludf.DUMMYFUNCTION("""COMPUTED_VALUE"""),"Panel")</f>
        <v>Panel</v>
      </c>
      <c r="J3764" s="2" t="str">
        <f>IFERROR(__xludf.DUMMYFUNCTION("""COMPUTED_VALUE"""),"All amenities")</f>
        <v>All amenities</v>
      </c>
      <c r="K3764" s="2">
        <f>IFERROR(__xludf.DUMMYFUNCTION("""COMPUTED_VALUE"""),42900.0)</f>
        <v>42900</v>
      </c>
      <c r="L3764" s="2" t="str">
        <f>IFERROR(__xludf.DUMMYFUNCTION("""COMPUTED_VALUE"""),"NaN")</f>
        <v>NaN</v>
      </c>
      <c r="M3764" s="2" t="str">
        <f>IFERROR(__xludf.DUMMYFUNCTION("""COMPUTED_VALUE"""),"NaN")</f>
        <v>NaN</v>
      </c>
    </row>
    <row r="3765">
      <c r="A3765" s="2" t="str">
        <f>IFERROR(__xludf.DUMMYFUNCTION("""COMPUTED_VALUE"""),"For sale")</f>
        <v>For sale</v>
      </c>
      <c r="B3765" s="2" t="str">
        <f>IFERROR(__xludf.DUMMYFUNCTION("""COMPUTED_VALUE"""),"Iļģuciems")</f>
        <v>Iļģuciems</v>
      </c>
      <c r="C3765" s="2" t="str">
        <f>IFERROR(__xludf.DUMMYFUNCTION("""COMPUTED_VALUE"""),"Buļļu 4")</f>
        <v>Buļļu 4</v>
      </c>
      <c r="D3765" s="2">
        <f>IFERROR(__xludf.DUMMYFUNCTION("""COMPUTED_VALUE"""),4.0)</f>
        <v>4</v>
      </c>
      <c r="E3765" s="2">
        <f>IFERROR(__xludf.DUMMYFUNCTION("""COMPUTED_VALUE"""),92.0)</f>
        <v>92</v>
      </c>
      <c r="F3765" s="2">
        <f>IFERROR(__xludf.DUMMYFUNCTION("""COMPUTED_VALUE"""),1.0)</f>
        <v>1</v>
      </c>
      <c r="G3765" s="2">
        <f>IFERROR(__xludf.DUMMYFUNCTION("""COMPUTED_VALUE"""),2.0)</f>
        <v>2</v>
      </c>
      <c r="H3765" s="2" t="str">
        <f>IFERROR(__xludf.DUMMYFUNCTION("""COMPUTED_VALUE"""),"P. kara")</f>
        <v>P. kara</v>
      </c>
      <c r="I3765" s="2" t="str">
        <f>IFERROR(__xludf.DUMMYFUNCTION("""COMPUTED_VALUE"""),"Wood")</f>
        <v>Wood</v>
      </c>
      <c r="J3765" s="2" t="str">
        <f>IFERROR(__xludf.DUMMYFUNCTION("""COMPUTED_VALUE"""),"All amenities")</f>
        <v>All amenities</v>
      </c>
      <c r="K3765" s="2">
        <f>IFERROR(__xludf.DUMMYFUNCTION("""COMPUTED_VALUE"""),43000.0)</f>
        <v>43000</v>
      </c>
      <c r="L3765" s="2">
        <f>IFERROR(__xludf.DUMMYFUNCTION("""COMPUTED_VALUE"""),56.9614466999999)</f>
        <v>56.9614467</v>
      </c>
      <c r="M3765" s="2">
        <f>IFERROR(__xludf.DUMMYFUNCTION("""COMPUTED_VALUE"""),24.0656187918395)</f>
        <v>24.06561879</v>
      </c>
    </row>
    <row r="3766">
      <c r="A3766" s="2" t="str">
        <f>IFERROR(__xludf.DUMMYFUNCTION("""COMPUTED_VALUE"""),"For sale")</f>
        <v>For sale</v>
      </c>
      <c r="B3766" s="2" t="str">
        <f>IFERROR(__xludf.DUMMYFUNCTION("""COMPUTED_VALUE"""),"Purvciems")</f>
        <v>Purvciems</v>
      </c>
      <c r="C3766" s="2" t="str">
        <f>IFERROR(__xludf.DUMMYFUNCTION("""COMPUTED_VALUE"""),"Stirnu 14")</f>
        <v>Stirnu 14</v>
      </c>
      <c r="D3766" s="2">
        <f>IFERROR(__xludf.DUMMYFUNCTION("""COMPUTED_VALUE"""),1.0)</f>
        <v>1</v>
      </c>
      <c r="E3766" s="2">
        <f>IFERROR(__xludf.DUMMYFUNCTION("""COMPUTED_VALUE"""),42.0)</f>
        <v>42</v>
      </c>
      <c r="F3766" s="2">
        <f>IFERROR(__xludf.DUMMYFUNCTION("""COMPUTED_VALUE"""),3.0)</f>
        <v>3</v>
      </c>
      <c r="G3766" s="2">
        <f>IFERROR(__xludf.DUMMYFUNCTION("""COMPUTED_VALUE"""),5.0)</f>
        <v>5</v>
      </c>
      <c r="H3766" s="2" t="str">
        <f>IFERROR(__xludf.DUMMYFUNCTION("""COMPUTED_VALUE"""),"M. ģim.")</f>
        <v>M. ģim.</v>
      </c>
      <c r="I3766" s="2" t="str">
        <f>IFERROR(__xludf.DUMMYFUNCTION("""COMPUTED_VALUE"""),"Panel")</f>
        <v>Panel</v>
      </c>
      <c r="J3766" s="2" t="str">
        <f>IFERROR(__xludf.DUMMYFUNCTION("""COMPUTED_VALUE"""),"All amenities")</f>
        <v>All amenities</v>
      </c>
      <c r="K3766" s="2">
        <f>IFERROR(__xludf.DUMMYFUNCTION("""COMPUTED_VALUE"""),45900.0)</f>
        <v>45900</v>
      </c>
      <c r="L3766" s="2">
        <f>IFERROR(__xludf.DUMMYFUNCTION("""COMPUTED_VALUE"""),56.95362445)</f>
        <v>56.95362445</v>
      </c>
      <c r="M3766" s="2">
        <f>IFERROR(__xludf.DUMMYFUNCTION("""COMPUTED_VALUE"""),24.18336245)</f>
        <v>24.18336245</v>
      </c>
    </row>
    <row r="3767">
      <c r="A3767" s="2" t="str">
        <f>IFERROR(__xludf.DUMMYFUNCTION("""COMPUTED_VALUE"""),"For sale")</f>
        <v>For sale</v>
      </c>
      <c r="B3767" s="2" t="str">
        <f>IFERROR(__xludf.DUMMYFUNCTION("""COMPUTED_VALUE"""),"Krasta r-ns")</f>
        <v>Krasta r-ns</v>
      </c>
      <c r="C3767" s="2" t="str">
        <f>IFERROR(__xludf.DUMMYFUNCTION("""COMPUTED_VALUE"""),"Maskavas 243")</f>
        <v>Maskavas 243</v>
      </c>
      <c r="D3767" s="2">
        <f>IFERROR(__xludf.DUMMYFUNCTION("""COMPUTED_VALUE"""),2.0)</f>
        <v>2</v>
      </c>
      <c r="E3767" s="2">
        <f>IFERROR(__xludf.DUMMYFUNCTION("""COMPUTED_VALUE"""),49.0)</f>
        <v>49</v>
      </c>
      <c r="F3767" s="2">
        <f>IFERROR(__xludf.DUMMYFUNCTION("""COMPUTED_VALUE"""),5.0)</f>
        <v>5</v>
      </c>
      <c r="G3767" s="2">
        <f>IFERROR(__xludf.DUMMYFUNCTION("""COMPUTED_VALUE"""),9.0)</f>
        <v>9</v>
      </c>
      <c r="H3767" s="2">
        <f>IFERROR(__xludf.DUMMYFUNCTION("""COMPUTED_VALUE"""),467.0)</f>
        <v>467</v>
      </c>
      <c r="I3767" s="2" t="str">
        <f>IFERROR(__xludf.DUMMYFUNCTION("""COMPUTED_VALUE"""),"Panel")</f>
        <v>Panel</v>
      </c>
      <c r="J3767" s="2" t="str">
        <f>IFERROR(__xludf.DUMMYFUNCTION("""COMPUTED_VALUE"""),"All amenities")</f>
        <v>All amenities</v>
      </c>
      <c r="K3767" s="2">
        <f>IFERROR(__xludf.DUMMYFUNCTION("""COMPUTED_VALUE"""),38500.0)</f>
        <v>38500</v>
      </c>
      <c r="L3767" s="2">
        <f>IFERROR(__xludf.DUMMYFUNCTION("""COMPUTED_VALUE"""),56.9255124)</f>
        <v>56.9255124</v>
      </c>
      <c r="M3767" s="2">
        <f>IFERROR(__xludf.DUMMYFUNCTION("""COMPUTED_VALUE"""),24.1686179999999)</f>
        <v>24.168618</v>
      </c>
    </row>
    <row r="3768">
      <c r="A3768" s="2" t="str">
        <f>IFERROR(__xludf.DUMMYFUNCTION("""COMPUTED_VALUE"""),"For sale")</f>
        <v>For sale</v>
      </c>
      <c r="B3768" s="2" t="str">
        <f>IFERROR(__xludf.DUMMYFUNCTION("""COMPUTED_VALUE"""),"Zolitūde")</f>
        <v>Zolitūde</v>
      </c>
      <c r="C3768" s="2" t="str">
        <f>IFERROR(__xludf.DUMMYFUNCTION("""COMPUTED_VALUE"""),"Zolitūdes 46")</f>
        <v>Zolitūdes 46</v>
      </c>
      <c r="D3768" s="2">
        <f>IFERROR(__xludf.DUMMYFUNCTION("""COMPUTED_VALUE"""),3.0)</f>
        <v>3</v>
      </c>
      <c r="E3768" s="2">
        <f>IFERROR(__xludf.DUMMYFUNCTION("""COMPUTED_VALUE"""),70.0)</f>
        <v>70</v>
      </c>
      <c r="F3768" s="2">
        <f>IFERROR(__xludf.DUMMYFUNCTION("""COMPUTED_VALUE"""),3.0)</f>
        <v>3</v>
      </c>
      <c r="G3768" s="2">
        <f>IFERROR(__xludf.DUMMYFUNCTION("""COMPUTED_VALUE"""),9.0)</f>
        <v>9</v>
      </c>
      <c r="H3768" s="2">
        <f>IFERROR(__xludf.DUMMYFUNCTION("""COMPUTED_VALUE"""),119.0)</f>
        <v>119</v>
      </c>
      <c r="I3768" s="2" t="str">
        <f>IFERROR(__xludf.DUMMYFUNCTION("""COMPUTED_VALUE"""),"Panel")</f>
        <v>Panel</v>
      </c>
      <c r="J3768" s="2" t="str">
        <f>IFERROR(__xludf.DUMMYFUNCTION("""COMPUTED_VALUE"""),"All amenities")</f>
        <v>All amenities</v>
      </c>
      <c r="K3768" s="2">
        <f>IFERROR(__xludf.DUMMYFUNCTION("""COMPUTED_VALUE"""),83000.0)</f>
        <v>83000</v>
      </c>
      <c r="L3768" s="2">
        <f>IFERROR(__xludf.DUMMYFUNCTION("""COMPUTED_VALUE"""),56.94224055)</f>
        <v>56.94224055</v>
      </c>
      <c r="M3768" s="2">
        <f>IFERROR(__xludf.DUMMYFUNCTION("""COMPUTED_VALUE"""),24.0060845759065)</f>
        <v>24.00608458</v>
      </c>
    </row>
    <row r="3769">
      <c r="A3769" s="2" t="str">
        <f>IFERROR(__xludf.DUMMYFUNCTION("""COMPUTED_VALUE"""),"For rent")</f>
        <v>For rent</v>
      </c>
      <c r="B3769" s="2" t="str">
        <f>IFERROR(__xludf.DUMMYFUNCTION("""COMPUTED_VALUE"""),"centrs")</f>
        <v>centrs</v>
      </c>
      <c r="C3769" s="2" t="str">
        <f>IFERROR(__xludf.DUMMYFUNCTION("""COMPUTED_VALUE"""),"Merķeļa 3")</f>
        <v>Merķeļa 3</v>
      </c>
      <c r="D3769" s="2">
        <f>IFERROR(__xludf.DUMMYFUNCTION("""COMPUTED_VALUE"""),1.0)</f>
        <v>1</v>
      </c>
      <c r="E3769" s="2">
        <f>IFERROR(__xludf.DUMMYFUNCTION("""COMPUTED_VALUE"""),14.0)</f>
        <v>14</v>
      </c>
      <c r="F3769" s="2">
        <f>IFERROR(__xludf.DUMMYFUNCTION("""COMPUTED_VALUE"""),3.0)</f>
        <v>3</v>
      </c>
      <c r="G3769" s="2">
        <f>IFERROR(__xludf.DUMMYFUNCTION("""COMPUTED_VALUE"""),5.0)</f>
        <v>5</v>
      </c>
      <c r="H3769" s="2" t="str">
        <f>IFERROR(__xludf.DUMMYFUNCTION("""COMPUTED_VALUE"""),"P. kara")</f>
        <v>P. kara</v>
      </c>
      <c r="I3769" s="2" t="str">
        <f>IFERROR(__xludf.DUMMYFUNCTION("""COMPUTED_VALUE"""),"Brick")</f>
        <v>Brick</v>
      </c>
      <c r="J3769" s="2" t="str">
        <f>IFERROR(__xludf.DUMMYFUNCTION("""COMPUTED_VALUE"""),"All amenities")</f>
        <v>All amenities</v>
      </c>
      <c r="K3769" s="2">
        <f>IFERROR(__xludf.DUMMYFUNCTION("""COMPUTED_VALUE"""),150.0)</f>
        <v>150</v>
      </c>
      <c r="L3769" s="2">
        <f>IFERROR(__xludf.DUMMYFUNCTION("""COMPUTED_VALUE"""),56.9484561999999)</f>
        <v>56.9484562</v>
      </c>
      <c r="M3769" s="2">
        <f>IFERROR(__xludf.DUMMYFUNCTION("""COMPUTED_VALUE"""),24.1195063504858)</f>
        <v>24.11950635</v>
      </c>
    </row>
    <row r="3770">
      <c r="A3770" s="2" t="str">
        <f>IFERROR(__xludf.DUMMYFUNCTION("""COMPUTED_VALUE"""),"For sale")</f>
        <v>For sale</v>
      </c>
      <c r="B3770" s="2" t="str">
        <f>IFERROR(__xludf.DUMMYFUNCTION("""COMPUTED_VALUE"""),"Ķengarags")</f>
        <v>Ķengarags</v>
      </c>
      <c r="C3770" s="2" t="str">
        <f>IFERROR(__xludf.DUMMYFUNCTION("""COMPUTED_VALUE"""),"Salaspils 12")</f>
        <v>Salaspils 12</v>
      </c>
      <c r="D3770" s="2">
        <f>IFERROR(__xludf.DUMMYFUNCTION("""COMPUTED_VALUE"""),3.0)</f>
        <v>3</v>
      </c>
      <c r="E3770" s="2">
        <f>IFERROR(__xludf.DUMMYFUNCTION("""COMPUTED_VALUE"""),61.0)</f>
        <v>61</v>
      </c>
      <c r="F3770" s="2">
        <f>IFERROR(__xludf.DUMMYFUNCTION("""COMPUTED_VALUE"""),3.0)</f>
        <v>3</v>
      </c>
      <c r="G3770" s="2">
        <f>IFERROR(__xludf.DUMMYFUNCTION("""COMPUTED_VALUE"""),5.0)</f>
        <v>5</v>
      </c>
      <c r="H3770" s="2" t="str">
        <f>IFERROR(__xludf.DUMMYFUNCTION("""COMPUTED_VALUE"""),"LT proj.")</f>
        <v>LT proj.</v>
      </c>
      <c r="I3770" s="2" t="str">
        <f>IFERROR(__xludf.DUMMYFUNCTION("""COMPUTED_VALUE"""),"Panel")</f>
        <v>Panel</v>
      </c>
      <c r="J3770" s="2" t="str">
        <f>IFERROR(__xludf.DUMMYFUNCTION("""COMPUTED_VALUE"""),"All amenities")</f>
        <v>All amenities</v>
      </c>
      <c r="K3770" s="2">
        <f>IFERROR(__xludf.DUMMYFUNCTION("""COMPUTED_VALUE"""),46900.0)</f>
        <v>46900</v>
      </c>
      <c r="L3770" s="2">
        <f>IFERROR(__xludf.DUMMYFUNCTION("""COMPUTED_VALUE"""),56.8597884)</f>
        <v>56.8597884</v>
      </c>
      <c r="M3770" s="2">
        <f>IFERROR(__xludf.DUMMYFUNCTION("""COMPUTED_VALUE"""),24.3083417)</f>
        <v>24.3083417</v>
      </c>
    </row>
    <row r="3771">
      <c r="A3771" s="2" t="str">
        <f>IFERROR(__xludf.DUMMYFUNCTION("""COMPUTED_VALUE"""),"For sale")</f>
        <v>For sale</v>
      </c>
      <c r="B3771" s="2" t="str">
        <f>IFERROR(__xludf.DUMMYFUNCTION("""COMPUTED_VALUE"""),"Zolitūde")</f>
        <v>Zolitūde</v>
      </c>
      <c r="C3771" s="2" t="str">
        <f>IFERROR(__xludf.DUMMYFUNCTION("""COMPUTED_VALUE"""),"Anniņmuižas 13")</f>
        <v>Anniņmuižas 13</v>
      </c>
      <c r="D3771" s="2">
        <f>IFERROR(__xludf.DUMMYFUNCTION("""COMPUTED_VALUE"""),3.0)</f>
        <v>3</v>
      </c>
      <c r="E3771" s="2">
        <f>IFERROR(__xludf.DUMMYFUNCTION("""COMPUTED_VALUE"""),110.0)</f>
        <v>110</v>
      </c>
      <c r="F3771" s="2">
        <f>IFERROR(__xludf.DUMMYFUNCTION("""COMPUTED_VALUE"""),2.0)</f>
        <v>2</v>
      </c>
      <c r="G3771" s="2">
        <f>IFERROR(__xludf.DUMMYFUNCTION("""COMPUTED_VALUE"""),12.0)</f>
        <v>12</v>
      </c>
      <c r="H3771" s="2" t="str">
        <f>IFERROR(__xludf.DUMMYFUNCTION("""COMPUTED_VALUE"""),"Jaun.")</f>
        <v>Jaun.</v>
      </c>
      <c r="I3771" s="2" t="str">
        <f>IFERROR(__xludf.DUMMYFUNCTION("""COMPUTED_VALUE"""),"Panel")</f>
        <v>Panel</v>
      </c>
      <c r="J3771" s="2" t="str">
        <f>IFERROR(__xludf.DUMMYFUNCTION("""COMPUTED_VALUE"""),"All amenities")</f>
        <v>All amenities</v>
      </c>
      <c r="K3771" s="2">
        <f>IFERROR(__xludf.DUMMYFUNCTION("""COMPUTED_VALUE"""),149000.0)</f>
        <v>149000</v>
      </c>
      <c r="L3771" s="2">
        <f>IFERROR(__xludf.DUMMYFUNCTION("""COMPUTED_VALUE"""),56.94568225)</f>
        <v>56.94568225</v>
      </c>
      <c r="M3771" s="2">
        <f>IFERROR(__xludf.DUMMYFUNCTION("""COMPUTED_VALUE"""),24.0146821801241)</f>
        <v>24.01468218</v>
      </c>
    </row>
    <row r="3772">
      <c r="A3772" s="2" t="str">
        <f>IFERROR(__xludf.DUMMYFUNCTION("""COMPUTED_VALUE"""),"For rent")</f>
        <v>For rent</v>
      </c>
      <c r="B3772" s="2" t="str">
        <f>IFERROR(__xludf.DUMMYFUNCTION("""COMPUTED_VALUE"""),"Zolitūde")</f>
        <v>Zolitūde</v>
      </c>
      <c r="C3772" s="2" t="str">
        <f>IFERROR(__xludf.DUMMYFUNCTION("""COMPUTED_VALUE"""),"Ruses 7")</f>
        <v>Ruses 7</v>
      </c>
      <c r="D3772" s="2">
        <f>IFERROR(__xludf.DUMMYFUNCTION("""COMPUTED_VALUE"""),1.0)</f>
        <v>1</v>
      </c>
      <c r="E3772" s="2">
        <f>IFERROR(__xludf.DUMMYFUNCTION("""COMPUTED_VALUE"""),43.0)</f>
        <v>43</v>
      </c>
      <c r="F3772" s="2">
        <f>IFERROR(__xludf.DUMMYFUNCTION("""COMPUTED_VALUE"""),7.0)</f>
        <v>7</v>
      </c>
      <c r="G3772" s="2">
        <f>IFERROR(__xludf.DUMMYFUNCTION("""COMPUTED_VALUE"""),9.0)</f>
        <v>9</v>
      </c>
      <c r="H3772" s="2">
        <f>IFERROR(__xludf.DUMMYFUNCTION("""COMPUTED_VALUE"""),119.0)</f>
        <v>119</v>
      </c>
      <c r="I3772" s="2" t="str">
        <f>IFERROR(__xludf.DUMMYFUNCTION("""COMPUTED_VALUE"""),"Panel")</f>
        <v>Panel</v>
      </c>
      <c r="J3772" s="2" t="str">
        <f>IFERROR(__xludf.DUMMYFUNCTION("""COMPUTED_VALUE"""),"All amenities")</f>
        <v>All amenities</v>
      </c>
      <c r="K3772" s="2">
        <f>IFERROR(__xludf.DUMMYFUNCTION("""COMPUTED_VALUE"""),330.0)</f>
        <v>330</v>
      </c>
      <c r="L3772" s="2">
        <f>IFERROR(__xludf.DUMMYFUNCTION("""COMPUTED_VALUE"""),56.9478153999999)</f>
        <v>56.9478154</v>
      </c>
      <c r="M3772" s="2">
        <f>IFERROR(__xludf.DUMMYFUNCTION("""COMPUTED_VALUE"""),24.0044636133064)</f>
        <v>24.00446361</v>
      </c>
    </row>
    <row r="3773">
      <c r="A3773" s="2" t="str">
        <f>IFERROR(__xludf.DUMMYFUNCTION("""COMPUTED_VALUE"""),"For sale")</f>
        <v>For sale</v>
      </c>
      <c r="B3773" s="2" t="str">
        <f>IFERROR(__xludf.DUMMYFUNCTION("""COMPUTED_VALUE"""),"Imanta")</f>
        <v>Imanta</v>
      </c>
      <c r="C3773" s="2" t="str">
        <f>IFERROR(__xludf.DUMMYFUNCTION("""COMPUTED_VALUE"""),"Anniņmuižas bulvāris 38/2")</f>
        <v>Anniņmuižas bulvāris 38/2</v>
      </c>
      <c r="D3773" s="2">
        <f>IFERROR(__xludf.DUMMYFUNCTION("""COMPUTED_VALUE"""),2.0)</f>
        <v>2</v>
      </c>
      <c r="E3773" s="2">
        <f>IFERROR(__xludf.DUMMYFUNCTION("""COMPUTED_VALUE"""),102.0)</f>
        <v>102</v>
      </c>
      <c r="F3773" s="2">
        <f>IFERROR(__xludf.DUMMYFUNCTION("""COMPUTED_VALUE"""),1.0)</f>
        <v>1</v>
      </c>
      <c r="G3773" s="2">
        <f>IFERROR(__xludf.DUMMYFUNCTION("""COMPUTED_VALUE"""),16.0)</f>
        <v>16</v>
      </c>
      <c r="H3773" s="2" t="str">
        <f>IFERROR(__xludf.DUMMYFUNCTION("""COMPUTED_VALUE"""),"Jaun.")</f>
        <v>Jaun.</v>
      </c>
      <c r="I3773" s="2" t="str">
        <f>IFERROR(__xludf.DUMMYFUNCTION("""COMPUTED_VALUE"""),"Panel")</f>
        <v>Panel</v>
      </c>
      <c r="J3773" s="2" t="str">
        <f>IFERROR(__xludf.DUMMYFUNCTION("""COMPUTED_VALUE"""),"All amenities")</f>
        <v>All amenities</v>
      </c>
      <c r="K3773" s="2">
        <f>IFERROR(__xludf.DUMMYFUNCTION("""COMPUTED_VALUE"""),99000.0)</f>
        <v>99000</v>
      </c>
      <c r="L3773" s="2">
        <f>IFERROR(__xludf.DUMMYFUNCTION("""COMPUTED_VALUE"""),56.9543914)</f>
        <v>56.9543914</v>
      </c>
      <c r="M3773" s="2">
        <f>IFERROR(__xludf.DUMMYFUNCTION("""COMPUTED_VALUE"""),24.0086771)</f>
        <v>24.0086771</v>
      </c>
    </row>
    <row r="3774">
      <c r="A3774" s="2" t="str">
        <f>IFERROR(__xludf.DUMMYFUNCTION("""COMPUTED_VALUE"""),"For sale")</f>
        <v>For sale</v>
      </c>
      <c r="B3774" s="2" t="str">
        <f>IFERROR(__xludf.DUMMYFUNCTION("""COMPUTED_VALUE"""),"Ziepniekkalns")</f>
        <v>Ziepniekkalns</v>
      </c>
      <c r="C3774" s="2" t="str">
        <f>IFERROR(__xludf.DUMMYFUNCTION("""COMPUTED_VALUE"""),"Ozolciema 8")</f>
        <v>Ozolciema 8</v>
      </c>
      <c r="D3774" s="2">
        <f>IFERROR(__xludf.DUMMYFUNCTION("""COMPUTED_VALUE"""),1.0)</f>
        <v>1</v>
      </c>
      <c r="E3774" s="2">
        <f>IFERROR(__xludf.DUMMYFUNCTION("""COMPUTED_VALUE"""),34.0)</f>
        <v>34</v>
      </c>
      <c r="F3774" s="2">
        <f>IFERROR(__xludf.DUMMYFUNCTION("""COMPUTED_VALUE"""),2.0)</f>
        <v>2</v>
      </c>
      <c r="G3774" s="2">
        <f>IFERROR(__xludf.DUMMYFUNCTION("""COMPUTED_VALUE"""),12.0)</f>
        <v>12</v>
      </c>
      <c r="H3774" s="2" t="str">
        <f>IFERROR(__xludf.DUMMYFUNCTION("""COMPUTED_VALUE"""),"M. ģim.")</f>
        <v>M. ģim.</v>
      </c>
      <c r="I3774" s="2" t="str">
        <f>IFERROR(__xludf.DUMMYFUNCTION("""COMPUTED_VALUE"""),"Brick")</f>
        <v>Brick</v>
      </c>
      <c r="J3774" s="2" t="str">
        <f>IFERROR(__xludf.DUMMYFUNCTION("""COMPUTED_VALUE"""),"All amenities")</f>
        <v>All amenities</v>
      </c>
      <c r="K3774" s="2">
        <f>IFERROR(__xludf.DUMMYFUNCTION("""COMPUTED_VALUE"""),31000.0)</f>
        <v>31000</v>
      </c>
      <c r="L3774" s="2">
        <f>IFERROR(__xludf.DUMMYFUNCTION("""COMPUTED_VALUE"""),56.8989409)</f>
        <v>56.8989409</v>
      </c>
      <c r="M3774" s="2">
        <f>IFERROR(__xludf.DUMMYFUNCTION("""COMPUTED_VALUE"""),24.0833892577372)</f>
        <v>24.08338926</v>
      </c>
    </row>
    <row r="3775">
      <c r="A3775" s="2" t="str">
        <f>IFERROR(__xludf.DUMMYFUNCTION("""COMPUTED_VALUE"""),"For rent")</f>
        <v>For rent</v>
      </c>
      <c r="B3775" s="2" t="str">
        <f>IFERROR(__xludf.DUMMYFUNCTION("""COMPUTED_VALUE"""),"Zolitūde")</f>
        <v>Zolitūde</v>
      </c>
      <c r="C3775" s="2" t="str">
        <f>IFERROR(__xludf.DUMMYFUNCTION("""COMPUTED_VALUE"""),"Ruses 16")</f>
        <v>Ruses 16</v>
      </c>
      <c r="D3775" s="2">
        <f>IFERROR(__xludf.DUMMYFUNCTION("""COMPUTED_VALUE"""),1.0)</f>
        <v>1</v>
      </c>
      <c r="E3775" s="2">
        <f>IFERROR(__xludf.DUMMYFUNCTION("""COMPUTED_VALUE"""),37.0)</f>
        <v>37</v>
      </c>
      <c r="F3775" s="2">
        <f>IFERROR(__xludf.DUMMYFUNCTION("""COMPUTED_VALUE"""),5.0)</f>
        <v>5</v>
      </c>
      <c r="G3775" s="2">
        <f>IFERROR(__xludf.DUMMYFUNCTION("""COMPUTED_VALUE"""),9.0)</f>
        <v>9</v>
      </c>
      <c r="H3775" s="2">
        <f>IFERROR(__xludf.DUMMYFUNCTION("""COMPUTED_VALUE"""),119.0)</f>
        <v>119</v>
      </c>
      <c r="I3775" s="2" t="str">
        <f>IFERROR(__xludf.DUMMYFUNCTION("""COMPUTED_VALUE"""),"Panel")</f>
        <v>Panel</v>
      </c>
      <c r="J3775" s="2" t="str">
        <f>IFERROR(__xludf.DUMMYFUNCTION("""COMPUTED_VALUE"""),"All amenities")</f>
        <v>All amenities</v>
      </c>
      <c r="K3775" s="2">
        <f>IFERROR(__xludf.DUMMYFUNCTION("""COMPUTED_VALUE"""),294.0)</f>
        <v>294</v>
      </c>
      <c r="L3775" s="2">
        <f>IFERROR(__xludf.DUMMYFUNCTION("""COMPUTED_VALUE"""),56.94627775)</f>
        <v>56.94627775</v>
      </c>
      <c r="M3775" s="2">
        <f>IFERROR(__xludf.DUMMYFUNCTION("""COMPUTED_VALUE"""),24.0038639173023)</f>
        <v>24.00386392</v>
      </c>
    </row>
    <row r="3776">
      <c r="A3776" s="2" t="str">
        <f>IFERROR(__xludf.DUMMYFUNCTION("""COMPUTED_VALUE"""),"For rent")</f>
        <v>For rent</v>
      </c>
      <c r="B3776" s="2" t="str">
        <f>IFERROR(__xludf.DUMMYFUNCTION("""COMPUTED_VALUE"""),"Šampēteris-Pleskodāle")</f>
        <v>Šampēteris-Pleskodāle</v>
      </c>
      <c r="C3776" s="2" t="str">
        <f>IFERROR(__xludf.DUMMYFUNCTION("""COMPUTED_VALUE"""),"Lielirbes 11")</f>
        <v>Lielirbes 11</v>
      </c>
      <c r="D3776" s="2">
        <f>IFERROR(__xludf.DUMMYFUNCTION("""COMPUTED_VALUE"""),2.0)</f>
        <v>2</v>
      </c>
      <c r="E3776" s="2">
        <f>IFERROR(__xludf.DUMMYFUNCTION("""COMPUTED_VALUE"""),68.0)</f>
        <v>68</v>
      </c>
      <c r="F3776" s="2">
        <f>IFERROR(__xludf.DUMMYFUNCTION("""COMPUTED_VALUE"""),15.0)</f>
        <v>15</v>
      </c>
      <c r="G3776" s="2">
        <f>IFERROR(__xludf.DUMMYFUNCTION("""COMPUTED_VALUE"""),25.0)</f>
        <v>25</v>
      </c>
      <c r="H3776" s="2" t="str">
        <f>IFERROR(__xludf.DUMMYFUNCTION("""COMPUTED_VALUE"""),"Jaun.")</f>
        <v>Jaun.</v>
      </c>
      <c r="I3776" s="2" t="str">
        <f>IFERROR(__xludf.DUMMYFUNCTION("""COMPUTED_VALUE"""),"Masonry")</f>
        <v>Masonry</v>
      </c>
      <c r="J3776" s="2" t="str">
        <f>IFERROR(__xludf.DUMMYFUNCTION("""COMPUTED_VALUE"""),"All amenities")</f>
        <v>All amenities</v>
      </c>
      <c r="K3776" s="2">
        <f>IFERROR(__xludf.DUMMYFUNCTION("""COMPUTED_VALUE"""),550.0)</f>
        <v>550</v>
      </c>
      <c r="L3776" s="2">
        <f>IFERROR(__xludf.DUMMYFUNCTION("""COMPUTED_VALUE"""),56.9340645)</f>
        <v>56.9340645</v>
      </c>
      <c r="M3776" s="2">
        <f>IFERROR(__xludf.DUMMYFUNCTION("""COMPUTED_VALUE"""),24.0436381)</f>
        <v>24.0436381</v>
      </c>
    </row>
    <row r="3777">
      <c r="A3777" s="2" t="str">
        <f>IFERROR(__xludf.DUMMYFUNCTION("""COMPUTED_VALUE"""),"For rent")</f>
        <v>For rent</v>
      </c>
      <c r="B3777" s="2" t="str">
        <f>IFERROR(__xludf.DUMMYFUNCTION("""COMPUTED_VALUE"""),"Teika")</f>
        <v>Teika</v>
      </c>
      <c r="C3777" s="2" t="str">
        <f>IFERROR(__xludf.DUMMYFUNCTION("""COMPUTED_VALUE"""),"Palmu 5")</f>
        <v>Palmu 5</v>
      </c>
      <c r="D3777" s="2">
        <f>IFERROR(__xludf.DUMMYFUNCTION("""COMPUTED_VALUE"""),2.0)</f>
        <v>2</v>
      </c>
      <c r="E3777" s="2">
        <f>IFERROR(__xludf.DUMMYFUNCTION("""COMPUTED_VALUE"""),50.0)</f>
        <v>50</v>
      </c>
      <c r="F3777" s="2">
        <f>IFERROR(__xludf.DUMMYFUNCTION("""COMPUTED_VALUE"""),1.0)</f>
        <v>1</v>
      </c>
      <c r="G3777" s="2">
        <f>IFERROR(__xludf.DUMMYFUNCTION("""COMPUTED_VALUE"""),6.0)</f>
        <v>6</v>
      </c>
      <c r="H3777" s="2" t="str">
        <f>IFERROR(__xludf.DUMMYFUNCTION("""COMPUTED_VALUE"""),"Specpr.")</f>
        <v>Specpr.</v>
      </c>
      <c r="I3777" s="2" t="str">
        <f>IFERROR(__xludf.DUMMYFUNCTION("""COMPUTED_VALUE"""),"Brick")</f>
        <v>Brick</v>
      </c>
      <c r="J3777" s="2" t="str">
        <f>IFERROR(__xludf.DUMMYFUNCTION("""COMPUTED_VALUE"""),"All amenities")</f>
        <v>All amenities</v>
      </c>
      <c r="K3777" s="2">
        <f>IFERROR(__xludf.DUMMYFUNCTION("""COMPUTED_VALUE"""),300.0)</f>
        <v>300</v>
      </c>
      <c r="L3777" s="2">
        <f>IFERROR(__xludf.DUMMYFUNCTION("""COMPUTED_VALUE"""),56.9791223)</f>
        <v>56.9791223</v>
      </c>
      <c r="M3777" s="2">
        <f>IFERROR(__xludf.DUMMYFUNCTION("""COMPUTED_VALUE"""),24.1810058416135)</f>
        <v>24.18100584</v>
      </c>
    </row>
    <row r="3778">
      <c r="A3778" s="2" t="str">
        <f>IFERROR(__xludf.DUMMYFUNCTION("""COMPUTED_VALUE"""),"For rent")</f>
        <v>For rent</v>
      </c>
      <c r="B3778" s="2" t="str">
        <f>IFERROR(__xludf.DUMMYFUNCTION("""COMPUTED_VALUE"""),"Pļavnieki")</f>
        <v>Pļavnieki</v>
      </c>
      <c r="C3778" s="2" t="str">
        <f>IFERROR(__xludf.DUMMYFUNCTION("""COMPUTED_VALUE"""),"Pļavnieku 8")</f>
        <v>Pļavnieku 8</v>
      </c>
      <c r="D3778" s="2">
        <f>IFERROR(__xludf.DUMMYFUNCTION("""COMPUTED_VALUE"""),2.0)</f>
        <v>2</v>
      </c>
      <c r="E3778" s="2">
        <f>IFERROR(__xludf.DUMMYFUNCTION("""COMPUTED_VALUE"""),50.0)</f>
        <v>50</v>
      </c>
      <c r="F3778" s="2">
        <f>IFERROR(__xludf.DUMMYFUNCTION("""COMPUTED_VALUE"""),9.0)</f>
        <v>9</v>
      </c>
      <c r="G3778" s="2">
        <f>IFERROR(__xludf.DUMMYFUNCTION("""COMPUTED_VALUE"""),4.0)</f>
        <v>4</v>
      </c>
      <c r="H3778" s="2">
        <f>IFERROR(__xludf.DUMMYFUNCTION("""COMPUTED_VALUE"""),602.0)</f>
        <v>602</v>
      </c>
      <c r="I3778" s="2" t="str">
        <f>IFERROR(__xludf.DUMMYFUNCTION("""COMPUTED_VALUE"""),"Panel")</f>
        <v>Panel</v>
      </c>
      <c r="J3778" s="2" t="str">
        <f>IFERROR(__xludf.DUMMYFUNCTION("""COMPUTED_VALUE"""),"All amenities")</f>
        <v>All amenities</v>
      </c>
      <c r="K3778" s="2">
        <f>IFERROR(__xludf.DUMMYFUNCTION("""COMPUTED_VALUE"""),400.0)</f>
        <v>400</v>
      </c>
      <c r="L3778" s="2">
        <f>IFERROR(__xludf.DUMMYFUNCTION("""COMPUTED_VALUE"""),56.94168555)</f>
        <v>56.94168555</v>
      </c>
      <c r="M3778" s="2">
        <f>IFERROR(__xludf.DUMMYFUNCTION("""COMPUTED_VALUE"""),24.2119894120109)</f>
        <v>24.21198941</v>
      </c>
    </row>
    <row r="3779">
      <c r="A3779" s="2" t="str">
        <f>IFERROR(__xludf.DUMMYFUNCTION("""COMPUTED_VALUE"""),"For sale")</f>
        <v>For sale</v>
      </c>
      <c r="B3779" s="2" t="str">
        <f>IFERROR(__xludf.DUMMYFUNCTION("""COMPUTED_VALUE"""),"Purvciems")</f>
        <v>Purvciems</v>
      </c>
      <c r="C3779" s="2" t="str">
        <f>IFERROR(__xludf.DUMMYFUNCTION("""COMPUTED_VALUE"""),"Andromedas g. 12")</f>
        <v>Andromedas g. 12</v>
      </c>
      <c r="D3779" s="2">
        <f>IFERROR(__xludf.DUMMYFUNCTION("""COMPUTED_VALUE"""),3.0)</f>
        <v>3</v>
      </c>
      <c r="E3779" s="2">
        <f>IFERROR(__xludf.DUMMYFUNCTION("""COMPUTED_VALUE"""),60.0)</f>
        <v>60</v>
      </c>
      <c r="F3779" s="2">
        <f>IFERROR(__xludf.DUMMYFUNCTION("""COMPUTED_VALUE"""),5.0)</f>
        <v>5</v>
      </c>
      <c r="G3779" s="2">
        <f>IFERROR(__xludf.DUMMYFUNCTION("""COMPUTED_VALUE"""),5.0)</f>
        <v>5</v>
      </c>
      <c r="H3779" s="2" t="str">
        <f>IFERROR(__xludf.DUMMYFUNCTION("""COMPUTED_VALUE"""),"LT proj.")</f>
        <v>LT proj.</v>
      </c>
      <c r="I3779" s="2" t="str">
        <f>IFERROR(__xludf.DUMMYFUNCTION("""COMPUTED_VALUE"""),"Panel")</f>
        <v>Panel</v>
      </c>
      <c r="J3779" s="2" t="str">
        <f>IFERROR(__xludf.DUMMYFUNCTION("""COMPUTED_VALUE"""),"All amenities")</f>
        <v>All amenities</v>
      </c>
      <c r="K3779" s="2">
        <f>IFERROR(__xludf.DUMMYFUNCTION("""COMPUTED_VALUE"""),50800.0)</f>
        <v>50800</v>
      </c>
      <c r="L3779" s="2">
        <f>IFERROR(__xludf.DUMMYFUNCTION("""COMPUTED_VALUE"""),56.9604259)</f>
        <v>56.9604259</v>
      </c>
      <c r="M3779" s="2">
        <f>IFERROR(__xludf.DUMMYFUNCTION("""COMPUTED_VALUE"""),24.201209)</f>
        <v>24.201209</v>
      </c>
    </row>
    <row r="3780">
      <c r="A3780" s="2" t="str">
        <f>IFERROR(__xludf.DUMMYFUNCTION("""COMPUTED_VALUE"""),"For sale")</f>
        <v>For sale</v>
      </c>
      <c r="B3780" s="2" t="str">
        <f>IFERROR(__xludf.DUMMYFUNCTION("""COMPUTED_VALUE"""),"Čiekurkalns")</f>
        <v>Čiekurkalns</v>
      </c>
      <c r="C3780" s="2" t="str">
        <f>IFERROR(__xludf.DUMMYFUNCTION("""COMPUTED_VALUE"""),"Gaujas 19")</f>
        <v>Gaujas 19</v>
      </c>
      <c r="D3780" s="2">
        <f>IFERROR(__xludf.DUMMYFUNCTION("""COMPUTED_VALUE"""),2.0)</f>
        <v>2</v>
      </c>
      <c r="E3780" s="2">
        <f>IFERROR(__xludf.DUMMYFUNCTION("""COMPUTED_VALUE"""),45.0)</f>
        <v>45</v>
      </c>
      <c r="F3780" s="2">
        <f>IFERROR(__xludf.DUMMYFUNCTION("""COMPUTED_VALUE"""),3.0)</f>
        <v>3</v>
      </c>
      <c r="G3780" s="2">
        <f>IFERROR(__xludf.DUMMYFUNCTION("""COMPUTED_VALUE"""),5.0)</f>
        <v>5</v>
      </c>
      <c r="H3780" s="2" t="str">
        <f>IFERROR(__xludf.DUMMYFUNCTION("""COMPUTED_VALUE"""),"Hrušč.")</f>
        <v>Hrušč.</v>
      </c>
      <c r="I3780" s="2" t="str">
        <f>IFERROR(__xludf.DUMMYFUNCTION("""COMPUTED_VALUE"""),"Brick-Panel")</f>
        <v>Brick-Panel</v>
      </c>
      <c r="J3780" s="2" t="str">
        <f>IFERROR(__xludf.DUMMYFUNCTION("""COMPUTED_VALUE"""),"All amenities")</f>
        <v>All amenities</v>
      </c>
      <c r="K3780" s="2">
        <f>IFERROR(__xludf.DUMMYFUNCTION("""COMPUTED_VALUE"""),50000.0)</f>
        <v>50000</v>
      </c>
      <c r="L3780" s="2">
        <f>IFERROR(__xludf.DUMMYFUNCTION("""COMPUTED_VALUE"""),56.9832776)</f>
        <v>56.9832776</v>
      </c>
      <c r="M3780" s="2">
        <f>IFERROR(__xludf.DUMMYFUNCTION("""COMPUTED_VALUE"""),24.1546716920121)</f>
        <v>24.15467169</v>
      </c>
    </row>
    <row r="3781">
      <c r="A3781" s="2" t="str">
        <f>IFERROR(__xludf.DUMMYFUNCTION("""COMPUTED_VALUE"""),"For rent")</f>
        <v>For rent</v>
      </c>
      <c r="B3781" s="2" t="str">
        <f>IFERROR(__xludf.DUMMYFUNCTION("""COMPUTED_VALUE"""),"centrs")</f>
        <v>centrs</v>
      </c>
      <c r="C3781" s="2" t="str">
        <f>IFERROR(__xludf.DUMMYFUNCTION("""COMPUTED_VALUE"""),"Riepnieku 4")</f>
        <v>Riepnieku 4</v>
      </c>
      <c r="D3781" s="2">
        <f>IFERROR(__xludf.DUMMYFUNCTION("""COMPUTED_VALUE"""),2.0)</f>
        <v>2</v>
      </c>
      <c r="E3781" s="2">
        <f>IFERROR(__xludf.DUMMYFUNCTION("""COMPUTED_VALUE"""),53.0)</f>
        <v>53</v>
      </c>
      <c r="F3781" s="2">
        <f>IFERROR(__xludf.DUMMYFUNCTION("""COMPUTED_VALUE"""),3.0)</f>
        <v>3</v>
      </c>
      <c r="G3781" s="2">
        <f>IFERROR(__xludf.DUMMYFUNCTION("""COMPUTED_VALUE"""),5.0)</f>
        <v>5</v>
      </c>
      <c r="H3781" s="2" t="str">
        <f>IFERROR(__xludf.DUMMYFUNCTION("""COMPUTED_VALUE"""),"P. kara")</f>
        <v>P. kara</v>
      </c>
      <c r="I3781" s="2" t="str">
        <f>IFERROR(__xludf.DUMMYFUNCTION("""COMPUTED_VALUE"""),"Masonry")</f>
        <v>Masonry</v>
      </c>
      <c r="J3781" s="2" t="str">
        <f>IFERROR(__xludf.DUMMYFUNCTION("""COMPUTED_VALUE"""),"All amenities")</f>
        <v>All amenities</v>
      </c>
      <c r="K3781" s="2">
        <f>IFERROR(__xludf.DUMMYFUNCTION("""COMPUTED_VALUE"""),370.0)</f>
        <v>370</v>
      </c>
      <c r="L3781" s="2">
        <f>IFERROR(__xludf.DUMMYFUNCTION("""COMPUTED_VALUE"""),56.94400335)</f>
        <v>56.94400335</v>
      </c>
      <c r="M3781" s="2">
        <f>IFERROR(__xludf.DUMMYFUNCTION("""COMPUTED_VALUE"""),24.125780302131)</f>
        <v>24.1257803</v>
      </c>
    </row>
    <row r="3782">
      <c r="A3782" s="2" t="str">
        <f>IFERROR(__xludf.DUMMYFUNCTION("""COMPUTED_VALUE"""),"For rent")</f>
        <v>For rent</v>
      </c>
      <c r="B3782" s="2" t="str">
        <f>IFERROR(__xludf.DUMMYFUNCTION("""COMPUTED_VALUE"""),"Jugla")</f>
        <v>Jugla</v>
      </c>
      <c r="C3782" s="2" t="str">
        <f>IFERROR(__xludf.DUMMYFUNCTION("""COMPUTED_VALUE"""),"Juglas 1")</f>
        <v>Juglas 1</v>
      </c>
      <c r="D3782" s="2">
        <f>IFERROR(__xludf.DUMMYFUNCTION("""COMPUTED_VALUE"""),2.0)</f>
        <v>2</v>
      </c>
      <c r="E3782" s="2">
        <f>IFERROR(__xludf.DUMMYFUNCTION("""COMPUTED_VALUE"""),48.0)</f>
        <v>48</v>
      </c>
      <c r="F3782" s="2">
        <f>IFERROR(__xludf.DUMMYFUNCTION("""COMPUTED_VALUE"""),5.0)</f>
        <v>5</v>
      </c>
      <c r="G3782" s="2">
        <f>IFERROR(__xludf.DUMMYFUNCTION("""COMPUTED_VALUE"""),5.0)</f>
        <v>5</v>
      </c>
      <c r="H3782" s="2" t="str">
        <f>IFERROR(__xludf.DUMMYFUNCTION("""COMPUTED_VALUE"""),"LT proj.")</f>
        <v>LT proj.</v>
      </c>
      <c r="I3782" s="2" t="str">
        <f>IFERROR(__xludf.DUMMYFUNCTION("""COMPUTED_VALUE"""),"Brick-Panel")</f>
        <v>Brick-Panel</v>
      </c>
      <c r="J3782" s="2" t="str">
        <f>IFERROR(__xludf.DUMMYFUNCTION("""COMPUTED_VALUE"""),"All amenities")</f>
        <v>All amenities</v>
      </c>
      <c r="K3782" s="2">
        <f>IFERROR(__xludf.DUMMYFUNCTION("""COMPUTED_VALUE"""),350.0)</f>
        <v>350</v>
      </c>
      <c r="L3782" s="2">
        <f>IFERROR(__xludf.DUMMYFUNCTION("""COMPUTED_VALUE"""),56.98858945)</f>
        <v>56.98858945</v>
      </c>
      <c r="M3782" s="2">
        <f>IFERROR(__xludf.DUMMYFUNCTION("""COMPUTED_VALUE"""),24.2427046148995)</f>
        <v>24.24270461</v>
      </c>
    </row>
    <row r="3783">
      <c r="A3783" s="2" t="str">
        <f>IFERROR(__xludf.DUMMYFUNCTION("""COMPUTED_VALUE"""),"For sale")</f>
        <v>For sale</v>
      </c>
      <c r="B3783" s="2" t="str">
        <f>IFERROR(__xludf.DUMMYFUNCTION("""COMPUTED_VALUE"""),"Ziepniekkalns")</f>
        <v>Ziepniekkalns</v>
      </c>
      <c r="C3783" s="2" t="str">
        <f>IFERROR(__xludf.DUMMYFUNCTION("""COMPUTED_VALUE"""),"Ozolciema 32/2")</f>
        <v>Ozolciema 32/2</v>
      </c>
      <c r="D3783" s="2">
        <f>IFERROR(__xludf.DUMMYFUNCTION("""COMPUTED_VALUE"""),4.0)</f>
        <v>4</v>
      </c>
      <c r="E3783" s="2">
        <f>IFERROR(__xludf.DUMMYFUNCTION("""COMPUTED_VALUE"""),76.0)</f>
        <v>76</v>
      </c>
      <c r="F3783" s="2">
        <f>IFERROR(__xludf.DUMMYFUNCTION("""COMPUTED_VALUE"""),2.0)</f>
        <v>2</v>
      </c>
      <c r="G3783" s="2">
        <f>IFERROR(__xludf.DUMMYFUNCTION("""COMPUTED_VALUE"""),9.0)</f>
        <v>9</v>
      </c>
      <c r="H3783" s="2">
        <f>IFERROR(__xludf.DUMMYFUNCTION("""COMPUTED_VALUE"""),602.0)</f>
        <v>602</v>
      </c>
      <c r="I3783" s="2" t="str">
        <f>IFERROR(__xludf.DUMMYFUNCTION("""COMPUTED_VALUE"""),"Panel")</f>
        <v>Panel</v>
      </c>
      <c r="J3783" s="2" t="str">
        <f>IFERROR(__xludf.DUMMYFUNCTION("""COMPUTED_VALUE"""),"All amenities")</f>
        <v>All amenities</v>
      </c>
      <c r="K3783" s="2">
        <f>IFERROR(__xludf.DUMMYFUNCTION("""COMPUTED_VALUE"""),75000.0)</f>
        <v>75000</v>
      </c>
      <c r="L3783" s="2">
        <f>IFERROR(__xludf.DUMMYFUNCTION("""COMPUTED_VALUE"""),56.8990307)</f>
        <v>56.8990307</v>
      </c>
      <c r="M3783" s="2">
        <f>IFERROR(__xludf.DUMMYFUNCTION("""COMPUTED_VALUE"""),24.0785989)</f>
        <v>24.0785989</v>
      </c>
    </row>
    <row r="3784">
      <c r="A3784" s="2" t="str">
        <f>IFERROR(__xludf.DUMMYFUNCTION("""COMPUTED_VALUE"""),"For sale")</f>
        <v>For sale</v>
      </c>
      <c r="B3784" s="2" t="str">
        <f>IFERROR(__xludf.DUMMYFUNCTION("""COMPUTED_VALUE"""),"Purvciems")</f>
        <v>Purvciems</v>
      </c>
      <c r="C3784" s="2" t="str">
        <f>IFERROR(__xludf.DUMMYFUNCTION("""COMPUTED_VALUE"""),"Pūces 53")</f>
        <v>Pūces 53</v>
      </c>
      <c r="D3784" s="2">
        <f>IFERROR(__xludf.DUMMYFUNCTION("""COMPUTED_VALUE"""),2.0)</f>
        <v>2</v>
      </c>
      <c r="E3784" s="2">
        <f>IFERROR(__xludf.DUMMYFUNCTION("""COMPUTED_VALUE"""),48.0)</f>
        <v>48</v>
      </c>
      <c r="F3784" s="2">
        <f>IFERROR(__xludf.DUMMYFUNCTION("""COMPUTED_VALUE"""),3.0)</f>
        <v>3</v>
      </c>
      <c r="G3784" s="2">
        <f>IFERROR(__xludf.DUMMYFUNCTION("""COMPUTED_VALUE"""),9.0)</f>
        <v>9</v>
      </c>
      <c r="H3784" s="2">
        <f>IFERROR(__xludf.DUMMYFUNCTION("""COMPUTED_VALUE"""),467.0)</f>
        <v>467</v>
      </c>
      <c r="I3784" s="2" t="str">
        <f>IFERROR(__xludf.DUMMYFUNCTION("""COMPUTED_VALUE"""),"Panel-Brick")</f>
        <v>Panel-Brick</v>
      </c>
      <c r="J3784" s="2" t="str">
        <f>IFERROR(__xludf.DUMMYFUNCTION("""COMPUTED_VALUE"""),"All amenities")</f>
        <v>All amenities</v>
      </c>
      <c r="K3784" s="2">
        <f>IFERROR(__xludf.DUMMYFUNCTION("""COMPUTED_VALUE"""),56000.0)</f>
        <v>56000</v>
      </c>
      <c r="L3784" s="2">
        <f>IFERROR(__xludf.DUMMYFUNCTION("""COMPUTED_VALUE"""),56.95273165)</f>
        <v>56.95273165</v>
      </c>
      <c r="M3784" s="2">
        <f>IFERROR(__xludf.DUMMYFUNCTION("""COMPUTED_VALUE"""),24.1929681901641)</f>
        <v>24.19296819</v>
      </c>
    </row>
    <row r="3785">
      <c r="A3785" s="2" t="str">
        <f>IFERROR(__xludf.DUMMYFUNCTION("""COMPUTED_VALUE"""),"For rent")</f>
        <v>For rent</v>
      </c>
      <c r="B3785" s="2" t="str">
        <f>IFERROR(__xludf.DUMMYFUNCTION("""COMPUTED_VALUE"""),"Ķengarags")</f>
        <v>Ķengarags</v>
      </c>
      <c r="C3785" s="2" t="str">
        <f>IFERROR(__xludf.DUMMYFUNCTION("""COMPUTED_VALUE"""),"Prūšu 1")</f>
        <v>Prūšu 1</v>
      </c>
      <c r="D3785" s="2">
        <f>IFERROR(__xludf.DUMMYFUNCTION("""COMPUTED_VALUE"""),1.0)</f>
        <v>1</v>
      </c>
      <c r="E3785" s="2">
        <f>IFERROR(__xludf.DUMMYFUNCTION("""COMPUTED_VALUE"""),32.0)</f>
        <v>32</v>
      </c>
      <c r="F3785" s="2">
        <f>IFERROR(__xludf.DUMMYFUNCTION("""COMPUTED_VALUE"""),3.0)</f>
        <v>3</v>
      </c>
      <c r="G3785" s="2">
        <f>IFERROR(__xludf.DUMMYFUNCTION("""COMPUTED_VALUE"""),5.0)</f>
        <v>5</v>
      </c>
      <c r="H3785" s="2" t="str">
        <f>IFERROR(__xludf.DUMMYFUNCTION("""COMPUTED_VALUE"""),"LT proj.")</f>
        <v>LT proj.</v>
      </c>
      <c r="I3785" s="2" t="str">
        <f>IFERROR(__xludf.DUMMYFUNCTION("""COMPUTED_VALUE"""),"Panel")</f>
        <v>Panel</v>
      </c>
      <c r="J3785" s="2" t="str">
        <f>IFERROR(__xludf.DUMMYFUNCTION("""COMPUTED_VALUE"""),"All amenities")</f>
        <v>All amenities</v>
      </c>
      <c r="K3785" s="2">
        <f>IFERROR(__xludf.DUMMYFUNCTION("""COMPUTED_VALUE"""),220.0)</f>
        <v>220</v>
      </c>
      <c r="L3785" s="2">
        <f>IFERROR(__xludf.DUMMYFUNCTION("""COMPUTED_VALUE"""),56.9160513)</f>
        <v>56.9160513</v>
      </c>
      <c r="M3785" s="2">
        <f>IFERROR(__xludf.DUMMYFUNCTION("""COMPUTED_VALUE"""),24.1803428)</f>
        <v>24.1803428</v>
      </c>
    </row>
    <row r="3786">
      <c r="A3786" s="2" t="str">
        <f>IFERROR(__xludf.DUMMYFUNCTION("""COMPUTED_VALUE"""),"For sale")</f>
        <v>For sale</v>
      </c>
      <c r="B3786" s="2" t="str">
        <f>IFERROR(__xludf.DUMMYFUNCTION("""COMPUTED_VALUE"""),"Daugavgrīva")</f>
        <v>Daugavgrīva</v>
      </c>
      <c r="C3786" s="2" t="str">
        <f>IFERROR(__xludf.DUMMYFUNCTION("""COMPUTED_VALUE"""),"Parādes 9a")</f>
        <v>Parādes 9a</v>
      </c>
      <c r="D3786" s="2">
        <f>IFERROR(__xludf.DUMMYFUNCTION("""COMPUTED_VALUE"""),1.0)</f>
        <v>1</v>
      </c>
      <c r="E3786" s="2">
        <f>IFERROR(__xludf.DUMMYFUNCTION("""COMPUTED_VALUE"""),29.0)</f>
        <v>29</v>
      </c>
      <c r="F3786" s="2">
        <f>IFERROR(__xludf.DUMMYFUNCTION("""COMPUTED_VALUE"""),1.0)</f>
        <v>1</v>
      </c>
      <c r="G3786" s="2">
        <f>IFERROR(__xludf.DUMMYFUNCTION("""COMPUTED_VALUE"""),2.0)</f>
        <v>2</v>
      </c>
      <c r="H3786" s="2" t="str">
        <f>IFERROR(__xludf.DUMMYFUNCTION("""COMPUTED_VALUE"""),"Hrušč.")</f>
        <v>Hrušč.</v>
      </c>
      <c r="I3786" s="2" t="str">
        <f>IFERROR(__xludf.DUMMYFUNCTION("""COMPUTED_VALUE"""),"Brick")</f>
        <v>Brick</v>
      </c>
      <c r="J3786" s="2" t="str">
        <f>IFERROR(__xludf.DUMMYFUNCTION("""COMPUTED_VALUE"""),"All amenities")</f>
        <v>All amenities</v>
      </c>
      <c r="K3786" s="2">
        <f>IFERROR(__xludf.DUMMYFUNCTION("""COMPUTED_VALUE"""),23500.0)</f>
        <v>23500</v>
      </c>
      <c r="L3786" s="2">
        <f>IFERROR(__xludf.DUMMYFUNCTION("""COMPUTED_VALUE"""),57.03668605)</f>
        <v>57.03668605</v>
      </c>
      <c r="M3786" s="2">
        <f>IFERROR(__xludf.DUMMYFUNCTION("""COMPUTED_VALUE"""),24.02102837895)</f>
        <v>24.02102838</v>
      </c>
    </row>
    <row r="3787">
      <c r="A3787" s="2" t="str">
        <f>IFERROR(__xludf.DUMMYFUNCTION("""COMPUTED_VALUE"""),"For sale")</f>
        <v>For sale</v>
      </c>
      <c r="B3787" s="2" t="str">
        <f>IFERROR(__xludf.DUMMYFUNCTION("""COMPUTED_VALUE"""),"Pļavnieki")</f>
        <v>Pļavnieki</v>
      </c>
      <c r="C3787" s="2" t="str">
        <f>IFERROR(__xludf.DUMMYFUNCTION("""COMPUTED_VALUE"""),"Deglava 104")</f>
        <v>Deglava 104</v>
      </c>
      <c r="D3787" s="2">
        <f>IFERROR(__xludf.DUMMYFUNCTION("""COMPUTED_VALUE"""),3.0)</f>
        <v>3</v>
      </c>
      <c r="E3787" s="2">
        <f>IFERROR(__xludf.DUMMYFUNCTION("""COMPUTED_VALUE"""),75.0)</f>
        <v>75</v>
      </c>
      <c r="F3787" s="2">
        <f>IFERROR(__xludf.DUMMYFUNCTION("""COMPUTED_VALUE"""),5.0)</f>
        <v>5</v>
      </c>
      <c r="G3787" s="2">
        <f>IFERROR(__xludf.DUMMYFUNCTION("""COMPUTED_VALUE"""),9.0)</f>
        <v>9</v>
      </c>
      <c r="H3787" s="2">
        <f>IFERROR(__xludf.DUMMYFUNCTION("""COMPUTED_VALUE"""),119.0)</f>
        <v>119</v>
      </c>
      <c r="I3787" s="2" t="str">
        <f>IFERROR(__xludf.DUMMYFUNCTION("""COMPUTED_VALUE"""),"Panel")</f>
        <v>Panel</v>
      </c>
      <c r="J3787" s="2" t="str">
        <f>IFERROR(__xludf.DUMMYFUNCTION("""COMPUTED_VALUE"""),"All amenities")</f>
        <v>All amenities</v>
      </c>
      <c r="K3787" s="2">
        <f>IFERROR(__xludf.DUMMYFUNCTION("""COMPUTED_VALUE"""),66000.0)</f>
        <v>66000</v>
      </c>
      <c r="L3787" s="2">
        <f>IFERROR(__xludf.DUMMYFUNCTION("""COMPUTED_VALUE"""),56.9480278)</f>
        <v>56.9480278</v>
      </c>
      <c r="M3787" s="2">
        <f>IFERROR(__xludf.DUMMYFUNCTION("""COMPUTED_VALUE"""),24.1884904499999)</f>
        <v>24.18849045</v>
      </c>
    </row>
    <row r="3788">
      <c r="A3788" s="2" t="str">
        <f>IFERROR(__xludf.DUMMYFUNCTION("""COMPUTED_VALUE"""),"For rent")</f>
        <v>For rent</v>
      </c>
      <c r="B3788" s="2" t="str">
        <f>IFERROR(__xludf.DUMMYFUNCTION("""COMPUTED_VALUE"""),"Vecrīga")</f>
        <v>Vecrīga</v>
      </c>
      <c r="C3788" s="2" t="str">
        <f>IFERROR(__xludf.DUMMYFUNCTION("""COMPUTED_VALUE"""),"Kalēju 47")</f>
        <v>Kalēju 47</v>
      </c>
      <c r="D3788" s="2">
        <f>IFERROR(__xludf.DUMMYFUNCTION("""COMPUTED_VALUE"""),3.0)</f>
        <v>3</v>
      </c>
      <c r="E3788" s="2">
        <f>IFERROR(__xludf.DUMMYFUNCTION("""COMPUTED_VALUE"""),42.0)</f>
        <v>42</v>
      </c>
      <c r="F3788" s="2">
        <f>IFERROR(__xludf.DUMMYFUNCTION("""COMPUTED_VALUE"""),3.0)</f>
        <v>3</v>
      </c>
      <c r="G3788" s="2">
        <f>IFERROR(__xludf.DUMMYFUNCTION("""COMPUTED_VALUE"""),5.0)</f>
        <v>5</v>
      </c>
      <c r="H3788" s="2" t="str">
        <f>IFERROR(__xludf.DUMMYFUNCTION("""COMPUTED_VALUE"""),"Specpr.")</f>
        <v>Specpr.</v>
      </c>
      <c r="I3788" s="2" t="str">
        <f>IFERROR(__xludf.DUMMYFUNCTION("""COMPUTED_VALUE"""),"Panel")</f>
        <v>Panel</v>
      </c>
      <c r="J3788" s="2" t="str">
        <f>IFERROR(__xludf.DUMMYFUNCTION("""COMPUTED_VALUE"""),"All amenities")</f>
        <v>All amenities</v>
      </c>
      <c r="K3788" s="2">
        <f>IFERROR(__xludf.DUMMYFUNCTION("""COMPUTED_VALUE"""),34.0)</f>
        <v>34</v>
      </c>
      <c r="L3788" s="2">
        <f>IFERROR(__xludf.DUMMYFUNCTION("""COMPUTED_VALUE"""),56.9464382)</f>
        <v>56.9464382</v>
      </c>
      <c r="M3788" s="2">
        <f>IFERROR(__xludf.DUMMYFUNCTION("""COMPUTED_VALUE"""),24.112882)</f>
        <v>24.112882</v>
      </c>
    </row>
    <row r="3789">
      <c r="A3789" s="2" t="str">
        <f>IFERROR(__xludf.DUMMYFUNCTION("""COMPUTED_VALUE"""),"For rent")</f>
        <v>For rent</v>
      </c>
      <c r="B3789" s="2" t="str">
        <f>IFERROR(__xludf.DUMMYFUNCTION("""COMPUTED_VALUE"""),"Ziepniekkalns")</f>
        <v>Ziepniekkalns</v>
      </c>
      <c r="C3789" s="2" t="str">
        <f>IFERROR(__xludf.DUMMYFUNCTION("""COMPUTED_VALUE"""),"Graudu 76")</f>
        <v>Graudu 76</v>
      </c>
      <c r="D3789" s="2">
        <f>IFERROR(__xludf.DUMMYFUNCTION("""COMPUTED_VALUE"""),2.0)</f>
        <v>2</v>
      </c>
      <c r="E3789" s="2">
        <f>IFERROR(__xludf.DUMMYFUNCTION("""COMPUTED_VALUE"""),70.0)</f>
        <v>70</v>
      </c>
      <c r="F3789" s="2">
        <f>IFERROR(__xludf.DUMMYFUNCTION("""COMPUTED_VALUE"""),3.0)</f>
        <v>3</v>
      </c>
      <c r="G3789" s="2">
        <f>IFERROR(__xludf.DUMMYFUNCTION("""COMPUTED_VALUE"""),3.0)</f>
        <v>3</v>
      </c>
      <c r="H3789" s="2" t="str">
        <f>IFERROR(__xludf.DUMMYFUNCTION("""COMPUTED_VALUE"""),"Jaun.")</f>
        <v>Jaun.</v>
      </c>
      <c r="I3789" s="2" t="str">
        <f>IFERROR(__xludf.DUMMYFUNCTION("""COMPUTED_VALUE"""),"Masonry")</f>
        <v>Masonry</v>
      </c>
      <c r="J3789" s="2" t="str">
        <f>IFERROR(__xludf.DUMMYFUNCTION("""COMPUTED_VALUE"""),"All amenities")</f>
        <v>All amenities</v>
      </c>
      <c r="K3789" s="2">
        <f>IFERROR(__xludf.DUMMYFUNCTION("""COMPUTED_VALUE"""),529.0)</f>
        <v>529</v>
      </c>
      <c r="L3789" s="2">
        <f>IFERROR(__xludf.DUMMYFUNCTION("""COMPUTED_VALUE"""),56.9088093)</f>
        <v>56.9088093</v>
      </c>
      <c r="M3789" s="2">
        <f>IFERROR(__xludf.DUMMYFUNCTION("""COMPUTED_VALUE"""),24.0913836)</f>
        <v>24.0913836</v>
      </c>
    </row>
    <row r="3790">
      <c r="A3790" s="2" t="str">
        <f>IFERROR(__xludf.DUMMYFUNCTION("""COMPUTED_VALUE"""),"For rent")</f>
        <v>For rent</v>
      </c>
      <c r="B3790" s="2" t="str">
        <f>IFERROR(__xludf.DUMMYFUNCTION("""COMPUTED_VALUE"""),"centrs")</f>
        <v>centrs</v>
      </c>
      <c r="C3790" s="2" t="str">
        <f>IFERROR(__xludf.DUMMYFUNCTION("""COMPUTED_VALUE"""),"Marijas 16")</f>
        <v>Marijas 16</v>
      </c>
      <c r="D3790" s="2">
        <f>IFERROR(__xludf.DUMMYFUNCTION("""COMPUTED_VALUE"""),2.0)</f>
        <v>2</v>
      </c>
      <c r="E3790" s="2">
        <f>IFERROR(__xludf.DUMMYFUNCTION("""COMPUTED_VALUE"""),54.0)</f>
        <v>54</v>
      </c>
      <c r="F3790" s="2">
        <f>IFERROR(__xludf.DUMMYFUNCTION("""COMPUTED_VALUE"""),3.0)</f>
        <v>3</v>
      </c>
      <c r="G3790" s="2">
        <f>IFERROR(__xludf.DUMMYFUNCTION("""COMPUTED_VALUE"""),6.0)</f>
        <v>6</v>
      </c>
      <c r="H3790" s="2" t="str">
        <f>IFERROR(__xludf.DUMMYFUNCTION("""COMPUTED_VALUE"""),"P. kara")</f>
        <v>P. kara</v>
      </c>
      <c r="I3790" s="2" t="str">
        <f>IFERROR(__xludf.DUMMYFUNCTION("""COMPUTED_VALUE"""),"Brick")</f>
        <v>Brick</v>
      </c>
      <c r="J3790" s="2" t="str">
        <f>IFERROR(__xludf.DUMMYFUNCTION("""COMPUTED_VALUE"""),"All amenities")</f>
        <v>All amenities</v>
      </c>
      <c r="K3790" s="2">
        <f>IFERROR(__xludf.DUMMYFUNCTION("""COMPUTED_VALUE"""),700.0)</f>
        <v>700</v>
      </c>
      <c r="L3790" s="2">
        <f>IFERROR(__xludf.DUMMYFUNCTION("""COMPUTED_VALUE"""),56.9505796)</f>
        <v>56.9505796</v>
      </c>
      <c r="M3790" s="2">
        <f>IFERROR(__xludf.DUMMYFUNCTION("""COMPUTED_VALUE"""),24.1255938)</f>
        <v>24.1255938</v>
      </c>
    </row>
    <row r="3791">
      <c r="A3791" s="2" t="str">
        <f>IFERROR(__xludf.DUMMYFUNCTION("""COMPUTED_VALUE"""),"For sale")</f>
        <v>For sale</v>
      </c>
      <c r="B3791" s="2" t="str">
        <f>IFERROR(__xludf.DUMMYFUNCTION("""COMPUTED_VALUE"""),"Iļģuciems")</f>
        <v>Iļģuciems</v>
      </c>
      <c r="C3791" s="2" t="str">
        <f>IFERROR(__xludf.DUMMYFUNCTION("""COMPUTED_VALUE"""),"Dzirciema 71")</f>
        <v>Dzirciema 71</v>
      </c>
      <c r="D3791" s="2">
        <f>IFERROR(__xludf.DUMMYFUNCTION("""COMPUTED_VALUE"""),2.0)</f>
        <v>2</v>
      </c>
      <c r="E3791" s="2">
        <f>IFERROR(__xludf.DUMMYFUNCTION("""COMPUTED_VALUE"""),51.0)</f>
        <v>51</v>
      </c>
      <c r="F3791" s="2">
        <f>IFERROR(__xludf.DUMMYFUNCTION("""COMPUTED_VALUE"""),7.0)</f>
        <v>7</v>
      </c>
      <c r="G3791" s="2">
        <f>IFERROR(__xludf.DUMMYFUNCTION("""COMPUTED_VALUE"""),9.0)</f>
        <v>9</v>
      </c>
      <c r="H3791" s="2">
        <f>IFERROR(__xludf.DUMMYFUNCTION("""COMPUTED_VALUE"""),602.0)</f>
        <v>602</v>
      </c>
      <c r="I3791" s="2" t="str">
        <f>IFERROR(__xludf.DUMMYFUNCTION("""COMPUTED_VALUE"""),"Panel")</f>
        <v>Panel</v>
      </c>
      <c r="J3791" s="2" t="str">
        <f>IFERROR(__xludf.DUMMYFUNCTION("""COMPUTED_VALUE"""),"All amenities")</f>
        <v>All amenities</v>
      </c>
      <c r="K3791" s="2">
        <f>IFERROR(__xludf.DUMMYFUNCTION("""COMPUTED_VALUE"""),42900.0)</f>
        <v>42900</v>
      </c>
      <c r="L3791" s="2">
        <f>IFERROR(__xludf.DUMMYFUNCTION("""COMPUTED_VALUE"""),56.96512045)</f>
        <v>56.96512045</v>
      </c>
      <c r="M3791" s="2">
        <f>IFERROR(__xludf.DUMMYFUNCTION("""COMPUTED_VALUE"""),24.0549828893368)</f>
        <v>24.05498289</v>
      </c>
    </row>
    <row r="3792">
      <c r="A3792" s="2" t="str">
        <f>IFERROR(__xludf.DUMMYFUNCTION("""COMPUTED_VALUE"""),"For sale")</f>
        <v>For sale</v>
      </c>
      <c r="B3792" s="2" t="str">
        <f>IFERROR(__xludf.DUMMYFUNCTION("""COMPUTED_VALUE"""),"Purvciems")</f>
        <v>Purvciems</v>
      </c>
      <c r="C3792" s="2" t="str">
        <f>IFERROR(__xludf.DUMMYFUNCTION("""COMPUTED_VALUE"""),"Ieriķu 54")</f>
        <v>Ieriķu 54</v>
      </c>
      <c r="D3792" s="2">
        <f>IFERROR(__xludf.DUMMYFUNCTION("""COMPUTED_VALUE"""),2.0)</f>
        <v>2</v>
      </c>
      <c r="E3792" s="2">
        <f>IFERROR(__xludf.DUMMYFUNCTION("""COMPUTED_VALUE"""),60.0)</f>
        <v>60</v>
      </c>
      <c r="F3792" s="2">
        <f>IFERROR(__xludf.DUMMYFUNCTION("""COMPUTED_VALUE"""),1.0)</f>
        <v>1</v>
      </c>
      <c r="G3792" s="2">
        <f>IFERROR(__xludf.DUMMYFUNCTION("""COMPUTED_VALUE"""),2.0)</f>
        <v>2</v>
      </c>
      <c r="H3792" s="2" t="str">
        <f>IFERROR(__xludf.DUMMYFUNCTION("""COMPUTED_VALUE"""),"Staļina")</f>
        <v>Staļina</v>
      </c>
      <c r="I3792" s="2" t="str">
        <f>IFERROR(__xludf.DUMMYFUNCTION("""COMPUTED_VALUE"""),"Masonry")</f>
        <v>Masonry</v>
      </c>
      <c r="J3792" s="2" t="str">
        <f>IFERROR(__xludf.DUMMYFUNCTION("""COMPUTED_VALUE"""),"All amenities")</f>
        <v>All amenities</v>
      </c>
      <c r="K3792" s="2">
        <f>IFERROR(__xludf.DUMMYFUNCTION("""COMPUTED_VALUE"""),39999.0)</f>
        <v>39999</v>
      </c>
      <c r="L3792" s="2">
        <f>IFERROR(__xludf.DUMMYFUNCTION("""COMPUTED_VALUE"""),56.9653522)</f>
        <v>56.9653522</v>
      </c>
      <c r="M3792" s="2">
        <f>IFERROR(__xludf.DUMMYFUNCTION("""COMPUTED_VALUE"""),24.1647985)</f>
        <v>24.1647985</v>
      </c>
    </row>
    <row r="3793">
      <c r="A3793" s="2" t="str">
        <f>IFERROR(__xludf.DUMMYFUNCTION("""COMPUTED_VALUE"""),"For sale")</f>
        <v>For sale</v>
      </c>
      <c r="B3793" s="2" t="str">
        <f>IFERROR(__xludf.DUMMYFUNCTION("""COMPUTED_VALUE"""),"Jugla")</f>
        <v>Jugla</v>
      </c>
      <c r="C3793" s="2" t="str">
        <f>IFERROR(__xludf.DUMMYFUNCTION("""COMPUTED_VALUE"""),"Juglas 21")</f>
        <v>Juglas 21</v>
      </c>
      <c r="D3793" s="2">
        <f>IFERROR(__xludf.DUMMYFUNCTION("""COMPUTED_VALUE"""),2.0)</f>
        <v>2</v>
      </c>
      <c r="E3793" s="2">
        <f>IFERROR(__xludf.DUMMYFUNCTION("""COMPUTED_VALUE"""),45.0)</f>
        <v>45</v>
      </c>
      <c r="F3793" s="2">
        <f>IFERROR(__xludf.DUMMYFUNCTION("""COMPUTED_VALUE"""),2.0)</f>
        <v>2</v>
      </c>
      <c r="G3793" s="2">
        <f>IFERROR(__xludf.DUMMYFUNCTION("""COMPUTED_VALUE"""),5.0)</f>
        <v>5</v>
      </c>
      <c r="H3793" s="2" t="str">
        <f>IFERROR(__xludf.DUMMYFUNCTION("""COMPUTED_VALUE"""),"Hrušč.")</f>
        <v>Hrušč.</v>
      </c>
      <c r="I3793" s="2" t="str">
        <f>IFERROR(__xludf.DUMMYFUNCTION("""COMPUTED_VALUE"""),"Panel")</f>
        <v>Panel</v>
      </c>
      <c r="J3793" s="2" t="str">
        <f>IFERROR(__xludf.DUMMYFUNCTION("""COMPUTED_VALUE"""),"All amenities")</f>
        <v>All amenities</v>
      </c>
      <c r="K3793" s="2">
        <f>IFERROR(__xludf.DUMMYFUNCTION("""COMPUTED_VALUE"""),41600.0)</f>
        <v>41600</v>
      </c>
      <c r="L3793" s="2">
        <f>IFERROR(__xludf.DUMMYFUNCTION("""COMPUTED_VALUE"""),56.9845152)</f>
        <v>56.9845152</v>
      </c>
      <c r="M3793" s="2">
        <f>IFERROR(__xludf.DUMMYFUNCTION("""COMPUTED_VALUE"""),24.2477398122175)</f>
        <v>24.24773981</v>
      </c>
    </row>
    <row r="3794">
      <c r="A3794" s="2" t="str">
        <f>IFERROR(__xludf.DUMMYFUNCTION("""COMPUTED_VALUE"""),"For sale")</f>
        <v>For sale</v>
      </c>
      <c r="B3794" s="2" t="str">
        <f>IFERROR(__xludf.DUMMYFUNCTION("""COMPUTED_VALUE"""),"Imanta")</f>
        <v>Imanta</v>
      </c>
      <c r="C3794" s="2" t="str">
        <f>IFERROR(__xludf.DUMMYFUNCTION("""COMPUTED_VALUE"""),"Auru 13")</f>
        <v>Auru 13</v>
      </c>
      <c r="D3794" s="2">
        <f>IFERROR(__xludf.DUMMYFUNCTION("""COMPUTED_VALUE"""),2.0)</f>
        <v>2</v>
      </c>
      <c r="E3794" s="2">
        <f>IFERROR(__xludf.DUMMYFUNCTION("""COMPUTED_VALUE"""),49.0)</f>
        <v>49</v>
      </c>
      <c r="F3794" s="2">
        <f>IFERROR(__xludf.DUMMYFUNCTION("""COMPUTED_VALUE"""),1.0)</f>
        <v>1</v>
      </c>
      <c r="G3794" s="2">
        <f>IFERROR(__xludf.DUMMYFUNCTION("""COMPUTED_VALUE"""),5.0)</f>
        <v>5</v>
      </c>
      <c r="H3794" s="2" t="str">
        <f>IFERROR(__xludf.DUMMYFUNCTION("""COMPUTED_VALUE"""),"LT proj.")</f>
        <v>LT proj.</v>
      </c>
      <c r="I3794" s="2" t="str">
        <f>IFERROR(__xludf.DUMMYFUNCTION("""COMPUTED_VALUE"""),"Panel")</f>
        <v>Panel</v>
      </c>
      <c r="J3794" s="2" t="str">
        <f>IFERROR(__xludf.DUMMYFUNCTION("""COMPUTED_VALUE"""),"All amenities")</f>
        <v>All amenities</v>
      </c>
      <c r="K3794" s="2">
        <f>IFERROR(__xludf.DUMMYFUNCTION("""COMPUTED_VALUE"""),37900.0)</f>
        <v>37900</v>
      </c>
      <c r="L3794" s="2">
        <f>IFERROR(__xludf.DUMMYFUNCTION("""COMPUTED_VALUE"""),56.9610331)</f>
        <v>56.9610331</v>
      </c>
      <c r="M3794" s="2">
        <f>IFERROR(__xludf.DUMMYFUNCTION("""COMPUTED_VALUE"""),24.0074651)</f>
        <v>24.0074651</v>
      </c>
    </row>
    <row r="3795">
      <c r="A3795" s="2" t="str">
        <f>IFERROR(__xludf.DUMMYFUNCTION("""COMPUTED_VALUE"""),"For rent")</f>
        <v>For rent</v>
      </c>
      <c r="B3795" s="2" t="str">
        <f>IFERROR(__xludf.DUMMYFUNCTION("""COMPUTED_VALUE"""),"centrs")</f>
        <v>centrs</v>
      </c>
      <c r="C3795" s="2" t="str">
        <f>IFERROR(__xludf.DUMMYFUNCTION("""COMPUTED_VALUE"""),"Klusā 20")</f>
        <v>Klusā 20</v>
      </c>
      <c r="D3795" s="2">
        <f>IFERROR(__xludf.DUMMYFUNCTION("""COMPUTED_VALUE"""),1.0)</f>
        <v>1</v>
      </c>
      <c r="E3795" s="2">
        <f>IFERROR(__xludf.DUMMYFUNCTION("""COMPUTED_VALUE"""),27.0)</f>
        <v>27</v>
      </c>
      <c r="F3795" s="2">
        <f>IFERROR(__xludf.DUMMYFUNCTION("""COMPUTED_VALUE"""),6.0)</f>
        <v>6</v>
      </c>
      <c r="G3795" s="2">
        <f>IFERROR(__xludf.DUMMYFUNCTION("""COMPUTED_VALUE"""),9.0)</f>
        <v>9</v>
      </c>
      <c r="H3795" s="2" t="str">
        <f>IFERROR(__xludf.DUMMYFUNCTION("""COMPUTED_VALUE"""),"Renov.")</f>
        <v>Renov.</v>
      </c>
      <c r="I3795" s="2" t="str">
        <f>IFERROR(__xludf.DUMMYFUNCTION("""COMPUTED_VALUE"""),"Masonry")</f>
        <v>Masonry</v>
      </c>
      <c r="J3795" s="2" t="str">
        <f>IFERROR(__xludf.DUMMYFUNCTION("""COMPUTED_VALUE"""),"All amenities")</f>
        <v>All amenities</v>
      </c>
      <c r="K3795" s="2">
        <f>IFERROR(__xludf.DUMMYFUNCTION("""COMPUTED_VALUE"""),270.0)</f>
        <v>270</v>
      </c>
      <c r="L3795" s="2">
        <f>IFERROR(__xludf.DUMMYFUNCTION("""COMPUTED_VALUE"""),56.97650505)</f>
        <v>56.97650505</v>
      </c>
      <c r="M3795" s="2">
        <f>IFERROR(__xludf.DUMMYFUNCTION("""COMPUTED_VALUE"""),24.1464958357009)</f>
        <v>24.14649584</v>
      </c>
    </row>
    <row r="3796">
      <c r="A3796" s="2" t="str">
        <f>IFERROR(__xludf.DUMMYFUNCTION("""COMPUTED_VALUE"""),"For rent")</f>
        <v>For rent</v>
      </c>
      <c r="B3796" s="2" t="str">
        <f>IFERROR(__xludf.DUMMYFUNCTION("""COMPUTED_VALUE"""),"Mežciems")</f>
        <v>Mežciems</v>
      </c>
      <c r="C3796" s="2" t="str">
        <f>IFERROR(__xludf.DUMMYFUNCTION("""COMPUTED_VALUE"""),"Eizenšteina 49a")</f>
        <v>Eizenšteina 49a</v>
      </c>
      <c r="D3796" s="2">
        <f>IFERROR(__xludf.DUMMYFUNCTION("""COMPUTED_VALUE"""),3.0)</f>
        <v>3</v>
      </c>
      <c r="E3796" s="2">
        <f>IFERROR(__xludf.DUMMYFUNCTION("""COMPUTED_VALUE"""),18.0)</f>
        <v>18</v>
      </c>
      <c r="F3796" s="2">
        <f>IFERROR(__xludf.DUMMYFUNCTION("""COMPUTED_VALUE"""),1.0)</f>
        <v>1</v>
      </c>
      <c r="G3796" s="2">
        <f>IFERROR(__xludf.DUMMYFUNCTION("""COMPUTED_VALUE"""),2.0)</f>
        <v>2</v>
      </c>
      <c r="H3796" s="2" t="str">
        <f>IFERROR(__xludf.DUMMYFUNCTION("""COMPUTED_VALUE"""),"Jaun.")</f>
        <v>Jaun.</v>
      </c>
      <c r="I3796" s="2" t="str">
        <f>IFERROR(__xludf.DUMMYFUNCTION("""COMPUTED_VALUE"""),"Panel")</f>
        <v>Panel</v>
      </c>
      <c r="J3796" s="2" t="str">
        <f>IFERROR(__xludf.DUMMYFUNCTION("""COMPUTED_VALUE"""),"All amenities")</f>
        <v>All amenities</v>
      </c>
      <c r="K3796" s="2">
        <f>IFERROR(__xludf.DUMMYFUNCTION("""COMPUTED_VALUE"""),20.0)</f>
        <v>20</v>
      </c>
      <c r="L3796" s="2">
        <f>IFERROR(__xludf.DUMMYFUNCTION("""COMPUTED_VALUE"""),56.96518945)</f>
        <v>56.96518945</v>
      </c>
      <c r="M3796" s="2">
        <f>IFERROR(__xludf.DUMMYFUNCTION("""COMPUTED_VALUE"""),24.2353411732595)</f>
        <v>24.23534117</v>
      </c>
    </row>
    <row r="3797">
      <c r="A3797" s="2" t="str">
        <f>IFERROR(__xludf.DUMMYFUNCTION("""COMPUTED_VALUE"""),"For sale")</f>
        <v>For sale</v>
      </c>
      <c r="B3797" s="2" t="str">
        <f>IFERROR(__xludf.DUMMYFUNCTION("""COMPUTED_VALUE"""),"centrs")</f>
        <v>centrs</v>
      </c>
      <c r="C3797" s="2" t="str">
        <f>IFERROR(__xludf.DUMMYFUNCTION("""COMPUTED_VALUE"""),"Rūpniecības 22")</f>
        <v>Rūpniecības 22</v>
      </c>
      <c r="D3797" s="2">
        <f>IFERROR(__xludf.DUMMYFUNCTION("""COMPUTED_VALUE"""),4.0)</f>
        <v>4</v>
      </c>
      <c r="E3797" s="2">
        <f>IFERROR(__xludf.DUMMYFUNCTION("""COMPUTED_VALUE"""),108.0)</f>
        <v>108</v>
      </c>
      <c r="F3797" s="2">
        <f>IFERROR(__xludf.DUMMYFUNCTION("""COMPUTED_VALUE"""),2.0)</f>
        <v>2</v>
      </c>
      <c r="G3797" s="2">
        <f>IFERROR(__xludf.DUMMYFUNCTION("""COMPUTED_VALUE"""),7.0)</f>
        <v>7</v>
      </c>
      <c r="H3797" s="2" t="str">
        <f>IFERROR(__xludf.DUMMYFUNCTION("""COMPUTED_VALUE"""),"Specpr.")</f>
        <v>Specpr.</v>
      </c>
      <c r="I3797" s="2" t="str">
        <f>IFERROR(__xludf.DUMMYFUNCTION("""COMPUTED_VALUE"""),"Brick")</f>
        <v>Brick</v>
      </c>
      <c r="J3797" s="2" t="str">
        <f>IFERROR(__xludf.DUMMYFUNCTION("""COMPUTED_VALUE"""),"All amenities")</f>
        <v>All amenities</v>
      </c>
      <c r="K3797" s="2">
        <f>IFERROR(__xludf.DUMMYFUNCTION("""COMPUTED_VALUE"""),185000.0)</f>
        <v>185000</v>
      </c>
      <c r="L3797" s="2">
        <f>IFERROR(__xludf.DUMMYFUNCTION("""COMPUTED_VALUE"""),56.96134855)</f>
        <v>56.96134855</v>
      </c>
      <c r="M3797" s="2">
        <f>IFERROR(__xludf.DUMMYFUNCTION("""COMPUTED_VALUE"""),24.1036355661932)</f>
        <v>24.10363557</v>
      </c>
    </row>
    <row r="3798">
      <c r="A3798" s="2" t="str">
        <f>IFERROR(__xludf.DUMMYFUNCTION("""COMPUTED_VALUE"""),"For rent")</f>
        <v>For rent</v>
      </c>
      <c r="B3798" s="2" t="str">
        <f>IFERROR(__xludf.DUMMYFUNCTION("""COMPUTED_VALUE"""),"Teika")</f>
        <v>Teika</v>
      </c>
      <c r="C3798" s="2" t="str">
        <f>IFERROR(__xludf.DUMMYFUNCTION("""COMPUTED_VALUE"""),"Kastrānes 1")</f>
        <v>Kastrānes 1</v>
      </c>
      <c r="D3798" s="2">
        <f>IFERROR(__xludf.DUMMYFUNCTION("""COMPUTED_VALUE"""),2.0)</f>
        <v>2</v>
      </c>
      <c r="E3798" s="2">
        <f>IFERROR(__xludf.DUMMYFUNCTION("""COMPUTED_VALUE"""),33.0)</f>
        <v>33</v>
      </c>
      <c r="F3798" s="2">
        <f>IFERROR(__xludf.DUMMYFUNCTION("""COMPUTED_VALUE"""),1.0)</f>
        <v>1</v>
      </c>
      <c r="G3798" s="2">
        <f>IFERROR(__xludf.DUMMYFUNCTION("""COMPUTED_VALUE"""),5.0)</f>
        <v>5</v>
      </c>
      <c r="H3798" s="2" t="str">
        <f>IFERROR(__xludf.DUMMYFUNCTION("""COMPUTED_VALUE"""),"Renov.")</f>
        <v>Renov.</v>
      </c>
      <c r="I3798" s="2" t="str">
        <f>IFERROR(__xludf.DUMMYFUNCTION("""COMPUTED_VALUE"""),"Brick")</f>
        <v>Brick</v>
      </c>
      <c r="J3798" s="2" t="str">
        <f>IFERROR(__xludf.DUMMYFUNCTION("""COMPUTED_VALUE"""),"All amenities")</f>
        <v>All amenities</v>
      </c>
      <c r="K3798" s="2">
        <f>IFERROR(__xludf.DUMMYFUNCTION("""COMPUTED_VALUE"""),350.0)</f>
        <v>350</v>
      </c>
      <c r="L3798" s="2">
        <f>IFERROR(__xludf.DUMMYFUNCTION("""COMPUTED_VALUE"""),56.9693455)</f>
        <v>56.9693455</v>
      </c>
      <c r="M3798" s="2">
        <f>IFERROR(__xludf.DUMMYFUNCTION("""COMPUTED_VALUE"""),24.17841515)</f>
        <v>24.17841515</v>
      </c>
    </row>
    <row r="3799">
      <c r="A3799" s="2" t="str">
        <f>IFERROR(__xludf.DUMMYFUNCTION("""COMPUTED_VALUE"""),"For rent")</f>
        <v>For rent</v>
      </c>
      <c r="B3799" s="2" t="str">
        <f>IFERROR(__xludf.DUMMYFUNCTION("""COMPUTED_VALUE"""),"Vecmīlgrāvis")</f>
        <v>Vecmīlgrāvis</v>
      </c>
      <c r="C3799" s="2" t="str">
        <f>IFERROR(__xludf.DUMMYFUNCTION("""COMPUTED_VALUE"""),"Atlantijas 7")</f>
        <v>Atlantijas 7</v>
      </c>
      <c r="D3799" s="2">
        <f>IFERROR(__xludf.DUMMYFUNCTION("""COMPUTED_VALUE"""),1.0)</f>
        <v>1</v>
      </c>
      <c r="E3799" s="2">
        <f>IFERROR(__xludf.DUMMYFUNCTION("""COMPUTED_VALUE"""),18.0)</f>
        <v>18</v>
      </c>
      <c r="F3799" s="2">
        <f>IFERROR(__xludf.DUMMYFUNCTION("""COMPUTED_VALUE"""),3.0)</f>
        <v>3</v>
      </c>
      <c r="G3799" s="2">
        <f>IFERROR(__xludf.DUMMYFUNCTION("""COMPUTED_VALUE"""),5.0)</f>
        <v>5</v>
      </c>
      <c r="H3799" s="2" t="str">
        <f>IFERROR(__xludf.DUMMYFUNCTION("""COMPUTED_VALUE"""),"Specpr.")</f>
        <v>Specpr.</v>
      </c>
      <c r="I3799" s="2" t="str">
        <f>IFERROR(__xludf.DUMMYFUNCTION("""COMPUTED_VALUE"""),"Brick-Panel")</f>
        <v>Brick-Panel</v>
      </c>
      <c r="J3799" s="2" t="str">
        <f>IFERROR(__xludf.DUMMYFUNCTION("""COMPUTED_VALUE"""),"All amenities")</f>
        <v>All amenities</v>
      </c>
      <c r="K3799" s="2">
        <f>IFERROR(__xludf.DUMMYFUNCTION("""COMPUTED_VALUE"""),150.0)</f>
        <v>150</v>
      </c>
      <c r="L3799" s="2">
        <f>IFERROR(__xludf.DUMMYFUNCTION("""COMPUTED_VALUE"""),57.03735625)</f>
        <v>57.03735625</v>
      </c>
      <c r="M3799" s="2">
        <f>IFERROR(__xludf.DUMMYFUNCTION("""COMPUTED_VALUE"""),24.0864470265655)</f>
        <v>24.08644703</v>
      </c>
    </row>
    <row r="3800">
      <c r="A3800" s="2" t="str">
        <f>IFERROR(__xludf.DUMMYFUNCTION("""COMPUTED_VALUE"""),"For sale")</f>
        <v>For sale</v>
      </c>
      <c r="B3800" s="2" t="str">
        <f>IFERROR(__xludf.DUMMYFUNCTION("""COMPUTED_VALUE"""),"Purvciems")</f>
        <v>Purvciems</v>
      </c>
      <c r="C3800" s="2" t="str">
        <f>IFERROR(__xludf.DUMMYFUNCTION("""COMPUTED_VALUE"""),"Andromedas g. 8")</f>
        <v>Andromedas g. 8</v>
      </c>
      <c r="D3800" s="2">
        <f>IFERROR(__xludf.DUMMYFUNCTION("""COMPUTED_VALUE"""),2.0)</f>
        <v>2</v>
      </c>
      <c r="E3800" s="2">
        <f>IFERROR(__xludf.DUMMYFUNCTION("""COMPUTED_VALUE"""),40.0)</f>
        <v>40</v>
      </c>
      <c r="F3800" s="2">
        <f>IFERROR(__xludf.DUMMYFUNCTION("""COMPUTED_VALUE"""),3.0)</f>
        <v>3</v>
      </c>
      <c r="G3800" s="2">
        <f>IFERROR(__xludf.DUMMYFUNCTION("""COMPUTED_VALUE"""),5.0)</f>
        <v>5</v>
      </c>
      <c r="H3800" s="2" t="str">
        <f>IFERROR(__xludf.DUMMYFUNCTION("""COMPUTED_VALUE"""),"LT proj.")</f>
        <v>LT proj.</v>
      </c>
      <c r="I3800" s="2" t="str">
        <f>IFERROR(__xludf.DUMMYFUNCTION("""COMPUTED_VALUE"""),"Panel")</f>
        <v>Panel</v>
      </c>
      <c r="J3800" s="2" t="str">
        <f>IFERROR(__xludf.DUMMYFUNCTION("""COMPUTED_VALUE"""),"All amenities")</f>
        <v>All amenities</v>
      </c>
      <c r="K3800" s="2">
        <f>IFERROR(__xludf.DUMMYFUNCTION("""COMPUTED_VALUE"""),39900.0)</f>
        <v>39900</v>
      </c>
      <c r="L3800" s="2">
        <f>IFERROR(__xludf.DUMMYFUNCTION("""COMPUTED_VALUE"""),56.9604259)</f>
        <v>56.9604259</v>
      </c>
      <c r="M3800" s="2">
        <f>IFERROR(__xludf.DUMMYFUNCTION("""COMPUTED_VALUE"""),24.201209)</f>
        <v>24.201209</v>
      </c>
    </row>
    <row r="3801">
      <c r="A3801" s="2" t="str">
        <f>IFERROR(__xludf.DUMMYFUNCTION("""COMPUTED_VALUE"""),"For sale")</f>
        <v>For sale</v>
      </c>
      <c r="B3801" s="2" t="str">
        <f>IFERROR(__xludf.DUMMYFUNCTION("""COMPUTED_VALUE"""),"Maskavas priekšpilsēta")</f>
        <v>Maskavas priekšpilsēta</v>
      </c>
      <c r="C3801" s="2" t="str">
        <f>IFERROR(__xludf.DUMMYFUNCTION("""COMPUTED_VALUE"""),"Maskavas 180")</f>
        <v>Maskavas 180</v>
      </c>
      <c r="D3801" s="2">
        <f>IFERROR(__xludf.DUMMYFUNCTION("""COMPUTED_VALUE"""),1.0)</f>
        <v>1</v>
      </c>
      <c r="E3801" s="2">
        <f>IFERROR(__xludf.DUMMYFUNCTION("""COMPUTED_VALUE"""),36.0)</f>
        <v>36</v>
      </c>
      <c r="F3801" s="2">
        <f>IFERROR(__xludf.DUMMYFUNCTION("""COMPUTED_VALUE"""),1.0)</f>
        <v>1</v>
      </c>
      <c r="G3801" s="2">
        <f>IFERROR(__xludf.DUMMYFUNCTION("""COMPUTED_VALUE"""),5.0)</f>
        <v>5</v>
      </c>
      <c r="H3801" s="2" t="str">
        <f>IFERROR(__xludf.DUMMYFUNCTION("""COMPUTED_VALUE"""),"Specpr.")</f>
        <v>Specpr.</v>
      </c>
      <c r="I3801" s="2" t="str">
        <f>IFERROR(__xludf.DUMMYFUNCTION("""COMPUTED_VALUE"""),"Brick")</f>
        <v>Brick</v>
      </c>
      <c r="J3801" s="2" t="str">
        <f>IFERROR(__xludf.DUMMYFUNCTION("""COMPUTED_VALUE"""),"All amenities")</f>
        <v>All amenities</v>
      </c>
      <c r="K3801" s="2">
        <f>IFERROR(__xludf.DUMMYFUNCTION("""COMPUTED_VALUE"""),36000.0)</f>
        <v>36000</v>
      </c>
      <c r="L3801" s="2">
        <f>IFERROR(__xludf.DUMMYFUNCTION("""COMPUTED_VALUE"""),56.8597884)</f>
        <v>56.8597884</v>
      </c>
      <c r="M3801" s="2">
        <f>IFERROR(__xludf.DUMMYFUNCTION("""COMPUTED_VALUE"""),24.3083417)</f>
        <v>24.3083417</v>
      </c>
    </row>
    <row r="3802">
      <c r="A3802" s="2" t="str">
        <f>IFERROR(__xludf.DUMMYFUNCTION("""COMPUTED_VALUE"""),"For sale")</f>
        <v>For sale</v>
      </c>
      <c r="B3802" s="2" t="str">
        <f>IFERROR(__xludf.DUMMYFUNCTION("""COMPUTED_VALUE"""),"Āgenskalns")</f>
        <v>Āgenskalns</v>
      </c>
      <c r="C3802" s="2" t="str">
        <f>IFERROR(__xludf.DUMMYFUNCTION("""COMPUTED_VALUE"""),"Alīses 6")</f>
        <v>Alīses 6</v>
      </c>
      <c r="D3802" s="2">
        <f>IFERROR(__xludf.DUMMYFUNCTION("""COMPUTED_VALUE"""),2.0)</f>
        <v>2</v>
      </c>
      <c r="E3802" s="2">
        <f>IFERROR(__xludf.DUMMYFUNCTION("""COMPUTED_VALUE"""),44.0)</f>
        <v>44</v>
      </c>
      <c r="F3802" s="2">
        <f>IFERROR(__xludf.DUMMYFUNCTION("""COMPUTED_VALUE"""),2.0)</f>
        <v>2</v>
      </c>
      <c r="G3802" s="2">
        <f>IFERROR(__xludf.DUMMYFUNCTION("""COMPUTED_VALUE"""),5.0)</f>
        <v>5</v>
      </c>
      <c r="H3802" s="2" t="str">
        <f>IFERROR(__xludf.DUMMYFUNCTION("""COMPUTED_VALUE"""),"Hrušč.")</f>
        <v>Hrušč.</v>
      </c>
      <c r="I3802" s="2" t="str">
        <f>IFERROR(__xludf.DUMMYFUNCTION("""COMPUTED_VALUE"""),"Panel")</f>
        <v>Panel</v>
      </c>
      <c r="J3802" s="2" t="str">
        <f>IFERROR(__xludf.DUMMYFUNCTION("""COMPUTED_VALUE"""),"All amenities")</f>
        <v>All amenities</v>
      </c>
      <c r="K3802" s="2">
        <f>IFERROR(__xludf.DUMMYFUNCTION("""COMPUTED_VALUE"""),52500.0)</f>
        <v>52500</v>
      </c>
      <c r="L3802" s="2">
        <f>IFERROR(__xludf.DUMMYFUNCTION("""COMPUTED_VALUE"""),56.9461441499999)</f>
        <v>56.94614415</v>
      </c>
      <c r="M3802" s="2">
        <f>IFERROR(__xludf.DUMMYFUNCTION("""COMPUTED_VALUE"""),24.0672928901655)</f>
        <v>24.06729289</v>
      </c>
    </row>
    <row r="3803">
      <c r="A3803" s="2" t="str">
        <f>IFERROR(__xludf.DUMMYFUNCTION("""COMPUTED_VALUE"""),"For rent")</f>
        <v>For rent</v>
      </c>
      <c r="B3803" s="2" t="str">
        <f>IFERROR(__xludf.DUMMYFUNCTION("""COMPUTED_VALUE"""),"Iļģuciems")</f>
        <v>Iļģuciems</v>
      </c>
      <c r="C3803" s="2" t="str">
        <f>IFERROR(__xludf.DUMMYFUNCTION("""COMPUTED_VALUE"""),"Palangas 7")</f>
        <v>Palangas 7</v>
      </c>
      <c r="D3803" s="2">
        <f>IFERROR(__xludf.DUMMYFUNCTION("""COMPUTED_VALUE"""),2.0)</f>
        <v>2</v>
      </c>
      <c r="E3803" s="2">
        <f>IFERROR(__xludf.DUMMYFUNCTION("""COMPUTED_VALUE"""),40.0)</f>
        <v>40</v>
      </c>
      <c r="F3803" s="2">
        <f>IFERROR(__xludf.DUMMYFUNCTION("""COMPUTED_VALUE"""),4.0)</f>
        <v>4</v>
      </c>
      <c r="G3803" s="2">
        <f>IFERROR(__xludf.DUMMYFUNCTION("""COMPUTED_VALUE"""),5.0)</f>
        <v>5</v>
      </c>
      <c r="H3803" s="2" t="str">
        <f>IFERROR(__xludf.DUMMYFUNCTION("""COMPUTED_VALUE"""),"LT proj.")</f>
        <v>LT proj.</v>
      </c>
      <c r="I3803" s="2" t="str">
        <f>IFERROR(__xludf.DUMMYFUNCTION("""COMPUTED_VALUE"""),"Panel")</f>
        <v>Panel</v>
      </c>
      <c r="J3803" s="2" t="str">
        <f>IFERROR(__xludf.DUMMYFUNCTION("""COMPUTED_VALUE"""),"All amenities")</f>
        <v>All amenities</v>
      </c>
      <c r="K3803" s="2">
        <f>IFERROR(__xludf.DUMMYFUNCTION("""COMPUTED_VALUE"""),330.0)</f>
        <v>330</v>
      </c>
      <c r="L3803" s="2">
        <f>IFERROR(__xludf.DUMMYFUNCTION("""COMPUTED_VALUE"""),56.970867)</f>
        <v>56.970867</v>
      </c>
      <c r="M3803" s="2">
        <f>IFERROR(__xludf.DUMMYFUNCTION("""COMPUTED_VALUE"""),24.0538758814468)</f>
        <v>24.05387588</v>
      </c>
    </row>
    <row r="3804">
      <c r="A3804" s="2" t="str">
        <f>IFERROR(__xludf.DUMMYFUNCTION("""COMPUTED_VALUE"""),"For sale")</f>
        <v>For sale</v>
      </c>
      <c r="B3804" s="2" t="str">
        <f>IFERROR(__xludf.DUMMYFUNCTION("""COMPUTED_VALUE"""),"Maskavas priekšpilsēta")</f>
        <v>Maskavas priekšpilsēta</v>
      </c>
      <c r="C3804" s="2" t="str">
        <f>IFERROR(__xludf.DUMMYFUNCTION("""COMPUTED_VALUE"""),"Maskavas 266/3")</f>
        <v>Maskavas 266/3</v>
      </c>
      <c r="D3804" s="2">
        <f>IFERROR(__xludf.DUMMYFUNCTION("""COMPUTED_VALUE"""),2.0)</f>
        <v>2</v>
      </c>
      <c r="E3804" s="2">
        <f>IFERROR(__xludf.DUMMYFUNCTION("""COMPUTED_VALUE"""),46.0)</f>
        <v>46</v>
      </c>
      <c r="F3804" s="2">
        <f>IFERROR(__xludf.DUMMYFUNCTION("""COMPUTED_VALUE"""),4.0)</f>
        <v>4</v>
      </c>
      <c r="G3804" s="2">
        <f>IFERROR(__xludf.DUMMYFUNCTION("""COMPUTED_VALUE"""),5.0)</f>
        <v>5</v>
      </c>
      <c r="H3804" s="2" t="str">
        <f>IFERROR(__xludf.DUMMYFUNCTION("""COMPUTED_VALUE"""),"Specpr.")</f>
        <v>Specpr.</v>
      </c>
      <c r="I3804" s="2" t="str">
        <f>IFERROR(__xludf.DUMMYFUNCTION("""COMPUTED_VALUE"""),"Panel")</f>
        <v>Panel</v>
      </c>
      <c r="J3804" s="2" t="str">
        <f>IFERROR(__xludf.DUMMYFUNCTION("""COMPUTED_VALUE"""),"All amenities")</f>
        <v>All amenities</v>
      </c>
      <c r="K3804" s="2">
        <f>IFERROR(__xludf.DUMMYFUNCTION("""COMPUTED_VALUE"""),40800.0)</f>
        <v>40800</v>
      </c>
      <c r="L3804" s="2">
        <f>IFERROR(__xludf.DUMMYFUNCTION("""COMPUTED_VALUE"""),56.94475115)</f>
        <v>56.94475115</v>
      </c>
      <c r="M3804" s="2">
        <f>IFERROR(__xludf.DUMMYFUNCTION("""COMPUTED_VALUE"""),24.1132172780624)</f>
        <v>24.11321728</v>
      </c>
    </row>
    <row r="3805">
      <c r="A3805" s="2" t="str">
        <f>IFERROR(__xludf.DUMMYFUNCTION("""COMPUTED_VALUE"""),"For sale")</f>
        <v>For sale</v>
      </c>
      <c r="B3805" s="2" t="str">
        <f>IFERROR(__xludf.DUMMYFUNCTION("""COMPUTED_VALUE"""),"Imanta")</f>
        <v>Imanta</v>
      </c>
      <c r="C3805" s="2" t="str">
        <f>IFERROR(__xludf.DUMMYFUNCTION("""COMPUTED_VALUE"""),"Slokas 173")</f>
        <v>Slokas 173</v>
      </c>
      <c r="D3805" s="2">
        <f>IFERROR(__xludf.DUMMYFUNCTION("""COMPUTED_VALUE"""),2.0)</f>
        <v>2</v>
      </c>
      <c r="E3805" s="2">
        <f>IFERROR(__xludf.DUMMYFUNCTION("""COMPUTED_VALUE"""),50.0)</f>
        <v>50</v>
      </c>
      <c r="F3805" s="2">
        <f>IFERROR(__xludf.DUMMYFUNCTION("""COMPUTED_VALUE"""),5.0)</f>
        <v>5</v>
      </c>
      <c r="G3805" s="2">
        <f>IFERROR(__xludf.DUMMYFUNCTION("""COMPUTED_VALUE"""),5.0)</f>
        <v>5</v>
      </c>
      <c r="H3805" s="2" t="str">
        <f>IFERROR(__xludf.DUMMYFUNCTION("""COMPUTED_VALUE"""),"LT proj.")</f>
        <v>LT proj.</v>
      </c>
      <c r="I3805" s="2" t="str">
        <f>IFERROR(__xludf.DUMMYFUNCTION("""COMPUTED_VALUE"""),"Panel")</f>
        <v>Panel</v>
      </c>
      <c r="J3805" s="2" t="str">
        <f>IFERROR(__xludf.DUMMYFUNCTION("""COMPUTED_VALUE"""),"All amenities")</f>
        <v>All amenities</v>
      </c>
      <c r="K3805" s="2">
        <f>IFERROR(__xludf.DUMMYFUNCTION("""COMPUTED_VALUE"""),50290.0)</f>
        <v>50290</v>
      </c>
      <c r="L3805" s="2">
        <f>IFERROR(__xludf.DUMMYFUNCTION("""COMPUTED_VALUE"""),56.9605352)</f>
        <v>56.9605352</v>
      </c>
      <c r="M3805" s="2">
        <f>IFERROR(__xludf.DUMMYFUNCTION("""COMPUTED_VALUE"""),24.0273179999999)</f>
        <v>24.027318</v>
      </c>
    </row>
    <row r="3806">
      <c r="A3806" s="2" t="str">
        <f>IFERROR(__xludf.DUMMYFUNCTION("""COMPUTED_VALUE"""),"For rent")</f>
        <v>For rent</v>
      </c>
      <c r="B3806" s="2" t="str">
        <f>IFERROR(__xludf.DUMMYFUNCTION("""COMPUTED_VALUE"""),"centrs")</f>
        <v>centrs</v>
      </c>
      <c r="C3806" s="2" t="str">
        <f>IFERROR(__xludf.DUMMYFUNCTION("""COMPUTED_VALUE"""),"Upes 12")</f>
        <v>Upes 12</v>
      </c>
      <c r="D3806" s="2">
        <f>IFERROR(__xludf.DUMMYFUNCTION("""COMPUTED_VALUE"""),1.0)</f>
        <v>1</v>
      </c>
      <c r="E3806" s="2">
        <f>IFERROR(__xludf.DUMMYFUNCTION("""COMPUTED_VALUE"""),32.0)</f>
        <v>32</v>
      </c>
      <c r="F3806" s="2">
        <f>IFERROR(__xludf.DUMMYFUNCTION("""COMPUTED_VALUE"""),1.0)</f>
        <v>1</v>
      </c>
      <c r="G3806" s="2">
        <f>IFERROR(__xludf.DUMMYFUNCTION("""COMPUTED_VALUE"""),4.0)</f>
        <v>4</v>
      </c>
      <c r="H3806" s="2" t="str">
        <f>IFERROR(__xludf.DUMMYFUNCTION("""COMPUTED_VALUE"""),"P. kara")</f>
        <v>P. kara</v>
      </c>
      <c r="I3806" s="2" t="str">
        <f>IFERROR(__xludf.DUMMYFUNCTION("""COMPUTED_VALUE"""),"Masonry")</f>
        <v>Masonry</v>
      </c>
      <c r="J3806" s="2" t="str">
        <f>IFERROR(__xludf.DUMMYFUNCTION("""COMPUTED_VALUE"""),"Partial amenities")</f>
        <v>Partial amenities</v>
      </c>
      <c r="K3806" s="2">
        <f>IFERROR(__xludf.DUMMYFUNCTION("""COMPUTED_VALUE"""),180.0)</f>
        <v>180</v>
      </c>
      <c r="L3806" s="2">
        <f>IFERROR(__xludf.DUMMYFUNCTION("""COMPUTED_VALUE"""),56.97624495)</f>
        <v>56.97624495</v>
      </c>
      <c r="M3806" s="2">
        <f>IFERROR(__xludf.DUMMYFUNCTION("""COMPUTED_VALUE"""),24.1434750225153)</f>
        <v>24.14347502</v>
      </c>
    </row>
    <row r="3807">
      <c r="A3807" s="2" t="str">
        <f>IFERROR(__xludf.DUMMYFUNCTION("""COMPUTED_VALUE"""),"For sale")</f>
        <v>For sale</v>
      </c>
      <c r="B3807" s="2" t="str">
        <f>IFERROR(__xludf.DUMMYFUNCTION("""COMPUTED_VALUE"""),"Imanta")</f>
        <v>Imanta</v>
      </c>
      <c r="C3807" s="2" t="str">
        <f>IFERROR(__xludf.DUMMYFUNCTION("""COMPUTED_VALUE"""),"Akāciju 2d")</f>
        <v>Akāciju 2d</v>
      </c>
      <c r="D3807" s="2">
        <f>IFERROR(__xludf.DUMMYFUNCTION("""COMPUTED_VALUE"""),2.0)</f>
        <v>2</v>
      </c>
      <c r="E3807" s="2">
        <f>IFERROR(__xludf.DUMMYFUNCTION("""COMPUTED_VALUE"""),51.0)</f>
        <v>51</v>
      </c>
      <c r="F3807" s="2">
        <f>IFERROR(__xludf.DUMMYFUNCTION("""COMPUTED_VALUE"""),4.0)</f>
        <v>4</v>
      </c>
      <c r="G3807" s="2">
        <f>IFERROR(__xludf.DUMMYFUNCTION("""COMPUTED_VALUE"""),9.0)</f>
        <v>9</v>
      </c>
      <c r="H3807" s="2" t="str">
        <f>IFERROR(__xludf.DUMMYFUNCTION("""COMPUTED_VALUE"""),"Jaun.")</f>
        <v>Jaun.</v>
      </c>
      <c r="I3807" s="2" t="str">
        <f>IFERROR(__xludf.DUMMYFUNCTION("""COMPUTED_VALUE"""),"Panel")</f>
        <v>Panel</v>
      </c>
      <c r="J3807" s="2" t="str">
        <f>IFERROR(__xludf.DUMMYFUNCTION("""COMPUTED_VALUE"""),"All amenities")</f>
        <v>All amenities</v>
      </c>
      <c r="K3807" s="2">
        <f>IFERROR(__xludf.DUMMYFUNCTION("""COMPUTED_VALUE"""),85345.0)</f>
        <v>85345</v>
      </c>
      <c r="L3807" s="2">
        <f>IFERROR(__xludf.DUMMYFUNCTION("""COMPUTED_VALUE"""),56.9514132)</f>
        <v>56.9514132</v>
      </c>
      <c r="M3807" s="2">
        <f>IFERROR(__xludf.DUMMYFUNCTION("""COMPUTED_VALUE"""),24.0038761753746)</f>
        <v>24.00387618</v>
      </c>
    </row>
    <row r="3808">
      <c r="A3808" s="2" t="str">
        <f>IFERROR(__xludf.DUMMYFUNCTION("""COMPUTED_VALUE"""),"For rent")</f>
        <v>For rent</v>
      </c>
      <c r="B3808" s="2" t="str">
        <f>IFERROR(__xludf.DUMMYFUNCTION("""COMPUTED_VALUE"""),"centrs")</f>
        <v>centrs</v>
      </c>
      <c r="C3808" s="2" t="str">
        <f>IFERROR(__xludf.DUMMYFUNCTION("""COMPUTED_VALUE"""),"Brīvības 132")</f>
        <v>Brīvības 132</v>
      </c>
      <c r="D3808" s="2">
        <f>IFERROR(__xludf.DUMMYFUNCTION("""COMPUTED_VALUE"""),2.0)</f>
        <v>2</v>
      </c>
      <c r="E3808" s="2">
        <f>IFERROR(__xludf.DUMMYFUNCTION("""COMPUTED_VALUE"""),57.0)</f>
        <v>57</v>
      </c>
      <c r="F3808" s="2">
        <f>IFERROR(__xludf.DUMMYFUNCTION("""COMPUTED_VALUE"""),2.0)</f>
        <v>2</v>
      </c>
      <c r="G3808" s="2">
        <f>IFERROR(__xludf.DUMMYFUNCTION("""COMPUTED_VALUE"""),3.0)</f>
        <v>3</v>
      </c>
      <c r="H3808" s="2" t="str">
        <f>IFERROR(__xludf.DUMMYFUNCTION("""COMPUTED_VALUE"""),"P. kara")</f>
        <v>P. kara</v>
      </c>
      <c r="I3808" s="2" t="str">
        <f>IFERROR(__xludf.DUMMYFUNCTION("""COMPUTED_VALUE"""),"Masonry")</f>
        <v>Masonry</v>
      </c>
      <c r="J3808" s="2" t="str">
        <f>IFERROR(__xludf.DUMMYFUNCTION("""COMPUTED_VALUE"""),"All amenities")</f>
        <v>All amenities</v>
      </c>
      <c r="K3808" s="2">
        <f>IFERROR(__xludf.DUMMYFUNCTION("""COMPUTED_VALUE"""),540.0)</f>
        <v>540</v>
      </c>
      <c r="L3808" s="2">
        <f>IFERROR(__xludf.DUMMYFUNCTION("""COMPUTED_VALUE"""),56.96333825)</f>
        <v>56.96333825</v>
      </c>
      <c r="M3808" s="2">
        <f>IFERROR(__xludf.DUMMYFUNCTION("""COMPUTED_VALUE"""),24.1382969970199)</f>
        <v>24.138297</v>
      </c>
    </row>
    <row r="3809">
      <c r="A3809" s="2" t="str">
        <f>IFERROR(__xludf.DUMMYFUNCTION("""COMPUTED_VALUE"""),"For sale")</f>
        <v>For sale</v>
      </c>
      <c r="B3809" s="2" t="str">
        <f>IFERROR(__xludf.DUMMYFUNCTION("""COMPUTED_VALUE"""),"centrs")</f>
        <v>centrs</v>
      </c>
      <c r="C3809" s="2" t="str">
        <f>IFERROR(__xludf.DUMMYFUNCTION("""COMPUTED_VALUE"""),"Hospitāļu 7")</f>
        <v>Hospitāļu 7</v>
      </c>
      <c r="D3809" s="2">
        <f>IFERROR(__xludf.DUMMYFUNCTION("""COMPUTED_VALUE"""),3.0)</f>
        <v>3</v>
      </c>
      <c r="E3809" s="2">
        <f>IFERROR(__xludf.DUMMYFUNCTION("""COMPUTED_VALUE"""),67.0)</f>
        <v>67</v>
      </c>
      <c r="F3809" s="2">
        <f>IFERROR(__xludf.DUMMYFUNCTION("""COMPUTED_VALUE"""),4.0)</f>
        <v>4</v>
      </c>
      <c r="G3809" s="2">
        <f>IFERROR(__xludf.DUMMYFUNCTION("""COMPUTED_VALUE"""),5.0)</f>
        <v>5</v>
      </c>
      <c r="H3809" s="2">
        <f>IFERROR(__xludf.DUMMYFUNCTION("""COMPUTED_VALUE"""),103.0)</f>
        <v>103</v>
      </c>
      <c r="I3809" s="2" t="str">
        <f>IFERROR(__xludf.DUMMYFUNCTION("""COMPUTED_VALUE"""),"Panel-Brick")</f>
        <v>Panel-Brick</v>
      </c>
      <c r="J3809" s="2" t="str">
        <f>IFERROR(__xludf.DUMMYFUNCTION("""COMPUTED_VALUE"""),"All amenities")</f>
        <v>All amenities</v>
      </c>
      <c r="K3809" s="2">
        <f>IFERROR(__xludf.DUMMYFUNCTION("""COMPUTED_VALUE"""),82500.0)</f>
        <v>82500</v>
      </c>
      <c r="L3809" s="2">
        <f>IFERROR(__xludf.DUMMYFUNCTION("""COMPUTED_VALUE"""),56.9702595)</f>
        <v>56.9702595</v>
      </c>
      <c r="M3809" s="2">
        <f>IFERROR(__xludf.DUMMYFUNCTION("""COMPUTED_VALUE"""),24.1355050276166)</f>
        <v>24.13550503</v>
      </c>
    </row>
    <row r="3810">
      <c r="A3810" s="2" t="str">
        <f>IFERROR(__xludf.DUMMYFUNCTION("""COMPUTED_VALUE"""),"For sale")</f>
        <v>For sale</v>
      </c>
      <c r="B3810" s="2" t="str">
        <f>IFERROR(__xludf.DUMMYFUNCTION("""COMPUTED_VALUE"""),"Āgenskalns")</f>
        <v>Āgenskalns</v>
      </c>
      <c r="C3810" s="2" t="str">
        <f>IFERROR(__xludf.DUMMYFUNCTION("""COMPUTED_VALUE"""),"Mārupes 51")</f>
        <v>Mārupes 51</v>
      </c>
      <c r="D3810" s="2">
        <f>IFERROR(__xludf.DUMMYFUNCTION("""COMPUTED_VALUE"""),2.0)</f>
        <v>2</v>
      </c>
      <c r="E3810" s="2">
        <f>IFERROR(__xludf.DUMMYFUNCTION("""COMPUTED_VALUE"""),56.0)</f>
        <v>56</v>
      </c>
      <c r="F3810" s="2">
        <f>IFERROR(__xludf.DUMMYFUNCTION("""COMPUTED_VALUE"""),5.0)</f>
        <v>5</v>
      </c>
      <c r="G3810" s="2">
        <f>IFERROR(__xludf.DUMMYFUNCTION("""COMPUTED_VALUE"""),5.0)</f>
        <v>5</v>
      </c>
      <c r="H3810" s="2" t="str">
        <f>IFERROR(__xludf.DUMMYFUNCTION("""COMPUTED_VALUE"""),"Specpr.")</f>
        <v>Specpr.</v>
      </c>
      <c r="I3810" s="2" t="str">
        <f>IFERROR(__xludf.DUMMYFUNCTION("""COMPUTED_VALUE"""),"Brick")</f>
        <v>Brick</v>
      </c>
      <c r="J3810" s="2" t="str">
        <f>IFERROR(__xludf.DUMMYFUNCTION("""COMPUTED_VALUE"""),"All amenities")</f>
        <v>All amenities</v>
      </c>
      <c r="K3810" s="2">
        <f>IFERROR(__xludf.DUMMYFUNCTION("""COMPUTED_VALUE"""),63000.0)</f>
        <v>63000</v>
      </c>
      <c r="L3810" s="2">
        <f>IFERROR(__xludf.DUMMYFUNCTION("""COMPUTED_VALUE"""),56.9278295)</f>
        <v>56.9278295</v>
      </c>
      <c r="M3810" s="2">
        <f>IFERROR(__xludf.DUMMYFUNCTION("""COMPUTED_VALUE"""),24.07532166896)</f>
        <v>24.07532167</v>
      </c>
    </row>
    <row r="3811">
      <c r="A3811" s="2" t="str">
        <f>IFERROR(__xludf.DUMMYFUNCTION("""COMPUTED_VALUE"""),"For rent")</f>
        <v>For rent</v>
      </c>
      <c r="B3811" s="2" t="str">
        <f>IFERROR(__xludf.DUMMYFUNCTION("""COMPUTED_VALUE"""),"Āgenskalns")</f>
        <v>Āgenskalns</v>
      </c>
      <c r="C3811" s="2" t="str">
        <f>IFERROR(__xludf.DUMMYFUNCTION("""COMPUTED_VALUE"""),"Kuģu 22")</f>
        <v>Kuģu 22</v>
      </c>
      <c r="D3811" s="2">
        <f>IFERROR(__xludf.DUMMYFUNCTION("""COMPUTED_VALUE"""),1.0)</f>
        <v>1</v>
      </c>
      <c r="E3811" s="2">
        <f>IFERROR(__xludf.DUMMYFUNCTION("""COMPUTED_VALUE"""),25.0)</f>
        <v>25</v>
      </c>
      <c r="F3811" s="2">
        <f>IFERROR(__xludf.DUMMYFUNCTION("""COMPUTED_VALUE"""),1.0)</f>
        <v>1</v>
      </c>
      <c r="G3811" s="2">
        <f>IFERROR(__xludf.DUMMYFUNCTION("""COMPUTED_VALUE"""),4.0)</f>
        <v>4</v>
      </c>
      <c r="H3811" s="2" t="str">
        <f>IFERROR(__xludf.DUMMYFUNCTION("""COMPUTED_VALUE"""),"Hrušč.")</f>
        <v>Hrušč.</v>
      </c>
      <c r="I3811" s="2" t="str">
        <f>IFERROR(__xludf.DUMMYFUNCTION("""COMPUTED_VALUE"""),"Brick")</f>
        <v>Brick</v>
      </c>
      <c r="J3811" s="2" t="str">
        <f>IFERROR(__xludf.DUMMYFUNCTION("""COMPUTED_VALUE"""),"All amenities")</f>
        <v>All amenities</v>
      </c>
      <c r="K3811" s="2">
        <f>IFERROR(__xludf.DUMMYFUNCTION("""COMPUTED_VALUE"""),250.0)</f>
        <v>250</v>
      </c>
      <c r="L3811" s="2">
        <f>IFERROR(__xludf.DUMMYFUNCTION("""COMPUTED_VALUE"""),56.9425516999999)</f>
        <v>56.9425517</v>
      </c>
      <c r="M3811" s="2">
        <f>IFERROR(__xludf.DUMMYFUNCTION("""COMPUTED_VALUE"""),24.0948875747729)</f>
        <v>24.09488757</v>
      </c>
    </row>
    <row r="3812">
      <c r="A3812" s="2" t="str">
        <f>IFERROR(__xludf.DUMMYFUNCTION("""COMPUTED_VALUE"""),"For sale")</f>
        <v>For sale</v>
      </c>
      <c r="B3812" s="2" t="str">
        <f>IFERROR(__xludf.DUMMYFUNCTION("""COMPUTED_VALUE"""),"centrs")</f>
        <v>centrs</v>
      </c>
      <c r="C3812" s="2" t="str">
        <f>IFERROR(__xludf.DUMMYFUNCTION("""COMPUTED_VALUE"""),"Eksporta 4")</f>
        <v>Eksporta 4</v>
      </c>
      <c r="D3812" s="2">
        <f>IFERROR(__xludf.DUMMYFUNCTION("""COMPUTED_VALUE"""),6.0)</f>
        <v>6</v>
      </c>
      <c r="E3812" s="2">
        <f>IFERROR(__xludf.DUMMYFUNCTION("""COMPUTED_VALUE"""),204.0)</f>
        <v>204</v>
      </c>
      <c r="F3812" s="2">
        <f>IFERROR(__xludf.DUMMYFUNCTION("""COMPUTED_VALUE"""),2.0)</f>
        <v>2</v>
      </c>
      <c r="G3812" s="2">
        <f>IFERROR(__xludf.DUMMYFUNCTION("""COMPUTED_VALUE"""),5.0)</f>
        <v>5</v>
      </c>
      <c r="H3812" s="2" t="str">
        <f>IFERROR(__xludf.DUMMYFUNCTION("""COMPUTED_VALUE"""),"P. kara")</f>
        <v>P. kara</v>
      </c>
      <c r="I3812" s="2" t="str">
        <f>IFERROR(__xludf.DUMMYFUNCTION("""COMPUTED_VALUE"""),"Masonry")</f>
        <v>Masonry</v>
      </c>
      <c r="J3812" s="2" t="str">
        <f>IFERROR(__xludf.DUMMYFUNCTION("""COMPUTED_VALUE"""),"All amenities")</f>
        <v>All amenities</v>
      </c>
      <c r="K3812" s="2">
        <f>IFERROR(__xludf.DUMMYFUNCTION("""COMPUTED_VALUE"""),300000.0)</f>
        <v>300000</v>
      </c>
      <c r="L3812" s="2">
        <f>IFERROR(__xludf.DUMMYFUNCTION("""COMPUTED_VALUE"""),56.956763)</f>
        <v>56.956763</v>
      </c>
      <c r="M3812" s="2">
        <f>IFERROR(__xludf.DUMMYFUNCTION("""COMPUTED_VALUE"""),24.0954531)</f>
        <v>24.0954531</v>
      </c>
    </row>
    <row r="3813">
      <c r="A3813" s="2" t="str">
        <f>IFERROR(__xludf.DUMMYFUNCTION("""COMPUTED_VALUE"""),"For rent")</f>
        <v>For rent</v>
      </c>
      <c r="B3813" s="2" t="str">
        <f>IFERROR(__xludf.DUMMYFUNCTION("""COMPUTED_VALUE"""),"centrs")</f>
        <v>centrs</v>
      </c>
      <c r="C3813" s="2" t="str">
        <f>IFERROR(__xludf.DUMMYFUNCTION("""COMPUTED_VALUE"""),"Cēsu 17")</f>
        <v>Cēsu 17</v>
      </c>
      <c r="D3813" s="2">
        <f>IFERROR(__xludf.DUMMYFUNCTION("""COMPUTED_VALUE"""),1.0)</f>
        <v>1</v>
      </c>
      <c r="E3813" s="2">
        <f>IFERROR(__xludf.DUMMYFUNCTION("""COMPUTED_VALUE"""),30.0)</f>
        <v>30</v>
      </c>
      <c r="F3813" s="2">
        <f>IFERROR(__xludf.DUMMYFUNCTION("""COMPUTED_VALUE"""),2.0)</f>
        <v>2</v>
      </c>
      <c r="G3813" s="2">
        <f>IFERROR(__xludf.DUMMYFUNCTION("""COMPUTED_VALUE"""),2.0)</f>
        <v>2</v>
      </c>
      <c r="H3813" s="2" t="str">
        <f>IFERROR(__xludf.DUMMYFUNCTION("""COMPUTED_VALUE"""),"P. kara")</f>
        <v>P. kara</v>
      </c>
      <c r="I3813" s="2" t="str">
        <f>IFERROR(__xludf.DUMMYFUNCTION("""COMPUTED_VALUE"""),"Wood")</f>
        <v>Wood</v>
      </c>
      <c r="J3813" s="2" t="str">
        <f>IFERROR(__xludf.DUMMYFUNCTION("""COMPUTED_VALUE"""),"All amenities")</f>
        <v>All amenities</v>
      </c>
      <c r="K3813" s="2">
        <f>IFERROR(__xludf.DUMMYFUNCTION("""COMPUTED_VALUE"""),30.0)</f>
        <v>30</v>
      </c>
      <c r="L3813" s="2">
        <f>IFERROR(__xludf.DUMMYFUNCTION("""COMPUTED_VALUE"""),56.96513)</f>
        <v>56.96513</v>
      </c>
      <c r="M3813" s="2">
        <f>IFERROR(__xludf.DUMMYFUNCTION("""COMPUTED_VALUE"""),24.1388997)</f>
        <v>24.1388997</v>
      </c>
    </row>
    <row r="3814">
      <c r="A3814" s="2" t="str">
        <f>IFERROR(__xludf.DUMMYFUNCTION("""COMPUTED_VALUE"""),"For rent")</f>
        <v>For rent</v>
      </c>
      <c r="B3814" s="2" t="str">
        <f>IFERROR(__xludf.DUMMYFUNCTION("""COMPUTED_VALUE"""),"Zolitūde")</f>
        <v>Zolitūde</v>
      </c>
      <c r="C3814" s="2" t="str">
        <f>IFERROR(__xludf.DUMMYFUNCTION("""COMPUTED_VALUE"""),"Zolitūdes 73")</f>
        <v>Zolitūdes 73</v>
      </c>
      <c r="D3814" s="2">
        <f>IFERROR(__xludf.DUMMYFUNCTION("""COMPUTED_VALUE"""),3.0)</f>
        <v>3</v>
      </c>
      <c r="E3814" s="2">
        <f>IFERROR(__xludf.DUMMYFUNCTION("""COMPUTED_VALUE"""),72.0)</f>
        <v>72</v>
      </c>
      <c r="F3814" s="2">
        <f>IFERROR(__xludf.DUMMYFUNCTION("""COMPUTED_VALUE"""),2.0)</f>
        <v>2</v>
      </c>
      <c r="G3814" s="2">
        <f>IFERROR(__xludf.DUMMYFUNCTION("""COMPUTED_VALUE"""),6.0)</f>
        <v>6</v>
      </c>
      <c r="H3814" s="2" t="str">
        <f>IFERROR(__xludf.DUMMYFUNCTION("""COMPUTED_VALUE"""),"Jaun.")</f>
        <v>Jaun.</v>
      </c>
      <c r="I3814" s="2" t="str">
        <f>IFERROR(__xludf.DUMMYFUNCTION("""COMPUTED_VALUE"""),"Brick-Panel")</f>
        <v>Brick-Panel</v>
      </c>
      <c r="J3814" s="2" t="str">
        <f>IFERROR(__xludf.DUMMYFUNCTION("""COMPUTED_VALUE"""),"All amenities")</f>
        <v>All amenities</v>
      </c>
      <c r="K3814" s="2">
        <f>IFERROR(__xludf.DUMMYFUNCTION("""COMPUTED_VALUE"""),60.0)</f>
        <v>60</v>
      </c>
      <c r="L3814" s="2">
        <f>IFERROR(__xludf.DUMMYFUNCTION("""COMPUTED_VALUE"""),56.9428355)</f>
        <v>56.9428355</v>
      </c>
      <c r="M3814" s="2">
        <f>IFERROR(__xludf.DUMMYFUNCTION("""COMPUTED_VALUE"""),24.00281655)</f>
        <v>24.00281655</v>
      </c>
    </row>
    <row r="3815">
      <c r="A3815" s="2" t="str">
        <f>IFERROR(__xludf.DUMMYFUNCTION("""COMPUTED_VALUE"""),"For sale")</f>
        <v>For sale</v>
      </c>
      <c r="B3815" s="2" t="str">
        <f>IFERROR(__xludf.DUMMYFUNCTION("""COMPUTED_VALUE"""),"Daugavgrīva")</f>
        <v>Daugavgrīva</v>
      </c>
      <c r="C3815" s="2" t="str">
        <f>IFERROR(__xludf.DUMMYFUNCTION("""COMPUTED_VALUE"""),"Lēpju 9")</f>
        <v>Lēpju 9</v>
      </c>
      <c r="D3815" s="2">
        <f>IFERROR(__xludf.DUMMYFUNCTION("""COMPUTED_VALUE"""),3.0)</f>
        <v>3</v>
      </c>
      <c r="E3815" s="2">
        <f>IFERROR(__xludf.DUMMYFUNCTION("""COMPUTED_VALUE"""),55.0)</f>
        <v>55</v>
      </c>
      <c r="F3815" s="2">
        <f>IFERROR(__xludf.DUMMYFUNCTION("""COMPUTED_VALUE"""),1.0)</f>
        <v>1</v>
      </c>
      <c r="G3815" s="2">
        <f>IFERROR(__xludf.DUMMYFUNCTION("""COMPUTED_VALUE"""),5.0)</f>
        <v>5</v>
      </c>
      <c r="H3815" s="2" t="str">
        <f>IFERROR(__xludf.DUMMYFUNCTION("""COMPUTED_VALUE"""),"Hrušč.")</f>
        <v>Hrušč.</v>
      </c>
      <c r="I3815" s="2" t="str">
        <f>IFERROR(__xludf.DUMMYFUNCTION("""COMPUTED_VALUE"""),"Brick")</f>
        <v>Brick</v>
      </c>
      <c r="J3815" s="2" t="str">
        <f>IFERROR(__xludf.DUMMYFUNCTION("""COMPUTED_VALUE"""),"All amenities")</f>
        <v>All amenities</v>
      </c>
      <c r="K3815" s="2">
        <f>IFERROR(__xludf.DUMMYFUNCTION("""COMPUTED_VALUE"""),43000.0)</f>
        <v>43000</v>
      </c>
      <c r="L3815" s="2">
        <f>IFERROR(__xludf.DUMMYFUNCTION("""COMPUTED_VALUE"""),57.04009055)</f>
        <v>57.04009055</v>
      </c>
      <c r="M3815" s="2">
        <f>IFERROR(__xludf.DUMMYFUNCTION("""COMPUTED_VALUE"""),24.0246013254787)</f>
        <v>24.02460133</v>
      </c>
    </row>
    <row r="3816">
      <c r="A3816" s="2" t="str">
        <f>IFERROR(__xludf.DUMMYFUNCTION("""COMPUTED_VALUE"""),"For sale")</f>
        <v>For sale</v>
      </c>
      <c r="B3816" s="2" t="str">
        <f>IFERROR(__xludf.DUMMYFUNCTION("""COMPUTED_VALUE"""),"centrs")</f>
        <v>centrs</v>
      </c>
      <c r="C3816" s="2" t="str">
        <f>IFERROR(__xludf.DUMMYFUNCTION("""COMPUTED_VALUE"""),"Ģertrūdes 62")</f>
        <v>Ģertrūdes 62</v>
      </c>
      <c r="D3816" s="2">
        <f>IFERROR(__xludf.DUMMYFUNCTION("""COMPUTED_VALUE"""),3.0)</f>
        <v>3</v>
      </c>
      <c r="E3816" s="2">
        <f>IFERROR(__xludf.DUMMYFUNCTION("""COMPUTED_VALUE"""),84.0)</f>
        <v>84</v>
      </c>
      <c r="F3816" s="2">
        <f>IFERROR(__xludf.DUMMYFUNCTION("""COMPUTED_VALUE"""),3.0)</f>
        <v>3</v>
      </c>
      <c r="G3816" s="2">
        <f>IFERROR(__xludf.DUMMYFUNCTION("""COMPUTED_VALUE"""),6.0)</f>
        <v>6</v>
      </c>
      <c r="H3816" s="2" t="str">
        <f>IFERROR(__xludf.DUMMYFUNCTION("""COMPUTED_VALUE"""),"P. kara")</f>
        <v>P. kara</v>
      </c>
      <c r="I3816" s="2" t="str">
        <f>IFERROR(__xludf.DUMMYFUNCTION("""COMPUTED_VALUE"""),"Brick")</f>
        <v>Brick</v>
      </c>
      <c r="J3816" s="2" t="str">
        <f>IFERROR(__xludf.DUMMYFUNCTION("""COMPUTED_VALUE"""),"All amenities")</f>
        <v>All amenities</v>
      </c>
      <c r="K3816" s="2">
        <f>IFERROR(__xludf.DUMMYFUNCTION("""COMPUTED_VALUE"""),135000.0)</f>
        <v>135000</v>
      </c>
      <c r="L3816" s="2">
        <f>IFERROR(__xludf.DUMMYFUNCTION("""COMPUTED_VALUE"""),56.9512368)</f>
        <v>56.9512368</v>
      </c>
      <c r="M3816" s="2">
        <f>IFERROR(__xludf.DUMMYFUNCTION("""COMPUTED_VALUE"""),24.1334549)</f>
        <v>24.1334549</v>
      </c>
    </row>
    <row r="3817">
      <c r="A3817" s="2" t="str">
        <f>IFERROR(__xludf.DUMMYFUNCTION("""COMPUTED_VALUE"""),"For sale")</f>
        <v>For sale</v>
      </c>
      <c r="B3817" s="2" t="str">
        <f>IFERROR(__xludf.DUMMYFUNCTION("""COMPUTED_VALUE"""),"Mežciems")</f>
        <v>Mežciems</v>
      </c>
      <c r="C3817" s="2" t="str">
        <f>IFERROR(__xludf.DUMMYFUNCTION("""COMPUTED_VALUE"""),"Biķernieku 220")</f>
        <v>Biķernieku 220</v>
      </c>
      <c r="D3817" s="2">
        <f>IFERROR(__xludf.DUMMYFUNCTION("""COMPUTED_VALUE"""),1.0)</f>
        <v>1</v>
      </c>
      <c r="E3817" s="2">
        <f>IFERROR(__xludf.DUMMYFUNCTION("""COMPUTED_VALUE"""),35.0)</f>
        <v>35</v>
      </c>
      <c r="F3817" s="2">
        <f>IFERROR(__xludf.DUMMYFUNCTION("""COMPUTED_VALUE"""),2.0)</f>
        <v>2</v>
      </c>
      <c r="G3817" s="2">
        <f>IFERROR(__xludf.DUMMYFUNCTION("""COMPUTED_VALUE"""),5.0)</f>
        <v>5</v>
      </c>
      <c r="H3817" s="2">
        <f>IFERROR(__xludf.DUMMYFUNCTION("""COMPUTED_VALUE"""),103.0)</f>
        <v>103</v>
      </c>
      <c r="I3817" s="2" t="str">
        <f>IFERROR(__xludf.DUMMYFUNCTION("""COMPUTED_VALUE"""),"Brick-Panel")</f>
        <v>Brick-Panel</v>
      </c>
      <c r="J3817" s="2" t="str">
        <f>IFERROR(__xludf.DUMMYFUNCTION("""COMPUTED_VALUE"""),"All amenities")</f>
        <v>All amenities</v>
      </c>
      <c r="K3817" s="2">
        <f>IFERROR(__xludf.DUMMYFUNCTION("""COMPUTED_VALUE"""),27500.0)</f>
        <v>27500</v>
      </c>
      <c r="L3817" s="2">
        <f>IFERROR(__xludf.DUMMYFUNCTION("""COMPUTED_VALUE"""),56.95867065)</f>
        <v>56.95867065</v>
      </c>
      <c r="M3817" s="2">
        <f>IFERROR(__xludf.DUMMYFUNCTION("""COMPUTED_VALUE"""),24.2911695189228)</f>
        <v>24.29116952</v>
      </c>
    </row>
    <row r="3818">
      <c r="A3818" s="2" t="str">
        <f>IFERROR(__xludf.DUMMYFUNCTION("""COMPUTED_VALUE"""),"For rent")</f>
        <v>For rent</v>
      </c>
      <c r="B3818" s="2" t="str">
        <f>IFERROR(__xludf.DUMMYFUNCTION("""COMPUTED_VALUE"""),"Imanta")</f>
        <v>Imanta</v>
      </c>
      <c r="C3818" s="2" t="str">
        <f>IFERROR(__xludf.DUMMYFUNCTION("""COMPUTED_VALUE"""),"Kurzemes pr. 84")</f>
        <v>Kurzemes pr. 84</v>
      </c>
      <c r="D3818" s="2">
        <f>IFERROR(__xludf.DUMMYFUNCTION("""COMPUTED_VALUE"""),1.0)</f>
        <v>1</v>
      </c>
      <c r="E3818" s="2">
        <f>IFERROR(__xludf.DUMMYFUNCTION("""COMPUTED_VALUE"""),32.0)</f>
        <v>32</v>
      </c>
      <c r="F3818" s="2">
        <f>IFERROR(__xludf.DUMMYFUNCTION("""COMPUTED_VALUE"""),9.0)</f>
        <v>9</v>
      </c>
      <c r="G3818" s="2">
        <f>IFERROR(__xludf.DUMMYFUNCTION("""COMPUTED_VALUE"""),9.0)</f>
        <v>9</v>
      </c>
      <c r="H3818" s="2">
        <f>IFERROR(__xludf.DUMMYFUNCTION("""COMPUTED_VALUE"""),602.0)</f>
        <v>602</v>
      </c>
      <c r="I3818" s="2" t="str">
        <f>IFERROR(__xludf.DUMMYFUNCTION("""COMPUTED_VALUE"""),"Panel")</f>
        <v>Panel</v>
      </c>
      <c r="J3818" s="2" t="str">
        <f>IFERROR(__xludf.DUMMYFUNCTION("""COMPUTED_VALUE"""),"All amenities")</f>
        <v>All amenities</v>
      </c>
      <c r="K3818" s="2">
        <f>IFERROR(__xludf.DUMMYFUNCTION("""COMPUTED_VALUE"""),260.0)</f>
        <v>260</v>
      </c>
      <c r="L3818" s="2" t="str">
        <f>IFERROR(__xludf.DUMMYFUNCTION("""COMPUTED_VALUE"""),"NaN")</f>
        <v>NaN</v>
      </c>
      <c r="M3818" s="2" t="str">
        <f>IFERROR(__xludf.DUMMYFUNCTION("""COMPUTED_VALUE"""),"NaN")</f>
        <v>NaN</v>
      </c>
    </row>
    <row r="3819">
      <c r="A3819" s="2" t="str">
        <f>IFERROR(__xludf.DUMMYFUNCTION("""COMPUTED_VALUE"""),"For rent")</f>
        <v>For rent</v>
      </c>
      <c r="B3819" s="2" t="str">
        <f>IFERROR(__xludf.DUMMYFUNCTION("""COMPUTED_VALUE"""),"centrs")</f>
        <v>centrs</v>
      </c>
      <c r="C3819" s="2" t="str">
        <f>IFERROR(__xludf.DUMMYFUNCTION("""COMPUTED_VALUE"""),"Bruņinieku 111")</f>
        <v>Bruņinieku 111</v>
      </c>
      <c r="D3819" s="2">
        <f>IFERROR(__xludf.DUMMYFUNCTION("""COMPUTED_VALUE"""),2.0)</f>
        <v>2</v>
      </c>
      <c r="E3819" s="2">
        <f>IFERROR(__xludf.DUMMYFUNCTION("""COMPUTED_VALUE"""),45.0)</f>
        <v>45</v>
      </c>
      <c r="F3819" s="2">
        <f>IFERROR(__xludf.DUMMYFUNCTION("""COMPUTED_VALUE"""),1.0)</f>
        <v>1</v>
      </c>
      <c r="G3819" s="2">
        <f>IFERROR(__xludf.DUMMYFUNCTION("""COMPUTED_VALUE"""),2.0)</f>
        <v>2</v>
      </c>
      <c r="H3819" s="2" t="str">
        <f>IFERROR(__xludf.DUMMYFUNCTION("""COMPUTED_VALUE"""),"P. kara")</f>
        <v>P. kara</v>
      </c>
      <c r="I3819" s="2" t="str">
        <f>IFERROR(__xludf.DUMMYFUNCTION("""COMPUTED_VALUE"""),"Masonry")</f>
        <v>Masonry</v>
      </c>
      <c r="J3819" s="2" t="str">
        <f>IFERROR(__xludf.DUMMYFUNCTION("""COMPUTED_VALUE"""),"All amenities")</f>
        <v>All amenities</v>
      </c>
      <c r="K3819" s="2">
        <f>IFERROR(__xludf.DUMMYFUNCTION("""COMPUTED_VALUE"""),295.0)</f>
        <v>295</v>
      </c>
      <c r="L3819" s="2">
        <f>IFERROR(__xludf.DUMMYFUNCTION("""COMPUTED_VALUE"""),56.9502926)</f>
        <v>56.9502926</v>
      </c>
      <c r="M3819" s="2">
        <f>IFERROR(__xludf.DUMMYFUNCTION("""COMPUTED_VALUE"""),24.143564917498)</f>
        <v>24.14356492</v>
      </c>
    </row>
    <row r="3820">
      <c r="A3820" s="2" t="str">
        <f>IFERROR(__xludf.DUMMYFUNCTION("""COMPUTED_VALUE"""),"For sale")</f>
        <v>For sale</v>
      </c>
      <c r="B3820" s="2" t="str">
        <f>IFERROR(__xludf.DUMMYFUNCTION("""COMPUTED_VALUE"""),"centrs")</f>
        <v>centrs</v>
      </c>
      <c r="C3820" s="2" t="str">
        <f>IFERROR(__xludf.DUMMYFUNCTION("""COMPUTED_VALUE"""),"Pļavas 5")</f>
        <v>Pļavas 5</v>
      </c>
      <c r="D3820" s="2">
        <f>IFERROR(__xludf.DUMMYFUNCTION("""COMPUTED_VALUE"""),2.0)</f>
        <v>2</v>
      </c>
      <c r="E3820" s="2">
        <f>IFERROR(__xludf.DUMMYFUNCTION("""COMPUTED_VALUE"""),82.0)</f>
        <v>82</v>
      </c>
      <c r="F3820" s="2">
        <f>IFERROR(__xludf.DUMMYFUNCTION("""COMPUTED_VALUE"""),1.0)</f>
        <v>1</v>
      </c>
      <c r="G3820" s="2">
        <f>IFERROR(__xludf.DUMMYFUNCTION("""COMPUTED_VALUE"""),2.0)</f>
        <v>2</v>
      </c>
      <c r="H3820" s="2" t="str">
        <f>IFERROR(__xludf.DUMMYFUNCTION("""COMPUTED_VALUE"""),"P. kara")</f>
        <v>P. kara</v>
      </c>
      <c r="I3820" s="2" t="str">
        <f>IFERROR(__xludf.DUMMYFUNCTION("""COMPUTED_VALUE"""),"Wood")</f>
        <v>Wood</v>
      </c>
      <c r="J3820" s="2" t="str">
        <f>IFERROR(__xludf.DUMMYFUNCTION("""COMPUTED_VALUE"""),"All amenities")</f>
        <v>All amenities</v>
      </c>
      <c r="K3820" s="2">
        <f>IFERROR(__xludf.DUMMYFUNCTION("""COMPUTED_VALUE"""),36400.0)</f>
        <v>36400</v>
      </c>
      <c r="L3820" s="2">
        <f>IFERROR(__xludf.DUMMYFUNCTION("""COMPUTED_VALUE"""),56.9521379)</f>
        <v>56.9521379</v>
      </c>
      <c r="M3820" s="2">
        <f>IFERROR(__xludf.DUMMYFUNCTION("""COMPUTED_VALUE"""),24.1467870593252)</f>
        <v>24.14678706</v>
      </c>
    </row>
    <row r="3821">
      <c r="A3821" s="2" t="str">
        <f>IFERROR(__xludf.DUMMYFUNCTION("""COMPUTED_VALUE"""),"For sale")</f>
        <v>For sale</v>
      </c>
      <c r="B3821" s="2" t="str">
        <f>IFERROR(__xludf.DUMMYFUNCTION("""COMPUTED_VALUE"""),"Vecmīlgrāvis")</f>
        <v>Vecmīlgrāvis</v>
      </c>
      <c r="C3821" s="2" t="str">
        <f>IFERROR(__xludf.DUMMYFUNCTION("""COMPUTED_VALUE"""),"Melīdas 1")</f>
        <v>Melīdas 1</v>
      </c>
      <c r="D3821" s="2">
        <f>IFERROR(__xludf.DUMMYFUNCTION("""COMPUTED_VALUE"""),1.0)</f>
        <v>1</v>
      </c>
      <c r="E3821" s="2">
        <f>IFERROR(__xludf.DUMMYFUNCTION("""COMPUTED_VALUE"""),43.0)</f>
        <v>43</v>
      </c>
      <c r="F3821" s="2">
        <f>IFERROR(__xludf.DUMMYFUNCTION("""COMPUTED_VALUE"""),5.0)</f>
        <v>5</v>
      </c>
      <c r="G3821" s="2">
        <f>IFERROR(__xludf.DUMMYFUNCTION("""COMPUTED_VALUE"""),5.0)</f>
        <v>5</v>
      </c>
      <c r="H3821" s="2" t="str">
        <f>IFERROR(__xludf.DUMMYFUNCTION("""COMPUTED_VALUE"""),"M. ģim.")</f>
        <v>M. ģim.</v>
      </c>
      <c r="I3821" s="2" t="str">
        <f>IFERROR(__xludf.DUMMYFUNCTION("""COMPUTED_VALUE"""),"Panel-Brick")</f>
        <v>Panel-Brick</v>
      </c>
      <c r="J3821" s="2" t="str">
        <f>IFERROR(__xludf.DUMMYFUNCTION("""COMPUTED_VALUE"""),"All amenities")</f>
        <v>All amenities</v>
      </c>
      <c r="K3821" s="2">
        <f>IFERROR(__xludf.DUMMYFUNCTION("""COMPUTED_VALUE"""),25500.0)</f>
        <v>25500</v>
      </c>
      <c r="L3821" s="2">
        <f>IFERROR(__xludf.DUMMYFUNCTION("""COMPUTED_VALUE"""),57.02967645)</f>
        <v>57.02967645</v>
      </c>
      <c r="M3821" s="2">
        <f>IFERROR(__xludf.DUMMYFUNCTION("""COMPUTED_VALUE"""),24.1054302151979)</f>
        <v>24.10543022</v>
      </c>
    </row>
    <row r="3822">
      <c r="A3822" s="2" t="str">
        <f>IFERROR(__xludf.DUMMYFUNCTION("""COMPUTED_VALUE"""),"For rent")</f>
        <v>For rent</v>
      </c>
      <c r="B3822" s="2" t="str">
        <f>IFERROR(__xludf.DUMMYFUNCTION("""COMPUTED_VALUE"""),"Ziepniekkalns")</f>
        <v>Ziepniekkalns</v>
      </c>
      <c r="C3822" s="2" t="str">
        <f>IFERROR(__xludf.DUMMYFUNCTION("""COMPUTED_VALUE"""),"Čakstes g. 49")</f>
        <v>Čakstes g. 49</v>
      </c>
      <c r="D3822" s="2">
        <f>IFERROR(__xludf.DUMMYFUNCTION("""COMPUTED_VALUE"""),1.0)</f>
        <v>1</v>
      </c>
      <c r="E3822" s="2">
        <f>IFERROR(__xludf.DUMMYFUNCTION("""COMPUTED_VALUE"""),19.0)</f>
        <v>19</v>
      </c>
      <c r="F3822" s="2">
        <f>IFERROR(__xludf.DUMMYFUNCTION("""COMPUTED_VALUE"""),1.0)</f>
        <v>1</v>
      </c>
      <c r="G3822" s="2">
        <f>IFERROR(__xludf.DUMMYFUNCTION("""COMPUTED_VALUE"""),2.0)</f>
        <v>2</v>
      </c>
      <c r="H3822" s="2" t="str">
        <f>IFERROR(__xludf.DUMMYFUNCTION("""COMPUTED_VALUE"""),"Specpr.")</f>
        <v>Specpr.</v>
      </c>
      <c r="I3822" s="2" t="str">
        <f>IFERROR(__xludf.DUMMYFUNCTION("""COMPUTED_VALUE"""),"Brick")</f>
        <v>Brick</v>
      </c>
      <c r="J3822" s="2" t="str">
        <f>IFERROR(__xludf.DUMMYFUNCTION("""COMPUTED_VALUE"""),"All amenities")</f>
        <v>All amenities</v>
      </c>
      <c r="K3822" s="2">
        <f>IFERROR(__xludf.DUMMYFUNCTION("""COMPUTED_VALUE"""),180.0)</f>
        <v>180</v>
      </c>
      <c r="L3822" s="2">
        <f>IFERROR(__xludf.DUMMYFUNCTION("""COMPUTED_VALUE"""),56.9064394)</f>
        <v>56.9064394</v>
      </c>
      <c r="M3822" s="2">
        <f>IFERROR(__xludf.DUMMYFUNCTION("""COMPUTED_VALUE"""),24.1383012)</f>
        <v>24.1383012</v>
      </c>
    </row>
    <row r="3823">
      <c r="A3823" s="2" t="str">
        <f>IFERROR(__xludf.DUMMYFUNCTION("""COMPUTED_VALUE"""),"For sale")</f>
        <v>For sale</v>
      </c>
      <c r="B3823" s="2" t="str">
        <f>IFERROR(__xludf.DUMMYFUNCTION("""COMPUTED_VALUE"""),"centrs")</f>
        <v>centrs</v>
      </c>
      <c r="C3823" s="2" t="str">
        <f>IFERROR(__xludf.DUMMYFUNCTION("""COMPUTED_VALUE"""),"Lāčplēša 13")</f>
        <v>Lāčplēša 13</v>
      </c>
      <c r="D3823" s="2">
        <f>IFERROR(__xludf.DUMMYFUNCTION("""COMPUTED_VALUE"""),3.0)</f>
        <v>3</v>
      </c>
      <c r="E3823" s="2">
        <f>IFERROR(__xludf.DUMMYFUNCTION("""COMPUTED_VALUE"""),83.0)</f>
        <v>83</v>
      </c>
      <c r="F3823" s="2">
        <f>IFERROR(__xludf.DUMMYFUNCTION("""COMPUTED_VALUE"""),2.0)</f>
        <v>2</v>
      </c>
      <c r="G3823" s="2">
        <f>IFERROR(__xludf.DUMMYFUNCTION("""COMPUTED_VALUE"""),6.0)</f>
        <v>6</v>
      </c>
      <c r="H3823" s="2" t="str">
        <f>IFERROR(__xludf.DUMMYFUNCTION("""COMPUTED_VALUE"""),"Renov.")</f>
        <v>Renov.</v>
      </c>
      <c r="I3823" s="2" t="str">
        <f>IFERROR(__xludf.DUMMYFUNCTION("""COMPUTED_VALUE"""),"Masonry")</f>
        <v>Masonry</v>
      </c>
      <c r="J3823" s="2" t="str">
        <f>IFERROR(__xludf.DUMMYFUNCTION("""COMPUTED_VALUE"""),"All amenities")</f>
        <v>All amenities</v>
      </c>
      <c r="K3823" s="2">
        <f>IFERROR(__xludf.DUMMYFUNCTION("""COMPUTED_VALUE"""),198960.0)</f>
        <v>198960</v>
      </c>
      <c r="L3823" s="2">
        <f>IFERROR(__xludf.DUMMYFUNCTION("""COMPUTED_VALUE"""),56.9567777)</f>
        <v>56.9567777</v>
      </c>
      <c r="M3823" s="2">
        <f>IFERROR(__xludf.DUMMYFUNCTION("""COMPUTED_VALUE"""),24.1207762)</f>
        <v>24.1207762</v>
      </c>
    </row>
    <row r="3824">
      <c r="A3824" s="2" t="str">
        <f>IFERROR(__xludf.DUMMYFUNCTION("""COMPUTED_VALUE"""),"For sale")</f>
        <v>For sale</v>
      </c>
      <c r="B3824" s="2" t="str">
        <f>IFERROR(__xludf.DUMMYFUNCTION("""COMPUTED_VALUE"""),"Bolderāja")</f>
        <v>Bolderāja</v>
      </c>
      <c r="C3824" s="2" t="str">
        <f>IFERROR(__xludf.DUMMYFUNCTION("""COMPUTED_VALUE"""),"Lielupes 60")</f>
        <v>Lielupes 60</v>
      </c>
      <c r="D3824" s="2">
        <f>IFERROR(__xludf.DUMMYFUNCTION("""COMPUTED_VALUE"""),3.0)</f>
        <v>3</v>
      </c>
      <c r="E3824" s="2">
        <f>IFERROR(__xludf.DUMMYFUNCTION("""COMPUTED_VALUE"""),68.0)</f>
        <v>68</v>
      </c>
      <c r="F3824" s="2">
        <f>IFERROR(__xludf.DUMMYFUNCTION("""COMPUTED_VALUE"""),3.0)</f>
        <v>3</v>
      </c>
      <c r="G3824" s="2">
        <f>IFERROR(__xludf.DUMMYFUNCTION("""COMPUTED_VALUE"""),5.0)</f>
        <v>5</v>
      </c>
      <c r="H3824" s="2" t="str">
        <f>IFERROR(__xludf.DUMMYFUNCTION("""COMPUTED_VALUE"""),"LT proj.")</f>
        <v>LT proj.</v>
      </c>
      <c r="I3824" s="2" t="str">
        <f>IFERROR(__xludf.DUMMYFUNCTION("""COMPUTED_VALUE"""),"Panel")</f>
        <v>Panel</v>
      </c>
      <c r="J3824" s="2" t="str">
        <f>IFERROR(__xludf.DUMMYFUNCTION("""COMPUTED_VALUE"""),"All amenities")</f>
        <v>All amenities</v>
      </c>
      <c r="K3824" s="2">
        <f>IFERROR(__xludf.DUMMYFUNCTION("""COMPUTED_VALUE"""),48500.0)</f>
        <v>48500</v>
      </c>
      <c r="L3824" s="2">
        <f>IFERROR(__xludf.DUMMYFUNCTION("""COMPUTED_VALUE"""),57.0315147)</f>
        <v>57.0315147</v>
      </c>
      <c r="M3824" s="2">
        <f>IFERROR(__xludf.DUMMYFUNCTION("""COMPUTED_VALUE"""),24.0568063522793)</f>
        <v>24.05680635</v>
      </c>
    </row>
    <row r="3825">
      <c r="A3825" s="2" t="str">
        <f>IFERROR(__xludf.DUMMYFUNCTION("""COMPUTED_VALUE"""),"For rent")</f>
        <v>For rent</v>
      </c>
      <c r="B3825" s="2" t="str">
        <f>IFERROR(__xludf.DUMMYFUNCTION("""COMPUTED_VALUE"""),"centrs")</f>
        <v>centrs</v>
      </c>
      <c r="C3825" s="2" t="str">
        <f>IFERROR(__xludf.DUMMYFUNCTION("""COMPUTED_VALUE"""),"Pērnavas 10a")</f>
        <v>Pērnavas 10a</v>
      </c>
      <c r="D3825" s="2">
        <f>IFERROR(__xludf.DUMMYFUNCTION("""COMPUTED_VALUE"""),2.0)</f>
        <v>2</v>
      </c>
      <c r="E3825" s="2">
        <f>IFERROR(__xludf.DUMMYFUNCTION("""COMPUTED_VALUE"""),39.0)</f>
        <v>39</v>
      </c>
      <c r="F3825" s="2">
        <f>IFERROR(__xludf.DUMMYFUNCTION("""COMPUTED_VALUE"""),2.0)</f>
        <v>2</v>
      </c>
      <c r="G3825" s="2">
        <f>IFERROR(__xludf.DUMMYFUNCTION("""COMPUTED_VALUE"""),5.0)</f>
        <v>5</v>
      </c>
      <c r="H3825" s="2" t="str">
        <f>IFERROR(__xludf.DUMMYFUNCTION("""COMPUTED_VALUE"""),"LT proj.")</f>
        <v>LT proj.</v>
      </c>
      <c r="I3825" s="2" t="str">
        <f>IFERROR(__xludf.DUMMYFUNCTION("""COMPUTED_VALUE"""),"Brick")</f>
        <v>Brick</v>
      </c>
      <c r="J3825" s="2" t="str">
        <f>IFERROR(__xludf.DUMMYFUNCTION("""COMPUTED_VALUE"""),"All amenities")</f>
        <v>All amenities</v>
      </c>
      <c r="K3825" s="2">
        <f>IFERROR(__xludf.DUMMYFUNCTION("""COMPUTED_VALUE"""),410.0)</f>
        <v>410</v>
      </c>
      <c r="L3825" s="2">
        <f>IFERROR(__xludf.DUMMYFUNCTION("""COMPUTED_VALUE"""),56.9645580499999)</f>
        <v>56.96455805</v>
      </c>
      <c r="M3825" s="2">
        <f>IFERROR(__xludf.DUMMYFUNCTION("""COMPUTED_VALUE"""),24.14910708652)</f>
        <v>24.14910709</v>
      </c>
    </row>
    <row r="3826">
      <c r="A3826" s="2" t="str">
        <f>IFERROR(__xludf.DUMMYFUNCTION("""COMPUTED_VALUE"""),"For rent")</f>
        <v>For rent</v>
      </c>
      <c r="B3826" s="2" t="str">
        <f>IFERROR(__xludf.DUMMYFUNCTION("""COMPUTED_VALUE"""),"centrs")</f>
        <v>centrs</v>
      </c>
      <c r="C3826" s="2" t="str">
        <f>IFERROR(__xludf.DUMMYFUNCTION("""COMPUTED_VALUE"""),"Pērnavas 12")</f>
        <v>Pērnavas 12</v>
      </c>
      <c r="D3826" s="2">
        <f>IFERROR(__xludf.DUMMYFUNCTION("""COMPUTED_VALUE"""),2.0)</f>
        <v>2</v>
      </c>
      <c r="E3826" s="2">
        <f>IFERROR(__xludf.DUMMYFUNCTION("""COMPUTED_VALUE"""),46.0)</f>
        <v>46</v>
      </c>
      <c r="F3826" s="2">
        <f>IFERROR(__xludf.DUMMYFUNCTION("""COMPUTED_VALUE"""),5.0)</f>
        <v>5</v>
      </c>
      <c r="G3826" s="2">
        <f>IFERROR(__xludf.DUMMYFUNCTION("""COMPUTED_VALUE"""),5.0)</f>
        <v>5</v>
      </c>
      <c r="H3826" s="2" t="str">
        <f>IFERROR(__xludf.DUMMYFUNCTION("""COMPUTED_VALUE"""),"LT proj.")</f>
        <v>LT proj.</v>
      </c>
      <c r="I3826" s="2" t="str">
        <f>IFERROR(__xludf.DUMMYFUNCTION("""COMPUTED_VALUE"""),"Brick")</f>
        <v>Brick</v>
      </c>
      <c r="J3826" s="2" t="str">
        <f>IFERROR(__xludf.DUMMYFUNCTION("""COMPUTED_VALUE"""),"All amenities")</f>
        <v>All amenities</v>
      </c>
      <c r="K3826" s="2">
        <f>IFERROR(__xludf.DUMMYFUNCTION("""COMPUTED_VALUE"""),430.0)</f>
        <v>430</v>
      </c>
      <c r="L3826" s="2">
        <f>IFERROR(__xludf.DUMMYFUNCTION("""COMPUTED_VALUE"""),56.9642567)</f>
        <v>56.9642567</v>
      </c>
      <c r="M3826" s="2">
        <f>IFERROR(__xludf.DUMMYFUNCTION("""COMPUTED_VALUE"""),24.14944395)</f>
        <v>24.14944395</v>
      </c>
    </row>
    <row r="3827">
      <c r="A3827" s="2" t="str">
        <f>IFERROR(__xludf.DUMMYFUNCTION("""COMPUTED_VALUE"""),"For sale")</f>
        <v>For sale</v>
      </c>
      <c r="B3827" s="2" t="str">
        <f>IFERROR(__xludf.DUMMYFUNCTION("""COMPUTED_VALUE"""),"Jugla")</f>
        <v>Jugla</v>
      </c>
      <c r="C3827" s="2" t="str">
        <f>IFERROR(__xludf.DUMMYFUNCTION("""COMPUTED_VALUE"""),"Murjāņu 6")</f>
        <v>Murjāņu 6</v>
      </c>
      <c r="D3827" s="2">
        <f>IFERROR(__xludf.DUMMYFUNCTION("""COMPUTED_VALUE"""),3.0)</f>
        <v>3</v>
      </c>
      <c r="E3827" s="2">
        <f>IFERROR(__xludf.DUMMYFUNCTION("""COMPUTED_VALUE"""),97.0)</f>
        <v>97</v>
      </c>
      <c r="F3827" s="2">
        <f>IFERROR(__xludf.DUMMYFUNCTION("""COMPUTED_VALUE"""),2.0)</f>
        <v>2</v>
      </c>
      <c r="G3827" s="2">
        <f>IFERROR(__xludf.DUMMYFUNCTION("""COMPUTED_VALUE"""),4.0)</f>
        <v>4</v>
      </c>
      <c r="H3827" s="2" t="str">
        <f>IFERROR(__xludf.DUMMYFUNCTION("""COMPUTED_VALUE"""),"Jaun.")</f>
        <v>Jaun.</v>
      </c>
      <c r="I3827" s="2" t="str">
        <f>IFERROR(__xludf.DUMMYFUNCTION("""COMPUTED_VALUE"""),"Panel-Brick")</f>
        <v>Panel-Brick</v>
      </c>
      <c r="J3827" s="2" t="str">
        <f>IFERROR(__xludf.DUMMYFUNCTION("""COMPUTED_VALUE"""),"All amenities")</f>
        <v>All amenities</v>
      </c>
      <c r="K3827" s="2">
        <f>IFERROR(__xludf.DUMMYFUNCTION("""COMPUTED_VALUE"""),160000.0)</f>
        <v>160000</v>
      </c>
      <c r="L3827" s="2">
        <f>IFERROR(__xludf.DUMMYFUNCTION("""COMPUTED_VALUE"""),56.985773)</f>
        <v>56.985773</v>
      </c>
      <c r="M3827" s="2">
        <f>IFERROR(__xludf.DUMMYFUNCTION("""COMPUTED_VALUE"""),24.2328931499999)</f>
        <v>24.23289315</v>
      </c>
    </row>
    <row r="3828">
      <c r="A3828" s="2" t="str">
        <f>IFERROR(__xludf.DUMMYFUNCTION("""COMPUTED_VALUE"""),"For rent")</f>
        <v>For rent</v>
      </c>
      <c r="B3828" s="2" t="str">
        <f>IFERROR(__xludf.DUMMYFUNCTION("""COMPUTED_VALUE"""),"Ziepniekkalns")</f>
        <v>Ziepniekkalns</v>
      </c>
      <c r="C3828" s="2" t="str">
        <f>IFERROR(__xludf.DUMMYFUNCTION("""COMPUTED_VALUE"""),"Ozolciema 20/1")</f>
        <v>Ozolciema 20/1</v>
      </c>
      <c r="D3828" s="2">
        <f>IFERROR(__xludf.DUMMYFUNCTION("""COMPUTED_VALUE"""),1.0)</f>
        <v>1</v>
      </c>
      <c r="E3828" s="2">
        <f>IFERROR(__xludf.DUMMYFUNCTION("""COMPUTED_VALUE"""),43.0)</f>
        <v>43</v>
      </c>
      <c r="F3828" s="2">
        <f>IFERROR(__xludf.DUMMYFUNCTION("""COMPUTED_VALUE"""),4.0)</f>
        <v>4</v>
      </c>
      <c r="G3828" s="2">
        <f>IFERROR(__xludf.DUMMYFUNCTION("""COMPUTED_VALUE"""),10.0)</f>
        <v>10</v>
      </c>
      <c r="H3828" s="2">
        <f>IFERROR(__xludf.DUMMYFUNCTION("""COMPUTED_VALUE"""),119.0)</f>
        <v>119</v>
      </c>
      <c r="I3828" s="2" t="str">
        <f>IFERROR(__xludf.DUMMYFUNCTION("""COMPUTED_VALUE"""),"Panel-Brick")</f>
        <v>Panel-Brick</v>
      </c>
      <c r="J3828" s="2" t="str">
        <f>IFERROR(__xludf.DUMMYFUNCTION("""COMPUTED_VALUE"""),"All amenities")</f>
        <v>All amenities</v>
      </c>
      <c r="K3828" s="2">
        <f>IFERROR(__xludf.DUMMYFUNCTION("""COMPUTED_VALUE"""),230.0)</f>
        <v>230</v>
      </c>
      <c r="L3828" s="2">
        <f>IFERROR(__xludf.DUMMYFUNCTION("""COMPUTED_VALUE"""),56.8990307)</f>
        <v>56.8990307</v>
      </c>
      <c r="M3828" s="2">
        <f>IFERROR(__xludf.DUMMYFUNCTION("""COMPUTED_VALUE"""),24.0785989)</f>
        <v>24.0785989</v>
      </c>
    </row>
    <row r="3829">
      <c r="A3829" s="2" t="str">
        <f>IFERROR(__xludf.DUMMYFUNCTION("""COMPUTED_VALUE"""),"For rent")</f>
        <v>For rent</v>
      </c>
      <c r="B3829" s="2" t="str">
        <f>IFERROR(__xludf.DUMMYFUNCTION("""COMPUTED_VALUE"""),"Zolitūde")</f>
        <v>Zolitūde</v>
      </c>
      <c r="C3829" s="2" t="str">
        <f>IFERROR(__xludf.DUMMYFUNCTION("""COMPUTED_VALUE"""),"Zolitūdes 25")</f>
        <v>Zolitūdes 25</v>
      </c>
      <c r="D3829" s="2">
        <f>IFERROR(__xludf.DUMMYFUNCTION("""COMPUTED_VALUE"""),1.0)</f>
        <v>1</v>
      </c>
      <c r="E3829" s="2">
        <f>IFERROR(__xludf.DUMMYFUNCTION("""COMPUTED_VALUE"""),45.0)</f>
        <v>45</v>
      </c>
      <c r="F3829" s="2">
        <f>IFERROR(__xludf.DUMMYFUNCTION("""COMPUTED_VALUE"""),3.0)</f>
        <v>3</v>
      </c>
      <c r="G3829" s="2">
        <f>IFERROR(__xludf.DUMMYFUNCTION("""COMPUTED_VALUE"""),9.0)</f>
        <v>9</v>
      </c>
      <c r="H3829" s="2" t="str">
        <f>IFERROR(__xludf.DUMMYFUNCTION("""COMPUTED_VALUE"""),"Specpr.")</f>
        <v>Specpr.</v>
      </c>
      <c r="I3829" s="2" t="str">
        <f>IFERROR(__xludf.DUMMYFUNCTION("""COMPUTED_VALUE"""),"Panel-Brick")</f>
        <v>Panel-Brick</v>
      </c>
      <c r="J3829" s="2" t="str">
        <f>IFERROR(__xludf.DUMMYFUNCTION("""COMPUTED_VALUE"""),"All amenities")</f>
        <v>All amenities</v>
      </c>
      <c r="K3829" s="2">
        <f>IFERROR(__xludf.DUMMYFUNCTION("""COMPUTED_VALUE"""),25.0)</f>
        <v>25</v>
      </c>
      <c r="L3829" s="2">
        <f>IFERROR(__xludf.DUMMYFUNCTION("""COMPUTED_VALUE"""),56.9461963)</f>
        <v>56.9461963</v>
      </c>
      <c r="M3829" s="2">
        <f>IFERROR(__xludf.DUMMYFUNCTION("""COMPUTED_VALUE"""),24.0014164)</f>
        <v>24.0014164</v>
      </c>
    </row>
    <row r="3830">
      <c r="A3830" s="2" t="str">
        <f>IFERROR(__xludf.DUMMYFUNCTION("""COMPUTED_VALUE"""),"For sale")</f>
        <v>For sale</v>
      </c>
      <c r="B3830" s="2" t="str">
        <f>IFERROR(__xludf.DUMMYFUNCTION("""COMPUTED_VALUE"""),"centrs")</f>
        <v>centrs</v>
      </c>
      <c r="C3830" s="2" t="str">
        <f>IFERROR(__xludf.DUMMYFUNCTION("""COMPUTED_VALUE"""),"Bruņinieku 28")</f>
        <v>Bruņinieku 28</v>
      </c>
      <c r="D3830" s="2">
        <f>IFERROR(__xludf.DUMMYFUNCTION("""COMPUTED_VALUE"""),4.0)</f>
        <v>4</v>
      </c>
      <c r="E3830" s="2">
        <f>IFERROR(__xludf.DUMMYFUNCTION("""COMPUTED_VALUE"""),116.0)</f>
        <v>116</v>
      </c>
      <c r="F3830" s="2">
        <f>IFERROR(__xludf.DUMMYFUNCTION("""COMPUTED_VALUE"""),3.0)</f>
        <v>3</v>
      </c>
      <c r="G3830" s="2">
        <f>IFERROR(__xludf.DUMMYFUNCTION("""COMPUTED_VALUE"""),6.0)</f>
        <v>6</v>
      </c>
      <c r="H3830" s="2" t="str">
        <f>IFERROR(__xludf.DUMMYFUNCTION("""COMPUTED_VALUE"""),"P. kara")</f>
        <v>P. kara</v>
      </c>
      <c r="I3830" s="2" t="str">
        <f>IFERROR(__xludf.DUMMYFUNCTION("""COMPUTED_VALUE"""),"Masonry")</f>
        <v>Masonry</v>
      </c>
      <c r="J3830" s="2" t="str">
        <f>IFERROR(__xludf.DUMMYFUNCTION("""COMPUTED_VALUE"""),"All amenities")</f>
        <v>All amenities</v>
      </c>
      <c r="K3830" s="2">
        <f>IFERROR(__xludf.DUMMYFUNCTION("""COMPUTED_VALUE"""),204000.0)</f>
        <v>204000</v>
      </c>
      <c r="L3830" s="2">
        <f>IFERROR(__xludf.DUMMYFUNCTION("""COMPUTED_VALUE"""),56.95567115)</f>
        <v>56.95567115</v>
      </c>
      <c r="M3830" s="2">
        <f>IFERROR(__xludf.DUMMYFUNCTION("""COMPUTED_VALUE"""),24.1314109608833)</f>
        <v>24.13141096</v>
      </c>
    </row>
    <row r="3831">
      <c r="A3831" s="2" t="str">
        <f>IFERROR(__xludf.DUMMYFUNCTION("""COMPUTED_VALUE"""),"For rent")</f>
        <v>For rent</v>
      </c>
      <c r="B3831" s="2" t="str">
        <f>IFERROR(__xludf.DUMMYFUNCTION("""COMPUTED_VALUE"""),"Mežaparks")</f>
        <v>Mežaparks</v>
      </c>
      <c r="C3831" s="2" t="str">
        <f>IFERROR(__xludf.DUMMYFUNCTION("""COMPUTED_VALUE"""),"Kokneses pr. 4 k-1")</f>
        <v>Kokneses pr. 4 k-1</v>
      </c>
      <c r="D3831" s="2">
        <f>IFERROR(__xludf.DUMMYFUNCTION("""COMPUTED_VALUE"""),3.0)</f>
        <v>3</v>
      </c>
      <c r="E3831" s="2">
        <f>IFERROR(__xludf.DUMMYFUNCTION("""COMPUTED_VALUE"""),72.0)</f>
        <v>72</v>
      </c>
      <c r="F3831" s="2">
        <f>IFERROR(__xludf.DUMMYFUNCTION("""COMPUTED_VALUE"""),3.0)</f>
        <v>3</v>
      </c>
      <c r="G3831" s="2">
        <f>IFERROR(__xludf.DUMMYFUNCTION("""COMPUTED_VALUE"""),10.0)</f>
        <v>10</v>
      </c>
      <c r="H3831" s="2" t="str">
        <f>IFERROR(__xludf.DUMMYFUNCTION("""COMPUTED_VALUE"""),"Jaun.")</f>
        <v>Jaun.</v>
      </c>
      <c r="I3831" s="2" t="str">
        <f>IFERROR(__xludf.DUMMYFUNCTION("""COMPUTED_VALUE"""),"Brick-Panel")</f>
        <v>Brick-Panel</v>
      </c>
      <c r="J3831" s="2" t="str">
        <f>IFERROR(__xludf.DUMMYFUNCTION("""COMPUTED_VALUE"""),"All amenities")</f>
        <v>All amenities</v>
      </c>
      <c r="K3831" s="2">
        <f>IFERROR(__xludf.DUMMYFUNCTION("""COMPUTED_VALUE"""),500.0)</f>
        <v>500</v>
      </c>
      <c r="L3831" s="2" t="str">
        <f>IFERROR(__xludf.DUMMYFUNCTION("""COMPUTED_VALUE"""),"NaN")</f>
        <v>NaN</v>
      </c>
      <c r="M3831" s="2" t="str">
        <f>IFERROR(__xludf.DUMMYFUNCTION("""COMPUTED_VALUE"""),"NaN")</f>
        <v>NaN</v>
      </c>
    </row>
    <row r="3832">
      <c r="A3832" s="2" t="str">
        <f>IFERROR(__xludf.DUMMYFUNCTION("""COMPUTED_VALUE"""),"For rent")</f>
        <v>For rent</v>
      </c>
      <c r="B3832" s="2" t="str">
        <f>IFERROR(__xludf.DUMMYFUNCTION("""COMPUTED_VALUE"""),"Grīziņkalns")</f>
        <v>Grīziņkalns</v>
      </c>
      <c r="C3832" s="2" t="str">
        <f>IFERROR(__xludf.DUMMYFUNCTION("""COMPUTED_VALUE"""),"Barona 122")</f>
        <v>Barona 122</v>
      </c>
      <c r="D3832" s="2">
        <f>IFERROR(__xludf.DUMMYFUNCTION("""COMPUTED_VALUE"""),2.0)</f>
        <v>2</v>
      </c>
      <c r="E3832" s="2">
        <f>IFERROR(__xludf.DUMMYFUNCTION("""COMPUTED_VALUE"""),60.0)</f>
        <v>60</v>
      </c>
      <c r="F3832" s="2">
        <f>IFERROR(__xludf.DUMMYFUNCTION("""COMPUTED_VALUE"""),3.0)</f>
        <v>3</v>
      </c>
      <c r="G3832" s="2">
        <f>IFERROR(__xludf.DUMMYFUNCTION("""COMPUTED_VALUE"""),5.0)</f>
        <v>5</v>
      </c>
      <c r="H3832" s="2" t="str">
        <f>IFERROR(__xludf.DUMMYFUNCTION("""COMPUTED_VALUE"""),"Specpr.")</f>
        <v>Specpr.</v>
      </c>
      <c r="I3832" s="2" t="str">
        <f>IFERROR(__xludf.DUMMYFUNCTION("""COMPUTED_VALUE"""),"Brick-Panel")</f>
        <v>Brick-Panel</v>
      </c>
      <c r="J3832" s="2" t="str">
        <f>IFERROR(__xludf.DUMMYFUNCTION("""COMPUTED_VALUE"""),"All amenities")</f>
        <v>All amenities</v>
      </c>
      <c r="K3832" s="2">
        <f>IFERROR(__xludf.DUMMYFUNCTION("""COMPUTED_VALUE"""),250.0)</f>
        <v>250</v>
      </c>
      <c r="L3832" s="2">
        <f>IFERROR(__xludf.DUMMYFUNCTION("""COMPUTED_VALUE"""),56.9631708)</f>
        <v>56.9631708</v>
      </c>
      <c r="M3832" s="2">
        <f>IFERROR(__xludf.DUMMYFUNCTION("""COMPUTED_VALUE"""),24.1455676318323)</f>
        <v>24.14556763</v>
      </c>
    </row>
    <row r="3833">
      <c r="A3833" s="2" t="str">
        <f>IFERROR(__xludf.DUMMYFUNCTION("""COMPUTED_VALUE"""),"For rent")</f>
        <v>For rent</v>
      </c>
      <c r="B3833" s="2" t="str">
        <f>IFERROR(__xludf.DUMMYFUNCTION("""COMPUTED_VALUE"""),"centrs")</f>
        <v>centrs</v>
      </c>
      <c r="C3833" s="2" t="str">
        <f>IFERROR(__xludf.DUMMYFUNCTION("""COMPUTED_VALUE"""),"Stabu 59")</f>
        <v>Stabu 59</v>
      </c>
      <c r="D3833" s="2">
        <f>IFERROR(__xludf.DUMMYFUNCTION("""COMPUTED_VALUE"""),3.0)</f>
        <v>3</v>
      </c>
      <c r="E3833" s="2">
        <f>IFERROR(__xludf.DUMMYFUNCTION("""COMPUTED_VALUE"""),71.0)</f>
        <v>71</v>
      </c>
      <c r="F3833" s="2">
        <f>IFERROR(__xludf.DUMMYFUNCTION("""COMPUTED_VALUE"""),2.0)</f>
        <v>2</v>
      </c>
      <c r="G3833" s="2">
        <f>IFERROR(__xludf.DUMMYFUNCTION("""COMPUTED_VALUE"""),5.0)</f>
        <v>5</v>
      </c>
      <c r="H3833" s="2" t="str">
        <f>IFERROR(__xludf.DUMMYFUNCTION("""COMPUTED_VALUE"""),"P. kara")</f>
        <v>P. kara</v>
      </c>
      <c r="I3833" s="2" t="str">
        <f>IFERROR(__xludf.DUMMYFUNCTION("""COMPUTED_VALUE"""),"Masonry")</f>
        <v>Masonry</v>
      </c>
      <c r="J3833" s="2" t="str">
        <f>IFERROR(__xludf.DUMMYFUNCTION("""COMPUTED_VALUE"""),"All amenities")</f>
        <v>All amenities</v>
      </c>
      <c r="K3833" s="2">
        <f>IFERROR(__xludf.DUMMYFUNCTION("""COMPUTED_VALUE"""),420.0)</f>
        <v>420</v>
      </c>
      <c r="L3833" s="2">
        <f>IFERROR(__xludf.DUMMYFUNCTION("""COMPUTED_VALUE"""),56.9534705)</f>
        <v>56.9534705</v>
      </c>
      <c r="M3833" s="2">
        <f>IFERROR(__xludf.DUMMYFUNCTION("""COMPUTED_VALUE"""),24.1346227)</f>
        <v>24.1346227</v>
      </c>
    </row>
    <row r="3834">
      <c r="A3834" s="2" t="str">
        <f>IFERROR(__xludf.DUMMYFUNCTION("""COMPUTED_VALUE"""),"For rent")</f>
        <v>For rent</v>
      </c>
      <c r="B3834" s="2" t="str">
        <f>IFERROR(__xludf.DUMMYFUNCTION("""COMPUTED_VALUE"""),"centrs")</f>
        <v>centrs</v>
      </c>
      <c r="C3834" s="2" t="str">
        <f>IFERROR(__xludf.DUMMYFUNCTION("""COMPUTED_VALUE"""),"Bruņinieku 28")</f>
        <v>Bruņinieku 28</v>
      </c>
      <c r="D3834" s="2">
        <f>IFERROR(__xludf.DUMMYFUNCTION("""COMPUTED_VALUE"""),4.0)</f>
        <v>4</v>
      </c>
      <c r="E3834" s="2">
        <f>IFERROR(__xludf.DUMMYFUNCTION("""COMPUTED_VALUE"""),116.0)</f>
        <v>116</v>
      </c>
      <c r="F3834" s="2">
        <f>IFERROR(__xludf.DUMMYFUNCTION("""COMPUTED_VALUE"""),3.0)</f>
        <v>3</v>
      </c>
      <c r="G3834" s="2">
        <f>IFERROR(__xludf.DUMMYFUNCTION("""COMPUTED_VALUE"""),6.0)</f>
        <v>6</v>
      </c>
      <c r="H3834" s="2" t="str">
        <f>IFERROR(__xludf.DUMMYFUNCTION("""COMPUTED_VALUE"""),"P. kara")</f>
        <v>P. kara</v>
      </c>
      <c r="I3834" s="2" t="str">
        <f>IFERROR(__xludf.DUMMYFUNCTION("""COMPUTED_VALUE"""),"Masonry")</f>
        <v>Masonry</v>
      </c>
      <c r="J3834" s="2" t="str">
        <f>IFERROR(__xludf.DUMMYFUNCTION("""COMPUTED_VALUE"""),"All amenities")</f>
        <v>All amenities</v>
      </c>
      <c r="K3834" s="2">
        <f>IFERROR(__xludf.DUMMYFUNCTION("""COMPUTED_VALUE"""),800.0)</f>
        <v>800</v>
      </c>
      <c r="L3834" s="2">
        <f>IFERROR(__xludf.DUMMYFUNCTION("""COMPUTED_VALUE"""),56.95567115)</f>
        <v>56.95567115</v>
      </c>
      <c r="M3834" s="2">
        <f>IFERROR(__xludf.DUMMYFUNCTION("""COMPUTED_VALUE"""),24.1314109608833)</f>
        <v>24.13141096</v>
      </c>
    </row>
    <row r="3835">
      <c r="A3835" s="2" t="str">
        <f>IFERROR(__xludf.DUMMYFUNCTION("""COMPUTED_VALUE"""),"For rent")</f>
        <v>For rent</v>
      </c>
      <c r="B3835" s="2" t="str">
        <f>IFERROR(__xludf.DUMMYFUNCTION("""COMPUTED_VALUE"""),"Purvciems")</f>
        <v>Purvciems</v>
      </c>
      <c r="C3835" s="2" t="str">
        <f>IFERROR(__xludf.DUMMYFUNCTION("""COMPUTED_VALUE"""),"Nīcgales 4")</f>
        <v>Nīcgales 4</v>
      </c>
      <c r="D3835" s="2">
        <f>IFERROR(__xludf.DUMMYFUNCTION("""COMPUTED_VALUE"""),2.0)</f>
        <v>2</v>
      </c>
      <c r="E3835" s="2">
        <f>IFERROR(__xludf.DUMMYFUNCTION("""COMPUTED_VALUE"""),49.0)</f>
        <v>49</v>
      </c>
      <c r="F3835" s="2">
        <f>IFERROR(__xludf.DUMMYFUNCTION("""COMPUTED_VALUE"""),1.0)</f>
        <v>1</v>
      </c>
      <c r="G3835" s="2">
        <f>IFERROR(__xludf.DUMMYFUNCTION("""COMPUTED_VALUE"""),1.0)</f>
        <v>1</v>
      </c>
      <c r="H3835" s="2">
        <f>IFERROR(__xludf.DUMMYFUNCTION("""COMPUTED_VALUE"""),602.0)</f>
        <v>602</v>
      </c>
      <c r="I3835" s="2" t="str">
        <f>IFERROR(__xludf.DUMMYFUNCTION("""COMPUTED_VALUE"""),"Panel")</f>
        <v>Panel</v>
      </c>
      <c r="J3835" s="2" t="str">
        <f>IFERROR(__xludf.DUMMYFUNCTION("""COMPUTED_VALUE"""),"All amenities")</f>
        <v>All amenities</v>
      </c>
      <c r="K3835" s="2">
        <f>IFERROR(__xludf.DUMMYFUNCTION("""COMPUTED_VALUE"""),330.0)</f>
        <v>330</v>
      </c>
      <c r="L3835" s="2">
        <f>IFERROR(__xludf.DUMMYFUNCTION("""COMPUTED_VALUE"""),56.95855255)</f>
        <v>56.95855255</v>
      </c>
      <c r="M3835" s="2">
        <f>IFERROR(__xludf.DUMMYFUNCTION("""COMPUTED_VALUE"""),24.1753163275791)</f>
        <v>24.17531633</v>
      </c>
    </row>
    <row r="3836">
      <c r="A3836" s="2" t="str">
        <f>IFERROR(__xludf.DUMMYFUNCTION("""COMPUTED_VALUE"""),"For sale")</f>
        <v>For sale</v>
      </c>
      <c r="B3836" s="2" t="str">
        <f>IFERROR(__xludf.DUMMYFUNCTION("""COMPUTED_VALUE"""),"centrs")</f>
        <v>centrs</v>
      </c>
      <c r="C3836" s="2" t="str">
        <f>IFERROR(__xludf.DUMMYFUNCTION("""COMPUTED_VALUE"""),"Ganību d. 13k1")</f>
        <v>Ganību d. 13k1</v>
      </c>
      <c r="D3836" s="2">
        <f>IFERROR(__xludf.DUMMYFUNCTION("""COMPUTED_VALUE"""),1.0)</f>
        <v>1</v>
      </c>
      <c r="E3836" s="2">
        <f>IFERROR(__xludf.DUMMYFUNCTION("""COMPUTED_VALUE"""),58.0)</f>
        <v>58</v>
      </c>
      <c r="F3836" s="2">
        <f>IFERROR(__xludf.DUMMYFUNCTION("""COMPUTED_VALUE"""),2.0)</f>
        <v>2</v>
      </c>
      <c r="G3836" s="2">
        <f>IFERROR(__xludf.DUMMYFUNCTION("""COMPUTED_VALUE"""),8.0)</f>
        <v>8</v>
      </c>
      <c r="H3836" s="2" t="str">
        <f>IFERROR(__xludf.DUMMYFUNCTION("""COMPUTED_VALUE"""),"Jaun.")</f>
        <v>Jaun.</v>
      </c>
      <c r="I3836" s="2" t="str">
        <f>IFERROR(__xludf.DUMMYFUNCTION("""COMPUTED_VALUE"""),"Panel-Brick")</f>
        <v>Panel-Brick</v>
      </c>
      <c r="J3836" s="2" t="str">
        <f>IFERROR(__xludf.DUMMYFUNCTION("""COMPUTED_VALUE"""),"All amenities")</f>
        <v>All amenities</v>
      </c>
      <c r="K3836" s="2">
        <f>IFERROR(__xludf.DUMMYFUNCTION("""COMPUTED_VALUE"""),81000.0)</f>
        <v>81000</v>
      </c>
      <c r="L3836" s="2" t="str">
        <f>IFERROR(__xludf.DUMMYFUNCTION("""COMPUTED_VALUE"""),"NaN")</f>
        <v>NaN</v>
      </c>
      <c r="M3836" s="2" t="str">
        <f>IFERROR(__xludf.DUMMYFUNCTION("""COMPUTED_VALUE"""),"NaN")</f>
        <v>NaN</v>
      </c>
    </row>
    <row r="3837">
      <c r="A3837" s="2" t="str">
        <f>IFERROR(__xludf.DUMMYFUNCTION("""COMPUTED_VALUE"""),"For sale")</f>
        <v>For sale</v>
      </c>
      <c r="B3837" s="2" t="str">
        <f>IFERROR(__xludf.DUMMYFUNCTION("""COMPUTED_VALUE"""),"centrs")</f>
        <v>centrs</v>
      </c>
      <c r="C3837" s="2" t="str">
        <f>IFERROR(__xludf.DUMMYFUNCTION("""COMPUTED_VALUE"""),"Čaka 132")</f>
        <v>Čaka 132</v>
      </c>
      <c r="D3837" s="2">
        <f>IFERROR(__xludf.DUMMYFUNCTION("""COMPUTED_VALUE"""),2.0)</f>
        <v>2</v>
      </c>
      <c r="E3837" s="2">
        <f>IFERROR(__xludf.DUMMYFUNCTION("""COMPUTED_VALUE"""),46.0)</f>
        <v>46</v>
      </c>
      <c r="F3837" s="2">
        <f>IFERROR(__xludf.DUMMYFUNCTION("""COMPUTED_VALUE"""),5.0)</f>
        <v>5</v>
      </c>
      <c r="G3837" s="2">
        <f>IFERROR(__xludf.DUMMYFUNCTION("""COMPUTED_VALUE"""),6.0)</f>
        <v>6</v>
      </c>
      <c r="H3837" s="2" t="str">
        <f>IFERROR(__xludf.DUMMYFUNCTION("""COMPUTED_VALUE"""),"P. kara")</f>
        <v>P. kara</v>
      </c>
      <c r="I3837" s="2" t="str">
        <f>IFERROR(__xludf.DUMMYFUNCTION("""COMPUTED_VALUE"""),"Masonry")</f>
        <v>Masonry</v>
      </c>
      <c r="J3837" s="2" t="str">
        <f>IFERROR(__xludf.DUMMYFUNCTION("""COMPUTED_VALUE"""),"All amenities")</f>
        <v>All amenities</v>
      </c>
      <c r="K3837" s="2">
        <f>IFERROR(__xludf.DUMMYFUNCTION("""COMPUTED_VALUE"""),66000.0)</f>
        <v>66000</v>
      </c>
      <c r="L3837" s="2">
        <f>IFERROR(__xludf.DUMMYFUNCTION("""COMPUTED_VALUE"""),56.9615696)</f>
        <v>56.9615696</v>
      </c>
      <c r="M3837" s="2">
        <f>IFERROR(__xludf.DUMMYFUNCTION("""COMPUTED_VALUE"""),24.1466121)</f>
        <v>24.1466121</v>
      </c>
    </row>
    <row r="3838">
      <c r="A3838" s="2" t="str">
        <f>IFERROR(__xludf.DUMMYFUNCTION("""COMPUTED_VALUE"""),"For sale")</f>
        <v>For sale</v>
      </c>
      <c r="B3838" s="2" t="str">
        <f>IFERROR(__xludf.DUMMYFUNCTION("""COMPUTED_VALUE"""),"Imanta")</f>
        <v>Imanta</v>
      </c>
      <c r="C3838" s="2" t="str">
        <f>IFERROR(__xludf.DUMMYFUNCTION("""COMPUTED_VALUE"""),"Kurzemes pr. 12")</f>
        <v>Kurzemes pr. 12</v>
      </c>
      <c r="D3838" s="2">
        <f>IFERROR(__xludf.DUMMYFUNCTION("""COMPUTED_VALUE"""),2.0)</f>
        <v>2</v>
      </c>
      <c r="E3838" s="2">
        <f>IFERROR(__xludf.DUMMYFUNCTION("""COMPUTED_VALUE"""),49.0)</f>
        <v>49</v>
      </c>
      <c r="F3838" s="2">
        <f>IFERROR(__xludf.DUMMYFUNCTION("""COMPUTED_VALUE"""),5.0)</f>
        <v>5</v>
      </c>
      <c r="G3838" s="2">
        <f>IFERROR(__xludf.DUMMYFUNCTION("""COMPUTED_VALUE"""),5.0)</f>
        <v>5</v>
      </c>
      <c r="H3838" s="2" t="str">
        <f>IFERROR(__xludf.DUMMYFUNCTION("""COMPUTED_VALUE"""),"LT proj.")</f>
        <v>LT proj.</v>
      </c>
      <c r="I3838" s="2" t="str">
        <f>IFERROR(__xludf.DUMMYFUNCTION("""COMPUTED_VALUE"""),"Panel")</f>
        <v>Panel</v>
      </c>
      <c r="J3838" s="2" t="str">
        <f>IFERROR(__xludf.DUMMYFUNCTION("""COMPUTED_VALUE"""),"All amenities")</f>
        <v>All amenities</v>
      </c>
      <c r="K3838" s="2">
        <f>IFERROR(__xludf.DUMMYFUNCTION("""COMPUTED_VALUE"""),42300.0)</f>
        <v>42300</v>
      </c>
      <c r="L3838" s="2" t="str">
        <f>IFERROR(__xludf.DUMMYFUNCTION("""COMPUTED_VALUE"""),"NaN")</f>
        <v>NaN</v>
      </c>
      <c r="M3838" s="2" t="str">
        <f>IFERROR(__xludf.DUMMYFUNCTION("""COMPUTED_VALUE"""),"NaN")</f>
        <v>NaN</v>
      </c>
    </row>
    <row r="3839">
      <c r="A3839" s="2" t="str">
        <f>IFERROR(__xludf.DUMMYFUNCTION("""COMPUTED_VALUE"""),"For sale")</f>
        <v>For sale</v>
      </c>
      <c r="B3839" s="2" t="str">
        <f>IFERROR(__xludf.DUMMYFUNCTION("""COMPUTED_VALUE"""),"Āgenskalns")</f>
        <v>Āgenskalns</v>
      </c>
      <c r="C3839" s="2" t="str">
        <f>IFERROR(__xludf.DUMMYFUNCTION("""COMPUTED_VALUE"""),"Bāriņu 1a")</f>
        <v>Bāriņu 1a</v>
      </c>
      <c r="D3839" s="2">
        <f>IFERROR(__xludf.DUMMYFUNCTION("""COMPUTED_VALUE"""),1.0)</f>
        <v>1</v>
      </c>
      <c r="E3839" s="2">
        <f>IFERROR(__xludf.DUMMYFUNCTION("""COMPUTED_VALUE"""),24.0)</f>
        <v>24</v>
      </c>
      <c r="F3839" s="2">
        <f>IFERROR(__xludf.DUMMYFUNCTION("""COMPUTED_VALUE"""),3.0)</f>
        <v>3</v>
      </c>
      <c r="G3839" s="2">
        <f>IFERROR(__xludf.DUMMYFUNCTION("""COMPUTED_VALUE"""),4.0)</f>
        <v>4</v>
      </c>
      <c r="H3839" s="2" t="str">
        <f>IFERROR(__xludf.DUMMYFUNCTION("""COMPUTED_VALUE"""),"Hrušč.")</f>
        <v>Hrušč.</v>
      </c>
      <c r="I3839" s="2" t="str">
        <f>IFERROR(__xludf.DUMMYFUNCTION("""COMPUTED_VALUE"""),"Brick")</f>
        <v>Brick</v>
      </c>
      <c r="J3839" s="2" t="str">
        <f>IFERROR(__xludf.DUMMYFUNCTION("""COMPUTED_VALUE"""),"All amenities")</f>
        <v>All amenities</v>
      </c>
      <c r="K3839" s="2">
        <f>IFERROR(__xludf.DUMMYFUNCTION("""COMPUTED_VALUE"""),30000.0)</f>
        <v>30000</v>
      </c>
      <c r="L3839" s="2">
        <f>IFERROR(__xludf.DUMMYFUNCTION("""COMPUTED_VALUE"""),56.9372465)</f>
        <v>56.9372465</v>
      </c>
      <c r="M3839" s="2">
        <f>IFERROR(__xludf.DUMMYFUNCTION("""COMPUTED_VALUE"""),24.0780844624566)</f>
        <v>24.07808446</v>
      </c>
    </row>
    <row r="3840">
      <c r="A3840" s="2" t="str">
        <f>IFERROR(__xludf.DUMMYFUNCTION("""COMPUTED_VALUE"""),"For sale")</f>
        <v>For sale</v>
      </c>
      <c r="B3840" s="2" t="str">
        <f>IFERROR(__xludf.DUMMYFUNCTION("""COMPUTED_VALUE"""),"centrs")</f>
        <v>centrs</v>
      </c>
      <c r="C3840" s="2" t="str">
        <f>IFERROR(__xludf.DUMMYFUNCTION("""COMPUTED_VALUE"""),"Čaka 68")</f>
        <v>Čaka 68</v>
      </c>
      <c r="D3840" s="2">
        <f>IFERROR(__xludf.DUMMYFUNCTION("""COMPUTED_VALUE"""),3.0)</f>
        <v>3</v>
      </c>
      <c r="E3840" s="2">
        <f>IFERROR(__xludf.DUMMYFUNCTION("""COMPUTED_VALUE"""),112.0)</f>
        <v>112</v>
      </c>
      <c r="F3840" s="2">
        <f>IFERROR(__xludf.DUMMYFUNCTION("""COMPUTED_VALUE"""),4.0)</f>
        <v>4</v>
      </c>
      <c r="G3840" s="2">
        <f>IFERROR(__xludf.DUMMYFUNCTION("""COMPUTED_VALUE"""),6.0)</f>
        <v>6</v>
      </c>
      <c r="H3840" s="2" t="str">
        <f>IFERROR(__xludf.DUMMYFUNCTION("""COMPUTED_VALUE"""),"P. kara")</f>
        <v>P. kara</v>
      </c>
      <c r="I3840" s="2" t="str">
        <f>IFERROR(__xludf.DUMMYFUNCTION("""COMPUTED_VALUE"""),"Brick")</f>
        <v>Brick</v>
      </c>
      <c r="J3840" s="2" t="str">
        <f>IFERROR(__xludf.DUMMYFUNCTION("""COMPUTED_VALUE"""),"All amenities")</f>
        <v>All amenities</v>
      </c>
      <c r="K3840" s="2">
        <f>IFERROR(__xludf.DUMMYFUNCTION("""COMPUTED_VALUE"""),179000.0)</f>
        <v>179000</v>
      </c>
      <c r="L3840" s="2">
        <f>IFERROR(__xludf.DUMMYFUNCTION("""COMPUTED_VALUE"""),56.9555119)</f>
        <v>56.9555119</v>
      </c>
      <c r="M3840" s="2">
        <f>IFERROR(__xludf.DUMMYFUNCTION("""COMPUTED_VALUE"""),24.1352351)</f>
        <v>24.1352351</v>
      </c>
    </row>
    <row r="3841">
      <c r="A3841" s="2" t="str">
        <f>IFERROR(__xludf.DUMMYFUNCTION("""COMPUTED_VALUE"""),"For rent")</f>
        <v>For rent</v>
      </c>
      <c r="B3841" s="2" t="str">
        <f>IFERROR(__xludf.DUMMYFUNCTION("""COMPUTED_VALUE"""),"Pļavnieki")</f>
        <v>Pļavnieki</v>
      </c>
      <c r="C3841" s="2" t="str">
        <f>IFERROR(__xludf.DUMMYFUNCTION("""COMPUTED_VALUE"""),"Salnas 7")</f>
        <v>Salnas 7</v>
      </c>
      <c r="D3841" s="2">
        <f>IFERROR(__xludf.DUMMYFUNCTION("""COMPUTED_VALUE"""),2.0)</f>
        <v>2</v>
      </c>
      <c r="E3841" s="2">
        <f>IFERROR(__xludf.DUMMYFUNCTION("""COMPUTED_VALUE"""),50.0)</f>
        <v>50</v>
      </c>
      <c r="F3841" s="2">
        <f>IFERROR(__xludf.DUMMYFUNCTION("""COMPUTED_VALUE"""),3.0)</f>
        <v>3</v>
      </c>
      <c r="G3841" s="2">
        <f>IFERROR(__xludf.DUMMYFUNCTION("""COMPUTED_VALUE"""),9.0)</f>
        <v>9</v>
      </c>
      <c r="H3841" s="2">
        <f>IFERROR(__xludf.DUMMYFUNCTION("""COMPUTED_VALUE"""),602.0)</f>
        <v>602</v>
      </c>
      <c r="I3841" s="2" t="str">
        <f>IFERROR(__xludf.DUMMYFUNCTION("""COMPUTED_VALUE"""),"Panel")</f>
        <v>Panel</v>
      </c>
      <c r="J3841" s="2" t="str">
        <f>IFERROR(__xludf.DUMMYFUNCTION("""COMPUTED_VALUE"""),"All amenities")</f>
        <v>All amenities</v>
      </c>
      <c r="K3841" s="2">
        <f>IFERROR(__xludf.DUMMYFUNCTION("""COMPUTED_VALUE"""),340.0)</f>
        <v>340</v>
      </c>
      <c r="L3841" s="2">
        <f>IFERROR(__xludf.DUMMYFUNCTION("""COMPUTED_VALUE"""),56.9426158)</f>
        <v>56.9426158</v>
      </c>
      <c r="M3841" s="2">
        <f>IFERROR(__xludf.DUMMYFUNCTION("""COMPUTED_VALUE"""),24.2218763)</f>
        <v>24.2218763</v>
      </c>
    </row>
    <row r="3842">
      <c r="A3842" s="2" t="str">
        <f>IFERROR(__xludf.DUMMYFUNCTION("""COMPUTED_VALUE"""),"For rent")</f>
        <v>For rent</v>
      </c>
      <c r="B3842" s="2" t="str">
        <f>IFERROR(__xludf.DUMMYFUNCTION("""COMPUTED_VALUE"""),"Torņakalns")</f>
        <v>Torņakalns</v>
      </c>
      <c r="C3842" s="2" t="str">
        <f>IFERROR(__xludf.DUMMYFUNCTION("""COMPUTED_VALUE"""),"Akmeņu 16a")</f>
        <v>Akmeņu 16a</v>
      </c>
      <c r="D3842" s="2">
        <f>IFERROR(__xludf.DUMMYFUNCTION("""COMPUTED_VALUE"""),2.0)</f>
        <v>2</v>
      </c>
      <c r="E3842" s="2">
        <f>IFERROR(__xludf.DUMMYFUNCTION("""COMPUTED_VALUE"""),81.0)</f>
        <v>81</v>
      </c>
      <c r="F3842" s="2">
        <f>IFERROR(__xludf.DUMMYFUNCTION("""COMPUTED_VALUE"""),3.0)</f>
        <v>3</v>
      </c>
      <c r="G3842" s="2">
        <f>IFERROR(__xludf.DUMMYFUNCTION("""COMPUTED_VALUE"""),4.0)</f>
        <v>4</v>
      </c>
      <c r="H3842" s="2" t="str">
        <f>IFERROR(__xludf.DUMMYFUNCTION("""COMPUTED_VALUE"""),"P. kara")</f>
        <v>P. kara</v>
      </c>
      <c r="I3842" s="2" t="str">
        <f>IFERROR(__xludf.DUMMYFUNCTION("""COMPUTED_VALUE"""),"Brick")</f>
        <v>Brick</v>
      </c>
      <c r="J3842" s="2" t="str">
        <f>IFERROR(__xludf.DUMMYFUNCTION("""COMPUTED_VALUE"""),"All amenities")</f>
        <v>All amenities</v>
      </c>
      <c r="K3842" s="2">
        <f>IFERROR(__xludf.DUMMYFUNCTION("""COMPUTED_VALUE"""),500.0)</f>
        <v>500</v>
      </c>
      <c r="L3842" s="2">
        <f>IFERROR(__xludf.DUMMYFUNCTION("""COMPUTED_VALUE"""),56.93929165)</f>
        <v>56.93929165</v>
      </c>
      <c r="M3842" s="2">
        <f>IFERROR(__xludf.DUMMYFUNCTION("""COMPUTED_VALUE"""),24.0974332)</f>
        <v>24.0974332</v>
      </c>
    </row>
    <row r="3843">
      <c r="A3843" s="2" t="str">
        <f>IFERROR(__xludf.DUMMYFUNCTION("""COMPUTED_VALUE"""),"For sale")</f>
        <v>For sale</v>
      </c>
      <c r="B3843" s="2" t="str">
        <f>IFERROR(__xludf.DUMMYFUNCTION("""COMPUTED_VALUE"""),"Purvciems")</f>
        <v>Purvciems</v>
      </c>
      <c r="C3843" s="2" t="str">
        <f>IFERROR(__xludf.DUMMYFUNCTION("""COMPUTED_VALUE"""),"Dzelzavas 31")</f>
        <v>Dzelzavas 31</v>
      </c>
      <c r="D3843" s="2">
        <f>IFERROR(__xludf.DUMMYFUNCTION("""COMPUTED_VALUE"""),1.0)</f>
        <v>1</v>
      </c>
      <c r="E3843" s="2">
        <f>IFERROR(__xludf.DUMMYFUNCTION("""COMPUTED_VALUE"""),29.0)</f>
        <v>29</v>
      </c>
      <c r="F3843" s="2">
        <f>IFERROR(__xludf.DUMMYFUNCTION("""COMPUTED_VALUE"""),4.0)</f>
        <v>4</v>
      </c>
      <c r="G3843" s="2">
        <f>IFERROR(__xludf.DUMMYFUNCTION("""COMPUTED_VALUE"""),5.0)</f>
        <v>5</v>
      </c>
      <c r="H3843" s="2" t="str">
        <f>IFERROR(__xludf.DUMMYFUNCTION("""COMPUTED_VALUE"""),"LT proj.")</f>
        <v>LT proj.</v>
      </c>
      <c r="I3843" s="2" t="str">
        <f>IFERROR(__xludf.DUMMYFUNCTION("""COMPUTED_VALUE"""),"Brick-Panel")</f>
        <v>Brick-Panel</v>
      </c>
      <c r="J3843" s="2" t="str">
        <f>IFERROR(__xludf.DUMMYFUNCTION("""COMPUTED_VALUE"""),"All amenities")</f>
        <v>All amenities</v>
      </c>
      <c r="K3843" s="2">
        <f>IFERROR(__xludf.DUMMYFUNCTION("""COMPUTED_VALUE"""),31000.0)</f>
        <v>31000</v>
      </c>
      <c r="L3843" s="2">
        <f>IFERROR(__xludf.DUMMYFUNCTION("""COMPUTED_VALUE"""),56.9607718)</f>
        <v>56.9607718</v>
      </c>
      <c r="M3843" s="2">
        <f>IFERROR(__xludf.DUMMYFUNCTION("""COMPUTED_VALUE"""),24.1805675999999)</f>
        <v>24.1805676</v>
      </c>
    </row>
    <row r="3844">
      <c r="A3844" s="2" t="str">
        <f>IFERROR(__xludf.DUMMYFUNCTION("""COMPUTED_VALUE"""),"For rent")</f>
        <v>For rent</v>
      </c>
      <c r="B3844" s="2" t="str">
        <f>IFERROR(__xludf.DUMMYFUNCTION("""COMPUTED_VALUE"""),"centrs")</f>
        <v>centrs</v>
      </c>
      <c r="C3844" s="2" t="str">
        <f>IFERROR(__xludf.DUMMYFUNCTION("""COMPUTED_VALUE"""),"Vagonu 22")</f>
        <v>Vagonu 22</v>
      </c>
      <c r="D3844" s="2">
        <f>IFERROR(__xludf.DUMMYFUNCTION("""COMPUTED_VALUE"""),1.0)</f>
        <v>1</v>
      </c>
      <c r="E3844" s="2">
        <f>IFERROR(__xludf.DUMMYFUNCTION("""COMPUTED_VALUE"""),26.0)</f>
        <v>26</v>
      </c>
      <c r="F3844" s="2">
        <f>IFERROR(__xludf.DUMMYFUNCTION("""COMPUTED_VALUE"""),1.0)</f>
        <v>1</v>
      </c>
      <c r="G3844" s="2">
        <f>IFERROR(__xludf.DUMMYFUNCTION("""COMPUTED_VALUE"""),5.0)</f>
        <v>5</v>
      </c>
      <c r="H3844" s="2" t="str">
        <f>IFERROR(__xludf.DUMMYFUNCTION("""COMPUTED_VALUE"""),"Renov.")</f>
        <v>Renov.</v>
      </c>
      <c r="I3844" s="2" t="str">
        <f>IFERROR(__xludf.DUMMYFUNCTION("""COMPUTED_VALUE"""),"Masonry")</f>
        <v>Masonry</v>
      </c>
      <c r="J3844" s="2" t="str">
        <f>IFERROR(__xludf.DUMMYFUNCTION("""COMPUTED_VALUE"""),"All amenities")</f>
        <v>All amenities</v>
      </c>
      <c r="K3844" s="2">
        <f>IFERROR(__xludf.DUMMYFUNCTION("""COMPUTED_VALUE"""),25.0)</f>
        <v>25</v>
      </c>
      <c r="L3844" s="2">
        <f>IFERROR(__xludf.DUMMYFUNCTION("""COMPUTED_VALUE"""),56.94863315)</f>
        <v>56.94863315</v>
      </c>
      <c r="M3844" s="2">
        <f>IFERROR(__xludf.DUMMYFUNCTION("""COMPUTED_VALUE"""),24.1500322)</f>
        <v>24.1500322</v>
      </c>
    </row>
    <row r="3845">
      <c r="A3845" s="2" t="str">
        <f>IFERROR(__xludf.DUMMYFUNCTION("""COMPUTED_VALUE"""),"For sale")</f>
        <v>For sale</v>
      </c>
      <c r="B3845" s="2" t="str">
        <f>IFERROR(__xludf.DUMMYFUNCTION("""COMPUTED_VALUE"""),"Imanta")</f>
        <v>Imanta</v>
      </c>
      <c r="C3845" s="2" t="str">
        <f>IFERROR(__xludf.DUMMYFUNCTION("""COMPUTED_VALUE"""),"Kooperatīva 4a")</f>
        <v>Kooperatīva 4a</v>
      </c>
      <c r="D3845" s="2">
        <f>IFERROR(__xludf.DUMMYFUNCTION("""COMPUTED_VALUE"""),1.0)</f>
        <v>1</v>
      </c>
      <c r="E3845" s="2">
        <f>IFERROR(__xludf.DUMMYFUNCTION("""COMPUTED_VALUE"""),27.27)</f>
        <v>27.27</v>
      </c>
      <c r="F3845" s="2">
        <f>IFERROR(__xludf.DUMMYFUNCTION("""COMPUTED_VALUE"""),4.0)</f>
        <v>4</v>
      </c>
      <c r="G3845" s="2">
        <f>IFERROR(__xludf.DUMMYFUNCTION("""COMPUTED_VALUE"""),5.0)</f>
        <v>5</v>
      </c>
      <c r="H3845" s="2" t="str">
        <f>IFERROR(__xludf.DUMMYFUNCTION("""COMPUTED_VALUE"""),"LT proj.")</f>
        <v>LT proj.</v>
      </c>
      <c r="I3845" s="2" t="str">
        <f>IFERROR(__xludf.DUMMYFUNCTION("""COMPUTED_VALUE"""),"Panel")</f>
        <v>Panel</v>
      </c>
      <c r="J3845" s="2" t="str">
        <f>IFERROR(__xludf.DUMMYFUNCTION("""COMPUTED_VALUE"""),"All amenities")</f>
        <v>All amenities</v>
      </c>
      <c r="K3845" s="2">
        <f>IFERROR(__xludf.DUMMYFUNCTION("""COMPUTED_VALUE"""),29000.0)</f>
        <v>29000</v>
      </c>
      <c r="L3845" s="2">
        <f>IFERROR(__xludf.DUMMYFUNCTION("""COMPUTED_VALUE"""),56.95369035)</f>
        <v>56.95369035</v>
      </c>
      <c r="M3845" s="2">
        <f>IFERROR(__xludf.DUMMYFUNCTION("""COMPUTED_VALUE"""),24.0309696516515)</f>
        <v>24.03096965</v>
      </c>
    </row>
    <row r="3846">
      <c r="A3846" s="2" t="str">
        <f>IFERROR(__xludf.DUMMYFUNCTION("""COMPUTED_VALUE"""),"For sale")</f>
        <v>For sale</v>
      </c>
      <c r="B3846" s="2" t="str">
        <f>IFERROR(__xludf.DUMMYFUNCTION("""COMPUTED_VALUE"""),"centrs")</f>
        <v>centrs</v>
      </c>
      <c r="C3846" s="2" t="str">
        <f>IFERROR(__xludf.DUMMYFUNCTION("""COMPUTED_VALUE"""),"Hospitāļu 35")</f>
        <v>Hospitāļu 35</v>
      </c>
      <c r="D3846" s="2">
        <f>IFERROR(__xludf.DUMMYFUNCTION("""COMPUTED_VALUE"""),3.0)</f>
        <v>3</v>
      </c>
      <c r="E3846" s="2">
        <f>IFERROR(__xludf.DUMMYFUNCTION("""COMPUTED_VALUE"""),56.0)</f>
        <v>56</v>
      </c>
      <c r="F3846" s="2">
        <f>IFERROR(__xludf.DUMMYFUNCTION("""COMPUTED_VALUE"""),2.0)</f>
        <v>2</v>
      </c>
      <c r="G3846" s="2">
        <f>IFERROR(__xludf.DUMMYFUNCTION("""COMPUTED_VALUE"""),7.0)</f>
        <v>7</v>
      </c>
      <c r="H3846" s="2" t="str">
        <f>IFERROR(__xludf.DUMMYFUNCTION("""COMPUTED_VALUE"""),"Specpr.")</f>
        <v>Specpr.</v>
      </c>
      <c r="I3846" s="2" t="str">
        <f>IFERROR(__xludf.DUMMYFUNCTION("""COMPUTED_VALUE"""),"Brick")</f>
        <v>Brick</v>
      </c>
      <c r="J3846" s="2" t="str">
        <f>IFERROR(__xludf.DUMMYFUNCTION("""COMPUTED_VALUE"""),"All amenities")</f>
        <v>All amenities</v>
      </c>
      <c r="K3846" s="2">
        <f>IFERROR(__xludf.DUMMYFUNCTION("""COMPUTED_VALUE"""),97000.0)</f>
        <v>97000</v>
      </c>
      <c r="L3846" s="2">
        <f>IFERROR(__xludf.DUMMYFUNCTION("""COMPUTED_VALUE"""),56.9764382)</f>
        <v>56.9764382</v>
      </c>
      <c r="M3846" s="2">
        <f>IFERROR(__xludf.DUMMYFUNCTION("""COMPUTED_VALUE"""),24.1391902)</f>
        <v>24.1391902</v>
      </c>
    </row>
    <row r="3847">
      <c r="A3847" s="2" t="str">
        <f>IFERROR(__xludf.DUMMYFUNCTION("""COMPUTED_VALUE"""),"For rent")</f>
        <v>For rent</v>
      </c>
      <c r="B3847" s="2" t="str">
        <f>IFERROR(__xludf.DUMMYFUNCTION("""COMPUTED_VALUE"""),"centrs")</f>
        <v>centrs</v>
      </c>
      <c r="C3847" s="2" t="str">
        <f>IFERROR(__xludf.DUMMYFUNCTION("""COMPUTED_VALUE"""),"Stabu 54")</f>
        <v>Stabu 54</v>
      </c>
      <c r="D3847" s="2">
        <f>IFERROR(__xludf.DUMMYFUNCTION("""COMPUTED_VALUE"""),3.0)</f>
        <v>3</v>
      </c>
      <c r="E3847" s="2">
        <f>IFERROR(__xludf.DUMMYFUNCTION("""COMPUTED_VALUE"""),84.0)</f>
        <v>84</v>
      </c>
      <c r="F3847" s="2">
        <f>IFERROR(__xludf.DUMMYFUNCTION("""COMPUTED_VALUE"""),2.0)</f>
        <v>2</v>
      </c>
      <c r="G3847" s="2">
        <f>IFERROR(__xludf.DUMMYFUNCTION("""COMPUTED_VALUE"""),4.0)</f>
        <v>4</v>
      </c>
      <c r="H3847" s="2" t="str">
        <f>IFERROR(__xludf.DUMMYFUNCTION("""COMPUTED_VALUE"""),"P. kara")</f>
        <v>P. kara</v>
      </c>
      <c r="I3847" s="2" t="str">
        <f>IFERROR(__xludf.DUMMYFUNCTION("""COMPUTED_VALUE"""),"Masonry")</f>
        <v>Masonry</v>
      </c>
      <c r="J3847" s="2" t="str">
        <f>IFERROR(__xludf.DUMMYFUNCTION("""COMPUTED_VALUE"""),"All amenities")</f>
        <v>All amenities</v>
      </c>
      <c r="K3847" s="2">
        <f>IFERROR(__xludf.DUMMYFUNCTION("""COMPUTED_VALUE"""),750.0)</f>
        <v>750</v>
      </c>
      <c r="L3847" s="2">
        <f>IFERROR(__xludf.DUMMYFUNCTION("""COMPUTED_VALUE"""),56.9536074)</f>
        <v>56.9536074</v>
      </c>
      <c r="M3847" s="2">
        <f>IFERROR(__xludf.DUMMYFUNCTION("""COMPUTED_VALUE"""),24.1337405)</f>
        <v>24.1337405</v>
      </c>
    </row>
    <row r="3848">
      <c r="A3848" s="2" t="str">
        <f>IFERROR(__xludf.DUMMYFUNCTION("""COMPUTED_VALUE"""),"For sale")</f>
        <v>For sale</v>
      </c>
      <c r="B3848" s="2" t="str">
        <f>IFERROR(__xludf.DUMMYFUNCTION("""COMPUTED_VALUE"""),"Maskavas priekšpilsēta")</f>
        <v>Maskavas priekšpilsēta</v>
      </c>
      <c r="C3848" s="2" t="str">
        <f>IFERROR(__xludf.DUMMYFUNCTION("""COMPUTED_VALUE"""),"Pirts 9")</f>
        <v>Pirts 9</v>
      </c>
      <c r="D3848" s="2">
        <f>IFERROR(__xludf.DUMMYFUNCTION("""COMPUTED_VALUE"""),2.0)</f>
        <v>2</v>
      </c>
      <c r="E3848" s="2">
        <f>IFERROR(__xludf.DUMMYFUNCTION("""COMPUTED_VALUE"""),34.0)</f>
        <v>34</v>
      </c>
      <c r="F3848" s="2">
        <f>IFERROR(__xludf.DUMMYFUNCTION("""COMPUTED_VALUE"""),4.0)</f>
        <v>4</v>
      </c>
      <c r="G3848" s="2">
        <f>IFERROR(__xludf.DUMMYFUNCTION("""COMPUTED_VALUE"""),4.0)</f>
        <v>4</v>
      </c>
      <c r="H3848" s="2" t="str">
        <f>IFERROR(__xludf.DUMMYFUNCTION("""COMPUTED_VALUE"""),"P. kara")</f>
        <v>P. kara</v>
      </c>
      <c r="I3848" s="2" t="str">
        <f>IFERROR(__xludf.DUMMYFUNCTION("""COMPUTED_VALUE"""),"Masonry")</f>
        <v>Masonry</v>
      </c>
      <c r="J3848" s="2" t="str">
        <f>IFERROR(__xludf.DUMMYFUNCTION("""COMPUTED_VALUE"""),"All amenities")</f>
        <v>All amenities</v>
      </c>
      <c r="K3848" s="2">
        <f>IFERROR(__xludf.DUMMYFUNCTION("""COMPUTED_VALUE"""),46500.0)</f>
        <v>46500</v>
      </c>
      <c r="L3848" s="2">
        <f>IFERROR(__xludf.DUMMYFUNCTION("""COMPUTED_VALUE"""),56.9390032)</f>
        <v>56.9390032</v>
      </c>
      <c r="M3848" s="2">
        <f>IFERROR(__xludf.DUMMYFUNCTION("""COMPUTED_VALUE"""),24.1374188453488)</f>
        <v>24.13741885</v>
      </c>
    </row>
    <row r="3849">
      <c r="A3849" s="2" t="str">
        <f>IFERROR(__xludf.DUMMYFUNCTION("""COMPUTED_VALUE"""),"For rent")</f>
        <v>For rent</v>
      </c>
      <c r="B3849" s="2" t="str">
        <f>IFERROR(__xludf.DUMMYFUNCTION("""COMPUTED_VALUE"""),"centrs")</f>
        <v>centrs</v>
      </c>
      <c r="C3849" s="2" t="str">
        <f>IFERROR(__xludf.DUMMYFUNCTION("""COMPUTED_VALUE"""),"Baznīcas 26a")</f>
        <v>Baznīcas 26a</v>
      </c>
      <c r="D3849" s="2">
        <f>IFERROR(__xludf.DUMMYFUNCTION("""COMPUTED_VALUE"""),2.0)</f>
        <v>2</v>
      </c>
      <c r="E3849" s="2">
        <f>IFERROR(__xludf.DUMMYFUNCTION("""COMPUTED_VALUE"""),90.0)</f>
        <v>90</v>
      </c>
      <c r="F3849" s="2">
        <f>IFERROR(__xludf.DUMMYFUNCTION("""COMPUTED_VALUE"""),3.0)</f>
        <v>3</v>
      </c>
      <c r="G3849" s="2">
        <f>IFERROR(__xludf.DUMMYFUNCTION("""COMPUTED_VALUE"""),6.0)</f>
        <v>6</v>
      </c>
      <c r="H3849" s="2" t="str">
        <f>IFERROR(__xludf.DUMMYFUNCTION("""COMPUTED_VALUE"""),"Renov.")</f>
        <v>Renov.</v>
      </c>
      <c r="I3849" s="2" t="str">
        <f>IFERROR(__xludf.DUMMYFUNCTION("""COMPUTED_VALUE"""),"Brick")</f>
        <v>Brick</v>
      </c>
      <c r="J3849" s="2" t="str">
        <f>IFERROR(__xludf.DUMMYFUNCTION("""COMPUTED_VALUE"""),"All amenities")</f>
        <v>All amenities</v>
      </c>
      <c r="K3849" s="2">
        <f>IFERROR(__xludf.DUMMYFUNCTION("""COMPUTED_VALUE"""),680.0)</f>
        <v>680</v>
      </c>
      <c r="L3849" s="2">
        <f>IFERROR(__xludf.DUMMYFUNCTION("""COMPUTED_VALUE"""),56.9585108)</f>
        <v>56.9585108</v>
      </c>
      <c r="M3849" s="2">
        <f>IFERROR(__xludf.DUMMYFUNCTION("""COMPUTED_VALUE"""),24.1228978201077)</f>
        <v>24.12289782</v>
      </c>
    </row>
    <row r="3850">
      <c r="A3850" s="2" t="str">
        <f>IFERROR(__xludf.DUMMYFUNCTION("""COMPUTED_VALUE"""),"For sale")</f>
        <v>For sale</v>
      </c>
      <c r="B3850" s="2" t="str">
        <f>IFERROR(__xludf.DUMMYFUNCTION("""COMPUTED_VALUE"""),"Imanta")</f>
        <v>Imanta</v>
      </c>
      <c r="C3850" s="2" t="str">
        <f>IFERROR(__xludf.DUMMYFUNCTION("""COMPUTED_VALUE"""),"Akāciju 2e")</f>
        <v>Akāciju 2e</v>
      </c>
      <c r="D3850" s="2">
        <f>IFERROR(__xludf.DUMMYFUNCTION("""COMPUTED_VALUE"""),3.0)</f>
        <v>3</v>
      </c>
      <c r="E3850" s="2">
        <f>IFERROR(__xludf.DUMMYFUNCTION("""COMPUTED_VALUE"""),60.0)</f>
        <v>60</v>
      </c>
      <c r="F3850" s="2">
        <f>IFERROR(__xludf.DUMMYFUNCTION("""COMPUTED_VALUE"""),8.0)</f>
        <v>8</v>
      </c>
      <c r="G3850" s="2">
        <f>IFERROR(__xludf.DUMMYFUNCTION("""COMPUTED_VALUE"""),9.0)</f>
        <v>9</v>
      </c>
      <c r="H3850" s="2" t="str">
        <f>IFERROR(__xludf.DUMMYFUNCTION("""COMPUTED_VALUE"""),"Jaun.")</f>
        <v>Jaun.</v>
      </c>
      <c r="I3850" s="2" t="str">
        <f>IFERROR(__xludf.DUMMYFUNCTION("""COMPUTED_VALUE"""),"Panel")</f>
        <v>Panel</v>
      </c>
      <c r="J3850" s="2" t="str">
        <f>IFERROR(__xludf.DUMMYFUNCTION("""COMPUTED_VALUE"""),"All amenities")</f>
        <v>All amenities</v>
      </c>
      <c r="K3850" s="2">
        <f>IFERROR(__xludf.DUMMYFUNCTION("""COMPUTED_VALUE"""),105846.0)</f>
        <v>105846</v>
      </c>
      <c r="L3850" s="2">
        <f>IFERROR(__xludf.DUMMYFUNCTION("""COMPUTED_VALUE"""),56.9518586)</f>
        <v>56.9518586</v>
      </c>
      <c r="M3850" s="2">
        <f>IFERROR(__xludf.DUMMYFUNCTION("""COMPUTED_VALUE"""),24.0049456791553)</f>
        <v>24.00494568</v>
      </c>
    </row>
    <row r="3851">
      <c r="A3851" s="2" t="str">
        <f>IFERROR(__xludf.DUMMYFUNCTION("""COMPUTED_VALUE"""),"For sale")</f>
        <v>For sale</v>
      </c>
      <c r="B3851" s="2" t="str">
        <f>IFERROR(__xludf.DUMMYFUNCTION("""COMPUTED_VALUE"""),"Ķengarags")</f>
        <v>Ķengarags</v>
      </c>
      <c r="C3851" s="2" t="str">
        <f>IFERROR(__xludf.DUMMYFUNCTION("""COMPUTED_VALUE"""),"Maskavas 266/3")</f>
        <v>Maskavas 266/3</v>
      </c>
      <c r="D3851" s="2">
        <f>IFERROR(__xludf.DUMMYFUNCTION("""COMPUTED_VALUE"""),2.0)</f>
        <v>2</v>
      </c>
      <c r="E3851" s="2">
        <f>IFERROR(__xludf.DUMMYFUNCTION("""COMPUTED_VALUE"""),46.0)</f>
        <v>46</v>
      </c>
      <c r="F3851" s="2">
        <f>IFERROR(__xludf.DUMMYFUNCTION("""COMPUTED_VALUE"""),1.0)</f>
        <v>1</v>
      </c>
      <c r="G3851" s="2">
        <f>IFERROR(__xludf.DUMMYFUNCTION("""COMPUTED_VALUE"""),5.0)</f>
        <v>5</v>
      </c>
      <c r="H3851" s="2" t="str">
        <f>IFERROR(__xludf.DUMMYFUNCTION("""COMPUTED_VALUE"""),"Hrušč.")</f>
        <v>Hrušč.</v>
      </c>
      <c r="I3851" s="2" t="str">
        <f>IFERROR(__xludf.DUMMYFUNCTION("""COMPUTED_VALUE"""),"Panel")</f>
        <v>Panel</v>
      </c>
      <c r="J3851" s="2" t="str">
        <f>IFERROR(__xludf.DUMMYFUNCTION("""COMPUTED_VALUE"""),"All amenities")</f>
        <v>All amenities</v>
      </c>
      <c r="K3851" s="2">
        <f>IFERROR(__xludf.DUMMYFUNCTION("""COMPUTED_VALUE"""),41000.0)</f>
        <v>41000</v>
      </c>
      <c r="L3851" s="2">
        <f>IFERROR(__xludf.DUMMYFUNCTION("""COMPUTED_VALUE"""),56.94475115)</f>
        <v>56.94475115</v>
      </c>
      <c r="M3851" s="2">
        <f>IFERROR(__xludf.DUMMYFUNCTION("""COMPUTED_VALUE"""),24.1132172780624)</f>
        <v>24.11321728</v>
      </c>
    </row>
    <row r="3852">
      <c r="A3852" s="2" t="str">
        <f>IFERROR(__xludf.DUMMYFUNCTION("""COMPUTED_VALUE"""),"For sale")</f>
        <v>For sale</v>
      </c>
      <c r="B3852" s="2" t="str">
        <f>IFERROR(__xludf.DUMMYFUNCTION("""COMPUTED_VALUE"""),"Pļavnieki")</f>
        <v>Pļavnieki</v>
      </c>
      <c r="C3852" s="2" t="str">
        <f>IFERROR(__xludf.DUMMYFUNCTION("""COMPUTED_VALUE"""),"Dzeņu 12")</f>
        <v>Dzeņu 12</v>
      </c>
      <c r="D3852" s="2">
        <f>IFERROR(__xludf.DUMMYFUNCTION("""COMPUTED_VALUE"""),3.0)</f>
        <v>3</v>
      </c>
      <c r="E3852" s="2">
        <f>IFERROR(__xludf.DUMMYFUNCTION("""COMPUTED_VALUE"""),62.0)</f>
        <v>62</v>
      </c>
      <c r="F3852" s="2">
        <f>IFERROR(__xludf.DUMMYFUNCTION("""COMPUTED_VALUE"""),2.0)</f>
        <v>2</v>
      </c>
      <c r="G3852" s="2">
        <f>IFERROR(__xludf.DUMMYFUNCTION("""COMPUTED_VALUE"""),9.0)</f>
        <v>9</v>
      </c>
      <c r="H3852" s="2">
        <f>IFERROR(__xludf.DUMMYFUNCTION("""COMPUTED_VALUE"""),602.0)</f>
        <v>602</v>
      </c>
      <c r="I3852" s="2" t="str">
        <f>IFERROR(__xludf.DUMMYFUNCTION("""COMPUTED_VALUE"""),"Panel")</f>
        <v>Panel</v>
      </c>
      <c r="J3852" s="2" t="str">
        <f>IFERROR(__xludf.DUMMYFUNCTION("""COMPUTED_VALUE"""),"All amenities")</f>
        <v>All amenities</v>
      </c>
      <c r="K3852" s="2">
        <f>IFERROR(__xludf.DUMMYFUNCTION("""COMPUTED_VALUE"""),51000.0)</f>
        <v>51000</v>
      </c>
      <c r="L3852" s="2">
        <f>IFERROR(__xludf.DUMMYFUNCTION("""COMPUTED_VALUE"""),56.9397226)</f>
        <v>56.9397226</v>
      </c>
      <c r="M3852" s="2">
        <f>IFERROR(__xludf.DUMMYFUNCTION("""COMPUTED_VALUE"""),24.2126243664139)</f>
        <v>24.21262437</v>
      </c>
    </row>
    <row r="3853">
      <c r="A3853" s="2" t="str">
        <f>IFERROR(__xludf.DUMMYFUNCTION("""COMPUTED_VALUE"""),"For sale")</f>
        <v>For sale</v>
      </c>
      <c r="B3853" s="2" t="str">
        <f>IFERROR(__xludf.DUMMYFUNCTION("""COMPUTED_VALUE"""),"Vecrīga")</f>
        <v>Vecrīga</v>
      </c>
      <c r="C3853" s="2" t="str">
        <f>IFERROR(__xludf.DUMMYFUNCTION("""COMPUTED_VALUE"""),"Kungu 25")</f>
        <v>Kungu 25</v>
      </c>
      <c r="D3853" s="2">
        <f>IFERROR(__xludf.DUMMYFUNCTION("""COMPUTED_VALUE"""),1.0)</f>
        <v>1</v>
      </c>
      <c r="E3853" s="2">
        <f>IFERROR(__xludf.DUMMYFUNCTION("""COMPUTED_VALUE"""),23.0)</f>
        <v>23</v>
      </c>
      <c r="F3853" s="2">
        <f>IFERROR(__xludf.DUMMYFUNCTION("""COMPUTED_VALUE"""),2.0)</f>
        <v>2</v>
      </c>
      <c r="G3853" s="2">
        <f>IFERROR(__xludf.DUMMYFUNCTION("""COMPUTED_VALUE"""),6.0)</f>
        <v>6</v>
      </c>
      <c r="H3853" s="2" t="str">
        <f>IFERROR(__xludf.DUMMYFUNCTION("""COMPUTED_VALUE"""),"Specpr.")</f>
        <v>Specpr.</v>
      </c>
      <c r="I3853" s="2" t="str">
        <f>IFERROR(__xludf.DUMMYFUNCTION("""COMPUTED_VALUE"""),"Panel")</f>
        <v>Panel</v>
      </c>
      <c r="J3853" s="2" t="str">
        <f>IFERROR(__xludf.DUMMYFUNCTION("""COMPUTED_VALUE"""),"All amenities")</f>
        <v>All amenities</v>
      </c>
      <c r="K3853" s="2">
        <f>IFERROR(__xludf.DUMMYFUNCTION("""COMPUTED_VALUE"""),59990.0)</f>
        <v>59990</v>
      </c>
      <c r="L3853" s="2">
        <f>IFERROR(__xludf.DUMMYFUNCTION("""COMPUTED_VALUE"""),56.9453381999999)</f>
        <v>56.9453382</v>
      </c>
      <c r="M3853" s="2">
        <f>IFERROR(__xludf.DUMMYFUNCTION("""COMPUTED_VALUE"""),24.1094639533088)</f>
        <v>24.10946395</v>
      </c>
    </row>
    <row r="3854">
      <c r="A3854" s="2" t="str">
        <f>IFERROR(__xludf.DUMMYFUNCTION("""COMPUTED_VALUE"""),"For sale")</f>
        <v>For sale</v>
      </c>
      <c r="B3854" s="2" t="str">
        <f>IFERROR(__xludf.DUMMYFUNCTION("""COMPUTED_VALUE"""),"Vecrīga")</f>
        <v>Vecrīga</v>
      </c>
      <c r="C3854" s="2" t="str">
        <f>IFERROR(__xludf.DUMMYFUNCTION("""COMPUTED_VALUE"""),"Kungu 25")</f>
        <v>Kungu 25</v>
      </c>
      <c r="D3854" s="2">
        <f>IFERROR(__xludf.DUMMYFUNCTION("""COMPUTED_VALUE"""),3.0)</f>
        <v>3</v>
      </c>
      <c r="E3854" s="2">
        <f>IFERROR(__xludf.DUMMYFUNCTION("""COMPUTED_VALUE"""),57.0)</f>
        <v>57</v>
      </c>
      <c r="F3854" s="2">
        <f>IFERROR(__xludf.DUMMYFUNCTION("""COMPUTED_VALUE"""),2.0)</f>
        <v>2</v>
      </c>
      <c r="G3854" s="2">
        <f>IFERROR(__xludf.DUMMYFUNCTION("""COMPUTED_VALUE"""),6.0)</f>
        <v>6</v>
      </c>
      <c r="H3854" s="2" t="str">
        <f>IFERROR(__xludf.DUMMYFUNCTION("""COMPUTED_VALUE"""),"Specpr.")</f>
        <v>Specpr.</v>
      </c>
      <c r="I3854" s="2" t="str">
        <f>IFERROR(__xludf.DUMMYFUNCTION("""COMPUTED_VALUE"""),"Panel")</f>
        <v>Panel</v>
      </c>
      <c r="J3854" s="2" t="str">
        <f>IFERROR(__xludf.DUMMYFUNCTION("""COMPUTED_VALUE"""),"All amenities")</f>
        <v>All amenities</v>
      </c>
      <c r="K3854" s="2">
        <f>IFERROR(__xludf.DUMMYFUNCTION("""COMPUTED_VALUE"""),124990.0)</f>
        <v>124990</v>
      </c>
      <c r="L3854" s="2">
        <f>IFERROR(__xludf.DUMMYFUNCTION("""COMPUTED_VALUE"""),56.9453381999999)</f>
        <v>56.9453382</v>
      </c>
      <c r="M3854" s="2">
        <f>IFERROR(__xludf.DUMMYFUNCTION("""COMPUTED_VALUE"""),24.1094639533088)</f>
        <v>24.10946395</v>
      </c>
    </row>
    <row r="3855">
      <c r="A3855" s="2" t="str">
        <f>IFERROR(__xludf.DUMMYFUNCTION("""COMPUTED_VALUE"""),"For sale")</f>
        <v>For sale</v>
      </c>
      <c r="B3855" s="2" t="str">
        <f>IFERROR(__xludf.DUMMYFUNCTION("""COMPUTED_VALUE"""),"Vecrīga")</f>
        <v>Vecrīga</v>
      </c>
      <c r="C3855" s="2" t="str">
        <f>IFERROR(__xludf.DUMMYFUNCTION("""COMPUTED_VALUE"""),"Kungu 25")</f>
        <v>Kungu 25</v>
      </c>
      <c r="D3855" s="2">
        <f>IFERROR(__xludf.DUMMYFUNCTION("""COMPUTED_VALUE"""),1.0)</f>
        <v>1</v>
      </c>
      <c r="E3855" s="2">
        <f>IFERROR(__xludf.DUMMYFUNCTION("""COMPUTED_VALUE"""),26.0)</f>
        <v>26</v>
      </c>
      <c r="F3855" s="2">
        <f>IFERROR(__xludf.DUMMYFUNCTION("""COMPUTED_VALUE"""),2.0)</f>
        <v>2</v>
      </c>
      <c r="G3855" s="2">
        <f>IFERROR(__xludf.DUMMYFUNCTION("""COMPUTED_VALUE"""),6.0)</f>
        <v>6</v>
      </c>
      <c r="H3855" s="2" t="str">
        <f>IFERROR(__xludf.DUMMYFUNCTION("""COMPUTED_VALUE"""),"Specpr.")</f>
        <v>Specpr.</v>
      </c>
      <c r="I3855" s="2" t="str">
        <f>IFERROR(__xludf.DUMMYFUNCTION("""COMPUTED_VALUE"""),"Panel")</f>
        <v>Panel</v>
      </c>
      <c r="J3855" s="2" t="str">
        <f>IFERROR(__xludf.DUMMYFUNCTION("""COMPUTED_VALUE"""),"All amenities")</f>
        <v>All amenities</v>
      </c>
      <c r="K3855" s="2">
        <f>IFERROR(__xludf.DUMMYFUNCTION("""COMPUTED_VALUE"""),59990.0)</f>
        <v>59990</v>
      </c>
      <c r="L3855" s="2">
        <f>IFERROR(__xludf.DUMMYFUNCTION("""COMPUTED_VALUE"""),56.9453381999999)</f>
        <v>56.9453382</v>
      </c>
      <c r="M3855" s="2">
        <f>IFERROR(__xludf.DUMMYFUNCTION("""COMPUTED_VALUE"""),24.1094639533088)</f>
        <v>24.10946395</v>
      </c>
    </row>
    <row r="3856">
      <c r="A3856" s="2" t="str">
        <f>IFERROR(__xludf.DUMMYFUNCTION("""COMPUTED_VALUE"""),"For sale")</f>
        <v>For sale</v>
      </c>
      <c r="B3856" s="2" t="str">
        <f>IFERROR(__xludf.DUMMYFUNCTION("""COMPUTED_VALUE"""),"Vecrīga")</f>
        <v>Vecrīga</v>
      </c>
      <c r="C3856" s="2" t="str">
        <f>IFERROR(__xludf.DUMMYFUNCTION("""COMPUTED_VALUE"""),"Kungu 25")</f>
        <v>Kungu 25</v>
      </c>
      <c r="D3856" s="2">
        <f>IFERROR(__xludf.DUMMYFUNCTION("""COMPUTED_VALUE"""),1.0)</f>
        <v>1</v>
      </c>
      <c r="E3856" s="2">
        <f>IFERROR(__xludf.DUMMYFUNCTION("""COMPUTED_VALUE"""),29.0)</f>
        <v>29</v>
      </c>
      <c r="F3856" s="2">
        <f>IFERROR(__xludf.DUMMYFUNCTION("""COMPUTED_VALUE"""),2.0)</f>
        <v>2</v>
      </c>
      <c r="G3856" s="2">
        <f>IFERROR(__xludf.DUMMYFUNCTION("""COMPUTED_VALUE"""),6.0)</f>
        <v>6</v>
      </c>
      <c r="H3856" s="2" t="str">
        <f>IFERROR(__xludf.DUMMYFUNCTION("""COMPUTED_VALUE"""),"Specpr.")</f>
        <v>Specpr.</v>
      </c>
      <c r="I3856" s="2" t="str">
        <f>IFERROR(__xludf.DUMMYFUNCTION("""COMPUTED_VALUE"""),"Panel")</f>
        <v>Panel</v>
      </c>
      <c r="J3856" s="2" t="str">
        <f>IFERROR(__xludf.DUMMYFUNCTION("""COMPUTED_VALUE"""),"All amenities")</f>
        <v>All amenities</v>
      </c>
      <c r="K3856" s="2">
        <f>IFERROR(__xludf.DUMMYFUNCTION("""COMPUTED_VALUE"""),62990.0)</f>
        <v>62990</v>
      </c>
      <c r="L3856" s="2">
        <f>IFERROR(__xludf.DUMMYFUNCTION("""COMPUTED_VALUE"""),56.9453381999999)</f>
        <v>56.9453382</v>
      </c>
      <c r="M3856" s="2">
        <f>IFERROR(__xludf.DUMMYFUNCTION("""COMPUTED_VALUE"""),24.1094639533088)</f>
        <v>24.10946395</v>
      </c>
    </row>
    <row r="3857">
      <c r="A3857" s="2" t="str">
        <f>IFERROR(__xludf.DUMMYFUNCTION("""COMPUTED_VALUE"""),"For sale")</f>
        <v>For sale</v>
      </c>
      <c r="B3857" s="2" t="str">
        <f>IFERROR(__xludf.DUMMYFUNCTION("""COMPUTED_VALUE"""),"Vecrīga")</f>
        <v>Vecrīga</v>
      </c>
      <c r="C3857" s="2" t="str">
        <f>IFERROR(__xludf.DUMMYFUNCTION("""COMPUTED_VALUE"""),"Kungu 25")</f>
        <v>Kungu 25</v>
      </c>
      <c r="D3857" s="2">
        <f>IFERROR(__xludf.DUMMYFUNCTION("""COMPUTED_VALUE"""),2.0)</f>
        <v>2</v>
      </c>
      <c r="E3857" s="2">
        <f>IFERROR(__xludf.DUMMYFUNCTION("""COMPUTED_VALUE"""),31.0)</f>
        <v>31</v>
      </c>
      <c r="F3857" s="2">
        <f>IFERROR(__xludf.DUMMYFUNCTION("""COMPUTED_VALUE"""),3.0)</f>
        <v>3</v>
      </c>
      <c r="G3857" s="2">
        <f>IFERROR(__xludf.DUMMYFUNCTION("""COMPUTED_VALUE"""),6.0)</f>
        <v>6</v>
      </c>
      <c r="H3857" s="2" t="str">
        <f>IFERROR(__xludf.DUMMYFUNCTION("""COMPUTED_VALUE"""),"Specpr.")</f>
        <v>Specpr.</v>
      </c>
      <c r="I3857" s="2" t="str">
        <f>IFERROR(__xludf.DUMMYFUNCTION("""COMPUTED_VALUE"""),"Panel")</f>
        <v>Panel</v>
      </c>
      <c r="J3857" s="2" t="str">
        <f>IFERROR(__xludf.DUMMYFUNCTION("""COMPUTED_VALUE"""),"All amenities")</f>
        <v>All amenities</v>
      </c>
      <c r="K3857" s="2">
        <f>IFERROR(__xludf.DUMMYFUNCTION("""COMPUTED_VALUE"""),84990.0)</f>
        <v>84990</v>
      </c>
      <c r="L3857" s="2">
        <f>IFERROR(__xludf.DUMMYFUNCTION("""COMPUTED_VALUE"""),56.9453381999999)</f>
        <v>56.9453382</v>
      </c>
      <c r="M3857" s="2">
        <f>IFERROR(__xludf.DUMMYFUNCTION("""COMPUTED_VALUE"""),24.1094639533088)</f>
        <v>24.10946395</v>
      </c>
    </row>
    <row r="3858">
      <c r="A3858" s="2" t="str">
        <f>IFERROR(__xludf.DUMMYFUNCTION("""COMPUTED_VALUE"""),"For sale")</f>
        <v>For sale</v>
      </c>
      <c r="B3858" s="2" t="str">
        <f>IFERROR(__xludf.DUMMYFUNCTION("""COMPUTED_VALUE"""),"Teika")</f>
        <v>Teika</v>
      </c>
      <c r="C3858" s="2" t="str">
        <f>IFERROR(__xludf.DUMMYFUNCTION("""COMPUTED_VALUE"""),"Aizkraukles 32")</f>
        <v>Aizkraukles 32</v>
      </c>
      <c r="D3858" s="2">
        <f>IFERROR(__xludf.DUMMYFUNCTION("""COMPUTED_VALUE"""),2.0)</f>
        <v>2</v>
      </c>
      <c r="E3858" s="2">
        <f>IFERROR(__xludf.DUMMYFUNCTION("""COMPUTED_VALUE"""),43.0)</f>
        <v>43</v>
      </c>
      <c r="F3858" s="2">
        <f>IFERROR(__xludf.DUMMYFUNCTION("""COMPUTED_VALUE"""),3.0)</f>
        <v>3</v>
      </c>
      <c r="G3858" s="2">
        <f>IFERROR(__xludf.DUMMYFUNCTION("""COMPUTED_VALUE"""),3.0)</f>
        <v>3</v>
      </c>
      <c r="H3858" s="2" t="str">
        <f>IFERROR(__xludf.DUMMYFUNCTION("""COMPUTED_VALUE"""),"Hrušč.")</f>
        <v>Hrušč.</v>
      </c>
      <c r="I3858" s="2" t="str">
        <f>IFERROR(__xludf.DUMMYFUNCTION("""COMPUTED_VALUE"""),"Brick")</f>
        <v>Brick</v>
      </c>
      <c r="J3858" s="2" t="str">
        <f>IFERROR(__xludf.DUMMYFUNCTION("""COMPUTED_VALUE"""),"All amenities")</f>
        <v>All amenities</v>
      </c>
      <c r="K3858" s="2">
        <f>IFERROR(__xludf.DUMMYFUNCTION("""COMPUTED_VALUE"""),56000.0)</f>
        <v>56000</v>
      </c>
      <c r="L3858" s="2">
        <f>IFERROR(__xludf.DUMMYFUNCTION("""COMPUTED_VALUE"""),56.97695975)</f>
        <v>56.97695975</v>
      </c>
      <c r="M3858" s="2">
        <f>IFERROR(__xludf.DUMMYFUNCTION("""COMPUTED_VALUE"""),24.190911)</f>
        <v>24.190911</v>
      </c>
    </row>
    <row r="3859">
      <c r="A3859" s="2" t="str">
        <f>IFERROR(__xludf.DUMMYFUNCTION("""COMPUTED_VALUE"""),"For sale")</f>
        <v>For sale</v>
      </c>
      <c r="B3859" s="2" t="str">
        <f>IFERROR(__xludf.DUMMYFUNCTION("""COMPUTED_VALUE"""),"centrs")</f>
        <v>centrs</v>
      </c>
      <c r="C3859" s="2" t="str">
        <f>IFERROR(__xludf.DUMMYFUNCTION("""COMPUTED_VALUE"""),"Dzirnavu 3a")</f>
        <v>Dzirnavu 3a</v>
      </c>
      <c r="D3859" s="2">
        <f>IFERROR(__xludf.DUMMYFUNCTION("""COMPUTED_VALUE"""),3.0)</f>
        <v>3</v>
      </c>
      <c r="E3859" s="2">
        <f>IFERROR(__xludf.DUMMYFUNCTION("""COMPUTED_VALUE"""),92.0)</f>
        <v>92</v>
      </c>
      <c r="F3859" s="2">
        <f>IFERROR(__xludf.DUMMYFUNCTION("""COMPUTED_VALUE"""),1.0)</f>
        <v>1</v>
      </c>
      <c r="G3859" s="2">
        <f>IFERROR(__xludf.DUMMYFUNCTION("""COMPUTED_VALUE"""),5.0)</f>
        <v>5</v>
      </c>
      <c r="H3859" s="2" t="str">
        <f>IFERROR(__xludf.DUMMYFUNCTION("""COMPUTED_VALUE"""),"P. kara")</f>
        <v>P. kara</v>
      </c>
      <c r="I3859" s="2" t="str">
        <f>IFERROR(__xludf.DUMMYFUNCTION("""COMPUTED_VALUE"""),"Masonry")</f>
        <v>Masonry</v>
      </c>
      <c r="J3859" s="2" t="str">
        <f>IFERROR(__xludf.DUMMYFUNCTION("""COMPUTED_VALUE"""),"All amenities")</f>
        <v>All amenities</v>
      </c>
      <c r="K3859" s="2">
        <f>IFERROR(__xludf.DUMMYFUNCTION("""COMPUTED_VALUE"""),105000.0)</f>
        <v>105000</v>
      </c>
      <c r="L3859" s="2">
        <f>IFERROR(__xludf.DUMMYFUNCTION("""COMPUTED_VALUE"""),56.96169835)</f>
        <v>56.96169835</v>
      </c>
      <c r="M3859" s="2">
        <f>IFERROR(__xludf.DUMMYFUNCTION("""COMPUTED_VALUE"""),24.107230245615)</f>
        <v>24.10723025</v>
      </c>
    </row>
    <row r="3860">
      <c r="A3860" s="2" t="str">
        <f>IFERROR(__xludf.DUMMYFUNCTION("""COMPUTED_VALUE"""),"For sale")</f>
        <v>For sale</v>
      </c>
      <c r="B3860" s="2" t="str">
        <f>IFERROR(__xludf.DUMMYFUNCTION("""COMPUTED_VALUE"""),"centrs")</f>
        <v>centrs</v>
      </c>
      <c r="C3860" s="2" t="str">
        <f>IFERROR(__xludf.DUMMYFUNCTION("""COMPUTED_VALUE"""),"Sapieru 3b")</f>
        <v>Sapieru 3b</v>
      </c>
      <c r="D3860" s="2">
        <f>IFERROR(__xludf.DUMMYFUNCTION("""COMPUTED_VALUE"""),1.0)</f>
        <v>1</v>
      </c>
      <c r="E3860" s="2">
        <f>IFERROR(__xludf.DUMMYFUNCTION("""COMPUTED_VALUE"""),23.0)</f>
        <v>23</v>
      </c>
      <c r="F3860" s="2">
        <f>IFERROR(__xludf.DUMMYFUNCTION("""COMPUTED_VALUE"""),4.0)</f>
        <v>4</v>
      </c>
      <c r="G3860" s="2">
        <f>IFERROR(__xludf.DUMMYFUNCTION("""COMPUTED_VALUE"""),5.0)</f>
        <v>5</v>
      </c>
      <c r="H3860" s="2" t="str">
        <f>IFERROR(__xludf.DUMMYFUNCTION("""COMPUTED_VALUE"""),"Jaun.")</f>
        <v>Jaun.</v>
      </c>
      <c r="I3860" s="2" t="str">
        <f>IFERROR(__xludf.DUMMYFUNCTION("""COMPUTED_VALUE"""),"Masonry")</f>
        <v>Masonry</v>
      </c>
      <c r="J3860" s="2" t="str">
        <f>IFERROR(__xludf.DUMMYFUNCTION("""COMPUTED_VALUE"""),"All amenities")</f>
        <v>All amenities</v>
      </c>
      <c r="K3860" s="2">
        <f>IFERROR(__xludf.DUMMYFUNCTION("""COMPUTED_VALUE"""),49500.0)</f>
        <v>49500</v>
      </c>
      <c r="L3860" s="2">
        <f>IFERROR(__xludf.DUMMYFUNCTION("""COMPUTED_VALUE"""),56.9630577)</f>
        <v>56.9630577</v>
      </c>
      <c r="M3860" s="2">
        <f>IFERROR(__xludf.DUMMYFUNCTION("""COMPUTED_VALUE"""),24.1531056)</f>
        <v>24.1531056</v>
      </c>
    </row>
    <row r="3861">
      <c r="A3861" s="2" t="str">
        <f>IFERROR(__xludf.DUMMYFUNCTION("""COMPUTED_VALUE"""),"For sale")</f>
        <v>For sale</v>
      </c>
      <c r="B3861" s="2" t="str">
        <f>IFERROR(__xludf.DUMMYFUNCTION("""COMPUTED_VALUE"""),"Purvciems")</f>
        <v>Purvciems</v>
      </c>
      <c r="C3861" s="2" t="str">
        <f>IFERROR(__xludf.DUMMYFUNCTION("""COMPUTED_VALUE"""),"Dzelzavas 39")</f>
        <v>Dzelzavas 39</v>
      </c>
      <c r="D3861" s="2">
        <f>IFERROR(__xludf.DUMMYFUNCTION("""COMPUTED_VALUE"""),3.0)</f>
        <v>3</v>
      </c>
      <c r="E3861" s="2">
        <f>IFERROR(__xludf.DUMMYFUNCTION("""COMPUTED_VALUE"""),65.0)</f>
        <v>65</v>
      </c>
      <c r="F3861" s="2">
        <f>IFERROR(__xludf.DUMMYFUNCTION("""COMPUTED_VALUE"""),3.0)</f>
        <v>3</v>
      </c>
      <c r="G3861" s="2">
        <f>IFERROR(__xludf.DUMMYFUNCTION("""COMPUTED_VALUE"""),9.0)</f>
        <v>9</v>
      </c>
      <c r="H3861" s="2">
        <f>IFERROR(__xludf.DUMMYFUNCTION("""COMPUTED_VALUE"""),602.0)</f>
        <v>602</v>
      </c>
      <c r="I3861" s="2" t="str">
        <f>IFERROR(__xludf.DUMMYFUNCTION("""COMPUTED_VALUE"""),"Panel")</f>
        <v>Panel</v>
      </c>
      <c r="J3861" s="2" t="str">
        <f>IFERROR(__xludf.DUMMYFUNCTION("""COMPUTED_VALUE"""),"All amenities")</f>
        <v>All amenities</v>
      </c>
      <c r="K3861" s="2">
        <f>IFERROR(__xludf.DUMMYFUNCTION("""COMPUTED_VALUE"""),69900.0)</f>
        <v>69900</v>
      </c>
      <c r="L3861" s="2">
        <f>IFERROR(__xludf.DUMMYFUNCTION("""COMPUTED_VALUE"""),56.9591346)</f>
        <v>56.9591346</v>
      </c>
      <c r="M3861" s="2">
        <f>IFERROR(__xludf.DUMMYFUNCTION("""COMPUTED_VALUE"""),24.183495091011)</f>
        <v>24.18349509</v>
      </c>
    </row>
    <row r="3862">
      <c r="A3862" s="2" t="str">
        <f>IFERROR(__xludf.DUMMYFUNCTION("""COMPUTED_VALUE"""),"For rent")</f>
        <v>For rent</v>
      </c>
      <c r="B3862" s="2" t="str">
        <f>IFERROR(__xludf.DUMMYFUNCTION("""COMPUTED_VALUE"""),"Mežaparks")</f>
        <v>Mežaparks</v>
      </c>
      <c r="C3862" s="2" t="str">
        <f>IFERROR(__xludf.DUMMYFUNCTION("""COMPUTED_VALUE"""),"Viestura pr. 53")</f>
        <v>Viestura pr. 53</v>
      </c>
      <c r="D3862" s="2">
        <f>IFERROR(__xludf.DUMMYFUNCTION("""COMPUTED_VALUE"""),1.0)</f>
        <v>1</v>
      </c>
      <c r="E3862" s="2">
        <f>IFERROR(__xludf.DUMMYFUNCTION("""COMPUTED_VALUE"""),35.0)</f>
        <v>35</v>
      </c>
      <c r="F3862" s="2">
        <f>IFERROR(__xludf.DUMMYFUNCTION("""COMPUTED_VALUE"""),3.0)</f>
        <v>3</v>
      </c>
      <c r="G3862" s="2">
        <f>IFERROR(__xludf.DUMMYFUNCTION("""COMPUTED_VALUE"""),9.0)</f>
        <v>9</v>
      </c>
      <c r="H3862" s="2" t="str">
        <f>IFERROR(__xludf.DUMMYFUNCTION("""COMPUTED_VALUE"""),"Specpr.")</f>
        <v>Specpr.</v>
      </c>
      <c r="I3862" s="2" t="str">
        <f>IFERROR(__xludf.DUMMYFUNCTION("""COMPUTED_VALUE"""),"Brick-Panel")</f>
        <v>Brick-Panel</v>
      </c>
      <c r="J3862" s="2" t="str">
        <f>IFERROR(__xludf.DUMMYFUNCTION("""COMPUTED_VALUE"""),"All amenities")</f>
        <v>All amenities</v>
      </c>
      <c r="K3862" s="2">
        <f>IFERROR(__xludf.DUMMYFUNCTION("""COMPUTED_VALUE"""),210.0)</f>
        <v>210</v>
      </c>
      <c r="L3862" s="2">
        <f>IFERROR(__xludf.DUMMYFUNCTION("""COMPUTED_VALUE"""),56.9984366)</f>
        <v>56.9984366</v>
      </c>
      <c r="M3862" s="2">
        <f>IFERROR(__xludf.DUMMYFUNCTION("""COMPUTED_VALUE"""),24.1328951)</f>
        <v>24.1328951</v>
      </c>
    </row>
    <row r="3863">
      <c r="A3863" s="2" t="str">
        <f>IFERROR(__xludf.DUMMYFUNCTION("""COMPUTED_VALUE"""),"For sale")</f>
        <v>For sale</v>
      </c>
      <c r="B3863" s="2" t="str">
        <f>IFERROR(__xludf.DUMMYFUNCTION("""COMPUTED_VALUE"""),"Mežaparks")</f>
        <v>Mežaparks</v>
      </c>
      <c r="C3863" s="2" t="str">
        <f>IFERROR(__xludf.DUMMYFUNCTION("""COMPUTED_VALUE"""),"Viestura pr. 35")</f>
        <v>Viestura pr. 35</v>
      </c>
      <c r="D3863" s="2">
        <f>IFERROR(__xludf.DUMMYFUNCTION("""COMPUTED_VALUE"""),2.0)</f>
        <v>2</v>
      </c>
      <c r="E3863" s="2">
        <f>IFERROR(__xludf.DUMMYFUNCTION("""COMPUTED_VALUE"""),46.0)</f>
        <v>46</v>
      </c>
      <c r="F3863" s="2">
        <f>IFERROR(__xludf.DUMMYFUNCTION("""COMPUTED_VALUE"""),1.0)</f>
        <v>1</v>
      </c>
      <c r="G3863" s="2">
        <f>IFERROR(__xludf.DUMMYFUNCTION("""COMPUTED_VALUE"""),9.0)</f>
        <v>9</v>
      </c>
      <c r="H3863" s="2" t="str">
        <f>IFERROR(__xludf.DUMMYFUNCTION("""COMPUTED_VALUE"""),"Specpr.")</f>
        <v>Specpr.</v>
      </c>
      <c r="I3863" s="2" t="str">
        <f>IFERROR(__xludf.DUMMYFUNCTION("""COMPUTED_VALUE"""),"Brick-Panel")</f>
        <v>Brick-Panel</v>
      </c>
      <c r="J3863" s="2" t="str">
        <f>IFERROR(__xludf.DUMMYFUNCTION("""COMPUTED_VALUE"""),"All amenities")</f>
        <v>All amenities</v>
      </c>
      <c r="K3863" s="2">
        <f>IFERROR(__xludf.DUMMYFUNCTION("""COMPUTED_VALUE"""),50500.0)</f>
        <v>50500</v>
      </c>
      <c r="L3863" s="2" t="str">
        <f>IFERROR(__xludf.DUMMYFUNCTION("""COMPUTED_VALUE"""),"NaN")</f>
        <v>NaN</v>
      </c>
      <c r="M3863" s="2" t="str">
        <f>IFERROR(__xludf.DUMMYFUNCTION("""COMPUTED_VALUE"""),"NaN")</f>
        <v>NaN</v>
      </c>
    </row>
    <row r="3864">
      <c r="A3864" s="2" t="str">
        <f>IFERROR(__xludf.DUMMYFUNCTION("""COMPUTED_VALUE"""),"For rent")</f>
        <v>For rent</v>
      </c>
      <c r="B3864" s="2" t="str">
        <f>IFERROR(__xludf.DUMMYFUNCTION("""COMPUTED_VALUE"""),"Ziepniekkalns")</f>
        <v>Ziepniekkalns</v>
      </c>
      <c r="C3864" s="2" t="str">
        <f>IFERROR(__xludf.DUMMYFUNCTION("""COMPUTED_VALUE"""),"Dignājas 3a")</f>
        <v>Dignājas 3a</v>
      </c>
      <c r="D3864" s="2">
        <f>IFERROR(__xludf.DUMMYFUNCTION("""COMPUTED_VALUE"""),2.0)</f>
        <v>2</v>
      </c>
      <c r="E3864" s="2">
        <f>IFERROR(__xludf.DUMMYFUNCTION("""COMPUTED_VALUE"""),62.0)</f>
        <v>62</v>
      </c>
      <c r="F3864" s="2">
        <f>IFERROR(__xludf.DUMMYFUNCTION("""COMPUTED_VALUE"""),5.0)</f>
        <v>5</v>
      </c>
      <c r="G3864" s="2">
        <f>IFERROR(__xludf.DUMMYFUNCTION("""COMPUTED_VALUE"""),6.0)</f>
        <v>6</v>
      </c>
      <c r="H3864" s="2" t="str">
        <f>IFERROR(__xludf.DUMMYFUNCTION("""COMPUTED_VALUE"""),"Jaun.")</f>
        <v>Jaun.</v>
      </c>
      <c r="I3864" s="2" t="str">
        <f>IFERROR(__xludf.DUMMYFUNCTION("""COMPUTED_VALUE"""),"Panel")</f>
        <v>Panel</v>
      </c>
      <c r="J3864" s="2" t="str">
        <f>IFERROR(__xludf.DUMMYFUNCTION("""COMPUTED_VALUE"""),"All amenities")</f>
        <v>All amenities</v>
      </c>
      <c r="K3864" s="2">
        <f>IFERROR(__xludf.DUMMYFUNCTION("""COMPUTED_VALUE"""),380.0)</f>
        <v>380</v>
      </c>
      <c r="L3864" s="2">
        <f>IFERROR(__xludf.DUMMYFUNCTION("""COMPUTED_VALUE"""),56.9128148)</f>
        <v>56.9128148</v>
      </c>
      <c r="M3864" s="2">
        <f>IFERROR(__xludf.DUMMYFUNCTION("""COMPUTED_VALUE"""),24.1202903459285)</f>
        <v>24.12029035</v>
      </c>
    </row>
    <row r="3865">
      <c r="A3865" s="2" t="str">
        <f>IFERROR(__xludf.DUMMYFUNCTION("""COMPUTED_VALUE"""),"For rent")</f>
        <v>For rent</v>
      </c>
      <c r="B3865" s="2" t="str">
        <f>IFERROR(__xludf.DUMMYFUNCTION("""COMPUTED_VALUE"""),"Sarkandaugava")</f>
        <v>Sarkandaugava</v>
      </c>
      <c r="C3865" s="2" t="str">
        <f>IFERROR(__xludf.DUMMYFUNCTION("""COMPUTED_VALUE"""),"Hāpsalas 9")</f>
        <v>Hāpsalas 9</v>
      </c>
      <c r="D3865" s="2">
        <f>IFERROR(__xludf.DUMMYFUNCTION("""COMPUTED_VALUE"""),1.0)</f>
        <v>1</v>
      </c>
      <c r="E3865" s="2">
        <f>IFERROR(__xludf.DUMMYFUNCTION("""COMPUTED_VALUE"""),30.0)</f>
        <v>30</v>
      </c>
      <c r="F3865" s="2">
        <f>IFERROR(__xludf.DUMMYFUNCTION("""COMPUTED_VALUE"""),2.0)</f>
        <v>2</v>
      </c>
      <c r="G3865" s="2">
        <f>IFERROR(__xludf.DUMMYFUNCTION("""COMPUTED_VALUE"""),2.0)</f>
        <v>2</v>
      </c>
      <c r="H3865" s="2" t="str">
        <f>IFERROR(__xludf.DUMMYFUNCTION("""COMPUTED_VALUE"""),"P. kara")</f>
        <v>P. kara</v>
      </c>
      <c r="I3865" s="2" t="str">
        <f>IFERROR(__xludf.DUMMYFUNCTION("""COMPUTED_VALUE"""),"Brick")</f>
        <v>Brick</v>
      </c>
      <c r="J3865" s="2" t="str">
        <f>IFERROR(__xludf.DUMMYFUNCTION("""COMPUTED_VALUE"""),"Partial amenities")</f>
        <v>Partial amenities</v>
      </c>
      <c r="K3865" s="2">
        <f>IFERROR(__xludf.DUMMYFUNCTION("""COMPUTED_VALUE"""),130.0)</f>
        <v>130</v>
      </c>
      <c r="L3865" s="2">
        <f>IFERROR(__xludf.DUMMYFUNCTION("""COMPUTED_VALUE"""),57.0014823)</f>
        <v>57.0014823</v>
      </c>
      <c r="M3865" s="2">
        <f>IFERROR(__xludf.DUMMYFUNCTION("""COMPUTED_VALUE"""),24.1210115)</f>
        <v>24.1210115</v>
      </c>
    </row>
    <row r="3866">
      <c r="A3866" s="2" t="str">
        <f>IFERROR(__xludf.DUMMYFUNCTION("""COMPUTED_VALUE"""),"For rent")</f>
        <v>For rent</v>
      </c>
      <c r="B3866" s="2" t="str">
        <f>IFERROR(__xludf.DUMMYFUNCTION("""COMPUTED_VALUE"""),"Jugla")</f>
        <v>Jugla</v>
      </c>
      <c r="C3866" s="2" t="str">
        <f>IFERROR(__xludf.DUMMYFUNCTION("""COMPUTED_VALUE"""),"Vangažu 7")</f>
        <v>Vangažu 7</v>
      </c>
      <c r="D3866" s="2">
        <f>IFERROR(__xludf.DUMMYFUNCTION("""COMPUTED_VALUE"""),1.0)</f>
        <v>1</v>
      </c>
      <c r="E3866" s="2">
        <f>IFERROR(__xludf.DUMMYFUNCTION("""COMPUTED_VALUE"""),35.0)</f>
        <v>35</v>
      </c>
      <c r="F3866" s="2">
        <f>IFERROR(__xludf.DUMMYFUNCTION("""COMPUTED_VALUE"""),5.0)</f>
        <v>5</v>
      </c>
      <c r="G3866" s="2">
        <f>IFERROR(__xludf.DUMMYFUNCTION("""COMPUTED_VALUE"""),12.0)</f>
        <v>12</v>
      </c>
      <c r="H3866" s="2" t="str">
        <f>IFERROR(__xludf.DUMMYFUNCTION("""COMPUTED_VALUE"""),"Specpr.")</f>
        <v>Specpr.</v>
      </c>
      <c r="I3866" s="2" t="str">
        <f>IFERROR(__xludf.DUMMYFUNCTION("""COMPUTED_VALUE"""),"Brick")</f>
        <v>Brick</v>
      </c>
      <c r="J3866" s="2" t="str">
        <f>IFERROR(__xludf.DUMMYFUNCTION("""COMPUTED_VALUE"""),"All amenities")</f>
        <v>All amenities</v>
      </c>
      <c r="K3866" s="2">
        <f>IFERROR(__xludf.DUMMYFUNCTION("""COMPUTED_VALUE"""),170.0)</f>
        <v>170</v>
      </c>
      <c r="L3866" s="2">
        <f>IFERROR(__xludf.DUMMYFUNCTION("""COMPUTED_VALUE"""),56.98700925)</f>
        <v>56.98700925</v>
      </c>
      <c r="M3866" s="2">
        <f>IFERROR(__xludf.DUMMYFUNCTION("""COMPUTED_VALUE"""),24.2274638067524)</f>
        <v>24.22746381</v>
      </c>
    </row>
    <row r="3867">
      <c r="A3867" s="2" t="str">
        <f>IFERROR(__xludf.DUMMYFUNCTION("""COMPUTED_VALUE"""),"For rent")</f>
        <v>For rent</v>
      </c>
      <c r="B3867" s="2" t="str">
        <f>IFERROR(__xludf.DUMMYFUNCTION("""COMPUTED_VALUE"""),"Ziepniekkalns")</f>
        <v>Ziepniekkalns</v>
      </c>
      <c r="C3867" s="2" t="str">
        <f>IFERROR(__xludf.DUMMYFUNCTION("""COMPUTED_VALUE"""),"Ozolciema 18")</f>
        <v>Ozolciema 18</v>
      </c>
      <c r="D3867" s="2">
        <f>IFERROR(__xludf.DUMMYFUNCTION("""COMPUTED_VALUE"""),2.0)</f>
        <v>2</v>
      </c>
      <c r="E3867" s="2">
        <f>IFERROR(__xludf.DUMMYFUNCTION("""COMPUTED_VALUE"""),58.0)</f>
        <v>58</v>
      </c>
      <c r="F3867" s="2">
        <f>IFERROR(__xludf.DUMMYFUNCTION("""COMPUTED_VALUE"""),5.0)</f>
        <v>5</v>
      </c>
      <c r="G3867" s="2">
        <f>IFERROR(__xludf.DUMMYFUNCTION("""COMPUTED_VALUE"""),9.0)</f>
        <v>9</v>
      </c>
      <c r="H3867" s="2">
        <f>IFERROR(__xludf.DUMMYFUNCTION("""COMPUTED_VALUE"""),119.0)</f>
        <v>119</v>
      </c>
      <c r="I3867" s="2" t="str">
        <f>IFERROR(__xludf.DUMMYFUNCTION("""COMPUTED_VALUE"""),"Brick-Panel")</f>
        <v>Brick-Panel</v>
      </c>
      <c r="J3867" s="2" t="str">
        <f>IFERROR(__xludf.DUMMYFUNCTION("""COMPUTED_VALUE"""),"All amenities")</f>
        <v>All amenities</v>
      </c>
      <c r="K3867" s="2">
        <f>IFERROR(__xludf.DUMMYFUNCTION("""COMPUTED_VALUE"""),340.0)</f>
        <v>340</v>
      </c>
      <c r="L3867" s="2">
        <f>IFERROR(__xludf.DUMMYFUNCTION("""COMPUTED_VALUE"""),56.89859735)</f>
        <v>56.89859735</v>
      </c>
      <c r="M3867" s="2">
        <f>IFERROR(__xludf.DUMMYFUNCTION("""COMPUTED_VALUE"""),24.0876707999998)</f>
        <v>24.0876708</v>
      </c>
    </row>
    <row r="3868">
      <c r="A3868" s="2" t="str">
        <f>IFERROR(__xludf.DUMMYFUNCTION("""COMPUTED_VALUE"""),"For rent")</f>
        <v>For rent</v>
      </c>
      <c r="B3868" s="2" t="str">
        <f>IFERROR(__xludf.DUMMYFUNCTION("""COMPUTED_VALUE"""),"Bolderāja")</f>
        <v>Bolderāja</v>
      </c>
      <c r="C3868" s="2" t="str">
        <f>IFERROR(__xludf.DUMMYFUNCTION("""COMPUTED_VALUE"""),"Silikātu 7a")</f>
        <v>Silikātu 7a</v>
      </c>
      <c r="D3868" s="2">
        <f>IFERROR(__xludf.DUMMYFUNCTION("""COMPUTED_VALUE"""),1.0)</f>
        <v>1</v>
      </c>
      <c r="E3868" s="2">
        <f>IFERROR(__xludf.DUMMYFUNCTION("""COMPUTED_VALUE"""),25.0)</f>
        <v>25</v>
      </c>
      <c r="F3868" s="2">
        <f>IFERROR(__xludf.DUMMYFUNCTION("""COMPUTED_VALUE"""),2.0)</f>
        <v>2</v>
      </c>
      <c r="G3868" s="2">
        <f>IFERROR(__xludf.DUMMYFUNCTION("""COMPUTED_VALUE"""),2.0)</f>
        <v>2</v>
      </c>
      <c r="H3868" s="2" t="str">
        <f>IFERROR(__xludf.DUMMYFUNCTION("""COMPUTED_VALUE"""),"M. ģim.")</f>
        <v>M. ģim.</v>
      </c>
      <c r="I3868" s="2" t="str">
        <f>IFERROR(__xludf.DUMMYFUNCTION("""COMPUTED_VALUE"""),"Brick-Panel")</f>
        <v>Brick-Panel</v>
      </c>
      <c r="J3868" s="2" t="str">
        <f>IFERROR(__xludf.DUMMYFUNCTION("""COMPUTED_VALUE"""),"Partial amenities")</f>
        <v>Partial amenities</v>
      </c>
      <c r="K3868" s="2">
        <f>IFERROR(__xludf.DUMMYFUNCTION("""COMPUTED_VALUE"""),100.0)</f>
        <v>100</v>
      </c>
      <c r="L3868" s="2">
        <f>IFERROR(__xludf.DUMMYFUNCTION("""COMPUTED_VALUE"""),57.0272671)</f>
        <v>57.0272671</v>
      </c>
      <c r="M3868" s="2">
        <f>IFERROR(__xludf.DUMMYFUNCTION("""COMPUTED_VALUE"""),24.0389108)</f>
        <v>24.0389108</v>
      </c>
    </row>
    <row r="3869">
      <c r="A3869" s="2" t="str">
        <f>IFERROR(__xludf.DUMMYFUNCTION("""COMPUTED_VALUE"""),"For rent")</f>
        <v>For rent</v>
      </c>
      <c r="B3869" s="2" t="str">
        <f>IFERROR(__xludf.DUMMYFUNCTION("""COMPUTED_VALUE"""),"centrs")</f>
        <v>centrs</v>
      </c>
      <c r="C3869" s="2" t="str">
        <f>IFERROR(__xludf.DUMMYFUNCTION("""COMPUTED_VALUE"""),"Valdemāra 89")</f>
        <v>Valdemāra 89</v>
      </c>
      <c r="D3869" s="2">
        <f>IFERROR(__xludf.DUMMYFUNCTION("""COMPUTED_VALUE"""),1.0)</f>
        <v>1</v>
      </c>
      <c r="E3869" s="2">
        <f>IFERROR(__xludf.DUMMYFUNCTION("""COMPUTED_VALUE"""),15.0)</f>
        <v>15</v>
      </c>
      <c r="F3869" s="2">
        <f>IFERROR(__xludf.DUMMYFUNCTION("""COMPUTED_VALUE"""),4.0)</f>
        <v>4</v>
      </c>
      <c r="G3869" s="2">
        <f>IFERROR(__xludf.DUMMYFUNCTION("""COMPUTED_VALUE"""),5.0)</f>
        <v>5</v>
      </c>
      <c r="H3869" s="2" t="str">
        <f>IFERROR(__xludf.DUMMYFUNCTION("""COMPUTED_VALUE"""),"P. kara")</f>
        <v>P. kara</v>
      </c>
      <c r="I3869" s="2" t="str">
        <f>IFERROR(__xludf.DUMMYFUNCTION("""COMPUTED_VALUE"""),"Brick")</f>
        <v>Brick</v>
      </c>
      <c r="J3869" s="2" t="str">
        <f>IFERROR(__xludf.DUMMYFUNCTION("""COMPUTED_VALUE"""),"All amenities")</f>
        <v>All amenities</v>
      </c>
      <c r="K3869" s="2">
        <f>IFERROR(__xludf.DUMMYFUNCTION("""COMPUTED_VALUE"""),140.0)</f>
        <v>140</v>
      </c>
      <c r="L3869" s="2">
        <f>IFERROR(__xludf.DUMMYFUNCTION("""COMPUTED_VALUE"""),56.96383885)</f>
        <v>56.96383885</v>
      </c>
      <c r="M3869" s="2">
        <f>IFERROR(__xludf.DUMMYFUNCTION("""COMPUTED_VALUE"""),24.1258646679154)</f>
        <v>24.12586467</v>
      </c>
    </row>
    <row r="3870">
      <c r="A3870" s="2" t="str">
        <f>IFERROR(__xludf.DUMMYFUNCTION("""COMPUTED_VALUE"""),"For rent")</f>
        <v>For rent</v>
      </c>
      <c r="B3870" s="2" t="str">
        <f>IFERROR(__xludf.DUMMYFUNCTION("""COMPUTED_VALUE"""),"Purvciems")</f>
        <v>Purvciems</v>
      </c>
      <c r="C3870" s="2" t="str">
        <f>IFERROR(__xludf.DUMMYFUNCTION("""COMPUTED_VALUE"""),"Dudajeva g. 5")</f>
        <v>Dudajeva g. 5</v>
      </c>
      <c r="D3870" s="2">
        <f>IFERROR(__xludf.DUMMYFUNCTION("""COMPUTED_VALUE"""),1.0)</f>
        <v>1</v>
      </c>
      <c r="E3870" s="2">
        <f>IFERROR(__xludf.DUMMYFUNCTION("""COMPUTED_VALUE"""),28.0)</f>
        <v>28</v>
      </c>
      <c r="F3870" s="2">
        <f>IFERROR(__xludf.DUMMYFUNCTION("""COMPUTED_VALUE"""),4.0)</f>
        <v>4</v>
      </c>
      <c r="G3870" s="2">
        <f>IFERROR(__xludf.DUMMYFUNCTION("""COMPUTED_VALUE"""),5.0)</f>
        <v>5</v>
      </c>
      <c r="H3870" s="2" t="str">
        <f>IFERROR(__xludf.DUMMYFUNCTION("""COMPUTED_VALUE"""),"LT proj.")</f>
        <v>LT proj.</v>
      </c>
      <c r="I3870" s="2" t="str">
        <f>IFERROR(__xludf.DUMMYFUNCTION("""COMPUTED_VALUE"""),"Panel")</f>
        <v>Panel</v>
      </c>
      <c r="J3870" s="2" t="str">
        <f>IFERROR(__xludf.DUMMYFUNCTION("""COMPUTED_VALUE"""),"All amenities")</f>
        <v>All amenities</v>
      </c>
      <c r="K3870" s="2">
        <f>IFERROR(__xludf.DUMMYFUNCTION("""COMPUTED_VALUE"""),215.0)</f>
        <v>215</v>
      </c>
      <c r="L3870" s="2">
        <f>IFERROR(__xludf.DUMMYFUNCTION("""COMPUTED_VALUE"""),56.9570069)</f>
        <v>56.9570069</v>
      </c>
      <c r="M3870" s="2">
        <f>IFERROR(__xludf.DUMMYFUNCTION("""COMPUTED_VALUE"""),24.1987368)</f>
        <v>24.1987368</v>
      </c>
    </row>
    <row r="3871">
      <c r="A3871" s="2" t="str">
        <f>IFERROR(__xludf.DUMMYFUNCTION("""COMPUTED_VALUE"""),"For sale")</f>
        <v>For sale</v>
      </c>
      <c r="B3871" s="2" t="str">
        <f>IFERROR(__xludf.DUMMYFUNCTION("""COMPUTED_VALUE"""),"Purvciems")</f>
        <v>Purvciems</v>
      </c>
      <c r="C3871" s="2" t="str">
        <f>IFERROR(__xludf.DUMMYFUNCTION("""COMPUTED_VALUE"""),"Dzelzavas 75")</f>
        <v>Dzelzavas 75</v>
      </c>
      <c r="D3871" s="2">
        <f>IFERROR(__xludf.DUMMYFUNCTION("""COMPUTED_VALUE"""),3.0)</f>
        <v>3</v>
      </c>
      <c r="E3871" s="2">
        <f>IFERROR(__xludf.DUMMYFUNCTION("""COMPUTED_VALUE"""),59.0)</f>
        <v>59</v>
      </c>
      <c r="F3871" s="2">
        <f>IFERROR(__xludf.DUMMYFUNCTION("""COMPUTED_VALUE"""),2.0)</f>
        <v>2</v>
      </c>
      <c r="G3871" s="2">
        <f>IFERROR(__xludf.DUMMYFUNCTION("""COMPUTED_VALUE"""),9.0)</f>
        <v>9</v>
      </c>
      <c r="H3871" s="2">
        <f>IFERROR(__xludf.DUMMYFUNCTION("""COMPUTED_VALUE"""),467.0)</f>
        <v>467</v>
      </c>
      <c r="I3871" s="2" t="str">
        <f>IFERROR(__xludf.DUMMYFUNCTION("""COMPUTED_VALUE"""),"Panel")</f>
        <v>Panel</v>
      </c>
      <c r="J3871" s="2" t="str">
        <f>IFERROR(__xludf.DUMMYFUNCTION("""COMPUTED_VALUE"""),"All amenities")</f>
        <v>All amenities</v>
      </c>
      <c r="K3871" s="2">
        <f>IFERROR(__xludf.DUMMYFUNCTION("""COMPUTED_VALUE"""),56000.0)</f>
        <v>56000</v>
      </c>
      <c r="L3871" s="2">
        <f>IFERROR(__xludf.DUMMYFUNCTION("""COMPUTED_VALUE"""),56.95638065)</f>
        <v>56.95638065</v>
      </c>
      <c r="M3871" s="2">
        <f>IFERROR(__xludf.DUMMYFUNCTION("""COMPUTED_VALUE"""),24.1992510440594)</f>
        <v>24.19925104</v>
      </c>
    </row>
    <row r="3872">
      <c r="A3872" s="2" t="str">
        <f>IFERROR(__xludf.DUMMYFUNCTION("""COMPUTED_VALUE"""),"For sale")</f>
        <v>For sale</v>
      </c>
      <c r="B3872" s="2" t="str">
        <f>IFERROR(__xludf.DUMMYFUNCTION("""COMPUTED_VALUE"""),"Ziepniekkalns")</f>
        <v>Ziepniekkalns</v>
      </c>
      <c r="C3872" s="2" t="str">
        <f>IFERROR(__xludf.DUMMYFUNCTION("""COMPUTED_VALUE"""),"Līvciema 10")</f>
        <v>Līvciema 10</v>
      </c>
      <c r="D3872" s="2">
        <f>IFERROR(__xludf.DUMMYFUNCTION("""COMPUTED_VALUE"""),3.0)</f>
        <v>3</v>
      </c>
      <c r="E3872" s="2">
        <f>IFERROR(__xludf.DUMMYFUNCTION("""COMPUTED_VALUE"""),73.0)</f>
        <v>73</v>
      </c>
      <c r="F3872" s="2">
        <f>IFERROR(__xludf.DUMMYFUNCTION("""COMPUTED_VALUE"""),2.0)</f>
        <v>2</v>
      </c>
      <c r="G3872" s="2">
        <f>IFERROR(__xludf.DUMMYFUNCTION("""COMPUTED_VALUE"""),5.0)</f>
        <v>5</v>
      </c>
      <c r="H3872" s="2" t="str">
        <f>IFERROR(__xludf.DUMMYFUNCTION("""COMPUTED_VALUE"""),"Specpr.")</f>
        <v>Specpr.</v>
      </c>
      <c r="I3872" s="2" t="str">
        <f>IFERROR(__xludf.DUMMYFUNCTION("""COMPUTED_VALUE"""),"Panel")</f>
        <v>Panel</v>
      </c>
      <c r="J3872" s="2" t="str">
        <f>IFERROR(__xludf.DUMMYFUNCTION("""COMPUTED_VALUE"""),"All amenities")</f>
        <v>All amenities</v>
      </c>
      <c r="K3872" s="2">
        <f>IFERROR(__xludf.DUMMYFUNCTION("""COMPUTED_VALUE"""),80000.0)</f>
        <v>80000</v>
      </c>
      <c r="L3872" s="2">
        <f>IFERROR(__xludf.DUMMYFUNCTION("""COMPUTED_VALUE"""),56.9108369)</f>
        <v>56.9108369</v>
      </c>
      <c r="M3872" s="2">
        <f>IFERROR(__xludf.DUMMYFUNCTION("""COMPUTED_VALUE"""),24.098253430927)</f>
        <v>24.09825343</v>
      </c>
    </row>
    <row r="3873">
      <c r="A3873" s="2" t="str">
        <f>IFERROR(__xludf.DUMMYFUNCTION("""COMPUTED_VALUE"""),"For rent")</f>
        <v>For rent</v>
      </c>
      <c r="B3873" s="2" t="str">
        <f>IFERROR(__xludf.DUMMYFUNCTION("""COMPUTED_VALUE"""),"Iļģuciems")</f>
        <v>Iļģuciems</v>
      </c>
      <c r="C3873" s="2" t="str">
        <f>IFERROR(__xludf.DUMMYFUNCTION("""COMPUTED_VALUE"""),"Spilves 33")</f>
        <v>Spilves 33</v>
      </c>
      <c r="D3873" s="2">
        <f>IFERROR(__xludf.DUMMYFUNCTION("""COMPUTED_VALUE"""),2.0)</f>
        <v>2</v>
      </c>
      <c r="E3873" s="2">
        <f>IFERROR(__xludf.DUMMYFUNCTION("""COMPUTED_VALUE"""),50.0)</f>
        <v>50</v>
      </c>
      <c r="F3873" s="2">
        <f>IFERROR(__xludf.DUMMYFUNCTION("""COMPUTED_VALUE"""),4.0)</f>
        <v>4</v>
      </c>
      <c r="G3873" s="2">
        <f>IFERROR(__xludf.DUMMYFUNCTION("""COMPUTED_VALUE"""),5.0)</f>
        <v>5</v>
      </c>
      <c r="H3873" s="2" t="str">
        <f>IFERROR(__xludf.DUMMYFUNCTION("""COMPUTED_VALUE"""),"LT proj.")</f>
        <v>LT proj.</v>
      </c>
      <c r="I3873" s="2" t="str">
        <f>IFERROR(__xludf.DUMMYFUNCTION("""COMPUTED_VALUE"""),"Panel")</f>
        <v>Panel</v>
      </c>
      <c r="J3873" s="2" t="str">
        <f>IFERROR(__xludf.DUMMYFUNCTION("""COMPUTED_VALUE"""),"All amenities")</f>
        <v>All amenities</v>
      </c>
      <c r="K3873" s="2">
        <f>IFERROR(__xludf.DUMMYFUNCTION("""COMPUTED_VALUE"""),340.0)</f>
        <v>340</v>
      </c>
      <c r="L3873" s="2">
        <f>IFERROR(__xludf.DUMMYFUNCTION("""COMPUTED_VALUE"""),56.97189285)</f>
        <v>56.97189285</v>
      </c>
      <c r="M3873" s="2">
        <f>IFERROR(__xludf.DUMMYFUNCTION("""COMPUTED_VALUE"""),24.0554942419979)</f>
        <v>24.05549424</v>
      </c>
    </row>
    <row r="3874">
      <c r="A3874" s="2" t="str">
        <f>IFERROR(__xludf.DUMMYFUNCTION("""COMPUTED_VALUE"""),"For sale")</f>
        <v>For sale</v>
      </c>
      <c r="B3874" s="2" t="str">
        <f>IFERROR(__xludf.DUMMYFUNCTION("""COMPUTED_VALUE"""),"Pļavnieki")</f>
        <v>Pļavnieki</v>
      </c>
      <c r="C3874" s="2" t="str">
        <f>IFERROR(__xludf.DUMMYFUNCTION("""COMPUTED_VALUE"""),"Zemes 5")</f>
        <v>Zemes 5</v>
      </c>
      <c r="D3874" s="2">
        <f>IFERROR(__xludf.DUMMYFUNCTION("""COMPUTED_VALUE"""),1.0)</f>
        <v>1</v>
      </c>
      <c r="E3874" s="2">
        <f>IFERROR(__xludf.DUMMYFUNCTION("""COMPUTED_VALUE"""),42.0)</f>
        <v>42</v>
      </c>
      <c r="F3874" s="2">
        <f>IFERROR(__xludf.DUMMYFUNCTION("""COMPUTED_VALUE"""),7.0)</f>
        <v>7</v>
      </c>
      <c r="G3874" s="2">
        <f>IFERROR(__xludf.DUMMYFUNCTION("""COMPUTED_VALUE"""),9.0)</f>
        <v>9</v>
      </c>
      <c r="H3874" s="2" t="str">
        <f>IFERROR(__xludf.DUMMYFUNCTION("""COMPUTED_VALUE"""),"M. ģim.")</f>
        <v>M. ģim.</v>
      </c>
      <c r="I3874" s="2" t="str">
        <f>IFERROR(__xludf.DUMMYFUNCTION("""COMPUTED_VALUE"""),"Panel")</f>
        <v>Panel</v>
      </c>
      <c r="J3874" s="2" t="str">
        <f>IFERROR(__xludf.DUMMYFUNCTION("""COMPUTED_VALUE"""),"All amenities")</f>
        <v>All amenities</v>
      </c>
      <c r="K3874" s="2">
        <f>IFERROR(__xludf.DUMMYFUNCTION("""COMPUTED_VALUE"""),28500.0)</f>
        <v>28500</v>
      </c>
      <c r="L3874" s="2">
        <f>IFERROR(__xludf.DUMMYFUNCTION("""COMPUTED_VALUE"""),56.9424947)</f>
        <v>56.9424947</v>
      </c>
      <c r="M3874" s="2">
        <f>IFERROR(__xludf.DUMMYFUNCTION("""COMPUTED_VALUE"""),24.1983588564754)</f>
        <v>24.19835886</v>
      </c>
    </row>
    <row r="3875">
      <c r="A3875" s="2" t="str">
        <f>IFERROR(__xludf.DUMMYFUNCTION("""COMPUTED_VALUE"""),"For rent")</f>
        <v>For rent</v>
      </c>
      <c r="B3875" s="2" t="str">
        <f>IFERROR(__xludf.DUMMYFUNCTION("""COMPUTED_VALUE"""),"Ķengarags")</f>
        <v>Ķengarags</v>
      </c>
      <c r="C3875" s="2" t="str">
        <f>IFERROR(__xludf.DUMMYFUNCTION("""COMPUTED_VALUE"""),"Maskavas 377")</f>
        <v>Maskavas 377</v>
      </c>
      <c r="D3875" s="2">
        <f>IFERROR(__xludf.DUMMYFUNCTION("""COMPUTED_VALUE"""),2.0)</f>
        <v>2</v>
      </c>
      <c r="E3875" s="2">
        <f>IFERROR(__xludf.DUMMYFUNCTION("""COMPUTED_VALUE"""),49.0)</f>
        <v>49</v>
      </c>
      <c r="F3875" s="2">
        <f>IFERROR(__xludf.DUMMYFUNCTION("""COMPUTED_VALUE"""),5.0)</f>
        <v>5</v>
      </c>
      <c r="G3875" s="2">
        <f>IFERROR(__xludf.DUMMYFUNCTION("""COMPUTED_VALUE"""),5.0)</f>
        <v>5</v>
      </c>
      <c r="H3875" s="2" t="str">
        <f>IFERROR(__xludf.DUMMYFUNCTION("""COMPUTED_VALUE"""),"LT proj.")</f>
        <v>LT proj.</v>
      </c>
      <c r="I3875" s="2" t="str">
        <f>IFERROR(__xludf.DUMMYFUNCTION("""COMPUTED_VALUE"""),"Panel")</f>
        <v>Panel</v>
      </c>
      <c r="J3875" s="2" t="str">
        <f>IFERROR(__xludf.DUMMYFUNCTION("""COMPUTED_VALUE"""),"All amenities")</f>
        <v>All amenities</v>
      </c>
      <c r="K3875" s="2">
        <f>IFERROR(__xludf.DUMMYFUNCTION("""COMPUTED_VALUE"""),330.0)</f>
        <v>330</v>
      </c>
      <c r="L3875" s="2">
        <f>IFERROR(__xludf.DUMMYFUNCTION("""COMPUTED_VALUE"""),56.9023533999999)</f>
        <v>56.9023534</v>
      </c>
      <c r="M3875" s="2">
        <f>IFERROR(__xludf.DUMMYFUNCTION("""COMPUTED_VALUE"""),24.1990478)</f>
        <v>24.1990478</v>
      </c>
    </row>
    <row r="3876">
      <c r="A3876" s="2" t="str">
        <f>IFERROR(__xludf.DUMMYFUNCTION("""COMPUTED_VALUE"""),"For rent")</f>
        <v>For rent</v>
      </c>
      <c r="B3876" s="2" t="str">
        <f>IFERROR(__xludf.DUMMYFUNCTION("""COMPUTED_VALUE"""),"Pļavnieki")</f>
        <v>Pļavnieki</v>
      </c>
      <c r="C3876" s="2" t="str">
        <f>IFERROR(__xludf.DUMMYFUNCTION("""COMPUTED_VALUE"""),"Salnas 21")</f>
        <v>Salnas 21</v>
      </c>
      <c r="D3876" s="2">
        <f>IFERROR(__xludf.DUMMYFUNCTION("""COMPUTED_VALUE"""),2.0)</f>
        <v>2</v>
      </c>
      <c r="E3876" s="2">
        <f>IFERROR(__xludf.DUMMYFUNCTION("""COMPUTED_VALUE"""),50.0)</f>
        <v>50</v>
      </c>
      <c r="F3876" s="2">
        <f>IFERROR(__xludf.DUMMYFUNCTION("""COMPUTED_VALUE"""),9.0)</f>
        <v>9</v>
      </c>
      <c r="G3876" s="2">
        <f>IFERROR(__xludf.DUMMYFUNCTION("""COMPUTED_VALUE"""),9.0)</f>
        <v>9</v>
      </c>
      <c r="H3876" s="2" t="str">
        <f>IFERROR(__xludf.DUMMYFUNCTION("""COMPUTED_VALUE"""),"Jaun.")</f>
        <v>Jaun.</v>
      </c>
      <c r="I3876" s="2" t="str">
        <f>IFERROR(__xludf.DUMMYFUNCTION("""COMPUTED_VALUE"""),"Panel-Brick")</f>
        <v>Panel-Brick</v>
      </c>
      <c r="J3876" s="2" t="str">
        <f>IFERROR(__xludf.DUMMYFUNCTION("""COMPUTED_VALUE"""),"All amenities")</f>
        <v>All amenities</v>
      </c>
      <c r="K3876" s="2">
        <f>IFERROR(__xludf.DUMMYFUNCTION("""COMPUTED_VALUE"""),475.0)</f>
        <v>475</v>
      </c>
      <c r="L3876" s="2">
        <f>IFERROR(__xludf.DUMMYFUNCTION("""COMPUTED_VALUE"""),56.942327)</f>
        <v>56.942327</v>
      </c>
      <c r="M3876" s="2">
        <f>IFERROR(__xludf.DUMMYFUNCTION("""COMPUTED_VALUE"""),24.2300928779978)</f>
        <v>24.23009288</v>
      </c>
    </row>
    <row r="3877">
      <c r="A3877" s="2" t="str">
        <f>IFERROR(__xludf.DUMMYFUNCTION("""COMPUTED_VALUE"""),"For sale")</f>
        <v>For sale</v>
      </c>
      <c r="B3877" s="2" t="str">
        <f>IFERROR(__xludf.DUMMYFUNCTION("""COMPUTED_VALUE"""),"Āgenskalns")</f>
        <v>Āgenskalns</v>
      </c>
      <c r="C3877" s="2" t="str">
        <f>IFERROR(__xludf.DUMMYFUNCTION("""COMPUTED_VALUE"""),"Kuldīgas 10")</f>
        <v>Kuldīgas 10</v>
      </c>
      <c r="D3877" s="2">
        <f>IFERROR(__xludf.DUMMYFUNCTION("""COMPUTED_VALUE"""),2.0)</f>
        <v>2</v>
      </c>
      <c r="E3877" s="2">
        <f>IFERROR(__xludf.DUMMYFUNCTION("""COMPUTED_VALUE"""),37.0)</f>
        <v>37</v>
      </c>
      <c r="F3877" s="2">
        <f>IFERROR(__xludf.DUMMYFUNCTION("""COMPUTED_VALUE"""),2.0)</f>
        <v>2</v>
      </c>
      <c r="G3877" s="2">
        <f>IFERROR(__xludf.DUMMYFUNCTION("""COMPUTED_VALUE"""),2.0)</f>
        <v>2</v>
      </c>
      <c r="H3877" s="2" t="str">
        <f>IFERROR(__xludf.DUMMYFUNCTION("""COMPUTED_VALUE"""),"Specpr.")</f>
        <v>Specpr.</v>
      </c>
      <c r="I3877" s="2" t="str">
        <f>IFERROR(__xludf.DUMMYFUNCTION("""COMPUTED_VALUE"""),"Wood")</f>
        <v>Wood</v>
      </c>
      <c r="J3877" s="2" t="str">
        <f>IFERROR(__xludf.DUMMYFUNCTION("""COMPUTED_VALUE"""),"Partial amenities")</f>
        <v>Partial amenities</v>
      </c>
      <c r="K3877" s="2">
        <f>IFERROR(__xludf.DUMMYFUNCTION("""COMPUTED_VALUE"""),22000.0)</f>
        <v>22000</v>
      </c>
      <c r="L3877" s="2">
        <f>IFERROR(__xludf.DUMMYFUNCTION("""COMPUTED_VALUE"""),56.9517628)</f>
        <v>56.9517628</v>
      </c>
      <c r="M3877" s="2">
        <f>IFERROR(__xludf.DUMMYFUNCTION("""COMPUTED_VALUE"""),24.0673487092408)</f>
        <v>24.06734871</v>
      </c>
    </row>
    <row r="3878">
      <c r="A3878" s="2" t="str">
        <f>IFERROR(__xludf.DUMMYFUNCTION("""COMPUTED_VALUE"""),"For sale")</f>
        <v>For sale</v>
      </c>
      <c r="B3878" s="2" t="str">
        <f>IFERROR(__xludf.DUMMYFUNCTION("""COMPUTED_VALUE"""),"centrs")</f>
        <v>centrs</v>
      </c>
      <c r="C3878" s="2" t="str">
        <f>IFERROR(__xludf.DUMMYFUNCTION("""COMPUTED_VALUE"""),"Matīsa 82")</f>
        <v>Matīsa 82</v>
      </c>
      <c r="D3878" s="2">
        <f>IFERROR(__xludf.DUMMYFUNCTION("""COMPUTED_VALUE"""),5.0)</f>
        <v>5</v>
      </c>
      <c r="E3878" s="2">
        <f>IFERROR(__xludf.DUMMYFUNCTION("""COMPUTED_VALUE"""),68.0)</f>
        <v>68</v>
      </c>
      <c r="F3878" s="2">
        <f>IFERROR(__xludf.DUMMYFUNCTION("""COMPUTED_VALUE"""),2.0)</f>
        <v>2</v>
      </c>
      <c r="G3878" s="2">
        <f>IFERROR(__xludf.DUMMYFUNCTION("""COMPUTED_VALUE"""),2.0)</f>
        <v>2</v>
      </c>
      <c r="H3878" s="2" t="str">
        <f>IFERROR(__xludf.DUMMYFUNCTION("""COMPUTED_VALUE"""),"Specpr.")</f>
        <v>Specpr.</v>
      </c>
      <c r="I3878" s="2" t="str">
        <f>IFERROR(__xludf.DUMMYFUNCTION("""COMPUTED_VALUE"""),"Wood")</f>
        <v>Wood</v>
      </c>
      <c r="J3878" s="2" t="str">
        <f>IFERROR(__xludf.DUMMYFUNCTION("""COMPUTED_VALUE"""),"Partial amenities")</f>
        <v>Partial amenities</v>
      </c>
      <c r="K3878" s="2">
        <f>IFERROR(__xludf.DUMMYFUNCTION("""COMPUTED_VALUE"""),28500.0)</f>
        <v>28500</v>
      </c>
      <c r="L3878" s="2">
        <f>IFERROR(__xludf.DUMMYFUNCTION("""COMPUTED_VALUE"""),56.95092055)</f>
        <v>56.95092055</v>
      </c>
      <c r="M3878" s="2">
        <f>IFERROR(__xludf.DUMMYFUNCTION("""COMPUTED_VALUE"""),24.1461248193206)</f>
        <v>24.14612482</v>
      </c>
    </row>
    <row r="3879">
      <c r="A3879" s="2" t="str">
        <f>IFERROR(__xludf.DUMMYFUNCTION("""COMPUTED_VALUE"""),"For sale")</f>
        <v>For sale</v>
      </c>
      <c r="B3879" s="2" t="str">
        <f>IFERROR(__xludf.DUMMYFUNCTION("""COMPUTED_VALUE"""),"Vecmīlgrāvis")</f>
        <v>Vecmīlgrāvis</v>
      </c>
      <c r="C3879" s="2" t="str">
        <f>IFERROR(__xludf.DUMMYFUNCTION("""COMPUTED_VALUE"""),"Dombrovska 7")</f>
        <v>Dombrovska 7</v>
      </c>
      <c r="D3879" s="2">
        <f>IFERROR(__xludf.DUMMYFUNCTION("""COMPUTED_VALUE"""),2.0)</f>
        <v>2</v>
      </c>
      <c r="E3879" s="2">
        <f>IFERROR(__xludf.DUMMYFUNCTION("""COMPUTED_VALUE"""),28.0)</f>
        <v>28</v>
      </c>
      <c r="F3879" s="2">
        <f>IFERROR(__xludf.DUMMYFUNCTION("""COMPUTED_VALUE"""),2.0)</f>
        <v>2</v>
      </c>
      <c r="G3879" s="2">
        <f>IFERROR(__xludf.DUMMYFUNCTION("""COMPUTED_VALUE"""),2.0)</f>
        <v>2</v>
      </c>
      <c r="H3879" s="2" t="str">
        <f>IFERROR(__xludf.DUMMYFUNCTION("""COMPUTED_VALUE"""),"Specpr.")</f>
        <v>Specpr.</v>
      </c>
      <c r="I3879" s="2" t="str">
        <f>IFERROR(__xludf.DUMMYFUNCTION("""COMPUTED_VALUE"""),"Wood")</f>
        <v>Wood</v>
      </c>
      <c r="J3879" s="2" t="str">
        <f>IFERROR(__xludf.DUMMYFUNCTION("""COMPUTED_VALUE"""),"Partial amenities")</f>
        <v>Partial amenities</v>
      </c>
      <c r="K3879" s="2">
        <f>IFERROR(__xludf.DUMMYFUNCTION("""COMPUTED_VALUE"""),6800.0)</f>
        <v>6800</v>
      </c>
      <c r="L3879" s="2">
        <f>IFERROR(__xludf.DUMMYFUNCTION("""COMPUTED_VALUE"""),57.0283804)</f>
        <v>57.0283804</v>
      </c>
      <c r="M3879" s="2">
        <f>IFERROR(__xludf.DUMMYFUNCTION("""COMPUTED_VALUE"""),24.11527325)</f>
        <v>24.11527325</v>
      </c>
    </row>
    <row r="3880">
      <c r="A3880" s="2" t="str">
        <f>IFERROR(__xludf.DUMMYFUNCTION("""COMPUTED_VALUE"""),"For sale")</f>
        <v>For sale</v>
      </c>
      <c r="B3880" s="2" t="str">
        <f>IFERROR(__xludf.DUMMYFUNCTION("""COMPUTED_VALUE"""),"Vecmīlgrāvis")</f>
        <v>Vecmīlgrāvis</v>
      </c>
      <c r="C3880" s="2" t="str">
        <f>IFERROR(__xludf.DUMMYFUNCTION("""COMPUTED_VALUE"""),"Dombrovska 9b")</f>
        <v>Dombrovska 9b</v>
      </c>
      <c r="D3880" s="2">
        <f>IFERROR(__xludf.DUMMYFUNCTION("""COMPUTED_VALUE"""),1.0)</f>
        <v>1</v>
      </c>
      <c r="E3880" s="2">
        <f>IFERROR(__xludf.DUMMYFUNCTION("""COMPUTED_VALUE"""),27.0)</f>
        <v>27</v>
      </c>
      <c r="F3880" s="2">
        <f>IFERROR(__xludf.DUMMYFUNCTION("""COMPUTED_VALUE"""),2.0)</f>
        <v>2</v>
      </c>
      <c r="G3880" s="2">
        <f>IFERROR(__xludf.DUMMYFUNCTION("""COMPUTED_VALUE"""),2.0)</f>
        <v>2</v>
      </c>
      <c r="H3880" s="2" t="str">
        <f>IFERROR(__xludf.DUMMYFUNCTION("""COMPUTED_VALUE"""),"Specpr.")</f>
        <v>Specpr.</v>
      </c>
      <c r="I3880" s="2" t="str">
        <f>IFERROR(__xludf.DUMMYFUNCTION("""COMPUTED_VALUE"""),"Wood")</f>
        <v>Wood</v>
      </c>
      <c r="J3880" s="2" t="str">
        <f>IFERROR(__xludf.DUMMYFUNCTION("""COMPUTED_VALUE"""),"Partial amenities")</f>
        <v>Partial amenities</v>
      </c>
      <c r="K3880" s="2">
        <f>IFERROR(__xludf.DUMMYFUNCTION("""COMPUTED_VALUE"""),6500.0)</f>
        <v>6500</v>
      </c>
      <c r="L3880" s="2">
        <f>IFERROR(__xludf.DUMMYFUNCTION("""COMPUTED_VALUE"""),57.02847565)</f>
        <v>57.02847565</v>
      </c>
      <c r="M3880" s="2">
        <f>IFERROR(__xludf.DUMMYFUNCTION("""COMPUTED_VALUE"""),24.1135049)</f>
        <v>24.1135049</v>
      </c>
    </row>
    <row r="3881">
      <c r="A3881" s="2" t="str">
        <f>IFERROR(__xludf.DUMMYFUNCTION("""COMPUTED_VALUE"""),"For sale")</f>
        <v>For sale</v>
      </c>
      <c r="B3881" s="2" t="str">
        <f>IFERROR(__xludf.DUMMYFUNCTION("""COMPUTED_VALUE"""),"Ziepniekkalns")</f>
        <v>Ziepniekkalns</v>
      </c>
      <c r="C3881" s="2" t="str">
        <f>IFERROR(__xludf.DUMMYFUNCTION("""COMPUTED_VALUE"""),"Vienības g. 192")</f>
        <v>Vienības g. 192</v>
      </c>
      <c r="D3881" s="2">
        <f>IFERROR(__xludf.DUMMYFUNCTION("""COMPUTED_VALUE"""),3.0)</f>
        <v>3</v>
      </c>
      <c r="E3881" s="2">
        <f>IFERROR(__xludf.DUMMYFUNCTION("""COMPUTED_VALUE"""),112.0)</f>
        <v>112</v>
      </c>
      <c r="F3881" s="2">
        <f>IFERROR(__xludf.DUMMYFUNCTION("""COMPUTED_VALUE"""),1.0)</f>
        <v>1</v>
      </c>
      <c r="G3881" s="2">
        <f>IFERROR(__xludf.DUMMYFUNCTION("""COMPUTED_VALUE"""),5.0)</f>
        <v>5</v>
      </c>
      <c r="H3881" s="2" t="str">
        <f>IFERROR(__xludf.DUMMYFUNCTION("""COMPUTED_VALUE"""),"Jaun.")</f>
        <v>Jaun.</v>
      </c>
      <c r="I3881" s="2" t="str">
        <f>IFERROR(__xludf.DUMMYFUNCTION("""COMPUTED_VALUE"""),"Masonry")</f>
        <v>Masonry</v>
      </c>
      <c r="J3881" s="2" t="str">
        <f>IFERROR(__xludf.DUMMYFUNCTION("""COMPUTED_VALUE"""),"All amenities")</f>
        <v>All amenities</v>
      </c>
      <c r="K3881" s="2">
        <f>IFERROR(__xludf.DUMMYFUNCTION("""COMPUTED_VALUE"""),144000.0)</f>
        <v>144000</v>
      </c>
      <c r="L3881" s="2">
        <f>IFERROR(__xludf.DUMMYFUNCTION("""COMPUTED_VALUE"""),56.918403)</f>
        <v>56.918403</v>
      </c>
      <c r="M3881" s="2">
        <f>IFERROR(__xludf.DUMMYFUNCTION("""COMPUTED_VALUE"""),24.0883001)</f>
        <v>24.0883001</v>
      </c>
    </row>
    <row r="3882">
      <c r="A3882" s="2" t="str">
        <f>IFERROR(__xludf.DUMMYFUNCTION("""COMPUTED_VALUE"""),"For sale")</f>
        <v>For sale</v>
      </c>
      <c r="B3882" s="2" t="str">
        <f>IFERROR(__xludf.DUMMYFUNCTION("""COMPUTED_VALUE"""),"Purvciems")</f>
        <v>Purvciems</v>
      </c>
      <c r="C3882" s="2" t="str">
        <f>IFERROR(__xludf.DUMMYFUNCTION("""COMPUTED_VALUE"""),"Vaidavas 2")</f>
        <v>Vaidavas 2</v>
      </c>
      <c r="D3882" s="2">
        <f>IFERROR(__xludf.DUMMYFUNCTION("""COMPUTED_VALUE"""),2.0)</f>
        <v>2</v>
      </c>
      <c r="E3882" s="2">
        <f>IFERROR(__xludf.DUMMYFUNCTION("""COMPUTED_VALUE"""),43.0)</f>
        <v>43</v>
      </c>
      <c r="F3882" s="2">
        <f>IFERROR(__xludf.DUMMYFUNCTION("""COMPUTED_VALUE"""),1.0)</f>
        <v>1</v>
      </c>
      <c r="G3882" s="2">
        <f>IFERROR(__xludf.DUMMYFUNCTION("""COMPUTED_VALUE"""),5.0)</f>
        <v>5</v>
      </c>
      <c r="H3882" s="2" t="str">
        <f>IFERROR(__xludf.DUMMYFUNCTION("""COMPUTED_VALUE"""),"Hrušč.")</f>
        <v>Hrušč.</v>
      </c>
      <c r="I3882" s="2" t="str">
        <f>IFERROR(__xludf.DUMMYFUNCTION("""COMPUTED_VALUE"""),"Brick")</f>
        <v>Brick</v>
      </c>
      <c r="J3882" s="2" t="str">
        <f>IFERROR(__xludf.DUMMYFUNCTION("""COMPUTED_VALUE"""),"All amenities")</f>
        <v>All amenities</v>
      </c>
      <c r="K3882" s="2">
        <f>IFERROR(__xludf.DUMMYFUNCTION("""COMPUTED_VALUE"""),42999.0)</f>
        <v>42999</v>
      </c>
      <c r="L3882" s="2">
        <f>IFERROR(__xludf.DUMMYFUNCTION("""COMPUTED_VALUE"""),56.9651176499999)</f>
        <v>56.96511765</v>
      </c>
      <c r="M3882" s="2">
        <f>IFERROR(__xludf.DUMMYFUNCTION("""COMPUTED_VALUE"""),24.1760481976948)</f>
        <v>24.1760482</v>
      </c>
    </row>
    <row r="3883">
      <c r="A3883" s="2" t="str">
        <f>IFERROR(__xludf.DUMMYFUNCTION("""COMPUTED_VALUE"""),"For sale")</f>
        <v>For sale</v>
      </c>
      <c r="B3883" s="2" t="str">
        <f>IFERROR(__xludf.DUMMYFUNCTION("""COMPUTED_VALUE"""),"Ziepniekkalns")</f>
        <v>Ziepniekkalns</v>
      </c>
      <c r="C3883" s="2" t="str">
        <f>IFERROR(__xludf.DUMMYFUNCTION("""COMPUTED_VALUE"""),"Vadakstes 20")</f>
        <v>Vadakstes 20</v>
      </c>
      <c r="D3883" s="2">
        <f>IFERROR(__xludf.DUMMYFUNCTION("""COMPUTED_VALUE"""),1.0)</f>
        <v>1</v>
      </c>
      <c r="E3883" s="2">
        <f>IFERROR(__xludf.DUMMYFUNCTION("""COMPUTED_VALUE"""),35.0)</f>
        <v>35</v>
      </c>
      <c r="F3883" s="2">
        <f>IFERROR(__xludf.DUMMYFUNCTION("""COMPUTED_VALUE"""),5.0)</f>
        <v>5</v>
      </c>
      <c r="G3883" s="2">
        <f>IFERROR(__xludf.DUMMYFUNCTION("""COMPUTED_VALUE"""),5.0)</f>
        <v>5</v>
      </c>
      <c r="H3883" s="2" t="str">
        <f>IFERROR(__xludf.DUMMYFUNCTION("""COMPUTED_VALUE"""),"Hrušč.")</f>
        <v>Hrušč.</v>
      </c>
      <c r="I3883" s="2" t="str">
        <f>IFERROR(__xludf.DUMMYFUNCTION("""COMPUTED_VALUE"""),"Brick")</f>
        <v>Brick</v>
      </c>
      <c r="J3883" s="2" t="str">
        <f>IFERROR(__xludf.DUMMYFUNCTION("""COMPUTED_VALUE"""),"All amenities")</f>
        <v>All amenities</v>
      </c>
      <c r="K3883" s="2">
        <f>IFERROR(__xludf.DUMMYFUNCTION("""COMPUTED_VALUE"""),31250.0)</f>
        <v>31250</v>
      </c>
      <c r="L3883" s="2">
        <f>IFERROR(__xludf.DUMMYFUNCTION("""COMPUTED_VALUE"""),56.91347885)</f>
        <v>56.91347885</v>
      </c>
      <c r="M3883" s="2">
        <f>IFERROR(__xludf.DUMMYFUNCTION("""COMPUTED_VALUE"""),24.0957387418183)</f>
        <v>24.09573874</v>
      </c>
    </row>
    <row r="3884">
      <c r="A3884" s="2" t="str">
        <f>IFERROR(__xludf.DUMMYFUNCTION("""COMPUTED_VALUE"""),"For rent")</f>
        <v>For rent</v>
      </c>
      <c r="B3884" s="2" t="str">
        <f>IFERROR(__xludf.DUMMYFUNCTION("""COMPUTED_VALUE"""),"Ziepniekkalns")</f>
        <v>Ziepniekkalns</v>
      </c>
      <c r="C3884" s="2" t="str">
        <f>IFERROR(__xludf.DUMMYFUNCTION("""COMPUTED_VALUE"""),"Valdeķu 5")</f>
        <v>Valdeķu 5</v>
      </c>
      <c r="D3884" s="2">
        <f>IFERROR(__xludf.DUMMYFUNCTION("""COMPUTED_VALUE"""),3.0)</f>
        <v>3</v>
      </c>
      <c r="E3884" s="2">
        <f>IFERROR(__xludf.DUMMYFUNCTION("""COMPUTED_VALUE"""),61.0)</f>
        <v>61</v>
      </c>
      <c r="F3884" s="2">
        <f>IFERROR(__xludf.DUMMYFUNCTION("""COMPUTED_VALUE"""),7.0)</f>
        <v>7</v>
      </c>
      <c r="G3884" s="2">
        <f>IFERROR(__xludf.DUMMYFUNCTION("""COMPUTED_VALUE"""),9.0)</f>
        <v>9</v>
      </c>
      <c r="H3884" s="2">
        <f>IFERROR(__xludf.DUMMYFUNCTION("""COMPUTED_VALUE"""),602.0)</f>
        <v>602</v>
      </c>
      <c r="I3884" s="2" t="str">
        <f>IFERROR(__xludf.DUMMYFUNCTION("""COMPUTED_VALUE"""),"Panel")</f>
        <v>Panel</v>
      </c>
      <c r="J3884" s="2" t="str">
        <f>IFERROR(__xludf.DUMMYFUNCTION("""COMPUTED_VALUE"""),"All amenities")</f>
        <v>All amenities</v>
      </c>
      <c r="K3884" s="2">
        <f>IFERROR(__xludf.DUMMYFUNCTION("""COMPUTED_VALUE"""),400.0)</f>
        <v>400</v>
      </c>
      <c r="L3884" s="2">
        <f>IFERROR(__xludf.DUMMYFUNCTION("""COMPUTED_VALUE"""),56.9179763)</f>
        <v>56.9179763</v>
      </c>
      <c r="M3884" s="2">
        <f>IFERROR(__xludf.DUMMYFUNCTION("""COMPUTED_VALUE"""),24.0944699483486)</f>
        <v>24.09446995</v>
      </c>
    </row>
    <row r="3885">
      <c r="A3885" s="2" t="str">
        <f>IFERROR(__xludf.DUMMYFUNCTION("""COMPUTED_VALUE"""),"For sale")</f>
        <v>For sale</v>
      </c>
      <c r="B3885" s="2" t="str">
        <f>IFERROR(__xludf.DUMMYFUNCTION("""COMPUTED_VALUE"""),"centrs")</f>
        <v>centrs</v>
      </c>
      <c r="C3885" s="2" t="str">
        <f>IFERROR(__xludf.DUMMYFUNCTION("""COMPUTED_VALUE"""),"Katrīnas d. 5")</f>
        <v>Katrīnas d. 5</v>
      </c>
      <c r="D3885" s="2">
        <f>IFERROR(__xludf.DUMMYFUNCTION("""COMPUTED_VALUE"""),3.0)</f>
        <v>3</v>
      </c>
      <c r="E3885" s="2">
        <f>IFERROR(__xludf.DUMMYFUNCTION("""COMPUTED_VALUE"""),70.0)</f>
        <v>70</v>
      </c>
      <c r="F3885" s="2">
        <f>IFERROR(__xludf.DUMMYFUNCTION("""COMPUTED_VALUE"""),5.0)</f>
        <v>5</v>
      </c>
      <c r="G3885" s="2">
        <f>IFERROR(__xludf.DUMMYFUNCTION("""COMPUTED_VALUE"""),5.0)</f>
        <v>5</v>
      </c>
      <c r="H3885" s="2" t="str">
        <f>IFERROR(__xludf.DUMMYFUNCTION("""COMPUTED_VALUE"""),"Specpr.")</f>
        <v>Specpr.</v>
      </c>
      <c r="I3885" s="2" t="str">
        <f>IFERROR(__xludf.DUMMYFUNCTION("""COMPUTED_VALUE"""),"Brick-Panel")</f>
        <v>Brick-Panel</v>
      </c>
      <c r="J3885" s="2" t="str">
        <f>IFERROR(__xludf.DUMMYFUNCTION("""COMPUTED_VALUE"""),"All amenities")</f>
        <v>All amenities</v>
      </c>
      <c r="K3885" s="2">
        <f>IFERROR(__xludf.DUMMYFUNCTION("""COMPUTED_VALUE"""),96000.0)</f>
        <v>96000</v>
      </c>
      <c r="L3885" s="2">
        <f>IFERROR(__xludf.DUMMYFUNCTION("""COMPUTED_VALUE"""),56.9716816)</f>
        <v>56.9716816</v>
      </c>
      <c r="M3885" s="2">
        <f>IFERROR(__xludf.DUMMYFUNCTION("""COMPUTED_VALUE"""),24.1021951)</f>
        <v>24.1021951</v>
      </c>
    </row>
    <row r="3886">
      <c r="A3886" s="2" t="str">
        <f>IFERROR(__xludf.DUMMYFUNCTION("""COMPUTED_VALUE"""),"For sale")</f>
        <v>For sale</v>
      </c>
      <c r="B3886" s="2" t="str">
        <f>IFERROR(__xludf.DUMMYFUNCTION("""COMPUTED_VALUE"""),"Ziepniekkalns")</f>
        <v>Ziepniekkalns</v>
      </c>
      <c r="C3886" s="2" t="str">
        <f>IFERROR(__xludf.DUMMYFUNCTION("""COMPUTED_VALUE"""),"Zaļenieku 40")</f>
        <v>Zaļenieku 40</v>
      </c>
      <c r="D3886" s="2">
        <f>IFERROR(__xludf.DUMMYFUNCTION("""COMPUTED_VALUE"""),2.0)</f>
        <v>2</v>
      </c>
      <c r="E3886" s="2">
        <f>IFERROR(__xludf.DUMMYFUNCTION("""COMPUTED_VALUE"""),31.0)</f>
        <v>31</v>
      </c>
      <c r="F3886" s="2">
        <f>IFERROR(__xludf.DUMMYFUNCTION("""COMPUTED_VALUE"""),2.0)</f>
        <v>2</v>
      </c>
      <c r="G3886" s="2">
        <f>IFERROR(__xludf.DUMMYFUNCTION("""COMPUTED_VALUE"""),5.0)</f>
        <v>5</v>
      </c>
      <c r="H3886" s="2" t="str">
        <f>IFERROR(__xludf.DUMMYFUNCTION("""COMPUTED_VALUE"""),"Hrušč.")</f>
        <v>Hrušč.</v>
      </c>
      <c r="I3886" s="2" t="str">
        <f>IFERROR(__xludf.DUMMYFUNCTION("""COMPUTED_VALUE"""),"Brick")</f>
        <v>Brick</v>
      </c>
      <c r="J3886" s="2" t="str">
        <f>IFERROR(__xludf.DUMMYFUNCTION("""COMPUTED_VALUE"""),"All amenities")</f>
        <v>All amenities</v>
      </c>
      <c r="K3886" s="2">
        <f>IFERROR(__xludf.DUMMYFUNCTION("""COMPUTED_VALUE"""),12700.0)</f>
        <v>12700</v>
      </c>
      <c r="L3886" s="2">
        <f>IFERROR(__xludf.DUMMYFUNCTION("""COMPUTED_VALUE"""),56.9050603999999)</f>
        <v>56.9050604</v>
      </c>
      <c r="M3886" s="2">
        <f>IFERROR(__xludf.DUMMYFUNCTION("""COMPUTED_VALUE"""),24.1005756548797)</f>
        <v>24.10057565</v>
      </c>
    </row>
    <row r="3887">
      <c r="A3887" s="2" t="str">
        <f>IFERROR(__xludf.DUMMYFUNCTION("""COMPUTED_VALUE"""),"For rent")</f>
        <v>For rent</v>
      </c>
      <c r="B3887" s="2" t="str">
        <f>IFERROR(__xludf.DUMMYFUNCTION("""COMPUTED_VALUE"""),"Čiekurkalns")</f>
        <v>Čiekurkalns</v>
      </c>
      <c r="C3887" s="2" t="str">
        <f>IFERROR(__xludf.DUMMYFUNCTION("""COMPUTED_VALUE"""),"Rusova 7")</f>
        <v>Rusova 7</v>
      </c>
      <c r="D3887" s="2">
        <f>IFERROR(__xludf.DUMMYFUNCTION("""COMPUTED_VALUE"""),2.0)</f>
        <v>2</v>
      </c>
      <c r="E3887" s="2">
        <f>IFERROR(__xludf.DUMMYFUNCTION("""COMPUTED_VALUE"""),37.0)</f>
        <v>37</v>
      </c>
      <c r="F3887" s="2">
        <f>IFERROR(__xludf.DUMMYFUNCTION("""COMPUTED_VALUE"""),4.0)</f>
        <v>4</v>
      </c>
      <c r="G3887" s="2">
        <f>IFERROR(__xludf.DUMMYFUNCTION("""COMPUTED_VALUE"""),9.0)</f>
        <v>9</v>
      </c>
      <c r="H3887" s="2" t="str">
        <f>IFERROR(__xludf.DUMMYFUNCTION("""COMPUTED_VALUE"""),"Jaun.")</f>
        <v>Jaun.</v>
      </c>
      <c r="I3887" s="2" t="str">
        <f>IFERROR(__xludf.DUMMYFUNCTION("""COMPUTED_VALUE"""),"Masonry")</f>
        <v>Masonry</v>
      </c>
      <c r="J3887" s="2" t="str">
        <f>IFERROR(__xludf.DUMMYFUNCTION("""COMPUTED_VALUE"""),"All amenities")</f>
        <v>All amenities</v>
      </c>
      <c r="K3887" s="2">
        <f>IFERROR(__xludf.DUMMYFUNCTION("""COMPUTED_VALUE"""),430.0)</f>
        <v>430</v>
      </c>
      <c r="L3887" s="2">
        <f>IFERROR(__xludf.DUMMYFUNCTION("""COMPUTED_VALUE"""),56.9888255)</f>
        <v>56.9888255</v>
      </c>
      <c r="M3887" s="2">
        <f>IFERROR(__xludf.DUMMYFUNCTION("""COMPUTED_VALUE"""),24.1691659584023)</f>
        <v>24.16916596</v>
      </c>
    </row>
    <row r="3888">
      <c r="A3888" s="2" t="str">
        <f>IFERROR(__xludf.DUMMYFUNCTION("""COMPUTED_VALUE"""),"For rent")</f>
        <v>For rent</v>
      </c>
      <c r="B3888" s="2" t="str">
        <f>IFERROR(__xludf.DUMMYFUNCTION("""COMPUTED_VALUE"""),"Maskavas priekšpilsēta")</f>
        <v>Maskavas priekšpilsēta</v>
      </c>
      <c r="C3888" s="2" t="str">
        <f>IFERROR(__xludf.DUMMYFUNCTION("""COMPUTED_VALUE"""),"Maskavas 175")</f>
        <v>Maskavas 175</v>
      </c>
      <c r="D3888" s="2">
        <f>IFERROR(__xludf.DUMMYFUNCTION("""COMPUTED_VALUE"""),1.0)</f>
        <v>1</v>
      </c>
      <c r="E3888" s="2">
        <f>IFERROR(__xludf.DUMMYFUNCTION("""COMPUTED_VALUE"""),14.0)</f>
        <v>14</v>
      </c>
      <c r="F3888" s="2">
        <f>IFERROR(__xludf.DUMMYFUNCTION("""COMPUTED_VALUE"""),4.0)</f>
        <v>4</v>
      </c>
      <c r="G3888" s="2">
        <f>IFERROR(__xludf.DUMMYFUNCTION("""COMPUTED_VALUE"""),4.0)</f>
        <v>4</v>
      </c>
      <c r="H3888" s="2" t="str">
        <f>IFERROR(__xludf.DUMMYFUNCTION("""COMPUTED_VALUE"""),"Specpr.")</f>
        <v>Specpr.</v>
      </c>
      <c r="I3888" s="2" t="str">
        <f>IFERROR(__xludf.DUMMYFUNCTION("""COMPUTED_VALUE"""),"Masonry")</f>
        <v>Masonry</v>
      </c>
      <c r="J3888" s="2" t="str">
        <f>IFERROR(__xludf.DUMMYFUNCTION("""COMPUTED_VALUE"""),"All amenities")</f>
        <v>All amenities</v>
      </c>
      <c r="K3888" s="2">
        <f>IFERROR(__xludf.DUMMYFUNCTION("""COMPUTED_VALUE"""),80.0)</f>
        <v>80</v>
      </c>
      <c r="L3888" s="2">
        <f>IFERROR(__xludf.DUMMYFUNCTION("""COMPUTED_VALUE"""),56.8597884)</f>
        <v>56.8597884</v>
      </c>
      <c r="M3888" s="2">
        <f>IFERROR(__xludf.DUMMYFUNCTION("""COMPUTED_VALUE"""),24.3083417)</f>
        <v>24.3083417</v>
      </c>
    </row>
    <row r="3889">
      <c r="A3889" s="2" t="str">
        <f>IFERROR(__xludf.DUMMYFUNCTION("""COMPUTED_VALUE"""),"For sale")</f>
        <v>For sale</v>
      </c>
      <c r="B3889" s="2" t="str">
        <f>IFERROR(__xludf.DUMMYFUNCTION("""COMPUTED_VALUE"""),"Ziepniekkalns")</f>
        <v>Ziepniekkalns</v>
      </c>
      <c r="C3889" s="2" t="str">
        <f>IFERROR(__xludf.DUMMYFUNCTION("""COMPUTED_VALUE"""),"Kaplavas 5")</f>
        <v>Kaplavas 5</v>
      </c>
      <c r="D3889" s="2">
        <f>IFERROR(__xludf.DUMMYFUNCTION("""COMPUTED_VALUE"""),3.0)</f>
        <v>3</v>
      </c>
      <c r="E3889" s="2">
        <f>IFERROR(__xludf.DUMMYFUNCTION("""COMPUTED_VALUE"""),117.0)</f>
        <v>117</v>
      </c>
      <c r="F3889" s="2">
        <f>IFERROR(__xludf.DUMMYFUNCTION("""COMPUTED_VALUE"""),2.0)</f>
        <v>2</v>
      </c>
      <c r="G3889" s="2">
        <f>IFERROR(__xludf.DUMMYFUNCTION("""COMPUTED_VALUE"""),6.0)</f>
        <v>6</v>
      </c>
      <c r="H3889" s="2" t="str">
        <f>IFERROR(__xludf.DUMMYFUNCTION("""COMPUTED_VALUE"""),"Jaun.")</f>
        <v>Jaun.</v>
      </c>
      <c r="I3889" s="2" t="str">
        <f>IFERROR(__xludf.DUMMYFUNCTION("""COMPUTED_VALUE"""),"Masonry")</f>
        <v>Masonry</v>
      </c>
      <c r="J3889" s="2" t="str">
        <f>IFERROR(__xludf.DUMMYFUNCTION("""COMPUTED_VALUE"""),"All amenities")</f>
        <v>All amenities</v>
      </c>
      <c r="K3889" s="2">
        <f>IFERROR(__xludf.DUMMYFUNCTION("""COMPUTED_VALUE"""),149000.0)</f>
        <v>149000</v>
      </c>
      <c r="L3889" s="2">
        <f>IFERROR(__xludf.DUMMYFUNCTION("""COMPUTED_VALUE"""),56.90846935)</f>
        <v>56.90846935</v>
      </c>
      <c r="M3889" s="2">
        <f>IFERROR(__xludf.DUMMYFUNCTION("""COMPUTED_VALUE"""),24.0786774128357)</f>
        <v>24.07867741</v>
      </c>
    </row>
    <row r="3890">
      <c r="A3890" s="2" t="str">
        <f>IFERROR(__xludf.DUMMYFUNCTION("""COMPUTED_VALUE"""),"For sale")</f>
        <v>For sale</v>
      </c>
      <c r="B3890" s="2" t="str">
        <f>IFERROR(__xludf.DUMMYFUNCTION("""COMPUTED_VALUE"""),"Maskavas priekšpilsēta")</f>
        <v>Maskavas priekšpilsēta</v>
      </c>
      <c r="C3890" s="2" t="str">
        <f>IFERROR(__xludf.DUMMYFUNCTION("""COMPUTED_VALUE"""),"Ebreju 10")</f>
        <v>Ebreju 10</v>
      </c>
      <c r="D3890" s="2">
        <f>IFERROR(__xludf.DUMMYFUNCTION("""COMPUTED_VALUE"""),1.0)</f>
        <v>1</v>
      </c>
      <c r="E3890" s="2">
        <f>IFERROR(__xludf.DUMMYFUNCTION("""COMPUTED_VALUE"""),34.0)</f>
        <v>34</v>
      </c>
      <c r="F3890" s="2">
        <f>IFERROR(__xludf.DUMMYFUNCTION("""COMPUTED_VALUE"""),5.0)</f>
        <v>5</v>
      </c>
      <c r="G3890" s="2">
        <f>IFERROR(__xludf.DUMMYFUNCTION("""COMPUTED_VALUE"""),5.0)</f>
        <v>5</v>
      </c>
      <c r="H3890" s="2">
        <f>IFERROR(__xludf.DUMMYFUNCTION("""COMPUTED_VALUE"""),103.0)</f>
        <v>103</v>
      </c>
      <c r="I3890" s="2" t="str">
        <f>IFERROR(__xludf.DUMMYFUNCTION("""COMPUTED_VALUE"""),"Brick-Panel")</f>
        <v>Brick-Panel</v>
      </c>
      <c r="J3890" s="2" t="str">
        <f>IFERROR(__xludf.DUMMYFUNCTION("""COMPUTED_VALUE"""),"All amenities")</f>
        <v>All amenities</v>
      </c>
      <c r="K3890" s="2">
        <f>IFERROR(__xludf.DUMMYFUNCTION("""COMPUTED_VALUE"""),35000.0)</f>
        <v>35000</v>
      </c>
      <c r="L3890" s="2">
        <f>IFERROR(__xludf.DUMMYFUNCTION("""COMPUTED_VALUE"""),56.9379361)</f>
        <v>56.9379361</v>
      </c>
      <c r="M3890" s="2">
        <f>IFERROR(__xludf.DUMMYFUNCTION("""COMPUTED_VALUE"""),24.154479)</f>
        <v>24.154479</v>
      </c>
    </row>
    <row r="3891">
      <c r="A3891" s="2" t="str">
        <f>IFERROR(__xludf.DUMMYFUNCTION("""COMPUTED_VALUE"""),"For sale")</f>
        <v>For sale</v>
      </c>
      <c r="B3891" s="2" t="str">
        <f>IFERROR(__xludf.DUMMYFUNCTION("""COMPUTED_VALUE"""),"Mangaļi")</f>
        <v>Mangaļi</v>
      </c>
      <c r="C3891" s="2" t="str">
        <f>IFERROR(__xludf.DUMMYFUNCTION("""COMPUTED_VALUE"""),"Mores 7")</f>
        <v>Mores 7</v>
      </c>
      <c r="D3891" s="2">
        <f>IFERROR(__xludf.DUMMYFUNCTION("""COMPUTED_VALUE"""),3.0)</f>
        <v>3</v>
      </c>
      <c r="E3891" s="2">
        <f>IFERROR(__xludf.DUMMYFUNCTION("""COMPUTED_VALUE"""),57.0)</f>
        <v>57</v>
      </c>
      <c r="F3891" s="2">
        <f>IFERROR(__xludf.DUMMYFUNCTION("""COMPUTED_VALUE"""),2.0)</f>
        <v>2</v>
      </c>
      <c r="G3891" s="2">
        <f>IFERROR(__xludf.DUMMYFUNCTION("""COMPUTED_VALUE"""),5.0)</f>
        <v>5</v>
      </c>
      <c r="H3891" s="2" t="str">
        <f>IFERROR(__xludf.DUMMYFUNCTION("""COMPUTED_VALUE"""),"Hrušč.")</f>
        <v>Hrušč.</v>
      </c>
      <c r="I3891" s="2" t="str">
        <f>IFERROR(__xludf.DUMMYFUNCTION("""COMPUTED_VALUE"""),"Panel")</f>
        <v>Panel</v>
      </c>
      <c r="J3891" s="2" t="str">
        <f>IFERROR(__xludf.DUMMYFUNCTION("""COMPUTED_VALUE"""),"All amenities")</f>
        <v>All amenities</v>
      </c>
      <c r="K3891" s="2">
        <f>IFERROR(__xludf.DUMMYFUNCTION("""COMPUTED_VALUE"""),49000.0)</f>
        <v>49000</v>
      </c>
      <c r="L3891" s="2">
        <f>IFERROR(__xludf.DUMMYFUNCTION("""COMPUTED_VALUE"""),57.01959205)</f>
        <v>57.01959205</v>
      </c>
      <c r="M3891" s="2">
        <f>IFERROR(__xludf.DUMMYFUNCTION("""COMPUTED_VALUE"""),24.1357826)</f>
        <v>24.1357826</v>
      </c>
    </row>
    <row r="3892">
      <c r="A3892" s="2" t="str">
        <f>IFERROR(__xludf.DUMMYFUNCTION("""COMPUTED_VALUE"""),"For sale")</f>
        <v>For sale</v>
      </c>
      <c r="B3892" s="2" t="str">
        <f>IFERROR(__xludf.DUMMYFUNCTION("""COMPUTED_VALUE"""),"Aplokciems")</f>
        <v>Aplokciems</v>
      </c>
      <c r="C3892" s="2" t="str">
        <f>IFERROR(__xludf.DUMMYFUNCTION("""COMPUTED_VALUE"""),"Mores 7")</f>
        <v>Mores 7</v>
      </c>
      <c r="D3892" s="2">
        <f>IFERROR(__xludf.DUMMYFUNCTION("""COMPUTED_VALUE"""),3.0)</f>
        <v>3</v>
      </c>
      <c r="E3892" s="2">
        <f>IFERROR(__xludf.DUMMYFUNCTION("""COMPUTED_VALUE"""),57.0)</f>
        <v>57</v>
      </c>
      <c r="F3892" s="2">
        <f>IFERROR(__xludf.DUMMYFUNCTION("""COMPUTED_VALUE"""),2.0)</f>
        <v>2</v>
      </c>
      <c r="G3892" s="2">
        <f>IFERROR(__xludf.DUMMYFUNCTION("""COMPUTED_VALUE"""),5.0)</f>
        <v>5</v>
      </c>
      <c r="H3892" s="2" t="str">
        <f>IFERROR(__xludf.DUMMYFUNCTION("""COMPUTED_VALUE"""),"Hrušč.")</f>
        <v>Hrušč.</v>
      </c>
      <c r="I3892" s="2" t="str">
        <f>IFERROR(__xludf.DUMMYFUNCTION("""COMPUTED_VALUE"""),"Panel")</f>
        <v>Panel</v>
      </c>
      <c r="J3892" s="2" t="str">
        <f>IFERROR(__xludf.DUMMYFUNCTION("""COMPUTED_VALUE"""),"All amenities")</f>
        <v>All amenities</v>
      </c>
      <c r="K3892" s="2">
        <f>IFERROR(__xludf.DUMMYFUNCTION("""COMPUTED_VALUE"""),49000.0)</f>
        <v>49000</v>
      </c>
      <c r="L3892" s="2">
        <f>IFERROR(__xludf.DUMMYFUNCTION("""COMPUTED_VALUE"""),57.01959205)</f>
        <v>57.01959205</v>
      </c>
      <c r="M3892" s="2">
        <f>IFERROR(__xludf.DUMMYFUNCTION("""COMPUTED_VALUE"""),24.1357826)</f>
        <v>24.1357826</v>
      </c>
    </row>
    <row r="3893">
      <c r="A3893" s="2" t="str">
        <f>IFERROR(__xludf.DUMMYFUNCTION("""COMPUTED_VALUE"""),"For sale")</f>
        <v>For sale</v>
      </c>
      <c r="B3893" s="2" t="str">
        <f>IFERROR(__xludf.DUMMYFUNCTION("""COMPUTED_VALUE"""),"Vecrīga")</f>
        <v>Vecrīga</v>
      </c>
      <c r="C3893" s="2" t="str">
        <f>IFERROR(__xludf.DUMMYFUNCTION("""COMPUTED_VALUE"""),"Smilšu 10")</f>
        <v>Smilšu 10</v>
      </c>
      <c r="D3893" s="2">
        <f>IFERROR(__xludf.DUMMYFUNCTION("""COMPUTED_VALUE"""),4.0)</f>
        <v>4</v>
      </c>
      <c r="E3893" s="2">
        <f>IFERROR(__xludf.DUMMYFUNCTION("""COMPUTED_VALUE"""),120.0)</f>
        <v>120</v>
      </c>
      <c r="F3893" s="2">
        <f>IFERROR(__xludf.DUMMYFUNCTION("""COMPUTED_VALUE"""),4.0)</f>
        <v>4</v>
      </c>
      <c r="G3893" s="2">
        <f>IFERROR(__xludf.DUMMYFUNCTION("""COMPUTED_VALUE"""),7.0)</f>
        <v>7</v>
      </c>
      <c r="H3893" s="2" t="str">
        <f>IFERROR(__xludf.DUMMYFUNCTION("""COMPUTED_VALUE"""),"Jaun.")</f>
        <v>Jaun.</v>
      </c>
      <c r="I3893" s="2" t="str">
        <f>IFERROR(__xludf.DUMMYFUNCTION("""COMPUTED_VALUE"""),"Masonry")</f>
        <v>Masonry</v>
      </c>
      <c r="J3893" s="2" t="str">
        <f>IFERROR(__xludf.DUMMYFUNCTION("""COMPUTED_VALUE"""),"All amenities")</f>
        <v>All amenities</v>
      </c>
      <c r="K3893" s="2">
        <f>IFERROR(__xludf.DUMMYFUNCTION("""COMPUTED_VALUE"""),370000.0)</f>
        <v>370000</v>
      </c>
      <c r="L3893" s="2">
        <f>IFERROR(__xludf.DUMMYFUNCTION("""COMPUTED_VALUE"""),56.9503023)</f>
        <v>56.9503023</v>
      </c>
      <c r="M3893" s="2">
        <f>IFERROR(__xludf.DUMMYFUNCTION("""COMPUTED_VALUE"""),24.1092472)</f>
        <v>24.1092472</v>
      </c>
    </row>
    <row r="3894">
      <c r="A3894" s="2" t="str">
        <f>IFERROR(__xludf.DUMMYFUNCTION("""COMPUTED_VALUE"""),"For rent")</f>
        <v>For rent</v>
      </c>
      <c r="B3894" s="2" t="str">
        <f>IFERROR(__xludf.DUMMYFUNCTION("""COMPUTED_VALUE"""),"centrs")</f>
        <v>centrs</v>
      </c>
      <c r="C3894" s="2" t="str">
        <f>IFERROR(__xludf.DUMMYFUNCTION("""COMPUTED_VALUE"""),"Lāčplēša 98")</f>
        <v>Lāčplēša 98</v>
      </c>
      <c r="D3894" s="2">
        <f>IFERROR(__xludf.DUMMYFUNCTION("""COMPUTED_VALUE"""),1.0)</f>
        <v>1</v>
      </c>
      <c r="E3894" s="2">
        <f>IFERROR(__xludf.DUMMYFUNCTION("""COMPUTED_VALUE"""),20.0)</f>
        <v>20</v>
      </c>
      <c r="F3894" s="2">
        <f>IFERROR(__xludf.DUMMYFUNCTION("""COMPUTED_VALUE"""),6.0)</f>
        <v>6</v>
      </c>
      <c r="G3894" s="2">
        <f>IFERROR(__xludf.DUMMYFUNCTION("""COMPUTED_VALUE"""),6.0)</f>
        <v>6</v>
      </c>
      <c r="H3894" s="2" t="str">
        <f>IFERROR(__xludf.DUMMYFUNCTION("""COMPUTED_VALUE"""),"Specpr.")</f>
        <v>Specpr.</v>
      </c>
      <c r="I3894" s="2" t="str">
        <f>IFERROR(__xludf.DUMMYFUNCTION("""COMPUTED_VALUE"""),"Panel-Brick")</f>
        <v>Panel-Brick</v>
      </c>
      <c r="J3894" s="2" t="str">
        <f>IFERROR(__xludf.DUMMYFUNCTION("""COMPUTED_VALUE"""),"All amenities")</f>
        <v>All amenities</v>
      </c>
      <c r="K3894" s="2">
        <f>IFERROR(__xludf.DUMMYFUNCTION("""COMPUTED_VALUE"""),225.0)</f>
        <v>225</v>
      </c>
      <c r="L3894" s="2">
        <f>IFERROR(__xludf.DUMMYFUNCTION("""COMPUTED_VALUE"""),56.94440235)</f>
        <v>56.94440235</v>
      </c>
      <c r="M3894" s="2">
        <f>IFERROR(__xludf.DUMMYFUNCTION("""COMPUTED_VALUE"""),24.1323630232783)</f>
        <v>24.13236302</v>
      </c>
    </row>
    <row r="3895">
      <c r="A3895" s="2" t="str">
        <f>IFERROR(__xludf.DUMMYFUNCTION("""COMPUTED_VALUE"""),"For rent")</f>
        <v>For rent</v>
      </c>
      <c r="B3895" s="2" t="str">
        <f>IFERROR(__xludf.DUMMYFUNCTION("""COMPUTED_VALUE"""),"Āgenskalns")</f>
        <v>Āgenskalns</v>
      </c>
      <c r="C3895" s="2" t="str">
        <f>IFERROR(__xludf.DUMMYFUNCTION("""COMPUTED_VALUE"""),"St. Rusas 5")</f>
        <v>St. Rusas 5</v>
      </c>
      <c r="D3895" s="2">
        <f>IFERROR(__xludf.DUMMYFUNCTION("""COMPUTED_VALUE"""),1.0)</f>
        <v>1</v>
      </c>
      <c r="E3895" s="2">
        <f>IFERROR(__xludf.DUMMYFUNCTION("""COMPUTED_VALUE"""),35.0)</f>
        <v>35</v>
      </c>
      <c r="F3895" s="2">
        <f>IFERROR(__xludf.DUMMYFUNCTION("""COMPUTED_VALUE"""),3.0)</f>
        <v>3</v>
      </c>
      <c r="G3895" s="2">
        <f>IFERROR(__xludf.DUMMYFUNCTION("""COMPUTED_VALUE"""),6.0)</f>
        <v>6</v>
      </c>
      <c r="H3895" s="2" t="str">
        <f>IFERROR(__xludf.DUMMYFUNCTION("""COMPUTED_VALUE"""),"Hrušč.")</f>
        <v>Hrušč.</v>
      </c>
      <c r="I3895" s="2" t="str">
        <f>IFERROR(__xludf.DUMMYFUNCTION("""COMPUTED_VALUE"""),"Masonry")</f>
        <v>Masonry</v>
      </c>
      <c r="J3895" s="2" t="str">
        <f>IFERROR(__xludf.DUMMYFUNCTION("""COMPUTED_VALUE"""),"All amenities")</f>
        <v>All amenities</v>
      </c>
      <c r="K3895" s="2">
        <f>IFERROR(__xludf.DUMMYFUNCTION("""COMPUTED_VALUE"""),300.0)</f>
        <v>300</v>
      </c>
      <c r="L3895" s="2">
        <f>IFERROR(__xludf.DUMMYFUNCTION("""COMPUTED_VALUE"""),56.94310575)</f>
        <v>56.94310575</v>
      </c>
      <c r="M3895" s="2">
        <f>IFERROR(__xludf.DUMMYFUNCTION("""COMPUTED_VALUE"""),24.094006388454)</f>
        <v>24.09400639</v>
      </c>
    </row>
    <row r="3896">
      <c r="A3896" s="2" t="str">
        <f>IFERROR(__xludf.DUMMYFUNCTION("""COMPUTED_VALUE"""),"For rent")</f>
        <v>For rent</v>
      </c>
      <c r="B3896" s="2" t="str">
        <f>IFERROR(__xludf.DUMMYFUNCTION("""COMPUTED_VALUE"""),"Teika")</f>
        <v>Teika</v>
      </c>
      <c r="C3896" s="2" t="str">
        <f>IFERROR(__xludf.DUMMYFUNCTION("""COMPUTED_VALUE"""),"Brīvības gatve 312")</f>
        <v>Brīvības gatve 312</v>
      </c>
      <c r="D3896" s="2">
        <f>IFERROR(__xludf.DUMMYFUNCTION("""COMPUTED_VALUE"""),2.0)</f>
        <v>2</v>
      </c>
      <c r="E3896" s="2">
        <f>IFERROR(__xludf.DUMMYFUNCTION("""COMPUTED_VALUE"""),54.0)</f>
        <v>54</v>
      </c>
      <c r="F3896" s="2">
        <f>IFERROR(__xludf.DUMMYFUNCTION("""COMPUTED_VALUE"""),3.0)</f>
        <v>3</v>
      </c>
      <c r="G3896" s="2">
        <f>IFERROR(__xludf.DUMMYFUNCTION("""COMPUTED_VALUE"""),5.0)</f>
        <v>5</v>
      </c>
      <c r="H3896" s="2" t="str">
        <f>IFERROR(__xludf.DUMMYFUNCTION("""COMPUTED_VALUE"""),"Renov.")</f>
        <v>Renov.</v>
      </c>
      <c r="I3896" s="2" t="str">
        <f>IFERROR(__xludf.DUMMYFUNCTION("""COMPUTED_VALUE"""),"Masonry")</f>
        <v>Masonry</v>
      </c>
      <c r="J3896" s="2" t="str">
        <f>IFERROR(__xludf.DUMMYFUNCTION("""COMPUTED_VALUE"""),"All amenities")</f>
        <v>All amenities</v>
      </c>
      <c r="K3896" s="2">
        <f>IFERROR(__xludf.DUMMYFUNCTION("""COMPUTED_VALUE"""),500.0)</f>
        <v>500</v>
      </c>
      <c r="L3896" s="2">
        <f>IFERROR(__xludf.DUMMYFUNCTION("""COMPUTED_VALUE"""),56.97897505)</f>
        <v>56.97897505</v>
      </c>
      <c r="M3896" s="2">
        <f>IFERROR(__xludf.DUMMYFUNCTION("""COMPUTED_VALUE"""),24.1864047682201)</f>
        <v>24.18640477</v>
      </c>
    </row>
    <row r="3897">
      <c r="A3897" s="2" t="str">
        <f>IFERROR(__xludf.DUMMYFUNCTION("""COMPUTED_VALUE"""),"For sale")</f>
        <v>For sale</v>
      </c>
      <c r="B3897" s="2" t="str">
        <f>IFERROR(__xludf.DUMMYFUNCTION("""COMPUTED_VALUE"""),"Āgenskalns")</f>
        <v>Āgenskalns</v>
      </c>
      <c r="C3897" s="2" t="str">
        <f>IFERROR(__xludf.DUMMYFUNCTION("""COMPUTED_VALUE"""),"Kuģu 26")</f>
        <v>Kuģu 26</v>
      </c>
      <c r="D3897" s="2">
        <f>IFERROR(__xludf.DUMMYFUNCTION("""COMPUTED_VALUE"""),3.0)</f>
        <v>3</v>
      </c>
      <c r="E3897" s="2">
        <f>IFERROR(__xludf.DUMMYFUNCTION("""COMPUTED_VALUE"""),60.0)</f>
        <v>60</v>
      </c>
      <c r="F3897" s="2">
        <f>IFERROR(__xludf.DUMMYFUNCTION("""COMPUTED_VALUE"""),3.0)</f>
        <v>3</v>
      </c>
      <c r="G3897" s="2">
        <f>IFERROR(__xludf.DUMMYFUNCTION("""COMPUTED_VALUE"""),5.0)</f>
        <v>5</v>
      </c>
      <c r="H3897" s="2" t="str">
        <f>IFERROR(__xludf.DUMMYFUNCTION("""COMPUTED_VALUE"""),"Jaun.")</f>
        <v>Jaun.</v>
      </c>
      <c r="I3897" s="2" t="str">
        <f>IFERROR(__xludf.DUMMYFUNCTION("""COMPUTED_VALUE"""),"Brick-Panel")</f>
        <v>Brick-Panel</v>
      </c>
      <c r="J3897" s="2" t="str">
        <f>IFERROR(__xludf.DUMMYFUNCTION("""COMPUTED_VALUE"""),"All amenities")</f>
        <v>All amenities</v>
      </c>
      <c r="K3897" s="2">
        <f>IFERROR(__xludf.DUMMYFUNCTION("""COMPUTED_VALUE"""),120000.0)</f>
        <v>120000</v>
      </c>
      <c r="L3897" s="2">
        <f>IFERROR(__xludf.DUMMYFUNCTION("""COMPUTED_VALUE"""),56.94553165)</f>
        <v>56.94553165</v>
      </c>
      <c r="M3897" s="2">
        <f>IFERROR(__xludf.DUMMYFUNCTION("""COMPUTED_VALUE"""),24.092327378378)</f>
        <v>24.09232738</v>
      </c>
    </row>
    <row r="3898">
      <c r="A3898" s="2" t="str">
        <f>IFERROR(__xludf.DUMMYFUNCTION("""COMPUTED_VALUE"""),"For rent")</f>
        <v>For rent</v>
      </c>
      <c r="B3898" s="2" t="str">
        <f>IFERROR(__xludf.DUMMYFUNCTION("""COMPUTED_VALUE"""),"Teika")</f>
        <v>Teika</v>
      </c>
      <c r="C3898" s="2" t="str">
        <f>IFERROR(__xludf.DUMMYFUNCTION("""COMPUTED_VALUE"""),"Ropažu 56")</f>
        <v>Ropažu 56</v>
      </c>
      <c r="D3898" s="2">
        <f>IFERROR(__xludf.DUMMYFUNCTION("""COMPUTED_VALUE"""),2.0)</f>
        <v>2</v>
      </c>
      <c r="E3898" s="2">
        <f>IFERROR(__xludf.DUMMYFUNCTION("""COMPUTED_VALUE"""),35.0)</f>
        <v>35</v>
      </c>
      <c r="F3898" s="2">
        <f>IFERROR(__xludf.DUMMYFUNCTION("""COMPUTED_VALUE"""),1.0)</f>
        <v>1</v>
      </c>
      <c r="G3898" s="2">
        <f>IFERROR(__xludf.DUMMYFUNCTION("""COMPUTED_VALUE"""),5.0)</f>
        <v>5</v>
      </c>
      <c r="H3898" s="2" t="str">
        <f>IFERROR(__xludf.DUMMYFUNCTION("""COMPUTED_VALUE"""),"Staļina")</f>
        <v>Staļina</v>
      </c>
      <c r="I3898" s="2" t="str">
        <f>IFERROR(__xludf.DUMMYFUNCTION("""COMPUTED_VALUE"""),"Brick")</f>
        <v>Brick</v>
      </c>
      <c r="J3898" s="2" t="str">
        <f>IFERROR(__xludf.DUMMYFUNCTION("""COMPUTED_VALUE"""),"All amenities")</f>
        <v>All amenities</v>
      </c>
      <c r="K3898" s="2">
        <f>IFERROR(__xludf.DUMMYFUNCTION("""COMPUTED_VALUE"""),280.0)</f>
        <v>280</v>
      </c>
      <c r="L3898" s="2">
        <f>IFERROR(__xludf.DUMMYFUNCTION("""COMPUTED_VALUE"""),56.98013995)</f>
        <v>56.98013995</v>
      </c>
      <c r="M3898" s="2">
        <f>IFERROR(__xludf.DUMMYFUNCTION("""COMPUTED_VALUE"""),24.1788896744202)</f>
        <v>24.17888967</v>
      </c>
    </row>
    <row r="3899">
      <c r="A3899" s="2" t="str">
        <f>IFERROR(__xludf.DUMMYFUNCTION("""COMPUTED_VALUE"""),"For rent")</f>
        <v>For rent</v>
      </c>
      <c r="B3899" s="2" t="str">
        <f>IFERROR(__xludf.DUMMYFUNCTION("""COMPUTED_VALUE"""),"Pļavnieki")</f>
        <v>Pļavnieki</v>
      </c>
      <c r="C3899" s="2" t="str">
        <f>IFERROR(__xludf.DUMMYFUNCTION("""COMPUTED_VALUE"""),"Deglava 152")</f>
        <v>Deglava 152</v>
      </c>
      <c r="D3899" s="2">
        <f>IFERROR(__xludf.DUMMYFUNCTION("""COMPUTED_VALUE"""),1.0)</f>
        <v>1</v>
      </c>
      <c r="E3899" s="2">
        <f>IFERROR(__xludf.DUMMYFUNCTION("""COMPUTED_VALUE"""),31.0)</f>
        <v>31</v>
      </c>
      <c r="F3899" s="2">
        <f>IFERROR(__xludf.DUMMYFUNCTION("""COMPUTED_VALUE"""),2.0)</f>
        <v>2</v>
      </c>
      <c r="G3899" s="2">
        <f>IFERROR(__xludf.DUMMYFUNCTION("""COMPUTED_VALUE"""),9.0)</f>
        <v>9</v>
      </c>
      <c r="H3899" s="2">
        <f>IFERROR(__xludf.DUMMYFUNCTION("""COMPUTED_VALUE"""),602.0)</f>
        <v>602</v>
      </c>
      <c r="I3899" s="2" t="str">
        <f>IFERROR(__xludf.DUMMYFUNCTION("""COMPUTED_VALUE"""),"Panel")</f>
        <v>Panel</v>
      </c>
      <c r="J3899" s="2" t="str">
        <f>IFERROR(__xludf.DUMMYFUNCTION("""COMPUTED_VALUE"""),"All amenities")</f>
        <v>All amenities</v>
      </c>
      <c r="K3899" s="2">
        <f>IFERROR(__xludf.DUMMYFUNCTION("""COMPUTED_VALUE"""),180.0)</f>
        <v>180</v>
      </c>
      <c r="L3899" s="2">
        <f>IFERROR(__xludf.DUMMYFUNCTION("""COMPUTED_VALUE"""),56.9446815999999)</f>
        <v>56.9446816</v>
      </c>
      <c r="M3899" s="2">
        <f>IFERROR(__xludf.DUMMYFUNCTION("""COMPUTED_VALUE"""),24.2145409359572)</f>
        <v>24.21454094</v>
      </c>
    </row>
    <row r="3900">
      <c r="A3900" s="2" t="str">
        <f>IFERROR(__xludf.DUMMYFUNCTION("""COMPUTED_VALUE"""),"For rent")</f>
        <v>For rent</v>
      </c>
      <c r="B3900" s="2" t="str">
        <f>IFERROR(__xludf.DUMMYFUNCTION("""COMPUTED_VALUE"""),"centrs")</f>
        <v>centrs</v>
      </c>
      <c r="C3900" s="2" t="str">
        <f>IFERROR(__xludf.DUMMYFUNCTION("""COMPUTED_VALUE"""),"Bruņinieku 115c")</f>
        <v>Bruņinieku 115c</v>
      </c>
      <c r="D3900" s="2">
        <f>IFERROR(__xludf.DUMMYFUNCTION("""COMPUTED_VALUE"""),1.0)</f>
        <v>1</v>
      </c>
      <c r="E3900" s="2">
        <f>IFERROR(__xludf.DUMMYFUNCTION("""COMPUTED_VALUE"""),20.0)</f>
        <v>20</v>
      </c>
      <c r="F3900" s="2">
        <f>IFERROR(__xludf.DUMMYFUNCTION("""COMPUTED_VALUE"""),4.0)</f>
        <v>4</v>
      </c>
      <c r="G3900" s="2">
        <f>IFERROR(__xludf.DUMMYFUNCTION("""COMPUTED_VALUE"""),5.0)</f>
        <v>5</v>
      </c>
      <c r="H3900" s="2" t="str">
        <f>IFERROR(__xludf.DUMMYFUNCTION("""COMPUTED_VALUE"""),"P. kara")</f>
        <v>P. kara</v>
      </c>
      <c r="I3900" s="2" t="str">
        <f>IFERROR(__xludf.DUMMYFUNCTION("""COMPUTED_VALUE"""),"Masonry")</f>
        <v>Masonry</v>
      </c>
      <c r="J3900" s="2" t="str">
        <f>IFERROR(__xludf.DUMMYFUNCTION("""COMPUTED_VALUE"""),"Partial amenities")</f>
        <v>Partial amenities</v>
      </c>
      <c r="K3900" s="2">
        <f>IFERROR(__xludf.DUMMYFUNCTION("""COMPUTED_VALUE"""),145.0)</f>
        <v>145</v>
      </c>
      <c r="L3900" s="2">
        <f>IFERROR(__xludf.DUMMYFUNCTION("""COMPUTED_VALUE"""),56.9503971)</f>
        <v>56.9503971</v>
      </c>
      <c r="M3900" s="2">
        <f>IFERROR(__xludf.DUMMYFUNCTION("""COMPUTED_VALUE"""),24.144978)</f>
        <v>24.144978</v>
      </c>
    </row>
    <row r="3901">
      <c r="A3901" s="2" t="str">
        <f>IFERROR(__xludf.DUMMYFUNCTION("""COMPUTED_VALUE"""),"For sale")</f>
        <v>For sale</v>
      </c>
      <c r="B3901" s="2" t="str">
        <f>IFERROR(__xludf.DUMMYFUNCTION("""COMPUTED_VALUE"""),"Grīziņkalns")</f>
        <v>Grīziņkalns</v>
      </c>
      <c r="C3901" s="2" t="str">
        <f>IFERROR(__xludf.DUMMYFUNCTION("""COMPUTED_VALUE"""),"Asara 12")</f>
        <v>Asara 12</v>
      </c>
      <c r="D3901" s="2">
        <f>IFERROR(__xludf.DUMMYFUNCTION("""COMPUTED_VALUE"""),3.0)</f>
        <v>3</v>
      </c>
      <c r="E3901" s="2">
        <f>IFERROR(__xludf.DUMMYFUNCTION("""COMPUTED_VALUE"""),60.0)</f>
        <v>60</v>
      </c>
      <c r="F3901" s="2">
        <f>IFERROR(__xludf.DUMMYFUNCTION("""COMPUTED_VALUE"""),4.0)</f>
        <v>4</v>
      </c>
      <c r="G3901" s="2">
        <f>IFERROR(__xludf.DUMMYFUNCTION("""COMPUTED_VALUE"""),5.0)</f>
        <v>5</v>
      </c>
      <c r="H3901" s="2" t="str">
        <f>IFERROR(__xludf.DUMMYFUNCTION("""COMPUTED_VALUE"""),"Renov.")</f>
        <v>Renov.</v>
      </c>
      <c r="I3901" s="2" t="str">
        <f>IFERROR(__xludf.DUMMYFUNCTION("""COMPUTED_VALUE"""),"Masonry")</f>
        <v>Masonry</v>
      </c>
      <c r="J3901" s="2" t="str">
        <f>IFERROR(__xludf.DUMMYFUNCTION("""COMPUTED_VALUE"""),"All amenities")</f>
        <v>All amenities</v>
      </c>
      <c r="K3901" s="2">
        <f>IFERROR(__xludf.DUMMYFUNCTION("""COMPUTED_VALUE"""),125000.0)</f>
        <v>125000</v>
      </c>
      <c r="L3901" s="2">
        <f>IFERROR(__xludf.DUMMYFUNCTION("""COMPUTED_VALUE"""),56.9553833)</f>
        <v>56.9553833</v>
      </c>
      <c r="M3901" s="2">
        <f>IFERROR(__xludf.DUMMYFUNCTION("""COMPUTED_VALUE"""),24.1488881)</f>
        <v>24.1488881</v>
      </c>
    </row>
    <row r="3902">
      <c r="A3902" s="2" t="str">
        <f>IFERROR(__xludf.DUMMYFUNCTION("""COMPUTED_VALUE"""),"For sale")</f>
        <v>For sale</v>
      </c>
      <c r="B3902" s="2" t="str">
        <f>IFERROR(__xludf.DUMMYFUNCTION("""COMPUTED_VALUE"""),"Ziepniekkalns")</f>
        <v>Ziepniekkalns</v>
      </c>
      <c r="C3902" s="2" t="str">
        <f>IFERROR(__xludf.DUMMYFUNCTION("""COMPUTED_VALUE"""),"Vienības g. 192")</f>
        <v>Vienības g. 192</v>
      </c>
      <c r="D3902" s="2">
        <f>IFERROR(__xludf.DUMMYFUNCTION("""COMPUTED_VALUE"""),3.0)</f>
        <v>3</v>
      </c>
      <c r="E3902" s="2">
        <f>IFERROR(__xludf.DUMMYFUNCTION("""COMPUTED_VALUE"""),84.0)</f>
        <v>84</v>
      </c>
      <c r="F3902" s="2">
        <f>IFERROR(__xludf.DUMMYFUNCTION("""COMPUTED_VALUE"""),3.0)</f>
        <v>3</v>
      </c>
      <c r="G3902" s="2">
        <f>IFERROR(__xludf.DUMMYFUNCTION("""COMPUTED_VALUE"""),5.0)</f>
        <v>5</v>
      </c>
      <c r="H3902" s="2" t="str">
        <f>IFERROR(__xludf.DUMMYFUNCTION("""COMPUTED_VALUE"""),"Jaun.")</f>
        <v>Jaun.</v>
      </c>
      <c r="I3902" s="2" t="str">
        <f>IFERROR(__xludf.DUMMYFUNCTION("""COMPUTED_VALUE"""),"Panel")</f>
        <v>Panel</v>
      </c>
      <c r="J3902" s="2" t="str">
        <f>IFERROR(__xludf.DUMMYFUNCTION("""COMPUTED_VALUE"""),"All amenities")</f>
        <v>All amenities</v>
      </c>
      <c r="K3902" s="2">
        <f>IFERROR(__xludf.DUMMYFUNCTION("""COMPUTED_VALUE"""),145000.0)</f>
        <v>145000</v>
      </c>
      <c r="L3902" s="2">
        <f>IFERROR(__xludf.DUMMYFUNCTION("""COMPUTED_VALUE"""),56.918403)</f>
        <v>56.918403</v>
      </c>
      <c r="M3902" s="2">
        <f>IFERROR(__xludf.DUMMYFUNCTION("""COMPUTED_VALUE"""),24.0883001)</f>
        <v>24.0883001</v>
      </c>
    </row>
    <row r="3903">
      <c r="A3903" s="2" t="str">
        <f>IFERROR(__xludf.DUMMYFUNCTION("""COMPUTED_VALUE"""),"For sale")</f>
        <v>For sale</v>
      </c>
      <c r="B3903" s="2" t="str">
        <f>IFERROR(__xludf.DUMMYFUNCTION("""COMPUTED_VALUE"""),"Āgenskalns")</f>
        <v>Āgenskalns</v>
      </c>
      <c r="C3903" s="2" t="str">
        <f>IFERROR(__xludf.DUMMYFUNCTION("""COMPUTED_VALUE"""),"Zemaišu 4")</f>
        <v>Zemaišu 4</v>
      </c>
      <c r="D3903" s="2">
        <f>IFERROR(__xludf.DUMMYFUNCTION("""COMPUTED_VALUE"""),1.0)</f>
        <v>1</v>
      </c>
      <c r="E3903" s="2">
        <f>IFERROR(__xludf.DUMMYFUNCTION("""COMPUTED_VALUE"""),30.0)</f>
        <v>30</v>
      </c>
      <c r="F3903" s="2">
        <f>IFERROR(__xludf.DUMMYFUNCTION("""COMPUTED_VALUE"""),3.0)</f>
        <v>3</v>
      </c>
      <c r="G3903" s="2">
        <f>IFERROR(__xludf.DUMMYFUNCTION("""COMPUTED_VALUE"""),4.0)</f>
        <v>4</v>
      </c>
      <c r="H3903" s="2" t="str">
        <f>IFERROR(__xludf.DUMMYFUNCTION("""COMPUTED_VALUE"""),"Hrušč.")</f>
        <v>Hrušč.</v>
      </c>
      <c r="I3903" s="2" t="str">
        <f>IFERROR(__xludf.DUMMYFUNCTION("""COMPUTED_VALUE"""),"Brick")</f>
        <v>Brick</v>
      </c>
      <c r="J3903" s="2" t="str">
        <f>IFERROR(__xludf.DUMMYFUNCTION("""COMPUTED_VALUE"""),"All amenities")</f>
        <v>All amenities</v>
      </c>
      <c r="K3903" s="2">
        <f>IFERROR(__xludf.DUMMYFUNCTION("""COMPUTED_VALUE"""),29900.0)</f>
        <v>29900</v>
      </c>
      <c r="L3903" s="2">
        <f>IFERROR(__xludf.DUMMYFUNCTION("""COMPUTED_VALUE"""),56.92963225)</f>
        <v>56.92963225</v>
      </c>
      <c r="M3903" s="2">
        <f>IFERROR(__xludf.DUMMYFUNCTION("""COMPUTED_VALUE"""),24.069660351551)</f>
        <v>24.06966035</v>
      </c>
    </row>
    <row r="3904">
      <c r="A3904" s="2" t="str">
        <f>IFERROR(__xludf.DUMMYFUNCTION("""COMPUTED_VALUE"""),"For sale")</f>
        <v>For sale</v>
      </c>
      <c r="B3904" s="2" t="str">
        <f>IFERROR(__xludf.DUMMYFUNCTION("""COMPUTED_VALUE"""),"centrs")</f>
        <v>centrs</v>
      </c>
      <c r="C3904" s="2" t="str">
        <f>IFERROR(__xludf.DUMMYFUNCTION("""COMPUTED_VALUE"""),"Valdemāra 57/59")</f>
        <v>Valdemāra 57/59</v>
      </c>
      <c r="D3904" s="2">
        <f>IFERROR(__xludf.DUMMYFUNCTION("""COMPUTED_VALUE"""),3.0)</f>
        <v>3</v>
      </c>
      <c r="E3904" s="2">
        <f>IFERROR(__xludf.DUMMYFUNCTION("""COMPUTED_VALUE"""),84.0)</f>
        <v>84</v>
      </c>
      <c r="F3904" s="2">
        <f>IFERROR(__xludf.DUMMYFUNCTION("""COMPUTED_VALUE"""),5.0)</f>
        <v>5</v>
      </c>
      <c r="G3904" s="2">
        <f>IFERROR(__xludf.DUMMYFUNCTION("""COMPUTED_VALUE"""),7.0)</f>
        <v>7</v>
      </c>
      <c r="H3904" s="2" t="str">
        <f>IFERROR(__xludf.DUMMYFUNCTION("""COMPUTED_VALUE"""),"Renov.")</f>
        <v>Renov.</v>
      </c>
      <c r="I3904" s="2" t="str">
        <f>IFERROR(__xludf.DUMMYFUNCTION("""COMPUTED_VALUE"""),"Masonry")</f>
        <v>Masonry</v>
      </c>
      <c r="J3904" s="2" t="str">
        <f>IFERROR(__xludf.DUMMYFUNCTION("""COMPUTED_VALUE"""),"All amenities")</f>
        <v>All amenities</v>
      </c>
      <c r="K3904" s="2">
        <f>IFERROR(__xludf.DUMMYFUNCTION("""COMPUTED_VALUE"""),135000.0)</f>
        <v>135000</v>
      </c>
      <c r="L3904" s="2">
        <f>IFERROR(__xludf.DUMMYFUNCTION("""COMPUTED_VALUE"""),56.960378)</f>
        <v>56.960378</v>
      </c>
      <c r="M3904" s="2">
        <f>IFERROR(__xludf.DUMMYFUNCTION("""COMPUTED_VALUE"""),24.1197764)</f>
        <v>24.1197764</v>
      </c>
    </row>
    <row r="3905">
      <c r="A3905" s="2" t="str">
        <f>IFERROR(__xludf.DUMMYFUNCTION("""COMPUTED_VALUE"""),"For rent")</f>
        <v>For rent</v>
      </c>
      <c r="B3905" s="2" t="str">
        <f>IFERROR(__xludf.DUMMYFUNCTION("""COMPUTED_VALUE"""),"Teika")</f>
        <v>Teika</v>
      </c>
      <c r="C3905" s="2" t="str">
        <f>IFERROR(__xludf.DUMMYFUNCTION("""COMPUTED_VALUE"""),"Brīvības gatve 293 a")</f>
        <v>Brīvības gatve 293 a</v>
      </c>
      <c r="D3905" s="2">
        <f>IFERROR(__xludf.DUMMYFUNCTION("""COMPUTED_VALUE"""),3.0)</f>
        <v>3</v>
      </c>
      <c r="E3905" s="2">
        <f>IFERROR(__xludf.DUMMYFUNCTION("""COMPUTED_VALUE"""),91.0)</f>
        <v>91</v>
      </c>
      <c r="F3905" s="2">
        <f>IFERROR(__xludf.DUMMYFUNCTION("""COMPUTED_VALUE"""),3.0)</f>
        <v>3</v>
      </c>
      <c r="G3905" s="2">
        <f>IFERROR(__xludf.DUMMYFUNCTION("""COMPUTED_VALUE"""),5.0)</f>
        <v>5</v>
      </c>
      <c r="H3905" s="2" t="str">
        <f>IFERROR(__xludf.DUMMYFUNCTION("""COMPUTED_VALUE"""),"Jaun.")</f>
        <v>Jaun.</v>
      </c>
      <c r="I3905" s="2" t="str">
        <f>IFERROR(__xludf.DUMMYFUNCTION("""COMPUTED_VALUE"""),"Panel")</f>
        <v>Panel</v>
      </c>
      <c r="J3905" s="2" t="str">
        <f>IFERROR(__xludf.DUMMYFUNCTION("""COMPUTED_VALUE"""),"All amenities")</f>
        <v>All amenities</v>
      </c>
      <c r="K3905" s="2">
        <f>IFERROR(__xludf.DUMMYFUNCTION("""COMPUTED_VALUE"""),860.0)</f>
        <v>860</v>
      </c>
      <c r="L3905" s="2">
        <f>IFERROR(__xludf.DUMMYFUNCTION("""COMPUTED_VALUE"""),56.9730973)</f>
        <v>56.9730973</v>
      </c>
      <c r="M3905" s="2">
        <f>IFERROR(__xludf.DUMMYFUNCTION("""COMPUTED_VALUE"""),24.1660728)</f>
        <v>24.1660728</v>
      </c>
    </row>
    <row r="3906">
      <c r="A3906" s="2" t="str">
        <f>IFERROR(__xludf.DUMMYFUNCTION("""COMPUTED_VALUE"""),"For sale")</f>
        <v>For sale</v>
      </c>
      <c r="B3906" s="2" t="str">
        <f>IFERROR(__xludf.DUMMYFUNCTION("""COMPUTED_VALUE"""),"centrs")</f>
        <v>centrs</v>
      </c>
      <c r="C3906" s="2" t="str">
        <f>IFERROR(__xludf.DUMMYFUNCTION("""COMPUTED_VALUE"""),"Lāčplēša 43")</f>
        <v>Lāčplēša 43</v>
      </c>
      <c r="D3906" s="2">
        <f>IFERROR(__xludf.DUMMYFUNCTION("""COMPUTED_VALUE"""),3.0)</f>
        <v>3</v>
      </c>
      <c r="E3906" s="2">
        <f>IFERROR(__xludf.DUMMYFUNCTION("""COMPUTED_VALUE"""),51.0)</f>
        <v>51</v>
      </c>
      <c r="F3906" s="2">
        <f>IFERROR(__xludf.DUMMYFUNCTION("""COMPUTED_VALUE"""),4.0)</f>
        <v>4</v>
      </c>
      <c r="G3906" s="2">
        <f>IFERROR(__xludf.DUMMYFUNCTION("""COMPUTED_VALUE"""),5.0)</f>
        <v>5</v>
      </c>
      <c r="H3906" s="2" t="str">
        <f>IFERROR(__xludf.DUMMYFUNCTION("""COMPUTED_VALUE"""),"P. kara")</f>
        <v>P. kara</v>
      </c>
      <c r="I3906" s="2" t="str">
        <f>IFERROR(__xludf.DUMMYFUNCTION("""COMPUTED_VALUE"""),"Masonry")</f>
        <v>Masonry</v>
      </c>
      <c r="J3906" s="2" t="str">
        <f>IFERROR(__xludf.DUMMYFUNCTION("""COMPUTED_VALUE"""),"All amenities")</f>
        <v>All amenities</v>
      </c>
      <c r="K3906" s="2">
        <f>IFERROR(__xludf.DUMMYFUNCTION("""COMPUTED_VALUE"""),83000.0)</f>
        <v>83000</v>
      </c>
      <c r="L3906" s="2">
        <f>IFERROR(__xludf.DUMMYFUNCTION("""COMPUTED_VALUE"""),56.9528911999999)</f>
        <v>56.9528912</v>
      </c>
      <c r="M3906" s="2">
        <f>IFERROR(__xludf.DUMMYFUNCTION("""COMPUTED_VALUE"""),24.1287667632712)</f>
        <v>24.12876676</v>
      </c>
    </row>
    <row r="3907">
      <c r="A3907" s="2" t="str">
        <f>IFERROR(__xludf.DUMMYFUNCTION("""COMPUTED_VALUE"""),"For sale")</f>
        <v>For sale</v>
      </c>
      <c r="B3907" s="2" t="str">
        <f>IFERROR(__xludf.DUMMYFUNCTION("""COMPUTED_VALUE"""),"Maskavas priekšpilsēta")</f>
        <v>Maskavas priekšpilsēta</v>
      </c>
      <c r="C3907" s="2" t="str">
        <f>IFERROR(__xludf.DUMMYFUNCTION("""COMPUTED_VALUE"""),"Jersikas 25")</f>
        <v>Jersikas 25</v>
      </c>
      <c r="D3907" s="2">
        <f>IFERROR(__xludf.DUMMYFUNCTION("""COMPUTED_VALUE"""),1.0)</f>
        <v>1</v>
      </c>
      <c r="E3907" s="2">
        <f>IFERROR(__xludf.DUMMYFUNCTION("""COMPUTED_VALUE"""),20.0)</f>
        <v>20</v>
      </c>
      <c r="F3907" s="2">
        <f>IFERROR(__xludf.DUMMYFUNCTION("""COMPUTED_VALUE"""),2.0)</f>
        <v>2</v>
      </c>
      <c r="G3907" s="2">
        <f>IFERROR(__xludf.DUMMYFUNCTION("""COMPUTED_VALUE"""),2.0)</f>
        <v>2</v>
      </c>
      <c r="H3907" s="2" t="str">
        <f>IFERROR(__xludf.DUMMYFUNCTION("""COMPUTED_VALUE"""),"P. kara")</f>
        <v>P. kara</v>
      </c>
      <c r="I3907" s="2" t="str">
        <f>IFERROR(__xludf.DUMMYFUNCTION("""COMPUTED_VALUE"""),"Wood")</f>
        <v>Wood</v>
      </c>
      <c r="J3907" s="2" t="str">
        <f>IFERROR(__xludf.DUMMYFUNCTION("""COMPUTED_VALUE"""),"Partial amenities")</f>
        <v>Partial amenities</v>
      </c>
      <c r="K3907" s="2">
        <f>IFERROR(__xludf.DUMMYFUNCTION("""COMPUTED_VALUE"""),8880.0)</f>
        <v>8880</v>
      </c>
      <c r="L3907" s="2">
        <f>IFERROR(__xludf.DUMMYFUNCTION("""COMPUTED_VALUE"""),56.9388472)</f>
        <v>56.9388472</v>
      </c>
      <c r="M3907" s="2">
        <f>IFERROR(__xludf.DUMMYFUNCTION("""COMPUTED_VALUE"""),24.1451816996405)</f>
        <v>24.1451817</v>
      </c>
    </row>
    <row r="3908">
      <c r="A3908" s="2" t="str">
        <f>IFERROR(__xludf.DUMMYFUNCTION("""COMPUTED_VALUE"""),"For sale")</f>
        <v>For sale</v>
      </c>
      <c r="B3908" s="2" t="str">
        <f>IFERROR(__xludf.DUMMYFUNCTION("""COMPUTED_VALUE"""),"Mežciems")</f>
        <v>Mežciems</v>
      </c>
      <c r="C3908" s="2" t="str">
        <f>IFERROR(__xludf.DUMMYFUNCTION("""COMPUTED_VALUE"""),"Biķernieku 250")</f>
        <v>Biķernieku 250</v>
      </c>
      <c r="D3908" s="2">
        <f>IFERROR(__xludf.DUMMYFUNCTION("""COMPUTED_VALUE"""),1.0)</f>
        <v>1</v>
      </c>
      <c r="E3908" s="2">
        <f>IFERROR(__xludf.DUMMYFUNCTION("""COMPUTED_VALUE"""),12.0)</f>
        <v>12</v>
      </c>
      <c r="F3908" s="2">
        <f>IFERROR(__xludf.DUMMYFUNCTION("""COMPUTED_VALUE"""),1.0)</f>
        <v>1</v>
      </c>
      <c r="G3908" s="2">
        <f>IFERROR(__xludf.DUMMYFUNCTION("""COMPUTED_VALUE"""),2.0)</f>
        <v>2</v>
      </c>
      <c r="H3908" s="2" t="str">
        <f>IFERROR(__xludf.DUMMYFUNCTION("""COMPUTED_VALUE"""),"Staļina")</f>
        <v>Staļina</v>
      </c>
      <c r="I3908" s="2" t="str">
        <f>IFERROR(__xludf.DUMMYFUNCTION("""COMPUTED_VALUE"""),"Wood")</f>
        <v>Wood</v>
      </c>
      <c r="J3908" s="2" t="str">
        <f>IFERROR(__xludf.DUMMYFUNCTION("""COMPUTED_VALUE"""),"All amenities")</f>
        <v>All amenities</v>
      </c>
      <c r="K3908" s="2">
        <f>IFERROR(__xludf.DUMMYFUNCTION("""COMPUTED_VALUE"""),14500.0)</f>
        <v>14500</v>
      </c>
      <c r="L3908" s="2">
        <f>IFERROR(__xludf.DUMMYFUNCTION("""COMPUTED_VALUE"""),56.96184315)</f>
        <v>56.96184315</v>
      </c>
      <c r="M3908" s="2">
        <f>IFERROR(__xludf.DUMMYFUNCTION("""COMPUTED_VALUE"""),24.3024778)</f>
        <v>24.3024778</v>
      </c>
    </row>
    <row r="3909">
      <c r="A3909" s="2" t="str">
        <f>IFERROR(__xludf.DUMMYFUNCTION("""COMPUTED_VALUE"""),"For sale")</f>
        <v>For sale</v>
      </c>
      <c r="B3909" s="2" t="str">
        <f>IFERROR(__xludf.DUMMYFUNCTION("""COMPUTED_VALUE"""),"Ķengarags")</f>
        <v>Ķengarags</v>
      </c>
      <c r="C3909" s="2" t="str">
        <f>IFERROR(__xludf.DUMMYFUNCTION("""COMPUTED_VALUE"""),"Krustpils 46")</f>
        <v>Krustpils 46</v>
      </c>
      <c r="D3909" s="2">
        <f>IFERROR(__xludf.DUMMYFUNCTION("""COMPUTED_VALUE"""),3.0)</f>
        <v>3</v>
      </c>
      <c r="E3909" s="2">
        <f>IFERROR(__xludf.DUMMYFUNCTION("""COMPUTED_VALUE"""),51.0)</f>
        <v>51</v>
      </c>
      <c r="F3909" s="2">
        <f>IFERROR(__xludf.DUMMYFUNCTION("""COMPUTED_VALUE"""),1.0)</f>
        <v>1</v>
      </c>
      <c r="G3909" s="2">
        <f>IFERROR(__xludf.DUMMYFUNCTION("""COMPUTED_VALUE"""),2.0)</f>
        <v>2</v>
      </c>
      <c r="H3909" s="2" t="str">
        <f>IFERROR(__xludf.DUMMYFUNCTION("""COMPUTED_VALUE"""),"Specpr.")</f>
        <v>Specpr.</v>
      </c>
      <c r="I3909" s="2" t="str">
        <f>IFERROR(__xludf.DUMMYFUNCTION("""COMPUTED_VALUE"""),"Brick")</f>
        <v>Brick</v>
      </c>
      <c r="J3909" s="2" t="str">
        <f>IFERROR(__xludf.DUMMYFUNCTION("""COMPUTED_VALUE"""),"Partial amenities")</f>
        <v>Partial amenities</v>
      </c>
      <c r="K3909" s="2">
        <f>IFERROR(__xludf.DUMMYFUNCTION("""COMPUTED_VALUE"""),14970.0)</f>
        <v>14970</v>
      </c>
      <c r="L3909" s="2">
        <f>IFERROR(__xludf.DUMMYFUNCTION("""COMPUTED_VALUE"""),56.9198151)</f>
        <v>56.9198151</v>
      </c>
      <c r="M3909" s="2">
        <f>IFERROR(__xludf.DUMMYFUNCTION("""COMPUTED_VALUE"""),24.1942607)</f>
        <v>24.1942607</v>
      </c>
    </row>
    <row r="3910">
      <c r="A3910" s="2" t="str">
        <f>IFERROR(__xludf.DUMMYFUNCTION("""COMPUTED_VALUE"""),"For sale")</f>
        <v>For sale</v>
      </c>
      <c r="B3910" s="2" t="str">
        <f>IFERROR(__xludf.DUMMYFUNCTION("""COMPUTED_VALUE"""),"Zasulauks")</f>
        <v>Zasulauks</v>
      </c>
      <c r="C3910" s="2" t="str">
        <f>IFERROR(__xludf.DUMMYFUNCTION("""COMPUTED_VALUE"""),"Tapešu 2")</f>
        <v>Tapešu 2</v>
      </c>
      <c r="D3910" s="2">
        <f>IFERROR(__xludf.DUMMYFUNCTION("""COMPUTED_VALUE"""),1.0)</f>
        <v>1</v>
      </c>
      <c r="E3910" s="2">
        <f>IFERROR(__xludf.DUMMYFUNCTION("""COMPUTED_VALUE"""),31.0)</f>
        <v>31</v>
      </c>
      <c r="F3910" s="2">
        <f>IFERROR(__xludf.DUMMYFUNCTION("""COMPUTED_VALUE"""),1.0)</f>
        <v>1</v>
      </c>
      <c r="G3910" s="2">
        <f>IFERROR(__xludf.DUMMYFUNCTION("""COMPUTED_VALUE"""),2.0)</f>
        <v>2</v>
      </c>
      <c r="H3910" s="2" t="str">
        <f>IFERROR(__xludf.DUMMYFUNCTION("""COMPUTED_VALUE"""),"Staļina")</f>
        <v>Staļina</v>
      </c>
      <c r="I3910" s="2" t="str">
        <f>IFERROR(__xludf.DUMMYFUNCTION("""COMPUTED_VALUE"""),"Masonry")</f>
        <v>Masonry</v>
      </c>
      <c r="J3910" s="2" t="str">
        <f>IFERROR(__xludf.DUMMYFUNCTION("""COMPUTED_VALUE"""),"Partial amenities")</f>
        <v>Partial amenities</v>
      </c>
      <c r="K3910" s="2">
        <f>IFERROR(__xludf.DUMMYFUNCTION("""COMPUTED_VALUE"""),18000.0)</f>
        <v>18000</v>
      </c>
      <c r="L3910" s="2">
        <f>IFERROR(__xludf.DUMMYFUNCTION("""COMPUTED_VALUE"""),56.9452853)</f>
        <v>56.9452853</v>
      </c>
      <c r="M3910" s="2">
        <f>IFERROR(__xludf.DUMMYFUNCTION("""COMPUTED_VALUE"""),24.0498449511482)</f>
        <v>24.04984495</v>
      </c>
    </row>
    <row r="3911">
      <c r="A3911" s="2" t="str">
        <f>IFERROR(__xludf.DUMMYFUNCTION("""COMPUTED_VALUE"""),"For rent")</f>
        <v>For rent</v>
      </c>
      <c r="B3911" s="2" t="str">
        <f>IFERROR(__xludf.DUMMYFUNCTION("""COMPUTED_VALUE"""),"Purvciems")</f>
        <v>Purvciems</v>
      </c>
      <c r="C3911" s="2" t="str">
        <f>IFERROR(__xludf.DUMMYFUNCTION("""COMPUTED_VALUE"""),"Ilūkstes 101")</f>
        <v>Ilūkstes 101</v>
      </c>
      <c r="D3911" s="2">
        <f>IFERROR(__xludf.DUMMYFUNCTION("""COMPUTED_VALUE"""),2.0)</f>
        <v>2</v>
      </c>
      <c r="E3911" s="2">
        <f>IFERROR(__xludf.DUMMYFUNCTION("""COMPUTED_VALUE"""),45.0)</f>
        <v>45</v>
      </c>
      <c r="F3911" s="2">
        <f>IFERROR(__xludf.DUMMYFUNCTION("""COMPUTED_VALUE"""),2.0)</f>
        <v>2</v>
      </c>
      <c r="G3911" s="2">
        <f>IFERROR(__xludf.DUMMYFUNCTION("""COMPUTED_VALUE"""),10.0)</f>
        <v>10</v>
      </c>
      <c r="H3911" s="2">
        <f>IFERROR(__xludf.DUMMYFUNCTION("""COMPUTED_VALUE"""),467.0)</f>
        <v>467</v>
      </c>
      <c r="I3911" s="2" t="str">
        <f>IFERROR(__xludf.DUMMYFUNCTION("""COMPUTED_VALUE"""),"Panel-Brick")</f>
        <v>Panel-Brick</v>
      </c>
      <c r="J3911" s="2" t="str">
        <f>IFERROR(__xludf.DUMMYFUNCTION("""COMPUTED_VALUE"""),"All amenities")</f>
        <v>All amenities</v>
      </c>
      <c r="K3911" s="2">
        <f>IFERROR(__xludf.DUMMYFUNCTION("""COMPUTED_VALUE"""),330.0)</f>
        <v>330</v>
      </c>
      <c r="L3911" s="2">
        <f>IFERROR(__xludf.DUMMYFUNCTION("""COMPUTED_VALUE"""),56.9521699)</f>
        <v>56.9521699</v>
      </c>
      <c r="M3911" s="2">
        <f>IFERROR(__xludf.DUMMYFUNCTION("""COMPUTED_VALUE"""),24.1956952983417)</f>
        <v>24.1956953</v>
      </c>
    </row>
    <row r="3912">
      <c r="A3912" s="2" t="str">
        <f>IFERROR(__xludf.DUMMYFUNCTION("""COMPUTED_VALUE"""),"For sale")</f>
        <v>For sale</v>
      </c>
      <c r="B3912" s="2" t="str">
        <f>IFERROR(__xludf.DUMMYFUNCTION("""COMPUTED_VALUE"""),"centrs")</f>
        <v>centrs</v>
      </c>
      <c r="C3912" s="2" t="str">
        <f>IFERROR(__xludf.DUMMYFUNCTION("""COMPUTED_VALUE"""),"Marijas 15")</f>
        <v>Marijas 15</v>
      </c>
      <c r="D3912" s="2">
        <f>IFERROR(__xludf.DUMMYFUNCTION("""COMPUTED_VALUE"""),4.0)</f>
        <v>4</v>
      </c>
      <c r="E3912" s="2">
        <f>IFERROR(__xludf.DUMMYFUNCTION("""COMPUTED_VALUE"""),92.0)</f>
        <v>92</v>
      </c>
      <c r="F3912" s="2">
        <f>IFERROR(__xludf.DUMMYFUNCTION("""COMPUTED_VALUE"""),5.0)</f>
        <v>5</v>
      </c>
      <c r="G3912" s="2">
        <f>IFERROR(__xludf.DUMMYFUNCTION("""COMPUTED_VALUE"""),7.0)</f>
        <v>7</v>
      </c>
      <c r="H3912" s="2" t="str">
        <f>IFERROR(__xludf.DUMMYFUNCTION("""COMPUTED_VALUE"""),"P. kara")</f>
        <v>P. kara</v>
      </c>
      <c r="I3912" s="2" t="str">
        <f>IFERROR(__xludf.DUMMYFUNCTION("""COMPUTED_VALUE"""),"Masonry")</f>
        <v>Masonry</v>
      </c>
      <c r="J3912" s="2" t="str">
        <f>IFERROR(__xludf.DUMMYFUNCTION("""COMPUTED_VALUE"""),"All amenities")</f>
        <v>All amenities</v>
      </c>
      <c r="K3912" s="2">
        <f>IFERROR(__xludf.DUMMYFUNCTION("""COMPUTED_VALUE"""),128755.0)</f>
        <v>128755</v>
      </c>
      <c r="L3912" s="2">
        <f>IFERROR(__xludf.DUMMYFUNCTION("""COMPUTED_VALUE"""),56.95029005)</f>
        <v>56.95029005</v>
      </c>
      <c r="M3912" s="2">
        <f>IFERROR(__xludf.DUMMYFUNCTION("""COMPUTED_VALUE"""),24.1240679974303)</f>
        <v>24.124068</v>
      </c>
    </row>
    <row r="3913">
      <c r="A3913" s="2" t="str">
        <f>IFERROR(__xludf.DUMMYFUNCTION("""COMPUTED_VALUE"""),"For sale")</f>
        <v>For sale</v>
      </c>
      <c r="B3913" s="2" t="str">
        <f>IFERROR(__xludf.DUMMYFUNCTION("""COMPUTED_VALUE"""),"centrs")</f>
        <v>centrs</v>
      </c>
      <c r="C3913" s="2" t="str">
        <f>IFERROR(__xludf.DUMMYFUNCTION("""COMPUTED_VALUE"""),"Zirņu 5")</f>
        <v>Zirņu 5</v>
      </c>
      <c r="D3913" s="2">
        <f>IFERROR(__xludf.DUMMYFUNCTION("""COMPUTED_VALUE"""),2.0)</f>
        <v>2</v>
      </c>
      <c r="E3913" s="2">
        <f>IFERROR(__xludf.DUMMYFUNCTION("""COMPUTED_VALUE"""),49.0)</f>
        <v>49</v>
      </c>
      <c r="F3913" s="2">
        <f>IFERROR(__xludf.DUMMYFUNCTION("""COMPUTED_VALUE"""),5.0)</f>
        <v>5</v>
      </c>
      <c r="G3913" s="2">
        <f>IFERROR(__xludf.DUMMYFUNCTION("""COMPUTED_VALUE"""),9.0)</f>
        <v>9</v>
      </c>
      <c r="H3913" s="2">
        <f>IFERROR(__xludf.DUMMYFUNCTION("""COMPUTED_VALUE"""),467.0)</f>
        <v>467</v>
      </c>
      <c r="I3913" s="2" t="str">
        <f>IFERROR(__xludf.DUMMYFUNCTION("""COMPUTED_VALUE"""),"Brick-Panel")</f>
        <v>Brick-Panel</v>
      </c>
      <c r="J3913" s="2" t="str">
        <f>IFERROR(__xludf.DUMMYFUNCTION("""COMPUTED_VALUE"""),"All amenities")</f>
        <v>All amenities</v>
      </c>
      <c r="K3913" s="2">
        <f>IFERROR(__xludf.DUMMYFUNCTION("""COMPUTED_VALUE"""),63500.0)</f>
        <v>63500</v>
      </c>
      <c r="L3913" s="2">
        <f>IFERROR(__xludf.DUMMYFUNCTION("""COMPUTED_VALUE"""),56.8597884)</f>
        <v>56.8597884</v>
      </c>
      <c r="M3913" s="2">
        <f>IFERROR(__xludf.DUMMYFUNCTION("""COMPUTED_VALUE"""),24.3083417)</f>
        <v>24.3083417</v>
      </c>
    </row>
    <row r="3914">
      <c r="A3914" s="2" t="str">
        <f>IFERROR(__xludf.DUMMYFUNCTION("""COMPUTED_VALUE"""),"For sale")</f>
        <v>For sale</v>
      </c>
      <c r="B3914" s="2" t="str">
        <f>IFERROR(__xludf.DUMMYFUNCTION("""COMPUTED_VALUE"""),"Ķengarags")</f>
        <v>Ķengarags</v>
      </c>
      <c r="C3914" s="2" t="str">
        <f>IFERROR(__xludf.DUMMYFUNCTION("""COMPUTED_VALUE"""),"Glūdas 11")</f>
        <v>Glūdas 11</v>
      </c>
      <c r="D3914" s="2">
        <f>IFERROR(__xludf.DUMMYFUNCTION("""COMPUTED_VALUE"""),2.0)</f>
        <v>2</v>
      </c>
      <c r="E3914" s="2">
        <f>IFERROR(__xludf.DUMMYFUNCTION("""COMPUTED_VALUE"""),48.0)</f>
        <v>48</v>
      </c>
      <c r="F3914" s="2">
        <f>IFERROR(__xludf.DUMMYFUNCTION("""COMPUTED_VALUE"""),4.0)</f>
        <v>4</v>
      </c>
      <c r="G3914" s="2">
        <f>IFERROR(__xludf.DUMMYFUNCTION("""COMPUTED_VALUE"""),5.0)</f>
        <v>5</v>
      </c>
      <c r="H3914" s="2" t="str">
        <f>IFERROR(__xludf.DUMMYFUNCTION("""COMPUTED_VALUE"""),"LT proj.")</f>
        <v>LT proj.</v>
      </c>
      <c r="I3914" s="2" t="str">
        <f>IFERROR(__xludf.DUMMYFUNCTION("""COMPUTED_VALUE"""),"Panel")</f>
        <v>Panel</v>
      </c>
      <c r="J3914" s="2" t="str">
        <f>IFERROR(__xludf.DUMMYFUNCTION("""COMPUTED_VALUE"""),"All amenities")</f>
        <v>All amenities</v>
      </c>
      <c r="K3914" s="2">
        <f>IFERROR(__xludf.DUMMYFUNCTION("""COMPUTED_VALUE"""),49850.0)</f>
        <v>49850</v>
      </c>
      <c r="L3914" s="2">
        <f>IFERROR(__xludf.DUMMYFUNCTION("""COMPUTED_VALUE"""),56.913225)</f>
        <v>56.913225</v>
      </c>
      <c r="M3914" s="2">
        <f>IFERROR(__xludf.DUMMYFUNCTION("""COMPUTED_VALUE"""),24.1739766127433)</f>
        <v>24.17397661</v>
      </c>
    </row>
    <row r="3915">
      <c r="A3915" s="2" t="str">
        <f>IFERROR(__xludf.DUMMYFUNCTION("""COMPUTED_VALUE"""),"For sale")</f>
        <v>For sale</v>
      </c>
      <c r="B3915" s="2" t="str">
        <f>IFERROR(__xludf.DUMMYFUNCTION("""COMPUTED_VALUE"""),"Teika")</f>
        <v>Teika</v>
      </c>
      <c r="C3915" s="2" t="str">
        <f>IFERROR(__xludf.DUMMYFUNCTION("""COMPUTED_VALUE"""),"Burtnieku 36a")</f>
        <v>Burtnieku 36a</v>
      </c>
      <c r="D3915" s="2">
        <f>IFERROR(__xludf.DUMMYFUNCTION("""COMPUTED_VALUE"""),2.0)</f>
        <v>2</v>
      </c>
      <c r="E3915" s="2">
        <f>IFERROR(__xludf.DUMMYFUNCTION("""COMPUTED_VALUE"""),57.0)</f>
        <v>57</v>
      </c>
      <c r="F3915" s="2">
        <f>IFERROR(__xludf.DUMMYFUNCTION("""COMPUTED_VALUE"""),3.0)</f>
        <v>3</v>
      </c>
      <c r="G3915" s="2">
        <f>IFERROR(__xludf.DUMMYFUNCTION("""COMPUTED_VALUE"""),5.0)</f>
        <v>5</v>
      </c>
      <c r="H3915" s="2" t="str">
        <f>IFERROR(__xludf.DUMMYFUNCTION("""COMPUTED_VALUE"""),"Jaun.")</f>
        <v>Jaun.</v>
      </c>
      <c r="I3915" s="2" t="str">
        <f>IFERROR(__xludf.DUMMYFUNCTION("""COMPUTED_VALUE"""),"Brick-Panel")</f>
        <v>Brick-Panel</v>
      </c>
      <c r="J3915" s="2" t="str">
        <f>IFERROR(__xludf.DUMMYFUNCTION("""COMPUTED_VALUE"""),"All amenities")</f>
        <v>All amenities</v>
      </c>
      <c r="K3915" s="2">
        <f>IFERROR(__xludf.DUMMYFUNCTION("""COMPUTED_VALUE"""),80000.0)</f>
        <v>80000</v>
      </c>
      <c r="L3915" s="2">
        <f>IFERROR(__xludf.DUMMYFUNCTION("""COMPUTED_VALUE"""),56.9670442)</f>
        <v>56.9670442</v>
      </c>
      <c r="M3915" s="2">
        <f>IFERROR(__xludf.DUMMYFUNCTION("""COMPUTED_VALUE"""),24.1820249)</f>
        <v>24.1820249</v>
      </c>
    </row>
    <row r="3916">
      <c r="A3916" s="2" t="str">
        <f>IFERROR(__xludf.DUMMYFUNCTION("""COMPUTED_VALUE"""),"For rent")</f>
        <v>For rent</v>
      </c>
      <c r="B3916" s="2" t="str">
        <f>IFERROR(__xludf.DUMMYFUNCTION("""COMPUTED_VALUE"""),"centrs")</f>
        <v>centrs</v>
      </c>
      <c r="C3916" s="2" t="str">
        <f>IFERROR(__xludf.DUMMYFUNCTION("""COMPUTED_VALUE"""),"Birznieka-Upīša 23")</f>
        <v>Birznieka-Upīša 23</v>
      </c>
      <c r="D3916" s="2">
        <f>IFERROR(__xludf.DUMMYFUNCTION("""COMPUTED_VALUE"""),1.0)</f>
        <v>1</v>
      </c>
      <c r="E3916" s="2">
        <f>IFERROR(__xludf.DUMMYFUNCTION("""COMPUTED_VALUE"""),16.0)</f>
        <v>16</v>
      </c>
      <c r="F3916" s="2">
        <f>IFERROR(__xludf.DUMMYFUNCTION("""COMPUTED_VALUE"""),3.0)</f>
        <v>3</v>
      </c>
      <c r="G3916" s="2">
        <f>IFERROR(__xludf.DUMMYFUNCTION("""COMPUTED_VALUE"""),3.0)</f>
        <v>3</v>
      </c>
      <c r="H3916" s="2" t="str">
        <f>IFERROR(__xludf.DUMMYFUNCTION("""COMPUTED_VALUE"""),"P. kara")</f>
        <v>P. kara</v>
      </c>
      <c r="I3916" s="2" t="str">
        <f>IFERROR(__xludf.DUMMYFUNCTION("""COMPUTED_VALUE"""),"Masonry")</f>
        <v>Masonry</v>
      </c>
      <c r="J3916" s="2" t="str">
        <f>IFERROR(__xludf.DUMMYFUNCTION("""COMPUTED_VALUE"""),"All amenities")</f>
        <v>All amenities</v>
      </c>
      <c r="K3916" s="2">
        <f>IFERROR(__xludf.DUMMYFUNCTION("""COMPUTED_VALUE"""),150.0)</f>
        <v>150</v>
      </c>
      <c r="L3916" s="2">
        <f>IFERROR(__xludf.DUMMYFUNCTION("""COMPUTED_VALUE"""),56.95009165)</f>
        <v>56.95009165</v>
      </c>
      <c r="M3916" s="2">
        <f>IFERROR(__xludf.DUMMYFUNCTION("""COMPUTED_VALUE"""),24.1304232666234)</f>
        <v>24.13042327</v>
      </c>
    </row>
    <row r="3917">
      <c r="A3917" s="2" t="str">
        <f>IFERROR(__xludf.DUMMYFUNCTION("""COMPUTED_VALUE"""),"For sale")</f>
        <v>For sale</v>
      </c>
      <c r="B3917" s="2" t="str">
        <f>IFERROR(__xludf.DUMMYFUNCTION("""COMPUTED_VALUE"""),"Vecmīlgrāvis")</f>
        <v>Vecmīlgrāvis</v>
      </c>
      <c r="C3917" s="2" t="str">
        <f>IFERROR(__xludf.DUMMYFUNCTION("""COMPUTED_VALUE"""),"Dombrovska 11")</f>
        <v>Dombrovska 11</v>
      </c>
      <c r="D3917" s="2">
        <f>IFERROR(__xludf.DUMMYFUNCTION("""COMPUTED_VALUE"""),3.0)</f>
        <v>3</v>
      </c>
      <c r="E3917" s="2">
        <f>IFERROR(__xludf.DUMMYFUNCTION("""COMPUTED_VALUE"""),40.0)</f>
        <v>40</v>
      </c>
      <c r="F3917" s="2">
        <f>IFERROR(__xludf.DUMMYFUNCTION("""COMPUTED_VALUE"""),3.0)</f>
        <v>3</v>
      </c>
      <c r="G3917" s="2">
        <f>IFERROR(__xludf.DUMMYFUNCTION("""COMPUTED_VALUE"""),3.0)</f>
        <v>3</v>
      </c>
      <c r="H3917" s="2" t="str">
        <f>IFERROR(__xludf.DUMMYFUNCTION("""COMPUTED_VALUE"""),"Staļina")</f>
        <v>Staļina</v>
      </c>
      <c r="I3917" s="2" t="str">
        <f>IFERROR(__xludf.DUMMYFUNCTION("""COMPUTED_VALUE"""),"Masonry")</f>
        <v>Masonry</v>
      </c>
      <c r="J3917" s="2" t="str">
        <f>IFERROR(__xludf.DUMMYFUNCTION("""COMPUTED_VALUE"""),"All amenities")</f>
        <v>All amenities</v>
      </c>
      <c r="K3917" s="2">
        <f>IFERROR(__xludf.DUMMYFUNCTION("""COMPUTED_VALUE"""),13890.0)</f>
        <v>13890</v>
      </c>
      <c r="L3917" s="2">
        <f>IFERROR(__xludf.DUMMYFUNCTION("""COMPUTED_VALUE"""),57.0297012)</f>
        <v>57.0297012</v>
      </c>
      <c r="M3917" s="2">
        <f>IFERROR(__xludf.DUMMYFUNCTION("""COMPUTED_VALUE"""),24.1128846683999)</f>
        <v>24.11288467</v>
      </c>
    </row>
    <row r="3918">
      <c r="A3918" s="2" t="str">
        <f>IFERROR(__xludf.DUMMYFUNCTION("""COMPUTED_VALUE"""),"For rent")</f>
        <v>For rent</v>
      </c>
      <c r="B3918" s="2" t="str">
        <f>IFERROR(__xludf.DUMMYFUNCTION("""COMPUTED_VALUE"""),"Šampēteris-Pleskodāle")</f>
        <v>Šampēteris-Pleskodāle</v>
      </c>
      <c r="C3918" s="2" t="str">
        <f>IFERROR(__xludf.DUMMYFUNCTION("""COMPUTED_VALUE"""),"Lielirbes 11")</f>
        <v>Lielirbes 11</v>
      </c>
      <c r="D3918" s="2">
        <f>IFERROR(__xludf.DUMMYFUNCTION("""COMPUTED_VALUE"""),3.0)</f>
        <v>3</v>
      </c>
      <c r="E3918" s="2">
        <f>IFERROR(__xludf.DUMMYFUNCTION("""COMPUTED_VALUE"""),93.0)</f>
        <v>93</v>
      </c>
      <c r="F3918" s="2">
        <f>IFERROR(__xludf.DUMMYFUNCTION("""COMPUTED_VALUE"""),9.0)</f>
        <v>9</v>
      </c>
      <c r="G3918" s="2">
        <f>IFERROR(__xludf.DUMMYFUNCTION("""COMPUTED_VALUE"""),23.0)</f>
        <v>23</v>
      </c>
      <c r="H3918" s="2" t="str">
        <f>IFERROR(__xludf.DUMMYFUNCTION("""COMPUTED_VALUE"""),"Jaun.")</f>
        <v>Jaun.</v>
      </c>
      <c r="I3918" s="2" t="str">
        <f>IFERROR(__xludf.DUMMYFUNCTION("""COMPUTED_VALUE"""),"Panel-Brick")</f>
        <v>Panel-Brick</v>
      </c>
      <c r="J3918" s="2" t="str">
        <f>IFERROR(__xludf.DUMMYFUNCTION("""COMPUTED_VALUE"""),"All amenities")</f>
        <v>All amenities</v>
      </c>
      <c r="K3918" s="2">
        <f>IFERROR(__xludf.DUMMYFUNCTION("""COMPUTED_VALUE"""),700.0)</f>
        <v>700</v>
      </c>
      <c r="L3918" s="2">
        <f>IFERROR(__xludf.DUMMYFUNCTION("""COMPUTED_VALUE"""),56.9340645)</f>
        <v>56.9340645</v>
      </c>
      <c r="M3918" s="2">
        <f>IFERROR(__xludf.DUMMYFUNCTION("""COMPUTED_VALUE"""),24.0436381)</f>
        <v>24.0436381</v>
      </c>
    </row>
    <row r="3919">
      <c r="A3919" s="2" t="str">
        <f>IFERROR(__xludf.DUMMYFUNCTION("""COMPUTED_VALUE"""),"For rent")</f>
        <v>For rent</v>
      </c>
      <c r="B3919" s="2" t="str">
        <f>IFERROR(__xludf.DUMMYFUNCTION("""COMPUTED_VALUE"""),"centrs")</f>
        <v>centrs</v>
      </c>
      <c r="C3919" s="2" t="str">
        <f>IFERROR(__xludf.DUMMYFUNCTION("""COMPUTED_VALUE"""),"Ģertrūdes 127")</f>
        <v>Ģertrūdes 127</v>
      </c>
      <c r="D3919" s="2">
        <f>IFERROR(__xludf.DUMMYFUNCTION("""COMPUTED_VALUE"""),1.0)</f>
        <v>1</v>
      </c>
      <c r="E3919" s="2">
        <f>IFERROR(__xludf.DUMMYFUNCTION("""COMPUTED_VALUE"""),29.0)</f>
        <v>29</v>
      </c>
      <c r="F3919" s="2">
        <f>IFERROR(__xludf.DUMMYFUNCTION("""COMPUTED_VALUE"""),4.0)</f>
        <v>4</v>
      </c>
      <c r="G3919" s="2">
        <f>IFERROR(__xludf.DUMMYFUNCTION("""COMPUTED_VALUE"""),5.0)</f>
        <v>5</v>
      </c>
      <c r="H3919" s="2" t="str">
        <f>IFERROR(__xludf.DUMMYFUNCTION("""COMPUTED_VALUE"""),"P. kara")</f>
        <v>P. kara</v>
      </c>
      <c r="I3919" s="2" t="str">
        <f>IFERROR(__xludf.DUMMYFUNCTION("""COMPUTED_VALUE"""),"Brick")</f>
        <v>Brick</v>
      </c>
      <c r="J3919" s="2" t="str">
        <f>IFERROR(__xludf.DUMMYFUNCTION("""COMPUTED_VALUE"""),"All amenities")</f>
        <v>All amenities</v>
      </c>
      <c r="K3919" s="2">
        <f>IFERROR(__xludf.DUMMYFUNCTION("""COMPUTED_VALUE"""),350.0)</f>
        <v>350</v>
      </c>
      <c r="L3919" s="2">
        <f>IFERROR(__xludf.DUMMYFUNCTION("""COMPUTED_VALUE"""),56.9475472)</f>
        <v>56.9475472</v>
      </c>
      <c r="M3919" s="2">
        <f>IFERROR(__xludf.DUMMYFUNCTION("""COMPUTED_VALUE"""),24.140900363777)</f>
        <v>24.14090036</v>
      </c>
    </row>
    <row r="3920">
      <c r="A3920" s="2" t="str">
        <f>IFERROR(__xludf.DUMMYFUNCTION("""COMPUTED_VALUE"""),"For rent")</f>
        <v>For rent</v>
      </c>
      <c r="B3920" s="2" t="str">
        <f>IFERROR(__xludf.DUMMYFUNCTION("""COMPUTED_VALUE"""),"centrs")</f>
        <v>centrs</v>
      </c>
      <c r="C3920" s="2" t="str">
        <f>IFERROR(__xludf.DUMMYFUNCTION("""COMPUTED_VALUE"""),"M. Piena 8")</f>
        <v>M. Piena 8</v>
      </c>
      <c r="D3920" s="2">
        <f>IFERROR(__xludf.DUMMYFUNCTION("""COMPUTED_VALUE"""),3.0)</f>
        <v>3</v>
      </c>
      <c r="E3920" s="2">
        <f>IFERROR(__xludf.DUMMYFUNCTION("""COMPUTED_VALUE"""),51.0)</f>
        <v>51</v>
      </c>
      <c r="F3920" s="2">
        <f>IFERROR(__xludf.DUMMYFUNCTION("""COMPUTED_VALUE"""),4.0)</f>
        <v>4</v>
      </c>
      <c r="G3920" s="2">
        <f>IFERROR(__xludf.DUMMYFUNCTION("""COMPUTED_VALUE"""),4.0)</f>
        <v>4</v>
      </c>
      <c r="H3920" s="2" t="str">
        <f>IFERROR(__xludf.DUMMYFUNCTION("""COMPUTED_VALUE"""),"P. kara")</f>
        <v>P. kara</v>
      </c>
      <c r="I3920" s="2" t="str">
        <f>IFERROR(__xludf.DUMMYFUNCTION("""COMPUTED_VALUE"""),"Brick")</f>
        <v>Brick</v>
      </c>
      <c r="J3920" s="2" t="str">
        <f>IFERROR(__xludf.DUMMYFUNCTION("""COMPUTED_VALUE"""),"All amenities")</f>
        <v>All amenities</v>
      </c>
      <c r="K3920" s="2">
        <f>IFERROR(__xludf.DUMMYFUNCTION("""COMPUTED_VALUE"""),550.0)</f>
        <v>550</v>
      </c>
      <c r="L3920" s="2">
        <f>IFERROR(__xludf.DUMMYFUNCTION("""COMPUTED_VALUE"""),56.9701058)</f>
        <v>56.9701058</v>
      </c>
      <c r="M3920" s="2">
        <f>IFERROR(__xludf.DUMMYFUNCTION("""COMPUTED_VALUE"""),24.1047657)</f>
        <v>24.1047657</v>
      </c>
    </row>
    <row r="3921">
      <c r="A3921" s="2" t="str">
        <f>IFERROR(__xludf.DUMMYFUNCTION("""COMPUTED_VALUE"""),"For sale")</f>
        <v>For sale</v>
      </c>
      <c r="B3921" s="2" t="str">
        <f>IFERROR(__xludf.DUMMYFUNCTION("""COMPUTED_VALUE"""),"Pļavnieki")</f>
        <v>Pļavnieki</v>
      </c>
      <c r="C3921" s="2" t="str">
        <f>IFERROR(__xludf.DUMMYFUNCTION("""COMPUTED_VALUE"""),"Dzeņu 10")</f>
        <v>Dzeņu 10</v>
      </c>
      <c r="D3921" s="2">
        <f>IFERROR(__xludf.DUMMYFUNCTION("""COMPUTED_VALUE"""),4.0)</f>
        <v>4</v>
      </c>
      <c r="E3921" s="2">
        <f>IFERROR(__xludf.DUMMYFUNCTION("""COMPUTED_VALUE"""),77.0)</f>
        <v>77</v>
      </c>
      <c r="F3921" s="2">
        <f>IFERROR(__xludf.DUMMYFUNCTION("""COMPUTED_VALUE"""),4.0)</f>
        <v>4</v>
      </c>
      <c r="G3921" s="2">
        <f>IFERROR(__xludf.DUMMYFUNCTION("""COMPUTED_VALUE"""),9.0)</f>
        <v>9</v>
      </c>
      <c r="H3921" s="2">
        <f>IFERROR(__xludf.DUMMYFUNCTION("""COMPUTED_VALUE"""),602.0)</f>
        <v>602</v>
      </c>
      <c r="I3921" s="2" t="str">
        <f>IFERROR(__xludf.DUMMYFUNCTION("""COMPUTED_VALUE"""),"Panel")</f>
        <v>Panel</v>
      </c>
      <c r="J3921" s="2" t="str">
        <f>IFERROR(__xludf.DUMMYFUNCTION("""COMPUTED_VALUE"""),"All amenities")</f>
        <v>All amenities</v>
      </c>
      <c r="K3921" s="2">
        <f>IFERROR(__xludf.DUMMYFUNCTION("""COMPUTED_VALUE"""),74500.0)</f>
        <v>74500</v>
      </c>
      <c r="L3921" s="2">
        <f>IFERROR(__xludf.DUMMYFUNCTION("""COMPUTED_VALUE"""),56.9399951)</f>
        <v>56.9399951</v>
      </c>
      <c r="M3921" s="2">
        <f>IFERROR(__xludf.DUMMYFUNCTION("""COMPUTED_VALUE"""),24.2115171849586)</f>
        <v>24.21151718</v>
      </c>
    </row>
    <row r="3922">
      <c r="A3922" s="2" t="str">
        <f>IFERROR(__xludf.DUMMYFUNCTION("""COMPUTED_VALUE"""),"For rent")</f>
        <v>For rent</v>
      </c>
      <c r="B3922" s="2" t="str">
        <f>IFERROR(__xludf.DUMMYFUNCTION("""COMPUTED_VALUE"""),"Bieriņi")</f>
        <v>Bieriņi</v>
      </c>
      <c r="C3922" s="2" t="str">
        <f>IFERROR(__xludf.DUMMYFUNCTION("""COMPUTED_VALUE"""),"Līdaku 3a")</f>
        <v>Līdaku 3a</v>
      </c>
      <c r="D3922" s="2">
        <f>IFERROR(__xludf.DUMMYFUNCTION("""COMPUTED_VALUE"""),1.0)</f>
        <v>1</v>
      </c>
      <c r="E3922" s="2">
        <f>IFERROR(__xludf.DUMMYFUNCTION("""COMPUTED_VALUE"""),25.0)</f>
        <v>25</v>
      </c>
      <c r="F3922" s="2">
        <f>IFERROR(__xludf.DUMMYFUNCTION("""COMPUTED_VALUE"""),2.0)</f>
        <v>2</v>
      </c>
      <c r="G3922" s="2">
        <f>IFERROR(__xludf.DUMMYFUNCTION("""COMPUTED_VALUE"""),2.0)</f>
        <v>2</v>
      </c>
      <c r="H3922" s="2" t="str">
        <f>IFERROR(__xludf.DUMMYFUNCTION("""COMPUTED_VALUE"""),"P. kara")</f>
        <v>P. kara</v>
      </c>
      <c r="I3922" s="2" t="str">
        <f>IFERROR(__xludf.DUMMYFUNCTION("""COMPUTED_VALUE"""),"Wood")</f>
        <v>Wood</v>
      </c>
      <c r="J3922" s="2" t="str">
        <f>IFERROR(__xludf.DUMMYFUNCTION("""COMPUTED_VALUE"""),"Partial amenities")</f>
        <v>Partial amenities</v>
      </c>
      <c r="K3922" s="2">
        <f>IFERROR(__xludf.DUMMYFUNCTION("""COMPUTED_VALUE"""),160.0)</f>
        <v>160</v>
      </c>
      <c r="L3922" s="2">
        <f>IFERROR(__xludf.DUMMYFUNCTION("""COMPUTED_VALUE"""),56.9259282)</f>
        <v>56.9259282</v>
      </c>
      <c r="M3922" s="2">
        <f>IFERROR(__xludf.DUMMYFUNCTION("""COMPUTED_VALUE"""),24.0636441)</f>
        <v>24.0636441</v>
      </c>
    </row>
    <row r="3923">
      <c r="A3923" s="2" t="str">
        <f>IFERROR(__xludf.DUMMYFUNCTION("""COMPUTED_VALUE"""),"For sale")</f>
        <v>For sale</v>
      </c>
      <c r="B3923" s="2" t="str">
        <f>IFERROR(__xludf.DUMMYFUNCTION("""COMPUTED_VALUE"""),"Pļavnieki")</f>
        <v>Pļavnieki</v>
      </c>
      <c r="C3923" s="2" t="str">
        <f>IFERROR(__xludf.DUMMYFUNCTION("""COMPUTED_VALUE"""),"Salnas 3")</f>
        <v>Salnas 3</v>
      </c>
      <c r="D3923" s="2">
        <f>IFERROR(__xludf.DUMMYFUNCTION("""COMPUTED_VALUE"""),4.0)</f>
        <v>4</v>
      </c>
      <c r="E3923" s="2">
        <f>IFERROR(__xludf.DUMMYFUNCTION("""COMPUTED_VALUE"""),77.0)</f>
        <v>77</v>
      </c>
      <c r="F3923" s="2">
        <f>IFERROR(__xludf.DUMMYFUNCTION("""COMPUTED_VALUE"""),4.0)</f>
        <v>4</v>
      </c>
      <c r="G3923" s="2">
        <f>IFERROR(__xludf.DUMMYFUNCTION("""COMPUTED_VALUE"""),9.0)</f>
        <v>9</v>
      </c>
      <c r="H3923" s="2">
        <f>IFERROR(__xludf.DUMMYFUNCTION("""COMPUTED_VALUE"""),602.0)</f>
        <v>602</v>
      </c>
      <c r="I3923" s="2" t="str">
        <f>IFERROR(__xludf.DUMMYFUNCTION("""COMPUTED_VALUE"""),"Panel")</f>
        <v>Panel</v>
      </c>
      <c r="J3923" s="2" t="str">
        <f>IFERROR(__xludf.DUMMYFUNCTION("""COMPUTED_VALUE"""),"All amenities")</f>
        <v>All amenities</v>
      </c>
      <c r="K3923" s="2">
        <f>IFERROR(__xludf.DUMMYFUNCTION("""COMPUTED_VALUE"""),63000.0)</f>
        <v>63000</v>
      </c>
      <c r="L3923" s="2">
        <f>IFERROR(__xludf.DUMMYFUNCTION("""COMPUTED_VALUE"""),56.9436071)</f>
        <v>56.9436071</v>
      </c>
      <c r="M3923" s="2">
        <f>IFERROR(__xludf.DUMMYFUNCTION("""COMPUTED_VALUE"""),24.2189393107488)</f>
        <v>24.21893931</v>
      </c>
    </row>
    <row r="3924">
      <c r="A3924" s="2" t="str">
        <f>IFERROR(__xludf.DUMMYFUNCTION("""COMPUTED_VALUE"""),"For rent")</f>
        <v>For rent</v>
      </c>
      <c r="B3924" s="2" t="str">
        <f>IFERROR(__xludf.DUMMYFUNCTION("""COMPUTED_VALUE"""),"Sarkandaugava")</f>
        <v>Sarkandaugava</v>
      </c>
      <c r="C3924" s="2" t="str">
        <f>IFERROR(__xludf.DUMMYFUNCTION("""COMPUTED_VALUE"""),"Limbažu 2")</f>
        <v>Limbažu 2</v>
      </c>
      <c r="D3924" s="2">
        <f>IFERROR(__xludf.DUMMYFUNCTION("""COMPUTED_VALUE"""),1.0)</f>
        <v>1</v>
      </c>
      <c r="E3924" s="2">
        <f>IFERROR(__xludf.DUMMYFUNCTION("""COMPUTED_VALUE"""),26.12)</f>
        <v>26.12</v>
      </c>
      <c r="F3924" s="2">
        <f>IFERROR(__xludf.DUMMYFUNCTION("""COMPUTED_VALUE"""),5.0)</f>
        <v>5</v>
      </c>
      <c r="G3924" s="2">
        <f>IFERROR(__xludf.DUMMYFUNCTION("""COMPUTED_VALUE"""),5.0)</f>
        <v>5</v>
      </c>
      <c r="H3924" s="2" t="str">
        <f>IFERROR(__xludf.DUMMYFUNCTION("""COMPUTED_VALUE"""),"Hrušč.")</f>
        <v>Hrušč.</v>
      </c>
      <c r="I3924" s="2" t="str">
        <f>IFERROR(__xludf.DUMMYFUNCTION("""COMPUTED_VALUE"""),"Brick")</f>
        <v>Brick</v>
      </c>
      <c r="J3924" s="2" t="str">
        <f>IFERROR(__xludf.DUMMYFUNCTION("""COMPUTED_VALUE"""),"All amenities")</f>
        <v>All amenities</v>
      </c>
      <c r="K3924" s="2">
        <f>IFERROR(__xludf.DUMMYFUNCTION("""COMPUTED_VALUE"""),200.0)</f>
        <v>200</v>
      </c>
      <c r="L3924" s="2">
        <f>IFERROR(__xludf.DUMMYFUNCTION("""COMPUTED_VALUE"""),57.00023195)</f>
        <v>57.00023195</v>
      </c>
      <c r="M3924" s="2">
        <f>IFERROR(__xludf.DUMMYFUNCTION("""COMPUTED_VALUE"""),24.1192429999999)</f>
        <v>24.119243</v>
      </c>
    </row>
    <row r="3925">
      <c r="A3925" s="2" t="str">
        <f>IFERROR(__xludf.DUMMYFUNCTION("""COMPUTED_VALUE"""),"For rent")</f>
        <v>For rent</v>
      </c>
      <c r="B3925" s="2" t="str">
        <f>IFERROR(__xludf.DUMMYFUNCTION("""COMPUTED_VALUE"""),"centrs")</f>
        <v>centrs</v>
      </c>
      <c r="C3925" s="2" t="str">
        <f>IFERROR(__xludf.DUMMYFUNCTION("""COMPUTED_VALUE"""),"Senču 5")</f>
        <v>Senču 5</v>
      </c>
      <c r="D3925" s="2">
        <f>IFERROR(__xludf.DUMMYFUNCTION("""COMPUTED_VALUE"""),3.0)</f>
        <v>3</v>
      </c>
      <c r="E3925" s="2">
        <f>IFERROR(__xludf.DUMMYFUNCTION("""COMPUTED_VALUE"""),93.0)</f>
        <v>93</v>
      </c>
      <c r="F3925" s="2">
        <f>IFERROR(__xludf.DUMMYFUNCTION("""COMPUTED_VALUE"""),3.0)</f>
        <v>3</v>
      </c>
      <c r="G3925" s="2">
        <f>IFERROR(__xludf.DUMMYFUNCTION("""COMPUTED_VALUE"""),5.0)</f>
        <v>5</v>
      </c>
      <c r="H3925" s="2" t="str">
        <f>IFERROR(__xludf.DUMMYFUNCTION("""COMPUTED_VALUE"""),"P. kara")</f>
        <v>P. kara</v>
      </c>
      <c r="I3925" s="2" t="str">
        <f>IFERROR(__xludf.DUMMYFUNCTION("""COMPUTED_VALUE"""),"Masonry")</f>
        <v>Masonry</v>
      </c>
      <c r="J3925" s="2" t="str">
        <f>IFERROR(__xludf.DUMMYFUNCTION("""COMPUTED_VALUE"""),"All amenities")</f>
        <v>All amenities</v>
      </c>
      <c r="K3925" s="2">
        <f>IFERROR(__xludf.DUMMYFUNCTION("""COMPUTED_VALUE"""),450.0)</f>
        <v>450</v>
      </c>
      <c r="L3925" s="2">
        <f>IFERROR(__xludf.DUMMYFUNCTION("""COMPUTED_VALUE"""),56.9676747)</f>
        <v>56.9676747</v>
      </c>
      <c r="M3925" s="2">
        <f>IFERROR(__xludf.DUMMYFUNCTION("""COMPUTED_VALUE"""),24.1452267050793)</f>
        <v>24.14522671</v>
      </c>
    </row>
    <row r="3926">
      <c r="A3926" s="2" t="str">
        <f>IFERROR(__xludf.DUMMYFUNCTION("""COMPUTED_VALUE"""),"For sale")</f>
        <v>For sale</v>
      </c>
      <c r="B3926" s="2" t="str">
        <f>IFERROR(__xludf.DUMMYFUNCTION("""COMPUTED_VALUE"""),"Zolitūde")</f>
        <v>Zolitūde</v>
      </c>
      <c r="C3926" s="2" t="str">
        <f>IFERROR(__xludf.DUMMYFUNCTION("""COMPUTED_VALUE"""),"Lejiņa 3")</f>
        <v>Lejiņa 3</v>
      </c>
      <c r="D3926" s="2">
        <f>IFERROR(__xludf.DUMMYFUNCTION("""COMPUTED_VALUE"""),2.0)</f>
        <v>2</v>
      </c>
      <c r="E3926" s="2">
        <f>IFERROR(__xludf.DUMMYFUNCTION("""COMPUTED_VALUE"""),58.0)</f>
        <v>58</v>
      </c>
      <c r="F3926" s="2">
        <f>IFERROR(__xludf.DUMMYFUNCTION("""COMPUTED_VALUE"""),5.0)</f>
        <v>5</v>
      </c>
      <c r="G3926" s="2">
        <f>IFERROR(__xludf.DUMMYFUNCTION("""COMPUTED_VALUE"""),9.0)</f>
        <v>9</v>
      </c>
      <c r="H3926" s="2">
        <f>IFERROR(__xludf.DUMMYFUNCTION("""COMPUTED_VALUE"""),119.0)</f>
        <v>119</v>
      </c>
      <c r="I3926" s="2" t="str">
        <f>IFERROR(__xludf.DUMMYFUNCTION("""COMPUTED_VALUE"""),"Panel")</f>
        <v>Panel</v>
      </c>
      <c r="J3926" s="2" t="str">
        <f>IFERROR(__xludf.DUMMYFUNCTION("""COMPUTED_VALUE"""),"All amenities")</f>
        <v>All amenities</v>
      </c>
      <c r="K3926" s="2">
        <f>IFERROR(__xludf.DUMMYFUNCTION("""COMPUTED_VALUE"""),65000.0)</f>
        <v>65000</v>
      </c>
      <c r="L3926" s="2">
        <f>IFERROR(__xludf.DUMMYFUNCTION("""COMPUTED_VALUE"""),56.94716445)</f>
        <v>56.94716445</v>
      </c>
      <c r="M3926" s="2">
        <f>IFERROR(__xludf.DUMMYFUNCTION("""COMPUTED_VALUE"""),24.0144371864952)</f>
        <v>24.01443719</v>
      </c>
    </row>
    <row r="3927">
      <c r="A3927" s="2" t="str">
        <f>IFERROR(__xludf.DUMMYFUNCTION("""COMPUTED_VALUE"""),"For rent")</f>
        <v>For rent</v>
      </c>
      <c r="B3927" s="2" t="str">
        <f>IFERROR(__xludf.DUMMYFUNCTION("""COMPUTED_VALUE"""),"Ziepniekkalns")</f>
        <v>Ziepniekkalns</v>
      </c>
      <c r="C3927" s="2" t="str">
        <f>IFERROR(__xludf.DUMMYFUNCTION("""COMPUTED_VALUE"""),"Valdeķu 66/1")</f>
        <v>Valdeķu 66/1</v>
      </c>
      <c r="D3927" s="2">
        <f>IFERROR(__xludf.DUMMYFUNCTION("""COMPUTED_VALUE"""),1.0)</f>
        <v>1</v>
      </c>
      <c r="E3927" s="2">
        <f>IFERROR(__xludf.DUMMYFUNCTION("""COMPUTED_VALUE"""),34.0)</f>
        <v>34</v>
      </c>
      <c r="F3927" s="2">
        <f>IFERROR(__xludf.DUMMYFUNCTION("""COMPUTED_VALUE"""),5.0)</f>
        <v>5</v>
      </c>
      <c r="G3927" s="2">
        <f>IFERROR(__xludf.DUMMYFUNCTION("""COMPUTED_VALUE"""),9.0)</f>
        <v>9</v>
      </c>
      <c r="H3927" s="2">
        <f>IFERROR(__xludf.DUMMYFUNCTION("""COMPUTED_VALUE"""),602.0)</f>
        <v>602</v>
      </c>
      <c r="I3927" s="2" t="str">
        <f>IFERROR(__xludf.DUMMYFUNCTION("""COMPUTED_VALUE"""),"Panel")</f>
        <v>Panel</v>
      </c>
      <c r="J3927" s="2" t="str">
        <f>IFERROR(__xludf.DUMMYFUNCTION("""COMPUTED_VALUE"""),"All amenities")</f>
        <v>All amenities</v>
      </c>
      <c r="K3927" s="2">
        <f>IFERROR(__xludf.DUMMYFUNCTION("""COMPUTED_VALUE"""),220.0)</f>
        <v>220</v>
      </c>
      <c r="L3927" s="2">
        <f>IFERROR(__xludf.DUMMYFUNCTION("""COMPUTED_VALUE"""),56.9150015)</f>
        <v>56.9150015</v>
      </c>
      <c r="M3927" s="2">
        <f>IFERROR(__xludf.DUMMYFUNCTION("""COMPUTED_VALUE"""),24.0967059)</f>
        <v>24.0967059</v>
      </c>
    </row>
    <row r="3928">
      <c r="A3928" s="2" t="str">
        <f>IFERROR(__xludf.DUMMYFUNCTION("""COMPUTED_VALUE"""),"For sale")</f>
        <v>For sale</v>
      </c>
      <c r="B3928" s="2" t="str">
        <f>IFERROR(__xludf.DUMMYFUNCTION("""COMPUTED_VALUE"""),"Zolitūde")</f>
        <v>Zolitūde</v>
      </c>
      <c r="C3928" s="2" t="str">
        <f>IFERROR(__xludf.DUMMYFUNCTION("""COMPUTED_VALUE"""),"Rostokas 22")</f>
        <v>Rostokas 22</v>
      </c>
      <c r="D3928" s="2">
        <f>IFERROR(__xludf.DUMMYFUNCTION("""COMPUTED_VALUE"""),4.0)</f>
        <v>4</v>
      </c>
      <c r="E3928" s="2">
        <f>IFERROR(__xludf.DUMMYFUNCTION("""COMPUTED_VALUE"""),90.0)</f>
        <v>90</v>
      </c>
      <c r="F3928" s="2">
        <f>IFERROR(__xludf.DUMMYFUNCTION("""COMPUTED_VALUE"""),1.0)</f>
        <v>1</v>
      </c>
      <c r="G3928" s="2">
        <f>IFERROR(__xludf.DUMMYFUNCTION("""COMPUTED_VALUE"""),9.0)</f>
        <v>9</v>
      </c>
      <c r="H3928" s="2">
        <f>IFERROR(__xludf.DUMMYFUNCTION("""COMPUTED_VALUE"""),119.0)</f>
        <v>119</v>
      </c>
      <c r="I3928" s="2" t="str">
        <f>IFERROR(__xludf.DUMMYFUNCTION("""COMPUTED_VALUE"""),"Panel")</f>
        <v>Panel</v>
      </c>
      <c r="J3928" s="2" t="str">
        <f>IFERROR(__xludf.DUMMYFUNCTION("""COMPUTED_VALUE"""),"All amenities")</f>
        <v>All amenities</v>
      </c>
      <c r="K3928" s="2">
        <f>IFERROR(__xludf.DUMMYFUNCTION("""COMPUTED_VALUE"""),69900.0)</f>
        <v>69900</v>
      </c>
      <c r="L3928" s="2">
        <f>IFERROR(__xludf.DUMMYFUNCTION("""COMPUTED_VALUE"""),54.1436099999999)</f>
        <v>54.14361</v>
      </c>
      <c r="M3928" s="2">
        <f>IFERROR(__xludf.DUMMYFUNCTION("""COMPUTED_VALUE"""),12.05044145)</f>
        <v>12.05044145</v>
      </c>
    </row>
    <row r="3929">
      <c r="A3929" s="2" t="str">
        <f>IFERROR(__xludf.DUMMYFUNCTION("""COMPUTED_VALUE"""),"For rent")</f>
        <v>For rent</v>
      </c>
      <c r="B3929" s="2" t="str">
        <f>IFERROR(__xludf.DUMMYFUNCTION("""COMPUTED_VALUE"""),"Pļavnieki")</f>
        <v>Pļavnieki</v>
      </c>
      <c r="C3929" s="2" t="str">
        <f>IFERROR(__xludf.DUMMYFUNCTION("""COMPUTED_VALUE"""),"Rudens 9")</f>
        <v>Rudens 9</v>
      </c>
      <c r="D3929" s="2">
        <f>IFERROR(__xludf.DUMMYFUNCTION("""COMPUTED_VALUE"""),1.0)</f>
        <v>1</v>
      </c>
      <c r="E3929" s="2">
        <f>IFERROR(__xludf.DUMMYFUNCTION("""COMPUTED_VALUE"""),31.0)</f>
        <v>31</v>
      </c>
      <c r="F3929" s="2">
        <f>IFERROR(__xludf.DUMMYFUNCTION("""COMPUTED_VALUE"""),1.0)</f>
        <v>1</v>
      </c>
      <c r="G3929" s="2">
        <f>IFERROR(__xludf.DUMMYFUNCTION("""COMPUTED_VALUE"""),9.0)</f>
        <v>9</v>
      </c>
      <c r="H3929" s="2">
        <f>IFERROR(__xludf.DUMMYFUNCTION("""COMPUTED_VALUE"""),602.0)</f>
        <v>602</v>
      </c>
      <c r="I3929" s="2" t="str">
        <f>IFERROR(__xludf.DUMMYFUNCTION("""COMPUTED_VALUE"""),"Panel")</f>
        <v>Panel</v>
      </c>
      <c r="J3929" s="2" t="str">
        <f>IFERROR(__xludf.DUMMYFUNCTION("""COMPUTED_VALUE"""),"All amenities")</f>
        <v>All amenities</v>
      </c>
      <c r="K3929" s="2">
        <f>IFERROR(__xludf.DUMMYFUNCTION("""COMPUTED_VALUE"""),210.0)</f>
        <v>210</v>
      </c>
      <c r="L3929" s="2">
        <f>IFERROR(__xludf.DUMMYFUNCTION("""COMPUTED_VALUE"""),56.9385506499999)</f>
        <v>56.93855065</v>
      </c>
      <c r="M3929" s="2">
        <f>IFERROR(__xludf.DUMMYFUNCTION("""COMPUTED_VALUE"""),24.201576660629)</f>
        <v>24.20157666</v>
      </c>
    </row>
    <row r="3930">
      <c r="A3930" s="2" t="str">
        <f>IFERROR(__xludf.DUMMYFUNCTION("""COMPUTED_VALUE"""),"For sale")</f>
        <v>For sale</v>
      </c>
      <c r="B3930" s="2" t="str">
        <f>IFERROR(__xludf.DUMMYFUNCTION("""COMPUTED_VALUE"""),"Vecmīlgrāvis")</f>
        <v>Vecmīlgrāvis</v>
      </c>
      <c r="C3930" s="2" t="str">
        <f>IFERROR(__xludf.DUMMYFUNCTION("""COMPUTED_VALUE"""),"Atlantijas 67")</f>
        <v>Atlantijas 67</v>
      </c>
      <c r="D3930" s="2">
        <f>IFERROR(__xludf.DUMMYFUNCTION("""COMPUTED_VALUE"""),2.0)</f>
        <v>2</v>
      </c>
      <c r="E3930" s="2">
        <f>IFERROR(__xludf.DUMMYFUNCTION("""COMPUTED_VALUE"""),62.0)</f>
        <v>62</v>
      </c>
      <c r="F3930" s="2">
        <f>IFERROR(__xludf.DUMMYFUNCTION("""COMPUTED_VALUE"""),2.0)</f>
        <v>2</v>
      </c>
      <c r="G3930" s="2">
        <f>IFERROR(__xludf.DUMMYFUNCTION("""COMPUTED_VALUE"""),3.0)</f>
        <v>3</v>
      </c>
      <c r="H3930" s="2" t="str">
        <f>IFERROR(__xludf.DUMMYFUNCTION("""COMPUTED_VALUE"""),"Staļina")</f>
        <v>Staļina</v>
      </c>
      <c r="I3930" s="2" t="str">
        <f>IFERROR(__xludf.DUMMYFUNCTION("""COMPUTED_VALUE"""),"Masonry")</f>
        <v>Masonry</v>
      </c>
      <c r="J3930" s="2" t="str">
        <f>IFERROR(__xludf.DUMMYFUNCTION("""COMPUTED_VALUE"""),"All amenities")</f>
        <v>All amenities</v>
      </c>
      <c r="K3930" s="2">
        <f>IFERROR(__xludf.DUMMYFUNCTION("""COMPUTED_VALUE"""),42900.0)</f>
        <v>42900</v>
      </c>
      <c r="L3930" s="2">
        <f>IFERROR(__xludf.DUMMYFUNCTION("""COMPUTED_VALUE"""),57.0448915)</f>
        <v>57.0448915</v>
      </c>
      <c r="M3930" s="2">
        <f>IFERROR(__xludf.DUMMYFUNCTION("""COMPUTED_VALUE"""),24.0918912848871)</f>
        <v>24.09189128</v>
      </c>
    </row>
    <row r="3931">
      <c r="A3931" s="2" t="str">
        <f>IFERROR(__xludf.DUMMYFUNCTION("""COMPUTED_VALUE"""),"For rent")</f>
        <v>For rent</v>
      </c>
      <c r="B3931" s="2" t="str">
        <f>IFERROR(__xludf.DUMMYFUNCTION("""COMPUTED_VALUE"""),"Mežaparks")</f>
        <v>Mežaparks</v>
      </c>
      <c r="C3931" s="2" t="str">
        <f>IFERROR(__xludf.DUMMYFUNCTION("""COMPUTED_VALUE"""),"Siguldas pr. 14")</f>
        <v>Siguldas pr. 14</v>
      </c>
      <c r="D3931" s="2">
        <f>IFERROR(__xludf.DUMMYFUNCTION("""COMPUTED_VALUE"""),4.0)</f>
        <v>4</v>
      </c>
      <c r="E3931" s="2">
        <f>IFERROR(__xludf.DUMMYFUNCTION("""COMPUTED_VALUE"""),151.0)</f>
        <v>151</v>
      </c>
      <c r="F3931" s="2">
        <f>IFERROR(__xludf.DUMMYFUNCTION("""COMPUTED_VALUE"""),2.0)</f>
        <v>2</v>
      </c>
      <c r="G3931" s="2">
        <f>IFERROR(__xludf.DUMMYFUNCTION("""COMPUTED_VALUE"""),3.0)</f>
        <v>3</v>
      </c>
      <c r="H3931" s="2" t="str">
        <f>IFERROR(__xludf.DUMMYFUNCTION("""COMPUTED_VALUE"""),"P. kara")</f>
        <v>P. kara</v>
      </c>
      <c r="I3931" s="2" t="str">
        <f>IFERROR(__xludf.DUMMYFUNCTION("""COMPUTED_VALUE"""),"Masonry")</f>
        <v>Masonry</v>
      </c>
      <c r="J3931" s="2" t="str">
        <f>IFERROR(__xludf.DUMMYFUNCTION("""COMPUTED_VALUE"""),"All amenities")</f>
        <v>All amenities</v>
      </c>
      <c r="K3931" s="2">
        <f>IFERROR(__xludf.DUMMYFUNCTION("""COMPUTED_VALUE"""),1900.0)</f>
        <v>1900</v>
      </c>
      <c r="L3931" s="2" t="str">
        <f>IFERROR(__xludf.DUMMYFUNCTION("""COMPUTED_VALUE"""),"NaN")</f>
        <v>NaN</v>
      </c>
      <c r="M3931" s="2" t="str">
        <f>IFERROR(__xludf.DUMMYFUNCTION("""COMPUTED_VALUE"""),"NaN")</f>
        <v>NaN</v>
      </c>
    </row>
    <row r="3932">
      <c r="A3932" s="2" t="str">
        <f>IFERROR(__xludf.DUMMYFUNCTION("""COMPUTED_VALUE"""),"For rent")</f>
        <v>For rent</v>
      </c>
      <c r="B3932" s="2" t="str">
        <f>IFERROR(__xludf.DUMMYFUNCTION("""COMPUTED_VALUE"""),"centrs")</f>
        <v>centrs</v>
      </c>
      <c r="C3932" s="2" t="str">
        <f>IFERROR(__xludf.DUMMYFUNCTION("""COMPUTED_VALUE"""),"Čaka 89")</f>
        <v>Čaka 89</v>
      </c>
      <c r="D3932" s="2">
        <f>IFERROR(__xludf.DUMMYFUNCTION("""COMPUTED_VALUE"""),1.0)</f>
        <v>1</v>
      </c>
      <c r="E3932" s="2">
        <f>IFERROR(__xludf.DUMMYFUNCTION("""COMPUTED_VALUE"""),13.0)</f>
        <v>13</v>
      </c>
      <c r="F3932" s="2">
        <f>IFERROR(__xludf.DUMMYFUNCTION("""COMPUTED_VALUE"""),2.0)</f>
        <v>2</v>
      </c>
      <c r="G3932" s="2">
        <f>IFERROR(__xludf.DUMMYFUNCTION("""COMPUTED_VALUE"""),2.0)</f>
        <v>2</v>
      </c>
      <c r="H3932" s="2" t="str">
        <f>IFERROR(__xludf.DUMMYFUNCTION("""COMPUTED_VALUE"""),"Renov.")</f>
        <v>Renov.</v>
      </c>
      <c r="I3932" s="2" t="str">
        <f>IFERROR(__xludf.DUMMYFUNCTION("""COMPUTED_VALUE"""),"Masonry")</f>
        <v>Masonry</v>
      </c>
      <c r="J3932" s="2" t="str">
        <f>IFERROR(__xludf.DUMMYFUNCTION("""COMPUTED_VALUE"""),"All amenities")</f>
        <v>All amenities</v>
      </c>
      <c r="K3932" s="2">
        <f>IFERROR(__xludf.DUMMYFUNCTION("""COMPUTED_VALUE"""),295.0)</f>
        <v>295</v>
      </c>
      <c r="L3932" s="2">
        <f>IFERROR(__xludf.DUMMYFUNCTION("""COMPUTED_VALUE"""),56.95712685)</f>
        <v>56.95712685</v>
      </c>
      <c r="M3932" s="2">
        <f>IFERROR(__xludf.DUMMYFUNCTION("""COMPUTED_VALUE"""),24.1375877857218)</f>
        <v>24.13758779</v>
      </c>
    </row>
    <row r="3933">
      <c r="A3933" s="2" t="str">
        <f>IFERROR(__xludf.DUMMYFUNCTION("""COMPUTED_VALUE"""),"For rent")</f>
        <v>For rent</v>
      </c>
      <c r="B3933" s="2" t="str">
        <f>IFERROR(__xludf.DUMMYFUNCTION("""COMPUTED_VALUE"""),"Purvciems")</f>
        <v>Purvciems</v>
      </c>
      <c r="C3933" s="2" t="str">
        <f>IFERROR(__xludf.DUMMYFUNCTION("""COMPUTED_VALUE"""),"Viršu 4")</f>
        <v>Viršu 4</v>
      </c>
      <c r="D3933" s="2">
        <f>IFERROR(__xludf.DUMMYFUNCTION("""COMPUTED_VALUE"""),1.0)</f>
        <v>1</v>
      </c>
      <c r="E3933" s="2">
        <f>IFERROR(__xludf.DUMMYFUNCTION("""COMPUTED_VALUE"""),44.0)</f>
        <v>44</v>
      </c>
      <c r="F3933" s="2">
        <f>IFERROR(__xludf.DUMMYFUNCTION("""COMPUTED_VALUE"""),7.0)</f>
        <v>7</v>
      </c>
      <c r="G3933" s="2">
        <f>IFERROR(__xludf.DUMMYFUNCTION("""COMPUTED_VALUE"""),12.0)</f>
        <v>12</v>
      </c>
      <c r="H3933" s="2">
        <f>IFERROR(__xludf.DUMMYFUNCTION("""COMPUTED_VALUE"""),104.0)</f>
        <v>104</v>
      </c>
      <c r="I3933" s="2" t="str">
        <f>IFERROR(__xludf.DUMMYFUNCTION("""COMPUTED_VALUE"""),"Panel")</f>
        <v>Panel</v>
      </c>
      <c r="J3933" s="2" t="str">
        <f>IFERROR(__xludf.DUMMYFUNCTION("""COMPUTED_VALUE"""),"All amenities")</f>
        <v>All amenities</v>
      </c>
      <c r="K3933" s="2">
        <f>IFERROR(__xludf.DUMMYFUNCTION("""COMPUTED_VALUE"""),250.0)</f>
        <v>250</v>
      </c>
      <c r="L3933" s="2">
        <f>IFERROR(__xludf.DUMMYFUNCTION("""COMPUTED_VALUE"""),56.95225155)</f>
        <v>56.95225155</v>
      </c>
      <c r="M3933" s="2">
        <f>IFERROR(__xludf.DUMMYFUNCTION("""COMPUTED_VALUE"""),24.17958265)</f>
        <v>24.17958265</v>
      </c>
    </row>
    <row r="3934">
      <c r="A3934" s="2" t="str">
        <f>IFERROR(__xludf.DUMMYFUNCTION("""COMPUTED_VALUE"""),"For rent")</f>
        <v>For rent</v>
      </c>
      <c r="B3934" s="2" t="str">
        <f>IFERROR(__xludf.DUMMYFUNCTION("""COMPUTED_VALUE"""),"Zolitūde")</f>
        <v>Zolitūde</v>
      </c>
      <c r="C3934" s="2" t="str">
        <f>IFERROR(__xludf.DUMMYFUNCTION("""COMPUTED_VALUE"""),"Bieziņa 3")</f>
        <v>Bieziņa 3</v>
      </c>
      <c r="D3934" s="2">
        <f>IFERROR(__xludf.DUMMYFUNCTION("""COMPUTED_VALUE"""),3.0)</f>
        <v>3</v>
      </c>
      <c r="E3934" s="2">
        <f>IFERROR(__xludf.DUMMYFUNCTION("""COMPUTED_VALUE"""),70.0)</f>
        <v>70</v>
      </c>
      <c r="F3934" s="2">
        <f>IFERROR(__xludf.DUMMYFUNCTION("""COMPUTED_VALUE"""),2.0)</f>
        <v>2</v>
      </c>
      <c r="G3934" s="2">
        <f>IFERROR(__xludf.DUMMYFUNCTION("""COMPUTED_VALUE"""),10.0)</f>
        <v>10</v>
      </c>
      <c r="H3934" s="2">
        <f>IFERROR(__xludf.DUMMYFUNCTION("""COMPUTED_VALUE"""),119.0)</f>
        <v>119</v>
      </c>
      <c r="I3934" s="2" t="str">
        <f>IFERROR(__xludf.DUMMYFUNCTION("""COMPUTED_VALUE"""),"Panel")</f>
        <v>Panel</v>
      </c>
      <c r="J3934" s="2" t="str">
        <f>IFERROR(__xludf.DUMMYFUNCTION("""COMPUTED_VALUE"""),"All amenities")</f>
        <v>All amenities</v>
      </c>
      <c r="K3934" s="2">
        <f>IFERROR(__xludf.DUMMYFUNCTION("""COMPUTED_VALUE"""),300.0)</f>
        <v>300</v>
      </c>
      <c r="L3934" s="2">
        <f>IFERROR(__xludf.DUMMYFUNCTION("""COMPUTED_VALUE"""),56.94454425)</f>
        <v>56.94454425</v>
      </c>
      <c r="M3934" s="2">
        <f>IFERROR(__xludf.DUMMYFUNCTION("""COMPUTED_VALUE"""),24.0173908499999)</f>
        <v>24.01739085</v>
      </c>
    </row>
    <row r="3935">
      <c r="A3935" s="2" t="str">
        <f>IFERROR(__xludf.DUMMYFUNCTION("""COMPUTED_VALUE"""),"For rent")</f>
        <v>For rent</v>
      </c>
      <c r="B3935" s="2" t="str">
        <f>IFERROR(__xludf.DUMMYFUNCTION("""COMPUTED_VALUE"""),"centrs")</f>
        <v>centrs</v>
      </c>
      <c r="C3935" s="2" t="str">
        <f>IFERROR(__xludf.DUMMYFUNCTION("""COMPUTED_VALUE"""),"Matīsa 14")</f>
        <v>Matīsa 14</v>
      </c>
      <c r="D3935" s="2">
        <f>IFERROR(__xludf.DUMMYFUNCTION("""COMPUTED_VALUE"""),1.0)</f>
        <v>1</v>
      </c>
      <c r="E3935" s="2">
        <f>IFERROR(__xludf.DUMMYFUNCTION("""COMPUTED_VALUE"""),33.0)</f>
        <v>33</v>
      </c>
      <c r="F3935" s="2">
        <f>IFERROR(__xludf.DUMMYFUNCTION("""COMPUTED_VALUE"""),2.0)</f>
        <v>2</v>
      </c>
      <c r="G3935" s="2">
        <f>IFERROR(__xludf.DUMMYFUNCTION("""COMPUTED_VALUE"""),2.0)</f>
        <v>2</v>
      </c>
      <c r="H3935" s="2" t="str">
        <f>IFERROR(__xludf.DUMMYFUNCTION("""COMPUTED_VALUE"""),"P. kara")</f>
        <v>P. kara</v>
      </c>
      <c r="I3935" s="2" t="str">
        <f>IFERROR(__xludf.DUMMYFUNCTION("""COMPUTED_VALUE"""),"Wood")</f>
        <v>Wood</v>
      </c>
      <c r="J3935" s="2" t="str">
        <f>IFERROR(__xludf.DUMMYFUNCTION("""COMPUTED_VALUE"""),"All amenities")</f>
        <v>All amenities</v>
      </c>
      <c r="K3935" s="2">
        <f>IFERROR(__xludf.DUMMYFUNCTION("""COMPUTED_VALUE"""),265.0)</f>
        <v>265</v>
      </c>
      <c r="L3935" s="2">
        <f>IFERROR(__xludf.DUMMYFUNCTION("""COMPUTED_VALUE"""),56.9577769)</f>
        <v>56.9577769</v>
      </c>
      <c r="M3935" s="2">
        <f>IFERROR(__xludf.DUMMYFUNCTION("""COMPUTED_VALUE"""),24.1314333986467)</f>
        <v>24.1314334</v>
      </c>
    </row>
    <row r="3936">
      <c r="A3936" s="2" t="str">
        <f>IFERROR(__xludf.DUMMYFUNCTION("""COMPUTED_VALUE"""),"For rent")</f>
        <v>For rent</v>
      </c>
      <c r="B3936" s="2" t="str">
        <f>IFERROR(__xludf.DUMMYFUNCTION("""COMPUTED_VALUE"""),"Maskavas priekšpilsēta")</f>
        <v>Maskavas priekšpilsēta</v>
      </c>
      <c r="C3936" s="2" t="str">
        <f>IFERROR(__xludf.DUMMYFUNCTION("""COMPUTED_VALUE"""),"Maskavas 146")</f>
        <v>Maskavas 146</v>
      </c>
      <c r="D3936" s="2">
        <f>IFERROR(__xludf.DUMMYFUNCTION("""COMPUTED_VALUE"""),1.0)</f>
        <v>1</v>
      </c>
      <c r="E3936" s="2">
        <f>IFERROR(__xludf.DUMMYFUNCTION("""COMPUTED_VALUE"""),23.0)</f>
        <v>23</v>
      </c>
      <c r="F3936" s="2">
        <f>IFERROR(__xludf.DUMMYFUNCTION("""COMPUTED_VALUE"""),1.0)</f>
        <v>1</v>
      </c>
      <c r="G3936" s="2">
        <f>IFERROR(__xludf.DUMMYFUNCTION("""COMPUTED_VALUE"""),1.0)</f>
        <v>1</v>
      </c>
      <c r="H3936" s="2" t="str">
        <f>IFERROR(__xludf.DUMMYFUNCTION("""COMPUTED_VALUE"""),"Renov.")</f>
        <v>Renov.</v>
      </c>
      <c r="I3936" s="2" t="str">
        <f>IFERROR(__xludf.DUMMYFUNCTION("""COMPUTED_VALUE"""),"Panel-Brick")</f>
        <v>Panel-Brick</v>
      </c>
      <c r="J3936" s="2" t="str">
        <f>IFERROR(__xludf.DUMMYFUNCTION("""COMPUTED_VALUE"""),"All amenities")</f>
        <v>All amenities</v>
      </c>
      <c r="K3936" s="2">
        <f>IFERROR(__xludf.DUMMYFUNCTION("""COMPUTED_VALUE"""),250.0)</f>
        <v>250</v>
      </c>
      <c r="L3936" s="2">
        <f>IFERROR(__xludf.DUMMYFUNCTION("""COMPUTED_VALUE"""),56.8597884)</f>
        <v>56.8597884</v>
      </c>
      <c r="M3936" s="2">
        <f>IFERROR(__xludf.DUMMYFUNCTION("""COMPUTED_VALUE"""),24.3083417)</f>
        <v>24.3083417</v>
      </c>
    </row>
    <row r="3937">
      <c r="A3937" s="2" t="str">
        <f>IFERROR(__xludf.DUMMYFUNCTION("""COMPUTED_VALUE"""),"For sale")</f>
        <v>For sale</v>
      </c>
      <c r="B3937" s="2" t="str">
        <f>IFERROR(__xludf.DUMMYFUNCTION("""COMPUTED_VALUE"""),"centrs")</f>
        <v>centrs</v>
      </c>
      <c r="C3937" s="2" t="str">
        <f>IFERROR(__xludf.DUMMYFUNCTION("""COMPUTED_VALUE"""),"Kalniņa 1")</f>
        <v>Kalniņa 1</v>
      </c>
      <c r="D3937" s="2">
        <f>IFERROR(__xludf.DUMMYFUNCTION("""COMPUTED_VALUE"""),1.0)</f>
        <v>1</v>
      </c>
      <c r="E3937" s="2">
        <f>IFERROR(__xludf.DUMMYFUNCTION("""COMPUTED_VALUE"""),25.0)</f>
        <v>25</v>
      </c>
      <c r="F3937" s="2">
        <f>IFERROR(__xludf.DUMMYFUNCTION("""COMPUTED_VALUE"""),5.0)</f>
        <v>5</v>
      </c>
      <c r="G3937" s="2">
        <f>IFERROR(__xludf.DUMMYFUNCTION("""COMPUTED_VALUE"""),5.0)</f>
        <v>5</v>
      </c>
      <c r="H3937" s="2" t="str">
        <f>IFERROR(__xludf.DUMMYFUNCTION("""COMPUTED_VALUE"""),"Renov.")</f>
        <v>Renov.</v>
      </c>
      <c r="I3937" s="2" t="str">
        <f>IFERROR(__xludf.DUMMYFUNCTION("""COMPUTED_VALUE"""),"Masonry")</f>
        <v>Masonry</v>
      </c>
      <c r="J3937" s="2" t="str">
        <f>IFERROR(__xludf.DUMMYFUNCTION("""COMPUTED_VALUE"""),"All amenities")</f>
        <v>All amenities</v>
      </c>
      <c r="K3937" s="2">
        <f>IFERROR(__xludf.DUMMYFUNCTION("""COMPUTED_VALUE"""),59990.0)</f>
        <v>59990</v>
      </c>
      <c r="L3937" s="2">
        <f>IFERROR(__xludf.DUMMYFUNCTION("""COMPUTED_VALUE"""),56.949246)</f>
        <v>56.949246</v>
      </c>
      <c r="M3937" s="2">
        <f>IFERROR(__xludf.DUMMYFUNCTION("""COMPUTED_VALUE"""),24.1208219161591)</f>
        <v>24.12082192</v>
      </c>
    </row>
    <row r="3938">
      <c r="A3938" s="2" t="str">
        <f>IFERROR(__xludf.DUMMYFUNCTION("""COMPUTED_VALUE"""),"For sale")</f>
        <v>For sale</v>
      </c>
      <c r="B3938" s="2" t="str">
        <f>IFERROR(__xludf.DUMMYFUNCTION("""COMPUTED_VALUE"""),"centrs")</f>
        <v>centrs</v>
      </c>
      <c r="C3938" s="2" t="str">
        <f>IFERROR(__xludf.DUMMYFUNCTION("""COMPUTED_VALUE"""),"Kalniņa 1")</f>
        <v>Kalniņa 1</v>
      </c>
      <c r="D3938" s="2">
        <f>IFERROR(__xludf.DUMMYFUNCTION("""COMPUTED_VALUE"""),1.0)</f>
        <v>1</v>
      </c>
      <c r="E3938" s="2">
        <f>IFERROR(__xludf.DUMMYFUNCTION("""COMPUTED_VALUE"""),33.0)</f>
        <v>33</v>
      </c>
      <c r="F3938" s="2">
        <f>IFERROR(__xludf.DUMMYFUNCTION("""COMPUTED_VALUE"""),5.0)</f>
        <v>5</v>
      </c>
      <c r="G3938" s="2">
        <f>IFERROR(__xludf.DUMMYFUNCTION("""COMPUTED_VALUE"""),5.0)</f>
        <v>5</v>
      </c>
      <c r="H3938" s="2" t="str">
        <f>IFERROR(__xludf.DUMMYFUNCTION("""COMPUTED_VALUE"""),"Renov.")</f>
        <v>Renov.</v>
      </c>
      <c r="I3938" s="2" t="str">
        <f>IFERROR(__xludf.DUMMYFUNCTION("""COMPUTED_VALUE"""),"Masonry")</f>
        <v>Masonry</v>
      </c>
      <c r="J3938" s="2" t="str">
        <f>IFERROR(__xludf.DUMMYFUNCTION("""COMPUTED_VALUE"""),"All amenities")</f>
        <v>All amenities</v>
      </c>
      <c r="K3938" s="2">
        <f>IFERROR(__xludf.DUMMYFUNCTION("""COMPUTED_VALUE"""),72990.0)</f>
        <v>72990</v>
      </c>
      <c r="L3938" s="2">
        <f>IFERROR(__xludf.DUMMYFUNCTION("""COMPUTED_VALUE"""),56.949246)</f>
        <v>56.949246</v>
      </c>
      <c r="M3938" s="2">
        <f>IFERROR(__xludf.DUMMYFUNCTION("""COMPUTED_VALUE"""),24.1208219161591)</f>
        <v>24.12082192</v>
      </c>
    </row>
    <row r="3939">
      <c r="A3939" s="2" t="str">
        <f>IFERROR(__xludf.DUMMYFUNCTION("""COMPUTED_VALUE"""),"For sale")</f>
        <v>For sale</v>
      </c>
      <c r="B3939" s="2" t="str">
        <f>IFERROR(__xludf.DUMMYFUNCTION("""COMPUTED_VALUE"""),"centrs")</f>
        <v>centrs</v>
      </c>
      <c r="C3939" s="2" t="str">
        <f>IFERROR(__xludf.DUMMYFUNCTION("""COMPUTED_VALUE"""),"Kalniņa 1")</f>
        <v>Kalniņa 1</v>
      </c>
      <c r="D3939" s="2">
        <f>IFERROR(__xludf.DUMMYFUNCTION("""COMPUTED_VALUE"""),1.0)</f>
        <v>1</v>
      </c>
      <c r="E3939" s="2">
        <f>IFERROR(__xludf.DUMMYFUNCTION("""COMPUTED_VALUE"""),24.0)</f>
        <v>24</v>
      </c>
      <c r="F3939" s="2">
        <f>IFERROR(__xludf.DUMMYFUNCTION("""COMPUTED_VALUE"""),5.0)</f>
        <v>5</v>
      </c>
      <c r="G3939" s="2">
        <f>IFERROR(__xludf.DUMMYFUNCTION("""COMPUTED_VALUE"""),5.0)</f>
        <v>5</v>
      </c>
      <c r="H3939" s="2" t="str">
        <f>IFERROR(__xludf.DUMMYFUNCTION("""COMPUTED_VALUE"""),"Renov.")</f>
        <v>Renov.</v>
      </c>
      <c r="I3939" s="2" t="str">
        <f>IFERROR(__xludf.DUMMYFUNCTION("""COMPUTED_VALUE"""),"Masonry")</f>
        <v>Masonry</v>
      </c>
      <c r="J3939" s="2" t="str">
        <f>IFERROR(__xludf.DUMMYFUNCTION("""COMPUTED_VALUE"""),"All amenities")</f>
        <v>All amenities</v>
      </c>
      <c r="K3939" s="2">
        <f>IFERROR(__xludf.DUMMYFUNCTION("""COMPUTED_VALUE"""),59990.0)</f>
        <v>59990</v>
      </c>
      <c r="L3939" s="2">
        <f>IFERROR(__xludf.DUMMYFUNCTION("""COMPUTED_VALUE"""),56.949246)</f>
        <v>56.949246</v>
      </c>
      <c r="M3939" s="2">
        <f>IFERROR(__xludf.DUMMYFUNCTION("""COMPUTED_VALUE"""),24.1208219161591)</f>
        <v>24.12082192</v>
      </c>
    </row>
    <row r="3940">
      <c r="A3940" s="2" t="str">
        <f>IFERROR(__xludf.DUMMYFUNCTION("""COMPUTED_VALUE"""),"For sale")</f>
        <v>For sale</v>
      </c>
      <c r="B3940" s="2" t="str">
        <f>IFERROR(__xludf.DUMMYFUNCTION("""COMPUTED_VALUE"""),"centrs")</f>
        <v>centrs</v>
      </c>
      <c r="C3940" s="2" t="str">
        <f>IFERROR(__xludf.DUMMYFUNCTION("""COMPUTED_VALUE"""),"Kalniņa 1")</f>
        <v>Kalniņa 1</v>
      </c>
      <c r="D3940" s="2">
        <f>IFERROR(__xludf.DUMMYFUNCTION("""COMPUTED_VALUE"""),1.0)</f>
        <v>1</v>
      </c>
      <c r="E3940" s="2">
        <f>IFERROR(__xludf.DUMMYFUNCTION("""COMPUTED_VALUE"""),27.0)</f>
        <v>27</v>
      </c>
      <c r="F3940" s="2">
        <f>IFERROR(__xludf.DUMMYFUNCTION("""COMPUTED_VALUE"""),5.0)</f>
        <v>5</v>
      </c>
      <c r="G3940" s="2">
        <f>IFERROR(__xludf.DUMMYFUNCTION("""COMPUTED_VALUE"""),5.0)</f>
        <v>5</v>
      </c>
      <c r="H3940" s="2" t="str">
        <f>IFERROR(__xludf.DUMMYFUNCTION("""COMPUTED_VALUE"""),"Renov.")</f>
        <v>Renov.</v>
      </c>
      <c r="I3940" s="2" t="str">
        <f>IFERROR(__xludf.DUMMYFUNCTION("""COMPUTED_VALUE"""),"Masonry")</f>
        <v>Masonry</v>
      </c>
      <c r="J3940" s="2" t="str">
        <f>IFERROR(__xludf.DUMMYFUNCTION("""COMPUTED_VALUE"""),"All amenities")</f>
        <v>All amenities</v>
      </c>
      <c r="K3940" s="2">
        <f>IFERROR(__xludf.DUMMYFUNCTION("""COMPUTED_VALUE"""),63990.0)</f>
        <v>63990</v>
      </c>
      <c r="L3940" s="2">
        <f>IFERROR(__xludf.DUMMYFUNCTION("""COMPUTED_VALUE"""),56.949246)</f>
        <v>56.949246</v>
      </c>
      <c r="M3940" s="2">
        <f>IFERROR(__xludf.DUMMYFUNCTION("""COMPUTED_VALUE"""),24.1208219161591)</f>
        <v>24.12082192</v>
      </c>
    </row>
    <row r="3941">
      <c r="A3941" s="2" t="str">
        <f>IFERROR(__xludf.DUMMYFUNCTION("""COMPUTED_VALUE"""),"For sale")</f>
        <v>For sale</v>
      </c>
      <c r="B3941" s="2" t="str">
        <f>IFERROR(__xludf.DUMMYFUNCTION("""COMPUTED_VALUE"""),"centrs")</f>
        <v>centrs</v>
      </c>
      <c r="C3941" s="2" t="str">
        <f>IFERROR(__xludf.DUMMYFUNCTION("""COMPUTED_VALUE"""),"Kalniņa 1")</f>
        <v>Kalniņa 1</v>
      </c>
      <c r="D3941" s="2">
        <f>IFERROR(__xludf.DUMMYFUNCTION("""COMPUTED_VALUE"""),1.0)</f>
        <v>1</v>
      </c>
      <c r="E3941" s="2">
        <f>IFERROR(__xludf.DUMMYFUNCTION("""COMPUTED_VALUE"""),31.0)</f>
        <v>31</v>
      </c>
      <c r="F3941" s="2">
        <f>IFERROR(__xludf.DUMMYFUNCTION("""COMPUTED_VALUE"""),5.0)</f>
        <v>5</v>
      </c>
      <c r="G3941" s="2">
        <f>IFERROR(__xludf.DUMMYFUNCTION("""COMPUTED_VALUE"""),5.0)</f>
        <v>5</v>
      </c>
      <c r="H3941" s="2" t="str">
        <f>IFERROR(__xludf.DUMMYFUNCTION("""COMPUTED_VALUE"""),"Renov.")</f>
        <v>Renov.</v>
      </c>
      <c r="I3941" s="2" t="str">
        <f>IFERROR(__xludf.DUMMYFUNCTION("""COMPUTED_VALUE"""),"Masonry")</f>
        <v>Masonry</v>
      </c>
      <c r="J3941" s="2" t="str">
        <f>IFERROR(__xludf.DUMMYFUNCTION("""COMPUTED_VALUE"""),"All amenities")</f>
        <v>All amenities</v>
      </c>
      <c r="K3941" s="2">
        <f>IFERROR(__xludf.DUMMYFUNCTION("""COMPUTED_VALUE"""),69990.0)</f>
        <v>69990</v>
      </c>
      <c r="L3941" s="2">
        <f>IFERROR(__xludf.DUMMYFUNCTION("""COMPUTED_VALUE"""),56.949246)</f>
        <v>56.949246</v>
      </c>
      <c r="M3941" s="2">
        <f>IFERROR(__xludf.DUMMYFUNCTION("""COMPUTED_VALUE"""),24.1208219161591)</f>
        <v>24.12082192</v>
      </c>
    </row>
    <row r="3942">
      <c r="A3942" s="2" t="str">
        <f>IFERROR(__xludf.DUMMYFUNCTION("""COMPUTED_VALUE"""),"For rent")</f>
        <v>For rent</v>
      </c>
      <c r="B3942" s="2" t="str">
        <f>IFERROR(__xludf.DUMMYFUNCTION("""COMPUTED_VALUE"""),"Dzegužkalns")</f>
        <v>Dzegužkalns</v>
      </c>
      <c r="C3942" s="2" t="str">
        <f>IFERROR(__xludf.DUMMYFUNCTION("""COMPUTED_VALUE"""),"Dzirciema 21")</f>
        <v>Dzirciema 21</v>
      </c>
      <c r="D3942" s="2">
        <f>IFERROR(__xludf.DUMMYFUNCTION("""COMPUTED_VALUE"""),2.0)</f>
        <v>2</v>
      </c>
      <c r="E3942" s="2">
        <f>IFERROR(__xludf.DUMMYFUNCTION("""COMPUTED_VALUE"""),48.0)</f>
        <v>48</v>
      </c>
      <c r="F3942" s="2">
        <f>IFERROR(__xludf.DUMMYFUNCTION("""COMPUTED_VALUE"""),12.0)</f>
        <v>12</v>
      </c>
      <c r="G3942" s="2">
        <f>IFERROR(__xludf.DUMMYFUNCTION("""COMPUTED_VALUE"""),12.0)</f>
        <v>12</v>
      </c>
      <c r="H3942" s="2" t="str">
        <f>IFERROR(__xludf.DUMMYFUNCTION("""COMPUTED_VALUE"""),"Čehu pr.")</f>
        <v>Čehu pr.</v>
      </c>
      <c r="I3942" s="2" t="str">
        <f>IFERROR(__xludf.DUMMYFUNCTION("""COMPUTED_VALUE"""),"Brick-Panel")</f>
        <v>Brick-Panel</v>
      </c>
      <c r="J3942" s="2" t="str">
        <f>IFERROR(__xludf.DUMMYFUNCTION("""COMPUTED_VALUE"""),"All amenities")</f>
        <v>All amenities</v>
      </c>
      <c r="K3942" s="2">
        <f>IFERROR(__xludf.DUMMYFUNCTION("""COMPUTED_VALUE"""),450.0)</f>
        <v>450</v>
      </c>
      <c r="L3942" s="2">
        <f>IFERROR(__xludf.DUMMYFUNCTION("""COMPUTED_VALUE"""),56.95349575)</f>
        <v>56.95349575</v>
      </c>
      <c r="M3942" s="2">
        <f>IFERROR(__xludf.DUMMYFUNCTION("""COMPUTED_VALUE"""),24.0526413784944)</f>
        <v>24.05264138</v>
      </c>
    </row>
    <row r="3943">
      <c r="A3943" s="2" t="str">
        <f>IFERROR(__xludf.DUMMYFUNCTION("""COMPUTED_VALUE"""),"For rent")</f>
        <v>For rent</v>
      </c>
      <c r="B3943" s="2" t="str">
        <f>IFERROR(__xludf.DUMMYFUNCTION("""COMPUTED_VALUE"""),"centrs")</f>
        <v>centrs</v>
      </c>
      <c r="C3943" s="2" t="str">
        <f>IFERROR(__xludf.DUMMYFUNCTION("""COMPUTED_VALUE"""),"Brīvības 56")</f>
        <v>Brīvības 56</v>
      </c>
      <c r="D3943" s="2">
        <f>IFERROR(__xludf.DUMMYFUNCTION("""COMPUTED_VALUE"""),4.0)</f>
        <v>4</v>
      </c>
      <c r="E3943" s="2">
        <f>IFERROR(__xludf.DUMMYFUNCTION("""COMPUTED_VALUE"""),20.0)</f>
        <v>20</v>
      </c>
      <c r="F3943" s="2">
        <f>IFERROR(__xludf.DUMMYFUNCTION("""COMPUTED_VALUE"""),3.0)</f>
        <v>3</v>
      </c>
      <c r="G3943" s="2">
        <f>IFERROR(__xludf.DUMMYFUNCTION("""COMPUTED_VALUE"""),6.0)</f>
        <v>6</v>
      </c>
      <c r="H3943" s="2" t="str">
        <f>IFERROR(__xludf.DUMMYFUNCTION("""COMPUTED_VALUE"""),"Staļina")</f>
        <v>Staļina</v>
      </c>
      <c r="I3943" s="2" t="str">
        <f>IFERROR(__xludf.DUMMYFUNCTION("""COMPUTED_VALUE"""),"Panel")</f>
        <v>Panel</v>
      </c>
      <c r="J3943" s="2" t="str">
        <f>IFERROR(__xludf.DUMMYFUNCTION("""COMPUTED_VALUE"""),"All amenities")</f>
        <v>All amenities</v>
      </c>
      <c r="K3943" s="2">
        <f>IFERROR(__xludf.DUMMYFUNCTION("""COMPUTED_VALUE"""),250.0)</f>
        <v>250</v>
      </c>
      <c r="L3943" s="2">
        <f>IFERROR(__xludf.DUMMYFUNCTION("""COMPUTED_VALUE"""),56.95603255)</f>
        <v>56.95603255</v>
      </c>
      <c r="M3943" s="2">
        <f>IFERROR(__xludf.DUMMYFUNCTION("""COMPUTED_VALUE"""),24.1214081808402)</f>
        <v>24.12140818</v>
      </c>
    </row>
    <row r="3944">
      <c r="A3944" s="2" t="str">
        <f>IFERROR(__xludf.DUMMYFUNCTION("""COMPUTED_VALUE"""),"For rent")</f>
        <v>For rent</v>
      </c>
      <c r="B3944" s="2" t="str">
        <f>IFERROR(__xludf.DUMMYFUNCTION("""COMPUTED_VALUE"""),"Purvciems")</f>
        <v>Purvciems</v>
      </c>
      <c r="C3944" s="2" t="str">
        <f>IFERROR(__xludf.DUMMYFUNCTION("""COMPUTED_VALUE"""),"Ūnijas 31")</f>
        <v>Ūnijas 31</v>
      </c>
      <c r="D3944" s="2">
        <f>IFERROR(__xludf.DUMMYFUNCTION("""COMPUTED_VALUE"""),2.0)</f>
        <v>2</v>
      </c>
      <c r="E3944" s="2">
        <f>IFERROR(__xludf.DUMMYFUNCTION("""COMPUTED_VALUE"""),55.0)</f>
        <v>55</v>
      </c>
      <c r="F3944" s="2">
        <f>IFERROR(__xludf.DUMMYFUNCTION("""COMPUTED_VALUE"""),1.0)</f>
        <v>1</v>
      </c>
      <c r="G3944" s="2">
        <f>IFERROR(__xludf.DUMMYFUNCTION("""COMPUTED_VALUE"""),3.0)</f>
        <v>3</v>
      </c>
      <c r="H3944" s="2" t="str">
        <f>IFERROR(__xludf.DUMMYFUNCTION("""COMPUTED_VALUE"""),"Staļina")</f>
        <v>Staļina</v>
      </c>
      <c r="I3944" s="2" t="str">
        <f>IFERROR(__xludf.DUMMYFUNCTION("""COMPUTED_VALUE"""),"Brick")</f>
        <v>Brick</v>
      </c>
      <c r="J3944" s="2" t="str">
        <f>IFERROR(__xludf.DUMMYFUNCTION("""COMPUTED_VALUE"""),"All amenities")</f>
        <v>All amenities</v>
      </c>
      <c r="K3944" s="2">
        <f>IFERROR(__xludf.DUMMYFUNCTION("""COMPUTED_VALUE"""),400.0)</f>
        <v>400</v>
      </c>
      <c r="L3944" s="2">
        <f>IFERROR(__xludf.DUMMYFUNCTION("""COMPUTED_VALUE"""),56.9688431)</f>
        <v>56.9688431</v>
      </c>
      <c r="M3944" s="2">
        <f>IFERROR(__xludf.DUMMYFUNCTION("""COMPUTED_VALUE"""),24.1683552876713)</f>
        <v>24.16835529</v>
      </c>
    </row>
    <row r="3945">
      <c r="A3945" s="2" t="str">
        <f>IFERROR(__xludf.DUMMYFUNCTION("""COMPUTED_VALUE"""),"For rent")</f>
        <v>For rent</v>
      </c>
      <c r="B3945" s="2" t="str">
        <f>IFERROR(__xludf.DUMMYFUNCTION("""COMPUTED_VALUE"""),"centrs")</f>
        <v>centrs</v>
      </c>
      <c r="C3945" s="2" t="str">
        <f>IFERROR(__xludf.DUMMYFUNCTION("""COMPUTED_VALUE"""),"Cēsu 2")</f>
        <v>Cēsu 2</v>
      </c>
      <c r="D3945" s="2">
        <f>IFERROR(__xludf.DUMMYFUNCTION("""COMPUTED_VALUE"""),2.0)</f>
        <v>2</v>
      </c>
      <c r="E3945" s="2">
        <f>IFERROR(__xludf.DUMMYFUNCTION("""COMPUTED_VALUE"""),54.0)</f>
        <v>54</v>
      </c>
      <c r="F3945" s="2">
        <f>IFERROR(__xludf.DUMMYFUNCTION("""COMPUTED_VALUE"""),4.0)</f>
        <v>4</v>
      </c>
      <c r="G3945" s="2">
        <f>IFERROR(__xludf.DUMMYFUNCTION("""COMPUTED_VALUE"""),6.0)</f>
        <v>6</v>
      </c>
      <c r="H3945" s="2" t="str">
        <f>IFERROR(__xludf.DUMMYFUNCTION("""COMPUTED_VALUE"""),"P. kara")</f>
        <v>P. kara</v>
      </c>
      <c r="I3945" s="2" t="str">
        <f>IFERROR(__xludf.DUMMYFUNCTION("""COMPUTED_VALUE"""),"Masonry")</f>
        <v>Masonry</v>
      </c>
      <c r="J3945" s="2" t="str">
        <f>IFERROR(__xludf.DUMMYFUNCTION("""COMPUTED_VALUE"""),"All amenities")</f>
        <v>All amenities</v>
      </c>
      <c r="K3945" s="2">
        <f>IFERROR(__xludf.DUMMYFUNCTION("""COMPUTED_VALUE"""),320.0)</f>
        <v>320</v>
      </c>
      <c r="L3945" s="2">
        <f>IFERROR(__xludf.DUMMYFUNCTION("""COMPUTED_VALUE"""),56.963677)</f>
        <v>56.963677</v>
      </c>
      <c r="M3945" s="2">
        <f>IFERROR(__xludf.DUMMYFUNCTION("""COMPUTED_VALUE"""),24.1376529)</f>
        <v>24.1376529</v>
      </c>
    </row>
    <row r="3946">
      <c r="A3946" s="2" t="str">
        <f>IFERROR(__xludf.DUMMYFUNCTION("""COMPUTED_VALUE"""),"For rent")</f>
        <v>For rent</v>
      </c>
      <c r="B3946" s="2" t="str">
        <f>IFERROR(__xludf.DUMMYFUNCTION("""COMPUTED_VALUE"""),"centrs")</f>
        <v>centrs</v>
      </c>
      <c r="C3946" s="2" t="str">
        <f>IFERROR(__xludf.DUMMYFUNCTION("""COMPUTED_VALUE"""),"Birznieka-Upīša 29")</f>
        <v>Birznieka-Upīša 29</v>
      </c>
      <c r="D3946" s="2">
        <f>IFERROR(__xludf.DUMMYFUNCTION("""COMPUTED_VALUE"""),3.0)</f>
        <v>3</v>
      </c>
      <c r="E3946" s="2">
        <f>IFERROR(__xludf.DUMMYFUNCTION("""COMPUTED_VALUE"""),82.0)</f>
        <v>82</v>
      </c>
      <c r="F3946" s="2">
        <f>IFERROR(__xludf.DUMMYFUNCTION("""COMPUTED_VALUE"""),5.0)</f>
        <v>5</v>
      </c>
      <c r="G3946" s="2">
        <f>IFERROR(__xludf.DUMMYFUNCTION("""COMPUTED_VALUE"""),6.0)</f>
        <v>6</v>
      </c>
      <c r="H3946" s="2" t="str">
        <f>IFERROR(__xludf.DUMMYFUNCTION("""COMPUTED_VALUE"""),"Renov.")</f>
        <v>Renov.</v>
      </c>
      <c r="I3946" s="2" t="str">
        <f>IFERROR(__xludf.DUMMYFUNCTION("""COMPUTED_VALUE"""),"Masonry")</f>
        <v>Masonry</v>
      </c>
      <c r="J3946" s="2" t="str">
        <f>IFERROR(__xludf.DUMMYFUNCTION("""COMPUTED_VALUE"""),"All amenities")</f>
        <v>All amenities</v>
      </c>
      <c r="K3946" s="2">
        <f>IFERROR(__xludf.DUMMYFUNCTION("""COMPUTED_VALUE"""),800.0)</f>
        <v>800</v>
      </c>
      <c r="L3946" s="2">
        <f>IFERROR(__xludf.DUMMYFUNCTION("""COMPUTED_VALUE"""),56.9498859)</f>
        <v>56.9498859</v>
      </c>
      <c r="M3946" s="2">
        <f>IFERROR(__xludf.DUMMYFUNCTION("""COMPUTED_VALUE"""),24.1318519)</f>
        <v>24.1318519</v>
      </c>
    </row>
    <row r="3947">
      <c r="A3947" s="2" t="str">
        <f>IFERROR(__xludf.DUMMYFUNCTION("""COMPUTED_VALUE"""),"For rent")</f>
        <v>For rent</v>
      </c>
      <c r="B3947" s="2" t="str">
        <f>IFERROR(__xludf.DUMMYFUNCTION("""COMPUTED_VALUE"""),"Šampēteris-Pleskodāle")</f>
        <v>Šampēteris-Pleskodāle</v>
      </c>
      <c r="C3947" s="2" t="str">
        <f>IFERROR(__xludf.DUMMYFUNCTION("""COMPUTED_VALUE"""),"Zalves 47")</f>
        <v>Zalves 47</v>
      </c>
      <c r="D3947" s="2">
        <f>IFERROR(__xludf.DUMMYFUNCTION("""COMPUTED_VALUE"""),3.0)</f>
        <v>3</v>
      </c>
      <c r="E3947" s="2">
        <f>IFERROR(__xludf.DUMMYFUNCTION("""COMPUTED_VALUE"""),82.0)</f>
        <v>82</v>
      </c>
      <c r="F3947" s="2">
        <f>IFERROR(__xludf.DUMMYFUNCTION("""COMPUTED_VALUE"""),1.0)</f>
        <v>1</v>
      </c>
      <c r="G3947" s="2">
        <f>IFERROR(__xludf.DUMMYFUNCTION("""COMPUTED_VALUE"""),5.0)</f>
        <v>5</v>
      </c>
      <c r="H3947" s="2" t="str">
        <f>IFERROR(__xludf.DUMMYFUNCTION("""COMPUTED_VALUE"""),"Jaun.")</f>
        <v>Jaun.</v>
      </c>
      <c r="I3947" s="2" t="str">
        <f>IFERROR(__xludf.DUMMYFUNCTION("""COMPUTED_VALUE"""),"Brick")</f>
        <v>Brick</v>
      </c>
      <c r="J3947" s="2" t="str">
        <f>IFERROR(__xludf.DUMMYFUNCTION("""COMPUTED_VALUE"""),"All amenities")</f>
        <v>All amenities</v>
      </c>
      <c r="K3947" s="2">
        <f>IFERROR(__xludf.DUMMYFUNCTION("""COMPUTED_VALUE"""),590.0)</f>
        <v>590</v>
      </c>
      <c r="L3947" s="2">
        <f>IFERROR(__xludf.DUMMYFUNCTION("""COMPUTED_VALUE"""),56.9372129)</f>
        <v>56.9372129</v>
      </c>
      <c r="M3947" s="2">
        <f>IFERROR(__xludf.DUMMYFUNCTION("""COMPUTED_VALUE"""),24.0347303514682)</f>
        <v>24.03473035</v>
      </c>
    </row>
    <row r="3948">
      <c r="A3948" s="2" t="str">
        <f>IFERROR(__xludf.DUMMYFUNCTION("""COMPUTED_VALUE"""),"For rent")</f>
        <v>For rent</v>
      </c>
      <c r="B3948" s="2" t="str">
        <f>IFERROR(__xludf.DUMMYFUNCTION("""COMPUTED_VALUE"""),"centrs")</f>
        <v>centrs</v>
      </c>
      <c r="C3948" s="2" t="str">
        <f>IFERROR(__xludf.DUMMYFUNCTION("""COMPUTED_VALUE"""),"Cēsu 2")</f>
        <v>Cēsu 2</v>
      </c>
      <c r="D3948" s="2">
        <f>IFERROR(__xludf.DUMMYFUNCTION("""COMPUTED_VALUE"""),2.0)</f>
        <v>2</v>
      </c>
      <c r="E3948" s="2">
        <f>IFERROR(__xludf.DUMMYFUNCTION("""COMPUTED_VALUE"""),50.0)</f>
        <v>50</v>
      </c>
      <c r="F3948" s="2">
        <f>IFERROR(__xludf.DUMMYFUNCTION("""COMPUTED_VALUE"""),5.0)</f>
        <v>5</v>
      </c>
      <c r="G3948" s="2">
        <f>IFERROR(__xludf.DUMMYFUNCTION("""COMPUTED_VALUE"""),6.0)</f>
        <v>6</v>
      </c>
      <c r="H3948" s="2" t="str">
        <f>IFERROR(__xludf.DUMMYFUNCTION("""COMPUTED_VALUE"""),"P. kara")</f>
        <v>P. kara</v>
      </c>
      <c r="I3948" s="2" t="str">
        <f>IFERROR(__xludf.DUMMYFUNCTION("""COMPUTED_VALUE"""),"Masonry")</f>
        <v>Masonry</v>
      </c>
      <c r="J3948" s="2" t="str">
        <f>IFERROR(__xludf.DUMMYFUNCTION("""COMPUTED_VALUE"""),"All amenities")</f>
        <v>All amenities</v>
      </c>
      <c r="K3948" s="2">
        <f>IFERROR(__xludf.DUMMYFUNCTION("""COMPUTED_VALUE"""),340.0)</f>
        <v>340</v>
      </c>
      <c r="L3948" s="2">
        <f>IFERROR(__xludf.DUMMYFUNCTION("""COMPUTED_VALUE"""),56.963677)</f>
        <v>56.963677</v>
      </c>
      <c r="M3948" s="2">
        <f>IFERROR(__xludf.DUMMYFUNCTION("""COMPUTED_VALUE"""),24.1376529)</f>
        <v>24.1376529</v>
      </c>
    </row>
    <row r="3949">
      <c r="A3949" s="2" t="str">
        <f>IFERROR(__xludf.DUMMYFUNCTION("""COMPUTED_VALUE"""),"For sale")</f>
        <v>For sale</v>
      </c>
      <c r="B3949" s="2" t="str">
        <f>IFERROR(__xludf.DUMMYFUNCTION("""COMPUTED_VALUE"""),"Dārzciems")</f>
        <v>Dārzciems</v>
      </c>
      <c r="C3949" s="2" t="str">
        <f>IFERROR(__xludf.DUMMYFUNCTION("""COMPUTED_VALUE"""),"Slāvu 13/2")</f>
        <v>Slāvu 13/2</v>
      </c>
      <c r="D3949" s="2">
        <f>IFERROR(__xludf.DUMMYFUNCTION("""COMPUTED_VALUE"""),4.0)</f>
        <v>4</v>
      </c>
      <c r="E3949" s="2">
        <f>IFERROR(__xludf.DUMMYFUNCTION("""COMPUTED_VALUE"""),76.0)</f>
        <v>76</v>
      </c>
      <c r="F3949" s="2">
        <f>IFERROR(__xludf.DUMMYFUNCTION("""COMPUTED_VALUE"""),6.0)</f>
        <v>6</v>
      </c>
      <c r="G3949" s="2">
        <f>IFERROR(__xludf.DUMMYFUNCTION("""COMPUTED_VALUE"""),9.0)</f>
        <v>9</v>
      </c>
      <c r="H3949" s="2">
        <f>IFERROR(__xludf.DUMMYFUNCTION("""COMPUTED_VALUE"""),602.0)</f>
        <v>602</v>
      </c>
      <c r="I3949" s="2" t="str">
        <f>IFERROR(__xludf.DUMMYFUNCTION("""COMPUTED_VALUE"""),"Panel")</f>
        <v>Panel</v>
      </c>
      <c r="J3949" s="2" t="str">
        <f>IFERROR(__xludf.DUMMYFUNCTION("""COMPUTED_VALUE"""),"All amenities")</f>
        <v>All amenities</v>
      </c>
      <c r="K3949" s="2">
        <f>IFERROR(__xludf.DUMMYFUNCTION("""COMPUTED_VALUE"""),61000.0)</f>
        <v>61000</v>
      </c>
      <c r="L3949" s="2">
        <f>IFERROR(__xludf.DUMMYFUNCTION("""COMPUTED_VALUE"""),56.9307254)</f>
        <v>56.9307254</v>
      </c>
      <c r="M3949" s="2">
        <f>IFERROR(__xludf.DUMMYFUNCTION("""COMPUTED_VALUE"""),24.181101)</f>
        <v>24.181101</v>
      </c>
    </row>
    <row r="3950">
      <c r="A3950" s="2" t="str">
        <f>IFERROR(__xludf.DUMMYFUNCTION("""COMPUTED_VALUE"""),"For rent")</f>
        <v>For rent</v>
      </c>
      <c r="B3950" s="2" t="str">
        <f>IFERROR(__xludf.DUMMYFUNCTION("""COMPUTED_VALUE"""),"Ziepniekkalns")</f>
        <v>Ziepniekkalns</v>
      </c>
      <c r="C3950" s="2" t="str">
        <f>IFERROR(__xludf.DUMMYFUNCTION("""COMPUTED_VALUE"""),"Ozolciema 52")</f>
        <v>Ozolciema 52</v>
      </c>
      <c r="D3950" s="2">
        <f>IFERROR(__xludf.DUMMYFUNCTION("""COMPUTED_VALUE"""),1.0)</f>
        <v>1</v>
      </c>
      <c r="E3950" s="2">
        <f>IFERROR(__xludf.DUMMYFUNCTION("""COMPUTED_VALUE"""),41.0)</f>
        <v>41</v>
      </c>
      <c r="F3950" s="2">
        <f>IFERROR(__xludf.DUMMYFUNCTION("""COMPUTED_VALUE"""),2.0)</f>
        <v>2</v>
      </c>
      <c r="G3950" s="2">
        <f>IFERROR(__xludf.DUMMYFUNCTION("""COMPUTED_VALUE"""),9.0)</f>
        <v>9</v>
      </c>
      <c r="H3950" s="2" t="str">
        <f>IFERROR(__xludf.DUMMYFUNCTION("""COMPUTED_VALUE"""),"M. ģim.")</f>
        <v>M. ģim.</v>
      </c>
      <c r="I3950" s="2" t="str">
        <f>IFERROR(__xludf.DUMMYFUNCTION("""COMPUTED_VALUE"""),"Panel")</f>
        <v>Panel</v>
      </c>
      <c r="J3950" s="2" t="str">
        <f>IFERROR(__xludf.DUMMYFUNCTION("""COMPUTED_VALUE"""),"All amenities")</f>
        <v>All amenities</v>
      </c>
      <c r="K3950" s="2">
        <f>IFERROR(__xludf.DUMMYFUNCTION("""COMPUTED_VALUE"""),400.0)</f>
        <v>400</v>
      </c>
      <c r="L3950" s="2">
        <f>IFERROR(__xludf.DUMMYFUNCTION("""COMPUTED_VALUE"""),56.9010095999999)</f>
        <v>56.9010096</v>
      </c>
      <c r="M3950" s="2">
        <f>IFERROR(__xludf.DUMMYFUNCTION("""COMPUTED_VALUE"""),24.0999756383549)</f>
        <v>24.09997564</v>
      </c>
    </row>
    <row r="3951">
      <c r="A3951" s="2" t="str">
        <f>IFERROR(__xludf.DUMMYFUNCTION("""COMPUTED_VALUE"""),"For sale")</f>
        <v>For sale</v>
      </c>
      <c r="B3951" s="2" t="str">
        <f>IFERROR(__xludf.DUMMYFUNCTION("""COMPUTED_VALUE"""),"Mežciems")</f>
        <v>Mežciems</v>
      </c>
      <c r="C3951" s="2" t="str">
        <f>IFERROR(__xludf.DUMMYFUNCTION("""COMPUTED_VALUE"""),"Kaivas 50")</f>
        <v>Kaivas 50</v>
      </c>
      <c r="D3951" s="2">
        <f>IFERROR(__xludf.DUMMYFUNCTION("""COMPUTED_VALUE"""),2.0)</f>
        <v>2</v>
      </c>
      <c r="E3951" s="2">
        <f>IFERROR(__xludf.DUMMYFUNCTION("""COMPUTED_VALUE"""),57.0)</f>
        <v>57</v>
      </c>
      <c r="F3951" s="2">
        <f>IFERROR(__xludf.DUMMYFUNCTION("""COMPUTED_VALUE"""),3.0)</f>
        <v>3</v>
      </c>
      <c r="G3951" s="2">
        <f>IFERROR(__xludf.DUMMYFUNCTION("""COMPUTED_VALUE"""),5.0)</f>
        <v>5</v>
      </c>
      <c r="H3951" s="2" t="str">
        <f>IFERROR(__xludf.DUMMYFUNCTION("""COMPUTED_VALUE"""),"Jaun.")</f>
        <v>Jaun.</v>
      </c>
      <c r="I3951" s="2" t="str">
        <f>IFERROR(__xludf.DUMMYFUNCTION("""COMPUTED_VALUE"""),"Masonry")</f>
        <v>Masonry</v>
      </c>
      <c r="J3951" s="2" t="str">
        <f>IFERROR(__xludf.DUMMYFUNCTION("""COMPUTED_VALUE"""),"All amenities")</f>
        <v>All amenities</v>
      </c>
      <c r="K3951" s="2">
        <f>IFERROR(__xludf.DUMMYFUNCTION("""COMPUTED_VALUE"""),62150.0)</f>
        <v>62150</v>
      </c>
      <c r="L3951" s="2">
        <f>IFERROR(__xludf.DUMMYFUNCTION("""COMPUTED_VALUE"""),56.95546705)</f>
        <v>56.95546705</v>
      </c>
      <c r="M3951" s="2">
        <f>IFERROR(__xludf.DUMMYFUNCTION("""COMPUTED_VALUE"""),24.24181865)</f>
        <v>24.24181865</v>
      </c>
    </row>
    <row r="3952">
      <c r="A3952" s="2" t="str">
        <f>IFERROR(__xludf.DUMMYFUNCTION("""COMPUTED_VALUE"""),"For sale")</f>
        <v>For sale</v>
      </c>
      <c r="B3952" s="2" t="str">
        <f>IFERROR(__xludf.DUMMYFUNCTION("""COMPUTED_VALUE"""),"centrs")</f>
        <v>centrs</v>
      </c>
      <c r="C3952" s="2" t="str">
        <f>IFERROR(__xludf.DUMMYFUNCTION("""COMPUTED_VALUE"""),"Dzirnavu 63")</f>
        <v>Dzirnavu 63</v>
      </c>
      <c r="D3952" s="2">
        <f>IFERROR(__xludf.DUMMYFUNCTION("""COMPUTED_VALUE"""),5.0)</f>
        <v>5</v>
      </c>
      <c r="E3952" s="2">
        <f>IFERROR(__xludf.DUMMYFUNCTION("""COMPUTED_VALUE"""),141.0)</f>
        <v>141</v>
      </c>
      <c r="F3952" s="2">
        <f>IFERROR(__xludf.DUMMYFUNCTION("""COMPUTED_VALUE"""),3.0)</f>
        <v>3</v>
      </c>
      <c r="G3952" s="2">
        <f>IFERROR(__xludf.DUMMYFUNCTION("""COMPUTED_VALUE"""),6.0)</f>
        <v>6</v>
      </c>
      <c r="H3952" s="2" t="str">
        <f>IFERROR(__xludf.DUMMYFUNCTION("""COMPUTED_VALUE"""),"P. kara")</f>
        <v>P. kara</v>
      </c>
      <c r="I3952" s="2" t="str">
        <f>IFERROR(__xludf.DUMMYFUNCTION("""COMPUTED_VALUE"""),"Masonry")</f>
        <v>Masonry</v>
      </c>
      <c r="J3952" s="2" t="str">
        <f>IFERROR(__xludf.DUMMYFUNCTION("""COMPUTED_VALUE"""),"All amenities")</f>
        <v>All amenities</v>
      </c>
      <c r="K3952" s="2">
        <f>IFERROR(__xludf.DUMMYFUNCTION("""COMPUTED_VALUE"""),170000.0)</f>
        <v>170000</v>
      </c>
      <c r="L3952" s="2">
        <f>IFERROR(__xludf.DUMMYFUNCTION("""COMPUTED_VALUE"""),56.9548743)</f>
        <v>56.9548743</v>
      </c>
      <c r="M3952" s="2">
        <f>IFERROR(__xludf.DUMMYFUNCTION("""COMPUTED_VALUE"""),24.120069)</f>
        <v>24.120069</v>
      </c>
    </row>
    <row r="3953">
      <c r="A3953" s="2" t="str">
        <f>IFERROR(__xludf.DUMMYFUNCTION("""COMPUTED_VALUE"""),"For sale")</f>
        <v>For sale</v>
      </c>
      <c r="B3953" s="2" t="str">
        <f>IFERROR(__xludf.DUMMYFUNCTION("""COMPUTED_VALUE"""),"Grīziņkalns")</f>
        <v>Grīziņkalns</v>
      </c>
      <c r="C3953" s="2" t="str">
        <f>IFERROR(__xludf.DUMMYFUNCTION("""COMPUTED_VALUE"""),"Laboratorijas 23")</f>
        <v>Laboratorijas 23</v>
      </c>
      <c r="D3953" s="2">
        <f>IFERROR(__xludf.DUMMYFUNCTION("""COMPUTED_VALUE"""),1.0)</f>
        <v>1</v>
      </c>
      <c r="E3953" s="2">
        <f>IFERROR(__xludf.DUMMYFUNCTION("""COMPUTED_VALUE"""),20.0)</f>
        <v>20</v>
      </c>
      <c r="F3953" s="2">
        <f>IFERROR(__xludf.DUMMYFUNCTION("""COMPUTED_VALUE"""),1.0)</f>
        <v>1</v>
      </c>
      <c r="G3953" s="2">
        <f>IFERROR(__xludf.DUMMYFUNCTION("""COMPUTED_VALUE"""),2.0)</f>
        <v>2</v>
      </c>
      <c r="H3953" s="2" t="str">
        <f>IFERROR(__xludf.DUMMYFUNCTION("""COMPUTED_VALUE"""),"P. kara")</f>
        <v>P. kara</v>
      </c>
      <c r="I3953" s="2" t="str">
        <f>IFERROR(__xludf.DUMMYFUNCTION("""COMPUTED_VALUE"""),"Wood")</f>
        <v>Wood</v>
      </c>
      <c r="J3953" s="2" t="str">
        <f>IFERROR(__xludf.DUMMYFUNCTION("""COMPUTED_VALUE"""),"Partial amenities")</f>
        <v>Partial amenities</v>
      </c>
      <c r="K3953" s="2">
        <f>IFERROR(__xludf.DUMMYFUNCTION("""COMPUTED_VALUE"""),12800.0)</f>
        <v>12800</v>
      </c>
      <c r="L3953" s="2">
        <f>IFERROR(__xludf.DUMMYFUNCTION("""COMPUTED_VALUE"""),56.95853595)</f>
        <v>56.95853595</v>
      </c>
      <c r="M3953" s="2">
        <f>IFERROR(__xludf.DUMMYFUNCTION("""COMPUTED_VALUE"""),24.1495077667939)</f>
        <v>24.14950777</v>
      </c>
    </row>
    <row r="3954">
      <c r="A3954" s="2" t="str">
        <f>IFERROR(__xludf.DUMMYFUNCTION("""COMPUTED_VALUE"""),"For sale")</f>
        <v>For sale</v>
      </c>
      <c r="B3954" s="2" t="str">
        <f>IFERROR(__xludf.DUMMYFUNCTION("""COMPUTED_VALUE"""),"Vecmīlgrāvis")</f>
        <v>Vecmīlgrāvis</v>
      </c>
      <c r="C3954" s="2" t="str">
        <f>IFERROR(__xludf.DUMMYFUNCTION("""COMPUTED_VALUE"""),"Emmas 7")</f>
        <v>Emmas 7</v>
      </c>
      <c r="D3954" s="2">
        <f>IFERROR(__xludf.DUMMYFUNCTION("""COMPUTED_VALUE"""),3.0)</f>
        <v>3</v>
      </c>
      <c r="E3954" s="2">
        <f>IFERROR(__xludf.DUMMYFUNCTION("""COMPUTED_VALUE"""),67.0)</f>
        <v>67</v>
      </c>
      <c r="F3954" s="2">
        <f>IFERROR(__xludf.DUMMYFUNCTION("""COMPUTED_VALUE"""),2.0)</f>
        <v>2</v>
      </c>
      <c r="G3954" s="2">
        <f>IFERROR(__xludf.DUMMYFUNCTION("""COMPUTED_VALUE"""),5.0)</f>
        <v>5</v>
      </c>
      <c r="H3954" s="2" t="str">
        <f>IFERROR(__xludf.DUMMYFUNCTION("""COMPUTED_VALUE"""),"LT proj.")</f>
        <v>LT proj.</v>
      </c>
      <c r="I3954" s="2" t="str">
        <f>IFERROR(__xludf.DUMMYFUNCTION("""COMPUTED_VALUE"""),"Panel")</f>
        <v>Panel</v>
      </c>
      <c r="J3954" s="2" t="str">
        <f>IFERROR(__xludf.DUMMYFUNCTION("""COMPUTED_VALUE"""),"All amenities")</f>
        <v>All amenities</v>
      </c>
      <c r="K3954" s="2">
        <f>IFERROR(__xludf.DUMMYFUNCTION("""COMPUTED_VALUE"""),41000.0)</f>
        <v>41000</v>
      </c>
      <c r="L3954" s="2">
        <f>IFERROR(__xludf.DUMMYFUNCTION("""COMPUTED_VALUE"""),57.0290757)</f>
        <v>57.0290757</v>
      </c>
      <c r="M3954" s="2">
        <f>IFERROR(__xludf.DUMMYFUNCTION("""COMPUTED_VALUE"""),24.1091463)</f>
        <v>24.1091463</v>
      </c>
    </row>
    <row r="3955">
      <c r="A3955" s="2" t="str">
        <f>IFERROR(__xludf.DUMMYFUNCTION("""COMPUTED_VALUE"""),"For sale")</f>
        <v>For sale</v>
      </c>
      <c r="B3955" s="2" t="str">
        <f>IFERROR(__xludf.DUMMYFUNCTION("""COMPUTED_VALUE"""),"centrs")</f>
        <v>centrs</v>
      </c>
      <c r="C3955" s="2" t="str">
        <f>IFERROR(__xludf.DUMMYFUNCTION("""COMPUTED_VALUE"""),"Ģertrūdes 9")</f>
        <v>Ģertrūdes 9</v>
      </c>
      <c r="D3955" s="2">
        <f>IFERROR(__xludf.DUMMYFUNCTION("""COMPUTED_VALUE"""),5.0)</f>
        <v>5</v>
      </c>
      <c r="E3955" s="2">
        <f>IFERROR(__xludf.DUMMYFUNCTION("""COMPUTED_VALUE"""),169.0)</f>
        <v>169</v>
      </c>
      <c r="F3955" s="2">
        <f>IFERROR(__xludf.DUMMYFUNCTION("""COMPUTED_VALUE"""),4.0)</f>
        <v>4</v>
      </c>
      <c r="G3955" s="2">
        <f>IFERROR(__xludf.DUMMYFUNCTION("""COMPUTED_VALUE"""),6.0)</f>
        <v>6</v>
      </c>
      <c r="H3955" s="2" t="str">
        <f>IFERROR(__xludf.DUMMYFUNCTION("""COMPUTED_VALUE"""),"P. kara")</f>
        <v>P. kara</v>
      </c>
      <c r="I3955" s="2" t="str">
        <f>IFERROR(__xludf.DUMMYFUNCTION("""COMPUTED_VALUE"""),"Masonry")</f>
        <v>Masonry</v>
      </c>
      <c r="J3955" s="2" t="str">
        <f>IFERROR(__xludf.DUMMYFUNCTION("""COMPUTED_VALUE"""),"All amenities")</f>
        <v>All amenities</v>
      </c>
      <c r="K3955" s="2">
        <f>IFERROR(__xludf.DUMMYFUNCTION("""COMPUTED_VALUE"""),355000.0)</f>
        <v>355000</v>
      </c>
      <c r="L3955" s="2">
        <f>IFERROR(__xludf.DUMMYFUNCTION("""COMPUTED_VALUE"""),56.958294)</f>
        <v>56.958294</v>
      </c>
      <c r="M3955" s="2">
        <f>IFERROR(__xludf.DUMMYFUNCTION("""COMPUTED_VALUE"""),24.1213478)</f>
        <v>24.1213478</v>
      </c>
    </row>
    <row r="3956">
      <c r="A3956" s="2" t="str">
        <f>IFERROR(__xludf.DUMMYFUNCTION("""COMPUTED_VALUE"""),"For sale")</f>
        <v>For sale</v>
      </c>
      <c r="B3956" s="2" t="str">
        <f>IFERROR(__xludf.DUMMYFUNCTION("""COMPUTED_VALUE"""),"Dzegužkalns")</f>
        <v>Dzegužkalns</v>
      </c>
      <c r="C3956" s="2" t="str">
        <f>IFERROR(__xludf.DUMMYFUNCTION("""COMPUTED_VALUE"""),"Dzirciema 27")</f>
        <v>Dzirciema 27</v>
      </c>
      <c r="D3956" s="2">
        <f>IFERROR(__xludf.DUMMYFUNCTION("""COMPUTED_VALUE"""),2.0)</f>
        <v>2</v>
      </c>
      <c r="E3956" s="2">
        <f>IFERROR(__xludf.DUMMYFUNCTION("""COMPUTED_VALUE"""),45.0)</f>
        <v>45</v>
      </c>
      <c r="F3956" s="2">
        <f>IFERROR(__xludf.DUMMYFUNCTION("""COMPUTED_VALUE"""),11.0)</f>
        <v>11</v>
      </c>
      <c r="G3956" s="2">
        <f>IFERROR(__xludf.DUMMYFUNCTION("""COMPUTED_VALUE"""),12.0)</f>
        <v>12</v>
      </c>
      <c r="H3956" s="2" t="str">
        <f>IFERROR(__xludf.DUMMYFUNCTION("""COMPUTED_VALUE"""),"Čehu pr.")</f>
        <v>Čehu pr.</v>
      </c>
      <c r="I3956" s="2" t="str">
        <f>IFERROR(__xludf.DUMMYFUNCTION("""COMPUTED_VALUE"""),"Brick-Panel")</f>
        <v>Brick-Panel</v>
      </c>
      <c r="J3956" s="2" t="str">
        <f>IFERROR(__xludf.DUMMYFUNCTION("""COMPUTED_VALUE"""),"All amenities")</f>
        <v>All amenities</v>
      </c>
      <c r="K3956" s="2">
        <f>IFERROR(__xludf.DUMMYFUNCTION("""COMPUTED_VALUE"""),52200.0)</f>
        <v>52200</v>
      </c>
      <c r="L3956" s="2">
        <f>IFERROR(__xludf.DUMMYFUNCTION("""COMPUTED_VALUE"""),56.95488155)</f>
        <v>56.95488155</v>
      </c>
      <c r="M3956" s="2">
        <f>IFERROR(__xludf.DUMMYFUNCTION("""COMPUTED_VALUE"""),24.0518049231091)</f>
        <v>24.05180492</v>
      </c>
    </row>
    <row r="3957">
      <c r="A3957" s="2" t="str">
        <f>IFERROR(__xludf.DUMMYFUNCTION("""COMPUTED_VALUE"""),"For sale")</f>
        <v>For sale</v>
      </c>
      <c r="B3957" s="2" t="str">
        <f>IFERROR(__xludf.DUMMYFUNCTION("""COMPUTED_VALUE"""),"Āgenskalns")</f>
        <v>Āgenskalns</v>
      </c>
      <c r="C3957" s="2" t="str">
        <f>IFERROR(__xludf.DUMMYFUNCTION("""COMPUTED_VALUE"""),"Dzirciema 71")</f>
        <v>Dzirciema 71</v>
      </c>
      <c r="D3957" s="2">
        <f>IFERROR(__xludf.DUMMYFUNCTION("""COMPUTED_VALUE"""),2.0)</f>
        <v>2</v>
      </c>
      <c r="E3957" s="2">
        <f>IFERROR(__xludf.DUMMYFUNCTION("""COMPUTED_VALUE"""),50.0)</f>
        <v>50</v>
      </c>
      <c r="F3957" s="2">
        <f>IFERROR(__xludf.DUMMYFUNCTION("""COMPUTED_VALUE"""),6.0)</f>
        <v>6</v>
      </c>
      <c r="G3957" s="2">
        <f>IFERROR(__xludf.DUMMYFUNCTION("""COMPUTED_VALUE"""),9.0)</f>
        <v>9</v>
      </c>
      <c r="H3957" s="2">
        <f>IFERROR(__xludf.DUMMYFUNCTION("""COMPUTED_VALUE"""),602.0)</f>
        <v>602</v>
      </c>
      <c r="I3957" s="2" t="str">
        <f>IFERROR(__xludf.DUMMYFUNCTION("""COMPUTED_VALUE"""),"Panel")</f>
        <v>Panel</v>
      </c>
      <c r="J3957" s="2" t="str">
        <f>IFERROR(__xludf.DUMMYFUNCTION("""COMPUTED_VALUE"""),"All amenities")</f>
        <v>All amenities</v>
      </c>
      <c r="K3957" s="2">
        <f>IFERROR(__xludf.DUMMYFUNCTION("""COMPUTED_VALUE"""),42900.0)</f>
        <v>42900</v>
      </c>
      <c r="L3957" s="2">
        <f>IFERROR(__xludf.DUMMYFUNCTION("""COMPUTED_VALUE"""),56.96512045)</f>
        <v>56.96512045</v>
      </c>
      <c r="M3957" s="2">
        <f>IFERROR(__xludf.DUMMYFUNCTION("""COMPUTED_VALUE"""),24.0549828893368)</f>
        <v>24.05498289</v>
      </c>
    </row>
    <row r="3958">
      <c r="A3958" s="2" t="str">
        <f>IFERROR(__xludf.DUMMYFUNCTION("""COMPUTED_VALUE"""),"For sale")</f>
        <v>For sale</v>
      </c>
      <c r="B3958" s="2" t="str">
        <f>IFERROR(__xludf.DUMMYFUNCTION("""COMPUTED_VALUE"""),"Teika")</f>
        <v>Teika</v>
      </c>
      <c r="C3958" s="2" t="str">
        <f>IFERROR(__xludf.DUMMYFUNCTION("""COMPUTED_VALUE"""),"Ieriķu 54")</f>
        <v>Ieriķu 54</v>
      </c>
      <c r="D3958" s="2">
        <f>IFERROR(__xludf.DUMMYFUNCTION("""COMPUTED_VALUE"""),2.0)</f>
        <v>2</v>
      </c>
      <c r="E3958" s="2">
        <f>IFERROR(__xludf.DUMMYFUNCTION("""COMPUTED_VALUE"""),60.0)</f>
        <v>60</v>
      </c>
      <c r="F3958" s="2">
        <f>IFERROR(__xludf.DUMMYFUNCTION("""COMPUTED_VALUE"""),1.0)</f>
        <v>1</v>
      </c>
      <c r="G3958" s="2">
        <f>IFERROR(__xludf.DUMMYFUNCTION("""COMPUTED_VALUE"""),2.0)</f>
        <v>2</v>
      </c>
      <c r="H3958" s="2" t="str">
        <f>IFERROR(__xludf.DUMMYFUNCTION("""COMPUTED_VALUE"""),"Staļina")</f>
        <v>Staļina</v>
      </c>
      <c r="I3958" s="2" t="str">
        <f>IFERROR(__xludf.DUMMYFUNCTION("""COMPUTED_VALUE"""),"Masonry")</f>
        <v>Masonry</v>
      </c>
      <c r="J3958" s="2" t="str">
        <f>IFERROR(__xludf.DUMMYFUNCTION("""COMPUTED_VALUE"""),"All amenities")</f>
        <v>All amenities</v>
      </c>
      <c r="K3958" s="2">
        <f>IFERROR(__xludf.DUMMYFUNCTION("""COMPUTED_VALUE"""),39999.0)</f>
        <v>39999</v>
      </c>
      <c r="L3958" s="2">
        <f>IFERROR(__xludf.DUMMYFUNCTION("""COMPUTED_VALUE"""),56.9653522)</f>
        <v>56.9653522</v>
      </c>
      <c r="M3958" s="2">
        <f>IFERROR(__xludf.DUMMYFUNCTION("""COMPUTED_VALUE"""),24.1647985)</f>
        <v>24.1647985</v>
      </c>
    </row>
    <row r="3959">
      <c r="A3959" s="2" t="str">
        <f>IFERROR(__xludf.DUMMYFUNCTION("""COMPUTED_VALUE"""),"For sale")</f>
        <v>For sale</v>
      </c>
      <c r="B3959" s="2" t="str">
        <f>IFERROR(__xludf.DUMMYFUNCTION("""COMPUTED_VALUE"""),"centrs")</f>
        <v>centrs</v>
      </c>
      <c r="C3959" s="2" t="str">
        <f>IFERROR(__xludf.DUMMYFUNCTION("""COMPUTED_VALUE"""),"Eksporta 8")</f>
        <v>Eksporta 8</v>
      </c>
      <c r="D3959" s="2">
        <f>IFERROR(__xludf.DUMMYFUNCTION("""COMPUTED_VALUE"""),5.0)</f>
        <v>5</v>
      </c>
      <c r="E3959" s="2">
        <f>IFERROR(__xludf.DUMMYFUNCTION("""COMPUTED_VALUE"""),150.0)</f>
        <v>150</v>
      </c>
      <c r="F3959" s="2">
        <f>IFERROR(__xludf.DUMMYFUNCTION("""COMPUTED_VALUE"""),1.0)</f>
        <v>1</v>
      </c>
      <c r="G3959" s="2">
        <f>IFERROR(__xludf.DUMMYFUNCTION("""COMPUTED_VALUE"""),2.0)</f>
        <v>2</v>
      </c>
      <c r="H3959" s="2" t="str">
        <f>IFERROR(__xludf.DUMMYFUNCTION("""COMPUTED_VALUE"""),"Jaun.")</f>
        <v>Jaun.</v>
      </c>
      <c r="I3959" s="2" t="str">
        <f>IFERROR(__xludf.DUMMYFUNCTION("""COMPUTED_VALUE"""),"Masonry")</f>
        <v>Masonry</v>
      </c>
      <c r="J3959" s="2" t="str">
        <f>IFERROR(__xludf.DUMMYFUNCTION("""COMPUTED_VALUE"""),"All amenities")</f>
        <v>All amenities</v>
      </c>
      <c r="K3959" s="2">
        <f>IFERROR(__xludf.DUMMYFUNCTION("""COMPUTED_VALUE"""),249000.0)</f>
        <v>249000</v>
      </c>
      <c r="L3959" s="2">
        <f>IFERROR(__xludf.DUMMYFUNCTION("""COMPUTED_VALUE"""),56.956763)</f>
        <v>56.956763</v>
      </c>
      <c r="M3959" s="2">
        <f>IFERROR(__xludf.DUMMYFUNCTION("""COMPUTED_VALUE"""),24.0954531)</f>
        <v>24.0954531</v>
      </c>
    </row>
    <row r="3960">
      <c r="A3960" s="2" t="str">
        <f>IFERROR(__xludf.DUMMYFUNCTION("""COMPUTED_VALUE"""),"For rent")</f>
        <v>For rent</v>
      </c>
      <c r="B3960" s="2" t="str">
        <f>IFERROR(__xludf.DUMMYFUNCTION("""COMPUTED_VALUE"""),"centrs")</f>
        <v>centrs</v>
      </c>
      <c r="C3960" s="2" t="str">
        <f>IFERROR(__xludf.DUMMYFUNCTION("""COMPUTED_VALUE"""),"Eksporta 8")</f>
        <v>Eksporta 8</v>
      </c>
      <c r="D3960" s="2">
        <f>IFERROR(__xludf.DUMMYFUNCTION("""COMPUTED_VALUE"""),4.0)</f>
        <v>4</v>
      </c>
      <c r="E3960" s="2">
        <f>IFERROR(__xludf.DUMMYFUNCTION("""COMPUTED_VALUE"""),260.0)</f>
        <v>260</v>
      </c>
      <c r="F3960" s="2">
        <f>IFERROR(__xludf.DUMMYFUNCTION("""COMPUTED_VALUE"""),2.0)</f>
        <v>2</v>
      </c>
      <c r="G3960" s="2">
        <f>IFERROR(__xludf.DUMMYFUNCTION("""COMPUTED_VALUE"""),2.0)</f>
        <v>2</v>
      </c>
      <c r="H3960" s="2" t="str">
        <f>IFERROR(__xludf.DUMMYFUNCTION("""COMPUTED_VALUE"""),"Jaun.")</f>
        <v>Jaun.</v>
      </c>
      <c r="I3960" s="2" t="str">
        <f>IFERROR(__xludf.DUMMYFUNCTION("""COMPUTED_VALUE"""),"Masonry")</f>
        <v>Masonry</v>
      </c>
      <c r="J3960" s="2" t="str">
        <f>IFERROR(__xludf.DUMMYFUNCTION("""COMPUTED_VALUE"""),"All amenities")</f>
        <v>All amenities</v>
      </c>
      <c r="K3960" s="2">
        <f>IFERROR(__xludf.DUMMYFUNCTION("""COMPUTED_VALUE"""),2900.0)</f>
        <v>2900</v>
      </c>
      <c r="L3960" s="2">
        <f>IFERROR(__xludf.DUMMYFUNCTION("""COMPUTED_VALUE"""),56.956763)</f>
        <v>56.956763</v>
      </c>
      <c r="M3960" s="2">
        <f>IFERROR(__xludf.DUMMYFUNCTION("""COMPUTED_VALUE"""),24.0954531)</f>
        <v>24.0954531</v>
      </c>
    </row>
    <row r="3961">
      <c r="A3961" s="2" t="str">
        <f>IFERROR(__xludf.DUMMYFUNCTION("""COMPUTED_VALUE"""),"For rent")</f>
        <v>For rent</v>
      </c>
      <c r="B3961" s="2" t="str">
        <f>IFERROR(__xludf.DUMMYFUNCTION("""COMPUTED_VALUE"""),"centrs")</f>
        <v>centrs</v>
      </c>
      <c r="C3961" s="2" t="str">
        <f>IFERROR(__xludf.DUMMYFUNCTION("""COMPUTED_VALUE"""),"Eksporta 8")</f>
        <v>Eksporta 8</v>
      </c>
      <c r="D3961" s="2">
        <f>IFERROR(__xludf.DUMMYFUNCTION("""COMPUTED_VALUE"""),4.0)</f>
        <v>4</v>
      </c>
      <c r="E3961" s="2">
        <f>IFERROR(__xludf.DUMMYFUNCTION("""COMPUTED_VALUE"""),235.0)</f>
        <v>235</v>
      </c>
      <c r="F3961" s="2">
        <f>IFERROR(__xludf.DUMMYFUNCTION("""COMPUTED_VALUE"""),2.0)</f>
        <v>2</v>
      </c>
      <c r="G3961" s="2">
        <f>IFERROR(__xludf.DUMMYFUNCTION("""COMPUTED_VALUE"""),2.0)</f>
        <v>2</v>
      </c>
      <c r="H3961" s="2" t="str">
        <f>IFERROR(__xludf.DUMMYFUNCTION("""COMPUTED_VALUE"""),"Jaun.")</f>
        <v>Jaun.</v>
      </c>
      <c r="I3961" s="2" t="str">
        <f>IFERROR(__xludf.DUMMYFUNCTION("""COMPUTED_VALUE"""),"Masonry")</f>
        <v>Masonry</v>
      </c>
      <c r="J3961" s="2" t="str">
        <f>IFERROR(__xludf.DUMMYFUNCTION("""COMPUTED_VALUE"""),"All amenities")</f>
        <v>All amenities</v>
      </c>
      <c r="K3961" s="2">
        <f>IFERROR(__xludf.DUMMYFUNCTION("""COMPUTED_VALUE"""),2500.0)</f>
        <v>2500</v>
      </c>
      <c r="L3961" s="2">
        <f>IFERROR(__xludf.DUMMYFUNCTION("""COMPUTED_VALUE"""),56.956763)</f>
        <v>56.956763</v>
      </c>
      <c r="M3961" s="2">
        <f>IFERROR(__xludf.DUMMYFUNCTION("""COMPUTED_VALUE"""),24.0954531)</f>
        <v>24.0954531</v>
      </c>
    </row>
    <row r="3962">
      <c r="A3962" s="2" t="str">
        <f>IFERROR(__xludf.DUMMYFUNCTION("""COMPUTED_VALUE"""),"For rent")</f>
        <v>For rent</v>
      </c>
      <c r="B3962" s="2" t="str">
        <f>IFERROR(__xludf.DUMMYFUNCTION("""COMPUTED_VALUE"""),"Ziepniekkalns")</f>
        <v>Ziepniekkalns</v>
      </c>
      <c r="C3962" s="2" t="str">
        <f>IFERROR(__xludf.DUMMYFUNCTION("""COMPUTED_VALUE"""),"Valdeķu 50")</f>
        <v>Valdeķu 50</v>
      </c>
      <c r="D3962" s="2">
        <f>IFERROR(__xludf.DUMMYFUNCTION("""COMPUTED_VALUE"""),3.0)</f>
        <v>3</v>
      </c>
      <c r="E3962" s="2">
        <f>IFERROR(__xludf.DUMMYFUNCTION("""COMPUTED_VALUE"""),65.0)</f>
        <v>65</v>
      </c>
      <c r="F3962" s="2">
        <f>IFERROR(__xludf.DUMMYFUNCTION("""COMPUTED_VALUE"""),3.0)</f>
        <v>3</v>
      </c>
      <c r="G3962" s="2">
        <f>IFERROR(__xludf.DUMMYFUNCTION("""COMPUTED_VALUE"""),9.0)</f>
        <v>9</v>
      </c>
      <c r="H3962" s="2">
        <f>IFERROR(__xludf.DUMMYFUNCTION("""COMPUTED_VALUE"""),602.0)</f>
        <v>602</v>
      </c>
      <c r="I3962" s="2" t="str">
        <f>IFERROR(__xludf.DUMMYFUNCTION("""COMPUTED_VALUE"""),"Panel")</f>
        <v>Panel</v>
      </c>
      <c r="J3962" s="2" t="str">
        <f>IFERROR(__xludf.DUMMYFUNCTION("""COMPUTED_VALUE"""),"All amenities")</f>
        <v>All amenities</v>
      </c>
      <c r="K3962" s="2">
        <f>IFERROR(__xludf.DUMMYFUNCTION("""COMPUTED_VALUE"""),400.0)</f>
        <v>400</v>
      </c>
      <c r="L3962" s="2">
        <f>IFERROR(__xludf.DUMMYFUNCTION("""COMPUTED_VALUE"""),56.9039544)</f>
        <v>56.9039544</v>
      </c>
      <c r="M3962" s="2">
        <f>IFERROR(__xludf.DUMMYFUNCTION("""COMPUTED_VALUE"""),24.0949609419271)</f>
        <v>24.09496094</v>
      </c>
    </row>
    <row r="3963">
      <c r="A3963" s="2" t="str">
        <f>IFERROR(__xludf.DUMMYFUNCTION("""COMPUTED_VALUE"""),"For rent")</f>
        <v>For rent</v>
      </c>
      <c r="B3963" s="2" t="str">
        <f>IFERROR(__xludf.DUMMYFUNCTION("""COMPUTED_VALUE"""),"Āgenskalns")</f>
        <v>Āgenskalns</v>
      </c>
      <c r="C3963" s="2" t="str">
        <f>IFERROR(__xludf.DUMMYFUNCTION("""COMPUTED_VALUE"""),"Gardenes 7")</f>
        <v>Gardenes 7</v>
      </c>
      <c r="D3963" s="2">
        <f>IFERROR(__xludf.DUMMYFUNCTION("""COMPUTED_VALUE"""),2.0)</f>
        <v>2</v>
      </c>
      <c r="E3963" s="2">
        <f>IFERROR(__xludf.DUMMYFUNCTION("""COMPUTED_VALUE"""),42.0)</f>
        <v>42</v>
      </c>
      <c r="F3963" s="2">
        <f>IFERROR(__xludf.DUMMYFUNCTION("""COMPUTED_VALUE"""),5.0)</f>
        <v>5</v>
      </c>
      <c r="G3963" s="2">
        <f>IFERROR(__xludf.DUMMYFUNCTION("""COMPUTED_VALUE"""),5.0)</f>
        <v>5</v>
      </c>
      <c r="H3963" s="2" t="str">
        <f>IFERROR(__xludf.DUMMYFUNCTION("""COMPUTED_VALUE"""),"Hrušč.")</f>
        <v>Hrušč.</v>
      </c>
      <c r="I3963" s="2" t="str">
        <f>IFERROR(__xludf.DUMMYFUNCTION("""COMPUTED_VALUE"""),"Brick")</f>
        <v>Brick</v>
      </c>
      <c r="J3963" s="2" t="str">
        <f>IFERROR(__xludf.DUMMYFUNCTION("""COMPUTED_VALUE"""),"All amenities")</f>
        <v>All amenities</v>
      </c>
      <c r="K3963" s="2">
        <f>IFERROR(__xludf.DUMMYFUNCTION("""COMPUTED_VALUE"""),300.0)</f>
        <v>300</v>
      </c>
      <c r="L3963" s="2">
        <f>IFERROR(__xludf.DUMMYFUNCTION("""COMPUTED_VALUE"""),56.92783115)</f>
        <v>56.92783115</v>
      </c>
      <c r="M3963" s="2">
        <f>IFERROR(__xludf.DUMMYFUNCTION("""COMPUTED_VALUE"""),24.073532)</f>
        <v>24.073532</v>
      </c>
    </row>
    <row r="3964">
      <c r="A3964" s="2" t="str">
        <f>IFERROR(__xludf.DUMMYFUNCTION("""COMPUTED_VALUE"""),"For sale")</f>
        <v>For sale</v>
      </c>
      <c r="B3964" s="2" t="str">
        <f>IFERROR(__xludf.DUMMYFUNCTION("""COMPUTED_VALUE"""),"Iļģuciems")</f>
        <v>Iļģuciems</v>
      </c>
      <c r="C3964" s="2" t="str">
        <f>IFERROR(__xludf.DUMMYFUNCTION("""COMPUTED_VALUE"""),"Skujenes 13")</f>
        <v>Skujenes 13</v>
      </c>
      <c r="D3964" s="2">
        <f>IFERROR(__xludf.DUMMYFUNCTION("""COMPUTED_VALUE"""),2.0)</f>
        <v>2</v>
      </c>
      <c r="E3964" s="2">
        <f>IFERROR(__xludf.DUMMYFUNCTION("""COMPUTED_VALUE"""),45.0)</f>
        <v>45</v>
      </c>
      <c r="F3964" s="2">
        <f>IFERROR(__xludf.DUMMYFUNCTION("""COMPUTED_VALUE"""),2.0)</f>
        <v>2</v>
      </c>
      <c r="G3964" s="2">
        <f>IFERROR(__xludf.DUMMYFUNCTION("""COMPUTED_VALUE"""),5.0)</f>
        <v>5</v>
      </c>
      <c r="H3964" s="2" t="str">
        <f>IFERROR(__xludf.DUMMYFUNCTION("""COMPUTED_VALUE"""),"LT proj.")</f>
        <v>LT proj.</v>
      </c>
      <c r="I3964" s="2" t="str">
        <f>IFERROR(__xludf.DUMMYFUNCTION("""COMPUTED_VALUE"""),"Brick-Panel")</f>
        <v>Brick-Panel</v>
      </c>
      <c r="J3964" s="2" t="str">
        <f>IFERROR(__xludf.DUMMYFUNCTION("""COMPUTED_VALUE"""),"All amenities")</f>
        <v>All amenities</v>
      </c>
      <c r="K3964" s="2">
        <f>IFERROR(__xludf.DUMMYFUNCTION("""COMPUTED_VALUE"""),46300.0)</f>
        <v>46300</v>
      </c>
      <c r="L3964" s="2">
        <f>IFERROR(__xludf.DUMMYFUNCTION("""COMPUTED_VALUE"""),56.96306045)</f>
        <v>56.96306045</v>
      </c>
      <c r="M3964" s="2">
        <f>IFERROR(__xludf.DUMMYFUNCTION("""COMPUTED_VALUE"""),24.0479363756081)</f>
        <v>24.04793638</v>
      </c>
    </row>
    <row r="3965">
      <c r="A3965" s="2" t="str">
        <f>IFERROR(__xludf.DUMMYFUNCTION("""COMPUTED_VALUE"""),"For sale")</f>
        <v>For sale</v>
      </c>
      <c r="B3965" s="2" t="str">
        <f>IFERROR(__xludf.DUMMYFUNCTION("""COMPUTED_VALUE"""),"Vecmīlgrāvis")</f>
        <v>Vecmīlgrāvis</v>
      </c>
      <c r="C3965" s="2" t="str">
        <f>IFERROR(__xludf.DUMMYFUNCTION("""COMPUTED_VALUE"""),"Melīdas 1")</f>
        <v>Melīdas 1</v>
      </c>
      <c r="D3965" s="2">
        <f>IFERROR(__xludf.DUMMYFUNCTION("""COMPUTED_VALUE"""),1.0)</f>
        <v>1</v>
      </c>
      <c r="E3965" s="2">
        <f>IFERROR(__xludf.DUMMYFUNCTION("""COMPUTED_VALUE"""),43.0)</f>
        <v>43</v>
      </c>
      <c r="F3965" s="2">
        <f>IFERROR(__xludf.DUMMYFUNCTION("""COMPUTED_VALUE"""),5.0)</f>
        <v>5</v>
      </c>
      <c r="G3965" s="2">
        <f>IFERROR(__xludf.DUMMYFUNCTION("""COMPUTED_VALUE"""),5.0)</f>
        <v>5</v>
      </c>
      <c r="H3965" s="2" t="str">
        <f>IFERROR(__xludf.DUMMYFUNCTION("""COMPUTED_VALUE"""),"M. ģim.")</f>
        <v>M. ģim.</v>
      </c>
      <c r="I3965" s="2" t="str">
        <f>IFERROR(__xludf.DUMMYFUNCTION("""COMPUTED_VALUE"""),"Panel")</f>
        <v>Panel</v>
      </c>
      <c r="J3965" s="2" t="str">
        <f>IFERROR(__xludf.DUMMYFUNCTION("""COMPUTED_VALUE"""),"All amenities")</f>
        <v>All amenities</v>
      </c>
      <c r="K3965" s="2">
        <f>IFERROR(__xludf.DUMMYFUNCTION("""COMPUTED_VALUE"""),22500.0)</f>
        <v>22500</v>
      </c>
      <c r="L3965" s="2">
        <f>IFERROR(__xludf.DUMMYFUNCTION("""COMPUTED_VALUE"""),57.02967645)</f>
        <v>57.02967645</v>
      </c>
      <c r="M3965" s="2">
        <f>IFERROR(__xludf.DUMMYFUNCTION("""COMPUTED_VALUE"""),24.1054302151979)</f>
        <v>24.10543022</v>
      </c>
    </row>
    <row r="3966">
      <c r="A3966" s="2" t="str">
        <f>IFERROR(__xludf.DUMMYFUNCTION("""COMPUTED_VALUE"""),"For sale")</f>
        <v>For sale</v>
      </c>
      <c r="B3966" s="2" t="str">
        <f>IFERROR(__xludf.DUMMYFUNCTION("""COMPUTED_VALUE"""),"Vecmīlgrāvis")</f>
        <v>Vecmīlgrāvis</v>
      </c>
      <c r="C3966" s="2" t="str">
        <f>IFERROR(__xludf.DUMMYFUNCTION("""COMPUTED_VALUE"""),"Vecmīlgrāvja 1. l. 37")</f>
        <v>Vecmīlgrāvja 1. l. 37</v>
      </c>
      <c r="D3966" s="2">
        <f>IFERROR(__xludf.DUMMYFUNCTION("""COMPUTED_VALUE"""),1.0)</f>
        <v>1</v>
      </c>
      <c r="E3966" s="2">
        <f>IFERROR(__xludf.DUMMYFUNCTION("""COMPUTED_VALUE"""),28.0)</f>
        <v>28</v>
      </c>
      <c r="F3966" s="2">
        <f>IFERROR(__xludf.DUMMYFUNCTION("""COMPUTED_VALUE"""),1.0)</f>
        <v>1</v>
      </c>
      <c r="G3966" s="2">
        <f>IFERROR(__xludf.DUMMYFUNCTION("""COMPUTED_VALUE"""),5.0)</f>
        <v>5</v>
      </c>
      <c r="H3966" s="2" t="str">
        <f>IFERROR(__xludf.DUMMYFUNCTION("""COMPUTED_VALUE"""),"LT proj.")</f>
        <v>LT proj.</v>
      </c>
      <c r="I3966" s="2" t="str">
        <f>IFERROR(__xludf.DUMMYFUNCTION("""COMPUTED_VALUE"""),"Panel")</f>
        <v>Panel</v>
      </c>
      <c r="J3966" s="2" t="str">
        <f>IFERROR(__xludf.DUMMYFUNCTION("""COMPUTED_VALUE"""),"All amenities")</f>
        <v>All amenities</v>
      </c>
      <c r="K3966" s="2">
        <f>IFERROR(__xludf.DUMMYFUNCTION("""COMPUTED_VALUE"""),30000.0)</f>
        <v>30000</v>
      </c>
      <c r="L3966" s="2" t="str">
        <f>IFERROR(__xludf.DUMMYFUNCTION("""COMPUTED_VALUE"""),"NaN")</f>
        <v>NaN</v>
      </c>
      <c r="M3966" s="2" t="str">
        <f>IFERROR(__xludf.DUMMYFUNCTION("""COMPUTED_VALUE"""),"NaN")</f>
        <v>NaN</v>
      </c>
    </row>
    <row r="3967">
      <c r="A3967" s="2" t="str">
        <f>IFERROR(__xludf.DUMMYFUNCTION("""COMPUTED_VALUE"""),"For sale")</f>
        <v>For sale</v>
      </c>
      <c r="B3967" s="2" t="str">
        <f>IFERROR(__xludf.DUMMYFUNCTION("""COMPUTED_VALUE"""),"centrs")</f>
        <v>centrs</v>
      </c>
      <c r="C3967" s="2" t="str">
        <f>IFERROR(__xludf.DUMMYFUNCTION("""COMPUTED_VALUE"""),"Sadovņikova 21")</f>
        <v>Sadovņikova 21</v>
      </c>
      <c r="D3967" s="2">
        <f>IFERROR(__xludf.DUMMYFUNCTION("""COMPUTED_VALUE"""),3.0)</f>
        <v>3</v>
      </c>
      <c r="E3967" s="2">
        <f>IFERROR(__xludf.DUMMYFUNCTION("""COMPUTED_VALUE"""),66.0)</f>
        <v>66</v>
      </c>
      <c r="F3967" s="2">
        <f>IFERROR(__xludf.DUMMYFUNCTION("""COMPUTED_VALUE"""),3.0)</f>
        <v>3</v>
      </c>
      <c r="G3967" s="2">
        <f>IFERROR(__xludf.DUMMYFUNCTION("""COMPUTED_VALUE"""),5.0)</f>
        <v>5</v>
      </c>
      <c r="H3967" s="2" t="str">
        <f>IFERROR(__xludf.DUMMYFUNCTION("""COMPUTED_VALUE"""),"Specpr.")</f>
        <v>Specpr.</v>
      </c>
      <c r="I3967" s="2" t="str">
        <f>IFERROR(__xludf.DUMMYFUNCTION("""COMPUTED_VALUE"""),"Brick")</f>
        <v>Brick</v>
      </c>
      <c r="J3967" s="2" t="str">
        <f>IFERROR(__xludf.DUMMYFUNCTION("""COMPUTED_VALUE"""),"All amenities")</f>
        <v>All amenities</v>
      </c>
      <c r="K3967" s="2">
        <f>IFERROR(__xludf.DUMMYFUNCTION("""COMPUTED_VALUE"""),69900.0)</f>
        <v>69900</v>
      </c>
      <c r="L3967" s="2">
        <f>IFERROR(__xludf.DUMMYFUNCTION("""COMPUTED_VALUE"""),56.9421434)</f>
        <v>56.9421434</v>
      </c>
      <c r="M3967" s="2">
        <f>IFERROR(__xludf.DUMMYFUNCTION("""COMPUTED_VALUE"""),24.1326836)</f>
        <v>24.1326836</v>
      </c>
    </row>
    <row r="3968">
      <c r="A3968" s="2" t="str">
        <f>IFERROR(__xludf.DUMMYFUNCTION("""COMPUTED_VALUE"""),"For rent")</f>
        <v>For rent</v>
      </c>
      <c r="B3968" s="2" t="str">
        <f>IFERROR(__xludf.DUMMYFUNCTION("""COMPUTED_VALUE"""),"Pļavnieki")</f>
        <v>Pļavnieki</v>
      </c>
      <c r="C3968" s="2" t="str">
        <f>IFERROR(__xludf.DUMMYFUNCTION("""COMPUTED_VALUE"""),"Deglava 106")</f>
        <v>Deglava 106</v>
      </c>
      <c r="D3968" s="2">
        <f>IFERROR(__xludf.DUMMYFUNCTION("""COMPUTED_VALUE"""),1.0)</f>
        <v>1</v>
      </c>
      <c r="E3968" s="2">
        <f>IFERROR(__xludf.DUMMYFUNCTION("""COMPUTED_VALUE"""),40.0)</f>
        <v>40</v>
      </c>
      <c r="F3968" s="2">
        <f>IFERROR(__xludf.DUMMYFUNCTION("""COMPUTED_VALUE"""),1.0)</f>
        <v>1</v>
      </c>
      <c r="G3968" s="2">
        <f>IFERROR(__xludf.DUMMYFUNCTION("""COMPUTED_VALUE"""),9.0)</f>
        <v>9</v>
      </c>
      <c r="H3968" s="2">
        <f>IFERROR(__xludf.DUMMYFUNCTION("""COMPUTED_VALUE"""),119.0)</f>
        <v>119</v>
      </c>
      <c r="I3968" s="2" t="str">
        <f>IFERROR(__xludf.DUMMYFUNCTION("""COMPUTED_VALUE"""),"Panel")</f>
        <v>Panel</v>
      </c>
      <c r="J3968" s="2" t="str">
        <f>IFERROR(__xludf.DUMMYFUNCTION("""COMPUTED_VALUE"""),"All amenities")</f>
        <v>All amenities</v>
      </c>
      <c r="K3968" s="2">
        <f>IFERROR(__xludf.DUMMYFUNCTION("""COMPUTED_VALUE"""),210.0)</f>
        <v>210</v>
      </c>
      <c r="L3968" s="2">
        <f>IFERROR(__xludf.DUMMYFUNCTION("""COMPUTED_VALUE"""),56.94796725)</f>
        <v>56.94796725</v>
      </c>
      <c r="M3968" s="2">
        <f>IFERROR(__xludf.DUMMYFUNCTION("""COMPUTED_VALUE"""),24.1898659253875)</f>
        <v>24.18986593</v>
      </c>
    </row>
    <row r="3969">
      <c r="A3969" s="2" t="str">
        <f>IFERROR(__xludf.DUMMYFUNCTION("""COMPUTED_VALUE"""),"For sale")</f>
        <v>For sale</v>
      </c>
      <c r="B3969" s="2" t="str">
        <f>IFERROR(__xludf.DUMMYFUNCTION("""COMPUTED_VALUE"""),"Mežciems")</f>
        <v>Mežciems</v>
      </c>
      <c r="C3969" s="2" t="str">
        <f>IFERROR(__xludf.DUMMYFUNCTION("""COMPUTED_VALUE"""),"Celmu 10")</f>
        <v>Celmu 10</v>
      </c>
      <c r="D3969" s="2">
        <f>IFERROR(__xludf.DUMMYFUNCTION("""COMPUTED_VALUE"""),1.0)</f>
        <v>1</v>
      </c>
      <c r="E3969" s="2">
        <f>IFERROR(__xludf.DUMMYFUNCTION("""COMPUTED_VALUE"""),27.0)</f>
        <v>27</v>
      </c>
      <c r="F3969" s="2">
        <f>IFERROR(__xludf.DUMMYFUNCTION("""COMPUTED_VALUE"""),4.0)</f>
        <v>4</v>
      </c>
      <c r="G3969" s="2">
        <f>IFERROR(__xludf.DUMMYFUNCTION("""COMPUTED_VALUE"""),5.0)</f>
        <v>5</v>
      </c>
      <c r="H3969" s="2" t="str">
        <f>IFERROR(__xludf.DUMMYFUNCTION("""COMPUTED_VALUE"""),"LT proj.")</f>
        <v>LT proj.</v>
      </c>
      <c r="I3969" s="2" t="str">
        <f>IFERROR(__xludf.DUMMYFUNCTION("""COMPUTED_VALUE"""),"Panel")</f>
        <v>Panel</v>
      </c>
      <c r="J3969" s="2" t="str">
        <f>IFERROR(__xludf.DUMMYFUNCTION("""COMPUTED_VALUE"""),"All amenities")</f>
        <v>All amenities</v>
      </c>
      <c r="K3969" s="2">
        <f>IFERROR(__xludf.DUMMYFUNCTION("""COMPUTED_VALUE"""),33300.0)</f>
        <v>33300</v>
      </c>
      <c r="L3969" s="2">
        <f>IFERROR(__xludf.DUMMYFUNCTION("""COMPUTED_VALUE"""),56.97300075)</f>
        <v>56.97300075</v>
      </c>
      <c r="M3969" s="2">
        <f>IFERROR(__xludf.DUMMYFUNCTION("""COMPUTED_VALUE"""),24.2354794499999)</f>
        <v>24.23547945</v>
      </c>
    </row>
    <row r="3970">
      <c r="A3970" s="2" t="str">
        <f>IFERROR(__xludf.DUMMYFUNCTION("""COMPUTED_VALUE"""),"For rent")</f>
        <v>For rent</v>
      </c>
      <c r="B3970" s="2" t="str">
        <f>IFERROR(__xludf.DUMMYFUNCTION("""COMPUTED_VALUE"""),"centrs")</f>
        <v>centrs</v>
      </c>
      <c r="C3970" s="2" t="str">
        <f>IFERROR(__xludf.DUMMYFUNCTION("""COMPUTED_VALUE"""),"Miera 27")</f>
        <v>Miera 27</v>
      </c>
      <c r="D3970" s="2">
        <f>IFERROR(__xludf.DUMMYFUNCTION("""COMPUTED_VALUE"""),4.0)</f>
        <v>4</v>
      </c>
      <c r="E3970" s="2">
        <f>IFERROR(__xludf.DUMMYFUNCTION("""COMPUTED_VALUE"""),101.0)</f>
        <v>101</v>
      </c>
      <c r="F3970" s="2">
        <f>IFERROR(__xludf.DUMMYFUNCTION("""COMPUTED_VALUE"""),5.0)</f>
        <v>5</v>
      </c>
      <c r="G3970" s="2">
        <f>IFERROR(__xludf.DUMMYFUNCTION("""COMPUTED_VALUE"""),5.0)</f>
        <v>5</v>
      </c>
      <c r="H3970" s="2" t="str">
        <f>IFERROR(__xludf.DUMMYFUNCTION("""COMPUTED_VALUE"""),"P. kara")</f>
        <v>P. kara</v>
      </c>
      <c r="I3970" s="2" t="str">
        <f>IFERROR(__xludf.DUMMYFUNCTION("""COMPUTED_VALUE"""),"Masonry")</f>
        <v>Masonry</v>
      </c>
      <c r="J3970" s="2" t="str">
        <f>IFERROR(__xludf.DUMMYFUNCTION("""COMPUTED_VALUE"""),"Partial amenities")</f>
        <v>Partial amenities</v>
      </c>
      <c r="K3970" s="2">
        <f>IFERROR(__xludf.DUMMYFUNCTION("""COMPUTED_VALUE"""),480.0)</f>
        <v>480</v>
      </c>
      <c r="L3970" s="2">
        <f>IFERROR(__xludf.DUMMYFUNCTION("""COMPUTED_VALUE"""),56.9665763)</f>
        <v>56.9665763</v>
      </c>
      <c r="M3970" s="2">
        <f>IFERROR(__xludf.DUMMYFUNCTION("""COMPUTED_VALUE"""),24.1337504)</f>
        <v>24.1337504</v>
      </c>
    </row>
    <row r="3971">
      <c r="A3971" s="2" t="str">
        <f>IFERROR(__xludf.DUMMYFUNCTION("""COMPUTED_VALUE"""),"For rent")</f>
        <v>For rent</v>
      </c>
      <c r="B3971" s="2" t="str">
        <f>IFERROR(__xludf.DUMMYFUNCTION("""COMPUTED_VALUE"""),"centrs")</f>
        <v>centrs</v>
      </c>
      <c r="C3971" s="2" t="str">
        <f>IFERROR(__xludf.DUMMYFUNCTION("""COMPUTED_VALUE"""),"Rūpniecības 21")</f>
        <v>Rūpniecības 21</v>
      </c>
      <c r="D3971" s="2">
        <f>IFERROR(__xludf.DUMMYFUNCTION("""COMPUTED_VALUE"""),3.0)</f>
        <v>3</v>
      </c>
      <c r="E3971" s="2">
        <f>IFERROR(__xludf.DUMMYFUNCTION("""COMPUTED_VALUE"""),95.0)</f>
        <v>95</v>
      </c>
      <c r="F3971" s="2">
        <f>IFERROR(__xludf.DUMMYFUNCTION("""COMPUTED_VALUE"""),3.0)</f>
        <v>3</v>
      </c>
      <c r="G3971" s="2">
        <f>IFERROR(__xludf.DUMMYFUNCTION("""COMPUTED_VALUE"""),7.0)</f>
        <v>7</v>
      </c>
      <c r="H3971" s="2" t="str">
        <f>IFERROR(__xludf.DUMMYFUNCTION("""COMPUTED_VALUE"""),"Jaun.")</f>
        <v>Jaun.</v>
      </c>
      <c r="I3971" s="2" t="str">
        <f>IFERROR(__xludf.DUMMYFUNCTION("""COMPUTED_VALUE"""),"Brick")</f>
        <v>Brick</v>
      </c>
      <c r="J3971" s="2" t="str">
        <f>IFERROR(__xludf.DUMMYFUNCTION("""COMPUTED_VALUE"""),"All amenities")</f>
        <v>All amenities</v>
      </c>
      <c r="K3971" s="2">
        <f>IFERROR(__xludf.DUMMYFUNCTION("""COMPUTED_VALUE"""),1000.0)</f>
        <v>1000</v>
      </c>
      <c r="L3971" s="2">
        <f>IFERROR(__xludf.DUMMYFUNCTION("""COMPUTED_VALUE"""),56.9660465)</f>
        <v>56.9660465</v>
      </c>
      <c r="M3971" s="2">
        <f>IFERROR(__xludf.DUMMYFUNCTION("""COMPUTED_VALUE"""),24.1019662)</f>
        <v>24.1019662</v>
      </c>
    </row>
    <row r="3972">
      <c r="A3972" s="2" t="str">
        <f>IFERROR(__xludf.DUMMYFUNCTION("""COMPUTED_VALUE"""),"For rent")</f>
        <v>For rent</v>
      </c>
      <c r="B3972" s="2" t="str">
        <f>IFERROR(__xludf.DUMMYFUNCTION("""COMPUTED_VALUE"""),"Purvciems")</f>
        <v>Purvciems</v>
      </c>
      <c r="C3972" s="2" t="str">
        <f>IFERROR(__xludf.DUMMYFUNCTION("""COMPUTED_VALUE"""),"Ilūkstes 60")</f>
        <v>Ilūkstes 60</v>
      </c>
      <c r="D3972" s="2">
        <f>IFERROR(__xludf.DUMMYFUNCTION("""COMPUTED_VALUE"""),1.0)</f>
        <v>1</v>
      </c>
      <c r="E3972" s="2">
        <f>IFERROR(__xludf.DUMMYFUNCTION("""COMPUTED_VALUE"""),30.0)</f>
        <v>30</v>
      </c>
      <c r="F3972" s="2">
        <f>IFERROR(__xludf.DUMMYFUNCTION("""COMPUTED_VALUE"""),5.0)</f>
        <v>5</v>
      </c>
      <c r="G3972" s="2">
        <f>IFERROR(__xludf.DUMMYFUNCTION("""COMPUTED_VALUE"""),5.0)</f>
        <v>5</v>
      </c>
      <c r="H3972" s="2" t="str">
        <f>IFERROR(__xludf.DUMMYFUNCTION("""COMPUTED_VALUE"""),"LT proj.")</f>
        <v>LT proj.</v>
      </c>
      <c r="I3972" s="2" t="str">
        <f>IFERROR(__xludf.DUMMYFUNCTION("""COMPUTED_VALUE"""),"Panel")</f>
        <v>Panel</v>
      </c>
      <c r="J3972" s="2" t="str">
        <f>IFERROR(__xludf.DUMMYFUNCTION("""COMPUTED_VALUE"""),"All amenities")</f>
        <v>All amenities</v>
      </c>
      <c r="K3972" s="2">
        <f>IFERROR(__xludf.DUMMYFUNCTION("""COMPUTED_VALUE"""),250.0)</f>
        <v>250</v>
      </c>
      <c r="L3972" s="2">
        <f>IFERROR(__xludf.DUMMYFUNCTION("""COMPUTED_VALUE"""),56.9531103)</f>
        <v>56.9531103</v>
      </c>
      <c r="M3972" s="2">
        <f>IFERROR(__xludf.DUMMYFUNCTION("""COMPUTED_VALUE"""),24.19957545)</f>
        <v>24.19957545</v>
      </c>
    </row>
    <row r="3973">
      <c r="A3973" s="2" t="str">
        <f>IFERROR(__xludf.DUMMYFUNCTION("""COMPUTED_VALUE"""),"For rent")</f>
        <v>For rent</v>
      </c>
      <c r="B3973" s="2" t="str">
        <f>IFERROR(__xludf.DUMMYFUNCTION("""COMPUTED_VALUE"""),"Purvciems")</f>
        <v>Purvciems</v>
      </c>
      <c r="C3973" s="2" t="str">
        <f>IFERROR(__xludf.DUMMYFUNCTION("""COMPUTED_VALUE"""),"Ieriķu 36")</f>
        <v>Ieriķu 36</v>
      </c>
      <c r="D3973" s="2">
        <f>IFERROR(__xludf.DUMMYFUNCTION("""COMPUTED_VALUE"""),1.0)</f>
        <v>1</v>
      </c>
      <c r="E3973" s="2">
        <f>IFERROR(__xludf.DUMMYFUNCTION("""COMPUTED_VALUE"""),28.0)</f>
        <v>28</v>
      </c>
      <c r="F3973" s="2">
        <f>IFERROR(__xludf.DUMMYFUNCTION("""COMPUTED_VALUE"""),3.0)</f>
        <v>3</v>
      </c>
      <c r="G3973" s="2">
        <f>IFERROR(__xludf.DUMMYFUNCTION("""COMPUTED_VALUE"""),5.0)</f>
        <v>5</v>
      </c>
      <c r="H3973" s="2">
        <f>IFERROR(__xludf.DUMMYFUNCTION("""COMPUTED_VALUE"""),103.0)</f>
        <v>103</v>
      </c>
      <c r="I3973" s="2" t="str">
        <f>IFERROR(__xludf.DUMMYFUNCTION("""COMPUTED_VALUE"""),"Brick-Panel")</f>
        <v>Brick-Panel</v>
      </c>
      <c r="J3973" s="2" t="str">
        <f>IFERROR(__xludf.DUMMYFUNCTION("""COMPUTED_VALUE"""),"All amenities")</f>
        <v>All amenities</v>
      </c>
      <c r="K3973" s="2">
        <f>IFERROR(__xludf.DUMMYFUNCTION("""COMPUTED_VALUE"""),290.0)</f>
        <v>290</v>
      </c>
      <c r="L3973" s="2">
        <f>IFERROR(__xludf.DUMMYFUNCTION("""COMPUTED_VALUE"""),56.96521775)</f>
        <v>56.96521775</v>
      </c>
      <c r="M3973" s="2">
        <f>IFERROR(__xludf.DUMMYFUNCTION("""COMPUTED_VALUE"""),24.1743910491988)</f>
        <v>24.17439105</v>
      </c>
    </row>
    <row r="3974">
      <c r="A3974" s="2" t="str">
        <f>IFERROR(__xludf.DUMMYFUNCTION("""COMPUTED_VALUE"""),"For sale")</f>
        <v>For sale</v>
      </c>
      <c r="B3974" s="2" t="str">
        <f>IFERROR(__xludf.DUMMYFUNCTION("""COMPUTED_VALUE"""),"centrs")</f>
        <v>centrs</v>
      </c>
      <c r="C3974" s="2" t="str">
        <f>IFERROR(__xludf.DUMMYFUNCTION("""COMPUTED_VALUE"""),"Pērnavas 39")</f>
        <v>Pērnavas 39</v>
      </c>
      <c r="D3974" s="2">
        <f>IFERROR(__xludf.DUMMYFUNCTION("""COMPUTED_VALUE"""),1.0)</f>
        <v>1</v>
      </c>
      <c r="E3974" s="2">
        <f>IFERROR(__xludf.DUMMYFUNCTION("""COMPUTED_VALUE"""),28.0)</f>
        <v>28</v>
      </c>
      <c r="F3974" s="2">
        <f>IFERROR(__xludf.DUMMYFUNCTION("""COMPUTED_VALUE"""),5.0)</f>
        <v>5</v>
      </c>
      <c r="G3974" s="2">
        <f>IFERROR(__xludf.DUMMYFUNCTION("""COMPUTED_VALUE"""),6.0)</f>
        <v>6</v>
      </c>
      <c r="H3974" s="2" t="str">
        <f>IFERROR(__xludf.DUMMYFUNCTION("""COMPUTED_VALUE"""),"P. kara")</f>
        <v>P. kara</v>
      </c>
      <c r="I3974" s="2" t="str">
        <f>IFERROR(__xludf.DUMMYFUNCTION("""COMPUTED_VALUE"""),"Brick")</f>
        <v>Brick</v>
      </c>
      <c r="J3974" s="2" t="str">
        <f>IFERROR(__xludf.DUMMYFUNCTION("""COMPUTED_VALUE"""),"All amenities")</f>
        <v>All amenities</v>
      </c>
      <c r="K3974" s="2">
        <f>IFERROR(__xludf.DUMMYFUNCTION("""COMPUTED_VALUE"""),38500.0)</f>
        <v>38500</v>
      </c>
      <c r="L3974" s="2">
        <f>IFERROR(__xludf.DUMMYFUNCTION("""COMPUTED_VALUE"""),56.9555074999999)</f>
        <v>56.9555075</v>
      </c>
      <c r="M3974" s="2">
        <f>IFERROR(__xludf.DUMMYFUNCTION("""COMPUTED_VALUE"""),24.1534989394562)</f>
        <v>24.15349894</v>
      </c>
    </row>
    <row r="3975">
      <c r="A3975" s="2" t="str">
        <f>IFERROR(__xludf.DUMMYFUNCTION("""COMPUTED_VALUE"""),"For rent")</f>
        <v>For rent</v>
      </c>
      <c r="B3975" s="2" t="str">
        <f>IFERROR(__xludf.DUMMYFUNCTION("""COMPUTED_VALUE"""),"Purvciems")</f>
        <v>Purvciems</v>
      </c>
      <c r="C3975" s="2" t="str">
        <f>IFERROR(__xludf.DUMMYFUNCTION("""COMPUTED_VALUE"""),"Ilūkstes 54")</f>
        <v>Ilūkstes 54</v>
      </c>
      <c r="D3975" s="2">
        <f>IFERROR(__xludf.DUMMYFUNCTION("""COMPUTED_VALUE"""),1.0)</f>
        <v>1</v>
      </c>
      <c r="E3975" s="2">
        <f>IFERROR(__xludf.DUMMYFUNCTION("""COMPUTED_VALUE"""),43.0)</f>
        <v>43</v>
      </c>
      <c r="F3975" s="2">
        <f>IFERROR(__xludf.DUMMYFUNCTION("""COMPUTED_VALUE"""),2.0)</f>
        <v>2</v>
      </c>
      <c r="G3975" s="2">
        <f>IFERROR(__xludf.DUMMYFUNCTION("""COMPUTED_VALUE"""),5.0)</f>
        <v>5</v>
      </c>
      <c r="H3975" s="2" t="str">
        <f>IFERROR(__xludf.DUMMYFUNCTION("""COMPUTED_VALUE"""),"M. ģim.")</f>
        <v>M. ģim.</v>
      </c>
      <c r="I3975" s="2" t="str">
        <f>IFERROR(__xludf.DUMMYFUNCTION("""COMPUTED_VALUE"""),"Panel")</f>
        <v>Panel</v>
      </c>
      <c r="J3975" s="2" t="str">
        <f>IFERROR(__xludf.DUMMYFUNCTION("""COMPUTED_VALUE"""),"All amenities")</f>
        <v>All amenities</v>
      </c>
      <c r="K3975" s="2">
        <f>IFERROR(__xludf.DUMMYFUNCTION("""COMPUTED_VALUE"""),230.0)</f>
        <v>230</v>
      </c>
      <c r="L3975" s="2">
        <f>IFERROR(__xludf.DUMMYFUNCTION("""COMPUTED_VALUE"""),56.9502634)</f>
        <v>56.9502634</v>
      </c>
      <c r="M3975" s="2">
        <f>IFERROR(__xludf.DUMMYFUNCTION("""COMPUTED_VALUE"""),24.1981767)</f>
        <v>24.1981767</v>
      </c>
    </row>
    <row r="3976">
      <c r="A3976" s="2" t="str">
        <f>IFERROR(__xludf.DUMMYFUNCTION("""COMPUTED_VALUE"""),"For rent")</f>
        <v>For rent</v>
      </c>
      <c r="B3976" s="2" t="str">
        <f>IFERROR(__xludf.DUMMYFUNCTION("""COMPUTED_VALUE"""),"centrs")</f>
        <v>centrs</v>
      </c>
      <c r="C3976" s="2" t="str">
        <f>IFERROR(__xludf.DUMMYFUNCTION("""COMPUTED_VALUE"""),"Čaka 130")</f>
        <v>Čaka 130</v>
      </c>
      <c r="D3976" s="2">
        <f>IFERROR(__xludf.DUMMYFUNCTION("""COMPUTED_VALUE"""),1.0)</f>
        <v>1</v>
      </c>
      <c r="E3976" s="2">
        <f>IFERROR(__xludf.DUMMYFUNCTION("""COMPUTED_VALUE"""),35.0)</f>
        <v>35</v>
      </c>
      <c r="F3976" s="2">
        <f>IFERROR(__xludf.DUMMYFUNCTION("""COMPUTED_VALUE"""),1.0)</f>
        <v>1</v>
      </c>
      <c r="G3976" s="2">
        <f>IFERROR(__xludf.DUMMYFUNCTION("""COMPUTED_VALUE"""),6.0)</f>
        <v>6</v>
      </c>
      <c r="H3976" s="2" t="str">
        <f>IFERROR(__xludf.DUMMYFUNCTION("""COMPUTED_VALUE"""),"P. kara")</f>
        <v>P. kara</v>
      </c>
      <c r="I3976" s="2" t="str">
        <f>IFERROR(__xludf.DUMMYFUNCTION("""COMPUTED_VALUE"""),"Brick")</f>
        <v>Brick</v>
      </c>
      <c r="J3976" s="2" t="str">
        <f>IFERROR(__xludf.DUMMYFUNCTION("""COMPUTED_VALUE"""),"All amenities")</f>
        <v>All amenities</v>
      </c>
      <c r="K3976" s="2">
        <f>IFERROR(__xludf.DUMMYFUNCTION("""COMPUTED_VALUE"""),350.0)</f>
        <v>350</v>
      </c>
      <c r="L3976" s="2">
        <f>IFERROR(__xludf.DUMMYFUNCTION("""COMPUTED_VALUE"""),56.9612506)</f>
        <v>56.9612506</v>
      </c>
      <c r="M3976" s="2">
        <f>IFERROR(__xludf.DUMMYFUNCTION("""COMPUTED_VALUE"""),24.1471029212551)</f>
        <v>24.14710292</v>
      </c>
    </row>
    <row r="3977">
      <c r="A3977" s="2" t="str">
        <f>IFERROR(__xludf.DUMMYFUNCTION("""COMPUTED_VALUE"""),"For sale")</f>
        <v>For sale</v>
      </c>
      <c r="B3977" s="2" t="str">
        <f>IFERROR(__xludf.DUMMYFUNCTION("""COMPUTED_VALUE"""),"Katlakalns")</f>
        <v>Katlakalns</v>
      </c>
      <c r="C3977" s="2" t="str">
        <f>IFERROR(__xludf.DUMMYFUNCTION("""COMPUTED_VALUE"""),"Bauskas 205")</f>
        <v>Bauskas 205</v>
      </c>
      <c r="D3977" s="2">
        <f>IFERROR(__xludf.DUMMYFUNCTION("""COMPUTED_VALUE"""),2.0)</f>
        <v>2</v>
      </c>
      <c r="E3977" s="2">
        <f>IFERROR(__xludf.DUMMYFUNCTION("""COMPUTED_VALUE"""),54.0)</f>
        <v>54</v>
      </c>
      <c r="F3977" s="2">
        <f>IFERROR(__xludf.DUMMYFUNCTION("""COMPUTED_VALUE"""),4.0)</f>
        <v>4</v>
      </c>
      <c r="G3977" s="2">
        <f>IFERROR(__xludf.DUMMYFUNCTION("""COMPUTED_VALUE"""),9.0)</f>
        <v>9</v>
      </c>
      <c r="H3977" s="2">
        <f>IFERROR(__xludf.DUMMYFUNCTION("""COMPUTED_VALUE"""),602.0)</f>
        <v>602</v>
      </c>
      <c r="I3977" s="2" t="str">
        <f>IFERROR(__xludf.DUMMYFUNCTION("""COMPUTED_VALUE"""),"Panel")</f>
        <v>Panel</v>
      </c>
      <c r="J3977" s="2" t="str">
        <f>IFERROR(__xludf.DUMMYFUNCTION("""COMPUTED_VALUE"""),"All amenities")</f>
        <v>All amenities</v>
      </c>
      <c r="K3977" s="2">
        <f>IFERROR(__xludf.DUMMYFUNCTION("""COMPUTED_VALUE"""),68000.0)</f>
        <v>68000</v>
      </c>
      <c r="L3977" s="2">
        <f>IFERROR(__xludf.DUMMYFUNCTION("""COMPUTED_VALUE"""),56.9141787)</f>
        <v>56.9141787</v>
      </c>
      <c r="M3977" s="2">
        <f>IFERROR(__xludf.DUMMYFUNCTION("""COMPUTED_VALUE"""),24.1217522)</f>
        <v>24.1217522</v>
      </c>
    </row>
    <row r="3978">
      <c r="A3978" s="2" t="str">
        <f>IFERROR(__xludf.DUMMYFUNCTION("""COMPUTED_VALUE"""),"For sale")</f>
        <v>For sale</v>
      </c>
      <c r="B3978" s="2" t="str">
        <f>IFERROR(__xludf.DUMMYFUNCTION("""COMPUTED_VALUE"""),"Purvciems")</f>
        <v>Purvciems</v>
      </c>
      <c r="C3978" s="2" t="str">
        <f>IFERROR(__xludf.DUMMYFUNCTION("""COMPUTED_VALUE"""),"Stirnu 20")</f>
        <v>Stirnu 20</v>
      </c>
      <c r="D3978" s="2">
        <f>IFERROR(__xludf.DUMMYFUNCTION("""COMPUTED_VALUE"""),2.0)</f>
        <v>2</v>
      </c>
      <c r="E3978" s="2">
        <f>IFERROR(__xludf.DUMMYFUNCTION("""COMPUTED_VALUE"""),53.0)</f>
        <v>53</v>
      </c>
      <c r="F3978" s="2">
        <f>IFERROR(__xludf.DUMMYFUNCTION("""COMPUTED_VALUE"""),1.0)</f>
        <v>1</v>
      </c>
      <c r="G3978" s="2">
        <f>IFERROR(__xludf.DUMMYFUNCTION("""COMPUTED_VALUE"""),5.0)</f>
        <v>5</v>
      </c>
      <c r="H3978" s="2" t="str">
        <f>IFERROR(__xludf.DUMMYFUNCTION("""COMPUTED_VALUE"""),"Jaun.")</f>
        <v>Jaun.</v>
      </c>
      <c r="I3978" s="2" t="str">
        <f>IFERROR(__xludf.DUMMYFUNCTION("""COMPUTED_VALUE"""),"Masonry")</f>
        <v>Masonry</v>
      </c>
      <c r="J3978" s="2" t="str">
        <f>IFERROR(__xludf.DUMMYFUNCTION("""COMPUTED_VALUE"""),"All amenities")</f>
        <v>All amenities</v>
      </c>
      <c r="K3978" s="2">
        <f>IFERROR(__xludf.DUMMYFUNCTION("""COMPUTED_VALUE"""),92000.0)</f>
        <v>92000</v>
      </c>
      <c r="L3978" s="2">
        <f>IFERROR(__xludf.DUMMYFUNCTION("""COMPUTED_VALUE"""),56.9650621)</f>
        <v>56.9650621</v>
      </c>
      <c r="M3978" s="2">
        <f>IFERROR(__xludf.DUMMYFUNCTION("""COMPUTED_VALUE"""),24.1952933)</f>
        <v>24.1952933</v>
      </c>
    </row>
    <row r="3979">
      <c r="A3979" s="2" t="str">
        <f>IFERROR(__xludf.DUMMYFUNCTION("""COMPUTED_VALUE"""),"For sale")</f>
        <v>For sale</v>
      </c>
      <c r="B3979" s="2" t="str">
        <f>IFERROR(__xludf.DUMMYFUNCTION("""COMPUTED_VALUE"""),"Purvciems")</f>
        <v>Purvciems</v>
      </c>
      <c r="C3979" s="2" t="str">
        <f>IFERROR(__xludf.DUMMYFUNCTION("""COMPUTED_VALUE"""),"Stirnu 20")</f>
        <v>Stirnu 20</v>
      </c>
      <c r="D3979" s="2">
        <f>IFERROR(__xludf.DUMMYFUNCTION("""COMPUTED_VALUE"""),3.0)</f>
        <v>3</v>
      </c>
      <c r="E3979" s="2">
        <f>IFERROR(__xludf.DUMMYFUNCTION("""COMPUTED_VALUE"""),73.0)</f>
        <v>73</v>
      </c>
      <c r="F3979" s="2">
        <f>IFERROR(__xludf.DUMMYFUNCTION("""COMPUTED_VALUE"""),1.0)</f>
        <v>1</v>
      </c>
      <c r="G3979" s="2">
        <f>IFERROR(__xludf.DUMMYFUNCTION("""COMPUTED_VALUE"""),4.0)</f>
        <v>4</v>
      </c>
      <c r="H3979" s="2" t="str">
        <f>IFERROR(__xludf.DUMMYFUNCTION("""COMPUTED_VALUE"""),"Jaun.")</f>
        <v>Jaun.</v>
      </c>
      <c r="I3979" s="2" t="str">
        <f>IFERROR(__xludf.DUMMYFUNCTION("""COMPUTED_VALUE"""),"Masonry")</f>
        <v>Masonry</v>
      </c>
      <c r="J3979" s="2" t="str">
        <f>IFERROR(__xludf.DUMMYFUNCTION("""COMPUTED_VALUE"""),"All amenities")</f>
        <v>All amenities</v>
      </c>
      <c r="K3979" s="2">
        <f>IFERROR(__xludf.DUMMYFUNCTION("""COMPUTED_VALUE"""),139000.0)</f>
        <v>139000</v>
      </c>
      <c r="L3979" s="2">
        <f>IFERROR(__xludf.DUMMYFUNCTION("""COMPUTED_VALUE"""),56.9650621)</f>
        <v>56.9650621</v>
      </c>
      <c r="M3979" s="2">
        <f>IFERROR(__xludf.DUMMYFUNCTION("""COMPUTED_VALUE"""),24.1952933)</f>
        <v>24.1952933</v>
      </c>
    </row>
    <row r="3980">
      <c r="A3980" s="2" t="str">
        <f>IFERROR(__xludf.DUMMYFUNCTION("""COMPUTED_VALUE"""),"For sale")</f>
        <v>For sale</v>
      </c>
      <c r="B3980" s="2" t="str">
        <f>IFERROR(__xludf.DUMMYFUNCTION("""COMPUTED_VALUE"""),"Ziepniekkalns")</f>
        <v>Ziepniekkalns</v>
      </c>
      <c r="C3980" s="2" t="str">
        <f>IFERROR(__xludf.DUMMYFUNCTION("""COMPUTED_VALUE"""),"Valdeķu 1")</f>
        <v>Valdeķu 1</v>
      </c>
      <c r="D3980" s="2">
        <f>IFERROR(__xludf.DUMMYFUNCTION("""COMPUTED_VALUE"""),3.0)</f>
        <v>3</v>
      </c>
      <c r="E3980" s="2">
        <f>IFERROR(__xludf.DUMMYFUNCTION("""COMPUTED_VALUE"""),60.0)</f>
        <v>60</v>
      </c>
      <c r="F3980" s="2">
        <f>IFERROR(__xludf.DUMMYFUNCTION("""COMPUTED_VALUE"""),5.0)</f>
        <v>5</v>
      </c>
      <c r="G3980" s="2">
        <f>IFERROR(__xludf.DUMMYFUNCTION("""COMPUTED_VALUE"""),5.0)</f>
        <v>5</v>
      </c>
      <c r="H3980" s="2" t="str">
        <f>IFERROR(__xludf.DUMMYFUNCTION("""COMPUTED_VALUE"""),"Hrušč.")</f>
        <v>Hrušč.</v>
      </c>
      <c r="I3980" s="2" t="str">
        <f>IFERROR(__xludf.DUMMYFUNCTION("""COMPUTED_VALUE"""),"Brick")</f>
        <v>Brick</v>
      </c>
      <c r="J3980" s="2" t="str">
        <f>IFERROR(__xludf.DUMMYFUNCTION("""COMPUTED_VALUE"""),"All amenities")</f>
        <v>All amenities</v>
      </c>
      <c r="K3980" s="2">
        <f>IFERROR(__xludf.DUMMYFUNCTION("""COMPUTED_VALUE"""),57000.0)</f>
        <v>57000</v>
      </c>
      <c r="L3980" s="2">
        <f>IFERROR(__xludf.DUMMYFUNCTION("""COMPUTED_VALUE"""),56.9001741)</f>
        <v>56.9001741</v>
      </c>
      <c r="M3980" s="2">
        <f>IFERROR(__xludf.DUMMYFUNCTION("""COMPUTED_VALUE"""),24.0926941)</f>
        <v>24.0926941</v>
      </c>
    </row>
    <row r="3981">
      <c r="A3981" s="2" t="str">
        <f>IFERROR(__xludf.DUMMYFUNCTION("""COMPUTED_VALUE"""),"For sale")</f>
        <v>For sale</v>
      </c>
      <c r="B3981" s="2" t="str">
        <f>IFERROR(__xludf.DUMMYFUNCTION("""COMPUTED_VALUE"""),"Purvciems")</f>
        <v>Purvciems</v>
      </c>
      <c r="C3981" s="2" t="str">
        <f>IFERROR(__xludf.DUMMYFUNCTION("""COMPUTED_VALUE"""),"Upeņu 17")</f>
        <v>Upeņu 17</v>
      </c>
      <c r="D3981" s="2">
        <f>IFERROR(__xludf.DUMMYFUNCTION("""COMPUTED_VALUE"""),2.0)</f>
        <v>2</v>
      </c>
      <c r="E3981" s="2">
        <f>IFERROR(__xludf.DUMMYFUNCTION("""COMPUTED_VALUE"""),62.0)</f>
        <v>62</v>
      </c>
      <c r="F3981" s="2">
        <f>IFERROR(__xludf.DUMMYFUNCTION("""COMPUTED_VALUE"""),2.0)</f>
        <v>2</v>
      </c>
      <c r="G3981" s="2">
        <f>IFERROR(__xludf.DUMMYFUNCTION("""COMPUTED_VALUE"""),8.0)</f>
        <v>8</v>
      </c>
      <c r="H3981" s="2" t="str">
        <f>IFERROR(__xludf.DUMMYFUNCTION("""COMPUTED_VALUE"""),"Jaun.")</f>
        <v>Jaun.</v>
      </c>
      <c r="I3981" s="2" t="str">
        <f>IFERROR(__xludf.DUMMYFUNCTION("""COMPUTED_VALUE"""),"Panel")</f>
        <v>Panel</v>
      </c>
      <c r="J3981" s="2" t="str">
        <f>IFERROR(__xludf.DUMMYFUNCTION("""COMPUTED_VALUE"""),"All amenities")</f>
        <v>All amenities</v>
      </c>
      <c r="K3981" s="2">
        <f>IFERROR(__xludf.DUMMYFUNCTION("""COMPUTED_VALUE"""),94000.0)</f>
        <v>94000</v>
      </c>
      <c r="L3981" s="2">
        <f>IFERROR(__xludf.DUMMYFUNCTION("""COMPUTED_VALUE"""),56.96023005)</f>
        <v>56.96023005</v>
      </c>
      <c r="M3981" s="2">
        <f>IFERROR(__xludf.DUMMYFUNCTION("""COMPUTED_VALUE"""),24.1917520688357)</f>
        <v>24.19175207</v>
      </c>
    </row>
    <row r="3982">
      <c r="A3982" s="2" t="str">
        <f>IFERROR(__xludf.DUMMYFUNCTION("""COMPUTED_VALUE"""),"For rent")</f>
        <v>For rent</v>
      </c>
      <c r="B3982" s="2" t="str">
        <f>IFERROR(__xludf.DUMMYFUNCTION("""COMPUTED_VALUE"""),"Ķengarags")</f>
        <v>Ķengarags</v>
      </c>
      <c r="C3982" s="2" t="str">
        <f>IFERROR(__xludf.DUMMYFUNCTION("""COMPUTED_VALUE"""),"Maskavas 266")</f>
        <v>Maskavas 266</v>
      </c>
      <c r="D3982" s="2">
        <f>IFERROR(__xludf.DUMMYFUNCTION("""COMPUTED_VALUE"""),2.0)</f>
        <v>2</v>
      </c>
      <c r="E3982" s="2">
        <f>IFERROR(__xludf.DUMMYFUNCTION("""COMPUTED_VALUE"""),45.0)</f>
        <v>45</v>
      </c>
      <c r="F3982" s="2">
        <f>IFERROR(__xludf.DUMMYFUNCTION("""COMPUTED_VALUE"""),4.0)</f>
        <v>4</v>
      </c>
      <c r="G3982" s="2">
        <f>IFERROR(__xludf.DUMMYFUNCTION("""COMPUTED_VALUE"""),5.0)</f>
        <v>5</v>
      </c>
      <c r="H3982" s="2" t="str">
        <f>IFERROR(__xludf.DUMMYFUNCTION("""COMPUTED_VALUE"""),"LT proj.")</f>
        <v>LT proj.</v>
      </c>
      <c r="I3982" s="2" t="str">
        <f>IFERROR(__xludf.DUMMYFUNCTION("""COMPUTED_VALUE"""),"Panel")</f>
        <v>Panel</v>
      </c>
      <c r="J3982" s="2" t="str">
        <f>IFERROR(__xludf.DUMMYFUNCTION("""COMPUTED_VALUE"""),"All amenities")</f>
        <v>All amenities</v>
      </c>
      <c r="K3982" s="2">
        <f>IFERROR(__xludf.DUMMYFUNCTION("""COMPUTED_VALUE"""),250.0)</f>
        <v>250</v>
      </c>
      <c r="L3982" s="2">
        <f>IFERROR(__xludf.DUMMYFUNCTION("""COMPUTED_VALUE"""),56.8597884)</f>
        <v>56.8597884</v>
      </c>
      <c r="M3982" s="2">
        <f>IFERROR(__xludf.DUMMYFUNCTION("""COMPUTED_VALUE"""),24.3083417)</f>
        <v>24.3083417</v>
      </c>
    </row>
    <row r="3983">
      <c r="A3983" s="2" t="str">
        <f>IFERROR(__xludf.DUMMYFUNCTION("""COMPUTED_VALUE"""),"For rent")</f>
        <v>For rent</v>
      </c>
      <c r="B3983" s="2" t="str">
        <f>IFERROR(__xludf.DUMMYFUNCTION("""COMPUTED_VALUE"""),"centrs")</f>
        <v>centrs</v>
      </c>
      <c r="C3983" s="2" t="str">
        <f>IFERROR(__xludf.DUMMYFUNCTION("""COMPUTED_VALUE"""),"Alunāna 6")</f>
        <v>Alunāna 6</v>
      </c>
      <c r="D3983" s="2">
        <f>IFERROR(__xludf.DUMMYFUNCTION("""COMPUTED_VALUE"""),2.0)</f>
        <v>2</v>
      </c>
      <c r="E3983" s="2">
        <f>IFERROR(__xludf.DUMMYFUNCTION("""COMPUTED_VALUE"""),50.0)</f>
        <v>50</v>
      </c>
      <c r="F3983" s="2">
        <f>IFERROR(__xludf.DUMMYFUNCTION("""COMPUTED_VALUE"""),2.0)</f>
        <v>2</v>
      </c>
      <c r="G3983" s="2">
        <f>IFERROR(__xludf.DUMMYFUNCTION("""COMPUTED_VALUE"""),4.0)</f>
        <v>4</v>
      </c>
      <c r="H3983" s="2" t="str">
        <f>IFERROR(__xludf.DUMMYFUNCTION("""COMPUTED_VALUE"""),"P. kara")</f>
        <v>P. kara</v>
      </c>
      <c r="I3983" s="2" t="str">
        <f>IFERROR(__xludf.DUMMYFUNCTION("""COMPUTED_VALUE"""),"Brick")</f>
        <v>Brick</v>
      </c>
      <c r="J3983" s="2" t="str">
        <f>IFERROR(__xludf.DUMMYFUNCTION("""COMPUTED_VALUE"""),"All amenities")</f>
        <v>All amenities</v>
      </c>
      <c r="K3983" s="2">
        <f>IFERROR(__xludf.DUMMYFUNCTION("""COMPUTED_VALUE"""),390.0)</f>
        <v>390</v>
      </c>
      <c r="L3983" s="2">
        <f>IFERROR(__xludf.DUMMYFUNCTION("""COMPUTED_VALUE"""),56.9567552)</f>
        <v>56.9567552</v>
      </c>
      <c r="M3983" s="2">
        <f>IFERROR(__xludf.DUMMYFUNCTION("""COMPUTED_VALUE"""),24.1116411783831)</f>
        <v>24.11164118</v>
      </c>
    </row>
    <row r="3984">
      <c r="A3984" s="2" t="str">
        <f>IFERROR(__xludf.DUMMYFUNCTION("""COMPUTED_VALUE"""),"For sale")</f>
        <v>For sale</v>
      </c>
      <c r="B3984" s="2" t="str">
        <f>IFERROR(__xludf.DUMMYFUNCTION("""COMPUTED_VALUE"""),"Imanta")</f>
        <v>Imanta</v>
      </c>
      <c r="C3984" s="2" t="str">
        <f>IFERROR(__xludf.DUMMYFUNCTION("""COMPUTED_VALUE"""),"Anniņmuižas bulvāris 43")</f>
        <v>Anniņmuižas bulvāris 43</v>
      </c>
      <c r="D3984" s="2">
        <f>IFERROR(__xludf.DUMMYFUNCTION("""COMPUTED_VALUE"""),3.0)</f>
        <v>3</v>
      </c>
      <c r="E3984" s="2">
        <f>IFERROR(__xludf.DUMMYFUNCTION("""COMPUTED_VALUE"""),170.0)</f>
        <v>170</v>
      </c>
      <c r="F3984" s="2">
        <f>IFERROR(__xludf.DUMMYFUNCTION("""COMPUTED_VALUE"""),23.0)</f>
        <v>23</v>
      </c>
      <c r="G3984" s="2">
        <f>IFERROR(__xludf.DUMMYFUNCTION("""COMPUTED_VALUE"""),24.0)</f>
        <v>24</v>
      </c>
      <c r="H3984" s="2" t="str">
        <f>IFERROR(__xludf.DUMMYFUNCTION("""COMPUTED_VALUE"""),"Jaun.")</f>
        <v>Jaun.</v>
      </c>
      <c r="I3984" s="2" t="str">
        <f>IFERROR(__xludf.DUMMYFUNCTION("""COMPUTED_VALUE"""),"Brick-Panel")</f>
        <v>Brick-Panel</v>
      </c>
      <c r="J3984" s="2" t="str">
        <f>IFERROR(__xludf.DUMMYFUNCTION("""COMPUTED_VALUE"""),"All amenities")</f>
        <v>All amenities</v>
      </c>
      <c r="K3984" s="2">
        <f>IFERROR(__xludf.DUMMYFUNCTION("""COMPUTED_VALUE"""),220000.0)</f>
        <v>220000</v>
      </c>
      <c r="L3984" s="2">
        <f>IFERROR(__xludf.DUMMYFUNCTION("""COMPUTED_VALUE"""),56.9590306)</f>
        <v>56.9590306</v>
      </c>
      <c r="M3984" s="2">
        <f>IFERROR(__xludf.DUMMYFUNCTION("""COMPUTED_VALUE"""),24.013887042853)</f>
        <v>24.01388704</v>
      </c>
    </row>
    <row r="3985">
      <c r="A3985" s="2" t="str">
        <f>IFERROR(__xludf.DUMMYFUNCTION("""COMPUTED_VALUE"""),"For sale")</f>
        <v>For sale</v>
      </c>
      <c r="B3985" s="2" t="str">
        <f>IFERROR(__xludf.DUMMYFUNCTION("""COMPUTED_VALUE"""),"centrs")</f>
        <v>centrs</v>
      </c>
      <c r="C3985" s="2" t="str">
        <f>IFERROR(__xludf.DUMMYFUNCTION("""COMPUTED_VALUE"""),"Ganību d. 40a")</f>
        <v>Ganību d. 40a</v>
      </c>
      <c r="D3985" s="2">
        <f>IFERROR(__xludf.DUMMYFUNCTION("""COMPUTED_VALUE"""),1.0)</f>
        <v>1</v>
      </c>
      <c r="E3985" s="2">
        <f>IFERROR(__xludf.DUMMYFUNCTION("""COMPUTED_VALUE"""),32.0)</f>
        <v>32</v>
      </c>
      <c r="F3985" s="2">
        <f>IFERROR(__xludf.DUMMYFUNCTION("""COMPUTED_VALUE"""),3.0)</f>
        <v>3</v>
      </c>
      <c r="G3985" s="2">
        <f>IFERROR(__xludf.DUMMYFUNCTION("""COMPUTED_VALUE"""),3.0)</f>
        <v>3</v>
      </c>
      <c r="H3985" s="2" t="str">
        <f>IFERROR(__xludf.DUMMYFUNCTION("""COMPUTED_VALUE"""),"P. kara")</f>
        <v>P. kara</v>
      </c>
      <c r="I3985" s="2" t="str">
        <f>IFERROR(__xludf.DUMMYFUNCTION("""COMPUTED_VALUE"""),"Brick")</f>
        <v>Brick</v>
      </c>
      <c r="J3985" s="2" t="str">
        <f>IFERROR(__xludf.DUMMYFUNCTION("""COMPUTED_VALUE"""),"Partial amenities")</f>
        <v>Partial amenities</v>
      </c>
      <c r="K3985" s="2">
        <f>IFERROR(__xludf.DUMMYFUNCTION("""COMPUTED_VALUE"""),16900.0)</f>
        <v>16900</v>
      </c>
      <c r="L3985" s="2" t="str">
        <f>IFERROR(__xludf.DUMMYFUNCTION("""COMPUTED_VALUE"""),"NaN")</f>
        <v>NaN</v>
      </c>
      <c r="M3985" s="2" t="str">
        <f>IFERROR(__xludf.DUMMYFUNCTION("""COMPUTED_VALUE"""),"NaN")</f>
        <v>NaN</v>
      </c>
    </row>
    <row r="3986">
      <c r="A3986" s="2" t="str">
        <f>IFERROR(__xludf.DUMMYFUNCTION("""COMPUTED_VALUE"""),"For sale")</f>
        <v>For sale</v>
      </c>
      <c r="B3986" s="2" t="str">
        <f>IFERROR(__xludf.DUMMYFUNCTION("""COMPUTED_VALUE"""),"Āgenskalns")</f>
        <v>Āgenskalns</v>
      </c>
      <c r="C3986" s="2" t="str">
        <f>IFERROR(__xludf.DUMMYFUNCTION("""COMPUTED_VALUE"""),"Kristapa 10")</f>
        <v>Kristapa 10</v>
      </c>
      <c r="D3986" s="2">
        <f>IFERROR(__xludf.DUMMYFUNCTION("""COMPUTED_VALUE"""),1.0)</f>
        <v>1</v>
      </c>
      <c r="E3986" s="2">
        <f>IFERROR(__xludf.DUMMYFUNCTION("""COMPUTED_VALUE"""),17.0)</f>
        <v>17</v>
      </c>
      <c r="F3986" s="2">
        <f>IFERROR(__xludf.DUMMYFUNCTION("""COMPUTED_VALUE"""),2.0)</f>
        <v>2</v>
      </c>
      <c r="G3986" s="2">
        <f>IFERROR(__xludf.DUMMYFUNCTION("""COMPUTED_VALUE"""),4.0)</f>
        <v>4</v>
      </c>
      <c r="H3986" s="2" t="str">
        <f>IFERROR(__xludf.DUMMYFUNCTION("""COMPUTED_VALUE"""),"M. ģim.")</f>
        <v>M. ģim.</v>
      </c>
      <c r="I3986" s="2" t="str">
        <f>IFERROR(__xludf.DUMMYFUNCTION("""COMPUTED_VALUE"""),"Brick")</f>
        <v>Brick</v>
      </c>
      <c r="J3986" s="2" t="str">
        <f>IFERROR(__xludf.DUMMYFUNCTION("""COMPUTED_VALUE"""),"Partial amenities")</f>
        <v>Partial amenities</v>
      </c>
      <c r="K3986" s="2">
        <f>IFERROR(__xludf.DUMMYFUNCTION("""COMPUTED_VALUE"""),21000.0)</f>
        <v>21000</v>
      </c>
      <c r="L3986" s="2">
        <f>IFERROR(__xludf.DUMMYFUNCTION("""COMPUTED_VALUE"""),56.9432032999999)</f>
        <v>56.9432033</v>
      </c>
      <c r="M3986" s="2">
        <f>IFERROR(__xludf.DUMMYFUNCTION("""COMPUTED_VALUE"""),24.0618997500124)</f>
        <v>24.06189975</v>
      </c>
    </row>
    <row r="3987">
      <c r="A3987" s="2" t="str">
        <f>IFERROR(__xludf.DUMMYFUNCTION("""COMPUTED_VALUE"""),"For rent")</f>
        <v>For rent</v>
      </c>
      <c r="B3987" s="2" t="str">
        <f>IFERROR(__xludf.DUMMYFUNCTION("""COMPUTED_VALUE"""),"centrs")</f>
        <v>centrs</v>
      </c>
      <c r="C3987" s="2" t="str">
        <f>IFERROR(__xludf.DUMMYFUNCTION("""COMPUTED_VALUE"""),"Kurbada 3b")</f>
        <v>Kurbada 3b</v>
      </c>
      <c r="D3987" s="2">
        <f>IFERROR(__xludf.DUMMYFUNCTION("""COMPUTED_VALUE"""),5.0)</f>
        <v>5</v>
      </c>
      <c r="E3987" s="2">
        <f>IFERROR(__xludf.DUMMYFUNCTION("""COMPUTED_VALUE"""),50.0)</f>
        <v>50</v>
      </c>
      <c r="F3987" s="2">
        <f>IFERROR(__xludf.DUMMYFUNCTION("""COMPUTED_VALUE"""),3.0)</f>
        <v>3</v>
      </c>
      <c r="G3987" s="2">
        <f>IFERROR(__xludf.DUMMYFUNCTION("""COMPUTED_VALUE"""),5.0)</f>
        <v>5</v>
      </c>
      <c r="H3987" s="2" t="str">
        <f>IFERROR(__xludf.DUMMYFUNCTION("""COMPUTED_VALUE"""),"Renov.")</f>
        <v>Renov.</v>
      </c>
      <c r="I3987" s="2" t="str">
        <f>IFERROR(__xludf.DUMMYFUNCTION("""COMPUTED_VALUE"""),"Brick-Panel")</f>
        <v>Brick-Panel</v>
      </c>
      <c r="J3987" s="2" t="str">
        <f>IFERROR(__xludf.DUMMYFUNCTION("""COMPUTED_VALUE"""),"All amenities")</f>
        <v>All amenities</v>
      </c>
      <c r="K3987" s="2">
        <f>IFERROR(__xludf.DUMMYFUNCTION("""COMPUTED_VALUE"""),430.0)</f>
        <v>430</v>
      </c>
      <c r="L3987" s="2">
        <f>IFERROR(__xludf.DUMMYFUNCTION("""COMPUTED_VALUE"""),56.9479382)</f>
        <v>56.9479382</v>
      </c>
      <c r="M3987" s="2">
        <f>IFERROR(__xludf.DUMMYFUNCTION("""COMPUTED_VALUE"""),24.1380288)</f>
        <v>24.1380288</v>
      </c>
    </row>
    <row r="3988">
      <c r="A3988" s="2" t="str">
        <f>IFERROR(__xludf.DUMMYFUNCTION("""COMPUTED_VALUE"""),"For sale")</f>
        <v>For sale</v>
      </c>
      <c r="B3988" s="2" t="str">
        <f>IFERROR(__xludf.DUMMYFUNCTION("""COMPUTED_VALUE"""),"Dārzciems")</f>
        <v>Dārzciems</v>
      </c>
      <c r="C3988" s="2" t="str">
        <f>IFERROR(__xludf.DUMMYFUNCTION("""COMPUTED_VALUE"""),"Strautu 23")</f>
        <v>Strautu 23</v>
      </c>
      <c r="D3988" s="2">
        <f>IFERROR(__xludf.DUMMYFUNCTION("""COMPUTED_VALUE"""),1.0)</f>
        <v>1</v>
      </c>
      <c r="E3988" s="2">
        <f>IFERROR(__xludf.DUMMYFUNCTION("""COMPUTED_VALUE"""),39.0)</f>
        <v>39</v>
      </c>
      <c r="F3988" s="2">
        <f>IFERROR(__xludf.DUMMYFUNCTION("""COMPUTED_VALUE"""),3.0)</f>
        <v>3</v>
      </c>
      <c r="G3988" s="2">
        <f>IFERROR(__xludf.DUMMYFUNCTION("""COMPUTED_VALUE"""),5.0)</f>
        <v>5</v>
      </c>
      <c r="H3988" s="2" t="str">
        <f>IFERROR(__xludf.DUMMYFUNCTION("""COMPUTED_VALUE"""),"M. ģim.")</f>
        <v>M. ģim.</v>
      </c>
      <c r="I3988" s="2" t="str">
        <f>IFERROR(__xludf.DUMMYFUNCTION("""COMPUTED_VALUE"""),"Panel")</f>
        <v>Panel</v>
      </c>
      <c r="J3988" s="2" t="str">
        <f>IFERROR(__xludf.DUMMYFUNCTION("""COMPUTED_VALUE"""),"All amenities")</f>
        <v>All amenities</v>
      </c>
      <c r="K3988" s="2">
        <f>IFERROR(__xludf.DUMMYFUNCTION("""COMPUTED_VALUE"""),30000.0)</f>
        <v>30000</v>
      </c>
      <c r="L3988" s="2">
        <f>IFERROR(__xludf.DUMMYFUNCTION("""COMPUTED_VALUE"""),56.94016)</f>
        <v>56.94016</v>
      </c>
      <c r="M3988" s="2">
        <f>IFERROR(__xludf.DUMMYFUNCTION("""COMPUTED_VALUE"""),24.186816783778)</f>
        <v>24.18681678</v>
      </c>
    </row>
    <row r="3989">
      <c r="A3989" s="2" t="str">
        <f>IFERROR(__xludf.DUMMYFUNCTION("""COMPUTED_VALUE"""),"For sale")</f>
        <v>For sale</v>
      </c>
      <c r="B3989" s="2" t="str">
        <f>IFERROR(__xludf.DUMMYFUNCTION("""COMPUTED_VALUE"""),"Ķengarags")</f>
        <v>Ķengarags</v>
      </c>
      <c r="C3989" s="2" t="str">
        <f>IFERROR(__xludf.DUMMYFUNCTION("""COMPUTED_VALUE"""),"Maskavas 291/2")</f>
        <v>Maskavas 291/2</v>
      </c>
      <c r="D3989" s="2">
        <f>IFERROR(__xludf.DUMMYFUNCTION("""COMPUTED_VALUE"""),3.0)</f>
        <v>3</v>
      </c>
      <c r="E3989" s="2">
        <f>IFERROR(__xludf.DUMMYFUNCTION("""COMPUTED_VALUE"""),60.0)</f>
        <v>60</v>
      </c>
      <c r="F3989" s="2">
        <f>IFERROR(__xludf.DUMMYFUNCTION("""COMPUTED_VALUE"""),2.0)</f>
        <v>2</v>
      </c>
      <c r="G3989" s="2">
        <f>IFERROR(__xludf.DUMMYFUNCTION("""COMPUTED_VALUE"""),5.0)</f>
        <v>5</v>
      </c>
      <c r="H3989" s="2" t="str">
        <f>IFERROR(__xludf.DUMMYFUNCTION("""COMPUTED_VALUE"""),"LT proj.")</f>
        <v>LT proj.</v>
      </c>
      <c r="I3989" s="2" t="str">
        <f>IFERROR(__xludf.DUMMYFUNCTION("""COMPUTED_VALUE"""),"Panel")</f>
        <v>Panel</v>
      </c>
      <c r="J3989" s="2" t="str">
        <f>IFERROR(__xludf.DUMMYFUNCTION("""COMPUTED_VALUE"""),"All amenities")</f>
        <v>All amenities</v>
      </c>
      <c r="K3989" s="2">
        <f>IFERROR(__xludf.DUMMYFUNCTION("""COMPUTED_VALUE"""),52200.0)</f>
        <v>52200</v>
      </c>
      <c r="L3989" s="2">
        <f>IFERROR(__xludf.DUMMYFUNCTION("""COMPUTED_VALUE"""),56.8702755)</f>
        <v>56.8702755</v>
      </c>
      <c r="M3989" s="2">
        <f>IFERROR(__xludf.DUMMYFUNCTION("""COMPUTED_VALUE"""),24.2741204)</f>
        <v>24.2741204</v>
      </c>
    </row>
    <row r="3990">
      <c r="A3990" s="2" t="str">
        <f>IFERROR(__xludf.DUMMYFUNCTION("""COMPUTED_VALUE"""),"For rent")</f>
        <v>For rent</v>
      </c>
      <c r="B3990" s="2" t="str">
        <f>IFERROR(__xludf.DUMMYFUNCTION("""COMPUTED_VALUE"""),"Imanta")</f>
        <v>Imanta</v>
      </c>
      <c r="C3990" s="2" t="str">
        <f>IFERROR(__xludf.DUMMYFUNCTION("""COMPUTED_VALUE"""),"Kurzemes pr. 148")</f>
        <v>Kurzemes pr. 148</v>
      </c>
      <c r="D3990" s="2">
        <f>IFERROR(__xludf.DUMMYFUNCTION("""COMPUTED_VALUE"""),1.0)</f>
        <v>1</v>
      </c>
      <c r="E3990" s="2">
        <f>IFERROR(__xludf.DUMMYFUNCTION("""COMPUTED_VALUE"""),34.0)</f>
        <v>34</v>
      </c>
      <c r="F3990" s="2">
        <f>IFERROR(__xludf.DUMMYFUNCTION("""COMPUTED_VALUE"""),8.0)</f>
        <v>8</v>
      </c>
      <c r="G3990" s="2">
        <f>IFERROR(__xludf.DUMMYFUNCTION("""COMPUTED_VALUE"""),9.0)</f>
        <v>9</v>
      </c>
      <c r="H3990" s="2">
        <f>IFERROR(__xludf.DUMMYFUNCTION("""COMPUTED_VALUE"""),602.0)</f>
        <v>602</v>
      </c>
      <c r="I3990" s="2" t="str">
        <f>IFERROR(__xludf.DUMMYFUNCTION("""COMPUTED_VALUE"""),"Panel")</f>
        <v>Panel</v>
      </c>
      <c r="J3990" s="2" t="str">
        <f>IFERROR(__xludf.DUMMYFUNCTION("""COMPUTED_VALUE"""),"All amenities")</f>
        <v>All amenities</v>
      </c>
      <c r="K3990" s="2">
        <f>IFERROR(__xludf.DUMMYFUNCTION("""COMPUTED_VALUE"""),290.0)</f>
        <v>290</v>
      </c>
      <c r="L3990" s="2" t="str">
        <f>IFERROR(__xludf.DUMMYFUNCTION("""COMPUTED_VALUE"""),"NaN")</f>
        <v>NaN</v>
      </c>
      <c r="M3990" s="2" t="str">
        <f>IFERROR(__xludf.DUMMYFUNCTION("""COMPUTED_VALUE"""),"NaN")</f>
        <v>NaN</v>
      </c>
    </row>
    <row r="3991">
      <c r="A3991" s="2" t="str">
        <f>IFERROR(__xludf.DUMMYFUNCTION("""COMPUTED_VALUE"""),"For sale")</f>
        <v>For sale</v>
      </c>
      <c r="B3991" s="2" t="str">
        <f>IFERROR(__xludf.DUMMYFUNCTION("""COMPUTED_VALUE"""),"Vecrīga")</f>
        <v>Vecrīga</v>
      </c>
      <c r="C3991" s="2" t="str">
        <f>IFERROR(__xludf.DUMMYFUNCTION("""COMPUTED_VALUE"""),"Šķūņu 6")</f>
        <v>Šķūņu 6</v>
      </c>
      <c r="D3991" s="2">
        <f>IFERROR(__xludf.DUMMYFUNCTION("""COMPUTED_VALUE"""),1.0)</f>
        <v>1</v>
      </c>
      <c r="E3991" s="2">
        <f>IFERROR(__xludf.DUMMYFUNCTION("""COMPUTED_VALUE"""),42.0)</f>
        <v>42</v>
      </c>
      <c r="F3991" s="2">
        <f>IFERROR(__xludf.DUMMYFUNCTION("""COMPUTED_VALUE"""),3.0)</f>
        <v>3</v>
      </c>
      <c r="G3991" s="2">
        <f>IFERROR(__xludf.DUMMYFUNCTION("""COMPUTED_VALUE"""),4.0)</f>
        <v>4</v>
      </c>
      <c r="H3991" s="2" t="str">
        <f>IFERROR(__xludf.DUMMYFUNCTION("""COMPUTED_VALUE"""),"P. kara")</f>
        <v>P. kara</v>
      </c>
      <c r="I3991" s="2" t="str">
        <f>IFERROR(__xludf.DUMMYFUNCTION("""COMPUTED_VALUE"""),"Masonry")</f>
        <v>Masonry</v>
      </c>
      <c r="J3991" s="2" t="str">
        <f>IFERROR(__xludf.DUMMYFUNCTION("""COMPUTED_VALUE"""),"All amenities")</f>
        <v>All amenities</v>
      </c>
      <c r="K3991" s="2">
        <f>IFERROR(__xludf.DUMMYFUNCTION("""COMPUTED_VALUE"""),119990.0)</f>
        <v>119990</v>
      </c>
      <c r="L3991" s="2">
        <f>IFERROR(__xludf.DUMMYFUNCTION("""COMPUTED_VALUE"""),56.9487783)</f>
        <v>56.9487783</v>
      </c>
      <c r="M3991" s="2">
        <f>IFERROR(__xludf.DUMMYFUNCTION("""COMPUTED_VALUE"""),24.1075908)</f>
        <v>24.1075908</v>
      </c>
    </row>
    <row r="3992">
      <c r="A3992" s="2" t="str">
        <f>IFERROR(__xludf.DUMMYFUNCTION("""COMPUTED_VALUE"""),"For sale")</f>
        <v>For sale</v>
      </c>
      <c r="B3992" s="2" t="str">
        <f>IFERROR(__xludf.DUMMYFUNCTION("""COMPUTED_VALUE"""),"Vecrīga")</f>
        <v>Vecrīga</v>
      </c>
      <c r="C3992" s="2" t="str">
        <f>IFERROR(__xludf.DUMMYFUNCTION("""COMPUTED_VALUE"""),"Šķūņu 6")</f>
        <v>Šķūņu 6</v>
      </c>
      <c r="D3992" s="2">
        <f>IFERROR(__xludf.DUMMYFUNCTION("""COMPUTED_VALUE"""),2.0)</f>
        <v>2</v>
      </c>
      <c r="E3992" s="2">
        <f>IFERROR(__xludf.DUMMYFUNCTION("""COMPUTED_VALUE"""),34.0)</f>
        <v>34</v>
      </c>
      <c r="F3992" s="2">
        <f>IFERROR(__xludf.DUMMYFUNCTION("""COMPUTED_VALUE"""),2.0)</f>
        <v>2</v>
      </c>
      <c r="G3992" s="2">
        <f>IFERROR(__xludf.DUMMYFUNCTION("""COMPUTED_VALUE"""),4.0)</f>
        <v>4</v>
      </c>
      <c r="H3992" s="2" t="str">
        <f>IFERROR(__xludf.DUMMYFUNCTION("""COMPUTED_VALUE"""),"P. kara")</f>
        <v>P. kara</v>
      </c>
      <c r="I3992" s="2" t="str">
        <f>IFERROR(__xludf.DUMMYFUNCTION("""COMPUTED_VALUE"""),"Masonry")</f>
        <v>Masonry</v>
      </c>
      <c r="J3992" s="2" t="str">
        <f>IFERROR(__xludf.DUMMYFUNCTION("""COMPUTED_VALUE"""),"All amenities")</f>
        <v>All amenities</v>
      </c>
      <c r="K3992" s="2">
        <f>IFERROR(__xludf.DUMMYFUNCTION("""COMPUTED_VALUE"""),96990.0)</f>
        <v>96990</v>
      </c>
      <c r="L3992" s="2">
        <f>IFERROR(__xludf.DUMMYFUNCTION("""COMPUTED_VALUE"""),56.9487783)</f>
        <v>56.9487783</v>
      </c>
      <c r="M3992" s="2">
        <f>IFERROR(__xludf.DUMMYFUNCTION("""COMPUTED_VALUE"""),24.1075908)</f>
        <v>24.1075908</v>
      </c>
    </row>
    <row r="3993">
      <c r="A3993" s="2" t="str">
        <f>IFERROR(__xludf.DUMMYFUNCTION("""COMPUTED_VALUE"""),"For sale")</f>
        <v>For sale</v>
      </c>
      <c r="B3993" s="2" t="str">
        <f>IFERROR(__xludf.DUMMYFUNCTION("""COMPUTED_VALUE"""),"Teika")</f>
        <v>Teika</v>
      </c>
      <c r="C3993" s="2" t="str">
        <f>IFERROR(__xludf.DUMMYFUNCTION("""COMPUTED_VALUE"""),"Burtnieku 33")</f>
        <v>Burtnieku 33</v>
      </c>
      <c r="D3993" s="2">
        <f>IFERROR(__xludf.DUMMYFUNCTION("""COMPUTED_VALUE"""),1.0)</f>
        <v>1</v>
      </c>
      <c r="E3993" s="2">
        <f>IFERROR(__xludf.DUMMYFUNCTION("""COMPUTED_VALUE"""),18.0)</f>
        <v>18</v>
      </c>
      <c r="F3993" s="2">
        <f>IFERROR(__xludf.DUMMYFUNCTION("""COMPUTED_VALUE"""),4.0)</f>
        <v>4</v>
      </c>
      <c r="G3993" s="2">
        <f>IFERROR(__xludf.DUMMYFUNCTION("""COMPUTED_VALUE"""),5.0)</f>
        <v>5</v>
      </c>
      <c r="H3993" s="2" t="str">
        <f>IFERROR(__xludf.DUMMYFUNCTION("""COMPUTED_VALUE"""),"M. ģim.")</f>
        <v>M. ģim.</v>
      </c>
      <c r="I3993" s="2" t="str">
        <f>IFERROR(__xludf.DUMMYFUNCTION("""COMPUTED_VALUE"""),"Brick")</f>
        <v>Brick</v>
      </c>
      <c r="J3993" s="2" t="str">
        <f>IFERROR(__xludf.DUMMYFUNCTION("""COMPUTED_VALUE"""),"All amenities")</f>
        <v>All amenities</v>
      </c>
      <c r="K3993" s="2">
        <f>IFERROR(__xludf.DUMMYFUNCTION("""COMPUTED_VALUE"""),19900.0)</f>
        <v>19900</v>
      </c>
      <c r="L3993" s="2">
        <f>IFERROR(__xludf.DUMMYFUNCTION("""COMPUTED_VALUE"""),56.9685701)</f>
        <v>56.9685701</v>
      </c>
      <c r="M3993" s="2">
        <f>IFERROR(__xludf.DUMMYFUNCTION("""COMPUTED_VALUE"""),24.1819824)</f>
        <v>24.1819824</v>
      </c>
    </row>
    <row r="3994">
      <c r="A3994" s="2" t="str">
        <f>IFERROR(__xludf.DUMMYFUNCTION("""COMPUTED_VALUE"""),"For rent")</f>
        <v>For rent</v>
      </c>
      <c r="B3994" s="2" t="str">
        <f>IFERROR(__xludf.DUMMYFUNCTION("""COMPUTED_VALUE"""),"Purvciems")</f>
        <v>Purvciems</v>
      </c>
      <c r="C3994" s="2" t="str">
        <f>IFERROR(__xludf.DUMMYFUNCTION("""COMPUTED_VALUE"""),"Kastrānes 1/2")</f>
        <v>Kastrānes 1/2</v>
      </c>
      <c r="D3994" s="2">
        <f>IFERROR(__xludf.DUMMYFUNCTION("""COMPUTED_VALUE"""),1.0)</f>
        <v>1</v>
      </c>
      <c r="E3994" s="2">
        <f>IFERROR(__xludf.DUMMYFUNCTION("""COMPUTED_VALUE"""),24.0)</f>
        <v>24</v>
      </c>
      <c r="F3994" s="2">
        <f>IFERROR(__xludf.DUMMYFUNCTION("""COMPUTED_VALUE"""),2.0)</f>
        <v>2</v>
      </c>
      <c r="G3994" s="2">
        <f>IFERROR(__xludf.DUMMYFUNCTION("""COMPUTED_VALUE"""),5.0)</f>
        <v>5</v>
      </c>
      <c r="H3994" s="2" t="str">
        <f>IFERROR(__xludf.DUMMYFUNCTION("""COMPUTED_VALUE"""),"Renov.")</f>
        <v>Renov.</v>
      </c>
      <c r="I3994" s="2" t="str">
        <f>IFERROR(__xludf.DUMMYFUNCTION("""COMPUTED_VALUE"""),"Masonry")</f>
        <v>Masonry</v>
      </c>
      <c r="J3994" s="2" t="str">
        <f>IFERROR(__xludf.DUMMYFUNCTION("""COMPUTED_VALUE"""),"All amenities")</f>
        <v>All amenities</v>
      </c>
      <c r="K3994" s="2">
        <f>IFERROR(__xludf.DUMMYFUNCTION("""COMPUTED_VALUE"""),230.0)</f>
        <v>230</v>
      </c>
      <c r="L3994" s="2">
        <f>IFERROR(__xludf.DUMMYFUNCTION("""COMPUTED_VALUE"""),56.9697688)</f>
        <v>56.9697688</v>
      </c>
      <c r="M3994" s="2">
        <f>IFERROR(__xludf.DUMMYFUNCTION("""COMPUTED_VALUE"""),24.1782343)</f>
        <v>24.1782343</v>
      </c>
    </row>
    <row r="3995">
      <c r="A3995" s="2" t="str">
        <f>IFERROR(__xludf.DUMMYFUNCTION("""COMPUTED_VALUE"""),"For sale")</f>
        <v>For sale</v>
      </c>
      <c r="B3995" s="2" t="str">
        <f>IFERROR(__xludf.DUMMYFUNCTION("""COMPUTED_VALUE"""),"Vecrīga")</f>
        <v>Vecrīga</v>
      </c>
      <c r="C3995" s="2" t="str">
        <f>IFERROR(__xludf.DUMMYFUNCTION("""COMPUTED_VALUE"""),"Šķūņu 6")</f>
        <v>Šķūņu 6</v>
      </c>
      <c r="D3995" s="2">
        <f>IFERROR(__xludf.DUMMYFUNCTION("""COMPUTED_VALUE"""),1.0)</f>
        <v>1</v>
      </c>
      <c r="E3995" s="2">
        <f>IFERROR(__xludf.DUMMYFUNCTION("""COMPUTED_VALUE"""),15.0)</f>
        <v>15</v>
      </c>
      <c r="F3995" s="2">
        <f>IFERROR(__xludf.DUMMYFUNCTION("""COMPUTED_VALUE"""),3.0)</f>
        <v>3</v>
      </c>
      <c r="G3995" s="2">
        <f>IFERROR(__xludf.DUMMYFUNCTION("""COMPUTED_VALUE"""),4.0)</f>
        <v>4</v>
      </c>
      <c r="H3995" s="2" t="str">
        <f>IFERROR(__xludf.DUMMYFUNCTION("""COMPUTED_VALUE"""),"P. kara")</f>
        <v>P. kara</v>
      </c>
      <c r="I3995" s="2" t="str">
        <f>IFERROR(__xludf.DUMMYFUNCTION("""COMPUTED_VALUE"""),"Masonry")</f>
        <v>Masonry</v>
      </c>
      <c r="J3995" s="2" t="str">
        <f>IFERROR(__xludf.DUMMYFUNCTION("""COMPUTED_VALUE"""),"All amenities")</f>
        <v>All amenities</v>
      </c>
      <c r="K3995" s="2">
        <f>IFERROR(__xludf.DUMMYFUNCTION("""COMPUTED_VALUE"""),49990.0)</f>
        <v>49990</v>
      </c>
      <c r="L3995" s="2">
        <f>IFERROR(__xludf.DUMMYFUNCTION("""COMPUTED_VALUE"""),56.9487783)</f>
        <v>56.9487783</v>
      </c>
      <c r="M3995" s="2">
        <f>IFERROR(__xludf.DUMMYFUNCTION("""COMPUTED_VALUE"""),24.1075908)</f>
        <v>24.1075908</v>
      </c>
    </row>
    <row r="3996">
      <c r="A3996" s="2" t="str">
        <f>IFERROR(__xludf.DUMMYFUNCTION("""COMPUTED_VALUE"""),"For sale")</f>
        <v>For sale</v>
      </c>
      <c r="B3996" s="2" t="str">
        <f>IFERROR(__xludf.DUMMYFUNCTION("""COMPUTED_VALUE"""),"Purvciems")</f>
        <v>Purvciems</v>
      </c>
      <c r="C3996" s="2" t="str">
        <f>IFERROR(__xludf.DUMMYFUNCTION("""COMPUTED_VALUE"""),"Burtnieku 33")</f>
        <v>Burtnieku 33</v>
      </c>
      <c r="D3996" s="2">
        <f>IFERROR(__xludf.DUMMYFUNCTION("""COMPUTED_VALUE"""),1.0)</f>
        <v>1</v>
      </c>
      <c r="E3996" s="2">
        <f>IFERROR(__xludf.DUMMYFUNCTION("""COMPUTED_VALUE"""),18.0)</f>
        <v>18</v>
      </c>
      <c r="F3996" s="2">
        <f>IFERROR(__xludf.DUMMYFUNCTION("""COMPUTED_VALUE"""),4.0)</f>
        <v>4</v>
      </c>
      <c r="G3996" s="2">
        <f>IFERROR(__xludf.DUMMYFUNCTION("""COMPUTED_VALUE"""),5.0)</f>
        <v>5</v>
      </c>
      <c r="H3996" s="2" t="str">
        <f>IFERROR(__xludf.DUMMYFUNCTION("""COMPUTED_VALUE"""),"M. ģim.")</f>
        <v>M. ģim.</v>
      </c>
      <c r="I3996" s="2" t="str">
        <f>IFERROR(__xludf.DUMMYFUNCTION("""COMPUTED_VALUE"""),"Masonry")</f>
        <v>Masonry</v>
      </c>
      <c r="J3996" s="2" t="str">
        <f>IFERROR(__xludf.DUMMYFUNCTION("""COMPUTED_VALUE"""),"All amenities")</f>
        <v>All amenities</v>
      </c>
      <c r="K3996" s="2">
        <f>IFERROR(__xludf.DUMMYFUNCTION("""COMPUTED_VALUE"""),19900.0)</f>
        <v>19900</v>
      </c>
      <c r="L3996" s="2">
        <f>IFERROR(__xludf.DUMMYFUNCTION("""COMPUTED_VALUE"""),56.9685701)</f>
        <v>56.9685701</v>
      </c>
      <c r="M3996" s="2">
        <f>IFERROR(__xludf.DUMMYFUNCTION("""COMPUTED_VALUE"""),24.1819824)</f>
        <v>24.1819824</v>
      </c>
    </row>
    <row r="3997">
      <c r="A3997" s="2" t="str">
        <f>IFERROR(__xludf.DUMMYFUNCTION("""COMPUTED_VALUE"""),"For sale")</f>
        <v>For sale</v>
      </c>
      <c r="B3997" s="2" t="str">
        <f>IFERROR(__xludf.DUMMYFUNCTION("""COMPUTED_VALUE"""),"Zolitūde")</f>
        <v>Zolitūde</v>
      </c>
      <c r="C3997" s="2" t="str">
        <f>IFERROR(__xludf.DUMMYFUNCTION("""COMPUTED_VALUE"""),"Ruses 3")</f>
        <v>Ruses 3</v>
      </c>
      <c r="D3997" s="2">
        <f>IFERROR(__xludf.DUMMYFUNCTION("""COMPUTED_VALUE"""),4.0)</f>
        <v>4</v>
      </c>
      <c r="E3997" s="2">
        <f>IFERROR(__xludf.DUMMYFUNCTION("""COMPUTED_VALUE"""),90.0)</f>
        <v>90</v>
      </c>
      <c r="F3997" s="2">
        <f>IFERROR(__xludf.DUMMYFUNCTION("""COMPUTED_VALUE"""),7.0)</f>
        <v>7</v>
      </c>
      <c r="G3997" s="2">
        <f>IFERROR(__xludf.DUMMYFUNCTION("""COMPUTED_VALUE"""),9.0)</f>
        <v>9</v>
      </c>
      <c r="H3997" s="2">
        <f>IFERROR(__xludf.DUMMYFUNCTION("""COMPUTED_VALUE"""),119.0)</f>
        <v>119</v>
      </c>
      <c r="I3997" s="2" t="str">
        <f>IFERROR(__xludf.DUMMYFUNCTION("""COMPUTED_VALUE"""),"Panel")</f>
        <v>Panel</v>
      </c>
      <c r="J3997" s="2" t="str">
        <f>IFERROR(__xludf.DUMMYFUNCTION("""COMPUTED_VALUE"""),"All amenities")</f>
        <v>All amenities</v>
      </c>
      <c r="K3997" s="2">
        <f>IFERROR(__xludf.DUMMYFUNCTION("""COMPUTED_VALUE"""),82500.0)</f>
        <v>82500</v>
      </c>
      <c r="L3997" s="2">
        <f>IFERROR(__xludf.DUMMYFUNCTION("""COMPUTED_VALUE"""),56.9484028)</f>
        <v>56.9484028</v>
      </c>
      <c r="M3997" s="2">
        <f>IFERROR(__xludf.DUMMYFUNCTION("""COMPUTED_VALUE"""),24.0020688644395)</f>
        <v>24.00206886</v>
      </c>
    </row>
    <row r="3998">
      <c r="A3998" s="2" t="str">
        <f>IFERROR(__xludf.DUMMYFUNCTION("""COMPUTED_VALUE"""),"For sale")</f>
        <v>For sale</v>
      </c>
      <c r="B3998" s="2" t="str">
        <f>IFERROR(__xludf.DUMMYFUNCTION("""COMPUTED_VALUE"""),"Bolderāja")</f>
        <v>Bolderāja</v>
      </c>
      <c r="C3998" s="2" t="str">
        <f>IFERROR(__xludf.DUMMYFUNCTION("""COMPUTED_VALUE"""),"Platā 22")</f>
        <v>Platā 22</v>
      </c>
      <c r="D3998" s="2">
        <f>IFERROR(__xludf.DUMMYFUNCTION("""COMPUTED_VALUE"""),2.0)</f>
        <v>2</v>
      </c>
      <c r="E3998" s="2">
        <f>IFERROR(__xludf.DUMMYFUNCTION("""COMPUTED_VALUE"""),44.0)</f>
        <v>44</v>
      </c>
      <c r="F3998" s="2">
        <f>IFERROR(__xludf.DUMMYFUNCTION("""COMPUTED_VALUE"""),1.0)</f>
        <v>1</v>
      </c>
      <c r="G3998" s="2">
        <f>IFERROR(__xludf.DUMMYFUNCTION("""COMPUTED_VALUE"""),9.0)</f>
        <v>9</v>
      </c>
      <c r="H3998" s="2" t="str">
        <f>IFERROR(__xludf.DUMMYFUNCTION("""COMPUTED_VALUE"""),"Specpr.")</f>
        <v>Specpr.</v>
      </c>
      <c r="I3998" s="2" t="str">
        <f>IFERROR(__xludf.DUMMYFUNCTION("""COMPUTED_VALUE"""),"Brick")</f>
        <v>Brick</v>
      </c>
      <c r="J3998" s="2" t="str">
        <f>IFERROR(__xludf.DUMMYFUNCTION("""COMPUTED_VALUE"""),"All amenities")</f>
        <v>All amenities</v>
      </c>
      <c r="K3998" s="2">
        <f>IFERROR(__xludf.DUMMYFUNCTION("""COMPUTED_VALUE"""),16000.0)</f>
        <v>16000</v>
      </c>
      <c r="L3998" s="2">
        <f>IFERROR(__xludf.DUMMYFUNCTION("""COMPUTED_VALUE"""),57.0280131)</f>
        <v>57.0280131</v>
      </c>
      <c r="M3998" s="2">
        <f>IFERROR(__xludf.DUMMYFUNCTION("""COMPUTED_VALUE"""),24.0412216)</f>
        <v>24.0412216</v>
      </c>
    </row>
    <row r="3999">
      <c r="A3999" s="2" t="str">
        <f>IFERROR(__xludf.DUMMYFUNCTION("""COMPUTED_VALUE"""),"For rent")</f>
        <v>For rent</v>
      </c>
      <c r="B3999" s="2" t="str">
        <f>IFERROR(__xludf.DUMMYFUNCTION("""COMPUTED_VALUE"""),"centrs")</f>
        <v>centrs</v>
      </c>
      <c r="C3999" s="2" t="str">
        <f>IFERROR(__xludf.DUMMYFUNCTION("""COMPUTED_VALUE"""),"Brīvības iela 162")</f>
        <v>Brīvības iela 162</v>
      </c>
      <c r="D3999" s="2">
        <f>IFERROR(__xludf.DUMMYFUNCTION("""COMPUTED_VALUE"""),4.0)</f>
        <v>4</v>
      </c>
      <c r="E3999" s="2">
        <f>IFERROR(__xludf.DUMMYFUNCTION("""COMPUTED_VALUE"""),86.0)</f>
        <v>86</v>
      </c>
      <c r="F3999" s="2">
        <f>IFERROR(__xludf.DUMMYFUNCTION("""COMPUTED_VALUE"""),5.0)</f>
        <v>5</v>
      </c>
      <c r="G3999" s="2">
        <f>IFERROR(__xludf.DUMMYFUNCTION("""COMPUTED_VALUE"""),8.0)</f>
        <v>8</v>
      </c>
      <c r="H3999" s="2" t="str">
        <f>IFERROR(__xludf.DUMMYFUNCTION("""COMPUTED_VALUE"""),"Specpr.")</f>
        <v>Specpr.</v>
      </c>
      <c r="I3999" s="2" t="str">
        <f>IFERROR(__xludf.DUMMYFUNCTION("""COMPUTED_VALUE"""),"Brick-Panel")</f>
        <v>Brick-Panel</v>
      </c>
      <c r="J3999" s="2" t="str">
        <f>IFERROR(__xludf.DUMMYFUNCTION("""COMPUTED_VALUE"""),"All amenities")</f>
        <v>All amenities</v>
      </c>
      <c r="K3999" s="2">
        <f>IFERROR(__xludf.DUMMYFUNCTION("""COMPUTED_VALUE"""),450.0)</f>
        <v>450</v>
      </c>
      <c r="L3999" s="2">
        <f>IFERROR(__xludf.DUMMYFUNCTION("""COMPUTED_VALUE"""),56.9655513)</f>
        <v>56.9655513</v>
      </c>
      <c r="M3999" s="2">
        <f>IFERROR(__xludf.DUMMYFUNCTION("""COMPUTED_VALUE"""),24.143597678962)</f>
        <v>24.14359768</v>
      </c>
    </row>
    <row r="4000">
      <c r="A4000" s="2" t="str">
        <f>IFERROR(__xludf.DUMMYFUNCTION("""COMPUTED_VALUE"""),"For rent")</f>
        <v>For rent</v>
      </c>
      <c r="B4000" s="2" t="str">
        <f>IFERROR(__xludf.DUMMYFUNCTION("""COMPUTED_VALUE"""),"Jugla")</f>
        <v>Jugla</v>
      </c>
      <c r="C4000" s="2" t="str">
        <f>IFERROR(__xludf.DUMMYFUNCTION("""COMPUTED_VALUE"""),"Ciemupes 1")</f>
        <v>Ciemupes 1</v>
      </c>
      <c r="D4000" s="2">
        <f>IFERROR(__xludf.DUMMYFUNCTION("""COMPUTED_VALUE"""),3.0)</f>
        <v>3</v>
      </c>
      <c r="E4000" s="2">
        <f>IFERROR(__xludf.DUMMYFUNCTION("""COMPUTED_VALUE"""),100.0)</f>
        <v>100</v>
      </c>
      <c r="F4000" s="2">
        <f>IFERROR(__xludf.DUMMYFUNCTION("""COMPUTED_VALUE"""),4.0)</f>
        <v>4</v>
      </c>
      <c r="G4000" s="2">
        <f>IFERROR(__xludf.DUMMYFUNCTION("""COMPUTED_VALUE"""),10.0)</f>
        <v>10</v>
      </c>
      <c r="H4000" s="2" t="str">
        <f>IFERROR(__xludf.DUMMYFUNCTION("""COMPUTED_VALUE"""),"Jaun.")</f>
        <v>Jaun.</v>
      </c>
      <c r="I4000" s="2" t="str">
        <f>IFERROR(__xludf.DUMMYFUNCTION("""COMPUTED_VALUE"""),"Masonry")</f>
        <v>Masonry</v>
      </c>
      <c r="J4000" s="2" t="str">
        <f>IFERROR(__xludf.DUMMYFUNCTION("""COMPUTED_VALUE"""),"All amenities")</f>
        <v>All amenities</v>
      </c>
      <c r="K4000" s="2">
        <f>IFERROR(__xludf.DUMMYFUNCTION("""COMPUTED_VALUE"""),580.0)</f>
        <v>580</v>
      </c>
      <c r="L4000" s="2">
        <f>IFERROR(__xludf.DUMMYFUNCTION("""COMPUTED_VALUE"""),56.9879952999999)</f>
        <v>56.9879953</v>
      </c>
      <c r="M4000" s="2">
        <f>IFERROR(__xludf.DUMMYFUNCTION("""COMPUTED_VALUE"""),24.2461035663916)</f>
        <v>24.24610357</v>
      </c>
    </row>
    <row r="4001">
      <c r="A4001" s="2" t="str">
        <f>IFERROR(__xludf.DUMMYFUNCTION("""COMPUTED_VALUE"""),"For sale")</f>
        <v>For sale</v>
      </c>
      <c r="B4001" s="2" t="str">
        <f>IFERROR(__xludf.DUMMYFUNCTION("""COMPUTED_VALUE"""),"centrs")</f>
        <v>centrs</v>
      </c>
      <c r="C4001" s="2" t="str">
        <f>IFERROR(__xludf.DUMMYFUNCTION("""COMPUTED_VALUE"""),"Ausekļa 7")</f>
        <v>Ausekļa 7</v>
      </c>
      <c r="D4001" s="2">
        <f>IFERROR(__xludf.DUMMYFUNCTION("""COMPUTED_VALUE"""),5.0)</f>
        <v>5</v>
      </c>
      <c r="E4001" s="2">
        <f>IFERROR(__xludf.DUMMYFUNCTION("""COMPUTED_VALUE"""),178.0)</f>
        <v>178</v>
      </c>
      <c r="F4001" s="2">
        <f>IFERROR(__xludf.DUMMYFUNCTION("""COMPUTED_VALUE"""),4.0)</f>
        <v>4</v>
      </c>
      <c r="G4001" s="2">
        <f>IFERROR(__xludf.DUMMYFUNCTION("""COMPUTED_VALUE"""),6.0)</f>
        <v>6</v>
      </c>
      <c r="H4001" s="2" t="str">
        <f>IFERROR(__xludf.DUMMYFUNCTION("""COMPUTED_VALUE"""),"Renov.")</f>
        <v>Renov.</v>
      </c>
      <c r="I4001" s="2" t="str">
        <f>IFERROR(__xludf.DUMMYFUNCTION("""COMPUTED_VALUE"""),"Masonry")</f>
        <v>Masonry</v>
      </c>
      <c r="J4001" s="2" t="str">
        <f>IFERROR(__xludf.DUMMYFUNCTION("""COMPUTED_VALUE"""),"All amenities")</f>
        <v>All amenities</v>
      </c>
      <c r="K4001" s="2">
        <f>IFERROR(__xludf.DUMMYFUNCTION("""COMPUTED_VALUE"""),520000.0)</f>
        <v>520000</v>
      </c>
      <c r="L4001" s="2">
        <f>IFERROR(__xludf.DUMMYFUNCTION("""COMPUTED_VALUE"""),56.96104425)</f>
        <v>56.96104425</v>
      </c>
      <c r="M4001" s="2">
        <f>IFERROR(__xludf.DUMMYFUNCTION("""COMPUTED_VALUE"""),24.0996557553473)</f>
        <v>24.09965576</v>
      </c>
    </row>
    <row r="4002">
      <c r="A4002" s="2" t="str">
        <f>IFERROR(__xludf.DUMMYFUNCTION("""COMPUTED_VALUE"""),"For rent")</f>
        <v>For rent</v>
      </c>
      <c r="B4002" s="2" t="str">
        <f>IFERROR(__xludf.DUMMYFUNCTION("""COMPUTED_VALUE"""),"centrs")</f>
        <v>centrs</v>
      </c>
      <c r="C4002" s="2" t="str">
        <f>IFERROR(__xludf.DUMMYFUNCTION("""COMPUTED_VALUE"""),"Eksporta 12")</f>
        <v>Eksporta 12</v>
      </c>
      <c r="D4002" s="2">
        <f>IFERROR(__xludf.DUMMYFUNCTION("""COMPUTED_VALUE"""),4.0)</f>
        <v>4</v>
      </c>
      <c r="E4002" s="2">
        <f>IFERROR(__xludf.DUMMYFUNCTION("""COMPUTED_VALUE"""),245.0)</f>
        <v>245</v>
      </c>
      <c r="F4002" s="2">
        <f>IFERROR(__xludf.DUMMYFUNCTION("""COMPUTED_VALUE"""),6.0)</f>
        <v>6</v>
      </c>
      <c r="G4002" s="2">
        <f>IFERROR(__xludf.DUMMYFUNCTION("""COMPUTED_VALUE"""),6.0)</f>
        <v>6</v>
      </c>
      <c r="H4002" s="2" t="str">
        <f>IFERROR(__xludf.DUMMYFUNCTION("""COMPUTED_VALUE"""),"Renov.")</f>
        <v>Renov.</v>
      </c>
      <c r="I4002" s="2" t="str">
        <f>IFERROR(__xludf.DUMMYFUNCTION("""COMPUTED_VALUE"""),"Masonry")</f>
        <v>Masonry</v>
      </c>
      <c r="J4002" s="2" t="str">
        <f>IFERROR(__xludf.DUMMYFUNCTION("""COMPUTED_VALUE"""),"All amenities")</f>
        <v>All amenities</v>
      </c>
      <c r="K4002" s="2">
        <f>IFERROR(__xludf.DUMMYFUNCTION("""COMPUTED_VALUE"""),1000.0)</f>
        <v>1000</v>
      </c>
      <c r="L4002" s="2">
        <f>IFERROR(__xludf.DUMMYFUNCTION("""COMPUTED_VALUE"""),56.956763)</f>
        <v>56.956763</v>
      </c>
      <c r="M4002" s="2">
        <f>IFERROR(__xludf.DUMMYFUNCTION("""COMPUTED_VALUE"""),24.0954531)</f>
        <v>24.0954531</v>
      </c>
    </row>
    <row r="4003">
      <c r="A4003" s="2" t="str">
        <f>IFERROR(__xludf.DUMMYFUNCTION("""COMPUTED_VALUE"""),"For sale")</f>
        <v>For sale</v>
      </c>
      <c r="B4003" s="2" t="str">
        <f>IFERROR(__xludf.DUMMYFUNCTION("""COMPUTED_VALUE"""),"Jugla")</f>
        <v>Jugla</v>
      </c>
      <c r="C4003" s="2" t="str">
        <f>IFERROR(__xludf.DUMMYFUNCTION("""COMPUTED_VALUE"""),"Vidzemes al. 3")</f>
        <v>Vidzemes al. 3</v>
      </c>
      <c r="D4003" s="2">
        <f>IFERROR(__xludf.DUMMYFUNCTION("""COMPUTED_VALUE"""),2.0)</f>
        <v>2</v>
      </c>
      <c r="E4003" s="2">
        <f>IFERROR(__xludf.DUMMYFUNCTION("""COMPUTED_VALUE"""),46.0)</f>
        <v>46</v>
      </c>
      <c r="F4003" s="2">
        <f>IFERROR(__xludf.DUMMYFUNCTION("""COMPUTED_VALUE"""),8.0)</f>
        <v>8</v>
      </c>
      <c r="G4003" s="2">
        <f>IFERROR(__xludf.DUMMYFUNCTION("""COMPUTED_VALUE"""),12.0)</f>
        <v>12</v>
      </c>
      <c r="H4003" s="2" t="str">
        <f>IFERROR(__xludf.DUMMYFUNCTION("""COMPUTED_VALUE"""),"Specpr.")</f>
        <v>Specpr.</v>
      </c>
      <c r="I4003" s="2" t="str">
        <f>IFERROR(__xludf.DUMMYFUNCTION("""COMPUTED_VALUE"""),"Brick-Panel")</f>
        <v>Brick-Panel</v>
      </c>
      <c r="J4003" s="2" t="str">
        <f>IFERROR(__xludf.DUMMYFUNCTION("""COMPUTED_VALUE"""),"All amenities")</f>
        <v>All amenities</v>
      </c>
      <c r="K4003" s="2">
        <f>IFERROR(__xludf.DUMMYFUNCTION("""COMPUTED_VALUE"""),62000.0)</f>
        <v>62000</v>
      </c>
      <c r="L4003" s="2">
        <f>IFERROR(__xludf.DUMMYFUNCTION("""COMPUTED_VALUE"""),56.9928725)</f>
        <v>56.9928725</v>
      </c>
      <c r="M4003" s="2">
        <f>IFERROR(__xludf.DUMMYFUNCTION("""COMPUTED_VALUE"""),24.2427522437896)</f>
        <v>24.24275224</v>
      </c>
    </row>
    <row r="4004">
      <c r="A4004" s="2" t="str">
        <f>IFERROR(__xludf.DUMMYFUNCTION("""COMPUTED_VALUE"""),"For rent")</f>
        <v>For rent</v>
      </c>
      <c r="B4004" s="2" t="str">
        <f>IFERROR(__xludf.DUMMYFUNCTION("""COMPUTED_VALUE"""),"Mangaļi")</f>
        <v>Mangaļi</v>
      </c>
      <c r="C4004" s="2" t="str">
        <f>IFERROR(__xludf.DUMMYFUNCTION("""COMPUTED_VALUE"""),"Briežu 7")</f>
        <v>Briežu 7</v>
      </c>
      <c r="D4004" s="2">
        <f>IFERROR(__xludf.DUMMYFUNCTION("""COMPUTED_VALUE"""),1.0)</f>
        <v>1</v>
      </c>
      <c r="E4004" s="2">
        <f>IFERROR(__xludf.DUMMYFUNCTION("""COMPUTED_VALUE"""),26.0)</f>
        <v>26</v>
      </c>
      <c r="F4004" s="2">
        <f>IFERROR(__xludf.DUMMYFUNCTION("""COMPUTED_VALUE"""),5.0)</f>
        <v>5</v>
      </c>
      <c r="G4004" s="2">
        <f>IFERROR(__xludf.DUMMYFUNCTION("""COMPUTED_VALUE"""),6.0)</f>
        <v>6</v>
      </c>
      <c r="H4004" s="2" t="str">
        <f>IFERROR(__xludf.DUMMYFUNCTION("""COMPUTED_VALUE"""),"Jaun.")</f>
        <v>Jaun.</v>
      </c>
      <c r="I4004" s="2" t="str">
        <f>IFERROR(__xludf.DUMMYFUNCTION("""COMPUTED_VALUE"""),"Panel")</f>
        <v>Panel</v>
      </c>
      <c r="J4004" s="2" t="str">
        <f>IFERROR(__xludf.DUMMYFUNCTION("""COMPUTED_VALUE"""),"All amenities")</f>
        <v>All amenities</v>
      </c>
      <c r="K4004" s="2">
        <f>IFERROR(__xludf.DUMMYFUNCTION("""COMPUTED_VALUE"""),240.0)</f>
        <v>240</v>
      </c>
      <c r="L4004" s="2">
        <f>IFERROR(__xludf.DUMMYFUNCTION("""COMPUTED_VALUE"""),57.0221222499999)</f>
        <v>57.02212225</v>
      </c>
      <c r="M4004" s="2">
        <f>IFERROR(__xludf.DUMMYFUNCTION("""COMPUTED_VALUE"""),24.1377582358398)</f>
        <v>24.13775824</v>
      </c>
    </row>
    <row r="4005">
      <c r="A4005" s="2" t="str">
        <f>IFERROR(__xludf.DUMMYFUNCTION("""COMPUTED_VALUE"""),"For sale")</f>
        <v>For sale</v>
      </c>
      <c r="B4005" s="2" t="str">
        <f>IFERROR(__xludf.DUMMYFUNCTION("""COMPUTED_VALUE"""),"centrs")</f>
        <v>centrs</v>
      </c>
      <c r="C4005" s="2" t="str">
        <f>IFERROR(__xludf.DUMMYFUNCTION("""COMPUTED_VALUE"""),"Ģertrūdes 86")</f>
        <v>Ģertrūdes 86</v>
      </c>
      <c r="D4005" s="2">
        <f>IFERROR(__xludf.DUMMYFUNCTION("""COMPUTED_VALUE"""),1.0)</f>
        <v>1</v>
      </c>
      <c r="E4005" s="2">
        <f>IFERROR(__xludf.DUMMYFUNCTION("""COMPUTED_VALUE"""),32.0)</f>
        <v>32</v>
      </c>
      <c r="F4005" s="2">
        <f>IFERROR(__xludf.DUMMYFUNCTION("""COMPUTED_VALUE"""),6.0)</f>
        <v>6</v>
      </c>
      <c r="G4005" s="2">
        <f>IFERROR(__xludf.DUMMYFUNCTION("""COMPUTED_VALUE"""),6.0)</f>
        <v>6</v>
      </c>
      <c r="H4005" s="2" t="str">
        <f>IFERROR(__xludf.DUMMYFUNCTION("""COMPUTED_VALUE"""),"P. kara")</f>
        <v>P. kara</v>
      </c>
      <c r="I4005" s="2" t="str">
        <f>IFERROR(__xludf.DUMMYFUNCTION("""COMPUTED_VALUE"""),"Masonry")</f>
        <v>Masonry</v>
      </c>
      <c r="J4005" s="2" t="str">
        <f>IFERROR(__xludf.DUMMYFUNCTION("""COMPUTED_VALUE"""),"All amenities")</f>
        <v>All amenities</v>
      </c>
      <c r="K4005" s="2">
        <f>IFERROR(__xludf.DUMMYFUNCTION("""COMPUTED_VALUE"""),39800.0)</f>
        <v>39800</v>
      </c>
      <c r="L4005" s="2">
        <f>IFERROR(__xludf.DUMMYFUNCTION("""COMPUTED_VALUE"""),56.9471865)</f>
        <v>56.9471865</v>
      </c>
      <c r="M4005" s="2">
        <f>IFERROR(__xludf.DUMMYFUNCTION("""COMPUTED_VALUE"""),24.1411337)</f>
        <v>24.1411337</v>
      </c>
    </row>
    <row r="4006">
      <c r="A4006" s="2" t="str">
        <f>IFERROR(__xludf.DUMMYFUNCTION("""COMPUTED_VALUE"""),"For rent")</f>
        <v>For rent</v>
      </c>
      <c r="B4006" s="2" t="str">
        <f>IFERROR(__xludf.DUMMYFUNCTION("""COMPUTED_VALUE"""),"centrs")</f>
        <v>centrs</v>
      </c>
      <c r="C4006" s="2" t="str">
        <f>IFERROR(__xludf.DUMMYFUNCTION("""COMPUTED_VALUE"""),"Tallinas 68")</f>
        <v>Tallinas 68</v>
      </c>
      <c r="D4006" s="2">
        <f>IFERROR(__xludf.DUMMYFUNCTION("""COMPUTED_VALUE"""),2.0)</f>
        <v>2</v>
      </c>
      <c r="E4006" s="2">
        <f>IFERROR(__xludf.DUMMYFUNCTION("""COMPUTED_VALUE"""),35.0)</f>
        <v>35</v>
      </c>
      <c r="F4006" s="2">
        <f>IFERROR(__xludf.DUMMYFUNCTION("""COMPUTED_VALUE"""),5.0)</f>
        <v>5</v>
      </c>
      <c r="G4006" s="2">
        <f>IFERROR(__xludf.DUMMYFUNCTION("""COMPUTED_VALUE"""),5.0)</f>
        <v>5</v>
      </c>
      <c r="H4006" s="2" t="str">
        <f>IFERROR(__xludf.DUMMYFUNCTION("""COMPUTED_VALUE"""),"P. kara")</f>
        <v>P. kara</v>
      </c>
      <c r="I4006" s="2" t="str">
        <f>IFERROR(__xludf.DUMMYFUNCTION("""COMPUTED_VALUE"""),"Masonry")</f>
        <v>Masonry</v>
      </c>
      <c r="J4006" s="2" t="str">
        <f>IFERROR(__xludf.DUMMYFUNCTION("""COMPUTED_VALUE"""),"All amenities")</f>
        <v>All amenities</v>
      </c>
      <c r="K4006" s="2">
        <f>IFERROR(__xludf.DUMMYFUNCTION("""COMPUTED_VALUE"""),320.0)</f>
        <v>320</v>
      </c>
      <c r="L4006" s="2">
        <f>IFERROR(__xludf.DUMMYFUNCTION("""COMPUTED_VALUE"""),56.9604566)</f>
        <v>56.9604566</v>
      </c>
      <c r="M4006" s="2">
        <f>IFERROR(__xludf.DUMMYFUNCTION("""COMPUTED_VALUE"""),24.1412889)</f>
        <v>24.1412889</v>
      </c>
    </row>
    <row r="4007">
      <c r="A4007" s="2" t="str">
        <f>IFERROR(__xludf.DUMMYFUNCTION("""COMPUTED_VALUE"""),"For rent")</f>
        <v>For rent</v>
      </c>
      <c r="B4007" s="2" t="str">
        <f>IFERROR(__xludf.DUMMYFUNCTION("""COMPUTED_VALUE"""),"centrs")</f>
        <v>centrs</v>
      </c>
      <c r="C4007" s="2" t="str">
        <f>IFERROR(__xludf.DUMMYFUNCTION("""COMPUTED_VALUE"""),"Alberta 11")</f>
        <v>Alberta 11</v>
      </c>
      <c r="D4007" s="2">
        <f>IFERROR(__xludf.DUMMYFUNCTION("""COMPUTED_VALUE"""),3.0)</f>
        <v>3</v>
      </c>
      <c r="E4007" s="2">
        <f>IFERROR(__xludf.DUMMYFUNCTION("""COMPUTED_VALUE"""),64.26)</f>
        <v>64.26</v>
      </c>
      <c r="F4007" s="2">
        <f>IFERROR(__xludf.DUMMYFUNCTION("""COMPUTED_VALUE"""),5.0)</f>
        <v>5</v>
      </c>
      <c r="G4007" s="2">
        <f>IFERROR(__xludf.DUMMYFUNCTION("""COMPUTED_VALUE"""),6.0)</f>
        <v>6</v>
      </c>
      <c r="H4007" s="2" t="str">
        <f>IFERROR(__xludf.DUMMYFUNCTION("""COMPUTED_VALUE"""),"P. kara")</f>
        <v>P. kara</v>
      </c>
      <c r="I4007" s="2" t="str">
        <f>IFERROR(__xludf.DUMMYFUNCTION("""COMPUTED_VALUE"""),"Masonry")</f>
        <v>Masonry</v>
      </c>
      <c r="J4007" s="2" t="str">
        <f>IFERROR(__xludf.DUMMYFUNCTION("""COMPUTED_VALUE"""),"All amenities")</f>
        <v>All amenities</v>
      </c>
      <c r="K4007" s="2">
        <f>IFERROR(__xludf.DUMMYFUNCTION("""COMPUTED_VALUE"""),190.0)</f>
        <v>190</v>
      </c>
      <c r="L4007" s="2">
        <f>IFERROR(__xludf.DUMMYFUNCTION("""COMPUTED_VALUE"""),56.95900535)</f>
        <v>56.95900535</v>
      </c>
      <c r="M4007" s="2">
        <f>IFERROR(__xludf.DUMMYFUNCTION("""COMPUTED_VALUE"""),24.108792096133)</f>
        <v>24.1087921</v>
      </c>
    </row>
    <row r="4008">
      <c r="A4008" s="2" t="str">
        <f>IFERROR(__xludf.DUMMYFUNCTION("""COMPUTED_VALUE"""),"For rent")</f>
        <v>For rent</v>
      </c>
      <c r="B4008" s="2" t="str">
        <f>IFERROR(__xludf.DUMMYFUNCTION("""COMPUTED_VALUE"""),"centrs")</f>
        <v>centrs</v>
      </c>
      <c r="C4008" s="2" t="str">
        <f>IFERROR(__xludf.DUMMYFUNCTION("""COMPUTED_VALUE"""),"Avotu 75")</f>
        <v>Avotu 75</v>
      </c>
      <c r="D4008" s="2">
        <f>IFERROR(__xludf.DUMMYFUNCTION("""COMPUTED_VALUE"""),1.0)</f>
        <v>1</v>
      </c>
      <c r="E4008" s="2">
        <f>IFERROR(__xludf.DUMMYFUNCTION("""COMPUTED_VALUE"""),20.0)</f>
        <v>20</v>
      </c>
      <c r="F4008" s="2">
        <f>IFERROR(__xludf.DUMMYFUNCTION("""COMPUTED_VALUE"""),1.0)</f>
        <v>1</v>
      </c>
      <c r="G4008" s="2">
        <f>IFERROR(__xludf.DUMMYFUNCTION("""COMPUTED_VALUE"""),2.0)</f>
        <v>2</v>
      </c>
      <c r="H4008" s="2" t="str">
        <f>IFERROR(__xludf.DUMMYFUNCTION("""COMPUTED_VALUE"""),"P. kara")</f>
        <v>P. kara</v>
      </c>
      <c r="I4008" s="2" t="str">
        <f>IFERROR(__xludf.DUMMYFUNCTION("""COMPUTED_VALUE"""),"Wood")</f>
        <v>Wood</v>
      </c>
      <c r="J4008" s="2" t="str">
        <f>IFERROR(__xludf.DUMMYFUNCTION("""COMPUTED_VALUE"""),"Partial amenities")</f>
        <v>Partial amenities</v>
      </c>
      <c r="K4008" s="2">
        <f>IFERROR(__xludf.DUMMYFUNCTION("""COMPUTED_VALUE"""),140.0)</f>
        <v>140</v>
      </c>
      <c r="L4008" s="2">
        <f>IFERROR(__xludf.DUMMYFUNCTION("""COMPUTED_VALUE"""),56.9507767)</f>
        <v>56.9507767</v>
      </c>
      <c r="M4008" s="2">
        <f>IFERROR(__xludf.DUMMYFUNCTION("""COMPUTED_VALUE"""),24.1332307)</f>
        <v>24.1332307</v>
      </c>
    </row>
    <row r="4009">
      <c r="A4009" s="2" t="str">
        <f>IFERROR(__xludf.DUMMYFUNCTION("""COMPUTED_VALUE"""),"For sale")</f>
        <v>For sale</v>
      </c>
      <c r="B4009" s="2" t="str">
        <f>IFERROR(__xludf.DUMMYFUNCTION("""COMPUTED_VALUE"""),"Iļģuciems")</f>
        <v>Iļģuciems</v>
      </c>
      <c r="C4009" s="2" t="str">
        <f>IFERROR(__xludf.DUMMYFUNCTION("""COMPUTED_VALUE"""),"Šauļu 1")</f>
        <v>Šauļu 1</v>
      </c>
      <c r="D4009" s="2">
        <f>IFERROR(__xludf.DUMMYFUNCTION("""COMPUTED_VALUE"""),2.0)</f>
        <v>2</v>
      </c>
      <c r="E4009" s="2">
        <f>IFERROR(__xludf.DUMMYFUNCTION("""COMPUTED_VALUE"""),38.2)</f>
        <v>38.2</v>
      </c>
      <c r="F4009" s="2">
        <f>IFERROR(__xludf.DUMMYFUNCTION("""COMPUTED_VALUE"""),4.0)</f>
        <v>4</v>
      </c>
      <c r="G4009" s="2">
        <f>IFERROR(__xludf.DUMMYFUNCTION("""COMPUTED_VALUE"""),5.0)</f>
        <v>5</v>
      </c>
      <c r="H4009" s="2" t="str">
        <f>IFERROR(__xludf.DUMMYFUNCTION("""COMPUTED_VALUE"""),"LT proj.")</f>
        <v>LT proj.</v>
      </c>
      <c r="I4009" s="2" t="str">
        <f>IFERROR(__xludf.DUMMYFUNCTION("""COMPUTED_VALUE"""),"Panel")</f>
        <v>Panel</v>
      </c>
      <c r="J4009" s="2" t="str">
        <f>IFERROR(__xludf.DUMMYFUNCTION("""COMPUTED_VALUE"""),"All amenities")</f>
        <v>All amenities</v>
      </c>
      <c r="K4009" s="2">
        <f>IFERROR(__xludf.DUMMYFUNCTION("""COMPUTED_VALUE"""),49000.0)</f>
        <v>49000</v>
      </c>
      <c r="L4009" s="2">
        <f>IFERROR(__xludf.DUMMYFUNCTION("""COMPUTED_VALUE"""),56.9660625)</f>
        <v>56.9660625</v>
      </c>
      <c r="M4009" s="2">
        <f>IFERROR(__xludf.DUMMYFUNCTION("""COMPUTED_VALUE"""),24.0604764905193)</f>
        <v>24.06047649</v>
      </c>
    </row>
    <row r="4010">
      <c r="A4010" s="2" t="str">
        <f>IFERROR(__xludf.DUMMYFUNCTION("""COMPUTED_VALUE"""),"For rent")</f>
        <v>For rent</v>
      </c>
      <c r="B4010" s="2" t="str">
        <f>IFERROR(__xludf.DUMMYFUNCTION("""COMPUTED_VALUE"""),"centrs")</f>
        <v>centrs</v>
      </c>
      <c r="C4010" s="2" t="str">
        <f>IFERROR(__xludf.DUMMYFUNCTION("""COMPUTED_VALUE"""),"Čaka 54")</f>
        <v>Čaka 54</v>
      </c>
      <c r="D4010" s="2">
        <f>IFERROR(__xludf.DUMMYFUNCTION("""COMPUTED_VALUE"""),4.0)</f>
        <v>4</v>
      </c>
      <c r="E4010" s="2">
        <f>IFERROR(__xludf.DUMMYFUNCTION("""COMPUTED_VALUE"""),100.0)</f>
        <v>100</v>
      </c>
      <c r="F4010" s="2">
        <f>IFERROR(__xludf.DUMMYFUNCTION("""COMPUTED_VALUE"""),2.0)</f>
        <v>2</v>
      </c>
      <c r="G4010" s="2">
        <f>IFERROR(__xludf.DUMMYFUNCTION("""COMPUTED_VALUE"""),6.0)</f>
        <v>6</v>
      </c>
      <c r="H4010" s="2" t="str">
        <f>IFERROR(__xludf.DUMMYFUNCTION("""COMPUTED_VALUE"""),"P. kara")</f>
        <v>P. kara</v>
      </c>
      <c r="I4010" s="2" t="str">
        <f>IFERROR(__xludf.DUMMYFUNCTION("""COMPUTED_VALUE"""),"Brick")</f>
        <v>Brick</v>
      </c>
      <c r="J4010" s="2" t="str">
        <f>IFERROR(__xludf.DUMMYFUNCTION("""COMPUTED_VALUE"""),"All amenities")</f>
        <v>All amenities</v>
      </c>
      <c r="K4010" s="2">
        <f>IFERROR(__xludf.DUMMYFUNCTION("""COMPUTED_VALUE"""),750.0)</f>
        <v>750</v>
      </c>
      <c r="L4010" s="2">
        <f>IFERROR(__xludf.DUMMYFUNCTION("""COMPUTED_VALUE"""),56.9545069)</f>
        <v>56.9545069</v>
      </c>
      <c r="M4010" s="2">
        <f>IFERROR(__xludf.DUMMYFUNCTION("""COMPUTED_VALUE"""),24.1333641)</f>
        <v>24.1333641</v>
      </c>
    </row>
    <row r="4011">
      <c r="A4011" s="2" t="str">
        <f>IFERROR(__xludf.DUMMYFUNCTION("""COMPUTED_VALUE"""),"For sale")</f>
        <v>For sale</v>
      </c>
      <c r="B4011" s="2" t="str">
        <f>IFERROR(__xludf.DUMMYFUNCTION("""COMPUTED_VALUE"""),"Imanta")</f>
        <v>Imanta</v>
      </c>
      <c r="C4011" s="2" t="str">
        <f>IFERROR(__xludf.DUMMYFUNCTION("""COMPUTED_VALUE"""),"Kurzemes pr. 120")</f>
        <v>Kurzemes pr. 120</v>
      </c>
      <c r="D4011" s="2">
        <f>IFERROR(__xludf.DUMMYFUNCTION("""COMPUTED_VALUE"""),3.0)</f>
        <v>3</v>
      </c>
      <c r="E4011" s="2">
        <f>IFERROR(__xludf.DUMMYFUNCTION("""COMPUTED_VALUE"""),63.0)</f>
        <v>63</v>
      </c>
      <c r="F4011" s="2">
        <f>IFERROR(__xludf.DUMMYFUNCTION("""COMPUTED_VALUE"""),4.0)</f>
        <v>4</v>
      </c>
      <c r="G4011" s="2">
        <f>IFERROR(__xludf.DUMMYFUNCTION("""COMPUTED_VALUE"""),9.0)</f>
        <v>9</v>
      </c>
      <c r="H4011" s="2">
        <f>IFERROR(__xludf.DUMMYFUNCTION("""COMPUTED_VALUE"""),602.0)</f>
        <v>602</v>
      </c>
      <c r="I4011" s="2" t="str">
        <f>IFERROR(__xludf.DUMMYFUNCTION("""COMPUTED_VALUE"""),"Panel")</f>
        <v>Panel</v>
      </c>
      <c r="J4011" s="2" t="str">
        <f>IFERROR(__xludf.DUMMYFUNCTION("""COMPUTED_VALUE"""),"All amenities")</f>
        <v>All amenities</v>
      </c>
      <c r="K4011" s="2">
        <f>IFERROR(__xludf.DUMMYFUNCTION("""COMPUTED_VALUE"""),63000.0)</f>
        <v>63000</v>
      </c>
      <c r="L4011" s="2" t="str">
        <f>IFERROR(__xludf.DUMMYFUNCTION("""COMPUTED_VALUE"""),"NaN")</f>
        <v>NaN</v>
      </c>
      <c r="M4011" s="2" t="str">
        <f>IFERROR(__xludf.DUMMYFUNCTION("""COMPUTED_VALUE"""),"NaN")</f>
        <v>NaN</v>
      </c>
    </row>
    <row r="4012">
      <c r="A4012" s="2" t="str">
        <f>IFERROR(__xludf.DUMMYFUNCTION("""COMPUTED_VALUE"""),"For sale")</f>
        <v>For sale</v>
      </c>
      <c r="B4012" s="2" t="str">
        <f>IFERROR(__xludf.DUMMYFUNCTION("""COMPUTED_VALUE"""),"Daugavgrīva")</f>
        <v>Daugavgrīva</v>
      </c>
      <c r="C4012" s="2" t="str">
        <f>IFERROR(__xludf.DUMMYFUNCTION("""COMPUTED_VALUE"""),"Plēksnes 6")</f>
        <v>Plēksnes 6</v>
      </c>
      <c r="D4012" s="2">
        <f>IFERROR(__xludf.DUMMYFUNCTION("""COMPUTED_VALUE"""),1.0)</f>
        <v>1</v>
      </c>
      <c r="E4012" s="2">
        <f>IFERROR(__xludf.DUMMYFUNCTION("""COMPUTED_VALUE"""),32.0)</f>
        <v>32</v>
      </c>
      <c r="F4012" s="2">
        <f>IFERROR(__xludf.DUMMYFUNCTION("""COMPUTED_VALUE"""),5.0)</f>
        <v>5</v>
      </c>
      <c r="G4012" s="2">
        <f>IFERROR(__xludf.DUMMYFUNCTION("""COMPUTED_VALUE"""),5.0)</f>
        <v>5</v>
      </c>
      <c r="H4012" s="2" t="str">
        <f>IFERROR(__xludf.DUMMYFUNCTION("""COMPUTED_VALUE"""),"M. ģim.")</f>
        <v>M. ģim.</v>
      </c>
      <c r="I4012" s="2" t="str">
        <f>IFERROR(__xludf.DUMMYFUNCTION("""COMPUTED_VALUE"""),"Brick-Panel")</f>
        <v>Brick-Panel</v>
      </c>
      <c r="J4012" s="2" t="str">
        <f>IFERROR(__xludf.DUMMYFUNCTION("""COMPUTED_VALUE"""),"All amenities")</f>
        <v>All amenities</v>
      </c>
      <c r="K4012" s="2">
        <f>IFERROR(__xludf.DUMMYFUNCTION("""COMPUTED_VALUE"""),22500.0)</f>
        <v>22500</v>
      </c>
      <c r="L4012" s="2">
        <f>IFERROR(__xludf.DUMMYFUNCTION("""COMPUTED_VALUE"""),57.0402147)</f>
        <v>57.0402147</v>
      </c>
      <c r="M4012" s="2">
        <f>IFERROR(__xludf.DUMMYFUNCTION("""COMPUTED_VALUE"""),24.031457377538)</f>
        <v>24.03145738</v>
      </c>
    </row>
    <row r="4013">
      <c r="A4013" s="2" t="str">
        <f>IFERROR(__xludf.DUMMYFUNCTION("""COMPUTED_VALUE"""),"For sale")</f>
        <v>For sale</v>
      </c>
      <c r="B4013" s="2" t="str">
        <f>IFERROR(__xludf.DUMMYFUNCTION("""COMPUTED_VALUE"""),"Ķengarags")</f>
        <v>Ķengarags</v>
      </c>
      <c r="C4013" s="2" t="str">
        <f>IFERROR(__xludf.DUMMYFUNCTION("""COMPUTED_VALUE"""),"Prūšu 3/1")</f>
        <v>Prūšu 3/1</v>
      </c>
      <c r="D4013" s="2">
        <f>IFERROR(__xludf.DUMMYFUNCTION("""COMPUTED_VALUE"""),2.0)</f>
        <v>2</v>
      </c>
      <c r="E4013" s="2">
        <f>IFERROR(__xludf.DUMMYFUNCTION("""COMPUTED_VALUE"""),39.3)</f>
        <v>39.3</v>
      </c>
      <c r="F4013" s="2">
        <f>IFERROR(__xludf.DUMMYFUNCTION("""COMPUTED_VALUE"""),2.0)</f>
        <v>2</v>
      </c>
      <c r="G4013" s="2">
        <f>IFERROR(__xludf.DUMMYFUNCTION("""COMPUTED_VALUE"""),5.0)</f>
        <v>5</v>
      </c>
      <c r="H4013" s="2" t="str">
        <f>IFERROR(__xludf.DUMMYFUNCTION("""COMPUTED_VALUE"""),"LT proj.")</f>
        <v>LT proj.</v>
      </c>
      <c r="I4013" s="2" t="str">
        <f>IFERROR(__xludf.DUMMYFUNCTION("""COMPUTED_VALUE"""),"Panel")</f>
        <v>Panel</v>
      </c>
      <c r="J4013" s="2" t="str">
        <f>IFERROR(__xludf.DUMMYFUNCTION("""COMPUTED_VALUE"""),"All amenities")</f>
        <v>All amenities</v>
      </c>
      <c r="K4013" s="2">
        <f>IFERROR(__xludf.DUMMYFUNCTION("""COMPUTED_VALUE"""),40000.0)</f>
        <v>40000</v>
      </c>
      <c r="L4013" s="2">
        <f>IFERROR(__xludf.DUMMYFUNCTION("""COMPUTED_VALUE"""),56.9150027)</f>
        <v>56.9150027</v>
      </c>
      <c r="M4013" s="2">
        <f>IFERROR(__xludf.DUMMYFUNCTION("""COMPUTED_VALUE"""),24.1755593)</f>
        <v>24.1755593</v>
      </c>
    </row>
    <row r="4014">
      <c r="A4014" s="2" t="str">
        <f>IFERROR(__xludf.DUMMYFUNCTION("""COMPUTED_VALUE"""),"For sale")</f>
        <v>For sale</v>
      </c>
      <c r="B4014" s="2" t="str">
        <f>IFERROR(__xludf.DUMMYFUNCTION("""COMPUTED_VALUE"""),"centrs")</f>
        <v>centrs</v>
      </c>
      <c r="C4014" s="2" t="str">
        <f>IFERROR(__xludf.DUMMYFUNCTION("""COMPUTED_VALUE"""),"Blaumaņa 9")</f>
        <v>Blaumaņa 9</v>
      </c>
      <c r="D4014" s="2">
        <f>IFERROR(__xludf.DUMMYFUNCTION("""COMPUTED_VALUE"""),3.0)</f>
        <v>3</v>
      </c>
      <c r="E4014" s="2">
        <f>IFERROR(__xludf.DUMMYFUNCTION("""COMPUTED_VALUE"""),92.0)</f>
        <v>92</v>
      </c>
      <c r="F4014" s="2">
        <f>IFERROR(__xludf.DUMMYFUNCTION("""COMPUTED_VALUE"""),6.0)</f>
        <v>6</v>
      </c>
      <c r="G4014" s="2">
        <f>IFERROR(__xludf.DUMMYFUNCTION("""COMPUTED_VALUE"""),6.0)</f>
        <v>6</v>
      </c>
      <c r="H4014" s="2" t="str">
        <f>IFERROR(__xludf.DUMMYFUNCTION("""COMPUTED_VALUE"""),"Renov.")</f>
        <v>Renov.</v>
      </c>
      <c r="I4014" s="2" t="str">
        <f>IFERROR(__xludf.DUMMYFUNCTION("""COMPUTED_VALUE"""),"Masonry")</f>
        <v>Masonry</v>
      </c>
      <c r="J4014" s="2" t="str">
        <f>IFERROR(__xludf.DUMMYFUNCTION("""COMPUTED_VALUE"""),"All amenities")</f>
        <v>All amenities</v>
      </c>
      <c r="K4014" s="2">
        <f>IFERROR(__xludf.DUMMYFUNCTION("""COMPUTED_VALUE"""),88892.0)</f>
        <v>88892</v>
      </c>
      <c r="L4014" s="2">
        <f>IFERROR(__xludf.DUMMYFUNCTION("""COMPUTED_VALUE"""),56.9539256)</f>
        <v>56.9539256</v>
      </c>
      <c r="M4014" s="2">
        <f>IFERROR(__xludf.DUMMYFUNCTION("""COMPUTED_VALUE"""),24.1237609)</f>
        <v>24.1237609</v>
      </c>
    </row>
    <row r="4015">
      <c r="A4015" s="2" t="str">
        <f>IFERROR(__xludf.DUMMYFUNCTION("""COMPUTED_VALUE"""),"For rent")</f>
        <v>For rent</v>
      </c>
      <c r="B4015" s="2" t="str">
        <f>IFERROR(__xludf.DUMMYFUNCTION("""COMPUTED_VALUE"""),"Zolitūde")</f>
        <v>Zolitūde</v>
      </c>
      <c r="C4015" s="2" t="str">
        <f>IFERROR(__xludf.DUMMYFUNCTION("""COMPUTED_VALUE"""),"Ruses 24")</f>
        <v>Ruses 24</v>
      </c>
      <c r="D4015" s="2">
        <f>IFERROR(__xludf.DUMMYFUNCTION("""COMPUTED_VALUE"""),3.0)</f>
        <v>3</v>
      </c>
      <c r="E4015" s="2">
        <f>IFERROR(__xludf.DUMMYFUNCTION("""COMPUTED_VALUE"""),75.0)</f>
        <v>75</v>
      </c>
      <c r="F4015" s="2">
        <f>IFERROR(__xludf.DUMMYFUNCTION("""COMPUTED_VALUE"""),4.0)</f>
        <v>4</v>
      </c>
      <c r="G4015" s="2">
        <f>IFERROR(__xludf.DUMMYFUNCTION("""COMPUTED_VALUE"""),9.0)</f>
        <v>9</v>
      </c>
      <c r="H4015" s="2">
        <f>IFERROR(__xludf.DUMMYFUNCTION("""COMPUTED_VALUE"""),119.0)</f>
        <v>119</v>
      </c>
      <c r="I4015" s="2" t="str">
        <f>IFERROR(__xludf.DUMMYFUNCTION("""COMPUTED_VALUE"""),"Panel")</f>
        <v>Panel</v>
      </c>
      <c r="J4015" s="2" t="str">
        <f>IFERROR(__xludf.DUMMYFUNCTION("""COMPUTED_VALUE"""),"All amenities")</f>
        <v>All amenities</v>
      </c>
      <c r="K4015" s="2">
        <f>IFERROR(__xludf.DUMMYFUNCTION("""COMPUTED_VALUE"""),490.0)</f>
        <v>490</v>
      </c>
      <c r="L4015" s="2">
        <f>IFERROR(__xludf.DUMMYFUNCTION("""COMPUTED_VALUE"""),56.94617195)</f>
        <v>56.94617195</v>
      </c>
      <c r="M4015" s="2">
        <f>IFERROR(__xludf.DUMMYFUNCTION("""COMPUTED_VALUE"""),24.0087872499999)</f>
        <v>24.00878725</v>
      </c>
    </row>
    <row r="4016">
      <c r="A4016" s="2" t="str">
        <f>IFERROR(__xludf.DUMMYFUNCTION("""COMPUTED_VALUE"""),"For sale")</f>
        <v>For sale</v>
      </c>
      <c r="B4016" s="2" t="str">
        <f>IFERROR(__xludf.DUMMYFUNCTION("""COMPUTED_VALUE"""),"Ķengarags")</f>
        <v>Ķengarags</v>
      </c>
      <c r="C4016" s="2" t="str">
        <f>IFERROR(__xludf.DUMMYFUNCTION("""COMPUTED_VALUE"""),"Maskavas 259")</f>
        <v>Maskavas 259</v>
      </c>
      <c r="D4016" s="2">
        <f>IFERROR(__xludf.DUMMYFUNCTION("""COMPUTED_VALUE"""),2.0)</f>
        <v>2</v>
      </c>
      <c r="E4016" s="2">
        <f>IFERROR(__xludf.DUMMYFUNCTION("""COMPUTED_VALUE"""),37.0)</f>
        <v>37</v>
      </c>
      <c r="F4016" s="2">
        <f>IFERROR(__xludf.DUMMYFUNCTION("""COMPUTED_VALUE"""),5.0)</f>
        <v>5</v>
      </c>
      <c r="G4016" s="2">
        <f>IFERROR(__xludf.DUMMYFUNCTION("""COMPUTED_VALUE"""),5.0)</f>
        <v>5</v>
      </c>
      <c r="H4016" s="2" t="str">
        <f>IFERROR(__xludf.DUMMYFUNCTION("""COMPUTED_VALUE"""),"LT proj.")</f>
        <v>LT proj.</v>
      </c>
      <c r="I4016" s="2" t="str">
        <f>IFERROR(__xludf.DUMMYFUNCTION("""COMPUTED_VALUE"""),"Panel")</f>
        <v>Panel</v>
      </c>
      <c r="J4016" s="2" t="str">
        <f>IFERROR(__xludf.DUMMYFUNCTION("""COMPUTED_VALUE"""),"All amenities")</f>
        <v>All amenities</v>
      </c>
      <c r="K4016" s="2">
        <f>IFERROR(__xludf.DUMMYFUNCTION("""COMPUTED_VALUE"""),32500.0)</f>
        <v>32500</v>
      </c>
      <c r="L4016" s="2">
        <f>IFERROR(__xludf.DUMMYFUNCTION("""COMPUTED_VALUE"""),56.8597884)</f>
        <v>56.8597884</v>
      </c>
      <c r="M4016" s="2">
        <f>IFERROR(__xludf.DUMMYFUNCTION("""COMPUTED_VALUE"""),24.3083417)</f>
        <v>24.3083417</v>
      </c>
    </row>
    <row r="4017">
      <c r="A4017" s="2" t="str">
        <f>IFERROR(__xludf.DUMMYFUNCTION("""COMPUTED_VALUE"""),"For rent")</f>
        <v>For rent</v>
      </c>
      <c r="B4017" s="2" t="str">
        <f>IFERROR(__xludf.DUMMYFUNCTION("""COMPUTED_VALUE"""),"centrs")</f>
        <v>centrs</v>
      </c>
      <c r="C4017" s="2" t="str">
        <f>IFERROR(__xludf.DUMMYFUNCTION("""COMPUTED_VALUE"""),"Birznieka-Upīša 23")</f>
        <v>Birznieka-Upīša 23</v>
      </c>
      <c r="D4017" s="2">
        <f>IFERROR(__xludf.DUMMYFUNCTION("""COMPUTED_VALUE"""),4.0)</f>
        <v>4</v>
      </c>
      <c r="E4017" s="2">
        <f>IFERROR(__xludf.DUMMYFUNCTION("""COMPUTED_VALUE"""),98.0)</f>
        <v>98</v>
      </c>
      <c r="F4017" s="2">
        <f>IFERROR(__xludf.DUMMYFUNCTION("""COMPUTED_VALUE"""),1.0)</f>
        <v>1</v>
      </c>
      <c r="G4017" s="2">
        <f>IFERROR(__xludf.DUMMYFUNCTION("""COMPUTED_VALUE"""),3.0)</f>
        <v>3</v>
      </c>
      <c r="H4017" s="2" t="str">
        <f>IFERROR(__xludf.DUMMYFUNCTION("""COMPUTED_VALUE"""),"P. kara")</f>
        <v>P. kara</v>
      </c>
      <c r="I4017" s="2" t="str">
        <f>IFERROR(__xludf.DUMMYFUNCTION("""COMPUTED_VALUE"""),"Masonry")</f>
        <v>Masonry</v>
      </c>
      <c r="J4017" s="2" t="str">
        <f>IFERROR(__xludf.DUMMYFUNCTION("""COMPUTED_VALUE"""),"All amenities")</f>
        <v>All amenities</v>
      </c>
      <c r="K4017" s="2">
        <f>IFERROR(__xludf.DUMMYFUNCTION("""COMPUTED_VALUE"""),5.0)</f>
        <v>5</v>
      </c>
      <c r="L4017" s="2">
        <f>IFERROR(__xludf.DUMMYFUNCTION("""COMPUTED_VALUE"""),56.95009165)</f>
        <v>56.95009165</v>
      </c>
      <c r="M4017" s="2">
        <f>IFERROR(__xludf.DUMMYFUNCTION("""COMPUTED_VALUE"""),24.1304232666234)</f>
        <v>24.13042327</v>
      </c>
    </row>
    <row r="4018">
      <c r="A4018" s="2" t="str">
        <f>IFERROR(__xludf.DUMMYFUNCTION("""COMPUTED_VALUE"""),"For rent")</f>
        <v>For rent</v>
      </c>
      <c r="B4018" s="2" t="str">
        <f>IFERROR(__xludf.DUMMYFUNCTION("""COMPUTED_VALUE"""),"Purvciems")</f>
        <v>Purvciems</v>
      </c>
      <c r="C4018" s="2" t="str">
        <f>IFERROR(__xludf.DUMMYFUNCTION("""COMPUTED_VALUE"""),"Dzelzavas 95")</f>
        <v>Dzelzavas 95</v>
      </c>
      <c r="D4018" s="2">
        <f>IFERROR(__xludf.DUMMYFUNCTION("""COMPUTED_VALUE"""),2.0)</f>
        <v>2</v>
      </c>
      <c r="E4018" s="2">
        <f>IFERROR(__xludf.DUMMYFUNCTION("""COMPUTED_VALUE"""),51.0)</f>
        <v>51</v>
      </c>
      <c r="F4018" s="2">
        <f>IFERROR(__xludf.DUMMYFUNCTION("""COMPUTED_VALUE"""),4.0)</f>
        <v>4</v>
      </c>
      <c r="G4018" s="2">
        <f>IFERROR(__xludf.DUMMYFUNCTION("""COMPUTED_VALUE"""),5.0)</f>
        <v>5</v>
      </c>
      <c r="H4018" s="2" t="str">
        <f>IFERROR(__xludf.DUMMYFUNCTION("""COMPUTED_VALUE"""),"LT proj.")</f>
        <v>LT proj.</v>
      </c>
      <c r="I4018" s="2" t="str">
        <f>IFERROR(__xludf.DUMMYFUNCTION("""COMPUTED_VALUE"""),"Panel")</f>
        <v>Panel</v>
      </c>
      <c r="J4018" s="2" t="str">
        <f>IFERROR(__xludf.DUMMYFUNCTION("""COMPUTED_VALUE"""),"All amenities")</f>
        <v>All amenities</v>
      </c>
      <c r="K4018" s="2">
        <f>IFERROR(__xludf.DUMMYFUNCTION("""COMPUTED_VALUE"""),290.0)</f>
        <v>290</v>
      </c>
      <c r="L4018" s="2">
        <f>IFERROR(__xludf.DUMMYFUNCTION("""COMPUTED_VALUE"""),56.9555825)</f>
        <v>56.9555825</v>
      </c>
      <c r="M4018" s="2">
        <f>IFERROR(__xludf.DUMMYFUNCTION("""COMPUTED_VALUE"""),24.2032005)</f>
        <v>24.2032005</v>
      </c>
    </row>
    <row r="4019">
      <c r="A4019" s="2" t="str">
        <f>IFERROR(__xludf.DUMMYFUNCTION("""COMPUTED_VALUE"""),"For sale")</f>
        <v>For sale</v>
      </c>
      <c r="B4019" s="2" t="str">
        <f>IFERROR(__xludf.DUMMYFUNCTION("""COMPUTED_VALUE"""),"centrs")</f>
        <v>centrs</v>
      </c>
      <c r="C4019" s="2" t="str">
        <f>IFERROR(__xludf.DUMMYFUNCTION("""COMPUTED_VALUE"""),"Brīvības iela 150")</f>
        <v>Brīvības iela 150</v>
      </c>
      <c r="D4019" s="2">
        <f>IFERROR(__xludf.DUMMYFUNCTION("""COMPUTED_VALUE"""),5.0)</f>
        <v>5</v>
      </c>
      <c r="E4019" s="2">
        <f>IFERROR(__xludf.DUMMYFUNCTION("""COMPUTED_VALUE"""),123.0)</f>
        <v>123</v>
      </c>
      <c r="F4019" s="2">
        <f>IFERROR(__xludf.DUMMYFUNCTION("""COMPUTED_VALUE"""),2.0)</f>
        <v>2</v>
      </c>
      <c r="G4019" s="2">
        <f>IFERROR(__xludf.DUMMYFUNCTION("""COMPUTED_VALUE"""),6.0)</f>
        <v>6</v>
      </c>
      <c r="H4019" s="2" t="str">
        <f>IFERROR(__xludf.DUMMYFUNCTION("""COMPUTED_VALUE"""),"P. kara")</f>
        <v>P. kara</v>
      </c>
      <c r="I4019" s="2" t="str">
        <f>IFERROR(__xludf.DUMMYFUNCTION("""COMPUTED_VALUE"""),"Masonry")</f>
        <v>Masonry</v>
      </c>
      <c r="J4019" s="2" t="str">
        <f>IFERROR(__xludf.DUMMYFUNCTION("""COMPUTED_VALUE"""),"All amenities")</f>
        <v>All amenities</v>
      </c>
      <c r="K4019" s="2">
        <f>IFERROR(__xludf.DUMMYFUNCTION("""COMPUTED_VALUE"""),125000.0)</f>
        <v>125000</v>
      </c>
      <c r="L4019" s="2">
        <f>IFERROR(__xludf.DUMMYFUNCTION("""COMPUTED_VALUE"""),56.9647023)</f>
        <v>56.9647023</v>
      </c>
      <c r="M4019" s="2">
        <f>IFERROR(__xludf.DUMMYFUNCTION("""COMPUTED_VALUE"""),24.1416133360267)</f>
        <v>24.14161334</v>
      </c>
    </row>
    <row r="4020">
      <c r="A4020" s="2" t="str">
        <f>IFERROR(__xludf.DUMMYFUNCTION("""COMPUTED_VALUE"""),"For rent")</f>
        <v>For rent</v>
      </c>
      <c r="B4020" s="2" t="str">
        <f>IFERROR(__xludf.DUMMYFUNCTION("""COMPUTED_VALUE"""),"Ziepniekkalns")</f>
        <v>Ziepniekkalns</v>
      </c>
      <c r="C4020" s="2" t="str">
        <f>IFERROR(__xludf.DUMMYFUNCTION("""COMPUTED_VALUE"""),"Ozolciema 56 k-2")</f>
        <v>Ozolciema 56 k-2</v>
      </c>
      <c r="D4020" s="2">
        <f>IFERROR(__xludf.DUMMYFUNCTION("""COMPUTED_VALUE"""),1.0)</f>
        <v>1</v>
      </c>
      <c r="E4020" s="2">
        <f>IFERROR(__xludf.DUMMYFUNCTION("""COMPUTED_VALUE"""),35.0)</f>
        <v>35</v>
      </c>
      <c r="F4020" s="2">
        <f>IFERROR(__xludf.DUMMYFUNCTION("""COMPUTED_VALUE"""),9.0)</f>
        <v>9</v>
      </c>
      <c r="G4020" s="2">
        <f>IFERROR(__xludf.DUMMYFUNCTION("""COMPUTED_VALUE"""),9.0)</f>
        <v>9</v>
      </c>
      <c r="H4020" s="2">
        <f>IFERROR(__xludf.DUMMYFUNCTION("""COMPUTED_VALUE"""),602.0)</f>
        <v>602</v>
      </c>
      <c r="I4020" s="2" t="str">
        <f>IFERROR(__xludf.DUMMYFUNCTION("""COMPUTED_VALUE"""),"Panel")</f>
        <v>Panel</v>
      </c>
      <c r="J4020" s="2" t="str">
        <f>IFERROR(__xludf.DUMMYFUNCTION("""COMPUTED_VALUE"""),"All amenities")</f>
        <v>All amenities</v>
      </c>
      <c r="K4020" s="2">
        <f>IFERROR(__xludf.DUMMYFUNCTION("""COMPUTED_VALUE"""),270.0)</f>
        <v>270</v>
      </c>
      <c r="L4020" s="2">
        <f>IFERROR(__xludf.DUMMYFUNCTION("""COMPUTED_VALUE"""),56.9010582)</f>
        <v>56.9010582</v>
      </c>
      <c r="M4020" s="2">
        <f>IFERROR(__xludf.DUMMYFUNCTION("""COMPUTED_VALUE"""),24.1014129325176)</f>
        <v>24.10141293</v>
      </c>
    </row>
    <row r="4021">
      <c r="A4021" s="2" t="str">
        <f>IFERROR(__xludf.DUMMYFUNCTION("""COMPUTED_VALUE"""),"For sale")</f>
        <v>For sale</v>
      </c>
      <c r="B4021" s="2" t="str">
        <f>IFERROR(__xludf.DUMMYFUNCTION("""COMPUTED_VALUE"""),"Iļģuciems")</f>
        <v>Iļģuciems</v>
      </c>
      <c r="C4021" s="2" t="str">
        <f>IFERROR(__xludf.DUMMYFUNCTION("""COMPUTED_VALUE"""),"Vaidelotes 19")</f>
        <v>Vaidelotes 19</v>
      </c>
      <c r="D4021" s="2">
        <f>IFERROR(__xludf.DUMMYFUNCTION("""COMPUTED_VALUE"""),1.0)</f>
        <v>1</v>
      </c>
      <c r="E4021" s="2">
        <f>IFERROR(__xludf.DUMMYFUNCTION("""COMPUTED_VALUE"""),33.0)</f>
        <v>33</v>
      </c>
      <c r="F4021" s="2">
        <f>IFERROR(__xludf.DUMMYFUNCTION("""COMPUTED_VALUE"""),5.0)</f>
        <v>5</v>
      </c>
      <c r="G4021" s="2">
        <f>IFERROR(__xludf.DUMMYFUNCTION("""COMPUTED_VALUE"""),5.0)</f>
        <v>5</v>
      </c>
      <c r="H4021" s="2" t="str">
        <f>IFERROR(__xludf.DUMMYFUNCTION("""COMPUTED_VALUE"""),"Hrušč.")</f>
        <v>Hrušč.</v>
      </c>
      <c r="I4021" s="2" t="str">
        <f>IFERROR(__xludf.DUMMYFUNCTION("""COMPUTED_VALUE"""),"Brick")</f>
        <v>Brick</v>
      </c>
      <c r="J4021" s="2" t="str">
        <f>IFERROR(__xludf.DUMMYFUNCTION("""COMPUTED_VALUE"""),"All amenities")</f>
        <v>All amenities</v>
      </c>
      <c r="K4021" s="2">
        <f>IFERROR(__xludf.DUMMYFUNCTION("""COMPUTED_VALUE"""),25000.0)</f>
        <v>25000</v>
      </c>
      <c r="L4021" s="2">
        <f>IFERROR(__xludf.DUMMYFUNCTION("""COMPUTED_VALUE"""),56.9673626)</f>
        <v>56.9673626</v>
      </c>
      <c r="M4021" s="2">
        <f>IFERROR(__xludf.DUMMYFUNCTION("""COMPUTED_VALUE"""),24.0500752304648)</f>
        <v>24.05007523</v>
      </c>
    </row>
    <row r="4022">
      <c r="A4022" s="2" t="str">
        <f>IFERROR(__xludf.DUMMYFUNCTION("""COMPUTED_VALUE"""),"For sale")</f>
        <v>For sale</v>
      </c>
      <c r="B4022" s="2" t="str">
        <f>IFERROR(__xludf.DUMMYFUNCTION("""COMPUTED_VALUE"""),"Mežciems")</f>
        <v>Mežciems</v>
      </c>
      <c r="C4022" s="2" t="str">
        <f>IFERROR(__xludf.DUMMYFUNCTION("""COMPUTED_VALUE"""),"Hipokrāta 9")</f>
        <v>Hipokrāta 9</v>
      </c>
      <c r="D4022" s="2">
        <f>IFERROR(__xludf.DUMMYFUNCTION("""COMPUTED_VALUE"""),1.0)</f>
        <v>1</v>
      </c>
      <c r="E4022" s="2">
        <f>IFERROR(__xludf.DUMMYFUNCTION("""COMPUTED_VALUE"""),48.0)</f>
        <v>48</v>
      </c>
      <c r="F4022" s="2">
        <f>IFERROR(__xludf.DUMMYFUNCTION("""COMPUTED_VALUE"""),10.0)</f>
        <v>10</v>
      </c>
      <c r="G4022" s="2">
        <f>IFERROR(__xludf.DUMMYFUNCTION("""COMPUTED_VALUE"""),16.0)</f>
        <v>16</v>
      </c>
      <c r="H4022" s="2">
        <f>IFERROR(__xludf.DUMMYFUNCTION("""COMPUTED_VALUE"""),104.0)</f>
        <v>104</v>
      </c>
      <c r="I4022" s="2" t="str">
        <f>IFERROR(__xludf.DUMMYFUNCTION("""COMPUTED_VALUE"""),"Panel")</f>
        <v>Panel</v>
      </c>
      <c r="J4022" s="2" t="str">
        <f>IFERROR(__xludf.DUMMYFUNCTION("""COMPUTED_VALUE"""),"All amenities")</f>
        <v>All amenities</v>
      </c>
      <c r="K4022" s="2">
        <f>IFERROR(__xludf.DUMMYFUNCTION("""COMPUTED_VALUE"""),55850.0)</f>
        <v>55850</v>
      </c>
      <c r="L4022" s="2">
        <f>IFERROR(__xludf.DUMMYFUNCTION("""COMPUTED_VALUE"""),56.96758455)</f>
        <v>56.96758455</v>
      </c>
      <c r="M4022" s="2">
        <f>IFERROR(__xludf.DUMMYFUNCTION("""COMPUTED_VALUE"""),24.238078024789)</f>
        <v>24.23807802</v>
      </c>
    </row>
    <row r="4023">
      <c r="A4023" s="2" t="str">
        <f>IFERROR(__xludf.DUMMYFUNCTION("""COMPUTED_VALUE"""),"For sale")</f>
        <v>For sale</v>
      </c>
      <c r="B4023" s="2" t="str">
        <f>IFERROR(__xludf.DUMMYFUNCTION("""COMPUTED_VALUE"""),"Imanta")</f>
        <v>Imanta</v>
      </c>
      <c r="C4023" s="2" t="str">
        <f>IFERROR(__xludf.DUMMYFUNCTION("""COMPUTED_VALUE"""),"Dammes 17")</f>
        <v>Dammes 17</v>
      </c>
      <c r="D4023" s="2">
        <f>IFERROR(__xludf.DUMMYFUNCTION("""COMPUTED_VALUE"""),3.0)</f>
        <v>3</v>
      </c>
      <c r="E4023" s="2">
        <f>IFERROR(__xludf.DUMMYFUNCTION("""COMPUTED_VALUE"""),68.0)</f>
        <v>68</v>
      </c>
      <c r="F4023" s="2">
        <f>IFERROR(__xludf.DUMMYFUNCTION("""COMPUTED_VALUE"""),5.0)</f>
        <v>5</v>
      </c>
      <c r="G4023" s="2">
        <f>IFERROR(__xludf.DUMMYFUNCTION("""COMPUTED_VALUE"""),5.0)</f>
        <v>5</v>
      </c>
      <c r="H4023" s="2" t="str">
        <f>IFERROR(__xludf.DUMMYFUNCTION("""COMPUTED_VALUE"""),"LT proj.")</f>
        <v>LT proj.</v>
      </c>
      <c r="I4023" s="2" t="str">
        <f>IFERROR(__xludf.DUMMYFUNCTION("""COMPUTED_VALUE"""),"Panel")</f>
        <v>Panel</v>
      </c>
      <c r="J4023" s="2" t="str">
        <f>IFERROR(__xludf.DUMMYFUNCTION("""COMPUTED_VALUE"""),"All amenities")</f>
        <v>All amenities</v>
      </c>
      <c r="K4023" s="2">
        <f>IFERROR(__xludf.DUMMYFUNCTION("""COMPUTED_VALUE"""),48500.0)</f>
        <v>48500</v>
      </c>
      <c r="L4023" s="2">
        <f>IFERROR(__xludf.DUMMYFUNCTION("""COMPUTED_VALUE"""),56.96223585)</f>
        <v>56.96223585</v>
      </c>
      <c r="M4023" s="2">
        <f>IFERROR(__xludf.DUMMYFUNCTION("""COMPUTED_VALUE"""),24.0112542999999)</f>
        <v>24.0112543</v>
      </c>
    </row>
    <row r="4024">
      <c r="A4024" s="2" t="str">
        <f>IFERROR(__xludf.DUMMYFUNCTION("""COMPUTED_VALUE"""),"For sale")</f>
        <v>For sale</v>
      </c>
      <c r="B4024" s="2" t="str">
        <f>IFERROR(__xludf.DUMMYFUNCTION("""COMPUTED_VALUE"""),"Pļavnieki")</f>
        <v>Pļavnieki</v>
      </c>
      <c r="C4024" s="2" t="str">
        <f>IFERROR(__xludf.DUMMYFUNCTION("""COMPUTED_VALUE"""),"J. Vācieša 12")</f>
        <v>J. Vācieša 12</v>
      </c>
      <c r="D4024" s="2">
        <f>IFERROR(__xludf.DUMMYFUNCTION("""COMPUTED_VALUE"""),3.0)</f>
        <v>3</v>
      </c>
      <c r="E4024" s="2">
        <f>IFERROR(__xludf.DUMMYFUNCTION("""COMPUTED_VALUE"""),62.0)</f>
        <v>62</v>
      </c>
      <c r="F4024" s="2">
        <f>IFERROR(__xludf.DUMMYFUNCTION("""COMPUTED_VALUE"""),1.0)</f>
        <v>1</v>
      </c>
      <c r="G4024" s="2">
        <f>IFERROR(__xludf.DUMMYFUNCTION("""COMPUTED_VALUE"""),7.0)</f>
        <v>7</v>
      </c>
      <c r="H4024" s="2">
        <f>IFERROR(__xludf.DUMMYFUNCTION("""COMPUTED_VALUE"""),602.0)</f>
        <v>602</v>
      </c>
      <c r="I4024" s="2" t="str">
        <f>IFERROR(__xludf.DUMMYFUNCTION("""COMPUTED_VALUE"""),"Panel")</f>
        <v>Panel</v>
      </c>
      <c r="J4024" s="2" t="str">
        <f>IFERROR(__xludf.DUMMYFUNCTION("""COMPUTED_VALUE"""),"All amenities")</f>
        <v>All amenities</v>
      </c>
      <c r="K4024" s="2">
        <f>IFERROR(__xludf.DUMMYFUNCTION("""COMPUTED_VALUE"""),59990.0)</f>
        <v>59990</v>
      </c>
      <c r="L4024" s="2" t="str">
        <f>IFERROR(__xludf.DUMMYFUNCTION("""COMPUTED_VALUE"""),"NaN")</f>
        <v>NaN</v>
      </c>
      <c r="M4024" s="2" t="str">
        <f>IFERROR(__xludf.DUMMYFUNCTION("""COMPUTED_VALUE"""),"NaN")</f>
        <v>NaN</v>
      </c>
    </row>
    <row r="4025">
      <c r="A4025" s="2" t="str">
        <f>IFERROR(__xludf.DUMMYFUNCTION("""COMPUTED_VALUE"""),"For rent")</f>
        <v>For rent</v>
      </c>
      <c r="B4025" s="2" t="str">
        <f>IFERROR(__xludf.DUMMYFUNCTION("""COMPUTED_VALUE"""),"Purvciems")</f>
        <v>Purvciems</v>
      </c>
      <c r="C4025" s="2" t="str">
        <f>IFERROR(__xludf.DUMMYFUNCTION("""COMPUTED_VALUE"""),"Ūnijas 59")</f>
        <v>Ūnijas 59</v>
      </c>
      <c r="D4025" s="2">
        <f>IFERROR(__xludf.DUMMYFUNCTION("""COMPUTED_VALUE"""),2.0)</f>
        <v>2</v>
      </c>
      <c r="E4025" s="2">
        <f>IFERROR(__xludf.DUMMYFUNCTION("""COMPUTED_VALUE"""),46.0)</f>
        <v>46</v>
      </c>
      <c r="F4025" s="2">
        <f>IFERROR(__xludf.DUMMYFUNCTION("""COMPUTED_VALUE"""),5.0)</f>
        <v>5</v>
      </c>
      <c r="G4025" s="2">
        <f>IFERROR(__xludf.DUMMYFUNCTION("""COMPUTED_VALUE"""),5.0)</f>
        <v>5</v>
      </c>
      <c r="H4025" s="2">
        <f>IFERROR(__xludf.DUMMYFUNCTION("""COMPUTED_VALUE"""),103.0)</f>
        <v>103</v>
      </c>
      <c r="I4025" s="2" t="str">
        <f>IFERROR(__xludf.DUMMYFUNCTION("""COMPUTED_VALUE"""),"Brick-Panel")</f>
        <v>Brick-Panel</v>
      </c>
      <c r="J4025" s="2" t="str">
        <f>IFERROR(__xludf.DUMMYFUNCTION("""COMPUTED_VALUE"""),"All amenities")</f>
        <v>All amenities</v>
      </c>
      <c r="K4025" s="2">
        <f>IFERROR(__xludf.DUMMYFUNCTION("""COMPUTED_VALUE"""),350.0)</f>
        <v>350</v>
      </c>
      <c r="L4025" s="2">
        <f>IFERROR(__xludf.DUMMYFUNCTION("""COMPUTED_VALUE"""),56.9667933)</f>
        <v>56.9667933</v>
      </c>
      <c r="M4025" s="2">
        <f>IFERROR(__xludf.DUMMYFUNCTION("""COMPUTED_VALUE"""),24.1763088)</f>
        <v>24.1763088</v>
      </c>
    </row>
    <row r="4026">
      <c r="A4026" s="2" t="str">
        <f>IFERROR(__xludf.DUMMYFUNCTION("""COMPUTED_VALUE"""),"For rent")</f>
        <v>For rent</v>
      </c>
      <c r="B4026" s="2" t="str">
        <f>IFERROR(__xludf.DUMMYFUNCTION("""COMPUTED_VALUE"""),"centrs")</f>
        <v>centrs</v>
      </c>
      <c r="C4026" s="2" t="str">
        <f>IFERROR(__xludf.DUMMYFUNCTION("""COMPUTED_VALUE"""),"Avotu 37")</f>
        <v>Avotu 37</v>
      </c>
      <c r="D4026" s="2">
        <f>IFERROR(__xludf.DUMMYFUNCTION("""COMPUTED_VALUE"""),3.0)</f>
        <v>3</v>
      </c>
      <c r="E4026" s="2">
        <f>IFERROR(__xludf.DUMMYFUNCTION("""COMPUTED_VALUE"""),63.0)</f>
        <v>63</v>
      </c>
      <c r="F4026" s="2">
        <f>IFERROR(__xludf.DUMMYFUNCTION("""COMPUTED_VALUE"""),3.0)</f>
        <v>3</v>
      </c>
      <c r="G4026" s="2">
        <f>IFERROR(__xludf.DUMMYFUNCTION("""COMPUTED_VALUE"""),3.0)</f>
        <v>3</v>
      </c>
      <c r="H4026" s="2" t="str">
        <f>IFERROR(__xludf.DUMMYFUNCTION("""COMPUTED_VALUE"""),"Staļina")</f>
        <v>Staļina</v>
      </c>
      <c r="I4026" s="2" t="str">
        <f>IFERROR(__xludf.DUMMYFUNCTION("""COMPUTED_VALUE"""),"Brick")</f>
        <v>Brick</v>
      </c>
      <c r="J4026" s="2" t="str">
        <f>IFERROR(__xludf.DUMMYFUNCTION("""COMPUTED_VALUE"""),"Partial amenities")</f>
        <v>Partial amenities</v>
      </c>
      <c r="K4026" s="2">
        <f>IFERROR(__xludf.DUMMYFUNCTION("""COMPUTED_VALUE"""),420.0)</f>
        <v>420</v>
      </c>
      <c r="L4026" s="2">
        <f>IFERROR(__xludf.DUMMYFUNCTION("""COMPUTED_VALUE"""),56.9507767)</f>
        <v>56.9507767</v>
      </c>
      <c r="M4026" s="2">
        <f>IFERROR(__xludf.DUMMYFUNCTION("""COMPUTED_VALUE"""),24.1332307)</f>
        <v>24.1332307</v>
      </c>
    </row>
    <row r="4027">
      <c r="A4027" s="2" t="str">
        <f>IFERROR(__xludf.DUMMYFUNCTION("""COMPUTED_VALUE"""),"For rent")</f>
        <v>For rent</v>
      </c>
      <c r="B4027" s="2" t="str">
        <f>IFERROR(__xludf.DUMMYFUNCTION("""COMPUTED_VALUE"""),"Bolderāja")</f>
        <v>Bolderāja</v>
      </c>
      <c r="C4027" s="2" t="str">
        <f>IFERROR(__xludf.DUMMYFUNCTION("""COMPUTED_VALUE"""),"Lielupes 1")</f>
        <v>Lielupes 1</v>
      </c>
      <c r="D4027" s="2">
        <f>IFERROR(__xludf.DUMMYFUNCTION("""COMPUTED_VALUE"""),1.0)</f>
        <v>1</v>
      </c>
      <c r="E4027" s="2">
        <f>IFERROR(__xludf.DUMMYFUNCTION("""COMPUTED_VALUE"""),28.0)</f>
        <v>28</v>
      </c>
      <c r="F4027" s="2">
        <f>IFERROR(__xludf.DUMMYFUNCTION("""COMPUTED_VALUE"""),1.0)</f>
        <v>1</v>
      </c>
      <c r="G4027" s="2">
        <f>IFERROR(__xludf.DUMMYFUNCTION("""COMPUTED_VALUE"""),5.0)</f>
        <v>5</v>
      </c>
      <c r="H4027" s="2" t="str">
        <f>IFERROR(__xludf.DUMMYFUNCTION("""COMPUTED_VALUE"""),"Hrušč.")</f>
        <v>Hrušč.</v>
      </c>
      <c r="I4027" s="2" t="str">
        <f>IFERROR(__xludf.DUMMYFUNCTION("""COMPUTED_VALUE"""),"Masonry")</f>
        <v>Masonry</v>
      </c>
      <c r="J4027" s="2" t="str">
        <f>IFERROR(__xludf.DUMMYFUNCTION("""COMPUTED_VALUE"""),"All amenities")</f>
        <v>All amenities</v>
      </c>
      <c r="K4027" s="2">
        <f>IFERROR(__xludf.DUMMYFUNCTION("""COMPUTED_VALUE"""),180.0)</f>
        <v>180</v>
      </c>
      <c r="L4027" s="2">
        <f>IFERROR(__xludf.DUMMYFUNCTION("""COMPUTED_VALUE"""),57.0386355)</f>
        <v>57.0386355</v>
      </c>
      <c r="M4027" s="2">
        <f>IFERROR(__xludf.DUMMYFUNCTION("""COMPUTED_VALUE"""),24.0464749)</f>
        <v>24.0464749</v>
      </c>
    </row>
    <row r="4028">
      <c r="A4028" s="2" t="str">
        <f>IFERROR(__xludf.DUMMYFUNCTION("""COMPUTED_VALUE"""),"For rent")</f>
        <v>For rent</v>
      </c>
      <c r="B4028" s="2" t="str">
        <f>IFERROR(__xludf.DUMMYFUNCTION("""COMPUTED_VALUE"""),"Āgenskalns")</f>
        <v>Āgenskalns</v>
      </c>
      <c r="C4028" s="2" t="str">
        <f>IFERROR(__xludf.DUMMYFUNCTION("""COMPUTED_VALUE"""),"Kuldīgas 37a")</f>
        <v>Kuldīgas 37a</v>
      </c>
      <c r="D4028" s="2">
        <f>IFERROR(__xludf.DUMMYFUNCTION("""COMPUTED_VALUE"""),3.0)</f>
        <v>3</v>
      </c>
      <c r="E4028" s="2">
        <f>IFERROR(__xludf.DUMMYFUNCTION("""COMPUTED_VALUE"""),79.0)</f>
        <v>79</v>
      </c>
      <c r="F4028" s="2">
        <f>IFERROR(__xludf.DUMMYFUNCTION("""COMPUTED_VALUE"""),4.0)</f>
        <v>4</v>
      </c>
      <c r="G4028" s="2">
        <f>IFERROR(__xludf.DUMMYFUNCTION("""COMPUTED_VALUE"""),5.0)</f>
        <v>5</v>
      </c>
      <c r="H4028" s="2" t="str">
        <f>IFERROR(__xludf.DUMMYFUNCTION("""COMPUTED_VALUE"""),"Jaun.")</f>
        <v>Jaun.</v>
      </c>
      <c r="I4028" s="2" t="str">
        <f>IFERROR(__xludf.DUMMYFUNCTION("""COMPUTED_VALUE"""),"Panel")</f>
        <v>Panel</v>
      </c>
      <c r="J4028" s="2" t="str">
        <f>IFERROR(__xludf.DUMMYFUNCTION("""COMPUTED_VALUE"""),"All amenities")</f>
        <v>All amenities</v>
      </c>
      <c r="K4028" s="2">
        <f>IFERROR(__xludf.DUMMYFUNCTION("""COMPUTED_VALUE"""),650.0)</f>
        <v>650</v>
      </c>
      <c r="L4028" s="2">
        <f>IFERROR(__xludf.DUMMYFUNCTION("""COMPUTED_VALUE"""),56.9468335)</f>
        <v>56.9468335</v>
      </c>
      <c r="M4028" s="2">
        <f>IFERROR(__xludf.DUMMYFUNCTION("""COMPUTED_VALUE"""),24.058019062427)</f>
        <v>24.05801906</v>
      </c>
    </row>
    <row r="4029">
      <c r="A4029" s="2" t="str">
        <f>IFERROR(__xludf.DUMMYFUNCTION("""COMPUTED_VALUE"""),"For rent")</f>
        <v>For rent</v>
      </c>
      <c r="B4029" s="2" t="str">
        <f>IFERROR(__xludf.DUMMYFUNCTION("""COMPUTED_VALUE"""),"Ziepniekkalns")</f>
        <v>Ziepniekkalns</v>
      </c>
      <c r="C4029" s="2" t="str">
        <f>IFERROR(__xludf.DUMMYFUNCTION("""COMPUTED_VALUE"""),"Ziepniekkalna 64")</f>
        <v>Ziepniekkalna 64</v>
      </c>
      <c r="D4029" s="2">
        <f>IFERROR(__xludf.DUMMYFUNCTION("""COMPUTED_VALUE"""),2.0)</f>
        <v>2</v>
      </c>
      <c r="E4029" s="2">
        <f>IFERROR(__xludf.DUMMYFUNCTION("""COMPUTED_VALUE"""),60.0)</f>
        <v>60</v>
      </c>
      <c r="F4029" s="2">
        <f>IFERROR(__xludf.DUMMYFUNCTION("""COMPUTED_VALUE"""),1.0)</f>
        <v>1</v>
      </c>
      <c r="G4029" s="2">
        <f>IFERROR(__xludf.DUMMYFUNCTION("""COMPUTED_VALUE"""),5.0)</f>
        <v>5</v>
      </c>
      <c r="H4029" s="2" t="str">
        <f>IFERROR(__xludf.DUMMYFUNCTION("""COMPUTED_VALUE"""),"Jaun.")</f>
        <v>Jaun.</v>
      </c>
      <c r="I4029" s="2" t="str">
        <f>IFERROR(__xludf.DUMMYFUNCTION("""COMPUTED_VALUE"""),"Masonry")</f>
        <v>Masonry</v>
      </c>
      <c r="J4029" s="2" t="str">
        <f>IFERROR(__xludf.DUMMYFUNCTION("""COMPUTED_VALUE"""),"All amenities")</f>
        <v>All amenities</v>
      </c>
      <c r="K4029" s="2">
        <f>IFERROR(__xludf.DUMMYFUNCTION("""COMPUTED_VALUE"""),390.0)</f>
        <v>390</v>
      </c>
      <c r="L4029" s="2">
        <f>IFERROR(__xludf.DUMMYFUNCTION("""COMPUTED_VALUE"""),56.8974581)</f>
        <v>56.8974581</v>
      </c>
      <c r="M4029" s="2">
        <f>IFERROR(__xludf.DUMMYFUNCTION("""COMPUTED_VALUE"""),24.1389382)</f>
        <v>24.1389382</v>
      </c>
    </row>
    <row r="4030">
      <c r="A4030" s="2" t="str">
        <f>IFERROR(__xludf.DUMMYFUNCTION("""COMPUTED_VALUE"""),"For rent")</f>
        <v>For rent</v>
      </c>
      <c r="B4030" s="2" t="str">
        <f>IFERROR(__xludf.DUMMYFUNCTION("""COMPUTED_VALUE"""),"Iļģuciems")</f>
        <v>Iļģuciems</v>
      </c>
      <c r="C4030" s="2" t="str">
        <f>IFERROR(__xludf.DUMMYFUNCTION("""COMPUTED_VALUE"""),"Spilves 35")</f>
        <v>Spilves 35</v>
      </c>
      <c r="D4030" s="2">
        <f>IFERROR(__xludf.DUMMYFUNCTION("""COMPUTED_VALUE"""),1.0)</f>
        <v>1</v>
      </c>
      <c r="E4030" s="2">
        <f>IFERROR(__xludf.DUMMYFUNCTION("""COMPUTED_VALUE"""),25.0)</f>
        <v>25</v>
      </c>
      <c r="F4030" s="2">
        <f>IFERROR(__xludf.DUMMYFUNCTION("""COMPUTED_VALUE"""),5.0)</f>
        <v>5</v>
      </c>
      <c r="G4030" s="2">
        <f>IFERROR(__xludf.DUMMYFUNCTION("""COMPUTED_VALUE"""),5.0)</f>
        <v>5</v>
      </c>
      <c r="H4030" s="2" t="str">
        <f>IFERROR(__xludf.DUMMYFUNCTION("""COMPUTED_VALUE"""),"LT proj.")</f>
        <v>LT proj.</v>
      </c>
      <c r="I4030" s="2" t="str">
        <f>IFERROR(__xludf.DUMMYFUNCTION("""COMPUTED_VALUE"""),"Panel")</f>
        <v>Panel</v>
      </c>
      <c r="J4030" s="2" t="str">
        <f>IFERROR(__xludf.DUMMYFUNCTION("""COMPUTED_VALUE"""),"All amenities")</f>
        <v>All amenities</v>
      </c>
      <c r="K4030" s="2">
        <f>IFERROR(__xludf.DUMMYFUNCTION("""COMPUTED_VALUE"""),235.0)</f>
        <v>235</v>
      </c>
      <c r="L4030" s="2">
        <f>IFERROR(__xludf.DUMMYFUNCTION("""COMPUTED_VALUE"""),56.9708679)</f>
        <v>56.9708679</v>
      </c>
      <c r="M4030" s="2">
        <f>IFERROR(__xludf.DUMMYFUNCTION("""COMPUTED_VALUE"""),24.050622445258)</f>
        <v>24.05062245</v>
      </c>
    </row>
    <row r="4031">
      <c r="A4031" s="2" t="str">
        <f>IFERROR(__xludf.DUMMYFUNCTION("""COMPUTED_VALUE"""),"For sale")</f>
        <v>For sale</v>
      </c>
      <c r="B4031" s="2" t="str">
        <f>IFERROR(__xludf.DUMMYFUNCTION("""COMPUTED_VALUE"""),"Sarkandaugava")</f>
        <v>Sarkandaugava</v>
      </c>
      <c r="C4031" s="2" t="str">
        <f>IFERROR(__xludf.DUMMYFUNCTION("""COMPUTED_VALUE"""),"Priežu 14")</f>
        <v>Priežu 14</v>
      </c>
      <c r="D4031" s="2">
        <f>IFERROR(__xludf.DUMMYFUNCTION("""COMPUTED_VALUE"""),2.0)</f>
        <v>2</v>
      </c>
      <c r="E4031" s="2">
        <f>IFERROR(__xludf.DUMMYFUNCTION("""COMPUTED_VALUE"""),37.0)</f>
        <v>37</v>
      </c>
      <c r="F4031" s="2">
        <f>IFERROR(__xludf.DUMMYFUNCTION("""COMPUTED_VALUE"""),1.0)</f>
        <v>1</v>
      </c>
      <c r="G4031" s="2">
        <f>IFERROR(__xludf.DUMMYFUNCTION("""COMPUTED_VALUE"""),2.0)</f>
        <v>2</v>
      </c>
      <c r="H4031" s="2" t="str">
        <f>IFERROR(__xludf.DUMMYFUNCTION("""COMPUTED_VALUE"""),"Specpr.")</f>
        <v>Specpr.</v>
      </c>
      <c r="I4031" s="2" t="str">
        <f>IFERROR(__xludf.DUMMYFUNCTION("""COMPUTED_VALUE"""),"Masonry")</f>
        <v>Masonry</v>
      </c>
      <c r="J4031" s="2" t="str">
        <f>IFERROR(__xludf.DUMMYFUNCTION("""COMPUTED_VALUE"""),"Partial amenities")</f>
        <v>Partial amenities</v>
      </c>
      <c r="K4031" s="2">
        <f>IFERROR(__xludf.DUMMYFUNCTION("""COMPUTED_VALUE"""),11800.0)</f>
        <v>11800</v>
      </c>
      <c r="L4031" s="2">
        <f>IFERROR(__xludf.DUMMYFUNCTION("""COMPUTED_VALUE"""),56.9931197)</f>
        <v>56.9931197</v>
      </c>
      <c r="M4031" s="2">
        <f>IFERROR(__xludf.DUMMYFUNCTION("""COMPUTED_VALUE"""),24.1279467)</f>
        <v>24.1279467</v>
      </c>
    </row>
    <row r="4032">
      <c r="A4032" s="2" t="str">
        <f>IFERROR(__xludf.DUMMYFUNCTION("""COMPUTED_VALUE"""),"For sale")</f>
        <v>For sale</v>
      </c>
      <c r="B4032" s="2" t="str">
        <f>IFERROR(__xludf.DUMMYFUNCTION("""COMPUTED_VALUE"""),"Mežciems")</f>
        <v>Mežciems</v>
      </c>
      <c r="C4032" s="2" t="str">
        <f>IFERROR(__xludf.DUMMYFUNCTION("""COMPUTED_VALUE"""),"Eizenšteina 45")</f>
        <v>Eizenšteina 45</v>
      </c>
      <c r="D4032" s="2">
        <f>IFERROR(__xludf.DUMMYFUNCTION("""COMPUTED_VALUE"""),4.0)</f>
        <v>4</v>
      </c>
      <c r="E4032" s="2">
        <f>IFERROR(__xludf.DUMMYFUNCTION("""COMPUTED_VALUE"""),73.0)</f>
        <v>73</v>
      </c>
      <c r="F4032" s="2">
        <f>IFERROR(__xludf.DUMMYFUNCTION("""COMPUTED_VALUE"""),2.0)</f>
        <v>2</v>
      </c>
      <c r="G4032" s="2">
        <f>IFERROR(__xludf.DUMMYFUNCTION("""COMPUTED_VALUE"""),9.0)</f>
        <v>9</v>
      </c>
      <c r="H4032" s="2">
        <f>IFERROR(__xludf.DUMMYFUNCTION("""COMPUTED_VALUE"""),602.0)</f>
        <v>602</v>
      </c>
      <c r="I4032" s="2" t="str">
        <f>IFERROR(__xludf.DUMMYFUNCTION("""COMPUTED_VALUE"""),"Panel")</f>
        <v>Panel</v>
      </c>
      <c r="J4032" s="2" t="str">
        <f>IFERROR(__xludf.DUMMYFUNCTION("""COMPUTED_VALUE"""),"Partial amenities")</f>
        <v>Partial amenities</v>
      </c>
      <c r="K4032" s="2">
        <f>IFERROR(__xludf.DUMMYFUNCTION("""COMPUTED_VALUE"""),75000.0)</f>
        <v>75000</v>
      </c>
      <c r="L4032" s="2">
        <f>IFERROR(__xludf.DUMMYFUNCTION("""COMPUTED_VALUE"""),56.96583145)</f>
        <v>56.96583145</v>
      </c>
      <c r="M4032" s="2">
        <f>IFERROR(__xludf.DUMMYFUNCTION("""COMPUTED_VALUE"""),24.2353354999999)</f>
        <v>24.2353355</v>
      </c>
    </row>
    <row r="4033">
      <c r="A4033" s="2" t="str">
        <f>IFERROR(__xludf.DUMMYFUNCTION("""COMPUTED_VALUE"""),"For rent")</f>
        <v>For rent</v>
      </c>
      <c r="B4033" s="2" t="str">
        <f>IFERROR(__xludf.DUMMYFUNCTION("""COMPUTED_VALUE"""),"Pļavnieki")</f>
        <v>Pļavnieki</v>
      </c>
      <c r="C4033" s="2" t="str">
        <f>IFERROR(__xludf.DUMMYFUNCTION("""COMPUTED_VALUE"""),"Ilūkstes 4")</f>
        <v>Ilūkstes 4</v>
      </c>
      <c r="D4033" s="2">
        <f>IFERROR(__xludf.DUMMYFUNCTION("""COMPUTED_VALUE"""),1.0)</f>
        <v>1</v>
      </c>
      <c r="E4033" s="2">
        <f>IFERROR(__xludf.DUMMYFUNCTION("""COMPUTED_VALUE"""),40.0)</f>
        <v>40</v>
      </c>
      <c r="F4033" s="2">
        <f>IFERROR(__xludf.DUMMYFUNCTION("""COMPUTED_VALUE"""),4.0)</f>
        <v>4</v>
      </c>
      <c r="G4033" s="2">
        <f>IFERROR(__xludf.DUMMYFUNCTION("""COMPUTED_VALUE"""),9.0)</f>
        <v>9</v>
      </c>
      <c r="H4033" s="2">
        <f>IFERROR(__xludf.DUMMYFUNCTION("""COMPUTED_VALUE"""),104.0)</f>
        <v>104</v>
      </c>
      <c r="I4033" s="2" t="str">
        <f>IFERROR(__xludf.DUMMYFUNCTION("""COMPUTED_VALUE"""),"Panel")</f>
        <v>Panel</v>
      </c>
      <c r="J4033" s="2" t="str">
        <f>IFERROR(__xludf.DUMMYFUNCTION("""COMPUTED_VALUE"""),"All amenities")</f>
        <v>All amenities</v>
      </c>
      <c r="K4033" s="2">
        <f>IFERROR(__xludf.DUMMYFUNCTION("""COMPUTED_VALUE"""),190.0)</f>
        <v>190</v>
      </c>
      <c r="L4033" s="2">
        <f>IFERROR(__xludf.DUMMYFUNCTION("""COMPUTED_VALUE"""),56.93391825)</f>
        <v>56.93391825</v>
      </c>
      <c r="M4033" s="2">
        <f>IFERROR(__xludf.DUMMYFUNCTION("""COMPUTED_VALUE"""),24.1961130586527)</f>
        <v>24.19611306</v>
      </c>
    </row>
    <row r="4034">
      <c r="A4034" s="2" t="str">
        <f>IFERROR(__xludf.DUMMYFUNCTION("""COMPUTED_VALUE"""),"For rent")</f>
        <v>For rent</v>
      </c>
      <c r="B4034" s="2" t="str">
        <f>IFERROR(__xludf.DUMMYFUNCTION("""COMPUTED_VALUE"""),"Pļavnieki")</f>
        <v>Pļavnieki</v>
      </c>
      <c r="C4034" s="2" t="str">
        <f>IFERROR(__xludf.DUMMYFUNCTION("""COMPUTED_VALUE"""),"J. Vācieša 10")</f>
        <v>J. Vācieša 10</v>
      </c>
      <c r="D4034" s="2">
        <f>IFERROR(__xludf.DUMMYFUNCTION("""COMPUTED_VALUE"""),2.0)</f>
        <v>2</v>
      </c>
      <c r="E4034" s="2">
        <f>IFERROR(__xludf.DUMMYFUNCTION("""COMPUTED_VALUE"""),51.0)</f>
        <v>51</v>
      </c>
      <c r="F4034" s="2">
        <f>IFERROR(__xludf.DUMMYFUNCTION("""COMPUTED_VALUE"""),5.0)</f>
        <v>5</v>
      </c>
      <c r="G4034" s="2">
        <f>IFERROR(__xludf.DUMMYFUNCTION("""COMPUTED_VALUE"""),9.0)</f>
        <v>9</v>
      </c>
      <c r="H4034" s="2">
        <f>IFERROR(__xludf.DUMMYFUNCTION("""COMPUTED_VALUE"""),602.0)</f>
        <v>602</v>
      </c>
      <c r="I4034" s="2" t="str">
        <f>IFERROR(__xludf.DUMMYFUNCTION("""COMPUTED_VALUE"""),"Panel")</f>
        <v>Panel</v>
      </c>
      <c r="J4034" s="2" t="str">
        <f>IFERROR(__xludf.DUMMYFUNCTION("""COMPUTED_VALUE"""),"All amenities")</f>
        <v>All amenities</v>
      </c>
      <c r="K4034" s="2">
        <f>IFERROR(__xludf.DUMMYFUNCTION("""COMPUTED_VALUE"""),300.0)</f>
        <v>300</v>
      </c>
      <c r="L4034" s="2" t="str">
        <f>IFERROR(__xludf.DUMMYFUNCTION("""COMPUTED_VALUE"""),"NaN")</f>
        <v>NaN</v>
      </c>
      <c r="M4034" s="2" t="str">
        <f>IFERROR(__xludf.DUMMYFUNCTION("""COMPUTED_VALUE"""),"NaN")</f>
        <v>NaN</v>
      </c>
    </row>
    <row r="4035">
      <c r="A4035" s="2" t="str">
        <f>IFERROR(__xludf.DUMMYFUNCTION("""COMPUTED_VALUE"""),"For rent")</f>
        <v>For rent</v>
      </c>
      <c r="B4035" s="2" t="str">
        <f>IFERROR(__xludf.DUMMYFUNCTION("""COMPUTED_VALUE"""),"Ziepniekkalns")</f>
        <v>Ziepniekkalns</v>
      </c>
      <c r="C4035" s="2" t="str">
        <f>IFERROR(__xludf.DUMMYFUNCTION("""COMPUTED_VALUE"""),"Valdeķu 60")</f>
        <v>Valdeķu 60</v>
      </c>
      <c r="D4035" s="2">
        <f>IFERROR(__xludf.DUMMYFUNCTION("""COMPUTED_VALUE"""),2.0)</f>
        <v>2</v>
      </c>
      <c r="E4035" s="2">
        <f>IFERROR(__xludf.DUMMYFUNCTION("""COMPUTED_VALUE"""),51.0)</f>
        <v>51</v>
      </c>
      <c r="F4035" s="2">
        <f>IFERROR(__xludf.DUMMYFUNCTION("""COMPUTED_VALUE"""),3.0)</f>
        <v>3</v>
      </c>
      <c r="G4035" s="2">
        <f>IFERROR(__xludf.DUMMYFUNCTION("""COMPUTED_VALUE"""),9.0)</f>
        <v>9</v>
      </c>
      <c r="H4035" s="2">
        <f>IFERROR(__xludf.DUMMYFUNCTION("""COMPUTED_VALUE"""),602.0)</f>
        <v>602</v>
      </c>
      <c r="I4035" s="2" t="str">
        <f>IFERROR(__xludf.DUMMYFUNCTION("""COMPUTED_VALUE"""),"Brick-Panel")</f>
        <v>Brick-Panel</v>
      </c>
      <c r="J4035" s="2" t="str">
        <f>IFERROR(__xludf.DUMMYFUNCTION("""COMPUTED_VALUE"""),"All amenities")</f>
        <v>All amenities</v>
      </c>
      <c r="K4035" s="2">
        <f>IFERROR(__xludf.DUMMYFUNCTION("""COMPUTED_VALUE"""),300.0)</f>
        <v>300</v>
      </c>
      <c r="L4035" s="2">
        <f>IFERROR(__xludf.DUMMYFUNCTION("""COMPUTED_VALUE"""),56.90156125)</f>
        <v>56.90156125</v>
      </c>
      <c r="M4035" s="2">
        <f>IFERROR(__xludf.DUMMYFUNCTION("""COMPUTED_VALUE"""),24.0954246452708)</f>
        <v>24.09542465</v>
      </c>
    </row>
    <row r="4036">
      <c r="A4036" s="2" t="str">
        <f>IFERROR(__xludf.DUMMYFUNCTION("""COMPUTED_VALUE"""),"For rent")</f>
        <v>For rent</v>
      </c>
      <c r="B4036" s="2" t="str">
        <f>IFERROR(__xludf.DUMMYFUNCTION("""COMPUTED_VALUE"""),"Šampēteris-Pleskodāle")</f>
        <v>Šampēteris-Pleskodāle</v>
      </c>
      <c r="C4036" s="2" t="str">
        <f>IFERROR(__xludf.DUMMYFUNCTION("""COMPUTED_VALUE"""),"Šampētera 42")</f>
        <v>Šampētera 42</v>
      </c>
      <c r="D4036" s="2">
        <f>IFERROR(__xludf.DUMMYFUNCTION("""COMPUTED_VALUE"""),2.0)</f>
        <v>2</v>
      </c>
      <c r="E4036" s="2">
        <f>IFERROR(__xludf.DUMMYFUNCTION("""COMPUTED_VALUE"""),40.0)</f>
        <v>40</v>
      </c>
      <c r="F4036" s="2">
        <f>IFERROR(__xludf.DUMMYFUNCTION("""COMPUTED_VALUE"""),1.0)</f>
        <v>1</v>
      </c>
      <c r="G4036" s="2">
        <f>IFERROR(__xludf.DUMMYFUNCTION("""COMPUTED_VALUE"""),2.0)</f>
        <v>2</v>
      </c>
      <c r="H4036" s="2" t="str">
        <f>IFERROR(__xludf.DUMMYFUNCTION("""COMPUTED_VALUE"""),"Renov.")</f>
        <v>Renov.</v>
      </c>
      <c r="I4036" s="2" t="str">
        <f>IFERROR(__xludf.DUMMYFUNCTION("""COMPUTED_VALUE"""),"Wood")</f>
        <v>Wood</v>
      </c>
      <c r="J4036" s="2" t="str">
        <f>IFERROR(__xludf.DUMMYFUNCTION("""COMPUTED_VALUE"""),"All amenities")</f>
        <v>All amenities</v>
      </c>
      <c r="K4036" s="2">
        <f>IFERROR(__xludf.DUMMYFUNCTION("""COMPUTED_VALUE"""),350.0)</f>
        <v>350</v>
      </c>
      <c r="L4036" s="2">
        <f>IFERROR(__xludf.DUMMYFUNCTION("""COMPUTED_VALUE"""),56.9395194)</f>
        <v>56.9395194</v>
      </c>
      <c r="M4036" s="2">
        <f>IFERROR(__xludf.DUMMYFUNCTION("""COMPUTED_VALUE"""),24.0305366989744)</f>
        <v>24.0305367</v>
      </c>
    </row>
    <row r="4037">
      <c r="A4037" s="2" t="str">
        <f>IFERROR(__xludf.DUMMYFUNCTION("""COMPUTED_VALUE"""),"For rent")</f>
        <v>For rent</v>
      </c>
      <c r="B4037" s="2" t="str">
        <f>IFERROR(__xludf.DUMMYFUNCTION("""COMPUTED_VALUE"""),"Krasta r-ns")</f>
        <v>Krasta r-ns</v>
      </c>
      <c r="C4037" s="2" t="str">
        <f>IFERROR(__xludf.DUMMYFUNCTION("""COMPUTED_VALUE"""),"Maskavas 218")</f>
        <v>Maskavas 218</v>
      </c>
      <c r="D4037" s="2">
        <f>IFERROR(__xludf.DUMMYFUNCTION("""COMPUTED_VALUE"""),2.0)</f>
        <v>2</v>
      </c>
      <c r="E4037" s="2">
        <f>IFERROR(__xludf.DUMMYFUNCTION("""COMPUTED_VALUE"""),50.0)</f>
        <v>50</v>
      </c>
      <c r="F4037" s="2">
        <f>IFERROR(__xludf.DUMMYFUNCTION("""COMPUTED_VALUE"""),7.0)</f>
        <v>7</v>
      </c>
      <c r="G4037" s="2">
        <f>IFERROR(__xludf.DUMMYFUNCTION("""COMPUTED_VALUE"""),9.0)</f>
        <v>9</v>
      </c>
      <c r="H4037" s="2">
        <f>IFERROR(__xludf.DUMMYFUNCTION("""COMPUTED_VALUE"""),467.0)</f>
        <v>467</v>
      </c>
      <c r="I4037" s="2" t="str">
        <f>IFERROR(__xludf.DUMMYFUNCTION("""COMPUTED_VALUE"""),"Panel")</f>
        <v>Panel</v>
      </c>
      <c r="J4037" s="2" t="str">
        <f>IFERROR(__xludf.DUMMYFUNCTION("""COMPUTED_VALUE"""),"All amenities")</f>
        <v>All amenities</v>
      </c>
      <c r="K4037" s="2">
        <f>IFERROR(__xludf.DUMMYFUNCTION("""COMPUTED_VALUE"""),350.0)</f>
        <v>350</v>
      </c>
      <c r="L4037" s="2">
        <f>IFERROR(__xludf.DUMMYFUNCTION("""COMPUTED_VALUE"""),56.9252257)</f>
        <v>56.9252257</v>
      </c>
      <c r="M4037" s="2">
        <f>IFERROR(__xludf.DUMMYFUNCTION("""COMPUTED_VALUE"""),24.1665526)</f>
        <v>24.1665526</v>
      </c>
    </row>
    <row r="4038">
      <c r="A4038" s="2" t="str">
        <f>IFERROR(__xludf.DUMMYFUNCTION("""COMPUTED_VALUE"""),"For rent")</f>
        <v>For rent</v>
      </c>
      <c r="B4038" s="2" t="str">
        <f>IFERROR(__xludf.DUMMYFUNCTION("""COMPUTED_VALUE"""),"centrs")</f>
        <v>centrs</v>
      </c>
      <c r="C4038" s="2" t="str">
        <f>IFERROR(__xludf.DUMMYFUNCTION("""COMPUTED_VALUE"""),"Vidus 4")</f>
        <v>Vidus 4</v>
      </c>
      <c r="D4038" s="2">
        <f>IFERROR(__xludf.DUMMYFUNCTION("""COMPUTED_VALUE"""),3.0)</f>
        <v>3</v>
      </c>
      <c r="E4038" s="2">
        <f>IFERROR(__xludf.DUMMYFUNCTION("""COMPUTED_VALUE"""),82.0)</f>
        <v>82</v>
      </c>
      <c r="F4038" s="2">
        <f>IFERROR(__xludf.DUMMYFUNCTION("""COMPUTED_VALUE"""),4.0)</f>
        <v>4</v>
      </c>
      <c r="G4038" s="2">
        <f>IFERROR(__xludf.DUMMYFUNCTION("""COMPUTED_VALUE"""),5.0)</f>
        <v>5</v>
      </c>
      <c r="H4038" s="2" t="str">
        <f>IFERROR(__xludf.DUMMYFUNCTION("""COMPUTED_VALUE"""),"P. kara")</f>
        <v>P. kara</v>
      </c>
      <c r="I4038" s="2" t="str">
        <f>IFERROR(__xludf.DUMMYFUNCTION("""COMPUTED_VALUE"""),"Brick")</f>
        <v>Brick</v>
      </c>
      <c r="J4038" s="2" t="str">
        <f>IFERROR(__xludf.DUMMYFUNCTION("""COMPUTED_VALUE"""),"All amenities")</f>
        <v>All amenities</v>
      </c>
      <c r="K4038" s="2">
        <f>IFERROR(__xludf.DUMMYFUNCTION("""COMPUTED_VALUE"""),1200.0)</f>
        <v>1200</v>
      </c>
      <c r="L4038" s="2">
        <f>IFERROR(__xludf.DUMMYFUNCTION("""COMPUTED_VALUE"""),56.96114435)</f>
        <v>56.96114435</v>
      </c>
      <c r="M4038" s="2">
        <f>IFERROR(__xludf.DUMMYFUNCTION("""COMPUTED_VALUE"""),24.1009612965706)</f>
        <v>24.1009613</v>
      </c>
    </row>
    <row r="4039">
      <c r="A4039" s="2" t="str">
        <f>IFERROR(__xludf.DUMMYFUNCTION("""COMPUTED_VALUE"""),"For rent")</f>
        <v>For rent</v>
      </c>
      <c r="B4039" s="2" t="str">
        <f>IFERROR(__xludf.DUMMYFUNCTION("""COMPUTED_VALUE"""),"Jaunciems")</f>
        <v>Jaunciems</v>
      </c>
      <c r="C4039" s="2" t="str">
        <f>IFERROR(__xludf.DUMMYFUNCTION("""COMPUTED_VALUE"""),"Jaunciema 5. šķ. l. 10b")</f>
        <v>Jaunciema 5. šķ. l. 10b</v>
      </c>
      <c r="D4039" s="2">
        <f>IFERROR(__xludf.DUMMYFUNCTION("""COMPUTED_VALUE"""),1.0)</f>
        <v>1</v>
      </c>
      <c r="E4039" s="2">
        <f>IFERROR(__xludf.DUMMYFUNCTION("""COMPUTED_VALUE"""),50.0)</f>
        <v>50</v>
      </c>
      <c r="F4039" s="2">
        <f>IFERROR(__xludf.DUMMYFUNCTION("""COMPUTED_VALUE"""),1.0)</f>
        <v>1</v>
      </c>
      <c r="G4039" s="2">
        <f>IFERROR(__xludf.DUMMYFUNCTION("""COMPUTED_VALUE"""),3.0)</f>
        <v>3</v>
      </c>
      <c r="H4039" s="2" t="str">
        <f>IFERROR(__xludf.DUMMYFUNCTION("""COMPUTED_VALUE"""),"Priv. m.")</f>
        <v>Priv. m.</v>
      </c>
      <c r="I4039" s="2" t="str">
        <f>IFERROR(__xludf.DUMMYFUNCTION("""COMPUTED_VALUE"""),"Masonry")</f>
        <v>Masonry</v>
      </c>
      <c r="J4039" s="2" t="str">
        <f>IFERROR(__xludf.DUMMYFUNCTION("""COMPUTED_VALUE"""),"All amenities")</f>
        <v>All amenities</v>
      </c>
      <c r="K4039" s="2">
        <f>IFERROR(__xludf.DUMMYFUNCTION("""COMPUTED_VALUE"""),200.0)</f>
        <v>200</v>
      </c>
      <c r="L4039" s="2" t="str">
        <f>IFERROR(__xludf.DUMMYFUNCTION("""COMPUTED_VALUE"""),"NaN")</f>
        <v>NaN</v>
      </c>
      <c r="M4039" s="2" t="str">
        <f>IFERROR(__xludf.DUMMYFUNCTION("""COMPUTED_VALUE"""),"NaN")</f>
        <v>NaN</v>
      </c>
    </row>
    <row r="4040">
      <c r="A4040" s="2" t="str">
        <f>IFERROR(__xludf.DUMMYFUNCTION("""COMPUTED_VALUE"""),"For sale")</f>
        <v>For sale</v>
      </c>
      <c r="B4040" s="2" t="str">
        <f>IFERROR(__xludf.DUMMYFUNCTION("""COMPUTED_VALUE"""),"centrs")</f>
        <v>centrs</v>
      </c>
      <c r="C4040" s="2" t="str">
        <f>IFERROR(__xludf.DUMMYFUNCTION("""COMPUTED_VALUE"""),"Tomsona 24")</f>
        <v>Tomsona 24</v>
      </c>
      <c r="D4040" s="2">
        <f>IFERROR(__xludf.DUMMYFUNCTION("""COMPUTED_VALUE"""),4.0)</f>
        <v>4</v>
      </c>
      <c r="E4040" s="2">
        <f>IFERROR(__xludf.DUMMYFUNCTION("""COMPUTED_VALUE"""),85.0)</f>
        <v>85</v>
      </c>
      <c r="F4040" s="2">
        <f>IFERROR(__xludf.DUMMYFUNCTION("""COMPUTED_VALUE"""),5.0)</f>
        <v>5</v>
      </c>
      <c r="G4040" s="2">
        <f>IFERROR(__xludf.DUMMYFUNCTION("""COMPUTED_VALUE"""),5.0)</f>
        <v>5</v>
      </c>
      <c r="H4040" s="2" t="str">
        <f>IFERROR(__xludf.DUMMYFUNCTION("""COMPUTED_VALUE"""),"Renov.")</f>
        <v>Renov.</v>
      </c>
      <c r="I4040" s="2" t="str">
        <f>IFERROR(__xludf.DUMMYFUNCTION("""COMPUTED_VALUE"""),"Brick-Panel")</f>
        <v>Brick-Panel</v>
      </c>
      <c r="J4040" s="2" t="str">
        <f>IFERROR(__xludf.DUMMYFUNCTION("""COMPUTED_VALUE"""),"All amenities")</f>
        <v>All amenities</v>
      </c>
      <c r="K4040" s="2">
        <f>IFERROR(__xludf.DUMMYFUNCTION("""COMPUTED_VALUE"""),167000.0)</f>
        <v>167000</v>
      </c>
      <c r="L4040" s="2">
        <f>IFERROR(__xludf.DUMMYFUNCTION("""COMPUTED_VALUE"""),56.9650989)</f>
        <v>56.9650989</v>
      </c>
      <c r="M4040" s="2">
        <f>IFERROR(__xludf.DUMMYFUNCTION("""COMPUTED_VALUE"""),24.1266973644299)</f>
        <v>24.12669736</v>
      </c>
    </row>
    <row r="4041">
      <c r="A4041" s="2" t="str">
        <f>IFERROR(__xludf.DUMMYFUNCTION("""COMPUTED_VALUE"""),"For sale")</f>
        <v>For sale</v>
      </c>
      <c r="B4041" s="2" t="str">
        <f>IFERROR(__xludf.DUMMYFUNCTION("""COMPUTED_VALUE"""),"Dzegužkalns")</f>
        <v>Dzegužkalns</v>
      </c>
      <c r="C4041" s="2" t="str">
        <f>IFERROR(__xludf.DUMMYFUNCTION("""COMPUTED_VALUE"""),"Daugavgrīvas 56")</f>
        <v>Daugavgrīvas 56</v>
      </c>
      <c r="D4041" s="2">
        <f>IFERROR(__xludf.DUMMYFUNCTION("""COMPUTED_VALUE"""),2.0)</f>
        <v>2</v>
      </c>
      <c r="E4041" s="2">
        <f>IFERROR(__xludf.DUMMYFUNCTION("""COMPUTED_VALUE"""),48.0)</f>
        <v>48</v>
      </c>
      <c r="F4041" s="2">
        <f>IFERROR(__xludf.DUMMYFUNCTION("""COMPUTED_VALUE"""),7.0)</f>
        <v>7</v>
      </c>
      <c r="G4041" s="2">
        <f>IFERROR(__xludf.DUMMYFUNCTION("""COMPUTED_VALUE"""),9.0)</f>
        <v>9</v>
      </c>
      <c r="H4041" s="2">
        <f>IFERROR(__xludf.DUMMYFUNCTION("""COMPUTED_VALUE"""),467.0)</f>
        <v>467</v>
      </c>
      <c r="I4041" s="2" t="str">
        <f>IFERROR(__xludf.DUMMYFUNCTION("""COMPUTED_VALUE"""),"Panel")</f>
        <v>Panel</v>
      </c>
      <c r="J4041" s="2" t="str">
        <f>IFERROR(__xludf.DUMMYFUNCTION("""COMPUTED_VALUE"""),"All amenities")</f>
        <v>All amenities</v>
      </c>
      <c r="K4041" s="2">
        <f>IFERROR(__xludf.DUMMYFUNCTION("""COMPUTED_VALUE"""),43500.0)</f>
        <v>43500</v>
      </c>
      <c r="L4041" s="2">
        <f>IFERROR(__xludf.DUMMYFUNCTION("""COMPUTED_VALUE"""),56.9556152)</f>
        <v>56.9556152</v>
      </c>
      <c r="M4041" s="2">
        <f>IFERROR(__xludf.DUMMYFUNCTION("""COMPUTED_VALUE"""),24.0691683057669)</f>
        <v>24.06916831</v>
      </c>
    </row>
    <row r="4042">
      <c r="A4042" s="2" t="str">
        <f>IFERROR(__xludf.DUMMYFUNCTION("""COMPUTED_VALUE"""),"For sale")</f>
        <v>For sale</v>
      </c>
      <c r="B4042" s="2" t="str">
        <f>IFERROR(__xludf.DUMMYFUNCTION("""COMPUTED_VALUE"""),"Grīziņkalns")</f>
        <v>Grīziņkalns</v>
      </c>
      <c r="C4042" s="2" t="str">
        <f>IFERROR(__xludf.DUMMYFUNCTION("""COMPUTED_VALUE"""),"Sapieru 3")</f>
        <v>Sapieru 3</v>
      </c>
      <c r="D4042" s="2">
        <f>IFERROR(__xludf.DUMMYFUNCTION("""COMPUTED_VALUE"""),1.0)</f>
        <v>1</v>
      </c>
      <c r="E4042" s="2">
        <f>IFERROR(__xludf.DUMMYFUNCTION("""COMPUTED_VALUE"""),30.0)</f>
        <v>30</v>
      </c>
      <c r="F4042" s="2">
        <f>IFERROR(__xludf.DUMMYFUNCTION("""COMPUTED_VALUE"""),1.0)</f>
        <v>1</v>
      </c>
      <c r="G4042" s="2">
        <f>IFERROR(__xludf.DUMMYFUNCTION("""COMPUTED_VALUE"""),5.0)</f>
        <v>5</v>
      </c>
      <c r="H4042" s="2" t="str">
        <f>IFERROR(__xludf.DUMMYFUNCTION("""COMPUTED_VALUE"""),"Jaun.")</f>
        <v>Jaun.</v>
      </c>
      <c r="I4042" s="2" t="str">
        <f>IFERROR(__xludf.DUMMYFUNCTION("""COMPUTED_VALUE"""),"Masonry")</f>
        <v>Masonry</v>
      </c>
      <c r="J4042" s="2" t="str">
        <f>IFERROR(__xludf.DUMMYFUNCTION("""COMPUTED_VALUE"""),"All amenities")</f>
        <v>All amenities</v>
      </c>
      <c r="K4042" s="2">
        <f>IFERROR(__xludf.DUMMYFUNCTION("""COMPUTED_VALUE"""),52000.0)</f>
        <v>52000</v>
      </c>
      <c r="L4042" s="2">
        <f>IFERROR(__xludf.DUMMYFUNCTION("""COMPUTED_VALUE"""),56.96328465)</f>
        <v>56.96328465</v>
      </c>
      <c r="M4042" s="2">
        <f>IFERROR(__xludf.DUMMYFUNCTION("""COMPUTED_VALUE"""),24.15279345)</f>
        <v>24.15279345</v>
      </c>
    </row>
    <row r="4043">
      <c r="A4043" s="2" t="str">
        <f>IFERROR(__xludf.DUMMYFUNCTION("""COMPUTED_VALUE"""),"For rent")</f>
        <v>For rent</v>
      </c>
      <c r="B4043" s="2" t="str">
        <f>IFERROR(__xludf.DUMMYFUNCTION("""COMPUTED_VALUE"""),"centrs")</f>
        <v>centrs</v>
      </c>
      <c r="C4043" s="2" t="str">
        <f>IFERROR(__xludf.DUMMYFUNCTION("""COMPUTED_VALUE"""),"Eksporta 8")</f>
        <v>Eksporta 8</v>
      </c>
      <c r="D4043" s="2">
        <f>IFERROR(__xludf.DUMMYFUNCTION("""COMPUTED_VALUE"""),5.0)</f>
        <v>5</v>
      </c>
      <c r="E4043" s="2">
        <f>IFERROR(__xludf.DUMMYFUNCTION("""COMPUTED_VALUE"""),150.0)</f>
        <v>150</v>
      </c>
      <c r="F4043" s="2">
        <f>IFERROR(__xludf.DUMMYFUNCTION("""COMPUTED_VALUE"""),1.0)</f>
        <v>1</v>
      </c>
      <c r="G4043" s="2">
        <f>IFERROR(__xludf.DUMMYFUNCTION("""COMPUTED_VALUE"""),2.0)</f>
        <v>2</v>
      </c>
      <c r="H4043" s="2" t="str">
        <f>IFERROR(__xludf.DUMMYFUNCTION("""COMPUTED_VALUE"""),"Jaun.")</f>
        <v>Jaun.</v>
      </c>
      <c r="I4043" s="2" t="str">
        <f>IFERROR(__xludf.DUMMYFUNCTION("""COMPUTED_VALUE"""),"Masonry")</f>
        <v>Masonry</v>
      </c>
      <c r="J4043" s="2" t="str">
        <f>IFERROR(__xludf.DUMMYFUNCTION("""COMPUTED_VALUE"""),"All amenities")</f>
        <v>All amenities</v>
      </c>
      <c r="K4043" s="2">
        <f>IFERROR(__xludf.DUMMYFUNCTION("""COMPUTED_VALUE"""),1700.0)</f>
        <v>1700</v>
      </c>
      <c r="L4043" s="2">
        <f>IFERROR(__xludf.DUMMYFUNCTION("""COMPUTED_VALUE"""),56.956763)</f>
        <v>56.956763</v>
      </c>
      <c r="M4043" s="2">
        <f>IFERROR(__xludf.DUMMYFUNCTION("""COMPUTED_VALUE"""),24.0954531)</f>
        <v>24.0954531</v>
      </c>
    </row>
    <row r="4044">
      <c r="A4044" s="2" t="str">
        <f>IFERROR(__xludf.DUMMYFUNCTION("""COMPUTED_VALUE"""),"For rent")</f>
        <v>For rent</v>
      </c>
      <c r="B4044" s="2" t="str">
        <f>IFERROR(__xludf.DUMMYFUNCTION("""COMPUTED_VALUE"""),"Purvciems")</f>
        <v>Purvciems</v>
      </c>
      <c r="C4044" s="2" t="str">
        <f>IFERROR(__xludf.DUMMYFUNCTION("""COMPUTED_VALUE"""),"Ķeguma 60")</f>
        <v>Ķeguma 60</v>
      </c>
      <c r="D4044" s="2">
        <f>IFERROR(__xludf.DUMMYFUNCTION("""COMPUTED_VALUE"""),1.0)</f>
        <v>1</v>
      </c>
      <c r="E4044" s="2">
        <f>IFERROR(__xludf.DUMMYFUNCTION("""COMPUTED_VALUE"""),40.0)</f>
        <v>40</v>
      </c>
      <c r="F4044" s="2">
        <f>IFERROR(__xludf.DUMMYFUNCTION("""COMPUTED_VALUE"""),3.0)</f>
        <v>3</v>
      </c>
      <c r="G4044" s="2">
        <f>IFERROR(__xludf.DUMMYFUNCTION("""COMPUTED_VALUE"""),5.0)</f>
        <v>5</v>
      </c>
      <c r="H4044" s="2" t="str">
        <f>IFERROR(__xludf.DUMMYFUNCTION("""COMPUTED_VALUE"""),"M. ģim.")</f>
        <v>M. ģim.</v>
      </c>
      <c r="I4044" s="2" t="str">
        <f>IFERROR(__xludf.DUMMYFUNCTION("""COMPUTED_VALUE"""),"Panel")</f>
        <v>Panel</v>
      </c>
      <c r="J4044" s="2" t="str">
        <f>IFERROR(__xludf.DUMMYFUNCTION("""COMPUTED_VALUE"""),"All amenities")</f>
        <v>All amenities</v>
      </c>
      <c r="K4044" s="2">
        <f>IFERROR(__xludf.DUMMYFUNCTION("""COMPUTED_VALUE"""),220.0)</f>
        <v>220</v>
      </c>
      <c r="L4044" s="2">
        <f>IFERROR(__xludf.DUMMYFUNCTION("""COMPUTED_VALUE"""),56.964717)</f>
        <v>56.964717</v>
      </c>
      <c r="M4044" s="2">
        <f>IFERROR(__xludf.DUMMYFUNCTION("""COMPUTED_VALUE"""),24.1962984488949)</f>
        <v>24.19629845</v>
      </c>
    </row>
    <row r="4045">
      <c r="A4045" s="2" t="str">
        <f>IFERROR(__xludf.DUMMYFUNCTION("""COMPUTED_VALUE"""),"For sale")</f>
        <v>For sale</v>
      </c>
      <c r="B4045" s="2" t="str">
        <f>IFERROR(__xludf.DUMMYFUNCTION("""COMPUTED_VALUE"""),"Purvciems")</f>
        <v>Purvciems</v>
      </c>
      <c r="C4045" s="2" t="str">
        <f>IFERROR(__xludf.DUMMYFUNCTION("""COMPUTED_VALUE"""),"Pūces 51")</f>
        <v>Pūces 51</v>
      </c>
      <c r="D4045" s="2">
        <f>IFERROR(__xludf.DUMMYFUNCTION("""COMPUTED_VALUE"""),3.0)</f>
        <v>3</v>
      </c>
      <c r="E4045" s="2">
        <f>IFERROR(__xludf.DUMMYFUNCTION("""COMPUTED_VALUE"""),63.0)</f>
        <v>63</v>
      </c>
      <c r="F4045" s="2">
        <f>IFERROR(__xludf.DUMMYFUNCTION("""COMPUTED_VALUE"""),6.0)</f>
        <v>6</v>
      </c>
      <c r="G4045" s="2">
        <f>IFERROR(__xludf.DUMMYFUNCTION("""COMPUTED_VALUE"""),9.0)</f>
        <v>9</v>
      </c>
      <c r="H4045" s="2">
        <f>IFERROR(__xludf.DUMMYFUNCTION("""COMPUTED_VALUE"""),602.0)</f>
        <v>602</v>
      </c>
      <c r="I4045" s="2" t="str">
        <f>IFERROR(__xludf.DUMMYFUNCTION("""COMPUTED_VALUE"""),"Panel")</f>
        <v>Panel</v>
      </c>
      <c r="J4045" s="2" t="str">
        <f>IFERROR(__xludf.DUMMYFUNCTION("""COMPUTED_VALUE"""),"All amenities")</f>
        <v>All amenities</v>
      </c>
      <c r="K4045" s="2">
        <f>IFERROR(__xludf.DUMMYFUNCTION("""COMPUTED_VALUE"""),65000.0)</f>
        <v>65000</v>
      </c>
      <c r="L4045" s="2">
        <f>IFERROR(__xludf.DUMMYFUNCTION("""COMPUTED_VALUE"""),56.95350215)</f>
        <v>56.95350215</v>
      </c>
      <c r="M4045" s="2">
        <f>IFERROR(__xludf.DUMMYFUNCTION("""COMPUTED_VALUE"""),24.192131770328)</f>
        <v>24.19213177</v>
      </c>
    </row>
    <row r="4046">
      <c r="A4046" s="2" t="str">
        <f>IFERROR(__xludf.DUMMYFUNCTION("""COMPUTED_VALUE"""),"For rent")</f>
        <v>For rent</v>
      </c>
      <c r="B4046" s="2" t="str">
        <f>IFERROR(__xludf.DUMMYFUNCTION("""COMPUTED_VALUE"""),"centrs")</f>
        <v>centrs</v>
      </c>
      <c r="C4046" s="2" t="str">
        <f>IFERROR(__xludf.DUMMYFUNCTION("""COMPUTED_VALUE"""),"Valdemāra 147/3")</f>
        <v>Valdemāra 147/3</v>
      </c>
      <c r="D4046" s="2">
        <f>IFERROR(__xludf.DUMMYFUNCTION("""COMPUTED_VALUE"""),2.0)</f>
        <v>2</v>
      </c>
      <c r="E4046" s="2">
        <f>IFERROR(__xludf.DUMMYFUNCTION("""COMPUTED_VALUE"""),54.0)</f>
        <v>54</v>
      </c>
      <c r="F4046" s="2">
        <f>IFERROR(__xludf.DUMMYFUNCTION("""COMPUTED_VALUE"""),2.0)</f>
        <v>2</v>
      </c>
      <c r="G4046" s="2">
        <f>IFERROR(__xludf.DUMMYFUNCTION("""COMPUTED_VALUE"""),5.0)</f>
        <v>5</v>
      </c>
      <c r="H4046" s="2" t="str">
        <f>IFERROR(__xludf.DUMMYFUNCTION("""COMPUTED_VALUE"""),"Specpr.")</f>
        <v>Specpr.</v>
      </c>
      <c r="I4046" s="2" t="str">
        <f>IFERROR(__xludf.DUMMYFUNCTION("""COMPUTED_VALUE"""),"Brick")</f>
        <v>Brick</v>
      </c>
      <c r="J4046" s="2" t="str">
        <f>IFERROR(__xludf.DUMMYFUNCTION("""COMPUTED_VALUE"""),"All amenities")</f>
        <v>All amenities</v>
      </c>
      <c r="K4046" s="2">
        <f>IFERROR(__xludf.DUMMYFUNCTION("""COMPUTED_VALUE"""),330.0)</f>
        <v>330</v>
      </c>
      <c r="L4046" s="2">
        <f>IFERROR(__xludf.DUMMYFUNCTION("""COMPUTED_VALUE"""),56.948395)</f>
        <v>56.948395</v>
      </c>
      <c r="M4046" s="2">
        <f>IFERROR(__xludf.DUMMYFUNCTION("""COMPUTED_VALUE"""),24.0806499)</f>
        <v>24.0806499</v>
      </c>
    </row>
    <row r="4047">
      <c r="A4047" s="2" t="str">
        <f>IFERROR(__xludf.DUMMYFUNCTION("""COMPUTED_VALUE"""),"For rent")</f>
        <v>For rent</v>
      </c>
      <c r="B4047" s="2" t="str">
        <f>IFERROR(__xludf.DUMMYFUNCTION("""COMPUTED_VALUE"""),"centrs")</f>
        <v>centrs</v>
      </c>
      <c r="C4047" s="2" t="str">
        <f>IFERROR(__xludf.DUMMYFUNCTION("""COMPUTED_VALUE"""),"Barona 82a")</f>
        <v>Barona 82a</v>
      </c>
      <c r="D4047" s="2">
        <f>IFERROR(__xludf.DUMMYFUNCTION("""COMPUTED_VALUE"""),1.0)</f>
        <v>1</v>
      </c>
      <c r="E4047" s="2">
        <f>IFERROR(__xludf.DUMMYFUNCTION("""COMPUTED_VALUE"""),23.0)</f>
        <v>23</v>
      </c>
      <c r="F4047" s="2">
        <f>IFERROR(__xludf.DUMMYFUNCTION("""COMPUTED_VALUE"""),1.0)</f>
        <v>1</v>
      </c>
      <c r="G4047" s="2">
        <f>IFERROR(__xludf.DUMMYFUNCTION("""COMPUTED_VALUE"""),2.0)</f>
        <v>2</v>
      </c>
      <c r="H4047" s="2" t="str">
        <f>IFERROR(__xludf.DUMMYFUNCTION("""COMPUTED_VALUE"""),"Staļina")</f>
        <v>Staļina</v>
      </c>
      <c r="I4047" s="2" t="str">
        <f>IFERROR(__xludf.DUMMYFUNCTION("""COMPUTED_VALUE"""),"Masonry")</f>
        <v>Masonry</v>
      </c>
      <c r="J4047" s="2" t="str">
        <f>IFERROR(__xludf.DUMMYFUNCTION("""COMPUTED_VALUE"""),"All amenities")</f>
        <v>All amenities</v>
      </c>
      <c r="K4047" s="2">
        <f>IFERROR(__xludf.DUMMYFUNCTION("""COMPUTED_VALUE"""),250.0)</f>
        <v>250</v>
      </c>
      <c r="L4047" s="2">
        <f>IFERROR(__xludf.DUMMYFUNCTION("""COMPUTED_VALUE"""),56.9667799)</f>
        <v>56.9667799</v>
      </c>
      <c r="M4047" s="2">
        <f>IFERROR(__xludf.DUMMYFUNCTION("""COMPUTED_VALUE"""),24.150157)</f>
        <v>24.150157</v>
      </c>
    </row>
    <row r="4048">
      <c r="A4048" s="2" t="str">
        <f>IFERROR(__xludf.DUMMYFUNCTION("""COMPUTED_VALUE"""),"For sale")</f>
        <v>For sale</v>
      </c>
      <c r="B4048" s="2" t="str">
        <f>IFERROR(__xludf.DUMMYFUNCTION("""COMPUTED_VALUE"""),"Ķengarags")</f>
        <v>Ķengarags</v>
      </c>
      <c r="C4048" s="2" t="str">
        <f>IFERROR(__xludf.DUMMYFUNCTION("""COMPUTED_VALUE"""),"Maskavas 423")</f>
        <v>Maskavas 423</v>
      </c>
      <c r="D4048" s="2">
        <f>IFERROR(__xludf.DUMMYFUNCTION("""COMPUTED_VALUE"""),3.0)</f>
        <v>3</v>
      </c>
      <c r="E4048" s="2">
        <f>IFERROR(__xludf.DUMMYFUNCTION("""COMPUTED_VALUE"""),63.0)</f>
        <v>63</v>
      </c>
      <c r="F4048" s="2">
        <f>IFERROR(__xludf.DUMMYFUNCTION("""COMPUTED_VALUE"""),5.0)</f>
        <v>5</v>
      </c>
      <c r="G4048" s="2">
        <f>IFERROR(__xludf.DUMMYFUNCTION("""COMPUTED_VALUE"""),5.0)</f>
        <v>5</v>
      </c>
      <c r="H4048" s="2" t="str">
        <f>IFERROR(__xludf.DUMMYFUNCTION("""COMPUTED_VALUE"""),"LT proj.")</f>
        <v>LT proj.</v>
      </c>
      <c r="I4048" s="2" t="str">
        <f>IFERROR(__xludf.DUMMYFUNCTION("""COMPUTED_VALUE"""),"Panel")</f>
        <v>Panel</v>
      </c>
      <c r="J4048" s="2" t="str">
        <f>IFERROR(__xludf.DUMMYFUNCTION("""COMPUTED_VALUE"""),"All amenities")</f>
        <v>All amenities</v>
      </c>
      <c r="K4048" s="2">
        <f>IFERROR(__xludf.DUMMYFUNCTION("""COMPUTED_VALUE"""),55000.0)</f>
        <v>55000</v>
      </c>
      <c r="L4048" s="2">
        <f>IFERROR(__xludf.DUMMYFUNCTION("""COMPUTED_VALUE"""),56.8597884)</f>
        <v>56.8597884</v>
      </c>
      <c r="M4048" s="2">
        <f>IFERROR(__xludf.DUMMYFUNCTION("""COMPUTED_VALUE"""),24.3083417)</f>
        <v>24.3083417</v>
      </c>
    </row>
    <row r="4049">
      <c r="A4049" s="2" t="str">
        <f>IFERROR(__xludf.DUMMYFUNCTION("""COMPUTED_VALUE"""),"For sale")</f>
        <v>For sale</v>
      </c>
      <c r="B4049" s="2" t="str">
        <f>IFERROR(__xludf.DUMMYFUNCTION("""COMPUTED_VALUE"""),"Imanta")</f>
        <v>Imanta</v>
      </c>
      <c r="C4049" s="2" t="str">
        <f>IFERROR(__xludf.DUMMYFUNCTION("""COMPUTED_VALUE"""),"Anniņmuižas bulvāris 43")</f>
        <v>Anniņmuižas bulvāris 43</v>
      </c>
      <c r="D4049" s="2">
        <f>IFERROR(__xludf.DUMMYFUNCTION("""COMPUTED_VALUE"""),3.0)</f>
        <v>3</v>
      </c>
      <c r="E4049" s="2">
        <f>IFERROR(__xludf.DUMMYFUNCTION("""COMPUTED_VALUE"""),110.0)</f>
        <v>110</v>
      </c>
      <c r="F4049" s="2">
        <f>IFERROR(__xludf.DUMMYFUNCTION("""COMPUTED_VALUE"""),21.0)</f>
        <v>21</v>
      </c>
      <c r="G4049" s="2">
        <f>IFERROR(__xludf.DUMMYFUNCTION("""COMPUTED_VALUE"""),24.0)</f>
        <v>24</v>
      </c>
      <c r="H4049" s="2" t="str">
        <f>IFERROR(__xludf.DUMMYFUNCTION("""COMPUTED_VALUE"""),"Jaun.")</f>
        <v>Jaun.</v>
      </c>
      <c r="I4049" s="2" t="str">
        <f>IFERROR(__xludf.DUMMYFUNCTION("""COMPUTED_VALUE"""),"Panel")</f>
        <v>Panel</v>
      </c>
      <c r="J4049" s="2" t="str">
        <f>IFERROR(__xludf.DUMMYFUNCTION("""COMPUTED_VALUE"""),"All amenities")</f>
        <v>All amenities</v>
      </c>
      <c r="K4049" s="2">
        <f>IFERROR(__xludf.DUMMYFUNCTION("""COMPUTED_VALUE"""),147000.0)</f>
        <v>147000</v>
      </c>
      <c r="L4049" s="2">
        <f>IFERROR(__xludf.DUMMYFUNCTION("""COMPUTED_VALUE"""),56.9590306)</f>
        <v>56.9590306</v>
      </c>
      <c r="M4049" s="2">
        <f>IFERROR(__xludf.DUMMYFUNCTION("""COMPUTED_VALUE"""),24.013887042853)</f>
        <v>24.01388704</v>
      </c>
    </row>
    <row r="4050">
      <c r="A4050" s="2" t="str">
        <f>IFERROR(__xludf.DUMMYFUNCTION("""COMPUTED_VALUE"""),"For sale")</f>
        <v>For sale</v>
      </c>
      <c r="B4050" s="2" t="str">
        <f>IFERROR(__xludf.DUMMYFUNCTION("""COMPUTED_VALUE"""),"centrs")</f>
        <v>centrs</v>
      </c>
      <c r="C4050" s="2" t="str">
        <f>IFERROR(__xludf.DUMMYFUNCTION("""COMPUTED_VALUE"""),"Kalniņa 1")</f>
        <v>Kalniņa 1</v>
      </c>
      <c r="D4050" s="2">
        <f>IFERROR(__xludf.DUMMYFUNCTION("""COMPUTED_VALUE"""),1.0)</f>
        <v>1</v>
      </c>
      <c r="E4050" s="2">
        <f>IFERROR(__xludf.DUMMYFUNCTION("""COMPUTED_VALUE"""),25.0)</f>
        <v>25</v>
      </c>
      <c r="F4050" s="2">
        <f>IFERROR(__xludf.DUMMYFUNCTION("""COMPUTED_VALUE"""),4.0)</f>
        <v>4</v>
      </c>
      <c r="G4050" s="2">
        <f>IFERROR(__xludf.DUMMYFUNCTION("""COMPUTED_VALUE"""),5.0)</f>
        <v>5</v>
      </c>
      <c r="H4050" s="2" t="str">
        <f>IFERROR(__xludf.DUMMYFUNCTION("""COMPUTED_VALUE"""),"Renov.")</f>
        <v>Renov.</v>
      </c>
      <c r="I4050" s="2" t="str">
        <f>IFERROR(__xludf.DUMMYFUNCTION("""COMPUTED_VALUE"""),"Masonry")</f>
        <v>Masonry</v>
      </c>
      <c r="J4050" s="2" t="str">
        <f>IFERROR(__xludf.DUMMYFUNCTION("""COMPUTED_VALUE"""),"All amenities")</f>
        <v>All amenities</v>
      </c>
      <c r="K4050" s="2">
        <f>IFERROR(__xludf.DUMMYFUNCTION("""COMPUTED_VALUE"""),56990.0)</f>
        <v>56990</v>
      </c>
      <c r="L4050" s="2">
        <f>IFERROR(__xludf.DUMMYFUNCTION("""COMPUTED_VALUE"""),56.949246)</f>
        <v>56.949246</v>
      </c>
      <c r="M4050" s="2">
        <f>IFERROR(__xludf.DUMMYFUNCTION("""COMPUTED_VALUE"""),24.1208219161591)</f>
        <v>24.12082192</v>
      </c>
    </row>
    <row r="4051">
      <c r="A4051" s="2" t="str">
        <f>IFERROR(__xludf.DUMMYFUNCTION("""COMPUTED_VALUE"""),"For rent")</f>
        <v>For rent</v>
      </c>
      <c r="B4051" s="2" t="str">
        <f>IFERROR(__xludf.DUMMYFUNCTION("""COMPUTED_VALUE"""),"Purvciems")</f>
        <v>Purvciems</v>
      </c>
      <c r="C4051" s="2" t="str">
        <f>IFERROR(__xludf.DUMMYFUNCTION("""COMPUTED_VALUE"""),"Dzelzavas 38")</f>
        <v>Dzelzavas 38</v>
      </c>
      <c r="D4051" s="2">
        <f>IFERROR(__xludf.DUMMYFUNCTION("""COMPUTED_VALUE"""),2.0)</f>
        <v>2</v>
      </c>
      <c r="E4051" s="2">
        <f>IFERROR(__xludf.DUMMYFUNCTION("""COMPUTED_VALUE"""),57.0)</f>
        <v>57</v>
      </c>
      <c r="F4051" s="2">
        <f>IFERROR(__xludf.DUMMYFUNCTION("""COMPUTED_VALUE"""),12.0)</f>
        <v>12</v>
      </c>
      <c r="G4051" s="2">
        <f>IFERROR(__xludf.DUMMYFUNCTION("""COMPUTED_VALUE"""),12.0)</f>
        <v>12</v>
      </c>
      <c r="H4051" s="2">
        <f>IFERROR(__xludf.DUMMYFUNCTION("""COMPUTED_VALUE"""),104.0)</f>
        <v>104</v>
      </c>
      <c r="I4051" s="2" t="str">
        <f>IFERROR(__xludf.DUMMYFUNCTION("""COMPUTED_VALUE"""),"Panel")</f>
        <v>Panel</v>
      </c>
      <c r="J4051" s="2" t="str">
        <f>IFERROR(__xludf.DUMMYFUNCTION("""COMPUTED_VALUE"""),"All amenities")</f>
        <v>All amenities</v>
      </c>
      <c r="K4051" s="2">
        <f>IFERROR(__xludf.DUMMYFUNCTION("""COMPUTED_VALUE"""),35.0)</f>
        <v>35</v>
      </c>
      <c r="L4051" s="2">
        <f>IFERROR(__xludf.DUMMYFUNCTION("""COMPUTED_VALUE"""),56.9583699)</f>
        <v>56.9583699</v>
      </c>
      <c r="M4051" s="2">
        <f>IFERROR(__xludf.DUMMYFUNCTION("""COMPUTED_VALUE"""),24.1789809)</f>
        <v>24.1789809</v>
      </c>
    </row>
    <row r="4052">
      <c r="A4052" s="2" t="str">
        <f>IFERROR(__xludf.DUMMYFUNCTION("""COMPUTED_VALUE"""),"For sale")</f>
        <v>For sale</v>
      </c>
      <c r="B4052" s="2" t="str">
        <f>IFERROR(__xludf.DUMMYFUNCTION("""COMPUTED_VALUE"""),"centrs")</f>
        <v>centrs</v>
      </c>
      <c r="C4052" s="2" t="str">
        <f>IFERROR(__xludf.DUMMYFUNCTION("""COMPUTED_VALUE"""),"Kalniņa 1")</f>
        <v>Kalniņa 1</v>
      </c>
      <c r="D4052" s="2">
        <f>IFERROR(__xludf.DUMMYFUNCTION("""COMPUTED_VALUE"""),2.0)</f>
        <v>2</v>
      </c>
      <c r="E4052" s="2">
        <f>IFERROR(__xludf.DUMMYFUNCTION("""COMPUTED_VALUE"""),29.0)</f>
        <v>29</v>
      </c>
      <c r="F4052" s="2">
        <f>IFERROR(__xludf.DUMMYFUNCTION("""COMPUTED_VALUE"""),4.0)</f>
        <v>4</v>
      </c>
      <c r="G4052" s="2">
        <f>IFERROR(__xludf.DUMMYFUNCTION("""COMPUTED_VALUE"""),5.0)</f>
        <v>5</v>
      </c>
      <c r="H4052" s="2" t="str">
        <f>IFERROR(__xludf.DUMMYFUNCTION("""COMPUTED_VALUE"""),"Renov.")</f>
        <v>Renov.</v>
      </c>
      <c r="I4052" s="2" t="str">
        <f>IFERROR(__xludf.DUMMYFUNCTION("""COMPUTED_VALUE"""),"Masonry")</f>
        <v>Masonry</v>
      </c>
      <c r="J4052" s="2" t="str">
        <f>IFERROR(__xludf.DUMMYFUNCTION("""COMPUTED_VALUE"""),"All amenities")</f>
        <v>All amenities</v>
      </c>
      <c r="K4052" s="2">
        <f>IFERROR(__xludf.DUMMYFUNCTION("""COMPUTED_VALUE"""),66990.0)</f>
        <v>66990</v>
      </c>
      <c r="L4052" s="2">
        <f>IFERROR(__xludf.DUMMYFUNCTION("""COMPUTED_VALUE"""),56.949246)</f>
        <v>56.949246</v>
      </c>
      <c r="M4052" s="2">
        <f>IFERROR(__xludf.DUMMYFUNCTION("""COMPUTED_VALUE"""),24.1208219161591)</f>
        <v>24.12082192</v>
      </c>
    </row>
    <row r="4053">
      <c r="A4053" s="2" t="str">
        <f>IFERROR(__xludf.DUMMYFUNCTION("""COMPUTED_VALUE"""),"For rent")</f>
        <v>For rent</v>
      </c>
      <c r="B4053" s="2" t="str">
        <f>IFERROR(__xludf.DUMMYFUNCTION("""COMPUTED_VALUE"""),"Zolitūde")</f>
        <v>Zolitūde</v>
      </c>
      <c r="C4053" s="2" t="str">
        <f>IFERROR(__xludf.DUMMYFUNCTION("""COMPUTED_VALUE"""),"Liedes 2")</f>
        <v>Liedes 2</v>
      </c>
      <c r="D4053" s="2">
        <f>IFERROR(__xludf.DUMMYFUNCTION("""COMPUTED_VALUE"""),2.0)</f>
        <v>2</v>
      </c>
      <c r="E4053" s="2">
        <f>IFERROR(__xludf.DUMMYFUNCTION("""COMPUTED_VALUE"""),63.0)</f>
        <v>63</v>
      </c>
      <c r="F4053" s="2">
        <f>IFERROR(__xludf.DUMMYFUNCTION("""COMPUTED_VALUE"""),1.0)</f>
        <v>1</v>
      </c>
      <c r="G4053" s="2">
        <f>IFERROR(__xludf.DUMMYFUNCTION("""COMPUTED_VALUE"""),4.0)</f>
        <v>4</v>
      </c>
      <c r="H4053" s="2" t="str">
        <f>IFERROR(__xludf.DUMMYFUNCTION("""COMPUTED_VALUE"""),"Jaun.")</f>
        <v>Jaun.</v>
      </c>
      <c r="I4053" s="2" t="str">
        <f>IFERROR(__xludf.DUMMYFUNCTION("""COMPUTED_VALUE"""),"Panel")</f>
        <v>Panel</v>
      </c>
      <c r="J4053" s="2" t="str">
        <f>IFERROR(__xludf.DUMMYFUNCTION("""COMPUTED_VALUE"""),"All amenities")</f>
        <v>All amenities</v>
      </c>
      <c r="K4053" s="2">
        <f>IFERROR(__xludf.DUMMYFUNCTION("""COMPUTED_VALUE"""),460.0)</f>
        <v>460</v>
      </c>
      <c r="L4053" s="2">
        <f>IFERROR(__xludf.DUMMYFUNCTION("""COMPUTED_VALUE"""),56.9444663)</f>
        <v>56.9444663</v>
      </c>
      <c r="M4053" s="2">
        <f>IFERROR(__xludf.DUMMYFUNCTION("""COMPUTED_VALUE"""),24.0255760461784)</f>
        <v>24.02557605</v>
      </c>
    </row>
    <row r="4054">
      <c r="A4054" s="2" t="str">
        <f>IFERROR(__xludf.DUMMYFUNCTION("""COMPUTED_VALUE"""),"For rent")</f>
        <v>For rent</v>
      </c>
      <c r="B4054" s="2" t="str">
        <f>IFERROR(__xludf.DUMMYFUNCTION("""COMPUTED_VALUE"""),"Zolitūde")</f>
        <v>Zolitūde</v>
      </c>
      <c r="C4054" s="2" t="str">
        <f>IFERROR(__xludf.DUMMYFUNCTION("""COMPUTED_VALUE"""),"Ruses 3")</f>
        <v>Ruses 3</v>
      </c>
      <c r="D4054" s="2">
        <f>IFERROR(__xludf.DUMMYFUNCTION("""COMPUTED_VALUE"""),1.0)</f>
        <v>1</v>
      </c>
      <c r="E4054" s="2">
        <f>IFERROR(__xludf.DUMMYFUNCTION("""COMPUTED_VALUE"""),42.0)</f>
        <v>42</v>
      </c>
      <c r="F4054" s="2">
        <f>IFERROR(__xludf.DUMMYFUNCTION("""COMPUTED_VALUE"""),5.0)</f>
        <v>5</v>
      </c>
      <c r="G4054" s="2">
        <f>IFERROR(__xludf.DUMMYFUNCTION("""COMPUTED_VALUE"""),9.0)</f>
        <v>9</v>
      </c>
      <c r="H4054" s="2">
        <f>IFERROR(__xludf.DUMMYFUNCTION("""COMPUTED_VALUE"""),119.0)</f>
        <v>119</v>
      </c>
      <c r="I4054" s="2" t="str">
        <f>IFERROR(__xludf.DUMMYFUNCTION("""COMPUTED_VALUE"""),"Panel")</f>
        <v>Panel</v>
      </c>
      <c r="J4054" s="2" t="str">
        <f>IFERROR(__xludf.DUMMYFUNCTION("""COMPUTED_VALUE"""),"All amenities")</f>
        <v>All amenities</v>
      </c>
      <c r="K4054" s="2">
        <f>IFERROR(__xludf.DUMMYFUNCTION("""COMPUTED_VALUE"""),210.0)</f>
        <v>210</v>
      </c>
      <c r="L4054" s="2">
        <f>IFERROR(__xludf.DUMMYFUNCTION("""COMPUTED_VALUE"""),56.9484028)</f>
        <v>56.9484028</v>
      </c>
      <c r="M4054" s="2">
        <f>IFERROR(__xludf.DUMMYFUNCTION("""COMPUTED_VALUE"""),24.0020688644395)</f>
        <v>24.00206886</v>
      </c>
    </row>
    <row r="4055">
      <c r="A4055" s="2" t="str">
        <f>IFERROR(__xludf.DUMMYFUNCTION("""COMPUTED_VALUE"""),"For rent")</f>
        <v>For rent</v>
      </c>
      <c r="B4055" s="2" t="str">
        <f>IFERROR(__xludf.DUMMYFUNCTION("""COMPUTED_VALUE"""),"Sarkandaugava")</f>
        <v>Sarkandaugava</v>
      </c>
      <c r="C4055" s="2" t="str">
        <f>IFERROR(__xludf.DUMMYFUNCTION("""COMPUTED_VALUE"""),"Ozolu 7")</f>
        <v>Ozolu 7</v>
      </c>
      <c r="D4055" s="2">
        <f>IFERROR(__xludf.DUMMYFUNCTION("""COMPUTED_VALUE"""),2.0)</f>
        <v>2</v>
      </c>
      <c r="E4055" s="2">
        <f>IFERROR(__xludf.DUMMYFUNCTION("""COMPUTED_VALUE"""),40.0)</f>
        <v>40</v>
      </c>
      <c r="F4055" s="2">
        <f>IFERROR(__xludf.DUMMYFUNCTION("""COMPUTED_VALUE"""),1.0)</f>
        <v>1</v>
      </c>
      <c r="G4055" s="2">
        <f>IFERROR(__xludf.DUMMYFUNCTION("""COMPUTED_VALUE"""),5.0)</f>
        <v>5</v>
      </c>
      <c r="H4055" s="2" t="str">
        <f>IFERROR(__xludf.DUMMYFUNCTION("""COMPUTED_VALUE"""),"Specpr.")</f>
        <v>Specpr.</v>
      </c>
      <c r="I4055" s="2" t="str">
        <f>IFERROR(__xludf.DUMMYFUNCTION("""COMPUTED_VALUE"""),"Brick-Panel")</f>
        <v>Brick-Panel</v>
      </c>
      <c r="J4055" s="2" t="str">
        <f>IFERROR(__xludf.DUMMYFUNCTION("""COMPUTED_VALUE"""),"All amenities")</f>
        <v>All amenities</v>
      </c>
      <c r="K4055" s="2">
        <f>IFERROR(__xludf.DUMMYFUNCTION("""COMPUTED_VALUE"""),210.0)</f>
        <v>210</v>
      </c>
      <c r="L4055" s="2">
        <f>IFERROR(__xludf.DUMMYFUNCTION("""COMPUTED_VALUE"""),56.98609795)</f>
        <v>56.98609795</v>
      </c>
      <c r="M4055" s="2">
        <f>IFERROR(__xludf.DUMMYFUNCTION("""COMPUTED_VALUE"""),24.1368990967558)</f>
        <v>24.1368991</v>
      </c>
    </row>
    <row r="4056">
      <c r="A4056" s="2" t="str">
        <f>IFERROR(__xludf.DUMMYFUNCTION("""COMPUTED_VALUE"""),"For rent")</f>
        <v>For rent</v>
      </c>
      <c r="B4056" s="2" t="str">
        <f>IFERROR(__xludf.DUMMYFUNCTION("""COMPUTED_VALUE"""),"centrs")</f>
        <v>centrs</v>
      </c>
      <c r="C4056" s="2" t="str">
        <f>IFERROR(__xludf.DUMMYFUNCTION("""COMPUTED_VALUE"""),"Tērbatas 4")</f>
        <v>Tērbatas 4</v>
      </c>
      <c r="D4056" s="2">
        <f>IFERROR(__xludf.DUMMYFUNCTION("""COMPUTED_VALUE"""),4.0)</f>
        <v>4</v>
      </c>
      <c r="E4056" s="2">
        <f>IFERROR(__xludf.DUMMYFUNCTION("""COMPUTED_VALUE"""),119.0)</f>
        <v>119</v>
      </c>
      <c r="F4056" s="2">
        <f>IFERROR(__xludf.DUMMYFUNCTION("""COMPUTED_VALUE"""),4.0)</f>
        <v>4</v>
      </c>
      <c r="G4056" s="2">
        <f>IFERROR(__xludf.DUMMYFUNCTION("""COMPUTED_VALUE"""),5.0)</f>
        <v>5</v>
      </c>
      <c r="H4056" s="2" t="str">
        <f>IFERROR(__xludf.DUMMYFUNCTION("""COMPUTED_VALUE"""),"Renov.")</f>
        <v>Renov.</v>
      </c>
      <c r="I4056" s="2" t="str">
        <f>IFERROR(__xludf.DUMMYFUNCTION("""COMPUTED_VALUE"""),"Masonry")</f>
        <v>Masonry</v>
      </c>
      <c r="J4056" s="2" t="str">
        <f>IFERROR(__xludf.DUMMYFUNCTION("""COMPUTED_VALUE"""),"All amenities")</f>
        <v>All amenities</v>
      </c>
      <c r="K4056" s="2">
        <f>IFERROR(__xludf.DUMMYFUNCTION("""COMPUTED_VALUE"""),1200.0)</f>
        <v>1200</v>
      </c>
      <c r="L4056" s="2">
        <f>IFERROR(__xludf.DUMMYFUNCTION("""COMPUTED_VALUE"""),56.953059)</f>
        <v>56.953059</v>
      </c>
      <c r="M4056" s="2">
        <f>IFERROR(__xludf.DUMMYFUNCTION("""COMPUTED_VALUE"""),24.1200556)</f>
        <v>24.1200556</v>
      </c>
    </row>
    <row r="4057">
      <c r="A4057" s="2" t="str">
        <f>IFERROR(__xludf.DUMMYFUNCTION("""COMPUTED_VALUE"""),"For rent")</f>
        <v>For rent</v>
      </c>
      <c r="B4057" s="2" t="str">
        <f>IFERROR(__xludf.DUMMYFUNCTION("""COMPUTED_VALUE"""),"Mežaparks")</f>
        <v>Mežaparks</v>
      </c>
      <c r="C4057" s="2" t="str">
        <f>IFERROR(__xludf.DUMMYFUNCTION("""COMPUTED_VALUE"""),"Visbijas pr. 17")</f>
        <v>Visbijas pr. 17</v>
      </c>
      <c r="D4057" s="2">
        <f>IFERROR(__xludf.DUMMYFUNCTION("""COMPUTED_VALUE"""),5.0)</f>
        <v>5</v>
      </c>
      <c r="E4057" s="2">
        <f>IFERROR(__xludf.DUMMYFUNCTION("""COMPUTED_VALUE"""),165.0)</f>
        <v>165</v>
      </c>
      <c r="F4057" s="2">
        <f>IFERROR(__xludf.DUMMYFUNCTION("""COMPUTED_VALUE"""),2.0)</f>
        <v>2</v>
      </c>
      <c r="G4057" s="2">
        <f>IFERROR(__xludf.DUMMYFUNCTION("""COMPUTED_VALUE"""),3.0)</f>
        <v>3</v>
      </c>
      <c r="H4057" s="2" t="str">
        <f>IFERROR(__xludf.DUMMYFUNCTION("""COMPUTED_VALUE"""),"Renov.")</f>
        <v>Renov.</v>
      </c>
      <c r="I4057" s="2" t="str">
        <f>IFERROR(__xludf.DUMMYFUNCTION("""COMPUTED_VALUE"""),"Masonry")</f>
        <v>Masonry</v>
      </c>
      <c r="J4057" s="2" t="str">
        <f>IFERROR(__xludf.DUMMYFUNCTION("""COMPUTED_VALUE"""),"All amenities")</f>
        <v>All amenities</v>
      </c>
      <c r="K4057" s="2">
        <f>IFERROR(__xludf.DUMMYFUNCTION("""COMPUTED_VALUE"""),1500.0)</f>
        <v>1500</v>
      </c>
      <c r="L4057" s="2" t="str">
        <f>IFERROR(__xludf.DUMMYFUNCTION("""COMPUTED_VALUE"""),"NaN")</f>
        <v>NaN</v>
      </c>
      <c r="M4057" s="2" t="str">
        <f>IFERROR(__xludf.DUMMYFUNCTION("""COMPUTED_VALUE"""),"NaN")</f>
        <v>NaN</v>
      </c>
    </row>
    <row r="4058">
      <c r="A4058" s="2" t="str">
        <f>IFERROR(__xludf.DUMMYFUNCTION("""COMPUTED_VALUE"""),"For sale")</f>
        <v>For sale</v>
      </c>
      <c r="B4058" s="2" t="str">
        <f>IFERROR(__xludf.DUMMYFUNCTION("""COMPUTED_VALUE"""),"centrs")</f>
        <v>centrs</v>
      </c>
      <c r="C4058" s="2" t="str">
        <f>IFERROR(__xludf.DUMMYFUNCTION("""COMPUTED_VALUE"""),"Ģertrūdes 95a")</f>
        <v>Ģertrūdes 95a</v>
      </c>
      <c r="D4058" s="2">
        <f>IFERROR(__xludf.DUMMYFUNCTION("""COMPUTED_VALUE"""),5.0)</f>
        <v>5</v>
      </c>
      <c r="E4058" s="2">
        <f>IFERROR(__xludf.DUMMYFUNCTION("""COMPUTED_VALUE"""),133.0)</f>
        <v>133</v>
      </c>
      <c r="F4058" s="2">
        <f>IFERROR(__xludf.DUMMYFUNCTION("""COMPUTED_VALUE"""),4.0)</f>
        <v>4</v>
      </c>
      <c r="G4058" s="2">
        <f>IFERROR(__xludf.DUMMYFUNCTION("""COMPUTED_VALUE"""),4.0)</f>
        <v>4</v>
      </c>
      <c r="H4058" s="2" t="str">
        <f>IFERROR(__xludf.DUMMYFUNCTION("""COMPUTED_VALUE"""),"P. kara")</f>
        <v>P. kara</v>
      </c>
      <c r="I4058" s="2" t="str">
        <f>IFERROR(__xludf.DUMMYFUNCTION("""COMPUTED_VALUE"""),"Masonry")</f>
        <v>Masonry</v>
      </c>
      <c r="J4058" s="2" t="str">
        <f>IFERROR(__xludf.DUMMYFUNCTION("""COMPUTED_VALUE"""),"All amenities")</f>
        <v>All amenities</v>
      </c>
      <c r="K4058" s="2">
        <f>IFERROR(__xludf.DUMMYFUNCTION("""COMPUTED_VALUE"""),125000.0)</f>
        <v>125000</v>
      </c>
      <c r="L4058" s="2">
        <f>IFERROR(__xludf.DUMMYFUNCTION("""COMPUTED_VALUE"""),56.950365)</f>
        <v>56.950365</v>
      </c>
      <c r="M4058" s="2">
        <f>IFERROR(__xludf.DUMMYFUNCTION("""COMPUTED_VALUE"""),24.1363559)</f>
        <v>24.1363559</v>
      </c>
    </row>
    <row r="4059">
      <c r="A4059" s="2" t="str">
        <f>IFERROR(__xludf.DUMMYFUNCTION("""COMPUTED_VALUE"""),"For rent")</f>
        <v>For rent</v>
      </c>
      <c r="B4059" s="2" t="str">
        <f>IFERROR(__xludf.DUMMYFUNCTION("""COMPUTED_VALUE"""),"Āgenskalns")</f>
        <v>Āgenskalns</v>
      </c>
      <c r="C4059" s="2" t="str">
        <f>IFERROR(__xludf.DUMMYFUNCTION("""COMPUTED_VALUE"""),"Alīses 6")</f>
        <v>Alīses 6</v>
      </c>
      <c r="D4059" s="2">
        <f>IFERROR(__xludf.DUMMYFUNCTION("""COMPUTED_VALUE"""),2.0)</f>
        <v>2</v>
      </c>
      <c r="E4059" s="2">
        <f>IFERROR(__xludf.DUMMYFUNCTION("""COMPUTED_VALUE"""),43.0)</f>
        <v>43</v>
      </c>
      <c r="F4059" s="2">
        <f>IFERROR(__xludf.DUMMYFUNCTION("""COMPUTED_VALUE"""),5.0)</f>
        <v>5</v>
      </c>
      <c r="G4059" s="2">
        <f>IFERROR(__xludf.DUMMYFUNCTION("""COMPUTED_VALUE"""),5.0)</f>
        <v>5</v>
      </c>
      <c r="H4059" s="2" t="str">
        <f>IFERROR(__xludf.DUMMYFUNCTION("""COMPUTED_VALUE"""),"Hrušč.")</f>
        <v>Hrušč.</v>
      </c>
      <c r="I4059" s="2" t="str">
        <f>IFERROR(__xludf.DUMMYFUNCTION("""COMPUTED_VALUE"""),"Panel")</f>
        <v>Panel</v>
      </c>
      <c r="J4059" s="2" t="str">
        <f>IFERROR(__xludf.DUMMYFUNCTION("""COMPUTED_VALUE"""),"All amenities")</f>
        <v>All amenities</v>
      </c>
      <c r="K4059" s="2">
        <f>IFERROR(__xludf.DUMMYFUNCTION("""COMPUTED_VALUE"""),330.0)</f>
        <v>330</v>
      </c>
      <c r="L4059" s="2">
        <f>IFERROR(__xludf.DUMMYFUNCTION("""COMPUTED_VALUE"""),56.9461441499999)</f>
        <v>56.94614415</v>
      </c>
      <c r="M4059" s="2">
        <f>IFERROR(__xludf.DUMMYFUNCTION("""COMPUTED_VALUE"""),24.0672928901655)</f>
        <v>24.06729289</v>
      </c>
    </row>
    <row r="4060">
      <c r="A4060" s="2" t="str">
        <f>IFERROR(__xludf.DUMMYFUNCTION("""COMPUTED_VALUE"""),"For rent")</f>
        <v>For rent</v>
      </c>
      <c r="B4060" s="2" t="str">
        <f>IFERROR(__xludf.DUMMYFUNCTION("""COMPUTED_VALUE"""),"Ziepniekkalns")</f>
        <v>Ziepniekkalns</v>
      </c>
      <c r="C4060" s="2" t="str">
        <f>IFERROR(__xludf.DUMMYFUNCTION("""COMPUTED_VALUE"""),"Ziepniekkalna 70")</f>
        <v>Ziepniekkalna 70</v>
      </c>
      <c r="D4060" s="2">
        <f>IFERROR(__xludf.DUMMYFUNCTION("""COMPUTED_VALUE"""),3.0)</f>
        <v>3</v>
      </c>
      <c r="E4060" s="2">
        <f>IFERROR(__xludf.DUMMYFUNCTION("""COMPUTED_VALUE"""),84.0)</f>
        <v>84</v>
      </c>
      <c r="F4060" s="2">
        <f>IFERROR(__xludf.DUMMYFUNCTION("""COMPUTED_VALUE"""),3.0)</f>
        <v>3</v>
      </c>
      <c r="G4060" s="2">
        <f>IFERROR(__xludf.DUMMYFUNCTION("""COMPUTED_VALUE"""),4.0)</f>
        <v>4</v>
      </c>
      <c r="H4060" s="2" t="str">
        <f>IFERROR(__xludf.DUMMYFUNCTION("""COMPUTED_VALUE"""),"Jaun.")</f>
        <v>Jaun.</v>
      </c>
      <c r="I4060" s="2" t="str">
        <f>IFERROR(__xludf.DUMMYFUNCTION("""COMPUTED_VALUE"""),"Masonry")</f>
        <v>Masonry</v>
      </c>
      <c r="J4060" s="2" t="str">
        <f>IFERROR(__xludf.DUMMYFUNCTION("""COMPUTED_VALUE"""),"All amenities")</f>
        <v>All amenities</v>
      </c>
      <c r="K4060" s="2">
        <f>IFERROR(__xludf.DUMMYFUNCTION("""COMPUTED_VALUE"""),530.0)</f>
        <v>530</v>
      </c>
      <c r="L4060" s="2">
        <f>IFERROR(__xludf.DUMMYFUNCTION("""COMPUTED_VALUE"""),56.8974581)</f>
        <v>56.8974581</v>
      </c>
      <c r="M4060" s="2">
        <f>IFERROR(__xludf.DUMMYFUNCTION("""COMPUTED_VALUE"""),24.1389382)</f>
        <v>24.1389382</v>
      </c>
    </row>
    <row r="4061">
      <c r="A4061" s="2" t="str">
        <f>IFERROR(__xludf.DUMMYFUNCTION("""COMPUTED_VALUE"""),"For sale")</f>
        <v>For sale</v>
      </c>
      <c r="B4061" s="2" t="str">
        <f>IFERROR(__xludf.DUMMYFUNCTION("""COMPUTED_VALUE"""),"Pļavnieki")</f>
        <v>Pļavnieki</v>
      </c>
      <c r="C4061" s="2" t="str">
        <f>IFERROR(__xludf.DUMMYFUNCTION("""COMPUTED_VALUE"""),"Grestes 8")</f>
        <v>Grestes 8</v>
      </c>
      <c r="D4061" s="2">
        <f>IFERROR(__xludf.DUMMYFUNCTION("""COMPUTED_VALUE"""),4.0)</f>
        <v>4</v>
      </c>
      <c r="E4061" s="2">
        <f>IFERROR(__xludf.DUMMYFUNCTION("""COMPUTED_VALUE"""),75.0)</f>
        <v>75</v>
      </c>
      <c r="F4061" s="2">
        <f>IFERROR(__xludf.DUMMYFUNCTION("""COMPUTED_VALUE"""),7.0)</f>
        <v>7</v>
      </c>
      <c r="G4061" s="2">
        <f>IFERROR(__xludf.DUMMYFUNCTION("""COMPUTED_VALUE"""),9.0)</f>
        <v>9</v>
      </c>
      <c r="H4061" s="2">
        <f>IFERROR(__xludf.DUMMYFUNCTION("""COMPUTED_VALUE"""),467.0)</f>
        <v>467</v>
      </c>
      <c r="I4061" s="2" t="str">
        <f>IFERROR(__xludf.DUMMYFUNCTION("""COMPUTED_VALUE"""),"Panel")</f>
        <v>Panel</v>
      </c>
      <c r="J4061" s="2" t="str">
        <f>IFERROR(__xludf.DUMMYFUNCTION("""COMPUTED_VALUE"""),"All amenities")</f>
        <v>All amenities</v>
      </c>
      <c r="K4061" s="2">
        <f>IFERROR(__xludf.DUMMYFUNCTION("""COMPUTED_VALUE"""),71000.0)</f>
        <v>71000</v>
      </c>
      <c r="L4061" s="2">
        <f>IFERROR(__xludf.DUMMYFUNCTION("""COMPUTED_VALUE"""),56.93585905)</f>
        <v>56.93585905</v>
      </c>
      <c r="M4061" s="2">
        <f>IFERROR(__xludf.DUMMYFUNCTION("""COMPUTED_VALUE"""),24.2081083776837)</f>
        <v>24.20810838</v>
      </c>
    </row>
    <row r="4062">
      <c r="A4062" s="2" t="str">
        <f>IFERROR(__xludf.DUMMYFUNCTION("""COMPUTED_VALUE"""),"For rent")</f>
        <v>For rent</v>
      </c>
      <c r="B4062" s="2" t="str">
        <f>IFERROR(__xludf.DUMMYFUNCTION("""COMPUTED_VALUE"""),"centrs")</f>
        <v>centrs</v>
      </c>
      <c r="C4062" s="2" t="str">
        <f>IFERROR(__xludf.DUMMYFUNCTION("""COMPUTED_VALUE"""),"Eksporta 8")</f>
        <v>Eksporta 8</v>
      </c>
      <c r="D4062" s="2">
        <f>IFERROR(__xludf.DUMMYFUNCTION("""COMPUTED_VALUE"""),4.0)</f>
        <v>4</v>
      </c>
      <c r="E4062" s="2">
        <f>IFERROR(__xludf.DUMMYFUNCTION("""COMPUTED_VALUE"""),148.0)</f>
        <v>148</v>
      </c>
      <c r="F4062" s="2">
        <f>IFERROR(__xludf.DUMMYFUNCTION("""COMPUTED_VALUE"""),1.0)</f>
        <v>1</v>
      </c>
      <c r="G4062" s="2">
        <f>IFERROR(__xludf.DUMMYFUNCTION("""COMPUTED_VALUE"""),3.0)</f>
        <v>3</v>
      </c>
      <c r="H4062" s="2" t="str">
        <f>IFERROR(__xludf.DUMMYFUNCTION("""COMPUTED_VALUE"""),"Jaun.")</f>
        <v>Jaun.</v>
      </c>
      <c r="I4062" s="2" t="str">
        <f>IFERROR(__xludf.DUMMYFUNCTION("""COMPUTED_VALUE"""),"Wood")</f>
        <v>Wood</v>
      </c>
      <c r="J4062" s="2" t="str">
        <f>IFERROR(__xludf.DUMMYFUNCTION("""COMPUTED_VALUE"""),"All amenities")</f>
        <v>All amenities</v>
      </c>
      <c r="K4062" s="2">
        <f>IFERROR(__xludf.DUMMYFUNCTION("""COMPUTED_VALUE"""),1800.0)</f>
        <v>1800</v>
      </c>
      <c r="L4062" s="2">
        <f>IFERROR(__xludf.DUMMYFUNCTION("""COMPUTED_VALUE"""),56.956763)</f>
        <v>56.956763</v>
      </c>
      <c r="M4062" s="2">
        <f>IFERROR(__xludf.DUMMYFUNCTION("""COMPUTED_VALUE"""),24.0954531)</f>
        <v>24.0954531</v>
      </c>
    </row>
    <row r="4063">
      <c r="A4063" s="2" t="str">
        <f>IFERROR(__xludf.DUMMYFUNCTION("""COMPUTED_VALUE"""),"For rent")</f>
        <v>For rent</v>
      </c>
      <c r="B4063" s="2" t="str">
        <f>IFERROR(__xludf.DUMMYFUNCTION("""COMPUTED_VALUE"""),"Šampēteris-Pleskodāle")</f>
        <v>Šampēteris-Pleskodāle</v>
      </c>
      <c r="C4063" s="2" t="str">
        <f>IFERROR(__xludf.DUMMYFUNCTION("""COMPUTED_VALUE"""),"Lielirbes 13")</f>
        <v>Lielirbes 13</v>
      </c>
      <c r="D4063" s="2">
        <f>IFERROR(__xludf.DUMMYFUNCTION("""COMPUTED_VALUE"""),3.0)</f>
        <v>3</v>
      </c>
      <c r="E4063" s="2">
        <f>IFERROR(__xludf.DUMMYFUNCTION("""COMPUTED_VALUE"""),90.0)</f>
        <v>90</v>
      </c>
      <c r="F4063" s="2">
        <f>IFERROR(__xludf.DUMMYFUNCTION("""COMPUTED_VALUE"""),15.0)</f>
        <v>15</v>
      </c>
      <c r="G4063" s="2">
        <f>IFERROR(__xludf.DUMMYFUNCTION("""COMPUTED_VALUE"""),30.0)</f>
        <v>30</v>
      </c>
      <c r="H4063" s="2" t="str">
        <f>IFERROR(__xludf.DUMMYFUNCTION("""COMPUTED_VALUE"""),"Jaun.")</f>
        <v>Jaun.</v>
      </c>
      <c r="I4063" s="2" t="str">
        <f>IFERROR(__xludf.DUMMYFUNCTION("""COMPUTED_VALUE"""),"Masonry")</f>
        <v>Masonry</v>
      </c>
      <c r="J4063" s="2" t="str">
        <f>IFERROR(__xludf.DUMMYFUNCTION("""COMPUTED_VALUE"""),"All amenities")</f>
        <v>All amenities</v>
      </c>
      <c r="K4063" s="2">
        <f>IFERROR(__xludf.DUMMYFUNCTION("""COMPUTED_VALUE"""),650.0)</f>
        <v>650</v>
      </c>
      <c r="L4063" s="2">
        <f>IFERROR(__xludf.DUMMYFUNCTION("""COMPUTED_VALUE"""),56.9334996)</f>
        <v>56.9334996</v>
      </c>
      <c r="M4063" s="2">
        <f>IFERROR(__xludf.DUMMYFUNCTION("""COMPUTED_VALUE"""),24.0424848)</f>
        <v>24.0424848</v>
      </c>
    </row>
    <row r="4064">
      <c r="A4064" s="2" t="str">
        <f>IFERROR(__xludf.DUMMYFUNCTION("""COMPUTED_VALUE"""),"For sale")</f>
        <v>For sale</v>
      </c>
      <c r="B4064" s="2" t="str">
        <f>IFERROR(__xludf.DUMMYFUNCTION("""COMPUTED_VALUE"""),"Imanta")</f>
        <v>Imanta</v>
      </c>
      <c r="C4064" s="2" t="str">
        <f>IFERROR(__xludf.DUMMYFUNCTION("""COMPUTED_VALUE"""),"Jūrmalas g. 101")</f>
        <v>Jūrmalas g. 101</v>
      </c>
      <c r="D4064" s="2">
        <f>IFERROR(__xludf.DUMMYFUNCTION("""COMPUTED_VALUE"""),4.0)</f>
        <v>4</v>
      </c>
      <c r="E4064" s="2">
        <f>IFERROR(__xludf.DUMMYFUNCTION("""COMPUTED_VALUE"""),76.0)</f>
        <v>76</v>
      </c>
      <c r="F4064" s="2">
        <f>IFERROR(__xludf.DUMMYFUNCTION("""COMPUTED_VALUE"""),3.0)</f>
        <v>3</v>
      </c>
      <c r="G4064" s="2">
        <f>IFERROR(__xludf.DUMMYFUNCTION("""COMPUTED_VALUE"""),9.0)</f>
        <v>9</v>
      </c>
      <c r="H4064" s="2">
        <f>IFERROR(__xludf.DUMMYFUNCTION("""COMPUTED_VALUE"""),602.0)</f>
        <v>602</v>
      </c>
      <c r="I4064" s="2" t="str">
        <f>IFERROR(__xludf.DUMMYFUNCTION("""COMPUTED_VALUE"""),"Panel")</f>
        <v>Panel</v>
      </c>
      <c r="J4064" s="2" t="str">
        <f>IFERROR(__xludf.DUMMYFUNCTION("""COMPUTED_VALUE"""),"All amenities")</f>
        <v>All amenities</v>
      </c>
      <c r="K4064" s="2">
        <f>IFERROR(__xludf.DUMMYFUNCTION("""COMPUTED_VALUE"""),69000.0)</f>
        <v>69000</v>
      </c>
      <c r="L4064" s="2">
        <f>IFERROR(__xludf.DUMMYFUNCTION("""COMPUTED_VALUE"""),56.9539529)</f>
        <v>56.9539529</v>
      </c>
      <c r="M4064" s="2">
        <f>IFERROR(__xludf.DUMMYFUNCTION("""COMPUTED_VALUE"""),23.9715892)</f>
        <v>23.9715892</v>
      </c>
    </row>
    <row r="4065">
      <c r="A4065" s="2" t="str">
        <f>IFERROR(__xludf.DUMMYFUNCTION("""COMPUTED_VALUE"""),"For rent")</f>
        <v>For rent</v>
      </c>
      <c r="B4065" s="2" t="str">
        <f>IFERROR(__xludf.DUMMYFUNCTION("""COMPUTED_VALUE"""),"Teika")</f>
        <v>Teika</v>
      </c>
      <c r="C4065" s="2" t="str">
        <f>IFERROR(__xludf.DUMMYFUNCTION("""COMPUTED_VALUE"""),"Brīvības gatve 334")</f>
        <v>Brīvības gatve 334</v>
      </c>
      <c r="D4065" s="2">
        <f>IFERROR(__xludf.DUMMYFUNCTION("""COMPUTED_VALUE"""),2.0)</f>
        <v>2</v>
      </c>
      <c r="E4065" s="2">
        <f>IFERROR(__xludf.DUMMYFUNCTION("""COMPUTED_VALUE"""),43.0)</f>
        <v>43</v>
      </c>
      <c r="F4065" s="2">
        <f>IFERROR(__xludf.DUMMYFUNCTION("""COMPUTED_VALUE"""),3.0)</f>
        <v>3</v>
      </c>
      <c r="G4065" s="2">
        <f>IFERROR(__xludf.DUMMYFUNCTION("""COMPUTED_VALUE"""),5.0)</f>
        <v>5</v>
      </c>
      <c r="H4065" s="2" t="str">
        <f>IFERROR(__xludf.DUMMYFUNCTION("""COMPUTED_VALUE"""),"Hrušč.")</f>
        <v>Hrušč.</v>
      </c>
      <c r="I4065" s="2" t="str">
        <f>IFERROR(__xludf.DUMMYFUNCTION("""COMPUTED_VALUE"""),"Brick-Panel")</f>
        <v>Brick-Panel</v>
      </c>
      <c r="J4065" s="2" t="str">
        <f>IFERROR(__xludf.DUMMYFUNCTION("""COMPUTED_VALUE"""),"All amenities")</f>
        <v>All amenities</v>
      </c>
      <c r="K4065" s="2">
        <f>IFERROR(__xludf.DUMMYFUNCTION("""COMPUTED_VALUE"""),430.0)</f>
        <v>430</v>
      </c>
      <c r="L4065" s="2">
        <f>IFERROR(__xludf.DUMMYFUNCTION("""COMPUTED_VALUE"""),56.9801687)</f>
        <v>56.9801687</v>
      </c>
      <c r="M4065" s="2">
        <f>IFERROR(__xludf.DUMMYFUNCTION("""COMPUTED_VALUE"""),24.1911053)</f>
        <v>24.1911053</v>
      </c>
    </row>
    <row r="4066">
      <c r="A4066" s="2" t="str">
        <f>IFERROR(__xludf.DUMMYFUNCTION("""COMPUTED_VALUE"""),"For rent")</f>
        <v>For rent</v>
      </c>
      <c r="B4066" s="2" t="str">
        <f>IFERROR(__xludf.DUMMYFUNCTION("""COMPUTED_VALUE"""),"Pļavnieki")</f>
        <v>Pļavnieki</v>
      </c>
      <c r="C4066" s="2" t="str">
        <f>IFERROR(__xludf.DUMMYFUNCTION("""COMPUTED_VALUE"""),"Saharova 7")</f>
        <v>Saharova 7</v>
      </c>
      <c r="D4066" s="2">
        <f>IFERROR(__xludf.DUMMYFUNCTION("""COMPUTED_VALUE"""),1.0)</f>
        <v>1</v>
      </c>
      <c r="E4066" s="2">
        <f>IFERROR(__xludf.DUMMYFUNCTION("""COMPUTED_VALUE"""),40.0)</f>
        <v>40</v>
      </c>
      <c r="F4066" s="2">
        <f>IFERROR(__xludf.DUMMYFUNCTION("""COMPUTED_VALUE"""),3.0)</f>
        <v>3</v>
      </c>
      <c r="G4066" s="2">
        <f>IFERROR(__xludf.DUMMYFUNCTION("""COMPUTED_VALUE"""),9.0)</f>
        <v>9</v>
      </c>
      <c r="H4066" s="2" t="str">
        <f>IFERROR(__xludf.DUMMYFUNCTION("""COMPUTED_VALUE"""),"M. ģim.")</f>
        <v>M. ģim.</v>
      </c>
      <c r="I4066" s="2" t="str">
        <f>IFERROR(__xludf.DUMMYFUNCTION("""COMPUTED_VALUE"""),"Panel")</f>
        <v>Panel</v>
      </c>
      <c r="J4066" s="2" t="str">
        <f>IFERROR(__xludf.DUMMYFUNCTION("""COMPUTED_VALUE"""),"All amenities")</f>
        <v>All amenities</v>
      </c>
      <c r="K4066" s="2">
        <f>IFERROR(__xludf.DUMMYFUNCTION("""COMPUTED_VALUE"""),200.0)</f>
        <v>200</v>
      </c>
      <c r="L4066" s="2">
        <f>IFERROR(__xludf.DUMMYFUNCTION("""COMPUTED_VALUE"""),56.93515745)</f>
        <v>56.93515745</v>
      </c>
      <c r="M4066" s="2">
        <f>IFERROR(__xludf.DUMMYFUNCTION("""COMPUTED_VALUE"""),24.200200711641)</f>
        <v>24.20020071</v>
      </c>
    </row>
    <row r="4067">
      <c r="A4067" s="2" t="str">
        <f>IFERROR(__xludf.DUMMYFUNCTION("""COMPUTED_VALUE"""),"For sale")</f>
        <v>For sale</v>
      </c>
      <c r="B4067" s="2" t="str">
        <f>IFERROR(__xludf.DUMMYFUNCTION("""COMPUTED_VALUE"""),"Imanta")</f>
        <v>Imanta</v>
      </c>
      <c r="C4067" s="2" t="str">
        <f>IFERROR(__xludf.DUMMYFUNCTION("""COMPUTED_VALUE"""),"M. Krūmu 6")</f>
        <v>M. Krūmu 6</v>
      </c>
      <c r="D4067" s="2">
        <f>IFERROR(__xludf.DUMMYFUNCTION("""COMPUTED_VALUE"""),2.0)</f>
        <v>2</v>
      </c>
      <c r="E4067" s="2">
        <f>IFERROR(__xludf.DUMMYFUNCTION("""COMPUTED_VALUE"""),50.0)</f>
        <v>50</v>
      </c>
      <c r="F4067" s="2">
        <f>IFERROR(__xludf.DUMMYFUNCTION("""COMPUTED_VALUE"""),3.0)</f>
        <v>3</v>
      </c>
      <c r="G4067" s="2">
        <f>IFERROR(__xludf.DUMMYFUNCTION("""COMPUTED_VALUE"""),5.0)</f>
        <v>5</v>
      </c>
      <c r="H4067" s="2" t="str">
        <f>IFERROR(__xludf.DUMMYFUNCTION("""COMPUTED_VALUE"""),"LT proj.")</f>
        <v>LT proj.</v>
      </c>
      <c r="I4067" s="2" t="str">
        <f>IFERROR(__xludf.DUMMYFUNCTION("""COMPUTED_VALUE"""),"Panel")</f>
        <v>Panel</v>
      </c>
      <c r="J4067" s="2" t="str">
        <f>IFERROR(__xludf.DUMMYFUNCTION("""COMPUTED_VALUE"""),"All amenities")</f>
        <v>All amenities</v>
      </c>
      <c r="K4067" s="2">
        <f>IFERROR(__xludf.DUMMYFUNCTION("""COMPUTED_VALUE"""),41000.0)</f>
        <v>41000</v>
      </c>
      <c r="L4067" s="2">
        <f>IFERROR(__xludf.DUMMYFUNCTION("""COMPUTED_VALUE"""),56.9584557999999)</f>
        <v>56.9584558</v>
      </c>
      <c r="M4067" s="2">
        <f>IFERROR(__xludf.DUMMYFUNCTION("""COMPUTED_VALUE"""),24.0028561019525)</f>
        <v>24.0028561</v>
      </c>
    </row>
    <row r="4068">
      <c r="A4068" s="2" t="str">
        <f>IFERROR(__xludf.DUMMYFUNCTION("""COMPUTED_VALUE"""),"For rent")</f>
        <v>For rent</v>
      </c>
      <c r="B4068" s="2" t="str">
        <f>IFERROR(__xludf.DUMMYFUNCTION("""COMPUTED_VALUE"""),"Mežciems")</f>
        <v>Mežciems</v>
      </c>
      <c r="C4068" s="2" t="str">
        <f>IFERROR(__xludf.DUMMYFUNCTION("""COMPUTED_VALUE"""),"Celmu 10")</f>
        <v>Celmu 10</v>
      </c>
      <c r="D4068" s="2">
        <f>IFERROR(__xludf.DUMMYFUNCTION("""COMPUTED_VALUE"""),2.0)</f>
        <v>2</v>
      </c>
      <c r="E4068" s="2">
        <f>IFERROR(__xludf.DUMMYFUNCTION("""COMPUTED_VALUE"""),49.0)</f>
        <v>49</v>
      </c>
      <c r="F4068" s="2">
        <f>IFERROR(__xludf.DUMMYFUNCTION("""COMPUTED_VALUE"""),2.0)</f>
        <v>2</v>
      </c>
      <c r="G4068" s="2">
        <f>IFERROR(__xludf.DUMMYFUNCTION("""COMPUTED_VALUE"""),5.0)</f>
        <v>5</v>
      </c>
      <c r="H4068" s="2" t="str">
        <f>IFERROR(__xludf.DUMMYFUNCTION("""COMPUTED_VALUE"""),"LT proj.")</f>
        <v>LT proj.</v>
      </c>
      <c r="I4068" s="2" t="str">
        <f>IFERROR(__xludf.DUMMYFUNCTION("""COMPUTED_VALUE"""),"Panel")</f>
        <v>Panel</v>
      </c>
      <c r="J4068" s="2" t="str">
        <f>IFERROR(__xludf.DUMMYFUNCTION("""COMPUTED_VALUE"""),"All amenities")</f>
        <v>All amenities</v>
      </c>
      <c r="K4068" s="2">
        <f>IFERROR(__xludf.DUMMYFUNCTION("""COMPUTED_VALUE"""),261.0)</f>
        <v>261</v>
      </c>
      <c r="L4068" s="2">
        <f>IFERROR(__xludf.DUMMYFUNCTION("""COMPUTED_VALUE"""),56.97300075)</f>
        <v>56.97300075</v>
      </c>
      <c r="M4068" s="2">
        <f>IFERROR(__xludf.DUMMYFUNCTION("""COMPUTED_VALUE"""),24.2354794499999)</f>
        <v>24.23547945</v>
      </c>
    </row>
    <row r="4069">
      <c r="A4069" s="2" t="str">
        <f>IFERROR(__xludf.DUMMYFUNCTION("""COMPUTED_VALUE"""),"For sale")</f>
        <v>For sale</v>
      </c>
      <c r="B4069" s="2" t="str">
        <f>IFERROR(__xludf.DUMMYFUNCTION("""COMPUTED_VALUE"""),"centrs")</f>
        <v>centrs</v>
      </c>
      <c r="C4069" s="2" t="str">
        <f>IFERROR(__xludf.DUMMYFUNCTION("""COMPUTED_VALUE"""),"Dzirnavu 60")</f>
        <v>Dzirnavu 60</v>
      </c>
      <c r="D4069" s="2">
        <f>IFERROR(__xludf.DUMMYFUNCTION("""COMPUTED_VALUE"""),2.0)</f>
        <v>2</v>
      </c>
      <c r="E4069" s="2">
        <f>IFERROR(__xludf.DUMMYFUNCTION("""COMPUTED_VALUE"""),74.0)</f>
        <v>74</v>
      </c>
      <c r="F4069" s="2">
        <f>IFERROR(__xludf.DUMMYFUNCTION("""COMPUTED_VALUE"""),4.0)</f>
        <v>4</v>
      </c>
      <c r="G4069" s="2">
        <f>IFERROR(__xludf.DUMMYFUNCTION("""COMPUTED_VALUE"""),5.0)</f>
        <v>5</v>
      </c>
      <c r="H4069" s="2" t="str">
        <f>IFERROR(__xludf.DUMMYFUNCTION("""COMPUTED_VALUE"""),"P. kara")</f>
        <v>P. kara</v>
      </c>
      <c r="I4069" s="2" t="str">
        <f>IFERROR(__xludf.DUMMYFUNCTION("""COMPUTED_VALUE"""),"Brick")</f>
        <v>Brick</v>
      </c>
      <c r="J4069" s="2" t="str">
        <f>IFERROR(__xludf.DUMMYFUNCTION("""COMPUTED_VALUE"""),"All amenities")</f>
        <v>All amenities</v>
      </c>
      <c r="K4069" s="2">
        <f>IFERROR(__xludf.DUMMYFUNCTION("""COMPUTED_VALUE"""),135000.0)</f>
        <v>135000</v>
      </c>
      <c r="L4069" s="2">
        <f>IFERROR(__xludf.DUMMYFUNCTION("""COMPUTED_VALUE"""),56.9544354)</f>
        <v>56.9544354</v>
      </c>
      <c r="M4069" s="2">
        <f>IFERROR(__xludf.DUMMYFUNCTION("""COMPUTED_VALUE"""),24.1200833)</f>
        <v>24.1200833</v>
      </c>
    </row>
    <row r="4070">
      <c r="A4070" s="2" t="str">
        <f>IFERROR(__xludf.DUMMYFUNCTION("""COMPUTED_VALUE"""),"For sale")</f>
        <v>For sale</v>
      </c>
      <c r="B4070" s="2" t="str">
        <f>IFERROR(__xludf.DUMMYFUNCTION("""COMPUTED_VALUE"""),"centrs")</f>
        <v>centrs</v>
      </c>
      <c r="C4070" s="2" t="str">
        <f>IFERROR(__xludf.DUMMYFUNCTION("""COMPUTED_VALUE"""),"Avotu 4")</f>
        <v>Avotu 4</v>
      </c>
      <c r="D4070" s="2">
        <f>IFERROR(__xludf.DUMMYFUNCTION("""COMPUTED_VALUE"""),1.0)</f>
        <v>1</v>
      </c>
      <c r="E4070" s="2">
        <f>IFERROR(__xludf.DUMMYFUNCTION("""COMPUTED_VALUE"""),26.2)</f>
        <v>26.2</v>
      </c>
      <c r="F4070" s="2">
        <f>IFERROR(__xludf.DUMMYFUNCTION("""COMPUTED_VALUE"""),2.0)</f>
        <v>2</v>
      </c>
      <c r="G4070" s="2">
        <f>IFERROR(__xludf.DUMMYFUNCTION("""COMPUTED_VALUE"""),5.0)</f>
        <v>5</v>
      </c>
      <c r="H4070" s="2" t="str">
        <f>IFERROR(__xludf.DUMMYFUNCTION("""COMPUTED_VALUE"""),"Renov.")</f>
        <v>Renov.</v>
      </c>
      <c r="I4070" s="2" t="str">
        <f>IFERROR(__xludf.DUMMYFUNCTION("""COMPUTED_VALUE"""),"Masonry")</f>
        <v>Masonry</v>
      </c>
      <c r="J4070" s="2" t="str">
        <f>IFERROR(__xludf.DUMMYFUNCTION("""COMPUTED_VALUE"""),"All amenities")</f>
        <v>All amenities</v>
      </c>
      <c r="K4070" s="2">
        <f>IFERROR(__xludf.DUMMYFUNCTION("""COMPUTED_VALUE"""),43000.0)</f>
        <v>43000</v>
      </c>
      <c r="L4070" s="2">
        <f>IFERROR(__xludf.DUMMYFUNCTION("""COMPUTED_VALUE"""),56.9508163)</f>
        <v>56.9508163</v>
      </c>
      <c r="M4070" s="2">
        <f>IFERROR(__xludf.DUMMYFUNCTION("""COMPUTED_VALUE"""),24.1271389)</f>
        <v>24.1271389</v>
      </c>
    </row>
    <row r="4071">
      <c r="A4071" s="2" t="str">
        <f>IFERROR(__xludf.DUMMYFUNCTION("""COMPUTED_VALUE"""),"For sale")</f>
        <v>For sale</v>
      </c>
      <c r="B4071" s="2" t="str">
        <f>IFERROR(__xludf.DUMMYFUNCTION("""COMPUTED_VALUE"""),"Imanta")</f>
        <v>Imanta</v>
      </c>
      <c r="C4071" s="2" t="str">
        <f>IFERROR(__xludf.DUMMYFUNCTION("""COMPUTED_VALUE"""),"Anniņmuižas bulvāris 43")</f>
        <v>Anniņmuižas bulvāris 43</v>
      </c>
      <c r="D4071" s="2">
        <f>IFERROR(__xludf.DUMMYFUNCTION("""COMPUTED_VALUE"""),3.0)</f>
        <v>3</v>
      </c>
      <c r="E4071" s="2">
        <f>IFERROR(__xludf.DUMMYFUNCTION("""COMPUTED_VALUE"""),112.0)</f>
        <v>112</v>
      </c>
      <c r="F4071" s="2">
        <f>IFERROR(__xludf.DUMMYFUNCTION("""COMPUTED_VALUE"""),21.0)</f>
        <v>21</v>
      </c>
      <c r="G4071" s="2">
        <f>IFERROR(__xludf.DUMMYFUNCTION("""COMPUTED_VALUE"""),24.0)</f>
        <v>24</v>
      </c>
      <c r="H4071" s="2" t="str">
        <f>IFERROR(__xludf.DUMMYFUNCTION("""COMPUTED_VALUE"""),"Jaun.")</f>
        <v>Jaun.</v>
      </c>
      <c r="I4071" s="2" t="str">
        <f>IFERROR(__xludf.DUMMYFUNCTION("""COMPUTED_VALUE"""),"Masonry")</f>
        <v>Masonry</v>
      </c>
      <c r="J4071" s="2" t="str">
        <f>IFERROR(__xludf.DUMMYFUNCTION("""COMPUTED_VALUE"""),"All amenities")</f>
        <v>All amenities</v>
      </c>
      <c r="K4071" s="2">
        <f>IFERROR(__xludf.DUMMYFUNCTION("""COMPUTED_VALUE"""),147000.0)</f>
        <v>147000</v>
      </c>
      <c r="L4071" s="2">
        <f>IFERROR(__xludf.DUMMYFUNCTION("""COMPUTED_VALUE"""),56.9590306)</f>
        <v>56.9590306</v>
      </c>
      <c r="M4071" s="2">
        <f>IFERROR(__xludf.DUMMYFUNCTION("""COMPUTED_VALUE"""),24.013887042853)</f>
        <v>24.01388704</v>
      </c>
    </row>
    <row r="4072">
      <c r="A4072" s="2" t="str">
        <f>IFERROR(__xludf.DUMMYFUNCTION("""COMPUTED_VALUE"""),"For rent")</f>
        <v>For rent</v>
      </c>
      <c r="B4072" s="2" t="str">
        <f>IFERROR(__xludf.DUMMYFUNCTION("""COMPUTED_VALUE"""),"centrs")</f>
        <v>centrs</v>
      </c>
      <c r="C4072" s="2" t="str">
        <f>IFERROR(__xludf.DUMMYFUNCTION("""COMPUTED_VALUE"""),"Jeruzalemes 10")</f>
        <v>Jeruzalemes 10</v>
      </c>
      <c r="D4072" s="2">
        <f>IFERROR(__xludf.DUMMYFUNCTION("""COMPUTED_VALUE"""),3.0)</f>
        <v>3</v>
      </c>
      <c r="E4072" s="2">
        <f>IFERROR(__xludf.DUMMYFUNCTION("""COMPUTED_VALUE"""),116.0)</f>
        <v>116</v>
      </c>
      <c r="F4072" s="2">
        <f>IFERROR(__xludf.DUMMYFUNCTION("""COMPUTED_VALUE"""),5.0)</f>
        <v>5</v>
      </c>
      <c r="G4072" s="2">
        <f>IFERROR(__xludf.DUMMYFUNCTION("""COMPUTED_VALUE"""),7.0)</f>
        <v>7</v>
      </c>
      <c r="H4072" s="2" t="str">
        <f>IFERROR(__xludf.DUMMYFUNCTION("""COMPUTED_VALUE"""),"Jaun.")</f>
        <v>Jaun.</v>
      </c>
      <c r="I4072" s="2" t="str">
        <f>IFERROR(__xludf.DUMMYFUNCTION("""COMPUTED_VALUE"""),"Panel-Brick")</f>
        <v>Panel-Brick</v>
      </c>
      <c r="J4072" s="2" t="str">
        <f>IFERROR(__xludf.DUMMYFUNCTION("""COMPUTED_VALUE"""),"All amenities")</f>
        <v>All amenities</v>
      </c>
      <c r="K4072" s="2">
        <f>IFERROR(__xludf.DUMMYFUNCTION("""COMPUTED_VALUE"""),1400.0)</f>
        <v>1400</v>
      </c>
      <c r="L4072" s="2">
        <f>IFERROR(__xludf.DUMMYFUNCTION("""COMPUTED_VALUE"""),56.9578148)</f>
        <v>56.9578148</v>
      </c>
      <c r="M4072" s="2">
        <f>IFERROR(__xludf.DUMMYFUNCTION("""COMPUTED_VALUE"""),24.1142082)</f>
        <v>24.1142082</v>
      </c>
    </row>
    <row r="4073">
      <c r="A4073" s="2" t="str">
        <f>IFERROR(__xludf.DUMMYFUNCTION("""COMPUTED_VALUE"""),"For rent")</f>
        <v>For rent</v>
      </c>
      <c r="B4073" s="2" t="str">
        <f>IFERROR(__xludf.DUMMYFUNCTION("""COMPUTED_VALUE"""),"Vecrīga")</f>
        <v>Vecrīga</v>
      </c>
      <c r="C4073" s="2" t="str">
        <f>IFERROR(__xludf.DUMMYFUNCTION("""COMPUTED_VALUE"""),"Kungu 25")</f>
        <v>Kungu 25</v>
      </c>
      <c r="D4073" s="2">
        <f>IFERROR(__xludf.DUMMYFUNCTION("""COMPUTED_VALUE"""),3.0)</f>
        <v>3</v>
      </c>
      <c r="E4073" s="2">
        <f>IFERROR(__xludf.DUMMYFUNCTION("""COMPUTED_VALUE"""),83.0)</f>
        <v>83</v>
      </c>
      <c r="F4073" s="2">
        <f>IFERROR(__xludf.DUMMYFUNCTION("""COMPUTED_VALUE"""),5.0)</f>
        <v>5</v>
      </c>
      <c r="G4073" s="2">
        <f>IFERROR(__xludf.DUMMYFUNCTION("""COMPUTED_VALUE"""),6.0)</f>
        <v>6</v>
      </c>
      <c r="H4073" s="2" t="str">
        <f>IFERROR(__xludf.DUMMYFUNCTION("""COMPUTED_VALUE"""),"Jaun.")</f>
        <v>Jaun.</v>
      </c>
      <c r="I4073" s="2" t="str">
        <f>IFERROR(__xludf.DUMMYFUNCTION("""COMPUTED_VALUE"""),"Panel-Brick")</f>
        <v>Panel-Brick</v>
      </c>
      <c r="J4073" s="2" t="str">
        <f>IFERROR(__xludf.DUMMYFUNCTION("""COMPUTED_VALUE"""),"All amenities")</f>
        <v>All amenities</v>
      </c>
      <c r="K4073" s="2">
        <f>IFERROR(__xludf.DUMMYFUNCTION("""COMPUTED_VALUE"""),1000.0)</f>
        <v>1000</v>
      </c>
      <c r="L4073" s="2">
        <f>IFERROR(__xludf.DUMMYFUNCTION("""COMPUTED_VALUE"""),56.9453381999999)</f>
        <v>56.9453382</v>
      </c>
      <c r="M4073" s="2">
        <f>IFERROR(__xludf.DUMMYFUNCTION("""COMPUTED_VALUE"""),24.1094639533088)</f>
        <v>24.10946395</v>
      </c>
    </row>
    <row r="4074">
      <c r="A4074" s="2" t="str">
        <f>IFERROR(__xludf.DUMMYFUNCTION("""COMPUTED_VALUE"""),"For sale")</f>
        <v>For sale</v>
      </c>
      <c r="B4074" s="2" t="str">
        <f>IFERROR(__xludf.DUMMYFUNCTION("""COMPUTED_VALUE"""),"Iļģuciems")</f>
        <v>Iļģuciems</v>
      </c>
      <c r="C4074" s="2" t="str">
        <f>IFERROR(__xludf.DUMMYFUNCTION("""COMPUTED_VALUE"""),"Palangas 12")</f>
        <v>Palangas 12</v>
      </c>
      <c r="D4074" s="2">
        <f>IFERROR(__xludf.DUMMYFUNCTION("""COMPUTED_VALUE"""),3.0)</f>
        <v>3</v>
      </c>
      <c r="E4074" s="2">
        <f>IFERROR(__xludf.DUMMYFUNCTION("""COMPUTED_VALUE"""),67.0)</f>
        <v>67</v>
      </c>
      <c r="F4074" s="2">
        <f>IFERROR(__xludf.DUMMYFUNCTION("""COMPUTED_VALUE"""),3.0)</f>
        <v>3</v>
      </c>
      <c r="G4074" s="2">
        <f>IFERROR(__xludf.DUMMYFUNCTION("""COMPUTED_VALUE"""),5.0)</f>
        <v>5</v>
      </c>
      <c r="H4074" s="2" t="str">
        <f>IFERROR(__xludf.DUMMYFUNCTION("""COMPUTED_VALUE"""),"LT proj.")</f>
        <v>LT proj.</v>
      </c>
      <c r="I4074" s="2" t="str">
        <f>IFERROR(__xludf.DUMMYFUNCTION("""COMPUTED_VALUE"""),"Panel")</f>
        <v>Panel</v>
      </c>
      <c r="J4074" s="2" t="str">
        <f>IFERROR(__xludf.DUMMYFUNCTION("""COMPUTED_VALUE"""),"All amenities")</f>
        <v>All amenities</v>
      </c>
      <c r="K4074" s="2">
        <f>IFERROR(__xludf.DUMMYFUNCTION("""COMPUTED_VALUE"""),47000.0)</f>
        <v>47000</v>
      </c>
      <c r="L4074" s="2">
        <f>IFERROR(__xludf.DUMMYFUNCTION("""COMPUTED_VALUE"""),56.97169955)</f>
        <v>56.97169955</v>
      </c>
      <c r="M4074" s="2">
        <f>IFERROR(__xludf.DUMMYFUNCTION("""COMPUTED_VALUE"""),24.0543433020522)</f>
        <v>24.0543433</v>
      </c>
    </row>
    <row r="4075">
      <c r="A4075" s="2" t="str">
        <f>IFERROR(__xludf.DUMMYFUNCTION("""COMPUTED_VALUE"""),"For rent")</f>
        <v>For rent</v>
      </c>
      <c r="B4075" s="2" t="str">
        <f>IFERROR(__xludf.DUMMYFUNCTION("""COMPUTED_VALUE"""),"centrs")</f>
        <v>centrs</v>
      </c>
      <c r="C4075" s="2" t="str">
        <f>IFERROR(__xludf.DUMMYFUNCTION("""COMPUTED_VALUE"""),"Pulkv. Brieža 7")</f>
        <v>Pulkv. Brieža 7</v>
      </c>
      <c r="D4075" s="2">
        <f>IFERROR(__xludf.DUMMYFUNCTION("""COMPUTED_VALUE"""),2.0)</f>
        <v>2</v>
      </c>
      <c r="E4075" s="2">
        <f>IFERROR(__xludf.DUMMYFUNCTION("""COMPUTED_VALUE"""),81.0)</f>
        <v>81</v>
      </c>
      <c r="F4075" s="2">
        <f>IFERROR(__xludf.DUMMYFUNCTION("""COMPUTED_VALUE"""),2.0)</f>
        <v>2</v>
      </c>
      <c r="G4075" s="2">
        <f>IFERROR(__xludf.DUMMYFUNCTION("""COMPUTED_VALUE"""),6.0)</f>
        <v>6</v>
      </c>
      <c r="H4075" s="2" t="str">
        <f>IFERROR(__xludf.DUMMYFUNCTION("""COMPUTED_VALUE"""),"Renov.")</f>
        <v>Renov.</v>
      </c>
      <c r="I4075" s="2" t="str">
        <f>IFERROR(__xludf.DUMMYFUNCTION("""COMPUTED_VALUE"""),"Masonry")</f>
        <v>Masonry</v>
      </c>
      <c r="J4075" s="2" t="str">
        <f>IFERROR(__xludf.DUMMYFUNCTION("""COMPUTED_VALUE"""),"All amenities")</f>
        <v>All amenities</v>
      </c>
      <c r="K4075" s="2">
        <f>IFERROR(__xludf.DUMMYFUNCTION("""COMPUTED_VALUE"""),650.0)</f>
        <v>650</v>
      </c>
      <c r="L4075" s="2" t="str">
        <f>IFERROR(__xludf.DUMMYFUNCTION("""COMPUTED_VALUE"""),"NaN")</f>
        <v>NaN</v>
      </c>
      <c r="M4075" s="2" t="str">
        <f>IFERROR(__xludf.DUMMYFUNCTION("""COMPUTED_VALUE"""),"NaN")</f>
        <v>NaN</v>
      </c>
    </row>
    <row r="4076">
      <c r="A4076" s="2" t="str">
        <f>IFERROR(__xludf.DUMMYFUNCTION("""COMPUTED_VALUE"""),"For rent")</f>
        <v>For rent</v>
      </c>
      <c r="B4076" s="2" t="str">
        <f>IFERROR(__xludf.DUMMYFUNCTION("""COMPUTED_VALUE"""),"Klīversala")</f>
        <v>Klīversala</v>
      </c>
      <c r="C4076" s="2" t="str">
        <f>IFERROR(__xludf.DUMMYFUNCTION("""COMPUTED_VALUE"""),"Valguma 31")</f>
        <v>Valguma 31</v>
      </c>
      <c r="D4076" s="2">
        <f>IFERROR(__xludf.DUMMYFUNCTION("""COMPUTED_VALUE"""),2.0)</f>
        <v>2</v>
      </c>
      <c r="E4076" s="2">
        <f>IFERROR(__xludf.DUMMYFUNCTION("""COMPUTED_VALUE"""),65.0)</f>
        <v>65</v>
      </c>
      <c r="F4076" s="2">
        <f>IFERROR(__xludf.DUMMYFUNCTION("""COMPUTED_VALUE"""),2.0)</f>
        <v>2</v>
      </c>
      <c r="G4076" s="2">
        <f>IFERROR(__xludf.DUMMYFUNCTION("""COMPUTED_VALUE"""),6.0)</f>
        <v>6</v>
      </c>
      <c r="H4076" s="2" t="str">
        <f>IFERROR(__xludf.DUMMYFUNCTION("""COMPUTED_VALUE"""),"Jaun.")</f>
        <v>Jaun.</v>
      </c>
      <c r="I4076" s="2" t="str">
        <f>IFERROR(__xludf.DUMMYFUNCTION("""COMPUTED_VALUE"""),"Panel")</f>
        <v>Panel</v>
      </c>
      <c r="J4076" s="2" t="str">
        <f>IFERROR(__xludf.DUMMYFUNCTION("""COMPUTED_VALUE"""),"All amenities")</f>
        <v>All amenities</v>
      </c>
      <c r="K4076" s="2">
        <f>IFERROR(__xludf.DUMMYFUNCTION("""COMPUTED_VALUE"""),550.0)</f>
        <v>550</v>
      </c>
      <c r="L4076" s="2">
        <f>IFERROR(__xludf.DUMMYFUNCTION("""COMPUTED_VALUE"""),56.94318895)</f>
        <v>56.94318895</v>
      </c>
      <c r="M4076" s="2">
        <f>IFERROR(__xludf.DUMMYFUNCTION("""COMPUTED_VALUE"""),24.0911355510856)</f>
        <v>24.09113555</v>
      </c>
    </row>
    <row r="4077">
      <c r="A4077" s="2" t="str">
        <f>IFERROR(__xludf.DUMMYFUNCTION("""COMPUTED_VALUE"""),"For sale")</f>
        <v>For sale</v>
      </c>
      <c r="B4077" s="2" t="str">
        <f>IFERROR(__xludf.DUMMYFUNCTION("""COMPUTED_VALUE"""),"Vecmīlgrāvis")</f>
        <v>Vecmīlgrāvis</v>
      </c>
      <c r="C4077" s="2" t="str">
        <f>IFERROR(__xludf.DUMMYFUNCTION("""COMPUTED_VALUE"""),"Ledus 4")</f>
        <v>Ledus 4</v>
      </c>
      <c r="D4077" s="2">
        <f>IFERROR(__xludf.DUMMYFUNCTION("""COMPUTED_VALUE"""),1.0)</f>
        <v>1</v>
      </c>
      <c r="E4077" s="2">
        <f>IFERROR(__xludf.DUMMYFUNCTION("""COMPUTED_VALUE"""),37.0)</f>
        <v>37</v>
      </c>
      <c r="F4077" s="2">
        <f>IFERROR(__xludf.DUMMYFUNCTION("""COMPUTED_VALUE"""),7.0)</f>
        <v>7</v>
      </c>
      <c r="G4077" s="2">
        <f>IFERROR(__xludf.DUMMYFUNCTION("""COMPUTED_VALUE"""),9.0)</f>
        <v>9</v>
      </c>
      <c r="H4077" s="2">
        <f>IFERROR(__xludf.DUMMYFUNCTION("""COMPUTED_VALUE"""),602.0)</f>
        <v>602</v>
      </c>
      <c r="I4077" s="2" t="str">
        <f>IFERROR(__xludf.DUMMYFUNCTION("""COMPUTED_VALUE"""),"Panel")</f>
        <v>Panel</v>
      </c>
      <c r="J4077" s="2" t="str">
        <f>IFERROR(__xludf.DUMMYFUNCTION("""COMPUTED_VALUE"""),"All amenities")</f>
        <v>All amenities</v>
      </c>
      <c r="K4077" s="2">
        <f>IFERROR(__xludf.DUMMYFUNCTION("""COMPUTED_VALUE"""),46000.0)</f>
        <v>46000</v>
      </c>
      <c r="L4077" s="2">
        <f>IFERROR(__xludf.DUMMYFUNCTION("""COMPUTED_VALUE"""),57.0381297499999)</f>
        <v>57.03812975</v>
      </c>
      <c r="M4077" s="2">
        <f>IFERROR(__xludf.DUMMYFUNCTION("""COMPUTED_VALUE"""),24.0958816810347)</f>
        <v>24.09588168</v>
      </c>
    </row>
    <row r="4078">
      <c r="A4078" s="2" t="str">
        <f>IFERROR(__xludf.DUMMYFUNCTION("""COMPUTED_VALUE"""),"For sale")</f>
        <v>For sale</v>
      </c>
      <c r="B4078" s="2" t="str">
        <f>IFERROR(__xludf.DUMMYFUNCTION("""COMPUTED_VALUE"""),"Ķengarags")</f>
        <v>Ķengarags</v>
      </c>
      <c r="C4078" s="2" t="str">
        <f>IFERROR(__xludf.DUMMYFUNCTION("""COMPUTED_VALUE"""),"Krustpils 73")</f>
        <v>Krustpils 73</v>
      </c>
      <c r="D4078" s="2">
        <f>IFERROR(__xludf.DUMMYFUNCTION("""COMPUTED_VALUE"""),1.0)</f>
        <v>1</v>
      </c>
      <c r="E4078" s="2">
        <f>IFERROR(__xludf.DUMMYFUNCTION("""COMPUTED_VALUE"""),18.0)</f>
        <v>18</v>
      </c>
      <c r="F4078" s="2">
        <f>IFERROR(__xludf.DUMMYFUNCTION("""COMPUTED_VALUE"""),2.0)</f>
        <v>2</v>
      </c>
      <c r="G4078" s="2">
        <f>IFERROR(__xludf.DUMMYFUNCTION("""COMPUTED_VALUE"""),3.0)</f>
        <v>3</v>
      </c>
      <c r="H4078" s="2" t="str">
        <f>IFERROR(__xludf.DUMMYFUNCTION("""COMPUTED_VALUE"""),"M. ģim.")</f>
        <v>M. ģim.</v>
      </c>
      <c r="I4078" s="2" t="str">
        <f>IFERROR(__xludf.DUMMYFUNCTION("""COMPUTED_VALUE"""),"Brick")</f>
        <v>Brick</v>
      </c>
      <c r="J4078" s="2" t="str">
        <f>IFERROR(__xludf.DUMMYFUNCTION("""COMPUTED_VALUE"""),"All amenities")</f>
        <v>All amenities</v>
      </c>
      <c r="K4078" s="2">
        <f>IFERROR(__xludf.DUMMYFUNCTION("""COMPUTED_VALUE"""),16500.0)</f>
        <v>16500</v>
      </c>
      <c r="L4078" s="2">
        <f>IFERROR(__xludf.DUMMYFUNCTION("""COMPUTED_VALUE"""),56.91229505)</f>
        <v>56.91229505</v>
      </c>
      <c r="M4078" s="2">
        <f>IFERROR(__xludf.DUMMYFUNCTION("""COMPUTED_VALUE"""),24.2059117623488)</f>
        <v>24.20591176</v>
      </c>
    </row>
    <row r="4079">
      <c r="A4079" s="2" t="str">
        <f>IFERROR(__xludf.DUMMYFUNCTION("""COMPUTED_VALUE"""),"For sale")</f>
        <v>For sale</v>
      </c>
      <c r="B4079" s="2" t="str">
        <f>IFERROR(__xludf.DUMMYFUNCTION("""COMPUTED_VALUE"""),"Šķirotava")</f>
        <v>Šķirotava</v>
      </c>
      <c r="C4079" s="2" t="str">
        <f>IFERROR(__xludf.DUMMYFUNCTION("""COMPUTED_VALUE"""),"Krustpils 73 k-3")</f>
        <v>Krustpils 73 k-3</v>
      </c>
      <c r="D4079" s="2">
        <f>IFERROR(__xludf.DUMMYFUNCTION("""COMPUTED_VALUE"""),1.0)</f>
        <v>1</v>
      </c>
      <c r="E4079" s="2">
        <f>IFERROR(__xludf.DUMMYFUNCTION("""COMPUTED_VALUE"""),18.0)</f>
        <v>18</v>
      </c>
      <c r="F4079" s="2">
        <f>IFERROR(__xludf.DUMMYFUNCTION("""COMPUTED_VALUE"""),2.0)</f>
        <v>2</v>
      </c>
      <c r="G4079" s="2">
        <f>IFERROR(__xludf.DUMMYFUNCTION("""COMPUTED_VALUE"""),3.0)</f>
        <v>3</v>
      </c>
      <c r="H4079" s="2" t="str">
        <f>IFERROR(__xludf.DUMMYFUNCTION("""COMPUTED_VALUE"""),"M. ģim.")</f>
        <v>M. ģim.</v>
      </c>
      <c r="I4079" s="2" t="str">
        <f>IFERROR(__xludf.DUMMYFUNCTION("""COMPUTED_VALUE"""),"Brick")</f>
        <v>Brick</v>
      </c>
      <c r="J4079" s="2" t="str">
        <f>IFERROR(__xludf.DUMMYFUNCTION("""COMPUTED_VALUE"""),"All amenities")</f>
        <v>All amenities</v>
      </c>
      <c r="K4079" s="2">
        <f>IFERROR(__xludf.DUMMYFUNCTION("""COMPUTED_VALUE"""),16500.0)</f>
        <v>16500</v>
      </c>
      <c r="L4079" s="2" t="str">
        <f>IFERROR(__xludf.DUMMYFUNCTION("""COMPUTED_VALUE"""),"NaN")</f>
        <v>NaN</v>
      </c>
      <c r="M4079" s="2" t="str">
        <f>IFERROR(__xludf.DUMMYFUNCTION("""COMPUTED_VALUE"""),"NaN")</f>
        <v>NaN</v>
      </c>
    </row>
    <row r="4080">
      <c r="A4080" s="2" t="str">
        <f>IFERROR(__xludf.DUMMYFUNCTION("""COMPUTED_VALUE"""),"For rent")</f>
        <v>For rent</v>
      </c>
      <c r="B4080" s="2" t="str">
        <f>IFERROR(__xludf.DUMMYFUNCTION("""COMPUTED_VALUE"""),"Jugla")</f>
        <v>Jugla</v>
      </c>
      <c r="C4080" s="2" t="str">
        <f>IFERROR(__xludf.DUMMYFUNCTION("""COMPUTED_VALUE"""),"Juglas 29")</f>
        <v>Juglas 29</v>
      </c>
      <c r="D4080" s="2">
        <f>IFERROR(__xludf.DUMMYFUNCTION("""COMPUTED_VALUE"""),1.0)</f>
        <v>1</v>
      </c>
      <c r="E4080" s="2">
        <f>IFERROR(__xludf.DUMMYFUNCTION("""COMPUTED_VALUE"""),31.0)</f>
        <v>31</v>
      </c>
      <c r="F4080" s="2">
        <f>IFERROR(__xludf.DUMMYFUNCTION("""COMPUTED_VALUE"""),4.0)</f>
        <v>4</v>
      </c>
      <c r="G4080" s="2">
        <f>IFERROR(__xludf.DUMMYFUNCTION("""COMPUTED_VALUE"""),4.0)</f>
        <v>4</v>
      </c>
      <c r="H4080" s="2" t="str">
        <f>IFERROR(__xludf.DUMMYFUNCTION("""COMPUTED_VALUE"""),"Specpr.")</f>
        <v>Specpr.</v>
      </c>
      <c r="I4080" s="2" t="str">
        <f>IFERROR(__xludf.DUMMYFUNCTION("""COMPUTED_VALUE"""),"Brick")</f>
        <v>Brick</v>
      </c>
      <c r="J4080" s="2" t="str">
        <f>IFERROR(__xludf.DUMMYFUNCTION("""COMPUTED_VALUE"""),"All amenities")</f>
        <v>All amenities</v>
      </c>
      <c r="K4080" s="2">
        <f>IFERROR(__xludf.DUMMYFUNCTION("""COMPUTED_VALUE"""),170.0)</f>
        <v>170</v>
      </c>
      <c r="L4080" s="2">
        <f>IFERROR(__xludf.DUMMYFUNCTION("""COMPUTED_VALUE"""),56.9820832)</f>
        <v>56.9820832</v>
      </c>
      <c r="M4080" s="2">
        <f>IFERROR(__xludf.DUMMYFUNCTION("""COMPUTED_VALUE"""),24.2512169555717)</f>
        <v>24.25121696</v>
      </c>
    </row>
    <row r="4081">
      <c r="A4081" s="2" t="str">
        <f>IFERROR(__xludf.DUMMYFUNCTION("""COMPUTED_VALUE"""),"For sale")</f>
        <v>For sale</v>
      </c>
      <c r="B4081" s="2" t="str">
        <f>IFERROR(__xludf.DUMMYFUNCTION("""COMPUTED_VALUE"""),"Pļavnieki")</f>
        <v>Pļavnieki</v>
      </c>
      <c r="C4081" s="2" t="str">
        <f>IFERROR(__xludf.DUMMYFUNCTION("""COMPUTED_VALUE"""),"Krustpils 73-k-3")</f>
        <v>Krustpils 73-k-3</v>
      </c>
      <c r="D4081" s="2">
        <f>IFERROR(__xludf.DUMMYFUNCTION("""COMPUTED_VALUE"""),1.0)</f>
        <v>1</v>
      </c>
      <c r="E4081" s="2">
        <f>IFERROR(__xludf.DUMMYFUNCTION("""COMPUTED_VALUE"""),18.0)</f>
        <v>18</v>
      </c>
      <c r="F4081" s="2">
        <f>IFERROR(__xludf.DUMMYFUNCTION("""COMPUTED_VALUE"""),2.0)</f>
        <v>2</v>
      </c>
      <c r="G4081" s="2">
        <f>IFERROR(__xludf.DUMMYFUNCTION("""COMPUTED_VALUE"""),3.0)</f>
        <v>3</v>
      </c>
      <c r="H4081" s="2" t="str">
        <f>IFERROR(__xludf.DUMMYFUNCTION("""COMPUTED_VALUE"""),"M. ģim.")</f>
        <v>M. ģim.</v>
      </c>
      <c r="I4081" s="2" t="str">
        <f>IFERROR(__xludf.DUMMYFUNCTION("""COMPUTED_VALUE"""),"Brick-Panel")</f>
        <v>Brick-Panel</v>
      </c>
      <c r="J4081" s="2" t="str">
        <f>IFERROR(__xludf.DUMMYFUNCTION("""COMPUTED_VALUE"""),"All amenities")</f>
        <v>All amenities</v>
      </c>
      <c r="K4081" s="2">
        <f>IFERROR(__xludf.DUMMYFUNCTION("""COMPUTED_VALUE"""),16500.0)</f>
        <v>16500</v>
      </c>
      <c r="L4081" s="2" t="str">
        <f>IFERROR(__xludf.DUMMYFUNCTION("""COMPUTED_VALUE"""),"NaN")</f>
        <v>NaN</v>
      </c>
      <c r="M4081" s="2" t="str">
        <f>IFERROR(__xludf.DUMMYFUNCTION("""COMPUTED_VALUE"""),"NaN")</f>
        <v>NaN</v>
      </c>
    </row>
    <row r="4082">
      <c r="A4082" s="2" t="str">
        <f>IFERROR(__xludf.DUMMYFUNCTION("""COMPUTED_VALUE"""),"For sale")</f>
        <v>For sale</v>
      </c>
      <c r="B4082" s="2" t="str">
        <f>IFERROR(__xludf.DUMMYFUNCTION("""COMPUTED_VALUE"""),"Krasta r-ns")</f>
        <v>Krasta r-ns</v>
      </c>
      <c r="C4082" s="2" t="str">
        <f>IFERROR(__xludf.DUMMYFUNCTION("""COMPUTED_VALUE"""),"Maskavas 192")</f>
        <v>Maskavas 192</v>
      </c>
      <c r="D4082" s="2">
        <f>IFERROR(__xludf.DUMMYFUNCTION("""COMPUTED_VALUE"""),3.0)</f>
        <v>3</v>
      </c>
      <c r="E4082" s="2">
        <f>IFERROR(__xludf.DUMMYFUNCTION("""COMPUTED_VALUE"""),68.0)</f>
        <v>68</v>
      </c>
      <c r="F4082" s="2">
        <f>IFERROR(__xludf.DUMMYFUNCTION("""COMPUTED_VALUE"""),5.0)</f>
        <v>5</v>
      </c>
      <c r="G4082" s="2">
        <f>IFERROR(__xludf.DUMMYFUNCTION("""COMPUTED_VALUE"""),9.0)</f>
        <v>9</v>
      </c>
      <c r="H4082" s="2" t="str">
        <f>IFERROR(__xludf.DUMMYFUNCTION("""COMPUTED_VALUE"""),"Jaun.")</f>
        <v>Jaun.</v>
      </c>
      <c r="I4082" s="2" t="str">
        <f>IFERROR(__xludf.DUMMYFUNCTION("""COMPUTED_VALUE"""),"Masonry")</f>
        <v>Masonry</v>
      </c>
      <c r="J4082" s="2" t="str">
        <f>IFERROR(__xludf.DUMMYFUNCTION("""COMPUTED_VALUE"""),"All amenities")</f>
        <v>All amenities</v>
      </c>
      <c r="K4082" s="2">
        <f>IFERROR(__xludf.DUMMYFUNCTION("""COMPUTED_VALUE"""),108000.0)</f>
        <v>108000</v>
      </c>
      <c r="L4082" s="2">
        <f>IFERROR(__xludf.DUMMYFUNCTION("""COMPUTED_VALUE"""),56.8597884)</f>
        <v>56.8597884</v>
      </c>
      <c r="M4082" s="2">
        <f>IFERROR(__xludf.DUMMYFUNCTION("""COMPUTED_VALUE"""),24.3083417)</f>
        <v>24.3083417</v>
      </c>
    </row>
    <row r="4083">
      <c r="A4083" s="2" t="str">
        <f>IFERROR(__xludf.DUMMYFUNCTION("""COMPUTED_VALUE"""),"For sale")</f>
        <v>For sale</v>
      </c>
      <c r="B4083" s="2" t="str">
        <f>IFERROR(__xludf.DUMMYFUNCTION("""COMPUTED_VALUE"""),"Ķengarags")</f>
        <v>Ķengarags</v>
      </c>
      <c r="C4083" s="2" t="str">
        <f>IFERROR(__xludf.DUMMYFUNCTION("""COMPUTED_VALUE"""),"Lokomotīves 80")</f>
        <v>Lokomotīves 80</v>
      </c>
      <c r="D4083" s="2">
        <f>IFERROR(__xludf.DUMMYFUNCTION("""COMPUTED_VALUE"""),1.0)</f>
        <v>1</v>
      </c>
      <c r="E4083" s="2">
        <f>IFERROR(__xludf.DUMMYFUNCTION("""COMPUTED_VALUE"""),31.0)</f>
        <v>31</v>
      </c>
      <c r="F4083" s="2">
        <f>IFERROR(__xludf.DUMMYFUNCTION("""COMPUTED_VALUE"""),2.0)</f>
        <v>2</v>
      </c>
      <c r="G4083" s="2">
        <f>IFERROR(__xludf.DUMMYFUNCTION("""COMPUTED_VALUE"""),5.0)</f>
        <v>5</v>
      </c>
      <c r="H4083" s="2" t="str">
        <f>IFERROR(__xludf.DUMMYFUNCTION("""COMPUTED_VALUE"""),"LT proj.")</f>
        <v>LT proj.</v>
      </c>
      <c r="I4083" s="2" t="str">
        <f>IFERROR(__xludf.DUMMYFUNCTION("""COMPUTED_VALUE"""),"Panel")</f>
        <v>Panel</v>
      </c>
      <c r="J4083" s="2" t="str">
        <f>IFERROR(__xludf.DUMMYFUNCTION("""COMPUTED_VALUE"""),"All amenities")</f>
        <v>All amenities</v>
      </c>
      <c r="K4083" s="2">
        <f>IFERROR(__xludf.DUMMYFUNCTION("""COMPUTED_VALUE"""),33000.0)</f>
        <v>33000</v>
      </c>
      <c r="L4083" s="2">
        <f>IFERROR(__xludf.DUMMYFUNCTION("""COMPUTED_VALUE"""),56.9026121499999)</f>
        <v>56.90261215</v>
      </c>
      <c r="M4083" s="2">
        <f>IFERROR(__xludf.DUMMYFUNCTION("""COMPUTED_VALUE"""),24.2121214389937)</f>
        <v>24.21212144</v>
      </c>
    </row>
    <row r="4084">
      <c r="A4084" s="2" t="str">
        <f>IFERROR(__xludf.DUMMYFUNCTION("""COMPUTED_VALUE"""),"For sale")</f>
        <v>For sale</v>
      </c>
      <c r="B4084" s="2" t="str">
        <f>IFERROR(__xludf.DUMMYFUNCTION("""COMPUTED_VALUE"""),"Krasta r-ns")</f>
        <v>Krasta r-ns</v>
      </c>
      <c r="C4084" s="2" t="str">
        <f>IFERROR(__xludf.DUMMYFUNCTION("""COMPUTED_VALUE"""),"Maskavas 192")</f>
        <v>Maskavas 192</v>
      </c>
      <c r="D4084" s="2">
        <f>IFERROR(__xludf.DUMMYFUNCTION("""COMPUTED_VALUE"""),4.0)</f>
        <v>4</v>
      </c>
      <c r="E4084" s="2">
        <f>IFERROR(__xludf.DUMMYFUNCTION("""COMPUTED_VALUE"""),73.4)</f>
        <v>73.4</v>
      </c>
      <c r="F4084" s="2">
        <f>IFERROR(__xludf.DUMMYFUNCTION("""COMPUTED_VALUE"""),6.0)</f>
        <v>6</v>
      </c>
      <c r="G4084" s="2">
        <f>IFERROR(__xludf.DUMMYFUNCTION("""COMPUTED_VALUE"""),9.0)</f>
        <v>9</v>
      </c>
      <c r="H4084" s="2" t="str">
        <f>IFERROR(__xludf.DUMMYFUNCTION("""COMPUTED_VALUE"""),"Jaun.")</f>
        <v>Jaun.</v>
      </c>
      <c r="I4084" s="2" t="str">
        <f>IFERROR(__xludf.DUMMYFUNCTION("""COMPUTED_VALUE"""),"Panel")</f>
        <v>Panel</v>
      </c>
      <c r="J4084" s="2" t="str">
        <f>IFERROR(__xludf.DUMMYFUNCTION("""COMPUTED_VALUE"""),"All amenities")</f>
        <v>All amenities</v>
      </c>
      <c r="K4084" s="2">
        <f>IFERROR(__xludf.DUMMYFUNCTION("""COMPUTED_VALUE"""),121000.0)</f>
        <v>121000</v>
      </c>
      <c r="L4084" s="2">
        <f>IFERROR(__xludf.DUMMYFUNCTION("""COMPUTED_VALUE"""),56.8597884)</f>
        <v>56.8597884</v>
      </c>
      <c r="M4084" s="2">
        <f>IFERROR(__xludf.DUMMYFUNCTION("""COMPUTED_VALUE"""),24.3083417)</f>
        <v>24.3083417</v>
      </c>
    </row>
    <row r="4085">
      <c r="A4085" s="2" t="str">
        <f>IFERROR(__xludf.DUMMYFUNCTION("""COMPUTED_VALUE"""),"For sale")</f>
        <v>For sale</v>
      </c>
      <c r="B4085" s="2" t="str">
        <f>IFERROR(__xludf.DUMMYFUNCTION("""COMPUTED_VALUE"""),"centrs")</f>
        <v>centrs</v>
      </c>
      <c r="C4085" s="2" t="str">
        <f>IFERROR(__xludf.DUMMYFUNCTION("""COMPUTED_VALUE"""),"Vesetas 26")</f>
        <v>Vesetas 26</v>
      </c>
      <c r="D4085" s="2">
        <f>IFERROR(__xludf.DUMMYFUNCTION("""COMPUTED_VALUE"""),3.0)</f>
        <v>3</v>
      </c>
      <c r="E4085" s="2">
        <f>IFERROR(__xludf.DUMMYFUNCTION("""COMPUTED_VALUE"""),63.0)</f>
        <v>63</v>
      </c>
      <c r="F4085" s="2">
        <f>IFERROR(__xludf.DUMMYFUNCTION("""COMPUTED_VALUE"""),6.0)</f>
        <v>6</v>
      </c>
      <c r="G4085" s="2">
        <f>IFERROR(__xludf.DUMMYFUNCTION("""COMPUTED_VALUE"""),8.0)</f>
        <v>8</v>
      </c>
      <c r="H4085" s="2" t="str">
        <f>IFERROR(__xludf.DUMMYFUNCTION("""COMPUTED_VALUE"""),"Jaun.")</f>
        <v>Jaun.</v>
      </c>
      <c r="I4085" s="2" t="str">
        <f>IFERROR(__xludf.DUMMYFUNCTION("""COMPUTED_VALUE"""),"Brick-Panel")</f>
        <v>Brick-Panel</v>
      </c>
      <c r="J4085" s="2" t="str">
        <f>IFERROR(__xludf.DUMMYFUNCTION("""COMPUTED_VALUE"""),"All amenities")</f>
        <v>All amenities</v>
      </c>
      <c r="K4085" s="2">
        <f>IFERROR(__xludf.DUMMYFUNCTION("""COMPUTED_VALUE"""),135000.0)</f>
        <v>135000</v>
      </c>
      <c r="L4085" s="2">
        <f>IFERROR(__xludf.DUMMYFUNCTION("""COMPUTED_VALUE"""),56.9628209)</f>
        <v>56.9628209</v>
      </c>
      <c r="M4085" s="2">
        <f>IFERROR(__xludf.DUMMYFUNCTION("""COMPUTED_VALUE"""),24.1203782)</f>
        <v>24.1203782</v>
      </c>
    </row>
    <row r="4086">
      <c r="A4086" s="2" t="str">
        <f>IFERROR(__xludf.DUMMYFUNCTION("""COMPUTED_VALUE"""),"For rent")</f>
        <v>For rent</v>
      </c>
      <c r="B4086" s="2" t="str">
        <f>IFERROR(__xludf.DUMMYFUNCTION("""COMPUTED_VALUE"""),"centrs")</f>
        <v>centrs</v>
      </c>
      <c r="C4086" s="2" t="str">
        <f>IFERROR(__xludf.DUMMYFUNCTION("""COMPUTED_VALUE"""),"Zaubes 5")</f>
        <v>Zaubes 5</v>
      </c>
      <c r="D4086" s="2">
        <f>IFERROR(__xludf.DUMMYFUNCTION("""COMPUTED_VALUE"""),1.0)</f>
        <v>1</v>
      </c>
      <c r="E4086" s="2">
        <f>IFERROR(__xludf.DUMMYFUNCTION("""COMPUTED_VALUE"""),25.0)</f>
        <v>25</v>
      </c>
      <c r="F4086" s="2">
        <f>IFERROR(__xludf.DUMMYFUNCTION("""COMPUTED_VALUE"""),4.0)</f>
        <v>4</v>
      </c>
      <c r="G4086" s="2">
        <f>IFERROR(__xludf.DUMMYFUNCTION("""COMPUTED_VALUE"""),6.0)</f>
        <v>6</v>
      </c>
      <c r="H4086" s="2" t="str">
        <f>IFERROR(__xludf.DUMMYFUNCTION("""COMPUTED_VALUE"""),"P. kara")</f>
        <v>P. kara</v>
      </c>
      <c r="I4086" s="2" t="str">
        <f>IFERROR(__xludf.DUMMYFUNCTION("""COMPUTED_VALUE"""),"Brick")</f>
        <v>Brick</v>
      </c>
      <c r="J4086" s="2" t="str">
        <f>IFERROR(__xludf.DUMMYFUNCTION("""COMPUTED_VALUE"""),"All amenities")</f>
        <v>All amenities</v>
      </c>
      <c r="K4086" s="2">
        <f>IFERROR(__xludf.DUMMYFUNCTION("""COMPUTED_VALUE"""),330.0)</f>
        <v>330</v>
      </c>
      <c r="L4086" s="2">
        <f>IFERROR(__xludf.DUMMYFUNCTION("""COMPUTED_VALUE"""),56.9630335)</f>
        <v>56.9630335</v>
      </c>
      <c r="M4086" s="2">
        <f>IFERROR(__xludf.DUMMYFUNCTION("""COMPUTED_VALUE"""),24.1225038935685)</f>
        <v>24.12250389</v>
      </c>
    </row>
    <row r="4087">
      <c r="A4087" s="2" t="str">
        <f>IFERROR(__xludf.DUMMYFUNCTION("""COMPUTED_VALUE"""),"For rent")</f>
        <v>For rent</v>
      </c>
      <c r="B4087" s="2" t="str">
        <f>IFERROR(__xludf.DUMMYFUNCTION("""COMPUTED_VALUE"""),"centrs")</f>
        <v>centrs</v>
      </c>
      <c r="C4087" s="2" t="str">
        <f>IFERROR(__xludf.DUMMYFUNCTION("""COMPUTED_VALUE"""),"Čaka 67")</f>
        <v>Čaka 67</v>
      </c>
      <c r="D4087" s="2">
        <f>IFERROR(__xludf.DUMMYFUNCTION("""COMPUTED_VALUE"""),1.0)</f>
        <v>1</v>
      </c>
      <c r="E4087" s="2">
        <f>IFERROR(__xludf.DUMMYFUNCTION("""COMPUTED_VALUE"""),25.0)</f>
        <v>25</v>
      </c>
      <c r="F4087" s="2">
        <f>IFERROR(__xludf.DUMMYFUNCTION("""COMPUTED_VALUE"""),6.0)</f>
        <v>6</v>
      </c>
      <c r="G4087" s="2">
        <f>IFERROR(__xludf.DUMMYFUNCTION("""COMPUTED_VALUE"""),6.0)</f>
        <v>6</v>
      </c>
      <c r="H4087" s="2" t="str">
        <f>IFERROR(__xludf.DUMMYFUNCTION("""COMPUTED_VALUE"""),"P. kara")</f>
        <v>P. kara</v>
      </c>
      <c r="I4087" s="2" t="str">
        <f>IFERROR(__xludf.DUMMYFUNCTION("""COMPUTED_VALUE"""),"Brick")</f>
        <v>Brick</v>
      </c>
      <c r="J4087" s="2" t="str">
        <f>IFERROR(__xludf.DUMMYFUNCTION("""COMPUTED_VALUE"""),"All amenities")</f>
        <v>All amenities</v>
      </c>
      <c r="K4087" s="2">
        <f>IFERROR(__xludf.DUMMYFUNCTION("""COMPUTED_VALUE"""),265.0)</f>
        <v>265</v>
      </c>
      <c r="L4087" s="2">
        <f>IFERROR(__xludf.DUMMYFUNCTION("""COMPUTED_VALUE"""),56.9559351)</f>
        <v>56.9559351</v>
      </c>
      <c r="M4087" s="2">
        <f>IFERROR(__xludf.DUMMYFUNCTION("""COMPUTED_VALUE"""),24.1353956)</f>
        <v>24.1353956</v>
      </c>
    </row>
    <row r="4088">
      <c r="A4088" s="2" t="str">
        <f>IFERROR(__xludf.DUMMYFUNCTION("""COMPUTED_VALUE"""),"For sale")</f>
        <v>For sale</v>
      </c>
      <c r="B4088" s="2" t="str">
        <f>IFERROR(__xludf.DUMMYFUNCTION("""COMPUTED_VALUE"""),"centrs")</f>
        <v>centrs</v>
      </c>
      <c r="C4088" s="2" t="str">
        <f>IFERROR(__xludf.DUMMYFUNCTION("""COMPUTED_VALUE"""),"Tallinas 90")</f>
        <v>Tallinas 90</v>
      </c>
      <c r="D4088" s="2">
        <f>IFERROR(__xludf.DUMMYFUNCTION("""COMPUTED_VALUE"""),1.0)</f>
        <v>1</v>
      </c>
      <c r="E4088" s="2">
        <f>IFERROR(__xludf.DUMMYFUNCTION("""COMPUTED_VALUE"""),28.0)</f>
        <v>28</v>
      </c>
      <c r="F4088" s="2">
        <f>IFERROR(__xludf.DUMMYFUNCTION("""COMPUTED_VALUE"""),5.0)</f>
        <v>5</v>
      </c>
      <c r="G4088" s="2">
        <f>IFERROR(__xludf.DUMMYFUNCTION("""COMPUTED_VALUE"""),6.0)</f>
        <v>6</v>
      </c>
      <c r="H4088" s="2" t="str">
        <f>IFERROR(__xludf.DUMMYFUNCTION("""COMPUTED_VALUE"""),"Renov.")</f>
        <v>Renov.</v>
      </c>
      <c r="I4088" s="2" t="str">
        <f>IFERROR(__xludf.DUMMYFUNCTION("""COMPUTED_VALUE"""),"Masonry")</f>
        <v>Masonry</v>
      </c>
      <c r="J4088" s="2" t="str">
        <f>IFERROR(__xludf.DUMMYFUNCTION("""COMPUTED_VALUE"""),"All amenities")</f>
        <v>All amenities</v>
      </c>
      <c r="K4088" s="2">
        <f>IFERROR(__xludf.DUMMYFUNCTION("""COMPUTED_VALUE"""),50500.0)</f>
        <v>50500</v>
      </c>
      <c r="L4088" s="2">
        <f>IFERROR(__xludf.DUMMYFUNCTION("""COMPUTED_VALUE"""),56.9561637)</f>
        <v>56.9561637</v>
      </c>
      <c r="M4088" s="2">
        <f>IFERROR(__xludf.DUMMYFUNCTION("""COMPUTED_VALUE"""),24.1488230999999)</f>
        <v>24.1488231</v>
      </c>
    </row>
    <row r="4089">
      <c r="A4089" s="2" t="str">
        <f>IFERROR(__xludf.DUMMYFUNCTION("""COMPUTED_VALUE"""),"For sale")</f>
        <v>For sale</v>
      </c>
      <c r="B4089" s="2" t="str">
        <f>IFERROR(__xludf.DUMMYFUNCTION("""COMPUTED_VALUE"""),"centrs")</f>
        <v>centrs</v>
      </c>
      <c r="C4089" s="2" t="str">
        <f>IFERROR(__xludf.DUMMYFUNCTION("""COMPUTED_VALUE"""),"Grostonas 21")</f>
        <v>Grostonas 21</v>
      </c>
      <c r="D4089" s="2">
        <f>IFERROR(__xludf.DUMMYFUNCTION("""COMPUTED_VALUE"""),3.0)</f>
        <v>3</v>
      </c>
      <c r="E4089" s="2">
        <f>IFERROR(__xludf.DUMMYFUNCTION("""COMPUTED_VALUE"""),92.0)</f>
        <v>92</v>
      </c>
      <c r="F4089" s="2">
        <f>IFERROR(__xludf.DUMMYFUNCTION("""COMPUTED_VALUE"""),6.0)</f>
        <v>6</v>
      </c>
      <c r="G4089" s="2">
        <f>IFERROR(__xludf.DUMMYFUNCTION("""COMPUTED_VALUE"""),8.0)</f>
        <v>8</v>
      </c>
      <c r="H4089" s="2" t="str">
        <f>IFERROR(__xludf.DUMMYFUNCTION("""COMPUTED_VALUE"""),"Jaun.")</f>
        <v>Jaun.</v>
      </c>
      <c r="I4089" s="2" t="str">
        <f>IFERROR(__xludf.DUMMYFUNCTION("""COMPUTED_VALUE"""),"Panel")</f>
        <v>Panel</v>
      </c>
      <c r="J4089" s="2" t="str">
        <f>IFERROR(__xludf.DUMMYFUNCTION("""COMPUTED_VALUE"""),"All amenities")</f>
        <v>All amenities</v>
      </c>
      <c r="K4089" s="2">
        <f>IFERROR(__xludf.DUMMYFUNCTION("""COMPUTED_VALUE"""),255000.0)</f>
        <v>255000</v>
      </c>
      <c r="L4089" s="2">
        <f>IFERROR(__xludf.DUMMYFUNCTION("""COMPUTED_VALUE"""),56.9709196)</f>
        <v>56.9709196</v>
      </c>
      <c r="M4089" s="2">
        <f>IFERROR(__xludf.DUMMYFUNCTION("""COMPUTED_VALUE"""),24.1249656274005)</f>
        <v>24.12496563</v>
      </c>
    </row>
    <row r="4090">
      <c r="A4090" s="2" t="str">
        <f>IFERROR(__xludf.DUMMYFUNCTION("""COMPUTED_VALUE"""),"For sale")</f>
        <v>For sale</v>
      </c>
      <c r="B4090" s="2" t="str">
        <f>IFERROR(__xludf.DUMMYFUNCTION("""COMPUTED_VALUE"""),"centrs")</f>
        <v>centrs</v>
      </c>
      <c r="C4090" s="2" t="str">
        <f>IFERROR(__xludf.DUMMYFUNCTION("""COMPUTED_VALUE"""),"Kungu 25")</f>
        <v>Kungu 25</v>
      </c>
      <c r="D4090" s="2">
        <f>IFERROR(__xludf.DUMMYFUNCTION("""COMPUTED_VALUE"""),3.0)</f>
        <v>3</v>
      </c>
      <c r="E4090" s="2">
        <f>IFERROR(__xludf.DUMMYFUNCTION("""COMPUTED_VALUE"""),132.0)</f>
        <v>132</v>
      </c>
      <c r="F4090" s="2">
        <f>IFERROR(__xludf.DUMMYFUNCTION("""COMPUTED_VALUE"""),3.0)</f>
        <v>3</v>
      </c>
      <c r="G4090" s="2">
        <f>IFERROR(__xludf.DUMMYFUNCTION("""COMPUTED_VALUE"""),6.0)</f>
        <v>6</v>
      </c>
      <c r="H4090" s="2" t="str">
        <f>IFERROR(__xludf.DUMMYFUNCTION("""COMPUTED_VALUE"""),"Jaun.")</f>
        <v>Jaun.</v>
      </c>
      <c r="I4090" s="2" t="str">
        <f>IFERROR(__xludf.DUMMYFUNCTION("""COMPUTED_VALUE"""),"Masonry")</f>
        <v>Masonry</v>
      </c>
      <c r="J4090" s="2" t="str">
        <f>IFERROR(__xludf.DUMMYFUNCTION("""COMPUTED_VALUE"""),"All amenities")</f>
        <v>All amenities</v>
      </c>
      <c r="K4090" s="2">
        <f>IFERROR(__xludf.DUMMYFUNCTION("""COMPUTED_VALUE"""),265000.0)</f>
        <v>265000</v>
      </c>
      <c r="L4090" s="2">
        <f>IFERROR(__xludf.DUMMYFUNCTION("""COMPUTED_VALUE"""),56.9453381999999)</f>
        <v>56.9453382</v>
      </c>
      <c r="M4090" s="2">
        <f>IFERROR(__xludf.DUMMYFUNCTION("""COMPUTED_VALUE"""),24.1094639533088)</f>
        <v>24.10946395</v>
      </c>
    </row>
    <row r="4091">
      <c r="A4091" s="2" t="str">
        <f>IFERROR(__xludf.DUMMYFUNCTION("""COMPUTED_VALUE"""),"For rent")</f>
        <v>For rent</v>
      </c>
      <c r="B4091" s="2" t="str">
        <f>IFERROR(__xludf.DUMMYFUNCTION("""COMPUTED_VALUE"""),"centrs")</f>
        <v>centrs</v>
      </c>
      <c r="C4091" s="2" t="str">
        <f>IFERROR(__xludf.DUMMYFUNCTION("""COMPUTED_VALUE"""),"Valdemāra 75")</f>
        <v>Valdemāra 75</v>
      </c>
      <c r="D4091" s="2">
        <f>IFERROR(__xludf.DUMMYFUNCTION("""COMPUTED_VALUE"""),3.0)</f>
        <v>3</v>
      </c>
      <c r="E4091" s="2">
        <f>IFERROR(__xludf.DUMMYFUNCTION("""COMPUTED_VALUE"""),100.0)</f>
        <v>100</v>
      </c>
      <c r="F4091" s="2">
        <f>IFERROR(__xludf.DUMMYFUNCTION("""COMPUTED_VALUE"""),2.0)</f>
        <v>2</v>
      </c>
      <c r="G4091" s="2">
        <f>IFERROR(__xludf.DUMMYFUNCTION("""COMPUTED_VALUE"""),5.0)</f>
        <v>5</v>
      </c>
      <c r="H4091" s="2" t="str">
        <f>IFERROR(__xludf.DUMMYFUNCTION("""COMPUTED_VALUE"""),"P. kara")</f>
        <v>P. kara</v>
      </c>
      <c r="I4091" s="2" t="str">
        <f>IFERROR(__xludf.DUMMYFUNCTION("""COMPUTED_VALUE"""),"Masonry")</f>
        <v>Masonry</v>
      </c>
      <c r="J4091" s="2" t="str">
        <f>IFERROR(__xludf.DUMMYFUNCTION("""COMPUTED_VALUE"""),"All amenities")</f>
        <v>All amenities</v>
      </c>
      <c r="K4091" s="2">
        <f>IFERROR(__xludf.DUMMYFUNCTION("""COMPUTED_VALUE"""),850.0)</f>
        <v>850</v>
      </c>
      <c r="L4091" s="2">
        <f>IFERROR(__xludf.DUMMYFUNCTION("""COMPUTED_VALUE"""),56.9625239)</f>
        <v>56.9625239</v>
      </c>
      <c r="M4091" s="2">
        <f>IFERROR(__xludf.DUMMYFUNCTION("""COMPUTED_VALUE"""),24.1239015)</f>
        <v>24.1239015</v>
      </c>
    </row>
    <row r="4092">
      <c r="A4092" s="2" t="str">
        <f>IFERROR(__xludf.DUMMYFUNCTION("""COMPUTED_VALUE"""),"For rent")</f>
        <v>For rent</v>
      </c>
      <c r="B4092" s="2" t="str">
        <f>IFERROR(__xludf.DUMMYFUNCTION("""COMPUTED_VALUE"""),"Šampēteris-Pleskodāle")</f>
        <v>Šampēteris-Pleskodāle</v>
      </c>
      <c r="C4092" s="2" t="str">
        <f>IFERROR(__xludf.DUMMYFUNCTION("""COMPUTED_VALUE"""),"Astras 10a")</f>
        <v>Astras 10a</v>
      </c>
      <c r="D4092" s="2">
        <f>IFERROR(__xludf.DUMMYFUNCTION("""COMPUTED_VALUE"""),2.0)</f>
        <v>2</v>
      </c>
      <c r="E4092" s="2">
        <f>IFERROR(__xludf.DUMMYFUNCTION("""COMPUTED_VALUE"""),79.0)</f>
        <v>79</v>
      </c>
      <c r="F4092" s="2">
        <f>IFERROR(__xludf.DUMMYFUNCTION("""COMPUTED_VALUE"""),3.0)</f>
        <v>3</v>
      </c>
      <c r="G4092" s="2">
        <f>IFERROR(__xludf.DUMMYFUNCTION("""COMPUTED_VALUE"""),3.0)</f>
        <v>3</v>
      </c>
      <c r="H4092" s="2" t="str">
        <f>IFERROR(__xludf.DUMMYFUNCTION("""COMPUTED_VALUE"""),"Jaun.")</f>
        <v>Jaun.</v>
      </c>
      <c r="I4092" s="2" t="str">
        <f>IFERROR(__xludf.DUMMYFUNCTION("""COMPUTED_VALUE"""),"Masonry")</f>
        <v>Masonry</v>
      </c>
      <c r="J4092" s="2" t="str">
        <f>IFERROR(__xludf.DUMMYFUNCTION("""COMPUTED_VALUE"""),"All amenities")</f>
        <v>All amenities</v>
      </c>
      <c r="K4092" s="2">
        <f>IFERROR(__xludf.DUMMYFUNCTION("""COMPUTED_VALUE"""),450.0)</f>
        <v>450</v>
      </c>
      <c r="L4092" s="2">
        <f>IFERROR(__xludf.DUMMYFUNCTION("""COMPUTED_VALUE"""),56.9619428)</f>
        <v>56.9619428</v>
      </c>
      <c r="M4092" s="2">
        <f>IFERROR(__xludf.DUMMYFUNCTION("""COMPUTED_VALUE"""),24.1992414)</f>
        <v>24.1992414</v>
      </c>
    </row>
    <row r="4093">
      <c r="A4093" s="2" t="str">
        <f>IFERROR(__xludf.DUMMYFUNCTION("""COMPUTED_VALUE"""),"For rent")</f>
        <v>For rent</v>
      </c>
      <c r="B4093" s="2" t="str">
        <f>IFERROR(__xludf.DUMMYFUNCTION("""COMPUTED_VALUE"""),"Šampēteris-Pleskodāle")</f>
        <v>Šampēteris-Pleskodāle</v>
      </c>
      <c r="C4093" s="2" t="str">
        <f>IFERROR(__xludf.DUMMYFUNCTION("""COMPUTED_VALUE"""),"Astras 10a")</f>
        <v>Astras 10a</v>
      </c>
      <c r="D4093" s="2">
        <f>IFERROR(__xludf.DUMMYFUNCTION("""COMPUTED_VALUE"""),1.0)</f>
        <v>1</v>
      </c>
      <c r="E4093" s="2">
        <f>IFERROR(__xludf.DUMMYFUNCTION("""COMPUTED_VALUE"""),69.0)</f>
        <v>69</v>
      </c>
      <c r="F4093" s="2">
        <f>IFERROR(__xludf.DUMMYFUNCTION("""COMPUTED_VALUE"""),3.0)</f>
        <v>3</v>
      </c>
      <c r="G4093" s="2">
        <f>IFERROR(__xludf.DUMMYFUNCTION("""COMPUTED_VALUE"""),3.0)</f>
        <v>3</v>
      </c>
      <c r="H4093" s="2" t="str">
        <f>IFERROR(__xludf.DUMMYFUNCTION("""COMPUTED_VALUE"""),"Jaun.")</f>
        <v>Jaun.</v>
      </c>
      <c r="I4093" s="2" t="str">
        <f>IFERROR(__xludf.DUMMYFUNCTION("""COMPUTED_VALUE"""),"Masonry")</f>
        <v>Masonry</v>
      </c>
      <c r="J4093" s="2" t="str">
        <f>IFERROR(__xludf.DUMMYFUNCTION("""COMPUTED_VALUE"""),"All amenities")</f>
        <v>All amenities</v>
      </c>
      <c r="K4093" s="2">
        <f>IFERROR(__xludf.DUMMYFUNCTION("""COMPUTED_VALUE"""),450.0)</f>
        <v>450</v>
      </c>
      <c r="L4093" s="2">
        <f>IFERROR(__xludf.DUMMYFUNCTION("""COMPUTED_VALUE"""),56.9619428)</f>
        <v>56.9619428</v>
      </c>
      <c r="M4093" s="2">
        <f>IFERROR(__xludf.DUMMYFUNCTION("""COMPUTED_VALUE"""),24.1992414)</f>
        <v>24.1992414</v>
      </c>
    </row>
    <row r="4094">
      <c r="A4094" s="2" t="str">
        <f>IFERROR(__xludf.DUMMYFUNCTION("""COMPUTED_VALUE"""),"For rent")</f>
        <v>For rent</v>
      </c>
      <c r="B4094" s="2" t="str">
        <f>IFERROR(__xludf.DUMMYFUNCTION("""COMPUTED_VALUE"""),"Šampēteris-Pleskodāle")</f>
        <v>Šampēteris-Pleskodāle</v>
      </c>
      <c r="C4094" s="2" t="str">
        <f>IFERROR(__xludf.DUMMYFUNCTION("""COMPUTED_VALUE"""),"Astras 10a")</f>
        <v>Astras 10a</v>
      </c>
      <c r="D4094" s="2">
        <f>IFERROR(__xludf.DUMMYFUNCTION("""COMPUTED_VALUE"""),1.0)</f>
        <v>1</v>
      </c>
      <c r="E4094" s="2">
        <f>IFERROR(__xludf.DUMMYFUNCTION("""COMPUTED_VALUE"""),82.0)</f>
        <v>82</v>
      </c>
      <c r="F4094" s="2">
        <f>IFERROR(__xludf.DUMMYFUNCTION("""COMPUTED_VALUE"""),2.0)</f>
        <v>2</v>
      </c>
      <c r="G4094" s="2">
        <f>IFERROR(__xludf.DUMMYFUNCTION("""COMPUTED_VALUE"""),3.0)</f>
        <v>3</v>
      </c>
      <c r="H4094" s="2" t="str">
        <f>IFERROR(__xludf.DUMMYFUNCTION("""COMPUTED_VALUE"""),"Priv. m.")</f>
        <v>Priv. m.</v>
      </c>
      <c r="I4094" s="2" t="str">
        <f>IFERROR(__xludf.DUMMYFUNCTION("""COMPUTED_VALUE"""),"Masonry")</f>
        <v>Masonry</v>
      </c>
      <c r="J4094" s="2" t="str">
        <f>IFERROR(__xludf.DUMMYFUNCTION("""COMPUTED_VALUE"""),"All amenities")</f>
        <v>All amenities</v>
      </c>
      <c r="K4094" s="2">
        <f>IFERROR(__xludf.DUMMYFUNCTION("""COMPUTED_VALUE"""),350.0)</f>
        <v>350</v>
      </c>
      <c r="L4094" s="2">
        <f>IFERROR(__xludf.DUMMYFUNCTION("""COMPUTED_VALUE"""),56.9619428)</f>
        <v>56.9619428</v>
      </c>
      <c r="M4094" s="2">
        <f>IFERROR(__xludf.DUMMYFUNCTION("""COMPUTED_VALUE"""),24.1992414)</f>
        <v>24.1992414</v>
      </c>
    </row>
    <row r="4095">
      <c r="A4095" s="2" t="str">
        <f>IFERROR(__xludf.DUMMYFUNCTION("""COMPUTED_VALUE"""),"For rent")</f>
        <v>For rent</v>
      </c>
      <c r="B4095" s="2" t="str">
        <f>IFERROR(__xludf.DUMMYFUNCTION("""COMPUTED_VALUE"""),"Pļavnieki")</f>
        <v>Pļavnieki</v>
      </c>
      <c r="C4095" s="2" t="str">
        <f>IFERROR(__xludf.DUMMYFUNCTION("""COMPUTED_VALUE"""),"Deglava 160")</f>
        <v>Deglava 160</v>
      </c>
      <c r="D4095" s="2">
        <f>IFERROR(__xludf.DUMMYFUNCTION("""COMPUTED_VALUE"""),1.0)</f>
        <v>1</v>
      </c>
      <c r="E4095" s="2">
        <f>IFERROR(__xludf.DUMMYFUNCTION("""COMPUTED_VALUE"""),32.0)</f>
        <v>32</v>
      </c>
      <c r="F4095" s="2">
        <f>IFERROR(__xludf.DUMMYFUNCTION("""COMPUTED_VALUE"""),2.0)</f>
        <v>2</v>
      </c>
      <c r="G4095" s="2">
        <f>IFERROR(__xludf.DUMMYFUNCTION("""COMPUTED_VALUE"""),9.0)</f>
        <v>9</v>
      </c>
      <c r="H4095" s="2">
        <f>IFERROR(__xludf.DUMMYFUNCTION("""COMPUTED_VALUE"""),602.0)</f>
        <v>602</v>
      </c>
      <c r="I4095" s="2" t="str">
        <f>IFERROR(__xludf.DUMMYFUNCTION("""COMPUTED_VALUE"""),"Panel")</f>
        <v>Panel</v>
      </c>
      <c r="J4095" s="2" t="str">
        <f>IFERROR(__xludf.DUMMYFUNCTION("""COMPUTED_VALUE"""),"All amenities")</f>
        <v>All amenities</v>
      </c>
      <c r="K4095" s="2">
        <f>IFERROR(__xludf.DUMMYFUNCTION("""COMPUTED_VALUE"""),250.0)</f>
        <v>250</v>
      </c>
      <c r="L4095" s="2">
        <f>IFERROR(__xludf.DUMMYFUNCTION("""COMPUTED_VALUE"""),56.9435988)</f>
        <v>56.9435988</v>
      </c>
      <c r="M4095" s="2">
        <f>IFERROR(__xludf.DUMMYFUNCTION("""COMPUTED_VALUE"""),24.222178695717)</f>
        <v>24.2221787</v>
      </c>
    </row>
    <row r="4096">
      <c r="A4096" s="2" t="str">
        <f>IFERROR(__xludf.DUMMYFUNCTION("""COMPUTED_VALUE"""),"For rent")</f>
        <v>For rent</v>
      </c>
      <c r="B4096" s="2" t="str">
        <f>IFERROR(__xludf.DUMMYFUNCTION("""COMPUTED_VALUE"""),"Purvciems")</f>
        <v>Purvciems</v>
      </c>
      <c r="C4096" s="2" t="str">
        <f>IFERROR(__xludf.DUMMYFUNCTION("""COMPUTED_VALUE"""),"Dzelzavas 76")</f>
        <v>Dzelzavas 76</v>
      </c>
      <c r="D4096" s="2">
        <f>IFERROR(__xludf.DUMMYFUNCTION("""COMPUTED_VALUE"""),2.0)</f>
        <v>2</v>
      </c>
      <c r="E4096" s="2">
        <f>IFERROR(__xludf.DUMMYFUNCTION("""COMPUTED_VALUE"""),50.0)</f>
        <v>50</v>
      </c>
      <c r="F4096" s="2">
        <f>IFERROR(__xludf.DUMMYFUNCTION("""COMPUTED_VALUE"""),9.0)</f>
        <v>9</v>
      </c>
      <c r="G4096" s="2">
        <f>IFERROR(__xludf.DUMMYFUNCTION("""COMPUTED_VALUE"""),9.0)</f>
        <v>9</v>
      </c>
      <c r="H4096" s="2">
        <f>IFERROR(__xludf.DUMMYFUNCTION("""COMPUTED_VALUE"""),602.0)</f>
        <v>602</v>
      </c>
      <c r="I4096" s="2" t="str">
        <f>IFERROR(__xludf.DUMMYFUNCTION("""COMPUTED_VALUE"""),"Panel")</f>
        <v>Panel</v>
      </c>
      <c r="J4096" s="2" t="str">
        <f>IFERROR(__xludf.DUMMYFUNCTION("""COMPUTED_VALUE"""),"All amenities")</f>
        <v>All amenities</v>
      </c>
      <c r="K4096" s="2">
        <f>IFERROR(__xludf.DUMMYFUNCTION("""COMPUTED_VALUE"""),270.0)</f>
        <v>270</v>
      </c>
      <c r="L4096" s="2">
        <f>IFERROR(__xludf.DUMMYFUNCTION("""COMPUTED_VALUE"""),56.9550112)</f>
        <v>56.9550112</v>
      </c>
      <c r="M4096" s="2">
        <f>IFERROR(__xludf.DUMMYFUNCTION("""COMPUTED_VALUE"""),24.1985621)</f>
        <v>24.1985621</v>
      </c>
    </row>
    <row r="4097">
      <c r="A4097" s="2" t="str">
        <f>IFERROR(__xludf.DUMMYFUNCTION("""COMPUTED_VALUE"""),"For rent")</f>
        <v>For rent</v>
      </c>
      <c r="B4097" s="2" t="str">
        <f>IFERROR(__xludf.DUMMYFUNCTION("""COMPUTED_VALUE"""),"centrs")</f>
        <v>centrs</v>
      </c>
      <c r="C4097" s="2" t="str">
        <f>IFERROR(__xludf.DUMMYFUNCTION("""COMPUTED_VALUE"""),"Avotu 23")</f>
        <v>Avotu 23</v>
      </c>
      <c r="D4097" s="2">
        <f>IFERROR(__xludf.DUMMYFUNCTION("""COMPUTED_VALUE"""),3.0)</f>
        <v>3</v>
      </c>
      <c r="E4097" s="2">
        <f>IFERROR(__xludf.DUMMYFUNCTION("""COMPUTED_VALUE"""),72.0)</f>
        <v>72</v>
      </c>
      <c r="F4097" s="2">
        <f>IFERROR(__xludf.DUMMYFUNCTION("""COMPUTED_VALUE"""),3.0)</f>
        <v>3</v>
      </c>
      <c r="G4097" s="2">
        <f>IFERROR(__xludf.DUMMYFUNCTION("""COMPUTED_VALUE"""),4.0)</f>
        <v>4</v>
      </c>
      <c r="H4097" s="2" t="str">
        <f>IFERROR(__xludf.DUMMYFUNCTION("""COMPUTED_VALUE"""),"Renov.")</f>
        <v>Renov.</v>
      </c>
      <c r="I4097" s="2" t="str">
        <f>IFERROR(__xludf.DUMMYFUNCTION("""COMPUTED_VALUE"""),"Masonry")</f>
        <v>Masonry</v>
      </c>
      <c r="J4097" s="2" t="str">
        <f>IFERROR(__xludf.DUMMYFUNCTION("""COMPUTED_VALUE"""),"All amenities")</f>
        <v>All amenities</v>
      </c>
      <c r="K4097" s="2">
        <f>IFERROR(__xludf.DUMMYFUNCTION("""COMPUTED_VALUE"""),700.0)</f>
        <v>700</v>
      </c>
      <c r="L4097" s="2">
        <f>IFERROR(__xludf.DUMMYFUNCTION("""COMPUTED_VALUE"""),56.9507636)</f>
        <v>56.9507636</v>
      </c>
      <c r="M4097" s="2">
        <f>IFERROR(__xludf.DUMMYFUNCTION("""COMPUTED_VALUE"""),24.1315174)</f>
        <v>24.1315174</v>
      </c>
    </row>
    <row r="4098">
      <c r="A4098" s="2" t="str">
        <f>IFERROR(__xludf.DUMMYFUNCTION("""COMPUTED_VALUE"""),"For sale")</f>
        <v>For sale</v>
      </c>
      <c r="B4098" s="2" t="str">
        <f>IFERROR(__xludf.DUMMYFUNCTION("""COMPUTED_VALUE"""),"centrs")</f>
        <v>centrs</v>
      </c>
      <c r="C4098" s="2" t="str">
        <f>IFERROR(__xludf.DUMMYFUNCTION("""COMPUTED_VALUE"""),"Klijānu 16")</f>
        <v>Klijānu 16</v>
      </c>
      <c r="D4098" s="2">
        <f>IFERROR(__xludf.DUMMYFUNCTION("""COMPUTED_VALUE"""),3.0)</f>
        <v>3</v>
      </c>
      <c r="E4098" s="2">
        <f>IFERROR(__xludf.DUMMYFUNCTION("""COMPUTED_VALUE"""),91.0)</f>
        <v>91</v>
      </c>
      <c r="F4098" s="2">
        <f>IFERROR(__xludf.DUMMYFUNCTION("""COMPUTED_VALUE"""),6.0)</f>
        <v>6</v>
      </c>
      <c r="G4098" s="2">
        <f>IFERROR(__xludf.DUMMYFUNCTION("""COMPUTED_VALUE"""),9.0)</f>
        <v>9</v>
      </c>
      <c r="H4098" s="2" t="str">
        <f>IFERROR(__xludf.DUMMYFUNCTION("""COMPUTED_VALUE"""),"Jaun.")</f>
        <v>Jaun.</v>
      </c>
      <c r="I4098" s="2" t="str">
        <f>IFERROR(__xludf.DUMMYFUNCTION("""COMPUTED_VALUE"""),"Masonry")</f>
        <v>Masonry</v>
      </c>
      <c r="J4098" s="2" t="str">
        <f>IFERROR(__xludf.DUMMYFUNCTION("""COMPUTED_VALUE"""),"All amenities")</f>
        <v>All amenities</v>
      </c>
      <c r="K4098" s="2">
        <f>IFERROR(__xludf.DUMMYFUNCTION("""COMPUTED_VALUE"""),150000.0)</f>
        <v>150000</v>
      </c>
      <c r="L4098" s="2">
        <f>IFERROR(__xludf.DUMMYFUNCTION("""COMPUTED_VALUE"""),56.9742195)</f>
        <v>56.9742195</v>
      </c>
      <c r="M4098" s="2">
        <f>IFERROR(__xludf.DUMMYFUNCTION("""COMPUTED_VALUE"""),24.1483510382088)</f>
        <v>24.14835104</v>
      </c>
    </row>
    <row r="4099">
      <c r="A4099" s="2" t="str">
        <f>IFERROR(__xludf.DUMMYFUNCTION("""COMPUTED_VALUE"""),"For rent")</f>
        <v>For rent</v>
      </c>
      <c r="B4099" s="2" t="str">
        <f>IFERROR(__xludf.DUMMYFUNCTION("""COMPUTED_VALUE"""),"centrs")</f>
        <v>centrs</v>
      </c>
      <c r="C4099" s="2" t="str">
        <f>IFERROR(__xludf.DUMMYFUNCTION("""COMPUTED_VALUE"""),"Maskavas 68")</f>
        <v>Maskavas 68</v>
      </c>
      <c r="D4099" s="2">
        <f>IFERROR(__xludf.DUMMYFUNCTION("""COMPUTED_VALUE"""),1.0)</f>
        <v>1</v>
      </c>
      <c r="E4099" s="2">
        <f>IFERROR(__xludf.DUMMYFUNCTION("""COMPUTED_VALUE"""),15.0)</f>
        <v>15</v>
      </c>
      <c r="F4099" s="2">
        <f>IFERROR(__xludf.DUMMYFUNCTION("""COMPUTED_VALUE"""),4.0)</f>
        <v>4</v>
      </c>
      <c r="G4099" s="2">
        <f>IFERROR(__xludf.DUMMYFUNCTION("""COMPUTED_VALUE"""),6.0)</f>
        <v>6</v>
      </c>
      <c r="H4099" s="2" t="str">
        <f>IFERROR(__xludf.DUMMYFUNCTION("""COMPUTED_VALUE"""),"P. kara")</f>
        <v>P. kara</v>
      </c>
      <c r="I4099" s="2" t="str">
        <f>IFERROR(__xludf.DUMMYFUNCTION("""COMPUTED_VALUE"""),"Masonry")</f>
        <v>Masonry</v>
      </c>
      <c r="J4099" s="2" t="str">
        <f>IFERROR(__xludf.DUMMYFUNCTION("""COMPUTED_VALUE"""),"All amenities")</f>
        <v>All amenities</v>
      </c>
      <c r="K4099" s="2">
        <f>IFERROR(__xludf.DUMMYFUNCTION("""COMPUTED_VALUE"""),100.0)</f>
        <v>100</v>
      </c>
      <c r="L4099" s="2">
        <f>IFERROR(__xludf.DUMMYFUNCTION("""COMPUTED_VALUE"""),56.8597884)</f>
        <v>56.8597884</v>
      </c>
      <c r="M4099" s="2">
        <f>IFERROR(__xludf.DUMMYFUNCTION("""COMPUTED_VALUE"""),24.3083417)</f>
        <v>24.3083417</v>
      </c>
    </row>
    <row r="4100">
      <c r="A4100" s="2" t="str">
        <f>IFERROR(__xludf.DUMMYFUNCTION("""COMPUTED_VALUE"""),"For rent")</f>
        <v>For rent</v>
      </c>
      <c r="B4100" s="2" t="str">
        <f>IFERROR(__xludf.DUMMYFUNCTION("""COMPUTED_VALUE"""),"centrs")</f>
        <v>centrs</v>
      </c>
      <c r="C4100" s="2" t="str">
        <f>IFERROR(__xludf.DUMMYFUNCTION("""COMPUTED_VALUE"""),"Avotu 23")</f>
        <v>Avotu 23</v>
      </c>
      <c r="D4100" s="2">
        <f>IFERROR(__xludf.DUMMYFUNCTION("""COMPUTED_VALUE"""),3.0)</f>
        <v>3</v>
      </c>
      <c r="E4100" s="2">
        <f>IFERROR(__xludf.DUMMYFUNCTION("""COMPUTED_VALUE"""),72.0)</f>
        <v>72</v>
      </c>
      <c r="F4100" s="2">
        <f>IFERROR(__xludf.DUMMYFUNCTION("""COMPUTED_VALUE"""),2.0)</f>
        <v>2</v>
      </c>
      <c r="G4100" s="2">
        <f>IFERROR(__xludf.DUMMYFUNCTION("""COMPUTED_VALUE"""),4.0)</f>
        <v>4</v>
      </c>
      <c r="H4100" s="2" t="str">
        <f>IFERROR(__xludf.DUMMYFUNCTION("""COMPUTED_VALUE"""),"Renov.")</f>
        <v>Renov.</v>
      </c>
      <c r="I4100" s="2" t="str">
        <f>IFERROR(__xludf.DUMMYFUNCTION("""COMPUTED_VALUE"""),"Masonry")</f>
        <v>Masonry</v>
      </c>
      <c r="J4100" s="2" t="str">
        <f>IFERROR(__xludf.DUMMYFUNCTION("""COMPUTED_VALUE"""),"All amenities")</f>
        <v>All amenities</v>
      </c>
      <c r="K4100" s="2">
        <f>IFERROR(__xludf.DUMMYFUNCTION("""COMPUTED_VALUE"""),700.0)</f>
        <v>700</v>
      </c>
      <c r="L4100" s="2">
        <f>IFERROR(__xludf.DUMMYFUNCTION("""COMPUTED_VALUE"""),56.9507636)</f>
        <v>56.9507636</v>
      </c>
      <c r="M4100" s="2">
        <f>IFERROR(__xludf.DUMMYFUNCTION("""COMPUTED_VALUE"""),24.1315174)</f>
        <v>24.1315174</v>
      </c>
    </row>
    <row r="4101">
      <c r="A4101" s="2" t="str">
        <f>IFERROR(__xludf.DUMMYFUNCTION("""COMPUTED_VALUE"""),"For sale")</f>
        <v>For sale</v>
      </c>
      <c r="B4101" s="2" t="str">
        <f>IFERROR(__xludf.DUMMYFUNCTION("""COMPUTED_VALUE"""),"centrs")</f>
        <v>centrs</v>
      </c>
      <c r="C4101" s="2" t="str">
        <f>IFERROR(__xludf.DUMMYFUNCTION("""COMPUTED_VALUE"""),"Miera 86")</f>
        <v>Miera 86</v>
      </c>
      <c r="D4101" s="2">
        <f>IFERROR(__xludf.DUMMYFUNCTION("""COMPUTED_VALUE"""),3.0)</f>
        <v>3</v>
      </c>
      <c r="E4101" s="2">
        <f>IFERROR(__xludf.DUMMYFUNCTION("""COMPUTED_VALUE"""),55.0)</f>
        <v>55</v>
      </c>
      <c r="F4101" s="2">
        <f>IFERROR(__xludf.DUMMYFUNCTION("""COMPUTED_VALUE"""),5.0)</f>
        <v>5</v>
      </c>
      <c r="G4101" s="2">
        <f>IFERROR(__xludf.DUMMYFUNCTION("""COMPUTED_VALUE"""),6.0)</f>
        <v>6</v>
      </c>
      <c r="H4101" s="2" t="str">
        <f>IFERROR(__xludf.DUMMYFUNCTION("""COMPUTED_VALUE"""),"P. kara")</f>
        <v>P. kara</v>
      </c>
      <c r="I4101" s="2" t="str">
        <f>IFERROR(__xludf.DUMMYFUNCTION("""COMPUTED_VALUE"""),"Brick")</f>
        <v>Brick</v>
      </c>
      <c r="J4101" s="2" t="str">
        <f>IFERROR(__xludf.DUMMYFUNCTION("""COMPUTED_VALUE"""),"All amenities")</f>
        <v>All amenities</v>
      </c>
      <c r="K4101" s="2">
        <f>IFERROR(__xludf.DUMMYFUNCTION("""COMPUTED_VALUE"""),93500.0)</f>
        <v>93500</v>
      </c>
      <c r="L4101" s="2">
        <f>IFERROR(__xludf.DUMMYFUNCTION("""COMPUTED_VALUE"""),56.9665763)</f>
        <v>56.9665763</v>
      </c>
      <c r="M4101" s="2">
        <f>IFERROR(__xludf.DUMMYFUNCTION("""COMPUTED_VALUE"""),24.1337504)</f>
        <v>24.1337504</v>
      </c>
    </row>
    <row r="4102">
      <c r="A4102" s="2" t="str">
        <f>IFERROR(__xludf.DUMMYFUNCTION("""COMPUTED_VALUE"""),"For rent")</f>
        <v>For rent</v>
      </c>
      <c r="B4102" s="2" t="str">
        <f>IFERROR(__xludf.DUMMYFUNCTION("""COMPUTED_VALUE"""),"Purvciems")</f>
        <v>Purvciems</v>
      </c>
      <c r="C4102" s="2" t="str">
        <f>IFERROR(__xludf.DUMMYFUNCTION("""COMPUTED_VALUE"""),"Nīcgales 21")</f>
        <v>Nīcgales 21</v>
      </c>
      <c r="D4102" s="2">
        <f>IFERROR(__xludf.DUMMYFUNCTION("""COMPUTED_VALUE"""),2.0)</f>
        <v>2</v>
      </c>
      <c r="E4102" s="2">
        <f>IFERROR(__xludf.DUMMYFUNCTION("""COMPUTED_VALUE"""),47.0)</f>
        <v>47</v>
      </c>
      <c r="F4102" s="2">
        <f>IFERROR(__xludf.DUMMYFUNCTION("""COMPUTED_VALUE"""),2.0)</f>
        <v>2</v>
      </c>
      <c r="G4102" s="2">
        <f>IFERROR(__xludf.DUMMYFUNCTION("""COMPUTED_VALUE"""),5.0)</f>
        <v>5</v>
      </c>
      <c r="H4102" s="2" t="str">
        <f>IFERROR(__xludf.DUMMYFUNCTION("""COMPUTED_VALUE"""),"LT proj.")</f>
        <v>LT proj.</v>
      </c>
      <c r="I4102" s="2" t="str">
        <f>IFERROR(__xludf.DUMMYFUNCTION("""COMPUTED_VALUE"""),"Panel")</f>
        <v>Panel</v>
      </c>
      <c r="J4102" s="2" t="str">
        <f>IFERROR(__xludf.DUMMYFUNCTION("""COMPUTED_VALUE"""),"All amenities")</f>
        <v>All amenities</v>
      </c>
      <c r="K4102" s="2">
        <f>IFERROR(__xludf.DUMMYFUNCTION("""COMPUTED_VALUE"""),250.0)</f>
        <v>250</v>
      </c>
      <c r="L4102" s="2">
        <f>IFERROR(__xludf.DUMMYFUNCTION("""COMPUTED_VALUE"""),56.95508155)</f>
        <v>56.95508155</v>
      </c>
      <c r="M4102" s="2">
        <f>IFERROR(__xludf.DUMMYFUNCTION("""COMPUTED_VALUE"""),24.1768222238815)</f>
        <v>24.17682222</v>
      </c>
    </row>
    <row r="4103">
      <c r="A4103" s="2" t="str">
        <f>IFERROR(__xludf.DUMMYFUNCTION("""COMPUTED_VALUE"""),"For rent")</f>
        <v>For rent</v>
      </c>
      <c r="B4103" s="2" t="str">
        <f>IFERROR(__xludf.DUMMYFUNCTION("""COMPUTED_VALUE"""),"Mežciems")</f>
        <v>Mežciems</v>
      </c>
      <c r="C4103" s="2" t="str">
        <f>IFERROR(__xludf.DUMMYFUNCTION("""COMPUTED_VALUE"""),"Gaiļezera 4")</f>
        <v>Gaiļezera 4</v>
      </c>
      <c r="D4103" s="2">
        <f>IFERROR(__xludf.DUMMYFUNCTION("""COMPUTED_VALUE"""),2.0)</f>
        <v>2</v>
      </c>
      <c r="E4103" s="2">
        <f>IFERROR(__xludf.DUMMYFUNCTION("""COMPUTED_VALUE"""),50.0)</f>
        <v>50</v>
      </c>
      <c r="F4103" s="2">
        <f>IFERROR(__xludf.DUMMYFUNCTION("""COMPUTED_VALUE"""),5.0)</f>
        <v>5</v>
      </c>
      <c r="G4103" s="2">
        <f>IFERROR(__xludf.DUMMYFUNCTION("""COMPUTED_VALUE"""),9.0)</f>
        <v>9</v>
      </c>
      <c r="H4103" s="2">
        <f>IFERROR(__xludf.DUMMYFUNCTION("""COMPUTED_VALUE"""),602.0)</f>
        <v>602</v>
      </c>
      <c r="I4103" s="2" t="str">
        <f>IFERROR(__xludf.DUMMYFUNCTION("""COMPUTED_VALUE"""),"Panel-Brick")</f>
        <v>Panel-Brick</v>
      </c>
      <c r="J4103" s="2" t="str">
        <f>IFERROR(__xludf.DUMMYFUNCTION("""COMPUTED_VALUE"""),"All amenities")</f>
        <v>All amenities</v>
      </c>
      <c r="K4103" s="2">
        <f>IFERROR(__xludf.DUMMYFUNCTION("""COMPUTED_VALUE"""),295.0)</f>
        <v>295</v>
      </c>
      <c r="L4103" s="2">
        <f>IFERROR(__xludf.DUMMYFUNCTION("""COMPUTED_VALUE"""),56.967948)</f>
        <v>56.967948</v>
      </c>
      <c r="M4103" s="2">
        <f>IFERROR(__xludf.DUMMYFUNCTION("""COMPUTED_VALUE"""),24.2351586311777)</f>
        <v>24.23515863</v>
      </c>
    </row>
    <row r="4104">
      <c r="A4104" s="2" t="str">
        <f>IFERROR(__xludf.DUMMYFUNCTION("""COMPUTED_VALUE"""),"For rent")</f>
        <v>For rent</v>
      </c>
      <c r="B4104" s="2" t="str">
        <f>IFERROR(__xludf.DUMMYFUNCTION("""COMPUTED_VALUE"""),"Mangaļi")</f>
        <v>Mangaļi</v>
      </c>
      <c r="C4104" s="2" t="str">
        <f>IFERROR(__xludf.DUMMYFUNCTION("""COMPUTED_VALUE"""),"Ezera 18")</f>
        <v>Ezera 18</v>
      </c>
      <c r="D4104" s="2">
        <f>IFERROR(__xludf.DUMMYFUNCTION("""COMPUTED_VALUE"""),2.0)</f>
        <v>2</v>
      </c>
      <c r="E4104" s="2">
        <f>IFERROR(__xludf.DUMMYFUNCTION("""COMPUTED_VALUE"""),42.0)</f>
        <v>42</v>
      </c>
      <c r="F4104" s="2">
        <f>IFERROR(__xludf.DUMMYFUNCTION("""COMPUTED_VALUE"""),2.0)</f>
        <v>2</v>
      </c>
      <c r="G4104" s="2">
        <f>IFERROR(__xludf.DUMMYFUNCTION("""COMPUTED_VALUE"""),3.0)</f>
        <v>3</v>
      </c>
      <c r="H4104" s="2" t="str">
        <f>IFERROR(__xludf.DUMMYFUNCTION("""COMPUTED_VALUE"""),"Renov.")</f>
        <v>Renov.</v>
      </c>
      <c r="I4104" s="2" t="str">
        <f>IFERROR(__xludf.DUMMYFUNCTION("""COMPUTED_VALUE"""),"Brick")</f>
        <v>Brick</v>
      </c>
      <c r="J4104" s="2" t="str">
        <f>IFERROR(__xludf.DUMMYFUNCTION("""COMPUTED_VALUE"""),"All amenities")</f>
        <v>All amenities</v>
      </c>
      <c r="K4104" s="2">
        <f>IFERROR(__xludf.DUMMYFUNCTION("""COMPUTED_VALUE"""),250.0)</f>
        <v>250</v>
      </c>
      <c r="L4104" s="2">
        <f>IFERROR(__xludf.DUMMYFUNCTION("""COMPUTED_VALUE"""),57.02365495)</f>
        <v>57.02365495</v>
      </c>
      <c r="M4104" s="2">
        <f>IFERROR(__xludf.DUMMYFUNCTION("""COMPUTED_VALUE"""),24.1330612)</f>
        <v>24.1330612</v>
      </c>
    </row>
    <row r="4105">
      <c r="A4105" s="2" t="str">
        <f>IFERROR(__xludf.DUMMYFUNCTION("""COMPUTED_VALUE"""),"For rent")</f>
        <v>For rent</v>
      </c>
      <c r="B4105" s="2" t="str">
        <f>IFERROR(__xludf.DUMMYFUNCTION("""COMPUTED_VALUE"""),"Mangaļi")</f>
        <v>Mangaļi</v>
      </c>
      <c r="C4105" s="2" t="str">
        <f>IFERROR(__xludf.DUMMYFUNCTION("""COMPUTED_VALUE"""),"Ezera 18")</f>
        <v>Ezera 18</v>
      </c>
      <c r="D4105" s="2">
        <f>IFERROR(__xludf.DUMMYFUNCTION("""COMPUTED_VALUE"""),1.0)</f>
        <v>1</v>
      </c>
      <c r="E4105" s="2">
        <f>IFERROR(__xludf.DUMMYFUNCTION("""COMPUTED_VALUE"""),30.0)</f>
        <v>30</v>
      </c>
      <c r="F4105" s="2">
        <f>IFERROR(__xludf.DUMMYFUNCTION("""COMPUTED_VALUE"""),2.0)</f>
        <v>2</v>
      </c>
      <c r="G4105" s="2">
        <f>IFERROR(__xludf.DUMMYFUNCTION("""COMPUTED_VALUE"""),3.0)</f>
        <v>3</v>
      </c>
      <c r="H4105" s="2" t="str">
        <f>IFERROR(__xludf.DUMMYFUNCTION("""COMPUTED_VALUE"""),"Renov.")</f>
        <v>Renov.</v>
      </c>
      <c r="I4105" s="2" t="str">
        <f>IFERROR(__xludf.DUMMYFUNCTION("""COMPUTED_VALUE"""),"Brick")</f>
        <v>Brick</v>
      </c>
      <c r="J4105" s="2" t="str">
        <f>IFERROR(__xludf.DUMMYFUNCTION("""COMPUTED_VALUE"""),"All amenities")</f>
        <v>All amenities</v>
      </c>
      <c r="K4105" s="2">
        <f>IFERROR(__xludf.DUMMYFUNCTION("""COMPUTED_VALUE"""),200.0)</f>
        <v>200</v>
      </c>
      <c r="L4105" s="2">
        <f>IFERROR(__xludf.DUMMYFUNCTION("""COMPUTED_VALUE"""),57.02365495)</f>
        <v>57.02365495</v>
      </c>
      <c r="M4105" s="2">
        <f>IFERROR(__xludf.DUMMYFUNCTION("""COMPUTED_VALUE"""),24.1330612)</f>
        <v>24.1330612</v>
      </c>
    </row>
    <row r="4106">
      <c r="A4106" s="2" t="str">
        <f>IFERROR(__xludf.DUMMYFUNCTION("""COMPUTED_VALUE"""),"For sale")</f>
        <v>For sale</v>
      </c>
      <c r="B4106" s="2" t="str">
        <f>IFERROR(__xludf.DUMMYFUNCTION("""COMPUTED_VALUE"""),"centrs")</f>
        <v>centrs</v>
      </c>
      <c r="C4106" s="2" t="str">
        <f>IFERROR(__xludf.DUMMYFUNCTION("""COMPUTED_VALUE"""),"Zaubes 9a")</f>
        <v>Zaubes 9a</v>
      </c>
      <c r="D4106" s="2">
        <f>IFERROR(__xludf.DUMMYFUNCTION("""COMPUTED_VALUE"""),2.0)</f>
        <v>2</v>
      </c>
      <c r="E4106" s="2">
        <f>IFERROR(__xludf.DUMMYFUNCTION("""COMPUTED_VALUE"""),70.0)</f>
        <v>70</v>
      </c>
      <c r="F4106" s="2">
        <f>IFERROR(__xludf.DUMMYFUNCTION("""COMPUTED_VALUE"""),2.0)</f>
        <v>2</v>
      </c>
      <c r="G4106" s="2">
        <f>IFERROR(__xludf.DUMMYFUNCTION("""COMPUTED_VALUE"""),6.0)</f>
        <v>6</v>
      </c>
      <c r="H4106" s="2" t="str">
        <f>IFERROR(__xludf.DUMMYFUNCTION("""COMPUTED_VALUE"""),"Jaun.")</f>
        <v>Jaun.</v>
      </c>
      <c r="I4106" s="2" t="str">
        <f>IFERROR(__xludf.DUMMYFUNCTION("""COMPUTED_VALUE"""),"Masonry")</f>
        <v>Masonry</v>
      </c>
      <c r="J4106" s="2" t="str">
        <f>IFERROR(__xludf.DUMMYFUNCTION("""COMPUTED_VALUE"""),"All amenities")</f>
        <v>All amenities</v>
      </c>
      <c r="K4106" s="2">
        <f>IFERROR(__xludf.DUMMYFUNCTION("""COMPUTED_VALUE"""),166000.0)</f>
        <v>166000</v>
      </c>
      <c r="L4106" s="2">
        <f>IFERROR(__xludf.DUMMYFUNCTION("""COMPUTED_VALUE"""),56.963337)</f>
        <v>56.963337</v>
      </c>
      <c r="M4106" s="2">
        <f>IFERROR(__xludf.DUMMYFUNCTION("""COMPUTED_VALUE"""),24.1218191)</f>
        <v>24.1218191</v>
      </c>
    </row>
    <row r="4107">
      <c r="A4107" s="2" t="str">
        <f>IFERROR(__xludf.DUMMYFUNCTION("""COMPUTED_VALUE"""),"For rent")</f>
        <v>For rent</v>
      </c>
      <c r="B4107" s="2" t="str">
        <f>IFERROR(__xludf.DUMMYFUNCTION("""COMPUTED_VALUE"""),"Bolderāja")</f>
        <v>Bolderāja</v>
      </c>
      <c r="C4107" s="2" t="str">
        <f>IFERROR(__xludf.DUMMYFUNCTION("""COMPUTED_VALUE"""),"Velkoņu 2")</f>
        <v>Velkoņu 2</v>
      </c>
      <c r="D4107" s="2">
        <f>IFERROR(__xludf.DUMMYFUNCTION("""COMPUTED_VALUE"""),2.0)</f>
        <v>2</v>
      </c>
      <c r="E4107" s="2">
        <f>IFERROR(__xludf.DUMMYFUNCTION("""COMPUTED_VALUE"""),54.0)</f>
        <v>54</v>
      </c>
      <c r="F4107" s="2">
        <f>IFERROR(__xludf.DUMMYFUNCTION("""COMPUTED_VALUE"""),2.0)</f>
        <v>2</v>
      </c>
      <c r="G4107" s="2">
        <f>IFERROR(__xludf.DUMMYFUNCTION("""COMPUTED_VALUE"""),5.0)</f>
        <v>5</v>
      </c>
      <c r="H4107" s="2">
        <f>IFERROR(__xludf.DUMMYFUNCTION("""COMPUTED_VALUE"""),103.0)</f>
        <v>103</v>
      </c>
      <c r="I4107" s="2" t="str">
        <f>IFERROR(__xludf.DUMMYFUNCTION("""COMPUTED_VALUE"""),"Brick")</f>
        <v>Brick</v>
      </c>
      <c r="J4107" s="2" t="str">
        <f>IFERROR(__xludf.DUMMYFUNCTION("""COMPUTED_VALUE"""),"All amenities")</f>
        <v>All amenities</v>
      </c>
      <c r="K4107" s="2">
        <f>IFERROR(__xludf.DUMMYFUNCTION("""COMPUTED_VALUE"""),250.0)</f>
        <v>250</v>
      </c>
      <c r="L4107" s="2">
        <f>IFERROR(__xludf.DUMMYFUNCTION("""COMPUTED_VALUE"""),57.03301815)</f>
        <v>57.03301815</v>
      </c>
      <c r="M4107" s="2">
        <f>IFERROR(__xludf.DUMMYFUNCTION("""COMPUTED_VALUE"""),24.0386262315628)</f>
        <v>24.03862623</v>
      </c>
    </row>
    <row r="4108">
      <c r="A4108" s="2" t="str">
        <f>IFERROR(__xludf.DUMMYFUNCTION("""COMPUTED_VALUE"""),"For sale")</f>
        <v>For sale</v>
      </c>
      <c r="B4108" s="2" t="str">
        <f>IFERROR(__xludf.DUMMYFUNCTION("""COMPUTED_VALUE"""),"centrs")</f>
        <v>centrs</v>
      </c>
      <c r="C4108" s="2" t="str">
        <f>IFERROR(__xludf.DUMMYFUNCTION("""COMPUTED_VALUE"""),"Dzirnavu 9")</f>
        <v>Dzirnavu 9</v>
      </c>
      <c r="D4108" s="2">
        <f>IFERROR(__xludf.DUMMYFUNCTION("""COMPUTED_VALUE"""),2.0)</f>
        <v>2</v>
      </c>
      <c r="E4108" s="2">
        <f>IFERROR(__xludf.DUMMYFUNCTION("""COMPUTED_VALUE"""),48.0)</f>
        <v>48</v>
      </c>
      <c r="F4108" s="2">
        <f>IFERROR(__xludf.DUMMYFUNCTION("""COMPUTED_VALUE"""),4.0)</f>
        <v>4</v>
      </c>
      <c r="G4108" s="2">
        <f>IFERROR(__xludf.DUMMYFUNCTION("""COMPUTED_VALUE"""),4.0)</f>
        <v>4</v>
      </c>
      <c r="H4108" s="2" t="str">
        <f>IFERROR(__xludf.DUMMYFUNCTION("""COMPUTED_VALUE"""),"P. kara")</f>
        <v>P. kara</v>
      </c>
      <c r="I4108" s="2" t="str">
        <f>IFERROR(__xludf.DUMMYFUNCTION("""COMPUTED_VALUE"""),"Masonry")</f>
        <v>Masonry</v>
      </c>
      <c r="J4108" s="2" t="str">
        <f>IFERROR(__xludf.DUMMYFUNCTION("""COMPUTED_VALUE"""),"All amenities")</f>
        <v>All amenities</v>
      </c>
      <c r="K4108" s="2">
        <f>IFERROR(__xludf.DUMMYFUNCTION("""COMPUTED_VALUE"""),80000.0)</f>
        <v>80000</v>
      </c>
      <c r="L4108" s="2">
        <f>IFERROR(__xludf.DUMMYFUNCTION("""COMPUTED_VALUE"""),56.9610245)</f>
        <v>56.9610245</v>
      </c>
      <c r="M4108" s="2">
        <f>IFERROR(__xludf.DUMMYFUNCTION("""COMPUTED_VALUE"""),24.1085131)</f>
        <v>24.1085131</v>
      </c>
    </row>
    <row r="4109">
      <c r="A4109" s="2" t="str">
        <f>IFERROR(__xludf.DUMMYFUNCTION("""COMPUTED_VALUE"""),"For sale")</f>
        <v>For sale</v>
      </c>
      <c r="B4109" s="2" t="str">
        <f>IFERROR(__xludf.DUMMYFUNCTION("""COMPUTED_VALUE"""),"centrs")</f>
        <v>centrs</v>
      </c>
      <c r="C4109" s="2" t="str">
        <f>IFERROR(__xludf.DUMMYFUNCTION("""COMPUTED_VALUE"""),"Zaubes 9a")</f>
        <v>Zaubes 9a</v>
      </c>
      <c r="D4109" s="2">
        <f>IFERROR(__xludf.DUMMYFUNCTION("""COMPUTED_VALUE"""),2.0)</f>
        <v>2</v>
      </c>
      <c r="E4109" s="2">
        <f>IFERROR(__xludf.DUMMYFUNCTION("""COMPUTED_VALUE"""),54.0)</f>
        <v>54</v>
      </c>
      <c r="F4109" s="2">
        <f>IFERROR(__xludf.DUMMYFUNCTION("""COMPUTED_VALUE"""),3.0)</f>
        <v>3</v>
      </c>
      <c r="G4109" s="2">
        <f>IFERROR(__xludf.DUMMYFUNCTION("""COMPUTED_VALUE"""),6.0)</f>
        <v>6</v>
      </c>
      <c r="H4109" s="2" t="str">
        <f>IFERROR(__xludf.DUMMYFUNCTION("""COMPUTED_VALUE"""),"Jaun.")</f>
        <v>Jaun.</v>
      </c>
      <c r="I4109" s="2" t="str">
        <f>IFERROR(__xludf.DUMMYFUNCTION("""COMPUTED_VALUE"""),"Masonry")</f>
        <v>Masonry</v>
      </c>
      <c r="J4109" s="2" t="str">
        <f>IFERROR(__xludf.DUMMYFUNCTION("""COMPUTED_VALUE"""),"All amenities")</f>
        <v>All amenities</v>
      </c>
      <c r="K4109" s="2">
        <f>IFERROR(__xludf.DUMMYFUNCTION("""COMPUTED_VALUE"""),131000.0)</f>
        <v>131000</v>
      </c>
      <c r="L4109" s="2">
        <f>IFERROR(__xludf.DUMMYFUNCTION("""COMPUTED_VALUE"""),56.963337)</f>
        <v>56.963337</v>
      </c>
      <c r="M4109" s="2">
        <f>IFERROR(__xludf.DUMMYFUNCTION("""COMPUTED_VALUE"""),24.1218191)</f>
        <v>24.1218191</v>
      </c>
    </row>
    <row r="4110">
      <c r="A4110" s="2" t="str">
        <f>IFERROR(__xludf.DUMMYFUNCTION("""COMPUTED_VALUE"""),"For sale")</f>
        <v>For sale</v>
      </c>
      <c r="B4110" s="2" t="str">
        <f>IFERROR(__xludf.DUMMYFUNCTION("""COMPUTED_VALUE"""),"centrs")</f>
        <v>centrs</v>
      </c>
      <c r="C4110" s="2" t="str">
        <f>IFERROR(__xludf.DUMMYFUNCTION("""COMPUTED_VALUE"""),"Zaubes 9a")</f>
        <v>Zaubes 9a</v>
      </c>
      <c r="D4110" s="2">
        <f>IFERROR(__xludf.DUMMYFUNCTION("""COMPUTED_VALUE"""),2.0)</f>
        <v>2</v>
      </c>
      <c r="E4110" s="2">
        <f>IFERROR(__xludf.DUMMYFUNCTION("""COMPUTED_VALUE"""),74.0)</f>
        <v>74</v>
      </c>
      <c r="F4110" s="2">
        <f>IFERROR(__xludf.DUMMYFUNCTION("""COMPUTED_VALUE"""),3.0)</f>
        <v>3</v>
      </c>
      <c r="G4110" s="2">
        <f>IFERROR(__xludf.DUMMYFUNCTION("""COMPUTED_VALUE"""),6.0)</f>
        <v>6</v>
      </c>
      <c r="H4110" s="2" t="str">
        <f>IFERROR(__xludf.DUMMYFUNCTION("""COMPUTED_VALUE"""),"Jaun.")</f>
        <v>Jaun.</v>
      </c>
      <c r="I4110" s="2" t="str">
        <f>IFERROR(__xludf.DUMMYFUNCTION("""COMPUTED_VALUE"""),"Masonry")</f>
        <v>Masonry</v>
      </c>
      <c r="J4110" s="2" t="str">
        <f>IFERROR(__xludf.DUMMYFUNCTION("""COMPUTED_VALUE"""),"All amenities")</f>
        <v>All amenities</v>
      </c>
      <c r="K4110" s="2">
        <f>IFERROR(__xludf.DUMMYFUNCTION("""COMPUTED_VALUE"""),177000.0)</f>
        <v>177000</v>
      </c>
      <c r="L4110" s="2">
        <f>IFERROR(__xludf.DUMMYFUNCTION("""COMPUTED_VALUE"""),56.963337)</f>
        <v>56.963337</v>
      </c>
      <c r="M4110" s="2">
        <f>IFERROR(__xludf.DUMMYFUNCTION("""COMPUTED_VALUE"""),24.1218191)</f>
        <v>24.1218191</v>
      </c>
    </row>
    <row r="4111">
      <c r="A4111" s="2" t="str">
        <f>IFERROR(__xludf.DUMMYFUNCTION("""COMPUTED_VALUE"""),"For sale")</f>
        <v>For sale</v>
      </c>
      <c r="B4111" s="2" t="str">
        <f>IFERROR(__xludf.DUMMYFUNCTION("""COMPUTED_VALUE"""),"centrs")</f>
        <v>centrs</v>
      </c>
      <c r="C4111" s="2" t="str">
        <f>IFERROR(__xludf.DUMMYFUNCTION("""COMPUTED_VALUE"""),"Zaubes 9a")</f>
        <v>Zaubes 9a</v>
      </c>
      <c r="D4111" s="2">
        <f>IFERROR(__xludf.DUMMYFUNCTION("""COMPUTED_VALUE"""),3.0)</f>
        <v>3</v>
      </c>
      <c r="E4111" s="2">
        <f>IFERROR(__xludf.DUMMYFUNCTION("""COMPUTED_VALUE"""),95.0)</f>
        <v>95</v>
      </c>
      <c r="F4111" s="2">
        <f>IFERROR(__xludf.DUMMYFUNCTION("""COMPUTED_VALUE"""),3.0)</f>
        <v>3</v>
      </c>
      <c r="G4111" s="2">
        <f>IFERROR(__xludf.DUMMYFUNCTION("""COMPUTED_VALUE"""),6.0)</f>
        <v>6</v>
      </c>
      <c r="H4111" s="2" t="str">
        <f>IFERROR(__xludf.DUMMYFUNCTION("""COMPUTED_VALUE"""),"Jaun.")</f>
        <v>Jaun.</v>
      </c>
      <c r="I4111" s="2" t="str">
        <f>IFERROR(__xludf.DUMMYFUNCTION("""COMPUTED_VALUE"""),"Masonry")</f>
        <v>Masonry</v>
      </c>
      <c r="J4111" s="2" t="str">
        <f>IFERROR(__xludf.DUMMYFUNCTION("""COMPUTED_VALUE"""),"All amenities")</f>
        <v>All amenities</v>
      </c>
      <c r="K4111" s="2">
        <f>IFERROR(__xludf.DUMMYFUNCTION("""COMPUTED_VALUE"""),219000.0)</f>
        <v>219000</v>
      </c>
      <c r="L4111" s="2">
        <f>IFERROR(__xludf.DUMMYFUNCTION("""COMPUTED_VALUE"""),56.963337)</f>
        <v>56.963337</v>
      </c>
      <c r="M4111" s="2">
        <f>IFERROR(__xludf.DUMMYFUNCTION("""COMPUTED_VALUE"""),24.1218191)</f>
        <v>24.1218191</v>
      </c>
    </row>
    <row r="4112">
      <c r="A4112" s="2" t="str">
        <f>IFERROR(__xludf.DUMMYFUNCTION("""COMPUTED_VALUE"""),"For rent")</f>
        <v>For rent</v>
      </c>
      <c r="B4112" s="2" t="str">
        <f>IFERROR(__xludf.DUMMYFUNCTION("""COMPUTED_VALUE"""),"Āgenskalns")</f>
        <v>Āgenskalns</v>
      </c>
      <c r="C4112" s="2" t="str">
        <f>IFERROR(__xludf.DUMMYFUNCTION("""COMPUTED_VALUE"""),"Kristapa 8b")</f>
        <v>Kristapa 8b</v>
      </c>
      <c r="D4112" s="2">
        <f>IFERROR(__xludf.DUMMYFUNCTION("""COMPUTED_VALUE"""),1.0)</f>
        <v>1</v>
      </c>
      <c r="E4112" s="2">
        <f>IFERROR(__xludf.DUMMYFUNCTION("""COMPUTED_VALUE"""),18.0)</f>
        <v>18</v>
      </c>
      <c r="F4112" s="2">
        <f>IFERROR(__xludf.DUMMYFUNCTION("""COMPUTED_VALUE"""),2.0)</f>
        <v>2</v>
      </c>
      <c r="G4112" s="2">
        <f>IFERROR(__xludf.DUMMYFUNCTION("""COMPUTED_VALUE"""),4.0)</f>
        <v>4</v>
      </c>
      <c r="H4112" s="2" t="str">
        <f>IFERROR(__xludf.DUMMYFUNCTION("""COMPUTED_VALUE"""),"M. ģim.")</f>
        <v>M. ģim.</v>
      </c>
      <c r="I4112" s="2" t="str">
        <f>IFERROR(__xludf.DUMMYFUNCTION("""COMPUTED_VALUE"""),"Brick")</f>
        <v>Brick</v>
      </c>
      <c r="J4112" s="2" t="str">
        <f>IFERROR(__xludf.DUMMYFUNCTION("""COMPUTED_VALUE"""),"All amenities")</f>
        <v>All amenities</v>
      </c>
      <c r="K4112" s="2">
        <f>IFERROR(__xludf.DUMMYFUNCTION("""COMPUTED_VALUE"""),220.0)</f>
        <v>220</v>
      </c>
      <c r="L4112" s="2">
        <f>IFERROR(__xludf.DUMMYFUNCTION("""COMPUTED_VALUE"""),56.9432506499999)</f>
        <v>56.94325065</v>
      </c>
      <c r="M4112" s="2">
        <f>IFERROR(__xludf.DUMMYFUNCTION("""COMPUTED_VALUE"""),24.0611992104632)</f>
        <v>24.06119921</v>
      </c>
    </row>
    <row r="4113">
      <c r="A4113" s="2" t="str">
        <f>IFERROR(__xludf.DUMMYFUNCTION("""COMPUTED_VALUE"""),"For rent")</f>
        <v>For rent</v>
      </c>
      <c r="B4113" s="2" t="str">
        <f>IFERROR(__xludf.DUMMYFUNCTION("""COMPUTED_VALUE"""),"centrs")</f>
        <v>centrs</v>
      </c>
      <c r="C4113" s="2" t="str">
        <f>IFERROR(__xludf.DUMMYFUNCTION("""COMPUTED_VALUE"""),"Klijānu 6")</f>
        <v>Klijānu 6</v>
      </c>
      <c r="D4113" s="2">
        <f>IFERROR(__xludf.DUMMYFUNCTION("""COMPUTED_VALUE"""),2.0)</f>
        <v>2</v>
      </c>
      <c r="E4113" s="2">
        <f>IFERROR(__xludf.DUMMYFUNCTION("""COMPUTED_VALUE"""),47.0)</f>
        <v>47</v>
      </c>
      <c r="F4113" s="2">
        <f>IFERROR(__xludf.DUMMYFUNCTION("""COMPUTED_VALUE"""),7.0)</f>
        <v>7</v>
      </c>
      <c r="G4113" s="2">
        <f>IFERROR(__xludf.DUMMYFUNCTION("""COMPUTED_VALUE"""),9.0)</f>
        <v>9</v>
      </c>
      <c r="H4113" s="2" t="str">
        <f>IFERROR(__xludf.DUMMYFUNCTION("""COMPUTED_VALUE"""),"Renov.")</f>
        <v>Renov.</v>
      </c>
      <c r="I4113" s="2" t="str">
        <f>IFERROR(__xludf.DUMMYFUNCTION("""COMPUTED_VALUE"""),"Brick-Panel")</f>
        <v>Brick-Panel</v>
      </c>
      <c r="J4113" s="2" t="str">
        <f>IFERROR(__xludf.DUMMYFUNCTION("""COMPUTED_VALUE"""),"All amenities")</f>
        <v>All amenities</v>
      </c>
      <c r="K4113" s="2">
        <f>IFERROR(__xludf.DUMMYFUNCTION("""COMPUTED_VALUE"""),500.0)</f>
        <v>500</v>
      </c>
      <c r="L4113" s="2">
        <f>IFERROR(__xludf.DUMMYFUNCTION("""COMPUTED_VALUE"""),56.9726557)</f>
        <v>56.9726557</v>
      </c>
      <c r="M4113" s="2">
        <f>IFERROR(__xludf.DUMMYFUNCTION("""COMPUTED_VALUE"""),24.1493117212851)</f>
        <v>24.14931172</v>
      </c>
    </row>
    <row r="4114">
      <c r="A4114" s="2" t="str">
        <f>IFERROR(__xludf.DUMMYFUNCTION("""COMPUTED_VALUE"""),"For rent")</f>
        <v>For rent</v>
      </c>
      <c r="B4114" s="2" t="str">
        <f>IFERROR(__xludf.DUMMYFUNCTION("""COMPUTED_VALUE"""),"Mežaparks")</f>
        <v>Mežaparks</v>
      </c>
      <c r="C4114" s="2" t="str">
        <f>IFERROR(__xludf.DUMMYFUNCTION("""COMPUTED_VALUE"""),"Viestura pr. 95")</f>
        <v>Viestura pr. 95</v>
      </c>
      <c r="D4114" s="2">
        <f>IFERROR(__xludf.DUMMYFUNCTION("""COMPUTED_VALUE"""),2.0)</f>
        <v>2</v>
      </c>
      <c r="E4114" s="2">
        <f>IFERROR(__xludf.DUMMYFUNCTION("""COMPUTED_VALUE"""),50.0)</f>
        <v>50</v>
      </c>
      <c r="F4114" s="2">
        <f>IFERROR(__xludf.DUMMYFUNCTION("""COMPUTED_VALUE"""),7.0)</f>
        <v>7</v>
      </c>
      <c r="G4114" s="2">
        <f>IFERROR(__xludf.DUMMYFUNCTION("""COMPUTED_VALUE"""),9.0)</f>
        <v>9</v>
      </c>
      <c r="H4114" s="2" t="str">
        <f>IFERROR(__xludf.DUMMYFUNCTION("""COMPUTED_VALUE"""),"Jaun.")</f>
        <v>Jaun.</v>
      </c>
      <c r="I4114" s="2" t="str">
        <f>IFERROR(__xludf.DUMMYFUNCTION("""COMPUTED_VALUE"""),"Brick-Panel")</f>
        <v>Brick-Panel</v>
      </c>
      <c r="J4114" s="2" t="str">
        <f>IFERROR(__xludf.DUMMYFUNCTION("""COMPUTED_VALUE"""),"All amenities")</f>
        <v>All amenities</v>
      </c>
      <c r="K4114" s="2">
        <f>IFERROR(__xludf.DUMMYFUNCTION("""COMPUTED_VALUE"""),430.0)</f>
        <v>430</v>
      </c>
      <c r="L4114" s="2" t="str">
        <f>IFERROR(__xludf.DUMMYFUNCTION("""COMPUTED_VALUE"""),"NaN")</f>
        <v>NaN</v>
      </c>
      <c r="M4114" s="2" t="str">
        <f>IFERROR(__xludf.DUMMYFUNCTION("""COMPUTED_VALUE"""),"NaN")</f>
        <v>NaN</v>
      </c>
    </row>
    <row r="4115">
      <c r="A4115" s="2" t="str">
        <f>IFERROR(__xludf.DUMMYFUNCTION("""COMPUTED_VALUE"""),"For rent")</f>
        <v>For rent</v>
      </c>
      <c r="B4115" s="2" t="str">
        <f>IFERROR(__xludf.DUMMYFUNCTION("""COMPUTED_VALUE"""),"Ziepniekkalns")</f>
        <v>Ziepniekkalns</v>
      </c>
      <c r="C4115" s="2" t="str">
        <f>IFERROR(__xludf.DUMMYFUNCTION("""COMPUTED_VALUE"""),"Svētes 1")</f>
        <v>Svētes 1</v>
      </c>
      <c r="D4115" s="2">
        <f>IFERROR(__xludf.DUMMYFUNCTION("""COMPUTED_VALUE"""),3.0)</f>
        <v>3</v>
      </c>
      <c r="E4115" s="2">
        <f>IFERROR(__xludf.DUMMYFUNCTION("""COMPUTED_VALUE"""),99.0)</f>
        <v>99</v>
      </c>
      <c r="F4115" s="2">
        <f>IFERROR(__xludf.DUMMYFUNCTION("""COMPUTED_VALUE"""),1.0)</f>
        <v>1</v>
      </c>
      <c r="G4115" s="2">
        <f>IFERROR(__xludf.DUMMYFUNCTION("""COMPUTED_VALUE"""),4.0)</f>
        <v>4</v>
      </c>
      <c r="H4115" s="2" t="str">
        <f>IFERROR(__xludf.DUMMYFUNCTION("""COMPUTED_VALUE"""),"Jaun.")</f>
        <v>Jaun.</v>
      </c>
      <c r="I4115" s="2" t="str">
        <f>IFERROR(__xludf.DUMMYFUNCTION("""COMPUTED_VALUE"""),"Brick")</f>
        <v>Brick</v>
      </c>
      <c r="J4115" s="2" t="str">
        <f>IFERROR(__xludf.DUMMYFUNCTION("""COMPUTED_VALUE"""),"All amenities")</f>
        <v>All amenities</v>
      </c>
      <c r="K4115" s="2">
        <f>IFERROR(__xludf.DUMMYFUNCTION("""COMPUTED_VALUE"""),690.0)</f>
        <v>690</v>
      </c>
      <c r="L4115" s="2">
        <f>IFERROR(__xludf.DUMMYFUNCTION("""COMPUTED_VALUE"""),56.91537545)</f>
        <v>56.91537545</v>
      </c>
      <c r="M4115" s="2">
        <f>IFERROR(__xludf.DUMMYFUNCTION("""COMPUTED_VALUE"""),24.0947705636546)</f>
        <v>24.09477056</v>
      </c>
    </row>
    <row r="4116">
      <c r="A4116" s="2" t="str">
        <f>IFERROR(__xludf.DUMMYFUNCTION("""COMPUTED_VALUE"""),"For sale")</f>
        <v>For sale</v>
      </c>
      <c r="B4116" s="2" t="str">
        <f>IFERROR(__xludf.DUMMYFUNCTION("""COMPUTED_VALUE"""),"Ziepniekkalns")</f>
        <v>Ziepniekkalns</v>
      </c>
      <c r="C4116" s="2" t="str">
        <f>IFERROR(__xludf.DUMMYFUNCTION("""COMPUTED_VALUE"""),"Valdeķu 62")</f>
        <v>Valdeķu 62</v>
      </c>
      <c r="D4116" s="2">
        <f>IFERROR(__xludf.DUMMYFUNCTION("""COMPUTED_VALUE"""),2.0)</f>
        <v>2</v>
      </c>
      <c r="E4116" s="2">
        <f>IFERROR(__xludf.DUMMYFUNCTION("""COMPUTED_VALUE"""),51.6)</f>
        <v>51.6</v>
      </c>
      <c r="F4116" s="2">
        <f>IFERROR(__xludf.DUMMYFUNCTION("""COMPUTED_VALUE"""),9.0)</f>
        <v>9</v>
      </c>
      <c r="G4116" s="2">
        <f>IFERROR(__xludf.DUMMYFUNCTION("""COMPUTED_VALUE"""),9.0)</f>
        <v>9</v>
      </c>
      <c r="H4116" s="2">
        <f>IFERROR(__xludf.DUMMYFUNCTION("""COMPUTED_VALUE"""),602.0)</f>
        <v>602</v>
      </c>
      <c r="I4116" s="2" t="str">
        <f>IFERROR(__xludf.DUMMYFUNCTION("""COMPUTED_VALUE"""),"Panel")</f>
        <v>Panel</v>
      </c>
      <c r="J4116" s="2" t="str">
        <f>IFERROR(__xludf.DUMMYFUNCTION("""COMPUTED_VALUE"""),"All amenities")</f>
        <v>All amenities</v>
      </c>
      <c r="K4116" s="2">
        <f>IFERROR(__xludf.DUMMYFUNCTION("""COMPUTED_VALUE"""),45000.0)</f>
        <v>45000</v>
      </c>
      <c r="L4116" s="2">
        <f>IFERROR(__xludf.DUMMYFUNCTION("""COMPUTED_VALUE"""),56.90102635)</f>
        <v>56.90102635</v>
      </c>
      <c r="M4116" s="2">
        <f>IFERROR(__xludf.DUMMYFUNCTION("""COMPUTED_VALUE"""),24.0939941127903)</f>
        <v>24.09399411</v>
      </c>
    </row>
    <row r="4117">
      <c r="A4117" s="2" t="str">
        <f>IFERROR(__xludf.DUMMYFUNCTION("""COMPUTED_VALUE"""),"For sale")</f>
        <v>For sale</v>
      </c>
      <c r="B4117" s="2" t="str">
        <f>IFERROR(__xludf.DUMMYFUNCTION("""COMPUTED_VALUE"""),"Imanta")</f>
        <v>Imanta</v>
      </c>
      <c r="C4117" s="2" t="str">
        <f>IFERROR(__xludf.DUMMYFUNCTION("""COMPUTED_VALUE"""),"Kurzemes pr. 118")</f>
        <v>Kurzemes pr. 118</v>
      </c>
      <c r="D4117" s="2">
        <f>IFERROR(__xludf.DUMMYFUNCTION("""COMPUTED_VALUE"""),4.0)</f>
        <v>4</v>
      </c>
      <c r="E4117" s="2">
        <f>IFERROR(__xludf.DUMMYFUNCTION("""COMPUTED_VALUE"""),76.37)</f>
        <v>76.37</v>
      </c>
      <c r="F4117" s="2">
        <f>IFERROR(__xludf.DUMMYFUNCTION("""COMPUTED_VALUE"""),8.0)</f>
        <v>8</v>
      </c>
      <c r="G4117" s="2">
        <f>IFERROR(__xludf.DUMMYFUNCTION("""COMPUTED_VALUE"""),9.0)</f>
        <v>9</v>
      </c>
      <c r="H4117" s="2">
        <f>IFERROR(__xludf.DUMMYFUNCTION("""COMPUTED_VALUE"""),602.0)</f>
        <v>602</v>
      </c>
      <c r="I4117" s="2" t="str">
        <f>IFERROR(__xludf.DUMMYFUNCTION("""COMPUTED_VALUE"""),"Panel")</f>
        <v>Panel</v>
      </c>
      <c r="J4117" s="2" t="str">
        <f>IFERROR(__xludf.DUMMYFUNCTION("""COMPUTED_VALUE"""),"All amenities")</f>
        <v>All amenities</v>
      </c>
      <c r="K4117" s="2">
        <f>IFERROR(__xludf.DUMMYFUNCTION("""COMPUTED_VALUE"""),80000.0)</f>
        <v>80000</v>
      </c>
      <c r="L4117" s="2" t="str">
        <f>IFERROR(__xludf.DUMMYFUNCTION("""COMPUTED_VALUE"""),"NaN")</f>
        <v>NaN</v>
      </c>
      <c r="M4117" s="2" t="str">
        <f>IFERROR(__xludf.DUMMYFUNCTION("""COMPUTED_VALUE"""),"NaN")</f>
        <v>NaN</v>
      </c>
    </row>
    <row r="4118">
      <c r="A4118" s="2" t="str">
        <f>IFERROR(__xludf.DUMMYFUNCTION("""COMPUTED_VALUE"""),"For rent")</f>
        <v>For rent</v>
      </c>
      <c r="B4118" s="2" t="str">
        <f>IFERROR(__xludf.DUMMYFUNCTION("""COMPUTED_VALUE"""),"centrs")</f>
        <v>centrs</v>
      </c>
      <c r="C4118" s="2" t="str">
        <f>IFERROR(__xludf.DUMMYFUNCTION("""COMPUTED_VALUE"""),"Strēlnieku 19")</f>
        <v>Strēlnieku 19</v>
      </c>
      <c r="D4118" s="2">
        <f>IFERROR(__xludf.DUMMYFUNCTION("""COMPUTED_VALUE"""),2.0)</f>
        <v>2</v>
      </c>
      <c r="E4118" s="2">
        <f>IFERROR(__xludf.DUMMYFUNCTION("""COMPUTED_VALUE"""),40.0)</f>
        <v>40</v>
      </c>
      <c r="F4118" s="2">
        <f>IFERROR(__xludf.DUMMYFUNCTION("""COMPUTED_VALUE"""),1.0)</f>
        <v>1</v>
      </c>
      <c r="G4118" s="2">
        <f>IFERROR(__xludf.DUMMYFUNCTION("""COMPUTED_VALUE"""),3.0)</f>
        <v>3</v>
      </c>
      <c r="H4118" s="2" t="str">
        <f>IFERROR(__xludf.DUMMYFUNCTION("""COMPUTED_VALUE"""),"P. kara")</f>
        <v>P. kara</v>
      </c>
      <c r="I4118" s="2" t="str">
        <f>IFERROR(__xludf.DUMMYFUNCTION("""COMPUTED_VALUE"""),"Brick-Panel")</f>
        <v>Brick-Panel</v>
      </c>
      <c r="J4118" s="2" t="str">
        <f>IFERROR(__xludf.DUMMYFUNCTION("""COMPUTED_VALUE"""),"All amenities")</f>
        <v>All amenities</v>
      </c>
      <c r="K4118" s="2">
        <f>IFERROR(__xludf.DUMMYFUNCTION("""COMPUTED_VALUE"""),450.0)</f>
        <v>450</v>
      </c>
      <c r="L4118" s="2">
        <f>IFERROR(__xludf.DUMMYFUNCTION("""COMPUTED_VALUE"""),56.96130605)</f>
        <v>56.96130605</v>
      </c>
      <c r="M4118" s="2">
        <f>IFERROR(__xludf.DUMMYFUNCTION("""COMPUTED_VALUE"""),24.1105821948041)</f>
        <v>24.11058219</v>
      </c>
    </row>
    <row r="4119">
      <c r="A4119" s="2" t="str">
        <f>IFERROR(__xludf.DUMMYFUNCTION("""COMPUTED_VALUE"""),"For rent")</f>
        <v>For rent</v>
      </c>
      <c r="B4119" s="2" t="str">
        <f>IFERROR(__xludf.DUMMYFUNCTION("""COMPUTED_VALUE"""),"Krasta r-ns")</f>
        <v>Krasta r-ns</v>
      </c>
      <c r="C4119" s="2" t="str">
        <f>IFERROR(__xludf.DUMMYFUNCTION("""COMPUTED_VALUE"""),"Lubānas 14")</f>
        <v>Lubānas 14</v>
      </c>
      <c r="D4119" s="2">
        <f>IFERROR(__xludf.DUMMYFUNCTION("""COMPUTED_VALUE"""),1.0)</f>
        <v>1</v>
      </c>
      <c r="E4119" s="2">
        <f>IFERROR(__xludf.DUMMYFUNCTION("""COMPUTED_VALUE"""),33.0)</f>
        <v>33</v>
      </c>
      <c r="F4119" s="2">
        <f>IFERROR(__xludf.DUMMYFUNCTION("""COMPUTED_VALUE"""),9.0)</f>
        <v>9</v>
      </c>
      <c r="G4119" s="2">
        <f>IFERROR(__xludf.DUMMYFUNCTION("""COMPUTED_VALUE"""),9.0)</f>
        <v>9</v>
      </c>
      <c r="H4119" s="2">
        <f>IFERROR(__xludf.DUMMYFUNCTION("""COMPUTED_VALUE"""),467.0)</f>
        <v>467</v>
      </c>
      <c r="I4119" s="2" t="str">
        <f>IFERROR(__xludf.DUMMYFUNCTION("""COMPUTED_VALUE"""),"Panel-Brick")</f>
        <v>Panel-Brick</v>
      </c>
      <c r="J4119" s="2" t="str">
        <f>IFERROR(__xludf.DUMMYFUNCTION("""COMPUTED_VALUE"""),"All amenities")</f>
        <v>All amenities</v>
      </c>
      <c r="K4119" s="2">
        <f>IFERROR(__xludf.DUMMYFUNCTION("""COMPUTED_VALUE"""),290.0)</f>
        <v>290</v>
      </c>
      <c r="L4119" s="2">
        <f>IFERROR(__xludf.DUMMYFUNCTION("""COMPUTED_VALUE"""),56.9328894)</f>
        <v>56.9328894</v>
      </c>
      <c r="M4119" s="2">
        <f>IFERROR(__xludf.DUMMYFUNCTION("""COMPUTED_VALUE"""),24.1629760337437)</f>
        <v>24.16297603</v>
      </c>
    </row>
    <row r="4120">
      <c r="A4120" s="2" t="str">
        <f>IFERROR(__xludf.DUMMYFUNCTION("""COMPUTED_VALUE"""),"For sale")</f>
        <v>For sale</v>
      </c>
      <c r="B4120" s="2" t="str">
        <f>IFERROR(__xludf.DUMMYFUNCTION("""COMPUTED_VALUE"""),"Imanta")</f>
        <v>Imanta</v>
      </c>
      <c r="C4120" s="2" t="str">
        <f>IFERROR(__xludf.DUMMYFUNCTION("""COMPUTED_VALUE"""),"Dammes 104")</f>
        <v>Dammes 104</v>
      </c>
      <c r="D4120" s="2">
        <f>IFERROR(__xludf.DUMMYFUNCTION("""COMPUTED_VALUE"""),1.0)</f>
        <v>1</v>
      </c>
      <c r="E4120" s="2">
        <f>IFERROR(__xludf.DUMMYFUNCTION("""COMPUTED_VALUE"""),28.0)</f>
        <v>28</v>
      </c>
      <c r="F4120" s="2">
        <f>IFERROR(__xludf.DUMMYFUNCTION("""COMPUTED_VALUE"""),5.0)</f>
        <v>5</v>
      </c>
      <c r="G4120" s="2">
        <f>IFERROR(__xludf.DUMMYFUNCTION("""COMPUTED_VALUE"""),5.0)</f>
        <v>5</v>
      </c>
      <c r="H4120" s="2" t="str">
        <f>IFERROR(__xludf.DUMMYFUNCTION("""COMPUTED_VALUE"""),"LT proj.")</f>
        <v>LT proj.</v>
      </c>
      <c r="I4120" s="2" t="str">
        <f>IFERROR(__xludf.DUMMYFUNCTION("""COMPUTED_VALUE"""),"Panel")</f>
        <v>Panel</v>
      </c>
      <c r="J4120" s="2" t="str">
        <f>IFERROR(__xludf.DUMMYFUNCTION("""COMPUTED_VALUE"""),"All amenities")</f>
        <v>All amenities</v>
      </c>
      <c r="K4120" s="2">
        <f>IFERROR(__xludf.DUMMYFUNCTION("""COMPUTED_VALUE"""),26500.0)</f>
        <v>26500</v>
      </c>
      <c r="L4120" s="2">
        <f>IFERROR(__xludf.DUMMYFUNCTION("""COMPUTED_VALUE"""),56.9657634)</f>
        <v>56.9657634</v>
      </c>
      <c r="M4120" s="2">
        <f>IFERROR(__xludf.DUMMYFUNCTION("""COMPUTED_VALUE"""),24.0058526)</f>
        <v>24.0058526</v>
      </c>
    </row>
    <row r="4121">
      <c r="A4121" s="2" t="str">
        <f>IFERROR(__xludf.DUMMYFUNCTION("""COMPUTED_VALUE"""),"For rent")</f>
        <v>For rent</v>
      </c>
      <c r="B4121" s="2" t="str">
        <f>IFERROR(__xludf.DUMMYFUNCTION("""COMPUTED_VALUE"""),"Āgenskalns")</f>
        <v>Āgenskalns</v>
      </c>
      <c r="C4121" s="2" t="str">
        <f>IFERROR(__xludf.DUMMYFUNCTION("""COMPUTED_VALUE"""),"Gardenes 5")</f>
        <v>Gardenes 5</v>
      </c>
      <c r="D4121" s="2">
        <f>IFERROR(__xludf.DUMMYFUNCTION("""COMPUTED_VALUE"""),1.0)</f>
        <v>1</v>
      </c>
      <c r="E4121" s="2">
        <f>IFERROR(__xludf.DUMMYFUNCTION("""COMPUTED_VALUE"""),30.0)</f>
        <v>30</v>
      </c>
      <c r="F4121" s="2">
        <f>IFERROR(__xludf.DUMMYFUNCTION("""COMPUTED_VALUE"""),1.0)</f>
        <v>1</v>
      </c>
      <c r="G4121" s="2">
        <f>IFERROR(__xludf.DUMMYFUNCTION("""COMPUTED_VALUE"""),5.0)</f>
        <v>5</v>
      </c>
      <c r="H4121" s="2" t="str">
        <f>IFERROR(__xludf.DUMMYFUNCTION("""COMPUTED_VALUE"""),"Hrušč.")</f>
        <v>Hrušč.</v>
      </c>
      <c r="I4121" s="2" t="str">
        <f>IFERROR(__xludf.DUMMYFUNCTION("""COMPUTED_VALUE"""),"Brick")</f>
        <v>Brick</v>
      </c>
      <c r="J4121" s="2" t="str">
        <f>IFERROR(__xludf.DUMMYFUNCTION("""COMPUTED_VALUE"""),"All amenities")</f>
        <v>All amenities</v>
      </c>
      <c r="K4121" s="2">
        <f>IFERROR(__xludf.DUMMYFUNCTION("""COMPUTED_VALUE"""),220.0)</f>
        <v>220</v>
      </c>
      <c r="L4121" s="2">
        <f>IFERROR(__xludf.DUMMYFUNCTION("""COMPUTED_VALUE"""),56.92808005)</f>
        <v>56.92808005</v>
      </c>
      <c r="M4121" s="2">
        <f>IFERROR(__xludf.DUMMYFUNCTION("""COMPUTED_VALUE"""),24.0742045)</f>
        <v>24.0742045</v>
      </c>
    </row>
    <row r="4122">
      <c r="A4122" s="2" t="str">
        <f>IFERROR(__xludf.DUMMYFUNCTION("""COMPUTED_VALUE"""),"For sale")</f>
        <v>For sale</v>
      </c>
      <c r="B4122" s="2" t="str">
        <f>IFERROR(__xludf.DUMMYFUNCTION("""COMPUTED_VALUE"""),"Imanta")</f>
        <v>Imanta</v>
      </c>
      <c r="C4122" s="2" t="str">
        <f>IFERROR(__xludf.DUMMYFUNCTION("""COMPUTED_VALUE"""),"Jūrmalas g. 93")</f>
        <v>Jūrmalas g. 93</v>
      </c>
      <c r="D4122" s="2">
        <f>IFERROR(__xludf.DUMMYFUNCTION("""COMPUTED_VALUE"""),3.0)</f>
        <v>3</v>
      </c>
      <c r="E4122" s="2">
        <f>IFERROR(__xludf.DUMMYFUNCTION("""COMPUTED_VALUE"""),71.0)</f>
        <v>71</v>
      </c>
      <c r="F4122" s="2">
        <f>IFERROR(__xludf.DUMMYFUNCTION("""COMPUTED_VALUE"""),4.0)</f>
        <v>4</v>
      </c>
      <c r="G4122" s="2">
        <f>IFERROR(__xludf.DUMMYFUNCTION("""COMPUTED_VALUE"""),5.0)</f>
        <v>5</v>
      </c>
      <c r="H4122" s="2" t="str">
        <f>IFERROR(__xludf.DUMMYFUNCTION("""COMPUTED_VALUE"""),"LT proj.")</f>
        <v>LT proj.</v>
      </c>
      <c r="I4122" s="2" t="str">
        <f>IFERROR(__xludf.DUMMYFUNCTION("""COMPUTED_VALUE"""),"Panel")</f>
        <v>Panel</v>
      </c>
      <c r="J4122" s="2" t="str">
        <f>IFERROR(__xludf.DUMMYFUNCTION("""COMPUTED_VALUE"""),"All amenities")</f>
        <v>All amenities</v>
      </c>
      <c r="K4122" s="2">
        <f>IFERROR(__xludf.DUMMYFUNCTION("""COMPUTED_VALUE"""),52000.0)</f>
        <v>52000</v>
      </c>
      <c r="L4122" s="2">
        <f>IFERROR(__xludf.DUMMYFUNCTION("""COMPUTED_VALUE"""),56.952975)</f>
        <v>56.952975</v>
      </c>
      <c r="M4122" s="2">
        <f>IFERROR(__xludf.DUMMYFUNCTION("""COMPUTED_VALUE"""),24.0166971)</f>
        <v>24.0166971</v>
      </c>
    </row>
    <row r="4123">
      <c r="A4123" s="2" t="str">
        <f>IFERROR(__xludf.DUMMYFUNCTION("""COMPUTED_VALUE"""),"For rent")</f>
        <v>For rent</v>
      </c>
      <c r="B4123" s="2" t="str">
        <f>IFERROR(__xludf.DUMMYFUNCTION("""COMPUTED_VALUE"""),"Āgenskalns")</f>
        <v>Āgenskalns</v>
      </c>
      <c r="C4123" s="2" t="str">
        <f>IFERROR(__xludf.DUMMYFUNCTION("""COMPUTED_VALUE"""),"Valentīna 16")</f>
        <v>Valentīna 16</v>
      </c>
      <c r="D4123" s="2">
        <f>IFERROR(__xludf.DUMMYFUNCTION("""COMPUTED_VALUE"""),1.0)</f>
        <v>1</v>
      </c>
      <c r="E4123" s="2">
        <f>IFERROR(__xludf.DUMMYFUNCTION("""COMPUTED_VALUE"""),35.0)</f>
        <v>35</v>
      </c>
      <c r="F4123" s="2">
        <f>IFERROR(__xludf.DUMMYFUNCTION("""COMPUTED_VALUE"""),4.0)</f>
        <v>4</v>
      </c>
      <c r="G4123" s="2">
        <f>IFERROR(__xludf.DUMMYFUNCTION("""COMPUTED_VALUE"""),5.0)</f>
        <v>5</v>
      </c>
      <c r="H4123" s="2" t="str">
        <f>IFERROR(__xludf.DUMMYFUNCTION("""COMPUTED_VALUE"""),"Jaun.")</f>
        <v>Jaun.</v>
      </c>
      <c r="I4123" s="2" t="str">
        <f>IFERROR(__xludf.DUMMYFUNCTION("""COMPUTED_VALUE"""),"Brick-Panel")</f>
        <v>Brick-Panel</v>
      </c>
      <c r="J4123" s="2" t="str">
        <f>IFERROR(__xludf.DUMMYFUNCTION("""COMPUTED_VALUE"""),"All amenities")</f>
        <v>All amenities</v>
      </c>
      <c r="K4123" s="2">
        <f>IFERROR(__xludf.DUMMYFUNCTION("""COMPUTED_VALUE"""),520.0)</f>
        <v>520</v>
      </c>
      <c r="L4123" s="2">
        <f>IFERROR(__xludf.DUMMYFUNCTION("""COMPUTED_VALUE"""),56.94107515)</f>
        <v>56.94107515</v>
      </c>
      <c r="M4123" s="2">
        <f>IFERROR(__xludf.DUMMYFUNCTION("""COMPUTED_VALUE"""),24.0537289468904)</f>
        <v>24.05372895</v>
      </c>
    </row>
    <row r="4124">
      <c r="A4124" s="2" t="str">
        <f>IFERROR(__xludf.DUMMYFUNCTION("""COMPUTED_VALUE"""),"For rent")</f>
        <v>For rent</v>
      </c>
      <c r="B4124" s="2" t="str">
        <f>IFERROR(__xludf.DUMMYFUNCTION("""COMPUTED_VALUE"""),"centrs")</f>
        <v>centrs</v>
      </c>
      <c r="C4124" s="2" t="str">
        <f>IFERROR(__xludf.DUMMYFUNCTION("""COMPUTED_VALUE"""),"Lāčplēša 131")</f>
        <v>Lāčplēša 131</v>
      </c>
      <c r="D4124" s="2">
        <f>IFERROR(__xludf.DUMMYFUNCTION("""COMPUTED_VALUE"""),2.0)</f>
        <v>2</v>
      </c>
      <c r="E4124" s="2">
        <f>IFERROR(__xludf.DUMMYFUNCTION("""COMPUTED_VALUE"""),47.0)</f>
        <v>47</v>
      </c>
      <c r="F4124" s="2">
        <f>IFERROR(__xludf.DUMMYFUNCTION("""COMPUTED_VALUE"""),1.0)</f>
        <v>1</v>
      </c>
      <c r="G4124" s="2">
        <f>IFERROR(__xludf.DUMMYFUNCTION("""COMPUTED_VALUE"""),4.0)</f>
        <v>4</v>
      </c>
      <c r="H4124" s="2" t="str">
        <f>IFERROR(__xludf.DUMMYFUNCTION("""COMPUTED_VALUE"""),"P. kara")</f>
        <v>P. kara</v>
      </c>
      <c r="I4124" s="2" t="str">
        <f>IFERROR(__xludf.DUMMYFUNCTION("""COMPUTED_VALUE"""),"Masonry")</f>
        <v>Masonry</v>
      </c>
      <c r="J4124" s="2" t="str">
        <f>IFERROR(__xludf.DUMMYFUNCTION("""COMPUTED_VALUE"""),"All amenities")</f>
        <v>All amenities</v>
      </c>
      <c r="K4124" s="2">
        <f>IFERROR(__xludf.DUMMYFUNCTION("""COMPUTED_VALUE"""),300.0)</f>
        <v>300</v>
      </c>
      <c r="L4124" s="2">
        <f>IFERROR(__xludf.DUMMYFUNCTION("""COMPUTED_VALUE"""),56.9468471)</f>
        <v>56.9468471</v>
      </c>
      <c r="M4124" s="2">
        <f>IFERROR(__xludf.DUMMYFUNCTION("""COMPUTED_VALUE"""),24.133767)</f>
        <v>24.133767</v>
      </c>
    </row>
    <row r="4125">
      <c r="A4125" s="2" t="str">
        <f>IFERROR(__xludf.DUMMYFUNCTION("""COMPUTED_VALUE"""),"For sale")</f>
        <v>For sale</v>
      </c>
      <c r="B4125" s="2" t="str">
        <f>IFERROR(__xludf.DUMMYFUNCTION("""COMPUTED_VALUE"""),"Ziepniekkalns")</f>
        <v>Ziepniekkalns</v>
      </c>
      <c r="C4125" s="2" t="str">
        <f>IFERROR(__xludf.DUMMYFUNCTION("""COMPUTED_VALUE"""),"Ozolciema 46/1")</f>
        <v>Ozolciema 46/1</v>
      </c>
      <c r="D4125" s="2">
        <f>IFERROR(__xludf.DUMMYFUNCTION("""COMPUTED_VALUE"""),3.0)</f>
        <v>3</v>
      </c>
      <c r="E4125" s="2">
        <f>IFERROR(__xludf.DUMMYFUNCTION("""COMPUTED_VALUE"""),62.0)</f>
        <v>62</v>
      </c>
      <c r="F4125" s="2">
        <f>IFERROR(__xludf.DUMMYFUNCTION("""COMPUTED_VALUE"""),3.0)</f>
        <v>3</v>
      </c>
      <c r="G4125" s="2">
        <f>IFERROR(__xludf.DUMMYFUNCTION("""COMPUTED_VALUE"""),9.0)</f>
        <v>9</v>
      </c>
      <c r="H4125" s="2">
        <f>IFERROR(__xludf.DUMMYFUNCTION("""COMPUTED_VALUE"""),602.0)</f>
        <v>602</v>
      </c>
      <c r="I4125" s="2" t="str">
        <f>IFERROR(__xludf.DUMMYFUNCTION("""COMPUTED_VALUE"""),"Panel")</f>
        <v>Panel</v>
      </c>
      <c r="J4125" s="2" t="str">
        <f>IFERROR(__xludf.DUMMYFUNCTION("""COMPUTED_VALUE"""),"All amenities")</f>
        <v>All amenities</v>
      </c>
      <c r="K4125" s="2">
        <f>IFERROR(__xludf.DUMMYFUNCTION("""COMPUTED_VALUE"""),63000.0)</f>
        <v>63000</v>
      </c>
      <c r="L4125" s="2">
        <f>IFERROR(__xludf.DUMMYFUNCTION("""COMPUTED_VALUE"""),56.8990307)</f>
        <v>56.8990307</v>
      </c>
      <c r="M4125" s="2">
        <f>IFERROR(__xludf.DUMMYFUNCTION("""COMPUTED_VALUE"""),24.0785989)</f>
        <v>24.0785989</v>
      </c>
    </row>
    <row r="4126">
      <c r="A4126" s="2" t="str">
        <f>IFERROR(__xludf.DUMMYFUNCTION("""COMPUTED_VALUE"""),"For rent")</f>
        <v>For rent</v>
      </c>
      <c r="B4126" s="2" t="str">
        <f>IFERROR(__xludf.DUMMYFUNCTION("""COMPUTED_VALUE"""),"Purvciems")</f>
        <v>Purvciems</v>
      </c>
      <c r="C4126" s="2" t="str">
        <f>IFERROR(__xludf.DUMMYFUNCTION("""COMPUTED_VALUE"""),"Astras 8 k-1")</f>
        <v>Astras 8 k-1</v>
      </c>
      <c r="D4126" s="2">
        <f>IFERROR(__xludf.DUMMYFUNCTION("""COMPUTED_VALUE"""),3.0)</f>
        <v>3</v>
      </c>
      <c r="E4126" s="2">
        <f>IFERROR(__xludf.DUMMYFUNCTION("""COMPUTED_VALUE"""),83.0)</f>
        <v>83</v>
      </c>
      <c r="F4126" s="2">
        <f>IFERROR(__xludf.DUMMYFUNCTION("""COMPUTED_VALUE"""),16.0)</f>
        <v>16</v>
      </c>
      <c r="G4126" s="2">
        <f>IFERROR(__xludf.DUMMYFUNCTION("""COMPUTED_VALUE"""),24.0)</f>
        <v>24</v>
      </c>
      <c r="H4126" s="2" t="str">
        <f>IFERROR(__xludf.DUMMYFUNCTION("""COMPUTED_VALUE"""),"Jaun.")</f>
        <v>Jaun.</v>
      </c>
      <c r="I4126" s="2" t="str">
        <f>IFERROR(__xludf.DUMMYFUNCTION("""COMPUTED_VALUE"""),"Panel")</f>
        <v>Panel</v>
      </c>
      <c r="J4126" s="2" t="str">
        <f>IFERROR(__xludf.DUMMYFUNCTION("""COMPUTED_VALUE"""),"All amenities")</f>
        <v>All amenities</v>
      </c>
      <c r="K4126" s="2">
        <f>IFERROR(__xludf.DUMMYFUNCTION("""COMPUTED_VALUE"""),650.0)</f>
        <v>650</v>
      </c>
      <c r="L4126" s="2" t="str">
        <f>IFERROR(__xludf.DUMMYFUNCTION("""COMPUTED_VALUE"""),"NaN")</f>
        <v>NaN</v>
      </c>
      <c r="M4126" s="2" t="str">
        <f>IFERROR(__xludf.DUMMYFUNCTION("""COMPUTED_VALUE"""),"NaN")</f>
        <v>NaN</v>
      </c>
    </row>
    <row r="4127">
      <c r="A4127" s="2" t="str">
        <f>IFERROR(__xludf.DUMMYFUNCTION("""COMPUTED_VALUE"""),"For rent")</f>
        <v>For rent</v>
      </c>
      <c r="B4127" s="2" t="str">
        <f>IFERROR(__xludf.DUMMYFUNCTION("""COMPUTED_VALUE"""),"Purvciems")</f>
        <v>Purvciems</v>
      </c>
      <c r="C4127" s="2" t="str">
        <f>IFERROR(__xludf.DUMMYFUNCTION("""COMPUTED_VALUE"""),"Kastrānes 1-2")</f>
        <v>Kastrānes 1-2</v>
      </c>
      <c r="D4127" s="2">
        <f>IFERROR(__xludf.DUMMYFUNCTION("""COMPUTED_VALUE"""),1.0)</f>
        <v>1</v>
      </c>
      <c r="E4127" s="2">
        <f>IFERROR(__xludf.DUMMYFUNCTION("""COMPUTED_VALUE"""),18.0)</f>
        <v>18</v>
      </c>
      <c r="F4127" s="2">
        <f>IFERROR(__xludf.DUMMYFUNCTION("""COMPUTED_VALUE"""),4.0)</f>
        <v>4</v>
      </c>
      <c r="G4127" s="2">
        <f>IFERROR(__xludf.DUMMYFUNCTION("""COMPUTED_VALUE"""),5.0)</f>
        <v>5</v>
      </c>
      <c r="H4127" s="2" t="str">
        <f>IFERROR(__xludf.DUMMYFUNCTION("""COMPUTED_VALUE"""),"Renov.")</f>
        <v>Renov.</v>
      </c>
      <c r="I4127" s="2" t="str">
        <f>IFERROR(__xludf.DUMMYFUNCTION("""COMPUTED_VALUE"""),"Brick")</f>
        <v>Brick</v>
      </c>
      <c r="J4127" s="2" t="str">
        <f>IFERROR(__xludf.DUMMYFUNCTION("""COMPUTED_VALUE"""),"All amenities")</f>
        <v>All amenities</v>
      </c>
      <c r="K4127" s="2">
        <f>IFERROR(__xludf.DUMMYFUNCTION("""COMPUTED_VALUE"""),230.0)</f>
        <v>230</v>
      </c>
      <c r="L4127" s="2">
        <f>IFERROR(__xludf.DUMMYFUNCTION("""COMPUTED_VALUE"""),56.9697688)</f>
        <v>56.9697688</v>
      </c>
      <c r="M4127" s="2">
        <f>IFERROR(__xludf.DUMMYFUNCTION("""COMPUTED_VALUE"""),24.1782343)</f>
        <v>24.1782343</v>
      </c>
    </row>
    <row r="4128">
      <c r="A4128" s="2" t="str">
        <f>IFERROR(__xludf.DUMMYFUNCTION("""COMPUTED_VALUE"""),"For sale")</f>
        <v>For sale</v>
      </c>
      <c r="B4128" s="2" t="str">
        <f>IFERROR(__xludf.DUMMYFUNCTION("""COMPUTED_VALUE"""),"Torņakalns")</f>
        <v>Torņakalns</v>
      </c>
      <c r="C4128" s="2" t="str">
        <f>IFERROR(__xludf.DUMMYFUNCTION("""COMPUTED_VALUE"""),"Vēja 7")</f>
        <v>Vēja 7</v>
      </c>
      <c r="D4128" s="2">
        <f>IFERROR(__xludf.DUMMYFUNCTION("""COMPUTED_VALUE"""),1.0)</f>
        <v>1</v>
      </c>
      <c r="E4128" s="2">
        <f>IFERROR(__xludf.DUMMYFUNCTION("""COMPUTED_VALUE"""),33.0)</f>
        <v>33</v>
      </c>
      <c r="F4128" s="2">
        <f>IFERROR(__xludf.DUMMYFUNCTION("""COMPUTED_VALUE"""),2.0)</f>
        <v>2</v>
      </c>
      <c r="G4128" s="2">
        <f>IFERROR(__xludf.DUMMYFUNCTION("""COMPUTED_VALUE"""),2.0)</f>
        <v>2</v>
      </c>
      <c r="H4128" s="2" t="str">
        <f>IFERROR(__xludf.DUMMYFUNCTION("""COMPUTED_VALUE"""),"P. kara")</f>
        <v>P. kara</v>
      </c>
      <c r="I4128" s="2" t="str">
        <f>IFERROR(__xludf.DUMMYFUNCTION("""COMPUTED_VALUE"""),"Wood")</f>
        <v>Wood</v>
      </c>
      <c r="J4128" s="2" t="str">
        <f>IFERROR(__xludf.DUMMYFUNCTION("""COMPUTED_VALUE"""),"Without amenities")</f>
        <v>Without amenities</v>
      </c>
      <c r="K4128" s="2">
        <f>IFERROR(__xludf.DUMMYFUNCTION("""COMPUTED_VALUE"""),11500.0)</f>
        <v>11500</v>
      </c>
      <c r="L4128" s="2">
        <f>IFERROR(__xludf.DUMMYFUNCTION("""COMPUTED_VALUE"""),56.92786905)</f>
        <v>56.92786905</v>
      </c>
      <c r="M4128" s="2">
        <f>IFERROR(__xludf.DUMMYFUNCTION("""COMPUTED_VALUE"""),24.0968170746478)</f>
        <v>24.09681707</v>
      </c>
    </row>
    <row r="4129">
      <c r="A4129" s="2" t="str">
        <f>IFERROR(__xludf.DUMMYFUNCTION("""COMPUTED_VALUE"""),"For rent")</f>
        <v>For rent</v>
      </c>
      <c r="B4129" s="2" t="str">
        <f>IFERROR(__xludf.DUMMYFUNCTION("""COMPUTED_VALUE"""),"centrs")</f>
        <v>centrs</v>
      </c>
      <c r="C4129" s="2" t="str">
        <f>IFERROR(__xludf.DUMMYFUNCTION("""COMPUTED_VALUE"""),"Zaļā 4")</f>
        <v>Zaļā 4</v>
      </c>
      <c r="D4129" s="2">
        <f>IFERROR(__xludf.DUMMYFUNCTION("""COMPUTED_VALUE"""),3.0)</f>
        <v>3</v>
      </c>
      <c r="E4129" s="2">
        <f>IFERROR(__xludf.DUMMYFUNCTION("""COMPUTED_VALUE"""),100.0)</f>
        <v>100</v>
      </c>
      <c r="F4129" s="2">
        <f>IFERROR(__xludf.DUMMYFUNCTION("""COMPUTED_VALUE"""),6.0)</f>
        <v>6</v>
      </c>
      <c r="G4129" s="2">
        <f>IFERROR(__xludf.DUMMYFUNCTION("""COMPUTED_VALUE"""),7.0)</f>
        <v>7</v>
      </c>
      <c r="H4129" s="2" t="str">
        <f>IFERROR(__xludf.DUMMYFUNCTION("""COMPUTED_VALUE"""),"Specpr.")</f>
        <v>Specpr.</v>
      </c>
      <c r="I4129" s="2" t="str">
        <f>IFERROR(__xludf.DUMMYFUNCTION("""COMPUTED_VALUE"""),"Masonry")</f>
        <v>Masonry</v>
      </c>
      <c r="J4129" s="2" t="str">
        <f>IFERROR(__xludf.DUMMYFUNCTION("""COMPUTED_VALUE"""),"All amenities")</f>
        <v>All amenities</v>
      </c>
      <c r="K4129" s="2">
        <f>IFERROR(__xludf.DUMMYFUNCTION("""COMPUTED_VALUE"""),800.0)</f>
        <v>800</v>
      </c>
      <c r="L4129" s="2">
        <f>IFERROR(__xludf.DUMMYFUNCTION("""COMPUTED_VALUE"""),56.9585833999999)</f>
        <v>56.9585834</v>
      </c>
      <c r="M4129" s="2">
        <f>IFERROR(__xludf.DUMMYFUNCTION("""COMPUTED_VALUE"""),24.1142613097222)</f>
        <v>24.11426131</v>
      </c>
    </row>
    <row r="4130">
      <c r="A4130" s="2" t="str">
        <f>IFERROR(__xludf.DUMMYFUNCTION("""COMPUTED_VALUE"""),"For sale")</f>
        <v>For sale</v>
      </c>
      <c r="B4130" s="2" t="str">
        <f>IFERROR(__xludf.DUMMYFUNCTION("""COMPUTED_VALUE"""),"Purvciems")</f>
        <v>Purvciems</v>
      </c>
      <c r="C4130" s="2" t="str">
        <f>IFERROR(__xludf.DUMMYFUNCTION("""COMPUTED_VALUE"""),"Ieriķu 54")</f>
        <v>Ieriķu 54</v>
      </c>
      <c r="D4130" s="2">
        <f>IFERROR(__xludf.DUMMYFUNCTION("""COMPUTED_VALUE"""),2.0)</f>
        <v>2</v>
      </c>
      <c r="E4130" s="2">
        <f>IFERROR(__xludf.DUMMYFUNCTION("""COMPUTED_VALUE"""),60.0)</f>
        <v>60</v>
      </c>
      <c r="F4130" s="2">
        <f>IFERROR(__xludf.DUMMYFUNCTION("""COMPUTED_VALUE"""),1.0)</f>
        <v>1</v>
      </c>
      <c r="G4130" s="2">
        <f>IFERROR(__xludf.DUMMYFUNCTION("""COMPUTED_VALUE"""),2.0)</f>
        <v>2</v>
      </c>
      <c r="H4130" s="2" t="str">
        <f>IFERROR(__xludf.DUMMYFUNCTION("""COMPUTED_VALUE"""),"Staļina")</f>
        <v>Staļina</v>
      </c>
      <c r="I4130" s="2" t="str">
        <f>IFERROR(__xludf.DUMMYFUNCTION("""COMPUTED_VALUE"""),"Masonry")</f>
        <v>Masonry</v>
      </c>
      <c r="J4130" s="2" t="str">
        <f>IFERROR(__xludf.DUMMYFUNCTION("""COMPUTED_VALUE"""),"All amenities")</f>
        <v>All amenities</v>
      </c>
      <c r="K4130" s="2">
        <f>IFERROR(__xludf.DUMMYFUNCTION("""COMPUTED_VALUE"""),39999.0)</f>
        <v>39999</v>
      </c>
      <c r="L4130" s="2">
        <f>IFERROR(__xludf.DUMMYFUNCTION("""COMPUTED_VALUE"""),56.9653522)</f>
        <v>56.9653522</v>
      </c>
      <c r="M4130" s="2">
        <f>IFERROR(__xludf.DUMMYFUNCTION("""COMPUTED_VALUE"""),24.1647985)</f>
        <v>24.1647985</v>
      </c>
    </row>
    <row r="4131">
      <c r="A4131" s="2" t="str">
        <f>IFERROR(__xludf.DUMMYFUNCTION("""COMPUTED_VALUE"""),"For sale")</f>
        <v>For sale</v>
      </c>
      <c r="B4131" s="2" t="str">
        <f>IFERROR(__xludf.DUMMYFUNCTION("""COMPUTED_VALUE"""),"Imanta")</f>
        <v>Imanta</v>
      </c>
      <c r="C4131" s="2" t="str">
        <f>IFERROR(__xludf.DUMMYFUNCTION("""COMPUTED_VALUE"""),"Kurzemes pr. 82")</f>
        <v>Kurzemes pr. 82</v>
      </c>
      <c r="D4131" s="2">
        <f>IFERROR(__xludf.DUMMYFUNCTION("""COMPUTED_VALUE"""),2.0)</f>
        <v>2</v>
      </c>
      <c r="E4131" s="2">
        <f>IFERROR(__xludf.DUMMYFUNCTION("""COMPUTED_VALUE"""),50.0)</f>
        <v>50</v>
      </c>
      <c r="F4131" s="2">
        <f>IFERROR(__xludf.DUMMYFUNCTION("""COMPUTED_VALUE"""),9.0)</f>
        <v>9</v>
      </c>
      <c r="G4131" s="2">
        <f>IFERROR(__xludf.DUMMYFUNCTION("""COMPUTED_VALUE"""),9.0)</f>
        <v>9</v>
      </c>
      <c r="H4131" s="2">
        <f>IFERROR(__xludf.DUMMYFUNCTION("""COMPUTED_VALUE"""),602.0)</f>
        <v>602</v>
      </c>
      <c r="I4131" s="2" t="str">
        <f>IFERROR(__xludf.DUMMYFUNCTION("""COMPUTED_VALUE"""),"Panel")</f>
        <v>Panel</v>
      </c>
      <c r="J4131" s="2" t="str">
        <f>IFERROR(__xludf.DUMMYFUNCTION("""COMPUTED_VALUE"""),"All amenities")</f>
        <v>All amenities</v>
      </c>
      <c r="K4131" s="2">
        <f>IFERROR(__xludf.DUMMYFUNCTION("""COMPUTED_VALUE"""),42900.0)</f>
        <v>42900</v>
      </c>
      <c r="L4131" s="2" t="str">
        <f>IFERROR(__xludf.DUMMYFUNCTION("""COMPUTED_VALUE"""),"NaN")</f>
        <v>NaN</v>
      </c>
      <c r="M4131" s="2" t="str">
        <f>IFERROR(__xludf.DUMMYFUNCTION("""COMPUTED_VALUE"""),"NaN")</f>
        <v>NaN</v>
      </c>
    </row>
    <row r="4132">
      <c r="A4132" s="2" t="str">
        <f>IFERROR(__xludf.DUMMYFUNCTION("""COMPUTED_VALUE"""),"For rent")</f>
        <v>For rent</v>
      </c>
      <c r="B4132" s="2" t="str">
        <f>IFERROR(__xludf.DUMMYFUNCTION("""COMPUTED_VALUE"""),"Purvciems")</f>
        <v>Purvciems</v>
      </c>
      <c r="C4132" s="2" t="str">
        <f>IFERROR(__xludf.DUMMYFUNCTION("""COMPUTED_VALUE"""),"Nīcgales 4")</f>
        <v>Nīcgales 4</v>
      </c>
      <c r="D4132" s="2">
        <f>IFERROR(__xludf.DUMMYFUNCTION("""COMPUTED_VALUE"""),2.0)</f>
        <v>2</v>
      </c>
      <c r="E4132" s="2">
        <f>IFERROR(__xludf.DUMMYFUNCTION("""COMPUTED_VALUE"""),50.0)</f>
        <v>50</v>
      </c>
      <c r="F4132" s="2">
        <f>IFERROR(__xludf.DUMMYFUNCTION("""COMPUTED_VALUE"""),8.0)</f>
        <v>8</v>
      </c>
      <c r="G4132" s="2">
        <f>IFERROR(__xludf.DUMMYFUNCTION("""COMPUTED_VALUE"""),9.0)</f>
        <v>9</v>
      </c>
      <c r="H4132" s="2">
        <f>IFERROR(__xludf.DUMMYFUNCTION("""COMPUTED_VALUE"""),602.0)</f>
        <v>602</v>
      </c>
      <c r="I4132" s="2" t="str">
        <f>IFERROR(__xludf.DUMMYFUNCTION("""COMPUTED_VALUE"""),"Panel")</f>
        <v>Panel</v>
      </c>
      <c r="J4132" s="2" t="str">
        <f>IFERROR(__xludf.DUMMYFUNCTION("""COMPUTED_VALUE"""),"All amenities")</f>
        <v>All amenities</v>
      </c>
      <c r="K4132" s="2">
        <f>IFERROR(__xludf.DUMMYFUNCTION("""COMPUTED_VALUE"""),15.0)</f>
        <v>15</v>
      </c>
      <c r="L4132" s="2">
        <f>IFERROR(__xludf.DUMMYFUNCTION("""COMPUTED_VALUE"""),56.95855255)</f>
        <v>56.95855255</v>
      </c>
      <c r="M4132" s="2">
        <f>IFERROR(__xludf.DUMMYFUNCTION("""COMPUTED_VALUE"""),24.1753163275791)</f>
        <v>24.17531633</v>
      </c>
    </row>
    <row r="4133">
      <c r="A4133" s="2" t="str">
        <f>IFERROR(__xludf.DUMMYFUNCTION("""COMPUTED_VALUE"""),"For rent")</f>
        <v>For rent</v>
      </c>
      <c r="B4133" s="2" t="str">
        <f>IFERROR(__xludf.DUMMYFUNCTION("""COMPUTED_VALUE"""),"centrs")</f>
        <v>centrs</v>
      </c>
      <c r="C4133" s="2" t="str">
        <f>IFERROR(__xludf.DUMMYFUNCTION("""COMPUTED_VALUE"""),"Sermuliņu 16")</f>
        <v>Sermuliņu 16</v>
      </c>
      <c r="D4133" s="2">
        <f>IFERROR(__xludf.DUMMYFUNCTION("""COMPUTED_VALUE"""),2.0)</f>
        <v>2</v>
      </c>
      <c r="E4133" s="2">
        <f>IFERROR(__xludf.DUMMYFUNCTION("""COMPUTED_VALUE"""),45.0)</f>
        <v>45</v>
      </c>
      <c r="F4133" s="2">
        <f>IFERROR(__xludf.DUMMYFUNCTION("""COMPUTED_VALUE"""),1.0)</f>
        <v>1</v>
      </c>
      <c r="G4133" s="2">
        <f>IFERROR(__xludf.DUMMYFUNCTION("""COMPUTED_VALUE"""),1.0)</f>
        <v>1</v>
      </c>
      <c r="H4133" s="2" t="str">
        <f>IFERROR(__xludf.DUMMYFUNCTION("""COMPUTED_VALUE"""),"Jaun.")</f>
        <v>Jaun.</v>
      </c>
      <c r="I4133" s="2" t="str">
        <f>IFERROR(__xludf.DUMMYFUNCTION("""COMPUTED_VALUE"""),"Masonry")</f>
        <v>Masonry</v>
      </c>
      <c r="J4133" s="2" t="str">
        <f>IFERROR(__xludf.DUMMYFUNCTION("""COMPUTED_VALUE"""),"All amenities")</f>
        <v>All amenities</v>
      </c>
      <c r="K4133" s="2">
        <f>IFERROR(__xludf.DUMMYFUNCTION("""COMPUTED_VALUE"""),400.0)</f>
        <v>400</v>
      </c>
      <c r="L4133" s="2">
        <f>IFERROR(__xludf.DUMMYFUNCTION("""COMPUTED_VALUE"""),56.97128995)</f>
        <v>56.97128995</v>
      </c>
      <c r="M4133" s="2">
        <f>IFERROR(__xludf.DUMMYFUNCTION("""COMPUTED_VALUE"""),24.1045102694359)</f>
        <v>24.10451027</v>
      </c>
    </row>
    <row r="4134">
      <c r="A4134" s="2" t="str">
        <f>IFERROR(__xludf.DUMMYFUNCTION("""COMPUTED_VALUE"""),"For rent")</f>
        <v>For rent</v>
      </c>
      <c r="B4134" s="2" t="str">
        <f>IFERROR(__xludf.DUMMYFUNCTION("""COMPUTED_VALUE"""),"Dārzciems")</f>
        <v>Dārzciems</v>
      </c>
      <c r="C4134" s="2" t="str">
        <f>IFERROR(__xludf.DUMMYFUNCTION("""COMPUTED_VALUE"""),"Stopiņu 14")</f>
        <v>Stopiņu 14</v>
      </c>
      <c r="D4134" s="2">
        <f>IFERROR(__xludf.DUMMYFUNCTION("""COMPUTED_VALUE"""),2.0)</f>
        <v>2</v>
      </c>
      <c r="E4134" s="2">
        <f>IFERROR(__xludf.DUMMYFUNCTION("""COMPUTED_VALUE"""),56.0)</f>
        <v>56</v>
      </c>
      <c r="F4134" s="2">
        <f>IFERROR(__xludf.DUMMYFUNCTION("""COMPUTED_VALUE"""),2.0)</f>
        <v>2</v>
      </c>
      <c r="G4134" s="2">
        <f>IFERROR(__xludf.DUMMYFUNCTION("""COMPUTED_VALUE"""),5.0)</f>
        <v>5</v>
      </c>
      <c r="H4134" s="2" t="str">
        <f>IFERROR(__xludf.DUMMYFUNCTION("""COMPUTED_VALUE"""),"Jaun.")</f>
        <v>Jaun.</v>
      </c>
      <c r="I4134" s="2" t="str">
        <f>IFERROR(__xludf.DUMMYFUNCTION("""COMPUTED_VALUE"""),"Masonry")</f>
        <v>Masonry</v>
      </c>
      <c r="J4134" s="2" t="str">
        <f>IFERROR(__xludf.DUMMYFUNCTION("""COMPUTED_VALUE"""),"All amenities")</f>
        <v>All amenities</v>
      </c>
      <c r="K4134" s="2">
        <f>IFERROR(__xludf.DUMMYFUNCTION("""COMPUTED_VALUE"""),500.0)</f>
        <v>500</v>
      </c>
      <c r="L4134" s="2">
        <f>IFERROR(__xludf.DUMMYFUNCTION("""COMPUTED_VALUE"""),56.9485064)</f>
        <v>56.9485064</v>
      </c>
      <c r="M4134" s="2">
        <f>IFERROR(__xludf.DUMMYFUNCTION("""COMPUTED_VALUE"""),24.1696077537097)</f>
        <v>24.16960775</v>
      </c>
    </row>
    <row r="4135">
      <c r="A4135" s="2" t="str">
        <f>IFERROR(__xludf.DUMMYFUNCTION("""COMPUTED_VALUE"""),"For sale")</f>
        <v>For sale</v>
      </c>
      <c r="B4135" s="2" t="str">
        <f>IFERROR(__xludf.DUMMYFUNCTION("""COMPUTED_VALUE"""),"Dārzciems")</f>
        <v>Dārzciems</v>
      </c>
      <c r="C4135" s="2" t="str">
        <f>IFERROR(__xludf.DUMMYFUNCTION("""COMPUTED_VALUE"""),"Stopiņu 14")</f>
        <v>Stopiņu 14</v>
      </c>
      <c r="D4135" s="2">
        <f>IFERROR(__xludf.DUMMYFUNCTION("""COMPUTED_VALUE"""),3.0)</f>
        <v>3</v>
      </c>
      <c r="E4135" s="2">
        <f>IFERROR(__xludf.DUMMYFUNCTION("""COMPUTED_VALUE"""),82.0)</f>
        <v>82</v>
      </c>
      <c r="F4135" s="2">
        <f>IFERROR(__xludf.DUMMYFUNCTION("""COMPUTED_VALUE"""),4.0)</f>
        <v>4</v>
      </c>
      <c r="G4135" s="2">
        <f>IFERROR(__xludf.DUMMYFUNCTION("""COMPUTED_VALUE"""),5.0)</f>
        <v>5</v>
      </c>
      <c r="H4135" s="2" t="str">
        <f>IFERROR(__xludf.DUMMYFUNCTION("""COMPUTED_VALUE"""),"Jaun.")</f>
        <v>Jaun.</v>
      </c>
      <c r="I4135" s="2" t="str">
        <f>IFERROR(__xludf.DUMMYFUNCTION("""COMPUTED_VALUE"""),"Masonry")</f>
        <v>Masonry</v>
      </c>
      <c r="J4135" s="2" t="str">
        <f>IFERROR(__xludf.DUMMYFUNCTION("""COMPUTED_VALUE"""),"All amenities")</f>
        <v>All amenities</v>
      </c>
      <c r="K4135" s="2">
        <f>IFERROR(__xludf.DUMMYFUNCTION("""COMPUTED_VALUE"""),98000.0)</f>
        <v>98000</v>
      </c>
      <c r="L4135" s="2">
        <f>IFERROR(__xludf.DUMMYFUNCTION("""COMPUTED_VALUE"""),56.9485064)</f>
        <v>56.9485064</v>
      </c>
      <c r="M4135" s="2">
        <f>IFERROR(__xludf.DUMMYFUNCTION("""COMPUTED_VALUE"""),24.1696077537097)</f>
        <v>24.16960775</v>
      </c>
    </row>
    <row r="4136">
      <c r="A4136" s="2" t="str">
        <f>IFERROR(__xludf.DUMMYFUNCTION("""COMPUTED_VALUE"""),"For sale")</f>
        <v>For sale</v>
      </c>
      <c r="B4136" s="2" t="str">
        <f>IFERROR(__xludf.DUMMYFUNCTION("""COMPUTED_VALUE"""),"Purvciems")</f>
        <v>Purvciems</v>
      </c>
      <c r="C4136" s="2" t="str">
        <f>IFERROR(__xludf.DUMMYFUNCTION("""COMPUTED_VALUE"""),"Nīcgales 36")</f>
        <v>Nīcgales 36</v>
      </c>
      <c r="D4136" s="2">
        <f>IFERROR(__xludf.DUMMYFUNCTION("""COMPUTED_VALUE"""),2.0)</f>
        <v>2</v>
      </c>
      <c r="E4136" s="2">
        <f>IFERROR(__xludf.DUMMYFUNCTION("""COMPUTED_VALUE"""),49.0)</f>
        <v>49</v>
      </c>
      <c r="F4136" s="2">
        <f>IFERROR(__xludf.DUMMYFUNCTION("""COMPUTED_VALUE"""),1.0)</f>
        <v>1</v>
      </c>
      <c r="G4136" s="2">
        <f>IFERROR(__xludf.DUMMYFUNCTION("""COMPUTED_VALUE"""),5.0)</f>
        <v>5</v>
      </c>
      <c r="H4136" s="2" t="str">
        <f>IFERROR(__xludf.DUMMYFUNCTION("""COMPUTED_VALUE"""),"Jaun.")</f>
        <v>Jaun.</v>
      </c>
      <c r="I4136" s="2" t="str">
        <f>IFERROR(__xludf.DUMMYFUNCTION("""COMPUTED_VALUE"""),"Masonry")</f>
        <v>Masonry</v>
      </c>
      <c r="J4136" s="2" t="str">
        <f>IFERROR(__xludf.DUMMYFUNCTION("""COMPUTED_VALUE"""),"All amenities")</f>
        <v>All amenities</v>
      </c>
      <c r="K4136" s="2">
        <f>IFERROR(__xludf.DUMMYFUNCTION("""COMPUTED_VALUE"""),63000.0)</f>
        <v>63000</v>
      </c>
      <c r="L4136" s="2">
        <f>IFERROR(__xludf.DUMMYFUNCTION("""COMPUTED_VALUE"""),56.9505884)</f>
        <v>56.9505884</v>
      </c>
      <c r="M4136" s="2">
        <f>IFERROR(__xludf.DUMMYFUNCTION("""COMPUTED_VALUE"""),24.1734239)</f>
        <v>24.1734239</v>
      </c>
    </row>
    <row r="4137">
      <c r="A4137" s="2" t="str">
        <f>IFERROR(__xludf.DUMMYFUNCTION("""COMPUTED_VALUE"""),"For rent")</f>
        <v>For rent</v>
      </c>
      <c r="B4137" s="2" t="str">
        <f>IFERROR(__xludf.DUMMYFUNCTION("""COMPUTED_VALUE"""),"Iļģuciems")</f>
        <v>Iļģuciems</v>
      </c>
      <c r="C4137" s="2" t="str">
        <f>IFERROR(__xludf.DUMMYFUNCTION("""COMPUTED_VALUE"""),"Kreslera 1k5")</f>
        <v>Kreslera 1k5</v>
      </c>
      <c r="D4137" s="2">
        <f>IFERROR(__xludf.DUMMYFUNCTION("""COMPUTED_VALUE"""),1.0)</f>
        <v>1</v>
      </c>
      <c r="E4137" s="2">
        <f>IFERROR(__xludf.DUMMYFUNCTION("""COMPUTED_VALUE"""),32.0)</f>
        <v>32</v>
      </c>
      <c r="F4137" s="2">
        <f>IFERROR(__xludf.DUMMYFUNCTION("""COMPUTED_VALUE"""),1.0)</f>
        <v>1</v>
      </c>
      <c r="G4137" s="2">
        <f>IFERROR(__xludf.DUMMYFUNCTION("""COMPUTED_VALUE"""),2.0)</f>
        <v>2</v>
      </c>
      <c r="H4137" s="2" t="str">
        <f>IFERROR(__xludf.DUMMYFUNCTION("""COMPUTED_VALUE"""),"Hrušč.")</f>
        <v>Hrušč.</v>
      </c>
      <c r="I4137" s="2" t="str">
        <f>IFERROR(__xludf.DUMMYFUNCTION("""COMPUTED_VALUE"""),"Brick")</f>
        <v>Brick</v>
      </c>
      <c r="J4137" s="2" t="str">
        <f>IFERROR(__xludf.DUMMYFUNCTION("""COMPUTED_VALUE"""),"All amenities")</f>
        <v>All amenities</v>
      </c>
      <c r="K4137" s="2">
        <f>IFERROR(__xludf.DUMMYFUNCTION("""COMPUTED_VALUE"""),185.0)</f>
        <v>185</v>
      </c>
      <c r="L4137" s="2">
        <f>IFERROR(__xludf.DUMMYFUNCTION("""COMPUTED_VALUE"""),56.9644458)</f>
        <v>56.9644458</v>
      </c>
      <c r="M4137" s="2">
        <f>IFERROR(__xludf.DUMMYFUNCTION("""COMPUTED_VALUE"""),24.0640075)</f>
        <v>24.0640075</v>
      </c>
    </row>
    <row r="4138">
      <c r="A4138" s="2" t="str">
        <f>IFERROR(__xludf.DUMMYFUNCTION("""COMPUTED_VALUE"""),"For rent")</f>
        <v>For rent</v>
      </c>
      <c r="B4138" s="2" t="str">
        <f>IFERROR(__xludf.DUMMYFUNCTION("""COMPUTED_VALUE"""),"Jugla")</f>
        <v>Jugla</v>
      </c>
      <c r="C4138" s="2" t="str">
        <f>IFERROR(__xludf.DUMMYFUNCTION("""COMPUTED_VALUE"""),"Brīvības gatve 404")</f>
        <v>Brīvības gatve 404</v>
      </c>
      <c r="D4138" s="2">
        <f>IFERROR(__xludf.DUMMYFUNCTION("""COMPUTED_VALUE"""),1.0)</f>
        <v>1</v>
      </c>
      <c r="E4138" s="2">
        <f>IFERROR(__xludf.DUMMYFUNCTION("""COMPUTED_VALUE"""),34.0)</f>
        <v>34</v>
      </c>
      <c r="F4138" s="2">
        <f>IFERROR(__xludf.DUMMYFUNCTION("""COMPUTED_VALUE"""),6.0)</f>
        <v>6</v>
      </c>
      <c r="G4138" s="2">
        <f>IFERROR(__xludf.DUMMYFUNCTION("""COMPUTED_VALUE"""),12.0)</f>
        <v>12</v>
      </c>
      <c r="H4138" s="2" t="str">
        <f>IFERROR(__xludf.DUMMYFUNCTION("""COMPUTED_VALUE"""),"Specpr.")</f>
        <v>Specpr.</v>
      </c>
      <c r="I4138" s="2" t="str">
        <f>IFERROR(__xludf.DUMMYFUNCTION("""COMPUTED_VALUE"""),"Brick-Panel")</f>
        <v>Brick-Panel</v>
      </c>
      <c r="J4138" s="2" t="str">
        <f>IFERROR(__xludf.DUMMYFUNCTION("""COMPUTED_VALUE"""),"All amenities")</f>
        <v>All amenities</v>
      </c>
      <c r="K4138" s="2">
        <f>IFERROR(__xludf.DUMMYFUNCTION("""COMPUTED_VALUE"""),260.0)</f>
        <v>260</v>
      </c>
      <c r="L4138" s="2">
        <f>IFERROR(__xludf.DUMMYFUNCTION("""COMPUTED_VALUE"""),56.987477)</f>
        <v>56.987477</v>
      </c>
      <c r="M4138" s="2">
        <f>IFERROR(__xludf.DUMMYFUNCTION("""COMPUTED_VALUE"""),24.2280819)</f>
        <v>24.2280819</v>
      </c>
    </row>
    <row r="4139">
      <c r="A4139" s="2" t="str">
        <f>IFERROR(__xludf.DUMMYFUNCTION("""COMPUTED_VALUE"""),"For sale")</f>
        <v>For sale</v>
      </c>
      <c r="B4139" s="2" t="str">
        <f>IFERROR(__xludf.DUMMYFUNCTION("""COMPUTED_VALUE"""),"Purvciems")</f>
        <v>Purvciems</v>
      </c>
      <c r="C4139" s="2" t="str">
        <f>IFERROR(__xludf.DUMMYFUNCTION("""COMPUTED_VALUE"""),"Stirnu 35")</f>
        <v>Stirnu 35</v>
      </c>
      <c r="D4139" s="2">
        <f>IFERROR(__xludf.DUMMYFUNCTION("""COMPUTED_VALUE"""),4.0)</f>
        <v>4</v>
      </c>
      <c r="E4139" s="2">
        <f>IFERROR(__xludf.DUMMYFUNCTION("""COMPUTED_VALUE"""),77.0)</f>
        <v>77</v>
      </c>
      <c r="F4139" s="2">
        <f>IFERROR(__xludf.DUMMYFUNCTION("""COMPUTED_VALUE"""),4.0)</f>
        <v>4</v>
      </c>
      <c r="G4139" s="2">
        <f>IFERROR(__xludf.DUMMYFUNCTION("""COMPUTED_VALUE"""),9.0)</f>
        <v>9</v>
      </c>
      <c r="H4139" s="2">
        <f>IFERROR(__xludf.DUMMYFUNCTION("""COMPUTED_VALUE"""),602.0)</f>
        <v>602</v>
      </c>
      <c r="I4139" s="2" t="str">
        <f>IFERROR(__xludf.DUMMYFUNCTION("""COMPUTED_VALUE"""),"Panel")</f>
        <v>Panel</v>
      </c>
      <c r="J4139" s="2" t="str">
        <f>IFERROR(__xludf.DUMMYFUNCTION("""COMPUTED_VALUE"""),"All amenities")</f>
        <v>All amenities</v>
      </c>
      <c r="K4139" s="2">
        <f>IFERROR(__xludf.DUMMYFUNCTION("""COMPUTED_VALUE"""),70000.0)</f>
        <v>70000</v>
      </c>
      <c r="L4139" s="2">
        <f>IFERROR(__xludf.DUMMYFUNCTION("""COMPUTED_VALUE"""),56.96045345)</f>
        <v>56.96045345</v>
      </c>
      <c r="M4139" s="2">
        <f>IFERROR(__xludf.DUMMYFUNCTION("""COMPUTED_VALUE"""),24.1867067968535)</f>
        <v>24.1867068</v>
      </c>
    </row>
    <row r="4140">
      <c r="A4140" s="2" t="str">
        <f>IFERROR(__xludf.DUMMYFUNCTION("""COMPUTED_VALUE"""),"For rent")</f>
        <v>For rent</v>
      </c>
      <c r="B4140" s="2" t="str">
        <f>IFERROR(__xludf.DUMMYFUNCTION("""COMPUTED_VALUE"""),"centrs")</f>
        <v>centrs</v>
      </c>
      <c r="C4140" s="2" t="str">
        <f>IFERROR(__xludf.DUMMYFUNCTION("""COMPUTED_VALUE"""),"Klusā 18")</f>
        <v>Klusā 18</v>
      </c>
      <c r="D4140" s="2">
        <f>IFERROR(__xludf.DUMMYFUNCTION("""COMPUTED_VALUE"""),1.0)</f>
        <v>1</v>
      </c>
      <c r="E4140" s="2">
        <f>IFERROR(__xludf.DUMMYFUNCTION("""COMPUTED_VALUE"""),25.0)</f>
        <v>25</v>
      </c>
      <c r="F4140" s="2">
        <f>IFERROR(__xludf.DUMMYFUNCTION("""COMPUTED_VALUE"""),9.0)</f>
        <v>9</v>
      </c>
      <c r="G4140" s="2">
        <f>IFERROR(__xludf.DUMMYFUNCTION("""COMPUTED_VALUE"""),9.0)</f>
        <v>9</v>
      </c>
      <c r="H4140" s="2" t="str">
        <f>IFERROR(__xludf.DUMMYFUNCTION("""COMPUTED_VALUE"""),"Renov.")</f>
        <v>Renov.</v>
      </c>
      <c r="I4140" s="2" t="str">
        <f>IFERROR(__xludf.DUMMYFUNCTION("""COMPUTED_VALUE"""),"Masonry")</f>
        <v>Masonry</v>
      </c>
      <c r="J4140" s="2" t="str">
        <f>IFERROR(__xludf.DUMMYFUNCTION("""COMPUTED_VALUE"""),"All amenities")</f>
        <v>All amenities</v>
      </c>
      <c r="K4140" s="2">
        <f>IFERROR(__xludf.DUMMYFUNCTION("""COMPUTED_VALUE"""),25.0)</f>
        <v>25</v>
      </c>
      <c r="L4140" s="2">
        <f>IFERROR(__xludf.DUMMYFUNCTION("""COMPUTED_VALUE"""),56.9762119)</f>
        <v>56.9762119</v>
      </c>
      <c r="M4140" s="2">
        <f>IFERROR(__xludf.DUMMYFUNCTION("""COMPUTED_VALUE"""),24.1462619497695)</f>
        <v>24.14626195</v>
      </c>
    </row>
    <row r="4141">
      <c r="A4141" s="2" t="str">
        <f>IFERROR(__xludf.DUMMYFUNCTION("""COMPUTED_VALUE"""),"For sale")</f>
        <v>For sale</v>
      </c>
      <c r="B4141" s="2" t="str">
        <f>IFERROR(__xludf.DUMMYFUNCTION("""COMPUTED_VALUE"""),"Pļavnieki")</f>
        <v>Pļavnieki</v>
      </c>
      <c r="C4141" s="2" t="str">
        <f>IFERROR(__xludf.DUMMYFUNCTION("""COMPUTED_VALUE"""),"Salnas 5")</f>
        <v>Salnas 5</v>
      </c>
      <c r="D4141" s="2">
        <f>IFERROR(__xludf.DUMMYFUNCTION("""COMPUTED_VALUE"""),2.0)</f>
        <v>2</v>
      </c>
      <c r="E4141" s="2">
        <f>IFERROR(__xludf.DUMMYFUNCTION("""COMPUTED_VALUE"""),52.0)</f>
        <v>52</v>
      </c>
      <c r="F4141" s="2">
        <f>IFERROR(__xludf.DUMMYFUNCTION("""COMPUTED_VALUE"""),6.0)</f>
        <v>6</v>
      </c>
      <c r="G4141" s="2">
        <f>IFERROR(__xludf.DUMMYFUNCTION("""COMPUTED_VALUE"""),9.0)</f>
        <v>9</v>
      </c>
      <c r="H4141" s="2">
        <f>IFERROR(__xludf.DUMMYFUNCTION("""COMPUTED_VALUE"""),602.0)</f>
        <v>602</v>
      </c>
      <c r="I4141" s="2" t="str">
        <f>IFERROR(__xludf.DUMMYFUNCTION("""COMPUTED_VALUE"""),"Panel")</f>
        <v>Panel</v>
      </c>
      <c r="J4141" s="2" t="str">
        <f>IFERROR(__xludf.DUMMYFUNCTION("""COMPUTED_VALUE"""),"All amenities")</f>
        <v>All amenities</v>
      </c>
      <c r="K4141" s="2">
        <f>IFERROR(__xludf.DUMMYFUNCTION("""COMPUTED_VALUE"""),65000.0)</f>
        <v>65000</v>
      </c>
      <c r="L4141" s="2">
        <f>IFERROR(__xludf.DUMMYFUNCTION("""COMPUTED_VALUE"""),56.94302545)</f>
        <v>56.94302545</v>
      </c>
      <c r="M4141" s="2">
        <f>IFERROR(__xludf.DUMMYFUNCTION("""COMPUTED_VALUE"""),24.2203601499999)</f>
        <v>24.22036015</v>
      </c>
    </row>
    <row r="4142">
      <c r="A4142" s="2" t="str">
        <f>IFERROR(__xludf.DUMMYFUNCTION("""COMPUTED_VALUE"""),"For rent")</f>
        <v>For rent</v>
      </c>
      <c r="B4142" s="2" t="str">
        <f>IFERROR(__xludf.DUMMYFUNCTION("""COMPUTED_VALUE"""),"Āgenskalns")</f>
        <v>Āgenskalns</v>
      </c>
      <c r="C4142" s="2" t="str">
        <f>IFERROR(__xludf.DUMMYFUNCTION("""COMPUTED_VALUE"""),"Mūkusalas 25")</f>
        <v>Mūkusalas 25</v>
      </c>
      <c r="D4142" s="2">
        <f>IFERROR(__xludf.DUMMYFUNCTION("""COMPUTED_VALUE"""),2.0)</f>
        <v>2</v>
      </c>
      <c r="E4142" s="2">
        <f>IFERROR(__xludf.DUMMYFUNCTION("""COMPUTED_VALUE"""),44.0)</f>
        <v>44</v>
      </c>
      <c r="F4142" s="2">
        <f>IFERROR(__xludf.DUMMYFUNCTION("""COMPUTED_VALUE"""),3.0)</f>
        <v>3</v>
      </c>
      <c r="G4142" s="2">
        <f>IFERROR(__xludf.DUMMYFUNCTION("""COMPUTED_VALUE"""),6.0)</f>
        <v>6</v>
      </c>
      <c r="H4142" s="2" t="str">
        <f>IFERROR(__xludf.DUMMYFUNCTION("""COMPUTED_VALUE"""),"Jaun.")</f>
        <v>Jaun.</v>
      </c>
      <c r="I4142" s="2" t="str">
        <f>IFERROR(__xludf.DUMMYFUNCTION("""COMPUTED_VALUE"""),"Masonry")</f>
        <v>Masonry</v>
      </c>
      <c r="J4142" s="2" t="str">
        <f>IFERROR(__xludf.DUMMYFUNCTION("""COMPUTED_VALUE"""),"All amenities")</f>
        <v>All amenities</v>
      </c>
      <c r="K4142" s="2">
        <f>IFERROR(__xludf.DUMMYFUNCTION("""COMPUTED_VALUE"""),630.0)</f>
        <v>630</v>
      </c>
      <c r="L4142" s="2">
        <f>IFERROR(__xludf.DUMMYFUNCTION("""COMPUTED_VALUE"""),56.9374039)</f>
        <v>56.9374039</v>
      </c>
      <c r="M4142" s="2">
        <f>IFERROR(__xludf.DUMMYFUNCTION("""COMPUTED_VALUE"""),24.101176263114)</f>
        <v>24.10117626</v>
      </c>
    </row>
    <row r="4143">
      <c r="A4143" s="2" t="str">
        <f>IFERROR(__xludf.DUMMYFUNCTION("""COMPUTED_VALUE"""),"For rent")</f>
        <v>For rent</v>
      </c>
      <c r="B4143" s="2" t="str">
        <f>IFERROR(__xludf.DUMMYFUNCTION("""COMPUTED_VALUE"""),"centrs")</f>
        <v>centrs</v>
      </c>
      <c r="C4143" s="2" t="str">
        <f>IFERROR(__xludf.DUMMYFUNCTION("""COMPUTED_VALUE"""),"Brīvības iela 169")</f>
        <v>Brīvības iela 169</v>
      </c>
      <c r="D4143" s="2">
        <f>IFERROR(__xludf.DUMMYFUNCTION("""COMPUTED_VALUE"""),2.0)</f>
        <v>2</v>
      </c>
      <c r="E4143" s="2">
        <f>IFERROR(__xludf.DUMMYFUNCTION("""COMPUTED_VALUE"""),48.0)</f>
        <v>48</v>
      </c>
      <c r="F4143" s="2">
        <f>IFERROR(__xludf.DUMMYFUNCTION("""COMPUTED_VALUE"""),4.0)</f>
        <v>4</v>
      </c>
      <c r="G4143" s="2">
        <f>IFERROR(__xludf.DUMMYFUNCTION("""COMPUTED_VALUE"""),5.0)</f>
        <v>5</v>
      </c>
      <c r="H4143" s="2">
        <f>IFERROR(__xludf.DUMMYFUNCTION("""COMPUTED_VALUE"""),103.0)</f>
        <v>103</v>
      </c>
      <c r="I4143" s="2" t="str">
        <f>IFERROR(__xludf.DUMMYFUNCTION("""COMPUTED_VALUE"""),"Panel-Brick")</f>
        <v>Panel-Brick</v>
      </c>
      <c r="J4143" s="2" t="str">
        <f>IFERROR(__xludf.DUMMYFUNCTION("""COMPUTED_VALUE"""),"All amenities")</f>
        <v>All amenities</v>
      </c>
      <c r="K4143" s="2">
        <f>IFERROR(__xludf.DUMMYFUNCTION("""COMPUTED_VALUE"""),330.0)</f>
        <v>330</v>
      </c>
      <c r="L4143" s="2">
        <f>IFERROR(__xludf.DUMMYFUNCTION("""COMPUTED_VALUE"""),56.96734075)</f>
        <v>56.96734075</v>
      </c>
      <c r="M4143" s="2">
        <f>IFERROR(__xludf.DUMMYFUNCTION("""COMPUTED_VALUE"""),24.1475530596217)</f>
        <v>24.14755306</v>
      </c>
    </row>
    <row r="4144">
      <c r="A4144" s="2" t="str">
        <f>IFERROR(__xludf.DUMMYFUNCTION("""COMPUTED_VALUE"""),"For sale")</f>
        <v>For sale</v>
      </c>
      <c r="B4144" s="2" t="str">
        <f>IFERROR(__xludf.DUMMYFUNCTION("""COMPUTED_VALUE"""),"Ziepniekkalns")</f>
        <v>Ziepniekkalns</v>
      </c>
      <c r="C4144" s="2" t="str">
        <f>IFERROR(__xludf.DUMMYFUNCTION("""COMPUTED_VALUE"""),"Ozolciema 42")</f>
        <v>Ozolciema 42</v>
      </c>
      <c r="D4144" s="2">
        <f>IFERROR(__xludf.DUMMYFUNCTION("""COMPUTED_VALUE"""),5.0)</f>
        <v>5</v>
      </c>
      <c r="E4144" s="2">
        <f>IFERROR(__xludf.DUMMYFUNCTION("""COMPUTED_VALUE"""),94.0)</f>
        <v>94</v>
      </c>
      <c r="F4144" s="2">
        <f>IFERROR(__xludf.DUMMYFUNCTION("""COMPUTED_VALUE"""),1.0)</f>
        <v>1</v>
      </c>
      <c r="G4144" s="2">
        <f>IFERROR(__xludf.DUMMYFUNCTION("""COMPUTED_VALUE"""),9.0)</f>
        <v>9</v>
      </c>
      <c r="H4144" s="2">
        <f>IFERROR(__xludf.DUMMYFUNCTION("""COMPUTED_VALUE"""),602.0)</f>
        <v>602</v>
      </c>
      <c r="I4144" s="2" t="str">
        <f>IFERROR(__xludf.DUMMYFUNCTION("""COMPUTED_VALUE"""),"Panel-Brick")</f>
        <v>Panel-Brick</v>
      </c>
      <c r="J4144" s="2" t="str">
        <f>IFERROR(__xludf.DUMMYFUNCTION("""COMPUTED_VALUE"""),"All amenities")</f>
        <v>All amenities</v>
      </c>
      <c r="K4144" s="2">
        <f>IFERROR(__xludf.DUMMYFUNCTION("""COMPUTED_VALUE"""),75500.0)</f>
        <v>75500</v>
      </c>
      <c r="L4144" s="2">
        <f>IFERROR(__xludf.DUMMYFUNCTION("""COMPUTED_VALUE"""),56.9002148)</f>
        <v>56.9002148</v>
      </c>
      <c r="M4144" s="2">
        <f>IFERROR(__xludf.DUMMYFUNCTION("""COMPUTED_VALUE"""),24.10019355)</f>
        <v>24.10019355</v>
      </c>
    </row>
    <row r="4145">
      <c r="A4145" s="2" t="str">
        <f>IFERROR(__xludf.DUMMYFUNCTION("""COMPUTED_VALUE"""),"For sale")</f>
        <v>For sale</v>
      </c>
      <c r="B4145" s="2" t="str">
        <f>IFERROR(__xludf.DUMMYFUNCTION("""COMPUTED_VALUE"""),"Imanta")</f>
        <v>Imanta</v>
      </c>
      <c r="C4145" s="2" t="str">
        <f>IFERROR(__xludf.DUMMYFUNCTION("""COMPUTED_VALUE"""),"Anniņmuižas bulvāris 38")</f>
        <v>Anniņmuižas bulvāris 38</v>
      </c>
      <c r="D4145" s="2">
        <f>IFERROR(__xludf.DUMMYFUNCTION("""COMPUTED_VALUE"""),2.0)</f>
        <v>2</v>
      </c>
      <c r="E4145" s="2">
        <f>IFERROR(__xludf.DUMMYFUNCTION("""COMPUTED_VALUE"""),106.0)</f>
        <v>106</v>
      </c>
      <c r="F4145" s="2">
        <f>IFERROR(__xludf.DUMMYFUNCTION("""COMPUTED_VALUE"""),1.0)</f>
        <v>1</v>
      </c>
      <c r="G4145" s="2">
        <f>IFERROR(__xludf.DUMMYFUNCTION("""COMPUTED_VALUE"""),17.0)</f>
        <v>17</v>
      </c>
      <c r="H4145" s="2" t="str">
        <f>IFERROR(__xludf.DUMMYFUNCTION("""COMPUTED_VALUE"""),"Jaun.")</f>
        <v>Jaun.</v>
      </c>
      <c r="I4145" s="2" t="str">
        <f>IFERROR(__xludf.DUMMYFUNCTION("""COMPUTED_VALUE"""),"Masonry")</f>
        <v>Masonry</v>
      </c>
      <c r="J4145" s="2" t="str">
        <f>IFERROR(__xludf.DUMMYFUNCTION("""COMPUTED_VALUE"""),"All amenities")</f>
        <v>All amenities</v>
      </c>
      <c r="K4145" s="2">
        <f>IFERROR(__xludf.DUMMYFUNCTION("""COMPUTED_VALUE"""),84000.0)</f>
        <v>84000</v>
      </c>
      <c r="L4145" s="2">
        <f>IFERROR(__xludf.DUMMYFUNCTION("""COMPUTED_VALUE"""),56.96112105)</f>
        <v>56.96112105</v>
      </c>
      <c r="M4145" s="2">
        <f>IFERROR(__xludf.DUMMYFUNCTION("""COMPUTED_VALUE"""),24.01821679525)</f>
        <v>24.0182168</v>
      </c>
    </row>
    <row r="4146">
      <c r="A4146" s="2" t="str">
        <f>IFERROR(__xludf.DUMMYFUNCTION("""COMPUTED_VALUE"""),"For rent")</f>
        <v>For rent</v>
      </c>
      <c r="B4146" s="2" t="str">
        <f>IFERROR(__xludf.DUMMYFUNCTION("""COMPUTED_VALUE"""),"Grīziņkalns")</f>
        <v>Grīziņkalns</v>
      </c>
      <c r="C4146" s="2" t="str">
        <f>IFERROR(__xludf.DUMMYFUNCTION("""COMPUTED_VALUE"""),"Tallinas 85")</f>
        <v>Tallinas 85</v>
      </c>
      <c r="D4146" s="2">
        <f>IFERROR(__xludf.DUMMYFUNCTION("""COMPUTED_VALUE"""),2.0)</f>
        <v>2</v>
      </c>
      <c r="E4146" s="2">
        <f>IFERROR(__xludf.DUMMYFUNCTION("""COMPUTED_VALUE"""),38.0)</f>
        <v>38</v>
      </c>
      <c r="F4146" s="2">
        <f>IFERROR(__xludf.DUMMYFUNCTION("""COMPUTED_VALUE"""),4.0)</f>
        <v>4</v>
      </c>
      <c r="G4146" s="2">
        <f>IFERROR(__xludf.DUMMYFUNCTION("""COMPUTED_VALUE"""),4.0)</f>
        <v>4</v>
      </c>
      <c r="H4146" s="2" t="str">
        <f>IFERROR(__xludf.DUMMYFUNCTION("""COMPUTED_VALUE"""),"P. kara")</f>
        <v>P. kara</v>
      </c>
      <c r="I4146" s="2" t="str">
        <f>IFERROR(__xludf.DUMMYFUNCTION("""COMPUTED_VALUE"""),"Masonry")</f>
        <v>Masonry</v>
      </c>
      <c r="J4146" s="2" t="str">
        <f>IFERROR(__xludf.DUMMYFUNCTION("""COMPUTED_VALUE"""),"All amenities")</f>
        <v>All amenities</v>
      </c>
      <c r="K4146" s="2">
        <f>IFERROR(__xludf.DUMMYFUNCTION("""COMPUTED_VALUE"""),320.0)</f>
        <v>320</v>
      </c>
      <c r="L4146" s="2">
        <f>IFERROR(__xludf.DUMMYFUNCTION("""COMPUTED_VALUE"""),56.9562845)</f>
        <v>56.9562845</v>
      </c>
      <c r="M4146" s="2">
        <f>IFERROR(__xludf.DUMMYFUNCTION("""COMPUTED_VALUE"""),24.1492506)</f>
        <v>24.1492506</v>
      </c>
    </row>
    <row r="4147">
      <c r="A4147" s="2" t="str">
        <f>IFERROR(__xludf.DUMMYFUNCTION("""COMPUTED_VALUE"""),"For sale")</f>
        <v>For sale</v>
      </c>
      <c r="B4147" s="2" t="str">
        <f>IFERROR(__xludf.DUMMYFUNCTION("""COMPUTED_VALUE"""),"centrs")</f>
        <v>centrs</v>
      </c>
      <c r="C4147" s="2" t="str">
        <f>IFERROR(__xludf.DUMMYFUNCTION("""COMPUTED_VALUE"""),"Pulkv. Brieža 13")</f>
        <v>Pulkv. Brieža 13</v>
      </c>
      <c r="D4147" s="2">
        <f>IFERROR(__xludf.DUMMYFUNCTION("""COMPUTED_VALUE"""),3.0)</f>
        <v>3</v>
      </c>
      <c r="E4147" s="2">
        <f>IFERROR(__xludf.DUMMYFUNCTION("""COMPUTED_VALUE"""),75.0)</f>
        <v>75</v>
      </c>
      <c r="F4147" s="2">
        <f>IFERROR(__xludf.DUMMYFUNCTION("""COMPUTED_VALUE"""),4.0)</f>
        <v>4</v>
      </c>
      <c r="G4147" s="2">
        <f>IFERROR(__xludf.DUMMYFUNCTION("""COMPUTED_VALUE"""),5.0)</f>
        <v>5</v>
      </c>
      <c r="H4147" s="2" t="str">
        <f>IFERROR(__xludf.DUMMYFUNCTION("""COMPUTED_VALUE"""),"Renov.")</f>
        <v>Renov.</v>
      </c>
      <c r="I4147" s="2" t="str">
        <f>IFERROR(__xludf.DUMMYFUNCTION("""COMPUTED_VALUE"""),"Brick")</f>
        <v>Brick</v>
      </c>
      <c r="J4147" s="2" t="str">
        <f>IFERROR(__xludf.DUMMYFUNCTION("""COMPUTED_VALUE"""),"All amenities")</f>
        <v>All amenities</v>
      </c>
      <c r="K4147" s="2">
        <f>IFERROR(__xludf.DUMMYFUNCTION("""COMPUTED_VALUE"""),169900.0)</f>
        <v>169900</v>
      </c>
      <c r="L4147" s="2" t="str">
        <f>IFERROR(__xludf.DUMMYFUNCTION("""COMPUTED_VALUE"""),"NaN")</f>
        <v>NaN</v>
      </c>
      <c r="M4147" s="2" t="str">
        <f>IFERROR(__xludf.DUMMYFUNCTION("""COMPUTED_VALUE"""),"NaN")</f>
        <v>NaN</v>
      </c>
    </row>
    <row r="4148">
      <c r="A4148" s="2" t="str">
        <f>IFERROR(__xludf.DUMMYFUNCTION("""COMPUTED_VALUE"""),"For rent")</f>
        <v>For rent</v>
      </c>
      <c r="B4148" s="2" t="str">
        <f>IFERROR(__xludf.DUMMYFUNCTION("""COMPUTED_VALUE"""),"centrs")</f>
        <v>centrs</v>
      </c>
      <c r="C4148" s="2" t="str">
        <f>IFERROR(__xludf.DUMMYFUNCTION("""COMPUTED_VALUE"""),"Bruņinieku 73a")</f>
        <v>Bruņinieku 73a</v>
      </c>
      <c r="D4148" s="2">
        <f>IFERROR(__xludf.DUMMYFUNCTION("""COMPUTED_VALUE"""),2.0)</f>
        <v>2</v>
      </c>
      <c r="E4148" s="2">
        <f>IFERROR(__xludf.DUMMYFUNCTION("""COMPUTED_VALUE"""),55.0)</f>
        <v>55</v>
      </c>
      <c r="F4148" s="2">
        <f>IFERROR(__xludf.DUMMYFUNCTION("""COMPUTED_VALUE"""),2.0)</f>
        <v>2</v>
      </c>
      <c r="G4148" s="2">
        <f>IFERROR(__xludf.DUMMYFUNCTION("""COMPUTED_VALUE"""),4.0)</f>
        <v>4</v>
      </c>
      <c r="H4148" s="2" t="str">
        <f>IFERROR(__xludf.DUMMYFUNCTION("""COMPUTED_VALUE"""),"P. kara")</f>
        <v>P. kara</v>
      </c>
      <c r="I4148" s="2" t="str">
        <f>IFERROR(__xludf.DUMMYFUNCTION("""COMPUTED_VALUE"""),"Masonry")</f>
        <v>Masonry</v>
      </c>
      <c r="J4148" s="2" t="str">
        <f>IFERROR(__xludf.DUMMYFUNCTION("""COMPUTED_VALUE"""),"All amenities")</f>
        <v>All amenities</v>
      </c>
      <c r="K4148" s="2">
        <f>IFERROR(__xludf.DUMMYFUNCTION("""COMPUTED_VALUE"""),450.0)</f>
        <v>450</v>
      </c>
      <c r="L4148" s="2">
        <f>IFERROR(__xludf.DUMMYFUNCTION("""COMPUTED_VALUE"""),56.95316655)</f>
        <v>56.95316655</v>
      </c>
      <c r="M4148" s="2">
        <f>IFERROR(__xludf.DUMMYFUNCTION("""COMPUTED_VALUE"""),24.1379833357157)</f>
        <v>24.13798334</v>
      </c>
    </row>
    <row r="4149">
      <c r="A4149" s="2" t="str">
        <f>IFERROR(__xludf.DUMMYFUNCTION("""COMPUTED_VALUE"""),"For sale")</f>
        <v>For sale</v>
      </c>
      <c r="B4149" s="2" t="str">
        <f>IFERROR(__xludf.DUMMYFUNCTION("""COMPUTED_VALUE"""),"Maskavas priekšpilsēta")</f>
        <v>Maskavas priekšpilsēta</v>
      </c>
      <c r="C4149" s="2" t="str">
        <f>IFERROR(__xludf.DUMMYFUNCTION("""COMPUTED_VALUE"""),"Jersikas 16")</f>
        <v>Jersikas 16</v>
      </c>
      <c r="D4149" s="2">
        <f>IFERROR(__xludf.DUMMYFUNCTION("""COMPUTED_VALUE"""),1.0)</f>
        <v>1</v>
      </c>
      <c r="E4149" s="2">
        <f>IFERROR(__xludf.DUMMYFUNCTION("""COMPUTED_VALUE"""),30.0)</f>
        <v>30</v>
      </c>
      <c r="F4149" s="2">
        <f>IFERROR(__xludf.DUMMYFUNCTION("""COMPUTED_VALUE"""),2.0)</f>
        <v>2</v>
      </c>
      <c r="G4149" s="2">
        <f>IFERROR(__xludf.DUMMYFUNCTION("""COMPUTED_VALUE"""),1.0)</f>
        <v>1</v>
      </c>
      <c r="H4149" s="2" t="str">
        <f>IFERROR(__xludf.DUMMYFUNCTION("""COMPUTED_VALUE"""),"Priv. m.")</f>
        <v>Priv. m.</v>
      </c>
      <c r="I4149" s="2" t="str">
        <f>IFERROR(__xludf.DUMMYFUNCTION("""COMPUTED_VALUE"""),"Wood")</f>
        <v>Wood</v>
      </c>
      <c r="J4149" s="2" t="str">
        <f>IFERROR(__xludf.DUMMYFUNCTION("""COMPUTED_VALUE"""),"All amenities")</f>
        <v>All amenities</v>
      </c>
      <c r="K4149" s="2">
        <f>IFERROR(__xludf.DUMMYFUNCTION("""COMPUTED_VALUE"""),22000.0)</f>
        <v>22000</v>
      </c>
      <c r="L4149" s="2">
        <f>IFERROR(__xludf.DUMMYFUNCTION("""COMPUTED_VALUE"""),56.9387007)</f>
        <v>56.9387007</v>
      </c>
      <c r="M4149" s="2">
        <f>IFERROR(__xludf.DUMMYFUNCTION("""COMPUTED_VALUE"""),24.1445625638564)</f>
        <v>24.14456256</v>
      </c>
    </row>
    <row r="4150">
      <c r="A4150" s="2" t="str">
        <f>IFERROR(__xludf.DUMMYFUNCTION("""COMPUTED_VALUE"""),"For rent")</f>
        <v>For rent</v>
      </c>
      <c r="B4150" s="2" t="str">
        <f>IFERROR(__xludf.DUMMYFUNCTION("""COMPUTED_VALUE"""),"Ķengarags")</f>
        <v>Ķengarags</v>
      </c>
      <c r="C4150" s="2" t="str">
        <f>IFERROR(__xludf.DUMMYFUNCTION("""COMPUTED_VALUE"""),"Krustpils 73")</f>
        <v>Krustpils 73</v>
      </c>
      <c r="D4150" s="2">
        <f>IFERROR(__xludf.DUMMYFUNCTION("""COMPUTED_VALUE"""),1.0)</f>
        <v>1</v>
      </c>
      <c r="E4150" s="2">
        <f>IFERROR(__xludf.DUMMYFUNCTION("""COMPUTED_VALUE"""),12.0)</f>
        <v>12</v>
      </c>
      <c r="F4150" s="2">
        <f>IFERROR(__xludf.DUMMYFUNCTION("""COMPUTED_VALUE"""),3.0)</f>
        <v>3</v>
      </c>
      <c r="G4150" s="2">
        <f>IFERROR(__xludf.DUMMYFUNCTION("""COMPUTED_VALUE"""),3.0)</f>
        <v>3</v>
      </c>
      <c r="H4150" s="2" t="str">
        <f>IFERROR(__xludf.DUMMYFUNCTION("""COMPUTED_VALUE"""),"M. ģim.")</f>
        <v>M. ģim.</v>
      </c>
      <c r="I4150" s="2" t="str">
        <f>IFERROR(__xludf.DUMMYFUNCTION("""COMPUTED_VALUE"""),"Brick")</f>
        <v>Brick</v>
      </c>
      <c r="J4150" s="2" t="str">
        <f>IFERROR(__xludf.DUMMYFUNCTION("""COMPUTED_VALUE"""),"All amenities")</f>
        <v>All amenities</v>
      </c>
      <c r="K4150" s="2">
        <f>IFERROR(__xludf.DUMMYFUNCTION("""COMPUTED_VALUE"""),140.0)</f>
        <v>140</v>
      </c>
      <c r="L4150" s="2">
        <f>IFERROR(__xludf.DUMMYFUNCTION("""COMPUTED_VALUE"""),56.91229505)</f>
        <v>56.91229505</v>
      </c>
      <c r="M4150" s="2">
        <f>IFERROR(__xludf.DUMMYFUNCTION("""COMPUTED_VALUE"""),24.2059117623488)</f>
        <v>24.20591176</v>
      </c>
    </row>
    <row r="4151">
      <c r="A4151" s="2" t="str">
        <f>IFERROR(__xludf.DUMMYFUNCTION("""COMPUTED_VALUE"""),"For sale")</f>
        <v>For sale</v>
      </c>
      <c r="B4151" s="2" t="str">
        <f>IFERROR(__xludf.DUMMYFUNCTION("""COMPUTED_VALUE"""),"Ķengarags")</f>
        <v>Ķengarags</v>
      </c>
      <c r="C4151" s="2" t="str">
        <f>IFERROR(__xludf.DUMMYFUNCTION("""COMPUTED_VALUE"""),"Lokomotīves 70a")</f>
        <v>Lokomotīves 70a</v>
      </c>
      <c r="D4151" s="2">
        <f>IFERROR(__xludf.DUMMYFUNCTION("""COMPUTED_VALUE"""),3.0)</f>
        <v>3</v>
      </c>
      <c r="E4151" s="2">
        <f>IFERROR(__xludf.DUMMYFUNCTION("""COMPUTED_VALUE"""),59.0)</f>
        <v>59</v>
      </c>
      <c r="F4151" s="2">
        <f>IFERROR(__xludf.DUMMYFUNCTION("""COMPUTED_VALUE"""),5.0)</f>
        <v>5</v>
      </c>
      <c r="G4151" s="2">
        <f>IFERROR(__xludf.DUMMYFUNCTION("""COMPUTED_VALUE"""),5.0)</f>
        <v>5</v>
      </c>
      <c r="H4151" s="2" t="str">
        <f>IFERROR(__xludf.DUMMYFUNCTION("""COMPUTED_VALUE"""),"LT proj.")</f>
        <v>LT proj.</v>
      </c>
      <c r="I4151" s="2" t="str">
        <f>IFERROR(__xludf.DUMMYFUNCTION("""COMPUTED_VALUE"""),"Panel")</f>
        <v>Panel</v>
      </c>
      <c r="J4151" s="2" t="str">
        <f>IFERROR(__xludf.DUMMYFUNCTION("""COMPUTED_VALUE"""),"All amenities")</f>
        <v>All amenities</v>
      </c>
      <c r="K4151" s="2">
        <f>IFERROR(__xludf.DUMMYFUNCTION("""COMPUTED_VALUE"""),53500.0)</f>
        <v>53500</v>
      </c>
      <c r="L4151" s="2">
        <f>IFERROR(__xludf.DUMMYFUNCTION("""COMPUTED_VALUE"""),56.9030711)</f>
        <v>56.9030711</v>
      </c>
      <c r="M4151" s="2">
        <f>IFERROR(__xludf.DUMMYFUNCTION("""COMPUTED_VALUE"""),24.2132849)</f>
        <v>24.2132849</v>
      </c>
    </row>
    <row r="4152">
      <c r="A4152" s="2" t="str">
        <f>IFERROR(__xludf.DUMMYFUNCTION("""COMPUTED_VALUE"""),"For rent")</f>
        <v>For rent</v>
      </c>
      <c r="B4152" s="2" t="str">
        <f>IFERROR(__xludf.DUMMYFUNCTION("""COMPUTED_VALUE"""),"Purvciems")</f>
        <v>Purvciems</v>
      </c>
      <c r="C4152" s="2" t="str">
        <f>IFERROR(__xludf.DUMMYFUNCTION("""COMPUTED_VALUE"""),"Ieriķu 9a")</f>
        <v>Ieriķu 9a</v>
      </c>
      <c r="D4152" s="2">
        <f>IFERROR(__xludf.DUMMYFUNCTION("""COMPUTED_VALUE"""),1.0)</f>
        <v>1</v>
      </c>
      <c r="E4152" s="2">
        <f>IFERROR(__xludf.DUMMYFUNCTION("""COMPUTED_VALUE"""),31.0)</f>
        <v>31</v>
      </c>
      <c r="F4152" s="2">
        <f>IFERROR(__xludf.DUMMYFUNCTION("""COMPUTED_VALUE"""),1.0)</f>
        <v>1</v>
      </c>
      <c r="G4152" s="2">
        <f>IFERROR(__xludf.DUMMYFUNCTION("""COMPUTED_VALUE"""),3.0)</f>
        <v>3</v>
      </c>
      <c r="H4152" s="2" t="str">
        <f>IFERROR(__xludf.DUMMYFUNCTION("""COMPUTED_VALUE"""),"Hrušč.")</f>
        <v>Hrušč.</v>
      </c>
      <c r="I4152" s="2" t="str">
        <f>IFERROR(__xludf.DUMMYFUNCTION("""COMPUTED_VALUE"""),"Brick-Panel")</f>
        <v>Brick-Panel</v>
      </c>
      <c r="J4152" s="2" t="str">
        <f>IFERROR(__xludf.DUMMYFUNCTION("""COMPUTED_VALUE"""),"All amenities")</f>
        <v>All amenities</v>
      </c>
      <c r="K4152" s="2">
        <f>IFERROR(__xludf.DUMMYFUNCTION("""COMPUTED_VALUE"""),300.0)</f>
        <v>300</v>
      </c>
      <c r="L4152" s="2">
        <f>IFERROR(__xludf.DUMMYFUNCTION("""COMPUTED_VALUE"""),56.9657676)</f>
        <v>56.9657676</v>
      </c>
      <c r="M4152" s="2">
        <f>IFERROR(__xludf.DUMMYFUNCTION("""COMPUTED_VALUE"""),24.1679925570712)</f>
        <v>24.16799256</v>
      </c>
    </row>
    <row r="4153">
      <c r="A4153" s="2" t="str">
        <f>IFERROR(__xludf.DUMMYFUNCTION("""COMPUTED_VALUE"""),"For sale")</f>
        <v>For sale</v>
      </c>
      <c r="B4153" s="2" t="str">
        <f>IFERROR(__xludf.DUMMYFUNCTION("""COMPUTED_VALUE"""),"Ķengarags")</f>
        <v>Ķengarags</v>
      </c>
      <c r="C4153" s="2" t="str">
        <f>IFERROR(__xludf.DUMMYFUNCTION("""COMPUTED_VALUE"""),"Lokomotīves 78")</f>
        <v>Lokomotīves 78</v>
      </c>
      <c r="D4153" s="2">
        <f>IFERROR(__xludf.DUMMYFUNCTION("""COMPUTED_VALUE"""),2.0)</f>
        <v>2</v>
      </c>
      <c r="E4153" s="2">
        <f>IFERROR(__xludf.DUMMYFUNCTION("""COMPUTED_VALUE"""),50.0)</f>
        <v>50</v>
      </c>
      <c r="F4153" s="2">
        <f>IFERROR(__xludf.DUMMYFUNCTION("""COMPUTED_VALUE"""),5.0)</f>
        <v>5</v>
      </c>
      <c r="G4153" s="2">
        <f>IFERROR(__xludf.DUMMYFUNCTION("""COMPUTED_VALUE"""),5.0)</f>
        <v>5</v>
      </c>
      <c r="H4153" s="2" t="str">
        <f>IFERROR(__xludf.DUMMYFUNCTION("""COMPUTED_VALUE"""),"LT proj.")</f>
        <v>LT proj.</v>
      </c>
      <c r="I4153" s="2" t="str">
        <f>IFERROR(__xludf.DUMMYFUNCTION("""COMPUTED_VALUE"""),"Panel")</f>
        <v>Panel</v>
      </c>
      <c r="J4153" s="2" t="str">
        <f>IFERROR(__xludf.DUMMYFUNCTION("""COMPUTED_VALUE"""),"All amenities")</f>
        <v>All amenities</v>
      </c>
      <c r="K4153" s="2">
        <f>IFERROR(__xludf.DUMMYFUNCTION("""COMPUTED_VALUE"""),39500.0)</f>
        <v>39500</v>
      </c>
      <c r="L4153" s="2">
        <f>IFERROR(__xludf.DUMMYFUNCTION("""COMPUTED_VALUE"""),56.9030242)</f>
        <v>56.9030242</v>
      </c>
      <c r="M4153" s="2">
        <f>IFERROR(__xludf.DUMMYFUNCTION("""COMPUTED_VALUE"""),24.21168915)</f>
        <v>24.21168915</v>
      </c>
    </row>
    <row r="4154">
      <c r="A4154" s="2" t="str">
        <f>IFERROR(__xludf.DUMMYFUNCTION("""COMPUTED_VALUE"""),"For sale")</f>
        <v>For sale</v>
      </c>
      <c r="B4154" s="2" t="str">
        <f>IFERROR(__xludf.DUMMYFUNCTION("""COMPUTED_VALUE"""),"Vecmīlgrāvis")</f>
        <v>Vecmīlgrāvis</v>
      </c>
      <c r="C4154" s="2" t="str">
        <f>IFERROR(__xludf.DUMMYFUNCTION("""COMPUTED_VALUE"""),"Edžiņa g. 5")</f>
        <v>Edžiņa g. 5</v>
      </c>
      <c r="D4154" s="2">
        <f>IFERROR(__xludf.DUMMYFUNCTION("""COMPUTED_VALUE"""),3.0)</f>
        <v>3</v>
      </c>
      <c r="E4154" s="2">
        <f>IFERROR(__xludf.DUMMYFUNCTION("""COMPUTED_VALUE"""),67.0)</f>
        <v>67</v>
      </c>
      <c r="F4154" s="2">
        <f>IFERROR(__xludf.DUMMYFUNCTION("""COMPUTED_VALUE"""),4.0)</f>
        <v>4</v>
      </c>
      <c r="G4154" s="2">
        <f>IFERROR(__xludf.DUMMYFUNCTION("""COMPUTED_VALUE"""),5.0)</f>
        <v>5</v>
      </c>
      <c r="H4154" s="2" t="str">
        <f>IFERROR(__xludf.DUMMYFUNCTION("""COMPUTED_VALUE"""),"LT proj.")</f>
        <v>LT proj.</v>
      </c>
      <c r="I4154" s="2" t="str">
        <f>IFERROR(__xludf.DUMMYFUNCTION("""COMPUTED_VALUE"""),"Panel")</f>
        <v>Panel</v>
      </c>
      <c r="J4154" s="2" t="str">
        <f>IFERROR(__xludf.DUMMYFUNCTION("""COMPUTED_VALUE"""),"All amenities")</f>
        <v>All amenities</v>
      </c>
      <c r="K4154" s="2">
        <f>IFERROR(__xludf.DUMMYFUNCTION("""COMPUTED_VALUE"""),54500.0)</f>
        <v>54500</v>
      </c>
      <c r="L4154" s="2">
        <f>IFERROR(__xludf.DUMMYFUNCTION("""COMPUTED_VALUE"""),57.0316748)</f>
        <v>57.0316748</v>
      </c>
      <c r="M4154" s="2">
        <f>IFERROR(__xludf.DUMMYFUNCTION("""COMPUTED_VALUE"""),24.1063938)</f>
        <v>24.1063938</v>
      </c>
    </row>
    <row r="4155">
      <c r="A4155" s="2" t="str">
        <f>IFERROR(__xludf.DUMMYFUNCTION("""COMPUTED_VALUE"""),"For sale")</f>
        <v>For sale</v>
      </c>
      <c r="B4155" s="2" t="str">
        <f>IFERROR(__xludf.DUMMYFUNCTION("""COMPUTED_VALUE"""),"centrs")</f>
        <v>centrs</v>
      </c>
      <c r="C4155" s="2" t="str">
        <f>IFERROR(__xludf.DUMMYFUNCTION("""COMPUTED_VALUE"""),"Eksporta 8")</f>
        <v>Eksporta 8</v>
      </c>
      <c r="D4155" s="2">
        <f>IFERROR(__xludf.DUMMYFUNCTION("""COMPUTED_VALUE"""),3.0)</f>
        <v>3</v>
      </c>
      <c r="E4155" s="2">
        <f>IFERROR(__xludf.DUMMYFUNCTION("""COMPUTED_VALUE"""),110.0)</f>
        <v>110</v>
      </c>
      <c r="F4155" s="2">
        <f>IFERROR(__xludf.DUMMYFUNCTION("""COMPUTED_VALUE"""),1.0)</f>
        <v>1</v>
      </c>
      <c r="G4155" s="2">
        <f>IFERROR(__xludf.DUMMYFUNCTION("""COMPUTED_VALUE"""),2.0)</f>
        <v>2</v>
      </c>
      <c r="H4155" s="2" t="str">
        <f>IFERROR(__xludf.DUMMYFUNCTION("""COMPUTED_VALUE"""),"Jaun.")</f>
        <v>Jaun.</v>
      </c>
      <c r="I4155" s="2" t="str">
        <f>IFERROR(__xludf.DUMMYFUNCTION("""COMPUTED_VALUE"""),"Masonry")</f>
        <v>Masonry</v>
      </c>
      <c r="J4155" s="2" t="str">
        <f>IFERROR(__xludf.DUMMYFUNCTION("""COMPUTED_VALUE"""),"All amenities")</f>
        <v>All amenities</v>
      </c>
      <c r="K4155" s="2">
        <f>IFERROR(__xludf.DUMMYFUNCTION("""COMPUTED_VALUE"""),190000.0)</f>
        <v>190000</v>
      </c>
      <c r="L4155" s="2">
        <f>IFERROR(__xludf.DUMMYFUNCTION("""COMPUTED_VALUE"""),56.956763)</f>
        <v>56.956763</v>
      </c>
      <c r="M4155" s="2">
        <f>IFERROR(__xludf.DUMMYFUNCTION("""COMPUTED_VALUE"""),24.0954531)</f>
        <v>24.0954531</v>
      </c>
    </row>
    <row r="4156">
      <c r="A4156" s="2" t="str">
        <f>IFERROR(__xludf.DUMMYFUNCTION("""COMPUTED_VALUE"""),"For rent")</f>
        <v>For rent</v>
      </c>
      <c r="B4156" s="2" t="str">
        <f>IFERROR(__xludf.DUMMYFUNCTION("""COMPUTED_VALUE"""),"Purvciems")</f>
        <v>Purvciems</v>
      </c>
      <c r="C4156" s="2" t="str">
        <f>IFERROR(__xludf.DUMMYFUNCTION("""COMPUTED_VALUE"""),"Kastrānes 1/2")</f>
        <v>Kastrānes 1/2</v>
      </c>
      <c r="D4156" s="2">
        <f>IFERROR(__xludf.DUMMYFUNCTION("""COMPUTED_VALUE"""),1.0)</f>
        <v>1</v>
      </c>
      <c r="E4156" s="2">
        <f>IFERROR(__xludf.DUMMYFUNCTION("""COMPUTED_VALUE"""),20.0)</f>
        <v>20</v>
      </c>
      <c r="F4156" s="2">
        <f>IFERROR(__xludf.DUMMYFUNCTION("""COMPUTED_VALUE"""),3.0)</f>
        <v>3</v>
      </c>
      <c r="G4156" s="2">
        <f>IFERROR(__xludf.DUMMYFUNCTION("""COMPUTED_VALUE"""),5.0)</f>
        <v>5</v>
      </c>
      <c r="H4156" s="2" t="str">
        <f>IFERROR(__xludf.DUMMYFUNCTION("""COMPUTED_VALUE"""),"Jaun.")</f>
        <v>Jaun.</v>
      </c>
      <c r="I4156" s="2" t="str">
        <f>IFERROR(__xludf.DUMMYFUNCTION("""COMPUTED_VALUE"""),"Panel")</f>
        <v>Panel</v>
      </c>
      <c r="J4156" s="2" t="str">
        <f>IFERROR(__xludf.DUMMYFUNCTION("""COMPUTED_VALUE"""),"All amenities")</f>
        <v>All amenities</v>
      </c>
      <c r="K4156" s="2">
        <f>IFERROR(__xludf.DUMMYFUNCTION("""COMPUTED_VALUE"""),250.0)</f>
        <v>250</v>
      </c>
      <c r="L4156" s="2">
        <f>IFERROR(__xludf.DUMMYFUNCTION("""COMPUTED_VALUE"""),56.9697688)</f>
        <v>56.9697688</v>
      </c>
      <c r="M4156" s="2">
        <f>IFERROR(__xludf.DUMMYFUNCTION("""COMPUTED_VALUE"""),24.1782343)</f>
        <v>24.1782343</v>
      </c>
    </row>
    <row r="4157">
      <c r="A4157" s="2" t="str">
        <f>IFERROR(__xludf.DUMMYFUNCTION("""COMPUTED_VALUE"""),"For rent")</f>
        <v>For rent</v>
      </c>
      <c r="B4157" s="2" t="str">
        <f>IFERROR(__xludf.DUMMYFUNCTION("""COMPUTED_VALUE"""),"Teika")</f>
        <v>Teika</v>
      </c>
      <c r="C4157" s="2" t="str">
        <f>IFERROR(__xludf.DUMMYFUNCTION("""COMPUTED_VALUE"""),"Raunas 45")</f>
        <v>Raunas 45</v>
      </c>
      <c r="D4157" s="2">
        <f>IFERROR(__xludf.DUMMYFUNCTION("""COMPUTED_VALUE"""),2.0)</f>
        <v>2</v>
      </c>
      <c r="E4157" s="2">
        <f>IFERROR(__xludf.DUMMYFUNCTION("""COMPUTED_VALUE"""),41.0)</f>
        <v>41</v>
      </c>
      <c r="F4157" s="2">
        <f>IFERROR(__xludf.DUMMYFUNCTION("""COMPUTED_VALUE"""),1.0)</f>
        <v>1</v>
      </c>
      <c r="G4157" s="2">
        <f>IFERROR(__xludf.DUMMYFUNCTION("""COMPUTED_VALUE"""),1.0)</f>
        <v>1</v>
      </c>
      <c r="H4157" s="2" t="str">
        <f>IFERROR(__xludf.DUMMYFUNCTION("""COMPUTED_VALUE"""),"Hrušč.")</f>
        <v>Hrušč.</v>
      </c>
      <c r="I4157" s="2" t="str">
        <f>IFERROR(__xludf.DUMMYFUNCTION("""COMPUTED_VALUE"""),"Brick")</f>
        <v>Brick</v>
      </c>
      <c r="J4157" s="2" t="str">
        <f>IFERROR(__xludf.DUMMYFUNCTION("""COMPUTED_VALUE"""),"All amenities")</f>
        <v>All amenities</v>
      </c>
      <c r="K4157" s="2">
        <f>IFERROR(__xludf.DUMMYFUNCTION("""COMPUTED_VALUE"""),270.0)</f>
        <v>270</v>
      </c>
      <c r="L4157" s="2">
        <f>IFERROR(__xludf.DUMMYFUNCTION("""COMPUTED_VALUE"""),56.9658644)</f>
        <v>56.9658644</v>
      </c>
      <c r="M4157" s="2">
        <f>IFERROR(__xludf.DUMMYFUNCTION("""COMPUTED_VALUE"""),24.1891568218377)</f>
        <v>24.18915682</v>
      </c>
    </row>
    <row r="4158">
      <c r="A4158" s="2" t="str">
        <f>IFERROR(__xludf.DUMMYFUNCTION("""COMPUTED_VALUE"""),"For rent")</f>
        <v>For rent</v>
      </c>
      <c r="B4158" s="2" t="str">
        <f>IFERROR(__xludf.DUMMYFUNCTION("""COMPUTED_VALUE"""),"centrs")</f>
        <v>centrs</v>
      </c>
      <c r="C4158" s="2" t="str">
        <f>IFERROR(__xludf.DUMMYFUNCTION("""COMPUTED_VALUE"""),"Sadovņikova 39")</f>
        <v>Sadovņikova 39</v>
      </c>
      <c r="D4158" s="2">
        <f>IFERROR(__xludf.DUMMYFUNCTION("""COMPUTED_VALUE"""),1.0)</f>
        <v>1</v>
      </c>
      <c r="E4158" s="2">
        <f>IFERROR(__xludf.DUMMYFUNCTION("""COMPUTED_VALUE"""),40.0)</f>
        <v>40</v>
      </c>
      <c r="F4158" s="2">
        <f>IFERROR(__xludf.DUMMYFUNCTION("""COMPUTED_VALUE"""),3.0)</f>
        <v>3</v>
      </c>
      <c r="G4158" s="2">
        <f>IFERROR(__xludf.DUMMYFUNCTION("""COMPUTED_VALUE"""),7.0)</f>
        <v>7</v>
      </c>
      <c r="H4158" s="2" t="str">
        <f>IFERROR(__xludf.DUMMYFUNCTION("""COMPUTED_VALUE"""),"Renov.")</f>
        <v>Renov.</v>
      </c>
      <c r="I4158" s="2" t="str">
        <f>IFERROR(__xludf.DUMMYFUNCTION("""COMPUTED_VALUE"""),"Masonry")</f>
        <v>Masonry</v>
      </c>
      <c r="J4158" s="2" t="str">
        <f>IFERROR(__xludf.DUMMYFUNCTION("""COMPUTED_VALUE"""),"All amenities")</f>
        <v>All amenities</v>
      </c>
      <c r="K4158" s="2">
        <f>IFERROR(__xludf.DUMMYFUNCTION("""COMPUTED_VALUE"""),30.0)</f>
        <v>30</v>
      </c>
      <c r="L4158" s="2">
        <f>IFERROR(__xludf.DUMMYFUNCTION("""COMPUTED_VALUE"""),56.9412328)</f>
        <v>56.9412328</v>
      </c>
      <c r="M4158" s="2">
        <f>IFERROR(__xludf.DUMMYFUNCTION("""COMPUTED_VALUE"""),24.1350589)</f>
        <v>24.1350589</v>
      </c>
    </row>
    <row r="4159">
      <c r="A4159" s="2" t="str">
        <f>IFERROR(__xludf.DUMMYFUNCTION("""COMPUTED_VALUE"""),"For rent")</f>
        <v>For rent</v>
      </c>
      <c r="B4159" s="2" t="str">
        <f>IFERROR(__xludf.DUMMYFUNCTION("""COMPUTED_VALUE"""),"Dārzciems")</f>
        <v>Dārzciems</v>
      </c>
      <c r="C4159" s="2" t="str">
        <f>IFERROR(__xludf.DUMMYFUNCTION("""COMPUTED_VALUE"""),"Ūbeles 5")</f>
        <v>Ūbeles 5</v>
      </c>
      <c r="D4159" s="2">
        <f>IFERROR(__xludf.DUMMYFUNCTION("""COMPUTED_VALUE"""),1.0)</f>
        <v>1</v>
      </c>
      <c r="E4159" s="2">
        <f>IFERROR(__xludf.DUMMYFUNCTION("""COMPUTED_VALUE"""),44.0)</f>
        <v>44</v>
      </c>
      <c r="F4159" s="2">
        <f>IFERROR(__xludf.DUMMYFUNCTION("""COMPUTED_VALUE"""),3.0)</f>
        <v>3</v>
      </c>
      <c r="G4159" s="2">
        <f>IFERROR(__xludf.DUMMYFUNCTION("""COMPUTED_VALUE"""),5.0)</f>
        <v>5</v>
      </c>
      <c r="H4159" s="2" t="str">
        <f>IFERROR(__xludf.DUMMYFUNCTION("""COMPUTED_VALUE"""),"Specpr.")</f>
        <v>Specpr.</v>
      </c>
      <c r="I4159" s="2" t="str">
        <f>IFERROR(__xludf.DUMMYFUNCTION("""COMPUTED_VALUE"""),"Brick-Panel")</f>
        <v>Brick-Panel</v>
      </c>
      <c r="J4159" s="2" t="str">
        <f>IFERROR(__xludf.DUMMYFUNCTION("""COMPUTED_VALUE"""),"All amenities")</f>
        <v>All amenities</v>
      </c>
      <c r="K4159" s="2">
        <f>IFERROR(__xludf.DUMMYFUNCTION("""COMPUTED_VALUE"""),240.0)</f>
        <v>240</v>
      </c>
      <c r="L4159" s="2">
        <f>IFERROR(__xludf.DUMMYFUNCTION("""COMPUTED_VALUE"""),56.93828915)</f>
        <v>56.93828915</v>
      </c>
      <c r="M4159" s="2">
        <f>IFERROR(__xludf.DUMMYFUNCTION("""COMPUTED_VALUE"""),24.1865812735428)</f>
        <v>24.18658127</v>
      </c>
    </row>
    <row r="4160">
      <c r="A4160" s="2" t="str">
        <f>IFERROR(__xludf.DUMMYFUNCTION("""COMPUTED_VALUE"""),"For rent")</f>
        <v>For rent</v>
      </c>
      <c r="B4160" s="2" t="str">
        <f>IFERROR(__xludf.DUMMYFUNCTION("""COMPUTED_VALUE"""),"Ziepniekkalns")</f>
        <v>Ziepniekkalns</v>
      </c>
      <c r="C4160" s="2" t="str">
        <f>IFERROR(__xludf.DUMMYFUNCTION("""COMPUTED_VALUE"""),"Basu 3a")</f>
        <v>Basu 3a</v>
      </c>
      <c r="D4160" s="2">
        <f>IFERROR(__xludf.DUMMYFUNCTION("""COMPUTED_VALUE"""),2.0)</f>
        <v>2</v>
      </c>
      <c r="E4160" s="2">
        <f>IFERROR(__xludf.DUMMYFUNCTION("""COMPUTED_VALUE"""),57.0)</f>
        <v>57</v>
      </c>
      <c r="F4160" s="2">
        <f>IFERROR(__xludf.DUMMYFUNCTION("""COMPUTED_VALUE"""),2.0)</f>
        <v>2</v>
      </c>
      <c r="G4160" s="2">
        <f>IFERROR(__xludf.DUMMYFUNCTION("""COMPUTED_VALUE"""),2.0)</f>
        <v>2</v>
      </c>
      <c r="H4160" s="2" t="str">
        <f>IFERROR(__xludf.DUMMYFUNCTION("""COMPUTED_VALUE"""),"Jaun.")</f>
        <v>Jaun.</v>
      </c>
      <c r="I4160" s="2" t="str">
        <f>IFERROR(__xludf.DUMMYFUNCTION("""COMPUTED_VALUE"""),"Masonry")</f>
        <v>Masonry</v>
      </c>
      <c r="J4160" s="2" t="str">
        <f>IFERROR(__xludf.DUMMYFUNCTION("""COMPUTED_VALUE"""),"All amenities")</f>
        <v>All amenities</v>
      </c>
      <c r="K4160" s="2">
        <f>IFERROR(__xludf.DUMMYFUNCTION("""COMPUTED_VALUE"""),460.0)</f>
        <v>460</v>
      </c>
      <c r="L4160" s="2">
        <f>IFERROR(__xludf.DUMMYFUNCTION("""COMPUTED_VALUE"""),56.9086294)</f>
        <v>56.9086294</v>
      </c>
      <c r="M4160" s="2">
        <f>IFERROR(__xludf.DUMMYFUNCTION("""COMPUTED_VALUE"""),24.092246)</f>
        <v>24.092246</v>
      </c>
    </row>
    <row r="4161">
      <c r="A4161" s="2" t="str">
        <f>IFERROR(__xludf.DUMMYFUNCTION("""COMPUTED_VALUE"""),"For sale")</f>
        <v>For sale</v>
      </c>
      <c r="B4161" s="2" t="str">
        <f>IFERROR(__xludf.DUMMYFUNCTION("""COMPUTED_VALUE"""),"centrs")</f>
        <v>centrs</v>
      </c>
      <c r="C4161" s="2" t="str">
        <f>IFERROR(__xludf.DUMMYFUNCTION("""COMPUTED_VALUE"""),"Tērbatas 82a")</f>
        <v>Tērbatas 82a</v>
      </c>
      <c r="D4161" s="2">
        <f>IFERROR(__xludf.DUMMYFUNCTION("""COMPUTED_VALUE"""),3.0)</f>
        <v>3</v>
      </c>
      <c r="E4161" s="2">
        <f>IFERROR(__xludf.DUMMYFUNCTION("""COMPUTED_VALUE"""),62.0)</f>
        <v>62</v>
      </c>
      <c r="F4161" s="2">
        <f>IFERROR(__xludf.DUMMYFUNCTION("""COMPUTED_VALUE"""),2.0)</f>
        <v>2</v>
      </c>
      <c r="G4161" s="2">
        <f>IFERROR(__xludf.DUMMYFUNCTION("""COMPUTED_VALUE"""),5.0)</f>
        <v>5</v>
      </c>
      <c r="H4161" s="2" t="str">
        <f>IFERROR(__xludf.DUMMYFUNCTION("""COMPUTED_VALUE"""),"P. kara")</f>
        <v>P. kara</v>
      </c>
      <c r="I4161" s="2" t="str">
        <f>IFERROR(__xludf.DUMMYFUNCTION("""COMPUTED_VALUE"""),"Masonry")</f>
        <v>Masonry</v>
      </c>
      <c r="J4161" s="2" t="str">
        <f>IFERROR(__xludf.DUMMYFUNCTION("""COMPUTED_VALUE"""),"All amenities")</f>
        <v>All amenities</v>
      </c>
      <c r="K4161" s="2">
        <f>IFERROR(__xludf.DUMMYFUNCTION("""COMPUTED_VALUE"""),78000.0)</f>
        <v>78000</v>
      </c>
      <c r="L4161" s="2">
        <f>IFERROR(__xludf.DUMMYFUNCTION("""COMPUTED_VALUE"""),56.9608671999999)</f>
        <v>56.9608672</v>
      </c>
      <c r="M4161" s="2">
        <f>IFERROR(__xludf.DUMMYFUNCTION("""COMPUTED_VALUE"""),24.1380511173844)</f>
        <v>24.13805112</v>
      </c>
    </row>
    <row r="4162">
      <c r="A4162" s="2" t="str">
        <f>IFERROR(__xludf.DUMMYFUNCTION("""COMPUTED_VALUE"""),"For rent")</f>
        <v>For rent</v>
      </c>
      <c r="B4162" s="2" t="str">
        <f>IFERROR(__xludf.DUMMYFUNCTION("""COMPUTED_VALUE"""),"centrs")</f>
        <v>centrs</v>
      </c>
      <c r="C4162" s="2" t="str">
        <f>IFERROR(__xludf.DUMMYFUNCTION("""COMPUTED_VALUE"""),"Čaka 33")</f>
        <v>Čaka 33</v>
      </c>
      <c r="D4162" s="2">
        <f>IFERROR(__xludf.DUMMYFUNCTION("""COMPUTED_VALUE"""),2.0)</f>
        <v>2</v>
      </c>
      <c r="E4162" s="2">
        <f>IFERROR(__xludf.DUMMYFUNCTION("""COMPUTED_VALUE"""),45.0)</f>
        <v>45</v>
      </c>
      <c r="F4162" s="2">
        <f>IFERROR(__xludf.DUMMYFUNCTION("""COMPUTED_VALUE"""),4.0)</f>
        <v>4</v>
      </c>
      <c r="G4162" s="2">
        <f>IFERROR(__xludf.DUMMYFUNCTION("""COMPUTED_VALUE"""),6.0)</f>
        <v>6</v>
      </c>
      <c r="H4162" s="2" t="str">
        <f>IFERROR(__xludf.DUMMYFUNCTION("""COMPUTED_VALUE"""),"P. kara")</f>
        <v>P. kara</v>
      </c>
      <c r="I4162" s="2" t="str">
        <f>IFERROR(__xludf.DUMMYFUNCTION("""COMPUTED_VALUE"""),"Masonry")</f>
        <v>Masonry</v>
      </c>
      <c r="J4162" s="2" t="str">
        <f>IFERROR(__xludf.DUMMYFUNCTION("""COMPUTED_VALUE"""),"All amenities")</f>
        <v>All amenities</v>
      </c>
      <c r="K4162" s="2">
        <f>IFERROR(__xludf.DUMMYFUNCTION("""COMPUTED_VALUE"""),395.0)</f>
        <v>395</v>
      </c>
      <c r="L4162" s="2">
        <f>IFERROR(__xludf.DUMMYFUNCTION("""COMPUTED_VALUE"""),56.9521436)</f>
        <v>56.9521436</v>
      </c>
      <c r="M4162" s="2">
        <f>IFERROR(__xludf.DUMMYFUNCTION("""COMPUTED_VALUE"""),24.1276865)</f>
        <v>24.1276865</v>
      </c>
    </row>
    <row r="4163">
      <c r="A4163" s="2" t="str">
        <f>IFERROR(__xludf.DUMMYFUNCTION("""COMPUTED_VALUE"""),"For sale")</f>
        <v>For sale</v>
      </c>
      <c r="B4163" s="2" t="str">
        <f>IFERROR(__xludf.DUMMYFUNCTION("""COMPUTED_VALUE"""),"centrs")</f>
        <v>centrs</v>
      </c>
      <c r="C4163" s="2" t="str">
        <f>IFERROR(__xludf.DUMMYFUNCTION("""COMPUTED_VALUE"""),"Avotu 15")</f>
        <v>Avotu 15</v>
      </c>
      <c r="D4163" s="2">
        <f>IFERROR(__xludf.DUMMYFUNCTION("""COMPUTED_VALUE"""),2.0)</f>
        <v>2</v>
      </c>
      <c r="E4163" s="2">
        <f>IFERROR(__xludf.DUMMYFUNCTION("""COMPUTED_VALUE"""),44.0)</f>
        <v>44</v>
      </c>
      <c r="F4163" s="2">
        <f>IFERROR(__xludf.DUMMYFUNCTION("""COMPUTED_VALUE"""),3.0)</f>
        <v>3</v>
      </c>
      <c r="G4163" s="2">
        <f>IFERROR(__xludf.DUMMYFUNCTION("""COMPUTED_VALUE"""),3.0)</f>
        <v>3</v>
      </c>
      <c r="H4163" s="2" t="str">
        <f>IFERROR(__xludf.DUMMYFUNCTION("""COMPUTED_VALUE"""),"P. kara")</f>
        <v>P. kara</v>
      </c>
      <c r="I4163" s="2" t="str">
        <f>IFERROR(__xludf.DUMMYFUNCTION("""COMPUTED_VALUE"""),"Wood")</f>
        <v>Wood</v>
      </c>
      <c r="J4163" s="2" t="str">
        <f>IFERROR(__xludf.DUMMYFUNCTION("""COMPUTED_VALUE"""),"All amenities")</f>
        <v>All amenities</v>
      </c>
      <c r="K4163" s="2">
        <f>IFERROR(__xludf.DUMMYFUNCTION("""COMPUTED_VALUE"""),32000.0)</f>
        <v>32000</v>
      </c>
      <c r="L4163" s="2">
        <f>IFERROR(__xludf.DUMMYFUNCTION("""COMPUTED_VALUE"""),56.9506479)</f>
        <v>56.9506479</v>
      </c>
      <c r="M4163" s="2">
        <f>IFERROR(__xludf.DUMMYFUNCTION("""COMPUTED_VALUE"""),24.129611423879)</f>
        <v>24.12961142</v>
      </c>
    </row>
    <row r="4164">
      <c r="A4164" s="2" t="str">
        <f>IFERROR(__xludf.DUMMYFUNCTION("""COMPUTED_VALUE"""),"For rent")</f>
        <v>For rent</v>
      </c>
      <c r="B4164" s="2" t="str">
        <f>IFERROR(__xludf.DUMMYFUNCTION("""COMPUTED_VALUE"""),"centrs")</f>
        <v>centrs</v>
      </c>
      <c r="C4164" s="2" t="str">
        <f>IFERROR(__xludf.DUMMYFUNCTION("""COMPUTED_VALUE"""),"Brīvības 133")</f>
        <v>Brīvības 133</v>
      </c>
      <c r="D4164" s="2">
        <f>IFERROR(__xludf.DUMMYFUNCTION("""COMPUTED_VALUE"""),3.0)</f>
        <v>3</v>
      </c>
      <c r="E4164" s="2">
        <f>IFERROR(__xludf.DUMMYFUNCTION("""COMPUTED_VALUE"""),57.0)</f>
        <v>57</v>
      </c>
      <c r="F4164" s="2">
        <f>IFERROR(__xludf.DUMMYFUNCTION("""COMPUTED_VALUE"""),4.0)</f>
        <v>4</v>
      </c>
      <c r="G4164" s="2">
        <f>IFERROR(__xludf.DUMMYFUNCTION("""COMPUTED_VALUE"""),4.0)</f>
        <v>4</v>
      </c>
      <c r="H4164" s="2" t="str">
        <f>IFERROR(__xludf.DUMMYFUNCTION("""COMPUTED_VALUE"""),"P. kara")</f>
        <v>P. kara</v>
      </c>
      <c r="I4164" s="2" t="str">
        <f>IFERROR(__xludf.DUMMYFUNCTION("""COMPUTED_VALUE"""),"Brick")</f>
        <v>Brick</v>
      </c>
      <c r="J4164" s="2" t="str">
        <f>IFERROR(__xludf.DUMMYFUNCTION("""COMPUTED_VALUE"""),"All amenities")</f>
        <v>All amenities</v>
      </c>
      <c r="K4164" s="2">
        <f>IFERROR(__xludf.DUMMYFUNCTION("""COMPUTED_VALUE"""),800.0)</f>
        <v>800</v>
      </c>
      <c r="L4164" s="2">
        <f>IFERROR(__xludf.DUMMYFUNCTION("""COMPUTED_VALUE"""),56.9642738)</f>
        <v>56.9642738</v>
      </c>
      <c r="M4164" s="2">
        <f>IFERROR(__xludf.DUMMYFUNCTION("""COMPUTED_VALUE"""),24.1397223)</f>
        <v>24.1397223</v>
      </c>
    </row>
    <row r="4165">
      <c r="A4165" s="2" t="str">
        <f>IFERROR(__xludf.DUMMYFUNCTION("""COMPUTED_VALUE"""),"For sale")</f>
        <v>For sale</v>
      </c>
      <c r="B4165" s="2" t="str">
        <f>IFERROR(__xludf.DUMMYFUNCTION("""COMPUTED_VALUE"""),"Daugavgrīva")</f>
        <v>Daugavgrīva</v>
      </c>
      <c r="C4165" s="2" t="str">
        <f>IFERROR(__xludf.DUMMYFUNCTION("""COMPUTED_VALUE"""),"Zvīņu 1")</f>
        <v>Zvīņu 1</v>
      </c>
      <c r="D4165" s="2">
        <f>IFERROR(__xludf.DUMMYFUNCTION("""COMPUTED_VALUE"""),2.0)</f>
        <v>2</v>
      </c>
      <c r="E4165" s="2">
        <f>IFERROR(__xludf.DUMMYFUNCTION("""COMPUTED_VALUE"""),60.0)</f>
        <v>60</v>
      </c>
      <c r="F4165" s="2">
        <f>IFERROR(__xludf.DUMMYFUNCTION("""COMPUTED_VALUE"""),2.0)</f>
        <v>2</v>
      </c>
      <c r="G4165" s="2">
        <f>IFERROR(__xludf.DUMMYFUNCTION("""COMPUTED_VALUE"""),2.0)</f>
        <v>2</v>
      </c>
      <c r="H4165" s="2" t="str">
        <f>IFERROR(__xludf.DUMMYFUNCTION("""COMPUTED_VALUE"""),"Specpr.")</f>
        <v>Specpr.</v>
      </c>
      <c r="I4165" s="2" t="str">
        <f>IFERROR(__xludf.DUMMYFUNCTION("""COMPUTED_VALUE"""),"Wood")</f>
        <v>Wood</v>
      </c>
      <c r="J4165" s="2" t="str">
        <f>IFERROR(__xludf.DUMMYFUNCTION("""COMPUTED_VALUE"""),"Partial amenities")</f>
        <v>Partial amenities</v>
      </c>
      <c r="K4165" s="2">
        <f>IFERROR(__xludf.DUMMYFUNCTION("""COMPUTED_VALUE"""),16790.0)</f>
        <v>16790</v>
      </c>
      <c r="L4165" s="2">
        <f>IFERROR(__xludf.DUMMYFUNCTION("""COMPUTED_VALUE"""),57.0359823)</f>
        <v>57.0359823</v>
      </c>
      <c r="M4165" s="2">
        <f>IFERROR(__xludf.DUMMYFUNCTION("""COMPUTED_VALUE"""),24.0262401)</f>
        <v>24.0262401</v>
      </c>
    </row>
    <row r="4166">
      <c r="A4166" s="2" t="str">
        <f>IFERROR(__xludf.DUMMYFUNCTION("""COMPUTED_VALUE"""),"For sale")</f>
        <v>For sale</v>
      </c>
      <c r="B4166" s="2" t="str">
        <f>IFERROR(__xludf.DUMMYFUNCTION("""COMPUTED_VALUE"""),"centrs")</f>
        <v>centrs</v>
      </c>
      <c r="C4166" s="2" t="str">
        <f>IFERROR(__xludf.DUMMYFUNCTION("""COMPUTED_VALUE"""),"Matīsa 82")</f>
        <v>Matīsa 82</v>
      </c>
      <c r="D4166" s="2">
        <f>IFERROR(__xludf.DUMMYFUNCTION("""COMPUTED_VALUE"""),2.0)</f>
        <v>2</v>
      </c>
      <c r="E4166" s="2">
        <f>IFERROR(__xludf.DUMMYFUNCTION("""COMPUTED_VALUE"""),43.0)</f>
        <v>43</v>
      </c>
      <c r="F4166" s="2">
        <f>IFERROR(__xludf.DUMMYFUNCTION("""COMPUTED_VALUE"""),2.0)</f>
        <v>2</v>
      </c>
      <c r="G4166" s="2">
        <f>IFERROR(__xludf.DUMMYFUNCTION("""COMPUTED_VALUE"""),2.0)</f>
        <v>2</v>
      </c>
      <c r="H4166" s="2" t="str">
        <f>IFERROR(__xludf.DUMMYFUNCTION("""COMPUTED_VALUE"""),"P. kara")</f>
        <v>P. kara</v>
      </c>
      <c r="I4166" s="2" t="str">
        <f>IFERROR(__xludf.DUMMYFUNCTION("""COMPUTED_VALUE"""),"Wood")</f>
        <v>Wood</v>
      </c>
      <c r="J4166" s="2" t="str">
        <f>IFERROR(__xludf.DUMMYFUNCTION("""COMPUTED_VALUE"""),"Partial amenities")</f>
        <v>Partial amenities</v>
      </c>
      <c r="K4166" s="2">
        <f>IFERROR(__xludf.DUMMYFUNCTION("""COMPUTED_VALUE"""),14390.0)</f>
        <v>14390</v>
      </c>
      <c r="L4166" s="2">
        <f>IFERROR(__xludf.DUMMYFUNCTION("""COMPUTED_VALUE"""),56.95092055)</f>
        <v>56.95092055</v>
      </c>
      <c r="M4166" s="2">
        <f>IFERROR(__xludf.DUMMYFUNCTION("""COMPUTED_VALUE"""),24.1461248193206)</f>
        <v>24.14612482</v>
      </c>
    </row>
    <row r="4167">
      <c r="A4167" s="2" t="str">
        <f>IFERROR(__xludf.DUMMYFUNCTION("""COMPUTED_VALUE"""),"For rent")</f>
        <v>For rent</v>
      </c>
      <c r="B4167" s="2" t="str">
        <f>IFERROR(__xludf.DUMMYFUNCTION("""COMPUTED_VALUE"""),"Purvciems")</f>
        <v>Purvciems</v>
      </c>
      <c r="C4167" s="2" t="str">
        <f>IFERROR(__xludf.DUMMYFUNCTION("""COMPUTED_VALUE"""),"Marsa g. 12")</f>
        <v>Marsa g. 12</v>
      </c>
      <c r="D4167" s="2">
        <f>IFERROR(__xludf.DUMMYFUNCTION("""COMPUTED_VALUE"""),1.0)</f>
        <v>1</v>
      </c>
      <c r="E4167" s="2">
        <f>IFERROR(__xludf.DUMMYFUNCTION("""COMPUTED_VALUE"""),27.0)</f>
        <v>27</v>
      </c>
      <c r="F4167" s="2">
        <f>IFERROR(__xludf.DUMMYFUNCTION("""COMPUTED_VALUE"""),1.0)</f>
        <v>1</v>
      </c>
      <c r="G4167" s="2">
        <f>IFERROR(__xludf.DUMMYFUNCTION("""COMPUTED_VALUE"""),5.0)</f>
        <v>5</v>
      </c>
      <c r="H4167" s="2" t="str">
        <f>IFERROR(__xludf.DUMMYFUNCTION("""COMPUTED_VALUE"""),"LT proj.")</f>
        <v>LT proj.</v>
      </c>
      <c r="I4167" s="2" t="str">
        <f>IFERROR(__xludf.DUMMYFUNCTION("""COMPUTED_VALUE"""),"Panel")</f>
        <v>Panel</v>
      </c>
      <c r="J4167" s="2" t="str">
        <f>IFERROR(__xludf.DUMMYFUNCTION("""COMPUTED_VALUE"""),"All amenities")</f>
        <v>All amenities</v>
      </c>
      <c r="K4167" s="2">
        <f>IFERROR(__xludf.DUMMYFUNCTION("""COMPUTED_VALUE"""),280.0)</f>
        <v>280</v>
      </c>
      <c r="L4167" s="2">
        <f>IFERROR(__xludf.DUMMYFUNCTION("""COMPUTED_VALUE"""),56.9518384)</f>
        <v>56.9518384</v>
      </c>
      <c r="M4167" s="2">
        <f>IFERROR(__xludf.DUMMYFUNCTION("""COMPUTED_VALUE"""),24.1999196)</f>
        <v>24.1999196</v>
      </c>
    </row>
    <row r="4168">
      <c r="A4168" s="2" t="str">
        <f>IFERROR(__xludf.DUMMYFUNCTION("""COMPUTED_VALUE"""),"For sale")</f>
        <v>For sale</v>
      </c>
      <c r="B4168" s="2" t="str">
        <f>IFERROR(__xludf.DUMMYFUNCTION("""COMPUTED_VALUE"""),"Ziepniekkalns")</f>
        <v>Ziepniekkalns</v>
      </c>
      <c r="C4168" s="2" t="str">
        <f>IFERROR(__xludf.DUMMYFUNCTION("""COMPUTED_VALUE"""),"Bauskas 30")</f>
        <v>Bauskas 30</v>
      </c>
      <c r="D4168" s="2">
        <f>IFERROR(__xludf.DUMMYFUNCTION("""COMPUTED_VALUE"""),1.0)</f>
        <v>1</v>
      </c>
      <c r="E4168" s="2">
        <f>IFERROR(__xludf.DUMMYFUNCTION("""COMPUTED_VALUE"""),26.0)</f>
        <v>26</v>
      </c>
      <c r="F4168" s="2">
        <f>IFERROR(__xludf.DUMMYFUNCTION("""COMPUTED_VALUE"""),2.0)</f>
        <v>2</v>
      </c>
      <c r="G4168" s="2">
        <f>IFERROR(__xludf.DUMMYFUNCTION("""COMPUTED_VALUE"""),3.0)</f>
        <v>3</v>
      </c>
      <c r="H4168" s="2" t="str">
        <f>IFERROR(__xludf.DUMMYFUNCTION("""COMPUTED_VALUE"""),"P. kara")</f>
        <v>P. kara</v>
      </c>
      <c r="I4168" s="2" t="str">
        <f>IFERROR(__xludf.DUMMYFUNCTION("""COMPUTED_VALUE"""),"Masonry")</f>
        <v>Masonry</v>
      </c>
      <c r="J4168" s="2" t="str">
        <f>IFERROR(__xludf.DUMMYFUNCTION("""COMPUTED_VALUE"""),"Partial amenities")</f>
        <v>Partial amenities</v>
      </c>
      <c r="K4168" s="2">
        <f>IFERROR(__xludf.DUMMYFUNCTION("""COMPUTED_VALUE"""),8580.0)</f>
        <v>8580</v>
      </c>
      <c r="L4168" s="2">
        <f>IFERROR(__xludf.DUMMYFUNCTION("""COMPUTED_VALUE"""),56.9141787)</f>
        <v>56.9141787</v>
      </c>
      <c r="M4168" s="2">
        <f>IFERROR(__xludf.DUMMYFUNCTION("""COMPUTED_VALUE"""),24.1217522)</f>
        <v>24.1217522</v>
      </c>
    </row>
    <row r="4169">
      <c r="A4169" s="2" t="str">
        <f>IFERROR(__xludf.DUMMYFUNCTION("""COMPUTED_VALUE"""),"For sale")</f>
        <v>For sale</v>
      </c>
      <c r="B4169" s="2" t="str">
        <f>IFERROR(__xludf.DUMMYFUNCTION("""COMPUTED_VALUE"""),"Ķengarags")</f>
        <v>Ķengarags</v>
      </c>
      <c r="C4169" s="2" t="str">
        <f>IFERROR(__xludf.DUMMYFUNCTION("""COMPUTED_VALUE"""),"Festivāla 1")</f>
        <v>Festivāla 1</v>
      </c>
      <c r="D4169" s="2">
        <f>IFERROR(__xludf.DUMMYFUNCTION("""COMPUTED_VALUE"""),1.0)</f>
        <v>1</v>
      </c>
      <c r="E4169" s="2">
        <f>IFERROR(__xludf.DUMMYFUNCTION("""COMPUTED_VALUE"""),30.0)</f>
        <v>30</v>
      </c>
      <c r="F4169" s="2">
        <f>IFERROR(__xludf.DUMMYFUNCTION("""COMPUTED_VALUE"""),2.0)</f>
        <v>2</v>
      </c>
      <c r="G4169" s="2">
        <f>IFERROR(__xludf.DUMMYFUNCTION("""COMPUTED_VALUE"""),5.0)</f>
        <v>5</v>
      </c>
      <c r="H4169" s="2" t="str">
        <f>IFERROR(__xludf.DUMMYFUNCTION("""COMPUTED_VALUE"""),"Hrušč.")</f>
        <v>Hrušč.</v>
      </c>
      <c r="I4169" s="2" t="str">
        <f>IFERROR(__xludf.DUMMYFUNCTION("""COMPUTED_VALUE"""),"Brick-Panel")</f>
        <v>Brick-Panel</v>
      </c>
      <c r="J4169" s="2" t="str">
        <f>IFERROR(__xludf.DUMMYFUNCTION("""COMPUTED_VALUE"""),"All amenities")</f>
        <v>All amenities</v>
      </c>
      <c r="K4169" s="2">
        <f>IFERROR(__xludf.DUMMYFUNCTION("""COMPUTED_VALUE"""),35000.0)</f>
        <v>35000</v>
      </c>
      <c r="L4169" s="2">
        <f>IFERROR(__xludf.DUMMYFUNCTION("""COMPUTED_VALUE"""),56.90348845)</f>
        <v>56.90348845</v>
      </c>
      <c r="M4169" s="2">
        <f>IFERROR(__xludf.DUMMYFUNCTION("""COMPUTED_VALUE"""),24.20369795)</f>
        <v>24.20369795</v>
      </c>
    </row>
    <row r="4170">
      <c r="A4170" s="2" t="str">
        <f>IFERROR(__xludf.DUMMYFUNCTION("""COMPUTED_VALUE"""),"For sale")</f>
        <v>For sale</v>
      </c>
      <c r="B4170" s="2" t="str">
        <f>IFERROR(__xludf.DUMMYFUNCTION("""COMPUTED_VALUE"""),"Ķengarags")</f>
        <v>Ķengarags</v>
      </c>
      <c r="C4170" s="2" t="str">
        <f>IFERROR(__xludf.DUMMYFUNCTION("""COMPUTED_VALUE"""),"Slāvu 13")</f>
        <v>Slāvu 13</v>
      </c>
      <c r="D4170" s="2">
        <f>IFERROR(__xludf.DUMMYFUNCTION("""COMPUTED_VALUE"""),4.0)</f>
        <v>4</v>
      </c>
      <c r="E4170" s="2">
        <f>IFERROR(__xludf.DUMMYFUNCTION("""COMPUTED_VALUE"""),78.0)</f>
        <v>78</v>
      </c>
      <c r="F4170" s="2">
        <f>IFERROR(__xludf.DUMMYFUNCTION("""COMPUTED_VALUE"""),5.0)</f>
        <v>5</v>
      </c>
      <c r="G4170" s="2">
        <f>IFERROR(__xludf.DUMMYFUNCTION("""COMPUTED_VALUE"""),9.0)</f>
        <v>9</v>
      </c>
      <c r="H4170" s="2">
        <f>IFERROR(__xludf.DUMMYFUNCTION("""COMPUTED_VALUE"""),467.0)</f>
        <v>467</v>
      </c>
      <c r="I4170" s="2" t="str">
        <f>IFERROR(__xludf.DUMMYFUNCTION("""COMPUTED_VALUE"""),"Panel")</f>
        <v>Panel</v>
      </c>
      <c r="J4170" s="2" t="str">
        <f>IFERROR(__xludf.DUMMYFUNCTION("""COMPUTED_VALUE"""),"All amenities")</f>
        <v>All amenities</v>
      </c>
      <c r="K4170" s="2">
        <f>IFERROR(__xludf.DUMMYFUNCTION("""COMPUTED_VALUE"""),63000.0)</f>
        <v>63000</v>
      </c>
      <c r="L4170" s="2">
        <f>IFERROR(__xludf.DUMMYFUNCTION("""COMPUTED_VALUE"""),56.9307254)</f>
        <v>56.9307254</v>
      </c>
      <c r="M4170" s="2">
        <f>IFERROR(__xludf.DUMMYFUNCTION("""COMPUTED_VALUE"""),24.181101)</f>
        <v>24.181101</v>
      </c>
    </row>
    <row r="4171">
      <c r="A4171" s="2" t="str">
        <f>IFERROR(__xludf.DUMMYFUNCTION("""COMPUTED_VALUE"""),"For sale")</f>
        <v>For sale</v>
      </c>
      <c r="B4171" s="2" t="str">
        <f>IFERROR(__xludf.DUMMYFUNCTION("""COMPUTED_VALUE"""),"Āgenskalns")</f>
        <v>Āgenskalns</v>
      </c>
      <c r="C4171" s="2" t="str">
        <f>IFERROR(__xludf.DUMMYFUNCTION("""COMPUTED_VALUE"""),"Darba 1")</f>
        <v>Darba 1</v>
      </c>
      <c r="D4171" s="2">
        <f>IFERROR(__xludf.DUMMYFUNCTION("""COMPUTED_VALUE"""),1.0)</f>
        <v>1</v>
      </c>
      <c r="E4171" s="2">
        <f>IFERROR(__xludf.DUMMYFUNCTION("""COMPUTED_VALUE"""),25.0)</f>
        <v>25</v>
      </c>
      <c r="F4171" s="2">
        <f>IFERROR(__xludf.DUMMYFUNCTION("""COMPUTED_VALUE"""),1.0)</f>
        <v>1</v>
      </c>
      <c r="G4171" s="2">
        <f>IFERROR(__xludf.DUMMYFUNCTION("""COMPUTED_VALUE"""),2.0)</f>
        <v>2</v>
      </c>
      <c r="H4171" s="2" t="str">
        <f>IFERROR(__xludf.DUMMYFUNCTION("""COMPUTED_VALUE"""),"P. kara")</f>
        <v>P. kara</v>
      </c>
      <c r="I4171" s="2" t="str">
        <f>IFERROR(__xludf.DUMMYFUNCTION("""COMPUTED_VALUE"""),"Brick")</f>
        <v>Brick</v>
      </c>
      <c r="J4171" s="2" t="str">
        <f>IFERROR(__xludf.DUMMYFUNCTION("""COMPUTED_VALUE"""),"Partial amenities")</f>
        <v>Partial amenities</v>
      </c>
      <c r="K4171" s="2">
        <f>IFERROR(__xludf.DUMMYFUNCTION("""COMPUTED_VALUE"""),10980.0)</f>
        <v>10980</v>
      </c>
      <c r="L4171" s="2">
        <f>IFERROR(__xludf.DUMMYFUNCTION("""COMPUTED_VALUE"""),56.9434397)</f>
        <v>56.9434397</v>
      </c>
      <c r="M4171" s="2">
        <f>IFERROR(__xludf.DUMMYFUNCTION("""COMPUTED_VALUE"""),24.0524036)</f>
        <v>24.0524036</v>
      </c>
    </row>
    <row r="4172">
      <c r="A4172" s="2" t="str">
        <f>IFERROR(__xludf.DUMMYFUNCTION("""COMPUTED_VALUE"""),"For sale")</f>
        <v>For sale</v>
      </c>
      <c r="B4172" s="2" t="str">
        <f>IFERROR(__xludf.DUMMYFUNCTION("""COMPUTED_VALUE"""),"Dzegužkalns")</f>
        <v>Dzegužkalns</v>
      </c>
      <c r="C4172" s="2" t="str">
        <f>IFERROR(__xludf.DUMMYFUNCTION("""COMPUTED_VALUE"""),"Jaunsaules 3a")</f>
        <v>Jaunsaules 3a</v>
      </c>
      <c r="D4172" s="2">
        <f>IFERROR(__xludf.DUMMYFUNCTION("""COMPUTED_VALUE"""),3.0)</f>
        <v>3</v>
      </c>
      <c r="E4172" s="2">
        <f>IFERROR(__xludf.DUMMYFUNCTION("""COMPUTED_VALUE"""),60.0)</f>
        <v>60</v>
      </c>
      <c r="F4172" s="2">
        <f>IFERROR(__xludf.DUMMYFUNCTION("""COMPUTED_VALUE"""),4.0)</f>
        <v>4</v>
      </c>
      <c r="G4172" s="2">
        <f>IFERROR(__xludf.DUMMYFUNCTION("""COMPUTED_VALUE"""),5.0)</f>
        <v>5</v>
      </c>
      <c r="H4172" s="2" t="str">
        <f>IFERROR(__xludf.DUMMYFUNCTION("""COMPUTED_VALUE"""),"LT proj.")</f>
        <v>LT proj.</v>
      </c>
      <c r="I4172" s="2" t="str">
        <f>IFERROR(__xludf.DUMMYFUNCTION("""COMPUTED_VALUE"""),"Panel")</f>
        <v>Panel</v>
      </c>
      <c r="J4172" s="2" t="str">
        <f>IFERROR(__xludf.DUMMYFUNCTION("""COMPUTED_VALUE"""),"All amenities")</f>
        <v>All amenities</v>
      </c>
      <c r="K4172" s="2">
        <f>IFERROR(__xludf.DUMMYFUNCTION("""COMPUTED_VALUE"""),45000.0)</f>
        <v>45000</v>
      </c>
      <c r="L4172" s="2">
        <f>IFERROR(__xludf.DUMMYFUNCTION("""COMPUTED_VALUE"""),56.9555873)</f>
        <v>56.9555873</v>
      </c>
      <c r="M4172" s="2">
        <f>IFERROR(__xludf.DUMMYFUNCTION("""COMPUTED_VALUE"""),24.0501792568777)</f>
        <v>24.05017926</v>
      </c>
    </row>
    <row r="4173">
      <c r="A4173" s="2" t="str">
        <f>IFERROR(__xludf.DUMMYFUNCTION("""COMPUTED_VALUE"""),"For rent")</f>
        <v>For rent</v>
      </c>
      <c r="B4173" s="2" t="str">
        <f>IFERROR(__xludf.DUMMYFUNCTION("""COMPUTED_VALUE"""),"Iļģuciems")</f>
        <v>Iļģuciems</v>
      </c>
      <c r="C4173" s="2" t="str">
        <f>IFERROR(__xludf.DUMMYFUNCTION("""COMPUTED_VALUE"""),"Lidoņu 26")</f>
        <v>Lidoņu 26</v>
      </c>
      <c r="D4173" s="2">
        <f>IFERROR(__xludf.DUMMYFUNCTION("""COMPUTED_VALUE"""),2.0)</f>
        <v>2</v>
      </c>
      <c r="E4173" s="2">
        <f>IFERROR(__xludf.DUMMYFUNCTION("""COMPUTED_VALUE"""),50.0)</f>
        <v>50</v>
      </c>
      <c r="F4173" s="2">
        <f>IFERROR(__xludf.DUMMYFUNCTION("""COMPUTED_VALUE"""),3.0)</f>
        <v>3</v>
      </c>
      <c r="G4173" s="2">
        <f>IFERROR(__xludf.DUMMYFUNCTION("""COMPUTED_VALUE"""),5.0)</f>
        <v>5</v>
      </c>
      <c r="H4173" s="2" t="str">
        <f>IFERROR(__xludf.DUMMYFUNCTION("""COMPUTED_VALUE"""),"LT proj.")</f>
        <v>LT proj.</v>
      </c>
      <c r="I4173" s="2" t="str">
        <f>IFERROR(__xludf.DUMMYFUNCTION("""COMPUTED_VALUE"""),"Panel")</f>
        <v>Panel</v>
      </c>
      <c r="J4173" s="2" t="str">
        <f>IFERROR(__xludf.DUMMYFUNCTION("""COMPUTED_VALUE"""),"All amenities")</f>
        <v>All amenities</v>
      </c>
      <c r="K4173" s="2">
        <f>IFERROR(__xludf.DUMMYFUNCTION("""COMPUTED_VALUE"""),350.0)</f>
        <v>350</v>
      </c>
      <c r="L4173" s="2">
        <f>IFERROR(__xludf.DUMMYFUNCTION("""COMPUTED_VALUE"""),56.97028135)</f>
        <v>56.97028135</v>
      </c>
      <c r="M4173" s="2">
        <f>IFERROR(__xludf.DUMMYFUNCTION("""COMPUTED_VALUE"""),24.0589878413955)</f>
        <v>24.05898784</v>
      </c>
    </row>
    <row r="4174">
      <c r="A4174" s="2" t="str">
        <f>IFERROR(__xludf.DUMMYFUNCTION("""COMPUTED_VALUE"""),"For sale")</f>
        <v>For sale</v>
      </c>
      <c r="B4174" s="2" t="str">
        <f>IFERROR(__xludf.DUMMYFUNCTION("""COMPUTED_VALUE"""),"centrs")</f>
        <v>centrs</v>
      </c>
      <c r="C4174" s="2" t="str">
        <f>IFERROR(__xludf.DUMMYFUNCTION("""COMPUTED_VALUE"""),"Ģertrūdes 61")</f>
        <v>Ģertrūdes 61</v>
      </c>
      <c r="D4174" s="2">
        <f>IFERROR(__xludf.DUMMYFUNCTION("""COMPUTED_VALUE"""),4.0)</f>
        <v>4</v>
      </c>
      <c r="E4174" s="2">
        <f>IFERROR(__xludf.DUMMYFUNCTION("""COMPUTED_VALUE"""),87.0)</f>
        <v>87</v>
      </c>
      <c r="F4174" s="2">
        <f>IFERROR(__xludf.DUMMYFUNCTION("""COMPUTED_VALUE"""),2.0)</f>
        <v>2</v>
      </c>
      <c r="G4174" s="2">
        <f>IFERROR(__xludf.DUMMYFUNCTION("""COMPUTED_VALUE"""),5.0)</f>
        <v>5</v>
      </c>
      <c r="H4174" s="2" t="str">
        <f>IFERROR(__xludf.DUMMYFUNCTION("""COMPUTED_VALUE"""),"P. kara")</f>
        <v>P. kara</v>
      </c>
      <c r="I4174" s="2" t="str">
        <f>IFERROR(__xludf.DUMMYFUNCTION("""COMPUTED_VALUE"""),"Masonry")</f>
        <v>Masonry</v>
      </c>
      <c r="J4174" s="2" t="str">
        <f>IFERROR(__xludf.DUMMYFUNCTION("""COMPUTED_VALUE"""),"All amenities")</f>
        <v>All amenities</v>
      </c>
      <c r="K4174" s="2">
        <f>IFERROR(__xludf.DUMMYFUNCTION("""COMPUTED_VALUE"""),146000.0)</f>
        <v>146000</v>
      </c>
      <c r="L4174" s="2">
        <f>IFERROR(__xludf.DUMMYFUNCTION("""COMPUTED_VALUE"""),56.9522631)</f>
        <v>56.9522631</v>
      </c>
      <c r="M4174" s="2">
        <f>IFERROR(__xludf.DUMMYFUNCTION("""COMPUTED_VALUE"""),24.1321563)</f>
        <v>24.1321563</v>
      </c>
    </row>
    <row r="4175">
      <c r="A4175" s="2" t="str">
        <f>IFERROR(__xludf.DUMMYFUNCTION("""COMPUTED_VALUE"""),"For rent")</f>
        <v>For rent</v>
      </c>
      <c r="B4175" s="2" t="str">
        <f>IFERROR(__xludf.DUMMYFUNCTION("""COMPUTED_VALUE"""),"Iļģuciems")</f>
        <v>Iļģuciems</v>
      </c>
      <c r="C4175" s="2" t="str">
        <f>IFERROR(__xludf.DUMMYFUNCTION("""COMPUTED_VALUE"""),"Vaidelotes 24")</f>
        <v>Vaidelotes 24</v>
      </c>
      <c r="D4175" s="2">
        <f>IFERROR(__xludf.DUMMYFUNCTION("""COMPUTED_VALUE"""),2.0)</f>
        <v>2</v>
      </c>
      <c r="E4175" s="2">
        <f>IFERROR(__xludf.DUMMYFUNCTION("""COMPUTED_VALUE"""),41.0)</f>
        <v>41</v>
      </c>
      <c r="F4175" s="2">
        <f>IFERROR(__xludf.DUMMYFUNCTION("""COMPUTED_VALUE"""),5.0)</f>
        <v>5</v>
      </c>
      <c r="G4175" s="2">
        <f>IFERROR(__xludf.DUMMYFUNCTION("""COMPUTED_VALUE"""),5.0)</f>
        <v>5</v>
      </c>
      <c r="H4175" s="2" t="str">
        <f>IFERROR(__xludf.DUMMYFUNCTION("""COMPUTED_VALUE"""),"Hrušč.")</f>
        <v>Hrušč.</v>
      </c>
      <c r="I4175" s="2" t="str">
        <f>IFERROR(__xludf.DUMMYFUNCTION("""COMPUTED_VALUE"""),"Brick")</f>
        <v>Brick</v>
      </c>
      <c r="J4175" s="2" t="str">
        <f>IFERROR(__xludf.DUMMYFUNCTION("""COMPUTED_VALUE"""),"All amenities")</f>
        <v>All amenities</v>
      </c>
      <c r="K4175" s="2">
        <f>IFERROR(__xludf.DUMMYFUNCTION("""COMPUTED_VALUE"""),290.0)</f>
        <v>290</v>
      </c>
      <c r="L4175" s="2">
        <f>IFERROR(__xludf.DUMMYFUNCTION("""COMPUTED_VALUE"""),56.9660011)</f>
        <v>56.9660011</v>
      </c>
      <c r="M4175" s="2">
        <f>IFERROR(__xludf.DUMMYFUNCTION("""COMPUTED_VALUE"""),24.0489425255213)</f>
        <v>24.04894253</v>
      </c>
    </row>
    <row r="4176">
      <c r="A4176" s="2" t="str">
        <f>IFERROR(__xludf.DUMMYFUNCTION("""COMPUTED_VALUE"""),"For rent")</f>
        <v>For rent</v>
      </c>
      <c r="B4176" s="2" t="str">
        <f>IFERROR(__xludf.DUMMYFUNCTION("""COMPUTED_VALUE"""),"Vecmīlgrāvis")</f>
        <v>Vecmīlgrāvis</v>
      </c>
      <c r="C4176" s="2" t="str">
        <f>IFERROR(__xludf.DUMMYFUNCTION("""COMPUTED_VALUE"""),"Kalngales 11")</f>
        <v>Kalngales 11</v>
      </c>
      <c r="D4176" s="2">
        <f>IFERROR(__xludf.DUMMYFUNCTION("""COMPUTED_VALUE"""),1.0)</f>
        <v>1</v>
      </c>
      <c r="E4176" s="2">
        <f>IFERROR(__xludf.DUMMYFUNCTION("""COMPUTED_VALUE"""),40.0)</f>
        <v>40</v>
      </c>
      <c r="F4176" s="2">
        <f>IFERROR(__xludf.DUMMYFUNCTION("""COMPUTED_VALUE"""),3.0)</f>
        <v>3</v>
      </c>
      <c r="G4176" s="2">
        <f>IFERROR(__xludf.DUMMYFUNCTION("""COMPUTED_VALUE"""),9.0)</f>
        <v>9</v>
      </c>
      <c r="H4176" s="2">
        <f>IFERROR(__xludf.DUMMYFUNCTION("""COMPUTED_VALUE"""),602.0)</f>
        <v>602</v>
      </c>
      <c r="I4176" s="2" t="str">
        <f>IFERROR(__xludf.DUMMYFUNCTION("""COMPUTED_VALUE"""),"Panel-Brick")</f>
        <v>Panel-Brick</v>
      </c>
      <c r="J4176" s="2" t="str">
        <f>IFERROR(__xludf.DUMMYFUNCTION("""COMPUTED_VALUE"""),"All amenities")</f>
        <v>All amenities</v>
      </c>
      <c r="K4176" s="2">
        <f>IFERROR(__xludf.DUMMYFUNCTION("""COMPUTED_VALUE"""),180.0)</f>
        <v>180</v>
      </c>
      <c r="L4176" s="2">
        <f>IFERROR(__xludf.DUMMYFUNCTION("""COMPUTED_VALUE"""),57.04000775)</f>
        <v>57.04000775</v>
      </c>
      <c r="M4176" s="2">
        <f>IFERROR(__xludf.DUMMYFUNCTION("""COMPUTED_VALUE"""),24.1028046318935)</f>
        <v>24.10280463</v>
      </c>
    </row>
    <row r="4177">
      <c r="A4177" s="2" t="str">
        <f>IFERROR(__xludf.DUMMYFUNCTION("""COMPUTED_VALUE"""),"For sale")</f>
        <v>For sale</v>
      </c>
      <c r="B4177" s="2" t="str">
        <f>IFERROR(__xludf.DUMMYFUNCTION("""COMPUTED_VALUE"""),"Purvciems")</f>
        <v>Purvciems</v>
      </c>
      <c r="C4177" s="2" t="str">
        <f>IFERROR(__xludf.DUMMYFUNCTION("""COMPUTED_VALUE"""),"Vaidavas 15")</f>
        <v>Vaidavas 15</v>
      </c>
      <c r="D4177" s="2">
        <f>IFERROR(__xludf.DUMMYFUNCTION("""COMPUTED_VALUE"""),4.0)</f>
        <v>4</v>
      </c>
      <c r="E4177" s="2">
        <f>IFERROR(__xludf.DUMMYFUNCTION("""COMPUTED_VALUE"""),134.0)</f>
        <v>134</v>
      </c>
      <c r="F4177" s="2">
        <f>IFERROR(__xludf.DUMMYFUNCTION("""COMPUTED_VALUE"""),6.0)</f>
        <v>6</v>
      </c>
      <c r="G4177" s="2">
        <f>IFERROR(__xludf.DUMMYFUNCTION("""COMPUTED_VALUE"""),7.0)</f>
        <v>7</v>
      </c>
      <c r="H4177" s="2" t="str">
        <f>IFERROR(__xludf.DUMMYFUNCTION("""COMPUTED_VALUE"""),"Jaun.")</f>
        <v>Jaun.</v>
      </c>
      <c r="I4177" s="2" t="str">
        <f>IFERROR(__xludf.DUMMYFUNCTION("""COMPUTED_VALUE"""),"Panel-Brick")</f>
        <v>Panel-Brick</v>
      </c>
      <c r="J4177" s="2" t="str">
        <f>IFERROR(__xludf.DUMMYFUNCTION("""COMPUTED_VALUE"""),"All amenities")</f>
        <v>All amenities</v>
      </c>
      <c r="K4177" s="2">
        <f>IFERROR(__xludf.DUMMYFUNCTION("""COMPUTED_VALUE"""),201000.0)</f>
        <v>201000</v>
      </c>
      <c r="L4177" s="2">
        <f>IFERROR(__xludf.DUMMYFUNCTION("""COMPUTED_VALUE"""),56.9612816)</f>
        <v>56.9612816</v>
      </c>
      <c r="M4177" s="2">
        <f>IFERROR(__xludf.DUMMYFUNCTION("""COMPUTED_VALUE"""),24.1767730640632)</f>
        <v>24.17677306</v>
      </c>
    </row>
    <row r="4178">
      <c r="A4178" s="2" t="str">
        <f>IFERROR(__xludf.DUMMYFUNCTION("""COMPUTED_VALUE"""),"For sale")</f>
        <v>For sale</v>
      </c>
      <c r="B4178" s="2" t="str">
        <f>IFERROR(__xludf.DUMMYFUNCTION("""COMPUTED_VALUE"""),"Ziepniekkalns")</f>
        <v>Ziepniekkalns</v>
      </c>
      <c r="C4178" s="2" t="str">
        <f>IFERROR(__xludf.DUMMYFUNCTION("""COMPUTED_VALUE"""),"Valdeķu 62")</f>
        <v>Valdeķu 62</v>
      </c>
      <c r="D4178" s="2">
        <f>IFERROR(__xludf.DUMMYFUNCTION("""COMPUTED_VALUE"""),3.0)</f>
        <v>3</v>
      </c>
      <c r="E4178" s="2">
        <f>IFERROR(__xludf.DUMMYFUNCTION("""COMPUTED_VALUE"""),63.0)</f>
        <v>63</v>
      </c>
      <c r="F4178" s="2">
        <f>IFERROR(__xludf.DUMMYFUNCTION("""COMPUTED_VALUE"""),8.0)</f>
        <v>8</v>
      </c>
      <c r="G4178" s="2">
        <f>IFERROR(__xludf.DUMMYFUNCTION("""COMPUTED_VALUE"""),8.0)</f>
        <v>8</v>
      </c>
      <c r="H4178" s="2">
        <f>IFERROR(__xludf.DUMMYFUNCTION("""COMPUTED_VALUE"""),602.0)</f>
        <v>602</v>
      </c>
      <c r="I4178" s="2" t="str">
        <f>IFERROR(__xludf.DUMMYFUNCTION("""COMPUTED_VALUE"""),"Panel")</f>
        <v>Panel</v>
      </c>
      <c r="J4178" s="2" t="str">
        <f>IFERROR(__xludf.DUMMYFUNCTION("""COMPUTED_VALUE"""),"All amenities")</f>
        <v>All amenities</v>
      </c>
      <c r="K4178" s="2">
        <f>IFERROR(__xludf.DUMMYFUNCTION("""COMPUTED_VALUE"""),62800.0)</f>
        <v>62800</v>
      </c>
      <c r="L4178" s="2">
        <f>IFERROR(__xludf.DUMMYFUNCTION("""COMPUTED_VALUE"""),56.90102635)</f>
        <v>56.90102635</v>
      </c>
      <c r="M4178" s="2">
        <f>IFERROR(__xludf.DUMMYFUNCTION("""COMPUTED_VALUE"""),24.0939941127903)</f>
        <v>24.09399411</v>
      </c>
    </row>
    <row r="4179">
      <c r="A4179" s="2" t="str">
        <f>IFERROR(__xludf.DUMMYFUNCTION("""COMPUTED_VALUE"""),"For rent")</f>
        <v>For rent</v>
      </c>
      <c r="B4179" s="2" t="str">
        <f>IFERROR(__xludf.DUMMYFUNCTION("""COMPUTED_VALUE"""),"Ķengarags")</f>
        <v>Ķengarags</v>
      </c>
      <c r="C4179" s="2" t="str">
        <f>IFERROR(__xludf.DUMMYFUNCTION("""COMPUTED_VALUE"""),"Maskavas 429")</f>
        <v>Maskavas 429</v>
      </c>
      <c r="D4179" s="2">
        <f>IFERROR(__xludf.DUMMYFUNCTION("""COMPUTED_VALUE"""),2.0)</f>
        <v>2</v>
      </c>
      <c r="E4179" s="2">
        <f>IFERROR(__xludf.DUMMYFUNCTION("""COMPUTED_VALUE"""),52.0)</f>
        <v>52</v>
      </c>
      <c r="F4179" s="2">
        <f>IFERROR(__xludf.DUMMYFUNCTION("""COMPUTED_VALUE"""),4.0)</f>
        <v>4</v>
      </c>
      <c r="G4179" s="2">
        <f>IFERROR(__xludf.DUMMYFUNCTION("""COMPUTED_VALUE"""),5.0)</f>
        <v>5</v>
      </c>
      <c r="H4179" s="2" t="str">
        <f>IFERROR(__xludf.DUMMYFUNCTION("""COMPUTED_VALUE"""),"LT proj.")</f>
        <v>LT proj.</v>
      </c>
      <c r="I4179" s="2" t="str">
        <f>IFERROR(__xludf.DUMMYFUNCTION("""COMPUTED_VALUE"""),"Panel")</f>
        <v>Panel</v>
      </c>
      <c r="J4179" s="2" t="str">
        <f>IFERROR(__xludf.DUMMYFUNCTION("""COMPUTED_VALUE"""),"All amenities")</f>
        <v>All amenities</v>
      </c>
      <c r="K4179" s="2">
        <f>IFERROR(__xludf.DUMMYFUNCTION("""COMPUTED_VALUE"""),290.0)</f>
        <v>290</v>
      </c>
      <c r="L4179" s="2">
        <f>IFERROR(__xludf.DUMMYFUNCTION("""COMPUTED_VALUE"""),56.8597884)</f>
        <v>56.8597884</v>
      </c>
      <c r="M4179" s="2">
        <f>IFERROR(__xludf.DUMMYFUNCTION("""COMPUTED_VALUE"""),24.3083417)</f>
        <v>24.3083417</v>
      </c>
    </row>
    <row r="4180">
      <c r="A4180" s="2" t="str">
        <f>IFERROR(__xludf.DUMMYFUNCTION("""COMPUTED_VALUE"""),"For rent")</f>
        <v>For rent</v>
      </c>
      <c r="B4180" s="2" t="str">
        <f>IFERROR(__xludf.DUMMYFUNCTION("""COMPUTED_VALUE"""),"Purvciems")</f>
        <v>Purvciems</v>
      </c>
      <c r="C4180" s="2" t="str">
        <f>IFERROR(__xludf.DUMMYFUNCTION("""COMPUTED_VALUE"""),"Marsa g. 12")</f>
        <v>Marsa g. 12</v>
      </c>
      <c r="D4180" s="2">
        <f>IFERROR(__xludf.DUMMYFUNCTION("""COMPUTED_VALUE"""),1.0)</f>
        <v>1</v>
      </c>
      <c r="E4180" s="2">
        <f>IFERROR(__xludf.DUMMYFUNCTION("""COMPUTED_VALUE"""),26.0)</f>
        <v>26</v>
      </c>
      <c r="F4180" s="2">
        <f>IFERROR(__xludf.DUMMYFUNCTION("""COMPUTED_VALUE"""),3.0)</f>
        <v>3</v>
      </c>
      <c r="G4180" s="2">
        <f>IFERROR(__xludf.DUMMYFUNCTION("""COMPUTED_VALUE"""),5.0)</f>
        <v>5</v>
      </c>
      <c r="H4180" s="2" t="str">
        <f>IFERROR(__xludf.DUMMYFUNCTION("""COMPUTED_VALUE"""),"LT proj.")</f>
        <v>LT proj.</v>
      </c>
      <c r="I4180" s="2" t="str">
        <f>IFERROR(__xludf.DUMMYFUNCTION("""COMPUTED_VALUE"""),"Panel")</f>
        <v>Panel</v>
      </c>
      <c r="J4180" s="2" t="str">
        <f>IFERROR(__xludf.DUMMYFUNCTION("""COMPUTED_VALUE"""),"All amenities")</f>
        <v>All amenities</v>
      </c>
      <c r="K4180" s="2">
        <f>IFERROR(__xludf.DUMMYFUNCTION("""COMPUTED_VALUE"""),240.0)</f>
        <v>240</v>
      </c>
      <c r="L4180" s="2">
        <f>IFERROR(__xludf.DUMMYFUNCTION("""COMPUTED_VALUE"""),56.9518384)</f>
        <v>56.9518384</v>
      </c>
      <c r="M4180" s="2">
        <f>IFERROR(__xludf.DUMMYFUNCTION("""COMPUTED_VALUE"""),24.1999196)</f>
        <v>24.1999196</v>
      </c>
    </row>
    <row r="4181">
      <c r="A4181" s="2" t="str">
        <f>IFERROR(__xludf.DUMMYFUNCTION("""COMPUTED_VALUE"""),"For sale")</f>
        <v>For sale</v>
      </c>
      <c r="B4181" s="2" t="str">
        <f>IFERROR(__xludf.DUMMYFUNCTION("""COMPUTED_VALUE"""),"Maskavas priekšpilsēta")</f>
        <v>Maskavas priekšpilsēta</v>
      </c>
      <c r="C4181" s="2" t="str">
        <f>IFERROR(__xludf.DUMMYFUNCTION("""COMPUTED_VALUE"""),"Viļānu 6")</f>
        <v>Viļānu 6</v>
      </c>
      <c r="D4181" s="2">
        <f>IFERROR(__xludf.DUMMYFUNCTION("""COMPUTED_VALUE"""),2.0)</f>
        <v>2</v>
      </c>
      <c r="E4181" s="2">
        <f>IFERROR(__xludf.DUMMYFUNCTION("""COMPUTED_VALUE"""),50.0)</f>
        <v>50</v>
      </c>
      <c r="F4181" s="2">
        <f>IFERROR(__xludf.DUMMYFUNCTION("""COMPUTED_VALUE"""),3.0)</f>
        <v>3</v>
      </c>
      <c r="G4181" s="2">
        <f>IFERROR(__xludf.DUMMYFUNCTION("""COMPUTED_VALUE"""),5.0)</f>
        <v>5</v>
      </c>
      <c r="H4181" s="2">
        <f>IFERROR(__xludf.DUMMYFUNCTION("""COMPUTED_VALUE"""),103.0)</f>
        <v>103</v>
      </c>
      <c r="I4181" s="2" t="str">
        <f>IFERROR(__xludf.DUMMYFUNCTION("""COMPUTED_VALUE"""),"Brick-Panel")</f>
        <v>Brick-Panel</v>
      </c>
      <c r="J4181" s="2" t="str">
        <f>IFERROR(__xludf.DUMMYFUNCTION("""COMPUTED_VALUE"""),"All amenities")</f>
        <v>All amenities</v>
      </c>
      <c r="K4181" s="2">
        <f>IFERROR(__xludf.DUMMYFUNCTION("""COMPUTED_VALUE"""),69000.0)</f>
        <v>69000</v>
      </c>
      <c r="L4181" s="2">
        <f>IFERROR(__xludf.DUMMYFUNCTION("""COMPUTED_VALUE"""),56.9397657)</f>
        <v>56.9397657</v>
      </c>
      <c r="M4181" s="2">
        <f>IFERROR(__xludf.DUMMYFUNCTION("""COMPUTED_VALUE"""),24.1531645)</f>
        <v>24.1531645</v>
      </c>
    </row>
    <row r="4182">
      <c r="A4182" s="2" t="str">
        <f>IFERROR(__xludf.DUMMYFUNCTION("""COMPUTED_VALUE"""),"For sale")</f>
        <v>For sale</v>
      </c>
      <c r="B4182" s="2" t="str">
        <f>IFERROR(__xludf.DUMMYFUNCTION("""COMPUTED_VALUE"""),"centrs")</f>
        <v>centrs</v>
      </c>
      <c r="C4182" s="2" t="str">
        <f>IFERROR(__xludf.DUMMYFUNCTION("""COMPUTED_VALUE"""),"Vēžu 9")</f>
        <v>Vēžu 9</v>
      </c>
      <c r="D4182" s="2">
        <f>IFERROR(__xludf.DUMMYFUNCTION("""COMPUTED_VALUE"""),2.0)</f>
        <v>2</v>
      </c>
      <c r="E4182" s="2">
        <f>IFERROR(__xludf.DUMMYFUNCTION("""COMPUTED_VALUE"""),42.0)</f>
        <v>42</v>
      </c>
      <c r="F4182" s="2">
        <f>IFERROR(__xludf.DUMMYFUNCTION("""COMPUTED_VALUE"""),1.0)</f>
        <v>1</v>
      </c>
      <c r="G4182" s="2">
        <f>IFERROR(__xludf.DUMMYFUNCTION("""COMPUTED_VALUE"""),5.0)</f>
        <v>5</v>
      </c>
      <c r="H4182" s="2" t="str">
        <f>IFERROR(__xludf.DUMMYFUNCTION("""COMPUTED_VALUE"""),"Hrušč.")</f>
        <v>Hrušč.</v>
      </c>
      <c r="I4182" s="2" t="str">
        <f>IFERROR(__xludf.DUMMYFUNCTION("""COMPUTED_VALUE"""),"Brick")</f>
        <v>Brick</v>
      </c>
      <c r="J4182" s="2" t="str">
        <f>IFERROR(__xludf.DUMMYFUNCTION("""COMPUTED_VALUE"""),"All amenities")</f>
        <v>All amenities</v>
      </c>
      <c r="K4182" s="2">
        <f>IFERROR(__xludf.DUMMYFUNCTION("""COMPUTED_VALUE"""),46000.0)</f>
        <v>46000</v>
      </c>
      <c r="L4182" s="2">
        <f>IFERROR(__xludf.DUMMYFUNCTION("""COMPUTED_VALUE"""),56.9712464)</f>
        <v>56.9712464</v>
      </c>
      <c r="M4182" s="2">
        <f>IFERROR(__xludf.DUMMYFUNCTION("""COMPUTED_VALUE"""),24.0998780037698)</f>
        <v>24.099878</v>
      </c>
    </row>
    <row r="4183">
      <c r="A4183" s="2" t="str">
        <f>IFERROR(__xludf.DUMMYFUNCTION("""COMPUTED_VALUE"""),"For rent")</f>
        <v>For rent</v>
      </c>
      <c r="B4183" s="2" t="str">
        <f>IFERROR(__xludf.DUMMYFUNCTION("""COMPUTED_VALUE"""),"centrs")</f>
        <v>centrs</v>
      </c>
      <c r="C4183" s="2" t="str">
        <f>IFERROR(__xludf.DUMMYFUNCTION("""COMPUTED_VALUE"""),"Eksporta 8")</f>
        <v>Eksporta 8</v>
      </c>
      <c r="D4183" s="2">
        <f>IFERROR(__xludf.DUMMYFUNCTION("""COMPUTED_VALUE"""),4.0)</f>
        <v>4</v>
      </c>
      <c r="E4183" s="2">
        <f>IFERROR(__xludf.DUMMYFUNCTION("""COMPUTED_VALUE"""),260.0)</f>
        <v>260</v>
      </c>
      <c r="F4183" s="2">
        <f>IFERROR(__xludf.DUMMYFUNCTION("""COMPUTED_VALUE"""),2.0)</f>
        <v>2</v>
      </c>
      <c r="G4183" s="2">
        <f>IFERROR(__xludf.DUMMYFUNCTION("""COMPUTED_VALUE"""),2.0)</f>
        <v>2</v>
      </c>
      <c r="H4183" s="2" t="str">
        <f>IFERROR(__xludf.DUMMYFUNCTION("""COMPUTED_VALUE"""),"Jaun.")</f>
        <v>Jaun.</v>
      </c>
      <c r="I4183" s="2" t="str">
        <f>IFERROR(__xludf.DUMMYFUNCTION("""COMPUTED_VALUE"""),"Masonry")</f>
        <v>Masonry</v>
      </c>
      <c r="J4183" s="2" t="str">
        <f>IFERROR(__xludf.DUMMYFUNCTION("""COMPUTED_VALUE"""),"All amenities")</f>
        <v>All amenities</v>
      </c>
      <c r="K4183" s="2">
        <f>IFERROR(__xludf.DUMMYFUNCTION("""COMPUTED_VALUE"""),2900.0)</f>
        <v>2900</v>
      </c>
      <c r="L4183" s="2">
        <f>IFERROR(__xludf.DUMMYFUNCTION("""COMPUTED_VALUE"""),56.956763)</f>
        <v>56.956763</v>
      </c>
      <c r="M4183" s="2">
        <f>IFERROR(__xludf.DUMMYFUNCTION("""COMPUTED_VALUE"""),24.0954531)</f>
        <v>24.0954531</v>
      </c>
    </row>
    <row r="4184">
      <c r="A4184" s="2" t="str">
        <f>IFERROR(__xludf.DUMMYFUNCTION("""COMPUTED_VALUE"""),"For sale")</f>
        <v>For sale</v>
      </c>
      <c r="B4184" s="2" t="str">
        <f>IFERROR(__xludf.DUMMYFUNCTION("""COMPUTED_VALUE"""),"Pļavnieki")</f>
        <v>Pļavnieki</v>
      </c>
      <c r="C4184" s="2" t="str">
        <f>IFERROR(__xludf.DUMMYFUNCTION("""COMPUTED_VALUE"""),"Dravnieku 4")</f>
        <v>Dravnieku 4</v>
      </c>
      <c r="D4184" s="2">
        <f>IFERROR(__xludf.DUMMYFUNCTION("""COMPUTED_VALUE"""),1.0)</f>
        <v>1</v>
      </c>
      <c r="E4184" s="2">
        <f>IFERROR(__xludf.DUMMYFUNCTION("""COMPUTED_VALUE"""),49.0)</f>
        <v>49</v>
      </c>
      <c r="F4184" s="2">
        <f>IFERROR(__xludf.DUMMYFUNCTION("""COMPUTED_VALUE"""),9.0)</f>
        <v>9</v>
      </c>
      <c r="G4184" s="2">
        <f>IFERROR(__xludf.DUMMYFUNCTION("""COMPUTED_VALUE"""),12.0)</f>
        <v>12</v>
      </c>
      <c r="H4184" s="2">
        <f>IFERROR(__xludf.DUMMYFUNCTION("""COMPUTED_VALUE"""),104.0)</f>
        <v>104</v>
      </c>
      <c r="I4184" s="2" t="str">
        <f>IFERROR(__xludf.DUMMYFUNCTION("""COMPUTED_VALUE"""),"Panel")</f>
        <v>Panel</v>
      </c>
      <c r="J4184" s="2" t="str">
        <f>IFERROR(__xludf.DUMMYFUNCTION("""COMPUTED_VALUE"""),"All amenities")</f>
        <v>All amenities</v>
      </c>
      <c r="K4184" s="2">
        <f>IFERROR(__xludf.DUMMYFUNCTION("""COMPUTED_VALUE"""),55000.0)</f>
        <v>55000</v>
      </c>
      <c r="L4184" s="2">
        <f>IFERROR(__xludf.DUMMYFUNCTION("""COMPUTED_VALUE"""),56.9433742)</f>
        <v>56.9433742</v>
      </c>
      <c r="M4184" s="2">
        <f>IFERROR(__xludf.DUMMYFUNCTION("""COMPUTED_VALUE"""),24.2090462966114)</f>
        <v>24.2090463</v>
      </c>
    </row>
    <row r="4185">
      <c r="A4185" s="2" t="str">
        <f>IFERROR(__xludf.DUMMYFUNCTION("""COMPUTED_VALUE"""),"For rent")</f>
        <v>For rent</v>
      </c>
      <c r="B4185" s="2" t="str">
        <f>IFERROR(__xludf.DUMMYFUNCTION("""COMPUTED_VALUE"""),"Purvciems")</f>
        <v>Purvciems</v>
      </c>
      <c r="C4185" s="2" t="str">
        <f>IFERROR(__xludf.DUMMYFUNCTION("""COMPUTED_VALUE"""),"Nīcgales 31")</f>
        <v>Nīcgales 31</v>
      </c>
      <c r="D4185" s="2">
        <f>IFERROR(__xludf.DUMMYFUNCTION("""COMPUTED_VALUE"""),3.0)</f>
        <v>3</v>
      </c>
      <c r="E4185" s="2">
        <f>IFERROR(__xludf.DUMMYFUNCTION("""COMPUTED_VALUE"""),76.0)</f>
        <v>76</v>
      </c>
      <c r="F4185" s="2">
        <f>IFERROR(__xludf.DUMMYFUNCTION("""COMPUTED_VALUE"""),8.0)</f>
        <v>8</v>
      </c>
      <c r="G4185" s="2">
        <f>IFERROR(__xludf.DUMMYFUNCTION("""COMPUTED_VALUE"""),8.0)</f>
        <v>8</v>
      </c>
      <c r="H4185" s="2">
        <f>IFERROR(__xludf.DUMMYFUNCTION("""COMPUTED_VALUE"""),119.0)</f>
        <v>119</v>
      </c>
      <c r="I4185" s="2" t="str">
        <f>IFERROR(__xludf.DUMMYFUNCTION("""COMPUTED_VALUE"""),"Panel")</f>
        <v>Panel</v>
      </c>
      <c r="J4185" s="2" t="str">
        <f>IFERROR(__xludf.DUMMYFUNCTION("""COMPUTED_VALUE"""),"All amenities")</f>
        <v>All amenities</v>
      </c>
      <c r="K4185" s="2">
        <f>IFERROR(__xludf.DUMMYFUNCTION("""COMPUTED_VALUE"""),400.0)</f>
        <v>400</v>
      </c>
      <c r="L4185" s="2">
        <f>IFERROR(__xludf.DUMMYFUNCTION("""COMPUTED_VALUE"""),56.9525554)</f>
        <v>56.9525554</v>
      </c>
      <c r="M4185" s="2">
        <f>IFERROR(__xludf.DUMMYFUNCTION("""COMPUTED_VALUE"""),24.1754695261277)</f>
        <v>24.17546953</v>
      </c>
    </row>
    <row r="4186">
      <c r="A4186" s="2" t="str">
        <f>IFERROR(__xludf.DUMMYFUNCTION("""COMPUTED_VALUE"""),"For rent")</f>
        <v>For rent</v>
      </c>
      <c r="B4186" s="2" t="str">
        <f>IFERROR(__xludf.DUMMYFUNCTION("""COMPUTED_VALUE"""),"centrs")</f>
        <v>centrs</v>
      </c>
      <c r="C4186" s="2" t="str">
        <f>IFERROR(__xludf.DUMMYFUNCTION("""COMPUTED_VALUE"""),"Lenču 2")</f>
        <v>Lenču 2</v>
      </c>
      <c r="D4186" s="2">
        <f>IFERROR(__xludf.DUMMYFUNCTION("""COMPUTED_VALUE"""),2.0)</f>
        <v>2</v>
      </c>
      <c r="E4186" s="2">
        <f>IFERROR(__xludf.DUMMYFUNCTION("""COMPUTED_VALUE"""),50.0)</f>
        <v>50</v>
      </c>
      <c r="F4186" s="2">
        <f>IFERROR(__xludf.DUMMYFUNCTION("""COMPUTED_VALUE"""),1.0)</f>
        <v>1</v>
      </c>
      <c r="G4186" s="2">
        <f>IFERROR(__xludf.DUMMYFUNCTION("""COMPUTED_VALUE"""),5.0)</f>
        <v>5</v>
      </c>
      <c r="H4186" s="2" t="str">
        <f>IFERROR(__xludf.DUMMYFUNCTION("""COMPUTED_VALUE"""),"P. kara")</f>
        <v>P. kara</v>
      </c>
      <c r="I4186" s="2" t="str">
        <f>IFERROR(__xludf.DUMMYFUNCTION("""COMPUTED_VALUE"""),"Masonry")</f>
        <v>Masonry</v>
      </c>
      <c r="J4186" s="2" t="str">
        <f>IFERROR(__xludf.DUMMYFUNCTION("""COMPUTED_VALUE"""),"All amenities")</f>
        <v>All amenities</v>
      </c>
      <c r="K4186" s="2">
        <f>IFERROR(__xludf.DUMMYFUNCTION("""COMPUTED_VALUE"""),500.0)</f>
        <v>500</v>
      </c>
      <c r="L4186" s="2">
        <f>IFERROR(__xludf.DUMMYFUNCTION("""COMPUTED_VALUE"""),56.9616145)</f>
        <v>56.9616145</v>
      </c>
      <c r="M4186" s="2">
        <f>IFERROR(__xludf.DUMMYFUNCTION("""COMPUTED_VALUE"""),24.1100341)</f>
        <v>24.1100341</v>
      </c>
    </row>
    <row r="4187">
      <c r="A4187" s="2" t="str">
        <f>IFERROR(__xludf.DUMMYFUNCTION("""COMPUTED_VALUE"""),"For sale")</f>
        <v>For sale</v>
      </c>
      <c r="B4187" s="2" t="str">
        <f>IFERROR(__xludf.DUMMYFUNCTION("""COMPUTED_VALUE"""),"Mežciems")</f>
        <v>Mežciems</v>
      </c>
      <c r="C4187" s="2" t="str">
        <f>IFERROR(__xludf.DUMMYFUNCTION("""COMPUTED_VALUE"""),"Gaiļezera 4")</f>
        <v>Gaiļezera 4</v>
      </c>
      <c r="D4187" s="2">
        <f>IFERROR(__xludf.DUMMYFUNCTION("""COMPUTED_VALUE"""),5.0)</f>
        <v>5</v>
      </c>
      <c r="E4187" s="2">
        <f>IFERROR(__xludf.DUMMYFUNCTION("""COMPUTED_VALUE"""),120.0)</f>
        <v>120</v>
      </c>
      <c r="F4187" s="2">
        <f>IFERROR(__xludf.DUMMYFUNCTION("""COMPUTED_VALUE"""),9.0)</f>
        <v>9</v>
      </c>
      <c r="G4187" s="2">
        <f>IFERROR(__xludf.DUMMYFUNCTION("""COMPUTED_VALUE"""),10.0)</f>
        <v>10</v>
      </c>
      <c r="H4187" s="2">
        <f>IFERROR(__xludf.DUMMYFUNCTION("""COMPUTED_VALUE"""),602.0)</f>
        <v>602</v>
      </c>
      <c r="I4187" s="2" t="str">
        <f>IFERROR(__xludf.DUMMYFUNCTION("""COMPUTED_VALUE"""),"Panel")</f>
        <v>Panel</v>
      </c>
      <c r="J4187" s="2" t="str">
        <f>IFERROR(__xludf.DUMMYFUNCTION("""COMPUTED_VALUE"""),"All amenities")</f>
        <v>All amenities</v>
      </c>
      <c r="K4187" s="2">
        <f>IFERROR(__xludf.DUMMYFUNCTION("""COMPUTED_VALUE"""),95000.0)</f>
        <v>95000</v>
      </c>
      <c r="L4187" s="2">
        <f>IFERROR(__xludf.DUMMYFUNCTION("""COMPUTED_VALUE"""),56.967948)</f>
        <v>56.967948</v>
      </c>
      <c r="M4187" s="2">
        <f>IFERROR(__xludf.DUMMYFUNCTION("""COMPUTED_VALUE"""),24.2351586311777)</f>
        <v>24.23515863</v>
      </c>
    </row>
    <row r="4188">
      <c r="A4188" s="2" t="str">
        <f>IFERROR(__xludf.DUMMYFUNCTION("""COMPUTED_VALUE"""),"For sale")</f>
        <v>For sale</v>
      </c>
      <c r="B4188" s="2" t="str">
        <f>IFERROR(__xludf.DUMMYFUNCTION("""COMPUTED_VALUE"""),"Sarkandaugava")</f>
        <v>Sarkandaugava</v>
      </c>
      <c r="C4188" s="2" t="str">
        <f>IFERROR(__xludf.DUMMYFUNCTION("""COMPUTED_VALUE"""),"Viestura pr. 47")</f>
        <v>Viestura pr. 47</v>
      </c>
      <c r="D4188" s="2">
        <f>IFERROR(__xludf.DUMMYFUNCTION("""COMPUTED_VALUE"""),1.0)</f>
        <v>1</v>
      </c>
      <c r="E4188" s="2">
        <f>IFERROR(__xludf.DUMMYFUNCTION("""COMPUTED_VALUE"""),27.0)</f>
        <v>27</v>
      </c>
      <c r="F4188" s="2">
        <f>IFERROR(__xludf.DUMMYFUNCTION("""COMPUTED_VALUE"""),7.0)</f>
        <v>7</v>
      </c>
      <c r="G4188" s="2">
        <f>IFERROR(__xludf.DUMMYFUNCTION("""COMPUTED_VALUE"""),9.0)</f>
        <v>9</v>
      </c>
      <c r="H4188" s="2" t="str">
        <f>IFERROR(__xludf.DUMMYFUNCTION("""COMPUTED_VALUE"""),"Specpr.")</f>
        <v>Specpr.</v>
      </c>
      <c r="I4188" s="2" t="str">
        <f>IFERROR(__xludf.DUMMYFUNCTION("""COMPUTED_VALUE"""),"Brick")</f>
        <v>Brick</v>
      </c>
      <c r="J4188" s="2" t="str">
        <f>IFERROR(__xludf.DUMMYFUNCTION("""COMPUTED_VALUE"""),"All amenities")</f>
        <v>All amenities</v>
      </c>
      <c r="K4188" s="2">
        <f>IFERROR(__xludf.DUMMYFUNCTION("""COMPUTED_VALUE"""),27500.0)</f>
        <v>27500</v>
      </c>
      <c r="L4188" s="2" t="str">
        <f>IFERROR(__xludf.DUMMYFUNCTION("""COMPUTED_VALUE"""),"NaN")</f>
        <v>NaN</v>
      </c>
      <c r="M4188" s="2" t="str">
        <f>IFERROR(__xludf.DUMMYFUNCTION("""COMPUTED_VALUE"""),"NaN")</f>
        <v>NaN</v>
      </c>
    </row>
    <row r="4189">
      <c r="A4189" s="2" t="str">
        <f>IFERROR(__xludf.DUMMYFUNCTION("""COMPUTED_VALUE"""),"For sale")</f>
        <v>For sale</v>
      </c>
      <c r="B4189" s="2" t="str">
        <f>IFERROR(__xludf.DUMMYFUNCTION("""COMPUTED_VALUE"""),"Imanta")</f>
        <v>Imanta</v>
      </c>
      <c r="C4189" s="2" t="str">
        <f>IFERROR(__xludf.DUMMYFUNCTION("""COMPUTED_VALUE"""),"Zentenes 49")</f>
        <v>Zentenes 49</v>
      </c>
      <c r="D4189" s="2">
        <f>IFERROR(__xludf.DUMMYFUNCTION("""COMPUTED_VALUE"""),2.0)</f>
        <v>2</v>
      </c>
      <c r="E4189" s="2">
        <f>IFERROR(__xludf.DUMMYFUNCTION("""COMPUTED_VALUE"""),49.0)</f>
        <v>49</v>
      </c>
      <c r="F4189" s="2">
        <f>IFERROR(__xludf.DUMMYFUNCTION("""COMPUTED_VALUE"""),3.0)</f>
        <v>3</v>
      </c>
      <c r="G4189" s="2">
        <f>IFERROR(__xludf.DUMMYFUNCTION("""COMPUTED_VALUE"""),5.0)</f>
        <v>5</v>
      </c>
      <c r="H4189" s="2" t="str">
        <f>IFERROR(__xludf.DUMMYFUNCTION("""COMPUTED_VALUE"""),"LT proj.")</f>
        <v>LT proj.</v>
      </c>
      <c r="I4189" s="2" t="str">
        <f>IFERROR(__xludf.DUMMYFUNCTION("""COMPUTED_VALUE"""),"Panel")</f>
        <v>Panel</v>
      </c>
      <c r="J4189" s="2" t="str">
        <f>IFERROR(__xludf.DUMMYFUNCTION("""COMPUTED_VALUE"""),"All amenities")</f>
        <v>All amenities</v>
      </c>
      <c r="K4189" s="2">
        <f>IFERROR(__xludf.DUMMYFUNCTION("""COMPUTED_VALUE"""),54650.0)</f>
        <v>54650</v>
      </c>
      <c r="L4189" s="2">
        <f>IFERROR(__xludf.DUMMYFUNCTION("""COMPUTED_VALUE"""),56.96041605)</f>
        <v>56.96041605</v>
      </c>
      <c r="M4189" s="2">
        <f>IFERROR(__xludf.DUMMYFUNCTION("""COMPUTED_VALUE"""),23.9995863999999)</f>
        <v>23.9995864</v>
      </c>
    </row>
    <row r="4190">
      <c r="A4190" s="2" t="str">
        <f>IFERROR(__xludf.DUMMYFUNCTION("""COMPUTED_VALUE"""),"For rent")</f>
        <v>For rent</v>
      </c>
      <c r="B4190" s="2" t="str">
        <f>IFERROR(__xludf.DUMMYFUNCTION("""COMPUTED_VALUE"""),"Sarkandaugava")</f>
        <v>Sarkandaugava</v>
      </c>
      <c r="C4190" s="2" t="str">
        <f>IFERROR(__xludf.DUMMYFUNCTION("""COMPUTED_VALUE"""),"Tvaika 16")</f>
        <v>Tvaika 16</v>
      </c>
      <c r="D4190" s="2">
        <f>IFERROR(__xludf.DUMMYFUNCTION("""COMPUTED_VALUE"""),1.0)</f>
        <v>1</v>
      </c>
      <c r="E4190" s="2">
        <f>IFERROR(__xludf.DUMMYFUNCTION("""COMPUTED_VALUE"""),30.0)</f>
        <v>30</v>
      </c>
      <c r="F4190" s="2">
        <f>IFERROR(__xludf.DUMMYFUNCTION("""COMPUTED_VALUE"""),5.0)</f>
        <v>5</v>
      </c>
      <c r="G4190" s="2">
        <f>IFERROR(__xludf.DUMMYFUNCTION("""COMPUTED_VALUE"""),5.0)</f>
        <v>5</v>
      </c>
      <c r="H4190" s="2" t="str">
        <f>IFERROR(__xludf.DUMMYFUNCTION("""COMPUTED_VALUE"""),"Hrušč.")</f>
        <v>Hrušč.</v>
      </c>
      <c r="I4190" s="2" t="str">
        <f>IFERROR(__xludf.DUMMYFUNCTION("""COMPUTED_VALUE"""),"Brick")</f>
        <v>Brick</v>
      </c>
      <c r="J4190" s="2" t="str">
        <f>IFERROR(__xludf.DUMMYFUNCTION("""COMPUTED_VALUE"""),"All amenities")</f>
        <v>All amenities</v>
      </c>
      <c r="K4190" s="2">
        <f>IFERROR(__xludf.DUMMYFUNCTION("""COMPUTED_VALUE"""),260.0)</f>
        <v>260</v>
      </c>
      <c r="L4190" s="2">
        <f>IFERROR(__xludf.DUMMYFUNCTION("""COMPUTED_VALUE"""),57.000045)</f>
        <v>57.000045</v>
      </c>
      <c r="M4190" s="2">
        <f>IFERROR(__xludf.DUMMYFUNCTION("""COMPUTED_VALUE"""),24.1184874917004)</f>
        <v>24.11848749</v>
      </c>
    </row>
    <row r="4191">
      <c r="A4191" s="2" t="str">
        <f>IFERROR(__xludf.DUMMYFUNCTION("""COMPUTED_VALUE"""),"For rent")</f>
        <v>For rent</v>
      </c>
      <c r="B4191" s="2" t="str">
        <f>IFERROR(__xludf.DUMMYFUNCTION("""COMPUTED_VALUE"""),"centrs")</f>
        <v>centrs</v>
      </c>
      <c r="C4191" s="2" t="str">
        <f>IFERROR(__xludf.DUMMYFUNCTION("""COMPUTED_VALUE"""),"Krasta 25")</f>
        <v>Krasta 25</v>
      </c>
      <c r="D4191" s="2">
        <f>IFERROR(__xludf.DUMMYFUNCTION("""COMPUTED_VALUE"""),2.0)</f>
        <v>2</v>
      </c>
      <c r="E4191" s="2">
        <f>IFERROR(__xludf.DUMMYFUNCTION("""COMPUTED_VALUE"""),50.0)</f>
        <v>50</v>
      </c>
      <c r="F4191" s="2">
        <f>IFERROR(__xludf.DUMMYFUNCTION("""COMPUTED_VALUE"""),3.0)</f>
        <v>3</v>
      </c>
      <c r="G4191" s="2">
        <f>IFERROR(__xludf.DUMMYFUNCTION("""COMPUTED_VALUE"""),4.0)</f>
        <v>4</v>
      </c>
      <c r="H4191" s="2" t="str">
        <f>IFERROR(__xludf.DUMMYFUNCTION("""COMPUTED_VALUE"""),"P. kara")</f>
        <v>P. kara</v>
      </c>
      <c r="I4191" s="2" t="str">
        <f>IFERROR(__xludf.DUMMYFUNCTION("""COMPUTED_VALUE"""),"Masonry")</f>
        <v>Masonry</v>
      </c>
      <c r="J4191" s="2" t="str">
        <f>IFERROR(__xludf.DUMMYFUNCTION("""COMPUTED_VALUE"""),"All amenities")</f>
        <v>All amenities</v>
      </c>
      <c r="K4191" s="2">
        <f>IFERROR(__xludf.DUMMYFUNCTION("""COMPUTED_VALUE"""),260.0)</f>
        <v>260</v>
      </c>
      <c r="L4191" s="2">
        <f>IFERROR(__xludf.DUMMYFUNCTION("""COMPUTED_VALUE"""),56.93950425)</f>
        <v>56.93950425</v>
      </c>
      <c r="M4191" s="2">
        <f>IFERROR(__xludf.DUMMYFUNCTION("""COMPUTED_VALUE"""),24.1222563433257)</f>
        <v>24.12225634</v>
      </c>
    </row>
    <row r="4192">
      <c r="A4192" s="2" t="str">
        <f>IFERROR(__xludf.DUMMYFUNCTION("""COMPUTED_VALUE"""),"For sale")</f>
        <v>For sale</v>
      </c>
      <c r="B4192" s="2" t="str">
        <f>IFERROR(__xludf.DUMMYFUNCTION("""COMPUTED_VALUE"""),"Zolitūde")</f>
        <v>Zolitūde</v>
      </c>
      <c r="C4192" s="2" t="str">
        <f>IFERROR(__xludf.DUMMYFUNCTION("""COMPUTED_VALUE"""),"Gramzdas 19/1")</f>
        <v>Gramzdas 19/1</v>
      </c>
      <c r="D4192" s="2">
        <f>IFERROR(__xludf.DUMMYFUNCTION("""COMPUTED_VALUE"""),1.0)</f>
        <v>1</v>
      </c>
      <c r="E4192" s="2">
        <f>IFERROR(__xludf.DUMMYFUNCTION("""COMPUTED_VALUE"""),47.0)</f>
        <v>47</v>
      </c>
      <c r="F4192" s="2">
        <f>IFERROR(__xludf.DUMMYFUNCTION("""COMPUTED_VALUE"""),5.0)</f>
        <v>5</v>
      </c>
      <c r="G4192" s="2">
        <f>IFERROR(__xludf.DUMMYFUNCTION("""COMPUTED_VALUE"""),9.0)</f>
        <v>9</v>
      </c>
      <c r="H4192" s="2">
        <f>IFERROR(__xludf.DUMMYFUNCTION("""COMPUTED_VALUE"""),119.0)</f>
        <v>119</v>
      </c>
      <c r="I4192" s="2" t="str">
        <f>IFERROR(__xludf.DUMMYFUNCTION("""COMPUTED_VALUE"""),"Panel")</f>
        <v>Panel</v>
      </c>
      <c r="J4192" s="2" t="str">
        <f>IFERROR(__xludf.DUMMYFUNCTION("""COMPUTED_VALUE"""),"All amenities")</f>
        <v>All amenities</v>
      </c>
      <c r="K4192" s="2">
        <f>IFERROR(__xludf.DUMMYFUNCTION("""COMPUTED_VALUE"""),50000.0)</f>
        <v>50000</v>
      </c>
      <c r="L4192" s="2">
        <f>IFERROR(__xludf.DUMMYFUNCTION("""COMPUTED_VALUE"""),56.9445487)</f>
        <v>56.9445487</v>
      </c>
      <c r="M4192" s="2">
        <f>IFERROR(__xludf.DUMMYFUNCTION("""COMPUTED_VALUE"""),24.0141224)</f>
        <v>24.0141224</v>
      </c>
    </row>
    <row r="4193">
      <c r="A4193" s="2" t="str">
        <f>IFERROR(__xludf.DUMMYFUNCTION("""COMPUTED_VALUE"""),"For sale")</f>
        <v>For sale</v>
      </c>
      <c r="B4193" s="2" t="str">
        <f>IFERROR(__xludf.DUMMYFUNCTION("""COMPUTED_VALUE"""),"centrs")</f>
        <v>centrs</v>
      </c>
      <c r="C4193" s="2" t="str">
        <f>IFERROR(__xludf.DUMMYFUNCTION("""COMPUTED_VALUE"""),"Indrānu 14")</f>
        <v>Indrānu 14</v>
      </c>
      <c r="D4193" s="2">
        <f>IFERROR(__xludf.DUMMYFUNCTION("""COMPUTED_VALUE"""),5.0)</f>
        <v>5</v>
      </c>
      <c r="E4193" s="2">
        <f>IFERROR(__xludf.DUMMYFUNCTION("""COMPUTED_VALUE"""),144.0)</f>
        <v>144</v>
      </c>
      <c r="F4193" s="2">
        <f>IFERROR(__xludf.DUMMYFUNCTION("""COMPUTED_VALUE"""),4.0)</f>
        <v>4</v>
      </c>
      <c r="G4193" s="2">
        <f>IFERROR(__xludf.DUMMYFUNCTION("""COMPUTED_VALUE"""),5.0)</f>
        <v>5</v>
      </c>
      <c r="H4193" s="2" t="str">
        <f>IFERROR(__xludf.DUMMYFUNCTION("""COMPUTED_VALUE"""),"Renov.")</f>
        <v>Renov.</v>
      </c>
      <c r="I4193" s="2" t="str">
        <f>IFERROR(__xludf.DUMMYFUNCTION("""COMPUTED_VALUE"""),"Masonry")</f>
        <v>Masonry</v>
      </c>
      <c r="J4193" s="2" t="str">
        <f>IFERROR(__xludf.DUMMYFUNCTION("""COMPUTED_VALUE"""),"All amenities")</f>
        <v>All amenities</v>
      </c>
      <c r="K4193" s="2">
        <f>IFERROR(__xludf.DUMMYFUNCTION("""COMPUTED_VALUE"""),240000.0)</f>
        <v>240000</v>
      </c>
      <c r="L4193" s="2">
        <f>IFERROR(__xludf.DUMMYFUNCTION("""COMPUTED_VALUE"""),56.9688914)</f>
        <v>56.9688914</v>
      </c>
      <c r="M4193" s="2">
        <f>IFERROR(__xludf.DUMMYFUNCTION("""COMPUTED_VALUE"""),24.1457647888519)</f>
        <v>24.14576479</v>
      </c>
    </row>
    <row r="4194">
      <c r="A4194" s="2" t="str">
        <f>IFERROR(__xludf.DUMMYFUNCTION("""COMPUTED_VALUE"""),"For rent")</f>
        <v>For rent</v>
      </c>
      <c r="B4194" s="2" t="str">
        <f>IFERROR(__xludf.DUMMYFUNCTION("""COMPUTED_VALUE"""),"Vecmīlgrāvis")</f>
        <v>Vecmīlgrāvis</v>
      </c>
      <c r="C4194" s="2" t="str">
        <f>IFERROR(__xludf.DUMMYFUNCTION("""COMPUTED_VALUE"""),"Emmas 3a")</f>
        <v>Emmas 3a</v>
      </c>
      <c r="D4194" s="2">
        <f>IFERROR(__xludf.DUMMYFUNCTION("""COMPUTED_VALUE"""),1.0)</f>
        <v>1</v>
      </c>
      <c r="E4194" s="2">
        <f>IFERROR(__xludf.DUMMYFUNCTION("""COMPUTED_VALUE"""),29.0)</f>
        <v>29</v>
      </c>
      <c r="F4194" s="2">
        <f>IFERROR(__xludf.DUMMYFUNCTION("""COMPUTED_VALUE"""),5.0)</f>
        <v>5</v>
      </c>
      <c r="G4194" s="2">
        <f>IFERROR(__xludf.DUMMYFUNCTION("""COMPUTED_VALUE"""),5.0)</f>
        <v>5</v>
      </c>
      <c r="H4194" s="2" t="str">
        <f>IFERROR(__xludf.DUMMYFUNCTION("""COMPUTED_VALUE"""),"Hrušč.")</f>
        <v>Hrušč.</v>
      </c>
      <c r="I4194" s="2" t="str">
        <f>IFERROR(__xludf.DUMMYFUNCTION("""COMPUTED_VALUE"""),"Brick")</f>
        <v>Brick</v>
      </c>
      <c r="J4194" s="2" t="str">
        <f>IFERROR(__xludf.DUMMYFUNCTION("""COMPUTED_VALUE"""),"All amenities")</f>
        <v>All amenities</v>
      </c>
      <c r="K4194" s="2">
        <f>IFERROR(__xludf.DUMMYFUNCTION("""COMPUTED_VALUE"""),200.0)</f>
        <v>200</v>
      </c>
      <c r="L4194" s="2">
        <f>IFERROR(__xludf.DUMMYFUNCTION("""COMPUTED_VALUE"""),57.02896645)</f>
        <v>57.02896645</v>
      </c>
      <c r="M4194" s="2">
        <f>IFERROR(__xludf.DUMMYFUNCTION("""COMPUTED_VALUE"""),24.10663595)</f>
        <v>24.10663595</v>
      </c>
    </row>
    <row r="4195">
      <c r="A4195" s="2" t="str">
        <f>IFERROR(__xludf.DUMMYFUNCTION("""COMPUTED_VALUE"""),"For rent")</f>
        <v>For rent</v>
      </c>
      <c r="B4195" s="2" t="str">
        <f>IFERROR(__xludf.DUMMYFUNCTION("""COMPUTED_VALUE"""),"Ķengarags")</f>
        <v>Ķengarags</v>
      </c>
      <c r="C4195" s="2" t="str">
        <f>IFERROR(__xludf.DUMMYFUNCTION("""COMPUTED_VALUE"""),"Lokomotīves 48")</f>
        <v>Lokomotīves 48</v>
      </c>
      <c r="D4195" s="2">
        <f>IFERROR(__xludf.DUMMYFUNCTION("""COMPUTED_VALUE"""),1.0)</f>
        <v>1</v>
      </c>
      <c r="E4195" s="2">
        <f>IFERROR(__xludf.DUMMYFUNCTION("""COMPUTED_VALUE"""),33.0)</f>
        <v>33</v>
      </c>
      <c r="F4195" s="2">
        <f>IFERROR(__xludf.DUMMYFUNCTION("""COMPUTED_VALUE"""),4.0)</f>
        <v>4</v>
      </c>
      <c r="G4195" s="2">
        <f>IFERROR(__xludf.DUMMYFUNCTION("""COMPUTED_VALUE"""),5.0)</f>
        <v>5</v>
      </c>
      <c r="H4195" s="2" t="str">
        <f>IFERROR(__xludf.DUMMYFUNCTION("""COMPUTED_VALUE"""),"LT proj.")</f>
        <v>LT proj.</v>
      </c>
      <c r="I4195" s="2" t="str">
        <f>IFERROR(__xludf.DUMMYFUNCTION("""COMPUTED_VALUE"""),"Panel")</f>
        <v>Panel</v>
      </c>
      <c r="J4195" s="2" t="str">
        <f>IFERROR(__xludf.DUMMYFUNCTION("""COMPUTED_VALUE"""),"All amenities")</f>
        <v>All amenities</v>
      </c>
      <c r="K4195" s="2">
        <f>IFERROR(__xludf.DUMMYFUNCTION("""COMPUTED_VALUE"""),250.0)</f>
        <v>250</v>
      </c>
      <c r="L4195" s="2">
        <f>IFERROR(__xludf.DUMMYFUNCTION("""COMPUTED_VALUE"""),56.90837855)</f>
        <v>56.90837855</v>
      </c>
      <c r="M4195" s="2">
        <f>IFERROR(__xludf.DUMMYFUNCTION("""COMPUTED_VALUE"""),24.20066605)</f>
        <v>24.20066605</v>
      </c>
    </row>
    <row r="4196">
      <c r="A4196" s="2" t="str">
        <f>IFERROR(__xludf.DUMMYFUNCTION("""COMPUTED_VALUE"""),"For sale")</f>
        <v>For sale</v>
      </c>
      <c r="B4196" s="2" t="str">
        <f>IFERROR(__xludf.DUMMYFUNCTION("""COMPUTED_VALUE"""),"Zolitūde")</f>
        <v>Zolitūde</v>
      </c>
      <c r="C4196" s="2" t="str">
        <f>IFERROR(__xludf.DUMMYFUNCTION("""COMPUTED_VALUE"""),"Endzelīna 32")</f>
        <v>Endzelīna 32</v>
      </c>
      <c r="D4196" s="2">
        <f>IFERROR(__xludf.DUMMYFUNCTION("""COMPUTED_VALUE"""),3.0)</f>
        <v>3</v>
      </c>
      <c r="E4196" s="2">
        <f>IFERROR(__xludf.DUMMYFUNCTION("""COMPUTED_VALUE"""),84.0)</f>
        <v>84</v>
      </c>
      <c r="F4196" s="2">
        <f>IFERROR(__xludf.DUMMYFUNCTION("""COMPUTED_VALUE"""),1.0)</f>
        <v>1</v>
      </c>
      <c r="G4196" s="2">
        <f>IFERROR(__xludf.DUMMYFUNCTION("""COMPUTED_VALUE"""),5.0)</f>
        <v>5</v>
      </c>
      <c r="H4196" s="2" t="str">
        <f>IFERROR(__xludf.DUMMYFUNCTION("""COMPUTED_VALUE"""),"Jaun.")</f>
        <v>Jaun.</v>
      </c>
      <c r="I4196" s="2" t="str">
        <f>IFERROR(__xludf.DUMMYFUNCTION("""COMPUTED_VALUE"""),"Panel")</f>
        <v>Panel</v>
      </c>
      <c r="J4196" s="2" t="str">
        <f>IFERROR(__xludf.DUMMYFUNCTION("""COMPUTED_VALUE"""),"All amenities")</f>
        <v>All amenities</v>
      </c>
      <c r="K4196" s="2">
        <f>IFERROR(__xludf.DUMMYFUNCTION("""COMPUTED_VALUE"""),137500.0)</f>
        <v>137500</v>
      </c>
      <c r="L4196" s="2">
        <f>IFERROR(__xludf.DUMMYFUNCTION("""COMPUTED_VALUE"""),56.94393325)</f>
        <v>56.94393325</v>
      </c>
      <c r="M4196" s="2">
        <f>IFERROR(__xludf.DUMMYFUNCTION("""COMPUTED_VALUE"""),24.027633057183)</f>
        <v>24.02763306</v>
      </c>
    </row>
    <row r="4197">
      <c r="A4197" s="2" t="str">
        <f>IFERROR(__xludf.DUMMYFUNCTION("""COMPUTED_VALUE"""),"For sale")</f>
        <v>For sale</v>
      </c>
      <c r="B4197" s="2" t="str">
        <f>IFERROR(__xludf.DUMMYFUNCTION("""COMPUTED_VALUE"""),"centrs")</f>
        <v>centrs</v>
      </c>
      <c r="C4197" s="2" t="str">
        <f>IFERROR(__xludf.DUMMYFUNCTION("""COMPUTED_VALUE"""),"Alunāna 9")</f>
        <v>Alunāna 9</v>
      </c>
      <c r="D4197" s="2">
        <f>IFERROR(__xludf.DUMMYFUNCTION("""COMPUTED_VALUE"""),4.0)</f>
        <v>4</v>
      </c>
      <c r="E4197" s="2">
        <f>IFERROR(__xludf.DUMMYFUNCTION("""COMPUTED_VALUE"""),145.0)</f>
        <v>145</v>
      </c>
      <c r="F4197" s="2">
        <f>IFERROR(__xludf.DUMMYFUNCTION("""COMPUTED_VALUE"""),3.0)</f>
        <v>3</v>
      </c>
      <c r="G4197" s="2">
        <f>IFERROR(__xludf.DUMMYFUNCTION("""COMPUTED_VALUE"""),5.0)</f>
        <v>5</v>
      </c>
      <c r="H4197" s="2" t="str">
        <f>IFERROR(__xludf.DUMMYFUNCTION("""COMPUTED_VALUE"""),"P. kara")</f>
        <v>P. kara</v>
      </c>
      <c r="I4197" s="2" t="str">
        <f>IFERROR(__xludf.DUMMYFUNCTION("""COMPUTED_VALUE"""),"Masonry")</f>
        <v>Masonry</v>
      </c>
      <c r="J4197" s="2" t="str">
        <f>IFERROR(__xludf.DUMMYFUNCTION("""COMPUTED_VALUE"""),"All amenities")</f>
        <v>All amenities</v>
      </c>
      <c r="K4197" s="2">
        <f>IFERROR(__xludf.DUMMYFUNCTION("""COMPUTED_VALUE"""),410000.0)</f>
        <v>410000</v>
      </c>
      <c r="L4197" s="2">
        <f>IFERROR(__xludf.DUMMYFUNCTION("""COMPUTED_VALUE"""),56.9571002999999)</f>
        <v>56.9571003</v>
      </c>
      <c r="M4197" s="2">
        <f>IFERROR(__xludf.DUMMYFUNCTION("""COMPUTED_VALUE"""),24.1114650373356)</f>
        <v>24.11146504</v>
      </c>
    </row>
    <row r="4198">
      <c r="A4198" s="2" t="str">
        <f>IFERROR(__xludf.DUMMYFUNCTION("""COMPUTED_VALUE"""),"For rent")</f>
        <v>For rent</v>
      </c>
      <c r="B4198" s="2" t="str">
        <f>IFERROR(__xludf.DUMMYFUNCTION("""COMPUTED_VALUE"""),"centrs")</f>
        <v>centrs</v>
      </c>
      <c r="C4198" s="2" t="str">
        <f>IFERROR(__xludf.DUMMYFUNCTION("""COMPUTED_VALUE"""),"Katrīnas d. 26")</f>
        <v>Katrīnas d. 26</v>
      </c>
      <c r="D4198" s="2">
        <f>IFERROR(__xludf.DUMMYFUNCTION("""COMPUTED_VALUE"""),1.0)</f>
        <v>1</v>
      </c>
      <c r="E4198" s="2">
        <f>IFERROR(__xludf.DUMMYFUNCTION("""COMPUTED_VALUE"""),21.0)</f>
        <v>21</v>
      </c>
      <c r="F4198" s="2">
        <f>IFERROR(__xludf.DUMMYFUNCTION("""COMPUTED_VALUE"""),2.0)</f>
        <v>2</v>
      </c>
      <c r="G4198" s="2">
        <f>IFERROR(__xludf.DUMMYFUNCTION("""COMPUTED_VALUE"""),3.0)</f>
        <v>3</v>
      </c>
      <c r="H4198" s="2" t="str">
        <f>IFERROR(__xludf.DUMMYFUNCTION("""COMPUTED_VALUE"""),"M. ģim.")</f>
        <v>M. ģim.</v>
      </c>
      <c r="I4198" s="2" t="str">
        <f>IFERROR(__xludf.DUMMYFUNCTION("""COMPUTED_VALUE"""),"Brick")</f>
        <v>Brick</v>
      </c>
      <c r="J4198" s="2" t="str">
        <f>IFERROR(__xludf.DUMMYFUNCTION("""COMPUTED_VALUE"""),"All amenities")</f>
        <v>All amenities</v>
      </c>
      <c r="K4198" s="2">
        <f>IFERROR(__xludf.DUMMYFUNCTION("""COMPUTED_VALUE"""),180.0)</f>
        <v>180</v>
      </c>
      <c r="L4198" s="2">
        <f>IFERROR(__xludf.DUMMYFUNCTION("""COMPUTED_VALUE"""),56.9716816)</f>
        <v>56.9716816</v>
      </c>
      <c r="M4198" s="2">
        <f>IFERROR(__xludf.DUMMYFUNCTION("""COMPUTED_VALUE"""),24.1021951)</f>
        <v>24.1021951</v>
      </c>
    </row>
    <row r="4199">
      <c r="A4199" s="2" t="str">
        <f>IFERROR(__xludf.DUMMYFUNCTION("""COMPUTED_VALUE"""),"For rent")</f>
        <v>For rent</v>
      </c>
      <c r="B4199" s="2" t="str">
        <f>IFERROR(__xludf.DUMMYFUNCTION("""COMPUTED_VALUE"""),"Ķengarags")</f>
        <v>Ķengarags</v>
      </c>
      <c r="C4199" s="2" t="str">
        <f>IFERROR(__xludf.DUMMYFUNCTION("""COMPUTED_VALUE"""),"Krustpils 73")</f>
        <v>Krustpils 73</v>
      </c>
      <c r="D4199" s="2">
        <f>IFERROR(__xludf.DUMMYFUNCTION("""COMPUTED_VALUE"""),2.0)</f>
        <v>2</v>
      </c>
      <c r="E4199" s="2">
        <f>IFERROR(__xludf.DUMMYFUNCTION("""COMPUTED_VALUE"""),50.0)</f>
        <v>50</v>
      </c>
      <c r="F4199" s="2">
        <f>IFERROR(__xludf.DUMMYFUNCTION("""COMPUTED_VALUE"""),1.0)</f>
        <v>1</v>
      </c>
      <c r="G4199" s="2">
        <f>IFERROR(__xludf.DUMMYFUNCTION("""COMPUTED_VALUE"""),3.0)</f>
        <v>3</v>
      </c>
      <c r="H4199" s="2" t="str">
        <f>IFERROR(__xludf.DUMMYFUNCTION("""COMPUTED_VALUE"""),"Staļina")</f>
        <v>Staļina</v>
      </c>
      <c r="I4199" s="2" t="str">
        <f>IFERROR(__xludf.DUMMYFUNCTION("""COMPUTED_VALUE"""),"Brick")</f>
        <v>Brick</v>
      </c>
      <c r="J4199" s="2" t="str">
        <f>IFERROR(__xludf.DUMMYFUNCTION("""COMPUTED_VALUE"""),"All amenities")</f>
        <v>All amenities</v>
      </c>
      <c r="K4199" s="2">
        <f>IFERROR(__xludf.DUMMYFUNCTION("""COMPUTED_VALUE"""),320.0)</f>
        <v>320</v>
      </c>
      <c r="L4199" s="2">
        <f>IFERROR(__xludf.DUMMYFUNCTION("""COMPUTED_VALUE"""),56.91229505)</f>
        <v>56.91229505</v>
      </c>
      <c r="M4199" s="2">
        <f>IFERROR(__xludf.DUMMYFUNCTION("""COMPUTED_VALUE"""),24.2059117623488)</f>
        <v>24.20591176</v>
      </c>
    </row>
    <row r="4200">
      <c r="A4200" s="2" t="str">
        <f>IFERROR(__xludf.DUMMYFUNCTION("""COMPUTED_VALUE"""),"For rent")</f>
        <v>For rent</v>
      </c>
      <c r="B4200" s="2" t="str">
        <f>IFERROR(__xludf.DUMMYFUNCTION("""COMPUTED_VALUE"""),"Pļavnieki")</f>
        <v>Pļavnieki</v>
      </c>
      <c r="C4200" s="2" t="str">
        <f>IFERROR(__xludf.DUMMYFUNCTION("""COMPUTED_VALUE"""),"Krustpils 73")</f>
        <v>Krustpils 73</v>
      </c>
      <c r="D4200" s="2">
        <f>IFERROR(__xludf.DUMMYFUNCTION("""COMPUTED_VALUE"""),2.0)</f>
        <v>2</v>
      </c>
      <c r="E4200" s="2">
        <f>IFERROR(__xludf.DUMMYFUNCTION("""COMPUTED_VALUE"""),50.0)</f>
        <v>50</v>
      </c>
      <c r="F4200" s="2">
        <f>IFERROR(__xludf.DUMMYFUNCTION("""COMPUTED_VALUE"""),1.0)</f>
        <v>1</v>
      </c>
      <c r="G4200" s="2">
        <f>IFERROR(__xludf.DUMMYFUNCTION("""COMPUTED_VALUE"""),3.0)</f>
        <v>3</v>
      </c>
      <c r="H4200" s="2" t="str">
        <f>IFERROR(__xludf.DUMMYFUNCTION("""COMPUTED_VALUE"""),"Staļina")</f>
        <v>Staļina</v>
      </c>
      <c r="I4200" s="2" t="str">
        <f>IFERROR(__xludf.DUMMYFUNCTION("""COMPUTED_VALUE"""),"Brick")</f>
        <v>Brick</v>
      </c>
      <c r="J4200" s="2" t="str">
        <f>IFERROR(__xludf.DUMMYFUNCTION("""COMPUTED_VALUE"""),"All amenities")</f>
        <v>All amenities</v>
      </c>
      <c r="K4200" s="2">
        <f>IFERROR(__xludf.DUMMYFUNCTION("""COMPUTED_VALUE"""),320.0)</f>
        <v>320</v>
      </c>
      <c r="L4200" s="2">
        <f>IFERROR(__xludf.DUMMYFUNCTION("""COMPUTED_VALUE"""),56.91229505)</f>
        <v>56.91229505</v>
      </c>
      <c r="M4200" s="2">
        <f>IFERROR(__xludf.DUMMYFUNCTION("""COMPUTED_VALUE"""),24.2059117623488)</f>
        <v>24.20591176</v>
      </c>
    </row>
    <row r="4201">
      <c r="A4201" s="2" t="str">
        <f>IFERROR(__xludf.DUMMYFUNCTION("""COMPUTED_VALUE"""),"For sale")</f>
        <v>For sale</v>
      </c>
      <c r="B4201" s="2" t="str">
        <f>IFERROR(__xludf.DUMMYFUNCTION("""COMPUTED_VALUE"""),"centrs")</f>
        <v>centrs</v>
      </c>
      <c r="C4201" s="2" t="str">
        <f>IFERROR(__xludf.DUMMYFUNCTION("""COMPUTED_VALUE"""),"Stabu 84")</f>
        <v>Stabu 84</v>
      </c>
      <c r="D4201" s="2">
        <f>IFERROR(__xludf.DUMMYFUNCTION("""COMPUTED_VALUE"""),1.0)</f>
        <v>1</v>
      </c>
      <c r="E4201" s="2">
        <f>IFERROR(__xludf.DUMMYFUNCTION("""COMPUTED_VALUE"""),34.0)</f>
        <v>34</v>
      </c>
      <c r="F4201" s="2">
        <f>IFERROR(__xludf.DUMMYFUNCTION("""COMPUTED_VALUE"""),3.0)</f>
        <v>3</v>
      </c>
      <c r="G4201" s="2">
        <f>IFERROR(__xludf.DUMMYFUNCTION("""COMPUTED_VALUE"""),4.0)</f>
        <v>4</v>
      </c>
      <c r="H4201" s="2" t="str">
        <f>IFERROR(__xludf.DUMMYFUNCTION("""COMPUTED_VALUE"""),"P. kara")</f>
        <v>P. kara</v>
      </c>
      <c r="I4201" s="2" t="str">
        <f>IFERROR(__xludf.DUMMYFUNCTION("""COMPUTED_VALUE"""),"Brick")</f>
        <v>Brick</v>
      </c>
      <c r="J4201" s="2" t="str">
        <f>IFERROR(__xludf.DUMMYFUNCTION("""COMPUTED_VALUE"""),"Partial amenities")</f>
        <v>Partial amenities</v>
      </c>
      <c r="K4201" s="2">
        <f>IFERROR(__xludf.DUMMYFUNCTION("""COMPUTED_VALUE"""),35000.0)</f>
        <v>35000</v>
      </c>
      <c r="L4201" s="2">
        <f>IFERROR(__xludf.DUMMYFUNCTION("""COMPUTED_VALUE"""),56.95067725)</f>
        <v>56.95067725</v>
      </c>
      <c r="M4201" s="2">
        <f>IFERROR(__xludf.DUMMYFUNCTION("""COMPUTED_VALUE"""),24.1397562482868)</f>
        <v>24.13975625</v>
      </c>
    </row>
    <row r="4202">
      <c r="A4202" s="2" t="str">
        <f>IFERROR(__xludf.DUMMYFUNCTION("""COMPUTED_VALUE"""),"For rent")</f>
        <v>For rent</v>
      </c>
      <c r="B4202" s="2" t="str">
        <f>IFERROR(__xludf.DUMMYFUNCTION("""COMPUTED_VALUE"""),"Āgenskalns")</f>
        <v>Āgenskalns</v>
      </c>
      <c r="C4202" s="2" t="str">
        <f>IFERROR(__xludf.DUMMYFUNCTION("""COMPUTED_VALUE"""),"Elvīras 13a")</f>
        <v>Elvīras 13a</v>
      </c>
      <c r="D4202" s="2">
        <f>IFERROR(__xludf.DUMMYFUNCTION("""COMPUTED_VALUE"""),1.0)</f>
        <v>1</v>
      </c>
      <c r="E4202" s="2">
        <f>IFERROR(__xludf.DUMMYFUNCTION("""COMPUTED_VALUE"""),30.0)</f>
        <v>30</v>
      </c>
      <c r="F4202" s="2">
        <f>IFERROR(__xludf.DUMMYFUNCTION("""COMPUTED_VALUE"""),4.0)</f>
        <v>4</v>
      </c>
      <c r="G4202" s="2">
        <f>IFERROR(__xludf.DUMMYFUNCTION("""COMPUTED_VALUE"""),5.0)</f>
        <v>5</v>
      </c>
      <c r="H4202" s="2" t="str">
        <f>IFERROR(__xludf.DUMMYFUNCTION("""COMPUTED_VALUE"""),"LT proj.")</f>
        <v>LT proj.</v>
      </c>
      <c r="I4202" s="2" t="str">
        <f>IFERROR(__xludf.DUMMYFUNCTION("""COMPUTED_VALUE"""),"Panel")</f>
        <v>Panel</v>
      </c>
      <c r="J4202" s="2" t="str">
        <f>IFERROR(__xludf.DUMMYFUNCTION("""COMPUTED_VALUE"""),"All amenities")</f>
        <v>All amenities</v>
      </c>
      <c r="K4202" s="2">
        <f>IFERROR(__xludf.DUMMYFUNCTION("""COMPUTED_VALUE"""),250.0)</f>
        <v>250</v>
      </c>
      <c r="L4202" s="2">
        <f>IFERROR(__xludf.DUMMYFUNCTION("""COMPUTED_VALUE"""),56.9463597)</f>
        <v>56.9463597</v>
      </c>
      <c r="M4202" s="2">
        <f>IFERROR(__xludf.DUMMYFUNCTION("""COMPUTED_VALUE"""),24.0539764958227)</f>
        <v>24.0539765</v>
      </c>
    </row>
    <row r="4203">
      <c r="A4203" s="2" t="str">
        <f>IFERROR(__xludf.DUMMYFUNCTION("""COMPUTED_VALUE"""),"For rent")</f>
        <v>For rent</v>
      </c>
      <c r="B4203" s="2" t="str">
        <f>IFERROR(__xludf.DUMMYFUNCTION("""COMPUTED_VALUE"""),"Daugavgrīva")</f>
        <v>Daugavgrīva</v>
      </c>
      <c r="C4203" s="2" t="str">
        <f>IFERROR(__xludf.DUMMYFUNCTION("""COMPUTED_VALUE"""),"Birzes 32")</f>
        <v>Birzes 32</v>
      </c>
      <c r="D4203" s="2">
        <f>IFERROR(__xludf.DUMMYFUNCTION("""COMPUTED_VALUE"""),1.0)</f>
        <v>1</v>
      </c>
      <c r="E4203" s="2">
        <f>IFERROR(__xludf.DUMMYFUNCTION("""COMPUTED_VALUE"""),32.0)</f>
        <v>32</v>
      </c>
      <c r="F4203" s="2">
        <f>IFERROR(__xludf.DUMMYFUNCTION("""COMPUTED_VALUE"""),2.0)</f>
        <v>2</v>
      </c>
      <c r="G4203" s="2">
        <f>IFERROR(__xludf.DUMMYFUNCTION("""COMPUTED_VALUE"""),5.0)</f>
        <v>5</v>
      </c>
      <c r="H4203" s="2">
        <f>IFERROR(__xludf.DUMMYFUNCTION("""COMPUTED_VALUE"""),103.0)</f>
        <v>103</v>
      </c>
      <c r="I4203" s="2" t="str">
        <f>IFERROR(__xludf.DUMMYFUNCTION("""COMPUTED_VALUE"""),"Brick-Panel")</f>
        <v>Brick-Panel</v>
      </c>
      <c r="J4203" s="2" t="str">
        <f>IFERROR(__xludf.DUMMYFUNCTION("""COMPUTED_VALUE"""),"All amenities")</f>
        <v>All amenities</v>
      </c>
      <c r="K4203" s="2">
        <f>IFERROR(__xludf.DUMMYFUNCTION("""COMPUTED_VALUE"""),180.0)</f>
        <v>180</v>
      </c>
      <c r="L4203" s="2">
        <f>IFERROR(__xludf.DUMMYFUNCTION("""COMPUTED_VALUE"""),57.03732105)</f>
        <v>57.03732105</v>
      </c>
      <c r="M4203" s="2">
        <f>IFERROR(__xludf.DUMMYFUNCTION("""COMPUTED_VALUE"""),24.0296618051752)</f>
        <v>24.02966181</v>
      </c>
    </row>
    <row r="4204">
      <c r="A4204" s="2" t="str">
        <f>IFERROR(__xludf.DUMMYFUNCTION("""COMPUTED_VALUE"""),"For sale")</f>
        <v>For sale</v>
      </c>
      <c r="B4204" s="2" t="str">
        <f>IFERROR(__xludf.DUMMYFUNCTION("""COMPUTED_VALUE"""),"Purvciems")</f>
        <v>Purvciems</v>
      </c>
      <c r="C4204" s="2" t="str">
        <f>IFERROR(__xludf.DUMMYFUNCTION("""COMPUTED_VALUE"""),"Vaidavas 2")</f>
        <v>Vaidavas 2</v>
      </c>
      <c r="D4204" s="2">
        <f>IFERROR(__xludf.DUMMYFUNCTION("""COMPUTED_VALUE"""),2.0)</f>
        <v>2</v>
      </c>
      <c r="E4204" s="2">
        <f>IFERROR(__xludf.DUMMYFUNCTION("""COMPUTED_VALUE"""),43.0)</f>
        <v>43</v>
      </c>
      <c r="F4204" s="2">
        <f>IFERROR(__xludf.DUMMYFUNCTION("""COMPUTED_VALUE"""),5.0)</f>
        <v>5</v>
      </c>
      <c r="G4204" s="2">
        <f>IFERROR(__xludf.DUMMYFUNCTION("""COMPUTED_VALUE"""),5.0)</f>
        <v>5</v>
      </c>
      <c r="H4204" s="2" t="str">
        <f>IFERROR(__xludf.DUMMYFUNCTION("""COMPUTED_VALUE"""),"Hrušč.")</f>
        <v>Hrušč.</v>
      </c>
      <c r="I4204" s="2" t="str">
        <f>IFERROR(__xludf.DUMMYFUNCTION("""COMPUTED_VALUE"""),"Brick")</f>
        <v>Brick</v>
      </c>
      <c r="J4204" s="2" t="str">
        <f>IFERROR(__xludf.DUMMYFUNCTION("""COMPUTED_VALUE"""),"Partial amenities")</f>
        <v>Partial amenities</v>
      </c>
      <c r="K4204" s="2">
        <f>IFERROR(__xludf.DUMMYFUNCTION("""COMPUTED_VALUE"""),44850.0)</f>
        <v>44850</v>
      </c>
      <c r="L4204" s="2">
        <f>IFERROR(__xludf.DUMMYFUNCTION("""COMPUTED_VALUE"""),56.9651176499999)</f>
        <v>56.96511765</v>
      </c>
      <c r="M4204" s="2">
        <f>IFERROR(__xludf.DUMMYFUNCTION("""COMPUTED_VALUE"""),24.1760481976948)</f>
        <v>24.1760482</v>
      </c>
    </row>
    <row r="4205">
      <c r="A4205" s="2" t="str">
        <f>IFERROR(__xludf.DUMMYFUNCTION("""COMPUTED_VALUE"""),"For sale")</f>
        <v>For sale</v>
      </c>
      <c r="B4205" s="2" t="str">
        <f>IFERROR(__xludf.DUMMYFUNCTION("""COMPUTED_VALUE"""),"Čiekurkalns")</f>
        <v>Čiekurkalns</v>
      </c>
      <c r="C4205" s="2" t="str">
        <f>IFERROR(__xludf.DUMMYFUNCTION("""COMPUTED_VALUE"""),"Čiekurkalna 7. šķ l. 3k2")</f>
        <v>Čiekurkalna 7. šķ l. 3k2</v>
      </c>
      <c r="D4205" s="2">
        <f>IFERROR(__xludf.DUMMYFUNCTION("""COMPUTED_VALUE"""),1.0)</f>
        <v>1</v>
      </c>
      <c r="E4205" s="2">
        <f>IFERROR(__xludf.DUMMYFUNCTION("""COMPUTED_VALUE"""),18.0)</f>
        <v>18</v>
      </c>
      <c r="F4205" s="2">
        <f>IFERROR(__xludf.DUMMYFUNCTION("""COMPUTED_VALUE"""),1.0)</f>
        <v>1</v>
      </c>
      <c r="G4205" s="2">
        <f>IFERROR(__xludf.DUMMYFUNCTION("""COMPUTED_VALUE"""),2.0)</f>
        <v>2</v>
      </c>
      <c r="H4205" s="2" t="str">
        <f>IFERROR(__xludf.DUMMYFUNCTION("""COMPUTED_VALUE"""),"Renov.")</f>
        <v>Renov.</v>
      </c>
      <c r="I4205" s="2" t="str">
        <f>IFERROR(__xludf.DUMMYFUNCTION("""COMPUTED_VALUE"""),"Brick")</f>
        <v>Brick</v>
      </c>
      <c r="J4205" s="2" t="str">
        <f>IFERROR(__xludf.DUMMYFUNCTION("""COMPUTED_VALUE"""),"All amenities")</f>
        <v>All amenities</v>
      </c>
      <c r="K4205" s="2">
        <f>IFERROR(__xludf.DUMMYFUNCTION("""COMPUTED_VALUE"""),10445.0)</f>
        <v>10445</v>
      </c>
      <c r="L4205" s="2" t="str">
        <f>IFERROR(__xludf.DUMMYFUNCTION("""COMPUTED_VALUE"""),"NaN")</f>
        <v>NaN</v>
      </c>
      <c r="M4205" s="2" t="str">
        <f>IFERROR(__xludf.DUMMYFUNCTION("""COMPUTED_VALUE"""),"NaN")</f>
        <v>NaN</v>
      </c>
    </row>
    <row r="4206">
      <c r="A4206" s="2" t="str">
        <f>IFERROR(__xludf.DUMMYFUNCTION("""COMPUTED_VALUE"""),"For sale")</f>
        <v>For sale</v>
      </c>
      <c r="B4206" s="2" t="str">
        <f>IFERROR(__xludf.DUMMYFUNCTION("""COMPUTED_VALUE"""),"centrs")</f>
        <v>centrs</v>
      </c>
      <c r="C4206" s="2" t="str">
        <f>IFERROR(__xludf.DUMMYFUNCTION("""COMPUTED_VALUE"""),"Valdemāra 37")</f>
        <v>Valdemāra 37</v>
      </c>
      <c r="D4206" s="2">
        <f>IFERROR(__xludf.DUMMYFUNCTION("""COMPUTED_VALUE"""),3.0)</f>
        <v>3</v>
      </c>
      <c r="E4206" s="2">
        <f>IFERROR(__xludf.DUMMYFUNCTION("""COMPUTED_VALUE"""),78.0)</f>
        <v>78</v>
      </c>
      <c r="F4206" s="2">
        <f>IFERROR(__xludf.DUMMYFUNCTION("""COMPUTED_VALUE"""),4.0)</f>
        <v>4</v>
      </c>
      <c r="G4206" s="2">
        <f>IFERROR(__xludf.DUMMYFUNCTION("""COMPUTED_VALUE"""),6.0)</f>
        <v>6</v>
      </c>
      <c r="H4206" s="2" t="str">
        <f>IFERROR(__xludf.DUMMYFUNCTION("""COMPUTED_VALUE"""),"Jaun.")</f>
        <v>Jaun.</v>
      </c>
      <c r="I4206" s="2" t="str">
        <f>IFERROR(__xludf.DUMMYFUNCTION("""COMPUTED_VALUE"""),"Masonry")</f>
        <v>Masonry</v>
      </c>
      <c r="J4206" s="2" t="str">
        <f>IFERROR(__xludf.DUMMYFUNCTION("""COMPUTED_VALUE"""),"All amenities")</f>
        <v>All amenities</v>
      </c>
      <c r="K4206" s="2">
        <f>IFERROR(__xludf.DUMMYFUNCTION("""COMPUTED_VALUE"""),159600.0)</f>
        <v>159600</v>
      </c>
      <c r="L4206" s="2">
        <f>IFERROR(__xludf.DUMMYFUNCTION("""COMPUTED_VALUE"""),56.958482)</f>
        <v>56.958482</v>
      </c>
      <c r="M4206" s="2">
        <f>IFERROR(__xludf.DUMMYFUNCTION("""COMPUTED_VALUE"""),24.116859)</f>
        <v>24.116859</v>
      </c>
    </row>
    <row r="4207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</row>
    <row r="4208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</row>
    <row r="4209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</row>
    <row r="4210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</row>
    <row r="4211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</row>
    <row r="4212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</row>
    <row r="4213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</row>
    <row r="421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</row>
    <row r="4215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</row>
    <row r="4216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</row>
    <row r="4217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</row>
    <row r="4218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</row>
    <row r="4219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</row>
    <row r="4220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</row>
    <row r="4221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</row>
    <row r="4222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</row>
    <row r="4223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</row>
    <row r="4224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</row>
    <row r="4225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</row>
    <row r="4226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</row>
    <row r="4227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</row>
    <row r="4228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</row>
    <row r="4229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</row>
    <row r="4230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</row>
    <row r="4231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</row>
    <row r="4232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</row>
    <row r="4233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</row>
    <row r="423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</row>
    <row r="4235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</row>
    <row r="4236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</row>
    <row r="4237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</row>
    <row r="4238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</row>
    <row r="4239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</row>
    <row r="4240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</row>
    <row r="4241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</row>
    <row r="4242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</row>
    <row r="4243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</row>
    <row r="424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</row>
    <row r="4245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</row>
    <row r="4246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</row>
    <row r="4247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</row>
    <row r="4248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</row>
    <row r="4249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</row>
    <row r="4250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</row>
    <row r="4251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</row>
    <row r="4252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</row>
    <row r="4253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</row>
    <row r="425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</row>
    <row r="4255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</row>
    <row r="4256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</row>
    <row r="4257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</row>
    <row r="4258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</row>
    <row r="4292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</row>
    <row r="4369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</row>
    <row r="4379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</row>
    <row r="4380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</row>
    <row r="4381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</row>
    <row r="4395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</row>
    <row r="4396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</row>
    <row r="4397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</row>
    <row r="4398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</row>
    <row r="4399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</row>
    <row r="4400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</row>
    <row r="4401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</row>
    <row r="4449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</row>
    <row r="4453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</row>
    <row r="445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</row>
    <row r="4455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</row>
    <row r="4456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</row>
    <row r="4457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</row>
    <row r="4458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</row>
    <row r="4459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</row>
    <row r="4460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</row>
    <row r="4461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</row>
    <row r="4462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</row>
    <row r="4463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</row>
    <row r="446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</row>
    <row r="4465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</row>
    <row r="4466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</row>
    <row r="4467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</row>
    <row r="4468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</row>
    <row r="4469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</row>
    <row r="4470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</row>
    <row r="4471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</row>
    <row r="4472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</row>
    <row r="4473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</row>
    <row r="447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</row>
    <row r="4475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</row>
    <row r="4476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</row>
    <row r="4477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</row>
    <row r="4478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</row>
    <row r="4479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</row>
    <row r="4480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</row>
    <row r="4481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</row>
    <row r="4482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</row>
    <row r="4483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</row>
    <row r="448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</row>
    <row r="4485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</row>
    <row r="4486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</row>
    <row r="4487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</row>
    <row r="4488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</row>
    <row r="4489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</row>
    <row r="4490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</row>
    <row r="4491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</row>
    <row r="4492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</row>
    <row r="4493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</row>
    <row r="449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</row>
    <row r="4495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</row>
    <row r="4496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</row>
    <row r="4497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</row>
    <row r="4498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</row>
    <row r="4499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</row>
    <row r="4500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</row>
    <row r="4501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</row>
    <row r="4502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</row>
    <row r="4503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</row>
    <row r="450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</row>
    <row r="4505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</row>
    <row r="4506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</row>
    <row r="4507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</row>
    <row r="4508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</row>
    <row r="4509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</row>
    <row r="4510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</row>
    <row r="4511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</row>
    <row r="4512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</row>
    <row r="4513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</row>
    <row r="451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</row>
    <row r="4515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</row>
    <row r="4516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</row>
    <row r="4517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</row>
    <row r="4518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</row>
    <row r="4519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</row>
    <row r="4520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</row>
    <row r="4521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</row>
    <row r="4522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</row>
    <row r="4523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</row>
    <row r="452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</row>
    <row r="4525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</row>
    <row r="4526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</row>
    <row r="4527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</row>
    <row r="4528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</row>
    <row r="4529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</row>
    <row r="4530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</row>
    <row r="4531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</row>
    <row r="4532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</row>
    <row r="4533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</row>
    <row r="4534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</row>
    <row r="453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</row>
    <row r="4536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</row>
    <row r="4537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</row>
    <row r="4538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</row>
    <row r="4539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</row>
    <row r="4540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</row>
    <row r="4541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</row>
    <row r="4542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</row>
    <row r="4543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</row>
    <row r="4544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</row>
    <row r="4545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</row>
    <row r="4546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</row>
    <row r="4547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</row>
    <row r="4548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</row>
    <row r="4549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</row>
    <row r="4550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</row>
    <row r="4551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</row>
    <row r="4552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</row>
    <row r="4553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</row>
    <row r="4554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</row>
    <row r="4555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</row>
    <row r="4556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</row>
    <row r="4557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</row>
    <row r="4558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</row>
    <row r="4559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</row>
    <row r="4560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</row>
    <row r="4561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</row>
    <row r="4562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</row>
    <row r="4563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</row>
    <row r="4564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</row>
    <row r="4565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</row>
    <row r="4566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</row>
    <row r="4567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</row>
    <row r="4568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</row>
    <row r="4569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</row>
    <row r="4570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</row>
    <row r="4571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</row>
    <row r="4572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</row>
    <row r="4573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</row>
    <row r="4574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</row>
    <row r="4575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</row>
    <row r="4576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</row>
    <row r="4577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</row>
    <row r="4578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</row>
    <row r="4579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</row>
    <row r="4580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</row>
    <row r="4581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</row>
    <row r="4582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</row>
    <row r="4583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</row>
    <row r="4584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</row>
    <row r="4585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</row>
    <row r="4586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</row>
    <row r="4587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</row>
    <row r="4588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</row>
    <row r="4589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</row>
    <row r="4590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</row>
    <row r="4591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</row>
    <row r="4592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</row>
    <row r="4593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</row>
    <row r="4594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</row>
    <row r="4595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</row>
    <row r="4596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</row>
    <row r="4597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</row>
    <row r="4598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</row>
    <row r="4599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</row>
    <row r="4600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</row>
    <row r="4601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</row>
    <row r="4602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</row>
    <row r="4603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</row>
    <row r="4604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</row>
    <row r="4605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</row>
    <row r="4606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</row>
    <row r="4607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</row>
    <row r="4608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</row>
    <row r="4609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</row>
    <row r="4610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</row>
    <row r="4611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</row>
    <row r="4612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</row>
    <row r="4613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</row>
    <row r="4614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</row>
    <row r="4615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</row>
    <row r="4616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</row>
    <row r="4617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</row>
    <row r="4618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</row>
    <row r="4619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</row>
    <row r="4620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</row>
    <row r="4621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</row>
    <row r="4622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</row>
    <row r="4623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</row>
    <row r="4624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</row>
    <row r="4625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</row>
    <row r="4626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</row>
    <row r="4627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</row>
    <row r="4628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</row>
    <row r="4629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</row>
    <row r="4630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</row>
    <row r="4631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</row>
    <row r="4632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</row>
    <row r="4633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</row>
    <row r="4634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</row>
    <row r="4635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</row>
    <row r="4636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</row>
    <row r="4637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</row>
    <row r="4638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</row>
    <row r="4639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</row>
    <row r="4640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</row>
    <row r="4641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</row>
    <row r="4642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</row>
    <row r="4643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</row>
    <row r="4644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</row>
    <row r="4645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</row>
    <row r="4646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</row>
    <row r="4647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</row>
    <row r="4648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</row>
    <row r="4649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</row>
    <row r="4650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</row>
    <row r="4651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</row>
    <row r="4652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</row>
    <row r="4653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</row>
    <row r="4654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</row>
    <row r="4655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</row>
    <row r="4656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</row>
    <row r="4657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</row>
    <row r="4658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</row>
    <row r="4659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</row>
    <row r="4660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</row>
    <row r="4661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</row>
    <row r="4662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</row>
    <row r="4663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</row>
    <row r="4664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</row>
    <row r="4665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</row>
    <row r="4666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</row>
    <row r="4667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</row>
    <row r="4668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</row>
    <row r="4669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</row>
    <row r="4670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</row>
    <row r="4671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</row>
    <row r="4672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</row>
    <row r="4673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</row>
    <row r="4674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</row>
    <row r="4675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</row>
    <row r="4676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</row>
    <row r="4677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</row>
    <row r="4678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</row>
    <row r="4679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</row>
    <row r="4680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</row>
    <row r="4681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</row>
    <row r="4682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</row>
    <row r="4683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</row>
    <row r="4684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</row>
    <row r="4685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</row>
    <row r="4686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</row>
    <row r="4687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</row>
    <row r="4688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</row>
    <row r="4689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</row>
    <row r="4690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</row>
    <row r="4691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</row>
    <row r="4692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</row>
    <row r="4693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</row>
    <row r="4694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</row>
    <row r="4695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</row>
    <row r="4696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</row>
    <row r="4697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</row>
    <row r="4698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</row>
    <row r="4699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</row>
    <row r="4700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</row>
    <row r="4701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</row>
    <row r="4702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</row>
    <row r="4703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</row>
    <row r="4704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</row>
    <row r="4705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</row>
    <row r="4706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A49" s="6"/>
      <c r="B49" s="14"/>
    </row>
    <row r="50">
      <c r="A50" s="6"/>
      <c r="B50" s="14"/>
    </row>
    <row r="51">
      <c r="A51" s="6"/>
      <c r="B51" s="14"/>
    </row>
    <row r="52">
      <c r="A52" s="6"/>
      <c r="B52" s="14"/>
    </row>
    <row r="53">
      <c r="A53" s="6"/>
      <c r="B53" s="14"/>
    </row>
    <row r="54">
      <c r="A54" s="6"/>
      <c r="B54" s="14"/>
    </row>
    <row r="55">
      <c r="A55" s="6"/>
      <c r="B55" s="14"/>
    </row>
    <row r="56">
      <c r="A56" s="6"/>
      <c r="B56" s="14"/>
    </row>
    <row r="57">
      <c r="A57" s="6"/>
      <c r="B57" s="14"/>
    </row>
    <row r="58">
      <c r="A58" s="6"/>
      <c r="B58" s="14"/>
    </row>
    <row r="59">
      <c r="A59" s="6"/>
      <c r="B59" s="14"/>
    </row>
    <row r="60">
      <c r="A60" s="6"/>
      <c r="B60" s="14"/>
    </row>
    <row r="61">
      <c r="A61" s="6"/>
      <c r="B61" s="14"/>
    </row>
    <row r="62">
      <c r="A62" s="6"/>
      <c r="B62" s="14"/>
    </row>
    <row r="63">
      <c r="A63" s="6"/>
      <c r="B63" s="14"/>
    </row>
    <row r="64">
      <c r="A64" s="6"/>
      <c r="B64" s="14"/>
    </row>
    <row r="65">
      <c r="A65" s="6"/>
      <c r="B65" s="14"/>
    </row>
    <row r="66">
      <c r="A66" s="6"/>
      <c r="B66" s="14"/>
    </row>
    <row r="67">
      <c r="A67" s="6"/>
      <c r="B67" s="14"/>
    </row>
    <row r="68">
      <c r="A68" s="6"/>
      <c r="B68" s="14"/>
    </row>
    <row r="69">
      <c r="A69" s="6"/>
      <c r="B69" s="14"/>
    </row>
    <row r="70">
      <c r="A70" s="6"/>
      <c r="B70" s="14"/>
    </row>
    <row r="71">
      <c r="A71" s="6"/>
      <c r="B71" s="14"/>
    </row>
    <row r="72">
      <c r="A72" s="6"/>
      <c r="B72" s="14"/>
    </row>
    <row r="73">
      <c r="A73" s="6"/>
      <c r="B73" s="14"/>
    </row>
    <row r="74">
      <c r="A74" s="6"/>
      <c r="B74" s="14"/>
    </row>
    <row r="75">
      <c r="A75" s="6"/>
      <c r="B75" s="14"/>
    </row>
    <row r="76">
      <c r="A76" s="6"/>
      <c r="B76" s="14"/>
    </row>
    <row r="77">
      <c r="A77" s="6"/>
      <c r="B77" s="14"/>
    </row>
    <row r="78">
      <c r="A78" s="6"/>
      <c r="B78" s="14"/>
    </row>
    <row r="79">
      <c r="A79" s="6"/>
      <c r="B79" s="14"/>
    </row>
    <row r="80">
      <c r="A80" s="6"/>
      <c r="B80" s="14"/>
    </row>
    <row r="81">
      <c r="A81" s="6"/>
      <c r="B81" s="14"/>
    </row>
    <row r="82">
      <c r="A82" s="6"/>
      <c r="B82" s="14"/>
    </row>
    <row r="83">
      <c r="A83" s="6"/>
      <c r="B83" s="14"/>
    </row>
    <row r="84">
      <c r="A84" s="6"/>
      <c r="B84" s="14"/>
    </row>
    <row r="85">
      <c r="A85" s="6"/>
      <c r="B85" s="14"/>
    </row>
    <row r="86">
      <c r="A86" s="6"/>
      <c r="B86" s="14"/>
    </row>
    <row r="87">
      <c r="A87" s="6"/>
      <c r="B87" s="14"/>
    </row>
    <row r="88">
      <c r="A88" s="6"/>
      <c r="B88" s="14"/>
    </row>
    <row r="89">
      <c r="A89" s="6"/>
      <c r="B89" s="14"/>
    </row>
    <row r="90">
      <c r="A90" s="6"/>
      <c r="B90" s="14"/>
    </row>
    <row r="91">
      <c r="A91" s="6"/>
      <c r="B91" s="14"/>
    </row>
    <row r="92">
      <c r="A92" s="6"/>
      <c r="B92" s="14"/>
    </row>
    <row r="93">
      <c r="A93" s="6"/>
      <c r="B93" s="14"/>
    </row>
    <row r="94">
      <c r="A94" s="6"/>
      <c r="B94" s="14"/>
    </row>
    <row r="95">
      <c r="A95" s="6"/>
      <c r="B95" s="14"/>
    </row>
    <row r="96">
      <c r="A96" s="6"/>
      <c r="B96" s="14"/>
    </row>
    <row r="97">
      <c r="A97" s="6"/>
      <c r="B97" s="14"/>
    </row>
    <row r="98">
      <c r="A98" s="6"/>
      <c r="B98" s="14"/>
    </row>
    <row r="99">
      <c r="A99" s="6"/>
      <c r="B99" s="14"/>
    </row>
    <row r="100">
      <c r="A100" s="6"/>
      <c r="B100" s="14"/>
    </row>
    <row r="101">
      <c r="A101" s="6"/>
      <c r="B101" s="14"/>
    </row>
    <row r="102">
      <c r="A102" s="6"/>
      <c r="B102" s="14"/>
    </row>
    <row r="103">
      <c r="A103" s="6"/>
      <c r="B103" s="14"/>
    </row>
    <row r="104">
      <c r="A104" s="6"/>
      <c r="B104" s="14"/>
    </row>
    <row r="105">
      <c r="A105" s="6"/>
      <c r="B105" s="14"/>
    </row>
    <row r="106">
      <c r="A106" s="6"/>
      <c r="B106" s="14"/>
    </row>
    <row r="107">
      <c r="A107" s="6"/>
      <c r="B107" s="14"/>
    </row>
    <row r="108">
      <c r="A108" s="6"/>
      <c r="B108" s="14"/>
    </row>
    <row r="109">
      <c r="A109" s="6"/>
      <c r="B109" s="14"/>
    </row>
    <row r="110">
      <c r="A110" s="6"/>
      <c r="B110" s="14"/>
    </row>
    <row r="111">
      <c r="A111" s="6"/>
      <c r="B111" s="14"/>
    </row>
    <row r="112">
      <c r="A112" s="6"/>
      <c r="B112" s="14"/>
    </row>
    <row r="113">
      <c r="A113" s="6"/>
      <c r="B113" s="14"/>
    </row>
    <row r="114">
      <c r="A114" s="6"/>
      <c r="B114" s="14"/>
    </row>
    <row r="115">
      <c r="A115" s="6"/>
      <c r="B115" s="14"/>
    </row>
    <row r="116">
      <c r="A116" s="6"/>
      <c r="B116" s="14"/>
    </row>
    <row r="117">
      <c r="A117" s="6"/>
      <c r="B117" s="14"/>
    </row>
    <row r="118">
      <c r="A118" s="6"/>
      <c r="B118" s="14"/>
    </row>
    <row r="119">
      <c r="A119" s="6"/>
      <c r="B119" s="14"/>
    </row>
    <row r="120">
      <c r="A120" s="6"/>
      <c r="B120" s="14"/>
    </row>
    <row r="121">
      <c r="A121" s="6"/>
      <c r="B121" s="14"/>
    </row>
    <row r="122">
      <c r="A122" s="6"/>
      <c r="B122" s="14"/>
    </row>
    <row r="123">
      <c r="A123" s="6"/>
      <c r="B123" s="14"/>
    </row>
    <row r="124">
      <c r="A124" s="6"/>
      <c r="B124" s="14"/>
    </row>
    <row r="125">
      <c r="A125" s="6"/>
      <c r="B125" s="14"/>
    </row>
    <row r="126">
      <c r="A126" s="6"/>
      <c r="B126" s="14"/>
    </row>
    <row r="127">
      <c r="A127" s="6"/>
      <c r="B127" s="14"/>
    </row>
    <row r="128">
      <c r="A128" s="6"/>
      <c r="B128" s="14"/>
    </row>
    <row r="129">
      <c r="A129" s="6"/>
      <c r="B129" s="14"/>
    </row>
    <row r="130">
      <c r="A130" s="6"/>
      <c r="B130" s="14"/>
    </row>
    <row r="131">
      <c r="A131" s="6"/>
      <c r="B131" s="14"/>
    </row>
    <row r="132">
      <c r="A132" s="6"/>
      <c r="B132" s="14"/>
    </row>
    <row r="133">
      <c r="A133" s="6"/>
      <c r="B133" s="14"/>
    </row>
    <row r="134">
      <c r="A134" s="6"/>
      <c r="B134" s="14"/>
    </row>
    <row r="135">
      <c r="A135" s="6"/>
      <c r="B135" s="14"/>
    </row>
    <row r="136">
      <c r="A136" s="6"/>
      <c r="B136" s="14"/>
    </row>
    <row r="137">
      <c r="A137" s="6"/>
      <c r="B137" s="14"/>
    </row>
    <row r="138">
      <c r="A138" s="6"/>
      <c r="B138" s="14"/>
    </row>
    <row r="139">
      <c r="A139" s="6"/>
      <c r="B139" s="14"/>
    </row>
    <row r="140">
      <c r="A140" s="6"/>
      <c r="B140" s="14"/>
    </row>
    <row r="141">
      <c r="A141" s="6"/>
      <c r="B141" s="14"/>
    </row>
    <row r="142">
      <c r="A142" s="6"/>
      <c r="B142" s="14"/>
    </row>
    <row r="143">
      <c r="A143" s="6"/>
      <c r="B143" s="14"/>
    </row>
    <row r="144">
      <c r="A144" s="6"/>
      <c r="B144" s="14"/>
    </row>
    <row r="145">
      <c r="A145" s="6"/>
      <c r="B145" s="14"/>
    </row>
    <row r="146">
      <c r="A146" s="6"/>
      <c r="B146" s="14"/>
    </row>
    <row r="147">
      <c r="A147" s="6"/>
      <c r="B147" s="14"/>
    </row>
    <row r="148">
      <c r="A148" s="6"/>
      <c r="B148" s="14"/>
    </row>
    <row r="149">
      <c r="A149" s="6"/>
      <c r="B149" s="14"/>
    </row>
    <row r="150">
      <c r="A150" s="6"/>
      <c r="B150" s="14"/>
    </row>
    <row r="151">
      <c r="A151" s="6"/>
      <c r="B151" s="14"/>
    </row>
    <row r="152">
      <c r="A152" s="6"/>
      <c r="B152" s="14"/>
    </row>
    <row r="153">
      <c r="A153" s="6"/>
      <c r="B153" s="14"/>
    </row>
    <row r="154">
      <c r="A154" s="6"/>
      <c r="B154" s="14"/>
    </row>
    <row r="155">
      <c r="A155" s="6"/>
      <c r="B155" s="14"/>
    </row>
    <row r="156">
      <c r="A156" s="6"/>
      <c r="B156" s="14"/>
    </row>
    <row r="157">
      <c r="A157" s="6"/>
      <c r="B157" s="14"/>
    </row>
    <row r="158">
      <c r="A158" s="6"/>
      <c r="B158" s="14"/>
    </row>
    <row r="159">
      <c r="A159" s="6"/>
      <c r="B159" s="14"/>
    </row>
    <row r="160">
      <c r="A160" s="6"/>
      <c r="B160" s="14"/>
    </row>
    <row r="161">
      <c r="A161" s="6"/>
      <c r="B161" s="14"/>
    </row>
    <row r="162">
      <c r="A162" s="6"/>
      <c r="B162" s="14"/>
    </row>
    <row r="163">
      <c r="A163" s="6"/>
      <c r="B163" s="14"/>
    </row>
    <row r="164">
      <c r="A164" s="6"/>
      <c r="B164" s="14"/>
    </row>
    <row r="165">
      <c r="A165" s="6"/>
      <c r="B165" s="14"/>
    </row>
    <row r="166">
      <c r="A166" s="6"/>
      <c r="B166" s="14"/>
    </row>
    <row r="167">
      <c r="A167" s="6"/>
      <c r="B167" s="14"/>
    </row>
    <row r="168">
      <c r="A168" s="6"/>
      <c r="B168" s="14"/>
    </row>
    <row r="169">
      <c r="A169" s="6"/>
      <c r="B169" s="14"/>
    </row>
    <row r="170">
      <c r="A170" s="6"/>
      <c r="B170" s="14"/>
    </row>
    <row r="171">
      <c r="A171" s="6"/>
      <c r="B171" s="14"/>
    </row>
    <row r="172">
      <c r="A172" s="6"/>
      <c r="B172" s="14"/>
    </row>
    <row r="173">
      <c r="A173" s="6"/>
      <c r="B173" s="14"/>
    </row>
    <row r="174">
      <c r="A174" s="6"/>
      <c r="B174" s="14"/>
    </row>
    <row r="175">
      <c r="A175" s="6"/>
      <c r="B175" s="14"/>
    </row>
    <row r="176">
      <c r="A176" s="6"/>
      <c r="B176" s="14"/>
    </row>
    <row r="177">
      <c r="A177" s="6"/>
      <c r="B177" s="14"/>
    </row>
    <row r="178">
      <c r="A178" s="6"/>
      <c r="B178" s="14"/>
    </row>
    <row r="179">
      <c r="A179" s="6"/>
      <c r="B179" s="14"/>
    </row>
    <row r="180">
      <c r="A180" s="6"/>
      <c r="B180" s="14"/>
    </row>
    <row r="181">
      <c r="A181" s="6"/>
      <c r="B181" s="14"/>
    </row>
    <row r="182">
      <c r="A182" s="6"/>
      <c r="B182" s="14"/>
    </row>
    <row r="183">
      <c r="A183" s="6"/>
      <c r="B183" s="14"/>
    </row>
    <row r="184">
      <c r="A184" s="6"/>
      <c r="B184" s="14"/>
    </row>
    <row r="185">
      <c r="A185" s="6"/>
      <c r="B185" s="14"/>
    </row>
    <row r="186">
      <c r="A186" s="6"/>
      <c r="B186" s="14"/>
    </row>
    <row r="187">
      <c r="A187" s="6"/>
      <c r="B187" s="14"/>
    </row>
    <row r="188">
      <c r="A188" s="6"/>
      <c r="B188" s="14"/>
    </row>
    <row r="189">
      <c r="A189" s="6"/>
      <c r="B189" s="14"/>
    </row>
    <row r="190">
      <c r="A190" s="6"/>
      <c r="B190" s="14"/>
    </row>
    <row r="191">
      <c r="A191" s="6"/>
      <c r="B191" s="14"/>
    </row>
    <row r="192">
      <c r="A192" s="6"/>
      <c r="B192" s="14"/>
    </row>
    <row r="193">
      <c r="A193" s="6"/>
      <c r="B193" s="14"/>
    </row>
    <row r="194">
      <c r="A194" s="6"/>
      <c r="B194" s="14"/>
    </row>
    <row r="195">
      <c r="A195" s="6"/>
      <c r="B195" s="14"/>
    </row>
    <row r="196">
      <c r="A196" s="6"/>
      <c r="B196" s="14"/>
    </row>
    <row r="197">
      <c r="A197" s="6"/>
      <c r="B197" s="14"/>
    </row>
    <row r="198">
      <c r="A198" s="6"/>
      <c r="B198" s="14"/>
    </row>
    <row r="199">
      <c r="A199" s="6"/>
      <c r="B199" s="14"/>
    </row>
    <row r="200">
      <c r="A200" s="6"/>
      <c r="B200" s="14"/>
    </row>
    <row r="201">
      <c r="A201" s="6"/>
      <c r="B201" s="14"/>
    </row>
    <row r="202">
      <c r="A202" s="6"/>
      <c r="B202" s="14"/>
    </row>
    <row r="203">
      <c r="A203" s="6"/>
      <c r="B203" s="14"/>
    </row>
    <row r="204">
      <c r="A204" s="6"/>
      <c r="B204" s="14"/>
    </row>
    <row r="205">
      <c r="A205" s="6"/>
      <c r="B205" s="14"/>
    </row>
    <row r="206">
      <c r="A206" s="6"/>
      <c r="B206" s="14"/>
    </row>
    <row r="207">
      <c r="A207" s="6"/>
      <c r="B207" s="14"/>
    </row>
    <row r="208">
      <c r="A208" s="6"/>
      <c r="B208" s="14"/>
    </row>
    <row r="209">
      <c r="A209" s="6"/>
      <c r="B209" s="14"/>
    </row>
    <row r="210">
      <c r="A210" s="6"/>
      <c r="B210" s="14"/>
    </row>
    <row r="211">
      <c r="A211" s="6"/>
      <c r="B211" s="14"/>
    </row>
    <row r="212">
      <c r="A212" s="6"/>
      <c r="B212" s="14"/>
    </row>
    <row r="213">
      <c r="A213" s="6"/>
      <c r="B213" s="14"/>
    </row>
    <row r="214">
      <c r="A214" s="6"/>
      <c r="B214" s="14"/>
    </row>
    <row r="215">
      <c r="A215" s="6"/>
      <c r="B215" s="14"/>
    </row>
    <row r="216">
      <c r="A216" s="6"/>
      <c r="B216" s="14"/>
    </row>
    <row r="217">
      <c r="A217" s="6"/>
      <c r="B217" s="14"/>
    </row>
    <row r="218">
      <c r="A218" s="6"/>
      <c r="B218" s="14"/>
    </row>
    <row r="219">
      <c r="A219" s="6"/>
      <c r="B219" s="14"/>
    </row>
    <row r="220">
      <c r="A220" s="6"/>
      <c r="B220" s="14"/>
    </row>
    <row r="221">
      <c r="A221" s="6"/>
      <c r="B221" s="14"/>
    </row>
    <row r="222">
      <c r="A222" s="6"/>
      <c r="B222" s="14"/>
    </row>
    <row r="223">
      <c r="A223" s="6"/>
      <c r="B223" s="14"/>
    </row>
    <row r="224">
      <c r="A224" s="6"/>
      <c r="B224" s="14"/>
    </row>
    <row r="225">
      <c r="A225" s="6"/>
      <c r="B225" s="14"/>
    </row>
    <row r="226">
      <c r="A226" s="6"/>
      <c r="B226" s="14"/>
    </row>
    <row r="227">
      <c r="A227" s="6"/>
      <c r="B227" s="14"/>
    </row>
    <row r="228">
      <c r="A228" s="6"/>
      <c r="B228" s="14"/>
    </row>
    <row r="229">
      <c r="A229" s="6"/>
      <c r="B229" s="14"/>
    </row>
    <row r="230">
      <c r="A230" s="6"/>
      <c r="B230" s="14"/>
    </row>
    <row r="231">
      <c r="A231" s="6"/>
      <c r="B231" s="14"/>
    </row>
    <row r="232">
      <c r="A232" s="6"/>
      <c r="B232" s="14"/>
    </row>
    <row r="233">
      <c r="A233" s="6"/>
      <c r="B233" s="14"/>
    </row>
    <row r="234">
      <c r="A234" s="6"/>
      <c r="B234" s="14"/>
    </row>
    <row r="235">
      <c r="A235" s="6"/>
      <c r="B235" s="14"/>
    </row>
    <row r="236">
      <c r="A236" s="6"/>
      <c r="B236" s="14"/>
    </row>
    <row r="237">
      <c r="A237" s="6"/>
      <c r="B237" s="14"/>
    </row>
    <row r="238">
      <c r="A238" s="6"/>
      <c r="B238" s="14"/>
    </row>
    <row r="239">
      <c r="A239" s="6"/>
      <c r="B239" s="14"/>
    </row>
    <row r="240">
      <c r="A240" s="6"/>
      <c r="B240" s="14"/>
    </row>
    <row r="241">
      <c r="A241" s="6"/>
      <c r="B241" s="14"/>
    </row>
    <row r="242">
      <c r="A242" s="6"/>
      <c r="B242" s="14"/>
    </row>
    <row r="243">
      <c r="A243" s="6"/>
      <c r="B243" s="14"/>
    </row>
    <row r="244">
      <c r="A244" s="6"/>
      <c r="B244" s="14"/>
    </row>
    <row r="245">
      <c r="A245" s="6"/>
      <c r="B245" s="14"/>
    </row>
    <row r="246">
      <c r="A246" s="6"/>
      <c r="B246" s="14"/>
    </row>
    <row r="247">
      <c r="A247" s="6"/>
      <c r="B247" s="14"/>
    </row>
    <row r="248">
      <c r="A248" s="6"/>
      <c r="B248" s="14"/>
    </row>
    <row r="249">
      <c r="A249" s="6"/>
      <c r="B249" s="14"/>
    </row>
    <row r="250">
      <c r="A250" s="6"/>
      <c r="B250" s="14"/>
    </row>
    <row r="251">
      <c r="A251" s="6"/>
      <c r="B251" s="14"/>
    </row>
    <row r="252">
      <c r="A252" s="6"/>
      <c r="B252" s="14"/>
    </row>
    <row r="253">
      <c r="A253" s="6"/>
      <c r="B253" s="14"/>
    </row>
    <row r="254">
      <c r="A254" s="6"/>
      <c r="B254" s="14"/>
    </row>
    <row r="255">
      <c r="A255" s="6"/>
      <c r="B255" s="14"/>
    </row>
    <row r="256">
      <c r="A256" s="6"/>
      <c r="B256" s="14"/>
    </row>
    <row r="257">
      <c r="A257" s="6"/>
      <c r="B257" s="14"/>
    </row>
    <row r="258">
      <c r="A258" s="6"/>
      <c r="B258" s="14"/>
    </row>
    <row r="259">
      <c r="A259" s="6"/>
      <c r="B259" s="14"/>
    </row>
    <row r="260">
      <c r="A260" s="6"/>
      <c r="B260" s="14"/>
    </row>
    <row r="261">
      <c r="A261" s="6"/>
      <c r="B261" s="14"/>
    </row>
    <row r="262">
      <c r="A262" s="6"/>
      <c r="B262" s="14"/>
    </row>
    <row r="263">
      <c r="A263" s="6"/>
      <c r="B263" s="14"/>
    </row>
    <row r="264">
      <c r="A264" s="6"/>
      <c r="B264" s="14"/>
    </row>
    <row r="265">
      <c r="A265" s="6"/>
      <c r="B265" s="14"/>
    </row>
    <row r="266">
      <c r="A266" s="6"/>
      <c r="B266" s="14"/>
    </row>
    <row r="267">
      <c r="A267" s="6"/>
      <c r="B267" s="14"/>
    </row>
    <row r="268">
      <c r="A268" s="6"/>
      <c r="B268" s="14"/>
    </row>
    <row r="269">
      <c r="A269" s="6"/>
      <c r="B269" s="14"/>
    </row>
    <row r="270">
      <c r="A270" s="6"/>
      <c r="B270" s="14"/>
    </row>
    <row r="271">
      <c r="A271" s="6"/>
      <c r="B271" s="14"/>
    </row>
    <row r="272">
      <c r="A272" s="6"/>
      <c r="B272" s="14"/>
    </row>
    <row r="273">
      <c r="A273" s="6"/>
      <c r="B273" s="14"/>
    </row>
    <row r="274">
      <c r="A274" s="6"/>
      <c r="B274" s="14"/>
    </row>
    <row r="275">
      <c r="A275" s="6"/>
      <c r="B275" s="14"/>
    </row>
    <row r="276">
      <c r="A276" s="6"/>
      <c r="B276" s="14"/>
    </row>
    <row r="277">
      <c r="A277" s="6"/>
      <c r="B277" s="14"/>
    </row>
    <row r="278">
      <c r="A278" s="6"/>
      <c r="B278" s="14"/>
    </row>
    <row r="279">
      <c r="A279" s="6"/>
      <c r="B279" s="14"/>
    </row>
    <row r="280">
      <c r="A280" s="6"/>
      <c r="B280" s="14"/>
    </row>
    <row r="281">
      <c r="A281" s="6"/>
      <c r="B281" s="14"/>
    </row>
    <row r="282">
      <c r="A282" s="6"/>
      <c r="B282" s="14"/>
    </row>
    <row r="283">
      <c r="A283" s="6"/>
      <c r="B283" s="14"/>
    </row>
    <row r="284">
      <c r="A284" s="6"/>
      <c r="B284" s="14"/>
    </row>
    <row r="285">
      <c r="A285" s="6"/>
      <c r="B285" s="14"/>
    </row>
    <row r="286">
      <c r="A286" s="6"/>
      <c r="B286" s="14"/>
    </row>
    <row r="287">
      <c r="A287" s="6"/>
      <c r="B287" s="14"/>
    </row>
    <row r="288">
      <c r="A288" s="6"/>
      <c r="B288" s="14"/>
    </row>
    <row r="289">
      <c r="A289" s="6"/>
      <c r="B289" s="14"/>
    </row>
    <row r="290">
      <c r="A290" s="6"/>
      <c r="B290" s="14"/>
    </row>
    <row r="291">
      <c r="A291" s="6"/>
      <c r="B291" s="14"/>
    </row>
    <row r="292">
      <c r="A292" s="6"/>
      <c r="B292" s="14"/>
    </row>
    <row r="293">
      <c r="A293" s="6"/>
      <c r="B293" s="14"/>
    </row>
    <row r="294">
      <c r="A294" s="6"/>
      <c r="B294" s="14"/>
    </row>
    <row r="295">
      <c r="A295" s="6"/>
      <c r="B295" s="14"/>
    </row>
    <row r="296">
      <c r="A296" s="6"/>
      <c r="B296" s="14"/>
    </row>
    <row r="297">
      <c r="A297" s="6"/>
      <c r="B297" s="14"/>
    </row>
    <row r="298">
      <c r="A298" s="6"/>
      <c r="B298" s="14"/>
    </row>
    <row r="299">
      <c r="A299" s="6"/>
      <c r="B299" s="14"/>
    </row>
    <row r="300">
      <c r="A300" s="6"/>
      <c r="B300" s="14"/>
    </row>
    <row r="301">
      <c r="A301" s="6"/>
      <c r="B301" s="14"/>
    </row>
    <row r="302">
      <c r="A302" s="6"/>
      <c r="B302" s="14"/>
    </row>
    <row r="303">
      <c r="A303" s="6"/>
      <c r="B303" s="14"/>
    </row>
    <row r="304">
      <c r="A304" s="6"/>
      <c r="B304" s="14"/>
    </row>
    <row r="305">
      <c r="A305" s="6"/>
      <c r="B305" s="14"/>
    </row>
    <row r="306">
      <c r="A306" s="6"/>
      <c r="B306" s="14"/>
    </row>
    <row r="307">
      <c r="A307" s="6"/>
      <c r="B307" s="14"/>
    </row>
    <row r="308">
      <c r="A308" s="6"/>
      <c r="B308" s="14"/>
    </row>
    <row r="309">
      <c r="A309" s="6"/>
      <c r="B309" s="14"/>
    </row>
    <row r="310">
      <c r="A310" s="6"/>
      <c r="B310" s="14"/>
    </row>
    <row r="311">
      <c r="A311" s="6"/>
      <c r="B311" s="14"/>
    </row>
    <row r="312">
      <c r="A312" s="6"/>
      <c r="B312" s="14"/>
    </row>
    <row r="313">
      <c r="A313" s="6"/>
      <c r="B313" s="14"/>
    </row>
    <row r="314">
      <c r="A314" s="6"/>
      <c r="B314" s="14"/>
    </row>
    <row r="315">
      <c r="A315" s="6"/>
      <c r="B315" s="14"/>
    </row>
    <row r="316">
      <c r="A316" s="6"/>
      <c r="B316" s="14"/>
    </row>
    <row r="317">
      <c r="A317" s="6"/>
      <c r="B317" s="14"/>
    </row>
    <row r="318">
      <c r="A318" s="6"/>
      <c r="B318" s="14"/>
    </row>
    <row r="319">
      <c r="A319" s="6"/>
      <c r="B319" s="14"/>
    </row>
    <row r="320">
      <c r="A320" s="6"/>
      <c r="B320" s="14"/>
    </row>
    <row r="321">
      <c r="A321" s="6"/>
      <c r="B321" s="14"/>
    </row>
    <row r="322">
      <c r="A322" s="6"/>
      <c r="B322" s="14"/>
    </row>
    <row r="323">
      <c r="A323" s="6"/>
      <c r="B323" s="14"/>
    </row>
    <row r="324">
      <c r="A324" s="6"/>
      <c r="B324" s="14"/>
    </row>
    <row r="325">
      <c r="A325" s="6"/>
      <c r="B325" s="14"/>
    </row>
    <row r="326">
      <c r="A326" s="6"/>
      <c r="B326" s="14"/>
    </row>
    <row r="327">
      <c r="A327" s="6"/>
      <c r="B327" s="14"/>
    </row>
    <row r="328">
      <c r="A328" s="6"/>
      <c r="B328" s="14"/>
    </row>
    <row r="329">
      <c r="A329" s="6"/>
      <c r="B329" s="14"/>
    </row>
    <row r="330">
      <c r="A330" s="6"/>
      <c r="B330" s="14"/>
    </row>
    <row r="331">
      <c r="A331" s="6"/>
      <c r="B331" s="14"/>
    </row>
    <row r="332">
      <c r="A332" s="6"/>
      <c r="B332" s="14"/>
    </row>
    <row r="333">
      <c r="A333" s="6"/>
      <c r="B333" s="14"/>
    </row>
    <row r="334">
      <c r="A334" s="6"/>
      <c r="B334" s="14"/>
    </row>
    <row r="335">
      <c r="A335" s="6"/>
      <c r="B335" s="14"/>
    </row>
    <row r="336">
      <c r="A336" s="6"/>
      <c r="B336" s="14"/>
    </row>
    <row r="337">
      <c r="A337" s="6"/>
      <c r="B337" s="14"/>
    </row>
    <row r="338">
      <c r="A338" s="6"/>
      <c r="B338" s="14"/>
    </row>
    <row r="339">
      <c r="A339" s="6"/>
      <c r="B339" s="14"/>
    </row>
    <row r="340">
      <c r="A340" s="6"/>
      <c r="B340" s="14"/>
    </row>
    <row r="341">
      <c r="A341" s="6"/>
      <c r="B341" s="14"/>
    </row>
    <row r="342">
      <c r="A342" s="6"/>
      <c r="B342" s="14"/>
    </row>
    <row r="343">
      <c r="A343" s="6"/>
      <c r="B343" s="14"/>
    </row>
    <row r="344">
      <c r="A344" s="6"/>
      <c r="B344" s="14"/>
    </row>
    <row r="345">
      <c r="A345" s="6"/>
      <c r="B345" s="14"/>
    </row>
    <row r="346">
      <c r="A346" s="6"/>
      <c r="B346" s="14"/>
    </row>
    <row r="347">
      <c r="A347" s="6"/>
      <c r="B347" s="14"/>
    </row>
    <row r="348">
      <c r="A348" s="6"/>
      <c r="B348" s="14"/>
    </row>
    <row r="349">
      <c r="A349" s="6"/>
      <c r="B349" s="14"/>
    </row>
    <row r="350">
      <c r="A350" s="6"/>
      <c r="B350" s="14"/>
    </row>
    <row r="351">
      <c r="A351" s="6"/>
      <c r="B351" s="14"/>
    </row>
    <row r="352">
      <c r="A352" s="6"/>
      <c r="B352" s="14"/>
    </row>
    <row r="353">
      <c r="A353" s="6"/>
      <c r="B353" s="14"/>
    </row>
    <row r="354">
      <c r="A354" s="6"/>
      <c r="B354" s="14"/>
    </row>
    <row r="355">
      <c r="A355" s="6"/>
      <c r="B355" s="14"/>
    </row>
    <row r="356">
      <c r="A356" s="6"/>
      <c r="B356" s="14"/>
    </row>
    <row r="357">
      <c r="A357" s="6"/>
      <c r="B357" s="14"/>
    </row>
    <row r="358">
      <c r="A358" s="6"/>
      <c r="B358" s="14"/>
    </row>
    <row r="359">
      <c r="A359" s="6"/>
      <c r="B359" s="14"/>
    </row>
    <row r="360">
      <c r="A360" s="6"/>
      <c r="B360" s="14"/>
    </row>
    <row r="361">
      <c r="A361" s="6"/>
      <c r="B361" s="14"/>
    </row>
    <row r="362">
      <c r="A362" s="6"/>
      <c r="B362" s="14"/>
    </row>
    <row r="363">
      <c r="A363" s="6"/>
      <c r="B363" s="14"/>
    </row>
    <row r="364">
      <c r="A364" s="6"/>
      <c r="B364" s="14"/>
    </row>
    <row r="365">
      <c r="A365" s="6"/>
      <c r="B365" s="14"/>
    </row>
    <row r="366">
      <c r="A366" s="6"/>
      <c r="B366" s="14"/>
    </row>
    <row r="367">
      <c r="A367" s="6"/>
      <c r="B367" s="14"/>
    </row>
    <row r="368">
      <c r="A368" s="6"/>
      <c r="B368" s="14"/>
    </row>
    <row r="369">
      <c r="A369" s="6"/>
      <c r="B369" s="14"/>
    </row>
    <row r="370">
      <c r="A370" s="6"/>
      <c r="B370" s="14"/>
    </row>
    <row r="371">
      <c r="A371" s="6"/>
      <c r="B371" s="14"/>
    </row>
    <row r="372">
      <c r="A372" s="6"/>
      <c r="B372" s="14"/>
    </row>
    <row r="373">
      <c r="A373" s="6"/>
      <c r="B373" s="14"/>
    </row>
    <row r="374">
      <c r="A374" s="6"/>
      <c r="B374" s="14"/>
    </row>
    <row r="375">
      <c r="A375" s="6"/>
      <c r="B375" s="14"/>
    </row>
    <row r="376">
      <c r="A376" s="6"/>
      <c r="B376" s="14"/>
    </row>
    <row r="377">
      <c r="A377" s="6"/>
      <c r="B377" s="14"/>
    </row>
    <row r="378">
      <c r="A378" s="6"/>
      <c r="B378" s="14"/>
    </row>
    <row r="379">
      <c r="A379" s="6"/>
      <c r="B379" s="14"/>
    </row>
    <row r="380">
      <c r="A380" s="6"/>
      <c r="B380" s="14"/>
    </row>
    <row r="381">
      <c r="A381" s="6"/>
      <c r="B381" s="14"/>
    </row>
    <row r="382">
      <c r="A382" s="6"/>
      <c r="B382" s="14"/>
    </row>
    <row r="383">
      <c r="A383" s="6"/>
      <c r="B383" s="14"/>
    </row>
    <row r="384">
      <c r="A384" s="6"/>
      <c r="B384" s="14"/>
    </row>
    <row r="385">
      <c r="A385" s="6"/>
      <c r="B385" s="14"/>
    </row>
    <row r="386">
      <c r="A386" s="6"/>
      <c r="B386" s="14"/>
    </row>
    <row r="387">
      <c r="A387" s="6"/>
      <c r="B387" s="14"/>
    </row>
    <row r="388">
      <c r="A388" s="6"/>
      <c r="B388" s="14"/>
    </row>
    <row r="389">
      <c r="A389" s="6"/>
      <c r="B389" s="14"/>
    </row>
    <row r="390">
      <c r="A390" s="6"/>
      <c r="B390" s="14"/>
    </row>
    <row r="391">
      <c r="A391" s="6"/>
      <c r="B391" s="14"/>
    </row>
    <row r="392">
      <c r="A392" s="6"/>
      <c r="B392" s="14"/>
    </row>
    <row r="393">
      <c r="A393" s="6"/>
      <c r="B393" s="14"/>
    </row>
    <row r="394">
      <c r="A394" s="6"/>
      <c r="B394" s="14"/>
    </row>
    <row r="395">
      <c r="A395" s="6"/>
      <c r="B395" s="14"/>
    </row>
    <row r="396">
      <c r="A396" s="6"/>
      <c r="B396" s="14"/>
    </row>
    <row r="397">
      <c r="A397" s="6"/>
      <c r="B397" s="14"/>
    </row>
    <row r="398">
      <c r="A398" s="6"/>
      <c r="B398" s="14"/>
    </row>
    <row r="399">
      <c r="A399" s="6"/>
      <c r="B399" s="14"/>
    </row>
    <row r="400">
      <c r="A400" s="6"/>
      <c r="B400" s="14"/>
    </row>
    <row r="401">
      <c r="A401" s="6"/>
      <c r="B401" s="14"/>
    </row>
    <row r="402">
      <c r="A402" s="6"/>
      <c r="B402" s="14"/>
    </row>
    <row r="403">
      <c r="A403" s="6"/>
      <c r="B403" s="14"/>
    </row>
    <row r="404">
      <c r="A404" s="6"/>
      <c r="B404" s="14"/>
    </row>
    <row r="405">
      <c r="A405" s="6"/>
      <c r="B405" s="14"/>
    </row>
    <row r="406">
      <c r="A406" s="6"/>
      <c r="B406" s="14"/>
    </row>
    <row r="407">
      <c r="A407" s="6"/>
      <c r="B407" s="14"/>
    </row>
    <row r="408">
      <c r="A408" s="6"/>
      <c r="B408" s="14"/>
    </row>
    <row r="409">
      <c r="A409" s="6"/>
      <c r="B409" s="14"/>
    </row>
    <row r="410">
      <c r="A410" s="6"/>
      <c r="B410" s="14"/>
    </row>
    <row r="411">
      <c r="A411" s="6"/>
      <c r="B411" s="14"/>
    </row>
    <row r="412">
      <c r="A412" s="6"/>
      <c r="B412" s="14"/>
    </row>
    <row r="413">
      <c r="A413" s="6"/>
      <c r="B413" s="14"/>
    </row>
    <row r="414">
      <c r="A414" s="6"/>
      <c r="B414" s="14"/>
    </row>
    <row r="415">
      <c r="A415" s="6"/>
      <c r="B415" s="14"/>
    </row>
    <row r="416">
      <c r="A416" s="6"/>
      <c r="B416" s="14"/>
    </row>
    <row r="417">
      <c r="A417" s="6"/>
      <c r="B417" s="14"/>
    </row>
    <row r="418">
      <c r="A418" s="6"/>
      <c r="B418" s="14"/>
    </row>
    <row r="419">
      <c r="A419" s="6"/>
      <c r="B419" s="14"/>
    </row>
    <row r="420">
      <c r="A420" s="6"/>
      <c r="B420" s="14"/>
    </row>
    <row r="421">
      <c r="A421" s="6"/>
      <c r="B421" s="14"/>
    </row>
    <row r="422">
      <c r="A422" s="6"/>
      <c r="B422" s="14"/>
    </row>
    <row r="423">
      <c r="A423" s="6"/>
      <c r="B423" s="14"/>
    </row>
    <row r="424">
      <c r="A424" s="6"/>
      <c r="B424" s="14"/>
    </row>
    <row r="425">
      <c r="A425" s="6"/>
      <c r="B425" s="14"/>
    </row>
    <row r="426">
      <c r="A426" s="6"/>
      <c r="B426" s="14"/>
    </row>
    <row r="427">
      <c r="A427" s="6"/>
      <c r="B427" s="14"/>
    </row>
    <row r="428">
      <c r="A428" s="6"/>
      <c r="B428" s="14"/>
    </row>
    <row r="429">
      <c r="A429" s="6"/>
      <c r="B429" s="14"/>
    </row>
    <row r="430">
      <c r="A430" s="6"/>
      <c r="B430" s="14"/>
    </row>
    <row r="431">
      <c r="A431" s="6"/>
      <c r="B431" s="14"/>
    </row>
    <row r="432">
      <c r="A432" s="6"/>
      <c r="B432" s="14"/>
    </row>
    <row r="433">
      <c r="A433" s="6"/>
      <c r="B433" s="14"/>
    </row>
    <row r="434">
      <c r="A434" s="6"/>
      <c r="B434" s="14"/>
    </row>
    <row r="435">
      <c r="A435" s="6"/>
      <c r="B435" s="14"/>
    </row>
    <row r="436">
      <c r="A436" s="6"/>
      <c r="B436" s="14"/>
    </row>
    <row r="437">
      <c r="A437" s="6"/>
      <c r="B437" s="14"/>
    </row>
    <row r="438">
      <c r="A438" s="6"/>
      <c r="B438" s="14"/>
    </row>
    <row r="439">
      <c r="A439" s="6"/>
      <c r="B439" s="14"/>
    </row>
    <row r="440">
      <c r="A440" s="6"/>
      <c r="B440" s="14"/>
    </row>
    <row r="441">
      <c r="A441" s="6"/>
      <c r="B441" s="14"/>
    </row>
    <row r="442">
      <c r="A442" s="6"/>
      <c r="B442" s="14"/>
    </row>
    <row r="443">
      <c r="A443" s="6"/>
      <c r="B443" s="14"/>
    </row>
    <row r="444">
      <c r="A444" s="6"/>
      <c r="B444" s="14"/>
    </row>
    <row r="445">
      <c r="A445" s="6"/>
      <c r="B445" s="14"/>
    </row>
    <row r="446">
      <c r="A446" s="6"/>
      <c r="B446" s="14"/>
    </row>
    <row r="447">
      <c r="A447" s="6"/>
      <c r="B447" s="14"/>
    </row>
    <row r="448">
      <c r="A448" s="6"/>
      <c r="B448" s="14"/>
    </row>
    <row r="449">
      <c r="A449" s="6"/>
      <c r="B449" s="14"/>
    </row>
    <row r="450">
      <c r="A450" s="6"/>
      <c r="B450" s="14"/>
    </row>
    <row r="451">
      <c r="A451" s="6"/>
      <c r="B451" s="14"/>
    </row>
    <row r="452">
      <c r="A452" s="6"/>
      <c r="B452" s="14"/>
    </row>
    <row r="453">
      <c r="A453" s="6"/>
      <c r="B453" s="14"/>
    </row>
    <row r="454">
      <c r="A454" s="6"/>
      <c r="B454" s="14"/>
    </row>
    <row r="455">
      <c r="A455" s="6"/>
      <c r="B455" s="14"/>
    </row>
    <row r="456">
      <c r="A456" s="6"/>
      <c r="B456" s="14"/>
    </row>
    <row r="457">
      <c r="A457" s="6"/>
      <c r="B457" s="14"/>
    </row>
    <row r="458">
      <c r="A458" s="6"/>
      <c r="B458" s="14"/>
    </row>
    <row r="459">
      <c r="A459" s="6"/>
      <c r="B459" s="14"/>
    </row>
    <row r="460">
      <c r="A460" s="6"/>
      <c r="B460" s="14"/>
    </row>
    <row r="461">
      <c r="A461" s="6"/>
      <c r="B461" s="14"/>
    </row>
    <row r="462">
      <c r="A462" s="6"/>
      <c r="B462" s="14"/>
    </row>
    <row r="463">
      <c r="A463" s="6"/>
      <c r="B463" s="14"/>
    </row>
    <row r="464">
      <c r="A464" s="6"/>
      <c r="B464" s="14"/>
    </row>
    <row r="465">
      <c r="A465" s="6"/>
      <c r="B465" s="14"/>
    </row>
    <row r="466">
      <c r="A466" s="6"/>
      <c r="B466" s="14"/>
    </row>
    <row r="467">
      <c r="A467" s="6"/>
      <c r="B467" s="14"/>
    </row>
    <row r="468">
      <c r="A468" s="6"/>
      <c r="B468" s="14"/>
    </row>
    <row r="469">
      <c r="A469" s="6"/>
      <c r="B469" s="14"/>
    </row>
    <row r="470">
      <c r="A470" s="6"/>
      <c r="B470" s="14"/>
    </row>
    <row r="471">
      <c r="A471" s="6"/>
      <c r="B471" s="14"/>
    </row>
    <row r="472">
      <c r="A472" s="6"/>
      <c r="B472" s="14"/>
    </row>
    <row r="473">
      <c r="A473" s="6"/>
      <c r="B473" s="14"/>
    </row>
    <row r="474">
      <c r="A474" s="6"/>
      <c r="B474" s="14"/>
    </row>
    <row r="475">
      <c r="A475" s="6"/>
      <c r="B475" s="14"/>
    </row>
    <row r="476">
      <c r="A476" s="6"/>
      <c r="B476" s="14"/>
    </row>
    <row r="477">
      <c r="A477" s="6"/>
      <c r="B477" s="14"/>
    </row>
    <row r="478">
      <c r="A478" s="6"/>
      <c r="B478" s="14"/>
    </row>
    <row r="479">
      <c r="A479" s="6"/>
      <c r="B479" s="14"/>
    </row>
    <row r="480">
      <c r="A480" s="6"/>
      <c r="B480" s="14"/>
    </row>
    <row r="481">
      <c r="A481" s="6"/>
      <c r="B481" s="14"/>
    </row>
    <row r="482">
      <c r="A482" s="6"/>
      <c r="B482" s="14"/>
    </row>
    <row r="483">
      <c r="A483" s="6"/>
      <c r="B483" s="14"/>
    </row>
    <row r="484">
      <c r="A484" s="6"/>
      <c r="B484" s="14"/>
    </row>
    <row r="485">
      <c r="A485" s="6"/>
      <c r="B485" s="14"/>
    </row>
    <row r="486">
      <c r="A486" s="6"/>
      <c r="B486" s="14"/>
    </row>
    <row r="487">
      <c r="A487" s="6"/>
      <c r="B487" s="14"/>
    </row>
    <row r="488">
      <c r="A488" s="6"/>
      <c r="B488" s="14"/>
    </row>
    <row r="489">
      <c r="A489" s="6"/>
      <c r="B489" s="14"/>
    </row>
    <row r="490">
      <c r="A490" s="6"/>
      <c r="B490" s="14"/>
    </row>
    <row r="491">
      <c r="A491" s="6"/>
      <c r="B491" s="14"/>
    </row>
    <row r="492">
      <c r="A492" s="6"/>
      <c r="B492" s="14"/>
    </row>
    <row r="493">
      <c r="A493" s="6"/>
      <c r="B493" s="14"/>
    </row>
    <row r="494">
      <c r="A494" s="6"/>
      <c r="B494" s="14"/>
    </row>
    <row r="495">
      <c r="A495" s="6"/>
      <c r="B495" s="14"/>
    </row>
    <row r="496">
      <c r="A496" s="6"/>
      <c r="B496" s="14"/>
    </row>
    <row r="497">
      <c r="A497" s="6"/>
      <c r="B497" s="14"/>
    </row>
    <row r="498">
      <c r="A498" s="6"/>
      <c r="B498" s="14"/>
    </row>
    <row r="499">
      <c r="A499" s="6"/>
      <c r="B499" s="14"/>
    </row>
    <row r="500">
      <c r="A500" s="6"/>
      <c r="B500" s="14"/>
    </row>
    <row r="501">
      <c r="A501" s="6"/>
      <c r="B501" s="14"/>
    </row>
    <row r="502">
      <c r="A502" s="6"/>
      <c r="B502" s="14"/>
    </row>
    <row r="503">
      <c r="A503" s="6"/>
      <c r="B503" s="14"/>
    </row>
    <row r="504">
      <c r="A504" s="6"/>
      <c r="B504" s="14"/>
    </row>
    <row r="505">
      <c r="A505" s="6"/>
      <c r="B505" s="14"/>
    </row>
    <row r="506">
      <c r="A506" s="6"/>
      <c r="B506" s="14"/>
    </row>
    <row r="507">
      <c r="A507" s="6"/>
      <c r="B507" s="14"/>
    </row>
    <row r="508">
      <c r="A508" s="6"/>
      <c r="B508" s="14"/>
    </row>
    <row r="509">
      <c r="A509" s="6"/>
      <c r="B509" s="14"/>
    </row>
    <row r="510">
      <c r="A510" s="6"/>
      <c r="B510" s="14"/>
    </row>
    <row r="511">
      <c r="A511" s="6"/>
      <c r="B511" s="14"/>
    </row>
    <row r="512">
      <c r="A512" s="6"/>
      <c r="B512" s="14"/>
    </row>
    <row r="513">
      <c r="A513" s="6"/>
      <c r="B513" s="14"/>
    </row>
    <row r="514">
      <c r="A514" s="6"/>
      <c r="B514" s="14"/>
    </row>
    <row r="515">
      <c r="A515" s="6"/>
      <c r="B515" s="14"/>
    </row>
    <row r="516">
      <c r="A516" s="6"/>
      <c r="B516" s="14"/>
    </row>
    <row r="517">
      <c r="A517" s="6"/>
      <c r="B517" s="14"/>
    </row>
    <row r="518">
      <c r="A518" s="6"/>
      <c r="B518" s="14"/>
    </row>
    <row r="519">
      <c r="A519" s="6"/>
      <c r="B519" s="14"/>
    </row>
    <row r="520">
      <c r="A520" s="6"/>
      <c r="B520" s="14"/>
    </row>
    <row r="521">
      <c r="A521" s="6"/>
      <c r="B521" s="14"/>
    </row>
    <row r="522">
      <c r="A522" s="6"/>
      <c r="B522" s="14"/>
    </row>
    <row r="523">
      <c r="A523" s="6"/>
      <c r="B523" s="14"/>
    </row>
    <row r="524">
      <c r="A524" s="6"/>
      <c r="B524" s="14"/>
    </row>
    <row r="525">
      <c r="A525" s="6"/>
      <c r="B525" s="14"/>
    </row>
    <row r="526">
      <c r="A526" s="6"/>
      <c r="B526" s="14"/>
    </row>
    <row r="527">
      <c r="A527" s="6"/>
      <c r="B527" s="14"/>
    </row>
    <row r="528">
      <c r="A528" s="6"/>
      <c r="B528" s="14"/>
    </row>
    <row r="529">
      <c r="A529" s="6"/>
      <c r="B529" s="14"/>
    </row>
    <row r="530">
      <c r="A530" s="6"/>
      <c r="B530" s="14"/>
    </row>
    <row r="531">
      <c r="A531" s="6"/>
      <c r="B531" s="14"/>
    </row>
    <row r="532">
      <c r="A532" s="6"/>
      <c r="B532" s="14"/>
    </row>
    <row r="533">
      <c r="A533" s="6"/>
      <c r="B533" s="14"/>
    </row>
    <row r="534">
      <c r="A534" s="6"/>
      <c r="B534" s="14"/>
    </row>
    <row r="535">
      <c r="A535" s="6"/>
      <c r="B535" s="14"/>
    </row>
    <row r="536">
      <c r="A536" s="6"/>
      <c r="B536" s="14"/>
    </row>
    <row r="537">
      <c r="A537" s="6"/>
      <c r="B537" s="14"/>
    </row>
    <row r="538">
      <c r="A538" s="6"/>
      <c r="B538" s="14"/>
    </row>
    <row r="539">
      <c r="A539" s="6"/>
      <c r="B539" s="14"/>
    </row>
    <row r="540">
      <c r="A540" s="6"/>
      <c r="B540" s="14"/>
    </row>
    <row r="541">
      <c r="A541" s="6"/>
      <c r="B541" s="14"/>
    </row>
    <row r="542">
      <c r="A542" s="6"/>
      <c r="B542" s="14"/>
    </row>
    <row r="543">
      <c r="A543" s="6"/>
      <c r="B543" s="14"/>
    </row>
    <row r="544">
      <c r="A544" s="6"/>
      <c r="B544" s="14"/>
    </row>
    <row r="545">
      <c r="A545" s="6"/>
      <c r="B545" s="14"/>
    </row>
    <row r="546">
      <c r="A546" s="6"/>
      <c r="B546" s="14"/>
    </row>
    <row r="547">
      <c r="A547" s="6"/>
      <c r="B547" s="14"/>
    </row>
    <row r="548">
      <c r="A548" s="6"/>
      <c r="B548" s="14"/>
    </row>
    <row r="549">
      <c r="A549" s="6"/>
      <c r="B549" s="14"/>
    </row>
    <row r="550">
      <c r="A550" s="6"/>
      <c r="B550" s="14"/>
    </row>
    <row r="551">
      <c r="A551" s="6"/>
      <c r="B551" s="14"/>
    </row>
    <row r="552">
      <c r="A552" s="6"/>
      <c r="B552" s="14"/>
    </row>
    <row r="553">
      <c r="A553" s="6"/>
      <c r="B553" s="14"/>
    </row>
    <row r="554">
      <c r="A554" s="6"/>
      <c r="B554" s="14"/>
    </row>
    <row r="555">
      <c r="A555" s="6"/>
      <c r="B555" s="14"/>
    </row>
    <row r="556">
      <c r="A556" s="6"/>
      <c r="B556" s="14"/>
    </row>
    <row r="557">
      <c r="A557" s="6"/>
      <c r="B557" s="14"/>
    </row>
    <row r="558">
      <c r="A558" s="6"/>
      <c r="B558" s="14"/>
    </row>
    <row r="559">
      <c r="A559" s="6"/>
      <c r="B559" s="14"/>
    </row>
    <row r="560">
      <c r="A560" s="6"/>
      <c r="B560" s="14"/>
    </row>
    <row r="561">
      <c r="A561" s="6"/>
      <c r="B561" s="14"/>
    </row>
    <row r="562">
      <c r="A562" s="6"/>
      <c r="B562" s="14"/>
    </row>
    <row r="563">
      <c r="A563" s="6"/>
      <c r="B563" s="14"/>
    </row>
    <row r="564">
      <c r="A564" s="6"/>
      <c r="B564" s="14"/>
    </row>
    <row r="565">
      <c r="A565" s="6"/>
      <c r="B565" s="14"/>
    </row>
    <row r="566">
      <c r="A566" s="6"/>
      <c r="B566" s="14"/>
    </row>
    <row r="567">
      <c r="A567" s="6"/>
      <c r="B567" s="14"/>
    </row>
    <row r="568">
      <c r="A568" s="6"/>
      <c r="B568" s="14"/>
    </row>
    <row r="569">
      <c r="A569" s="6"/>
      <c r="B569" s="14"/>
    </row>
    <row r="570">
      <c r="A570" s="6"/>
      <c r="B570" s="14"/>
    </row>
    <row r="571">
      <c r="A571" s="6"/>
      <c r="B571" s="14"/>
    </row>
    <row r="572">
      <c r="A572" s="6"/>
      <c r="B572" s="14"/>
    </row>
    <row r="573">
      <c r="A573" s="6"/>
      <c r="B573" s="14"/>
    </row>
    <row r="574">
      <c r="A574" s="6"/>
      <c r="B574" s="14"/>
    </row>
    <row r="575">
      <c r="A575" s="6"/>
      <c r="B575" s="14"/>
    </row>
    <row r="576">
      <c r="A576" s="6"/>
      <c r="B576" s="14"/>
    </row>
    <row r="577">
      <c r="A577" s="6"/>
      <c r="B577" s="14"/>
    </row>
    <row r="578">
      <c r="A578" s="6"/>
      <c r="B578" s="14"/>
    </row>
    <row r="579">
      <c r="A579" s="6"/>
      <c r="B579" s="14"/>
    </row>
    <row r="580">
      <c r="A580" s="6"/>
      <c r="B580" s="14"/>
    </row>
    <row r="581">
      <c r="A581" s="6"/>
      <c r="B581" s="14"/>
    </row>
    <row r="582">
      <c r="A582" s="6"/>
      <c r="B582" s="14"/>
    </row>
    <row r="583">
      <c r="A583" s="6"/>
      <c r="B583" s="14"/>
    </row>
    <row r="584">
      <c r="A584" s="6"/>
      <c r="B584" s="14"/>
    </row>
    <row r="585">
      <c r="A585" s="6"/>
      <c r="B585" s="14"/>
    </row>
    <row r="586">
      <c r="A586" s="6"/>
      <c r="B586" s="14"/>
    </row>
    <row r="587">
      <c r="A587" s="6"/>
      <c r="B587" s="14"/>
    </row>
    <row r="588">
      <c r="A588" s="6"/>
      <c r="B588" s="14"/>
    </row>
    <row r="589">
      <c r="A589" s="6"/>
      <c r="B589" s="14"/>
    </row>
    <row r="590">
      <c r="A590" s="6"/>
      <c r="B590" s="14"/>
    </row>
    <row r="591">
      <c r="A591" s="6"/>
      <c r="B591" s="14"/>
    </row>
    <row r="592">
      <c r="A592" s="6"/>
      <c r="B592" s="14"/>
    </row>
    <row r="593">
      <c r="A593" s="6"/>
      <c r="B593" s="14"/>
    </row>
    <row r="594">
      <c r="A594" s="6"/>
      <c r="B594" s="14"/>
    </row>
    <row r="595">
      <c r="A595" s="6"/>
      <c r="B595" s="14"/>
    </row>
    <row r="596">
      <c r="A596" s="6"/>
      <c r="B596" s="14"/>
    </row>
    <row r="597">
      <c r="A597" s="6"/>
      <c r="B597" s="14"/>
    </row>
    <row r="598">
      <c r="A598" s="6"/>
      <c r="B598" s="14"/>
    </row>
    <row r="599">
      <c r="A599" s="6"/>
      <c r="B599" s="14"/>
    </row>
    <row r="600">
      <c r="A600" s="6"/>
      <c r="B600" s="14"/>
    </row>
    <row r="601">
      <c r="A601" s="6"/>
      <c r="B601" s="14"/>
    </row>
    <row r="602">
      <c r="A602" s="6"/>
      <c r="B602" s="14"/>
    </row>
    <row r="603">
      <c r="A603" s="6"/>
      <c r="B603" s="14"/>
    </row>
    <row r="604">
      <c r="A604" s="6"/>
      <c r="B604" s="14"/>
    </row>
    <row r="605">
      <c r="A605" s="6"/>
      <c r="B605" s="14"/>
    </row>
    <row r="606">
      <c r="A606" s="6"/>
      <c r="B606" s="14"/>
    </row>
    <row r="607">
      <c r="A607" s="6"/>
      <c r="B607" s="14"/>
    </row>
    <row r="608">
      <c r="A608" s="6"/>
      <c r="B608" s="14"/>
    </row>
    <row r="609">
      <c r="A609" s="6"/>
      <c r="B609" s="14"/>
    </row>
    <row r="610">
      <c r="A610" s="6"/>
      <c r="B610" s="14"/>
    </row>
    <row r="611">
      <c r="A611" s="6"/>
      <c r="B611" s="14"/>
    </row>
    <row r="612">
      <c r="A612" s="6"/>
      <c r="B612" s="14"/>
    </row>
    <row r="613">
      <c r="A613" s="6"/>
      <c r="B613" s="14"/>
    </row>
    <row r="614">
      <c r="A614" s="6"/>
      <c r="B614" s="14"/>
    </row>
    <row r="615">
      <c r="A615" s="6"/>
      <c r="B615" s="14"/>
    </row>
    <row r="616">
      <c r="A616" s="6"/>
      <c r="B616" s="14"/>
    </row>
    <row r="617">
      <c r="A617" s="6"/>
      <c r="B617" s="14"/>
    </row>
    <row r="618">
      <c r="A618" s="6"/>
      <c r="B618" s="14"/>
    </row>
    <row r="619">
      <c r="A619" s="6"/>
      <c r="B619" s="14"/>
    </row>
    <row r="620">
      <c r="A620" s="6"/>
      <c r="B620" s="14"/>
    </row>
    <row r="621">
      <c r="A621" s="6"/>
      <c r="B621" s="14"/>
    </row>
    <row r="622">
      <c r="A622" s="6"/>
      <c r="B622" s="14"/>
    </row>
    <row r="623">
      <c r="A623" s="6"/>
      <c r="B623" s="14"/>
    </row>
    <row r="624">
      <c r="A624" s="6"/>
      <c r="B624" s="14"/>
    </row>
    <row r="625">
      <c r="A625" s="6"/>
      <c r="B625" s="14"/>
    </row>
    <row r="626">
      <c r="A626" s="6"/>
      <c r="B626" s="14"/>
    </row>
    <row r="627">
      <c r="A627" s="6"/>
      <c r="B627" s="14"/>
    </row>
    <row r="628">
      <c r="A628" s="6"/>
      <c r="B628" s="14"/>
    </row>
    <row r="629">
      <c r="A629" s="6"/>
      <c r="B629" s="14"/>
    </row>
    <row r="630">
      <c r="A630" s="6"/>
      <c r="B630" s="14"/>
    </row>
    <row r="631">
      <c r="A631" s="6"/>
      <c r="B631" s="14"/>
    </row>
    <row r="632">
      <c r="A632" s="6"/>
      <c r="B632" s="14"/>
    </row>
    <row r="633">
      <c r="A633" s="6"/>
      <c r="B633" s="14"/>
    </row>
    <row r="634">
      <c r="A634" s="6"/>
      <c r="B634" s="14"/>
    </row>
    <row r="635">
      <c r="A635" s="6"/>
      <c r="B635" s="14"/>
    </row>
    <row r="636">
      <c r="A636" s="6"/>
      <c r="B636" s="14"/>
    </row>
    <row r="637">
      <c r="A637" s="6"/>
      <c r="B637" s="14"/>
    </row>
    <row r="638">
      <c r="A638" s="6"/>
      <c r="B638" s="14"/>
    </row>
    <row r="639">
      <c r="A639" s="6"/>
      <c r="B639" s="14"/>
    </row>
    <row r="640">
      <c r="A640" s="6"/>
      <c r="B640" s="14"/>
    </row>
    <row r="641">
      <c r="A641" s="6"/>
      <c r="B641" s="14"/>
    </row>
    <row r="642">
      <c r="A642" s="6"/>
      <c r="B642" s="14"/>
    </row>
    <row r="643">
      <c r="A643" s="6"/>
      <c r="B643" s="14"/>
    </row>
    <row r="644">
      <c r="A644" s="6"/>
      <c r="B644" s="14"/>
    </row>
    <row r="645">
      <c r="A645" s="6"/>
      <c r="B645" s="14"/>
    </row>
    <row r="646">
      <c r="A646" s="6"/>
      <c r="B646" s="14"/>
    </row>
    <row r="647">
      <c r="A647" s="6"/>
      <c r="B647" s="14"/>
    </row>
    <row r="648">
      <c r="A648" s="6"/>
      <c r="B648" s="14"/>
    </row>
    <row r="649">
      <c r="A649" s="6"/>
      <c r="B649" s="14"/>
    </row>
    <row r="650">
      <c r="A650" s="6"/>
      <c r="B650" s="14"/>
    </row>
    <row r="651">
      <c r="A651" s="6"/>
      <c r="B651" s="14"/>
    </row>
    <row r="652">
      <c r="A652" s="6"/>
      <c r="B652" s="14"/>
    </row>
    <row r="653">
      <c r="A653" s="6"/>
      <c r="B653" s="14"/>
    </row>
    <row r="654">
      <c r="A654" s="6"/>
      <c r="B654" s="14"/>
    </row>
    <row r="655">
      <c r="A655" s="6"/>
      <c r="B655" s="14"/>
    </row>
    <row r="656">
      <c r="A656" s="6"/>
      <c r="B656" s="14"/>
    </row>
    <row r="657">
      <c r="A657" s="6"/>
      <c r="B657" s="14"/>
    </row>
    <row r="658">
      <c r="A658" s="6"/>
      <c r="B658" s="14"/>
    </row>
    <row r="659">
      <c r="A659" s="6"/>
      <c r="B659" s="14"/>
    </row>
    <row r="660">
      <c r="A660" s="6"/>
      <c r="B660" s="14"/>
    </row>
    <row r="661">
      <c r="A661" s="6"/>
      <c r="B661" s="14"/>
    </row>
    <row r="662">
      <c r="A662" s="6"/>
      <c r="B662" s="14"/>
    </row>
    <row r="663">
      <c r="A663" s="6"/>
      <c r="B663" s="14"/>
    </row>
    <row r="664">
      <c r="A664" s="6"/>
      <c r="B664" s="14"/>
    </row>
    <row r="665">
      <c r="A665" s="6"/>
      <c r="B665" s="14"/>
    </row>
    <row r="666">
      <c r="A666" s="6"/>
      <c r="B666" s="14"/>
    </row>
    <row r="667">
      <c r="A667" s="6"/>
      <c r="B667" s="14"/>
    </row>
    <row r="668">
      <c r="A668" s="6"/>
      <c r="B668" s="14"/>
    </row>
    <row r="669">
      <c r="A669" s="6"/>
      <c r="B669" s="14"/>
    </row>
    <row r="670">
      <c r="A670" s="6"/>
      <c r="B670" s="14"/>
    </row>
    <row r="671">
      <c r="A671" s="6"/>
      <c r="B671" s="14"/>
    </row>
    <row r="672">
      <c r="A672" s="6"/>
      <c r="B672" s="14"/>
    </row>
    <row r="673">
      <c r="A673" s="6"/>
      <c r="B673" s="14"/>
    </row>
    <row r="674">
      <c r="A674" s="6"/>
      <c r="B674" s="14"/>
    </row>
    <row r="675">
      <c r="A675" s="6"/>
      <c r="B675" s="14"/>
    </row>
    <row r="676">
      <c r="A676" s="6"/>
      <c r="B676" s="14"/>
    </row>
    <row r="677">
      <c r="A677" s="6"/>
      <c r="B677" s="14"/>
    </row>
    <row r="678">
      <c r="A678" s="6"/>
      <c r="B678" s="14"/>
    </row>
    <row r="679">
      <c r="A679" s="6"/>
      <c r="B679" s="14"/>
    </row>
    <row r="680">
      <c r="A680" s="6"/>
      <c r="B680" s="14"/>
    </row>
    <row r="681">
      <c r="A681" s="6"/>
      <c r="B681" s="14"/>
    </row>
    <row r="682">
      <c r="A682" s="6"/>
      <c r="B682" s="14"/>
    </row>
    <row r="683">
      <c r="A683" s="6"/>
      <c r="B683" s="14"/>
    </row>
    <row r="684">
      <c r="A684" s="6"/>
      <c r="B684" s="14"/>
    </row>
    <row r="685">
      <c r="A685" s="6"/>
      <c r="B685" s="14"/>
    </row>
    <row r="686">
      <c r="A686" s="6"/>
      <c r="B686" s="14"/>
    </row>
    <row r="687">
      <c r="A687" s="6"/>
      <c r="B687" s="14"/>
    </row>
    <row r="688">
      <c r="A688" s="6"/>
      <c r="B688" s="14"/>
    </row>
    <row r="689">
      <c r="A689" s="6"/>
      <c r="B689" s="14"/>
    </row>
    <row r="690">
      <c r="A690" s="6"/>
      <c r="B690" s="14"/>
    </row>
    <row r="691">
      <c r="A691" s="6"/>
      <c r="B691" s="14"/>
    </row>
    <row r="692">
      <c r="A692" s="6"/>
      <c r="B692" s="14"/>
    </row>
    <row r="693">
      <c r="A693" s="6"/>
      <c r="B693" s="14"/>
    </row>
    <row r="694">
      <c r="A694" s="6"/>
      <c r="B694" s="14"/>
    </row>
    <row r="695">
      <c r="A695" s="6"/>
      <c r="B695" s="14"/>
    </row>
    <row r="696">
      <c r="A696" s="6"/>
      <c r="B696" s="14"/>
    </row>
    <row r="697">
      <c r="A697" s="6"/>
      <c r="B697" s="14"/>
    </row>
    <row r="698">
      <c r="A698" s="6"/>
      <c r="B698" s="14"/>
    </row>
    <row r="699">
      <c r="A699" s="6"/>
      <c r="B699" s="14"/>
    </row>
    <row r="700">
      <c r="A700" s="6"/>
      <c r="B700" s="14"/>
    </row>
    <row r="701">
      <c r="A701" s="6"/>
      <c r="B701" s="14"/>
    </row>
    <row r="702">
      <c r="A702" s="6"/>
      <c r="B702" s="14"/>
    </row>
    <row r="703">
      <c r="A703" s="6"/>
      <c r="B703" s="14"/>
    </row>
    <row r="704">
      <c r="A704" s="6"/>
      <c r="B704" s="14"/>
    </row>
    <row r="705">
      <c r="A705" s="6"/>
      <c r="B705" s="14"/>
    </row>
    <row r="706">
      <c r="A706" s="6"/>
      <c r="B706" s="14"/>
    </row>
    <row r="707">
      <c r="A707" s="6"/>
      <c r="B707" s="14"/>
    </row>
    <row r="708">
      <c r="A708" s="6"/>
      <c r="B708" s="14"/>
    </row>
    <row r="709">
      <c r="A709" s="6"/>
      <c r="B709" s="14"/>
    </row>
    <row r="710">
      <c r="A710" s="6"/>
      <c r="B710" s="14"/>
    </row>
    <row r="711">
      <c r="A711" s="6"/>
      <c r="B711" s="14"/>
    </row>
    <row r="712">
      <c r="A712" s="6"/>
      <c r="B712" s="14"/>
    </row>
    <row r="713">
      <c r="A713" s="6"/>
      <c r="B713" s="14"/>
    </row>
    <row r="714">
      <c r="A714" s="6"/>
      <c r="B714" s="14"/>
    </row>
    <row r="715">
      <c r="A715" s="6"/>
      <c r="B715" s="14"/>
    </row>
    <row r="716">
      <c r="A716" s="6"/>
      <c r="B716" s="14"/>
    </row>
    <row r="717">
      <c r="A717" s="6"/>
      <c r="B717" s="14"/>
    </row>
    <row r="718">
      <c r="A718" s="6"/>
      <c r="B718" s="14"/>
    </row>
    <row r="719">
      <c r="A719" s="6"/>
      <c r="B719" s="14"/>
    </row>
    <row r="720">
      <c r="A720" s="6"/>
      <c r="B720" s="14"/>
    </row>
    <row r="721">
      <c r="A721" s="6"/>
      <c r="B721" s="14"/>
    </row>
    <row r="722">
      <c r="A722" s="6"/>
      <c r="B722" s="14"/>
    </row>
    <row r="723">
      <c r="A723" s="6"/>
      <c r="B723" s="14"/>
    </row>
    <row r="724">
      <c r="A724" s="6"/>
      <c r="B724" s="14"/>
    </row>
    <row r="725">
      <c r="A725" s="6"/>
      <c r="B725" s="14"/>
    </row>
    <row r="726">
      <c r="A726" s="6"/>
      <c r="B726" s="14"/>
    </row>
    <row r="727">
      <c r="A727" s="6"/>
      <c r="B727" s="14"/>
    </row>
    <row r="728">
      <c r="A728" s="6"/>
      <c r="B728" s="14"/>
    </row>
    <row r="729">
      <c r="A729" s="6"/>
      <c r="B729" s="14"/>
    </row>
    <row r="730">
      <c r="A730" s="6"/>
      <c r="B730" s="14"/>
    </row>
    <row r="731">
      <c r="A731" s="6"/>
      <c r="B731" s="14"/>
    </row>
    <row r="732">
      <c r="A732" s="6"/>
      <c r="B732" s="14"/>
    </row>
    <row r="733">
      <c r="A733" s="6"/>
      <c r="B733" s="14"/>
    </row>
    <row r="734">
      <c r="A734" s="6"/>
      <c r="B734" s="14"/>
    </row>
    <row r="735">
      <c r="A735" s="6"/>
      <c r="B735" s="14"/>
    </row>
    <row r="736">
      <c r="A736" s="6"/>
      <c r="B736" s="14"/>
    </row>
    <row r="737">
      <c r="A737" s="6"/>
      <c r="B737" s="14"/>
    </row>
    <row r="738">
      <c r="A738" s="6"/>
      <c r="B738" s="14"/>
    </row>
    <row r="739">
      <c r="A739" s="6"/>
      <c r="B739" s="14"/>
    </row>
    <row r="740">
      <c r="A740" s="6"/>
      <c r="B740" s="14"/>
    </row>
    <row r="741">
      <c r="A741" s="6"/>
      <c r="B741" s="14"/>
    </row>
    <row r="742">
      <c r="A742" s="6"/>
      <c r="B742" s="14"/>
    </row>
    <row r="743">
      <c r="A743" s="6"/>
      <c r="B743" s="14"/>
    </row>
    <row r="744">
      <c r="A744" s="6"/>
      <c r="B744" s="14"/>
    </row>
    <row r="745">
      <c r="A745" s="6"/>
      <c r="B745" s="14"/>
    </row>
    <row r="746">
      <c r="A746" s="6"/>
      <c r="B746" s="14"/>
    </row>
    <row r="747">
      <c r="A747" s="6"/>
      <c r="B747" s="14"/>
    </row>
    <row r="748">
      <c r="A748" s="6"/>
      <c r="B748" s="14"/>
    </row>
    <row r="749">
      <c r="A749" s="6"/>
      <c r="B749" s="14"/>
    </row>
    <row r="750">
      <c r="A750" s="6"/>
      <c r="B750" s="14"/>
    </row>
    <row r="751">
      <c r="A751" s="6"/>
      <c r="B751" s="14"/>
    </row>
    <row r="752">
      <c r="A752" s="6"/>
      <c r="B752" s="14"/>
    </row>
    <row r="753">
      <c r="A753" s="6"/>
      <c r="B753" s="14"/>
    </row>
    <row r="754">
      <c r="A754" s="6"/>
      <c r="B754" s="14"/>
    </row>
    <row r="755">
      <c r="A755" s="6"/>
      <c r="B755" s="14"/>
    </row>
    <row r="756">
      <c r="A756" s="6"/>
      <c r="B756" s="14"/>
    </row>
    <row r="757">
      <c r="A757" s="6"/>
      <c r="B757" s="14"/>
    </row>
    <row r="758">
      <c r="A758" s="6"/>
      <c r="B758" s="14"/>
    </row>
    <row r="759">
      <c r="A759" s="6"/>
      <c r="B759" s="14"/>
    </row>
    <row r="760">
      <c r="A760" s="6"/>
      <c r="B760" s="14"/>
    </row>
    <row r="761">
      <c r="A761" s="6"/>
      <c r="B761" s="14"/>
    </row>
    <row r="762">
      <c r="A762" s="6"/>
      <c r="B762" s="14"/>
    </row>
    <row r="763">
      <c r="A763" s="6"/>
      <c r="B763" s="14"/>
    </row>
    <row r="764">
      <c r="A764" s="6"/>
      <c r="B764" s="14"/>
    </row>
    <row r="765">
      <c r="A765" s="6"/>
      <c r="B765" s="14"/>
    </row>
    <row r="766">
      <c r="A766" s="6"/>
      <c r="B766" s="14"/>
    </row>
    <row r="767">
      <c r="A767" s="6"/>
      <c r="B767" s="14"/>
    </row>
    <row r="768">
      <c r="A768" s="6"/>
      <c r="B768" s="14"/>
    </row>
    <row r="769">
      <c r="A769" s="6"/>
      <c r="B769" s="14"/>
    </row>
    <row r="770">
      <c r="A770" s="6"/>
      <c r="B770" s="14"/>
    </row>
    <row r="771">
      <c r="A771" s="6"/>
      <c r="B771" s="14"/>
    </row>
    <row r="772">
      <c r="A772" s="6"/>
      <c r="B772" s="14"/>
    </row>
    <row r="773">
      <c r="A773" s="6"/>
      <c r="B773" s="14"/>
    </row>
    <row r="774">
      <c r="A774" s="6"/>
      <c r="B774" s="14"/>
    </row>
    <row r="775">
      <c r="A775" s="6"/>
      <c r="B775" s="14"/>
    </row>
    <row r="776">
      <c r="A776" s="6"/>
      <c r="B776" s="14"/>
    </row>
    <row r="777">
      <c r="A777" s="6"/>
      <c r="B777" s="14"/>
    </row>
    <row r="778">
      <c r="A778" s="6"/>
      <c r="B778" s="14"/>
    </row>
    <row r="779">
      <c r="A779" s="6"/>
      <c r="B779" s="14"/>
    </row>
    <row r="780">
      <c r="A780" s="6"/>
      <c r="B780" s="14"/>
    </row>
    <row r="781">
      <c r="A781" s="6"/>
      <c r="B781" s="14"/>
    </row>
    <row r="782">
      <c r="A782" s="6"/>
      <c r="B782" s="14"/>
    </row>
    <row r="783">
      <c r="A783" s="6"/>
      <c r="B783" s="14"/>
    </row>
    <row r="784">
      <c r="A784" s="6"/>
      <c r="B784" s="14"/>
    </row>
    <row r="785">
      <c r="A785" s="6"/>
      <c r="B785" s="14"/>
    </row>
    <row r="786">
      <c r="A786" s="6"/>
      <c r="B786" s="14"/>
    </row>
    <row r="787">
      <c r="A787" s="6"/>
      <c r="B787" s="14"/>
    </row>
    <row r="788">
      <c r="A788" s="6"/>
      <c r="B788" s="14"/>
    </row>
    <row r="789">
      <c r="A789" s="6"/>
      <c r="B789" s="14"/>
    </row>
    <row r="790">
      <c r="A790" s="6"/>
      <c r="B790" s="14"/>
    </row>
    <row r="791">
      <c r="A791" s="6"/>
      <c r="B791" s="14"/>
    </row>
    <row r="792">
      <c r="A792" s="6"/>
      <c r="B792" s="14"/>
    </row>
    <row r="793">
      <c r="A793" s="6"/>
      <c r="B793" s="14"/>
    </row>
    <row r="794">
      <c r="A794" s="6"/>
      <c r="B794" s="14"/>
    </row>
    <row r="795">
      <c r="A795" s="6"/>
      <c r="B795" s="14"/>
    </row>
    <row r="796">
      <c r="A796" s="6"/>
      <c r="B796" s="14"/>
    </row>
    <row r="797">
      <c r="A797" s="6"/>
      <c r="B797" s="14"/>
    </row>
    <row r="798">
      <c r="A798" s="6"/>
      <c r="B798" s="14"/>
    </row>
    <row r="799">
      <c r="A799" s="6"/>
      <c r="B799" s="14"/>
    </row>
    <row r="800">
      <c r="A800" s="6"/>
      <c r="B800" s="14"/>
    </row>
    <row r="801">
      <c r="A801" s="6"/>
      <c r="B801" s="14"/>
    </row>
    <row r="802">
      <c r="A802" s="6"/>
      <c r="B802" s="14"/>
    </row>
    <row r="803">
      <c r="A803" s="6"/>
      <c r="B803" s="14"/>
    </row>
    <row r="804">
      <c r="A804" s="6"/>
      <c r="B804" s="14"/>
    </row>
    <row r="805">
      <c r="A805" s="6"/>
      <c r="B805" s="14"/>
    </row>
    <row r="806">
      <c r="A806" s="6"/>
      <c r="B806" s="14"/>
    </row>
    <row r="807">
      <c r="A807" s="6"/>
      <c r="B807" s="14"/>
    </row>
    <row r="808">
      <c r="A808" s="6"/>
      <c r="B808" s="14"/>
    </row>
    <row r="809">
      <c r="A809" s="6"/>
      <c r="B809" s="14"/>
    </row>
    <row r="810">
      <c r="A810" s="6"/>
      <c r="B810" s="14"/>
    </row>
    <row r="811">
      <c r="A811" s="6"/>
      <c r="B811" s="14"/>
    </row>
    <row r="812">
      <c r="A812" s="6"/>
      <c r="B812" s="14"/>
    </row>
    <row r="813">
      <c r="A813" s="6"/>
      <c r="B813" s="14"/>
    </row>
    <row r="814">
      <c r="A814" s="6"/>
      <c r="B814" s="14"/>
    </row>
    <row r="815">
      <c r="A815" s="6"/>
      <c r="B815" s="14"/>
    </row>
    <row r="816">
      <c r="A816" s="6"/>
      <c r="B816" s="14"/>
    </row>
    <row r="817">
      <c r="A817" s="6"/>
      <c r="B817" s="14"/>
    </row>
    <row r="818">
      <c r="A818" s="6"/>
      <c r="B818" s="14"/>
    </row>
    <row r="819">
      <c r="A819" s="6"/>
      <c r="B819" s="14"/>
    </row>
    <row r="820">
      <c r="A820" s="6"/>
      <c r="B820" s="14"/>
    </row>
    <row r="821">
      <c r="A821" s="6"/>
      <c r="B821" s="14"/>
    </row>
    <row r="822">
      <c r="A822" s="6"/>
      <c r="B822" s="14"/>
    </row>
    <row r="823">
      <c r="A823" s="6"/>
      <c r="B823" s="14"/>
    </row>
    <row r="824">
      <c r="A824" s="6"/>
      <c r="B824" s="14"/>
    </row>
    <row r="825">
      <c r="A825" s="6"/>
      <c r="B825" s="14"/>
    </row>
    <row r="826">
      <c r="A826" s="6"/>
      <c r="B826" s="14"/>
    </row>
    <row r="827">
      <c r="A827" s="6"/>
      <c r="B827" s="14"/>
    </row>
    <row r="828">
      <c r="A828" s="6"/>
      <c r="B828" s="14"/>
    </row>
    <row r="829">
      <c r="A829" s="6"/>
      <c r="B829" s="14"/>
    </row>
    <row r="830">
      <c r="A830" s="6"/>
      <c r="B830" s="14"/>
    </row>
    <row r="831">
      <c r="A831" s="6"/>
      <c r="B831" s="14"/>
    </row>
    <row r="832">
      <c r="A832" s="6"/>
      <c r="B832" s="14"/>
    </row>
    <row r="833">
      <c r="A833" s="6"/>
      <c r="B833" s="14"/>
    </row>
    <row r="834">
      <c r="A834" s="6"/>
      <c r="B834" s="14"/>
    </row>
    <row r="835">
      <c r="A835" s="6"/>
      <c r="B835" s="14"/>
    </row>
    <row r="836">
      <c r="A836" s="6"/>
      <c r="B836" s="14"/>
    </row>
    <row r="837">
      <c r="A837" s="6"/>
      <c r="B837" s="14"/>
    </row>
    <row r="838">
      <c r="A838" s="6"/>
      <c r="B838" s="14"/>
    </row>
    <row r="839">
      <c r="A839" s="6"/>
      <c r="B839" s="14"/>
    </row>
    <row r="840">
      <c r="A840" s="6"/>
      <c r="B840" s="14"/>
    </row>
    <row r="841">
      <c r="A841" s="6"/>
      <c r="B841" s="14"/>
    </row>
    <row r="842">
      <c r="A842" s="6"/>
      <c r="B842" s="14"/>
    </row>
    <row r="843">
      <c r="A843" s="6"/>
      <c r="B843" s="14"/>
    </row>
    <row r="844">
      <c r="A844" s="6"/>
      <c r="B844" s="14"/>
    </row>
    <row r="845">
      <c r="A845" s="6"/>
      <c r="B845" s="14"/>
    </row>
    <row r="846">
      <c r="A846" s="6"/>
      <c r="B846" s="14"/>
    </row>
    <row r="847">
      <c r="A847" s="6"/>
      <c r="B847" s="14"/>
    </row>
    <row r="848">
      <c r="A848" s="6"/>
      <c r="B848" s="14"/>
    </row>
    <row r="849">
      <c r="A849" s="6"/>
      <c r="B849" s="14"/>
    </row>
    <row r="850">
      <c r="A850" s="6"/>
      <c r="B850" s="14"/>
    </row>
    <row r="851">
      <c r="A851" s="6"/>
      <c r="B851" s="14"/>
    </row>
    <row r="852">
      <c r="A852" s="6"/>
      <c r="B852" s="14"/>
    </row>
    <row r="853">
      <c r="A853" s="6"/>
      <c r="B853" s="14"/>
    </row>
    <row r="854">
      <c r="A854" s="6"/>
      <c r="B854" s="14"/>
    </row>
    <row r="855">
      <c r="A855" s="6"/>
      <c r="B855" s="14"/>
    </row>
    <row r="856">
      <c r="A856" s="6"/>
      <c r="B856" s="14"/>
    </row>
    <row r="857">
      <c r="A857" s="6"/>
      <c r="B857" s="14"/>
    </row>
    <row r="858">
      <c r="A858" s="6"/>
      <c r="B858" s="14"/>
    </row>
    <row r="859">
      <c r="A859" s="6"/>
      <c r="B859" s="14"/>
    </row>
    <row r="860">
      <c r="A860" s="6"/>
      <c r="B860" s="14"/>
    </row>
    <row r="861">
      <c r="A861" s="6"/>
      <c r="B861" s="14"/>
    </row>
    <row r="862">
      <c r="A862" s="6"/>
      <c r="B862" s="14"/>
    </row>
    <row r="863">
      <c r="A863" s="6"/>
      <c r="B863" s="14"/>
    </row>
    <row r="864">
      <c r="A864" s="6"/>
      <c r="B864" s="14"/>
    </row>
    <row r="865">
      <c r="A865" s="6"/>
      <c r="B865" s="14"/>
    </row>
    <row r="866">
      <c r="A866" s="6"/>
      <c r="B866" s="14"/>
    </row>
    <row r="867">
      <c r="A867" s="6"/>
      <c r="B867" s="14"/>
    </row>
    <row r="868">
      <c r="A868" s="6"/>
      <c r="B868" s="14"/>
    </row>
    <row r="869">
      <c r="A869" s="6"/>
      <c r="B869" s="14"/>
    </row>
    <row r="870">
      <c r="A870" s="6"/>
      <c r="B870" s="14"/>
    </row>
    <row r="871">
      <c r="A871" s="6"/>
      <c r="B871" s="14"/>
    </row>
    <row r="872">
      <c r="A872" s="6"/>
      <c r="B872" s="14"/>
    </row>
    <row r="873">
      <c r="A873" s="6"/>
      <c r="B873" s="14"/>
    </row>
    <row r="874">
      <c r="A874" s="6"/>
      <c r="B874" s="14"/>
    </row>
    <row r="875">
      <c r="A875" s="6"/>
      <c r="B875" s="14"/>
    </row>
    <row r="876">
      <c r="A876" s="6"/>
      <c r="B876" s="14"/>
    </row>
    <row r="877">
      <c r="A877" s="6"/>
      <c r="B877" s="14"/>
    </row>
    <row r="878">
      <c r="A878" s="6"/>
      <c r="B878" s="14"/>
    </row>
    <row r="879">
      <c r="A879" s="6"/>
      <c r="B879" s="14"/>
    </row>
    <row r="880">
      <c r="A880" s="6"/>
      <c r="B880" s="14"/>
    </row>
    <row r="881">
      <c r="A881" s="6"/>
      <c r="B881" s="14"/>
    </row>
    <row r="882">
      <c r="A882" s="6"/>
      <c r="B882" s="14"/>
    </row>
    <row r="883">
      <c r="A883" s="6"/>
      <c r="B883" s="14"/>
    </row>
    <row r="884">
      <c r="A884" s="6"/>
      <c r="B884" s="14"/>
    </row>
    <row r="885">
      <c r="A885" s="6"/>
      <c r="B885" s="14"/>
    </row>
    <row r="886">
      <c r="A886" s="6"/>
      <c r="B886" s="14"/>
    </row>
    <row r="887">
      <c r="A887" s="6"/>
      <c r="B887" s="14"/>
    </row>
    <row r="888">
      <c r="A888" s="6"/>
      <c r="B888" s="14"/>
    </row>
    <row r="889">
      <c r="A889" s="6"/>
      <c r="B889" s="14"/>
    </row>
    <row r="890">
      <c r="A890" s="6"/>
      <c r="B890" s="14"/>
    </row>
    <row r="891">
      <c r="A891" s="6"/>
      <c r="B891" s="14"/>
    </row>
    <row r="892">
      <c r="A892" s="6"/>
      <c r="B892" s="14"/>
    </row>
    <row r="893">
      <c r="A893" s="6"/>
      <c r="B893" s="14"/>
    </row>
    <row r="894">
      <c r="A894" s="6"/>
      <c r="B894" s="14"/>
    </row>
    <row r="895">
      <c r="A895" s="6"/>
      <c r="B895" s="14"/>
    </row>
    <row r="896">
      <c r="A896" s="6"/>
      <c r="B896" s="14"/>
    </row>
    <row r="897">
      <c r="A897" s="6"/>
      <c r="B897" s="14"/>
    </row>
    <row r="898">
      <c r="A898" s="6"/>
      <c r="B898" s="14"/>
    </row>
    <row r="899">
      <c r="A899" s="6"/>
      <c r="B899" s="14"/>
    </row>
    <row r="900">
      <c r="A900" s="6"/>
      <c r="B900" s="14"/>
    </row>
    <row r="901">
      <c r="A901" s="6"/>
      <c r="B901" s="14"/>
    </row>
    <row r="902">
      <c r="A902" s="6"/>
      <c r="B902" s="14"/>
    </row>
    <row r="903">
      <c r="A903" s="6"/>
      <c r="B903" s="14"/>
    </row>
    <row r="904">
      <c r="A904" s="6"/>
      <c r="B904" s="14"/>
    </row>
    <row r="905">
      <c r="A905" s="6"/>
      <c r="B905" s="14"/>
    </row>
    <row r="906">
      <c r="A906" s="6"/>
      <c r="B906" s="14"/>
    </row>
    <row r="907">
      <c r="A907" s="6"/>
      <c r="B907" s="14"/>
    </row>
    <row r="908">
      <c r="A908" s="6"/>
      <c r="B908" s="14"/>
    </row>
    <row r="909">
      <c r="A909" s="6"/>
      <c r="B909" s="14"/>
    </row>
    <row r="910">
      <c r="A910" s="6"/>
      <c r="B910" s="14"/>
    </row>
    <row r="911">
      <c r="A911" s="6"/>
      <c r="B911" s="14"/>
    </row>
    <row r="912">
      <c r="A912" s="6"/>
      <c r="B912" s="14"/>
    </row>
    <row r="913">
      <c r="A913" s="6"/>
      <c r="B913" s="14"/>
    </row>
    <row r="914">
      <c r="A914" s="6"/>
      <c r="B914" s="14"/>
    </row>
    <row r="915">
      <c r="A915" s="6"/>
      <c r="B915" s="14"/>
    </row>
    <row r="916">
      <c r="A916" s="6"/>
      <c r="B916" s="14"/>
    </row>
    <row r="917">
      <c r="A917" s="6"/>
      <c r="B917" s="14"/>
    </row>
    <row r="918">
      <c r="A918" s="6"/>
      <c r="B918" s="14"/>
    </row>
    <row r="919">
      <c r="A919" s="6"/>
      <c r="B919" s="14"/>
    </row>
    <row r="920">
      <c r="A920" s="6"/>
      <c r="B920" s="14"/>
    </row>
    <row r="921">
      <c r="A921" s="6"/>
      <c r="B921" s="14"/>
    </row>
    <row r="922">
      <c r="A922" s="6"/>
      <c r="B922" s="14"/>
    </row>
    <row r="923">
      <c r="A923" s="6"/>
      <c r="B923" s="14"/>
    </row>
    <row r="924">
      <c r="A924" s="6"/>
      <c r="B924" s="14"/>
    </row>
    <row r="925">
      <c r="A925" s="6"/>
      <c r="B925" s="14"/>
    </row>
    <row r="926">
      <c r="A926" s="6"/>
      <c r="B926" s="14"/>
    </row>
    <row r="927">
      <c r="A927" s="6"/>
      <c r="B927" s="14"/>
    </row>
    <row r="928">
      <c r="A928" s="6"/>
      <c r="B928" s="14"/>
    </row>
    <row r="929">
      <c r="A929" s="6"/>
      <c r="B929" s="14"/>
    </row>
    <row r="930">
      <c r="A930" s="6"/>
      <c r="B930" s="14"/>
    </row>
    <row r="931">
      <c r="A931" s="6"/>
      <c r="B931" s="14"/>
    </row>
    <row r="932">
      <c r="A932" s="6"/>
      <c r="B932" s="14"/>
    </row>
    <row r="933">
      <c r="A933" s="6"/>
      <c r="B933" s="14"/>
    </row>
    <row r="934">
      <c r="A934" s="6"/>
      <c r="B934" s="14"/>
    </row>
    <row r="935">
      <c r="A935" s="6"/>
      <c r="B935" s="14"/>
    </row>
    <row r="936">
      <c r="A936" s="6"/>
      <c r="B936" s="14"/>
    </row>
    <row r="937">
      <c r="A937" s="6"/>
      <c r="B937" s="14"/>
    </row>
    <row r="938">
      <c r="A938" s="6"/>
      <c r="B938" s="14"/>
    </row>
    <row r="939">
      <c r="A939" s="6"/>
      <c r="B939" s="14"/>
    </row>
    <row r="940">
      <c r="A940" s="6"/>
      <c r="B940" s="14"/>
    </row>
    <row r="941">
      <c r="A941" s="6"/>
      <c r="B941" s="14"/>
    </row>
    <row r="942">
      <c r="A942" s="6"/>
      <c r="B942" s="14"/>
    </row>
    <row r="943">
      <c r="A943" s="6"/>
      <c r="B943" s="14"/>
    </row>
    <row r="944">
      <c r="A944" s="6"/>
      <c r="B944" s="14"/>
    </row>
    <row r="945">
      <c r="A945" s="6"/>
      <c r="B945" s="14"/>
    </row>
    <row r="946">
      <c r="A946" s="6"/>
      <c r="B946" s="14"/>
    </row>
    <row r="947">
      <c r="A947" s="6"/>
      <c r="B947" s="14"/>
    </row>
    <row r="948">
      <c r="A948" s="6"/>
      <c r="B948" s="14"/>
    </row>
    <row r="949">
      <c r="A949" s="6"/>
      <c r="B949" s="14"/>
    </row>
    <row r="950">
      <c r="A950" s="6"/>
      <c r="B950" s="14"/>
    </row>
    <row r="951">
      <c r="A951" s="6"/>
      <c r="B951" s="14"/>
    </row>
    <row r="952">
      <c r="A952" s="6"/>
      <c r="B952" s="14"/>
    </row>
    <row r="953">
      <c r="A953" s="6"/>
      <c r="B953" s="14"/>
    </row>
    <row r="954">
      <c r="A954" s="6"/>
      <c r="B954" s="14"/>
    </row>
    <row r="955">
      <c r="A955" s="6"/>
      <c r="B955" s="14"/>
    </row>
    <row r="956">
      <c r="A956" s="6"/>
      <c r="B956" s="14"/>
    </row>
    <row r="957">
      <c r="A957" s="6"/>
      <c r="B957" s="14"/>
    </row>
    <row r="958">
      <c r="A958" s="6"/>
      <c r="B958" s="14"/>
    </row>
    <row r="959">
      <c r="A959" s="6"/>
      <c r="B959" s="14"/>
    </row>
    <row r="960">
      <c r="A960" s="6"/>
      <c r="B960" s="14"/>
    </row>
    <row r="961">
      <c r="A961" s="6"/>
      <c r="B961" s="14"/>
    </row>
    <row r="962">
      <c r="A962" s="6"/>
      <c r="B962" s="14"/>
    </row>
    <row r="963">
      <c r="A963" s="6"/>
      <c r="B963" s="14"/>
    </row>
    <row r="964">
      <c r="A964" s="6"/>
      <c r="B964" s="14"/>
    </row>
    <row r="965">
      <c r="A965" s="6"/>
      <c r="B965" s="14"/>
    </row>
    <row r="966">
      <c r="A966" s="6"/>
      <c r="B966" s="14"/>
    </row>
    <row r="967">
      <c r="A967" s="6"/>
      <c r="B967" s="14"/>
    </row>
    <row r="968">
      <c r="A968" s="6"/>
      <c r="B968" s="14"/>
    </row>
    <row r="969">
      <c r="A969" s="6"/>
      <c r="B969" s="14"/>
    </row>
    <row r="970">
      <c r="A970" s="6"/>
      <c r="B970" s="14"/>
    </row>
    <row r="971">
      <c r="A971" s="6"/>
      <c r="B971" s="14"/>
    </row>
    <row r="972">
      <c r="A972" s="6"/>
      <c r="B972" s="14"/>
    </row>
    <row r="973">
      <c r="A973" s="6"/>
      <c r="B973" s="14"/>
    </row>
    <row r="974">
      <c r="A974" s="6"/>
      <c r="B974" s="14"/>
    </row>
    <row r="975">
      <c r="A975" s="6"/>
      <c r="B975" s="14"/>
    </row>
    <row r="976">
      <c r="A976" s="6"/>
      <c r="B976" s="14"/>
    </row>
    <row r="977">
      <c r="A977" s="6"/>
      <c r="B977" s="14"/>
    </row>
    <row r="978">
      <c r="A978" s="6"/>
      <c r="B978" s="14"/>
    </row>
    <row r="979">
      <c r="A979" s="6"/>
      <c r="B979" s="14"/>
    </row>
    <row r="980">
      <c r="A980" s="6"/>
      <c r="B980" s="14"/>
    </row>
    <row r="981">
      <c r="A981" s="6"/>
      <c r="B981" s="14"/>
    </row>
    <row r="982">
      <c r="A982" s="6"/>
      <c r="B982" s="14"/>
    </row>
    <row r="983">
      <c r="A983" s="6"/>
      <c r="B983" s="14"/>
    </row>
    <row r="984">
      <c r="A984" s="6"/>
      <c r="B984" s="14"/>
    </row>
    <row r="985">
      <c r="A985" s="6"/>
      <c r="B985" s="14"/>
    </row>
    <row r="986">
      <c r="A986" s="6"/>
      <c r="B986" s="14"/>
    </row>
    <row r="987">
      <c r="A987" s="6"/>
      <c r="B987" s="14"/>
    </row>
    <row r="988">
      <c r="A988" s="6"/>
      <c r="B988" s="14"/>
    </row>
    <row r="989">
      <c r="A989" s="6"/>
      <c r="B989" s="14"/>
    </row>
    <row r="990">
      <c r="A990" s="6"/>
      <c r="B990" s="14"/>
    </row>
    <row r="991">
      <c r="A991" s="6"/>
      <c r="B991" s="14"/>
    </row>
    <row r="992">
      <c r="A992" s="6"/>
      <c r="B992" s="14"/>
    </row>
    <row r="993">
      <c r="A993" s="6"/>
      <c r="B993" s="14"/>
    </row>
    <row r="994">
      <c r="A994" s="6"/>
      <c r="B994" s="14"/>
    </row>
    <row r="995">
      <c r="A995" s="6"/>
      <c r="B995" s="14"/>
    </row>
    <row r="996">
      <c r="A996" s="6"/>
      <c r="B996" s="14"/>
    </row>
    <row r="997">
      <c r="A997" s="6"/>
      <c r="B997" s="14"/>
    </row>
    <row r="998">
      <c r="A998" s="6"/>
      <c r="B998" s="14"/>
    </row>
    <row r="999">
      <c r="A999" s="6"/>
      <c r="B999" s="14"/>
    </row>
    <row r="1000">
      <c r="A1000" s="6"/>
      <c r="B1000" s="14"/>
    </row>
  </sheetData>
  <conditionalFormatting sqref="B2:B47">
    <cfRule type="colorScale" priority="1">
      <colorScale>
        <cfvo type="min"/>
        <cfvo type="max"/>
        <color rgb="FFFFFFFF"/>
        <color rgb="FF34A853"/>
      </colorScale>
    </cfRule>
  </conditionalFormatting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88"/>
  </cols>
  <sheetData>
    <row r="1"/>
    <row r="2"/>
    <row r="3"/>
    <row r="4"/>
    <row r="5"/>
    <row r="6"/>
    <row r="7"/>
    <row r="8"/>
    <row r="9"/>
    <row r="10"/>
    <row r="11">
      <c r="A11" s="6"/>
      <c r="B11" s="14"/>
    </row>
    <row r="12">
      <c r="A12" s="6"/>
      <c r="B12" s="14"/>
    </row>
    <row r="13">
      <c r="A13" s="6"/>
      <c r="B13" s="14"/>
    </row>
    <row r="14">
      <c r="A14" s="6"/>
      <c r="B14" s="14"/>
    </row>
    <row r="15">
      <c r="A15" s="6"/>
      <c r="B15" s="14"/>
    </row>
    <row r="16">
      <c r="A16" s="6"/>
      <c r="B16" s="14"/>
    </row>
    <row r="17">
      <c r="A17" s="6"/>
      <c r="B17" s="14"/>
    </row>
    <row r="18">
      <c r="A18" s="6"/>
      <c r="B18" s="14"/>
    </row>
    <row r="19">
      <c r="A19" s="6"/>
      <c r="B19" s="14"/>
    </row>
    <row r="20">
      <c r="A20" s="6"/>
      <c r="B20" s="14"/>
    </row>
    <row r="21">
      <c r="A21" s="6"/>
      <c r="B21" s="14"/>
    </row>
    <row r="22">
      <c r="A22" s="6"/>
      <c r="B22" s="14"/>
    </row>
    <row r="23">
      <c r="A23" s="6"/>
      <c r="B23" s="14"/>
    </row>
    <row r="24">
      <c r="A24" s="6"/>
      <c r="B24" s="14"/>
    </row>
    <row r="25">
      <c r="A25" s="6"/>
      <c r="B25" s="14"/>
    </row>
    <row r="26">
      <c r="A26" s="6"/>
      <c r="B26" s="14"/>
    </row>
    <row r="27">
      <c r="A27" s="6"/>
      <c r="B27" s="14"/>
    </row>
    <row r="28">
      <c r="A28" s="6"/>
      <c r="B28" s="14"/>
    </row>
    <row r="29">
      <c r="A29" s="6"/>
      <c r="B29" s="14"/>
    </row>
    <row r="30">
      <c r="A30" s="6"/>
      <c r="B30" s="14"/>
    </row>
    <row r="31">
      <c r="A31" s="6"/>
      <c r="B31" s="14"/>
    </row>
    <row r="32">
      <c r="A32" s="6"/>
      <c r="B32" s="14"/>
    </row>
    <row r="33">
      <c r="A33" s="6"/>
      <c r="B33" s="14"/>
    </row>
    <row r="34">
      <c r="A34" s="6"/>
      <c r="B34" s="14"/>
    </row>
    <row r="35">
      <c r="A35" s="6"/>
      <c r="B35" s="14"/>
    </row>
    <row r="36">
      <c r="A36" s="6"/>
      <c r="B36" s="14"/>
    </row>
    <row r="37">
      <c r="A37" s="6"/>
      <c r="B37" s="14"/>
    </row>
    <row r="38">
      <c r="A38" s="6"/>
      <c r="B38" s="14"/>
    </row>
    <row r="39">
      <c r="A39" s="6"/>
      <c r="B39" s="14"/>
    </row>
    <row r="40">
      <c r="A40" s="6"/>
      <c r="B40" s="14"/>
    </row>
    <row r="41">
      <c r="A41" s="6"/>
      <c r="B41" s="14"/>
    </row>
    <row r="42">
      <c r="A42" s="6"/>
      <c r="B42" s="14"/>
    </row>
    <row r="43">
      <c r="A43" s="6"/>
      <c r="B43" s="14"/>
    </row>
    <row r="44">
      <c r="A44" s="6"/>
      <c r="B44" s="14"/>
    </row>
    <row r="45">
      <c r="A45" s="6"/>
      <c r="B45" s="14"/>
    </row>
    <row r="46">
      <c r="A46" s="6"/>
      <c r="B46" s="14"/>
    </row>
    <row r="47">
      <c r="A47" s="6"/>
      <c r="B47" s="14"/>
    </row>
    <row r="48">
      <c r="A48" s="6"/>
      <c r="B48" s="14"/>
    </row>
    <row r="49">
      <c r="A49" s="6"/>
      <c r="B49" s="14"/>
    </row>
    <row r="50">
      <c r="A50" s="6"/>
      <c r="B50" s="14"/>
    </row>
    <row r="51">
      <c r="A51" s="6"/>
      <c r="B51" s="14"/>
    </row>
    <row r="52">
      <c r="A52" s="6"/>
      <c r="B52" s="14"/>
    </row>
    <row r="53">
      <c r="A53" s="6"/>
      <c r="B53" s="14"/>
    </row>
    <row r="54">
      <c r="A54" s="6"/>
      <c r="B54" s="14"/>
    </row>
    <row r="55">
      <c r="A55" s="6"/>
      <c r="B55" s="14"/>
    </row>
    <row r="56">
      <c r="A56" s="6"/>
      <c r="B56" s="14"/>
    </row>
    <row r="57">
      <c r="A57" s="6"/>
      <c r="B57" s="14"/>
    </row>
    <row r="58">
      <c r="A58" s="6"/>
      <c r="B58" s="14"/>
    </row>
    <row r="59">
      <c r="A59" s="6"/>
      <c r="B59" s="14"/>
    </row>
    <row r="60">
      <c r="A60" s="6"/>
      <c r="B60" s="14"/>
    </row>
    <row r="61">
      <c r="A61" s="6"/>
      <c r="B61" s="14"/>
    </row>
    <row r="62">
      <c r="A62" s="6"/>
      <c r="B62" s="14"/>
    </row>
    <row r="63">
      <c r="A63" s="6"/>
      <c r="B63" s="14"/>
    </row>
    <row r="64">
      <c r="A64" s="6"/>
      <c r="B64" s="14"/>
    </row>
    <row r="65">
      <c r="A65" s="6"/>
      <c r="B65" s="14"/>
    </row>
    <row r="66">
      <c r="A66" s="6"/>
      <c r="B66" s="14"/>
    </row>
    <row r="67">
      <c r="A67" s="6"/>
      <c r="B67" s="14"/>
    </row>
    <row r="68">
      <c r="A68" s="6"/>
      <c r="B68" s="14"/>
    </row>
    <row r="69">
      <c r="A69" s="6"/>
      <c r="B69" s="14"/>
    </row>
    <row r="70">
      <c r="A70" s="6"/>
      <c r="B70" s="14"/>
    </row>
    <row r="71">
      <c r="A71" s="6"/>
      <c r="B71" s="14"/>
    </row>
    <row r="72">
      <c r="A72" s="6"/>
      <c r="B72" s="14"/>
    </row>
    <row r="73">
      <c r="A73" s="6"/>
      <c r="B73" s="14"/>
    </row>
    <row r="74">
      <c r="A74" s="6"/>
      <c r="B74" s="14"/>
    </row>
    <row r="75">
      <c r="A75" s="6"/>
      <c r="B75" s="14"/>
    </row>
    <row r="76">
      <c r="A76" s="6"/>
      <c r="B76" s="14"/>
    </row>
    <row r="77">
      <c r="A77" s="6"/>
      <c r="B77" s="14"/>
    </row>
    <row r="78">
      <c r="A78" s="6"/>
      <c r="B78" s="14"/>
    </row>
    <row r="79">
      <c r="A79" s="6"/>
      <c r="B79" s="14"/>
    </row>
    <row r="80">
      <c r="A80" s="6"/>
      <c r="B80" s="14"/>
    </row>
    <row r="81">
      <c r="A81" s="6"/>
      <c r="B81" s="14"/>
    </row>
    <row r="82">
      <c r="A82" s="6"/>
      <c r="B82" s="14"/>
    </row>
    <row r="83">
      <c r="A83" s="6"/>
      <c r="B83" s="14"/>
    </row>
    <row r="84">
      <c r="A84" s="6"/>
      <c r="B84" s="14"/>
    </row>
    <row r="85">
      <c r="A85" s="6"/>
      <c r="B85" s="14"/>
    </row>
    <row r="86">
      <c r="A86" s="6"/>
      <c r="B86" s="14"/>
    </row>
    <row r="87">
      <c r="A87" s="6"/>
      <c r="B87" s="14"/>
    </row>
    <row r="88">
      <c r="A88" s="6"/>
      <c r="B88" s="14"/>
    </row>
    <row r="89">
      <c r="A89" s="6"/>
      <c r="B89" s="14"/>
    </row>
    <row r="90">
      <c r="A90" s="6"/>
      <c r="B90" s="14"/>
    </row>
    <row r="91">
      <c r="A91" s="6"/>
      <c r="B91" s="14"/>
    </row>
    <row r="92">
      <c r="A92" s="6"/>
      <c r="B92" s="14"/>
    </row>
    <row r="93">
      <c r="A93" s="6"/>
      <c r="B93" s="14"/>
    </row>
    <row r="94">
      <c r="A94" s="6"/>
      <c r="B94" s="14"/>
    </row>
    <row r="95">
      <c r="A95" s="6"/>
      <c r="B95" s="14"/>
    </row>
    <row r="96">
      <c r="A96" s="6"/>
      <c r="B96" s="14"/>
    </row>
    <row r="97">
      <c r="A97" s="6"/>
      <c r="B97" s="14"/>
    </row>
    <row r="98">
      <c r="A98" s="6"/>
      <c r="B98" s="14"/>
    </row>
    <row r="99">
      <c r="A99" s="6"/>
      <c r="B99" s="14"/>
    </row>
    <row r="100">
      <c r="A100" s="6"/>
      <c r="B100" s="14"/>
    </row>
    <row r="101">
      <c r="A101" s="6"/>
      <c r="B101" s="14"/>
    </row>
    <row r="102">
      <c r="A102" s="6"/>
      <c r="B102" s="14"/>
    </row>
    <row r="103">
      <c r="A103" s="6"/>
      <c r="B103" s="14"/>
    </row>
    <row r="104">
      <c r="A104" s="6"/>
      <c r="B104" s="14"/>
    </row>
    <row r="105">
      <c r="A105" s="6"/>
      <c r="B105" s="14"/>
    </row>
    <row r="106">
      <c r="A106" s="6"/>
      <c r="B106" s="14"/>
    </row>
    <row r="107">
      <c r="A107" s="6"/>
      <c r="B107" s="14"/>
    </row>
    <row r="108">
      <c r="A108" s="6"/>
      <c r="B108" s="14"/>
    </row>
    <row r="109">
      <c r="A109" s="6"/>
      <c r="B109" s="14"/>
    </row>
    <row r="110">
      <c r="A110" s="6"/>
      <c r="B110" s="14"/>
    </row>
    <row r="111">
      <c r="A111" s="6"/>
      <c r="B111" s="14"/>
    </row>
    <row r="112">
      <c r="A112" s="6"/>
      <c r="B112" s="14"/>
    </row>
    <row r="113">
      <c r="A113" s="6"/>
      <c r="B113" s="14"/>
    </row>
    <row r="114">
      <c r="A114" s="6"/>
      <c r="B114" s="14"/>
    </row>
    <row r="115">
      <c r="A115" s="6"/>
      <c r="B115" s="14"/>
    </row>
    <row r="116">
      <c r="A116" s="6"/>
      <c r="B116" s="14"/>
    </row>
    <row r="117">
      <c r="A117" s="6"/>
      <c r="B117" s="14"/>
    </row>
    <row r="118">
      <c r="A118" s="6"/>
      <c r="B118" s="14"/>
    </row>
    <row r="119">
      <c r="A119" s="6"/>
      <c r="B119" s="14"/>
    </row>
    <row r="120">
      <c r="A120" s="6"/>
      <c r="B120" s="14"/>
    </row>
    <row r="121">
      <c r="A121" s="6"/>
      <c r="B121" s="14"/>
    </row>
    <row r="122">
      <c r="A122" s="6"/>
      <c r="B122" s="14"/>
    </row>
    <row r="123">
      <c r="A123" s="6"/>
      <c r="B123" s="14"/>
    </row>
    <row r="124">
      <c r="A124" s="6"/>
      <c r="B124" s="14"/>
    </row>
    <row r="125">
      <c r="A125" s="6"/>
      <c r="B125" s="14"/>
    </row>
    <row r="126">
      <c r="A126" s="6"/>
      <c r="B126" s="14"/>
    </row>
    <row r="127">
      <c r="A127" s="6"/>
      <c r="B127" s="14"/>
    </row>
    <row r="128">
      <c r="A128" s="6"/>
      <c r="B128" s="14"/>
    </row>
    <row r="129">
      <c r="A129" s="6"/>
      <c r="B129" s="14"/>
    </row>
    <row r="130">
      <c r="A130" s="6"/>
      <c r="B130" s="14"/>
    </row>
    <row r="131">
      <c r="A131" s="6"/>
      <c r="B131" s="14"/>
    </row>
    <row r="132">
      <c r="A132" s="6"/>
      <c r="B132" s="14"/>
    </row>
    <row r="133">
      <c r="A133" s="6"/>
      <c r="B133" s="14"/>
    </row>
    <row r="134">
      <c r="A134" s="6"/>
      <c r="B134" s="14"/>
    </row>
    <row r="135">
      <c r="A135" s="6"/>
      <c r="B135" s="14"/>
    </row>
    <row r="136">
      <c r="A136" s="6"/>
      <c r="B136" s="14"/>
    </row>
    <row r="137">
      <c r="A137" s="6"/>
      <c r="B137" s="14"/>
    </row>
    <row r="138">
      <c r="A138" s="6"/>
      <c r="B138" s="14"/>
    </row>
    <row r="139">
      <c r="A139" s="6"/>
      <c r="B139" s="14"/>
    </row>
    <row r="140">
      <c r="A140" s="6"/>
      <c r="B140" s="14"/>
    </row>
    <row r="141">
      <c r="A141" s="6"/>
      <c r="B141" s="14"/>
    </row>
    <row r="142">
      <c r="A142" s="6"/>
      <c r="B142" s="14"/>
    </row>
    <row r="143">
      <c r="A143" s="6"/>
      <c r="B143" s="14"/>
    </row>
    <row r="144">
      <c r="A144" s="6"/>
      <c r="B144" s="14"/>
    </row>
    <row r="145">
      <c r="A145" s="6"/>
      <c r="B145" s="14"/>
    </row>
    <row r="146">
      <c r="A146" s="6"/>
      <c r="B146" s="14"/>
    </row>
    <row r="147">
      <c r="A147" s="6"/>
      <c r="B147" s="14"/>
    </row>
    <row r="148">
      <c r="A148" s="6"/>
      <c r="B148" s="14"/>
    </row>
    <row r="149">
      <c r="A149" s="6"/>
      <c r="B149" s="14"/>
    </row>
    <row r="150">
      <c r="A150" s="6"/>
      <c r="B150" s="14"/>
    </row>
    <row r="151">
      <c r="A151" s="6"/>
      <c r="B151" s="14"/>
    </row>
    <row r="152">
      <c r="A152" s="6"/>
      <c r="B152" s="14"/>
    </row>
    <row r="153">
      <c r="A153" s="6"/>
      <c r="B153" s="14"/>
    </row>
    <row r="154">
      <c r="A154" s="6"/>
      <c r="B154" s="14"/>
    </row>
    <row r="155">
      <c r="A155" s="6"/>
      <c r="B155" s="14"/>
    </row>
    <row r="156">
      <c r="A156" s="6"/>
      <c r="B156" s="14"/>
    </row>
    <row r="157">
      <c r="A157" s="6"/>
      <c r="B157" s="14"/>
    </row>
    <row r="158">
      <c r="A158" s="6"/>
      <c r="B158" s="14"/>
    </row>
    <row r="159">
      <c r="A159" s="6"/>
      <c r="B159" s="14"/>
    </row>
    <row r="160">
      <c r="A160" s="6"/>
      <c r="B160" s="14"/>
    </row>
    <row r="161">
      <c r="A161" s="6"/>
      <c r="B161" s="14"/>
    </row>
    <row r="162">
      <c r="A162" s="6"/>
      <c r="B162" s="14"/>
    </row>
    <row r="163">
      <c r="A163" s="6"/>
      <c r="B163" s="14"/>
    </row>
    <row r="164">
      <c r="A164" s="6"/>
      <c r="B164" s="14"/>
    </row>
    <row r="165">
      <c r="A165" s="6"/>
      <c r="B165" s="14"/>
    </row>
    <row r="166">
      <c r="A166" s="6"/>
      <c r="B166" s="14"/>
    </row>
    <row r="167">
      <c r="A167" s="6"/>
      <c r="B167" s="14"/>
    </row>
    <row r="168">
      <c r="A168" s="6"/>
      <c r="B168" s="14"/>
    </row>
    <row r="169">
      <c r="A169" s="6"/>
      <c r="B169" s="14"/>
    </row>
    <row r="170">
      <c r="A170" s="6"/>
      <c r="B170" s="14"/>
    </row>
    <row r="171">
      <c r="A171" s="6"/>
      <c r="B171" s="14"/>
    </row>
    <row r="172">
      <c r="A172" s="6"/>
      <c r="B172" s="14"/>
    </row>
    <row r="173">
      <c r="A173" s="6"/>
      <c r="B173" s="14"/>
    </row>
    <row r="174">
      <c r="A174" s="6"/>
      <c r="B174" s="14"/>
    </row>
    <row r="175">
      <c r="A175" s="6"/>
      <c r="B175" s="14"/>
    </row>
    <row r="176">
      <c r="A176" s="6"/>
      <c r="B176" s="14"/>
    </row>
    <row r="177">
      <c r="A177" s="6"/>
      <c r="B177" s="14"/>
    </row>
    <row r="178">
      <c r="A178" s="6"/>
      <c r="B178" s="14"/>
    </row>
    <row r="179">
      <c r="A179" s="6"/>
      <c r="B179" s="14"/>
    </row>
    <row r="180">
      <c r="A180" s="6"/>
      <c r="B180" s="14"/>
    </row>
    <row r="181">
      <c r="A181" s="6"/>
      <c r="B181" s="14"/>
    </row>
    <row r="182">
      <c r="A182" s="6"/>
      <c r="B182" s="14"/>
    </row>
    <row r="183">
      <c r="A183" s="6"/>
      <c r="B183" s="14"/>
    </row>
    <row r="184">
      <c r="A184" s="6"/>
      <c r="B184" s="14"/>
    </row>
    <row r="185">
      <c r="A185" s="6"/>
      <c r="B185" s="14"/>
    </row>
    <row r="186">
      <c r="A186" s="6"/>
      <c r="B186" s="14"/>
    </row>
    <row r="187">
      <c r="A187" s="6"/>
      <c r="B187" s="14"/>
    </row>
    <row r="188">
      <c r="A188" s="6"/>
      <c r="B188" s="14"/>
    </row>
    <row r="189">
      <c r="A189" s="6"/>
      <c r="B189" s="14"/>
    </row>
    <row r="190">
      <c r="A190" s="6"/>
      <c r="B190" s="14"/>
    </row>
    <row r="191">
      <c r="A191" s="6"/>
      <c r="B191" s="14"/>
    </row>
    <row r="192">
      <c r="A192" s="6"/>
      <c r="B192" s="14"/>
    </row>
    <row r="193">
      <c r="A193" s="6"/>
      <c r="B193" s="14"/>
    </row>
    <row r="194">
      <c r="A194" s="6"/>
      <c r="B194" s="14"/>
    </row>
    <row r="195">
      <c r="A195" s="6"/>
      <c r="B195" s="14"/>
    </row>
    <row r="196">
      <c r="A196" s="6"/>
      <c r="B196" s="14"/>
    </row>
    <row r="197">
      <c r="A197" s="6"/>
      <c r="B197" s="14"/>
    </row>
    <row r="198">
      <c r="A198" s="6"/>
      <c r="B198" s="14"/>
    </row>
    <row r="199">
      <c r="A199" s="6"/>
      <c r="B199" s="14"/>
    </row>
    <row r="200">
      <c r="A200" s="6"/>
      <c r="B200" s="14"/>
    </row>
    <row r="201">
      <c r="A201" s="6"/>
      <c r="B201" s="14"/>
    </row>
    <row r="202">
      <c r="A202" s="6"/>
      <c r="B202" s="14"/>
    </row>
    <row r="203">
      <c r="A203" s="6"/>
      <c r="B203" s="14"/>
    </row>
    <row r="204">
      <c r="A204" s="6"/>
      <c r="B204" s="14"/>
    </row>
    <row r="205">
      <c r="A205" s="6"/>
      <c r="B205" s="14"/>
    </row>
    <row r="206">
      <c r="A206" s="6"/>
      <c r="B206" s="14"/>
    </row>
    <row r="207">
      <c r="A207" s="6"/>
      <c r="B207" s="14"/>
    </row>
    <row r="208">
      <c r="A208" s="6"/>
      <c r="B208" s="14"/>
    </row>
    <row r="209">
      <c r="A209" s="6"/>
      <c r="B209" s="14"/>
    </row>
    <row r="210">
      <c r="A210" s="6"/>
      <c r="B210" s="14"/>
    </row>
    <row r="211">
      <c r="A211" s="6"/>
      <c r="B211" s="14"/>
    </row>
    <row r="212">
      <c r="A212" s="6"/>
      <c r="B212" s="14"/>
    </row>
    <row r="213">
      <c r="A213" s="6"/>
      <c r="B213" s="14"/>
    </row>
    <row r="214">
      <c r="A214" s="6"/>
      <c r="B214" s="14"/>
    </row>
    <row r="215">
      <c r="A215" s="6"/>
      <c r="B215" s="14"/>
    </row>
    <row r="216">
      <c r="A216" s="6"/>
      <c r="B216" s="14"/>
    </row>
    <row r="217">
      <c r="A217" s="6"/>
      <c r="B217" s="14"/>
    </row>
    <row r="218">
      <c r="A218" s="6"/>
      <c r="B218" s="14"/>
    </row>
    <row r="219">
      <c r="A219" s="6"/>
      <c r="B219" s="14"/>
    </row>
    <row r="220">
      <c r="A220" s="6"/>
      <c r="B220" s="14"/>
    </row>
    <row r="221">
      <c r="A221" s="6"/>
      <c r="B221" s="14"/>
    </row>
    <row r="222">
      <c r="A222" s="6"/>
      <c r="B222" s="14"/>
    </row>
    <row r="223">
      <c r="A223" s="6"/>
      <c r="B223" s="14"/>
    </row>
    <row r="224">
      <c r="A224" s="6"/>
      <c r="B224" s="14"/>
    </row>
    <row r="225">
      <c r="A225" s="6"/>
      <c r="B225" s="14"/>
    </row>
    <row r="226">
      <c r="A226" s="6"/>
      <c r="B226" s="14"/>
    </row>
    <row r="227">
      <c r="A227" s="6"/>
      <c r="B227" s="14"/>
    </row>
    <row r="228">
      <c r="A228" s="6"/>
      <c r="B228" s="14"/>
    </row>
    <row r="229">
      <c r="A229" s="6"/>
      <c r="B229" s="14"/>
    </row>
    <row r="230">
      <c r="A230" s="6"/>
      <c r="B230" s="14"/>
    </row>
    <row r="231">
      <c r="A231" s="6"/>
      <c r="B231" s="14"/>
    </row>
    <row r="232">
      <c r="A232" s="6"/>
      <c r="B232" s="14"/>
    </row>
    <row r="233">
      <c r="A233" s="6"/>
      <c r="B233" s="14"/>
    </row>
    <row r="234">
      <c r="A234" s="6"/>
      <c r="B234" s="14"/>
    </row>
    <row r="235">
      <c r="A235" s="6"/>
      <c r="B235" s="14"/>
    </row>
    <row r="236">
      <c r="A236" s="6"/>
      <c r="B236" s="14"/>
    </row>
    <row r="237">
      <c r="A237" s="6"/>
      <c r="B237" s="14"/>
    </row>
    <row r="238">
      <c r="A238" s="6"/>
      <c r="B238" s="14"/>
    </row>
    <row r="239">
      <c r="A239" s="6"/>
      <c r="B239" s="14"/>
    </row>
    <row r="240">
      <c r="A240" s="6"/>
      <c r="B240" s="14"/>
    </row>
    <row r="241">
      <c r="A241" s="6"/>
      <c r="B241" s="14"/>
    </row>
    <row r="242">
      <c r="A242" s="6"/>
      <c r="B242" s="14"/>
    </row>
    <row r="243">
      <c r="A243" s="6"/>
      <c r="B243" s="14"/>
    </row>
    <row r="244">
      <c r="A244" s="6"/>
      <c r="B244" s="14"/>
    </row>
    <row r="245">
      <c r="A245" s="6"/>
      <c r="B245" s="14"/>
    </row>
    <row r="246">
      <c r="A246" s="6"/>
      <c r="B246" s="14"/>
    </row>
    <row r="247">
      <c r="A247" s="6"/>
      <c r="B247" s="14"/>
    </row>
    <row r="248">
      <c r="A248" s="6"/>
      <c r="B248" s="14"/>
    </row>
    <row r="249">
      <c r="A249" s="6"/>
      <c r="B249" s="14"/>
    </row>
    <row r="250">
      <c r="A250" s="6"/>
      <c r="B250" s="14"/>
    </row>
    <row r="251">
      <c r="A251" s="6"/>
      <c r="B251" s="14"/>
    </row>
    <row r="252">
      <c r="A252" s="6"/>
      <c r="B252" s="14"/>
    </row>
    <row r="253">
      <c r="A253" s="6"/>
      <c r="B253" s="14"/>
    </row>
    <row r="254">
      <c r="A254" s="6"/>
      <c r="B254" s="14"/>
    </row>
    <row r="255">
      <c r="A255" s="6"/>
      <c r="B255" s="14"/>
    </row>
    <row r="256">
      <c r="A256" s="6"/>
      <c r="B256" s="14"/>
    </row>
    <row r="257">
      <c r="A257" s="6"/>
      <c r="B257" s="14"/>
    </row>
    <row r="258">
      <c r="A258" s="6"/>
      <c r="B258" s="14"/>
    </row>
    <row r="259">
      <c r="A259" s="6"/>
      <c r="B259" s="14"/>
    </row>
    <row r="260">
      <c r="A260" s="6"/>
      <c r="B260" s="14"/>
    </row>
    <row r="261">
      <c r="A261" s="6"/>
      <c r="B261" s="14"/>
    </row>
    <row r="262">
      <c r="A262" s="6"/>
      <c r="B262" s="14"/>
    </row>
    <row r="263">
      <c r="A263" s="6"/>
      <c r="B263" s="14"/>
    </row>
    <row r="264">
      <c r="A264" s="6"/>
      <c r="B264" s="14"/>
    </row>
    <row r="265">
      <c r="A265" s="6"/>
      <c r="B265" s="14"/>
    </row>
    <row r="266">
      <c r="A266" s="6"/>
      <c r="B266" s="14"/>
    </row>
    <row r="267">
      <c r="A267" s="6"/>
      <c r="B267" s="14"/>
    </row>
    <row r="268">
      <c r="A268" s="6"/>
      <c r="B268" s="14"/>
    </row>
    <row r="269">
      <c r="A269" s="6"/>
      <c r="B269" s="14"/>
    </row>
    <row r="270">
      <c r="A270" s="6"/>
      <c r="B270" s="14"/>
    </row>
    <row r="271">
      <c r="A271" s="6"/>
      <c r="B271" s="14"/>
    </row>
    <row r="272">
      <c r="A272" s="6"/>
      <c r="B272" s="14"/>
    </row>
    <row r="273">
      <c r="A273" s="6"/>
      <c r="B273" s="14"/>
    </row>
    <row r="274">
      <c r="A274" s="6"/>
      <c r="B274" s="14"/>
    </row>
    <row r="275">
      <c r="A275" s="6"/>
      <c r="B275" s="14"/>
    </row>
    <row r="276">
      <c r="A276" s="6"/>
      <c r="B276" s="14"/>
    </row>
    <row r="277">
      <c r="A277" s="6"/>
      <c r="B277" s="14"/>
    </row>
    <row r="278">
      <c r="A278" s="6"/>
      <c r="B278" s="14"/>
    </row>
    <row r="279">
      <c r="A279" s="6"/>
      <c r="B279" s="14"/>
    </row>
    <row r="280">
      <c r="A280" s="6"/>
      <c r="B280" s="14"/>
    </row>
    <row r="281">
      <c r="A281" s="6"/>
      <c r="B281" s="14"/>
    </row>
    <row r="282">
      <c r="A282" s="6"/>
      <c r="B282" s="14"/>
    </row>
    <row r="283">
      <c r="A283" s="6"/>
      <c r="B283" s="14"/>
    </row>
    <row r="284">
      <c r="A284" s="6"/>
      <c r="B284" s="14"/>
    </row>
    <row r="285">
      <c r="A285" s="6"/>
      <c r="B285" s="14"/>
    </row>
    <row r="286">
      <c r="A286" s="6"/>
      <c r="B286" s="14"/>
    </row>
    <row r="287">
      <c r="A287" s="6"/>
      <c r="B287" s="14"/>
    </row>
    <row r="288">
      <c r="A288" s="6"/>
      <c r="B288" s="14"/>
    </row>
    <row r="289">
      <c r="A289" s="6"/>
      <c r="B289" s="14"/>
    </row>
    <row r="290">
      <c r="A290" s="6"/>
      <c r="B290" s="14"/>
    </row>
    <row r="291">
      <c r="A291" s="6"/>
      <c r="B291" s="14"/>
    </row>
    <row r="292">
      <c r="A292" s="6"/>
      <c r="B292" s="14"/>
    </row>
    <row r="293">
      <c r="A293" s="6"/>
      <c r="B293" s="14"/>
    </row>
    <row r="294">
      <c r="A294" s="6"/>
      <c r="B294" s="14"/>
    </row>
    <row r="295">
      <c r="A295" s="6"/>
      <c r="B295" s="14"/>
    </row>
    <row r="296">
      <c r="A296" s="6"/>
      <c r="B296" s="14"/>
    </row>
    <row r="297">
      <c r="A297" s="6"/>
      <c r="B297" s="14"/>
    </row>
    <row r="298">
      <c r="A298" s="6"/>
      <c r="B298" s="14"/>
    </row>
    <row r="299">
      <c r="A299" s="6"/>
      <c r="B299" s="14"/>
    </row>
    <row r="300">
      <c r="A300" s="6"/>
      <c r="B300" s="14"/>
    </row>
    <row r="301">
      <c r="A301" s="6"/>
      <c r="B301" s="14"/>
    </row>
    <row r="302">
      <c r="A302" s="6"/>
      <c r="B302" s="14"/>
    </row>
    <row r="303">
      <c r="A303" s="6"/>
      <c r="B303" s="14"/>
    </row>
    <row r="304">
      <c r="A304" s="6"/>
      <c r="B304" s="14"/>
    </row>
    <row r="305">
      <c r="A305" s="6"/>
      <c r="B305" s="14"/>
    </row>
    <row r="306">
      <c r="A306" s="6"/>
      <c r="B306" s="14"/>
    </row>
    <row r="307">
      <c r="A307" s="6"/>
      <c r="B307" s="14"/>
    </row>
    <row r="308">
      <c r="A308" s="6"/>
      <c r="B308" s="14"/>
    </row>
    <row r="309">
      <c r="A309" s="6"/>
      <c r="B309" s="14"/>
    </row>
    <row r="310">
      <c r="A310" s="6"/>
      <c r="B310" s="14"/>
    </row>
    <row r="311">
      <c r="A311" s="6"/>
      <c r="B311" s="14"/>
    </row>
    <row r="312">
      <c r="A312" s="6"/>
      <c r="B312" s="14"/>
    </row>
    <row r="313">
      <c r="A313" s="6"/>
      <c r="B313" s="14"/>
    </row>
    <row r="314">
      <c r="A314" s="6"/>
      <c r="B314" s="14"/>
    </row>
    <row r="315">
      <c r="A315" s="6"/>
      <c r="B315" s="14"/>
    </row>
    <row r="316">
      <c r="A316" s="6"/>
      <c r="B316" s="14"/>
    </row>
    <row r="317">
      <c r="A317" s="6"/>
      <c r="B317" s="14"/>
    </row>
    <row r="318">
      <c r="A318" s="6"/>
      <c r="B318" s="14"/>
    </row>
    <row r="319">
      <c r="A319" s="6"/>
      <c r="B319" s="14"/>
    </row>
    <row r="320">
      <c r="A320" s="6"/>
      <c r="B320" s="14"/>
    </row>
    <row r="321">
      <c r="A321" s="6"/>
      <c r="B321" s="14"/>
    </row>
    <row r="322">
      <c r="A322" s="6"/>
      <c r="B322" s="14"/>
    </row>
    <row r="323">
      <c r="A323" s="6"/>
      <c r="B323" s="14"/>
    </row>
    <row r="324">
      <c r="A324" s="6"/>
      <c r="B324" s="14"/>
    </row>
    <row r="325">
      <c r="A325" s="6"/>
      <c r="B325" s="14"/>
    </row>
    <row r="326">
      <c r="A326" s="6"/>
      <c r="B326" s="14"/>
    </row>
    <row r="327">
      <c r="A327" s="6"/>
      <c r="B327" s="14"/>
    </row>
    <row r="328">
      <c r="A328" s="6"/>
      <c r="B328" s="14"/>
    </row>
    <row r="329">
      <c r="A329" s="6"/>
      <c r="B329" s="14"/>
    </row>
    <row r="330">
      <c r="A330" s="6"/>
      <c r="B330" s="14"/>
    </row>
    <row r="331">
      <c r="A331" s="6"/>
      <c r="B331" s="14"/>
    </row>
    <row r="332">
      <c r="A332" s="6"/>
      <c r="B332" s="14"/>
    </row>
    <row r="333">
      <c r="A333" s="6"/>
      <c r="B333" s="14"/>
    </row>
    <row r="334">
      <c r="A334" s="6"/>
      <c r="B334" s="14"/>
    </row>
    <row r="335">
      <c r="A335" s="6"/>
      <c r="B335" s="14"/>
    </row>
    <row r="336">
      <c r="A336" s="6"/>
      <c r="B336" s="14"/>
    </row>
    <row r="337">
      <c r="A337" s="6"/>
      <c r="B337" s="14"/>
    </row>
    <row r="338">
      <c r="A338" s="6"/>
      <c r="B338" s="14"/>
    </row>
    <row r="339">
      <c r="A339" s="6"/>
      <c r="B339" s="14"/>
    </row>
    <row r="340">
      <c r="A340" s="6"/>
      <c r="B340" s="14"/>
    </row>
    <row r="341">
      <c r="A341" s="6"/>
      <c r="B341" s="14"/>
    </row>
    <row r="342">
      <c r="A342" s="6"/>
      <c r="B342" s="14"/>
    </row>
    <row r="343">
      <c r="A343" s="6"/>
      <c r="B343" s="14"/>
    </row>
    <row r="344">
      <c r="A344" s="6"/>
      <c r="B344" s="14"/>
    </row>
    <row r="345">
      <c r="A345" s="6"/>
      <c r="B345" s="14"/>
    </row>
    <row r="346">
      <c r="A346" s="6"/>
      <c r="B346" s="14"/>
    </row>
    <row r="347">
      <c r="A347" s="6"/>
      <c r="B347" s="14"/>
    </row>
    <row r="348">
      <c r="A348" s="6"/>
      <c r="B348" s="14"/>
    </row>
    <row r="349">
      <c r="A349" s="6"/>
      <c r="B349" s="14"/>
    </row>
    <row r="350">
      <c r="A350" s="6"/>
      <c r="B350" s="14"/>
    </row>
    <row r="351">
      <c r="A351" s="6"/>
      <c r="B351" s="14"/>
    </row>
    <row r="352">
      <c r="A352" s="6"/>
      <c r="B352" s="14"/>
    </row>
    <row r="353">
      <c r="A353" s="6"/>
      <c r="B353" s="14"/>
    </row>
    <row r="354">
      <c r="A354" s="6"/>
      <c r="B354" s="14"/>
    </row>
    <row r="355">
      <c r="A355" s="6"/>
      <c r="B355" s="14"/>
    </row>
    <row r="356">
      <c r="A356" s="6"/>
      <c r="B356" s="14"/>
    </row>
    <row r="357">
      <c r="A357" s="6"/>
      <c r="B357" s="14"/>
    </row>
    <row r="358">
      <c r="A358" s="6"/>
      <c r="B358" s="14"/>
    </row>
    <row r="359">
      <c r="A359" s="6"/>
      <c r="B359" s="14"/>
    </row>
    <row r="360">
      <c r="A360" s="6"/>
      <c r="B360" s="14"/>
    </row>
    <row r="361">
      <c r="A361" s="6"/>
      <c r="B361" s="14"/>
    </row>
    <row r="362">
      <c r="A362" s="6"/>
      <c r="B362" s="14"/>
    </row>
    <row r="363">
      <c r="A363" s="6"/>
      <c r="B363" s="14"/>
    </row>
    <row r="364">
      <c r="A364" s="6"/>
      <c r="B364" s="14"/>
    </row>
    <row r="365">
      <c r="A365" s="6"/>
      <c r="B365" s="14"/>
    </row>
    <row r="366">
      <c r="A366" s="6"/>
      <c r="B366" s="14"/>
    </row>
    <row r="367">
      <c r="A367" s="6"/>
      <c r="B367" s="14"/>
    </row>
    <row r="368">
      <c r="A368" s="6"/>
      <c r="B368" s="14"/>
    </row>
    <row r="369">
      <c r="A369" s="6"/>
      <c r="B369" s="14"/>
    </row>
    <row r="370">
      <c r="A370" s="6"/>
      <c r="B370" s="14"/>
    </row>
    <row r="371">
      <c r="A371" s="6"/>
      <c r="B371" s="14"/>
    </row>
    <row r="372">
      <c r="A372" s="6"/>
      <c r="B372" s="14"/>
    </row>
    <row r="373">
      <c r="A373" s="6"/>
      <c r="B373" s="14"/>
    </row>
    <row r="374">
      <c r="A374" s="6"/>
      <c r="B374" s="14"/>
    </row>
    <row r="375">
      <c r="A375" s="6"/>
      <c r="B375" s="14"/>
    </row>
    <row r="376">
      <c r="A376" s="6"/>
      <c r="B376" s="14"/>
    </row>
    <row r="377">
      <c r="A377" s="6"/>
      <c r="B377" s="14"/>
    </row>
    <row r="378">
      <c r="A378" s="6"/>
      <c r="B378" s="14"/>
    </row>
    <row r="379">
      <c r="A379" s="6"/>
      <c r="B379" s="14"/>
    </row>
    <row r="380">
      <c r="A380" s="6"/>
      <c r="B380" s="14"/>
    </row>
    <row r="381">
      <c r="A381" s="6"/>
      <c r="B381" s="14"/>
    </row>
    <row r="382">
      <c r="A382" s="6"/>
      <c r="B382" s="14"/>
    </row>
    <row r="383">
      <c r="A383" s="6"/>
      <c r="B383" s="14"/>
    </row>
    <row r="384">
      <c r="A384" s="6"/>
      <c r="B384" s="14"/>
    </row>
    <row r="385">
      <c r="A385" s="6"/>
      <c r="B385" s="14"/>
    </row>
    <row r="386">
      <c r="A386" s="6"/>
      <c r="B386" s="14"/>
    </row>
    <row r="387">
      <c r="A387" s="6"/>
      <c r="B387" s="14"/>
    </row>
    <row r="388">
      <c r="A388" s="6"/>
      <c r="B388" s="14"/>
    </row>
    <row r="389">
      <c r="A389" s="6"/>
      <c r="B389" s="14"/>
    </row>
    <row r="390">
      <c r="A390" s="6"/>
      <c r="B390" s="14"/>
    </row>
    <row r="391">
      <c r="A391" s="6"/>
      <c r="B391" s="14"/>
    </row>
    <row r="392">
      <c r="A392" s="6"/>
      <c r="B392" s="14"/>
    </row>
    <row r="393">
      <c r="A393" s="6"/>
      <c r="B393" s="14"/>
    </row>
    <row r="394">
      <c r="A394" s="6"/>
      <c r="B394" s="14"/>
    </row>
    <row r="395">
      <c r="A395" s="6"/>
      <c r="B395" s="14"/>
    </row>
    <row r="396">
      <c r="A396" s="6"/>
      <c r="B396" s="14"/>
    </row>
    <row r="397">
      <c r="A397" s="6"/>
      <c r="B397" s="14"/>
    </row>
    <row r="398">
      <c r="A398" s="6"/>
      <c r="B398" s="14"/>
    </row>
    <row r="399">
      <c r="A399" s="6"/>
      <c r="B399" s="14"/>
    </row>
    <row r="400">
      <c r="A400" s="6"/>
      <c r="B400" s="14"/>
    </row>
    <row r="401">
      <c r="A401" s="6"/>
      <c r="B401" s="14"/>
    </row>
    <row r="402">
      <c r="A402" s="6"/>
      <c r="B402" s="14"/>
    </row>
    <row r="403">
      <c r="A403" s="6"/>
      <c r="B403" s="14"/>
    </row>
    <row r="404">
      <c r="A404" s="6"/>
      <c r="B404" s="14"/>
    </row>
    <row r="405">
      <c r="A405" s="6"/>
      <c r="B405" s="14"/>
    </row>
    <row r="406">
      <c r="A406" s="6"/>
      <c r="B406" s="14"/>
    </row>
    <row r="407">
      <c r="A407" s="6"/>
      <c r="B407" s="14"/>
    </row>
    <row r="408">
      <c r="A408" s="6"/>
      <c r="B408" s="14"/>
    </row>
    <row r="409">
      <c r="A409" s="6"/>
      <c r="B409" s="14"/>
    </row>
    <row r="410">
      <c r="A410" s="6"/>
      <c r="B410" s="14"/>
    </row>
    <row r="411">
      <c r="A411" s="6"/>
      <c r="B411" s="14"/>
    </row>
    <row r="412">
      <c r="A412" s="6"/>
      <c r="B412" s="14"/>
    </row>
    <row r="413">
      <c r="A413" s="6"/>
      <c r="B413" s="14"/>
    </row>
    <row r="414">
      <c r="A414" s="6"/>
      <c r="B414" s="14"/>
    </row>
    <row r="415">
      <c r="A415" s="6"/>
      <c r="B415" s="14"/>
    </row>
    <row r="416">
      <c r="A416" s="6"/>
      <c r="B416" s="14"/>
    </row>
    <row r="417">
      <c r="A417" s="6"/>
      <c r="B417" s="14"/>
    </row>
    <row r="418">
      <c r="A418" s="6"/>
      <c r="B418" s="14"/>
    </row>
    <row r="419">
      <c r="A419" s="6"/>
      <c r="B419" s="14"/>
    </row>
    <row r="420">
      <c r="A420" s="6"/>
      <c r="B420" s="14"/>
    </row>
    <row r="421">
      <c r="A421" s="6"/>
      <c r="B421" s="14"/>
    </row>
    <row r="422">
      <c r="A422" s="6"/>
      <c r="B422" s="14"/>
    </row>
    <row r="423">
      <c r="A423" s="6"/>
      <c r="B423" s="14"/>
    </row>
    <row r="424">
      <c r="A424" s="6"/>
      <c r="B424" s="14"/>
    </row>
    <row r="425">
      <c r="A425" s="6"/>
      <c r="B425" s="14"/>
    </row>
    <row r="426">
      <c r="A426" s="6"/>
      <c r="B426" s="14"/>
    </row>
    <row r="427">
      <c r="A427" s="6"/>
      <c r="B427" s="14"/>
    </row>
    <row r="428">
      <c r="A428" s="6"/>
      <c r="B428" s="14"/>
    </row>
    <row r="429">
      <c r="A429" s="6"/>
      <c r="B429" s="14"/>
    </row>
    <row r="430">
      <c r="A430" s="6"/>
      <c r="B430" s="14"/>
    </row>
    <row r="431">
      <c r="A431" s="6"/>
      <c r="B431" s="14"/>
    </row>
    <row r="432">
      <c r="A432" s="6"/>
      <c r="B432" s="14"/>
    </row>
    <row r="433">
      <c r="A433" s="6"/>
      <c r="B433" s="14"/>
    </row>
    <row r="434">
      <c r="A434" s="6"/>
      <c r="B434" s="14"/>
    </row>
    <row r="435">
      <c r="A435" s="6"/>
      <c r="B435" s="14"/>
    </row>
    <row r="436">
      <c r="A436" s="6"/>
      <c r="B436" s="14"/>
    </row>
    <row r="437">
      <c r="A437" s="6"/>
      <c r="B437" s="14"/>
    </row>
    <row r="438">
      <c r="A438" s="6"/>
      <c r="B438" s="14"/>
    </row>
    <row r="439">
      <c r="A439" s="6"/>
      <c r="B439" s="14"/>
    </row>
    <row r="440">
      <c r="A440" s="6"/>
      <c r="B440" s="14"/>
    </row>
    <row r="441">
      <c r="A441" s="6"/>
      <c r="B441" s="14"/>
    </row>
    <row r="442">
      <c r="A442" s="6"/>
      <c r="B442" s="14"/>
    </row>
    <row r="443">
      <c r="A443" s="6"/>
      <c r="B443" s="14"/>
    </row>
    <row r="444">
      <c r="A444" s="6"/>
      <c r="B444" s="14"/>
    </row>
    <row r="445">
      <c r="A445" s="6"/>
      <c r="B445" s="14"/>
    </row>
    <row r="446">
      <c r="A446" s="6"/>
      <c r="B446" s="14"/>
    </row>
    <row r="447">
      <c r="A447" s="6"/>
      <c r="B447" s="14"/>
    </row>
    <row r="448">
      <c r="A448" s="6"/>
      <c r="B448" s="14"/>
    </row>
    <row r="449">
      <c r="A449" s="6"/>
      <c r="B449" s="14"/>
    </row>
    <row r="450">
      <c r="A450" s="6"/>
      <c r="B450" s="14"/>
    </row>
    <row r="451">
      <c r="A451" s="6"/>
      <c r="B451" s="14"/>
    </row>
    <row r="452">
      <c r="A452" s="6"/>
      <c r="B452" s="14"/>
    </row>
    <row r="453">
      <c r="A453" s="6"/>
      <c r="B453" s="14"/>
    </row>
    <row r="454">
      <c r="A454" s="6"/>
      <c r="B454" s="14"/>
    </row>
    <row r="455">
      <c r="A455" s="6"/>
      <c r="B455" s="14"/>
    </row>
    <row r="456">
      <c r="A456" s="6"/>
      <c r="B456" s="14"/>
    </row>
    <row r="457">
      <c r="A457" s="6"/>
      <c r="B457" s="14"/>
    </row>
    <row r="458">
      <c r="A458" s="6"/>
      <c r="B458" s="14"/>
    </row>
    <row r="459">
      <c r="A459" s="6"/>
      <c r="B459" s="14"/>
    </row>
    <row r="460">
      <c r="A460" s="6"/>
      <c r="B460" s="14"/>
    </row>
    <row r="461">
      <c r="A461" s="6"/>
      <c r="B461" s="14"/>
    </row>
    <row r="462">
      <c r="A462" s="6"/>
      <c r="B462" s="14"/>
    </row>
    <row r="463">
      <c r="A463" s="6"/>
      <c r="B463" s="14"/>
    </row>
    <row r="464">
      <c r="A464" s="6"/>
      <c r="B464" s="14"/>
    </row>
    <row r="465">
      <c r="A465" s="6"/>
      <c r="B465" s="14"/>
    </row>
    <row r="466">
      <c r="A466" s="6"/>
      <c r="B466" s="14"/>
    </row>
    <row r="467">
      <c r="A467" s="6"/>
      <c r="B467" s="14"/>
    </row>
    <row r="468">
      <c r="A468" s="6"/>
      <c r="B468" s="14"/>
    </row>
    <row r="469">
      <c r="A469" s="6"/>
      <c r="B469" s="14"/>
    </row>
    <row r="470">
      <c r="A470" s="6"/>
      <c r="B470" s="14"/>
    </row>
    <row r="471">
      <c r="A471" s="6"/>
      <c r="B471" s="14"/>
    </row>
    <row r="472">
      <c r="A472" s="6"/>
      <c r="B472" s="14"/>
    </row>
    <row r="473">
      <c r="A473" s="6"/>
      <c r="B473" s="14"/>
    </row>
    <row r="474">
      <c r="A474" s="6"/>
      <c r="B474" s="14"/>
    </row>
    <row r="475">
      <c r="A475" s="6"/>
      <c r="B475" s="14"/>
    </row>
    <row r="476">
      <c r="A476" s="6"/>
      <c r="B476" s="14"/>
    </row>
    <row r="477">
      <c r="A477" s="6"/>
      <c r="B477" s="14"/>
    </row>
    <row r="478">
      <c r="A478" s="6"/>
      <c r="B478" s="14"/>
    </row>
    <row r="479">
      <c r="A479" s="6"/>
      <c r="B479" s="14"/>
    </row>
    <row r="480">
      <c r="A480" s="6"/>
      <c r="B480" s="14"/>
    </row>
    <row r="481">
      <c r="A481" s="6"/>
      <c r="B481" s="14"/>
    </row>
    <row r="482">
      <c r="A482" s="6"/>
      <c r="B482" s="14"/>
    </row>
    <row r="483">
      <c r="A483" s="6"/>
      <c r="B483" s="14"/>
    </row>
    <row r="484">
      <c r="A484" s="6"/>
      <c r="B484" s="14"/>
    </row>
    <row r="485">
      <c r="A485" s="6"/>
      <c r="B485" s="14"/>
    </row>
    <row r="486">
      <c r="A486" s="6"/>
      <c r="B486" s="14"/>
    </row>
    <row r="487">
      <c r="A487" s="6"/>
      <c r="B487" s="14"/>
    </row>
    <row r="488">
      <c r="A488" s="6"/>
      <c r="B488" s="14"/>
    </row>
    <row r="489">
      <c r="A489" s="6"/>
      <c r="B489" s="14"/>
    </row>
    <row r="490">
      <c r="A490" s="6"/>
      <c r="B490" s="14"/>
    </row>
    <row r="491">
      <c r="A491" s="6"/>
      <c r="B491" s="14"/>
    </row>
    <row r="492">
      <c r="A492" s="6"/>
      <c r="B492" s="14"/>
    </row>
    <row r="493">
      <c r="A493" s="6"/>
      <c r="B493" s="14"/>
    </row>
    <row r="494">
      <c r="A494" s="6"/>
      <c r="B494" s="14"/>
    </row>
    <row r="495">
      <c r="A495" s="6"/>
      <c r="B495" s="14"/>
    </row>
    <row r="496">
      <c r="A496" s="6"/>
      <c r="B496" s="14"/>
    </row>
    <row r="497">
      <c r="A497" s="6"/>
      <c r="B497" s="14"/>
    </row>
    <row r="498">
      <c r="A498" s="6"/>
      <c r="B498" s="14"/>
    </row>
    <row r="499">
      <c r="A499" s="6"/>
      <c r="B499" s="14"/>
    </row>
    <row r="500">
      <c r="A500" s="6"/>
      <c r="B500" s="14"/>
    </row>
    <row r="501">
      <c r="A501" s="6"/>
      <c r="B501" s="14"/>
    </row>
    <row r="502">
      <c r="A502" s="6"/>
      <c r="B502" s="14"/>
    </row>
    <row r="503">
      <c r="A503" s="6"/>
      <c r="B503" s="14"/>
    </row>
    <row r="504">
      <c r="A504" s="6"/>
      <c r="B504" s="14"/>
    </row>
    <row r="505">
      <c r="A505" s="6"/>
      <c r="B505" s="14"/>
    </row>
    <row r="506">
      <c r="A506" s="6"/>
      <c r="B506" s="14"/>
    </row>
    <row r="507">
      <c r="A507" s="6"/>
      <c r="B507" s="14"/>
    </row>
    <row r="508">
      <c r="A508" s="6"/>
      <c r="B508" s="14"/>
    </row>
    <row r="509">
      <c r="A509" s="6"/>
      <c r="B509" s="14"/>
    </row>
    <row r="510">
      <c r="A510" s="6"/>
      <c r="B510" s="14"/>
    </row>
    <row r="511">
      <c r="A511" s="6"/>
      <c r="B511" s="14"/>
    </row>
    <row r="512">
      <c r="A512" s="6"/>
      <c r="B512" s="14"/>
    </row>
    <row r="513">
      <c r="A513" s="6"/>
      <c r="B513" s="14"/>
    </row>
    <row r="514">
      <c r="A514" s="6"/>
      <c r="B514" s="14"/>
    </row>
    <row r="515">
      <c r="A515" s="6"/>
      <c r="B515" s="14"/>
    </row>
    <row r="516">
      <c r="A516" s="6"/>
      <c r="B516" s="14"/>
    </row>
    <row r="517">
      <c r="A517" s="6"/>
      <c r="B517" s="14"/>
    </row>
    <row r="518">
      <c r="A518" s="6"/>
      <c r="B518" s="14"/>
    </row>
    <row r="519">
      <c r="A519" s="6"/>
      <c r="B519" s="14"/>
    </row>
    <row r="520">
      <c r="A520" s="6"/>
      <c r="B520" s="14"/>
    </row>
    <row r="521">
      <c r="A521" s="6"/>
      <c r="B521" s="14"/>
    </row>
    <row r="522">
      <c r="A522" s="6"/>
      <c r="B522" s="14"/>
    </row>
    <row r="523">
      <c r="A523" s="6"/>
      <c r="B523" s="14"/>
    </row>
    <row r="524">
      <c r="A524" s="6"/>
      <c r="B524" s="14"/>
    </row>
    <row r="525">
      <c r="A525" s="6"/>
      <c r="B525" s="14"/>
    </row>
    <row r="526">
      <c r="A526" s="6"/>
      <c r="B526" s="14"/>
    </row>
    <row r="527">
      <c r="A527" s="6"/>
      <c r="B527" s="14"/>
    </row>
    <row r="528">
      <c r="A528" s="6"/>
      <c r="B528" s="14"/>
    </row>
    <row r="529">
      <c r="A529" s="6"/>
      <c r="B529" s="14"/>
    </row>
    <row r="530">
      <c r="A530" s="6"/>
      <c r="B530" s="14"/>
    </row>
    <row r="531">
      <c r="A531" s="6"/>
      <c r="B531" s="14"/>
    </row>
    <row r="532">
      <c r="A532" s="6"/>
      <c r="B532" s="14"/>
    </row>
    <row r="533">
      <c r="A533" s="6"/>
      <c r="B533" s="14"/>
    </row>
    <row r="534">
      <c r="A534" s="6"/>
      <c r="B534" s="14"/>
    </row>
    <row r="535">
      <c r="A535" s="6"/>
      <c r="B535" s="14"/>
    </row>
    <row r="536">
      <c r="A536" s="6"/>
      <c r="B536" s="14"/>
    </row>
    <row r="537">
      <c r="A537" s="6"/>
      <c r="B537" s="14"/>
    </row>
    <row r="538">
      <c r="A538" s="6"/>
      <c r="B538" s="14"/>
    </row>
    <row r="539">
      <c r="A539" s="6"/>
      <c r="B539" s="14"/>
    </row>
    <row r="540">
      <c r="A540" s="6"/>
      <c r="B540" s="14"/>
    </row>
    <row r="541">
      <c r="A541" s="6"/>
      <c r="B541" s="14"/>
    </row>
    <row r="542">
      <c r="A542" s="6"/>
      <c r="B542" s="14"/>
    </row>
    <row r="543">
      <c r="A543" s="6"/>
      <c r="B543" s="14"/>
    </row>
    <row r="544">
      <c r="A544" s="6"/>
      <c r="B544" s="14"/>
    </row>
    <row r="545">
      <c r="A545" s="6"/>
      <c r="B545" s="14"/>
    </row>
    <row r="546">
      <c r="A546" s="6"/>
      <c r="B546" s="14"/>
    </row>
    <row r="547">
      <c r="A547" s="6"/>
      <c r="B547" s="14"/>
    </row>
    <row r="548">
      <c r="A548" s="6"/>
      <c r="B548" s="14"/>
    </row>
    <row r="549">
      <c r="A549" s="6"/>
      <c r="B549" s="14"/>
    </row>
    <row r="550">
      <c r="A550" s="6"/>
      <c r="B550" s="14"/>
    </row>
    <row r="551">
      <c r="A551" s="6"/>
      <c r="B551" s="14"/>
    </row>
    <row r="552">
      <c r="A552" s="6"/>
      <c r="B552" s="14"/>
    </row>
    <row r="553">
      <c r="A553" s="6"/>
      <c r="B553" s="14"/>
    </row>
    <row r="554">
      <c r="A554" s="6"/>
      <c r="B554" s="14"/>
    </row>
    <row r="555">
      <c r="A555" s="6"/>
      <c r="B555" s="14"/>
    </row>
    <row r="556">
      <c r="A556" s="6"/>
      <c r="B556" s="14"/>
    </row>
    <row r="557">
      <c r="A557" s="6"/>
      <c r="B557" s="14"/>
    </row>
    <row r="558">
      <c r="A558" s="6"/>
      <c r="B558" s="14"/>
    </row>
    <row r="559">
      <c r="A559" s="6"/>
      <c r="B559" s="14"/>
    </row>
    <row r="560">
      <c r="A560" s="6"/>
      <c r="B560" s="14"/>
    </row>
    <row r="561">
      <c r="A561" s="6"/>
      <c r="B561" s="14"/>
    </row>
    <row r="562">
      <c r="A562" s="6"/>
      <c r="B562" s="14"/>
    </row>
    <row r="563">
      <c r="A563" s="6"/>
      <c r="B563" s="14"/>
    </row>
    <row r="564">
      <c r="A564" s="6"/>
      <c r="B564" s="14"/>
    </row>
    <row r="565">
      <c r="A565" s="6"/>
      <c r="B565" s="14"/>
    </row>
    <row r="566">
      <c r="A566" s="6"/>
      <c r="B566" s="14"/>
    </row>
    <row r="567">
      <c r="A567" s="6"/>
      <c r="B567" s="14"/>
    </row>
    <row r="568">
      <c r="A568" s="6"/>
      <c r="B568" s="14"/>
    </row>
    <row r="569">
      <c r="A569" s="6"/>
      <c r="B569" s="14"/>
    </row>
    <row r="570">
      <c r="A570" s="6"/>
      <c r="B570" s="14"/>
    </row>
    <row r="571">
      <c r="A571" s="6"/>
      <c r="B571" s="14"/>
    </row>
    <row r="572">
      <c r="A572" s="6"/>
      <c r="B572" s="14"/>
    </row>
    <row r="573">
      <c r="A573" s="6"/>
      <c r="B573" s="14"/>
    </row>
    <row r="574">
      <c r="A574" s="6"/>
      <c r="B574" s="14"/>
    </row>
    <row r="575">
      <c r="A575" s="6"/>
      <c r="B575" s="14"/>
    </row>
    <row r="576">
      <c r="A576" s="6"/>
      <c r="B576" s="14"/>
    </row>
    <row r="577">
      <c r="A577" s="6"/>
      <c r="B577" s="14"/>
    </row>
    <row r="578">
      <c r="A578" s="6"/>
      <c r="B578" s="14"/>
    </row>
    <row r="579">
      <c r="A579" s="6"/>
      <c r="B579" s="14"/>
    </row>
    <row r="580">
      <c r="A580" s="6"/>
      <c r="B580" s="14"/>
    </row>
    <row r="581">
      <c r="A581" s="6"/>
      <c r="B581" s="14"/>
    </row>
    <row r="582">
      <c r="A582" s="6"/>
      <c r="B582" s="14"/>
    </row>
    <row r="583">
      <c r="A583" s="6"/>
      <c r="B583" s="14"/>
    </row>
    <row r="584">
      <c r="A584" s="6"/>
      <c r="B584" s="14"/>
    </row>
    <row r="585">
      <c r="A585" s="6"/>
      <c r="B585" s="14"/>
    </row>
    <row r="586">
      <c r="A586" s="6"/>
      <c r="B586" s="14"/>
    </row>
    <row r="587">
      <c r="A587" s="6"/>
      <c r="B587" s="14"/>
    </row>
    <row r="588">
      <c r="A588" s="6"/>
      <c r="B588" s="14"/>
    </row>
    <row r="589">
      <c r="A589" s="6"/>
      <c r="B589" s="14"/>
    </row>
    <row r="590">
      <c r="A590" s="6"/>
      <c r="B590" s="14"/>
    </row>
    <row r="591">
      <c r="A591" s="6"/>
      <c r="B591" s="14"/>
    </row>
    <row r="592">
      <c r="A592" s="6"/>
      <c r="B592" s="14"/>
    </row>
    <row r="593">
      <c r="A593" s="6"/>
      <c r="B593" s="14"/>
    </row>
    <row r="594">
      <c r="A594" s="6"/>
      <c r="B594" s="14"/>
    </row>
    <row r="595">
      <c r="A595" s="6"/>
      <c r="B595" s="14"/>
    </row>
    <row r="596">
      <c r="A596" s="6"/>
      <c r="B596" s="14"/>
    </row>
    <row r="597">
      <c r="A597" s="6"/>
      <c r="B597" s="14"/>
    </row>
    <row r="598">
      <c r="A598" s="6"/>
      <c r="B598" s="14"/>
    </row>
    <row r="599">
      <c r="A599" s="6"/>
      <c r="B599" s="14"/>
    </row>
    <row r="600">
      <c r="A600" s="6"/>
      <c r="B600" s="14"/>
    </row>
    <row r="601">
      <c r="A601" s="6"/>
      <c r="B601" s="14"/>
    </row>
    <row r="602">
      <c r="A602" s="6"/>
      <c r="B602" s="14"/>
    </row>
    <row r="603">
      <c r="A603" s="6"/>
      <c r="B603" s="14"/>
    </row>
    <row r="604">
      <c r="A604" s="6"/>
      <c r="B604" s="14"/>
    </row>
    <row r="605">
      <c r="A605" s="6"/>
      <c r="B605" s="14"/>
    </row>
    <row r="606">
      <c r="A606" s="6"/>
      <c r="B606" s="14"/>
    </row>
    <row r="607">
      <c r="A607" s="6"/>
      <c r="B607" s="14"/>
    </row>
    <row r="608">
      <c r="A608" s="6"/>
      <c r="B608" s="14"/>
    </row>
    <row r="609">
      <c r="A609" s="6"/>
      <c r="B609" s="14"/>
    </row>
    <row r="610">
      <c r="A610" s="6"/>
      <c r="B610" s="14"/>
    </row>
    <row r="611">
      <c r="A611" s="6"/>
      <c r="B611" s="14"/>
    </row>
    <row r="612">
      <c r="A612" s="6"/>
      <c r="B612" s="14"/>
    </row>
    <row r="613">
      <c r="A613" s="6"/>
      <c r="B613" s="14"/>
    </row>
    <row r="614">
      <c r="A614" s="6"/>
      <c r="B614" s="14"/>
    </row>
    <row r="615">
      <c r="A615" s="6"/>
      <c r="B615" s="14"/>
    </row>
    <row r="616">
      <c r="A616" s="6"/>
      <c r="B616" s="14"/>
    </row>
    <row r="617">
      <c r="A617" s="6"/>
      <c r="B617" s="14"/>
    </row>
    <row r="618">
      <c r="A618" s="6"/>
      <c r="B618" s="14"/>
    </row>
    <row r="619">
      <c r="A619" s="6"/>
      <c r="B619" s="14"/>
    </row>
    <row r="620">
      <c r="A620" s="6"/>
      <c r="B620" s="14"/>
    </row>
    <row r="621">
      <c r="A621" s="6"/>
      <c r="B621" s="14"/>
    </row>
    <row r="622">
      <c r="A622" s="6"/>
      <c r="B622" s="14"/>
    </row>
    <row r="623">
      <c r="A623" s="6"/>
      <c r="B623" s="14"/>
    </row>
    <row r="624">
      <c r="A624" s="6"/>
      <c r="B624" s="14"/>
    </row>
    <row r="625">
      <c r="A625" s="6"/>
      <c r="B625" s="14"/>
    </row>
    <row r="626">
      <c r="A626" s="6"/>
      <c r="B626" s="14"/>
    </row>
    <row r="627">
      <c r="A627" s="6"/>
      <c r="B627" s="14"/>
    </row>
    <row r="628">
      <c r="A628" s="6"/>
      <c r="B628" s="14"/>
    </row>
    <row r="629">
      <c r="A629" s="6"/>
      <c r="B629" s="14"/>
    </row>
    <row r="630">
      <c r="A630" s="6"/>
      <c r="B630" s="14"/>
    </row>
    <row r="631">
      <c r="A631" s="6"/>
      <c r="B631" s="14"/>
    </row>
    <row r="632">
      <c r="A632" s="6"/>
      <c r="B632" s="14"/>
    </row>
    <row r="633">
      <c r="A633" s="6"/>
      <c r="B633" s="14"/>
    </row>
    <row r="634">
      <c r="A634" s="6"/>
      <c r="B634" s="14"/>
    </row>
    <row r="635">
      <c r="A635" s="6"/>
      <c r="B635" s="14"/>
    </row>
    <row r="636">
      <c r="A636" s="6"/>
      <c r="B636" s="14"/>
    </row>
    <row r="637">
      <c r="A637" s="6"/>
      <c r="B637" s="14"/>
    </row>
    <row r="638">
      <c r="A638" s="6"/>
      <c r="B638" s="14"/>
    </row>
    <row r="639">
      <c r="A639" s="6"/>
      <c r="B639" s="14"/>
    </row>
    <row r="640">
      <c r="A640" s="6"/>
      <c r="B640" s="14"/>
    </row>
    <row r="641">
      <c r="A641" s="6"/>
      <c r="B641" s="14"/>
    </row>
    <row r="642">
      <c r="A642" s="6"/>
      <c r="B642" s="14"/>
    </row>
    <row r="643">
      <c r="A643" s="6"/>
      <c r="B643" s="14"/>
    </row>
    <row r="644">
      <c r="A644" s="6"/>
      <c r="B644" s="14"/>
    </row>
    <row r="645">
      <c r="A645" s="6"/>
      <c r="B645" s="14"/>
    </row>
    <row r="646">
      <c r="A646" s="6"/>
      <c r="B646" s="14"/>
    </row>
    <row r="647">
      <c r="A647" s="6"/>
      <c r="B647" s="14"/>
    </row>
    <row r="648">
      <c r="A648" s="6"/>
      <c r="B648" s="14"/>
    </row>
    <row r="649">
      <c r="A649" s="6"/>
      <c r="B649" s="14"/>
    </row>
    <row r="650">
      <c r="A650" s="6"/>
      <c r="B650" s="14"/>
    </row>
    <row r="651">
      <c r="A651" s="6"/>
      <c r="B651" s="14"/>
    </row>
    <row r="652">
      <c r="A652" s="6"/>
      <c r="B652" s="14"/>
    </row>
    <row r="653">
      <c r="A653" s="6"/>
      <c r="B653" s="14"/>
    </row>
    <row r="654">
      <c r="A654" s="6"/>
      <c r="B654" s="14"/>
    </row>
    <row r="655">
      <c r="A655" s="6"/>
      <c r="B655" s="14"/>
    </row>
    <row r="656">
      <c r="A656" s="6"/>
      <c r="B656" s="14"/>
    </row>
    <row r="657">
      <c r="A657" s="6"/>
      <c r="B657" s="14"/>
    </row>
    <row r="658">
      <c r="A658" s="6"/>
      <c r="B658" s="14"/>
    </row>
    <row r="659">
      <c r="A659" s="6"/>
      <c r="B659" s="14"/>
    </row>
    <row r="660">
      <c r="A660" s="6"/>
      <c r="B660" s="14"/>
    </row>
    <row r="661">
      <c r="A661" s="6"/>
      <c r="B661" s="14"/>
    </row>
    <row r="662">
      <c r="A662" s="6"/>
      <c r="B662" s="14"/>
    </row>
    <row r="663">
      <c r="A663" s="6"/>
      <c r="B663" s="14"/>
    </row>
    <row r="664">
      <c r="A664" s="6"/>
      <c r="B664" s="14"/>
    </row>
    <row r="665">
      <c r="A665" s="6"/>
      <c r="B665" s="14"/>
    </row>
    <row r="666">
      <c r="A666" s="6"/>
      <c r="B666" s="14"/>
    </row>
    <row r="667">
      <c r="A667" s="6"/>
      <c r="B667" s="14"/>
    </row>
    <row r="668">
      <c r="A668" s="6"/>
      <c r="B668" s="14"/>
    </row>
    <row r="669">
      <c r="A669" s="6"/>
      <c r="B669" s="14"/>
    </row>
    <row r="670">
      <c r="A670" s="6"/>
      <c r="B670" s="14"/>
    </row>
    <row r="671">
      <c r="A671" s="6"/>
      <c r="B671" s="14"/>
    </row>
    <row r="672">
      <c r="A672" s="6"/>
      <c r="B672" s="14"/>
    </row>
    <row r="673">
      <c r="A673" s="6"/>
      <c r="B673" s="14"/>
    </row>
    <row r="674">
      <c r="A674" s="6"/>
      <c r="B674" s="14"/>
    </row>
    <row r="675">
      <c r="A675" s="6"/>
      <c r="B675" s="14"/>
    </row>
    <row r="676">
      <c r="A676" s="6"/>
      <c r="B676" s="14"/>
    </row>
    <row r="677">
      <c r="A677" s="6"/>
      <c r="B677" s="14"/>
    </row>
    <row r="678">
      <c r="A678" s="6"/>
      <c r="B678" s="14"/>
    </row>
    <row r="679">
      <c r="A679" s="6"/>
      <c r="B679" s="14"/>
    </row>
    <row r="680">
      <c r="A680" s="6"/>
      <c r="B680" s="14"/>
    </row>
    <row r="681">
      <c r="A681" s="6"/>
      <c r="B681" s="14"/>
    </row>
    <row r="682">
      <c r="A682" s="6"/>
      <c r="B682" s="14"/>
    </row>
    <row r="683">
      <c r="A683" s="6"/>
      <c r="B683" s="14"/>
    </row>
    <row r="684">
      <c r="A684" s="6"/>
      <c r="B684" s="14"/>
    </row>
    <row r="685">
      <c r="A685" s="6"/>
      <c r="B685" s="14"/>
    </row>
    <row r="686">
      <c r="A686" s="6"/>
      <c r="B686" s="14"/>
    </row>
    <row r="687">
      <c r="A687" s="6"/>
      <c r="B687" s="14"/>
    </row>
    <row r="688">
      <c r="A688" s="6"/>
      <c r="B688" s="14"/>
    </row>
    <row r="689">
      <c r="A689" s="6"/>
      <c r="B689" s="14"/>
    </row>
    <row r="690">
      <c r="A690" s="6"/>
      <c r="B690" s="14"/>
    </row>
    <row r="691">
      <c r="A691" s="6"/>
      <c r="B691" s="14"/>
    </row>
    <row r="692">
      <c r="A692" s="6"/>
      <c r="B692" s="14"/>
    </row>
    <row r="693">
      <c r="A693" s="6"/>
      <c r="B693" s="14"/>
    </row>
    <row r="694">
      <c r="A694" s="6"/>
      <c r="B694" s="14"/>
    </row>
    <row r="695">
      <c r="A695" s="6"/>
      <c r="B695" s="14"/>
    </row>
    <row r="696">
      <c r="A696" s="6"/>
      <c r="B696" s="14"/>
    </row>
    <row r="697">
      <c r="A697" s="6"/>
      <c r="B697" s="14"/>
    </row>
    <row r="698">
      <c r="A698" s="6"/>
      <c r="B698" s="14"/>
    </row>
    <row r="699">
      <c r="A699" s="6"/>
      <c r="B699" s="14"/>
    </row>
    <row r="700">
      <c r="A700" s="6"/>
      <c r="B700" s="14"/>
    </row>
    <row r="701">
      <c r="A701" s="6"/>
      <c r="B701" s="14"/>
    </row>
    <row r="702">
      <c r="A702" s="6"/>
      <c r="B702" s="14"/>
    </row>
    <row r="703">
      <c r="A703" s="6"/>
      <c r="B703" s="14"/>
    </row>
    <row r="704">
      <c r="A704" s="6"/>
      <c r="B704" s="14"/>
    </row>
    <row r="705">
      <c r="A705" s="6"/>
      <c r="B705" s="14"/>
    </row>
    <row r="706">
      <c r="A706" s="6"/>
      <c r="B706" s="14"/>
    </row>
    <row r="707">
      <c r="A707" s="6"/>
      <c r="B707" s="14"/>
    </row>
    <row r="708">
      <c r="A708" s="6"/>
      <c r="B708" s="14"/>
    </row>
    <row r="709">
      <c r="A709" s="6"/>
      <c r="B709" s="14"/>
    </row>
    <row r="710">
      <c r="A710" s="6"/>
      <c r="B710" s="14"/>
    </row>
    <row r="711">
      <c r="A711" s="6"/>
      <c r="B711" s="14"/>
    </row>
    <row r="712">
      <c r="A712" s="6"/>
      <c r="B712" s="14"/>
    </row>
    <row r="713">
      <c r="A713" s="6"/>
      <c r="B713" s="14"/>
    </row>
    <row r="714">
      <c r="A714" s="6"/>
      <c r="B714" s="14"/>
    </row>
    <row r="715">
      <c r="A715" s="6"/>
      <c r="B715" s="14"/>
    </row>
    <row r="716">
      <c r="A716" s="6"/>
      <c r="B716" s="14"/>
    </row>
    <row r="717">
      <c r="A717" s="6"/>
      <c r="B717" s="14"/>
    </row>
    <row r="718">
      <c r="A718" s="6"/>
      <c r="B718" s="14"/>
    </row>
    <row r="719">
      <c r="A719" s="6"/>
      <c r="B719" s="14"/>
    </row>
    <row r="720">
      <c r="A720" s="6"/>
      <c r="B720" s="14"/>
    </row>
    <row r="721">
      <c r="A721" s="6"/>
      <c r="B721" s="14"/>
    </row>
    <row r="722">
      <c r="A722" s="6"/>
      <c r="B722" s="14"/>
    </row>
    <row r="723">
      <c r="A723" s="6"/>
      <c r="B723" s="14"/>
    </row>
    <row r="724">
      <c r="A724" s="6"/>
      <c r="B724" s="14"/>
    </row>
    <row r="725">
      <c r="A725" s="6"/>
      <c r="B725" s="14"/>
    </row>
    <row r="726">
      <c r="A726" s="6"/>
      <c r="B726" s="14"/>
    </row>
    <row r="727">
      <c r="A727" s="6"/>
      <c r="B727" s="14"/>
    </row>
    <row r="728">
      <c r="A728" s="6"/>
      <c r="B728" s="14"/>
    </row>
    <row r="729">
      <c r="A729" s="6"/>
      <c r="B729" s="14"/>
    </row>
    <row r="730">
      <c r="A730" s="6"/>
      <c r="B730" s="14"/>
    </row>
    <row r="731">
      <c r="A731" s="6"/>
      <c r="B731" s="14"/>
    </row>
    <row r="732">
      <c r="A732" s="6"/>
      <c r="B732" s="14"/>
    </row>
    <row r="733">
      <c r="A733" s="6"/>
      <c r="B733" s="14"/>
    </row>
    <row r="734">
      <c r="A734" s="6"/>
      <c r="B734" s="14"/>
    </row>
    <row r="735">
      <c r="A735" s="6"/>
      <c r="B735" s="14"/>
    </row>
    <row r="736">
      <c r="A736" s="6"/>
      <c r="B736" s="14"/>
    </row>
    <row r="737">
      <c r="A737" s="6"/>
      <c r="B737" s="14"/>
    </row>
    <row r="738">
      <c r="A738" s="6"/>
      <c r="B738" s="14"/>
    </row>
    <row r="739">
      <c r="A739" s="6"/>
      <c r="B739" s="14"/>
    </row>
    <row r="740">
      <c r="A740" s="6"/>
      <c r="B740" s="14"/>
    </row>
    <row r="741">
      <c r="A741" s="6"/>
      <c r="B741" s="14"/>
    </row>
    <row r="742">
      <c r="A742" s="6"/>
      <c r="B742" s="14"/>
    </row>
    <row r="743">
      <c r="A743" s="6"/>
      <c r="B743" s="14"/>
    </row>
    <row r="744">
      <c r="A744" s="6"/>
      <c r="B744" s="14"/>
    </row>
    <row r="745">
      <c r="A745" s="6"/>
      <c r="B745" s="14"/>
    </row>
    <row r="746">
      <c r="A746" s="6"/>
      <c r="B746" s="14"/>
    </row>
    <row r="747">
      <c r="A747" s="6"/>
      <c r="B747" s="14"/>
    </row>
    <row r="748">
      <c r="A748" s="6"/>
      <c r="B748" s="14"/>
    </row>
    <row r="749">
      <c r="A749" s="6"/>
      <c r="B749" s="14"/>
    </row>
    <row r="750">
      <c r="A750" s="6"/>
      <c r="B750" s="14"/>
    </row>
    <row r="751">
      <c r="A751" s="6"/>
      <c r="B751" s="14"/>
    </row>
    <row r="752">
      <c r="A752" s="6"/>
      <c r="B752" s="14"/>
    </row>
    <row r="753">
      <c r="A753" s="6"/>
      <c r="B753" s="14"/>
    </row>
    <row r="754">
      <c r="A754" s="6"/>
      <c r="B754" s="14"/>
    </row>
    <row r="755">
      <c r="A755" s="6"/>
      <c r="B755" s="14"/>
    </row>
    <row r="756">
      <c r="A756" s="6"/>
      <c r="B756" s="14"/>
    </row>
    <row r="757">
      <c r="A757" s="6"/>
      <c r="B757" s="14"/>
    </row>
    <row r="758">
      <c r="A758" s="6"/>
      <c r="B758" s="14"/>
    </row>
    <row r="759">
      <c r="A759" s="6"/>
      <c r="B759" s="14"/>
    </row>
    <row r="760">
      <c r="A760" s="6"/>
      <c r="B760" s="14"/>
    </row>
    <row r="761">
      <c r="A761" s="6"/>
      <c r="B761" s="14"/>
    </row>
    <row r="762">
      <c r="A762" s="6"/>
      <c r="B762" s="14"/>
    </row>
    <row r="763">
      <c r="A763" s="6"/>
      <c r="B763" s="14"/>
    </row>
    <row r="764">
      <c r="A764" s="6"/>
      <c r="B764" s="14"/>
    </row>
    <row r="765">
      <c r="A765" s="6"/>
      <c r="B765" s="14"/>
    </row>
    <row r="766">
      <c r="A766" s="6"/>
      <c r="B766" s="14"/>
    </row>
    <row r="767">
      <c r="A767" s="6"/>
      <c r="B767" s="14"/>
    </row>
    <row r="768">
      <c r="A768" s="6"/>
      <c r="B768" s="14"/>
    </row>
    <row r="769">
      <c r="A769" s="6"/>
      <c r="B769" s="14"/>
    </row>
    <row r="770">
      <c r="A770" s="6"/>
      <c r="B770" s="14"/>
    </row>
    <row r="771">
      <c r="A771" s="6"/>
      <c r="B771" s="14"/>
    </row>
    <row r="772">
      <c r="A772" s="6"/>
      <c r="B772" s="14"/>
    </row>
    <row r="773">
      <c r="A773" s="6"/>
      <c r="B773" s="14"/>
    </row>
    <row r="774">
      <c r="A774" s="6"/>
      <c r="B774" s="14"/>
    </row>
    <row r="775">
      <c r="A775" s="6"/>
      <c r="B775" s="14"/>
    </row>
    <row r="776">
      <c r="A776" s="6"/>
      <c r="B776" s="14"/>
    </row>
    <row r="777">
      <c r="A777" s="6"/>
      <c r="B777" s="14"/>
    </row>
    <row r="778">
      <c r="A778" s="6"/>
      <c r="B778" s="14"/>
    </row>
    <row r="779">
      <c r="A779" s="6"/>
      <c r="B779" s="14"/>
    </row>
    <row r="780">
      <c r="A780" s="6"/>
      <c r="B780" s="14"/>
    </row>
    <row r="781">
      <c r="A781" s="6"/>
      <c r="B781" s="14"/>
    </row>
    <row r="782">
      <c r="A782" s="6"/>
      <c r="B782" s="14"/>
    </row>
    <row r="783">
      <c r="A783" s="6"/>
      <c r="B783" s="14"/>
    </row>
    <row r="784">
      <c r="A784" s="6"/>
      <c r="B784" s="14"/>
    </row>
    <row r="785">
      <c r="A785" s="6"/>
      <c r="B785" s="14"/>
    </row>
    <row r="786">
      <c r="A786" s="6"/>
      <c r="B786" s="14"/>
    </row>
    <row r="787">
      <c r="A787" s="6"/>
      <c r="B787" s="14"/>
    </row>
    <row r="788">
      <c r="A788" s="6"/>
      <c r="B788" s="14"/>
    </row>
    <row r="789">
      <c r="A789" s="6"/>
      <c r="B789" s="14"/>
    </row>
    <row r="790">
      <c r="A790" s="6"/>
      <c r="B790" s="14"/>
    </row>
    <row r="791">
      <c r="A791" s="6"/>
      <c r="B791" s="14"/>
    </row>
    <row r="792">
      <c r="A792" s="6"/>
      <c r="B792" s="14"/>
    </row>
    <row r="793">
      <c r="A793" s="6"/>
      <c r="B793" s="14"/>
    </row>
    <row r="794">
      <c r="A794" s="6"/>
      <c r="B794" s="14"/>
    </row>
    <row r="795">
      <c r="A795" s="6"/>
      <c r="B795" s="14"/>
    </row>
    <row r="796">
      <c r="A796" s="6"/>
      <c r="B796" s="14"/>
    </row>
    <row r="797">
      <c r="A797" s="6"/>
      <c r="B797" s="14"/>
    </row>
    <row r="798">
      <c r="A798" s="6"/>
      <c r="B798" s="14"/>
    </row>
    <row r="799">
      <c r="A799" s="6"/>
      <c r="B799" s="14"/>
    </row>
    <row r="800">
      <c r="A800" s="6"/>
      <c r="B800" s="14"/>
    </row>
    <row r="801">
      <c r="A801" s="6"/>
      <c r="B801" s="14"/>
    </row>
    <row r="802">
      <c r="A802" s="6"/>
      <c r="B802" s="14"/>
    </row>
    <row r="803">
      <c r="A803" s="6"/>
      <c r="B803" s="14"/>
    </row>
    <row r="804">
      <c r="A804" s="6"/>
      <c r="B804" s="14"/>
    </row>
    <row r="805">
      <c r="A805" s="6"/>
      <c r="B805" s="14"/>
    </row>
    <row r="806">
      <c r="A806" s="6"/>
      <c r="B806" s="14"/>
    </row>
    <row r="807">
      <c r="A807" s="6"/>
      <c r="B807" s="14"/>
    </row>
    <row r="808">
      <c r="A808" s="6"/>
      <c r="B808" s="14"/>
    </row>
    <row r="809">
      <c r="A809" s="6"/>
      <c r="B809" s="14"/>
    </row>
    <row r="810">
      <c r="A810" s="6"/>
      <c r="B810" s="14"/>
    </row>
    <row r="811">
      <c r="A811" s="6"/>
      <c r="B811" s="14"/>
    </row>
    <row r="812">
      <c r="A812" s="6"/>
      <c r="B812" s="14"/>
    </row>
    <row r="813">
      <c r="A813" s="6"/>
      <c r="B813" s="14"/>
    </row>
    <row r="814">
      <c r="A814" s="6"/>
      <c r="B814" s="14"/>
    </row>
    <row r="815">
      <c r="A815" s="6"/>
      <c r="B815" s="14"/>
    </row>
    <row r="816">
      <c r="A816" s="6"/>
      <c r="B816" s="14"/>
    </row>
    <row r="817">
      <c r="A817" s="6"/>
      <c r="B817" s="14"/>
    </row>
    <row r="818">
      <c r="A818" s="6"/>
      <c r="B818" s="14"/>
    </row>
    <row r="819">
      <c r="A819" s="6"/>
      <c r="B819" s="14"/>
    </row>
    <row r="820">
      <c r="A820" s="6"/>
      <c r="B820" s="14"/>
    </row>
    <row r="821">
      <c r="A821" s="6"/>
      <c r="B821" s="14"/>
    </row>
    <row r="822">
      <c r="A822" s="6"/>
      <c r="B822" s="14"/>
    </row>
    <row r="823">
      <c r="A823" s="6"/>
      <c r="B823" s="14"/>
    </row>
    <row r="824">
      <c r="A824" s="6"/>
      <c r="B824" s="14"/>
    </row>
    <row r="825">
      <c r="A825" s="6"/>
      <c r="B825" s="14"/>
    </row>
    <row r="826">
      <c r="A826" s="6"/>
      <c r="B826" s="14"/>
    </row>
    <row r="827">
      <c r="A827" s="6"/>
      <c r="B827" s="14"/>
    </row>
    <row r="828">
      <c r="A828" s="6"/>
      <c r="B828" s="14"/>
    </row>
    <row r="829">
      <c r="A829" s="6"/>
      <c r="B829" s="14"/>
    </row>
    <row r="830">
      <c r="A830" s="6"/>
      <c r="B830" s="14"/>
    </row>
    <row r="831">
      <c r="A831" s="6"/>
      <c r="B831" s="14"/>
    </row>
    <row r="832">
      <c r="A832" s="6"/>
      <c r="B832" s="14"/>
    </row>
    <row r="833">
      <c r="A833" s="6"/>
      <c r="B833" s="14"/>
    </row>
    <row r="834">
      <c r="A834" s="6"/>
      <c r="B834" s="14"/>
    </row>
    <row r="835">
      <c r="A835" s="6"/>
      <c r="B835" s="14"/>
    </row>
    <row r="836">
      <c r="A836" s="6"/>
      <c r="B836" s="14"/>
    </row>
    <row r="837">
      <c r="A837" s="6"/>
      <c r="B837" s="14"/>
    </row>
    <row r="838">
      <c r="A838" s="6"/>
      <c r="B838" s="14"/>
    </row>
    <row r="839">
      <c r="A839" s="6"/>
      <c r="B839" s="14"/>
    </row>
    <row r="840">
      <c r="A840" s="6"/>
      <c r="B840" s="14"/>
    </row>
    <row r="841">
      <c r="A841" s="6"/>
      <c r="B841" s="14"/>
    </row>
    <row r="842">
      <c r="A842" s="6"/>
      <c r="B842" s="14"/>
    </row>
    <row r="843">
      <c r="A843" s="6"/>
      <c r="B843" s="14"/>
    </row>
    <row r="844">
      <c r="A844" s="6"/>
      <c r="B844" s="14"/>
    </row>
    <row r="845">
      <c r="A845" s="6"/>
      <c r="B845" s="14"/>
    </row>
    <row r="846">
      <c r="A846" s="6"/>
      <c r="B846" s="14"/>
    </row>
    <row r="847">
      <c r="A847" s="6"/>
      <c r="B847" s="14"/>
    </row>
    <row r="848">
      <c r="A848" s="6"/>
      <c r="B848" s="14"/>
    </row>
    <row r="849">
      <c r="A849" s="6"/>
      <c r="B849" s="14"/>
    </row>
    <row r="850">
      <c r="A850" s="6"/>
      <c r="B850" s="14"/>
    </row>
    <row r="851">
      <c r="A851" s="6"/>
      <c r="B851" s="14"/>
    </row>
    <row r="852">
      <c r="A852" s="6"/>
      <c r="B852" s="14"/>
    </row>
    <row r="853">
      <c r="A853" s="6"/>
      <c r="B853" s="14"/>
    </row>
    <row r="854">
      <c r="A854" s="6"/>
      <c r="B854" s="14"/>
    </row>
    <row r="855">
      <c r="A855" s="6"/>
      <c r="B855" s="14"/>
    </row>
    <row r="856">
      <c r="A856" s="6"/>
      <c r="B856" s="14"/>
    </row>
    <row r="857">
      <c r="A857" s="6"/>
      <c r="B857" s="14"/>
    </row>
    <row r="858">
      <c r="A858" s="6"/>
      <c r="B858" s="14"/>
    </row>
    <row r="859">
      <c r="A859" s="6"/>
      <c r="B859" s="14"/>
    </row>
    <row r="860">
      <c r="A860" s="6"/>
      <c r="B860" s="14"/>
    </row>
    <row r="861">
      <c r="A861" s="6"/>
      <c r="B861" s="14"/>
    </row>
    <row r="862">
      <c r="A862" s="6"/>
      <c r="B862" s="14"/>
    </row>
    <row r="863">
      <c r="A863" s="6"/>
      <c r="B863" s="14"/>
    </row>
    <row r="864">
      <c r="A864" s="6"/>
      <c r="B864" s="14"/>
    </row>
    <row r="865">
      <c r="A865" s="6"/>
      <c r="B865" s="14"/>
    </row>
    <row r="866">
      <c r="A866" s="6"/>
      <c r="B866" s="14"/>
    </row>
    <row r="867">
      <c r="A867" s="6"/>
      <c r="B867" s="14"/>
    </row>
    <row r="868">
      <c r="A868" s="6"/>
      <c r="B868" s="14"/>
    </row>
    <row r="869">
      <c r="A869" s="6"/>
      <c r="B869" s="14"/>
    </row>
    <row r="870">
      <c r="A870" s="6"/>
      <c r="B870" s="14"/>
    </row>
    <row r="871">
      <c r="A871" s="6"/>
      <c r="B871" s="14"/>
    </row>
    <row r="872">
      <c r="A872" s="6"/>
      <c r="B872" s="14"/>
    </row>
    <row r="873">
      <c r="A873" s="6"/>
      <c r="B873" s="14"/>
    </row>
    <row r="874">
      <c r="A874" s="6"/>
      <c r="B874" s="14"/>
    </row>
    <row r="875">
      <c r="A875" s="6"/>
      <c r="B875" s="14"/>
    </row>
    <row r="876">
      <c r="A876" s="6"/>
      <c r="B876" s="14"/>
    </row>
    <row r="877">
      <c r="A877" s="6"/>
      <c r="B877" s="14"/>
    </row>
    <row r="878">
      <c r="A878" s="6"/>
      <c r="B878" s="14"/>
    </row>
    <row r="879">
      <c r="A879" s="6"/>
      <c r="B879" s="14"/>
    </row>
    <row r="880">
      <c r="A880" s="6"/>
      <c r="B880" s="14"/>
    </row>
    <row r="881">
      <c r="A881" s="6"/>
      <c r="B881" s="14"/>
    </row>
    <row r="882">
      <c r="A882" s="6"/>
      <c r="B882" s="14"/>
    </row>
    <row r="883">
      <c r="A883" s="6"/>
      <c r="B883" s="14"/>
    </row>
    <row r="884">
      <c r="A884" s="6"/>
      <c r="B884" s="14"/>
    </row>
    <row r="885">
      <c r="A885" s="6"/>
      <c r="B885" s="14"/>
    </row>
    <row r="886">
      <c r="A886" s="6"/>
      <c r="B886" s="14"/>
    </row>
    <row r="887">
      <c r="A887" s="6"/>
      <c r="B887" s="14"/>
    </row>
    <row r="888">
      <c r="A888" s="6"/>
      <c r="B888" s="14"/>
    </row>
    <row r="889">
      <c r="A889" s="6"/>
      <c r="B889" s="14"/>
    </row>
    <row r="890">
      <c r="A890" s="6"/>
      <c r="B890" s="14"/>
    </row>
    <row r="891">
      <c r="A891" s="6"/>
      <c r="B891" s="14"/>
    </row>
    <row r="892">
      <c r="A892" s="6"/>
      <c r="B892" s="14"/>
    </row>
    <row r="893">
      <c r="A893" s="6"/>
      <c r="B893" s="14"/>
    </row>
    <row r="894">
      <c r="A894" s="6"/>
      <c r="B894" s="14"/>
    </row>
    <row r="895">
      <c r="A895" s="6"/>
      <c r="B895" s="14"/>
    </row>
    <row r="896">
      <c r="A896" s="6"/>
      <c r="B896" s="14"/>
    </row>
    <row r="897">
      <c r="A897" s="6"/>
      <c r="B897" s="14"/>
    </row>
    <row r="898">
      <c r="A898" s="6"/>
      <c r="B898" s="14"/>
    </row>
    <row r="899">
      <c r="A899" s="6"/>
      <c r="B899" s="14"/>
    </row>
    <row r="900">
      <c r="A900" s="6"/>
      <c r="B900" s="14"/>
    </row>
    <row r="901">
      <c r="A901" s="6"/>
      <c r="B901" s="14"/>
    </row>
    <row r="902">
      <c r="A902" s="6"/>
      <c r="B902" s="14"/>
    </row>
    <row r="903">
      <c r="A903" s="6"/>
      <c r="B903" s="14"/>
    </row>
    <row r="904">
      <c r="A904" s="6"/>
      <c r="B904" s="14"/>
    </row>
    <row r="905">
      <c r="A905" s="6"/>
      <c r="B905" s="14"/>
    </row>
    <row r="906">
      <c r="A906" s="6"/>
      <c r="B906" s="14"/>
    </row>
    <row r="907">
      <c r="A907" s="6"/>
      <c r="B907" s="14"/>
    </row>
    <row r="908">
      <c r="A908" s="6"/>
      <c r="B908" s="14"/>
    </row>
    <row r="909">
      <c r="A909" s="6"/>
      <c r="B909" s="14"/>
    </row>
    <row r="910">
      <c r="A910" s="6"/>
      <c r="B910" s="14"/>
    </row>
    <row r="911">
      <c r="A911" s="6"/>
      <c r="B911" s="14"/>
    </row>
    <row r="912">
      <c r="A912" s="6"/>
      <c r="B912" s="14"/>
    </row>
    <row r="913">
      <c r="A913" s="6"/>
      <c r="B913" s="14"/>
    </row>
    <row r="914">
      <c r="A914" s="6"/>
      <c r="B914" s="14"/>
    </row>
    <row r="915">
      <c r="A915" s="6"/>
      <c r="B915" s="14"/>
    </row>
    <row r="916">
      <c r="A916" s="6"/>
      <c r="B916" s="14"/>
    </row>
    <row r="917">
      <c r="A917" s="6"/>
      <c r="B917" s="14"/>
    </row>
    <row r="918">
      <c r="A918" s="6"/>
      <c r="B918" s="14"/>
    </row>
    <row r="919">
      <c r="A919" s="6"/>
      <c r="B919" s="14"/>
    </row>
    <row r="920">
      <c r="A920" s="6"/>
      <c r="B920" s="14"/>
    </row>
    <row r="921">
      <c r="A921" s="6"/>
      <c r="B921" s="14"/>
    </row>
    <row r="922">
      <c r="A922" s="6"/>
      <c r="B922" s="14"/>
    </row>
    <row r="923">
      <c r="A923" s="6"/>
      <c r="B923" s="14"/>
    </row>
    <row r="924">
      <c r="A924" s="6"/>
      <c r="B924" s="14"/>
    </row>
    <row r="925">
      <c r="A925" s="6"/>
      <c r="B925" s="14"/>
    </row>
    <row r="926">
      <c r="A926" s="6"/>
      <c r="B926" s="14"/>
    </row>
    <row r="927">
      <c r="A927" s="6"/>
      <c r="B927" s="14"/>
    </row>
    <row r="928">
      <c r="A928" s="6"/>
      <c r="B928" s="14"/>
    </row>
    <row r="929">
      <c r="A929" s="6"/>
      <c r="B929" s="14"/>
    </row>
    <row r="930">
      <c r="A930" s="6"/>
      <c r="B930" s="14"/>
    </row>
    <row r="931">
      <c r="A931" s="6"/>
      <c r="B931" s="14"/>
    </row>
    <row r="932">
      <c r="A932" s="6"/>
      <c r="B932" s="14"/>
    </row>
    <row r="933">
      <c r="A933" s="6"/>
      <c r="B933" s="14"/>
    </row>
    <row r="934">
      <c r="A934" s="6"/>
      <c r="B934" s="14"/>
    </row>
    <row r="935">
      <c r="A935" s="6"/>
      <c r="B935" s="14"/>
    </row>
    <row r="936">
      <c r="A936" s="6"/>
      <c r="B936" s="14"/>
    </row>
    <row r="937">
      <c r="A937" s="6"/>
      <c r="B937" s="14"/>
    </row>
    <row r="938">
      <c r="A938" s="6"/>
      <c r="B938" s="14"/>
    </row>
    <row r="939">
      <c r="A939" s="6"/>
      <c r="B939" s="14"/>
    </row>
    <row r="940">
      <c r="A940" s="6"/>
      <c r="B940" s="14"/>
    </row>
    <row r="941">
      <c r="A941" s="6"/>
      <c r="B941" s="14"/>
    </row>
    <row r="942">
      <c r="A942" s="6"/>
      <c r="B942" s="14"/>
    </row>
    <row r="943">
      <c r="A943" s="6"/>
      <c r="B943" s="14"/>
    </row>
    <row r="944">
      <c r="A944" s="6"/>
      <c r="B944" s="14"/>
    </row>
    <row r="945">
      <c r="A945" s="6"/>
      <c r="B945" s="14"/>
    </row>
    <row r="946">
      <c r="A946" s="6"/>
      <c r="B946" s="14"/>
    </row>
    <row r="947">
      <c r="A947" s="6"/>
      <c r="B947" s="14"/>
    </row>
    <row r="948">
      <c r="A948" s="6"/>
      <c r="B948" s="14"/>
    </row>
    <row r="949">
      <c r="A949" s="6"/>
      <c r="B949" s="14"/>
    </row>
    <row r="950">
      <c r="A950" s="6"/>
      <c r="B950" s="14"/>
    </row>
    <row r="951">
      <c r="A951" s="6"/>
      <c r="B951" s="14"/>
    </row>
    <row r="952">
      <c r="A952" s="6"/>
      <c r="B952" s="14"/>
    </row>
    <row r="953">
      <c r="A953" s="6"/>
      <c r="B953" s="14"/>
    </row>
    <row r="954">
      <c r="A954" s="6"/>
      <c r="B954" s="14"/>
    </row>
    <row r="955">
      <c r="A955" s="6"/>
      <c r="B955" s="14"/>
    </row>
    <row r="956">
      <c r="A956" s="6"/>
      <c r="B956" s="14"/>
    </row>
    <row r="957">
      <c r="A957" s="6"/>
      <c r="B957" s="14"/>
    </row>
    <row r="958">
      <c r="A958" s="6"/>
      <c r="B958" s="14"/>
    </row>
    <row r="959">
      <c r="A959" s="6"/>
      <c r="B959" s="14"/>
    </row>
    <row r="960">
      <c r="A960" s="6"/>
      <c r="B960" s="14"/>
    </row>
    <row r="961">
      <c r="A961" s="6"/>
      <c r="B961" s="14"/>
    </row>
    <row r="962">
      <c r="A962" s="6"/>
      <c r="B962" s="14"/>
    </row>
    <row r="963">
      <c r="A963" s="6"/>
      <c r="B963" s="14"/>
    </row>
    <row r="964">
      <c r="A964" s="6"/>
      <c r="B964" s="14"/>
    </row>
    <row r="965">
      <c r="A965" s="6"/>
      <c r="B965" s="14"/>
    </row>
    <row r="966">
      <c r="A966" s="6"/>
      <c r="B966" s="14"/>
    </row>
    <row r="967">
      <c r="A967" s="6"/>
      <c r="B967" s="14"/>
    </row>
    <row r="968">
      <c r="A968" s="6"/>
      <c r="B968" s="14"/>
    </row>
    <row r="969">
      <c r="A969" s="6"/>
      <c r="B969" s="14"/>
    </row>
    <row r="970">
      <c r="A970" s="6"/>
      <c r="B970" s="14"/>
    </row>
    <row r="971">
      <c r="A971" s="6"/>
      <c r="B971" s="14"/>
    </row>
    <row r="972">
      <c r="A972" s="6"/>
      <c r="B972" s="14"/>
    </row>
    <row r="973">
      <c r="A973" s="6"/>
      <c r="B973" s="14"/>
    </row>
    <row r="974">
      <c r="A974" s="6"/>
      <c r="B974" s="14"/>
    </row>
    <row r="975">
      <c r="A975" s="6"/>
      <c r="B975" s="14"/>
    </row>
    <row r="976">
      <c r="A976" s="6"/>
      <c r="B976" s="14"/>
    </row>
    <row r="977">
      <c r="A977" s="6"/>
      <c r="B977" s="14"/>
    </row>
    <row r="978">
      <c r="A978" s="6"/>
      <c r="B978" s="14"/>
    </row>
    <row r="979">
      <c r="A979" s="6"/>
      <c r="B979" s="14"/>
    </row>
    <row r="980">
      <c r="A980" s="6"/>
      <c r="B980" s="14"/>
    </row>
    <row r="981">
      <c r="A981" s="6"/>
      <c r="B981" s="14"/>
    </row>
    <row r="982">
      <c r="A982" s="6"/>
      <c r="B982" s="14"/>
    </row>
    <row r="983">
      <c r="A983" s="6"/>
      <c r="B983" s="14"/>
    </row>
    <row r="984">
      <c r="A984" s="6"/>
      <c r="B984" s="14"/>
    </row>
    <row r="985">
      <c r="A985" s="6"/>
      <c r="B985" s="14"/>
    </row>
    <row r="986">
      <c r="A986" s="6"/>
      <c r="B986" s="14"/>
    </row>
    <row r="987">
      <c r="A987" s="6"/>
      <c r="B987" s="14"/>
    </row>
    <row r="988">
      <c r="A988" s="6"/>
      <c r="B988" s="14"/>
    </row>
    <row r="989">
      <c r="A989" s="6"/>
      <c r="B989" s="14"/>
    </row>
    <row r="990">
      <c r="A990" s="6"/>
      <c r="B990" s="14"/>
    </row>
    <row r="991">
      <c r="A991" s="6"/>
      <c r="B991" s="14"/>
    </row>
    <row r="992">
      <c r="A992" s="6"/>
      <c r="B992" s="14"/>
    </row>
    <row r="993">
      <c r="A993" s="6"/>
      <c r="B993" s="14"/>
    </row>
    <row r="994">
      <c r="A994" s="6"/>
      <c r="B994" s="14"/>
    </row>
    <row r="995">
      <c r="A995" s="6"/>
      <c r="B995" s="14"/>
    </row>
    <row r="996">
      <c r="A996" s="6"/>
      <c r="B996" s="14"/>
    </row>
    <row r="997">
      <c r="A997" s="6"/>
      <c r="B997" s="14"/>
    </row>
    <row r="998">
      <c r="A998" s="6"/>
      <c r="B998" s="14"/>
    </row>
    <row r="999">
      <c r="A999" s="6"/>
      <c r="B999" s="14"/>
    </row>
    <row r="1000">
      <c r="A1000" s="6"/>
      <c r="B1000" s="1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2" width="16.5"/>
  </cols>
  <sheetData>
    <row r="1">
      <c r="C1" s="6"/>
    </row>
    <row r="2">
      <c r="C2" s="6"/>
    </row>
    <row r="3">
      <c r="C3" s="6"/>
    </row>
    <row r="4">
      <c r="C4" s="6"/>
    </row>
    <row r="5">
      <c r="C5" s="6"/>
    </row>
    <row r="6">
      <c r="C6" s="6"/>
    </row>
    <row r="7">
      <c r="C7" s="6"/>
    </row>
    <row r="8">
      <c r="C8" s="6"/>
    </row>
    <row r="9">
      <c r="C9" s="6"/>
    </row>
    <row r="10">
      <c r="C10" s="6"/>
    </row>
    <row r="11">
      <c r="C11" s="6"/>
    </row>
    <row r="12">
      <c r="C12" s="6"/>
    </row>
    <row r="13">
      <c r="C13" s="6"/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B40" s="15"/>
    </row>
    <row r="41">
      <c r="B41" s="15"/>
    </row>
    <row r="42">
      <c r="B42" s="15"/>
    </row>
    <row r="43">
      <c r="B43" s="15"/>
    </row>
    <row r="44">
      <c r="B44" s="15"/>
    </row>
    <row r="45">
      <c r="B45" s="15"/>
    </row>
    <row r="46">
      <c r="B46" s="15"/>
    </row>
    <row r="47">
      <c r="B47" s="15"/>
    </row>
    <row r="48">
      <c r="B48" s="15"/>
    </row>
    <row r="49">
      <c r="B49" s="15"/>
    </row>
    <row r="50">
      <c r="B50" s="15"/>
    </row>
    <row r="51">
      <c r="B51" s="15"/>
    </row>
    <row r="52">
      <c r="B52" s="15"/>
    </row>
    <row r="53">
      <c r="B53" s="15"/>
    </row>
    <row r="54">
      <c r="B54" s="15"/>
    </row>
    <row r="55">
      <c r="B55" s="15"/>
    </row>
    <row r="56">
      <c r="B56" s="15"/>
    </row>
    <row r="57">
      <c r="B57" s="15"/>
    </row>
    <row r="58">
      <c r="B58" s="15"/>
    </row>
    <row r="59">
      <c r="B59" s="15"/>
    </row>
    <row r="60">
      <c r="B60" s="15"/>
    </row>
    <row r="61">
      <c r="B61" s="15"/>
    </row>
    <row r="62">
      <c r="B62" s="15"/>
    </row>
    <row r="63">
      <c r="B63" s="15"/>
    </row>
    <row r="64">
      <c r="B64" s="15"/>
    </row>
    <row r="65">
      <c r="B65" s="15"/>
    </row>
    <row r="66">
      <c r="B66" s="15"/>
    </row>
    <row r="67">
      <c r="B67" s="15"/>
    </row>
    <row r="68">
      <c r="B68" s="15"/>
    </row>
    <row r="69">
      <c r="B69" s="15"/>
    </row>
    <row r="70">
      <c r="B70" s="15"/>
    </row>
    <row r="71">
      <c r="B71" s="15"/>
    </row>
    <row r="72">
      <c r="B72" s="15"/>
    </row>
    <row r="73">
      <c r="B73" s="15"/>
    </row>
    <row r="74">
      <c r="B74" s="15"/>
    </row>
    <row r="75">
      <c r="B75" s="15"/>
    </row>
    <row r="76">
      <c r="B76" s="15"/>
    </row>
    <row r="77">
      <c r="B77" s="15"/>
    </row>
    <row r="78">
      <c r="B78" s="15"/>
    </row>
    <row r="79">
      <c r="B79" s="15"/>
    </row>
    <row r="80">
      <c r="B80" s="15"/>
    </row>
    <row r="81">
      <c r="B81" s="15"/>
    </row>
    <row r="82">
      <c r="B82" s="15"/>
    </row>
    <row r="83">
      <c r="B83" s="15"/>
    </row>
    <row r="84">
      <c r="B84" s="15"/>
    </row>
    <row r="85">
      <c r="B85" s="15"/>
    </row>
    <row r="86">
      <c r="B86" s="15"/>
    </row>
    <row r="87">
      <c r="B87" s="15"/>
    </row>
    <row r="88">
      <c r="B88" s="15"/>
    </row>
    <row r="89">
      <c r="B89" s="15"/>
    </row>
    <row r="90">
      <c r="B90" s="15"/>
    </row>
    <row r="91">
      <c r="B91" s="15"/>
    </row>
    <row r="92">
      <c r="B92" s="15"/>
    </row>
    <row r="93">
      <c r="B93" s="15"/>
    </row>
    <row r="94">
      <c r="B94" s="15"/>
    </row>
    <row r="95">
      <c r="B95" s="15"/>
    </row>
    <row r="96">
      <c r="B96" s="15"/>
    </row>
    <row r="97">
      <c r="B97" s="15"/>
    </row>
    <row r="98">
      <c r="B98" s="15"/>
    </row>
    <row r="99">
      <c r="B99" s="15"/>
    </row>
    <row r="100">
      <c r="B100" s="15"/>
    </row>
    <row r="101">
      <c r="B101" s="15"/>
    </row>
    <row r="102">
      <c r="B102" s="15"/>
    </row>
    <row r="103">
      <c r="B103" s="15"/>
    </row>
    <row r="104">
      <c r="B104" s="15"/>
    </row>
    <row r="105">
      <c r="B105" s="15"/>
    </row>
    <row r="106">
      <c r="B106" s="15"/>
    </row>
    <row r="107">
      <c r="B107" s="15"/>
    </row>
    <row r="108">
      <c r="B108" s="15"/>
    </row>
    <row r="109">
      <c r="B109" s="15"/>
    </row>
    <row r="110">
      <c r="B110" s="15"/>
    </row>
    <row r="111">
      <c r="B111" s="15"/>
    </row>
    <row r="112">
      <c r="B112" s="15"/>
    </row>
    <row r="113">
      <c r="B113" s="15"/>
    </row>
    <row r="114">
      <c r="B114" s="15"/>
    </row>
    <row r="115">
      <c r="B115" s="15"/>
    </row>
    <row r="116">
      <c r="B116" s="15"/>
    </row>
    <row r="117">
      <c r="B117" s="15"/>
    </row>
    <row r="118">
      <c r="B118" s="15"/>
    </row>
    <row r="119">
      <c r="B119" s="15"/>
    </row>
    <row r="120">
      <c r="B120" s="15"/>
    </row>
    <row r="121">
      <c r="B121" s="15"/>
    </row>
    <row r="122">
      <c r="B122" s="15"/>
    </row>
    <row r="123">
      <c r="B123" s="15"/>
    </row>
    <row r="124">
      <c r="B124" s="15"/>
    </row>
    <row r="125">
      <c r="B125" s="15"/>
    </row>
    <row r="126">
      <c r="B126" s="15"/>
    </row>
    <row r="127">
      <c r="B127" s="15"/>
    </row>
    <row r="128">
      <c r="B128" s="15"/>
    </row>
    <row r="129">
      <c r="B129" s="15"/>
    </row>
    <row r="130">
      <c r="B130" s="15"/>
    </row>
    <row r="131">
      <c r="B131" s="15"/>
    </row>
    <row r="132">
      <c r="B132" s="15"/>
    </row>
    <row r="133">
      <c r="B133" s="15"/>
    </row>
    <row r="134">
      <c r="B134" s="15"/>
    </row>
    <row r="135">
      <c r="B135" s="15"/>
    </row>
    <row r="136">
      <c r="B136" s="15"/>
    </row>
    <row r="137">
      <c r="B137" s="15"/>
    </row>
    <row r="138">
      <c r="B138" s="15"/>
    </row>
    <row r="139">
      <c r="B139" s="15"/>
    </row>
    <row r="140">
      <c r="B140" s="15"/>
    </row>
    <row r="141">
      <c r="B141" s="15"/>
    </row>
    <row r="142">
      <c r="B142" s="15"/>
    </row>
    <row r="143">
      <c r="B143" s="15"/>
    </row>
    <row r="144">
      <c r="B144" s="15"/>
    </row>
    <row r="145">
      <c r="B145" s="15"/>
    </row>
    <row r="146">
      <c r="B146" s="15"/>
    </row>
    <row r="147">
      <c r="B147" s="15"/>
    </row>
    <row r="148">
      <c r="B148" s="15"/>
    </row>
    <row r="149">
      <c r="B149" s="15"/>
    </row>
    <row r="150">
      <c r="B150" s="15"/>
    </row>
    <row r="151">
      <c r="B151" s="15"/>
    </row>
    <row r="152">
      <c r="B152" s="15"/>
    </row>
    <row r="153">
      <c r="B153" s="15"/>
    </row>
    <row r="154">
      <c r="B154" s="15"/>
    </row>
    <row r="155">
      <c r="B155" s="15"/>
    </row>
    <row r="156">
      <c r="B156" s="15"/>
    </row>
    <row r="157">
      <c r="B157" s="15"/>
    </row>
    <row r="158">
      <c r="B158" s="15"/>
    </row>
    <row r="159">
      <c r="B159" s="15"/>
    </row>
    <row r="160">
      <c r="B160" s="15"/>
    </row>
    <row r="161">
      <c r="B161" s="15"/>
    </row>
    <row r="162">
      <c r="B162" s="15"/>
    </row>
    <row r="163">
      <c r="B163" s="15"/>
    </row>
    <row r="164">
      <c r="B164" s="15"/>
    </row>
    <row r="165">
      <c r="B165" s="15"/>
    </row>
    <row r="166">
      <c r="B166" s="15"/>
    </row>
    <row r="167">
      <c r="B167" s="15"/>
    </row>
    <row r="168">
      <c r="B168" s="15"/>
    </row>
    <row r="169">
      <c r="B169" s="15"/>
    </row>
    <row r="170">
      <c r="B170" s="15"/>
    </row>
    <row r="171">
      <c r="B171" s="15"/>
    </row>
    <row r="172">
      <c r="B172" s="15"/>
    </row>
    <row r="173">
      <c r="B173" s="15"/>
    </row>
    <row r="174">
      <c r="B174" s="15"/>
    </row>
    <row r="175">
      <c r="B175" s="15"/>
    </row>
    <row r="176">
      <c r="B176" s="15"/>
    </row>
    <row r="177">
      <c r="B177" s="15"/>
    </row>
    <row r="178">
      <c r="B178" s="15"/>
    </row>
    <row r="179">
      <c r="B179" s="15"/>
    </row>
    <row r="180">
      <c r="B180" s="15"/>
    </row>
    <row r="181">
      <c r="B181" s="15"/>
    </row>
    <row r="182">
      <c r="B182" s="15"/>
    </row>
    <row r="183">
      <c r="B183" s="15"/>
    </row>
    <row r="184">
      <c r="B184" s="15"/>
    </row>
    <row r="185">
      <c r="B185" s="15"/>
    </row>
    <row r="186">
      <c r="B186" s="15"/>
    </row>
    <row r="187">
      <c r="B187" s="15"/>
    </row>
    <row r="188">
      <c r="B188" s="15"/>
    </row>
    <row r="189">
      <c r="B189" s="15"/>
    </row>
    <row r="190">
      <c r="B190" s="15"/>
    </row>
    <row r="191">
      <c r="B191" s="15"/>
    </row>
    <row r="192">
      <c r="B192" s="15"/>
    </row>
    <row r="193">
      <c r="B193" s="15"/>
    </row>
    <row r="194">
      <c r="B194" s="15"/>
    </row>
    <row r="195">
      <c r="B195" s="15"/>
    </row>
    <row r="196">
      <c r="B196" s="15"/>
    </row>
    <row r="197">
      <c r="B197" s="15"/>
    </row>
    <row r="198">
      <c r="B198" s="15"/>
    </row>
    <row r="199">
      <c r="B199" s="15"/>
    </row>
    <row r="200">
      <c r="B200" s="15"/>
    </row>
    <row r="201">
      <c r="B201" s="15"/>
    </row>
    <row r="202">
      <c r="B202" s="15"/>
    </row>
    <row r="203">
      <c r="B203" s="15"/>
    </row>
    <row r="204">
      <c r="B204" s="15"/>
    </row>
    <row r="205">
      <c r="B205" s="15"/>
    </row>
    <row r="206">
      <c r="B206" s="15"/>
    </row>
    <row r="207">
      <c r="B207" s="15"/>
    </row>
    <row r="208">
      <c r="B208" s="15"/>
    </row>
    <row r="209">
      <c r="B209" s="15"/>
    </row>
    <row r="210">
      <c r="B210" s="15"/>
    </row>
    <row r="211">
      <c r="B211" s="15"/>
    </row>
    <row r="212">
      <c r="B212" s="15"/>
    </row>
    <row r="213">
      <c r="B213" s="15"/>
    </row>
    <row r="214">
      <c r="B214" s="15"/>
    </row>
    <row r="215">
      <c r="B215" s="15"/>
    </row>
    <row r="216">
      <c r="B216" s="15"/>
    </row>
    <row r="217">
      <c r="B217" s="15"/>
    </row>
    <row r="218">
      <c r="B218" s="15"/>
    </row>
    <row r="219">
      <c r="B219" s="15"/>
    </row>
    <row r="220">
      <c r="B220" s="15"/>
    </row>
    <row r="221">
      <c r="B221" s="15"/>
    </row>
    <row r="222">
      <c r="B222" s="15"/>
    </row>
    <row r="223">
      <c r="B223" s="15"/>
    </row>
    <row r="224">
      <c r="B224" s="15"/>
    </row>
    <row r="225">
      <c r="B225" s="15"/>
    </row>
    <row r="226">
      <c r="B226" s="15"/>
    </row>
    <row r="227">
      <c r="B227" s="15"/>
    </row>
    <row r="228">
      <c r="B228" s="15"/>
    </row>
    <row r="229">
      <c r="B229" s="15"/>
    </row>
    <row r="230">
      <c r="B230" s="15"/>
    </row>
    <row r="231">
      <c r="B231" s="15"/>
    </row>
    <row r="232">
      <c r="B232" s="15"/>
    </row>
    <row r="233">
      <c r="B233" s="15"/>
    </row>
    <row r="234">
      <c r="B234" s="15"/>
    </row>
    <row r="235">
      <c r="B235" s="15"/>
    </row>
    <row r="236">
      <c r="B236" s="15"/>
    </row>
    <row r="237">
      <c r="B237" s="15"/>
    </row>
    <row r="238">
      <c r="B238" s="15"/>
    </row>
    <row r="239">
      <c r="B239" s="15"/>
    </row>
    <row r="240">
      <c r="B240" s="15"/>
    </row>
    <row r="241">
      <c r="B241" s="15"/>
    </row>
    <row r="242">
      <c r="B242" s="15"/>
    </row>
    <row r="243">
      <c r="B243" s="15"/>
    </row>
    <row r="244">
      <c r="B244" s="15"/>
    </row>
    <row r="245">
      <c r="B245" s="15"/>
    </row>
    <row r="246">
      <c r="B246" s="15"/>
    </row>
    <row r="247">
      <c r="B247" s="15"/>
    </row>
    <row r="248">
      <c r="B248" s="15"/>
    </row>
    <row r="249">
      <c r="B249" s="15"/>
    </row>
    <row r="250">
      <c r="B250" s="15"/>
    </row>
    <row r="251">
      <c r="B251" s="15"/>
    </row>
    <row r="252">
      <c r="B252" s="15"/>
    </row>
    <row r="253">
      <c r="B253" s="15"/>
    </row>
    <row r="254">
      <c r="B254" s="15"/>
    </row>
    <row r="255">
      <c r="B255" s="15"/>
    </row>
    <row r="256">
      <c r="B256" s="15"/>
    </row>
    <row r="257">
      <c r="B257" s="15"/>
    </row>
    <row r="258">
      <c r="B258" s="15"/>
    </row>
    <row r="259">
      <c r="B259" s="15"/>
    </row>
    <row r="260">
      <c r="B260" s="15"/>
    </row>
    <row r="261">
      <c r="B261" s="15"/>
    </row>
    <row r="262">
      <c r="B262" s="15"/>
    </row>
    <row r="263">
      <c r="B263" s="15"/>
    </row>
    <row r="264">
      <c r="B264" s="15"/>
    </row>
    <row r="265">
      <c r="B265" s="15"/>
    </row>
    <row r="266">
      <c r="B266" s="15"/>
    </row>
    <row r="267">
      <c r="B267" s="15"/>
    </row>
    <row r="268">
      <c r="B268" s="15"/>
    </row>
    <row r="269">
      <c r="B269" s="15"/>
    </row>
    <row r="270">
      <c r="B270" s="15"/>
    </row>
    <row r="271">
      <c r="B271" s="15"/>
    </row>
    <row r="272">
      <c r="B272" s="15"/>
    </row>
    <row r="273">
      <c r="B273" s="15"/>
    </row>
    <row r="274">
      <c r="B274" s="15"/>
    </row>
    <row r="275">
      <c r="B275" s="15"/>
    </row>
    <row r="276">
      <c r="B276" s="15"/>
    </row>
    <row r="277">
      <c r="B277" s="15"/>
    </row>
    <row r="278">
      <c r="B278" s="15"/>
    </row>
    <row r="279">
      <c r="B279" s="15"/>
    </row>
    <row r="280">
      <c r="B280" s="15"/>
    </row>
    <row r="281">
      <c r="B281" s="15"/>
    </row>
    <row r="282">
      <c r="B282" s="15"/>
    </row>
    <row r="283">
      <c r="B283" s="15"/>
    </row>
    <row r="284">
      <c r="B284" s="15"/>
    </row>
    <row r="285">
      <c r="B285" s="15"/>
    </row>
    <row r="286">
      <c r="B286" s="15"/>
    </row>
    <row r="287">
      <c r="B287" s="15"/>
    </row>
    <row r="288">
      <c r="B288" s="15"/>
    </row>
    <row r="289">
      <c r="B289" s="15"/>
    </row>
    <row r="290">
      <c r="B290" s="15"/>
    </row>
    <row r="291">
      <c r="B291" s="15"/>
    </row>
    <row r="292">
      <c r="B292" s="15"/>
    </row>
    <row r="293">
      <c r="B293" s="15"/>
    </row>
    <row r="294">
      <c r="B294" s="15"/>
    </row>
    <row r="295">
      <c r="B295" s="15"/>
    </row>
    <row r="296">
      <c r="B296" s="15"/>
    </row>
    <row r="297">
      <c r="B297" s="15"/>
    </row>
    <row r="298">
      <c r="B298" s="15"/>
    </row>
    <row r="299">
      <c r="B299" s="15"/>
    </row>
    <row r="300">
      <c r="B300" s="15"/>
    </row>
    <row r="301">
      <c r="B301" s="15"/>
    </row>
    <row r="302">
      <c r="B302" s="15"/>
    </row>
    <row r="303">
      <c r="B303" s="15"/>
    </row>
    <row r="304">
      <c r="B304" s="15"/>
    </row>
    <row r="305">
      <c r="B305" s="15"/>
    </row>
    <row r="306">
      <c r="B306" s="15"/>
    </row>
    <row r="307">
      <c r="B307" s="15"/>
    </row>
    <row r="308">
      <c r="B308" s="15"/>
    </row>
    <row r="309">
      <c r="B309" s="15"/>
    </row>
    <row r="310">
      <c r="B310" s="15"/>
    </row>
    <row r="311">
      <c r="B311" s="15"/>
    </row>
    <row r="312">
      <c r="B312" s="15"/>
    </row>
    <row r="313">
      <c r="B313" s="15"/>
    </row>
    <row r="314">
      <c r="B314" s="15"/>
    </row>
    <row r="315">
      <c r="B315" s="15"/>
    </row>
    <row r="316">
      <c r="B316" s="15"/>
    </row>
    <row r="317">
      <c r="B317" s="15"/>
    </row>
    <row r="318">
      <c r="B318" s="15"/>
    </row>
    <row r="319">
      <c r="B319" s="15"/>
    </row>
    <row r="320">
      <c r="B320" s="15"/>
    </row>
    <row r="321">
      <c r="B321" s="15"/>
    </row>
    <row r="322">
      <c r="B322" s="15"/>
    </row>
    <row r="323">
      <c r="B323" s="15"/>
    </row>
    <row r="324">
      <c r="B324" s="15"/>
    </row>
    <row r="325">
      <c r="B325" s="15"/>
    </row>
    <row r="326">
      <c r="B326" s="15"/>
    </row>
    <row r="327">
      <c r="B327" s="15"/>
    </row>
    <row r="328">
      <c r="B328" s="15"/>
    </row>
    <row r="329">
      <c r="B329" s="15"/>
    </row>
    <row r="330">
      <c r="B330" s="15"/>
    </row>
    <row r="331">
      <c r="B331" s="15"/>
    </row>
    <row r="332">
      <c r="B332" s="15"/>
    </row>
    <row r="333">
      <c r="B333" s="15"/>
    </row>
    <row r="334">
      <c r="B334" s="15"/>
    </row>
    <row r="335">
      <c r="B335" s="15"/>
    </row>
    <row r="336">
      <c r="B336" s="15"/>
    </row>
    <row r="337">
      <c r="B337" s="15"/>
    </row>
    <row r="338">
      <c r="B338" s="15"/>
    </row>
    <row r="339">
      <c r="B339" s="15"/>
    </row>
    <row r="340">
      <c r="B340" s="15"/>
    </row>
    <row r="341">
      <c r="B341" s="15"/>
    </row>
    <row r="342">
      <c r="B342" s="15"/>
    </row>
    <row r="343">
      <c r="B343" s="15"/>
    </row>
    <row r="344">
      <c r="B344" s="15"/>
    </row>
    <row r="345">
      <c r="B345" s="15"/>
    </row>
    <row r="346">
      <c r="B346" s="15"/>
    </row>
    <row r="347">
      <c r="B347" s="15"/>
    </row>
    <row r="348">
      <c r="B348" s="15"/>
    </row>
    <row r="349">
      <c r="B349" s="15"/>
    </row>
    <row r="350">
      <c r="B350" s="15"/>
    </row>
    <row r="351">
      <c r="B351" s="15"/>
    </row>
    <row r="352">
      <c r="B352" s="15"/>
    </row>
    <row r="353">
      <c r="B353" s="15"/>
    </row>
    <row r="354">
      <c r="B354" s="15"/>
    </row>
    <row r="355">
      <c r="B355" s="15"/>
    </row>
    <row r="356">
      <c r="B356" s="15"/>
    </row>
    <row r="357">
      <c r="B357" s="15"/>
    </row>
    <row r="358">
      <c r="B358" s="15"/>
    </row>
    <row r="359">
      <c r="B359" s="15"/>
    </row>
    <row r="360">
      <c r="B360" s="15"/>
    </row>
    <row r="361">
      <c r="B361" s="15"/>
    </row>
    <row r="362">
      <c r="B362" s="15"/>
    </row>
    <row r="363">
      <c r="B363" s="15"/>
    </row>
    <row r="364">
      <c r="B364" s="15"/>
    </row>
    <row r="365">
      <c r="B365" s="15"/>
    </row>
    <row r="366">
      <c r="B366" s="15"/>
    </row>
    <row r="367">
      <c r="B367" s="15"/>
    </row>
    <row r="368">
      <c r="B368" s="15"/>
    </row>
    <row r="369">
      <c r="B369" s="15"/>
    </row>
    <row r="370">
      <c r="B370" s="15"/>
    </row>
    <row r="371">
      <c r="B371" s="15"/>
    </row>
    <row r="372">
      <c r="B372" s="15"/>
    </row>
    <row r="373">
      <c r="B373" s="15"/>
    </row>
    <row r="374">
      <c r="B374" s="15"/>
    </row>
    <row r="375">
      <c r="B375" s="15"/>
    </row>
    <row r="376">
      <c r="B376" s="15"/>
    </row>
    <row r="377">
      <c r="B377" s="15"/>
    </row>
    <row r="378">
      <c r="B378" s="15"/>
    </row>
    <row r="379">
      <c r="B379" s="15"/>
    </row>
    <row r="380">
      <c r="B380" s="15"/>
    </row>
    <row r="381">
      <c r="B381" s="15"/>
    </row>
    <row r="382">
      <c r="B382" s="15"/>
    </row>
    <row r="383">
      <c r="B383" s="15"/>
    </row>
    <row r="384">
      <c r="B384" s="15"/>
    </row>
    <row r="385">
      <c r="B385" s="15"/>
    </row>
    <row r="386">
      <c r="B386" s="15"/>
    </row>
    <row r="387">
      <c r="B387" s="15"/>
    </row>
    <row r="388">
      <c r="B388" s="15"/>
    </row>
    <row r="389">
      <c r="B389" s="15"/>
    </row>
    <row r="390">
      <c r="B390" s="15"/>
    </row>
    <row r="391">
      <c r="B391" s="15"/>
    </row>
    <row r="392">
      <c r="B392" s="15"/>
    </row>
    <row r="393">
      <c r="B393" s="15"/>
    </row>
    <row r="394">
      <c r="B394" s="15"/>
    </row>
    <row r="395">
      <c r="B395" s="15"/>
    </row>
    <row r="396">
      <c r="B396" s="15"/>
    </row>
    <row r="397">
      <c r="B397" s="15"/>
    </row>
    <row r="398">
      <c r="B398" s="15"/>
    </row>
    <row r="399">
      <c r="B399" s="15"/>
    </row>
    <row r="400">
      <c r="B400" s="15"/>
    </row>
    <row r="401">
      <c r="B401" s="15"/>
    </row>
    <row r="402">
      <c r="B402" s="15"/>
    </row>
    <row r="403">
      <c r="B403" s="15"/>
    </row>
    <row r="404">
      <c r="B404" s="15"/>
    </row>
    <row r="405">
      <c r="B405" s="15"/>
    </row>
    <row r="406">
      <c r="B406" s="15"/>
    </row>
    <row r="407">
      <c r="B407" s="15"/>
    </row>
    <row r="408">
      <c r="B408" s="15"/>
    </row>
    <row r="409">
      <c r="B409" s="15"/>
    </row>
    <row r="410">
      <c r="B410" s="15"/>
    </row>
    <row r="411">
      <c r="B411" s="15"/>
    </row>
    <row r="412">
      <c r="B412" s="15"/>
    </row>
    <row r="413">
      <c r="B413" s="15"/>
    </row>
    <row r="414">
      <c r="B414" s="15"/>
    </row>
    <row r="415">
      <c r="B415" s="15"/>
    </row>
    <row r="416">
      <c r="B416" s="15"/>
    </row>
    <row r="417">
      <c r="B417" s="15"/>
    </row>
    <row r="418">
      <c r="B418" s="15"/>
    </row>
    <row r="419">
      <c r="B419" s="15"/>
    </row>
    <row r="420">
      <c r="B420" s="15"/>
    </row>
    <row r="421">
      <c r="B421" s="15"/>
    </row>
    <row r="422">
      <c r="B422" s="15"/>
    </row>
    <row r="423">
      <c r="B423" s="15"/>
    </row>
    <row r="424">
      <c r="B424" s="15"/>
    </row>
    <row r="425">
      <c r="B425" s="15"/>
    </row>
    <row r="426">
      <c r="B426" s="15"/>
    </row>
    <row r="427">
      <c r="B427" s="15"/>
    </row>
    <row r="428">
      <c r="B428" s="15"/>
    </row>
    <row r="429">
      <c r="B429" s="15"/>
    </row>
    <row r="430">
      <c r="B430" s="15"/>
    </row>
    <row r="431">
      <c r="B431" s="15"/>
    </row>
    <row r="432">
      <c r="B432" s="15"/>
    </row>
    <row r="433">
      <c r="B433" s="15"/>
    </row>
    <row r="434">
      <c r="B434" s="15"/>
    </row>
    <row r="435">
      <c r="B435" s="15"/>
    </row>
    <row r="436">
      <c r="B436" s="15"/>
    </row>
    <row r="437">
      <c r="B437" s="15"/>
    </row>
    <row r="438">
      <c r="B438" s="15"/>
    </row>
    <row r="439">
      <c r="B439" s="15"/>
    </row>
    <row r="440">
      <c r="B440" s="15"/>
    </row>
    <row r="441">
      <c r="B441" s="15"/>
    </row>
    <row r="442">
      <c r="B442" s="15"/>
    </row>
    <row r="443">
      <c r="B443" s="15"/>
    </row>
    <row r="444">
      <c r="B444" s="15"/>
    </row>
    <row r="445">
      <c r="B445" s="15"/>
    </row>
    <row r="446">
      <c r="B446" s="15"/>
    </row>
    <row r="447">
      <c r="B447" s="15"/>
    </row>
    <row r="448">
      <c r="B448" s="15"/>
    </row>
    <row r="449">
      <c r="B449" s="15"/>
    </row>
    <row r="450">
      <c r="B450" s="15"/>
    </row>
    <row r="451">
      <c r="B451" s="15"/>
    </row>
    <row r="452">
      <c r="B452" s="15"/>
    </row>
    <row r="453">
      <c r="B453" s="15"/>
    </row>
    <row r="454">
      <c r="B454" s="15"/>
    </row>
    <row r="455">
      <c r="B455" s="15"/>
    </row>
    <row r="456">
      <c r="B456" s="15"/>
    </row>
    <row r="457">
      <c r="B457" s="15"/>
    </row>
    <row r="458">
      <c r="B458" s="15"/>
    </row>
    <row r="459">
      <c r="B459" s="15"/>
    </row>
    <row r="460">
      <c r="B460" s="15"/>
    </row>
    <row r="461">
      <c r="B461" s="15"/>
    </row>
    <row r="462">
      <c r="B462" s="15"/>
    </row>
    <row r="463">
      <c r="B463" s="15"/>
    </row>
    <row r="464">
      <c r="B464" s="15"/>
    </row>
    <row r="465">
      <c r="B465" s="15"/>
    </row>
    <row r="466">
      <c r="B466" s="15"/>
    </row>
    <row r="467">
      <c r="B467" s="15"/>
    </row>
    <row r="468">
      <c r="B468" s="15"/>
    </row>
    <row r="469">
      <c r="B469" s="15"/>
    </row>
    <row r="470">
      <c r="B470" s="15"/>
    </row>
    <row r="471">
      <c r="B471" s="15"/>
    </row>
    <row r="472">
      <c r="B472" s="15"/>
    </row>
    <row r="473">
      <c r="B473" s="15"/>
    </row>
    <row r="474">
      <c r="B474" s="15"/>
    </row>
    <row r="475">
      <c r="B475" s="15"/>
    </row>
    <row r="476">
      <c r="B476" s="15"/>
    </row>
    <row r="477">
      <c r="B477" s="15"/>
    </row>
    <row r="478">
      <c r="B478" s="15"/>
    </row>
    <row r="479">
      <c r="B479" s="15"/>
    </row>
    <row r="480">
      <c r="B480" s="15"/>
    </row>
    <row r="481">
      <c r="B481" s="15"/>
    </row>
    <row r="482">
      <c r="B482" s="15"/>
    </row>
    <row r="483">
      <c r="B483" s="15"/>
    </row>
    <row r="484">
      <c r="B484" s="15"/>
    </row>
    <row r="485">
      <c r="B485" s="15"/>
    </row>
    <row r="486">
      <c r="B486" s="15"/>
    </row>
    <row r="487">
      <c r="B487" s="15"/>
    </row>
    <row r="488">
      <c r="B488" s="15"/>
    </row>
    <row r="489">
      <c r="B489" s="15"/>
    </row>
    <row r="490">
      <c r="B490" s="15"/>
    </row>
    <row r="491">
      <c r="B491" s="15"/>
    </row>
    <row r="492">
      <c r="B492" s="15"/>
    </row>
    <row r="493">
      <c r="B493" s="15"/>
    </row>
    <row r="494">
      <c r="B494" s="15"/>
    </row>
    <row r="495">
      <c r="B495" s="15"/>
    </row>
    <row r="496">
      <c r="B496" s="15"/>
    </row>
    <row r="497">
      <c r="B497" s="15"/>
    </row>
    <row r="498">
      <c r="B498" s="15"/>
    </row>
    <row r="499">
      <c r="B499" s="15"/>
    </row>
    <row r="500">
      <c r="B500" s="15"/>
    </row>
    <row r="501">
      <c r="B501" s="15"/>
    </row>
    <row r="502">
      <c r="B502" s="15"/>
    </row>
    <row r="503">
      <c r="B503" s="15"/>
    </row>
    <row r="504">
      <c r="B504" s="15"/>
    </row>
    <row r="505">
      <c r="B505" s="15"/>
    </row>
    <row r="506">
      <c r="B506" s="15"/>
    </row>
    <row r="507">
      <c r="B507" s="15"/>
    </row>
    <row r="508">
      <c r="B508" s="15"/>
    </row>
    <row r="509">
      <c r="B509" s="15"/>
    </row>
    <row r="510">
      <c r="B510" s="15"/>
    </row>
    <row r="511">
      <c r="B511" s="15"/>
    </row>
    <row r="512">
      <c r="B512" s="15"/>
    </row>
    <row r="513">
      <c r="B513" s="15"/>
    </row>
    <row r="514">
      <c r="B514" s="15"/>
    </row>
    <row r="515">
      <c r="B515" s="15"/>
    </row>
    <row r="516">
      <c r="B516" s="15"/>
    </row>
    <row r="517">
      <c r="B517" s="15"/>
    </row>
    <row r="518">
      <c r="B518" s="15"/>
    </row>
    <row r="519">
      <c r="B519" s="15"/>
    </row>
    <row r="520">
      <c r="B520" s="15"/>
    </row>
    <row r="521">
      <c r="B521" s="15"/>
    </row>
    <row r="522">
      <c r="B522" s="15"/>
    </row>
    <row r="523">
      <c r="B523" s="15"/>
    </row>
    <row r="524">
      <c r="B524" s="15"/>
    </row>
    <row r="525">
      <c r="B525" s="15"/>
    </row>
    <row r="526">
      <c r="B526" s="15"/>
    </row>
    <row r="527">
      <c r="B527" s="15"/>
    </row>
    <row r="528">
      <c r="B528" s="15"/>
    </row>
    <row r="529">
      <c r="B529" s="15"/>
    </row>
    <row r="530">
      <c r="B530" s="15"/>
    </row>
    <row r="531">
      <c r="B531" s="15"/>
    </row>
    <row r="532">
      <c r="B532" s="15"/>
    </row>
    <row r="533">
      <c r="B533" s="15"/>
    </row>
    <row r="534">
      <c r="B534" s="15"/>
    </row>
    <row r="535">
      <c r="B535" s="15"/>
    </row>
    <row r="536">
      <c r="B536" s="15"/>
    </row>
    <row r="537">
      <c r="B537" s="15"/>
    </row>
    <row r="538">
      <c r="B538" s="15"/>
    </row>
    <row r="539">
      <c r="B539" s="15"/>
    </row>
    <row r="540">
      <c r="B540" s="15"/>
    </row>
    <row r="541">
      <c r="B541" s="15"/>
    </row>
    <row r="542">
      <c r="B542" s="15"/>
    </row>
    <row r="543">
      <c r="B543" s="15"/>
    </row>
    <row r="544">
      <c r="B544" s="15"/>
    </row>
    <row r="545">
      <c r="B545" s="15"/>
    </row>
    <row r="546">
      <c r="B546" s="15"/>
    </row>
    <row r="547">
      <c r="B547" s="15"/>
    </row>
    <row r="548">
      <c r="B548" s="15"/>
    </row>
    <row r="549">
      <c r="B549" s="15"/>
    </row>
    <row r="550">
      <c r="B550" s="15"/>
    </row>
    <row r="551">
      <c r="B551" s="15"/>
    </row>
    <row r="552">
      <c r="B552" s="15"/>
    </row>
    <row r="553">
      <c r="B553" s="15"/>
    </row>
    <row r="554">
      <c r="B554" s="15"/>
    </row>
    <row r="555">
      <c r="B555" s="15"/>
    </row>
    <row r="556">
      <c r="B556" s="15"/>
    </row>
    <row r="557">
      <c r="B557" s="15"/>
    </row>
    <row r="558">
      <c r="B558" s="15"/>
    </row>
    <row r="559">
      <c r="B559" s="15"/>
    </row>
    <row r="560">
      <c r="B560" s="15"/>
    </row>
    <row r="561">
      <c r="B561" s="15"/>
    </row>
    <row r="562">
      <c r="B562" s="15"/>
    </row>
    <row r="563">
      <c r="B563" s="15"/>
    </row>
    <row r="564">
      <c r="B564" s="15"/>
    </row>
    <row r="565">
      <c r="B565" s="15"/>
    </row>
    <row r="566">
      <c r="B566" s="15"/>
    </row>
    <row r="567">
      <c r="B567" s="15"/>
    </row>
    <row r="568">
      <c r="B568" s="15"/>
    </row>
    <row r="569">
      <c r="B569" s="15"/>
    </row>
    <row r="570">
      <c r="B570" s="15"/>
    </row>
    <row r="571">
      <c r="B571" s="15"/>
    </row>
    <row r="572">
      <c r="B572" s="15"/>
    </row>
    <row r="573">
      <c r="B573" s="15"/>
    </row>
    <row r="574">
      <c r="B574" s="15"/>
    </row>
    <row r="575">
      <c r="B575" s="15"/>
    </row>
    <row r="576">
      <c r="B576" s="15"/>
    </row>
    <row r="577">
      <c r="B577" s="15"/>
    </row>
    <row r="578">
      <c r="B578" s="15"/>
    </row>
    <row r="579">
      <c r="B579" s="15"/>
    </row>
    <row r="580">
      <c r="B580" s="15"/>
    </row>
    <row r="581">
      <c r="B581" s="15"/>
    </row>
    <row r="582">
      <c r="B582" s="15"/>
    </row>
    <row r="583">
      <c r="B583" s="15"/>
    </row>
    <row r="584">
      <c r="B584" s="15"/>
    </row>
    <row r="585">
      <c r="B585" s="15"/>
    </row>
    <row r="586">
      <c r="B586" s="15"/>
    </row>
    <row r="587">
      <c r="B587" s="15"/>
    </row>
    <row r="588">
      <c r="B588" s="15"/>
    </row>
    <row r="589">
      <c r="B589" s="15"/>
    </row>
    <row r="590">
      <c r="B590" s="15"/>
    </row>
    <row r="591">
      <c r="B591" s="15"/>
    </row>
    <row r="592">
      <c r="B592" s="15"/>
    </row>
    <row r="593">
      <c r="B593" s="15"/>
    </row>
    <row r="594">
      <c r="B594" s="15"/>
    </row>
    <row r="595">
      <c r="B595" s="15"/>
    </row>
    <row r="596">
      <c r="B596" s="15"/>
    </row>
    <row r="597">
      <c r="B597" s="15"/>
    </row>
    <row r="598">
      <c r="B598" s="15"/>
    </row>
    <row r="599">
      <c r="B599" s="15"/>
    </row>
    <row r="600">
      <c r="B600" s="15"/>
    </row>
    <row r="601">
      <c r="B601" s="15"/>
    </row>
    <row r="602">
      <c r="B602" s="15"/>
    </row>
    <row r="603">
      <c r="B603" s="15"/>
    </row>
    <row r="604">
      <c r="B604" s="15"/>
    </row>
    <row r="605">
      <c r="B605" s="15"/>
    </row>
    <row r="606">
      <c r="B606" s="15"/>
    </row>
    <row r="607">
      <c r="B607" s="15"/>
    </row>
    <row r="608">
      <c r="B608" s="15"/>
    </row>
    <row r="609">
      <c r="B609" s="15"/>
    </row>
    <row r="610">
      <c r="B610" s="15"/>
    </row>
    <row r="611">
      <c r="B611" s="15"/>
    </row>
    <row r="612">
      <c r="B612" s="15"/>
    </row>
    <row r="613">
      <c r="B613" s="15"/>
    </row>
    <row r="614">
      <c r="B614" s="15"/>
    </row>
    <row r="615">
      <c r="B615" s="15"/>
    </row>
    <row r="616">
      <c r="B616" s="15"/>
    </row>
    <row r="617">
      <c r="B617" s="15"/>
    </row>
    <row r="618">
      <c r="B618" s="15"/>
    </row>
    <row r="619">
      <c r="B619" s="15"/>
    </row>
    <row r="620">
      <c r="B620" s="15"/>
    </row>
    <row r="621">
      <c r="B621" s="15"/>
    </row>
    <row r="622">
      <c r="B622" s="15"/>
    </row>
    <row r="623">
      <c r="B623" s="15"/>
    </row>
    <row r="624">
      <c r="B624" s="15"/>
    </row>
    <row r="625">
      <c r="B625" s="15"/>
    </row>
    <row r="626">
      <c r="B626" s="15"/>
    </row>
    <row r="627">
      <c r="B627" s="15"/>
    </row>
    <row r="628">
      <c r="B628" s="15"/>
    </row>
    <row r="629">
      <c r="B629" s="15"/>
    </row>
    <row r="630">
      <c r="B630" s="15"/>
    </row>
    <row r="631">
      <c r="B631" s="15"/>
    </row>
    <row r="632">
      <c r="B632" s="15"/>
    </row>
    <row r="633">
      <c r="B633" s="15"/>
    </row>
    <row r="634">
      <c r="B634" s="15"/>
    </row>
    <row r="635">
      <c r="B635" s="15"/>
    </row>
    <row r="636">
      <c r="B636" s="15"/>
    </row>
    <row r="637">
      <c r="B637" s="15"/>
    </row>
    <row r="638">
      <c r="B638" s="15"/>
    </row>
    <row r="639">
      <c r="B639" s="15"/>
    </row>
    <row r="640">
      <c r="B640" s="15"/>
    </row>
    <row r="641">
      <c r="B641" s="15"/>
    </row>
    <row r="642">
      <c r="B642" s="15"/>
    </row>
    <row r="643">
      <c r="B643" s="15"/>
    </row>
    <row r="644">
      <c r="B644" s="15"/>
    </row>
    <row r="645">
      <c r="B645" s="15"/>
    </row>
    <row r="646">
      <c r="B646" s="15"/>
    </row>
    <row r="647">
      <c r="B647" s="15"/>
    </row>
    <row r="648">
      <c r="B648" s="15"/>
    </row>
    <row r="649">
      <c r="B649" s="15"/>
    </row>
    <row r="650">
      <c r="B650" s="15"/>
    </row>
    <row r="651">
      <c r="B651" s="15"/>
    </row>
    <row r="652">
      <c r="B652" s="15"/>
    </row>
    <row r="653">
      <c r="B653" s="15"/>
    </row>
    <row r="654">
      <c r="B654" s="15"/>
    </row>
    <row r="655">
      <c r="B655" s="15"/>
    </row>
    <row r="656">
      <c r="B656" s="15"/>
    </row>
    <row r="657">
      <c r="B657" s="15"/>
    </row>
    <row r="658">
      <c r="B658" s="15"/>
    </row>
    <row r="659">
      <c r="B659" s="15"/>
    </row>
    <row r="660">
      <c r="B660" s="15"/>
    </row>
    <row r="661">
      <c r="B661" s="15"/>
    </row>
    <row r="662">
      <c r="B662" s="15"/>
    </row>
    <row r="663">
      <c r="B663" s="15"/>
    </row>
    <row r="664">
      <c r="B664" s="15"/>
    </row>
    <row r="665">
      <c r="B665" s="15"/>
    </row>
    <row r="666">
      <c r="B666" s="15"/>
    </row>
    <row r="667">
      <c r="B667" s="15"/>
    </row>
    <row r="668">
      <c r="B668" s="15"/>
    </row>
    <row r="669">
      <c r="B669" s="15"/>
    </row>
    <row r="670">
      <c r="B670" s="15"/>
    </row>
    <row r="671">
      <c r="B671" s="15"/>
    </row>
    <row r="672">
      <c r="B672" s="15"/>
    </row>
    <row r="673">
      <c r="B673" s="15"/>
    </row>
    <row r="674">
      <c r="B674" s="15"/>
    </row>
    <row r="675">
      <c r="B675" s="15"/>
    </row>
    <row r="676">
      <c r="B676" s="15"/>
    </row>
    <row r="677">
      <c r="B677" s="15"/>
    </row>
    <row r="678">
      <c r="B678" s="15"/>
    </row>
    <row r="679">
      <c r="B679" s="15"/>
    </row>
    <row r="680">
      <c r="B680" s="15"/>
    </row>
    <row r="681">
      <c r="B681" s="15"/>
    </row>
    <row r="682">
      <c r="B682" s="15"/>
    </row>
    <row r="683">
      <c r="B683" s="15"/>
    </row>
    <row r="684">
      <c r="B684" s="15"/>
    </row>
    <row r="685">
      <c r="B685" s="15"/>
    </row>
    <row r="686">
      <c r="B686" s="15"/>
    </row>
    <row r="687">
      <c r="B687" s="15"/>
    </row>
    <row r="688">
      <c r="B688" s="15"/>
    </row>
    <row r="689">
      <c r="B689" s="15"/>
    </row>
    <row r="690">
      <c r="B690" s="15"/>
    </row>
    <row r="691">
      <c r="B691" s="15"/>
    </row>
    <row r="692">
      <c r="B692" s="15"/>
    </row>
    <row r="693">
      <c r="B693" s="15"/>
    </row>
    <row r="694">
      <c r="B694" s="15"/>
    </row>
    <row r="695">
      <c r="B695" s="15"/>
    </row>
    <row r="696">
      <c r="B696" s="15"/>
    </row>
    <row r="697">
      <c r="B697" s="15"/>
    </row>
    <row r="698">
      <c r="B698" s="15"/>
    </row>
    <row r="699">
      <c r="B699" s="15"/>
    </row>
    <row r="700">
      <c r="B700" s="15"/>
    </row>
    <row r="701">
      <c r="B701" s="15"/>
    </row>
    <row r="702">
      <c r="B702" s="15"/>
    </row>
    <row r="703">
      <c r="B703" s="15"/>
    </row>
    <row r="704">
      <c r="B704" s="15"/>
    </row>
    <row r="705">
      <c r="B705" s="15"/>
    </row>
    <row r="706">
      <c r="B706" s="15"/>
    </row>
    <row r="707">
      <c r="B707" s="15"/>
    </row>
    <row r="708">
      <c r="B708" s="15"/>
    </row>
    <row r="709">
      <c r="B709" s="15"/>
    </row>
    <row r="710">
      <c r="B710" s="15"/>
    </row>
    <row r="711">
      <c r="B711" s="15"/>
    </row>
    <row r="712">
      <c r="B712" s="15"/>
    </row>
    <row r="713">
      <c r="B713" s="15"/>
    </row>
    <row r="714">
      <c r="B714" s="15"/>
    </row>
    <row r="715">
      <c r="B715" s="15"/>
    </row>
    <row r="716">
      <c r="B716" s="15"/>
    </row>
    <row r="717">
      <c r="B717" s="15"/>
    </row>
    <row r="718">
      <c r="B718" s="15"/>
    </row>
    <row r="719">
      <c r="B719" s="15"/>
    </row>
    <row r="720">
      <c r="B720" s="15"/>
    </row>
    <row r="721">
      <c r="B721" s="15"/>
    </row>
    <row r="722">
      <c r="B722" s="15"/>
    </row>
    <row r="723">
      <c r="B723" s="15"/>
    </row>
    <row r="724">
      <c r="B724" s="15"/>
    </row>
    <row r="725">
      <c r="B725" s="15"/>
    </row>
    <row r="726">
      <c r="B726" s="15"/>
    </row>
    <row r="727">
      <c r="B727" s="15"/>
    </row>
    <row r="728">
      <c r="B728" s="15"/>
    </row>
    <row r="729">
      <c r="B729" s="15"/>
    </row>
    <row r="730">
      <c r="B730" s="15"/>
    </row>
    <row r="731">
      <c r="B731" s="15"/>
    </row>
    <row r="732">
      <c r="B732" s="15"/>
    </row>
    <row r="733">
      <c r="B733" s="15"/>
    </row>
    <row r="734">
      <c r="B734" s="15"/>
    </row>
    <row r="735">
      <c r="B735" s="15"/>
    </row>
    <row r="736">
      <c r="B736" s="15"/>
    </row>
    <row r="737">
      <c r="B737" s="15"/>
    </row>
    <row r="738">
      <c r="B738" s="15"/>
    </row>
    <row r="739">
      <c r="B739" s="15"/>
    </row>
    <row r="740">
      <c r="B740" s="15"/>
    </row>
    <row r="741">
      <c r="B741" s="15"/>
    </row>
    <row r="742">
      <c r="B742" s="15"/>
    </row>
    <row r="743">
      <c r="B743" s="15"/>
    </row>
    <row r="744">
      <c r="B744" s="15"/>
    </row>
    <row r="745">
      <c r="B745" s="15"/>
    </row>
    <row r="746">
      <c r="B746" s="15"/>
    </row>
    <row r="747">
      <c r="B747" s="15"/>
    </row>
    <row r="748">
      <c r="B748" s="15"/>
    </row>
    <row r="749">
      <c r="B749" s="15"/>
    </row>
    <row r="750">
      <c r="B750" s="15"/>
    </row>
    <row r="751">
      <c r="B751" s="15"/>
    </row>
    <row r="752">
      <c r="B752" s="15"/>
    </row>
    <row r="753">
      <c r="B753" s="15"/>
    </row>
    <row r="754">
      <c r="B754" s="15"/>
    </row>
    <row r="755">
      <c r="B755" s="15"/>
    </row>
    <row r="756">
      <c r="B756" s="15"/>
    </row>
    <row r="757">
      <c r="B757" s="15"/>
    </row>
    <row r="758">
      <c r="B758" s="15"/>
    </row>
    <row r="759">
      <c r="B759" s="15"/>
    </row>
    <row r="760">
      <c r="B760" s="15"/>
    </row>
    <row r="761">
      <c r="B761" s="15"/>
    </row>
    <row r="762">
      <c r="B762" s="15"/>
    </row>
    <row r="763">
      <c r="B763" s="15"/>
    </row>
    <row r="764">
      <c r="B764" s="15"/>
    </row>
    <row r="765">
      <c r="B765" s="15"/>
    </row>
    <row r="766">
      <c r="B766" s="15"/>
    </row>
    <row r="767">
      <c r="B767" s="15"/>
    </row>
    <row r="768">
      <c r="B768" s="15"/>
    </row>
    <row r="769">
      <c r="B769" s="15"/>
    </row>
    <row r="770">
      <c r="B770" s="15"/>
    </row>
    <row r="771">
      <c r="B771" s="15"/>
    </row>
    <row r="772">
      <c r="B772" s="15"/>
    </row>
    <row r="773">
      <c r="B773" s="15"/>
    </row>
    <row r="774">
      <c r="B774" s="15"/>
    </row>
    <row r="775">
      <c r="B775" s="15"/>
    </row>
    <row r="776">
      <c r="B776" s="15"/>
    </row>
    <row r="777">
      <c r="B777" s="15"/>
    </row>
    <row r="778">
      <c r="B778" s="15"/>
    </row>
    <row r="779">
      <c r="B779" s="15"/>
    </row>
    <row r="780">
      <c r="B780" s="15"/>
    </row>
    <row r="781">
      <c r="B781" s="15"/>
    </row>
    <row r="782">
      <c r="B782" s="15"/>
    </row>
    <row r="783">
      <c r="B783" s="15"/>
    </row>
    <row r="784">
      <c r="B784" s="15"/>
    </row>
    <row r="785">
      <c r="B785" s="15"/>
    </row>
    <row r="786">
      <c r="B786" s="15"/>
    </row>
    <row r="787">
      <c r="B787" s="15"/>
    </row>
    <row r="788">
      <c r="B788" s="15"/>
    </row>
    <row r="789">
      <c r="B789" s="15"/>
    </row>
    <row r="790">
      <c r="B790" s="15"/>
    </row>
    <row r="791">
      <c r="B791" s="15"/>
    </row>
    <row r="792">
      <c r="B792" s="15"/>
    </row>
    <row r="793">
      <c r="B793" s="15"/>
    </row>
    <row r="794">
      <c r="B794" s="15"/>
    </row>
    <row r="795">
      <c r="B795" s="15"/>
    </row>
    <row r="796">
      <c r="B796" s="15"/>
    </row>
    <row r="797">
      <c r="B797" s="15"/>
    </row>
    <row r="798">
      <c r="B798" s="15"/>
    </row>
    <row r="799">
      <c r="B799" s="15"/>
    </row>
    <row r="800">
      <c r="B800" s="15"/>
    </row>
    <row r="801">
      <c r="B801" s="15"/>
    </row>
    <row r="802">
      <c r="B802" s="15"/>
    </row>
    <row r="803">
      <c r="B803" s="15"/>
    </row>
    <row r="804">
      <c r="B804" s="15"/>
    </row>
    <row r="805">
      <c r="B805" s="15"/>
    </row>
    <row r="806">
      <c r="B806" s="15"/>
    </row>
    <row r="807">
      <c r="B807" s="15"/>
    </row>
    <row r="808">
      <c r="B808" s="15"/>
    </row>
    <row r="809">
      <c r="B809" s="15"/>
    </row>
    <row r="810">
      <c r="B810" s="15"/>
    </row>
    <row r="811">
      <c r="B811" s="15"/>
    </row>
    <row r="812">
      <c r="B812" s="15"/>
    </row>
    <row r="813">
      <c r="B813" s="15"/>
    </row>
    <row r="814">
      <c r="B814" s="15"/>
    </row>
    <row r="815">
      <c r="B815" s="15"/>
    </row>
    <row r="816">
      <c r="B816" s="15"/>
    </row>
    <row r="817">
      <c r="B817" s="15"/>
    </row>
    <row r="818">
      <c r="B818" s="15"/>
    </row>
    <row r="819">
      <c r="B819" s="15"/>
    </row>
    <row r="820">
      <c r="B820" s="15"/>
    </row>
    <row r="821">
      <c r="B821" s="15"/>
    </row>
    <row r="822">
      <c r="B822" s="15"/>
    </row>
    <row r="823">
      <c r="B823" s="15"/>
    </row>
    <row r="824">
      <c r="B824" s="15"/>
    </row>
    <row r="825">
      <c r="B825" s="15"/>
    </row>
    <row r="826">
      <c r="B826" s="15"/>
    </row>
    <row r="827">
      <c r="B827" s="15"/>
    </row>
    <row r="828">
      <c r="B828" s="15"/>
    </row>
    <row r="829">
      <c r="B829" s="15"/>
    </row>
    <row r="830">
      <c r="B830" s="15"/>
    </row>
    <row r="831">
      <c r="B831" s="15"/>
    </row>
    <row r="832">
      <c r="B832" s="15"/>
    </row>
    <row r="833">
      <c r="B833" s="15"/>
    </row>
    <row r="834">
      <c r="B834" s="15"/>
    </row>
    <row r="835">
      <c r="B835" s="15"/>
    </row>
    <row r="836">
      <c r="B836" s="15"/>
    </row>
    <row r="837">
      <c r="B837" s="15"/>
    </row>
    <row r="838">
      <c r="B838" s="15"/>
    </row>
    <row r="839">
      <c r="B839" s="15"/>
    </row>
    <row r="840">
      <c r="B840" s="15"/>
    </row>
    <row r="841">
      <c r="B841" s="15"/>
    </row>
    <row r="842">
      <c r="B842" s="15"/>
    </row>
    <row r="843">
      <c r="B843" s="15"/>
    </row>
    <row r="844">
      <c r="B844" s="15"/>
    </row>
    <row r="845">
      <c r="B845" s="15"/>
    </row>
    <row r="846">
      <c r="B846" s="15"/>
    </row>
    <row r="847">
      <c r="B847" s="15"/>
    </row>
    <row r="848">
      <c r="B848" s="15"/>
    </row>
    <row r="849">
      <c r="B849" s="15"/>
    </row>
    <row r="850">
      <c r="B850" s="15"/>
    </row>
    <row r="851">
      <c r="B851" s="15"/>
    </row>
    <row r="852">
      <c r="B852" s="15"/>
    </row>
    <row r="853">
      <c r="B853" s="15"/>
    </row>
    <row r="854">
      <c r="B854" s="15"/>
    </row>
    <row r="855">
      <c r="B855" s="15"/>
    </row>
    <row r="856">
      <c r="B856" s="15"/>
    </row>
    <row r="857">
      <c r="B857" s="15"/>
    </row>
    <row r="858">
      <c r="B858" s="15"/>
    </row>
    <row r="859">
      <c r="B859" s="15"/>
    </row>
    <row r="860">
      <c r="B860" s="15"/>
    </row>
    <row r="861">
      <c r="B861" s="15"/>
    </row>
    <row r="862">
      <c r="B862" s="15"/>
    </row>
    <row r="863">
      <c r="B863" s="15"/>
    </row>
    <row r="864">
      <c r="B864" s="15"/>
    </row>
    <row r="865">
      <c r="B865" s="15"/>
    </row>
    <row r="866">
      <c r="B866" s="15"/>
    </row>
    <row r="867">
      <c r="B867" s="15"/>
    </row>
    <row r="868">
      <c r="B868" s="15"/>
    </row>
    <row r="869">
      <c r="B869" s="15"/>
    </row>
    <row r="870">
      <c r="B870" s="15"/>
    </row>
    <row r="871">
      <c r="B871" s="15"/>
    </row>
    <row r="872">
      <c r="B872" s="15"/>
    </row>
    <row r="873">
      <c r="B873" s="15"/>
    </row>
    <row r="874">
      <c r="B874" s="15"/>
    </row>
    <row r="875">
      <c r="B875" s="15"/>
    </row>
    <row r="876">
      <c r="B876" s="15"/>
    </row>
    <row r="877">
      <c r="B877" s="15"/>
    </row>
    <row r="878">
      <c r="B878" s="15"/>
    </row>
    <row r="879">
      <c r="B879" s="15"/>
    </row>
    <row r="880">
      <c r="B880" s="15"/>
    </row>
    <row r="881">
      <c r="B881" s="15"/>
    </row>
    <row r="882">
      <c r="B882" s="15"/>
    </row>
    <row r="883">
      <c r="B883" s="15"/>
    </row>
    <row r="884">
      <c r="B884" s="15"/>
    </row>
    <row r="885">
      <c r="B885" s="15"/>
    </row>
    <row r="886">
      <c r="B886" s="15"/>
    </row>
    <row r="887">
      <c r="B887" s="15"/>
    </row>
    <row r="888">
      <c r="B888" s="15"/>
    </row>
    <row r="889">
      <c r="B889" s="15"/>
    </row>
    <row r="890">
      <c r="B890" s="15"/>
    </row>
    <row r="891">
      <c r="B891" s="15"/>
    </row>
    <row r="892">
      <c r="B892" s="15"/>
    </row>
    <row r="893">
      <c r="B893" s="15"/>
    </row>
    <row r="894">
      <c r="B894" s="15"/>
    </row>
    <row r="895">
      <c r="B895" s="15"/>
    </row>
    <row r="896">
      <c r="B896" s="15"/>
    </row>
    <row r="897">
      <c r="B897" s="15"/>
    </row>
    <row r="898">
      <c r="B898" s="15"/>
    </row>
    <row r="899">
      <c r="B899" s="15"/>
    </row>
    <row r="900">
      <c r="B900" s="15"/>
    </row>
    <row r="901">
      <c r="B901" s="15"/>
    </row>
    <row r="902">
      <c r="B902" s="15"/>
    </row>
    <row r="903">
      <c r="B903" s="15"/>
    </row>
    <row r="904">
      <c r="B904" s="15"/>
    </row>
    <row r="905">
      <c r="B905" s="15"/>
    </row>
    <row r="906">
      <c r="B906" s="15"/>
    </row>
    <row r="907">
      <c r="B907" s="15"/>
    </row>
    <row r="908">
      <c r="B908" s="15"/>
    </row>
    <row r="909">
      <c r="B909" s="15"/>
    </row>
    <row r="910">
      <c r="B910" s="15"/>
    </row>
    <row r="911">
      <c r="B911" s="15"/>
    </row>
    <row r="912">
      <c r="B912" s="15"/>
    </row>
    <row r="913">
      <c r="B913" s="15"/>
    </row>
    <row r="914">
      <c r="B914" s="15"/>
    </row>
    <row r="915">
      <c r="B915" s="15"/>
    </row>
    <row r="916">
      <c r="B916" s="15"/>
    </row>
    <row r="917">
      <c r="B917" s="15"/>
    </row>
    <row r="918">
      <c r="B918" s="15"/>
    </row>
    <row r="919">
      <c r="B919" s="15"/>
    </row>
    <row r="920">
      <c r="B920" s="15"/>
    </row>
    <row r="921">
      <c r="B921" s="15"/>
    </row>
    <row r="922">
      <c r="B922" s="15"/>
    </row>
    <row r="923">
      <c r="B923" s="15"/>
    </row>
    <row r="924">
      <c r="B924" s="15"/>
    </row>
    <row r="925">
      <c r="B925" s="15"/>
    </row>
    <row r="926">
      <c r="B926" s="15"/>
    </row>
    <row r="927">
      <c r="B927" s="15"/>
    </row>
    <row r="928">
      <c r="B928" s="15"/>
    </row>
    <row r="929">
      <c r="B929" s="15"/>
    </row>
    <row r="930">
      <c r="B930" s="15"/>
    </row>
    <row r="931">
      <c r="B931" s="15"/>
    </row>
    <row r="932">
      <c r="B932" s="15"/>
    </row>
    <row r="933">
      <c r="B933" s="15"/>
    </row>
    <row r="934">
      <c r="B934" s="15"/>
    </row>
    <row r="935">
      <c r="B935" s="15"/>
    </row>
    <row r="936">
      <c r="B936" s="15"/>
    </row>
    <row r="937">
      <c r="B937" s="15"/>
    </row>
    <row r="938">
      <c r="B938" s="15"/>
    </row>
    <row r="939">
      <c r="B939" s="15"/>
    </row>
    <row r="940">
      <c r="B940" s="15"/>
    </row>
    <row r="941">
      <c r="B941" s="15"/>
    </row>
    <row r="942">
      <c r="B942" s="15"/>
    </row>
    <row r="943">
      <c r="B943" s="15"/>
    </row>
    <row r="944">
      <c r="B944" s="15"/>
    </row>
    <row r="945">
      <c r="B945" s="15"/>
    </row>
    <row r="946">
      <c r="B946" s="15"/>
    </row>
    <row r="947">
      <c r="B947" s="15"/>
    </row>
    <row r="948">
      <c r="B948" s="15"/>
    </row>
    <row r="949">
      <c r="B949" s="15"/>
    </row>
    <row r="950">
      <c r="B950" s="15"/>
    </row>
    <row r="951">
      <c r="B951" s="15"/>
    </row>
    <row r="952">
      <c r="B952" s="15"/>
    </row>
    <row r="953">
      <c r="B953" s="15"/>
    </row>
    <row r="954">
      <c r="B954" s="15"/>
    </row>
    <row r="955">
      <c r="B955" s="15"/>
    </row>
    <row r="956">
      <c r="B956" s="15"/>
    </row>
    <row r="957">
      <c r="B957" s="15"/>
    </row>
    <row r="958">
      <c r="B958" s="15"/>
    </row>
    <row r="959">
      <c r="B959" s="15"/>
    </row>
    <row r="960">
      <c r="B960" s="15"/>
    </row>
    <row r="961">
      <c r="B961" s="15"/>
    </row>
    <row r="962">
      <c r="B962" s="15"/>
    </row>
    <row r="963">
      <c r="B963" s="15"/>
    </row>
    <row r="964">
      <c r="B964" s="15"/>
    </row>
    <row r="965">
      <c r="B965" s="15"/>
    </row>
    <row r="966">
      <c r="B966" s="15"/>
    </row>
    <row r="967">
      <c r="B967" s="15"/>
    </row>
    <row r="968">
      <c r="B968" s="15"/>
    </row>
    <row r="969">
      <c r="B969" s="15"/>
    </row>
    <row r="970">
      <c r="B970" s="15"/>
    </row>
    <row r="971">
      <c r="B971" s="15"/>
    </row>
    <row r="972">
      <c r="B972" s="15"/>
    </row>
    <row r="973">
      <c r="B973" s="15"/>
    </row>
    <row r="974">
      <c r="B974" s="15"/>
    </row>
    <row r="975">
      <c r="B975" s="15"/>
    </row>
    <row r="976">
      <c r="B976" s="15"/>
    </row>
    <row r="977">
      <c r="B977" s="15"/>
    </row>
    <row r="978">
      <c r="B978" s="15"/>
    </row>
    <row r="979">
      <c r="B979" s="15"/>
    </row>
    <row r="980">
      <c r="B980" s="15"/>
    </row>
    <row r="981">
      <c r="B981" s="15"/>
    </row>
    <row r="982">
      <c r="B982" s="15"/>
    </row>
    <row r="983">
      <c r="B983" s="15"/>
    </row>
    <row r="984">
      <c r="B984" s="15"/>
    </row>
    <row r="985">
      <c r="B985" s="15"/>
    </row>
    <row r="986">
      <c r="B986" s="15"/>
    </row>
    <row r="987">
      <c r="B987" s="15"/>
    </row>
    <row r="988">
      <c r="B988" s="15"/>
    </row>
    <row r="989">
      <c r="B989" s="15"/>
    </row>
    <row r="990">
      <c r="B990" s="15"/>
    </row>
    <row r="991">
      <c r="B991" s="15"/>
    </row>
    <row r="992">
      <c r="B992" s="15"/>
    </row>
    <row r="993">
      <c r="B993" s="15"/>
    </row>
    <row r="994">
      <c r="B994" s="15"/>
    </row>
    <row r="995">
      <c r="B995" s="15"/>
    </row>
    <row r="996">
      <c r="B996" s="15"/>
    </row>
    <row r="997">
      <c r="B997" s="15"/>
    </row>
    <row r="998">
      <c r="B998" s="15"/>
    </row>
    <row r="999">
      <c r="B999" s="15"/>
    </row>
    <row r="1000">
      <c r="B1000" s="1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63"/>
    <col customWidth="1" min="10" max="10" width="17.38"/>
    <col customWidth="1" min="11" max="11" width="15.25"/>
  </cols>
  <sheetData>
    <row r="1">
      <c r="A1" s="16" t="s">
        <v>2644</v>
      </c>
    </row>
    <row r="42">
      <c r="I42" s="17"/>
      <c r="J42" s="17"/>
    </row>
    <row r="43">
      <c r="I43" s="18" t="s">
        <v>2645</v>
      </c>
      <c r="J43" s="19"/>
    </row>
    <row r="44">
      <c r="I44" s="20" t="s">
        <v>2646</v>
      </c>
      <c r="J44" s="2">
        <f>Analysis!B2</f>
        <v>4689</v>
      </c>
    </row>
    <row r="45">
      <c r="I45" s="20" t="s">
        <v>2647</v>
      </c>
      <c r="J45" s="2">
        <f>Analysis!B3</f>
        <v>2680</v>
      </c>
    </row>
    <row r="46">
      <c r="I46" s="20" t="s">
        <v>2648</v>
      </c>
      <c r="J46" s="2">
        <f>Analysis!B4</f>
        <v>1525</v>
      </c>
    </row>
    <row r="47">
      <c r="I47" s="20" t="s">
        <v>2649</v>
      </c>
      <c r="J47" s="2" t="str">
        <f>ROUND(Analysis!B5,0)&amp;" €"</f>
        <v>92104 €</v>
      </c>
    </row>
    <row r="48">
      <c r="I48" s="20" t="s">
        <v>2650</v>
      </c>
      <c r="J48" s="2" t="str">
        <f>ROUND(Analysis!B6,0)&amp;" €"</f>
        <v>425 €</v>
      </c>
    </row>
    <row r="49">
      <c r="I49" s="20" t="s">
        <v>2651</v>
      </c>
      <c r="J49" s="2" t="str">
        <f>ROUND(Analysis!B14,0)&amp;" €"</f>
        <v>91035 €</v>
      </c>
    </row>
    <row r="62">
      <c r="J62" s="17"/>
      <c r="K62" s="17"/>
    </row>
    <row r="63">
      <c r="J63" s="21"/>
      <c r="K63" s="6"/>
    </row>
    <row r="64">
      <c r="J64" s="21"/>
      <c r="K64" s="6"/>
    </row>
    <row r="65">
      <c r="J65" s="21"/>
      <c r="K65" s="6"/>
    </row>
    <row r="66">
      <c r="J66" s="21"/>
      <c r="K66" s="6"/>
    </row>
    <row r="67">
      <c r="J67" s="21"/>
      <c r="K67" s="6"/>
    </row>
    <row r="68">
      <c r="J68" s="21"/>
      <c r="K68" s="6"/>
    </row>
  </sheetData>
  <mergeCells count="1">
    <mergeCell ref="I43:J43"/>
  </mergeCells>
  <drawing r:id="rId1"/>
</worksheet>
</file>